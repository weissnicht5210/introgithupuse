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안내" sheetId="1" state="visible" r:id="rId1"/>
    <sheet name="입력_기본자료" sheetId="2" state="visible" r:id="rId2"/>
    <sheet name="입력_인턴근무계획" sheetId="3" state="visible" r:id="rId3"/>
    <sheet name="입력_파견수련계획" sheetId="4" state="visible" r:id="rId4"/>
    <sheet name="입력_구리근무자명단" sheetId="5" state="visible" r:id="rId5"/>
    <sheet name="입력_전공의명단" sheetId="6" state="visible" r:id="rId6"/>
    <sheet name="출력_서울급여" sheetId="7" state="visible" r:id="rId7"/>
    <sheet name="출력_구리근무자" sheetId="8" state="visible" r:id="rId8"/>
    <sheet name="출력_요약" sheetId="9" state="visible" r:id="rId9"/>
    <sheet name="출력_인턴현황" sheetId="10" state="visible" r:id="rId10"/>
    <sheet name="설정_코드표" sheetId="11" state="visible" r:id="rId11"/>
  </sheets>
  <definedNames>
    <definedName name="_xlnm._FilterDatabase" localSheetId="1" hidden="1">'입력_기본자료'!$A$1:$L$1001</definedName>
    <definedName name="_xlnm._FilterDatabase" localSheetId="6" hidden="1">'출력_서울급여'!$A$5:$R$405</definedName>
    <definedName name="_xlnm._FilterDatabase" localSheetId="7" hidden="1">'출력_구리근무자'!$A$5:$L$305</definedName>
    <definedName name="_xlnm._FilterDatabase" localSheetId="9" hidden="1">'출력_인턴현황'!$A$5:$Q$405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&quot;년&quot; m&quot;월&quot;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FF"/>
      <sz val="10"/>
    </font>
    <font>
      <name val="맑은 고딕"/>
      <sz val="10"/>
    </font>
    <font>
      <name val="맑은 고딕"/>
      <b val="1"/>
      <sz val="10"/>
    </font>
    <font>
      <name val="맑은 고딕"/>
      <color rgb="007F7F7F"/>
      <sz val="9"/>
    </font>
    <font>
      <name val="맑은 고딕"/>
      <b val="1"/>
      <sz val="14"/>
    </font>
    <font>
      <name val="맑은 고딕"/>
      <b val="1"/>
      <color rgb="001F3864"/>
      <sz val="12"/>
    </font>
    <font>
      <name val="맑은 고딕"/>
      <b val="1"/>
      <sz val="12"/>
    </font>
    <font>
      <name val="맑은 고딕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548235"/>
      </patternFill>
    </fill>
    <fill>
      <patternFill patternType="solid">
        <fgColor rgb="00F2F2F2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49" fontId="2" fillId="0" borderId="1" pivotButton="0" quotePrefix="0" xfId="0"/>
    <xf numFmtId="0" fontId="6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4" borderId="0" pivotButton="0" quotePrefix="0" xfId="0"/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0" fontId="0" fillId="0" borderId="1" pivotButton="0" quotePrefix="0" xfId="0"/>
    <xf numFmtId="49" fontId="2" fillId="0" borderId="1" applyAlignment="1" pivotButton="0" quotePrefix="0" xfId="0">
      <alignment horizontal="center" vertical="center"/>
    </xf>
    <xf numFmtId="0" fontId="3" fillId="5" borderId="1" pivotButton="0" quotePrefix="0" xfId="0"/>
    <xf numFmtId="165" fontId="7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0" fontId="9" fillId="0" borderId="0" pivotButton="0" quotePrefix="0" xfId="0"/>
    <xf numFmtId="0" fontId="1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/>
    </xf>
    <xf numFmtId="0" fontId="4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4" fontId="3" fillId="0" borderId="0" pivotButton="0" quotePrefix="0" xfId="0"/>
    <xf numFmtId="164" fontId="4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4" fillId="0" borderId="1" pivotButton="0" quotePrefix="0" xfId="0"/>
    <xf numFmtId="164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dxfs count="14">
    <dxf>
      <fill>
        <patternFill patternType="solid">
          <bgColor rgb="00FFC7CE"/>
        </patternFill>
      </fill>
    </dxf>
    <dxf>
      <font>
        <name val="맑은 고딕"/>
        <b val="1"/>
        <color rgb="00C00000"/>
      </font>
      <fill>
        <patternFill patternType="solid">
          <bgColor rgb="00FFC7CE"/>
        </patternFill>
      </fill>
    </dxf>
    <dxf>
      <font>
        <name val="맑은 고딕"/>
        <b val="1"/>
        <color rgb="00C00000"/>
      </font>
    </dxf>
    <dxf>
      <font>
        <name val="맑은 고딕"/>
        <b val="1"/>
        <color rgb="00FFFFFF"/>
      </font>
      <fill>
        <patternFill patternType="solid">
          <bgColor rgb="00FF0000"/>
        </patternFill>
      </fill>
    </dxf>
    <dxf>
      <fill>
        <patternFill patternType="solid">
          <bgColor rgb="00FFC000"/>
        </patternFill>
      </fill>
    </dxf>
    <dxf>
      <font>
        <name val="맑은 고딕"/>
        <b val="1"/>
        <color rgb="00FF0000"/>
      </font>
    </dxf>
    <dxf>
      <font>
        <name val="맑은 고딕"/>
        <b val="1"/>
        <color rgb="009C0006"/>
      </font>
      <fill>
        <patternFill patternType="solid">
          <bgColor rgb="00FFC7CE"/>
        </patternFill>
      </fill>
    </dxf>
    <dxf>
      <font>
        <name val="맑은 고딕"/>
        <color rgb="007F7F7F"/>
      </font>
      <fill>
        <patternFill patternType="solid">
          <bgColor rgb="00D9D9D9"/>
        </patternFill>
      </fill>
    </dxf>
    <dxf>
      <fill>
        <patternFill patternType="solid">
          <bgColor rgb="00F8CBAD"/>
        </patternFill>
      </fill>
    </dxf>
    <dxf>
      <fill>
        <patternFill patternType="solid">
          <bgColor rgb="00C6E0B4"/>
        </patternFill>
      </fill>
    </dxf>
    <dxf>
      <fill>
        <patternFill patternType="solid">
          <bgColor rgb="00BDD7EE"/>
        </patternFill>
      </fill>
    </dxf>
    <dxf>
      <fill>
        <patternFill patternType="solid">
          <bgColor rgb="00FFFF00"/>
        </patternFill>
      </fill>
    </dxf>
    <dxf>
      <fill>
        <patternFill patternType="solid">
          <bgColor rgb="00FFF2CC"/>
        </patternFill>
      </fill>
    </dxf>
    <dxf>
      <fill>
        <patternFill patternType="solid">
          <b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전공의" displayName="전공의" ref="A1:AR401" headerRowCount="1">
  <autoFilter ref="A1:AR401"/>
  <tableColumns count="44">
    <tableColumn id="1" name="번호"/>
    <tableColumn id="2" name="사번"/>
    <tableColumn id="3" name="이름"/>
    <tableColumn id="4" name="성별"/>
    <tableColumn id="5" name="생년월일"/>
    <tableColumn id="6" name="수련과목"/>
    <tableColumn id="7" name="연차"/>
    <tableColumn id="8" name="근무지"/>
    <tableColumn id="9" name="수련개시일"/>
    <tableColumn id="10" name="전공의등록번호"/>
    <tableColumn id="11" name="의사면허번호"/>
    <tableColumn id="12" name="재직여부"/>
    <tableColumn id="13" name="입사장소"/>
    <tableColumn id="14" name="현재 근무병원"/>
    <tableColumn id="15" name="현재 진료과"/>
    <tableColumn id="16" name="파견근거"/>
    <tableColumn id="17" name="파견병원"/>
    <tableColumn id="18" name="파견진료과"/>
    <tableColumn id="19" name="파견시작일"/>
    <tableColumn id="20" name="파견종료일"/>
    <tableColumn id="21" name="파견상태"/>
    <tableColumn id="22" name="파견기간(일)"/>
    <tableColumn id="23" name="종료까지(일)"/>
    <tableColumn id="24" name="급여기준월 파견일수"/>
    <tableColumn id="25" name="급여지급병원(기준월)"/>
    <tableColumn id="26" name="점검"/>
    <tableColumn id="27" name="비고"/>
    <tableColumn id="28" name="기본자료행"/>
    <tableColumn id="29" name="인턴계획행"/>
    <tableColumn id="30" name="인턴 이번달"/>
    <tableColumn id="31" name="소속병원"/>
    <tableColumn id="32" name="파견기록행"/>
    <tableColumn id="33" name="기준월 근무병원"/>
    <tableColumn id="34" name="서울 근무일(기준월)"/>
    <tableColumn id="35" name="구리 근무일(기준월)"/>
    <tableColumn id="36" name="기준월 대표파견행"/>
    <tableColumn id="37" name="다기관 기록행"/>
    <tableColumn id="38" name="다기관(비고 기재 기간)"/>
    <tableColumn id="39" name="서울급여 순번"/>
    <tableColumn id="40" name="판정불가 순번"/>
    <tableColumn id="41" name="급여 판정 근거"/>
    <tableColumn id="42" name="이름|과"/>
    <tableColumn id="43" name="구리명단행"/>
    <tableColumn id="44" name="구리 근무자명단 근무일(기준월)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showGridLines="0" workbookViewId="0">
      <selection activeCell="A1" sqref="A1"/>
    </sheetView>
  </sheetViews>
  <sheetFormatPr baseColWidth="8" defaultRowHeight="15"/>
  <cols>
    <col width="175" customWidth="1" min="1" max="1"/>
  </cols>
  <sheetData>
    <row r="1">
      <c r="A1" s="1" t="inlineStr">
        <is>
          <t>전공의·인턴 파견 모니터링 사용 안내</t>
        </is>
      </c>
    </row>
    <row r="2">
      <c r="A2" s="2" t="inlineStr"/>
    </row>
    <row r="3">
      <c r="A3" s="3" t="inlineStr">
        <is>
          <t>[시트 구분] — 탭 색: 파랑=입력, 초록=출력(자동, 입력 금지), 회색=설정</t>
        </is>
      </c>
    </row>
    <row r="4">
      <c r="A4" s="2" t="inlineStr">
        <is>
          <t>• 입력_기본자료 / 입력_인턴근무계획 / 입력_파견수련계획: 각 업로드 양식을 그대로 붙여넣는 시트 (오른쪽 초록 머리글 열은 자동 계산)</t>
        </is>
      </c>
    </row>
    <row r="5">
      <c r="A5" s="2" t="inlineStr">
        <is>
          <t>• 입력_구리근무자명단: 구리병원이 보내는 '전공의(모.자 파견) 근무자 명단'을 양식 그대로(A1부터) 붙여넣는 시트</t>
        </is>
      </c>
    </row>
    <row r="6">
      <c r="A6" s="2" t="inlineStr">
        <is>
          <t>• 입력_전공의명단: 사번·입사장소·비고만 입력 (파란 글씨 칸). 나머지 열은 자동</t>
        </is>
      </c>
    </row>
    <row r="7">
      <c r="A7" s="2" t="inlineStr">
        <is>
          <t>• 출력_서울급여: 급여 기준월(기본=이번 달)에 서울병원이 급여를 지급할 사람 목록과 판정 근거, 판정 불가(⚠) 목록</t>
        </is>
      </c>
    </row>
    <row r="8">
      <c r="A8" s="2" t="inlineStr">
        <is>
          <t>• 출력_구리근무자: 구리 근무자명단을 급여 기준월로 해석한 결과(이름·과·근무일·구리독자)와 전공의명단 연결 상태</t>
        </is>
      </c>
    </row>
    <row r="9">
      <c r="A9" s="2" t="inlineStr">
        <is>
          <t>• 출력_요약 / 출력_인턴현황: 집계·현황 (자동)</t>
        </is>
      </c>
    </row>
    <row r="10">
      <c r="A10" s="2" t="inlineStr">
        <is>
          <t>• 설정_코드표: 병원·진료과·파견근거·약칭 목록, 설정값(급여 기준월·15일 기준·종료 임박 기준)</t>
        </is>
      </c>
    </row>
    <row r="11">
      <c r="A11" s="2" t="inlineStr"/>
    </row>
    <row r="12">
      <c r="A12" s="3" t="inlineStr">
        <is>
          <t>[전체 흐름]</t>
        </is>
      </c>
    </row>
    <row r="13">
      <c r="A13" s="2" t="inlineStr">
        <is>
          <t>1) 기본자료  2) 인턴근무계획  3) 파견수련계획 — 세 시트에 각 양식 그대로 붙여넣기  4) 전공의명단에 사번·입사장소만 입력  5) 출력 시트(서울급여·요약·인턴현황)에서 확인</t>
        </is>
      </c>
    </row>
    <row r="14">
      <c r="A14" s="2" t="inlineStr"/>
    </row>
    <row r="15">
      <c r="A15" s="3" t="inlineStr">
        <is>
          <t>[기본자료 업로드]</t>
        </is>
      </c>
    </row>
    <row r="16">
      <c r="A16" s="2" t="inlineStr">
        <is>
          <t>• 기본자료 시트 A1:L1 머리글 순서(현재근무 여부·사번·이름·수련과목·연차·근무지·수련개시일·전공의등록번호·의사면허번호·성별·생년월일·비고)로 A2부터 붙여넣으세요. 최대 1000명. 열 순서는 유지해야 합니다.</t>
        </is>
      </c>
    </row>
    <row r="17">
      <c r="A17" s="2" t="inlineStr">
        <is>
          <t>• 날짜(수련개시일·생년월일)는 20260301 형식 숫자도 자동으로 날짜로 변환됩니다. 변환이 안 되는 값(예: 19999999)은 빨간 글씨 원문으로 표시되고 요약의 '날짜 형식 오류'에 집계됩니다.</t>
        </is>
      </c>
    </row>
    <row r="18">
      <c r="A18" s="2" t="inlineStr">
        <is>
          <t>• 기본자료 2~9행은 가상 예시입니다. 삭제하고 실제 자료를 붙여넣으세요. 인턴도 올리고 수련과목을 '인턴'으로 적으면 현재 진료과가 수련교육부(인턴)로 표시됩니다.</t>
        </is>
      </c>
    </row>
    <row r="19">
      <c r="A19" s="2" t="inlineStr"/>
    </row>
    <row r="20">
      <c r="A20" s="3" t="inlineStr">
        <is>
          <t>[인턴근무계획 업로드]</t>
        </is>
      </c>
    </row>
    <row r="21">
      <c r="A21" s="2" t="inlineStr">
        <is>
          <t>• 인턴근무계획 시트의 업로드 양식(B1 제목, B2:K2 머리글, 3행부터 자료) 그대로 붙여넣으세요. 최대 400명. 오른쪽 초록 열(M~T)은 자동 정규화 결과이므로 지우지 마세요.</t>
        </is>
      </c>
    </row>
    <row r="22">
      <c r="A22" s="2" t="inlineStr">
        <is>
          <t>• 월 칸은 '지역 진료과'(예: 서울 내과, 서울 산부, 제주 에스중앙 내과)로 읽습니다. 첫 단어=지역(병원 표기표로 정식 병원 변환), 마지막 단어=진료과(약칭표로 정식 명칭 변환). 사이 단어는 무시합니다.</t>
        </is>
      </c>
    </row>
    <row r="23">
      <c r="A23" s="2" t="inlineStr">
        <is>
          <t>• 통합(과 미지정)과 핵방/핵/방(핵의학과+방사선종양학과)은 인턴 전용 구분으로 인정됩니다.</t>
        </is>
      </c>
    </row>
    <row r="24">
      <c r="A24" s="2" t="inlineStr">
        <is>
          <t>• 인턴근무계획에만 있는 내용은 해당 월 1일~말일 근무로 간주합니다(기본값). 비고의 2026.03은 2026년 3월 1일 입사로 해석해 인턴현황 '입사일'에 표시합니다.</t>
        </is>
      </c>
    </row>
    <row r="25">
      <c r="A25" s="2" t="inlineStr"/>
    </row>
    <row r="26">
      <c r="A26" s="3" t="inlineStr">
        <is>
          <t>[파견수련계획 업로드]</t>
        </is>
      </c>
    </row>
    <row r="27">
      <c r="A27" s="2" t="inlineStr">
        <is>
          <t>• 파견수련계획 시트의 양식(1~3행 병합 머리글, 4행부터 자료: 연번·모병원명·수련종별·수련과목·연차·성명·전공의등록번호·파견시작일·파견종료일·파견일수·파견병원·파견과목·파견근거·비고)대로 붙여넣으세요. 최대 800건.</t>
        </is>
      </c>
    </row>
    <row r="28">
      <c r="A28" s="2" t="inlineStr">
        <is>
          <t>• 한 사람이 여러 번 파견되면 행을 여러 개 입력합니다. 전공의명단과는 '전공의등록번호'로 연결됩니다(기본자료의 등록번호와 같아야 함).</t>
        </is>
      </c>
    </row>
    <row r="29">
      <c r="A29" s="2" t="inlineStr">
        <is>
          <t>• 모병원명·파견병원은 코드표의 '병원 표기' 표로 정식 병원(서울병원 등)에 연결됩니다. 표에 없는 기관명(인천·창원·오산 등)은 코드표 J·K열에 추가하세요.</t>
        </is>
      </c>
    </row>
    <row r="30">
      <c r="A30" s="2" t="inlineStr">
        <is>
          <t>• 파견근거는 모자 / 통합수련 / 다기관 입니다. 비고(N열, 또는 O열)에 '다기관'이 들어 있으면 다기관 파견으로 인식합니다. 비고가 '2026.09.01-2026.09.30 다기관 파견'처럼 기간으로 시작하면 그 기간을, 아니면 해당 행의 파견 기간을 다기관 기간으로 봅니다.</t>
        </is>
      </c>
    </row>
    <row r="31">
      <c r="A31" s="2" t="inlineStr">
        <is>
          <t>• 다기관 기간에는 전공의명단 '파견근거'에 다기관으로 표시되고, 오른쪽 끝 '다기관(비고 기재 기간)' 열에 기간이 보입니다. 급여 기준월에 다기관 기간이 걸리면 급여는 소속병원이 지급하는 것으로 계산합니다(가정).</t>
        </is>
      </c>
    </row>
    <row r="32">
      <c r="A32" s="2" t="inlineStr">
        <is>
          <t>• 코드표에 없는 병원·진료과·파견근거를 직접 입력하면 오류 팝업이 뜹니다. 붙여넣기는 엑셀 특성상 팝업이 뜨지 않으므로, 대신 해당 행이 빨갛게 표시되고 오른쪽 '입력 오류' 열과 요약에 집계됩니다.</t>
        </is>
      </c>
    </row>
    <row r="33">
      <c r="A33" s="2" t="inlineStr"/>
    </row>
    <row r="34">
      <c r="A34" s="3" t="inlineStr">
        <is>
          <t>[구리 근무자명단 업로드]</t>
        </is>
      </c>
    </row>
    <row r="35">
      <c r="A35" s="2" t="inlineStr">
        <is>
          <t>• 구리병원 파일의 시트 전체를 복사해 입력_구리근무자명단 A1에 그대로 붙여넣으세요(1~2행 제목, 3행 머리글, 4행부터 자료, 월마다 6칸: 근무예정자·근무자·시작일자·종료일자·휴가·비고). 최대 300행, GZ열까지.</t>
        </is>
      </c>
    </row>
    <row r="36">
      <c r="A36" s="2" t="inlineStr">
        <is>
          <t>• 급여 기준월에 해당하는 월 블록을 3행 머리글('2026년10월 근무예정자' 등)에서 찾아 읽습니다. 그 달 '근무자' 칸이 하나라도 채워져 있으면 근무자, 아니면 근무예정자를 씁니다. 날짜가 비어 있으면 1일~말일 근무로 봅니다.</t>
        </is>
      </c>
    </row>
    <row r="37">
      <c r="A37" s="2" t="inlineStr">
        <is>
          <t>• 사번이 없으므로 이름+진료과(인턴은 이름+인턴)로 전공의명단과 연결합니다. 연결 안 됨·동명이인은 출력_구리근무자와 요약에 빨갛게 표시됩니다.</t>
        </is>
      </c>
    </row>
    <row r="38">
      <c r="A38" s="2" t="inlineStr">
        <is>
          <t>• 명단에 연결된 사람은 구리 근무자명단의 날짜를 구리 근무일로, 그 달의 나머지 날은 모두 서울 근무일로 보고 15일 규칙을 적용합니다(구리 소속이 구리에서 일부만 근무한 경우도 나머지는 서울 근무). 비고 '구리독자'는 입사장소가 비어 있을 때 소속=구리병원으로 씁니다.</t>
        </is>
      </c>
    </row>
    <row r="39">
      <c r="A39" s="2" t="inlineStr">
        <is>
          <t>• 주의: 머리글의 연도 오타(예: 2027년 7월 자리에 '2026년7월')가 있으면 해당 월을 찾지 못하거나 다른 달로 읽을 수 있습니다. 출력_구리근무자 맨 위의 '블록 시작 열'이 비어 있으면 머리글을 확인하세요.</t>
        </is>
      </c>
    </row>
    <row r="40">
      <c r="A40" s="2" t="inlineStr"/>
    </row>
    <row r="41">
      <c r="A41" s="3" t="inlineStr">
        <is>
          <t>[전공의명단]</t>
        </is>
      </c>
    </row>
    <row r="42">
      <c r="A42" s="2" t="inlineStr">
        <is>
          <t>• 입력은 사번, 입사장소, 비고뿐입니다. 인적사항은 기본자료에서, 파견 정보(파견근거·병원·과·기간·상태)는 파견수련계획에서 자동 연결됩니다(파견중 &gt; 파견예정 &gt; 파견종료 순으로 대표 1건 표시).</t>
        </is>
      </c>
    </row>
    <row r="43">
      <c r="A43" s="2" t="inlineStr">
        <is>
          <t>• 입사장소 = 채용된 병원(구리병원에서 채용해 근무하면 구리병원). 비워 두면 파견수련계획의 모병원명, 그것도 없으면 기본자료 근무지를 사용합니다.</t>
        </is>
      </c>
    </row>
    <row r="44">
      <c r="A44" s="2" t="inlineStr">
        <is>
          <t>• 현재 근무병원/진료과: ①파견중이면 파견병원/파견과목 ②인턴이면 이번 달 근무계획 ③그 외는 기본자료의 근무지/수련과목.</t>
        </is>
      </c>
    </row>
    <row r="45">
      <c r="A45" s="2" t="inlineStr"/>
    </row>
    <row r="46">
      <c r="A46" s="3" t="inlineStr">
        <is>
          <t>[급여지급병원(기준월) 규칙 — 전공의명단 Y열]</t>
        </is>
      </c>
    </row>
    <row r="47">
      <c r="A47" s="2" t="inlineStr">
        <is>
          <t>• 서울병원·구리병원 사이: 소속과 무관하게 급여 기준월에 15일 이상 근무한 병원이 그 달 전체를 한꺼번에 지급합니다. (예: 구리 10일·서울 20일이면 구리 10일치까지 서울병원에서 지급)</t>
        </is>
      </c>
    </row>
    <row r="48">
      <c r="A48" s="2" t="inlineStr">
        <is>
          <t>• 근무일 계산: 파견 기간은 파견병원, 나머지 날은 소속병원(인턴은 해당 월 근무계획 병원)에서 근무한 것으로 봅니다. 양쪽 모두 15일 이상이거나 모두 미만이면 판정할 수 없으므로 급여지급병원 칸에 빨간 ⚠ 오류가 표시되고, 점검 열과 요약에 집계됩니다.</t>
        </is>
      </c>
    </row>
    <row r="49">
      <c r="A49" s="2" t="inlineStr">
        <is>
          <t>• 서울·구리 외 병원이 섞인 경우(가정): 통합수련=파견병원이 지급, 모자·다기관=소속병원이 지급. 이 부분은 확정 규칙이 아니므로 실제 규정에 맞는지 확인하세요.</t>
        </is>
      </c>
    </row>
    <row r="50">
      <c r="A50" s="2" t="inlineStr">
        <is>
          <t>• 파견이 없는 달은 그 달 근무병원(소속 또는 인턴 근무계획 병원)이 지급합니다.</t>
        </is>
      </c>
    </row>
    <row r="51">
      <c r="A51" s="2" t="inlineStr">
        <is>
          <t>• 급여 기준월은 설정_코드표 시트 N9(기본값=이번 달 1일)입니다. 다른 달 급여는 그 달 1일 날짜로 바꾸세요. 15일 기준도 같은 곳에서 바꿉니다. 급여지급병원 칸이 노란색이면 소속과 다른 병원에서 지급되는 경우입니다.</t>
        </is>
      </c>
    </row>
    <row r="52">
      <c r="A52" s="2" t="inlineStr"/>
    </row>
    <row r="53">
      <c r="A53" s="3" t="inlineStr">
        <is>
          <t>[점검 열]</t>
        </is>
      </c>
    </row>
    <row r="54">
      <c r="A54" s="2" t="inlineStr">
        <is>
          <t>• 전공의명단 '점검' 열이 '정상'이 아니면 빨간색으로 표시됩니다 (기본자료에 없는 사번, 중복, 소속 누락, 파견수련계획/인턴계획 입력오류, 인턴 타지역 근무인데 파견 입력 없음 등).</t>
        </is>
      </c>
    </row>
    <row r="55">
      <c r="A55" s="2" t="inlineStr"/>
    </row>
    <row r="56">
      <c r="A56" s="3" t="inlineStr">
        <is>
          <t>[정렬·필터]</t>
        </is>
      </c>
    </row>
    <row r="57">
      <c r="A57" s="2" t="inlineStr">
        <is>
          <t>• 전공의명단·인턴현황 머리글의 ▼ 버튼으로 정렬/필터합니다 (예: 파견상태=파견중, 종료까지(일) 오름차순 → 종료 임박순).</t>
        </is>
      </c>
    </row>
    <row r="58">
      <c r="A58" s="2" t="inlineStr">
        <is>
          <t>• 주황색 행: 파견중이면서 종료까지 설정_코드표 N11의 기준일수(기본 30일) 이내.  회색: 파견종료.</t>
        </is>
      </c>
    </row>
    <row r="59">
      <c r="A59" s="2" t="inlineStr"/>
    </row>
    <row r="60">
      <c r="A60" s="3" t="inlineStr">
        <is>
          <t>[행 늘리기]</t>
        </is>
      </c>
    </row>
    <row r="61">
      <c r="A61" s="2" t="inlineStr">
        <is>
          <t>• 전공의명단은 400행까지 수식이 채워져 있습니다. 더 필요하면 표의 마지막 행 '위'에 행을 삽입하고 바로 위 행을 복사해 붙여넣으세요. 마지막 행 아래에 붙이면 요약 등이 참조하는 범위에 포함되지 않습니다. (인턴근무계획·파견수련계획·인턴현황도 같은 방법)</t>
        </is>
      </c>
    </row>
    <row r="62">
      <c r="A62" s="2" t="inlineStr"/>
    </row>
    <row r="63">
      <c r="A63" s="3" t="inlineStr">
        <is>
          <t>[참고]</t>
        </is>
      </c>
    </row>
    <row r="64">
      <c r="A64" s="2" t="inlineStr">
        <is>
          <t>• 개인정보(생년월일·면허번호 등)가 포함되므로 파일 암호 설정과 접근 권한 관리를 권장합니다.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597"/>
    <outlinePr summaryBelow="1" summaryRight="1"/>
    <pageSetUpPr/>
  </sheetPr>
  <dimension ref="A1:L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4" customWidth="1" min="4" max="4"/>
    <col width="12" customWidth="1" min="5" max="5"/>
    <col width="10" customWidth="1" min="6" max="6"/>
    <col width="13" customWidth="1" min="7" max="7"/>
    <col width="15" customWidth="1" min="8" max="8"/>
    <col width="14" customWidth="1" min="9" max="9"/>
    <col width="7" customWidth="1" min="10" max="10"/>
    <col width="13" customWidth="1" min="11" max="11"/>
    <col width="18" customWidth="1" min="12" max="12"/>
  </cols>
  <sheetData>
    <row r="1">
      <c r="A1" s="4" t="inlineStr">
        <is>
          <t>현재근무 여부</t>
        </is>
      </c>
      <c r="B1" s="4" t="inlineStr">
        <is>
          <t>사번</t>
        </is>
      </c>
      <c r="C1" s="4" t="inlineStr">
        <is>
          <t>이름</t>
        </is>
      </c>
      <c r="D1" s="4" t="inlineStr">
        <is>
          <t>수련과목</t>
        </is>
      </c>
      <c r="E1" s="4" t="inlineStr">
        <is>
          <t>연차</t>
        </is>
      </c>
      <c r="F1" s="4" t="inlineStr">
        <is>
          <t>근무지</t>
        </is>
      </c>
      <c r="G1" s="4" t="inlineStr">
        <is>
          <t>수련개시일</t>
        </is>
      </c>
      <c r="H1" s="4" t="inlineStr">
        <is>
          <t>전공의등록번호</t>
        </is>
      </c>
      <c r="I1" s="4" t="inlineStr">
        <is>
          <t>의사면허번호</t>
        </is>
      </c>
      <c r="J1" s="4" t="inlineStr">
        <is>
          <t>성별</t>
        </is>
      </c>
      <c r="K1" s="4" t="inlineStr">
        <is>
          <t>생년월일</t>
        </is>
      </c>
      <c r="L1" s="4" t="inlineStr">
        <is>
          <t>비고</t>
        </is>
      </c>
    </row>
    <row r="2">
      <c r="A2" s="5" t="inlineStr">
        <is>
          <t>재직</t>
        </is>
      </c>
      <c r="B2" s="6" t="inlineStr">
        <is>
          <t>2261212</t>
        </is>
      </c>
      <c r="C2" s="5" t="inlineStr">
        <is>
          <t>김ㅇㅇ</t>
        </is>
      </c>
      <c r="D2" s="5" t="inlineStr">
        <is>
          <t>가정의학과</t>
        </is>
      </c>
      <c r="E2" s="5" t="inlineStr">
        <is>
          <t>레지던트1</t>
        </is>
      </c>
      <c r="F2" s="5" t="inlineStr">
        <is>
          <t>서울</t>
        </is>
      </c>
      <c r="G2" s="5" t="n">
        <v>20260301</v>
      </c>
      <c r="H2" s="6" t="inlineStr">
        <is>
          <t>11-1111</t>
        </is>
      </c>
      <c r="I2" s="5" t="n">
        <v>111111</v>
      </c>
      <c r="J2" s="5" t="inlineStr">
        <is>
          <t>여</t>
        </is>
      </c>
      <c r="K2" s="5" t="n">
        <v>19999999</v>
      </c>
      <c r="L2" s="5" t="n"/>
    </row>
    <row r="3">
      <c r="A3" s="5" t="inlineStr">
        <is>
          <t>재직</t>
        </is>
      </c>
      <c r="B3" s="6" t="inlineStr">
        <is>
          <t>2261213</t>
        </is>
      </c>
      <c r="C3" s="5" t="inlineStr">
        <is>
          <t>이ㅇㅇ</t>
        </is>
      </c>
      <c r="D3" s="5" t="inlineStr">
        <is>
          <t>내과</t>
        </is>
      </c>
      <c r="E3" s="5" t="inlineStr">
        <is>
          <t>레지던트2</t>
        </is>
      </c>
      <c r="F3" s="5" t="inlineStr">
        <is>
          <t>서울</t>
        </is>
      </c>
      <c r="G3" s="5" t="n">
        <v>20250301</v>
      </c>
      <c r="H3" s="6" t="inlineStr">
        <is>
          <t>11-1112</t>
        </is>
      </c>
      <c r="I3" s="5" t="n">
        <v>111112</v>
      </c>
      <c r="J3" s="5" t="inlineStr">
        <is>
          <t>남</t>
        </is>
      </c>
      <c r="K3" s="5" t="n">
        <v>19950702</v>
      </c>
      <c r="L3" s="5" t="n"/>
    </row>
    <row r="4">
      <c r="A4" s="5" t="inlineStr">
        <is>
          <t>재직</t>
        </is>
      </c>
      <c r="B4" s="6" t="inlineStr">
        <is>
          <t>2261214</t>
        </is>
      </c>
      <c r="C4" s="5" t="inlineStr">
        <is>
          <t>박ㅇㅇ</t>
        </is>
      </c>
      <c r="D4" s="5" t="inlineStr">
        <is>
          <t>내과</t>
        </is>
      </c>
      <c r="E4" s="5" t="inlineStr">
        <is>
          <t>레지던트3</t>
        </is>
      </c>
      <c r="F4" s="5" t="inlineStr">
        <is>
          <t>서울</t>
        </is>
      </c>
      <c r="G4" s="5" t="n">
        <v>20240301</v>
      </c>
      <c r="H4" s="6" t="inlineStr">
        <is>
          <t>21-1111</t>
        </is>
      </c>
      <c r="I4" s="5" t="n">
        <v>111113</v>
      </c>
      <c r="J4" s="5" t="inlineStr">
        <is>
          <t>여</t>
        </is>
      </c>
      <c r="K4" s="5" t="n">
        <v>19970125</v>
      </c>
      <c r="L4" s="5" t="n"/>
    </row>
    <row r="5">
      <c r="A5" s="5" t="inlineStr">
        <is>
          <t>재직</t>
        </is>
      </c>
      <c r="B5" s="6" t="inlineStr">
        <is>
          <t>2261215</t>
        </is>
      </c>
      <c r="C5" s="5" t="inlineStr">
        <is>
          <t>최ㅇㅇ</t>
        </is>
      </c>
      <c r="D5" s="5" t="inlineStr">
        <is>
          <t>산부인과</t>
        </is>
      </c>
      <c r="E5" s="5" t="inlineStr">
        <is>
          <t>레지던트3</t>
        </is>
      </c>
      <c r="F5" s="5" t="inlineStr">
        <is>
          <t>서울</t>
        </is>
      </c>
      <c r="G5" s="5" t="n">
        <v>20240301</v>
      </c>
      <c r="H5" s="6" t="inlineStr">
        <is>
          <t>11-1114</t>
        </is>
      </c>
      <c r="I5" s="5" t="n">
        <v>111114</v>
      </c>
      <c r="J5" s="5" t="inlineStr">
        <is>
          <t>남</t>
        </is>
      </c>
      <c r="K5" s="5" t="n">
        <v>19961109</v>
      </c>
      <c r="L5" s="5" t="n"/>
    </row>
    <row r="6">
      <c r="A6" s="5" t="inlineStr">
        <is>
          <t>재직</t>
        </is>
      </c>
      <c r="B6" s="6" t="inlineStr">
        <is>
          <t>2261216</t>
        </is>
      </c>
      <c r="C6" s="5" t="inlineStr">
        <is>
          <t>정ㅇㅇ</t>
        </is>
      </c>
      <c r="D6" s="5" t="inlineStr">
        <is>
          <t>마취통증의학과</t>
        </is>
      </c>
      <c r="E6" s="5" t="inlineStr">
        <is>
          <t>레지던트2</t>
        </is>
      </c>
      <c r="F6" s="5" t="inlineStr">
        <is>
          <t>구리</t>
        </is>
      </c>
      <c r="G6" s="5" t="n">
        <v>20250301</v>
      </c>
      <c r="H6" s="6" t="inlineStr">
        <is>
          <t>11-1115</t>
        </is>
      </c>
      <c r="I6" s="5" t="n">
        <v>111115</v>
      </c>
      <c r="J6" s="5" t="inlineStr">
        <is>
          <t>여</t>
        </is>
      </c>
      <c r="K6" s="5" t="n">
        <v>19980530</v>
      </c>
      <c r="L6" s="5" t="n"/>
    </row>
    <row r="7">
      <c r="A7" s="5" t="inlineStr">
        <is>
          <t>재직</t>
        </is>
      </c>
      <c r="B7" s="6" t="inlineStr">
        <is>
          <t>222222</t>
        </is>
      </c>
      <c r="C7" s="5" t="inlineStr">
        <is>
          <t>김ㅇㅇ</t>
        </is>
      </c>
      <c r="D7" s="5" t="inlineStr">
        <is>
          <t>인턴</t>
        </is>
      </c>
      <c r="E7" s="5" t="inlineStr">
        <is>
          <t>인턴</t>
        </is>
      </c>
      <c r="F7" s="5" t="inlineStr">
        <is>
          <t>서울</t>
        </is>
      </c>
      <c r="G7" s="5" t="n">
        <v>20260301</v>
      </c>
      <c r="H7" s="6" t="inlineStr">
        <is>
          <t>22-2222</t>
        </is>
      </c>
      <c r="I7" s="5" t="n">
        <v>222222</v>
      </c>
      <c r="J7" s="5" t="inlineStr">
        <is>
          <t>여</t>
        </is>
      </c>
      <c r="K7" s="5" t="n">
        <v>19990101</v>
      </c>
      <c r="L7" s="5" t="n"/>
    </row>
    <row r="8">
      <c r="A8" s="5" t="inlineStr">
        <is>
          <t>재직</t>
        </is>
      </c>
      <c r="B8" s="6" t="inlineStr">
        <is>
          <t>222223</t>
        </is>
      </c>
      <c r="C8" s="5" t="inlineStr">
        <is>
          <t>이ㅇㅇ</t>
        </is>
      </c>
      <c r="D8" s="5" t="inlineStr">
        <is>
          <t>인턴</t>
        </is>
      </c>
      <c r="E8" s="5" t="inlineStr">
        <is>
          <t>인턴</t>
        </is>
      </c>
      <c r="F8" s="5" t="inlineStr">
        <is>
          <t>서울</t>
        </is>
      </c>
      <c r="G8" s="5" t="n">
        <v>20260301</v>
      </c>
      <c r="H8" s="6" t="inlineStr">
        <is>
          <t>22-2223</t>
        </is>
      </c>
      <c r="I8" s="5" t="n">
        <v>222223</v>
      </c>
      <c r="J8" s="5" t="inlineStr">
        <is>
          <t>남</t>
        </is>
      </c>
      <c r="K8" s="5" t="n">
        <v>19990202</v>
      </c>
      <c r="L8" s="5" t="n"/>
    </row>
    <row r="9">
      <c r="A9" s="5" t="inlineStr">
        <is>
          <t>재직</t>
        </is>
      </c>
      <c r="B9" s="6" t="inlineStr">
        <is>
          <t>222224</t>
        </is>
      </c>
      <c r="C9" s="5" t="inlineStr">
        <is>
          <t>박ㅇㅇ</t>
        </is>
      </c>
      <c r="D9" s="5" t="inlineStr">
        <is>
          <t>인턴</t>
        </is>
      </c>
      <c r="E9" s="5" t="inlineStr">
        <is>
          <t>인턴</t>
        </is>
      </c>
      <c r="F9" s="5" t="inlineStr">
        <is>
          <t>구리</t>
        </is>
      </c>
      <c r="G9" s="5" t="n">
        <v>20260301</v>
      </c>
      <c r="H9" s="6" t="inlineStr">
        <is>
          <t>22-2224</t>
        </is>
      </c>
      <c r="I9" s="5" t="n">
        <v>222224</v>
      </c>
      <c r="J9" s="5" t="inlineStr">
        <is>
          <t>남</t>
        </is>
      </c>
      <c r="K9" s="5" t="n">
        <v>19990303</v>
      </c>
      <c r="L9" s="5" t="n"/>
    </row>
    <row r="10">
      <c r="A10" s="5" t="n"/>
      <c r="B10" s="6" t="n"/>
      <c r="C10" s="5" t="n"/>
      <c r="D10" s="5" t="n"/>
      <c r="E10" s="5" t="n"/>
      <c r="F10" s="5" t="n"/>
      <c r="G10" s="5" t="n"/>
      <c r="H10" s="6" t="n"/>
      <c r="I10" s="5" t="n"/>
      <c r="J10" s="5" t="n"/>
      <c r="K10" s="5" t="n"/>
      <c r="L10" s="5" t="n"/>
    </row>
    <row r="11">
      <c r="A11" s="5" t="n"/>
      <c r="B11" s="6" t="n"/>
      <c r="C11" s="5" t="n"/>
      <c r="D11" s="5" t="n"/>
      <c r="E11" s="5" t="n"/>
      <c r="F11" s="5" t="n"/>
      <c r="G11" s="5" t="n"/>
      <c r="H11" s="6" t="n"/>
      <c r="I11" s="5" t="n"/>
      <c r="J11" s="5" t="n"/>
      <c r="K11" s="5" t="n"/>
      <c r="L11" s="5" t="n"/>
    </row>
    <row r="12">
      <c r="A12" s="5" t="n"/>
      <c r="B12" s="6" t="n"/>
      <c r="C12" s="5" t="n"/>
      <c r="D12" s="5" t="n"/>
      <c r="E12" s="5" t="n"/>
      <c r="F12" s="5" t="n"/>
      <c r="G12" s="5" t="n"/>
      <c r="H12" s="6" t="n"/>
      <c r="I12" s="5" t="n"/>
      <c r="J12" s="5" t="n"/>
      <c r="K12" s="5" t="n"/>
      <c r="L12" s="5" t="n"/>
    </row>
    <row r="13">
      <c r="A13" s="5" t="n"/>
      <c r="B13" s="6" t="n"/>
      <c r="C13" s="5" t="n"/>
      <c r="D13" s="5" t="n"/>
      <c r="E13" s="5" t="n"/>
      <c r="F13" s="5" t="n"/>
      <c r="G13" s="5" t="n"/>
      <c r="H13" s="6" t="n"/>
      <c r="I13" s="5" t="n"/>
      <c r="J13" s="5" t="n"/>
      <c r="K13" s="5" t="n"/>
      <c r="L13" s="5" t="n"/>
    </row>
    <row r="14">
      <c r="A14" s="5" t="n"/>
      <c r="B14" s="6" t="n"/>
      <c r="C14" s="5" t="n"/>
      <c r="D14" s="5" t="n"/>
      <c r="E14" s="5" t="n"/>
      <c r="F14" s="5" t="n"/>
      <c r="G14" s="5" t="n"/>
      <c r="H14" s="6" t="n"/>
      <c r="I14" s="5" t="n"/>
      <c r="J14" s="5" t="n"/>
      <c r="K14" s="5" t="n"/>
      <c r="L14" s="5" t="n"/>
    </row>
    <row r="15">
      <c r="A15" s="5" t="n"/>
      <c r="B15" s="6" t="n"/>
      <c r="C15" s="5" t="n"/>
      <c r="D15" s="5" t="n"/>
      <c r="E15" s="5" t="n"/>
      <c r="F15" s="5" t="n"/>
      <c r="G15" s="5" t="n"/>
      <c r="H15" s="6" t="n"/>
      <c r="I15" s="5" t="n"/>
      <c r="J15" s="5" t="n"/>
      <c r="K15" s="5" t="n"/>
      <c r="L15" s="5" t="n"/>
    </row>
    <row r="16">
      <c r="A16" s="5" t="n"/>
      <c r="B16" s="6" t="n"/>
      <c r="C16" s="5" t="n"/>
      <c r="D16" s="5" t="n"/>
      <c r="E16" s="5" t="n"/>
      <c r="F16" s="5" t="n"/>
      <c r="G16" s="5" t="n"/>
      <c r="H16" s="6" t="n"/>
      <c r="I16" s="5" t="n"/>
      <c r="J16" s="5" t="n"/>
      <c r="K16" s="5" t="n"/>
      <c r="L16" s="5" t="n"/>
    </row>
    <row r="17">
      <c r="A17" s="5" t="n"/>
      <c r="B17" s="6" t="n"/>
      <c r="C17" s="5" t="n"/>
      <c r="D17" s="5" t="n"/>
      <c r="E17" s="5" t="n"/>
      <c r="F17" s="5" t="n"/>
      <c r="G17" s="5" t="n"/>
      <c r="H17" s="6" t="n"/>
      <c r="I17" s="5" t="n"/>
      <c r="J17" s="5" t="n"/>
      <c r="K17" s="5" t="n"/>
      <c r="L17" s="5" t="n"/>
    </row>
    <row r="18">
      <c r="A18" s="5" t="n"/>
      <c r="B18" s="6" t="n"/>
      <c r="C18" s="5" t="n"/>
      <c r="D18" s="5" t="n"/>
      <c r="E18" s="5" t="n"/>
      <c r="F18" s="5" t="n"/>
      <c r="G18" s="5" t="n"/>
      <c r="H18" s="6" t="n"/>
      <c r="I18" s="5" t="n"/>
      <c r="J18" s="5" t="n"/>
      <c r="K18" s="5" t="n"/>
      <c r="L18" s="5" t="n"/>
    </row>
    <row r="19">
      <c r="A19" s="5" t="n"/>
      <c r="B19" s="6" t="n"/>
      <c r="C19" s="5" t="n"/>
      <c r="D19" s="5" t="n"/>
      <c r="E19" s="5" t="n"/>
      <c r="F19" s="5" t="n"/>
      <c r="G19" s="5" t="n"/>
      <c r="H19" s="6" t="n"/>
      <c r="I19" s="5" t="n"/>
      <c r="J19" s="5" t="n"/>
      <c r="K19" s="5" t="n"/>
      <c r="L19" s="5" t="n"/>
    </row>
    <row r="20">
      <c r="A20" s="5" t="n"/>
      <c r="B20" s="6" t="n"/>
      <c r="C20" s="5" t="n"/>
      <c r="D20" s="5" t="n"/>
      <c r="E20" s="5" t="n"/>
      <c r="F20" s="5" t="n"/>
      <c r="G20" s="5" t="n"/>
      <c r="H20" s="6" t="n"/>
      <c r="I20" s="5" t="n"/>
      <c r="J20" s="5" t="n"/>
      <c r="K20" s="5" t="n"/>
      <c r="L20" s="5" t="n"/>
    </row>
    <row r="21">
      <c r="A21" s="5" t="n"/>
      <c r="B21" s="6" t="n"/>
      <c r="C21" s="5" t="n"/>
      <c r="D21" s="5" t="n"/>
      <c r="E21" s="5" t="n"/>
      <c r="F21" s="5" t="n"/>
      <c r="G21" s="5" t="n"/>
      <c r="H21" s="6" t="n"/>
      <c r="I21" s="5" t="n"/>
      <c r="J21" s="5" t="n"/>
      <c r="K21" s="5" t="n"/>
      <c r="L21" s="5" t="n"/>
    </row>
    <row r="22">
      <c r="A22" s="5" t="n"/>
      <c r="B22" s="6" t="n"/>
      <c r="C22" s="5" t="n"/>
      <c r="D22" s="5" t="n"/>
      <c r="E22" s="5" t="n"/>
      <c r="F22" s="5" t="n"/>
      <c r="G22" s="5" t="n"/>
      <c r="H22" s="6" t="n"/>
      <c r="I22" s="5" t="n"/>
      <c r="J22" s="5" t="n"/>
      <c r="K22" s="5" t="n"/>
      <c r="L22" s="5" t="n"/>
    </row>
    <row r="23">
      <c r="A23" s="5" t="n"/>
      <c r="B23" s="6" t="n"/>
      <c r="C23" s="5" t="n"/>
      <c r="D23" s="5" t="n"/>
      <c r="E23" s="5" t="n"/>
      <c r="F23" s="5" t="n"/>
      <c r="G23" s="5" t="n"/>
      <c r="H23" s="6" t="n"/>
      <c r="I23" s="5" t="n"/>
      <c r="J23" s="5" t="n"/>
      <c r="K23" s="5" t="n"/>
      <c r="L23" s="5" t="n"/>
    </row>
    <row r="24">
      <c r="A24" s="5" t="n"/>
      <c r="B24" s="6" t="n"/>
      <c r="C24" s="5" t="n"/>
      <c r="D24" s="5" t="n"/>
      <c r="E24" s="5" t="n"/>
      <c r="F24" s="5" t="n"/>
      <c r="G24" s="5" t="n"/>
      <c r="H24" s="6" t="n"/>
      <c r="I24" s="5" t="n"/>
      <c r="J24" s="5" t="n"/>
      <c r="K24" s="5" t="n"/>
      <c r="L24" s="5" t="n"/>
    </row>
    <row r="25">
      <c r="A25" s="5" t="n"/>
      <c r="B25" s="6" t="n"/>
      <c r="C25" s="5" t="n"/>
      <c r="D25" s="5" t="n"/>
      <c r="E25" s="5" t="n"/>
      <c r="F25" s="5" t="n"/>
      <c r="G25" s="5" t="n"/>
      <c r="H25" s="6" t="n"/>
      <c r="I25" s="5" t="n"/>
      <c r="J25" s="5" t="n"/>
      <c r="K25" s="5" t="n"/>
      <c r="L25" s="5" t="n"/>
    </row>
    <row r="26">
      <c r="A26" s="5" t="n"/>
      <c r="B26" s="6" t="n"/>
      <c r="C26" s="5" t="n"/>
      <c r="D26" s="5" t="n"/>
      <c r="E26" s="5" t="n"/>
      <c r="F26" s="5" t="n"/>
      <c r="G26" s="5" t="n"/>
      <c r="H26" s="6" t="n"/>
      <c r="I26" s="5" t="n"/>
      <c r="J26" s="5" t="n"/>
      <c r="K26" s="5" t="n"/>
      <c r="L26" s="5" t="n"/>
    </row>
    <row r="27">
      <c r="A27" s="5" t="n"/>
      <c r="B27" s="6" t="n"/>
      <c r="C27" s="5" t="n"/>
      <c r="D27" s="5" t="n"/>
      <c r="E27" s="5" t="n"/>
      <c r="F27" s="5" t="n"/>
      <c r="G27" s="5" t="n"/>
      <c r="H27" s="6" t="n"/>
      <c r="I27" s="5" t="n"/>
      <c r="J27" s="5" t="n"/>
      <c r="K27" s="5" t="n"/>
      <c r="L27" s="5" t="n"/>
    </row>
    <row r="28">
      <c r="A28" s="5" t="n"/>
      <c r="B28" s="6" t="n"/>
      <c r="C28" s="5" t="n"/>
      <c r="D28" s="5" t="n"/>
      <c r="E28" s="5" t="n"/>
      <c r="F28" s="5" t="n"/>
      <c r="G28" s="5" t="n"/>
      <c r="H28" s="6" t="n"/>
      <c r="I28" s="5" t="n"/>
      <c r="J28" s="5" t="n"/>
      <c r="K28" s="5" t="n"/>
      <c r="L28" s="5" t="n"/>
    </row>
    <row r="29">
      <c r="A29" s="5" t="n"/>
      <c r="B29" s="6" t="n"/>
      <c r="C29" s="5" t="n"/>
      <c r="D29" s="5" t="n"/>
      <c r="E29" s="5" t="n"/>
      <c r="F29" s="5" t="n"/>
      <c r="G29" s="5" t="n"/>
      <c r="H29" s="6" t="n"/>
      <c r="I29" s="5" t="n"/>
      <c r="J29" s="5" t="n"/>
      <c r="K29" s="5" t="n"/>
      <c r="L29" s="5" t="n"/>
    </row>
    <row r="30">
      <c r="A30" s="5" t="n"/>
      <c r="B30" s="6" t="n"/>
      <c r="C30" s="5" t="n"/>
      <c r="D30" s="5" t="n"/>
      <c r="E30" s="5" t="n"/>
      <c r="F30" s="5" t="n"/>
      <c r="G30" s="5" t="n"/>
      <c r="H30" s="6" t="n"/>
      <c r="I30" s="5" t="n"/>
      <c r="J30" s="5" t="n"/>
      <c r="K30" s="5" t="n"/>
      <c r="L30" s="5" t="n"/>
    </row>
    <row r="31">
      <c r="A31" s="5" t="n"/>
      <c r="B31" s="6" t="n"/>
      <c r="C31" s="5" t="n"/>
      <c r="D31" s="5" t="n"/>
      <c r="E31" s="5" t="n"/>
      <c r="F31" s="5" t="n"/>
      <c r="G31" s="5" t="n"/>
      <c r="H31" s="6" t="n"/>
      <c r="I31" s="5" t="n"/>
      <c r="J31" s="5" t="n"/>
      <c r="K31" s="5" t="n"/>
      <c r="L31" s="5" t="n"/>
    </row>
    <row r="32">
      <c r="A32" s="5" t="n"/>
      <c r="B32" s="6" t="n"/>
      <c r="C32" s="5" t="n"/>
      <c r="D32" s="5" t="n"/>
      <c r="E32" s="5" t="n"/>
      <c r="F32" s="5" t="n"/>
      <c r="G32" s="5" t="n"/>
      <c r="H32" s="6" t="n"/>
      <c r="I32" s="5" t="n"/>
      <c r="J32" s="5" t="n"/>
      <c r="K32" s="5" t="n"/>
      <c r="L32" s="5" t="n"/>
    </row>
    <row r="33">
      <c r="A33" s="5" t="n"/>
      <c r="B33" s="6" t="n"/>
      <c r="C33" s="5" t="n"/>
      <c r="D33" s="5" t="n"/>
      <c r="E33" s="5" t="n"/>
      <c r="F33" s="5" t="n"/>
      <c r="G33" s="5" t="n"/>
      <c r="H33" s="6" t="n"/>
      <c r="I33" s="5" t="n"/>
      <c r="J33" s="5" t="n"/>
      <c r="K33" s="5" t="n"/>
      <c r="L33" s="5" t="n"/>
    </row>
    <row r="34">
      <c r="A34" s="5" t="n"/>
      <c r="B34" s="6" t="n"/>
      <c r="C34" s="5" t="n"/>
      <c r="D34" s="5" t="n"/>
      <c r="E34" s="5" t="n"/>
      <c r="F34" s="5" t="n"/>
      <c r="G34" s="5" t="n"/>
      <c r="H34" s="6" t="n"/>
      <c r="I34" s="5" t="n"/>
      <c r="J34" s="5" t="n"/>
      <c r="K34" s="5" t="n"/>
      <c r="L34" s="5" t="n"/>
    </row>
    <row r="35">
      <c r="A35" s="5" t="n"/>
      <c r="B35" s="6" t="n"/>
      <c r="C35" s="5" t="n"/>
      <c r="D35" s="5" t="n"/>
      <c r="E35" s="5" t="n"/>
      <c r="F35" s="5" t="n"/>
      <c r="G35" s="5" t="n"/>
      <c r="H35" s="6" t="n"/>
      <c r="I35" s="5" t="n"/>
      <c r="J35" s="5" t="n"/>
      <c r="K35" s="5" t="n"/>
      <c r="L35" s="5" t="n"/>
    </row>
    <row r="36">
      <c r="A36" s="5" t="n"/>
      <c r="B36" s="6" t="n"/>
      <c r="C36" s="5" t="n"/>
      <c r="D36" s="5" t="n"/>
      <c r="E36" s="5" t="n"/>
      <c r="F36" s="5" t="n"/>
      <c r="G36" s="5" t="n"/>
      <c r="H36" s="6" t="n"/>
      <c r="I36" s="5" t="n"/>
      <c r="J36" s="5" t="n"/>
      <c r="K36" s="5" t="n"/>
      <c r="L36" s="5" t="n"/>
    </row>
    <row r="37">
      <c r="A37" s="5" t="n"/>
      <c r="B37" s="6" t="n"/>
      <c r="C37" s="5" t="n"/>
      <c r="D37" s="5" t="n"/>
      <c r="E37" s="5" t="n"/>
      <c r="F37" s="5" t="n"/>
      <c r="G37" s="5" t="n"/>
      <c r="H37" s="6" t="n"/>
      <c r="I37" s="5" t="n"/>
      <c r="J37" s="5" t="n"/>
      <c r="K37" s="5" t="n"/>
      <c r="L37" s="5" t="n"/>
    </row>
    <row r="38">
      <c r="A38" s="5" t="n"/>
      <c r="B38" s="6" t="n"/>
      <c r="C38" s="5" t="n"/>
      <c r="D38" s="5" t="n"/>
      <c r="E38" s="5" t="n"/>
      <c r="F38" s="5" t="n"/>
      <c r="G38" s="5" t="n"/>
      <c r="H38" s="6" t="n"/>
      <c r="I38" s="5" t="n"/>
      <c r="J38" s="5" t="n"/>
      <c r="K38" s="5" t="n"/>
      <c r="L38" s="5" t="n"/>
    </row>
    <row r="39">
      <c r="A39" s="5" t="n"/>
      <c r="B39" s="6" t="n"/>
      <c r="C39" s="5" t="n"/>
      <c r="D39" s="5" t="n"/>
      <c r="E39" s="5" t="n"/>
      <c r="F39" s="5" t="n"/>
      <c r="G39" s="5" t="n"/>
      <c r="H39" s="6" t="n"/>
      <c r="I39" s="5" t="n"/>
      <c r="J39" s="5" t="n"/>
      <c r="K39" s="5" t="n"/>
      <c r="L39" s="5" t="n"/>
    </row>
    <row r="40">
      <c r="A40" s="5" t="n"/>
      <c r="B40" s="6" t="n"/>
      <c r="C40" s="5" t="n"/>
      <c r="D40" s="5" t="n"/>
      <c r="E40" s="5" t="n"/>
      <c r="F40" s="5" t="n"/>
      <c r="G40" s="5" t="n"/>
      <c r="H40" s="6" t="n"/>
      <c r="I40" s="5" t="n"/>
      <c r="J40" s="5" t="n"/>
      <c r="K40" s="5" t="n"/>
      <c r="L40" s="5" t="n"/>
    </row>
    <row r="41">
      <c r="A41" s="5" t="n"/>
      <c r="B41" s="6" t="n"/>
      <c r="C41" s="5" t="n"/>
      <c r="D41" s="5" t="n"/>
      <c r="E41" s="5" t="n"/>
      <c r="F41" s="5" t="n"/>
      <c r="G41" s="5" t="n"/>
      <c r="H41" s="6" t="n"/>
      <c r="I41" s="5" t="n"/>
      <c r="J41" s="5" t="n"/>
      <c r="K41" s="5" t="n"/>
      <c r="L41" s="5" t="n"/>
    </row>
    <row r="42">
      <c r="A42" s="5" t="n"/>
      <c r="B42" s="6" t="n"/>
      <c r="C42" s="5" t="n"/>
      <c r="D42" s="5" t="n"/>
      <c r="E42" s="5" t="n"/>
      <c r="F42" s="5" t="n"/>
      <c r="G42" s="5" t="n"/>
      <c r="H42" s="6" t="n"/>
      <c r="I42" s="5" t="n"/>
      <c r="J42" s="5" t="n"/>
      <c r="K42" s="5" t="n"/>
      <c r="L42" s="5" t="n"/>
    </row>
    <row r="43">
      <c r="A43" s="5" t="n"/>
      <c r="B43" s="6" t="n"/>
      <c r="C43" s="5" t="n"/>
      <c r="D43" s="5" t="n"/>
      <c r="E43" s="5" t="n"/>
      <c r="F43" s="5" t="n"/>
      <c r="G43" s="5" t="n"/>
      <c r="H43" s="6" t="n"/>
      <c r="I43" s="5" t="n"/>
      <c r="J43" s="5" t="n"/>
      <c r="K43" s="5" t="n"/>
      <c r="L43" s="5" t="n"/>
    </row>
    <row r="44">
      <c r="A44" s="5" t="n"/>
      <c r="B44" s="6" t="n"/>
      <c r="C44" s="5" t="n"/>
      <c r="D44" s="5" t="n"/>
      <c r="E44" s="5" t="n"/>
      <c r="F44" s="5" t="n"/>
      <c r="G44" s="5" t="n"/>
      <c r="H44" s="6" t="n"/>
      <c r="I44" s="5" t="n"/>
      <c r="J44" s="5" t="n"/>
      <c r="K44" s="5" t="n"/>
      <c r="L44" s="5" t="n"/>
    </row>
    <row r="45">
      <c r="A45" s="5" t="n"/>
      <c r="B45" s="6" t="n"/>
      <c r="C45" s="5" t="n"/>
      <c r="D45" s="5" t="n"/>
      <c r="E45" s="5" t="n"/>
      <c r="F45" s="5" t="n"/>
      <c r="G45" s="5" t="n"/>
      <c r="H45" s="6" t="n"/>
      <c r="I45" s="5" t="n"/>
      <c r="J45" s="5" t="n"/>
      <c r="K45" s="5" t="n"/>
      <c r="L45" s="5" t="n"/>
    </row>
    <row r="46">
      <c r="A46" s="5" t="n"/>
      <c r="B46" s="6" t="n"/>
      <c r="C46" s="5" t="n"/>
      <c r="D46" s="5" t="n"/>
      <c r="E46" s="5" t="n"/>
      <c r="F46" s="5" t="n"/>
      <c r="G46" s="5" t="n"/>
      <c r="H46" s="6" t="n"/>
      <c r="I46" s="5" t="n"/>
      <c r="J46" s="5" t="n"/>
      <c r="K46" s="5" t="n"/>
      <c r="L46" s="5" t="n"/>
    </row>
    <row r="47">
      <c r="A47" s="5" t="n"/>
      <c r="B47" s="6" t="n"/>
      <c r="C47" s="5" t="n"/>
      <c r="D47" s="5" t="n"/>
      <c r="E47" s="5" t="n"/>
      <c r="F47" s="5" t="n"/>
      <c r="G47" s="5" t="n"/>
      <c r="H47" s="6" t="n"/>
      <c r="I47" s="5" t="n"/>
      <c r="J47" s="5" t="n"/>
      <c r="K47" s="5" t="n"/>
      <c r="L47" s="5" t="n"/>
    </row>
    <row r="48">
      <c r="A48" s="5" t="n"/>
      <c r="B48" s="6" t="n"/>
      <c r="C48" s="5" t="n"/>
      <c r="D48" s="5" t="n"/>
      <c r="E48" s="5" t="n"/>
      <c r="F48" s="5" t="n"/>
      <c r="G48" s="5" t="n"/>
      <c r="H48" s="6" t="n"/>
      <c r="I48" s="5" t="n"/>
      <c r="J48" s="5" t="n"/>
      <c r="K48" s="5" t="n"/>
      <c r="L48" s="5" t="n"/>
    </row>
    <row r="49">
      <c r="A49" s="5" t="n"/>
      <c r="B49" s="6" t="n"/>
      <c r="C49" s="5" t="n"/>
      <c r="D49" s="5" t="n"/>
      <c r="E49" s="5" t="n"/>
      <c r="F49" s="5" t="n"/>
      <c r="G49" s="5" t="n"/>
      <c r="H49" s="6" t="n"/>
      <c r="I49" s="5" t="n"/>
      <c r="J49" s="5" t="n"/>
      <c r="K49" s="5" t="n"/>
      <c r="L49" s="5" t="n"/>
    </row>
    <row r="50">
      <c r="A50" s="5" t="n"/>
      <c r="B50" s="6" t="n"/>
      <c r="C50" s="5" t="n"/>
      <c r="D50" s="5" t="n"/>
      <c r="E50" s="5" t="n"/>
      <c r="F50" s="5" t="n"/>
      <c r="G50" s="5" t="n"/>
      <c r="H50" s="6" t="n"/>
      <c r="I50" s="5" t="n"/>
      <c r="J50" s="5" t="n"/>
      <c r="K50" s="5" t="n"/>
      <c r="L50" s="5" t="n"/>
    </row>
    <row r="51">
      <c r="A51" s="5" t="n"/>
      <c r="B51" s="6" t="n"/>
      <c r="C51" s="5" t="n"/>
      <c r="D51" s="5" t="n"/>
      <c r="E51" s="5" t="n"/>
      <c r="F51" s="5" t="n"/>
      <c r="G51" s="5" t="n"/>
      <c r="H51" s="6" t="n"/>
      <c r="I51" s="5" t="n"/>
      <c r="J51" s="5" t="n"/>
      <c r="K51" s="5" t="n"/>
      <c r="L51" s="5" t="n"/>
    </row>
    <row r="52">
      <c r="A52" s="5" t="n"/>
      <c r="B52" s="6" t="n"/>
      <c r="C52" s="5" t="n"/>
      <c r="D52" s="5" t="n"/>
      <c r="E52" s="5" t="n"/>
      <c r="F52" s="5" t="n"/>
      <c r="G52" s="5" t="n"/>
      <c r="H52" s="6" t="n"/>
      <c r="I52" s="5" t="n"/>
      <c r="J52" s="5" t="n"/>
      <c r="K52" s="5" t="n"/>
      <c r="L52" s="5" t="n"/>
    </row>
    <row r="53">
      <c r="A53" s="5" t="n"/>
      <c r="B53" s="6" t="n"/>
      <c r="C53" s="5" t="n"/>
      <c r="D53" s="5" t="n"/>
      <c r="E53" s="5" t="n"/>
      <c r="F53" s="5" t="n"/>
      <c r="G53" s="5" t="n"/>
      <c r="H53" s="6" t="n"/>
      <c r="I53" s="5" t="n"/>
      <c r="J53" s="5" t="n"/>
      <c r="K53" s="5" t="n"/>
      <c r="L53" s="5" t="n"/>
    </row>
    <row r="54">
      <c r="A54" s="5" t="n"/>
      <c r="B54" s="6" t="n"/>
      <c r="C54" s="5" t="n"/>
      <c r="D54" s="5" t="n"/>
      <c r="E54" s="5" t="n"/>
      <c r="F54" s="5" t="n"/>
      <c r="G54" s="5" t="n"/>
      <c r="H54" s="6" t="n"/>
      <c r="I54" s="5" t="n"/>
      <c r="J54" s="5" t="n"/>
      <c r="K54" s="5" t="n"/>
      <c r="L54" s="5" t="n"/>
    </row>
    <row r="55">
      <c r="A55" s="5" t="n"/>
      <c r="B55" s="6" t="n"/>
      <c r="C55" s="5" t="n"/>
      <c r="D55" s="5" t="n"/>
      <c r="E55" s="5" t="n"/>
      <c r="F55" s="5" t="n"/>
      <c r="G55" s="5" t="n"/>
      <c r="H55" s="6" t="n"/>
      <c r="I55" s="5" t="n"/>
      <c r="J55" s="5" t="n"/>
      <c r="K55" s="5" t="n"/>
      <c r="L55" s="5" t="n"/>
    </row>
    <row r="56">
      <c r="A56" s="5" t="n"/>
      <c r="B56" s="6" t="n"/>
      <c r="C56" s="5" t="n"/>
      <c r="D56" s="5" t="n"/>
      <c r="E56" s="5" t="n"/>
      <c r="F56" s="5" t="n"/>
      <c r="G56" s="5" t="n"/>
      <c r="H56" s="6" t="n"/>
      <c r="I56" s="5" t="n"/>
      <c r="J56" s="5" t="n"/>
      <c r="K56" s="5" t="n"/>
      <c r="L56" s="5" t="n"/>
    </row>
    <row r="57">
      <c r="A57" s="5" t="n"/>
      <c r="B57" s="6" t="n"/>
      <c r="C57" s="5" t="n"/>
      <c r="D57" s="5" t="n"/>
      <c r="E57" s="5" t="n"/>
      <c r="F57" s="5" t="n"/>
      <c r="G57" s="5" t="n"/>
      <c r="H57" s="6" t="n"/>
      <c r="I57" s="5" t="n"/>
      <c r="J57" s="5" t="n"/>
      <c r="K57" s="5" t="n"/>
      <c r="L57" s="5" t="n"/>
    </row>
    <row r="58">
      <c r="A58" s="5" t="n"/>
      <c r="B58" s="6" t="n"/>
      <c r="C58" s="5" t="n"/>
      <c r="D58" s="5" t="n"/>
      <c r="E58" s="5" t="n"/>
      <c r="F58" s="5" t="n"/>
      <c r="G58" s="5" t="n"/>
      <c r="H58" s="6" t="n"/>
      <c r="I58" s="5" t="n"/>
      <c r="J58" s="5" t="n"/>
      <c r="K58" s="5" t="n"/>
      <c r="L58" s="5" t="n"/>
    </row>
    <row r="59">
      <c r="A59" s="5" t="n"/>
      <c r="B59" s="6" t="n"/>
      <c r="C59" s="5" t="n"/>
      <c r="D59" s="5" t="n"/>
      <c r="E59" s="5" t="n"/>
      <c r="F59" s="5" t="n"/>
      <c r="G59" s="5" t="n"/>
      <c r="H59" s="6" t="n"/>
      <c r="I59" s="5" t="n"/>
      <c r="J59" s="5" t="n"/>
      <c r="K59" s="5" t="n"/>
      <c r="L59" s="5" t="n"/>
    </row>
    <row r="60">
      <c r="A60" s="5" t="n"/>
      <c r="B60" s="6" t="n"/>
      <c r="C60" s="5" t="n"/>
      <c r="D60" s="5" t="n"/>
      <c r="E60" s="5" t="n"/>
      <c r="F60" s="5" t="n"/>
      <c r="G60" s="5" t="n"/>
      <c r="H60" s="6" t="n"/>
      <c r="I60" s="5" t="n"/>
      <c r="J60" s="5" t="n"/>
      <c r="K60" s="5" t="n"/>
      <c r="L60" s="5" t="n"/>
    </row>
    <row r="61">
      <c r="A61" s="5" t="n"/>
      <c r="B61" s="6" t="n"/>
      <c r="C61" s="5" t="n"/>
      <c r="D61" s="5" t="n"/>
      <c r="E61" s="5" t="n"/>
      <c r="F61" s="5" t="n"/>
      <c r="G61" s="5" t="n"/>
      <c r="H61" s="6" t="n"/>
      <c r="I61" s="5" t="n"/>
      <c r="J61" s="5" t="n"/>
      <c r="K61" s="5" t="n"/>
      <c r="L61" s="5" t="n"/>
    </row>
    <row r="62">
      <c r="A62" s="5" t="n"/>
      <c r="B62" s="6" t="n"/>
      <c r="C62" s="5" t="n"/>
      <c r="D62" s="5" t="n"/>
      <c r="E62" s="5" t="n"/>
      <c r="F62" s="5" t="n"/>
      <c r="G62" s="5" t="n"/>
      <c r="H62" s="6" t="n"/>
      <c r="I62" s="5" t="n"/>
      <c r="J62" s="5" t="n"/>
      <c r="K62" s="5" t="n"/>
      <c r="L62" s="5" t="n"/>
    </row>
    <row r="63">
      <c r="A63" s="5" t="n"/>
      <c r="B63" s="6" t="n"/>
      <c r="C63" s="5" t="n"/>
      <c r="D63" s="5" t="n"/>
      <c r="E63" s="5" t="n"/>
      <c r="F63" s="5" t="n"/>
      <c r="G63" s="5" t="n"/>
      <c r="H63" s="6" t="n"/>
      <c r="I63" s="5" t="n"/>
      <c r="J63" s="5" t="n"/>
      <c r="K63" s="5" t="n"/>
      <c r="L63" s="5" t="n"/>
    </row>
    <row r="64">
      <c r="A64" s="5" t="n"/>
      <c r="B64" s="6" t="n"/>
      <c r="C64" s="5" t="n"/>
      <c r="D64" s="5" t="n"/>
      <c r="E64" s="5" t="n"/>
      <c r="F64" s="5" t="n"/>
      <c r="G64" s="5" t="n"/>
      <c r="H64" s="6" t="n"/>
      <c r="I64" s="5" t="n"/>
      <c r="J64" s="5" t="n"/>
      <c r="K64" s="5" t="n"/>
      <c r="L64" s="5" t="n"/>
    </row>
    <row r="65">
      <c r="A65" s="5" t="n"/>
      <c r="B65" s="6" t="n"/>
      <c r="C65" s="5" t="n"/>
      <c r="D65" s="5" t="n"/>
      <c r="E65" s="5" t="n"/>
      <c r="F65" s="5" t="n"/>
      <c r="G65" s="5" t="n"/>
      <c r="H65" s="6" t="n"/>
      <c r="I65" s="5" t="n"/>
      <c r="J65" s="5" t="n"/>
      <c r="K65" s="5" t="n"/>
      <c r="L65" s="5" t="n"/>
    </row>
    <row r="66">
      <c r="A66" s="5" t="n"/>
      <c r="B66" s="6" t="n"/>
      <c r="C66" s="5" t="n"/>
      <c r="D66" s="5" t="n"/>
      <c r="E66" s="5" t="n"/>
      <c r="F66" s="5" t="n"/>
      <c r="G66" s="5" t="n"/>
      <c r="H66" s="6" t="n"/>
      <c r="I66" s="5" t="n"/>
      <c r="J66" s="5" t="n"/>
      <c r="K66" s="5" t="n"/>
      <c r="L66" s="5" t="n"/>
    </row>
    <row r="67">
      <c r="A67" s="5" t="n"/>
      <c r="B67" s="6" t="n"/>
      <c r="C67" s="5" t="n"/>
      <c r="D67" s="5" t="n"/>
      <c r="E67" s="5" t="n"/>
      <c r="F67" s="5" t="n"/>
      <c r="G67" s="5" t="n"/>
      <c r="H67" s="6" t="n"/>
      <c r="I67" s="5" t="n"/>
      <c r="J67" s="5" t="n"/>
      <c r="K67" s="5" t="n"/>
      <c r="L67" s="5" t="n"/>
    </row>
    <row r="68">
      <c r="A68" s="5" t="n"/>
      <c r="B68" s="6" t="n"/>
      <c r="C68" s="5" t="n"/>
      <c r="D68" s="5" t="n"/>
      <c r="E68" s="5" t="n"/>
      <c r="F68" s="5" t="n"/>
      <c r="G68" s="5" t="n"/>
      <c r="H68" s="6" t="n"/>
      <c r="I68" s="5" t="n"/>
      <c r="J68" s="5" t="n"/>
      <c r="K68" s="5" t="n"/>
      <c r="L68" s="5" t="n"/>
    </row>
    <row r="69">
      <c r="A69" s="5" t="n"/>
      <c r="B69" s="6" t="n"/>
      <c r="C69" s="5" t="n"/>
      <c r="D69" s="5" t="n"/>
      <c r="E69" s="5" t="n"/>
      <c r="F69" s="5" t="n"/>
      <c r="G69" s="5" t="n"/>
      <c r="H69" s="6" t="n"/>
      <c r="I69" s="5" t="n"/>
      <c r="J69" s="5" t="n"/>
      <c r="K69" s="5" t="n"/>
      <c r="L69" s="5" t="n"/>
    </row>
    <row r="70">
      <c r="A70" s="5" t="n"/>
      <c r="B70" s="6" t="n"/>
      <c r="C70" s="5" t="n"/>
      <c r="D70" s="5" t="n"/>
      <c r="E70" s="5" t="n"/>
      <c r="F70" s="5" t="n"/>
      <c r="G70" s="5" t="n"/>
      <c r="H70" s="6" t="n"/>
      <c r="I70" s="5" t="n"/>
      <c r="J70" s="5" t="n"/>
      <c r="K70" s="5" t="n"/>
      <c r="L70" s="5" t="n"/>
    </row>
    <row r="71">
      <c r="A71" s="5" t="n"/>
      <c r="B71" s="6" t="n"/>
      <c r="C71" s="5" t="n"/>
      <c r="D71" s="5" t="n"/>
      <c r="E71" s="5" t="n"/>
      <c r="F71" s="5" t="n"/>
      <c r="G71" s="5" t="n"/>
      <c r="H71" s="6" t="n"/>
      <c r="I71" s="5" t="n"/>
      <c r="J71" s="5" t="n"/>
      <c r="K71" s="5" t="n"/>
      <c r="L71" s="5" t="n"/>
    </row>
    <row r="72">
      <c r="A72" s="5" t="n"/>
      <c r="B72" s="6" t="n"/>
      <c r="C72" s="5" t="n"/>
      <c r="D72" s="5" t="n"/>
      <c r="E72" s="5" t="n"/>
      <c r="F72" s="5" t="n"/>
      <c r="G72" s="5" t="n"/>
      <c r="H72" s="6" t="n"/>
      <c r="I72" s="5" t="n"/>
      <c r="J72" s="5" t="n"/>
      <c r="K72" s="5" t="n"/>
      <c r="L72" s="5" t="n"/>
    </row>
    <row r="73">
      <c r="A73" s="5" t="n"/>
      <c r="B73" s="6" t="n"/>
      <c r="C73" s="5" t="n"/>
      <c r="D73" s="5" t="n"/>
      <c r="E73" s="5" t="n"/>
      <c r="F73" s="5" t="n"/>
      <c r="G73" s="5" t="n"/>
      <c r="H73" s="6" t="n"/>
      <c r="I73" s="5" t="n"/>
      <c r="J73" s="5" t="n"/>
      <c r="K73" s="5" t="n"/>
      <c r="L73" s="5" t="n"/>
    </row>
    <row r="74">
      <c r="A74" s="5" t="n"/>
      <c r="B74" s="6" t="n"/>
      <c r="C74" s="5" t="n"/>
      <c r="D74" s="5" t="n"/>
      <c r="E74" s="5" t="n"/>
      <c r="F74" s="5" t="n"/>
      <c r="G74" s="5" t="n"/>
      <c r="H74" s="6" t="n"/>
      <c r="I74" s="5" t="n"/>
      <c r="J74" s="5" t="n"/>
      <c r="K74" s="5" t="n"/>
      <c r="L74" s="5" t="n"/>
    </row>
    <row r="75">
      <c r="A75" s="5" t="n"/>
      <c r="B75" s="6" t="n"/>
      <c r="C75" s="5" t="n"/>
      <c r="D75" s="5" t="n"/>
      <c r="E75" s="5" t="n"/>
      <c r="F75" s="5" t="n"/>
      <c r="G75" s="5" t="n"/>
      <c r="H75" s="6" t="n"/>
      <c r="I75" s="5" t="n"/>
      <c r="J75" s="5" t="n"/>
      <c r="K75" s="5" t="n"/>
      <c r="L75" s="5" t="n"/>
    </row>
    <row r="76">
      <c r="A76" s="5" t="n"/>
      <c r="B76" s="6" t="n"/>
      <c r="C76" s="5" t="n"/>
      <c r="D76" s="5" t="n"/>
      <c r="E76" s="5" t="n"/>
      <c r="F76" s="5" t="n"/>
      <c r="G76" s="5" t="n"/>
      <c r="H76" s="6" t="n"/>
      <c r="I76" s="5" t="n"/>
      <c r="J76" s="5" t="n"/>
      <c r="K76" s="5" t="n"/>
      <c r="L76" s="5" t="n"/>
    </row>
    <row r="77">
      <c r="A77" s="5" t="n"/>
      <c r="B77" s="6" t="n"/>
      <c r="C77" s="5" t="n"/>
      <c r="D77" s="5" t="n"/>
      <c r="E77" s="5" t="n"/>
      <c r="F77" s="5" t="n"/>
      <c r="G77" s="5" t="n"/>
      <c r="H77" s="6" t="n"/>
      <c r="I77" s="5" t="n"/>
      <c r="J77" s="5" t="n"/>
      <c r="K77" s="5" t="n"/>
      <c r="L77" s="5" t="n"/>
    </row>
    <row r="78">
      <c r="A78" s="5" t="n"/>
      <c r="B78" s="6" t="n"/>
      <c r="C78" s="5" t="n"/>
      <c r="D78" s="5" t="n"/>
      <c r="E78" s="5" t="n"/>
      <c r="F78" s="5" t="n"/>
      <c r="G78" s="5" t="n"/>
      <c r="H78" s="6" t="n"/>
      <c r="I78" s="5" t="n"/>
      <c r="J78" s="5" t="n"/>
      <c r="K78" s="5" t="n"/>
      <c r="L78" s="5" t="n"/>
    </row>
    <row r="79">
      <c r="A79" s="5" t="n"/>
      <c r="B79" s="6" t="n"/>
      <c r="C79" s="5" t="n"/>
      <c r="D79" s="5" t="n"/>
      <c r="E79" s="5" t="n"/>
      <c r="F79" s="5" t="n"/>
      <c r="G79" s="5" t="n"/>
      <c r="H79" s="6" t="n"/>
      <c r="I79" s="5" t="n"/>
      <c r="J79" s="5" t="n"/>
      <c r="K79" s="5" t="n"/>
      <c r="L79" s="5" t="n"/>
    </row>
    <row r="80">
      <c r="A80" s="5" t="n"/>
      <c r="B80" s="6" t="n"/>
      <c r="C80" s="5" t="n"/>
      <c r="D80" s="5" t="n"/>
      <c r="E80" s="5" t="n"/>
      <c r="F80" s="5" t="n"/>
      <c r="G80" s="5" t="n"/>
      <c r="H80" s="6" t="n"/>
      <c r="I80" s="5" t="n"/>
      <c r="J80" s="5" t="n"/>
      <c r="K80" s="5" t="n"/>
      <c r="L80" s="5" t="n"/>
    </row>
    <row r="81">
      <c r="A81" s="5" t="n"/>
      <c r="B81" s="6" t="n"/>
      <c r="C81" s="5" t="n"/>
      <c r="D81" s="5" t="n"/>
      <c r="E81" s="5" t="n"/>
      <c r="F81" s="5" t="n"/>
      <c r="G81" s="5" t="n"/>
      <c r="H81" s="6" t="n"/>
      <c r="I81" s="5" t="n"/>
      <c r="J81" s="5" t="n"/>
      <c r="K81" s="5" t="n"/>
      <c r="L81" s="5" t="n"/>
    </row>
    <row r="82">
      <c r="A82" s="5" t="n"/>
      <c r="B82" s="6" t="n"/>
      <c r="C82" s="5" t="n"/>
      <c r="D82" s="5" t="n"/>
      <c r="E82" s="5" t="n"/>
      <c r="F82" s="5" t="n"/>
      <c r="G82" s="5" t="n"/>
      <c r="H82" s="6" t="n"/>
      <c r="I82" s="5" t="n"/>
      <c r="J82" s="5" t="n"/>
      <c r="K82" s="5" t="n"/>
      <c r="L82" s="5" t="n"/>
    </row>
    <row r="83">
      <c r="A83" s="5" t="n"/>
      <c r="B83" s="6" t="n"/>
      <c r="C83" s="5" t="n"/>
      <c r="D83" s="5" t="n"/>
      <c r="E83" s="5" t="n"/>
      <c r="F83" s="5" t="n"/>
      <c r="G83" s="5" t="n"/>
      <c r="H83" s="6" t="n"/>
      <c r="I83" s="5" t="n"/>
      <c r="J83" s="5" t="n"/>
      <c r="K83" s="5" t="n"/>
      <c r="L83" s="5" t="n"/>
    </row>
    <row r="84">
      <c r="A84" s="5" t="n"/>
      <c r="B84" s="6" t="n"/>
      <c r="C84" s="5" t="n"/>
      <c r="D84" s="5" t="n"/>
      <c r="E84" s="5" t="n"/>
      <c r="F84" s="5" t="n"/>
      <c r="G84" s="5" t="n"/>
      <c r="H84" s="6" t="n"/>
      <c r="I84" s="5" t="n"/>
      <c r="J84" s="5" t="n"/>
      <c r="K84" s="5" t="n"/>
      <c r="L84" s="5" t="n"/>
    </row>
    <row r="85">
      <c r="A85" s="5" t="n"/>
      <c r="B85" s="6" t="n"/>
      <c r="C85" s="5" t="n"/>
      <c r="D85" s="5" t="n"/>
      <c r="E85" s="5" t="n"/>
      <c r="F85" s="5" t="n"/>
      <c r="G85" s="5" t="n"/>
      <c r="H85" s="6" t="n"/>
      <c r="I85" s="5" t="n"/>
      <c r="J85" s="5" t="n"/>
      <c r="K85" s="5" t="n"/>
      <c r="L85" s="5" t="n"/>
    </row>
    <row r="86">
      <c r="A86" s="5" t="n"/>
      <c r="B86" s="6" t="n"/>
      <c r="C86" s="5" t="n"/>
      <c r="D86" s="5" t="n"/>
      <c r="E86" s="5" t="n"/>
      <c r="F86" s="5" t="n"/>
      <c r="G86" s="5" t="n"/>
      <c r="H86" s="6" t="n"/>
      <c r="I86" s="5" t="n"/>
      <c r="J86" s="5" t="n"/>
      <c r="K86" s="5" t="n"/>
      <c r="L86" s="5" t="n"/>
    </row>
    <row r="87">
      <c r="A87" s="5" t="n"/>
      <c r="B87" s="6" t="n"/>
      <c r="C87" s="5" t="n"/>
      <c r="D87" s="5" t="n"/>
      <c r="E87" s="5" t="n"/>
      <c r="F87" s="5" t="n"/>
      <c r="G87" s="5" t="n"/>
      <c r="H87" s="6" t="n"/>
      <c r="I87" s="5" t="n"/>
      <c r="J87" s="5" t="n"/>
      <c r="K87" s="5" t="n"/>
      <c r="L87" s="5" t="n"/>
    </row>
    <row r="88">
      <c r="A88" s="5" t="n"/>
      <c r="B88" s="6" t="n"/>
      <c r="C88" s="5" t="n"/>
      <c r="D88" s="5" t="n"/>
      <c r="E88" s="5" t="n"/>
      <c r="F88" s="5" t="n"/>
      <c r="G88" s="5" t="n"/>
      <c r="H88" s="6" t="n"/>
      <c r="I88" s="5" t="n"/>
      <c r="J88" s="5" t="n"/>
      <c r="K88" s="5" t="n"/>
      <c r="L88" s="5" t="n"/>
    </row>
    <row r="89">
      <c r="A89" s="5" t="n"/>
      <c r="B89" s="6" t="n"/>
      <c r="C89" s="5" t="n"/>
      <c r="D89" s="5" t="n"/>
      <c r="E89" s="5" t="n"/>
      <c r="F89" s="5" t="n"/>
      <c r="G89" s="5" t="n"/>
      <c r="H89" s="6" t="n"/>
      <c r="I89" s="5" t="n"/>
      <c r="J89" s="5" t="n"/>
      <c r="K89" s="5" t="n"/>
      <c r="L89" s="5" t="n"/>
    </row>
    <row r="90">
      <c r="A90" s="5" t="n"/>
      <c r="B90" s="6" t="n"/>
      <c r="C90" s="5" t="n"/>
      <c r="D90" s="5" t="n"/>
      <c r="E90" s="5" t="n"/>
      <c r="F90" s="5" t="n"/>
      <c r="G90" s="5" t="n"/>
      <c r="H90" s="6" t="n"/>
      <c r="I90" s="5" t="n"/>
      <c r="J90" s="5" t="n"/>
      <c r="K90" s="5" t="n"/>
      <c r="L90" s="5" t="n"/>
    </row>
    <row r="91">
      <c r="A91" s="5" t="n"/>
      <c r="B91" s="6" t="n"/>
      <c r="C91" s="5" t="n"/>
      <c r="D91" s="5" t="n"/>
      <c r="E91" s="5" t="n"/>
      <c r="F91" s="5" t="n"/>
      <c r="G91" s="5" t="n"/>
      <c r="H91" s="6" t="n"/>
      <c r="I91" s="5" t="n"/>
      <c r="J91" s="5" t="n"/>
      <c r="K91" s="5" t="n"/>
      <c r="L91" s="5" t="n"/>
    </row>
    <row r="92">
      <c r="A92" s="5" t="n"/>
      <c r="B92" s="6" t="n"/>
      <c r="C92" s="5" t="n"/>
      <c r="D92" s="5" t="n"/>
      <c r="E92" s="5" t="n"/>
      <c r="F92" s="5" t="n"/>
      <c r="G92" s="5" t="n"/>
      <c r="H92" s="6" t="n"/>
      <c r="I92" s="5" t="n"/>
      <c r="J92" s="5" t="n"/>
      <c r="K92" s="5" t="n"/>
      <c r="L92" s="5" t="n"/>
    </row>
    <row r="93">
      <c r="A93" s="5" t="n"/>
      <c r="B93" s="6" t="n"/>
      <c r="C93" s="5" t="n"/>
      <c r="D93" s="5" t="n"/>
      <c r="E93" s="5" t="n"/>
      <c r="F93" s="5" t="n"/>
      <c r="G93" s="5" t="n"/>
      <c r="H93" s="6" t="n"/>
      <c r="I93" s="5" t="n"/>
      <c r="J93" s="5" t="n"/>
      <c r="K93" s="5" t="n"/>
      <c r="L93" s="5" t="n"/>
    </row>
    <row r="94">
      <c r="A94" s="5" t="n"/>
      <c r="B94" s="6" t="n"/>
      <c r="C94" s="5" t="n"/>
      <c r="D94" s="5" t="n"/>
      <c r="E94" s="5" t="n"/>
      <c r="F94" s="5" t="n"/>
      <c r="G94" s="5" t="n"/>
      <c r="H94" s="6" t="n"/>
      <c r="I94" s="5" t="n"/>
      <c r="J94" s="5" t="n"/>
      <c r="K94" s="5" t="n"/>
      <c r="L94" s="5" t="n"/>
    </row>
    <row r="95">
      <c r="A95" s="5" t="n"/>
      <c r="B95" s="6" t="n"/>
      <c r="C95" s="5" t="n"/>
      <c r="D95" s="5" t="n"/>
      <c r="E95" s="5" t="n"/>
      <c r="F95" s="5" t="n"/>
      <c r="G95" s="5" t="n"/>
      <c r="H95" s="6" t="n"/>
      <c r="I95" s="5" t="n"/>
      <c r="J95" s="5" t="n"/>
      <c r="K95" s="5" t="n"/>
      <c r="L95" s="5" t="n"/>
    </row>
    <row r="96">
      <c r="A96" s="5" t="n"/>
      <c r="B96" s="6" t="n"/>
      <c r="C96" s="5" t="n"/>
      <c r="D96" s="5" t="n"/>
      <c r="E96" s="5" t="n"/>
      <c r="F96" s="5" t="n"/>
      <c r="G96" s="5" t="n"/>
      <c r="H96" s="6" t="n"/>
      <c r="I96" s="5" t="n"/>
      <c r="J96" s="5" t="n"/>
      <c r="K96" s="5" t="n"/>
      <c r="L96" s="5" t="n"/>
    </row>
    <row r="97">
      <c r="A97" s="5" t="n"/>
      <c r="B97" s="6" t="n"/>
      <c r="C97" s="5" t="n"/>
      <c r="D97" s="5" t="n"/>
      <c r="E97" s="5" t="n"/>
      <c r="F97" s="5" t="n"/>
      <c r="G97" s="5" t="n"/>
      <c r="H97" s="6" t="n"/>
      <c r="I97" s="5" t="n"/>
      <c r="J97" s="5" t="n"/>
      <c r="K97" s="5" t="n"/>
      <c r="L97" s="5" t="n"/>
    </row>
    <row r="98">
      <c r="A98" s="5" t="n"/>
      <c r="B98" s="6" t="n"/>
      <c r="C98" s="5" t="n"/>
      <c r="D98" s="5" t="n"/>
      <c r="E98" s="5" t="n"/>
      <c r="F98" s="5" t="n"/>
      <c r="G98" s="5" t="n"/>
      <c r="H98" s="6" t="n"/>
      <c r="I98" s="5" t="n"/>
      <c r="J98" s="5" t="n"/>
      <c r="K98" s="5" t="n"/>
      <c r="L98" s="5" t="n"/>
    </row>
    <row r="99">
      <c r="A99" s="5" t="n"/>
      <c r="B99" s="6" t="n"/>
      <c r="C99" s="5" t="n"/>
      <c r="D99" s="5" t="n"/>
      <c r="E99" s="5" t="n"/>
      <c r="F99" s="5" t="n"/>
      <c r="G99" s="5" t="n"/>
      <c r="H99" s="6" t="n"/>
      <c r="I99" s="5" t="n"/>
      <c r="J99" s="5" t="n"/>
      <c r="K99" s="5" t="n"/>
      <c r="L99" s="5" t="n"/>
    </row>
    <row r="100">
      <c r="A100" s="5" t="n"/>
      <c r="B100" s="6" t="n"/>
      <c r="C100" s="5" t="n"/>
      <c r="D100" s="5" t="n"/>
      <c r="E100" s="5" t="n"/>
      <c r="F100" s="5" t="n"/>
      <c r="G100" s="5" t="n"/>
      <c r="H100" s="6" t="n"/>
      <c r="I100" s="5" t="n"/>
      <c r="J100" s="5" t="n"/>
      <c r="K100" s="5" t="n"/>
      <c r="L100" s="5" t="n"/>
    </row>
    <row r="101">
      <c r="A101" s="5" t="n"/>
      <c r="B101" s="6" t="n"/>
      <c r="C101" s="5" t="n"/>
      <c r="D101" s="5" t="n"/>
      <c r="E101" s="5" t="n"/>
      <c r="F101" s="5" t="n"/>
      <c r="G101" s="5" t="n"/>
      <c r="H101" s="6" t="n"/>
      <c r="I101" s="5" t="n"/>
      <c r="J101" s="5" t="n"/>
      <c r="K101" s="5" t="n"/>
      <c r="L101" s="5" t="n"/>
    </row>
    <row r="102">
      <c r="A102" s="5" t="n"/>
      <c r="B102" s="6" t="n"/>
      <c r="C102" s="5" t="n"/>
      <c r="D102" s="5" t="n"/>
      <c r="E102" s="5" t="n"/>
      <c r="F102" s="5" t="n"/>
      <c r="G102" s="5" t="n"/>
      <c r="H102" s="6" t="n"/>
      <c r="I102" s="5" t="n"/>
      <c r="J102" s="5" t="n"/>
      <c r="K102" s="5" t="n"/>
      <c r="L102" s="5" t="n"/>
    </row>
    <row r="103">
      <c r="A103" s="5" t="n"/>
      <c r="B103" s="6" t="n"/>
      <c r="C103" s="5" t="n"/>
      <c r="D103" s="5" t="n"/>
      <c r="E103" s="5" t="n"/>
      <c r="F103" s="5" t="n"/>
      <c r="G103" s="5" t="n"/>
      <c r="H103" s="6" t="n"/>
      <c r="I103" s="5" t="n"/>
      <c r="J103" s="5" t="n"/>
      <c r="K103" s="5" t="n"/>
      <c r="L103" s="5" t="n"/>
    </row>
    <row r="104">
      <c r="A104" s="5" t="n"/>
      <c r="B104" s="6" t="n"/>
      <c r="C104" s="5" t="n"/>
      <c r="D104" s="5" t="n"/>
      <c r="E104" s="5" t="n"/>
      <c r="F104" s="5" t="n"/>
      <c r="G104" s="5" t="n"/>
      <c r="H104" s="6" t="n"/>
      <c r="I104" s="5" t="n"/>
      <c r="J104" s="5" t="n"/>
      <c r="K104" s="5" t="n"/>
      <c r="L104" s="5" t="n"/>
    </row>
    <row r="105">
      <c r="A105" s="5" t="n"/>
      <c r="B105" s="6" t="n"/>
      <c r="C105" s="5" t="n"/>
      <c r="D105" s="5" t="n"/>
      <c r="E105" s="5" t="n"/>
      <c r="F105" s="5" t="n"/>
      <c r="G105" s="5" t="n"/>
      <c r="H105" s="6" t="n"/>
      <c r="I105" s="5" t="n"/>
      <c r="J105" s="5" t="n"/>
      <c r="K105" s="5" t="n"/>
      <c r="L105" s="5" t="n"/>
    </row>
    <row r="106">
      <c r="A106" s="5" t="n"/>
      <c r="B106" s="6" t="n"/>
      <c r="C106" s="5" t="n"/>
      <c r="D106" s="5" t="n"/>
      <c r="E106" s="5" t="n"/>
      <c r="F106" s="5" t="n"/>
      <c r="G106" s="5" t="n"/>
      <c r="H106" s="6" t="n"/>
      <c r="I106" s="5" t="n"/>
      <c r="J106" s="5" t="n"/>
      <c r="K106" s="5" t="n"/>
      <c r="L106" s="5" t="n"/>
    </row>
    <row r="107">
      <c r="A107" s="5" t="n"/>
      <c r="B107" s="6" t="n"/>
      <c r="C107" s="5" t="n"/>
      <c r="D107" s="5" t="n"/>
      <c r="E107" s="5" t="n"/>
      <c r="F107" s="5" t="n"/>
      <c r="G107" s="5" t="n"/>
      <c r="H107" s="6" t="n"/>
      <c r="I107" s="5" t="n"/>
      <c r="J107" s="5" t="n"/>
      <c r="K107" s="5" t="n"/>
      <c r="L107" s="5" t="n"/>
    </row>
    <row r="108">
      <c r="A108" s="5" t="n"/>
      <c r="B108" s="6" t="n"/>
      <c r="C108" s="5" t="n"/>
      <c r="D108" s="5" t="n"/>
      <c r="E108" s="5" t="n"/>
      <c r="F108" s="5" t="n"/>
      <c r="G108" s="5" t="n"/>
      <c r="H108" s="6" t="n"/>
      <c r="I108" s="5" t="n"/>
      <c r="J108" s="5" t="n"/>
      <c r="K108" s="5" t="n"/>
      <c r="L108" s="5" t="n"/>
    </row>
    <row r="109">
      <c r="A109" s="5" t="n"/>
      <c r="B109" s="6" t="n"/>
      <c r="C109" s="5" t="n"/>
      <c r="D109" s="5" t="n"/>
      <c r="E109" s="5" t="n"/>
      <c r="F109" s="5" t="n"/>
      <c r="G109" s="5" t="n"/>
      <c r="H109" s="6" t="n"/>
      <c r="I109" s="5" t="n"/>
      <c r="J109" s="5" t="n"/>
      <c r="K109" s="5" t="n"/>
      <c r="L109" s="5" t="n"/>
    </row>
    <row r="110">
      <c r="A110" s="5" t="n"/>
      <c r="B110" s="6" t="n"/>
      <c r="C110" s="5" t="n"/>
      <c r="D110" s="5" t="n"/>
      <c r="E110" s="5" t="n"/>
      <c r="F110" s="5" t="n"/>
      <c r="G110" s="5" t="n"/>
      <c r="H110" s="6" t="n"/>
      <c r="I110" s="5" t="n"/>
      <c r="J110" s="5" t="n"/>
      <c r="K110" s="5" t="n"/>
      <c r="L110" s="5" t="n"/>
    </row>
    <row r="111">
      <c r="A111" s="5" t="n"/>
      <c r="B111" s="6" t="n"/>
      <c r="C111" s="5" t="n"/>
      <c r="D111" s="5" t="n"/>
      <c r="E111" s="5" t="n"/>
      <c r="F111" s="5" t="n"/>
      <c r="G111" s="5" t="n"/>
      <c r="H111" s="6" t="n"/>
      <c r="I111" s="5" t="n"/>
      <c r="J111" s="5" t="n"/>
      <c r="K111" s="5" t="n"/>
      <c r="L111" s="5" t="n"/>
    </row>
    <row r="112">
      <c r="A112" s="5" t="n"/>
      <c r="B112" s="6" t="n"/>
      <c r="C112" s="5" t="n"/>
      <c r="D112" s="5" t="n"/>
      <c r="E112" s="5" t="n"/>
      <c r="F112" s="5" t="n"/>
      <c r="G112" s="5" t="n"/>
      <c r="H112" s="6" t="n"/>
      <c r="I112" s="5" t="n"/>
      <c r="J112" s="5" t="n"/>
      <c r="K112" s="5" t="n"/>
      <c r="L112" s="5" t="n"/>
    </row>
    <row r="113">
      <c r="A113" s="5" t="n"/>
      <c r="B113" s="6" t="n"/>
      <c r="C113" s="5" t="n"/>
      <c r="D113" s="5" t="n"/>
      <c r="E113" s="5" t="n"/>
      <c r="F113" s="5" t="n"/>
      <c r="G113" s="5" t="n"/>
      <c r="H113" s="6" t="n"/>
      <c r="I113" s="5" t="n"/>
      <c r="J113" s="5" t="n"/>
      <c r="K113" s="5" t="n"/>
      <c r="L113" s="5" t="n"/>
    </row>
    <row r="114">
      <c r="A114" s="5" t="n"/>
      <c r="B114" s="6" t="n"/>
      <c r="C114" s="5" t="n"/>
      <c r="D114" s="5" t="n"/>
      <c r="E114" s="5" t="n"/>
      <c r="F114" s="5" t="n"/>
      <c r="G114" s="5" t="n"/>
      <c r="H114" s="6" t="n"/>
      <c r="I114" s="5" t="n"/>
      <c r="J114" s="5" t="n"/>
      <c r="K114" s="5" t="n"/>
      <c r="L114" s="5" t="n"/>
    </row>
    <row r="115">
      <c r="A115" s="5" t="n"/>
      <c r="B115" s="6" t="n"/>
      <c r="C115" s="5" t="n"/>
      <c r="D115" s="5" t="n"/>
      <c r="E115" s="5" t="n"/>
      <c r="F115" s="5" t="n"/>
      <c r="G115" s="5" t="n"/>
      <c r="H115" s="6" t="n"/>
      <c r="I115" s="5" t="n"/>
      <c r="J115" s="5" t="n"/>
      <c r="K115" s="5" t="n"/>
      <c r="L115" s="5" t="n"/>
    </row>
    <row r="116">
      <c r="A116" s="5" t="n"/>
      <c r="B116" s="6" t="n"/>
      <c r="C116" s="5" t="n"/>
      <c r="D116" s="5" t="n"/>
      <c r="E116" s="5" t="n"/>
      <c r="F116" s="5" t="n"/>
      <c r="G116" s="5" t="n"/>
      <c r="H116" s="6" t="n"/>
      <c r="I116" s="5" t="n"/>
      <c r="J116" s="5" t="n"/>
      <c r="K116" s="5" t="n"/>
      <c r="L116" s="5" t="n"/>
    </row>
    <row r="117">
      <c r="A117" s="5" t="n"/>
      <c r="B117" s="6" t="n"/>
      <c r="C117" s="5" t="n"/>
      <c r="D117" s="5" t="n"/>
      <c r="E117" s="5" t="n"/>
      <c r="F117" s="5" t="n"/>
      <c r="G117" s="5" t="n"/>
      <c r="H117" s="6" t="n"/>
      <c r="I117" s="5" t="n"/>
      <c r="J117" s="5" t="n"/>
      <c r="K117" s="5" t="n"/>
      <c r="L117" s="5" t="n"/>
    </row>
    <row r="118">
      <c r="A118" s="5" t="n"/>
      <c r="B118" s="6" t="n"/>
      <c r="C118" s="5" t="n"/>
      <c r="D118" s="5" t="n"/>
      <c r="E118" s="5" t="n"/>
      <c r="F118" s="5" t="n"/>
      <c r="G118" s="5" t="n"/>
      <c r="H118" s="6" t="n"/>
      <c r="I118" s="5" t="n"/>
      <c r="J118" s="5" t="n"/>
      <c r="K118" s="5" t="n"/>
      <c r="L118" s="5" t="n"/>
    </row>
    <row r="119">
      <c r="A119" s="5" t="n"/>
      <c r="B119" s="6" t="n"/>
      <c r="C119" s="5" t="n"/>
      <c r="D119" s="5" t="n"/>
      <c r="E119" s="5" t="n"/>
      <c r="F119" s="5" t="n"/>
      <c r="G119" s="5" t="n"/>
      <c r="H119" s="6" t="n"/>
      <c r="I119" s="5" t="n"/>
      <c r="J119" s="5" t="n"/>
      <c r="K119" s="5" t="n"/>
      <c r="L119" s="5" t="n"/>
    </row>
    <row r="120">
      <c r="A120" s="5" t="n"/>
      <c r="B120" s="6" t="n"/>
      <c r="C120" s="5" t="n"/>
      <c r="D120" s="5" t="n"/>
      <c r="E120" s="5" t="n"/>
      <c r="F120" s="5" t="n"/>
      <c r="G120" s="5" t="n"/>
      <c r="H120" s="6" t="n"/>
      <c r="I120" s="5" t="n"/>
      <c r="J120" s="5" t="n"/>
      <c r="K120" s="5" t="n"/>
      <c r="L120" s="5" t="n"/>
    </row>
    <row r="121">
      <c r="A121" s="5" t="n"/>
      <c r="B121" s="6" t="n"/>
      <c r="C121" s="5" t="n"/>
      <c r="D121" s="5" t="n"/>
      <c r="E121" s="5" t="n"/>
      <c r="F121" s="5" t="n"/>
      <c r="G121" s="5" t="n"/>
      <c r="H121" s="6" t="n"/>
      <c r="I121" s="5" t="n"/>
      <c r="J121" s="5" t="n"/>
      <c r="K121" s="5" t="n"/>
      <c r="L121" s="5" t="n"/>
    </row>
    <row r="122">
      <c r="A122" s="5" t="n"/>
      <c r="B122" s="6" t="n"/>
      <c r="C122" s="5" t="n"/>
      <c r="D122" s="5" t="n"/>
      <c r="E122" s="5" t="n"/>
      <c r="F122" s="5" t="n"/>
      <c r="G122" s="5" t="n"/>
      <c r="H122" s="6" t="n"/>
      <c r="I122" s="5" t="n"/>
      <c r="J122" s="5" t="n"/>
      <c r="K122" s="5" t="n"/>
      <c r="L122" s="5" t="n"/>
    </row>
    <row r="123">
      <c r="A123" s="5" t="n"/>
      <c r="B123" s="6" t="n"/>
      <c r="C123" s="5" t="n"/>
      <c r="D123" s="5" t="n"/>
      <c r="E123" s="5" t="n"/>
      <c r="F123" s="5" t="n"/>
      <c r="G123" s="5" t="n"/>
      <c r="H123" s="6" t="n"/>
      <c r="I123" s="5" t="n"/>
      <c r="J123" s="5" t="n"/>
      <c r="K123" s="5" t="n"/>
      <c r="L123" s="5" t="n"/>
    </row>
    <row r="124">
      <c r="A124" s="5" t="n"/>
      <c r="B124" s="6" t="n"/>
      <c r="C124" s="5" t="n"/>
      <c r="D124" s="5" t="n"/>
      <c r="E124" s="5" t="n"/>
      <c r="F124" s="5" t="n"/>
      <c r="G124" s="5" t="n"/>
      <c r="H124" s="6" t="n"/>
      <c r="I124" s="5" t="n"/>
      <c r="J124" s="5" t="n"/>
      <c r="K124" s="5" t="n"/>
      <c r="L124" s="5" t="n"/>
    </row>
    <row r="125">
      <c r="A125" s="5" t="n"/>
      <c r="B125" s="6" t="n"/>
      <c r="C125" s="5" t="n"/>
      <c r="D125" s="5" t="n"/>
      <c r="E125" s="5" t="n"/>
      <c r="F125" s="5" t="n"/>
      <c r="G125" s="5" t="n"/>
      <c r="H125" s="6" t="n"/>
      <c r="I125" s="5" t="n"/>
      <c r="J125" s="5" t="n"/>
      <c r="K125" s="5" t="n"/>
      <c r="L125" s="5" t="n"/>
    </row>
    <row r="126">
      <c r="A126" s="5" t="n"/>
      <c r="B126" s="6" t="n"/>
      <c r="C126" s="5" t="n"/>
      <c r="D126" s="5" t="n"/>
      <c r="E126" s="5" t="n"/>
      <c r="F126" s="5" t="n"/>
      <c r="G126" s="5" t="n"/>
      <c r="H126" s="6" t="n"/>
      <c r="I126" s="5" t="n"/>
      <c r="J126" s="5" t="n"/>
      <c r="K126" s="5" t="n"/>
      <c r="L126" s="5" t="n"/>
    </row>
    <row r="127">
      <c r="A127" s="5" t="n"/>
      <c r="B127" s="6" t="n"/>
      <c r="C127" s="5" t="n"/>
      <c r="D127" s="5" t="n"/>
      <c r="E127" s="5" t="n"/>
      <c r="F127" s="5" t="n"/>
      <c r="G127" s="5" t="n"/>
      <c r="H127" s="6" t="n"/>
      <c r="I127" s="5" t="n"/>
      <c r="J127" s="5" t="n"/>
      <c r="K127" s="5" t="n"/>
      <c r="L127" s="5" t="n"/>
    </row>
    <row r="128">
      <c r="A128" s="5" t="n"/>
      <c r="B128" s="6" t="n"/>
      <c r="C128" s="5" t="n"/>
      <c r="D128" s="5" t="n"/>
      <c r="E128" s="5" t="n"/>
      <c r="F128" s="5" t="n"/>
      <c r="G128" s="5" t="n"/>
      <c r="H128" s="6" t="n"/>
      <c r="I128" s="5" t="n"/>
      <c r="J128" s="5" t="n"/>
      <c r="K128" s="5" t="n"/>
      <c r="L128" s="5" t="n"/>
    </row>
    <row r="129">
      <c r="A129" s="5" t="n"/>
      <c r="B129" s="6" t="n"/>
      <c r="C129" s="5" t="n"/>
      <c r="D129" s="5" t="n"/>
      <c r="E129" s="5" t="n"/>
      <c r="F129" s="5" t="n"/>
      <c r="G129" s="5" t="n"/>
      <c r="H129" s="6" t="n"/>
      <c r="I129" s="5" t="n"/>
      <c r="J129" s="5" t="n"/>
      <c r="K129" s="5" t="n"/>
      <c r="L129" s="5" t="n"/>
    </row>
    <row r="130">
      <c r="A130" s="5" t="n"/>
      <c r="B130" s="6" t="n"/>
      <c r="C130" s="5" t="n"/>
      <c r="D130" s="5" t="n"/>
      <c r="E130" s="5" t="n"/>
      <c r="F130" s="5" t="n"/>
      <c r="G130" s="5" t="n"/>
      <c r="H130" s="6" t="n"/>
      <c r="I130" s="5" t="n"/>
      <c r="J130" s="5" t="n"/>
      <c r="K130" s="5" t="n"/>
      <c r="L130" s="5" t="n"/>
    </row>
    <row r="131">
      <c r="A131" s="5" t="n"/>
      <c r="B131" s="6" t="n"/>
      <c r="C131" s="5" t="n"/>
      <c r="D131" s="5" t="n"/>
      <c r="E131" s="5" t="n"/>
      <c r="F131" s="5" t="n"/>
      <c r="G131" s="5" t="n"/>
      <c r="H131" s="6" t="n"/>
      <c r="I131" s="5" t="n"/>
      <c r="J131" s="5" t="n"/>
      <c r="K131" s="5" t="n"/>
      <c r="L131" s="5" t="n"/>
    </row>
    <row r="132">
      <c r="A132" s="5" t="n"/>
      <c r="B132" s="6" t="n"/>
      <c r="C132" s="5" t="n"/>
      <c r="D132" s="5" t="n"/>
      <c r="E132" s="5" t="n"/>
      <c r="F132" s="5" t="n"/>
      <c r="G132" s="5" t="n"/>
      <c r="H132" s="6" t="n"/>
      <c r="I132" s="5" t="n"/>
      <c r="J132" s="5" t="n"/>
      <c r="K132" s="5" t="n"/>
      <c r="L132" s="5" t="n"/>
    </row>
    <row r="133">
      <c r="A133" s="5" t="n"/>
      <c r="B133" s="6" t="n"/>
      <c r="C133" s="5" t="n"/>
      <c r="D133" s="5" t="n"/>
      <c r="E133" s="5" t="n"/>
      <c r="F133" s="5" t="n"/>
      <c r="G133" s="5" t="n"/>
      <c r="H133" s="6" t="n"/>
      <c r="I133" s="5" t="n"/>
      <c r="J133" s="5" t="n"/>
      <c r="K133" s="5" t="n"/>
      <c r="L133" s="5" t="n"/>
    </row>
    <row r="134">
      <c r="A134" s="5" t="n"/>
      <c r="B134" s="6" t="n"/>
      <c r="C134" s="5" t="n"/>
      <c r="D134" s="5" t="n"/>
      <c r="E134" s="5" t="n"/>
      <c r="F134" s="5" t="n"/>
      <c r="G134" s="5" t="n"/>
      <c r="H134" s="6" t="n"/>
      <c r="I134" s="5" t="n"/>
      <c r="J134" s="5" t="n"/>
      <c r="K134" s="5" t="n"/>
      <c r="L134" s="5" t="n"/>
    </row>
    <row r="135">
      <c r="A135" s="5" t="n"/>
      <c r="B135" s="6" t="n"/>
      <c r="C135" s="5" t="n"/>
      <c r="D135" s="5" t="n"/>
      <c r="E135" s="5" t="n"/>
      <c r="F135" s="5" t="n"/>
      <c r="G135" s="5" t="n"/>
      <c r="H135" s="6" t="n"/>
      <c r="I135" s="5" t="n"/>
      <c r="J135" s="5" t="n"/>
      <c r="K135" s="5" t="n"/>
      <c r="L135" s="5" t="n"/>
    </row>
    <row r="136">
      <c r="A136" s="5" t="n"/>
      <c r="B136" s="6" t="n"/>
      <c r="C136" s="5" t="n"/>
      <c r="D136" s="5" t="n"/>
      <c r="E136" s="5" t="n"/>
      <c r="F136" s="5" t="n"/>
      <c r="G136" s="5" t="n"/>
      <c r="H136" s="6" t="n"/>
      <c r="I136" s="5" t="n"/>
      <c r="J136" s="5" t="n"/>
      <c r="K136" s="5" t="n"/>
      <c r="L136" s="5" t="n"/>
    </row>
    <row r="137">
      <c r="A137" s="5" t="n"/>
      <c r="B137" s="6" t="n"/>
      <c r="C137" s="5" t="n"/>
      <c r="D137" s="5" t="n"/>
      <c r="E137" s="5" t="n"/>
      <c r="F137" s="5" t="n"/>
      <c r="G137" s="5" t="n"/>
      <c r="H137" s="6" t="n"/>
      <c r="I137" s="5" t="n"/>
      <c r="J137" s="5" t="n"/>
      <c r="K137" s="5" t="n"/>
      <c r="L137" s="5" t="n"/>
    </row>
    <row r="138">
      <c r="A138" s="5" t="n"/>
      <c r="B138" s="6" t="n"/>
      <c r="C138" s="5" t="n"/>
      <c r="D138" s="5" t="n"/>
      <c r="E138" s="5" t="n"/>
      <c r="F138" s="5" t="n"/>
      <c r="G138" s="5" t="n"/>
      <c r="H138" s="6" t="n"/>
      <c r="I138" s="5" t="n"/>
      <c r="J138" s="5" t="n"/>
      <c r="K138" s="5" t="n"/>
      <c r="L138" s="5" t="n"/>
    </row>
    <row r="139">
      <c r="A139" s="5" t="n"/>
      <c r="B139" s="6" t="n"/>
      <c r="C139" s="5" t="n"/>
      <c r="D139" s="5" t="n"/>
      <c r="E139" s="5" t="n"/>
      <c r="F139" s="5" t="n"/>
      <c r="G139" s="5" t="n"/>
      <c r="H139" s="6" t="n"/>
      <c r="I139" s="5" t="n"/>
      <c r="J139" s="5" t="n"/>
      <c r="K139" s="5" t="n"/>
      <c r="L139" s="5" t="n"/>
    </row>
    <row r="140">
      <c r="A140" s="5" t="n"/>
      <c r="B140" s="6" t="n"/>
      <c r="C140" s="5" t="n"/>
      <c r="D140" s="5" t="n"/>
      <c r="E140" s="5" t="n"/>
      <c r="F140" s="5" t="n"/>
      <c r="G140" s="5" t="n"/>
      <c r="H140" s="6" t="n"/>
      <c r="I140" s="5" t="n"/>
      <c r="J140" s="5" t="n"/>
      <c r="K140" s="5" t="n"/>
      <c r="L140" s="5" t="n"/>
    </row>
    <row r="141">
      <c r="A141" s="5" t="n"/>
      <c r="B141" s="6" t="n"/>
      <c r="C141" s="5" t="n"/>
      <c r="D141" s="5" t="n"/>
      <c r="E141" s="5" t="n"/>
      <c r="F141" s="5" t="n"/>
      <c r="G141" s="5" t="n"/>
      <c r="H141" s="6" t="n"/>
      <c r="I141" s="5" t="n"/>
      <c r="J141" s="5" t="n"/>
      <c r="K141" s="5" t="n"/>
      <c r="L141" s="5" t="n"/>
    </row>
    <row r="142">
      <c r="A142" s="5" t="n"/>
      <c r="B142" s="6" t="n"/>
      <c r="C142" s="5" t="n"/>
      <c r="D142" s="5" t="n"/>
      <c r="E142" s="5" t="n"/>
      <c r="F142" s="5" t="n"/>
      <c r="G142" s="5" t="n"/>
      <c r="H142" s="6" t="n"/>
      <c r="I142" s="5" t="n"/>
      <c r="J142" s="5" t="n"/>
      <c r="K142" s="5" t="n"/>
      <c r="L142" s="5" t="n"/>
    </row>
    <row r="143">
      <c r="A143" s="5" t="n"/>
      <c r="B143" s="6" t="n"/>
      <c r="C143" s="5" t="n"/>
      <c r="D143" s="5" t="n"/>
      <c r="E143" s="5" t="n"/>
      <c r="F143" s="5" t="n"/>
      <c r="G143" s="5" t="n"/>
      <c r="H143" s="6" t="n"/>
      <c r="I143" s="5" t="n"/>
      <c r="J143" s="5" t="n"/>
      <c r="K143" s="5" t="n"/>
      <c r="L143" s="5" t="n"/>
    </row>
    <row r="144">
      <c r="A144" s="5" t="n"/>
      <c r="B144" s="6" t="n"/>
      <c r="C144" s="5" t="n"/>
      <c r="D144" s="5" t="n"/>
      <c r="E144" s="5" t="n"/>
      <c r="F144" s="5" t="n"/>
      <c r="G144" s="5" t="n"/>
      <c r="H144" s="6" t="n"/>
      <c r="I144" s="5" t="n"/>
      <c r="J144" s="5" t="n"/>
      <c r="K144" s="5" t="n"/>
      <c r="L144" s="5" t="n"/>
    </row>
    <row r="145">
      <c r="A145" s="5" t="n"/>
      <c r="B145" s="6" t="n"/>
      <c r="C145" s="5" t="n"/>
      <c r="D145" s="5" t="n"/>
      <c r="E145" s="5" t="n"/>
      <c r="F145" s="5" t="n"/>
      <c r="G145" s="5" t="n"/>
      <c r="H145" s="6" t="n"/>
      <c r="I145" s="5" t="n"/>
      <c r="J145" s="5" t="n"/>
      <c r="K145" s="5" t="n"/>
      <c r="L145" s="5" t="n"/>
    </row>
    <row r="146">
      <c r="A146" s="5" t="n"/>
      <c r="B146" s="6" t="n"/>
      <c r="C146" s="5" t="n"/>
      <c r="D146" s="5" t="n"/>
      <c r="E146" s="5" t="n"/>
      <c r="F146" s="5" t="n"/>
      <c r="G146" s="5" t="n"/>
      <c r="H146" s="6" t="n"/>
      <c r="I146" s="5" t="n"/>
      <c r="J146" s="5" t="n"/>
      <c r="K146" s="5" t="n"/>
      <c r="L146" s="5" t="n"/>
    </row>
    <row r="147">
      <c r="A147" s="5" t="n"/>
      <c r="B147" s="6" t="n"/>
      <c r="C147" s="5" t="n"/>
      <c r="D147" s="5" t="n"/>
      <c r="E147" s="5" t="n"/>
      <c r="F147" s="5" t="n"/>
      <c r="G147" s="5" t="n"/>
      <c r="H147" s="6" t="n"/>
      <c r="I147" s="5" t="n"/>
      <c r="J147" s="5" t="n"/>
      <c r="K147" s="5" t="n"/>
      <c r="L147" s="5" t="n"/>
    </row>
    <row r="148">
      <c r="A148" s="5" t="n"/>
      <c r="B148" s="6" t="n"/>
      <c r="C148" s="5" t="n"/>
      <c r="D148" s="5" t="n"/>
      <c r="E148" s="5" t="n"/>
      <c r="F148" s="5" t="n"/>
      <c r="G148" s="5" t="n"/>
      <c r="H148" s="6" t="n"/>
      <c r="I148" s="5" t="n"/>
      <c r="J148" s="5" t="n"/>
      <c r="K148" s="5" t="n"/>
      <c r="L148" s="5" t="n"/>
    </row>
    <row r="149">
      <c r="A149" s="5" t="n"/>
      <c r="B149" s="6" t="n"/>
      <c r="C149" s="5" t="n"/>
      <c r="D149" s="5" t="n"/>
      <c r="E149" s="5" t="n"/>
      <c r="F149" s="5" t="n"/>
      <c r="G149" s="5" t="n"/>
      <c r="H149" s="6" t="n"/>
      <c r="I149" s="5" t="n"/>
      <c r="J149" s="5" t="n"/>
      <c r="K149" s="5" t="n"/>
      <c r="L149" s="5" t="n"/>
    </row>
    <row r="150">
      <c r="A150" s="5" t="n"/>
      <c r="B150" s="6" t="n"/>
      <c r="C150" s="5" t="n"/>
      <c r="D150" s="5" t="n"/>
      <c r="E150" s="5" t="n"/>
      <c r="F150" s="5" t="n"/>
      <c r="G150" s="5" t="n"/>
      <c r="H150" s="6" t="n"/>
      <c r="I150" s="5" t="n"/>
      <c r="J150" s="5" t="n"/>
      <c r="K150" s="5" t="n"/>
      <c r="L150" s="5" t="n"/>
    </row>
    <row r="151">
      <c r="A151" s="5" t="n"/>
      <c r="B151" s="6" t="n"/>
      <c r="C151" s="5" t="n"/>
      <c r="D151" s="5" t="n"/>
      <c r="E151" s="5" t="n"/>
      <c r="F151" s="5" t="n"/>
      <c r="G151" s="5" t="n"/>
      <c r="H151" s="6" t="n"/>
      <c r="I151" s="5" t="n"/>
      <c r="J151" s="5" t="n"/>
      <c r="K151" s="5" t="n"/>
      <c r="L151" s="5" t="n"/>
    </row>
    <row r="152">
      <c r="A152" s="5" t="n"/>
      <c r="B152" s="6" t="n"/>
      <c r="C152" s="5" t="n"/>
      <c r="D152" s="5" t="n"/>
      <c r="E152" s="5" t="n"/>
      <c r="F152" s="5" t="n"/>
      <c r="G152" s="5" t="n"/>
      <c r="H152" s="6" t="n"/>
      <c r="I152" s="5" t="n"/>
      <c r="J152" s="5" t="n"/>
      <c r="K152" s="5" t="n"/>
      <c r="L152" s="5" t="n"/>
    </row>
    <row r="153">
      <c r="A153" s="5" t="n"/>
      <c r="B153" s="6" t="n"/>
      <c r="C153" s="5" t="n"/>
      <c r="D153" s="5" t="n"/>
      <c r="E153" s="5" t="n"/>
      <c r="F153" s="5" t="n"/>
      <c r="G153" s="5" t="n"/>
      <c r="H153" s="6" t="n"/>
      <c r="I153" s="5" t="n"/>
      <c r="J153" s="5" t="n"/>
      <c r="K153" s="5" t="n"/>
      <c r="L153" s="5" t="n"/>
    </row>
    <row r="154">
      <c r="A154" s="5" t="n"/>
      <c r="B154" s="6" t="n"/>
      <c r="C154" s="5" t="n"/>
      <c r="D154" s="5" t="n"/>
      <c r="E154" s="5" t="n"/>
      <c r="F154" s="5" t="n"/>
      <c r="G154" s="5" t="n"/>
      <c r="H154" s="6" t="n"/>
      <c r="I154" s="5" t="n"/>
      <c r="J154" s="5" t="n"/>
      <c r="K154" s="5" t="n"/>
      <c r="L154" s="5" t="n"/>
    </row>
    <row r="155">
      <c r="A155" s="5" t="n"/>
      <c r="B155" s="6" t="n"/>
      <c r="C155" s="5" t="n"/>
      <c r="D155" s="5" t="n"/>
      <c r="E155" s="5" t="n"/>
      <c r="F155" s="5" t="n"/>
      <c r="G155" s="5" t="n"/>
      <c r="H155" s="6" t="n"/>
      <c r="I155" s="5" t="n"/>
      <c r="J155" s="5" t="n"/>
      <c r="K155" s="5" t="n"/>
      <c r="L155" s="5" t="n"/>
    </row>
    <row r="156">
      <c r="A156" s="5" t="n"/>
      <c r="B156" s="6" t="n"/>
      <c r="C156" s="5" t="n"/>
      <c r="D156" s="5" t="n"/>
      <c r="E156" s="5" t="n"/>
      <c r="F156" s="5" t="n"/>
      <c r="G156" s="5" t="n"/>
      <c r="H156" s="6" t="n"/>
      <c r="I156" s="5" t="n"/>
      <c r="J156" s="5" t="n"/>
      <c r="K156" s="5" t="n"/>
      <c r="L156" s="5" t="n"/>
    </row>
    <row r="157">
      <c r="A157" s="5" t="n"/>
      <c r="B157" s="6" t="n"/>
      <c r="C157" s="5" t="n"/>
      <c r="D157" s="5" t="n"/>
      <c r="E157" s="5" t="n"/>
      <c r="F157" s="5" t="n"/>
      <c r="G157" s="5" t="n"/>
      <c r="H157" s="6" t="n"/>
      <c r="I157" s="5" t="n"/>
      <c r="J157" s="5" t="n"/>
      <c r="K157" s="5" t="n"/>
      <c r="L157" s="5" t="n"/>
    </row>
    <row r="158">
      <c r="A158" s="5" t="n"/>
      <c r="B158" s="6" t="n"/>
      <c r="C158" s="5" t="n"/>
      <c r="D158" s="5" t="n"/>
      <c r="E158" s="5" t="n"/>
      <c r="F158" s="5" t="n"/>
      <c r="G158" s="5" t="n"/>
      <c r="H158" s="6" t="n"/>
      <c r="I158" s="5" t="n"/>
      <c r="J158" s="5" t="n"/>
      <c r="K158" s="5" t="n"/>
      <c r="L158" s="5" t="n"/>
    </row>
    <row r="159">
      <c r="A159" s="5" t="n"/>
      <c r="B159" s="6" t="n"/>
      <c r="C159" s="5" t="n"/>
      <c r="D159" s="5" t="n"/>
      <c r="E159" s="5" t="n"/>
      <c r="F159" s="5" t="n"/>
      <c r="G159" s="5" t="n"/>
      <c r="H159" s="6" t="n"/>
      <c r="I159" s="5" t="n"/>
      <c r="J159" s="5" t="n"/>
      <c r="K159" s="5" t="n"/>
      <c r="L159" s="5" t="n"/>
    </row>
    <row r="160">
      <c r="A160" s="5" t="n"/>
      <c r="B160" s="6" t="n"/>
      <c r="C160" s="5" t="n"/>
      <c r="D160" s="5" t="n"/>
      <c r="E160" s="5" t="n"/>
      <c r="F160" s="5" t="n"/>
      <c r="G160" s="5" t="n"/>
      <c r="H160" s="6" t="n"/>
      <c r="I160" s="5" t="n"/>
      <c r="J160" s="5" t="n"/>
      <c r="K160" s="5" t="n"/>
      <c r="L160" s="5" t="n"/>
    </row>
    <row r="161">
      <c r="A161" s="5" t="n"/>
      <c r="B161" s="6" t="n"/>
      <c r="C161" s="5" t="n"/>
      <c r="D161" s="5" t="n"/>
      <c r="E161" s="5" t="n"/>
      <c r="F161" s="5" t="n"/>
      <c r="G161" s="5" t="n"/>
      <c r="H161" s="6" t="n"/>
      <c r="I161" s="5" t="n"/>
      <c r="J161" s="5" t="n"/>
      <c r="K161" s="5" t="n"/>
      <c r="L161" s="5" t="n"/>
    </row>
    <row r="162">
      <c r="A162" s="5" t="n"/>
      <c r="B162" s="6" t="n"/>
      <c r="C162" s="5" t="n"/>
      <c r="D162" s="5" t="n"/>
      <c r="E162" s="5" t="n"/>
      <c r="F162" s="5" t="n"/>
      <c r="G162" s="5" t="n"/>
      <c r="H162" s="6" t="n"/>
      <c r="I162" s="5" t="n"/>
      <c r="J162" s="5" t="n"/>
      <c r="K162" s="5" t="n"/>
      <c r="L162" s="5" t="n"/>
    </row>
    <row r="163">
      <c r="A163" s="5" t="n"/>
      <c r="B163" s="6" t="n"/>
      <c r="C163" s="5" t="n"/>
      <c r="D163" s="5" t="n"/>
      <c r="E163" s="5" t="n"/>
      <c r="F163" s="5" t="n"/>
      <c r="G163" s="5" t="n"/>
      <c r="H163" s="6" t="n"/>
      <c r="I163" s="5" t="n"/>
      <c r="J163" s="5" t="n"/>
      <c r="K163" s="5" t="n"/>
      <c r="L163" s="5" t="n"/>
    </row>
    <row r="164">
      <c r="A164" s="5" t="n"/>
      <c r="B164" s="6" t="n"/>
      <c r="C164" s="5" t="n"/>
      <c r="D164" s="5" t="n"/>
      <c r="E164" s="5" t="n"/>
      <c r="F164" s="5" t="n"/>
      <c r="G164" s="5" t="n"/>
      <c r="H164" s="6" t="n"/>
      <c r="I164" s="5" t="n"/>
      <c r="J164" s="5" t="n"/>
      <c r="K164" s="5" t="n"/>
      <c r="L164" s="5" t="n"/>
    </row>
    <row r="165">
      <c r="A165" s="5" t="n"/>
      <c r="B165" s="6" t="n"/>
      <c r="C165" s="5" t="n"/>
      <c r="D165" s="5" t="n"/>
      <c r="E165" s="5" t="n"/>
      <c r="F165" s="5" t="n"/>
      <c r="G165" s="5" t="n"/>
      <c r="H165" s="6" t="n"/>
      <c r="I165" s="5" t="n"/>
      <c r="J165" s="5" t="n"/>
      <c r="K165" s="5" t="n"/>
      <c r="L165" s="5" t="n"/>
    </row>
    <row r="166">
      <c r="A166" s="5" t="n"/>
      <c r="B166" s="6" t="n"/>
      <c r="C166" s="5" t="n"/>
      <c r="D166" s="5" t="n"/>
      <c r="E166" s="5" t="n"/>
      <c r="F166" s="5" t="n"/>
      <c r="G166" s="5" t="n"/>
      <c r="H166" s="6" t="n"/>
      <c r="I166" s="5" t="n"/>
      <c r="J166" s="5" t="n"/>
      <c r="K166" s="5" t="n"/>
      <c r="L166" s="5" t="n"/>
    </row>
    <row r="167">
      <c r="A167" s="5" t="n"/>
      <c r="B167" s="6" t="n"/>
      <c r="C167" s="5" t="n"/>
      <c r="D167" s="5" t="n"/>
      <c r="E167" s="5" t="n"/>
      <c r="F167" s="5" t="n"/>
      <c r="G167" s="5" t="n"/>
      <c r="H167" s="6" t="n"/>
      <c r="I167" s="5" t="n"/>
      <c r="J167" s="5" t="n"/>
      <c r="K167" s="5" t="n"/>
      <c r="L167" s="5" t="n"/>
    </row>
    <row r="168">
      <c r="A168" s="5" t="n"/>
      <c r="B168" s="6" t="n"/>
      <c r="C168" s="5" t="n"/>
      <c r="D168" s="5" t="n"/>
      <c r="E168" s="5" t="n"/>
      <c r="F168" s="5" t="n"/>
      <c r="G168" s="5" t="n"/>
      <c r="H168" s="6" t="n"/>
      <c r="I168" s="5" t="n"/>
      <c r="J168" s="5" t="n"/>
      <c r="K168" s="5" t="n"/>
      <c r="L168" s="5" t="n"/>
    </row>
    <row r="169">
      <c r="A169" s="5" t="n"/>
      <c r="B169" s="6" t="n"/>
      <c r="C169" s="5" t="n"/>
      <c r="D169" s="5" t="n"/>
      <c r="E169" s="5" t="n"/>
      <c r="F169" s="5" t="n"/>
      <c r="G169" s="5" t="n"/>
      <c r="H169" s="6" t="n"/>
      <c r="I169" s="5" t="n"/>
      <c r="J169" s="5" t="n"/>
      <c r="K169" s="5" t="n"/>
      <c r="L169" s="5" t="n"/>
    </row>
    <row r="170">
      <c r="A170" s="5" t="n"/>
      <c r="B170" s="6" t="n"/>
      <c r="C170" s="5" t="n"/>
      <c r="D170" s="5" t="n"/>
      <c r="E170" s="5" t="n"/>
      <c r="F170" s="5" t="n"/>
      <c r="G170" s="5" t="n"/>
      <c r="H170" s="6" t="n"/>
      <c r="I170" s="5" t="n"/>
      <c r="J170" s="5" t="n"/>
      <c r="K170" s="5" t="n"/>
      <c r="L170" s="5" t="n"/>
    </row>
    <row r="171">
      <c r="A171" s="5" t="n"/>
      <c r="B171" s="6" t="n"/>
      <c r="C171" s="5" t="n"/>
      <c r="D171" s="5" t="n"/>
      <c r="E171" s="5" t="n"/>
      <c r="F171" s="5" t="n"/>
      <c r="G171" s="5" t="n"/>
      <c r="H171" s="6" t="n"/>
      <c r="I171" s="5" t="n"/>
      <c r="J171" s="5" t="n"/>
      <c r="K171" s="5" t="n"/>
      <c r="L171" s="5" t="n"/>
    </row>
    <row r="172">
      <c r="A172" s="5" t="n"/>
      <c r="B172" s="6" t="n"/>
      <c r="C172" s="5" t="n"/>
      <c r="D172" s="5" t="n"/>
      <c r="E172" s="5" t="n"/>
      <c r="F172" s="5" t="n"/>
      <c r="G172" s="5" t="n"/>
      <c r="H172" s="6" t="n"/>
      <c r="I172" s="5" t="n"/>
      <c r="J172" s="5" t="n"/>
      <c r="K172" s="5" t="n"/>
      <c r="L172" s="5" t="n"/>
    </row>
    <row r="173">
      <c r="A173" s="5" t="n"/>
      <c r="B173" s="6" t="n"/>
      <c r="C173" s="5" t="n"/>
      <c r="D173" s="5" t="n"/>
      <c r="E173" s="5" t="n"/>
      <c r="F173" s="5" t="n"/>
      <c r="G173" s="5" t="n"/>
      <c r="H173" s="6" t="n"/>
      <c r="I173" s="5" t="n"/>
      <c r="J173" s="5" t="n"/>
      <c r="K173" s="5" t="n"/>
      <c r="L173" s="5" t="n"/>
    </row>
    <row r="174">
      <c r="A174" s="5" t="n"/>
      <c r="B174" s="6" t="n"/>
      <c r="C174" s="5" t="n"/>
      <c r="D174" s="5" t="n"/>
      <c r="E174" s="5" t="n"/>
      <c r="F174" s="5" t="n"/>
      <c r="G174" s="5" t="n"/>
      <c r="H174" s="6" t="n"/>
      <c r="I174" s="5" t="n"/>
      <c r="J174" s="5" t="n"/>
      <c r="K174" s="5" t="n"/>
      <c r="L174" s="5" t="n"/>
    </row>
    <row r="175">
      <c r="A175" s="5" t="n"/>
      <c r="B175" s="6" t="n"/>
      <c r="C175" s="5" t="n"/>
      <c r="D175" s="5" t="n"/>
      <c r="E175" s="5" t="n"/>
      <c r="F175" s="5" t="n"/>
      <c r="G175" s="5" t="n"/>
      <c r="H175" s="6" t="n"/>
      <c r="I175" s="5" t="n"/>
      <c r="J175" s="5" t="n"/>
      <c r="K175" s="5" t="n"/>
      <c r="L175" s="5" t="n"/>
    </row>
    <row r="176">
      <c r="A176" s="5" t="n"/>
      <c r="B176" s="6" t="n"/>
      <c r="C176" s="5" t="n"/>
      <c r="D176" s="5" t="n"/>
      <c r="E176" s="5" t="n"/>
      <c r="F176" s="5" t="n"/>
      <c r="G176" s="5" t="n"/>
      <c r="H176" s="6" t="n"/>
      <c r="I176" s="5" t="n"/>
      <c r="J176" s="5" t="n"/>
      <c r="K176" s="5" t="n"/>
      <c r="L176" s="5" t="n"/>
    </row>
    <row r="177">
      <c r="A177" s="5" t="n"/>
      <c r="B177" s="6" t="n"/>
      <c r="C177" s="5" t="n"/>
      <c r="D177" s="5" t="n"/>
      <c r="E177" s="5" t="n"/>
      <c r="F177" s="5" t="n"/>
      <c r="G177" s="5" t="n"/>
      <c r="H177" s="6" t="n"/>
      <c r="I177" s="5" t="n"/>
      <c r="J177" s="5" t="n"/>
      <c r="K177" s="5" t="n"/>
      <c r="L177" s="5" t="n"/>
    </row>
    <row r="178">
      <c r="A178" s="5" t="n"/>
      <c r="B178" s="6" t="n"/>
      <c r="C178" s="5" t="n"/>
      <c r="D178" s="5" t="n"/>
      <c r="E178" s="5" t="n"/>
      <c r="F178" s="5" t="n"/>
      <c r="G178" s="5" t="n"/>
      <c r="H178" s="6" t="n"/>
      <c r="I178" s="5" t="n"/>
      <c r="J178" s="5" t="n"/>
      <c r="K178" s="5" t="n"/>
      <c r="L178" s="5" t="n"/>
    </row>
    <row r="179">
      <c r="A179" s="5" t="n"/>
      <c r="B179" s="6" t="n"/>
      <c r="C179" s="5" t="n"/>
      <c r="D179" s="5" t="n"/>
      <c r="E179" s="5" t="n"/>
      <c r="F179" s="5" t="n"/>
      <c r="G179" s="5" t="n"/>
      <c r="H179" s="6" t="n"/>
      <c r="I179" s="5" t="n"/>
      <c r="J179" s="5" t="n"/>
      <c r="K179" s="5" t="n"/>
      <c r="L179" s="5" t="n"/>
    </row>
    <row r="180">
      <c r="A180" s="5" t="n"/>
      <c r="B180" s="6" t="n"/>
      <c r="C180" s="5" t="n"/>
      <c r="D180" s="5" t="n"/>
      <c r="E180" s="5" t="n"/>
      <c r="F180" s="5" t="n"/>
      <c r="G180" s="5" t="n"/>
      <c r="H180" s="6" t="n"/>
      <c r="I180" s="5" t="n"/>
      <c r="J180" s="5" t="n"/>
      <c r="K180" s="5" t="n"/>
      <c r="L180" s="5" t="n"/>
    </row>
    <row r="181">
      <c r="A181" s="5" t="n"/>
      <c r="B181" s="6" t="n"/>
      <c r="C181" s="5" t="n"/>
      <c r="D181" s="5" t="n"/>
      <c r="E181" s="5" t="n"/>
      <c r="F181" s="5" t="n"/>
      <c r="G181" s="5" t="n"/>
      <c r="H181" s="6" t="n"/>
      <c r="I181" s="5" t="n"/>
      <c r="J181" s="5" t="n"/>
      <c r="K181" s="5" t="n"/>
      <c r="L181" s="5" t="n"/>
    </row>
    <row r="182">
      <c r="A182" s="5" t="n"/>
      <c r="B182" s="6" t="n"/>
      <c r="C182" s="5" t="n"/>
      <c r="D182" s="5" t="n"/>
      <c r="E182" s="5" t="n"/>
      <c r="F182" s="5" t="n"/>
      <c r="G182" s="5" t="n"/>
      <c r="H182" s="6" t="n"/>
      <c r="I182" s="5" t="n"/>
      <c r="J182" s="5" t="n"/>
      <c r="K182" s="5" t="n"/>
      <c r="L182" s="5" t="n"/>
    </row>
    <row r="183">
      <c r="A183" s="5" t="n"/>
      <c r="B183" s="6" t="n"/>
      <c r="C183" s="5" t="n"/>
      <c r="D183" s="5" t="n"/>
      <c r="E183" s="5" t="n"/>
      <c r="F183" s="5" t="n"/>
      <c r="G183" s="5" t="n"/>
      <c r="H183" s="6" t="n"/>
      <c r="I183" s="5" t="n"/>
      <c r="J183" s="5" t="n"/>
      <c r="K183" s="5" t="n"/>
      <c r="L183" s="5" t="n"/>
    </row>
    <row r="184">
      <c r="A184" s="5" t="n"/>
      <c r="B184" s="6" t="n"/>
      <c r="C184" s="5" t="n"/>
      <c r="D184" s="5" t="n"/>
      <c r="E184" s="5" t="n"/>
      <c r="F184" s="5" t="n"/>
      <c r="G184" s="5" t="n"/>
      <c r="H184" s="6" t="n"/>
      <c r="I184" s="5" t="n"/>
      <c r="J184" s="5" t="n"/>
      <c r="K184" s="5" t="n"/>
      <c r="L184" s="5" t="n"/>
    </row>
    <row r="185">
      <c r="A185" s="5" t="n"/>
      <c r="B185" s="6" t="n"/>
      <c r="C185" s="5" t="n"/>
      <c r="D185" s="5" t="n"/>
      <c r="E185" s="5" t="n"/>
      <c r="F185" s="5" t="n"/>
      <c r="G185" s="5" t="n"/>
      <c r="H185" s="6" t="n"/>
      <c r="I185" s="5" t="n"/>
      <c r="J185" s="5" t="n"/>
      <c r="K185" s="5" t="n"/>
      <c r="L185" s="5" t="n"/>
    </row>
    <row r="186">
      <c r="A186" s="5" t="n"/>
      <c r="B186" s="6" t="n"/>
      <c r="C186" s="5" t="n"/>
      <c r="D186" s="5" t="n"/>
      <c r="E186" s="5" t="n"/>
      <c r="F186" s="5" t="n"/>
      <c r="G186" s="5" t="n"/>
      <c r="H186" s="6" t="n"/>
      <c r="I186" s="5" t="n"/>
      <c r="J186" s="5" t="n"/>
      <c r="K186" s="5" t="n"/>
      <c r="L186" s="5" t="n"/>
    </row>
    <row r="187">
      <c r="A187" s="5" t="n"/>
      <c r="B187" s="6" t="n"/>
      <c r="C187" s="5" t="n"/>
      <c r="D187" s="5" t="n"/>
      <c r="E187" s="5" t="n"/>
      <c r="F187" s="5" t="n"/>
      <c r="G187" s="5" t="n"/>
      <c r="H187" s="6" t="n"/>
      <c r="I187" s="5" t="n"/>
      <c r="J187" s="5" t="n"/>
      <c r="K187" s="5" t="n"/>
      <c r="L187" s="5" t="n"/>
    </row>
    <row r="188">
      <c r="A188" s="5" t="n"/>
      <c r="B188" s="6" t="n"/>
      <c r="C188" s="5" t="n"/>
      <c r="D188" s="5" t="n"/>
      <c r="E188" s="5" t="n"/>
      <c r="F188" s="5" t="n"/>
      <c r="G188" s="5" t="n"/>
      <c r="H188" s="6" t="n"/>
      <c r="I188" s="5" t="n"/>
      <c r="J188" s="5" t="n"/>
      <c r="K188" s="5" t="n"/>
      <c r="L188" s="5" t="n"/>
    </row>
    <row r="189">
      <c r="A189" s="5" t="n"/>
      <c r="B189" s="6" t="n"/>
      <c r="C189" s="5" t="n"/>
      <c r="D189" s="5" t="n"/>
      <c r="E189" s="5" t="n"/>
      <c r="F189" s="5" t="n"/>
      <c r="G189" s="5" t="n"/>
      <c r="H189" s="6" t="n"/>
      <c r="I189" s="5" t="n"/>
      <c r="J189" s="5" t="n"/>
      <c r="K189" s="5" t="n"/>
      <c r="L189" s="5" t="n"/>
    </row>
    <row r="190">
      <c r="A190" s="5" t="n"/>
      <c r="B190" s="6" t="n"/>
      <c r="C190" s="5" t="n"/>
      <c r="D190" s="5" t="n"/>
      <c r="E190" s="5" t="n"/>
      <c r="F190" s="5" t="n"/>
      <c r="G190" s="5" t="n"/>
      <c r="H190" s="6" t="n"/>
      <c r="I190" s="5" t="n"/>
      <c r="J190" s="5" t="n"/>
      <c r="K190" s="5" t="n"/>
      <c r="L190" s="5" t="n"/>
    </row>
    <row r="191">
      <c r="A191" s="5" t="n"/>
      <c r="B191" s="6" t="n"/>
      <c r="C191" s="5" t="n"/>
      <c r="D191" s="5" t="n"/>
      <c r="E191" s="5" t="n"/>
      <c r="F191" s="5" t="n"/>
      <c r="G191" s="5" t="n"/>
      <c r="H191" s="6" t="n"/>
      <c r="I191" s="5" t="n"/>
      <c r="J191" s="5" t="n"/>
      <c r="K191" s="5" t="n"/>
      <c r="L191" s="5" t="n"/>
    </row>
    <row r="192">
      <c r="A192" s="5" t="n"/>
      <c r="B192" s="6" t="n"/>
      <c r="C192" s="5" t="n"/>
      <c r="D192" s="5" t="n"/>
      <c r="E192" s="5" t="n"/>
      <c r="F192" s="5" t="n"/>
      <c r="G192" s="5" t="n"/>
      <c r="H192" s="6" t="n"/>
      <c r="I192" s="5" t="n"/>
      <c r="J192" s="5" t="n"/>
      <c r="K192" s="5" t="n"/>
      <c r="L192" s="5" t="n"/>
    </row>
    <row r="193">
      <c r="A193" s="5" t="n"/>
      <c r="B193" s="6" t="n"/>
      <c r="C193" s="5" t="n"/>
      <c r="D193" s="5" t="n"/>
      <c r="E193" s="5" t="n"/>
      <c r="F193" s="5" t="n"/>
      <c r="G193" s="5" t="n"/>
      <c r="H193" s="6" t="n"/>
      <c r="I193" s="5" t="n"/>
      <c r="J193" s="5" t="n"/>
      <c r="K193" s="5" t="n"/>
      <c r="L193" s="5" t="n"/>
    </row>
    <row r="194">
      <c r="A194" s="5" t="n"/>
      <c r="B194" s="6" t="n"/>
      <c r="C194" s="5" t="n"/>
      <c r="D194" s="5" t="n"/>
      <c r="E194" s="5" t="n"/>
      <c r="F194" s="5" t="n"/>
      <c r="G194" s="5" t="n"/>
      <c r="H194" s="6" t="n"/>
      <c r="I194" s="5" t="n"/>
      <c r="J194" s="5" t="n"/>
      <c r="K194" s="5" t="n"/>
      <c r="L194" s="5" t="n"/>
    </row>
    <row r="195">
      <c r="A195" s="5" t="n"/>
      <c r="B195" s="6" t="n"/>
      <c r="C195" s="5" t="n"/>
      <c r="D195" s="5" t="n"/>
      <c r="E195" s="5" t="n"/>
      <c r="F195" s="5" t="n"/>
      <c r="G195" s="5" t="n"/>
      <c r="H195" s="6" t="n"/>
      <c r="I195" s="5" t="n"/>
      <c r="J195" s="5" t="n"/>
      <c r="K195" s="5" t="n"/>
      <c r="L195" s="5" t="n"/>
    </row>
    <row r="196">
      <c r="A196" s="5" t="n"/>
      <c r="B196" s="6" t="n"/>
      <c r="C196" s="5" t="n"/>
      <c r="D196" s="5" t="n"/>
      <c r="E196" s="5" t="n"/>
      <c r="F196" s="5" t="n"/>
      <c r="G196" s="5" t="n"/>
      <c r="H196" s="6" t="n"/>
      <c r="I196" s="5" t="n"/>
      <c r="J196" s="5" t="n"/>
      <c r="K196" s="5" t="n"/>
      <c r="L196" s="5" t="n"/>
    </row>
    <row r="197">
      <c r="A197" s="5" t="n"/>
      <c r="B197" s="6" t="n"/>
      <c r="C197" s="5" t="n"/>
      <c r="D197" s="5" t="n"/>
      <c r="E197" s="5" t="n"/>
      <c r="F197" s="5" t="n"/>
      <c r="G197" s="5" t="n"/>
      <c r="H197" s="6" t="n"/>
      <c r="I197" s="5" t="n"/>
      <c r="J197" s="5" t="n"/>
      <c r="K197" s="5" t="n"/>
      <c r="L197" s="5" t="n"/>
    </row>
    <row r="198">
      <c r="A198" s="5" t="n"/>
      <c r="B198" s="6" t="n"/>
      <c r="C198" s="5" t="n"/>
      <c r="D198" s="5" t="n"/>
      <c r="E198" s="5" t="n"/>
      <c r="F198" s="5" t="n"/>
      <c r="G198" s="5" t="n"/>
      <c r="H198" s="6" t="n"/>
      <c r="I198" s="5" t="n"/>
      <c r="J198" s="5" t="n"/>
      <c r="K198" s="5" t="n"/>
      <c r="L198" s="5" t="n"/>
    </row>
    <row r="199">
      <c r="A199" s="5" t="n"/>
      <c r="B199" s="6" t="n"/>
      <c r="C199" s="5" t="n"/>
      <c r="D199" s="5" t="n"/>
      <c r="E199" s="5" t="n"/>
      <c r="F199" s="5" t="n"/>
      <c r="G199" s="5" t="n"/>
      <c r="H199" s="6" t="n"/>
      <c r="I199" s="5" t="n"/>
      <c r="J199" s="5" t="n"/>
      <c r="K199" s="5" t="n"/>
      <c r="L199" s="5" t="n"/>
    </row>
    <row r="200">
      <c r="A200" s="5" t="n"/>
      <c r="B200" s="6" t="n"/>
      <c r="C200" s="5" t="n"/>
      <c r="D200" s="5" t="n"/>
      <c r="E200" s="5" t="n"/>
      <c r="F200" s="5" t="n"/>
      <c r="G200" s="5" t="n"/>
      <c r="H200" s="6" t="n"/>
      <c r="I200" s="5" t="n"/>
      <c r="J200" s="5" t="n"/>
      <c r="K200" s="5" t="n"/>
      <c r="L200" s="5" t="n"/>
    </row>
    <row r="201">
      <c r="A201" s="5" t="n"/>
      <c r="B201" s="6" t="n"/>
      <c r="C201" s="5" t="n"/>
      <c r="D201" s="5" t="n"/>
      <c r="E201" s="5" t="n"/>
      <c r="F201" s="5" t="n"/>
      <c r="G201" s="5" t="n"/>
      <c r="H201" s="6" t="n"/>
      <c r="I201" s="5" t="n"/>
      <c r="J201" s="5" t="n"/>
      <c r="K201" s="5" t="n"/>
      <c r="L201" s="5" t="n"/>
    </row>
    <row r="202">
      <c r="A202" s="5" t="n"/>
      <c r="B202" s="6" t="n"/>
      <c r="C202" s="5" t="n"/>
      <c r="D202" s="5" t="n"/>
      <c r="E202" s="5" t="n"/>
      <c r="F202" s="5" t="n"/>
      <c r="G202" s="5" t="n"/>
      <c r="H202" s="6" t="n"/>
      <c r="I202" s="5" t="n"/>
      <c r="J202" s="5" t="n"/>
      <c r="K202" s="5" t="n"/>
      <c r="L202" s="5" t="n"/>
    </row>
    <row r="203">
      <c r="A203" s="5" t="n"/>
      <c r="B203" s="6" t="n"/>
      <c r="C203" s="5" t="n"/>
      <c r="D203" s="5" t="n"/>
      <c r="E203" s="5" t="n"/>
      <c r="F203" s="5" t="n"/>
      <c r="G203" s="5" t="n"/>
      <c r="H203" s="6" t="n"/>
      <c r="I203" s="5" t="n"/>
      <c r="J203" s="5" t="n"/>
      <c r="K203" s="5" t="n"/>
      <c r="L203" s="5" t="n"/>
    </row>
    <row r="204">
      <c r="A204" s="5" t="n"/>
      <c r="B204" s="6" t="n"/>
      <c r="C204" s="5" t="n"/>
      <c r="D204" s="5" t="n"/>
      <c r="E204" s="5" t="n"/>
      <c r="F204" s="5" t="n"/>
      <c r="G204" s="5" t="n"/>
      <c r="H204" s="6" t="n"/>
      <c r="I204" s="5" t="n"/>
      <c r="J204" s="5" t="n"/>
      <c r="K204" s="5" t="n"/>
      <c r="L204" s="5" t="n"/>
    </row>
    <row r="205">
      <c r="A205" s="5" t="n"/>
      <c r="B205" s="6" t="n"/>
      <c r="C205" s="5" t="n"/>
      <c r="D205" s="5" t="n"/>
      <c r="E205" s="5" t="n"/>
      <c r="F205" s="5" t="n"/>
      <c r="G205" s="5" t="n"/>
      <c r="H205" s="6" t="n"/>
      <c r="I205" s="5" t="n"/>
      <c r="J205" s="5" t="n"/>
      <c r="K205" s="5" t="n"/>
      <c r="L205" s="5" t="n"/>
    </row>
    <row r="206">
      <c r="A206" s="5" t="n"/>
      <c r="B206" s="6" t="n"/>
      <c r="C206" s="5" t="n"/>
      <c r="D206" s="5" t="n"/>
      <c r="E206" s="5" t="n"/>
      <c r="F206" s="5" t="n"/>
      <c r="G206" s="5" t="n"/>
      <c r="H206" s="6" t="n"/>
      <c r="I206" s="5" t="n"/>
      <c r="J206" s="5" t="n"/>
      <c r="K206" s="5" t="n"/>
      <c r="L206" s="5" t="n"/>
    </row>
    <row r="207">
      <c r="A207" s="5" t="n"/>
      <c r="B207" s="6" t="n"/>
      <c r="C207" s="5" t="n"/>
      <c r="D207" s="5" t="n"/>
      <c r="E207" s="5" t="n"/>
      <c r="F207" s="5" t="n"/>
      <c r="G207" s="5" t="n"/>
      <c r="H207" s="6" t="n"/>
      <c r="I207" s="5" t="n"/>
      <c r="J207" s="5" t="n"/>
      <c r="K207" s="5" t="n"/>
      <c r="L207" s="5" t="n"/>
    </row>
    <row r="208">
      <c r="A208" s="5" t="n"/>
      <c r="B208" s="6" t="n"/>
      <c r="C208" s="5" t="n"/>
      <c r="D208" s="5" t="n"/>
      <c r="E208" s="5" t="n"/>
      <c r="F208" s="5" t="n"/>
      <c r="G208" s="5" t="n"/>
      <c r="H208" s="6" t="n"/>
      <c r="I208" s="5" t="n"/>
      <c r="J208" s="5" t="n"/>
      <c r="K208" s="5" t="n"/>
      <c r="L208" s="5" t="n"/>
    </row>
    <row r="209">
      <c r="A209" s="5" t="n"/>
      <c r="B209" s="6" t="n"/>
      <c r="C209" s="5" t="n"/>
      <c r="D209" s="5" t="n"/>
      <c r="E209" s="5" t="n"/>
      <c r="F209" s="5" t="n"/>
      <c r="G209" s="5" t="n"/>
      <c r="H209" s="6" t="n"/>
      <c r="I209" s="5" t="n"/>
      <c r="J209" s="5" t="n"/>
      <c r="K209" s="5" t="n"/>
      <c r="L209" s="5" t="n"/>
    </row>
    <row r="210">
      <c r="A210" s="5" t="n"/>
      <c r="B210" s="6" t="n"/>
      <c r="C210" s="5" t="n"/>
      <c r="D210" s="5" t="n"/>
      <c r="E210" s="5" t="n"/>
      <c r="F210" s="5" t="n"/>
      <c r="G210" s="5" t="n"/>
      <c r="H210" s="6" t="n"/>
      <c r="I210" s="5" t="n"/>
      <c r="J210" s="5" t="n"/>
      <c r="K210" s="5" t="n"/>
      <c r="L210" s="5" t="n"/>
    </row>
    <row r="211">
      <c r="A211" s="5" t="n"/>
      <c r="B211" s="6" t="n"/>
      <c r="C211" s="5" t="n"/>
      <c r="D211" s="5" t="n"/>
      <c r="E211" s="5" t="n"/>
      <c r="F211" s="5" t="n"/>
      <c r="G211" s="5" t="n"/>
      <c r="H211" s="6" t="n"/>
      <c r="I211" s="5" t="n"/>
      <c r="J211" s="5" t="n"/>
      <c r="K211" s="5" t="n"/>
      <c r="L211" s="5" t="n"/>
    </row>
    <row r="212">
      <c r="A212" s="5" t="n"/>
      <c r="B212" s="6" t="n"/>
      <c r="C212" s="5" t="n"/>
      <c r="D212" s="5" t="n"/>
      <c r="E212" s="5" t="n"/>
      <c r="F212" s="5" t="n"/>
      <c r="G212" s="5" t="n"/>
      <c r="H212" s="6" t="n"/>
      <c r="I212" s="5" t="n"/>
      <c r="J212" s="5" t="n"/>
      <c r="K212" s="5" t="n"/>
      <c r="L212" s="5" t="n"/>
    </row>
    <row r="213">
      <c r="A213" s="5" t="n"/>
      <c r="B213" s="6" t="n"/>
      <c r="C213" s="5" t="n"/>
      <c r="D213" s="5" t="n"/>
      <c r="E213" s="5" t="n"/>
      <c r="F213" s="5" t="n"/>
      <c r="G213" s="5" t="n"/>
      <c r="H213" s="6" t="n"/>
      <c r="I213" s="5" t="n"/>
      <c r="J213" s="5" t="n"/>
      <c r="K213" s="5" t="n"/>
      <c r="L213" s="5" t="n"/>
    </row>
    <row r="214">
      <c r="A214" s="5" t="n"/>
      <c r="B214" s="6" t="n"/>
      <c r="C214" s="5" t="n"/>
      <c r="D214" s="5" t="n"/>
      <c r="E214" s="5" t="n"/>
      <c r="F214" s="5" t="n"/>
      <c r="G214" s="5" t="n"/>
      <c r="H214" s="6" t="n"/>
      <c r="I214" s="5" t="n"/>
      <c r="J214" s="5" t="n"/>
      <c r="K214" s="5" t="n"/>
      <c r="L214" s="5" t="n"/>
    </row>
    <row r="215">
      <c r="A215" s="5" t="n"/>
      <c r="B215" s="6" t="n"/>
      <c r="C215" s="5" t="n"/>
      <c r="D215" s="5" t="n"/>
      <c r="E215" s="5" t="n"/>
      <c r="F215" s="5" t="n"/>
      <c r="G215" s="5" t="n"/>
      <c r="H215" s="6" t="n"/>
      <c r="I215" s="5" t="n"/>
      <c r="J215" s="5" t="n"/>
      <c r="K215" s="5" t="n"/>
      <c r="L215" s="5" t="n"/>
    </row>
    <row r="216">
      <c r="A216" s="5" t="n"/>
      <c r="B216" s="6" t="n"/>
      <c r="C216" s="5" t="n"/>
      <c r="D216" s="5" t="n"/>
      <c r="E216" s="5" t="n"/>
      <c r="F216" s="5" t="n"/>
      <c r="G216" s="5" t="n"/>
      <c r="H216" s="6" t="n"/>
      <c r="I216" s="5" t="n"/>
      <c r="J216" s="5" t="n"/>
      <c r="K216" s="5" t="n"/>
      <c r="L216" s="5" t="n"/>
    </row>
    <row r="217">
      <c r="A217" s="5" t="n"/>
      <c r="B217" s="6" t="n"/>
      <c r="C217" s="5" t="n"/>
      <c r="D217" s="5" t="n"/>
      <c r="E217" s="5" t="n"/>
      <c r="F217" s="5" t="n"/>
      <c r="G217" s="5" t="n"/>
      <c r="H217" s="6" t="n"/>
      <c r="I217" s="5" t="n"/>
      <c r="J217" s="5" t="n"/>
      <c r="K217" s="5" t="n"/>
      <c r="L217" s="5" t="n"/>
    </row>
    <row r="218">
      <c r="A218" s="5" t="n"/>
      <c r="B218" s="6" t="n"/>
      <c r="C218" s="5" t="n"/>
      <c r="D218" s="5" t="n"/>
      <c r="E218" s="5" t="n"/>
      <c r="F218" s="5" t="n"/>
      <c r="G218" s="5" t="n"/>
      <c r="H218" s="6" t="n"/>
      <c r="I218" s="5" t="n"/>
      <c r="J218" s="5" t="n"/>
      <c r="K218" s="5" t="n"/>
      <c r="L218" s="5" t="n"/>
    </row>
    <row r="219">
      <c r="A219" s="5" t="n"/>
      <c r="B219" s="6" t="n"/>
      <c r="C219" s="5" t="n"/>
      <c r="D219" s="5" t="n"/>
      <c r="E219" s="5" t="n"/>
      <c r="F219" s="5" t="n"/>
      <c r="G219" s="5" t="n"/>
      <c r="H219" s="6" t="n"/>
      <c r="I219" s="5" t="n"/>
      <c r="J219" s="5" t="n"/>
      <c r="K219" s="5" t="n"/>
      <c r="L219" s="5" t="n"/>
    </row>
    <row r="220">
      <c r="A220" s="5" t="n"/>
      <c r="B220" s="6" t="n"/>
      <c r="C220" s="5" t="n"/>
      <c r="D220" s="5" t="n"/>
      <c r="E220" s="5" t="n"/>
      <c r="F220" s="5" t="n"/>
      <c r="G220" s="5" t="n"/>
      <c r="H220" s="6" t="n"/>
      <c r="I220" s="5" t="n"/>
      <c r="J220" s="5" t="n"/>
      <c r="K220" s="5" t="n"/>
      <c r="L220" s="5" t="n"/>
    </row>
    <row r="221">
      <c r="A221" s="5" t="n"/>
      <c r="B221" s="6" t="n"/>
      <c r="C221" s="5" t="n"/>
      <c r="D221" s="5" t="n"/>
      <c r="E221" s="5" t="n"/>
      <c r="F221" s="5" t="n"/>
      <c r="G221" s="5" t="n"/>
      <c r="H221" s="6" t="n"/>
      <c r="I221" s="5" t="n"/>
      <c r="J221" s="5" t="n"/>
      <c r="K221" s="5" t="n"/>
      <c r="L221" s="5" t="n"/>
    </row>
    <row r="222">
      <c r="A222" s="5" t="n"/>
      <c r="B222" s="6" t="n"/>
      <c r="C222" s="5" t="n"/>
      <c r="D222" s="5" t="n"/>
      <c r="E222" s="5" t="n"/>
      <c r="F222" s="5" t="n"/>
      <c r="G222" s="5" t="n"/>
      <c r="H222" s="6" t="n"/>
      <c r="I222" s="5" t="n"/>
      <c r="J222" s="5" t="n"/>
      <c r="K222" s="5" t="n"/>
      <c r="L222" s="5" t="n"/>
    </row>
    <row r="223">
      <c r="A223" s="5" t="n"/>
      <c r="B223" s="6" t="n"/>
      <c r="C223" s="5" t="n"/>
      <c r="D223" s="5" t="n"/>
      <c r="E223" s="5" t="n"/>
      <c r="F223" s="5" t="n"/>
      <c r="G223" s="5" t="n"/>
      <c r="H223" s="6" t="n"/>
      <c r="I223" s="5" t="n"/>
      <c r="J223" s="5" t="n"/>
      <c r="K223" s="5" t="n"/>
      <c r="L223" s="5" t="n"/>
    </row>
    <row r="224">
      <c r="A224" s="5" t="n"/>
      <c r="B224" s="6" t="n"/>
      <c r="C224" s="5" t="n"/>
      <c r="D224" s="5" t="n"/>
      <c r="E224" s="5" t="n"/>
      <c r="F224" s="5" t="n"/>
      <c r="G224" s="5" t="n"/>
      <c r="H224" s="6" t="n"/>
      <c r="I224" s="5" t="n"/>
      <c r="J224" s="5" t="n"/>
      <c r="K224" s="5" t="n"/>
      <c r="L224" s="5" t="n"/>
    </row>
    <row r="225">
      <c r="A225" s="5" t="n"/>
      <c r="B225" s="6" t="n"/>
      <c r="C225" s="5" t="n"/>
      <c r="D225" s="5" t="n"/>
      <c r="E225" s="5" t="n"/>
      <c r="F225" s="5" t="n"/>
      <c r="G225" s="5" t="n"/>
      <c r="H225" s="6" t="n"/>
      <c r="I225" s="5" t="n"/>
      <c r="J225" s="5" t="n"/>
      <c r="K225" s="5" t="n"/>
      <c r="L225" s="5" t="n"/>
    </row>
    <row r="226">
      <c r="A226" s="5" t="n"/>
      <c r="B226" s="6" t="n"/>
      <c r="C226" s="5" t="n"/>
      <c r="D226" s="5" t="n"/>
      <c r="E226" s="5" t="n"/>
      <c r="F226" s="5" t="n"/>
      <c r="G226" s="5" t="n"/>
      <c r="H226" s="6" t="n"/>
      <c r="I226" s="5" t="n"/>
      <c r="J226" s="5" t="n"/>
      <c r="K226" s="5" t="n"/>
      <c r="L226" s="5" t="n"/>
    </row>
    <row r="227">
      <c r="A227" s="5" t="n"/>
      <c r="B227" s="6" t="n"/>
      <c r="C227" s="5" t="n"/>
      <c r="D227" s="5" t="n"/>
      <c r="E227" s="5" t="n"/>
      <c r="F227" s="5" t="n"/>
      <c r="G227" s="5" t="n"/>
      <c r="H227" s="6" t="n"/>
      <c r="I227" s="5" t="n"/>
      <c r="J227" s="5" t="n"/>
      <c r="K227" s="5" t="n"/>
      <c r="L227" s="5" t="n"/>
    </row>
    <row r="228">
      <c r="A228" s="5" t="n"/>
      <c r="B228" s="6" t="n"/>
      <c r="C228" s="5" t="n"/>
      <c r="D228" s="5" t="n"/>
      <c r="E228" s="5" t="n"/>
      <c r="F228" s="5" t="n"/>
      <c r="G228" s="5" t="n"/>
      <c r="H228" s="6" t="n"/>
      <c r="I228" s="5" t="n"/>
      <c r="J228" s="5" t="n"/>
      <c r="K228" s="5" t="n"/>
      <c r="L228" s="5" t="n"/>
    </row>
    <row r="229">
      <c r="A229" s="5" t="n"/>
      <c r="B229" s="6" t="n"/>
      <c r="C229" s="5" t="n"/>
      <c r="D229" s="5" t="n"/>
      <c r="E229" s="5" t="n"/>
      <c r="F229" s="5" t="n"/>
      <c r="G229" s="5" t="n"/>
      <c r="H229" s="6" t="n"/>
      <c r="I229" s="5" t="n"/>
      <c r="J229" s="5" t="n"/>
      <c r="K229" s="5" t="n"/>
      <c r="L229" s="5" t="n"/>
    </row>
    <row r="230">
      <c r="A230" s="5" t="n"/>
      <c r="B230" s="6" t="n"/>
      <c r="C230" s="5" t="n"/>
      <c r="D230" s="5" t="n"/>
      <c r="E230" s="5" t="n"/>
      <c r="F230" s="5" t="n"/>
      <c r="G230" s="5" t="n"/>
      <c r="H230" s="6" t="n"/>
      <c r="I230" s="5" t="n"/>
      <c r="J230" s="5" t="n"/>
      <c r="K230" s="5" t="n"/>
      <c r="L230" s="5" t="n"/>
    </row>
    <row r="231">
      <c r="A231" s="5" t="n"/>
      <c r="B231" s="6" t="n"/>
      <c r="C231" s="5" t="n"/>
      <c r="D231" s="5" t="n"/>
      <c r="E231" s="5" t="n"/>
      <c r="F231" s="5" t="n"/>
      <c r="G231" s="5" t="n"/>
      <c r="H231" s="6" t="n"/>
      <c r="I231" s="5" t="n"/>
      <c r="J231" s="5" t="n"/>
      <c r="K231" s="5" t="n"/>
      <c r="L231" s="5" t="n"/>
    </row>
    <row r="232">
      <c r="A232" s="5" t="n"/>
      <c r="B232" s="6" t="n"/>
      <c r="C232" s="5" t="n"/>
      <c r="D232" s="5" t="n"/>
      <c r="E232" s="5" t="n"/>
      <c r="F232" s="5" t="n"/>
      <c r="G232" s="5" t="n"/>
      <c r="H232" s="6" t="n"/>
      <c r="I232" s="5" t="n"/>
      <c r="J232" s="5" t="n"/>
      <c r="K232" s="5" t="n"/>
      <c r="L232" s="5" t="n"/>
    </row>
    <row r="233">
      <c r="A233" s="5" t="n"/>
      <c r="B233" s="6" t="n"/>
      <c r="C233" s="5" t="n"/>
      <c r="D233" s="5" t="n"/>
      <c r="E233" s="5" t="n"/>
      <c r="F233" s="5" t="n"/>
      <c r="G233" s="5" t="n"/>
      <c r="H233" s="6" t="n"/>
      <c r="I233" s="5" t="n"/>
      <c r="J233" s="5" t="n"/>
      <c r="K233" s="5" t="n"/>
      <c r="L233" s="5" t="n"/>
    </row>
    <row r="234">
      <c r="A234" s="5" t="n"/>
      <c r="B234" s="6" t="n"/>
      <c r="C234" s="5" t="n"/>
      <c r="D234" s="5" t="n"/>
      <c r="E234" s="5" t="n"/>
      <c r="F234" s="5" t="n"/>
      <c r="G234" s="5" t="n"/>
      <c r="H234" s="6" t="n"/>
      <c r="I234" s="5" t="n"/>
      <c r="J234" s="5" t="n"/>
      <c r="K234" s="5" t="n"/>
      <c r="L234" s="5" t="n"/>
    </row>
    <row r="235">
      <c r="A235" s="5" t="n"/>
      <c r="B235" s="6" t="n"/>
      <c r="C235" s="5" t="n"/>
      <c r="D235" s="5" t="n"/>
      <c r="E235" s="5" t="n"/>
      <c r="F235" s="5" t="n"/>
      <c r="G235" s="5" t="n"/>
      <c r="H235" s="6" t="n"/>
      <c r="I235" s="5" t="n"/>
      <c r="J235" s="5" t="n"/>
      <c r="K235" s="5" t="n"/>
      <c r="L235" s="5" t="n"/>
    </row>
    <row r="236">
      <c r="A236" s="5" t="n"/>
      <c r="B236" s="6" t="n"/>
      <c r="C236" s="5" t="n"/>
      <c r="D236" s="5" t="n"/>
      <c r="E236" s="5" t="n"/>
      <c r="F236" s="5" t="n"/>
      <c r="G236" s="5" t="n"/>
      <c r="H236" s="6" t="n"/>
      <c r="I236" s="5" t="n"/>
      <c r="J236" s="5" t="n"/>
      <c r="K236" s="5" t="n"/>
      <c r="L236" s="5" t="n"/>
    </row>
    <row r="237">
      <c r="A237" s="5" t="n"/>
      <c r="B237" s="6" t="n"/>
      <c r="C237" s="5" t="n"/>
      <c r="D237" s="5" t="n"/>
      <c r="E237" s="5" t="n"/>
      <c r="F237" s="5" t="n"/>
      <c r="G237" s="5" t="n"/>
      <c r="H237" s="6" t="n"/>
      <c r="I237" s="5" t="n"/>
      <c r="J237" s="5" t="n"/>
      <c r="K237" s="5" t="n"/>
      <c r="L237" s="5" t="n"/>
    </row>
    <row r="238">
      <c r="A238" s="5" t="n"/>
      <c r="B238" s="6" t="n"/>
      <c r="C238" s="5" t="n"/>
      <c r="D238" s="5" t="n"/>
      <c r="E238" s="5" t="n"/>
      <c r="F238" s="5" t="n"/>
      <c r="G238" s="5" t="n"/>
      <c r="H238" s="6" t="n"/>
      <c r="I238" s="5" t="n"/>
      <c r="J238" s="5" t="n"/>
      <c r="K238" s="5" t="n"/>
      <c r="L238" s="5" t="n"/>
    </row>
    <row r="239">
      <c r="A239" s="5" t="n"/>
      <c r="B239" s="6" t="n"/>
      <c r="C239" s="5" t="n"/>
      <c r="D239" s="5" t="n"/>
      <c r="E239" s="5" t="n"/>
      <c r="F239" s="5" t="n"/>
      <c r="G239" s="5" t="n"/>
      <c r="H239" s="6" t="n"/>
      <c r="I239" s="5" t="n"/>
      <c r="J239" s="5" t="n"/>
      <c r="K239" s="5" t="n"/>
      <c r="L239" s="5" t="n"/>
    </row>
    <row r="240">
      <c r="A240" s="5" t="n"/>
      <c r="B240" s="6" t="n"/>
      <c r="C240" s="5" t="n"/>
      <c r="D240" s="5" t="n"/>
      <c r="E240" s="5" t="n"/>
      <c r="F240" s="5" t="n"/>
      <c r="G240" s="5" t="n"/>
      <c r="H240" s="6" t="n"/>
      <c r="I240" s="5" t="n"/>
      <c r="J240" s="5" t="n"/>
      <c r="K240" s="5" t="n"/>
      <c r="L240" s="5" t="n"/>
    </row>
    <row r="241">
      <c r="A241" s="5" t="n"/>
      <c r="B241" s="6" t="n"/>
      <c r="C241" s="5" t="n"/>
      <c r="D241" s="5" t="n"/>
      <c r="E241" s="5" t="n"/>
      <c r="F241" s="5" t="n"/>
      <c r="G241" s="5" t="n"/>
      <c r="H241" s="6" t="n"/>
      <c r="I241" s="5" t="n"/>
      <c r="J241" s="5" t="n"/>
      <c r="K241" s="5" t="n"/>
      <c r="L241" s="5" t="n"/>
    </row>
    <row r="242">
      <c r="A242" s="5" t="n"/>
      <c r="B242" s="6" t="n"/>
      <c r="C242" s="5" t="n"/>
      <c r="D242" s="5" t="n"/>
      <c r="E242" s="5" t="n"/>
      <c r="F242" s="5" t="n"/>
      <c r="G242" s="5" t="n"/>
      <c r="H242" s="6" t="n"/>
      <c r="I242" s="5" t="n"/>
      <c r="J242" s="5" t="n"/>
      <c r="K242" s="5" t="n"/>
      <c r="L242" s="5" t="n"/>
    </row>
    <row r="243">
      <c r="A243" s="5" t="n"/>
      <c r="B243" s="6" t="n"/>
      <c r="C243" s="5" t="n"/>
      <c r="D243" s="5" t="n"/>
      <c r="E243" s="5" t="n"/>
      <c r="F243" s="5" t="n"/>
      <c r="G243" s="5" t="n"/>
      <c r="H243" s="6" t="n"/>
      <c r="I243" s="5" t="n"/>
      <c r="J243" s="5" t="n"/>
      <c r="K243" s="5" t="n"/>
      <c r="L243" s="5" t="n"/>
    </row>
    <row r="244">
      <c r="A244" s="5" t="n"/>
      <c r="B244" s="6" t="n"/>
      <c r="C244" s="5" t="n"/>
      <c r="D244" s="5" t="n"/>
      <c r="E244" s="5" t="n"/>
      <c r="F244" s="5" t="n"/>
      <c r="G244" s="5" t="n"/>
      <c r="H244" s="6" t="n"/>
      <c r="I244" s="5" t="n"/>
      <c r="J244" s="5" t="n"/>
      <c r="K244" s="5" t="n"/>
      <c r="L244" s="5" t="n"/>
    </row>
    <row r="245">
      <c r="A245" s="5" t="n"/>
      <c r="B245" s="6" t="n"/>
      <c r="C245" s="5" t="n"/>
      <c r="D245" s="5" t="n"/>
      <c r="E245" s="5" t="n"/>
      <c r="F245" s="5" t="n"/>
      <c r="G245" s="5" t="n"/>
      <c r="H245" s="6" t="n"/>
      <c r="I245" s="5" t="n"/>
      <c r="J245" s="5" t="n"/>
      <c r="K245" s="5" t="n"/>
      <c r="L245" s="5" t="n"/>
    </row>
    <row r="246">
      <c r="A246" s="5" t="n"/>
      <c r="B246" s="6" t="n"/>
      <c r="C246" s="5" t="n"/>
      <c r="D246" s="5" t="n"/>
      <c r="E246" s="5" t="n"/>
      <c r="F246" s="5" t="n"/>
      <c r="G246" s="5" t="n"/>
      <c r="H246" s="6" t="n"/>
      <c r="I246" s="5" t="n"/>
      <c r="J246" s="5" t="n"/>
      <c r="K246" s="5" t="n"/>
      <c r="L246" s="5" t="n"/>
    </row>
    <row r="247">
      <c r="A247" s="5" t="n"/>
      <c r="B247" s="6" t="n"/>
      <c r="C247" s="5" t="n"/>
      <c r="D247" s="5" t="n"/>
      <c r="E247" s="5" t="n"/>
      <c r="F247" s="5" t="n"/>
      <c r="G247" s="5" t="n"/>
      <c r="H247" s="6" t="n"/>
      <c r="I247" s="5" t="n"/>
      <c r="J247" s="5" t="n"/>
      <c r="K247" s="5" t="n"/>
      <c r="L247" s="5" t="n"/>
    </row>
    <row r="248">
      <c r="A248" s="5" t="n"/>
      <c r="B248" s="6" t="n"/>
      <c r="C248" s="5" t="n"/>
      <c r="D248" s="5" t="n"/>
      <c r="E248" s="5" t="n"/>
      <c r="F248" s="5" t="n"/>
      <c r="G248" s="5" t="n"/>
      <c r="H248" s="6" t="n"/>
      <c r="I248" s="5" t="n"/>
      <c r="J248" s="5" t="n"/>
      <c r="K248" s="5" t="n"/>
      <c r="L248" s="5" t="n"/>
    </row>
    <row r="249">
      <c r="A249" s="5" t="n"/>
      <c r="B249" s="6" t="n"/>
      <c r="C249" s="5" t="n"/>
      <c r="D249" s="5" t="n"/>
      <c r="E249" s="5" t="n"/>
      <c r="F249" s="5" t="n"/>
      <c r="G249" s="5" t="n"/>
      <c r="H249" s="6" t="n"/>
      <c r="I249" s="5" t="n"/>
      <c r="J249" s="5" t="n"/>
      <c r="K249" s="5" t="n"/>
      <c r="L249" s="5" t="n"/>
    </row>
    <row r="250">
      <c r="A250" s="5" t="n"/>
      <c r="B250" s="6" t="n"/>
      <c r="C250" s="5" t="n"/>
      <c r="D250" s="5" t="n"/>
      <c r="E250" s="5" t="n"/>
      <c r="F250" s="5" t="n"/>
      <c r="G250" s="5" t="n"/>
      <c r="H250" s="6" t="n"/>
      <c r="I250" s="5" t="n"/>
      <c r="J250" s="5" t="n"/>
      <c r="K250" s="5" t="n"/>
      <c r="L250" s="5" t="n"/>
    </row>
    <row r="251">
      <c r="A251" s="5" t="n"/>
      <c r="B251" s="6" t="n"/>
      <c r="C251" s="5" t="n"/>
      <c r="D251" s="5" t="n"/>
      <c r="E251" s="5" t="n"/>
      <c r="F251" s="5" t="n"/>
      <c r="G251" s="5" t="n"/>
      <c r="H251" s="6" t="n"/>
      <c r="I251" s="5" t="n"/>
      <c r="J251" s="5" t="n"/>
      <c r="K251" s="5" t="n"/>
      <c r="L251" s="5" t="n"/>
    </row>
    <row r="252">
      <c r="A252" s="5" t="n"/>
      <c r="B252" s="6" t="n"/>
      <c r="C252" s="5" t="n"/>
      <c r="D252" s="5" t="n"/>
      <c r="E252" s="5" t="n"/>
      <c r="F252" s="5" t="n"/>
      <c r="G252" s="5" t="n"/>
      <c r="H252" s="6" t="n"/>
      <c r="I252" s="5" t="n"/>
      <c r="J252" s="5" t="n"/>
      <c r="K252" s="5" t="n"/>
      <c r="L252" s="5" t="n"/>
    </row>
    <row r="253">
      <c r="A253" s="5" t="n"/>
      <c r="B253" s="6" t="n"/>
      <c r="C253" s="5" t="n"/>
      <c r="D253" s="5" t="n"/>
      <c r="E253" s="5" t="n"/>
      <c r="F253" s="5" t="n"/>
      <c r="G253" s="5" t="n"/>
      <c r="H253" s="6" t="n"/>
      <c r="I253" s="5" t="n"/>
      <c r="J253" s="5" t="n"/>
      <c r="K253" s="5" t="n"/>
      <c r="L253" s="5" t="n"/>
    </row>
    <row r="254">
      <c r="A254" s="5" t="n"/>
      <c r="B254" s="6" t="n"/>
      <c r="C254" s="5" t="n"/>
      <c r="D254" s="5" t="n"/>
      <c r="E254" s="5" t="n"/>
      <c r="F254" s="5" t="n"/>
      <c r="G254" s="5" t="n"/>
      <c r="H254" s="6" t="n"/>
      <c r="I254" s="5" t="n"/>
      <c r="J254" s="5" t="n"/>
      <c r="K254" s="5" t="n"/>
      <c r="L254" s="5" t="n"/>
    </row>
    <row r="255">
      <c r="A255" s="5" t="n"/>
      <c r="B255" s="6" t="n"/>
      <c r="C255" s="5" t="n"/>
      <c r="D255" s="5" t="n"/>
      <c r="E255" s="5" t="n"/>
      <c r="F255" s="5" t="n"/>
      <c r="G255" s="5" t="n"/>
      <c r="H255" s="6" t="n"/>
      <c r="I255" s="5" t="n"/>
      <c r="J255" s="5" t="n"/>
      <c r="K255" s="5" t="n"/>
      <c r="L255" s="5" t="n"/>
    </row>
    <row r="256">
      <c r="A256" s="5" t="n"/>
      <c r="B256" s="6" t="n"/>
      <c r="C256" s="5" t="n"/>
      <c r="D256" s="5" t="n"/>
      <c r="E256" s="5" t="n"/>
      <c r="F256" s="5" t="n"/>
      <c r="G256" s="5" t="n"/>
      <c r="H256" s="6" t="n"/>
      <c r="I256" s="5" t="n"/>
      <c r="J256" s="5" t="n"/>
      <c r="K256" s="5" t="n"/>
      <c r="L256" s="5" t="n"/>
    </row>
    <row r="257">
      <c r="A257" s="5" t="n"/>
      <c r="B257" s="6" t="n"/>
      <c r="C257" s="5" t="n"/>
      <c r="D257" s="5" t="n"/>
      <c r="E257" s="5" t="n"/>
      <c r="F257" s="5" t="n"/>
      <c r="G257" s="5" t="n"/>
      <c r="H257" s="6" t="n"/>
      <c r="I257" s="5" t="n"/>
      <c r="J257" s="5" t="n"/>
      <c r="K257" s="5" t="n"/>
      <c r="L257" s="5" t="n"/>
    </row>
    <row r="258">
      <c r="A258" s="5" t="n"/>
      <c r="B258" s="6" t="n"/>
      <c r="C258" s="5" t="n"/>
      <c r="D258" s="5" t="n"/>
      <c r="E258" s="5" t="n"/>
      <c r="F258" s="5" t="n"/>
      <c r="G258" s="5" t="n"/>
      <c r="H258" s="6" t="n"/>
      <c r="I258" s="5" t="n"/>
      <c r="J258" s="5" t="n"/>
      <c r="K258" s="5" t="n"/>
      <c r="L258" s="5" t="n"/>
    </row>
    <row r="259">
      <c r="A259" s="5" t="n"/>
      <c r="B259" s="6" t="n"/>
      <c r="C259" s="5" t="n"/>
      <c r="D259" s="5" t="n"/>
      <c r="E259" s="5" t="n"/>
      <c r="F259" s="5" t="n"/>
      <c r="G259" s="5" t="n"/>
      <c r="H259" s="6" t="n"/>
      <c r="I259" s="5" t="n"/>
      <c r="J259" s="5" t="n"/>
      <c r="K259" s="5" t="n"/>
      <c r="L259" s="5" t="n"/>
    </row>
    <row r="260">
      <c r="A260" s="5" t="n"/>
      <c r="B260" s="6" t="n"/>
      <c r="C260" s="5" t="n"/>
      <c r="D260" s="5" t="n"/>
      <c r="E260" s="5" t="n"/>
      <c r="F260" s="5" t="n"/>
      <c r="G260" s="5" t="n"/>
      <c r="H260" s="6" t="n"/>
      <c r="I260" s="5" t="n"/>
      <c r="J260" s="5" t="n"/>
      <c r="K260" s="5" t="n"/>
      <c r="L260" s="5" t="n"/>
    </row>
    <row r="261">
      <c r="A261" s="5" t="n"/>
      <c r="B261" s="6" t="n"/>
      <c r="C261" s="5" t="n"/>
      <c r="D261" s="5" t="n"/>
      <c r="E261" s="5" t="n"/>
      <c r="F261" s="5" t="n"/>
      <c r="G261" s="5" t="n"/>
      <c r="H261" s="6" t="n"/>
      <c r="I261" s="5" t="n"/>
      <c r="J261" s="5" t="n"/>
      <c r="K261" s="5" t="n"/>
      <c r="L261" s="5" t="n"/>
    </row>
    <row r="262">
      <c r="A262" s="5" t="n"/>
      <c r="B262" s="6" t="n"/>
      <c r="C262" s="5" t="n"/>
      <c r="D262" s="5" t="n"/>
      <c r="E262" s="5" t="n"/>
      <c r="F262" s="5" t="n"/>
      <c r="G262" s="5" t="n"/>
      <c r="H262" s="6" t="n"/>
      <c r="I262" s="5" t="n"/>
      <c r="J262" s="5" t="n"/>
      <c r="K262" s="5" t="n"/>
      <c r="L262" s="5" t="n"/>
    </row>
    <row r="263">
      <c r="A263" s="5" t="n"/>
      <c r="B263" s="6" t="n"/>
      <c r="C263" s="5" t="n"/>
      <c r="D263" s="5" t="n"/>
      <c r="E263" s="5" t="n"/>
      <c r="F263" s="5" t="n"/>
      <c r="G263" s="5" t="n"/>
      <c r="H263" s="6" t="n"/>
      <c r="I263" s="5" t="n"/>
      <c r="J263" s="5" t="n"/>
      <c r="K263" s="5" t="n"/>
      <c r="L263" s="5" t="n"/>
    </row>
    <row r="264">
      <c r="A264" s="5" t="n"/>
      <c r="B264" s="6" t="n"/>
      <c r="C264" s="5" t="n"/>
      <c r="D264" s="5" t="n"/>
      <c r="E264" s="5" t="n"/>
      <c r="F264" s="5" t="n"/>
      <c r="G264" s="5" t="n"/>
      <c r="H264" s="6" t="n"/>
      <c r="I264" s="5" t="n"/>
      <c r="J264" s="5" t="n"/>
      <c r="K264" s="5" t="n"/>
      <c r="L264" s="5" t="n"/>
    </row>
    <row r="265">
      <c r="A265" s="5" t="n"/>
      <c r="B265" s="6" t="n"/>
      <c r="C265" s="5" t="n"/>
      <c r="D265" s="5" t="n"/>
      <c r="E265" s="5" t="n"/>
      <c r="F265" s="5" t="n"/>
      <c r="G265" s="5" t="n"/>
      <c r="H265" s="6" t="n"/>
      <c r="I265" s="5" t="n"/>
      <c r="J265" s="5" t="n"/>
      <c r="K265" s="5" t="n"/>
      <c r="L265" s="5" t="n"/>
    </row>
    <row r="266">
      <c r="A266" s="5" t="n"/>
      <c r="B266" s="6" t="n"/>
      <c r="C266" s="5" t="n"/>
      <c r="D266" s="5" t="n"/>
      <c r="E266" s="5" t="n"/>
      <c r="F266" s="5" t="n"/>
      <c r="G266" s="5" t="n"/>
      <c r="H266" s="6" t="n"/>
      <c r="I266" s="5" t="n"/>
      <c r="J266" s="5" t="n"/>
      <c r="K266" s="5" t="n"/>
      <c r="L266" s="5" t="n"/>
    </row>
    <row r="267">
      <c r="A267" s="5" t="n"/>
      <c r="B267" s="6" t="n"/>
      <c r="C267" s="5" t="n"/>
      <c r="D267" s="5" t="n"/>
      <c r="E267" s="5" t="n"/>
      <c r="F267" s="5" t="n"/>
      <c r="G267" s="5" t="n"/>
      <c r="H267" s="6" t="n"/>
      <c r="I267" s="5" t="n"/>
      <c r="J267" s="5" t="n"/>
      <c r="K267" s="5" t="n"/>
      <c r="L267" s="5" t="n"/>
    </row>
    <row r="268">
      <c r="A268" s="5" t="n"/>
      <c r="B268" s="6" t="n"/>
      <c r="C268" s="5" t="n"/>
      <c r="D268" s="5" t="n"/>
      <c r="E268" s="5" t="n"/>
      <c r="F268" s="5" t="n"/>
      <c r="G268" s="5" t="n"/>
      <c r="H268" s="6" t="n"/>
      <c r="I268" s="5" t="n"/>
      <c r="J268" s="5" t="n"/>
      <c r="K268" s="5" t="n"/>
      <c r="L268" s="5" t="n"/>
    </row>
    <row r="269">
      <c r="A269" s="5" t="n"/>
      <c r="B269" s="6" t="n"/>
      <c r="C269" s="5" t="n"/>
      <c r="D269" s="5" t="n"/>
      <c r="E269" s="5" t="n"/>
      <c r="F269" s="5" t="n"/>
      <c r="G269" s="5" t="n"/>
      <c r="H269" s="6" t="n"/>
      <c r="I269" s="5" t="n"/>
      <c r="J269" s="5" t="n"/>
      <c r="K269" s="5" t="n"/>
      <c r="L269" s="5" t="n"/>
    </row>
    <row r="270">
      <c r="A270" s="5" t="n"/>
      <c r="B270" s="6" t="n"/>
      <c r="C270" s="5" t="n"/>
      <c r="D270" s="5" t="n"/>
      <c r="E270" s="5" t="n"/>
      <c r="F270" s="5" t="n"/>
      <c r="G270" s="5" t="n"/>
      <c r="H270" s="6" t="n"/>
      <c r="I270" s="5" t="n"/>
      <c r="J270" s="5" t="n"/>
      <c r="K270" s="5" t="n"/>
      <c r="L270" s="5" t="n"/>
    </row>
    <row r="271">
      <c r="A271" s="5" t="n"/>
      <c r="B271" s="6" t="n"/>
      <c r="C271" s="5" t="n"/>
      <c r="D271" s="5" t="n"/>
      <c r="E271" s="5" t="n"/>
      <c r="F271" s="5" t="n"/>
      <c r="G271" s="5" t="n"/>
      <c r="H271" s="6" t="n"/>
      <c r="I271" s="5" t="n"/>
      <c r="J271" s="5" t="n"/>
      <c r="K271" s="5" t="n"/>
      <c r="L271" s="5" t="n"/>
    </row>
    <row r="272">
      <c r="A272" s="5" t="n"/>
      <c r="B272" s="6" t="n"/>
      <c r="C272" s="5" t="n"/>
      <c r="D272" s="5" t="n"/>
      <c r="E272" s="5" t="n"/>
      <c r="F272" s="5" t="n"/>
      <c r="G272" s="5" t="n"/>
      <c r="H272" s="6" t="n"/>
      <c r="I272" s="5" t="n"/>
      <c r="J272" s="5" t="n"/>
      <c r="K272" s="5" t="n"/>
      <c r="L272" s="5" t="n"/>
    </row>
    <row r="273">
      <c r="A273" s="5" t="n"/>
      <c r="B273" s="6" t="n"/>
      <c r="C273" s="5" t="n"/>
      <c r="D273" s="5" t="n"/>
      <c r="E273" s="5" t="n"/>
      <c r="F273" s="5" t="n"/>
      <c r="G273" s="5" t="n"/>
      <c r="H273" s="6" t="n"/>
      <c r="I273" s="5" t="n"/>
      <c r="J273" s="5" t="n"/>
      <c r="K273" s="5" t="n"/>
      <c r="L273" s="5" t="n"/>
    </row>
    <row r="274">
      <c r="A274" s="5" t="n"/>
      <c r="B274" s="6" t="n"/>
      <c r="C274" s="5" t="n"/>
      <c r="D274" s="5" t="n"/>
      <c r="E274" s="5" t="n"/>
      <c r="F274" s="5" t="n"/>
      <c r="G274" s="5" t="n"/>
      <c r="H274" s="6" t="n"/>
      <c r="I274" s="5" t="n"/>
      <c r="J274" s="5" t="n"/>
      <c r="K274" s="5" t="n"/>
      <c r="L274" s="5" t="n"/>
    </row>
    <row r="275">
      <c r="A275" s="5" t="n"/>
      <c r="B275" s="6" t="n"/>
      <c r="C275" s="5" t="n"/>
      <c r="D275" s="5" t="n"/>
      <c r="E275" s="5" t="n"/>
      <c r="F275" s="5" t="n"/>
      <c r="G275" s="5" t="n"/>
      <c r="H275" s="6" t="n"/>
      <c r="I275" s="5" t="n"/>
      <c r="J275" s="5" t="n"/>
      <c r="K275" s="5" t="n"/>
      <c r="L275" s="5" t="n"/>
    </row>
    <row r="276">
      <c r="A276" s="5" t="n"/>
      <c r="B276" s="6" t="n"/>
      <c r="C276" s="5" t="n"/>
      <c r="D276" s="5" t="n"/>
      <c r="E276" s="5" t="n"/>
      <c r="F276" s="5" t="n"/>
      <c r="G276" s="5" t="n"/>
      <c r="H276" s="6" t="n"/>
      <c r="I276" s="5" t="n"/>
      <c r="J276" s="5" t="n"/>
      <c r="K276" s="5" t="n"/>
      <c r="L276" s="5" t="n"/>
    </row>
    <row r="277">
      <c r="A277" s="5" t="n"/>
      <c r="B277" s="6" t="n"/>
      <c r="C277" s="5" t="n"/>
      <c r="D277" s="5" t="n"/>
      <c r="E277" s="5" t="n"/>
      <c r="F277" s="5" t="n"/>
      <c r="G277" s="5" t="n"/>
      <c r="H277" s="6" t="n"/>
      <c r="I277" s="5" t="n"/>
      <c r="J277" s="5" t="n"/>
      <c r="K277" s="5" t="n"/>
      <c r="L277" s="5" t="n"/>
    </row>
    <row r="278">
      <c r="A278" s="5" t="n"/>
      <c r="B278" s="6" t="n"/>
      <c r="C278" s="5" t="n"/>
      <c r="D278" s="5" t="n"/>
      <c r="E278" s="5" t="n"/>
      <c r="F278" s="5" t="n"/>
      <c r="G278" s="5" t="n"/>
      <c r="H278" s="6" t="n"/>
      <c r="I278" s="5" t="n"/>
      <c r="J278" s="5" t="n"/>
      <c r="K278" s="5" t="n"/>
      <c r="L278" s="5" t="n"/>
    </row>
    <row r="279">
      <c r="A279" s="5" t="n"/>
      <c r="B279" s="6" t="n"/>
      <c r="C279" s="5" t="n"/>
      <c r="D279" s="5" t="n"/>
      <c r="E279" s="5" t="n"/>
      <c r="F279" s="5" t="n"/>
      <c r="G279" s="5" t="n"/>
      <c r="H279" s="6" t="n"/>
      <c r="I279" s="5" t="n"/>
      <c r="J279" s="5" t="n"/>
      <c r="K279" s="5" t="n"/>
      <c r="L279" s="5" t="n"/>
    </row>
    <row r="280">
      <c r="A280" s="5" t="n"/>
      <c r="B280" s="6" t="n"/>
      <c r="C280" s="5" t="n"/>
      <c r="D280" s="5" t="n"/>
      <c r="E280" s="5" t="n"/>
      <c r="F280" s="5" t="n"/>
      <c r="G280" s="5" t="n"/>
      <c r="H280" s="6" t="n"/>
      <c r="I280" s="5" t="n"/>
      <c r="J280" s="5" t="n"/>
      <c r="K280" s="5" t="n"/>
      <c r="L280" s="5" t="n"/>
    </row>
    <row r="281">
      <c r="A281" s="5" t="n"/>
      <c r="B281" s="6" t="n"/>
      <c r="C281" s="5" t="n"/>
      <c r="D281" s="5" t="n"/>
      <c r="E281" s="5" t="n"/>
      <c r="F281" s="5" t="n"/>
      <c r="G281" s="5" t="n"/>
      <c r="H281" s="6" t="n"/>
      <c r="I281" s="5" t="n"/>
      <c r="J281" s="5" t="n"/>
      <c r="K281" s="5" t="n"/>
      <c r="L281" s="5" t="n"/>
    </row>
    <row r="282">
      <c r="A282" s="5" t="n"/>
      <c r="B282" s="6" t="n"/>
      <c r="C282" s="5" t="n"/>
      <c r="D282" s="5" t="n"/>
      <c r="E282" s="5" t="n"/>
      <c r="F282" s="5" t="n"/>
      <c r="G282" s="5" t="n"/>
      <c r="H282" s="6" t="n"/>
      <c r="I282" s="5" t="n"/>
      <c r="J282" s="5" t="n"/>
      <c r="K282" s="5" t="n"/>
      <c r="L282" s="5" t="n"/>
    </row>
    <row r="283">
      <c r="A283" s="5" t="n"/>
      <c r="B283" s="6" t="n"/>
      <c r="C283" s="5" t="n"/>
      <c r="D283" s="5" t="n"/>
      <c r="E283" s="5" t="n"/>
      <c r="F283" s="5" t="n"/>
      <c r="G283" s="5" t="n"/>
      <c r="H283" s="6" t="n"/>
      <c r="I283" s="5" t="n"/>
      <c r="J283" s="5" t="n"/>
      <c r="K283" s="5" t="n"/>
      <c r="L283" s="5" t="n"/>
    </row>
    <row r="284">
      <c r="A284" s="5" t="n"/>
      <c r="B284" s="6" t="n"/>
      <c r="C284" s="5" t="n"/>
      <c r="D284" s="5" t="n"/>
      <c r="E284" s="5" t="n"/>
      <c r="F284" s="5" t="n"/>
      <c r="G284" s="5" t="n"/>
      <c r="H284" s="6" t="n"/>
      <c r="I284" s="5" t="n"/>
      <c r="J284" s="5" t="n"/>
      <c r="K284" s="5" t="n"/>
      <c r="L284" s="5" t="n"/>
    </row>
    <row r="285">
      <c r="A285" s="5" t="n"/>
      <c r="B285" s="6" t="n"/>
      <c r="C285" s="5" t="n"/>
      <c r="D285" s="5" t="n"/>
      <c r="E285" s="5" t="n"/>
      <c r="F285" s="5" t="n"/>
      <c r="G285" s="5" t="n"/>
      <c r="H285" s="6" t="n"/>
      <c r="I285" s="5" t="n"/>
      <c r="J285" s="5" t="n"/>
      <c r="K285" s="5" t="n"/>
      <c r="L285" s="5" t="n"/>
    </row>
    <row r="286">
      <c r="A286" s="5" t="n"/>
      <c r="B286" s="6" t="n"/>
      <c r="C286" s="5" t="n"/>
      <c r="D286" s="5" t="n"/>
      <c r="E286" s="5" t="n"/>
      <c r="F286" s="5" t="n"/>
      <c r="G286" s="5" t="n"/>
      <c r="H286" s="6" t="n"/>
      <c r="I286" s="5" t="n"/>
      <c r="J286" s="5" t="n"/>
      <c r="K286" s="5" t="n"/>
      <c r="L286" s="5" t="n"/>
    </row>
    <row r="287">
      <c r="A287" s="5" t="n"/>
      <c r="B287" s="6" t="n"/>
      <c r="C287" s="5" t="n"/>
      <c r="D287" s="5" t="n"/>
      <c r="E287" s="5" t="n"/>
      <c r="F287" s="5" t="n"/>
      <c r="G287" s="5" t="n"/>
      <c r="H287" s="6" t="n"/>
      <c r="I287" s="5" t="n"/>
      <c r="J287" s="5" t="n"/>
      <c r="K287" s="5" t="n"/>
      <c r="L287" s="5" t="n"/>
    </row>
    <row r="288">
      <c r="A288" s="5" t="n"/>
      <c r="B288" s="6" t="n"/>
      <c r="C288" s="5" t="n"/>
      <c r="D288" s="5" t="n"/>
      <c r="E288" s="5" t="n"/>
      <c r="F288" s="5" t="n"/>
      <c r="G288" s="5" t="n"/>
      <c r="H288" s="6" t="n"/>
      <c r="I288" s="5" t="n"/>
      <c r="J288" s="5" t="n"/>
      <c r="K288" s="5" t="n"/>
      <c r="L288" s="5" t="n"/>
    </row>
    <row r="289">
      <c r="A289" s="5" t="n"/>
      <c r="B289" s="6" t="n"/>
      <c r="C289" s="5" t="n"/>
      <c r="D289" s="5" t="n"/>
      <c r="E289" s="5" t="n"/>
      <c r="F289" s="5" t="n"/>
      <c r="G289" s="5" t="n"/>
      <c r="H289" s="6" t="n"/>
      <c r="I289" s="5" t="n"/>
      <c r="J289" s="5" t="n"/>
      <c r="K289" s="5" t="n"/>
      <c r="L289" s="5" t="n"/>
    </row>
    <row r="290">
      <c r="A290" s="5" t="n"/>
      <c r="B290" s="6" t="n"/>
      <c r="C290" s="5" t="n"/>
      <c r="D290" s="5" t="n"/>
      <c r="E290" s="5" t="n"/>
      <c r="F290" s="5" t="n"/>
      <c r="G290" s="5" t="n"/>
      <c r="H290" s="6" t="n"/>
      <c r="I290" s="5" t="n"/>
      <c r="J290" s="5" t="n"/>
      <c r="K290" s="5" t="n"/>
      <c r="L290" s="5" t="n"/>
    </row>
    <row r="291">
      <c r="A291" s="5" t="n"/>
      <c r="B291" s="6" t="n"/>
      <c r="C291" s="5" t="n"/>
      <c r="D291" s="5" t="n"/>
      <c r="E291" s="5" t="n"/>
      <c r="F291" s="5" t="n"/>
      <c r="G291" s="5" t="n"/>
      <c r="H291" s="6" t="n"/>
      <c r="I291" s="5" t="n"/>
      <c r="J291" s="5" t="n"/>
      <c r="K291" s="5" t="n"/>
      <c r="L291" s="5" t="n"/>
    </row>
    <row r="292">
      <c r="A292" s="5" t="n"/>
      <c r="B292" s="6" t="n"/>
      <c r="C292" s="5" t="n"/>
      <c r="D292" s="5" t="n"/>
      <c r="E292" s="5" t="n"/>
      <c r="F292" s="5" t="n"/>
      <c r="G292" s="5" t="n"/>
      <c r="H292" s="6" t="n"/>
      <c r="I292" s="5" t="n"/>
      <c r="J292" s="5" t="n"/>
      <c r="K292" s="5" t="n"/>
      <c r="L292" s="5" t="n"/>
    </row>
    <row r="293">
      <c r="A293" s="5" t="n"/>
      <c r="B293" s="6" t="n"/>
      <c r="C293" s="5" t="n"/>
      <c r="D293" s="5" t="n"/>
      <c r="E293" s="5" t="n"/>
      <c r="F293" s="5" t="n"/>
      <c r="G293" s="5" t="n"/>
      <c r="H293" s="6" t="n"/>
      <c r="I293" s="5" t="n"/>
      <c r="J293" s="5" t="n"/>
      <c r="K293" s="5" t="n"/>
      <c r="L293" s="5" t="n"/>
    </row>
    <row r="294">
      <c r="A294" s="5" t="n"/>
      <c r="B294" s="6" t="n"/>
      <c r="C294" s="5" t="n"/>
      <c r="D294" s="5" t="n"/>
      <c r="E294" s="5" t="n"/>
      <c r="F294" s="5" t="n"/>
      <c r="G294" s="5" t="n"/>
      <c r="H294" s="6" t="n"/>
      <c r="I294" s="5" t="n"/>
      <c r="J294" s="5" t="n"/>
      <c r="K294" s="5" t="n"/>
      <c r="L294" s="5" t="n"/>
    </row>
    <row r="295">
      <c r="A295" s="5" t="n"/>
      <c r="B295" s="6" t="n"/>
      <c r="C295" s="5" t="n"/>
      <c r="D295" s="5" t="n"/>
      <c r="E295" s="5" t="n"/>
      <c r="F295" s="5" t="n"/>
      <c r="G295" s="5" t="n"/>
      <c r="H295" s="6" t="n"/>
      <c r="I295" s="5" t="n"/>
      <c r="J295" s="5" t="n"/>
      <c r="K295" s="5" t="n"/>
      <c r="L295" s="5" t="n"/>
    </row>
    <row r="296">
      <c r="A296" s="5" t="n"/>
      <c r="B296" s="6" t="n"/>
      <c r="C296" s="5" t="n"/>
      <c r="D296" s="5" t="n"/>
      <c r="E296" s="5" t="n"/>
      <c r="F296" s="5" t="n"/>
      <c r="G296" s="5" t="n"/>
      <c r="H296" s="6" t="n"/>
      <c r="I296" s="5" t="n"/>
      <c r="J296" s="5" t="n"/>
      <c r="K296" s="5" t="n"/>
      <c r="L296" s="5" t="n"/>
    </row>
    <row r="297">
      <c r="A297" s="5" t="n"/>
      <c r="B297" s="6" t="n"/>
      <c r="C297" s="5" t="n"/>
      <c r="D297" s="5" t="n"/>
      <c r="E297" s="5" t="n"/>
      <c r="F297" s="5" t="n"/>
      <c r="G297" s="5" t="n"/>
      <c r="H297" s="6" t="n"/>
      <c r="I297" s="5" t="n"/>
      <c r="J297" s="5" t="n"/>
      <c r="K297" s="5" t="n"/>
      <c r="L297" s="5" t="n"/>
    </row>
    <row r="298">
      <c r="A298" s="5" t="n"/>
      <c r="B298" s="6" t="n"/>
      <c r="C298" s="5" t="n"/>
      <c r="D298" s="5" t="n"/>
      <c r="E298" s="5" t="n"/>
      <c r="F298" s="5" t="n"/>
      <c r="G298" s="5" t="n"/>
      <c r="H298" s="6" t="n"/>
      <c r="I298" s="5" t="n"/>
      <c r="J298" s="5" t="n"/>
      <c r="K298" s="5" t="n"/>
      <c r="L298" s="5" t="n"/>
    </row>
    <row r="299">
      <c r="A299" s="5" t="n"/>
      <c r="B299" s="6" t="n"/>
      <c r="C299" s="5" t="n"/>
      <c r="D299" s="5" t="n"/>
      <c r="E299" s="5" t="n"/>
      <c r="F299" s="5" t="n"/>
      <c r="G299" s="5" t="n"/>
      <c r="H299" s="6" t="n"/>
      <c r="I299" s="5" t="n"/>
      <c r="J299" s="5" t="n"/>
      <c r="K299" s="5" t="n"/>
      <c r="L299" s="5" t="n"/>
    </row>
    <row r="300">
      <c r="A300" s="5" t="n"/>
      <c r="B300" s="6" t="n"/>
      <c r="C300" s="5" t="n"/>
      <c r="D300" s="5" t="n"/>
      <c r="E300" s="5" t="n"/>
      <c r="F300" s="5" t="n"/>
      <c r="G300" s="5" t="n"/>
      <c r="H300" s="6" t="n"/>
      <c r="I300" s="5" t="n"/>
      <c r="J300" s="5" t="n"/>
      <c r="K300" s="5" t="n"/>
      <c r="L300" s="5" t="n"/>
    </row>
    <row r="301">
      <c r="A301" s="5" t="n"/>
      <c r="B301" s="6" t="n"/>
      <c r="C301" s="5" t="n"/>
      <c r="D301" s="5" t="n"/>
      <c r="E301" s="5" t="n"/>
      <c r="F301" s="5" t="n"/>
      <c r="G301" s="5" t="n"/>
      <c r="H301" s="6" t="n"/>
      <c r="I301" s="5" t="n"/>
      <c r="J301" s="5" t="n"/>
      <c r="K301" s="5" t="n"/>
      <c r="L301" s="5" t="n"/>
    </row>
    <row r="302">
      <c r="A302" s="5" t="n"/>
      <c r="B302" s="6" t="n"/>
      <c r="C302" s="5" t="n"/>
      <c r="D302" s="5" t="n"/>
      <c r="E302" s="5" t="n"/>
      <c r="F302" s="5" t="n"/>
      <c r="G302" s="5" t="n"/>
      <c r="H302" s="6" t="n"/>
      <c r="I302" s="5" t="n"/>
      <c r="J302" s="5" t="n"/>
      <c r="K302" s="5" t="n"/>
      <c r="L302" s="5" t="n"/>
    </row>
    <row r="303">
      <c r="A303" s="5" t="n"/>
      <c r="B303" s="6" t="n"/>
      <c r="C303" s="5" t="n"/>
      <c r="D303" s="5" t="n"/>
      <c r="E303" s="5" t="n"/>
      <c r="F303" s="5" t="n"/>
      <c r="G303" s="5" t="n"/>
      <c r="H303" s="6" t="n"/>
      <c r="I303" s="5" t="n"/>
      <c r="J303" s="5" t="n"/>
      <c r="K303" s="5" t="n"/>
      <c r="L303" s="5" t="n"/>
    </row>
    <row r="304">
      <c r="A304" s="5" t="n"/>
      <c r="B304" s="6" t="n"/>
      <c r="C304" s="5" t="n"/>
      <c r="D304" s="5" t="n"/>
      <c r="E304" s="5" t="n"/>
      <c r="F304" s="5" t="n"/>
      <c r="G304" s="5" t="n"/>
      <c r="H304" s="6" t="n"/>
      <c r="I304" s="5" t="n"/>
      <c r="J304" s="5" t="n"/>
      <c r="K304" s="5" t="n"/>
      <c r="L304" s="5" t="n"/>
    </row>
    <row r="305">
      <c r="A305" s="5" t="n"/>
      <c r="B305" s="6" t="n"/>
      <c r="C305" s="5" t="n"/>
      <c r="D305" s="5" t="n"/>
      <c r="E305" s="5" t="n"/>
      <c r="F305" s="5" t="n"/>
      <c r="G305" s="5" t="n"/>
      <c r="H305" s="6" t="n"/>
      <c r="I305" s="5" t="n"/>
      <c r="J305" s="5" t="n"/>
      <c r="K305" s="5" t="n"/>
      <c r="L305" s="5" t="n"/>
    </row>
    <row r="306">
      <c r="A306" s="5" t="n"/>
      <c r="B306" s="6" t="n"/>
      <c r="C306" s="5" t="n"/>
      <c r="D306" s="5" t="n"/>
      <c r="E306" s="5" t="n"/>
      <c r="F306" s="5" t="n"/>
      <c r="G306" s="5" t="n"/>
      <c r="H306" s="6" t="n"/>
      <c r="I306" s="5" t="n"/>
      <c r="J306" s="5" t="n"/>
      <c r="K306" s="5" t="n"/>
      <c r="L306" s="5" t="n"/>
    </row>
    <row r="307">
      <c r="A307" s="5" t="n"/>
      <c r="B307" s="6" t="n"/>
      <c r="C307" s="5" t="n"/>
      <c r="D307" s="5" t="n"/>
      <c r="E307" s="5" t="n"/>
      <c r="F307" s="5" t="n"/>
      <c r="G307" s="5" t="n"/>
      <c r="H307" s="6" t="n"/>
      <c r="I307" s="5" t="n"/>
      <c r="J307" s="5" t="n"/>
      <c r="K307" s="5" t="n"/>
      <c r="L307" s="5" t="n"/>
    </row>
    <row r="308">
      <c r="A308" s="5" t="n"/>
      <c r="B308" s="6" t="n"/>
      <c r="C308" s="5" t="n"/>
      <c r="D308" s="5" t="n"/>
      <c r="E308" s="5" t="n"/>
      <c r="F308" s="5" t="n"/>
      <c r="G308" s="5" t="n"/>
      <c r="H308" s="6" t="n"/>
      <c r="I308" s="5" t="n"/>
      <c r="J308" s="5" t="n"/>
      <c r="K308" s="5" t="n"/>
      <c r="L308" s="5" t="n"/>
    </row>
    <row r="309">
      <c r="A309" s="5" t="n"/>
      <c r="B309" s="6" t="n"/>
      <c r="C309" s="5" t="n"/>
      <c r="D309" s="5" t="n"/>
      <c r="E309" s="5" t="n"/>
      <c r="F309" s="5" t="n"/>
      <c r="G309" s="5" t="n"/>
      <c r="H309" s="6" t="n"/>
      <c r="I309" s="5" t="n"/>
      <c r="J309" s="5" t="n"/>
      <c r="K309" s="5" t="n"/>
      <c r="L309" s="5" t="n"/>
    </row>
    <row r="310">
      <c r="A310" s="5" t="n"/>
      <c r="B310" s="6" t="n"/>
      <c r="C310" s="5" t="n"/>
      <c r="D310" s="5" t="n"/>
      <c r="E310" s="5" t="n"/>
      <c r="F310" s="5" t="n"/>
      <c r="G310" s="5" t="n"/>
      <c r="H310" s="6" t="n"/>
      <c r="I310" s="5" t="n"/>
      <c r="J310" s="5" t="n"/>
      <c r="K310" s="5" t="n"/>
      <c r="L310" s="5" t="n"/>
    </row>
    <row r="311">
      <c r="A311" s="5" t="n"/>
      <c r="B311" s="6" t="n"/>
      <c r="C311" s="5" t="n"/>
      <c r="D311" s="5" t="n"/>
      <c r="E311" s="5" t="n"/>
      <c r="F311" s="5" t="n"/>
      <c r="G311" s="5" t="n"/>
      <c r="H311" s="6" t="n"/>
      <c r="I311" s="5" t="n"/>
      <c r="J311" s="5" t="n"/>
      <c r="K311" s="5" t="n"/>
      <c r="L311" s="5" t="n"/>
    </row>
    <row r="312">
      <c r="A312" s="5" t="n"/>
      <c r="B312" s="6" t="n"/>
      <c r="C312" s="5" t="n"/>
      <c r="D312" s="5" t="n"/>
      <c r="E312" s="5" t="n"/>
      <c r="F312" s="5" t="n"/>
      <c r="G312" s="5" t="n"/>
      <c r="H312" s="6" t="n"/>
      <c r="I312" s="5" t="n"/>
      <c r="J312" s="5" t="n"/>
      <c r="K312" s="5" t="n"/>
      <c r="L312" s="5" t="n"/>
    </row>
    <row r="313">
      <c r="A313" s="5" t="n"/>
      <c r="B313" s="6" t="n"/>
      <c r="C313" s="5" t="n"/>
      <c r="D313" s="5" t="n"/>
      <c r="E313" s="5" t="n"/>
      <c r="F313" s="5" t="n"/>
      <c r="G313" s="5" t="n"/>
      <c r="H313" s="6" t="n"/>
      <c r="I313" s="5" t="n"/>
      <c r="J313" s="5" t="n"/>
      <c r="K313" s="5" t="n"/>
      <c r="L313" s="5" t="n"/>
    </row>
    <row r="314">
      <c r="A314" s="5" t="n"/>
      <c r="B314" s="6" t="n"/>
      <c r="C314" s="5" t="n"/>
      <c r="D314" s="5" t="n"/>
      <c r="E314" s="5" t="n"/>
      <c r="F314" s="5" t="n"/>
      <c r="G314" s="5" t="n"/>
      <c r="H314" s="6" t="n"/>
      <c r="I314" s="5" t="n"/>
      <c r="J314" s="5" t="n"/>
      <c r="K314" s="5" t="n"/>
      <c r="L314" s="5" t="n"/>
    </row>
    <row r="315">
      <c r="A315" s="5" t="n"/>
      <c r="B315" s="6" t="n"/>
      <c r="C315" s="5" t="n"/>
      <c r="D315" s="5" t="n"/>
      <c r="E315" s="5" t="n"/>
      <c r="F315" s="5" t="n"/>
      <c r="G315" s="5" t="n"/>
      <c r="H315" s="6" t="n"/>
      <c r="I315" s="5" t="n"/>
      <c r="J315" s="5" t="n"/>
      <c r="K315" s="5" t="n"/>
      <c r="L315" s="5" t="n"/>
    </row>
    <row r="316">
      <c r="A316" s="5" t="n"/>
      <c r="B316" s="6" t="n"/>
      <c r="C316" s="5" t="n"/>
      <c r="D316" s="5" t="n"/>
      <c r="E316" s="5" t="n"/>
      <c r="F316" s="5" t="n"/>
      <c r="G316" s="5" t="n"/>
      <c r="H316" s="6" t="n"/>
      <c r="I316" s="5" t="n"/>
      <c r="J316" s="5" t="n"/>
      <c r="K316" s="5" t="n"/>
      <c r="L316" s="5" t="n"/>
    </row>
    <row r="317">
      <c r="A317" s="5" t="n"/>
      <c r="B317" s="6" t="n"/>
      <c r="C317" s="5" t="n"/>
      <c r="D317" s="5" t="n"/>
      <c r="E317" s="5" t="n"/>
      <c r="F317" s="5" t="n"/>
      <c r="G317" s="5" t="n"/>
      <c r="H317" s="6" t="n"/>
      <c r="I317" s="5" t="n"/>
      <c r="J317" s="5" t="n"/>
      <c r="K317" s="5" t="n"/>
      <c r="L317" s="5" t="n"/>
    </row>
    <row r="318">
      <c r="A318" s="5" t="n"/>
      <c r="B318" s="6" t="n"/>
      <c r="C318" s="5" t="n"/>
      <c r="D318" s="5" t="n"/>
      <c r="E318" s="5" t="n"/>
      <c r="F318" s="5" t="n"/>
      <c r="G318" s="5" t="n"/>
      <c r="H318" s="6" t="n"/>
      <c r="I318" s="5" t="n"/>
      <c r="J318" s="5" t="n"/>
      <c r="K318" s="5" t="n"/>
      <c r="L318" s="5" t="n"/>
    </row>
    <row r="319">
      <c r="A319" s="5" t="n"/>
      <c r="B319" s="6" t="n"/>
      <c r="C319" s="5" t="n"/>
      <c r="D319" s="5" t="n"/>
      <c r="E319" s="5" t="n"/>
      <c r="F319" s="5" t="n"/>
      <c r="G319" s="5" t="n"/>
      <c r="H319" s="6" t="n"/>
      <c r="I319" s="5" t="n"/>
      <c r="J319" s="5" t="n"/>
      <c r="K319" s="5" t="n"/>
      <c r="L319" s="5" t="n"/>
    </row>
    <row r="320">
      <c r="A320" s="5" t="n"/>
      <c r="B320" s="6" t="n"/>
      <c r="C320" s="5" t="n"/>
      <c r="D320" s="5" t="n"/>
      <c r="E320" s="5" t="n"/>
      <c r="F320" s="5" t="n"/>
      <c r="G320" s="5" t="n"/>
      <c r="H320" s="6" t="n"/>
      <c r="I320" s="5" t="n"/>
      <c r="J320" s="5" t="n"/>
      <c r="K320" s="5" t="n"/>
      <c r="L320" s="5" t="n"/>
    </row>
    <row r="321">
      <c r="A321" s="5" t="n"/>
      <c r="B321" s="6" t="n"/>
      <c r="C321" s="5" t="n"/>
      <c r="D321" s="5" t="n"/>
      <c r="E321" s="5" t="n"/>
      <c r="F321" s="5" t="n"/>
      <c r="G321" s="5" t="n"/>
      <c r="H321" s="6" t="n"/>
      <c r="I321" s="5" t="n"/>
      <c r="J321" s="5" t="n"/>
      <c r="K321" s="5" t="n"/>
      <c r="L321" s="5" t="n"/>
    </row>
    <row r="322">
      <c r="A322" s="5" t="n"/>
      <c r="B322" s="6" t="n"/>
      <c r="C322" s="5" t="n"/>
      <c r="D322" s="5" t="n"/>
      <c r="E322" s="5" t="n"/>
      <c r="F322" s="5" t="n"/>
      <c r="G322" s="5" t="n"/>
      <c r="H322" s="6" t="n"/>
      <c r="I322" s="5" t="n"/>
      <c r="J322" s="5" t="n"/>
      <c r="K322" s="5" t="n"/>
      <c r="L322" s="5" t="n"/>
    </row>
    <row r="323">
      <c r="A323" s="5" t="n"/>
      <c r="B323" s="6" t="n"/>
      <c r="C323" s="5" t="n"/>
      <c r="D323" s="5" t="n"/>
      <c r="E323" s="5" t="n"/>
      <c r="F323" s="5" t="n"/>
      <c r="G323" s="5" t="n"/>
      <c r="H323" s="6" t="n"/>
      <c r="I323" s="5" t="n"/>
      <c r="J323" s="5" t="n"/>
      <c r="K323" s="5" t="n"/>
      <c r="L323" s="5" t="n"/>
    </row>
    <row r="324">
      <c r="A324" s="5" t="n"/>
      <c r="B324" s="6" t="n"/>
      <c r="C324" s="5" t="n"/>
      <c r="D324" s="5" t="n"/>
      <c r="E324" s="5" t="n"/>
      <c r="F324" s="5" t="n"/>
      <c r="G324" s="5" t="n"/>
      <c r="H324" s="6" t="n"/>
      <c r="I324" s="5" t="n"/>
      <c r="J324" s="5" t="n"/>
      <c r="K324" s="5" t="n"/>
      <c r="L324" s="5" t="n"/>
    </row>
    <row r="325">
      <c r="A325" s="5" t="n"/>
      <c r="B325" s="6" t="n"/>
      <c r="C325" s="5" t="n"/>
      <c r="D325" s="5" t="n"/>
      <c r="E325" s="5" t="n"/>
      <c r="F325" s="5" t="n"/>
      <c r="G325" s="5" t="n"/>
      <c r="H325" s="6" t="n"/>
      <c r="I325" s="5" t="n"/>
      <c r="J325" s="5" t="n"/>
      <c r="K325" s="5" t="n"/>
      <c r="L325" s="5" t="n"/>
    </row>
    <row r="326">
      <c r="A326" s="5" t="n"/>
      <c r="B326" s="6" t="n"/>
      <c r="C326" s="5" t="n"/>
      <c r="D326" s="5" t="n"/>
      <c r="E326" s="5" t="n"/>
      <c r="F326" s="5" t="n"/>
      <c r="G326" s="5" t="n"/>
      <c r="H326" s="6" t="n"/>
      <c r="I326" s="5" t="n"/>
      <c r="J326" s="5" t="n"/>
      <c r="K326" s="5" t="n"/>
      <c r="L326" s="5" t="n"/>
    </row>
    <row r="327">
      <c r="A327" s="5" t="n"/>
      <c r="B327" s="6" t="n"/>
      <c r="C327" s="5" t="n"/>
      <c r="D327" s="5" t="n"/>
      <c r="E327" s="5" t="n"/>
      <c r="F327" s="5" t="n"/>
      <c r="G327" s="5" t="n"/>
      <c r="H327" s="6" t="n"/>
      <c r="I327" s="5" t="n"/>
      <c r="J327" s="5" t="n"/>
      <c r="K327" s="5" t="n"/>
      <c r="L327" s="5" t="n"/>
    </row>
    <row r="328">
      <c r="A328" s="5" t="n"/>
      <c r="B328" s="6" t="n"/>
      <c r="C328" s="5" t="n"/>
      <c r="D328" s="5" t="n"/>
      <c r="E328" s="5" t="n"/>
      <c r="F328" s="5" t="n"/>
      <c r="G328" s="5" t="n"/>
      <c r="H328" s="6" t="n"/>
      <c r="I328" s="5" t="n"/>
      <c r="J328" s="5" t="n"/>
      <c r="K328" s="5" t="n"/>
      <c r="L328" s="5" t="n"/>
    </row>
    <row r="329">
      <c r="A329" s="5" t="n"/>
      <c r="B329" s="6" t="n"/>
      <c r="C329" s="5" t="n"/>
      <c r="D329" s="5" t="n"/>
      <c r="E329" s="5" t="n"/>
      <c r="F329" s="5" t="n"/>
      <c r="G329" s="5" t="n"/>
      <c r="H329" s="6" t="n"/>
      <c r="I329" s="5" t="n"/>
      <c r="J329" s="5" t="n"/>
      <c r="K329" s="5" t="n"/>
      <c r="L329" s="5" t="n"/>
    </row>
    <row r="330">
      <c r="A330" s="5" t="n"/>
      <c r="B330" s="6" t="n"/>
      <c r="C330" s="5" t="n"/>
      <c r="D330" s="5" t="n"/>
      <c r="E330" s="5" t="n"/>
      <c r="F330" s="5" t="n"/>
      <c r="G330" s="5" t="n"/>
      <c r="H330" s="6" t="n"/>
      <c r="I330" s="5" t="n"/>
      <c r="J330" s="5" t="n"/>
      <c r="K330" s="5" t="n"/>
      <c r="L330" s="5" t="n"/>
    </row>
    <row r="331">
      <c r="A331" s="5" t="n"/>
      <c r="B331" s="6" t="n"/>
      <c r="C331" s="5" t="n"/>
      <c r="D331" s="5" t="n"/>
      <c r="E331" s="5" t="n"/>
      <c r="F331" s="5" t="n"/>
      <c r="G331" s="5" t="n"/>
      <c r="H331" s="6" t="n"/>
      <c r="I331" s="5" t="n"/>
      <c r="J331" s="5" t="n"/>
      <c r="K331" s="5" t="n"/>
      <c r="L331" s="5" t="n"/>
    </row>
    <row r="332">
      <c r="A332" s="5" t="n"/>
      <c r="B332" s="6" t="n"/>
      <c r="C332" s="5" t="n"/>
      <c r="D332" s="5" t="n"/>
      <c r="E332" s="5" t="n"/>
      <c r="F332" s="5" t="n"/>
      <c r="G332" s="5" t="n"/>
      <c r="H332" s="6" t="n"/>
      <c r="I332" s="5" t="n"/>
      <c r="J332" s="5" t="n"/>
      <c r="K332" s="5" t="n"/>
      <c r="L332" s="5" t="n"/>
    </row>
    <row r="333">
      <c r="A333" s="5" t="n"/>
      <c r="B333" s="6" t="n"/>
      <c r="C333" s="5" t="n"/>
      <c r="D333" s="5" t="n"/>
      <c r="E333" s="5" t="n"/>
      <c r="F333" s="5" t="n"/>
      <c r="G333" s="5" t="n"/>
      <c r="H333" s="6" t="n"/>
      <c r="I333" s="5" t="n"/>
      <c r="J333" s="5" t="n"/>
      <c r="K333" s="5" t="n"/>
      <c r="L333" s="5" t="n"/>
    </row>
    <row r="334">
      <c r="A334" s="5" t="n"/>
      <c r="B334" s="6" t="n"/>
      <c r="C334" s="5" t="n"/>
      <c r="D334" s="5" t="n"/>
      <c r="E334" s="5" t="n"/>
      <c r="F334" s="5" t="n"/>
      <c r="G334" s="5" t="n"/>
      <c r="H334" s="6" t="n"/>
      <c r="I334" s="5" t="n"/>
      <c r="J334" s="5" t="n"/>
      <c r="K334" s="5" t="n"/>
      <c r="L334" s="5" t="n"/>
    </row>
    <row r="335">
      <c r="A335" s="5" t="n"/>
      <c r="B335" s="6" t="n"/>
      <c r="C335" s="5" t="n"/>
      <c r="D335" s="5" t="n"/>
      <c r="E335" s="5" t="n"/>
      <c r="F335" s="5" t="n"/>
      <c r="G335" s="5" t="n"/>
      <c r="H335" s="6" t="n"/>
      <c r="I335" s="5" t="n"/>
      <c r="J335" s="5" t="n"/>
      <c r="K335" s="5" t="n"/>
      <c r="L335" s="5" t="n"/>
    </row>
    <row r="336">
      <c r="A336" s="5" t="n"/>
      <c r="B336" s="6" t="n"/>
      <c r="C336" s="5" t="n"/>
      <c r="D336" s="5" t="n"/>
      <c r="E336" s="5" t="n"/>
      <c r="F336" s="5" t="n"/>
      <c r="G336" s="5" t="n"/>
      <c r="H336" s="6" t="n"/>
      <c r="I336" s="5" t="n"/>
      <c r="J336" s="5" t="n"/>
      <c r="K336" s="5" t="n"/>
      <c r="L336" s="5" t="n"/>
    </row>
    <row r="337">
      <c r="A337" s="5" t="n"/>
      <c r="B337" s="6" t="n"/>
      <c r="C337" s="5" t="n"/>
      <c r="D337" s="5" t="n"/>
      <c r="E337" s="5" t="n"/>
      <c r="F337" s="5" t="n"/>
      <c r="G337" s="5" t="n"/>
      <c r="H337" s="6" t="n"/>
      <c r="I337" s="5" t="n"/>
      <c r="J337" s="5" t="n"/>
      <c r="K337" s="5" t="n"/>
      <c r="L337" s="5" t="n"/>
    </row>
    <row r="338">
      <c r="A338" s="5" t="n"/>
      <c r="B338" s="6" t="n"/>
      <c r="C338" s="5" t="n"/>
      <c r="D338" s="5" t="n"/>
      <c r="E338" s="5" t="n"/>
      <c r="F338" s="5" t="n"/>
      <c r="G338" s="5" t="n"/>
      <c r="H338" s="6" t="n"/>
      <c r="I338" s="5" t="n"/>
      <c r="J338" s="5" t="n"/>
      <c r="K338" s="5" t="n"/>
      <c r="L338" s="5" t="n"/>
    </row>
    <row r="339">
      <c r="A339" s="5" t="n"/>
      <c r="B339" s="6" t="n"/>
      <c r="C339" s="5" t="n"/>
      <c r="D339" s="5" t="n"/>
      <c r="E339" s="5" t="n"/>
      <c r="F339" s="5" t="n"/>
      <c r="G339" s="5" t="n"/>
      <c r="H339" s="6" t="n"/>
      <c r="I339" s="5" t="n"/>
      <c r="J339" s="5" t="n"/>
      <c r="K339" s="5" t="n"/>
      <c r="L339" s="5" t="n"/>
    </row>
    <row r="340">
      <c r="A340" s="5" t="n"/>
      <c r="B340" s="6" t="n"/>
      <c r="C340" s="5" t="n"/>
      <c r="D340" s="5" t="n"/>
      <c r="E340" s="5" t="n"/>
      <c r="F340" s="5" t="n"/>
      <c r="G340" s="5" t="n"/>
      <c r="H340" s="6" t="n"/>
      <c r="I340" s="5" t="n"/>
      <c r="J340" s="5" t="n"/>
      <c r="K340" s="5" t="n"/>
      <c r="L340" s="5" t="n"/>
    </row>
    <row r="341">
      <c r="A341" s="5" t="n"/>
      <c r="B341" s="6" t="n"/>
      <c r="C341" s="5" t="n"/>
      <c r="D341" s="5" t="n"/>
      <c r="E341" s="5" t="n"/>
      <c r="F341" s="5" t="n"/>
      <c r="G341" s="5" t="n"/>
      <c r="H341" s="6" t="n"/>
      <c r="I341" s="5" t="n"/>
      <c r="J341" s="5" t="n"/>
      <c r="K341" s="5" t="n"/>
      <c r="L341" s="5" t="n"/>
    </row>
    <row r="342">
      <c r="A342" s="5" t="n"/>
      <c r="B342" s="6" t="n"/>
      <c r="C342" s="5" t="n"/>
      <c r="D342" s="5" t="n"/>
      <c r="E342" s="5" t="n"/>
      <c r="F342" s="5" t="n"/>
      <c r="G342" s="5" t="n"/>
      <c r="H342" s="6" t="n"/>
      <c r="I342" s="5" t="n"/>
      <c r="J342" s="5" t="n"/>
      <c r="K342" s="5" t="n"/>
      <c r="L342" s="5" t="n"/>
    </row>
    <row r="343">
      <c r="A343" s="5" t="n"/>
      <c r="B343" s="6" t="n"/>
      <c r="C343" s="5" t="n"/>
      <c r="D343" s="5" t="n"/>
      <c r="E343" s="5" t="n"/>
      <c r="F343" s="5" t="n"/>
      <c r="G343" s="5" t="n"/>
      <c r="H343" s="6" t="n"/>
      <c r="I343" s="5" t="n"/>
      <c r="J343" s="5" t="n"/>
      <c r="K343" s="5" t="n"/>
      <c r="L343" s="5" t="n"/>
    </row>
    <row r="344">
      <c r="A344" s="5" t="n"/>
      <c r="B344" s="6" t="n"/>
      <c r="C344" s="5" t="n"/>
      <c r="D344" s="5" t="n"/>
      <c r="E344" s="5" t="n"/>
      <c r="F344" s="5" t="n"/>
      <c r="G344" s="5" t="n"/>
      <c r="H344" s="6" t="n"/>
      <c r="I344" s="5" t="n"/>
      <c r="J344" s="5" t="n"/>
      <c r="K344" s="5" t="n"/>
      <c r="L344" s="5" t="n"/>
    </row>
    <row r="345">
      <c r="A345" s="5" t="n"/>
      <c r="B345" s="6" t="n"/>
      <c r="C345" s="5" t="n"/>
      <c r="D345" s="5" t="n"/>
      <c r="E345" s="5" t="n"/>
      <c r="F345" s="5" t="n"/>
      <c r="G345" s="5" t="n"/>
      <c r="H345" s="6" t="n"/>
      <c r="I345" s="5" t="n"/>
      <c r="J345" s="5" t="n"/>
      <c r="K345" s="5" t="n"/>
      <c r="L345" s="5" t="n"/>
    </row>
    <row r="346">
      <c r="A346" s="5" t="n"/>
      <c r="B346" s="6" t="n"/>
      <c r="C346" s="5" t="n"/>
      <c r="D346" s="5" t="n"/>
      <c r="E346" s="5" t="n"/>
      <c r="F346" s="5" t="n"/>
      <c r="G346" s="5" t="n"/>
      <c r="H346" s="6" t="n"/>
      <c r="I346" s="5" t="n"/>
      <c r="J346" s="5" t="n"/>
      <c r="K346" s="5" t="n"/>
      <c r="L346" s="5" t="n"/>
    </row>
    <row r="347">
      <c r="A347" s="5" t="n"/>
      <c r="B347" s="6" t="n"/>
      <c r="C347" s="5" t="n"/>
      <c r="D347" s="5" t="n"/>
      <c r="E347" s="5" t="n"/>
      <c r="F347" s="5" t="n"/>
      <c r="G347" s="5" t="n"/>
      <c r="H347" s="6" t="n"/>
      <c r="I347" s="5" t="n"/>
      <c r="J347" s="5" t="n"/>
      <c r="K347" s="5" t="n"/>
      <c r="L347" s="5" t="n"/>
    </row>
    <row r="348">
      <c r="A348" s="5" t="n"/>
      <c r="B348" s="6" t="n"/>
      <c r="C348" s="5" t="n"/>
      <c r="D348" s="5" t="n"/>
      <c r="E348" s="5" t="n"/>
      <c r="F348" s="5" t="n"/>
      <c r="G348" s="5" t="n"/>
      <c r="H348" s="6" t="n"/>
      <c r="I348" s="5" t="n"/>
      <c r="J348" s="5" t="n"/>
      <c r="K348" s="5" t="n"/>
      <c r="L348" s="5" t="n"/>
    </row>
    <row r="349">
      <c r="A349" s="5" t="n"/>
      <c r="B349" s="6" t="n"/>
      <c r="C349" s="5" t="n"/>
      <c r="D349" s="5" t="n"/>
      <c r="E349" s="5" t="n"/>
      <c r="F349" s="5" t="n"/>
      <c r="G349" s="5" t="n"/>
      <c r="H349" s="6" t="n"/>
      <c r="I349" s="5" t="n"/>
      <c r="J349" s="5" t="n"/>
      <c r="K349" s="5" t="n"/>
      <c r="L349" s="5" t="n"/>
    </row>
    <row r="350">
      <c r="A350" s="5" t="n"/>
      <c r="B350" s="6" t="n"/>
      <c r="C350" s="5" t="n"/>
      <c r="D350" s="5" t="n"/>
      <c r="E350" s="5" t="n"/>
      <c r="F350" s="5" t="n"/>
      <c r="G350" s="5" t="n"/>
      <c r="H350" s="6" t="n"/>
      <c r="I350" s="5" t="n"/>
      <c r="J350" s="5" t="n"/>
      <c r="K350" s="5" t="n"/>
      <c r="L350" s="5" t="n"/>
    </row>
    <row r="351">
      <c r="A351" s="5" t="n"/>
      <c r="B351" s="6" t="n"/>
      <c r="C351" s="5" t="n"/>
      <c r="D351" s="5" t="n"/>
      <c r="E351" s="5" t="n"/>
      <c r="F351" s="5" t="n"/>
      <c r="G351" s="5" t="n"/>
      <c r="H351" s="6" t="n"/>
      <c r="I351" s="5" t="n"/>
      <c r="J351" s="5" t="n"/>
      <c r="K351" s="5" t="n"/>
      <c r="L351" s="5" t="n"/>
    </row>
    <row r="352">
      <c r="A352" s="5" t="n"/>
      <c r="B352" s="6" t="n"/>
      <c r="C352" s="5" t="n"/>
      <c r="D352" s="5" t="n"/>
      <c r="E352" s="5" t="n"/>
      <c r="F352" s="5" t="n"/>
      <c r="G352" s="5" t="n"/>
      <c r="H352" s="6" t="n"/>
      <c r="I352" s="5" t="n"/>
      <c r="J352" s="5" t="n"/>
      <c r="K352" s="5" t="n"/>
      <c r="L352" s="5" t="n"/>
    </row>
    <row r="353">
      <c r="A353" s="5" t="n"/>
      <c r="B353" s="6" t="n"/>
      <c r="C353" s="5" t="n"/>
      <c r="D353" s="5" t="n"/>
      <c r="E353" s="5" t="n"/>
      <c r="F353" s="5" t="n"/>
      <c r="G353" s="5" t="n"/>
      <c r="H353" s="6" t="n"/>
      <c r="I353" s="5" t="n"/>
      <c r="J353" s="5" t="n"/>
      <c r="K353" s="5" t="n"/>
      <c r="L353" s="5" t="n"/>
    </row>
    <row r="354">
      <c r="A354" s="5" t="n"/>
      <c r="B354" s="6" t="n"/>
      <c r="C354" s="5" t="n"/>
      <c r="D354" s="5" t="n"/>
      <c r="E354" s="5" t="n"/>
      <c r="F354" s="5" t="n"/>
      <c r="G354" s="5" t="n"/>
      <c r="H354" s="6" t="n"/>
      <c r="I354" s="5" t="n"/>
      <c r="J354" s="5" t="n"/>
      <c r="K354" s="5" t="n"/>
      <c r="L354" s="5" t="n"/>
    </row>
    <row r="355">
      <c r="A355" s="5" t="n"/>
      <c r="B355" s="6" t="n"/>
      <c r="C355" s="5" t="n"/>
      <c r="D355" s="5" t="n"/>
      <c r="E355" s="5" t="n"/>
      <c r="F355" s="5" t="n"/>
      <c r="G355" s="5" t="n"/>
      <c r="H355" s="6" t="n"/>
      <c r="I355" s="5" t="n"/>
      <c r="J355" s="5" t="n"/>
      <c r="K355" s="5" t="n"/>
      <c r="L355" s="5" t="n"/>
    </row>
    <row r="356">
      <c r="A356" s="5" t="n"/>
      <c r="B356" s="6" t="n"/>
      <c r="C356" s="5" t="n"/>
      <c r="D356" s="5" t="n"/>
      <c r="E356" s="5" t="n"/>
      <c r="F356" s="5" t="n"/>
      <c r="G356" s="5" t="n"/>
      <c r="H356" s="6" t="n"/>
      <c r="I356" s="5" t="n"/>
      <c r="J356" s="5" t="n"/>
      <c r="K356" s="5" t="n"/>
      <c r="L356" s="5" t="n"/>
    </row>
    <row r="357">
      <c r="A357" s="5" t="n"/>
      <c r="B357" s="6" t="n"/>
      <c r="C357" s="5" t="n"/>
      <c r="D357" s="5" t="n"/>
      <c r="E357" s="5" t="n"/>
      <c r="F357" s="5" t="n"/>
      <c r="G357" s="5" t="n"/>
      <c r="H357" s="6" t="n"/>
      <c r="I357" s="5" t="n"/>
      <c r="J357" s="5" t="n"/>
      <c r="K357" s="5" t="n"/>
      <c r="L357" s="5" t="n"/>
    </row>
    <row r="358">
      <c r="A358" s="5" t="n"/>
      <c r="B358" s="6" t="n"/>
      <c r="C358" s="5" t="n"/>
      <c r="D358" s="5" t="n"/>
      <c r="E358" s="5" t="n"/>
      <c r="F358" s="5" t="n"/>
      <c r="G358" s="5" t="n"/>
      <c r="H358" s="6" t="n"/>
      <c r="I358" s="5" t="n"/>
      <c r="J358" s="5" t="n"/>
      <c r="K358" s="5" t="n"/>
      <c r="L358" s="5" t="n"/>
    </row>
    <row r="359">
      <c r="A359" s="5" t="n"/>
      <c r="B359" s="6" t="n"/>
      <c r="C359" s="5" t="n"/>
      <c r="D359" s="5" t="n"/>
      <c r="E359" s="5" t="n"/>
      <c r="F359" s="5" t="n"/>
      <c r="G359" s="5" t="n"/>
      <c r="H359" s="6" t="n"/>
      <c r="I359" s="5" t="n"/>
      <c r="J359" s="5" t="n"/>
      <c r="K359" s="5" t="n"/>
      <c r="L359" s="5" t="n"/>
    </row>
    <row r="360">
      <c r="A360" s="5" t="n"/>
      <c r="B360" s="6" t="n"/>
      <c r="C360" s="5" t="n"/>
      <c r="D360" s="5" t="n"/>
      <c r="E360" s="5" t="n"/>
      <c r="F360" s="5" t="n"/>
      <c r="G360" s="5" t="n"/>
      <c r="H360" s="6" t="n"/>
      <c r="I360" s="5" t="n"/>
      <c r="J360" s="5" t="n"/>
      <c r="K360" s="5" t="n"/>
      <c r="L360" s="5" t="n"/>
    </row>
    <row r="361">
      <c r="A361" s="5" t="n"/>
      <c r="B361" s="6" t="n"/>
      <c r="C361" s="5" t="n"/>
      <c r="D361" s="5" t="n"/>
      <c r="E361" s="5" t="n"/>
      <c r="F361" s="5" t="n"/>
      <c r="G361" s="5" t="n"/>
      <c r="H361" s="6" t="n"/>
      <c r="I361" s="5" t="n"/>
      <c r="J361" s="5" t="n"/>
      <c r="K361" s="5" t="n"/>
      <c r="L361" s="5" t="n"/>
    </row>
    <row r="362">
      <c r="A362" s="5" t="n"/>
      <c r="B362" s="6" t="n"/>
      <c r="C362" s="5" t="n"/>
      <c r="D362" s="5" t="n"/>
      <c r="E362" s="5" t="n"/>
      <c r="F362" s="5" t="n"/>
      <c r="G362" s="5" t="n"/>
      <c r="H362" s="6" t="n"/>
      <c r="I362" s="5" t="n"/>
      <c r="J362" s="5" t="n"/>
      <c r="K362" s="5" t="n"/>
      <c r="L362" s="5" t="n"/>
    </row>
    <row r="363">
      <c r="A363" s="5" t="n"/>
      <c r="B363" s="6" t="n"/>
      <c r="C363" s="5" t="n"/>
      <c r="D363" s="5" t="n"/>
      <c r="E363" s="5" t="n"/>
      <c r="F363" s="5" t="n"/>
      <c r="G363" s="5" t="n"/>
      <c r="H363" s="6" t="n"/>
      <c r="I363" s="5" t="n"/>
      <c r="J363" s="5" t="n"/>
      <c r="K363" s="5" t="n"/>
      <c r="L363" s="5" t="n"/>
    </row>
    <row r="364">
      <c r="A364" s="5" t="n"/>
      <c r="B364" s="6" t="n"/>
      <c r="C364" s="5" t="n"/>
      <c r="D364" s="5" t="n"/>
      <c r="E364" s="5" t="n"/>
      <c r="F364" s="5" t="n"/>
      <c r="G364" s="5" t="n"/>
      <c r="H364" s="6" t="n"/>
      <c r="I364" s="5" t="n"/>
      <c r="J364" s="5" t="n"/>
      <c r="K364" s="5" t="n"/>
      <c r="L364" s="5" t="n"/>
    </row>
    <row r="365">
      <c r="A365" s="5" t="n"/>
      <c r="B365" s="6" t="n"/>
      <c r="C365" s="5" t="n"/>
      <c r="D365" s="5" t="n"/>
      <c r="E365" s="5" t="n"/>
      <c r="F365" s="5" t="n"/>
      <c r="G365" s="5" t="n"/>
      <c r="H365" s="6" t="n"/>
      <c r="I365" s="5" t="n"/>
      <c r="J365" s="5" t="n"/>
      <c r="K365" s="5" t="n"/>
      <c r="L365" s="5" t="n"/>
    </row>
    <row r="366">
      <c r="A366" s="5" t="n"/>
      <c r="B366" s="6" t="n"/>
      <c r="C366" s="5" t="n"/>
      <c r="D366" s="5" t="n"/>
      <c r="E366" s="5" t="n"/>
      <c r="F366" s="5" t="n"/>
      <c r="G366" s="5" t="n"/>
      <c r="H366" s="6" t="n"/>
      <c r="I366" s="5" t="n"/>
      <c r="J366" s="5" t="n"/>
      <c r="K366" s="5" t="n"/>
      <c r="L366" s="5" t="n"/>
    </row>
    <row r="367">
      <c r="A367" s="5" t="n"/>
      <c r="B367" s="6" t="n"/>
      <c r="C367" s="5" t="n"/>
      <c r="D367" s="5" t="n"/>
      <c r="E367" s="5" t="n"/>
      <c r="F367" s="5" t="n"/>
      <c r="G367" s="5" t="n"/>
      <c r="H367" s="6" t="n"/>
      <c r="I367" s="5" t="n"/>
      <c r="J367" s="5" t="n"/>
      <c r="K367" s="5" t="n"/>
      <c r="L367" s="5" t="n"/>
    </row>
    <row r="368">
      <c r="A368" s="5" t="n"/>
      <c r="B368" s="6" t="n"/>
      <c r="C368" s="5" t="n"/>
      <c r="D368" s="5" t="n"/>
      <c r="E368" s="5" t="n"/>
      <c r="F368" s="5" t="n"/>
      <c r="G368" s="5" t="n"/>
      <c r="H368" s="6" t="n"/>
      <c r="I368" s="5" t="n"/>
      <c r="J368" s="5" t="n"/>
      <c r="K368" s="5" t="n"/>
      <c r="L368" s="5" t="n"/>
    </row>
    <row r="369">
      <c r="A369" s="5" t="n"/>
      <c r="B369" s="6" t="n"/>
      <c r="C369" s="5" t="n"/>
      <c r="D369" s="5" t="n"/>
      <c r="E369" s="5" t="n"/>
      <c r="F369" s="5" t="n"/>
      <c r="G369" s="5" t="n"/>
      <c r="H369" s="6" t="n"/>
      <c r="I369" s="5" t="n"/>
      <c r="J369" s="5" t="n"/>
      <c r="K369" s="5" t="n"/>
      <c r="L369" s="5" t="n"/>
    </row>
    <row r="370">
      <c r="A370" s="5" t="n"/>
      <c r="B370" s="6" t="n"/>
      <c r="C370" s="5" t="n"/>
      <c r="D370" s="5" t="n"/>
      <c r="E370" s="5" t="n"/>
      <c r="F370" s="5" t="n"/>
      <c r="G370" s="5" t="n"/>
      <c r="H370" s="6" t="n"/>
      <c r="I370" s="5" t="n"/>
      <c r="J370" s="5" t="n"/>
      <c r="K370" s="5" t="n"/>
      <c r="L370" s="5" t="n"/>
    </row>
    <row r="371">
      <c r="A371" s="5" t="n"/>
      <c r="B371" s="6" t="n"/>
      <c r="C371" s="5" t="n"/>
      <c r="D371" s="5" t="n"/>
      <c r="E371" s="5" t="n"/>
      <c r="F371" s="5" t="n"/>
      <c r="G371" s="5" t="n"/>
      <c r="H371" s="6" t="n"/>
      <c r="I371" s="5" t="n"/>
      <c r="J371" s="5" t="n"/>
      <c r="K371" s="5" t="n"/>
      <c r="L371" s="5" t="n"/>
    </row>
    <row r="372">
      <c r="A372" s="5" t="n"/>
      <c r="B372" s="6" t="n"/>
      <c r="C372" s="5" t="n"/>
      <c r="D372" s="5" t="n"/>
      <c r="E372" s="5" t="n"/>
      <c r="F372" s="5" t="n"/>
      <c r="G372" s="5" t="n"/>
      <c r="H372" s="6" t="n"/>
      <c r="I372" s="5" t="n"/>
      <c r="J372" s="5" t="n"/>
      <c r="K372" s="5" t="n"/>
      <c r="L372" s="5" t="n"/>
    </row>
    <row r="373">
      <c r="A373" s="5" t="n"/>
      <c r="B373" s="6" t="n"/>
      <c r="C373" s="5" t="n"/>
      <c r="D373" s="5" t="n"/>
      <c r="E373" s="5" t="n"/>
      <c r="F373" s="5" t="n"/>
      <c r="G373" s="5" t="n"/>
      <c r="H373" s="6" t="n"/>
      <c r="I373" s="5" t="n"/>
      <c r="J373" s="5" t="n"/>
      <c r="K373" s="5" t="n"/>
      <c r="L373" s="5" t="n"/>
    </row>
    <row r="374">
      <c r="A374" s="5" t="n"/>
      <c r="B374" s="6" t="n"/>
      <c r="C374" s="5" t="n"/>
      <c r="D374" s="5" t="n"/>
      <c r="E374" s="5" t="n"/>
      <c r="F374" s="5" t="n"/>
      <c r="G374" s="5" t="n"/>
      <c r="H374" s="6" t="n"/>
      <c r="I374" s="5" t="n"/>
      <c r="J374" s="5" t="n"/>
      <c r="K374" s="5" t="n"/>
      <c r="L374" s="5" t="n"/>
    </row>
    <row r="375">
      <c r="A375" s="5" t="n"/>
      <c r="B375" s="6" t="n"/>
      <c r="C375" s="5" t="n"/>
      <c r="D375" s="5" t="n"/>
      <c r="E375" s="5" t="n"/>
      <c r="F375" s="5" t="n"/>
      <c r="G375" s="5" t="n"/>
      <c r="H375" s="6" t="n"/>
      <c r="I375" s="5" t="n"/>
      <c r="J375" s="5" t="n"/>
      <c r="K375" s="5" t="n"/>
      <c r="L375" s="5" t="n"/>
    </row>
    <row r="376">
      <c r="A376" s="5" t="n"/>
      <c r="B376" s="6" t="n"/>
      <c r="C376" s="5" t="n"/>
      <c r="D376" s="5" t="n"/>
      <c r="E376" s="5" t="n"/>
      <c r="F376" s="5" t="n"/>
      <c r="G376" s="5" t="n"/>
      <c r="H376" s="6" t="n"/>
      <c r="I376" s="5" t="n"/>
      <c r="J376" s="5" t="n"/>
      <c r="K376" s="5" t="n"/>
      <c r="L376" s="5" t="n"/>
    </row>
    <row r="377">
      <c r="A377" s="5" t="n"/>
      <c r="B377" s="6" t="n"/>
      <c r="C377" s="5" t="n"/>
      <c r="D377" s="5" t="n"/>
      <c r="E377" s="5" t="n"/>
      <c r="F377" s="5" t="n"/>
      <c r="G377" s="5" t="n"/>
      <c r="H377" s="6" t="n"/>
      <c r="I377" s="5" t="n"/>
      <c r="J377" s="5" t="n"/>
      <c r="K377" s="5" t="n"/>
      <c r="L377" s="5" t="n"/>
    </row>
    <row r="378">
      <c r="A378" s="5" t="n"/>
      <c r="B378" s="6" t="n"/>
      <c r="C378" s="5" t="n"/>
      <c r="D378" s="5" t="n"/>
      <c r="E378" s="5" t="n"/>
      <c r="F378" s="5" t="n"/>
      <c r="G378" s="5" t="n"/>
      <c r="H378" s="6" t="n"/>
      <c r="I378" s="5" t="n"/>
      <c r="J378" s="5" t="n"/>
      <c r="K378" s="5" t="n"/>
      <c r="L378" s="5" t="n"/>
    </row>
    <row r="379">
      <c r="A379" s="5" t="n"/>
      <c r="B379" s="6" t="n"/>
      <c r="C379" s="5" t="n"/>
      <c r="D379" s="5" t="n"/>
      <c r="E379" s="5" t="n"/>
      <c r="F379" s="5" t="n"/>
      <c r="G379" s="5" t="n"/>
      <c r="H379" s="6" t="n"/>
      <c r="I379" s="5" t="n"/>
      <c r="J379" s="5" t="n"/>
      <c r="K379" s="5" t="n"/>
      <c r="L379" s="5" t="n"/>
    </row>
    <row r="380">
      <c r="A380" s="5" t="n"/>
      <c r="B380" s="6" t="n"/>
      <c r="C380" s="5" t="n"/>
      <c r="D380" s="5" t="n"/>
      <c r="E380" s="5" t="n"/>
      <c r="F380" s="5" t="n"/>
      <c r="G380" s="5" t="n"/>
      <c r="H380" s="6" t="n"/>
      <c r="I380" s="5" t="n"/>
      <c r="J380" s="5" t="n"/>
      <c r="K380" s="5" t="n"/>
      <c r="L380" s="5" t="n"/>
    </row>
    <row r="381">
      <c r="A381" s="5" t="n"/>
      <c r="B381" s="6" t="n"/>
      <c r="C381" s="5" t="n"/>
      <c r="D381" s="5" t="n"/>
      <c r="E381" s="5" t="n"/>
      <c r="F381" s="5" t="n"/>
      <c r="G381" s="5" t="n"/>
      <c r="H381" s="6" t="n"/>
      <c r="I381" s="5" t="n"/>
      <c r="J381" s="5" t="n"/>
      <c r="K381" s="5" t="n"/>
      <c r="L381" s="5" t="n"/>
    </row>
    <row r="382">
      <c r="A382" s="5" t="n"/>
      <c r="B382" s="6" t="n"/>
      <c r="C382" s="5" t="n"/>
      <c r="D382" s="5" t="n"/>
      <c r="E382" s="5" t="n"/>
      <c r="F382" s="5" t="n"/>
      <c r="G382" s="5" t="n"/>
      <c r="H382" s="6" t="n"/>
      <c r="I382" s="5" t="n"/>
      <c r="J382" s="5" t="n"/>
      <c r="K382" s="5" t="n"/>
      <c r="L382" s="5" t="n"/>
    </row>
    <row r="383">
      <c r="A383" s="5" t="n"/>
      <c r="B383" s="6" t="n"/>
      <c r="C383" s="5" t="n"/>
      <c r="D383" s="5" t="n"/>
      <c r="E383" s="5" t="n"/>
      <c r="F383" s="5" t="n"/>
      <c r="G383" s="5" t="n"/>
      <c r="H383" s="6" t="n"/>
      <c r="I383" s="5" t="n"/>
      <c r="J383" s="5" t="n"/>
      <c r="K383" s="5" t="n"/>
      <c r="L383" s="5" t="n"/>
    </row>
    <row r="384">
      <c r="A384" s="5" t="n"/>
      <c r="B384" s="6" t="n"/>
      <c r="C384" s="5" t="n"/>
      <c r="D384" s="5" t="n"/>
      <c r="E384" s="5" t="n"/>
      <c r="F384" s="5" t="n"/>
      <c r="G384" s="5" t="n"/>
      <c r="H384" s="6" t="n"/>
      <c r="I384" s="5" t="n"/>
      <c r="J384" s="5" t="n"/>
      <c r="K384" s="5" t="n"/>
      <c r="L384" s="5" t="n"/>
    </row>
    <row r="385">
      <c r="A385" s="5" t="n"/>
      <c r="B385" s="6" t="n"/>
      <c r="C385" s="5" t="n"/>
      <c r="D385" s="5" t="n"/>
      <c r="E385" s="5" t="n"/>
      <c r="F385" s="5" t="n"/>
      <c r="G385" s="5" t="n"/>
      <c r="H385" s="6" t="n"/>
      <c r="I385" s="5" t="n"/>
      <c r="J385" s="5" t="n"/>
      <c r="K385" s="5" t="n"/>
      <c r="L385" s="5" t="n"/>
    </row>
    <row r="386">
      <c r="A386" s="5" t="n"/>
      <c r="B386" s="6" t="n"/>
      <c r="C386" s="5" t="n"/>
      <c r="D386" s="5" t="n"/>
      <c r="E386" s="5" t="n"/>
      <c r="F386" s="5" t="n"/>
      <c r="G386" s="5" t="n"/>
      <c r="H386" s="6" t="n"/>
      <c r="I386" s="5" t="n"/>
      <c r="J386" s="5" t="n"/>
      <c r="K386" s="5" t="n"/>
      <c r="L386" s="5" t="n"/>
    </row>
    <row r="387">
      <c r="A387" s="5" t="n"/>
      <c r="B387" s="6" t="n"/>
      <c r="C387" s="5" t="n"/>
      <c r="D387" s="5" t="n"/>
      <c r="E387" s="5" t="n"/>
      <c r="F387" s="5" t="n"/>
      <c r="G387" s="5" t="n"/>
      <c r="H387" s="6" t="n"/>
      <c r="I387" s="5" t="n"/>
      <c r="J387" s="5" t="n"/>
      <c r="K387" s="5" t="n"/>
      <c r="L387" s="5" t="n"/>
    </row>
    <row r="388">
      <c r="A388" s="5" t="n"/>
      <c r="B388" s="6" t="n"/>
      <c r="C388" s="5" t="n"/>
      <c r="D388" s="5" t="n"/>
      <c r="E388" s="5" t="n"/>
      <c r="F388" s="5" t="n"/>
      <c r="G388" s="5" t="n"/>
      <c r="H388" s="6" t="n"/>
      <c r="I388" s="5" t="n"/>
      <c r="J388" s="5" t="n"/>
      <c r="K388" s="5" t="n"/>
      <c r="L388" s="5" t="n"/>
    </row>
    <row r="389">
      <c r="A389" s="5" t="n"/>
      <c r="B389" s="6" t="n"/>
      <c r="C389" s="5" t="n"/>
      <c r="D389" s="5" t="n"/>
      <c r="E389" s="5" t="n"/>
      <c r="F389" s="5" t="n"/>
      <c r="G389" s="5" t="n"/>
      <c r="H389" s="6" t="n"/>
      <c r="I389" s="5" t="n"/>
      <c r="J389" s="5" t="n"/>
      <c r="K389" s="5" t="n"/>
      <c r="L389" s="5" t="n"/>
    </row>
    <row r="390">
      <c r="A390" s="5" t="n"/>
      <c r="B390" s="6" t="n"/>
      <c r="C390" s="5" t="n"/>
      <c r="D390" s="5" t="n"/>
      <c r="E390" s="5" t="n"/>
      <c r="F390" s="5" t="n"/>
      <c r="G390" s="5" t="n"/>
      <c r="H390" s="6" t="n"/>
      <c r="I390" s="5" t="n"/>
      <c r="J390" s="5" t="n"/>
      <c r="K390" s="5" t="n"/>
      <c r="L390" s="5" t="n"/>
    </row>
    <row r="391">
      <c r="A391" s="5" t="n"/>
      <c r="B391" s="6" t="n"/>
      <c r="C391" s="5" t="n"/>
      <c r="D391" s="5" t="n"/>
      <c r="E391" s="5" t="n"/>
      <c r="F391" s="5" t="n"/>
      <c r="G391" s="5" t="n"/>
      <c r="H391" s="6" t="n"/>
      <c r="I391" s="5" t="n"/>
      <c r="J391" s="5" t="n"/>
      <c r="K391" s="5" t="n"/>
      <c r="L391" s="5" t="n"/>
    </row>
    <row r="392">
      <c r="A392" s="5" t="n"/>
      <c r="B392" s="6" t="n"/>
      <c r="C392" s="5" t="n"/>
      <c r="D392" s="5" t="n"/>
      <c r="E392" s="5" t="n"/>
      <c r="F392" s="5" t="n"/>
      <c r="G392" s="5" t="n"/>
      <c r="H392" s="6" t="n"/>
      <c r="I392" s="5" t="n"/>
      <c r="J392" s="5" t="n"/>
      <c r="K392" s="5" t="n"/>
      <c r="L392" s="5" t="n"/>
    </row>
    <row r="393">
      <c r="A393" s="5" t="n"/>
      <c r="B393" s="6" t="n"/>
      <c r="C393" s="5" t="n"/>
      <c r="D393" s="5" t="n"/>
      <c r="E393" s="5" t="n"/>
      <c r="F393" s="5" t="n"/>
      <c r="G393" s="5" t="n"/>
      <c r="H393" s="6" t="n"/>
      <c r="I393" s="5" t="n"/>
      <c r="J393" s="5" t="n"/>
      <c r="K393" s="5" t="n"/>
      <c r="L393" s="5" t="n"/>
    </row>
    <row r="394">
      <c r="A394" s="5" t="n"/>
      <c r="B394" s="6" t="n"/>
      <c r="C394" s="5" t="n"/>
      <c r="D394" s="5" t="n"/>
      <c r="E394" s="5" t="n"/>
      <c r="F394" s="5" t="n"/>
      <c r="G394" s="5" t="n"/>
      <c r="H394" s="6" t="n"/>
      <c r="I394" s="5" t="n"/>
      <c r="J394" s="5" t="n"/>
      <c r="K394" s="5" t="n"/>
      <c r="L394" s="5" t="n"/>
    </row>
    <row r="395">
      <c r="A395" s="5" t="n"/>
      <c r="B395" s="6" t="n"/>
      <c r="C395" s="5" t="n"/>
      <c r="D395" s="5" t="n"/>
      <c r="E395" s="5" t="n"/>
      <c r="F395" s="5" t="n"/>
      <c r="G395" s="5" t="n"/>
      <c r="H395" s="6" t="n"/>
      <c r="I395" s="5" t="n"/>
      <c r="J395" s="5" t="n"/>
      <c r="K395" s="5" t="n"/>
      <c r="L395" s="5" t="n"/>
    </row>
    <row r="396">
      <c r="A396" s="5" t="n"/>
      <c r="B396" s="6" t="n"/>
      <c r="C396" s="5" t="n"/>
      <c r="D396" s="5" t="n"/>
      <c r="E396" s="5" t="n"/>
      <c r="F396" s="5" t="n"/>
      <c r="G396" s="5" t="n"/>
      <c r="H396" s="6" t="n"/>
      <c r="I396" s="5" t="n"/>
      <c r="J396" s="5" t="n"/>
      <c r="K396" s="5" t="n"/>
      <c r="L396" s="5" t="n"/>
    </row>
    <row r="397">
      <c r="A397" s="5" t="n"/>
      <c r="B397" s="6" t="n"/>
      <c r="C397" s="5" t="n"/>
      <c r="D397" s="5" t="n"/>
      <c r="E397" s="5" t="n"/>
      <c r="F397" s="5" t="n"/>
      <c r="G397" s="5" t="n"/>
      <c r="H397" s="6" t="n"/>
      <c r="I397" s="5" t="n"/>
      <c r="J397" s="5" t="n"/>
      <c r="K397" s="5" t="n"/>
      <c r="L397" s="5" t="n"/>
    </row>
    <row r="398">
      <c r="A398" s="5" t="n"/>
      <c r="B398" s="6" t="n"/>
      <c r="C398" s="5" t="n"/>
      <c r="D398" s="5" t="n"/>
      <c r="E398" s="5" t="n"/>
      <c r="F398" s="5" t="n"/>
      <c r="G398" s="5" t="n"/>
      <c r="H398" s="6" t="n"/>
      <c r="I398" s="5" t="n"/>
      <c r="J398" s="5" t="n"/>
      <c r="K398" s="5" t="n"/>
      <c r="L398" s="5" t="n"/>
    </row>
    <row r="399">
      <c r="A399" s="5" t="n"/>
      <c r="B399" s="6" t="n"/>
      <c r="C399" s="5" t="n"/>
      <c r="D399" s="5" t="n"/>
      <c r="E399" s="5" t="n"/>
      <c r="F399" s="5" t="n"/>
      <c r="G399" s="5" t="n"/>
      <c r="H399" s="6" t="n"/>
      <c r="I399" s="5" t="n"/>
      <c r="J399" s="5" t="n"/>
      <c r="K399" s="5" t="n"/>
      <c r="L399" s="5" t="n"/>
    </row>
    <row r="400">
      <c r="A400" s="5" t="n"/>
      <c r="B400" s="6" t="n"/>
      <c r="C400" s="5" t="n"/>
      <c r="D400" s="5" t="n"/>
      <c r="E400" s="5" t="n"/>
      <c r="F400" s="5" t="n"/>
      <c r="G400" s="5" t="n"/>
      <c r="H400" s="6" t="n"/>
      <c r="I400" s="5" t="n"/>
      <c r="J400" s="5" t="n"/>
      <c r="K400" s="5" t="n"/>
      <c r="L400" s="5" t="n"/>
    </row>
    <row r="401">
      <c r="A401" s="5" t="n"/>
      <c r="B401" s="6" t="n"/>
      <c r="C401" s="5" t="n"/>
      <c r="D401" s="5" t="n"/>
      <c r="E401" s="5" t="n"/>
      <c r="F401" s="5" t="n"/>
      <c r="G401" s="5" t="n"/>
      <c r="H401" s="6" t="n"/>
      <c r="I401" s="5" t="n"/>
      <c r="J401" s="5" t="n"/>
      <c r="K401" s="5" t="n"/>
      <c r="L401" s="5" t="n"/>
    </row>
    <row r="402">
      <c r="A402" s="5" t="n"/>
      <c r="B402" s="6" t="n"/>
      <c r="C402" s="5" t="n"/>
      <c r="D402" s="5" t="n"/>
      <c r="E402" s="5" t="n"/>
      <c r="F402" s="5" t="n"/>
      <c r="G402" s="5" t="n"/>
      <c r="H402" s="6" t="n"/>
      <c r="I402" s="5" t="n"/>
      <c r="J402" s="5" t="n"/>
      <c r="K402" s="5" t="n"/>
      <c r="L402" s="5" t="n"/>
    </row>
    <row r="403">
      <c r="A403" s="5" t="n"/>
      <c r="B403" s="6" t="n"/>
      <c r="C403" s="5" t="n"/>
      <c r="D403" s="5" t="n"/>
      <c r="E403" s="5" t="n"/>
      <c r="F403" s="5" t="n"/>
      <c r="G403" s="5" t="n"/>
      <c r="H403" s="6" t="n"/>
      <c r="I403" s="5" t="n"/>
      <c r="J403" s="5" t="n"/>
      <c r="K403" s="5" t="n"/>
      <c r="L403" s="5" t="n"/>
    </row>
    <row r="404">
      <c r="A404" s="5" t="n"/>
      <c r="B404" s="6" t="n"/>
      <c r="C404" s="5" t="n"/>
      <c r="D404" s="5" t="n"/>
      <c r="E404" s="5" t="n"/>
      <c r="F404" s="5" t="n"/>
      <c r="G404" s="5" t="n"/>
      <c r="H404" s="6" t="n"/>
      <c r="I404" s="5" t="n"/>
      <c r="J404" s="5" t="n"/>
      <c r="K404" s="5" t="n"/>
      <c r="L404" s="5" t="n"/>
    </row>
    <row r="405">
      <c r="A405" s="5" t="n"/>
      <c r="B405" s="6" t="n"/>
      <c r="C405" s="5" t="n"/>
      <c r="D405" s="5" t="n"/>
      <c r="E405" s="5" t="n"/>
      <c r="F405" s="5" t="n"/>
      <c r="G405" s="5" t="n"/>
      <c r="H405" s="6" t="n"/>
      <c r="I405" s="5" t="n"/>
      <c r="J405" s="5" t="n"/>
      <c r="K405" s="5" t="n"/>
      <c r="L405" s="5" t="n"/>
    </row>
    <row r="406">
      <c r="A406" s="5" t="n"/>
      <c r="B406" s="6" t="n"/>
      <c r="C406" s="5" t="n"/>
      <c r="D406" s="5" t="n"/>
      <c r="E406" s="5" t="n"/>
      <c r="F406" s="5" t="n"/>
      <c r="G406" s="5" t="n"/>
      <c r="H406" s="6" t="n"/>
      <c r="I406" s="5" t="n"/>
      <c r="J406" s="5" t="n"/>
      <c r="K406" s="5" t="n"/>
      <c r="L406" s="5" t="n"/>
    </row>
    <row r="407">
      <c r="A407" s="5" t="n"/>
      <c r="B407" s="6" t="n"/>
      <c r="C407" s="5" t="n"/>
      <c r="D407" s="5" t="n"/>
      <c r="E407" s="5" t="n"/>
      <c r="F407" s="5" t="n"/>
      <c r="G407" s="5" t="n"/>
      <c r="H407" s="6" t="n"/>
      <c r="I407" s="5" t="n"/>
      <c r="J407" s="5" t="n"/>
      <c r="K407" s="5" t="n"/>
      <c r="L407" s="5" t="n"/>
    </row>
    <row r="408">
      <c r="A408" s="5" t="n"/>
      <c r="B408" s="6" t="n"/>
      <c r="C408" s="5" t="n"/>
      <c r="D408" s="5" t="n"/>
      <c r="E408" s="5" t="n"/>
      <c r="F408" s="5" t="n"/>
      <c r="G408" s="5" t="n"/>
      <c r="H408" s="6" t="n"/>
      <c r="I408" s="5" t="n"/>
      <c r="J408" s="5" t="n"/>
      <c r="K408" s="5" t="n"/>
      <c r="L408" s="5" t="n"/>
    </row>
    <row r="409">
      <c r="A409" s="5" t="n"/>
      <c r="B409" s="6" t="n"/>
      <c r="C409" s="5" t="n"/>
      <c r="D409" s="5" t="n"/>
      <c r="E409" s="5" t="n"/>
      <c r="F409" s="5" t="n"/>
      <c r="G409" s="5" t="n"/>
      <c r="H409" s="6" t="n"/>
      <c r="I409" s="5" t="n"/>
      <c r="J409" s="5" t="n"/>
      <c r="K409" s="5" t="n"/>
      <c r="L409" s="5" t="n"/>
    </row>
    <row r="410">
      <c r="A410" s="5" t="n"/>
      <c r="B410" s="6" t="n"/>
      <c r="C410" s="5" t="n"/>
      <c r="D410" s="5" t="n"/>
      <c r="E410" s="5" t="n"/>
      <c r="F410" s="5" t="n"/>
      <c r="G410" s="5" t="n"/>
      <c r="H410" s="6" t="n"/>
      <c r="I410" s="5" t="n"/>
      <c r="J410" s="5" t="n"/>
      <c r="K410" s="5" t="n"/>
      <c r="L410" s="5" t="n"/>
    </row>
    <row r="411">
      <c r="A411" s="5" t="n"/>
      <c r="B411" s="6" t="n"/>
      <c r="C411" s="5" t="n"/>
      <c r="D411" s="5" t="n"/>
      <c r="E411" s="5" t="n"/>
      <c r="F411" s="5" t="n"/>
      <c r="G411" s="5" t="n"/>
      <c r="H411" s="6" t="n"/>
      <c r="I411" s="5" t="n"/>
      <c r="J411" s="5" t="n"/>
      <c r="K411" s="5" t="n"/>
      <c r="L411" s="5" t="n"/>
    </row>
    <row r="412">
      <c r="A412" s="5" t="n"/>
      <c r="B412" s="6" t="n"/>
      <c r="C412" s="5" t="n"/>
      <c r="D412" s="5" t="n"/>
      <c r="E412" s="5" t="n"/>
      <c r="F412" s="5" t="n"/>
      <c r="G412" s="5" t="n"/>
      <c r="H412" s="6" t="n"/>
      <c r="I412" s="5" t="n"/>
      <c r="J412" s="5" t="n"/>
      <c r="K412" s="5" t="n"/>
      <c r="L412" s="5" t="n"/>
    </row>
    <row r="413">
      <c r="A413" s="5" t="n"/>
      <c r="B413" s="6" t="n"/>
      <c r="C413" s="5" t="n"/>
      <c r="D413" s="5" t="n"/>
      <c r="E413" s="5" t="n"/>
      <c r="F413" s="5" t="n"/>
      <c r="G413" s="5" t="n"/>
      <c r="H413" s="6" t="n"/>
      <c r="I413" s="5" t="n"/>
      <c r="J413" s="5" t="n"/>
      <c r="K413" s="5" t="n"/>
      <c r="L413" s="5" t="n"/>
    </row>
    <row r="414">
      <c r="A414" s="5" t="n"/>
      <c r="B414" s="6" t="n"/>
      <c r="C414" s="5" t="n"/>
      <c r="D414" s="5" t="n"/>
      <c r="E414" s="5" t="n"/>
      <c r="F414" s="5" t="n"/>
      <c r="G414" s="5" t="n"/>
      <c r="H414" s="6" t="n"/>
      <c r="I414" s="5" t="n"/>
      <c r="J414" s="5" t="n"/>
      <c r="K414" s="5" t="n"/>
      <c r="L414" s="5" t="n"/>
    </row>
    <row r="415">
      <c r="A415" s="5" t="n"/>
      <c r="B415" s="6" t="n"/>
      <c r="C415" s="5" t="n"/>
      <c r="D415" s="5" t="n"/>
      <c r="E415" s="5" t="n"/>
      <c r="F415" s="5" t="n"/>
      <c r="G415" s="5" t="n"/>
      <c r="H415" s="6" t="n"/>
      <c r="I415" s="5" t="n"/>
      <c r="J415" s="5" t="n"/>
      <c r="K415" s="5" t="n"/>
      <c r="L415" s="5" t="n"/>
    </row>
    <row r="416">
      <c r="A416" s="5" t="n"/>
      <c r="B416" s="6" t="n"/>
      <c r="C416" s="5" t="n"/>
      <c r="D416" s="5" t="n"/>
      <c r="E416" s="5" t="n"/>
      <c r="F416" s="5" t="n"/>
      <c r="G416" s="5" t="n"/>
      <c r="H416" s="6" t="n"/>
      <c r="I416" s="5" t="n"/>
      <c r="J416" s="5" t="n"/>
      <c r="K416" s="5" t="n"/>
      <c r="L416" s="5" t="n"/>
    </row>
    <row r="417">
      <c r="A417" s="5" t="n"/>
      <c r="B417" s="6" t="n"/>
      <c r="C417" s="5" t="n"/>
      <c r="D417" s="5" t="n"/>
      <c r="E417" s="5" t="n"/>
      <c r="F417" s="5" t="n"/>
      <c r="G417" s="5" t="n"/>
      <c r="H417" s="6" t="n"/>
      <c r="I417" s="5" t="n"/>
      <c r="J417" s="5" t="n"/>
      <c r="K417" s="5" t="n"/>
      <c r="L417" s="5" t="n"/>
    </row>
    <row r="418">
      <c r="A418" s="5" t="n"/>
      <c r="B418" s="6" t="n"/>
      <c r="C418" s="5" t="n"/>
      <c r="D418" s="5" t="n"/>
      <c r="E418" s="5" t="n"/>
      <c r="F418" s="5" t="n"/>
      <c r="G418" s="5" t="n"/>
      <c r="H418" s="6" t="n"/>
      <c r="I418" s="5" t="n"/>
      <c r="J418" s="5" t="n"/>
      <c r="K418" s="5" t="n"/>
      <c r="L418" s="5" t="n"/>
    </row>
    <row r="419">
      <c r="A419" s="5" t="n"/>
      <c r="B419" s="6" t="n"/>
      <c r="C419" s="5" t="n"/>
      <c r="D419" s="5" t="n"/>
      <c r="E419" s="5" t="n"/>
      <c r="F419" s="5" t="n"/>
      <c r="G419" s="5" t="n"/>
      <c r="H419" s="6" t="n"/>
      <c r="I419" s="5" t="n"/>
      <c r="J419" s="5" t="n"/>
      <c r="K419" s="5" t="n"/>
      <c r="L419" s="5" t="n"/>
    </row>
    <row r="420">
      <c r="A420" s="5" t="n"/>
      <c r="B420" s="6" t="n"/>
      <c r="C420" s="5" t="n"/>
      <c r="D420" s="5" t="n"/>
      <c r="E420" s="5" t="n"/>
      <c r="F420" s="5" t="n"/>
      <c r="G420" s="5" t="n"/>
      <c r="H420" s="6" t="n"/>
      <c r="I420" s="5" t="n"/>
      <c r="J420" s="5" t="n"/>
      <c r="K420" s="5" t="n"/>
      <c r="L420" s="5" t="n"/>
    </row>
    <row r="421">
      <c r="A421" s="5" t="n"/>
      <c r="B421" s="6" t="n"/>
      <c r="C421" s="5" t="n"/>
      <c r="D421" s="5" t="n"/>
      <c r="E421" s="5" t="n"/>
      <c r="F421" s="5" t="n"/>
      <c r="G421" s="5" t="n"/>
      <c r="H421" s="6" t="n"/>
      <c r="I421" s="5" t="n"/>
      <c r="J421" s="5" t="n"/>
      <c r="K421" s="5" t="n"/>
      <c r="L421" s="5" t="n"/>
    </row>
    <row r="422">
      <c r="A422" s="5" t="n"/>
      <c r="B422" s="6" t="n"/>
      <c r="C422" s="5" t="n"/>
      <c r="D422" s="5" t="n"/>
      <c r="E422" s="5" t="n"/>
      <c r="F422" s="5" t="n"/>
      <c r="G422" s="5" t="n"/>
      <c r="H422" s="6" t="n"/>
      <c r="I422" s="5" t="n"/>
      <c r="J422" s="5" t="n"/>
      <c r="K422" s="5" t="n"/>
      <c r="L422" s="5" t="n"/>
    </row>
    <row r="423">
      <c r="A423" s="5" t="n"/>
      <c r="B423" s="6" t="n"/>
      <c r="C423" s="5" t="n"/>
      <c r="D423" s="5" t="n"/>
      <c r="E423" s="5" t="n"/>
      <c r="F423" s="5" t="n"/>
      <c r="G423" s="5" t="n"/>
      <c r="H423" s="6" t="n"/>
      <c r="I423" s="5" t="n"/>
      <c r="J423" s="5" t="n"/>
      <c r="K423" s="5" t="n"/>
      <c r="L423" s="5" t="n"/>
    </row>
    <row r="424">
      <c r="A424" s="5" t="n"/>
      <c r="B424" s="6" t="n"/>
      <c r="C424" s="5" t="n"/>
      <c r="D424" s="5" t="n"/>
      <c r="E424" s="5" t="n"/>
      <c r="F424" s="5" t="n"/>
      <c r="G424" s="5" t="n"/>
      <c r="H424" s="6" t="n"/>
      <c r="I424" s="5" t="n"/>
      <c r="J424" s="5" t="n"/>
      <c r="K424" s="5" t="n"/>
      <c r="L424" s="5" t="n"/>
    </row>
    <row r="425">
      <c r="A425" s="5" t="n"/>
      <c r="B425" s="6" t="n"/>
      <c r="C425" s="5" t="n"/>
      <c r="D425" s="5" t="n"/>
      <c r="E425" s="5" t="n"/>
      <c r="F425" s="5" t="n"/>
      <c r="G425" s="5" t="n"/>
      <c r="H425" s="6" t="n"/>
      <c r="I425" s="5" t="n"/>
      <c r="J425" s="5" t="n"/>
      <c r="K425" s="5" t="n"/>
      <c r="L425" s="5" t="n"/>
    </row>
    <row r="426">
      <c r="A426" s="5" t="n"/>
      <c r="B426" s="6" t="n"/>
      <c r="C426" s="5" t="n"/>
      <c r="D426" s="5" t="n"/>
      <c r="E426" s="5" t="n"/>
      <c r="F426" s="5" t="n"/>
      <c r="G426" s="5" t="n"/>
      <c r="H426" s="6" t="n"/>
      <c r="I426" s="5" t="n"/>
      <c r="J426" s="5" t="n"/>
      <c r="K426" s="5" t="n"/>
      <c r="L426" s="5" t="n"/>
    </row>
    <row r="427">
      <c r="A427" s="5" t="n"/>
      <c r="B427" s="6" t="n"/>
      <c r="C427" s="5" t="n"/>
      <c r="D427" s="5" t="n"/>
      <c r="E427" s="5" t="n"/>
      <c r="F427" s="5" t="n"/>
      <c r="G427" s="5" t="n"/>
      <c r="H427" s="6" t="n"/>
      <c r="I427" s="5" t="n"/>
      <c r="J427" s="5" t="n"/>
      <c r="K427" s="5" t="n"/>
      <c r="L427" s="5" t="n"/>
    </row>
    <row r="428">
      <c r="A428" s="5" t="n"/>
      <c r="B428" s="6" t="n"/>
      <c r="C428" s="5" t="n"/>
      <c r="D428" s="5" t="n"/>
      <c r="E428" s="5" t="n"/>
      <c r="F428" s="5" t="n"/>
      <c r="G428" s="5" t="n"/>
      <c r="H428" s="6" t="n"/>
      <c r="I428" s="5" t="n"/>
      <c r="J428" s="5" t="n"/>
      <c r="K428" s="5" t="n"/>
      <c r="L428" s="5" t="n"/>
    </row>
    <row r="429">
      <c r="A429" s="5" t="n"/>
      <c r="B429" s="6" t="n"/>
      <c r="C429" s="5" t="n"/>
      <c r="D429" s="5" t="n"/>
      <c r="E429" s="5" t="n"/>
      <c r="F429" s="5" t="n"/>
      <c r="G429" s="5" t="n"/>
      <c r="H429" s="6" t="n"/>
      <c r="I429" s="5" t="n"/>
      <c r="J429" s="5" t="n"/>
      <c r="K429" s="5" t="n"/>
      <c r="L429" s="5" t="n"/>
    </row>
    <row r="430">
      <c r="A430" s="5" t="n"/>
      <c r="B430" s="6" t="n"/>
      <c r="C430" s="5" t="n"/>
      <c r="D430" s="5" t="n"/>
      <c r="E430" s="5" t="n"/>
      <c r="F430" s="5" t="n"/>
      <c r="G430" s="5" t="n"/>
      <c r="H430" s="6" t="n"/>
      <c r="I430" s="5" t="n"/>
      <c r="J430" s="5" t="n"/>
      <c r="K430" s="5" t="n"/>
      <c r="L430" s="5" t="n"/>
    </row>
    <row r="431">
      <c r="A431" s="5" t="n"/>
      <c r="B431" s="6" t="n"/>
      <c r="C431" s="5" t="n"/>
      <c r="D431" s="5" t="n"/>
      <c r="E431" s="5" t="n"/>
      <c r="F431" s="5" t="n"/>
      <c r="G431" s="5" t="n"/>
      <c r="H431" s="6" t="n"/>
      <c r="I431" s="5" t="n"/>
      <c r="J431" s="5" t="n"/>
      <c r="K431" s="5" t="n"/>
      <c r="L431" s="5" t="n"/>
    </row>
    <row r="432">
      <c r="A432" s="5" t="n"/>
      <c r="B432" s="6" t="n"/>
      <c r="C432" s="5" t="n"/>
      <c r="D432" s="5" t="n"/>
      <c r="E432" s="5" t="n"/>
      <c r="F432" s="5" t="n"/>
      <c r="G432" s="5" t="n"/>
      <c r="H432" s="6" t="n"/>
      <c r="I432" s="5" t="n"/>
      <c r="J432" s="5" t="n"/>
      <c r="K432" s="5" t="n"/>
      <c r="L432" s="5" t="n"/>
    </row>
    <row r="433">
      <c r="A433" s="5" t="n"/>
      <c r="B433" s="6" t="n"/>
      <c r="C433" s="5" t="n"/>
      <c r="D433" s="5" t="n"/>
      <c r="E433" s="5" t="n"/>
      <c r="F433" s="5" t="n"/>
      <c r="G433" s="5" t="n"/>
      <c r="H433" s="6" t="n"/>
      <c r="I433" s="5" t="n"/>
      <c r="J433" s="5" t="n"/>
      <c r="K433" s="5" t="n"/>
      <c r="L433" s="5" t="n"/>
    </row>
    <row r="434">
      <c r="A434" s="5" t="n"/>
      <c r="B434" s="6" t="n"/>
      <c r="C434" s="5" t="n"/>
      <c r="D434" s="5" t="n"/>
      <c r="E434" s="5" t="n"/>
      <c r="F434" s="5" t="n"/>
      <c r="G434" s="5" t="n"/>
      <c r="H434" s="6" t="n"/>
      <c r="I434" s="5" t="n"/>
      <c r="J434" s="5" t="n"/>
      <c r="K434" s="5" t="n"/>
      <c r="L434" s="5" t="n"/>
    </row>
    <row r="435">
      <c r="A435" s="5" t="n"/>
      <c r="B435" s="6" t="n"/>
      <c r="C435" s="5" t="n"/>
      <c r="D435" s="5" t="n"/>
      <c r="E435" s="5" t="n"/>
      <c r="F435" s="5" t="n"/>
      <c r="G435" s="5" t="n"/>
      <c r="H435" s="6" t="n"/>
      <c r="I435" s="5" t="n"/>
      <c r="J435" s="5" t="n"/>
      <c r="K435" s="5" t="n"/>
      <c r="L435" s="5" t="n"/>
    </row>
    <row r="436">
      <c r="A436" s="5" t="n"/>
      <c r="B436" s="6" t="n"/>
      <c r="C436" s="5" t="n"/>
      <c r="D436" s="5" t="n"/>
      <c r="E436" s="5" t="n"/>
      <c r="F436" s="5" t="n"/>
      <c r="G436" s="5" t="n"/>
      <c r="H436" s="6" t="n"/>
      <c r="I436" s="5" t="n"/>
      <c r="J436" s="5" t="n"/>
      <c r="K436" s="5" t="n"/>
      <c r="L436" s="5" t="n"/>
    </row>
    <row r="437">
      <c r="A437" s="5" t="n"/>
      <c r="B437" s="6" t="n"/>
      <c r="C437" s="5" t="n"/>
      <c r="D437" s="5" t="n"/>
      <c r="E437" s="5" t="n"/>
      <c r="F437" s="5" t="n"/>
      <c r="G437" s="5" t="n"/>
      <c r="H437" s="6" t="n"/>
      <c r="I437" s="5" t="n"/>
      <c r="J437" s="5" t="n"/>
      <c r="K437" s="5" t="n"/>
      <c r="L437" s="5" t="n"/>
    </row>
    <row r="438">
      <c r="A438" s="5" t="n"/>
      <c r="B438" s="6" t="n"/>
      <c r="C438" s="5" t="n"/>
      <c r="D438" s="5" t="n"/>
      <c r="E438" s="5" t="n"/>
      <c r="F438" s="5" t="n"/>
      <c r="G438" s="5" t="n"/>
      <c r="H438" s="6" t="n"/>
      <c r="I438" s="5" t="n"/>
      <c r="J438" s="5" t="n"/>
      <c r="K438" s="5" t="n"/>
      <c r="L438" s="5" t="n"/>
    </row>
    <row r="439">
      <c r="A439" s="5" t="n"/>
      <c r="B439" s="6" t="n"/>
      <c r="C439" s="5" t="n"/>
      <c r="D439" s="5" t="n"/>
      <c r="E439" s="5" t="n"/>
      <c r="F439" s="5" t="n"/>
      <c r="G439" s="5" t="n"/>
      <c r="H439" s="6" t="n"/>
      <c r="I439" s="5" t="n"/>
      <c r="J439" s="5" t="n"/>
      <c r="K439" s="5" t="n"/>
      <c r="L439" s="5" t="n"/>
    </row>
    <row r="440">
      <c r="A440" s="5" t="n"/>
      <c r="B440" s="6" t="n"/>
      <c r="C440" s="5" t="n"/>
      <c r="D440" s="5" t="n"/>
      <c r="E440" s="5" t="n"/>
      <c r="F440" s="5" t="n"/>
      <c r="G440" s="5" t="n"/>
      <c r="H440" s="6" t="n"/>
      <c r="I440" s="5" t="n"/>
      <c r="J440" s="5" t="n"/>
      <c r="K440" s="5" t="n"/>
      <c r="L440" s="5" t="n"/>
    </row>
    <row r="441">
      <c r="A441" s="5" t="n"/>
      <c r="B441" s="6" t="n"/>
      <c r="C441" s="5" t="n"/>
      <c r="D441" s="5" t="n"/>
      <c r="E441" s="5" t="n"/>
      <c r="F441" s="5" t="n"/>
      <c r="G441" s="5" t="n"/>
      <c r="H441" s="6" t="n"/>
      <c r="I441" s="5" t="n"/>
      <c r="J441" s="5" t="n"/>
      <c r="K441" s="5" t="n"/>
      <c r="L441" s="5" t="n"/>
    </row>
    <row r="442">
      <c r="A442" s="5" t="n"/>
      <c r="B442" s="6" t="n"/>
      <c r="C442" s="5" t="n"/>
      <c r="D442" s="5" t="n"/>
      <c r="E442" s="5" t="n"/>
      <c r="F442" s="5" t="n"/>
      <c r="G442" s="5" t="n"/>
      <c r="H442" s="6" t="n"/>
      <c r="I442" s="5" t="n"/>
      <c r="J442" s="5" t="n"/>
      <c r="K442" s="5" t="n"/>
      <c r="L442" s="5" t="n"/>
    </row>
    <row r="443">
      <c r="A443" s="5" t="n"/>
      <c r="B443" s="6" t="n"/>
      <c r="C443" s="5" t="n"/>
      <c r="D443" s="5" t="n"/>
      <c r="E443" s="5" t="n"/>
      <c r="F443" s="5" t="n"/>
      <c r="G443" s="5" t="n"/>
      <c r="H443" s="6" t="n"/>
      <c r="I443" s="5" t="n"/>
      <c r="J443" s="5" t="n"/>
      <c r="K443" s="5" t="n"/>
      <c r="L443" s="5" t="n"/>
    </row>
    <row r="444">
      <c r="A444" s="5" t="n"/>
      <c r="B444" s="6" t="n"/>
      <c r="C444" s="5" t="n"/>
      <c r="D444" s="5" t="n"/>
      <c r="E444" s="5" t="n"/>
      <c r="F444" s="5" t="n"/>
      <c r="G444" s="5" t="n"/>
      <c r="H444" s="6" t="n"/>
      <c r="I444" s="5" t="n"/>
      <c r="J444" s="5" t="n"/>
      <c r="K444" s="5" t="n"/>
      <c r="L444" s="5" t="n"/>
    </row>
    <row r="445">
      <c r="A445" s="5" t="n"/>
      <c r="B445" s="6" t="n"/>
      <c r="C445" s="5" t="n"/>
      <c r="D445" s="5" t="n"/>
      <c r="E445" s="5" t="n"/>
      <c r="F445" s="5" t="n"/>
      <c r="G445" s="5" t="n"/>
      <c r="H445" s="6" t="n"/>
      <c r="I445" s="5" t="n"/>
      <c r="J445" s="5" t="n"/>
      <c r="K445" s="5" t="n"/>
      <c r="L445" s="5" t="n"/>
    </row>
    <row r="446">
      <c r="A446" s="5" t="n"/>
      <c r="B446" s="6" t="n"/>
      <c r="C446" s="5" t="n"/>
      <c r="D446" s="5" t="n"/>
      <c r="E446" s="5" t="n"/>
      <c r="F446" s="5" t="n"/>
      <c r="G446" s="5" t="n"/>
      <c r="H446" s="6" t="n"/>
      <c r="I446" s="5" t="n"/>
      <c r="J446" s="5" t="n"/>
      <c r="K446" s="5" t="n"/>
      <c r="L446" s="5" t="n"/>
    </row>
    <row r="447">
      <c r="A447" s="5" t="n"/>
      <c r="B447" s="6" t="n"/>
      <c r="C447" s="5" t="n"/>
      <c r="D447" s="5" t="n"/>
      <c r="E447" s="5" t="n"/>
      <c r="F447" s="5" t="n"/>
      <c r="G447" s="5" t="n"/>
      <c r="H447" s="6" t="n"/>
      <c r="I447" s="5" t="n"/>
      <c r="J447" s="5" t="n"/>
      <c r="K447" s="5" t="n"/>
      <c r="L447" s="5" t="n"/>
    </row>
    <row r="448">
      <c r="A448" s="5" t="n"/>
      <c r="B448" s="6" t="n"/>
      <c r="C448" s="5" t="n"/>
      <c r="D448" s="5" t="n"/>
      <c r="E448" s="5" t="n"/>
      <c r="F448" s="5" t="n"/>
      <c r="G448" s="5" t="n"/>
      <c r="H448" s="6" t="n"/>
      <c r="I448" s="5" t="n"/>
      <c r="J448" s="5" t="n"/>
      <c r="K448" s="5" t="n"/>
      <c r="L448" s="5" t="n"/>
    </row>
    <row r="449">
      <c r="A449" s="5" t="n"/>
      <c r="B449" s="6" t="n"/>
      <c r="C449" s="5" t="n"/>
      <c r="D449" s="5" t="n"/>
      <c r="E449" s="5" t="n"/>
      <c r="F449" s="5" t="n"/>
      <c r="G449" s="5" t="n"/>
      <c r="H449" s="6" t="n"/>
      <c r="I449" s="5" t="n"/>
      <c r="J449" s="5" t="n"/>
      <c r="K449" s="5" t="n"/>
      <c r="L449" s="5" t="n"/>
    </row>
    <row r="450">
      <c r="A450" s="5" t="n"/>
      <c r="B450" s="6" t="n"/>
      <c r="C450" s="5" t="n"/>
      <c r="D450" s="5" t="n"/>
      <c r="E450" s="5" t="n"/>
      <c r="F450" s="5" t="n"/>
      <c r="G450" s="5" t="n"/>
      <c r="H450" s="6" t="n"/>
      <c r="I450" s="5" t="n"/>
      <c r="J450" s="5" t="n"/>
      <c r="K450" s="5" t="n"/>
      <c r="L450" s="5" t="n"/>
    </row>
    <row r="451">
      <c r="A451" s="5" t="n"/>
      <c r="B451" s="6" t="n"/>
      <c r="C451" s="5" t="n"/>
      <c r="D451" s="5" t="n"/>
      <c r="E451" s="5" t="n"/>
      <c r="F451" s="5" t="n"/>
      <c r="G451" s="5" t="n"/>
      <c r="H451" s="6" t="n"/>
      <c r="I451" s="5" t="n"/>
      <c r="J451" s="5" t="n"/>
      <c r="K451" s="5" t="n"/>
      <c r="L451" s="5" t="n"/>
    </row>
    <row r="452">
      <c r="A452" s="5" t="n"/>
      <c r="B452" s="6" t="n"/>
      <c r="C452" s="5" t="n"/>
      <c r="D452" s="5" t="n"/>
      <c r="E452" s="5" t="n"/>
      <c r="F452" s="5" t="n"/>
      <c r="G452" s="5" t="n"/>
      <c r="H452" s="6" t="n"/>
      <c r="I452" s="5" t="n"/>
      <c r="J452" s="5" t="n"/>
      <c r="K452" s="5" t="n"/>
      <c r="L452" s="5" t="n"/>
    </row>
    <row r="453">
      <c r="A453" s="5" t="n"/>
      <c r="B453" s="6" t="n"/>
      <c r="C453" s="5" t="n"/>
      <c r="D453" s="5" t="n"/>
      <c r="E453" s="5" t="n"/>
      <c r="F453" s="5" t="n"/>
      <c r="G453" s="5" t="n"/>
      <c r="H453" s="6" t="n"/>
      <c r="I453" s="5" t="n"/>
      <c r="J453" s="5" t="n"/>
      <c r="K453" s="5" t="n"/>
      <c r="L453" s="5" t="n"/>
    </row>
    <row r="454">
      <c r="A454" s="5" t="n"/>
      <c r="B454" s="6" t="n"/>
      <c r="C454" s="5" t="n"/>
      <c r="D454" s="5" t="n"/>
      <c r="E454" s="5" t="n"/>
      <c r="F454" s="5" t="n"/>
      <c r="G454" s="5" t="n"/>
      <c r="H454" s="6" t="n"/>
      <c r="I454" s="5" t="n"/>
      <c r="J454" s="5" t="n"/>
      <c r="K454" s="5" t="n"/>
      <c r="L454" s="5" t="n"/>
    </row>
    <row r="455">
      <c r="A455" s="5" t="n"/>
      <c r="B455" s="6" t="n"/>
      <c r="C455" s="5" t="n"/>
      <c r="D455" s="5" t="n"/>
      <c r="E455" s="5" t="n"/>
      <c r="F455" s="5" t="n"/>
      <c r="G455" s="5" t="n"/>
      <c r="H455" s="6" t="n"/>
      <c r="I455" s="5" t="n"/>
      <c r="J455" s="5" t="n"/>
      <c r="K455" s="5" t="n"/>
      <c r="L455" s="5" t="n"/>
    </row>
    <row r="456">
      <c r="A456" s="5" t="n"/>
      <c r="B456" s="6" t="n"/>
      <c r="C456" s="5" t="n"/>
      <c r="D456" s="5" t="n"/>
      <c r="E456" s="5" t="n"/>
      <c r="F456" s="5" t="n"/>
      <c r="G456" s="5" t="n"/>
      <c r="H456" s="6" t="n"/>
      <c r="I456" s="5" t="n"/>
      <c r="J456" s="5" t="n"/>
      <c r="K456" s="5" t="n"/>
      <c r="L456" s="5" t="n"/>
    </row>
    <row r="457">
      <c r="A457" s="5" t="n"/>
      <c r="B457" s="6" t="n"/>
      <c r="C457" s="5" t="n"/>
      <c r="D457" s="5" t="n"/>
      <c r="E457" s="5" t="n"/>
      <c r="F457" s="5" t="n"/>
      <c r="G457" s="5" t="n"/>
      <c r="H457" s="6" t="n"/>
      <c r="I457" s="5" t="n"/>
      <c r="J457" s="5" t="n"/>
      <c r="K457" s="5" t="n"/>
      <c r="L457" s="5" t="n"/>
    </row>
    <row r="458">
      <c r="A458" s="5" t="n"/>
      <c r="B458" s="6" t="n"/>
      <c r="C458" s="5" t="n"/>
      <c r="D458" s="5" t="n"/>
      <c r="E458" s="5" t="n"/>
      <c r="F458" s="5" t="n"/>
      <c r="G458" s="5" t="n"/>
      <c r="H458" s="6" t="n"/>
      <c r="I458" s="5" t="n"/>
      <c r="J458" s="5" t="n"/>
      <c r="K458" s="5" t="n"/>
      <c r="L458" s="5" t="n"/>
    </row>
    <row r="459">
      <c r="A459" s="5" t="n"/>
      <c r="B459" s="6" t="n"/>
      <c r="C459" s="5" t="n"/>
      <c r="D459" s="5" t="n"/>
      <c r="E459" s="5" t="n"/>
      <c r="F459" s="5" t="n"/>
      <c r="G459" s="5" t="n"/>
      <c r="H459" s="6" t="n"/>
      <c r="I459" s="5" t="n"/>
      <c r="J459" s="5" t="n"/>
      <c r="K459" s="5" t="n"/>
      <c r="L459" s="5" t="n"/>
    </row>
    <row r="460">
      <c r="A460" s="5" t="n"/>
      <c r="B460" s="6" t="n"/>
      <c r="C460" s="5" t="n"/>
      <c r="D460" s="5" t="n"/>
      <c r="E460" s="5" t="n"/>
      <c r="F460" s="5" t="n"/>
      <c r="G460" s="5" t="n"/>
      <c r="H460" s="6" t="n"/>
      <c r="I460" s="5" t="n"/>
      <c r="J460" s="5" t="n"/>
      <c r="K460" s="5" t="n"/>
      <c r="L460" s="5" t="n"/>
    </row>
    <row r="461">
      <c r="A461" s="5" t="n"/>
      <c r="B461" s="6" t="n"/>
      <c r="C461" s="5" t="n"/>
      <c r="D461" s="5" t="n"/>
      <c r="E461" s="5" t="n"/>
      <c r="F461" s="5" t="n"/>
      <c r="G461" s="5" t="n"/>
      <c r="H461" s="6" t="n"/>
      <c r="I461" s="5" t="n"/>
      <c r="J461" s="5" t="n"/>
      <c r="K461" s="5" t="n"/>
      <c r="L461" s="5" t="n"/>
    </row>
    <row r="462">
      <c r="A462" s="5" t="n"/>
      <c r="B462" s="6" t="n"/>
      <c r="C462" s="5" t="n"/>
      <c r="D462" s="5" t="n"/>
      <c r="E462" s="5" t="n"/>
      <c r="F462" s="5" t="n"/>
      <c r="G462" s="5" t="n"/>
      <c r="H462" s="6" t="n"/>
      <c r="I462" s="5" t="n"/>
      <c r="J462" s="5" t="n"/>
      <c r="K462" s="5" t="n"/>
      <c r="L462" s="5" t="n"/>
    </row>
    <row r="463">
      <c r="A463" s="5" t="n"/>
      <c r="B463" s="6" t="n"/>
      <c r="C463" s="5" t="n"/>
      <c r="D463" s="5" t="n"/>
      <c r="E463" s="5" t="n"/>
      <c r="F463" s="5" t="n"/>
      <c r="G463" s="5" t="n"/>
      <c r="H463" s="6" t="n"/>
      <c r="I463" s="5" t="n"/>
      <c r="J463" s="5" t="n"/>
      <c r="K463" s="5" t="n"/>
      <c r="L463" s="5" t="n"/>
    </row>
    <row r="464">
      <c r="A464" s="5" t="n"/>
      <c r="B464" s="6" t="n"/>
      <c r="C464" s="5" t="n"/>
      <c r="D464" s="5" t="n"/>
      <c r="E464" s="5" t="n"/>
      <c r="F464" s="5" t="n"/>
      <c r="G464" s="5" t="n"/>
      <c r="H464" s="6" t="n"/>
      <c r="I464" s="5" t="n"/>
      <c r="J464" s="5" t="n"/>
      <c r="K464" s="5" t="n"/>
      <c r="L464" s="5" t="n"/>
    </row>
    <row r="465">
      <c r="A465" s="5" t="n"/>
      <c r="B465" s="6" t="n"/>
      <c r="C465" s="5" t="n"/>
      <c r="D465" s="5" t="n"/>
      <c r="E465" s="5" t="n"/>
      <c r="F465" s="5" t="n"/>
      <c r="G465" s="5" t="n"/>
      <c r="H465" s="6" t="n"/>
      <c r="I465" s="5" t="n"/>
      <c r="J465" s="5" t="n"/>
      <c r="K465" s="5" t="n"/>
      <c r="L465" s="5" t="n"/>
    </row>
    <row r="466">
      <c r="A466" s="5" t="n"/>
      <c r="B466" s="6" t="n"/>
      <c r="C466" s="5" t="n"/>
      <c r="D466" s="5" t="n"/>
      <c r="E466" s="5" t="n"/>
      <c r="F466" s="5" t="n"/>
      <c r="G466" s="5" t="n"/>
      <c r="H466" s="6" t="n"/>
      <c r="I466" s="5" t="n"/>
      <c r="J466" s="5" t="n"/>
      <c r="K466" s="5" t="n"/>
      <c r="L466" s="5" t="n"/>
    </row>
    <row r="467">
      <c r="A467" s="5" t="n"/>
      <c r="B467" s="6" t="n"/>
      <c r="C467" s="5" t="n"/>
      <c r="D467" s="5" t="n"/>
      <c r="E467" s="5" t="n"/>
      <c r="F467" s="5" t="n"/>
      <c r="G467" s="5" t="n"/>
      <c r="H467" s="6" t="n"/>
      <c r="I467" s="5" t="n"/>
      <c r="J467" s="5" t="n"/>
      <c r="K467" s="5" t="n"/>
      <c r="L467" s="5" t="n"/>
    </row>
    <row r="468">
      <c r="A468" s="5" t="n"/>
      <c r="B468" s="6" t="n"/>
      <c r="C468" s="5" t="n"/>
      <c r="D468" s="5" t="n"/>
      <c r="E468" s="5" t="n"/>
      <c r="F468" s="5" t="n"/>
      <c r="G468" s="5" t="n"/>
      <c r="H468" s="6" t="n"/>
      <c r="I468" s="5" t="n"/>
      <c r="J468" s="5" t="n"/>
      <c r="K468" s="5" t="n"/>
      <c r="L468" s="5" t="n"/>
    </row>
    <row r="469">
      <c r="A469" s="5" t="n"/>
      <c r="B469" s="6" t="n"/>
      <c r="C469" s="5" t="n"/>
      <c r="D469" s="5" t="n"/>
      <c r="E469" s="5" t="n"/>
      <c r="F469" s="5" t="n"/>
      <c r="G469" s="5" t="n"/>
      <c r="H469" s="6" t="n"/>
      <c r="I469" s="5" t="n"/>
      <c r="J469" s="5" t="n"/>
      <c r="K469" s="5" t="n"/>
      <c r="L469" s="5" t="n"/>
    </row>
    <row r="470">
      <c r="A470" s="5" t="n"/>
      <c r="B470" s="6" t="n"/>
      <c r="C470" s="5" t="n"/>
      <c r="D470" s="5" t="n"/>
      <c r="E470" s="5" t="n"/>
      <c r="F470" s="5" t="n"/>
      <c r="G470" s="5" t="n"/>
      <c r="H470" s="6" t="n"/>
      <c r="I470" s="5" t="n"/>
      <c r="J470" s="5" t="n"/>
      <c r="K470" s="5" t="n"/>
      <c r="L470" s="5" t="n"/>
    </row>
    <row r="471">
      <c r="A471" s="5" t="n"/>
      <c r="B471" s="6" t="n"/>
      <c r="C471" s="5" t="n"/>
      <c r="D471" s="5" t="n"/>
      <c r="E471" s="5" t="n"/>
      <c r="F471" s="5" t="n"/>
      <c r="G471" s="5" t="n"/>
      <c r="H471" s="6" t="n"/>
      <c r="I471" s="5" t="n"/>
      <c r="J471" s="5" t="n"/>
      <c r="K471" s="5" t="n"/>
      <c r="L471" s="5" t="n"/>
    </row>
    <row r="472">
      <c r="A472" s="5" t="n"/>
      <c r="B472" s="6" t="n"/>
      <c r="C472" s="5" t="n"/>
      <c r="D472" s="5" t="n"/>
      <c r="E472" s="5" t="n"/>
      <c r="F472" s="5" t="n"/>
      <c r="G472" s="5" t="n"/>
      <c r="H472" s="6" t="n"/>
      <c r="I472" s="5" t="n"/>
      <c r="J472" s="5" t="n"/>
      <c r="K472" s="5" t="n"/>
      <c r="L472" s="5" t="n"/>
    </row>
    <row r="473">
      <c r="A473" s="5" t="n"/>
      <c r="B473" s="6" t="n"/>
      <c r="C473" s="5" t="n"/>
      <c r="D473" s="5" t="n"/>
      <c r="E473" s="5" t="n"/>
      <c r="F473" s="5" t="n"/>
      <c r="G473" s="5" t="n"/>
      <c r="H473" s="6" t="n"/>
      <c r="I473" s="5" t="n"/>
      <c r="J473" s="5" t="n"/>
      <c r="K473" s="5" t="n"/>
      <c r="L473" s="5" t="n"/>
    </row>
    <row r="474">
      <c r="A474" s="5" t="n"/>
      <c r="B474" s="6" t="n"/>
      <c r="C474" s="5" t="n"/>
      <c r="D474" s="5" t="n"/>
      <c r="E474" s="5" t="n"/>
      <c r="F474" s="5" t="n"/>
      <c r="G474" s="5" t="n"/>
      <c r="H474" s="6" t="n"/>
      <c r="I474" s="5" t="n"/>
      <c r="J474" s="5" t="n"/>
      <c r="K474" s="5" t="n"/>
      <c r="L474" s="5" t="n"/>
    </row>
    <row r="475">
      <c r="A475" s="5" t="n"/>
      <c r="B475" s="6" t="n"/>
      <c r="C475" s="5" t="n"/>
      <c r="D475" s="5" t="n"/>
      <c r="E475" s="5" t="n"/>
      <c r="F475" s="5" t="n"/>
      <c r="G475" s="5" t="n"/>
      <c r="H475" s="6" t="n"/>
      <c r="I475" s="5" t="n"/>
      <c r="J475" s="5" t="n"/>
      <c r="K475" s="5" t="n"/>
      <c r="L475" s="5" t="n"/>
    </row>
    <row r="476">
      <c r="A476" s="5" t="n"/>
      <c r="B476" s="6" t="n"/>
      <c r="C476" s="5" t="n"/>
      <c r="D476" s="5" t="n"/>
      <c r="E476" s="5" t="n"/>
      <c r="F476" s="5" t="n"/>
      <c r="G476" s="5" t="n"/>
      <c r="H476" s="6" t="n"/>
      <c r="I476" s="5" t="n"/>
      <c r="J476" s="5" t="n"/>
      <c r="K476" s="5" t="n"/>
      <c r="L476" s="5" t="n"/>
    </row>
    <row r="477">
      <c r="A477" s="5" t="n"/>
      <c r="B477" s="6" t="n"/>
      <c r="C477" s="5" t="n"/>
      <c r="D477" s="5" t="n"/>
      <c r="E477" s="5" t="n"/>
      <c r="F477" s="5" t="n"/>
      <c r="G477" s="5" t="n"/>
      <c r="H477" s="6" t="n"/>
      <c r="I477" s="5" t="n"/>
      <c r="J477" s="5" t="n"/>
      <c r="K477" s="5" t="n"/>
      <c r="L477" s="5" t="n"/>
    </row>
    <row r="478">
      <c r="A478" s="5" t="n"/>
      <c r="B478" s="6" t="n"/>
      <c r="C478" s="5" t="n"/>
      <c r="D478" s="5" t="n"/>
      <c r="E478" s="5" t="n"/>
      <c r="F478" s="5" t="n"/>
      <c r="G478" s="5" t="n"/>
      <c r="H478" s="6" t="n"/>
      <c r="I478" s="5" t="n"/>
      <c r="J478" s="5" t="n"/>
      <c r="K478" s="5" t="n"/>
      <c r="L478" s="5" t="n"/>
    </row>
    <row r="479">
      <c r="A479" s="5" t="n"/>
      <c r="B479" s="6" t="n"/>
      <c r="C479" s="5" t="n"/>
      <c r="D479" s="5" t="n"/>
      <c r="E479" s="5" t="n"/>
      <c r="F479" s="5" t="n"/>
      <c r="G479" s="5" t="n"/>
      <c r="H479" s="6" t="n"/>
      <c r="I479" s="5" t="n"/>
      <c r="J479" s="5" t="n"/>
      <c r="K479" s="5" t="n"/>
      <c r="L479" s="5" t="n"/>
    </row>
    <row r="480">
      <c r="A480" s="5" t="n"/>
      <c r="B480" s="6" t="n"/>
      <c r="C480" s="5" t="n"/>
      <c r="D480" s="5" t="n"/>
      <c r="E480" s="5" t="n"/>
      <c r="F480" s="5" t="n"/>
      <c r="G480" s="5" t="n"/>
      <c r="H480" s="6" t="n"/>
      <c r="I480" s="5" t="n"/>
      <c r="J480" s="5" t="n"/>
      <c r="K480" s="5" t="n"/>
      <c r="L480" s="5" t="n"/>
    </row>
    <row r="481">
      <c r="A481" s="5" t="n"/>
      <c r="B481" s="6" t="n"/>
      <c r="C481" s="5" t="n"/>
      <c r="D481" s="5" t="n"/>
      <c r="E481" s="5" t="n"/>
      <c r="F481" s="5" t="n"/>
      <c r="G481" s="5" t="n"/>
      <c r="H481" s="6" t="n"/>
      <c r="I481" s="5" t="n"/>
      <c r="J481" s="5" t="n"/>
      <c r="K481" s="5" t="n"/>
      <c r="L481" s="5" t="n"/>
    </row>
    <row r="482">
      <c r="A482" s="5" t="n"/>
      <c r="B482" s="6" t="n"/>
      <c r="C482" s="5" t="n"/>
      <c r="D482" s="5" t="n"/>
      <c r="E482" s="5" t="n"/>
      <c r="F482" s="5" t="n"/>
      <c r="G482" s="5" t="n"/>
      <c r="H482" s="6" t="n"/>
      <c r="I482" s="5" t="n"/>
      <c r="J482" s="5" t="n"/>
      <c r="K482" s="5" t="n"/>
      <c r="L482" s="5" t="n"/>
    </row>
    <row r="483">
      <c r="A483" s="5" t="n"/>
      <c r="B483" s="6" t="n"/>
      <c r="C483" s="5" t="n"/>
      <c r="D483" s="5" t="n"/>
      <c r="E483" s="5" t="n"/>
      <c r="F483" s="5" t="n"/>
      <c r="G483" s="5" t="n"/>
      <c r="H483" s="6" t="n"/>
      <c r="I483" s="5" t="n"/>
      <c r="J483" s="5" t="n"/>
      <c r="K483" s="5" t="n"/>
      <c r="L483" s="5" t="n"/>
    </row>
    <row r="484">
      <c r="A484" s="5" t="n"/>
      <c r="B484" s="6" t="n"/>
      <c r="C484" s="5" t="n"/>
      <c r="D484" s="5" t="n"/>
      <c r="E484" s="5" t="n"/>
      <c r="F484" s="5" t="n"/>
      <c r="G484" s="5" t="n"/>
      <c r="H484" s="6" t="n"/>
      <c r="I484" s="5" t="n"/>
      <c r="J484" s="5" t="n"/>
      <c r="K484" s="5" t="n"/>
      <c r="L484" s="5" t="n"/>
    </row>
    <row r="485">
      <c r="A485" s="5" t="n"/>
      <c r="B485" s="6" t="n"/>
      <c r="C485" s="5" t="n"/>
      <c r="D485" s="5" t="n"/>
      <c r="E485" s="5" t="n"/>
      <c r="F485" s="5" t="n"/>
      <c r="G485" s="5" t="n"/>
      <c r="H485" s="6" t="n"/>
      <c r="I485" s="5" t="n"/>
      <c r="J485" s="5" t="n"/>
      <c r="K485" s="5" t="n"/>
      <c r="L485" s="5" t="n"/>
    </row>
    <row r="486">
      <c r="A486" s="5" t="n"/>
      <c r="B486" s="6" t="n"/>
      <c r="C486" s="5" t="n"/>
      <c r="D486" s="5" t="n"/>
      <c r="E486" s="5" t="n"/>
      <c r="F486" s="5" t="n"/>
      <c r="G486" s="5" t="n"/>
      <c r="H486" s="6" t="n"/>
      <c r="I486" s="5" t="n"/>
      <c r="J486" s="5" t="n"/>
      <c r="K486" s="5" t="n"/>
      <c r="L486" s="5" t="n"/>
    </row>
    <row r="487">
      <c r="A487" s="5" t="n"/>
      <c r="B487" s="6" t="n"/>
      <c r="C487" s="5" t="n"/>
      <c r="D487" s="5" t="n"/>
      <c r="E487" s="5" t="n"/>
      <c r="F487" s="5" t="n"/>
      <c r="G487" s="5" t="n"/>
      <c r="H487" s="6" t="n"/>
      <c r="I487" s="5" t="n"/>
      <c r="J487" s="5" t="n"/>
      <c r="K487" s="5" t="n"/>
      <c r="L487" s="5" t="n"/>
    </row>
    <row r="488">
      <c r="A488" s="5" t="n"/>
      <c r="B488" s="6" t="n"/>
      <c r="C488" s="5" t="n"/>
      <c r="D488" s="5" t="n"/>
      <c r="E488" s="5" t="n"/>
      <c r="F488" s="5" t="n"/>
      <c r="G488" s="5" t="n"/>
      <c r="H488" s="6" t="n"/>
      <c r="I488" s="5" t="n"/>
      <c r="J488" s="5" t="n"/>
      <c r="K488" s="5" t="n"/>
      <c r="L488" s="5" t="n"/>
    </row>
    <row r="489">
      <c r="A489" s="5" t="n"/>
      <c r="B489" s="6" t="n"/>
      <c r="C489" s="5" t="n"/>
      <c r="D489" s="5" t="n"/>
      <c r="E489" s="5" t="n"/>
      <c r="F489" s="5" t="n"/>
      <c r="G489" s="5" t="n"/>
      <c r="H489" s="6" t="n"/>
      <c r="I489" s="5" t="n"/>
      <c r="J489" s="5" t="n"/>
      <c r="K489" s="5" t="n"/>
      <c r="L489" s="5" t="n"/>
    </row>
    <row r="490">
      <c r="A490" s="5" t="n"/>
      <c r="B490" s="6" t="n"/>
      <c r="C490" s="5" t="n"/>
      <c r="D490" s="5" t="n"/>
      <c r="E490" s="5" t="n"/>
      <c r="F490" s="5" t="n"/>
      <c r="G490" s="5" t="n"/>
      <c r="H490" s="6" t="n"/>
      <c r="I490" s="5" t="n"/>
      <c r="J490" s="5" t="n"/>
      <c r="K490" s="5" t="n"/>
      <c r="L490" s="5" t="n"/>
    </row>
    <row r="491">
      <c r="A491" s="5" t="n"/>
      <c r="B491" s="6" t="n"/>
      <c r="C491" s="5" t="n"/>
      <c r="D491" s="5" t="n"/>
      <c r="E491" s="5" t="n"/>
      <c r="F491" s="5" t="n"/>
      <c r="G491" s="5" t="n"/>
      <c r="H491" s="6" t="n"/>
      <c r="I491" s="5" t="n"/>
      <c r="J491" s="5" t="n"/>
      <c r="K491" s="5" t="n"/>
      <c r="L491" s="5" t="n"/>
    </row>
    <row r="492">
      <c r="A492" s="5" t="n"/>
      <c r="B492" s="6" t="n"/>
      <c r="C492" s="5" t="n"/>
      <c r="D492" s="5" t="n"/>
      <c r="E492" s="5" t="n"/>
      <c r="F492" s="5" t="n"/>
      <c r="G492" s="5" t="n"/>
      <c r="H492" s="6" t="n"/>
      <c r="I492" s="5" t="n"/>
      <c r="J492" s="5" t="n"/>
      <c r="K492" s="5" t="n"/>
      <c r="L492" s="5" t="n"/>
    </row>
    <row r="493">
      <c r="A493" s="5" t="n"/>
      <c r="B493" s="6" t="n"/>
      <c r="C493" s="5" t="n"/>
      <c r="D493" s="5" t="n"/>
      <c r="E493" s="5" t="n"/>
      <c r="F493" s="5" t="n"/>
      <c r="G493" s="5" t="n"/>
      <c r="H493" s="6" t="n"/>
      <c r="I493" s="5" t="n"/>
      <c r="J493" s="5" t="n"/>
      <c r="K493" s="5" t="n"/>
      <c r="L493" s="5" t="n"/>
    </row>
    <row r="494">
      <c r="A494" s="5" t="n"/>
      <c r="B494" s="6" t="n"/>
      <c r="C494" s="5" t="n"/>
      <c r="D494" s="5" t="n"/>
      <c r="E494" s="5" t="n"/>
      <c r="F494" s="5" t="n"/>
      <c r="G494" s="5" t="n"/>
      <c r="H494" s="6" t="n"/>
      <c r="I494" s="5" t="n"/>
      <c r="J494" s="5" t="n"/>
      <c r="K494" s="5" t="n"/>
      <c r="L494" s="5" t="n"/>
    </row>
    <row r="495">
      <c r="A495" s="5" t="n"/>
      <c r="B495" s="6" t="n"/>
      <c r="C495" s="5" t="n"/>
      <c r="D495" s="5" t="n"/>
      <c r="E495" s="5" t="n"/>
      <c r="F495" s="5" t="n"/>
      <c r="G495" s="5" t="n"/>
      <c r="H495" s="6" t="n"/>
      <c r="I495" s="5" t="n"/>
      <c r="J495" s="5" t="n"/>
      <c r="K495" s="5" t="n"/>
      <c r="L495" s="5" t="n"/>
    </row>
    <row r="496">
      <c r="A496" s="5" t="n"/>
      <c r="B496" s="6" t="n"/>
      <c r="C496" s="5" t="n"/>
      <c r="D496" s="5" t="n"/>
      <c r="E496" s="5" t="n"/>
      <c r="F496" s="5" t="n"/>
      <c r="G496" s="5" t="n"/>
      <c r="H496" s="6" t="n"/>
      <c r="I496" s="5" t="n"/>
      <c r="J496" s="5" t="n"/>
      <c r="K496" s="5" t="n"/>
      <c r="L496" s="5" t="n"/>
    </row>
    <row r="497">
      <c r="A497" s="5" t="n"/>
      <c r="B497" s="6" t="n"/>
      <c r="C497" s="5" t="n"/>
      <c r="D497" s="5" t="n"/>
      <c r="E497" s="5" t="n"/>
      <c r="F497" s="5" t="n"/>
      <c r="G497" s="5" t="n"/>
      <c r="H497" s="6" t="n"/>
      <c r="I497" s="5" t="n"/>
      <c r="J497" s="5" t="n"/>
      <c r="K497" s="5" t="n"/>
      <c r="L497" s="5" t="n"/>
    </row>
    <row r="498">
      <c r="A498" s="5" t="n"/>
      <c r="B498" s="6" t="n"/>
      <c r="C498" s="5" t="n"/>
      <c r="D498" s="5" t="n"/>
      <c r="E498" s="5" t="n"/>
      <c r="F498" s="5" t="n"/>
      <c r="G498" s="5" t="n"/>
      <c r="H498" s="6" t="n"/>
      <c r="I498" s="5" t="n"/>
      <c r="J498" s="5" t="n"/>
      <c r="K498" s="5" t="n"/>
      <c r="L498" s="5" t="n"/>
    </row>
    <row r="499">
      <c r="A499" s="5" t="n"/>
      <c r="B499" s="6" t="n"/>
      <c r="C499" s="5" t="n"/>
      <c r="D499" s="5" t="n"/>
      <c r="E499" s="5" t="n"/>
      <c r="F499" s="5" t="n"/>
      <c r="G499" s="5" t="n"/>
      <c r="H499" s="6" t="n"/>
      <c r="I499" s="5" t="n"/>
      <c r="J499" s="5" t="n"/>
      <c r="K499" s="5" t="n"/>
      <c r="L499" s="5" t="n"/>
    </row>
    <row r="500">
      <c r="A500" s="5" t="n"/>
      <c r="B500" s="6" t="n"/>
      <c r="C500" s="5" t="n"/>
      <c r="D500" s="5" t="n"/>
      <c r="E500" s="5" t="n"/>
      <c r="F500" s="5" t="n"/>
      <c r="G500" s="5" t="n"/>
      <c r="H500" s="6" t="n"/>
      <c r="I500" s="5" t="n"/>
      <c r="J500" s="5" t="n"/>
      <c r="K500" s="5" t="n"/>
      <c r="L500" s="5" t="n"/>
    </row>
    <row r="501">
      <c r="A501" s="5" t="n"/>
      <c r="B501" s="6" t="n"/>
      <c r="C501" s="5" t="n"/>
      <c r="D501" s="5" t="n"/>
      <c r="E501" s="5" t="n"/>
      <c r="F501" s="5" t="n"/>
      <c r="G501" s="5" t="n"/>
      <c r="H501" s="6" t="n"/>
      <c r="I501" s="5" t="n"/>
      <c r="J501" s="5" t="n"/>
      <c r="K501" s="5" t="n"/>
      <c r="L501" s="5" t="n"/>
    </row>
    <row r="502">
      <c r="A502" s="5" t="n"/>
      <c r="B502" s="6" t="n"/>
      <c r="C502" s="5" t="n"/>
      <c r="D502" s="5" t="n"/>
      <c r="E502" s="5" t="n"/>
      <c r="F502" s="5" t="n"/>
      <c r="G502" s="5" t="n"/>
      <c r="H502" s="6" t="n"/>
      <c r="I502" s="5" t="n"/>
      <c r="J502" s="5" t="n"/>
      <c r="K502" s="5" t="n"/>
      <c r="L502" s="5" t="n"/>
    </row>
    <row r="503">
      <c r="A503" s="5" t="n"/>
      <c r="B503" s="6" t="n"/>
      <c r="C503" s="5" t="n"/>
      <c r="D503" s="5" t="n"/>
      <c r="E503" s="5" t="n"/>
      <c r="F503" s="5" t="n"/>
      <c r="G503" s="5" t="n"/>
      <c r="H503" s="6" t="n"/>
      <c r="I503" s="5" t="n"/>
      <c r="J503" s="5" t="n"/>
      <c r="K503" s="5" t="n"/>
      <c r="L503" s="5" t="n"/>
    </row>
    <row r="504">
      <c r="A504" s="5" t="n"/>
      <c r="B504" s="6" t="n"/>
      <c r="C504" s="5" t="n"/>
      <c r="D504" s="5" t="n"/>
      <c r="E504" s="5" t="n"/>
      <c r="F504" s="5" t="n"/>
      <c r="G504" s="5" t="n"/>
      <c r="H504" s="6" t="n"/>
      <c r="I504" s="5" t="n"/>
      <c r="J504" s="5" t="n"/>
      <c r="K504" s="5" t="n"/>
      <c r="L504" s="5" t="n"/>
    </row>
    <row r="505">
      <c r="A505" s="5" t="n"/>
      <c r="B505" s="6" t="n"/>
      <c r="C505" s="5" t="n"/>
      <c r="D505" s="5" t="n"/>
      <c r="E505" s="5" t="n"/>
      <c r="F505" s="5" t="n"/>
      <c r="G505" s="5" t="n"/>
      <c r="H505" s="6" t="n"/>
      <c r="I505" s="5" t="n"/>
      <c r="J505" s="5" t="n"/>
      <c r="K505" s="5" t="n"/>
      <c r="L505" s="5" t="n"/>
    </row>
    <row r="506">
      <c r="A506" s="5" t="n"/>
      <c r="B506" s="6" t="n"/>
      <c r="C506" s="5" t="n"/>
      <c r="D506" s="5" t="n"/>
      <c r="E506" s="5" t="n"/>
      <c r="F506" s="5" t="n"/>
      <c r="G506" s="5" t="n"/>
      <c r="H506" s="6" t="n"/>
      <c r="I506" s="5" t="n"/>
      <c r="J506" s="5" t="n"/>
      <c r="K506" s="5" t="n"/>
      <c r="L506" s="5" t="n"/>
    </row>
    <row r="507">
      <c r="A507" s="5" t="n"/>
      <c r="B507" s="6" t="n"/>
      <c r="C507" s="5" t="n"/>
      <c r="D507" s="5" t="n"/>
      <c r="E507" s="5" t="n"/>
      <c r="F507" s="5" t="n"/>
      <c r="G507" s="5" t="n"/>
      <c r="H507" s="6" t="n"/>
      <c r="I507" s="5" t="n"/>
      <c r="J507" s="5" t="n"/>
      <c r="K507" s="5" t="n"/>
      <c r="L507" s="5" t="n"/>
    </row>
    <row r="508">
      <c r="A508" s="5" t="n"/>
      <c r="B508" s="6" t="n"/>
      <c r="C508" s="5" t="n"/>
      <c r="D508" s="5" t="n"/>
      <c r="E508" s="5" t="n"/>
      <c r="F508" s="5" t="n"/>
      <c r="G508" s="5" t="n"/>
      <c r="H508" s="6" t="n"/>
      <c r="I508" s="5" t="n"/>
      <c r="J508" s="5" t="n"/>
      <c r="K508" s="5" t="n"/>
      <c r="L508" s="5" t="n"/>
    </row>
    <row r="509">
      <c r="A509" s="5" t="n"/>
      <c r="B509" s="6" t="n"/>
      <c r="C509" s="5" t="n"/>
      <c r="D509" s="5" t="n"/>
      <c r="E509" s="5" t="n"/>
      <c r="F509" s="5" t="n"/>
      <c r="G509" s="5" t="n"/>
      <c r="H509" s="6" t="n"/>
      <c r="I509" s="5" t="n"/>
      <c r="J509" s="5" t="n"/>
      <c r="K509" s="5" t="n"/>
      <c r="L509" s="5" t="n"/>
    </row>
    <row r="510">
      <c r="A510" s="5" t="n"/>
      <c r="B510" s="6" t="n"/>
      <c r="C510" s="5" t="n"/>
      <c r="D510" s="5" t="n"/>
      <c r="E510" s="5" t="n"/>
      <c r="F510" s="5" t="n"/>
      <c r="G510" s="5" t="n"/>
      <c r="H510" s="6" t="n"/>
      <c r="I510" s="5" t="n"/>
      <c r="J510" s="5" t="n"/>
      <c r="K510" s="5" t="n"/>
      <c r="L510" s="5" t="n"/>
    </row>
    <row r="511">
      <c r="A511" s="5" t="n"/>
      <c r="B511" s="6" t="n"/>
      <c r="C511" s="5" t="n"/>
      <c r="D511" s="5" t="n"/>
      <c r="E511" s="5" t="n"/>
      <c r="F511" s="5" t="n"/>
      <c r="G511" s="5" t="n"/>
      <c r="H511" s="6" t="n"/>
      <c r="I511" s="5" t="n"/>
      <c r="J511" s="5" t="n"/>
      <c r="K511" s="5" t="n"/>
      <c r="L511" s="5" t="n"/>
    </row>
    <row r="512">
      <c r="A512" s="5" t="n"/>
      <c r="B512" s="6" t="n"/>
      <c r="C512" s="5" t="n"/>
      <c r="D512" s="5" t="n"/>
      <c r="E512" s="5" t="n"/>
      <c r="F512" s="5" t="n"/>
      <c r="G512" s="5" t="n"/>
      <c r="H512" s="6" t="n"/>
      <c r="I512" s="5" t="n"/>
      <c r="J512" s="5" t="n"/>
      <c r="K512" s="5" t="n"/>
      <c r="L512" s="5" t="n"/>
    </row>
    <row r="513">
      <c r="A513" s="5" t="n"/>
      <c r="B513" s="6" t="n"/>
      <c r="C513" s="5" t="n"/>
      <c r="D513" s="5" t="n"/>
      <c r="E513" s="5" t="n"/>
      <c r="F513" s="5" t="n"/>
      <c r="G513" s="5" t="n"/>
      <c r="H513" s="6" t="n"/>
      <c r="I513" s="5" t="n"/>
      <c r="J513" s="5" t="n"/>
      <c r="K513" s="5" t="n"/>
      <c r="L513" s="5" t="n"/>
    </row>
    <row r="514">
      <c r="A514" s="5" t="n"/>
      <c r="B514" s="6" t="n"/>
      <c r="C514" s="5" t="n"/>
      <c r="D514" s="5" t="n"/>
      <c r="E514" s="5" t="n"/>
      <c r="F514" s="5" t="n"/>
      <c r="G514" s="5" t="n"/>
      <c r="H514" s="6" t="n"/>
      <c r="I514" s="5" t="n"/>
      <c r="J514" s="5" t="n"/>
      <c r="K514" s="5" t="n"/>
      <c r="L514" s="5" t="n"/>
    </row>
    <row r="515">
      <c r="A515" s="5" t="n"/>
      <c r="B515" s="6" t="n"/>
      <c r="C515" s="5" t="n"/>
      <c r="D515" s="5" t="n"/>
      <c r="E515" s="5" t="n"/>
      <c r="F515" s="5" t="n"/>
      <c r="G515" s="5" t="n"/>
      <c r="H515" s="6" t="n"/>
      <c r="I515" s="5" t="n"/>
      <c r="J515" s="5" t="n"/>
      <c r="K515" s="5" t="n"/>
      <c r="L515" s="5" t="n"/>
    </row>
    <row r="516">
      <c r="A516" s="5" t="n"/>
      <c r="B516" s="6" t="n"/>
      <c r="C516" s="5" t="n"/>
      <c r="D516" s="5" t="n"/>
      <c r="E516" s="5" t="n"/>
      <c r="F516" s="5" t="n"/>
      <c r="G516" s="5" t="n"/>
      <c r="H516" s="6" t="n"/>
      <c r="I516" s="5" t="n"/>
      <c r="J516" s="5" t="n"/>
      <c r="K516" s="5" t="n"/>
      <c r="L516" s="5" t="n"/>
    </row>
    <row r="517">
      <c r="A517" s="5" t="n"/>
      <c r="B517" s="6" t="n"/>
      <c r="C517" s="5" t="n"/>
      <c r="D517" s="5" t="n"/>
      <c r="E517" s="5" t="n"/>
      <c r="F517" s="5" t="n"/>
      <c r="G517" s="5" t="n"/>
      <c r="H517" s="6" t="n"/>
      <c r="I517" s="5" t="n"/>
      <c r="J517" s="5" t="n"/>
      <c r="K517" s="5" t="n"/>
      <c r="L517" s="5" t="n"/>
    </row>
    <row r="518">
      <c r="A518" s="5" t="n"/>
      <c r="B518" s="6" t="n"/>
      <c r="C518" s="5" t="n"/>
      <c r="D518" s="5" t="n"/>
      <c r="E518" s="5" t="n"/>
      <c r="F518" s="5" t="n"/>
      <c r="G518" s="5" t="n"/>
      <c r="H518" s="6" t="n"/>
      <c r="I518" s="5" t="n"/>
      <c r="J518" s="5" t="n"/>
      <c r="K518" s="5" t="n"/>
      <c r="L518" s="5" t="n"/>
    </row>
    <row r="519">
      <c r="A519" s="5" t="n"/>
      <c r="B519" s="6" t="n"/>
      <c r="C519" s="5" t="n"/>
      <c r="D519" s="5" t="n"/>
      <c r="E519" s="5" t="n"/>
      <c r="F519" s="5" t="n"/>
      <c r="G519" s="5" t="n"/>
      <c r="H519" s="6" t="n"/>
      <c r="I519" s="5" t="n"/>
      <c r="J519" s="5" t="n"/>
      <c r="K519" s="5" t="n"/>
      <c r="L519" s="5" t="n"/>
    </row>
    <row r="520">
      <c r="A520" s="5" t="n"/>
      <c r="B520" s="6" t="n"/>
      <c r="C520" s="5" t="n"/>
      <c r="D520" s="5" t="n"/>
      <c r="E520" s="5" t="n"/>
      <c r="F520" s="5" t="n"/>
      <c r="G520" s="5" t="n"/>
      <c r="H520" s="6" t="n"/>
      <c r="I520" s="5" t="n"/>
      <c r="J520" s="5" t="n"/>
      <c r="K520" s="5" t="n"/>
      <c r="L520" s="5" t="n"/>
    </row>
    <row r="521">
      <c r="A521" s="5" t="n"/>
      <c r="B521" s="6" t="n"/>
      <c r="C521" s="5" t="n"/>
      <c r="D521" s="5" t="n"/>
      <c r="E521" s="5" t="n"/>
      <c r="F521" s="5" t="n"/>
      <c r="G521" s="5" t="n"/>
      <c r="H521" s="6" t="n"/>
      <c r="I521" s="5" t="n"/>
      <c r="J521" s="5" t="n"/>
      <c r="K521" s="5" t="n"/>
      <c r="L521" s="5" t="n"/>
    </row>
    <row r="522">
      <c r="A522" s="5" t="n"/>
      <c r="B522" s="6" t="n"/>
      <c r="C522" s="5" t="n"/>
      <c r="D522" s="5" t="n"/>
      <c r="E522" s="5" t="n"/>
      <c r="F522" s="5" t="n"/>
      <c r="G522" s="5" t="n"/>
      <c r="H522" s="6" t="n"/>
      <c r="I522" s="5" t="n"/>
      <c r="J522" s="5" t="n"/>
      <c r="K522" s="5" t="n"/>
      <c r="L522" s="5" t="n"/>
    </row>
    <row r="523">
      <c r="A523" s="5" t="n"/>
      <c r="B523" s="6" t="n"/>
      <c r="C523" s="5" t="n"/>
      <c r="D523" s="5" t="n"/>
      <c r="E523" s="5" t="n"/>
      <c r="F523" s="5" t="n"/>
      <c r="G523" s="5" t="n"/>
      <c r="H523" s="6" t="n"/>
      <c r="I523" s="5" t="n"/>
      <c r="J523" s="5" t="n"/>
      <c r="K523" s="5" t="n"/>
      <c r="L523" s="5" t="n"/>
    </row>
    <row r="524">
      <c r="A524" s="5" t="n"/>
      <c r="B524" s="6" t="n"/>
      <c r="C524" s="5" t="n"/>
      <c r="D524" s="5" t="n"/>
      <c r="E524" s="5" t="n"/>
      <c r="F524" s="5" t="n"/>
      <c r="G524" s="5" t="n"/>
      <c r="H524" s="6" t="n"/>
      <c r="I524" s="5" t="n"/>
      <c r="J524" s="5" t="n"/>
      <c r="K524" s="5" t="n"/>
      <c r="L524" s="5" t="n"/>
    </row>
    <row r="525">
      <c r="A525" s="5" t="n"/>
      <c r="B525" s="6" t="n"/>
      <c r="C525" s="5" t="n"/>
      <c r="D525" s="5" t="n"/>
      <c r="E525" s="5" t="n"/>
      <c r="F525" s="5" t="n"/>
      <c r="G525" s="5" t="n"/>
      <c r="H525" s="6" t="n"/>
      <c r="I525" s="5" t="n"/>
      <c r="J525" s="5" t="n"/>
      <c r="K525" s="5" t="n"/>
      <c r="L525" s="5" t="n"/>
    </row>
    <row r="526">
      <c r="A526" s="5" t="n"/>
      <c r="B526" s="6" t="n"/>
      <c r="C526" s="5" t="n"/>
      <c r="D526" s="5" t="n"/>
      <c r="E526" s="5" t="n"/>
      <c r="F526" s="5" t="n"/>
      <c r="G526" s="5" t="n"/>
      <c r="H526" s="6" t="n"/>
      <c r="I526" s="5" t="n"/>
      <c r="J526" s="5" t="n"/>
      <c r="K526" s="5" t="n"/>
      <c r="L526" s="5" t="n"/>
    </row>
    <row r="527">
      <c r="A527" s="5" t="n"/>
      <c r="B527" s="6" t="n"/>
      <c r="C527" s="5" t="n"/>
      <c r="D527" s="5" t="n"/>
      <c r="E527" s="5" t="n"/>
      <c r="F527" s="5" t="n"/>
      <c r="G527" s="5" t="n"/>
      <c r="H527" s="6" t="n"/>
      <c r="I527" s="5" t="n"/>
      <c r="J527" s="5" t="n"/>
      <c r="K527" s="5" t="n"/>
      <c r="L527" s="5" t="n"/>
    </row>
    <row r="528">
      <c r="A528" s="5" t="n"/>
      <c r="B528" s="6" t="n"/>
      <c r="C528" s="5" t="n"/>
      <c r="D528" s="5" t="n"/>
      <c r="E528" s="5" t="n"/>
      <c r="F528" s="5" t="n"/>
      <c r="G528" s="5" t="n"/>
      <c r="H528" s="6" t="n"/>
      <c r="I528" s="5" t="n"/>
      <c r="J528" s="5" t="n"/>
      <c r="K528" s="5" t="n"/>
      <c r="L528" s="5" t="n"/>
    </row>
    <row r="529">
      <c r="A529" s="5" t="n"/>
      <c r="B529" s="6" t="n"/>
      <c r="C529" s="5" t="n"/>
      <c r="D529" s="5" t="n"/>
      <c r="E529" s="5" t="n"/>
      <c r="F529" s="5" t="n"/>
      <c r="G529" s="5" t="n"/>
      <c r="H529" s="6" t="n"/>
      <c r="I529" s="5" t="n"/>
      <c r="J529" s="5" t="n"/>
      <c r="K529" s="5" t="n"/>
      <c r="L529" s="5" t="n"/>
    </row>
    <row r="530">
      <c r="A530" s="5" t="n"/>
      <c r="B530" s="6" t="n"/>
      <c r="C530" s="5" t="n"/>
      <c r="D530" s="5" t="n"/>
      <c r="E530" s="5" t="n"/>
      <c r="F530" s="5" t="n"/>
      <c r="G530" s="5" t="n"/>
      <c r="H530" s="6" t="n"/>
      <c r="I530" s="5" t="n"/>
      <c r="J530" s="5" t="n"/>
      <c r="K530" s="5" t="n"/>
      <c r="L530" s="5" t="n"/>
    </row>
    <row r="531">
      <c r="A531" s="5" t="n"/>
      <c r="B531" s="6" t="n"/>
      <c r="C531" s="5" t="n"/>
      <c r="D531" s="5" t="n"/>
      <c r="E531" s="5" t="n"/>
      <c r="F531" s="5" t="n"/>
      <c r="G531" s="5" t="n"/>
      <c r="H531" s="6" t="n"/>
      <c r="I531" s="5" t="n"/>
      <c r="J531" s="5" t="n"/>
      <c r="K531" s="5" t="n"/>
      <c r="L531" s="5" t="n"/>
    </row>
    <row r="532">
      <c r="A532" s="5" t="n"/>
      <c r="B532" s="6" t="n"/>
      <c r="C532" s="5" t="n"/>
      <c r="D532" s="5" t="n"/>
      <c r="E532" s="5" t="n"/>
      <c r="F532" s="5" t="n"/>
      <c r="G532" s="5" t="n"/>
      <c r="H532" s="6" t="n"/>
      <c r="I532" s="5" t="n"/>
      <c r="J532" s="5" t="n"/>
      <c r="K532" s="5" t="n"/>
      <c r="L532" s="5" t="n"/>
    </row>
    <row r="533">
      <c r="A533" s="5" t="n"/>
      <c r="B533" s="6" t="n"/>
      <c r="C533" s="5" t="n"/>
      <c r="D533" s="5" t="n"/>
      <c r="E533" s="5" t="n"/>
      <c r="F533" s="5" t="n"/>
      <c r="G533" s="5" t="n"/>
      <c r="H533" s="6" t="n"/>
      <c r="I533" s="5" t="n"/>
      <c r="J533" s="5" t="n"/>
      <c r="K533" s="5" t="n"/>
      <c r="L533" s="5" t="n"/>
    </row>
    <row r="534">
      <c r="A534" s="5" t="n"/>
      <c r="B534" s="6" t="n"/>
      <c r="C534" s="5" t="n"/>
      <c r="D534" s="5" t="n"/>
      <c r="E534" s="5" t="n"/>
      <c r="F534" s="5" t="n"/>
      <c r="G534" s="5" t="n"/>
      <c r="H534" s="6" t="n"/>
      <c r="I534" s="5" t="n"/>
      <c r="J534" s="5" t="n"/>
      <c r="K534" s="5" t="n"/>
      <c r="L534" s="5" t="n"/>
    </row>
    <row r="535">
      <c r="A535" s="5" t="n"/>
      <c r="B535" s="6" t="n"/>
      <c r="C535" s="5" t="n"/>
      <c r="D535" s="5" t="n"/>
      <c r="E535" s="5" t="n"/>
      <c r="F535" s="5" t="n"/>
      <c r="G535" s="5" t="n"/>
      <c r="H535" s="6" t="n"/>
      <c r="I535" s="5" t="n"/>
      <c r="J535" s="5" t="n"/>
      <c r="K535" s="5" t="n"/>
      <c r="L535" s="5" t="n"/>
    </row>
    <row r="536">
      <c r="A536" s="5" t="n"/>
      <c r="B536" s="6" t="n"/>
      <c r="C536" s="5" t="n"/>
      <c r="D536" s="5" t="n"/>
      <c r="E536" s="5" t="n"/>
      <c r="F536" s="5" t="n"/>
      <c r="G536" s="5" t="n"/>
      <c r="H536" s="6" t="n"/>
      <c r="I536" s="5" t="n"/>
      <c r="J536" s="5" t="n"/>
      <c r="K536" s="5" t="n"/>
      <c r="L536" s="5" t="n"/>
    </row>
    <row r="537">
      <c r="A537" s="5" t="n"/>
      <c r="B537" s="6" t="n"/>
      <c r="C537" s="5" t="n"/>
      <c r="D537" s="5" t="n"/>
      <c r="E537" s="5" t="n"/>
      <c r="F537" s="5" t="n"/>
      <c r="G537" s="5" t="n"/>
      <c r="H537" s="6" t="n"/>
      <c r="I537" s="5" t="n"/>
      <c r="J537" s="5" t="n"/>
      <c r="K537" s="5" t="n"/>
      <c r="L537" s="5" t="n"/>
    </row>
    <row r="538">
      <c r="A538" s="5" t="n"/>
      <c r="B538" s="6" t="n"/>
      <c r="C538" s="5" t="n"/>
      <c r="D538" s="5" t="n"/>
      <c r="E538" s="5" t="n"/>
      <c r="F538" s="5" t="n"/>
      <c r="G538" s="5" t="n"/>
      <c r="H538" s="6" t="n"/>
      <c r="I538" s="5" t="n"/>
      <c r="J538" s="5" t="n"/>
      <c r="K538" s="5" t="n"/>
      <c r="L538" s="5" t="n"/>
    </row>
    <row r="539">
      <c r="A539" s="5" t="n"/>
      <c r="B539" s="6" t="n"/>
      <c r="C539" s="5" t="n"/>
      <c r="D539" s="5" t="n"/>
      <c r="E539" s="5" t="n"/>
      <c r="F539" s="5" t="n"/>
      <c r="G539" s="5" t="n"/>
      <c r="H539" s="6" t="n"/>
      <c r="I539" s="5" t="n"/>
      <c r="J539" s="5" t="n"/>
      <c r="K539" s="5" t="n"/>
      <c r="L539" s="5" t="n"/>
    </row>
    <row r="540">
      <c r="A540" s="5" t="n"/>
      <c r="B540" s="6" t="n"/>
      <c r="C540" s="5" t="n"/>
      <c r="D540" s="5" t="n"/>
      <c r="E540" s="5" t="n"/>
      <c r="F540" s="5" t="n"/>
      <c r="G540" s="5" t="n"/>
      <c r="H540" s="6" t="n"/>
      <c r="I540" s="5" t="n"/>
      <c r="J540" s="5" t="n"/>
      <c r="K540" s="5" t="n"/>
      <c r="L540" s="5" t="n"/>
    </row>
    <row r="541">
      <c r="A541" s="5" t="n"/>
      <c r="B541" s="6" t="n"/>
      <c r="C541" s="5" t="n"/>
      <c r="D541" s="5" t="n"/>
      <c r="E541" s="5" t="n"/>
      <c r="F541" s="5" t="n"/>
      <c r="G541" s="5" t="n"/>
      <c r="H541" s="6" t="n"/>
      <c r="I541" s="5" t="n"/>
      <c r="J541" s="5" t="n"/>
      <c r="K541" s="5" t="n"/>
      <c r="L541" s="5" t="n"/>
    </row>
    <row r="542">
      <c r="A542" s="5" t="n"/>
      <c r="B542" s="6" t="n"/>
      <c r="C542" s="5" t="n"/>
      <c r="D542" s="5" t="n"/>
      <c r="E542" s="5" t="n"/>
      <c r="F542" s="5" t="n"/>
      <c r="G542" s="5" t="n"/>
      <c r="H542" s="6" t="n"/>
      <c r="I542" s="5" t="n"/>
      <c r="J542" s="5" t="n"/>
      <c r="K542" s="5" t="n"/>
      <c r="L542" s="5" t="n"/>
    </row>
    <row r="543">
      <c r="A543" s="5" t="n"/>
      <c r="B543" s="6" t="n"/>
      <c r="C543" s="5" t="n"/>
      <c r="D543" s="5" t="n"/>
      <c r="E543" s="5" t="n"/>
      <c r="F543" s="5" t="n"/>
      <c r="G543" s="5" t="n"/>
      <c r="H543" s="6" t="n"/>
      <c r="I543" s="5" t="n"/>
      <c r="J543" s="5" t="n"/>
      <c r="K543" s="5" t="n"/>
      <c r="L543" s="5" t="n"/>
    </row>
    <row r="544">
      <c r="A544" s="5" t="n"/>
      <c r="B544" s="6" t="n"/>
      <c r="C544" s="5" t="n"/>
      <c r="D544" s="5" t="n"/>
      <c r="E544" s="5" t="n"/>
      <c r="F544" s="5" t="n"/>
      <c r="G544" s="5" t="n"/>
      <c r="H544" s="6" t="n"/>
      <c r="I544" s="5" t="n"/>
      <c r="J544" s="5" t="n"/>
      <c r="K544" s="5" t="n"/>
      <c r="L544" s="5" t="n"/>
    </row>
    <row r="545">
      <c r="A545" s="5" t="n"/>
      <c r="B545" s="6" t="n"/>
      <c r="C545" s="5" t="n"/>
      <c r="D545" s="5" t="n"/>
      <c r="E545" s="5" t="n"/>
      <c r="F545" s="5" t="n"/>
      <c r="G545" s="5" t="n"/>
      <c r="H545" s="6" t="n"/>
      <c r="I545" s="5" t="n"/>
      <c r="J545" s="5" t="n"/>
      <c r="K545" s="5" t="n"/>
      <c r="L545" s="5" t="n"/>
    </row>
    <row r="546">
      <c r="A546" s="5" t="n"/>
      <c r="B546" s="6" t="n"/>
      <c r="C546" s="5" t="n"/>
      <c r="D546" s="5" t="n"/>
      <c r="E546" s="5" t="n"/>
      <c r="F546" s="5" t="n"/>
      <c r="G546" s="5" t="n"/>
      <c r="H546" s="6" t="n"/>
      <c r="I546" s="5" t="n"/>
      <c r="J546" s="5" t="n"/>
      <c r="K546" s="5" t="n"/>
      <c r="L546" s="5" t="n"/>
    </row>
    <row r="547">
      <c r="A547" s="5" t="n"/>
      <c r="B547" s="6" t="n"/>
      <c r="C547" s="5" t="n"/>
      <c r="D547" s="5" t="n"/>
      <c r="E547" s="5" t="n"/>
      <c r="F547" s="5" t="n"/>
      <c r="G547" s="5" t="n"/>
      <c r="H547" s="6" t="n"/>
      <c r="I547" s="5" t="n"/>
      <c r="J547" s="5" t="n"/>
      <c r="K547" s="5" t="n"/>
      <c r="L547" s="5" t="n"/>
    </row>
    <row r="548">
      <c r="A548" s="5" t="n"/>
      <c r="B548" s="6" t="n"/>
      <c r="C548" s="5" t="n"/>
      <c r="D548" s="5" t="n"/>
      <c r="E548" s="5" t="n"/>
      <c r="F548" s="5" t="n"/>
      <c r="G548" s="5" t="n"/>
      <c r="H548" s="6" t="n"/>
      <c r="I548" s="5" t="n"/>
      <c r="J548" s="5" t="n"/>
      <c r="K548" s="5" t="n"/>
      <c r="L548" s="5" t="n"/>
    </row>
    <row r="549">
      <c r="A549" s="5" t="n"/>
      <c r="B549" s="6" t="n"/>
      <c r="C549" s="5" t="n"/>
      <c r="D549" s="5" t="n"/>
      <c r="E549" s="5" t="n"/>
      <c r="F549" s="5" t="n"/>
      <c r="G549" s="5" t="n"/>
      <c r="H549" s="6" t="n"/>
      <c r="I549" s="5" t="n"/>
      <c r="J549" s="5" t="n"/>
      <c r="K549" s="5" t="n"/>
      <c r="L549" s="5" t="n"/>
    </row>
    <row r="550">
      <c r="A550" s="5" t="n"/>
      <c r="B550" s="6" t="n"/>
      <c r="C550" s="5" t="n"/>
      <c r="D550" s="5" t="n"/>
      <c r="E550" s="5" t="n"/>
      <c r="F550" s="5" t="n"/>
      <c r="G550" s="5" t="n"/>
      <c r="H550" s="6" t="n"/>
      <c r="I550" s="5" t="n"/>
      <c r="J550" s="5" t="n"/>
      <c r="K550" s="5" t="n"/>
      <c r="L550" s="5" t="n"/>
    </row>
    <row r="551">
      <c r="A551" s="5" t="n"/>
      <c r="B551" s="6" t="n"/>
      <c r="C551" s="5" t="n"/>
      <c r="D551" s="5" t="n"/>
      <c r="E551" s="5" t="n"/>
      <c r="F551" s="5" t="n"/>
      <c r="G551" s="5" t="n"/>
      <c r="H551" s="6" t="n"/>
      <c r="I551" s="5" t="n"/>
      <c r="J551" s="5" t="n"/>
      <c r="K551" s="5" t="n"/>
      <c r="L551" s="5" t="n"/>
    </row>
    <row r="552">
      <c r="A552" s="5" t="n"/>
      <c r="B552" s="6" t="n"/>
      <c r="C552" s="5" t="n"/>
      <c r="D552" s="5" t="n"/>
      <c r="E552" s="5" t="n"/>
      <c r="F552" s="5" t="n"/>
      <c r="G552" s="5" t="n"/>
      <c r="H552" s="6" t="n"/>
      <c r="I552" s="5" t="n"/>
      <c r="J552" s="5" t="n"/>
      <c r="K552" s="5" t="n"/>
      <c r="L552" s="5" t="n"/>
    </row>
    <row r="553">
      <c r="A553" s="5" t="n"/>
      <c r="B553" s="6" t="n"/>
      <c r="C553" s="5" t="n"/>
      <c r="D553" s="5" t="n"/>
      <c r="E553" s="5" t="n"/>
      <c r="F553" s="5" t="n"/>
      <c r="G553" s="5" t="n"/>
      <c r="H553" s="6" t="n"/>
      <c r="I553" s="5" t="n"/>
      <c r="J553" s="5" t="n"/>
      <c r="K553" s="5" t="n"/>
      <c r="L553" s="5" t="n"/>
    </row>
    <row r="554">
      <c r="A554" s="5" t="n"/>
      <c r="B554" s="6" t="n"/>
      <c r="C554" s="5" t="n"/>
      <c r="D554" s="5" t="n"/>
      <c r="E554" s="5" t="n"/>
      <c r="F554" s="5" t="n"/>
      <c r="G554" s="5" t="n"/>
      <c r="H554" s="6" t="n"/>
      <c r="I554" s="5" t="n"/>
      <c r="J554" s="5" t="n"/>
      <c r="K554" s="5" t="n"/>
      <c r="L554" s="5" t="n"/>
    </row>
    <row r="555">
      <c r="A555" s="5" t="n"/>
      <c r="B555" s="6" t="n"/>
      <c r="C555" s="5" t="n"/>
      <c r="D555" s="5" t="n"/>
      <c r="E555" s="5" t="n"/>
      <c r="F555" s="5" t="n"/>
      <c r="G555" s="5" t="n"/>
      <c r="H555" s="6" t="n"/>
      <c r="I555" s="5" t="n"/>
      <c r="J555" s="5" t="n"/>
      <c r="K555" s="5" t="n"/>
      <c r="L555" s="5" t="n"/>
    </row>
    <row r="556">
      <c r="A556" s="5" t="n"/>
      <c r="B556" s="6" t="n"/>
      <c r="C556" s="5" t="n"/>
      <c r="D556" s="5" t="n"/>
      <c r="E556" s="5" t="n"/>
      <c r="F556" s="5" t="n"/>
      <c r="G556" s="5" t="n"/>
      <c r="H556" s="6" t="n"/>
      <c r="I556" s="5" t="n"/>
      <c r="J556" s="5" t="n"/>
      <c r="K556" s="5" t="n"/>
      <c r="L556" s="5" t="n"/>
    </row>
    <row r="557">
      <c r="A557" s="5" t="n"/>
      <c r="B557" s="6" t="n"/>
      <c r="C557" s="5" t="n"/>
      <c r="D557" s="5" t="n"/>
      <c r="E557" s="5" t="n"/>
      <c r="F557" s="5" t="n"/>
      <c r="G557" s="5" t="n"/>
      <c r="H557" s="6" t="n"/>
      <c r="I557" s="5" t="n"/>
      <c r="J557" s="5" t="n"/>
      <c r="K557" s="5" t="n"/>
      <c r="L557" s="5" t="n"/>
    </row>
    <row r="558">
      <c r="A558" s="5" t="n"/>
      <c r="B558" s="6" t="n"/>
      <c r="C558" s="5" t="n"/>
      <c r="D558" s="5" t="n"/>
      <c r="E558" s="5" t="n"/>
      <c r="F558" s="5" t="n"/>
      <c r="G558" s="5" t="n"/>
      <c r="H558" s="6" t="n"/>
      <c r="I558" s="5" t="n"/>
      <c r="J558" s="5" t="n"/>
      <c r="K558" s="5" t="n"/>
      <c r="L558" s="5" t="n"/>
    </row>
    <row r="559">
      <c r="A559" s="5" t="n"/>
      <c r="B559" s="6" t="n"/>
      <c r="C559" s="5" t="n"/>
      <c r="D559" s="5" t="n"/>
      <c r="E559" s="5" t="n"/>
      <c r="F559" s="5" t="n"/>
      <c r="G559" s="5" t="n"/>
      <c r="H559" s="6" t="n"/>
      <c r="I559" s="5" t="n"/>
      <c r="J559" s="5" t="n"/>
      <c r="K559" s="5" t="n"/>
      <c r="L559" s="5" t="n"/>
    </row>
    <row r="560">
      <c r="A560" s="5" t="n"/>
      <c r="B560" s="6" t="n"/>
      <c r="C560" s="5" t="n"/>
      <c r="D560" s="5" t="n"/>
      <c r="E560" s="5" t="n"/>
      <c r="F560" s="5" t="n"/>
      <c r="G560" s="5" t="n"/>
      <c r="H560" s="6" t="n"/>
      <c r="I560" s="5" t="n"/>
      <c r="J560" s="5" t="n"/>
      <c r="K560" s="5" t="n"/>
      <c r="L560" s="5" t="n"/>
    </row>
    <row r="561">
      <c r="A561" s="5" t="n"/>
      <c r="B561" s="6" t="n"/>
      <c r="C561" s="5" t="n"/>
      <c r="D561" s="5" t="n"/>
      <c r="E561" s="5" t="n"/>
      <c r="F561" s="5" t="n"/>
      <c r="G561" s="5" t="n"/>
      <c r="H561" s="6" t="n"/>
      <c r="I561" s="5" t="n"/>
      <c r="J561" s="5" t="n"/>
      <c r="K561" s="5" t="n"/>
      <c r="L561" s="5" t="n"/>
    </row>
    <row r="562">
      <c r="A562" s="5" t="n"/>
      <c r="B562" s="6" t="n"/>
      <c r="C562" s="5" t="n"/>
      <c r="D562" s="5" t="n"/>
      <c r="E562" s="5" t="n"/>
      <c r="F562" s="5" t="n"/>
      <c r="G562" s="5" t="n"/>
      <c r="H562" s="6" t="n"/>
      <c r="I562" s="5" t="n"/>
      <c r="J562" s="5" t="n"/>
      <c r="K562" s="5" t="n"/>
      <c r="L562" s="5" t="n"/>
    </row>
    <row r="563">
      <c r="A563" s="5" t="n"/>
      <c r="B563" s="6" t="n"/>
      <c r="C563" s="5" t="n"/>
      <c r="D563" s="5" t="n"/>
      <c r="E563" s="5" t="n"/>
      <c r="F563" s="5" t="n"/>
      <c r="G563" s="5" t="n"/>
      <c r="H563" s="6" t="n"/>
      <c r="I563" s="5" t="n"/>
      <c r="J563" s="5" t="n"/>
      <c r="K563" s="5" t="n"/>
      <c r="L563" s="5" t="n"/>
    </row>
    <row r="564">
      <c r="A564" s="5" t="n"/>
      <c r="B564" s="6" t="n"/>
      <c r="C564" s="5" t="n"/>
      <c r="D564" s="5" t="n"/>
      <c r="E564" s="5" t="n"/>
      <c r="F564" s="5" t="n"/>
      <c r="G564" s="5" t="n"/>
      <c r="H564" s="6" t="n"/>
      <c r="I564" s="5" t="n"/>
      <c r="J564" s="5" t="n"/>
      <c r="K564" s="5" t="n"/>
      <c r="L564" s="5" t="n"/>
    </row>
    <row r="565">
      <c r="A565" s="5" t="n"/>
      <c r="B565" s="6" t="n"/>
      <c r="C565" s="5" t="n"/>
      <c r="D565" s="5" t="n"/>
      <c r="E565" s="5" t="n"/>
      <c r="F565" s="5" t="n"/>
      <c r="G565" s="5" t="n"/>
      <c r="H565" s="6" t="n"/>
      <c r="I565" s="5" t="n"/>
      <c r="J565" s="5" t="n"/>
      <c r="K565" s="5" t="n"/>
      <c r="L565" s="5" t="n"/>
    </row>
    <row r="566">
      <c r="A566" s="5" t="n"/>
      <c r="B566" s="6" t="n"/>
      <c r="C566" s="5" t="n"/>
      <c r="D566" s="5" t="n"/>
      <c r="E566" s="5" t="n"/>
      <c r="F566" s="5" t="n"/>
      <c r="G566" s="5" t="n"/>
      <c r="H566" s="6" t="n"/>
      <c r="I566" s="5" t="n"/>
      <c r="J566" s="5" t="n"/>
      <c r="K566" s="5" t="n"/>
      <c r="L566" s="5" t="n"/>
    </row>
    <row r="567">
      <c r="A567" s="5" t="n"/>
      <c r="B567" s="6" t="n"/>
      <c r="C567" s="5" t="n"/>
      <c r="D567" s="5" t="n"/>
      <c r="E567" s="5" t="n"/>
      <c r="F567" s="5" t="n"/>
      <c r="G567" s="5" t="n"/>
      <c r="H567" s="6" t="n"/>
      <c r="I567" s="5" t="n"/>
      <c r="J567" s="5" t="n"/>
      <c r="K567" s="5" t="n"/>
      <c r="L567" s="5" t="n"/>
    </row>
    <row r="568">
      <c r="A568" s="5" t="n"/>
      <c r="B568" s="6" t="n"/>
      <c r="C568" s="5" t="n"/>
      <c r="D568" s="5" t="n"/>
      <c r="E568" s="5" t="n"/>
      <c r="F568" s="5" t="n"/>
      <c r="G568" s="5" t="n"/>
      <c r="H568" s="6" t="n"/>
      <c r="I568" s="5" t="n"/>
      <c r="J568" s="5" t="n"/>
      <c r="K568" s="5" t="n"/>
      <c r="L568" s="5" t="n"/>
    </row>
    <row r="569">
      <c r="A569" s="5" t="n"/>
      <c r="B569" s="6" t="n"/>
      <c r="C569" s="5" t="n"/>
      <c r="D569" s="5" t="n"/>
      <c r="E569" s="5" t="n"/>
      <c r="F569" s="5" t="n"/>
      <c r="G569" s="5" t="n"/>
      <c r="H569" s="6" t="n"/>
      <c r="I569" s="5" t="n"/>
      <c r="J569" s="5" t="n"/>
      <c r="K569" s="5" t="n"/>
      <c r="L569" s="5" t="n"/>
    </row>
    <row r="570">
      <c r="A570" s="5" t="n"/>
      <c r="B570" s="6" t="n"/>
      <c r="C570" s="5" t="n"/>
      <c r="D570" s="5" t="n"/>
      <c r="E570" s="5" t="n"/>
      <c r="F570" s="5" t="n"/>
      <c r="G570" s="5" t="n"/>
      <c r="H570" s="6" t="n"/>
      <c r="I570" s="5" t="n"/>
      <c r="J570" s="5" t="n"/>
      <c r="K570" s="5" t="n"/>
      <c r="L570" s="5" t="n"/>
    </row>
    <row r="571">
      <c r="A571" s="5" t="n"/>
      <c r="B571" s="6" t="n"/>
      <c r="C571" s="5" t="n"/>
      <c r="D571" s="5" t="n"/>
      <c r="E571" s="5" t="n"/>
      <c r="F571" s="5" t="n"/>
      <c r="G571" s="5" t="n"/>
      <c r="H571" s="6" t="n"/>
      <c r="I571" s="5" t="n"/>
      <c r="J571" s="5" t="n"/>
      <c r="K571" s="5" t="n"/>
      <c r="L571" s="5" t="n"/>
    </row>
    <row r="572">
      <c r="A572" s="5" t="n"/>
      <c r="B572" s="6" t="n"/>
      <c r="C572" s="5" t="n"/>
      <c r="D572" s="5" t="n"/>
      <c r="E572" s="5" t="n"/>
      <c r="F572" s="5" t="n"/>
      <c r="G572" s="5" t="n"/>
      <c r="H572" s="6" t="n"/>
      <c r="I572" s="5" t="n"/>
      <c r="J572" s="5" t="n"/>
      <c r="K572" s="5" t="n"/>
      <c r="L572" s="5" t="n"/>
    </row>
    <row r="573">
      <c r="A573" s="5" t="n"/>
      <c r="B573" s="6" t="n"/>
      <c r="C573" s="5" t="n"/>
      <c r="D573" s="5" t="n"/>
      <c r="E573" s="5" t="n"/>
      <c r="F573" s="5" t="n"/>
      <c r="G573" s="5" t="n"/>
      <c r="H573" s="6" t="n"/>
      <c r="I573" s="5" t="n"/>
      <c r="J573" s="5" t="n"/>
      <c r="K573" s="5" t="n"/>
      <c r="L573" s="5" t="n"/>
    </row>
    <row r="574">
      <c r="A574" s="5" t="n"/>
      <c r="B574" s="6" t="n"/>
      <c r="C574" s="5" t="n"/>
      <c r="D574" s="5" t="n"/>
      <c r="E574" s="5" t="n"/>
      <c r="F574" s="5" t="n"/>
      <c r="G574" s="5" t="n"/>
      <c r="H574" s="6" t="n"/>
      <c r="I574" s="5" t="n"/>
      <c r="J574" s="5" t="n"/>
      <c r="K574" s="5" t="n"/>
      <c r="L574" s="5" t="n"/>
    </row>
    <row r="575">
      <c r="A575" s="5" t="n"/>
      <c r="B575" s="6" t="n"/>
      <c r="C575" s="5" t="n"/>
      <c r="D575" s="5" t="n"/>
      <c r="E575" s="5" t="n"/>
      <c r="F575" s="5" t="n"/>
      <c r="G575" s="5" t="n"/>
      <c r="H575" s="6" t="n"/>
      <c r="I575" s="5" t="n"/>
      <c r="J575" s="5" t="n"/>
      <c r="K575" s="5" t="n"/>
      <c r="L575" s="5" t="n"/>
    </row>
    <row r="576">
      <c r="A576" s="5" t="n"/>
      <c r="B576" s="6" t="n"/>
      <c r="C576" s="5" t="n"/>
      <c r="D576" s="5" t="n"/>
      <c r="E576" s="5" t="n"/>
      <c r="F576" s="5" t="n"/>
      <c r="G576" s="5" t="n"/>
      <c r="H576" s="6" t="n"/>
      <c r="I576" s="5" t="n"/>
      <c r="J576" s="5" t="n"/>
      <c r="K576" s="5" t="n"/>
      <c r="L576" s="5" t="n"/>
    </row>
    <row r="577">
      <c r="A577" s="5" t="n"/>
      <c r="B577" s="6" t="n"/>
      <c r="C577" s="5" t="n"/>
      <c r="D577" s="5" t="n"/>
      <c r="E577" s="5" t="n"/>
      <c r="F577" s="5" t="n"/>
      <c r="G577" s="5" t="n"/>
      <c r="H577" s="6" t="n"/>
      <c r="I577" s="5" t="n"/>
      <c r="J577" s="5" t="n"/>
      <c r="K577" s="5" t="n"/>
      <c r="L577" s="5" t="n"/>
    </row>
    <row r="578">
      <c r="A578" s="5" t="n"/>
      <c r="B578" s="6" t="n"/>
      <c r="C578" s="5" t="n"/>
      <c r="D578" s="5" t="n"/>
      <c r="E578" s="5" t="n"/>
      <c r="F578" s="5" t="n"/>
      <c r="G578" s="5" t="n"/>
      <c r="H578" s="6" t="n"/>
      <c r="I578" s="5" t="n"/>
      <c r="J578" s="5" t="n"/>
      <c r="K578" s="5" t="n"/>
      <c r="L578" s="5" t="n"/>
    </row>
    <row r="579">
      <c r="A579" s="5" t="n"/>
      <c r="B579" s="6" t="n"/>
      <c r="C579" s="5" t="n"/>
      <c r="D579" s="5" t="n"/>
      <c r="E579" s="5" t="n"/>
      <c r="F579" s="5" t="n"/>
      <c r="G579" s="5" t="n"/>
      <c r="H579" s="6" t="n"/>
      <c r="I579" s="5" t="n"/>
      <c r="J579" s="5" t="n"/>
      <c r="K579" s="5" t="n"/>
      <c r="L579" s="5" t="n"/>
    </row>
    <row r="580">
      <c r="A580" s="5" t="n"/>
      <c r="B580" s="6" t="n"/>
      <c r="C580" s="5" t="n"/>
      <c r="D580" s="5" t="n"/>
      <c r="E580" s="5" t="n"/>
      <c r="F580" s="5" t="n"/>
      <c r="G580" s="5" t="n"/>
      <c r="H580" s="6" t="n"/>
      <c r="I580" s="5" t="n"/>
      <c r="J580" s="5" t="n"/>
      <c r="K580" s="5" t="n"/>
      <c r="L580" s="5" t="n"/>
    </row>
    <row r="581">
      <c r="A581" s="5" t="n"/>
      <c r="B581" s="6" t="n"/>
      <c r="C581" s="5" t="n"/>
      <c r="D581" s="5" t="n"/>
      <c r="E581" s="5" t="n"/>
      <c r="F581" s="5" t="n"/>
      <c r="G581" s="5" t="n"/>
      <c r="H581" s="6" t="n"/>
      <c r="I581" s="5" t="n"/>
      <c r="J581" s="5" t="n"/>
      <c r="K581" s="5" t="n"/>
      <c r="L581" s="5" t="n"/>
    </row>
    <row r="582">
      <c r="A582" s="5" t="n"/>
      <c r="B582" s="6" t="n"/>
      <c r="C582" s="5" t="n"/>
      <c r="D582" s="5" t="n"/>
      <c r="E582" s="5" t="n"/>
      <c r="F582" s="5" t="n"/>
      <c r="G582" s="5" t="n"/>
      <c r="H582" s="6" t="n"/>
      <c r="I582" s="5" t="n"/>
      <c r="J582" s="5" t="n"/>
      <c r="K582" s="5" t="n"/>
      <c r="L582" s="5" t="n"/>
    </row>
    <row r="583">
      <c r="A583" s="5" t="n"/>
      <c r="B583" s="6" t="n"/>
      <c r="C583" s="5" t="n"/>
      <c r="D583" s="5" t="n"/>
      <c r="E583" s="5" t="n"/>
      <c r="F583" s="5" t="n"/>
      <c r="G583" s="5" t="n"/>
      <c r="H583" s="6" t="n"/>
      <c r="I583" s="5" t="n"/>
      <c r="J583" s="5" t="n"/>
      <c r="K583" s="5" t="n"/>
      <c r="L583" s="5" t="n"/>
    </row>
    <row r="584">
      <c r="A584" s="5" t="n"/>
      <c r="B584" s="6" t="n"/>
      <c r="C584" s="5" t="n"/>
      <c r="D584" s="5" t="n"/>
      <c r="E584" s="5" t="n"/>
      <c r="F584" s="5" t="n"/>
      <c r="G584" s="5" t="n"/>
      <c r="H584" s="6" t="n"/>
      <c r="I584" s="5" t="n"/>
      <c r="J584" s="5" t="n"/>
      <c r="K584" s="5" t="n"/>
      <c r="L584" s="5" t="n"/>
    </row>
    <row r="585">
      <c r="A585" s="5" t="n"/>
      <c r="B585" s="6" t="n"/>
      <c r="C585" s="5" t="n"/>
      <c r="D585" s="5" t="n"/>
      <c r="E585" s="5" t="n"/>
      <c r="F585" s="5" t="n"/>
      <c r="G585" s="5" t="n"/>
      <c r="H585" s="6" t="n"/>
      <c r="I585" s="5" t="n"/>
      <c r="J585" s="5" t="n"/>
      <c r="K585" s="5" t="n"/>
      <c r="L585" s="5" t="n"/>
    </row>
    <row r="586">
      <c r="A586" s="5" t="n"/>
      <c r="B586" s="6" t="n"/>
      <c r="C586" s="5" t="n"/>
      <c r="D586" s="5" t="n"/>
      <c r="E586" s="5" t="n"/>
      <c r="F586" s="5" t="n"/>
      <c r="G586" s="5" t="n"/>
      <c r="H586" s="6" t="n"/>
      <c r="I586" s="5" t="n"/>
      <c r="J586" s="5" t="n"/>
      <c r="K586" s="5" t="n"/>
      <c r="L586" s="5" t="n"/>
    </row>
    <row r="587">
      <c r="A587" s="5" t="n"/>
      <c r="B587" s="6" t="n"/>
      <c r="C587" s="5" t="n"/>
      <c r="D587" s="5" t="n"/>
      <c r="E587" s="5" t="n"/>
      <c r="F587" s="5" t="n"/>
      <c r="G587" s="5" t="n"/>
      <c r="H587" s="6" t="n"/>
      <c r="I587" s="5" t="n"/>
      <c r="J587" s="5" t="n"/>
      <c r="K587" s="5" t="n"/>
      <c r="L587" s="5" t="n"/>
    </row>
    <row r="588">
      <c r="A588" s="5" t="n"/>
      <c r="B588" s="6" t="n"/>
      <c r="C588" s="5" t="n"/>
      <c r="D588" s="5" t="n"/>
      <c r="E588" s="5" t="n"/>
      <c r="F588" s="5" t="n"/>
      <c r="G588" s="5" t="n"/>
      <c r="H588" s="6" t="n"/>
      <c r="I588" s="5" t="n"/>
      <c r="J588" s="5" t="n"/>
      <c r="K588" s="5" t="n"/>
      <c r="L588" s="5" t="n"/>
    </row>
    <row r="589">
      <c r="A589" s="5" t="n"/>
      <c r="B589" s="6" t="n"/>
      <c r="C589" s="5" t="n"/>
      <c r="D589" s="5" t="n"/>
      <c r="E589" s="5" t="n"/>
      <c r="F589" s="5" t="n"/>
      <c r="G589" s="5" t="n"/>
      <c r="H589" s="6" t="n"/>
      <c r="I589" s="5" t="n"/>
      <c r="J589" s="5" t="n"/>
      <c r="K589" s="5" t="n"/>
      <c r="L589" s="5" t="n"/>
    </row>
    <row r="590">
      <c r="A590" s="5" t="n"/>
      <c r="B590" s="6" t="n"/>
      <c r="C590" s="5" t="n"/>
      <c r="D590" s="5" t="n"/>
      <c r="E590" s="5" t="n"/>
      <c r="F590" s="5" t="n"/>
      <c r="G590" s="5" t="n"/>
      <c r="H590" s="6" t="n"/>
      <c r="I590" s="5" t="n"/>
      <c r="J590" s="5" t="n"/>
      <c r="K590" s="5" t="n"/>
      <c r="L590" s="5" t="n"/>
    </row>
    <row r="591">
      <c r="A591" s="5" t="n"/>
      <c r="B591" s="6" t="n"/>
      <c r="C591" s="5" t="n"/>
      <c r="D591" s="5" t="n"/>
      <c r="E591" s="5" t="n"/>
      <c r="F591" s="5" t="n"/>
      <c r="G591" s="5" t="n"/>
      <c r="H591" s="6" t="n"/>
      <c r="I591" s="5" t="n"/>
      <c r="J591" s="5" t="n"/>
      <c r="K591" s="5" t="n"/>
      <c r="L591" s="5" t="n"/>
    </row>
    <row r="592">
      <c r="A592" s="5" t="n"/>
      <c r="B592" s="6" t="n"/>
      <c r="C592" s="5" t="n"/>
      <c r="D592" s="5" t="n"/>
      <c r="E592" s="5" t="n"/>
      <c r="F592" s="5" t="n"/>
      <c r="G592" s="5" t="n"/>
      <c r="H592" s="6" t="n"/>
      <c r="I592" s="5" t="n"/>
      <c r="J592" s="5" t="n"/>
      <c r="K592" s="5" t="n"/>
      <c r="L592" s="5" t="n"/>
    </row>
    <row r="593">
      <c r="A593" s="5" t="n"/>
      <c r="B593" s="6" t="n"/>
      <c r="C593" s="5" t="n"/>
      <c r="D593" s="5" t="n"/>
      <c r="E593" s="5" t="n"/>
      <c r="F593" s="5" t="n"/>
      <c r="G593" s="5" t="n"/>
      <c r="H593" s="6" t="n"/>
      <c r="I593" s="5" t="n"/>
      <c r="J593" s="5" t="n"/>
      <c r="K593" s="5" t="n"/>
      <c r="L593" s="5" t="n"/>
    </row>
    <row r="594">
      <c r="A594" s="5" t="n"/>
      <c r="B594" s="6" t="n"/>
      <c r="C594" s="5" t="n"/>
      <c r="D594" s="5" t="n"/>
      <c r="E594" s="5" t="n"/>
      <c r="F594" s="5" t="n"/>
      <c r="G594" s="5" t="n"/>
      <c r="H594" s="6" t="n"/>
      <c r="I594" s="5" t="n"/>
      <c r="J594" s="5" t="n"/>
      <c r="K594" s="5" t="n"/>
      <c r="L594" s="5" t="n"/>
    </row>
    <row r="595">
      <c r="A595" s="5" t="n"/>
      <c r="B595" s="6" t="n"/>
      <c r="C595" s="5" t="n"/>
      <c r="D595" s="5" t="n"/>
      <c r="E595" s="5" t="n"/>
      <c r="F595" s="5" t="n"/>
      <c r="G595" s="5" t="n"/>
      <c r="H595" s="6" t="n"/>
      <c r="I595" s="5" t="n"/>
      <c r="J595" s="5" t="n"/>
      <c r="K595" s="5" t="n"/>
      <c r="L595" s="5" t="n"/>
    </row>
    <row r="596">
      <c r="A596" s="5" t="n"/>
      <c r="B596" s="6" t="n"/>
      <c r="C596" s="5" t="n"/>
      <c r="D596" s="5" t="n"/>
      <c r="E596" s="5" t="n"/>
      <c r="F596" s="5" t="n"/>
      <c r="G596" s="5" t="n"/>
      <c r="H596" s="6" t="n"/>
      <c r="I596" s="5" t="n"/>
      <c r="J596" s="5" t="n"/>
      <c r="K596" s="5" t="n"/>
      <c r="L596" s="5" t="n"/>
    </row>
    <row r="597">
      <c r="A597" s="5" t="n"/>
      <c r="B597" s="6" t="n"/>
      <c r="C597" s="5" t="n"/>
      <c r="D597" s="5" t="n"/>
      <c r="E597" s="5" t="n"/>
      <c r="F597" s="5" t="n"/>
      <c r="G597" s="5" t="n"/>
      <c r="H597" s="6" t="n"/>
      <c r="I597" s="5" t="n"/>
      <c r="J597" s="5" t="n"/>
      <c r="K597" s="5" t="n"/>
      <c r="L597" s="5" t="n"/>
    </row>
    <row r="598">
      <c r="A598" s="5" t="n"/>
      <c r="B598" s="6" t="n"/>
      <c r="C598" s="5" t="n"/>
      <c r="D598" s="5" t="n"/>
      <c r="E598" s="5" t="n"/>
      <c r="F598" s="5" t="n"/>
      <c r="G598" s="5" t="n"/>
      <c r="H598" s="6" t="n"/>
      <c r="I598" s="5" t="n"/>
      <c r="J598" s="5" t="n"/>
      <c r="K598" s="5" t="n"/>
      <c r="L598" s="5" t="n"/>
    </row>
    <row r="599">
      <c r="A599" s="5" t="n"/>
      <c r="B599" s="6" t="n"/>
      <c r="C599" s="5" t="n"/>
      <c r="D599" s="5" t="n"/>
      <c r="E599" s="5" t="n"/>
      <c r="F599" s="5" t="n"/>
      <c r="G599" s="5" t="n"/>
      <c r="H599" s="6" t="n"/>
      <c r="I599" s="5" t="n"/>
      <c r="J599" s="5" t="n"/>
      <c r="K599" s="5" t="n"/>
      <c r="L599" s="5" t="n"/>
    </row>
    <row r="600">
      <c r="A600" s="5" t="n"/>
      <c r="B600" s="6" t="n"/>
      <c r="C600" s="5" t="n"/>
      <c r="D600" s="5" t="n"/>
      <c r="E600" s="5" t="n"/>
      <c r="F600" s="5" t="n"/>
      <c r="G600" s="5" t="n"/>
      <c r="H600" s="6" t="n"/>
      <c r="I600" s="5" t="n"/>
      <c r="J600" s="5" t="n"/>
      <c r="K600" s="5" t="n"/>
      <c r="L600" s="5" t="n"/>
    </row>
    <row r="601">
      <c r="A601" s="5" t="n"/>
      <c r="B601" s="6" t="n"/>
      <c r="C601" s="5" t="n"/>
      <c r="D601" s="5" t="n"/>
      <c r="E601" s="5" t="n"/>
      <c r="F601" s="5" t="n"/>
      <c r="G601" s="5" t="n"/>
      <c r="H601" s="6" t="n"/>
      <c r="I601" s="5" t="n"/>
      <c r="J601" s="5" t="n"/>
      <c r="K601" s="5" t="n"/>
      <c r="L601" s="5" t="n"/>
    </row>
    <row r="602">
      <c r="A602" s="5" t="n"/>
      <c r="B602" s="6" t="n"/>
      <c r="C602" s="5" t="n"/>
      <c r="D602" s="5" t="n"/>
      <c r="E602" s="5" t="n"/>
      <c r="F602" s="5" t="n"/>
      <c r="G602" s="5" t="n"/>
      <c r="H602" s="6" t="n"/>
      <c r="I602" s="5" t="n"/>
      <c r="J602" s="5" t="n"/>
      <c r="K602" s="5" t="n"/>
      <c r="L602" s="5" t="n"/>
    </row>
    <row r="603">
      <c r="A603" s="5" t="n"/>
      <c r="B603" s="6" t="n"/>
      <c r="C603" s="5" t="n"/>
      <c r="D603" s="5" t="n"/>
      <c r="E603" s="5" t="n"/>
      <c r="F603" s="5" t="n"/>
      <c r="G603" s="5" t="n"/>
      <c r="H603" s="6" t="n"/>
      <c r="I603" s="5" t="n"/>
      <c r="J603" s="5" t="n"/>
      <c r="K603" s="5" t="n"/>
      <c r="L603" s="5" t="n"/>
    </row>
    <row r="604">
      <c r="A604" s="5" t="n"/>
      <c r="B604" s="6" t="n"/>
      <c r="C604" s="5" t="n"/>
      <c r="D604" s="5" t="n"/>
      <c r="E604" s="5" t="n"/>
      <c r="F604" s="5" t="n"/>
      <c r="G604" s="5" t="n"/>
      <c r="H604" s="6" t="n"/>
      <c r="I604" s="5" t="n"/>
      <c r="J604" s="5" t="n"/>
      <c r="K604" s="5" t="n"/>
      <c r="L604" s="5" t="n"/>
    </row>
    <row r="605">
      <c r="A605" s="5" t="n"/>
      <c r="B605" s="6" t="n"/>
      <c r="C605" s="5" t="n"/>
      <c r="D605" s="5" t="n"/>
      <c r="E605" s="5" t="n"/>
      <c r="F605" s="5" t="n"/>
      <c r="G605" s="5" t="n"/>
      <c r="H605" s="6" t="n"/>
      <c r="I605" s="5" t="n"/>
      <c r="J605" s="5" t="n"/>
      <c r="K605" s="5" t="n"/>
      <c r="L605" s="5" t="n"/>
    </row>
    <row r="606">
      <c r="A606" s="5" t="n"/>
      <c r="B606" s="6" t="n"/>
      <c r="C606" s="5" t="n"/>
      <c r="D606" s="5" t="n"/>
      <c r="E606" s="5" t="n"/>
      <c r="F606" s="5" t="n"/>
      <c r="G606" s="5" t="n"/>
      <c r="H606" s="6" t="n"/>
      <c r="I606" s="5" t="n"/>
      <c r="J606" s="5" t="n"/>
      <c r="K606" s="5" t="n"/>
      <c r="L606" s="5" t="n"/>
    </row>
    <row r="607">
      <c r="A607" s="5" t="n"/>
      <c r="B607" s="6" t="n"/>
      <c r="C607" s="5" t="n"/>
      <c r="D607" s="5" t="n"/>
      <c r="E607" s="5" t="n"/>
      <c r="F607" s="5" t="n"/>
      <c r="G607" s="5" t="n"/>
      <c r="H607" s="6" t="n"/>
      <c r="I607" s="5" t="n"/>
      <c r="J607" s="5" t="n"/>
      <c r="K607" s="5" t="n"/>
      <c r="L607" s="5" t="n"/>
    </row>
    <row r="608">
      <c r="A608" s="5" t="n"/>
      <c r="B608" s="6" t="n"/>
      <c r="C608" s="5" t="n"/>
      <c r="D608" s="5" t="n"/>
      <c r="E608" s="5" t="n"/>
      <c r="F608" s="5" t="n"/>
      <c r="G608" s="5" t="n"/>
      <c r="H608" s="6" t="n"/>
      <c r="I608" s="5" t="n"/>
      <c r="J608" s="5" t="n"/>
      <c r="K608" s="5" t="n"/>
      <c r="L608" s="5" t="n"/>
    </row>
    <row r="609">
      <c r="A609" s="5" t="n"/>
      <c r="B609" s="6" t="n"/>
      <c r="C609" s="5" t="n"/>
      <c r="D609" s="5" t="n"/>
      <c r="E609" s="5" t="n"/>
      <c r="F609" s="5" t="n"/>
      <c r="G609" s="5" t="n"/>
      <c r="H609" s="6" t="n"/>
      <c r="I609" s="5" t="n"/>
      <c r="J609" s="5" t="n"/>
      <c r="K609" s="5" t="n"/>
      <c r="L609" s="5" t="n"/>
    </row>
    <row r="610">
      <c r="A610" s="5" t="n"/>
      <c r="B610" s="6" t="n"/>
      <c r="C610" s="5" t="n"/>
      <c r="D610" s="5" t="n"/>
      <c r="E610" s="5" t="n"/>
      <c r="F610" s="5" t="n"/>
      <c r="G610" s="5" t="n"/>
      <c r="H610" s="6" t="n"/>
      <c r="I610" s="5" t="n"/>
      <c r="J610" s="5" t="n"/>
      <c r="K610" s="5" t="n"/>
      <c r="L610" s="5" t="n"/>
    </row>
    <row r="611">
      <c r="A611" s="5" t="n"/>
      <c r="B611" s="6" t="n"/>
      <c r="C611" s="5" t="n"/>
      <c r="D611" s="5" t="n"/>
      <c r="E611" s="5" t="n"/>
      <c r="F611" s="5" t="n"/>
      <c r="G611" s="5" t="n"/>
      <c r="H611" s="6" t="n"/>
      <c r="I611" s="5" t="n"/>
      <c r="J611" s="5" t="n"/>
      <c r="K611" s="5" t="n"/>
      <c r="L611" s="5" t="n"/>
    </row>
    <row r="612">
      <c r="A612" s="5" t="n"/>
      <c r="B612" s="6" t="n"/>
      <c r="C612" s="5" t="n"/>
      <c r="D612" s="5" t="n"/>
      <c r="E612" s="5" t="n"/>
      <c r="F612" s="5" t="n"/>
      <c r="G612" s="5" t="n"/>
      <c r="H612" s="6" t="n"/>
      <c r="I612" s="5" t="n"/>
      <c r="J612" s="5" t="n"/>
      <c r="K612" s="5" t="n"/>
      <c r="L612" s="5" t="n"/>
    </row>
    <row r="613">
      <c r="A613" s="5" t="n"/>
      <c r="B613" s="6" t="n"/>
      <c r="C613" s="5" t="n"/>
      <c r="D613" s="5" t="n"/>
      <c r="E613" s="5" t="n"/>
      <c r="F613" s="5" t="n"/>
      <c r="G613" s="5" t="n"/>
      <c r="H613" s="6" t="n"/>
      <c r="I613" s="5" t="n"/>
      <c r="J613" s="5" t="n"/>
      <c r="K613" s="5" t="n"/>
      <c r="L613" s="5" t="n"/>
    </row>
    <row r="614">
      <c r="A614" s="5" t="n"/>
      <c r="B614" s="6" t="n"/>
      <c r="C614" s="5" t="n"/>
      <c r="D614" s="5" t="n"/>
      <c r="E614" s="5" t="n"/>
      <c r="F614" s="5" t="n"/>
      <c r="G614" s="5" t="n"/>
      <c r="H614" s="6" t="n"/>
      <c r="I614" s="5" t="n"/>
      <c r="J614" s="5" t="n"/>
      <c r="K614" s="5" t="n"/>
      <c r="L614" s="5" t="n"/>
    </row>
    <row r="615">
      <c r="A615" s="5" t="n"/>
      <c r="B615" s="6" t="n"/>
      <c r="C615" s="5" t="n"/>
      <c r="D615" s="5" t="n"/>
      <c r="E615" s="5" t="n"/>
      <c r="F615" s="5" t="n"/>
      <c r="G615" s="5" t="n"/>
      <c r="H615" s="6" t="n"/>
      <c r="I615" s="5" t="n"/>
      <c r="J615" s="5" t="n"/>
      <c r="K615" s="5" t="n"/>
      <c r="L615" s="5" t="n"/>
    </row>
    <row r="616">
      <c r="A616" s="5" t="n"/>
      <c r="B616" s="6" t="n"/>
      <c r="C616" s="5" t="n"/>
      <c r="D616" s="5" t="n"/>
      <c r="E616" s="5" t="n"/>
      <c r="F616" s="5" t="n"/>
      <c r="G616" s="5" t="n"/>
      <c r="H616" s="6" t="n"/>
      <c r="I616" s="5" t="n"/>
      <c r="J616" s="5" t="n"/>
      <c r="K616" s="5" t="n"/>
      <c r="L616" s="5" t="n"/>
    </row>
    <row r="617">
      <c r="A617" s="5" t="n"/>
      <c r="B617" s="6" t="n"/>
      <c r="C617" s="5" t="n"/>
      <c r="D617" s="5" t="n"/>
      <c r="E617" s="5" t="n"/>
      <c r="F617" s="5" t="n"/>
      <c r="G617" s="5" t="n"/>
      <c r="H617" s="6" t="n"/>
      <c r="I617" s="5" t="n"/>
      <c r="J617" s="5" t="n"/>
      <c r="K617" s="5" t="n"/>
      <c r="L617" s="5" t="n"/>
    </row>
    <row r="618">
      <c r="A618" s="5" t="n"/>
      <c r="B618" s="6" t="n"/>
      <c r="C618" s="5" t="n"/>
      <c r="D618" s="5" t="n"/>
      <c r="E618" s="5" t="n"/>
      <c r="F618" s="5" t="n"/>
      <c r="G618" s="5" t="n"/>
      <c r="H618" s="6" t="n"/>
      <c r="I618" s="5" t="n"/>
      <c r="J618" s="5" t="n"/>
      <c r="K618" s="5" t="n"/>
      <c r="L618" s="5" t="n"/>
    </row>
    <row r="619">
      <c r="A619" s="5" t="n"/>
      <c r="B619" s="6" t="n"/>
      <c r="C619" s="5" t="n"/>
      <c r="D619" s="5" t="n"/>
      <c r="E619" s="5" t="n"/>
      <c r="F619" s="5" t="n"/>
      <c r="G619" s="5" t="n"/>
      <c r="H619" s="6" t="n"/>
      <c r="I619" s="5" t="n"/>
      <c r="J619" s="5" t="n"/>
      <c r="K619" s="5" t="n"/>
      <c r="L619" s="5" t="n"/>
    </row>
    <row r="620">
      <c r="A620" s="5" t="n"/>
      <c r="B620" s="6" t="n"/>
      <c r="C620" s="5" t="n"/>
      <c r="D620" s="5" t="n"/>
      <c r="E620" s="5" t="n"/>
      <c r="F620" s="5" t="n"/>
      <c r="G620" s="5" t="n"/>
      <c r="H620" s="6" t="n"/>
      <c r="I620" s="5" t="n"/>
      <c r="J620" s="5" t="n"/>
      <c r="K620" s="5" t="n"/>
      <c r="L620" s="5" t="n"/>
    </row>
    <row r="621">
      <c r="A621" s="5" t="n"/>
      <c r="B621" s="6" t="n"/>
      <c r="C621" s="5" t="n"/>
      <c r="D621" s="5" t="n"/>
      <c r="E621" s="5" t="n"/>
      <c r="F621" s="5" t="n"/>
      <c r="G621" s="5" t="n"/>
      <c r="H621" s="6" t="n"/>
      <c r="I621" s="5" t="n"/>
      <c r="J621" s="5" t="n"/>
      <c r="K621" s="5" t="n"/>
      <c r="L621" s="5" t="n"/>
    </row>
    <row r="622">
      <c r="A622" s="5" t="n"/>
      <c r="B622" s="6" t="n"/>
      <c r="C622" s="5" t="n"/>
      <c r="D622" s="5" t="n"/>
      <c r="E622" s="5" t="n"/>
      <c r="F622" s="5" t="n"/>
      <c r="G622" s="5" t="n"/>
      <c r="H622" s="6" t="n"/>
      <c r="I622" s="5" t="n"/>
      <c r="J622" s="5" t="n"/>
      <c r="K622" s="5" t="n"/>
      <c r="L622" s="5" t="n"/>
    </row>
    <row r="623">
      <c r="A623" s="5" t="n"/>
      <c r="B623" s="6" t="n"/>
      <c r="C623" s="5" t="n"/>
      <c r="D623" s="5" t="n"/>
      <c r="E623" s="5" t="n"/>
      <c r="F623" s="5" t="n"/>
      <c r="G623" s="5" t="n"/>
      <c r="H623" s="6" t="n"/>
      <c r="I623" s="5" t="n"/>
      <c r="J623" s="5" t="n"/>
      <c r="K623" s="5" t="n"/>
      <c r="L623" s="5" t="n"/>
    </row>
    <row r="624">
      <c r="A624" s="5" t="n"/>
      <c r="B624" s="6" t="n"/>
      <c r="C624" s="5" t="n"/>
      <c r="D624" s="5" t="n"/>
      <c r="E624" s="5" t="n"/>
      <c r="F624" s="5" t="n"/>
      <c r="G624" s="5" t="n"/>
      <c r="H624" s="6" t="n"/>
      <c r="I624" s="5" t="n"/>
      <c r="J624" s="5" t="n"/>
      <c r="K624" s="5" t="n"/>
      <c r="L624" s="5" t="n"/>
    </row>
    <row r="625">
      <c r="A625" s="5" t="n"/>
      <c r="B625" s="6" t="n"/>
      <c r="C625" s="5" t="n"/>
      <c r="D625" s="5" t="n"/>
      <c r="E625" s="5" t="n"/>
      <c r="F625" s="5" t="n"/>
      <c r="G625" s="5" t="n"/>
      <c r="H625" s="6" t="n"/>
      <c r="I625" s="5" t="n"/>
      <c r="J625" s="5" t="n"/>
      <c r="K625" s="5" t="n"/>
      <c r="L625" s="5" t="n"/>
    </row>
    <row r="626">
      <c r="A626" s="5" t="n"/>
      <c r="B626" s="6" t="n"/>
      <c r="C626" s="5" t="n"/>
      <c r="D626" s="5" t="n"/>
      <c r="E626" s="5" t="n"/>
      <c r="F626" s="5" t="n"/>
      <c r="G626" s="5" t="n"/>
      <c r="H626" s="6" t="n"/>
      <c r="I626" s="5" t="n"/>
      <c r="J626" s="5" t="n"/>
      <c r="K626" s="5" t="n"/>
      <c r="L626" s="5" t="n"/>
    </row>
    <row r="627">
      <c r="A627" s="5" t="n"/>
      <c r="B627" s="6" t="n"/>
      <c r="C627" s="5" t="n"/>
      <c r="D627" s="5" t="n"/>
      <c r="E627" s="5" t="n"/>
      <c r="F627" s="5" t="n"/>
      <c r="G627" s="5" t="n"/>
      <c r="H627" s="6" t="n"/>
      <c r="I627" s="5" t="n"/>
      <c r="J627" s="5" t="n"/>
      <c r="K627" s="5" t="n"/>
      <c r="L627" s="5" t="n"/>
    </row>
    <row r="628">
      <c r="A628" s="5" t="n"/>
      <c r="B628" s="6" t="n"/>
      <c r="C628" s="5" t="n"/>
      <c r="D628" s="5" t="n"/>
      <c r="E628" s="5" t="n"/>
      <c r="F628" s="5" t="n"/>
      <c r="G628" s="5" t="n"/>
      <c r="H628" s="6" t="n"/>
      <c r="I628" s="5" t="n"/>
      <c r="J628" s="5" t="n"/>
      <c r="K628" s="5" t="n"/>
      <c r="L628" s="5" t="n"/>
    </row>
    <row r="629">
      <c r="A629" s="5" t="n"/>
      <c r="B629" s="6" t="n"/>
      <c r="C629" s="5" t="n"/>
      <c r="D629" s="5" t="n"/>
      <c r="E629" s="5" t="n"/>
      <c r="F629" s="5" t="n"/>
      <c r="G629" s="5" t="n"/>
      <c r="H629" s="6" t="n"/>
      <c r="I629" s="5" t="n"/>
      <c r="J629" s="5" t="n"/>
      <c r="K629" s="5" t="n"/>
      <c r="L629" s="5" t="n"/>
    </row>
    <row r="630">
      <c r="A630" s="5" t="n"/>
      <c r="B630" s="6" t="n"/>
      <c r="C630" s="5" t="n"/>
      <c r="D630" s="5" t="n"/>
      <c r="E630" s="5" t="n"/>
      <c r="F630" s="5" t="n"/>
      <c r="G630" s="5" t="n"/>
      <c r="H630" s="6" t="n"/>
      <c r="I630" s="5" t="n"/>
      <c r="J630" s="5" t="n"/>
      <c r="K630" s="5" t="n"/>
      <c r="L630" s="5" t="n"/>
    </row>
    <row r="631">
      <c r="A631" s="5" t="n"/>
      <c r="B631" s="6" t="n"/>
      <c r="C631" s="5" t="n"/>
      <c r="D631" s="5" t="n"/>
      <c r="E631" s="5" t="n"/>
      <c r="F631" s="5" t="n"/>
      <c r="G631" s="5" t="n"/>
      <c r="H631" s="6" t="n"/>
      <c r="I631" s="5" t="n"/>
      <c r="J631" s="5" t="n"/>
      <c r="K631" s="5" t="n"/>
      <c r="L631" s="5" t="n"/>
    </row>
    <row r="632">
      <c r="A632" s="5" t="n"/>
      <c r="B632" s="6" t="n"/>
      <c r="C632" s="5" t="n"/>
      <c r="D632" s="5" t="n"/>
      <c r="E632" s="5" t="n"/>
      <c r="F632" s="5" t="n"/>
      <c r="G632" s="5" t="n"/>
      <c r="H632" s="6" t="n"/>
      <c r="I632" s="5" t="n"/>
      <c r="J632" s="5" t="n"/>
      <c r="K632" s="5" t="n"/>
      <c r="L632" s="5" t="n"/>
    </row>
    <row r="633">
      <c r="A633" s="5" t="n"/>
      <c r="B633" s="6" t="n"/>
      <c r="C633" s="5" t="n"/>
      <c r="D633" s="5" t="n"/>
      <c r="E633" s="5" t="n"/>
      <c r="F633" s="5" t="n"/>
      <c r="G633" s="5" t="n"/>
      <c r="H633" s="6" t="n"/>
      <c r="I633" s="5" t="n"/>
      <c r="J633" s="5" t="n"/>
      <c r="K633" s="5" t="n"/>
      <c r="L633" s="5" t="n"/>
    </row>
    <row r="634">
      <c r="A634" s="5" t="n"/>
      <c r="B634" s="6" t="n"/>
      <c r="C634" s="5" t="n"/>
      <c r="D634" s="5" t="n"/>
      <c r="E634" s="5" t="n"/>
      <c r="F634" s="5" t="n"/>
      <c r="G634" s="5" t="n"/>
      <c r="H634" s="6" t="n"/>
      <c r="I634" s="5" t="n"/>
      <c r="J634" s="5" t="n"/>
      <c r="K634" s="5" t="n"/>
      <c r="L634" s="5" t="n"/>
    </row>
    <row r="635">
      <c r="A635" s="5" t="n"/>
      <c r="B635" s="6" t="n"/>
      <c r="C635" s="5" t="n"/>
      <c r="D635" s="5" t="n"/>
      <c r="E635" s="5" t="n"/>
      <c r="F635" s="5" t="n"/>
      <c r="G635" s="5" t="n"/>
      <c r="H635" s="6" t="n"/>
      <c r="I635" s="5" t="n"/>
      <c r="J635" s="5" t="n"/>
      <c r="K635" s="5" t="n"/>
      <c r="L635" s="5" t="n"/>
    </row>
    <row r="636">
      <c r="A636" s="5" t="n"/>
      <c r="B636" s="6" t="n"/>
      <c r="C636" s="5" t="n"/>
      <c r="D636" s="5" t="n"/>
      <c r="E636" s="5" t="n"/>
      <c r="F636" s="5" t="n"/>
      <c r="G636" s="5" t="n"/>
      <c r="H636" s="6" t="n"/>
      <c r="I636" s="5" t="n"/>
      <c r="J636" s="5" t="n"/>
      <c r="K636" s="5" t="n"/>
      <c r="L636" s="5" t="n"/>
    </row>
    <row r="637">
      <c r="A637" s="5" t="n"/>
      <c r="B637" s="6" t="n"/>
      <c r="C637" s="5" t="n"/>
      <c r="D637" s="5" t="n"/>
      <c r="E637" s="5" t="n"/>
      <c r="F637" s="5" t="n"/>
      <c r="G637" s="5" t="n"/>
      <c r="H637" s="6" t="n"/>
      <c r="I637" s="5" t="n"/>
      <c r="J637" s="5" t="n"/>
      <c r="K637" s="5" t="n"/>
      <c r="L637" s="5" t="n"/>
    </row>
    <row r="638">
      <c r="A638" s="5" t="n"/>
      <c r="B638" s="6" t="n"/>
      <c r="C638" s="5" t="n"/>
      <c r="D638" s="5" t="n"/>
      <c r="E638" s="5" t="n"/>
      <c r="F638" s="5" t="n"/>
      <c r="G638" s="5" t="n"/>
      <c r="H638" s="6" t="n"/>
      <c r="I638" s="5" t="n"/>
      <c r="J638" s="5" t="n"/>
      <c r="K638" s="5" t="n"/>
      <c r="L638" s="5" t="n"/>
    </row>
    <row r="639">
      <c r="A639" s="5" t="n"/>
      <c r="B639" s="6" t="n"/>
      <c r="C639" s="5" t="n"/>
      <c r="D639" s="5" t="n"/>
      <c r="E639" s="5" t="n"/>
      <c r="F639" s="5" t="n"/>
      <c r="G639" s="5" t="n"/>
      <c r="H639" s="6" t="n"/>
      <c r="I639" s="5" t="n"/>
      <c r="J639" s="5" t="n"/>
      <c r="K639" s="5" t="n"/>
      <c r="L639" s="5" t="n"/>
    </row>
    <row r="640">
      <c r="A640" s="5" t="n"/>
      <c r="B640" s="6" t="n"/>
      <c r="C640" s="5" t="n"/>
      <c r="D640" s="5" t="n"/>
      <c r="E640" s="5" t="n"/>
      <c r="F640" s="5" t="n"/>
      <c r="G640" s="5" t="n"/>
      <c r="H640" s="6" t="n"/>
      <c r="I640" s="5" t="n"/>
      <c r="J640" s="5" t="n"/>
      <c r="K640" s="5" t="n"/>
      <c r="L640" s="5" t="n"/>
    </row>
    <row r="641">
      <c r="A641" s="5" t="n"/>
      <c r="B641" s="6" t="n"/>
      <c r="C641" s="5" t="n"/>
      <c r="D641" s="5" t="n"/>
      <c r="E641" s="5" t="n"/>
      <c r="F641" s="5" t="n"/>
      <c r="G641" s="5" t="n"/>
      <c r="H641" s="6" t="n"/>
      <c r="I641" s="5" t="n"/>
      <c r="J641" s="5" t="n"/>
      <c r="K641" s="5" t="n"/>
      <c r="L641" s="5" t="n"/>
    </row>
    <row r="642">
      <c r="A642" s="5" t="n"/>
      <c r="B642" s="6" t="n"/>
      <c r="C642" s="5" t="n"/>
      <c r="D642" s="5" t="n"/>
      <c r="E642" s="5" t="n"/>
      <c r="F642" s="5" t="n"/>
      <c r="G642" s="5" t="n"/>
      <c r="H642" s="6" t="n"/>
      <c r="I642" s="5" t="n"/>
      <c r="J642" s="5" t="n"/>
      <c r="K642" s="5" t="n"/>
      <c r="L642" s="5" t="n"/>
    </row>
    <row r="643">
      <c r="A643" s="5" t="n"/>
      <c r="B643" s="6" t="n"/>
      <c r="C643" s="5" t="n"/>
      <c r="D643" s="5" t="n"/>
      <c r="E643" s="5" t="n"/>
      <c r="F643" s="5" t="n"/>
      <c r="G643" s="5" t="n"/>
      <c r="H643" s="6" t="n"/>
      <c r="I643" s="5" t="n"/>
      <c r="J643" s="5" t="n"/>
      <c r="K643" s="5" t="n"/>
      <c r="L643" s="5" t="n"/>
    </row>
    <row r="644">
      <c r="A644" s="5" t="n"/>
      <c r="B644" s="6" t="n"/>
      <c r="C644" s="5" t="n"/>
      <c r="D644" s="5" t="n"/>
      <c r="E644" s="5" t="n"/>
      <c r="F644" s="5" t="n"/>
      <c r="G644" s="5" t="n"/>
      <c r="H644" s="6" t="n"/>
      <c r="I644" s="5" t="n"/>
      <c r="J644" s="5" t="n"/>
      <c r="K644" s="5" t="n"/>
      <c r="L644" s="5" t="n"/>
    </row>
    <row r="645">
      <c r="A645" s="5" t="n"/>
      <c r="B645" s="6" t="n"/>
      <c r="C645" s="5" t="n"/>
      <c r="D645" s="5" t="n"/>
      <c r="E645" s="5" t="n"/>
      <c r="F645" s="5" t="n"/>
      <c r="G645" s="5" t="n"/>
      <c r="H645" s="6" t="n"/>
      <c r="I645" s="5" t="n"/>
      <c r="J645" s="5" t="n"/>
      <c r="K645" s="5" t="n"/>
      <c r="L645" s="5" t="n"/>
    </row>
    <row r="646">
      <c r="A646" s="5" t="n"/>
      <c r="B646" s="6" t="n"/>
      <c r="C646" s="5" t="n"/>
      <c r="D646" s="5" t="n"/>
      <c r="E646" s="5" t="n"/>
      <c r="F646" s="5" t="n"/>
      <c r="G646" s="5" t="n"/>
      <c r="H646" s="6" t="n"/>
      <c r="I646" s="5" t="n"/>
      <c r="J646" s="5" t="n"/>
      <c r="K646" s="5" t="n"/>
      <c r="L646" s="5" t="n"/>
    </row>
    <row r="647">
      <c r="A647" s="5" t="n"/>
      <c r="B647" s="6" t="n"/>
      <c r="C647" s="5" t="n"/>
      <c r="D647" s="5" t="n"/>
      <c r="E647" s="5" t="n"/>
      <c r="F647" s="5" t="n"/>
      <c r="G647" s="5" t="n"/>
      <c r="H647" s="6" t="n"/>
      <c r="I647" s="5" t="n"/>
      <c r="J647" s="5" t="n"/>
      <c r="K647" s="5" t="n"/>
      <c r="L647" s="5" t="n"/>
    </row>
    <row r="648">
      <c r="A648" s="5" t="n"/>
      <c r="B648" s="6" t="n"/>
      <c r="C648" s="5" t="n"/>
      <c r="D648" s="5" t="n"/>
      <c r="E648" s="5" t="n"/>
      <c r="F648" s="5" t="n"/>
      <c r="G648" s="5" t="n"/>
      <c r="H648" s="6" t="n"/>
      <c r="I648" s="5" t="n"/>
      <c r="J648" s="5" t="n"/>
      <c r="K648" s="5" t="n"/>
      <c r="L648" s="5" t="n"/>
    </row>
    <row r="649">
      <c r="A649" s="5" t="n"/>
      <c r="B649" s="6" t="n"/>
      <c r="C649" s="5" t="n"/>
      <c r="D649" s="5" t="n"/>
      <c r="E649" s="5" t="n"/>
      <c r="F649" s="5" t="n"/>
      <c r="G649" s="5" t="n"/>
      <c r="H649" s="6" t="n"/>
      <c r="I649" s="5" t="n"/>
      <c r="J649" s="5" t="n"/>
      <c r="K649" s="5" t="n"/>
      <c r="L649" s="5" t="n"/>
    </row>
    <row r="650">
      <c r="A650" s="5" t="n"/>
      <c r="B650" s="6" t="n"/>
      <c r="C650" s="5" t="n"/>
      <c r="D650" s="5" t="n"/>
      <c r="E650" s="5" t="n"/>
      <c r="F650" s="5" t="n"/>
      <c r="G650" s="5" t="n"/>
      <c r="H650" s="6" t="n"/>
      <c r="I650" s="5" t="n"/>
      <c r="J650" s="5" t="n"/>
      <c r="K650" s="5" t="n"/>
      <c r="L650" s="5" t="n"/>
    </row>
    <row r="651">
      <c r="A651" s="5" t="n"/>
      <c r="B651" s="6" t="n"/>
      <c r="C651" s="5" t="n"/>
      <c r="D651" s="5" t="n"/>
      <c r="E651" s="5" t="n"/>
      <c r="F651" s="5" t="n"/>
      <c r="G651" s="5" t="n"/>
      <c r="H651" s="6" t="n"/>
      <c r="I651" s="5" t="n"/>
      <c r="J651" s="5" t="n"/>
      <c r="K651" s="5" t="n"/>
      <c r="L651" s="5" t="n"/>
    </row>
    <row r="652">
      <c r="A652" s="5" t="n"/>
      <c r="B652" s="6" t="n"/>
      <c r="C652" s="5" t="n"/>
      <c r="D652" s="5" t="n"/>
      <c r="E652" s="5" t="n"/>
      <c r="F652" s="5" t="n"/>
      <c r="G652" s="5" t="n"/>
      <c r="H652" s="6" t="n"/>
      <c r="I652" s="5" t="n"/>
      <c r="J652" s="5" t="n"/>
      <c r="K652" s="5" t="n"/>
      <c r="L652" s="5" t="n"/>
    </row>
    <row r="653">
      <c r="A653" s="5" t="n"/>
      <c r="B653" s="6" t="n"/>
      <c r="C653" s="5" t="n"/>
      <c r="D653" s="5" t="n"/>
      <c r="E653" s="5" t="n"/>
      <c r="F653" s="5" t="n"/>
      <c r="G653" s="5" t="n"/>
      <c r="H653" s="6" t="n"/>
      <c r="I653" s="5" t="n"/>
      <c r="J653" s="5" t="n"/>
      <c r="K653" s="5" t="n"/>
      <c r="L653" s="5" t="n"/>
    </row>
    <row r="654">
      <c r="A654" s="5" t="n"/>
      <c r="B654" s="6" t="n"/>
      <c r="C654" s="5" t="n"/>
      <c r="D654" s="5" t="n"/>
      <c r="E654" s="5" t="n"/>
      <c r="F654" s="5" t="n"/>
      <c r="G654" s="5" t="n"/>
      <c r="H654" s="6" t="n"/>
      <c r="I654" s="5" t="n"/>
      <c r="J654" s="5" t="n"/>
      <c r="K654" s="5" t="n"/>
      <c r="L654" s="5" t="n"/>
    </row>
    <row r="655">
      <c r="A655" s="5" t="n"/>
      <c r="B655" s="6" t="n"/>
      <c r="C655" s="5" t="n"/>
      <c r="D655" s="5" t="n"/>
      <c r="E655" s="5" t="n"/>
      <c r="F655" s="5" t="n"/>
      <c r="G655" s="5" t="n"/>
      <c r="H655" s="6" t="n"/>
      <c r="I655" s="5" t="n"/>
      <c r="J655" s="5" t="n"/>
      <c r="K655" s="5" t="n"/>
      <c r="L655" s="5" t="n"/>
    </row>
    <row r="656">
      <c r="A656" s="5" t="n"/>
      <c r="B656" s="6" t="n"/>
      <c r="C656" s="5" t="n"/>
      <c r="D656" s="5" t="n"/>
      <c r="E656" s="5" t="n"/>
      <c r="F656" s="5" t="n"/>
      <c r="G656" s="5" t="n"/>
      <c r="H656" s="6" t="n"/>
      <c r="I656" s="5" t="n"/>
      <c r="J656" s="5" t="n"/>
      <c r="K656" s="5" t="n"/>
      <c r="L656" s="5" t="n"/>
    </row>
    <row r="657">
      <c r="A657" s="5" t="n"/>
      <c r="B657" s="6" t="n"/>
      <c r="C657" s="5" t="n"/>
      <c r="D657" s="5" t="n"/>
      <c r="E657" s="5" t="n"/>
      <c r="F657" s="5" t="n"/>
      <c r="G657" s="5" t="n"/>
      <c r="H657" s="6" t="n"/>
      <c r="I657" s="5" t="n"/>
      <c r="J657" s="5" t="n"/>
      <c r="K657" s="5" t="n"/>
      <c r="L657" s="5" t="n"/>
    </row>
    <row r="658">
      <c r="A658" s="5" t="n"/>
      <c r="B658" s="6" t="n"/>
      <c r="C658" s="5" t="n"/>
      <c r="D658" s="5" t="n"/>
      <c r="E658" s="5" t="n"/>
      <c r="F658" s="5" t="n"/>
      <c r="G658" s="5" t="n"/>
      <c r="H658" s="6" t="n"/>
      <c r="I658" s="5" t="n"/>
      <c r="J658" s="5" t="n"/>
      <c r="K658" s="5" t="n"/>
      <c r="L658" s="5" t="n"/>
    </row>
    <row r="659">
      <c r="A659" s="5" t="n"/>
      <c r="B659" s="6" t="n"/>
      <c r="C659" s="5" t="n"/>
      <c r="D659" s="5" t="n"/>
      <c r="E659" s="5" t="n"/>
      <c r="F659" s="5" t="n"/>
      <c r="G659" s="5" t="n"/>
      <c r="H659" s="6" t="n"/>
      <c r="I659" s="5" t="n"/>
      <c r="J659" s="5" t="n"/>
      <c r="K659" s="5" t="n"/>
      <c r="L659" s="5" t="n"/>
    </row>
    <row r="660">
      <c r="A660" s="5" t="n"/>
      <c r="B660" s="6" t="n"/>
      <c r="C660" s="5" t="n"/>
      <c r="D660" s="5" t="n"/>
      <c r="E660" s="5" t="n"/>
      <c r="F660" s="5" t="n"/>
      <c r="G660" s="5" t="n"/>
      <c r="H660" s="6" t="n"/>
      <c r="I660" s="5" t="n"/>
      <c r="J660" s="5" t="n"/>
      <c r="K660" s="5" t="n"/>
      <c r="L660" s="5" t="n"/>
    </row>
    <row r="661">
      <c r="A661" s="5" t="n"/>
      <c r="B661" s="6" t="n"/>
      <c r="C661" s="5" t="n"/>
      <c r="D661" s="5" t="n"/>
      <c r="E661" s="5" t="n"/>
      <c r="F661" s="5" t="n"/>
      <c r="G661" s="5" t="n"/>
      <c r="H661" s="6" t="n"/>
      <c r="I661" s="5" t="n"/>
      <c r="J661" s="5" t="n"/>
      <c r="K661" s="5" t="n"/>
      <c r="L661" s="5" t="n"/>
    </row>
    <row r="662">
      <c r="A662" s="5" t="n"/>
      <c r="B662" s="6" t="n"/>
      <c r="C662" s="5" t="n"/>
      <c r="D662" s="5" t="n"/>
      <c r="E662" s="5" t="n"/>
      <c r="F662" s="5" t="n"/>
      <c r="G662" s="5" t="n"/>
      <c r="H662" s="6" t="n"/>
      <c r="I662" s="5" t="n"/>
      <c r="J662" s="5" t="n"/>
      <c r="K662" s="5" t="n"/>
      <c r="L662" s="5" t="n"/>
    </row>
    <row r="663">
      <c r="A663" s="5" t="n"/>
      <c r="B663" s="6" t="n"/>
      <c r="C663" s="5" t="n"/>
      <c r="D663" s="5" t="n"/>
      <c r="E663" s="5" t="n"/>
      <c r="F663" s="5" t="n"/>
      <c r="G663" s="5" t="n"/>
      <c r="H663" s="6" t="n"/>
      <c r="I663" s="5" t="n"/>
      <c r="J663" s="5" t="n"/>
      <c r="K663" s="5" t="n"/>
      <c r="L663" s="5" t="n"/>
    </row>
    <row r="664">
      <c r="A664" s="5" t="n"/>
      <c r="B664" s="6" t="n"/>
      <c r="C664" s="5" t="n"/>
      <c r="D664" s="5" t="n"/>
      <c r="E664" s="5" t="n"/>
      <c r="F664" s="5" t="n"/>
      <c r="G664" s="5" t="n"/>
      <c r="H664" s="6" t="n"/>
      <c r="I664" s="5" t="n"/>
      <c r="J664" s="5" t="n"/>
      <c r="K664" s="5" t="n"/>
      <c r="L664" s="5" t="n"/>
    </row>
    <row r="665">
      <c r="A665" s="5" t="n"/>
      <c r="B665" s="6" t="n"/>
      <c r="C665" s="5" t="n"/>
      <c r="D665" s="5" t="n"/>
      <c r="E665" s="5" t="n"/>
      <c r="F665" s="5" t="n"/>
      <c r="G665" s="5" t="n"/>
      <c r="H665" s="6" t="n"/>
      <c r="I665" s="5" t="n"/>
      <c r="J665" s="5" t="n"/>
      <c r="K665" s="5" t="n"/>
      <c r="L665" s="5" t="n"/>
    </row>
    <row r="666">
      <c r="A666" s="5" t="n"/>
      <c r="B666" s="6" t="n"/>
      <c r="C666" s="5" t="n"/>
      <c r="D666" s="5" t="n"/>
      <c r="E666" s="5" t="n"/>
      <c r="F666" s="5" t="n"/>
      <c r="G666" s="5" t="n"/>
      <c r="H666" s="6" t="n"/>
      <c r="I666" s="5" t="n"/>
      <c r="J666" s="5" t="n"/>
      <c r="K666" s="5" t="n"/>
      <c r="L666" s="5" t="n"/>
    </row>
    <row r="667">
      <c r="A667" s="5" t="n"/>
      <c r="B667" s="6" t="n"/>
      <c r="C667" s="5" t="n"/>
      <c r="D667" s="5" t="n"/>
      <c r="E667" s="5" t="n"/>
      <c r="F667" s="5" t="n"/>
      <c r="G667" s="5" t="n"/>
      <c r="H667" s="6" t="n"/>
      <c r="I667" s="5" t="n"/>
      <c r="J667" s="5" t="n"/>
      <c r="K667" s="5" t="n"/>
      <c r="L667" s="5" t="n"/>
    </row>
    <row r="668">
      <c r="A668" s="5" t="n"/>
      <c r="B668" s="6" t="n"/>
      <c r="C668" s="5" t="n"/>
      <c r="D668" s="5" t="n"/>
      <c r="E668" s="5" t="n"/>
      <c r="F668" s="5" t="n"/>
      <c r="G668" s="5" t="n"/>
      <c r="H668" s="6" t="n"/>
      <c r="I668" s="5" t="n"/>
      <c r="J668" s="5" t="n"/>
      <c r="K668" s="5" t="n"/>
      <c r="L668" s="5" t="n"/>
    </row>
    <row r="669">
      <c r="A669" s="5" t="n"/>
      <c r="B669" s="6" t="n"/>
      <c r="C669" s="5" t="n"/>
      <c r="D669" s="5" t="n"/>
      <c r="E669" s="5" t="n"/>
      <c r="F669" s="5" t="n"/>
      <c r="G669" s="5" t="n"/>
      <c r="H669" s="6" t="n"/>
      <c r="I669" s="5" t="n"/>
      <c r="J669" s="5" t="n"/>
      <c r="K669" s="5" t="n"/>
      <c r="L669" s="5" t="n"/>
    </row>
    <row r="670">
      <c r="A670" s="5" t="n"/>
      <c r="B670" s="6" t="n"/>
      <c r="C670" s="5" t="n"/>
      <c r="D670" s="5" t="n"/>
      <c r="E670" s="5" t="n"/>
      <c r="F670" s="5" t="n"/>
      <c r="G670" s="5" t="n"/>
      <c r="H670" s="6" t="n"/>
      <c r="I670" s="5" t="n"/>
      <c r="J670" s="5" t="n"/>
      <c r="K670" s="5" t="n"/>
      <c r="L670" s="5" t="n"/>
    </row>
    <row r="671">
      <c r="A671" s="5" t="n"/>
      <c r="B671" s="6" t="n"/>
      <c r="C671" s="5" t="n"/>
      <c r="D671" s="5" t="n"/>
      <c r="E671" s="5" t="n"/>
      <c r="F671" s="5" t="n"/>
      <c r="G671" s="5" t="n"/>
      <c r="H671" s="6" t="n"/>
      <c r="I671" s="5" t="n"/>
      <c r="J671" s="5" t="n"/>
      <c r="K671" s="5" t="n"/>
      <c r="L671" s="5" t="n"/>
    </row>
    <row r="672">
      <c r="A672" s="5" t="n"/>
      <c r="B672" s="6" t="n"/>
      <c r="C672" s="5" t="n"/>
      <c r="D672" s="5" t="n"/>
      <c r="E672" s="5" t="n"/>
      <c r="F672" s="5" t="n"/>
      <c r="G672" s="5" t="n"/>
      <c r="H672" s="6" t="n"/>
      <c r="I672" s="5" t="n"/>
      <c r="J672" s="5" t="n"/>
      <c r="K672" s="5" t="n"/>
      <c r="L672" s="5" t="n"/>
    </row>
    <row r="673">
      <c r="A673" s="5" t="n"/>
      <c r="B673" s="6" t="n"/>
      <c r="C673" s="5" t="n"/>
      <c r="D673" s="5" t="n"/>
      <c r="E673" s="5" t="n"/>
      <c r="F673" s="5" t="n"/>
      <c r="G673" s="5" t="n"/>
      <c r="H673" s="6" t="n"/>
      <c r="I673" s="5" t="n"/>
      <c r="J673" s="5" t="n"/>
      <c r="K673" s="5" t="n"/>
      <c r="L673" s="5" t="n"/>
    </row>
    <row r="674">
      <c r="A674" s="5" t="n"/>
      <c r="B674" s="6" t="n"/>
      <c r="C674" s="5" t="n"/>
      <c r="D674" s="5" t="n"/>
      <c r="E674" s="5" t="n"/>
      <c r="F674" s="5" t="n"/>
      <c r="G674" s="5" t="n"/>
      <c r="H674" s="6" t="n"/>
      <c r="I674" s="5" t="n"/>
      <c r="J674" s="5" t="n"/>
      <c r="K674" s="5" t="n"/>
      <c r="L674" s="5" t="n"/>
    </row>
    <row r="675">
      <c r="A675" s="5" t="n"/>
      <c r="B675" s="6" t="n"/>
      <c r="C675" s="5" t="n"/>
      <c r="D675" s="5" t="n"/>
      <c r="E675" s="5" t="n"/>
      <c r="F675" s="5" t="n"/>
      <c r="G675" s="5" t="n"/>
      <c r="H675" s="6" t="n"/>
      <c r="I675" s="5" t="n"/>
      <c r="J675" s="5" t="n"/>
      <c r="K675" s="5" t="n"/>
      <c r="L675" s="5" t="n"/>
    </row>
    <row r="676">
      <c r="A676" s="5" t="n"/>
      <c r="B676" s="6" t="n"/>
      <c r="C676" s="5" t="n"/>
      <c r="D676" s="5" t="n"/>
      <c r="E676" s="5" t="n"/>
      <c r="F676" s="5" t="n"/>
      <c r="G676" s="5" t="n"/>
      <c r="H676" s="6" t="n"/>
      <c r="I676" s="5" t="n"/>
      <c r="J676" s="5" t="n"/>
      <c r="K676" s="5" t="n"/>
      <c r="L676" s="5" t="n"/>
    </row>
    <row r="677">
      <c r="A677" s="5" t="n"/>
      <c r="B677" s="6" t="n"/>
      <c r="C677" s="5" t="n"/>
      <c r="D677" s="5" t="n"/>
      <c r="E677" s="5" t="n"/>
      <c r="F677" s="5" t="n"/>
      <c r="G677" s="5" t="n"/>
      <c r="H677" s="6" t="n"/>
      <c r="I677" s="5" t="n"/>
      <c r="J677" s="5" t="n"/>
      <c r="K677" s="5" t="n"/>
      <c r="L677" s="5" t="n"/>
    </row>
    <row r="678">
      <c r="A678" s="5" t="n"/>
      <c r="B678" s="6" t="n"/>
      <c r="C678" s="5" t="n"/>
      <c r="D678" s="5" t="n"/>
      <c r="E678" s="5" t="n"/>
      <c r="F678" s="5" t="n"/>
      <c r="G678" s="5" t="n"/>
      <c r="H678" s="6" t="n"/>
      <c r="I678" s="5" t="n"/>
      <c r="J678" s="5" t="n"/>
      <c r="K678" s="5" t="n"/>
      <c r="L678" s="5" t="n"/>
    </row>
    <row r="679">
      <c r="A679" s="5" t="n"/>
      <c r="B679" s="6" t="n"/>
      <c r="C679" s="5" t="n"/>
      <c r="D679" s="5" t="n"/>
      <c r="E679" s="5" t="n"/>
      <c r="F679" s="5" t="n"/>
      <c r="G679" s="5" t="n"/>
      <c r="H679" s="6" t="n"/>
      <c r="I679" s="5" t="n"/>
      <c r="J679" s="5" t="n"/>
      <c r="K679" s="5" t="n"/>
      <c r="L679" s="5" t="n"/>
    </row>
    <row r="680">
      <c r="A680" s="5" t="n"/>
      <c r="B680" s="6" t="n"/>
      <c r="C680" s="5" t="n"/>
      <c r="D680" s="5" t="n"/>
      <c r="E680" s="5" t="n"/>
      <c r="F680" s="5" t="n"/>
      <c r="G680" s="5" t="n"/>
      <c r="H680" s="6" t="n"/>
      <c r="I680" s="5" t="n"/>
      <c r="J680" s="5" t="n"/>
      <c r="K680" s="5" t="n"/>
      <c r="L680" s="5" t="n"/>
    </row>
    <row r="681">
      <c r="A681" s="5" t="n"/>
      <c r="B681" s="6" t="n"/>
      <c r="C681" s="5" t="n"/>
      <c r="D681" s="5" t="n"/>
      <c r="E681" s="5" t="n"/>
      <c r="F681" s="5" t="n"/>
      <c r="G681" s="5" t="n"/>
      <c r="H681" s="6" t="n"/>
      <c r="I681" s="5" t="n"/>
      <c r="J681" s="5" t="n"/>
      <c r="K681" s="5" t="n"/>
      <c r="L681" s="5" t="n"/>
    </row>
    <row r="682">
      <c r="A682" s="5" t="n"/>
      <c r="B682" s="6" t="n"/>
      <c r="C682" s="5" t="n"/>
      <c r="D682" s="5" t="n"/>
      <c r="E682" s="5" t="n"/>
      <c r="F682" s="5" t="n"/>
      <c r="G682" s="5" t="n"/>
      <c r="H682" s="6" t="n"/>
      <c r="I682" s="5" t="n"/>
      <c r="J682" s="5" t="n"/>
      <c r="K682" s="5" t="n"/>
      <c r="L682" s="5" t="n"/>
    </row>
    <row r="683">
      <c r="A683" s="5" t="n"/>
      <c r="B683" s="6" t="n"/>
      <c r="C683" s="5" t="n"/>
      <c r="D683" s="5" t="n"/>
      <c r="E683" s="5" t="n"/>
      <c r="F683" s="5" t="n"/>
      <c r="G683" s="5" t="n"/>
      <c r="H683" s="6" t="n"/>
      <c r="I683" s="5" t="n"/>
      <c r="J683" s="5" t="n"/>
      <c r="K683" s="5" t="n"/>
      <c r="L683" s="5" t="n"/>
    </row>
    <row r="684">
      <c r="A684" s="5" t="n"/>
      <c r="B684" s="6" t="n"/>
      <c r="C684" s="5" t="n"/>
      <c r="D684" s="5" t="n"/>
      <c r="E684" s="5" t="n"/>
      <c r="F684" s="5" t="n"/>
      <c r="G684" s="5" t="n"/>
      <c r="H684" s="6" t="n"/>
      <c r="I684" s="5" t="n"/>
      <c r="J684" s="5" t="n"/>
      <c r="K684" s="5" t="n"/>
      <c r="L684" s="5" t="n"/>
    </row>
    <row r="685">
      <c r="A685" s="5" t="n"/>
      <c r="B685" s="6" t="n"/>
      <c r="C685" s="5" t="n"/>
      <c r="D685" s="5" t="n"/>
      <c r="E685" s="5" t="n"/>
      <c r="F685" s="5" t="n"/>
      <c r="G685" s="5" t="n"/>
      <c r="H685" s="6" t="n"/>
      <c r="I685" s="5" t="n"/>
      <c r="J685" s="5" t="n"/>
      <c r="K685" s="5" t="n"/>
      <c r="L685" s="5" t="n"/>
    </row>
    <row r="686">
      <c r="A686" s="5" t="n"/>
      <c r="B686" s="6" t="n"/>
      <c r="C686" s="5" t="n"/>
      <c r="D686" s="5" t="n"/>
      <c r="E686" s="5" t="n"/>
      <c r="F686" s="5" t="n"/>
      <c r="G686" s="5" t="n"/>
      <c r="H686" s="6" t="n"/>
      <c r="I686" s="5" t="n"/>
      <c r="J686" s="5" t="n"/>
      <c r="K686" s="5" t="n"/>
      <c r="L686" s="5" t="n"/>
    </row>
    <row r="687">
      <c r="A687" s="5" t="n"/>
      <c r="B687" s="6" t="n"/>
      <c r="C687" s="5" t="n"/>
      <c r="D687" s="5" t="n"/>
      <c r="E687" s="5" t="n"/>
      <c r="F687" s="5" t="n"/>
      <c r="G687" s="5" t="n"/>
      <c r="H687" s="6" t="n"/>
      <c r="I687" s="5" t="n"/>
      <c r="J687" s="5" t="n"/>
      <c r="K687" s="5" t="n"/>
      <c r="L687" s="5" t="n"/>
    </row>
    <row r="688">
      <c r="A688" s="5" t="n"/>
      <c r="B688" s="6" t="n"/>
      <c r="C688" s="5" t="n"/>
      <c r="D688" s="5" t="n"/>
      <c r="E688" s="5" t="n"/>
      <c r="F688" s="5" t="n"/>
      <c r="G688" s="5" t="n"/>
      <c r="H688" s="6" t="n"/>
      <c r="I688" s="5" t="n"/>
      <c r="J688" s="5" t="n"/>
      <c r="K688" s="5" t="n"/>
      <c r="L688" s="5" t="n"/>
    </row>
    <row r="689">
      <c r="A689" s="5" t="n"/>
      <c r="B689" s="6" t="n"/>
      <c r="C689" s="5" t="n"/>
      <c r="D689" s="5" t="n"/>
      <c r="E689" s="5" t="n"/>
      <c r="F689" s="5" t="n"/>
      <c r="G689" s="5" t="n"/>
      <c r="H689" s="6" t="n"/>
      <c r="I689" s="5" t="n"/>
      <c r="J689" s="5" t="n"/>
      <c r="K689" s="5" t="n"/>
      <c r="L689" s="5" t="n"/>
    </row>
    <row r="690">
      <c r="A690" s="5" t="n"/>
      <c r="B690" s="6" t="n"/>
      <c r="C690" s="5" t="n"/>
      <c r="D690" s="5" t="n"/>
      <c r="E690" s="5" t="n"/>
      <c r="F690" s="5" t="n"/>
      <c r="G690" s="5" t="n"/>
      <c r="H690" s="6" t="n"/>
      <c r="I690" s="5" t="n"/>
      <c r="J690" s="5" t="n"/>
      <c r="K690" s="5" t="n"/>
      <c r="L690" s="5" t="n"/>
    </row>
    <row r="691">
      <c r="A691" s="5" t="n"/>
      <c r="B691" s="6" t="n"/>
      <c r="C691" s="5" t="n"/>
      <c r="D691" s="5" t="n"/>
      <c r="E691" s="5" t="n"/>
      <c r="F691" s="5" t="n"/>
      <c r="G691" s="5" t="n"/>
      <c r="H691" s="6" t="n"/>
      <c r="I691" s="5" t="n"/>
      <c r="J691" s="5" t="n"/>
      <c r="K691" s="5" t="n"/>
      <c r="L691" s="5" t="n"/>
    </row>
    <row r="692">
      <c r="A692" s="5" t="n"/>
      <c r="B692" s="6" t="n"/>
      <c r="C692" s="5" t="n"/>
      <c r="D692" s="5" t="n"/>
      <c r="E692" s="5" t="n"/>
      <c r="F692" s="5" t="n"/>
      <c r="G692" s="5" t="n"/>
      <c r="H692" s="6" t="n"/>
      <c r="I692" s="5" t="n"/>
      <c r="J692" s="5" t="n"/>
      <c r="K692" s="5" t="n"/>
      <c r="L692" s="5" t="n"/>
    </row>
    <row r="693">
      <c r="A693" s="5" t="n"/>
      <c r="B693" s="6" t="n"/>
      <c r="C693" s="5" t="n"/>
      <c r="D693" s="5" t="n"/>
      <c r="E693" s="5" t="n"/>
      <c r="F693" s="5" t="n"/>
      <c r="G693" s="5" t="n"/>
      <c r="H693" s="6" t="n"/>
      <c r="I693" s="5" t="n"/>
      <c r="J693" s="5" t="n"/>
      <c r="K693" s="5" t="n"/>
      <c r="L693" s="5" t="n"/>
    </row>
    <row r="694">
      <c r="A694" s="5" t="n"/>
      <c r="B694" s="6" t="n"/>
      <c r="C694" s="5" t="n"/>
      <c r="D694" s="5" t="n"/>
      <c r="E694" s="5" t="n"/>
      <c r="F694" s="5" t="n"/>
      <c r="G694" s="5" t="n"/>
      <c r="H694" s="6" t="n"/>
      <c r="I694" s="5" t="n"/>
      <c r="J694" s="5" t="n"/>
      <c r="K694" s="5" t="n"/>
      <c r="L694" s="5" t="n"/>
    </row>
    <row r="695">
      <c r="A695" s="5" t="n"/>
      <c r="B695" s="6" t="n"/>
      <c r="C695" s="5" t="n"/>
      <c r="D695" s="5" t="n"/>
      <c r="E695" s="5" t="n"/>
      <c r="F695" s="5" t="n"/>
      <c r="G695" s="5" t="n"/>
      <c r="H695" s="6" t="n"/>
      <c r="I695" s="5" t="n"/>
      <c r="J695" s="5" t="n"/>
      <c r="K695" s="5" t="n"/>
      <c r="L695" s="5" t="n"/>
    </row>
    <row r="696">
      <c r="A696" s="5" t="n"/>
      <c r="B696" s="6" t="n"/>
      <c r="C696" s="5" t="n"/>
      <c r="D696" s="5" t="n"/>
      <c r="E696" s="5" t="n"/>
      <c r="F696" s="5" t="n"/>
      <c r="G696" s="5" t="n"/>
      <c r="H696" s="6" t="n"/>
      <c r="I696" s="5" t="n"/>
      <c r="J696" s="5" t="n"/>
      <c r="K696" s="5" t="n"/>
      <c r="L696" s="5" t="n"/>
    </row>
    <row r="697">
      <c r="A697" s="5" t="n"/>
      <c r="B697" s="6" t="n"/>
      <c r="C697" s="5" t="n"/>
      <c r="D697" s="5" t="n"/>
      <c r="E697" s="5" t="n"/>
      <c r="F697" s="5" t="n"/>
      <c r="G697" s="5" t="n"/>
      <c r="H697" s="6" t="n"/>
      <c r="I697" s="5" t="n"/>
      <c r="J697" s="5" t="n"/>
      <c r="K697" s="5" t="n"/>
      <c r="L697" s="5" t="n"/>
    </row>
    <row r="698">
      <c r="A698" s="5" t="n"/>
      <c r="B698" s="6" t="n"/>
      <c r="C698" s="5" t="n"/>
      <c r="D698" s="5" t="n"/>
      <c r="E698" s="5" t="n"/>
      <c r="F698" s="5" t="n"/>
      <c r="G698" s="5" t="n"/>
      <c r="H698" s="6" t="n"/>
      <c r="I698" s="5" t="n"/>
      <c r="J698" s="5" t="n"/>
      <c r="K698" s="5" t="n"/>
      <c r="L698" s="5" t="n"/>
    </row>
    <row r="699">
      <c r="A699" s="5" t="n"/>
      <c r="B699" s="6" t="n"/>
      <c r="C699" s="5" t="n"/>
      <c r="D699" s="5" t="n"/>
      <c r="E699" s="5" t="n"/>
      <c r="F699" s="5" t="n"/>
      <c r="G699" s="5" t="n"/>
      <c r="H699" s="6" t="n"/>
      <c r="I699" s="5" t="n"/>
      <c r="J699" s="5" t="n"/>
      <c r="K699" s="5" t="n"/>
      <c r="L699" s="5" t="n"/>
    </row>
    <row r="700">
      <c r="A700" s="5" t="n"/>
      <c r="B700" s="6" t="n"/>
      <c r="C700" s="5" t="n"/>
      <c r="D700" s="5" t="n"/>
      <c r="E700" s="5" t="n"/>
      <c r="F700" s="5" t="n"/>
      <c r="G700" s="5" t="n"/>
      <c r="H700" s="6" t="n"/>
      <c r="I700" s="5" t="n"/>
      <c r="J700" s="5" t="n"/>
      <c r="K700" s="5" t="n"/>
      <c r="L700" s="5" t="n"/>
    </row>
    <row r="701">
      <c r="A701" s="5" t="n"/>
      <c r="B701" s="6" t="n"/>
      <c r="C701" s="5" t="n"/>
      <c r="D701" s="5" t="n"/>
      <c r="E701" s="5" t="n"/>
      <c r="F701" s="5" t="n"/>
      <c r="G701" s="5" t="n"/>
      <c r="H701" s="6" t="n"/>
      <c r="I701" s="5" t="n"/>
      <c r="J701" s="5" t="n"/>
      <c r="K701" s="5" t="n"/>
      <c r="L701" s="5" t="n"/>
    </row>
    <row r="702">
      <c r="A702" s="5" t="n"/>
      <c r="B702" s="6" t="n"/>
      <c r="C702" s="5" t="n"/>
      <c r="D702" s="5" t="n"/>
      <c r="E702" s="5" t="n"/>
      <c r="F702" s="5" t="n"/>
      <c r="G702" s="5" t="n"/>
      <c r="H702" s="6" t="n"/>
      <c r="I702" s="5" t="n"/>
      <c r="J702" s="5" t="n"/>
      <c r="K702" s="5" t="n"/>
      <c r="L702" s="5" t="n"/>
    </row>
    <row r="703">
      <c r="A703" s="5" t="n"/>
      <c r="B703" s="6" t="n"/>
      <c r="C703" s="5" t="n"/>
      <c r="D703" s="5" t="n"/>
      <c r="E703" s="5" t="n"/>
      <c r="F703" s="5" t="n"/>
      <c r="G703" s="5" t="n"/>
      <c r="H703" s="6" t="n"/>
      <c r="I703" s="5" t="n"/>
      <c r="J703" s="5" t="n"/>
      <c r="K703" s="5" t="n"/>
      <c r="L703" s="5" t="n"/>
    </row>
    <row r="704">
      <c r="A704" s="5" t="n"/>
      <c r="B704" s="6" t="n"/>
      <c r="C704" s="5" t="n"/>
      <c r="D704" s="5" t="n"/>
      <c r="E704" s="5" t="n"/>
      <c r="F704" s="5" t="n"/>
      <c r="G704" s="5" t="n"/>
      <c r="H704" s="6" t="n"/>
      <c r="I704" s="5" t="n"/>
      <c r="J704" s="5" t="n"/>
      <c r="K704" s="5" t="n"/>
      <c r="L704" s="5" t="n"/>
    </row>
    <row r="705">
      <c r="A705" s="5" t="n"/>
      <c r="B705" s="6" t="n"/>
      <c r="C705" s="5" t="n"/>
      <c r="D705" s="5" t="n"/>
      <c r="E705" s="5" t="n"/>
      <c r="F705" s="5" t="n"/>
      <c r="G705" s="5" t="n"/>
      <c r="H705" s="6" t="n"/>
      <c r="I705" s="5" t="n"/>
      <c r="J705" s="5" t="n"/>
      <c r="K705" s="5" t="n"/>
      <c r="L705" s="5" t="n"/>
    </row>
    <row r="706">
      <c r="A706" s="5" t="n"/>
      <c r="B706" s="6" t="n"/>
      <c r="C706" s="5" t="n"/>
      <c r="D706" s="5" t="n"/>
      <c r="E706" s="5" t="n"/>
      <c r="F706" s="5" t="n"/>
      <c r="G706" s="5" t="n"/>
      <c r="H706" s="6" t="n"/>
      <c r="I706" s="5" t="n"/>
      <c r="J706" s="5" t="n"/>
      <c r="K706" s="5" t="n"/>
      <c r="L706" s="5" t="n"/>
    </row>
    <row r="707">
      <c r="A707" s="5" t="n"/>
      <c r="B707" s="6" t="n"/>
      <c r="C707" s="5" t="n"/>
      <c r="D707" s="5" t="n"/>
      <c r="E707" s="5" t="n"/>
      <c r="F707" s="5" t="n"/>
      <c r="G707" s="5" t="n"/>
      <c r="H707" s="6" t="n"/>
      <c r="I707" s="5" t="n"/>
      <c r="J707" s="5" t="n"/>
      <c r="K707" s="5" t="n"/>
      <c r="L707" s="5" t="n"/>
    </row>
    <row r="708">
      <c r="A708" s="5" t="n"/>
      <c r="B708" s="6" t="n"/>
      <c r="C708" s="5" t="n"/>
      <c r="D708" s="5" t="n"/>
      <c r="E708" s="5" t="n"/>
      <c r="F708" s="5" t="n"/>
      <c r="G708" s="5" t="n"/>
      <c r="H708" s="6" t="n"/>
      <c r="I708" s="5" t="n"/>
      <c r="J708" s="5" t="n"/>
      <c r="K708" s="5" t="n"/>
      <c r="L708" s="5" t="n"/>
    </row>
    <row r="709">
      <c r="A709" s="5" t="n"/>
      <c r="B709" s="6" t="n"/>
      <c r="C709" s="5" t="n"/>
      <c r="D709" s="5" t="n"/>
      <c r="E709" s="5" t="n"/>
      <c r="F709" s="5" t="n"/>
      <c r="G709" s="5" t="n"/>
      <c r="H709" s="6" t="n"/>
      <c r="I709" s="5" t="n"/>
      <c r="J709" s="5" t="n"/>
      <c r="K709" s="5" t="n"/>
      <c r="L709" s="5" t="n"/>
    </row>
    <row r="710">
      <c r="A710" s="5" t="n"/>
      <c r="B710" s="6" t="n"/>
      <c r="C710" s="5" t="n"/>
      <c r="D710" s="5" t="n"/>
      <c r="E710" s="5" t="n"/>
      <c r="F710" s="5" t="n"/>
      <c r="G710" s="5" t="n"/>
      <c r="H710" s="6" t="n"/>
      <c r="I710" s="5" t="n"/>
      <c r="J710" s="5" t="n"/>
      <c r="K710" s="5" t="n"/>
      <c r="L710" s="5" t="n"/>
    </row>
    <row r="711">
      <c r="A711" s="5" t="n"/>
      <c r="B711" s="6" t="n"/>
      <c r="C711" s="5" t="n"/>
      <c r="D711" s="5" t="n"/>
      <c r="E711" s="5" t="n"/>
      <c r="F711" s="5" t="n"/>
      <c r="G711" s="5" t="n"/>
      <c r="H711" s="6" t="n"/>
      <c r="I711" s="5" t="n"/>
      <c r="J711" s="5" t="n"/>
      <c r="K711" s="5" t="n"/>
      <c r="L711" s="5" t="n"/>
    </row>
    <row r="712">
      <c r="A712" s="5" t="n"/>
      <c r="B712" s="6" t="n"/>
      <c r="C712" s="5" t="n"/>
      <c r="D712" s="5" t="n"/>
      <c r="E712" s="5" t="n"/>
      <c r="F712" s="5" t="n"/>
      <c r="G712" s="5" t="n"/>
      <c r="H712" s="6" t="n"/>
      <c r="I712" s="5" t="n"/>
      <c r="J712" s="5" t="n"/>
      <c r="K712" s="5" t="n"/>
      <c r="L712" s="5" t="n"/>
    </row>
    <row r="713">
      <c r="A713" s="5" t="n"/>
      <c r="B713" s="6" t="n"/>
      <c r="C713" s="5" t="n"/>
      <c r="D713" s="5" t="n"/>
      <c r="E713" s="5" t="n"/>
      <c r="F713" s="5" t="n"/>
      <c r="G713" s="5" t="n"/>
      <c r="H713" s="6" t="n"/>
      <c r="I713" s="5" t="n"/>
      <c r="J713" s="5" t="n"/>
      <c r="K713" s="5" t="n"/>
      <c r="L713" s="5" t="n"/>
    </row>
    <row r="714">
      <c r="A714" s="5" t="n"/>
      <c r="B714" s="6" t="n"/>
      <c r="C714" s="5" t="n"/>
      <c r="D714" s="5" t="n"/>
      <c r="E714" s="5" t="n"/>
      <c r="F714" s="5" t="n"/>
      <c r="G714" s="5" t="n"/>
      <c r="H714" s="6" t="n"/>
      <c r="I714" s="5" t="n"/>
      <c r="J714" s="5" t="n"/>
      <c r="K714" s="5" t="n"/>
      <c r="L714" s="5" t="n"/>
    </row>
    <row r="715">
      <c r="A715" s="5" t="n"/>
      <c r="B715" s="6" t="n"/>
      <c r="C715" s="5" t="n"/>
      <c r="D715" s="5" t="n"/>
      <c r="E715" s="5" t="n"/>
      <c r="F715" s="5" t="n"/>
      <c r="G715" s="5" t="n"/>
      <c r="H715" s="6" t="n"/>
      <c r="I715" s="5" t="n"/>
      <c r="J715" s="5" t="n"/>
      <c r="K715" s="5" t="n"/>
      <c r="L715" s="5" t="n"/>
    </row>
    <row r="716">
      <c r="A716" s="5" t="n"/>
      <c r="B716" s="6" t="n"/>
      <c r="C716" s="5" t="n"/>
      <c r="D716" s="5" t="n"/>
      <c r="E716" s="5" t="n"/>
      <c r="F716" s="5" t="n"/>
      <c r="G716" s="5" t="n"/>
      <c r="H716" s="6" t="n"/>
      <c r="I716" s="5" t="n"/>
      <c r="J716" s="5" t="n"/>
      <c r="K716" s="5" t="n"/>
      <c r="L716" s="5" t="n"/>
    </row>
    <row r="717">
      <c r="A717" s="5" t="n"/>
      <c r="B717" s="6" t="n"/>
      <c r="C717" s="5" t="n"/>
      <c r="D717" s="5" t="n"/>
      <c r="E717" s="5" t="n"/>
      <c r="F717" s="5" t="n"/>
      <c r="G717" s="5" t="n"/>
      <c r="H717" s="6" t="n"/>
      <c r="I717" s="5" t="n"/>
      <c r="J717" s="5" t="n"/>
      <c r="K717" s="5" t="n"/>
      <c r="L717" s="5" t="n"/>
    </row>
    <row r="718">
      <c r="A718" s="5" t="n"/>
      <c r="B718" s="6" t="n"/>
      <c r="C718" s="5" t="n"/>
      <c r="D718" s="5" t="n"/>
      <c r="E718" s="5" t="n"/>
      <c r="F718" s="5" t="n"/>
      <c r="G718" s="5" t="n"/>
      <c r="H718" s="6" t="n"/>
      <c r="I718" s="5" t="n"/>
      <c r="J718" s="5" t="n"/>
      <c r="K718" s="5" t="n"/>
      <c r="L718" s="5" t="n"/>
    </row>
    <row r="719">
      <c r="A719" s="5" t="n"/>
      <c r="B719" s="6" t="n"/>
      <c r="C719" s="5" t="n"/>
      <c r="D719" s="5" t="n"/>
      <c r="E719" s="5" t="n"/>
      <c r="F719" s="5" t="n"/>
      <c r="G719" s="5" t="n"/>
      <c r="H719" s="6" t="n"/>
      <c r="I719" s="5" t="n"/>
      <c r="J719" s="5" t="n"/>
      <c r="K719" s="5" t="n"/>
      <c r="L719" s="5" t="n"/>
    </row>
    <row r="720">
      <c r="A720" s="5" t="n"/>
      <c r="B720" s="6" t="n"/>
      <c r="C720" s="5" t="n"/>
      <c r="D720" s="5" t="n"/>
      <c r="E720" s="5" t="n"/>
      <c r="F720" s="5" t="n"/>
      <c r="G720" s="5" t="n"/>
      <c r="H720" s="6" t="n"/>
      <c r="I720" s="5" t="n"/>
      <c r="J720" s="5" t="n"/>
      <c r="K720" s="5" t="n"/>
      <c r="L720" s="5" t="n"/>
    </row>
    <row r="721">
      <c r="A721" s="5" t="n"/>
      <c r="B721" s="6" t="n"/>
      <c r="C721" s="5" t="n"/>
      <c r="D721" s="5" t="n"/>
      <c r="E721" s="5" t="n"/>
      <c r="F721" s="5" t="n"/>
      <c r="G721" s="5" t="n"/>
      <c r="H721" s="6" t="n"/>
      <c r="I721" s="5" t="n"/>
      <c r="J721" s="5" t="n"/>
      <c r="K721" s="5" t="n"/>
      <c r="L721" s="5" t="n"/>
    </row>
    <row r="722">
      <c r="A722" s="5" t="n"/>
      <c r="B722" s="6" t="n"/>
      <c r="C722" s="5" t="n"/>
      <c r="D722" s="5" t="n"/>
      <c r="E722" s="5" t="n"/>
      <c r="F722" s="5" t="n"/>
      <c r="G722" s="5" t="n"/>
      <c r="H722" s="6" t="n"/>
      <c r="I722" s="5" t="n"/>
      <c r="J722" s="5" t="n"/>
      <c r="K722" s="5" t="n"/>
      <c r="L722" s="5" t="n"/>
    </row>
    <row r="723">
      <c r="A723" s="5" t="n"/>
      <c r="B723" s="6" t="n"/>
      <c r="C723" s="5" t="n"/>
      <c r="D723" s="5" t="n"/>
      <c r="E723" s="5" t="n"/>
      <c r="F723" s="5" t="n"/>
      <c r="G723" s="5" t="n"/>
      <c r="H723" s="6" t="n"/>
      <c r="I723" s="5" t="n"/>
      <c r="J723" s="5" t="n"/>
      <c r="K723" s="5" t="n"/>
      <c r="L723" s="5" t="n"/>
    </row>
    <row r="724">
      <c r="A724" s="5" t="n"/>
      <c r="B724" s="6" t="n"/>
      <c r="C724" s="5" t="n"/>
      <c r="D724" s="5" t="n"/>
      <c r="E724" s="5" t="n"/>
      <c r="F724" s="5" t="n"/>
      <c r="G724" s="5" t="n"/>
      <c r="H724" s="6" t="n"/>
      <c r="I724" s="5" t="n"/>
      <c r="J724" s="5" t="n"/>
      <c r="K724" s="5" t="n"/>
      <c r="L724" s="5" t="n"/>
    </row>
    <row r="725">
      <c r="A725" s="5" t="n"/>
      <c r="B725" s="6" t="n"/>
      <c r="C725" s="5" t="n"/>
      <c r="D725" s="5" t="n"/>
      <c r="E725" s="5" t="n"/>
      <c r="F725" s="5" t="n"/>
      <c r="G725" s="5" t="n"/>
      <c r="H725" s="6" t="n"/>
      <c r="I725" s="5" t="n"/>
      <c r="J725" s="5" t="n"/>
      <c r="K725" s="5" t="n"/>
      <c r="L725" s="5" t="n"/>
    </row>
    <row r="726">
      <c r="A726" s="5" t="n"/>
      <c r="B726" s="6" t="n"/>
      <c r="C726" s="5" t="n"/>
      <c r="D726" s="5" t="n"/>
      <c r="E726" s="5" t="n"/>
      <c r="F726" s="5" t="n"/>
      <c r="G726" s="5" t="n"/>
      <c r="H726" s="6" t="n"/>
      <c r="I726" s="5" t="n"/>
      <c r="J726" s="5" t="n"/>
      <c r="K726" s="5" t="n"/>
      <c r="L726" s="5" t="n"/>
    </row>
    <row r="727">
      <c r="A727" s="5" t="n"/>
      <c r="B727" s="6" t="n"/>
      <c r="C727" s="5" t="n"/>
      <c r="D727" s="5" t="n"/>
      <c r="E727" s="5" t="n"/>
      <c r="F727" s="5" t="n"/>
      <c r="G727" s="5" t="n"/>
      <c r="H727" s="6" t="n"/>
      <c r="I727" s="5" t="n"/>
      <c r="J727" s="5" t="n"/>
      <c r="K727" s="5" t="n"/>
      <c r="L727" s="5" t="n"/>
    </row>
    <row r="728">
      <c r="A728" s="5" t="n"/>
      <c r="B728" s="6" t="n"/>
      <c r="C728" s="5" t="n"/>
      <c r="D728" s="5" t="n"/>
      <c r="E728" s="5" t="n"/>
      <c r="F728" s="5" t="n"/>
      <c r="G728" s="5" t="n"/>
      <c r="H728" s="6" t="n"/>
      <c r="I728" s="5" t="n"/>
      <c r="J728" s="5" t="n"/>
      <c r="K728" s="5" t="n"/>
      <c r="L728" s="5" t="n"/>
    </row>
    <row r="729">
      <c r="A729" s="5" t="n"/>
      <c r="B729" s="6" t="n"/>
      <c r="C729" s="5" t="n"/>
      <c r="D729" s="5" t="n"/>
      <c r="E729" s="5" t="n"/>
      <c r="F729" s="5" t="n"/>
      <c r="G729" s="5" t="n"/>
      <c r="H729" s="6" t="n"/>
      <c r="I729" s="5" t="n"/>
      <c r="J729" s="5" t="n"/>
      <c r="K729" s="5" t="n"/>
      <c r="L729" s="5" t="n"/>
    </row>
    <row r="730">
      <c r="A730" s="5" t="n"/>
      <c r="B730" s="6" t="n"/>
      <c r="C730" s="5" t="n"/>
      <c r="D730" s="5" t="n"/>
      <c r="E730" s="5" t="n"/>
      <c r="F730" s="5" t="n"/>
      <c r="G730" s="5" t="n"/>
      <c r="H730" s="6" t="n"/>
      <c r="I730" s="5" t="n"/>
      <c r="J730" s="5" t="n"/>
      <c r="K730" s="5" t="n"/>
      <c r="L730" s="5" t="n"/>
    </row>
    <row r="731">
      <c r="A731" s="5" t="n"/>
      <c r="B731" s="6" t="n"/>
      <c r="C731" s="5" t="n"/>
      <c r="D731" s="5" t="n"/>
      <c r="E731" s="5" t="n"/>
      <c r="F731" s="5" t="n"/>
      <c r="G731" s="5" t="n"/>
      <c r="H731" s="6" t="n"/>
      <c r="I731" s="5" t="n"/>
      <c r="J731" s="5" t="n"/>
      <c r="K731" s="5" t="n"/>
      <c r="L731" s="5" t="n"/>
    </row>
    <row r="732">
      <c r="A732" s="5" t="n"/>
      <c r="B732" s="6" t="n"/>
      <c r="C732" s="5" t="n"/>
      <c r="D732" s="5" t="n"/>
      <c r="E732" s="5" t="n"/>
      <c r="F732" s="5" t="n"/>
      <c r="G732" s="5" t="n"/>
      <c r="H732" s="6" t="n"/>
      <c r="I732" s="5" t="n"/>
      <c r="J732" s="5" t="n"/>
      <c r="K732" s="5" t="n"/>
      <c r="L732" s="5" t="n"/>
    </row>
    <row r="733">
      <c r="A733" s="5" t="n"/>
      <c r="B733" s="6" t="n"/>
      <c r="C733" s="5" t="n"/>
      <c r="D733" s="5" t="n"/>
      <c r="E733" s="5" t="n"/>
      <c r="F733" s="5" t="n"/>
      <c r="G733" s="5" t="n"/>
      <c r="H733" s="6" t="n"/>
      <c r="I733" s="5" t="n"/>
      <c r="J733" s="5" t="n"/>
      <c r="K733" s="5" t="n"/>
      <c r="L733" s="5" t="n"/>
    </row>
    <row r="734">
      <c r="A734" s="5" t="n"/>
      <c r="B734" s="6" t="n"/>
      <c r="C734" s="5" t="n"/>
      <c r="D734" s="5" t="n"/>
      <c r="E734" s="5" t="n"/>
      <c r="F734" s="5" t="n"/>
      <c r="G734" s="5" t="n"/>
      <c r="H734" s="6" t="n"/>
      <c r="I734" s="5" t="n"/>
      <c r="J734" s="5" t="n"/>
      <c r="K734" s="5" t="n"/>
      <c r="L734" s="5" t="n"/>
    </row>
    <row r="735">
      <c r="A735" s="5" t="n"/>
      <c r="B735" s="6" t="n"/>
      <c r="C735" s="5" t="n"/>
      <c r="D735" s="5" t="n"/>
      <c r="E735" s="5" t="n"/>
      <c r="F735" s="5" t="n"/>
      <c r="G735" s="5" t="n"/>
      <c r="H735" s="6" t="n"/>
      <c r="I735" s="5" t="n"/>
      <c r="J735" s="5" t="n"/>
      <c r="K735" s="5" t="n"/>
      <c r="L735" s="5" t="n"/>
    </row>
    <row r="736">
      <c r="A736" s="5" t="n"/>
      <c r="B736" s="6" t="n"/>
      <c r="C736" s="5" t="n"/>
      <c r="D736" s="5" t="n"/>
      <c r="E736" s="5" t="n"/>
      <c r="F736" s="5" t="n"/>
      <c r="G736" s="5" t="n"/>
      <c r="H736" s="6" t="n"/>
      <c r="I736" s="5" t="n"/>
      <c r="J736" s="5" t="n"/>
      <c r="K736" s="5" t="n"/>
      <c r="L736" s="5" t="n"/>
    </row>
    <row r="737">
      <c r="A737" s="5" t="n"/>
      <c r="B737" s="6" t="n"/>
      <c r="C737" s="5" t="n"/>
      <c r="D737" s="5" t="n"/>
      <c r="E737" s="5" t="n"/>
      <c r="F737" s="5" t="n"/>
      <c r="G737" s="5" t="n"/>
      <c r="H737" s="6" t="n"/>
      <c r="I737" s="5" t="n"/>
      <c r="J737" s="5" t="n"/>
      <c r="K737" s="5" t="n"/>
      <c r="L737" s="5" t="n"/>
    </row>
    <row r="738">
      <c r="A738" s="5" t="n"/>
      <c r="B738" s="6" t="n"/>
      <c r="C738" s="5" t="n"/>
      <c r="D738" s="5" t="n"/>
      <c r="E738" s="5" t="n"/>
      <c r="F738" s="5" t="n"/>
      <c r="G738" s="5" t="n"/>
      <c r="H738" s="6" t="n"/>
      <c r="I738" s="5" t="n"/>
      <c r="J738" s="5" t="n"/>
      <c r="K738" s="5" t="n"/>
      <c r="L738" s="5" t="n"/>
    </row>
    <row r="739">
      <c r="A739" s="5" t="n"/>
      <c r="B739" s="6" t="n"/>
      <c r="C739" s="5" t="n"/>
      <c r="D739" s="5" t="n"/>
      <c r="E739" s="5" t="n"/>
      <c r="F739" s="5" t="n"/>
      <c r="G739" s="5" t="n"/>
      <c r="H739" s="6" t="n"/>
      <c r="I739" s="5" t="n"/>
      <c r="J739" s="5" t="n"/>
      <c r="K739" s="5" t="n"/>
      <c r="L739" s="5" t="n"/>
    </row>
    <row r="740">
      <c r="A740" s="5" t="n"/>
      <c r="B740" s="6" t="n"/>
      <c r="C740" s="5" t="n"/>
      <c r="D740" s="5" t="n"/>
      <c r="E740" s="5" t="n"/>
      <c r="F740" s="5" t="n"/>
      <c r="G740" s="5" t="n"/>
      <c r="H740" s="6" t="n"/>
      <c r="I740" s="5" t="n"/>
      <c r="J740" s="5" t="n"/>
      <c r="K740" s="5" t="n"/>
      <c r="L740" s="5" t="n"/>
    </row>
    <row r="741">
      <c r="A741" s="5" t="n"/>
      <c r="B741" s="6" t="n"/>
      <c r="C741" s="5" t="n"/>
      <c r="D741" s="5" t="n"/>
      <c r="E741" s="5" t="n"/>
      <c r="F741" s="5" t="n"/>
      <c r="G741" s="5" t="n"/>
      <c r="H741" s="6" t="n"/>
      <c r="I741" s="5" t="n"/>
      <c r="J741" s="5" t="n"/>
      <c r="K741" s="5" t="n"/>
      <c r="L741" s="5" t="n"/>
    </row>
    <row r="742">
      <c r="A742" s="5" t="n"/>
      <c r="B742" s="6" t="n"/>
      <c r="C742" s="5" t="n"/>
      <c r="D742" s="5" t="n"/>
      <c r="E742" s="5" t="n"/>
      <c r="F742" s="5" t="n"/>
      <c r="G742" s="5" t="n"/>
      <c r="H742" s="6" t="n"/>
      <c r="I742" s="5" t="n"/>
      <c r="J742" s="5" t="n"/>
      <c r="K742" s="5" t="n"/>
      <c r="L742" s="5" t="n"/>
    </row>
    <row r="743">
      <c r="A743" s="5" t="n"/>
      <c r="B743" s="6" t="n"/>
      <c r="C743" s="5" t="n"/>
      <c r="D743" s="5" t="n"/>
      <c r="E743" s="5" t="n"/>
      <c r="F743" s="5" t="n"/>
      <c r="G743" s="5" t="n"/>
      <c r="H743" s="6" t="n"/>
      <c r="I743" s="5" t="n"/>
      <c r="J743" s="5" t="n"/>
      <c r="K743" s="5" t="n"/>
      <c r="L743" s="5" t="n"/>
    </row>
    <row r="744">
      <c r="A744" s="5" t="n"/>
      <c r="B744" s="6" t="n"/>
      <c r="C744" s="5" t="n"/>
      <c r="D744" s="5" t="n"/>
      <c r="E744" s="5" t="n"/>
      <c r="F744" s="5" t="n"/>
      <c r="G744" s="5" t="n"/>
      <c r="H744" s="6" t="n"/>
      <c r="I744" s="5" t="n"/>
      <c r="J744" s="5" t="n"/>
      <c r="K744" s="5" t="n"/>
      <c r="L744" s="5" t="n"/>
    </row>
    <row r="745">
      <c r="A745" s="5" t="n"/>
      <c r="B745" s="6" t="n"/>
      <c r="C745" s="5" t="n"/>
      <c r="D745" s="5" t="n"/>
      <c r="E745" s="5" t="n"/>
      <c r="F745" s="5" t="n"/>
      <c r="G745" s="5" t="n"/>
      <c r="H745" s="6" t="n"/>
      <c r="I745" s="5" t="n"/>
      <c r="J745" s="5" t="n"/>
      <c r="K745" s="5" t="n"/>
      <c r="L745" s="5" t="n"/>
    </row>
    <row r="746">
      <c r="A746" s="5" t="n"/>
      <c r="B746" s="6" t="n"/>
      <c r="C746" s="5" t="n"/>
      <c r="D746" s="5" t="n"/>
      <c r="E746" s="5" t="n"/>
      <c r="F746" s="5" t="n"/>
      <c r="G746" s="5" t="n"/>
      <c r="H746" s="6" t="n"/>
      <c r="I746" s="5" t="n"/>
      <c r="J746" s="5" t="n"/>
      <c r="K746" s="5" t="n"/>
      <c r="L746" s="5" t="n"/>
    </row>
    <row r="747">
      <c r="A747" s="5" t="n"/>
      <c r="B747" s="6" t="n"/>
      <c r="C747" s="5" t="n"/>
      <c r="D747" s="5" t="n"/>
      <c r="E747" s="5" t="n"/>
      <c r="F747" s="5" t="n"/>
      <c r="G747" s="5" t="n"/>
      <c r="H747" s="6" t="n"/>
      <c r="I747" s="5" t="n"/>
      <c r="J747" s="5" t="n"/>
      <c r="K747" s="5" t="n"/>
      <c r="L747" s="5" t="n"/>
    </row>
    <row r="748">
      <c r="A748" s="5" t="n"/>
      <c r="B748" s="6" t="n"/>
      <c r="C748" s="5" t="n"/>
      <c r="D748" s="5" t="n"/>
      <c r="E748" s="5" t="n"/>
      <c r="F748" s="5" t="n"/>
      <c r="G748" s="5" t="n"/>
      <c r="H748" s="6" t="n"/>
      <c r="I748" s="5" t="n"/>
      <c r="J748" s="5" t="n"/>
      <c r="K748" s="5" t="n"/>
      <c r="L748" s="5" t="n"/>
    </row>
    <row r="749">
      <c r="A749" s="5" t="n"/>
      <c r="B749" s="6" t="n"/>
      <c r="C749" s="5" t="n"/>
      <c r="D749" s="5" t="n"/>
      <c r="E749" s="5" t="n"/>
      <c r="F749" s="5" t="n"/>
      <c r="G749" s="5" t="n"/>
      <c r="H749" s="6" t="n"/>
      <c r="I749" s="5" t="n"/>
      <c r="J749" s="5" t="n"/>
      <c r="K749" s="5" t="n"/>
      <c r="L749" s="5" t="n"/>
    </row>
    <row r="750">
      <c r="A750" s="5" t="n"/>
      <c r="B750" s="6" t="n"/>
      <c r="C750" s="5" t="n"/>
      <c r="D750" s="5" t="n"/>
      <c r="E750" s="5" t="n"/>
      <c r="F750" s="5" t="n"/>
      <c r="G750" s="5" t="n"/>
      <c r="H750" s="6" t="n"/>
      <c r="I750" s="5" t="n"/>
      <c r="J750" s="5" t="n"/>
      <c r="K750" s="5" t="n"/>
      <c r="L750" s="5" t="n"/>
    </row>
    <row r="751">
      <c r="A751" s="5" t="n"/>
      <c r="B751" s="6" t="n"/>
      <c r="C751" s="5" t="n"/>
      <c r="D751" s="5" t="n"/>
      <c r="E751" s="5" t="n"/>
      <c r="F751" s="5" t="n"/>
      <c r="G751" s="5" t="n"/>
      <c r="H751" s="6" t="n"/>
      <c r="I751" s="5" t="n"/>
      <c r="J751" s="5" t="n"/>
      <c r="K751" s="5" t="n"/>
      <c r="L751" s="5" t="n"/>
    </row>
    <row r="752">
      <c r="A752" s="5" t="n"/>
      <c r="B752" s="6" t="n"/>
      <c r="C752" s="5" t="n"/>
      <c r="D752" s="5" t="n"/>
      <c r="E752" s="5" t="n"/>
      <c r="F752" s="5" t="n"/>
      <c r="G752" s="5" t="n"/>
      <c r="H752" s="6" t="n"/>
      <c r="I752" s="5" t="n"/>
      <c r="J752" s="5" t="n"/>
      <c r="K752" s="5" t="n"/>
      <c r="L752" s="5" t="n"/>
    </row>
    <row r="753">
      <c r="A753" s="5" t="n"/>
      <c r="B753" s="6" t="n"/>
      <c r="C753" s="5" t="n"/>
      <c r="D753" s="5" t="n"/>
      <c r="E753" s="5" t="n"/>
      <c r="F753" s="5" t="n"/>
      <c r="G753" s="5" t="n"/>
      <c r="H753" s="6" t="n"/>
      <c r="I753" s="5" t="n"/>
      <c r="J753" s="5" t="n"/>
      <c r="K753" s="5" t="n"/>
      <c r="L753" s="5" t="n"/>
    </row>
    <row r="754">
      <c r="A754" s="5" t="n"/>
      <c r="B754" s="6" t="n"/>
      <c r="C754" s="5" t="n"/>
      <c r="D754" s="5" t="n"/>
      <c r="E754" s="5" t="n"/>
      <c r="F754" s="5" t="n"/>
      <c r="G754" s="5" t="n"/>
      <c r="H754" s="6" t="n"/>
      <c r="I754" s="5" t="n"/>
      <c r="J754" s="5" t="n"/>
      <c r="K754" s="5" t="n"/>
      <c r="L754" s="5" t="n"/>
    </row>
    <row r="755">
      <c r="A755" s="5" t="n"/>
      <c r="B755" s="6" t="n"/>
      <c r="C755" s="5" t="n"/>
      <c r="D755" s="5" t="n"/>
      <c r="E755" s="5" t="n"/>
      <c r="F755" s="5" t="n"/>
      <c r="G755" s="5" t="n"/>
      <c r="H755" s="6" t="n"/>
      <c r="I755" s="5" t="n"/>
      <c r="J755" s="5" t="n"/>
      <c r="K755" s="5" t="n"/>
      <c r="L755" s="5" t="n"/>
    </row>
    <row r="756">
      <c r="A756" s="5" t="n"/>
      <c r="B756" s="6" t="n"/>
      <c r="C756" s="5" t="n"/>
      <c r="D756" s="5" t="n"/>
      <c r="E756" s="5" t="n"/>
      <c r="F756" s="5" t="n"/>
      <c r="G756" s="5" t="n"/>
      <c r="H756" s="6" t="n"/>
      <c r="I756" s="5" t="n"/>
      <c r="J756" s="5" t="n"/>
      <c r="K756" s="5" t="n"/>
      <c r="L756" s="5" t="n"/>
    </row>
    <row r="757">
      <c r="A757" s="5" t="n"/>
      <c r="B757" s="6" t="n"/>
      <c r="C757" s="5" t="n"/>
      <c r="D757" s="5" t="n"/>
      <c r="E757" s="5" t="n"/>
      <c r="F757" s="5" t="n"/>
      <c r="G757" s="5" t="n"/>
      <c r="H757" s="6" t="n"/>
      <c r="I757" s="5" t="n"/>
      <c r="J757" s="5" t="n"/>
      <c r="K757" s="5" t="n"/>
      <c r="L757" s="5" t="n"/>
    </row>
    <row r="758">
      <c r="A758" s="5" t="n"/>
      <c r="B758" s="6" t="n"/>
      <c r="C758" s="5" t="n"/>
      <c r="D758" s="5" t="n"/>
      <c r="E758" s="5" t="n"/>
      <c r="F758" s="5" t="n"/>
      <c r="G758" s="5" t="n"/>
      <c r="H758" s="6" t="n"/>
      <c r="I758" s="5" t="n"/>
      <c r="J758" s="5" t="n"/>
      <c r="K758" s="5" t="n"/>
      <c r="L758" s="5" t="n"/>
    </row>
    <row r="759">
      <c r="A759" s="5" t="n"/>
      <c r="B759" s="6" t="n"/>
      <c r="C759" s="5" t="n"/>
      <c r="D759" s="5" t="n"/>
      <c r="E759" s="5" t="n"/>
      <c r="F759" s="5" t="n"/>
      <c r="G759" s="5" t="n"/>
      <c r="H759" s="6" t="n"/>
      <c r="I759" s="5" t="n"/>
      <c r="J759" s="5" t="n"/>
      <c r="K759" s="5" t="n"/>
      <c r="L759" s="5" t="n"/>
    </row>
    <row r="760">
      <c r="A760" s="5" t="n"/>
      <c r="B760" s="6" t="n"/>
      <c r="C760" s="5" t="n"/>
      <c r="D760" s="5" t="n"/>
      <c r="E760" s="5" t="n"/>
      <c r="F760" s="5" t="n"/>
      <c r="G760" s="5" t="n"/>
      <c r="H760" s="6" t="n"/>
      <c r="I760" s="5" t="n"/>
      <c r="J760" s="5" t="n"/>
      <c r="K760" s="5" t="n"/>
      <c r="L760" s="5" t="n"/>
    </row>
    <row r="761">
      <c r="A761" s="5" t="n"/>
      <c r="B761" s="6" t="n"/>
      <c r="C761" s="5" t="n"/>
      <c r="D761" s="5" t="n"/>
      <c r="E761" s="5" t="n"/>
      <c r="F761" s="5" t="n"/>
      <c r="G761" s="5" t="n"/>
      <c r="H761" s="6" t="n"/>
      <c r="I761" s="5" t="n"/>
      <c r="J761" s="5" t="n"/>
      <c r="K761" s="5" t="n"/>
      <c r="L761" s="5" t="n"/>
    </row>
    <row r="762">
      <c r="A762" s="5" t="n"/>
      <c r="B762" s="6" t="n"/>
      <c r="C762" s="5" t="n"/>
      <c r="D762" s="5" t="n"/>
      <c r="E762" s="5" t="n"/>
      <c r="F762" s="5" t="n"/>
      <c r="G762" s="5" t="n"/>
      <c r="H762" s="6" t="n"/>
      <c r="I762" s="5" t="n"/>
      <c r="J762" s="5" t="n"/>
      <c r="K762" s="5" t="n"/>
      <c r="L762" s="5" t="n"/>
    </row>
    <row r="763">
      <c r="A763" s="5" t="n"/>
      <c r="B763" s="6" t="n"/>
      <c r="C763" s="5" t="n"/>
      <c r="D763" s="5" t="n"/>
      <c r="E763" s="5" t="n"/>
      <c r="F763" s="5" t="n"/>
      <c r="G763" s="5" t="n"/>
      <c r="H763" s="6" t="n"/>
      <c r="I763" s="5" t="n"/>
      <c r="J763" s="5" t="n"/>
      <c r="K763" s="5" t="n"/>
      <c r="L763" s="5" t="n"/>
    </row>
    <row r="764">
      <c r="A764" s="5" t="n"/>
      <c r="B764" s="6" t="n"/>
      <c r="C764" s="5" t="n"/>
      <c r="D764" s="5" t="n"/>
      <c r="E764" s="5" t="n"/>
      <c r="F764" s="5" t="n"/>
      <c r="G764" s="5" t="n"/>
      <c r="H764" s="6" t="n"/>
      <c r="I764" s="5" t="n"/>
      <c r="J764" s="5" t="n"/>
      <c r="K764" s="5" t="n"/>
      <c r="L764" s="5" t="n"/>
    </row>
    <row r="765">
      <c r="A765" s="5" t="n"/>
      <c r="B765" s="6" t="n"/>
      <c r="C765" s="5" t="n"/>
      <c r="D765" s="5" t="n"/>
      <c r="E765" s="5" t="n"/>
      <c r="F765" s="5" t="n"/>
      <c r="G765" s="5" t="n"/>
      <c r="H765" s="6" t="n"/>
      <c r="I765" s="5" t="n"/>
      <c r="J765" s="5" t="n"/>
      <c r="K765" s="5" t="n"/>
      <c r="L765" s="5" t="n"/>
    </row>
    <row r="766">
      <c r="A766" s="5" t="n"/>
      <c r="B766" s="6" t="n"/>
      <c r="C766" s="5" t="n"/>
      <c r="D766" s="5" t="n"/>
      <c r="E766" s="5" t="n"/>
      <c r="F766" s="5" t="n"/>
      <c r="G766" s="5" t="n"/>
      <c r="H766" s="6" t="n"/>
      <c r="I766" s="5" t="n"/>
      <c r="J766" s="5" t="n"/>
      <c r="K766" s="5" t="n"/>
      <c r="L766" s="5" t="n"/>
    </row>
    <row r="767">
      <c r="A767" s="5" t="n"/>
      <c r="B767" s="6" t="n"/>
      <c r="C767" s="5" t="n"/>
      <c r="D767" s="5" t="n"/>
      <c r="E767" s="5" t="n"/>
      <c r="F767" s="5" t="n"/>
      <c r="G767" s="5" t="n"/>
      <c r="H767" s="6" t="n"/>
      <c r="I767" s="5" t="n"/>
      <c r="J767" s="5" t="n"/>
      <c r="K767" s="5" t="n"/>
      <c r="L767" s="5" t="n"/>
    </row>
    <row r="768">
      <c r="A768" s="5" t="n"/>
      <c r="B768" s="6" t="n"/>
      <c r="C768" s="5" t="n"/>
      <c r="D768" s="5" t="n"/>
      <c r="E768" s="5" t="n"/>
      <c r="F768" s="5" t="n"/>
      <c r="G768" s="5" t="n"/>
      <c r="H768" s="6" t="n"/>
      <c r="I768" s="5" t="n"/>
      <c r="J768" s="5" t="n"/>
      <c r="K768" s="5" t="n"/>
      <c r="L768" s="5" t="n"/>
    </row>
    <row r="769">
      <c r="A769" s="5" t="n"/>
      <c r="B769" s="6" t="n"/>
      <c r="C769" s="5" t="n"/>
      <c r="D769" s="5" t="n"/>
      <c r="E769" s="5" t="n"/>
      <c r="F769" s="5" t="n"/>
      <c r="G769" s="5" t="n"/>
      <c r="H769" s="6" t="n"/>
      <c r="I769" s="5" t="n"/>
      <c r="J769" s="5" t="n"/>
      <c r="K769" s="5" t="n"/>
      <c r="L769" s="5" t="n"/>
    </row>
    <row r="770">
      <c r="A770" s="5" t="n"/>
      <c r="B770" s="6" t="n"/>
      <c r="C770" s="5" t="n"/>
      <c r="D770" s="5" t="n"/>
      <c r="E770" s="5" t="n"/>
      <c r="F770" s="5" t="n"/>
      <c r="G770" s="5" t="n"/>
      <c r="H770" s="6" t="n"/>
      <c r="I770" s="5" t="n"/>
      <c r="J770" s="5" t="n"/>
      <c r="K770" s="5" t="n"/>
      <c r="L770" s="5" t="n"/>
    </row>
    <row r="771">
      <c r="A771" s="5" t="n"/>
      <c r="B771" s="6" t="n"/>
      <c r="C771" s="5" t="n"/>
      <c r="D771" s="5" t="n"/>
      <c r="E771" s="5" t="n"/>
      <c r="F771" s="5" t="n"/>
      <c r="G771" s="5" t="n"/>
      <c r="H771" s="6" t="n"/>
      <c r="I771" s="5" t="n"/>
      <c r="J771" s="5" t="n"/>
      <c r="K771" s="5" t="n"/>
      <c r="L771" s="5" t="n"/>
    </row>
    <row r="772">
      <c r="A772" s="5" t="n"/>
      <c r="B772" s="6" t="n"/>
      <c r="C772" s="5" t="n"/>
      <c r="D772" s="5" t="n"/>
      <c r="E772" s="5" t="n"/>
      <c r="F772" s="5" t="n"/>
      <c r="G772" s="5" t="n"/>
      <c r="H772" s="6" t="n"/>
      <c r="I772" s="5" t="n"/>
      <c r="J772" s="5" t="n"/>
      <c r="K772" s="5" t="n"/>
      <c r="L772" s="5" t="n"/>
    </row>
    <row r="773">
      <c r="A773" s="5" t="n"/>
      <c r="B773" s="6" t="n"/>
      <c r="C773" s="5" t="n"/>
      <c r="D773" s="5" t="n"/>
      <c r="E773" s="5" t="n"/>
      <c r="F773" s="5" t="n"/>
      <c r="G773" s="5" t="n"/>
      <c r="H773" s="6" t="n"/>
      <c r="I773" s="5" t="n"/>
      <c r="J773" s="5" t="n"/>
      <c r="K773" s="5" t="n"/>
      <c r="L773" s="5" t="n"/>
    </row>
    <row r="774">
      <c r="A774" s="5" t="n"/>
      <c r="B774" s="6" t="n"/>
      <c r="C774" s="5" t="n"/>
      <c r="D774" s="5" t="n"/>
      <c r="E774" s="5" t="n"/>
      <c r="F774" s="5" t="n"/>
      <c r="G774" s="5" t="n"/>
      <c r="H774" s="6" t="n"/>
      <c r="I774" s="5" t="n"/>
      <c r="J774" s="5" t="n"/>
      <c r="K774" s="5" t="n"/>
      <c r="L774" s="5" t="n"/>
    </row>
    <row r="775">
      <c r="A775" s="5" t="n"/>
      <c r="B775" s="6" t="n"/>
      <c r="C775" s="5" t="n"/>
      <c r="D775" s="5" t="n"/>
      <c r="E775" s="5" t="n"/>
      <c r="F775" s="5" t="n"/>
      <c r="G775" s="5" t="n"/>
      <c r="H775" s="6" t="n"/>
      <c r="I775" s="5" t="n"/>
      <c r="J775" s="5" t="n"/>
      <c r="K775" s="5" t="n"/>
      <c r="L775" s="5" t="n"/>
    </row>
    <row r="776">
      <c r="A776" s="5" t="n"/>
      <c r="B776" s="6" t="n"/>
      <c r="C776" s="5" t="n"/>
      <c r="D776" s="5" t="n"/>
      <c r="E776" s="5" t="n"/>
      <c r="F776" s="5" t="n"/>
      <c r="G776" s="5" t="n"/>
      <c r="H776" s="6" t="n"/>
      <c r="I776" s="5" t="n"/>
      <c r="J776" s="5" t="n"/>
      <c r="K776" s="5" t="n"/>
      <c r="L776" s="5" t="n"/>
    </row>
    <row r="777">
      <c r="A777" s="5" t="n"/>
      <c r="B777" s="6" t="n"/>
      <c r="C777" s="5" t="n"/>
      <c r="D777" s="5" t="n"/>
      <c r="E777" s="5" t="n"/>
      <c r="F777" s="5" t="n"/>
      <c r="G777" s="5" t="n"/>
      <c r="H777" s="6" t="n"/>
      <c r="I777" s="5" t="n"/>
      <c r="J777" s="5" t="n"/>
      <c r="K777" s="5" t="n"/>
      <c r="L777" s="5" t="n"/>
    </row>
    <row r="778">
      <c r="A778" s="5" t="n"/>
      <c r="B778" s="6" t="n"/>
      <c r="C778" s="5" t="n"/>
      <c r="D778" s="5" t="n"/>
      <c r="E778" s="5" t="n"/>
      <c r="F778" s="5" t="n"/>
      <c r="G778" s="5" t="n"/>
      <c r="H778" s="6" t="n"/>
      <c r="I778" s="5" t="n"/>
      <c r="J778" s="5" t="n"/>
      <c r="K778" s="5" t="n"/>
      <c r="L778" s="5" t="n"/>
    </row>
    <row r="779">
      <c r="A779" s="5" t="n"/>
      <c r="B779" s="6" t="n"/>
      <c r="C779" s="5" t="n"/>
      <c r="D779" s="5" t="n"/>
      <c r="E779" s="5" t="n"/>
      <c r="F779" s="5" t="n"/>
      <c r="G779" s="5" t="n"/>
      <c r="H779" s="6" t="n"/>
      <c r="I779" s="5" t="n"/>
      <c r="J779" s="5" t="n"/>
      <c r="K779" s="5" t="n"/>
      <c r="L779" s="5" t="n"/>
    </row>
    <row r="780">
      <c r="A780" s="5" t="n"/>
      <c r="B780" s="6" t="n"/>
      <c r="C780" s="5" t="n"/>
      <c r="D780" s="5" t="n"/>
      <c r="E780" s="5" t="n"/>
      <c r="F780" s="5" t="n"/>
      <c r="G780" s="5" t="n"/>
      <c r="H780" s="6" t="n"/>
      <c r="I780" s="5" t="n"/>
      <c r="J780" s="5" t="n"/>
      <c r="K780" s="5" t="n"/>
      <c r="L780" s="5" t="n"/>
    </row>
    <row r="781">
      <c r="A781" s="5" t="n"/>
      <c r="B781" s="6" t="n"/>
      <c r="C781" s="5" t="n"/>
      <c r="D781" s="5" t="n"/>
      <c r="E781" s="5" t="n"/>
      <c r="F781" s="5" t="n"/>
      <c r="G781" s="5" t="n"/>
      <c r="H781" s="6" t="n"/>
      <c r="I781" s="5" t="n"/>
      <c r="J781" s="5" t="n"/>
      <c r="K781" s="5" t="n"/>
      <c r="L781" s="5" t="n"/>
    </row>
    <row r="782">
      <c r="A782" s="5" t="n"/>
      <c r="B782" s="6" t="n"/>
      <c r="C782" s="5" t="n"/>
      <c r="D782" s="5" t="n"/>
      <c r="E782" s="5" t="n"/>
      <c r="F782" s="5" t="n"/>
      <c r="G782" s="5" t="n"/>
      <c r="H782" s="6" t="n"/>
      <c r="I782" s="5" t="n"/>
      <c r="J782" s="5" t="n"/>
      <c r="K782" s="5" t="n"/>
      <c r="L782" s="5" t="n"/>
    </row>
    <row r="783">
      <c r="A783" s="5" t="n"/>
      <c r="B783" s="6" t="n"/>
      <c r="C783" s="5" t="n"/>
      <c r="D783" s="5" t="n"/>
      <c r="E783" s="5" t="n"/>
      <c r="F783" s="5" t="n"/>
      <c r="G783" s="5" t="n"/>
      <c r="H783" s="6" t="n"/>
      <c r="I783" s="5" t="n"/>
      <c r="J783" s="5" t="n"/>
      <c r="K783" s="5" t="n"/>
      <c r="L783" s="5" t="n"/>
    </row>
    <row r="784">
      <c r="A784" s="5" t="n"/>
      <c r="B784" s="6" t="n"/>
      <c r="C784" s="5" t="n"/>
      <c r="D784" s="5" t="n"/>
      <c r="E784" s="5" t="n"/>
      <c r="F784" s="5" t="n"/>
      <c r="G784" s="5" t="n"/>
      <c r="H784" s="6" t="n"/>
      <c r="I784" s="5" t="n"/>
      <c r="J784" s="5" t="n"/>
      <c r="K784" s="5" t="n"/>
      <c r="L784" s="5" t="n"/>
    </row>
    <row r="785">
      <c r="A785" s="5" t="n"/>
      <c r="B785" s="6" t="n"/>
      <c r="C785" s="5" t="n"/>
      <c r="D785" s="5" t="n"/>
      <c r="E785" s="5" t="n"/>
      <c r="F785" s="5" t="n"/>
      <c r="G785" s="5" t="n"/>
      <c r="H785" s="6" t="n"/>
      <c r="I785" s="5" t="n"/>
      <c r="J785" s="5" t="n"/>
      <c r="K785" s="5" t="n"/>
      <c r="L785" s="5" t="n"/>
    </row>
    <row r="786">
      <c r="A786" s="5" t="n"/>
      <c r="B786" s="6" t="n"/>
      <c r="C786" s="5" t="n"/>
      <c r="D786" s="5" t="n"/>
      <c r="E786" s="5" t="n"/>
      <c r="F786" s="5" t="n"/>
      <c r="G786" s="5" t="n"/>
      <c r="H786" s="6" t="n"/>
      <c r="I786" s="5" t="n"/>
      <c r="J786" s="5" t="n"/>
      <c r="K786" s="5" t="n"/>
      <c r="L786" s="5" t="n"/>
    </row>
    <row r="787">
      <c r="A787" s="5" t="n"/>
      <c r="B787" s="6" t="n"/>
      <c r="C787" s="5" t="n"/>
      <c r="D787" s="5" t="n"/>
      <c r="E787" s="5" t="n"/>
      <c r="F787" s="5" t="n"/>
      <c r="G787" s="5" t="n"/>
      <c r="H787" s="6" t="n"/>
      <c r="I787" s="5" t="n"/>
      <c r="J787" s="5" t="n"/>
      <c r="K787" s="5" t="n"/>
      <c r="L787" s="5" t="n"/>
    </row>
    <row r="788">
      <c r="A788" s="5" t="n"/>
      <c r="B788" s="6" t="n"/>
      <c r="C788" s="5" t="n"/>
      <c r="D788" s="5" t="n"/>
      <c r="E788" s="5" t="n"/>
      <c r="F788" s="5" t="n"/>
      <c r="G788" s="5" t="n"/>
      <c r="H788" s="6" t="n"/>
      <c r="I788" s="5" t="n"/>
      <c r="J788" s="5" t="n"/>
      <c r="K788" s="5" t="n"/>
      <c r="L788" s="5" t="n"/>
    </row>
    <row r="789">
      <c r="A789" s="5" t="n"/>
      <c r="B789" s="6" t="n"/>
      <c r="C789" s="5" t="n"/>
      <c r="D789" s="5" t="n"/>
      <c r="E789" s="5" t="n"/>
      <c r="F789" s="5" t="n"/>
      <c r="G789" s="5" t="n"/>
      <c r="H789" s="6" t="n"/>
      <c r="I789" s="5" t="n"/>
      <c r="J789" s="5" t="n"/>
      <c r="K789" s="5" t="n"/>
      <c r="L789" s="5" t="n"/>
    </row>
    <row r="790">
      <c r="A790" s="5" t="n"/>
      <c r="B790" s="6" t="n"/>
      <c r="C790" s="5" t="n"/>
      <c r="D790" s="5" t="n"/>
      <c r="E790" s="5" t="n"/>
      <c r="F790" s="5" t="n"/>
      <c r="G790" s="5" t="n"/>
      <c r="H790" s="6" t="n"/>
      <c r="I790" s="5" t="n"/>
      <c r="J790" s="5" t="n"/>
      <c r="K790" s="5" t="n"/>
      <c r="L790" s="5" t="n"/>
    </row>
    <row r="791">
      <c r="A791" s="5" t="n"/>
      <c r="B791" s="6" t="n"/>
      <c r="C791" s="5" t="n"/>
      <c r="D791" s="5" t="n"/>
      <c r="E791" s="5" t="n"/>
      <c r="F791" s="5" t="n"/>
      <c r="G791" s="5" t="n"/>
      <c r="H791" s="6" t="n"/>
      <c r="I791" s="5" t="n"/>
      <c r="J791" s="5" t="n"/>
      <c r="K791" s="5" t="n"/>
      <c r="L791" s="5" t="n"/>
    </row>
    <row r="792">
      <c r="A792" s="5" t="n"/>
      <c r="B792" s="6" t="n"/>
      <c r="C792" s="5" t="n"/>
      <c r="D792" s="5" t="n"/>
      <c r="E792" s="5" t="n"/>
      <c r="F792" s="5" t="n"/>
      <c r="G792" s="5" t="n"/>
      <c r="H792" s="6" t="n"/>
      <c r="I792" s="5" t="n"/>
      <c r="J792" s="5" t="n"/>
      <c r="K792" s="5" t="n"/>
      <c r="L792" s="5" t="n"/>
    </row>
    <row r="793">
      <c r="A793" s="5" t="n"/>
      <c r="B793" s="6" t="n"/>
      <c r="C793" s="5" t="n"/>
      <c r="D793" s="5" t="n"/>
      <c r="E793" s="5" t="n"/>
      <c r="F793" s="5" t="n"/>
      <c r="G793" s="5" t="n"/>
      <c r="H793" s="6" t="n"/>
      <c r="I793" s="5" t="n"/>
      <c r="J793" s="5" t="n"/>
      <c r="K793" s="5" t="n"/>
      <c r="L793" s="5" t="n"/>
    </row>
    <row r="794">
      <c r="A794" s="5" t="n"/>
      <c r="B794" s="6" t="n"/>
      <c r="C794" s="5" t="n"/>
      <c r="D794" s="5" t="n"/>
      <c r="E794" s="5" t="n"/>
      <c r="F794" s="5" t="n"/>
      <c r="G794" s="5" t="n"/>
      <c r="H794" s="6" t="n"/>
      <c r="I794" s="5" t="n"/>
      <c r="J794" s="5" t="n"/>
      <c r="K794" s="5" t="n"/>
      <c r="L794" s="5" t="n"/>
    </row>
    <row r="795">
      <c r="A795" s="5" t="n"/>
      <c r="B795" s="6" t="n"/>
      <c r="C795" s="5" t="n"/>
      <c r="D795" s="5" t="n"/>
      <c r="E795" s="5" t="n"/>
      <c r="F795" s="5" t="n"/>
      <c r="G795" s="5" t="n"/>
      <c r="H795" s="6" t="n"/>
      <c r="I795" s="5" t="n"/>
      <c r="J795" s="5" t="n"/>
      <c r="K795" s="5" t="n"/>
      <c r="L795" s="5" t="n"/>
    </row>
    <row r="796">
      <c r="A796" s="5" t="n"/>
      <c r="B796" s="6" t="n"/>
      <c r="C796" s="5" t="n"/>
      <c r="D796" s="5" t="n"/>
      <c r="E796" s="5" t="n"/>
      <c r="F796" s="5" t="n"/>
      <c r="G796" s="5" t="n"/>
      <c r="H796" s="6" t="n"/>
      <c r="I796" s="5" t="n"/>
      <c r="J796" s="5" t="n"/>
      <c r="K796" s="5" t="n"/>
      <c r="L796" s="5" t="n"/>
    </row>
    <row r="797">
      <c r="A797" s="5" t="n"/>
      <c r="B797" s="6" t="n"/>
      <c r="C797" s="5" t="n"/>
      <c r="D797" s="5" t="n"/>
      <c r="E797" s="5" t="n"/>
      <c r="F797" s="5" t="n"/>
      <c r="G797" s="5" t="n"/>
      <c r="H797" s="6" t="n"/>
      <c r="I797" s="5" t="n"/>
      <c r="J797" s="5" t="n"/>
      <c r="K797" s="5" t="n"/>
      <c r="L797" s="5" t="n"/>
    </row>
    <row r="798">
      <c r="A798" s="5" t="n"/>
      <c r="B798" s="6" t="n"/>
      <c r="C798" s="5" t="n"/>
      <c r="D798" s="5" t="n"/>
      <c r="E798" s="5" t="n"/>
      <c r="F798" s="5" t="n"/>
      <c r="G798" s="5" t="n"/>
      <c r="H798" s="6" t="n"/>
      <c r="I798" s="5" t="n"/>
      <c r="J798" s="5" t="n"/>
      <c r="K798" s="5" t="n"/>
      <c r="L798" s="5" t="n"/>
    </row>
    <row r="799">
      <c r="A799" s="5" t="n"/>
      <c r="B799" s="6" t="n"/>
      <c r="C799" s="5" t="n"/>
      <c r="D799" s="5" t="n"/>
      <c r="E799" s="5" t="n"/>
      <c r="F799" s="5" t="n"/>
      <c r="G799" s="5" t="n"/>
      <c r="H799" s="6" t="n"/>
      <c r="I799" s="5" t="n"/>
      <c r="J799" s="5" t="n"/>
      <c r="K799" s="5" t="n"/>
      <c r="L799" s="5" t="n"/>
    </row>
    <row r="800">
      <c r="A800" s="5" t="n"/>
      <c r="B800" s="6" t="n"/>
      <c r="C800" s="5" t="n"/>
      <c r="D800" s="5" t="n"/>
      <c r="E800" s="5" t="n"/>
      <c r="F800" s="5" t="n"/>
      <c r="G800" s="5" t="n"/>
      <c r="H800" s="6" t="n"/>
      <c r="I800" s="5" t="n"/>
      <c r="J800" s="5" t="n"/>
      <c r="K800" s="5" t="n"/>
      <c r="L800" s="5" t="n"/>
    </row>
    <row r="801">
      <c r="A801" s="5" t="n"/>
      <c r="B801" s="6" t="n"/>
      <c r="C801" s="5" t="n"/>
      <c r="D801" s="5" t="n"/>
      <c r="E801" s="5" t="n"/>
      <c r="F801" s="5" t="n"/>
      <c r="G801" s="5" t="n"/>
      <c r="H801" s="6" t="n"/>
      <c r="I801" s="5" t="n"/>
      <c r="J801" s="5" t="n"/>
      <c r="K801" s="5" t="n"/>
      <c r="L801" s="5" t="n"/>
    </row>
    <row r="802">
      <c r="A802" s="5" t="n"/>
      <c r="B802" s="6" t="n"/>
      <c r="C802" s="5" t="n"/>
      <c r="D802" s="5" t="n"/>
      <c r="E802" s="5" t="n"/>
      <c r="F802" s="5" t="n"/>
      <c r="G802" s="5" t="n"/>
      <c r="H802" s="6" t="n"/>
      <c r="I802" s="5" t="n"/>
      <c r="J802" s="5" t="n"/>
      <c r="K802" s="5" t="n"/>
      <c r="L802" s="5" t="n"/>
    </row>
    <row r="803">
      <c r="A803" s="5" t="n"/>
      <c r="B803" s="6" t="n"/>
      <c r="C803" s="5" t="n"/>
      <c r="D803" s="5" t="n"/>
      <c r="E803" s="5" t="n"/>
      <c r="F803" s="5" t="n"/>
      <c r="G803" s="5" t="n"/>
      <c r="H803" s="6" t="n"/>
      <c r="I803" s="5" t="n"/>
      <c r="J803" s="5" t="n"/>
      <c r="K803" s="5" t="n"/>
      <c r="L803" s="5" t="n"/>
    </row>
    <row r="804">
      <c r="A804" s="5" t="n"/>
      <c r="B804" s="6" t="n"/>
      <c r="C804" s="5" t="n"/>
      <c r="D804" s="5" t="n"/>
      <c r="E804" s="5" t="n"/>
      <c r="F804" s="5" t="n"/>
      <c r="G804" s="5" t="n"/>
      <c r="H804" s="6" t="n"/>
      <c r="I804" s="5" t="n"/>
      <c r="J804" s="5" t="n"/>
      <c r="K804" s="5" t="n"/>
      <c r="L804" s="5" t="n"/>
    </row>
    <row r="805">
      <c r="A805" s="5" t="n"/>
      <c r="B805" s="6" t="n"/>
      <c r="C805" s="5" t="n"/>
      <c r="D805" s="5" t="n"/>
      <c r="E805" s="5" t="n"/>
      <c r="F805" s="5" t="n"/>
      <c r="G805" s="5" t="n"/>
      <c r="H805" s="6" t="n"/>
      <c r="I805" s="5" t="n"/>
      <c r="J805" s="5" t="n"/>
      <c r="K805" s="5" t="n"/>
      <c r="L805" s="5" t="n"/>
    </row>
    <row r="806">
      <c r="A806" s="5" t="n"/>
      <c r="B806" s="6" t="n"/>
      <c r="C806" s="5" t="n"/>
      <c r="D806" s="5" t="n"/>
      <c r="E806" s="5" t="n"/>
      <c r="F806" s="5" t="n"/>
      <c r="G806" s="5" t="n"/>
      <c r="H806" s="6" t="n"/>
      <c r="I806" s="5" t="n"/>
      <c r="J806" s="5" t="n"/>
      <c r="K806" s="5" t="n"/>
      <c r="L806" s="5" t="n"/>
    </row>
    <row r="807">
      <c r="A807" s="5" t="n"/>
      <c r="B807" s="6" t="n"/>
      <c r="C807" s="5" t="n"/>
      <c r="D807" s="5" t="n"/>
      <c r="E807" s="5" t="n"/>
      <c r="F807" s="5" t="n"/>
      <c r="G807" s="5" t="n"/>
      <c r="H807" s="6" t="n"/>
      <c r="I807" s="5" t="n"/>
      <c r="J807" s="5" t="n"/>
      <c r="K807" s="5" t="n"/>
      <c r="L807" s="5" t="n"/>
    </row>
    <row r="808">
      <c r="A808" s="5" t="n"/>
      <c r="B808" s="6" t="n"/>
      <c r="C808" s="5" t="n"/>
      <c r="D808" s="5" t="n"/>
      <c r="E808" s="5" t="n"/>
      <c r="F808" s="5" t="n"/>
      <c r="G808" s="5" t="n"/>
      <c r="H808" s="6" t="n"/>
      <c r="I808" s="5" t="n"/>
      <c r="J808" s="5" t="n"/>
      <c r="K808" s="5" t="n"/>
      <c r="L808" s="5" t="n"/>
    </row>
    <row r="809">
      <c r="A809" s="5" t="n"/>
      <c r="B809" s="6" t="n"/>
      <c r="C809" s="5" t="n"/>
      <c r="D809" s="5" t="n"/>
      <c r="E809" s="5" t="n"/>
      <c r="F809" s="5" t="n"/>
      <c r="G809" s="5" t="n"/>
      <c r="H809" s="6" t="n"/>
      <c r="I809" s="5" t="n"/>
      <c r="J809" s="5" t="n"/>
      <c r="K809" s="5" t="n"/>
      <c r="L809" s="5" t="n"/>
    </row>
    <row r="810">
      <c r="A810" s="5" t="n"/>
      <c r="B810" s="6" t="n"/>
      <c r="C810" s="5" t="n"/>
      <c r="D810" s="5" t="n"/>
      <c r="E810" s="5" t="n"/>
      <c r="F810" s="5" t="n"/>
      <c r="G810" s="5" t="n"/>
      <c r="H810" s="6" t="n"/>
      <c r="I810" s="5" t="n"/>
      <c r="J810" s="5" t="n"/>
      <c r="K810" s="5" t="n"/>
      <c r="L810" s="5" t="n"/>
    </row>
    <row r="811">
      <c r="A811" s="5" t="n"/>
      <c r="B811" s="6" t="n"/>
      <c r="C811" s="5" t="n"/>
      <c r="D811" s="5" t="n"/>
      <c r="E811" s="5" t="n"/>
      <c r="F811" s="5" t="n"/>
      <c r="G811" s="5" t="n"/>
      <c r="H811" s="6" t="n"/>
      <c r="I811" s="5" t="n"/>
      <c r="J811" s="5" t="n"/>
      <c r="K811" s="5" t="n"/>
      <c r="L811" s="5" t="n"/>
    </row>
    <row r="812">
      <c r="A812" s="5" t="n"/>
      <c r="B812" s="6" t="n"/>
      <c r="C812" s="5" t="n"/>
      <c r="D812" s="5" t="n"/>
      <c r="E812" s="5" t="n"/>
      <c r="F812" s="5" t="n"/>
      <c r="G812" s="5" t="n"/>
      <c r="H812" s="6" t="n"/>
      <c r="I812" s="5" t="n"/>
      <c r="J812" s="5" t="n"/>
      <c r="K812" s="5" t="n"/>
      <c r="L812" s="5" t="n"/>
    </row>
    <row r="813">
      <c r="A813" s="5" t="n"/>
      <c r="B813" s="6" t="n"/>
      <c r="C813" s="5" t="n"/>
      <c r="D813" s="5" t="n"/>
      <c r="E813" s="5" t="n"/>
      <c r="F813" s="5" t="n"/>
      <c r="G813" s="5" t="n"/>
      <c r="H813" s="6" t="n"/>
      <c r="I813" s="5" t="n"/>
      <c r="J813" s="5" t="n"/>
      <c r="K813" s="5" t="n"/>
      <c r="L813" s="5" t="n"/>
    </row>
    <row r="814">
      <c r="A814" s="5" t="n"/>
      <c r="B814" s="6" t="n"/>
      <c r="C814" s="5" t="n"/>
      <c r="D814" s="5" t="n"/>
      <c r="E814" s="5" t="n"/>
      <c r="F814" s="5" t="n"/>
      <c r="G814" s="5" t="n"/>
      <c r="H814" s="6" t="n"/>
      <c r="I814" s="5" t="n"/>
      <c r="J814" s="5" t="n"/>
      <c r="K814" s="5" t="n"/>
      <c r="L814" s="5" t="n"/>
    </row>
    <row r="815">
      <c r="A815" s="5" t="n"/>
      <c r="B815" s="6" t="n"/>
      <c r="C815" s="5" t="n"/>
      <c r="D815" s="5" t="n"/>
      <c r="E815" s="5" t="n"/>
      <c r="F815" s="5" t="n"/>
      <c r="G815" s="5" t="n"/>
      <c r="H815" s="6" t="n"/>
      <c r="I815" s="5" t="n"/>
      <c r="J815" s="5" t="n"/>
      <c r="K815" s="5" t="n"/>
      <c r="L815" s="5" t="n"/>
    </row>
    <row r="816">
      <c r="A816" s="5" t="n"/>
      <c r="B816" s="6" t="n"/>
      <c r="C816" s="5" t="n"/>
      <c r="D816" s="5" t="n"/>
      <c r="E816" s="5" t="n"/>
      <c r="F816" s="5" t="n"/>
      <c r="G816" s="5" t="n"/>
      <c r="H816" s="6" t="n"/>
      <c r="I816" s="5" t="n"/>
      <c r="J816" s="5" t="n"/>
      <c r="K816" s="5" t="n"/>
      <c r="L816" s="5" t="n"/>
    </row>
    <row r="817">
      <c r="A817" s="5" t="n"/>
      <c r="B817" s="6" t="n"/>
      <c r="C817" s="5" t="n"/>
      <c r="D817" s="5" t="n"/>
      <c r="E817" s="5" t="n"/>
      <c r="F817" s="5" t="n"/>
      <c r="G817" s="5" t="n"/>
      <c r="H817" s="6" t="n"/>
      <c r="I817" s="5" t="n"/>
      <c r="J817" s="5" t="n"/>
      <c r="K817" s="5" t="n"/>
      <c r="L817" s="5" t="n"/>
    </row>
    <row r="818">
      <c r="A818" s="5" t="n"/>
      <c r="B818" s="6" t="n"/>
      <c r="C818" s="5" t="n"/>
      <c r="D818" s="5" t="n"/>
      <c r="E818" s="5" t="n"/>
      <c r="F818" s="5" t="n"/>
      <c r="G818" s="5" t="n"/>
      <c r="H818" s="6" t="n"/>
      <c r="I818" s="5" t="n"/>
      <c r="J818" s="5" t="n"/>
      <c r="K818" s="5" t="n"/>
      <c r="L818" s="5" t="n"/>
    </row>
    <row r="819">
      <c r="A819" s="5" t="n"/>
      <c r="B819" s="6" t="n"/>
      <c r="C819" s="5" t="n"/>
      <c r="D819" s="5" t="n"/>
      <c r="E819" s="5" t="n"/>
      <c r="F819" s="5" t="n"/>
      <c r="G819" s="5" t="n"/>
      <c r="H819" s="6" t="n"/>
      <c r="I819" s="5" t="n"/>
      <c r="J819" s="5" t="n"/>
      <c r="K819" s="5" t="n"/>
      <c r="L819" s="5" t="n"/>
    </row>
    <row r="820">
      <c r="A820" s="5" t="n"/>
      <c r="B820" s="6" t="n"/>
      <c r="C820" s="5" t="n"/>
      <c r="D820" s="5" t="n"/>
      <c r="E820" s="5" t="n"/>
      <c r="F820" s="5" t="n"/>
      <c r="G820" s="5" t="n"/>
      <c r="H820" s="6" t="n"/>
      <c r="I820" s="5" t="n"/>
      <c r="J820" s="5" t="n"/>
      <c r="K820" s="5" t="n"/>
      <c r="L820" s="5" t="n"/>
    </row>
    <row r="821">
      <c r="A821" s="5" t="n"/>
      <c r="B821" s="6" t="n"/>
      <c r="C821" s="5" t="n"/>
      <c r="D821" s="5" t="n"/>
      <c r="E821" s="5" t="n"/>
      <c r="F821" s="5" t="n"/>
      <c r="G821" s="5" t="n"/>
      <c r="H821" s="6" t="n"/>
      <c r="I821" s="5" t="n"/>
      <c r="J821" s="5" t="n"/>
      <c r="K821" s="5" t="n"/>
      <c r="L821" s="5" t="n"/>
    </row>
    <row r="822">
      <c r="A822" s="5" t="n"/>
      <c r="B822" s="6" t="n"/>
      <c r="C822" s="5" t="n"/>
      <c r="D822" s="5" t="n"/>
      <c r="E822" s="5" t="n"/>
      <c r="F822" s="5" t="n"/>
      <c r="G822" s="5" t="n"/>
      <c r="H822" s="6" t="n"/>
      <c r="I822" s="5" t="n"/>
      <c r="J822" s="5" t="n"/>
      <c r="K822" s="5" t="n"/>
      <c r="L822" s="5" t="n"/>
    </row>
    <row r="823">
      <c r="A823" s="5" t="n"/>
      <c r="B823" s="6" t="n"/>
      <c r="C823" s="5" t="n"/>
      <c r="D823" s="5" t="n"/>
      <c r="E823" s="5" t="n"/>
      <c r="F823" s="5" t="n"/>
      <c r="G823" s="5" t="n"/>
      <c r="H823" s="6" t="n"/>
      <c r="I823" s="5" t="n"/>
      <c r="J823" s="5" t="n"/>
      <c r="K823" s="5" t="n"/>
      <c r="L823" s="5" t="n"/>
    </row>
    <row r="824">
      <c r="A824" s="5" t="n"/>
      <c r="B824" s="6" t="n"/>
      <c r="C824" s="5" t="n"/>
      <c r="D824" s="5" t="n"/>
      <c r="E824" s="5" t="n"/>
      <c r="F824" s="5" t="n"/>
      <c r="G824" s="5" t="n"/>
      <c r="H824" s="6" t="n"/>
      <c r="I824" s="5" t="n"/>
      <c r="J824" s="5" t="n"/>
      <c r="K824" s="5" t="n"/>
      <c r="L824" s="5" t="n"/>
    </row>
    <row r="825">
      <c r="A825" s="5" t="n"/>
      <c r="B825" s="6" t="n"/>
      <c r="C825" s="5" t="n"/>
      <c r="D825" s="5" t="n"/>
      <c r="E825" s="5" t="n"/>
      <c r="F825" s="5" t="n"/>
      <c r="G825" s="5" t="n"/>
      <c r="H825" s="6" t="n"/>
      <c r="I825" s="5" t="n"/>
      <c r="J825" s="5" t="n"/>
      <c r="K825" s="5" t="n"/>
      <c r="L825" s="5" t="n"/>
    </row>
    <row r="826">
      <c r="A826" s="5" t="n"/>
      <c r="B826" s="6" t="n"/>
      <c r="C826" s="5" t="n"/>
      <c r="D826" s="5" t="n"/>
      <c r="E826" s="5" t="n"/>
      <c r="F826" s="5" t="n"/>
      <c r="G826" s="5" t="n"/>
      <c r="H826" s="6" t="n"/>
      <c r="I826" s="5" t="n"/>
      <c r="J826" s="5" t="n"/>
      <c r="K826" s="5" t="n"/>
      <c r="L826" s="5" t="n"/>
    </row>
    <row r="827">
      <c r="A827" s="5" t="n"/>
      <c r="B827" s="6" t="n"/>
      <c r="C827" s="5" t="n"/>
      <c r="D827" s="5" t="n"/>
      <c r="E827" s="5" t="n"/>
      <c r="F827" s="5" t="n"/>
      <c r="G827" s="5" t="n"/>
      <c r="H827" s="6" t="n"/>
      <c r="I827" s="5" t="n"/>
      <c r="J827" s="5" t="n"/>
      <c r="K827" s="5" t="n"/>
      <c r="L827" s="5" t="n"/>
    </row>
    <row r="828">
      <c r="A828" s="5" t="n"/>
      <c r="B828" s="6" t="n"/>
      <c r="C828" s="5" t="n"/>
      <c r="D828" s="5" t="n"/>
      <c r="E828" s="5" t="n"/>
      <c r="F828" s="5" t="n"/>
      <c r="G828" s="5" t="n"/>
      <c r="H828" s="6" t="n"/>
      <c r="I828" s="5" t="n"/>
      <c r="J828" s="5" t="n"/>
      <c r="K828" s="5" t="n"/>
      <c r="L828" s="5" t="n"/>
    </row>
    <row r="829">
      <c r="A829" s="5" t="n"/>
      <c r="B829" s="6" t="n"/>
      <c r="C829" s="5" t="n"/>
      <c r="D829" s="5" t="n"/>
      <c r="E829" s="5" t="n"/>
      <c r="F829" s="5" t="n"/>
      <c r="G829" s="5" t="n"/>
      <c r="H829" s="6" t="n"/>
      <c r="I829" s="5" t="n"/>
      <c r="J829" s="5" t="n"/>
      <c r="K829" s="5" t="n"/>
      <c r="L829" s="5" t="n"/>
    </row>
    <row r="830">
      <c r="A830" s="5" t="n"/>
      <c r="B830" s="6" t="n"/>
      <c r="C830" s="5" t="n"/>
      <c r="D830" s="5" t="n"/>
      <c r="E830" s="5" t="n"/>
      <c r="F830" s="5" t="n"/>
      <c r="G830" s="5" t="n"/>
      <c r="H830" s="6" t="n"/>
      <c r="I830" s="5" t="n"/>
      <c r="J830" s="5" t="n"/>
      <c r="K830" s="5" t="n"/>
      <c r="L830" s="5" t="n"/>
    </row>
    <row r="831">
      <c r="A831" s="5" t="n"/>
      <c r="B831" s="6" t="n"/>
      <c r="C831" s="5" t="n"/>
      <c r="D831" s="5" t="n"/>
      <c r="E831" s="5" t="n"/>
      <c r="F831" s="5" t="n"/>
      <c r="G831" s="5" t="n"/>
      <c r="H831" s="6" t="n"/>
      <c r="I831" s="5" t="n"/>
      <c r="J831" s="5" t="n"/>
      <c r="K831" s="5" t="n"/>
      <c r="L831" s="5" t="n"/>
    </row>
    <row r="832">
      <c r="A832" s="5" t="n"/>
      <c r="B832" s="6" t="n"/>
      <c r="C832" s="5" t="n"/>
      <c r="D832" s="5" t="n"/>
      <c r="E832" s="5" t="n"/>
      <c r="F832" s="5" t="n"/>
      <c r="G832" s="5" t="n"/>
      <c r="H832" s="6" t="n"/>
      <c r="I832" s="5" t="n"/>
      <c r="J832" s="5" t="n"/>
      <c r="K832" s="5" t="n"/>
      <c r="L832" s="5" t="n"/>
    </row>
    <row r="833">
      <c r="A833" s="5" t="n"/>
      <c r="B833" s="6" t="n"/>
      <c r="C833" s="5" t="n"/>
      <c r="D833" s="5" t="n"/>
      <c r="E833" s="5" t="n"/>
      <c r="F833" s="5" t="n"/>
      <c r="G833" s="5" t="n"/>
      <c r="H833" s="6" t="n"/>
      <c r="I833" s="5" t="n"/>
      <c r="J833" s="5" t="n"/>
      <c r="K833" s="5" t="n"/>
      <c r="L833" s="5" t="n"/>
    </row>
    <row r="834">
      <c r="A834" s="5" t="n"/>
      <c r="B834" s="6" t="n"/>
      <c r="C834" s="5" t="n"/>
      <c r="D834" s="5" t="n"/>
      <c r="E834" s="5" t="n"/>
      <c r="F834" s="5" t="n"/>
      <c r="G834" s="5" t="n"/>
      <c r="H834" s="6" t="n"/>
      <c r="I834" s="5" t="n"/>
      <c r="J834" s="5" t="n"/>
      <c r="K834" s="5" t="n"/>
      <c r="L834" s="5" t="n"/>
    </row>
    <row r="835">
      <c r="A835" s="5" t="n"/>
      <c r="B835" s="6" t="n"/>
      <c r="C835" s="5" t="n"/>
      <c r="D835" s="5" t="n"/>
      <c r="E835" s="5" t="n"/>
      <c r="F835" s="5" t="n"/>
      <c r="G835" s="5" t="n"/>
      <c r="H835" s="6" t="n"/>
      <c r="I835" s="5" t="n"/>
      <c r="J835" s="5" t="n"/>
      <c r="K835" s="5" t="n"/>
      <c r="L835" s="5" t="n"/>
    </row>
    <row r="836">
      <c r="A836" s="5" t="n"/>
      <c r="B836" s="6" t="n"/>
      <c r="C836" s="5" t="n"/>
      <c r="D836" s="5" t="n"/>
      <c r="E836" s="5" t="n"/>
      <c r="F836" s="5" t="n"/>
      <c r="G836" s="5" t="n"/>
      <c r="H836" s="6" t="n"/>
      <c r="I836" s="5" t="n"/>
      <c r="J836" s="5" t="n"/>
      <c r="K836" s="5" t="n"/>
      <c r="L836" s="5" t="n"/>
    </row>
    <row r="837">
      <c r="A837" s="5" t="n"/>
      <c r="B837" s="6" t="n"/>
      <c r="C837" s="5" t="n"/>
      <c r="D837" s="5" t="n"/>
      <c r="E837" s="5" t="n"/>
      <c r="F837" s="5" t="n"/>
      <c r="G837" s="5" t="n"/>
      <c r="H837" s="6" t="n"/>
      <c r="I837" s="5" t="n"/>
      <c r="J837" s="5" t="n"/>
      <c r="K837" s="5" t="n"/>
      <c r="L837" s="5" t="n"/>
    </row>
    <row r="838">
      <c r="A838" s="5" t="n"/>
      <c r="B838" s="6" t="n"/>
      <c r="C838" s="5" t="n"/>
      <c r="D838" s="5" t="n"/>
      <c r="E838" s="5" t="n"/>
      <c r="F838" s="5" t="n"/>
      <c r="G838" s="5" t="n"/>
      <c r="H838" s="6" t="n"/>
      <c r="I838" s="5" t="n"/>
      <c r="J838" s="5" t="n"/>
      <c r="K838" s="5" t="n"/>
      <c r="L838" s="5" t="n"/>
    </row>
    <row r="839">
      <c r="A839" s="5" t="n"/>
      <c r="B839" s="6" t="n"/>
      <c r="C839" s="5" t="n"/>
      <c r="D839" s="5" t="n"/>
      <c r="E839" s="5" t="n"/>
      <c r="F839" s="5" t="n"/>
      <c r="G839" s="5" t="n"/>
      <c r="H839" s="6" t="n"/>
      <c r="I839" s="5" t="n"/>
      <c r="J839" s="5" t="n"/>
      <c r="K839" s="5" t="n"/>
      <c r="L839" s="5" t="n"/>
    </row>
    <row r="840">
      <c r="A840" s="5" t="n"/>
      <c r="B840" s="6" t="n"/>
      <c r="C840" s="5" t="n"/>
      <c r="D840" s="5" t="n"/>
      <c r="E840" s="5" t="n"/>
      <c r="F840" s="5" t="n"/>
      <c r="G840" s="5" t="n"/>
      <c r="H840" s="6" t="n"/>
      <c r="I840" s="5" t="n"/>
      <c r="J840" s="5" t="n"/>
      <c r="K840" s="5" t="n"/>
      <c r="L840" s="5" t="n"/>
    </row>
    <row r="841">
      <c r="A841" s="5" t="n"/>
      <c r="B841" s="6" t="n"/>
      <c r="C841" s="5" t="n"/>
      <c r="D841" s="5" t="n"/>
      <c r="E841" s="5" t="n"/>
      <c r="F841" s="5" t="n"/>
      <c r="G841" s="5" t="n"/>
      <c r="H841" s="6" t="n"/>
      <c r="I841" s="5" t="n"/>
      <c r="J841" s="5" t="n"/>
      <c r="K841" s="5" t="n"/>
      <c r="L841" s="5" t="n"/>
    </row>
    <row r="842">
      <c r="A842" s="5" t="n"/>
      <c r="B842" s="6" t="n"/>
      <c r="C842" s="5" t="n"/>
      <c r="D842" s="5" t="n"/>
      <c r="E842" s="5" t="n"/>
      <c r="F842" s="5" t="n"/>
      <c r="G842" s="5" t="n"/>
      <c r="H842" s="6" t="n"/>
      <c r="I842" s="5" t="n"/>
      <c r="J842" s="5" t="n"/>
      <c r="K842" s="5" t="n"/>
      <c r="L842" s="5" t="n"/>
    </row>
    <row r="843">
      <c r="A843" s="5" t="n"/>
      <c r="B843" s="6" t="n"/>
      <c r="C843" s="5" t="n"/>
      <c r="D843" s="5" t="n"/>
      <c r="E843" s="5" t="n"/>
      <c r="F843" s="5" t="n"/>
      <c r="G843" s="5" t="n"/>
      <c r="H843" s="6" t="n"/>
      <c r="I843" s="5" t="n"/>
      <c r="J843" s="5" t="n"/>
      <c r="K843" s="5" t="n"/>
      <c r="L843" s="5" t="n"/>
    </row>
    <row r="844">
      <c r="A844" s="5" t="n"/>
      <c r="B844" s="6" t="n"/>
      <c r="C844" s="5" t="n"/>
      <c r="D844" s="5" t="n"/>
      <c r="E844" s="5" t="n"/>
      <c r="F844" s="5" t="n"/>
      <c r="G844" s="5" t="n"/>
      <c r="H844" s="6" t="n"/>
      <c r="I844" s="5" t="n"/>
      <c r="J844" s="5" t="n"/>
      <c r="K844" s="5" t="n"/>
      <c r="L844" s="5" t="n"/>
    </row>
    <row r="845">
      <c r="A845" s="5" t="n"/>
      <c r="B845" s="6" t="n"/>
      <c r="C845" s="5" t="n"/>
      <c r="D845" s="5" t="n"/>
      <c r="E845" s="5" t="n"/>
      <c r="F845" s="5" t="n"/>
      <c r="G845" s="5" t="n"/>
      <c r="H845" s="6" t="n"/>
      <c r="I845" s="5" t="n"/>
      <c r="J845" s="5" t="n"/>
      <c r="K845" s="5" t="n"/>
      <c r="L845" s="5" t="n"/>
    </row>
    <row r="846">
      <c r="A846" s="5" t="n"/>
      <c r="B846" s="6" t="n"/>
      <c r="C846" s="5" t="n"/>
      <c r="D846" s="5" t="n"/>
      <c r="E846" s="5" t="n"/>
      <c r="F846" s="5" t="n"/>
      <c r="G846" s="5" t="n"/>
      <c r="H846" s="6" t="n"/>
      <c r="I846" s="5" t="n"/>
      <c r="J846" s="5" t="n"/>
      <c r="K846" s="5" t="n"/>
      <c r="L846" s="5" t="n"/>
    </row>
    <row r="847">
      <c r="A847" s="5" t="n"/>
      <c r="B847" s="6" t="n"/>
      <c r="C847" s="5" t="n"/>
      <c r="D847" s="5" t="n"/>
      <c r="E847" s="5" t="n"/>
      <c r="F847" s="5" t="n"/>
      <c r="G847" s="5" t="n"/>
      <c r="H847" s="6" t="n"/>
      <c r="I847" s="5" t="n"/>
      <c r="J847" s="5" t="n"/>
      <c r="K847" s="5" t="n"/>
      <c r="L847" s="5" t="n"/>
    </row>
    <row r="848">
      <c r="A848" s="5" t="n"/>
      <c r="B848" s="6" t="n"/>
      <c r="C848" s="5" t="n"/>
      <c r="D848" s="5" t="n"/>
      <c r="E848" s="5" t="n"/>
      <c r="F848" s="5" t="n"/>
      <c r="G848" s="5" t="n"/>
      <c r="H848" s="6" t="n"/>
      <c r="I848" s="5" t="n"/>
      <c r="J848" s="5" t="n"/>
      <c r="K848" s="5" t="n"/>
      <c r="L848" s="5" t="n"/>
    </row>
    <row r="849">
      <c r="A849" s="5" t="n"/>
      <c r="B849" s="6" t="n"/>
      <c r="C849" s="5" t="n"/>
      <c r="D849" s="5" t="n"/>
      <c r="E849" s="5" t="n"/>
      <c r="F849" s="5" t="n"/>
      <c r="G849" s="5" t="n"/>
      <c r="H849" s="6" t="n"/>
      <c r="I849" s="5" t="n"/>
      <c r="J849" s="5" t="n"/>
      <c r="K849" s="5" t="n"/>
      <c r="L849" s="5" t="n"/>
    </row>
    <row r="850">
      <c r="A850" s="5" t="n"/>
      <c r="B850" s="6" t="n"/>
      <c r="C850" s="5" t="n"/>
      <c r="D850" s="5" t="n"/>
      <c r="E850" s="5" t="n"/>
      <c r="F850" s="5" t="n"/>
      <c r="G850" s="5" t="n"/>
      <c r="H850" s="6" t="n"/>
      <c r="I850" s="5" t="n"/>
      <c r="J850" s="5" t="n"/>
      <c r="K850" s="5" t="n"/>
      <c r="L850" s="5" t="n"/>
    </row>
    <row r="851">
      <c r="A851" s="5" t="n"/>
      <c r="B851" s="6" t="n"/>
      <c r="C851" s="5" t="n"/>
      <c r="D851" s="5" t="n"/>
      <c r="E851" s="5" t="n"/>
      <c r="F851" s="5" t="n"/>
      <c r="G851" s="5" t="n"/>
      <c r="H851" s="6" t="n"/>
      <c r="I851" s="5" t="n"/>
      <c r="J851" s="5" t="n"/>
      <c r="K851" s="5" t="n"/>
      <c r="L851" s="5" t="n"/>
    </row>
    <row r="852">
      <c r="A852" s="5" t="n"/>
      <c r="B852" s="6" t="n"/>
      <c r="C852" s="5" t="n"/>
      <c r="D852" s="5" t="n"/>
      <c r="E852" s="5" t="n"/>
      <c r="F852" s="5" t="n"/>
      <c r="G852" s="5" t="n"/>
      <c r="H852" s="6" t="n"/>
      <c r="I852" s="5" t="n"/>
      <c r="J852" s="5" t="n"/>
      <c r="K852" s="5" t="n"/>
      <c r="L852" s="5" t="n"/>
    </row>
    <row r="853">
      <c r="A853" s="5" t="n"/>
      <c r="B853" s="6" t="n"/>
      <c r="C853" s="5" t="n"/>
      <c r="D853" s="5" t="n"/>
      <c r="E853" s="5" t="n"/>
      <c r="F853" s="5" t="n"/>
      <c r="G853" s="5" t="n"/>
      <c r="H853" s="6" t="n"/>
      <c r="I853" s="5" t="n"/>
      <c r="J853" s="5" t="n"/>
      <c r="K853" s="5" t="n"/>
      <c r="L853" s="5" t="n"/>
    </row>
    <row r="854">
      <c r="A854" s="5" t="n"/>
      <c r="B854" s="6" t="n"/>
      <c r="C854" s="5" t="n"/>
      <c r="D854" s="5" t="n"/>
      <c r="E854" s="5" t="n"/>
      <c r="F854" s="5" t="n"/>
      <c r="G854" s="5" t="n"/>
      <c r="H854" s="6" t="n"/>
      <c r="I854" s="5" t="n"/>
      <c r="J854" s="5" t="n"/>
      <c r="K854" s="5" t="n"/>
      <c r="L854" s="5" t="n"/>
    </row>
    <row r="855">
      <c r="A855" s="5" t="n"/>
      <c r="B855" s="6" t="n"/>
      <c r="C855" s="5" t="n"/>
      <c r="D855" s="5" t="n"/>
      <c r="E855" s="5" t="n"/>
      <c r="F855" s="5" t="n"/>
      <c r="G855" s="5" t="n"/>
      <c r="H855" s="6" t="n"/>
      <c r="I855" s="5" t="n"/>
      <c r="J855" s="5" t="n"/>
      <c r="K855" s="5" t="n"/>
      <c r="L855" s="5" t="n"/>
    </row>
    <row r="856">
      <c r="A856" s="5" t="n"/>
      <c r="B856" s="6" t="n"/>
      <c r="C856" s="5" t="n"/>
      <c r="D856" s="5" t="n"/>
      <c r="E856" s="5" t="n"/>
      <c r="F856" s="5" t="n"/>
      <c r="G856" s="5" t="n"/>
      <c r="H856" s="6" t="n"/>
      <c r="I856" s="5" t="n"/>
      <c r="J856" s="5" t="n"/>
      <c r="K856" s="5" t="n"/>
      <c r="L856" s="5" t="n"/>
    </row>
    <row r="857">
      <c r="A857" s="5" t="n"/>
      <c r="B857" s="6" t="n"/>
      <c r="C857" s="5" t="n"/>
      <c r="D857" s="5" t="n"/>
      <c r="E857" s="5" t="n"/>
      <c r="F857" s="5" t="n"/>
      <c r="G857" s="5" t="n"/>
      <c r="H857" s="6" t="n"/>
      <c r="I857" s="5" t="n"/>
      <c r="J857" s="5" t="n"/>
      <c r="K857" s="5" t="n"/>
      <c r="L857" s="5" t="n"/>
    </row>
    <row r="858">
      <c r="A858" s="5" t="n"/>
      <c r="B858" s="6" t="n"/>
      <c r="C858" s="5" t="n"/>
      <c r="D858" s="5" t="n"/>
      <c r="E858" s="5" t="n"/>
      <c r="F858" s="5" t="n"/>
      <c r="G858" s="5" t="n"/>
      <c r="H858" s="6" t="n"/>
      <c r="I858" s="5" t="n"/>
      <c r="J858" s="5" t="n"/>
      <c r="K858" s="5" t="n"/>
      <c r="L858" s="5" t="n"/>
    </row>
    <row r="859">
      <c r="A859" s="5" t="n"/>
      <c r="B859" s="6" t="n"/>
      <c r="C859" s="5" t="n"/>
      <c r="D859" s="5" t="n"/>
      <c r="E859" s="5" t="n"/>
      <c r="F859" s="5" t="n"/>
      <c r="G859" s="5" t="n"/>
      <c r="H859" s="6" t="n"/>
      <c r="I859" s="5" t="n"/>
      <c r="J859" s="5" t="n"/>
      <c r="K859" s="5" t="n"/>
      <c r="L859" s="5" t="n"/>
    </row>
    <row r="860">
      <c r="A860" s="5" t="n"/>
      <c r="B860" s="6" t="n"/>
      <c r="C860" s="5" t="n"/>
      <c r="D860" s="5" t="n"/>
      <c r="E860" s="5" t="n"/>
      <c r="F860" s="5" t="n"/>
      <c r="G860" s="5" t="n"/>
      <c r="H860" s="6" t="n"/>
      <c r="I860" s="5" t="n"/>
      <c r="J860" s="5" t="n"/>
      <c r="K860" s="5" t="n"/>
      <c r="L860" s="5" t="n"/>
    </row>
    <row r="861">
      <c r="A861" s="5" t="n"/>
      <c r="B861" s="6" t="n"/>
      <c r="C861" s="5" t="n"/>
      <c r="D861" s="5" t="n"/>
      <c r="E861" s="5" t="n"/>
      <c r="F861" s="5" t="n"/>
      <c r="G861" s="5" t="n"/>
      <c r="H861" s="6" t="n"/>
      <c r="I861" s="5" t="n"/>
      <c r="J861" s="5" t="n"/>
      <c r="K861" s="5" t="n"/>
      <c r="L861" s="5" t="n"/>
    </row>
    <row r="862">
      <c r="A862" s="5" t="n"/>
      <c r="B862" s="6" t="n"/>
      <c r="C862" s="5" t="n"/>
      <c r="D862" s="5" t="n"/>
      <c r="E862" s="5" t="n"/>
      <c r="F862" s="5" t="n"/>
      <c r="G862" s="5" t="n"/>
      <c r="H862" s="6" t="n"/>
      <c r="I862" s="5" t="n"/>
      <c r="J862" s="5" t="n"/>
      <c r="K862" s="5" t="n"/>
      <c r="L862" s="5" t="n"/>
    </row>
    <row r="863">
      <c r="A863" s="5" t="n"/>
      <c r="B863" s="6" t="n"/>
      <c r="C863" s="5" t="n"/>
      <c r="D863" s="5" t="n"/>
      <c r="E863" s="5" t="n"/>
      <c r="F863" s="5" t="n"/>
      <c r="G863" s="5" t="n"/>
      <c r="H863" s="6" t="n"/>
      <c r="I863" s="5" t="n"/>
      <c r="J863" s="5" t="n"/>
      <c r="K863" s="5" t="n"/>
      <c r="L863" s="5" t="n"/>
    </row>
    <row r="864">
      <c r="A864" s="5" t="n"/>
      <c r="B864" s="6" t="n"/>
      <c r="C864" s="5" t="n"/>
      <c r="D864" s="5" t="n"/>
      <c r="E864" s="5" t="n"/>
      <c r="F864" s="5" t="n"/>
      <c r="G864" s="5" t="n"/>
      <c r="H864" s="6" t="n"/>
      <c r="I864" s="5" t="n"/>
      <c r="J864" s="5" t="n"/>
      <c r="K864" s="5" t="n"/>
      <c r="L864" s="5" t="n"/>
    </row>
    <row r="865">
      <c r="A865" s="5" t="n"/>
      <c r="B865" s="6" t="n"/>
      <c r="C865" s="5" t="n"/>
      <c r="D865" s="5" t="n"/>
      <c r="E865" s="5" t="n"/>
      <c r="F865" s="5" t="n"/>
      <c r="G865" s="5" t="n"/>
      <c r="H865" s="6" t="n"/>
      <c r="I865" s="5" t="n"/>
      <c r="J865" s="5" t="n"/>
      <c r="K865" s="5" t="n"/>
      <c r="L865" s="5" t="n"/>
    </row>
    <row r="866">
      <c r="A866" s="5" t="n"/>
      <c r="B866" s="6" t="n"/>
      <c r="C866" s="5" t="n"/>
      <c r="D866" s="5" t="n"/>
      <c r="E866" s="5" t="n"/>
      <c r="F866" s="5" t="n"/>
      <c r="G866" s="5" t="n"/>
      <c r="H866" s="6" t="n"/>
      <c r="I866" s="5" t="n"/>
      <c r="J866" s="5" t="n"/>
      <c r="K866" s="5" t="n"/>
      <c r="L866" s="5" t="n"/>
    </row>
    <row r="867">
      <c r="A867" s="5" t="n"/>
      <c r="B867" s="6" t="n"/>
      <c r="C867" s="5" t="n"/>
      <c r="D867" s="5" t="n"/>
      <c r="E867" s="5" t="n"/>
      <c r="F867" s="5" t="n"/>
      <c r="G867" s="5" t="n"/>
      <c r="H867" s="6" t="n"/>
      <c r="I867" s="5" t="n"/>
      <c r="J867" s="5" t="n"/>
      <c r="K867" s="5" t="n"/>
      <c r="L867" s="5" t="n"/>
    </row>
    <row r="868">
      <c r="A868" s="5" t="n"/>
      <c r="B868" s="6" t="n"/>
      <c r="C868" s="5" t="n"/>
      <c r="D868" s="5" t="n"/>
      <c r="E868" s="5" t="n"/>
      <c r="F868" s="5" t="n"/>
      <c r="G868" s="5" t="n"/>
      <c r="H868" s="6" t="n"/>
      <c r="I868" s="5" t="n"/>
      <c r="J868" s="5" t="n"/>
      <c r="K868" s="5" t="n"/>
      <c r="L868" s="5" t="n"/>
    </row>
    <row r="869">
      <c r="A869" s="5" t="n"/>
      <c r="B869" s="6" t="n"/>
      <c r="C869" s="5" t="n"/>
      <c r="D869" s="5" t="n"/>
      <c r="E869" s="5" t="n"/>
      <c r="F869" s="5" t="n"/>
      <c r="G869" s="5" t="n"/>
      <c r="H869" s="6" t="n"/>
      <c r="I869" s="5" t="n"/>
      <c r="J869" s="5" t="n"/>
      <c r="K869" s="5" t="n"/>
      <c r="L869" s="5" t="n"/>
    </row>
    <row r="870">
      <c r="A870" s="5" t="n"/>
      <c r="B870" s="6" t="n"/>
      <c r="C870" s="5" t="n"/>
      <c r="D870" s="5" t="n"/>
      <c r="E870" s="5" t="n"/>
      <c r="F870" s="5" t="n"/>
      <c r="G870" s="5" t="n"/>
      <c r="H870" s="6" t="n"/>
      <c r="I870" s="5" t="n"/>
      <c r="J870" s="5" t="n"/>
      <c r="K870" s="5" t="n"/>
      <c r="L870" s="5" t="n"/>
    </row>
    <row r="871">
      <c r="A871" s="5" t="n"/>
      <c r="B871" s="6" t="n"/>
      <c r="C871" s="5" t="n"/>
      <c r="D871" s="5" t="n"/>
      <c r="E871" s="5" t="n"/>
      <c r="F871" s="5" t="n"/>
      <c r="G871" s="5" t="n"/>
      <c r="H871" s="6" t="n"/>
      <c r="I871" s="5" t="n"/>
      <c r="J871" s="5" t="n"/>
      <c r="K871" s="5" t="n"/>
      <c r="L871" s="5" t="n"/>
    </row>
    <row r="872">
      <c r="A872" s="5" t="n"/>
      <c r="B872" s="6" t="n"/>
      <c r="C872" s="5" t="n"/>
      <c r="D872" s="5" t="n"/>
      <c r="E872" s="5" t="n"/>
      <c r="F872" s="5" t="n"/>
      <c r="G872" s="5" t="n"/>
      <c r="H872" s="6" t="n"/>
      <c r="I872" s="5" t="n"/>
      <c r="J872" s="5" t="n"/>
      <c r="K872" s="5" t="n"/>
      <c r="L872" s="5" t="n"/>
    </row>
    <row r="873">
      <c r="A873" s="5" t="n"/>
      <c r="B873" s="6" t="n"/>
      <c r="C873" s="5" t="n"/>
      <c r="D873" s="5" t="n"/>
      <c r="E873" s="5" t="n"/>
      <c r="F873" s="5" t="n"/>
      <c r="G873" s="5" t="n"/>
      <c r="H873" s="6" t="n"/>
      <c r="I873" s="5" t="n"/>
      <c r="J873" s="5" t="n"/>
      <c r="K873" s="5" t="n"/>
      <c r="L873" s="5" t="n"/>
    </row>
    <row r="874">
      <c r="A874" s="5" t="n"/>
      <c r="B874" s="6" t="n"/>
      <c r="C874" s="5" t="n"/>
      <c r="D874" s="5" t="n"/>
      <c r="E874" s="5" t="n"/>
      <c r="F874" s="5" t="n"/>
      <c r="G874" s="5" t="n"/>
      <c r="H874" s="6" t="n"/>
      <c r="I874" s="5" t="n"/>
      <c r="J874" s="5" t="n"/>
      <c r="K874" s="5" t="n"/>
      <c r="L874" s="5" t="n"/>
    </row>
    <row r="875">
      <c r="A875" s="5" t="n"/>
      <c r="B875" s="6" t="n"/>
      <c r="C875" s="5" t="n"/>
      <c r="D875" s="5" t="n"/>
      <c r="E875" s="5" t="n"/>
      <c r="F875" s="5" t="n"/>
      <c r="G875" s="5" t="n"/>
      <c r="H875" s="6" t="n"/>
      <c r="I875" s="5" t="n"/>
      <c r="J875" s="5" t="n"/>
      <c r="K875" s="5" t="n"/>
      <c r="L875" s="5" t="n"/>
    </row>
    <row r="876">
      <c r="A876" s="5" t="n"/>
      <c r="B876" s="6" t="n"/>
      <c r="C876" s="5" t="n"/>
      <c r="D876" s="5" t="n"/>
      <c r="E876" s="5" t="n"/>
      <c r="F876" s="5" t="n"/>
      <c r="G876" s="5" t="n"/>
      <c r="H876" s="6" t="n"/>
      <c r="I876" s="5" t="n"/>
      <c r="J876" s="5" t="n"/>
      <c r="K876" s="5" t="n"/>
      <c r="L876" s="5" t="n"/>
    </row>
    <row r="877">
      <c r="A877" s="5" t="n"/>
      <c r="B877" s="6" t="n"/>
      <c r="C877" s="5" t="n"/>
      <c r="D877" s="5" t="n"/>
      <c r="E877" s="5" t="n"/>
      <c r="F877" s="5" t="n"/>
      <c r="G877" s="5" t="n"/>
      <c r="H877" s="6" t="n"/>
      <c r="I877" s="5" t="n"/>
      <c r="J877" s="5" t="n"/>
      <c r="K877" s="5" t="n"/>
      <c r="L877" s="5" t="n"/>
    </row>
    <row r="878">
      <c r="A878" s="5" t="n"/>
      <c r="B878" s="6" t="n"/>
      <c r="C878" s="5" t="n"/>
      <c r="D878" s="5" t="n"/>
      <c r="E878" s="5" t="n"/>
      <c r="F878" s="5" t="n"/>
      <c r="G878" s="5" t="n"/>
      <c r="H878" s="6" t="n"/>
      <c r="I878" s="5" t="n"/>
      <c r="J878" s="5" t="n"/>
      <c r="K878" s="5" t="n"/>
      <c r="L878" s="5" t="n"/>
    </row>
    <row r="879">
      <c r="A879" s="5" t="n"/>
      <c r="B879" s="6" t="n"/>
      <c r="C879" s="5" t="n"/>
      <c r="D879" s="5" t="n"/>
      <c r="E879" s="5" t="n"/>
      <c r="F879" s="5" t="n"/>
      <c r="G879" s="5" t="n"/>
      <c r="H879" s="6" t="n"/>
      <c r="I879" s="5" t="n"/>
      <c r="J879" s="5" t="n"/>
      <c r="K879" s="5" t="n"/>
      <c r="L879" s="5" t="n"/>
    </row>
    <row r="880">
      <c r="A880" s="5" t="n"/>
      <c r="B880" s="6" t="n"/>
      <c r="C880" s="5" t="n"/>
      <c r="D880" s="5" t="n"/>
      <c r="E880" s="5" t="n"/>
      <c r="F880" s="5" t="n"/>
      <c r="G880" s="5" t="n"/>
      <c r="H880" s="6" t="n"/>
      <c r="I880" s="5" t="n"/>
      <c r="J880" s="5" t="n"/>
      <c r="K880" s="5" t="n"/>
      <c r="L880" s="5" t="n"/>
    </row>
    <row r="881">
      <c r="A881" s="5" t="n"/>
      <c r="B881" s="6" t="n"/>
      <c r="C881" s="5" t="n"/>
      <c r="D881" s="5" t="n"/>
      <c r="E881" s="5" t="n"/>
      <c r="F881" s="5" t="n"/>
      <c r="G881" s="5" t="n"/>
      <c r="H881" s="6" t="n"/>
      <c r="I881" s="5" t="n"/>
      <c r="J881" s="5" t="n"/>
      <c r="K881" s="5" t="n"/>
      <c r="L881" s="5" t="n"/>
    </row>
    <row r="882">
      <c r="A882" s="5" t="n"/>
      <c r="B882" s="6" t="n"/>
      <c r="C882" s="5" t="n"/>
      <c r="D882" s="5" t="n"/>
      <c r="E882" s="5" t="n"/>
      <c r="F882" s="5" t="n"/>
      <c r="G882" s="5" t="n"/>
      <c r="H882" s="6" t="n"/>
      <c r="I882" s="5" t="n"/>
      <c r="J882" s="5" t="n"/>
      <c r="K882" s="5" t="n"/>
      <c r="L882" s="5" t="n"/>
    </row>
    <row r="883">
      <c r="A883" s="5" t="n"/>
      <c r="B883" s="6" t="n"/>
      <c r="C883" s="5" t="n"/>
      <c r="D883" s="5" t="n"/>
      <c r="E883" s="5" t="n"/>
      <c r="F883" s="5" t="n"/>
      <c r="G883" s="5" t="n"/>
      <c r="H883" s="6" t="n"/>
      <c r="I883" s="5" t="n"/>
      <c r="J883" s="5" t="n"/>
      <c r="K883" s="5" t="n"/>
      <c r="L883" s="5" t="n"/>
    </row>
    <row r="884">
      <c r="A884" s="5" t="n"/>
      <c r="B884" s="6" t="n"/>
      <c r="C884" s="5" t="n"/>
      <c r="D884" s="5" t="n"/>
      <c r="E884" s="5" t="n"/>
      <c r="F884" s="5" t="n"/>
      <c r="G884" s="5" t="n"/>
      <c r="H884" s="6" t="n"/>
      <c r="I884" s="5" t="n"/>
      <c r="J884" s="5" t="n"/>
      <c r="K884" s="5" t="n"/>
      <c r="L884" s="5" t="n"/>
    </row>
    <row r="885">
      <c r="A885" s="5" t="n"/>
      <c r="B885" s="6" t="n"/>
      <c r="C885" s="5" t="n"/>
      <c r="D885" s="5" t="n"/>
      <c r="E885" s="5" t="n"/>
      <c r="F885" s="5" t="n"/>
      <c r="G885" s="5" t="n"/>
      <c r="H885" s="6" t="n"/>
      <c r="I885" s="5" t="n"/>
      <c r="J885" s="5" t="n"/>
      <c r="K885" s="5" t="n"/>
      <c r="L885" s="5" t="n"/>
    </row>
    <row r="886">
      <c r="A886" s="5" t="n"/>
      <c r="B886" s="6" t="n"/>
      <c r="C886" s="5" t="n"/>
      <c r="D886" s="5" t="n"/>
      <c r="E886" s="5" t="n"/>
      <c r="F886" s="5" t="n"/>
      <c r="G886" s="5" t="n"/>
      <c r="H886" s="6" t="n"/>
      <c r="I886" s="5" t="n"/>
      <c r="J886" s="5" t="n"/>
      <c r="K886" s="5" t="n"/>
      <c r="L886" s="5" t="n"/>
    </row>
    <row r="887">
      <c r="A887" s="5" t="n"/>
      <c r="B887" s="6" t="n"/>
      <c r="C887" s="5" t="n"/>
      <c r="D887" s="5" t="n"/>
      <c r="E887" s="5" t="n"/>
      <c r="F887" s="5" t="n"/>
      <c r="G887" s="5" t="n"/>
      <c r="H887" s="6" t="n"/>
      <c r="I887" s="5" t="n"/>
      <c r="J887" s="5" t="n"/>
      <c r="K887" s="5" t="n"/>
      <c r="L887" s="5" t="n"/>
    </row>
    <row r="888">
      <c r="A888" s="5" t="n"/>
      <c r="B888" s="6" t="n"/>
      <c r="C888" s="5" t="n"/>
      <c r="D888" s="5" t="n"/>
      <c r="E888" s="5" t="n"/>
      <c r="F888" s="5" t="n"/>
      <c r="G888" s="5" t="n"/>
      <c r="H888" s="6" t="n"/>
      <c r="I888" s="5" t="n"/>
      <c r="J888" s="5" t="n"/>
      <c r="K888" s="5" t="n"/>
      <c r="L888" s="5" t="n"/>
    </row>
    <row r="889">
      <c r="A889" s="5" t="n"/>
      <c r="B889" s="6" t="n"/>
      <c r="C889" s="5" t="n"/>
      <c r="D889" s="5" t="n"/>
      <c r="E889" s="5" t="n"/>
      <c r="F889" s="5" t="n"/>
      <c r="G889" s="5" t="n"/>
      <c r="H889" s="6" t="n"/>
      <c r="I889" s="5" t="n"/>
      <c r="J889" s="5" t="n"/>
      <c r="K889" s="5" t="n"/>
      <c r="L889" s="5" t="n"/>
    </row>
    <row r="890">
      <c r="A890" s="5" t="n"/>
      <c r="B890" s="6" t="n"/>
      <c r="C890" s="5" t="n"/>
      <c r="D890" s="5" t="n"/>
      <c r="E890" s="5" t="n"/>
      <c r="F890" s="5" t="n"/>
      <c r="G890" s="5" t="n"/>
      <c r="H890" s="6" t="n"/>
      <c r="I890" s="5" t="n"/>
      <c r="J890" s="5" t="n"/>
      <c r="K890" s="5" t="n"/>
      <c r="L890" s="5" t="n"/>
    </row>
    <row r="891">
      <c r="A891" s="5" t="n"/>
      <c r="B891" s="6" t="n"/>
      <c r="C891" s="5" t="n"/>
      <c r="D891" s="5" t="n"/>
      <c r="E891" s="5" t="n"/>
      <c r="F891" s="5" t="n"/>
      <c r="G891" s="5" t="n"/>
      <c r="H891" s="6" t="n"/>
      <c r="I891" s="5" t="n"/>
      <c r="J891" s="5" t="n"/>
      <c r="K891" s="5" t="n"/>
      <c r="L891" s="5" t="n"/>
    </row>
    <row r="892">
      <c r="A892" s="5" t="n"/>
      <c r="B892" s="6" t="n"/>
      <c r="C892" s="5" t="n"/>
      <c r="D892" s="5" t="n"/>
      <c r="E892" s="5" t="n"/>
      <c r="F892" s="5" t="n"/>
      <c r="G892" s="5" t="n"/>
      <c r="H892" s="6" t="n"/>
      <c r="I892" s="5" t="n"/>
      <c r="J892" s="5" t="n"/>
      <c r="K892" s="5" t="n"/>
      <c r="L892" s="5" t="n"/>
    </row>
    <row r="893">
      <c r="A893" s="5" t="n"/>
      <c r="B893" s="6" t="n"/>
      <c r="C893" s="5" t="n"/>
      <c r="D893" s="5" t="n"/>
      <c r="E893" s="5" t="n"/>
      <c r="F893" s="5" t="n"/>
      <c r="G893" s="5" t="n"/>
      <c r="H893" s="6" t="n"/>
      <c r="I893" s="5" t="n"/>
      <c r="J893" s="5" t="n"/>
      <c r="K893" s="5" t="n"/>
      <c r="L893" s="5" t="n"/>
    </row>
    <row r="894">
      <c r="A894" s="5" t="n"/>
      <c r="B894" s="6" t="n"/>
      <c r="C894" s="5" t="n"/>
      <c r="D894" s="5" t="n"/>
      <c r="E894" s="5" t="n"/>
      <c r="F894" s="5" t="n"/>
      <c r="G894" s="5" t="n"/>
      <c r="H894" s="6" t="n"/>
      <c r="I894" s="5" t="n"/>
      <c r="J894" s="5" t="n"/>
      <c r="K894" s="5" t="n"/>
      <c r="L894" s="5" t="n"/>
    </row>
    <row r="895">
      <c r="A895" s="5" t="n"/>
      <c r="B895" s="6" t="n"/>
      <c r="C895" s="5" t="n"/>
      <c r="D895" s="5" t="n"/>
      <c r="E895" s="5" t="n"/>
      <c r="F895" s="5" t="n"/>
      <c r="G895" s="5" t="n"/>
      <c r="H895" s="6" t="n"/>
      <c r="I895" s="5" t="n"/>
      <c r="J895" s="5" t="n"/>
      <c r="K895" s="5" t="n"/>
      <c r="L895" s="5" t="n"/>
    </row>
    <row r="896">
      <c r="A896" s="5" t="n"/>
      <c r="B896" s="6" t="n"/>
      <c r="C896" s="5" t="n"/>
      <c r="D896" s="5" t="n"/>
      <c r="E896" s="5" t="n"/>
      <c r="F896" s="5" t="n"/>
      <c r="G896" s="5" t="n"/>
      <c r="H896" s="6" t="n"/>
      <c r="I896" s="5" t="n"/>
      <c r="J896" s="5" t="n"/>
      <c r="K896" s="5" t="n"/>
      <c r="L896" s="5" t="n"/>
    </row>
    <row r="897">
      <c r="A897" s="5" t="n"/>
      <c r="B897" s="6" t="n"/>
      <c r="C897" s="5" t="n"/>
      <c r="D897" s="5" t="n"/>
      <c r="E897" s="5" t="n"/>
      <c r="F897" s="5" t="n"/>
      <c r="G897" s="5" t="n"/>
      <c r="H897" s="6" t="n"/>
      <c r="I897" s="5" t="n"/>
      <c r="J897" s="5" t="n"/>
      <c r="K897" s="5" t="n"/>
      <c r="L897" s="5" t="n"/>
    </row>
    <row r="898">
      <c r="A898" s="5" t="n"/>
      <c r="B898" s="6" t="n"/>
      <c r="C898" s="5" t="n"/>
      <c r="D898" s="5" t="n"/>
      <c r="E898" s="5" t="n"/>
      <c r="F898" s="5" t="n"/>
      <c r="G898" s="5" t="n"/>
      <c r="H898" s="6" t="n"/>
      <c r="I898" s="5" t="n"/>
      <c r="J898" s="5" t="n"/>
      <c r="K898" s="5" t="n"/>
      <c r="L898" s="5" t="n"/>
    </row>
    <row r="899">
      <c r="A899" s="5" t="n"/>
      <c r="B899" s="6" t="n"/>
      <c r="C899" s="5" t="n"/>
      <c r="D899" s="5" t="n"/>
      <c r="E899" s="5" t="n"/>
      <c r="F899" s="5" t="n"/>
      <c r="G899" s="5" t="n"/>
      <c r="H899" s="6" t="n"/>
      <c r="I899" s="5" t="n"/>
      <c r="J899" s="5" t="n"/>
      <c r="K899" s="5" t="n"/>
      <c r="L899" s="5" t="n"/>
    </row>
    <row r="900">
      <c r="A900" s="5" t="n"/>
      <c r="B900" s="6" t="n"/>
      <c r="C900" s="5" t="n"/>
      <c r="D900" s="5" t="n"/>
      <c r="E900" s="5" t="n"/>
      <c r="F900" s="5" t="n"/>
      <c r="G900" s="5" t="n"/>
      <c r="H900" s="6" t="n"/>
      <c r="I900" s="5" t="n"/>
      <c r="J900" s="5" t="n"/>
      <c r="K900" s="5" t="n"/>
      <c r="L900" s="5" t="n"/>
    </row>
    <row r="901">
      <c r="A901" s="5" t="n"/>
      <c r="B901" s="6" t="n"/>
      <c r="C901" s="5" t="n"/>
      <c r="D901" s="5" t="n"/>
      <c r="E901" s="5" t="n"/>
      <c r="F901" s="5" t="n"/>
      <c r="G901" s="5" t="n"/>
      <c r="H901" s="6" t="n"/>
      <c r="I901" s="5" t="n"/>
      <c r="J901" s="5" t="n"/>
      <c r="K901" s="5" t="n"/>
      <c r="L901" s="5" t="n"/>
    </row>
    <row r="902">
      <c r="A902" s="5" t="n"/>
      <c r="B902" s="6" t="n"/>
      <c r="C902" s="5" t="n"/>
      <c r="D902" s="5" t="n"/>
      <c r="E902" s="5" t="n"/>
      <c r="F902" s="5" t="n"/>
      <c r="G902" s="5" t="n"/>
      <c r="H902" s="6" t="n"/>
      <c r="I902" s="5" t="n"/>
      <c r="J902" s="5" t="n"/>
      <c r="K902" s="5" t="n"/>
      <c r="L902" s="5" t="n"/>
    </row>
    <row r="903">
      <c r="A903" s="5" t="n"/>
      <c r="B903" s="6" t="n"/>
      <c r="C903" s="5" t="n"/>
      <c r="D903" s="5" t="n"/>
      <c r="E903" s="5" t="n"/>
      <c r="F903" s="5" t="n"/>
      <c r="G903" s="5" t="n"/>
      <c r="H903" s="6" t="n"/>
      <c r="I903" s="5" t="n"/>
      <c r="J903" s="5" t="n"/>
      <c r="K903" s="5" t="n"/>
      <c r="L903" s="5" t="n"/>
    </row>
    <row r="904">
      <c r="A904" s="5" t="n"/>
      <c r="B904" s="6" t="n"/>
      <c r="C904" s="5" t="n"/>
      <c r="D904" s="5" t="n"/>
      <c r="E904" s="5" t="n"/>
      <c r="F904" s="5" t="n"/>
      <c r="G904" s="5" t="n"/>
      <c r="H904" s="6" t="n"/>
      <c r="I904" s="5" t="n"/>
      <c r="J904" s="5" t="n"/>
      <c r="K904" s="5" t="n"/>
      <c r="L904" s="5" t="n"/>
    </row>
    <row r="905">
      <c r="A905" s="5" t="n"/>
      <c r="B905" s="6" t="n"/>
      <c r="C905" s="5" t="n"/>
      <c r="D905" s="5" t="n"/>
      <c r="E905" s="5" t="n"/>
      <c r="F905" s="5" t="n"/>
      <c r="G905" s="5" t="n"/>
      <c r="H905" s="6" t="n"/>
      <c r="I905" s="5" t="n"/>
      <c r="J905" s="5" t="n"/>
      <c r="K905" s="5" t="n"/>
      <c r="L905" s="5" t="n"/>
    </row>
    <row r="906">
      <c r="A906" s="5" t="n"/>
      <c r="B906" s="6" t="n"/>
      <c r="C906" s="5" t="n"/>
      <c r="D906" s="5" t="n"/>
      <c r="E906" s="5" t="n"/>
      <c r="F906" s="5" t="n"/>
      <c r="G906" s="5" t="n"/>
      <c r="H906" s="6" t="n"/>
      <c r="I906" s="5" t="n"/>
      <c r="J906" s="5" t="n"/>
      <c r="K906" s="5" t="n"/>
      <c r="L906" s="5" t="n"/>
    </row>
    <row r="907">
      <c r="A907" s="5" t="n"/>
      <c r="B907" s="6" t="n"/>
      <c r="C907" s="5" t="n"/>
      <c r="D907" s="5" t="n"/>
      <c r="E907" s="5" t="n"/>
      <c r="F907" s="5" t="n"/>
      <c r="G907" s="5" t="n"/>
      <c r="H907" s="6" t="n"/>
      <c r="I907" s="5" t="n"/>
      <c r="J907" s="5" t="n"/>
      <c r="K907" s="5" t="n"/>
      <c r="L907" s="5" t="n"/>
    </row>
    <row r="908">
      <c r="A908" s="5" t="n"/>
      <c r="B908" s="6" t="n"/>
      <c r="C908" s="5" t="n"/>
      <c r="D908" s="5" t="n"/>
      <c r="E908" s="5" t="n"/>
      <c r="F908" s="5" t="n"/>
      <c r="G908" s="5" t="n"/>
      <c r="H908" s="6" t="n"/>
      <c r="I908" s="5" t="n"/>
      <c r="J908" s="5" t="n"/>
      <c r="K908" s="5" t="n"/>
      <c r="L908" s="5" t="n"/>
    </row>
    <row r="909">
      <c r="A909" s="5" t="n"/>
      <c r="B909" s="6" t="n"/>
      <c r="C909" s="5" t="n"/>
      <c r="D909" s="5" t="n"/>
      <c r="E909" s="5" t="n"/>
      <c r="F909" s="5" t="n"/>
      <c r="G909" s="5" t="n"/>
      <c r="H909" s="6" t="n"/>
      <c r="I909" s="5" t="n"/>
      <c r="J909" s="5" t="n"/>
      <c r="K909" s="5" t="n"/>
      <c r="L909" s="5" t="n"/>
    </row>
    <row r="910">
      <c r="A910" s="5" t="n"/>
      <c r="B910" s="6" t="n"/>
      <c r="C910" s="5" t="n"/>
      <c r="D910" s="5" t="n"/>
      <c r="E910" s="5" t="n"/>
      <c r="F910" s="5" t="n"/>
      <c r="G910" s="5" t="n"/>
      <c r="H910" s="6" t="n"/>
      <c r="I910" s="5" t="n"/>
      <c r="J910" s="5" t="n"/>
      <c r="K910" s="5" t="n"/>
      <c r="L910" s="5" t="n"/>
    </row>
    <row r="911">
      <c r="A911" s="5" t="n"/>
      <c r="B911" s="6" t="n"/>
      <c r="C911" s="5" t="n"/>
      <c r="D911" s="5" t="n"/>
      <c r="E911" s="5" t="n"/>
      <c r="F911" s="5" t="n"/>
      <c r="G911" s="5" t="n"/>
      <c r="H911" s="6" t="n"/>
      <c r="I911" s="5" t="n"/>
      <c r="J911" s="5" t="n"/>
      <c r="K911" s="5" t="n"/>
      <c r="L911" s="5" t="n"/>
    </row>
    <row r="912">
      <c r="A912" s="5" t="n"/>
      <c r="B912" s="6" t="n"/>
      <c r="C912" s="5" t="n"/>
      <c r="D912" s="5" t="n"/>
      <c r="E912" s="5" t="n"/>
      <c r="F912" s="5" t="n"/>
      <c r="G912" s="5" t="n"/>
      <c r="H912" s="6" t="n"/>
      <c r="I912" s="5" t="n"/>
      <c r="J912" s="5" t="n"/>
      <c r="K912" s="5" t="n"/>
      <c r="L912" s="5" t="n"/>
    </row>
    <row r="913">
      <c r="A913" s="5" t="n"/>
      <c r="B913" s="6" t="n"/>
      <c r="C913" s="5" t="n"/>
      <c r="D913" s="5" t="n"/>
      <c r="E913" s="5" t="n"/>
      <c r="F913" s="5" t="n"/>
      <c r="G913" s="5" t="n"/>
      <c r="H913" s="6" t="n"/>
      <c r="I913" s="5" t="n"/>
      <c r="J913" s="5" t="n"/>
      <c r="K913" s="5" t="n"/>
      <c r="L913" s="5" t="n"/>
    </row>
    <row r="914">
      <c r="A914" s="5" t="n"/>
      <c r="B914" s="6" t="n"/>
      <c r="C914" s="5" t="n"/>
      <c r="D914" s="5" t="n"/>
      <c r="E914" s="5" t="n"/>
      <c r="F914" s="5" t="n"/>
      <c r="G914" s="5" t="n"/>
      <c r="H914" s="6" t="n"/>
      <c r="I914" s="5" t="n"/>
      <c r="J914" s="5" t="n"/>
      <c r="K914" s="5" t="n"/>
      <c r="L914" s="5" t="n"/>
    </row>
    <row r="915">
      <c r="A915" s="5" t="n"/>
      <c r="B915" s="6" t="n"/>
      <c r="C915" s="5" t="n"/>
      <c r="D915" s="5" t="n"/>
      <c r="E915" s="5" t="n"/>
      <c r="F915" s="5" t="n"/>
      <c r="G915" s="5" t="n"/>
      <c r="H915" s="6" t="n"/>
      <c r="I915" s="5" t="n"/>
      <c r="J915" s="5" t="n"/>
      <c r="K915" s="5" t="n"/>
      <c r="L915" s="5" t="n"/>
    </row>
    <row r="916">
      <c r="A916" s="5" t="n"/>
      <c r="B916" s="6" t="n"/>
      <c r="C916" s="5" t="n"/>
      <c r="D916" s="5" t="n"/>
      <c r="E916" s="5" t="n"/>
      <c r="F916" s="5" t="n"/>
      <c r="G916" s="5" t="n"/>
      <c r="H916" s="6" t="n"/>
      <c r="I916" s="5" t="n"/>
      <c r="J916" s="5" t="n"/>
      <c r="K916" s="5" t="n"/>
      <c r="L916" s="5" t="n"/>
    </row>
    <row r="917">
      <c r="A917" s="5" t="n"/>
      <c r="B917" s="6" t="n"/>
      <c r="C917" s="5" t="n"/>
      <c r="D917" s="5" t="n"/>
      <c r="E917" s="5" t="n"/>
      <c r="F917" s="5" t="n"/>
      <c r="G917" s="5" t="n"/>
      <c r="H917" s="6" t="n"/>
      <c r="I917" s="5" t="n"/>
      <c r="J917" s="5" t="n"/>
      <c r="K917" s="5" t="n"/>
      <c r="L917" s="5" t="n"/>
    </row>
    <row r="918">
      <c r="A918" s="5" t="n"/>
      <c r="B918" s="6" t="n"/>
      <c r="C918" s="5" t="n"/>
      <c r="D918" s="5" t="n"/>
      <c r="E918" s="5" t="n"/>
      <c r="F918" s="5" t="n"/>
      <c r="G918" s="5" t="n"/>
      <c r="H918" s="6" t="n"/>
      <c r="I918" s="5" t="n"/>
      <c r="J918" s="5" t="n"/>
      <c r="K918" s="5" t="n"/>
      <c r="L918" s="5" t="n"/>
    </row>
    <row r="919">
      <c r="A919" s="5" t="n"/>
      <c r="B919" s="6" t="n"/>
      <c r="C919" s="5" t="n"/>
      <c r="D919" s="5" t="n"/>
      <c r="E919" s="5" t="n"/>
      <c r="F919" s="5" t="n"/>
      <c r="G919" s="5" t="n"/>
      <c r="H919" s="6" t="n"/>
      <c r="I919" s="5" t="n"/>
      <c r="J919" s="5" t="n"/>
      <c r="K919" s="5" t="n"/>
      <c r="L919" s="5" t="n"/>
    </row>
    <row r="920">
      <c r="A920" s="5" t="n"/>
      <c r="B920" s="6" t="n"/>
      <c r="C920" s="5" t="n"/>
      <c r="D920" s="5" t="n"/>
      <c r="E920" s="5" t="n"/>
      <c r="F920" s="5" t="n"/>
      <c r="G920" s="5" t="n"/>
      <c r="H920" s="6" t="n"/>
      <c r="I920" s="5" t="n"/>
      <c r="J920" s="5" t="n"/>
      <c r="K920" s="5" t="n"/>
      <c r="L920" s="5" t="n"/>
    </row>
    <row r="921">
      <c r="A921" s="5" t="n"/>
      <c r="B921" s="6" t="n"/>
      <c r="C921" s="5" t="n"/>
      <c r="D921" s="5" t="n"/>
      <c r="E921" s="5" t="n"/>
      <c r="F921" s="5" t="n"/>
      <c r="G921" s="5" t="n"/>
      <c r="H921" s="6" t="n"/>
      <c r="I921" s="5" t="n"/>
      <c r="J921" s="5" t="n"/>
      <c r="K921" s="5" t="n"/>
      <c r="L921" s="5" t="n"/>
    </row>
    <row r="922">
      <c r="A922" s="5" t="n"/>
      <c r="B922" s="6" t="n"/>
      <c r="C922" s="5" t="n"/>
      <c r="D922" s="5" t="n"/>
      <c r="E922" s="5" t="n"/>
      <c r="F922" s="5" t="n"/>
      <c r="G922" s="5" t="n"/>
      <c r="H922" s="6" t="n"/>
      <c r="I922" s="5" t="n"/>
      <c r="J922" s="5" t="n"/>
      <c r="K922" s="5" t="n"/>
      <c r="L922" s="5" t="n"/>
    </row>
    <row r="923">
      <c r="A923" s="5" t="n"/>
      <c r="B923" s="6" t="n"/>
      <c r="C923" s="5" t="n"/>
      <c r="D923" s="5" t="n"/>
      <c r="E923" s="5" t="n"/>
      <c r="F923" s="5" t="n"/>
      <c r="G923" s="5" t="n"/>
      <c r="H923" s="6" t="n"/>
      <c r="I923" s="5" t="n"/>
      <c r="J923" s="5" t="n"/>
      <c r="K923" s="5" t="n"/>
      <c r="L923" s="5" t="n"/>
    </row>
    <row r="924">
      <c r="A924" s="5" t="n"/>
      <c r="B924" s="6" t="n"/>
      <c r="C924" s="5" t="n"/>
      <c r="D924" s="5" t="n"/>
      <c r="E924" s="5" t="n"/>
      <c r="F924" s="5" t="n"/>
      <c r="G924" s="5" t="n"/>
      <c r="H924" s="6" t="n"/>
      <c r="I924" s="5" t="n"/>
      <c r="J924" s="5" t="n"/>
      <c r="K924" s="5" t="n"/>
      <c r="L924" s="5" t="n"/>
    </row>
    <row r="925">
      <c r="A925" s="5" t="n"/>
      <c r="B925" s="6" t="n"/>
      <c r="C925" s="5" t="n"/>
      <c r="D925" s="5" t="n"/>
      <c r="E925" s="5" t="n"/>
      <c r="F925" s="5" t="n"/>
      <c r="G925" s="5" t="n"/>
      <c r="H925" s="6" t="n"/>
      <c r="I925" s="5" t="n"/>
      <c r="J925" s="5" t="n"/>
      <c r="K925" s="5" t="n"/>
      <c r="L925" s="5" t="n"/>
    </row>
    <row r="926">
      <c r="A926" s="5" t="n"/>
      <c r="B926" s="6" t="n"/>
      <c r="C926" s="5" t="n"/>
      <c r="D926" s="5" t="n"/>
      <c r="E926" s="5" t="n"/>
      <c r="F926" s="5" t="n"/>
      <c r="G926" s="5" t="n"/>
      <c r="H926" s="6" t="n"/>
      <c r="I926" s="5" t="n"/>
      <c r="J926" s="5" t="n"/>
      <c r="K926" s="5" t="n"/>
      <c r="L926" s="5" t="n"/>
    </row>
    <row r="927">
      <c r="A927" s="5" t="n"/>
      <c r="B927" s="6" t="n"/>
      <c r="C927" s="5" t="n"/>
      <c r="D927" s="5" t="n"/>
      <c r="E927" s="5" t="n"/>
      <c r="F927" s="5" t="n"/>
      <c r="G927" s="5" t="n"/>
      <c r="H927" s="6" t="n"/>
      <c r="I927" s="5" t="n"/>
      <c r="J927" s="5" t="n"/>
      <c r="K927" s="5" t="n"/>
      <c r="L927" s="5" t="n"/>
    </row>
    <row r="928">
      <c r="A928" s="5" t="n"/>
      <c r="B928" s="6" t="n"/>
      <c r="C928" s="5" t="n"/>
      <c r="D928" s="5" t="n"/>
      <c r="E928" s="5" t="n"/>
      <c r="F928" s="5" t="n"/>
      <c r="G928" s="5" t="n"/>
      <c r="H928" s="6" t="n"/>
      <c r="I928" s="5" t="n"/>
      <c r="J928" s="5" t="n"/>
      <c r="K928" s="5" t="n"/>
      <c r="L928" s="5" t="n"/>
    </row>
    <row r="929">
      <c r="A929" s="5" t="n"/>
      <c r="B929" s="6" t="n"/>
      <c r="C929" s="5" t="n"/>
      <c r="D929" s="5" t="n"/>
      <c r="E929" s="5" t="n"/>
      <c r="F929" s="5" t="n"/>
      <c r="G929" s="5" t="n"/>
      <c r="H929" s="6" t="n"/>
      <c r="I929" s="5" t="n"/>
      <c r="J929" s="5" t="n"/>
      <c r="K929" s="5" t="n"/>
      <c r="L929" s="5" t="n"/>
    </row>
    <row r="930">
      <c r="A930" s="5" t="n"/>
      <c r="B930" s="6" t="n"/>
      <c r="C930" s="5" t="n"/>
      <c r="D930" s="5" t="n"/>
      <c r="E930" s="5" t="n"/>
      <c r="F930" s="5" t="n"/>
      <c r="G930" s="5" t="n"/>
      <c r="H930" s="6" t="n"/>
      <c r="I930" s="5" t="n"/>
      <c r="J930" s="5" t="n"/>
      <c r="K930" s="5" t="n"/>
      <c r="L930" s="5" t="n"/>
    </row>
    <row r="931">
      <c r="A931" s="5" t="n"/>
      <c r="B931" s="6" t="n"/>
      <c r="C931" s="5" t="n"/>
      <c r="D931" s="5" t="n"/>
      <c r="E931" s="5" t="n"/>
      <c r="F931" s="5" t="n"/>
      <c r="G931" s="5" t="n"/>
      <c r="H931" s="6" t="n"/>
      <c r="I931" s="5" t="n"/>
      <c r="J931" s="5" t="n"/>
      <c r="K931" s="5" t="n"/>
      <c r="L931" s="5" t="n"/>
    </row>
    <row r="932">
      <c r="A932" s="5" t="n"/>
      <c r="B932" s="6" t="n"/>
      <c r="C932" s="5" t="n"/>
      <c r="D932" s="5" t="n"/>
      <c r="E932" s="5" t="n"/>
      <c r="F932" s="5" t="n"/>
      <c r="G932" s="5" t="n"/>
      <c r="H932" s="6" t="n"/>
      <c r="I932" s="5" t="n"/>
      <c r="J932" s="5" t="n"/>
      <c r="K932" s="5" t="n"/>
      <c r="L932" s="5" t="n"/>
    </row>
    <row r="933">
      <c r="A933" s="5" t="n"/>
      <c r="B933" s="6" t="n"/>
      <c r="C933" s="5" t="n"/>
      <c r="D933" s="5" t="n"/>
      <c r="E933" s="5" t="n"/>
      <c r="F933" s="5" t="n"/>
      <c r="G933" s="5" t="n"/>
      <c r="H933" s="6" t="n"/>
      <c r="I933" s="5" t="n"/>
      <c r="J933" s="5" t="n"/>
      <c r="K933" s="5" t="n"/>
      <c r="L933" s="5" t="n"/>
    </row>
    <row r="934">
      <c r="A934" s="5" t="n"/>
      <c r="B934" s="6" t="n"/>
      <c r="C934" s="5" t="n"/>
      <c r="D934" s="5" t="n"/>
      <c r="E934" s="5" t="n"/>
      <c r="F934" s="5" t="n"/>
      <c r="G934" s="5" t="n"/>
      <c r="H934" s="6" t="n"/>
      <c r="I934" s="5" t="n"/>
      <c r="J934" s="5" t="n"/>
      <c r="K934" s="5" t="n"/>
      <c r="L934" s="5" t="n"/>
    </row>
    <row r="935">
      <c r="A935" s="5" t="n"/>
      <c r="B935" s="6" t="n"/>
      <c r="C935" s="5" t="n"/>
      <c r="D935" s="5" t="n"/>
      <c r="E935" s="5" t="n"/>
      <c r="F935" s="5" t="n"/>
      <c r="G935" s="5" t="n"/>
      <c r="H935" s="6" t="n"/>
      <c r="I935" s="5" t="n"/>
      <c r="J935" s="5" t="n"/>
      <c r="K935" s="5" t="n"/>
      <c r="L935" s="5" t="n"/>
    </row>
    <row r="936">
      <c r="A936" s="5" t="n"/>
      <c r="B936" s="6" t="n"/>
      <c r="C936" s="5" t="n"/>
      <c r="D936" s="5" t="n"/>
      <c r="E936" s="5" t="n"/>
      <c r="F936" s="5" t="n"/>
      <c r="G936" s="5" t="n"/>
      <c r="H936" s="6" t="n"/>
      <c r="I936" s="5" t="n"/>
      <c r="J936" s="5" t="n"/>
      <c r="K936" s="5" t="n"/>
      <c r="L936" s="5" t="n"/>
    </row>
    <row r="937">
      <c r="A937" s="5" t="n"/>
      <c r="B937" s="6" t="n"/>
      <c r="C937" s="5" t="n"/>
      <c r="D937" s="5" t="n"/>
      <c r="E937" s="5" t="n"/>
      <c r="F937" s="5" t="n"/>
      <c r="G937" s="5" t="n"/>
      <c r="H937" s="6" t="n"/>
      <c r="I937" s="5" t="n"/>
      <c r="J937" s="5" t="n"/>
      <c r="K937" s="5" t="n"/>
      <c r="L937" s="5" t="n"/>
    </row>
    <row r="938">
      <c r="A938" s="5" t="n"/>
      <c r="B938" s="6" t="n"/>
      <c r="C938" s="5" t="n"/>
      <c r="D938" s="5" t="n"/>
      <c r="E938" s="5" t="n"/>
      <c r="F938" s="5" t="n"/>
      <c r="G938" s="5" t="n"/>
      <c r="H938" s="6" t="n"/>
      <c r="I938" s="5" t="n"/>
      <c r="J938" s="5" t="n"/>
      <c r="K938" s="5" t="n"/>
      <c r="L938" s="5" t="n"/>
    </row>
    <row r="939">
      <c r="A939" s="5" t="n"/>
      <c r="B939" s="6" t="n"/>
      <c r="C939" s="5" t="n"/>
      <c r="D939" s="5" t="n"/>
      <c r="E939" s="5" t="n"/>
      <c r="F939" s="5" t="n"/>
      <c r="G939" s="5" t="n"/>
      <c r="H939" s="6" t="n"/>
      <c r="I939" s="5" t="n"/>
      <c r="J939" s="5" t="n"/>
      <c r="K939" s="5" t="n"/>
      <c r="L939" s="5" t="n"/>
    </row>
    <row r="940">
      <c r="A940" s="5" t="n"/>
      <c r="B940" s="6" t="n"/>
      <c r="C940" s="5" t="n"/>
      <c r="D940" s="5" t="n"/>
      <c r="E940" s="5" t="n"/>
      <c r="F940" s="5" t="n"/>
      <c r="G940" s="5" t="n"/>
      <c r="H940" s="6" t="n"/>
      <c r="I940" s="5" t="n"/>
      <c r="J940" s="5" t="n"/>
      <c r="K940" s="5" t="n"/>
      <c r="L940" s="5" t="n"/>
    </row>
    <row r="941">
      <c r="A941" s="5" t="n"/>
      <c r="B941" s="6" t="n"/>
      <c r="C941" s="5" t="n"/>
      <c r="D941" s="5" t="n"/>
      <c r="E941" s="5" t="n"/>
      <c r="F941" s="5" t="n"/>
      <c r="G941" s="5" t="n"/>
      <c r="H941" s="6" t="n"/>
      <c r="I941" s="5" t="n"/>
      <c r="J941" s="5" t="n"/>
      <c r="K941" s="5" t="n"/>
      <c r="L941" s="5" t="n"/>
    </row>
    <row r="942">
      <c r="A942" s="5" t="n"/>
      <c r="B942" s="6" t="n"/>
      <c r="C942" s="5" t="n"/>
      <c r="D942" s="5" t="n"/>
      <c r="E942" s="5" t="n"/>
      <c r="F942" s="5" t="n"/>
      <c r="G942" s="5" t="n"/>
      <c r="H942" s="6" t="n"/>
      <c r="I942" s="5" t="n"/>
      <c r="J942" s="5" t="n"/>
      <c r="K942" s="5" t="n"/>
      <c r="L942" s="5" t="n"/>
    </row>
    <row r="943">
      <c r="A943" s="5" t="n"/>
      <c r="B943" s="6" t="n"/>
      <c r="C943" s="5" t="n"/>
      <c r="D943" s="5" t="n"/>
      <c r="E943" s="5" t="n"/>
      <c r="F943" s="5" t="n"/>
      <c r="G943" s="5" t="n"/>
      <c r="H943" s="6" t="n"/>
      <c r="I943" s="5" t="n"/>
      <c r="J943" s="5" t="n"/>
      <c r="K943" s="5" t="n"/>
      <c r="L943" s="5" t="n"/>
    </row>
    <row r="944">
      <c r="A944" s="5" t="n"/>
      <c r="B944" s="6" t="n"/>
      <c r="C944" s="5" t="n"/>
      <c r="D944" s="5" t="n"/>
      <c r="E944" s="5" t="n"/>
      <c r="F944" s="5" t="n"/>
      <c r="G944" s="5" t="n"/>
      <c r="H944" s="6" t="n"/>
      <c r="I944" s="5" t="n"/>
      <c r="J944" s="5" t="n"/>
      <c r="K944" s="5" t="n"/>
      <c r="L944" s="5" t="n"/>
    </row>
    <row r="945">
      <c r="A945" s="5" t="n"/>
      <c r="B945" s="6" t="n"/>
      <c r="C945" s="5" t="n"/>
      <c r="D945" s="5" t="n"/>
      <c r="E945" s="5" t="n"/>
      <c r="F945" s="5" t="n"/>
      <c r="G945" s="5" t="n"/>
      <c r="H945" s="6" t="n"/>
      <c r="I945" s="5" t="n"/>
      <c r="J945" s="5" t="n"/>
      <c r="K945" s="5" t="n"/>
      <c r="L945" s="5" t="n"/>
    </row>
    <row r="946">
      <c r="A946" s="5" t="n"/>
      <c r="B946" s="6" t="n"/>
      <c r="C946" s="5" t="n"/>
      <c r="D946" s="5" t="n"/>
      <c r="E946" s="5" t="n"/>
      <c r="F946" s="5" t="n"/>
      <c r="G946" s="5" t="n"/>
      <c r="H946" s="6" t="n"/>
      <c r="I946" s="5" t="n"/>
      <c r="J946" s="5" t="n"/>
      <c r="K946" s="5" t="n"/>
      <c r="L946" s="5" t="n"/>
    </row>
    <row r="947">
      <c r="A947" s="5" t="n"/>
      <c r="B947" s="6" t="n"/>
      <c r="C947" s="5" t="n"/>
      <c r="D947" s="5" t="n"/>
      <c r="E947" s="5" t="n"/>
      <c r="F947" s="5" t="n"/>
      <c r="G947" s="5" t="n"/>
      <c r="H947" s="6" t="n"/>
      <c r="I947" s="5" t="n"/>
      <c r="J947" s="5" t="n"/>
      <c r="K947" s="5" t="n"/>
      <c r="L947" s="5" t="n"/>
    </row>
    <row r="948">
      <c r="A948" s="5" t="n"/>
      <c r="B948" s="6" t="n"/>
      <c r="C948" s="5" t="n"/>
      <c r="D948" s="5" t="n"/>
      <c r="E948" s="5" t="n"/>
      <c r="F948" s="5" t="n"/>
      <c r="G948" s="5" t="n"/>
      <c r="H948" s="6" t="n"/>
      <c r="I948" s="5" t="n"/>
      <c r="J948" s="5" t="n"/>
      <c r="K948" s="5" t="n"/>
      <c r="L948" s="5" t="n"/>
    </row>
    <row r="949">
      <c r="A949" s="5" t="n"/>
      <c r="B949" s="6" t="n"/>
      <c r="C949" s="5" t="n"/>
      <c r="D949" s="5" t="n"/>
      <c r="E949" s="5" t="n"/>
      <c r="F949" s="5" t="n"/>
      <c r="G949" s="5" t="n"/>
      <c r="H949" s="6" t="n"/>
      <c r="I949" s="5" t="n"/>
      <c r="J949" s="5" t="n"/>
      <c r="K949" s="5" t="n"/>
      <c r="L949" s="5" t="n"/>
    </row>
    <row r="950">
      <c r="A950" s="5" t="n"/>
      <c r="B950" s="6" t="n"/>
      <c r="C950" s="5" t="n"/>
      <c r="D950" s="5" t="n"/>
      <c r="E950" s="5" t="n"/>
      <c r="F950" s="5" t="n"/>
      <c r="G950" s="5" t="n"/>
      <c r="H950" s="6" t="n"/>
      <c r="I950" s="5" t="n"/>
      <c r="J950" s="5" t="n"/>
      <c r="K950" s="5" t="n"/>
      <c r="L950" s="5" t="n"/>
    </row>
    <row r="951">
      <c r="A951" s="5" t="n"/>
      <c r="B951" s="6" t="n"/>
      <c r="C951" s="5" t="n"/>
      <c r="D951" s="5" t="n"/>
      <c r="E951" s="5" t="n"/>
      <c r="F951" s="5" t="n"/>
      <c r="G951" s="5" t="n"/>
      <c r="H951" s="6" t="n"/>
      <c r="I951" s="5" t="n"/>
      <c r="J951" s="5" t="n"/>
      <c r="K951" s="5" t="n"/>
      <c r="L951" s="5" t="n"/>
    </row>
    <row r="952">
      <c r="A952" s="5" t="n"/>
      <c r="B952" s="6" t="n"/>
      <c r="C952" s="5" t="n"/>
      <c r="D952" s="5" t="n"/>
      <c r="E952" s="5" t="n"/>
      <c r="F952" s="5" t="n"/>
      <c r="G952" s="5" t="n"/>
      <c r="H952" s="6" t="n"/>
      <c r="I952" s="5" t="n"/>
      <c r="J952" s="5" t="n"/>
      <c r="K952" s="5" t="n"/>
      <c r="L952" s="5" t="n"/>
    </row>
    <row r="953">
      <c r="A953" s="5" t="n"/>
      <c r="B953" s="6" t="n"/>
      <c r="C953" s="5" t="n"/>
      <c r="D953" s="5" t="n"/>
      <c r="E953" s="5" t="n"/>
      <c r="F953" s="5" t="n"/>
      <c r="G953" s="5" t="n"/>
      <c r="H953" s="6" t="n"/>
      <c r="I953" s="5" t="n"/>
      <c r="J953" s="5" t="n"/>
      <c r="K953" s="5" t="n"/>
      <c r="L953" s="5" t="n"/>
    </row>
    <row r="954">
      <c r="A954" s="5" t="n"/>
      <c r="B954" s="6" t="n"/>
      <c r="C954" s="5" t="n"/>
      <c r="D954" s="5" t="n"/>
      <c r="E954" s="5" t="n"/>
      <c r="F954" s="5" t="n"/>
      <c r="G954" s="5" t="n"/>
      <c r="H954" s="6" t="n"/>
      <c r="I954" s="5" t="n"/>
      <c r="J954" s="5" t="n"/>
      <c r="K954" s="5" t="n"/>
      <c r="L954" s="5" t="n"/>
    </row>
    <row r="955">
      <c r="A955" s="5" t="n"/>
      <c r="B955" s="6" t="n"/>
      <c r="C955" s="5" t="n"/>
      <c r="D955" s="5" t="n"/>
      <c r="E955" s="5" t="n"/>
      <c r="F955" s="5" t="n"/>
      <c r="G955" s="5" t="n"/>
      <c r="H955" s="6" t="n"/>
      <c r="I955" s="5" t="n"/>
      <c r="J955" s="5" t="n"/>
      <c r="K955" s="5" t="n"/>
      <c r="L955" s="5" t="n"/>
    </row>
    <row r="956">
      <c r="A956" s="5" t="n"/>
      <c r="B956" s="6" t="n"/>
      <c r="C956" s="5" t="n"/>
      <c r="D956" s="5" t="n"/>
      <c r="E956" s="5" t="n"/>
      <c r="F956" s="5" t="n"/>
      <c r="G956" s="5" t="n"/>
      <c r="H956" s="6" t="n"/>
      <c r="I956" s="5" t="n"/>
      <c r="J956" s="5" t="n"/>
      <c r="K956" s="5" t="n"/>
      <c r="L956" s="5" t="n"/>
    </row>
    <row r="957">
      <c r="A957" s="5" t="n"/>
      <c r="B957" s="6" t="n"/>
      <c r="C957" s="5" t="n"/>
      <c r="D957" s="5" t="n"/>
      <c r="E957" s="5" t="n"/>
      <c r="F957" s="5" t="n"/>
      <c r="G957" s="5" t="n"/>
      <c r="H957" s="6" t="n"/>
      <c r="I957" s="5" t="n"/>
      <c r="J957" s="5" t="n"/>
      <c r="K957" s="5" t="n"/>
      <c r="L957" s="5" t="n"/>
    </row>
    <row r="958">
      <c r="A958" s="5" t="n"/>
      <c r="B958" s="6" t="n"/>
      <c r="C958" s="5" t="n"/>
      <c r="D958" s="5" t="n"/>
      <c r="E958" s="5" t="n"/>
      <c r="F958" s="5" t="n"/>
      <c r="G958" s="5" t="n"/>
      <c r="H958" s="6" t="n"/>
      <c r="I958" s="5" t="n"/>
      <c r="J958" s="5" t="n"/>
      <c r="K958" s="5" t="n"/>
      <c r="L958" s="5" t="n"/>
    </row>
    <row r="959">
      <c r="A959" s="5" t="n"/>
      <c r="B959" s="6" t="n"/>
      <c r="C959" s="5" t="n"/>
      <c r="D959" s="5" t="n"/>
      <c r="E959" s="5" t="n"/>
      <c r="F959" s="5" t="n"/>
      <c r="G959" s="5" t="n"/>
      <c r="H959" s="6" t="n"/>
      <c r="I959" s="5" t="n"/>
      <c r="J959" s="5" t="n"/>
      <c r="K959" s="5" t="n"/>
      <c r="L959" s="5" t="n"/>
    </row>
    <row r="960">
      <c r="A960" s="5" t="n"/>
      <c r="B960" s="6" t="n"/>
      <c r="C960" s="5" t="n"/>
      <c r="D960" s="5" t="n"/>
      <c r="E960" s="5" t="n"/>
      <c r="F960" s="5" t="n"/>
      <c r="G960" s="5" t="n"/>
      <c r="H960" s="6" t="n"/>
      <c r="I960" s="5" t="n"/>
      <c r="J960" s="5" t="n"/>
      <c r="K960" s="5" t="n"/>
      <c r="L960" s="5" t="n"/>
    </row>
    <row r="961">
      <c r="A961" s="5" t="n"/>
      <c r="B961" s="6" t="n"/>
      <c r="C961" s="5" t="n"/>
      <c r="D961" s="5" t="n"/>
      <c r="E961" s="5" t="n"/>
      <c r="F961" s="5" t="n"/>
      <c r="G961" s="5" t="n"/>
      <c r="H961" s="6" t="n"/>
      <c r="I961" s="5" t="n"/>
      <c r="J961" s="5" t="n"/>
      <c r="K961" s="5" t="n"/>
      <c r="L961" s="5" t="n"/>
    </row>
    <row r="962">
      <c r="A962" s="5" t="n"/>
      <c r="B962" s="6" t="n"/>
      <c r="C962" s="5" t="n"/>
      <c r="D962" s="5" t="n"/>
      <c r="E962" s="5" t="n"/>
      <c r="F962" s="5" t="n"/>
      <c r="G962" s="5" t="n"/>
      <c r="H962" s="6" t="n"/>
      <c r="I962" s="5" t="n"/>
      <c r="J962" s="5" t="n"/>
      <c r="K962" s="5" t="n"/>
      <c r="L962" s="5" t="n"/>
    </row>
    <row r="963">
      <c r="A963" s="5" t="n"/>
      <c r="B963" s="6" t="n"/>
      <c r="C963" s="5" t="n"/>
      <c r="D963" s="5" t="n"/>
      <c r="E963" s="5" t="n"/>
      <c r="F963" s="5" t="n"/>
      <c r="G963" s="5" t="n"/>
      <c r="H963" s="6" t="n"/>
      <c r="I963" s="5" t="n"/>
      <c r="J963" s="5" t="n"/>
      <c r="K963" s="5" t="n"/>
      <c r="L963" s="5" t="n"/>
    </row>
    <row r="964">
      <c r="A964" s="5" t="n"/>
      <c r="B964" s="6" t="n"/>
      <c r="C964" s="5" t="n"/>
      <c r="D964" s="5" t="n"/>
      <c r="E964" s="5" t="n"/>
      <c r="F964" s="5" t="n"/>
      <c r="G964" s="5" t="n"/>
      <c r="H964" s="6" t="n"/>
      <c r="I964" s="5" t="n"/>
      <c r="J964" s="5" t="n"/>
      <c r="K964" s="5" t="n"/>
      <c r="L964" s="5" t="n"/>
    </row>
    <row r="965">
      <c r="A965" s="5" t="n"/>
      <c r="B965" s="6" t="n"/>
      <c r="C965" s="5" t="n"/>
      <c r="D965" s="5" t="n"/>
      <c r="E965" s="5" t="n"/>
      <c r="F965" s="5" t="n"/>
      <c r="G965" s="5" t="n"/>
      <c r="H965" s="6" t="n"/>
      <c r="I965" s="5" t="n"/>
      <c r="J965" s="5" t="n"/>
      <c r="K965" s="5" t="n"/>
      <c r="L965" s="5" t="n"/>
    </row>
    <row r="966">
      <c r="A966" s="5" t="n"/>
      <c r="B966" s="6" t="n"/>
      <c r="C966" s="5" t="n"/>
      <c r="D966" s="5" t="n"/>
      <c r="E966" s="5" t="n"/>
      <c r="F966" s="5" t="n"/>
      <c r="G966" s="5" t="n"/>
      <c r="H966" s="6" t="n"/>
      <c r="I966" s="5" t="n"/>
      <c r="J966" s="5" t="n"/>
      <c r="K966" s="5" t="n"/>
      <c r="L966" s="5" t="n"/>
    </row>
    <row r="967">
      <c r="A967" s="5" t="n"/>
      <c r="B967" s="6" t="n"/>
      <c r="C967" s="5" t="n"/>
      <c r="D967" s="5" t="n"/>
      <c r="E967" s="5" t="n"/>
      <c r="F967" s="5" t="n"/>
      <c r="G967" s="5" t="n"/>
      <c r="H967" s="6" t="n"/>
      <c r="I967" s="5" t="n"/>
      <c r="J967" s="5" t="n"/>
      <c r="K967" s="5" t="n"/>
      <c r="L967" s="5" t="n"/>
    </row>
    <row r="968">
      <c r="A968" s="5" t="n"/>
      <c r="B968" s="6" t="n"/>
      <c r="C968" s="5" t="n"/>
      <c r="D968" s="5" t="n"/>
      <c r="E968" s="5" t="n"/>
      <c r="F968" s="5" t="n"/>
      <c r="G968" s="5" t="n"/>
      <c r="H968" s="6" t="n"/>
      <c r="I968" s="5" t="n"/>
      <c r="J968" s="5" t="n"/>
      <c r="K968" s="5" t="n"/>
      <c r="L968" s="5" t="n"/>
    </row>
    <row r="969">
      <c r="A969" s="5" t="n"/>
      <c r="B969" s="6" t="n"/>
      <c r="C969" s="5" t="n"/>
      <c r="D969" s="5" t="n"/>
      <c r="E969" s="5" t="n"/>
      <c r="F969" s="5" t="n"/>
      <c r="G969" s="5" t="n"/>
      <c r="H969" s="6" t="n"/>
      <c r="I969" s="5" t="n"/>
      <c r="J969" s="5" t="n"/>
      <c r="K969" s="5" t="n"/>
      <c r="L969" s="5" t="n"/>
    </row>
    <row r="970">
      <c r="A970" s="5" t="n"/>
      <c r="B970" s="6" t="n"/>
      <c r="C970" s="5" t="n"/>
      <c r="D970" s="5" t="n"/>
      <c r="E970" s="5" t="n"/>
      <c r="F970" s="5" t="n"/>
      <c r="G970" s="5" t="n"/>
      <c r="H970" s="6" t="n"/>
      <c r="I970" s="5" t="n"/>
      <c r="J970" s="5" t="n"/>
      <c r="K970" s="5" t="n"/>
      <c r="L970" s="5" t="n"/>
    </row>
    <row r="971">
      <c r="A971" s="5" t="n"/>
      <c r="B971" s="6" t="n"/>
      <c r="C971" s="5" t="n"/>
      <c r="D971" s="5" t="n"/>
      <c r="E971" s="5" t="n"/>
      <c r="F971" s="5" t="n"/>
      <c r="G971" s="5" t="n"/>
      <c r="H971" s="6" t="n"/>
      <c r="I971" s="5" t="n"/>
      <c r="J971" s="5" t="n"/>
      <c r="K971" s="5" t="n"/>
      <c r="L971" s="5" t="n"/>
    </row>
    <row r="972">
      <c r="A972" s="5" t="n"/>
      <c r="B972" s="6" t="n"/>
      <c r="C972" s="5" t="n"/>
      <c r="D972" s="5" t="n"/>
      <c r="E972" s="5" t="n"/>
      <c r="F972" s="5" t="n"/>
      <c r="G972" s="5" t="n"/>
      <c r="H972" s="6" t="n"/>
      <c r="I972" s="5" t="n"/>
      <c r="J972" s="5" t="n"/>
      <c r="K972" s="5" t="n"/>
      <c r="L972" s="5" t="n"/>
    </row>
    <row r="973">
      <c r="A973" s="5" t="n"/>
      <c r="B973" s="6" t="n"/>
      <c r="C973" s="5" t="n"/>
      <c r="D973" s="5" t="n"/>
      <c r="E973" s="5" t="n"/>
      <c r="F973" s="5" t="n"/>
      <c r="G973" s="5" t="n"/>
      <c r="H973" s="6" t="n"/>
      <c r="I973" s="5" t="n"/>
      <c r="J973" s="5" t="n"/>
      <c r="K973" s="5" t="n"/>
      <c r="L973" s="5" t="n"/>
    </row>
    <row r="974">
      <c r="A974" s="5" t="n"/>
      <c r="B974" s="6" t="n"/>
      <c r="C974" s="5" t="n"/>
      <c r="D974" s="5" t="n"/>
      <c r="E974" s="5" t="n"/>
      <c r="F974" s="5" t="n"/>
      <c r="G974" s="5" t="n"/>
      <c r="H974" s="6" t="n"/>
      <c r="I974" s="5" t="n"/>
      <c r="J974" s="5" t="n"/>
      <c r="K974" s="5" t="n"/>
      <c r="L974" s="5" t="n"/>
    </row>
    <row r="975">
      <c r="A975" s="5" t="n"/>
      <c r="B975" s="6" t="n"/>
      <c r="C975" s="5" t="n"/>
      <c r="D975" s="5" t="n"/>
      <c r="E975" s="5" t="n"/>
      <c r="F975" s="5" t="n"/>
      <c r="G975" s="5" t="n"/>
      <c r="H975" s="6" t="n"/>
      <c r="I975" s="5" t="n"/>
      <c r="J975" s="5" t="n"/>
      <c r="K975" s="5" t="n"/>
      <c r="L975" s="5" t="n"/>
    </row>
    <row r="976">
      <c r="A976" s="5" t="n"/>
      <c r="B976" s="6" t="n"/>
      <c r="C976" s="5" t="n"/>
      <c r="D976" s="5" t="n"/>
      <c r="E976" s="5" t="n"/>
      <c r="F976" s="5" t="n"/>
      <c r="G976" s="5" t="n"/>
      <c r="H976" s="6" t="n"/>
      <c r="I976" s="5" t="n"/>
      <c r="J976" s="5" t="n"/>
      <c r="K976" s="5" t="n"/>
      <c r="L976" s="5" t="n"/>
    </row>
    <row r="977">
      <c r="A977" s="5" t="n"/>
      <c r="B977" s="6" t="n"/>
      <c r="C977" s="5" t="n"/>
      <c r="D977" s="5" t="n"/>
      <c r="E977" s="5" t="n"/>
      <c r="F977" s="5" t="n"/>
      <c r="G977" s="5" t="n"/>
      <c r="H977" s="6" t="n"/>
      <c r="I977" s="5" t="n"/>
      <c r="J977" s="5" t="n"/>
      <c r="K977" s="5" t="n"/>
      <c r="L977" s="5" t="n"/>
    </row>
    <row r="978">
      <c r="A978" s="5" t="n"/>
      <c r="B978" s="6" t="n"/>
      <c r="C978" s="5" t="n"/>
      <c r="D978" s="5" t="n"/>
      <c r="E978" s="5" t="n"/>
      <c r="F978" s="5" t="n"/>
      <c r="G978" s="5" t="n"/>
      <c r="H978" s="6" t="n"/>
      <c r="I978" s="5" t="n"/>
      <c r="J978" s="5" t="n"/>
      <c r="K978" s="5" t="n"/>
      <c r="L978" s="5" t="n"/>
    </row>
    <row r="979">
      <c r="A979" s="5" t="n"/>
      <c r="B979" s="6" t="n"/>
      <c r="C979" s="5" t="n"/>
      <c r="D979" s="5" t="n"/>
      <c r="E979" s="5" t="n"/>
      <c r="F979" s="5" t="n"/>
      <c r="G979" s="5" t="n"/>
      <c r="H979" s="6" t="n"/>
      <c r="I979" s="5" t="n"/>
      <c r="J979" s="5" t="n"/>
      <c r="K979" s="5" t="n"/>
      <c r="L979" s="5" t="n"/>
    </row>
    <row r="980">
      <c r="A980" s="5" t="n"/>
      <c r="B980" s="6" t="n"/>
      <c r="C980" s="5" t="n"/>
      <c r="D980" s="5" t="n"/>
      <c r="E980" s="5" t="n"/>
      <c r="F980" s="5" t="n"/>
      <c r="G980" s="5" t="n"/>
      <c r="H980" s="6" t="n"/>
      <c r="I980" s="5" t="n"/>
      <c r="J980" s="5" t="n"/>
      <c r="K980" s="5" t="n"/>
      <c r="L980" s="5" t="n"/>
    </row>
    <row r="981">
      <c r="A981" s="5" t="n"/>
      <c r="B981" s="6" t="n"/>
      <c r="C981" s="5" t="n"/>
      <c r="D981" s="5" t="n"/>
      <c r="E981" s="5" t="n"/>
      <c r="F981" s="5" t="n"/>
      <c r="G981" s="5" t="n"/>
      <c r="H981" s="6" t="n"/>
      <c r="I981" s="5" t="n"/>
      <c r="J981" s="5" t="n"/>
      <c r="K981" s="5" t="n"/>
      <c r="L981" s="5" t="n"/>
    </row>
    <row r="982">
      <c r="A982" s="5" t="n"/>
      <c r="B982" s="6" t="n"/>
      <c r="C982" s="5" t="n"/>
      <c r="D982" s="5" t="n"/>
      <c r="E982" s="5" t="n"/>
      <c r="F982" s="5" t="n"/>
      <c r="G982" s="5" t="n"/>
      <c r="H982" s="6" t="n"/>
      <c r="I982" s="5" t="n"/>
      <c r="J982" s="5" t="n"/>
      <c r="K982" s="5" t="n"/>
      <c r="L982" s="5" t="n"/>
    </row>
    <row r="983">
      <c r="A983" s="5" t="n"/>
      <c r="B983" s="6" t="n"/>
      <c r="C983" s="5" t="n"/>
      <c r="D983" s="5" t="n"/>
      <c r="E983" s="5" t="n"/>
      <c r="F983" s="5" t="n"/>
      <c r="G983" s="5" t="n"/>
      <c r="H983" s="6" t="n"/>
      <c r="I983" s="5" t="n"/>
      <c r="J983" s="5" t="n"/>
      <c r="K983" s="5" t="n"/>
      <c r="L983" s="5" t="n"/>
    </row>
    <row r="984">
      <c r="A984" s="5" t="n"/>
      <c r="B984" s="6" t="n"/>
      <c r="C984" s="5" t="n"/>
      <c r="D984" s="5" t="n"/>
      <c r="E984" s="5" t="n"/>
      <c r="F984" s="5" t="n"/>
      <c r="G984" s="5" t="n"/>
      <c r="H984" s="6" t="n"/>
      <c r="I984" s="5" t="n"/>
      <c r="J984" s="5" t="n"/>
      <c r="K984" s="5" t="n"/>
      <c r="L984" s="5" t="n"/>
    </row>
    <row r="985">
      <c r="A985" s="5" t="n"/>
      <c r="B985" s="6" t="n"/>
      <c r="C985" s="5" t="n"/>
      <c r="D985" s="5" t="n"/>
      <c r="E985" s="5" t="n"/>
      <c r="F985" s="5" t="n"/>
      <c r="G985" s="5" t="n"/>
      <c r="H985" s="6" t="n"/>
      <c r="I985" s="5" t="n"/>
      <c r="J985" s="5" t="n"/>
      <c r="K985" s="5" t="n"/>
      <c r="L985" s="5" t="n"/>
    </row>
    <row r="986">
      <c r="A986" s="5" t="n"/>
      <c r="B986" s="6" t="n"/>
      <c r="C986" s="5" t="n"/>
      <c r="D986" s="5" t="n"/>
      <c r="E986" s="5" t="n"/>
      <c r="F986" s="5" t="n"/>
      <c r="G986" s="5" t="n"/>
      <c r="H986" s="6" t="n"/>
      <c r="I986" s="5" t="n"/>
      <c r="J986" s="5" t="n"/>
      <c r="K986" s="5" t="n"/>
      <c r="L986" s="5" t="n"/>
    </row>
    <row r="987">
      <c r="A987" s="5" t="n"/>
      <c r="B987" s="6" t="n"/>
      <c r="C987" s="5" t="n"/>
      <c r="D987" s="5" t="n"/>
      <c r="E987" s="5" t="n"/>
      <c r="F987" s="5" t="n"/>
      <c r="G987" s="5" t="n"/>
      <c r="H987" s="6" t="n"/>
      <c r="I987" s="5" t="n"/>
      <c r="J987" s="5" t="n"/>
      <c r="K987" s="5" t="n"/>
      <c r="L987" s="5" t="n"/>
    </row>
    <row r="988">
      <c r="A988" s="5" t="n"/>
      <c r="B988" s="6" t="n"/>
      <c r="C988" s="5" t="n"/>
      <c r="D988" s="5" t="n"/>
      <c r="E988" s="5" t="n"/>
      <c r="F988" s="5" t="n"/>
      <c r="G988" s="5" t="n"/>
      <c r="H988" s="6" t="n"/>
      <c r="I988" s="5" t="n"/>
      <c r="J988" s="5" t="n"/>
      <c r="K988" s="5" t="n"/>
      <c r="L988" s="5" t="n"/>
    </row>
    <row r="989">
      <c r="A989" s="5" t="n"/>
      <c r="B989" s="6" t="n"/>
      <c r="C989" s="5" t="n"/>
      <c r="D989" s="5" t="n"/>
      <c r="E989" s="5" t="n"/>
      <c r="F989" s="5" t="n"/>
      <c r="G989" s="5" t="n"/>
      <c r="H989" s="6" t="n"/>
      <c r="I989" s="5" t="n"/>
      <c r="J989" s="5" t="n"/>
      <c r="K989" s="5" t="n"/>
      <c r="L989" s="5" t="n"/>
    </row>
    <row r="990">
      <c r="A990" s="5" t="n"/>
      <c r="B990" s="6" t="n"/>
      <c r="C990" s="5" t="n"/>
      <c r="D990" s="5" t="n"/>
      <c r="E990" s="5" t="n"/>
      <c r="F990" s="5" t="n"/>
      <c r="G990" s="5" t="n"/>
      <c r="H990" s="6" t="n"/>
      <c r="I990" s="5" t="n"/>
      <c r="J990" s="5" t="n"/>
      <c r="K990" s="5" t="n"/>
      <c r="L990" s="5" t="n"/>
    </row>
    <row r="991">
      <c r="A991" s="5" t="n"/>
      <c r="B991" s="6" t="n"/>
      <c r="C991" s="5" t="n"/>
      <c r="D991" s="5" t="n"/>
      <c r="E991" s="5" t="n"/>
      <c r="F991" s="5" t="n"/>
      <c r="G991" s="5" t="n"/>
      <c r="H991" s="6" t="n"/>
      <c r="I991" s="5" t="n"/>
      <c r="J991" s="5" t="n"/>
      <c r="K991" s="5" t="n"/>
      <c r="L991" s="5" t="n"/>
    </row>
    <row r="992">
      <c r="A992" s="5" t="n"/>
      <c r="B992" s="6" t="n"/>
      <c r="C992" s="5" t="n"/>
      <c r="D992" s="5" t="n"/>
      <c r="E992" s="5" t="n"/>
      <c r="F992" s="5" t="n"/>
      <c r="G992" s="5" t="n"/>
      <c r="H992" s="6" t="n"/>
      <c r="I992" s="5" t="n"/>
      <c r="J992" s="5" t="n"/>
      <c r="K992" s="5" t="n"/>
      <c r="L992" s="5" t="n"/>
    </row>
    <row r="993">
      <c r="A993" s="5" t="n"/>
      <c r="B993" s="6" t="n"/>
      <c r="C993" s="5" t="n"/>
      <c r="D993" s="5" t="n"/>
      <c r="E993" s="5" t="n"/>
      <c r="F993" s="5" t="n"/>
      <c r="G993" s="5" t="n"/>
      <c r="H993" s="6" t="n"/>
      <c r="I993" s="5" t="n"/>
      <c r="J993" s="5" t="n"/>
      <c r="K993" s="5" t="n"/>
      <c r="L993" s="5" t="n"/>
    </row>
    <row r="994">
      <c r="A994" s="5" t="n"/>
      <c r="B994" s="6" t="n"/>
      <c r="C994" s="5" t="n"/>
      <c r="D994" s="5" t="n"/>
      <c r="E994" s="5" t="n"/>
      <c r="F994" s="5" t="n"/>
      <c r="G994" s="5" t="n"/>
      <c r="H994" s="6" t="n"/>
      <c r="I994" s="5" t="n"/>
      <c r="J994" s="5" t="n"/>
      <c r="K994" s="5" t="n"/>
      <c r="L994" s="5" t="n"/>
    </row>
    <row r="995">
      <c r="A995" s="5" t="n"/>
      <c r="B995" s="6" t="n"/>
      <c r="C995" s="5" t="n"/>
      <c r="D995" s="5" t="n"/>
      <c r="E995" s="5" t="n"/>
      <c r="F995" s="5" t="n"/>
      <c r="G995" s="5" t="n"/>
      <c r="H995" s="6" t="n"/>
      <c r="I995" s="5" t="n"/>
      <c r="J995" s="5" t="n"/>
      <c r="K995" s="5" t="n"/>
      <c r="L995" s="5" t="n"/>
    </row>
    <row r="996">
      <c r="A996" s="5" t="n"/>
      <c r="B996" s="6" t="n"/>
      <c r="C996" s="5" t="n"/>
      <c r="D996" s="5" t="n"/>
      <c r="E996" s="5" t="n"/>
      <c r="F996" s="5" t="n"/>
      <c r="G996" s="5" t="n"/>
      <c r="H996" s="6" t="n"/>
      <c r="I996" s="5" t="n"/>
      <c r="J996" s="5" t="n"/>
      <c r="K996" s="5" t="n"/>
      <c r="L996" s="5" t="n"/>
    </row>
    <row r="997">
      <c r="A997" s="5" t="n"/>
      <c r="B997" s="6" t="n"/>
      <c r="C997" s="5" t="n"/>
      <c r="D997" s="5" t="n"/>
      <c r="E997" s="5" t="n"/>
      <c r="F997" s="5" t="n"/>
      <c r="G997" s="5" t="n"/>
      <c r="H997" s="6" t="n"/>
      <c r="I997" s="5" t="n"/>
      <c r="J997" s="5" t="n"/>
      <c r="K997" s="5" t="n"/>
      <c r="L997" s="5" t="n"/>
    </row>
    <row r="998">
      <c r="A998" s="5" t="n"/>
      <c r="B998" s="6" t="n"/>
      <c r="C998" s="5" t="n"/>
      <c r="D998" s="5" t="n"/>
      <c r="E998" s="5" t="n"/>
      <c r="F998" s="5" t="n"/>
      <c r="G998" s="5" t="n"/>
      <c r="H998" s="6" t="n"/>
      <c r="I998" s="5" t="n"/>
      <c r="J998" s="5" t="n"/>
      <c r="K998" s="5" t="n"/>
      <c r="L998" s="5" t="n"/>
    </row>
    <row r="999">
      <c r="A999" s="5" t="n"/>
      <c r="B999" s="6" t="n"/>
      <c r="C999" s="5" t="n"/>
      <c r="D999" s="5" t="n"/>
      <c r="E999" s="5" t="n"/>
      <c r="F999" s="5" t="n"/>
      <c r="G999" s="5" t="n"/>
      <c r="H999" s="6" t="n"/>
      <c r="I999" s="5" t="n"/>
      <c r="J999" s="5" t="n"/>
      <c r="K999" s="5" t="n"/>
      <c r="L999" s="5" t="n"/>
    </row>
    <row r="1000">
      <c r="A1000" s="5" t="n"/>
      <c r="B1000" s="6" t="n"/>
      <c r="C1000" s="5" t="n"/>
      <c r="D1000" s="5" t="n"/>
      <c r="E1000" s="5" t="n"/>
      <c r="F1000" s="5" t="n"/>
      <c r="G1000" s="5" t="n"/>
      <c r="H1000" s="6" t="n"/>
      <c r="I1000" s="5" t="n"/>
      <c r="J1000" s="5" t="n"/>
      <c r="K1000" s="5" t="n"/>
      <c r="L1000" s="5" t="n"/>
    </row>
    <row r="1001">
      <c r="A1001" s="5" t="n"/>
      <c r="B1001" s="6" t="n"/>
      <c r="C1001" s="5" t="n"/>
      <c r="D1001" s="5" t="n"/>
      <c r="E1001" s="5" t="n"/>
      <c r="F1001" s="5" t="n"/>
      <c r="G1001" s="5" t="n"/>
      <c r="H1001" s="6" t="n"/>
      <c r="I1001" s="5" t="n"/>
      <c r="J1001" s="5" t="n"/>
      <c r="K1001" s="5" t="n"/>
      <c r="L1001" s="5" t="n"/>
    </row>
  </sheetData>
  <autoFilter ref="A1:L1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5597"/>
    <outlinePr summaryBelow="1" summaryRight="1"/>
    <pageSetUpPr/>
  </sheetPr>
  <dimension ref="A1:T40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7" customWidth="1" min="2" max="2"/>
    <col width="10" customWidth="1" min="3" max="3"/>
    <col width="11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0" customWidth="1" min="11" max="11"/>
    <col width="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13" customWidth="1" min="19" max="19"/>
    <col width="11" customWidth="1" min="20" max="20"/>
  </cols>
  <sheetData>
    <row r="1">
      <c r="B1" s="7" t="inlineStr">
        <is>
          <t>2026년도 하반기 인턴근무계획표(9~2월)</t>
        </is>
      </c>
      <c r="M1" s="8" t="inlineStr">
        <is>
          <t>↓ 자동 정규화 (수정 금지) — '병원 진료과'로 통일, 인식 불가는 ⚠ 표시</t>
        </is>
      </c>
    </row>
    <row r="2" ht="28" customHeight="1">
      <c r="B2" s="4" t="inlineStr">
        <is>
          <t xml:space="preserve">순번 </t>
        </is>
      </c>
      <c r="C2" s="4" t="inlineStr">
        <is>
          <t xml:space="preserve">이름 </t>
        </is>
      </c>
      <c r="D2" s="4" t="inlineStr">
        <is>
          <t>사번</t>
        </is>
      </c>
      <c r="E2" s="4" t="inlineStr">
        <is>
          <t>9월</t>
        </is>
      </c>
      <c r="F2" s="4" t="inlineStr">
        <is>
          <t>10월</t>
        </is>
      </c>
      <c r="G2" s="4" t="inlineStr">
        <is>
          <t>11월</t>
        </is>
      </c>
      <c r="H2" s="4" t="inlineStr">
        <is>
          <t>12월</t>
        </is>
      </c>
      <c r="I2" s="4" t="inlineStr">
        <is>
          <t>1월</t>
        </is>
      </c>
      <c r="J2" s="4" t="inlineStr">
        <is>
          <t xml:space="preserve">2월 </t>
        </is>
      </c>
      <c r="K2" s="4" t="inlineStr">
        <is>
          <t>비고</t>
        </is>
      </c>
      <c r="M2" s="9">
        <f>TRIM(E$2&amp;"")&amp;" 정규화"</f>
        <v/>
      </c>
      <c r="N2" s="9">
        <f>TRIM(F$2&amp;"")&amp;" 정규화"</f>
        <v/>
      </c>
      <c r="O2" s="9">
        <f>TRIM(G$2&amp;"")&amp;" 정규화"</f>
        <v/>
      </c>
      <c r="P2" s="9">
        <f>TRIM(H$2&amp;"")&amp;" 정규화"</f>
        <v/>
      </c>
      <c r="Q2" s="9">
        <f>TRIM(I$2&amp;"")&amp;" 정규화"</f>
        <v/>
      </c>
      <c r="R2" s="9">
        <f>TRIM(J$2&amp;"")&amp;" 정규화"</f>
        <v/>
      </c>
      <c r="S2" s="9" t="inlineStr">
        <is>
          <t>입사일(비고)</t>
        </is>
      </c>
      <c r="T2" s="9" t="inlineStr">
        <is>
          <t>입력오류(건)</t>
        </is>
      </c>
    </row>
    <row r="3">
      <c r="B3" s="5" t="n">
        <v>1</v>
      </c>
      <c r="C3" s="5" t="inlineStr">
        <is>
          <t>김ㅇㅇ</t>
        </is>
      </c>
      <c r="D3" s="5" t="n">
        <v>222222</v>
      </c>
      <c r="E3" s="5" t="inlineStr">
        <is>
          <t>구리 안과</t>
        </is>
      </c>
      <c r="F3" s="5" t="inlineStr">
        <is>
          <t>구리 내과</t>
        </is>
      </c>
      <c r="G3" s="5" t="inlineStr">
        <is>
          <t>서울 핵방</t>
        </is>
      </c>
      <c r="H3" s="5" t="inlineStr">
        <is>
          <t>서울 재활의학과</t>
        </is>
      </c>
      <c r="I3" s="5" t="inlineStr">
        <is>
          <t>제주 산부</t>
        </is>
      </c>
      <c r="J3" s="5" t="inlineStr">
        <is>
          <t>서울 소아과</t>
        </is>
      </c>
      <c r="K3" s="5" t="n">
        <v>2026.03</v>
      </c>
      <c r="M3" s="10">
        <f>IFERROR(IF(TRIM(E3&amp;"")="","",IF(AND(ISNUMBER(FIND(" ",TRIM(E3&amp;""))),ISNUMBER(MATCH(LEFT(TRIM(E3&amp;""),FIND(" ",TRIM(E3&amp;""))-1),설정_코드표!$J$2:$J$101,0)),ISNUMBER(MATCH(TRIM(RIGHT(SUBSTITUTE(TRIM(E3&amp;"")," ",REPT(" ",60)),60)),설정_코드표!$F$2:$F$101,0))),INDEX(설정_코드표!$K$2:$K$101,MATCH(LEFT(TRIM(E3&amp;""),FIND(" ",TRIM(E3&amp;""))-1),설정_코드표!$J$2:$J$101,0))&amp;" "&amp;INDEX(설정_코드표!$G$2:$G$101,MATCH(TRIM(RIGHT(SUBSTITUTE(TRIM(E3&amp;"")," ",REPT(" ",60)),60)),설정_코드표!$F$2:$F$101,0)),"⚠"&amp;TRIM(E3&amp;""))),"⚠"&amp;TRIM(E3&amp;""))</f>
        <v/>
      </c>
      <c r="N3" s="10">
        <f>IFERROR(IF(TRIM(F3&amp;"")="","",IF(AND(ISNUMBER(FIND(" ",TRIM(F3&amp;""))),ISNUMBER(MATCH(LEFT(TRIM(F3&amp;""),FIND(" ",TRIM(F3&amp;""))-1),설정_코드표!$J$2:$J$101,0)),ISNUMBER(MATCH(TRIM(RIGHT(SUBSTITUTE(TRIM(F3&amp;"")," ",REPT(" ",60)),60)),설정_코드표!$F$2:$F$101,0))),INDEX(설정_코드표!$K$2:$K$101,MATCH(LEFT(TRIM(F3&amp;""),FIND(" ",TRIM(F3&amp;""))-1),설정_코드표!$J$2:$J$101,0))&amp;" "&amp;INDEX(설정_코드표!$G$2:$G$101,MATCH(TRIM(RIGHT(SUBSTITUTE(TRIM(F3&amp;"")," ",REPT(" ",60)),60)),설정_코드표!$F$2:$F$101,0)),"⚠"&amp;TRIM(F3&amp;""))),"⚠"&amp;TRIM(F3&amp;""))</f>
        <v/>
      </c>
      <c r="O3" s="10">
        <f>IFERROR(IF(TRIM(G3&amp;"")="","",IF(AND(ISNUMBER(FIND(" ",TRIM(G3&amp;""))),ISNUMBER(MATCH(LEFT(TRIM(G3&amp;""),FIND(" ",TRIM(G3&amp;""))-1),설정_코드표!$J$2:$J$101,0)),ISNUMBER(MATCH(TRIM(RIGHT(SUBSTITUTE(TRIM(G3&amp;"")," ",REPT(" ",60)),60)),설정_코드표!$F$2:$F$101,0))),INDEX(설정_코드표!$K$2:$K$101,MATCH(LEFT(TRIM(G3&amp;""),FIND(" ",TRIM(G3&amp;""))-1),설정_코드표!$J$2:$J$101,0))&amp;" "&amp;INDEX(설정_코드표!$G$2:$G$101,MATCH(TRIM(RIGHT(SUBSTITUTE(TRIM(G3&amp;"")," ",REPT(" ",60)),60)),설정_코드표!$F$2:$F$101,0)),"⚠"&amp;TRIM(G3&amp;""))),"⚠"&amp;TRIM(G3&amp;""))</f>
        <v/>
      </c>
      <c r="P3" s="10">
        <f>IFERROR(IF(TRIM(H3&amp;"")="","",IF(AND(ISNUMBER(FIND(" ",TRIM(H3&amp;""))),ISNUMBER(MATCH(LEFT(TRIM(H3&amp;""),FIND(" ",TRIM(H3&amp;""))-1),설정_코드표!$J$2:$J$101,0)),ISNUMBER(MATCH(TRIM(RIGHT(SUBSTITUTE(TRIM(H3&amp;"")," ",REPT(" ",60)),60)),설정_코드표!$F$2:$F$101,0))),INDEX(설정_코드표!$K$2:$K$101,MATCH(LEFT(TRIM(H3&amp;""),FIND(" ",TRIM(H3&amp;""))-1),설정_코드표!$J$2:$J$101,0))&amp;" "&amp;INDEX(설정_코드표!$G$2:$G$101,MATCH(TRIM(RIGHT(SUBSTITUTE(TRIM(H3&amp;"")," ",REPT(" ",60)),60)),설정_코드표!$F$2:$F$101,0)),"⚠"&amp;TRIM(H3&amp;""))),"⚠"&amp;TRIM(H3&amp;""))</f>
        <v/>
      </c>
      <c r="Q3" s="10">
        <f>IFERROR(IF(TRIM(I3&amp;"")="","",IF(AND(ISNUMBER(FIND(" ",TRIM(I3&amp;""))),ISNUMBER(MATCH(LEFT(TRIM(I3&amp;""),FIND(" ",TRIM(I3&amp;""))-1),설정_코드표!$J$2:$J$101,0)),ISNUMBER(MATCH(TRIM(RIGHT(SUBSTITUTE(TRIM(I3&amp;"")," ",REPT(" ",60)),60)),설정_코드표!$F$2:$F$101,0))),INDEX(설정_코드표!$K$2:$K$101,MATCH(LEFT(TRIM(I3&amp;""),FIND(" ",TRIM(I3&amp;""))-1),설정_코드표!$J$2:$J$101,0))&amp;" "&amp;INDEX(설정_코드표!$G$2:$G$101,MATCH(TRIM(RIGHT(SUBSTITUTE(TRIM(I3&amp;"")," ",REPT(" ",60)),60)),설정_코드표!$F$2:$F$101,0)),"⚠"&amp;TRIM(I3&amp;""))),"⚠"&amp;TRIM(I3&amp;""))</f>
        <v/>
      </c>
      <c r="R3" s="10">
        <f>IFERROR(IF(TRIM(J3&amp;"")="","",IF(AND(ISNUMBER(FIND(" ",TRIM(J3&amp;""))),ISNUMBER(MATCH(LEFT(TRIM(J3&amp;""),FIND(" ",TRIM(J3&amp;""))-1),설정_코드표!$J$2:$J$101,0)),ISNUMBER(MATCH(TRIM(RIGHT(SUBSTITUTE(TRIM(J3&amp;"")," ",REPT(" ",60)),60)),설정_코드표!$F$2:$F$101,0))),INDEX(설정_코드표!$K$2:$K$101,MATCH(LEFT(TRIM(J3&amp;""),FIND(" ",TRIM(J3&amp;""))-1),설정_코드표!$J$2:$J$101,0))&amp;" "&amp;INDEX(설정_코드표!$G$2:$G$101,MATCH(TRIM(RIGHT(SUBSTITUTE(TRIM(J3&amp;"")," ",REPT(" ",60)),60)),설정_코드표!$F$2:$F$101,0)),"⚠"&amp;TRIM(J3&amp;""))),"⚠"&amp;TRIM(J3&amp;""))</f>
        <v/>
      </c>
      <c r="S3" s="11">
        <f>IF(K3="","",IFERROR(IF(AND(ROUND((VALUE(K3&amp;"")-INT(VALUE(K3&amp;"")))*100,0)&gt;=1,ROUND((VALUE(K3&amp;"")-INT(VALUE(K3&amp;"")))*100,0)&lt;=12,INT(VALUE(K3&amp;""))&gt;=1900),DATE(INT(VALUE(K3&amp;"")),ROUND((VALUE(K3&amp;"")-INT(VALUE(K3&amp;"")))*100,0),1),K3&amp;""),K3&amp;""))</f>
        <v/>
      </c>
      <c r="T3" s="10">
        <f>COUNTIF(M3:R3,"⚠*")</f>
        <v/>
      </c>
    </row>
    <row r="4">
      <c r="B4" s="5" t="n">
        <v>2</v>
      </c>
      <c r="C4" s="5" t="inlineStr">
        <is>
          <t>이ㅇㅇ</t>
        </is>
      </c>
      <c r="D4" s="5" t="n">
        <v>222223</v>
      </c>
      <c r="E4" s="5" t="inlineStr">
        <is>
          <t>서울 내과</t>
        </is>
      </c>
      <c r="F4" s="5" t="inlineStr">
        <is>
          <t>서울 외과</t>
        </is>
      </c>
      <c r="G4" s="5" t="inlineStr">
        <is>
          <t>구리 통합</t>
        </is>
      </c>
      <c r="H4" s="5" t="inlineStr">
        <is>
          <t>인천 산부인과</t>
        </is>
      </c>
      <c r="I4" s="5" t="inlineStr">
        <is>
          <t>제주 에스중앙 내과</t>
        </is>
      </c>
      <c r="J4" s="5" t="inlineStr">
        <is>
          <t>서울 가정의학과</t>
        </is>
      </c>
      <c r="K4" s="5" t="n">
        <v>2026.03</v>
      </c>
      <c r="M4" s="10">
        <f>IFERROR(IF(TRIM(E4&amp;"")="","",IF(AND(ISNUMBER(FIND(" ",TRIM(E4&amp;""))),ISNUMBER(MATCH(LEFT(TRIM(E4&amp;""),FIND(" ",TRIM(E4&amp;""))-1),설정_코드표!$J$2:$J$101,0)),ISNUMBER(MATCH(TRIM(RIGHT(SUBSTITUTE(TRIM(E4&amp;"")," ",REPT(" ",60)),60)),설정_코드표!$F$2:$F$101,0))),INDEX(설정_코드표!$K$2:$K$101,MATCH(LEFT(TRIM(E4&amp;""),FIND(" ",TRIM(E4&amp;""))-1),설정_코드표!$J$2:$J$101,0))&amp;" "&amp;INDEX(설정_코드표!$G$2:$G$101,MATCH(TRIM(RIGHT(SUBSTITUTE(TRIM(E4&amp;"")," ",REPT(" ",60)),60)),설정_코드표!$F$2:$F$101,0)),"⚠"&amp;TRIM(E4&amp;""))),"⚠"&amp;TRIM(E4&amp;""))</f>
        <v/>
      </c>
      <c r="N4" s="10">
        <f>IFERROR(IF(TRIM(F4&amp;"")="","",IF(AND(ISNUMBER(FIND(" ",TRIM(F4&amp;""))),ISNUMBER(MATCH(LEFT(TRIM(F4&amp;""),FIND(" ",TRIM(F4&amp;""))-1),설정_코드표!$J$2:$J$101,0)),ISNUMBER(MATCH(TRIM(RIGHT(SUBSTITUTE(TRIM(F4&amp;"")," ",REPT(" ",60)),60)),설정_코드표!$F$2:$F$101,0))),INDEX(설정_코드표!$K$2:$K$101,MATCH(LEFT(TRIM(F4&amp;""),FIND(" ",TRIM(F4&amp;""))-1),설정_코드표!$J$2:$J$101,0))&amp;" "&amp;INDEX(설정_코드표!$G$2:$G$101,MATCH(TRIM(RIGHT(SUBSTITUTE(TRIM(F4&amp;"")," ",REPT(" ",60)),60)),설정_코드표!$F$2:$F$101,0)),"⚠"&amp;TRIM(F4&amp;""))),"⚠"&amp;TRIM(F4&amp;""))</f>
        <v/>
      </c>
      <c r="O4" s="10">
        <f>IFERROR(IF(TRIM(G4&amp;"")="","",IF(AND(ISNUMBER(FIND(" ",TRIM(G4&amp;""))),ISNUMBER(MATCH(LEFT(TRIM(G4&amp;""),FIND(" ",TRIM(G4&amp;""))-1),설정_코드표!$J$2:$J$101,0)),ISNUMBER(MATCH(TRIM(RIGHT(SUBSTITUTE(TRIM(G4&amp;"")," ",REPT(" ",60)),60)),설정_코드표!$F$2:$F$101,0))),INDEX(설정_코드표!$K$2:$K$101,MATCH(LEFT(TRIM(G4&amp;""),FIND(" ",TRIM(G4&amp;""))-1),설정_코드표!$J$2:$J$101,0))&amp;" "&amp;INDEX(설정_코드표!$G$2:$G$101,MATCH(TRIM(RIGHT(SUBSTITUTE(TRIM(G4&amp;"")," ",REPT(" ",60)),60)),설정_코드표!$F$2:$F$101,0)),"⚠"&amp;TRIM(G4&amp;""))),"⚠"&amp;TRIM(G4&amp;""))</f>
        <v/>
      </c>
      <c r="P4" s="10">
        <f>IFERROR(IF(TRIM(H4&amp;"")="","",IF(AND(ISNUMBER(FIND(" ",TRIM(H4&amp;""))),ISNUMBER(MATCH(LEFT(TRIM(H4&amp;""),FIND(" ",TRIM(H4&amp;""))-1),설정_코드표!$J$2:$J$101,0)),ISNUMBER(MATCH(TRIM(RIGHT(SUBSTITUTE(TRIM(H4&amp;"")," ",REPT(" ",60)),60)),설정_코드표!$F$2:$F$101,0))),INDEX(설정_코드표!$K$2:$K$101,MATCH(LEFT(TRIM(H4&amp;""),FIND(" ",TRIM(H4&amp;""))-1),설정_코드표!$J$2:$J$101,0))&amp;" "&amp;INDEX(설정_코드표!$G$2:$G$101,MATCH(TRIM(RIGHT(SUBSTITUTE(TRIM(H4&amp;"")," ",REPT(" ",60)),60)),설정_코드표!$F$2:$F$101,0)),"⚠"&amp;TRIM(H4&amp;""))),"⚠"&amp;TRIM(H4&amp;""))</f>
        <v/>
      </c>
      <c r="Q4" s="10">
        <f>IFERROR(IF(TRIM(I4&amp;"")="","",IF(AND(ISNUMBER(FIND(" ",TRIM(I4&amp;""))),ISNUMBER(MATCH(LEFT(TRIM(I4&amp;""),FIND(" ",TRIM(I4&amp;""))-1),설정_코드표!$J$2:$J$101,0)),ISNUMBER(MATCH(TRIM(RIGHT(SUBSTITUTE(TRIM(I4&amp;"")," ",REPT(" ",60)),60)),설정_코드표!$F$2:$F$101,0))),INDEX(설정_코드표!$K$2:$K$101,MATCH(LEFT(TRIM(I4&amp;""),FIND(" ",TRIM(I4&amp;""))-1),설정_코드표!$J$2:$J$101,0))&amp;" "&amp;INDEX(설정_코드표!$G$2:$G$101,MATCH(TRIM(RIGHT(SUBSTITUTE(TRIM(I4&amp;"")," ",REPT(" ",60)),60)),설정_코드표!$F$2:$F$101,0)),"⚠"&amp;TRIM(I4&amp;""))),"⚠"&amp;TRIM(I4&amp;""))</f>
        <v/>
      </c>
      <c r="R4" s="10">
        <f>IFERROR(IF(TRIM(J4&amp;"")="","",IF(AND(ISNUMBER(FIND(" ",TRIM(J4&amp;""))),ISNUMBER(MATCH(LEFT(TRIM(J4&amp;""),FIND(" ",TRIM(J4&amp;""))-1),설정_코드표!$J$2:$J$101,0)),ISNUMBER(MATCH(TRIM(RIGHT(SUBSTITUTE(TRIM(J4&amp;"")," ",REPT(" ",60)),60)),설정_코드표!$F$2:$F$101,0))),INDEX(설정_코드표!$K$2:$K$101,MATCH(LEFT(TRIM(J4&amp;""),FIND(" ",TRIM(J4&amp;""))-1),설정_코드표!$J$2:$J$101,0))&amp;" "&amp;INDEX(설정_코드표!$G$2:$G$101,MATCH(TRIM(RIGHT(SUBSTITUTE(TRIM(J4&amp;"")," ",REPT(" ",60)),60)),설정_코드표!$F$2:$F$101,0)),"⚠"&amp;TRIM(J4&amp;""))),"⚠"&amp;TRIM(J4&amp;""))</f>
        <v/>
      </c>
      <c r="S4" s="11">
        <f>IF(K4="","",IFERROR(IF(AND(ROUND((VALUE(K4&amp;"")-INT(VALUE(K4&amp;"")))*100,0)&gt;=1,ROUND((VALUE(K4&amp;"")-INT(VALUE(K4&amp;"")))*100,0)&lt;=12,INT(VALUE(K4&amp;""))&gt;=1900),DATE(INT(VALUE(K4&amp;"")),ROUND((VALUE(K4&amp;"")-INT(VALUE(K4&amp;"")))*100,0),1),K4&amp;""),K4&amp;""))</f>
        <v/>
      </c>
      <c r="T4" s="10">
        <f>COUNTIF(M4:R4,"⚠*")</f>
        <v/>
      </c>
    </row>
    <row r="5">
      <c r="B5" s="5" t="n">
        <v>3</v>
      </c>
      <c r="C5" s="5" t="inlineStr">
        <is>
          <t>박ㅇㅇ</t>
        </is>
      </c>
      <c r="D5" s="5" t="n">
        <v>222224</v>
      </c>
      <c r="E5" s="5" t="inlineStr">
        <is>
          <t>제주 외과</t>
        </is>
      </c>
      <c r="F5" s="5" t="inlineStr">
        <is>
          <t>서울 내과</t>
        </is>
      </c>
      <c r="G5" s="5" t="inlineStr">
        <is>
          <t>서울 응급</t>
        </is>
      </c>
      <c r="H5" s="5" t="inlineStr">
        <is>
          <t>구리 내과</t>
        </is>
      </c>
      <c r="I5" s="5" t="inlineStr">
        <is>
          <t>서울 소아과</t>
        </is>
      </c>
      <c r="J5" s="5" t="inlineStr">
        <is>
          <t>제주 산부</t>
        </is>
      </c>
      <c r="K5" s="5" t="n">
        <v>2026.03</v>
      </c>
      <c r="M5" s="10">
        <f>IFERROR(IF(TRIM(E5&amp;"")="","",IF(AND(ISNUMBER(FIND(" ",TRIM(E5&amp;""))),ISNUMBER(MATCH(LEFT(TRIM(E5&amp;""),FIND(" ",TRIM(E5&amp;""))-1),설정_코드표!$J$2:$J$101,0)),ISNUMBER(MATCH(TRIM(RIGHT(SUBSTITUTE(TRIM(E5&amp;"")," ",REPT(" ",60)),60)),설정_코드표!$F$2:$F$101,0))),INDEX(설정_코드표!$K$2:$K$101,MATCH(LEFT(TRIM(E5&amp;""),FIND(" ",TRIM(E5&amp;""))-1),설정_코드표!$J$2:$J$101,0))&amp;" "&amp;INDEX(설정_코드표!$G$2:$G$101,MATCH(TRIM(RIGHT(SUBSTITUTE(TRIM(E5&amp;"")," ",REPT(" ",60)),60)),설정_코드표!$F$2:$F$101,0)),"⚠"&amp;TRIM(E5&amp;""))),"⚠"&amp;TRIM(E5&amp;""))</f>
        <v/>
      </c>
      <c r="N5" s="10">
        <f>IFERROR(IF(TRIM(F5&amp;"")="","",IF(AND(ISNUMBER(FIND(" ",TRIM(F5&amp;""))),ISNUMBER(MATCH(LEFT(TRIM(F5&amp;""),FIND(" ",TRIM(F5&amp;""))-1),설정_코드표!$J$2:$J$101,0)),ISNUMBER(MATCH(TRIM(RIGHT(SUBSTITUTE(TRIM(F5&amp;"")," ",REPT(" ",60)),60)),설정_코드표!$F$2:$F$101,0))),INDEX(설정_코드표!$K$2:$K$101,MATCH(LEFT(TRIM(F5&amp;""),FIND(" ",TRIM(F5&amp;""))-1),설정_코드표!$J$2:$J$101,0))&amp;" "&amp;INDEX(설정_코드표!$G$2:$G$101,MATCH(TRIM(RIGHT(SUBSTITUTE(TRIM(F5&amp;"")," ",REPT(" ",60)),60)),설정_코드표!$F$2:$F$101,0)),"⚠"&amp;TRIM(F5&amp;""))),"⚠"&amp;TRIM(F5&amp;""))</f>
        <v/>
      </c>
      <c r="O5" s="10">
        <f>IFERROR(IF(TRIM(G5&amp;"")="","",IF(AND(ISNUMBER(FIND(" ",TRIM(G5&amp;""))),ISNUMBER(MATCH(LEFT(TRIM(G5&amp;""),FIND(" ",TRIM(G5&amp;""))-1),설정_코드표!$J$2:$J$101,0)),ISNUMBER(MATCH(TRIM(RIGHT(SUBSTITUTE(TRIM(G5&amp;"")," ",REPT(" ",60)),60)),설정_코드표!$F$2:$F$101,0))),INDEX(설정_코드표!$K$2:$K$101,MATCH(LEFT(TRIM(G5&amp;""),FIND(" ",TRIM(G5&amp;""))-1),설정_코드표!$J$2:$J$101,0))&amp;" "&amp;INDEX(설정_코드표!$G$2:$G$101,MATCH(TRIM(RIGHT(SUBSTITUTE(TRIM(G5&amp;"")," ",REPT(" ",60)),60)),설정_코드표!$F$2:$F$101,0)),"⚠"&amp;TRIM(G5&amp;""))),"⚠"&amp;TRIM(G5&amp;""))</f>
        <v/>
      </c>
      <c r="P5" s="10">
        <f>IFERROR(IF(TRIM(H5&amp;"")="","",IF(AND(ISNUMBER(FIND(" ",TRIM(H5&amp;""))),ISNUMBER(MATCH(LEFT(TRIM(H5&amp;""),FIND(" ",TRIM(H5&amp;""))-1),설정_코드표!$J$2:$J$101,0)),ISNUMBER(MATCH(TRIM(RIGHT(SUBSTITUTE(TRIM(H5&amp;"")," ",REPT(" ",60)),60)),설정_코드표!$F$2:$F$101,0))),INDEX(설정_코드표!$K$2:$K$101,MATCH(LEFT(TRIM(H5&amp;""),FIND(" ",TRIM(H5&amp;""))-1),설정_코드표!$J$2:$J$101,0))&amp;" "&amp;INDEX(설정_코드표!$G$2:$G$101,MATCH(TRIM(RIGHT(SUBSTITUTE(TRIM(H5&amp;"")," ",REPT(" ",60)),60)),설정_코드표!$F$2:$F$101,0)),"⚠"&amp;TRIM(H5&amp;""))),"⚠"&amp;TRIM(H5&amp;""))</f>
        <v/>
      </c>
      <c r="Q5" s="10">
        <f>IFERROR(IF(TRIM(I5&amp;"")="","",IF(AND(ISNUMBER(FIND(" ",TRIM(I5&amp;""))),ISNUMBER(MATCH(LEFT(TRIM(I5&amp;""),FIND(" ",TRIM(I5&amp;""))-1),설정_코드표!$J$2:$J$101,0)),ISNUMBER(MATCH(TRIM(RIGHT(SUBSTITUTE(TRIM(I5&amp;"")," ",REPT(" ",60)),60)),설정_코드표!$F$2:$F$101,0))),INDEX(설정_코드표!$K$2:$K$101,MATCH(LEFT(TRIM(I5&amp;""),FIND(" ",TRIM(I5&amp;""))-1),설정_코드표!$J$2:$J$101,0))&amp;" "&amp;INDEX(설정_코드표!$G$2:$G$101,MATCH(TRIM(RIGHT(SUBSTITUTE(TRIM(I5&amp;"")," ",REPT(" ",60)),60)),설정_코드표!$F$2:$F$101,0)),"⚠"&amp;TRIM(I5&amp;""))),"⚠"&amp;TRIM(I5&amp;""))</f>
        <v/>
      </c>
      <c r="R5" s="10">
        <f>IFERROR(IF(TRIM(J5&amp;"")="","",IF(AND(ISNUMBER(FIND(" ",TRIM(J5&amp;""))),ISNUMBER(MATCH(LEFT(TRIM(J5&amp;""),FIND(" ",TRIM(J5&amp;""))-1),설정_코드표!$J$2:$J$101,0)),ISNUMBER(MATCH(TRIM(RIGHT(SUBSTITUTE(TRIM(J5&amp;"")," ",REPT(" ",60)),60)),설정_코드표!$F$2:$F$101,0))),INDEX(설정_코드표!$K$2:$K$101,MATCH(LEFT(TRIM(J5&amp;""),FIND(" ",TRIM(J5&amp;""))-1),설정_코드표!$J$2:$J$101,0))&amp;" "&amp;INDEX(설정_코드표!$G$2:$G$101,MATCH(TRIM(RIGHT(SUBSTITUTE(TRIM(J5&amp;"")," ",REPT(" ",60)),60)),설정_코드표!$F$2:$F$101,0)),"⚠"&amp;TRIM(J5&amp;""))),"⚠"&amp;TRIM(J5&amp;""))</f>
        <v/>
      </c>
      <c r="S5" s="11">
        <f>IF(K5="","",IFERROR(IF(AND(ROUND((VALUE(K5&amp;"")-INT(VALUE(K5&amp;"")))*100,0)&gt;=1,ROUND((VALUE(K5&amp;"")-INT(VALUE(K5&amp;"")))*100,0)&lt;=12,INT(VALUE(K5&amp;""))&gt;=1900),DATE(INT(VALUE(K5&amp;"")),ROUND((VALUE(K5&amp;"")-INT(VALUE(K5&amp;"")))*100,0),1),K5&amp;""),K5&amp;""))</f>
        <v/>
      </c>
      <c r="T5" s="10">
        <f>COUNTIF(M5:R5,"⚠*")</f>
        <v/>
      </c>
    </row>
    <row r="6"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M6" s="10">
        <f>IFERROR(IF(TRIM(E6&amp;"")="","",IF(AND(ISNUMBER(FIND(" ",TRIM(E6&amp;""))),ISNUMBER(MATCH(LEFT(TRIM(E6&amp;""),FIND(" ",TRIM(E6&amp;""))-1),설정_코드표!$J$2:$J$101,0)),ISNUMBER(MATCH(TRIM(RIGHT(SUBSTITUTE(TRIM(E6&amp;"")," ",REPT(" ",60)),60)),설정_코드표!$F$2:$F$101,0))),INDEX(설정_코드표!$K$2:$K$101,MATCH(LEFT(TRIM(E6&amp;""),FIND(" ",TRIM(E6&amp;""))-1),설정_코드표!$J$2:$J$101,0))&amp;" "&amp;INDEX(설정_코드표!$G$2:$G$101,MATCH(TRIM(RIGHT(SUBSTITUTE(TRIM(E6&amp;"")," ",REPT(" ",60)),60)),설정_코드표!$F$2:$F$101,0)),"⚠"&amp;TRIM(E6&amp;""))),"⚠"&amp;TRIM(E6&amp;""))</f>
        <v/>
      </c>
      <c r="N6" s="10">
        <f>IFERROR(IF(TRIM(F6&amp;"")="","",IF(AND(ISNUMBER(FIND(" ",TRIM(F6&amp;""))),ISNUMBER(MATCH(LEFT(TRIM(F6&amp;""),FIND(" ",TRIM(F6&amp;""))-1),설정_코드표!$J$2:$J$101,0)),ISNUMBER(MATCH(TRIM(RIGHT(SUBSTITUTE(TRIM(F6&amp;"")," ",REPT(" ",60)),60)),설정_코드표!$F$2:$F$101,0))),INDEX(설정_코드표!$K$2:$K$101,MATCH(LEFT(TRIM(F6&amp;""),FIND(" ",TRIM(F6&amp;""))-1),설정_코드표!$J$2:$J$101,0))&amp;" "&amp;INDEX(설정_코드표!$G$2:$G$101,MATCH(TRIM(RIGHT(SUBSTITUTE(TRIM(F6&amp;"")," ",REPT(" ",60)),60)),설정_코드표!$F$2:$F$101,0)),"⚠"&amp;TRIM(F6&amp;""))),"⚠"&amp;TRIM(F6&amp;""))</f>
        <v/>
      </c>
      <c r="O6" s="10">
        <f>IFERROR(IF(TRIM(G6&amp;"")="","",IF(AND(ISNUMBER(FIND(" ",TRIM(G6&amp;""))),ISNUMBER(MATCH(LEFT(TRIM(G6&amp;""),FIND(" ",TRIM(G6&amp;""))-1),설정_코드표!$J$2:$J$101,0)),ISNUMBER(MATCH(TRIM(RIGHT(SUBSTITUTE(TRIM(G6&amp;"")," ",REPT(" ",60)),60)),설정_코드표!$F$2:$F$101,0))),INDEX(설정_코드표!$K$2:$K$101,MATCH(LEFT(TRIM(G6&amp;""),FIND(" ",TRIM(G6&amp;""))-1),설정_코드표!$J$2:$J$101,0))&amp;" "&amp;INDEX(설정_코드표!$G$2:$G$101,MATCH(TRIM(RIGHT(SUBSTITUTE(TRIM(G6&amp;"")," ",REPT(" ",60)),60)),설정_코드표!$F$2:$F$101,0)),"⚠"&amp;TRIM(G6&amp;""))),"⚠"&amp;TRIM(G6&amp;""))</f>
        <v/>
      </c>
      <c r="P6" s="10">
        <f>IFERROR(IF(TRIM(H6&amp;"")="","",IF(AND(ISNUMBER(FIND(" ",TRIM(H6&amp;""))),ISNUMBER(MATCH(LEFT(TRIM(H6&amp;""),FIND(" ",TRIM(H6&amp;""))-1),설정_코드표!$J$2:$J$101,0)),ISNUMBER(MATCH(TRIM(RIGHT(SUBSTITUTE(TRIM(H6&amp;"")," ",REPT(" ",60)),60)),설정_코드표!$F$2:$F$101,0))),INDEX(설정_코드표!$K$2:$K$101,MATCH(LEFT(TRIM(H6&amp;""),FIND(" ",TRIM(H6&amp;""))-1),설정_코드표!$J$2:$J$101,0))&amp;" "&amp;INDEX(설정_코드표!$G$2:$G$101,MATCH(TRIM(RIGHT(SUBSTITUTE(TRIM(H6&amp;"")," ",REPT(" ",60)),60)),설정_코드표!$F$2:$F$101,0)),"⚠"&amp;TRIM(H6&amp;""))),"⚠"&amp;TRIM(H6&amp;""))</f>
        <v/>
      </c>
      <c r="Q6" s="10">
        <f>IFERROR(IF(TRIM(I6&amp;"")="","",IF(AND(ISNUMBER(FIND(" ",TRIM(I6&amp;""))),ISNUMBER(MATCH(LEFT(TRIM(I6&amp;""),FIND(" ",TRIM(I6&amp;""))-1),설정_코드표!$J$2:$J$101,0)),ISNUMBER(MATCH(TRIM(RIGHT(SUBSTITUTE(TRIM(I6&amp;"")," ",REPT(" ",60)),60)),설정_코드표!$F$2:$F$101,0))),INDEX(설정_코드표!$K$2:$K$101,MATCH(LEFT(TRIM(I6&amp;""),FIND(" ",TRIM(I6&amp;""))-1),설정_코드표!$J$2:$J$101,0))&amp;" "&amp;INDEX(설정_코드표!$G$2:$G$101,MATCH(TRIM(RIGHT(SUBSTITUTE(TRIM(I6&amp;"")," ",REPT(" ",60)),60)),설정_코드표!$F$2:$F$101,0)),"⚠"&amp;TRIM(I6&amp;""))),"⚠"&amp;TRIM(I6&amp;""))</f>
        <v/>
      </c>
      <c r="R6" s="10">
        <f>IFERROR(IF(TRIM(J6&amp;"")="","",IF(AND(ISNUMBER(FIND(" ",TRIM(J6&amp;""))),ISNUMBER(MATCH(LEFT(TRIM(J6&amp;""),FIND(" ",TRIM(J6&amp;""))-1),설정_코드표!$J$2:$J$101,0)),ISNUMBER(MATCH(TRIM(RIGHT(SUBSTITUTE(TRIM(J6&amp;"")," ",REPT(" ",60)),60)),설정_코드표!$F$2:$F$101,0))),INDEX(설정_코드표!$K$2:$K$101,MATCH(LEFT(TRIM(J6&amp;""),FIND(" ",TRIM(J6&amp;""))-1),설정_코드표!$J$2:$J$101,0))&amp;" "&amp;INDEX(설정_코드표!$G$2:$G$101,MATCH(TRIM(RIGHT(SUBSTITUTE(TRIM(J6&amp;"")," ",REPT(" ",60)),60)),설정_코드표!$F$2:$F$101,0)),"⚠"&amp;TRIM(J6&amp;""))),"⚠"&amp;TRIM(J6&amp;""))</f>
        <v/>
      </c>
      <c r="S6" s="11">
        <f>IF(K6="","",IFERROR(IF(AND(ROUND((VALUE(K6&amp;"")-INT(VALUE(K6&amp;"")))*100,0)&gt;=1,ROUND((VALUE(K6&amp;"")-INT(VALUE(K6&amp;"")))*100,0)&lt;=12,INT(VALUE(K6&amp;""))&gt;=1900),DATE(INT(VALUE(K6&amp;"")),ROUND((VALUE(K6&amp;"")-INT(VALUE(K6&amp;"")))*100,0),1),K6&amp;""),K6&amp;""))</f>
        <v/>
      </c>
      <c r="T6" s="10">
        <f>COUNTIF(M6:R6,"⚠*")</f>
        <v/>
      </c>
    </row>
    <row r="7"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M7" s="10">
        <f>IFERROR(IF(TRIM(E7&amp;"")="","",IF(AND(ISNUMBER(FIND(" ",TRIM(E7&amp;""))),ISNUMBER(MATCH(LEFT(TRIM(E7&amp;""),FIND(" ",TRIM(E7&amp;""))-1),설정_코드표!$J$2:$J$101,0)),ISNUMBER(MATCH(TRIM(RIGHT(SUBSTITUTE(TRIM(E7&amp;"")," ",REPT(" ",60)),60)),설정_코드표!$F$2:$F$101,0))),INDEX(설정_코드표!$K$2:$K$101,MATCH(LEFT(TRIM(E7&amp;""),FIND(" ",TRIM(E7&amp;""))-1),설정_코드표!$J$2:$J$101,0))&amp;" "&amp;INDEX(설정_코드표!$G$2:$G$101,MATCH(TRIM(RIGHT(SUBSTITUTE(TRIM(E7&amp;"")," ",REPT(" ",60)),60)),설정_코드표!$F$2:$F$101,0)),"⚠"&amp;TRIM(E7&amp;""))),"⚠"&amp;TRIM(E7&amp;""))</f>
        <v/>
      </c>
      <c r="N7" s="10">
        <f>IFERROR(IF(TRIM(F7&amp;"")="","",IF(AND(ISNUMBER(FIND(" ",TRIM(F7&amp;""))),ISNUMBER(MATCH(LEFT(TRIM(F7&amp;""),FIND(" ",TRIM(F7&amp;""))-1),설정_코드표!$J$2:$J$101,0)),ISNUMBER(MATCH(TRIM(RIGHT(SUBSTITUTE(TRIM(F7&amp;"")," ",REPT(" ",60)),60)),설정_코드표!$F$2:$F$101,0))),INDEX(설정_코드표!$K$2:$K$101,MATCH(LEFT(TRIM(F7&amp;""),FIND(" ",TRIM(F7&amp;""))-1),설정_코드표!$J$2:$J$101,0))&amp;" "&amp;INDEX(설정_코드표!$G$2:$G$101,MATCH(TRIM(RIGHT(SUBSTITUTE(TRIM(F7&amp;"")," ",REPT(" ",60)),60)),설정_코드표!$F$2:$F$101,0)),"⚠"&amp;TRIM(F7&amp;""))),"⚠"&amp;TRIM(F7&amp;""))</f>
        <v/>
      </c>
      <c r="O7" s="10">
        <f>IFERROR(IF(TRIM(G7&amp;"")="","",IF(AND(ISNUMBER(FIND(" ",TRIM(G7&amp;""))),ISNUMBER(MATCH(LEFT(TRIM(G7&amp;""),FIND(" ",TRIM(G7&amp;""))-1),설정_코드표!$J$2:$J$101,0)),ISNUMBER(MATCH(TRIM(RIGHT(SUBSTITUTE(TRIM(G7&amp;"")," ",REPT(" ",60)),60)),설정_코드표!$F$2:$F$101,0))),INDEX(설정_코드표!$K$2:$K$101,MATCH(LEFT(TRIM(G7&amp;""),FIND(" ",TRIM(G7&amp;""))-1),설정_코드표!$J$2:$J$101,0))&amp;" "&amp;INDEX(설정_코드표!$G$2:$G$101,MATCH(TRIM(RIGHT(SUBSTITUTE(TRIM(G7&amp;"")," ",REPT(" ",60)),60)),설정_코드표!$F$2:$F$101,0)),"⚠"&amp;TRIM(G7&amp;""))),"⚠"&amp;TRIM(G7&amp;""))</f>
        <v/>
      </c>
      <c r="P7" s="10">
        <f>IFERROR(IF(TRIM(H7&amp;"")="","",IF(AND(ISNUMBER(FIND(" ",TRIM(H7&amp;""))),ISNUMBER(MATCH(LEFT(TRIM(H7&amp;""),FIND(" ",TRIM(H7&amp;""))-1),설정_코드표!$J$2:$J$101,0)),ISNUMBER(MATCH(TRIM(RIGHT(SUBSTITUTE(TRIM(H7&amp;"")," ",REPT(" ",60)),60)),설정_코드표!$F$2:$F$101,0))),INDEX(설정_코드표!$K$2:$K$101,MATCH(LEFT(TRIM(H7&amp;""),FIND(" ",TRIM(H7&amp;""))-1),설정_코드표!$J$2:$J$101,0))&amp;" "&amp;INDEX(설정_코드표!$G$2:$G$101,MATCH(TRIM(RIGHT(SUBSTITUTE(TRIM(H7&amp;"")," ",REPT(" ",60)),60)),설정_코드표!$F$2:$F$101,0)),"⚠"&amp;TRIM(H7&amp;""))),"⚠"&amp;TRIM(H7&amp;""))</f>
        <v/>
      </c>
      <c r="Q7" s="10">
        <f>IFERROR(IF(TRIM(I7&amp;"")="","",IF(AND(ISNUMBER(FIND(" ",TRIM(I7&amp;""))),ISNUMBER(MATCH(LEFT(TRIM(I7&amp;""),FIND(" ",TRIM(I7&amp;""))-1),설정_코드표!$J$2:$J$101,0)),ISNUMBER(MATCH(TRIM(RIGHT(SUBSTITUTE(TRIM(I7&amp;"")," ",REPT(" ",60)),60)),설정_코드표!$F$2:$F$101,0))),INDEX(설정_코드표!$K$2:$K$101,MATCH(LEFT(TRIM(I7&amp;""),FIND(" ",TRIM(I7&amp;""))-1),설정_코드표!$J$2:$J$101,0))&amp;" "&amp;INDEX(설정_코드표!$G$2:$G$101,MATCH(TRIM(RIGHT(SUBSTITUTE(TRIM(I7&amp;"")," ",REPT(" ",60)),60)),설정_코드표!$F$2:$F$101,0)),"⚠"&amp;TRIM(I7&amp;""))),"⚠"&amp;TRIM(I7&amp;""))</f>
        <v/>
      </c>
      <c r="R7" s="10">
        <f>IFERROR(IF(TRIM(J7&amp;"")="","",IF(AND(ISNUMBER(FIND(" ",TRIM(J7&amp;""))),ISNUMBER(MATCH(LEFT(TRIM(J7&amp;""),FIND(" ",TRIM(J7&amp;""))-1),설정_코드표!$J$2:$J$101,0)),ISNUMBER(MATCH(TRIM(RIGHT(SUBSTITUTE(TRIM(J7&amp;"")," ",REPT(" ",60)),60)),설정_코드표!$F$2:$F$101,0))),INDEX(설정_코드표!$K$2:$K$101,MATCH(LEFT(TRIM(J7&amp;""),FIND(" ",TRIM(J7&amp;""))-1),설정_코드표!$J$2:$J$101,0))&amp;" "&amp;INDEX(설정_코드표!$G$2:$G$101,MATCH(TRIM(RIGHT(SUBSTITUTE(TRIM(J7&amp;"")," ",REPT(" ",60)),60)),설정_코드표!$F$2:$F$101,0)),"⚠"&amp;TRIM(J7&amp;""))),"⚠"&amp;TRIM(J7&amp;""))</f>
        <v/>
      </c>
      <c r="S7" s="11">
        <f>IF(K7="","",IFERROR(IF(AND(ROUND((VALUE(K7&amp;"")-INT(VALUE(K7&amp;"")))*100,0)&gt;=1,ROUND((VALUE(K7&amp;"")-INT(VALUE(K7&amp;"")))*100,0)&lt;=12,INT(VALUE(K7&amp;""))&gt;=1900),DATE(INT(VALUE(K7&amp;"")),ROUND((VALUE(K7&amp;"")-INT(VALUE(K7&amp;"")))*100,0),1),K7&amp;""),K7&amp;""))</f>
        <v/>
      </c>
      <c r="T7" s="10">
        <f>COUNTIF(M7:R7,"⚠*")</f>
        <v/>
      </c>
    </row>
    <row r="8"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M8" s="10">
        <f>IFERROR(IF(TRIM(E8&amp;"")="","",IF(AND(ISNUMBER(FIND(" ",TRIM(E8&amp;""))),ISNUMBER(MATCH(LEFT(TRIM(E8&amp;""),FIND(" ",TRIM(E8&amp;""))-1),설정_코드표!$J$2:$J$101,0)),ISNUMBER(MATCH(TRIM(RIGHT(SUBSTITUTE(TRIM(E8&amp;"")," ",REPT(" ",60)),60)),설정_코드표!$F$2:$F$101,0))),INDEX(설정_코드표!$K$2:$K$101,MATCH(LEFT(TRIM(E8&amp;""),FIND(" ",TRIM(E8&amp;""))-1),설정_코드표!$J$2:$J$101,0))&amp;" "&amp;INDEX(설정_코드표!$G$2:$G$101,MATCH(TRIM(RIGHT(SUBSTITUTE(TRIM(E8&amp;"")," ",REPT(" ",60)),60)),설정_코드표!$F$2:$F$101,0)),"⚠"&amp;TRIM(E8&amp;""))),"⚠"&amp;TRIM(E8&amp;""))</f>
        <v/>
      </c>
      <c r="N8" s="10">
        <f>IFERROR(IF(TRIM(F8&amp;"")="","",IF(AND(ISNUMBER(FIND(" ",TRIM(F8&amp;""))),ISNUMBER(MATCH(LEFT(TRIM(F8&amp;""),FIND(" ",TRIM(F8&amp;""))-1),설정_코드표!$J$2:$J$101,0)),ISNUMBER(MATCH(TRIM(RIGHT(SUBSTITUTE(TRIM(F8&amp;"")," ",REPT(" ",60)),60)),설정_코드표!$F$2:$F$101,0))),INDEX(설정_코드표!$K$2:$K$101,MATCH(LEFT(TRIM(F8&amp;""),FIND(" ",TRIM(F8&amp;""))-1),설정_코드표!$J$2:$J$101,0))&amp;" "&amp;INDEX(설정_코드표!$G$2:$G$101,MATCH(TRIM(RIGHT(SUBSTITUTE(TRIM(F8&amp;"")," ",REPT(" ",60)),60)),설정_코드표!$F$2:$F$101,0)),"⚠"&amp;TRIM(F8&amp;""))),"⚠"&amp;TRIM(F8&amp;""))</f>
        <v/>
      </c>
      <c r="O8" s="10">
        <f>IFERROR(IF(TRIM(G8&amp;"")="","",IF(AND(ISNUMBER(FIND(" ",TRIM(G8&amp;""))),ISNUMBER(MATCH(LEFT(TRIM(G8&amp;""),FIND(" ",TRIM(G8&amp;""))-1),설정_코드표!$J$2:$J$101,0)),ISNUMBER(MATCH(TRIM(RIGHT(SUBSTITUTE(TRIM(G8&amp;"")," ",REPT(" ",60)),60)),설정_코드표!$F$2:$F$101,0))),INDEX(설정_코드표!$K$2:$K$101,MATCH(LEFT(TRIM(G8&amp;""),FIND(" ",TRIM(G8&amp;""))-1),설정_코드표!$J$2:$J$101,0))&amp;" "&amp;INDEX(설정_코드표!$G$2:$G$101,MATCH(TRIM(RIGHT(SUBSTITUTE(TRIM(G8&amp;"")," ",REPT(" ",60)),60)),설정_코드표!$F$2:$F$101,0)),"⚠"&amp;TRIM(G8&amp;""))),"⚠"&amp;TRIM(G8&amp;""))</f>
        <v/>
      </c>
      <c r="P8" s="10">
        <f>IFERROR(IF(TRIM(H8&amp;"")="","",IF(AND(ISNUMBER(FIND(" ",TRIM(H8&amp;""))),ISNUMBER(MATCH(LEFT(TRIM(H8&amp;""),FIND(" ",TRIM(H8&amp;""))-1),설정_코드표!$J$2:$J$101,0)),ISNUMBER(MATCH(TRIM(RIGHT(SUBSTITUTE(TRIM(H8&amp;"")," ",REPT(" ",60)),60)),설정_코드표!$F$2:$F$101,0))),INDEX(설정_코드표!$K$2:$K$101,MATCH(LEFT(TRIM(H8&amp;""),FIND(" ",TRIM(H8&amp;""))-1),설정_코드표!$J$2:$J$101,0))&amp;" "&amp;INDEX(설정_코드표!$G$2:$G$101,MATCH(TRIM(RIGHT(SUBSTITUTE(TRIM(H8&amp;"")," ",REPT(" ",60)),60)),설정_코드표!$F$2:$F$101,0)),"⚠"&amp;TRIM(H8&amp;""))),"⚠"&amp;TRIM(H8&amp;""))</f>
        <v/>
      </c>
      <c r="Q8" s="10">
        <f>IFERROR(IF(TRIM(I8&amp;"")="","",IF(AND(ISNUMBER(FIND(" ",TRIM(I8&amp;""))),ISNUMBER(MATCH(LEFT(TRIM(I8&amp;""),FIND(" ",TRIM(I8&amp;""))-1),설정_코드표!$J$2:$J$101,0)),ISNUMBER(MATCH(TRIM(RIGHT(SUBSTITUTE(TRIM(I8&amp;"")," ",REPT(" ",60)),60)),설정_코드표!$F$2:$F$101,0))),INDEX(설정_코드표!$K$2:$K$101,MATCH(LEFT(TRIM(I8&amp;""),FIND(" ",TRIM(I8&amp;""))-1),설정_코드표!$J$2:$J$101,0))&amp;" "&amp;INDEX(설정_코드표!$G$2:$G$101,MATCH(TRIM(RIGHT(SUBSTITUTE(TRIM(I8&amp;"")," ",REPT(" ",60)),60)),설정_코드표!$F$2:$F$101,0)),"⚠"&amp;TRIM(I8&amp;""))),"⚠"&amp;TRIM(I8&amp;""))</f>
        <v/>
      </c>
      <c r="R8" s="10">
        <f>IFERROR(IF(TRIM(J8&amp;"")="","",IF(AND(ISNUMBER(FIND(" ",TRIM(J8&amp;""))),ISNUMBER(MATCH(LEFT(TRIM(J8&amp;""),FIND(" ",TRIM(J8&amp;""))-1),설정_코드표!$J$2:$J$101,0)),ISNUMBER(MATCH(TRIM(RIGHT(SUBSTITUTE(TRIM(J8&amp;"")," ",REPT(" ",60)),60)),설정_코드표!$F$2:$F$101,0))),INDEX(설정_코드표!$K$2:$K$101,MATCH(LEFT(TRIM(J8&amp;""),FIND(" ",TRIM(J8&amp;""))-1),설정_코드표!$J$2:$J$101,0))&amp;" "&amp;INDEX(설정_코드표!$G$2:$G$101,MATCH(TRIM(RIGHT(SUBSTITUTE(TRIM(J8&amp;"")," ",REPT(" ",60)),60)),설정_코드표!$F$2:$F$101,0)),"⚠"&amp;TRIM(J8&amp;""))),"⚠"&amp;TRIM(J8&amp;""))</f>
        <v/>
      </c>
      <c r="S8" s="11">
        <f>IF(K8="","",IFERROR(IF(AND(ROUND((VALUE(K8&amp;"")-INT(VALUE(K8&amp;"")))*100,0)&gt;=1,ROUND((VALUE(K8&amp;"")-INT(VALUE(K8&amp;"")))*100,0)&lt;=12,INT(VALUE(K8&amp;""))&gt;=1900),DATE(INT(VALUE(K8&amp;"")),ROUND((VALUE(K8&amp;"")-INT(VALUE(K8&amp;"")))*100,0),1),K8&amp;""),K8&amp;""))</f>
        <v/>
      </c>
      <c r="T8" s="10">
        <f>COUNTIF(M8:R8,"⚠*")</f>
        <v/>
      </c>
    </row>
    <row r="9"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M9" s="10">
        <f>IFERROR(IF(TRIM(E9&amp;"")="","",IF(AND(ISNUMBER(FIND(" ",TRIM(E9&amp;""))),ISNUMBER(MATCH(LEFT(TRIM(E9&amp;""),FIND(" ",TRIM(E9&amp;""))-1),설정_코드표!$J$2:$J$101,0)),ISNUMBER(MATCH(TRIM(RIGHT(SUBSTITUTE(TRIM(E9&amp;"")," ",REPT(" ",60)),60)),설정_코드표!$F$2:$F$101,0))),INDEX(설정_코드표!$K$2:$K$101,MATCH(LEFT(TRIM(E9&amp;""),FIND(" ",TRIM(E9&amp;""))-1),설정_코드표!$J$2:$J$101,0))&amp;" "&amp;INDEX(설정_코드표!$G$2:$G$101,MATCH(TRIM(RIGHT(SUBSTITUTE(TRIM(E9&amp;"")," ",REPT(" ",60)),60)),설정_코드표!$F$2:$F$101,0)),"⚠"&amp;TRIM(E9&amp;""))),"⚠"&amp;TRIM(E9&amp;""))</f>
        <v/>
      </c>
      <c r="N9" s="10">
        <f>IFERROR(IF(TRIM(F9&amp;"")="","",IF(AND(ISNUMBER(FIND(" ",TRIM(F9&amp;""))),ISNUMBER(MATCH(LEFT(TRIM(F9&amp;""),FIND(" ",TRIM(F9&amp;""))-1),설정_코드표!$J$2:$J$101,0)),ISNUMBER(MATCH(TRIM(RIGHT(SUBSTITUTE(TRIM(F9&amp;"")," ",REPT(" ",60)),60)),설정_코드표!$F$2:$F$101,0))),INDEX(설정_코드표!$K$2:$K$101,MATCH(LEFT(TRIM(F9&amp;""),FIND(" ",TRIM(F9&amp;""))-1),설정_코드표!$J$2:$J$101,0))&amp;" "&amp;INDEX(설정_코드표!$G$2:$G$101,MATCH(TRIM(RIGHT(SUBSTITUTE(TRIM(F9&amp;"")," ",REPT(" ",60)),60)),설정_코드표!$F$2:$F$101,0)),"⚠"&amp;TRIM(F9&amp;""))),"⚠"&amp;TRIM(F9&amp;""))</f>
        <v/>
      </c>
      <c r="O9" s="10">
        <f>IFERROR(IF(TRIM(G9&amp;"")="","",IF(AND(ISNUMBER(FIND(" ",TRIM(G9&amp;""))),ISNUMBER(MATCH(LEFT(TRIM(G9&amp;""),FIND(" ",TRIM(G9&amp;""))-1),설정_코드표!$J$2:$J$101,0)),ISNUMBER(MATCH(TRIM(RIGHT(SUBSTITUTE(TRIM(G9&amp;"")," ",REPT(" ",60)),60)),설정_코드표!$F$2:$F$101,0))),INDEX(설정_코드표!$K$2:$K$101,MATCH(LEFT(TRIM(G9&amp;""),FIND(" ",TRIM(G9&amp;""))-1),설정_코드표!$J$2:$J$101,0))&amp;" "&amp;INDEX(설정_코드표!$G$2:$G$101,MATCH(TRIM(RIGHT(SUBSTITUTE(TRIM(G9&amp;"")," ",REPT(" ",60)),60)),설정_코드표!$F$2:$F$101,0)),"⚠"&amp;TRIM(G9&amp;""))),"⚠"&amp;TRIM(G9&amp;""))</f>
        <v/>
      </c>
      <c r="P9" s="10">
        <f>IFERROR(IF(TRIM(H9&amp;"")="","",IF(AND(ISNUMBER(FIND(" ",TRIM(H9&amp;""))),ISNUMBER(MATCH(LEFT(TRIM(H9&amp;""),FIND(" ",TRIM(H9&amp;""))-1),설정_코드표!$J$2:$J$101,0)),ISNUMBER(MATCH(TRIM(RIGHT(SUBSTITUTE(TRIM(H9&amp;"")," ",REPT(" ",60)),60)),설정_코드표!$F$2:$F$101,0))),INDEX(설정_코드표!$K$2:$K$101,MATCH(LEFT(TRIM(H9&amp;""),FIND(" ",TRIM(H9&amp;""))-1),설정_코드표!$J$2:$J$101,0))&amp;" "&amp;INDEX(설정_코드표!$G$2:$G$101,MATCH(TRIM(RIGHT(SUBSTITUTE(TRIM(H9&amp;"")," ",REPT(" ",60)),60)),설정_코드표!$F$2:$F$101,0)),"⚠"&amp;TRIM(H9&amp;""))),"⚠"&amp;TRIM(H9&amp;""))</f>
        <v/>
      </c>
      <c r="Q9" s="10">
        <f>IFERROR(IF(TRIM(I9&amp;"")="","",IF(AND(ISNUMBER(FIND(" ",TRIM(I9&amp;""))),ISNUMBER(MATCH(LEFT(TRIM(I9&amp;""),FIND(" ",TRIM(I9&amp;""))-1),설정_코드표!$J$2:$J$101,0)),ISNUMBER(MATCH(TRIM(RIGHT(SUBSTITUTE(TRIM(I9&amp;"")," ",REPT(" ",60)),60)),설정_코드표!$F$2:$F$101,0))),INDEX(설정_코드표!$K$2:$K$101,MATCH(LEFT(TRIM(I9&amp;""),FIND(" ",TRIM(I9&amp;""))-1),설정_코드표!$J$2:$J$101,0))&amp;" "&amp;INDEX(설정_코드표!$G$2:$G$101,MATCH(TRIM(RIGHT(SUBSTITUTE(TRIM(I9&amp;"")," ",REPT(" ",60)),60)),설정_코드표!$F$2:$F$101,0)),"⚠"&amp;TRIM(I9&amp;""))),"⚠"&amp;TRIM(I9&amp;""))</f>
        <v/>
      </c>
      <c r="R9" s="10">
        <f>IFERROR(IF(TRIM(J9&amp;"")="","",IF(AND(ISNUMBER(FIND(" ",TRIM(J9&amp;""))),ISNUMBER(MATCH(LEFT(TRIM(J9&amp;""),FIND(" ",TRIM(J9&amp;""))-1),설정_코드표!$J$2:$J$101,0)),ISNUMBER(MATCH(TRIM(RIGHT(SUBSTITUTE(TRIM(J9&amp;"")," ",REPT(" ",60)),60)),설정_코드표!$F$2:$F$101,0))),INDEX(설정_코드표!$K$2:$K$101,MATCH(LEFT(TRIM(J9&amp;""),FIND(" ",TRIM(J9&amp;""))-1),설정_코드표!$J$2:$J$101,0))&amp;" "&amp;INDEX(설정_코드표!$G$2:$G$101,MATCH(TRIM(RIGHT(SUBSTITUTE(TRIM(J9&amp;"")," ",REPT(" ",60)),60)),설정_코드표!$F$2:$F$101,0)),"⚠"&amp;TRIM(J9&amp;""))),"⚠"&amp;TRIM(J9&amp;""))</f>
        <v/>
      </c>
      <c r="S9" s="11">
        <f>IF(K9="","",IFERROR(IF(AND(ROUND((VALUE(K9&amp;"")-INT(VALUE(K9&amp;"")))*100,0)&gt;=1,ROUND((VALUE(K9&amp;"")-INT(VALUE(K9&amp;"")))*100,0)&lt;=12,INT(VALUE(K9&amp;""))&gt;=1900),DATE(INT(VALUE(K9&amp;"")),ROUND((VALUE(K9&amp;"")-INT(VALUE(K9&amp;"")))*100,0),1),K9&amp;""),K9&amp;""))</f>
        <v/>
      </c>
      <c r="T9" s="10">
        <f>COUNTIF(M9:R9,"⚠*")</f>
        <v/>
      </c>
    </row>
    <row r="10"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M10" s="10">
        <f>IFERROR(IF(TRIM(E10&amp;"")="","",IF(AND(ISNUMBER(FIND(" ",TRIM(E10&amp;""))),ISNUMBER(MATCH(LEFT(TRIM(E10&amp;""),FIND(" ",TRIM(E10&amp;""))-1),설정_코드표!$J$2:$J$101,0)),ISNUMBER(MATCH(TRIM(RIGHT(SUBSTITUTE(TRIM(E10&amp;"")," ",REPT(" ",60)),60)),설정_코드표!$F$2:$F$101,0))),INDEX(설정_코드표!$K$2:$K$101,MATCH(LEFT(TRIM(E10&amp;""),FIND(" ",TRIM(E10&amp;""))-1),설정_코드표!$J$2:$J$101,0))&amp;" "&amp;INDEX(설정_코드표!$G$2:$G$101,MATCH(TRIM(RIGHT(SUBSTITUTE(TRIM(E10&amp;"")," ",REPT(" ",60)),60)),설정_코드표!$F$2:$F$101,0)),"⚠"&amp;TRIM(E10&amp;""))),"⚠"&amp;TRIM(E10&amp;""))</f>
        <v/>
      </c>
      <c r="N10" s="10">
        <f>IFERROR(IF(TRIM(F10&amp;"")="","",IF(AND(ISNUMBER(FIND(" ",TRIM(F10&amp;""))),ISNUMBER(MATCH(LEFT(TRIM(F10&amp;""),FIND(" ",TRIM(F10&amp;""))-1),설정_코드표!$J$2:$J$101,0)),ISNUMBER(MATCH(TRIM(RIGHT(SUBSTITUTE(TRIM(F10&amp;"")," ",REPT(" ",60)),60)),설정_코드표!$F$2:$F$101,0))),INDEX(설정_코드표!$K$2:$K$101,MATCH(LEFT(TRIM(F10&amp;""),FIND(" ",TRIM(F10&amp;""))-1),설정_코드표!$J$2:$J$101,0))&amp;" "&amp;INDEX(설정_코드표!$G$2:$G$101,MATCH(TRIM(RIGHT(SUBSTITUTE(TRIM(F10&amp;"")," ",REPT(" ",60)),60)),설정_코드표!$F$2:$F$101,0)),"⚠"&amp;TRIM(F10&amp;""))),"⚠"&amp;TRIM(F10&amp;""))</f>
        <v/>
      </c>
      <c r="O10" s="10">
        <f>IFERROR(IF(TRIM(G10&amp;"")="","",IF(AND(ISNUMBER(FIND(" ",TRIM(G10&amp;""))),ISNUMBER(MATCH(LEFT(TRIM(G10&amp;""),FIND(" ",TRIM(G10&amp;""))-1),설정_코드표!$J$2:$J$101,0)),ISNUMBER(MATCH(TRIM(RIGHT(SUBSTITUTE(TRIM(G10&amp;"")," ",REPT(" ",60)),60)),설정_코드표!$F$2:$F$101,0))),INDEX(설정_코드표!$K$2:$K$101,MATCH(LEFT(TRIM(G10&amp;""),FIND(" ",TRIM(G10&amp;""))-1),설정_코드표!$J$2:$J$101,0))&amp;" "&amp;INDEX(설정_코드표!$G$2:$G$101,MATCH(TRIM(RIGHT(SUBSTITUTE(TRIM(G10&amp;"")," ",REPT(" ",60)),60)),설정_코드표!$F$2:$F$101,0)),"⚠"&amp;TRIM(G10&amp;""))),"⚠"&amp;TRIM(G10&amp;""))</f>
        <v/>
      </c>
      <c r="P10" s="10">
        <f>IFERROR(IF(TRIM(H10&amp;"")="","",IF(AND(ISNUMBER(FIND(" ",TRIM(H10&amp;""))),ISNUMBER(MATCH(LEFT(TRIM(H10&amp;""),FIND(" ",TRIM(H10&amp;""))-1),설정_코드표!$J$2:$J$101,0)),ISNUMBER(MATCH(TRIM(RIGHT(SUBSTITUTE(TRIM(H10&amp;"")," ",REPT(" ",60)),60)),설정_코드표!$F$2:$F$101,0))),INDEX(설정_코드표!$K$2:$K$101,MATCH(LEFT(TRIM(H10&amp;""),FIND(" ",TRIM(H10&amp;""))-1),설정_코드표!$J$2:$J$101,0))&amp;" "&amp;INDEX(설정_코드표!$G$2:$G$101,MATCH(TRIM(RIGHT(SUBSTITUTE(TRIM(H10&amp;"")," ",REPT(" ",60)),60)),설정_코드표!$F$2:$F$101,0)),"⚠"&amp;TRIM(H10&amp;""))),"⚠"&amp;TRIM(H10&amp;""))</f>
        <v/>
      </c>
      <c r="Q10" s="10">
        <f>IFERROR(IF(TRIM(I10&amp;"")="","",IF(AND(ISNUMBER(FIND(" ",TRIM(I10&amp;""))),ISNUMBER(MATCH(LEFT(TRIM(I10&amp;""),FIND(" ",TRIM(I10&amp;""))-1),설정_코드표!$J$2:$J$101,0)),ISNUMBER(MATCH(TRIM(RIGHT(SUBSTITUTE(TRIM(I10&amp;"")," ",REPT(" ",60)),60)),설정_코드표!$F$2:$F$101,0))),INDEX(설정_코드표!$K$2:$K$101,MATCH(LEFT(TRIM(I10&amp;""),FIND(" ",TRIM(I10&amp;""))-1),설정_코드표!$J$2:$J$101,0))&amp;" "&amp;INDEX(설정_코드표!$G$2:$G$101,MATCH(TRIM(RIGHT(SUBSTITUTE(TRIM(I10&amp;"")," ",REPT(" ",60)),60)),설정_코드표!$F$2:$F$101,0)),"⚠"&amp;TRIM(I10&amp;""))),"⚠"&amp;TRIM(I10&amp;""))</f>
        <v/>
      </c>
      <c r="R10" s="10">
        <f>IFERROR(IF(TRIM(J10&amp;"")="","",IF(AND(ISNUMBER(FIND(" ",TRIM(J10&amp;""))),ISNUMBER(MATCH(LEFT(TRIM(J10&amp;""),FIND(" ",TRIM(J10&amp;""))-1),설정_코드표!$J$2:$J$101,0)),ISNUMBER(MATCH(TRIM(RIGHT(SUBSTITUTE(TRIM(J10&amp;"")," ",REPT(" ",60)),60)),설정_코드표!$F$2:$F$101,0))),INDEX(설정_코드표!$K$2:$K$101,MATCH(LEFT(TRIM(J10&amp;""),FIND(" ",TRIM(J10&amp;""))-1),설정_코드표!$J$2:$J$101,0))&amp;" "&amp;INDEX(설정_코드표!$G$2:$G$101,MATCH(TRIM(RIGHT(SUBSTITUTE(TRIM(J10&amp;"")," ",REPT(" ",60)),60)),설정_코드표!$F$2:$F$101,0)),"⚠"&amp;TRIM(J10&amp;""))),"⚠"&amp;TRIM(J10&amp;""))</f>
        <v/>
      </c>
      <c r="S10" s="11">
        <f>IF(K10="","",IFERROR(IF(AND(ROUND((VALUE(K10&amp;"")-INT(VALUE(K10&amp;"")))*100,0)&gt;=1,ROUND((VALUE(K10&amp;"")-INT(VALUE(K10&amp;"")))*100,0)&lt;=12,INT(VALUE(K10&amp;""))&gt;=1900),DATE(INT(VALUE(K10&amp;"")),ROUND((VALUE(K10&amp;"")-INT(VALUE(K10&amp;"")))*100,0),1),K10&amp;""),K10&amp;""))</f>
        <v/>
      </c>
      <c r="T10" s="10">
        <f>COUNTIF(M10:R10,"⚠*")</f>
        <v/>
      </c>
    </row>
    <row r="11"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M11" s="10">
        <f>IFERROR(IF(TRIM(E11&amp;"")="","",IF(AND(ISNUMBER(FIND(" ",TRIM(E11&amp;""))),ISNUMBER(MATCH(LEFT(TRIM(E11&amp;""),FIND(" ",TRIM(E11&amp;""))-1),설정_코드표!$J$2:$J$101,0)),ISNUMBER(MATCH(TRIM(RIGHT(SUBSTITUTE(TRIM(E11&amp;"")," ",REPT(" ",60)),60)),설정_코드표!$F$2:$F$101,0))),INDEX(설정_코드표!$K$2:$K$101,MATCH(LEFT(TRIM(E11&amp;""),FIND(" ",TRIM(E11&amp;""))-1),설정_코드표!$J$2:$J$101,0))&amp;" "&amp;INDEX(설정_코드표!$G$2:$G$101,MATCH(TRIM(RIGHT(SUBSTITUTE(TRIM(E11&amp;"")," ",REPT(" ",60)),60)),설정_코드표!$F$2:$F$101,0)),"⚠"&amp;TRIM(E11&amp;""))),"⚠"&amp;TRIM(E11&amp;""))</f>
        <v/>
      </c>
      <c r="N11" s="10">
        <f>IFERROR(IF(TRIM(F11&amp;"")="","",IF(AND(ISNUMBER(FIND(" ",TRIM(F11&amp;""))),ISNUMBER(MATCH(LEFT(TRIM(F11&amp;""),FIND(" ",TRIM(F11&amp;""))-1),설정_코드표!$J$2:$J$101,0)),ISNUMBER(MATCH(TRIM(RIGHT(SUBSTITUTE(TRIM(F11&amp;"")," ",REPT(" ",60)),60)),설정_코드표!$F$2:$F$101,0))),INDEX(설정_코드표!$K$2:$K$101,MATCH(LEFT(TRIM(F11&amp;""),FIND(" ",TRIM(F11&amp;""))-1),설정_코드표!$J$2:$J$101,0))&amp;" "&amp;INDEX(설정_코드표!$G$2:$G$101,MATCH(TRIM(RIGHT(SUBSTITUTE(TRIM(F11&amp;"")," ",REPT(" ",60)),60)),설정_코드표!$F$2:$F$101,0)),"⚠"&amp;TRIM(F11&amp;""))),"⚠"&amp;TRIM(F11&amp;""))</f>
        <v/>
      </c>
      <c r="O11" s="10">
        <f>IFERROR(IF(TRIM(G11&amp;"")="","",IF(AND(ISNUMBER(FIND(" ",TRIM(G11&amp;""))),ISNUMBER(MATCH(LEFT(TRIM(G11&amp;""),FIND(" ",TRIM(G11&amp;""))-1),설정_코드표!$J$2:$J$101,0)),ISNUMBER(MATCH(TRIM(RIGHT(SUBSTITUTE(TRIM(G11&amp;"")," ",REPT(" ",60)),60)),설정_코드표!$F$2:$F$101,0))),INDEX(설정_코드표!$K$2:$K$101,MATCH(LEFT(TRIM(G11&amp;""),FIND(" ",TRIM(G11&amp;""))-1),설정_코드표!$J$2:$J$101,0))&amp;" "&amp;INDEX(설정_코드표!$G$2:$G$101,MATCH(TRIM(RIGHT(SUBSTITUTE(TRIM(G11&amp;"")," ",REPT(" ",60)),60)),설정_코드표!$F$2:$F$101,0)),"⚠"&amp;TRIM(G11&amp;""))),"⚠"&amp;TRIM(G11&amp;""))</f>
        <v/>
      </c>
      <c r="P11" s="10">
        <f>IFERROR(IF(TRIM(H11&amp;"")="","",IF(AND(ISNUMBER(FIND(" ",TRIM(H11&amp;""))),ISNUMBER(MATCH(LEFT(TRIM(H11&amp;""),FIND(" ",TRIM(H11&amp;""))-1),설정_코드표!$J$2:$J$101,0)),ISNUMBER(MATCH(TRIM(RIGHT(SUBSTITUTE(TRIM(H11&amp;"")," ",REPT(" ",60)),60)),설정_코드표!$F$2:$F$101,0))),INDEX(설정_코드표!$K$2:$K$101,MATCH(LEFT(TRIM(H11&amp;""),FIND(" ",TRIM(H11&amp;""))-1),설정_코드표!$J$2:$J$101,0))&amp;" "&amp;INDEX(설정_코드표!$G$2:$G$101,MATCH(TRIM(RIGHT(SUBSTITUTE(TRIM(H11&amp;"")," ",REPT(" ",60)),60)),설정_코드표!$F$2:$F$101,0)),"⚠"&amp;TRIM(H11&amp;""))),"⚠"&amp;TRIM(H11&amp;""))</f>
        <v/>
      </c>
      <c r="Q11" s="10">
        <f>IFERROR(IF(TRIM(I11&amp;"")="","",IF(AND(ISNUMBER(FIND(" ",TRIM(I11&amp;""))),ISNUMBER(MATCH(LEFT(TRIM(I11&amp;""),FIND(" ",TRIM(I11&amp;""))-1),설정_코드표!$J$2:$J$101,0)),ISNUMBER(MATCH(TRIM(RIGHT(SUBSTITUTE(TRIM(I11&amp;"")," ",REPT(" ",60)),60)),설정_코드표!$F$2:$F$101,0))),INDEX(설정_코드표!$K$2:$K$101,MATCH(LEFT(TRIM(I11&amp;""),FIND(" ",TRIM(I11&amp;""))-1),설정_코드표!$J$2:$J$101,0))&amp;" "&amp;INDEX(설정_코드표!$G$2:$G$101,MATCH(TRIM(RIGHT(SUBSTITUTE(TRIM(I11&amp;"")," ",REPT(" ",60)),60)),설정_코드표!$F$2:$F$101,0)),"⚠"&amp;TRIM(I11&amp;""))),"⚠"&amp;TRIM(I11&amp;""))</f>
        <v/>
      </c>
      <c r="R11" s="10">
        <f>IFERROR(IF(TRIM(J11&amp;"")="","",IF(AND(ISNUMBER(FIND(" ",TRIM(J11&amp;""))),ISNUMBER(MATCH(LEFT(TRIM(J11&amp;""),FIND(" ",TRIM(J11&amp;""))-1),설정_코드표!$J$2:$J$101,0)),ISNUMBER(MATCH(TRIM(RIGHT(SUBSTITUTE(TRIM(J11&amp;"")," ",REPT(" ",60)),60)),설정_코드표!$F$2:$F$101,0))),INDEX(설정_코드표!$K$2:$K$101,MATCH(LEFT(TRIM(J11&amp;""),FIND(" ",TRIM(J11&amp;""))-1),설정_코드표!$J$2:$J$101,0))&amp;" "&amp;INDEX(설정_코드표!$G$2:$G$101,MATCH(TRIM(RIGHT(SUBSTITUTE(TRIM(J11&amp;"")," ",REPT(" ",60)),60)),설정_코드표!$F$2:$F$101,0)),"⚠"&amp;TRIM(J11&amp;""))),"⚠"&amp;TRIM(J11&amp;""))</f>
        <v/>
      </c>
      <c r="S11" s="11">
        <f>IF(K11="","",IFERROR(IF(AND(ROUND((VALUE(K11&amp;"")-INT(VALUE(K11&amp;"")))*100,0)&gt;=1,ROUND((VALUE(K11&amp;"")-INT(VALUE(K11&amp;"")))*100,0)&lt;=12,INT(VALUE(K11&amp;""))&gt;=1900),DATE(INT(VALUE(K11&amp;"")),ROUND((VALUE(K11&amp;"")-INT(VALUE(K11&amp;"")))*100,0),1),K11&amp;""),K11&amp;""))</f>
        <v/>
      </c>
      <c r="T11" s="10">
        <f>COUNTIF(M11:R11,"⚠*")</f>
        <v/>
      </c>
    </row>
    <row r="12"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M12" s="10">
        <f>IFERROR(IF(TRIM(E12&amp;"")="","",IF(AND(ISNUMBER(FIND(" ",TRIM(E12&amp;""))),ISNUMBER(MATCH(LEFT(TRIM(E12&amp;""),FIND(" ",TRIM(E12&amp;""))-1),설정_코드표!$J$2:$J$101,0)),ISNUMBER(MATCH(TRIM(RIGHT(SUBSTITUTE(TRIM(E12&amp;"")," ",REPT(" ",60)),60)),설정_코드표!$F$2:$F$101,0))),INDEX(설정_코드표!$K$2:$K$101,MATCH(LEFT(TRIM(E12&amp;""),FIND(" ",TRIM(E12&amp;""))-1),설정_코드표!$J$2:$J$101,0))&amp;" "&amp;INDEX(설정_코드표!$G$2:$G$101,MATCH(TRIM(RIGHT(SUBSTITUTE(TRIM(E12&amp;"")," ",REPT(" ",60)),60)),설정_코드표!$F$2:$F$101,0)),"⚠"&amp;TRIM(E12&amp;""))),"⚠"&amp;TRIM(E12&amp;""))</f>
        <v/>
      </c>
      <c r="N12" s="10">
        <f>IFERROR(IF(TRIM(F12&amp;"")="","",IF(AND(ISNUMBER(FIND(" ",TRIM(F12&amp;""))),ISNUMBER(MATCH(LEFT(TRIM(F12&amp;""),FIND(" ",TRIM(F12&amp;""))-1),설정_코드표!$J$2:$J$101,0)),ISNUMBER(MATCH(TRIM(RIGHT(SUBSTITUTE(TRIM(F12&amp;"")," ",REPT(" ",60)),60)),설정_코드표!$F$2:$F$101,0))),INDEX(설정_코드표!$K$2:$K$101,MATCH(LEFT(TRIM(F12&amp;""),FIND(" ",TRIM(F12&amp;""))-1),설정_코드표!$J$2:$J$101,0))&amp;" "&amp;INDEX(설정_코드표!$G$2:$G$101,MATCH(TRIM(RIGHT(SUBSTITUTE(TRIM(F12&amp;"")," ",REPT(" ",60)),60)),설정_코드표!$F$2:$F$101,0)),"⚠"&amp;TRIM(F12&amp;""))),"⚠"&amp;TRIM(F12&amp;""))</f>
        <v/>
      </c>
      <c r="O12" s="10">
        <f>IFERROR(IF(TRIM(G12&amp;"")="","",IF(AND(ISNUMBER(FIND(" ",TRIM(G12&amp;""))),ISNUMBER(MATCH(LEFT(TRIM(G12&amp;""),FIND(" ",TRIM(G12&amp;""))-1),설정_코드표!$J$2:$J$101,0)),ISNUMBER(MATCH(TRIM(RIGHT(SUBSTITUTE(TRIM(G12&amp;"")," ",REPT(" ",60)),60)),설정_코드표!$F$2:$F$101,0))),INDEX(설정_코드표!$K$2:$K$101,MATCH(LEFT(TRIM(G12&amp;""),FIND(" ",TRIM(G12&amp;""))-1),설정_코드표!$J$2:$J$101,0))&amp;" "&amp;INDEX(설정_코드표!$G$2:$G$101,MATCH(TRIM(RIGHT(SUBSTITUTE(TRIM(G12&amp;"")," ",REPT(" ",60)),60)),설정_코드표!$F$2:$F$101,0)),"⚠"&amp;TRIM(G12&amp;""))),"⚠"&amp;TRIM(G12&amp;""))</f>
        <v/>
      </c>
      <c r="P12" s="10">
        <f>IFERROR(IF(TRIM(H12&amp;"")="","",IF(AND(ISNUMBER(FIND(" ",TRIM(H12&amp;""))),ISNUMBER(MATCH(LEFT(TRIM(H12&amp;""),FIND(" ",TRIM(H12&amp;""))-1),설정_코드표!$J$2:$J$101,0)),ISNUMBER(MATCH(TRIM(RIGHT(SUBSTITUTE(TRIM(H12&amp;"")," ",REPT(" ",60)),60)),설정_코드표!$F$2:$F$101,0))),INDEX(설정_코드표!$K$2:$K$101,MATCH(LEFT(TRIM(H12&amp;""),FIND(" ",TRIM(H12&amp;""))-1),설정_코드표!$J$2:$J$101,0))&amp;" "&amp;INDEX(설정_코드표!$G$2:$G$101,MATCH(TRIM(RIGHT(SUBSTITUTE(TRIM(H12&amp;"")," ",REPT(" ",60)),60)),설정_코드표!$F$2:$F$101,0)),"⚠"&amp;TRIM(H12&amp;""))),"⚠"&amp;TRIM(H12&amp;""))</f>
        <v/>
      </c>
      <c r="Q12" s="10">
        <f>IFERROR(IF(TRIM(I12&amp;"")="","",IF(AND(ISNUMBER(FIND(" ",TRIM(I12&amp;""))),ISNUMBER(MATCH(LEFT(TRIM(I12&amp;""),FIND(" ",TRIM(I12&amp;""))-1),설정_코드표!$J$2:$J$101,0)),ISNUMBER(MATCH(TRIM(RIGHT(SUBSTITUTE(TRIM(I12&amp;"")," ",REPT(" ",60)),60)),설정_코드표!$F$2:$F$101,0))),INDEX(설정_코드표!$K$2:$K$101,MATCH(LEFT(TRIM(I12&amp;""),FIND(" ",TRIM(I12&amp;""))-1),설정_코드표!$J$2:$J$101,0))&amp;" "&amp;INDEX(설정_코드표!$G$2:$G$101,MATCH(TRIM(RIGHT(SUBSTITUTE(TRIM(I12&amp;"")," ",REPT(" ",60)),60)),설정_코드표!$F$2:$F$101,0)),"⚠"&amp;TRIM(I12&amp;""))),"⚠"&amp;TRIM(I12&amp;""))</f>
        <v/>
      </c>
      <c r="R12" s="10">
        <f>IFERROR(IF(TRIM(J12&amp;"")="","",IF(AND(ISNUMBER(FIND(" ",TRIM(J12&amp;""))),ISNUMBER(MATCH(LEFT(TRIM(J12&amp;""),FIND(" ",TRIM(J12&amp;""))-1),설정_코드표!$J$2:$J$101,0)),ISNUMBER(MATCH(TRIM(RIGHT(SUBSTITUTE(TRIM(J12&amp;"")," ",REPT(" ",60)),60)),설정_코드표!$F$2:$F$101,0))),INDEX(설정_코드표!$K$2:$K$101,MATCH(LEFT(TRIM(J12&amp;""),FIND(" ",TRIM(J12&amp;""))-1),설정_코드표!$J$2:$J$101,0))&amp;" "&amp;INDEX(설정_코드표!$G$2:$G$101,MATCH(TRIM(RIGHT(SUBSTITUTE(TRIM(J12&amp;"")," ",REPT(" ",60)),60)),설정_코드표!$F$2:$F$101,0)),"⚠"&amp;TRIM(J12&amp;""))),"⚠"&amp;TRIM(J12&amp;""))</f>
        <v/>
      </c>
      <c r="S12" s="11">
        <f>IF(K12="","",IFERROR(IF(AND(ROUND((VALUE(K12&amp;"")-INT(VALUE(K12&amp;"")))*100,0)&gt;=1,ROUND((VALUE(K12&amp;"")-INT(VALUE(K12&amp;"")))*100,0)&lt;=12,INT(VALUE(K12&amp;""))&gt;=1900),DATE(INT(VALUE(K12&amp;"")),ROUND((VALUE(K12&amp;"")-INT(VALUE(K12&amp;"")))*100,0),1),K12&amp;""),K12&amp;""))</f>
        <v/>
      </c>
      <c r="T12" s="10">
        <f>COUNTIF(M12:R12,"⚠*")</f>
        <v/>
      </c>
    </row>
    <row r="13"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M13" s="10">
        <f>IFERROR(IF(TRIM(E13&amp;"")="","",IF(AND(ISNUMBER(FIND(" ",TRIM(E13&amp;""))),ISNUMBER(MATCH(LEFT(TRIM(E13&amp;""),FIND(" ",TRIM(E13&amp;""))-1),설정_코드표!$J$2:$J$101,0)),ISNUMBER(MATCH(TRIM(RIGHT(SUBSTITUTE(TRIM(E13&amp;"")," ",REPT(" ",60)),60)),설정_코드표!$F$2:$F$101,0))),INDEX(설정_코드표!$K$2:$K$101,MATCH(LEFT(TRIM(E13&amp;""),FIND(" ",TRIM(E13&amp;""))-1),설정_코드표!$J$2:$J$101,0))&amp;" "&amp;INDEX(설정_코드표!$G$2:$G$101,MATCH(TRIM(RIGHT(SUBSTITUTE(TRIM(E13&amp;"")," ",REPT(" ",60)),60)),설정_코드표!$F$2:$F$101,0)),"⚠"&amp;TRIM(E13&amp;""))),"⚠"&amp;TRIM(E13&amp;""))</f>
        <v/>
      </c>
      <c r="N13" s="10">
        <f>IFERROR(IF(TRIM(F13&amp;"")="","",IF(AND(ISNUMBER(FIND(" ",TRIM(F13&amp;""))),ISNUMBER(MATCH(LEFT(TRIM(F13&amp;""),FIND(" ",TRIM(F13&amp;""))-1),설정_코드표!$J$2:$J$101,0)),ISNUMBER(MATCH(TRIM(RIGHT(SUBSTITUTE(TRIM(F13&amp;"")," ",REPT(" ",60)),60)),설정_코드표!$F$2:$F$101,0))),INDEX(설정_코드표!$K$2:$K$101,MATCH(LEFT(TRIM(F13&amp;""),FIND(" ",TRIM(F13&amp;""))-1),설정_코드표!$J$2:$J$101,0))&amp;" "&amp;INDEX(설정_코드표!$G$2:$G$101,MATCH(TRIM(RIGHT(SUBSTITUTE(TRIM(F13&amp;"")," ",REPT(" ",60)),60)),설정_코드표!$F$2:$F$101,0)),"⚠"&amp;TRIM(F13&amp;""))),"⚠"&amp;TRIM(F13&amp;""))</f>
        <v/>
      </c>
      <c r="O13" s="10">
        <f>IFERROR(IF(TRIM(G13&amp;"")="","",IF(AND(ISNUMBER(FIND(" ",TRIM(G13&amp;""))),ISNUMBER(MATCH(LEFT(TRIM(G13&amp;""),FIND(" ",TRIM(G13&amp;""))-1),설정_코드표!$J$2:$J$101,0)),ISNUMBER(MATCH(TRIM(RIGHT(SUBSTITUTE(TRIM(G13&amp;"")," ",REPT(" ",60)),60)),설정_코드표!$F$2:$F$101,0))),INDEX(설정_코드표!$K$2:$K$101,MATCH(LEFT(TRIM(G13&amp;""),FIND(" ",TRIM(G13&amp;""))-1),설정_코드표!$J$2:$J$101,0))&amp;" "&amp;INDEX(설정_코드표!$G$2:$G$101,MATCH(TRIM(RIGHT(SUBSTITUTE(TRIM(G13&amp;"")," ",REPT(" ",60)),60)),설정_코드표!$F$2:$F$101,0)),"⚠"&amp;TRIM(G13&amp;""))),"⚠"&amp;TRIM(G13&amp;""))</f>
        <v/>
      </c>
      <c r="P13" s="10">
        <f>IFERROR(IF(TRIM(H13&amp;"")="","",IF(AND(ISNUMBER(FIND(" ",TRIM(H13&amp;""))),ISNUMBER(MATCH(LEFT(TRIM(H13&amp;""),FIND(" ",TRIM(H13&amp;""))-1),설정_코드표!$J$2:$J$101,0)),ISNUMBER(MATCH(TRIM(RIGHT(SUBSTITUTE(TRIM(H13&amp;"")," ",REPT(" ",60)),60)),설정_코드표!$F$2:$F$101,0))),INDEX(설정_코드표!$K$2:$K$101,MATCH(LEFT(TRIM(H13&amp;""),FIND(" ",TRIM(H13&amp;""))-1),설정_코드표!$J$2:$J$101,0))&amp;" "&amp;INDEX(설정_코드표!$G$2:$G$101,MATCH(TRIM(RIGHT(SUBSTITUTE(TRIM(H13&amp;"")," ",REPT(" ",60)),60)),설정_코드표!$F$2:$F$101,0)),"⚠"&amp;TRIM(H13&amp;""))),"⚠"&amp;TRIM(H13&amp;""))</f>
        <v/>
      </c>
      <c r="Q13" s="10">
        <f>IFERROR(IF(TRIM(I13&amp;"")="","",IF(AND(ISNUMBER(FIND(" ",TRIM(I13&amp;""))),ISNUMBER(MATCH(LEFT(TRIM(I13&amp;""),FIND(" ",TRIM(I13&amp;""))-1),설정_코드표!$J$2:$J$101,0)),ISNUMBER(MATCH(TRIM(RIGHT(SUBSTITUTE(TRIM(I13&amp;"")," ",REPT(" ",60)),60)),설정_코드표!$F$2:$F$101,0))),INDEX(설정_코드표!$K$2:$K$101,MATCH(LEFT(TRIM(I13&amp;""),FIND(" ",TRIM(I13&amp;""))-1),설정_코드표!$J$2:$J$101,0))&amp;" "&amp;INDEX(설정_코드표!$G$2:$G$101,MATCH(TRIM(RIGHT(SUBSTITUTE(TRIM(I13&amp;"")," ",REPT(" ",60)),60)),설정_코드표!$F$2:$F$101,0)),"⚠"&amp;TRIM(I13&amp;""))),"⚠"&amp;TRIM(I13&amp;""))</f>
        <v/>
      </c>
      <c r="R13" s="10">
        <f>IFERROR(IF(TRIM(J13&amp;"")="","",IF(AND(ISNUMBER(FIND(" ",TRIM(J13&amp;""))),ISNUMBER(MATCH(LEFT(TRIM(J13&amp;""),FIND(" ",TRIM(J13&amp;""))-1),설정_코드표!$J$2:$J$101,0)),ISNUMBER(MATCH(TRIM(RIGHT(SUBSTITUTE(TRIM(J13&amp;"")," ",REPT(" ",60)),60)),설정_코드표!$F$2:$F$101,0))),INDEX(설정_코드표!$K$2:$K$101,MATCH(LEFT(TRIM(J13&amp;""),FIND(" ",TRIM(J13&amp;""))-1),설정_코드표!$J$2:$J$101,0))&amp;" "&amp;INDEX(설정_코드표!$G$2:$G$101,MATCH(TRIM(RIGHT(SUBSTITUTE(TRIM(J13&amp;"")," ",REPT(" ",60)),60)),설정_코드표!$F$2:$F$101,0)),"⚠"&amp;TRIM(J13&amp;""))),"⚠"&amp;TRIM(J13&amp;""))</f>
        <v/>
      </c>
      <c r="S13" s="11">
        <f>IF(K13="","",IFERROR(IF(AND(ROUND((VALUE(K13&amp;"")-INT(VALUE(K13&amp;"")))*100,0)&gt;=1,ROUND((VALUE(K13&amp;"")-INT(VALUE(K13&amp;"")))*100,0)&lt;=12,INT(VALUE(K13&amp;""))&gt;=1900),DATE(INT(VALUE(K13&amp;"")),ROUND((VALUE(K13&amp;"")-INT(VALUE(K13&amp;"")))*100,0),1),K13&amp;""),K13&amp;""))</f>
        <v/>
      </c>
      <c r="T13" s="10">
        <f>COUNTIF(M13:R13,"⚠*")</f>
        <v/>
      </c>
    </row>
    <row r="14"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M14" s="10">
        <f>IFERROR(IF(TRIM(E14&amp;"")="","",IF(AND(ISNUMBER(FIND(" ",TRIM(E14&amp;""))),ISNUMBER(MATCH(LEFT(TRIM(E14&amp;""),FIND(" ",TRIM(E14&amp;""))-1),설정_코드표!$J$2:$J$101,0)),ISNUMBER(MATCH(TRIM(RIGHT(SUBSTITUTE(TRIM(E14&amp;"")," ",REPT(" ",60)),60)),설정_코드표!$F$2:$F$101,0))),INDEX(설정_코드표!$K$2:$K$101,MATCH(LEFT(TRIM(E14&amp;""),FIND(" ",TRIM(E14&amp;""))-1),설정_코드표!$J$2:$J$101,0))&amp;" "&amp;INDEX(설정_코드표!$G$2:$G$101,MATCH(TRIM(RIGHT(SUBSTITUTE(TRIM(E14&amp;"")," ",REPT(" ",60)),60)),설정_코드표!$F$2:$F$101,0)),"⚠"&amp;TRIM(E14&amp;""))),"⚠"&amp;TRIM(E14&amp;""))</f>
        <v/>
      </c>
      <c r="N14" s="10">
        <f>IFERROR(IF(TRIM(F14&amp;"")="","",IF(AND(ISNUMBER(FIND(" ",TRIM(F14&amp;""))),ISNUMBER(MATCH(LEFT(TRIM(F14&amp;""),FIND(" ",TRIM(F14&amp;""))-1),설정_코드표!$J$2:$J$101,0)),ISNUMBER(MATCH(TRIM(RIGHT(SUBSTITUTE(TRIM(F14&amp;"")," ",REPT(" ",60)),60)),설정_코드표!$F$2:$F$101,0))),INDEX(설정_코드표!$K$2:$K$101,MATCH(LEFT(TRIM(F14&amp;""),FIND(" ",TRIM(F14&amp;""))-1),설정_코드표!$J$2:$J$101,0))&amp;" "&amp;INDEX(설정_코드표!$G$2:$G$101,MATCH(TRIM(RIGHT(SUBSTITUTE(TRIM(F14&amp;"")," ",REPT(" ",60)),60)),설정_코드표!$F$2:$F$101,0)),"⚠"&amp;TRIM(F14&amp;""))),"⚠"&amp;TRIM(F14&amp;""))</f>
        <v/>
      </c>
      <c r="O14" s="10">
        <f>IFERROR(IF(TRIM(G14&amp;"")="","",IF(AND(ISNUMBER(FIND(" ",TRIM(G14&amp;""))),ISNUMBER(MATCH(LEFT(TRIM(G14&amp;""),FIND(" ",TRIM(G14&amp;""))-1),설정_코드표!$J$2:$J$101,0)),ISNUMBER(MATCH(TRIM(RIGHT(SUBSTITUTE(TRIM(G14&amp;"")," ",REPT(" ",60)),60)),설정_코드표!$F$2:$F$101,0))),INDEX(설정_코드표!$K$2:$K$101,MATCH(LEFT(TRIM(G14&amp;""),FIND(" ",TRIM(G14&amp;""))-1),설정_코드표!$J$2:$J$101,0))&amp;" "&amp;INDEX(설정_코드표!$G$2:$G$101,MATCH(TRIM(RIGHT(SUBSTITUTE(TRIM(G14&amp;"")," ",REPT(" ",60)),60)),설정_코드표!$F$2:$F$101,0)),"⚠"&amp;TRIM(G14&amp;""))),"⚠"&amp;TRIM(G14&amp;""))</f>
        <v/>
      </c>
      <c r="P14" s="10">
        <f>IFERROR(IF(TRIM(H14&amp;"")="","",IF(AND(ISNUMBER(FIND(" ",TRIM(H14&amp;""))),ISNUMBER(MATCH(LEFT(TRIM(H14&amp;""),FIND(" ",TRIM(H14&amp;""))-1),설정_코드표!$J$2:$J$101,0)),ISNUMBER(MATCH(TRIM(RIGHT(SUBSTITUTE(TRIM(H14&amp;"")," ",REPT(" ",60)),60)),설정_코드표!$F$2:$F$101,0))),INDEX(설정_코드표!$K$2:$K$101,MATCH(LEFT(TRIM(H14&amp;""),FIND(" ",TRIM(H14&amp;""))-1),설정_코드표!$J$2:$J$101,0))&amp;" "&amp;INDEX(설정_코드표!$G$2:$G$101,MATCH(TRIM(RIGHT(SUBSTITUTE(TRIM(H14&amp;"")," ",REPT(" ",60)),60)),설정_코드표!$F$2:$F$101,0)),"⚠"&amp;TRIM(H14&amp;""))),"⚠"&amp;TRIM(H14&amp;""))</f>
        <v/>
      </c>
      <c r="Q14" s="10">
        <f>IFERROR(IF(TRIM(I14&amp;"")="","",IF(AND(ISNUMBER(FIND(" ",TRIM(I14&amp;""))),ISNUMBER(MATCH(LEFT(TRIM(I14&amp;""),FIND(" ",TRIM(I14&amp;""))-1),설정_코드표!$J$2:$J$101,0)),ISNUMBER(MATCH(TRIM(RIGHT(SUBSTITUTE(TRIM(I14&amp;"")," ",REPT(" ",60)),60)),설정_코드표!$F$2:$F$101,0))),INDEX(설정_코드표!$K$2:$K$101,MATCH(LEFT(TRIM(I14&amp;""),FIND(" ",TRIM(I14&amp;""))-1),설정_코드표!$J$2:$J$101,0))&amp;" "&amp;INDEX(설정_코드표!$G$2:$G$101,MATCH(TRIM(RIGHT(SUBSTITUTE(TRIM(I14&amp;"")," ",REPT(" ",60)),60)),설정_코드표!$F$2:$F$101,0)),"⚠"&amp;TRIM(I14&amp;""))),"⚠"&amp;TRIM(I14&amp;""))</f>
        <v/>
      </c>
      <c r="R14" s="10">
        <f>IFERROR(IF(TRIM(J14&amp;"")="","",IF(AND(ISNUMBER(FIND(" ",TRIM(J14&amp;""))),ISNUMBER(MATCH(LEFT(TRIM(J14&amp;""),FIND(" ",TRIM(J14&amp;""))-1),설정_코드표!$J$2:$J$101,0)),ISNUMBER(MATCH(TRIM(RIGHT(SUBSTITUTE(TRIM(J14&amp;"")," ",REPT(" ",60)),60)),설정_코드표!$F$2:$F$101,0))),INDEX(설정_코드표!$K$2:$K$101,MATCH(LEFT(TRIM(J14&amp;""),FIND(" ",TRIM(J14&amp;""))-1),설정_코드표!$J$2:$J$101,0))&amp;" "&amp;INDEX(설정_코드표!$G$2:$G$101,MATCH(TRIM(RIGHT(SUBSTITUTE(TRIM(J14&amp;"")," ",REPT(" ",60)),60)),설정_코드표!$F$2:$F$101,0)),"⚠"&amp;TRIM(J14&amp;""))),"⚠"&amp;TRIM(J14&amp;""))</f>
        <v/>
      </c>
      <c r="S14" s="11">
        <f>IF(K14="","",IFERROR(IF(AND(ROUND((VALUE(K14&amp;"")-INT(VALUE(K14&amp;"")))*100,0)&gt;=1,ROUND((VALUE(K14&amp;"")-INT(VALUE(K14&amp;"")))*100,0)&lt;=12,INT(VALUE(K14&amp;""))&gt;=1900),DATE(INT(VALUE(K14&amp;"")),ROUND((VALUE(K14&amp;"")-INT(VALUE(K14&amp;"")))*100,0),1),K14&amp;""),K14&amp;""))</f>
        <v/>
      </c>
      <c r="T14" s="10">
        <f>COUNTIF(M14:R14,"⚠*")</f>
        <v/>
      </c>
    </row>
    <row r="15"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M15" s="10">
        <f>IFERROR(IF(TRIM(E15&amp;"")="","",IF(AND(ISNUMBER(FIND(" ",TRIM(E15&amp;""))),ISNUMBER(MATCH(LEFT(TRIM(E15&amp;""),FIND(" ",TRIM(E15&amp;""))-1),설정_코드표!$J$2:$J$101,0)),ISNUMBER(MATCH(TRIM(RIGHT(SUBSTITUTE(TRIM(E15&amp;"")," ",REPT(" ",60)),60)),설정_코드표!$F$2:$F$101,0))),INDEX(설정_코드표!$K$2:$K$101,MATCH(LEFT(TRIM(E15&amp;""),FIND(" ",TRIM(E15&amp;""))-1),설정_코드표!$J$2:$J$101,0))&amp;" "&amp;INDEX(설정_코드표!$G$2:$G$101,MATCH(TRIM(RIGHT(SUBSTITUTE(TRIM(E15&amp;"")," ",REPT(" ",60)),60)),설정_코드표!$F$2:$F$101,0)),"⚠"&amp;TRIM(E15&amp;""))),"⚠"&amp;TRIM(E15&amp;""))</f>
        <v/>
      </c>
      <c r="N15" s="10">
        <f>IFERROR(IF(TRIM(F15&amp;"")="","",IF(AND(ISNUMBER(FIND(" ",TRIM(F15&amp;""))),ISNUMBER(MATCH(LEFT(TRIM(F15&amp;""),FIND(" ",TRIM(F15&amp;""))-1),설정_코드표!$J$2:$J$101,0)),ISNUMBER(MATCH(TRIM(RIGHT(SUBSTITUTE(TRIM(F15&amp;"")," ",REPT(" ",60)),60)),설정_코드표!$F$2:$F$101,0))),INDEX(설정_코드표!$K$2:$K$101,MATCH(LEFT(TRIM(F15&amp;""),FIND(" ",TRIM(F15&amp;""))-1),설정_코드표!$J$2:$J$101,0))&amp;" "&amp;INDEX(설정_코드표!$G$2:$G$101,MATCH(TRIM(RIGHT(SUBSTITUTE(TRIM(F15&amp;"")," ",REPT(" ",60)),60)),설정_코드표!$F$2:$F$101,0)),"⚠"&amp;TRIM(F15&amp;""))),"⚠"&amp;TRIM(F15&amp;""))</f>
        <v/>
      </c>
      <c r="O15" s="10">
        <f>IFERROR(IF(TRIM(G15&amp;"")="","",IF(AND(ISNUMBER(FIND(" ",TRIM(G15&amp;""))),ISNUMBER(MATCH(LEFT(TRIM(G15&amp;""),FIND(" ",TRIM(G15&amp;""))-1),설정_코드표!$J$2:$J$101,0)),ISNUMBER(MATCH(TRIM(RIGHT(SUBSTITUTE(TRIM(G15&amp;"")," ",REPT(" ",60)),60)),설정_코드표!$F$2:$F$101,0))),INDEX(설정_코드표!$K$2:$K$101,MATCH(LEFT(TRIM(G15&amp;""),FIND(" ",TRIM(G15&amp;""))-1),설정_코드표!$J$2:$J$101,0))&amp;" "&amp;INDEX(설정_코드표!$G$2:$G$101,MATCH(TRIM(RIGHT(SUBSTITUTE(TRIM(G15&amp;"")," ",REPT(" ",60)),60)),설정_코드표!$F$2:$F$101,0)),"⚠"&amp;TRIM(G15&amp;""))),"⚠"&amp;TRIM(G15&amp;""))</f>
        <v/>
      </c>
      <c r="P15" s="10">
        <f>IFERROR(IF(TRIM(H15&amp;"")="","",IF(AND(ISNUMBER(FIND(" ",TRIM(H15&amp;""))),ISNUMBER(MATCH(LEFT(TRIM(H15&amp;""),FIND(" ",TRIM(H15&amp;""))-1),설정_코드표!$J$2:$J$101,0)),ISNUMBER(MATCH(TRIM(RIGHT(SUBSTITUTE(TRIM(H15&amp;"")," ",REPT(" ",60)),60)),설정_코드표!$F$2:$F$101,0))),INDEX(설정_코드표!$K$2:$K$101,MATCH(LEFT(TRIM(H15&amp;""),FIND(" ",TRIM(H15&amp;""))-1),설정_코드표!$J$2:$J$101,0))&amp;" "&amp;INDEX(설정_코드표!$G$2:$G$101,MATCH(TRIM(RIGHT(SUBSTITUTE(TRIM(H15&amp;"")," ",REPT(" ",60)),60)),설정_코드표!$F$2:$F$101,0)),"⚠"&amp;TRIM(H15&amp;""))),"⚠"&amp;TRIM(H15&amp;""))</f>
        <v/>
      </c>
      <c r="Q15" s="10">
        <f>IFERROR(IF(TRIM(I15&amp;"")="","",IF(AND(ISNUMBER(FIND(" ",TRIM(I15&amp;""))),ISNUMBER(MATCH(LEFT(TRIM(I15&amp;""),FIND(" ",TRIM(I15&amp;""))-1),설정_코드표!$J$2:$J$101,0)),ISNUMBER(MATCH(TRIM(RIGHT(SUBSTITUTE(TRIM(I15&amp;"")," ",REPT(" ",60)),60)),설정_코드표!$F$2:$F$101,0))),INDEX(설정_코드표!$K$2:$K$101,MATCH(LEFT(TRIM(I15&amp;""),FIND(" ",TRIM(I15&amp;""))-1),설정_코드표!$J$2:$J$101,0))&amp;" "&amp;INDEX(설정_코드표!$G$2:$G$101,MATCH(TRIM(RIGHT(SUBSTITUTE(TRIM(I15&amp;"")," ",REPT(" ",60)),60)),설정_코드표!$F$2:$F$101,0)),"⚠"&amp;TRIM(I15&amp;""))),"⚠"&amp;TRIM(I15&amp;""))</f>
        <v/>
      </c>
      <c r="R15" s="10">
        <f>IFERROR(IF(TRIM(J15&amp;"")="","",IF(AND(ISNUMBER(FIND(" ",TRIM(J15&amp;""))),ISNUMBER(MATCH(LEFT(TRIM(J15&amp;""),FIND(" ",TRIM(J15&amp;""))-1),설정_코드표!$J$2:$J$101,0)),ISNUMBER(MATCH(TRIM(RIGHT(SUBSTITUTE(TRIM(J15&amp;"")," ",REPT(" ",60)),60)),설정_코드표!$F$2:$F$101,0))),INDEX(설정_코드표!$K$2:$K$101,MATCH(LEFT(TRIM(J15&amp;""),FIND(" ",TRIM(J15&amp;""))-1),설정_코드표!$J$2:$J$101,0))&amp;" "&amp;INDEX(설정_코드표!$G$2:$G$101,MATCH(TRIM(RIGHT(SUBSTITUTE(TRIM(J15&amp;"")," ",REPT(" ",60)),60)),설정_코드표!$F$2:$F$101,0)),"⚠"&amp;TRIM(J15&amp;""))),"⚠"&amp;TRIM(J15&amp;""))</f>
        <v/>
      </c>
      <c r="S15" s="11">
        <f>IF(K15="","",IFERROR(IF(AND(ROUND((VALUE(K15&amp;"")-INT(VALUE(K15&amp;"")))*100,0)&gt;=1,ROUND((VALUE(K15&amp;"")-INT(VALUE(K15&amp;"")))*100,0)&lt;=12,INT(VALUE(K15&amp;""))&gt;=1900),DATE(INT(VALUE(K15&amp;"")),ROUND((VALUE(K15&amp;"")-INT(VALUE(K15&amp;"")))*100,0),1),K15&amp;""),K15&amp;""))</f>
        <v/>
      </c>
      <c r="T15" s="10">
        <f>COUNTIF(M15:R15,"⚠*")</f>
        <v/>
      </c>
    </row>
    <row r="16"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M16" s="10">
        <f>IFERROR(IF(TRIM(E16&amp;"")="","",IF(AND(ISNUMBER(FIND(" ",TRIM(E16&amp;""))),ISNUMBER(MATCH(LEFT(TRIM(E16&amp;""),FIND(" ",TRIM(E16&amp;""))-1),설정_코드표!$J$2:$J$101,0)),ISNUMBER(MATCH(TRIM(RIGHT(SUBSTITUTE(TRIM(E16&amp;"")," ",REPT(" ",60)),60)),설정_코드표!$F$2:$F$101,0))),INDEX(설정_코드표!$K$2:$K$101,MATCH(LEFT(TRIM(E16&amp;""),FIND(" ",TRIM(E16&amp;""))-1),설정_코드표!$J$2:$J$101,0))&amp;" "&amp;INDEX(설정_코드표!$G$2:$G$101,MATCH(TRIM(RIGHT(SUBSTITUTE(TRIM(E16&amp;"")," ",REPT(" ",60)),60)),설정_코드표!$F$2:$F$101,0)),"⚠"&amp;TRIM(E16&amp;""))),"⚠"&amp;TRIM(E16&amp;""))</f>
        <v/>
      </c>
      <c r="N16" s="10">
        <f>IFERROR(IF(TRIM(F16&amp;"")="","",IF(AND(ISNUMBER(FIND(" ",TRIM(F16&amp;""))),ISNUMBER(MATCH(LEFT(TRIM(F16&amp;""),FIND(" ",TRIM(F16&amp;""))-1),설정_코드표!$J$2:$J$101,0)),ISNUMBER(MATCH(TRIM(RIGHT(SUBSTITUTE(TRIM(F16&amp;"")," ",REPT(" ",60)),60)),설정_코드표!$F$2:$F$101,0))),INDEX(설정_코드표!$K$2:$K$101,MATCH(LEFT(TRIM(F16&amp;""),FIND(" ",TRIM(F16&amp;""))-1),설정_코드표!$J$2:$J$101,0))&amp;" "&amp;INDEX(설정_코드표!$G$2:$G$101,MATCH(TRIM(RIGHT(SUBSTITUTE(TRIM(F16&amp;"")," ",REPT(" ",60)),60)),설정_코드표!$F$2:$F$101,0)),"⚠"&amp;TRIM(F16&amp;""))),"⚠"&amp;TRIM(F16&amp;""))</f>
        <v/>
      </c>
      <c r="O16" s="10">
        <f>IFERROR(IF(TRIM(G16&amp;"")="","",IF(AND(ISNUMBER(FIND(" ",TRIM(G16&amp;""))),ISNUMBER(MATCH(LEFT(TRIM(G16&amp;""),FIND(" ",TRIM(G16&amp;""))-1),설정_코드표!$J$2:$J$101,0)),ISNUMBER(MATCH(TRIM(RIGHT(SUBSTITUTE(TRIM(G16&amp;"")," ",REPT(" ",60)),60)),설정_코드표!$F$2:$F$101,0))),INDEX(설정_코드표!$K$2:$K$101,MATCH(LEFT(TRIM(G16&amp;""),FIND(" ",TRIM(G16&amp;""))-1),설정_코드표!$J$2:$J$101,0))&amp;" "&amp;INDEX(설정_코드표!$G$2:$G$101,MATCH(TRIM(RIGHT(SUBSTITUTE(TRIM(G16&amp;"")," ",REPT(" ",60)),60)),설정_코드표!$F$2:$F$101,0)),"⚠"&amp;TRIM(G16&amp;""))),"⚠"&amp;TRIM(G16&amp;""))</f>
        <v/>
      </c>
      <c r="P16" s="10">
        <f>IFERROR(IF(TRIM(H16&amp;"")="","",IF(AND(ISNUMBER(FIND(" ",TRIM(H16&amp;""))),ISNUMBER(MATCH(LEFT(TRIM(H16&amp;""),FIND(" ",TRIM(H16&amp;""))-1),설정_코드표!$J$2:$J$101,0)),ISNUMBER(MATCH(TRIM(RIGHT(SUBSTITUTE(TRIM(H16&amp;"")," ",REPT(" ",60)),60)),설정_코드표!$F$2:$F$101,0))),INDEX(설정_코드표!$K$2:$K$101,MATCH(LEFT(TRIM(H16&amp;""),FIND(" ",TRIM(H16&amp;""))-1),설정_코드표!$J$2:$J$101,0))&amp;" "&amp;INDEX(설정_코드표!$G$2:$G$101,MATCH(TRIM(RIGHT(SUBSTITUTE(TRIM(H16&amp;"")," ",REPT(" ",60)),60)),설정_코드표!$F$2:$F$101,0)),"⚠"&amp;TRIM(H16&amp;""))),"⚠"&amp;TRIM(H16&amp;""))</f>
        <v/>
      </c>
      <c r="Q16" s="10">
        <f>IFERROR(IF(TRIM(I16&amp;"")="","",IF(AND(ISNUMBER(FIND(" ",TRIM(I16&amp;""))),ISNUMBER(MATCH(LEFT(TRIM(I16&amp;""),FIND(" ",TRIM(I16&amp;""))-1),설정_코드표!$J$2:$J$101,0)),ISNUMBER(MATCH(TRIM(RIGHT(SUBSTITUTE(TRIM(I16&amp;"")," ",REPT(" ",60)),60)),설정_코드표!$F$2:$F$101,0))),INDEX(설정_코드표!$K$2:$K$101,MATCH(LEFT(TRIM(I16&amp;""),FIND(" ",TRIM(I16&amp;""))-1),설정_코드표!$J$2:$J$101,0))&amp;" "&amp;INDEX(설정_코드표!$G$2:$G$101,MATCH(TRIM(RIGHT(SUBSTITUTE(TRIM(I16&amp;"")," ",REPT(" ",60)),60)),설정_코드표!$F$2:$F$101,0)),"⚠"&amp;TRIM(I16&amp;""))),"⚠"&amp;TRIM(I16&amp;""))</f>
        <v/>
      </c>
      <c r="R16" s="10">
        <f>IFERROR(IF(TRIM(J16&amp;"")="","",IF(AND(ISNUMBER(FIND(" ",TRIM(J16&amp;""))),ISNUMBER(MATCH(LEFT(TRIM(J16&amp;""),FIND(" ",TRIM(J16&amp;""))-1),설정_코드표!$J$2:$J$101,0)),ISNUMBER(MATCH(TRIM(RIGHT(SUBSTITUTE(TRIM(J16&amp;"")," ",REPT(" ",60)),60)),설정_코드표!$F$2:$F$101,0))),INDEX(설정_코드표!$K$2:$K$101,MATCH(LEFT(TRIM(J16&amp;""),FIND(" ",TRIM(J16&amp;""))-1),설정_코드표!$J$2:$J$101,0))&amp;" "&amp;INDEX(설정_코드표!$G$2:$G$101,MATCH(TRIM(RIGHT(SUBSTITUTE(TRIM(J16&amp;"")," ",REPT(" ",60)),60)),설정_코드표!$F$2:$F$101,0)),"⚠"&amp;TRIM(J16&amp;""))),"⚠"&amp;TRIM(J16&amp;""))</f>
        <v/>
      </c>
      <c r="S16" s="11">
        <f>IF(K16="","",IFERROR(IF(AND(ROUND((VALUE(K16&amp;"")-INT(VALUE(K16&amp;"")))*100,0)&gt;=1,ROUND((VALUE(K16&amp;"")-INT(VALUE(K16&amp;"")))*100,0)&lt;=12,INT(VALUE(K16&amp;""))&gt;=1900),DATE(INT(VALUE(K16&amp;"")),ROUND((VALUE(K16&amp;"")-INT(VALUE(K16&amp;"")))*100,0),1),K16&amp;""),K16&amp;""))</f>
        <v/>
      </c>
      <c r="T16" s="10">
        <f>COUNTIF(M16:R16,"⚠*")</f>
        <v/>
      </c>
    </row>
    <row r="17"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M17" s="10">
        <f>IFERROR(IF(TRIM(E17&amp;"")="","",IF(AND(ISNUMBER(FIND(" ",TRIM(E17&amp;""))),ISNUMBER(MATCH(LEFT(TRIM(E17&amp;""),FIND(" ",TRIM(E17&amp;""))-1),설정_코드표!$J$2:$J$101,0)),ISNUMBER(MATCH(TRIM(RIGHT(SUBSTITUTE(TRIM(E17&amp;"")," ",REPT(" ",60)),60)),설정_코드표!$F$2:$F$101,0))),INDEX(설정_코드표!$K$2:$K$101,MATCH(LEFT(TRIM(E17&amp;""),FIND(" ",TRIM(E17&amp;""))-1),설정_코드표!$J$2:$J$101,0))&amp;" "&amp;INDEX(설정_코드표!$G$2:$G$101,MATCH(TRIM(RIGHT(SUBSTITUTE(TRIM(E17&amp;"")," ",REPT(" ",60)),60)),설정_코드표!$F$2:$F$101,0)),"⚠"&amp;TRIM(E17&amp;""))),"⚠"&amp;TRIM(E17&amp;""))</f>
        <v/>
      </c>
      <c r="N17" s="10">
        <f>IFERROR(IF(TRIM(F17&amp;"")="","",IF(AND(ISNUMBER(FIND(" ",TRIM(F17&amp;""))),ISNUMBER(MATCH(LEFT(TRIM(F17&amp;""),FIND(" ",TRIM(F17&amp;""))-1),설정_코드표!$J$2:$J$101,0)),ISNUMBER(MATCH(TRIM(RIGHT(SUBSTITUTE(TRIM(F17&amp;"")," ",REPT(" ",60)),60)),설정_코드표!$F$2:$F$101,0))),INDEX(설정_코드표!$K$2:$K$101,MATCH(LEFT(TRIM(F17&amp;""),FIND(" ",TRIM(F17&amp;""))-1),설정_코드표!$J$2:$J$101,0))&amp;" "&amp;INDEX(설정_코드표!$G$2:$G$101,MATCH(TRIM(RIGHT(SUBSTITUTE(TRIM(F17&amp;"")," ",REPT(" ",60)),60)),설정_코드표!$F$2:$F$101,0)),"⚠"&amp;TRIM(F17&amp;""))),"⚠"&amp;TRIM(F17&amp;""))</f>
        <v/>
      </c>
      <c r="O17" s="10">
        <f>IFERROR(IF(TRIM(G17&amp;"")="","",IF(AND(ISNUMBER(FIND(" ",TRIM(G17&amp;""))),ISNUMBER(MATCH(LEFT(TRIM(G17&amp;""),FIND(" ",TRIM(G17&amp;""))-1),설정_코드표!$J$2:$J$101,0)),ISNUMBER(MATCH(TRIM(RIGHT(SUBSTITUTE(TRIM(G17&amp;"")," ",REPT(" ",60)),60)),설정_코드표!$F$2:$F$101,0))),INDEX(설정_코드표!$K$2:$K$101,MATCH(LEFT(TRIM(G17&amp;""),FIND(" ",TRIM(G17&amp;""))-1),설정_코드표!$J$2:$J$101,0))&amp;" "&amp;INDEX(설정_코드표!$G$2:$G$101,MATCH(TRIM(RIGHT(SUBSTITUTE(TRIM(G17&amp;"")," ",REPT(" ",60)),60)),설정_코드표!$F$2:$F$101,0)),"⚠"&amp;TRIM(G17&amp;""))),"⚠"&amp;TRIM(G17&amp;""))</f>
        <v/>
      </c>
      <c r="P17" s="10">
        <f>IFERROR(IF(TRIM(H17&amp;"")="","",IF(AND(ISNUMBER(FIND(" ",TRIM(H17&amp;""))),ISNUMBER(MATCH(LEFT(TRIM(H17&amp;""),FIND(" ",TRIM(H17&amp;""))-1),설정_코드표!$J$2:$J$101,0)),ISNUMBER(MATCH(TRIM(RIGHT(SUBSTITUTE(TRIM(H17&amp;"")," ",REPT(" ",60)),60)),설정_코드표!$F$2:$F$101,0))),INDEX(설정_코드표!$K$2:$K$101,MATCH(LEFT(TRIM(H17&amp;""),FIND(" ",TRIM(H17&amp;""))-1),설정_코드표!$J$2:$J$101,0))&amp;" "&amp;INDEX(설정_코드표!$G$2:$G$101,MATCH(TRIM(RIGHT(SUBSTITUTE(TRIM(H17&amp;"")," ",REPT(" ",60)),60)),설정_코드표!$F$2:$F$101,0)),"⚠"&amp;TRIM(H17&amp;""))),"⚠"&amp;TRIM(H17&amp;""))</f>
        <v/>
      </c>
      <c r="Q17" s="10">
        <f>IFERROR(IF(TRIM(I17&amp;"")="","",IF(AND(ISNUMBER(FIND(" ",TRIM(I17&amp;""))),ISNUMBER(MATCH(LEFT(TRIM(I17&amp;""),FIND(" ",TRIM(I17&amp;""))-1),설정_코드표!$J$2:$J$101,0)),ISNUMBER(MATCH(TRIM(RIGHT(SUBSTITUTE(TRIM(I17&amp;"")," ",REPT(" ",60)),60)),설정_코드표!$F$2:$F$101,0))),INDEX(설정_코드표!$K$2:$K$101,MATCH(LEFT(TRIM(I17&amp;""),FIND(" ",TRIM(I17&amp;""))-1),설정_코드표!$J$2:$J$101,0))&amp;" "&amp;INDEX(설정_코드표!$G$2:$G$101,MATCH(TRIM(RIGHT(SUBSTITUTE(TRIM(I17&amp;"")," ",REPT(" ",60)),60)),설정_코드표!$F$2:$F$101,0)),"⚠"&amp;TRIM(I17&amp;""))),"⚠"&amp;TRIM(I17&amp;""))</f>
        <v/>
      </c>
      <c r="R17" s="10">
        <f>IFERROR(IF(TRIM(J17&amp;"")="","",IF(AND(ISNUMBER(FIND(" ",TRIM(J17&amp;""))),ISNUMBER(MATCH(LEFT(TRIM(J17&amp;""),FIND(" ",TRIM(J17&amp;""))-1),설정_코드표!$J$2:$J$101,0)),ISNUMBER(MATCH(TRIM(RIGHT(SUBSTITUTE(TRIM(J17&amp;"")," ",REPT(" ",60)),60)),설정_코드표!$F$2:$F$101,0))),INDEX(설정_코드표!$K$2:$K$101,MATCH(LEFT(TRIM(J17&amp;""),FIND(" ",TRIM(J17&amp;""))-1),설정_코드표!$J$2:$J$101,0))&amp;" "&amp;INDEX(설정_코드표!$G$2:$G$101,MATCH(TRIM(RIGHT(SUBSTITUTE(TRIM(J17&amp;"")," ",REPT(" ",60)),60)),설정_코드표!$F$2:$F$101,0)),"⚠"&amp;TRIM(J17&amp;""))),"⚠"&amp;TRIM(J17&amp;""))</f>
        <v/>
      </c>
      <c r="S17" s="11">
        <f>IF(K17="","",IFERROR(IF(AND(ROUND((VALUE(K17&amp;"")-INT(VALUE(K17&amp;"")))*100,0)&gt;=1,ROUND((VALUE(K17&amp;"")-INT(VALUE(K17&amp;"")))*100,0)&lt;=12,INT(VALUE(K17&amp;""))&gt;=1900),DATE(INT(VALUE(K17&amp;"")),ROUND((VALUE(K17&amp;"")-INT(VALUE(K17&amp;"")))*100,0),1),K17&amp;""),K17&amp;""))</f>
        <v/>
      </c>
      <c r="T17" s="10">
        <f>COUNTIF(M17:R17,"⚠*")</f>
        <v/>
      </c>
    </row>
    <row r="18"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M18" s="10">
        <f>IFERROR(IF(TRIM(E18&amp;"")="","",IF(AND(ISNUMBER(FIND(" ",TRIM(E18&amp;""))),ISNUMBER(MATCH(LEFT(TRIM(E18&amp;""),FIND(" ",TRIM(E18&amp;""))-1),설정_코드표!$J$2:$J$101,0)),ISNUMBER(MATCH(TRIM(RIGHT(SUBSTITUTE(TRIM(E18&amp;"")," ",REPT(" ",60)),60)),설정_코드표!$F$2:$F$101,0))),INDEX(설정_코드표!$K$2:$K$101,MATCH(LEFT(TRIM(E18&amp;""),FIND(" ",TRIM(E18&amp;""))-1),설정_코드표!$J$2:$J$101,0))&amp;" "&amp;INDEX(설정_코드표!$G$2:$G$101,MATCH(TRIM(RIGHT(SUBSTITUTE(TRIM(E18&amp;"")," ",REPT(" ",60)),60)),설정_코드표!$F$2:$F$101,0)),"⚠"&amp;TRIM(E18&amp;""))),"⚠"&amp;TRIM(E18&amp;""))</f>
        <v/>
      </c>
      <c r="N18" s="10">
        <f>IFERROR(IF(TRIM(F18&amp;"")="","",IF(AND(ISNUMBER(FIND(" ",TRIM(F18&amp;""))),ISNUMBER(MATCH(LEFT(TRIM(F18&amp;""),FIND(" ",TRIM(F18&amp;""))-1),설정_코드표!$J$2:$J$101,0)),ISNUMBER(MATCH(TRIM(RIGHT(SUBSTITUTE(TRIM(F18&amp;"")," ",REPT(" ",60)),60)),설정_코드표!$F$2:$F$101,0))),INDEX(설정_코드표!$K$2:$K$101,MATCH(LEFT(TRIM(F18&amp;""),FIND(" ",TRIM(F18&amp;""))-1),설정_코드표!$J$2:$J$101,0))&amp;" "&amp;INDEX(설정_코드표!$G$2:$G$101,MATCH(TRIM(RIGHT(SUBSTITUTE(TRIM(F18&amp;"")," ",REPT(" ",60)),60)),설정_코드표!$F$2:$F$101,0)),"⚠"&amp;TRIM(F18&amp;""))),"⚠"&amp;TRIM(F18&amp;""))</f>
        <v/>
      </c>
      <c r="O18" s="10">
        <f>IFERROR(IF(TRIM(G18&amp;"")="","",IF(AND(ISNUMBER(FIND(" ",TRIM(G18&amp;""))),ISNUMBER(MATCH(LEFT(TRIM(G18&amp;""),FIND(" ",TRIM(G18&amp;""))-1),설정_코드표!$J$2:$J$101,0)),ISNUMBER(MATCH(TRIM(RIGHT(SUBSTITUTE(TRIM(G18&amp;"")," ",REPT(" ",60)),60)),설정_코드표!$F$2:$F$101,0))),INDEX(설정_코드표!$K$2:$K$101,MATCH(LEFT(TRIM(G18&amp;""),FIND(" ",TRIM(G18&amp;""))-1),설정_코드표!$J$2:$J$101,0))&amp;" "&amp;INDEX(설정_코드표!$G$2:$G$101,MATCH(TRIM(RIGHT(SUBSTITUTE(TRIM(G18&amp;"")," ",REPT(" ",60)),60)),설정_코드표!$F$2:$F$101,0)),"⚠"&amp;TRIM(G18&amp;""))),"⚠"&amp;TRIM(G18&amp;""))</f>
        <v/>
      </c>
      <c r="P18" s="10">
        <f>IFERROR(IF(TRIM(H18&amp;"")="","",IF(AND(ISNUMBER(FIND(" ",TRIM(H18&amp;""))),ISNUMBER(MATCH(LEFT(TRIM(H18&amp;""),FIND(" ",TRIM(H18&amp;""))-1),설정_코드표!$J$2:$J$101,0)),ISNUMBER(MATCH(TRIM(RIGHT(SUBSTITUTE(TRIM(H18&amp;"")," ",REPT(" ",60)),60)),설정_코드표!$F$2:$F$101,0))),INDEX(설정_코드표!$K$2:$K$101,MATCH(LEFT(TRIM(H18&amp;""),FIND(" ",TRIM(H18&amp;""))-1),설정_코드표!$J$2:$J$101,0))&amp;" "&amp;INDEX(설정_코드표!$G$2:$G$101,MATCH(TRIM(RIGHT(SUBSTITUTE(TRIM(H18&amp;"")," ",REPT(" ",60)),60)),설정_코드표!$F$2:$F$101,0)),"⚠"&amp;TRIM(H18&amp;""))),"⚠"&amp;TRIM(H18&amp;""))</f>
        <v/>
      </c>
      <c r="Q18" s="10">
        <f>IFERROR(IF(TRIM(I18&amp;"")="","",IF(AND(ISNUMBER(FIND(" ",TRIM(I18&amp;""))),ISNUMBER(MATCH(LEFT(TRIM(I18&amp;""),FIND(" ",TRIM(I18&amp;""))-1),설정_코드표!$J$2:$J$101,0)),ISNUMBER(MATCH(TRIM(RIGHT(SUBSTITUTE(TRIM(I18&amp;"")," ",REPT(" ",60)),60)),설정_코드표!$F$2:$F$101,0))),INDEX(설정_코드표!$K$2:$K$101,MATCH(LEFT(TRIM(I18&amp;""),FIND(" ",TRIM(I18&amp;""))-1),설정_코드표!$J$2:$J$101,0))&amp;" "&amp;INDEX(설정_코드표!$G$2:$G$101,MATCH(TRIM(RIGHT(SUBSTITUTE(TRIM(I18&amp;"")," ",REPT(" ",60)),60)),설정_코드표!$F$2:$F$101,0)),"⚠"&amp;TRIM(I18&amp;""))),"⚠"&amp;TRIM(I18&amp;""))</f>
        <v/>
      </c>
      <c r="R18" s="10">
        <f>IFERROR(IF(TRIM(J18&amp;"")="","",IF(AND(ISNUMBER(FIND(" ",TRIM(J18&amp;""))),ISNUMBER(MATCH(LEFT(TRIM(J18&amp;""),FIND(" ",TRIM(J18&amp;""))-1),설정_코드표!$J$2:$J$101,0)),ISNUMBER(MATCH(TRIM(RIGHT(SUBSTITUTE(TRIM(J18&amp;"")," ",REPT(" ",60)),60)),설정_코드표!$F$2:$F$101,0))),INDEX(설정_코드표!$K$2:$K$101,MATCH(LEFT(TRIM(J18&amp;""),FIND(" ",TRIM(J18&amp;""))-1),설정_코드표!$J$2:$J$101,0))&amp;" "&amp;INDEX(설정_코드표!$G$2:$G$101,MATCH(TRIM(RIGHT(SUBSTITUTE(TRIM(J18&amp;"")," ",REPT(" ",60)),60)),설정_코드표!$F$2:$F$101,0)),"⚠"&amp;TRIM(J18&amp;""))),"⚠"&amp;TRIM(J18&amp;""))</f>
        <v/>
      </c>
      <c r="S18" s="11">
        <f>IF(K18="","",IFERROR(IF(AND(ROUND((VALUE(K18&amp;"")-INT(VALUE(K18&amp;"")))*100,0)&gt;=1,ROUND((VALUE(K18&amp;"")-INT(VALUE(K18&amp;"")))*100,0)&lt;=12,INT(VALUE(K18&amp;""))&gt;=1900),DATE(INT(VALUE(K18&amp;"")),ROUND((VALUE(K18&amp;"")-INT(VALUE(K18&amp;"")))*100,0),1),K18&amp;""),K18&amp;""))</f>
        <v/>
      </c>
      <c r="T18" s="10">
        <f>COUNTIF(M18:R18,"⚠*")</f>
        <v/>
      </c>
    </row>
    <row r="19"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M19" s="10">
        <f>IFERROR(IF(TRIM(E19&amp;"")="","",IF(AND(ISNUMBER(FIND(" ",TRIM(E19&amp;""))),ISNUMBER(MATCH(LEFT(TRIM(E19&amp;""),FIND(" ",TRIM(E19&amp;""))-1),설정_코드표!$J$2:$J$101,0)),ISNUMBER(MATCH(TRIM(RIGHT(SUBSTITUTE(TRIM(E19&amp;"")," ",REPT(" ",60)),60)),설정_코드표!$F$2:$F$101,0))),INDEX(설정_코드표!$K$2:$K$101,MATCH(LEFT(TRIM(E19&amp;""),FIND(" ",TRIM(E19&amp;""))-1),설정_코드표!$J$2:$J$101,0))&amp;" "&amp;INDEX(설정_코드표!$G$2:$G$101,MATCH(TRIM(RIGHT(SUBSTITUTE(TRIM(E19&amp;"")," ",REPT(" ",60)),60)),설정_코드표!$F$2:$F$101,0)),"⚠"&amp;TRIM(E19&amp;""))),"⚠"&amp;TRIM(E19&amp;""))</f>
        <v/>
      </c>
      <c r="N19" s="10">
        <f>IFERROR(IF(TRIM(F19&amp;"")="","",IF(AND(ISNUMBER(FIND(" ",TRIM(F19&amp;""))),ISNUMBER(MATCH(LEFT(TRIM(F19&amp;""),FIND(" ",TRIM(F19&amp;""))-1),설정_코드표!$J$2:$J$101,0)),ISNUMBER(MATCH(TRIM(RIGHT(SUBSTITUTE(TRIM(F19&amp;"")," ",REPT(" ",60)),60)),설정_코드표!$F$2:$F$101,0))),INDEX(설정_코드표!$K$2:$K$101,MATCH(LEFT(TRIM(F19&amp;""),FIND(" ",TRIM(F19&amp;""))-1),설정_코드표!$J$2:$J$101,0))&amp;" "&amp;INDEX(설정_코드표!$G$2:$G$101,MATCH(TRIM(RIGHT(SUBSTITUTE(TRIM(F19&amp;"")," ",REPT(" ",60)),60)),설정_코드표!$F$2:$F$101,0)),"⚠"&amp;TRIM(F19&amp;""))),"⚠"&amp;TRIM(F19&amp;""))</f>
        <v/>
      </c>
      <c r="O19" s="10">
        <f>IFERROR(IF(TRIM(G19&amp;"")="","",IF(AND(ISNUMBER(FIND(" ",TRIM(G19&amp;""))),ISNUMBER(MATCH(LEFT(TRIM(G19&amp;""),FIND(" ",TRIM(G19&amp;""))-1),설정_코드표!$J$2:$J$101,0)),ISNUMBER(MATCH(TRIM(RIGHT(SUBSTITUTE(TRIM(G19&amp;"")," ",REPT(" ",60)),60)),설정_코드표!$F$2:$F$101,0))),INDEX(설정_코드표!$K$2:$K$101,MATCH(LEFT(TRIM(G19&amp;""),FIND(" ",TRIM(G19&amp;""))-1),설정_코드표!$J$2:$J$101,0))&amp;" "&amp;INDEX(설정_코드표!$G$2:$G$101,MATCH(TRIM(RIGHT(SUBSTITUTE(TRIM(G19&amp;"")," ",REPT(" ",60)),60)),설정_코드표!$F$2:$F$101,0)),"⚠"&amp;TRIM(G19&amp;""))),"⚠"&amp;TRIM(G19&amp;""))</f>
        <v/>
      </c>
      <c r="P19" s="10">
        <f>IFERROR(IF(TRIM(H19&amp;"")="","",IF(AND(ISNUMBER(FIND(" ",TRIM(H19&amp;""))),ISNUMBER(MATCH(LEFT(TRIM(H19&amp;""),FIND(" ",TRIM(H19&amp;""))-1),설정_코드표!$J$2:$J$101,0)),ISNUMBER(MATCH(TRIM(RIGHT(SUBSTITUTE(TRIM(H19&amp;"")," ",REPT(" ",60)),60)),설정_코드표!$F$2:$F$101,0))),INDEX(설정_코드표!$K$2:$K$101,MATCH(LEFT(TRIM(H19&amp;""),FIND(" ",TRIM(H19&amp;""))-1),설정_코드표!$J$2:$J$101,0))&amp;" "&amp;INDEX(설정_코드표!$G$2:$G$101,MATCH(TRIM(RIGHT(SUBSTITUTE(TRIM(H19&amp;"")," ",REPT(" ",60)),60)),설정_코드표!$F$2:$F$101,0)),"⚠"&amp;TRIM(H19&amp;""))),"⚠"&amp;TRIM(H19&amp;""))</f>
        <v/>
      </c>
      <c r="Q19" s="10">
        <f>IFERROR(IF(TRIM(I19&amp;"")="","",IF(AND(ISNUMBER(FIND(" ",TRIM(I19&amp;""))),ISNUMBER(MATCH(LEFT(TRIM(I19&amp;""),FIND(" ",TRIM(I19&amp;""))-1),설정_코드표!$J$2:$J$101,0)),ISNUMBER(MATCH(TRIM(RIGHT(SUBSTITUTE(TRIM(I19&amp;"")," ",REPT(" ",60)),60)),설정_코드표!$F$2:$F$101,0))),INDEX(설정_코드표!$K$2:$K$101,MATCH(LEFT(TRIM(I19&amp;""),FIND(" ",TRIM(I19&amp;""))-1),설정_코드표!$J$2:$J$101,0))&amp;" "&amp;INDEX(설정_코드표!$G$2:$G$101,MATCH(TRIM(RIGHT(SUBSTITUTE(TRIM(I19&amp;"")," ",REPT(" ",60)),60)),설정_코드표!$F$2:$F$101,0)),"⚠"&amp;TRIM(I19&amp;""))),"⚠"&amp;TRIM(I19&amp;""))</f>
        <v/>
      </c>
      <c r="R19" s="10">
        <f>IFERROR(IF(TRIM(J19&amp;"")="","",IF(AND(ISNUMBER(FIND(" ",TRIM(J19&amp;""))),ISNUMBER(MATCH(LEFT(TRIM(J19&amp;""),FIND(" ",TRIM(J19&amp;""))-1),설정_코드표!$J$2:$J$101,0)),ISNUMBER(MATCH(TRIM(RIGHT(SUBSTITUTE(TRIM(J19&amp;"")," ",REPT(" ",60)),60)),설정_코드표!$F$2:$F$101,0))),INDEX(설정_코드표!$K$2:$K$101,MATCH(LEFT(TRIM(J19&amp;""),FIND(" ",TRIM(J19&amp;""))-1),설정_코드표!$J$2:$J$101,0))&amp;" "&amp;INDEX(설정_코드표!$G$2:$G$101,MATCH(TRIM(RIGHT(SUBSTITUTE(TRIM(J19&amp;"")," ",REPT(" ",60)),60)),설정_코드표!$F$2:$F$101,0)),"⚠"&amp;TRIM(J19&amp;""))),"⚠"&amp;TRIM(J19&amp;""))</f>
        <v/>
      </c>
      <c r="S19" s="11">
        <f>IF(K19="","",IFERROR(IF(AND(ROUND((VALUE(K19&amp;"")-INT(VALUE(K19&amp;"")))*100,0)&gt;=1,ROUND((VALUE(K19&amp;"")-INT(VALUE(K19&amp;"")))*100,0)&lt;=12,INT(VALUE(K19&amp;""))&gt;=1900),DATE(INT(VALUE(K19&amp;"")),ROUND((VALUE(K19&amp;"")-INT(VALUE(K19&amp;"")))*100,0),1),K19&amp;""),K19&amp;""))</f>
        <v/>
      </c>
      <c r="T19" s="10">
        <f>COUNTIF(M19:R19,"⚠*")</f>
        <v/>
      </c>
    </row>
    <row r="20"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M20" s="10">
        <f>IFERROR(IF(TRIM(E20&amp;"")="","",IF(AND(ISNUMBER(FIND(" ",TRIM(E20&amp;""))),ISNUMBER(MATCH(LEFT(TRIM(E20&amp;""),FIND(" ",TRIM(E20&amp;""))-1),설정_코드표!$J$2:$J$101,0)),ISNUMBER(MATCH(TRIM(RIGHT(SUBSTITUTE(TRIM(E20&amp;"")," ",REPT(" ",60)),60)),설정_코드표!$F$2:$F$101,0))),INDEX(설정_코드표!$K$2:$K$101,MATCH(LEFT(TRIM(E20&amp;""),FIND(" ",TRIM(E20&amp;""))-1),설정_코드표!$J$2:$J$101,0))&amp;" "&amp;INDEX(설정_코드표!$G$2:$G$101,MATCH(TRIM(RIGHT(SUBSTITUTE(TRIM(E20&amp;"")," ",REPT(" ",60)),60)),설정_코드표!$F$2:$F$101,0)),"⚠"&amp;TRIM(E20&amp;""))),"⚠"&amp;TRIM(E20&amp;""))</f>
        <v/>
      </c>
      <c r="N20" s="10">
        <f>IFERROR(IF(TRIM(F20&amp;"")="","",IF(AND(ISNUMBER(FIND(" ",TRIM(F20&amp;""))),ISNUMBER(MATCH(LEFT(TRIM(F20&amp;""),FIND(" ",TRIM(F20&amp;""))-1),설정_코드표!$J$2:$J$101,0)),ISNUMBER(MATCH(TRIM(RIGHT(SUBSTITUTE(TRIM(F20&amp;"")," ",REPT(" ",60)),60)),설정_코드표!$F$2:$F$101,0))),INDEX(설정_코드표!$K$2:$K$101,MATCH(LEFT(TRIM(F20&amp;""),FIND(" ",TRIM(F20&amp;""))-1),설정_코드표!$J$2:$J$101,0))&amp;" "&amp;INDEX(설정_코드표!$G$2:$G$101,MATCH(TRIM(RIGHT(SUBSTITUTE(TRIM(F20&amp;"")," ",REPT(" ",60)),60)),설정_코드표!$F$2:$F$101,0)),"⚠"&amp;TRIM(F20&amp;""))),"⚠"&amp;TRIM(F20&amp;""))</f>
        <v/>
      </c>
      <c r="O20" s="10">
        <f>IFERROR(IF(TRIM(G20&amp;"")="","",IF(AND(ISNUMBER(FIND(" ",TRIM(G20&amp;""))),ISNUMBER(MATCH(LEFT(TRIM(G20&amp;""),FIND(" ",TRIM(G20&amp;""))-1),설정_코드표!$J$2:$J$101,0)),ISNUMBER(MATCH(TRIM(RIGHT(SUBSTITUTE(TRIM(G20&amp;"")," ",REPT(" ",60)),60)),설정_코드표!$F$2:$F$101,0))),INDEX(설정_코드표!$K$2:$K$101,MATCH(LEFT(TRIM(G20&amp;""),FIND(" ",TRIM(G20&amp;""))-1),설정_코드표!$J$2:$J$101,0))&amp;" "&amp;INDEX(설정_코드표!$G$2:$G$101,MATCH(TRIM(RIGHT(SUBSTITUTE(TRIM(G20&amp;"")," ",REPT(" ",60)),60)),설정_코드표!$F$2:$F$101,0)),"⚠"&amp;TRIM(G20&amp;""))),"⚠"&amp;TRIM(G20&amp;""))</f>
        <v/>
      </c>
      <c r="P20" s="10">
        <f>IFERROR(IF(TRIM(H20&amp;"")="","",IF(AND(ISNUMBER(FIND(" ",TRIM(H20&amp;""))),ISNUMBER(MATCH(LEFT(TRIM(H20&amp;""),FIND(" ",TRIM(H20&amp;""))-1),설정_코드표!$J$2:$J$101,0)),ISNUMBER(MATCH(TRIM(RIGHT(SUBSTITUTE(TRIM(H20&amp;"")," ",REPT(" ",60)),60)),설정_코드표!$F$2:$F$101,0))),INDEX(설정_코드표!$K$2:$K$101,MATCH(LEFT(TRIM(H20&amp;""),FIND(" ",TRIM(H20&amp;""))-1),설정_코드표!$J$2:$J$101,0))&amp;" "&amp;INDEX(설정_코드표!$G$2:$G$101,MATCH(TRIM(RIGHT(SUBSTITUTE(TRIM(H20&amp;"")," ",REPT(" ",60)),60)),설정_코드표!$F$2:$F$101,0)),"⚠"&amp;TRIM(H20&amp;""))),"⚠"&amp;TRIM(H20&amp;""))</f>
        <v/>
      </c>
      <c r="Q20" s="10">
        <f>IFERROR(IF(TRIM(I20&amp;"")="","",IF(AND(ISNUMBER(FIND(" ",TRIM(I20&amp;""))),ISNUMBER(MATCH(LEFT(TRIM(I20&amp;""),FIND(" ",TRIM(I20&amp;""))-1),설정_코드표!$J$2:$J$101,0)),ISNUMBER(MATCH(TRIM(RIGHT(SUBSTITUTE(TRIM(I20&amp;"")," ",REPT(" ",60)),60)),설정_코드표!$F$2:$F$101,0))),INDEX(설정_코드표!$K$2:$K$101,MATCH(LEFT(TRIM(I20&amp;""),FIND(" ",TRIM(I20&amp;""))-1),설정_코드표!$J$2:$J$101,0))&amp;" "&amp;INDEX(설정_코드표!$G$2:$G$101,MATCH(TRIM(RIGHT(SUBSTITUTE(TRIM(I20&amp;"")," ",REPT(" ",60)),60)),설정_코드표!$F$2:$F$101,0)),"⚠"&amp;TRIM(I20&amp;""))),"⚠"&amp;TRIM(I20&amp;""))</f>
        <v/>
      </c>
      <c r="R20" s="10">
        <f>IFERROR(IF(TRIM(J20&amp;"")="","",IF(AND(ISNUMBER(FIND(" ",TRIM(J20&amp;""))),ISNUMBER(MATCH(LEFT(TRIM(J20&amp;""),FIND(" ",TRIM(J20&amp;""))-1),설정_코드표!$J$2:$J$101,0)),ISNUMBER(MATCH(TRIM(RIGHT(SUBSTITUTE(TRIM(J20&amp;"")," ",REPT(" ",60)),60)),설정_코드표!$F$2:$F$101,0))),INDEX(설정_코드표!$K$2:$K$101,MATCH(LEFT(TRIM(J20&amp;""),FIND(" ",TRIM(J20&amp;""))-1),설정_코드표!$J$2:$J$101,0))&amp;" "&amp;INDEX(설정_코드표!$G$2:$G$101,MATCH(TRIM(RIGHT(SUBSTITUTE(TRIM(J20&amp;"")," ",REPT(" ",60)),60)),설정_코드표!$F$2:$F$101,0)),"⚠"&amp;TRIM(J20&amp;""))),"⚠"&amp;TRIM(J20&amp;""))</f>
        <v/>
      </c>
      <c r="S20" s="11">
        <f>IF(K20="","",IFERROR(IF(AND(ROUND((VALUE(K20&amp;"")-INT(VALUE(K20&amp;"")))*100,0)&gt;=1,ROUND((VALUE(K20&amp;"")-INT(VALUE(K20&amp;"")))*100,0)&lt;=12,INT(VALUE(K20&amp;""))&gt;=1900),DATE(INT(VALUE(K20&amp;"")),ROUND((VALUE(K20&amp;"")-INT(VALUE(K20&amp;"")))*100,0),1),K20&amp;""),K20&amp;""))</f>
        <v/>
      </c>
      <c r="T20" s="10">
        <f>COUNTIF(M20:R20,"⚠*")</f>
        <v/>
      </c>
    </row>
    <row r="21"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M21" s="10">
        <f>IFERROR(IF(TRIM(E21&amp;"")="","",IF(AND(ISNUMBER(FIND(" ",TRIM(E21&amp;""))),ISNUMBER(MATCH(LEFT(TRIM(E21&amp;""),FIND(" ",TRIM(E21&amp;""))-1),설정_코드표!$J$2:$J$101,0)),ISNUMBER(MATCH(TRIM(RIGHT(SUBSTITUTE(TRIM(E21&amp;"")," ",REPT(" ",60)),60)),설정_코드표!$F$2:$F$101,0))),INDEX(설정_코드표!$K$2:$K$101,MATCH(LEFT(TRIM(E21&amp;""),FIND(" ",TRIM(E21&amp;""))-1),설정_코드표!$J$2:$J$101,0))&amp;" "&amp;INDEX(설정_코드표!$G$2:$G$101,MATCH(TRIM(RIGHT(SUBSTITUTE(TRIM(E21&amp;"")," ",REPT(" ",60)),60)),설정_코드표!$F$2:$F$101,0)),"⚠"&amp;TRIM(E21&amp;""))),"⚠"&amp;TRIM(E21&amp;""))</f>
        <v/>
      </c>
      <c r="N21" s="10">
        <f>IFERROR(IF(TRIM(F21&amp;"")="","",IF(AND(ISNUMBER(FIND(" ",TRIM(F21&amp;""))),ISNUMBER(MATCH(LEFT(TRIM(F21&amp;""),FIND(" ",TRIM(F21&amp;""))-1),설정_코드표!$J$2:$J$101,0)),ISNUMBER(MATCH(TRIM(RIGHT(SUBSTITUTE(TRIM(F21&amp;"")," ",REPT(" ",60)),60)),설정_코드표!$F$2:$F$101,0))),INDEX(설정_코드표!$K$2:$K$101,MATCH(LEFT(TRIM(F21&amp;""),FIND(" ",TRIM(F21&amp;""))-1),설정_코드표!$J$2:$J$101,0))&amp;" "&amp;INDEX(설정_코드표!$G$2:$G$101,MATCH(TRIM(RIGHT(SUBSTITUTE(TRIM(F21&amp;"")," ",REPT(" ",60)),60)),설정_코드표!$F$2:$F$101,0)),"⚠"&amp;TRIM(F21&amp;""))),"⚠"&amp;TRIM(F21&amp;""))</f>
        <v/>
      </c>
      <c r="O21" s="10">
        <f>IFERROR(IF(TRIM(G21&amp;"")="","",IF(AND(ISNUMBER(FIND(" ",TRIM(G21&amp;""))),ISNUMBER(MATCH(LEFT(TRIM(G21&amp;""),FIND(" ",TRIM(G21&amp;""))-1),설정_코드표!$J$2:$J$101,0)),ISNUMBER(MATCH(TRIM(RIGHT(SUBSTITUTE(TRIM(G21&amp;"")," ",REPT(" ",60)),60)),설정_코드표!$F$2:$F$101,0))),INDEX(설정_코드표!$K$2:$K$101,MATCH(LEFT(TRIM(G21&amp;""),FIND(" ",TRIM(G21&amp;""))-1),설정_코드표!$J$2:$J$101,0))&amp;" "&amp;INDEX(설정_코드표!$G$2:$G$101,MATCH(TRIM(RIGHT(SUBSTITUTE(TRIM(G21&amp;"")," ",REPT(" ",60)),60)),설정_코드표!$F$2:$F$101,0)),"⚠"&amp;TRIM(G21&amp;""))),"⚠"&amp;TRIM(G21&amp;""))</f>
        <v/>
      </c>
      <c r="P21" s="10">
        <f>IFERROR(IF(TRIM(H21&amp;"")="","",IF(AND(ISNUMBER(FIND(" ",TRIM(H21&amp;""))),ISNUMBER(MATCH(LEFT(TRIM(H21&amp;""),FIND(" ",TRIM(H21&amp;""))-1),설정_코드표!$J$2:$J$101,0)),ISNUMBER(MATCH(TRIM(RIGHT(SUBSTITUTE(TRIM(H21&amp;"")," ",REPT(" ",60)),60)),설정_코드표!$F$2:$F$101,0))),INDEX(설정_코드표!$K$2:$K$101,MATCH(LEFT(TRIM(H21&amp;""),FIND(" ",TRIM(H21&amp;""))-1),설정_코드표!$J$2:$J$101,0))&amp;" "&amp;INDEX(설정_코드표!$G$2:$G$101,MATCH(TRIM(RIGHT(SUBSTITUTE(TRIM(H21&amp;"")," ",REPT(" ",60)),60)),설정_코드표!$F$2:$F$101,0)),"⚠"&amp;TRIM(H21&amp;""))),"⚠"&amp;TRIM(H21&amp;""))</f>
        <v/>
      </c>
      <c r="Q21" s="10">
        <f>IFERROR(IF(TRIM(I21&amp;"")="","",IF(AND(ISNUMBER(FIND(" ",TRIM(I21&amp;""))),ISNUMBER(MATCH(LEFT(TRIM(I21&amp;""),FIND(" ",TRIM(I21&amp;""))-1),설정_코드표!$J$2:$J$101,0)),ISNUMBER(MATCH(TRIM(RIGHT(SUBSTITUTE(TRIM(I21&amp;"")," ",REPT(" ",60)),60)),설정_코드표!$F$2:$F$101,0))),INDEX(설정_코드표!$K$2:$K$101,MATCH(LEFT(TRIM(I21&amp;""),FIND(" ",TRIM(I21&amp;""))-1),설정_코드표!$J$2:$J$101,0))&amp;" "&amp;INDEX(설정_코드표!$G$2:$G$101,MATCH(TRIM(RIGHT(SUBSTITUTE(TRIM(I21&amp;"")," ",REPT(" ",60)),60)),설정_코드표!$F$2:$F$101,0)),"⚠"&amp;TRIM(I21&amp;""))),"⚠"&amp;TRIM(I21&amp;""))</f>
        <v/>
      </c>
      <c r="R21" s="10">
        <f>IFERROR(IF(TRIM(J21&amp;"")="","",IF(AND(ISNUMBER(FIND(" ",TRIM(J21&amp;""))),ISNUMBER(MATCH(LEFT(TRIM(J21&amp;""),FIND(" ",TRIM(J21&amp;""))-1),설정_코드표!$J$2:$J$101,0)),ISNUMBER(MATCH(TRIM(RIGHT(SUBSTITUTE(TRIM(J21&amp;"")," ",REPT(" ",60)),60)),설정_코드표!$F$2:$F$101,0))),INDEX(설정_코드표!$K$2:$K$101,MATCH(LEFT(TRIM(J21&amp;""),FIND(" ",TRIM(J21&amp;""))-1),설정_코드표!$J$2:$J$101,0))&amp;" "&amp;INDEX(설정_코드표!$G$2:$G$101,MATCH(TRIM(RIGHT(SUBSTITUTE(TRIM(J21&amp;"")," ",REPT(" ",60)),60)),설정_코드표!$F$2:$F$101,0)),"⚠"&amp;TRIM(J21&amp;""))),"⚠"&amp;TRIM(J21&amp;""))</f>
        <v/>
      </c>
      <c r="S21" s="11">
        <f>IF(K21="","",IFERROR(IF(AND(ROUND((VALUE(K21&amp;"")-INT(VALUE(K21&amp;"")))*100,0)&gt;=1,ROUND((VALUE(K21&amp;"")-INT(VALUE(K21&amp;"")))*100,0)&lt;=12,INT(VALUE(K21&amp;""))&gt;=1900),DATE(INT(VALUE(K21&amp;"")),ROUND((VALUE(K21&amp;"")-INT(VALUE(K21&amp;"")))*100,0),1),K21&amp;""),K21&amp;""))</f>
        <v/>
      </c>
      <c r="T21" s="10">
        <f>COUNTIF(M21:R21,"⚠*")</f>
        <v/>
      </c>
    </row>
    <row r="22"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M22" s="10">
        <f>IFERROR(IF(TRIM(E22&amp;"")="","",IF(AND(ISNUMBER(FIND(" ",TRIM(E22&amp;""))),ISNUMBER(MATCH(LEFT(TRIM(E22&amp;""),FIND(" ",TRIM(E22&amp;""))-1),설정_코드표!$J$2:$J$101,0)),ISNUMBER(MATCH(TRIM(RIGHT(SUBSTITUTE(TRIM(E22&amp;"")," ",REPT(" ",60)),60)),설정_코드표!$F$2:$F$101,0))),INDEX(설정_코드표!$K$2:$K$101,MATCH(LEFT(TRIM(E22&amp;""),FIND(" ",TRIM(E22&amp;""))-1),설정_코드표!$J$2:$J$101,0))&amp;" "&amp;INDEX(설정_코드표!$G$2:$G$101,MATCH(TRIM(RIGHT(SUBSTITUTE(TRIM(E22&amp;"")," ",REPT(" ",60)),60)),설정_코드표!$F$2:$F$101,0)),"⚠"&amp;TRIM(E22&amp;""))),"⚠"&amp;TRIM(E22&amp;""))</f>
        <v/>
      </c>
      <c r="N22" s="10">
        <f>IFERROR(IF(TRIM(F22&amp;"")="","",IF(AND(ISNUMBER(FIND(" ",TRIM(F22&amp;""))),ISNUMBER(MATCH(LEFT(TRIM(F22&amp;""),FIND(" ",TRIM(F22&amp;""))-1),설정_코드표!$J$2:$J$101,0)),ISNUMBER(MATCH(TRIM(RIGHT(SUBSTITUTE(TRIM(F22&amp;"")," ",REPT(" ",60)),60)),설정_코드표!$F$2:$F$101,0))),INDEX(설정_코드표!$K$2:$K$101,MATCH(LEFT(TRIM(F22&amp;""),FIND(" ",TRIM(F22&amp;""))-1),설정_코드표!$J$2:$J$101,0))&amp;" "&amp;INDEX(설정_코드표!$G$2:$G$101,MATCH(TRIM(RIGHT(SUBSTITUTE(TRIM(F22&amp;"")," ",REPT(" ",60)),60)),설정_코드표!$F$2:$F$101,0)),"⚠"&amp;TRIM(F22&amp;""))),"⚠"&amp;TRIM(F22&amp;""))</f>
        <v/>
      </c>
      <c r="O22" s="10">
        <f>IFERROR(IF(TRIM(G22&amp;"")="","",IF(AND(ISNUMBER(FIND(" ",TRIM(G22&amp;""))),ISNUMBER(MATCH(LEFT(TRIM(G22&amp;""),FIND(" ",TRIM(G22&amp;""))-1),설정_코드표!$J$2:$J$101,0)),ISNUMBER(MATCH(TRIM(RIGHT(SUBSTITUTE(TRIM(G22&amp;"")," ",REPT(" ",60)),60)),설정_코드표!$F$2:$F$101,0))),INDEX(설정_코드표!$K$2:$K$101,MATCH(LEFT(TRIM(G22&amp;""),FIND(" ",TRIM(G22&amp;""))-1),설정_코드표!$J$2:$J$101,0))&amp;" "&amp;INDEX(설정_코드표!$G$2:$G$101,MATCH(TRIM(RIGHT(SUBSTITUTE(TRIM(G22&amp;"")," ",REPT(" ",60)),60)),설정_코드표!$F$2:$F$101,0)),"⚠"&amp;TRIM(G22&amp;""))),"⚠"&amp;TRIM(G22&amp;""))</f>
        <v/>
      </c>
      <c r="P22" s="10">
        <f>IFERROR(IF(TRIM(H22&amp;"")="","",IF(AND(ISNUMBER(FIND(" ",TRIM(H22&amp;""))),ISNUMBER(MATCH(LEFT(TRIM(H22&amp;""),FIND(" ",TRIM(H22&amp;""))-1),설정_코드표!$J$2:$J$101,0)),ISNUMBER(MATCH(TRIM(RIGHT(SUBSTITUTE(TRIM(H22&amp;"")," ",REPT(" ",60)),60)),설정_코드표!$F$2:$F$101,0))),INDEX(설정_코드표!$K$2:$K$101,MATCH(LEFT(TRIM(H22&amp;""),FIND(" ",TRIM(H22&amp;""))-1),설정_코드표!$J$2:$J$101,0))&amp;" "&amp;INDEX(설정_코드표!$G$2:$G$101,MATCH(TRIM(RIGHT(SUBSTITUTE(TRIM(H22&amp;"")," ",REPT(" ",60)),60)),설정_코드표!$F$2:$F$101,0)),"⚠"&amp;TRIM(H22&amp;""))),"⚠"&amp;TRIM(H22&amp;""))</f>
        <v/>
      </c>
      <c r="Q22" s="10">
        <f>IFERROR(IF(TRIM(I22&amp;"")="","",IF(AND(ISNUMBER(FIND(" ",TRIM(I22&amp;""))),ISNUMBER(MATCH(LEFT(TRIM(I22&amp;""),FIND(" ",TRIM(I22&amp;""))-1),설정_코드표!$J$2:$J$101,0)),ISNUMBER(MATCH(TRIM(RIGHT(SUBSTITUTE(TRIM(I22&amp;"")," ",REPT(" ",60)),60)),설정_코드표!$F$2:$F$101,0))),INDEX(설정_코드표!$K$2:$K$101,MATCH(LEFT(TRIM(I22&amp;""),FIND(" ",TRIM(I22&amp;""))-1),설정_코드표!$J$2:$J$101,0))&amp;" "&amp;INDEX(설정_코드표!$G$2:$G$101,MATCH(TRIM(RIGHT(SUBSTITUTE(TRIM(I22&amp;"")," ",REPT(" ",60)),60)),설정_코드표!$F$2:$F$101,0)),"⚠"&amp;TRIM(I22&amp;""))),"⚠"&amp;TRIM(I22&amp;""))</f>
        <v/>
      </c>
      <c r="R22" s="10">
        <f>IFERROR(IF(TRIM(J22&amp;"")="","",IF(AND(ISNUMBER(FIND(" ",TRIM(J22&amp;""))),ISNUMBER(MATCH(LEFT(TRIM(J22&amp;""),FIND(" ",TRIM(J22&amp;""))-1),설정_코드표!$J$2:$J$101,0)),ISNUMBER(MATCH(TRIM(RIGHT(SUBSTITUTE(TRIM(J22&amp;"")," ",REPT(" ",60)),60)),설정_코드표!$F$2:$F$101,0))),INDEX(설정_코드표!$K$2:$K$101,MATCH(LEFT(TRIM(J22&amp;""),FIND(" ",TRIM(J22&amp;""))-1),설정_코드표!$J$2:$J$101,0))&amp;" "&amp;INDEX(설정_코드표!$G$2:$G$101,MATCH(TRIM(RIGHT(SUBSTITUTE(TRIM(J22&amp;"")," ",REPT(" ",60)),60)),설정_코드표!$F$2:$F$101,0)),"⚠"&amp;TRIM(J22&amp;""))),"⚠"&amp;TRIM(J22&amp;""))</f>
        <v/>
      </c>
      <c r="S22" s="11">
        <f>IF(K22="","",IFERROR(IF(AND(ROUND((VALUE(K22&amp;"")-INT(VALUE(K22&amp;"")))*100,0)&gt;=1,ROUND((VALUE(K22&amp;"")-INT(VALUE(K22&amp;"")))*100,0)&lt;=12,INT(VALUE(K22&amp;""))&gt;=1900),DATE(INT(VALUE(K22&amp;"")),ROUND((VALUE(K22&amp;"")-INT(VALUE(K22&amp;"")))*100,0),1),K22&amp;""),K22&amp;""))</f>
        <v/>
      </c>
      <c r="T22" s="10">
        <f>COUNTIF(M22:R22,"⚠*")</f>
        <v/>
      </c>
    </row>
    <row r="23"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M23" s="10">
        <f>IFERROR(IF(TRIM(E23&amp;"")="","",IF(AND(ISNUMBER(FIND(" ",TRIM(E23&amp;""))),ISNUMBER(MATCH(LEFT(TRIM(E23&amp;""),FIND(" ",TRIM(E23&amp;""))-1),설정_코드표!$J$2:$J$101,0)),ISNUMBER(MATCH(TRIM(RIGHT(SUBSTITUTE(TRIM(E23&amp;"")," ",REPT(" ",60)),60)),설정_코드표!$F$2:$F$101,0))),INDEX(설정_코드표!$K$2:$K$101,MATCH(LEFT(TRIM(E23&amp;""),FIND(" ",TRIM(E23&amp;""))-1),설정_코드표!$J$2:$J$101,0))&amp;" "&amp;INDEX(설정_코드표!$G$2:$G$101,MATCH(TRIM(RIGHT(SUBSTITUTE(TRIM(E23&amp;"")," ",REPT(" ",60)),60)),설정_코드표!$F$2:$F$101,0)),"⚠"&amp;TRIM(E23&amp;""))),"⚠"&amp;TRIM(E23&amp;""))</f>
        <v/>
      </c>
      <c r="N23" s="10">
        <f>IFERROR(IF(TRIM(F23&amp;"")="","",IF(AND(ISNUMBER(FIND(" ",TRIM(F23&amp;""))),ISNUMBER(MATCH(LEFT(TRIM(F23&amp;""),FIND(" ",TRIM(F23&amp;""))-1),설정_코드표!$J$2:$J$101,0)),ISNUMBER(MATCH(TRIM(RIGHT(SUBSTITUTE(TRIM(F23&amp;"")," ",REPT(" ",60)),60)),설정_코드표!$F$2:$F$101,0))),INDEX(설정_코드표!$K$2:$K$101,MATCH(LEFT(TRIM(F23&amp;""),FIND(" ",TRIM(F23&amp;""))-1),설정_코드표!$J$2:$J$101,0))&amp;" "&amp;INDEX(설정_코드표!$G$2:$G$101,MATCH(TRIM(RIGHT(SUBSTITUTE(TRIM(F23&amp;"")," ",REPT(" ",60)),60)),설정_코드표!$F$2:$F$101,0)),"⚠"&amp;TRIM(F23&amp;""))),"⚠"&amp;TRIM(F23&amp;""))</f>
        <v/>
      </c>
      <c r="O23" s="10">
        <f>IFERROR(IF(TRIM(G23&amp;"")="","",IF(AND(ISNUMBER(FIND(" ",TRIM(G23&amp;""))),ISNUMBER(MATCH(LEFT(TRIM(G23&amp;""),FIND(" ",TRIM(G23&amp;""))-1),설정_코드표!$J$2:$J$101,0)),ISNUMBER(MATCH(TRIM(RIGHT(SUBSTITUTE(TRIM(G23&amp;"")," ",REPT(" ",60)),60)),설정_코드표!$F$2:$F$101,0))),INDEX(설정_코드표!$K$2:$K$101,MATCH(LEFT(TRIM(G23&amp;""),FIND(" ",TRIM(G23&amp;""))-1),설정_코드표!$J$2:$J$101,0))&amp;" "&amp;INDEX(설정_코드표!$G$2:$G$101,MATCH(TRIM(RIGHT(SUBSTITUTE(TRIM(G23&amp;"")," ",REPT(" ",60)),60)),설정_코드표!$F$2:$F$101,0)),"⚠"&amp;TRIM(G23&amp;""))),"⚠"&amp;TRIM(G23&amp;""))</f>
        <v/>
      </c>
      <c r="P23" s="10">
        <f>IFERROR(IF(TRIM(H23&amp;"")="","",IF(AND(ISNUMBER(FIND(" ",TRIM(H23&amp;""))),ISNUMBER(MATCH(LEFT(TRIM(H23&amp;""),FIND(" ",TRIM(H23&amp;""))-1),설정_코드표!$J$2:$J$101,0)),ISNUMBER(MATCH(TRIM(RIGHT(SUBSTITUTE(TRIM(H23&amp;"")," ",REPT(" ",60)),60)),설정_코드표!$F$2:$F$101,0))),INDEX(설정_코드표!$K$2:$K$101,MATCH(LEFT(TRIM(H23&amp;""),FIND(" ",TRIM(H23&amp;""))-1),설정_코드표!$J$2:$J$101,0))&amp;" "&amp;INDEX(설정_코드표!$G$2:$G$101,MATCH(TRIM(RIGHT(SUBSTITUTE(TRIM(H23&amp;"")," ",REPT(" ",60)),60)),설정_코드표!$F$2:$F$101,0)),"⚠"&amp;TRIM(H23&amp;""))),"⚠"&amp;TRIM(H23&amp;""))</f>
        <v/>
      </c>
      <c r="Q23" s="10">
        <f>IFERROR(IF(TRIM(I23&amp;"")="","",IF(AND(ISNUMBER(FIND(" ",TRIM(I23&amp;""))),ISNUMBER(MATCH(LEFT(TRIM(I23&amp;""),FIND(" ",TRIM(I23&amp;""))-1),설정_코드표!$J$2:$J$101,0)),ISNUMBER(MATCH(TRIM(RIGHT(SUBSTITUTE(TRIM(I23&amp;"")," ",REPT(" ",60)),60)),설정_코드표!$F$2:$F$101,0))),INDEX(설정_코드표!$K$2:$K$101,MATCH(LEFT(TRIM(I23&amp;""),FIND(" ",TRIM(I23&amp;""))-1),설정_코드표!$J$2:$J$101,0))&amp;" "&amp;INDEX(설정_코드표!$G$2:$G$101,MATCH(TRIM(RIGHT(SUBSTITUTE(TRIM(I23&amp;"")," ",REPT(" ",60)),60)),설정_코드표!$F$2:$F$101,0)),"⚠"&amp;TRIM(I23&amp;""))),"⚠"&amp;TRIM(I23&amp;""))</f>
        <v/>
      </c>
      <c r="R23" s="10">
        <f>IFERROR(IF(TRIM(J23&amp;"")="","",IF(AND(ISNUMBER(FIND(" ",TRIM(J23&amp;""))),ISNUMBER(MATCH(LEFT(TRIM(J23&amp;""),FIND(" ",TRIM(J23&amp;""))-1),설정_코드표!$J$2:$J$101,0)),ISNUMBER(MATCH(TRIM(RIGHT(SUBSTITUTE(TRIM(J23&amp;"")," ",REPT(" ",60)),60)),설정_코드표!$F$2:$F$101,0))),INDEX(설정_코드표!$K$2:$K$101,MATCH(LEFT(TRIM(J23&amp;""),FIND(" ",TRIM(J23&amp;""))-1),설정_코드표!$J$2:$J$101,0))&amp;" "&amp;INDEX(설정_코드표!$G$2:$G$101,MATCH(TRIM(RIGHT(SUBSTITUTE(TRIM(J23&amp;"")," ",REPT(" ",60)),60)),설정_코드표!$F$2:$F$101,0)),"⚠"&amp;TRIM(J23&amp;""))),"⚠"&amp;TRIM(J23&amp;""))</f>
        <v/>
      </c>
      <c r="S23" s="11">
        <f>IF(K23="","",IFERROR(IF(AND(ROUND((VALUE(K23&amp;"")-INT(VALUE(K23&amp;"")))*100,0)&gt;=1,ROUND((VALUE(K23&amp;"")-INT(VALUE(K23&amp;"")))*100,0)&lt;=12,INT(VALUE(K23&amp;""))&gt;=1900),DATE(INT(VALUE(K23&amp;"")),ROUND((VALUE(K23&amp;"")-INT(VALUE(K23&amp;"")))*100,0),1),K23&amp;""),K23&amp;""))</f>
        <v/>
      </c>
      <c r="T23" s="10">
        <f>COUNTIF(M23:R23,"⚠*")</f>
        <v/>
      </c>
    </row>
    <row r="24"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M24" s="10">
        <f>IFERROR(IF(TRIM(E24&amp;"")="","",IF(AND(ISNUMBER(FIND(" ",TRIM(E24&amp;""))),ISNUMBER(MATCH(LEFT(TRIM(E24&amp;""),FIND(" ",TRIM(E24&amp;""))-1),설정_코드표!$J$2:$J$101,0)),ISNUMBER(MATCH(TRIM(RIGHT(SUBSTITUTE(TRIM(E24&amp;"")," ",REPT(" ",60)),60)),설정_코드표!$F$2:$F$101,0))),INDEX(설정_코드표!$K$2:$K$101,MATCH(LEFT(TRIM(E24&amp;""),FIND(" ",TRIM(E24&amp;""))-1),설정_코드표!$J$2:$J$101,0))&amp;" "&amp;INDEX(설정_코드표!$G$2:$G$101,MATCH(TRIM(RIGHT(SUBSTITUTE(TRIM(E24&amp;"")," ",REPT(" ",60)),60)),설정_코드표!$F$2:$F$101,0)),"⚠"&amp;TRIM(E24&amp;""))),"⚠"&amp;TRIM(E24&amp;""))</f>
        <v/>
      </c>
      <c r="N24" s="10">
        <f>IFERROR(IF(TRIM(F24&amp;"")="","",IF(AND(ISNUMBER(FIND(" ",TRIM(F24&amp;""))),ISNUMBER(MATCH(LEFT(TRIM(F24&amp;""),FIND(" ",TRIM(F24&amp;""))-1),설정_코드표!$J$2:$J$101,0)),ISNUMBER(MATCH(TRIM(RIGHT(SUBSTITUTE(TRIM(F24&amp;"")," ",REPT(" ",60)),60)),설정_코드표!$F$2:$F$101,0))),INDEX(설정_코드표!$K$2:$K$101,MATCH(LEFT(TRIM(F24&amp;""),FIND(" ",TRIM(F24&amp;""))-1),설정_코드표!$J$2:$J$101,0))&amp;" "&amp;INDEX(설정_코드표!$G$2:$G$101,MATCH(TRIM(RIGHT(SUBSTITUTE(TRIM(F24&amp;"")," ",REPT(" ",60)),60)),설정_코드표!$F$2:$F$101,0)),"⚠"&amp;TRIM(F24&amp;""))),"⚠"&amp;TRIM(F24&amp;""))</f>
        <v/>
      </c>
      <c r="O24" s="10">
        <f>IFERROR(IF(TRIM(G24&amp;"")="","",IF(AND(ISNUMBER(FIND(" ",TRIM(G24&amp;""))),ISNUMBER(MATCH(LEFT(TRIM(G24&amp;""),FIND(" ",TRIM(G24&amp;""))-1),설정_코드표!$J$2:$J$101,0)),ISNUMBER(MATCH(TRIM(RIGHT(SUBSTITUTE(TRIM(G24&amp;"")," ",REPT(" ",60)),60)),설정_코드표!$F$2:$F$101,0))),INDEX(설정_코드표!$K$2:$K$101,MATCH(LEFT(TRIM(G24&amp;""),FIND(" ",TRIM(G24&amp;""))-1),설정_코드표!$J$2:$J$101,0))&amp;" "&amp;INDEX(설정_코드표!$G$2:$G$101,MATCH(TRIM(RIGHT(SUBSTITUTE(TRIM(G24&amp;"")," ",REPT(" ",60)),60)),설정_코드표!$F$2:$F$101,0)),"⚠"&amp;TRIM(G24&amp;""))),"⚠"&amp;TRIM(G24&amp;""))</f>
        <v/>
      </c>
      <c r="P24" s="10">
        <f>IFERROR(IF(TRIM(H24&amp;"")="","",IF(AND(ISNUMBER(FIND(" ",TRIM(H24&amp;""))),ISNUMBER(MATCH(LEFT(TRIM(H24&amp;""),FIND(" ",TRIM(H24&amp;""))-1),설정_코드표!$J$2:$J$101,0)),ISNUMBER(MATCH(TRIM(RIGHT(SUBSTITUTE(TRIM(H24&amp;"")," ",REPT(" ",60)),60)),설정_코드표!$F$2:$F$101,0))),INDEX(설정_코드표!$K$2:$K$101,MATCH(LEFT(TRIM(H24&amp;""),FIND(" ",TRIM(H24&amp;""))-1),설정_코드표!$J$2:$J$101,0))&amp;" "&amp;INDEX(설정_코드표!$G$2:$G$101,MATCH(TRIM(RIGHT(SUBSTITUTE(TRIM(H24&amp;"")," ",REPT(" ",60)),60)),설정_코드표!$F$2:$F$101,0)),"⚠"&amp;TRIM(H24&amp;""))),"⚠"&amp;TRIM(H24&amp;""))</f>
        <v/>
      </c>
      <c r="Q24" s="10">
        <f>IFERROR(IF(TRIM(I24&amp;"")="","",IF(AND(ISNUMBER(FIND(" ",TRIM(I24&amp;""))),ISNUMBER(MATCH(LEFT(TRIM(I24&amp;""),FIND(" ",TRIM(I24&amp;""))-1),설정_코드표!$J$2:$J$101,0)),ISNUMBER(MATCH(TRIM(RIGHT(SUBSTITUTE(TRIM(I24&amp;"")," ",REPT(" ",60)),60)),설정_코드표!$F$2:$F$101,0))),INDEX(설정_코드표!$K$2:$K$101,MATCH(LEFT(TRIM(I24&amp;""),FIND(" ",TRIM(I24&amp;""))-1),설정_코드표!$J$2:$J$101,0))&amp;" "&amp;INDEX(설정_코드표!$G$2:$G$101,MATCH(TRIM(RIGHT(SUBSTITUTE(TRIM(I24&amp;"")," ",REPT(" ",60)),60)),설정_코드표!$F$2:$F$101,0)),"⚠"&amp;TRIM(I24&amp;""))),"⚠"&amp;TRIM(I24&amp;""))</f>
        <v/>
      </c>
      <c r="R24" s="10">
        <f>IFERROR(IF(TRIM(J24&amp;"")="","",IF(AND(ISNUMBER(FIND(" ",TRIM(J24&amp;""))),ISNUMBER(MATCH(LEFT(TRIM(J24&amp;""),FIND(" ",TRIM(J24&amp;""))-1),설정_코드표!$J$2:$J$101,0)),ISNUMBER(MATCH(TRIM(RIGHT(SUBSTITUTE(TRIM(J24&amp;"")," ",REPT(" ",60)),60)),설정_코드표!$F$2:$F$101,0))),INDEX(설정_코드표!$K$2:$K$101,MATCH(LEFT(TRIM(J24&amp;""),FIND(" ",TRIM(J24&amp;""))-1),설정_코드표!$J$2:$J$101,0))&amp;" "&amp;INDEX(설정_코드표!$G$2:$G$101,MATCH(TRIM(RIGHT(SUBSTITUTE(TRIM(J24&amp;"")," ",REPT(" ",60)),60)),설정_코드표!$F$2:$F$101,0)),"⚠"&amp;TRIM(J24&amp;""))),"⚠"&amp;TRIM(J24&amp;""))</f>
        <v/>
      </c>
      <c r="S24" s="11">
        <f>IF(K24="","",IFERROR(IF(AND(ROUND((VALUE(K24&amp;"")-INT(VALUE(K24&amp;"")))*100,0)&gt;=1,ROUND((VALUE(K24&amp;"")-INT(VALUE(K24&amp;"")))*100,0)&lt;=12,INT(VALUE(K24&amp;""))&gt;=1900),DATE(INT(VALUE(K24&amp;"")),ROUND((VALUE(K24&amp;"")-INT(VALUE(K24&amp;"")))*100,0),1),K24&amp;""),K24&amp;""))</f>
        <v/>
      </c>
      <c r="T24" s="10">
        <f>COUNTIF(M24:R24,"⚠*")</f>
        <v/>
      </c>
    </row>
    <row r="25"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M25" s="10">
        <f>IFERROR(IF(TRIM(E25&amp;"")="","",IF(AND(ISNUMBER(FIND(" ",TRIM(E25&amp;""))),ISNUMBER(MATCH(LEFT(TRIM(E25&amp;""),FIND(" ",TRIM(E25&amp;""))-1),설정_코드표!$J$2:$J$101,0)),ISNUMBER(MATCH(TRIM(RIGHT(SUBSTITUTE(TRIM(E25&amp;"")," ",REPT(" ",60)),60)),설정_코드표!$F$2:$F$101,0))),INDEX(설정_코드표!$K$2:$K$101,MATCH(LEFT(TRIM(E25&amp;""),FIND(" ",TRIM(E25&amp;""))-1),설정_코드표!$J$2:$J$101,0))&amp;" "&amp;INDEX(설정_코드표!$G$2:$G$101,MATCH(TRIM(RIGHT(SUBSTITUTE(TRIM(E25&amp;"")," ",REPT(" ",60)),60)),설정_코드표!$F$2:$F$101,0)),"⚠"&amp;TRIM(E25&amp;""))),"⚠"&amp;TRIM(E25&amp;""))</f>
        <v/>
      </c>
      <c r="N25" s="10">
        <f>IFERROR(IF(TRIM(F25&amp;"")="","",IF(AND(ISNUMBER(FIND(" ",TRIM(F25&amp;""))),ISNUMBER(MATCH(LEFT(TRIM(F25&amp;""),FIND(" ",TRIM(F25&amp;""))-1),설정_코드표!$J$2:$J$101,0)),ISNUMBER(MATCH(TRIM(RIGHT(SUBSTITUTE(TRIM(F25&amp;"")," ",REPT(" ",60)),60)),설정_코드표!$F$2:$F$101,0))),INDEX(설정_코드표!$K$2:$K$101,MATCH(LEFT(TRIM(F25&amp;""),FIND(" ",TRIM(F25&amp;""))-1),설정_코드표!$J$2:$J$101,0))&amp;" "&amp;INDEX(설정_코드표!$G$2:$G$101,MATCH(TRIM(RIGHT(SUBSTITUTE(TRIM(F25&amp;"")," ",REPT(" ",60)),60)),설정_코드표!$F$2:$F$101,0)),"⚠"&amp;TRIM(F25&amp;""))),"⚠"&amp;TRIM(F25&amp;""))</f>
        <v/>
      </c>
      <c r="O25" s="10">
        <f>IFERROR(IF(TRIM(G25&amp;"")="","",IF(AND(ISNUMBER(FIND(" ",TRIM(G25&amp;""))),ISNUMBER(MATCH(LEFT(TRIM(G25&amp;""),FIND(" ",TRIM(G25&amp;""))-1),설정_코드표!$J$2:$J$101,0)),ISNUMBER(MATCH(TRIM(RIGHT(SUBSTITUTE(TRIM(G25&amp;"")," ",REPT(" ",60)),60)),설정_코드표!$F$2:$F$101,0))),INDEX(설정_코드표!$K$2:$K$101,MATCH(LEFT(TRIM(G25&amp;""),FIND(" ",TRIM(G25&amp;""))-1),설정_코드표!$J$2:$J$101,0))&amp;" "&amp;INDEX(설정_코드표!$G$2:$G$101,MATCH(TRIM(RIGHT(SUBSTITUTE(TRIM(G25&amp;"")," ",REPT(" ",60)),60)),설정_코드표!$F$2:$F$101,0)),"⚠"&amp;TRIM(G25&amp;""))),"⚠"&amp;TRIM(G25&amp;""))</f>
        <v/>
      </c>
      <c r="P25" s="10">
        <f>IFERROR(IF(TRIM(H25&amp;"")="","",IF(AND(ISNUMBER(FIND(" ",TRIM(H25&amp;""))),ISNUMBER(MATCH(LEFT(TRIM(H25&amp;""),FIND(" ",TRIM(H25&amp;""))-1),설정_코드표!$J$2:$J$101,0)),ISNUMBER(MATCH(TRIM(RIGHT(SUBSTITUTE(TRIM(H25&amp;"")," ",REPT(" ",60)),60)),설정_코드표!$F$2:$F$101,0))),INDEX(설정_코드표!$K$2:$K$101,MATCH(LEFT(TRIM(H25&amp;""),FIND(" ",TRIM(H25&amp;""))-1),설정_코드표!$J$2:$J$101,0))&amp;" "&amp;INDEX(설정_코드표!$G$2:$G$101,MATCH(TRIM(RIGHT(SUBSTITUTE(TRIM(H25&amp;"")," ",REPT(" ",60)),60)),설정_코드표!$F$2:$F$101,0)),"⚠"&amp;TRIM(H25&amp;""))),"⚠"&amp;TRIM(H25&amp;""))</f>
        <v/>
      </c>
      <c r="Q25" s="10">
        <f>IFERROR(IF(TRIM(I25&amp;"")="","",IF(AND(ISNUMBER(FIND(" ",TRIM(I25&amp;""))),ISNUMBER(MATCH(LEFT(TRIM(I25&amp;""),FIND(" ",TRIM(I25&amp;""))-1),설정_코드표!$J$2:$J$101,0)),ISNUMBER(MATCH(TRIM(RIGHT(SUBSTITUTE(TRIM(I25&amp;"")," ",REPT(" ",60)),60)),설정_코드표!$F$2:$F$101,0))),INDEX(설정_코드표!$K$2:$K$101,MATCH(LEFT(TRIM(I25&amp;""),FIND(" ",TRIM(I25&amp;""))-1),설정_코드표!$J$2:$J$101,0))&amp;" "&amp;INDEX(설정_코드표!$G$2:$G$101,MATCH(TRIM(RIGHT(SUBSTITUTE(TRIM(I25&amp;"")," ",REPT(" ",60)),60)),설정_코드표!$F$2:$F$101,0)),"⚠"&amp;TRIM(I25&amp;""))),"⚠"&amp;TRIM(I25&amp;""))</f>
        <v/>
      </c>
      <c r="R25" s="10">
        <f>IFERROR(IF(TRIM(J25&amp;"")="","",IF(AND(ISNUMBER(FIND(" ",TRIM(J25&amp;""))),ISNUMBER(MATCH(LEFT(TRIM(J25&amp;""),FIND(" ",TRIM(J25&amp;""))-1),설정_코드표!$J$2:$J$101,0)),ISNUMBER(MATCH(TRIM(RIGHT(SUBSTITUTE(TRIM(J25&amp;"")," ",REPT(" ",60)),60)),설정_코드표!$F$2:$F$101,0))),INDEX(설정_코드표!$K$2:$K$101,MATCH(LEFT(TRIM(J25&amp;""),FIND(" ",TRIM(J25&amp;""))-1),설정_코드표!$J$2:$J$101,0))&amp;" "&amp;INDEX(설정_코드표!$G$2:$G$101,MATCH(TRIM(RIGHT(SUBSTITUTE(TRIM(J25&amp;"")," ",REPT(" ",60)),60)),설정_코드표!$F$2:$F$101,0)),"⚠"&amp;TRIM(J25&amp;""))),"⚠"&amp;TRIM(J25&amp;""))</f>
        <v/>
      </c>
      <c r="S25" s="11">
        <f>IF(K25="","",IFERROR(IF(AND(ROUND((VALUE(K25&amp;"")-INT(VALUE(K25&amp;"")))*100,0)&gt;=1,ROUND((VALUE(K25&amp;"")-INT(VALUE(K25&amp;"")))*100,0)&lt;=12,INT(VALUE(K25&amp;""))&gt;=1900),DATE(INT(VALUE(K25&amp;"")),ROUND((VALUE(K25&amp;"")-INT(VALUE(K25&amp;"")))*100,0),1),K25&amp;""),K25&amp;""))</f>
        <v/>
      </c>
      <c r="T25" s="10">
        <f>COUNTIF(M25:R25,"⚠*")</f>
        <v/>
      </c>
    </row>
    <row r="26"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M26" s="10">
        <f>IFERROR(IF(TRIM(E26&amp;"")="","",IF(AND(ISNUMBER(FIND(" ",TRIM(E26&amp;""))),ISNUMBER(MATCH(LEFT(TRIM(E26&amp;""),FIND(" ",TRIM(E26&amp;""))-1),설정_코드표!$J$2:$J$101,0)),ISNUMBER(MATCH(TRIM(RIGHT(SUBSTITUTE(TRIM(E26&amp;"")," ",REPT(" ",60)),60)),설정_코드표!$F$2:$F$101,0))),INDEX(설정_코드표!$K$2:$K$101,MATCH(LEFT(TRIM(E26&amp;""),FIND(" ",TRIM(E26&amp;""))-1),설정_코드표!$J$2:$J$101,0))&amp;" "&amp;INDEX(설정_코드표!$G$2:$G$101,MATCH(TRIM(RIGHT(SUBSTITUTE(TRIM(E26&amp;"")," ",REPT(" ",60)),60)),설정_코드표!$F$2:$F$101,0)),"⚠"&amp;TRIM(E26&amp;""))),"⚠"&amp;TRIM(E26&amp;""))</f>
        <v/>
      </c>
      <c r="N26" s="10">
        <f>IFERROR(IF(TRIM(F26&amp;"")="","",IF(AND(ISNUMBER(FIND(" ",TRIM(F26&amp;""))),ISNUMBER(MATCH(LEFT(TRIM(F26&amp;""),FIND(" ",TRIM(F26&amp;""))-1),설정_코드표!$J$2:$J$101,0)),ISNUMBER(MATCH(TRIM(RIGHT(SUBSTITUTE(TRIM(F26&amp;"")," ",REPT(" ",60)),60)),설정_코드표!$F$2:$F$101,0))),INDEX(설정_코드표!$K$2:$K$101,MATCH(LEFT(TRIM(F26&amp;""),FIND(" ",TRIM(F26&amp;""))-1),설정_코드표!$J$2:$J$101,0))&amp;" "&amp;INDEX(설정_코드표!$G$2:$G$101,MATCH(TRIM(RIGHT(SUBSTITUTE(TRIM(F26&amp;"")," ",REPT(" ",60)),60)),설정_코드표!$F$2:$F$101,0)),"⚠"&amp;TRIM(F26&amp;""))),"⚠"&amp;TRIM(F26&amp;""))</f>
        <v/>
      </c>
      <c r="O26" s="10">
        <f>IFERROR(IF(TRIM(G26&amp;"")="","",IF(AND(ISNUMBER(FIND(" ",TRIM(G26&amp;""))),ISNUMBER(MATCH(LEFT(TRIM(G26&amp;""),FIND(" ",TRIM(G26&amp;""))-1),설정_코드표!$J$2:$J$101,0)),ISNUMBER(MATCH(TRIM(RIGHT(SUBSTITUTE(TRIM(G26&amp;"")," ",REPT(" ",60)),60)),설정_코드표!$F$2:$F$101,0))),INDEX(설정_코드표!$K$2:$K$101,MATCH(LEFT(TRIM(G26&amp;""),FIND(" ",TRIM(G26&amp;""))-1),설정_코드표!$J$2:$J$101,0))&amp;" "&amp;INDEX(설정_코드표!$G$2:$G$101,MATCH(TRIM(RIGHT(SUBSTITUTE(TRIM(G26&amp;"")," ",REPT(" ",60)),60)),설정_코드표!$F$2:$F$101,0)),"⚠"&amp;TRIM(G26&amp;""))),"⚠"&amp;TRIM(G26&amp;""))</f>
        <v/>
      </c>
      <c r="P26" s="10">
        <f>IFERROR(IF(TRIM(H26&amp;"")="","",IF(AND(ISNUMBER(FIND(" ",TRIM(H26&amp;""))),ISNUMBER(MATCH(LEFT(TRIM(H26&amp;""),FIND(" ",TRIM(H26&amp;""))-1),설정_코드표!$J$2:$J$101,0)),ISNUMBER(MATCH(TRIM(RIGHT(SUBSTITUTE(TRIM(H26&amp;"")," ",REPT(" ",60)),60)),설정_코드표!$F$2:$F$101,0))),INDEX(설정_코드표!$K$2:$K$101,MATCH(LEFT(TRIM(H26&amp;""),FIND(" ",TRIM(H26&amp;""))-1),설정_코드표!$J$2:$J$101,0))&amp;" "&amp;INDEX(설정_코드표!$G$2:$G$101,MATCH(TRIM(RIGHT(SUBSTITUTE(TRIM(H26&amp;"")," ",REPT(" ",60)),60)),설정_코드표!$F$2:$F$101,0)),"⚠"&amp;TRIM(H26&amp;""))),"⚠"&amp;TRIM(H26&amp;""))</f>
        <v/>
      </c>
      <c r="Q26" s="10">
        <f>IFERROR(IF(TRIM(I26&amp;"")="","",IF(AND(ISNUMBER(FIND(" ",TRIM(I26&amp;""))),ISNUMBER(MATCH(LEFT(TRIM(I26&amp;""),FIND(" ",TRIM(I26&amp;""))-1),설정_코드표!$J$2:$J$101,0)),ISNUMBER(MATCH(TRIM(RIGHT(SUBSTITUTE(TRIM(I26&amp;"")," ",REPT(" ",60)),60)),설정_코드표!$F$2:$F$101,0))),INDEX(설정_코드표!$K$2:$K$101,MATCH(LEFT(TRIM(I26&amp;""),FIND(" ",TRIM(I26&amp;""))-1),설정_코드표!$J$2:$J$101,0))&amp;" "&amp;INDEX(설정_코드표!$G$2:$G$101,MATCH(TRIM(RIGHT(SUBSTITUTE(TRIM(I26&amp;"")," ",REPT(" ",60)),60)),설정_코드표!$F$2:$F$101,0)),"⚠"&amp;TRIM(I26&amp;""))),"⚠"&amp;TRIM(I26&amp;""))</f>
        <v/>
      </c>
      <c r="R26" s="10">
        <f>IFERROR(IF(TRIM(J26&amp;"")="","",IF(AND(ISNUMBER(FIND(" ",TRIM(J26&amp;""))),ISNUMBER(MATCH(LEFT(TRIM(J26&amp;""),FIND(" ",TRIM(J26&amp;""))-1),설정_코드표!$J$2:$J$101,0)),ISNUMBER(MATCH(TRIM(RIGHT(SUBSTITUTE(TRIM(J26&amp;"")," ",REPT(" ",60)),60)),설정_코드표!$F$2:$F$101,0))),INDEX(설정_코드표!$K$2:$K$101,MATCH(LEFT(TRIM(J26&amp;""),FIND(" ",TRIM(J26&amp;""))-1),설정_코드표!$J$2:$J$101,0))&amp;" "&amp;INDEX(설정_코드표!$G$2:$G$101,MATCH(TRIM(RIGHT(SUBSTITUTE(TRIM(J26&amp;"")," ",REPT(" ",60)),60)),설정_코드표!$F$2:$F$101,0)),"⚠"&amp;TRIM(J26&amp;""))),"⚠"&amp;TRIM(J26&amp;""))</f>
        <v/>
      </c>
      <c r="S26" s="11">
        <f>IF(K26="","",IFERROR(IF(AND(ROUND((VALUE(K26&amp;"")-INT(VALUE(K26&amp;"")))*100,0)&gt;=1,ROUND((VALUE(K26&amp;"")-INT(VALUE(K26&amp;"")))*100,0)&lt;=12,INT(VALUE(K26&amp;""))&gt;=1900),DATE(INT(VALUE(K26&amp;"")),ROUND((VALUE(K26&amp;"")-INT(VALUE(K26&amp;"")))*100,0),1),K26&amp;""),K26&amp;""))</f>
        <v/>
      </c>
      <c r="T26" s="10">
        <f>COUNTIF(M26:R26,"⚠*")</f>
        <v/>
      </c>
    </row>
    <row r="27"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M27" s="10">
        <f>IFERROR(IF(TRIM(E27&amp;"")="","",IF(AND(ISNUMBER(FIND(" ",TRIM(E27&amp;""))),ISNUMBER(MATCH(LEFT(TRIM(E27&amp;""),FIND(" ",TRIM(E27&amp;""))-1),설정_코드표!$J$2:$J$101,0)),ISNUMBER(MATCH(TRIM(RIGHT(SUBSTITUTE(TRIM(E27&amp;"")," ",REPT(" ",60)),60)),설정_코드표!$F$2:$F$101,0))),INDEX(설정_코드표!$K$2:$K$101,MATCH(LEFT(TRIM(E27&amp;""),FIND(" ",TRIM(E27&amp;""))-1),설정_코드표!$J$2:$J$101,0))&amp;" "&amp;INDEX(설정_코드표!$G$2:$G$101,MATCH(TRIM(RIGHT(SUBSTITUTE(TRIM(E27&amp;"")," ",REPT(" ",60)),60)),설정_코드표!$F$2:$F$101,0)),"⚠"&amp;TRIM(E27&amp;""))),"⚠"&amp;TRIM(E27&amp;""))</f>
        <v/>
      </c>
      <c r="N27" s="10">
        <f>IFERROR(IF(TRIM(F27&amp;"")="","",IF(AND(ISNUMBER(FIND(" ",TRIM(F27&amp;""))),ISNUMBER(MATCH(LEFT(TRIM(F27&amp;""),FIND(" ",TRIM(F27&amp;""))-1),설정_코드표!$J$2:$J$101,0)),ISNUMBER(MATCH(TRIM(RIGHT(SUBSTITUTE(TRIM(F27&amp;"")," ",REPT(" ",60)),60)),설정_코드표!$F$2:$F$101,0))),INDEX(설정_코드표!$K$2:$K$101,MATCH(LEFT(TRIM(F27&amp;""),FIND(" ",TRIM(F27&amp;""))-1),설정_코드표!$J$2:$J$101,0))&amp;" "&amp;INDEX(설정_코드표!$G$2:$G$101,MATCH(TRIM(RIGHT(SUBSTITUTE(TRIM(F27&amp;"")," ",REPT(" ",60)),60)),설정_코드표!$F$2:$F$101,0)),"⚠"&amp;TRIM(F27&amp;""))),"⚠"&amp;TRIM(F27&amp;""))</f>
        <v/>
      </c>
      <c r="O27" s="10">
        <f>IFERROR(IF(TRIM(G27&amp;"")="","",IF(AND(ISNUMBER(FIND(" ",TRIM(G27&amp;""))),ISNUMBER(MATCH(LEFT(TRIM(G27&amp;""),FIND(" ",TRIM(G27&amp;""))-1),설정_코드표!$J$2:$J$101,0)),ISNUMBER(MATCH(TRIM(RIGHT(SUBSTITUTE(TRIM(G27&amp;"")," ",REPT(" ",60)),60)),설정_코드표!$F$2:$F$101,0))),INDEX(설정_코드표!$K$2:$K$101,MATCH(LEFT(TRIM(G27&amp;""),FIND(" ",TRIM(G27&amp;""))-1),설정_코드표!$J$2:$J$101,0))&amp;" "&amp;INDEX(설정_코드표!$G$2:$G$101,MATCH(TRIM(RIGHT(SUBSTITUTE(TRIM(G27&amp;"")," ",REPT(" ",60)),60)),설정_코드표!$F$2:$F$101,0)),"⚠"&amp;TRIM(G27&amp;""))),"⚠"&amp;TRIM(G27&amp;""))</f>
        <v/>
      </c>
      <c r="P27" s="10">
        <f>IFERROR(IF(TRIM(H27&amp;"")="","",IF(AND(ISNUMBER(FIND(" ",TRIM(H27&amp;""))),ISNUMBER(MATCH(LEFT(TRIM(H27&amp;""),FIND(" ",TRIM(H27&amp;""))-1),설정_코드표!$J$2:$J$101,0)),ISNUMBER(MATCH(TRIM(RIGHT(SUBSTITUTE(TRIM(H27&amp;"")," ",REPT(" ",60)),60)),설정_코드표!$F$2:$F$101,0))),INDEX(설정_코드표!$K$2:$K$101,MATCH(LEFT(TRIM(H27&amp;""),FIND(" ",TRIM(H27&amp;""))-1),설정_코드표!$J$2:$J$101,0))&amp;" "&amp;INDEX(설정_코드표!$G$2:$G$101,MATCH(TRIM(RIGHT(SUBSTITUTE(TRIM(H27&amp;"")," ",REPT(" ",60)),60)),설정_코드표!$F$2:$F$101,0)),"⚠"&amp;TRIM(H27&amp;""))),"⚠"&amp;TRIM(H27&amp;""))</f>
        <v/>
      </c>
      <c r="Q27" s="10">
        <f>IFERROR(IF(TRIM(I27&amp;"")="","",IF(AND(ISNUMBER(FIND(" ",TRIM(I27&amp;""))),ISNUMBER(MATCH(LEFT(TRIM(I27&amp;""),FIND(" ",TRIM(I27&amp;""))-1),설정_코드표!$J$2:$J$101,0)),ISNUMBER(MATCH(TRIM(RIGHT(SUBSTITUTE(TRIM(I27&amp;"")," ",REPT(" ",60)),60)),설정_코드표!$F$2:$F$101,0))),INDEX(설정_코드표!$K$2:$K$101,MATCH(LEFT(TRIM(I27&amp;""),FIND(" ",TRIM(I27&amp;""))-1),설정_코드표!$J$2:$J$101,0))&amp;" "&amp;INDEX(설정_코드표!$G$2:$G$101,MATCH(TRIM(RIGHT(SUBSTITUTE(TRIM(I27&amp;"")," ",REPT(" ",60)),60)),설정_코드표!$F$2:$F$101,0)),"⚠"&amp;TRIM(I27&amp;""))),"⚠"&amp;TRIM(I27&amp;""))</f>
        <v/>
      </c>
      <c r="R27" s="10">
        <f>IFERROR(IF(TRIM(J27&amp;"")="","",IF(AND(ISNUMBER(FIND(" ",TRIM(J27&amp;""))),ISNUMBER(MATCH(LEFT(TRIM(J27&amp;""),FIND(" ",TRIM(J27&amp;""))-1),설정_코드표!$J$2:$J$101,0)),ISNUMBER(MATCH(TRIM(RIGHT(SUBSTITUTE(TRIM(J27&amp;"")," ",REPT(" ",60)),60)),설정_코드표!$F$2:$F$101,0))),INDEX(설정_코드표!$K$2:$K$101,MATCH(LEFT(TRIM(J27&amp;""),FIND(" ",TRIM(J27&amp;""))-1),설정_코드표!$J$2:$J$101,0))&amp;" "&amp;INDEX(설정_코드표!$G$2:$G$101,MATCH(TRIM(RIGHT(SUBSTITUTE(TRIM(J27&amp;"")," ",REPT(" ",60)),60)),설정_코드표!$F$2:$F$101,0)),"⚠"&amp;TRIM(J27&amp;""))),"⚠"&amp;TRIM(J27&amp;""))</f>
        <v/>
      </c>
      <c r="S27" s="11">
        <f>IF(K27="","",IFERROR(IF(AND(ROUND((VALUE(K27&amp;"")-INT(VALUE(K27&amp;"")))*100,0)&gt;=1,ROUND((VALUE(K27&amp;"")-INT(VALUE(K27&amp;"")))*100,0)&lt;=12,INT(VALUE(K27&amp;""))&gt;=1900),DATE(INT(VALUE(K27&amp;"")),ROUND((VALUE(K27&amp;"")-INT(VALUE(K27&amp;"")))*100,0),1),K27&amp;""),K27&amp;""))</f>
        <v/>
      </c>
      <c r="T27" s="10">
        <f>COUNTIF(M27:R27,"⚠*")</f>
        <v/>
      </c>
    </row>
    <row r="28"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M28" s="10">
        <f>IFERROR(IF(TRIM(E28&amp;"")="","",IF(AND(ISNUMBER(FIND(" ",TRIM(E28&amp;""))),ISNUMBER(MATCH(LEFT(TRIM(E28&amp;""),FIND(" ",TRIM(E28&amp;""))-1),설정_코드표!$J$2:$J$101,0)),ISNUMBER(MATCH(TRIM(RIGHT(SUBSTITUTE(TRIM(E28&amp;"")," ",REPT(" ",60)),60)),설정_코드표!$F$2:$F$101,0))),INDEX(설정_코드표!$K$2:$K$101,MATCH(LEFT(TRIM(E28&amp;""),FIND(" ",TRIM(E28&amp;""))-1),설정_코드표!$J$2:$J$101,0))&amp;" "&amp;INDEX(설정_코드표!$G$2:$G$101,MATCH(TRIM(RIGHT(SUBSTITUTE(TRIM(E28&amp;"")," ",REPT(" ",60)),60)),설정_코드표!$F$2:$F$101,0)),"⚠"&amp;TRIM(E28&amp;""))),"⚠"&amp;TRIM(E28&amp;""))</f>
        <v/>
      </c>
      <c r="N28" s="10">
        <f>IFERROR(IF(TRIM(F28&amp;"")="","",IF(AND(ISNUMBER(FIND(" ",TRIM(F28&amp;""))),ISNUMBER(MATCH(LEFT(TRIM(F28&amp;""),FIND(" ",TRIM(F28&amp;""))-1),설정_코드표!$J$2:$J$101,0)),ISNUMBER(MATCH(TRIM(RIGHT(SUBSTITUTE(TRIM(F28&amp;"")," ",REPT(" ",60)),60)),설정_코드표!$F$2:$F$101,0))),INDEX(설정_코드표!$K$2:$K$101,MATCH(LEFT(TRIM(F28&amp;""),FIND(" ",TRIM(F28&amp;""))-1),설정_코드표!$J$2:$J$101,0))&amp;" "&amp;INDEX(설정_코드표!$G$2:$G$101,MATCH(TRIM(RIGHT(SUBSTITUTE(TRIM(F28&amp;"")," ",REPT(" ",60)),60)),설정_코드표!$F$2:$F$101,0)),"⚠"&amp;TRIM(F28&amp;""))),"⚠"&amp;TRIM(F28&amp;""))</f>
        <v/>
      </c>
      <c r="O28" s="10">
        <f>IFERROR(IF(TRIM(G28&amp;"")="","",IF(AND(ISNUMBER(FIND(" ",TRIM(G28&amp;""))),ISNUMBER(MATCH(LEFT(TRIM(G28&amp;""),FIND(" ",TRIM(G28&amp;""))-1),설정_코드표!$J$2:$J$101,0)),ISNUMBER(MATCH(TRIM(RIGHT(SUBSTITUTE(TRIM(G28&amp;"")," ",REPT(" ",60)),60)),설정_코드표!$F$2:$F$101,0))),INDEX(설정_코드표!$K$2:$K$101,MATCH(LEFT(TRIM(G28&amp;""),FIND(" ",TRIM(G28&amp;""))-1),설정_코드표!$J$2:$J$101,0))&amp;" "&amp;INDEX(설정_코드표!$G$2:$G$101,MATCH(TRIM(RIGHT(SUBSTITUTE(TRIM(G28&amp;"")," ",REPT(" ",60)),60)),설정_코드표!$F$2:$F$101,0)),"⚠"&amp;TRIM(G28&amp;""))),"⚠"&amp;TRIM(G28&amp;""))</f>
        <v/>
      </c>
      <c r="P28" s="10">
        <f>IFERROR(IF(TRIM(H28&amp;"")="","",IF(AND(ISNUMBER(FIND(" ",TRIM(H28&amp;""))),ISNUMBER(MATCH(LEFT(TRIM(H28&amp;""),FIND(" ",TRIM(H28&amp;""))-1),설정_코드표!$J$2:$J$101,0)),ISNUMBER(MATCH(TRIM(RIGHT(SUBSTITUTE(TRIM(H28&amp;"")," ",REPT(" ",60)),60)),설정_코드표!$F$2:$F$101,0))),INDEX(설정_코드표!$K$2:$K$101,MATCH(LEFT(TRIM(H28&amp;""),FIND(" ",TRIM(H28&amp;""))-1),설정_코드표!$J$2:$J$101,0))&amp;" "&amp;INDEX(설정_코드표!$G$2:$G$101,MATCH(TRIM(RIGHT(SUBSTITUTE(TRIM(H28&amp;"")," ",REPT(" ",60)),60)),설정_코드표!$F$2:$F$101,0)),"⚠"&amp;TRIM(H28&amp;""))),"⚠"&amp;TRIM(H28&amp;""))</f>
        <v/>
      </c>
      <c r="Q28" s="10">
        <f>IFERROR(IF(TRIM(I28&amp;"")="","",IF(AND(ISNUMBER(FIND(" ",TRIM(I28&amp;""))),ISNUMBER(MATCH(LEFT(TRIM(I28&amp;""),FIND(" ",TRIM(I28&amp;""))-1),설정_코드표!$J$2:$J$101,0)),ISNUMBER(MATCH(TRIM(RIGHT(SUBSTITUTE(TRIM(I28&amp;"")," ",REPT(" ",60)),60)),설정_코드표!$F$2:$F$101,0))),INDEX(설정_코드표!$K$2:$K$101,MATCH(LEFT(TRIM(I28&amp;""),FIND(" ",TRIM(I28&amp;""))-1),설정_코드표!$J$2:$J$101,0))&amp;" "&amp;INDEX(설정_코드표!$G$2:$G$101,MATCH(TRIM(RIGHT(SUBSTITUTE(TRIM(I28&amp;"")," ",REPT(" ",60)),60)),설정_코드표!$F$2:$F$101,0)),"⚠"&amp;TRIM(I28&amp;""))),"⚠"&amp;TRIM(I28&amp;""))</f>
        <v/>
      </c>
      <c r="R28" s="10">
        <f>IFERROR(IF(TRIM(J28&amp;"")="","",IF(AND(ISNUMBER(FIND(" ",TRIM(J28&amp;""))),ISNUMBER(MATCH(LEFT(TRIM(J28&amp;""),FIND(" ",TRIM(J28&amp;""))-1),설정_코드표!$J$2:$J$101,0)),ISNUMBER(MATCH(TRIM(RIGHT(SUBSTITUTE(TRIM(J28&amp;"")," ",REPT(" ",60)),60)),설정_코드표!$F$2:$F$101,0))),INDEX(설정_코드표!$K$2:$K$101,MATCH(LEFT(TRIM(J28&amp;""),FIND(" ",TRIM(J28&amp;""))-1),설정_코드표!$J$2:$J$101,0))&amp;" "&amp;INDEX(설정_코드표!$G$2:$G$101,MATCH(TRIM(RIGHT(SUBSTITUTE(TRIM(J28&amp;"")," ",REPT(" ",60)),60)),설정_코드표!$F$2:$F$101,0)),"⚠"&amp;TRIM(J28&amp;""))),"⚠"&amp;TRIM(J28&amp;""))</f>
        <v/>
      </c>
      <c r="S28" s="11">
        <f>IF(K28="","",IFERROR(IF(AND(ROUND((VALUE(K28&amp;"")-INT(VALUE(K28&amp;"")))*100,0)&gt;=1,ROUND((VALUE(K28&amp;"")-INT(VALUE(K28&amp;"")))*100,0)&lt;=12,INT(VALUE(K28&amp;""))&gt;=1900),DATE(INT(VALUE(K28&amp;"")),ROUND((VALUE(K28&amp;"")-INT(VALUE(K28&amp;"")))*100,0),1),K28&amp;""),K28&amp;""))</f>
        <v/>
      </c>
      <c r="T28" s="10">
        <f>COUNTIF(M28:R28,"⚠*")</f>
        <v/>
      </c>
    </row>
    <row r="29"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M29" s="10">
        <f>IFERROR(IF(TRIM(E29&amp;"")="","",IF(AND(ISNUMBER(FIND(" ",TRIM(E29&amp;""))),ISNUMBER(MATCH(LEFT(TRIM(E29&amp;""),FIND(" ",TRIM(E29&amp;""))-1),설정_코드표!$J$2:$J$101,0)),ISNUMBER(MATCH(TRIM(RIGHT(SUBSTITUTE(TRIM(E29&amp;"")," ",REPT(" ",60)),60)),설정_코드표!$F$2:$F$101,0))),INDEX(설정_코드표!$K$2:$K$101,MATCH(LEFT(TRIM(E29&amp;""),FIND(" ",TRIM(E29&amp;""))-1),설정_코드표!$J$2:$J$101,0))&amp;" "&amp;INDEX(설정_코드표!$G$2:$G$101,MATCH(TRIM(RIGHT(SUBSTITUTE(TRIM(E29&amp;"")," ",REPT(" ",60)),60)),설정_코드표!$F$2:$F$101,0)),"⚠"&amp;TRIM(E29&amp;""))),"⚠"&amp;TRIM(E29&amp;""))</f>
        <v/>
      </c>
      <c r="N29" s="10">
        <f>IFERROR(IF(TRIM(F29&amp;"")="","",IF(AND(ISNUMBER(FIND(" ",TRIM(F29&amp;""))),ISNUMBER(MATCH(LEFT(TRIM(F29&amp;""),FIND(" ",TRIM(F29&amp;""))-1),설정_코드표!$J$2:$J$101,0)),ISNUMBER(MATCH(TRIM(RIGHT(SUBSTITUTE(TRIM(F29&amp;"")," ",REPT(" ",60)),60)),설정_코드표!$F$2:$F$101,0))),INDEX(설정_코드표!$K$2:$K$101,MATCH(LEFT(TRIM(F29&amp;""),FIND(" ",TRIM(F29&amp;""))-1),설정_코드표!$J$2:$J$101,0))&amp;" "&amp;INDEX(설정_코드표!$G$2:$G$101,MATCH(TRIM(RIGHT(SUBSTITUTE(TRIM(F29&amp;"")," ",REPT(" ",60)),60)),설정_코드표!$F$2:$F$101,0)),"⚠"&amp;TRIM(F29&amp;""))),"⚠"&amp;TRIM(F29&amp;""))</f>
        <v/>
      </c>
      <c r="O29" s="10">
        <f>IFERROR(IF(TRIM(G29&amp;"")="","",IF(AND(ISNUMBER(FIND(" ",TRIM(G29&amp;""))),ISNUMBER(MATCH(LEFT(TRIM(G29&amp;""),FIND(" ",TRIM(G29&amp;""))-1),설정_코드표!$J$2:$J$101,0)),ISNUMBER(MATCH(TRIM(RIGHT(SUBSTITUTE(TRIM(G29&amp;"")," ",REPT(" ",60)),60)),설정_코드표!$F$2:$F$101,0))),INDEX(설정_코드표!$K$2:$K$101,MATCH(LEFT(TRIM(G29&amp;""),FIND(" ",TRIM(G29&amp;""))-1),설정_코드표!$J$2:$J$101,0))&amp;" "&amp;INDEX(설정_코드표!$G$2:$G$101,MATCH(TRIM(RIGHT(SUBSTITUTE(TRIM(G29&amp;"")," ",REPT(" ",60)),60)),설정_코드표!$F$2:$F$101,0)),"⚠"&amp;TRIM(G29&amp;""))),"⚠"&amp;TRIM(G29&amp;""))</f>
        <v/>
      </c>
      <c r="P29" s="10">
        <f>IFERROR(IF(TRIM(H29&amp;"")="","",IF(AND(ISNUMBER(FIND(" ",TRIM(H29&amp;""))),ISNUMBER(MATCH(LEFT(TRIM(H29&amp;""),FIND(" ",TRIM(H29&amp;""))-1),설정_코드표!$J$2:$J$101,0)),ISNUMBER(MATCH(TRIM(RIGHT(SUBSTITUTE(TRIM(H29&amp;"")," ",REPT(" ",60)),60)),설정_코드표!$F$2:$F$101,0))),INDEX(설정_코드표!$K$2:$K$101,MATCH(LEFT(TRIM(H29&amp;""),FIND(" ",TRIM(H29&amp;""))-1),설정_코드표!$J$2:$J$101,0))&amp;" "&amp;INDEX(설정_코드표!$G$2:$G$101,MATCH(TRIM(RIGHT(SUBSTITUTE(TRIM(H29&amp;"")," ",REPT(" ",60)),60)),설정_코드표!$F$2:$F$101,0)),"⚠"&amp;TRIM(H29&amp;""))),"⚠"&amp;TRIM(H29&amp;""))</f>
        <v/>
      </c>
      <c r="Q29" s="10">
        <f>IFERROR(IF(TRIM(I29&amp;"")="","",IF(AND(ISNUMBER(FIND(" ",TRIM(I29&amp;""))),ISNUMBER(MATCH(LEFT(TRIM(I29&amp;""),FIND(" ",TRIM(I29&amp;""))-1),설정_코드표!$J$2:$J$101,0)),ISNUMBER(MATCH(TRIM(RIGHT(SUBSTITUTE(TRIM(I29&amp;"")," ",REPT(" ",60)),60)),설정_코드표!$F$2:$F$101,0))),INDEX(설정_코드표!$K$2:$K$101,MATCH(LEFT(TRIM(I29&amp;""),FIND(" ",TRIM(I29&amp;""))-1),설정_코드표!$J$2:$J$101,0))&amp;" "&amp;INDEX(설정_코드표!$G$2:$G$101,MATCH(TRIM(RIGHT(SUBSTITUTE(TRIM(I29&amp;"")," ",REPT(" ",60)),60)),설정_코드표!$F$2:$F$101,0)),"⚠"&amp;TRIM(I29&amp;""))),"⚠"&amp;TRIM(I29&amp;""))</f>
        <v/>
      </c>
      <c r="R29" s="10">
        <f>IFERROR(IF(TRIM(J29&amp;"")="","",IF(AND(ISNUMBER(FIND(" ",TRIM(J29&amp;""))),ISNUMBER(MATCH(LEFT(TRIM(J29&amp;""),FIND(" ",TRIM(J29&amp;""))-1),설정_코드표!$J$2:$J$101,0)),ISNUMBER(MATCH(TRIM(RIGHT(SUBSTITUTE(TRIM(J29&amp;"")," ",REPT(" ",60)),60)),설정_코드표!$F$2:$F$101,0))),INDEX(설정_코드표!$K$2:$K$101,MATCH(LEFT(TRIM(J29&amp;""),FIND(" ",TRIM(J29&amp;""))-1),설정_코드표!$J$2:$J$101,0))&amp;" "&amp;INDEX(설정_코드표!$G$2:$G$101,MATCH(TRIM(RIGHT(SUBSTITUTE(TRIM(J29&amp;"")," ",REPT(" ",60)),60)),설정_코드표!$F$2:$F$101,0)),"⚠"&amp;TRIM(J29&amp;""))),"⚠"&amp;TRIM(J29&amp;""))</f>
        <v/>
      </c>
      <c r="S29" s="11">
        <f>IF(K29="","",IFERROR(IF(AND(ROUND((VALUE(K29&amp;"")-INT(VALUE(K29&amp;"")))*100,0)&gt;=1,ROUND((VALUE(K29&amp;"")-INT(VALUE(K29&amp;"")))*100,0)&lt;=12,INT(VALUE(K29&amp;""))&gt;=1900),DATE(INT(VALUE(K29&amp;"")),ROUND((VALUE(K29&amp;"")-INT(VALUE(K29&amp;"")))*100,0),1),K29&amp;""),K29&amp;""))</f>
        <v/>
      </c>
      <c r="T29" s="10">
        <f>COUNTIF(M29:R29,"⚠*")</f>
        <v/>
      </c>
    </row>
    <row r="30"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M30" s="10">
        <f>IFERROR(IF(TRIM(E30&amp;"")="","",IF(AND(ISNUMBER(FIND(" ",TRIM(E30&amp;""))),ISNUMBER(MATCH(LEFT(TRIM(E30&amp;""),FIND(" ",TRIM(E30&amp;""))-1),설정_코드표!$J$2:$J$101,0)),ISNUMBER(MATCH(TRIM(RIGHT(SUBSTITUTE(TRIM(E30&amp;"")," ",REPT(" ",60)),60)),설정_코드표!$F$2:$F$101,0))),INDEX(설정_코드표!$K$2:$K$101,MATCH(LEFT(TRIM(E30&amp;""),FIND(" ",TRIM(E30&amp;""))-1),설정_코드표!$J$2:$J$101,0))&amp;" "&amp;INDEX(설정_코드표!$G$2:$G$101,MATCH(TRIM(RIGHT(SUBSTITUTE(TRIM(E30&amp;"")," ",REPT(" ",60)),60)),설정_코드표!$F$2:$F$101,0)),"⚠"&amp;TRIM(E30&amp;""))),"⚠"&amp;TRIM(E30&amp;""))</f>
        <v/>
      </c>
      <c r="N30" s="10">
        <f>IFERROR(IF(TRIM(F30&amp;"")="","",IF(AND(ISNUMBER(FIND(" ",TRIM(F30&amp;""))),ISNUMBER(MATCH(LEFT(TRIM(F30&amp;""),FIND(" ",TRIM(F30&amp;""))-1),설정_코드표!$J$2:$J$101,0)),ISNUMBER(MATCH(TRIM(RIGHT(SUBSTITUTE(TRIM(F30&amp;"")," ",REPT(" ",60)),60)),설정_코드표!$F$2:$F$101,0))),INDEX(설정_코드표!$K$2:$K$101,MATCH(LEFT(TRIM(F30&amp;""),FIND(" ",TRIM(F30&amp;""))-1),설정_코드표!$J$2:$J$101,0))&amp;" "&amp;INDEX(설정_코드표!$G$2:$G$101,MATCH(TRIM(RIGHT(SUBSTITUTE(TRIM(F30&amp;"")," ",REPT(" ",60)),60)),설정_코드표!$F$2:$F$101,0)),"⚠"&amp;TRIM(F30&amp;""))),"⚠"&amp;TRIM(F30&amp;""))</f>
        <v/>
      </c>
      <c r="O30" s="10">
        <f>IFERROR(IF(TRIM(G30&amp;"")="","",IF(AND(ISNUMBER(FIND(" ",TRIM(G30&amp;""))),ISNUMBER(MATCH(LEFT(TRIM(G30&amp;""),FIND(" ",TRIM(G30&amp;""))-1),설정_코드표!$J$2:$J$101,0)),ISNUMBER(MATCH(TRIM(RIGHT(SUBSTITUTE(TRIM(G30&amp;"")," ",REPT(" ",60)),60)),설정_코드표!$F$2:$F$101,0))),INDEX(설정_코드표!$K$2:$K$101,MATCH(LEFT(TRIM(G30&amp;""),FIND(" ",TRIM(G30&amp;""))-1),설정_코드표!$J$2:$J$101,0))&amp;" "&amp;INDEX(설정_코드표!$G$2:$G$101,MATCH(TRIM(RIGHT(SUBSTITUTE(TRIM(G30&amp;"")," ",REPT(" ",60)),60)),설정_코드표!$F$2:$F$101,0)),"⚠"&amp;TRIM(G30&amp;""))),"⚠"&amp;TRIM(G30&amp;""))</f>
        <v/>
      </c>
      <c r="P30" s="10">
        <f>IFERROR(IF(TRIM(H30&amp;"")="","",IF(AND(ISNUMBER(FIND(" ",TRIM(H30&amp;""))),ISNUMBER(MATCH(LEFT(TRIM(H30&amp;""),FIND(" ",TRIM(H30&amp;""))-1),설정_코드표!$J$2:$J$101,0)),ISNUMBER(MATCH(TRIM(RIGHT(SUBSTITUTE(TRIM(H30&amp;"")," ",REPT(" ",60)),60)),설정_코드표!$F$2:$F$101,0))),INDEX(설정_코드표!$K$2:$K$101,MATCH(LEFT(TRIM(H30&amp;""),FIND(" ",TRIM(H30&amp;""))-1),설정_코드표!$J$2:$J$101,0))&amp;" "&amp;INDEX(설정_코드표!$G$2:$G$101,MATCH(TRIM(RIGHT(SUBSTITUTE(TRIM(H30&amp;"")," ",REPT(" ",60)),60)),설정_코드표!$F$2:$F$101,0)),"⚠"&amp;TRIM(H30&amp;""))),"⚠"&amp;TRIM(H30&amp;""))</f>
        <v/>
      </c>
      <c r="Q30" s="10">
        <f>IFERROR(IF(TRIM(I30&amp;"")="","",IF(AND(ISNUMBER(FIND(" ",TRIM(I30&amp;""))),ISNUMBER(MATCH(LEFT(TRIM(I30&amp;""),FIND(" ",TRIM(I30&amp;""))-1),설정_코드표!$J$2:$J$101,0)),ISNUMBER(MATCH(TRIM(RIGHT(SUBSTITUTE(TRIM(I30&amp;"")," ",REPT(" ",60)),60)),설정_코드표!$F$2:$F$101,0))),INDEX(설정_코드표!$K$2:$K$101,MATCH(LEFT(TRIM(I30&amp;""),FIND(" ",TRIM(I30&amp;""))-1),설정_코드표!$J$2:$J$101,0))&amp;" "&amp;INDEX(설정_코드표!$G$2:$G$101,MATCH(TRIM(RIGHT(SUBSTITUTE(TRIM(I30&amp;"")," ",REPT(" ",60)),60)),설정_코드표!$F$2:$F$101,0)),"⚠"&amp;TRIM(I30&amp;""))),"⚠"&amp;TRIM(I30&amp;""))</f>
        <v/>
      </c>
      <c r="R30" s="10">
        <f>IFERROR(IF(TRIM(J30&amp;"")="","",IF(AND(ISNUMBER(FIND(" ",TRIM(J30&amp;""))),ISNUMBER(MATCH(LEFT(TRIM(J30&amp;""),FIND(" ",TRIM(J30&amp;""))-1),설정_코드표!$J$2:$J$101,0)),ISNUMBER(MATCH(TRIM(RIGHT(SUBSTITUTE(TRIM(J30&amp;"")," ",REPT(" ",60)),60)),설정_코드표!$F$2:$F$101,0))),INDEX(설정_코드표!$K$2:$K$101,MATCH(LEFT(TRIM(J30&amp;""),FIND(" ",TRIM(J30&amp;""))-1),설정_코드표!$J$2:$J$101,0))&amp;" "&amp;INDEX(설정_코드표!$G$2:$G$101,MATCH(TRIM(RIGHT(SUBSTITUTE(TRIM(J30&amp;"")," ",REPT(" ",60)),60)),설정_코드표!$F$2:$F$101,0)),"⚠"&amp;TRIM(J30&amp;""))),"⚠"&amp;TRIM(J30&amp;""))</f>
        <v/>
      </c>
      <c r="S30" s="11">
        <f>IF(K30="","",IFERROR(IF(AND(ROUND((VALUE(K30&amp;"")-INT(VALUE(K30&amp;"")))*100,0)&gt;=1,ROUND((VALUE(K30&amp;"")-INT(VALUE(K30&amp;"")))*100,0)&lt;=12,INT(VALUE(K30&amp;""))&gt;=1900),DATE(INT(VALUE(K30&amp;"")),ROUND((VALUE(K30&amp;"")-INT(VALUE(K30&amp;"")))*100,0),1),K30&amp;""),K30&amp;""))</f>
        <v/>
      </c>
      <c r="T30" s="10">
        <f>COUNTIF(M30:R30,"⚠*")</f>
        <v/>
      </c>
    </row>
    <row r="31"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M31" s="10">
        <f>IFERROR(IF(TRIM(E31&amp;"")="","",IF(AND(ISNUMBER(FIND(" ",TRIM(E31&amp;""))),ISNUMBER(MATCH(LEFT(TRIM(E31&amp;""),FIND(" ",TRIM(E31&amp;""))-1),설정_코드표!$J$2:$J$101,0)),ISNUMBER(MATCH(TRIM(RIGHT(SUBSTITUTE(TRIM(E31&amp;"")," ",REPT(" ",60)),60)),설정_코드표!$F$2:$F$101,0))),INDEX(설정_코드표!$K$2:$K$101,MATCH(LEFT(TRIM(E31&amp;""),FIND(" ",TRIM(E31&amp;""))-1),설정_코드표!$J$2:$J$101,0))&amp;" "&amp;INDEX(설정_코드표!$G$2:$G$101,MATCH(TRIM(RIGHT(SUBSTITUTE(TRIM(E31&amp;"")," ",REPT(" ",60)),60)),설정_코드표!$F$2:$F$101,0)),"⚠"&amp;TRIM(E31&amp;""))),"⚠"&amp;TRIM(E31&amp;""))</f>
        <v/>
      </c>
      <c r="N31" s="10">
        <f>IFERROR(IF(TRIM(F31&amp;"")="","",IF(AND(ISNUMBER(FIND(" ",TRIM(F31&amp;""))),ISNUMBER(MATCH(LEFT(TRIM(F31&amp;""),FIND(" ",TRIM(F31&amp;""))-1),설정_코드표!$J$2:$J$101,0)),ISNUMBER(MATCH(TRIM(RIGHT(SUBSTITUTE(TRIM(F31&amp;"")," ",REPT(" ",60)),60)),설정_코드표!$F$2:$F$101,0))),INDEX(설정_코드표!$K$2:$K$101,MATCH(LEFT(TRIM(F31&amp;""),FIND(" ",TRIM(F31&amp;""))-1),설정_코드표!$J$2:$J$101,0))&amp;" "&amp;INDEX(설정_코드표!$G$2:$G$101,MATCH(TRIM(RIGHT(SUBSTITUTE(TRIM(F31&amp;"")," ",REPT(" ",60)),60)),설정_코드표!$F$2:$F$101,0)),"⚠"&amp;TRIM(F31&amp;""))),"⚠"&amp;TRIM(F31&amp;""))</f>
        <v/>
      </c>
      <c r="O31" s="10">
        <f>IFERROR(IF(TRIM(G31&amp;"")="","",IF(AND(ISNUMBER(FIND(" ",TRIM(G31&amp;""))),ISNUMBER(MATCH(LEFT(TRIM(G31&amp;""),FIND(" ",TRIM(G31&amp;""))-1),설정_코드표!$J$2:$J$101,0)),ISNUMBER(MATCH(TRIM(RIGHT(SUBSTITUTE(TRIM(G31&amp;"")," ",REPT(" ",60)),60)),설정_코드표!$F$2:$F$101,0))),INDEX(설정_코드표!$K$2:$K$101,MATCH(LEFT(TRIM(G31&amp;""),FIND(" ",TRIM(G31&amp;""))-1),설정_코드표!$J$2:$J$101,0))&amp;" "&amp;INDEX(설정_코드표!$G$2:$G$101,MATCH(TRIM(RIGHT(SUBSTITUTE(TRIM(G31&amp;"")," ",REPT(" ",60)),60)),설정_코드표!$F$2:$F$101,0)),"⚠"&amp;TRIM(G31&amp;""))),"⚠"&amp;TRIM(G31&amp;""))</f>
        <v/>
      </c>
      <c r="P31" s="10">
        <f>IFERROR(IF(TRIM(H31&amp;"")="","",IF(AND(ISNUMBER(FIND(" ",TRIM(H31&amp;""))),ISNUMBER(MATCH(LEFT(TRIM(H31&amp;""),FIND(" ",TRIM(H31&amp;""))-1),설정_코드표!$J$2:$J$101,0)),ISNUMBER(MATCH(TRIM(RIGHT(SUBSTITUTE(TRIM(H31&amp;"")," ",REPT(" ",60)),60)),설정_코드표!$F$2:$F$101,0))),INDEX(설정_코드표!$K$2:$K$101,MATCH(LEFT(TRIM(H31&amp;""),FIND(" ",TRIM(H31&amp;""))-1),설정_코드표!$J$2:$J$101,0))&amp;" "&amp;INDEX(설정_코드표!$G$2:$G$101,MATCH(TRIM(RIGHT(SUBSTITUTE(TRIM(H31&amp;"")," ",REPT(" ",60)),60)),설정_코드표!$F$2:$F$101,0)),"⚠"&amp;TRIM(H31&amp;""))),"⚠"&amp;TRIM(H31&amp;""))</f>
        <v/>
      </c>
      <c r="Q31" s="10">
        <f>IFERROR(IF(TRIM(I31&amp;"")="","",IF(AND(ISNUMBER(FIND(" ",TRIM(I31&amp;""))),ISNUMBER(MATCH(LEFT(TRIM(I31&amp;""),FIND(" ",TRIM(I31&amp;""))-1),설정_코드표!$J$2:$J$101,0)),ISNUMBER(MATCH(TRIM(RIGHT(SUBSTITUTE(TRIM(I31&amp;"")," ",REPT(" ",60)),60)),설정_코드표!$F$2:$F$101,0))),INDEX(설정_코드표!$K$2:$K$101,MATCH(LEFT(TRIM(I31&amp;""),FIND(" ",TRIM(I31&amp;""))-1),설정_코드표!$J$2:$J$101,0))&amp;" "&amp;INDEX(설정_코드표!$G$2:$G$101,MATCH(TRIM(RIGHT(SUBSTITUTE(TRIM(I31&amp;"")," ",REPT(" ",60)),60)),설정_코드표!$F$2:$F$101,0)),"⚠"&amp;TRIM(I31&amp;""))),"⚠"&amp;TRIM(I31&amp;""))</f>
        <v/>
      </c>
      <c r="R31" s="10">
        <f>IFERROR(IF(TRIM(J31&amp;"")="","",IF(AND(ISNUMBER(FIND(" ",TRIM(J31&amp;""))),ISNUMBER(MATCH(LEFT(TRIM(J31&amp;""),FIND(" ",TRIM(J31&amp;""))-1),설정_코드표!$J$2:$J$101,0)),ISNUMBER(MATCH(TRIM(RIGHT(SUBSTITUTE(TRIM(J31&amp;"")," ",REPT(" ",60)),60)),설정_코드표!$F$2:$F$101,0))),INDEX(설정_코드표!$K$2:$K$101,MATCH(LEFT(TRIM(J31&amp;""),FIND(" ",TRIM(J31&amp;""))-1),설정_코드표!$J$2:$J$101,0))&amp;" "&amp;INDEX(설정_코드표!$G$2:$G$101,MATCH(TRIM(RIGHT(SUBSTITUTE(TRIM(J31&amp;"")," ",REPT(" ",60)),60)),설정_코드표!$F$2:$F$101,0)),"⚠"&amp;TRIM(J31&amp;""))),"⚠"&amp;TRIM(J31&amp;""))</f>
        <v/>
      </c>
      <c r="S31" s="11">
        <f>IF(K31="","",IFERROR(IF(AND(ROUND((VALUE(K31&amp;"")-INT(VALUE(K31&amp;"")))*100,0)&gt;=1,ROUND((VALUE(K31&amp;"")-INT(VALUE(K31&amp;"")))*100,0)&lt;=12,INT(VALUE(K31&amp;""))&gt;=1900),DATE(INT(VALUE(K31&amp;"")),ROUND((VALUE(K31&amp;"")-INT(VALUE(K31&amp;"")))*100,0),1),K31&amp;""),K31&amp;""))</f>
        <v/>
      </c>
      <c r="T31" s="10">
        <f>COUNTIF(M31:R31,"⚠*")</f>
        <v/>
      </c>
    </row>
    <row r="32"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M32" s="10">
        <f>IFERROR(IF(TRIM(E32&amp;"")="","",IF(AND(ISNUMBER(FIND(" ",TRIM(E32&amp;""))),ISNUMBER(MATCH(LEFT(TRIM(E32&amp;""),FIND(" ",TRIM(E32&amp;""))-1),설정_코드표!$J$2:$J$101,0)),ISNUMBER(MATCH(TRIM(RIGHT(SUBSTITUTE(TRIM(E32&amp;"")," ",REPT(" ",60)),60)),설정_코드표!$F$2:$F$101,0))),INDEX(설정_코드표!$K$2:$K$101,MATCH(LEFT(TRIM(E32&amp;""),FIND(" ",TRIM(E32&amp;""))-1),설정_코드표!$J$2:$J$101,0))&amp;" "&amp;INDEX(설정_코드표!$G$2:$G$101,MATCH(TRIM(RIGHT(SUBSTITUTE(TRIM(E32&amp;"")," ",REPT(" ",60)),60)),설정_코드표!$F$2:$F$101,0)),"⚠"&amp;TRIM(E32&amp;""))),"⚠"&amp;TRIM(E32&amp;""))</f>
        <v/>
      </c>
      <c r="N32" s="10">
        <f>IFERROR(IF(TRIM(F32&amp;"")="","",IF(AND(ISNUMBER(FIND(" ",TRIM(F32&amp;""))),ISNUMBER(MATCH(LEFT(TRIM(F32&amp;""),FIND(" ",TRIM(F32&amp;""))-1),설정_코드표!$J$2:$J$101,0)),ISNUMBER(MATCH(TRIM(RIGHT(SUBSTITUTE(TRIM(F32&amp;"")," ",REPT(" ",60)),60)),설정_코드표!$F$2:$F$101,0))),INDEX(설정_코드표!$K$2:$K$101,MATCH(LEFT(TRIM(F32&amp;""),FIND(" ",TRIM(F32&amp;""))-1),설정_코드표!$J$2:$J$101,0))&amp;" "&amp;INDEX(설정_코드표!$G$2:$G$101,MATCH(TRIM(RIGHT(SUBSTITUTE(TRIM(F32&amp;"")," ",REPT(" ",60)),60)),설정_코드표!$F$2:$F$101,0)),"⚠"&amp;TRIM(F32&amp;""))),"⚠"&amp;TRIM(F32&amp;""))</f>
        <v/>
      </c>
      <c r="O32" s="10">
        <f>IFERROR(IF(TRIM(G32&amp;"")="","",IF(AND(ISNUMBER(FIND(" ",TRIM(G32&amp;""))),ISNUMBER(MATCH(LEFT(TRIM(G32&amp;""),FIND(" ",TRIM(G32&amp;""))-1),설정_코드표!$J$2:$J$101,0)),ISNUMBER(MATCH(TRIM(RIGHT(SUBSTITUTE(TRIM(G32&amp;"")," ",REPT(" ",60)),60)),설정_코드표!$F$2:$F$101,0))),INDEX(설정_코드표!$K$2:$K$101,MATCH(LEFT(TRIM(G32&amp;""),FIND(" ",TRIM(G32&amp;""))-1),설정_코드표!$J$2:$J$101,0))&amp;" "&amp;INDEX(설정_코드표!$G$2:$G$101,MATCH(TRIM(RIGHT(SUBSTITUTE(TRIM(G32&amp;"")," ",REPT(" ",60)),60)),설정_코드표!$F$2:$F$101,0)),"⚠"&amp;TRIM(G32&amp;""))),"⚠"&amp;TRIM(G32&amp;""))</f>
        <v/>
      </c>
      <c r="P32" s="10">
        <f>IFERROR(IF(TRIM(H32&amp;"")="","",IF(AND(ISNUMBER(FIND(" ",TRIM(H32&amp;""))),ISNUMBER(MATCH(LEFT(TRIM(H32&amp;""),FIND(" ",TRIM(H32&amp;""))-1),설정_코드표!$J$2:$J$101,0)),ISNUMBER(MATCH(TRIM(RIGHT(SUBSTITUTE(TRIM(H32&amp;"")," ",REPT(" ",60)),60)),설정_코드표!$F$2:$F$101,0))),INDEX(설정_코드표!$K$2:$K$101,MATCH(LEFT(TRIM(H32&amp;""),FIND(" ",TRIM(H32&amp;""))-1),설정_코드표!$J$2:$J$101,0))&amp;" "&amp;INDEX(설정_코드표!$G$2:$G$101,MATCH(TRIM(RIGHT(SUBSTITUTE(TRIM(H32&amp;"")," ",REPT(" ",60)),60)),설정_코드표!$F$2:$F$101,0)),"⚠"&amp;TRIM(H32&amp;""))),"⚠"&amp;TRIM(H32&amp;""))</f>
        <v/>
      </c>
      <c r="Q32" s="10">
        <f>IFERROR(IF(TRIM(I32&amp;"")="","",IF(AND(ISNUMBER(FIND(" ",TRIM(I32&amp;""))),ISNUMBER(MATCH(LEFT(TRIM(I32&amp;""),FIND(" ",TRIM(I32&amp;""))-1),설정_코드표!$J$2:$J$101,0)),ISNUMBER(MATCH(TRIM(RIGHT(SUBSTITUTE(TRIM(I32&amp;"")," ",REPT(" ",60)),60)),설정_코드표!$F$2:$F$101,0))),INDEX(설정_코드표!$K$2:$K$101,MATCH(LEFT(TRIM(I32&amp;""),FIND(" ",TRIM(I32&amp;""))-1),설정_코드표!$J$2:$J$101,0))&amp;" "&amp;INDEX(설정_코드표!$G$2:$G$101,MATCH(TRIM(RIGHT(SUBSTITUTE(TRIM(I32&amp;"")," ",REPT(" ",60)),60)),설정_코드표!$F$2:$F$101,0)),"⚠"&amp;TRIM(I32&amp;""))),"⚠"&amp;TRIM(I32&amp;""))</f>
        <v/>
      </c>
      <c r="R32" s="10">
        <f>IFERROR(IF(TRIM(J32&amp;"")="","",IF(AND(ISNUMBER(FIND(" ",TRIM(J32&amp;""))),ISNUMBER(MATCH(LEFT(TRIM(J32&amp;""),FIND(" ",TRIM(J32&amp;""))-1),설정_코드표!$J$2:$J$101,0)),ISNUMBER(MATCH(TRIM(RIGHT(SUBSTITUTE(TRIM(J32&amp;"")," ",REPT(" ",60)),60)),설정_코드표!$F$2:$F$101,0))),INDEX(설정_코드표!$K$2:$K$101,MATCH(LEFT(TRIM(J32&amp;""),FIND(" ",TRIM(J32&amp;""))-1),설정_코드표!$J$2:$J$101,0))&amp;" "&amp;INDEX(설정_코드표!$G$2:$G$101,MATCH(TRIM(RIGHT(SUBSTITUTE(TRIM(J32&amp;"")," ",REPT(" ",60)),60)),설정_코드표!$F$2:$F$101,0)),"⚠"&amp;TRIM(J32&amp;""))),"⚠"&amp;TRIM(J32&amp;""))</f>
        <v/>
      </c>
      <c r="S32" s="11">
        <f>IF(K32="","",IFERROR(IF(AND(ROUND((VALUE(K32&amp;"")-INT(VALUE(K32&amp;"")))*100,0)&gt;=1,ROUND((VALUE(K32&amp;"")-INT(VALUE(K32&amp;"")))*100,0)&lt;=12,INT(VALUE(K32&amp;""))&gt;=1900),DATE(INT(VALUE(K32&amp;"")),ROUND((VALUE(K32&amp;"")-INT(VALUE(K32&amp;"")))*100,0),1),K32&amp;""),K32&amp;""))</f>
        <v/>
      </c>
      <c r="T32" s="10">
        <f>COUNTIF(M32:R32,"⚠*")</f>
        <v/>
      </c>
    </row>
    <row r="33"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M33" s="10">
        <f>IFERROR(IF(TRIM(E33&amp;"")="","",IF(AND(ISNUMBER(FIND(" ",TRIM(E33&amp;""))),ISNUMBER(MATCH(LEFT(TRIM(E33&amp;""),FIND(" ",TRIM(E33&amp;""))-1),설정_코드표!$J$2:$J$101,0)),ISNUMBER(MATCH(TRIM(RIGHT(SUBSTITUTE(TRIM(E33&amp;"")," ",REPT(" ",60)),60)),설정_코드표!$F$2:$F$101,0))),INDEX(설정_코드표!$K$2:$K$101,MATCH(LEFT(TRIM(E33&amp;""),FIND(" ",TRIM(E33&amp;""))-1),설정_코드표!$J$2:$J$101,0))&amp;" "&amp;INDEX(설정_코드표!$G$2:$G$101,MATCH(TRIM(RIGHT(SUBSTITUTE(TRIM(E33&amp;"")," ",REPT(" ",60)),60)),설정_코드표!$F$2:$F$101,0)),"⚠"&amp;TRIM(E33&amp;""))),"⚠"&amp;TRIM(E33&amp;""))</f>
        <v/>
      </c>
      <c r="N33" s="10">
        <f>IFERROR(IF(TRIM(F33&amp;"")="","",IF(AND(ISNUMBER(FIND(" ",TRIM(F33&amp;""))),ISNUMBER(MATCH(LEFT(TRIM(F33&amp;""),FIND(" ",TRIM(F33&amp;""))-1),설정_코드표!$J$2:$J$101,0)),ISNUMBER(MATCH(TRIM(RIGHT(SUBSTITUTE(TRIM(F33&amp;"")," ",REPT(" ",60)),60)),설정_코드표!$F$2:$F$101,0))),INDEX(설정_코드표!$K$2:$K$101,MATCH(LEFT(TRIM(F33&amp;""),FIND(" ",TRIM(F33&amp;""))-1),설정_코드표!$J$2:$J$101,0))&amp;" "&amp;INDEX(설정_코드표!$G$2:$G$101,MATCH(TRIM(RIGHT(SUBSTITUTE(TRIM(F33&amp;"")," ",REPT(" ",60)),60)),설정_코드표!$F$2:$F$101,0)),"⚠"&amp;TRIM(F33&amp;""))),"⚠"&amp;TRIM(F33&amp;""))</f>
        <v/>
      </c>
      <c r="O33" s="10">
        <f>IFERROR(IF(TRIM(G33&amp;"")="","",IF(AND(ISNUMBER(FIND(" ",TRIM(G33&amp;""))),ISNUMBER(MATCH(LEFT(TRIM(G33&amp;""),FIND(" ",TRIM(G33&amp;""))-1),설정_코드표!$J$2:$J$101,0)),ISNUMBER(MATCH(TRIM(RIGHT(SUBSTITUTE(TRIM(G33&amp;"")," ",REPT(" ",60)),60)),설정_코드표!$F$2:$F$101,0))),INDEX(설정_코드표!$K$2:$K$101,MATCH(LEFT(TRIM(G33&amp;""),FIND(" ",TRIM(G33&amp;""))-1),설정_코드표!$J$2:$J$101,0))&amp;" "&amp;INDEX(설정_코드표!$G$2:$G$101,MATCH(TRIM(RIGHT(SUBSTITUTE(TRIM(G33&amp;"")," ",REPT(" ",60)),60)),설정_코드표!$F$2:$F$101,0)),"⚠"&amp;TRIM(G33&amp;""))),"⚠"&amp;TRIM(G33&amp;""))</f>
        <v/>
      </c>
      <c r="P33" s="10">
        <f>IFERROR(IF(TRIM(H33&amp;"")="","",IF(AND(ISNUMBER(FIND(" ",TRIM(H33&amp;""))),ISNUMBER(MATCH(LEFT(TRIM(H33&amp;""),FIND(" ",TRIM(H33&amp;""))-1),설정_코드표!$J$2:$J$101,0)),ISNUMBER(MATCH(TRIM(RIGHT(SUBSTITUTE(TRIM(H33&amp;"")," ",REPT(" ",60)),60)),설정_코드표!$F$2:$F$101,0))),INDEX(설정_코드표!$K$2:$K$101,MATCH(LEFT(TRIM(H33&amp;""),FIND(" ",TRIM(H33&amp;""))-1),설정_코드표!$J$2:$J$101,0))&amp;" "&amp;INDEX(설정_코드표!$G$2:$G$101,MATCH(TRIM(RIGHT(SUBSTITUTE(TRIM(H33&amp;"")," ",REPT(" ",60)),60)),설정_코드표!$F$2:$F$101,0)),"⚠"&amp;TRIM(H33&amp;""))),"⚠"&amp;TRIM(H33&amp;""))</f>
        <v/>
      </c>
      <c r="Q33" s="10">
        <f>IFERROR(IF(TRIM(I33&amp;"")="","",IF(AND(ISNUMBER(FIND(" ",TRIM(I33&amp;""))),ISNUMBER(MATCH(LEFT(TRIM(I33&amp;""),FIND(" ",TRIM(I33&amp;""))-1),설정_코드표!$J$2:$J$101,0)),ISNUMBER(MATCH(TRIM(RIGHT(SUBSTITUTE(TRIM(I33&amp;"")," ",REPT(" ",60)),60)),설정_코드표!$F$2:$F$101,0))),INDEX(설정_코드표!$K$2:$K$101,MATCH(LEFT(TRIM(I33&amp;""),FIND(" ",TRIM(I33&amp;""))-1),설정_코드표!$J$2:$J$101,0))&amp;" "&amp;INDEX(설정_코드표!$G$2:$G$101,MATCH(TRIM(RIGHT(SUBSTITUTE(TRIM(I33&amp;"")," ",REPT(" ",60)),60)),설정_코드표!$F$2:$F$101,0)),"⚠"&amp;TRIM(I33&amp;""))),"⚠"&amp;TRIM(I33&amp;""))</f>
        <v/>
      </c>
      <c r="R33" s="10">
        <f>IFERROR(IF(TRIM(J33&amp;"")="","",IF(AND(ISNUMBER(FIND(" ",TRIM(J33&amp;""))),ISNUMBER(MATCH(LEFT(TRIM(J33&amp;""),FIND(" ",TRIM(J33&amp;""))-1),설정_코드표!$J$2:$J$101,0)),ISNUMBER(MATCH(TRIM(RIGHT(SUBSTITUTE(TRIM(J33&amp;"")," ",REPT(" ",60)),60)),설정_코드표!$F$2:$F$101,0))),INDEX(설정_코드표!$K$2:$K$101,MATCH(LEFT(TRIM(J33&amp;""),FIND(" ",TRIM(J33&amp;""))-1),설정_코드표!$J$2:$J$101,0))&amp;" "&amp;INDEX(설정_코드표!$G$2:$G$101,MATCH(TRIM(RIGHT(SUBSTITUTE(TRIM(J33&amp;"")," ",REPT(" ",60)),60)),설정_코드표!$F$2:$F$101,0)),"⚠"&amp;TRIM(J33&amp;""))),"⚠"&amp;TRIM(J33&amp;""))</f>
        <v/>
      </c>
      <c r="S33" s="11">
        <f>IF(K33="","",IFERROR(IF(AND(ROUND((VALUE(K33&amp;"")-INT(VALUE(K33&amp;"")))*100,0)&gt;=1,ROUND((VALUE(K33&amp;"")-INT(VALUE(K33&amp;"")))*100,0)&lt;=12,INT(VALUE(K33&amp;""))&gt;=1900),DATE(INT(VALUE(K33&amp;"")),ROUND((VALUE(K33&amp;"")-INT(VALUE(K33&amp;"")))*100,0),1),K33&amp;""),K33&amp;""))</f>
        <v/>
      </c>
      <c r="T33" s="10">
        <f>COUNTIF(M33:R33,"⚠*")</f>
        <v/>
      </c>
    </row>
    <row r="34"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M34" s="10">
        <f>IFERROR(IF(TRIM(E34&amp;"")="","",IF(AND(ISNUMBER(FIND(" ",TRIM(E34&amp;""))),ISNUMBER(MATCH(LEFT(TRIM(E34&amp;""),FIND(" ",TRIM(E34&amp;""))-1),설정_코드표!$J$2:$J$101,0)),ISNUMBER(MATCH(TRIM(RIGHT(SUBSTITUTE(TRIM(E34&amp;"")," ",REPT(" ",60)),60)),설정_코드표!$F$2:$F$101,0))),INDEX(설정_코드표!$K$2:$K$101,MATCH(LEFT(TRIM(E34&amp;""),FIND(" ",TRIM(E34&amp;""))-1),설정_코드표!$J$2:$J$101,0))&amp;" "&amp;INDEX(설정_코드표!$G$2:$G$101,MATCH(TRIM(RIGHT(SUBSTITUTE(TRIM(E34&amp;"")," ",REPT(" ",60)),60)),설정_코드표!$F$2:$F$101,0)),"⚠"&amp;TRIM(E34&amp;""))),"⚠"&amp;TRIM(E34&amp;""))</f>
        <v/>
      </c>
      <c r="N34" s="10">
        <f>IFERROR(IF(TRIM(F34&amp;"")="","",IF(AND(ISNUMBER(FIND(" ",TRIM(F34&amp;""))),ISNUMBER(MATCH(LEFT(TRIM(F34&amp;""),FIND(" ",TRIM(F34&amp;""))-1),설정_코드표!$J$2:$J$101,0)),ISNUMBER(MATCH(TRIM(RIGHT(SUBSTITUTE(TRIM(F34&amp;"")," ",REPT(" ",60)),60)),설정_코드표!$F$2:$F$101,0))),INDEX(설정_코드표!$K$2:$K$101,MATCH(LEFT(TRIM(F34&amp;""),FIND(" ",TRIM(F34&amp;""))-1),설정_코드표!$J$2:$J$101,0))&amp;" "&amp;INDEX(설정_코드표!$G$2:$G$101,MATCH(TRIM(RIGHT(SUBSTITUTE(TRIM(F34&amp;"")," ",REPT(" ",60)),60)),설정_코드표!$F$2:$F$101,0)),"⚠"&amp;TRIM(F34&amp;""))),"⚠"&amp;TRIM(F34&amp;""))</f>
        <v/>
      </c>
      <c r="O34" s="10">
        <f>IFERROR(IF(TRIM(G34&amp;"")="","",IF(AND(ISNUMBER(FIND(" ",TRIM(G34&amp;""))),ISNUMBER(MATCH(LEFT(TRIM(G34&amp;""),FIND(" ",TRIM(G34&amp;""))-1),설정_코드표!$J$2:$J$101,0)),ISNUMBER(MATCH(TRIM(RIGHT(SUBSTITUTE(TRIM(G34&amp;"")," ",REPT(" ",60)),60)),설정_코드표!$F$2:$F$101,0))),INDEX(설정_코드표!$K$2:$K$101,MATCH(LEFT(TRIM(G34&amp;""),FIND(" ",TRIM(G34&amp;""))-1),설정_코드표!$J$2:$J$101,0))&amp;" "&amp;INDEX(설정_코드표!$G$2:$G$101,MATCH(TRIM(RIGHT(SUBSTITUTE(TRIM(G34&amp;"")," ",REPT(" ",60)),60)),설정_코드표!$F$2:$F$101,0)),"⚠"&amp;TRIM(G34&amp;""))),"⚠"&amp;TRIM(G34&amp;""))</f>
        <v/>
      </c>
      <c r="P34" s="10">
        <f>IFERROR(IF(TRIM(H34&amp;"")="","",IF(AND(ISNUMBER(FIND(" ",TRIM(H34&amp;""))),ISNUMBER(MATCH(LEFT(TRIM(H34&amp;""),FIND(" ",TRIM(H34&amp;""))-1),설정_코드표!$J$2:$J$101,0)),ISNUMBER(MATCH(TRIM(RIGHT(SUBSTITUTE(TRIM(H34&amp;"")," ",REPT(" ",60)),60)),설정_코드표!$F$2:$F$101,0))),INDEX(설정_코드표!$K$2:$K$101,MATCH(LEFT(TRIM(H34&amp;""),FIND(" ",TRIM(H34&amp;""))-1),설정_코드표!$J$2:$J$101,0))&amp;" "&amp;INDEX(설정_코드표!$G$2:$G$101,MATCH(TRIM(RIGHT(SUBSTITUTE(TRIM(H34&amp;"")," ",REPT(" ",60)),60)),설정_코드표!$F$2:$F$101,0)),"⚠"&amp;TRIM(H34&amp;""))),"⚠"&amp;TRIM(H34&amp;""))</f>
        <v/>
      </c>
      <c r="Q34" s="10">
        <f>IFERROR(IF(TRIM(I34&amp;"")="","",IF(AND(ISNUMBER(FIND(" ",TRIM(I34&amp;""))),ISNUMBER(MATCH(LEFT(TRIM(I34&amp;""),FIND(" ",TRIM(I34&amp;""))-1),설정_코드표!$J$2:$J$101,0)),ISNUMBER(MATCH(TRIM(RIGHT(SUBSTITUTE(TRIM(I34&amp;"")," ",REPT(" ",60)),60)),설정_코드표!$F$2:$F$101,0))),INDEX(설정_코드표!$K$2:$K$101,MATCH(LEFT(TRIM(I34&amp;""),FIND(" ",TRIM(I34&amp;""))-1),설정_코드표!$J$2:$J$101,0))&amp;" "&amp;INDEX(설정_코드표!$G$2:$G$101,MATCH(TRIM(RIGHT(SUBSTITUTE(TRIM(I34&amp;"")," ",REPT(" ",60)),60)),설정_코드표!$F$2:$F$101,0)),"⚠"&amp;TRIM(I34&amp;""))),"⚠"&amp;TRIM(I34&amp;""))</f>
        <v/>
      </c>
      <c r="R34" s="10">
        <f>IFERROR(IF(TRIM(J34&amp;"")="","",IF(AND(ISNUMBER(FIND(" ",TRIM(J34&amp;""))),ISNUMBER(MATCH(LEFT(TRIM(J34&amp;""),FIND(" ",TRIM(J34&amp;""))-1),설정_코드표!$J$2:$J$101,0)),ISNUMBER(MATCH(TRIM(RIGHT(SUBSTITUTE(TRIM(J34&amp;"")," ",REPT(" ",60)),60)),설정_코드표!$F$2:$F$101,0))),INDEX(설정_코드표!$K$2:$K$101,MATCH(LEFT(TRIM(J34&amp;""),FIND(" ",TRIM(J34&amp;""))-1),설정_코드표!$J$2:$J$101,0))&amp;" "&amp;INDEX(설정_코드표!$G$2:$G$101,MATCH(TRIM(RIGHT(SUBSTITUTE(TRIM(J34&amp;"")," ",REPT(" ",60)),60)),설정_코드표!$F$2:$F$101,0)),"⚠"&amp;TRIM(J34&amp;""))),"⚠"&amp;TRIM(J34&amp;""))</f>
        <v/>
      </c>
      <c r="S34" s="11">
        <f>IF(K34="","",IFERROR(IF(AND(ROUND((VALUE(K34&amp;"")-INT(VALUE(K34&amp;"")))*100,0)&gt;=1,ROUND((VALUE(K34&amp;"")-INT(VALUE(K34&amp;"")))*100,0)&lt;=12,INT(VALUE(K34&amp;""))&gt;=1900),DATE(INT(VALUE(K34&amp;"")),ROUND((VALUE(K34&amp;"")-INT(VALUE(K34&amp;"")))*100,0),1),K34&amp;""),K34&amp;""))</f>
        <v/>
      </c>
      <c r="T34" s="10">
        <f>COUNTIF(M34:R34,"⚠*")</f>
        <v/>
      </c>
    </row>
    <row r="35"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M35" s="10">
        <f>IFERROR(IF(TRIM(E35&amp;"")="","",IF(AND(ISNUMBER(FIND(" ",TRIM(E35&amp;""))),ISNUMBER(MATCH(LEFT(TRIM(E35&amp;""),FIND(" ",TRIM(E35&amp;""))-1),설정_코드표!$J$2:$J$101,0)),ISNUMBER(MATCH(TRIM(RIGHT(SUBSTITUTE(TRIM(E35&amp;"")," ",REPT(" ",60)),60)),설정_코드표!$F$2:$F$101,0))),INDEX(설정_코드표!$K$2:$K$101,MATCH(LEFT(TRIM(E35&amp;""),FIND(" ",TRIM(E35&amp;""))-1),설정_코드표!$J$2:$J$101,0))&amp;" "&amp;INDEX(설정_코드표!$G$2:$G$101,MATCH(TRIM(RIGHT(SUBSTITUTE(TRIM(E35&amp;"")," ",REPT(" ",60)),60)),설정_코드표!$F$2:$F$101,0)),"⚠"&amp;TRIM(E35&amp;""))),"⚠"&amp;TRIM(E35&amp;""))</f>
        <v/>
      </c>
      <c r="N35" s="10">
        <f>IFERROR(IF(TRIM(F35&amp;"")="","",IF(AND(ISNUMBER(FIND(" ",TRIM(F35&amp;""))),ISNUMBER(MATCH(LEFT(TRIM(F35&amp;""),FIND(" ",TRIM(F35&amp;""))-1),설정_코드표!$J$2:$J$101,0)),ISNUMBER(MATCH(TRIM(RIGHT(SUBSTITUTE(TRIM(F35&amp;"")," ",REPT(" ",60)),60)),설정_코드표!$F$2:$F$101,0))),INDEX(설정_코드표!$K$2:$K$101,MATCH(LEFT(TRIM(F35&amp;""),FIND(" ",TRIM(F35&amp;""))-1),설정_코드표!$J$2:$J$101,0))&amp;" "&amp;INDEX(설정_코드표!$G$2:$G$101,MATCH(TRIM(RIGHT(SUBSTITUTE(TRIM(F35&amp;"")," ",REPT(" ",60)),60)),설정_코드표!$F$2:$F$101,0)),"⚠"&amp;TRIM(F35&amp;""))),"⚠"&amp;TRIM(F35&amp;""))</f>
        <v/>
      </c>
      <c r="O35" s="10">
        <f>IFERROR(IF(TRIM(G35&amp;"")="","",IF(AND(ISNUMBER(FIND(" ",TRIM(G35&amp;""))),ISNUMBER(MATCH(LEFT(TRIM(G35&amp;""),FIND(" ",TRIM(G35&amp;""))-1),설정_코드표!$J$2:$J$101,0)),ISNUMBER(MATCH(TRIM(RIGHT(SUBSTITUTE(TRIM(G35&amp;"")," ",REPT(" ",60)),60)),설정_코드표!$F$2:$F$101,0))),INDEX(설정_코드표!$K$2:$K$101,MATCH(LEFT(TRIM(G35&amp;""),FIND(" ",TRIM(G35&amp;""))-1),설정_코드표!$J$2:$J$101,0))&amp;" "&amp;INDEX(설정_코드표!$G$2:$G$101,MATCH(TRIM(RIGHT(SUBSTITUTE(TRIM(G35&amp;"")," ",REPT(" ",60)),60)),설정_코드표!$F$2:$F$101,0)),"⚠"&amp;TRIM(G35&amp;""))),"⚠"&amp;TRIM(G35&amp;""))</f>
        <v/>
      </c>
      <c r="P35" s="10">
        <f>IFERROR(IF(TRIM(H35&amp;"")="","",IF(AND(ISNUMBER(FIND(" ",TRIM(H35&amp;""))),ISNUMBER(MATCH(LEFT(TRIM(H35&amp;""),FIND(" ",TRIM(H35&amp;""))-1),설정_코드표!$J$2:$J$101,0)),ISNUMBER(MATCH(TRIM(RIGHT(SUBSTITUTE(TRIM(H35&amp;"")," ",REPT(" ",60)),60)),설정_코드표!$F$2:$F$101,0))),INDEX(설정_코드표!$K$2:$K$101,MATCH(LEFT(TRIM(H35&amp;""),FIND(" ",TRIM(H35&amp;""))-1),설정_코드표!$J$2:$J$101,0))&amp;" "&amp;INDEX(설정_코드표!$G$2:$G$101,MATCH(TRIM(RIGHT(SUBSTITUTE(TRIM(H35&amp;"")," ",REPT(" ",60)),60)),설정_코드표!$F$2:$F$101,0)),"⚠"&amp;TRIM(H35&amp;""))),"⚠"&amp;TRIM(H35&amp;""))</f>
        <v/>
      </c>
      <c r="Q35" s="10">
        <f>IFERROR(IF(TRIM(I35&amp;"")="","",IF(AND(ISNUMBER(FIND(" ",TRIM(I35&amp;""))),ISNUMBER(MATCH(LEFT(TRIM(I35&amp;""),FIND(" ",TRIM(I35&amp;""))-1),설정_코드표!$J$2:$J$101,0)),ISNUMBER(MATCH(TRIM(RIGHT(SUBSTITUTE(TRIM(I35&amp;"")," ",REPT(" ",60)),60)),설정_코드표!$F$2:$F$101,0))),INDEX(설정_코드표!$K$2:$K$101,MATCH(LEFT(TRIM(I35&amp;""),FIND(" ",TRIM(I35&amp;""))-1),설정_코드표!$J$2:$J$101,0))&amp;" "&amp;INDEX(설정_코드표!$G$2:$G$101,MATCH(TRIM(RIGHT(SUBSTITUTE(TRIM(I35&amp;"")," ",REPT(" ",60)),60)),설정_코드표!$F$2:$F$101,0)),"⚠"&amp;TRIM(I35&amp;""))),"⚠"&amp;TRIM(I35&amp;""))</f>
        <v/>
      </c>
      <c r="R35" s="10">
        <f>IFERROR(IF(TRIM(J35&amp;"")="","",IF(AND(ISNUMBER(FIND(" ",TRIM(J35&amp;""))),ISNUMBER(MATCH(LEFT(TRIM(J35&amp;""),FIND(" ",TRIM(J35&amp;""))-1),설정_코드표!$J$2:$J$101,0)),ISNUMBER(MATCH(TRIM(RIGHT(SUBSTITUTE(TRIM(J35&amp;"")," ",REPT(" ",60)),60)),설정_코드표!$F$2:$F$101,0))),INDEX(설정_코드표!$K$2:$K$101,MATCH(LEFT(TRIM(J35&amp;""),FIND(" ",TRIM(J35&amp;""))-1),설정_코드표!$J$2:$J$101,0))&amp;" "&amp;INDEX(설정_코드표!$G$2:$G$101,MATCH(TRIM(RIGHT(SUBSTITUTE(TRIM(J35&amp;"")," ",REPT(" ",60)),60)),설정_코드표!$F$2:$F$101,0)),"⚠"&amp;TRIM(J35&amp;""))),"⚠"&amp;TRIM(J35&amp;""))</f>
        <v/>
      </c>
      <c r="S35" s="11">
        <f>IF(K35="","",IFERROR(IF(AND(ROUND((VALUE(K35&amp;"")-INT(VALUE(K35&amp;"")))*100,0)&gt;=1,ROUND((VALUE(K35&amp;"")-INT(VALUE(K35&amp;"")))*100,0)&lt;=12,INT(VALUE(K35&amp;""))&gt;=1900),DATE(INT(VALUE(K35&amp;"")),ROUND((VALUE(K35&amp;"")-INT(VALUE(K35&amp;"")))*100,0),1),K35&amp;""),K35&amp;""))</f>
        <v/>
      </c>
      <c r="T35" s="10">
        <f>COUNTIF(M35:R35,"⚠*")</f>
        <v/>
      </c>
    </row>
    <row r="36"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M36" s="10">
        <f>IFERROR(IF(TRIM(E36&amp;"")="","",IF(AND(ISNUMBER(FIND(" ",TRIM(E36&amp;""))),ISNUMBER(MATCH(LEFT(TRIM(E36&amp;""),FIND(" ",TRIM(E36&amp;""))-1),설정_코드표!$J$2:$J$101,0)),ISNUMBER(MATCH(TRIM(RIGHT(SUBSTITUTE(TRIM(E36&amp;"")," ",REPT(" ",60)),60)),설정_코드표!$F$2:$F$101,0))),INDEX(설정_코드표!$K$2:$K$101,MATCH(LEFT(TRIM(E36&amp;""),FIND(" ",TRIM(E36&amp;""))-1),설정_코드표!$J$2:$J$101,0))&amp;" "&amp;INDEX(설정_코드표!$G$2:$G$101,MATCH(TRIM(RIGHT(SUBSTITUTE(TRIM(E36&amp;"")," ",REPT(" ",60)),60)),설정_코드표!$F$2:$F$101,0)),"⚠"&amp;TRIM(E36&amp;""))),"⚠"&amp;TRIM(E36&amp;""))</f>
        <v/>
      </c>
      <c r="N36" s="10">
        <f>IFERROR(IF(TRIM(F36&amp;"")="","",IF(AND(ISNUMBER(FIND(" ",TRIM(F36&amp;""))),ISNUMBER(MATCH(LEFT(TRIM(F36&amp;""),FIND(" ",TRIM(F36&amp;""))-1),설정_코드표!$J$2:$J$101,0)),ISNUMBER(MATCH(TRIM(RIGHT(SUBSTITUTE(TRIM(F36&amp;"")," ",REPT(" ",60)),60)),설정_코드표!$F$2:$F$101,0))),INDEX(설정_코드표!$K$2:$K$101,MATCH(LEFT(TRIM(F36&amp;""),FIND(" ",TRIM(F36&amp;""))-1),설정_코드표!$J$2:$J$101,0))&amp;" "&amp;INDEX(설정_코드표!$G$2:$G$101,MATCH(TRIM(RIGHT(SUBSTITUTE(TRIM(F36&amp;"")," ",REPT(" ",60)),60)),설정_코드표!$F$2:$F$101,0)),"⚠"&amp;TRIM(F36&amp;""))),"⚠"&amp;TRIM(F36&amp;""))</f>
        <v/>
      </c>
      <c r="O36" s="10">
        <f>IFERROR(IF(TRIM(G36&amp;"")="","",IF(AND(ISNUMBER(FIND(" ",TRIM(G36&amp;""))),ISNUMBER(MATCH(LEFT(TRIM(G36&amp;""),FIND(" ",TRIM(G36&amp;""))-1),설정_코드표!$J$2:$J$101,0)),ISNUMBER(MATCH(TRIM(RIGHT(SUBSTITUTE(TRIM(G36&amp;"")," ",REPT(" ",60)),60)),설정_코드표!$F$2:$F$101,0))),INDEX(설정_코드표!$K$2:$K$101,MATCH(LEFT(TRIM(G36&amp;""),FIND(" ",TRIM(G36&amp;""))-1),설정_코드표!$J$2:$J$101,0))&amp;" "&amp;INDEX(설정_코드표!$G$2:$G$101,MATCH(TRIM(RIGHT(SUBSTITUTE(TRIM(G36&amp;"")," ",REPT(" ",60)),60)),설정_코드표!$F$2:$F$101,0)),"⚠"&amp;TRIM(G36&amp;""))),"⚠"&amp;TRIM(G36&amp;""))</f>
        <v/>
      </c>
      <c r="P36" s="10">
        <f>IFERROR(IF(TRIM(H36&amp;"")="","",IF(AND(ISNUMBER(FIND(" ",TRIM(H36&amp;""))),ISNUMBER(MATCH(LEFT(TRIM(H36&amp;""),FIND(" ",TRIM(H36&amp;""))-1),설정_코드표!$J$2:$J$101,0)),ISNUMBER(MATCH(TRIM(RIGHT(SUBSTITUTE(TRIM(H36&amp;"")," ",REPT(" ",60)),60)),설정_코드표!$F$2:$F$101,0))),INDEX(설정_코드표!$K$2:$K$101,MATCH(LEFT(TRIM(H36&amp;""),FIND(" ",TRIM(H36&amp;""))-1),설정_코드표!$J$2:$J$101,0))&amp;" "&amp;INDEX(설정_코드표!$G$2:$G$101,MATCH(TRIM(RIGHT(SUBSTITUTE(TRIM(H36&amp;"")," ",REPT(" ",60)),60)),설정_코드표!$F$2:$F$101,0)),"⚠"&amp;TRIM(H36&amp;""))),"⚠"&amp;TRIM(H36&amp;""))</f>
        <v/>
      </c>
      <c r="Q36" s="10">
        <f>IFERROR(IF(TRIM(I36&amp;"")="","",IF(AND(ISNUMBER(FIND(" ",TRIM(I36&amp;""))),ISNUMBER(MATCH(LEFT(TRIM(I36&amp;""),FIND(" ",TRIM(I36&amp;""))-1),설정_코드표!$J$2:$J$101,0)),ISNUMBER(MATCH(TRIM(RIGHT(SUBSTITUTE(TRIM(I36&amp;"")," ",REPT(" ",60)),60)),설정_코드표!$F$2:$F$101,0))),INDEX(설정_코드표!$K$2:$K$101,MATCH(LEFT(TRIM(I36&amp;""),FIND(" ",TRIM(I36&amp;""))-1),설정_코드표!$J$2:$J$101,0))&amp;" "&amp;INDEX(설정_코드표!$G$2:$G$101,MATCH(TRIM(RIGHT(SUBSTITUTE(TRIM(I36&amp;"")," ",REPT(" ",60)),60)),설정_코드표!$F$2:$F$101,0)),"⚠"&amp;TRIM(I36&amp;""))),"⚠"&amp;TRIM(I36&amp;""))</f>
        <v/>
      </c>
      <c r="R36" s="10">
        <f>IFERROR(IF(TRIM(J36&amp;"")="","",IF(AND(ISNUMBER(FIND(" ",TRIM(J36&amp;""))),ISNUMBER(MATCH(LEFT(TRIM(J36&amp;""),FIND(" ",TRIM(J36&amp;""))-1),설정_코드표!$J$2:$J$101,0)),ISNUMBER(MATCH(TRIM(RIGHT(SUBSTITUTE(TRIM(J36&amp;"")," ",REPT(" ",60)),60)),설정_코드표!$F$2:$F$101,0))),INDEX(설정_코드표!$K$2:$K$101,MATCH(LEFT(TRIM(J36&amp;""),FIND(" ",TRIM(J36&amp;""))-1),설정_코드표!$J$2:$J$101,0))&amp;" "&amp;INDEX(설정_코드표!$G$2:$G$101,MATCH(TRIM(RIGHT(SUBSTITUTE(TRIM(J36&amp;"")," ",REPT(" ",60)),60)),설정_코드표!$F$2:$F$101,0)),"⚠"&amp;TRIM(J36&amp;""))),"⚠"&amp;TRIM(J36&amp;""))</f>
        <v/>
      </c>
      <c r="S36" s="11">
        <f>IF(K36="","",IFERROR(IF(AND(ROUND((VALUE(K36&amp;"")-INT(VALUE(K36&amp;"")))*100,0)&gt;=1,ROUND((VALUE(K36&amp;"")-INT(VALUE(K36&amp;"")))*100,0)&lt;=12,INT(VALUE(K36&amp;""))&gt;=1900),DATE(INT(VALUE(K36&amp;"")),ROUND((VALUE(K36&amp;"")-INT(VALUE(K36&amp;"")))*100,0),1),K36&amp;""),K36&amp;""))</f>
        <v/>
      </c>
      <c r="T36" s="10">
        <f>COUNTIF(M36:R36,"⚠*")</f>
        <v/>
      </c>
    </row>
    <row r="37"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M37" s="10">
        <f>IFERROR(IF(TRIM(E37&amp;"")="","",IF(AND(ISNUMBER(FIND(" ",TRIM(E37&amp;""))),ISNUMBER(MATCH(LEFT(TRIM(E37&amp;""),FIND(" ",TRIM(E37&amp;""))-1),설정_코드표!$J$2:$J$101,0)),ISNUMBER(MATCH(TRIM(RIGHT(SUBSTITUTE(TRIM(E37&amp;"")," ",REPT(" ",60)),60)),설정_코드표!$F$2:$F$101,0))),INDEX(설정_코드표!$K$2:$K$101,MATCH(LEFT(TRIM(E37&amp;""),FIND(" ",TRIM(E37&amp;""))-1),설정_코드표!$J$2:$J$101,0))&amp;" "&amp;INDEX(설정_코드표!$G$2:$G$101,MATCH(TRIM(RIGHT(SUBSTITUTE(TRIM(E37&amp;"")," ",REPT(" ",60)),60)),설정_코드표!$F$2:$F$101,0)),"⚠"&amp;TRIM(E37&amp;""))),"⚠"&amp;TRIM(E37&amp;""))</f>
        <v/>
      </c>
      <c r="N37" s="10">
        <f>IFERROR(IF(TRIM(F37&amp;"")="","",IF(AND(ISNUMBER(FIND(" ",TRIM(F37&amp;""))),ISNUMBER(MATCH(LEFT(TRIM(F37&amp;""),FIND(" ",TRIM(F37&amp;""))-1),설정_코드표!$J$2:$J$101,0)),ISNUMBER(MATCH(TRIM(RIGHT(SUBSTITUTE(TRIM(F37&amp;"")," ",REPT(" ",60)),60)),설정_코드표!$F$2:$F$101,0))),INDEX(설정_코드표!$K$2:$K$101,MATCH(LEFT(TRIM(F37&amp;""),FIND(" ",TRIM(F37&amp;""))-1),설정_코드표!$J$2:$J$101,0))&amp;" "&amp;INDEX(설정_코드표!$G$2:$G$101,MATCH(TRIM(RIGHT(SUBSTITUTE(TRIM(F37&amp;"")," ",REPT(" ",60)),60)),설정_코드표!$F$2:$F$101,0)),"⚠"&amp;TRIM(F37&amp;""))),"⚠"&amp;TRIM(F37&amp;""))</f>
        <v/>
      </c>
      <c r="O37" s="10">
        <f>IFERROR(IF(TRIM(G37&amp;"")="","",IF(AND(ISNUMBER(FIND(" ",TRIM(G37&amp;""))),ISNUMBER(MATCH(LEFT(TRIM(G37&amp;""),FIND(" ",TRIM(G37&amp;""))-1),설정_코드표!$J$2:$J$101,0)),ISNUMBER(MATCH(TRIM(RIGHT(SUBSTITUTE(TRIM(G37&amp;"")," ",REPT(" ",60)),60)),설정_코드표!$F$2:$F$101,0))),INDEX(설정_코드표!$K$2:$K$101,MATCH(LEFT(TRIM(G37&amp;""),FIND(" ",TRIM(G37&amp;""))-1),설정_코드표!$J$2:$J$101,0))&amp;" "&amp;INDEX(설정_코드표!$G$2:$G$101,MATCH(TRIM(RIGHT(SUBSTITUTE(TRIM(G37&amp;"")," ",REPT(" ",60)),60)),설정_코드표!$F$2:$F$101,0)),"⚠"&amp;TRIM(G37&amp;""))),"⚠"&amp;TRIM(G37&amp;""))</f>
        <v/>
      </c>
      <c r="P37" s="10">
        <f>IFERROR(IF(TRIM(H37&amp;"")="","",IF(AND(ISNUMBER(FIND(" ",TRIM(H37&amp;""))),ISNUMBER(MATCH(LEFT(TRIM(H37&amp;""),FIND(" ",TRIM(H37&amp;""))-1),설정_코드표!$J$2:$J$101,0)),ISNUMBER(MATCH(TRIM(RIGHT(SUBSTITUTE(TRIM(H37&amp;"")," ",REPT(" ",60)),60)),설정_코드표!$F$2:$F$101,0))),INDEX(설정_코드표!$K$2:$K$101,MATCH(LEFT(TRIM(H37&amp;""),FIND(" ",TRIM(H37&amp;""))-1),설정_코드표!$J$2:$J$101,0))&amp;" "&amp;INDEX(설정_코드표!$G$2:$G$101,MATCH(TRIM(RIGHT(SUBSTITUTE(TRIM(H37&amp;"")," ",REPT(" ",60)),60)),설정_코드표!$F$2:$F$101,0)),"⚠"&amp;TRIM(H37&amp;""))),"⚠"&amp;TRIM(H37&amp;""))</f>
        <v/>
      </c>
      <c r="Q37" s="10">
        <f>IFERROR(IF(TRIM(I37&amp;"")="","",IF(AND(ISNUMBER(FIND(" ",TRIM(I37&amp;""))),ISNUMBER(MATCH(LEFT(TRIM(I37&amp;""),FIND(" ",TRIM(I37&amp;""))-1),설정_코드표!$J$2:$J$101,0)),ISNUMBER(MATCH(TRIM(RIGHT(SUBSTITUTE(TRIM(I37&amp;"")," ",REPT(" ",60)),60)),설정_코드표!$F$2:$F$101,0))),INDEX(설정_코드표!$K$2:$K$101,MATCH(LEFT(TRIM(I37&amp;""),FIND(" ",TRIM(I37&amp;""))-1),설정_코드표!$J$2:$J$101,0))&amp;" "&amp;INDEX(설정_코드표!$G$2:$G$101,MATCH(TRIM(RIGHT(SUBSTITUTE(TRIM(I37&amp;"")," ",REPT(" ",60)),60)),설정_코드표!$F$2:$F$101,0)),"⚠"&amp;TRIM(I37&amp;""))),"⚠"&amp;TRIM(I37&amp;""))</f>
        <v/>
      </c>
      <c r="R37" s="10">
        <f>IFERROR(IF(TRIM(J37&amp;"")="","",IF(AND(ISNUMBER(FIND(" ",TRIM(J37&amp;""))),ISNUMBER(MATCH(LEFT(TRIM(J37&amp;""),FIND(" ",TRIM(J37&amp;""))-1),설정_코드표!$J$2:$J$101,0)),ISNUMBER(MATCH(TRIM(RIGHT(SUBSTITUTE(TRIM(J37&amp;"")," ",REPT(" ",60)),60)),설정_코드표!$F$2:$F$101,0))),INDEX(설정_코드표!$K$2:$K$101,MATCH(LEFT(TRIM(J37&amp;""),FIND(" ",TRIM(J37&amp;""))-1),설정_코드표!$J$2:$J$101,0))&amp;" "&amp;INDEX(설정_코드표!$G$2:$G$101,MATCH(TRIM(RIGHT(SUBSTITUTE(TRIM(J37&amp;"")," ",REPT(" ",60)),60)),설정_코드표!$F$2:$F$101,0)),"⚠"&amp;TRIM(J37&amp;""))),"⚠"&amp;TRIM(J37&amp;""))</f>
        <v/>
      </c>
      <c r="S37" s="11">
        <f>IF(K37="","",IFERROR(IF(AND(ROUND((VALUE(K37&amp;"")-INT(VALUE(K37&amp;"")))*100,0)&gt;=1,ROUND((VALUE(K37&amp;"")-INT(VALUE(K37&amp;"")))*100,0)&lt;=12,INT(VALUE(K37&amp;""))&gt;=1900),DATE(INT(VALUE(K37&amp;"")),ROUND((VALUE(K37&amp;"")-INT(VALUE(K37&amp;"")))*100,0),1),K37&amp;""),K37&amp;""))</f>
        <v/>
      </c>
      <c r="T37" s="10">
        <f>COUNTIF(M37:R37,"⚠*")</f>
        <v/>
      </c>
    </row>
    <row r="38"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M38" s="10">
        <f>IFERROR(IF(TRIM(E38&amp;"")="","",IF(AND(ISNUMBER(FIND(" ",TRIM(E38&amp;""))),ISNUMBER(MATCH(LEFT(TRIM(E38&amp;""),FIND(" ",TRIM(E38&amp;""))-1),설정_코드표!$J$2:$J$101,0)),ISNUMBER(MATCH(TRIM(RIGHT(SUBSTITUTE(TRIM(E38&amp;"")," ",REPT(" ",60)),60)),설정_코드표!$F$2:$F$101,0))),INDEX(설정_코드표!$K$2:$K$101,MATCH(LEFT(TRIM(E38&amp;""),FIND(" ",TRIM(E38&amp;""))-1),설정_코드표!$J$2:$J$101,0))&amp;" "&amp;INDEX(설정_코드표!$G$2:$G$101,MATCH(TRIM(RIGHT(SUBSTITUTE(TRIM(E38&amp;"")," ",REPT(" ",60)),60)),설정_코드표!$F$2:$F$101,0)),"⚠"&amp;TRIM(E38&amp;""))),"⚠"&amp;TRIM(E38&amp;""))</f>
        <v/>
      </c>
      <c r="N38" s="10">
        <f>IFERROR(IF(TRIM(F38&amp;"")="","",IF(AND(ISNUMBER(FIND(" ",TRIM(F38&amp;""))),ISNUMBER(MATCH(LEFT(TRIM(F38&amp;""),FIND(" ",TRIM(F38&amp;""))-1),설정_코드표!$J$2:$J$101,0)),ISNUMBER(MATCH(TRIM(RIGHT(SUBSTITUTE(TRIM(F38&amp;"")," ",REPT(" ",60)),60)),설정_코드표!$F$2:$F$101,0))),INDEX(설정_코드표!$K$2:$K$101,MATCH(LEFT(TRIM(F38&amp;""),FIND(" ",TRIM(F38&amp;""))-1),설정_코드표!$J$2:$J$101,0))&amp;" "&amp;INDEX(설정_코드표!$G$2:$G$101,MATCH(TRIM(RIGHT(SUBSTITUTE(TRIM(F38&amp;"")," ",REPT(" ",60)),60)),설정_코드표!$F$2:$F$101,0)),"⚠"&amp;TRIM(F38&amp;""))),"⚠"&amp;TRIM(F38&amp;""))</f>
        <v/>
      </c>
      <c r="O38" s="10">
        <f>IFERROR(IF(TRIM(G38&amp;"")="","",IF(AND(ISNUMBER(FIND(" ",TRIM(G38&amp;""))),ISNUMBER(MATCH(LEFT(TRIM(G38&amp;""),FIND(" ",TRIM(G38&amp;""))-1),설정_코드표!$J$2:$J$101,0)),ISNUMBER(MATCH(TRIM(RIGHT(SUBSTITUTE(TRIM(G38&amp;"")," ",REPT(" ",60)),60)),설정_코드표!$F$2:$F$101,0))),INDEX(설정_코드표!$K$2:$K$101,MATCH(LEFT(TRIM(G38&amp;""),FIND(" ",TRIM(G38&amp;""))-1),설정_코드표!$J$2:$J$101,0))&amp;" "&amp;INDEX(설정_코드표!$G$2:$G$101,MATCH(TRIM(RIGHT(SUBSTITUTE(TRIM(G38&amp;"")," ",REPT(" ",60)),60)),설정_코드표!$F$2:$F$101,0)),"⚠"&amp;TRIM(G38&amp;""))),"⚠"&amp;TRIM(G38&amp;""))</f>
        <v/>
      </c>
      <c r="P38" s="10">
        <f>IFERROR(IF(TRIM(H38&amp;"")="","",IF(AND(ISNUMBER(FIND(" ",TRIM(H38&amp;""))),ISNUMBER(MATCH(LEFT(TRIM(H38&amp;""),FIND(" ",TRIM(H38&amp;""))-1),설정_코드표!$J$2:$J$101,0)),ISNUMBER(MATCH(TRIM(RIGHT(SUBSTITUTE(TRIM(H38&amp;"")," ",REPT(" ",60)),60)),설정_코드표!$F$2:$F$101,0))),INDEX(설정_코드표!$K$2:$K$101,MATCH(LEFT(TRIM(H38&amp;""),FIND(" ",TRIM(H38&amp;""))-1),설정_코드표!$J$2:$J$101,0))&amp;" "&amp;INDEX(설정_코드표!$G$2:$G$101,MATCH(TRIM(RIGHT(SUBSTITUTE(TRIM(H38&amp;"")," ",REPT(" ",60)),60)),설정_코드표!$F$2:$F$101,0)),"⚠"&amp;TRIM(H38&amp;""))),"⚠"&amp;TRIM(H38&amp;""))</f>
        <v/>
      </c>
      <c r="Q38" s="10">
        <f>IFERROR(IF(TRIM(I38&amp;"")="","",IF(AND(ISNUMBER(FIND(" ",TRIM(I38&amp;""))),ISNUMBER(MATCH(LEFT(TRIM(I38&amp;""),FIND(" ",TRIM(I38&amp;""))-1),설정_코드표!$J$2:$J$101,0)),ISNUMBER(MATCH(TRIM(RIGHT(SUBSTITUTE(TRIM(I38&amp;"")," ",REPT(" ",60)),60)),설정_코드표!$F$2:$F$101,0))),INDEX(설정_코드표!$K$2:$K$101,MATCH(LEFT(TRIM(I38&amp;""),FIND(" ",TRIM(I38&amp;""))-1),설정_코드표!$J$2:$J$101,0))&amp;" "&amp;INDEX(설정_코드표!$G$2:$G$101,MATCH(TRIM(RIGHT(SUBSTITUTE(TRIM(I38&amp;"")," ",REPT(" ",60)),60)),설정_코드표!$F$2:$F$101,0)),"⚠"&amp;TRIM(I38&amp;""))),"⚠"&amp;TRIM(I38&amp;""))</f>
        <v/>
      </c>
      <c r="R38" s="10">
        <f>IFERROR(IF(TRIM(J38&amp;"")="","",IF(AND(ISNUMBER(FIND(" ",TRIM(J38&amp;""))),ISNUMBER(MATCH(LEFT(TRIM(J38&amp;""),FIND(" ",TRIM(J38&amp;""))-1),설정_코드표!$J$2:$J$101,0)),ISNUMBER(MATCH(TRIM(RIGHT(SUBSTITUTE(TRIM(J38&amp;"")," ",REPT(" ",60)),60)),설정_코드표!$F$2:$F$101,0))),INDEX(설정_코드표!$K$2:$K$101,MATCH(LEFT(TRIM(J38&amp;""),FIND(" ",TRIM(J38&amp;""))-1),설정_코드표!$J$2:$J$101,0))&amp;" "&amp;INDEX(설정_코드표!$G$2:$G$101,MATCH(TRIM(RIGHT(SUBSTITUTE(TRIM(J38&amp;"")," ",REPT(" ",60)),60)),설정_코드표!$F$2:$F$101,0)),"⚠"&amp;TRIM(J38&amp;""))),"⚠"&amp;TRIM(J38&amp;""))</f>
        <v/>
      </c>
      <c r="S38" s="11">
        <f>IF(K38="","",IFERROR(IF(AND(ROUND((VALUE(K38&amp;"")-INT(VALUE(K38&amp;"")))*100,0)&gt;=1,ROUND((VALUE(K38&amp;"")-INT(VALUE(K38&amp;"")))*100,0)&lt;=12,INT(VALUE(K38&amp;""))&gt;=1900),DATE(INT(VALUE(K38&amp;"")),ROUND((VALUE(K38&amp;"")-INT(VALUE(K38&amp;"")))*100,0),1),K38&amp;""),K38&amp;""))</f>
        <v/>
      </c>
      <c r="T38" s="10">
        <f>COUNTIF(M38:R38,"⚠*")</f>
        <v/>
      </c>
    </row>
    <row r="39"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M39" s="10">
        <f>IFERROR(IF(TRIM(E39&amp;"")="","",IF(AND(ISNUMBER(FIND(" ",TRIM(E39&amp;""))),ISNUMBER(MATCH(LEFT(TRIM(E39&amp;""),FIND(" ",TRIM(E39&amp;""))-1),설정_코드표!$J$2:$J$101,0)),ISNUMBER(MATCH(TRIM(RIGHT(SUBSTITUTE(TRIM(E39&amp;"")," ",REPT(" ",60)),60)),설정_코드표!$F$2:$F$101,0))),INDEX(설정_코드표!$K$2:$K$101,MATCH(LEFT(TRIM(E39&amp;""),FIND(" ",TRIM(E39&amp;""))-1),설정_코드표!$J$2:$J$101,0))&amp;" "&amp;INDEX(설정_코드표!$G$2:$G$101,MATCH(TRIM(RIGHT(SUBSTITUTE(TRIM(E39&amp;"")," ",REPT(" ",60)),60)),설정_코드표!$F$2:$F$101,0)),"⚠"&amp;TRIM(E39&amp;""))),"⚠"&amp;TRIM(E39&amp;""))</f>
        <v/>
      </c>
      <c r="N39" s="10">
        <f>IFERROR(IF(TRIM(F39&amp;"")="","",IF(AND(ISNUMBER(FIND(" ",TRIM(F39&amp;""))),ISNUMBER(MATCH(LEFT(TRIM(F39&amp;""),FIND(" ",TRIM(F39&amp;""))-1),설정_코드표!$J$2:$J$101,0)),ISNUMBER(MATCH(TRIM(RIGHT(SUBSTITUTE(TRIM(F39&amp;"")," ",REPT(" ",60)),60)),설정_코드표!$F$2:$F$101,0))),INDEX(설정_코드표!$K$2:$K$101,MATCH(LEFT(TRIM(F39&amp;""),FIND(" ",TRIM(F39&amp;""))-1),설정_코드표!$J$2:$J$101,0))&amp;" "&amp;INDEX(설정_코드표!$G$2:$G$101,MATCH(TRIM(RIGHT(SUBSTITUTE(TRIM(F39&amp;"")," ",REPT(" ",60)),60)),설정_코드표!$F$2:$F$101,0)),"⚠"&amp;TRIM(F39&amp;""))),"⚠"&amp;TRIM(F39&amp;""))</f>
        <v/>
      </c>
      <c r="O39" s="10">
        <f>IFERROR(IF(TRIM(G39&amp;"")="","",IF(AND(ISNUMBER(FIND(" ",TRIM(G39&amp;""))),ISNUMBER(MATCH(LEFT(TRIM(G39&amp;""),FIND(" ",TRIM(G39&amp;""))-1),설정_코드표!$J$2:$J$101,0)),ISNUMBER(MATCH(TRIM(RIGHT(SUBSTITUTE(TRIM(G39&amp;"")," ",REPT(" ",60)),60)),설정_코드표!$F$2:$F$101,0))),INDEX(설정_코드표!$K$2:$K$101,MATCH(LEFT(TRIM(G39&amp;""),FIND(" ",TRIM(G39&amp;""))-1),설정_코드표!$J$2:$J$101,0))&amp;" "&amp;INDEX(설정_코드표!$G$2:$G$101,MATCH(TRIM(RIGHT(SUBSTITUTE(TRIM(G39&amp;"")," ",REPT(" ",60)),60)),설정_코드표!$F$2:$F$101,0)),"⚠"&amp;TRIM(G39&amp;""))),"⚠"&amp;TRIM(G39&amp;""))</f>
        <v/>
      </c>
      <c r="P39" s="10">
        <f>IFERROR(IF(TRIM(H39&amp;"")="","",IF(AND(ISNUMBER(FIND(" ",TRIM(H39&amp;""))),ISNUMBER(MATCH(LEFT(TRIM(H39&amp;""),FIND(" ",TRIM(H39&amp;""))-1),설정_코드표!$J$2:$J$101,0)),ISNUMBER(MATCH(TRIM(RIGHT(SUBSTITUTE(TRIM(H39&amp;"")," ",REPT(" ",60)),60)),설정_코드표!$F$2:$F$101,0))),INDEX(설정_코드표!$K$2:$K$101,MATCH(LEFT(TRIM(H39&amp;""),FIND(" ",TRIM(H39&amp;""))-1),설정_코드표!$J$2:$J$101,0))&amp;" "&amp;INDEX(설정_코드표!$G$2:$G$101,MATCH(TRIM(RIGHT(SUBSTITUTE(TRIM(H39&amp;"")," ",REPT(" ",60)),60)),설정_코드표!$F$2:$F$101,0)),"⚠"&amp;TRIM(H39&amp;""))),"⚠"&amp;TRIM(H39&amp;""))</f>
        <v/>
      </c>
      <c r="Q39" s="10">
        <f>IFERROR(IF(TRIM(I39&amp;"")="","",IF(AND(ISNUMBER(FIND(" ",TRIM(I39&amp;""))),ISNUMBER(MATCH(LEFT(TRIM(I39&amp;""),FIND(" ",TRIM(I39&amp;""))-1),설정_코드표!$J$2:$J$101,0)),ISNUMBER(MATCH(TRIM(RIGHT(SUBSTITUTE(TRIM(I39&amp;"")," ",REPT(" ",60)),60)),설정_코드표!$F$2:$F$101,0))),INDEX(설정_코드표!$K$2:$K$101,MATCH(LEFT(TRIM(I39&amp;""),FIND(" ",TRIM(I39&amp;""))-1),설정_코드표!$J$2:$J$101,0))&amp;" "&amp;INDEX(설정_코드표!$G$2:$G$101,MATCH(TRIM(RIGHT(SUBSTITUTE(TRIM(I39&amp;"")," ",REPT(" ",60)),60)),설정_코드표!$F$2:$F$101,0)),"⚠"&amp;TRIM(I39&amp;""))),"⚠"&amp;TRIM(I39&amp;""))</f>
        <v/>
      </c>
      <c r="R39" s="10">
        <f>IFERROR(IF(TRIM(J39&amp;"")="","",IF(AND(ISNUMBER(FIND(" ",TRIM(J39&amp;""))),ISNUMBER(MATCH(LEFT(TRIM(J39&amp;""),FIND(" ",TRIM(J39&amp;""))-1),설정_코드표!$J$2:$J$101,0)),ISNUMBER(MATCH(TRIM(RIGHT(SUBSTITUTE(TRIM(J39&amp;"")," ",REPT(" ",60)),60)),설정_코드표!$F$2:$F$101,0))),INDEX(설정_코드표!$K$2:$K$101,MATCH(LEFT(TRIM(J39&amp;""),FIND(" ",TRIM(J39&amp;""))-1),설정_코드표!$J$2:$J$101,0))&amp;" "&amp;INDEX(설정_코드표!$G$2:$G$101,MATCH(TRIM(RIGHT(SUBSTITUTE(TRIM(J39&amp;"")," ",REPT(" ",60)),60)),설정_코드표!$F$2:$F$101,0)),"⚠"&amp;TRIM(J39&amp;""))),"⚠"&amp;TRIM(J39&amp;""))</f>
        <v/>
      </c>
      <c r="S39" s="11">
        <f>IF(K39="","",IFERROR(IF(AND(ROUND((VALUE(K39&amp;"")-INT(VALUE(K39&amp;"")))*100,0)&gt;=1,ROUND((VALUE(K39&amp;"")-INT(VALUE(K39&amp;"")))*100,0)&lt;=12,INT(VALUE(K39&amp;""))&gt;=1900),DATE(INT(VALUE(K39&amp;"")),ROUND((VALUE(K39&amp;"")-INT(VALUE(K39&amp;"")))*100,0),1),K39&amp;""),K39&amp;""))</f>
        <v/>
      </c>
      <c r="T39" s="10">
        <f>COUNTIF(M39:R39,"⚠*")</f>
        <v/>
      </c>
    </row>
    <row r="40"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M40" s="10">
        <f>IFERROR(IF(TRIM(E40&amp;"")="","",IF(AND(ISNUMBER(FIND(" ",TRIM(E40&amp;""))),ISNUMBER(MATCH(LEFT(TRIM(E40&amp;""),FIND(" ",TRIM(E40&amp;""))-1),설정_코드표!$J$2:$J$101,0)),ISNUMBER(MATCH(TRIM(RIGHT(SUBSTITUTE(TRIM(E40&amp;"")," ",REPT(" ",60)),60)),설정_코드표!$F$2:$F$101,0))),INDEX(설정_코드표!$K$2:$K$101,MATCH(LEFT(TRIM(E40&amp;""),FIND(" ",TRIM(E40&amp;""))-1),설정_코드표!$J$2:$J$101,0))&amp;" "&amp;INDEX(설정_코드표!$G$2:$G$101,MATCH(TRIM(RIGHT(SUBSTITUTE(TRIM(E40&amp;"")," ",REPT(" ",60)),60)),설정_코드표!$F$2:$F$101,0)),"⚠"&amp;TRIM(E40&amp;""))),"⚠"&amp;TRIM(E40&amp;""))</f>
        <v/>
      </c>
      <c r="N40" s="10">
        <f>IFERROR(IF(TRIM(F40&amp;"")="","",IF(AND(ISNUMBER(FIND(" ",TRIM(F40&amp;""))),ISNUMBER(MATCH(LEFT(TRIM(F40&amp;""),FIND(" ",TRIM(F40&amp;""))-1),설정_코드표!$J$2:$J$101,0)),ISNUMBER(MATCH(TRIM(RIGHT(SUBSTITUTE(TRIM(F40&amp;"")," ",REPT(" ",60)),60)),설정_코드표!$F$2:$F$101,0))),INDEX(설정_코드표!$K$2:$K$101,MATCH(LEFT(TRIM(F40&amp;""),FIND(" ",TRIM(F40&amp;""))-1),설정_코드표!$J$2:$J$101,0))&amp;" "&amp;INDEX(설정_코드표!$G$2:$G$101,MATCH(TRIM(RIGHT(SUBSTITUTE(TRIM(F40&amp;"")," ",REPT(" ",60)),60)),설정_코드표!$F$2:$F$101,0)),"⚠"&amp;TRIM(F40&amp;""))),"⚠"&amp;TRIM(F40&amp;""))</f>
        <v/>
      </c>
      <c r="O40" s="10">
        <f>IFERROR(IF(TRIM(G40&amp;"")="","",IF(AND(ISNUMBER(FIND(" ",TRIM(G40&amp;""))),ISNUMBER(MATCH(LEFT(TRIM(G40&amp;""),FIND(" ",TRIM(G40&amp;""))-1),설정_코드표!$J$2:$J$101,0)),ISNUMBER(MATCH(TRIM(RIGHT(SUBSTITUTE(TRIM(G40&amp;"")," ",REPT(" ",60)),60)),설정_코드표!$F$2:$F$101,0))),INDEX(설정_코드표!$K$2:$K$101,MATCH(LEFT(TRIM(G40&amp;""),FIND(" ",TRIM(G40&amp;""))-1),설정_코드표!$J$2:$J$101,0))&amp;" "&amp;INDEX(설정_코드표!$G$2:$G$101,MATCH(TRIM(RIGHT(SUBSTITUTE(TRIM(G40&amp;"")," ",REPT(" ",60)),60)),설정_코드표!$F$2:$F$101,0)),"⚠"&amp;TRIM(G40&amp;""))),"⚠"&amp;TRIM(G40&amp;""))</f>
        <v/>
      </c>
      <c r="P40" s="10">
        <f>IFERROR(IF(TRIM(H40&amp;"")="","",IF(AND(ISNUMBER(FIND(" ",TRIM(H40&amp;""))),ISNUMBER(MATCH(LEFT(TRIM(H40&amp;""),FIND(" ",TRIM(H40&amp;""))-1),설정_코드표!$J$2:$J$101,0)),ISNUMBER(MATCH(TRIM(RIGHT(SUBSTITUTE(TRIM(H40&amp;"")," ",REPT(" ",60)),60)),설정_코드표!$F$2:$F$101,0))),INDEX(설정_코드표!$K$2:$K$101,MATCH(LEFT(TRIM(H40&amp;""),FIND(" ",TRIM(H40&amp;""))-1),설정_코드표!$J$2:$J$101,0))&amp;" "&amp;INDEX(설정_코드표!$G$2:$G$101,MATCH(TRIM(RIGHT(SUBSTITUTE(TRIM(H40&amp;"")," ",REPT(" ",60)),60)),설정_코드표!$F$2:$F$101,0)),"⚠"&amp;TRIM(H40&amp;""))),"⚠"&amp;TRIM(H40&amp;""))</f>
        <v/>
      </c>
      <c r="Q40" s="10">
        <f>IFERROR(IF(TRIM(I40&amp;"")="","",IF(AND(ISNUMBER(FIND(" ",TRIM(I40&amp;""))),ISNUMBER(MATCH(LEFT(TRIM(I40&amp;""),FIND(" ",TRIM(I40&amp;""))-1),설정_코드표!$J$2:$J$101,0)),ISNUMBER(MATCH(TRIM(RIGHT(SUBSTITUTE(TRIM(I40&amp;"")," ",REPT(" ",60)),60)),설정_코드표!$F$2:$F$101,0))),INDEX(설정_코드표!$K$2:$K$101,MATCH(LEFT(TRIM(I40&amp;""),FIND(" ",TRIM(I40&amp;""))-1),설정_코드표!$J$2:$J$101,0))&amp;" "&amp;INDEX(설정_코드표!$G$2:$G$101,MATCH(TRIM(RIGHT(SUBSTITUTE(TRIM(I40&amp;"")," ",REPT(" ",60)),60)),설정_코드표!$F$2:$F$101,0)),"⚠"&amp;TRIM(I40&amp;""))),"⚠"&amp;TRIM(I40&amp;""))</f>
        <v/>
      </c>
      <c r="R40" s="10">
        <f>IFERROR(IF(TRIM(J40&amp;"")="","",IF(AND(ISNUMBER(FIND(" ",TRIM(J40&amp;""))),ISNUMBER(MATCH(LEFT(TRIM(J40&amp;""),FIND(" ",TRIM(J40&amp;""))-1),설정_코드표!$J$2:$J$101,0)),ISNUMBER(MATCH(TRIM(RIGHT(SUBSTITUTE(TRIM(J40&amp;"")," ",REPT(" ",60)),60)),설정_코드표!$F$2:$F$101,0))),INDEX(설정_코드표!$K$2:$K$101,MATCH(LEFT(TRIM(J40&amp;""),FIND(" ",TRIM(J40&amp;""))-1),설정_코드표!$J$2:$J$101,0))&amp;" "&amp;INDEX(설정_코드표!$G$2:$G$101,MATCH(TRIM(RIGHT(SUBSTITUTE(TRIM(J40&amp;"")," ",REPT(" ",60)),60)),설정_코드표!$F$2:$F$101,0)),"⚠"&amp;TRIM(J40&amp;""))),"⚠"&amp;TRIM(J40&amp;""))</f>
        <v/>
      </c>
      <c r="S40" s="11">
        <f>IF(K40="","",IFERROR(IF(AND(ROUND((VALUE(K40&amp;"")-INT(VALUE(K40&amp;"")))*100,0)&gt;=1,ROUND((VALUE(K40&amp;"")-INT(VALUE(K40&amp;"")))*100,0)&lt;=12,INT(VALUE(K40&amp;""))&gt;=1900),DATE(INT(VALUE(K40&amp;"")),ROUND((VALUE(K40&amp;"")-INT(VALUE(K40&amp;"")))*100,0),1),K40&amp;""),K40&amp;""))</f>
        <v/>
      </c>
      <c r="T40" s="10">
        <f>COUNTIF(M40:R40,"⚠*")</f>
        <v/>
      </c>
    </row>
    <row r="41"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M41" s="10">
        <f>IFERROR(IF(TRIM(E41&amp;"")="","",IF(AND(ISNUMBER(FIND(" ",TRIM(E41&amp;""))),ISNUMBER(MATCH(LEFT(TRIM(E41&amp;""),FIND(" ",TRIM(E41&amp;""))-1),설정_코드표!$J$2:$J$101,0)),ISNUMBER(MATCH(TRIM(RIGHT(SUBSTITUTE(TRIM(E41&amp;"")," ",REPT(" ",60)),60)),설정_코드표!$F$2:$F$101,0))),INDEX(설정_코드표!$K$2:$K$101,MATCH(LEFT(TRIM(E41&amp;""),FIND(" ",TRIM(E41&amp;""))-1),설정_코드표!$J$2:$J$101,0))&amp;" "&amp;INDEX(설정_코드표!$G$2:$G$101,MATCH(TRIM(RIGHT(SUBSTITUTE(TRIM(E41&amp;"")," ",REPT(" ",60)),60)),설정_코드표!$F$2:$F$101,0)),"⚠"&amp;TRIM(E41&amp;""))),"⚠"&amp;TRIM(E41&amp;""))</f>
        <v/>
      </c>
      <c r="N41" s="10">
        <f>IFERROR(IF(TRIM(F41&amp;"")="","",IF(AND(ISNUMBER(FIND(" ",TRIM(F41&amp;""))),ISNUMBER(MATCH(LEFT(TRIM(F41&amp;""),FIND(" ",TRIM(F41&amp;""))-1),설정_코드표!$J$2:$J$101,0)),ISNUMBER(MATCH(TRIM(RIGHT(SUBSTITUTE(TRIM(F41&amp;"")," ",REPT(" ",60)),60)),설정_코드표!$F$2:$F$101,0))),INDEX(설정_코드표!$K$2:$K$101,MATCH(LEFT(TRIM(F41&amp;""),FIND(" ",TRIM(F41&amp;""))-1),설정_코드표!$J$2:$J$101,0))&amp;" "&amp;INDEX(설정_코드표!$G$2:$G$101,MATCH(TRIM(RIGHT(SUBSTITUTE(TRIM(F41&amp;"")," ",REPT(" ",60)),60)),설정_코드표!$F$2:$F$101,0)),"⚠"&amp;TRIM(F41&amp;""))),"⚠"&amp;TRIM(F41&amp;""))</f>
        <v/>
      </c>
      <c r="O41" s="10">
        <f>IFERROR(IF(TRIM(G41&amp;"")="","",IF(AND(ISNUMBER(FIND(" ",TRIM(G41&amp;""))),ISNUMBER(MATCH(LEFT(TRIM(G41&amp;""),FIND(" ",TRIM(G41&amp;""))-1),설정_코드표!$J$2:$J$101,0)),ISNUMBER(MATCH(TRIM(RIGHT(SUBSTITUTE(TRIM(G41&amp;"")," ",REPT(" ",60)),60)),설정_코드표!$F$2:$F$101,0))),INDEX(설정_코드표!$K$2:$K$101,MATCH(LEFT(TRIM(G41&amp;""),FIND(" ",TRIM(G41&amp;""))-1),설정_코드표!$J$2:$J$101,0))&amp;" "&amp;INDEX(설정_코드표!$G$2:$G$101,MATCH(TRIM(RIGHT(SUBSTITUTE(TRIM(G41&amp;"")," ",REPT(" ",60)),60)),설정_코드표!$F$2:$F$101,0)),"⚠"&amp;TRIM(G41&amp;""))),"⚠"&amp;TRIM(G41&amp;""))</f>
        <v/>
      </c>
      <c r="P41" s="10">
        <f>IFERROR(IF(TRIM(H41&amp;"")="","",IF(AND(ISNUMBER(FIND(" ",TRIM(H41&amp;""))),ISNUMBER(MATCH(LEFT(TRIM(H41&amp;""),FIND(" ",TRIM(H41&amp;""))-1),설정_코드표!$J$2:$J$101,0)),ISNUMBER(MATCH(TRIM(RIGHT(SUBSTITUTE(TRIM(H41&amp;"")," ",REPT(" ",60)),60)),설정_코드표!$F$2:$F$101,0))),INDEX(설정_코드표!$K$2:$K$101,MATCH(LEFT(TRIM(H41&amp;""),FIND(" ",TRIM(H41&amp;""))-1),설정_코드표!$J$2:$J$101,0))&amp;" "&amp;INDEX(설정_코드표!$G$2:$G$101,MATCH(TRIM(RIGHT(SUBSTITUTE(TRIM(H41&amp;"")," ",REPT(" ",60)),60)),설정_코드표!$F$2:$F$101,0)),"⚠"&amp;TRIM(H41&amp;""))),"⚠"&amp;TRIM(H41&amp;""))</f>
        <v/>
      </c>
      <c r="Q41" s="10">
        <f>IFERROR(IF(TRIM(I41&amp;"")="","",IF(AND(ISNUMBER(FIND(" ",TRIM(I41&amp;""))),ISNUMBER(MATCH(LEFT(TRIM(I41&amp;""),FIND(" ",TRIM(I41&amp;""))-1),설정_코드표!$J$2:$J$101,0)),ISNUMBER(MATCH(TRIM(RIGHT(SUBSTITUTE(TRIM(I41&amp;"")," ",REPT(" ",60)),60)),설정_코드표!$F$2:$F$101,0))),INDEX(설정_코드표!$K$2:$K$101,MATCH(LEFT(TRIM(I41&amp;""),FIND(" ",TRIM(I41&amp;""))-1),설정_코드표!$J$2:$J$101,0))&amp;" "&amp;INDEX(설정_코드표!$G$2:$G$101,MATCH(TRIM(RIGHT(SUBSTITUTE(TRIM(I41&amp;"")," ",REPT(" ",60)),60)),설정_코드표!$F$2:$F$101,0)),"⚠"&amp;TRIM(I41&amp;""))),"⚠"&amp;TRIM(I41&amp;""))</f>
        <v/>
      </c>
      <c r="R41" s="10">
        <f>IFERROR(IF(TRIM(J41&amp;"")="","",IF(AND(ISNUMBER(FIND(" ",TRIM(J41&amp;""))),ISNUMBER(MATCH(LEFT(TRIM(J41&amp;""),FIND(" ",TRIM(J41&amp;""))-1),설정_코드표!$J$2:$J$101,0)),ISNUMBER(MATCH(TRIM(RIGHT(SUBSTITUTE(TRIM(J41&amp;"")," ",REPT(" ",60)),60)),설정_코드표!$F$2:$F$101,0))),INDEX(설정_코드표!$K$2:$K$101,MATCH(LEFT(TRIM(J41&amp;""),FIND(" ",TRIM(J41&amp;""))-1),설정_코드표!$J$2:$J$101,0))&amp;" "&amp;INDEX(설정_코드표!$G$2:$G$101,MATCH(TRIM(RIGHT(SUBSTITUTE(TRIM(J41&amp;"")," ",REPT(" ",60)),60)),설정_코드표!$F$2:$F$101,0)),"⚠"&amp;TRIM(J41&amp;""))),"⚠"&amp;TRIM(J41&amp;""))</f>
        <v/>
      </c>
      <c r="S41" s="11">
        <f>IF(K41="","",IFERROR(IF(AND(ROUND((VALUE(K41&amp;"")-INT(VALUE(K41&amp;"")))*100,0)&gt;=1,ROUND((VALUE(K41&amp;"")-INT(VALUE(K41&amp;"")))*100,0)&lt;=12,INT(VALUE(K41&amp;""))&gt;=1900),DATE(INT(VALUE(K41&amp;"")),ROUND((VALUE(K41&amp;"")-INT(VALUE(K41&amp;"")))*100,0),1),K41&amp;""),K41&amp;""))</f>
        <v/>
      </c>
      <c r="T41" s="10">
        <f>COUNTIF(M41:R41,"⚠*")</f>
        <v/>
      </c>
    </row>
    <row r="42"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M42" s="10">
        <f>IFERROR(IF(TRIM(E42&amp;"")="","",IF(AND(ISNUMBER(FIND(" ",TRIM(E42&amp;""))),ISNUMBER(MATCH(LEFT(TRIM(E42&amp;""),FIND(" ",TRIM(E42&amp;""))-1),설정_코드표!$J$2:$J$101,0)),ISNUMBER(MATCH(TRIM(RIGHT(SUBSTITUTE(TRIM(E42&amp;"")," ",REPT(" ",60)),60)),설정_코드표!$F$2:$F$101,0))),INDEX(설정_코드표!$K$2:$K$101,MATCH(LEFT(TRIM(E42&amp;""),FIND(" ",TRIM(E42&amp;""))-1),설정_코드표!$J$2:$J$101,0))&amp;" "&amp;INDEX(설정_코드표!$G$2:$G$101,MATCH(TRIM(RIGHT(SUBSTITUTE(TRIM(E42&amp;"")," ",REPT(" ",60)),60)),설정_코드표!$F$2:$F$101,0)),"⚠"&amp;TRIM(E42&amp;""))),"⚠"&amp;TRIM(E42&amp;""))</f>
        <v/>
      </c>
      <c r="N42" s="10">
        <f>IFERROR(IF(TRIM(F42&amp;"")="","",IF(AND(ISNUMBER(FIND(" ",TRIM(F42&amp;""))),ISNUMBER(MATCH(LEFT(TRIM(F42&amp;""),FIND(" ",TRIM(F42&amp;""))-1),설정_코드표!$J$2:$J$101,0)),ISNUMBER(MATCH(TRIM(RIGHT(SUBSTITUTE(TRIM(F42&amp;"")," ",REPT(" ",60)),60)),설정_코드표!$F$2:$F$101,0))),INDEX(설정_코드표!$K$2:$K$101,MATCH(LEFT(TRIM(F42&amp;""),FIND(" ",TRIM(F42&amp;""))-1),설정_코드표!$J$2:$J$101,0))&amp;" "&amp;INDEX(설정_코드표!$G$2:$G$101,MATCH(TRIM(RIGHT(SUBSTITUTE(TRIM(F42&amp;"")," ",REPT(" ",60)),60)),설정_코드표!$F$2:$F$101,0)),"⚠"&amp;TRIM(F42&amp;""))),"⚠"&amp;TRIM(F42&amp;""))</f>
        <v/>
      </c>
      <c r="O42" s="10">
        <f>IFERROR(IF(TRIM(G42&amp;"")="","",IF(AND(ISNUMBER(FIND(" ",TRIM(G42&amp;""))),ISNUMBER(MATCH(LEFT(TRIM(G42&amp;""),FIND(" ",TRIM(G42&amp;""))-1),설정_코드표!$J$2:$J$101,0)),ISNUMBER(MATCH(TRIM(RIGHT(SUBSTITUTE(TRIM(G42&amp;"")," ",REPT(" ",60)),60)),설정_코드표!$F$2:$F$101,0))),INDEX(설정_코드표!$K$2:$K$101,MATCH(LEFT(TRIM(G42&amp;""),FIND(" ",TRIM(G42&amp;""))-1),설정_코드표!$J$2:$J$101,0))&amp;" "&amp;INDEX(설정_코드표!$G$2:$G$101,MATCH(TRIM(RIGHT(SUBSTITUTE(TRIM(G42&amp;"")," ",REPT(" ",60)),60)),설정_코드표!$F$2:$F$101,0)),"⚠"&amp;TRIM(G42&amp;""))),"⚠"&amp;TRIM(G42&amp;""))</f>
        <v/>
      </c>
      <c r="P42" s="10">
        <f>IFERROR(IF(TRIM(H42&amp;"")="","",IF(AND(ISNUMBER(FIND(" ",TRIM(H42&amp;""))),ISNUMBER(MATCH(LEFT(TRIM(H42&amp;""),FIND(" ",TRIM(H42&amp;""))-1),설정_코드표!$J$2:$J$101,0)),ISNUMBER(MATCH(TRIM(RIGHT(SUBSTITUTE(TRIM(H42&amp;"")," ",REPT(" ",60)),60)),설정_코드표!$F$2:$F$101,0))),INDEX(설정_코드표!$K$2:$K$101,MATCH(LEFT(TRIM(H42&amp;""),FIND(" ",TRIM(H42&amp;""))-1),설정_코드표!$J$2:$J$101,0))&amp;" "&amp;INDEX(설정_코드표!$G$2:$G$101,MATCH(TRIM(RIGHT(SUBSTITUTE(TRIM(H42&amp;"")," ",REPT(" ",60)),60)),설정_코드표!$F$2:$F$101,0)),"⚠"&amp;TRIM(H42&amp;""))),"⚠"&amp;TRIM(H42&amp;""))</f>
        <v/>
      </c>
      <c r="Q42" s="10">
        <f>IFERROR(IF(TRIM(I42&amp;"")="","",IF(AND(ISNUMBER(FIND(" ",TRIM(I42&amp;""))),ISNUMBER(MATCH(LEFT(TRIM(I42&amp;""),FIND(" ",TRIM(I42&amp;""))-1),설정_코드표!$J$2:$J$101,0)),ISNUMBER(MATCH(TRIM(RIGHT(SUBSTITUTE(TRIM(I42&amp;"")," ",REPT(" ",60)),60)),설정_코드표!$F$2:$F$101,0))),INDEX(설정_코드표!$K$2:$K$101,MATCH(LEFT(TRIM(I42&amp;""),FIND(" ",TRIM(I42&amp;""))-1),설정_코드표!$J$2:$J$101,0))&amp;" "&amp;INDEX(설정_코드표!$G$2:$G$101,MATCH(TRIM(RIGHT(SUBSTITUTE(TRIM(I42&amp;"")," ",REPT(" ",60)),60)),설정_코드표!$F$2:$F$101,0)),"⚠"&amp;TRIM(I42&amp;""))),"⚠"&amp;TRIM(I42&amp;""))</f>
        <v/>
      </c>
      <c r="R42" s="10">
        <f>IFERROR(IF(TRIM(J42&amp;"")="","",IF(AND(ISNUMBER(FIND(" ",TRIM(J42&amp;""))),ISNUMBER(MATCH(LEFT(TRIM(J42&amp;""),FIND(" ",TRIM(J42&amp;""))-1),설정_코드표!$J$2:$J$101,0)),ISNUMBER(MATCH(TRIM(RIGHT(SUBSTITUTE(TRIM(J42&amp;"")," ",REPT(" ",60)),60)),설정_코드표!$F$2:$F$101,0))),INDEX(설정_코드표!$K$2:$K$101,MATCH(LEFT(TRIM(J42&amp;""),FIND(" ",TRIM(J42&amp;""))-1),설정_코드표!$J$2:$J$101,0))&amp;" "&amp;INDEX(설정_코드표!$G$2:$G$101,MATCH(TRIM(RIGHT(SUBSTITUTE(TRIM(J42&amp;"")," ",REPT(" ",60)),60)),설정_코드표!$F$2:$F$101,0)),"⚠"&amp;TRIM(J42&amp;""))),"⚠"&amp;TRIM(J42&amp;""))</f>
        <v/>
      </c>
      <c r="S42" s="11">
        <f>IF(K42="","",IFERROR(IF(AND(ROUND((VALUE(K42&amp;"")-INT(VALUE(K42&amp;"")))*100,0)&gt;=1,ROUND((VALUE(K42&amp;"")-INT(VALUE(K42&amp;"")))*100,0)&lt;=12,INT(VALUE(K42&amp;""))&gt;=1900),DATE(INT(VALUE(K42&amp;"")),ROUND((VALUE(K42&amp;"")-INT(VALUE(K42&amp;"")))*100,0),1),K42&amp;""),K42&amp;""))</f>
        <v/>
      </c>
      <c r="T42" s="10">
        <f>COUNTIF(M42:R42,"⚠*")</f>
        <v/>
      </c>
    </row>
    <row r="43"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M43" s="10">
        <f>IFERROR(IF(TRIM(E43&amp;"")="","",IF(AND(ISNUMBER(FIND(" ",TRIM(E43&amp;""))),ISNUMBER(MATCH(LEFT(TRIM(E43&amp;""),FIND(" ",TRIM(E43&amp;""))-1),설정_코드표!$J$2:$J$101,0)),ISNUMBER(MATCH(TRIM(RIGHT(SUBSTITUTE(TRIM(E43&amp;"")," ",REPT(" ",60)),60)),설정_코드표!$F$2:$F$101,0))),INDEX(설정_코드표!$K$2:$K$101,MATCH(LEFT(TRIM(E43&amp;""),FIND(" ",TRIM(E43&amp;""))-1),설정_코드표!$J$2:$J$101,0))&amp;" "&amp;INDEX(설정_코드표!$G$2:$G$101,MATCH(TRIM(RIGHT(SUBSTITUTE(TRIM(E43&amp;"")," ",REPT(" ",60)),60)),설정_코드표!$F$2:$F$101,0)),"⚠"&amp;TRIM(E43&amp;""))),"⚠"&amp;TRIM(E43&amp;""))</f>
        <v/>
      </c>
      <c r="N43" s="10">
        <f>IFERROR(IF(TRIM(F43&amp;"")="","",IF(AND(ISNUMBER(FIND(" ",TRIM(F43&amp;""))),ISNUMBER(MATCH(LEFT(TRIM(F43&amp;""),FIND(" ",TRIM(F43&amp;""))-1),설정_코드표!$J$2:$J$101,0)),ISNUMBER(MATCH(TRIM(RIGHT(SUBSTITUTE(TRIM(F43&amp;"")," ",REPT(" ",60)),60)),설정_코드표!$F$2:$F$101,0))),INDEX(설정_코드표!$K$2:$K$101,MATCH(LEFT(TRIM(F43&amp;""),FIND(" ",TRIM(F43&amp;""))-1),설정_코드표!$J$2:$J$101,0))&amp;" "&amp;INDEX(설정_코드표!$G$2:$G$101,MATCH(TRIM(RIGHT(SUBSTITUTE(TRIM(F43&amp;"")," ",REPT(" ",60)),60)),설정_코드표!$F$2:$F$101,0)),"⚠"&amp;TRIM(F43&amp;""))),"⚠"&amp;TRIM(F43&amp;""))</f>
        <v/>
      </c>
      <c r="O43" s="10">
        <f>IFERROR(IF(TRIM(G43&amp;"")="","",IF(AND(ISNUMBER(FIND(" ",TRIM(G43&amp;""))),ISNUMBER(MATCH(LEFT(TRIM(G43&amp;""),FIND(" ",TRIM(G43&amp;""))-1),설정_코드표!$J$2:$J$101,0)),ISNUMBER(MATCH(TRIM(RIGHT(SUBSTITUTE(TRIM(G43&amp;"")," ",REPT(" ",60)),60)),설정_코드표!$F$2:$F$101,0))),INDEX(설정_코드표!$K$2:$K$101,MATCH(LEFT(TRIM(G43&amp;""),FIND(" ",TRIM(G43&amp;""))-1),설정_코드표!$J$2:$J$101,0))&amp;" "&amp;INDEX(설정_코드표!$G$2:$G$101,MATCH(TRIM(RIGHT(SUBSTITUTE(TRIM(G43&amp;"")," ",REPT(" ",60)),60)),설정_코드표!$F$2:$F$101,0)),"⚠"&amp;TRIM(G43&amp;""))),"⚠"&amp;TRIM(G43&amp;""))</f>
        <v/>
      </c>
      <c r="P43" s="10">
        <f>IFERROR(IF(TRIM(H43&amp;"")="","",IF(AND(ISNUMBER(FIND(" ",TRIM(H43&amp;""))),ISNUMBER(MATCH(LEFT(TRIM(H43&amp;""),FIND(" ",TRIM(H43&amp;""))-1),설정_코드표!$J$2:$J$101,0)),ISNUMBER(MATCH(TRIM(RIGHT(SUBSTITUTE(TRIM(H43&amp;"")," ",REPT(" ",60)),60)),설정_코드표!$F$2:$F$101,0))),INDEX(설정_코드표!$K$2:$K$101,MATCH(LEFT(TRIM(H43&amp;""),FIND(" ",TRIM(H43&amp;""))-1),설정_코드표!$J$2:$J$101,0))&amp;" "&amp;INDEX(설정_코드표!$G$2:$G$101,MATCH(TRIM(RIGHT(SUBSTITUTE(TRIM(H43&amp;"")," ",REPT(" ",60)),60)),설정_코드표!$F$2:$F$101,0)),"⚠"&amp;TRIM(H43&amp;""))),"⚠"&amp;TRIM(H43&amp;""))</f>
        <v/>
      </c>
      <c r="Q43" s="10">
        <f>IFERROR(IF(TRIM(I43&amp;"")="","",IF(AND(ISNUMBER(FIND(" ",TRIM(I43&amp;""))),ISNUMBER(MATCH(LEFT(TRIM(I43&amp;""),FIND(" ",TRIM(I43&amp;""))-1),설정_코드표!$J$2:$J$101,0)),ISNUMBER(MATCH(TRIM(RIGHT(SUBSTITUTE(TRIM(I43&amp;"")," ",REPT(" ",60)),60)),설정_코드표!$F$2:$F$101,0))),INDEX(설정_코드표!$K$2:$K$101,MATCH(LEFT(TRIM(I43&amp;""),FIND(" ",TRIM(I43&amp;""))-1),설정_코드표!$J$2:$J$101,0))&amp;" "&amp;INDEX(설정_코드표!$G$2:$G$101,MATCH(TRIM(RIGHT(SUBSTITUTE(TRIM(I43&amp;"")," ",REPT(" ",60)),60)),설정_코드표!$F$2:$F$101,0)),"⚠"&amp;TRIM(I43&amp;""))),"⚠"&amp;TRIM(I43&amp;""))</f>
        <v/>
      </c>
      <c r="R43" s="10">
        <f>IFERROR(IF(TRIM(J43&amp;"")="","",IF(AND(ISNUMBER(FIND(" ",TRIM(J43&amp;""))),ISNUMBER(MATCH(LEFT(TRIM(J43&amp;""),FIND(" ",TRIM(J43&amp;""))-1),설정_코드표!$J$2:$J$101,0)),ISNUMBER(MATCH(TRIM(RIGHT(SUBSTITUTE(TRIM(J43&amp;"")," ",REPT(" ",60)),60)),설정_코드표!$F$2:$F$101,0))),INDEX(설정_코드표!$K$2:$K$101,MATCH(LEFT(TRIM(J43&amp;""),FIND(" ",TRIM(J43&amp;""))-1),설정_코드표!$J$2:$J$101,0))&amp;" "&amp;INDEX(설정_코드표!$G$2:$G$101,MATCH(TRIM(RIGHT(SUBSTITUTE(TRIM(J43&amp;"")," ",REPT(" ",60)),60)),설정_코드표!$F$2:$F$101,0)),"⚠"&amp;TRIM(J43&amp;""))),"⚠"&amp;TRIM(J43&amp;""))</f>
        <v/>
      </c>
      <c r="S43" s="11">
        <f>IF(K43="","",IFERROR(IF(AND(ROUND((VALUE(K43&amp;"")-INT(VALUE(K43&amp;"")))*100,0)&gt;=1,ROUND((VALUE(K43&amp;"")-INT(VALUE(K43&amp;"")))*100,0)&lt;=12,INT(VALUE(K43&amp;""))&gt;=1900),DATE(INT(VALUE(K43&amp;"")),ROUND((VALUE(K43&amp;"")-INT(VALUE(K43&amp;"")))*100,0),1),K43&amp;""),K43&amp;""))</f>
        <v/>
      </c>
      <c r="T43" s="10">
        <f>COUNTIF(M43:R43,"⚠*")</f>
        <v/>
      </c>
    </row>
    <row r="44"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M44" s="10">
        <f>IFERROR(IF(TRIM(E44&amp;"")="","",IF(AND(ISNUMBER(FIND(" ",TRIM(E44&amp;""))),ISNUMBER(MATCH(LEFT(TRIM(E44&amp;""),FIND(" ",TRIM(E44&amp;""))-1),설정_코드표!$J$2:$J$101,0)),ISNUMBER(MATCH(TRIM(RIGHT(SUBSTITUTE(TRIM(E44&amp;"")," ",REPT(" ",60)),60)),설정_코드표!$F$2:$F$101,0))),INDEX(설정_코드표!$K$2:$K$101,MATCH(LEFT(TRIM(E44&amp;""),FIND(" ",TRIM(E44&amp;""))-1),설정_코드표!$J$2:$J$101,0))&amp;" "&amp;INDEX(설정_코드표!$G$2:$G$101,MATCH(TRIM(RIGHT(SUBSTITUTE(TRIM(E44&amp;"")," ",REPT(" ",60)),60)),설정_코드표!$F$2:$F$101,0)),"⚠"&amp;TRIM(E44&amp;""))),"⚠"&amp;TRIM(E44&amp;""))</f>
        <v/>
      </c>
      <c r="N44" s="10">
        <f>IFERROR(IF(TRIM(F44&amp;"")="","",IF(AND(ISNUMBER(FIND(" ",TRIM(F44&amp;""))),ISNUMBER(MATCH(LEFT(TRIM(F44&amp;""),FIND(" ",TRIM(F44&amp;""))-1),설정_코드표!$J$2:$J$101,0)),ISNUMBER(MATCH(TRIM(RIGHT(SUBSTITUTE(TRIM(F44&amp;"")," ",REPT(" ",60)),60)),설정_코드표!$F$2:$F$101,0))),INDEX(설정_코드표!$K$2:$K$101,MATCH(LEFT(TRIM(F44&amp;""),FIND(" ",TRIM(F44&amp;""))-1),설정_코드표!$J$2:$J$101,0))&amp;" "&amp;INDEX(설정_코드표!$G$2:$G$101,MATCH(TRIM(RIGHT(SUBSTITUTE(TRIM(F44&amp;"")," ",REPT(" ",60)),60)),설정_코드표!$F$2:$F$101,0)),"⚠"&amp;TRIM(F44&amp;""))),"⚠"&amp;TRIM(F44&amp;""))</f>
        <v/>
      </c>
      <c r="O44" s="10">
        <f>IFERROR(IF(TRIM(G44&amp;"")="","",IF(AND(ISNUMBER(FIND(" ",TRIM(G44&amp;""))),ISNUMBER(MATCH(LEFT(TRIM(G44&amp;""),FIND(" ",TRIM(G44&amp;""))-1),설정_코드표!$J$2:$J$101,0)),ISNUMBER(MATCH(TRIM(RIGHT(SUBSTITUTE(TRIM(G44&amp;"")," ",REPT(" ",60)),60)),설정_코드표!$F$2:$F$101,0))),INDEX(설정_코드표!$K$2:$K$101,MATCH(LEFT(TRIM(G44&amp;""),FIND(" ",TRIM(G44&amp;""))-1),설정_코드표!$J$2:$J$101,0))&amp;" "&amp;INDEX(설정_코드표!$G$2:$G$101,MATCH(TRIM(RIGHT(SUBSTITUTE(TRIM(G44&amp;"")," ",REPT(" ",60)),60)),설정_코드표!$F$2:$F$101,0)),"⚠"&amp;TRIM(G44&amp;""))),"⚠"&amp;TRIM(G44&amp;""))</f>
        <v/>
      </c>
      <c r="P44" s="10">
        <f>IFERROR(IF(TRIM(H44&amp;"")="","",IF(AND(ISNUMBER(FIND(" ",TRIM(H44&amp;""))),ISNUMBER(MATCH(LEFT(TRIM(H44&amp;""),FIND(" ",TRIM(H44&amp;""))-1),설정_코드표!$J$2:$J$101,0)),ISNUMBER(MATCH(TRIM(RIGHT(SUBSTITUTE(TRIM(H44&amp;"")," ",REPT(" ",60)),60)),설정_코드표!$F$2:$F$101,0))),INDEX(설정_코드표!$K$2:$K$101,MATCH(LEFT(TRIM(H44&amp;""),FIND(" ",TRIM(H44&amp;""))-1),설정_코드표!$J$2:$J$101,0))&amp;" "&amp;INDEX(설정_코드표!$G$2:$G$101,MATCH(TRIM(RIGHT(SUBSTITUTE(TRIM(H44&amp;"")," ",REPT(" ",60)),60)),설정_코드표!$F$2:$F$101,0)),"⚠"&amp;TRIM(H44&amp;""))),"⚠"&amp;TRIM(H44&amp;""))</f>
        <v/>
      </c>
      <c r="Q44" s="10">
        <f>IFERROR(IF(TRIM(I44&amp;"")="","",IF(AND(ISNUMBER(FIND(" ",TRIM(I44&amp;""))),ISNUMBER(MATCH(LEFT(TRIM(I44&amp;""),FIND(" ",TRIM(I44&amp;""))-1),설정_코드표!$J$2:$J$101,0)),ISNUMBER(MATCH(TRIM(RIGHT(SUBSTITUTE(TRIM(I44&amp;"")," ",REPT(" ",60)),60)),설정_코드표!$F$2:$F$101,0))),INDEX(설정_코드표!$K$2:$K$101,MATCH(LEFT(TRIM(I44&amp;""),FIND(" ",TRIM(I44&amp;""))-1),설정_코드표!$J$2:$J$101,0))&amp;" "&amp;INDEX(설정_코드표!$G$2:$G$101,MATCH(TRIM(RIGHT(SUBSTITUTE(TRIM(I44&amp;"")," ",REPT(" ",60)),60)),설정_코드표!$F$2:$F$101,0)),"⚠"&amp;TRIM(I44&amp;""))),"⚠"&amp;TRIM(I44&amp;""))</f>
        <v/>
      </c>
      <c r="R44" s="10">
        <f>IFERROR(IF(TRIM(J44&amp;"")="","",IF(AND(ISNUMBER(FIND(" ",TRIM(J44&amp;""))),ISNUMBER(MATCH(LEFT(TRIM(J44&amp;""),FIND(" ",TRIM(J44&amp;""))-1),설정_코드표!$J$2:$J$101,0)),ISNUMBER(MATCH(TRIM(RIGHT(SUBSTITUTE(TRIM(J44&amp;"")," ",REPT(" ",60)),60)),설정_코드표!$F$2:$F$101,0))),INDEX(설정_코드표!$K$2:$K$101,MATCH(LEFT(TRIM(J44&amp;""),FIND(" ",TRIM(J44&amp;""))-1),설정_코드표!$J$2:$J$101,0))&amp;" "&amp;INDEX(설정_코드표!$G$2:$G$101,MATCH(TRIM(RIGHT(SUBSTITUTE(TRIM(J44&amp;"")," ",REPT(" ",60)),60)),설정_코드표!$F$2:$F$101,0)),"⚠"&amp;TRIM(J44&amp;""))),"⚠"&amp;TRIM(J44&amp;""))</f>
        <v/>
      </c>
      <c r="S44" s="11">
        <f>IF(K44="","",IFERROR(IF(AND(ROUND((VALUE(K44&amp;"")-INT(VALUE(K44&amp;"")))*100,0)&gt;=1,ROUND((VALUE(K44&amp;"")-INT(VALUE(K44&amp;"")))*100,0)&lt;=12,INT(VALUE(K44&amp;""))&gt;=1900),DATE(INT(VALUE(K44&amp;"")),ROUND((VALUE(K44&amp;"")-INT(VALUE(K44&amp;"")))*100,0),1),K44&amp;""),K44&amp;""))</f>
        <v/>
      </c>
      <c r="T44" s="10">
        <f>COUNTIF(M44:R44,"⚠*")</f>
        <v/>
      </c>
    </row>
    <row r="45"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M45" s="10">
        <f>IFERROR(IF(TRIM(E45&amp;"")="","",IF(AND(ISNUMBER(FIND(" ",TRIM(E45&amp;""))),ISNUMBER(MATCH(LEFT(TRIM(E45&amp;""),FIND(" ",TRIM(E45&amp;""))-1),설정_코드표!$J$2:$J$101,0)),ISNUMBER(MATCH(TRIM(RIGHT(SUBSTITUTE(TRIM(E45&amp;"")," ",REPT(" ",60)),60)),설정_코드표!$F$2:$F$101,0))),INDEX(설정_코드표!$K$2:$K$101,MATCH(LEFT(TRIM(E45&amp;""),FIND(" ",TRIM(E45&amp;""))-1),설정_코드표!$J$2:$J$101,0))&amp;" "&amp;INDEX(설정_코드표!$G$2:$G$101,MATCH(TRIM(RIGHT(SUBSTITUTE(TRIM(E45&amp;"")," ",REPT(" ",60)),60)),설정_코드표!$F$2:$F$101,0)),"⚠"&amp;TRIM(E45&amp;""))),"⚠"&amp;TRIM(E45&amp;""))</f>
        <v/>
      </c>
      <c r="N45" s="10">
        <f>IFERROR(IF(TRIM(F45&amp;"")="","",IF(AND(ISNUMBER(FIND(" ",TRIM(F45&amp;""))),ISNUMBER(MATCH(LEFT(TRIM(F45&amp;""),FIND(" ",TRIM(F45&amp;""))-1),설정_코드표!$J$2:$J$101,0)),ISNUMBER(MATCH(TRIM(RIGHT(SUBSTITUTE(TRIM(F45&amp;"")," ",REPT(" ",60)),60)),설정_코드표!$F$2:$F$101,0))),INDEX(설정_코드표!$K$2:$K$101,MATCH(LEFT(TRIM(F45&amp;""),FIND(" ",TRIM(F45&amp;""))-1),설정_코드표!$J$2:$J$101,0))&amp;" "&amp;INDEX(설정_코드표!$G$2:$G$101,MATCH(TRIM(RIGHT(SUBSTITUTE(TRIM(F45&amp;"")," ",REPT(" ",60)),60)),설정_코드표!$F$2:$F$101,0)),"⚠"&amp;TRIM(F45&amp;""))),"⚠"&amp;TRIM(F45&amp;""))</f>
        <v/>
      </c>
      <c r="O45" s="10">
        <f>IFERROR(IF(TRIM(G45&amp;"")="","",IF(AND(ISNUMBER(FIND(" ",TRIM(G45&amp;""))),ISNUMBER(MATCH(LEFT(TRIM(G45&amp;""),FIND(" ",TRIM(G45&amp;""))-1),설정_코드표!$J$2:$J$101,0)),ISNUMBER(MATCH(TRIM(RIGHT(SUBSTITUTE(TRIM(G45&amp;"")," ",REPT(" ",60)),60)),설정_코드표!$F$2:$F$101,0))),INDEX(설정_코드표!$K$2:$K$101,MATCH(LEFT(TRIM(G45&amp;""),FIND(" ",TRIM(G45&amp;""))-1),설정_코드표!$J$2:$J$101,0))&amp;" "&amp;INDEX(설정_코드표!$G$2:$G$101,MATCH(TRIM(RIGHT(SUBSTITUTE(TRIM(G45&amp;"")," ",REPT(" ",60)),60)),설정_코드표!$F$2:$F$101,0)),"⚠"&amp;TRIM(G45&amp;""))),"⚠"&amp;TRIM(G45&amp;""))</f>
        <v/>
      </c>
      <c r="P45" s="10">
        <f>IFERROR(IF(TRIM(H45&amp;"")="","",IF(AND(ISNUMBER(FIND(" ",TRIM(H45&amp;""))),ISNUMBER(MATCH(LEFT(TRIM(H45&amp;""),FIND(" ",TRIM(H45&amp;""))-1),설정_코드표!$J$2:$J$101,0)),ISNUMBER(MATCH(TRIM(RIGHT(SUBSTITUTE(TRIM(H45&amp;"")," ",REPT(" ",60)),60)),설정_코드표!$F$2:$F$101,0))),INDEX(설정_코드표!$K$2:$K$101,MATCH(LEFT(TRIM(H45&amp;""),FIND(" ",TRIM(H45&amp;""))-1),설정_코드표!$J$2:$J$101,0))&amp;" "&amp;INDEX(설정_코드표!$G$2:$G$101,MATCH(TRIM(RIGHT(SUBSTITUTE(TRIM(H45&amp;"")," ",REPT(" ",60)),60)),설정_코드표!$F$2:$F$101,0)),"⚠"&amp;TRIM(H45&amp;""))),"⚠"&amp;TRIM(H45&amp;""))</f>
        <v/>
      </c>
      <c r="Q45" s="10">
        <f>IFERROR(IF(TRIM(I45&amp;"")="","",IF(AND(ISNUMBER(FIND(" ",TRIM(I45&amp;""))),ISNUMBER(MATCH(LEFT(TRIM(I45&amp;""),FIND(" ",TRIM(I45&amp;""))-1),설정_코드표!$J$2:$J$101,0)),ISNUMBER(MATCH(TRIM(RIGHT(SUBSTITUTE(TRIM(I45&amp;"")," ",REPT(" ",60)),60)),설정_코드표!$F$2:$F$101,0))),INDEX(설정_코드표!$K$2:$K$101,MATCH(LEFT(TRIM(I45&amp;""),FIND(" ",TRIM(I45&amp;""))-1),설정_코드표!$J$2:$J$101,0))&amp;" "&amp;INDEX(설정_코드표!$G$2:$G$101,MATCH(TRIM(RIGHT(SUBSTITUTE(TRIM(I45&amp;"")," ",REPT(" ",60)),60)),설정_코드표!$F$2:$F$101,0)),"⚠"&amp;TRIM(I45&amp;""))),"⚠"&amp;TRIM(I45&amp;""))</f>
        <v/>
      </c>
      <c r="R45" s="10">
        <f>IFERROR(IF(TRIM(J45&amp;"")="","",IF(AND(ISNUMBER(FIND(" ",TRIM(J45&amp;""))),ISNUMBER(MATCH(LEFT(TRIM(J45&amp;""),FIND(" ",TRIM(J45&amp;""))-1),설정_코드표!$J$2:$J$101,0)),ISNUMBER(MATCH(TRIM(RIGHT(SUBSTITUTE(TRIM(J45&amp;"")," ",REPT(" ",60)),60)),설정_코드표!$F$2:$F$101,0))),INDEX(설정_코드표!$K$2:$K$101,MATCH(LEFT(TRIM(J45&amp;""),FIND(" ",TRIM(J45&amp;""))-1),설정_코드표!$J$2:$J$101,0))&amp;" "&amp;INDEX(설정_코드표!$G$2:$G$101,MATCH(TRIM(RIGHT(SUBSTITUTE(TRIM(J45&amp;"")," ",REPT(" ",60)),60)),설정_코드표!$F$2:$F$101,0)),"⚠"&amp;TRIM(J45&amp;""))),"⚠"&amp;TRIM(J45&amp;""))</f>
        <v/>
      </c>
      <c r="S45" s="11">
        <f>IF(K45="","",IFERROR(IF(AND(ROUND((VALUE(K45&amp;"")-INT(VALUE(K45&amp;"")))*100,0)&gt;=1,ROUND((VALUE(K45&amp;"")-INT(VALUE(K45&amp;"")))*100,0)&lt;=12,INT(VALUE(K45&amp;""))&gt;=1900),DATE(INT(VALUE(K45&amp;"")),ROUND((VALUE(K45&amp;"")-INT(VALUE(K45&amp;"")))*100,0),1),K45&amp;""),K45&amp;""))</f>
        <v/>
      </c>
      <c r="T45" s="10">
        <f>COUNTIF(M45:R45,"⚠*")</f>
        <v/>
      </c>
    </row>
    <row r="46"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M46" s="10">
        <f>IFERROR(IF(TRIM(E46&amp;"")="","",IF(AND(ISNUMBER(FIND(" ",TRIM(E46&amp;""))),ISNUMBER(MATCH(LEFT(TRIM(E46&amp;""),FIND(" ",TRIM(E46&amp;""))-1),설정_코드표!$J$2:$J$101,0)),ISNUMBER(MATCH(TRIM(RIGHT(SUBSTITUTE(TRIM(E46&amp;"")," ",REPT(" ",60)),60)),설정_코드표!$F$2:$F$101,0))),INDEX(설정_코드표!$K$2:$K$101,MATCH(LEFT(TRIM(E46&amp;""),FIND(" ",TRIM(E46&amp;""))-1),설정_코드표!$J$2:$J$101,0))&amp;" "&amp;INDEX(설정_코드표!$G$2:$G$101,MATCH(TRIM(RIGHT(SUBSTITUTE(TRIM(E46&amp;"")," ",REPT(" ",60)),60)),설정_코드표!$F$2:$F$101,0)),"⚠"&amp;TRIM(E46&amp;""))),"⚠"&amp;TRIM(E46&amp;""))</f>
        <v/>
      </c>
      <c r="N46" s="10">
        <f>IFERROR(IF(TRIM(F46&amp;"")="","",IF(AND(ISNUMBER(FIND(" ",TRIM(F46&amp;""))),ISNUMBER(MATCH(LEFT(TRIM(F46&amp;""),FIND(" ",TRIM(F46&amp;""))-1),설정_코드표!$J$2:$J$101,0)),ISNUMBER(MATCH(TRIM(RIGHT(SUBSTITUTE(TRIM(F46&amp;"")," ",REPT(" ",60)),60)),설정_코드표!$F$2:$F$101,0))),INDEX(설정_코드표!$K$2:$K$101,MATCH(LEFT(TRIM(F46&amp;""),FIND(" ",TRIM(F46&amp;""))-1),설정_코드표!$J$2:$J$101,0))&amp;" "&amp;INDEX(설정_코드표!$G$2:$G$101,MATCH(TRIM(RIGHT(SUBSTITUTE(TRIM(F46&amp;"")," ",REPT(" ",60)),60)),설정_코드표!$F$2:$F$101,0)),"⚠"&amp;TRIM(F46&amp;""))),"⚠"&amp;TRIM(F46&amp;""))</f>
        <v/>
      </c>
      <c r="O46" s="10">
        <f>IFERROR(IF(TRIM(G46&amp;"")="","",IF(AND(ISNUMBER(FIND(" ",TRIM(G46&amp;""))),ISNUMBER(MATCH(LEFT(TRIM(G46&amp;""),FIND(" ",TRIM(G46&amp;""))-1),설정_코드표!$J$2:$J$101,0)),ISNUMBER(MATCH(TRIM(RIGHT(SUBSTITUTE(TRIM(G46&amp;"")," ",REPT(" ",60)),60)),설정_코드표!$F$2:$F$101,0))),INDEX(설정_코드표!$K$2:$K$101,MATCH(LEFT(TRIM(G46&amp;""),FIND(" ",TRIM(G46&amp;""))-1),설정_코드표!$J$2:$J$101,0))&amp;" "&amp;INDEX(설정_코드표!$G$2:$G$101,MATCH(TRIM(RIGHT(SUBSTITUTE(TRIM(G46&amp;"")," ",REPT(" ",60)),60)),설정_코드표!$F$2:$F$101,0)),"⚠"&amp;TRIM(G46&amp;""))),"⚠"&amp;TRIM(G46&amp;""))</f>
        <v/>
      </c>
      <c r="P46" s="10">
        <f>IFERROR(IF(TRIM(H46&amp;"")="","",IF(AND(ISNUMBER(FIND(" ",TRIM(H46&amp;""))),ISNUMBER(MATCH(LEFT(TRIM(H46&amp;""),FIND(" ",TRIM(H46&amp;""))-1),설정_코드표!$J$2:$J$101,0)),ISNUMBER(MATCH(TRIM(RIGHT(SUBSTITUTE(TRIM(H46&amp;"")," ",REPT(" ",60)),60)),설정_코드표!$F$2:$F$101,0))),INDEX(설정_코드표!$K$2:$K$101,MATCH(LEFT(TRIM(H46&amp;""),FIND(" ",TRIM(H46&amp;""))-1),설정_코드표!$J$2:$J$101,0))&amp;" "&amp;INDEX(설정_코드표!$G$2:$G$101,MATCH(TRIM(RIGHT(SUBSTITUTE(TRIM(H46&amp;"")," ",REPT(" ",60)),60)),설정_코드표!$F$2:$F$101,0)),"⚠"&amp;TRIM(H46&amp;""))),"⚠"&amp;TRIM(H46&amp;""))</f>
        <v/>
      </c>
      <c r="Q46" s="10">
        <f>IFERROR(IF(TRIM(I46&amp;"")="","",IF(AND(ISNUMBER(FIND(" ",TRIM(I46&amp;""))),ISNUMBER(MATCH(LEFT(TRIM(I46&amp;""),FIND(" ",TRIM(I46&amp;""))-1),설정_코드표!$J$2:$J$101,0)),ISNUMBER(MATCH(TRIM(RIGHT(SUBSTITUTE(TRIM(I46&amp;"")," ",REPT(" ",60)),60)),설정_코드표!$F$2:$F$101,0))),INDEX(설정_코드표!$K$2:$K$101,MATCH(LEFT(TRIM(I46&amp;""),FIND(" ",TRIM(I46&amp;""))-1),설정_코드표!$J$2:$J$101,0))&amp;" "&amp;INDEX(설정_코드표!$G$2:$G$101,MATCH(TRIM(RIGHT(SUBSTITUTE(TRIM(I46&amp;"")," ",REPT(" ",60)),60)),설정_코드표!$F$2:$F$101,0)),"⚠"&amp;TRIM(I46&amp;""))),"⚠"&amp;TRIM(I46&amp;""))</f>
        <v/>
      </c>
      <c r="R46" s="10">
        <f>IFERROR(IF(TRIM(J46&amp;"")="","",IF(AND(ISNUMBER(FIND(" ",TRIM(J46&amp;""))),ISNUMBER(MATCH(LEFT(TRIM(J46&amp;""),FIND(" ",TRIM(J46&amp;""))-1),설정_코드표!$J$2:$J$101,0)),ISNUMBER(MATCH(TRIM(RIGHT(SUBSTITUTE(TRIM(J46&amp;"")," ",REPT(" ",60)),60)),설정_코드표!$F$2:$F$101,0))),INDEX(설정_코드표!$K$2:$K$101,MATCH(LEFT(TRIM(J46&amp;""),FIND(" ",TRIM(J46&amp;""))-1),설정_코드표!$J$2:$J$101,0))&amp;" "&amp;INDEX(설정_코드표!$G$2:$G$101,MATCH(TRIM(RIGHT(SUBSTITUTE(TRIM(J46&amp;"")," ",REPT(" ",60)),60)),설정_코드표!$F$2:$F$101,0)),"⚠"&amp;TRIM(J46&amp;""))),"⚠"&amp;TRIM(J46&amp;""))</f>
        <v/>
      </c>
      <c r="S46" s="11">
        <f>IF(K46="","",IFERROR(IF(AND(ROUND((VALUE(K46&amp;"")-INT(VALUE(K46&amp;"")))*100,0)&gt;=1,ROUND((VALUE(K46&amp;"")-INT(VALUE(K46&amp;"")))*100,0)&lt;=12,INT(VALUE(K46&amp;""))&gt;=1900),DATE(INT(VALUE(K46&amp;"")),ROUND((VALUE(K46&amp;"")-INT(VALUE(K46&amp;"")))*100,0),1),K46&amp;""),K46&amp;""))</f>
        <v/>
      </c>
      <c r="T46" s="10">
        <f>COUNTIF(M46:R46,"⚠*")</f>
        <v/>
      </c>
    </row>
    <row r="47"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M47" s="10">
        <f>IFERROR(IF(TRIM(E47&amp;"")="","",IF(AND(ISNUMBER(FIND(" ",TRIM(E47&amp;""))),ISNUMBER(MATCH(LEFT(TRIM(E47&amp;""),FIND(" ",TRIM(E47&amp;""))-1),설정_코드표!$J$2:$J$101,0)),ISNUMBER(MATCH(TRIM(RIGHT(SUBSTITUTE(TRIM(E47&amp;"")," ",REPT(" ",60)),60)),설정_코드표!$F$2:$F$101,0))),INDEX(설정_코드표!$K$2:$K$101,MATCH(LEFT(TRIM(E47&amp;""),FIND(" ",TRIM(E47&amp;""))-1),설정_코드표!$J$2:$J$101,0))&amp;" "&amp;INDEX(설정_코드표!$G$2:$G$101,MATCH(TRIM(RIGHT(SUBSTITUTE(TRIM(E47&amp;"")," ",REPT(" ",60)),60)),설정_코드표!$F$2:$F$101,0)),"⚠"&amp;TRIM(E47&amp;""))),"⚠"&amp;TRIM(E47&amp;""))</f>
        <v/>
      </c>
      <c r="N47" s="10">
        <f>IFERROR(IF(TRIM(F47&amp;"")="","",IF(AND(ISNUMBER(FIND(" ",TRIM(F47&amp;""))),ISNUMBER(MATCH(LEFT(TRIM(F47&amp;""),FIND(" ",TRIM(F47&amp;""))-1),설정_코드표!$J$2:$J$101,0)),ISNUMBER(MATCH(TRIM(RIGHT(SUBSTITUTE(TRIM(F47&amp;"")," ",REPT(" ",60)),60)),설정_코드표!$F$2:$F$101,0))),INDEX(설정_코드표!$K$2:$K$101,MATCH(LEFT(TRIM(F47&amp;""),FIND(" ",TRIM(F47&amp;""))-1),설정_코드표!$J$2:$J$101,0))&amp;" "&amp;INDEX(설정_코드표!$G$2:$G$101,MATCH(TRIM(RIGHT(SUBSTITUTE(TRIM(F47&amp;"")," ",REPT(" ",60)),60)),설정_코드표!$F$2:$F$101,0)),"⚠"&amp;TRIM(F47&amp;""))),"⚠"&amp;TRIM(F47&amp;""))</f>
        <v/>
      </c>
      <c r="O47" s="10">
        <f>IFERROR(IF(TRIM(G47&amp;"")="","",IF(AND(ISNUMBER(FIND(" ",TRIM(G47&amp;""))),ISNUMBER(MATCH(LEFT(TRIM(G47&amp;""),FIND(" ",TRIM(G47&amp;""))-1),설정_코드표!$J$2:$J$101,0)),ISNUMBER(MATCH(TRIM(RIGHT(SUBSTITUTE(TRIM(G47&amp;"")," ",REPT(" ",60)),60)),설정_코드표!$F$2:$F$101,0))),INDEX(설정_코드표!$K$2:$K$101,MATCH(LEFT(TRIM(G47&amp;""),FIND(" ",TRIM(G47&amp;""))-1),설정_코드표!$J$2:$J$101,0))&amp;" "&amp;INDEX(설정_코드표!$G$2:$G$101,MATCH(TRIM(RIGHT(SUBSTITUTE(TRIM(G47&amp;"")," ",REPT(" ",60)),60)),설정_코드표!$F$2:$F$101,0)),"⚠"&amp;TRIM(G47&amp;""))),"⚠"&amp;TRIM(G47&amp;""))</f>
        <v/>
      </c>
      <c r="P47" s="10">
        <f>IFERROR(IF(TRIM(H47&amp;"")="","",IF(AND(ISNUMBER(FIND(" ",TRIM(H47&amp;""))),ISNUMBER(MATCH(LEFT(TRIM(H47&amp;""),FIND(" ",TRIM(H47&amp;""))-1),설정_코드표!$J$2:$J$101,0)),ISNUMBER(MATCH(TRIM(RIGHT(SUBSTITUTE(TRIM(H47&amp;"")," ",REPT(" ",60)),60)),설정_코드표!$F$2:$F$101,0))),INDEX(설정_코드표!$K$2:$K$101,MATCH(LEFT(TRIM(H47&amp;""),FIND(" ",TRIM(H47&amp;""))-1),설정_코드표!$J$2:$J$101,0))&amp;" "&amp;INDEX(설정_코드표!$G$2:$G$101,MATCH(TRIM(RIGHT(SUBSTITUTE(TRIM(H47&amp;"")," ",REPT(" ",60)),60)),설정_코드표!$F$2:$F$101,0)),"⚠"&amp;TRIM(H47&amp;""))),"⚠"&amp;TRIM(H47&amp;""))</f>
        <v/>
      </c>
      <c r="Q47" s="10">
        <f>IFERROR(IF(TRIM(I47&amp;"")="","",IF(AND(ISNUMBER(FIND(" ",TRIM(I47&amp;""))),ISNUMBER(MATCH(LEFT(TRIM(I47&amp;""),FIND(" ",TRIM(I47&amp;""))-1),설정_코드표!$J$2:$J$101,0)),ISNUMBER(MATCH(TRIM(RIGHT(SUBSTITUTE(TRIM(I47&amp;"")," ",REPT(" ",60)),60)),설정_코드표!$F$2:$F$101,0))),INDEX(설정_코드표!$K$2:$K$101,MATCH(LEFT(TRIM(I47&amp;""),FIND(" ",TRIM(I47&amp;""))-1),설정_코드표!$J$2:$J$101,0))&amp;" "&amp;INDEX(설정_코드표!$G$2:$G$101,MATCH(TRIM(RIGHT(SUBSTITUTE(TRIM(I47&amp;"")," ",REPT(" ",60)),60)),설정_코드표!$F$2:$F$101,0)),"⚠"&amp;TRIM(I47&amp;""))),"⚠"&amp;TRIM(I47&amp;""))</f>
        <v/>
      </c>
      <c r="R47" s="10">
        <f>IFERROR(IF(TRIM(J47&amp;"")="","",IF(AND(ISNUMBER(FIND(" ",TRIM(J47&amp;""))),ISNUMBER(MATCH(LEFT(TRIM(J47&amp;""),FIND(" ",TRIM(J47&amp;""))-1),설정_코드표!$J$2:$J$101,0)),ISNUMBER(MATCH(TRIM(RIGHT(SUBSTITUTE(TRIM(J47&amp;"")," ",REPT(" ",60)),60)),설정_코드표!$F$2:$F$101,0))),INDEX(설정_코드표!$K$2:$K$101,MATCH(LEFT(TRIM(J47&amp;""),FIND(" ",TRIM(J47&amp;""))-1),설정_코드표!$J$2:$J$101,0))&amp;" "&amp;INDEX(설정_코드표!$G$2:$G$101,MATCH(TRIM(RIGHT(SUBSTITUTE(TRIM(J47&amp;"")," ",REPT(" ",60)),60)),설정_코드표!$F$2:$F$101,0)),"⚠"&amp;TRIM(J47&amp;""))),"⚠"&amp;TRIM(J47&amp;""))</f>
        <v/>
      </c>
      <c r="S47" s="11">
        <f>IF(K47="","",IFERROR(IF(AND(ROUND((VALUE(K47&amp;"")-INT(VALUE(K47&amp;"")))*100,0)&gt;=1,ROUND((VALUE(K47&amp;"")-INT(VALUE(K47&amp;"")))*100,0)&lt;=12,INT(VALUE(K47&amp;""))&gt;=1900),DATE(INT(VALUE(K47&amp;"")),ROUND((VALUE(K47&amp;"")-INT(VALUE(K47&amp;"")))*100,0),1),K47&amp;""),K47&amp;""))</f>
        <v/>
      </c>
      <c r="T47" s="10">
        <f>COUNTIF(M47:R47,"⚠*")</f>
        <v/>
      </c>
    </row>
    <row r="48"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M48" s="10">
        <f>IFERROR(IF(TRIM(E48&amp;"")="","",IF(AND(ISNUMBER(FIND(" ",TRIM(E48&amp;""))),ISNUMBER(MATCH(LEFT(TRIM(E48&amp;""),FIND(" ",TRIM(E48&amp;""))-1),설정_코드표!$J$2:$J$101,0)),ISNUMBER(MATCH(TRIM(RIGHT(SUBSTITUTE(TRIM(E48&amp;"")," ",REPT(" ",60)),60)),설정_코드표!$F$2:$F$101,0))),INDEX(설정_코드표!$K$2:$K$101,MATCH(LEFT(TRIM(E48&amp;""),FIND(" ",TRIM(E48&amp;""))-1),설정_코드표!$J$2:$J$101,0))&amp;" "&amp;INDEX(설정_코드표!$G$2:$G$101,MATCH(TRIM(RIGHT(SUBSTITUTE(TRIM(E48&amp;"")," ",REPT(" ",60)),60)),설정_코드표!$F$2:$F$101,0)),"⚠"&amp;TRIM(E48&amp;""))),"⚠"&amp;TRIM(E48&amp;""))</f>
        <v/>
      </c>
      <c r="N48" s="10">
        <f>IFERROR(IF(TRIM(F48&amp;"")="","",IF(AND(ISNUMBER(FIND(" ",TRIM(F48&amp;""))),ISNUMBER(MATCH(LEFT(TRIM(F48&amp;""),FIND(" ",TRIM(F48&amp;""))-1),설정_코드표!$J$2:$J$101,0)),ISNUMBER(MATCH(TRIM(RIGHT(SUBSTITUTE(TRIM(F48&amp;"")," ",REPT(" ",60)),60)),설정_코드표!$F$2:$F$101,0))),INDEX(설정_코드표!$K$2:$K$101,MATCH(LEFT(TRIM(F48&amp;""),FIND(" ",TRIM(F48&amp;""))-1),설정_코드표!$J$2:$J$101,0))&amp;" "&amp;INDEX(설정_코드표!$G$2:$G$101,MATCH(TRIM(RIGHT(SUBSTITUTE(TRIM(F48&amp;"")," ",REPT(" ",60)),60)),설정_코드표!$F$2:$F$101,0)),"⚠"&amp;TRIM(F48&amp;""))),"⚠"&amp;TRIM(F48&amp;""))</f>
        <v/>
      </c>
      <c r="O48" s="10">
        <f>IFERROR(IF(TRIM(G48&amp;"")="","",IF(AND(ISNUMBER(FIND(" ",TRIM(G48&amp;""))),ISNUMBER(MATCH(LEFT(TRIM(G48&amp;""),FIND(" ",TRIM(G48&amp;""))-1),설정_코드표!$J$2:$J$101,0)),ISNUMBER(MATCH(TRIM(RIGHT(SUBSTITUTE(TRIM(G48&amp;"")," ",REPT(" ",60)),60)),설정_코드표!$F$2:$F$101,0))),INDEX(설정_코드표!$K$2:$K$101,MATCH(LEFT(TRIM(G48&amp;""),FIND(" ",TRIM(G48&amp;""))-1),설정_코드표!$J$2:$J$101,0))&amp;" "&amp;INDEX(설정_코드표!$G$2:$G$101,MATCH(TRIM(RIGHT(SUBSTITUTE(TRIM(G48&amp;"")," ",REPT(" ",60)),60)),설정_코드표!$F$2:$F$101,0)),"⚠"&amp;TRIM(G48&amp;""))),"⚠"&amp;TRIM(G48&amp;""))</f>
        <v/>
      </c>
      <c r="P48" s="10">
        <f>IFERROR(IF(TRIM(H48&amp;"")="","",IF(AND(ISNUMBER(FIND(" ",TRIM(H48&amp;""))),ISNUMBER(MATCH(LEFT(TRIM(H48&amp;""),FIND(" ",TRIM(H48&amp;""))-1),설정_코드표!$J$2:$J$101,0)),ISNUMBER(MATCH(TRIM(RIGHT(SUBSTITUTE(TRIM(H48&amp;"")," ",REPT(" ",60)),60)),설정_코드표!$F$2:$F$101,0))),INDEX(설정_코드표!$K$2:$K$101,MATCH(LEFT(TRIM(H48&amp;""),FIND(" ",TRIM(H48&amp;""))-1),설정_코드표!$J$2:$J$101,0))&amp;" "&amp;INDEX(설정_코드표!$G$2:$G$101,MATCH(TRIM(RIGHT(SUBSTITUTE(TRIM(H48&amp;"")," ",REPT(" ",60)),60)),설정_코드표!$F$2:$F$101,0)),"⚠"&amp;TRIM(H48&amp;""))),"⚠"&amp;TRIM(H48&amp;""))</f>
        <v/>
      </c>
      <c r="Q48" s="10">
        <f>IFERROR(IF(TRIM(I48&amp;"")="","",IF(AND(ISNUMBER(FIND(" ",TRIM(I48&amp;""))),ISNUMBER(MATCH(LEFT(TRIM(I48&amp;""),FIND(" ",TRIM(I48&amp;""))-1),설정_코드표!$J$2:$J$101,0)),ISNUMBER(MATCH(TRIM(RIGHT(SUBSTITUTE(TRIM(I48&amp;"")," ",REPT(" ",60)),60)),설정_코드표!$F$2:$F$101,0))),INDEX(설정_코드표!$K$2:$K$101,MATCH(LEFT(TRIM(I48&amp;""),FIND(" ",TRIM(I48&amp;""))-1),설정_코드표!$J$2:$J$101,0))&amp;" "&amp;INDEX(설정_코드표!$G$2:$G$101,MATCH(TRIM(RIGHT(SUBSTITUTE(TRIM(I48&amp;"")," ",REPT(" ",60)),60)),설정_코드표!$F$2:$F$101,0)),"⚠"&amp;TRIM(I48&amp;""))),"⚠"&amp;TRIM(I48&amp;""))</f>
        <v/>
      </c>
      <c r="R48" s="10">
        <f>IFERROR(IF(TRIM(J48&amp;"")="","",IF(AND(ISNUMBER(FIND(" ",TRIM(J48&amp;""))),ISNUMBER(MATCH(LEFT(TRIM(J48&amp;""),FIND(" ",TRIM(J48&amp;""))-1),설정_코드표!$J$2:$J$101,0)),ISNUMBER(MATCH(TRIM(RIGHT(SUBSTITUTE(TRIM(J48&amp;"")," ",REPT(" ",60)),60)),설정_코드표!$F$2:$F$101,0))),INDEX(설정_코드표!$K$2:$K$101,MATCH(LEFT(TRIM(J48&amp;""),FIND(" ",TRIM(J48&amp;""))-1),설정_코드표!$J$2:$J$101,0))&amp;" "&amp;INDEX(설정_코드표!$G$2:$G$101,MATCH(TRIM(RIGHT(SUBSTITUTE(TRIM(J48&amp;"")," ",REPT(" ",60)),60)),설정_코드표!$F$2:$F$101,0)),"⚠"&amp;TRIM(J48&amp;""))),"⚠"&amp;TRIM(J48&amp;""))</f>
        <v/>
      </c>
      <c r="S48" s="11">
        <f>IF(K48="","",IFERROR(IF(AND(ROUND((VALUE(K48&amp;"")-INT(VALUE(K48&amp;"")))*100,0)&gt;=1,ROUND((VALUE(K48&amp;"")-INT(VALUE(K48&amp;"")))*100,0)&lt;=12,INT(VALUE(K48&amp;""))&gt;=1900),DATE(INT(VALUE(K48&amp;"")),ROUND((VALUE(K48&amp;"")-INT(VALUE(K48&amp;"")))*100,0),1),K48&amp;""),K48&amp;""))</f>
        <v/>
      </c>
      <c r="T48" s="10">
        <f>COUNTIF(M48:R48,"⚠*")</f>
        <v/>
      </c>
    </row>
    <row r="49"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M49" s="10">
        <f>IFERROR(IF(TRIM(E49&amp;"")="","",IF(AND(ISNUMBER(FIND(" ",TRIM(E49&amp;""))),ISNUMBER(MATCH(LEFT(TRIM(E49&amp;""),FIND(" ",TRIM(E49&amp;""))-1),설정_코드표!$J$2:$J$101,0)),ISNUMBER(MATCH(TRIM(RIGHT(SUBSTITUTE(TRIM(E49&amp;"")," ",REPT(" ",60)),60)),설정_코드표!$F$2:$F$101,0))),INDEX(설정_코드표!$K$2:$K$101,MATCH(LEFT(TRIM(E49&amp;""),FIND(" ",TRIM(E49&amp;""))-1),설정_코드표!$J$2:$J$101,0))&amp;" "&amp;INDEX(설정_코드표!$G$2:$G$101,MATCH(TRIM(RIGHT(SUBSTITUTE(TRIM(E49&amp;"")," ",REPT(" ",60)),60)),설정_코드표!$F$2:$F$101,0)),"⚠"&amp;TRIM(E49&amp;""))),"⚠"&amp;TRIM(E49&amp;""))</f>
        <v/>
      </c>
      <c r="N49" s="10">
        <f>IFERROR(IF(TRIM(F49&amp;"")="","",IF(AND(ISNUMBER(FIND(" ",TRIM(F49&amp;""))),ISNUMBER(MATCH(LEFT(TRIM(F49&amp;""),FIND(" ",TRIM(F49&amp;""))-1),설정_코드표!$J$2:$J$101,0)),ISNUMBER(MATCH(TRIM(RIGHT(SUBSTITUTE(TRIM(F49&amp;"")," ",REPT(" ",60)),60)),설정_코드표!$F$2:$F$101,0))),INDEX(설정_코드표!$K$2:$K$101,MATCH(LEFT(TRIM(F49&amp;""),FIND(" ",TRIM(F49&amp;""))-1),설정_코드표!$J$2:$J$101,0))&amp;" "&amp;INDEX(설정_코드표!$G$2:$G$101,MATCH(TRIM(RIGHT(SUBSTITUTE(TRIM(F49&amp;"")," ",REPT(" ",60)),60)),설정_코드표!$F$2:$F$101,0)),"⚠"&amp;TRIM(F49&amp;""))),"⚠"&amp;TRIM(F49&amp;""))</f>
        <v/>
      </c>
      <c r="O49" s="10">
        <f>IFERROR(IF(TRIM(G49&amp;"")="","",IF(AND(ISNUMBER(FIND(" ",TRIM(G49&amp;""))),ISNUMBER(MATCH(LEFT(TRIM(G49&amp;""),FIND(" ",TRIM(G49&amp;""))-1),설정_코드표!$J$2:$J$101,0)),ISNUMBER(MATCH(TRIM(RIGHT(SUBSTITUTE(TRIM(G49&amp;"")," ",REPT(" ",60)),60)),설정_코드표!$F$2:$F$101,0))),INDEX(설정_코드표!$K$2:$K$101,MATCH(LEFT(TRIM(G49&amp;""),FIND(" ",TRIM(G49&amp;""))-1),설정_코드표!$J$2:$J$101,0))&amp;" "&amp;INDEX(설정_코드표!$G$2:$G$101,MATCH(TRIM(RIGHT(SUBSTITUTE(TRIM(G49&amp;"")," ",REPT(" ",60)),60)),설정_코드표!$F$2:$F$101,0)),"⚠"&amp;TRIM(G49&amp;""))),"⚠"&amp;TRIM(G49&amp;""))</f>
        <v/>
      </c>
      <c r="P49" s="10">
        <f>IFERROR(IF(TRIM(H49&amp;"")="","",IF(AND(ISNUMBER(FIND(" ",TRIM(H49&amp;""))),ISNUMBER(MATCH(LEFT(TRIM(H49&amp;""),FIND(" ",TRIM(H49&amp;""))-1),설정_코드표!$J$2:$J$101,0)),ISNUMBER(MATCH(TRIM(RIGHT(SUBSTITUTE(TRIM(H49&amp;"")," ",REPT(" ",60)),60)),설정_코드표!$F$2:$F$101,0))),INDEX(설정_코드표!$K$2:$K$101,MATCH(LEFT(TRIM(H49&amp;""),FIND(" ",TRIM(H49&amp;""))-1),설정_코드표!$J$2:$J$101,0))&amp;" "&amp;INDEX(설정_코드표!$G$2:$G$101,MATCH(TRIM(RIGHT(SUBSTITUTE(TRIM(H49&amp;"")," ",REPT(" ",60)),60)),설정_코드표!$F$2:$F$101,0)),"⚠"&amp;TRIM(H49&amp;""))),"⚠"&amp;TRIM(H49&amp;""))</f>
        <v/>
      </c>
      <c r="Q49" s="10">
        <f>IFERROR(IF(TRIM(I49&amp;"")="","",IF(AND(ISNUMBER(FIND(" ",TRIM(I49&amp;""))),ISNUMBER(MATCH(LEFT(TRIM(I49&amp;""),FIND(" ",TRIM(I49&amp;""))-1),설정_코드표!$J$2:$J$101,0)),ISNUMBER(MATCH(TRIM(RIGHT(SUBSTITUTE(TRIM(I49&amp;"")," ",REPT(" ",60)),60)),설정_코드표!$F$2:$F$101,0))),INDEX(설정_코드표!$K$2:$K$101,MATCH(LEFT(TRIM(I49&amp;""),FIND(" ",TRIM(I49&amp;""))-1),설정_코드표!$J$2:$J$101,0))&amp;" "&amp;INDEX(설정_코드표!$G$2:$G$101,MATCH(TRIM(RIGHT(SUBSTITUTE(TRIM(I49&amp;"")," ",REPT(" ",60)),60)),설정_코드표!$F$2:$F$101,0)),"⚠"&amp;TRIM(I49&amp;""))),"⚠"&amp;TRIM(I49&amp;""))</f>
        <v/>
      </c>
      <c r="R49" s="10">
        <f>IFERROR(IF(TRIM(J49&amp;"")="","",IF(AND(ISNUMBER(FIND(" ",TRIM(J49&amp;""))),ISNUMBER(MATCH(LEFT(TRIM(J49&amp;""),FIND(" ",TRIM(J49&amp;""))-1),설정_코드표!$J$2:$J$101,0)),ISNUMBER(MATCH(TRIM(RIGHT(SUBSTITUTE(TRIM(J49&amp;"")," ",REPT(" ",60)),60)),설정_코드표!$F$2:$F$101,0))),INDEX(설정_코드표!$K$2:$K$101,MATCH(LEFT(TRIM(J49&amp;""),FIND(" ",TRIM(J49&amp;""))-1),설정_코드표!$J$2:$J$101,0))&amp;" "&amp;INDEX(설정_코드표!$G$2:$G$101,MATCH(TRIM(RIGHT(SUBSTITUTE(TRIM(J49&amp;"")," ",REPT(" ",60)),60)),설정_코드표!$F$2:$F$101,0)),"⚠"&amp;TRIM(J49&amp;""))),"⚠"&amp;TRIM(J49&amp;""))</f>
        <v/>
      </c>
      <c r="S49" s="11">
        <f>IF(K49="","",IFERROR(IF(AND(ROUND((VALUE(K49&amp;"")-INT(VALUE(K49&amp;"")))*100,0)&gt;=1,ROUND((VALUE(K49&amp;"")-INT(VALUE(K49&amp;"")))*100,0)&lt;=12,INT(VALUE(K49&amp;""))&gt;=1900),DATE(INT(VALUE(K49&amp;"")),ROUND((VALUE(K49&amp;"")-INT(VALUE(K49&amp;"")))*100,0),1),K49&amp;""),K49&amp;""))</f>
        <v/>
      </c>
      <c r="T49" s="10">
        <f>COUNTIF(M49:R49,"⚠*")</f>
        <v/>
      </c>
    </row>
    <row r="50"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M50" s="10">
        <f>IFERROR(IF(TRIM(E50&amp;"")="","",IF(AND(ISNUMBER(FIND(" ",TRIM(E50&amp;""))),ISNUMBER(MATCH(LEFT(TRIM(E50&amp;""),FIND(" ",TRIM(E50&amp;""))-1),설정_코드표!$J$2:$J$101,0)),ISNUMBER(MATCH(TRIM(RIGHT(SUBSTITUTE(TRIM(E50&amp;"")," ",REPT(" ",60)),60)),설정_코드표!$F$2:$F$101,0))),INDEX(설정_코드표!$K$2:$K$101,MATCH(LEFT(TRIM(E50&amp;""),FIND(" ",TRIM(E50&amp;""))-1),설정_코드표!$J$2:$J$101,0))&amp;" "&amp;INDEX(설정_코드표!$G$2:$G$101,MATCH(TRIM(RIGHT(SUBSTITUTE(TRIM(E50&amp;"")," ",REPT(" ",60)),60)),설정_코드표!$F$2:$F$101,0)),"⚠"&amp;TRIM(E50&amp;""))),"⚠"&amp;TRIM(E50&amp;""))</f>
        <v/>
      </c>
      <c r="N50" s="10">
        <f>IFERROR(IF(TRIM(F50&amp;"")="","",IF(AND(ISNUMBER(FIND(" ",TRIM(F50&amp;""))),ISNUMBER(MATCH(LEFT(TRIM(F50&amp;""),FIND(" ",TRIM(F50&amp;""))-1),설정_코드표!$J$2:$J$101,0)),ISNUMBER(MATCH(TRIM(RIGHT(SUBSTITUTE(TRIM(F50&amp;"")," ",REPT(" ",60)),60)),설정_코드표!$F$2:$F$101,0))),INDEX(설정_코드표!$K$2:$K$101,MATCH(LEFT(TRIM(F50&amp;""),FIND(" ",TRIM(F50&amp;""))-1),설정_코드표!$J$2:$J$101,0))&amp;" "&amp;INDEX(설정_코드표!$G$2:$G$101,MATCH(TRIM(RIGHT(SUBSTITUTE(TRIM(F50&amp;"")," ",REPT(" ",60)),60)),설정_코드표!$F$2:$F$101,0)),"⚠"&amp;TRIM(F50&amp;""))),"⚠"&amp;TRIM(F50&amp;""))</f>
        <v/>
      </c>
      <c r="O50" s="10">
        <f>IFERROR(IF(TRIM(G50&amp;"")="","",IF(AND(ISNUMBER(FIND(" ",TRIM(G50&amp;""))),ISNUMBER(MATCH(LEFT(TRIM(G50&amp;""),FIND(" ",TRIM(G50&amp;""))-1),설정_코드표!$J$2:$J$101,0)),ISNUMBER(MATCH(TRIM(RIGHT(SUBSTITUTE(TRIM(G50&amp;"")," ",REPT(" ",60)),60)),설정_코드표!$F$2:$F$101,0))),INDEX(설정_코드표!$K$2:$K$101,MATCH(LEFT(TRIM(G50&amp;""),FIND(" ",TRIM(G50&amp;""))-1),설정_코드표!$J$2:$J$101,0))&amp;" "&amp;INDEX(설정_코드표!$G$2:$G$101,MATCH(TRIM(RIGHT(SUBSTITUTE(TRIM(G50&amp;"")," ",REPT(" ",60)),60)),설정_코드표!$F$2:$F$101,0)),"⚠"&amp;TRIM(G50&amp;""))),"⚠"&amp;TRIM(G50&amp;""))</f>
        <v/>
      </c>
      <c r="P50" s="10">
        <f>IFERROR(IF(TRIM(H50&amp;"")="","",IF(AND(ISNUMBER(FIND(" ",TRIM(H50&amp;""))),ISNUMBER(MATCH(LEFT(TRIM(H50&amp;""),FIND(" ",TRIM(H50&amp;""))-1),설정_코드표!$J$2:$J$101,0)),ISNUMBER(MATCH(TRIM(RIGHT(SUBSTITUTE(TRIM(H50&amp;"")," ",REPT(" ",60)),60)),설정_코드표!$F$2:$F$101,0))),INDEX(설정_코드표!$K$2:$K$101,MATCH(LEFT(TRIM(H50&amp;""),FIND(" ",TRIM(H50&amp;""))-1),설정_코드표!$J$2:$J$101,0))&amp;" "&amp;INDEX(설정_코드표!$G$2:$G$101,MATCH(TRIM(RIGHT(SUBSTITUTE(TRIM(H50&amp;"")," ",REPT(" ",60)),60)),설정_코드표!$F$2:$F$101,0)),"⚠"&amp;TRIM(H50&amp;""))),"⚠"&amp;TRIM(H50&amp;""))</f>
        <v/>
      </c>
      <c r="Q50" s="10">
        <f>IFERROR(IF(TRIM(I50&amp;"")="","",IF(AND(ISNUMBER(FIND(" ",TRIM(I50&amp;""))),ISNUMBER(MATCH(LEFT(TRIM(I50&amp;""),FIND(" ",TRIM(I50&amp;""))-1),설정_코드표!$J$2:$J$101,0)),ISNUMBER(MATCH(TRIM(RIGHT(SUBSTITUTE(TRIM(I50&amp;"")," ",REPT(" ",60)),60)),설정_코드표!$F$2:$F$101,0))),INDEX(설정_코드표!$K$2:$K$101,MATCH(LEFT(TRIM(I50&amp;""),FIND(" ",TRIM(I50&amp;""))-1),설정_코드표!$J$2:$J$101,0))&amp;" "&amp;INDEX(설정_코드표!$G$2:$G$101,MATCH(TRIM(RIGHT(SUBSTITUTE(TRIM(I50&amp;"")," ",REPT(" ",60)),60)),설정_코드표!$F$2:$F$101,0)),"⚠"&amp;TRIM(I50&amp;""))),"⚠"&amp;TRIM(I50&amp;""))</f>
        <v/>
      </c>
      <c r="R50" s="10">
        <f>IFERROR(IF(TRIM(J50&amp;"")="","",IF(AND(ISNUMBER(FIND(" ",TRIM(J50&amp;""))),ISNUMBER(MATCH(LEFT(TRIM(J50&amp;""),FIND(" ",TRIM(J50&amp;""))-1),설정_코드표!$J$2:$J$101,0)),ISNUMBER(MATCH(TRIM(RIGHT(SUBSTITUTE(TRIM(J50&amp;"")," ",REPT(" ",60)),60)),설정_코드표!$F$2:$F$101,0))),INDEX(설정_코드표!$K$2:$K$101,MATCH(LEFT(TRIM(J50&amp;""),FIND(" ",TRIM(J50&amp;""))-1),설정_코드표!$J$2:$J$101,0))&amp;" "&amp;INDEX(설정_코드표!$G$2:$G$101,MATCH(TRIM(RIGHT(SUBSTITUTE(TRIM(J50&amp;"")," ",REPT(" ",60)),60)),설정_코드표!$F$2:$F$101,0)),"⚠"&amp;TRIM(J50&amp;""))),"⚠"&amp;TRIM(J50&amp;""))</f>
        <v/>
      </c>
      <c r="S50" s="11">
        <f>IF(K50="","",IFERROR(IF(AND(ROUND((VALUE(K50&amp;"")-INT(VALUE(K50&amp;"")))*100,0)&gt;=1,ROUND((VALUE(K50&amp;"")-INT(VALUE(K50&amp;"")))*100,0)&lt;=12,INT(VALUE(K50&amp;""))&gt;=1900),DATE(INT(VALUE(K50&amp;"")),ROUND((VALUE(K50&amp;"")-INT(VALUE(K50&amp;"")))*100,0),1),K50&amp;""),K50&amp;""))</f>
        <v/>
      </c>
      <c r="T50" s="10">
        <f>COUNTIF(M50:R50,"⚠*")</f>
        <v/>
      </c>
    </row>
    <row r="51"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M51" s="10">
        <f>IFERROR(IF(TRIM(E51&amp;"")="","",IF(AND(ISNUMBER(FIND(" ",TRIM(E51&amp;""))),ISNUMBER(MATCH(LEFT(TRIM(E51&amp;""),FIND(" ",TRIM(E51&amp;""))-1),설정_코드표!$J$2:$J$101,0)),ISNUMBER(MATCH(TRIM(RIGHT(SUBSTITUTE(TRIM(E51&amp;"")," ",REPT(" ",60)),60)),설정_코드표!$F$2:$F$101,0))),INDEX(설정_코드표!$K$2:$K$101,MATCH(LEFT(TRIM(E51&amp;""),FIND(" ",TRIM(E51&amp;""))-1),설정_코드표!$J$2:$J$101,0))&amp;" "&amp;INDEX(설정_코드표!$G$2:$G$101,MATCH(TRIM(RIGHT(SUBSTITUTE(TRIM(E51&amp;"")," ",REPT(" ",60)),60)),설정_코드표!$F$2:$F$101,0)),"⚠"&amp;TRIM(E51&amp;""))),"⚠"&amp;TRIM(E51&amp;""))</f>
        <v/>
      </c>
      <c r="N51" s="10">
        <f>IFERROR(IF(TRIM(F51&amp;"")="","",IF(AND(ISNUMBER(FIND(" ",TRIM(F51&amp;""))),ISNUMBER(MATCH(LEFT(TRIM(F51&amp;""),FIND(" ",TRIM(F51&amp;""))-1),설정_코드표!$J$2:$J$101,0)),ISNUMBER(MATCH(TRIM(RIGHT(SUBSTITUTE(TRIM(F51&amp;"")," ",REPT(" ",60)),60)),설정_코드표!$F$2:$F$101,0))),INDEX(설정_코드표!$K$2:$K$101,MATCH(LEFT(TRIM(F51&amp;""),FIND(" ",TRIM(F51&amp;""))-1),설정_코드표!$J$2:$J$101,0))&amp;" "&amp;INDEX(설정_코드표!$G$2:$G$101,MATCH(TRIM(RIGHT(SUBSTITUTE(TRIM(F51&amp;"")," ",REPT(" ",60)),60)),설정_코드표!$F$2:$F$101,0)),"⚠"&amp;TRIM(F51&amp;""))),"⚠"&amp;TRIM(F51&amp;""))</f>
        <v/>
      </c>
      <c r="O51" s="10">
        <f>IFERROR(IF(TRIM(G51&amp;"")="","",IF(AND(ISNUMBER(FIND(" ",TRIM(G51&amp;""))),ISNUMBER(MATCH(LEFT(TRIM(G51&amp;""),FIND(" ",TRIM(G51&amp;""))-1),설정_코드표!$J$2:$J$101,0)),ISNUMBER(MATCH(TRIM(RIGHT(SUBSTITUTE(TRIM(G51&amp;"")," ",REPT(" ",60)),60)),설정_코드표!$F$2:$F$101,0))),INDEX(설정_코드표!$K$2:$K$101,MATCH(LEFT(TRIM(G51&amp;""),FIND(" ",TRIM(G51&amp;""))-1),설정_코드표!$J$2:$J$101,0))&amp;" "&amp;INDEX(설정_코드표!$G$2:$G$101,MATCH(TRIM(RIGHT(SUBSTITUTE(TRIM(G51&amp;"")," ",REPT(" ",60)),60)),설정_코드표!$F$2:$F$101,0)),"⚠"&amp;TRIM(G51&amp;""))),"⚠"&amp;TRIM(G51&amp;""))</f>
        <v/>
      </c>
      <c r="P51" s="10">
        <f>IFERROR(IF(TRIM(H51&amp;"")="","",IF(AND(ISNUMBER(FIND(" ",TRIM(H51&amp;""))),ISNUMBER(MATCH(LEFT(TRIM(H51&amp;""),FIND(" ",TRIM(H51&amp;""))-1),설정_코드표!$J$2:$J$101,0)),ISNUMBER(MATCH(TRIM(RIGHT(SUBSTITUTE(TRIM(H51&amp;"")," ",REPT(" ",60)),60)),설정_코드표!$F$2:$F$101,0))),INDEX(설정_코드표!$K$2:$K$101,MATCH(LEFT(TRIM(H51&amp;""),FIND(" ",TRIM(H51&amp;""))-1),설정_코드표!$J$2:$J$101,0))&amp;" "&amp;INDEX(설정_코드표!$G$2:$G$101,MATCH(TRIM(RIGHT(SUBSTITUTE(TRIM(H51&amp;"")," ",REPT(" ",60)),60)),설정_코드표!$F$2:$F$101,0)),"⚠"&amp;TRIM(H51&amp;""))),"⚠"&amp;TRIM(H51&amp;""))</f>
        <v/>
      </c>
      <c r="Q51" s="10">
        <f>IFERROR(IF(TRIM(I51&amp;"")="","",IF(AND(ISNUMBER(FIND(" ",TRIM(I51&amp;""))),ISNUMBER(MATCH(LEFT(TRIM(I51&amp;""),FIND(" ",TRIM(I51&amp;""))-1),설정_코드표!$J$2:$J$101,0)),ISNUMBER(MATCH(TRIM(RIGHT(SUBSTITUTE(TRIM(I51&amp;"")," ",REPT(" ",60)),60)),설정_코드표!$F$2:$F$101,0))),INDEX(설정_코드표!$K$2:$K$101,MATCH(LEFT(TRIM(I51&amp;""),FIND(" ",TRIM(I51&amp;""))-1),설정_코드표!$J$2:$J$101,0))&amp;" "&amp;INDEX(설정_코드표!$G$2:$G$101,MATCH(TRIM(RIGHT(SUBSTITUTE(TRIM(I51&amp;"")," ",REPT(" ",60)),60)),설정_코드표!$F$2:$F$101,0)),"⚠"&amp;TRIM(I51&amp;""))),"⚠"&amp;TRIM(I51&amp;""))</f>
        <v/>
      </c>
      <c r="R51" s="10">
        <f>IFERROR(IF(TRIM(J51&amp;"")="","",IF(AND(ISNUMBER(FIND(" ",TRIM(J51&amp;""))),ISNUMBER(MATCH(LEFT(TRIM(J51&amp;""),FIND(" ",TRIM(J51&amp;""))-1),설정_코드표!$J$2:$J$101,0)),ISNUMBER(MATCH(TRIM(RIGHT(SUBSTITUTE(TRIM(J51&amp;"")," ",REPT(" ",60)),60)),설정_코드표!$F$2:$F$101,0))),INDEX(설정_코드표!$K$2:$K$101,MATCH(LEFT(TRIM(J51&amp;""),FIND(" ",TRIM(J51&amp;""))-1),설정_코드표!$J$2:$J$101,0))&amp;" "&amp;INDEX(설정_코드표!$G$2:$G$101,MATCH(TRIM(RIGHT(SUBSTITUTE(TRIM(J51&amp;"")," ",REPT(" ",60)),60)),설정_코드표!$F$2:$F$101,0)),"⚠"&amp;TRIM(J51&amp;""))),"⚠"&amp;TRIM(J51&amp;""))</f>
        <v/>
      </c>
      <c r="S51" s="11">
        <f>IF(K51="","",IFERROR(IF(AND(ROUND((VALUE(K51&amp;"")-INT(VALUE(K51&amp;"")))*100,0)&gt;=1,ROUND((VALUE(K51&amp;"")-INT(VALUE(K51&amp;"")))*100,0)&lt;=12,INT(VALUE(K51&amp;""))&gt;=1900),DATE(INT(VALUE(K51&amp;"")),ROUND((VALUE(K51&amp;"")-INT(VALUE(K51&amp;"")))*100,0),1),K51&amp;""),K51&amp;""))</f>
        <v/>
      </c>
      <c r="T51" s="10">
        <f>COUNTIF(M51:R51,"⚠*")</f>
        <v/>
      </c>
    </row>
    <row r="52"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M52" s="10">
        <f>IFERROR(IF(TRIM(E52&amp;"")="","",IF(AND(ISNUMBER(FIND(" ",TRIM(E52&amp;""))),ISNUMBER(MATCH(LEFT(TRIM(E52&amp;""),FIND(" ",TRIM(E52&amp;""))-1),설정_코드표!$J$2:$J$101,0)),ISNUMBER(MATCH(TRIM(RIGHT(SUBSTITUTE(TRIM(E52&amp;"")," ",REPT(" ",60)),60)),설정_코드표!$F$2:$F$101,0))),INDEX(설정_코드표!$K$2:$K$101,MATCH(LEFT(TRIM(E52&amp;""),FIND(" ",TRIM(E52&amp;""))-1),설정_코드표!$J$2:$J$101,0))&amp;" "&amp;INDEX(설정_코드표!$G$2:$G$101,MATCH(TRIM(RIGHT(SUBSTITUTE(TRIM(E52&amp;"")," ",REPT(" ",60)),60)),설정_코드표!$F$2:$F$101,0)),"⚠"&amp;TRIM(E52&amp;""))),"⚠"&amp;TRIM(E52&amp;""))</f>
        <v/>
      </c>
      <c r="N52" s="10">
        <f>IFERROR(IF(TRIM(F52&amp;"")="","",IF(AND(ISNUMBER(FIND(" ",TRIM(F52&amp;""))),ISNUMBER(MATCH(LEFT(TRIM(F52&amp;""),FIND(" ",TRIM(F52&amp;""))-1),설정_코드표!$J$2:$J$101,0)),ISNUMBER(MATCH(TRIM(RIGHT(SUBSTITUTE(TRIM(F52&amp;"")," ",REPT(" ",60)),60)),설정_코드표!$F$2:$F$101,0))),INDEX(설정_코드표!$K$2:$K$101,MATCH(LEFT(TRIM(F52&amp;""),FIND(" ",TRIM(F52&amp;""))-1),설정_코드표!$J$2:$J$101,0))&amp;" "&amp;INDEX(설정_코드표!$G$2:$G$101,MATCH(TRIM(RIGHT(SUBSTITUTE(TRIM(F52&amp;"")," ",REPT(" ",60)),60)),설정_코드표!$F$2:$F$101,0)),"⚠"&amp;TRIM(F52&amp;""))),"⚠"&amp;TRIM(F52&amp;""))</f>
        <v/>
      </c>
      <c r="O52" s="10">
        <f>IFERROR(IF(TRIM(G52&amp;"")="","",IF(AND(ISNUMBER(FIND(" ",TRIM(G52&amp;""))),ISNUMBER(MATCH(LEFT(TRIM(G52&amp;""),FIND(" ",TRIM(G52&amp;""))-1),설정_코드표!$J$2:$J$101,0)),ISNUMBER(MATCH(TRIM(RIGHT(SUBSTITUTE(TRIM(G52&amp;"")," ",REPT(" ",60)),60)),설정_코드표!$F$2:$F$101,0))),INDEX(설정_코드표!$K$2:$K$101,MATCH(LEFT(TRIM(G52&amp;""),FIND(" ",TRIM(G52&amp;""))-1),설정_코드표!$J$2:$J$101,0))&amp;" "&amp;INDEX(설정_코드표!$G$2:$G$101,MATCH(TRIM(RIGHT(SUBSTITUTE(TRIM(G52&amp;"")," ",REPT(" ",60)),60)),설정_코드표!$F$2:$F$101,0)),"⚠"&amp;TRIM(G52&amp;""))),"⚠"&amp;TRIM(G52&amp;""))</f>
        <v/>
      </c>
      <c r="P52" s="10">
        <f>IFERROR(IF(TRIM(H52&amp;"")="","",IF(AND(ISNUMBER(FIND(" ",TRIM(H52&amp;""))),ISNUMBER(MATCH(LEFT(TRIM(H52&amp;""),FIND(" ",TRIM(H52&amp;""))-1),설정_코드표!$J$2:$J$101,0)),ISNUMBER(MATCH(TRIM(RIGHT(SUBSTITUTE(TRIM(H52&amp;"")," ",REPT(" ",60)),60)),설정_코드표!$F$2:$F$101,0))),INDEX(설정_코드표!$K$2:$K$101,MATCH(LEFT(TRIM(H52&amp;""),FIND(" ",TRIM(H52&amp;""))-1),설정_코드표!$J$2:$J$101,0))&amp;" "&amp;INDEX(설정_코드표!$G$2:$G$101,MATCH(TRIM(RIGHT(SUBSTITUTE(TRIM(H52&amp;"")," ",REPT(" ",60)),60)),설정_코드표!$F$2:$F$101,0)),"⚠"&amp;TRIM(H52&amp;""))),"⚠"&amp;TRIM(H52&amp;""))</f>
        <v/>
      </c>
      <c r="Q52" s="10">
        <f>IFERROR(IF(TRIM(I52&amp;"")="","",IF(AND(ISNUMBER(FIND(" ",TRIM(I52&amp;""))),ISNUMBER(MATCH(LEFT(TRIM(I52&amp;""),FIND(" ",TRIM(I52&amp;""))-1),설정_코드표!$J$2:$J$101,0)),ISNUMBER(MATCH(TRIM(RIGHT(SUBSTITUTE(TRIM(I52&amp;"")," ",REPT(" ",60)),60)),설정_코드표!$F$2:$F$101,0))),INDEX(설정_코드표!$K$2:$K$101,MATCH(LEFT(TRIM(I52&amp;""),FIND(" ",TRIM(I52&amp;""))-1),설정_코드표!$J$2:$J$101,0))&amp;" "&amp;INDEX(설정_코드표!$G$2:$G$101,MATCH(TRIM(RIGHT(SUBSTITUTE(TRIM(I52&amp;"")," ",REPT(" ",60)),60)),설정_코드표!$F$2:$F$101,0)),"⚠"&amp;TRIM(I52&amp;""))),"⚠"&amp;TRIM(I52&amp;""))</f>
        <v/>
      </c>
      <c r="R52" s="10">
        <f>IFERROR(IF(TRIM(J52&amp;"")="","",IF(AND(ISNUMBER(FIND(" ",TRIM(J52&amp;""))),ISNUMBER(MATCH(LEFT(TRIM(J52&amp;""),FIND(" ",TRIM(J52&amp;""))-1),설정_코드표!$J$2:$J$101,0)),ISNUMBER(MATCH(TRIM(RIGHT(SUBSTITUTE(TRIM(J52&amp;"")," ",REPT(" ",60)),60)),설정_코드표!$F$2:$F$101,0))),INDEX(설정_코드표!$K$2:$K$101,MATCH(LEFT(TRIM(J52&amp;""),FIND(" ",TRIM(J52&amp;""))-1),설정_코드표!$J$2:$J$101,0))&amp;" "&amp;INDEX(설정_코드표!$G$2:$G$101,MATCH(TRIM(RIGHT(SUBSTITUTE(TRIM(J52&amp;"")," ",REPT(" ",60)),60)),설정_코드표!$F$2:$F$101,0)),"⚠"&amp;TRIM(J52&amp;""))),"⚠"&amp;TRIM(J52&amp;""))</f>
        <v/>
      </c>
      <c r="S52" s="11">
        <f>IF(K52="","",IFERROR(IF(AND(ROUND((VALUE(K52&amp;"")-INT(VALUE(K52&amp;"")))*100,0)&gt;=1,ROUND((VALUE(K52&amp;"")-INT(VALUE(K52&amp;"")))*100,0)&lt;=12,INT(VALUE(K52&amp;""))&gt;=1900),DATE(INT(VALUE(K52&amp;"")),ROUND((VALUE(K52&amp;"")-INT(VALUE(K52&amp;"")))*100,0),1),K52&amp;""),K52&amp;""))</f>
        <v/>
      </c>
      <c r="T52" s="10">
        <f>COUNTIF(M52:R52,"⚠*")</f>
        <v/>
      </c>
    </row>
    <row r="53"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M53" s="10">
        <f>IFERROR(IF(TRIM(E53&amp;"")="","",IF(AND(ISNUMBER(FIND(" ",TRIM(E53&amp;""))),ISNUMBER(MATCH(LEFT(TRIM(E53&amp;""),FIND(" ",TRIM(E53&amp;""))-1),설정_코드표!$J$2:$J$101,0)),ISNUMBER(MATCH(TRIM(RIGHT(SUBSTITUTE(TRIM(E53&amp;"")," ",REPT(" ",60)),60)),설정_코드표!$F$2:$F$101,0))),INDEX(설정_코드표!$K$2:$K$101,MATCH(LEFT(TRIM(E53&amp;""),FIND(" ",TRIM(E53&amp;""))-1),설정_코드표!$J$2:$J$101,0))&amp;" "&amp;INDEX(설정_코드표!$G$2:$G$101,MATCH(TRIM(RIGHT(SUBSTITUTE(TRIM(E53&amp;"")," ",REPT(" ",60)),60)),설정_코드표!$F$2:$F$101,0)),"⚠"&amp;TRIM(E53&amp;""))),"⚠"&amp;TRIM(E53&amp;""))</f>
        <v/>
      </c>
      <c r="N53" s="10">
        <f>IFERROR(IF(TRIM(F53&amp;"")="","",IF(AND(ISNUMBER(FIND(" ",TRIM(F53&amp;""))),ISNUMBER(MATCH(LEFT(TRIM(F53&amp;""),FIND(" ",TRIM(F53&amp;""))-1),설정_코드표!$J$2:$J$101,0)),ISNUMBER(MATCH(TRIM(RIGHT(SUBSTITUTE(TRIM(F53&amp;"")," ",REPT(" ",60)),60)),설정_코드표!$F$2:$F$101,0))),INDEX(설정_코드표!$K$2:$K$101,MATCH(LEFT(TRIM(F53&amp;""),FIND(" ",TRIM(F53&amp;""))-1),설정_코드표!$J$2:$J$101,0))&amp;" "&amp;INDEX(설정_코드표!$G$2:$G$101,MATCH(TRIM(RIGHT(SUBSTITUTE(TRIM(F53&amp;"")," ",REPT(" ",60)),60)),설정_코드표!$F$2:$F$101,0)),"⚠"&amp;TRIM(F53&amp;""))),"⚠"&amp;TRIM(F53&amp;""))</f>
        <v/>
      </c>
      <c r="O53" s="10">
        <f>IFERROR(IF(TRIM(G53&amp;"")="","",IF(AND(ISNUMBER(FIND(" ",TRIM(G53&amp;""))),ISNUMBER(MATCH(LEFT(TRIM(G53&amp;""),FIND(" ",TRIM(G53&amp;""))-1),설정_코드표!$J$2:$J$101,0)),ISNUMBER(MATCH(TRIM(RIGHT(SUBSTITUTE(TRIM(G53&amp;"")," ",REPT(" ",60)),60)),설정_코드표!$F$2:$F$101,0))),INDEX(설정_코드표!$K$2:$K$101,MATCH(LEFT(TRIM(G53&amp;""),FIND(" ",TRIM(G53&amp;""))-1),설정_코드표!$J$2:$J$101,0))&amp;" "&amp;INDEX(설정_코드표!$G$2:$G$101,MATCH(TRIM(RIGHT(SUBSTITUTE(TRIM(G53&amp;"")," ",REPT(" ",60)),60)),설정_코드표!$F$2:$F$101,0)),"⚠"&amp;TRIM(G53&amp;""))),"⚠"&amp;TRIM(G53&amp;""))</f>
        <v/>
      </c>
      <c r="P53" s="10">
        <f>IFERROR(IF(TRIM(H53&amp;"")="","",IF(AND(ISNUMBER(FIND(" ",TRIM(H53&amp;""))),ISNUMBER(MATCH(LEFT(TRIM(H53&amp;""),FIND(" ",TRIM(H53&amp;""))-1),설정_코드표!$J$2:$J$101,0)),ISNUMBER(MATCH(TRIM(RIGHT(SUBSTITUTE(TRIM(H53&amp;"")," ",REPT(" ",60)),60)),설정_코드표!$F$2:$F$101,0))),INDEX(설정_코드표!$K$2:$K$101,MATCH(LEFT(TRIM(H53&amp;""),FIND(" ",TRIM(H53&amp;""))-1),설정_코드표!$J$2:$J$101,0))&amp;" "&amp;INDEX(설정_코드표!$G$2:$G$101,MATCH(TRIM(RIGHT(SUBSTITUTE(TRIM(H53&amp;"")," ",REPT(" ",60)),60)),설정_코드표!$F$2:$F$101,0)),"⚠"&amp;TRIM(H53&amp;""))),"⚠"&amp;TRIM(H53&amp;""))</f>
        <v/>
      </c>
      <c r="Q53" s="10">
        <f>IFERROR(IF(TRIM(I53&amp;"")="","",IF(AND(ISNUMBER(FIND(" ",TRIM(I53&amp;""))),ISNUMBER(MATCH(LEFT(TRIM(I53&amp;""),FIND(" ",TRIM(I53&amp;""))-1),설정_코드표!$J$2:$J$101,0)),ISNUMBER(MATCH(TRIM(RIGHT(SUBSTITUTE(TRIM(I53&amp;"")," ",REPT(" ",60)),60)),설정_코드표!$F$2:$F$101,0))),INDEX(설정_코드표!$K$2:$K$101,MATCH(LEFT(TRIM(I53&amp;""),FIND(" ",TRIM(I53&amp;""))-1),설정_코드표!$J$2:$J$101,0))&amp;" "&amp;INDEX(설정_코드표!$G$2:$G$101,MATCH(TRIM(RIGHT(SUBSTITUTE(TRIM(I53&amp;"")," ",REPT(" ",60)),60)),설정_코드표!$F$2:$F$101,0)),"⚠"&amp;TRIM(I53&amp;""))),"⚠"&amp;TRIM(I53&amp;""))</f>
        <v/>
      </c>
      <c r="R53" s="10">
        <f>IFERROR(IF(TRIM(J53&amp;"")="","",IF(AND(ISNUMBER(FIND(" ",TRIM(J53&amp;""))),ISNUMBER(MATCH(LEFT(TRIM(J53&amp;""),FIND(" ",TRIM(J53&amp;""))-1),설정_코드표!$J$2:$J$101,0)),ISNUMBER(MATCH(TRIM(RIGHT(SUBSTITUTE(TRIM(J53&amp;"")," ",REPT(" ",60)),60)),설정_코드표!$F$2:$F$101,0))),INDEX(설정_코드표!$K$2:$K$101,MATCH(LEFT(TRIM(J53&amp;""),FIND(" ",TRIM(J53&amp;""))-1),설정_코드표!$J$2:$J$101,0))&amp;" "&amp;INDEX(설정_코드표!$G$2:$G$101,MATCH(TRIM(RIGHT(SUBSTITUTE(TRIM(J53&amp;"")," ",REPT(" ",60)),60)),설정_코드표!$F$2:$F$101,0)),"⚠"&amp;TRIM(J53&amp;""))),"⚠"&amp;TRIM(J53&amp;""))</f>
        <v/>
      </c>
      <c r="S53" s="11">
        <f>IF(K53="","",IFERROR(IF(AND(ROUND((VALUE(K53&amp;"")-INT(VALUE(K53&amp;"")))*100,0)&gt;=1,ROUND((VALUE(K53&amp;"")-INT(VALUE(K53&amp;"")))*100,0)&lt;=12,INT(VALUE(K53&amp;""))&gt;=1900),DATE(INT(VALUE(K53&amp;"")),ROUND((VALUE(K53&amp;"")-INT(VALUE(K53&amp;"")))*100,0),1),K53&amp;""),K53&amp;""))</f>
        <v/>
      </c>
      <c r="T53" s="10">
        <f>COUNTIF(M53:R53,"⚠*")</f>
        <v/>
      </c>
    </row>
    <row r="54"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M54" s="10">
        <f>IFERROR(IF(TRIM(E54&amp;"")="","",IF(AND(ISNUMBER(FIND(" ",TRIM(E54&amp;""))),ISNUMBER(MATCH(LEFT(TRIM(E54&amp;""),FIND(" ",TRIM(E54&amp;""))-1),설정_코드표!$J$2:$J$101,0)),ISNUMBER(MATCH(TRIM(RIGHT(SUBSTITUTE(TRIM(E54&amp;"")," ",REPT(" ",60)),60)),설정_코드표!$F$2:$F$101,0))),INDEX(설정_코드표!$K$2:$K$101,MATCH(LEFT(TRIM(E54&amp;""),FIND(" ",TRIM(E54&amp;""))-1),설정_코드표!$J$2:$J$101,0))&amp;" "&amp;INDEX(설정_코드표!$G$2:$G$101,MATCH(TRIM(RIGHT(SUBSTITUTE(TRIM(E54&amp;"")," ",REPT(" ",60)),60)),설정_코드표!$F$2:$F$101,0)),"⚠"&amp;TRIM(E54&amp;""))),"⚠"&amp;TRIM(E54&amp;""))</f>
        <v/>
      </c>
      <c r="N54" s="10">
        <f>IFERROR(IF(TRIM(F54&amp;"")="","",IF(AND(ISNUMBER(FIND(" ",TRIM(F54&amp;""))),ISNUMBER(MATCH(LEFT(TRIM(F54&amp;""),FIND(" ",TRIM(F54&amp;""))-1),설정_코드표!$J$2:$J$101,0)),ISNUMBER(MATCH(TRIM(RIGHT(SUBSTITUTE(TRIM(F54&amp;"")," ",REPT(" ",60)),60)),설정_코드표!$F$2:$F$101,0))),INDEX(설정_코드표!$K$2:$K$101,MATCH(LEFT(TRIM(F54&amp;""),FIND(" ",TRIM(F54&amp;""))-1),설정_코드표!$J$2:$J$101,0))&amp;" "&amp;INDEX(설정_코드표!$G$2:$G$101,MATCH(TRIM(RIGHT(SUBSTITUTE(TRIM(F54&amp;"")," ",REPT(" ",60)),60)),설정_코드표!$F$2:$F$101,0)),"⚠"&amp;TRIM(F54&amp;""))),"⚠"&amp;TRIM(F54&amp;""))</f>
        <v/>
      </c>
      <c r="O54" s="10">
        <f>IFERROR(IF(TRIM(G54&amp;"")="","",IF(AND(ISNUMBER(FIND(" ",TRIM(G54&amp;""))),ISNUMBER(MATCH(LEFT(TRIM(G54&amp;""),FIND(" ",TRIM(G54&amp;""))-1),설정_코드표!$J$2:$J$101,0)),ISNUMBER(MATCH(TRIM(RIGHT(SUBSTITUTE(TRIM(G54&amp;"")," ",REPT(" ",60)),60)),설정_코드표!$F$2:$F$101,0))),INDEX(설정_코드표!$K$2:$K$101,MATCH(LEFT(TRIM(G54&amp;""),FIND(" ",TRIM(G54&amp;""))-1),설정_코드표!$J$2:$J$101,0))&amp;" "&amp;INDEX(설정_코드표!$G$2:$G$101,MATCH(TRIM(RIGHT(SUBSTITUTE(TRIM(G54&amp;"")," ",REPT(" ",60)),60)),설정_코드표!$F$2:$F$101,0)),"⚠"&amp;TRIM(G54&amp;""))),"⚠"&amp;TRIM(G54&amp;""))</f>
        <v/>
      </c>
      <c r="P54" s="10">
        <f>IFERROR(IF(TRIM(H54&amp;"")="","",IF(AND(ISNUMBER(FIND(" ",TRIM(H54&amp;""))),ISNUMBER(MATCH(LEFT(TRIM(H54&amp;""),FIND(" ",TRIM(H54&amp;""))-1),설정_코드표!$J$2:$J$101,0)),ISNUMBER(MATCH(TRIM(RIGHT(SUBSTITUTE(TRIM(H54&amp;"")," ",REPT(" ",60)),60)),설정_코드표!$F$2:$F$101,0))),INDEX(설정_코드표!$K$2:$K$101,MATCH(LEFT(TRIM(H54&amp;""),FIND(" ",TRIM(H54&amp;""))-1),설정_코드표!$J$2:$J$101,0))&amp;" "&amp;INDEX(설정_코드표!$G$2:$G$101,MATCH(TRIM(RIGHT(SUBSTITUTE(TRIM(H54&amp;"")," ",REPT(" ",60)),60)),설정_코드표!$F$2:$F$101,0)),"⚠"&amp;TRIM(H54&amp;""))),"⚠"&amp;TRIM(H54&amp;""))</f>
        <v/>
      </c>
      <c r="Q54" s="10">
        <f>IFERROR(IF(TRIM(I54&amp;"")="","",IF(AND(ISNUMBER(FIND(" ",TRIM(I54&amp;""))),ISNUMBER(MATCH(LEFT(TRIM(I54&amp;""),FIND(" ",TRIM(I54&amp;""))-1),설정_코드표!$J$2:$J$101,0)),ISNUMBER(MATCH(TRIM(RIGHT(SUBSTITUTE(TRIM(I54&amp;"")," ",REPT(" ",60)),60)),설정_코드표!$F$2:$F$101,0))),INDEX(설정_코드표!$K$2:$K$101,MATCH(LEFT(TRIM(I54&amp;""),FIND(" ",TRIM(I54&amp;""))-1),설정_코드표!$J$2:$J$101,0))&amp;" "&amp;INDEX(설정_코드표!$G$2:$G$101,MATCH(TRIM(RIGHT(SUBSTITUTE(TRIM(I54&amp;"")," ",REPT(" ",60)),60)),설정_코드표!$F$2:$F$101,0)),"⚠"&amp;TRIM(I54&amp;""))),"⚠"&amp;TRIM(I54&amp;""))</f>
        <v/>
      </c>
      <c r="R54" s="10">
        <f>IFERROR(IF(TRIM(J54&amp;"")="","",IF(AND(ISNUMBER(FIND(" ",TRIM(J54&amp;""))),ISNUMBER(MATCH(LEFT(TRIM(J54&amp;""),FIND(" ",TRIM(J54&amp;""))-1),설정_코드표!$J$2:$J$101,0)),ISNUMBER(MATCH(TRIM(RIGHT(SUBSTITUTE(TRIM(J54&amp;"")," ",REPT(" ",60)),60)),설정_코드표!$F$2:$F$101,0))),INDEX(설정_코드표!$K$2:$K$101,MATCH(LEFT(TRIM(J54&amp;""),FIND(" ",TRIM(J54&amp;""))-1),설정_코드표!$J$2:$J$101,0))&amp;" "&amp;INDEX(설정_코드표!$G$2:$G$101,MATCH(TRIM(RIGHT(SUBSTITUTE(TRIM(J54&amp;"")," ",REPT(" ",60)),60)),설정_코드표!$F$2:$F$101,0)),"⚠"&amp;TRIM(J54&amp;""))),"⚠"&amp;TRIM(J54&amp;""))</f>
        <v/>
      </c>
      <c r="S54" s="11">
        <f>IF(K54="","",IFERROR(IF(AND(ROUND((VALUE(K54&amp;"")-INT(VALUE(K54&amp;"")))*100,0)&gt;=1,ROUND((VALUE(K54&amp;"")-INT(VALUE(K54&amp;"")))*100,0)&lt;=12,INT(VALUE(K54&amp;""))&gt;=1900),DATE(INT(VALUE(K54&amp;"")),ROUND((VALUE(K54&amp;"")-INT(VALUE(K54&amp;"")))*100,0),1),K54&amp;""),K54&amp;""))</f>
        <v/>
      </c>
      <c r="T54" s="10">
        <f>COUNTIF(M54:R54,"⚠*")</f>
        <v/>
      </c>
    </row>
    <row r="55"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M55" s="10">
        <f>IFERROR(IF(TRIM(E55&amp;"")="","",IF(AND(ISNUMBER(FIND(" ",TRIM(E55&amp;""))),ISNUMBER(MATCH(LEFT(TRIM(E55&amp;""),FIND(" ",TRIM(E55&amp;""))-1),설정_코드표!$J$2:$J$101,0)),ISNUMBER(MATCH(TRIM(RIGHT(SUBSTITUTE(TRIM(E55&amp;"")," ",REPT(" ",60)),60)),설정_코드표!$F$2:$F$101,0))),INDEX(설정_코드표!$K$2:$K$101,MATCH(LEFT(TRIM(E55&amp;""),FIND(" ",TRIM(E55&amp;""))-1),설정_코드표!$J$2:$J$101,0))&amp;" "&amp;INDEX(설정_코드표!$G$2:$G$101,MATCH(TRIM(RIGHT(SUBSTITUTE(TRIM(E55&amp;"")," ",REPT(" ",60)),60)),설정_코드표!$F$2:$F$101,0)),"⚠"&amp;TRIM(E55&amp;""))),"⚠"&amp;TRIM(E55&amp;""))</f>
        <v/>
      </c>
      <c r="N55" s="10">
        <f>IFERROR(IF(TRIM(F55&amp;"")="","",IF(AND(ISNUMBER(FIND(" ",TRIM(F55&amp;""))),ISNUMBER(MATCH(LEFT(TRIM(F55&amp;""),FIND(" ",TRIM(F55&amp;""))-1),설정_코드표!$J$2:$J$101,0)),ISNUMBER(MATCH(TRIM(RIGHT(SUBSTITUTE(TRIM(F55&amp;"")," ",REPT(" ",60)),60)),설정_코드표!$F$2:$F$101,0))),INDEX(설정_코드표!$K$2:$K$101,MATCH(LEFT(TRIM(F55&amp;""),FIND(" ",TRIM(F55&amp;""))-1),설정_코드표!$J$2:$J$101,0))&amp;" "&amp;INDEX(설정_코드표!$G$2:$G$101,MATCH(TRIM(RIGHT(SUBSTITUTE(TRIM(F55&amp;"")," ",REPT(" ",60)),60)),설정_코드표!$F$2:$F$101,0)),"⚠"&amp;TRIM(F55&amp;""))),"⚠"&amp;TRIM(F55&amp;""))</f>
        <v/>
      </c>
      <c r="O55" s="10">
        <f>IFERROR(IF(TRIM(G55&amp;"")="","",IF(AND(ISNUMBER(FIND(" ",TRIM(G55&amp;""))),ISNUMBER(MATCH(LEFT(TRIM(G55&amp;""),FIND(" ",TRIM(G55&amp;""))-1),설정_코드표!$J$2:$J$101,0)),ISNUMBER(MATCH(TRIM(RIGHT(SUBSTITUTE(TRIM(G55&amp;"")," ",REPT(" ",60)),60)),설정_코드표!$F$2:$F$101,0))),INDEX(설정_코드표!$K$2:$K$101,MATCH(LEFT(TRIM(G55&amp;""),FIND(" ",TRIM(G55&amp;""))-1),설정_코드표!$J$2:$J$101,0))&amp;" "&amp;INDEX(설정_코드표!$G$2:$G$101,MATCH(TRIM(RIGHT(SUBSTITUTE(TRIM(G55&amp;"")," ",REPT(" ",60)),60)),설정_코드표!$F$2:$F$101,0)),"⚠"&amp;TRIM(G55&amp;""))),"⚠"&amp;TRIM(G55&amp;""))</f>
        <v/>
      </c>
      <c r="P55" s="10">
        <f>IFERROR(IF(TRIM(H55&amp;"")="","",IF(AND(ISNUMBER(FIND(" ",TRIM(H55&amp;""))),ISNUMBER(MATCH(LEFT(TRIM(H55&amp;""),FIND(" ",TRIM(H55&amp;""))-1),설정_코드표!$J$2:$J$101,0)),ISNUMBER(MATCH(TRIM(RIGHT(SUBSTITUTE(TRIM(H55&amp;"")," ",REPT(" ",60)),60)),설정_코드표!$F$2:$F$101,0))),INDEX(설정_코드표!$K$2:$K$101,MATCH(LEFT(TRIM(H55&amp;""),FIND(" ",TRIM(H55&amp;""))-1),설정_코드표!$J$2:$J$101,0))&amp;" "&amp;INDEX(설정_코드표!$G$2:$G$101,MATCH(TRIM(RIGHT(SUBSTITUTE(TRIM(H55&amp;"")," ",REPT(" ",60)),60)),설정_코드표!$F$2:$F$101,0)),"⚠"&amp;TRIM(H55&amp;""))),"⚠"&amp;TRIM(H55&amp;""))</f>
        <v/>
      </c>
      <c r="Q55" s="10">
        <f>IFERROR(IF(TRIM(I55&amp;"")="","",IF(AND(ISNUMBER(FIND(" ",TRIM(I55&amp;""))),ISNUMBER(MATCH(LEFT(TRIM(I55&amp;""),FIND(" ",TRIM(I55&amp;""))-1),설정_코드표!$J$2:$J$101,0)),ISNUMBER(MATCH(TRIM(RIGHT(SUBSTITUTE(TRIM(I55&amp;"")," ",REPT(" ",60)),60)),설정_코드표!$F$2:$F$101,0))),INDEX(설정_코드표!$K$2:$K$101,MATCH(LEFT(TRIM(I55&amp;""),FIND(" ",TRIM(I55&amp;""))-1),설정_코드표!$J$2:$J$101,0))&amp;" "&amp;INDEX(설정_코드표!$G$2:$G$101,MATCH(TRIM(RIGHT(SUBSTITUTE(TRIM(I55&amp;"")," ",REPT(" ",60)),60)),설정_코드표!$F$2:$F$101,0)),"⚠"&amp;TRIM(I55&amp;""))),"⚠"&amp;TRIM(I55&amp;""))</f>
        <v/>
      </c>
      <c r="R55" s="10">
        <f>IFERROR(IF(TRIM(J55&amp;"")="","",IF(AND(ISNUMBER(FIND(" ",TRIM(J55&amp;""))),ISNUMBER(MATCH(LEFT(TRIM(J55&amp;""),FIND(" ",TRIM(J55&amp;""))-1),설정_코드표!$J$2:$J$101,0)),ISNUMBER(MATCH(TRIM(RIGHT(SUBSTITUTE(TRIM(J55&amp;"")," ",REPT(" ",60)),60)),설정_코드표!$F$2:$F$101,0))),INDEX(설정_코드표!$K$2:$K$101,MATCH(LEFT(TRIM(J55&amp;""),FIND(" ",TRIM(J55&amp;""))-1),설정_코드표!$J$2:$J$101,0))&amp;" "&amp;INDEX(설정_코드표!$G$2:$G$101,MATCH(TRIM(RIGHT(SUBSTITUTE(TRIM(J55&amp;"")," ",REPT(" ",60)),60)),설정_코드표!$F$2:$F$101,0)),"⚠"&amp;TRIM(J55&amp;""))),"⚠"&amp;TRIM(J55&amp;""))</f>
        <v/>
      </c>
      <c r="S55" s="11">
        <f>IF(K55="","",IFERROR(IF(AND(ROUND((VALUE(K55&amp;"")-INT(VALUE(K55&amp;"")))*100,0)&gt;=1,ROUND((VALUE(K55&amp;"")-INT(VALUE(K55&amp;"")))*100,0)&lt;=12,INT(VALUE(K55&amp;""))&gt;=1900),DATE(INT(VALUE(K55&amp;"")),ROUND((VALUE(K55&amp;"")-INT(VALUE(K55&amp;"")))*100,0),1),K55&amp;""),K55&amp;""))</f>
        <v/>
      </c>
      <c r="T55" s="10">
        <f>COUNTIF(M55:R55,"⚠*")</f>
        <v/>
      </c>
    </row>
    <row r="56"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M56" s="10">
        <f>IFERROR(IF(TRIM(E56&amp;"")="","",IF(AND(ISNUMBER(FIND(" ",TRIM(E56&amp;""))),ISNUMBER(MATCH(LEFT(TRIM(E56&amp;""),FIND(" ",TRIM(E56&amp;""))-1),설정_코드표!$J$2:$J$101,0)),ISNUMBER(MATCH(TRIM(RIGHT(SUBSTITUTE(TRIM(E56&amp;"")," ",REPT(" ",60)),60)),설정_코드표!$F$2:$F$101,0))),INDEX(설정_코드표!$K$2:$K$101,MATCH(LEFT(TRIM(E56&amp;""),FIND(" ",TRIM(E56&amp;""))-1),설정_코드표!$J$2:$J$101,0))&amp;" "&amp;INDEX(설정_코드표!$G$2:$G$101,MATCH(TRIM(RIGHT(SUBSTITUTE(TRIM(E56&amp;"")," ",REPT(" ",60)),60)),설정_코드표!$F$2:$F$101,0)),"⚠"&amp;TRIM(E56&amp;""))),"⚠"&amp;TRIM(E56&amp;""))</f>
        <v/>
      </c>
      <c r="N56" s="10">
        <f>IFERROR(IF(TRIM(F56&amp;"")="","",IF(AND(ISNUMBER(FIND(" ",TRIM(F56&amp;""))),ISNUMBER(MATCH(LEFT(TRIM(F56&amp;""),FIND(" ",TRIM(F56&amp;""))-1),설정_코드표!$J$2:$J$101,0)),ISNUMBER(MATCH(TRIM(RIGHT(SUBSTITUTE(TRIM(F56&amp;"")," ",REPT(" ",60)),60)),설정_코드표!$F$2:$F$101,0))),INDEX(설정_코드표!$K$2:$K$101,MATCH(LEFT(TRIM(F56&amp;""),FIND(" ",TRIM(F56&amp;""))-1),설정_코드표!$J$2:$J$101,0))&amp;" "&amp;INDEX(설정_코드표!$G$2:$G$101,MATCH(TRIM(RIGHT(SUBSTITUTE(TRIM(F56&amp;"")," ",REPT(" ",60)),60)),설정_코드표!$F$2:$F$101,0)),"⚠"&amp;TRIM(F56&amp;""))),"⚠"&amp;TRIM(F56&amp;""))</f>
        <v/>
      </c>
      <c r="O56" s="10">
        <f>IFERROR(IF(TRIM(G56&amp;"")="","",IF(AND(ISNUMBER(FIND(" ",TRIM(G56&amp;""))),ISNUMBER(MATCH(LEFT(TRIM(G56&amp;""),FIND(" ",TRIM(G56&amp;""))-1),설정_코드표!$J$2:$J$101,0)),ISNUMBER(MATCH(TRIM(RIGHT(SUBSTITUTE(TRIM(G56&amp;"")," ",REPT(" ",60)),60)),설정_코드표!$F$2:$F$101,0))),INDEX(설정_코드표!$K$2:$K$101,MATCH(LEFT(TRIM(G56&amp;""),FIND(" ",TRIM(G56&amp;""))-1),설정_코드표!$J$2:$J$101,0))&amp;" "&amp;INDEX(설정_코드표!$G$2:$G$101,MATCH(TRIM(RIGHT(SUBSTITUTE(TRIM(G56&amp;"")," ",REPT(" ",60)),60)),설정_코드표!$F$2:$F$101,0)),"⚠"&amp;TRIM(G56&amp;""))),"⚠"&amp;TRIM(G56&amp;""))</f>
        <v/>
      </c>
      <c r="P56" s="10">
        <f>IFERROR(IF(TRIM(H56&amp;"")="","",IF(AND(ISNUMBER(FIND(" ",TRIM(H56&amp;""))),ISNUMBER(MATCH(LEFT(TRIM(H56&amp;""),FIND(" ",TRIM(H56&amp;""))-1),설정_코드표!$J$2:$J$101,0)),ISNUMBER(MATCH(TRIM(RIGHT(SUBSTITUTE(TRIM(H56&amp;"")," ",REPT(" ",60)),60)),설정_코드표!$F$2:$F$101,0))),INDEX(설정_코드표!$K$2:$K$101,MATCH(LEFT(TRIM(H56&amp;""),FIND(" ",TRIM(H56&amp;""))-1),설정_코드표!$J$2:$J$101,0))&amp;" "&amp;INDEX(설정_코드표!$G$2:$G$101,MATCH(TRIM(RIGHT(SUBSTITUTE(TRIM(H56&amp;"")," ",REPT(" ",60)),60)),설정_코드표!$F$2:$F$101,0)),"⚠"&amp;TRIM(H56&amp;""))),"⚠"&amp;TRIM(H56&amp;""))</f>
        <v/>
      </c>
      <c r="Q56" s="10">
        <f>IFERROR(IF(TRIM(I56&amp;"")="","",IF(AND(ISNUMBER(FIND(" ",TRIM(I56&amp;""))),ISNUMBER(MATCH(LEFT(TRIM(I56&amp;""),FIND(" ",TRIM(I56&amp;""))-1),설정_코드표!$J$2:$J$101,0)),ISNUMBER(MATCH(TRIM(RIGHT(SUBSTITUTE(TRIM(I56&amp;"")," ",REPT(" ",60)),60)),설정_코드표!$F$2:$F$101,0))),INDEX(설정_코드표!$K$2:$K$101,MATCH(LEFT(TRIM(I56&amp;""),FIND(" ",TRIM(I56&amp;""))-1),설정_코드표!$J$2:$J$101,0))&amp;" "&amp;INDEX(설정_코드표!$G$2:$G$101,MATCH(TRIM(RIGHT(SUBSTITUTE(TRIM(I56&amp;"")," ",REPT(" ",60)),60)),설정_코드표!$F$2:$F$101,0)),"⚠"&amp;TRIM(I56&amp;""))),"⚠"&amp;TRIM(I56&amp;""))</f>
        <v/>
      </c>
      <c r="R56" s="10">
        <f>IFERROR(IF(TRIM(J56&amp;"")="","",IF(AND(ISNUMBER(FIND(" ",TRIM(J56&amp;""))),ISNUMBER(MATCH(LEFT(TRIM(J56&amp;""),FIND(" ",TRIM(J56&amp;""))-1),설정_코드표!$J$2:$J$101,0)),ISNUMBER(MATCH(TRIM(RIGHT(SUBSTITUTE(TRIM(J56&amp;"")," ",REPT(" ",60)),60)),설정_코드표!$F$2:$F$101,0))),INDEX(설정_코드표!$K$2:$K$101,MATCH(LEFT(TRIM(J56&amp;""),FIND(" ",TRIM(J56&amp;""))-1),설정_코드표!$J$2:$J$101,0))&amp;" "&amp;INDEX(설정_코드표!$G$2:$G$101,MATCH(TRIM(RIGHT(SUBSTITUTE(TRIM(J56&amp;"")," ",REPT(" ",60)),60)),설정_코드표!$F$2:$F$101,0)),"⚠"&amp;TRIM(J56&amp;""))),"⚠"&amp;TRIM(J56&amp;""))</f>
        <v/>
      </c>
      <c r="S56" s="11">
        <f>IF(K56="","",IFERROR(IF(AND(ROUND((VALUE(K56&amp;"")-INT(VALUE(K56&amp;"")))*100,0)&gt;=1,ROUND((VALUE(K56&amp;"")-INT(VALUE(K56&amp;"")))*100,0)&lt;=12,INT(VALUE(K56&amp;""))&gt;=1900),DATE(INT(VALUE(K56&amp;"")),ROUND((VALUE(K56&amp;"")-INT(VALUE(K56&amp;"")))*100,0),1),K56&amp;""),K56&amp;""))</f>
        <v/>
      </c>
      <c r="T56" s="10">
        <f>COUNTIF(M56:R56,"⚠*")</f>
        <v/>
      </c>
    </row>
    <row r="57"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M57" s="10">
        <f>IFERROR(IF(TRIM(E57&amp;"")="","",IF(AND(ISNUMBER(FIND(" ",TRIM(E57&amp;""))),ISNUMBER(MATCH(LEFT(TRIM(E57&amp;""),FIND(" ",TRIM(E57&amp;""))-1),설정_코드표!$J$2:$J$101,0)),ISNUMBER(MATCH(TRIM(RIGHT(SUBSTITUTE(TRIM(E57&amp;"")," ",REPT(" ",60)),60)),설정_코드표!$F$2:$F$101,0))),INDEX(설정_코드표!$K$2:$K$101,MATCH(LEFT(TRIM(E57&amp;""),FIND(" ",TRIM(E57&amp;""))-1),설정_코드표!$J$2:$J$101,0))&amp;" "&amp;INDEX(설정_코드표!$G$2:$G$101,MATCH(TRIM(RIGHT(SUBSTITUTE(TRIM(E57&amp;"")," ",REPT(" ",60)),60)),설정_코드표!$F$2:$F$101,0)),"⚠"&amp;TRIM(E57&amp;""))),"⚠"&amp;TRIM(E57&amp;""))</f>
        <v/>
      </c>
      <c r="N57" s="10">
        <f>IFERROR(IF(TRIM(F57&amp;"")="","",IF(AND(ISNUMBER(FIND(" ",TRIM(F57&amp;""))),ISNUMBER(MATCH(LEFT(TRIM(F57&amp;""),FIND(" ",TRIM(F57&amp;""))-1),설정_코드표!$J$2:$J$101,0)),ISNUMBER(MATCH(TRIM(RIGHT(SUBSTITUTE(TRIM(F57&amp;"")," ",REPT(" ",60)),60)),설정_코드표!$F$2:$F$101,0))),INDEX(설정_코드표!$K$2:$K$101,MATCH(LEFT(TRIM(F57&amp;""),FIND(" ",TRIM(F57&amp;""))-1),설정_코드표!$J$2:$J$101,0))&amp;" "&amp;INDEX(설정_코드표!$G$2:$G$101,MATCH(TRIM(RIGHT(SUBSTITUTE(TRIM(F57&amp;"")," ",REPT(" ",60)),60)),설정_코드표!$F$2:$F$101,0)),"⚠"&amp;TRIM(F57&amp;""))),"⚠"&amp;TRIM(F57&amp;""))</f>
        <v/>
      </c>
      <c r="O57" s="10">
        <f>IFERROR(IF(TRIM(G57&amp;"")="","",IF(AND(ISNUMBER(FIND(" ",TRIM(G57&amp;""))),ISNUMBER(MATCH(LEFT(TRIM(G57&amp;""),FIND(" ",TRIM(G57&amp;""))-1),설정_코드표!$J$2:$J$101,0)),ISNUMBER(MATCH(TRIM(RIGHT(SUBSTITUTE(TRIM(G57&amp;"")," ",REPT(" ",60)),60)),설정_코드표!$F$2:$F$101,0))),INDEX(설정_코드표!$K$2:$K$101,MATCH(LEFT(TRIM(G57&amp;""),FIND(" ",TRIM(G57&amp;""))-1),설정_코드표!$J$2:$J$101,0))&amp;" "&amp;INDEX(설정_코드표!$G$2:$G$101,MATCH(TRIM(RIGHT(SUBSTITUTE(TRIM(G57&amp;"")," ",REPT(" ",60)),60)),설정_코드표!$F$2:$F$101,0)),"⚠"&amp;TRIM(G57&amp;""))),"⚠"&amp;TRIM(G57&amp;""))</f>
        <v/>
      </c>
      <c r="P57" s="10">
        <f>IFERROR(IF(TRIM(H57&amp;"")="","",IF(AND(ISNUMBER(FIND(" ",TRIM(H57&amp;""))),ISNUMBER(MATCH(LEFT(TRIM(H57&amp;""),FIND(" ",TRIM(H57&amp;""))-1),설정_코드표!$J$2:$J$101,0)),ISNUMBER(MATCH(TRIM(RIGHT(SUBSTITUTE(TRIM(H57&amp;"")," ",REPT(" ",60)),60)),설정_코드표!$F$2:$F$101,0))),INDEX(설정_코드표!$K$2:$K$101,MATCH(LEFT(TRIM(H57&amp;""),FIND(" ",TRIM(H57&amp;""))-1),설정_코드표!$J$2:$J$101,0))&amp;" "&amp;INDEX(설정_코드표!$G$2:$G$101,MATCH(TRIM(RIGHT(SUBSTITUTE(TRIM(H57&amp;"")," ",REPT(" ",60)),60)),설정_코드표!$F$2:$F$101,0)),"⚠"&amp;TRIM(H57&amp;""))),"⚠"&amp;TRIM(H57&amp;""))</f>
        <v/>
      </c>
      <c r="Q57" s="10">
        <f>IFERROR(IF(TRIM(I57&amp;"")="","",IF(AND(ISNUMBER(FIND(" ",TRIM(I57&amp;""))),ISNUMBER(MATCH(LEFT(TRIM(I57&amp;""),FIND(" ",TRIM(I57&amp;""))-1),설정_코드표!$J$2:$J$101,0)),ISNUMBER(MATCH(TRIM(RIGHT(SUBSTITUTE(TRIM(I57&amp;"")," ",REPT(" ",60)),60)),설정_코드표!$F$2:$F$101,0))),INDEX(설정_코드표!$K$2:$K$101,MATCH(LEFT(TRIM(I57&amp;""),FIND(" ",TRIM(I57&amp;""))-1),설정_코드표!$J$2:$J$101,0))&amp;" "&amp;INDEX(설정_코드표!$G$2:$G$101,MATCH(TRIM(RIGHT(SUBSTITUTE(TRIM(I57&amp;"")," ",REPT(" ",60)),60)),설정_코드표!$F$2:$F$101,0)),"⚠"&amp;TRIM(I57&amp;""))),"⚠"&amp;TRIM(I57&amp;""))</f>
        <v/>
      </c>
      <c r="R57" s="10">
        <f>IFERROR(IF(TRIM(J57&amp;"")="","",IF(AND(ISNUMBER(FIND(" ",TRIM(J57&amp;""))),ISNUMBER(MATCH(LEFT(TRIM(J57&amp;""),FIND(" ",TRIM(J57&amp;""))-1),설정_코드표!$J$2:$J$101,0)),ISNUMBER(MATCH(TRIM(RIGHT(SUBSTITUTE(TRIM(J57&amp;"")," ",REPT(" ",60)),60)),설정_코드표!$F$2:$F$101,0))),INDEX(설정_코드표!$K$2:$K$101,MATCH(LEFT(TRIM(J57&amp;""),FIND(" ",TRIM(J57&amp;""))-1),설정_코드표!$J$2:$J$101,0))&amp;" "&amp;INDEX(설정_코드표!$G$2:$G$101,MATCH(TRIM(RIGHT(SUBSTITUTE(TRIM(J57&amp;"")," ",REPT(" ",60)),60)),설정_코드표!$F$2:$F$101,0)),"⚠"&amp;TRIM(J57&amp;""))),"⚠"&amp;TRIM(J57&amp;""))</f>
        <v/>
      </c>
      <c r="S57" s="11">
        <f>IF(K57="","",IFERROR(IF(AND(ROUND((VALUE(K57&amp;"")-INT(VALUE(K57&amp;"")))*100,0)&gt;=1,ROUND((VALUE(K57&amp;"")-INT(VALUE(K57&amp;"")))*100,0)&lt;=12,INT(VALUE(K57&amp;""))&gt;=1900),DATE(INT(VALUE(K57&amp;"")),ROUND((VALUE(K57&amp;"")-INT(VALUE(K57&amp;"")))*100,0),1),K57&amp;""),K57&amp;""))</f>
        <v/>
      </c>
      <c r="T57" s="10">
        <f>COUNTIF(M57:R57,"⚠*")</f>
        <v/>
      </c>
    </row>
    <row r="58"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M58" s="10">
        <f>IFERROR(IF(TRIM(E58&amp;"")="","",IF(AND(ISNUMBER(FIND(" ",TRIM(E58&amp;""))),ISNUMBER(MATCH(LEFT(TRIM(E58&amp;""),FIND(" ",TRIM(E58&amp;""))-1),설정_코드표!$J$2:$J$101,0)),ISNUMBER(MATCH(TRIM(RIGHT(SUBSTITUTE(TRIM(E58&amp;"")," ",REPT(" ",60)),60)),설정_코드표!$F$2:$F$101,0))),INDEX(설정_코드표!$K$2:$K$101,MATCH(LEFT(TRIM(E58&amp;""),FIND(" ",TRIM(E58&amp;""))-1),설정_코드표!$J$2:$J$101,0))&amp;" "&amp;INDEX(설정_코드표!$G$2:$G$101,MATCH(TRIM(RIGHT(SUBSTITUTE(TRIM(E58&amp;"")," ",REPT(" ",60)),60)),설정_코드표!$F$2:$F$101,0)),"⚠"&amp;TRIM(E58&amp;""))),"⚠"&amp;TRIM(E58&amp;""))</f>
        <v/>
      </c>
      <c r="N58" s="10">
        <f>IFERROR(IF(TRIM(F58&amp;"")="","",IF(AND(ISNUMBER(FIND(" ",TRIM(F58&amp;""))),ISNUMBER(MATCH(LEFT(TRIM(F58&amp;""),FIND(" ",TRIM(F58&amp;""))-1),설정_코드표!$J$2:$J$101,0)),ISNUMBER(MATCH(TRIM(RIGHT(SUBSTITUTE(TRIM(F58&amp;"")," ",REPT(" ",60)),60)),설정_코드표!$F$2:$F$101,0))),INDEX(설정_코드표!$K$2:$K$101,MATCH(LEFT(TRIM(F58&amp;""),FIND(" ",TRIM(F58&amp;""))-1),설정_코드표!$J$2:$J$101,0))&amp;" "&amp;INDEX(설정_코드표!$G$2:$G$101,MATCH(TRIM(RIGHT(SUBSTITUTE(TRIM(F58&amp;"")," ",REPT(" ",60)),60)),설정_코드표!$F$2:$F$101,0)),"⚠"&amp;TRIM(F58&amp;""))),"⚠"&amp;TRIM(F58&amp;""))</f>
        <v/>
      </c>
      <c r="O58" s="10">
        <f>IFERROR(IF(TRIM(G58&amp;"")="","",IF(AND(ISNUMBER(FIND(" ",TRIM(G58&amp;""))),ISNUMBER(MATCH(LEFT(TRIM(G58&amp;""),FIND(" ",TRIM(G58&amp;""))-1),설정_코드표!$J$2:$J$101,0)),ISNUMBER(MATCH(TRIM(RIGHT(SUBSTITUTE(TRIM(G58&amp;"")," ",REPT(" ",60)),60)),설정_코드표!$F$2:$F$101,0))),INDEX(설정_코드표!$K$2:$K$101,MATCH(LEFT(TRIM(G58&amp;""),FIND(" ",TRIM(G58&amp;""))-1),설정_코드표!$J$2:$J$101,0))&amp;" "&amp;INDEX(설정_코드표!$G$2:$G$101,MATCH(TRIM(RIGHT(SUBSTITUTE(TRIM(G58&amp;"")," ",REPT(" ",60)),60)),설정_코드표!$F$2:$F$101,0)),"⚠"&amp;TRIM(G58&amp;""))),"⚠"&amp;TRIM(G58&amp;""))</f>
        <v/>
      </c>
      <c r="P58" s="10">
        <f>IFERROR(IF(TRIM(H58&amp;"")="","",IF(AND(ISNUMBER(FIND(" ",TRIM(H58&amp;""))),ISNUMBER(MATCH(LEFT(TRIM(H58&amp;""),FIND(" ",TRIM(H58&amp;""))-1),설정_코드표!$J$2:$J$101,0)),ISNUMBER(MATCH(TRIM(RIGHT(SUBSTITUTE(TRIM(H58&amp;"")," ",REPT(" ",60)),60)),설정_코드표!$F$2:$F$101,0))),INDEX(설정_코드표!$K$2:$K$101,MATCH(LEFT(TRIM(H58&amp;""),FIND(" ",TRIM(H58&amp;""))-1),설정_코드표!$J$2:$J$101,0))&amp;" "&amp;INDEX(설정_코드표!$G$2:$G$101,MATCH(TRIM(RIGHT(SUBSTITUTE(TRIM(H58&amp;"")," ",REPT(" ",60)),60)),설정_코드표!$F$2:$F$101,0)),"⚠"&amp;TRIM(H58&amp;""))),"⚠"&amp;TRIM(H58&amp;""))</f>
        <v/>
      </c>
      <c r="Q58" s="10">
        <f>IFERROR(IF(TRIM(I58&amp;"")="","",IF(AND(ISNUMBER(FIND(" ",TRIM(I58&amp;""))),ISNUMBER(MATCH(LEFT(TRIM(I58&amp;""),FIND(" ",TRIM(I58&amp;""))-1),설정_코드표!$J$2:$J$101,0)),ISNUMBER(MATCH(TRIM(RIGHT(SUBSTITUTE(TRIM(I58&amp;"")," ",REPT(" ",60)),60)),설정_코드표!$F$2:$F$101,0))),INDEX(설정_코드표!$K$2:$K$101,MATCH(LEFT(TRIM(I58&amp;""),FIND(" ",TRIM(I58&amp;""))-1),설정_코드표!$J$2:$J$101,0))&amp;" "&amp;INDEX(설정_코드표!$G$2:$G$101,MATCH(TRIM(RIGHT(SUBSTITUTE(TRIM(I58&amp;"")," ",REPT(" ",60)),60)),설정_코드표!$F$2:$F$101,0)),"⚠"&amp;TRIM(I58&amp;""))),"⚠"&amp;TRIM(I58&amp;""))</f>
        <v/>
      </c>
      <c r="R58" s="10">
        <f>IFERROR(IF(TRIM(J58&amp;"")="","",IF(AND(ISNUMBER(FIND(" ",TRIM(J58&amp;""))),ISNUMBER(MATCH(LEFT(TRIM(J58&amp;""),FIND(" ",TRIM(J58&amp;""))-1),설정_코드표!$J$2:$J$101,0)),ISNUMBER(MATCH(TRIM(RIGHT(SUBSTITUTE(TRIM(J58&amp;"")," ",REPT(" ",60)),60)),설정_코드표!$F$2:$F$101,0))),INDEX(설정_코드표!$K$2:$K$101,MATCH(LEFT(TRIM(J58&amp;""),FIND(" ",TRIM(J58&amp;""))-1),설정_코드표!$J$2:$J$101,0))&amp;" "&amp;INDEX(설정_코드표!$G$2:$G$101,MATCH(TRIM(RIGHT(SUBSTITUTE(TRIM(J58&amp;"")," ",REPT(" ",60)),60)),설정_코드표!$F$2:$F$101,0)),"⚠"&amp;TRIM(J58&amp;""))),"⚠"&amp;TRIM(J58&amp;""))</f>
        <v/>
      </c>
      <c r="S58" s="11">
        <f>IF(K58="","",IFERROR(IF(AND(ROUND((VALUE(K58&amp;"")-INT(VALUE(K58&amp;"")))*100,0)&gt;=1,ROUND((VALUE(K58&amp;"")-INT(VALUE(K58&amp;"")))*100,0)&lt;=12,INT(VALUE(K58&amp;""))&gt;=1900),DATE(INT(VALUE(K58&amp;"")),ROUND((VALUE(K58&amp;"")-INT(VALUE(K58&amp;"")))*100,0),1),K58&amp;""),K58&amp;""))</f>
        <v/>
      </c>
      <c r="T58" s="10">
        <f>COUNTIF(M58:R58,"⚠*")</f>
        <v/>
      </c>
    </row>
    <row r="59"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M59" s="10">
        <f>IFERROR(IF(TRIM(E59&amp;"")="","",IF(AND(ISNUMBER(FIND(" ",TRIM(E59&amp;""))),ISNUMBER(MATCH(LEFT(TRIM(E59&amp;""),FIND(" ",TRIM(E59&amp;""))-1),설정_코드표!$J$2:$J$101,0)),ISNUMBER(MATCH(TRIM(RIGHT(SUBSTITUTE(TRIM(E59&amp;"")," ",REPT(" ",60)),60)),설정_코드표!$F$2:$F$101,0))),INDEX(설정_코드표!$K$2:$K$101,MATCH(LEFT(TRIM(E59&amp;""),FIND(" ",TRIM(E59&amp;""))-1),설정_코드표!$J$2:$J$101,0))&amp;" "&amp;INDEX(설정_코드표!$G$2:$G$101,MATCH(TRIM(RIGHT(SUBSTITUTE(TRIM(E59&amp;"")," ",REPT(" ",60)),60)),설정_코드표!$F$2:$F$101,0)),"⚠"&amp;TRIM(E59&amp;""))),"⚠"&amp;TRIM(E59&amp;""))</f>
        <v/>
      </c>
      <c r="N59" s="10">
        <f>IFERROR(IF(TRIM(F59&amp;"")="","",IF(AND(ISNUMBER(FIND(" ",TRIM(F59&amp;""))),ISNUMBER(MATCH(LEFT(TRIM(F59&amp;""),FIND(" ",TRIM(F59&amp;""))-1),설정_코드표!$J$2:$J$101,0)),ISNUMBER(MATCH(TRIM(RIGHT(SUBSTITUTE(TRIM(F59&amp;"")," ",REPT(" ",60)),60)),설정_코드표!$F$2:$F$101,0))),INDEX(설정_코드표!$K$2:$K$101,MATCH(LEFT(TRIM(F59&amp;""),FIND(" ",TRIM(F59&amp;""))-1),설정_코드표!$J$2:$J$101,0))&amp;" "&amp;INDEX(설정_코드표!$G$2:$G$101,MATCH(TRIM(RIGHT(SUBSTITUTE(TRIM(F59&amp;"")," ",REPT(" ",60)),60)),설정_코드표!$F$2:$F$101,0)),"⚠"&amp;TRIM(F59&amp;""))),"⚠"&amp;TRIM(F59&amp;""))</f>
        <v/>
      </c>
      <c r="O59" s="10">
        <f>IFERROR(IF(TRIM(G59&amp;"")="","",IF(AND(ISNUMBER(FIND(" ",TRIM(G59&amp;""))),ISNUMBER(MATCH(LEFT(TRIM(G59&amp;""),FIND(" ",TRIM(G59&amp;""))-1),설정_코드표!$J$2:$J$101,0)),ISNUMBER(MATCH(TRIM(RIGHT(SUBSTITUTE(TRIM(G59&amp;"")," ",REPT(" ",60)),60)),설정_코드표!$F$2:$F$101,0))),INDEX(설정_코드표!$K$2:$K$101,MATCH(LEFT(TRIM(G59&amp;""),FIND(" ",TRIM(G59&amp;""))-1),설정_코드표!$J$2:$J$101,0))&amp;" "&amp;INDEX(설정_코드표!$G$2:$G$101,MATCH(TRIM(RIGHT(SUBSTITUTE(TRIM(G59&amp;"")," ",REPT(" ",60)),60)),설정_코드표!$F$2:$F$101,0)),"⚠"&amp;TRIM(G59&amp;""))),"⚠"&amp;TRIM(G59&amp;""))</f>
        <v/>
      </c>
      <c r="P59" s="10">
        <f>IFERROR(IF(TRIM(H59&amp;"")="","",IF(AND(ISNUMBER(FIND(" ",TRIM(H59&amp;""))),ISNUMBER(MATCH(LEFT(TRIM(H59&amp;""),FIND(" ",TRIM(H59&amp;""))-1),설정_코드표!$J$2:$J$101,0)),ISNUMBER(MATCH(TRIM(RIGHT(SUBSTITUTE(TRIM(H59&amp;"")," ",REPT(" ",60)),60)),설정_코드표!$F$2:$F$101,0))),INDEX(설정_코드표!$K$2:$K$101,MATCH(LEFT(TRIM(H59&amp;""),FIND(" ",TRIM(H59&amp;""))-1),설정_코드표!$J$2:$J$101,0))&amp;" "&amp;INDEX(설정_코드표!$G$2:$G$101,MATCH(TRIM(RIGHT(SUBSTITUTE(TRIM(H59&amp;"")," ",REPT(" ",60)),60)),설정_코드표!$F$2:$F$101,0)),"⚠"&amp;TRIM(H59&amp;""))),"⚠"&amp;TRIM(H59&amp;""))</f>
        <v/>
      </c>
      <c r="Q59" s="10">
        <f>IFERROR(IF(TRIM(I59&amp;"")="","",IF(AND(ISNUMBER(FIND(" ",TRIM(I59&amp;""))),ISNUMBER(MATCH(LEFT(TRIM(I59&amp;""),FIND(" ",TRIM(I59&amp;""))-1),설정_코드표!$J$2:$J$101,0)),ISNUMBER(MATCH(TRIM(RIGHT(SUBSTITUTE(TRIM(I59&amp;"")," ",REPT(" ",60)),60)),설정_코드표!$F$2:$F$101,0))),INDEX(설정_코드표!$K$2:$K$101,MATCH(LEFT(TRIM(I59&amp;""),FIND(" ",TRIM(I59&amp;""))-1),설정_코드표!$J$2:$J$101,0))&amp;" "&amp;INDEX(설정_코드표!$G$2:$G$101,MATCH(TRIM(RIGHT(SUBSTITUTE(TRIM(I59&amp;"")," ",REPT(" ",60)),60)),설정_코드표!$F$2:$F$101,0)),"⚠"&amp;TRIM(I59&amp;""))),"⚠"&amp;TRIM(I59&amp;""))</f>
        <v/>
      </c>
      <c r="R59" s="10">
        <f>IFERROR(IF(TRIM(J59&amp;"")="","",IF(AND(ISNUMBER(FIND(" ",TRIM(J59&amp;""))),ISNUMBER(MATCH(LEFT(TRIM(J59&amp;""),FIND(" ",TRIM(J59&amp;""))-1),설정_코드표!$J$2:$J$101,0)),ISNUMBER(MATCH(TRIM(RIGHT(SUBSTITUTE(TRIM(J59&amp;"")," ",REPT(" ",60)),60)),설정_코드표!$F$2:$F$101,0))),INDEX(설정_코드표!$K$2:$K$101,MATCH(LEFT(TRIM(J59&amp;""),FIND(" ",TRIM(J59&amp;""))-1),설정_코드표!$J$2:$J$101,0))&amp;" "&amp;INDEX(설정_코드표!$G$2:$G$101,MATCH(TRIM(RIGHT(SUBSTITUTE(TRIM(J59&amp;"")," ",REPT(" ",60)),60)),설정_코드표!$F$2:$F$101,0)),"⚠"&amp;TRIM(J59&amp;""))),"⚠"&amp;TRIM(J59&amp;""))</f>
        <v/>
      </c>
      <c r="S59" s="11">
        <f>IF(K59="","",IFERROR(IF(AND(ROUND((VALUE(K59&amp;"")-INT(VALUE(K59&amp;"")))*100,0)&gt;=1,ROUND((VALUE(K59&amp;"")-INT(VALUE(K59&amp;"")))*100,0)&lt;=12,INT(VALUE(K59&amp;""))&gt;=1900),DATE(INT(VALUE(K59&amp;"")),ROUND((VALUE(K59&amp;"")-INT(VALUE(K59&amp;"")))*100,0),1),K59&amp;""),K59&amp;""))</f>
        <v/>
      </c>
      <c r="T59" s="10">
        <f>COUNTIF(M59:R59,"⚠*")</f>
        <v/>
      </c>
    </row>
    <row r="60"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M60" s="10">
        <f>IFERROR(IF(TRIM(E60&amp;"")="","",IF(AND(ISNUMBER(FIND(" ",TRIM(E60&amp;""))),ISNUMBER(MATCH(LEFT(TRIM(E60&amp;""),FIND(" ",TRIM(E60&amp;""))-1),설정_코드표!$J$2:$J$101,0)),ISNUMBER(MATCH(TRIM(RIGHT(SUBSTITUTE(TRIM(E60&amp;"")," ",REPT(" ",60)),60)),설정_코드표!$F$2:$F$101,0))),INDEX(설정_코드표!$K$2:$K$101,MATCH(LEFT(TRIM(E60&amp;""),FIND(" ",TRIM(E60&amp;""))-1),설정_코드표!$J$2:$J$101,0))&amp;" "&amp;INDEX(설정_코드표!$G$2:$G$101,MATCH(TRIM(RIGHT(SUBSTITUTE(TRIM(E60&amp;"")," ",REPT(" ",60)),60)),설정_코드표!$F$2:$F$101,0)),"⚠"&amp;TRIM(E60&amp;""))),"⚠"&amp;TRIM(E60&amp;""))</f>
        <v/>
      </c>
      <c r="N60" s="10">
        <f>IFERROR(IF(TRIM(F60&amp;"")="","",IF(AND(ISNUMBER(FIND(" ",TRIM(F60&amp;""))),ISNUMBER(MATCH(LEFT(TRIM(F60&amp;""),FIND(" ",TRIM(F60&amp;""))-1),설정_코드표!$J$2:$J$101,0)),ISNUMBER(MATCH(TRIM(RIGHT(SUBSTITUTE(TRIM(F60&amp;"")," ",REPT(" ",60)),60)),설정_코드표!$F$2:$F$101,0))),INDEX(설정_코드표!$K$2:$K$101,MATCH(LEFT(TRIM(F60&amp;""),FIND(" ",TRIM(F60&amp;""))-1),설정_코드표!$J$2:$J$101,0))&amp;" "&amp;INDEX(설정_코드표!$G$2:$G$101,MATCH(TRIM(RIGHT(SUBSTITUTE(TRIM(F60&amp;"")," ",REPT(" ",60)),60)),설정_코드표!$F$2:$F$101,0)),"⚠"&amp;TRIM(F60&amp;""))),"⚠"&amp;TRIM(F60&amp;""))</f>
        <v/>
      </c>
      <c r="O60" s="10">
        <f>IFERROR(IF(TRIM(G60&amp;"")="","",IF(AND(ISNUMBER(FIND(" ",TRIM(G60&amp;""))),ISNUMBER(MATCH(LEFT(TRIM(G60&amp;""),FIND(" ",TRIM(G60&amp;""))-1),설정_코드표!$J$2:$J$101,0)),ISNUMBER(MATCH(TRIM(RIGHT(SUBSTITUTE(TRIM(G60&amp;"")," ",REPT(" ",60)),60)),설정_코드표!$F$2:$F$101,0))),INDEX(설정_코드표!$K$2:$K$101,MATCH(LEFT(TRIM(G60&amp;""),FIND(" ",TRIM(G60&amp;""))-1),설정_코드표!$J$2:$J$101,0))&amp;" "&amp;INDEX(설정_코드표!$G$2:$G$101,MATCH(TRIM(RIGHT(SUBSTITUTE(TRIM(G60&amp;"")," ",REPT(" ",60)),60)),설정_코드표!$F$2:$F$101,0)),"⚠"&amp;TRIM(G60&amp;""))),"⚠"&amp;TRIM(G60&amp;""))</f>
        <v/>
      </c>
      <c r="P60" s="10">
        <f>IFERROR(IF(TRIM(H60&amp;"")="","",IF(AND(ISNUMBER(FIND(" ",TRIM(H60&amp;""))),ISNUMBER(MATCH(LEFT(TRIM(H60&amp;""),FIND(" ",TRIM(H60&amp;""))-1),설정_코드표!$J$2:$J$101,0)),ISNUMBER(MATCH(TRIM(RIGHT(SUBSTITUTE(TRIM(H60&amp;"")," ",REPT(" ",60)),60)),설정_코드표!$F$2:$F$101,0))),INDEX(설정_코드표!$K$2:$K$101,MATCH(LEFT(TRIM(H60&amp;""),FIND(" ",TRIM(H60&amp;""))-1),설정_코드표!$J$2:$J$101,0))&amp;" "&amp;INDEX(설정_코드표!$G$2:$G$101,MATCH(TRIM(RIGHT(SUBSTITUTE(TRIM(H60&amp;"")," ",REPT(" ",60)),60)),설정_코드표!$F$2:$F$101,0)),"⚠"&amp;TRIM(H60&amp;""))),"⚠"&amp;TRIM(H60&amp;""))</f>
        <v/>
      </c>
      <c r="Q60" s="10">
        <f>IFERROR(IF(TRIM(I60&amp;"")="","",IF(AND(ISNUMBER(FIND(" ",TRIM(I60&amp;""))),ISNUMBER(MATCH(LEFT(TRIM(I60&amp;""),FIND(" ",TRIM(I60&amp;""))-1),설정_코드표!$J$2:$J$101,0)),ISNUMBER(MATCH(TRIM(RIGHT(SUBSTITUTE(TRIM(I60&amp;"")," ",REPT(" ",60)),60)),설정_코드표!$F$2:$F$101,0))),INDEX(설정_코드표!$K$2:$K$101,MATCH(LEFT(TRIM(I60&amp;""),FIND(" ",TRIM(I60&amp;""))-1),설정_코드표!$J$2:$J$101,0))&amp;" "&amp;INDEX(설정_코드표!$G$2:$G$101,MATCH(TRIM(RIGHT(SUBSTITUTE(TRIM(I60&amp;"")," ",REPT(" ",60)),60)),설정_코드표!$F$2:$F$101,0)),"⚠"&amp;TRIM(I60&amp;""))),"⚠"&amp;TRIM(I60&amp;""))</f>
        <v/>
      </c>
      <c r="R60" s="10">
        <f>IFERROR(IF(TRIM(J60&amp;"")="","",IF(AND(ISNUMBER(FIND(" ",TRIM(J60&amp;""))),ISNUMBER(MATCH(LEFT(TRIM(J60&amp;""),FIND(" ",TRIM(J60&amp;""))-1),설정_코드표!$J$2:$J$101,0)),ISNUMBER(MATCH(TRIM(RIGHT(SUBSTITUTE(TRIM(J60&amp;"")," ",REPT(" ",60)),60)),설정_코드표!$F$2:$F$101,0))),INDEX(설정_코드표!$K$2:$K$101,MATCH(LEFT(TRIM(J60&amp;""),FIND(" ",TRIM(J60&amp;""))-1),설정_코드표!$J$2:$J$101,0))&amp;" "&amp;INDEX(설정_코드표!$G$2:$G$101,MATCH(TRIM(RIGHT(SUBSTITUTE(TRIM(J60&amp;"")," ",REPT(" ",60)),60)),설정_코드표!$F$2:$F$101,0)),"⚠"&amp;TRIM(J60&amp;""))),"⚠"&amp;TRIM(J60&amp;""))</f>
        <v/>
      </c>
      <c r="S60" s="11">
        <f>IF(K60="","",IFERROR(IF(AND(ROUND((VALUE(K60&amp;"")-INT(VALUE(K60&amp;"")))*100,0)&gt;=1,ROUND((VALUE(K60&amp;"")-INT(VALUE(K60&amp;"")))*100,0)&lt;=12,INT(VALUE(K60&amp;""))&gt;=1900),DATE(INT(VALUE(K60&amp;"")),ROUND((VALUE(K60&amp;"")-INT(VALUE(K60&amp;"")))*100,0),1),K60&amp;""),K60&amp;""))</f>
        <v/>
      </c>
      <c r="T60" s="10">
        <f>COUNTIF(M60:R60,"⚠*")</f>
        <v/>
      </c>
    </row>
    <row r="61"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M61" s="10">
        <f>IFERROR(IF(TRIM(E61&amp;"")="","",IF(AND(ISNUMBER(FIND(" ",TRIM(E61&amp;""))),ISNUMBER(MATCH(LEFT(TRIM(E61&amp;""),FIND(" ",TRIM(E61&amp;""))-1),설정_코드표!$J$2:$J$101,0)),ISNUMBER(MATCH(TRIM(RIGHT(SUBSTITUTE(TRIM(E61&amp;"")," ",REPT(" ",60)),60)),설정_코드표!$F$2:$F$101,0))),INDEX(설정_코드표!$K$2:$K$101,MATCH(LEFT(TRIM(E61&amp;""),FIND(" ",TRIM(E61&amp;""))-1),설정_코드표!$J$2:$J$101,0))&amp;" "&amp;INDEX(설정_코드표!$G$2:$G$101,MATCH(TRIM(RIGHT(SUBSTITUTE(TRIM(E61&amp;"")," ",REPT(" ",60)),60)),설정_코드표!$F$2:$F$101,0)),"⚠"&amp;TRIM(E61&amp;""))),"⚠"&amp;TRIM(E61&amp;""))</f>
        <v/>
      </c>
      <c r="N61" s="10">
        <f>IFERROR(IF(TRIM(F61&amp;"")="","",IF(AND(ISNUMBER(FIND(" ",TRIM(F61&amp;""))),ISNUMBER(MATCH(LEFT(TRIM(F61&amp;""),FIND(" ",TRIM(F61&amp;""))-1),설정_코드표!$J$2:$J$101,0)),ISNUMBER(MATCH(TRIM(RIGHT(SUBSTITUTE(TRIM(F61&amp;"")," ",REPT(" ",60)),60)),설정_코드표!$F$2:$F$101,0))),INDEX(설정_코드표!$K$2:$K$101,MATCH(LEFT(TRIM(F61&amp;""),FIND(" ",TRIM(F61&amp;""))-1),설정_코드표!$J$2:$J$101,0))&amp;" "&amp;INDEX(설정_코드표!$G$2:$G$101,MATCH(TRIM(RIGHT(SUBSTITUTE(TRIM(F61&amp;"")," ",REPT(" ",60)),60)),설정_코드표!$F$2:$F$101,0)),"⚠"&amp;TRIM(F61&amp;""))),"⚠"&amp;TRIM(F61&amp;""))</f>
        <v/>
      </c>
      <c r="O61" s="10">
        <f>IFERROR(IF(TRIM(G61&amp;"")="","",IF(AND(ISNUMBER(FIND(" ",TRIM(G61&amp;""))),ISNUMBER(MATCH(LEFT(TRIM(G61&amp;""),FIND(" ",TRIM(G61&amp;""))-1),설정_코드표!$J$2:$J$101,0)),ISNUMBER(MATCH(TRIM(RIGHT(SUBSTITUTE(TRIM(G61&amp;"")," ",REPT(" ",60)),60)),설정_코드표!$F$2:$F$101,0))),INDEX(설정_코드표!$K$2:$K$101,MATCH(LEFT(TRIM(G61&amp;""),FIND(" ",TRIM(G61&amp;""))-1),설정_코드표!$J$2:$J$101,0))&amp;" "&amp;INDEX(설정_코드표!$G$2:$G$101,MATCH(TRIM(RIGHT(SUBSTITUTE(TRIM(G61&amp;"")," ",REPT(" ",60)),60)),설정_코드표!$F$2:$F$101,0)),"⚠"&amp;TRIM(G61&amp;""))),"⚠"&amp;TRIM(G61&amp;""))</f>
        <v/>
      </c>
      <c r="P61" s="10">
        <f>IFERROR(IF(TRIM(H61&amp;"")="","",IF(AND(ISNUMBER(FIND(" ",TRIM(H61&amp;""))),ISNUMBER(MATCH(LEFT(TRIM(H61&amp;""),FIND(" ",TRIM(H61&amp;""))-1),설정_코드표!$J$2:$J$101,0)),ISNUMBER(MATCH(TRIM(RIGHT(SUBSTITUTE(TRIM(H61&amp;"")," ",REPT(" ",60)),60)),설정_코드표!$F$2:$F$101,0))),INDEX(설정_코드표!$K$2:$K$101,MATCH(LEFT(TRIM(H61&amp;""),FIND(" ",TRIM(H61&amp;""))-1),설정_코드표!$J$2:$J$101,0))&amp;" "&amp;INDEX(설정_코드표!$G$2:$G$101,MATCH(TRIM(RIGHT(SUBSTITUTE(TRIM(H61&amp;"")," ",REPT(" ",60)),60)),설정_코드표!$F$2:$F$101,0)),"⚠"&amp;TRIM(H61&amp;""))),"⚠"&amp;TRIM(H61&amp;""))</f>
        <v/>
      </c>
      <c r="Q61" s="10">
        <f>IFERROR(IF(TRIM(I61&amp;"")="","",IF(AND(ISNUMBER(FIND(" ",TRIM(I61&amp;""))),ISNUMBER(MATCH(LEFT(TRIM(I61&amp;""),FIND(" ",TRIM(I61&amp;""))-1),설정_코드표!$J$2:$J$101,0)),ISNUMBER(MATCH(TRIM(RIGHT(SUBSTITUTE(TRIM(I61&amp;"")," ",REPT(" ",60)),60)),설정_코드표!$F$2:$F$101,0))),INDEX(설정_코드표!$K$2:$K$101,MATCH(LEFT(TRIM(I61&amp;""),FIND(" ",TRIM(I61&amp;""))-1),설정_코드표!$J$2:$J$101,0))&amp;" "&amp;INDEX(설정_코드표!$G$2:$G$101,MATCH(TRIM(RIGHT(SUBSTITUTE(TRIM(I61&amp;"")," ",REPT(" ",60)),60)),설정_코드표!$F$2:$F$101,0)),"⚠"&amp;TRIM(I61&amp;""))),"⚠"&amp;TRIM(I61&amp;""))</f>
        <v/>
      </c>
      <c r="R61" s="10">
        <f>IFERROR(IF(TRIM(J61&amp;"")="","",IF(AND(ISNUMBER(FIND(" ",TRIM(J61&amp;""))),ISNUMBER(MATCH(LEFT(TRIM(J61&amp;""),FIND(" ",TRIM(J61&amp;""))-1),설정_코드표!$J$2:$J$101,0)),ISNUMBER(MATCH(TRIM(RIGHT(SUBSTITUTE(TRIM(J61&amp;"")," ",REPT(" ",60)),60)),설정_코드표!$F$2:$F$101,0))),INDEX(설정_코드표!$K$2:$K$101,MATCH(LEFT(TRIM(J61&amp;""),FIND(" ",TRIM(J61&amp;""))-1),설정_코드표!$J$2:$J$101,0))&amp;" "&amp;INDEX(설정_코드표!$G$2:$G$101,MATCH(TRIM(RIGHT(SUBSTITUTE(TRIM(J61&amp;"")," ",REPT(" ",60)),60)),설정_코드표!$F$2:$F$101,0)),"⚠"&amp;TRIM(J61&amp;""))),"⚠"&amp;TRIM(J61&amp;""))</f>
        <v/>
      </c>
      <c r="S61" s="11">
        <f>IF(K61="","",IFERROR(IF(AND(ROUND((VALUE(K61&amp;"")-INT(VALUE(K61&amp;"")))*100,0)&gt;=1,ROUND((VALUE(K61&amp;"")-INT(VALUE(K61&amp;"")))*100,0)&lt;=12,INT(VALUE(K61&amp;""))&gt;=1900),DATE(INT(VALUE(K61&amp;"")),ROUND((VALUE(K61&amp;"")-INT(VALUE(K61&amp;"")))*100,0),1),K61&amp;""),K61&amp;""))</f>
        <v/>
      </c>
      <c r="T61" s="10">
        <f>COUNTIF(M61:R61,"⚠*")</f>
        <v/>
      </c>
    </row>
    <row r="62"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M62" s="10">
        <f>IFERROR(IF(TRIM(E62&amp;"")="","",IF(AND(ISNUMBER(FIND(" ",TRIM(E62&amp;""))),ISNUMBER(MATCH(LEFT(TRIM(E62&amp;""),FIND(" ",TRIM(E62&amp;""))-1),설정_코드표!$J$2:$J$101,0)),ISNUMBER(MATCH(TRIM(RIGHT(SUBSTITUTE(TRIM(E62&amp;"")," ",REPT(" ",60)),60)),설정_코드표!$F$2:$F$101,0))),INDEX(설정_코드표!$K$2:$K$101,MATCH(LEFT(TRIM(E62&amp;""),FIND(" ",TRIM(E62&amp;""))-1),설정_코드표!$J$2:$J$101,0))&amp;" "&amp;INDEX(설정_코드표!$G$2:$G$101,MATCH(TRIM(RIGHT(SUBSTITUTE(TRIM(E62&amp;"")," ",REPT(" ",60)),60)),설정_코드표!$F$2:$F$101,0)),"⚠"&amp;TRIM(E62&amp;""))),"⚠"&amp;TRIM(E62&amp;""))</f>
        <v/>
      </c>
      <c r="N62" s="10">
        <f>IFERROR(IF(TRIM(F62&amp;"")="","",IF(AND(ISNUMBER(FIND(" ",TRIM(F62&amp;""))),ISNUMBER(MATCH(LEFT(TRIM(F62&amp;""),FIND(" ",TRIM(F62&amp;""))-1),설정_코드표!$J$2:$J$101,0)),ISNUMBER(MATCH(TRIM(RIGHT(SUBSTITUTE(TRIM(F62&amp;"")," ",REPT(" ",60)),60)),설정_코드표!$F$2:$F$101,0))),INDEX(설정_코드표!$K$2:$K$101,MATCH(LEFT(TRIM(F62&amp;""),FIND(" ",TRIM(F62&amp;""))-1),설정_코드표!$J$2:$J$101,0))&amp;" "&amp;INDEX(설정_코드표!$G$2:$G$101,MATCH(TRIM(RIGHT(SUBSTITUTE(TRIM(F62&amp;"")," ",REPT(" ",60)),60)),설정_코드표!$F$2:$F$101,0)),"⚠"&amp;TRIM(F62&amp;""))),"⚠"&amp;TRIM(F62&amp;""))</f>
        <v/>
      </c>
      <c r="O62" s="10">
        <f>IFERROR(IF(TRIM(G62&amp;"")="","",IF(AND(ISNUMBER(FIND(" ",TRIM(G62&amp;""))),ISNUMBER(MATCH(LEFT(TRIM(G62&amp;""),FIND(" ",TRIM(G62&amp;""))-1),설정_코드표!$J$2:$J$101,0)),ISNUMBER(MATCH(TRIM(RIGHT(SUBSTITUTE(TRIM(G62&amp;"")," ",REPT(" ",60)),60)),설정_코드표!$F$2:$F$101,0))),INDEX(설정_코드표!$K$2:$K$101,MATCH(LEFT(TRIM(G62&amp;""),FIND(" ",TRIM(G62&amp;""))-1),설정_코드표!$J$2:$J$101,0))&amp;" "&amp;INDEX(설정_코드표!$G$2:$G$101,MATCH(TRIM(RIGHT(SUBSTITUTE(TRIM(G62&amp;"")," ",REPT(" ",60)),60)),설정_코드표!$F$2:$F$101,0)),"⚠"&amp;TRIM(G62&amp;""))),"⚠"&amp;TRIM(G62&amp;""))</f>
        <v/>
      </c>
      <c r="P62" s="10">
        <f>IFERROR(IF(TRIM(H62&amp;"")="","",IF(AND(ISNUMBER(FIND(" ",TRIM(H62&amp;""))),ISNUMBER(MATCH(LEFT(TRIM(H62&amp;""),FIND(" ",TRIM(H62&amp;""))-1),설정_코드표!$J$2:$J$101,0)),ISNUMBER(MATCH(TRIM(RIGHT(SUBSTITUTE(TRIM(H62&amp;"")," ",REPT(" ",60)),60)),설정_코드표!$F$2:$F$101,0))),INDEX(설정_코드표!$K$2:$K$101,MATCH(LEFT(TRIM(H62&amp;""),FIND(" ",TRIM(H62&amp;""))-1),설정_코드표!$J$2:$J$101,0))&amp;" "&amp;INDEX(설정_코드표!$G$2:$G$101,MATCH(TRIM(RIGHT(SUBSTITUTE(TRIM(H62&amp;"")," ",REPT(" ",60)),60)),설정_코드표!$F$2:$F$101,0)),"⚠"&amp;TRIM(H62&amp;""))),"⚠"&amp;TRIM(H62&amp;""))</f>
        <v/>
      </c>
      <c r="Q62" s="10">
        <f>IFERROR(IF(TRIM(I62&amp;"")="","",IF(AND(ISNUMBER(FIND(" ",TRIM(I62&amp;""))),ISNUMBER(MATCH(LEFT(TRIM(I62&amp;""),FIND(" ",TRIM(I62&amp;""))-1),설정_코드표!$J$2:$J$101,0)),ISNUMBER(MATCH(TRIM(RIGHT(SUBSTITUTE(TRIM(I62&amp;"")," ",REPT(" ",60)),60)),설정_코드표!$F$2:$F$101,0))),INDEX(설정_코드표!$K$2:$K$101,MATCH(LEFT(TRIM(I62&amp;""),FIND(" ",TRIM(I62&amp;""))-1),설정_코드표!$J$2:$J$101,0))&amp;" "&amp;INDEX(설정_코드표!$G$2:$G$101,MATCH(TRIM(RIGHT(SUBSTITUTE(TRIM(I62&amp;"")," ",REPT(" ",60)),60)),설정_코드표!$F$2:$F$101,0)),"⚠"&amp;TRIM(I62&amp;""))),"⚠"&amp;TRIM(I62&amp;""))</f>
        <v/>
      </c>
      <c r="R62" s="10">
        <f>IFERROR(IF(TRIM(J62&amp;"")="","",IF(AND(ISNUMBER(FIND(" ",TRIM(J62&amp;""))),ISNUMBER(MATCH(LEFT(TRIM(J62&amp;""),FIND(" ",TRIM(J62&amp;""))-1),설정_코드표!$J$2:$J$101,0)),ISNUMBER(MATCH(TRIM(RIGHT(SUBSTITUTE(TRIM(J62&amp;"")," ",REPT(" ",60)),60)),설정_코드표!$F$2:$F$101,0))),INDEX(설정_코드표!$K$2:$K$101,MATCH(LEFT(TRIM(J62&amp;""),FIND(" ",TRIM(J62&amp;""))-1),설정_코드표!$J$2:$J$101,0))&amp;" "&amp;INDEX(설정_코드표!$G$2:$G$101,MATCH(TRIM(RIGHT(SUBSTITUTE(TRIM(J62&amp;"")," ",REPT(" ",60)),60)),설정_코드표!$F$2:$F$101,0)),"⚠"&amp;TRIM(J62&amp;""))),"⚠"&amp;TRIM(J62&amp;""))</f>
        <v/>
      </c>
      <c r="S62" s="11">
        <f>IF(K62="","",IFERROR(IF(AND(ROUND((VALUE(K62&amp;"")-INT(VALUE(K62&amp;"")))*100,0)&gt;=1,ROUND((VALUE(K62&amp;"")-INT(VALUE(K62&amp;"")))*100,0)&lt;=12,INT(VALUE(K62&amp;""))&gt;=1900),DATE(INT(VALUE(K62&amp;"")),ROUND((VALUE(K62&amp;"")-INT(VALUE(K62&amp;"")))*100,0),1),K62&amp;""),K62&amp;""))</f>
        <v/>
      </c>
      <c r="T62" s="10">
        <f>COUNTIF(M62:R62,"⚠*")</f>
        <v/>
      </c>
    </row>
    <row r="63"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M63" s="10">
        <f>IFERROR(IF(TRIM(E63&amp;"")="","",IF(AND(ISNUMBER(FIND(" ",TRIM(E63&amp;""))),ISNUMBER(MATCH(LEFT(TRIM(E63&amp;""),FIND(" ",TRIM(E63&amp;""))-1),설정_코드표!$J$2:$J$101,0)),ISNUMBER(MATCH(TRIM(RIGHT(SUBSTITUTE(TRIM(E63&amp;"")," ",REPT(" ",60)),60)),설정_코드표!$F$2:$F$101,0))),INDEX(설정_코드표!$K$2:$K$101,MATCH(LEFT(TRIM(E63&amp;""),FIND(" ",TRIM(E63&amp;""))-1),설정_코드표!$J$2:$J$101,0))&amp;" "&amp;INDEX(설정_코드표!$G$2:$G$101,MATCH(TRIM(RIGHT(SUBSTITUTE(TRIM(E63&amp;"")," ",REPT(" ",60)),60)),설정_코드표!$F$2:$F$101,0)),"⚠"&amp;TRIM(E63&amp;""))),"⚠"&amp;TRIM(E63&amp;""))</f>
        <v/>
      </c>
      <c r="N63" s="10">
        <f>IFERROR(IF(TRIM(F63&amp;"")="","",IF(AND(ISNUMBER(FIND(" ",TRIM(F63&amp;""))),ISNUMBER(MATCH(LEFT(TRIM(F63&amp;""),FIND(" ",TRIM(F63&amp;""))-1),설정_코드표!$J$2:$J$101,0)),ISNUMBER(MATCH(TRIM(RIGHT(SUBSTITUTE(TRIM(F63&amp;"")," ",REPT(" ",60)),60)),설정_코드표!$F$2:$F$101,0))),INDEX(설정_코드표!$K$2:$K$101,MATCH(LEFT(TRIM(F63&amp;""),FIND(" ",TRIM(F63&amp;""))-1),설정_코드표!$J$2:$J$101,0))&amp;" "&amp;INDEX(설정_코드표!$G$2:$G$101,MATCH(TRIM(RIGHT(SUBSTITUTE(TRIM(F63&amp;"")," ",REPT(" ",60)),60)),설정_코드표!$F$2:$F$101,0)),"⚠"&amp;TRIM(F63&amp;""))),"⚠"&amp;TRIM(F63&amp;""))</f>
        <v/>
      </c>
      <c r="O63" s="10">
        <f>IFERROR(IF(TRIM(G63&amp;"")="","",IF(AND(ISNUMBER(FIND(" ",TRIM(G63&amp;""))),ISNUMBER(MATCH(LEFT(TRIM(G63&amp;""),FIND(" ",TRIM(G63&amp;""))-1),설정_코드표!$J$2:$J$101,0)),ISNUMBER(MATCH(TRIM(RIGHT(SUBSTITUTE(TRIM(G63&amp;"")," ",REPT(" ",60)),60)),설정_코드표!$F$2:$F$101,0))),INDEX(설정_코드표!$K$2:$K$101,MATCH(LEFT(TRIM(G63&amp;""),FIND(" ",TRIM(G63&amp;""))-1),설정_코드표!$J$2:$J$101,0))&amp;" "&amp;INDEX(설정_코드표!$G$2:$G$101,MATCH(TRIM(RIGHT(SUBSTITUTE(TRIM(G63&amp;"")," ",REPT(" ",60)),60)),설정_코드표!$F$2:$F$101,0)),"⚠"&amp;TRIM(G63&amp;""))),"⚠"&amp;TRIM(G63&amp;""))</f>
        <v/>
      </c>
      <c r="P63" s="10">
        <f>IFERROR(IF(TRIM(H63&amp;"")="","",IF(AND(ISNUMBER(FIND(" ",TRIM(H63&amp;""))),ISNUMBER(MATCH(LEFT(TRIM(H63&amp;""),FIND(" ",TRIM(H63&amp;""))-1),설정_코드표!$J$2:$J$101,0)),ISNUMBER(MATCH(TRIM(RIGHT(SUBSTITUTE(TRIM(H63&amp;"")," ",REPT(" ",60)),60)),설정_코드표!$F$2:$F$101,0))),INDEX(설정_코드표!$K$2:$K$101,MATCH(LEFT(TRIM(H63&amp;""),FIND(" ",TRIM(H63&amp;""))-1),설정_코드표!$J$2:$J$101,0))&amp;" "&amp;INDEX(설정_코드표!$G$2:$G$101,MATCH(TRIM(RIGHT(SUBSTITUTE(TRIM(H63&amp;"")," ",REPT(" ",60)),60)),설정_코드표!$F$2:$F$101,0)),"⚠"&amp;TRIM(H63&amp;""))),"⚠"&amp;TRIM(H63&amp;""))</f>
        <v/>
      </c>
      <c r="Q63" s="10">
        <f>IFERROR(IF(TRIM(I63&amp;"")="","",IF(AND(ISNUMBER(FIND(" ",TRIM(I63&amp;""))),ISNUMBER(MATCH(LEFT(TRIM(I63&amp;""),FIND(" ",TRIM(I63&amp;""))-1),설정_코드표!$J$2:$J$101,0)),ISNUMBER(MATCH(TRIM(RIGHT(SUBSTITUTE(TRIM(I63&amp;"")," ",REPT(" ",60)),60)),설정_코드표!$F$2:$F$101,0))),INDEX(설정_코드표!$K$2:$K$101,MATCH(LEFT(TRIM(I63&amp;""),FIND(" ",TRIM(I63&amp;""))-1),설정_코드표!$J$2:$J$101,0))&amp;" "&amp;INDEX(설정_코드표!$G$2:$G$101,MATCH(TRIM(RIGHT(SUBSTITUTE(TRIM(I63&amp;"")," ",REPT(" ",60)),60)),설정_코드표!$F$2:$F$101,0)),"⚠"&amp;TRIM(I63&amp;""))),"⚠"&amp;TRIM(I63&amp;""))</f>
        <v/>
      </c>
      <c r="R63" s="10">
        <f>IFERROR(IF(TRIM(J63&amp;"")="","",IF(AND(ISNUMBER(FIND(" ",TRIM(J63&amp;""))),ISNUMBER(MATCH(LEFT(TRIM(J63&amp;""),FIND(" ",TRIM(J63&amp;""))-1),설정_코드표!$J$2:$J$101,0)),ISNUMBER(MATCH(TRIM(RIGHT(SUBSTITUTE(TRIM(J63&amp;"")," ",REPT(" ",60)),60)),설정_코드표!$F$2:$F$101,0))),INDEX(설정_코드표!$K$2:$K$101,MATCH(LEFT(TRIM(J63&amp;""),FIND(" ",TRIM(J63&amp;""))-1),설정_코드표!$J$2:$J$101,0))&amp;" "&amp;INDEX(설정_코드표!$G$2:$G$101,MATCH(TRIM(RIGHT(SUBSTITUTE(TRIM(J63&amp;"")," ",REPT(" ",60)),60)),설정_코드표!$F$2:$F$101,0)),"⚠"&amp;TRIM(J63&amp;""))),"⚠"&amp;TRIM(J63&amp;""))</f>
        <v/>
      </c>
      <c r="S63" s="11">
        <f>IF(K63="","",IFERROR(IF(AND(ROUND((VALUE(K63&amp;"")-INT(VALUE(K63&amp;"")))*100,0)&gt;=1,ROUND((VALUE(K63&amp;"")-INT(VALUE(K63&amp;"")))*100,0)&lt;=12,INT(VALUE(K63&amp;""))&gt;=1900),DATE(INT(VALUE(K63&amp;"")),ROUND((VALUE(K63&amp;"")-INT(VALUE(K63&amp;"")))*100,0),1),K63&amp;""),K63&amp;""))</f>
        <v/>
      </c>
      <c r="T63" s="10">
        <f>COUNTIF(M63:R63,"⚠*")</f>
        <v/>
      </c>
    </row>
    <row r="64"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M64" s="10">
        <f>IFERROR(IF(TRIM(E64&amp;"")="","",IF(AND(ISNUMBER(FIND(" ",TRIM(E64&amp;""))),ISNUMBER(MATCH(LEFT(TRIM(E64&amp;""),FIND(" ",TRIM(E64&amp;""))-1),설정_코드표!$J$2:$J$101,0)),ISNUMBER(MATCH(TRIM(RIGHT(SUBSTITUTE(TRIM(E64&amp;"")," ",REPT(" ",60)),60)),설정_코드표!$F$2:$F$101,0))),INDEX(설정_코드표!$K$2:$K$101,MATCH(LEFT(TRIM(E64&amp;""),FIND(" ",TRIM(E64&amp;""))-1),설정_코드표!$J$2:$J$101,0))&amp;" "&amp;INDEX(설정_코드표!$G$2:$G$101,MATCH(TRIM(RIGHT(SUBSTITUTE(TRIM(E64&amp;"")," ",REPT(" ",60)),60)),설정_코드표!$F$2:$F$101,0)),"⚠"&amp;TRIM(E64&amp;""))),"⚠"&amp;TRIM(E64&amp;""))</f>
        <v/>
      </c>
      <c r="N64" s="10">
        <f>IFERROR(IF(TRIM(F64&amp;"")="","",IF(AND(ISNUMBER(FIND(" ",TRIM(F64&amp;""))),ISNUMBER(MATCH(LEFT(TRIM(F64&amp;""),FIND(" ",TRIM(F64&amp;""))-1),설정_코드표!$J$2:$J$101,0)),ISNUMBER(MATCH(TRIM(RIGHT(SUBSTITUTE(TRIM(F64&amp;"")," ",REPT(" ",60)),60)),설정_코드표!$F$2:$F$101,0))),INDEX(설정_코드표!$K$2:$K$101,MATCH(LEFT(TRIM(F64&amp;""),FIND(" ",TRIM(F64&amp;""))-1),설정_코드표!$J$2:$J$101,0))&amp;" "&amp;INDEX(설정_코드표!$G$2:$G$101,MATCH(TRIM(RIGHT(SUBSTITUTE(TRIM(F64&amp;"")," ",REPT(" ",60)),60)),설정_코드표!$F$2:$F$101,0)),"⚠"&amp;TRIM(F64&amp;""))),"⚠"&amp;TRIM(F64&amp;""))</f>
        <v/>
      </c>
      <c r="O64" s="10">
        <f>IFERROR(IF(TRIM(G64&amp;"")="","",IF(AND(ISNUMBER(FIND(" ",TRIM(G64&amp;""))),ISNUMBER(MATCH(LEFT(TRIM(G64&amp;""),FIND(" ",TRIM(G64&amp;""))-1),설정_코드표!$J$2:$J$101,0)),ISNUMBER(MATCH(TRIM(RIGHT(SUBSTITUTE(TRIM(G64&amp;"")," ",REPT(" ",60)),60)),설정_코드표!$F$2:$F$101,0))),INDEX(설정_코드표!$K$2:$K$101,MATCH(LEFT(TRIM(G64&amp;""),FIND(" ",TRIM(G64&amp;""))-1),설정_코드표!$J$2:$J$101,0))&amp;" "&amp;INDEX(설정_코드표!$G$2:$G$101,MATCH(TRIM(RIGHT(SUBSTITUTE(TRIM(G64&amp;"")," ",REPT(" ",60)),60)),설정_코드표!$F$2:$F$101,0)),"⚠"&amp;TRIM(G64&amp;""))),"⚠"&amp;TRIM(G64&amp;""))</f>
        <v/>
      </c>
      <c r="P64" s="10">
        <f>IFERROR(IF(TRIM(H64&amp;"")="","",IF(AND(ISNUMBER(FIND(" ",TRIM(H64&amp;""))),ISNUMBER(MATCH(LEFT(TRIM(H64&amp;""),FIND(" ",TRIM(H64&amp;""))-1),설정_코드표!$J$2:$J$101,0)),ISNUMBER(MATCH(TRIM(RIGHT(SUBSTITUTE(TRIM(H64&amp;"")," ",REPT(" ",60)),60)),설정_코드표!$F$2:$F$101,0))),INDEX(설정_코드표!$K$2:$K$101,MATCH(LEFT(TRIM(H64&amp;""),FIND(" ",TRIM(H64&amp;""))-1),설정_코드표!$J$2:$J$101,0))&amp;" "&amp;INDEX(설정_코드표!$G$2:$G$101,MATCH(TRIM(RIGHT(SUBSTITUTE(TRIM(H64&amp;"")," ",REPT(" ",60)),60)),설정_코드표!$F$2:$F$101,0)),"⚠"&amp;TRIM(H64&amp;""))),"⚠"&amp;TRIM(H64&amp;""))</f>
        <v/>
      </c>
      <c r="Q64" s="10">
        <f>IFERROR(IF(TRIM(I64&amp;"")="","",IF(AND(ISNUMBER(FIND(" ",TRIM(I64&amp;""))),ISNUMBER(MATCH(LEFT(TRIM(I64&amp;""),FIND(" ",TRIM(I64&amp;""))-1),설정_코드표!$J$2:$J$101,0)),ISNUMBER(MATCH(TRIM(RIGHT(SUBSTITUTE(TRIM(I64&amp;"")," ",REPT(" ",60)),60)),설정_코드표!$F$2:$F$101,0))),INDEX(설정_코드표!$K$2:$K$101,MATCH(LEFT(TRIM(I64&amp;""),FIND(" ",TRIM(I64&amp;""))-1),설정_코드표!$J$2:$J$101,0))&amp;" "&amp;INDEX(설정_코드표!$G$2:$G$101,MATCH(TRIM(RIGHT(SUBSTITUTE(TRIM(I64&amp;"")," ",REPT(" ",60)),60)),설정_코드표!$F$2:$F$101,0)),"⚠"&amp;TRIM(I64&amp;""))),"⚠"&amp;TRIM(I64&amp;""))</f>
        <v/>
      </c>
      <c r="R64" s="10">
        <f>IFERROR(IF(TRIM(J64&amp;"")="","",IF(AND(ISNUMBER(FIND(" ",TRIM(J64&amp;""))),ISNUMBER(MATCH(LEFT(TRIM(J64&amp;""),FIND(" ",TRIM(J64&amp;""))-1),설정_코드표!$J$2:$J$101,0)),ISNUMBER(MATCH(TRIM(RIGHT(SUBSTITUTE(TRIM(J64&amp;"")," ",REPT(" ",60)),60)),설정_코드표!$F$2:$F$101,0))),INDEX(설정_코드표!$K$2:$K$101,MATCH(LEFT(TRIM(J64&amp;""),FIND(" ",TRIM(J64&amp;""))-1),설정_코드표!$J$2:$J$101,0))&amp;" "&amp;INDEX(설정_코드표!$G$2:$G$101,MATCH(TRIM(RIGHT(SUBSTITUTE(TRIM(J64&amp;"")," ",REPT(" ",60)),60)),설정_코드표!$F$2:$F$101,0)),"⚠"&amp;TRIM(J64&amp;""))),"⚠"&amp;TRIM(J64&amp;""))</f>
        <v/>
      </c>
      <c r="S64" s="11">
        <f>IF(K64="","",IFERROR(IF(AND(ROUND((VALUE(K64&amp;"")-INT(VALUE(K64&amp;"")))*100,0)&gt;=1,ROUND((VALUE(K64&amp;"")-INT(VALUE(K64&amp;"")))*100,0)&lt;=12,INT(VALUE(K64&amp;""))&gt;=1900),DATE(INT(VALUE(K64&amp;"")),ROUND((VALUE(K64&amp;"")-INT(VALUE(K64&amp;"")))*100,0),1),K64&amp;""),K64&amp;""))</f>
        <v/>
      </c>
      <c r="T64" s="10">
        <f>COUNTIF(M64:R64,"⚠*")</f>
        <v/>
      </c>
    </row>
    <row r="65"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M65" s="10">
        <f>IFERROR(IF(TRIM(E65&amp;"")="","",IF(AND(ISNUMBER(FIND(" ",TRIM(E65&amp;""))),ISNUMBER(MATCH(LEFT(TRIM(E65&amp;""),FIND(" ",TRIM(E65&amp;""))-1),설정_코드표!$J$2:$J$101,0)),ISNUMBER(MATCH(TRIM(RIGHT(SUBSTITUTE(TRIM(E65&amp;"")," ",REPT(" ",60)),60)),설정_코드표!$F$2:$F$101,0))),INDEX(설정_코드표!$K$2:$K$101,MATCH(LEFT(TRIM(E65&amp;""),FIND(" ",TRIM(E65&amp;""))-1),설정_코드표!$J$2:$J$101,0))&amp;" "&amp;INDEX(설정_코드표!$G$2:$G$101,MATCH(TRIM(RIGHT(SUBSTITUTE(TRIM(E65&amp;"")," ",REPT(" ",60)),60)),설정_코드표!$F$2:$F$101,0)),"⚠"&amp;TRIM(E65&amp;""))),"⚠"&amp;TRIM(E65&amp;""))</f>
        <v/>
      </c>
      <c r="N65" s="10">
        <f>IFERROR(IF(TRIM(F65&amp;"")="","",IF(AND(ISNUMBER(FIND(" ",TRIM(F65&amp;""))),ISNUMBER(MATCH(LEFT(TRIM(F65&amp;""),FIND(" ",TRIM(F65&amp;""))-1),설정_코드표!$J$2:$J$101,0)),ISNUMBER(MATCH(TRIM(RIGHT(SUBSTITUTE(TRIM(F65&amp;"")," ",REPT(" ",60)),60)),설정_코드표!$F$2:$F$101,0))),INDEX(설정_코드표!$K$2:$K$101,MATCH(LEFT(TRIM(F65&amp;""),FIND(" ",TRIM(F65&amp;""))-1),설정_코드표!$J$2:$J$101,0))&amp;" "&amp;INDEX(설정_코드표!$G$2:$G$101,MATCH(TRIM(RIGHT(SUBSTITUTE(TRIM(F65&amp;"")," ",REPT(" ",60)),60)),설정_코드표!$F$2:$F$101,0)),"⚠"&amp;TRIM(F65&amp;""))),"⚠"&amp;TRIM(F65&amp;""))</f>
        <v/>
      </c>
      <c r="O65" s="10">
        <f>IFERROR(IF(TRIM(G65&amp;"")="","",IF(AND(ISNUMBER(FIND(" ",TRIM(G65&amp;""))),ISNUMBER(MATCH(LEFT(TRIM(G65&amp;""),FIND(" ",TRIM(G65&amp;""))-1),설정_코드표!$J$2:$J$101,0)),ISNUMBER(MATCH(TRIM(RIGHT(SUBSTITUTE(TRIM(G65&amp;"")," ",REPT(" ",60)),60)),설정_코드표!$F$2:$F$101,0))),INDEX(설정_코드표!$K$2:$K$101,MATCH(LEFT(TRIM(G65&amp;""),FIND(" ",TRIM(G65&amp;""))-1),설정_코드표!$J$2:$J$101,0))&amp;" "&amp;INDEX(설정_코드표!$G$2:$G$101,MATCH(TRIM(RIGHT(SUBSTITUTE(TRIM(G65&amp;"")," ",REPT(" ",60)),60)),설정_코드표!$F$2:$F$101,0)),"⚠"&amp;TRIM(G65&amp;""))),"⚠"&amp;TRIM(G65&amp;""))</f>
        <v/>
      </c>
      <c r="P65" s="10">
        <f>IFERROR(IF(TRIM(H65&amp;"")="","",IF(AND(ISNUMBER(FIND(" ",TRIM(H65&amp;""))),ISNUMBER(MATCH(LEFT(TRIM(H65&amp;""),FIND(" ",TRIM(H65&amp;""))-1),설정_코드표!$J$2:$J$101,0)),ISNUMBER(MATCH(TRIM(RIGHT(SUBSTITUTE(TRIM(H65&amp;"")," ",REPT(" ",60)),60)),설정_코드표!$F$2:$F$101,0))),INDEX(설정_코드표!$K$2:$K$101,MATCH(LEFT(TRIM(H65&amp;""),FIND(" ",TRIM(H65&amp;""))-1),설정_코드표!$J$2:$J$101,0))&amp;" "&amp;INDEX(설정_코드표!$G$2:$G$101,MATCH(TRIM(RIGHT(SUBSTITUTE(TRIM(H65&amp;"")," ",REPT(" ",60)),60)),설정_코드표!$F$2:$F$101,0)),"⚠"&amp;TRIM(H65&amp;""))),"⚠"&amp;TRIM(H65&amp;""))</f>
        <v/>
      </c>
      <c r="Q65" s="10">
        <f>IFERROR(IF(TRIM(I65&amp;"")="","",IF(AND(ISNUMBER(FIND(" ",TRIM(I65&amp;""))),ISNUMBER(MATCH(LEFT(TRIM(I65&amp;""),FIND(" ",TRIM(I65&amp;""))-1),설정_코드표!$J$2:$J$101,0)),ISNUMBER(MATCH(TRIM(RIGHT(SUBSTITUTE(TRIM(I65&amp;"")," ",REPT(" ",60)),60)),설정_코드표!$F$2:$F$101,0))),INDEX(설정_코드표!$K$2:$K$101,MATCH(LEFT(TRIM(I65&amp;""),FIND(" ",TRIM(I65&amp;""))-1),설정_코드표!$J$2:$J$101,0))&amp;" "&amp;INDEX(설정_코드표!$G$2:$G$101,MATCH(TRIM(RIGHT(SUBSTITUTE(TRIM(I65&amp;"")," ",REPT(" ",60)),60)),설정_코드표!$F$2:$F$101,0)),"⚠"&amp;TRIM(I65&amp;""))),"⚠"&amp;TRIM(I65&amp;""))</f>
        <v/>
      </c>
      <c r="R65" s="10">
        <f>IFERROR(IF(TRIM(J65&amp;"")="","",IF(AND(ISNUMBER(FIND(" ",TRIM(J65&amp;""))),ISNUMBER(MATCH(LEFT(TRIM(J65&amp;""),FIND(" ",TRIM(J65&amp;""))-1),설정_코드표!$J$2:$J$101,0)),ISNUMBER(MATCH(TRIM(RIGHT(SUBSTITUTE(TRIM(J65&amp;"")," ",REPT(" ",60)),60)),설정_코드표!$F$2:$F$101,0))),INDEX(설정_코드표!$K$2:$K$101,MATCH(LEFT(TRIM(J65&amp;""),FIND(" ",TRIM(J65&amp;""))-1),설정_코드표!$J$2:$J$101,0))&amp;" "&amp;INDEX(설정_코드표!$G$2:$G$101,MATCH(TRIM(RIGHT(SUBSTITUTE(TRIM(J65&amp;"")," ",REPT(" ",60)),60)),설정_코드표!$F$2:$F$101,0)),"⚠"&amp;TRIM(J65&amp;""))),"⚠"&amp;TRIM(J65&amp;""))</f>
        <v/>
      </c>
      <c r="S65" s="11">
        <f>IF(K65="","",IFERROR(IF(AND(ROUND((VALUE(K65&amp;"")-INT(VALUE(K65&amp;"")))*100,0)&gt;=1,ROUND((VALUE(K65&amp;"")-INT(VALUE(K65&amp;"")))*100,0)&lt;=12,INT(VALUE(K65&amp;""))&gt;=1900),DATE(INT(VALUE(K65&amp;"")),ROUND((VALUE(K65&amp;"")-INT(VALUE(K65&amp;"")))*100,0),1),K65&amp;""),K65&amp;""))</f>
        <v/>
      </c>
      <c r="T65" s="10">
        <f>COUNTIF(M65:R65,"⚠*")</f>
        <v/>
      </c>
    </row>
    <row r="66"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M66" s="10">
        <f>IFERROR(IF(TRIM(E66&amp;"")="","",IF(AND(ISNUMBER(FIND(" ",TRIM(E66&amp;""))),ISNUMBER(MATCH(LEFT(TRIM(E66&amp;""),FIND(" ",TRIM(E66&amp;""))-1),설정_코드표!$J$2:$J$101,0)),ISNUMBER(MATCH(TRIM(RIGHT(SUBSTITUTE(TRIM(E66&amp;"")," ",REPT(" ",60)),60)),설정_코드표!$F$2:$F$101,0))),INDEX(설정_코드표!$K$2:$K$101,MATCH(LEFT(TRIM(E66&amp;""),FIND(" ",TRIM(E66&amp;""))-1),설정_코드표!$J$2:$J$101,0))&amp;" "&amp;INDEX(설정_코드표!$G$2:$G$101,MATCH(TRIM(RIGHT(SUBSTITUTE(TRIM(E66&amp;"")," ",REPT(" ",60)),60)),설정_코드표!$F$2:$F$101,0)),"⚠"&amp;TRIM(E66&amp;""))),"⚠"&amp;TRIM(E66&amp;""))</f>
        <v/>
      </c>
      <c r="N66" s="10">
        <f>IFERROR(IF(TRIM(F66&amp;"")="","",IF(AND(ISNUMBER(FIND(" ",TRIM(F66&amp;""))),ISNUMBER(MATCH(LEFT(TRIM(F66&amp;""),FIND(" ",TRIM(F66&amp;""))-1),설정_코드표!$J$2:$J$101,0)),ISNUMBER(MATCH(TRIM(RIGHT(SUBSTITUTE(TRIM(F66&amp;"")," ",REPT(" ",60)),60)),설정_코드표!$F$2:$F$101,0))),INDEX(설정_코드표!$K$2:$K$101,MATCH(LEFT(TRIM(F66&amp;""),FIND(" ",TRIM(F66&amp;""))-1),설정_코드표!$J$2:$J$101,0))&amp;" "&amp;INDEX(설정_코드표!$G$2:$G$101,MATCH(TRIM(RIGHT(SUBSTITUTE(TRIM(F66&amp;"")," ",REPT(" ",60)),60)),설정_코드표!$F$2:$F$101,0)),"⚠"&amp;TRIM(F66&amp;""))),"⚠"&amp;TRIM(F66&amp;""))</f>
        <v/>
      </c>
      <c r="O66" s="10">
        <f>IFERROR(IF(TRIM(G66&amp;"")="","",IF(AND(ISNUMBER(FIND(" ",TRIM(G66&amp;""))),ISNUMBER(MATCH(LEFT(TRIM(G66&amp;""),FIND(" ",TRIM(G66&amp;""))-1),설정_코드표!$J$2:$J$101,0)),ISNUMBER(MATCH(TRIM(RIGHT(SUBSTITUTE(TRIM(G66&amp;"")," ",REPT(" ",60)),60)),설정_코드표!$F$2:$F$101,0))),INDEX(설정_코드표!$K$2:$K$101,MATCH(LEFT(TRIM(G66&amp;""),FIND(" ",TRIM(G66&amp;""))-1),설정_코드표!$J$2:$J$101,0))&amp;" "&amp;INDEX(설정_코드표!$G$2:$G$101,MATCH(TRIM(RIGHT(SUBSTITUTE(TRIM(G66&amp;"")," ",REPT(" ",60)),60)),설정_코드표!$F$2:$F$101,0)),"⚠"&amp;TRIM(G66&amp;""))),"⚠"&amp;TRIM(G66&amp;""))</f>
        <v/>
      </c>
      <c r="P66" s="10">
        <f>IFERROR(IF(TRIM(H66&amp;"")="","",IF(AND(ISNUMBER(FIND(" ",TRIM(H66&amp;""))),ISNUMBER(MATCH(LEFT(TRIM(H66&amp;""),FIND(" ",TRIM(H66&amp;""))-1),설정_코드표!$J$2:$J$101,0)),ISNUMBER(MATCH(TRIM(RIGHT(SUBSTITUTE(TRIM(H66&amp;"")," ",REPT(" ",60)),60)),설정_코드표!$F$2:$F$101,0))),INDEX(설정_코드표!$K$2:$K$101,MATCH(LEFT(TRIM(H66&amp;""),FIND(" ",TRIM(H66&amp;""))-1),설정_코드표!$J$2:$J$101,0))&amp;" "&amp;INDEX(설정_코드표!$G$2:$G$101,MATCH(TRIM(RIGHT(SUBSTITUTE(TRIM(H66&amp;"")," ",REPT(" ",60)),60)),설정_코드표!$F$2:$F$101,0)),"⚠"&amp;TRIM(H66&amp;""))),"⚠"&amp;TRIM(H66&amp;""))</f>
        <v/>
      </c>
      <c r="Q66" s="10">
        <f>IFERROR(IF(TRIM(I66&amp;"")="","",IF(AND(ISNUMBER(FIND(" ",TRIM(I66&amp;""))),ISNUMBER(MATCH(LEFT(TRIM(I66&amp;""),FIND(" ",TRIM(I66&amp;""))-1),설정_코드표!$J$2:$J$101,0)),ISNUMBER(MATCH(TRIM(RIGHT(SUBSTITUTE(TRIM(I66&amp;"")," ",REPT(" ",60)),60)),설정_코드표!$F$2:$F$101,0))),INDEX(설정_코드표!$K$2:$K$101,MATCH(LEFT(TRIM(I66&amp;""),FIND(" ",TRIM(I66&amp;""))-1),설정_코드표!$J$2:$J$101,0))&amp;" "&amp;INDEX(설정_코드표!$G$2:$G$101,MATCH(TRIM(RIGHT(SUBSTITUTE(TRIM(I66&amp;"")," ",REPT(" ",60)),60)),설정_코드표!$F$2:$F$101,0)),"⚠"&amp;TRIM(I66&amp;""))),"⚠"&amp;TRIM(I66&amp;""))</f>
        <v/>
      </c>
      <c r="R66" s="10">
        <f>IFERROR(IF(TRIM(J66&amp;"")="","",IF(AND(ISNUMBER(FIND(" ",TRIM(J66&amp;""))),ISNUMBER(MATCH(LEFT(TRIM(J66&amp;""),FIND(" ",TRIM(J66&amp;""))-1),설정_코드표!$J$2:$J$101,0)),ISNUMBER(MATCH(TRIM(RIGHT(SUBSTITUTE(TRIM(J66&amp;"")," ",REPT(" ",60)),60)),설정_코드표!$F$2:$F$101,0))),INDEX(설정_코드표!$K$2:$K$101,MATCH(LEFT(TRIM(J66&amp;""),FIND(" ",TRIM(J66&amp;""))-1),설정_코드표!$J$2:$J$101,0))&amp;" "&amp;INDEX(설정_코드표!$G$2:$G$101,MATCH(TRIM(RIGHT(SUBSTITUTE(TRIM(J66&amp;"")," ",REPT(" ",60)),60)),설정_코드표!$F$2:$F$101,0)),"⚠"&amp;TRIM(J66&amp;""))),"⚠"&amp;TRIM(J66&amp;""))</f>
        <v/>
      </c>
      <c r="S66" s="11">
        <f>IF(K66="","",IFERROR(IF(AND(ROUND((VALUE(K66&amp;"")-INT(VALUE(K66&amp;"")))*100,0)&gt;=1,ROUND((VALUE(K66&amp;"")-INT(VALUE(K66&amp;"")))*100,0)&lt;=12,INT(VALUE(K66&amp;""))&gt;=1900),DATE(INT(VALUE(K66&amp;"")),ROUND((VALUE(K66&amp;"")-INT(VALUE(K66&amp;"")))*100,0),1),K66&amp;""),K66&amp;""))</f>
        <v/>
      </c>
      <c r="T66" s="10">
        <f>COUNTIF(M66:R66,"⚠*")</f>
        <v/>
      </c>
    </row>
    <row r="67"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M67" s="10">
        <f>IFERROR(IF(TRIM(E67&amp;"")="","",IF(AND(ISNUMBER(FIND(" ",TRIM(E67&amp;""))),ISNUMBER(MATCH(LEFT(TRIM(E67&amp;""),FIND(" ",TRIM(E67&amp;""))-1),설정_코드표!$J$2:$J$101,0)),ISNUMBER(MATCH(TRIM(RIGHT(SUBSTITUTE(TRIM(E67&amp;"")," ",REPT(" ",60)),60)),설정_코드표!$F$2:$F$101,0))),INDEX(설정_코드표!$K$2:$K$101,MATCH(LEFT(TRIM(E67&amp;""),FIND(" ",TRIM(E67&amp;""))-1),설정_코드표!$J$2:$J$101,0))&amp;" "&amp;INDEX(설정_코드표!$G$2:$G$101,MATCH(TRIM(RIGHT(SUBSTITUTE(TRIM(E67&amp;"")," ",REPT(" ",60)),60)),설정_코드표!$F$2:$F$101,0)),"⚠"&amp;TRIM(E67&amp;""))),"⚠"&amp;TRIM(E67&amp;""))</f>
        <v/>
      </c>
      <c r="N67" s="10">
        <f>IFERROR(IF(TRIM(F67&amp;"")="","",IF(AND(ISNUMBER(FIND(" ",TRIM(F67&amp;""))),ISNUMBER(MATCH(LEFT(TRIM(F67&amp;""),FIND(" ",TRIM(F67&amp;""))-1),설정_코드표!$J$2:$J$101,0)),ISNUMBER(MATCH(TRIM(RIGHT(SUBSTITUTE(TRIM(F67&amp;"")," ",REPT(" ",60)),60)),설정_코드표!$F$2:$F$101,0))),INDEX(설정_코드표!$K$2:$K$101,MATCH(LEFT(TRIM(F67&amp;""),FIND(" ",TRIM(F67&amp;""))-1),설정_코드표!$J$2:$J$101,0))&amp;" "&amp;INDEX(설정_코드표!$G$2:$G$101,MATCH(TRIM(RIGHT(SUBSTITUTE(TRIM(F67&amp;"")," ",REPT(" ",60)),60)),설정_코드표!$F$2:$F$101,0)),"⚠"&amp;TRIM(F67&amp;""))),"⚠"&amp;TRIM(F67&amp;""))</f>
        <v/>
      </c>
      <c r="O67" s="10">
        <f>IFERROR(IF(TRIM(G67&amp;"")="","",IF(AND(ISNUMBER(FIND(" ",TRIM(G67&amp;""))),ISNUMBER(MATCH(LEFT(TRIM(G67&amp;""),FIND(" ",TRIM(G67&amp;""))-1),설정_코드표!$J$2:$J$101,0)),ISNUMBER(MATCH(TRIM(RIGHT(SUBSTITUTE(TRIM(G67&amp;"")," ",REPT(" ",60)),60)),설정_코드표!$F$2:$F$101,0))),INDEX(설정_코드표!$K$2:$K$101,MATCH(LEFT(TRIM(G67&amp;""),FIND(" ",TRIM(G67&amp;""))-1),설정_코드표!$J$2:$J$101,0))&amp;" "&amp;INDEX(설정_코드표!$G$2:$G$101,MATCH(TRIM(RIGHT(SUBSTITUTE(TRIM(G67&amp;"")," ",REPT(" ",60)),60)),설정_코드표!$F$2:$F$101,0)),"⚠"&amp;TRIM(G67&amp;""))),"⚠"&amp;TRIM(G67&amp;""))</f>
        <v/>
      </c>
      <c r="P67" s="10">
        <f>IFERROR(IF(TRIM(H67&amp;"")="","",IF(AND(ISNUMBER(FIND(" ",TRIM(H67&amp;""))),ISNUMBER(MATCH(LEFT(TRIM(H67&amp;""),FIND(" ",TRIM(H67&amp;""))-1),설정_코드표!$J$2:$J$101,0)),ISNUMBER(MATCH(TRIM(RIGHT(SUBSTITUTE(TRIM(H67&amp;"")," ",REPT(" ",60)),60)),설정_코드표!$F$2:$F$101,0))),INDEX(설정_코드표!$K$2:$K$101,MATCH(LEFT(TRIM(H67&amp;""),FIND(" ",TRIM(H67&amp;""))-1),설정_코드표!$J$2:$J$101,0))&amp;" "&amp;INDEX(설정_코드표!$G$2:$G$101,MATCH(TRIM(RIGHT(SUBSTITUTE(TRIM(H67&amp;"")," ",REPT(" ",60)),60)),설정_코드표!$F$2:$F$101,0)),"⚠"&amp;TRIM(H67&amp;""))),"⚠"&amp;TRIM(H67&amp;""))</f>
        <v/>
      </c>
      <c r="Q67" s="10">
        <f>IFERROR(IF(TRIM(I67&amp;"")="","",IF(AND(ISNUMBER(FIND(" ",TRIM(I67&amp;""))),ISNUMBER(MATCH(LEFT(TRIM(I67&amp;""),FIND(" ",TRIM(I67&amp;""))-1),설정_코드표!$J$2:$J$101,0)),ISNUMBER(MATCH(TRIM(RIGHT(SUBSTITUTE(TRIM(I67&amp;"")," ",REPT(" ",60)),60)),설정_코드표!$F$2:$F$101,0))),INDEX(설정_코드표!$K$2:$K$101,MATCH(LEFT(TRIM(I67&amp;""),FIND(" ",TRIM(I67&amp;""))-1),설정_코드표!$J$2:$J$101,0))&amp;" "&amp;INDEX(설정_코드표!$G$2:$G$101,MATCH(TRIM(RIGHT(SUBSTITUTE(TRIM(I67&amp;"")," ",REPT(" ",60)),60)),설정_코드표!$F$2:$F$101,0)),"⚠"&amp;TRIM(I67&amp;""))),"⚠"&amp;TRIM(I67&amp;""))</f>
        <v/>
      </c>
      <c r="R67" s="10">
        <f>IFERROR(IF(TRIM(J67&amp;"")="","",IF(AND(ISNUMBER(FIND(" ",TRIM(J67&amp;""))),ISNUMBER(MATCH(LEFT(TRIM(J67&amp;""),FIND(" ",TRIM(J67&amp;""))-1),설정_코드표!$J$2:$J$101,0)),ISNUMBER(MATCH(TRIM(RIGHT(SUBSTITUTE(TRIM(J67&amp;"")," ",REPT(" ",60)),60)),설정_코드표!$F$2:$F$101,0))),INDEX(설정_코드표!$K$2:$K$101,MATCH(LEFT(TRIM(J67&amp;""),FIND(" ",TRIM(J67&amp;""))-1),설정_코드표!$J$2:$J$101,0))&amp;" "&amp;INDEX(설정_코드표!$G$2:$G$101,MATCH(TRIM(RIGHT(SUBSTITUTE(TRIM(J67&amp;"")," ",REPT(" ",60)),60)),설정_코드표!$F$2:$F$101,0)),"⚠"&amp;TRIM(J67&amp;""))),"⚠"&amp;TRIM(J67&amp;""))</f>
        <v/>
      </c>
      <c r="S67" s="11">
        <f>IF(K67="","",IFERROR(IF(AND(ROUND((VALUE(K67&amp;"")-INT(VALUE(K67&amp;"")))*100,0)&gt;=1,ROUND((VALUE(K67&amp;"")-INT(VALUE(K67&amp;"")))*100,0)&lt;=12,INT(VALUE(K67&amp;""))&gt;=1900),DATE(INT(VALUE(K67&amp;"")),ROUND((VALUE(K67&amp;"")-INT(VALUE(K67&amp;"")))*100,0),1),K67&amp;""),K67&amp;""))</f>
        <v/>
      </c>
      <c r="T67" s="10">
        <f>COUNTIF(M67:R67,"⚠*")</f>
        <v/>
      </c>
    </row>
    <row r="68"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M68" s="10">
        <f>IFERROR(IF(TRIM(E68&amp;"")="","",IF(AND(ISNUMBER(FIND(" ",TRIM(E68&amp;""))),ISNUMBER(MATCH(LEFT(TRIM(E68&amp;""),FIND(" ",TRIM(E68&amp;""))-1),설정_코드표!$J$2:$J$101,0)),ISNUMBER(MATCH(TRIM(RIGHT(SUBSTITUTE(TRIM(E68&amp;"")," ",REPT(" ",60)),60)),설정_코드표!$F$2:$F$101,0))),INDEX(설정_코드표!$K$2:$K$101,MATCH(LEFT(TRIM(E68&amp;""),FIND(" ",TRIM(E68&amp;""))-1),설정_코드표!$J$2:$J$101,0))&amp;" "&amp;INDEX(설정_코드표!$G$2:$G$101,MATCH(TRIM(RIGHT(SUBSTITUTE(TRIM(E68&amp;"")," ",REPT(" ",60)),60)),설정_코드표!$F$2:$F$101,0)),"⚠"&amp;TRIM(E68&amp;""))),"⚠"&amp;TRIM(E68&amp;""))</f>
        <v/>
      </c>
      <c r="N68" s="10">
        <f>IFERROR(IF(TRIM(F68&amp;"")="","",IF(AND(ISNUMBER(FIND(" ",TRIM(F68&amp;""))),ISNUMBER(MATCH(LEFT(TRIM(F68&amp;""),FIND(" ",TRIM(F68&amp;""))-1),설정_코드표!$J$2:$J$101,0)),ISNUMBER(MATCH(TRIM(RIGHT(SUBSTITUTE(TRIM(F68&amp;"")," ",REPT(" ",60)),60)),설정_코드표!$F$2:$F$101,0))),INDEX(설정_코드표!$K$2:$K$101,MATCH(LEFT(TRIM(F68&amp;""),FIND(" ",TRIM(F68&amp;""))-1),설정_코드표!$J$2:$J$101,0))&amp;" "&amp;INDEX(설정_코드표!$G$2:$G$101,MATCH(TRIM(RIGHT(SUBSTITUTE(TRIM(F68&amp;"")," ",REPT(" ",60)),60)),설정_코드표!$F$2:$F$101,0)),"⚠"&amp;TRIM(F68&amp;""))),"⚠"&amp;TRIM(F68&amp;""))</f>
        <v/>
      </c>
      <c r="O68" s="10">
        <f>IFERROR(IF(TRIM(G68&amp;"")="","",IF(AND(ISNUMBER(FIND(" ",TRIM(G68&amp;""))),ISNUMBER(MATCH(LEFT(TRIM(G68&amp;""),FIND(" ",TRIM(G68&amp;""))-1),설정_코드표!$J$2:$J$101,0)),ISNUMBER(MATCH(TRIM(RIGHT(SUBSTITUTE(TRIM(G68&amp;"")," ",REPT(" ",60)),60)),설정_코드표!$F$2:$F$101,0))),INDEX(설정_코드표!$K$2:$K$101,MATCH(LEFT(TRIM(G68&amp;""),FIND(" ",TRIM(G68&amp;""))-1),설정_코드표!$J$2:$J$101,0))&amp;" "&amp;INDEX(설정_코드표!$G$2:$G$101,MATCH(TRIM(RIGHT(SUBSTITUTE(TRIM(G68&amp;"")," ",REPT(" ",60)),60)),설정_코드표!$F$2:$F$101,0)),"⚠"&amp;TRIM(G68&amp;""))),"⚠"&amp;TRIM(G68&amp;""))</f>
        <v/>
      </c>
      <c r="P68" s="10">
        <f>IFERROR(IF(TRIM(H68&amp;"")="","",IF(AND(ISNUMBER(FIND(" ",TRIM(H68&amp;""))),ISNUMBER(MATCH(LEFT(TRIM(H68&amp;""),FIND(" ",TRIM(H68&amp;""))-1),설정_코드표!$J$2:$J$101,0)),ISNUMBER(MATCH(TRIM(RIGHT(SUBSTITUTE(TRIM(H68&amp;"")," ",REPT(" ",60)),60)),설정_코드표!$F$2:$F$101,0))),INDEX(설정_코드표!$K$2:$K$101,MATCH(LEFT(TRIM(H68&amp;""),FIND(" ",TRIM(H68&amp;""))-1),설정_코드표!$J$2:$J$101,0))&amp;" "&amp;INDEX(설정_코드표!$G$2:$G$101,MATCH(TRIM(RIGHT(SUBSTITUTE(TRIM(H68&amp;"")," ",REPT(" ",60)),60)),설정_코드표!$F$2:$F$101,0)),"⚠"&amp;TRIM(H68&amp;""))),"⚠"&amp;TRIM(H68&amp;""))</f>
        <v/>
      </c>
      <c r="Q68" s="10">
        <f>IFERROR(IF(TRIM(I68&amp;"")="","",IF(AND(ISNUMBER(FIND(" ",TRIM(I68&amp;""))),ISNUMBER(MATCH(LEFT(TRIM(I68&amp;""),FIND(" ",TRIM(I68&amp;""))-1),설정_코드표!$J$2:$J$101,0)),ISNUMBER(MATCH(TRIM(RIGHT(SUBSTITUTE(TRIM(I68&amp;"")," ",REPT(" ",60)),60)),설정_코드표!$F$2:$F$101,0))),INDEX(설정_코드표!$K$2:$K$101,MATCH(LEFT(TRIM(I68&amp;""),FIND(" ",TRIM(I68&amp;""))-1),설정_코드표!$J$2:$J$101,0))&amp;" "&amp;INDEX(설정_코드표!$G$2:$G$101,MATCH(TRIM(RIGHT(SUBSTITUTE(TRIM(I68&amp;"")," ",REPT(" ",60)),60)),설정_코드표!$F$2:$F$101,0)),"⚠"&amp;TRIM(I68&amp;""))),"⚠"&amp;TRIM(I68&amp;""))</f>
        <v/>
      </c>
      <c r="R68" s="10">
        <f>IFERROR(IF(TRIM(J68&amp;"")="","",IF(AND(ISNUMBER(FIND(" ",TRIM(J68&amp;""))),ISNUMBER(MATCH(LEFT(TRIM(J68&amp;""),FIND(" ",TRIM(J68&amp;""))-1),설정_코드표!$J$2:$J$101,0)),ISNUMBER(MATCH(TRIM(RIGHT(SUBSTITUTE(TRIM(J68&amp;"")," ",REPT(" ",60)),60)),설정_코드표!$F$2:$F$101,0))),INDEX(설정_코드표!$K$2:$K$101,MATCH(LEFT(TRIM(J68&amp;""),FIND(" ",TRIM(J68&amp;""))-1),설정_코드표!$J$2:$J$101,0))&amp;" "&amp;INDEX(설정_코드표!$G$2:$G$101,MATCH(TRIM(RIGHT(SUBSTITUTE(TRIM(J68&amp;"")," ",REPT(" ",60)),60)),설정_코드표!$F$2:$F$101,0)),"⚠"&amp;TRIM(J68&amp;""))),"⚠"&amp;TRIM(J68&amp;""))</f>
        <v/>
      </c>
      <c r="S68" s="11">
        <f>IF(K68="","",IFERROR(IF(AND(ROUND((VALUE(K68&amp;"")-INT(VALUE(K68&amp;"")))*100,0)&gt;=1,ROUND((VALUE(K68&amp;"")-INT(VALUE(K68&amp;"")))*100,0)&lt;=12,INT(VALUE(K68&amp;""))&gt;=1900),DATE(INT(VALUE(K68&amp;"")),ROUND((VALUE(K68&amp;"")-INT(VALUE(K68&amp;"")))*100,0),1),K68&amp;""),K68&amp;""))</f>
        <v/>
      </c>
      <c r="T68" s="10">
        <f>COUNTIF(M68:R68,"⚠*")</f>
        <v/>
      </c>
    </row>
    <row r="69"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M69" s="10">
        <f>IFERROR(IF(TRIM(E69&amp;"")="","",IF(AND(ISNUMBER(FIND(" ",TRIM(E69&amp;""))),ISNUMBER(MATCH(LEFT(TRIM(E69&amp;""),FIND(" ",TRIM(E69&amp;""))-1),설정_코드표!$J$2:$J$101,0)),ISNUMBER(MATCH(TRIM(RIGHT(SUBSTITUTE(TRIM(E69&amp;"")," ",REPT(" ",60)),60)),설정_코드표!$F$2:$F$101,0))),INDEX(설정_코드표!$K$2:$K$101,MATCH(LEFT(TRIM(E69&amp;""),FIND(" ",TRIM(E69&amp;""))-1),설정_코드표!$J$2:$J$101,0))&amp;" "&amp;INDEX(설정_코드표!$G$2:$G$101,MATCH(TRIM(RIGHT(SUBSTITUTE(TRIM(E69&amp;"")," ",REPT(" ",60)),60)),설정_코드표!$F$2:$F$101,0)),"⚠"&amp;TRIM(E69&amp;""))),"⚠"&amp;TRIM(E69&amp;""))</f>
        <v/>
      </c>
      <c r="N69" s="10">
        <f>IFERROR(IF(TRIM(F69&amp;"")="","",IF(AND(ISNUMBER(FIND(" ",TRIM(F69&amp;""))),ISNUMBER(MATCH(LEFT(TRIM(F69&amp;""),FIND(" ",TRIM(F69&amp;""))-1),설정_코드표!$J$2:$J$101,0)),ISNUMBER(MATCH(TRIM(RIGHT(SUBSTITUTE(TRIM(F69&amp;"")," ",REPT(" ",60)),60)),설정_코드표!$F$2:$F$101,0))),INDEX(설정_코드표!$K$2:$K$101,MATCH(LEFT(TRIM(F69&amp;""),FIND(" ",TRIM(F69&amp;""))-1),설정_코드표!$J$2:$J$101,0))&amp;" "&amp;INDEX(설정_코드표!$G$2:$G$101,MATCH(TRIM(RIGHT(SUBSTITUTE(TRIM(F69&amp;"")," ",REPT(" ",60)),60)),설정_코드표!$F$2:$F$101,0)),"⚠"&amp;TRIM(F69&amp;""))),"⚠"&amp;TRIM(F69&amp;""))</f>
        <v/>
      </c>
      <c r="O69" s="10">
        <f>IFERROR(IF(TRIM(G69&amp;"")="","",IF(AND(ISNUMBER(FIND(" ",TRIM(G69&amp;""))),ISNUMBER(MATCH(LEFT(TRIM(G69&amp;""),FIND(" ",TRIM(G69&amp;""))-1),설정_코드표!$J$2:$J$101,0)),ISNUMBER(MATCH(TRIM(RIGHT(SUBSTITUTE(TRIM(G69&amp;"")," ",REPT(" ",60)),60)),설정_코드표!$F$2:$F$101,0))),INDEX(설정_코드표!$K$2:$K$101,MATCH(LEFT(TRIM(G69&amp;""),FIND(" ",TRIM(G69&amp;""))-1),설정_코드표!$J$2:$J$101,0))&amp;" "&amp;INDEX(설정_코드표!$G$2:$G$101,MATCH(TRIM(RIGHT(SUBSTITUTE(TRIM(G69&amp;"")," ",REPT(" ",60)),60)),설정_코드표!$F$2:$F$101,0)),"⚠"&amp;TRIM(G69&amp;""))),"⚠"&amp;TRIM(G69&amp;""))</f>
        <v/>
      </c>
      <c r="P69" s="10">
        <f>IFERROR(IF(TRIM(H69&amp;"")="","",IF(AND(ISNUMBER(FIND(" ",TRIM(H69&amp;""))),ISNUMBER(MATCH(LEFT(TRIM(H69&amp;""),FIND(" ",TRIM(H69&amp;""))-1),설정_코드표!$J$2:$J$101,0)),ISNUMBER(MATCH(TRIM(RIGHT(SUBSTITUTE(TRIM(H69&amp;"")," ",REPT(" ",60)),60)),설정_코드표!$F$2:$F$101,0))),INDEX(설정_코드표!$K$2:$K$101,MATCH(LEFT(TRIM(H69&amp;""),FIND(" ",TRIM(H69&amp;""))-1),설정_코드표!$J$2:$J$101,0))&amp;" "&amp;INDEX(설정_코드표!$G$2:$G$101,MATCH(TRIM(RIGHT(SUBSTITUTE(TRIM(H69&amp;"")," ",REPT(" ",60)),60)),설정_코드표!$F$2:$F$101,0)),"⚠"&amp;TRIM(H69&amp;""))),"⚠"&amp;TRIM(H69&amp;""))</f>
        <v/>
      </c>
      <c r="Q69" s="10">
        <f>IFERROR(IF(TRIM(I69&amp;"")="","",IF(AND(ISNUMBER(FIND(" ",TRIM(I69&amp;""))),ISNUMBER(MATCH(LEFT(TRIM(I69&amp;""),FIND(" ",TRIM(I69&amp;""))-1),설정_코드표!$J$2:$J$101,0)),ISNUMBER(MATCH(TRIM(RIGHT(SUBSTITUTE(TRIM(I69&amp;"")," ",REPT(" ",60)),60)),설정_코드표!$F$2:$F$101,0))),INDEX(설정_코드표!$K$2:$K$101,MATCH(LEFT(TRIM(I69&amp;""),FIND(" ",TRIM(I69&amp;""))-1),설정_코드표!$J$2:$J$101,0))&amp;" "&amp;INDEX(설정_코드표!$G$2:$G$101,MATCH(TRIM(RIGHT(SUBSTITUTE(TRIM(I69&amp;"")," ",REPT(" ",60)),60)),설정_코드표!$F$2:$F$101,0)),"⚠"&amp;TRIM(I69&amp;""))),"⚠"&amp;TRIM(I69&amp;""))</f>
        <v/>
      </c>
      <c r="R69" s="10">
        <f>IFERROR(IF(TRIM(J69&amp;"")="","",IF(AND(ISNUMBER(FIND(" ",TRIM(J69&amp;""))),ISNUMBER(MATCH(LEFT(TRIM(J69&amp;""),FIND(" ",TRIM(J69&amp;""))-1),설정_코드표!$J$2:$J$101,0)),ISNUMBER(MATCH(TRIM(RIGHT(SUBSTITUTE(TRIM(J69&amp;"")," ",REPT(" ",60)),60)),설정_코드표!$F$2:$F$101,0))),INDEX(설정_코드표!$K$2:$K$101,MATCH(LEFT(TRIM(J69&amp;""),FIND(" ",TRIM(J69&amp;""))-1),설정_코드표!$J$2:$J$101,0))&amp;" "&amp;INDEX(설정_코드표!$G$2:$G$101,MATCH(TRIM(RIGHT(SUBSTITUTE(TRIM(J69&amp;"")," ",REPT(" ",60)),60)),설정_코드표!$F$2:$F$101,0)),"⚠"&amp;TRIM(J69&amp;""))),"⚠"&amp;TRIM(J69&amp;""))</f>
        <v/>
      </c>
      <c r="S69" s="11">
        <f>IF(K69="","",IFERROR(IF(AND(ROUND((VALUE(K69&amp;"")-INT(VALUE(K69&amp;"")))*100,0)&gt;=1,ROUND((VALUE(K69&amp;"")-INT(VALUE(K69&amp;"")))*100,0)&lt;=12,INT(VALUE(K69&amp;""))&gt;=1900),DATE(INT(VALUE(K69&amp;"")),ROUND((VALUE(K69&amp;"")-INT(VALUE(K69&amp;"")))*100,0),1),K69&amp;""),K69&amp;""))</f>
        <v/>
      </c>
      <c r="T69" s="10">
        <f>COUNTIF(M69:R69,"⚠*")</f>
        <v/>
      </c>
    </row>
    <row r="70"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M70" s="10">
        <f>IFERROR(IF(TRIM(E70&amp;"")="","",IF(AND(ISNUMBER(FIND(" ",TRIM(E70&amp;""))),ISNUMBER(MATCH(LEFT(TRIM(E70&amp;""),FIND(" ",TRIM(E70&amp;""))-1),설정_코드표!$J$2:$J$101,0)),ISNUMBER(MATCH(TRIM(RIGHT(SUBSTITUTE(TRIM(E70&amp;"")," ",REPT(" ",60)),60)),설정_코드표!$F$2:$F$101,0))),INDEX(설정_코드표!$K$2:$K$101,MATCH(LEFT(TRIM(E70&amp;""),FIND(" ",TRIM(E70&amp;""))-1),설정_코드표!$J$2:$J$101,0))&amp;" "&amp;INDEX(설정_코드표!$G$2:$G$101,MATCH(TRIM(RIGHT(SUBSTITUTE(TRIM(E70&amp;"")," ",REPT(" ",60)),60)),설정_코드표!$F$2:$F$101,0)),"⚠"&amp;TRIM(E70&amp;""))),"⚠"&amp;TRIM(E70&amp;""))</f>
        <v/>
      </c>
      <c r="N70" s="10">
        <f>IFERROR(IF(TRIM(F70&amp;"")="","",IF(AND(ISNUMBER(FIND(" ",TRIM(F70&amp;""))),ISNUMBER(MATCH(LEFT(TRIM(F70&amp;""),FIND(" ",TRIM(F70&amp;""))-1),설정_코드표!$J$2:$J$101,0)),ISNUMBER(MATCH(TRIM(RIGHT(SUBSTITUTE(TRIM(F70&amp;"")," ",REPT(" ",60)),60)),설정_코드표!$F$2:$F$101,0))),INDEX(설정_코드표!$K$2:$K$101,MATCH(LEFT(TRIM(F70&amp;""),FIND(" ",TRIM(F70&amp;""))-1),설정_코드표!$J$2:$J$101,0))&amp;" "&amp;INDEX(설정_코드표!$G$2:$G$101,MATCH(TRIM(RIGHT(SUBSTITUTE(TRIM(F70&amp;"")," ",REPT(" ",60)),60)),설정_코드표!$F$2:$F$101,0)),"⚠"&amp;TRIM(F70&amp;""))),"⚠"&amp;TRIM(F70&amp;""))</f>
        <v/>
      </c>
      <c r="O70" s="10">
        <f>IFERROR(IF(TRIM(G70&amp;"")="","",IF(AND(ISNUMBER(FIND(" ",TRIM(G70&amp;""))),ISNUMBER(MATCH(LEFT(TRIM(G70&amp;""),FIND(" ",TRIM(G70&amp;""))-1),설정_코드표!$J$2:$J$101,0)),ISNUMBER(MATCH(TRIM(RIGHT(SUBSTITUTE(TRIM(G70&amp;"")," ",REPT(" ",60)),60)),설정_코드표!$F$2:$F$101,0))),INDEX(설정_코드표!$K$2:$K$101,MATCH(LEFT(TRIM(G70&amp;""),FIND(" ",TRIM(G70&amp;""))-1),설정_코드표!$J$2:$J$101,0))&amp;" "&amp;INDEX(설정_코드표!$G$2:$G$101,MATCH(TRIM(RIGHT(SUBSTITUTE(TRIM(G70&amp;"")," ",REPT(" ",60)),60)),설정_코드표!$F$2:$F$101,0)),"⚠"&amp;TRIM(G70&amp;""))),"⚠"&amp;TRIM(G70&amp;""))</f>
        <v/>
      </c>
      <c r="P70" s="10">
        <f>IFERROR(IF(TRIM(H70&amp;"")="","",IF(AND(ISNUMBER(FIND(" ",TRIM(H70&amp;""))),ISNUMBER(MATCH(LEFT(TRIM(H70&amp;""),FIND(" ",TRIM(H70&amp;""))-1),설정_코드표!$J$2:$J$101,0)),ISNUMBER(MATCH(TRIM(RIGHT(SUBSTITUTE(TRIM(H70&amp;"")," ",REPT(" ",60)),60)),설정_코드표!$F$2:$F$101,0))),INDEX(설정_코드표!$K$2:$K$101,MATCH(LEFT(TRIM(H70&amp;""),FIND(" ",TRIM(H70&amp;""))-1),설정_코드표!$J$2:$J$101,0))&amp;" "&amp;INDEX(설정_코드표!$G$2:$G$101,MATCH(TRIM(RIGHT(SUBSTITUTE(TRIM(H70&amp;"")," ",REPT(" ",60)),60)),설정_코드표!$F$2:$F$101,0)),"⚠"&amp;TRIM(H70&amp;""))),"⚠"&amp;TRIM(H70&amp;""))</f>
        <v/>
      </c>
      <c r="Q70" s="10">
        <f>IFERROR(IF(TRIM(I70&amp;"")="","",IF(AND(ISNUMBER(FIND(" ",TRIM(I70&amp;""))),ISNUMBER(MATCH(LEFT(TRIM(I70&amp;""),FIND(" ",TRIM(I70&amp;""))-1),설정_코드표!$J$2:$J$101,0)),ISNUMBER(MATCH(TRIM(RIGHT(SUBSTITUTE(TRIM(I70&amp;"")," ",REPT(" ",60)),60)),설정_코드표!$F$2:$F$101,0))),INDEX(설정_코드표!$K$2:$K$101,MATCH(LEFT(TRIM(I70&amp;""),FIND(" ",TRIM(I70&amp;""))-1),설정_코드표!$J$2:$J$101,0))&amp;" "&amp;INDEX(설정_코드표!$G$2:$G$101,MATCH(TRIM(RIGHT(SUBSTITUTE(TRIM(I70&amp;"")," ",REPT(" ",60)),60)),설정_코드표!$F$2:$F$101,0)),"⚠"&amp;TRIM(I70&amp;""))),"⚠"&amp;TRIM(I70&amp;""))</f>
        <v/>
      </c>
      <c r="R70" s="10">
        <f>IFERROR(IF(TRIM(J70&amp;"")="","",IF(AND(ISNUMBER(FIND(" ",TRIM(J70&amp;""))),ISNUMBER(MATCH(LEFT(TRIM(J70&amp;""),FIND(" ",TRIM(J70&amp;""))-1),설정_코드표!$J$2:$J$101,0)),ISNUMBER(MATCH(TRIM(RIGHT(SUBSTITUTE(TRIM(J70&amp;"")," ",REPT(" ",60)),60)),설정_코드표!$F$2:$F$101,0))),INDEX(설정_코드표!$K$2:$K$101,MATCH(LEFT(TRIM(J70&amp;""),FIND(" ",TRIM(J70&amp;""))-1),설정_코드표!$J$2:$J$101,0))&amp;" "&amp;INDEX(설정_코드표!$G$2:$G$101,MATCH(TRIM(RIGHT(SUBSTITUTE(TRIM(J70&amp;"")," ",REPT(" ",60)),60)),설정_코드표!$F$2:$F$101,0)),"⚠"&amp;TRIM(J70&amp;""))),"⚠"&amp;TRIM(J70&amp;""))</f>
        <v/>
      </c>
      <c r="S70" s="11">
        <f>IF(K70="","",IFERROR(IF(AND(ROUND((VALUE(K70&amp;"")-INT(VALUE(K70&amp;"")))*100,0)&gt;=1,ROUND((VALUE(K70&amp;"")-INT(VALUE(K70&amp;"")))*100,0)&lt;=12,INT(VALUE(K70&amp;""))&gt;=1900),DATE(INT(VALUE(K70&amp;"")),ROUND((VALUE(K70&amp;"")-INT(VALUE(K70&amp;"")))*100,0),1),K70&amp;""),K70&amp;""))</f>
        <v/>
      </c>
      <c r="T70" s="10">
        <f>COUNTIF(M70:R70,"⚠*")</f>
        <v/>
      </c>
    </row>
    <row r="71"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M71" s="10">
        <f>IFERROR(IF(TRIM(E71&amp;"")="","",IF(AND(ISNUMBER(FIND(" ",TRIM(E71&amp;""))),ISNUMBER(MATCH(LEFT(TRIM(E71&amp;""),FIND(" ",TRIM(E71&amp;""))-1),설정_코드표!$J$2:$J$101,0)),ISNUMBER(MATCH(TRIM(RIGHT(SUBSTITUTE(TRIM(E71&amp;"")," ",REPT(" ",60)),60)),설정_코드표!$F$2:$F$101,0))),INDEX(설정_코드표!$K$2:$K$101,MATCH(LEFT(TRIM(E71&amp;""),FIND(" ",TRIM(E71&amp;""))-1),설정_코드표!$J$2:$J$101,0))&amp;" "&amp;INDEX(설정_코드표!$G$2:$G$101,MATCH(TRIM(RIGHT(SUBSTITUTE(TRIM(E71&amp;"")," ",REPT(" ",60)),60)),설정_코드표!$F$2:$F$101,0)),"⚠"&amp;TRIM(E71&amp;""))),"⚠"&amp;TRIM(E71&amp;""))</f>
        <v/>
      </c>
      <c r="N71" s="10">
        <f>IFERROR(IF(TRIM(F71&amp;"")="","",IF(AND(ISNUMBER(FIND(" ",TRIM(F71&amp;""))),ISNUMBER(MATCH(LEFT(TRIM(F71&amp;""),FIND(" ",TRIM(F71&amp;""))-1),설정_코드표!$J$2:$J$101,0)),ISNUMBER(MATCH(TRIM(RIGHT(SUBSTITUTE(TRIM(F71&amp;"")," ",REPT(" ",60)),60)),설정_코드표!$F$2:$F$101,0))),INDEX(설정_코드표!$K$2:$K$101,MATCH(LEFT(TRIM(F71&amp;""),FIND(" ",TRIM(F71&amp;""))-1),설정_코드표!$J$2:$J$101,0))&amp;" "&amp;INDEX(설정_코드표!$G$2:$G$101,MATCH(TRIM(RIGHT(SUBSTITUTE(TRIM(F71&amp;"")," ",REPT(" ",60)),60)),설정_코드표!$F$2:$F$101,0)),"⚠"&amp;TRIM(F71&amp;""))),"⚠"&amp;TRIM(F71&amp;""))</f>
        <v/>
      </c>
      <c r="O71" s="10">
        <f>IFERROR(IF(TRIM(G71&amp;"")="","",IF(AND(ISNUMBER(FIND(" ",TRIM(G71&amp;""))),ISNUMBER(MATCH(LEFT(TRIM(G71&amp;""),FIND(" ",TRIM(G71&amp;""))-1),설정_코드표!$J$2:$J$101,0)),ISNUMBER(MATCH(TRIM(RIGHT(SUBSTITUTE(TRIM(G71&amp;"")," ",REPT(" ",60)),60)),설정_코드표!$F$2:$F$101,0))),INDEX(설정_코드표!$K$2:$K$101,MATCH(LEFT(TRIM(G71&amp;""),FIND(" ",TRIM(G71&amp;""))-1),설정_코드표!$J$2:$J$101,0))&amp;" "&amp;INDEX(설정_코드표!$G$2:$G$101,MATCH(TRIM(RIGHT(SUBSTITUTE(TRIM(G71&amp;"")," ",REPT(" ",60)),60)),설정_코드표!$F$2:$F$101,0)),"⚠"&amp;TRIM(G71&amp;""))),"⚠"&amp;TRIM(G71&amp;""))</f>
        <v/>
      </c>
      <c r="P71" s="10">
        <f>IFERROR(IF(TRIM(H71&amp;"")="","",IF(AND(ISNUMBER(FIND(" ",TRIM(H71&amp;""))),ISNUMBER(MATCH(LEFT(TRIM(H71&amp;""),FIND(" ",TRIM(H71&amp;""))-1),설정_코드표!$J$2:$J$101,0)),ISNUMBER(MATCH(TRIM(RIGHT(SUBSTITUTE(TRIM(H71&amp;"")," ",REPT(" ",60)),60)),설정_코드표!$F$2:$F$101,0))),INDEX(설정_코드표!$K$2:$K$101,MATCH(LEFT(TRIM(H71&amp;""),FIND(" ",TRIM(H71&amp;""))-1),설정_코드표!$J$2:$J$101,0))&amp;" "&amp;INDEX(설정_코드표!$G$2:$G$101,MATCH(TRIM(RIGHT(SUBSTITUTE(TRIM(H71&amp;"")," ",REPT(" ",60)),60)),설정_코드표!$F$2:$F$101,0)),"⚠"&amp;TRIM(H71&amp;""))),"⚠"&amp;TRIM(H71&amp;""))</f>
        <v/>
      </c>
      <c r="Q71" s="10">
        <f>IFERROR(IF(TRIM(I71&amp;"")="","",IF(AND(ISNUMBER(FIND(" ",TRIM(I71&amp;""))),ISNUMBER(MATCH(LEFT(TRIM(I71&amp;""),FIND(" ",TRIM(I71&amp;""))-1),설정_코드표!$J$2:$J$101,0)),ISNUMBER(MATCH(TRIM(RIGHT(SUBSTITUTE(TRIM(I71&amp;"")," ",REPT(" ",60)),60)),설정_코드표!$F$2:$F$101,0))),INDEX(설정_코드표!$K$2:$K$101,MATCH(LEFT(TRIM(I71&amp;""),FIND(" ",TRIM(I71&amp;""))-1),설정_코드표!$J$2:$J$101,0))&amp;" "&amp;INDEX(설정_코드표!$G$2:$G$101,MATCH(TRIM(RIGHT(SUBSTITUTE(TRIM(I71&amp;"")," ",REPT(" ",60)),60)),설정_코드표!$F$2:$F$101,0)),"⚠"&amp;TRIM(I71&amp;""))),"⚠"&amp;TRIM(I71&amp;""))</f>
        <v/>
      </c>
      <c r="R71" s="10">
        <f>IFERROR(IF(TRIM(J71&amp;"")="","",IF(AND(ISNUMBER(FIND(" ",TRIM(J71&amp;""))),ISNUMBER(MATCH(LEFT(TRIM(J71&amp;""),FIND(" ",TRIM(J71&amp;""))-1),설정_코드표!$J$2:$J$101,0)),ISNUMBER(MATCH(TRIM(RIGHT(SUBSTITUTE(TRIM(J71&amp;"")," ",REPT(" ",60)),60)),설정_코드표!$F$2:$F$101,0))),INDEX(설정_코드표!$K$2:$K$101,MATCH(LEFT(TRIM(J71&amp;""),FIND(" ",TRIM(J71&amp;""))-1),설정_코드표!$J$2:$J$101,0))&amp;" "&amp;INDEX(설정_코드표!$G$2:$G$101,MATCH(TRIM(RIGHT(SUBSTITUTE(TRIM(J71&amp;"")," ",REPT(" ",60)),60)),설정_코드표!$F$2:$F$101,0)),"⚠"&amp;TRIM(J71&amp;""))),"⚠"&amp;TRIM(J71&amp;""))</f>
        <v/>
      </c>
      <c r="S71" s="11">
        <f>IF(K71="","",IFERROR(IF(AND(ROUND((VALUE(K71&amp;"")-INT(VALUE(K71&amp;"")))*100,0)&gt;=1,ROUND((VALUE(K71&amp;"")-INT(VALUE(K71&amp;"")))*100,0)&lt;=12,INT(VALUE(K71&amp;""))&gt;=1900),DATE(INT(VALUE(K71&amp;"")),ROUND((VALUE(K71&amp;"")-INT(VALUE(K71&amp;"")))*100,0),1),K71&amp;""),K71&amp;""))</f>
        <v/>
      </c>
      <c r="T71" s="10">
        <f>COUNTIF(M71:R71,"⚠*")</f>
        <v/>
      </c>
    </row>
    <row r="72"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M72" s="10">
        <f>IFERROR(IF(TRIM(E72&amp;"")="","",IF(AND(ISNUMBER(FIND(" ",TRIM(E72&amp;""))),ISNUMBER(MATCH(LEFT(TRIM(E72&amp;""),FIND(" ",TRIM(E72&amp;""))-1),설정_코드표!$J$2:$J$101,0)),ISNUMBER(MATCH(TRIM(RIGHT(SUBSTITUTE(TRIM(E72&amp;"")," ",REPT(" ",60)),60)),설정_코드표!$F$2:$F$101,0))),INDEX(설정_코드표!$K$2:$K$101,MATCH(LEFT(TRIM(E72&amp;""),FIND(" ",TRIM(E72&amp;""))-1),설정_코드표!$J$2:$J$101,0))&amp;" "&amp;INDEX(설정_코드표!$G$2:$G$101,MATCH(TRIM(RIGHT(SUBSTITUTE(TRIM(E72&amp;"")," ",REPT(" ",60)),60)),설정_코드표!$F$2:$F$101,0)),"⚠"&amp;TRIM(E72&amp;""))),"⚠"&amp;TRIM(E72&amp;""))</f>
        <v/>
      </c>
      <c r="N72" s="10">
        <f>IFERROR(IF(TRIM(F72&amp;"")="","",IF(AND(ISNUMBER(FIND(" ",TRIM(F72&amp;""))),ISNUMBER(MATCH(LEFT(TRIM(F72&amp;""),FIND(" ",TRIM(F72&amp;""))-1),설정_코드표!$J$2:$J$101,0)),ISNUMBER(MATCH(TRIM(RIGHT(SUBSTITUTE(TRIM(F72&amp;"")," ",REPT(" ",60)),60)),설정_코드표!$F$2:$F$101,0))),INDEX(설정_코드표!$K$2:$K$101,MATCH(LEFT(TRIM(F72&amp;""),FIND(" ",TRIM(F72&amp;""))-1),설정_코드표!$J$2:$J$101,0))&amp;" "&amp;INDEX(설정_코드표!$G$2:$G$101,MATCH(TRIM(RIGHT(SUBSTITUTE(TRIM(F72&amp;"")," ",REPT(" ",60)),60)),설정_코드표!$F$2:$F$101,0)),"⚠"&amp;TRIM(F72&amp;""))),"⚠"&amp;TRIM(F72&amp;""))</f>
        <v/>
      </c>
      <c r="O72" s="10">
        <f>IFERROR(IF(TRIM(G72&amp;"")="","",IF(AND(ISNUMBER(FIND(" ",TRIM(G72&amp;""))),ISNUMBER(MATCH(LEFT(TRIM(G72&amp;""),FIND(" ",TRIM(G72&amp;""))-1),설정_코드표!$J$2:$J$101,0)),ISNUMBER(MATCH(TRIM(RIGHT(SUBSTITUTE(TRIM(G72&amp;"")," ",REPT(" ",60)),60)),설정_코드표!$F$2:$F$101,0))),INDEX(설정_코드표!$K$2:$K$101,MATCH(LEFT(TRIM(G72&amp;""),FIND(" ",TRIM(G72&amp;""))-1),설정_코드표!$J$2:$J$101,0))&amp;" "&amp;INDEX(설정_코드표!$G$2:$G$101,MATCH(TRIM(RIGHT(SUBSTITUTE(TRIM(G72&amp;"")," ",REPT(" ",60)),60)),설정_코드표!$F$2:$F$101,0)),"⚠"&amp;TRIM(G72&amp;""))),"⚠"&amp;TRIM(G72&amp;""))</f>
        <v/>
      </c>
      <c r="P72" s="10">
        <f>IFERROR(IF(TRIM(H72&amp;"")="","",IF(AND(ISNUMBER(FIND(" ",TRIM(H72&amp;""))),ISNUMBER(MATCH(LEFT(TRIM(H72&amp;""),FIND(" ",TRIM(H72&amp;""))-1),설정_코드표!$J$2:$J$101,0)),ISNUMBER(MATCH(TRIM(RIGHT(SUBSTITUTE(TRIM(H72&amp;"")," ",REPT(" ",60)),60)),설정_코드표!$F$2:$F$101,0))),INDEX(설정_코드표!$K$2:$K$101,MATCH(LEFT(TRIM(H72&amp;""),FIND(" ",TRIM(H72&amp;""))-1),설정_코드표!$J$2:$J$101,0))&amp;" "&amp;INDEX(설정_코드표!$G$2:$G$101,MATCH(TRIM(RIGHT(SUBSTITUTE(TRIM(H72&amp;"")," ",REPT(" ",60)),60)),설정_코드표!$F$2:$F$101,0)),"⚠"&amp;TRIM(H72&amp;""))),"⚠"&amp;TRIM(H72&amp;""))</f>
        <v/>
      </c>
      <c r="Q72" s="10">
        <f>IFERROR(IF(TRIM(I72&amp;"")="","",IF(AND(ISNUMBER(FIND(" ",TRIM(I72&amp;""))),ISNUMBER(MATCH(LEFT(TRIM(I72&amp;""),FIND(" ",TRIM(I72&amp;""))-1),설정_코드표!$J$2:$J$101,0)),ISNUMBER(MATCH(TRIM(RIGHT(SUBSTITUTE(TRIM(I72&amp;"")," ",REPT(" ",60)),60)),설정_코드표!$F$2:$F$101,0))),INDEX(설정_코드표!$K$2:$K$101,MATCH(LEFT(TRIM(I72&amp;""),FIND(" ",TRIM(I72&amp;""))-1),설정_코드표!$J$2:$J$101,0))&amp;" "&amp;INDEX(설정_코드표!$G$2:$G$101,MATCH(TRIM(RIGHT(SUBSTITUTE(TRIM(I72&amp;"")," ",REPT(" ",60)),60)),설정_코드표!$F$2:$F$101,0)),"⚠"&amp;TRIM(I72&amp;""))),"⚠"&amp;TRIM(I72&amp;""))</f>
        <v/>
      </c>
      <c r="R72" s="10">
        <f>IFERROR(IF(TRIM(J72&amp;"")="","",IF(AND(ISNUMBER(FIND(" ",TRIM(J72&amp;""))),ISNUMBER(MATCH(LEFT(TRIM(J72&amp;""),FIND(" ",TRIM(J72&amp;""))-1),설정_코드표!$J$2:$J$101,0)),ISNUMBER(MATCH(TRIM(RIGHT(SUBSTITUTE(TRIM(J72&amp;"")," ",REPT(" ",60)),60)),설정_코드표!$F$2:$F$101,0))),INDEX(설정_코드표!$K$2:$K$101,MATCH(LEFT(TRIM(J72&amp;""),FIND(" ",TRIM(J72&amp;""))-1),설정_코드표!$J$2:$J$101,0))&amp;" "&amp;INDEX(설정_코드표!$G$2:$G$101,MATCH(TRIM(RIGHT(SUBSTITUTE(TRIM(J72&amp;"")," ",REPT(" ",60)),60)),설정_코드표!$F$2:$F$101,0)),"⚠"&amp;TRIM(J72&amp;""))),"⚠"&amp;TRIM(J72&amp;""))</f>
        <v/>
      </c>
      <c r="S72" s="11">
        <f>IF(K72="","",IFERROR(IF(AND(ROUND((VALUE(K72&amp;"")-INT(VALUE(K72&amp;"")))*100,0)&gt;=1,ROUND((VALUE(K72&amp;"")-INT(VALUE(K72&amp;"")))*100,0)&lt;=12,INT(VALUE(K72&amp;""))&gt;=1900),DATE(INT(VALUE(K72&amp;"")),ROUND((VALUE(K72&amp;"")-INT(VALUE(K72&amp;"")))*100,0),1),K72&amp;""),K72&amp;""))</f>
        <v/>
      </c>
      <c r="T72" s="10">
        <f>COUNTIF(M72:R72,"⚠*")</f>
        <v/>
      </c>
    </row>
    <row r="73"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M73" s="10">
        <f>IFERROR(IF(TRIM(E73&amp;"")="","",IF(AND(ISNUMBER(FIND(" ",TRIM(E73&amp;""))),ISNUMBER(MATCH(LEFT(TRIM(E73&amp;""),FIND(" ",TRIM(E73&amp;""))-1),설정_코드표!$J$2:$J$101,0)),ISNUMBER(MATCH(TRIM(RIGHT(SUBSTITUTE(TRIM(E73&amp;"")," ",REPT(" ",60)),60)),설정_코드표!$F$2:$F$101,0))),INDEX(설정_코드표!$K$2:$K$101,MATCH(LEFT(TRIM(E73&amp;""),FIND(" ",TRIM(E73&amp;""))-1),설정_코드표!$J$2:$J$101,0))&amp;" "&amp;INDEX(설정_코드표!$G$2:$G$101,MATCH(TRIM(RIGHT(SUBSTITUTE(TRIM(E73&amp;"")," ",REPT(" ",60)),60)),설정_코드표!$F$2:$F$101,0)),"⚠"&amp;TRIM(E73&amp;""))),"⚠"&amp;TRIM(E73&amp;""))</f>
        <v/>
      </c>
      <c r="N73" s="10">
        <f>IFERROR(IF(TRIM(F73&amp;"")="","",IF(AND(ISNUMBER(FIND(" ",TRIM(F73&amp;""))),ISNUMBER(MATCH(LEFT(TRIM(F73&amp;""),FIND(" ",TRIM(F73&amp;""))-1),설정_코드표!$J$2:$J$101,0)),ISNUMBER(MATCH(TRIM(RIGHT(SUBSTITUTE(TRIM(F73&amp;"")," ",REPT(" ",60)),60)),설정_코드표!$F$2:$F$101,0))),INDEX(설정_코드표!$K$2:$K$101,MATCH(LEFT(TRIM(F73&amp;""),FIND(" ",TRIM(F73&amp;""))-1),설정_코드표!$J$2:$J$101,0))&amp;" "&amp;INDEX(설정_코드표!$G$2:$G$101,MATCH(TRIM(RIGHT(SUBSTITUTE(TRIM(F73&amp;"")," ",REPT(" ",60)),60)),설정_코드표!$F$2:$F$101,0)),"⚠"&amp;TRIM(F73&amp;""))),"⚠"&amp;TRIM(F73&amp;""))</f>
        <v/>
      </c>
      <c r="O73" s="10">
        <f>IFERROR(IF(TRIM(G73&amp;"")="","",IF(AND(ISNUMBER(FIND(" ",TRIM(G73&amp;""))),ISNUMBER(MATCH(LEFT(TRIM(G73&amp;""),FIND(" ",TRIM(G73&amp;""))-1),설정_코드표!$J$2:$J$101,0)),ISNUMBER(MATCH(TRIM(RIGHT(SUBSTITUTE(TRIM(G73&amp;"")," ",REPT(" ",60)),60)),설정_코드표!$F$2:$F$101,0))),INDEX(설정_코드표!$K$2:$K$101,MATCH(LEFT(TRIM(G73&amp;""),FIND(" ",TRIM(G73&amp;""))-1),설정_코드표!$J$2:$J$101,0))&amp;" "&amp;INDEX(설정_코드표!$G$2:$G$101,MATCH(TRIM(RIGHT(SUBSTITUTE(TRIM(G73&amp;"")," ",REPT(" ",60)),60)),설정_코드표!$F$2:$F$101,0)),"⚠"&amp;TRIM(G73&amp;""))),"⚠"&amp;TRIM(G73&amp;""))</f>
        <v/>
      </c>
      <c r="P73" s="10">
        <f>IFERROR(IF(TRIM(H73&amp;"")="","",IF(AND(ISNUMBER(FIND(" ",TRIM(H73&amp;""))),ISNUMBER(MATCH(LEFT(TRIM(H73&amp;""),FIND(" ",TRIM(H73&amp;""))-1),설정_코드표!$J$2:$J$101,0)),ISNUMBER(MATCH(TRIM(RIGHT(SUBSTITUTE(TRIM(H73&amp;"")," ",REPT(" ",60)),60)),설정_코드표!$F$2:$F$101,0))),INDEX(설정_코드표!$K$2:$K$101,MATCH(LEFT(TRIM(H73&amp;""),FIND(" ",TRIM(H73&amp;""))-1),설정_코드표!$J$2:$J$101,0))&amp;" "&amp;INDEX(설정_코드표!$G$2:$G$101,MATCH(TRIM(RIGHT(SUBSTITUTE(TRIM(H73&amp;"")," ",REPT(" ",60)),60)),설정_코드표!$F$2:$F$101,0)),"⚠"&amp;TRIM(H73&amp;""))),"⚠"&amp;TRIM(H73&amp;""))</f>
        <v/>
      </c>
      <c r="Q73" s="10">
        <f>IFERROR(IF(TRIM(I73&amp;"")="","",IF(AND(ISNUMBER(FIND(" ",TRIM(I73&amp;""))),ISNUMBER(MATCH(LEFT(TRIM(I73&amp;""),FIND(" ",TRIM(I73&amp;""))-1),설정_코드표!$J$2:$J$101,0)),ISNUMBER(MATCH(TRIM(RIGHT(SUBSTITUTE(TRIM(I73&amp;"")," ",REPT(" ",60)),60)),설정_코드표!$F$2:$F$101,0))),INDEX(설정_코드표!$K$2:$K$101,MATCH(LEFT(TRIM(I73&amp;""),FIND(" ",TRIM(I73&amp;""))-1),설정_코드표!$J$2:$J$101,0))&amp;" "&amp;INDEX(설정_코드표!$G$2:$G$101,MATCH(TRIM(RIGHT(SUBSTITUTE(TRIM(I73&amp;"")," ",REPT(" ",60)),60)),설정_코드표!$F$2:$F$101,0)),"⚠"&amp;TRIM(I73&amp;""))),"⚠"&amp;TRIM(I73&amp;""))</f>
        <v/>
      </c>
      <c r="R73" s="10">
        <f>IFERROR(IF(TRIM(J73&amp;"")="","",IF(AND(ISNUMBER(FIND(" ",TRIM(J73&amp;""))),ISNUMBER(MATCH(LEFT(TRIM(J73&amp;""),FIND(" ",TRIM(J73&amp;""))-1),설정_코드표!$J$2:$J$101,0)),ISNUMBER(MATCH(TRIM(RIGHT(SUBSTITUTE(TRIM(J73&amp;"")," ",REPT(" ",60)),60)),설정_코드표!$F$2:$F$101,0))),INDEX(설정_코드표!$K$2:$K$101,MATCH(LEFT(TRIM(J73&amp;""),FIND(" ",TRIM(J73&amp;""))-1),설정_코드표!$J$2:$J$101,0))&amp;" "&amp;INDEX(설정_코드표!$G$2:$G$101,MATCH(TRIM(RIGHT(SUBSTITUTE(TRIM(J73&amp;"")," ",REPT(" ",60)),60)),설정_코드표!$F$2:$F$101,0)),"⚠"&amp;TRIM(J73&amp;""))),"⚠"&amp;TRIM(J73&amp;""))</f>
        <v/>
      </c>
      <c r="S73" s="11">
        <f>IF(K73="","",IFERROR(IF(AND(ROUND((VALUE(K73&amp;"")-INT(VALUE(K73&amp;"")))*100,0)&gt;=1,ROUND((VALUE(K73&amp;"")-INT(VALUE(K73&amp;"")))*100,0)&lt;=12,INT(VALUE(K73&amp;""))&gt;=1900),DATE(INT(VALUE(K73&amp;"")),ROUND((VALUE(K73&amp;"")-INT(VALUE(K73&amp;"")))*100,0),1),K73&amp;""),K73&amp;""))</f>
        <v/>
      </c>
      <c r="T73" s="10">
        <f>COUNTIF(M73:R73,"⚠*")</f>
        <v/>
      </c>
    </row>
    <row r="74"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M74" s="10">
        <f>IFERROR(IF(TRIM(E74&amp;"")="","",IF(AND(ISNUMBER(FIND(" ",TRIM(E74&amp;""))),ISNUMBER(MATCH(LEFT(TRIM(E74&amp;""),FIND(" ",TRIM(E74&amp;""))-1),설정_코드표!$J$2:$J$101,0)),ISNUMBER(MATCH(TRIM(RIGHT(SUBSTITUTE(TRIM(E74&amp;"")," ",REPT(" ",60)),60)),설정_코드표!$F$2:$F$101,0))),INDEX(설정_코드표!$K$2:$K$101,MATCH(LEFT(TRIM(E74&amp;""),FIND(" ",TRIM(E74&amp;""))-1),설정_코드표!$J$2:$J$101,0))&amp;" "&amp;INDEX(설정_코드표!$G$2:$G$101,MATCH(TRIM(RIGHT(SUBSTITUTE(TRIM(E74&amp;"")," ",REPT(" ",60)),60)),설정_코드표!$F$2:$F$101,0)),"⚠"&amp;TRIM(E74&amp;""))),"⚠"&amp;TRIM(E74&amp;""))</f>
        <v/>
      </c>
      <c r="N74" s="10">
        <f>IFERROR(IF(TRIM(F74&amp;"")="","",IF(AND(ISNUMBER(FIND(" ",TRIM(F74&amp;""))),ISNUMBER(MATCH(LEFT(TRIM(F74&amp;""),FIND(" ",TRIM(F74&amp;""))-1),설정_코드표!$J$2:$J$101,0)),ISNUMBER(MATCH(TRIM(RIGHT(SUBSTITUTE(TRIM(F74&amp;"")," ",REPT(" ",60)),60)),설정_코드표!$F$2:$F$101,0))),INDEX(설정_코드표!$K$2:$K$101,MATCH(LEFT(TRIM(F74&amp;""),FIND(" ",TRIM(F74&amp;""))-1),설정_코드표!$J$2:$J$101,0))&amp;" "&amp;INDEX(설정_코드표!$G$2:$G$101,MATCH(TRIM(RIGHT(SUBSTITUTE(TRIM(F74&amp;"")," ",REPT(" ",60)),60)),설정_코드표!$F$2:$F$101,0)),"⚠"&amp;TRIM(F74&amp;""))),"⚠"&amp;TRIM(F74&amp;""))</f>
        <v/>
      </c>
      <c r="O74" s="10">
        <f>IFERROR(IF(TRIM(G74&amp;"")="","",IF(AND(ISNUMBER(FIND(" ",TRIM(G74&amp;""))),ISNUMBER(MATCH(LEFT(TRIM(G74&amp;""),FIND(" ",TRIM(G74&amp;""))-1),설정_코드표!$J$2:$J$101,0)),ISNUMBER(MATCH(TRIM(RIGHT(SUBSTITUTE(TRIM(G74&amp;"")," ",REPT(" ",60)),60)),설정_코드표!$F$2:$F$101,0))),INDEX(설정_코드표!$K$2:$K$101,MATCH(LEFT(TRIM(G74&amp;""),FIND(" ",TRIM(G74&amp;""))-1),설정_코드표!$J$2:$J$101,0))&amp;" "&amp;INDEX(설정_코드표!$G$2:$G$101,MATCH(TRIM(RIGHT(SUBSTITUTE(TRIM(G74&amp;"")," ",REPT(" ",60)),60)),설정_코드표!$F$2:$F$101,0)),"⚠"&amp;TRIM(G74&amp;""))),"⚠"&amp;TRIM(G74&amp;""))</f>
        <v/>
      </c>
      <c r="P74" s="10">
        <f>IFERROR(IF(TRIM(H74&amp;"")="","",IF(AND(ISNUMBER(FIND(" ",TRIM(H74&amp;""))),ISNUMBER(MATCH(LEFT(TRIM(H74&amp;""),FIND(" ",TRIM(H74&amp;""))-1),설정_코드표!$J$2:$J$101,0)),ISNUMBER(MATCH(TRIM(RIGHT(SUBSTITUTE(TRIM(H74&amp;"")," ",REPT(" ",60)),60)),설정_코드표!$F$2:$F$101,0))),INDEX(설정_코드표!$K$2:$K$101,MATCH(LEFT(TRIM(H74&amp;""),FIND(" ",TRIM(H74&amp;""))-1),설정_코드표!$J$2:$J$101,0))&amp;" "&amp;INDEX(설정_코드표!$G$2:$G$101,MATCH(TRIM(RIGHT(SUBSTITUTE(TRIM(H74&amp;"")," ",REPT(" ",60)),60)),설정_코드표!$F$2:$F$101,0)),"⚠"&amp;TRIM(H74&amp;""))),"⚠"&amp;TRIM(H74&amp;""))</f>
        <v/>
      </c>
      <c r="Q74" s="10">
        <f>IFERROR(IF(TRIM(I74&amp;"")="","",IF(AND(ISNUMBER(FIND(" ",TRIM(I74&amp;""))),ISNUMBER(MATCH(LEFT(TRIM(I74&amp;""),FIND(" ",TRIM(I74&amp;""))-1),설정_코드표!$J$2:$J$101,0)),ISNUMBER(MATCH(TRIM(RIGHT(SUBSTITUTE(TRIM(I74&amp;"")," ",REPT(" ",60)),60)),설정_코드표!$F$2:$F$101,0))),INDEX(설정_코드표!$K$2:$K$101,MATCH(LEFT(TRIM(I74&amp;""),FIND(" ",TRIM(I74&amp;""))-1),설정_코드표!$J$2:$J$101,0))&amp;" "&amp;INDEX(설정_코드표!$G$2:$G$101,MATCH(TRIM(RIGHT(SUBSTITUTE(TRIM(I74&amp;"")," ",REPT(" ",60)),60)),설정_코드표!$F$2:$F$101,0)),"⚠"&amp;TRIM(I74&amp;""))),"⚠"&amp;TRIM(I74&amp;""))</f>
        <v/>
      </c>
      <c r="R74" s="10">
        <f>IFERROR(IF(TRIM(J74&amp;"")="","",IF(AND(ISNUMBER(FIND(" ",TRIM(J74&amp;""))),ISNUMBER(MATCH(LEFT(TRIM(J74&amp;""),FIND(" ",TRIM(J74&amp;""))-1),설정_코드표!$J$2:$J$101,0)),ISNUMBER(MATCH(TRIM(RIGHT(SUBSTITUTE(TRIM(J74&amp;"")," ",REPT(" ",60)),60)),설정_코드표!$F$2:$F$101,0))),INDEX(설정_코드표!$K$2:$K$101,MATCH(LEFT(TRIM(J74&amp;""),FIND(" ",TRIM(J74&amp;""))-1),설정_코드표!$J$2:$J$101,0))&amp;" "&amp;INDEX(설정_코드표!$G$2:$G$101,MATCH(TRIM(RIGHT(SUBSTITUTE(TRIM(J74&amp;"")," ",REPT(" ",60)),60)),설정_코드표!$F$2:$F$101,0)),"⚠"&amp;TRIM(J74&amp;""))),"⚠"&amp;TRIM(J74&amp;""))</f>
        <v/>
      </c>
      <c r="S74" s="11">
        <f>IF(K74="","",IFERROR(IF(AND(ROUND((VALUE(K74&amp;"")-INT(VALUE(K74&amp;"")))*100,0)&gt;=1,ROUND((VALUE(K74&amp;"")-INT(VALUE(K74&amp;"")))*100,0)&lt;=12,INT(VALUE(K74&amp;""))&gt;=1900),DATE(INT(VALUE(K74&amp;"")),ROUND((VALUE(K74&amp;"")-INT(VALUE(K74&amp;"")))*100,0),1),K74&amp;""),K74&amp;""))</f>
        <v/>
      </c>
      <c r="T74" s="10">
        <f>COUNTIF(M74:R74,"⚠*")</f>
        <v/>
      </c>
    </row>
    <row r="75"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M75" s="10">
        <f>IFERROR(IF(TRIM(E75&amp;"")="","",IF(AND(ISNUMBER(FIND(" ",TRIM(E75&amp;""))),ISNUMBER(MATCH(LEFT(TRIM(E75&amp;""),FIND(" ",TRIM(E75&amp;""))-1),설정_코드표!$J$2:$J$101,0)),ISNUMBER(MATCH(TRIM(RIGHT(SUBSTITUTE(TRIM(E75&amp;"")," ",REPT(" ",60)),60)),설정_코드표!$F$2:$F$101,0))),INDEX(설정_코드표!$K$2:$K$101,MATCH(LEFT(TRIM(E75&amp;""),FIND(" ",TRIM(E75&amp;""))-1),설정_코드표!$J$2:$J$101,0))&amp;" "&amp;INDEX(설정_코드표!$G$2:$G$101,MATCH(TRIM(RIGHT(SUBSTITUTE(TRIM(E75&amp;"")," ",REPT(" ",60)),60)),설정_코드표!$F$2:$F$101,0)),"⚠"&amp;TRIM(E75&amp;""))),"⚠"&amp;TRIM(E75&amp;""))</f>
        <v/>
      </c>
      <c r="N75" s="10">
        <f>IFERROR(IF(TRIM(F75&amp;"")="","",IF(AND(ISNUMBER(FIND(" ",TRIM(F75&amp;""))),ISNUMBER(MATCH(LEFT(TRIM(F75&amp;""),FIND(" ",TRIM(F75&amp;""))-1),설정_코드표!$J$2:$J$101,0)),ISNUMBER(MATCH(TRIM(RIGHT(SUBSTITUTE(TRIM(F75&amp;"")," ",REPT(" ",60)),60)),설정_코드표!$F$2:$F$101,0))),INDEX(설정_코드표!$K$2:$K$101,MATCH(LEFT(TRIM(F75&amp;""),FIND(" ",TRIM(F75&amp;""))-1),설정_코드표!$J$2:$J$101,0))&amp;" "&amp;INDEX(설정_코드표!$G$2:$G$101,MATCH(TRIM(RIGHT(SUBSTITUTE(TRIM(F75&amp;"")," ",REPT(" ",60)),60)),설정_코드표!$F$2:$F$101,0)),"⚠"&amp;TRIM(F75&amp;""))),"⚠"&amp;TRIM(F75&amp;""))</f>
        <v/>
      </c>
      <c r="O75" s="10">
        <f>IFERROR(IF(TRIM(G75&amp;"")="","",IF(AND(ISNUMBER(FIND(" ",TRIM(G75&amp;""))),ISNUMBER(MATCH(LEFT(TRIM(G75&amp;""),FIND(" ",TRIM(G75&amp;""))-1),설정_코드표!$J$2:$J$101,0)),ISNUMBER(MATCH(TRIM(RIGHT(SUBSTITUTE(TRIM(G75&amp;"")," ",REPT(" ",60)),60)),설정_코드표!$F$2:$F$101,0))),INDEX(설정_코드표!$K$2:$K$101,MATCH(LEFT(TRIM(G75&amp;""),FIND(" ",TRIM(G75&amp;""))-1),설정_코드표!$J$2:$J$101,0))&amp;" "&amp;INDEX(설정_코드표!$G$2:$G$101,MATCH(TRIM(RIGHT(SUBSTITUTE(TRIM(G75&amp;"")," ",REPT(" ",60)),60)),설정_코드표!$F$2:$F$101,0)),"⚠"&amp;TRIM(G75&amp;""))),"⚠"&amp;TRIM(G75&amp;""))</f>
        <v/>
      </c>
      <c r="P75" s="10">
        <f>IFERROR(IF(TRIM(H75&amp;"")="","",IF(AND(ISNUMBER(FIND(" ",TRIM(H75&amp;""))),ISNUMBER(MATCH(LEFT(TRIM(H75&amp;""),FIND(" ",TRIM(H75&amp;""))-1),설정_코드표!$J$2:$J$101,0)),ISNUMBER(MATCH(TRIM(RIGHT(SUBSTITUTE(TRIM(H75&amp;"")," ",REPT(" ",60)),60)),설정_코드표!$F$2:$F$101,0))),INDEX(설정_코드표!$K$2:$K$101,MATCH(LEFT(TRIM(H75&amp;""),FIND(" ",TRIM(H75&amp;""))-1),설정_코드표!$J$2:$J$101,0))&amp;" "&amp;INDEX(설정_코드표!$G$2:$G$101,MATCH(TRIM(RIGHT(SUBSTITUTE(TRIM(H75&amp;"")," ",REPT(" ",60)),60)),설정_코드표!$F$2:$F$101,0)),"⚠"&amp;TRIM(H75&amp;""))),"⚠"&amp;TRIM(H75&amp;""))</f>
        <v/>
      </c>
      <c r="Q75" s="10">
        <f>IFERROR(IF(TRIM(I75&amp;"")="","",IF(AND(ISNUMBER(FIND(" ",TRIM(I75&amp;""))),ISNUMBER(MATCH(LEFT(TRIM(I75&amp;""),FIND(" ",TRIM(I75&amp;""))-1),설정_코드표!$J$2:$J$101,0)),ISNUMBER(MATCH(TRIM(RIGHT(SUBSTITUTE(TRIM(I75&amp;"")," ",REPT(" ",60)),60)),설정_코드표!$F$2:$F$101,0))),INDEX(설정_코드표!$K$2:$K$101,MATCH(LEFT(TRIM(I75&amp;""),FIND(" ",TRIM(I75&amp;""))-1),설정_코드표!$J$2:$J$101,0))&amp;" "&amp;INDEX(설정_코드표!$G$2:$G$101,MATCH(TRIM(RIGHT(SUBSTITUTE(TRIM(I75&amp;"")," ",REPT(" ",60)),60)),설정_코드표!$F$2:$F$101,0)),"⚠"&amp;TRIM(I75&amp;""))),"⚠"&amp;TRIM(I75&amp;""))</f>
        <v/>
      </c>
      <c r="R75" s="10">
        <f>IFERROR(IF(TRIM(J75&amp;"")="","",IF(AND(ISNUMBER(FIND(" ",TRIM(J75&amp;""))),ISNUMBER(MATCH(LEFT(TRIM(J75&amp;""),FIND(" ",TRIM(J75&amp;""))-1),설정_코드표!$J$2:$J$101,0)),ISNUMBER(MATCH(TRIM(RIGHT(SUBSTITUTE(TRIM(J75&amp;"")," ",REPT(" ",60)),60)),설정_코드표!$F$2:$F$101,0))),INDEX(설정_코드표!$K$2:$K$101,MATCH(LEFT(TRIM(J75&amp;""),FIND(" ",TRIM(J75&amp;""))-1),설정_코드표!$J$2:$J$101,0))&amp;" "&amp;INDEX(설정_코드표!$G$2:$G$101,MATCH(TRIM(RIGHT(SUBSTITUTE(TRIM(J75&amp;"")," ",REPT(" ",60)),60)),설정_코드표!$F$2:$F$101,0)),"⚠"&amp;TRIM(J75&amp;""))),"⚠"&amp;TRIM(J75&amp;""))</f>
        <v/>
      </c>
      <c r="S75" s="11">
        <f>IF(K75="","",IFERROR(IF(AND(ROUND((VALUE(K75&amp;"")-INT(VALUE(K75&amp;"")))*100,0)&gt;=1,ROUND((VALUE(K75&amp;"")-INT(VALUE(K75&amp;"")))*100,0)&lt;=12,INT(VALUE(K75&amp;""))&gt;=1900),DATE(INT(VALUE(K75&amp;"")),ROUND((VALUE(K75&amp;"")-INT(VALUE(K75&amp;"")))*100,0),1),K75&amp;""),K75&amp;""))</f>
        <v/>
      </c>
      <c r="T75" s="10">
        <f>COUNTIF(M75:R75,"⚠*")</f>
        <v/>
      </c>
    </row>
    <row r="76"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M76" s="10">
        <f>IFERROR(IF(TRIM(E76&amp;"")="","",IF(AND(ISNUMBER(FIND(" ",TRIM(E76&amp;""))),ISNUMBER(MATCH(LEFT(TRIM(E76&amp;""),FIND(" ",TRIM(E76&amp;""))-1),설정_코드표!$J$2:$J$101,0)),ISNUMBER(MATCH(TRIM(RIGHT(SUBSTITUTE(TRIM(E76&amp;"")," ",REPT(" ",60)),60)),설정_코드표!$F$2:$F$101,0))),INDEX(설정_코드표!$K$2:$K$101,MATCH(LEFT(TRIM(E76&amp;""),FIND(" ",TRIM(E76&amp;""))-1),설정_코드표!$J$2:$J$101,0))&amp;" "&amp;INDEX(설정_코드표!$G$2:$G$101,MATCH(TRIM(RIGHT(SUBSTITUTE(TRIM(E76&amp;"")," ",REPT(" ",60)),60)),설정_코드표!$F$2:$F$101,0)),"⚠"&amp;TRIM(E76&amp;""))),"⚠"&amp;TRIM(E76&amp;""))</f>
        <v/>
      </c>
      <c r="N76" s="10">
        <f>IFERROR(IF(TRIM(F76&amp;"")="","",IF(AND(ISNUMBER(FIND(" ",TRIM(F76&amp;""))),ISNUMBER(MATCH(LEFT(TRIM(F76&amp;""),FIND(" ",TRIM(F76&amp;""))-1),설정_코드표!$J$2:$J$101,0)),ISNUMBER(MATCH(TRIM(RIGHT(SUBSTITUTE(TRIM(F76&amp;"")," ",REPT(" ",60)),60)),설정_코드표!$F$2:$F$101,0))),INDEX(설정_코드표!$K$2:$K$101,MATCH(LEFT(TRIM(F76&amp;""),FIND(" ",TRIM(F76&amp;""))-1),설정_코드표!$J$2:$J$101,0))&amp;" "&amp;INDEX(설정_코드표!$G$2:$G$101,MATCH(TRIM(RIGHT(SUBSTITUTE(TRIM(F76&amp;"")," ",REPT(" ",60)),60)),설정_코드표!$F$2:$F$101,0)),"⚠"&amp;TRIM(F76&amp;""))),"⚠"&amp;TRIM(F76&amp;""))</f>
        <v/>
      </c>
      <c r="O76" s="10">
        <f>IFERROR(IF(TRIM(G76&amp;"")="","",IF(AND(ISNUMBER(FIND(" ",TRIM(G76&amp;""))),ISNUMBER(MATCH(LEFT(TRIM(G76&amp;""),FIND(" ",TRIM(G76&amp;""))-1),설정_코드표!$J$2:$J$101,0)),ISNUMBER(MATCH(TRIM(RIGHT(SUBSTITUTE(TRIM(G76&amp;"")," ",REPT(" ",60)),60)),설정_코드표!$F$2:$F$101,0))),INDEX(설정_코드표!$K$2:$K$101,MATCH(LEFT(TRIM(G76&amp;""),FIND(" ",TRIM(G76&amp;""))-1),설정_코드표!$J$2:$J$101,0))&amp;" "&amp;INDEX(설정_코드표!$G$2:$G$101,MATCH(TRIM(RIGHT(SUBSTITUTE(TRIM(G76&amp;"")," ",REPT(" ",60)),60)),설정_코드표!$F$2:$F$101,0)),"⚠"&amp;TRIM(G76&amp;""))),"⚠"&amp;TRIM(G76&amp;""))</f>
        <v/>
      </c>
      <c r="P76" s="10">
        <f>IFERROR(IF(TRIM(H76&amp;"")="","",IF(AND(ISNUMBER(FIND(" ",TRIM(H76&amp;""))),ISNUMBER(MATCH(LEFT(TRIM(H76&amp;""),FIND(" ",TRIM(H76&amp;""))-1),설정_코드표!$J$2:$J$101,0)),ISNUMBER(MATCH(TRIM(RIGHT(SUBSTITUTE(TRIM(H76&amp;"")," ",REPT(" ",60)),60)),설정_코드표!$F$2:$F$101,0))),INDEX(설정_코드표!$K$2:$K$101,MATCH(LEFT(TRIM(H76&amp;""),FIND(" ",TRIM(H76&amp;""))-1),설정_코드표!$J$2:$J$101,0))&amp;" "&amp;INDEX(설정_코드표!$G$2:$G$101,MATCH(TRIM(RIGHT(SUBSTITUTE(TRIM(H76&amp;"")," ",REPT(" ",60)),60)),설정_코드표!$F$2:$F$101,0)),"⚠"&amp;TRIM(H76&amp;""))),"⚠"&amp;TRIM(H76&amp;""))</f>
        <v/>
      </c>
      <c r="Q76" s="10">
        <f>IFERROR(IF(TRIM(I76&amp;"")="","",IF(AND(ISNUMBER(FIND(" ",TRIM(I76&amp;""))),ISNUMBER(MATCH(LEFT(TRIM(I76&amp;""),FIND(" ",TRIM(I76&amp;""))-1),설정_코드표!$J$2:$J$101,0)),ISNUMBER(MATCH(TRIM(RIGHT(SUBSTITUTE(TRIM(I76&amp;"")," ",REPT(" ",60)),60)),설정_코드표!$F$2:$F$101,0))),INDEX(설정_코드표!$K$2:$K$101,MATCH(LEFT(TRIM(I76&amp;""),FIND(" ",TRIM(I76&amp;""))-1),설정_코드표!$J$2:$J$101,0))&amp;" "&amp;INDEX(설정_코드표!$G$2:$G$101,MATCH(TRIM(RIGHT(SUBSTITUTE(TRIM(I76&amp;"")," ",REPT(" ",60)),60)),설정_코드표!$F$2:$F$101,0)),"⚠"&amp;TRIM(I76&amp;""))),"⚠"&amp;TRIM(I76&amp;""))</f>
        <v/>
      </c>
      <c r="R76" s="10">
        <f>IFERROR(IF(TRIM(J76&amp;"")="","",IF(AND(ISNUMBER(FIND(" ",TRIM(J76&amp;""))),ISNUMBER(MATCH(LEFT(TRIM(J76&amp;""),FIND(" ",TRIM(J76&amp;""))-1),설정_코드표!$J$2:$J$101,0)),ISNUMBER(MATCH(TRIM(RIGHT(SUBSTITUTE(TRIM(J76&amp;"")," ",REPT(" ",60)),60)),설정_코드표!$F$2:$F$101,0))),INDEX(설정_코드표!$K$2:$K$101,MATCH(LEFT(TRIM(J76&amp;""),FIND(" ",TRIM(J76&amp;""))-1),설정_코드표!$J$2:$J$101,0))&amp;" "&amp;INDEX(설정_코드표!$G$2:$G$101,MATCH(TRIM(RIGHT(SUBSTITUTE(TRIM(J76&amp;"")," ",REPT(" ",60)),60)),설정_코드표!$F$2:$F$101,0)),"⚠"&amp;TRIM(J76&amp;""))),"⚠"&amp;TRIM(J76&amp;""))</f>
        <v/>
      </c>
      <c r="S76" s="11">
        <f>IF(K76="","",IFERROR(IF(AND(ROUND((VALUE(K76&amp;"")-INT(VALUE(K76&amp;"")))*100,0)&gt;=1,ROUND((VALUE(K76&amp;"")-INT(VALUE(K76&amp;"")))*100,0)&lt;=12,INT(VALUE(K76&amp;""))&gt;=1900),DATE(INT(VALUE(K76&amp;"")),ROUND((VALUE(K76&amp;"")-INT(VALUE(K76&amp;"")))*100,0),1),K76&amp;""),K76&amp;""))</f>
        <v/>
      </c>
      <c r="T76" s="10">
        <f>COUNTIF(M76:R76,"⚠*")</f>
        <v/>
      </c>
    </row>
    <row r="77"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M77" s="10">
        <f>IFERROR(IF(TRIM(E77&amp;"")="","",IF(AND(ISNUMBER(FIND(" ",TRIM(E77&amp;""))),ISNUMBER(MATCH(LEFT(TRIM(E77&amp;""),FIND(" ",TRIM(E77&amp;""))-1),설정_코드표!$J$2:$J$101,0)),ISNUMBER(MATCH(TRIM(RIGHT(SUBSTITUTE(TRIM(E77&amp;"")," ",REPT(" ",60)),60)),설정_코드표!$F$2:$F$101,0))),INDEX(설정_코드표!$K$2:$K$101,MATCH(LEFT(TRIM(E77&amp;""),FIND(" ",TRIM(E77&amp;""))-1),설정_코드표!$J$2:$J$101,0))&amp;" "&amp;INDEX(설정_코드표!$G$2:$G$101,MATCH(TRIM(RIGHT(SUBSTITUTE(TRIM(E77&amp;"")," ",REPT(" ",60)),60)),설정_코드표!$F$2:$F$101,0)),"⚠"&amp;TRIM(E77&amp;""))),"⚠"&amp;TRIM(E77&amp;""))</f>
        <v/>
      </c>
      <c r="N77" s="10">
        <f>IFERROR(IF(TRIM(F77&amp;"")="","",IF(AND(ISNUMBER(FIND(" ",TRIM(F77&amp;""))),ISNUMBER(MATCH(LEFT(TRIM(F77&amp;""),FIND(" ",TRIM(F77&amp;""))-1),설정_코드표!$J$2:$J$101,0)),ISNUMBER(MATCH(TRIM(RIGHT(SUBSTITUTE(TRIM(F77&amp;"")," ",REPT(" ",60)),60)),설정_코드표!$F$2:$F$101,0))),INDEX(설정_코드표!$K$2:$K$101,MATCH(LEFT(TRIM(F77&amp;""),FIND(" ",TRIM(F77&amp;""))-1),설정_코드표!$J$2:$J$101,0))&amp;" "&amp;INDEX(설정_코드표!$G$2:$G$101,MATCH(TRIM(RIGHT(SUBSTITUTE(TRIM(F77&amp;"")," ",REPT(" ",60)),60)),설정_코드표!$F$2:$F$101,0)),"⚠"&amp;TRIM(F77&amp;""))),"⚠"&amp;TRIM(F77&amp;""))</f>
        <v/>
      </c>
      <c r="O77" s="10">
        <f>IFERROR(IF(TRIM(G77&amp;"")="","",IF(AND(ISNUMBER(FIND(" ",TRIM(G77&amp;""))),ISNUMBER(MATCH(LEFT(TRIM(G77&amp;""),FIND(" ",TRIM(G77&amp;""))-1),설정_코드표!$J$2:$J$101,0)),ISNUMBER(MATCH(TRIM(RIGHT(SUBSTITUTE(TRIM(G77&amp;"")," ",REPT(" ",60)),60)),설정_코드표!$F$2:$F$101,0))),INDEX(설정_코드표!$K$2:$K$101,MATCH(LEFT(TRIM(G77&amp;""),FIND(" ",TRIM(G77&amp;""))-1),설정_코드표!$J$2:$J$101,0))&amp;" "&amp;INDEX(설정_코드표!$G$2:$G$101,MATCH(TRIM(RIGHT(SUBSTITUTE(TRIM(G77&amp;"")," ",REPT(" ",60)),60)),설정_코드표!$F$2:$F$101,0)),"⚠"&amp;TRIM(G77&amp;""))),"⚠"&amp;TRIM(G77&amp;""))</f>
        <v/>
      </c>
      <c r="P77" s="10">
        <f>IFERROR(IF(TRIM(H77&amp;"")="","",IF(AND(ISNUMBER(FIND(" ",TRIM(H77&amp;""))),ISNUMBER(MATCH(LEFT(TRIM(H77&amp;""),FIND(" ",TRIM(H77&amp;""))-1),설정_코드표!$J$2:$J$101,0)),ISNUMBER(MATCH(TRIM(RIGHT(SUBSTITUTE(TRIM(H77&amp;"")," ",REPT(" ",60)),60)),설정_코드표!$F$2:$F$101,0))),INDEX(설정_코드표!$K$2:$K$101,MATCH(LEFT(TRIM(H77&amp;""),FIND(" ",TRIM(H77&amp;""))-1),설정_코드표!$J$2:$J$101,0))&amp;" "&amp;INDEX(설정_코드표!$G$2:$G$101,MATCH(TRIM(RIGHT(SUBSTITUTE(TRIM(H77&amp;"")," ",REPT(" ",60)),60)),설정_코드표!$F$2:$F$101,0)),"⚠"&amp;TRIM(H77&amp;""))),"⚠"&amp;TRIM(H77&amp;""))</f>
        <v/>
      </c>
      <c r="Q77" s="10">
        <f>IFERROR(IF(TRIM(I77&amp;"")="","",IF(AND(ISNUMBER(FIND(" ",TRIM(I77&amp;""))),ISNUMBER(MATCH(LEFT(TRIM(I77&amp;""),FIND(" ",TRIM(I77&amp;""))-1),설정_코드표!$J$2:$J$101,0)),ISNUMBER(MATCH(TRIM(RIGHT(SUBSTITUTE(TRIM(I77&amp;"")," ",REPT(" ",60)),60)),설정_코드표!$F$2:$F$101,0))),INDEX(설정_코드표!$K$2:$K$101,MATCH(LEFT(TRIM(I77&amp;""),FIND(" ",TRIM(I77&amp;""))-1),설정_코드표!$J$2:$J$101,0))&amp;" "&amp;INDEX(설정_코드표!$G$2:$G$101,MATCH(TRIM(RIGHT(SUBSTITUTE(TRIM(I77&amp;"")," ",REPT(" ",60)),60)),설정_코드표!$F$2:$F$101,0)),"⚠"&amp;TRIM(I77&amp;""))),"⚠"&amp;TRIM(I77&amp;""))</f>
        <v/>
      </c>
      <c r="R77" s="10">
        <f>IFERROR(IF(TRIM(J77&amp;"")="","",IF(AND(ISNUMBER(FIND(" ",TRIM(J77&amp;""))),ISNUMBER(MATCH(LEFT(TRIM(J77&amp;""),FIND(" ",TRIM(J77&amp;""))-1),설정_코드표!$J$2:$J$101,0)),ISNUMBER(MATCH(TRIM(RIGHT(SUBSTITUTE(TRIM(J77&amp;"")," ",REPT(" ",60)),60)),설정_코드표!$F$2:$F$101,0))),INDEX(설정_코드표!$K$2:$K$101,MATCH(LEFT(TRIM(J77&amp;""),FIND(" ",TRIM(J77&amp;""))-1),설정_코드표!$J$2:$J$101,0))&amp;" "&amp;INDEX(설정_코드표!$G$2:$G$101,MATCH(TRIM(RIGHT(SUBSTITUTE(TRIM(J77&amp;"")," ",REPT(" ",60)),60)),설정_코드표!$F$2:$F$101,0)),"⚠"&amp;TRIM(J77&amp;""))),"⚠"&amp;TRIM(J77&amp;""))</f>
        <v/>
      </c>
      <c r="S77" s="11">
        <f>IF(K77="","",IFERROR(IF(AND(ROUND((VALUE(K77&amp;"")-INT(VALUE(K77&amp;"")))*100,0)&gt;=1,ROUND((VALUE(K77&amp;"")-INT(VALUE(K77&amp;"")))*100,0)&lt;=12,INT(VALUE(K77&amp;""))&gt;=1900),DATE(INT(VALUE(K77&amp;"")),ROUND((VALUE(K77&amp;"")-INT(VALUE(K77&amp;"")))*100,0),1),K77&amp;""),K77&amp;""))</f>
        <v/>
      </c>
      <c r="T77" s="10">
        <f>COUNTIF(M77:R77,"⚠*")</f>
        <v/>
      </c>
    </row>
    <row r="78"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M78" s="10">
        <f>IFERROR(IF(TRIM(E78&amp;"")="","",IF(AND(ISNUMBER(FIND(" ",TRIM(E78&amp;""))),ISNUMBER(MATCH(LEFT(TRIM(E78&amp;""),FIND(" ",TRIM(E78&amp;""))-1),설정_코드표!$J$2:$J$101,0)),ISNUMBER(MATCH(TRIM(RIGHT(SUBSTITUTE(TRIM(E78&amp;"")," ",REPT(" ",60)),60)),설정_코드표!$F$2:$F$101,0))),INDEX(설정_코드표!$K$2:$K$101,MATCH(LEFT(TRIM(E78&amp;""),FIND(" ",TRIM(E78&amp;""))-1),설정_코드표!$J$2:$J$101,0))&amp;" "&amp;INDEX(설정_코드표!$G$2:$G$101,MATCH(TRIM(RIGHT(SUBSTITUTE(TRIM(E78&amp;"")," ",REPT(" ",60)),60)),설정_코드표!$F$2:$F$101,0)),"⚠"&amp;TRIM(E78&amp;""))),"⚠"&amp;TRIM(E78&amp;""))</f>
        <v/>
      </c>
      <c r="N78" s="10">
        <f>IFERROR(IF(TRIM(F78&amp;"")="","",IF(AND(ISNUMBER(FIND(" ",TRIM(F78&amp;""))),ISNUMBER(MATCH(LEFT(TRIM(F78&amp;""),FIND(" ",TRIM(F78&amp;""))-1),설정_코드표!$J$2:$J$101,0)),ISNUMBER(MATCH(TRIM(RIGHT(SUBSTITUTE(TRIM(F78&amp;"")," ",REPT(" ",60)),60)),설정_코드표!$F$2:$F$101,0))),INDEX(설정_코드표!$K$2:$K$101,MATCH(LEFT(TRIM(F78&amp;""),FIND(" ",TRIM(F78&amp;""))-1),설정_코드표!$J$2:$J$101,0))&amp;" "&amp;INDEX(설정_코드표!$G$2:$G$101,MATCH(TRIM(RIGHT(SUBSTITUTE(TRIM(F78&amp;"")," ",REPT(" ",60)),60)),설정_코드표!$F$2:$F$101,0)),"⚠"&amp;TRIM(F78&amp;""))),"⚠"&amp;TRIM(F78&amp;""))</f>
        <v/>
      </c>
      <c r="O78" s="10">
        <f>IFERROR(IF(TRIM(G78&amp;"")="","",IF(AND(ISNUMBER(FIND(" ",TRIM(G78&amp;""))),ISNUMBER(MATCH(LEFT(TRIM(G78&amp;""),FIND(" ",TRIM(G78&amp;""))-1),설정_코드표!$J$2:$J$101,0)),ISNUMBER(MATCH(TRIM(RIGHT(SUBSTITUTE(TRIM(G78&amp;"")," ",REPT(" ",60)),60)),설정_코드표!$F$2:$F$101,0))),INDEX(설정_코드표!$K$2:$K$101,MATCH(LEFT(TRIM(G78&amp;""),FIND(" ",TRIM(G78&amp;""))-1),설정_코드표!$J$2:$J$101,0))&amp;" "&amp;INDEX(설정_코드표!$G$2:$G$101,MATCH(TRIM(RIGHT(SUBSTITUTE(TRIM(G78&amp;"")," ",REPT(" ",60)),60)),설정_코드표!$F$2:$F$101,0)),"⚠"&amp;TRIM(G78&amp;""))),"⚠"&amp;TRIM(G78&amp;""))</f>
        <v/>
      </c>
      <c r="P78" s="10">
        <f>IFERROR(IF(TRIM(H78&amp;"")="","",IF(AND(ISNUMBER(FIND(" ",TRIM(H78&amp;""))),ISNUMBER(MATCH(LEFT(TRIM(H78&amp;""),FIND(" ",TRIM(H78&amp;""))-1),설정_코드표!$J$2:$J$101,0)),ISNUMBER(MATCH(TRIM(RIGHT(SUBSTITUTE(TRIM(H78&amp;"")," ",REPT(" ",60)),60)),설정_코드표!$F$2:$F$101,0))),INDEX(설정_코드표!$K$2:$K$101,MATCH(LEFT(TRIM(H78&amp;""),FIND(" ",TRIM(H78&amp;""))-1),설정_코드표!$J$2:$J$101,0))&amp;" "&amp;INDEX(설정_코드표!$G$2:$G$101,MATCH(TRIM(RIGHT(SUBSTITUTE(TRIM(H78&amp;"")," ",REPT(" ",60)),60)),설정_코드표!$F$2:$F$101,0)),"⚠"&amp;TRIM(H78&amp;""))),"⚠"&amp;TRIM(H78&amp;""))</f>
        <v/>
      </c>
      <c r="Q78" s="10">
        <f>IFERROR(IF(TRIM(I78&amp;"")="","",IF(AND(ISNUMBER(FIND(" ",TRIM(I78&amp;""))),ISNUMBER(MATCH(LEFT(TRIM(I78&amp;""),FIND(" ",TRIM(I78&amp;""))-1),설정_코드표!$J$2:$J$101,0)),ISNUMBER(MATCH(TRIM(RIGHT(SUBSTITUTE(TRIM(I78&amp;"")," ",REPT(" ",60)),60)),설정_코드표!$F$2:$F$101,0))),INDEX(설정_코드표!$K$2:$K$101,MATCH(LEFT(TRIM(I78&amp;""),FIND(" ",TRIM(I78&amp;""))-1),설정_코드표!$J$2:$J$101,0))&amp;" "&amp;INDEX(설정_코드표!$G$2:$G$101,MATCH(TRIM(RIGHT(SUBSTITUTE(TRIM(I78&amp;"")," ",REPT(" ",60)),60)),설정_코드표!$F$2:$F$101,0)),"⚠"&amp;TRIM(I78&amp;""))),"⚠"&amp;TRIM(I78&amp;""))</f>
        <v/>
      </c>
      <c r="R78" s="10">
        <f>IFERROR(IF(TRIM(J78&amp;"")="","",IF(AND(ISNUMBER(FIND(" ",TRIM(J78&amp;""))),ISNUMBER(MATCH(LEFT(TRIM(J78&amp;""),FIND(" ",TRIM(J78&amp;""))-1),설정_코드표!$J$2:$J$101,0)),ISNUMBER(MATCH(TRIM(RIGHT(SUBSTITUTE(TRIM(J78&amp;"")," ",REPT(" ",60)),60)),설정_코드표!$F$2:$F$101,0))),INDEX(설정_코드표!$K$2:$K$101,MATCH(LEFT(TRIM(J78&amp;""),FIND(" ",TRIM(J78&amp;""))-1),설정_코드표!$J$2:$J$101,0))&amp;" "&amp;INDEX(설정_코드표!$G$2:$G$101,MATCH(TRIM(RIGHT(SUBSTITUTE(TRIM(J78&amp;"")," ",REPT(" ",60)),60)),설정_코드표!$F$2:$F$101,0)),"⚠"&amp;TRIM(J78&amp;""))),"⚠"&amp;TRIM(J78&amp;""))</f>
        <v/>
      </c>
      <c r="S78" s="11">
        <f>IF(K78="","",IFERROR(IF(AND(ROUND((VALUE(K78&amp;"")-INT(VALUE(K78&amp;"")))*100,0)&gt;=1,ROUND((VALUE(K78&amp;"")-INT(VALUE(K78&amp;"")))*100,0)&lt;=12,INT(VALUE(K78&amp;""))&gt;=1900),DATE(INT(VALUE(K78&amp;"")),ROUND((VALUE(K78&amp;"")-INT(VALUE(K78&amp;"")))*100,0),1),K78&amp;""),K78&amp;""))</f>
        <v/>
      </c>
      <c r="T78" s="10">
        <f>COUNTIF(M78:R78,"⚠*")</f>
        <v/>
      </c>
    </row>
    <row r="79"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M79" s="10">
        <f>IFERROR(IF(TRIM(E79&amp;"")="","",IF(AND(ISNUMBER(FIND(" ",TRIM(E79&amp;""))),ISNUMBER(MATCH(LEFT(TRIM(E79&amp;""),FIND(" ",TRIM(E79&amp;""))-1),설정_코드표!$J$2:$J$101,0)),ISNUMBER(MATCH(TRIM(RIGHT(SUBSTITUTE(TRIM(E79&amp;"")," ",REPT(" ",60)),60)),설정_코드표!$F$2:$F$101,0))),INDEX(설정_코드표!$K$2:$K$101,MATCH(LEFT(TRIM(E79&amp;""),FIND(" ",TRIM(E79&amp;""))-1),설정_코드표!$J$2:$J$101,0))&amp;" "&amp;INDEX(설정_코드표!$G$2:$G$101,MATCH(TRIM(RIGHT(SUBSTITUTE(TRIM(E79&amp;"")," ",REPT(" ",60)),60)),설정_코드표!$F$2:$F$101,0)),"⚠"&amp;TRIM(E79&amp;""))),"⚠"&amp;TRIM(E79&amp;""))</f>
        <v/>
      </c>
      <c r="N79" s="10">
        <f>IFERROR(IF(TRIM(F79&amp;"")="","",IF(AND(ISNUMBER(FIND(" ",TRIM(F79&amp;""))),ISNUMBER(MATCH(LEFT(TRIM(F79&amp;""),FIND(" ",TRIM(F79&amp;""))-1),설정_코드표!$J$2:$J$101,0)),ISNUMBER(MATCH(TRIM(RIGHT(SUBSTITUTE(TRIM(F79&amp;"")," ",REPT(" ",60)),60)),설정_코드표!$F$2:$F$101,0))),INDEX(설정_코드표!$K$2:$K$101,MATCH(LEFT(TRIM(F79&amp;""),FIND(" ",TRIM(F79&amp;""))-1),설정_코드표!$J$2:$J$101,0))&amp;" "&amp;INDEX(설정_코드표!$G$2:$G$101,MATCH(TRIM(RIGHT(SUBSTITUTE(TRIM(F79&amp;"")," ",REPT(" ",60)),60)),설정_코드표!$F$2:$F$101,0)),"⚠"&amp;TRIM(F79&amp;""))),"⚠"&amp;TRIM(F79&amp;""))</f>
        <v/>
      </c>
      <c r="O79" s="10">
        <f>IFERROR(IF(TRIM(G79&amp;"")="","",IF(AND(ISNUMBER(FIND(" ",TRIM(G79&amp;""))),ISNUMBER(MATCH(LEFT(TRIM(G79&amp;""),FIND(" ",TRIM(G79&amp;""))-1),설정_코드표!$J$2:$J$101,0)),ISNUMBER(MATCH(TRIM(RIGHT(SUBSTITUTE(TRIM(G79&amp;"")," ",REPT(" ",60)),60)),설정_코드표!$F$2:$F$101,0))),INDEX(설정_코드표!$K$2:$K$101,MATCH(LEFT(TRIM(G79&amp;""),FIND(" ",TRIM(G79&amp;""))-1),설정_코드표!$J$2:$J$101,0))&amp;" "&amp;INDEX(설정_코드표!$G$2:$G$101,MATCH(TRIM(RIGHT(SUBSTITUTE(TRIM(G79&amp;"")," ",REPT(" ",60)),60)),설정_코드표!$F$2:$F$101,0)),"⚠"&amp;TRIM(G79&amp;""))),"⚠"&amp;TRIM(G79&amp;""))</f>
        <v/>
      </c>
      <c r="P79" s="10">
        <f>IFERROR(IF(TRIM(H79&amp;"")="","",IF(AND(ISNUMBER(FIND(" ",TRIM(H79&amp;""))),ISNUMBER(MATCH(LEFT(TRIM(H79&amp;""),FIND(" ",TRIM(H79&amp;""))-1),설정_코드표!$J$2:$J$101,0)),ISNUMBER(MATCH(TRIM(RIGHT(SUBSTITUTE(TRIM(H79&amp;"")," ",REPT(" ",60)),60)),설정_코드표!$F$2:$F$101,0))),INDEX(설정_코드표!$K$2:$K$101,MATCH(LEFT(TRIM(H79&amp;""),FIND(" ",TRIM(H79&amp;""))-1),설정_코드표!$J$2:$J$101,0))&amp;" "&amp;INDEX(설정_코드표!$G$2:$G$101,MATCH(TRIM(RIGHT(SUBSTITUTE(TRIM(H79&amp;"")," ",REPT(" ",60)),60)),설정_코드표!$F$2:$F$101,0)),"⚠"&amp;TRIM(H79&amp;""))),"⚠"&amp;TRIM(H79&amp;""))</f>
        <v/>
      </c>
      <c r="Q79" s="10">
        <f>IFERROR(IF(TRIM(I79&amp;"")="","",IF(AND(ISNUMBER(FIND(" ",TRIM(I79&amp;""))),ISNUMBER(MATCH(LEFT(TRIM(I79&amp;""),FIND(" ",TRIM(I79&amp;""))-1),설정_코드표!$J$2:$J$101,0)),ISNUMBER(MATCH(TRIM(RIGHT(SUBSTITUTE(TRIM(I79&amp;"")," ",REPT(" ",60)),60)),설정_코드표!$F$2:$F$101,0))),INDEX(설정_코드표!$K$2:$K$101,MATCH(LEFT(TRIM(I79&amp;""),FIND(" ",TRIM(I79&amp;""))-1),설정_코드표!$J$2:$J$101,0))&amp;" "&amp;INDEX(설정_코드표!$G$2:$G$101,MATCH(TRIM(RIGHT(SUBSTITUTE(TRIM(I79&amp;"")," ",REPT(" ",60)),60)),설정_코드표!$F$2:$F$101,0)),"⚠"&amp;TRIM(I79&amp;""))),"⚠"&amp;TRIM(I79&amp;""))</f>
        <v/>
      </c>
      <c r="R79" s="10">
        <f>IFERROR(IF(TRIM(J79&amp;"")="","",IF(AND(ISNUMBER(FIND(" ",TRIM(J79&amp;""))),ISNUMBER(MATCH(LEFT(TRIM(J79&amp;""),FIND(" ",TRIM(J79&amp;""))-1),설정_코드표!$J$2:$J$101,0)),ISNUMBER(MATCH(TRIM(RIGHT(SUBSTITUTE(TRIM(J79&amp;"")," ",REPT(" ",60)),60)),설정_코드표!$F$2:$F$101,0))),INDEX(설정_코드표!$K$2:$K$101,MATCH(LEFT(TRIM(J79&amp;""),FIND(" ",TRIM(J79&amp;""))-1),설정_코드표!$J$2:$J$101,0))&amp;" "&amp;INDEX(설정_코드표!$G$2:$G$101,MATCH(TRIM(RIGHT(SUBSTITUTE(TRIM(J79&amp;"")," ",REPT(" ",60)),60)),설정_코드표!$F$2:$F$101,0)),"⚠"&amp;TRIM(J79&amp;""))),"⚠"&amp;TRIM(J79&amp;""))</f>
        <v/>
      </c>
      <c r="S79" s="11">
        <f>IF(K79="","",IFERROR(IF(AND(ROUND((VALUE(K79&amp;"")-INT(VALUE(K79&amp;"")))*100,0)&gt;=1,ROUND((VALUE(K79&amp;"")-INT(VALUE(K79&amp;"")))*100,0)&lt;=12,INT(VALUE(K79&amp;""))&gt;=1900),DATE(INT(VALUE(K79&amp;"")),ROUND((VALUE(K79&amp;"")-INT(VALUE(K79&amp;"")))*100,0),1),K79&amp;""),K79&amp;""))</f>
        <v/>
      </c>
      <c r="T79" s="10">
        <f>COUNTIF(M79:R79,"⚠*")</f>
        <v/>
      </c>
    </row>
    <row r="80"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M80" s="10">
        <f>IFERROR(IF(TRIM(E80&amp;"")="","",IF(AND(ISNUMBER(FIND(" ",TRIM(E80&amp;""))),ISNUMBER(MATCH(LEFT(TRIM(E80&amp;""),FIND(" ",TRIM(E80&amp;""))-1),설정_코드표!$J$2:$J$101,0)),ISNUMBER(MATCH(TRIM(RIGHT(SUBSTITUTE(TRIM(E80&amp;"")," ",REPT(" ",60)),60)),설정_코드표!$F$2:$F$101,0))),INDEX(설정_코드표!$K$2:$K$101,MATCH(LEFT(TRIM(E80&amp;""),FIND(" ",TRIM(E80&amp;""))-1),설정_코드표!$J$2:$J$101,0))&amp;" "&amp;INDEX(설정_코드표!$G$2:$G$101,MATCH(TRIM(RIGHT(SUBSTITUTE(TRIM(E80&amp;"")," ",REPT(" ",60)),60)),설정_코드표!$F$2:$F$101,0)),"⚠"&amp;TRIM(E80&amp;""))),"⚠"&amp;TRIM(E80&amp;""))</f>
        <v/>
      </c>
      <c r="N80" s="10">
        <f>IFERROR(IF(TRIM(F80&amp;"")="","",IF(AND(ISNUMBER(FIND(" ",TRIM(F80&amp;""))),ISNUMBER(MATCH(LEFT(TRIM(F80&amp;""),FIND(" ",TRIM(F80&amp;""))-1),설정_코드표!$J$2:$J$101,0)),ISNUMBER(MATCH(TRIM(RIGHT(SUBSTITUTE(TRIM(F80&amp;"")," ",REPT(" ",60)),60)),설정_코드표!$F$2:$F$101,0))),INDEX(설정_코드표!$K$2:$K$101,MATCH(LEFT(TRIM(F80&amp;""),FIND(" ",TRIM(F80&amp;""))-1),설정_코드표!$J$2:$J$101,0))&amp;" "&amp;INDEX(설정_코드표!$G$2:$G$101,MATCH(TRIM(RIGHT(SUBSTITUTE(TRIM(F80&amp;"")," ",REPT(" ",60)),60)),설정_코드표!$F$2:$F$101,0)),"⚠"&amp;TRIM(F80&amp;""))),"⚠"&amp;TRIM(F80&amp;""))</f>
        <v/>
      </c>
      <c r="O80" s="10">
        <f>IFERROR(IF(TRIM(G80&amp;"")="","",IF(AND(ISNUMBER(FIND(" ",TRIM(G80&amp;""))),ISNUMBER(MATCH(LEFT(TRIM(G80&amp;""),FIND(" ",TRIM(G80&amp;""))-1),설정_코드표!$J$2:$J$101,0)),ISNUMBER(MATCH(TRIM(RIGHT(SUBSTITUTE(TRIM(G80&amp;"")," ",REPT(" ",60)),60)),설정_코드표!$F$2:$F$101,0))),INDEX(설정_코드표!$K$2:$K$101,MATCH(LEFT(TRIM(G80&amp;""),FIND(" ",TRIM(G80&amp;""))-1),설정_코드표!$J$2:$J$101,0))&amp;" "&amp;INDEX(설정_코드표!$G$2:$G$101,MATCH(TRIM(RIGHT(SUBSTITUTE(TRIM(G80&amp;"")," ",REPT(" ",60)),60)),설정_코드표!$F$2:$F$101,0)),"⚠"&amp;TRIM(G80&amp;""))),"⚠"&amp;TRIM(G80&amp;""))</f>
        <v/>
      </c>
      <c r="P80" s="10">
        <f>IFERROR(IF(TRIM(H80&amp;"")="","",IF(AND(ISNUMBER(FIND(" ",TRIM(H80&amp;""))),ISNUMBER(MATCH(LEFT(TRIM(H80&amp;""),FIND(" ",TRIM(H80&amp;""))-1),설정_코드표!$J$2:$J$101,0)),ISNUMBER(MATCH(TRIM(RIGHT(SUBSTITUTE(TRIM(H80&amp;"")," ",REPT(" ",60)),60)),설정_코드표!$F$2:$F$101,0))),INDEX(설정_코드표!$K$2:$K$101,MATCH(LEFT(TRIM(H80&amp;""),FIND(" ",TRIM(H80&amp;""))-1),설정_코드표!$J$2:$J$101,0))&amp;" "&amp;INDEX(설정_코드표!$G$2:$G$101,MATCH(TRIM(RIGHT(SUBSTITUTE(TRIM(H80&amp;"")," ",REPT(" ",60)),60)),설정_코드표!$F$2:$F$101,0)),"⚠"&amp;TRIM(H80&amp;""))),"⚠"&amp;TRIM(H80&amp;""))</f>
        <v/>
      </c>
      <c r="Q80" s="10">
        <f>IFERROR(IF(TRIM(I80&amp;"")="","",IF(AND(ISNUMBER(FIND(" ",TRIM(I80&amp;""))),ISNUMBER(MATCH(LEFT(TRIM(I80&amp;""),FIND(" ",TRIM(I80&amp;""))-1),설정_코드표!$J$2:$J$101,0)),ISNUMBER(MATCH(TRIM(RIGHT(SUBSTITUTE(TRIM(I80&amp;"")," ",REPT(" ",60)),60)),설정_코드표!$F$2:$F$101,0))),INDEX(설정_코드표!$K$2:$K$101,MATCH(LEFT(TRIM(I80&amp;""),FIND(" ",TRIM(I80&amp;""))-1),설정_코드표!$J$2:$J$101,0))&amp;" "&amp;INDEX(설정_코드표!$G$2:$G$101,MATCH(TRIM(RIGHT(SUBSTITUTE(TRIM(I80&amp;"")," ",REPT(" ",60)),60)),설정_코드표!$F$2:$F$101,0)),"⚠"&amp;TRIM(I80&amp;""))),"⚠"&amp;TRIM(I80&amp;""))</f>
        <v/>
      </c>
      <c r="R80" s="10">
        <f>IFERROR(IF(TRIM(J80&amp;"")="","",IF(AND(ISNUMBER(FIND(" ",TRIM(J80&amp;""))),ISNUMBER(MATCH(LEFT(TRIM(J80&amp;""),FIND(" ",TRIM(J80&amp;""))-1),설정_코드표!$J$2:$J$101,0)),ISNUMBER(MATCH(TRIM(RIGHT(SUBSTITUTE(TRIM(J80&amp;"")," ",REPT(" ",60)),60)),설정_코드표!$F$2:$F$101,0))),INDEX(설정_코드표!$K$2:$K$101,MATCH(LEFT(TRIM(J80&amp;""),FIND(" ",TRIM(J80&amp;""))-1),설정_코드표!$J$2:$J$101,0))&amp;" "&amp;INDEX(설정_코드표!$G$2:$G$101,MATCH(TRIM(RIGHT(SUBSTITUTE(TRIM(J80&amp;"")," ",REPT(" ",60)),60)),설정_코드표!$F$2:$F$101,0)),"⚠"&amp;TRIM(J80&amp;""))),"⚠"&amp;TRIM(J80&amp;""))</f>
        <v/>
      </c>
      <c r="S80" s="11">
        <f>IF(K80="","",IFERROR(IF(AND(ROUND((VALUE(K80&amp;"")-INT(VALUE(K80&amp;"")))*100,0)&gt;=1,ROUND((VALUE(K80&amp;"")-INT(VALUE(K80&amp;"")))*100,0)&lt;=12,INT(VALUE(K80&amp;""))&gt;=1900),DATE(INT(VALUE(K80&amp;"")),ROUND((VALUE(K80&amp;"")-INT(VALUE(K80&amp;"")))*100,0),1),K80&amp;""),K80&amp;""))</f>
        <v/>
      </c>
      <c r="T80" s="10">
        <f>COUNTIF(M80:R80,"⚠*")</f>
        <v/>
      </c>
    </row>
    <row r="81"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M81" s="10">
        <f>IFERROR(IF(TRIM(E81&amp;"")="","",IF(AND(ISNUMBER(FIND(" ",TRIM(E81&amp;""))),ISNUMBER(MATCH(LEFT(TRIM(E81&amp;""),FIND(" ",TRIM(E81&amp;""))-1),설정_코드표!$J$2:$J$101,0)),ISNUMBER(MATCH(TRIM(RIGHT(SUBSTITUTE(TRIM(E81&amp;"")," ",REPT(" ",60)),60)),설정_코드표!$F$2:$F$101,0))),INDEX(설정_코드표!$K$2:$K$101,MATCH(LEFT(TRIM(E81&amp;""),FIND(" ",TRIM(E81&amp;""))-1),설정_코드표!$J$2:$J$101,0))&amp;" "&amp;INDEX(설정_코드표!$G$2:$G$101,MATCH(TRIM(RIGHT(SUBSTITUTE(TRIM(E81&amp;"")," ",REPT(" ",60)),60)),설정_코드표!$F$2:$F$101,0)),"⚠"&amp;TRIM(E81&amp;""))),"⚠"&amp;TRIM(E81&amp;""))</f>
        <v/>
      </c>
      <c r="N81" s="10">
        <f>IFERROR(IF(TRIM(F81&amp;"")="","",IF(AND(ISNUMBER(FIND(" ",TRIM(F81&amp;""))),ISNUMBER(MATCH(LEFT(TRIM(F81&amp;""),FIND(" ",TRIM(F81&amp;""))-1),설정_코드표!$J$2:$J$101,0)),ISNUMBER(MATCH(TRIM(RIGHT(SUBSTITUTE(TRIM(F81&amp;"")," ",REPT(" ",60)),60)),설정_코드표!$F$2:$F$101,0))),INDEX(설정_코드표!$K$2:$K$101,MATCH(LEFT(TRIM(F81&amp;""),FIND(" ",TRIM(F81&amp;""))-1),설정_코드표!$J$2:$J$101,0))&amp;" "&amp;INDEX(설정_코드표!$G$2:$G$101,MATCH(TRIM(RIGHT(SUBSTITUTE(TRIM(F81&amp;"")," ",REPT(" ",60)),60)),설정_코드표!$F$2:$F$101,0)),"⚠"&amp;TRIM(F81&amp;""))),"⚠"&amp;TRIM(F81&amp;""))</f>
        <v/>
      </c>
      <c r="O81" s="10">
        <f>IFERROR(IF(TRIM(G81&amp;"")="","",IF(AND(ISNUMBER(FIND(" ",TRIM(G81&amp;""))),ISNUMBER(MATCH(LEFT(TRIM(G81&amp;""),FIND(" ",TRIM(G81&amp;""))-1),설정_코드표!$J$2:$J$101,0)),ISNUMBER(MATCH(TRIM(RIGHT(SUBSTITUTE(TRIM(G81&amp;"")," ",REPT(" ",60)),60)),설정_코드표!$F$2:$F$101,0))),INDEX(설정_코드표!$K$2:$K$101,MATCH(LEFT(TRIM(G81&amp;""),FIND(" ",TRIM(G81&amp;""))-1),설정_코드표!$J$2:$J$101,0))&amp;" "&amp;INDEX(설정_코드표!$G$2:$G$101,MATCH(TRIM(RIGHT(SUBSTITUTE(TRIM(G81&amp;"")," ",REPT(" ",60)),60)),설정_코드표!$F$2:$F$101,0)),"⚠"&amp;TRIM(G81&amp;""))),"⚠"&amp;TRIM(G81&amp;""))</f>
        <v/>
      </c>
      <c r="P81" s="10">
        <f>IFERROR(IF(TRIM(H81&amp;"")="","",IF(AND(ISNUMBER(FIND(" ",TRIM(H81&amp;""))),ISNUMBER(MATCH(LEFT(TRIM(H81&amp;""),FIND(" ",TRIM(H81&amp;""))-1),설정_코드표!$J$2:$J$101,0)),ISNUMBER(MATCH(TRIM(RIGHT(SUBSTITUTE(TRIM(H81&amp;"")," ",REPT(" ",60)),60)),설정_코드표!$F$2:$F$101,0))),INDEX(설정_코드표!$K$2:$K$101,MATCH(LEFT(TRIM(H81&amp;""),FIND(" ",TRIM(H81&amp;""))-1),설정_코드표!$J$2:$J$101,0))&amp;" "&amp;INDEX(설정_코드표!$G$2:$G$101,MATCH(TRIM(RIGHT(SUBSTITUTE(TRIM(H81&amp;"")," ",REPT(" ",60)),60)),설정_코드표!$F$2:$F$101,0)),"⚠"&amp;TRIM(H81&amp;""))),"⚠"&amp;TRIM(H81&amp;""))</f>
        <v/>
      </c>
      <c r="Q81" s="10">
        <f>IFERROR(IF(TRIM(I81&amp;"")="","",IF(AND(ISNUMBER(FIND(" ",TRIM(I81&amp;""))),ISNUMBER(MATCH(LEFT(TRIM(I81&amp;""),FIND(" ",TRIM(I81&amp;""))-1),설정_코드표!$J$2:$J$101,0)),ISNUMBER(MATCH(TRIM(RIGHT(SUBSTITUTE(TRIM(I81&amp;"")," ",REPT(" ",60)),60)),설정_코드표!$F$2:$F$101,0))),INDEX(설정_코드표!$K$2:$K$101,MATCH(LEFT(TRIM(I81&amp;""),FIND(" ",TRIM(I81&amp;""))-1),설정_코드표!$J$2:$J$101,0))&amp;" "&amp;INDEX(설정_코드표!$G$2:$G$101,MATCH(TRIM(RIGHT(SUBSTITUTE(TRIM(I81&amp;"")," ",REPT(" ",60)),60)),설정_코드표!$F$2:$F$101,0)),"⚠"&amp;TRIM(I81&amp;""))),"⚠"&amp;TRIM(I81&amp;""))</f>
        <v/>
      </c>
      <c r="R81" s="10">
        <f>IFERROR(IF(TRIM(J81&amp;"")="","",IF(AND(ISNUMBER(FIND(" ",TRIM(J81&amp;""))),ISNUMBER(MATCH(LEFT(TRIM(J81&amp;""),FIND(" ",TRIM(J81&amp;""))-1),설정_코드표!$J$2:$J$101,0)),ISNUMBER(MATCH(TRIM(RIGHT(SUBSTITUTE(TRIM(J81&amp;"")," ",REPT(" ",60)),60)),설정_코드표!$F$2:$F$101,0))),INDEX(설정_코드표!$K$2:$K$101,MATCH(LEFT(TRIM(J81&amp;""),FIND(" ",TRIM(J81&amp;""))-1),설정_코드표!$J$2:$J$101,0))&amp;" "&amp;INDEX(설정_코드표!$G$2:$G$101,MATCH(TRIM(RIGHT(SUBSTITUTE(TRIM(J81&amp;"")," ",REPT(" ",60)),60)),설정_코드표!$F$2:$F$101,0)),"⚠"&amp;TRIM(J81&amp;""))),"⚠"&amp;TRIM(J81&amp;""))</f>
        <v/>
      </c>
      <c r="S81" s="11">
        <f>IF(K81="","",IFERROR(IF(AND(ROUND((VALUE(K81&amp;"")-INT(VALUE(K81&amp;"")))*100,0)&gt;=1,ROUND((VALUE(K81&amp;"")-INT(VALUE(K81&amp;"")))*100,0)&lt;=12,INT(VALUE(K81&amp;""))&gt;=1900),DATE(INT(VALUE(K81&amp;"")),ROUND((VALUE(K81&amp;"")-INT(VALUE(K81&amp;"")))*100,0),1),K81&amp;""),K81&amp;""))</f>
        <v/>
      </c>
      <c r="T81" s="10">
        <f>COUNTIF(M81:R81,"⚠*")</f>
        <v/>
      </c>
    </row>
    <row r="82"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M82" s="10">
        <f>IFERROR(IF(TRIM(E82&amp;"")="","",IF(AND(ISNUMBER(FIND(" ",TRIM(E82&amp;""))),ISNUMBER(MATCH(LEFT(TRIM(E82&amp;""),FIND(" ",TRIM(E82&amp;""))-1),설정_코드표!$J$2:$J$101,0)),ISNUMBER(MATCH(TRIM(RIGHT(SUBSTITUTE(TRIM(E82&amp;"")," ",REPT(" ",60)),60)),설정_코드표!$F$2:$F$101,0))),INDEX(설정_코드표!$K$2:$K$101,MATCH(LEFT(TRIM(E82&amp;""),FIND(" ",TRIM(E82&amp;""))-1),설정_코드표!$J$2:$J$101,0))&amp;" "&amp;INDEX(설정_코드표!$G$2:$G$101,MATCH(TRIM(RIGHT(SUBSTITUTE(TRIM(E82&amp;"")," ",REPT(" ",60)),60)),설정_코드표!$F$2:$F$101,0)),"⚠"&amp;TRIM(E82&amp;""))),"⚠"&amp;TRIM(E82&amp;""))</f>
        <v/>
      </c>
      <c r="N82" s="10">
        <f>IFERROR(IF(TRIM(F82&amp;"")="","",IF(AND(ISNUMBER(FIND(" ",TRIM(F82&amp;""))),ISNUMBER(MATCH(LEFT(TRIM(F82&amp;""),FIND(" ",TRIM(F82&amp;""))-1),설정_코드표!$J$2:$J$101,0)),ISNUMBER(MATCH(TRIM(RIGHT(SUBSTITUTE(TRIM(F82&amp;"")," ",REPT(" ",60)),60)),설정_코드표!$F$2:$F$101,0))),INDEX(설정_코드표!$K$2:$K$101,MATCH(LEFT(TRIM(F82&amp;""),FIND(" ",TRIM(F82&amp;""))-1),설정_코드표!$J$2:$J$101,0))&amp;" "&amp;INDEX(설정_코드표!$G$2:$G$101,MATCH(TRIM(RIGHT(SUBSTITUTE(TRIM(F82&amp;"")," ",REPT(" ",60)),60)),설정_코드표!$F$2:$F$101,0)),"⚠"&amp;TRIM(F82&amp;""))),"⚠"&amp;TRIM(F82&amp;""))</f>
        <v/>
      </c>
      <c r="O82" s="10">
        <f>IFERROR(IF(TRIM(G82&amp;"")="","",IF(AND(ISNUMBER(FIND(" ",TRIM(G82&amp;""))),ISNUMBER(MATCH(LEFT(TRIM(G82&amp;""),FIND(" ",TRIM(G82&amp;""))-1),설정_코드표!$J$2:$J$101,0)),ISNUMBER(MATCH(TRIM(RIGHT(SUBSTITUTE(TRIM(G82&amp;"")," ",REPT(" ",60)),60)),설정_코드표!$F$2:$F$101,0))),INDEX(설정_코드표!$K$2:$K$101,MATCH(LEFT(TRIM(G82&amp;""),FIND(" ",TRIM(G82&amp;""))-1),설정_코드표!$J$2:$J$101,0))&amp;" "&amp;INDEX(설정_코드표!$G$2:$G$101,MATCH(TRIM(RIGHT(SUBSTITUTE(TRIM(G82&amp;"")," ",REPT(" ",60)),60)),설정_코드표!$F$2:$F$101,0)),"⚠"&amp;TRIM(G82&amp;""))),"⚠"&amp;TRIM(G82&amp;""))</f>
        <v/>
      </c>
      <c r="P82" s="10">
        <f>IFERROR(IF(TRIM(H82&amp;"")="","",IF(AND(ISNUMBER(FIND(" ",TRIM(H82&amp;""))),ISNUMBER(MATCH(LEFT(TRIM(H82&amp;""),FIND(" ",TRIM(H82&amp;""))-1),설정_코드표!$J$2:$J$101,0)),ISNUMBER(MATCH(TRIM(RIGHT(SUBSTITUTE(TRIM(H82&amp;"")," ",REPT(" ",60)),60)),설정_코드표!$F$2:$F$101,0))),INDEX(설정_코드표!$K$2:$K$101,MATCH(LEFT(TRIM(H82&amp;""),FIND(" ",TRIM(H82&amp;""))-1),설정_코드표!$J$2:$J$101,0))&amp;" "&amp;INDEX(설정_코드표!$G$2:$G$101,MATCH(TRIM(RIGHT(SUBSTITUTE(TRIM(H82&amp;"")," ",REPT(" ",60)),60)),설정_코드표!$F$2:$F$101,0)),"⚠"&amp;TRIM(H82&amp;""))),"⚠"&amp;TRIM(H82&amp;""))</f>
        <v/>
      </c>
      <c r="Q82" s="10">
        <f>IFERROR(IF(TRIM(I82&amp;"")="","",IF(AND(ISNUMBER(FIND(" ",TRIM(I82&amp;""))),ISNUMBER(MATCH(LEFT(TRIM(I82&amp;""),FIND(" ",TRIM(I82&amp;""))-1),설정_코드표!$J$2:$J$101,0)),ISNUMBER(MATCH(TRIM(RIGHT(SUBSTITUTE(TRIM(I82&amp;"")," ",REPT(" ",60)),60)),설정_코드표!$F$2:$F$101,0))),INDEX(설정_코드표!$K$2:$K$101,MATCH(LEFT(TRIM(I82&amp;""),FIND(" ",TRIM(I82&amp;""))-1),설정_코드표!$J$2:$J$101,0))&amp;" "&amp;INDEX(설정_코드표!$G$2:$G$101,MATCH(TRIM(RIGHT(SUBSTITUTE(TRIM(I82&amp;"")," ",REPT(" ",60)),60)),설정_코드표!$F$2:$F$101,0)),"⚠"&amp;TRIM(I82&amp;""))),"⚠"&amp;TRIM(I82&amp;""))</f>
        <v/>
      </c>
      <c r="R82" s="10">
        <f>IFERROR(IF(TRIM(J82&amp;"")="","",IF(AND(ISNUMBER(FIND(" ",TRIM(J82&amp;""))),ISNUMBER(MATCH(LEFT(TRIM(J82&amp;""),FIND(" ",TRIM(J82&amp;""))-1),설정_코드표!$J$2:$J$101,0)),ISNUMBER(MATCH(TRIM(RIGHT(SUBSTITUTE(TRIM(J82&amp;"")," ",REPT(" ",60)),60)),설정_코드표!$F$2:$F$101,0))),INDEX(설정_코드표!$K$2:$K$101,MATCH(LEFT(TRIM(J82&amp;""),FIND(" ",TRIM(J82&amp;""))-1),설정_코드표!$J$2:$J$101,0))&amp;" "&amp;INDEX(설정_코드표!$G$2:$G$101,MATCH(TRIM(RIGHT(SUBSTITUTE(TRIM(J82&amp;"")," ",REPT(" ",60)),60)),설정_코드표!$F$2:$F$101,0)),"⚠"&amp;TRIM(J82&amp;""))),"⚠"&amp;TRIM(J82&amp;""))</f>
        <v/>
      </c>
      <c r="S82" s="11">
        <f>IF(K82="","",IFERROR(IF(AND(ROUND((VALUE(K82&amp;"")-INT(VALUE(K82&amp;"")))*100,0)&gt;=1,ROUND((VALUE(K82&amp;"")-INT(VALUE(K82&amp;"")))*100,0)&lt;=12,INT(VALUE(K82&amp;""))&gt;=1900),DATE(INT(VALUE(K82&amp;"")),ROUND((VALUE(K82&amp;"")-INT(VALUE(K82&amp;"")))*100,0),1),K82&amp;""),K82&amp;""))</f>
        <v/>
      </c>
      <c r="T82" s="10">
        <f>COUNTIF(M82:R82,"⚠*")</f>
        <v/>
      </c>
    </row>
    <row r="83"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M83" s="10">
        <f>IFERROR(IF(TRIM(E83&amp;"")="","",IF(AND(ISNUMBER(FIND(" ",TRIM(E83&amp;""))),ISNUMBER(MATCH(LEFT(TRIM(E83&amp;""),FIND(" ",TRIM(E83&amp;""))-1),설정_코드표!$J$2:$J$101,0)),ISNUMBER(MATCH(TRIM(RIGHT(SUBSTITUTE(TRIM(E83&amp;"")," ",REPT(" ",60)),60)),설정_코드표!$F$2:$F$101,0))),INDEX(설정_코드표!$K$2:$K$101,MATCH(LEFT(TRIM(E83&amp;""),FIND(" ",TRIM(E83&amp;""))-1),설정_코드표!$J$2:$J$101,0))&amp;" "&amp;INDEX(설정_코드표!$G$2:$G$101,MATCH(TRIM(RIGHT(SUBSTITUTE(TRIM(E83&amp;"")," ",REPT(" ",60)),60)),설정_코드표!$F$2:$F$101,0)),"⚠"&amp;TRIM(E83&amp;""))),"⚠"&amp;TRIM(E83&amp;""))</f>
        <v/>
      </c>
      <c r="N83" s="10">
        <f>IFERROR(IF(TRIM(F83&amp;"")="","",IF(AND(ISNUMBER(FIND(" ",TRIM(F83&amp;""))),ISNUMBER(MATCH(LEFT(TRIM(F83&amp;""),FIND(" ",TRIM(F83&amp;""))-1),설정_코드표!$J$2:$J$101,0)),ISNUMBER(MATCH(TRIM(RIGHT(SUBSTITUTE(TRIM(F83&amp;"")," ",REPT(" ",60)),60)),설정_코드표!$F$2:$F$101,0))),INDEX(설정_코드표!$K$2:$K$101,MATCH(LEFT(TRIM(F83&amp;""),FIND(" ",TRIM(F83&amp;""))-1),설정_코드표!$J$2:$J$101,0))&amp;" "&amp;INDEX(설정_코드표!$G$2:$G$101,MATCH(TRIM(RIGHT(SUBSTITUTE(TRIM(F83&amp;"")," ",REPT(" ",60)),60)),설정_코드표!$F$2:$F$101,0)),"⚠"&amp;TRIM(F83&amp;""))),"⚠"&amp;TRIM(F83&amp;""))</f>
        <v/>
      </c>
      <c r="O83" s="10">
        <f>IFERROR(IF(TRIM(G83&amp;"")="","",IF(AND(ISNUMBER(FIND(" ",TRIM(G83&amp;""))),ISNUMBER(MATCH(LEFT(TRIM(G83&amp;""),FIND(" ",TRIM(G83&amp;""))-1),설정_코드표!$J$2:$J$101,0)),ISNUMBER(MATCH(TRIM(RIGHT(SUBSTITUTE(TRIM(G83&amp;"")," ",REPT(" ",60)),60)),설정_코드표!$F$2:$F$101,0))),INDEX(설정_코드표!$K$2:$K$101,MATCH(LEFT(TRIM(G83&amp;""),FIND(" ",TRIM(G83&amp;""))-1),설정_코드표!$J$2:$J$101,0))&amp;" "&amp;INDEX(설정_코드표!$G$2:$G$101,MATCH(TRIM(RIGHT(SUBSTITUTE(TRIM(G83&amp;"")," ",REPT(" ",60)),60)),설정_코드표!$F$2:$F$101,0)),"⚠"&amp;TRIM(G83&amp;""))),"⚠"&amp;TRIM(G83&amp;""))</f>
        <v/>
      </c>
      <c r="P83" s="10">
        <f>IFERROR(IF(TRIM(H83&amp;"")="","",IF(AND(ISNUMBER(FIND(" ",TRIM(H83&amp;""))),ISNUMBER(MATCH(LEFT(TRIM(H83&amp;""),FIND(" ",TRIM(H83&amp;""))-1),설정_코드표!$J$2:$J$101,0)),ISNUMBER(MATCH(TRIM(RIGHT(SUBSTITUTE(TRIM(H83&amp;"")," ",REPT(" ",60)),60)),설정_코드표!$F$2:$F$101,0))),INDEX(설정_코드표!$K$2:$K$101,MATCH(LEFT(TRIM(H83&amp;""),FIND(" ",TRIM(H83&amp;""))-1),설정_코드표!$J$2:$J$101,0))&amp;" "&amp;INDEX(설정_코드표!$G$2:$G$101,MATCH(TRIM(RIGHT(SUBSTITUTE(TRIM(H83&amp;"")," ",REPT(" ",60)),60)),설정_코드표!$F$2:$F$101,0)),"⚠"&amp;TRIM(H83&amp;""))),"⚠"&amp;TRIM(H83&amp;""))</f>
        <v/>
      </c>
      <c r="Q83" s="10">
        <f>IFERROR(IF(TRIM(I83&amp;"")="","",IF(AND(ISNUMBER(FIND(" ",TRIM(I83&amp;""))),ISNUMBER(MATCH(LEFT(TRIM(I83&amp;""),FIND(" ",TRIM(I83&amp;""))-1),설정_코드표!$J$2:$J$101,0)),ISNUMBER(MATCH(TRIM(RIGHT(SUBSTITUTE(TRIM(I83&amp;"")," ",REPT(" ",60)),60)),설정_코드표!$F$2:$F$101,0))),INDEX(설정_코드표!$K$2:$K$101,MATCH(LEFT(TRIM(I83&amp;""),FIND(" ",TRIM(I83&amp;""))-1),설정_코드표!$J$2:$J$101,0))&amp;" "&amp;INDEX(설정_코드표!$G$2:$G$101,MATCH(TRIM(RIGHT(SUBSTITUTE(TRIM(I83&amp;"")," ",REPT(" ",60)),60)),설정_코드표!$F$2:$F$101,0)),"⚠"&amp;TRIM(I83&amp;""))),"⚠"&amp;TRIM(I83&amp;""))</f>
        <v/>
      </c>
      <c r="R83" s="10">
        <f>IFERROR(IF(TRIM(J83&amp;"")="","",IF(AND(ISNUMBER(FIND(" ",TRIM(J83&amp;""))),ISNUMBER(MATCH(LEFT(TRIM(J83&amp;""),FIND(" ",TRIM(J83&amp;""))-1),설정_코드표!$J$2:$J$101,0)),ISNUMBER(MATCH(TRIM(RIGHT(SUBSTITUTE(TRIM(J83&amp;"")," ",REPT(" ",60)),60)),설정_코드표!$F$2:$F$101,0))),INDEX(설정_코드표!$K$2:$K$101,MATCH(LEFT(TRIM(J83&amp;""),FIND(" ",TRIM(J83&amp;""))-1),설정_코드표!$J$2:$J$101,0))&amp;" "&amp;INDEX(설정_코드표!$G$2:$G$101,MATCH(TRIM(RIGHT(SUBSTITUTE(TRIM(J83&amp;"")," ",REPT(" ",60)),60)),설정_코드표!$F$2:$F$101,0)),"⚠"&amp;TRIM(J83&amp;""))),"⚠"&amp;TRIM(J83&amp;""))</f>
        <v/>
      </c>
      <c r="S83" s="11">
        <f>IF(K83="","",IFERROR(IF(AND(ROUND((VALUE(K83&amp;"")-INT(VALUE(K83&amp;"")))*100,0)&gt;=1,ROUND((VALUE(K83&amp;"")-INT(VALUE(K83&amp;"")))*100,0)&lt;=12,INT(VALUE(K83&amp;""))&gt;=1900),DATE(INT(VALUE(K83&amp;"")),ROUND((VALUE(K83&amp;"")-INT(VALUE(K83&amp;"")))*100,0),1),K83&amp;""),K83&amp;""))</f>
        <v/>
      </c>
      <c r="T83" s="10">
        <f>COUNTIF(M83:R83,"⚠*")</f>
        <v/>
      </c>
    </row>
    <row r="84"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M84" s="10">
        <f>IFERROR(IF(TRIM(E84&amp;"")="","",IF(AND(ISNUMBER(FIND(" ",TRIM(E84&amp;""))),ISNUMBER(MATCH(LEFT(TRIM(E84&amp;""),FIND(" ",TRIM(E84&amp;""))-1),설정_코드표!$J$2:$J$101,0)),ISNUMBER(MATCH(TRIM(RIGHT(SUBSTITUTE(TRIM(E84&amp;"")," ",REPT(" ",60)),60)),설정_코드표!$F$2:$F$101,0))),INDEX(설정_코드표!$K$2:$K$101,MATCH(LEFT(TRIM(E84&amp;""),FIND(" ",TRIM(E84&amp;""))-1),설정_코드표!$J$2:$J$101,0))&amp;" "&amp;INDEX(설정_코드표!$G$2:$G$101,MATCH(TRIM(RIGHT(SUBSTITUTE(TRIM(E84&amp;"")," ",REPT(" ",60)),60)),설정_코드표!$F$2:$F$101,0)),"⚠"&amp;TRIM(E84&amp;""))),"⚠"&amp;TRIM(E84&amp;""))</f>
        <v/>
      </c>
      <c r="N84" s="10">
        <f>IFERROR(IF(TRIM(F84&amp;"")="","",IF(AND(ISNUMBER(FIND(" ",TRIM(F84&amp;""))),ISNUMBER(MATCH(LEFT(TRIM(F84&amp;""),FIND(" ",TRIM(F84&amp;""))-1),설정_코드표!$J$2:$J$101,0)),ISNUMBER(MATCH(TRIM(RIGHT(SUBSTITUTE(TRIM(F84&amp;"")," ",REPT(" ",60)),60)),설정_코드표!$F$2:$F$101,0))),INDEX(설정_코드표!$K$2:$K$101,MATCH(LEFT(TRIM(F84&amp;""),FIND(" ",TRIM(F84&amp;""))-1),설정_코드표!$J$2:$J$101,0))&amp;" "&amp;INDEX(설정_코드표!$G$2:$G$101,MATCH(TRIM(RIGHT(SUBSTITUTE(TRIM(F84&amp;"")," ",REPT(" ",60)),60)),설정_코드표!$F$2:$F$101,0)),"⚠"&amp;TRIM(F84&amp;""))),"⚠"&amp;TRIM(F84&amp;""))</f>
        <v/>
      </c>
      <c r="O84" s="10">
        <f>IFERROR(IF(TRIM(G84&amp;"")="","",IF(AND(ISNUMBER(FIND(" ",TRIM(G84&amp;""))),ISNUMBER(MATCH(LEFT(TRIM(G84&amp;""),FIND(" ",TRIM(G84&amp;""))-1),설정_코드표!$J$2:$J$101,0)),ISNUMBER(MATCH(TRIM(RIGHT(SUBSTITUTE(TRIM(G84&amp;"")," ",REPT(" ",60)),60)),설정_코드표!$F$2:$F$101,0))),INDEX(설정_코드표!$K$2:$K$101,MATCH(LEFT(TRIM(G84&amp;""),FIND(" ",TRIM(G84&amp;""))-1),설정_코드표!$J$2:$J$101,0))&amp;" "&amp;INDEX(설정_코드표!$G$2:$G$101,MATCH(TRIM(RIGHT(SUBSTITUTE(TRIM(G84&amp;"")," ",REPT(" ",60)),60)),설정_코드표!$F$2:$F$101,0)),"⚠"&amp;TRIM(G84&amp;""))),"⚠"&amp;TRIM(G84&amp;""))</f>
        <v/>
      </c>
      <c r="P84" s="10">
        <f>IFERROR(IF(TRIM(H84&amp;"")="","",IF(AND(ISNUMBER(FIND(" ",TRIM(H84&amp;""))),ISNUMBER(MATCH(LEFT(TRIM(H84&amp;""),FIND(" ",TRIM(H84&amp;""))-1),설정_코드표!$J$2:$J$101,0)),ISNUMBER(MATCH(TRIM(RIGHT(SUBSTITUTE(TRIM(H84&amp;"")," ",REPT(" ",60)),60)),설정_코드표!$F$2:$F$101,0))),INDEX(설정_코드표!$K$2:$K$101,MATCH(LEFT(TRIM(H84&amp;""),FIND(" ",TRIM(H84&amp;""))-1),설정_코드표!$J$2:$J$101,0))&amp;" "&amp;INDEX(설정_코드표!$G$2:$G$101,MATCH(TRIM(RIGHT(SUBSTITUTE(TRIM(H84&amp;"")," ",REPT(" ",60)),60)),설정_코드표!$F$2:$F$101,0)),"⚠"&amp;TRIM(H84&amp;""))),"⚠"&amp;TRIM(H84&amp;""))</f>
        <v/>
      </c>
      <c r="Q84" s="10">
        <f>IFERROR(IF(TRIM(I84&amp;"")="","",IF(AND(ISNUMBER(FIND(" ",TRIM(I84&amp;""))),ISNUMBER(MATCH(LEFT(TRIM(I84&amp;""),FIND(" ",TRIM(I84&amp;""))-1),설정_코드표!$J$2:$J$101,0)),ISNUMBER(MATCH(TRIM(RIGHT(SUBSTITUTE(TRIM(I84&amp;"")," ",REPT(" ",60)),60)),설정_코드표!$F$2:$F$101,0))),INDEX(설정_코드표!$K$2:$K$101,MATCH(LEFT(TRIM(I84&amp;""),FIND(" ",TRIM(I84&amp;""))-1),설정_코드표!$J$2:$J$101,0))&amp;" "&amp;INDEX(설정_코드표!$G$2:$G$101,MATCH(TRIM(RIGHT(SUBSTITUTE(TRIM(I84&amp;"")," ",REPT(" ",60)),60)),설정_코드표!$F$2:$F$101,0)),"⚠"&amp;TRIM(I84&amp;""))),"⚠"&amp;TRIM(I84&amp;""))</f>
        <v/>
      </c>
      <c r="R84" s="10">
        <f>IFERROR(IF(TRIM(J84&amp;"")="","",IF(AND(ISNUMBER(FIND(" ",TRIM(J84&amp;""))),ISNUMBER(MATCH(LEFT(TRIM(J84&amp;""),FIND(" ",TRIM(J84&amp;""))-1),설정_코드표!$J$2:$J$101,0)),ISNUMBER(MATCH(TRIM(RIGHT(SUBSTITUTE(TRIM(J84&amp;"")," ",REPT(" ",60)),60)),설정_코드표!$F$2:$F$101,0))),INDEX(설정_코드표!$K$2:$K$101,MATCH(LEFT(TRIM(J84&amp;""),FIND(" ",TRIM(J84&amp;""))-1),설정_코드표!$J$2:$J$101,0))&amp;" "&amp;INDEX(설정_코드표!$G$2:$G$101,MATCH(TRIM(RIGHT(SUBSTITUTE(TRIM(J84&amp;"")," ",REPT(" ",60)),60)),설정_코드표!$F$2:$F$101,0)),"⚠"&amp;TRIM(J84&amp;""))),"⚠"&amp;TRIM(J84&amp;""))</f>
        <v/>
      </c>
      <c r="S84" s="11">
        <f>IF(K84="","",IFERROR(IF(AND(ROUND((VALUE(K84&amp;"")-INT(VALUE(K84&amp;"")))*100,0)&gt;=1,ROUND((VALUE(K84&amp;"")-INT(VALUE(K84&amp;"")))*100,0)&lt;=12,INT(VALUE(K84&amp;""))&gt;=1900),DATE(INT(VALUE(K84&amp;"")),ROUND((VALUE(K84&amp;"")-INT(VALUE(K84&amp;"")))*100,0),1),K84&amp;""),K84&amp;""))</f>
        <v/>
      </c>
      <c r="T84" s="10">
        <f>COUNTIF(M84:R84,"⚠*")</f>
        <v/>
      </c>
    </row>
    <row r="85"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M85" s="10">
        <f>IFERROR(IF(TRIM(E85&amp;"")="","",IF(AND(ISNUMBER(FIND(" ",TRIM(E85&amp;""))),ISNUMBER(MATCH(LEFT(TRIM(E85&amp;""),FIND(" ",TRIM(E85&amp;""))-1),설정_코드표!$J$2:$J$101,0)),ISNUMBER(MATCH(TRIM(RIGHT(SUBSTITUTE(TRIM(E85&amp;"")," ",REPT(" ",60)),60)),설정_코드표!$F$2:$F$101,0))),INDEX(설정_코드표!$K$2:$K$101,MATCH(LEFT(TRIM(E85&amp;""),FIND(" ",TRIM(E85&amp;""))-1),설정_코드표!$J$2:$J$101,0))&amp;" "&amp;INDEX(설정_코드표!$G$2:$G$101,MATCH(TRIM(RIGHT(SUBSTITUTE(TRIM(E85&amp;"")," ",REPT(" ",60)),60)),설정_코드표!$F$2:$F$101,0)),"⚠"&amp;TRIM(E85&amp;""))),"⚠"&amp;TRIM(E85&amp;""))</f>
        <v/>
      </c>
      <c r="N85" s="10">
        <f>IFERROR(IF(TRIM(F85&amp;"")="","",IF(AND(ISNUMBER(FIND(" ",TRIM(F85&amp;""))),ISNUMBER(MATCH(LEFT(TRIM(F85&amp;""),FIND(" ",TRIM(F85&amp;""))-1),설정_코드표!$J$2:$J$101,0)),ISNUMBER(MATCH(TRIM(RIGHT(SUBSTITUTE(TRIM(F85&amp;"")," ",REPT(" ",60)),60)),설정_코드표!$F$2:$F$101,0))),INDEX(설정_코드표!$K$2:$K$101,MATCH(LEFT(TRIM(F85&amp;""),FIND(" ",TRIM(F85&amp;""))-1),설정_코드표!$J$2:$J$101,0))&amp;" "&amp;INDEX(설정_코드표!$G$2:$G$101,MATCH(TRIM(RIGHT(SUBSTITUTE(TRIM(F85&amp;"")," ",REPT(" ",60)),60)),설정_코드표!$F$2:$F$101,0)),"⚠"&amp;TRIM(F85&amp;""))),"⚠"&amp;TRIM(F85&amp;""))</f>
        <v/>
      </c>
      <c r="O85" s="10">
        <f>IFERROR(IF(TRIM(G85&amp;"")="","",IF(AND(ISNUMBER(FIND(" ",TRIM(G85&amp;""))),ISNUMBER(MATCH(LEFT(TRIM(G85&amp;""),FIND(" ",TRIM(G85&amp;""))-1),설정_코드표!$J$2:$J$101,0)),ISNUMBER(MATCH(TRIM(RIGHT(SUBSTITUTE(TRIM(G85&amp;"")," ",REPT(" ",60)),60)),설정_코드표!$F$2:$F$101,0))),INDEX(설정_코드표!$K$2:$K$101,MATCH(LEFT(TRIM(G85&amp;""),FIND(" ",TRIM(G85&amp;""))-1),설정_코드표!$J$2:$J$101,0))&amp;" "&amp;INDEX(설정_코드표!$G$2:$G$101,MATCH(TRIM(RIGHT(SUBSTITUTE(TRIM(G85&amp;"")," ",REPT(" ",60)),60)),설정_코드표!$F$2:$F$101,0)),"⚠"&amp;TRIM(G85&amp;""))),"⚠"&amp;TRIM(G85&amp;""))</f>
        <v/>
      </c>
      <c r="P85" s="10">
        <f>IFERROR(IF(TRIM(H85&amp;"")="","",IF(AND(ISNUMBER(FIND(" ",TRIM(H85&amp;""))),ISNUMBER(MATCH(LEFT(TRIM(H85&amp;""),FIND(" ",TRIM(H85&amp;""))-1),설정_코드표!$J$2:$J$101,0)),ISNUMBER(MATCH(TRIM(RIGHT(SUBSTITUTE(TRIM(H85&amp;"")," ",REPT(" ",60)),60)),설정_코드표!$F$2:$F$101,0))),INDEX(설정_코드표!$K$2:$K$101,MATCH(LEFT(TRIM(H85&amp;""),FIND(" ",TRIM(H85&amp;""))-1),설정_코드표!$J$2:$J$101,0))&amp;" "&amp;INDEX(설정_코드표!$G$2:$G$101,MATCH(TRIM(RIGHT(SUBSTITUTE(TRIM(H85&amp;"")," ",REPT(" ",60)),60)),설정_코드표!$F$2:$F$101,0)),"⚠"&amp;TRIM(H85&amp;""))),"⚠"&amp;TRIM(H85&amp;""))</f>
        <v/>
      </c>
      <c r="Q85" s="10">
        <f>IFERROR(IF(TRIM(I85&amp;"")="","",IF(AND(ISNUMBER(FIND(" ",TRIM(I85&amp;""))),ISNUMBER(MATCH(LEFT(TRIM(I85&amp;""),FIND(" ",TRIM(I85&amp;""))-1),설정_코드표!$J$2:$J$101,0)),ISNUMBER(MATCH(TRIM(RIGHT(SUBSTITUTE(TRIM(I85&amp;"")," ",REPT(" ",60)),60)),설정_코드표!$F$2:$F$101,0))),INDEX(설정_코드표!$K$2:$K$101,MATCH(LEFT(TRIM(I85&amp;""),FIND(" ",TRIM(I85&amp;""))-1),설정_코드표!$J$2:$J$101,0))&amp;" "&amp;INDEX(설정_코드표!$G$2:$G$101,MATCH(TRIM(RIGHT(SUBSTITUTE(TRIM(I85&amp;"")," ",REPT(" ",60)),60)),설정_코드표!$F$2:$F$101,0)),"⚠"&amp;TRIM(I85&amp;""))),"⚠"&amp;TRIM(I85&amp;""))</f>
        <v/>
      </c>
      <c r="R85" s="10">
        <f>IFERROR(IF(TRIM(J85&amp;"")="","",IF(AND(ISNUMBER(FIND(" ",TRIM(J85&amp;""))),ISNUMBER(MATCH(LEFT(TRIM(J85&amp;""),FIND(" ",TRIM(J85&amp;""))-1),설정_코드표!$J$2:$J$101,0)),ISNUMBER(MATCH(TRIM(RIGHT(SUBSTITUTE(TRIM(J85&amp;"")," ",REPT(" ",60)),60)),설정_코드표!$F$2:$F$101,0))),INDEX(설정_코드표!$K$2:$K$101,MATCH(LEFT(TRIM(J85&amp;""),FIND(" ",TRIM(J85&amp;""))-1),설정_코드표!$J$2:$J$101,0))&amp;" "&amp;INDEX(설정_코드표!$G$2:$G$101,MATCH(TRIM(RIGHT(SUBSTITUTE(TRIM(J85&amp;"")," ",REPT(" ",60)),60)),설정_코드표!$F$2:$F$101,0)),"⚠"&amp;TRIM(J85&amp;""))),"⚠"&amp;TRIM(J85&amp;""))</f>
        <v/>
      </c>
      <c r="S85" s="11">
        <f>IF(K85="","",IFERROR(IF(AND(ROUND((VALUE(K85&amp;"")-INT(VALUE(K85&amp;"")))*100,0)&gt;=1,ROUND((VALUE(K85&amp;"")-INT(VALUE(K85&amp;"")))*100,0)&lt;=12,INT(VALUE(K85&amp;""))&gt;=1900),DATE(INT(VALUE(K85&amp;"")),ROUND((VALUE(K85&amp;"")-INT(VALUE(K85&amp;"")))*100,0),1),K85&amp;""),K85&amp;""))</f>
        <v/>
      </c>
      <c r="T85" s="10">
        <f>COUNTIF(M85:R85,"⚠*")</f>
        <v/>
      </c>
    </row>
    <row r="86"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M86" s="10">
        <f>IFERROR(IF(TRIM(E86&amp;"")="","",IF(AND(ISNUMBER(FIND(" ",TRIM(E86&amp;""))),ISNUMBER(MATCH(LEFT(TRIM(E86&amp;""),FIND(" ",TRIM(E86&amp;""))-1),설정_코드표!$J$2:$J$101,0)),ISNUMBER(MATCH(TRIM(RIGHT(SUBSTITUTE(TRIM(E86&amp;"")," ",REPT(" ",60)),60)),설정_코드표!$F$2:$F$101,0))),INDEX(설정_코드표!$K$2:$K$101,MATCH(LEFT(TRIM(E86&amp;""),FIND(" ",TRIM(E86&amp;""))-1),설정_코드표!$J$2:$J$101,0))&amp;" "&amp;INDEX(설정_코드표!$G$2:$G$101,MATCH(TRIM(RIGHT(SUBSTITUTE(TRIM(E86&amp;"")," ",REPT(" ",60)),60)),설정_코드표!$F$2:$F$101,0)),"⚠"&amp;TRIM(E86&amp;""))),"⚠"&amp;TRIM(E86&amp;""))</f>
        <v/>
      </c>
      <c r="N86" s="10">
        <f>IFERROR(IF(TRIM(F86&amp;"")="","",IF(AND(ISNUMBER(FIND(" ",TRIM(F86&amp;""))),ISNUMBER(MATCH(LEFT(TRIM(F86&amp;""),FIND(" ",TRIM(F86&amp;""))-1),설정_코드표!$J$2:$J$101,0)),ISNUMBER(MATCH(TRIM(RIGHT(SUBSTITUTE(TRIM(F86&amp;"")," ",REPT(" ",60)),60)),설정_코드표!$F$2:$F$101,0))),INDEX(설정_코드표!$K$2:$K$101,MATCH(LEFT(TRIM(F86&amp;""),FIND(" ",TRIM(F86&amp;""))-1),설정_코드표!$J$2:$J$101,0))&amp;" "&amp;INDEX(설정_코드표!$G$2:$G$101,MATCH(TRIM(RIGHT(SUBSTITUTE(TRIM(F86&amp;"")," ",REPT(" ",60)),60)),설정_코드표!$F$2:$F$101,0)),"⚠"&amp;TRIM(F86&amp;""))),"⚠"&amp;TRIM(F86&amp;""))</f>
        <v/>
      </c>
      <c r="O86" s="10">
        <f>IFERROR(IF(TRIM(G86&amp;"")="","",IF(AND(ISNUMBER(FIND(" ",TRIM(G86&amp;""))),ISNUMBER(MATCH(LEFT(TRIM(G86&amp;""),FIND(" ",TRIM(G86&amp;""))-1),설정_코드표!$J$2:$J$101,0)),ISNUMBER(MATCH(TRIM(RIGHT(SUBSTITUTE(TRIM(G86&amp;"")," ",REPT(" ",60)),60)),설정_코드표!$F$2:$F$101,0))),INDEX(설정_코드표!$K$2:$K$101,MATCH(LEFT(TRIM(G86&amp;""),FIND(" ",TRIM(G86&amp;""))-1),설정_코드표!$J$2:$J$101,0))&amp;" "&amp;INDEX(설정_코드표!$G$2:$G$101,MATCH(TRIM(RIGHT(SUBSTITUTE(TRIM(G86&amp;"")," ",REPT(" ",60)),60)),설정_코드표!$F$2:$F$101,0)),"⚠"&amp;TRIM(G86&amp;""))),"⚠"&amp;TRIM(G86&amp;""))</f>
        <v/>
      </c>
      <c r="P86" s="10">
        <f>IFERROR(IF(TRIM(H86&amp;"")="","",IF(AND(ISNUMBER(FIND(" ",TRIM(H86&amp;""))),ISNUMBER(MATCH(LEFT(TRIM(H86&amp;""),FIND(" ",TRIM(H86&amp;""))-1),설정_코드표!$J$2:$J$101,0)),ISNUMBER(MATCH(TRIM(RIGHT(SUBSTITUTE(TRIM(H86&amp;"")," ",REPT(" ",60)),60)),설정_코드표!$F$2:$F$101,0))),INDEX(설정_코드표!$K$2:$K$101,MATCH(LEFT(TRIM(H86&amp;""),FIND(" ",TRIM(H86&amp;""))-1),설정_코드표!$J$2:$J$101,0))&amp;" "&amp;INDEX(설정_코드표!$G$2:$G$101,MATCH(TRIM(RIGHT(SUBSTITUTE(TRIM(H86&amp;"")," ",REPT(" ",60)),60)),설정_코드표!$F$2:$F$101,0)),"⚠"&amp;TRIM(H86&amp;""))),"⚠"&amp;TRIM(H86&amp;""))</f>
        <v/>
      </c>
      <c r="Q86" s="10">
        <f>IFERROR(IF(TRIM(I86&amp;"")="","",IF(AND(ISNUMBER(FIND(" ",TRIM(I86&amp;""))),ISNUMBER(MATCH(LEFT(TRIM(I86&amp;""),FIND(" ",TRIM(I86&amp;""))-1),설정_코드표!$J$2:$J$101,0)),ISNUMBER(MATCH(TRIM(RIGHT(SUBSTITUTE(TRIM(I86&amp;"")," ",REPT(" ",60)),60)),설정_코드표!$F$2:$F$101,0))),INDEX(설정_코드표!$K$2:$K$101,MATCH(LEFT(TRIM(I86&amp;""),FIND(" ",TRIM(I86&amp;""))-1),설정_코드표!$J$2:$J$101,0))&amp;" "&amp;INDEX(설정_코드표!$G$2:$G$101,MATCH(TRIM(RIGHT(SUBSTITUTE(TRIM(I86&amp;"")," ",REPT(" ",60)),60)),설정_코드표!$F$2:$F$101,0)),"⚠"&amp;TRIM(I86&amp;""))),"⚠"&amp;TRIM(I86&amp;""))</f>
        <v/>
      </c>
      <c r="R86" s="10">
        <f>IFERROR(IF(TRIM(J86&amp;"")="","",IF(AND(ISNUMBER(FIND(" ",TRIM(J86&amp;""))),ISNUMBER(MATCH(LEFT(TRIM(J86&amp;""),FIND(" ",TRIM(J86&amp;""))-1),설정_코드표!$J$2:$J$101,0)),ISNUMBER(MATCH(TRIM(RIGHT(SUBSTITUTE(TRIM(J86&amp;"")," ",REPT(" ",60)),60)),설정_코드표!$F$2:$F$101,0))),INDEX(설정_코드표!$K$2:$K$101,MATCH(LEFT(TRIM(J86&amp;""),FIND(" ",TRIM(J86&amp;""))-1),설정_코드표!$J$2:$J$101,0))&amp;" "&amp;INDEX(설정_코드표!$G$2:$G$101,MATCH(TRIM(RIGHT(SUBSTITUTE(TRIM(J86&amp;"")," ",REPT(" ",60)),60)),설정_코드표!$F$2:$F$101,0)),"⚠"&amp;TRIM(J86&amp;""))),"⚠"&amp;TRIM(J86&amp;""))</f>
        <v/>
      </c>
      <c r="S86" s="11">
        <f>IF(K86="","",IFERROR(IF(AND(ROUND((VALUE(K86&amp;"")-INT(VALUE(K86&amp;"")))*100,0)&gt;=1,ROUND((VALUE(K86&amp;"")-INT(VALUE(K86&amp;"")))*100,0)&lt;=12,INT(VALUE(K86&amp;""))&gt;=1900),DATE(INT(VALUE(K86&amp;"")),ROUND((VALUE(K86&amp;"")-INT(VALUE(K86&amp;"")))*100,0),1),K86&amp;""),K86&amp;""))</f>
        <v/>
      </c>
      <c r="T86" s="10">
        <f>COUNTIF(M86:R86,"⚠*")</f>
        <v/>
      </c>
    </row>
    <row r="87"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M87" s="10">
        <f>IFERROR(IF(TRIM(E87&amp;"")="","",IF(AND(ISNUMBER(FIND(" ",TRIM(E87&amp;""))),ISNUMBER(MATCH(LEFT(TRIM(E87&amp;""),FIND(" ",TRIM(E87&amp;""))-1),설정_코드표!$J$2:$J$101,0)),ISNUMBER(MATCH(TRIM(RIGHT(SUBSTITUTE(TRIM(E87&amp;"")," ",REPT(" ",60)),60)),설정_코드표!$F$2:$F$101,0))),INDEX(설정_코드표!$K$2:$K$101,MATCH(LEFT(TRIM(E87&amp;""),FIND(" ",TRIM(E87&amp;""))-1),설정_코드표!$J$2:$J$101,0))&amp;" "&amp;INDEX(설정_코드표!$G$2:$G$101,MATCH(TRIM(RIGHT(SUBSTITUTE(TRIM(E87&amp;"")," ",REPT(" ",60)),60)),설정_코드표!$F$2:$F$101,0)),"⚠"&amp;TRIM(E87&amp;""))),"⚠"&amp;TRIM(E87&amp;""))</f>
        <v/>
      </c>
      <c r="N87" s="10">
        <f>IFERROR(IF(TRIM(F87&amp;"")="","",IF(AND(ISNUMBER(FIND(" ",TRIM(F87&amp;""))),ISNUMBER(MATCH(LEFT(TRIM(F87&amp;""),FIND(" ",TRIM(F87&amp;""))-1),설정_코드표!$J$2:$J$101,0)),ISNUMBER(MATCH(TRIM(RIGHT(SUBSTITUTE(TRIM(F87&amp;"")," ",REPT(" ",60)),60)),설정_코드표!$F$2:$F$101,0))),INDEX(설정_코드표!$K$2:$K$101,MATCH(LEFT(TRIM(F87&amp;""),FIND(" ",TRIM(F87&amp;""))-1),설정_코드표!$J$2:$J$101,0))&amp;" "&amp;INDEX(설정_코드표!$G$2:$G$101,MATCH(TRIM(RIGHT(SUBSTITUTE(TRIM(F87&amp;"")," ",REPT(" ",60)),60)),설정_코드표!$F$2:$F$101,0)),"⚠"&amp;TRIM(F87&amp;""))),"⚠"&amp;TRIM(F87&amp;""))</f>
        <v/>
      </c>
      <c r="O87" s="10">
        <f>IFERROR(IF(TRIM(G87&amp;"")="","",IF(AND(ISNUMBER(FIND(" ",TRIM(G87&amp;""))),ISNUMBER(MATCH(LEFT(TRIM(G87&amp;""),FIND(" ",TRIM(G87&amp;""))-1),설정_코드표!$J$2:$J$101,0)),ISNUMBER(MATCH(TRIM(RIGHT(SUBSTITUTE(TRIM(G87&amp;"")," ",REPT(" ",60)),60)),설정_코드표!$F$2:$F$101,0))),INDEX(설정_코드표!$K$2:$K$101,MATCH(LEFT(TRIM(G87&amp;""),FIND(" ",TRIM(G87&amp;""))-1),설정_코드표!$J$2:$J$101,0))&amp;" "&amp;INDEX(설정_코드표!$G$2:$G$101,MATCH(TRIM(RIGHT(SUBSTITUTE(TRIM(G87&amp;"")," ",REPT(" ",60)),60)),설정_코드표!$F$2:$F$101,0)),"⚠"&amp;TRIM(G87&amp;""))),"⚠"&amp;TRIM(G87&amp;""))</f>
        <v/>
      </c>
      <c r="P87" s="10">
        <f>IFERROR(IF(TRIM(H87&amp;"")="","",IF(AND(ISNUMBER(FIND(" ",TRIM(H87&amp;""))),ISNUMBER(MATCH(LEFT(TRIM(H87&amp;""),FIND(" ",TRIM(H87&amp;""))-1),설정_코드표!$J$2:$J$101,0)),ISNUMBER(MATCH(TRIM(RIGHT(SUBSTITUTE(TRIM(H87&amp;"")," ",REPT(" ",60)),60)),설정_코드표!$F$2:$F$101,0))),INDEX(설정_코드표!$K$2:$K$101,MATCH(LEFT(TRIM(H87&amp;""),FIND(" ",TRIM(H87&amp;""))-1),설정_코드표!$J$2:$J$101,0))&amp;" "&amp;INDEX(설정_코드표!$G$2:$G$101,MATCH(TRIM(RIGHT(SUBSTITUTE(TRIM(H87&amp;"")," ",REPT(" ",60)),60)),설정_코드표!$F$2:$F$101,0)),"⚠"&amp;TRIM(H87&amp;""))),"⚠"&amp;TRIM(H87&amp;""))</f>
        <v/>
      </c>
      <c r="Q87" s="10">
        <f>IFERROR(IF(TRIM(I87&amp;"")="","",IF(AND(ISNUMBER(FIND(" ",TRIM(I87&amp;""))),ISNUMBER(MATCH(LEFT(TRIM(I87&amp;""),FIND(" ",TRIM(I87&amp;""))-1),설정_코드표!$J$2:$J$101,0)),ISNUMBER(MATCH(TRIM(RIGHT(SUBSTITUTE(TRIM(I87&amp;"")," ",REPT(" ",60)),60)),설정_코드표!$F$2:$F$101,0))),INDEX(설정_코드표!$K$2:$K$101,MATCH(LEFT(TRIM(I87&amp;""),FIND(" ",TRIM(I87&amp;""))-1),설정_코드표!$J$2:$J$101,0))&amp;" "&amp;INDEX(설정_코드표!$G$2:$G$101,MATCH(TRIM(RIGHT(SUBSTITUTE(TRIM(I87&amp;"")," ",REPT(" ",60)),60)),설정_코드표!$F$2:$F$101,0)),"⚠"&amp;TRIM(I87&amp;""))),"⚠"&amp;TRIM(I87&amp;""))</f>
        <v/>
      </c>
      <c r="R87" s="10">
        <f>IFERROR(IF(TRIM(J87&amp;"")="","",IF(AND(ISNUMBER(FIND(" ",TRIM(J87&amp;""))),ISNUMBER(MATCH(LEFT(TRIM(J87&amp;""),FIND(" ",TRIM(J87&amp;""))-1),설정_코드표!$J$2:$J$101,0)),ISNUMBER(MATCH(TRIM(RIGHT(SUBSTITUTE(TRIM(J87&amp;"")," ",REPT(" ",60)),60)),설정_코드표!$F$2:$F$101,0))),INDEX(설정_코드표!$K$2:$K$101,MATCH(LEFT(TRIM(J87&amp;""),FIND(" ",TRIM(J87&amp;""))-1),설정_코드표!$J$2:$J$101,0))&amp;" "&amp;INDEX(설정_코드표!$G$2:$G$101,MATCH(TRIM(RIGHT(SUBSTITUTE(TRIM(J87&amp;"")," ",REPT(" ",60)),60)),설정_코드표!$F$2:$F$101,0)),"⚠"&amp;TRIM(J87&amp;""))),"⚠"&amp;TRIM(J87&amp;""))</f>
        <v/>
      </c>
      <c r="S87" s="11">
        <f>IF(K87="","",IFERROR(IF(AND(ROUND((VALUE(K87&amp;"")-INT(VALUE(K87&amp;"")))*100,0)&gt;=1,ROUND((VALUE(K87&amp;"")-INT(VALUE(K87&amp;"")))*100,0)&lt;=12,INT(VALUE(K87&amp;""))&gt;=1900),DATE(INT(VALUE(K87&amp;"")),ROUND((VALUE(K87&amp;"")-INT(VALUE(K87&amp;"")))*100,0),1),K87&amp;""),K87&amp;""))</f>
        <v/>
      </c>
      <c r="T87" s="10">
        <f>COUNTIF(M87:R87,"⚠*")</f>
        <v/>
      </c>
    </row>
    <row r="88"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M88" s="10">
        <f>IFERROR(IF(TRIM(E88&amp;"")="","",IF(AND(ISNUMBER(FIND(" ",TRIM(E88&amp;""))),ISNUMBER(MATCH(LEFT(TRIM(E88&amp;""),FIND(" ",TRIM(E88&amp;""))-1),설정_코드표!$J$2:$J$101,0)),ISNUMBER(MATCH(TRIM(RIGHT(SUBSTITUTE(TRIM(E88&amp;"")," ",REPT(" ",60)),60)),설정_코드표!$F$2:$F$101,0))),INDEX(설정_코드표!$K$2:$K$101,MATCH(LEFT(TRIM(E88&amp;""),FIND(" ",TRIM(E88&amp;""))-1),설정_코드표!$J$2:$J$101,0))&amp;" "&amp;INDEX(설정_코드표!$G$2:$G$101,MATCH(TRIM(RIGHT(SUBSTITUTE(TRIM(E88&amp;"")," ",REPT(" ",60)),60)),설정_코드표!$F$2:$F$101,0)),"⚠"&amp;TRIM(E88&amp;""))),"⚠"&amp;TRIM(E88&amp;""))</f>
        <v/>
      </c>
      <c r="N88" s="10">
        <f>IFERROR(IF(TRIM(F88&amp;"")="","",IF(AND(ISNUMBER(FIND(" ",TRIM(F88&amp;""))),ISNUMBER(MATCH(LEFT(TRIM(F88&amp;""),FIND(" ",TRIM(F88&amp;""))-1),설정_코드표!$J$2:$J$101,0)),ISNUMBER(MATCH(TRIM(RIGHT(SUBSTITUTE(TRIM(F88&amp;"")," ",REPT(" ",60)),60)),설정_코드표!$F$2:$F$101,0))),INDEX(설정_코드표!$K$2:$K$101,MATCH(LEFT(TRIM(F88&amp;""),FIND(" ",TRIM(F88&amp;""))-1),설정_코드표!$J$2:$J$101,0))&amp;" "&amp;INDEX(설정_코드표!$G$2:$G$101,MATCH(TRIM(RIGHT(SUBSTITUTE(TRIM(F88&amp;"")," ",REPT(" ",60)),60)),설정_코드표!$F$2:$F$101,0)),"⚠"&amp;TRIM(F88&amp;""))),"⚠"&amp;TRIM(F88&amp;""))</f>
        <v/>
      </c>
      <c r="O88" s="10">
        <f>IFERROR(IF(TRIM(G88&amp;"")="","",IF(AND(ISNUMBER(FIND(" ",TRIM(G88&amp;""))),ISNUMBER(MATCH(LEFT(TRIM(G88&amp;""),FIND(" ",TRIM(G88&amp;""))-1),설정_코드표!$J$2:$J$101,0)),ISNUMBER(MATCH(TRIM(RIGHT(SUBSTITUTE(TRIM(G88&amp;"")," ",REPT(" ",60)),60)),설정_코드표!$F$2:$F$101,0))),INDEX(설정_코드표!$K$2:$K$101,MATCH(LEFT(TRIM(G88&amp;""),FIND(" ",TRIM(G88&amp;""))-1),설정_코드표!$J$2:$J$101,0))&amp;" "&amp;INDEX(설정_코드표!$G$2:$G$101,MATCH(TRIM(RIGHT(SUBSTITUTE(TRIM(G88&amp;"")," ",REPT(" ",60)),60)),설정_코드표!$F$2:$F$101,0)),"⚠"&amp;TRIM(G88&amp;""))),"⚠"&amp;TRIM(G88&amp;""))</f>
        <v/>
      </c>
      <c r="P88" s="10">
        <f>IFERROR(IF(TRIM(H88&amp;"")="","",IF(AND(ISNUMBER(FIND(" ",TRIM(H88&amp;""))),ISNUMBER(MATCH(LEFT(TRIM(H88&amp;""),FIND(" ",TRIM(H88&amp;""))-1),설정_코드표!$J$2:$J$101,0)),ISNUMBER(MATCH(TRIM(RIGHT(SUBSTITUTE(TRIM(H88&amp;"")," ",REPT(" ",60)),60)),설정_코드표!$F$2:$F$101,0))),INDEX(설정_코드표!$K$2:$K$101,MATCH(LEFT(TRIM(H88&amp;""),FIND(" ",TRIM(H88&amp;""))-1),설정_코드표!$J$2:$J$101,0))&amp;" "&amp;INDEX(설정_코드표!$G$2:$G$101,MATCH(TRIM(RIGHT(SUBSTITUTE(TRIM(H88&amp;"")," ",REPT(" ",60)),60)),설정_코드표!$F$2:$F$101,0)),"⚠"&amp;TRIM(H88&amp;""))),"⚠"&amp;TRIM(H88&amp;""))</f>
        <v/>
      </c>
      <c r="Q88" s="10">
        <f>IFERROR(IF(TRIM(I88&amp;"")="","",IF(AND(ISNUMBER(FIND(" ",TRIM(I88&amp;""))),ISNUMBER(MATCH(LEFT(TRIM(I88&amp;""),FIND(" ",TRIM(I88&amp;""))-1),설정_코드표!$J$2:$J$101,0)),ISNUMBER(MATCH(TRIM(RIGHT(SUBSTITUTE(TRIM(I88&amp;"")," ",REPT(" ",60)),60)),설정_코드표!$F$2:$F$101,0))),INDEX(설정_코드표!$K$2:$K$101,MATCH(LEFT(TRIM(I88&amp;""),FIND(" ",TRIM(I88&amp;""))-1),설정_코드표!$J$2:$J$101,0))&amp;" "&amp;INDEX(설정_코드표!$G$2:$G$101,MATCH(TRIM(RIGHT(SUBSTITUTE(TRIM(I88&amp;"")," ",REPT(" ",60)),60)),설정_코드표!$F$2:$F$101,0)),"⚠"&amp;TRIM(I88&amp;""))),"⚠"&amp;TRIM(I88&amp;""))</f>
        <v/>
      </c>
      <c r="R88" s="10">
        <f>IFERROR(IF(TRIM(J88&amp;"")="","",IF(AND(ISNUMBER(FIND(" ",TRIM(J88&amp;""))),ISNUMBER(MATCH(LEFT(TRIM(J88&amp;""),FIND(" ",TRIM(J88&amp;""))-1),설정_코드표!$J$2:$J$101,0)),ISNUMBER(MATCH(TRIM(RIGHT(SUBSTITUTE(TRIM(J88&amp;"")," ",REPT(" ",60)),60)),설정_코드표!$F$2:$F$101,0))),INDEX(설정_코드표!$K$2:$K$101,MATCH(LEFT(TRIM(J88&amp;""),FIND(" ",TRIM(J88&amp;""))-1),설정_코드표!$J$2:$J$101,0))&amp;" "&amp;INDEX(설정_코드표!$G$2:$G$101,MATCH(TRIM(RIGHT(SUBSTITUTE(TRIM(J88&amp;"")," ",REPT(" ",60)),60)),설정_코드표!$F$2:$F$101,0)),"⚠"&amp;TRIM(J88&amp;""))),"⚠"&amp;TRIM(J88&amp;""))</f>
        <v/>
      </c>
      <c r="S88" s="11">
        <f>IF(K88="","",IFERROR(IF(AND(ROUND((VALUE(K88&amp;"")-INT(VALUE(K88&amp;"")))*100,0)&gt;=1,ROUND((VALUE(K88&amp;"")-INT(VALUE(K88&amp;"")))*100,0)&lt;=12,INT(VALUE(K88&amp;""))&gt;=1900),DATE(INT(VALUE(K88&amp;"")),ROUND((VALUE(K88&amp;"")-INT(VALUE(K88&amp;"")))*100,0),1),K88&amp;""),K88&amp;""))</f>
        <v/>
      </c>
      <c r="T88" s="10">
        <f>COUNTIF(M88:R88,"⚠*")</f>
        <v/>
      </c>
    </row>
    <row r="89"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M89" s="10">
        <f>IFERROR(IF(TRIM(E89&amp;"")="","",IF(AND(ISNUMBER(FIND(" ",TRIM(E89&amp;""))),ISNUMBER(MATCH(LEFT(TRIM(E89&amp;""),FIND(" ",TRIM(E89&amp;""))-1),설정_코드표!$J$2:$J$101,0)),ISNUMBER(MATCH(TRIM(RIGHT(SUBSTITUTE(TRIM(E89&amp;"")," ",REPT(" ",60)),60)),설정_코드표!$F$2:$F$101,0))),INDEX(설정_코드표!$K$2:$K$101,MATCH(LEFT(TRIM(E89&amp;""),FIND(" ",TRIM(E89&amp;""))-1),설정_코드표!$J$2:$J$101,0))&amp;" "&amp;INDEX(설정_코드표!$G$2:$G$101,MATCH(TRIM(RIGHT(SUBSTITUTE(TRIM(E89&amp;"")," ",REPT(" ",60)),60)),설정_코드표!$F$2:$F$101,0)),"⚠"&amp;TRIM(E89&amp;""))),"⚠"&amp;TRIM(E89&amp;""))</f>
        <v/>
      </c>
      <c r="N89" s="10">
        <f>IFERROR(IF(TRIM(F89&amp;"")="","",IF(AND(ISNUMBER(FIND(" ",TRIM(F89&amp;""))),ISNUMBER(MATCH(LEFT(TRIM(F89&amp;""),FIND(" ",TRIM(F89&amp;""))-1),설정_코드표!$J$2:$J$101,0)),ISNUMBER(MATCH(TRIM(RIGHT(SUBSTITUTE(TRIM(F89&amp;"")," ",REPT(" ",60)),60)),설정_코드표!$F$2:$F$101,0))),INDEX(설정_코드표!$K$2:$K$101,MATCH(LEFT(TRIM(F89&amp;""),FIND(" ",TRIM(F89&amp;""))-1),설정_코드표!$J$2:$J$101,0))&amp;" "&amp;INDEX(설정_코드표!$G$2:$G$101,MATCH(TRIM(RIGHT(SUBSTITUTE(TRIM(F89&amp;"")," ",REPT(" ",60)),60)),설정_코드표!$F$2:$F$101,0)),"⚠"&amp;TRIM(F89&amp;""))),"⚠"&amp;TRIM(F89&amp;""))</f>
        <v/>
      </c>
      <c r="O89" s="10">
        <f>IFERROR(IF(TRIM(G89&amp;"")="","",IF(AND(ISNUMBER(FIND(" ",TRIM(G89&amp;""))),ISNUMBER(MATCH(LEFT(TRIM(G89&amp;""),FIND(" ",TRIM(G89&amp;""))-1),설정_코드표!$J$2:$J$101,0)),ISNUMBER(MATCH(TRIM(RIGHT(SUBSTITUTE(TRIM(G89&amp;"")," ",REPT(" ",60)),60)),설정_코드표!$F$2:$F$101,0))),INDEX(설정_코드표!$K$2:$K$101,MATCH(LEFT(TRIM(G89&amp;""),FIND(" ",TRIM(G89&amp;""))-1),설정_코드표!$J$2:$J$101,0))&amp;" "&amp;INDEX(설정_코드표!$G$2:$G$101,MATCH(TRIM(RIGHT(SUBSTITUTE(TRIM(G89&amp;"")," ",REPT(" ",60)),60)),설정_코드표!$F$2:$F$101,0)),"⚠"&amp;TRIM(G89&amp;""))),"⚠"&amp;TRIM(G89&amp;""))</f>
        <v/>
      </c>
      <c r="P89" s="10">
        <f>IFERROR(IF(TRIM(H89&amp;"")="","",IF(AND(ISNUMBER(FIND(" ",TRIM(H89&amp;""))),ISNUMBER(MATCH(LEFT(TRIM(H89&amp;""),FIND(" ",TRIM(H89&amp;""))-1),설정_코드표!$J$2:$J$101,0)),ISNUMBER(MATCH(TRIM(RIGHT(SUBSTITUTE(TRIM(H89&amp;"")," ",REPT(" ",60)),60)),설정_코드표!$F$2:$F$101,0))),INDEX(설정_코드표!$K$2:$K$101,MATCH(LEFT(TRIM(H89&amp;""),FIND(" ",TRIM(H89&amp;""))-1),설정_코드표!$J$2:$J$101,0))&amp;" "&amp;INDEX(설정_코드표!$G$2:$G$101,MATCH(TRIM(RIGHT(SUBSTITUTE(TRIM(H89&amp;"")," ",REPT(" ",60)),60)),설정_코드표!$F$2:$F$101,0)),"⚠"&amp;TRIM(H89&amp;""))),"⚠"&amp;TRIM(H89&amp;""))</f>
        <v/>
      </c>
      <c r="Q89" s="10">
        <f>IFERROR(IF(TRIM(I89&amp;"")="","",IF(AND(ISNUMBER(FIND(" ",TRIM(I89&amp;""))),ISNUMBER(MATCH(LEFT(TRIM(I89&amp;""),FIND(" ",TRIM(I89&amp;""))-1),설정_코드표!$J$2:$J$101,0)),ISNUMBER(MATCH(TRIM(RIGHT(SUBSTITUTE(TRIM(I89&amp;"")," ",REPT(" ",60)),60)),설정_코드표!$F$2:$F$101,0))),INDEX(설정_코드표!$K$2:$K$101,MATCH(LEFT(TRIM(I89&amp;""),FIND(" ",TRIM(I89&amp;""))-1),설정_코드표!$J$2:$J$101,0))&amp;" "&amp;INDEX(설정_코드표!$G$2:$G$101,MATCH(TRIM(RIGHT(SUBSTITUTE(TRIM(I89&amp;"")," ",REPT(" ",60)),60)),설정_코드표!$F$2:$F$101,0)),"⚠"&amp;TRIM(I89&amp;""))),"⚠"&amp;TRIM(I89&amp;""))</f>
        <v/>
      </c>
      <c r="R89" s="10">
        <f>IFERROR(IF(TRIM(J89&amp;"")="","",IF(AND(ISNUMBER(FIND(" ",TRIM(J89&amp;""))),ISNUMBER(MATCH(LEFT(TRIM(J89&amp;""),FIND(" ",TRIM(J89&amp;""))-1),설정_코드표!$J$2:$J$101,0)),ISNUMBER(MATCH(TRIM(RIGHT(SUBSTITUTE(TRIM(J89&amp;"")," ",REPT(" ",60)),60)),설정_코드표!$F$2:$F$101,0))),INDEX(설정_코드표!$K$2:$K$101,MATCH(LEFT(TRIM(J89&amp;""),FIND(" ",TRIM(J89&amp;""))-1),설정_코드표!$J$2:$J$101,0))&amp;" "&amp;INDEX(설정_코드표!$G$2:$G$101,MATCH(TRIM(RIGHT(SUBSTITUTE(TRIM(J89&amp;"")," ",REPT(" ",60)),60)),설정_코드표!$F$2:$F$101,0)),"⚠"&amp;TRIM(J89&amp;""))),"⚠"&amp;TRIM(J89&amp;""))</f>
        <v/>
      </c>
      <c r="S89" s="11">
        <f>IF(K89="","",IFERROR(IF(AND(ROUND((VALUE(K89&amp;"")-INT(VALUE(K89&amp;"")))*100,0)&gt;=1,ROUND((VALUE(K89&amp;"")-INT(VALUE(K89&amp;"")))*100,0)&lt;=12,INT(VALUE(K89&amp;""))&gt;=1900),DATE(INT(VALUE(K89&amp;"")),ROUND((VALUE(K89&amp;"")-INT(VALUE(K89&amp;"")))*100,0),1),K89&amp;""),K89&amp;""))</f>
        <v/>
      </c>
      <c r="T89" s="10">
        <f>COUNTIF(M89:R89,"⚠*")</f>
        <v/>
      </c>
    </row>
    <row r="90"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M90" s="10">
        <f>IFERROR(IF(TRIM(E90&amp;"")="","",IF(AND(ISNUMBER(FIND(" ",TRIM(E90&amp;""))),ISNUMBER(MATCH(LEFT(TRIM(E90&amp;""),FIND(" ",TRIM(E90&amp;""))-1),설정_코드표!$J$2:$J$101,0)),ISNUMBER(MATCH(TRIM(RIGHT(SUBSTITUTE(TRIM(E90&amp;"")," ",REPT(" ",60)),60)),설정_코드표!$F$2:$F$101,0))),INDEX(설정_코드표!$K$2:$K$101,MATCH(LEFT(TRIM(E90&amp;""),FIND(" ",TRIM(E90&amp;""))-1),설정_코드표!$J$2:$J$101,0))&amp;" "&amp;INDEX(설정_코드표!$G$2:$G$101,MATCH(TRIM(RIGHT(SUBSTITUTE(TRIM(E90&amp;"")," ",REPT(" ",60)),60)),설정_코드표!$F$2:$F$101,0)),"⚠"&amp;TRIM(E90&amp;""))),"⚠"&amp;TRIM(E90&amp;""))</f>
        <v/>
      </c>
      <c r="N90" s="10">
        <f>IFERROR(IF(TRIM(F90&amp;"")="","",IF(AND(ISNUMBER(FIND(" ",TRIM(F90&amp;""))),ISNUMBER(MATCH(LEFT(TRIM(F90&amp;""),FIND(" ",TRIM(F90&amp;""))-1),설정_코드표!$J$2:$J$101,0)),ISNUMBER(MATCH(TRIM(RIGHT(SUBSTITUTE(TRIM(F90&amp;"")," ",REPT(" ",60)),60)),설정_코드표!$F$2:$F$101,0))),INDEX(설정_코드표!$K$2:$K$101,MATCH(LEFT(TRIM(F90&amp;""),FIND(" ",TRIM(F90&amp;""))-1),설정_코드표!$J$2:$J$101,0))&amp;" "&amp;INDEX(설정_코드표!$G$2:$G$101,MATCH(TRIM(RIGHT(SUBSTITUTE(TRIM(F90&amp;"")," ",REPT(" ",60)),60)),설정_코드표!$F$2:$F$101,0)),"⚠"&amp;TRIM(F90&amp;""))),"⚠"&amp;TRIM(F90&amp;""))</f>
        <v/>
      </c>
      <c r="O90" s="10">
        <f>IFERROR(IF(TRIM(G90&amp;"")="","",IF(AND(ISNUMBER(FIND(" ",TRIM(G90&amp;""))),ISNUMBER(MATCH(LEFT(TRIM(G90&amp;""),FIND(" ",TRIM(G90&amp;""))-1),설정_코드표!$J$2:$J$101,0)),ISNUMBER(MATCH(TRIM(RIGHT(SUBSTITUTE(TRIM(G90&amp;"")," ",REPT(" ",60)),60)),설정_코드표!$F$2:$F$101,0))),INDEX(설정_코드표!$K$2:$K$101,MATCH(LEFT(TRIM(G90&amp;""),FIND(" ",TRIM(G90&amp;""))-1),설정_코드표!$J$2:$J$101,0))&amp;" "&amp;INDEX(설정_코드표!$G$2:$G$101,MATCH(TRIM(RIGHT(SUBSTITUTE(TRIM(G90&amp;"")," ",REPT(" ",60)),60)),설정_코드표!$F$2:$F$101,0)),"⚠"&amp;TRIM(G90&amp;""))),"⚠"&amp;TRIM(G90&amp;""))</f>
        <v/>
      </c>
      <c r="P90" s="10">
        <f>IFERROR(IF(TRIM(H90&amp;"")="","",IF(AND(ISNUMBER(FIND(" ",TRIM(H90&amp;""))),ISNUMBER(MATCH(LEFT(TRIM(H90&amp;""),FIND(" ",TRIM(H90&amp;""))-1),설정_코드표!$J$2:$J$101,0)),ISNUMBER(MATCH(TRIM(RIGHT(SUBSTITUTE(TRIM(H90&amp;"")," ",REPT(" ",60)),60)),설정_코드표!$F$2:$F$101,0))),INDEX(설정_코드표!$K$2:$K$101,MATCH(LEFT(TRIM(H90&amp;""),FIND(" ",TRIM(H90&amp;""))-1),설정_코드표!$J$2:$J$101,0))&amp;" "&amp;INDEX(설정_코드표!$G$2:$G$101,MATCH(TRIM(RIGHT(SUBSTITUTE(TRIM(H90&amp;"")," ",REPT(" ",60)),60)),설정_코드표!$F$2:$F$101,0)),"⚠"&amp;TRIM(H90&amp;""))),"⚠"&amp;TRIM(H90&amp;""))</f>
        <v/>
      </c>
      <c r="Q90" s="10">
        <f>IFERROR(IF(TRIM(I90&amp;"")="","",IF(AND(ISNUMBER(FIND(" ",TRIM(I90&amp;""))),ISNUMBER(MATCH(LEFT(TRIM(I90&amp;""),FIND(" ",TRIM(I90&amp;""))-1),설정_코드표!$J$2:$J$101,0)),ISNUMBER(MATCH(TRIM(RIGHT(SUBSTITUTE(TRIM(I90&amp;"")," ",REPT(" ",60)),60)),설정_코드표!$F$2:$F$101,0))),INDEX(설정_코드표!$K$2:$K$101,MATCH(LEFT(TRIM(I90&amp;""),FIND(" ",TRIM(I90&amp;""))-1),설정_코드표!$J$2:$J$101,0))&amp;" "&amp;INDEX(설정_코드표!$G$2:$G$101,MATCH(TRIM(RIGHT(SUBSTITUTE(TRIM(I90&amp;"")," ",REPT(" ",60)),60)),설정_코드표!$F$2:$F$101,0)),"⚠"&amp;TRIM(I90&amp;""))),"⚠"&amp;TRIM(I90&amp;""))</f>
        <v/>
      </c>
      <c r="R90" s="10">
        <f>IFERROR(IF(TRIM(J90&amp;"")="","",IF(AND(ISNUMBER(FIND(" ",TRIM(J90&amp;""))),ISNUMBER(MATCH(LEFT(TRIM(J90&amp;""),FIND(" ",TRIM(J90&amp;""))-1),설정_코드표!$J$2:$J$101,0)),ISNUMBER(MATCH(TRIM(RIGHT(SUBSTITUTE(TRIM(J90&amp;"")," ",REPT(" ",60)),60)),설정_코드표!$F$2:$F$101,0))),INDEX(설정_코드표!$K$2:$K$101,MATCH(LEFT(TRIM(J90&amp;""),FIND(" ",TRIM(J90&amp;""))-1),설정_코드표!$J$2:$J$101,0))&amp;" "&amp;INDEX(설정_코드표!$G$2:$G$101,MATCH(TRIM(RIGHT(SUBSTITUTE(TRIM(J90&amp;"")," ",REPT(" ",60)),60)),설정_코드표!$F$2:$F$101,0)),"⚠"&amp;TRIM(J90&amp;""))),"⚠"&amp;TRIM(J90&amp;""))</f>
        <v/>
      </c>
      <c r="S90" s="11">
        <f>IF(K90="","",IFERROR(IF(AND(ROUND((VALUE(K90&amp;"")-INT(VALUE(K90&amp;"")))*100,0)&gt;=1,ROUND((VALUE(K90&amp;"")-INT(VALUE(K90&amp;"")))*100,0)&lt;=12,INT(VALUE(K90&amp;""))&gt;=1900),DATE(INT(VALUE(K90&amp;"")),ROUND((VALUE(K90&amp;"")-INT(VALUE(K90&amp;"")))*100,0),1),K90&amp;""),K90&amp;""))</f>
        <v/>
      </c>
      <c r="T90" s="10">
        <f>COUNTIF(M90:R90,"⚠*")</f>
        <v/>
      </c>
    </row>
    <row r="91"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M91" s="10">
        <f>IFERROR(IF(TRIM(E91&amp;"")="","",IF(AND(ISNUMBER(FIND(" ",TRIM(E91&amp;""))),ISNUMBER(MATCH(LEFT(TRIM(E91&amp;""),FIND(" ",TRIM(E91&amp;""))-1),설정_코드표!$J$2:$J$101,0)),ISNUMBER(MATCH(TRIM(RIGHT(SUBSTITUTE(TRIM(E91&amp;"")," ",REPT(" ",60)),60)),설정_코드표!$F$2:$F$101,0))),INDEX(설정_코드표!$K$2:$K$101,MATCH(LEFT(TRIM(E91&amp;""),FIND(" ",TRIM(E91&amp;""))-1),설정_코드표!$J$2:$J$101,0))&amp;" "&amp;INDEX(설정_코드표!$G$2:$G$101,MATCH(TRIM(RIGHT(SUBSTITUTE(TRIM(E91&amp;"")," ",REPT(" ",60)),60)),설정_코드표!$F$2:$F$101,0)),"⚠"&amp;TRIM(E91&amp;""))),"⚠"&amp;TRIM(E91&amp;""))</f>
        <v/>
      </c>
      <c r="N91" s="10">
        <f>IFERROR(IF(TRIM(F91&amp;"")="","",IF(AND(ISNUMBER(FIND(" ",TRIM(F91&amp;""))),ISNUMBER(MATCH(LEFT(TRIM(F91&amp;""),FIND(" ",TRIM(F91&amp;""))-1),설정_코드표!$J$2:$J$101,0)),ISNUMBER(MATCH(TRIM(RIGHT(SUBSTITUTE(TRIM(F91&amp;"")," ",REPT(" ",60)),60)),설정_코드표!$F$2:$F$101,0))),INDEX(설정_코드표!$K$2:$K$101,MATCH(LEFT(TRIM(F91&amp;""),FIND(" ",TRIM(F91&amp;""))-1),설정_코드표!$J$2:$J$101,0))&amp;" "&amp;INDEX(설정_코드표!$G$2:$G$101,MATCH(TRIM(RIGHT(SUBSTITUTE(TRIM(F91&amp;"")," ",REPT(" ",60)),60)),설정_코드표!$F$2:$F$101,0)),"⚠"&amp;TRIM(F91&amp;""))),"⚠"&amp;TRIM(F91&amp;""))</f>
        <v/>
      </c>
      <c r="O91" s="10">
        <f>IFERROR(IF(TRIM(G91&amp;"")="","",IF(AND(ISNUMBER(FIND(" ",TRIM(G91&amp;""))),ISNUMBER(MATCH(LEFT(TRIM(G91&amp;""),FIND(" ",TRIM(G91&amp;""))-1),설정_코드표!$J$2:$J$101,0)),ISNUMBER(MATCH(TRIM(RIGHT(SUBSTITUTE(TRIM(G91&amp;"")," ",REPT(" ",60)),60)),설정_코드표!$F$2:$F$101,0))),INDEX(설정_코드표!$K$2:$K$101,MATCH(LEFT(TRIM(G91&amp;""),FIND(" ",TRIM(G91&amp;""))-1),설정_코드표!$J$2:$J$101,0))&amp;" "&amp;INDEX(설정_코드표!$G$2:$G$101,MATCH(TRIM(RIGHT(SUBSTITUTE(TRIM(G91&amp;"")," ",REPT(" ",60)),60)),설정_코드표!$F$2:$F$101,0)),"⚠"&amp;TRIM(G91&amp;""))),"⚠"&amp;TRIM(G91&amp;""))</f>
        <v/>
      </c>
      <c r="P91" s="10">
        <f>IFERROR(IF(TRIM(H91&amp;"")="","",IF(AND(ISNUMBER(FIND(" ",TRIM(H91&amp;""))),ISNUMBER(MATCH(LEFT(TRIM(H91&amp;""),FIND(" ",TRIM(H91&amp;""))-1),설정_코드표!$J$2:$J$101,0)),ISNUMBER(MATCH(TRIM(RIGHT(SUBSTITUTE(TRIM(H91&amp;"")," ",REPT(" ",60)),60)),설정_코드표!$F$2:$F$101,0))),INDEX(설정_코드표!$K$2:$K$101,MATCH(LEFT(TRIM(H91&amp;""),FIND(" ",TRIM(H91&amp;""))-1),설정_코드표!$J$2:$J$101,0))&amp;" "&amp;INDEX(설정_코드표!$G$2:$G$101,MATCH(TRIM(RIGHT(SUBSTITUTE(TRIM(H91&amp;"")," ",REPT(" ",60)),60)),설정_코드표!$F$2:$F$101,0)),"⚠"&amp;TRIM(H91&amp;""))),"⚠"&amp;TRIM(H91&amp;""))</f>
        <v/>
      </c>
      <c r="Q91" s="10">
        <f>IFERROR(IF(TRIM(I91&amp;"")="","",IF(AND(ISNUMBER(FIND(" ",TRIM(I91&amp;""))),ISNUMBER(MATCH(LEFT(TRIM(I91&amp;""),FIND(" ",TRIM(I91&amp;""))-1),설정_코드표!$J$2:$J$101,0)),ISNUMBER(MATCH(TRIM(RIGHT(SUBSTITUTE(TRIM(I91&amp;"")," ",REPT(" ",60)),60)),설정_코드표!$F$2:$F$101,0))),INDEX(설정_코드표!$K$2:$K$101,MATCH(LEFT(TRIM(I91&amp;""),FIND(" ",TRIM(I91&amp;""))-1),설정_코드표!$J$2:$J$101,0))&amp;" "&amp;INDEX(설정_코드표!$G$2:$G$101,MATCH(TRIM(RIGHT(SUBSTITUTE(TRIM(I91&amp;"")," ",REPT(" ",60)),60)),설정_코드표!$F$2:$F$101,0)),"⚠"&amp;TRIM(I91&amp;""))),"⚠"&amp;TRIM(I91&amp;""))</f>
        <v/>
      </c>
      <c r="R91" s="10">
        <f>IFERROR(IF(TRIM(J91&amp;"")="","",IF(AND(ISNUMBER(FIND(" ",TRIM(J91&amp;""))),ISNUMBER(MATCH(LEFT(TRIM(J91&amp;""),FIND(" ",TRIM(J91&amp;""))-1),설정_코드표!$J$2:$J$101,0)),ISNUMBER(MATCH(TRIM(RIGHT(SUBSTITUTE(TRIM(J91&amp;"")," ",REPT(" ",60)),60)),설정_코드표!$F$2:$F$101,0))),INDEX(설정_코드표!$K$2:$K$101,MATCH(LEFT(TRIM(J91&amp;""),FIND(" ",TRIM(J91&amp;""))-1),설정_코드표!$J$2:$J$101,0))&amp;" "&amp;INDEX(설정_코드표!$G$2:$G$101,MATCH(TRIM(RIGHT(SUBSTITUTE(TRIM(J91&amp;"")," ",REPT(" ",60)),60)),설정_코드표!$F$2:$F$101,0)),"⚠"&amp;TRIM(J91&amp;""))),"⚠"&amp;TRIM(J91&amp;""))</f>
        <v/>
      </c>
      <c r="S91" s="11">
        <f>IF(K91="","",IFERROR(IF(AND(ROUND((VALUE(K91&amp;"")-INT(VALUE(K91&amp;"")))*100,0)&gt;=1,ROUND((VALUE(K91&amp;"")-INT(VALUE(K91&amp;"")))*100,0)&lt;=12,INT(VALUE(K91&amp;""))&gt;=1900),DATE(INT(VALUE(K91&amp;"")),ROUND((VALUE(K91&amp;"")-INT(VALUE(K91&amp;"")))*100,0),1),K91&amp;""),K91&amp;""))</f>
        <v/>
      </c>
      <c r="T91" s="10">
        <f>COUNTIF(M91:R91,"⚠*")</f>
        <v/>
      </c>
    </row>
    <row r="92"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M92" s="10">
        <f>IFERROR(IF(TRIM(E92&amp;"")="","",IF(AND(ISNUMBER(FIND(" ",TRIM(E92&amp;""))),ISNUMBER(MATCH(LEFT(TRIM(E92&amp;""),FIND(" ",TRIM(E92&amp;""))-1),설정_코드표!$J$2:$J$101,0)),ISNUMBER(MATCH(TRIM(RIGHT(SUBSTITUTE(TRIM(E92&amp;"")," ",REPT(" ",60)),60)),설정_코드표!$F$2:$F$101,0))),INDEX(설정_코드표!$K$2:$K$101,MATCH(LEFT(TRIM(E92&amp;""),FIND(" ",TRIM(E92&amp;""))-1),설정_코드표!$J$2:$J$101,0))&amp;" "&amp;INDEX(설정_코드표!$G$2:$G$101,MATCH(TRIM(RIGHT(SUBSTITUTE(TRIM(E92&amp;"")," ",REPT(" ",60)),60)),설정_코드표!$F$2:$F$101,0)),"⚠"&amp;TRIM(E92&amp;""))),"⚠"&amp;TRIM(E92&amp;""))</f>
        <v/>
      </c>
      <c r="N92" s="10">
        <f>IFERROR(IF(TRIM(F92&amp;"")="","",IF(AND(ISNUMBER(FIND(" ",TRIM(F92&amp;""))),ISNUMBER(MATCH(LEFT(TRIM(F92&amp;""),FIND(" ",TRIM(F92&amp;""))-1),설정_코드표!$J$2:$J$101,0)),ISNUMBER(MATCH(TRIM(RIGHT(SUBSTITUTE(TRIM(F92&amp;"")," ",REPT(" ",60)),60)),설정_코드표!$F$2:$F$101,0))),INDEX(설정_코드표!$K$2:$K$101,MATCH(LEFT(TRIM(F92&amp;""),FIND(" ",TRIM(F92&amp;""))-1),설정_코드표!$J$2:$J$101,0))&amp;" "&amp;INDEX(설정_코드표!$G$2:$G$101,MATCH(TRIM(RIGHT(SUBSTITUTE(TRIM(F92&amp;"")," ",REPT(" ",60)),60)),설정_코드표!$F$2:$F$101,0)),"⚠"&amp;TRIM(F92&amp;""))),"⚠"&amp;TRIM(F92&amp;""))</f>
        <v/>
      </c>
      <c r="O92" s="10">
        <f>IFERROR(IF(TRIM(G92&amp;"")="","",IF(AND(ISNUMBER(FIND(" ",TRIM(G92&amp;""))),ISNUMBER(MATCH(LEFT(TRIM(G92&amp;""),FIND(" ",TRIM(G92&amp;""))-1),설정_코드표!$J$2:$J$101,0)),ISNUMBER(MATCH(TRIM(RIGHT(SUBSTITUTE(TRIM(G92&amp;"")," ",REPT(" ",60)),60)),설정_코드표!$F$2:$F$101,0))),INDEX(설정_코드표!$K$2:$K$101,MATCH(LEFT(TRIM(G92&amp;""),FIND(" ",TRIM(G92&amp;""))-1),설정_코드표!$J$2:$J$101,0))&amp;" "&amp;INDEX(설정_코드표!$G$2:$G$101,MATCH(TRIM(RIGHT(SUBSTITUTE(TRIM(G92&amp;"")," ",REPT(" ",60)),60)),설정_코드표!$F$2:$F$101,0)),"⚠"&amp;TRIM(G92&amp;""))),"⚠"&amp;TRIM(G92&amp;""))</f>
        <v/>
      </c>
      <c r="P92" s="10">
        <f>IFERROR(IF(TRIM(H92&amp;"")="","",IF(AND(ISNUMBER(FIND(" ",TRIM(H92&amp;""))),ISNUMBER(MATCH(LEFT(TRIM(H92&amp;""),FIND(" ",TRIM(H92&amp;""))-1),설정_코드표!$J$2:$J$101,0)),ISNUMBER(MATCH(TRIM(RIGHT(SUBSTITUTE(TRIM(H92&amp;"")," ",REPT(" ",60)),60)),설정_코드표!$F$2:$F$101,0))),INDEX(설정_코드표!$K$2:$K$101,MATCH(LEFT(TRIM(H92&amp;""),FIND(" ",TRIM(H92&amp;""))-1),설정_코드표!$J$2:$J$101,0))&amp;" "&amp;INDEX(설정_코드표!$G$2:$G$101,MATCH(TRIM(RIGHT(SUBSTITUTE(TRIM(H92&amp;"")," ",REPT(" ",60)),60)),설정_코드표!$F$2:$F$101,0)),"⚠"&amp;TRIM(H92&amp;""))),"⚠"&amp;TRIM(H92&amp;""))</f>
        <v/>
      </c>
      <c r="Q92" s="10">
        <f>IFERROR(IF(TRIM(I92&amp;"")="","",IF(AND(ISNUMBER(FIND(" ",TRIM(I92&amp;""))),ISNUMBER(MATCH(LEFT(TRIM(I92&amp;""),FIND(" ",TRIM(I92&amp;""))-1),설정_코드표!$J$2:$J$101,0)),ISNUMBER(MATCH(TRIM(RIGHT(SUBSTITUTE(TRIM(I92&amp;"")," ",REPT(" ",60)),60)),설정_코드표!$F$2:$F$101,0))),INDEX(설정_코드표!$K$2:$K$101,MATCH(LEFT(TRIM(I92&amp;""),FIND(" ",TRIM(I92&amp;""))-1),설정_코드표!$J$2:$J$101,0))&amp;" "&amp;INDEX(설정_코드표!$G$2:$G$101,MATCH(TRIM(RIGHT(SUBSTITUTE(TRIM(I92&amp;"")," ",REPT(" ",60)),60)),설정_코드표!$F$2:$F$101,0)),"⚠"&amp;TRIM(I92&amp;""))),"⚠"&amp;TRIM(I92&amp;""))</f>
        <v/>
      </c>
      <c r="R92" s="10">
        <f>IFERROR(IF(TRIM(J92&amp;"")="","",IF(AND(ISNUMBER(FIND(" ",TRIM(J92&amp;""))),ISNUMBER(MATCH(LEFT(TRIM(J92&amp;""),FIND(" ",TRIM(J92&amp;""))-1),설정_코드표!$J$2:$J$101,0)),ISNUMBER(MATCH(TRIM(RIGHT(SUBSTITUTE(TRIM(J92&amp;"")," ",REPT(" ",60)),60)),설정_코드표!$F$2:$F$101,0))),INDEX(설정_코드표!$K$2:$K$101,MATCH(LEFT(TRIM(J92&amp;""),FIND(" ",TRIM(J92&amp;""))-1),설정_코드표!$J$2:$J$101,0))&amp;" "&amp;INDEX(설정_코드표!$G$2:$G$101,MATCH(TRIM(RIGHT(SUBSTITUTE(TRIM(J92&amp;"")," ",REPT(" ",60)),60)),설정_코드표!$F$2:$F$101,0)),"⚠"&amp;TRIM(J92&amp;""))),"⚠"&amp;TRIM(J92&amp;""))</f>
        <v/>
      </c>
      <c r="S92" s="11">
        <f>IF(K92="","",IFERROR(IF(AND(ROUND((VALUE(K92&amp;"")-INT(VALUE(K92&amp;"")))*100,0)&gt;=1,ROUND((VALUE(K92&amp;"")-INT(VALUE(K92&amp;"")))*100,0)&lt;=12,INT(VALUE(K92&amp;""))&gt;=1900),DATE(INT(VALUE(K92&amp;"")),ROUND((VALUE(K92&amp;"")-INT(VALUE(K92&amp;"")))*100,0),1),K92&amp;""),K92&amp;""))</f>
        <v/>
      </c>
      <c r="T92" s="10">
        <f>COUNTIF(M92:R92,"⚠*")</f>
        <v/>
      </c>
    </row>
    <row r="93"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M93" s="10">
        <f>IFERROR(IF(TRIM(E93&amp;"")="","",IF(AND(ISNUMBER(FIND(" ",TRIM(E93&amp;""))),ISNUMBER(MATCH(LEFT(TRIM(E93&amp;""),FIND(" ",TRIM(E93&amp;""))-1),설정_코드표!$J$2:$J$101,0)),ISNUMBER(MATCH(TRIM(RIGHT(SUBSTITUTE(TRIM(E93&amp;"")," ",REPT(" ",60)),60)),설정_코드표!$F$2:$F$101,0))),INDEX(설정_코드표!$K$2:$K$101,MATCH(LEFT(TRIM(E93&amp;""),FIND(" ",TRIM(E93&amp;""))-1),설정_코드표!$J$2:$J$101,0))&amp;" "&amp;INDEX(설정_코드표!$G$2:$G$101,MATCH(TRIM(RIGHT(SUBSTITUTE(TRIM(E93&amp;"")," ",REPT(" ",60)),60)),설정_코드표!$F$2:$F$101,0)),"⚠"&amp;TRIM(E93&amp;""))),"⚠"&amp;TRIM(E93&amp;""))</f>
        <v/>
      </c>
      <c r="N93" s="10">
        <f>IFERROR(IF(TRIM(F93&amp;"")="","",IF(AND(ISNUMBER(FIND(" ",TRIM(F93&amp;""))),ISNUMBER(MATCH(LEFT(TRIM(F93&amp;""),FIND(" ",TRIM(F93&amp;""))-1),설정_코드표!$J$2:$J$101,0)),ISNUMBER(MATCH(TRIM(RIGHT(SUBSTITUTE(TRIM(F93&amp;"")," ",REPT(" ",60)),60)),설정_코드표!$F$2:$F$101,0))),INDEX(설정_코드표!$K$2:$K$101,MATCH(LEFT(TRIM(F93&amp;""),FIND(" ",TRIM(F93&amp;""))-1),설정_코드표!$J$2:$J$101,0))&amp;" "&amp;INDEX(설정_코드표!$G$2:$G$101,MATCH(TRIM(RIGHT(SUBSTITUTE(TRIM(F93&amp;"")," ",REPT(" ",60)),60)),설정_코드표!$F$2:$F$101,0)),"⚠"&amp;TRIM(F93&amp;""))),"⚠"&amp;TRIM(F93&amp;""))</f>
        <v/>
      </c>
      <c r="O93" s="10">
        <f>IFERROR(IF(TRIM(G93&amp;"")="","",IF(AND(ISNUMBER(FIND(" ",TRIM(G93&amp;""))),ISNUMBER(MATCH(LEFT(TRIM(G93&amp;""),FIND(" ",TRIM(G93&amp;""))-1),설정_코드표!$J$2:$J$101,0)),ISNUMBER(MATCH(TRIM(RIGHT(SUBSTITUTE(TRIM(G93&amp;"")," ",REPT(" ",60)),60)),설정_코드표!$F$2:$F$101,0))),INDEX(설정_코드표!$K$2:$K$101,MATCH(LEFT(TRIM(G93&amp;""),FIND(" ",TRIM(G93&amp;""))-1),설정_코드표!$J$2:$J$101,0))&amp;" "&amp;INDEX(설정_코드표!$G$2:$G$101,MATCH(TRIM(RIGHT(SUBSTITUTE(TRIM(G93&amp;"")," ",REPT(" ",60)),60)),설정_코드표!$F$2:$F$101,0)),"⚠"&amp;TRIM(G93&amp;""))),"⚠"&amp;TRIM(G93&amp;""))</f>
        <v/>
      </c>
      <c r="P93" s="10">
        <f>IFERROR(IF(TRIM(H93&amp;"")="","",IF(AND(ISNUMBER(FIND(" ",TRIM(H93&amp;""))),ISNUMBER(MATCH(LEFT(TRIM(H93&amp;""),FIND(" ",TRIM(H93&amp;""))-1),설정_코드표!$J$2:$J$101,0)),ISNUMBER(MATCH(TRIM(RIGHT(SUBSTITUTE(TRIM(H93&amp;"")," ",REPT(" ",60)),60)),설정_코드표!$F$2:$F$101,0))),INDEX(설정_코드표!$K$2:$K$101,MATCH(LEFT(TRIM(H93&amp;""),FIND(" ",TRIM(H93&amp;""))-1),설정_코드표!$J$2:$J$101,0))&amp;" "&amp;INDEX(설정_코드표!$G$2:$G$101,MATCH(TRIM(RIGHT(SUBSTITUTE(TRIM(H93&amp;"")," ",REPT(" ",60)),60)),설정_코드표!$F$2:$F$101,0)),"⚠"&amp;TRIM(H93&amp;""))),"⚠"&amp;TRIM(H93&amp;""))</f>
        <v/>
      </c>
      <c r="Q93" s="10">
        <f>IFERROR(IF(TRIM(I93&amp;"")="","",IF(AND(ISNUMBER(FIND(" ",TRIM(I93&amp;""))),ISNUMBER(MATCH(LEFT(TRIM(I93&amp;""),FIND(" ",TRIM(I93&amp;""))-1),설정_코드표!$J$2:$J$101,0)),ISNUMBER(MATCH(TRIM(RIGHT(SUBSTITUTE(TRIM(I93&amp;"")," ",REPT(" ",60)),60)),설정_코드표!$F$2:$F$101,0))),INDEX(설정_코드표!$K$2:$K$101,MATCH(LEFT(TRIM(I93&amp;""),FIND(" ",TRIM(I93&amp;""))-1),설정_코드표!$J$2:$J$101,0))&amp;" "&amp;INDEX(설정_코드표!$G$2:$G$101,MATCH(TRIM(RIGHT(SUBSTITUTE(TRIM(I93&amp;"")," ",REPT(" ",60)),60)),설정_코드표!$F$2:$F$101,0)),"⚠"&amp;TRIM(I93&amp;""))),"⚠"&amp;TRIM(I93&amp;""))</f>
        <v/>
      </c>
      <c r="R93" s="10">
        <f>IFERROR(IF(TRIM(J93&amp;"")="","",IF(AND(ISNUMBER(FIND(" ",TRIM(J93&amp;""))),ISNUMBER(MATCH(LEFT(TRIM(J93&amp;""),FIND(" ",TRIM(J93&amp;""))-1),설정_코드표!$J$2:$J$101,0)),ISNUMBER(MATCH(TRIM(RIGHT(SUBSTITUTE(TRIM(J93&amp;"")," ",REPT(" ",60)),60)),설정_코드표!$F$2:$F$101,0))),INDEX(설정_코드표!$K$2:$K$101,MATCH(LEFT(TRIM(J93&amp;""),FIND(" ",TRIM(J93&amp;""))-1),설정_코드표!$J$2:$J$101,0))&amp;" "&amp;INDEX(설정_코드표!$G$2:$G$101,MATCH(TRIM(RIGHT(SUBSTITUTE(TRIM(J93&amp;"")," ",REPT(" ",60)),60)),설정_코드표!$F$2:$F$101,0)),"⚠"&amp;TRIM(J93&amp;""))),"⚠"&amp;TRIM(J93&amp;""))</f>
        <v/>
      </c>
      <c r="S93" s="11">
        <f>IF(K93="","",IFERROR(IF(AND(ROUND((VALUE(K93&amp;"")-INT(VALUE(K93&amp;"")))*100,0)&gt;=1,ROUND((VALUE(K93&amp;"")-INT(VALUE(K93&amp;"")))*100,0)&lt;=12,INT(VALUE(K93&amp;""))&gt;=1900),DATE(INT(VALUE(K93&amp;"")),ROUND((VALUE(K93&amp;"")-INT(VALUE(K93&amp;"")))*100,0),1),K93&amp;""),K93&amp;""))</f>
        <v/>
      </c>
      <c r="T93" s="10">
        <f>COUNTIF(M93:R93,"⚠*")</f>
        <v/>
      </c>
    </row>
    <row r="94"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M94" s="10">
        <f>IFERROR(IF(TRIM(E94&amp;"")="","",IF(AND(ISNUMBER(FIND(" ",TRIM(E94&amp;""))),ISNUMBER(MATCH(LEFT(TRIM(E94&amp;""),FIND(" ",TRIM(E94&amp;""))-1),설정_코드표!$J$2:$J$101,0)),ISNUMBER(MATCH(TRIM(RIGHT(SUBSTITUTE(TRIM(E94&amp;"")," ",REPT(" ",60)),60)),설정_코드표!$F$2:$F$101,0))),INDEX(설정_코드표!$K$2:$K$101,MATCH(LEFT(TRIM(E94&amp;""),FIND(" ",TRIM(E94&amp;""))-1),설정_코드표!$J$2:$J$101,0))&amp;" "&amp;INDEX(설정_코드표!$G$2:$G$101,MATCH(TRIM(RIGHT(SUBSTITUTE(TRIM(E94&amp;"")," ",REPT(" ",60)),60)),설정_코드표!$F$2:$F$101,0)),"⚠"&amp;TRIM(E94&amp;""))),"⚠"&amp;TRIM(E94&amp;""))</f>
        <v/>
      </c>
      <c r="N94" s="10">
        <f>IFERROR(IF(TRIM(F94&amp;"")="","",IF(AND(ISNUMBER(FIND(" ",TRIM(F94&amp;""))),ISNUMBER(MATCH(LEFT(TRIM(F94&amp;""),FIND(" ",TRIM(F94&amp;""))-1),설정_코드표!$J$2:$J$101,0)),ISNUMBER(MATCH(TRIM(RIGHT(SUBSTITUTE(TRIM(F94&amp;"")," ",REPT(" ",60)),60)),설정_코드표!$F$2:$F$101,0))),INDEX(설정_코드표!$K$2:$K$101,MATCH(LEFT(TRIM(F94&amp;""),FIND(" ",TRIM(F94&amp;""))-1),설정_코드표!$J$2:$J$101,0))&amp;" "&amp;INDEX(설정_코드표!$G$2:$G$101,MATCH(TRIM(RIGHT(SUBSTITUTE(TRIM(F94&amp;"")," ",REPT(" ",60)),60)),설정_코드표!$F$2:$F$101,0)),"⚠"&amp;TRIM(F94&amp;""))),"⚠"&amp;TRIM(F94&amp;""))</f>
        <v/>
      </c>
      <c r="O94" s="10">
        <f>IFERROR(IF(TRIM(G94&amp;"")="","",IF(AND(ISNUMBER(FIND(" ",TRIM(G94&amp;""))),ISNUMBER(MATCH(LEFT(TRIM(G94&amp;""),FIND(" ",TRIM(G94&amp;""))-1),설정_코드표!$J$2:$J$101,0)),ISNUMBER(MATCH(TRIM(RIGHT(SUBSTITUTE(TRIM(G94&amp;"")," ",REPT(" ",60)),60)),설정_코드표!$F$2:$F$101,0))),INDEX(설정_코드표!$K$2:$K$101,MATCH(LEFT(TRIM(G94&amp;""),FIND(" ",TRIM(G94&amp;""))-1),설정_코드표!$J$2:$J$101,0))&amp;" "&amp;INDEX(설정_코드표!$G$2:$G$101,MATCH(TRIM(RIGHT(SUBSTITUTE(TRIM(G94&amp;"")," ",REPT(" ",60)),60)),설정_코드표!$F$2:$F$101,0)),"⚠"&amp;TRIM(G94&amp;""))),"⚠"&amp;TRIM(G94&amp;""))</f>
        <v/>
      </c>
      <c r="P94" s="10">
        <f>IFERROR(IF(TRIM(H94&amp;"")="","",IF(AND(ISNUMBER(FIND(" ",TRIM(H94&amp;""))),ISNUMBER(MATCH(LEFT(TRIM(H94&amp;""),FIND(" ",TRIM(H94&amp;""))-1),설정_코드표!$J$2:$J$101,0)),ISNUMBER(MATCH(TRIM(RIGHT(SUBSTITUTE(TRIM(H94&amp;"")," ",REPT(" ",60)),60)),설정_코드표!$F$2:$F$101,0))),INDEX(설정_코드표!$K$2:$K$101,MATCH(LEFT(TRIM(H94&amp;""),FIND(" ",TRIM(H94&amp;""))-1),설정_코드표!$J$2:$J$101,0))&amp;" "&amp;INDEX(설정_코드표!$G$2:$G$101,MATCH(TRIM(RIGHT(SUBSTITUTE(TRIM(H94&amp;"")," ",REPT(" ",60)),60)),설정_코드표!$F$2:$F$101,0)),"⚠"&amp;TRIM(H94&amp;""))),"⚠"&amp;TRIM(H94&amp;""))</f>
        <v/>
      </c>
      <c r="Q94" s="10">
        <f>IFERROR(IF(TRIM(I94&amp;"")="","",IF(AND(ISNUMBER(FIND(" ",TRIM(I94&amp;""))),ISNUMBER(MATCH(LEFT(TRIM(I94&amp;""),FIND(" ",TRIM(I94&amp;""))-1),설정_코드표!$J$2:$J$101,0)),ISNUMBER(MATCH(TRIM(RIGHT(SUBSTITUTE(TRIM(I94&amp;"")," ",REPT(" ",60)),60)),설정_코드표!$F$2:$F$101,0))),INDEX(설정_코드표!$K$2:$K$101,MATCH(LEFT(TRIM(I94&amp;""),FIND(" ",TRIM(I94&amp;""))-1),설정_코드표!$J$2:$J$101,0))&amp;" "&amp;INDEX(설정_코드표!$G$2:$G$101,MATCH(TRIM(RIGHT(SUBSTITUTE(TRIM(I94&amp;"")," ",REPT(" ",60)),60)),설정_코드표!$F$2:$F$101,0)),"⚠"&amp;TRIM(I94&amp;""))),"⚠"&amp;TRIM(I94&amp;""))</f>
        <v/>
      </c>
      <c r="R94" s="10">
        <f>IFERROR(IF(TRIM(J94&amp;"")="","",IF(AND(ISNUMBER(FIND(" ",TRIM(J94&amp;""))),ISNUMBER(MATCH(LEFT(TRIM(J94&amp;""),FIND(" ",TRIM(J94&amp;""))-1),설정_코드표!$J$2:$J$101,0)),ISNUMBER(MATCH(TRIM(RIGHT(SUBSTITUTE(TRIM(J94&amp;"")," ",REPT(" ",60)),60)),설정_코드표!$F$2:$F$101,0))),INDEX(설정_코드표!$K$2:$K$101,MATCH(LEFT(TRIM(J94&amp;""),FIND(" ",TRIM(J94&amp;""))-1),설정_코드표!$J$2:$J$101,0))&amp;" "&amp;INDEX(설정_코드표!$G$2:$G$101,MATCH(TRIM(RIGHT(SUBSTITUTE(TRIM(J94&amp;"")," ",REPT(" ",60)),60)),설정_코드표!$F$2:$F$101,0)),"⚠"&amp;TRIM(J94&amp;""))),"⚠"&amp;TRIM(J94&amp;""))</f>
        <v/>
      </c>
      <c r="S94" s="11">
        <f>IF(K94="","",IFERROR(IF(AND(ROUND((VALUE(K94&amp;"")-INT(VALUE(K94&amp;"")))*100,0)&gt;=1,ROUND((VALUE(K94&amp;"")-INT(VALUE(K94&amp;"")))*100,0)&lt;=12,INT(VALUE(K94&amp;""))&gt;=1900),DATE(INT(VALUE(K94&amp;"")),ROUND((VALUE(K94&amp;"")-INT(VALUE(K94&amp;"")))*100,0),1),K94&amp;""),K94&amp;""))</f>
        <v/>
      </c>
      <c r="T94" s="10">
        <f>COUNTIF(M94:R94,"⚠*")</f>
        <v/>
      </c>
    </row>
    <row r="95"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M95" s="10">
        <f>IFERROR(IF(TRIM(E95&amp;"")="","",IF(AND(ISNUMBER(FIND(" ",TRIM(E95&amp;""))),ISNUMBER(MATCH(LEFT(TRIM(E95&amp;""),FIND(" ",TRIM(E95&amp;""))-1),설정_코드표!$J$2:$J$101,0)),ISNUMBER(MATCH(TRIM(RIGHT(SUBSTITUTE(TRIM(E95&amp;"")," ",REPT(" ",60)),60)),설정_코드표!$F$2:$F$101,0))),INDEX(설정_코드표!$K$2:$K$101,MATCH(LEFT(TRIM(E95&amp;""),FIND(" ",TRIM(E95&amp;""))-1),설정_코드표!$J$2:$J$101,0))&amp;" "&amp;INDEX(설정_코드표!$G$2:$G$101,MATCH(TRIM(RIGHT(SUBSTITUTE(TRIM(E95&amp;"")," ",REPT(" ",60)),60)),설정_코드표!$F$2:$F$101,0)),"⚠"&amp;TRIM(E95&amp;""))),"⚠"&amp;TRIM(E95&amp;""))</f>
        <v/>
      </c>
      <c r="N95" s="10">
        <f>IFERROR(IF(TRIM(F95&amp;"")="","",IF(AND(ISNUMBER(FIND(" ",TRIM(F95&amp;""))),ISNUMBER(MATCH(LEFT(TRIM(F95&amp;""),FIND(" ",TRIM(F95&amp;""))-1),설정_코드표!$J$2:$J$101,0)),ISNUMBER(MATCH(TRIM(RIGHT(SUBSTITUTE(TRIM(F95&amp;"")," ",REPT(" ",60)),60)),설정_코드표!$F$2:$F$101,0))),INDEX(설정_코드표!$K$2:$K$101,MATCH(LEFT(TRIM(F95&amp;""),FIND(" ",TRIM(F95&amp;""))-1),설정_코드표!$J$2:$J$101,0))&amp;" "&amp;INDEX(설정_코드표!$G$2:$G$101,MATCH(TRIM(RIGHT(SUBSTITUTE(TRIM(F95&amp;"")," ",REPT(" ",60)),60)),설정_코드표!$F$2:$F$101,0)),"⚠"&amp;TRIM(F95&amp;""))),"⚠"&amp;TRIM(F95&amp;""))</f>
        <v/>
      </c>
      <c r="O95" s="10">
        <f>IFERROR(IF(TRIM(G95&amp;"")="","",IF(AND(ISNUMBER(FIND(" ",TRIM(G95&amp;""))),ISNUMBER(MATCH(LEFT(TRIM(G95&amp;""),FIND(" ",TRIM(G95&amp;""))-1),설정_코드표!$J$2:$J$101,0)),ISNUMBER(MATCH(TRIM(RIGHT(SUBSTITUTE(TRIM(G95&amp;"")," ",REPT(" ",60)),60)),설정_코드표!$F$2:$F$101,0))),INDEX(설정_코드표!$K$2:$K$101,MATCH(LEFT(TRIM(G95&amp;""),FIND(" ",TRIM(G95&amp;""))-1),설정_코드표!$J$2:$J$101,0))&amp;" "&amp;INDEX(설정_코드표!$G$2:$G$101,MATCH(TRIM(RIGHT(SUBSTITUTE(TRIM(G95&amp;"")," ",REPT(" ",60)),60)),설정_코드표!$F$2:$F$101,0)),"⚠"&amp;TRIM(G95&amp;""))),"⚠"&amp;TRIM(G95&amp;""))</f>
        <v/>
      </c>
      <c r="P95" s="10">
        <f>IFERROR(IF(TRIM(H95&amp;"")="","",IF(AND(ISNUMBER(FIND(" ",TRIM(H95&amp;""))),ISNUMBER(MATCH(LEFT(TRIM(H95&amp;""),FIND(" ",TRIM(H95&amp;""))-1),설정_코드표!$J$2:$J$101,0)),ISNUMBER(MATCH(TRIM(RIGHT(SUBSTITUTE(TRIM(H95&amp;"")," ",REPT(" ",60)),60)),설정_코드표!$F$2:$F$101,0))),INDEX(설정_코드표!$K$2:$K$101,MATCH(LEFT(TRIM(H95&amp;""),FIND(" ",TRIM(H95&amp;""))-1),설정_코드표!$J$2:$J$101,0))&amp;" "&amp;INDEX(설정_코드표!$G$2:$G$101,MATCH(TRIM(RIGHT(SUBSTITUTE(TRIM(H95&amp;"")," ",REPT(" ",60)),60)),설정_코드표!$F$2:$F$101,0)),"⚠"&amp;TRIM(H95&amp;""))),"⚠"&amp;TRIM(H95&amp;""))</f>
        <v/>
      </c>
      <c r="Q95" s="10">
        <f>IFERROR(IF(TRIM(I95&amp;"")="","",IF(AND(ISNUMBER(FIND(" ",TRIM(I95&amp;""))),ISNUMBER(MATCH(LEFT(TRIM(I95&amp;""),FIND(" ",TRIM(I95&amp;""))-1),설정_코드표!$J$2:$J$101,0)),ISNUMBER(MATCH(TRIM(RIGHT(SUBSTITUTE(TRIM(I95&amp;"")," ",REPT(" ",60)),60)),설정_코드표!$F$2:$F$101,0))),INDEX(설정_코드표!$K$2:$K$101,MATCH(LEFT(TRIM(I95&amp;""),FIND(" ",TRIM(I95&amp;""))-1),설정_코드표!$J$2:$J$101,0))&amp;" "&amp;INDEX(설정_코드표!$G$2:$G$101,MATCH(TRIM(RIGHT(SUBSTITUTE(TRIM(I95&amp;"")," ",REPT(" ",60)),60)),설정_코드표!$F$2:$F$101,0)),"⚠"&amp;TRIM(I95&amp;""))),"⚠"&amp;TRIM(I95&amp;""))</f>
        <v/>
      </c>
      <c r="R95" s="10">
        <f>IFERROR(IF(TRIM(J95&amp;"")="","",IF(AND(ISNUMBER(FIND(" ",TRIM(J95&amp;""))),ISNUMBER(MATCH(LEFT(TRIM(J95&amp;""),FIND(" ",TRIM(J95&amp;""))-1),설정_코드표!$J$2:$J$101,0)),ISNUMBER(MATCH(TRIM(RIGHT(SUBSTITUTE(TRIM(J95&amp;"")," ",REPT(" ",60)),60)),설정_코드표!$F$2:$F$101,0))),INDEX(설정_코드표!$K$2:$K$101,MATCH(LEFT(TRIM(J95&amp;""),FIND(" ",TRIM(J95&amp;""))-1),설정_코드표!$J$2:$J$101,0))&amp;" "&amp;INDEX(설정_코드표!$G$2:$G$101,MATCH(TRIM(RIGHT(SUBSTITUTE(TRIM(J95&amp;"")," ",REPT(" ",60)),60)),설정_코드표!$F$2:$F$101,0)),"⚠"&amp;TRIM(J95&amp;""))),"⚠"&amp;TRIM(J95&amp;""))</f>
        <v/>
      </c>
      <c r="S95" s="11">
        <f>IF(K95="","",IFERROR(IF(AND(ROUND((VALUE(K95&amp;"")-INT(VALUE(K95&amp;"")))*100,0)&gt;=1,ROUND((VALUE(K95&amp;"")-INT(VALUE(K95&amp;"")))*100,0)&lt;=12,INT(VALUE(K95&amp;""))&gt;=1900),DATE(INT(VALUE(K95&amp;"")),ROUND((VALUE(K95&amp;"")-INT(VALUE(K95&amp;"")))*100,0),1),K95&amp;""),K95&amp;""))</f>
        <v/>
      </c>
      <c r="T95" s="10">
        <f>COUNTIF(M95:R95,"⚠*")</f>
        <v/>
      </c>
    </row>
    <row r="96"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M96" s="10">
        <f>IFERROR(IF(TRIM(E96&amp;"")="","",IF(AND(ISNUMBER(FIND(" ",TRIM(E96&amp;""))),ISNUMBER(MATCH(LEFT(TRIM(E96&amp;""),FIND(" ",TRIM(E96&amp;""))-1),설정_코드표!$J$2:$J$101,0)),ISNUMBER(MATCH(TRIM(RIGHT(SUBSTITUTE(TRIM(E96&amp;"")," ",REPT(" ",60)),60)),설정_코드표!$F$2:$F$101,0))),INDEX(설정_코드표!$K$2:$K$101,MATCH(LEFT(TRIM(E96&amp;""),FIND(" ",TRIM(E96&amp;""))-1),설정_코드표!$J$2:$J$101,0))&amp;" "&amp;INDEX(설정_코드표!$G$2:$G$101,MATCH(TRIM(RIGHT(SUBSTITUTE(TRIM(E96&amp;"")," ",REPT(" ",60)),60)),설정_코드표!$F$2:$F$101,0)),"⚠"&amp;TRIM(E96&amp;""))),"⚠"&amp;TRIM(E96&amp;""))</f>
        <v/>
      </c>
      <c r="N96" s="10">
        <f>IFERROR(IF(TRIM(F96&amp;"")="","",IF(AND(ISNUMBER(FIND(" ",TRIM(F96&amp;""))),ISNUMBER(MATCH(LEFT(TRIM(F96&amp;""),FIND(" ",TRIM(F96&amp;""))-1),설정_코드표!$J$2:$J$101,0)),ISNUMBER(MATCH(TRIM(RIGHT(SUBSTITUTE(TRIM(F96&amp;"")," ",REPT(" ",60)),60)),설정_코드표!$F$2:$F$101,0))),INDEX(설정_코드표!$K$2:$K$101,MATCH(LEFT(TRIM(F96&amp;""),FIND(" ",TRIM(F96&amp;""))-1),설정_코드표!$J$2:$J$101,0))&amp;" "&amp;INDEX(설정_코드표!$G$2:$G$101,MATCH(TRIM(RIGHT(SUBSTITUTE(TRIM(F96&amp;"")," ",REPT(" ",60)),60)),설정_코드표!$F$2:$F$101,0)),"⚠"&amp;TRIM(F96&amp;""))),"⚠"&amp;TRIM(F96&amp;""))</f>
        <v/>
      </c>
      <c r="O96" s="10">
        <f>IFERROR(IF(TRIM(G96&amp;"")="","",IF(AND(ISNUMBER(FIND(" ",TRIM(G96&amp;""))),ISNUMBER(MATCH(LEFT(TRIM(G96&amp;""),FIND(" ",TRIM(G96&amp;""))-1),설정_코드표!$J$2:$J$101,0)),ISNUMBER(MATCH(TRIM(RIGHT(SUBSTITUTE(TRIM(G96&amp;"")," ",REPT(" ",60)),60)),설정_코드표!$F$2:$F$101,0))),INDEX(설정_코드표!$K$2:$K$101,MATCH(LEFT(TRIM(G96&amp;""),FIND(" ",TRIM(G96&amp;""))-1),설정_코드표!$J$2:$J$101,0))&amp;" "&amp;INDEX(설정_코드표!$G$2:$G$101,MATCH(TRIM(RIGHT(SUBSTITUTE(TRIM(G96&amp;"")," ",REPT(" ",60)),60)),설정_코드표!$F$2:$F$101,0)),"⚠"&amp;TRIM(G96&amp;""))),"⚠"&amp;TRIM(G96&amp;""))</f>
        <v/>
      </c>
      <c r="P96" s="10">
        <f>IFERROR(IF(TRIM(H96&amp;"")="","",IF(AND(ISNUMBER(FIND(" ",TRIM(H96&amp;""))),ISNUMBER(MATCH(LEFT(TRIM(H96&amp;""),FIND(" ",TRIM(H96&amp;""))-1),설정_코드표!$J$2:$J$101,0)),ISNUMBER(MATCH(TRIM(RIGHT(SUBSTITUTE(TRIM(H96&amp;"")," ",REPT(" ",60)),60)),설정_코드표!$F$2:$F$101,0))),INDEX(설정_코드표!$K$2:$K$101,MATCH(LEFT(TRIM(H96&amp;""),FIND(" ",TRIM(H96&amp;""))-1),설정_코드표!$J$2:$J$101,0))&amp;" "&amp;INDEX(설정_코드표!$G$2:$G$101,MATCH(TRIM(RIGHT(SUBSTITUTE(TRIM(H96&amp;"")," ",REPT(" ",60)),60)),설정_코드표!$F$2:$F$101,0)),"⚠"&amp;TRIM(H96&amp;""))),"⚠"&amp;TRIM(H96&amp;""))</f>
        <v/>
      </c>
      <c r="Q96" s="10">
        <f>IFERROR(IF(TRIM(I96&amp;"")="","",IF(AND(ISNUMBER(FIND(" ",TRIM(I96&amp;""))),ISNUMBER(MATCH(LEFT(TRIM(I96&amp;""),FIND(" ",TRIM(I96&amp;""))-1),설정_코드표!$J$2:$J$101,0)),ISNUMBER(MATCH(TRIM(RIGHT(SUBSTITUTE(TRIM(I96&amp;"")," ",REPT(" ",60)),60)),설정_코드표!$F$2:$F$101,0))),INDEX(설정_코드표!$K$2:$K$101,MATCH(LEFT(TRIM(I96&amp;""),FIND(" ",TRIM(I96&amp;""))-1),설정_코드표!$J$2:$J$101,0))&amp;" "&amp;INDEX(설정_코드표!$G$2:$G$101,MATCH(TRIM(RIGHT(SUBSTITUTE(TRIM(I96&amp;"")," ",REPT(" ",60)),60)),설정_코드표!$F$2:$F$101,0)),"⚠"&amp;TRIM(I96&amp;""))),"⚠"&amp;TRIM(I96&amp;""))</f>
        <v/>
      </c>
      <c r="R96" s="10">
        <f>IFERROR(IF(TRIM(J96&amp;"")="","",IF(AND(ISNUMBER(FIND(" ",TRIM(J96&amp;""))),ISNUMBER(MATCH(LEFT(TRIM(J96&amp;""),FIND(" ",TRIM(J96&amp;""))-1),설정_코드표!$J$2:$J$101,0)),ISNUMBER(MATCH(TRIM(RIGHT(SUBSTITUTE(TRIM(J96&amp;"")," ",REPT(" ",60)),60)),설정_코드표!$F$2:$F$101,0))),INDEX(설정_코드표!$K$2:$K$101,MATCH(LEFT(TRIM(J96&amp;""),FIND(" ",TRIM(J96&amp;""))-1),설정_코드표!$J$2:$J$101,0))&amp;" "&amp;INDEX(설정_코드표!$G$2:$G$101,MATCH(TRIM(RIGHT(SUBSTITUTE(TRIM(J96&amp;"")," ",REPT(" ",60)),60)),설정_코드표!$F$2:$F$101,0)),"⚠"&amp;TRIM(J96&amp;""))),"⚠"&amp;TRIM(J96&amp;""))</f>
        <v/>
      </c>
      <c r="S96" s="11">
        <f>IF(K96="","",IFERROR(IF(AND(ROUND((VALUE(K96&amp;"")-INT(VALUE(K96&amp;"")))*100,0)&gt;=1,ROUND((VALUE(K96&amp;"")-INT(VALUE(K96&amp;"")))*100,0)&lt;=12,INT(VALUE(K96&amp;""))&gt;=1900),DATE(INT(VALUE(K96&amp;"")),ROUND((VALUE(K96&amp;"")-INT(VALUE(K96&amp;"")))*100,0),1),K96&amp;""),K96&amp;""))</f>
        <v/>
      </c>
      <c r="T96" s="10">
        <f>COUNTIF(M96:R96,"⚠*")</f>
        <v/>
      </c>
    </row>
    <row r="97"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M97" s="10">
        <f>IFERROR(IF(TRIM(E97&amp;"")="","",IF(AND(ISNUMBER(FIND(" ",TRIM(E97&amp;""))),ISNUMBER(MATCH(LEFT(TRIM(E97&amp;""),FIND(" ",TRIM(E97&amp;""))-1),설정_코드표!$J$2:$J$101,0)),ISNUMBER(MATCH(TRIM(RIGHT(SUBSTITUTE(TRIM(E97&amp;"")," ",REPT(" ",60)),60)),설정_코드표!$F$2:$F$101,0))),INDEX(설정_코드표!$K$2:$K$101,MATCH(LEFT(TRIM(E97&amp;""),FIND(" ",TRIM(E97&amp;""))-1),설정_코드표!$J$2:$J$101,0))&amp;" "&amp;INDEX(설정_코드표!$G$2:$G$101,MATCH(TRIM(RIGHT(SUBSTITUTE(TRIM(E97&amp;"")," ",REPT(" ",60)),60)),설정_코드표!$F$2:$F$101,0)),"⚠"&amp;TRIM(E97&amp;""))),"⚠"&amp;TRIM(E97&amp;""))</f>
        <v/>
      </c>
      <c r="N97" s="10">
        <f>IFERROR(IF(TRIM(F97&amp;"")="","",IF(AND(ISNUMBER(FIND(" ",TRIM(F97&amp;""))),ISNUMBER(MATCH(LEFT(TRIM(F97&amp;""),FIND(" ",TRIM(F97&amp;""))-1),설정_코드표!$J$2:$J$101,0)),ISNUMBER(MATCH(TRIM(RIGHT(SUBSTITUTE(TRIM(F97&amp;"")," ",REPT(" ",60)),60)),설정_코드표!$F$2:$F$101,0))),INDEX(설정_코드표!$K$2:$K$101,MATCH(LEFT(TRIM(F97&amp;""),FIND(" ",TRIM(F97&amp;""))-1),설정_코드표!$J$2:$J$101,0))&amp;" "&amp;INDEX(설정_코드표!$G$2:$G$101,MATCH(TRIM(RIGHT(SUBSTITUTE(TRIM(F97&amp;"")," ",REPT(" ",60)),60)),설정_코드표!$F$2:$F$101,0)),"⚠"&amp;TRIM(F97&amp;""))),"⚠"&amp;TRIM(F97&amp;""))</f>
        <v/>
      </c>
      <c r="O97" s="10">
        <f>IFERROR(IF(TRIM(G97&amp;"")="","",IF(AND(ISNUMBER(FIND(" ",TRIM(G97&amp;""))),ISNUMBER(MATCH(LEFT(TRIM(G97&amp;""),FIND(" ",TRIM(G97&amp;""))-1),설정_코드표!$J$2:$J$101,0)),ISNUMBER(MATCH(TRIM(RIGHT(SUBSTITUTE(TRIM(G97&amp;"")," ",REPT(" ",60)),60)),설정_코드표!$F$2:$F$101,0))),INDEX(설정_코드표!$K$2:$K$101,MATCH(LEFT(TRIM(G97&amp;""),FIND(" ",TRIM(G97&amp;""))-1),설정_코드표!$J$2:$J$101,0))&amp;" "&amp;INDEX(설정_코드표!$G$2:$G$101,MATCH(TRIM(RIGHT(SUBSTITUTE(TRIM(G97&amp;"")," ",REPT(" ",60)),60)),설정_코드표!$F$2:$F$101,0)),"⚠"&amp;TRIM(G97&amp;""))),"⚠"&amp;TRIM(G97&amp;""))</f>
        <v/>
      </c>
      <c r="P97" s="10">
        <f>IFERROR(IF(TRIM(H97&amp;"")="","",IF(AND(ISNUMBER(FIND(" ",TRIM(H97&amp;""))),ISNUMBER(MATCH(LEFT(TRIM(H97&amp;""),FIND(" ",TRIM(H97&amp;""))-1),설정_코드표!$J$2:$J$101,0)),ISNUMBER(MATCH(TRIM(RIGHT(SUBSTITUTE(TRIM(H97&amp;"")," ",REPT(" ",60)),60)),설정_코드표!$F$2:$F$101,0))),INDEX(설정_코드표!$K$2:$K$101,MATCH(LEFT(TRIM(H97&amp;""),FIND(" ",TRIM(H97&amp;""))-1),설정_코드표!$J$2:$J$101,0))&amp;" "&amp;INDEX(설정_코드표!$G$2:$G$101,MATCH(TRIM(RIGHT(SUBSTITUTE(TRIM(H97&amp;"")," ",REPT(" ",60)),60)),설정_코드표!$F$2:$F$101,0)),"⚠"&amp;TRIM(H97&amp;""))),"⚠"&amp;TRIM(H97&amp;""))</f>
        <v/>
      </c>
      <c r="Q97" s="10">
        <f>IFERROR(IF(TRIM(I97&amp;"")="","",IF(AND(ISNUMBER(FIND(" ",TRIM(I97&amp;""))),ISNUMBER(MATCH(LEFT(TRIM(I97&amp;""),FIND(" ",TRIM(I97&amp;""))-1),설정_코드표!$J$2:$J$101,0)),ISNUMBER(MATCH(TRIM(RIGHT(SUBSTITUTE(TRIM(I97&amp;"")," ",REPT(" ",60)),60)),설정_코드표!$F$2:$F$101,0))),INDEX(설정_코드표!$K$2:$K$101,MATCH(LEFT(TRIM(I97&amp;""),FIND(" ",TRIM(I97&amp;""))-1),설정_코드표!$J$2:$J$101,0))&amp;" "&amp;INDEX(설정_코드표!$G$2:$G$101,MATCH(TRIM(RIGHT(SUBSTITUTE(TRIM(I97&amp;"")," ",REPT(" ",60)),60)),설정_코드표!$F$2:$F$101,0)),"⚠"&amp;TRIM(I97&amp;""))),"⚠"&amp;TRIM(I97&amp;""))</f>
        <v/>
      </c>
      <c r="R97" s="10">
        <f>IFERROR(IF(TRIM(J97&amp;"")="","",IF(AND(ISNUMBER(FIND(" ",TRIM(J97&amp;""))),ISNUMBER(MATCH(LEFT(TRIM(J97&amp;""),FIND(" ",TRIM(J97&amp;""))-1),설정_코드표!$J$2:$J$101,0)),ISNUMBER(MATCH(TRIM(RIGHT(SUBSTITUTE(TRIM(J97&amp;"")," ",REPT(" ",60)),60)),설정_코드표!$F$2:$F$101,0))),INDEX(설정_코드표!$K$2:$K$101,MATCH(LEFT(TRIM(J97&amp;""),FIND(" ",TRIM(J97&amp;""))-1),설정_코드표!$J$2:$J$101,0))&amp;" "&amp;INDEX(설정_코드표!$G$2:$G$101,MATCH(TRIM(RIGHT(SUBSTITUTE(TRIM(J97&amp;"")," ",REPT(" ",60)),60)),설정_코드표!$F$2:$F$101,0)),"⚠"&amp;TRIM(J97&amp;""))),"⚠"&amp;TRIM(J97&amp;""))</f>
        <v/>
      </c>
      <c r="S97" s="11">
        <f>IF(K97="","",IFERROR(IF(AND(ROUND((VALUE(K97&amp;"")-INT(VALUE(K97&amp;"")))*100,0)&gt;=1,ROUND((VALUE(K97&amp;"")-INT(VALUE(K97&amp;"")))*100,0)&lt;=12,INT(VALUE(K97&amp;""))&gt;=1900),DATE(INT(VALUE(K97&amp;"")),ROUND((VALUE(K97&amp;"")-INT(VALUE(K97&amp;"")))*100,0),1),K97&amp;""),K97&amp;""))</f>
        <v/>
      </c>
      <c r="T97" s="10">
        <f>COUNTIF(M97:R97,"⚠*")</f>
        <v/>
      </c>
    </row>
    <row r="98"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M98" s="10">
        <f>IFERROR(IF(TRIM(E98&amp;"")="","",IF(AND(ISNUMBER(FIND(" ",TRIM(E98&amp;""))),ISNUMBER(MATCH(LEFT(TRIM(E98&amp;""),FIND(" ",TRIM(E98&amp;""))-1),설정_코드표!$J$2:$J$101,0)),ISNUMBER(MATCH(TRIM(RIGHT(SUBSTITUTE(TRIM(E98&amp;"")," ",REPT(" ",60)),60)),설정_코드표!$F$2:$F$101,0))),INDEX(설정_코드표!$K$2:$K$101,MATCH(LEFT(TRIM(E98&amp;""),FIND(" ",TRIM(E98&amp;""))-1),설정_코드표!$J$2:$J$101,0))&amp;" "&amp;INDEX(설정_코드표!$G$2:$G$101,MATCH(TRIM(RIGHT(SUBSTITUTE(TRIM(E98&amp;"")," ",REPT(" ",60)),60)),설정_코드표!$F$2:$F$101,0)),"⚠"&amp;TRIM(E98&amp;""))),"⚠"&amp;TRIM(E98&amp;""))</f>
        <v/>
      </c>
      <c r="N98" s="10">
        <f>IFERROR(IF(TRIM(F98&amp;"")="","",IF(AND(ISNUMBER(FIND(" ",TRIM(F98&amp;""))),ISNUMBER(MATCH(LEFT(TRIM(F98&amp;""),FIND(" ",TRIM(F98&amp;""))-1),설정_코드표!$J$2:$J$101,0)),ISNUMBER(MATCH(TRIM(RIGHT(SUBSTITUTE(TRIM(F98&amp;"")," ",REPT(" ",60)),60)),설정_코드표!$F$2:$F$101,0))),INDEX(설정_코드표!$K$2:$K$101,MATCH(LEFT(TRIM(F98&amp;""),FIND(" ",TRIM(F98&amp;""))-1),설정_코드표!$J$2:$J$101,0))&amp;" "&amp;INDEX(설정_코드표!$G$2:$G$101,MATCH(TRIM(RIGHT(SUBSTITUTE(TRIM(F98&amp;"")," ",REPT(" ",60)),60)),설정_코드표!$F$2:$F$101,0)),"⚠"&amp;TRIM(F98&amp;""))),"⚠"&amp;TRIM(F98&amp;""))</f>
        <v/>
      </c>
      <c r="O98" s="10">
        <f>IFERROR(IF(TRIM(G98&amp;"")="","",IF(AND(ISNUMBER(FIND(" ",TRIM(G98&amp;""))),ISNUMBER(MATCH(LEFT(TRIM(G98&amp;""),FIND(" ",TRIM(G98&amp;""))-1),설정_코드표!$J$2:$J$101,0)),ISNUMBER(MATCH(TRIM(RIGHT(SUBSTITUTE(TRIM(G98&amp;"")," ",REPT(" ",60)),60)),설정_코드표!$F$2:$F$101,0))),INDEX(설정_코드표!$K$2:$K$101,MATCH(LEFT(TRIM(G98&amp;""),FIND(" ",TRIM(G98&amp;""))-1),설정_코드표!$J$2:$J$101,0))&amp;" "&amp;INDEX(설정_코드표!$G$2:$G$101,MATCH(TRIM(RIGHT(SUBSTITUTE(TRIM(G98&amp;"")," ",REPT(" ",60)),60)),설정_코드표!$F$2:$F$101,0)),"⚠"&amp;TRIM(G98&amp;""))),"⚠"&amp;TRIM(G98&amp;""))</f>
        <v/>
      </c>
      <c r="P98" s="10">
        <f>IFERROR(IF(TRIM(H98&amp;"")="","",IF(AND(ISNUMBER(FIND(" ",TRIM(H98&amp;""))),ISNUMBER(MATCH(LEFT(TRIM(H98&amp;""),FIND(" ",TRIM(H98&amp;""))-1),설정_코드표!$J$2:$J$101,0)),ISNUMBER(MATCH(TRIM(RIGHT(SUBSTITUTE(TRIM(H98&amp;"")," ",REPT(" ",60)),60)),설정_코드표!$F$2:$F$101,0))),INDEX(설정_코드표!$K$2:$K$101,MATCH(LEFT(TRIM(H98&amp;""),FIND(" ",TRIM(H98&amp;""))-1),설정_코드표!$J$2:$J$101,0))&amp;" "&amp;INDEX(설정_코드표!$G$2:$G$101,MATCH(TRIM(RIGHT(SUBSTITUTE(TRIM(H98&amp;"")," ",REPT(" ",60)),60)),설정_코드표!$F$2:$F$101,0)),"⚠"&amp;TRIM(H98&amp;""))),"⚠"&amp;TRIM(H98&amp;""))</f>
        <v/>
      </c>
      <c r="Q98" s="10">
        <f>IFERROR(IF(TRIM(I98&amp;"")="","",IF(AND(ISNUMBER(FIND(" ",TRIM(I98&amp;""))),ISNUMBER(MATCH(LEFT(TRIM(I98&amp;""),FIND(" ",TRIM(I98&amp;""))-1),설정_코드표!$J$2:$J$101,0)),ISNUMBER(MATCH(TRIM(RIGHT(SUBSTITUTE(TRIM(I98&amp;"")," ",REPT(" ",60)),60)),설정_코드표!$F$2:$F$101,0))),INDEX(설정_코드표!$K$2:$K$101,MATCH(LEFT(TRIM(I98&amp;""),FIND(" ",TRIM(I98&amp;""))-1),설정_코드표!$J$2:$J$101,0))&amp;" "&amp;INDEX(설정_코드표!$G$2:$G$101,MATCH(TRIM(RIGHT(SUBSTITUTE(TRIM(I98&amp;"")," ",REPT(" ",60)),60)),설정_코드표!$F$2:$F$101,0)),"⚠"&amp;TRIM(I98&amp;""))),"⚠"&amp;TRIM(I98&amp;""))</f>
        <v/>
      </c>
      <c r="R98" s="10">
        <f>IFERROR(IF(TRIM(J98&amp;"")="","",IF(AND(ISNUMBER(FIND(" ",TRIM(J98&amp;""))),ISNUMBER(MATCH(LEFT(TRIM(J98&amp;""),FIND(" ",TRIM(J98&amp;""))-1),설정_코드표!$J$2:$J$101,0)),ISNUMBER(MATCH(TRIM(RIGHT(SUBSTITUTE(TRIM(J98&amp;"")," ",REPT(" ",60)),60)),설정_코드표!$F$2:$F$101,0))),INDEX(설정_코드표!$K$2:$K$101,MATCH(LEFT(TRIM(J98&amp;""),FIND(" ",TRIM(J98&amp;""))-1),설정_코드표!$J$2:$J$101,0))&amp;" "&amp;INDEX(설정_코드표!$G$2:$G$101,MATCH(TRIM(RIGHT(SUBSTITUTE(TRIM(J98&amp;"")," ",REPT(" ",60)),60)),설정_코드표!$F$2:$F$101,0)),"⚠"&amp;TRIM(J98&amp;""))),"⚠"&amp;TRIM(J98&amp;""))</f>
        <v/>
      </c>
      <c r="S98" s="11">
        <f>IF(K98="","",IFERROR(IF(AND(ROUND((VALUE(K98&amp;"")-INT(VALUE(K98&amp;"")))*100,0)&gt;=1,ROUND((VALUE(K98&amp;"")-INT(VALUE(K98&amp;"")))*100,0)&lt;=12,INT(VALUE(K98&amp;""))&gt;=1900),DATE(INT(VALUE(K98&amp;"")),ROUND((VALUE(K98&amp;"")-INT(VALUE(K98&amp;"")))*100,0),1),K98&amp;""),K98&amp;""))</f>
        <v/>
      </c>
      <c r="T98" s="10">
        <f>COUNTIF(M98:R98,"⚠*")</f>
        <v/>
      </c>
    </row>
    <row r="99"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M99" s="10">
        <f>IFERROR(IF(TRIM(E99&amp;"")="","",IF(AND(ISNUMBER(FIND(" ",TRIM(E99&amp;""))),ISNUMBER(MATCH(LEFT(TRIM(E99&amp;""),FIND(" ",TRIM(E99&amp;""))-1),설정_코드표!$J$2:$J$101,0)),ISNUMBER(MATCH(TRIM(RIGHT(SUBSTITUTE(TRIM(E99&amp;"")," ",REPT(" ",60)),60)),설정_코드표!$F$2:$F$101,0))),INDEX(설정_코드표!$K$2:$K$101,MATCH(LEFT(TRIM(E99&amp;""),FIND(" ",TRIM(E99&amp;""))-1),설정_코드표!$J$2:$J$101,0))&amp;" "&amp;INDEX(설정_코드표!$G$2:$G$101,MATCH(TRIM(RIGHT(SUBSTITUTE(TRIM(E99&amp;"")," ",REPT(" ",60)),60)),설정_코드표!$F$2:$F$101,0)),"⚠"&amp;TRIM(E99&amp;""))),"⚠"&amp;TRIM(E99&amp;""))</f>
        <v/>
      </c>
      <c r="N99" s="10">
        <f>IFERROR(IF(TRIM(F99&amp;"")="","",IF(AND(ISNUMBER(FIND(" ",TRIM(F99&amp;""))),ISNUMBER(MATCH(LEFT(TRIM(F99&amp;""),FIND(" ",TRIM(F99&amp;""))-1),설정_코드표!$J$2:$J$101,0)),ISNUMBER(MATCH(TRIM(RIGHT(SUBSTITUTE(TRIM(F99&amp;"")," ",REPT(" ",60)),60)),설정_코드표!$F$2:$F$101,0))),INDEX(설정_코드표!$K$2:$K$101,MATCH(LEFT(TRIM(F99&amp;""),FIND(" ",TRIM(F99&amp;""))-1),설정_코드표!$J$2:$J$101,0))&amp;" "&amp;INDEX(설정_코드표!$G$2:$G$101,MATCH(TRIM(RIGHT(SUBSTITUTE(TRIM(F99&amp;"")," ",REPT(" ",60)),60)),설정_코드표!$F$2:$F$101,0)),"⚠"&amp;TRIM(F99&amp;""))),"⚠"&amp;TRIM(F99&amp;""))</f>
        <v/>
      </c>
      <c r="O99" s="10">
        <f>IFERROR(IF(TRIM(G99&amp;"")="","",IF(AND(ISNUMBER(FIND(" ",TRIM(G99&amp;""))),ISNUMBER(MATCH(LEFT(TRIM(G99&amp;""),FIND(" ",TRIM(G99&amp;""))-1),설정_코드표!$J$2:$J$101,0)),ISNUMBER(MATCH(TRIM(RIGHT(SUBSTITUTE(TRIM(G99&amp;"")," ",REPT(" ",60)),60)),설정_코드표!$F$2:$F$101,0))),INDEX(설정_코드표!$K$2:$K$101,MATCH(LEFT(TRIM(G99&amp;""),FIND(" ",TRIM(G99&amp;""))-1),설정_코드표!$J$2:$J$101,0))&amp;" "&amp;INDEX(설정_코드표!$G$2:$G$101,MATCH(TRIM(RIGHT(SUBSTITUTE(TRIM(G99&amp;"")," ",REPT(" ",60)),60)),설정_코드표!$F$2:$F$101,0)),"⚠"&amp;TRIM(G99&amp;""))),"⚠"&amp;TRIM(G99&amp;""))</f>
        <v/>
      </c>
      <c r="P99" s="10">
        <f>IFERROR(IF(TRIM(H99&amp;"")="","",IF(AND(ISNUMBER(FIND(" ",TRIM(H99&amp;""))),ISNUMBER(MATCH(LEFT(TRIM(H99&amp;""),FIND(" ",TRIM(H99&amp;""))-1),설정_코드표!$J$2:$J$101,0)),ISNUMBER(MATCH(TRIM(RIGHT(SUBSTITUTE(TRIM(H99&amp;"")," ",REPT(" ",60)),60)),설정_코드표!$F$2:$F$101,0))),INDEX(설정_코드표!$K$2:$K$101,MATCH(LEFT(TRIM(H99&amp;""),FIND(" ",TRIM(H99&amp;""))-1),설정_코드표!$J$2:$J$101,0))&amp;" "&amp;INDEX(설정_코드표!$G$2:$G$101,MATCH(TRIM(RIGHT(SUBSTITUTE(TRIM(H99&amp;"")," ",REPT(" ",60)),60)),설정_코드표!$F$2:$F$101,0)),"⚠"&amp;TRIM(H99&amp;""))),"⚠"&amp;TRIM(H99&amp;""))</f>
        <v/>
      </c>
      <c r="Q99" s="10">
        <f>IFERROR(IF(TRIM(I99&amp;"")="","",IF(AND(ISNUMBER(FIND(" ",TRIM(I99&amp;""))),ISNUMBER(MATCH(LEFT(TRIM(I99&amp;""),FIND(" ",TRIM(I99&amp;""))-1),설정_코드표!$J$2:$J$101,0)),ISNUMBER(MATCH(TRIM(RIGHT(SUBSTITUTE(TRIM(I99&amp;"")," ",REPT(" ",60)),60)),설정_코드표!$F$2:$F$101,0))),INDEX(설정_코드표!$K$2:$K$101,MATCH(LEFT(TRIM(I99&amp;""),FIND(" ",TRIM(I99&amp;""))-1),설정_코드표!$J$2:$J$101,0))&amp;" "&amp;INDEX(설정_코드표!$G$2:$G$101,MATCH(TRIM(RIGHT(SUBSTITUTE(TRIM(I99&amp;"")," ",REPT(" ",60)),60)),설정_코드표!$F$2:$F$101,0)),"⚠"&amp;TRIM(I99&amp;""))),"⚠"&amp;TRIM(I99&amp;""))</f>
        <v/>
      </c>
      <c r="R99" s="10">
        <f>IFERROR(IF(TRIM(J99&amp;"")="","",IF(AND(ISNUMBER(FIND(" ",TRIM(J99&amp;""))),ISNUMBER(MATCH(LEFT(TRIM(J99&amp;""),FIND(" ",TRIM(J99&amp;""))-1),설정_코드표!$J$2:$J$101,0)),ISNUMBER(MATCH(TRIM(RIGHT(SUBSTITUTE(TRIM(J99&amp;"")," ",REPT(" ",60)),60)),설정_코드표!$F$2:$F$101,0))),INDEX(설정_코드표!$K$2:$K$101,MATCH(LEFT(TRIM(J99&amp;""),FIND(" ",TRIM(J99&amp;""))-1),설정_코드표!$J$2:$J$101,0))&amp;" "&amp;INDEX(설정_코드표!$G$2:$G$101,MATCH(TRIM(RIGHT(SUBSTITUTE(TRIM(J99&amp;"")," ",REPT(" ",60)),60)),설정_코드표!$F$2:$F$101,0)),"⚠"&amp;TRIM(J99&amp;""))),"⚠"&amp;TRIM(J99&amp;""))</f>
        <v/>
      </c>
      <c r="S99" s="11">
        <f>IF(K99="","",IFERROR(IF(AND(ROUND((VALUE(K99&amp;"")-INT(VALUE(K99&amp;"")))*100,0)&gt;=1,ROUND((VALUE(K99&amp;"")-INT(VALUE(K99&amp;"")))*100,0)&lt;=12,INT(VALUE(K99&amp;""))&gt;=1900),DATE(INT(VALUE(K99&amp;"")),ROUND((VALUE(K99&amp;"")-INT(VALUE(K99&amp;"")))*100,0),1),K99&amp;""),K99&amp;""))</f>
        <v/>
      </c>
      <c r="T99" s="10">
        <f>COUNTIF(M99:R99,"⚠*")</f>
        <v/>
      </c>
    </row>
    <row r="100"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M100" s="10">
        <f>IFERROR(IF(TRIM(E100&amp;"")="","",IF(AND(ISNUMBER(FIND(" ",TRIM(E100&amp;""))),ISNUMBER(MATCH(LEFT(TRIM(E100&amp;""),FIND(" ",TRIM(E100&amp;""))-1),설정_코드표!$J$2:$J$101,0)),ISNUMBER(MATCH(TRIM(RIGHT(SUBSTITUTE(TRIM(E100&amp;"")," ",REPT(" ",60)),60)),설정_코드표!$F$2:$F$101,0))),INDEX(설정_코드표!$K$2:$K$101,MATCH(LEFT(TRIM(E100&amp;""),FIND(" ",TRIM(E100&amp;""))-1),설정_코드표!$J$2:$J$101,0))&amp;" "&amp;INDEX(설정_코드표!$G$2:$G$101,MATCH(TRIM(RIGHT(SUBSTITUTE(TRIM(E100&amp;"")," ",REPT(" ",60)),60)),설정_코드표!$F$2:$F$101,0)),"⚠"&amp;TRIM(E100&amp;""))),"⚠"&amp;TRIM(E100&amp;""))</f>
        <v/>
      </c>
      <c r="N100" s="10">
        <f>IFERROR(IF(TRIM(F100&amp;"")="","",IF(AND(ISNUMBER(FIND(" ",TRIM(F100&amp;""))),ISNUMBER(MATCH(LEFT(TRIM(F100&amp;""),FIND(" ",TRIM(F100&amp;""))-1),설정_코드표!$J$2:$J$101,0)),ISNUMBER(MATCH(TRIM(RIGHT(SUBSTITUTE(TRIM(F100&amp;"")," ",REPT(" ",60)),60)),설정_코드표!$F$2:$F$101,0))),INDEX(설정_코드표!$K$2:$K$101,MATCH(LEFT(TRIM(F100&amp;""),FIND(" ",TRIM(F100&amp;""))-1),설정_코드표!$J$2:$J$101,0))&amp;" "&amp;INDEX(설정_코드표!$G$2:$G$101,MATCH(TRIM(RIGHT(SUBSTITUTE(TRIM(F100&amp;"")," ",REPT(" ",60)),60)),설정_코드표!$F$2:$F$101,0)),"⚠"&amp;TRIM(F100&amp;""))),"⚠"&amp;TRIM(F100&amp;""))</f>
        <v/>
      </c>
      <c r="O100" s="10">
        <f>IFERROR(IF(TRIM(G100&amp;"")="","",IF(AND(ISNUMBER(FIND(" ",TRIM(G100&amp;""))),ISNUMBER(MATCH(LEFT(TRIM(G100&amp;""),FIND(" ",TRIM(G100&amp;""))-1),설정_코드표!$J$2:$J$101,0)),ISNUMBER(MATCH(TRIM(RIGHT(SUBSTITUTE(TRIM(G100&amp;"")," ",REPT(" ",60)),60)),설정_코드표!$F$2:$F$101,0))),INDEX(설정_코드표!$K$2:$K$101,MATCH(LEFT(TRIM(G100&amp;""),FIND(" ",TRIM(G100&amp;""))-1),설정_코드표!$J$2:$J$101,0))&amp;" "&amp;INDEX(설정_코드표!$G$2:$G$101,MATCH(TRIM(RIGHT(SUBSTITUTE(TRIM(G100&amp;"")," ",REPT(" ",60)),60)),설정_코드표!$F$2:$F$101,0)),"⚠"&amp;TRIM(G100&amp;""))),"⚠"&amp;TRIM(G100&amp;""))</f>
        <v/>
      </c>
      <c r="P100" s="10">
        <f>IFERROR(IF(TRIM(H100&amp;"")="","",IF(AND(ISNUMBER(FIND(" ",TRIM(H100&amp;""))),ISNUMBER(MATCH(LEFT(TRIM(H100&amp;""),FIND(" ",TRIM(H100&amp;""))-1),설정_코드표!$J$2:$J$101,0)),ISNUMBER(MATCH(TRIM(RIGHT(SUBSTITUTE(TRIM(H100&amp;"")," ",REPT(" ",60)),60)),설정_코드표!$F$2:$F$101,0))),INDEX(설정_코드표!$K$2:$K$101,MATCH(LEFT(TRIM(H100&amp;""),FIND(" ",TRIM(H100&amp;""))-1),설정_코드표!$J$2:$J$101,0))&amp;" "&amp;INDEX(설정_코드표!$G$2:$G$101,MATCH(TRIM(RIGHT(SUBSTITUTE(TRIM(H100&amp;"")," ",REPT(" ",60)),60)),설정_코드표!$F$2:$F$101,0)),"⚠"&amp;TRIM(H100&amp;""))),"⚠"&amp;TRIM(H100&amp;""))</f>
        <v/>
      </c>
      <c r="Q100" s="10">
        <f>IFERROR(IF(TRIM(I100&amp;"")="","",IF(AND(ISNUMBER(FIND(" ",TRIM(I100&amp;""))),ISNUMBER(MATCH(LEFT(TRIM(I100&amp;""),FIND(" ",TRIM(I100&amp;""))-1),설정_코드표!$J$2:$J$101,0)),ISNUMBER(MATCH(TRIM(RIGHT(SUBSTITUTE(TRIM(I100&amp;"")," ",REPT(" ",60)),60)),설정_코드표!$F$2:$F$101,0))),INDEX(설정_코드표!$K$2:$K$101,MATCH(LEFT(TRIM(I100&amp;""),FIND(" ",TRIM(I100&amp;""))-1),설정_코드표!$J$2:$J$101,0))&amp;" "&amp;INDEX(설정_코드표!$G$2:$G$101,MATCH(TRIM(RIGHT(SUBSTITUTE(TRIM(I100&amp;"")," ",REPT(" ",60)),60)),설정_코드표!$F$2:$F$101,0)),"⚠"&amp;TRIM(I100&amp;""))),"⚠"&amp;TRIM(I100&amp;""))</f>
        <v/>
      </c>
      <c r="R100" s="10">
        <f>IFERROR(IF(TRIM(J100&amp;"")="","",IF(AND(ISNUMBER(FIND(" ",TRIM(J100&amp;""))),ISNUMBER(MATCH(LEFT(TRIM(J100&amp;""),FIND(" ",TRIM(J100&amp;""))-1),설정_코드표!$J$2:$J$101,0)),ISNUMBER(MATCH(TRIM(RIGHT(SUBSTITUTE(TRIM(J100&amp;"")," ",REPT(" ",60)),60)),설정_코드표!$F$2:$F$101,0))),INDEX(설정_코드표!$K$2:$K$101,MATCH(LEFT(TRIM(J100&amp;""),FIND(" ",TRIM(J100&amp;""))-1),설정_코드표!$J$2:$J$101,0))&amp;" "&amp;INDEX(설정_코드표!$G$2:$G$101,MATCH(TRIM(RIGHT(SUBSTITUTE(TRIM(J100&amp;"")," ",REPT(" ",60)),60)),설정_코드표!$F$2:$F$101,0)),"⚠"&amp;TRIM(J100&amp;""))),"⚠"&amp;TRIM(J100&amp;""))</f>
        <v/>
      </c>
      <c r="S100" s="11">
        <f>IF(K100="","",IFERROR(IF(AND(ROUND((VALUE(K100&amp;"")-INT(VALUE(K100&amp;"")))*100,0)&gt;=1,ROUND((VALUE(K100&amp;"")-INT(VALUE(K100&amp;"")))*100,0)&lt;=12,INT(VALUE(K100&amp;""))&gt;=1900),DATE(INT(VALUE(K100&amp;"")),ROUND((VALUE(K100&amp;"")-INT(VALUE(K100&amp;"")))*100,0),1),K100&amp;""),K100&amp;""))</f>
        <v/>
      </c>
      <c r="T100" s="10">
        <f>COUNTIF(M100:R100,"⚠*")</f>
        <v/>
      </c>
    </row>
    <row r="101"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M101" s="10">
        <f>IFERROR(IF(TRIM(E101&amp;"")="","",IF(AND(ISNUMBER(FIND(" ",TRIM(E101&amp;""))),ISNUMBER(MATCH(LEFT(TRIM(E101&amp;""),FIND(" ",TRIM(E101&amp;""))-1),설정_코드표!$J$2:$J$101,0)),ISNUMBER(MATCH(TRIM(RIGHT(SUBSTITUTE(TRIM(E101&amp;"")," ",REPT(" ",60)),60)),설정_코드표!$F$2:$F$101,0))),INDEX(설정_코드표!$K$2:$K$101,MATCH(LEFT(TRIM(E101&amp;""),FIND(" ",TRIM(E101&amp;""))-1),설정_코드표!$J$2:$J$101,0))&amp;" "&amp;INDEX(설정_코드표!$G$2:$G$101,MATCH(TRIM(RIGHT(SUBSTITUTE(TRIM(E101&amp;"")," ",REPT(" ",60)),60)),설정_코드표!$F$2:$F$101,0)),"⚠"&amp;TRIM(E101&amp;""))),"⚠"&amp;TRIM(E101&amp;""))</f>
        <v/>
      </c>
      <c r="N101" s="10">
        <f>IFERROR(IF(TRIM(F101&amp;"")="","",IF(AND(ISNUMBER(FIND(" ",TRIM(F101&amp;""))),ISNUMBER(MATCH(LEFT(TRIM(F101&amp;""),FIND(" ",TRIM(F101&amp;""))-1),설정_코드표!$J$2:$J$101,0)),ISNUMBER(MATCH(TRIM(RIGHT(SUBSTITUTE(TRIM(F101&amp;"")," ",REPT(" ",60)),60)),설정_코드표!$F$2:$F$101,0))),INDEX(설정_코드표!$K$2:$K$101,MATCH(LEFT(TRIM(F101&amp;""),FIND(" ",TRIM(F101&amp;""))-1),설정_코드표!$J$2:$J$101,0))&amp;" "&amp;INDEX(설정_코드표!$G$2:$G$101,MATCH(TRIM(RIGHT(SUBSTITUTE(TRIM(F101&amp;"")," ",REPT(" ",60)),60)),설정_코드표!$F$2:$F$101,0)),"⚠"&amp;TRIM(F101&amp;""))),"⚠"&amp;TRIM(F101&amp;""))</f>
        <v/>
      </c>
      <c r="O101" s="10">
        <f>IFERROR(IF(TRIM(G101&amp;"")="","",IF(AND(ISNUMBER(FIND(" ",TRIM(G101&amp;""))),ISNUMBER(MATCH(LEFT(TRIM(G101&amp;""),FIND(" ",TRIM(G101&amp;""))-1),설정_코드표!$J$2:$J$101,0)),ISNUMBER(MATCH(TRIM(RIGHT(SUBSTITUTE(TRIM(G101&amp;"")," ",REPT(" ",60)),60)),설정_코드표!$F$2:$F$101,0))),INDEX(설정_코드표!$K$2:$K$101,MATCH(LEFT(TRIM(G101&amp;""),FIND(" ",TRIM(G101&amp;""))-1),설정_코드표!$J$2:$J$101,0))&amp;" "&amp;INDEX(설정_코드표!$G$2:$G$101,MATCH(TRIM(RIGHT(SUBSTITUTE(TRIM(G101&amp;"")," ",REPT(" ",60)),60)),설정_코드표!$F$2:$F$101,0)),"⚠"&amp;TRIM(G101&amp;""))),"⚠"&amp;TRIM(G101&amp;""))</f>
        <v/>
      </c>
      <c r="P101" s="10">
        <f>IFERROR(IF(TRIM(H101&amp;"")="","",IF(AND(ISNUMBER(FIND(" ",TRIM(H101&amp;""))),ISNUMBER(MATCH(LEFT(TRIM(H101&amp;""),FIND(" ",TRIM(H101&amp;""))-1),설정_코드표!$J$2:$J$101,0)),ISNUMBER(MATCH(TRIM(RIGHT(SUBSTITUTE(TRIM(H101&amp;"")," ",REPT(" ",60)),60)),설정_코드표!$F$2:$F$101,0))),INDEX(설정_코드표!$K$2:$K$101,MATCH(LEFT(TRIM(H101&amp;""),FIND(" ",TRIM(H101&amp;""))-1),설정_코드표!$J$2:$J$101,0))&amp;" "&amp;INDEX(설정_코드표!$G$2:$G$101,MATCH(TRIM(RIGHT(SUBSTITUTE(TRIM(H101&amp;"")," ",REPT(" ",60)),60)),설정_코드표!$F$2:$F$101,0)),"⚠"&amp;TRIM(H101&amp;""))),"⚠"&amp;TRIM(H101&amp;""))</f>
        <v/>
      </c>
      <c r="Q101" s="10">
        <f>IFERROR(IF(TRIM(I101&amp;"")="","",IF(AND(ISNUMBER(FIND(" ",TRIM(I101&amp;""))),ISNUMBER(MATCH(LEFT(TRIM(I101&amp;""),FIND(" ",TRIM(I101&amp;""))-1),설정_코드표!$J$2:$J$101,0)),ISNUMBER(MATCH(TRIM(RIGHT(SUBSTITUTE(TRIM(I101&amp;"")," ",REPT(" ",60)),60)),설정_코드표!$F$2:$F$101,0))),INDEX(설정_코드표!$K$2:$K$101,MATCH(LEFT(TRIM(I101&amp;""),FIND(" ",TRIM(I101&amp;""))-1),설정_코드표!$J$2:$J$101,0))&amp;" "&amp;INDEX(설정_코드표!$G$2:$G$101,MATCH(TRIM(RIGHT(SUBSTITUTE(TRIM(I101&amp;"")," ",REPT(" ",60)),60)),설정_코드표!$F$2:$F$101,0)),"⚠"&amp;TRIM(I101&amp;""))),"⚠"&amp;TRIM(I101&amp;""))</f>
        <v/>
      </c>
      <c r="R101" s="10">
        <f>IFERROR(IF(TRIM(J101&amp;"")="","",IF(AND(ISNUMBER(FIND(" ",TRIM(J101&amp;""))),ISNUMBER(MATCH(LEFT(TRIM(J101&amp;""),FIND(" ",TRIM(J101&amp;""))-1),설정_코드표!$J$2:$J$101,0)),ISNUMBER(MATCH(TRIM(RIGHT(SUBSTITUTE(TRIM(J101&amp;"")," ",REPT(" ",60)),60)),설정_코드표!$F$2:$F$101,0))),INDEX(설정_코드표!$K$2:$K$101,MATCH(LEFT(TRIM(J101&amp;""),FIND(" ",TRIM(J101&amp;""))-1),설정_코드표!$J$2:$J$101,0))&amp;" "&amp;INDEX(설정_코드표!$G$2:$G$101,MATCH(TRIM(RIGHT(SUBSTITUTE(TRIM(J101&amp;"")," ",REPT(" ",60)),60)),설정_코드표!$F$2:$F$101,0)),"⚠"&amp;TRIM(J101&amp;""))),"⚠"&amp;TRIM(J101&amp;""))</f>
        <v/>
      </c>
      <c r="S101" s="11">
        <f>IF(K101="","",IFERROR(IF(AND(ROUND((VALUE(K101&amp;"")-INT(VALUE(K101&amp;"")))*100,0)&gt;=1,ROUND((VALUE(K101&amp;"")-INT(VALUE(K101&amp;"")))*100,0)&lt;=12,INT(VALUE(K101&amp;""))&gt;=1900),DATE(INT(VALUE(K101&amp;"")),ROUND((VALUE(K101&amp;"")-INT(VALUE(K101&amp;"")))*100,0),1),K101&amp;""),K101&amp;""))</f>
        <v/>
      </c>
      <c r="T101" s="10">
        <f>COUNTIF(M101:R101,"⚠*")</f>
        <v/>
      </c>
    </row>
    <row r="102"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M102" s="10">
        <f>IFERROR(IF(TRIM(E102&amp;"")="","",IF(AND(ISNUMBER(FIND(" ",TRIM(E102&amp;""))),ISNUMBER(MATCH(LEFT(TRIM(E102&amp;""),FIND(" ",TRIM(E102&amp;""))-1),설정_코드표!$J$2:$J$101,0)),ISNUMBER(MATCH(TRIM(RIGHT(SUBSTITUTE(TRIM(E102&amp;"")," ",REPT(" ",60)),60)),설정_코드표!$F$2:$F$101,0))),INDEX(설정_코드표!$K$2:$K$101,MATCH(LEFT(TRIM(E102&amp;""),FIND(" ",TRIM(E102&amp;""))-1),설정_코드표!$J$2:$J$101,0))&amp;" "&amp;INDEX(설정_코드표!$G$2:$G$101,MATCH(TRIM(RIGHT(SUBSTITUTE(TRIM(E102&amp;"")," ",REPT(" ",60)),60)),설정_코드표!$F$2:$F$101,0)),"⚠"&amp;TRIM(E102&amp;""))),"⚠"&amp;TRIM(E102&amp;""))</f>
        <v/>
      </c>
      <c r="N102" s="10">
        <f>IFERROR(IF(TRIM(F102&amp;"")="","",IF(AND(ISNUMBER(FIND(" ",TRIM(F102&amp;""))),ISNUMBER(MATCH(LEFT(TRIM(F102&amp;""),FIND(" ",TRIM(F102&amp;""))-1),설정_코드표!$J$2:$J$101,0)),ISNUMBER(MATCH(TRIM(RIGHT(SUBSTITUTE(TRIM(F102&amp;"")," ",REPT(" ",60)),60)),설정_코드표!$F$2:$F$101,0))),INDEX(설정_코드표!$K$2:$K$101,MATCH(LEFT(TRIM(F102&amp;""),FIND(" ",TRIM(F102&amp;""))-1),설정_코드표!$J$2:$J$101,0))&amp;" "&amp;INDEX(설정_코드표!$G$2:$G$101,MATCH(TRIM(RIGHT(SUBSTITUTE(TRIM(F102&amp;"")," ",REPT(" ",60)),60)),설정_코드표!$F$2:$F$101,0)),"⚠"&amp;TRIM(F102&amp;""))),"⚠"&amp;TRIM(F102&amp;""))</f>
        <v/>
      </c>
      <c r="O102" s="10">
        <f>IFERROR(IF(TRIM(G102&amp;"")="","",IF(AND(ISNUMBER(FIND(" ",TRIM(G102&amp;""))),ISNUMBER(MATCH(LEFT(TRIM(G102&amp;""),FIND(" ",TRIM(G102&amp;""))-1),설정_코드표!$J$2:$J$101,0)),ISNUMBER(MATCH(TRIM(RIGHT(SUBSTITUTE(TRIM(G102&amp;"")," ",REPT(" ",60)),60)),설정_코드표!$F$2:$F$101,0))),INDEX(설정_코드표!$K$2:$K$101,MATCH(LEFT(TRIM(G102&amp;""),FIND(" ",TRIM(G102&amp;""))-1),설정_코드표!$J$2:$J$101,0))&amp;" "&amp;INDEX(설정_코드표!$G$2:$G$101,MATCH(TRIM(RIGHT(SUBSTITUTE(TRIM(G102&amp;"")," ",REPT(" ",60)),60)),설정_코드표!$F$2:$F$101,0)),"⚠"&amp;TRIM(G102&amp;""))),"⚠"&amp;TRIM(G102&amp;""))</f>
        <v/>
      </c>
      <c r="P102" s="10">
        <f>IFERROR(IF(TRIM(H102&amp;"")="","",IF(AND(ISNUMBER(FIND(" ",TRIM(H102&amp;""))),ISNUMBER(MATCH(LEFT(TRIM(H102&amp;""),FIND(" ",TRIM(H102&amp;""))-1),설정_코드표!$J$2:$J$101,0)),ISNUMBER(MATCH(TRIM(RIGHT(SUBSTITUTE(TRIM(H102&amp;"")," ",REPT(" ",60)),60)),설정_코드표!$F$2:$F$101,0))),INDEX(설정_코드표!$K$2:$K$101,MATCH(LEFT(TRIM(H102&amp;""),FIND(" ",TRIM(H102&amp;""))-1),설정_코드표!$J$2:$J$101,0))&amp;" "&amp;INDEX(설정_코드표!$G$2:$G$101,MATCH(TRIM(RIGHT(SUBSTITUTE(TRIM(H102&amp;"")," ",REPT(" ",60)),60)),설정_코드표!$F$2:$F$101,0)),"⚠"&amp;TRIM(H102&amp;""))),"⚠"&amp;TRIM(H102&amp;""))</f>
        <v/>
      </c>
      <c r="Q102" s="10">
        <f>IFERROR(IF(TRIM(I102&amp;"")="","",IF(AND(ISNUMBER(FIND(" ",TRIM(I102&amp;""))),ISNUMBER(MATCH(LEFT(TRIM(I102&amp;""),FIND(" ",TRIM(I102&amp;""))-1),설정_코드표!$J$2:$J$101,0)),ISNUMBER(MATCH(TRIM(RIGHT(SUBSTITUTE(TRIM(I102&amp;"")," ",REPT(" ",60)),60)),설정_코드표!$F$2:$F$101,0))),INDEX(설정_코드표!$K$2:$K$101,MATCH(LEFT(TRIM(I102&amp;""),FIND(" ",TRIM(I102&amp;""))-1),설정_코드표!$J$2:$J$101,0))&amp;" "&amp;INDEX(설정_코드표!$G$2:$G$101,MATCH(TRIM(RIGHT(SUBSTITUTE(TRIM(I102&amp;"")," ",REPT(" ",60)),60)),설정_코드표!$F$2:$F$101,0)),"⚠"&amp;TRIM(I102&amp;""))),"⚠"&amp;TRIM(I102&amp;""))</f>
        <v/>
      </c>
      <c r="R102" s="10">
        <f>IFERROR(IF(TRIM(J102&amp;"")="","",IF(AND(ISNUMBER(FIND(" ",TRIM(J102&amp;""))),ISNUMBER(MATCH(LEFT(TRIM(J102&amp;""),FIND(" ",TRIM(J102&amp;""))-1),설정_코드표!$J$2:$J$101,0)),ISNUMBER(MATCH(TRIM(RIGHT(SUBSTITUTE(TRIM(J102&amp;"")," ",REPT(" ",60)),60)),설정_코드표!$F$2:$F$101,0))),INDEX(설정_코드표!$K$2:$K$101,MATCH(LEFT(TRIM(J102&amp;""),FIND(" ",TRIM(J102&amp;""))-1),설정_코드표!$J$2:$J$101,0))&amp;" "&amp;INDEX(설정_코드표!$G$2:$G$101,MATCH(TRIM(RIGHT(SUBSTITUTE(TRIM(J102&amp;"")," ",REPT(" ",60)),60)),설정_코드표!$F$2:$F$101,0)),"⚠"&amp;TRIM(J102&amp;""))),"⚠"&amp;TRIM(J102&amp;""))</f>
        <v/>
      </c>
      <c r="S102" s="11">
        <f>IF(K102="","",IFERROR(IF(AND(ROUND((VALUE(K102&amp;"")-INT(VALUE(K102&amp;"")))*100,0)&gt;=1,ROUND((VALUE(K102&amp;"")-INT(VALUE(K102&amp;"")))*100,0)&lt;=12,INT(VALUE(K102&amp;""))&gt;=1900),DATE(INT(VALUE(K102&amp;"")),ROUND((VALUE(K102&amp;"")-INT(VALUE(K102&amp;"")))*100,0),1),K102&amp;""),K102&amp;""))</f>
        <v/>
      </c>
      <c r="T102" s="10">
        <f>COUNTIF(M102:R102,"⚠*")</f>
        <v/>
      </c>
    </row>
    <row r="103"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M103" s="10">
        <f>IFERROR(IF(TRIM(E103&amp;"")="","",IF(AND(ISNUMBER(FIND(" ",TRIM(E103&amp;""))),ISNUMBER(MATCH(LEFT(TRIM(E103&amp;""),FIND(" ",TRIM(E103&amp;""))-1),설정_코드표!$J$2:$J$101,0)),ISNUMBER(MATCH(TRIM(RIGHT(SUBSTITUTE(TRIM(E103&amp;"")," ",REPT(" ",60)),60)),설정_코드표!$F$2:$F$101,0))),INDEX(설정_코드표!$K$2:$K$101,MATCH(LEFT(TRIM(E103&amp;""),FIND(" ",TRIM(E103&amp;""))-1),설정_코드표!$J$2:$J$101,0))&amp;" "&amp;INDEX(설정_코드표!$G$2:$G$101,MATCH(TRIM(RIGHT(SUBSTITUTE(TRIM(E103&amp;"")," ",REPT(" ",60)),60)),설정_코드표!$F$2:$F$101,0)),"⚠"&amp;TRIM(E103&amp;""))),"⚠"&amp;TRIM(E103&amp;""))</f>
        <v/>
      </c>
      <c r="N103" s="10">
        <f>IFERROR(IF(TRIM(F103&amp;"")="","",IF(AND(ISNUMBER(FIND(" ",TRIM(F103&amp;""))),ISNUMBER(MATCH(LEFT(TRIM(F103&amp;""),FIND(" ",TRIM(F103&amp;""))-1),설정_코드표!$J$2:$J$101,0)),ISNUMBER(MATCH(TRIM(RIGHT(SUBSTITUTE(TRIM(F103&amp;"")," ",REPT(" ",60)),60)),설정_코드표!$F$2:$F$101,0))),INDEX(설정_코드표!$K$2:$K$101,MATCH(LEFT(TRIM(F103&amp;""),FIND(" ",TRIM(F103&amp;""))-1),설정_코드표!$J$2:$J$101,0))&amp;" "&amp;INDEX(설정_코드표!$G$2:$G$101,MATCH(TRIM(RIGHT(SUBSTITUTE(TRIM(F103&amp;"")," ",REPT(" ",60)),60)),설정_코드표!$F$2:$F$101,0)),"⚠"&amp;TRIM(F103&amp;""))),"⚠"&amp;TRIM(F103&amp;""))</f>
        <v/>
      </c>
      <c r="O103" s="10">
        <f>IFERROR(IF(TRIM(G103&amp;"")="","",IF(AND(ISNUMBER(FIND(" ",TRIM(G103&amp;""))),ISNUMBER(MATCH(LEFT(TRIM(G103&amp;""),FIND(" ",TRIM(G103&amp;""))-1),설정_코드표!$J$2:$J$101,0)),ISNUMBER(MATCH(TRIM(RIGHT(SUBSTITUTE(TRIM(G103&amp;"")," ",REPT(" ",60)),60)),설정_코드표!$F$2:$F$101,0))),INDEX(설정_코드표!$K$2:$K$101,MATCH(LEFT(TRIM(G103&amp;""),FIND(" ",TRIM(G103&amp;""))-1),설정_코드표!$J$2:$J$101,0))&amp;" "&amp;INDEX(설정_코드표!$G$2:$G$101,MATCH(TRIM(RIGHT(SUBSTITUTE(TRIM(G103&amp;"")," ",REPT(" ",60)),60)),설정_코드표!$F$2:$F$101,0)),"⚠"&amp;TRIM(G103&amp;""))),"⚠"&amp;TRIM(G103&amp;""))</f>
        <v/>
      </c>
      <c r="P103" s="10">
        <f>IFERROR(IF(TRIM(H103&amp;"")="","",IF(AND(ISNUMBER(FIND(" ",TRIM(H103&amp;""))),ISNUMBER(MATCH(LEFT(TRIM(H103&amp;""),FIND(" ",TRIM(H103&amp;""))-1),설정_코드표!$J$2:$J$101,0)),ISNUMBER(MATCH(TRIM(RIGHT(SUBSTITUTE(TRIM(H103&amp;"")," ",REPT(" ",60)),60)),설정_코드표!$F$2:$F$101,0))),INDEX(설정_코드표!$K$2:$K$101,MATCH(LEFT(TRIM(H103&amp;""),FIND(" ",TRIM(H103&amp;""))-1),설정_코드표!$J$2:$J$101,0))&amp;" "&amp;INDEX(설정_코드표!$G$2:$G$101,MATCH(TRIM(RIGHT(SUBSTITUTE(TRIM(H103&amp;"")," ",REPT(" ",60)),60)),설정_코드표!$F$2:$F$101,0)),"⚠"&amp;TRIM(H103&amp;""))),"⚠"&amp;TRIM(H103&amp;""))</f>
        <v/>
      </c>
      <c r="Q103" s="10">
        <f>IFERROR(IF(TRIM(I103&amp;"")="","",IF(AND(ISNUMBER(FIND(" ",TRIM(I103&amp;""))),ISNUMBER(MATCH(LEFT(TRIM(I103&amp;""),FIND(" ",TRIM(I103&amp;""))-1),설정_코드표!$J$2:$J$101,0)),ISNUMBER(MATCH(TRIM(RIGHT(SUBSTITUTE(TRIM(I103&amp;"")," ",REPT(" ",60)),60)),설정_코드표!$F$2:$F$101,0))),INDEX(설정_코드표!$K$2:$K$101,MATCH(LEFT(TRIM(I103&amp;""),FIND(" ",TRIM(I103&amp;""))-1),설정_코드표!$J$2:$J$101,0))&amp;" "&amp;INDEX(설정_코드표!$G$2:$G$101,MATCH(TRIM(RIGHT(SUBSTITUTE(TRIM(I103&amp;"")," ",REPT(" ",60)),60)),설정_코드표!$F$2:$F$101,0)),"⚠"&amp;TRIM(I103&amp;""))),"⚠"&amp;TRIM(I103&amp;""))</f>
        <v/>
      </c>
      <c r="R103" s="10">
        <f>IFERROR(IF(TRIM(J103&amp;"")="","",IF(AND(ISNUMBER(FIND(" ",TRIM(J103&amp;""))),ISNUMBER(MATCH(LEFT(TRIM(J103&amp;""),FIND(" ",TRIM(J103&amp;""))-1),설정_코드표!$J$2:$J$101,0)),ISNUMBER(MATCH(TRIM(RIGHT(SUBSTITUTE(TRIM(J103&amp;"")," ",REPT(" ",60)),60)),설정_코드표!$F$2:$F$101,0))),INDEX(설정_코드표!$K$2:$K$101,MATCH(LEFT(TRIM(J103&amp;""),FIND(" ",TRIM(J103&amp;""))-1),설정_코드표!$J$2:$J$101,0))&amp;" "&amp;INDEX(설정_코드표!$G$2:$G$101,MATCH(TRIM(RIGHT(SUBSTITUTE(TRIM(J103&amp;"")," ",REPT(" ",60)),60)),설정_코드표!$F$2:$F$101,0)),"⚠"&amp;TRIM(J103&amp;""))),"⚠"&amp;TRIM(J103&amp;""))</f>
        <v/>
      </c>
      <c r="S103" s="11">
        <f>IF(K103="","",IFERROR(IF(AND(ROUND((VALUE(K103&amp;"")-INT(VALUE(K103&amp;"")))*100,0)&gt;=1,ROUND((VALUE(K103&amp;"")-INT(VALUE(K103&amp;"")))*100,0)&lt;=12,INT(VALUE(K103&amp;""))&gt;=1900),DATE(INT(VALUE(K103&amp;"")),ROUND((VALUE(K103&amp;"")-INT(VALUE(K103&amp;"")))*100,0),1),K103&amp;""),K103&amp;""))</f>
        <v/>
      </c>
      <c r="T103" s="10">
        <f>COUNTIF(M103:R103,"⚠*")</f>
        <v/>
      </c>
    </row>
    <row r="104"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M104" s="10">
        <f>IFERROR(IF(TRIM(E104&amp;"")="","",IF(AND(ISNUMBER(FIND(" ",TRIM(E104&amp;""))),ISNUMBER(MATCH(LEFT(TRIM(E104&amp;""),FIND(" ",TRIM(E104&amp;""))-1),설정_코드표!$J$2:$J$101,0)),ISNUMBER(MATCH(TRIM(RIGHT(SUBSTITUTE(TRIM(E104&amp;"")," ",REPT(" ",60)),60)),설정_코드표!$F$2:$F$101,0))),INDEX(설정_코드표!$K$2:$K$101,MATCH(LEFT(TRIM(E104&amp;""),FIND(" ",TRIM(E104&amp;""))-1),설정_코드표!$J$2:$J$101,0))&amp;" "&amp;INDEX(설정_코드표!$G$2:$G$101,MATCH(TRIM(RIGHT(SUBSTITUTE(TRIM(E104&amp;"")," ",REPT(" ",60)),60)),설정_코드표!$F$2:$F$101,0)),"⚠"&amp;TRIM(E104&amp;""))),"⚠"&amp;TRIM(E104&amp;""))</f>
        <v/>
      </c>
      <c r="N104" s="10">
        <f>IFERROR(IF(TRIM(F104&amp;"")="","",IF(AND(ISNUMBER(FIND(" ",TRIM(F104&amp;""))),ISNUMBER(MATCH(LEFT(TRIM(F104&amp;""),FIND(" ",TRIM(F104&amp;""))-1),설정_코드표!$J$2:$J$101,0)),ISNUMBER(MATCH(TRIM(RIGHT(SUBSTITUTE(TRIM(F104&amp;"")," ",REPT(" ",60)),60)),설정_코드표!$F$2:$F$101,0))),INDEX(설정_코드표!$K$2:$K$101,MATCH(LEFT(TRIM(F104&amp;""),FIND(" ",TRIM(F104&amp;""))-1),설정_코드표!$J$2:$J$101,0))&amp;" "&amp;INDEX(설정_코드표!$G$2:$G$101,MATCH(TRIM(RIGHT(SUBSTITUTE(TRIM(F104&amp;"")," ",REPT(" ",60)),60)),설정_코드표!$F$2:$F$101,0)),"⚠"&amp;TRIM(F104&amp;""))),"⚠"&amp;TRIM(F104&amp;""))</f>
        <v/>
      </c>
      <c r="O104" s="10">
        <f>IFERROR(IF(TRIM(G104&amp;"")="","",IF(AND(ISNUMBER(FIND(" ",TRIM(G104&amp;""))),ISNUMBER(MATCH(LEFT(TRIM(G104&amp;""),FIND(" ",TRIM(G104&amp;""))-1),설정_코드표!$J$2:$J$101,0)),ISNUMBER(MATCH(TRIM(RIGHT(SUBSTITUTE(TRIM(G104&amp;"")," ",REPT(" ",60)),60)),설정_코드표!$F$2:$F$101,0))),INDEX(설정_코드표!$K$2:$K$101,MATCH(LEFT(TRIM(G104&amp;""),FIND(" ",TRIM(G104&amp;""))-1),설정_코드표!$J$2:$J$101,0))&amp;" "&amp;INDEX(설정_코드표!$G$2:$G$101,MATCH(TRIM(RIGHT(SUBSTITUTE(TRIM(G104&amp;"")," ",REPT(" ",60)),60)),설정_코드표!$F$2:$F$101,0)),"⚠"&amp;TRIM(G104&amp;""))),"⚠"&amp;TRIM(G104&amp;""))</f>
        <v/>
      </c>
      <c r="P104" s="10">
        <f>IFERROR(IF(TRIM(H104&amp;"")="","",IF(AND(ISNUMBER(FIND(" ",TRIM(H104&amp;""))),ISNUMBER(MATCH(LEFT(TRIM(H104&amp;""),FIND(" ",TRIM(H104&amp;""))-1),설정_코드표!$J$2:$J$101,0)),ISNUMBER(MATCH(TRIM(RIGHT(SUBSTITUTE(TRIM(H104&amp;"")," ",REPT(" ",60)),60)),설정_코드표!$F$2:$F$101,0))),INDEX(설정_코드표!$K$2:$K$101,MATCH(LEFT(TRIM(H104&amp;""),FIND(" ",TRIM(H104&amp;""))-1),설정_코드표!$J$2:$J$101,0))&amp;" "&amp;INDEX(설정_코드표!$G$2:$G$101,MATCH(TRIM(RIGHT(SUBSTITUTE(TRIM(H104&amp;"")," ",REPT(" ",60)),60)),설정_코드표!$F$2:$F$101,0)),"⚠"&amp;TRIM(H104&amp;""))),"⚠"&amp;TRIM(H104&amp;""))</f>
        <v/>
      </c>
      <c r="Q104" s="10">
        <f>IFERROR(IF(TRIM(I104&amp;"")="","",IF(AND(ISNUMBER(FIND(" ",TRIM(I104&amp;""))),ISNUMBER(MATCH(LEFT(TRIM(I104&amp;""),FIND(" ",TRIM(I104&amp;""))-1),설정_코드표!$J$2:$J$101,0)),ISNUMBER(MATCH(TRIM(RIGHT(SUBSTITUTE(TRIM(I104&amp;"")," ",REPT(" ",60)),60)),설정_코드표!$F$2:$F$101,0))),INDEX(설정_코드표!$K$2:$K$101,MATCH(LEFT(TRIM(I104&amp;""),FIND(" ",TRIM(I104&amp;""))-1),설정_코드표!$J$2:$J$101,0))&amp;" "&amp;INDEX(설정_코드표!$G$2:$G$101,MATCH(TRIM(RIGHT(SUBSTITUTE(TRIM(I104&amp;"")," ",REPT(" ",60)),60)),설정_코드표!$F$2:$F$101,0)),"⚠"&amp;TRIM(I104&amp;""))),"⚠"&amp;TRIM(I104&amp;""))</f>
        <v/>
      </c>
      <c r="R104" s="10">
        <f>IFERROR(IF(TRIM(J104&amp;"")="","",IF(AND(ISNUMBER(FIND(" ",TRIM(J104&amp;""))),ISNUMBER(MATCH(LEFT(TRIM(J104&amp;""),FIND(" ",TRIM(J104&amp;""))-1),설정_코드표!$J$2:$J$101,0)),ISNUMBER(MATCH(TRIM(RIGHT(SUBSTITUTE(TRIM(J104&amp;"")," ",REPT(" ",60)),60)),설정_코드표!$F$2:$F$101,0))),INDEX(설정_코드표!$K$2:$K$101,MATCH(LEFT(TRIM(J104&amp;""),FIND(" ",TRIM(J104&amp;""))-1),설정_코드표!$J$2:$J$101,0))&amp;" "&amp;INDEX(설정_코드표!$G$2:$G$101,MATCH(TRIM(RIGHT(SUBSTITUTE(TRIM(J104&amp;"")," ",REPT(" ",60)),60)),설정_코드표!$F$2:$F$101,0)),"⚠"&amp;TRIM(J104&amp;""))),"⚠"&amp;TRIM(J104&amp;""))</f>
        <v/>
      </c>
      <c r="S104" s="11">
        <f>IF(K104="","",IFERROR(IF(AND(ROUND((VALUE(K104&amp;"")-INT(VALUE(K104&amp;"")))*100,0)&gt;=1,ROUND((VALUE(K104&amp;"")-INT(VALUE(K104&amp;"")))*100,0)&lt;=12,INT(VALUE(K104&amp;""))&gt;=1900),DATE(INT(VALUE(K104&amp;"")),ROUND((VALUE(K104&amp;"")-INT(VALUE(K104&amp;"")))*100,0),1),K104&amp;""),K104&amp;""))</f>
        <v/>
      </c>
      <c r="T104" s="10">
        <f>COUNTIF(M104:R104,"⚠*")</f>
        <v/>
      </c>
    </row>
    <row r="105"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M105" s="10">
        <f>IFERROR(IF(TRIM(E105&amp;"")="","",IF(AND(ISNUMBER(FIND(" ",TRIM(E105&amp;""))),ISNUMBER(MATCH(LEFT(TRIM(E105&amp;""),FIND(" ",TRIM(E105&amp;""))-1),설정_코드표!$J$2:$J$101,0)),ISNUMBER(MATCH(TRIM(RIGHT(SUBSTITUTE(TRIM(E105&amp;"")," ",REPT(" ",60)),60)),설정_코드표!$F$2:$F$101,0))),INDEX(설정_코드표!$K$2:$K$101,MATCH(LEFT(TRIM(E105&amp;""),FIND(" ",TRIM(E105&amp;""))-1),설정_코드표!$J$2:$J$101,0))&amp;" "&amp;INDEX(설정_코드표!$G$2:$G$101,MATCH(TRIM(RIGHT(SUBSTITUTE(TRIM(E105&amp;"")," ",REPT(" ",60)),60)),설정_코드표!$F$2:$F$101,0)),"⚠"&amp;TRIM(E105&amp;""))),"⚠"&amp;TRIM(E105&amp;""))</f>
        <v/>
      </c>
      <c r="N105" s="10">
        <f>IFERROR(IF(TRIM(F105&amp;"")="","",IF(AND(ISNUMBER(FIND(" ",TRIM(F105&amp;""))),ISNUMBER(MATCH(LEFT(TRIM(F105&amp;""),FIND(" ",TRIM(F105&amp;""))-1),설정_코드표!$J$2:$J$101,0)),ISNUMBER(MATCH(TRIM(RIGHT(SUBSTITUTE(TRIM(F105&amp;"")," ",REPT(" ",60)),60)),설정_코드표!$F$2:$F$101,0))),INDEX(설정_코드표!$K$2:$K$101,MATCH(LEFT(TRIM(F105&amp;""),FIND(" ",TRIM(F105&amp;""))-1),설정_코드표!$J$2:$J$101,0))&amp;" "&amp;INDEX(설정_코드표!$G$2:$G$101,MATCH(TRIM(RIGHT(SUBSTITUTE(TRIM(F105&amp;"")," ",REPT(" ",60)),60)),설정_코드표!$F$2:$F$101,0)),"⚠"&amp;TRIM(F105&amp;""))),"⚠"&amp;TRIM(F105&amp;""))</f>
        <v/>
      </c>
      <c r="O105" s="10">
        <f>IFERROR(IF(TRIM(G105&amp;"")="","",IF(AND(ISNUMBER(FIND(" ",TRIM(G105&amp;""))),ISNUMBER(MATCH(LEFT(TRIM(G105&amp;""),FIND(" ",TRIM(G105&amp;""))-1),설정_코드표!$J$2:$J$101,0)),ISNUMBER(MATCH(TRIM(RIGHT(SUBSTITUTE(TRIM(G105&amp;"")," ",REPT(" ",60)),60)),설정_코드표!$F$2:$F$101,0))),INDEX(설정_코드표!$K$2:$K$101,MATCH(LEFT(TRIM(G105&amp;""),FIND(" ",TRIM(G105&amp;""))-1),설정_코드표!$J$2:$J$101,0))&amp;" "&amp;INDEX(설정_코드표!$G$2:$G$101,MATCH(TRIM(RIGHT(SUBSTITUTE(TRIM(G105&amp;"")," ",REPT(" ",60)),60)),설정_코드표!$F$2:$F$101,0)),"⚠"&amp;TRIM(G105&amp;""))),"⚠"&amp;TRIM(G105&amp;""))</f>
        <v/>
      </c>
      <c r="P105" s="10">
        <f>IFERROR(IF(TRIM(H105&amp;"")="","",IF(AND(ISNUMBER(FIND(" ",TRIM(H105&amp;""))),ISNUMBER(MATCH(LEFT(TRIM(H105&amp;""),FIND(" ",TRIM(H105&amp;""))-1),설정_코드표!$J$2:$J$101,0)),ISNUMBER(MATCH(TRIM(RIGHT(SUBSTITUTE(TRIM(H105&amp;"")," ",REPT(" ",60)),60)),설정_코드표!$F$2:$F$101,0))),INDEX(설정_코드표!$K$2:$K$101,MATCH(LEFT(TRIM(H105&amp;""),FIND(" ",TRIM(H105&amp;""))-1),설정_코드표!$J$2:$J$101,0))&amp;" "&amp;INDEX(설정_코드표!$G$2:$G$101,MATCH(TRIM(RIGHT(SUBSTITUTE(TRIM(H105&amp;"")," ",REPT(" ",60)),60)),설정_코드표!$F$2:$F$101,0)),"⚠"&amp;TRIM(H105&amp;""))),"⚠"&amp;TRIM(H105&amp;""))</f>
        <v/>
      </c>
      <c r="Q105" s="10">
        <f>IFERROR(IF(TRIM(I105&amp;"")="","",IF(AND(ISNUMBER(FIND(" ",TRIM(I105&amp;""))),ISNUMBER(MATCH(LEFT(TRIM(I105&amp;""),FIND(" ",TRIM(I105&amp;""))-1),설정_코드표!$J$2:$J$101,0)),ISNUMBER(MATCH(TRIM(RIGHT(SUBSTITUTE(TRIM(I105&amp;"")," ",REPT(" ",60)),60)),설정_코드표!$F$2:$F$101,0))),INDEX(설정_코드표!$K$2:$K$101,MATCH(LEFT(TRIM(I105&amp;""),FIND(" ",TRIM(I105&amp;""))-1),설정_코드표!$J$2:$J$101,0))&amp;" "&amp;INDEX(설정_코드표!$G$2:$G$101,MATCH(TRIM(RIGHT(SUBSTITUTE(TRIM(I105&amp;"")," ",REPT(" ",60)),60)),설정_코드표!$F$2:$F$101,0)),"⚠"&amp;TRIM(I105&amp;""))),"⚠"&amp;TRIM(I105&amp;""))</f>
        <v/>
      </c>
      <c r="R105" s="10">
        <f>IFERROR(IF(TRIM(J105&amp;"")="","",IF(AND(ISNUMBER(FIND(" ",TRIM(J105&amp;""))),ISNUMBER(MATCH(LEFT(TRIM(J105&amp;""),FIND(" ",TRIM(J105&amp;""))-1),설정_코드표!$J$2:$J$101,0)),ISNUMBER(MATCH(TRIM(RIGHT(SUBSTITUTE(TRIM(J105&amp;"")," ",REPT(" ",60)),60)),설정_코드표!$F$2:$F$101,0))),INDEX(설정_코드표!$K$2:$K$101,MATCH(LEFT(TRIM(J105&amp;""),FIND(" ",TRIM(J105&amp;""))-1),설정_코드표!$J$2:$J$101,0))&amp;" "&amp;INDEX(설정_코드표!$G$2:$G$101,MATCH(TRIM(RIGHT(SUBSTITUTE(TRIM(J105&amp;"")," ",REPT(" ",60)),60)),설정_코드표!$F$2:$F$101,0)),"⚠"&amp;TRIM(J105&amp;""))),"⚠"&amp;TRIM(J105&amp;""))</f>
        <v/>
      </c>
      <c r="S105" s="11">
        <f>IF(K105="","",IFERROR(IF(AND(ROUND((VALUE(K105&amp;"")-INT(VALUE(K105&amp;"")))*100,0)&gt;=1,ROUND((VALUE(K105&amp;"")-INT(VALUE(K105&amp;"")))*100,0)&lt;=12,INT(VALUE(K105&amp;""))&gt;=1900),DATE(INT(VALUE(K105&amp;"")),ROUND((VALUE(K105&amp;"")-INT(VALUE(K105&amp;"")))*100,0),1),K105&amp;""),K105&amp;""))</f>
        <v/>
      </c>
      <c r="T105" s="10">
        <f>COUNTIF(M105:R105,"⚠*")</f>
        <v/>
      </c>
    </row>
    <row r="106"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M106" s="10">
        <f>IFERROR(IF(TRIM(E106&amp;"")="","",IF(AND(ISNUMBER(FIND(" ",TRIM(E106&amp;""))),ISNUMBER(MATCH(LEFT(TRIM(E106&amp;""),FIND(" ",TRIM(E106&amp;""))-1),설정_코드표!$J$2:$J$101,0)),ISNUMBER(MATCH(TRIM(RIGHT(SUBSTITUTE(TRIM(E106&amp;"")," ",REPT(" ",60)),60)),설정_코드표!$F$2:$F$101,0))),INDEX(설정_코드표!$K$2:$K$101,MATCH(LEFT(TRIM(E106&amp;""),FIND(" ",TRIM(E106&amp;""))-1),설정_코드표!$J$2:$J$101,0))&amp;" "&amp;INDEX(설정_코드표!$G$2:$G$101,MATCH(TRIM(RIGHT(SUBSTITUTE(TRIM(E106&amp;"")," ",REPT(" ",60)),60)),설정_코드표!$F$2:$F$101,0)),"⚠"&amp;TRIM(E106&amp;""))),"⚠"&amp;TRIM(E106&amp;""))</f>
        <v/>
      </c>
      <c r="N106" s="10">
        <f>IFERROR(IF(TRIM(F106&amp;"")="","",IF(AND(ISNUMBER(FIND(" ",TRIM(F106&amp;""))),ISNUMBER(MATCH(LEFT(TRIM(F106&amp;""),FIND(" ",TRIM(F106&amp;""))-1),설정_코드표!$J$2:$J$101,0)),ISNUMBER(MATCH(TRIM(RIGHT(SUBSTITUTE(TRIM(F106&amp;"")," ",REPT(" ",60)),60)),설정_코드표!$F$2:$F$101,0))),INDEX(설정_코드표!$K$2:$K$101,MATCH(LEFT(TRIM(F106&amp;""),FIND(" ",TRIM(F106&amp;""))-1),설정_코드표!$J$2:$J$101,0))&amp;" "&amp;INDEX(설정_코드표!$G$2:$G$101,MATCH(TRIM(RIGHT(SUBSTITUTE(TRIM(F106&amp;"")," ",REPT(" ",60)),60)),설정_코드표!$F$2:$F$101,0)),"⚠"&amp;TRIM(F106&amp;""))),"⚠"&amp;TRIM(F106&amp;""))</f>
        <v/>
      </c>
      <c r="O106" s="10">
        <f>IFERROR(IF(TRIM(G106&amp;"")="","",IF(AND(ISNUMBER(FIND(" ",TRIM(G106&amp;""))),ISNUMBER(MATCH(LEFT(TRIM(G106&amp;""),FIND(" ",TRIM(G106&amp;""))-1),설정_코드표!$J$2:$J$101,0)),ISNUMBER(MATCH(TRIM(RIGHT(SUBSTITUTE(TRIM(G106&amp;"")," ",REPT(" ",60)),60)),설정_코드표!$F$2:$F$101,0))),INDEX(설정_코드표!$K$2:$K$101,MATCH(LEFT(TRIM(G106&amp;""),FIND(" ",TRIM(G106&amp;""))-1),설정_코드표!$J$2:$J$101,0))&amp;" "&amp;INDEX(설정_코드표!$G$2:$G$101,MATCH(TRIM(RIGHT(SUBSTITUTE(TRIM(G106&amp;"")," ",REPT(" ",60)),60)),설정_코드표!$F$2:$F$101,0)),"⚠"&amp;TRIM(G106&amp;""))),"⚠"&amp;TRIM(G106&amp;""))</f>
        <v/>
      </c>
      <c r="P106" s="10">
        <f>IFERROR(IF(TRIM(H106&amp;"")="","",IF(AND(ISNUMBER(FIND(" ",TRIM(H106&amp;""))),ISNUMBER(MATCH(LEFT(TRIM(H106&amp;""),FIND(" ",TRIM(H106&amp;""))-1),설정_코드표!$J$2:$J$101,0)),ISNUMBER(MATCH(TRIM(RIGHT(SUBSTITUTE(TRIM(H106&amp;"")," ",REPT(" ",60)),60)),설정_코드표!$F$2:$F$101,0))),INDEX(설정_코드표!$K$2:$K$101,MATCH(LEFT(TRIM(H106&amp;""),FIND(" ",TRIM(H106&amp;""))-1),설정_코드표!$J$2:$J$101,0))&amp;" "&amp;INDEX(설정_코드표!$G$2:$G$101,MATCH(TRIM(RIGHT(SUBSTITUTE(TRIM(H106&amp;"")," ",REPT(" ",60)),60)),설정_코드표!$F$2:$F$101,0)),"⚠"&amp;TRIM(H106&amp;""))),"⚠"&amp;TRIM(H106&amp;""))</f>
        <v/>
      </c>
      <c r="Q106" s="10">
        <f>IFERROR(IF(TRIM(I106&amp;"")="","",IF(AND(ISNUMBER(FIND(" ",TRIM(I106&amp;""))),ISNUMBER(MATCH(LEFT(TRIM(I106&amp;""),FIND(" ",TRIM(I106&amp;""))-1),설정_코드표!$J$2:$J$101,0)),ISNUMBER(MATCH(TRIM(RIGHT(SUBSTITUTE(TRIM(I106&amp;"")," ",REPT(" ",60)),60)),설정_코드표!$F$2:$F$101,0))),INDEX(설정_코드표!$K$2:$K$101,MATCH(LEFT(TRIM(I106&amp;""),FIND(" ",TRIM(I106&amp;""))-1),설정_코드표!$J$2:$J$101,0))&amp;" "&amp;INDEX(설정_코드표!$G$2:$G$101,MATCH(TRIM(RIGHT(SUBSTITUTE(TRIM(I106&amp;"")," ",REPT(" ",60)),60)),설정_코드표!$F$2:$F$101,0)),"⚠"&amp;TRIM(I106&amp;""))),"⚠"&amp;TRIM(I106&amp;""))</f>
        <v/>
      </c>
      <c r="R106" s="10">
        <f>IFERROR(IF(TRIM(J106&amp;"")="","",IF(AND(ISNUMBER(FIND(" ",TRIM(J106&amp;""))),ISNUMBER(MATCH(LEFT(TRIM(J106&amp;""),FIND(" ",TRIM(J106&amp;""))-1),설정_코드표!$J$2:$J$101,0)),ISNUMBER(MATCH(TRIM(RIGHT(SUBSTITUTE(TRIM(J106&amp;"")," ",REPT(" ",60)),60)),설정_코드표!$F$2:$F$101,0))),INDEX(설정_코드표!$K$2:$K$101,MATCH(LEFT(TRIM(J106&amp;""),FIND(" ",TRIM(J106&amp;""))-1),설정_코드표!$J$2:$J$101,0))&amp;" "&amp;INDEX(설정_코드표!$G$2:$G$101,MATCH(TRIM(RIGHT(SUBSTITUTE(TRIM(J106&amp;"")," ",REPT(" ",60)),60)),설정_코드표!$F$2:$F$101,0)),"⚠"&amp;TRIM(J106&amp;""))),"⚠"&amp;TRIM(J106&amp;""))</f>
        <v/>
      </c>
      <c r="S106" s="11">
        <f>IF(K106="","",IFERROR(IF(AND(ROUND((VALUE(K106&amp;"")-INT(VALUE(K106&amp;"")))*100,0)&gt;=1,ROUND((VALUE(K106&amp;"")-INT(VALUE(K106&amp;"")))*100,0)&lt;=12,INT(VALUE(K106&amp;""))&gt;=1900),DATE(INT(VALUE(K106&amp;"")),ROUND((VALUE(K106&amp;"")-INT(VALUE(K106&amp;"")))*100,0),1),K106&amp;""),K106&amp;""))</f>
        <v/>
      </c>
      <c r="T106" s="10">
        <f>COUNTIF(M106:R106,"⚠*")</f>
        <v/>
      </c>
    </row>
    <row r="107"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M107" s="10">
        <f>IFERROR(IF(TRIM(E107&amp;"")="","",IF(AND(ISNUMBER(FIND(" ",TRIM(E107&amp;""))),ISNUMBER(MATCH(LEFT(TRIM(E107&amp;""),FIND(" ",TRIM(E107&amp;""))-1),설정_코드표!$J$2:$J$101,0)),ISNUMBER(MATCH(TRIM(RIGHT(SUBSTITUTE(TRIM(E107&amp;"")," ",REPT(" ",60)),60)),설정_코드표!$F$2:$F$101,0))),INDEX(설정_코드표!$K$2:$K$101,MATCH(LEFT(TRIM(E107&amp;""),FIND(" ",TRIM(E107&amp;""))-1),설정_코드표!$J$2:$J$101,0))&amp;" "&amp;INDEX(설정_코드표!$G$2:$G$101,MATCH(TRIM(RIGHT(SUBSTITUTE(TRIM(E107&amp;"")," ",REPT(" ",60)),60)),설정_코드표!$F$2:$F$101,0)),"⚠"&amp;TRIM(E107&amp;""))),"⚠"&amp;TRIM(E107&amp;""))</f>
        <v/>
      </c>
      <c r="N107" s="10">
        <f>IFERROR(IF(TRIM(F107&amp;"")="","",IF(AND(ISNUMBER(FIND(" ",TRIM(F107&amp;""))),ISNUMBER(MATCH(LEFT(TRIM(F107&amp;""),FIND(" ",TRIM(F107&amp;""))-1),설정_코드표!$J$2:$J$101,0)),ISNUMBER(MATCH(TRIM(RIGHT(SUBSTITUTE(TRIM(F107&amp;"")," ",REPT(" ",60)),60)),설정_코드표!$F$2:$F$101,0))),INDEX(설정_코드표!$K$2:$K$101,MATCH(LEFT(TRIM(F107&amp;""),FIND(" ",TRIM(F107&amp;""))-1),설정_코드표!$J$2:$J$101,0))&amp;" "&amp;INDEX(설정_코드표!$G$2:$G$101,MATCH(TRIM(RIGHT(SUBSTITUTE(TRIM(F107&amp;"")," ",REPT(" ",60)),60)),설정_코드표!$F$2:$F$101,0)),"⚠"&amp;TRIM(F107&amp;""))),"⚠"&amp;TRIM(F107&amp;""))</f>
        <v/>
      </c>
      <c r="O107" s="10">
        <f>IFERROR(IF(TRIM(G107&amp;"")="","",IF(AND(ISNUMBER(FIND(" ",TRIM(G107&amp;""))),ISNUMBER(MATCH(LEFT(TRIM(G107&amp;""),FIND(" ",TRIM(G107&amp;""))-1),설정_코드표!$J$2:$J$101,0)),ISNUMBER(MATCH(TRIM(RIGHT(SUBSTITUTE(TRIM(G107&amp;"")," ",REPT(" ",60)),60)),설정_코드표!$F$2:$F$101,0))),INDEX(설정_코드표!$K$2:$K$101,MATCH(LEFT(TRIM(G107&amp;""),FIND(" ",TRIM(G107&amp;""))-1),설정_코드표!$J$2:$J$101,0))&amp;" "&amp;INDEX(설정_코드표!$G$2:$G$101,MATCH(TRIM(RIGHT(SUBSTITUTE(TRIM(G107&amp;"")," ",REPT(" ",60)),60)),설정_코드표!$F$2:$F$101,0)),"⚠"&amp;TRIM(G107&amp;""))),"⚠"&amp;TRIM(G107&amp;""))</f>
        <v/>
      </c>
      <c r="P107" s="10">
        <f>IFERROR(IF(TRIM(H107&amp;"")="","",IF(AND(ISNUMBER(FIND(" ",TRIM(H107&amp;""))),ISNUMBER(MATCH(LEFT(TRIM(H107&amp;""),FIND(" ",TRIM(H107&amp;""))-1),설정_코드표!$J$2:$J$101,0)),ISNUMBER(MATCH(TRIM(RIGHT(SUBSTITUTE(TRIM(H107&amp;"")," ",REPT(" ",60)),60)),설정_코드표!$F$2:$F$101,0))),INDEX(설정_코드표!$K$2:$K$101,MATCH(LEFT(TRIM(H107&amp;""),FIND(" ",TRIM(H107&amp;""))-1),설정_코드표!$J$2:$J$101,0))&amp;" "&amp;INDEX(설정_코드표!$G$2:$G$101,MATCH(TRIM(RIGHT(SUBSTITUTE(TRIM(H107&amp;"")," ",REPT(" ",60)),60)),설정_코드표!$F$2:$F$101,0)),"⚠"&amp;TRIM(H107&amp;""))),"⚠"&amp;TRIM(H107&amp;""))</f>
        <v/>
      </c>
      <c r="Q107" s="10">
        <f>IFERROR(IF(TRIM(I107&amp;"")="","",IF(AND(ISNUMBER(FIND(" ",TRIM(I107&amp;""))),ISNUMBER(MATCH(LEFT(TRIM(I107&amp;""),FIND(" ",TRIM(I107&amp;""))-1),설정_코드표!$J$2:$J$101,0)),ISNUMBER(MATCH(TRIM(RIGHT(SUBSTITUTE(TRIM(I107&amp;"")," ",REPT(" ",60)),60)),설정_코드표!$F$2:$F$101,0))),INDEX(설정_코드표!$K$2:$K$101,MATCH(LEFT(TRIM(I107&amp;""),FIND(" ",TRIM(I107&amp;""))-1),설정_코드표!$J$2:$J$101,0))&amp;" "&amp;INDEX(설정_코드표!$G$2:$G$101,MATCH(TRIM(RIGHT(SUBSTITUTE(TRIM(I107&amp;"")," ",REPT(" ",60)),60)),설정_코드표!$F$2:$F$101,0)),"⚠"&amp;TRIM(I107&amp;""))),"⚠"&amp;TRIM(I107&amp;""))</f>
        <v/>
      </c>
      <c r="R107" s="10">
        <f>IFERROR(IF(TRIM(J107&amp;"")="","",IF(AND(ISNUMBER(FIND(" ",TRIM(J107&amp;""))),ISNUMBER(MATCH(LEFT(TRIM(J107&amp;""),FIND(" ",TRIM(J107&amp;""))-1),설정_코드표!$J$2:$J$101,0)),ISNUMBER(MATCH(TRIM(RIGHT(SUBSTITUTE(TRIM(J107&amp;"")," ",REPT(" ",60)),60)),설정_코드표!$F$2:$F$101,0))),INDEX(설정_코드표!$K$2:$K$101,MATCH(LEFT(TRIM(J107&amp;""),FIND(" ",TRIM(J107&amp;""))-1),설정_코드표!$J$2:$J$101,0))&amp;" "&amp;INDEX(설정_코드표!$G$2:$G$101,MATCH(TRIM(RIGHT(SUBSTITUTE(TRIM(J107&amp;"")," ",REPT(" ",60)),60)),설정_코드표!$F$2:$F$101,0)),"⚠"&amp;TRIM(J107&amp;""))),"⚠"&amp;TRIM(J107&amp;""))</f>
        <v/>
      </c>
      <c r="S107" s="11">
        <f>IF(K107="","",IFERROR(IF(AND(ROUND((VALUE(K107&amp;"")-INT(VALUE(K107&amp;"")))*100,0)&gt;=1,ROUND((VALUE(K107&amp;"")-INT(VALUE(K107&amp;"")))*100,0)&lt;=12,INT(VALUE(K107&amp;""))&gt;=1900),DATE(INT(VALUE(K107&amp;"")),ROUND((VALUE(K107&amp;"")-INT(VALUE(K107&amp;"")))*100,0),1),K107&amp;""),K107&amp;""))</f>
        <v/>
      </c>
      <c r="T107" s="10">
        <f>COUNTIF(M107:R107,"⚠*")</f>
        <v/>
      </c>
    </row>
    <row r="108"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M108" s="10">
        <f>IFERROR(IF(TRIM(E108&amp;"")="","",IF(AND(ISNUMBER(FIND(" ",TRIM(E108&amp;""))),ISNUMBER(MATCH(LEFT(TRIM(E108&amp;""),FIND(" ",TRIM(E108&amp;""))-1),설정_코드표!$J$2:$J$101,0)),ISNUMBER(MATCH(TRIM(RIGHT(SUBSTITUTE(TRIM(E108&amp;"")," ",REPT(" ",60)),60)),설정_코드표!$F$2:$F$101,0))),INDEX(설정_코드표!$K$2:$K$101,MATCH(LEFT(TRIM(E108&amp;""),FIND(" ",TRIM(E108&amp;""))-1),설정_코드표!$J$2:$J$101,0))&amp;" "&amp;INDEX(설정_코드표!$G$2:$G$101,MATCH(TRIM(RIGHT(SUBSTITUTE(TRIM(E108&amp;"")," ",REPT(" ",60)),60)),설정_코드표!$F$2:$F$101,0)),"⚠"&amp;TRIM(E108&amp;""))),"⚠"&amp;TRIM(E108&amp;""))</f>
        <v/>
      </c>
      <c r="N108" s="10">
        <f>IFERROR(IF(TRIM(F108&amp;"")="","",IF(AND(ISNUMBER(FIND(" ",TRIM(F108&amp;""))),ISNUMBER(MATCH(LEFT(TRIM(F108&amp;""),FIND(" ",TRIM(F108&amp;""))-1),설정_코드표!$J$2:$J$101,0)),ISNUMBER(MATCH(TRIM(RIGHT(SUBSTITUTE(TRIM(F108&amp;"")," ",REPT(" ",60)),60)),설정_코드표!$F$2:$F$101,0))),INDEX(설정_코드표!$K$2:$K$101,MATCH(LEFT(TRIM(F108&amp;""),FIND(" ",TRIM(F108&amp;""))-1),설정_코드표!$J$2:$J$101,0))&amp;" "&amp;INDEX(설정_코드표!$G$2:$G$101,MATCH(TRIM(RIGHT(SUBSTITUTE(TRIM(F108&amp;"")," ",REPT(" ",60)),60)),설정_코드표!$F$2:$F$101,0)),"⚠"&amp;TRIM(F108&amp;""))),"⚠"&amp;TRIM(F108&amp;""))</f>
        <v/>
      </c>
      <c r="O108" s="10">
        <f>IFERROR(IF(TRIM(G108&amp;"")="","",IF(AND(ISNUMBER(FIND(" ",TRIM(G108&amp;""))),ISNUMBER(MATCH(LEFT(TRIM(G108&amp;""),FIND(" ",TRIM(G108&amp;""))-1),설정_코드표!$J$2:$J$101,0)),ISNUMBER(MATCH(TRIM(RIGHT(SUBSTITUTE(TRIM(G108&amp;"")," ",REPT(" ",60)),60)),설정_코드표!$F$2:$F$101,0))),INDEX(설정_코드표!$K$2:$K$101,MATCH(LEFT(TRIM(G108&amp;""),FIND(" ",TRIM(G108&amp;""))-1),설정_코드표!$J$2:$J$101,0))&amp;" "&amp;INDEX(설정_코드표!$G$2:$G$101,MATCH(TRIM(RIGHT(SUBSTITUTE(TRIM(G108&amp;"")," ",REPT(" ",60)),60)),설정_코드표!$F$2:$F$101,0)),"⚠"&amp;TRIM(G108&amp;""))),"⚠"&amp;TRIM(G108&amp;""))</f>
        <v/>
      </c>
      <c r="P108" s="10">
        <f>IFERROR(IF(TRIM(H108&amp;"")="","",IF(AND(ISNUMBER(FIND(" ",TRIM(H108&amp;""))),ISNUMBER(MATCH(LEFT(TRIM(H108&amp;""),FIND(" ",TRIM(H108&amp;""))-1),설정_코드표!$J$2:$J$101,0)),ISNUMBER(MATCH(TRIM(RIGHT(SUBSTITUTE(TRIM(H108&amp;"")," ",REPT(" ",60)),60)),설정_코드표!$F$2:$F$101,0))),INDEX(설정_코드표!$K$2:$K$101,MATCH(LEFT(TRIM(H108&amp;""),FIND(" ",TRIM(H108&amp;""))-1),설정_코드표!$J$2:$J$101,0))&amp;" "&amp;INDEX(설정_코드표!$G$2:$G$101,MATCH(TRIM(RIGHT(SUBSTITUTE(TRIM(H108&amp;"")," ",REPT(" ",60)),60)),설정_코드표!$F$2:$F$101,0)),"⚠"&amp;TRIM(H108&amp;""))),"⚠"&amp;TRIM(H108&amp;""))</f>
        <v/>
      </c>
      <c r="Q108" s="10">
        <f>IFERROR(IF(TRIM(I108&amp;"")="","",IF(AND(ISNUMBER(FIND(" ",TRIM(I108&amp;""))),ISNUMBER(MATCH(LEFT(TRIM(I108&amp;""),FIND(" ",TRIM(I108&amp;""))-1),설정_코드표!$J$2:$J$101,0)),ISNUMBER(MATCH(TRIM(RIGHT(SUBSTITUTE(TRIM(I108&amp;"")," ",REPT(" ",60)),60)),설정_코드표!$F$2:$F$101,0))),INDEX(설정_코드표!$K$2:$K$101,MATCH(LEFT(TRIM(I108&amp;""),FIND(" ",TRIM(I108&amp;""))-1),설정_코드표!$J$2:$J$101,0))&amp;" "&amp;INDEX(설정_코드표!$G$2:$G$101,MATCH(TRIM(RIGHT(SUBSTITUTE(TRIM(I108&amp;"")," ",REPT(" ",60)),60)),설정_코드표!$F$2:$F$101,0)),"⚠"&amp;TRIM(I108&amp;""))),"⚠"&amp;TRIM(I108&amp;""))</f>
        <v/>
      </c>
      <c r="R108" s="10">
        <f>IFERROR(IF(TRIM(J108&amp;"")="","",IF(AND(ISNUMBER(FIND(" ",TRIM(J108&amp;""))),ISNUMBER(MATCH(LEFT(TRIM(J108&amp;""),FIND(" ",TRIM(J108&amp;""))-1),설정_코드표!$J$2:$J$101,0)),ISNUMBER(MATCH(TRIM(RIGHT(SUBSTITUTE(TRIM(J108&amp;"")," ",REPT(" ",60)),60)),설정_코드표!$F$2:$F$101,0))),INDEX(설정_코드표!$K$2:$K$101,MATCH(LEFT(TRIM(J108&amp;""),FIND(" ",TRIM(J108&amp;""))-1),설정_코드표!$J$2:$J$101,0))&amp;" "&amp;INDEX(설정_코드표!$G$2:$G$101,MATCH(TRIM(RIGHT(SUBSTITUTE(TRIM(J108&amp;"")," ",REPT(" ",60)),60)),설정_코드표!$F$2:$F$101,0)),"⚠"&amp;TRIM(J108&amp;""))),"⚠"&amp;TRIM(J108&amp;""))</f>
        <v/>
      </c>
      <c r="S108" s="11">
        <f>IF(K108="","",IFERROR(IF(AND(ROUND((VALUE(K108&amp;"")-INT(VALUE(K108&amp;"")))*100,0)&gt;=1,ROUND((VALUE(K108&amp;"")-INT(VALUE(K108&amp;"")))*100,0)&lt;=12,INT(VALUE(K108&amp;""))&gt;=1900),DATE(INT(VALUE(K108&amp;"")),ROUND((VALUE(K108&amp;"")-INT(VALUE(K108&amp;"")))*100,0),1),K108&amp;""),K108&amp;""))</f>
        <v/>
      </c>
      <c r="T108" s="10">
        <f>COUNTIF(M108:R108,"⚠*")</f>
        <v/>
      </c>
    </row>
    <row r="109"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M109" s="10">
        <f>IFERROR(IF(TRIM(E109&amp;"")="","",IF(AND(ISNUMBER(FIND(" ",TRIM(E109&amp;""))),ISNUMBER(MATCH(LEFT(TRIM(E109&amp;""),FIND(" ",TRIM(E109&amp;""))-1),설정_코드표!$J$2:$J$101,0)),ISNUMBER(MATCH(TRIM(RIGHT(SUBSTITUTE(TRIM(E109&amp;"")," ",REPT(" ",60)),60)),설정_코드표!$F$2:$F$101,0))),INDEX(설정_코드표!$K$2:$K$101,MATCH(LEFT(TRIM(E109&amp;""),FIND(" ",TRIM(E109&amp;""))-1),설정_코드표!$J$2:$J$101,0))&amp;" "&amp;INDEX(설정_코드표!$G$2:$G$101,MATCH(TRIM(RIGHT(SUBSTITUTE(TRIM(E109&amp;"")," ",REPT(" ",60)),60)),설정_코드표!$F$2:$F$101,0)),"⚠"&amp;TRIM(E109&amp;""))),"⚠"&amp;TRIM(E109&amp;""))</f>
        <v/>
      </c>
      <c r="N109" s="10">
        <f>IFERROR(IF(TRIM(F109&amp;"")="","",IF(AND(ISNUMBER(FIND(" ",TRIM(F109&amp;""))),ISNUMBER(MATCH(LEFT(TRIM(F109&amp;""),FIND(" ",TRIM(F109&amp;""))-1),설정_코드표!$J$2:$J$101,0)),ISNUMBER(MATCH(TRIM(RIGHT(SUBSTITUTE(TRIM(F109&amp;"")," ",REPT(" ",60)),60)),설정_코드표!$F$2:$F$101,0))),INDEX(설정_코드표!$K$2:$K$101,MATCH(LEFT(TRIM(F109&amp;""),FIND(" ",TRIM(F109&amp;""))-1),설정_코드표!$J$2:$J$101,0))&amp;" "&amp;INDEX(설정_코드표!$G$2:$G$101,MATCH(TRIM(RIGHT(SUBSTITUTE(TRIM(F109&amp;"")," ",REPT(" ",60)),60)),설정_코드표!$F$2:$F$101,0)),"⚠"&amp;TRIM(F109&amp;""))),"⚠"&amp;TRIM(F109&amp;""))</f>
        <v/>
      </c>
      <c r="O109" s="10">
        <f>IFERROR(IF(TRIM(G109&amp;"")="","",IF(AND(ISNUMBER(FIND(" ",TRIM(G109&amp;""))),ISNUMBER(MATCH(LEFT(TRIM(G109&amp;""),FIND(" ",TRIM(G109&amp;""))-1),설정_코드표!$J$2:$J$101,0)),ISNUMBER(MATCH(TRIM(RIGHT(SUBSTITUTE(TRIM(G109&amp;"")," ",REPT(" ",60)),60)),설정_코드표!$F$2:$F$101,0))),INDEX(설정_코드표!$K$2:$K$101,MATCH(LEFT(TRIM(G109&amp;""),FIND(" ",TRIM(G109&amp;""))-1),설정_코드표!$J$2:$J$101,0))&amp;" "&amp;INDEX(설정_코드표!$G$2:$G$101,MATCH(TRIM(RIGHT(SUBSTITUTE(TRIM(G109&amp;"")," ",REPT(" ",60)),60)),설정_코드표!$F$2:$F$101,0)),"⚠"&amp;TRIM(G109&amp;""))),"⚠"&amp;TRIM(G109&amp;""))</f>
        <v/>
      </c>
      <c r="P109" s="10">
        <f>IFERROR(IF(TRIM(H109&amp;"")="","",IF(AND(ISNUMBER(FIND(" ",TRIM(H109&amp;""))),ISNUMBER(MATCH(LEFT(TRIM(H109&amp;""),FIND(" ",TRIM(H109&amp;""))-1),설정_코드표!$J$2:$J$101,0)),ISNUMBER(MATCH(TRIM(RIGHT(SUBSTITUTE(TRIM(H109&amp;"")," ",REPT(" ",60)),60)),설정_코드표!$F$2:$F$101,0))),INDEX(설정_코드표!$K$2:$K$101,MATCH(LEFT(TRIM(H109&amp;""),FIND(" ",TRIM(H109&amp;""))-1),설정_코드표!$J$2:$J$101,0))&amp;" "&amp;INDEX(설정_코드표!$G$2:$G$101,MATCH(TRIM(RIGHT(SUBSTITUTE(TRIM(H109&amp;"")," ",REPT(" ",60)),60)),설정_코드표!$F$2:$F$101,0)),"⚠"&amp;TRIM(H109&amp;""))),"⚠"&amp;TRIM(H109&amp;""))</f>
        <v/>
      </c>
      <c r="Q109" s="10">
        <f>IFERROR(IF(TRIM(I109&amp;"")="","",IF(AND(ISNUMBER(FIND(" ",TRIM(I109&amp;""))),ISNUMBER(MATCH(LEFT(TRIM(I109&amp;""),FIND(" ",TRIM(I109&amp;""))-1),설정_코드표!$J$2:$J$101,0)),ISNUMBER(MATCH(TRIM(RIGHT(SUBSTITUTE(TRIM(I109&amp;"")," ",REPT(" ",60)),60)),설정_코드표!$F$2:$F$101,0))),INDEX(설정_코드표!$K$2:$K$101,MATCH(LEFT(TRIM(I109&amp;""),FIND(" ",TRIM(I109&amp;""))-1),설정_코드표!$J$2:$J$101,0))&amp;" "&amp;INDEX(설정_코드표!$G$2:$G$101,MATCH(TRIM(RIGHT(SUBSTITUTE(TRIM(I109&amp;"")," ",REPT(" ",60)),60)),설정_코드표!$F$2:$F$101,0)),"⚠"&amp;TRIM(I109&amp;""))),"⚠"&amp;TRIM(I109&amp;""))</f>
        <v/>
      </c>
      <c r="R109" s="10">
        <f>IFERROR(IF(TRIM(J109&amp;"")="","",IF(AND(ISNUMBER(FIND(" ",TRIM(J109&amp;""))),ISNUMBER(MATCH(LEFT(TRIM(J109&amp;""),FIND(" ",TRIM(J109&amp;""))-1),설정_코드표!$J$2:$J$101,0)),ISNUMBER(MATCH(TRIM(RIGHT(SUBSTITUTE(TRIM(J109&amp;"")," ",REPT(" ",60)),60)),설정_코드표!$F$2:$F$101,0))),INDEX(설정_코드표!$K$2:$K$101,MATCH(LEFT(TRIM(J109&amp;""),FIND(" ",TRIM(J109&amp;""))-1),설정_코드표!$J$2:$J$101,0))&amp;" "&amp;INDEX(설정_코드표!$G$2:$G$101,MATCH(TRIM(RIGHT(SUBSTITUTE(TRIM(J109&amp;"")," ",REPT(" ",60)),60)),설정_코드표!$F$2:$F$101,0)),"⚠"&amp;TRIM(J109&amp;""))),"⚠"&amp;TRIM(J109&amp;""))</f>
        <v/>
      </c>
      <c r="S109" s="11">
        <f>IF(K109="","",IFERROR(IF(AND(ROUND((VALUE(K109&amp;"")-INT(VALUE(K109&amp;"")))*100,0)&gt;=1,ROUND((VALUE(K109&amp;"")-INT(VALUE(K109&amp;"")))*100,0)&lt;=12,INT(VALUE(K109&amp;""))&gt;=1900),DATE(INT(VALUE(K109&amp;"")),ROUND((VALUE(K109&amp;"")-INT(VALUE(K109&amp;"")))*100,0),1),K109&amp;""),K109&amp;""))</f>
        <v/>
      </c>
      <c r="T109" s="10">
        <f>COUNTIF(M109:R109,"⚠*")</f>
        <v/>
      </c>
    </row>
    <row r="110"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M110" s="10">
        <f>IFERROR(IF(TRIM(E110&amp;"")="","",IF(AND(ISNUMBER(FIND(" ",TRIM(E110&amp;""))),ISNUMBER(MATCH(LEFT(TRIM(E110&amp;""),FIND(" ",TRIM(E110&amp;""))-1),설정_코드표!$J$2:$J$101,0)),ISNUMBER(MATCH(TRIM(RIGHT(SUBSTITUTE(TRIM(E110&amp;"")," ",REPT(" ",60)),60)),설정_코드표!$F$2:$F$101,0))),INDEX(설정_코드표!$K$2:$K$101,MATCH(LEFT(TRIM(E110&amp;""),FIND(" ",TRIM(E110&amp;""))-1),설정_코드표!$J$2:$J$101,0))&amp;" "&amp;INDEX(설정_코드표!$G$2:$G$101,MATCH(TRIM(RIGHT(SUBSTITUTE(TRIM(E110&amp;"")," ",REPT(" ",60)),60)),설정_코드표!$F$2:$F$101,0)),"⚠"&amp;TRIM(E110&amp;""))),"⚠"&amp;TRIM(E110&amp;""))</f>
        <v/>
      </c>
      <c r="N110" s="10">
        <f>IFERROR(IF(TRIM(F110&amp;"")="","",IF(AND(ISNUMBER(FIND(" ",TRIM(F110&amp;""))),ISNUMBER(MATCH(LEFT(TRIM(F110&amp;""),FIND(" ",TRIM(F110&amp;""))-1),설정_코드표!$J$2:$J$101,0)),ISNUMBER(MATCH(TRIM(RIGHT(SUBSTITUTE(TRIM(F110&amp;"")," ",REPT(" ",60)),60)),설정_코드표!$F$2:$F$101,0))),INDEX(설정_코드표!$K$2:$K$101,MATCH(LEFT(TRIM(F110&amp;""),FIND(" ",TRIM(F110&amp;""))-1),설정_코드표!$J$2:$J$101,0))&amp;" "&amp;INDEX(설정_코드표!$G$2:$G$101,MATCH(TRIM(RIGHT(SUBSTITUTE(TRIM(F110&amp;"")," ",REPT(" ",60)),60)),설정_코드표!$F$2:$F$101,0)),"⚠"&amp;TRIM(F110&amp;""))),"⚠"&amp;TRIM(F110&amp;""))</f>
        <v/>
      </c>
      <c r="O110" s="10">
        <f>IFERROR(IF(TRIM(G110&amp;"")="","",IF(AND(ISNUMBER(FIND(" ",TRIM(G110&amp;""))),ISNUMBER(MATCH(LEFT(TRIM(G110&amp;""),FIND(" ",TRIM(G110&amp;""))-1),설정_코드표!$J$2:$J$101,0)),ISNUMBER(MATCH(TRIM(RIGHT(SUBSTITUTE(TRIM(G110&amp;"")," ",REPT(" ",60)),60)),설정_코드표!$F$2:$F$101,0))),INDEX(설정_코드표!$K$2:$K$101,MATCH(LEFT(TRIM(G110&amp;""),FIND(" ",TRIM(G110&amp;""))-1),설정_코드표!$J$2:$J$101,0))&amp;" "&amp;INDEX(설정_코드표!$G$2:$G$101,MATCH(TRIM(RIGHT(SUBSTITUTE(TRIM(G110&amp;"")," ",REPT(" ",60)),60)),설정_코드표!$F$2:$F$101,0)),"⚠"&amp;TRIM(G110&amp;""))),"⚠"&amp;TRIM(G110&amp;""))</f>
        <v/>
      </c>
      <c r="P110" s="10">
        <f>IFERROR(IF(TRIM(H110&amp;"")="","",IF(AND(ISNUMBER(FIND(" ",TRIM(H110&amp;""))),ISNUMBER(MATCH(LEFT(TRIM(H110&amp;""),FIND(" ",TRIM(H110&amp;""))-1),설정_코드표!$J$2:$J$101,0)),ISNUMBER(MATCH(TRIM(RIGHT(SUBSTITUTE(TRIM(H110&amp;"")," ",REPT(" ",60)),60)),설정_코드표!$F$2:$F$101,0))),INDEX(설정_코드표!$K$2:$K$101,MATCH(LEFT(TRIM(H110&amp;""),FIND(" ",TRIM(H110&amp;""))-1),설정_코드표!$J$2:$J$101,0))&amp;" "&amp;INDEX(설정_코드표!$G$2:$G$101,MATCH(TRIM(RIGHT(SUBSTITUTE(TRIM(H110&amp;"")," ",REPT(" ",60)),60)),설정_코드표!$F$2:$F$101,0)),"⚠"&amp;TRIM(H110&amp;""))),"⚠"&amp;TRIM(H110&amp;""))</f>
        <v/>
      </c>
      <c r="Q110" s="10">
        <f>IFERROR(IF(TRIM(I110&amp;"")="","",IF(AND(ISNUMBER(FIND(" ",TRIM(I110&amp;""))),ISNUMBER(MATCH(LEFT(TRIM(I110&amp;""),FIND(" ",TRIM(I110&amp;""))-1),설정_코드표!$J$2:$J$101,0)),ISNUMBER(MATCH(TRIM(RIGHT(SUBSTITUTE(TRIM(I110&amp;"")," ",REPT(" ",60)),60)),설정_코드표!$F$2:$F$101,0))),INDEX(설정_코드표!$K$2:$K$101,MATCH(LEFT(TRIM(I110&amp;""),FIND(" ",TRIM(I110&amp;""))-1),설정_코드표!$J$2:$J$101,0))&amp;" "&amp;INDEX(설정_코드표!$G$2:$G$101,MATCH(TRIM(RIGHT(SUBSTITUTE(TRIM(I110&amp;"")," ",REPT(" ",60)),60)),설정_코드표!$F$2:$F$101,0)),"⚠"&amp;TRIM(I110&amp;""))),"⚠"&amp;TRIM(I110&amp;""))</f>
        <v/>
      </c>
      <c r="R110" s="10">
        <f>IFERROR(IF(TRIM(J110&amp;"")="","",IF(AND(ISNUMBER(FIND(" ",TRIM(J110&amp;""))),ISNUMBER(MATCH(LEFT(TRIM(J110&amp;""),FIND(" ",TRIM(J110&amp;""))-1),설정_코드표!$J$2:$J$101,0)),ISNUMBER(MATCH(TRIM(RIGHT(SUBSTITUTE(TRIM(J110&amp;"")," ",REPT(" ",60)),60)),설정_코드표!$F$2:$F$101,0))),INDEX(설정_코드표!$K$2:$K$101,MATCH(LEFT(TRIM(J110&amp;""),FIND(" ",TRIM(J110&amp;""))-1),설정_코드표!$J$2:$J$101,0))&amp;" "&amp;INDEX(설정_코드표!$G$2:$G$101,MATCH(TRIM(RIGHT(SUBSTITUTE(TRIM(J110&amp;"")," ",REPT(" ",60)),60)),설정_코드표!$F$2:$F$101,0)),"⚠"&amp;TRIM(J110&amp;""))),"⚠"&amp;TRIM(J110&amp;""))</f>
        <v/>
      </c>
      <c r="S110" s="11">
        <f>IF(K110="","",IFERROR(IF(AND(ROUND((VALUE(K110&amp;"")-INT(VALUE(K110&amp;"")))*100,0)&gt;=1,ROUND((VALUE(K110&amp;"")-INT(VALUE(K110&amp;"")))*100,0)&lt;=12,INT(VALUE(K110&amp;""))&gt;=1900),DATE(INT(VALUE(K110&amp;"")),ROUND((VALUE(K110&amp;"")-INT(VALUE(K110&amp;"")))*100,0),1),K110&amp;""),K110&amp;""))</f>
        <v/>
      </c>
      <c r="T110" s="10">
        <f>COUNTIF(M110:R110,"⚠*")</f>
        <v/>
      </c>
    </row>
    <row r="111"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M111" s="10">
        <f>IFERROR(IF(TRIM(E111&amp;"")="","",IF(AND(ISNUMBER(FIND(" ",TRIM(E111&amp;""))),ISNUMBER(MATCH(LEFT(TRIM(E111&amp;""),FIND(" ",TRIM(E111&amp;""))-1),설정_코드표!$J$2:$J$101,0)),ISNUMBER(MATCH(TRIM(RIGHT(SUBSTITUTE(TRIM(E111&amp;"")," ",REPT(" ",60)),60)),설정_코드표!$F$2:$F$101,0))),INDEX(설정_코드표!$K$2:$K$101,MATCH(LEFT(TRIM(E111&amp;""),FIND(" ",TRIM(E111&amp;""))-1),설정_코드표!$J$2:$J$101,0))&amp;" "&amp;INDEX(설정_코드표!$G$2:$G$101,MATCH(TRIM(RIGHT(SUBSTITUTE(TRIM(E111&amp;"")," ",REPT(" ",60)),60)),설정_코드표!$F$2:$F$101,0)),"⚠"&amp;TRIM(E111&amp;""))),"⚠"&amp;TRIM(E111&amp;""))</f>
        <v/>
      </c>
      <c r="N111" s="10">
        <f>IFERROR(IF(TRIM(F111&amp;"")="","",IF(AND(ISNUMBER(FIND(" ",TRIM(F111&amp;""))),ISNUMBER(MATCH(LEFT(TRIM(F111&amp;""),FIND(" ",TRIM(F111&amp;""))-1),설정_코드표!$J$2:$J$101,0)),ISNUMBER(MATCH(TRIM(RIGHT(SUBSTITUTE(TRIM(F111&amp;"")," ",REPT(" ",60)),60)),설정_코드표!$F$2:$F$101,0))),INDEX(설정_코드표!$K$2:$K$101,MATCH(LEFT(TRIM(F111&amp;""),FIND(" ",TRIM(F111&amp;""))-1),설정_코드표!$J$2:$J$101,0))&amp;" "&amp;INDEX(설정_코드표!$G$2:$G$101,MATCH(TRIM(RIGHT(SUBSTITUTE(TRIM(F111&amp;"")," ",REPT(" ",60)),60)),설정_코드표!$F$2:$F$101,0)),"⚠"&amp;TRIM(F111&amp;""))),"⚠"&amp;TRIM(F111&amp;""))</f>
        <v/>
      </c>
      <c r="O111" s="10">
        <f>IFERROR(IF(TRIM(G111&amp;"")="","",IF(AND(ISNUMBER(FIND(" ",TRIM(G111&amp;""))),ISNUMBER(MATCH(LEFT(TRIM(G111&amp;""),FIND(" ",TRIM(G111&amp;""))-1),설정_코드표!$J$2:$J$101,0)),ISNUMBER(MATCH(TRIM(RIGHT(SUBSTITUTE(TRIM(G111&amp;"")," ",REPT(" ",60)),60)),설정_코드표!$F$2:$F$101,0))),INDEX(설정_코드표!$K$2:$K$101,MATCH(LEFT(TRIM(G111&amp;""),FIND(" ",TRIM(G111&amp;""))-1),설정_코드표!$J$2:$J$101,0))&amp;" "&amp;INDEX(설정_코드표!$G$2:$G$101,MATCH(TRIM(RIGHT(SUBSTITUTE(TRIM(G111&amp;"")," ",REPT(" ",60)),60)),설정_코드표!$F$2:$F$101,0)),"⚠"&amp;TRIM(G111&amp;""))),"⚠"&amp;TRIM(G111&amp;""))</f>
        <v/>
      </c>
      <c r="P111" s="10">
        <f>IFERROR(IF(TRIM(H111&amp;"")="","",IF(AND(ISNUMBER(FIND(" ",TRIM(H111&amp;""))),ISNUMBER(MATCH(LEFT(TRIM(H111&amp;""),FIND(" ",TRIM(H111&amp;""))-1),설정_코드표!$J$2:$J$101,0)),ISNUMBER(MATCH(TRIM(RIGHT(SUBSTITUTE(TRIM(H111&amp;"")," ",REPT(" ",60)),60)),설정_코드표!$F$2:$F$101,0))),INDEX(설정_코드표!$K$2:$K$101,MATCH(LEFT(TRIM(H111&amp;""),FIND(" ",TRIM(H111&amp;""))-1),설정_코드표!$J$2:$J$101,0))&amp;" "&amp;INDEX(설정_코드표!$G$2:$G$101,MATCH(TRIM(RIGHT(SUBSTITUTE(TRIM(H111&amp;"")," ",REPT(" ",60)),60)),설정_코드표!$F$2:$F$101,0)),"⚠"&amp;TRIM(H111&amp;""))),"⚠"&amp;TRIM(H111&amp;""))</f>
        <v/>
      </c>
      <c r="Q111" s="10">
        <f>IFERROR(IF(TRIM(I111&amp;"")="","",IF(AND(ISNUMBER(FIND(" ",TRIM(I111&amp;""))),ISNUMBER(MATCH(LEFT(TRIM(I111&amp;""),FIND(" ",TRIM(I111&amp;""))-1),설정_코드표!$J$2:$J$101,0)),ISNUMBER(MATCH(TRIM(RIGHT(SUBSTITUTE(TRIM(I111&amp;"")," ",REPT(" ",60)),60)),설정_코드표!$F$2:$F$101,0))),INDEX(설정_코드표!$K$2:$K$101,MATCH(LEFT(TRIM(I111&amp;""),FIND(" ",TRIM(I111&amp;""))-1),설정_코드표!$J$2:$J$101,0))&amp;" "&amp;INDEX(설정_코드표!$G$2:$G$101,MATCH(TRIM(RIGHT(SUBSTITUTE(TRIM(I111&amp;"")," ",REPT(" ",60)),60)),설정_코드표!$F$2:$F$101,0)),"⚠"&amp;TRIM(I111&amp;""))),"⚠"&amp;TRIM(I111&amp;""))</f>
        <v/>
      </c>
      <c r="R111" s="10">
        <f>IFERROR(IF(TRIM(J111&amp;"")="","",IF(AND(ISNUMBER(FIND(" ",TRIM(J111&amp;""))),ISNUMBER(MATCH(LEFT(TRIM(J111&amp;""),FIND(" ",TRIM(J111&amp;""))-1),설정_코드표!$J$2:$J$101,0)),ISNUMBER(MATCH(TRIM(RIGHT(SUBSTITUTE(TRIM(J111&amp;"")," ",REPT(" ",60)),60)),설정_코드표!$F$2:$F$101,0))),INDEX(설정_코드표!$K$2:$K$101,MATCH(LEFT(TRIM(J111&amp;""),FIND(" ",TRIM(J111&amp;""))-1),설정_코드표!$J$2:$J$101,0))&amp;" "&amp;INDEX(설정_코드표!$G$2:$G$101,MATCH(TRIM(RIGHT(SUBSTITUTE(TRIM(J111&amp;"")," ",REPT(" ",60)),60)),설정_코드표!$F$2:$F$101,0)),"⚠"&amp;TRIM(J111&amp;""))),"⚠"&amp;TRIM(J111&amp;""))</f>
        <v/>
      </c>
      <c r="S111" s="11">
        <f>IF(K111="","",IFERROR(IF(AND(ROUND((VALUE(K111&amp;"")-INT(VALUE(K111&amp;"")))*100,0)&gt;=1,ROUND((VALUE(K111&amp;"")-INT(VALUE(K111&amp;"")))*100,0)&lt;=12,INT(VALUE(K111&amp;""))&gt;=1900),DATE(INT(VALUE(K111&amp;"")),ROUND((VALUE(K111&amp;"")-INT(VALUE(K111&amp;"")))*100,0),1),K111&amp;""),K111&amp;""))</f>
        <v/>
      </c>
      <c r="T111" s="10">
        <f>COUNTIF(M111:R111,"⚠*")</f>
        <v/>
      </c>
    </row>
    <row r="112"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M112" s="10">
        <f>IFERROR(IF(TRIM(E112&amp;"")="","",IF(AND(ISNUMBER(FIND(" ",TRIM(E112&amp;""))),ISNUMBER(MATCH(LEFT(TRIM(E112&amp;""),FIND(" ",TRIM(E112&amp;""))-1),설정_코드표!$J$2:$J$101,0)),ISNUMBER(MATCH(TRIM(RIGHT(SUBSTITUTE(TRIM(E112&amp;"")," ",REPT(" ",60)),60)),설정_코드표!$F$2:$F$101,0))),INDEX(설정_코드표!$K$2:$K$101,MATCH(LEFT(TRIM(E112&amp;""),FIND(" ",TRIM(E112&amp;""))-1),설정_코드표!$J$2:$J$101,0))&amp;" "&amp;INDEX(설정_코드표!$G$2:$G$101,MATCH(TRIM(RIGHT(SUBSTITUTE(TRIM(E112&amp;"")," ",REPT(" ",60)),60)),설정_코드표!$F$2:$F$101,0)),"⚠"&amp;TRIM(E112&amp;""))),"⚠"&amp;TRIM(E112&amp;""))</f>
        <v/>
      </c>
      <c r="N112" s="10">
        <f>IFERROR(IF(TRIM(F112&amp;"")="","",IF(AND(ISNUMBER(FIND(" ",TRIM(F112&amp;""))),ISNUMBER(MATCH(LEFT(TRIM(F112&amp;""),FIND(" ",TRIM(F112&amp;""))-1),설정_코드표!$J$2:$J$101,0)),ISNUMBER(MATCH(TRIM(RIGHT(SUBSTITUTE(TRIM(F112&amp;"")," ",REPT(" ",60)),60)),설정_코드표!$F$2:$F$101,0))),INDEX(설정_코드표!$K$2:$K$101,MATCH(LEFT(TRIM(F112&amp;""),FIND(" ",TRIM(F112&amp;""))-1),설정_코드표!$J$2:$J$101,0))&amp;" "&amp;INDEX(설정_코드표!$G$2:$G$101,MATCH(TRIM(RIGHT(SUBSTITUTE(TRIM(F112&amp;"")," ",REPT(" ",60)),60)),설정_코드표!$F$2:$F$101,0)),"⚠"&amp;TRIM(F112&amp;""))),"⚠"&amp;TRIM(F112&amp;""))</f>
        <v/>
      </c>
      <c r="O112" s="10">
        <f>IFERROR(IF(TRIM(G112&amp;"")="","",IF(AND(ISNUMBER(FIND(" ",TRIM(G112&amp;""))),ISNUMBER(MATCH(LEFT(TRIM(G112&amp;""),FIND(" ",TRIM(G112&amp;""))-1),설정_코드표!$J$2:$J$101,0)),ISNUMBER(MATCH(TRIM(RIGHT(SUBSTITUTE(TRIM(G112&amp;"")," ",REPT(" ",60)),60)),설정_코드표!$F$2:$F$101,0))),INDEX(설정_코드표!$K$2:$K$101,MATCH(LEFT(TRIM(G112&amp;""),FIND(" ",TRIM(G112&amp;""))-1),설정_코드표!$J$2:$J$101,0))&amp;" "&amp;INDEX(설정_코드표!$G$2:$G$101,MATCH(TRIM(RIGHT(SUBSTITUTE(TRIM(G112&amp;"")," ",REPT(" ",60)),60)),설정_코드표!$F$2:$F$101,0)),"⚠"&amp;TRIM(G112&amp;""))),"⚠"&amp;TRIM(G112&amp;""))</f>
        <v/>
      </c>
      <c r="P112" s="10">
        <f>IFERROR(IF(TRIM(H112&amp;"")="","",IF(AND(ISNUMBER(FIND(" ",TRIM(H112&amp;""))),ISNUMBER(MATCH(LEFT(TRIM(H112&amp;""),FIND(" ",TRIM(H112&amp;""))-1),설정_코드표!$J$2:$J$101,0)),ISNUMBER(MATCH(TRIM(RIGHT(SUBSTITUTE(TRIM(H112&amp;"")," ",REPT(" ",60)),60)),설정_코드표!$F$2:$F$101,0))),INDEX(설정_코드표!$K$2:$K$101,MATCH(LEFT(TRIM(H112&amp;""),FIND(" ",TRIM(H112&amp;""))-1),설정_코드표!$J$2:$J$101,0))&amp;" "&amp;INDEX(설정_코드표!$G$2:$G$101,MATCH(TRIM(RIGHT(SUBSTITUTE(TRIM(H112&amp;"")," ",REPT(" ",60)),60)),설정_코드표!$F$2:$F$101,0)),"⚠"&amp;TRIM(H112&amp;""))),"⚠"&amp;TRIM(H112&amp;""))</f>
        <v/>
      </c>
      <c r="Q112" s="10">
        <f>IFERROR(IF(TRIM(I112&amp;"")="","",IF(AND(ISNUMBER(FIND(" ",TRIM(I112&amp;""))),ISNUMBER(MATCH(LEFT(TRIM(I112&amp;""),FIND(" ",TRIM(I112&amp;""))-1),설정_코드표!$J$2:$J$101,0)),ISNUMBER(MATCH(TRIM(RIGHT(SUBSTITUTE(TRIM(I112&amp;"")," ",REPT(" ",60)),60)),설정_코드표!$F$2:$F$101,0))),INDEX(설정_코드표!$K$2:$K$101,MATCH(LEFT(TRIM(I112&amp;""),FIND(" ",TRIM(I112&amp;""))-1),설정_코드표!$J$2:$J$101,0))&amp;" "&amp;INDEX(설정_코드표!$G$2:$G$101,MATCH(TRIM(RIGHT(SUBSTITUTE(TRIM(I112&amp;"")," ",REPT(" ",60)),60)),설정_코드표!$F$2:$F$101,0)),"⚠"&amp;TRIM(I112&amp;""))),"⚠"&amp;TRIM(I112&amp;""))</f>
        <v/>
      </c>
      <c r="R112" s="10">
        <f>IFERROR(IF(TRIM(J112&amp;"")="","",IF(AND(ISNUMBER(FIND(" ",TRIM(J112&amp;""))),ISNUMBER(MATCH(LEFT(TRIM(J112&amp;""),FIND(" ",TRIM(J112&amp;""))-1),설정_코드표!$J$2:$J$101,0)),ISNUMBER(MATCH(TRIM(RIGHT(SUBSTITUTE(TRIM(J112&amp;"")," ",REPT(" ",60)),60)),설정_코드표!$F$2:$F$101,0))),INDEX(설정_코드표!$K$2:$K$101,MATCH(LEFT(TRIM(J112&amp;""),FIND(" ",TRIM(J112&amp;""))-1),설정_코드표!$J$2:$J$101,0))&amp;" "&amp;INDEX(설정_코드표!$G$2:$G$101,MATCH(TRIM(RIGHT(SUBSTITUTE(TRIM(J112&amp;"")," ",REPT(" ",60)),60)),설정_코드표!$F$2:$F$101,0)),"⚠"&amp;TRIM(J112&amp;""))),"⚠"&amp;TRIM(J112&amp;""))</f>
        <v/>
      </c>
      <c r="S112" s="11">
        <f>IF(K112="","",IFERROR(IF(AND(ROUND((VALUE(K112&amp;"")-INT(VALUE(K112&amp;"")))*100,0)&gt;=1,ROUND((VALUE(K112&amp;"")-INT(VALUE(K112&amp;"")))*100,0)&lt;=12,INT(VALUE(K112&amp;""))&gt;=1900),DATE(INT(VALUE(K112&amp;"")),ROUND((VALUE(K112&amp;"")-INT(VALUE(K112&amp;"")))*100,0),1),K112&amp;""),K112&amp;""))</f>
        <v/>
      </c>
      <c r="T112" s="10">
        <f>COUNTIF(M112:R112,"⚠*")</f>
        <v/>
      </c>
    </row>
    <row r="113"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M113" s="10">
        <f>IFERROR(IF(TRIM(E113&amp;"")="","",IF(AND(ISNUMBER(FIND(" ",TRIM(E113&amp;""))),ISNUMBER(MATCH(LEFT(TRIM(E113&amp;""),FIND(" ",TRIM(E113&amp;""))-1),설정_코드표!$J$2:$J$101,0)),ISNUMBER(MATCH(TRIM(RIGHT(SUBSTITUTE(TRIM(E113&amp;"")," ",REPT(" ",60)),60)),설정_코드표!$F$2:$F$101,0))),INDEX(설정_코드표!$K$2:$K$101,MATCH(LEFT(TRIM(E113&amp;""),FIND(" ",TRIM(E113&amp;""))-1),설정_코드표!$J$2:$J$101,0))&amp;" "&amp;INDEX(설정_코드표!$G$2:$G$101,MATCH(TRIM(RIGHT(SUBSTITUTE(TRIM(E113&amp;"")," ",REPT(" ",60)),60)),설정_코드표!$F$2:$F$101,0)),"⚠"&amp;TRIM(E113&amp;""))),"⚠"&amp;TRIM(E113&amp;""))</f>
        <v/>
      </c>
      <c r="N113" s="10">
        <f>IFERROR(IF(TRIM(F113&amp;"")="","",IF(AND(ISNUMBER(FIND(" ",TRIM(F113&amp;""))),ISNUMBER(MATCH(LEFT(TRIM(F113&amp;""),FIND(" ",TRIM(F113&amp;""))-1),설정_코드표!$J$2:$J$101,0)),ISNUMBER(MATCH(TRIM(RIGHT(SUBSTITUTE(TRIM(F113&amp;"")," ",REPT(" ",60)),60)),설정_코드표!$F$2:$F$101,0))),INDEX(설정_코드표!$K$2:$K$101,MATCH(LEFT(TRIM(F113&amp;""),FIND(" ",TRIM(F113&amp;""))-1),설정_코드표!$J$2:$J$101,0))&amp;" "&amp;INDEX(설정_코드표!$G$2:$G$101,MATCH(TRIM(RIGHT(SUBSTITUTE(TRIM(F113&amp;"")," ",REPT(" ",60)),60)),설정_코드표!$F$2:$F$101,0)),"⚠"&amp;TRIM(F113&amp;""))),"⚠"&amp;TRIM(F113&amp;""))</f>
        <v/>
      </c>
      <c r="O113" s="10">
        <f>IFERROR(IF(TRIM(G113&amp;"")="","",IF(AND(ISNUMBER(FIND(" ",TRIM(G113&amp;""))),ISNUMBER(MATCH(LEFT(TRIM(G113&amp;""),FIND(" ",TRIM(G113&amp;""))-1),설정_코드표!$J$2:$J$101,0)),ISNUMBER(MATCH(TRIM(RIGHT(SUBSTITUTE(TRIM(G113&amp;"")," ",REPT(" ",60)),60)),설정_코드표!$F$2:$F$101,0))),INDEX(설정_코드표!$K$2:$K$101,MATCH(LEFT(TRIM(G113&amp;""),FIND(" ",TRIM(G113&amp;""))-1),설정_코드표!$J$2:$J$101,0))&amp;" "&amp;INDEX(설정_코드표!$G$2:$G$101,MATCH(TRIM(RIGHT(SUBSTITUTE(TRIM(G113&amp;"")," ",REPT(" ",60)),60)),설정_코드표!$F$2:$F$101,0)),"⚠"&amp;TRIM(G113&amp;""))),"⚠"&amp;TRIM(G113&amp;""))</f>
        <v/>
      </c>
      <c r="P113" s="10">
        <f>IFERROR(IF(TRIM(H113&amp;"")="","",IF(AND(ISNUMBER(FIND(" ",TRIM(H113&amp;""))),ISNUMBER(MATCH(LEFT(TRIM(H113&amp;""),FIND(" ",TRIM(H113&amp;""))-1),설정_코드표!$J$2:$J$101,0)),ISNUMBER(MATCH(TRIM(RIGHT(SUBSTITUTE(TRIM(H113&amp;"")," ",REPT(" ",60)),60)),설정_코드표!$F$2:$F$101,0))),INDEX(설정_코드표!$K$2:$K$101,MATCH(LEFT(TRIM(H113&amp;""),FIND(" ",TRIM(H113&amp;""))-1),설정_코드표!$J$2:$J$101,0))&amp;" "&amp;INDEX(설정_코드표!$G$2:$G$101,MATCH(TRIM(RIGHT(SUBSTITUTE(TRIM(H113&amp;"")," ",REPT(" ",60)),60)),설정_코드표!$F$2:$F$101,0)),"⚠"&amp;TRIM(H113&amp;""))),"⚠"&amp;TRIM(H113&amp;""))</f>
        <v/>
      </c>
      <c r="Q113" s="10">
        <f>IFERROR(IF(TRIM(I113&amp;"")="","",IF(AND(ISNUMBER(FIND(" ",TRIM(I113&amp;""))),ISNUMBER(MATCH(LEFT(TRIM(I113&amp;""),FIND(" ",TRIM(I113&amp;""))-1),설정_코드표!$J$2:$J$101,0)),ISNUMBER(MATCH(TRIM(RIGHT(SUBSTITUTE(TRIM(I113&amp;"")," ",REPT(" ",60)),60)),설정_코드표!$F$2:$F$101,0))),INDEX(설정_코드표!$K$2:$K$101,MATCH(LEFT(TRIM(I113&amp;""),FIND(" ",TRIM(I113&amp;""))-1),설정_코드표!$J$2:$J$101,0))&amp;" "&amp;INDEX(설정_코드표!$G$2:$G$101,MATCH(TRIM(RIGHT(SUBSTITUTE(TRIM(I113&amp;"")," ",REPT(" ",60)),60)),설정_코드표!$F$2:$F$101,0)),"⚠"&amp;TRIM(I113&amp;""))),"⚠"&amp;TRIM(I113&amp;""))</f>
        <v/>
      </c>
      <c r="R113" s="10">
        <f>IFERROR(IF(TRIM(J113&amp;"")="","",IF(AND(ISNUMBER(FIND(" ",TRIM(J113&amp;""))),ISNUMBER(MATCH(LEFT(TRIM(J113&amp;""),FIND(" ",TRIM(J113&amp;""))-1),설정_코드표!$J$2:$J$101,0)),ISNUMBER(MATCH(TRIM(RIGHT(SUBSTITUTE(TRIM(J113&amp;"")," ",REPT(" ",60)),60)),설정_코드표!$F$2:$F$101,0))),INDEX(설정_코드표!$K$2:$K$101,MATCH(LEFT(TRIM(J113&amp;""),FIND(" ",TRIM(J113&amp;""))-1),설정_코드표!$J$2:$J$101,0))&amp;" "&amp;INDEX(설정_코드표!$G$2:$G$101,MATCH(TRIM(RIGHT(SUBSTITUTE(TRIM(J113&amp;"")," ",REPT(" ",60)),60)),설정_코드표!$F$2:$F$101,0)),"⚠"&amp;TRIM(J113&amp;""))),"⚠"&amp;TRIM(J113&amp;""))</f>
        <v/>
      </c>
      <c r="S113" s="11">
        <f>IF(K113="","",IFERROR(IF(AND(ROUND((VALUE(K113&amp;"")-INT(VALUE(K113&amp;"")))*100,0)&gt;=1,ROUND((VALUE(K113&amp;"")-INT(VALUE(K113&amp;"")))*100,0)&lt;=12,INT(VALUE(K113&amp;""))&gt;=1900),DATE(INT(VALUE(K113&amp;"")),ROUND((VALUE(K113&amp;"")-INT(VALUE(K113&amp;"")))*100,0),1),K113&amp;""),K113&amp;""))</f>
        <v/>
      </c>
      <c r="T113" s="10">
        <f>COUNTIF(M113:R113,"⚠*")</f>
        <v/>
      </c>
    </row>
    <row r="114"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M114" s="10">
        <f>IFERROR(IF(TRIM(E114&amp;"")="","",IF(AND(ISNUMBER(FIND(" ",TRIM(E114&amp;""))),ISNUMBER(MATCH(LEFT(TRIM(E114&amp;""),FIND(" ",TRIM(E114&amp;""))-1),설정_코드표!$J$2:$J$101,0)),ISNUMBER(MATCH(TRIM(RIGHT(SUBSTITUTE(TRIM(E114&amp;"")," ",REPT(" ",60)),60)),설정_코드표!$F$2:$F$101,0))),INDEX(설정_코드표!$K$2:$K$101,MATCH(LEFT(TRIM(E114&amp;""),FIND(" ",TRIM(E114&amp;""))-1),설정_코드표!$J$2:$J$101,0))&amp;" "&amp;INDEX(설정_코드표!$G$2:$G$101,MATCH(TRIM(RIGHT(SUBSTITUTE(TRIM(E114&amp;"")," ",REPT(" ",60)),60)),설정_코드표!$F$2:$F$101,0)),"⚠"&amp;TRIM(E114&amp;""))),"⚠"&amp;TRIM(E114&amp;""))</f>
        <v/>
      </c>
      <c r="N114" s="10">
        <f>IFERROR(IF(TRIM(F114&amp;"")="","",IF(AND(ISNUMBER(FIND(" ",TRIM(F114&amp;""))),ISNUMBER(MATCH(LEFT(TRIM(F114&amp;""),FIND(" ",TRIM(F114&amp;""))-1),설정_코드표!$J$2:$J$101,0)),ISNUMBER(MATCH(TRIM(RIGHT(SUBSTITUTE(TRIM(F114&amp;"")," ",REPT(" ",60)),60)),설정_코드표!$F$2:$F$101,0))),INDEX(설정_코드표!$K$2:$K$101,MATCH(LEFT(TRIM(F114&amp;""),FIND(" ",TRIM(F114&amp;""))-1),설정_코드표!$J$2:$J$101,0))&amp;" "&amp;INDEX(설정_코드표!$G$2:$G$101,MATCH(TRIM(RIGHT(SUBSTITUTE(TRIM(F114&amp;"")," ",REPT(" ",60)),60)),설정_코드표!$F$2:$F$101,0)),"⚠"&amp;TRIM(F114&amp;""))),"⚠"&amp;TRIM(F114&amp;""))</f>
        <v/>
      </c>
      <c r="O114" s="10">
        <f>IFERROR(IF(TRIM(G114&amp;"")="","",IF(AND(ISNUMBER(FIND(" ",TRIM(G114&amp;""))),ISNUMBER(MATCH(LEFT(TRIM(G114&amp;""),FIND(" ",TRIM(G114&amp;""))-1),설정_코드표!$J$2:$J$101,0)),ISNUMBER(MATCH(TRIM(RIGHT(SUBSTITUTE(TRIM(G114&amp;"")," ",REPT(" ",60)),60)),설정_코드표!$F$2:$F$101,0))),INDEX(설정_코드표!$K$2:$K$101,MATCH(LEFT(TRIM(G114&amp;""),FIND(" ",TRIM(G114&amp;""))-1),설정_코드표!$J$2:$J$101,0))&amp;" "&amp;INDEX(설정_코드표!$G$2:$G$101,MATCH(TRIM(RIGHT(SUBSTITUTE(TRIM(G114&amp;"")," ",REPT(" ",60)),60)),설정_코드표!$F$2:$F$101,0)),"⚠"&amp;TRIM(G114&amp;""))),"⚠"&amp;TRIM(G114&amp;""))</f>
        <v/>
      </c>
      <c r="P114" s="10">
        <f>IFERROR(IF(TRIM(H114&amp;"")="","",IF(AND(ISNUMBER(FIND(" ",TRIM(H114&amp;""))),ISNUMBER(MATCH(LEFT(TRIM(H114&amp;""),FIND(" ",TRIM(H114&amp;""))-1),설정_코드표!$J$2:$J$101,0)),ISNUMBER(MATCH(TRIM(RIGHT(SUBSTITUTE(TRIM(H114&amp;"")," ",REPT(" ",60)),60)),설정_코드표!$F$2:$F$101,0))),INDEX(설정_코드표!$K$2:$K$101,MATCH(LEFT(TRIM(H114&amp;""),FIND(" ",TRIM(H114&amp;""))-1),설정_코드표!$J$2:$J$101,0))&amp;" "&amp;INDEX(설정_코드표!$G$2:$G$101,MATCH(TRIM(RIGHT(SUBSTITUTE(TRIM(H114&amp;"")," ",REPT(" ",60)),60)),설정_코드표!$F$2:$F$101,0)),"⚠"&amp;TRIM(H114&amp;""))),"⚠"&amp;TRIM(H114&amp;""))</f>
        <v/>
      </c>
      <c r="Q114" s="10">
        <f>IFERROR(IF(TRIM(I114&amp;"")="","",IF(AND(ISNUMBER(FIND(" ",TRIM(I114&amp;""))),ISNUMBER(MATCH(LEFT(TRIM(I114&amp;""),FIND(" ",TRIM(I114&amp;""))-1),설정_코드표!$J$2:$J$101,0)),ISNUMBER(MATCH(TRIM(RIGHT(SUBSTITUTE(TRIM(I114&amp;"")," ",REPT(" ",60)),60)),설정_코드표!$F$2:$F$101,0))),INDEX(설정_코드표!$K$2:$K$101,MATCH(LEFT(TRIM(I114&amp;""),FIND(" ",TRIM(I114&amp;""))-1),설정_코드표!$J$2:$J$101,0))&amp;" "&amp;INDEX(설정_코드표!$G$2:$G$101,MATCH(TRIM(RIGHT(SUBSTITUTE(TRIM(I114&amp;"")," ",REPT(" ",60)),60)),설정_코드표!$F$2:$F$101,0)),"⚠"&amp;TRIM(I114&amp;""))),"⚠"&amp;TRIM(I114&amp;""))</f>
        <v/>
      </c>
      <c r="R114" s="10">
        <f>IFERROR(IF(TRIM(J114&amp;"")="","",IF(AND(ISNUMBER(FIND(" ",TRIM(J114&amp;""))),ISNUMBER(MATCH(LEFT(TRIM(J114&amp;""),FIND(" ",TRIM(J114&amp;""))-1),설정_코드표!$J$2:$J$101,0)),ISNUMBER(MATCH(TRIM(RIGHT(SUBSTITUTE(TRIM(J114&amp;"")," ",REPT(" ",60)),60)),설정_코드표!$F$2:$F$101,0))),INDEX(설정_코드표!$K$2:$K$101,MATCH(LEFT(TRIM(J114&amp;""),FIND(" ",TRIM(J114&amp;""))-1),설정_코드표!$J$2:$J$101,0))&amp;" "&amp;INDEX(설정_코드표!$G$2:$G$101,MATCH(TRIM(RIGHT(SUBSTITUTE(TRIM(J114&amp;"")," ",REPT(" ",60)),60)),설정_코드표!$F$2:$F$101,0)),"⚠"&amp;TRIM(J114&amp;""))),"⚠"&amp;TRIM(J114&amp;""))</f>
        <v/>
      </c>
      <c r="S114" s="11">
        <f>IF(K114="","",IFERROR(IF(AND(ROUND((VALUE(K114&amp;"")-INT(VALUE(K114&amp;"")))*100,0)&gt;=1,ROUND((VALUE(K114&amp;"")-INT(VALUE(K114&amp;"")))*100,0)&lt;=12,INT(VALUE(K114&amp;""))&gt;=1900),DATE(INT(VALUE(K114&amp;"")),ROUND((VALUE(K114&amp;"")-INT(VALUE(K114&amp;"")))*100,0),1),K114&amp;""),K114&amp;""))</f>
        <v/>
      </c>
      <c r="T114" s="10">
        <f>COUNTIF(M114:R114,"⚠*")</f>
        <v/>
      </c>
    </row>
    <row r="115"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M115" s="10">
        <f>IFERROR(IF(TRIM(E115&amp;"")="","",IF(AND(ISNUMBER(FIND(" ",TRIM(E115&amp;""))),ISNUMBER(MATCH(LEFT(TRIM(E115&amp;""),FIND(" ",TRIM(E115&amp;""))-1),설정_코드표!$J$2:$J$101,0)),ISNUMBER(MATCH(TRIM(RIGHT(SUBSTITUTE(TRIM(E115&amp;"")," ",REPT(" ",60)),60)),설정_코드표!$F$2:$F$101,0))),INDEX(설정_코드표!$K$2:$K$101,MATCH(LEFT(TRIM(E115&amp;""),FIND(" ",TRIM(E115&amp;""))-1),설정_코드표!$J$2:$J$101,0))&amp;" "&amp;INDEX(설정_코드표!$G$2:$G$101,MATCH(TRIM(RIGHT(SUBSTITUTE(TRIM(E115&amp;"")," ",REPT(" ",60)),60)),설정_코드표!$F$2:$F$101,0)),"⚠"&amp;TRIM(E115&amp;""))),"⚠"&amp;TRIM(E115&amp;""))</f>
        <v/>
      </c>
      <c r="N115" s="10">
        <f>IFERROR(IF(TRIM(F115&amp;"")="","",IF(AND(ISNUMBER(FIND(" ",TRIM(F115&amp;""))),ISNUMBER(MATCH(LEFT(TRIM(F115&amp;""),FIND(" ",TRIM(F115&amp;""))-1),설정_코드표!$J$2:$J$101,0)),ISNUMBER(MATCH(TRIM(RIGHT(SUBSTITUTE(TRIM(F115&amp;"")," ",REPT(" ",60)),60)),설정_코드표!$F$2:$F$101,0))),INDEX(설정_코드표!$K$2:$K$101,MATCH(LEFT(TRIM(F115&amp;""),FIND(" ",TRIM(F115&amp;""))-1),설정_코드표!$J$2:$J$101,0))&amp;" "&amp;INDEX(설정_코드표!$G$2:$G$101,MATCH(TRIM(RIGHT(SUBSTITUTE(TRIM(F115&amp;"")," ",REPT(" ",60)),60)),설정_코드표!$F$2:$F$101,0)),"⚠"&amp;TRIM(F115&amp;""))),"⚠"&amp;TRIM(F115&amp;""))</f>
        <v/>
      </c>
      <c r="O115" s="10">
        <f>IFERROR(IF(TRIM(G115&amp;"")="","",IF(AND(ISNUMBER(FIND(" ",TRIM(G115&amp;""))),ISNUMBER(MATCH(LEFT(TRIM(G115&amp;""),FIND(" ",TRIM(G115&amp;""))-1),설정_코드표!$J$2:$J$101,0)),ISNUMBER(MATCH(TRIM(RIGHT(SUBSTITUTE(TRIM(G115&amp;"")," ",REPT(" ",60)),60)),설정_코드표!$F$2:$F$101,0))),INDEX(설정_코드표!$K$2:$K$101,MATCH(LEFT(TRIM(G115&amp;""),FIND(" ",TRIM(G115&amp;""))-1),설정_코드표!$J$2:$J$101,0))&amp;" "&amp;INDEX(설정_코드표!$G$2:$G$101,MATCH(TRIM(RIGHT(SUBSTITUTE(TRIM(G115&amp;"")," ",REPT(" ",60)),60)),설정_코드표!$F$2:$F$101,0)),"⚠"&amp;TRIM(G115&amp;""))),"⚠"&amp;TRIM(G115&amp;""))</f>
        <v/>
      </c>
      <c r="P115" s="10">
        <f>IFERROR(IF(TRIM(H115&amp;"")="","",IF(AND(ISNUMBER(FIND(" ",TRIM(H115&amp;""))),ISNUMBER(MATCH(LEFT(TRIM(H115&amp;""),FIND(" ",TRIM(H115&amp;""))-1),설정_코드표!$J$2:$J$101,0)),ISNUMBER(MATCH(TRIM(RIGHT(SUBSTITUTE(TRIM(H115&amp;"")," ",REPT(" ",60)),60)),설정_코드표!$F$2:$F$101,0))),INDEX(설정_코드표!$K$2:$K$101,MATCH(LEFT(TRIM(H115&amp;""),FIND(" ",TRIM(H115&amp;""))-1),설정_코드표!$J$2:$J$101,0))&amp;" "&amp;INDEX(설정_코드표!$G$2:$G$101,MATCH(TRIM(RIGHT(SUBSTITUTE(TRIM(H115&amp;"")," ",REPT(" ",60)),60)),설정_코드표!$F$2:$F$101,0)),"⚠"&amp;TRIM(H115&amp;""))),"⚠"&amp;TRIM(H115&amp;""))</f>
        <v/>
      </c>
      <c r="Q115" s="10">
        <f>IFERROR(IF(TRIM(I115&amp;"")="","",IF(AND(ISNUMBER(FIND(" ",TRIM(I115&amp;""))),ISNUMBER(MATCH(LEFT(TRIM(I115&amp;""),FIND(" ",TRIM(I115&amp;""))-1),설정_코드표!$J$2:$J$101,0)),ISNUMBER(MATCH(TRIM(RIGHT(SUBSTITUTE(TRIM(I115&amp;"")," ",REPT(" ",60)),60)),설정_코드표!$F$2:$F$101,0))),INDEX(설정_코드표!$K$2:$K$101,MATCH(LEFT(TRIM(I115&amp;""),FIND(" ",TRIM(I115&amp;""))-1),설정_코드표!$J$2:$J$101,0))&amp;" "&amp;INDEX(설정_코드표!$G$2:$G$101,MATCH(TRIM(RIGHT(SUBSTITUTE(TRIM(I115&amp;"")," ",REPT(" ",60)),60)),설정_코드표!$F$2:$F$101,0)),"⚠"&amp;TRIM(I115&amp;""))),"⚠"&amp;TRIM(I115&amp;""))</f>
        <v/>
      </c>
      <c r="R115" s="10">
        <f>IFERROR(IF(TRIM(J115&amp;"")="","",IF(AND(ISNUMBER(FIND(" ",TRIM(J115&amp;""))),ISNUMBER(MATCH(LEFT(TRIM(J115&amp;""),FIND(" ",TRIM(J115&amp;""))-1),설정_코드표!$J$2:$J$101,0)),ISNUMBER(MATCH(TRIM(RIGHT(SUBSTITUTE(TRIM(J115&amp;"")," ",REPT(" ",60)),60)),설정_코드표!$F$2:$F$101,0))),INDEX(설정_코드표!$K$2:$K$101,MATCH(LEFT(TRIM(J115&amp;""),FIND(" ",TRIM(J115&amp;""))-1),설정_코드표!$J$2:$J$101,0))&amp;" "&amp;INDEX(설정_코드표!$G$2:$G$101,MATCH(TRIM(RIGHT(SUBSTITUTE(TRIM(J115&amp;"")," ",REPT(" ",60)),60)),설정_코드표!$F$2:$F$101,0)),"⚠"&amp;TRIM(J115&amp;""))),"⚠"&amp;TRIM(J115&amp;""))</f>
        <v/>
      </c>
      <c r="S115" s="11">
        <f>IF(K115="","",IFERROR(IF(AND(ROUND((VALUE(K115&amp;"")-INT(VALUE(K115&amp;"")))*100,0)&gt;=1,ROUND((VALUE(K115&amp;"")-INT(VALUE(K115&amp;"")))*100,0)&lt;=12,INT(VALUE(K115&amp;""))&gt;=1900),DATE(INT(VALUE(K115&amp;"")),ROUND((VALUE(K115&amp;"")-INT(VALUE(K115&amp;"")))*100,0),1),K115&amp;""),K115&amp;""))</f>
        <v/>
      </c>
      <c r="T115" s="10">
        <f>COUNTIF(M115:R115,"⚠*")</f>
        <v/>
      </c>
    </row>
    <row r="116"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M116" s="10">
        <f>IFERROR(IF(TRIM(E116&amp;"")="","",IF(AND(ISNUMBER(FIND(" ",TRIM(E116&amp;""))),ISNUMBER(MATCH(LEFT(TRIM(E116&amp;""),FIND(" ",TRIM(E116&amp;""))-1),설정_코드표!$J$2:$J$101,0)),ISNUMBER(MATCH(TRIM(RIGHT(SUBSTITUTE(TRIM(E116&amp;"")," ",REPT(" ",60)),60)),설정_코드표!$F$2:$F$101,0))),INDEX(설정_코드표!$K$2:$K$101,MATCH(LEFT(TRIM(E116&amp;""),FIND(" ",TRIM(E116&amp;""))-1),설정_코드표!$J$2:$J$101,0))&amp;" "&amp;INDEX(설정_코드표!$G$2:$G$101,MATCH(TRIM(RIGHT(SUBSTITUTE(TRIM(E116&amp;"")," ",REPT(" ",60)),60)),설정_코드표!$F$2:$F$101,0)),"⚠"&amp;TRIM(E116&amp;""))),"⚠"&amp;TRIM(E116&amp;""))</f>
        <v/>
      </c>
      <c r="N116" s="10">
        <f>IFERROR(IF(TRIM(F116&amp;"")="","",IF(AND(ISNUMBER(FIND(" ",TRIM(F116&amp;""))),ISNUMBER(MATCH(LEFT(TRIM(F116&amp;""),FIND(" ",TRIM(F116&amp;""))-1),설정_코드표!$J$2:$J$101,0)),ISNUMBER(MATCH(TRIM(RIGHT(SUBSTITUTE(TRIM(F116&amp;"")," ",REPT(" ",60)),60)),설정_코드표!$F$2:$F$101,0))),INDEX(설정_코드표!$K$2:$K$101,MATCH(LEFT(TRIM(F116&amp;""),FIND(" ",TRIM(F116&amp;""))-1),설정_코드표!$J$2:$J$101,0))&amp;" "&amp;INDEX(설정_코드표!$G$2:$G$101,MATCH(TRIM(RIGHT(SUBSTITUTE(TRIM(F116&amp;"")," ",REPT(" ",60)),60)),설정_코드표!$F$2:$F$101,0)),"⚠"&amp;TRIM(F116&amp;""))),"⚠"&amp;TRIM(F116&amp;""))</f>
        <v/>
      </c>
      <c r="O116" s="10">
        <f>IFERROR(IF(TRIM(G116&amp;"")="","",IF(AND(ISNUMBER(FIND(" ",TRIM(G116&amp;""))),ISNUMBER(MATCH(LEFT(TRIM(G116&amp;""),FIND(" ",TRIM(G116&amp;""))-1),설정_코드표!$J$2:$J$101,0)),ISNUMBER(MATCH(TRIM(RIGHT(SUBSTITUTE(TRIM(G116&amp;"")," ",REPT(" ",60)),60)),설정_코드표!$F$2:$F$101,0))),INDEX(설정_코드표!$K$2:$K$101,MATCH(LEFT(TRIM(G116&amp;""),FIND(" ",TRIM(G116&amp;""))-1),설정_코드표!$J$2:$J$101,0))&amp;" "&amp;INDEX(설정_코드표!$G$2:$G$101,MATCH(TRIM(RIGHT(SUBSTITUTE(TRIM(G116&amp;"")," ",REPT(" ",60)),60)),설정_코드표!$F$2:$F$101,0)),"⚠"&amp;TRIM(G116&amp;""))),"⚠"&amp;TRIM(G116&amp;""))</f>
        <v/>
      </c>
      <c r="P116" s="10">
        <f>IFERROR(IF(TRIM(H116&amp;"")="","",IF(AND(ISNUMBER(FIND(" ",TRIM(H116&amp;""))),ISNUMBER(MATCH(LEFT(TRIM(H116&amp;""),FIND(" ",TRIM(H116&amp;""))-1),설정_코드표!$J$2:$J$101,0)),ISNUMBER(MATCH(TRIM(RIGHT(SUBSTITUTE(TRIM(H116&amp;"")," ",REPT(" ",60)),60)),설정_코드표!$F$2:$F$101,0))),INDEX(설정_코드표!$K$2:$K$101,MATCH(LEFT(TRIM(H116&amp;""),FIND(" ",TRIM(H116&amp;""))-1),설정_코드표!$J$2:$J$101,0))&amp;" "&amp;INDEX(설정_코드표!$G$2:$G$101,MATCH(TRIM(RIGHT(SUBSTITUTE(TRIM(H116&amp;"")," ",REPT(" ",60)),60)),설정_코드표!$F$2:$F$101,0)),"⚠"&amp;TRIM(H116&amp;""))),"⚠"&amp;TRIM(H116&amp;""))</f>
        <v/>
      </c>
      <c r="Q116" s="10">
        <f>IFERROR(IF(TRIM(I116&amp;"")="","",IF(AND(ISNUMBER(FIND(" ",TRIM(I116&amp;""))),ISNUMBER(MATCH(LEFT(TRIM(I116&amp;""),FIND(" ",TRIM(I116&amp;""))-1),설정_코드표!$J$2:$J$101,0)),ISNUMBER(MATCH(TRIM(RIGHT(SUBSTITUTE(TRIM(I116&amp;"")," ",REPT(" ",60)),60)),설정_코드표!$F$2:$F$101,0))),INDEX(설정_코드표!$K$2:$K$101,MATCH(LEFT(TRIM(I116&amp;""),FIND(" ",TRIM(I116&amp;""))-1),설정_코드표!$J$2:$J$101,0))&amp;" "&amp;INDEX(설정_코드표!$G$2:$G$101,MATCH(TRIM(RIGHT(SUBSTITUTE(TRIM(I116&amp;"")," ",REPT(" ",60)),60)),설정_코드표!$F$2:$F$101,0)),"⚠"&amp;TRIM(I116&amp;""))),"⚠"&amp;TRIM(I116&amp;""))</f>
        <v/>
      </c>
      <c r="R116" s="10">
        <f>IFERROR(IF(TRIM(J116&amp;"")="","",IF(AND(ISNUMBER(FIND(" ",TRIM(J116&amp;""))),ISNUMBER(MATCH(LEFT(TRIM(J116&amp;""),FIND(" ",TRIM(J116&amp;""))-1),설정_코드표!$J$2:$J$101,0)),ISNUMBER(MATCH(TRIM(RIGHT(SUBSTITUTE(TRIM(J116&amp;"")," ",REPT(" ",60)),60)),설정_코드표!$F$2:$F$101,0))),INDEX(설정_코드표!$K$2:$K$101,MATCH(LEFT(TRIM(J116&amp;""),FIND(" ",TRIM(J116&amp;""))-1),설정_코드표!$J$2:$J$101,0))&amp;" "&amp;INDEX(설정_코드표!$G$2:$G$101,MATCH(TRIM(RIGHT(SUBSTITUTE(TRIM(J116&amp;"")," ",REPT(" ",60)),60)),설정_코드표!$F$2:$F$101,0)),"⚠"&amp;TRIM(J116&amp;""))),"⚠"&amp;TRIM(J116&amp;""))</f>
        <v/>
      </c>
      <c r="S116" s="11">
        <f>IF(K116="","",IFERROR(IF(AND(ROUND((VALUE(K116&amp;"")-INT(VALUE(K116&amp;"")))*100,0)&gt;=1,ROUND((VALUE(K116&amp;"")-INT(VALUE(K116&amp;"")))*100,0)&lt;=12,INT(VALUE(K116&amp;""))&gt;=1900),DATE(INT(VALUE(K116&amp;"")),ROUND((VALUE(K116&amp;"")-INT(VALUE(K116&amp;"")))*100,0),1),K116&amp;""),K116&amp;""))</f>
        <v/>
      </c>
      <c r="T116" s="10">
        <f>COUNTIF(M116:R116,"⚠*")</f>
        <v/>
      </c>
    </row>
    <row r="117"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M117" s="10">
        <f>IFERROR(IF(TRIM(E117&amp;"")="","",IF(AND(ISNUMBER(FIND(" ",TRIM(E117&amp;""))),ISNUMBER(MATCH(LEFT(TRIM(E117&amp;""),FIND(" ",TRIM(E117&amp;""))-1),설정_코드표!$J$2:$J$101,0)),ISNUMBER(MATCH(TRIM(RIGHT(SUBSTITUTE(TRIM(E117&amp;"")," ",REPT(" ",60)),60)),설정_코드표!$F$2:$F$101,0))),INDEX(설정_코드표!$K$2:$K$101,MATCH(LEFT(TRIM(E117&amp;""),FIND(" ",TRIM(E117&amp;""))-1),설정_코드표!$J$2:$J$101,0))&amp;" "&amp;INDEX(설정_코드표!$G$2:$G$101,MATCH(TRIM(RIGHT(SUBSTITUTE(TRIM(E117&amp;"")," ",REPT(" ",60)),60)),설정_코드표!$F$2:$F$101,0)),"⚠"&amp;TRIM(E117&amp;""))),"⚠"&amp;TRIM(E117&amp;""))</f>
        <v/>
      </c>
      <c r="N117" s="10">
        <f>IFERROR(IF(TRIM(F117&amp;"")="","",IF(AND(ISNUMBER(FIND(" ",TRIM(F117&amp;""))),ISNUMBER(MATCH(LEFT(TRIM(F117&amp;""),FIND(" ",TRIM(F117&amp;""))-1),설정_코드표!$J$2:$J$101,0)),ISNUMBER(MATCH(TRIM(RIGHT(SUBSTITUTE(TRIM(F117&amp;"")," ",REPT(" ",60)),60)),설정_코드표!$F$2:$F$101,0))),INDEX(설정_코드표!$K$2:$K$101,MATCH(LEFT(TRIM(F117&amp;""),FIND(" ",TRIM(F117&amp;""))-1),설정_코드표!$J$2:$J$101,0))&amp;" "&amp;INDEX(설정_코드표!$G$2:$G$101,MATCH(TRIM(RIGHT(SUBSTITUTE(TRIM(F117&amp;"")," ",REPT(" ",60)),60)),설정_코드표!$F$2:$F$101,0)),"⚠"&amp;TRIM(F117&amp;""))),"⚠"&amp;TRIM(F117&amp;""))</f>
        <v/>
      </c>
      <c r="O117" s="10">
        <f>IFERROR(IF(TRIM(G117&amp;"")="","",IF(AND(ISNUMBER(FIND(" ",TRIM(G117&amp;""))),ISNUMBER(MATCH(LEFT(TRIM(G117&amp;""),FIND(" ",TRIM(G117&amp;""))-1),설정_코드표!$J$2:$J$101,0)),ISNUMBER(MATCH(TRIM(RIGHT(SUBSTITUTE(TRIM(G117&amp;"")," ",REPT(" ",60)),60)),설정_코드표!$F$2:$F$101,0))),INDEX(설정_코드표!$K$2:$K$101,MATCH(LEFT(TRIM(G117&amp;""),FIND(" ",TRIM(G117&amp;""))-1),설정_코드표!$J$2:$J$101,0))&amp;" "&amp;INDEX(설정_코드표!$G$2:$G$101,MATCH(TRIM(RIGHT(SUBSTITUTE(TRIM(G117&amp;"")," ",REPT(" ",60)),60)),설정_코드표!$F$2:$F$101,0)),"⚠"&amp;TRIM(G117&amp;""))),"⚠"&amp;TRIM(G117&amp;""))</f>
        <v/>
      </c>
      <c r="P117" s="10">
        <f>IFERROR(IF(TRIM(H117&amp;"")="","",IF(AND(ISNUMBER(FIND(" ",TRIM(H117&amp;""))),ISNUMBER(MATCH(LEFT(TRIM(H117&amp;""),FIND(" ",TRIM(H117&amp;""))-1),설정_코드표!$J$2:$J$101,0)),ISNUMBER(MATCH(TRIM(RIGHT(SUBSTITUTE(TRIM(H117&amp;"")," ",REPT(" ",60)),60)),설정_코드표!$F$2:$F$101,0))),INDEX(설정_코드표!$K$2:$K$101,MATCH(LEFT(TRIM(H117&amp;""),FIND(" ",TRIM(H117&amp;""))-1),설정_코드표!$J$2:$J$101,0))&amp;" "&amp;INDEX(설정_코드표!$G$2:$G$101,MATCH(TRIM(RIGHT(SUBSTITUTE(TRIM(H117&amp;"")," ",REPT(" ",60)),60)),설정_코드표!$F$2:$F$101,0)),"⚠"&amp;TRIM(H117&amp;""))),"⚠"&amp;TRIM(H117&amp;""))</f>
        <v/>
      </c>
      <c r="Q117" s="10">
        <f>IFERROR(IF(TRIM(I117&amp;"")="","",IF(AND(ISNUMBER(FIND(" ",TRIM(I117&amp;""))),ISNUMBER(MATCH(LEFT(TRIM(I117&amp;""),FIND(" ",TRIM(I117&amp;""))-1),설정_코드표!$J$2:$J$101,0)),ISNUMBER(MATCH(TRIM(RIGHT(SUBSTITUTE(TRIM(I117&amp;"")," ",REPT(" ",60)),60)),설정_코드표!$F$2:$F$101,0))),INDEX(설정_코드표!$K$2:$K$101,MATCH(LEFT(TRIM(I117&amp;""),FIND(" ",TRIM(I117&amp;""))-1),설정_코드표!$J$2:$J$101,0))&amp;" "&amp;INDEX(설정_코드표!$G$2:$G$101,MATCH(TRIM(RIGHT(SUBSTITUTE(TRIM(I117&amp;"")," ",REPT(" ",60)),60)),설정_코드표!$F$2:$F$101,0)),"⚠"&amp;TRIM(I117&amp;""))),"⚠"&amp;TRIM(I117&amp;""))</f>
        <v/>
      </c>
      <c r="R117" s="10">
        <f>IFERROR(IF(TRIM(J117&amp;"")="","",IF(AND(ISNUMBER(FIND(" ",TRIM(J117&amp;""))),ISNUMBER(MATCH(LEFT(TRIM(J117&amp;""),FIND(" ",TRIM(J117&amp;""))-1),설정_코드표!$J$2:$J$101,0)),ISNUMBER(MATCH(TRIM(RIGHT(SUBSTITUTE(TRIM(J117&amp;"")," ",REPT(" ",60)),60)),설정_코드표!$F$2:$F$101,0))),INDEX(설정_코드표!$K$2:$K$101,MATCH(LEFT(TRIM(J117&amp;""),FIND(" ",TRIM(J117&amp;""))-1),설정_코드표!$J$2:$J$101,0))&amp;" "&amp;INDEX(설정_코드표!$G$2:$G$101,MATCH(TRIM(RIGHT(SUBSTITUTE(TRIM(J117&amp;"")," ",REPT(" ",60)),60)),설정_코드표!$F$2:$F$101,0)),"⚠"&amp;TRIM(J117&amp;""))),"⚠"&amp;TRIM(J117&amp;""))</f>
        <v/>
      </c>
      <c r="S117" s="11">
        <f>IF(K117="","",IFERROR(IF(AND(ROUND((VALUE(K117&amp;"")-INT(VALUE(K117&amp;"")))*100,0)&gt;=1,ROUND((VALUE(K117&amp;"")-INT(VALUE(K117&amp;"")))*100,0)&lt;=12,INT(VALUE(K117&amp;""))&gt;=1900),DATE(INT(VALUE(K117&amp;"")),ROUND((VALUE(K117&amp;"")-INT(VALUE(K117&amp;"")))*100,0),1),K117&amp;""),K117&amp;""))</f>
        <v/>
      </c>
      <c r="T117" s="10">
        <f>COUNTIF(M117:R117,"⚠*")</f>
        <v/>
      </c>
    </row>
    <row r="118"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M118" s="10">
        <f>IFERROR(IF(TRIM(E118&amp;"")="","",IF(AND(ISNUMBER(FIND(" ",TRIM(E118&amp;""))),ISNUMBER(MATCH(LEFT(TRIM(E118&amp;""),FIND(" ",TRIM(E118&amp;""))-1),설정_코드표!$J$2:$J$101,0)),ISNUMBER(MATCH(TRIM(RIGHT(SUBSTITUTE(TRIM(E118&amp;"")," ",REPT(" ",60)),60)),설정_코드표!$F$2:$F$101,0))),INDEX(설정_코드표!$K$2:$K$101,MATCH(LEFT(TRIM(E118&amp;""),FIND(" ",TRIM(E118&amp;""))-1),설정_코드표!$J$2:$J$101,0))&amp;" "&amp;INDEX(설정_코드표!$G$2:$G$101,MATCH(TRIM(RIGHT(SUBSTITUTE(TRIM(E118&amp;"")," ",REPT(" ",60)),60)),설정_코드표!$F$2:$F$101,0)),"⚠"&amp;TRIM(E118&amp;""))),"⚠"&amp;TRIM(E118&amp;""))</f>
        <v/>
      </c>
      <c r="N118" s="10">
        <f>IFERROR(IF(TRIM(F118&amp;"")="","",IF(AND(ISNUMBER(FIND(" ",TRIM(F118&amp;""))),ISNUMBER(MATCH(LEFT(TRIM(F118&amp;""),FIND(" ",TRIM(F118&amp;""))-1),설정_코드표!$J$2:$J$101,0)),ISNUMBER(MATCH(TRIM(RIGHT(SUBSTITUTE(TRIM(F118&amp;"")," ",REPT(" ",60)),60)),설정_코드표!$F$2:$F$101,0))),INDEX(설정_코드표!$K$2:$K$101,MATCH(LEFT(TRIM(F118&amp;""),FIND(" ",TRIM(F118&amp;""))-1),설정_코드표!$J$2:$J$101,0))&amp;" "&amp;INDEX(설정_코드표!$G$2:$G$101,MATCH(TRIM(RIGHT(SUBSTITUTE(TRIM(F118&amp;"")," ",REPT(" ",60)),60)),설정_코드표!$F$2:$F$101,0)),"⚠"&amp;TRIM(F118&amp;""))),"⚠"&amp;TRIM(F118&amp;""))</f>
        <v/>
      </c>
      <c r="O118" s="10">
        <f>IFERROR(IF(TRIM(G118&amp;"")="","",IF(AND(ISNUMBER(FIND(" ",TRIM(G118&amp;""))),ISNUMBER(MATCH(LEFT(TRIM(G118&amp;""),FIND(" ",TRIM(G118&amp;""))-1),설정_코드표!$J$2:$J$101,0)),ISNUMBER(MATCH(TRIM(RIGHT(SUBSTITUTE(TRIM(G118&amp;"")," ",REPT(" ",60)),60)),설정_코드표!$F$2:$F$101,0))),INDEX(설정_코드표!$K$2:$K$101,MATCH(LEFT(TRIM(G118&amp;""),FIND(" ",TRIM(G118&amp;""))-1),설정_코드표!$J$2:$J$101,0))&amp;" "&amp;INDEX(설정_코드표!$G$2:$G$101,MATCH(TRIM(RIGHT(SUBSTITUTE(TRIM(G118&amp;"")," ",REPT(" ",60)),60)),설정_코드표!$F$2:$F$101,0)),"⚠"&amp;TRIM(G118&amp;""))),"⚠"&amp;TRIM(G118&amp;""))</f>
        <v/>
      </c>
      <c r="P118" s="10">
        <f>IFERROR(IF(TRIM(H118&amp;"")="","",IF(AND(ISNUMBER(FIND(" ",TRIM(H118&amp;""))),ISNUMBER(MATCH(LEFT(TRIM(H118&amp;""),FIND(" ",TRIM(H118&amp;""))-1),설정_코드표!$J$2:$J$101,0)),ISNUMBER(MATCH(TRIM(RIGHT(SUBSTITUTE(TRIM(H118&amp;"")," ",REPT(" ",60)),60)),설정_코드표!$F$2:$F$101,0))),INDEX(설정_코드표!$K$2:$K$101,MATCH(LEFT(TRIM(H118&amp;""),FIND(" ",TRIM(H118&amp;""))-1),설정_코드표!$J$2:$J$101,0))&amp;" "&amp;INDEX(설정_코드표!$G$2:$G$101,MATCH(TRIM(RIGHT(SUBSTITUTE(TRIM(H118&amp;"")," ",REPT(" ",60)),60)),설정_코드표!$F$2:$F$101,0)),"⚠"&amp;TRIM(H118&amp;""))),"⚠"&amp;TRIM(H118&amp;""))</f>
        <v/>
      </c>
      <c r="Q118" s="10">
        <f>IFERROR(IF(TRIM(I118&amp;"")="","",IF(AND(ISNUMBER(FIND(" ",TRIM(I118&amp;""))),ISNUMBER(MATCH(LEFT(TRIM(I118&amp;""),FIND(" ",TRIM(I118&amp;""))-1),설정_코드표!$J$2:$J$101,0)),ISNUMBER(MATCH(TRIM(RIGHT(SUBSTITUTE(TRIM(I118&amp;"")," ",REPT(" ",60)),60)),설정_코드표!$F$2:$F$101,0))),INDEX(설정_코드표!$K$2:$K$101,MATCH(LEFT(TRIM(I118&amp;""),FIND(" ",TRIM(I118&amp;""))-1),설정_코드표!$J$2:$J$101,0))&amp;" "&amp;INDEX(설정_코드표!$G$2:$G$101,MATCH(TRIM(RIGHT(SUBSTITUTE(TRIM(I118&amp;"")," ",REPT(" ",60)),60)),설정_코드표!$F$2:$F$101,0)),"⚠"&amp;TRIM(I118&amp;""))),"⚠"&amp;TRIM(I118&amp;""))</f>
        <v/>
      </c>
      <c r="R118" s="10">
        <f>IFERROR(IF(TRIM(J118&amp;"")="","",IF(AND(ISNUMBER(FIND(" ",TRIM(J118&amp;""))),ISNUMBER(MATCH(LEFT(TRIM(J118&amp;""),FIND(" ",TRIM(J118&amp;""))-1),설정_코드표!$J$2:$J$101,0)),ISNUMBER(MATCH(TRIM(RIGHT(SUBSTITUTE(TRIM(J118&amp;"")," ",REPT(" ",60)),60)),설정_코드표!$F$2:$F$101,0))),INDEX(설정_코드표!$K$2:$K$101,MATCH(LEFT(TRIM(J118&amp;""),FIND(" ",TRIM(J118&amp;""))-1),설정_코드표!$J$2:$J$101,0))&amp;" "&amp;INDEX(설정_코드표!$G$2:$G$101,MATCH(TRIM(RIGHT(SUBSTITUTE(TRIM(J118&amp;"")," ",REPT(" ",60)),60)),설정_코드표!$F$2:$F$101,0)),"⚠"&amp;TRIM(J118&amp;""))),"⚠"&amp;TRIM(J118&amp;""))</f>
        <v/>
      </c>
      <c r="S118" s="11">
        <f>IF(K118="","",IFERROR(IF(AND(ROUND((VALUE(K118&amp;"")-INT(VALUE(K118&amp;"")))*100,0)&gt;=1,ROUND((VALUE(K118&amp;"")-INT(VALUE(K118&amp;"")))*100,0)&lt;=12,INT(VALUE(K118&amp;""))&gt;=1900),DATE(INT(VALUE(K118&amp;"")),ROUND((VALUE(K118&amp;"")-INT(VALUE(K118&amp;"")))*100,0),1),K118&amp;""),K118&amp;""))</f>
        <v/>
      </c>
      <c r="T118" s="10">
        <f>COUNTIF(M118:R118,"⚠*")</f>
        <v/>
      </c>
    </row>
    <row r="119"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M119" s="10">
        <f>IFERROR(IF(TRIM(E119&amp;"")="","",IF(AND(ISNUMBER(FIND(" ",TRIM(E119&amp;""))),ISNUMBER(MATCH(LEFT(TRIM(E119&amp;""),FIND(" ",TRIM(E119&amp;""))-1),설정_코드표!$J$2:$J$101,0)),ISNUMBER(MATCH(TRIM(RIGHT(SUBSTITUTE(TRIM(E119&amp;"")," ",REPT(" ",60)),60)),설정_코드표!$F$2:$F$101,0))),INDEX(설정_코드표!$K$2:$K$101,MATCH(LEFT(TRIM(E119&amp;""),FIND(" ",TRIM(E119&amp;""))-1),설정_코드표!$J$2:$J$101,0))&amp;" "&amp;INDEX(설정_코드표!$G$2:$G$101,MATCH(TRIM(RIGHT(SUBSTITUTE(TRIM(E119&amp;"")," ",REPT(" ",60)),60)),설정_코드표!$F$2:$F$101,0)),"⚠"&amp;TRIM(E119&amp;""))),"⚠"&amp;TRIM(E119&amp;""))</f>
        <v/>
      </c>
      <c r="N119" s="10">
        <f>IFERROR(IF(TRIM(F119&amp;"")="","",IF(AND(ISNUMBER(FIND(" ",TRIM(F119&amp;""))),ISNUMBER(MATCH(LEFT(TRIM(F119&amp;""),FIND(" ",TRIM(F119&amp;""))-1),설정_코드표!$J$2:$J$101,0)),ISNUMBER(MATCH(TRIM(RIGHT(SUBSTITUTE(TRIM(F119&amp;"")," ",REPT(" ",60)),60)),설정_코드표!$F$2:$F$101,0))),INDEX(설정_코드표!$K$2:$K$101,MATCH(LEFT(TRIM(F119&amp;""),FIND(" ",TRIM(F119&amp;""))-1),설정_코드표!$J$2:$J$101,0))&amp;" "&amp;INDEX(설정_코드표!$G$2:$G$101,MATCH(TRIM(RIGHT(SUBSTITUTE(TRIM(F119&amp;"")," ",REPT(" ",60)),60)),설정_코드표!$F$2:$F$101,0)),"⚠"&amp;TRIM(F119&amp;""))),"⚠"&amp;TRIM(F119&amp;""))</f>
        <v/>
      </c>
      <c r="O119" s="10">
        <f>IFERROR(IF(TRIM(G119&amp;"")="","",IF(AND(ISNUMBER(FIND(" ",TRIM(G119&amp;""))),ISNUMBER(MATCH(LEFT(TRIM(G119&amp;""),FIND(" ",TRIM(G119&amp;""))-1),설정_코드표!$J$2:$J$101,0)),ISNUMBER(MATCH(TRIM(RIGHT(SUBSTITUTE(TRIM(G119&amp;"")," ",REPT(" ",60)),60)),설정_코드표!$F$2:$F$101,0))),INDEX(설정_코드표!$K$2:$K$101,MATCH(LEFT(TRIM(G119&amp;""),FIND(" ",TRIM(G119&amp;""))-1),설정_코드표!$J$2:$J$101,0))&amp;" "&amp;INDEX(설정_코드표!$G$2:$G$101,MATCH(TRIM(RIGHT(SUBSTITUTE(TRIM(G119&amp;"")," ",REPT(" ",60)),60)),설정_코드표!$F$2:$F$101,0)),"⚠"&amp;TRIM(G119&amp;""))),"⚠"&amp;TRIM(G119&amp;""))</f>
        <v/>
      </c>
      <c r="P119" s="10">
        <f>IFERROR(IF(TRIM(H119&amp;"")="","",IF(AND(ISNUMBER(FIND(" ",TRIM(H119&amp;""))),ISNUMBER(MATCH(LEFT(TRIM(H119&amp;""),FIND(" ",TRIM(H119&amp;""))-1),설정_코드표!$J$2:$J$101,0)),ISNUMBER(MATCH(TRIM(RIGHT(SUBSTITUTE(TRIM(H119&amp;"")," ",REPT(" ",60)),60)),설정_코드표!$F$2:$F$101,0))),INDEX(설정_코드표!$K$2:$K$101,MATCH(LEFT(TRIM(H119&amp;""),FIND(" ",TRIM(H119&amp;""))-1),설정_코드표!$J$2:$J$101,0))&amp;" "&amp;INDEX(설정_코드표!$G$2:$G$101,MATCH(TRIM(RIGHT(SUBSTITUTE(TRIM(H119&amp;"")," ",REPT(" ",60)),60)),설정_코드표!$F$2:$F$101,0)),"⚠"&amp;TRIM(H119&amp;""))),"⚠"&amp;TRIM(H119&amp;""))</f>
        <v/>
      </c>
      <c r="Q119" s="10">
        <f>IFERROR(IF(TRIM(I119&amp;"")="","",IF(AND(ISNUMBER(FIND(" ",TRIM(I119&amp;""))),ISNUMBER(MATCH(LEFT(TRIM(I119&amp;""),FIND(" ",TRIM(I119&amp;""))-1),설정_코드표!$J$2:$J$101,0)),ISNUMBER(MATCH(TRIM(RIGHT(SUBSTITUTE(TRIM(I119&amp;"")," ",REPT(" ",60)),60)),설정_코드표!$F$2:$F$101,0))),INDEX(설정_코드표!$K$2:$K$101,MATCH(LEFT(TRIM(I119&amp;""),FIND(" ",TRIM(I119&amp;""))-1),설정_코드표!$J$2:$J$101,0))&amp;" "&amp;INDEX(설정_코드표!$G$2:$G$101,MATCH(TRIM(RIGHT(SUBSTITUTE(TRIM(I119&amp;"")," ",REPT(" ",60)),60)),설정_코드표!$F$2:$F$101,0)),"⚠"&amp;TRIM(I119&amp;""))),"⚠"&amp;TRIM(I119&amp;""))</f>
        <v/>
      </c>
      <c r="R119" s="10">
        <f>IFERROR(IF(TRIM(J119&amp;"")="","",IF(AND(ISNUMBER(FIND(" ",TRIM(J119&amp;""))),ISNUMBER(MATCH(LEFT(TRIM(J119&amp;""),FIND(" ",TRIM(J119&amp;""))-1),설정_코드표!$J$2:$J$101,0)),ISNUMBER(MATCH(TRIM(RIGHT(SUBSTITUTE(TRIM(J119&amp;"")," ",REPT(" ",60)),60)),설정_코드표!$F$2:$F$101,0))),INDEX(설정_코드표!$K$2:$K$101,MATCH(LEFT(TRIM(J119&amp;""),FIND(" ",TRIM(J119&amp;""))-1),설정_코드표!$J$2:$J$101,0))&amp;" "&amp;INDEX(설정_코드표!$G$2:$G$101,MATCH(TRIM(RIGHT(SUBSTITUTE(TRIM(J119&amp;"")," ",REPT(" ",60)),60)),설정_코드표!$F$2:$F$101,0)),"⚠"&amp;TRIM(J119&amp;""))),"⚠"&amp;TRIM(J119&amp;""))</f>
        <v/>
      </c>
      <c r="S119" s="11">
        <f>IF(K119="","",IFERROR(IF(AND(ROUND((VALUE(K119&amp;"")-INT(VALUE(K119&amp;"")))*100,0)&gt;=1,ROUND((VALUE(K119&amp;"")-INT(VALUE(K119&amp;"")))*100,0)&lt;=12,INT(VALUE(K119&amp;""))&gt;=1900),DATE(INT(VALUE(K119&amp;"")),ROUND((VALUE(K119&amp;"")-INT(VALUE(K119&amp;"")))*100,0),1),K119&amp;""),K119&amp;""))</f>
        <v/>
      </c>
      <c r="T119" s="10">
        <f>COUNTIF(M119:R119,"⚠*")</f>
        <v/>
      </c>
    </row>
    <row r="120"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M120" s="10">
        <f>IFERROR(IF(TRIM(E120&amp;"")="","",IF(AND(ISNUMBER(FIND(" ",TRIM(E120&amp;""))),ISNUMBER(MATCH(LEFT(TRIM(E120&amp;""),FIND(" ",TRIM(E120&amp;""))-1),설정_코드표!$J$2:$J$101,0)),ISNUMBER(MATCH(TRIM(RIGHT(SUBSTITUTE(TRIM(E120&amp;"")," ",REPT(" ",60)),60)),설정_코드표!$F$2:$F$101,0))),INDEX(설정_코드표!$K$2:$K$101,MATCH(LEFT(TRIM(E120&amp;""),FIND(" ",TRIM(E120&amp;""))-1),설정_코드표!$J$2:$J$101,0))&amp;" "&amp;INDEX(설정_코드표!$G$2:$G$101,MATCH(TRIM(RIGHT(SUBSTITUTE(TRIM(E120&amp;"")," ",REPT(" ",60)),60)),설정_코드표!$F$2:$F$101,0)),"⚠"&amp;TRIM(E120&amp;""))),"⚠"&amp;TRIM(E120&amp;""))</f>
        <v/>
      </c>
      <c r="N120" s="10">
        <f>IFERROR(IF(TRIM(F120&amp;"")="","",IF(AND(ISNUMBER(FIND(" ",TRIM(F120&amp;""))),ISNUMBER(MATCH(LEFT(TRIM(F120&amp;""),FIND(" ",TRIM(F120&amp;""))-1),설정_코드표!$J$2:$J$101,0)),ISNUMBER(MATCH(TRIM(RIGHT(SUBSTITUTE(TRIM(F120&amp;"")," ",REPT(" ",60)),60)),설정_코드표!$F$2:$F$101,0))),INDEX(설정_코드표!$K$2:$K$101,MATCH(LEFT(TRIM(F120&amp;""),FIND(" ",TRIM(F120&amp;""))-1),설정_코드표!$J$2:$J$101,0))&amp;" "&amp;INDEX(설정_코드표!$G$2:$G$101,MATCH(TRIM(RIGHT(SUBSTITUTE(TRIM(F120&amp;"")," ",REPT(" ",60)),60)),설정_코드표!$F$2:$F$101,0)),"⚠"&amp;TRIM(F120&amp;""))),"⚠"&amp;TRIM(F120&amp;""))</f>
        <v/>
      </c>
      <c r="O120" s="10">
        <f>IFERROR(IF(TRIM(G120&amp;"")="","",IF(AND(ISNUMBER(FIND(" ",TRIM(G120&amp;""))),ISNUMBER(MATCH(LEFT(TRIM(G120&amp;""),FIND(" ",TRIM(G120&amp;""))-1),설정_코드표!$J$2:$J$101,0)),ISNUMBER(MATCH(TRIM(RIGHT(SUBSTITUTE(TRIM(G120&amp;"")," ",REPT(" ",60)),60)),설정_코드표!$F$2:$F$101,0))),INDEX(설정_코드표!$K$2:$K$101,MATCH(LEFT(TRIM(G120&amp;""),FIND(" ",TRIM(G120&amp;""))-1),설정_코드표!$J$2:$J$101,0))&amp;" "&amp;INDEX(설정_코드표!$G$2:$G$101,MATCH(TRIM(RIGHT(SUBSTITUTE(TRIM(G120&amp;"")," ",REPT(" ",60)),60)),설정_코드표!$F$2:$F$101,0)),"⚠"&amp;TRIM(G120&amp;""))),"⚠"&amp;TRIM(G120&amp;""))</f>
        <v/>
      </c>
      <c r="P120" s="10">
        <f>IFERROR(IF(TRIM(H120&amp;"")="","",IF(AND(ISNUMBER(FIND(" ",TRIM(H120&amp;""))),ISNUMBER(MATCH(LEFT(TRIM(H120&amp;""),FIND(" ",TRIM(H120&amp;""))-1),설정_코드표!$J$2:$J$101,0)),ISNUMBER(MATCH(TRIM(RIGHT(SUBSTITUTE(TRIM(H120&amp;"")," ",REPT(" ",60)),60)),설정_코드표!$F$2:$F$101,0))),INDEX(설정_코드표!$K$2:$K$101,MATCH(LEFT(TRIM(H120&amp;""),FIND(" ",TRIM(H120&amp;""))-1),설정_코드표!$J$2:$J$101,0))&amp;" "&amp;INDEX(설정_코드표!$G$2:$G$101,MATCH(TRIM(RIGHT(SUBSTITUTE(TRIM(H120&amp;"")," ",REPT(" ",60)),60)),설정_코드표!$F$2:$F$101,0)),"⚠"&amp;TRIM(H120&amp;""))),"⚠"&amp;TRIM(H120&amp;""))</f>
        <v/>
      </c>
      <c r="Q120" s="10">
        <f>IFERROR(IF(TRIM(I120&amp;"")="","",IF(AND(ISNUMBER(FIND(" ",TRIM(I120&amp;""))),ISNUMBER(MATCH(LEFT(TRIM(I120&amp;""),FIND(" ",TRIM(I120&amp;""))-1),설정_코드표!$J$2:$J$101,0)),ISNUMBER(MATCH(TRIM(RIGHT(SUBSTITUTE(TRIM(I120&amp;"")," ",REPT(" ",60)),60)),설정_코드표!$F$2:$F$101,0))),INDEX(설정_코드표!$K$2:$K$101,MATCH(LEFT(TRIM(I120&amp;""),FIND(" ",TRIM(I120&amp;""))-1),설정_코드표!$J$2:$J$101,0))&amp;" "&amp;INDEX(설정_코드표!$G$2:$G$101,MATCH(TRIM(RIGHT(SUBSTITUTE(TRIM(I120&amp;"")," ",REPT(" ",60)),60)),설정_코드표!$F$2:$F$101,0)),"⚠"&amp;TRIM(I120&amp;""))),"⚠"&amp;TRIM(I120&amp;""))</f>
        <v/>
      </c>
      <c r="R120" s="10">
        <f>IFERROR(IF(TRIM(J120&amp;"")="","",IF(AND(ISNUMBER(FIND(" ",TRIM(J120&amp;""))),ISNUMBER(MATCH(LEFT(TRIM(J120&amp;""),FIND(" ",TRIM(J120&amp;""))-1),설정_코드표!$J$2:$J$101,0)),ISNUMBER(MATCH(TRIM(RIGHT(SUBSTITUTE(TRIM(J120&amp;"")," ",REPT(" ",60)),60)),설정_코드표!$F$2:$F$101,0))),INDEX(설정_코드표!$K$2:$K$101,MATCH(LEFT(TRIM(J120&amp;""),FIND(" ",TRIM(J120&amp;""))-1),설정_코드표!$J$2:$J$101,0))&amp;" "&amp;INDEX(설정_코드표!$G$2:$G$101,MATCH(TRIM(RIGHT(SUBSTITUTE(TRIM(J120&amp;"")," ",REPT(" ",60)),60)),설정_코드표!$F$2:$F$101,0)),"⚠"&amp;TRIM(J120&amp;""))),"⚠"&amp;TRIM(J120&amp;""))</f>
        <v/>
      </c>
      <c r="S120" s="11">
        <f>IF(K120="","",IFERROR(IF(AND(ROUND((VALUE(K120&amp;"")-INT(VALUE(K120&amp;"")))*100,0)&gt;=1,ROUND((VALUE(K120&amp;"")-INT(VALUE(K120&amp;"")))*100,0)&lt;=12,INT(VALUE(K120&amp;""))&gt;=1900),DATE(INT(VALUE(K120&amp;"")),ROUND((VALUE(K120&amp;"")-INT(VALUE(K120&amp;"")))*100,0),1),K120&amp;""),K120&amp;""))</f>
        <v/>
      </c>
      <c r="T120" s="10">
        <f>COUNTIF(M120:R120,"⚠*")</f>
        <v/>
      </c>
    </row>
    <row r="121"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M121" s="10">
        <f>IFERROR(IF(TRIM(E121&amp;"")="","",IF(AND(ISNUMBER(FIND(" ",TRIM(E121&amp;""))),ISNUMBER(MATCH(LEFT(TRIM(E121&amp;""),FIND(" ",TRIM(E121&amp;""))-1),설정_코드표!$J$2:$J$101,0)),ISNUMBER(MATCH(TRIM(RIGHT(SUBSTITUTE(TRIM(E121&amp;"")," ",REPT(" ",60)),60)),설정_코드표!$F$2:$F$101,0))),INDEX(설정_코드표!$K$2:$K$101,MATCH(LEFT(TRIM(E121&amp;""),FIND(" ",TRIM(E121&amp;""))-1),설정_코드표!$J$2:$J$101,0))&amp;" "&amp;INDEX(설정_코드표!$G$2:$G$101,MATCH(TRIM(RIGHT(SUBSTITUTE(TRIM(E121&amp;"")," ",REPT(" ",60)),60)),설정_코드표!$F$2:$F$101,0)),"⚠"&amp;TRIM(E121&amp;""))),"⚠"&amp;TRIM(E121&amp;""))</f>
        <v/>
      </c>
      <c r="N121" s="10">
        <f>IFERROR(IF(TRIM(F121&amp;"")="","",IF(AND(ISNUMBER(FIND(" ",TRIM(F121&amp;""))),ISNUMBER(MATCH(LEFT(TRIM(F121&amp;""),FIND(" ",TRIM(F121&amp;""))-1),설정_코드표!$J$2:$J$101,0)),ISNUMBER(MATCH(TRIM(RIGHT(SUBSTITUTE(TRIM(F121&amp;"")," ",REPT(" ",60)),60)),설정_코드표!$F$2:$F$101,0))),INDEX(설정_코드표!$K$2:$K$101,MATCH(LEFT(TRIM(F121&amp;""),FIND(" ",TRIM(F121&amp;""))-1),설정_코드표!$J$2:$J$101,0))&amp;" "&amp;INDEX(설정_코드표!$G$2:$G$101,MATCH(TRIM(RIGHT(SUBSTITUTE(TRIM(F121&amp;"")," ",REPT(" ",60)),60)),설정_코드표!$F$2:$F$101,0)),"⚠"&amp;TRIM(F121&amp;""))),"⚠"&amp;TRIM(F121&amp;""))</f>
        <v/>
      </c>
      <c r="O121" s="10">
        <f>IFERROR(IF(TRIM(G121&amp;"")="","",IF(AND(ISNUMBER(FIND(" ",TRIM(G121&amp;""))),ISNUMBER(MATCH(LEFT(TRIM(G121&amp;""),FIND(" ",TRIM(G121&amp;""))-1),설정_코드표!$J$2:$J$101,0)),ISNUMBER(MATCH(TRIM(RIGHT(SUBSTITUTE(TRIM(G121&amp;"")," ",REPT(" ",60)),60)),설정_코드표!$F$2:$F$101,0))),INDEX(설정_코드표!$K$2:$K$101,MATCH(LEFT(TRIM(G121&amp;""),FIND(" ",TRIM(G121&amp;""))-1),설정_코드표!$J$2:$J$101,0))&amp;" "&amp;INDEX(설정_코드표!$G$2:$G$101,MATCH(TRIM(RIGHT(SUBSTITUTE(TRIM(G121&amp;"")," ",REPT(" ",60)),60)),설정_코드표!$F$2:$F$101,0)),"⚠"&amp;TRIM(G121&amp;""))),"⚠"&amp;TRIM(G121&amp;""))</f>
        <v/>
      </c>
      <c r="P121" s="10">
        <f>IFERROR(IF(TRIM(H121&amp;"")="","",IF(AND(ISNUMBER(FIND(" ",TRIM(H121&amp;""))),ISNUMBER(MATCH(LEFT(TRIM(H121&amp;""),FIND(" ",TRIM(H121&amp;""))-1),설정_코드표!$J$2:$J$101,0)),ISNUMBER(MATCH(TRIM(RIGHT(SUBSTITUTE(TRIM(H121&amp;"")," ",REPT(" ",60)),60)),설정_코드표!$F$2:$F$101,0))),INDEX(설정_코드표!$K$2:$K$101,MATCH(LEFT(TRIM(H121&amp;""),FIND(" ",TRIM(H121&amp;""))-1),설정_코드표!$J$2:$J$101,0))&amp;" "&amp;INDEX(설정_코드표!$G$2:$G$101,MATCH(TRIM(RIGHT(SUBSTITUTE(TRIM(H121&amp;"")," ",REPT(" ",60)),60)),설정_코드표!$F$2:$F$101,0)),"⚠"&amp;TRIM(H121&amp;""))),"⚠"&amp;TRIM(H121&amp;""))</f>
        <v/>
      </c>
      <c r="Q121" s="10">
        <f>IFERROR(IF(TRIM(I121&amp;"")="","",IF(AND(ISNUMBER(FIND(" ",TRIM(I121&amp;""))),ISNUMBER(MATCH(LEFT(TRIM(I121&amp;""),FIND(" ",TRIM(I121&amp;""))-1),설정_코드표!$J$2:$J$101,0)),ISNUMBER(MATCH(TRIM(RIGHT(SUBSTITUTE(TRIM(I121&amp;"")," ",REPT(" ",60)),60)),설정_코드표!$F$2:$F$101,0))),INDEX(설정_코드표!$K$2:$K$101,MATCH(LEFT(TRIM(I121&amp;""),FIND(" ",TRIM(I121&amp;""))-1),설정_코드표!$J$2:$J$101,0))&amp;" "&amp;INDEX(설정_코드표!$G$2:$G$101,MATCH(TRIM(RIGHT(SUBSTITUTE(TRIM(I121&amp;"")," ",REPT(" ",60)),60)),설정_코드표!$F$2:$F$101,0)),"⚠"&amp;TRIM(I121&amp;""))),"⚠"&amp;TRIM(I121&amp;""))</f>
        <v/>
      </c>
      <c r="R121" s="10">
        <f>IFERROR(IF(TRIM(J121&amp;"")="","",IF(AND(ISNUMBER(FIND(" ",TRIM(J121&amp;""))),ISNUMBER(MATCH(LEFT(TRIM(J121&amp;""),FIND(" ",TRIM(J121&amp;""))-1),설정_코드표!$J$2:$J$101,0)),ISNUMBER(MATCH(TRIM(RIGHT(SUBSTITUTE(TRIM(J121&amp;"")," ",REPT(" ",60)),60)),설정_코드표!$F$2:$F$101,0))),INDEX(설정_코드표!$K$2:$K$101,MATCH(LEFT(TRIM(J121&amp;""),FIND(" ",TRIM(J121&amp;""))-1),설정_코드표!$J$2:$J$101,0))&amp;" "&amp;INDEX(설정_코드표!$G$2:$G$101,MATCH(TRIM(RIGHT(SUBSTITUTE(TRIM(J121&amp;"")," ",REPT(" ",60)),60)),설정_코드표!$F$2:$F$101,0)),"⚠"&amp;TRIM(J121&amp;""))),"⚠"&amp;TRIM(J121&amp;""))</f>
        <v/>
      </c>
      <c r="S121" s="11">
        <f>IF(K121="","",IFERROR(IF(AND(ROUND((VALUE(K121&amp;"")-INT(VALUE(K121&amp;"")))*100,0)&gt;=1,ROUND((VALUE(K121&amp;"")-INT(VALUE(K121&amp;"")))*100,0)&lt;=12,INT(VALUE(K121&amp;""))&gt;=1900),DATE(INT(VALUE(K121&amp;"")),ROUND((VALUE(K121&amp;"")-INT(VALUE(K121&amp;"")))*100,0),1),K121&amp;""),K121&amp;""))</f>
        <v/>
      </c>
      <c r="T121" s="10">
        <f>COUNTIF(M121:R121,"⚠*")</f>
        <v/>
      </c>
    </row>
    <row r="122"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M122" s="10">
        <f>IFERROR(IF(TRIM(E122&amp;"")="","",IF(AND(ISNUMBER(FIND(" ",TRIM(E122&amp;""))),ISNUMBER(MATCH(LEFT(TRIM(E122&amp;""),FIND(" ",TRIM(E122&amp;""))-1),설정_코드표!$J$2:$J$101,0)),ISNUMBER(MATCH(TRIM(RIGHT(SUBSTITUTE(TRIM(E122&amp;"")," ",REPT(" ",60)),60)),설정_코드표!$F$2:$F$101,0))),INDEX(설정_코드표!$K$2:$K$101,MATCH(LEFT(TRIM(E122&amp;""),FIND(" ",TRIM(E122&amp;""))-1),설정_코드표!$J$2:$J$101,0))&amp;" "&amp;INDEX(설정_코드표!$G$2:$G$101,MATCH(TRIM(RIGHT(SUBSTITUTE(TRIM(E122&amp;"")," ",REPT(" ",60)),60)),설정_코드표!$F$2:$F$101,0)),"⚠"&amp;TRIM(E122&amp;""))),"⚠"&amp;TRIM(E122&amp;""))</f>
        <v/>
      </c>
      <c r="N122" s="10">
        <f>IFERROR(IF(TRIM(F122&amp;"")="","",IF(AND(ISNUMBER(FIND(" ",TRIM(F122&amp;""))),ISNUMBER(MATCH(LEFT(TRIM(F122&amp;""),FIND(" ",TRIM(F122&amp;""))-1),설정_코드표!$J$2:$J$101,0)),ISNUMBER(MATCH(TRIM(RIGHT(SUBSTITUTE(TRIM(F122&amp;"")," ",REPT(" ",60)),60)),설정_코드표!$F$2:$F$101,0))),INDEX(설정_코드표!$K$2:$K$101,MATCH(LEFT(TRIM(F122&amp;""),FIND(" ",TRIM(F122&amp;""))-1),설정_코드표!$J$2:$J$101,0))&amp;" "&amp;INDEX(설정_코드표!$G$2:$G$101,MATCH(TRIM(RIGHT(SUBSTITUTE(TRIM(F122&amp;"")," ",REPT(" ",60)),60)),설정_코드표!$F$2:$F$101,0)),"⚠"&amp;TRIM(F122&amp;""))),"⚠"&amp;TRIM(F122&amp;""))</f>
        <v/>
      </c>
      <c r="O122" s="10">
        <f>IFERROR(IF(TRIM(G122&amp;"")="","",IF(AND(ISNUMBER(FIND(" ",TRIM(G122&amp;""))),ISNUMBER(MATCH(LEFT(TRIM(G122&amp;""),FIND(" ",TRIM(G122&amp;""))-1),설정_코드표!$J$2:$J$101,0)),ISNUMBER(MATCH(TRIM(RIGHT(SUBSTITUTE(TRIM(G122&amp;"")," ",REPT(" ",60)),60)),설정_코드표!$F$2:$F$101,0))),INDEX(설정_코드표!$K$2:$K$101,MATCH(LEFT(TRIM(G122&amp;""),FIND(" ",TRIM(G122&amp;""))-1),설정_코드표!$J$2:$J$101,0))&amp;" "&amp;INDEX(설정_코드표!$G$2:$G$101,MATCH(TRIM(RIGHT(SUBSTITUTE(TRIM(G122&amp;"")," ",REPT(" ",60)),60)),설정_코드표!$F$2:$F$101,0)),"⚠"&amp;TRIM(G122&amp;""))),"⚠"&amp;TRIM(G122&amp;""))</f>
        <v/>
      </c>
      <c r="P122" s="10">
        <f>IFERROR(IF(TRIM(H122&amp;"")="","",IF(AND(ISNUMBER(FIND(" ",TRIM(H122&amp;""))),ISNUMBER(MATCH(LEFT(TRIM(H122&amp;""),FIND(" ",TRIM(H122&amp;""))-1),설정_코드표!$J$2:$J$101,0)),ISNUMBER(MATCH(TRIM(RIGHT(SUBSTITUTE(TRIM(H122&amp;"")," ",REPT(" ",60)),60)),설정_코드표!$F$2:$F$101,0))),INDEX(설정_코드표!$K$2:$K$101,MATCH(LEFT(TRIM(H122&amp;""),FIND(" ",TRIM(H122&amp;""))-1),설정_코드표!$J$2:$J$101,0))&amp;" "&amp;INDEX(설정_코드표!$G$2:$G$101,MATCH(TRIM(RIGHT(SUBSTITUTE(TRIM(H122&amp;"")," ",REPT(" ",60)),60)),설정_코드표!$F$2:$F$101,0)),"⚠"&amp;TRIM(H122&amp;""))),"⚠"&amp;TRIM(H122&amp;""))</f>
        <v/>
      </c>
      <c r="Q122" s="10">
        <f>IFERROR(IF(TRIM(I122&amp;"")="","",IF(AND(ISNUMBER(FIND(" ",TRIM(I122&amp;""))),ISNUMBER(MATCH(LEFT(TRIM(I122&amp;""),FIND(" ",TRIM(I122&amp;""))-1),설정_코드표!$J$2:$J$101,0)),ISNUMBER(MATCH(TRIM(RIGHT(SUBSTITUTE(TRIM(I122&amp;"")," ",REPT(" ",60)),60)),설정_코드표!$F$2:$F$101,0))),INDEX(설정_코드표!$K$2:$K$101,MATCH(LEFT(TRIM(I122&amp;""),FIND(" ",TRIM(I122&amp;""))-1),설정_코드표!$J$2:$J$101,0))&amp;" "&amp;INDEX(설정_코드표!$G$2:$G$101,MATCH(TRIM(RIGHT(SUBSTITUTE(TRIM(I122&amp;"")," ",REPT(" ",60)),60)),설정_코드표!$F$2:$F$101,0)),"⚠"&amp;TRIM(I122&amp;""))),"⚠"&amp;TRIM(I122&amp;""))</f>
        <v/>
      </c>
      <c r="R122" s="10">
        <f>IFERROR(IF(TRIM(J122&amp;"")="","",IF(AND(ISNUMBER(FIND(" ",TRIM(J122&amp;""))),ISNUMBER(MATCH(LEFT(TRIM(J122&amp;""),FIND(" ",TRIM(J122&amp;""))-1),설정_코드표!$J$2:$J$101,0)),ISNUMBER(MATCH(TRIM(RIGHT(SUBSTITUTE(TRIM(J122&amp;"")," ",REPT(" ",60)),60)),설정_코드표!$F$2:$F$101,0))),INDEX(설정_코드표!$K$2:$K$101,MATCH(LEFT(TRIM(J122&amp;""),FIND(" ",TRIM(J122&amp;""))-1),설정_코드표!$J$2:$J$101,0))&amp;" "&amp;INDEX(설정_코드표!$G$2:$G$101,MATCH(TRIM(RIGHT(SUBSTITUTE(TRIM(J122&amp;"")," ",REPT(" ",60)),60)),설정_코드표!$F$2:$F$101,0)),"⚠"&amp;TRIM(J122&amp;""))),"⚠"&amp;TRIM(J122&amp;""))</f>
        <v/>
      </c>
      <c r="S122" s="11">
        <f>IF(K122="","",IFERROR(IF(AND(ROUND((VALUE(K122&amp;"")-INT(VALUE(K122&amp;"")))*100,0)&gt;=1,ROUND((VALUE(K122&amp;"")-INT(VALUE(K122&amp;"")))*100,0)&lt;=12,INT(VALUE(K122&amp;""))&gt;=1900),DATE(INT(VALUE(K122&amp;"")),ROUND((VALUE(K122&amp;"")-INT(VALUE(K122&amp;"")))*100,0),1),K122&amp;""),K122&amp;""))</f>
        <v/>
      </c>
      <c r="T122" s="10">
        <f>COUNTIF(M122:R122,"⚠*")</f>
        <v/>
      </c>
    </row>
    <row r="123"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M123" s="10">
        <f>IFERROR(IF(TRIM(E123&amp;"")="","",IF(AND(ISNUMBER(FIND(" ",TRIM(E123&amp;""))),ISNUMBER(MATCH(LEFT(TRIM(E123&amp;""),FIND(" ",TRIM(E123&amp;""))-1),설정_코드표!$J$2:$J$101,0)),ISNUMBER(MATCH(TRIM(RIGHT(SUBSTITUTE(TRIM(E123&amp;"")," ",REPT(" ",60)),60)),설정_코드표!$F$2:$F$101,0))),INDEX(설정_코드표!$K$2:$K$101,MATCH(LEFT(TRIM(E123&amp;""),FIND(" ",TRIM(E123&amp;""))-1),설정_코드표!$J$2:$J$101,0))&amp;" "&amp;INDEX(설정_코드표!$G$2:$G$101,MATCH(TRIM(RIGHT(SUBSTITUTE(TRIM(E123&amp;"")," ",REPT(" ",60)),60)),설정_코드표!$F$2:$F$101,0)),"⚠"&amp;TRIM(E123&amp;""))),"⚠"&amp;TRIM(E123&amp;""))</f>
        <v/>
      </c>
      <c r="N123" s="10">
        <f>IFERROR(IF(TRIM(F123&amp;"")="","",IF(AND(ISNUMBER(FIND(" ",TRIM(F123&amp;""))),ISNUMBER(MATCH(LEFT(TRIM(F123&amp;""),FIND(" ",TRIM(F123&amp;""))-1),설정_코드표!$J$2:$J$101,0)),ISNUMBER(MATCH(TRIM(RIGHT(SUBSTITUTE(TRIM(F123&amp;"")," ",REPT(" ",60)),60)),설정_코드표!$F$2:$F$101,0))),INDEX(설정_코드표!$K$2:$K$101,MATCH(LEFT(TRIM(F123&amp;""),FIND(" ",TRIM(F123&amp;""))-1),설정_코드표!$J$2:$J$101,0))&amp;" "&amp;INDEX(설정_코드표!$G$2:$G$101,MATCH(TRIM(RIGHT(SUBSTITUTE(TRIM(F123&amp;"")," ",REPT(" ",60)),60)),설정_코드표!$F$2:$F$101,0)),"⚠"&amp;TRIM(F123&amp;""))),"⚠"&amp;TRIM(F123&amp;""))</f>
        <v/>
      </c>
      <c r="O123" s="10">
        <f>IFERROR(IF(TRIM(G123&amp;"")="","",IF(AND(ISNUMBER(FIND(" ",TRIM(G123&amp;""))),ISNUMBER(MATCH(LEFT(TRIM(G123&amp;""),FIND(" ",TRIM(G123&amp;""))-1),설정_코드표!$J$2:$J$101,0)),ISNUMBER(MATCH(TRIM(RIGHT(SUBSTITUTE(TRIM(G123&amp;"")," ",REPT(" ",60)),60)),설정_코드표!$F$2:$F$101,0))),INDEX(설정_코드표!$K$2:$K$101,MATCH(LEFT(TRIM(G123&amp;""),FIND(" ",TRIM(G123&amp;""))-1),설정_코드표!$J$2:$J$101,0))&amp;" "&amp;INDEX(설정_코드표!$G$2:$G$101,MATCH(TRIM(RIGHT(SUBSTITUTE(TRIM(G123&amp;"")," ",REPT(" ",60)),60)),설정_코드표!$F$2:$F$101,0)),"⚠"&amp;TRIM(G123&amp;""))),"⚠"&amp;TRIM(G123&amp;""))</f>
        <v/>
      </c>
      <c r="P123" s="10">
        <f>IFERROR(IF(TRIM(H123&amp;"")="","",IF(AND(ISNUMBER(FIND(" ",TRIM(H123&amp;""))),ISNUMBER(MATCH(LEFT(TRIM(H123&amp;""),FIND(" ",TRIM(H123&amp;""))-1),설정_코드표!$J$2:$J$101,0)),ISNUMBER(MATCH(TRIM(RIGHT(SUBSTITUTE(TRIM(H123&amp;"")," ",REPT(" ",60)),60)),설정_코드표!$F$2:$F$101,0))),INDEX(설정_코드표!$K$2:$K$101,MATCH(LEFT(TRIM(H123&amp;""),FIND(" ",TRIM(H123&amp;""))-1),설정_코드표!$J$2:$J$101,0))&amp;" "&amp;INDEX(설정_코드표!$G$2:$G$101,MATCH(TRIM(RIGHT(SUBSTITUTE(TRIM(H123&amp;"")," ",REPT(" ",60)),60)),설정_코드표!$F$2:$F$101,0)),"⚠"&amp;TRIM(H123&amp;""))),"⚠"&amp;TRIM(H123&amp;""))</f>
        <v/>
      </c>
      <c r="Q123" s="10">
        <f>IFERROR(IF(TRIM(I123&amp;"")="","",IF(AND(ISNUMBER(FIND(" ",TRIM(I123&amp;""))),ISNUMBER(MATCH(LEFT(TRIM(I123&amp;""),FIND(" ",TRIM(I123&amp;""))-1),설정_코드표!$J$2:$J$101,0)),ISNUMBER(MATCH(TRIM(RIGHT(SUBSTITUTE(TRIM(I123&amp;"")," ",REPT(" ",60)),60)),설정_코드표!$F$2:$F$101,0))),INDEX(설정_코드표!$K$2:$K$101,MATCH(LEFT(TRIM(I123&amp;""),FIND(" ",TRIM(I123&amp;""))-1),설정_코드표!$J$2:$J$101,0))&amp;" "&amp;INDEX(설정_코드표!$G$2:$G$101,MATCH(TRIM(RIGHT(SUBSTITUTE(TRIM(I123&amp;"")," ",REPT(" ",60)),60)),설정_코드표!$F$2:$F$101,0)),"⚠"&amp;TRIM(I123&amp;""))),"⚠"&amp;TRIM(I123&amp;""))</f>
        <v/>
      </c>
      <c r="R123" s="10">
        <f>IFERROR(IF(TRIM(J123&amp;"")="","",IF(AND(ISNUMBER(FIND(" ",TRIM(J123&amp;""))),ISNUMBER(MATCH(LEFT(TRIM(J123&amp;""),FIND(" ",TRIM(J123&amp;""))-1),설정_코드표!$J$2:$J$101,0)),ISNUMBER(MATCH(TRIM(RIGHT(SUBSTITUTE(TRIM(J123&amp;"")," ",REPT(" ",60)),60)),설정_코드표!$F$2:$F$101,0))),INDEX(설정_코드표!$K$2:$K$101,MATCH(LEFT(TRIM(J123&amp;""),FIND(" ",TRIM(J123&amp;""))-1),설정_코드표!$J$2:$J$101,0))&amp;" "&amp;INDEX(설정_코드표!$G$2:$G$101,MATCH(TRIM(RIGHT(SUBSTITUTE(TRIM(J123&amp;"")," ",REPT(" ",60)),60)),설정_코드표!$F$2:$F$101,0)),"⚠"&amp;TRIM(J123&amp;""))),"⚠"&amp;TRIM(J123&amp;""))</f>
        <v/>
      </c>
      <c r="S123" s="11">
        <f>IF(K123="","",IFERROR(IF(AND(ROUND((VALUE(K123&amp;"")-INT(VALUE(K123&amp;"")))*100,0)&gt;=1,ROUND((VALUE(K123&amp;"")-INT(VALUE(K123&amp;"")))*100,0)&lt;=12,INT(VALUE(K123&amp;""))&gt;=1900),DATE(INT(VALUE(K123&amp;"")),ROUND((VALUE(K123&amp;"")-INT(VALUE(K123&amp;"")))*100,0),1),K123&amp;""),K123&amp;""))</f>
        <v/>
      </c>
      <c r="T123" s="10">
        <f>COUNTIF(M123:R123,"⚠*")</f>
        <v/>
      </c>
    </row>
    <row r="124"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M124" s="10">
        <f>IFERROR(IF(TRIM(E124&amp;"")="","",IF(AND(ISNUMBER(FIND(" ",TRIM(E124&amp;""))),ISNUMBER(MATCH(LEFT(TRIM(E124&amp;""),FIND(" ",TRIM(E124&amp;""))-1),설정_코드표!$J$2:$J$101,0)),ISNUMBER(MATCH(TRIM(RIGHT(SUBSTITUTE(TRIM(E124&amp;"")," ",REPT(" ",60)),60)),설정_코드표!$F$2:$F$101,0))),INDEX(설정_코드표!$K$2:$K$101,MATCH(LEFT(TRIM(E124&amp;""),FIND(" ",TRIM(E124&amp;""))-1),설정_코드표!$J$2:$J$101,0))&amp;" "&amp;INDEX(설정_코드표!$G$2:$G$101,MATCH(TRIM(RIGHT(SUBSTITUTE(TRIM(E124&amp;"")," ",REPT(" ",60)),60)),설정_코드표!$F$2:$F$101,0)),"⚠"&amp;TRIM(E124&amp;""))),"⚠"&amp;TRIM(E124&amp;""))</f>
        <v/>
      </c>
      <c r="N124" s="10">
        <f>IFERROR(IF(TRIM(F124&amp;"")="","",IF(AND(ISNUMBER(FIND(" ",TRIM(F124&amp;""))),ISNUMBER(MATCH(LEFT(TRIM(F124&amp;""),FIND(" ",TRIM(F124&amp;""))-1),설정_코드표!$J$2:$J$101,0)),ISNUMBER(MATCH(TRIM(RIGHT(SUBSTITUTE(TRIM(F124&amp;"")," ",REPT(" ",60)),60)),설정_코드표!$F$2:$F$101,0))),INDEX(설정_코드표!$K$2:$K$101,MATCH(LEFT(TRIM(F124&amp;""),FIND(" ",TRIM(F124&amp;""))-1),설정_코드표!$J$2:$J$101,0))&amp;" "&amp;INDEX(설정_코드표!$G$2:$G$101,MATCH(TRIM(RIGHT(SUBSTITUTE(TRIM(F124&amp;"")," ",REPT(" ",60)),60)),설정_코드표!$F$2:$F$101,0)),"⚠"&amp;TRIM(F124&amp;""))),"⚠"&amp;TRIM(F124&amp;""))</f>
        <v/>
      </c>
      <c r="O124" s="10">
        <f>IFERROR(IF(TRIM(G124&amp;"")="","",IF(AND(ISNUMBER(FIND(" ",TRIM(G124&amp;""))),ISNUMBER(MATCH(LEFT(TRIM(G124&amp;""),FIND(" ",TRIM(G124&amp;""))-1),설정_코드표!$J$2:$J$101,0)),ISNUMBER(MATCH(TRIM(RIGHT(SUBSTITUTE(TRIM(G124&amp;"")," ",REPT(" ",60)),60)),설정_코드표!$F$2:$F$101,0))),INDEX(설정_코드표!$K$2:$K$101,MATCH(LEFT(TRIM(G124&amp;""),FIND(" ",TRIM(G124&amp;""))-1),설정_코드표!$J$2:$J$101,0))&amp;" "&amp;INDEX(설정_코드표!$G$2:$G$101,MATCH(TRIM(RIGHT(SUBSTITUTE(TRIM(G124&amp;"")," ",REPT(" ",60)),60)),설정_코드표!$F$2:$F$101,0)),"⚠"&amp;TRIM(G124&amp;""))),"⚠"&amp;TRIM(G124&amp;""))</f>
        <v/>
      </c>
      <c r="P124" s="10">
        <f>IFERROR(IF(TRIM(H124&amp;"")="","",IF(AND(ISNUMBER(FIND(" ",TRIM(H124&amp;""))),ISNUMBER(MATCH(LEFT(TRIM(H124&amp;""),FIND(" ",TRIM(H124&amp;""))-1),설정_코드표!$J$2:$J$101,0)),ISNUMBER(MATCH(TRIM(RIGHT(SUBSTITUTE(TRIM(H124&amp;"")," ",REPT(" ",60)),60)),설정_코드표!$F$2:$F$101,0))),INDEX(설정_코드표!$K$2:$K$101,MATCH(LEFT(TRIM(H124&amp;""),FIND(" ",TRIM(H124&amp;""))-1),설정_코드표!$J$2:$J$101,0))&amp;" "&amp;INDEX(설정_코드표!$G$2:$G$101,MATCH(TRIM(RIGHT(SUBSTITUTE(TRIM(H124&amp;"")," ",REPT(" ",60)),60)),설정_코드표!$F$2:$F$101,0)),"⚠"&amp;TRIM(H124&amp;""))),"⚠"&amp;TRIM(H124&amp;""))</f>
        <v/>
      </c>
      <c r="Q124" s="10">
        <f>IFERROR(IF(TRIM(I124&amp;"")="","",IF(AND(ISNUMBER(FIND(" ",TRIM(I124&amp;""))),ISNUMBER(MATCH(LEFT(TRIM(I124&amp;""),FIND(" ",TRIM(I124&amp;""))-1),설정_코드표!$J$2:$J$101,0)),ISNUMBER(MATCH(TRIM(RIGHT(SUBSTITUTE(TRIM(I124&amp;"")," ",REPT(" ",60)),60)),설정_코드표!$F$2:$F$101,0))),INDEX(설정_코드표!$K$2:$K$101,MATCH(LEFT(TRIM(I124&amp;""),FIND(" ",TRIM(I124&amp;""))-1),설정_코드표!$J$2:$J$101,0))&amp;" "&amp;INDEX(설정_코드표!$G$2:$G$101,MATCH(TRIM(RIGHT(SUBSTITUTE(TRIM(I124&amp;"")," ",REPT(" ",60)),60)),설정_코드표!$F$2:$F$101,0)),"⚠"&amp;TRIM(I124&amp;""))),"⚠"&amp;TRIM(I124&amp;""))</f>
        <v/>
      </c>
      <c r="R124" s="10">
        <f>IFERROR(IF(TRIM(J124&amp;"")="","",IF(AND(ISNUMBER(FIND(" ",TRIM(J124&amp;""))),ISNUMBER(MATCH(LEFT(TRIM(J124&amp;""),FIND(" ",TRIM(J124&amp;""))-1),설정_코드표!$J$2:$J$101,0)),ISNUMBER(MATCH(TRIM(RIGHT(SUBSTITUTE(TRIM(J124&amp;"")," ",REPT(" ",60)),60)),설정_코드표!$F$2:$F$101,0))),INDEX(설정_코드표!$K$2:$K$101,MATCH(LEFT(TRIM(J124&amp;""),FIND(" ",TRIM(J124&amp;""))-1),설정_코드표!$J$2:$J$101,0))&amp;" "&amp;INDEX(설정_코드표!$G$2:$G$101,MATCH(TRIM(RIGHT(SUBSTITUTE(TRIM(J124&amp;"")," ",REPT(" ",60)),60)),설정_코드표!$F$2:$F$101,0)),"⚠"&amp;TRIM(J124&amp;""))),"⚠"&amp;TRIM(J124&amp;""))</f>
        <v/>
      </c>
      <c r="S124" s="11">
        <f>IF(K124="","",IFERROR(IF(AND(ROUND((VALUE(K124&amp;"")-INT(VALUE(K124&amp;"")))*100,0)&gt;=1,ROUND((VALUE(K124&amp;"")-INT(VALUE(K124&amp;"")))*100,0)&lt;=12,INT(VALUE(K124&amp;""))&gt;=1900),DATE(INT(VALUE(K124&amp;"")),ROUND((VALUE(K124&amp;"")-INT(VALUE(K124&amp;"")))*100,0),1),K124&amp;""),K124&amp;""))</f>
        <v/>
      </c>
      <c r="T124" s="10">
        <f>COUNTIF(M124:R124,"⚠*")</f>
        <v/>
      </c>
    </row>
    <row r="125"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M125" s="10">
        <f>IFERROR(IF(TRIM(E125&amp;"")="","",IF(AND(ISNUMBER(FIND(" ",TRIM(E125&amp;""))),ISNUMBER(MATCH(LEFT(TRIM(E125&amp;""),FIND(" ",TRIM(E125&amp;""))-1),설정_코드표!$J$2:$J$101,0)),ISNUMBER(MATCH(TRIM(RIGHT(SUBSTITUTE(TRIM(E125&amp;"")," ",REPT(" ",60)),60)),설정_코드표!$F$2:$F$101,0))),INDEX(설정_코드표!$K$2:$K$101,MATCH(LEFT(TRIM(E125&amp;""),FIND(" ",TRIM(E125&amp;""))-1),설정_코드표!$J$2:$J$101,0))&amp;" "&amp;INDEX(설정_코드표!$G$2:$G$101,MATCH(TRIM(RIGHT(SUBSTITUTE(TRIM(E125&amp;"")," ",REPT(" ",60)),60)),설정_코드표!$F$2:$F$101,0)),"⚠"&amp;TRIM(E125&amp;""))),"⚠"&amp;TRIM(E125&amp;""))</f>
        <v/>
      </c>
      <c r="N125" s="10">
        <f>IFERROR(IF(TRIM(F125&amp;"")="","",IF(AND(ISNUMBER(FIND(" ",TRIM(F125&amp;""))),ISNUMBER(MATCH(LEFT(TRIM(F125&amp;""),FIND(" ",TRIM(F125&amp;""))-1),설정_코드표!$J$2:$J$101,0)),ISNUMBER(MATCH(TRIM(RIGHT(SUBSTITUTE(TRIM(F125&amp;"")," ",REPT(" ",60)),60)),설정_코드표!$F$2:$F$101,0))),INDEX(설정_코드표!$K$2:$K$101,MATCH(LEFT(TRIM(F125&amp;""),FIND(" ",TRIM(F125&amp;""))-1),설정_코드표!$J$2:$J$101,0))&amp;" "&amp;INDEX(설정_코드표!$G$2:$G$101,MATCH(TRIM(RIGHT(SUBSTITUTE(TRIM(F125&amp;"")," ",REPT(" ",60)),60)),설정_코드표!$F$2:$F$101,0)),"⚠"&amp;TRIM(F125&amp;""))),"⚠"&amp;TRIM(F125&amp;""))</f>
        <v/>
      </c>
      <c r="O125" s="10">
        <f>IFERROR(IF(TRIM(G125&amp;"")="","",IF(AND(ISNUMBER(FIND(" ",TRIM(G125&amp;""))),ISNUMBER(MATCH(LEFT(TRIM(G125&amp;""),FIND(" ",TRIM(G125&amp;""))-1),설정_코드표!$J$2:$J$101,0)),ISNUMBER(MATCH(TRIM(RIGHT(SUBSTITUTE(TRIM(G125&amp;"")," ",REPT(" ",60)),60)),설정_코드표!$F$2:$F$101,0))),INDEX(설정_코드표!$K$2:$K$101,MATCH(LEFT(TRIM(G125&amp;""),FIND(" ",TRIM(G125&amp;""))-1),설정_코드표!$J$2:$J$101,0))&amp;" "&amp;INDEX(설정_코드표!$G$2:$G$101,MATCH(TRIM(RIGHT(SUBSTITUTE(TRIM(G125&amp;"")," ",REPT(" ",60)),60)),설정_코드표!$F$2:$F$101,0)),"⚠"&amp;TRIM(G125&amp;""))),"⚠"&amp;TRIM(G125&amp;""))</f>
        <v/>
      </c>
      <c r="P125" s="10">
        <f>IFERROR(IF(TRIM(H125&amp;"")="","",IF(AND(ISNUMBER(FIND(" ",TRIM(H125&amp;""))),ISNUMBER(MATCH(LEFT(TRIM(H125&amp;""),FIND(" ",TRIM(H125&amp;""))-1),설정_코드표!$J$2:$J$101,0)),ISNUMBER(MATCH(TRIM(RIGHT(SUBSTITUTE(TRIM(H125&amp;"")," ",REPT(" ",60)),60)),설정_코드표!$F$2:$F$101,0))),INDEX(설정_코드표!$K$2:$K$101,MATCH(LEFT(TRIM(H125&amp;""),FIND(" ",TRIM(H125&amp;""))-1),설정_코드표!$J$2:$J$101,0))&amp;" "&amp;INDEX(설정_코드표!$G$2:$G$101,MATCH(TRIM(RIGHT(SUBSTITUTE(TRIM(H125&amp;"")," ",REPT(" ",60)),60)),설정_코드표!$F$2:$F$101,0)),"⚠"&amp;TRIM(H125&amp;""))),"⚠"&amp;TRIM(H125&amp;""))</f>
        <v/>
      </c>
      <c r="Q125" s="10">
        <f>IFERROR(IF(TRIM(I125&amp;"")="","",IF(AND(ISNUMBER(FIND(" ",TRIM(I125&amp;""))),ISNUMBER(MATCH(LEFT(TRIM(I125&amp;""),FIND(" ",TRIM(I125&amp;""))-1),설정_코드표!$J$2:$J$101,0)),ISNUMBER(MATCH(TRIM(RIGHT(SUBSTITUTE(TRIM(I125&amp;"")," ",REPT(" ",60)),60)),설정_코드표!$F$2:$F$101,0))),INDEX(설정_코드표!$K$2:$K$101,MATCH(LEFT(TRIM(I125&amp;""),FIND(" ",TRIM(I125&amp;""))-1),설정_코드표!$J$2:$J$101,0))&amp;" "&amp;INDEX(설정_코드표!$G$2:$G$101,MATCH(TRIM(RIGHT(SUBSTITUTE(TRIM(I125&amp;"")," ",REPT(" ",60)),60)),설정_코드표!$F$2:$F$101,0)),"⚠"&amp;TRIM(I125&amp;""))),"⚠"&amp;TRIM(I125&amp;""))</f>
        <v/>
      </c>
      <c r="R125" s="10">
        <f>IFERROR(IF(TRIM(J125&amp;"")="","",IF(AND(ISNUMBER(FIND(" ",TRIM(J125&amp;""))),ISNUMBER(MATCH(LEFT(TRIM(J125&amp;""),FIND(" ",TRIM(J125&amp;""))-1),설정_코드표!$J$2:$J$101,0)),ISNUMBER(MATCH(TRIM(RIGHT(SUBSTITUTE(TRIM(J125&amp;"")," ",REPT(" ",60)),60)),설정_코드표!$F$2:$F$101,0))),INDEX(설정_코드표!$K$2:$K$101,MATCH(LEFT(TRIM(J125&amp;""),FIND(" ",TRIM(J125&amp;""))-1),설정_코드표!$J$2:$J$101,0))&amp;" "&amp;INDEX(설정_코드표!$G$2:$G$101,MATCH(TRIM(RIGHT(SUBSTITUTE(TRIM(J125&amp;"")," ",REPT(" ",60)),60)),설정_코드표!$F$2:$F$101,0)),"⚠"&amp;TRIM(J125&amp;""))),"⚠"&amp;TRIM(J125&amp;""))</f>
        <v/>
      </c>
      <c r="S125" s="11">
        <f>IF(K125="","",IFERROR(IF(AND(ROUND((VALUE(K125&amp;"")-INT(VALUE(K125&amp;"")))*100,0)&gt;=1,ROUND((VALUE(K125&amp;"")-INT(VALUE(K125&amp;"")))*100,0)&lt;=12,INT(VALUE(K125&amp;""))&gt;=1900),DATE(INT(VALUE(K125&amp;"")),ROUND((VALUE(K125&amp;"")-INT(VALUE(K125&amp;"")))*100,0),1),K125&amp;""),K125&amp;""))</f>
        <v/>
      </c>
      <c r="T125" s="10">
        <f>COUNTIF(M125:R125,"⚠*")</f>
        <v/>
      </c>
    </row>
    <row r="126"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M126" s="10">
        <f>IFERROR(IF(TRIM(E126&amp;"")="","",IF(AND(ISNUMBER(FIND(" ",TRIM(E126&amp;""))),ISNUMBER(MATCH(LEFT(TRIM(E126&amp;""),FIND(" ",TRIM(E126&amp;""))-1),설정_코드표!$J$2:$J$101,0)),ISNUMBER(MATCH(TRIM(RIGHT(SUBSTITUTE(TRIM(E126&amp;"")," ",REPT(" ",60)),60)),설정_코드표!$F$2:$F$101,0))),INDEX(설정_코드표!$K$2:$K$101,MATCH(LEFT(TRIM(E126&amp;""),FIND(" ",TRIM(E126&amp;""))-1),설정_코드표!$J$2:$J$101,0))&amp;" "&amp;INDEX(설정_코드표!$G$2:$G$101,MATCH(TRIM(RIGHT(SUBSTITUTE(TRIM(E126&amp;"")," ",REPT(" ",60)),60)),설정_코드표!$F$2:$F$101,0)),"⚠"&amp;TRIM(E126&amp;""))),"⚠"&amp;TRIM(E126&amp;""))</f>
        <v/>
      </c>
      <c r="N126" s="10">
        <f>IFERROR(IF(TRIM(F126&amp;"")="","",IF(AND(ISNUMBER(FIND(" ",TRIM(F126&amp;""))),ISNUMBER(MATCH(LEFT(TRIM(F126&amp;""),FIND(" ",TRIM(F126&amp;""))-1),설정_코드표!$J$2:$J$101,0)),ISNUMBER(MATCH(TRIM(RIGHT(SUBSTITUTE(TRIM(F126&amp;"")," ",REPT(" ",60)),60)),설정_코드표!$F$2:$F$101,0))),INDEX(설정_코드표!$K$2:$K$101,MATCH(LEFT(TRIM(F126&amp;""),FIND(" ",TRIM(F126&amp;""))-1),설정_코드표!$J$2:$J$101,0))&amp;" "&amp;INDEX(설정_코드표!$G$2:$G$101,MATCH(TRIM(RIGHT(SUBSTITUTE(TRIM(F126&amp;"")," ",REPT(" ",60)),60)),설정_코드표!$F$2:$F$101,0)),"⚠"&amp;TRIM(F126&amp;""))),"⚠"&amp;TRIM(F126&amp;""))</f>
        <v/>
      </c>
      <c r="O126" s="10">
        <f>IFERROR(IF(TRIM(G126&amp;"")="","",IF(AND(ISNUMBER(FIND(" ",TRIM(G126&amp;""))),ISNUMBER(MATCH(LEFT(TRIM(G126&amp;""),FIND(" ",TRIM(G126&amp;""))-1),설정_코드표!$J$2:$J$101,0)),ISNUMBER(MATCH(TRIM(RIGHT(SUBSTITUTE(TRIM(G126&amp;"")," ",REPT(" ",60)),60)),설정_코드표!$F$2:$F$101,0))),INDEX(설정_코드표!$K$2:$K$101,MATCH(LEFT(TRIM(G126&amp;""),FIND(" ",TRIM(G126&amp;""))-1),설정_코드표!$J$2:$J$101,0))&amp;" "&amp;INDEX(설정_코드표!$G$2:$G$101,MATCH(TRIM(RIGHT(SUBSTITUTE(TRIM(G126&amp;"")," ",REPT(" ",60)),60)),설정_코드표!$F$2:$F$101,0)),"⚠"&amp;TRIM(G126&amp;""))),"⚠"&amp;TRIM(G126&amp;""))</f>
        <v/>
      </c>
      <c r="P126" s="10">
        <f>IFERROR(IF(TRIM(H126&amp;"")="","",IF(AND(ISNUMBER(FIND(" ",TRIM(H126&amp;""))),ISNUMBER(MATCH(LEFT(TRIM(H126&amp;""),FIND(" ",TRIM(H126&amp;""))-1),설정_코드표!$J$2:$J$101,0)),ISNUMBER(MATCH(TRIM(RIGHT(SUBSTITUTE(TRIM(H126&amp;"")," ",REPT(" ",60)),60)),설정_코드표!$F$2:$F$101,0))),INDEX(설정_코드표!$K$2:$K$101,MATCH(LEFT(TRIM(H126&amp;""),FIND(" ",TRIM(H126&amp;""))-1),설정_코드표!$J$2:$J$101,0))&amp;" "&amp;INDEX(설정_코드표!$G$2:$G$101,MATCH(TRIM(RIGHT(SUBSTITUTE(TRIM(H126&amp;"")," ",REPT(" ",60)),60)),설정_코드표!$F$2:$F$101,0)),"⚠"&amp;TRIM(H126&amp;""))),"⚠"&amp;TRIM(H126&amp;""))</f>
        <v/>
      </c>
      <c r="Q126" s="10">
        <f>IFERROR(IF(TRIM(I126&amp;"")="","",IF(AND(ISNUMBER(FIND(" ",TRIM(I126&amp;""))),ISNUMBER(MATCH(LEFT(TRIM(I126&amp;""),FIND(" ",TRIM(I126&amp;""))-1),설정_코드표!$J$2:$J$101,0)),ISNUMBER(MATCH(TRIM(RIGHT(SUBSTITUTE(TRIM(I126&amp;"")," ",REPT(" ",60)),60)),설정_코드표!$F$2:$F$101,0))),INDEX(설정_코드표!$K$2:$K$101,MATCH(LEFT(TRIM(I126&amp;""),FIND(" ",TRIM(I126&amp;""))-1),설정_코드표!$J$2:$J$101,0))&amp;" "&amp;INDEX(설정_코드표!$G$2:$G$101,MATCH(TRIM(RIGHT(SUBSTITUTE(TRIM(I126&amp;"")," ",REPT(" ",60)),60)),설정_코드표!$F$2:$F$101,0)),"⚠"&amp;TRIM(I126&amp;""))),"⚠"&amp;TRIM(I126&amp;""))</f>
        <v/>
      </c>
      <c r="R126" s="10">
        <f>IFERROR(IF(TRIM(J126&amp;"")="","",IF(AND(ISNUMBER(FIND(" ",TRIM(J126&amp;""))),ISNUMBER(MATCH(LEFT(TRIM(J126&amp;""),FIND(" ",TRIM(J126&amp;""))-1),설정_코드표!$J$2:$J$101,0)),ISNUMBER(MATCH(TRIM(RIGHT(SUBSTITUTE(TRIM(J126&amp;"")," ",REPT(" ",60)),60)),설정_코드표!$F$2:$F$101,0))),INDEX(설정_코드표!$K$2:$K$101,MATCH(LEFT(TRIM(J126&amp;""),FIND(" ",TRIM(J126&amp;""))-1),설정_코드표!$J$2:$J$101,0))&amp;" "&amp;INDEX(설정_코드표!$G$2:$G$101,MATCH(TRIM(RIGHT(SUBSTITUTE(TRIM(J126&amp;"")," ",REPT(" ",60)),60)),설정_코드표!$F$2:$F$101,0)),"⚠"&amp;TRIM(J126&amp;""))),"⚠"&amp;TRIM(J126&amp;""))</f>
        <v/>
      </c>
      <c r="S126" s="11">
        <f>IF(K126="","",IFERROR(IF(AND(ROUND((VALUE(K126&amp;"")-INT(VALUE(K126&amp;"")))*100,0)&gt;=1,ROUND((VALUE(K126&amp;"")-INT(VALUE(K126&amp;"")))*100,0)&lt;=12,INT(VALUE(K126&amp;""))&gt;=1900),DATE(INT(VALUE(K126&amp;"")),ROUND((VALUE(K126&amp;"")-INT(VALUE(K126&amp;"")))*100,0),1),K126&amp;""),K126&amp;""))</f>
        <v/>
      </c>
      <c r="T126" s="10">
        <f>COUNTIF(M126:R126,"⚠*")</f>
        <v/>
      </c>
    </row>
    <row r="127"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M127" s="10">
        <f>IFERROR(IF(TRIM(E127&amp;"")="","",IF(AND(ISNUMBER(FIND(" ",TRIM(E127&amp;""))),ISNUMBER(MATCH(LEFT(TRIM(E127&amp;""),FIND(" ",TRIM(E127&amp;""))-1),설정_코드표!$J$2:$J$101,0)),ISNUMBER(MATCH(TRIM(RIGHT(SUBSTITUTE(TRIM(E127&amp;"")," ",REPT(" ",60)),60)),설정_코드표!$F$2:$F$101,0))),INDEX(설정_코드표!$K$2:$K$101,MATCH(LEFT(TRIM(E127&amp;""),FIND(" ",TRIM(E127&amp;""))-1),설정_코드표!$J$2:$J$101,0))&amp;" "&amp;INDEX(설정_코드표!$G$2:$G$101,MATCH(TRIM(RIGHT(SUBSTITUTE(TRIM(E127&amp;"")," ",REPT(" ",60)),60)),설정_코드표!$F$2:$F$101,0)),"⚠"&amp;TRIM(E127&amp;""))),"⚠"&amp;TRIM(E127&amp;""))</f>
        <v/>
      </c>
      <c r="N127" s="10">
        <f>IFERROR(IF(TRIM(F127&amp;"")="","",IF(AND(ISNUMBER(FIND(" ",TRIM(F127&amp;""))),ISNUMBER(MATCH(LEFT(TRIM(F127&amp;""),FIND(" ",TRIM(F127&amp;""))-1),설정_코드표!$J$2:$J$101,0)),ISNUMBER(MATCH(TRIM(RIGHT(SUBSTITUTE(TRIM(F127&amp;"")," ",REPT(" ",60)),60)),설정_코드표!$F$2:$F$101,0))),INDEX(설정_코드표!$K$2:$K$101,MATCH(LEFT(TRIM(F127&amp;""),FIND(" ",TRIM(F127&amp;""))-1),설정_코드표!$J$2:$J$101,0))&amp;" "&amp;INDEX(설정_코드표!$G$2:$G$101,MATCH(TRIM(RIGHT(SUBSTITUTE(TRIM(F127&amp;"")," ",REPT(" ",60)),60)),설정_코드표!$F$2:$F$101,0)),"⚠"&amp;TRIM(F127&amp;""))),"⚠"&amp;TRIM(F127&amp;""))</f>
        <v/>
      </c>
      <c r="O127" s="10">
        <f>IFERROR(IF(TRIM(G127&amp;"")="","",IF(AND(ISNUMBER(FIND(" ",TRIM(G127&amp;""))),ISNUMBER(MATCH(LEFT(TRIM(G127&amp;""),FIND(" ",TRIM(G127&amp;""))-1),설정_코드표!$J$2:$J$101,0)),ISNUMBER(MATCH(TRIM(RIGHT(SUBSTITUTE(TRIM(G127&amp;"")," ",REPT(" ",60)),60)),설정_코드표!$F$2:$F$101,0))),INDEX(설정_코드표!$K$2:$K$101,MATCH(LEFT(TRIM(G127&amp;""),FIND(" ",TRIM(G127&amp;""))-1),설정_코드표!$J$2:$J$101,0))&amp;" "&amp;INDEX(설정_코드표!$G$2:$G$101,MATCH(TRIM(RIGHT(SUBSTITUTE(TRIM(G127&amp;"")," ",REPT(" ",60)),60)),설정_코드표!$F$2:$F$101,0)),"⚠"&amp;TRIM(G127&amp;""))),"⚠"&amp;TRIM(G127&amp;""))</f>
        <v/>
      </c>
      <c r="P127" s="10">
        <f>IFERROR(IF(TRIM(H127&amp;"")="","",IF(AND(ISNUMBER(FIND(" ",TRIM(H127&amp;""))),ISNUMBER(MATCH(LEFT(TRIM(H127&amp;""),FIND(" ",TRIM(H127&amp;""))-1),설정_코드표!$J$2:$J$101,0)),ISNUMBER(MATCH(TRIM(RIGHT(SUBSTITUTE(TRIM(H127&amp;"")," ",REPT(" ",60)),60)),설정_코드표!$F$2:$F$101,0))),INDEX(설정_코드표!$K$2:$K$101,MATCH(LEFT(TRIM(H127&amp;""),FIND(" ",TRIM(H127&amp;""))-1),설정_코드표!$J$2:$J$101,0))&amp;" "&amp;INDEX(설정_코드표!$G$2:$G$101,MATCH(TRIM(RIGHT(SUBSTITUTE(TRIM(H127&amp;"")," ",REPT(" ",60)),60)),설정_코드표!$F$2:$F$101,0)),"⚠"&amp;TRIM(H127&amp;""))),"⚠"&amp;TRIM(H127&amp;""))</f>
        <v/>
      </c>
      <c r="Q127" s="10">
        <f>IFERROR(IF(TRIM(I127&amp;"")="","",IF(AND(ISNUMBER(FIND(" ",TRIM(I127&amp;""))),ISNUMBER(MATCH(LEFT(TRIM(I127&amp;""),FIND(" ",TRIM(I127&amp;""))-1),설정_코드표!$J$2:$J$101,0)),ISNUMBER(MATCH(TRIM(RIGHT(SUBSTITUTE(TRIM(I127&amp;"")," ",REPT(" ",60)),60)),설정_코드표!$F$2:$F$101,0))),INDEX(설정_코드표!$K$2:$K$101,MATCH(LEFT(TRIM(I127&amp;""),FIND(" ",TRIM(I127&amp;""))-1),설정_코드표!$J$2:$J$101,0))&amp;" "&amp;INDEX(설정_코드표!$G$2:$G$101,MATCH(TRIM(RIGHT(SUBSTITUTE(TRIM(I127&amp;"")," ",REPT(" ",60)),60)),설정_코드표!$F$2:$F$101,0)),"⚠"&amp;TRIM(I127&amp;""))),"⚠"&amp;TRIM(I127&amp;""))</f>
        <v/>
      </c>
      <c r="R127" s="10">
        <f>IFERROR(IF(TRIM(J127&amp;"")="","",IF(AND(ISNUMBER(FIND(" ",TRIM(J127&amp;""))),ISNUMBER(MATCH(LEFT(TRIM(J127&amp;""),FIND(" ",TRIM(J127&amp;""))-1),설정_코드표!$J$2:$J$101,0)),ISNUMBER(MATCH(TRIM(RIGHT(SUBSTITUTE(TRIM(J127&amp;"")," ",REPT(" ",60)),60)),설정_코드표!$F$2:$F$101,0))),INDEX(설정_코드표!$K$2:$K$101,MATCH(LEFT(TRIM(J127&amp;""),FIND(" ",TRIM(J127&amp;""))-1),설정_코드표!$J$2:$J$101,0))&amp;" "&amp;INDEX(설정_코드표!$G$2:$G$101,MATCH(TRIM(RIGHT(SUBSTITUTE(TRIM(J127&amp;"")," ",REPT(" ",60)),60)),설정_코드표!$F$2:$F$101,0)),"⚠"&amp;TRIM(J127&amp;""))),"⚠"&amp;TRIM(J127&amp;""))</f>
        <v/>
      </c>
      <c r="S127" s="11">
        <f>IF(K127="","",IFERROR(IF(AND(ROUND((VALUE(K127&amp;"")-INT(VALUE(K127&amp;"")))*100,0)&gt;=1,ROUND((VALUE(K127&amp;"")-INT(VALUE(K127&amp;"")))*100,0)&lt;=12,INT(VALUE(K127&amp;""))&gt;=1900),DATE(INT(VALUE(K127&amp;"")),ROUND((VALUE(K127&amp;"")-INT(VALUE(K127&amp;"")))*100,0),1),K127&amp;""),K127&amp;""))</f>
        <v/>
      </c>
      <c r="T127" s="10">
        <f>COUNTIF(M127:R127,"⚠*")</f>
        <v/>
      </c>
    </row>
    <row r="128"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M128" s="10">
        <f>IFERROR(IF(TRIM(E128&amp;"")="","",IF(AND(ISNUMBER(FIND(" ",TRIM(E128&amp;""))),ISNUMBER(MATCH(LEFT(TRIM(E128&amp;""),FIND(" ",TRIM(E128&amp;""))-1),설정_코드표!$J$2:$J$101,0)),ISNUMBER(MATCH(TRIM(RIGHT(SUBSTITUTE(TRIM(E128&amp;"")," ",REPT(" ",60)),60)),설정_코드표!$F$2:$F$101,0))),INDEX(설정_코드표!$K$2:$K$101,MATCH(LEFT(TRIM(E128&amp;""),FIND(" ",TRIM(E128&amp;""))-1),설정_코드표!$J$2:$J$101,0))&amp;" "&amp;INDEX(설정_코드표!$G$2:$G$101,MATCH(TRIM(RIGHT(SUBSTITUTE(TRIM(E128&amp;"")," ",REPT(" ",60)),60)),설정_코드표!$F$2:$F$101,0)),"⚠"&amp;TRIM(E128&amp;""))),"⚠"&amp;TRIM(E128&amp;""))</f>
        <v/>
      </c>
      <c r="N128" s="10">
        <f>IFERROR(IF(TRIM(F128&amp;"")="","",IF(AND(ISNUMBER(FIND(" ",TRIM(F128&amp;""))),ISNUMBER(MATCH(LEFT(TRIM(F128&amp;""),FIND(" ",TRIM(F128&amp;""))-1),설정_코드표!$J$2:$J$101,0)),ISNUMBER(MATCH(TRIM(RIGHT(SUBSTITUTE(TRIM(F128&amp;"")," ",REPT(" ",60)),60)),설정_코드표!$F$2:$F$101,0))),INDEX(설정_코드표!$K$2:$K$101,MATCH(LEFT(TRIM(F128&amp;""),FIND(" ",TRIM(F128&amp;""))-1),설정_코드표!$J$2:$J$101,0))&amp;" "&amp;INDEX(설정_코드표!$G$2:$G$101,MATCH(TRIM(RIGHT(SUBSTITUTE(TRIM(F128&amp;"")," ",REPT(" ",60)),60)),설정_코드표!$F$2:$F$101,0)),"⚠"&amp;TRIM(F128&amp;""))),"⚠"&amp;TRIM(F128&amp;""))</f>
        <v/>
      </c>
      <c r="O128" s="10">
        <f>IFERROR(IF(TRIM(G128&amp;"")="","",IF(AND(ISNUMBER(FIND(" ",TRIM(G128&amp;""))),ISNUMBER(MATCH(LEFT(TRIM(G128&amp;""),FIND(" ",TRIM(G128&amp;""))-1),설정_코드표!$J$2:$J$101,0)),ISNUMBER(MATCH(TRIM(RIGHT(SUBSTITUTE(TRIM(G128&amp;"")," ",REPT(" ",60)),60)),설정_코드표!$F$2:$F$101,0))),INDEX(설정_코드표!$K$2:$K$101,MATCH(LEFT(TRIM(G128&amp;""),FIND(" ",TRIM(G128&amp;""))-1),설정_코드표!$J$2:$J$101,0))&amp;" "&amp;INDEX(설정_코드표!$G$2:$G$101,MATCH(TRIM(RIGHT(SUBSTITUTE(TRIM(G128&amp;"")," ",REPT(" ",60)),60)),설정_코드표!$F$2:$F$101,0)),"⚠"&amp;TRIM(G128&amp;""))),"⚠"&amp;TRIM(G128&amp;""))</f>
        <v/>
      </c>
      <c r="P128" s="10">
        <f>IFERROR(IF(TRIM(H128&amp;"")="","",IF(AND(ISNUMBER(FIND(" ",TRIM(H128&amp;""))),ISNUMBER(MATCH(LEFT(TRIM(H128&amp;""),FIND(" ",TRIM(H128&amp;""))-1),설정_코드표!$J$2:$J$101,0)),ISNUMBER(MATCH(TRIM(RIGHT(SUBSTITUTE(TRIM(H128&amp;"")," ",REPT(" ",60)),60)),설정_코드표!$F$2:$F$101,0))),INDEX(설정_코드표!$K$2:$K$101,MATCH(LEFT(TRIM(H128&amp;""),FIND(" ",TRIM(H128&amp;""))-1),설정_코드표!$J$2:$J$101,0))&amp;" "&amp;INDEX(설정_코드표!$G$2:$G$101,MATCH(TRIM(RIGHT(SUBSTITUTE(TRIM(H128&amp;"")," ",REPT(" ",60)),60)),설정_코드표!$F$2:$F$101,0)),"⚠"&amp;TRIM(H128&amp;""))),"⚠"&amp;TRIM(H128&amp;""))</f>
        <v/>
      </c>
      <c r="Q128" s="10">
        <f>IFERROR(IF(TRIM(I128&amp;"")="","",IF(AND(ISNUMBER(FIND(" ",TRIM(I128&amp;""))),ISNUMBER(MATCH(LEFT(TRIM(I128&amp;""),FIND(" ",TRIM(I128&amp;""))-1),설정_코드표!$J$2:$J$101,0)),ISNUMBER(MATCH(TRIM(RIGHT(SUBSTITUTE(TRIM(I128&amp;"")," ",REPT(" ",60)),60)),설정_코드표!$F$2:$F$101,0))),INDEX(설정_코드표!$K$2:$K$101,MATCH(LEFT(TRIM(I128&amp;""),FIND(" ",TRIM(I128&amp;""))-1),설정_코드표!$J$2:$J$101,0))&amp;" "&amp;INDEX(설정_코드표!$G$2:$G$101,MATCH(TRIM(RIGHT(SUBSTITUTE(TRIM(I128&amp;"")," ",REPT(" ",60)),60)),설정_코드표!$F$2:$F$101,0)),"⚠"&amp;TRIM(I128&amp;""))),"⚠"&amp;TRIM(I128&amp;""))</f>
        <v/>
      </c>
      <c r="R128" s="10">
        <f>IFERROR(IF(TRIM(J128&amp;"")="","",IF(AND(ISNUMBER(FIND(" ",TRIM(J128&amp;""))),ISNUMBER(MATCH(LEFT(TRIM(J128&amp;""),FIND(" ",TRIM(J128&amp;""))-1),설정_코드표!$J$2:$J$101,0)),ISNUMBER(MATCH(TRIM(RIGHT(SUBSTITUTE(TRIM(J128&amp;"")," ",REPT(" ",60)),60)),설정_코드표!$F$2:$F$101,0))),INDEX(설정_코드표!$K$2:$K$101,MATCH(LEFT(TRIM(J128&amp;""),FIND(" ",TRIM(J128&amp;""))-1),설정_코드표!$J$2:$J$101,0))&amp;" "&amp;INDEX(설정_코드표!$G$2:$G$101,MATCH(TRIM(RIGHT(SUBSTITUTE(TRIM(J128&amp;"")," ",REPT(" ",60)),60)),설정_코드표!$F$2:$F$101,0)),"⚠"&amp;TRIM(J128&amp;""))),"⚠"&amp;TRIM(J128&amp;""))</f>
        <v/>
      </c>
      <c r="S128" s="11">
        <f>IF(K128="","",IFERROR(IF(AND(ROUND((VALUE(K128&amp;"")-INT(VALUE(K128&amp;"")))*100,0)&gt;=1,ROUND((VALUE(K128&amp;"")-INT(VALUE(K128&amp;"")))*100,0)&lt;=12,INT(VALUE(K128&amp;""))&gt;=1900),DATE(INT(VALUE(K128&amp;"")),ROUND((VALUE(K128&amp;"")-INT(VALUE(K128&amp;"")))*100,0),1),K128&amp;""),K128&amp;""))</f>
        <v/>
      </c>
      <c r="T128" s="10">
        <f>COUNTIF(M128:R128,"⚠*")</f>
        <v/>
      </c>
    </row>
    <row r="129"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M129" s="10">
        <f>IFERROR(IF(TRIM(E129&amp;"")="","",IF(AND(ISNUMBER(FIND(" ",TRIM(E129&amp;""))),ISNUMBER(MATCH(LEFT(TRIM(E129&amp;""),FIND(" ",TRIM(E129&amp;""))-1),설정_코드표!$J$2:$J$101,0)),ISNUMBER(MATCH(TRIM(RIGHT(SUBSTITUTE(TRIM(E129&amp;"")," ",REPT(" ",60)),60)),설정_코드표!$F$2:$F$101,0))),INDEX(설정_코드표!$K$2:$K$101,MATCH(LEFT(TRIM(E129&amp;""),FIND(" ",TRIM(E129&amp;""))-1),설정_코드표!$J$2:$J$101,0))&amp;" "&amp;INDEX(설정_코드표!$G$2:$G$101,MATCH(TRIM(RIGHT(SUBSTITUTE(TRIM(E129&amp;"")," ",REPT(" ",60)),60)),설정_코드표!$F$2:$F$101,0)),"⚠"&amp;TRIM(E129&amp;""))),"⚠"&amp;TRIM(E129&amp;""))</f>
        <v/>
      </c>
      <c r="N129" s="10">
        <f>IFERROR(IF(TRIM(F129&amp;"")="","",IF(AND(ISNUMBER(FIND(" ",TRIM(F129&amp;""))),ISNUMBER(MATCH(LEFT(TRIM(F129&amp;""),FIND(" ",TRIM(F129&amp;""))-1),설정_코드표!$J$2:$J$101,0)),ISNUMBER(MATCH(TRIM(RIGHT(SUBSTITUTE(TRIM(F129&amp;"")," ",REPT(" ",60)),60)),설정_코드표!$F$2:$F$101,0))),INDEX(설정_코드표!$K$2:$K$101,MATCH(LEFT(TRIM(F129&amp;""),FIND(" ",TRIM(F129&amp;""))-1),설정_코드표!$J$2:$J$101,0))&amp;" "&amp;INDEX(설정_코드표!$G$2:$G$101,MATCH(TRIM(RIGHT(SUBSTITUTE(TRIM(F129&amp;"")," ",REPT(" ",60)),60)),설정_코드표!$F$2:$F$101,0)),"⚠"&amp;TRIM(F129&amp;""))),"⚠"&amp;TRIM(F129&amp;""))</f>
        <v/>
      </c>
      <c r="O129" s="10">
        <f>IFERROR(IF(TRIM(G129&amp;"")="","",IF(AND(ISNUMBER(FIND(" ",TRIM(G129&amp;""))),ISNUMBER(MATCH(LEFT(TRIM(G129&amp;""),FIND(" ",TRIM(G129&amp;""))-1),설정_코드표!$J$2:$J$101,0)),ISNUMBER(MATCH(TRIM(RIGHT(SUBSTITUTE(TRIM(G129&amp;"")," ",REPT(" ",60)),60)),설정_코드표!$F$2:$F$101,0))),INDEX(설정_코드표!$K$2:$K$101,MATCH(LEFT(TRIM(G129&amp;""),FIND(" ",TRIM(G129&amp;""))-1),설정_코드표!$J$2:$J$101,0))&amp;" "&amp;INDEX(설정_코드표!$G$2:$G$101,MATCH(TRIM(RIGHT(SUBSTITUTE(TRIM(G129&amp;"")," ",REPT(" ",60)),60)),설정_코드표!$F$2:$F$101,0)),"⚠"&amp;TRIM(G129&amp;""))),"⚠"&amp;TRIM(G129&amp;""))</f>
        <v/>
      </c>
      <c r="P129" s="10">
        <f>IFERROR(IF(TRIM(H129&amp;"")="","",IF(AND(ISNUMBER(FIND(" ",TRIM(H129&amp;""))),ISNUMBER(MATCH(LEFT(TRIM(H129&amp;""),FIND(" ",TRIM(H129&amp;""))-1),설정_코드표!$J$2:$J$101,0)),ISNUMBER(MATCH(TRIM(RIGHT(SUBSTITUTE(TRIM(H129&amp;"")," ",REPT(" ",60)),60)),설정_코드표!$F$2:$F$101,0))),INDEX(설정_코드표!$K$2:$K$101,MATCH(LEFT(TRIM(H129&amp;""),FIND(" ",TRIM(H129&amp;""))-1),설정_코드표!$J$2:$J$101,0))&amp;" "&amp;INDEX(설정_코드표!$G$2:$G$101,MATCH(TRIM(RIGHT(SUBSTITUTE(TRIM(H129&amp;"")," ",REPT(" ",60)),60)),설정_코드표!$F$2:$F$101,0)),"⚠"&amp;TRIM(H129&amp;""))),"⚠"&amp;TRIM(H129&amp;""))</f>
        <v/>
      </c>
      <c r="Q129" s="10">
        <f>IFERROR(IF(TRIM(I129&amp;"")="","",IF(AND(ISNUMBER(FIND(" ",TRIM(I129&amp;""))),ISNUMBER(MATCH(LEFT(TRIM(I129&amp;""),FIND(" ",TRIM(I129&amp;""))-1),설정_코드표!$J$2:$J$101,0)),ISNUMBER(MATCH(TRIM(RIGHT(SUBSTITUTE(TRIM(I129&amp;"")," ",REPT(" ",60)),60)),설정_코드표!$F$2:$F$101,0))),INDEX(설정_코드표!$K$2:$K$101,MATCH(LEFT(TRIM(I129&amp;""),FIND(" ",TRIM(I129&amp;""))-1),설정_코드표!$J$2:$J$101,0))&amp;" "&amp;INDEX(설정_코드표!$G$2:$G$101,MATCH(TRIM(RIGHT(SUBSTITUTE(TRIM(I129&amp;"")," ",REPT(" ",60)),60)),설정_코드표!$F$2:$F$101,0)),"⚠"&amp;TRIM(I129&amp;""))),"⚠"&amp;TRIM(I129&amp;""))</f>
        <v/>
      </c>
      <c r="R129" s="10">
        <f>IFERROR(IF(TRIM(J129&amp;"")="","",IF(AND(ISNUMBER(FIND(" ",TRIM(J129&amp;""))),ISNUMBER(MATCH(LEFT(TRIM(J129&amp;""),FIND(" ",TRIM(J129&amp;""))-1),설정_코드표!$J$2:$J$101,0)),ISNUMBER(MATCH(TRIM(RIGHT(SUBSTITUTE(TRIM(J129&amp;"")," ",REPT(" ",60)),60)),설정_코드표!$F$2:$F$101,0))),INDEX(설정_코드표!$K$2:$K$101,MATCH(LEFT(TRIM(J129&amp;""),FIND(" ",TRIM(J129&amp;""))-1),설정_코드표!$J$2:$J$101,0))&amp;" "&amp;INDEX(설정_코드표!$G$2:$G$101,MATCH(TRIM(RIGHT(SUBSTITUTE(TRIM(J129&amp;"")," ",REPT(" ",60)),60)),설정_코드표!$F$2:$F$101,0)),"⚠"&amp;TRIM(J129&amp;""))),"⚠"&amp;TRIM(J129&amp;""))</f>
        <v/>
      </c>
      <c r="S129" s="11">
        <f>IF(K129="","",IFERROR(IF(AND(ROUND((VALUE(K129&amp;"")-INT(VALUE(K129&amp;"")))*100,0)&gt;=1,ROUND((VALUE(K129&amp;"")-INT(VALUE(K129&amp;"")))*100,0)&lt;=12,INT(VALUE(K129&amp;""))&gt;=1900),DATE(INT(VALUE(K129&amp;"")),ROUND((VALUE(K129&amp;"")-INT(VALUE(K129&amp;"")))*100,0),1),K129&amp;""),K129&amp;""))</f>
        <v/>
      </c>
      <c r="T129" s="10">
        <f>COUNTIF(M129:R129,"⚠*")</f>
        <v/>
      </c>
    </row>
    <row r="130"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M130" s="10">
        <f>IFERROR(IF(TRIM(E130&amp;"")="","",IF(AND(ISNUMBER(FIND(" ",TRIM(E130&amp;""))),ISNUMBER(MATCH(LEFT(TRIM(E130&amp;""),FIND(" ",TRIM(E130&amp;""))-1),설정_코드표!$J$2:$J$101,0)),ISNUMBER(MATCH(TRIM(RIGHT(SUBSTITUTE(TRIM(E130&amp;"")," ",REPT(" ",60)),60)),설정_코드표!$F$2:$F$101,0))),INDEX(설정_코드표!$K$2:$K$101,MATCH(LEFT(TRIM(E130&amp;""),FIND(" ",TRIM(E130&amp;""))-1),설정_코드표!$J$2:$J$101,0))&amp;" "&amp;INDEX(설정_코드표!$G$2:$G$101,MATCH(TRIM(RIGHT(SUBSTITUTE(TRIM(E130&amp;"")," ",REPT(" ",60)),60)),설정_코드표!$F$2:$F$101,0)),"⚠"&amp;TRIM(E130&amp;""))),"⚠"&amp;TRIM(E130&amp;""))</f>
        <v/>
      </c>
      <c r="N130" s="10">
        <f>IFERROR(IF(TRIM(F130&amp;"")="","",IF(AND(ISNUMBER(FIND(" ",TRIM(F130&amp;""))),ISNUMBER(MATCH(LEFT(TRIM(F130&amp;""),FIND(" ",TRIM(F130&amp;""))-1),설정_코드표!$J$2:$J$101,0)),ISNUMBER(MATCH(TRIM(RIGHT(SUBSTITUTE(TRIM(F130&amp;"")," ",REPT(" ",60)),60)),설정_코드표!$F$2:$F$101,0))),INDEX(설정_코드표!$K$2:$K$101,MATCH(LEFT(TRIM(F130&amp;""),FIND(" ",TRIM(F130&amp;""))-1),설정_코드표!$J$2:$J$101,0))&amp;" "&amp;INDEX(설정_코드표!$G$2:$G$101,MATCH(TRIM(RIGHT(SUBSTITUTE(TRIM(F130&amp;"")," ",REPT(" ",60)),60)),설정_코드표!$F$2:$F$101,0)),"⚠"&amp;TRIM(F130&amp;""))),"⚠"&amp;TRIM(F130&amp;""))</f>
        <v/>
      </c>
      <c r="O130" s="10">
        <f>IFERROR(IF(TRIM(G130&amp;"")="","",IF(AND(ISNUMBER(FIND(" ",TRIM(G130&amp;""))),ISNUMBER(MATCH(LEFT(TRIM(G130&amp;""),FIND(" ",TRIM(G130&amp;""))-1),설정_코드표!$J$2:$J$101,0)),ISNUMBER(MATCH(TRIM(RIGHT(SUBSTITUTE(TRIM(G130&amp;"")," ",REPT(" ",60)),60)),설정_코드표!$F$2:$F$101,0))),INDEX(설정_코드표!$K$2:$K$101,MATCH(LEFT(TRIM(G130&amp;""),FIND(" ",TRIM(G130&amp;""))-1),설정_코드표!$J$2:$J$101,0))&amp;" "&amp;INDEX(설정_코드표!$G$2:$G$101,MATCH(TRIM(RIGHT(SUBSTITUTE(TRIM(G130&amp;"")," ",REPT(" ",60)),60)),설정_코드표!$F$2:$F$101,0)),"⚠"&amp;TRIM(G130&amp;""))),"⚠"&amp;TRIM(G130&amp;""))</f>
        <v/>
      </c>
      <c r="P130" s="10">
        <f>IFERROR(IF(TRIM(H130&amp;"")="","",IF(AND(ISNUMBER(FIND(" ",TRIM(H130&amp;""))),ISNUMBER(MATCH(LEFT(TRIM(H130&amp;""),FIND(" ",TRIM(H130&amp;""))-1),설정_코드표!$J$2:$J$101,0)),ISNUMBER(MATCH(TRIM(RIGHT(SUBSTITUTE(TRIM(H130&amp;"")," ",REPT(" ",60)),60)),설정_코드표!$F$2:$F$101,0))),INDEX(설정_코드표!$K$2:$K$101,MATCH(LEFT(TRIM(H130&amp;""),FIND(" ",TRIM(H130&amp;""))-1),설정_코드표!$J$2:$J$101,0))&amp;" "&amp;INDEX(설정_코드표!$G$2:$G$101,MATCH(TRIM(RIGHT(SUBSTITUTE(TRIM(H130&amp;"")," ",REPT(" ",60)),60)),설정_코드표!$F$2:$F$101,0)),"⚠"&amp;TRIM(H130&amp;""))),"⚠"&amp;TRIM(H130&amp;""))</f>
        <v/>
      </c>
      <c r="Q130" s="10">
        <f>IFERROR(IF(TRIM(I130&amp;"")="","",IF(AND(ISNUMBER(FIND(" ",TRIM(I130&amp;""))),ISNUMBER(MATCH(LEFT(TRIM(I130&amp;""),FIND(" ",TRIM(I130&amp;""))-1),설정_코드표!$J$2:$J$101,0)),ISNUMBER(MATCH(TRIM(RIGHT(SUBSTITUTE(TRIM(I130&amp;"")," ",REPT(" ",60)),60)),설정_코드표!$F$2:$F$101,0))),INDEX(설정_코드표!$K$2:$K$101,MATCH(LEFT(TRIM(I130&amp;""),FIND(" ",TRIM(I130&amp;""))-1),설정_코드표!$J$2:$J$101,0))&amp;" "&amp;INDEX(설정_코드표!$G$2:$G$101,MATCH(TRIM(RIGHT(SUBSTITUTE(TRIM(I130&amp;"")," ",REPT(" ",60)),60)),설정_코드표!$F$2:$F$101,0)),"⚠"&amp;TRIM(I130&amp;""))),"⚠"&amp;TRIM(I130&amp;""))</f>
        <v/>
      </c>
      <c r="R130" s="10">
        <f>IFERROR(IF(TRIM(J130&amp;"")="","",IF(AND(ISNUMBER(FIND(" ",TRIM(J130&amp;""))),ISNUMBER(MATCH(LEFT(TRIM(J130&amp;""),FIND(" ",TRIM(J130&amp;""))-1),설정_코드표!$J$2:$J$101,0)),ISNUMBER(MATCH(TRIM(RIGHT(SUBSTITUTE(TRIM(J130&amp;"")," ",REPT(" ",60)),60)),설정_코드표!$F$2:$F$101,0))),INDEX(설정_코드표!$K$2:$K$101,MATCH(LEFT(TRIM(J130&amp;""),FIND(" ",TRIM(J130&amp;""))-1),설정_코드표!$J$2:$J$101,0))&amp;" "&amp;INDEX(설정_코드표!$G$2:$G$101,MATCH(TRIM(RIGHT(SUBSTITUTE(TRIM(J130&amp;"")," ",REPT(" ",60)),60)),설정_코드표!$F$2:$F$101,0)),"⚠"&amp;TRIM(J130&amp;""))),"⚠"&amp;TRIM(J130&amp;""))</f>
        <v/>
      </c>
      <c r="S130" s="11">
        <f>IF(K130="","",IFERROR(IF(AND(ROUND((VALUE(K130&amp;"")-INT(VALUE(K130&amp;"")))*100,0)&gt;=1,ROUND((VALUE(K130&amp;"")-INT(VALUE(K130&amp;"")))*100,0)&lt;=12,INT(VALUE(K130&amp;""))&gt;=1900),DATE(INT(VALUE(K130&amp;"")),ROUND((VALUE(K130&amp;"")-INT(VALUE(K130&amp;"")))*100,0),1),K130&amp;""),K130&amp;""))</f>
        <v/>
      </c>
      <c r="T130" s="10">
        <f>COUNTIF(M130:R130,"⚠*")</f>
        <v/>
      </c>
    </row>
    <row r="131"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M131" s="10">
        <f>IFERROR(IF(TRIM(E131&amp;"")="","",IF(AND(ISNUMBER(FIND(" ",TRIM(E131&amp;""))),ISNUMBER(MATCH(LEFT(TRIM(E131&amp;""),FIND(" ",TRIM(E131&amp;""))-1),설정_코드표!$J$2:$J$101,0)),ISNUMBER(MATCH(TRIM(RIGHT(SUBSTITUTE(TRIM(E131&amp;"")," ",REPT(" ",60)),60)),설정_코드표!$F$2:$F$101,0))),INDEX(설정_코드표!$K$2:$K$101,MATCH(LEFT(TRIM(E131&amp;""),FIND(" ",TRIM(E131&amp;""))-1),설정_코드표!$J$2:$J$101,0))&amp;" "&amp;INDEX(설정_코드표!$G$2:$G$101,MATCH(TRIM(RIGHT(SUBSTITUTE(TRIM(E131&amp;"")," ",REPT(" ",60)),60)),설정_코드표!$F$2:$F$101,0)),"⚠"&amp;TRIM(E131&amp;""))),"⚠"&amp;TRIM(E131&amp;""))</f>
        <v/>
      </c>
      <c r="N131" s="10">
        <f>IFERROR(IF(TRIM(F131&amp;"")="","",IF(AND(ISNUMBER(FIND(" ",TRIM(F131&amp;""))),ISNUMBER(MATCH(LEFT(TRIM(F131&amp;""),FIND(" ",TRIM(F131&amp;""))-1),설정_코드표!$J$2:$J$101,0)),ISNUMBER(MATCH(TRIM(RIGHT(SUBSTITUTE(TRIM(F131&amp;"")," ",REPT(" ",60)),60)),설정_코드표!$F$2:$F$101,0))),INDEX(설정_코드표!$K$2:$K$101,MATCH(LEFT(TRIM(F131&amp;""),FIND(" ",TRIM(F131&amp;""))-1),설정_코드표!$J$2:$J$101,0))&amp;" "&amp;INDEX(설정_코드표!$G$2:$G$101,MATCH(TRIM(RIGHT(SUBSTITUTE(TRIM(F131&amp;"")," ",REPT(" ",60)),60)),설정_코드표!$F$2:$F$101,0)),"⚠"&amp;TRIM(F131&amp;""))),"⚠"&amp;TRIM(F131&amp;""))</f>
        <v/>
      </c>
      <c r="O131" s="10">
        <f>IFERROR(IF(TRIM(G131&amp;"")="","",IF(AND(ISNUMBER(FIND(" ",TRIM(G131&amp;""))),ISNUMBER(MATCH(LEFT(TRIM(G131&amp;""),FIND(" ",TRIM(G131&amp;""))-1),설정_코드표!$J$2:$J$101,0)),ISNUMBER(MATCH(TRIM(RIGHT(SUBSTITUTE(TRIM(G131&amp;"")," ",REPT(" ",60)),60)),설정_코드표!$F$2:$F$101,0))),INDEX(설정_코드표!$K$2:$K$101,MATCH(LEFT(TRIM(G131&amp;""),FIND(" ",TRIM(G131&amp;""))-1),설정_코드표!$J$2:$J$101,0))&amp;" "&amp;INDEX(설정_코드표!$G$2:$G$101,MATCH(TRIM(RIGHT(SUBSTITUTE(TRIM(G131&amp;"")," ",REPT(" ",60)),60)),설정_코드표!$F$2:$F$101,0)),"⚠"&amp;TRIM(G131&amp;""))),"⚠"&amp;TRIM(G131&amp;""))</f>
        <v/>
      </c>
      <c r="P131" s="10">
        <f>IFERROR(IF(TRIM(H131&amp;"")="","",IF(AND(ISNUMBER(FIND(" ",TRIM(H131&amp;""))),ISNUMBER(MATCH(LEFT(TRIM(H131&amp;""),FIND(" ",TRIM(H131&amp;""))-1),설정_코드표!$J$2:$J$101,0)),ISNUMBER(MATCH(TRIM(RIGHT(SUBSTITUTE(TRIM(H131&amp;"")," ",REPT(" ",60)),60)),설정_코드표!$F$2:$F$101,0))),INDEX(설정_코드표!$K$2:$K$101,MATCH(LEFT(TRIM(H131&amp;""),FIND(" ",TRIM(H131&amp;""))-1),설정_코드표!$J$2:$J$101,0))&amp;" "&amp;INDEX(설정_코드표!$G$2:$G$101,MATCH(TRIM(RIGHT(SUBSTITUTE(TRIM(H131&amp;"")," ",REPT(" ",60)),60)),설정_코드표!$F$2:$F$101,0)),"⚠"&amp;TRIM(H131&amp;""))),"⚠"&amp;TRIM(H131&amp;""))</f>
        <v/>
      </c>
      <c r="Q131" s="10">
        <f>IFERROR(IF(TRIM(I131&amp;"")="","",IF(AND(ISNUMBER(FIND(" ",TRIM(I131&amp;""))),ISNUMBER(MATCH(LEFT(TRIM(I131&amp;""),FIND(" ",TRIM(I131&amp;""))-1),설정_코드표!$J$2:$J$101,0)),ISNUMBER(MATCH(TRIM(RIGHT(SUBSTITUTE(TRIM(I131&amp;"")," ",REPT(" ",60)),60)),설정_코드표!$F$2:$F$101,0))),INDEX(설정_코드표!$K$2:$K$101,MATCH(LEFT(TRIM(I131&amp;""),FIND(" ",TRIM(I131&amp;""))-1),설정_코드표!$J$2:$J$101,0))&amp;" "&amp;INDEX(설정_코드표!$G$2:$G$101,MATCH(TRIM(RIGHT(SUBSTITUTE(TRIM(I131&amp;"")," ",REPT(" ",60)),60)),설정_코드표!$F$2:$F$101,0)),"⚠"&amp;TRIM(I131&amp;""))),"⚠"&amp;TRIM(I131&amp;""))</f>
        <v/>
      </c>
      <c r="R131" s="10">
        <f>IFERROR(IF(TRIM(J131&amp;"")="","",IF(AND(ISNUMBER(FIND(" ",TRIM(J131&amp;""))),ISNUMBER(MATCH(LEFT(TRIM(J131&amp;""),FIND(" ",TRIM(J131&amp;""))-1),설정_코드표!$J$2:$J$101,0)),ISNUMBER(MATCH(TRIM(RIGHT(SUBSTITUTE(TRIM(J131&amp;"")," ",REPT(" ",60)),60)),설정_코드표!$F$2:$F$101,0))),INDEX(설정_코드표!$K$2:$K$101,MATCH(LEFT(TRIM(J131&amp;""),FIND(" ",TRIM(J131&amp;""))-1),설정_코드표!$J$2:$J$101,0))&amp;" "&amp;INDEX(설정_코드표!$G$2:$G$101,MATCH(TRIM(RIGHT(SUBSTITUTE(TRIM(J131&amp;"")," ",REPT(" ",60)),60)),설정_코드표!$F$2:$F$101,0)),"⚠"&amp;TRIM(J131&amp;""))),"⚠"&amp;TRIM(J131&amp;""))</f>
        <v/>
      </c>
      <c r="S131" s="11">
        <f>IF(K131="","",IFERROR(IF(AND(ROUND((VALUE(K131&amp;"")-INT(VALUE(K131&amp;"")))*100,0)&gt;=1,ROUND((VALUE(K131&amp;"")-INT(VALUE(K131&amp;"")))*100,0)&lt;=12,INT(VALUE(K131&amp;""))&gt;=1900),DATE(INT(VALUE(K131&amp;"")),ROUND((VALUE(K131&amp;"")-INT(VALUE(K131&amp;"")))*100,0),1),K131&amp;""),K131&amp;""))</f>
        <v/>
      </c>
      <c r="T131" s="10">
        <f>COUNTIF(M131:R131,"⚠*")</f>
        <v/>
      </c>
    </row>
    <row r="132"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M132" s="10">
        <f>IFERROR(IF(TRIM(E132&amp;"")="","",IF(AND(ISNUMBER(FIND(" ",TRIM(E132&amp;""))),ISNUMBER(MATCH(LEFT(TRIM(E132&amp;""),FIND(" ",TRIM(E132&amp;""))-1),설정_코드표!$J$2:$J$101,0)),ISNUMBER(MATCH(TRIM(RIGHT(SUBSTITUTE(TRIM(E132&amp;"")," ",REPT(" ",60)),60)),설정_코드표!$F$2:$F$101,0))),INDEX(설정_코드표!$K$2:$K$101,MATCH(LEFT(TRIM(E132&amp;""),FIND(" ",TRIM(E132&amp;""))-1),설정_코드표!$J$2:$J$101,0))&amp;" "&amp;INDEX(설정_코드표!$G$2:$G$101,MATCH(TRIM(RIGHT(SUBSTITUTE(TRIM(E132&amp;"")," ",REPT(" ",60)),60)),설정_코드표!$F$2:$F$101,0)),"⚠"&amp;TRIM(E132&amp;""))),"⚠"&amp;TRIM(E132&amp;""))</f>
        <v/>
      </c>
      <c r="N132" s="10">
        <f>IFERROR(IF(TRIM(F132&amp;"")="","",IF(AND(ISNUMBER(FIND(" ",TRIM(F132&amp;""))),ISNUMBER(MATCH(LEFT(TRIM(F132&amp;""),FIND(" ",TRIM(F132&amp;""))-1),설정_코드표!$J$2:$J$101,0)),ISNUMBER(MATCH(TRIM(RIGHT(SUBSTITUTE(TRIM(F132&amp;"")," ",REPT(" ",60)),60)),설정_코드표!$F$2:$F$101,0))),INDEX(설정_코드표!$K$2:$K$101,MATCH(LEFT(TRIM(F132&amp;""),FIND(" ",TRIM(F132&amp;""))-1),설정_코드표!$J$2:$J$101,0))&amp;" "&amp;INDEX(설정_코드표!$G$2:$G$101,MATCH(TRIM(RIGHT(SUBSTITUTE(TRIM(F132&amp;"")," ",REPT(" ",60)),60)),설정_코드표!$F$2:$F$101,0)),"⚠"&amp;TRIM(F132&amp;""))),"⚠"&amp;TRIM(F132&amp;""))</f>
        <v/>
      </c>
      <c r="O132" s="10">
        <f>IFERROR(IF(TRIM(G132&amp;"")="","",IF(AND(ISNUMBER(FIND(" ",TRIM(G132&amp;""))),ISNUMBER(MATCH(LEFT(TRIM(G132&amp;""),FIND(" ",TRIM(G132&amp;""))-1),설정_코드표!$J$2:$J$101,0)),ISNUMBER(MATCH(TRIM(RIGHT(SUBSTITUTE(TRIM(G132&amp;"")," ",REPT(" ",60)),60)),설정_코드표!$F$2:$F$101,0))),INDEX(설정_코드표!$K$2:$K$101,MATCH(LEFT(TRIM(G132&amp;""),FIND(" ",TRIM(G132&amp;""))-1),설정_코드표!$J$2:$J$101,0))&amp;" "&amp;INDEX(설정_코드표!$G$2:$G$101,MATCH(TRIM(RIGHT(SUBSTITUTE(TRIM(G132&amp;"")," ",REPT(" ",60)),60)),설정_코드표!$F$2:$F$101,0)),"⚠"&amp;TRIM(G132&amp;""))),"⚠"&amp;TRIM(G132&amp;""))</f>
        <v/>
      </c>
      <c r="P132" s="10">
        <f>IFERROR(IF(TRIM(H132&amp;"")="","",IF(AND(ISNUMBER(FIND(" ",TRIM(H132&amp;""))),ISNUMBER(MATCH(LEFT(TRIM(H132&amp;""),FIND(" ",TRIM(H132&amp;""))-1),설정_코드표!$J$2:$J$101,0)),ISNUMBER(MATCH(TRIM(RIGHT(SUBSTITUTE(TRIM(H132&amp;"")," ",REPT(" ",60)),60)),설정_코드표!$F$2:$F$101,0))),INDEX(설정_코드표!$K$2:$K$101,MATCH(LEFT(TRIM(H132&amp;""),FIND(" ",TRIM(H132&amp;""))-1),설정_코드표!$J$2:$J$101,0))&amp;" "&amp;INDEX(설정_코드표!$G$2:$G$101,MATCH(TRIM(RIGHT(SUBSTITUTE(TRIM(H132&amp;"")," ",REPT(" ",60)),60)),설정_코드표!$F$2:$F$101,0)),"⚠"&amp;TRIM(H132&amp;""))),"⚠"&amp;TRIM(H132&amp;""))</f>
        <v/>
      </c>
      <c r="Q132" s="10">
        <f>IFERROR(IF(TRIM(I132&amp;"")="","",IF(AND(ISNUMBER(FIND(" ",TRIM(I132&amp;""))),ISNUMBER(MATCH(LEFT(TRIM(I132&amp;""),FIND(" ",TRIM(I132&amp;""))-1),설정_코드표!$J$2:$J$101,0)),ISNUMBER(MATCH(TRIM(RIGHT(SUBSTITUTE(TRIM(I132&amp;"")," ",REPT(" ",60)),60)),설정_코드표!$F$2:$F$101,0))),INDEX(설정_코드표!$K$2:$K$101,MATCH(LEFT(TRIM(I132&amp;""),FIND(" ",TRIM(I132&amp;""))-1),설정_코드표!$J$2:$J$101,0))&amp;" "&amp;INDEX(설정_코드표!$G$2:$G$101,MATCH(TRIM(RIGHT(SUBSTITUTE(TRIM(I132&amp;"")," ",REPT(" ",60)),60)),설정_코드표!$F$2:$F$101,0)),"⚠"&amp;TRIM(I132&amp;""))),"⚠"&amp;TRIM(I132&amp;""))</f>
        <v/>
      </c>
      <c r="R132" s="10">
        <f>IFERROR(IF(TRIM(J132&amp;"")="","",IF(AND(ISNUMBER(FIND(" ",TRIM(J132&amp;""))),ISNUMBER(MATCH(LEFT(TRIM(J132&amp;""),FIND(" ",TRIM(J132&amp;""))-1),설정_코드표!$J$2:$J$101,0)),ISNUMBER(MATCH(TRIM(RIGHT(SUBSTITUTE(TRIM(J132&amp;"")," ",REPT(" ",60)),60)),설정_코드표!$F$2:$F$101,0))),INDEX(설정_코드표!$K$2:$K$101,MATCH(LEFT(TRIM(J132&amp;""),FIND(" ",TRIM(J132&amp;""))-1),설정_코드표!$J$2:$J$101,0))&amp;" "&amp;INDEX(설정_코드표!$G$2:$G$101,MATCH(TRIM(RIGHT(SUBSTITUTE(TRIM(J132&amp;"")," ",REPT(" ",60)),60)),설정_코드표!$F$2:$F$101,0)),"⚠"&amp;TRIM(J132&amp;""))),"⚠"&amp;TRIM(J132&amp;""))</f>
        <v/>
      </c>
      <c r="S132" s="11">
        <f>IF(K132="","",IFERROR(IF(AND(ROUND((VALUE(K132&amp;"")-INT(VALUE(K132&amp;"")))*100,0)&gt;=1,ROUND((VALUE(K132&amp;"")-INT(VALUE(K132&amp;"")))*100,0)&lt;=12,INT(VALUE(K132&amp;""))&gt;=1900),DATE(INT(VALUE(K132&amp;"")),ROUND((VALUE(K132&amp;"")-INT(VALUE(K132&amp;"")))*100,0),1),K132&amp;""),K132&amp;""))</f>
        <v/>
      </c>
      <c r="T132" s="10">
        <f>COUNTIF(M132:R132,"⚠*")</f>
        <v/>
      </c>
    </row>
    <row r="133"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M133" s="10">
        <f>IFERROR(IF(TRIM(E133&amp;"")="","",IF(AND(ISNUMBER(FIND(" ",TRIM(E133&amp;""))),ISNUMBER(MATCH(LEFT(TRIM(E133&amp;""),FIND(" ",TRIM(E133&amp;""))-1),설정_코드표!$J$2:$J$101,0)),ISNUMBER(MATCH(TRIM(RIGHT(SUBSTITUTE(TRIM(E133&amp;"")," ",REPT(" ",60)),60)),설정_코드표!$F$2:$F$101,0))),INDEX(설정_코드표!$K$2:$K$101,MATCH(LEFT(TRIM(E133&amp;""),FIND(" ",TRIM(E133&amp;""))-1),설정_코드표!$J$2:$J$101,0))&amp;" "&amp;INDEX(설정_코드표!$G$2:$G$101,MATCH(TRIM(RIGHT(SUBSTITUTE(TRIM(E133&amp;"")," ",REPT(" ",60)),60)),설정_코드표!$F$2:$F$101,0)),"⚠"&amp;TRIM(E133&amp;""))),"⚠"&amp;TRIM(E133&amp;""))</f>
        <v/>
      </c>
      <c r="N133" s="10">
        <f>IFERROR(IF(TRIM(F133&amp;"")="","",IF(AND(ISNUMBER(FIND(" ",TRIM(F133&amp;""))),ISNUMBER(MATCH(LEFT(TRIM(F133&amp;""),FIND(" ",TRIM(F133&amp;""))-1),설정_코드표!$J$2:$J$101,0)),ISNUMBER(MATCH(TRIM(RIGHT(SUBSTITUTE(TRIM(F133&amp;"")," ",REPT(" ",60)),60)),설정_코드표!$F$2:$F$101,0))),INDEX(설정_코드표!$K$2:$K$101,MATCH(LEFT(TRIM(F133&amp;""),FIND(" ",TRIM(F133&amp;""))-1),설정_코드표!$J$2:$J$101,0))&amp;" "&amp;INDEX(설정_코드표!$G$2:$G$101,MATCH(TRIM(RIGHT(SUBSTITUTE(TRIM(F133&amp;"")," ",REPT(" ",60)),60)),설정_코드표!$F$2:$F$101,0)),"⚠"&amp;TRIM(F133&amp;""))),"⚠"&amp;TRIM(F133&amp;""))</f>
        <v/>
      </c>
      <c r="O133" s="10">
        <f>IFERROR(IF(TRIM(G133&amp;"")="","",IF(AND(ISNUMBER(FIND(" ",TRIM(G133&amp;""))),ISNUMBER(MATCH(LEFT(TRIM(G133&amp;""),FIND(" ",TRIM(G133&amp;""))-1),설정_코드표!$J$2:$J$101,0)),ISNUMBER(MATCH(TRIM(RIGHT(SUBSTITUTE(TRIM(G133&amp;"")," ",REPT(" ",60)),60)),설정_코드표!$F$2:$F$101,0))),INDEX(설정_코드표!$K$2:$K$101,MATCH(LEFT(TRIM(G133&amp;""),FIND(" ",TRIM(G133&amp;""))-1),설정_코드표!$J$2:$J$101,0))&amp;" "&amp;INDEX(설정_코드표!$G$2:$G$101,MATCH(TRIM(RIGHT(SUBSTITUTE(TRIM(G133&amp;"")," ",REPT(" ",60)),60)),설정_코드표!$F$2:$F$101,0)),"⚠"&amp;TRIM(G133&amp;""))),"⚠"&amp;TRIM(G133&amp;""))</f>
        <v/>
      </c>
      <c r="P133" s="10">
        <f>IFERROR(IF(TRIM(H133&amp;"")="","",IF(AND(ISNUMBER(FIND(" ",TRIM(H133&amp;""))),ISNUMBER(MATCH(LEFT(TRIM(H133&amp;""),FIND(" ",TRIM(H133&amp;""))-1),설정_코드표!$J$2:$J$101,0)),ISNUMBER(MATCH(TRIM(RIGHT(SUBSTITUTE(TRIM(H133&amp;"")," ",REPT(" ",60)),60)),설정_코드표!$F$2:$F$101,0))),INDEX(설정_코드표!$K$2:$K$101,MATCH(LEFT(TRIM(H133&amp;""),FIND(" ",TRIM(H133&amp;""))-1),설정_코드표!$J$2:$J$101,0))&amp;" "&amp;INDEX(설정_코드표!$G$2:$G$101,MATCH(TRIM(RIGHT(SUBSTITUTE(TRIM(H133&amp;"")," ",REPT(" ",60)),60)),설정_코드표!$F$2:$F$101,0)),"⚠"&amp;TRIM(H133&amp;""))),"⚠"&amp;TRIM(H133&amp;""))</f>
        <v/>
      </c>
      <c r="Q133" s="10">
        <f>IFERROR(IF(TRIM(I133&amp;"")="","",IF(AND(ISNUMBER(FIND(" ",TRIM(I133&amp;""))),ISNUMBER(MATCH(LEFT(TRIM(I133&amp;""),FIND(" ",TRIM(I133&amp;""))-1),설정_코드표!$J$2:$J$101,0)),ISNUMBER(MATCH(TRIM(RIGHT(SUBSTITUTE(TRIM(I133&amp;"")," ",REPT(" ",60)),60)),설정_코드표!$F$2:$F$101,0))),INDEX(설정_코드표!$K$2:$K$101,MATCH(LEFT(TRIM(I133&amp;""),FIND(" ",TRIM(I133&amp;""))-1),설정_코드표!$J$2:$J$101,0))&amp;" "&amp;INDEX(설정_코드표!$G$2:$G$101,MATCH(TRIM(RIGHT(SUBSTITUTE(TRIM(I133&amp;"")," ",REPT(" ",60)),60)),설정_코드표!$F$2:$F$101,0)),"⚠"&amp;TRIM(I133&amp;""))),"⚠"&amp;TRIM(I133&amp;""))</f>
        <v/>
      </c>
      <c r="R133" s="10">
        <f>IFERROR(IF(TRIM(J133&amp;"")="","",IF(AND(ISNUMBER(FIND(" ",TRIM(J133&amp;""))),ISNUMBER(MATCH(LEFT(TRIM(J133&amp;""),FIND(" ",TRIM(J133&amp;""))-1),설정_코드표!$J$2:$J$101,0)),ISNUMBER(MATCH(TRIM(RIGHT(SUBSTITUTE(TRIM(J133&amp;"")," ",REPT(" ",60)),60)),설정_코드표!$F$2:$F$101,0))),INDEX(설정_코드표!$K$2:$K$101,MATCH(LEFT(TRIM(J133&amp;""),FIND(" ",TRIM(J133&amp;""))-1),설정_코드표!$J$2:$J$101,0))&amp;" "&amp;INDEX(설정_코드표!$G$2:$G$101,MATCH(TRIM(RIGHT(SUBSTITUTE(TRIM(J133&amp;"")," ",REPT(" ",60)),60)),설정_코드표!$F$2:$F$101,0)),"⚠"&amp;TRIM(J133&amp;""))),"⚠"&amp;TRIM(J133&amp;""))</f>
        <v/>
      </c>
      <c r="S133" s="11">
        <f>IF(K133="","",IFERROR(IF(AND(ROUND((VALUE(K133&amp;"")-INT(VALUE(K133&amp;"")))*100,0)&gt;=1,ROUND((VALUE(K133&amp;"")-INT(VALUE(K133&amp;"")))*100,0)&lt;=12,INT(VALUE(K133&amp;""))&gt;=1900),DATE(INT(VALUE(K133&amp;"")),ROUND((VALUE(K133&amp;"")-INT(VALUE(K133&amp;"")))*100,0),1),K133&amp;""),K133&amp;""))</f>
        <v/>
      </c>
      <c r="T133" s="10">
        <f>COUNTIF(M133:R133,"⚠*")</f>
        <v/>
      </c>
    </row>
    <row r="134"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M134" s="10">
        <f>IFERROR(IF(TRIM(E134&amp;"")="","",IF(AND(ISNUMBER(FIND(" ",TRIM(E134&amp;""))),ISNUMBER(MATCH(LEFT(TRIM(E134&amp;""),FIND(" ",TRIM(E134&amp;""))-1),설정_코드표!$J$2:$J$101,0)),ISNUMBER(MATCH(TRIM(RIGHT(SUBSTITUTE(TRIM(E134&amp;"")," ",REPT(" ",60)),60)),설정_코드표!$F$2:$F$101,0))),INDEX(설정_코드표!$K$2:$K$101,MATCH(LEFT(TRIM(E134&amp;""),FIND(" ",TRIM(E134&amp;""))-1),설정_코드표!$J$2:$J$101,0))&amp;" "&amp;INDEX(설정_코드표!$G$2:$G$101,MATCH(TRIM(RIGHT(SUBSTITUTE(TRIM(E134&amp;"")," ",REPT(" ",60)),60)),설정_코드표!$F$2:$F$101,0)),"⚠"&amp;TRIM(E134&amp;""))),"⚠"&amp;TRIM(E134&amp;""))</f>
        <v/>
      </c>
      <c r="N134" s="10">
        <f>IFERROR(IF(TRIM(F134&amp;"")="","",IF(AND(ISNUMBER(FIND(" ",TRIM(F134&amp;""))),ISNUMBER(MATCH(LEFT(TRIM(F134&amp;""),FIND(" ",TRIM(F134&amp;""))-1),설정_코드표!$J$2:$J$101,0)),ISNUMBER(MATCH(TRIM(RIGHT(SUBSTITUTE(TRIM(F134&amp;"")," ",REPT(" ",60)),60)),설정_코드표!$F$2:$F$101,0))),INDEX(설정_코드표!$K$2:$K$101,MATCH(LEFT(TRIM(F134&amp;""),FIND(" ",TRIM(F134&amp;""))-1),설정_코드표!$J$2:$J$101,0))&amp;" "&amp;INDEX(설정_코드표!$G$2:$G$101,MATCH(TRIM(RIGHT(SUBSTITUTE(TRIM(F134&amp;"")," ",REPT(" ",60)),60)),설정_코드표!$F$2:$F$101,0)),"⚠"&amp;TRIM(F134&amp;""))),"⚠"&amp;TRIM(F134&amp;""))</f>
        <v/>
      </c>
      <c r="O134" s="10">
        <f>IFERROR(IF(TRIM(G134&amp;"")="","",IF(AND(ISNUMBER(FIND(" ",TRIM(G134&amp;""))),ISNUMBER(MATCH(LEFT(TRIM(G134&amp;""),FIND(" ",TRIM(G134&amp;""))-1),설정_코드표!$J$2:$J$101,0)),ISNUMBER(MATCH(TRIM(RIGHT(SUBSTITUTE(TRIM(G134&amp;"")," ",REPT(" ",60)),60)),설정_코드표!$F$2:$F$101,0))),INDEX(설정_코드표!$K$2:$K$101,MATCH(LEFT(TRIM(G134&amp;""),FIND(" ",TRIM(G134&amp;""))-1),설정_코드표!$J$2:$J$101,0))&amp;" "&amp;INDEX(설정_코드표!$G$2:$G$101,MATCH(TRIM(RIGHT(SUBSTITUTE(TRIM(G134&amp;"")," ",REPT(" ",60)),60)),설정_코드표!$F$2:$F$101,0)),"⚠"&amp;TRIM(G134&amp;""))),"⚠"&amp;TRIM(G134&amp;""))</f>
        <v/>
      </c>
      <c r="P134" s="10">
        <f>IFERROR(IF(TRIM(H134&amp;"")="","",IF(AND(ISNUMBER(FIND(" ",TRIM(H134&amp;""))),ISNUMBER(MATCH(LEFT(TRIM(H134&amp;""),FIND(" ",TRIM(H134&amp;""))-1),설정_코드표!$J$2:$J$101,0)),ISNUMBER(MATCH(TRIM(RIGHT(SUBSTITUTE(TRIM(H134&amp;"")," ",REPT(" ",60)),60)),설정_코드표!$F$2:$F$101,0))),INDEX(설정_코드표!$K$2:$K$101,MATCH(LEFT(TRIM(H134&amp;""),FIND(" ",TRIM(H134&amp;""))-1),설정_코드표!$J$2:$J$101,0))&amp;" "&amp;INDEX(설정_코드표!$G$2:$G$101,MATCH(TRIM(RIGHT(SUBSTITUTE(TRIM(H134&amp;"")," ",REPT(" ",60)),60)),설정_코드표!$F$2:$F$101,0)),"⚠"&amp;TRIM(H134&amp;""))),"⚠"&amp;TRIM(H134&amp;""))</f>
        <v/>
      </c>
      <c r="Q134" s="10">
        <f>IFERROR(IF(TRIM(I134&amp;"")="","",IF(AND(ISNUMBER(FIND(" ",TRIM(I134&amp;""))),ISNUMBER(MATCH(LEFT(TRIM(I134&amp;""),FIND(" ",TRIM(I134&amp;""))-1),설정_코드표!$J$2:$J$101,0)),ISNUMBER(MATCH(TRIM(RIGHT(SUBSTITUTE(TRIM(I134&amp;"")," ",REPT(" ",60)),60)),설정_코드표!$F$2:$F$101,0))),INDEX(설정_코드표!$K$2:$K$101,MATCH(LEFT(TRIM(I134&amp;""),FIND(" ",TRIM(I134&amp;""))-1),설정_코드표!$J$2:$J$101,0))&amp;" "&amp;INDEX(설정_코드표!$G$2:$G$101,MATCH(TRIM(RIGHT(SUBSTITUTE(TRIM(I134&amp;"")," ",REPT(" ",60)),60)),설정_코드표!$F$2:$F$101,0)),"⚠"&amp;TRIM(I134&amp;""))),"⚠"&amp;TRIM(I134&amp;""))</f>
        <v/>
      </c>
      <c r="R134" s="10">
        <f>IFERROR(IF(TRIM(J134&amp;"")="","",IF(AND(ISNUMBER(FIND(" ",TRIM(J134&amp;""))),ISNUMBER(MATCH(LEFT(TRIM(J134&amp;""),FIND(" ",TRIM(J134&amp;""))-1),설정_코드표!$J$2:$J$101,0)),ISNUMBER(MATCH(TRIM(RIGHT(SUBSTITUTE(TRIM(J134&amp;"")," ",REPT(" ",60)),60)),설정_코드표!$F$2:$F$101,0))),INDEX(설정_코드표!$K$2:$K$101,MATCH(LEFT(TRIM(J134&amp;""),FIND(" ",TRIM(J134&amp;""))-1),설정_코드표!$J$2:$J$101,0))&amp;" "&amp;INDEX(설정_코드표!$G$2:$G$101,MATCH(TRIM(RIGHT(SUBSTITUTE(TRIM(J134&amp;"")," ",REPT(" ",60)),60)),설정_코드표!$F$2:$F$101,0)),"⚠"&amp;TRIM(J134&amp;""))),"⚠"&amp;TRIM(J134&amp;""))</f>
        <v/>
      </c>
      <c r="S134" s="11">
        <f>IF(K134="","",IFERROR(IF(AND(ROUND((VALUE(K134&amp;"")-INT(VALUE(K134&amp;"")))*100,0)&gt;=1,ROUND((VALUE(K134&amp;"")-INT(VALUE(K134&amp;"")))*100,0)&lt;=12,INT(VALUE(K134&amp;""))&gt;=1900),DATE(INT(VALUE(K134&amp;"")),ROUND((VALUE(K134&amp;"")-INT(VALUE(K134&amp;"")))*100,0),1),K134&amp;""),K134&amp;""))</f>
        <v/>
      </c>
      <c r="T134" s="10">
        <f>COUNTIF(M134:R134,"⚠*")</f>
        <v/>
      </c>
    </row>
    <row r="135"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M135" s="10">
        <f>IFERROR(IF(TRIM(E135&amp;"")="","",IF(AND(ISNUMBER(FIND(" ",TRIM(E135&amp;""))),ISNUMBER(MATCH(LEFT(TRIM(E135&amp;""),FIND(" ",TRIM(E135&amp;""))-1),설정_코드표!$J$2:$J$101,0)),ISNUMBER(MATCH(TRIM(RIGHT(SUBSTITUTE(TRIM(E135&amp;"")," ",REPT(" ",60)),60)),설정_코드표!$F$2:$F$101,0))),INDEX(설정_코드표!$K$2:$K$101,MATCH(LEFT(TRIM(E135&amp;""),FIND(" ",TRIM(E135&amp;""))-1),설정_코드표!$J$2:$J$101,0))&amp;" "&amp;INDEX(설정_코드표!$G$2:$G$101,MATCH(TRIM(RIGHT(SUBSTITUTE(TRIM(E135&amp;"")," ",REPT(" ",60)),60)),설정_코드표!$F$2:$F$101,0)),"⚠"&amp;TRIM(E135&amp;""))),"⚠"&amp;TRIM(E135&amp;""))</f>
        <v/>
      </c>
      <c r="N135" s="10">
        <f>IFERROR(IF(TRIM(F135&amp;"")="","",IF(AND(ISNUMBER(FIND(" ",TRIM(F135&amp;""))),ISNUMBER(MATCH(LEFT(TRIM(F135&amp;""),FIND(" ",TRIM(F135&amp;""))-1),설정_코드표!$J$2:$J$101,0)),ISNUMBER(MATCH(TRIM(RIGHT(SUBSTITUTE(TRIM(F135&amp;"")," ",REPT(" ",60)),60)),설정_코드표!$F$2:$F$101,0))),INDEX(설정_코드표!$K$2:$K$101,MATCH(LEFT(TRIM(F135&amp;""),FIND(" ",TRIM(F135&amp;""))-1),설정_코드표!$J$2:$J$101,0))&amp;" "&amp;INDEX(설정_코드표!$G$2:$G$101,MATCH(TRIM(RIGHT(SUBSTITUTE(TRIM(F135&amp;"")," ",REPT(" ",60)),60)),설정_코드표!$F$2:$F$101,0)),"⚠"&amp;TRIM(F135&amp;""))),"⚠"&amp;TRIM(F135&amp;""))</f>
        <v/>
      </c>
      <c r="O135" s="10">
        <f>IFERROR(IF(TRIM(G135&amp;"")="","",IF(AND(ISNUMBER(FIND(" ",TRIM(G135&amp;""))),ISNUMBER(MATCH(LEFT(TRIM(G135&amp;""),FIND(" ",TRIM(G135&amp;""))-1),설정_코드표!$J$2:$J$101,0)),ISNUMBER(MATCH(TRIM(RIGHT(SUBSTITUTE(TRIM(G135&amp;"")," ",REPT(" ",60)),60)),설정_코드표!$F$2:$F$101,0))),INDEX(설정_코드표!$K$2:$K$101,MATCH(LEFT(TRIM(G135&amp;""),FIND(" ",TRIM(G135&amp;""))-1),설정_코드표!$J$2:$J$101,0))&amp;" "&amp;INDEX(설정_코드표!$G$2:$G$101,MATCH(TRIM(RIGHT(SUBSTITUTE(TRIM(G135&amp;"")," ",REPT(" ",60)),60)),설정_코드표!$F$2:$F$101,0)),"⚠"&amp;TRIM(G135&amp;""))),"⚠"&amp;TRIM(G135&amp;""))</f>
        <v/>
      </c>
      <c r="P135" s="10">
        <f>IFERROR(IF(TRIM(H135&amp;"")="","",IF(AND(ISNUMBER(FIND(" ",TRIM(H135&amp;""))),ISNUMBER(MATCH(LEFT(TRIM(H135&amp;""),FIND(" ",TRIM(H135&amp;""))-1),설정_코드표!$J$2:$J$101,0)),ISNUMBER(MATCH(TRIM(RIGHT(SUBSTITUTE(TRIM(H135&amp;"")," ",REPT(" ",60)),60)),설정_코드표!$F$2:$F$101,0))),INDEX(설정_코드표!$K$2:$K$101,MATCH(LEFT(TRIM(H135&amp;""),FIND(" ",TRIM(H135&amp;""))-1),설정_코드표!$J$2:$J$101,0))&amp;" "&amp;INDEX(설정_코드표!$G$2:$G$101,MATCH(TRIM(RIGHT(SUBSTITUTE(TRIM(H135&amp;"")," ",REPT(" ",60)),60)),설정_코드표!$F$2:$F$101,0)),"⚠"&amp;TRIM(H135&amp;""))),"⚠"&amp;TRIM(H135&amp;""))</f>
        <v/>
      </c>
      <c r="Q135" s="10">
        <f>IFERROR(IF(TRIM(I135&amp;"")="","",IF(AND(ISNUMBER(FIND(" ",TRIM(I135&amp;""))),ISNUMBER(MATCH(LEFT(TRIM(I135&amp;""),FIND(" ",TRIM(I135&amp;""))-1),설정_코드표!$J$2:$J$101,0)),ISNUMBER(MATCH(TRIM(RIGHT(SUBSTITUTE(TRIM(I135&amp;"")," ",REPT(" ",60)),60)),설정_코드표!$F$2:$F$101,0))),INDEX(설정_코드표!$K$2:$K$101,MATCH(LEFT(TRIM(I135&amp;""),FIND(" ",TRIM(I135&amp;""))-1),설정_코드표!$J$2:$J$101,0))&amp;" "&amp;INDEX(설정_코드표!$G$2:$G$101,MATCH(TRIM(RIGHT(SUBSTITUTE(TRIM(I135&amp;"")," ",REPT(" ",60)),60)),설정_코드표!$F$2:$F$101,0)),"⚠"&amp;TRIM(I135&amp;""))),"⚠"&amp;TRIM(I135&amp;""))</f>
        <v/>
      </c>
      <c r="R135" s="10">
        <f>IFERROR(IF(TRIM(J135&amp;"")="","",IF(AND(ISNUMBER(FIND(" ",TRIM(J135&amp;""))),ISNUMBER(MATCH(LEFT(TRIM(J135&amp;""),FIND(" ",TRIM(J135&amp;""))-1),설정_코드표!$J$2:$J$101,0)),ISNUMBER(MATCH(TRIM(RIGHT(SUBSTITUTE(TRIM(J135&amp;"")," ",REPT(" ",60)),60)),설정_코드표!$F$2:$F$101,0))),INDEX(설정_코드표!$K$2:$K$101,MATCH(LEFT(TRIM(J135&amp;""),FIND(" ",TRIM(J135&amp;""))-1),설정_코드표!$J$2:$J$101,0))&amp;" "&amp;INDEX(설정_코드표!$G$2:$G$101,MATCH(TRIM(RIGHT(SUBSTITUTE(TRIM(J135&amp;"")," ",REPT(" ",60)),60)),설정_코드표!$F$2:$F$101,0)),"⚠"&amp;TRIM(J135&amp;""))),"⚠"&amp;TRIM(J135&amp;""))</f>
        <v/>
      </c>
      <c r="S135" s="11">
        <f>IF(K135="","",IFERROR(IF(AND(ROUND((VALUE(K135&amp;"")-INT(VALUE(K135&amp;"")))*100,0)&gt;=1,ROUND((VALUE(K135&amp;"")-INT(VALUE(K135&amp;"")))*100,0)&lt;=12,INT(VALUE(K135&amp;""))&gt;=1900),DATE(INT(VALUE(K135&amp;"")),ROUND((VALUE(K135&amp;"")-INT(VALUE(K135&amp;"")))*100,0),1),K135&amp;""),K135&amp;""))</f>
        <v/>
      </c>
      <c r="T135" s="10">
        <f>COUNTIF(M135:R135,"⚠*")</f>
        <v/>
      </c>
    </row>
    <row r="136"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M136" s="10">
        <f>IFERROR(IF(TRIM(E136&amp;"")="","",IF(AND(ISNUMBER(FIND(" ",TRIM(E136&amp;""))),ISNUMBER(MATCH(LEFT(TRIM(E136&amp;""),FIND(" ",TRIM(E136&amp;""))-1),설정_코드표!$J$2:$J$101,0)),ISNUMBER(MATCH(TRIM(RIGHT(SUBSTITUTE(TRIM(E136&amp;"")," ",REPT(" ",60)),60)),설정_코드표!$F$2:$F$101,0))),INDEX(설정_코드표!$K$2:$K$101,MATCH(LEFT(TRIM(E136&amp;""),FIND(" ",TRIM(E136&amp;""))-1),설정_코드표!$J$2:$J$101,0))&amp;" "&amp;INDEX(설정_코드표!$G$2:$G$101,MATCH(TRIM(RIGHT(SUBSTITUTE(TRIM(E136&amp;"")," ",REPT(" ",60)),60)),설정_코드표!$F$2:$F$101,0)),"⚠"&amp;TRIM(E136&amp;""))),"⚠"&amp;TRIM(E136&amp;""))</f>
        <v/>
      </c>
      <c r="N136" s="10">
        <f>IFERROR(IF(TRIM(F136&amp;"")="","",IF(AND(ISNUMBER(FIND(" ",TRIM(F136&amp;""))),ISNUMBER(MATCH(LEFT(TRIM(F136&amp;""),FIND(" ",TRIM(F136&amp;""))-1),설정_코드표!$J$2:$J$101,0)),ISNUMBER(MATCH(TRIM(RIGHT(SUBSTITUTE(TRIM(F136&amp;"")," ",REPT(" ",60)),60)),설정_코드표!$F$2:$F$101,0))),INDEX(설정_코드표!$K$2:$K$101,MATCH(LEFT(TRIM(F136&amp;""),FIND(" ",TRIM(F136&amp;""))-1),설정_코드표!$J$2:$J$101,0))&amp;" "&amp;INDEX(설정_코드표!$G$2:$G$101,MATCH(TRIM(RIGHT(SUBSTITUTE(TRIM(F136&amp;"")," ",REPT(" ",60)),60)),설정_코드표!$F$2:$F$101,0)),"⚠"&amp;TRIM(F136&amp;""))),"⚠"&amp;TRIM(F136&amp;""))</f>
        <v/>
      </c>
      <c r="O136" s="10">
        <f>IFERROR(IF(TRIM(G136&amp;"")="","",IF(AND(ISNUMBER(FIND(" ",TRIM(G136&amp;""))),ISNUMBER(MATCH(LEFT(TRIM(G136&amp;""),FIND(" ",TRIM(G136&amp;""))-1),설정_코드표!$J$2:$J$101,0)),ISNUMBER(MATCH(TRIM(RIGHT(SUBSTITUTE(TRIM(G136&amp;"")," ",REPT(" ",60)),60)),설정_코드표!$F$2:$F$101,0))),INDEX(설정_코드표!$K$2:$K$101,MATCH(LEFT(TRIM(G136&amp;""),FIND(" ",TRIM(G136&amp;""))-1),설정_코드표!$J$2:$J$101,0))&amp;" "&amp;INDEX(설정_코드표!$G$2:$G$101,MATCH(TRIM(RIGHT(SUBSTITUTE(TRIM(G136&amp;"")," ",REPT(" ",60)),60)),설정_코드표!$F$2:$F$101,0)),"⚠"&amp;TRIM(G136&amp;""))),"⚠"&amp;TRIM(G136&amp;""))</f>
        <v/>
      </c>
      <c r="P136" s="10">
        <f>IFERROR(IF(TRIM(H136&amp;"")="","",IF(AND(ISNUMBER(FIND(" ",TRIM(H136&amp;""))),ISNUMBER(MATCH(LEFT(TRIM(H136&amp;""),FIND(" ",TRIM(H136&amp;""))-1),설정_코드표!$J$2:$J$101,0)),ISNUMBER(MATCH(TRIM(RIGHT(SUBSTITUTE(TRIM(H136&amp;"")," ",REPT(" ",60)),60)),설정_코드표!$F$2:$F$101,0))),INDEX(설정_코드표!$K$2:$K$101,MATCH(LEFT(TRIM(H136&amp;""),FIND(" ",TRIM(H136&amp;""))-1),설정_코드표!$J$2:$J$101,0))&amp;" "&amp;INDEX(설정_코드표!$G$2:$G$101,MATCH(TRIM(RIGHT(SUBSTITUTE(TRIM(H136&amp;"")," ",REPT(" ",60)),60)),설정_코드표!$F$2:$F$101,0)),"⚠"&amp;TRIM(H136&amp;""))),"⚠"&amp;TRIM(H136&amp;""))</f>
        <v/>
      </c>
      <c r="Q136" s="10">
        <f>IFERROR(IF(TRIM(I136&amp;"")="","",IF(AND(ISNUMBER(FIND(" ",TRIM(I136&amp;""))),ISNUMBER(MATCH(LEFT(TRIM(I136&amp;""),FIND(" ",TRIM(I136&amp;""))-1),설정_코드표!$J$2:$J$101,0)),ISNUMBER(MATCH(TRIM(RIGHT(SUBSTITUTE(TRIM(I136&amp;"")," ",REPT(" ",60)),60)),설정_코드표!$F$2:$F$101,0))),INDEX(설정_코드표!$K$2:$K$101,MATCH(LEFT(TRIM(I136&amp;""),FIND(" ",TRIM(I136&amp;""))-1),설정_코드표!$J$2:$J$101,0))&amp;" "&amp;INDEX(설정_코드표!$G$2:$G$101,MATCH(TRIM(RIGHT(SUBSTITUTE(TRIM(I136&amp;"")," ",REPT(" ",60)),60)),설정_코드표!$F$2:$F$101,0)),"⚠"&amp;TRIM(I136&amp;""))),"⚠"&amp;TRIM(I136&amp;""))</f>
        <v/>
      </c>
      <c r="R136" s="10">
        <f>IFERROR(IF(TRIM(J136&amp;"")="","",IF(AND(ISNUMBER(FIND(" ",TRIM(J136&amp;""))),ISNUMBER(MATCH(LEFT(TRIM(J136&amp;""),FIND(" ",TRIM(J136&amp;""))-1),설정_코드표!$J$2:$J$101,0)),ISNUMBER(MATCH(TRIM(RIGHT(SUBSTITUTE(TRIM(J136&amp;"")," ",REPT(" ",60)),60)),설정_코드표!$F$2:$F$101,0))),INDEX(설정_코드표!$K$2:$K$101,MATCH(LEFT(TRIM(J136&amp;""),FIND(" ",TRIM(J136&amp;""))-1),설정_코드표!$J$2:$J$101,0))&amp;" "&amp;INDEX(설정_코드표!$G$2:$G$101,MATCH(TRIM(RIGHT(SUBSTITUTE(TRIM(J136&amp;"")," ",REPT(" ",60)),60)),설정_코드표!$F$2:$F$101,0)),"⚠"&amp;TRIM(J136&amp;""))),"⚠"&amp;TRIM(J136&amp;""))</f>
        <v/>
      </c>
      <c r="S136" s="11">
        <f>IF(K136="","",IFERROR(IF(AND(ROUND((VALUE(K136&amp;"")-INT(VALUE(K136&amp;"")))*100,0)&gt;=1,ROUND((VALUE(K136&amp;"")-INT(VALUE(K136&amp;"")))*100,0)&lt;=12,INT(VALUE(K136&amp;""))&gt;=1900),DATE(INT(VALUE(K136&amp;"")),ROUND((VALUE(K136&amp;"")-INT(VALUE(K136&amp;"")))*100,0),1),K136&amp;""),K136&amp;""))</f>
        <v/>
      </c>
      <c r="T136" s="10">
        <f>COUNTIF(M136:R136,"⚠*")</f>
        <v/>
      </c>
    </row>
    <row r="137"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M137" s="10">
        <f>IFERROR(IF(TRIM(E137&amp;"")="","",IF(AND(ISNUMBER(FIND(" ",TRIM(E137&amp;""))),ISNUMBER(MATCH(LEFT(TRIM(E137&amp;""),FIND(" ",TRIM(E137&amp;""))-1),설정_코드표!$J$2:$J$101,0)),ISNUMBER(MATCH(TRIM(RIGHT(SUBSTITUTE(TRIM(E137&amp;"")," ",REPT(" ",60)),60)),설정_코드표!$F$2:$F$101,0))),INDEX(설정_코드표!$K$2:$K$101,MATCH(LEFT(TRIM(E137&amp;""),FIND(" ",TRIM(E137&amp;""))-1),설정_코드표!$J$2:$J$101,0))&amp;" "&amp;INDEX(설정_코드표!$G$2:$G$101,MATCH(TRIM(RIGHT(SUBSTITUTE(TRIM(E137&amp;"")," ",REPT(" ",60)),60)),설정_코드표!$F$2:$F$101,0)),"⚠"&amp;TRIM(E137&amp;""))),"⚠"&amp;TRIM(E137&amp;""))</f>
        <v/>
      </c>
      <c r="N137" s="10">
        <f>IFERROR(IF(TRIM(F137&amp;"")="","",IF(AND(ISNUMBER(FIND(" ",TRIM(F137&amp;""))),ISNUMBER(MATCH(LEFT(TRIM(F137&amp;""),FIND(" ",TRIM(F137&amp;""))-1),설정_코드표!$J$2:$J$101,0)),ISNUMBER(MATCH(TRIM(RIGHT(SUBSTITUTE(TRIM(F137&amp;"")," ",REPT(" ",60)),60)),설정_코드표!$F$2:$F$101,0))),INDEX(설정_코드표!$K$2:$K$101,MATCH(LEFT(TRIM(F137&amp;""),FIND(" ",TRIM(F137&amp;""))-1),설정_코드표!$J$2:$J$101,0))&amp;" "&amp;INDEX(설정_코드표!$G$2:$G$101,MATCH(TRIM(RIGHT(SUBSTITUTE(TRIM(F137&amp;"")," ",REPT(" ",60)),60)),설정_코드표!$F$2:$F$101,0)),"⚠"&amp;TRIM(F137&amp;""))),"⚠"&amp;TRIM(F137&amp;""))</f>
        <v/>
      </c>
      <c r="O137" s="10">
        <f>IFERROR(IF(TRIM(G137&amp;"")="","",IF(AND(ISNUMBER(FIND(" ",TRIM(G137&amp;""))),ISNUMBER(MATCH(LEFT(TRIM(G137&amp;""),FIND(" ",TRIM(G137&amp;""))-1),설정_코드표!$J$2:$J$101,0)),ISNUMBER(MATCH(TRIM(RIGHT(SUBSTITUTE(TRIM(G137&amp;"")," ",REPT(" ",60)),60)),설정_코드표!$F$2:$F$101,0))),INDEX(설정_코드표!$K$2:$K$101,MATCH(LEFT(TRIM(G137&amp;""),FIND(" ",TRIM(G137&amp;""))-1),설정_코드표!$J$2:$J$101,0))&amp;" "&amp;INDEX(설정_코드표!$G$2:$G$101,MATCH(TRIM(RIGHT(SUBSTITUTE(TRIM(G137&amp;"")," ",REPT(" ",60)),60)),설정_코드표!$F$2:$F$101,0)),"⚠"&amp;TRIM(G137&amp;""))),"⚠"&amp;TRIM(G137&amp;""))</f>
        <v/>
      </c>
      <c r="P137" s="10">
        <f>IFERROR(IF(TRIM(H137&amp;"")="","",IF(AND(ISNUMBER(FIND(" ",TRIM(H137&amp;""))),ISNUMBER(MATCH(LEFT(TRIM(H137&amp;""),FIND(" ",TRIM(H137&amp;""))-1),설정_코드표!$J$2:$J$101,0)),ISNUMBER(MATCH(TRIM(RIGHT(SUBSTITUTE(TRIM(H137&amp;"")," ",REPT(" ",60)),60)),설정_코드표!$F$2:$F$101,0))),INDEX(설정_코드표!$K$2:$K$101,MATCH(LEFT(TRIM(H137&amp;""),FIND(" ",TRIM(H137&amp;""))-1),설정_코드표!$J$2:$J$101,0))&amp;" "&amp;INDEX(설정_코드표!$G$2:$G$101,MATCH(TRIM(RIGHT(SUBSTITUTE(TRIM(H137&amp;"")," ",REPT(" ",60)),60)),설정_코드표!$F$2:$F$101,0)),"⚠"&amp;TRIM(H137&amp;""))),"⚠"&amp;TRIM(H137&amp;""))</f>
        <v/>
      </c>
      <c r="Q137" s="10">
        <f>IFERROR(IF(TRIM(I137&amp;"")="","",IF(AND(ISNUMBER(FIND(" ",TRIM(I137&amp;""))),ISNUMBER(MATCH(LEFT(TRIM(I137&amp;""),FIND(" ",TRIM(I137&amp;""))-1),설정_코드표!$J$2:$J$101,0)),ISNUMBER(MATCH(TRIM(RIGHT(SUBSTITUTE(TRIM(I137&amp;"")," ",REPT(" ",60)),60)),설정_코드표!$F$2:$F$101,0))),INDEX(설정_코드표!$K$2:$K$101,MATCH(LEFT(TRIM(I137&amp;""),FIND(" ",TRIM(I137&amp;""))-1),설정_코드표!$J$2:$J$101,0))&amp;" "&amp;INDEX(설정_코드표!$G$2:$G$101,MATCH(TRIM(RIGHT(SUBSTITUTE(TRIM(I137&amp;"")," ",REPT(" ",60)),60)),설정_코드표!$F$2:$F$101,0)),"⚠"&amp;TRIM(I137&amp;""))),"⚠"&amp;TRIM(I137&amp;""))</f>
        <v/>
      </c>
      <c r="R137" s="10">
        <f>IFERROR(IF(TRIM(J137&amp;"")="","",IF(AND(ISNUMBER(FIND(" ",TRIM(J137&amp;""))),ISNUMBER(MATCH(LEFT(TRIM(J137&amp;""),FIND(" ",TRIM(J137&amp;""))-1),설정_코드표!$J$2:$J$101,0)),ISNUMBER(MATCH(TRIM(RIGHT(SUBSTITUTE(TRIM(J137&amp;"")," ",REPT(" ",60)),60)),설정_코드표!$F$2:$F$101,0))),INDEX(설정_코드표!$K$2:$K$101,MATCH(LEFT(TRIM(J137&amp;""),FIND(" ",TRIM(J137&amp;""))-1),설정_코드표!$J$2:$J$101,0))&amp;" "&amp;INDEX(설정_코드표!$G$2:$G$101,MATCH(TRIM(RIGHT(SUBSTITUTE(TRIM(J137&amp;"")," ",REPT(" ",60)),60)),설정_코드표!$F$2:$F$101,0)),"⚠"&amp;TRIM(J137&amp;""))),"⚠"&amp;TRIM(J137&amp;""))</f>
        <v/>
      </c>
      <c r="S137" s="11">
        <f>IF(K137="","",IFERROR(IF(AND(ROUND((VALUE(K137&amp;"")-INT(VALUE(K137&amp;"")))*100,0)&gt;=1,ROUND((VALUE(K137&amp;"")-INT(VALUE(K137&amp;"")))*100,0)&lt;=12,INT(VALUE(K137&amp;""))&gt;=1900),DATE(INT(VALUE(K137&amp;"")),ROUND((VALUE(K137&amp;"")-INT(VALUE(K137&amp;"")))*100,0),1),K137&amp;""),K137&amp;""))</f>
        <v/>
      </c>
      <c r="T137" s="10">
        <f>COUNTIF(M137:R137,"⚠*")</f>
        <v/>
      </c>
    </row>
    <row r="138"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M138" s="10">
        <f>IFERROR(IF(TRIM(E138&amp;"")="","",IF(AND(ISNUMBER(FIND(" ",TRIM(E138&amp;""))),ISNUMBER(MATCH(LEFT(TRIM(E138&amp;""),FIND(" ",TRIM(E138&amp;""))-1),설정_코드표!$J$2:$J$101,0)),ISNUMBER(MATCH(TRIM(RIGHT(SUBSTITUTE(TRIM(E138&amp;"")," ",REPT(" ",60)),60)),설정_코드표!$F$2:$F$101,0))),INDEX(설정_코드표!$K$2:$K$101,MATCH(LEFT(TRIM(E138&amp;""),FIND(" ",TRIM(E138&amp;""))-1),설정_코드표!$J$2:$J$101,0))&amp;" "&amp;INDEX(설정_코드표!$G$2:$G$101,MATCH(TRIM(RIGHT(SUBSTITUTE(TRIM(E138&amp;"")," ",REPT(" ",60)),60)),설정_코드표!$F$2:$F$101,0)),"⚠"&amp;TRIM(E138&amp;""))),"⚠"&amp;TRIM(E138&amp;""))</f>
        <v/>
      </c>
      <c r="N138" s="10">
        <f>IFERROR(IF(TRIM(F138&amp;"")="","",IF(AND(ISNUMBER(FIND(" ",TRIM(F138&amp;""))),ISNUMBER(MATCH(LEFT(TRIM(F138&amp;""),FIND(" ",TRIM(F138&amp;""))-1),설정_코드표!$J$2:$J$101,0)),ISNUMBER(MATCH(TRIM(RIGHT(SUBSTITUTE(TRIM(F138&amp;"")," ",REPT(" ",60)),60)),설정_코드표!$F$2:$F$101,0))),INDEX(설정_코드표!$K$2:$K$101,MATCH(LEFT(TRIM(F138&amp;""),FIND(" ",TRIM(F138&amp;""))-1),설정_코드표!$J$2:$J$101,0))&amp;" "&amp;INDEX(설정_코드표!$G$2:$G$101,MATCH(TRIM(RIGHT(SUBSTITUTE(TRIM(F138&amp;"")," ",REPT(" ",60)),60)),설정_코드표!$F$2:$F$101,0)),"⚠"&amp;TRIM(F138&amp;""))),"⚠"&amp;TRIM(F138&amp;""))</f>
        <v/>
      </c>
      <c r="O138" s="10">
        <f>IFERROR(IF(TRIM(G138&amp;"")="","",IF(AND(ISNUMBER(FIND(" ",TRIM(G138&amp;""))),ISNUMBER(MATCH(LEFT(TRIM(G138&amp;""),FIND(" ",TRIM(G138&amp;""))-1),설정_코드표!$J$2:$J$101,0)),ISNUMBER(MATCH(TRIM(RIGHT(SUBSTITUTE(TRIM(G138&amp;"")," ",REPT(" ",60)),60)),설정_코드표!$F$2:$F$101,0))),INDEX(설정_코드표!$K$2:$K$101,MATCH(LEFT(TRIM(G138&amp;""),FIND(" ",TRIM(G138&amp;""))-1),설정_코드표!$J$2:$J$101,0))&amp;" "&amp;INDEX(설정_코드표!$G$2:$G$101,MATCH(TRIM(RIGHT(SUBSTITUTE(TRIM(G138&amp;"")," ",REPT(" ",60)),60)),설정_코드표!$F$2:$F$101,0)),"⚠"&amp;TRIM(G138&amp;""))),"⚠"&amp;TRIM(G138&amp;""))</f>
        <v/>
      </c>
      <c r="P138" s="10">
        <f>IFERROR(IF(TRIM(H138&amp;"")="","",IF(AND(ISNUMBER(FIND(" ",TRIM(H138&amp;""))),ISNUMBER(MATCH(LEFT(TRIM(H138&amp;""),FIND(" ",TRIM(H138&amp;""))-1),설정_코드표!$J$2:$J$101,0)),ISNUMBER(MATCH(TRIM(RIGHT(SUBSTITUTE(TRIM(H138&amp;"")," ",REPT(" ",60)),60)),설정_코드표!$F$2:$F$101,0))),INDEX(설정_코드표!$K$2:$K$101,MATCH(LEFT(TRIM(H138&amp;""),FIND(" ",TRIM(H138&amp;""))-1),설정_코드표!$J$2:$J$101,0))&amp;" "&amp;INDEX(설정_코드표!$G$2:$G$101,MATCH(TRIM(RIGHT(SUBSTITUTE(TRIM(H138&amp;"")," ",REPT(" ",60)),60)),설정_코드표!$F$2:$F$101,0)),"⚠"&amp;TRIM(H138&amp;""))),"⚠"&amp;TRIM(H138&amp;""))</f>
        <v/>
      </c>
      <c r="Q138" s="10">
        <f>IFERROR(IF(TRIM(I138&amp;"")="","",IF(AND(ISNUMBER(FIND(" ",TRIM(I138&amp;""))),ISNUMBER(MATCH(LEFT(TRIM(I138&amp;""),FIND(" ",TRIM(I138&amp;""))-1),설정_코드표!$J$2:$J$101,0)),ISNUMBER(MATCH(TRIM(RIGHT(SUBSTITUTE(TRIM(I138&amp;"")," ",REPT(" ",60)),60)),설정_코드표!$F$2:$F$101,0))),INDEX(설정_코드표!$K$2:$K$101,MATCH(LEFT(TRIM(I138&amp;""),FIND(" ",TRIM(I138&amp;""))-1),설정_코드표!$J$2:$J$101,0))&amp;" "&amp;INDEX(설정_코드표!$G$2:$G$101,MATCH(TRIM(RIGHT(SUBSTITUTE(TRIM(I138&amp;"")," ",REPT(" ",60)),60)),설정_코드표!$F$2:$F$101,0)),"⚠"&amp;TRIM(I138&amp;""))),"⚠"&amp;TRIM(I138&amp;""))</f>
        <v/>
      </c>
      <c r="R138" s="10">
        <f>IFERROR(IF(TRIM(J138&amp;"")="","",IF(AND(ISNUMBER(FIND(" ",TRIM(J138&amp;""))),ISNUMBER(MATCH(LEFT(TRIM(J138&amp;""),FIND(" ",TRIM(J138&amp;""))-1),설정_코드표!$J$2:$J$101,0)),ISNUMBER(MATCH(TRIM(RIGHT(SUBSTITUTE(TRIM(J138&amp;"")," ",REPT(" ",60)),60)),설정_코드표!$F$2:$F$101,0))),INDEX(설정_코드표!$K$2:$K$101,MATCH(LEFT(TRIM(J138&amp;""),FIND(" ",TRIM(J138&amp;""))-1),설정_코드표!$J$2:$J$101,0))&amp;" "&amp;INDEX(설정_코드표!$G$2:$G$101,MATCH(TRIM(RIGHT(SUBSTITUTE(TRIM(J138&amp;"")," ",REPT(" ",60)),60)),설정_코드표!$F$2:$F$101,0)),"⚠"&amp;TRIM(J138&amp;""))),"⚠"&amp;TRIM(J138&amp;""))</f>
        <v/>
      </c>
      <c r="S138" s="11">
        <f>IF(K138="","",IFERROR(IF(AND(ROUND((VALUE(K138&amp;"")-INT(VALUE(K138&amp;"")))*100,0)&gt;=1,ROUND((VALUE(K138&amp;"")-INT(VALUE(K138&amp;"")))*100,0)&lt;=12,INT(VALUE(K138&amp;""))&gt;=1900),DATE(INT(VALUE(K138&amp;"")),ROUND((VALUE(K138&amp;"")-INT(VALUE(K138&amp;"")))*100,0),1),K138&amp;""),K138&amp;""))</f>
        <v/>
      </c>
      <c r="T138" s="10">
        <f>COUNTIF(M138:R138,"⚠*")</f>
        <v/>
      </c>
    </row>
    <row r="139"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M139" s="10">
        <f>IFERROR(IF(TRIM(E139&amp;"")="","",IF(AND(ISNUMBER(FIND(" ",TRIM(E139&amp;""))),ISNUMBER(MATCH(LEFT(TRIM(E139&amp;""),FIND(" ",TRIM(E139&amp;""))-1),설정_코드표!$J$2:$J$101,0)),ISNUMBER(MATCH(TRIM(RIGHT(SUBSTITUTE(TRIM(E139&amp;"")," ",REPT(" ",60)),60)),설정_코드표!$F$2:$F$101,0))),INDEX(설정_코드표!$K$2:$K$101,MATCH(LEFT(TRIM(E139&amp;""),FIND(" ",TRIM(E139&amp;""))-1),설정_코드표!$J$2:$J$101,0))&amp;" "&amp;INDEX(설정_코드표!$G$2:$G$101,MATCH(TRIM(RIGHT(SUBSTITUTE(TRIM(E139&amp;"")," ",REPT(" ",60)),60)),설정_코드표!$F$2:$F$101,0)),"⚠"&amp;TRIM(E139&amp;""))),"⚠"&amp;TRIM(E139&amp;""))</f>
        <v/>
      </c>
      <c r="N139" s="10">
        <f>IFERROR(IF(TRIM(F139&amp;"")="","",IF(AND(ISNUMBER(FIND(" ",TRIM(F139&amp;""))),ISNUMBER(MATCH(LEFT(TRIM(F139&amp;""),FIND(" ",TRIM(F139&amp;""))-1),설정_코드표!$J$2:$J$101,0)),ISNUMBER(MATCH(TRIM(RIGHT(SUBSTITUTE(TRIM(F139&amp;"")," ",REPT(" ",60)),60)),설정_코드표!$F$2:$F$101,0))),INDEX(설정_코드표!$K$2:$K$101,MATCH(LEFT(TRIM(F139&amp;""),FIND(" ",TRIM(F139&amp;""))-1),설정_코드표!$J$2:$J$101,0))&amp;" "&amp;INDEX(설정_코드표!$G$2:$G$101,MATCH(TRIM(RIGHT(SUBSTITUTE(TRIM(F139&amp;"")," ",REPT(" ",60)),60)),설정_코드표!$F$2:$F$101,0)),"⚠"&amp;TRIM(F139&amp;""))),"⚠"&amp;TRIM(F139&amp;""))</f>
        <v/>
      </c>
      <c r="O139" s="10">
        <f>IFERROR(IF(TRIM(G139&amp;"")="","",IF(AND(ISNUMBER(FIND(" ",TRIM(G139&amp;""))),ISNUMBER(MATCH(LEFT(TRIM(G139&amp;""),FIND(" ",TRIM(G139&amp;""))-1),설정_코드표!$J$2:$J$101,0)),ISNUMBER(MATCH(TRIM(RIGHT(SUBSTITUTE(TRIM(G139&amp;"")," ",REPT(" ",60)),60)),설정_코드표!$F$2:$F$101,0))),INDEX(설정_코드표!$K$2:$K$101,MATCH(LEFT(TRIM(G139&amp;""),FIND(" ",TRIM(G139&amp;""))-1),설정_코드표!$J$2:$J$101,0))&amp;" "&amp;INDEX(설정_코드표!$G$2:$G$101,MATCH(TRIM(RIGHT(SUBSTITUTE(TRIM(G139&amp;"")," ",REPT(" ",60)),60)),설정_코드표!$F$2:$F$101,0)),"⚠"&amp;TRIM(G139&amp;""))),"⚠"&amp;TRIM(G139&amp;""))</f>
        <v/>
      </c>
      <c r="P139" s="10">
        <f>IFERROR(IF(TRIM(H139&amp;"")="","",IF(AND(ISNUMBER(FIND(" ",TRIM(H139&amp;""))),ISNUMBER(MATCH(LEFT(TRIM(H139&amp;""),FIND(" ",TRIM(H139&amp;""))-1),설정_코드표!$J$2:$J$101,0)),ISNUMBER(MATCH(TRIM(RIGHT(SUBSTITUTE(TRIM(H139&amp;"")," ",REPT(" ",60)),60)),설정_코드표!$F$2:$F$101,0))),INDEX(설정_코드표!$K$2:$K$101,MATCH(LEFT(TRIM(H139&amp;""),FIND(" ",TRIM(H139&amp;""))-1),설정_코드표!$J$2:$J$101,0))&amp;" "&amp;INDEX(설정_코드표!$G$2:$G$101,MATCH(TRIM(RIGHT(SUBSTITUTE(TRIM(H139&amp;"")," ",REPT(" ",60)),60)),설정_코드표!$F$2:$F$101,0)),"⚠"&amp;TRIM(H139&amp;""))),"⚠"&amp;TRIM(H139&amp;""))</f>
        <v/>
      </c>
      <c r="Q139" s="10">
        <f>IFERROR(IF(TRIM(I139&amp;"")="","",IF(AND(ISNUMBER(FIND(" ",TRIM(I139&amp;""))),ISNUMBER(MATCH(LEFT(TRIM(I139&amp;""),FIND(" ",TRIM(I139&amp;""))-1),설정_코드표!$J$2:$J$101,0)),ISNUMBER(MATCH(TRIM(RIGHT(SUBSTITUTE(TRIM(I139&amp;"")," ",REPT(" ",60)),60)),설정_코드표!$F$2:$F$101,0))),INDEX(설정_코드표!$K$2:$K$101,MATCH(LEFT(TRIM(I139&amp;""),FIND(" ",TRIM(I139&amp;""))-1),설정_코드표!$J$2:$J$101,0))&amp;" "&amp;INDEX(설정_코드표!$G$2:$G$101,MATCH(TRIM(RIGHT(SUBSTITUTE(TRIM(I139&amp;"")," ",REPT(" ",60)),60)),설정_코드표!$F$2:$F$101,0)),"⚠"&amp;TRIM(I139&amp;""))),"⚠"&amp;TRIM(I139&amp;""))</f>
        <v/>
      </c>
      <c r="R139" s="10">
        <f>IFERROR(IF(TRIM(J139&amp;"")="","",IF(AND(ISNUMBER(FIND(" ",TRIM(J139&amp;""))),ISNUMBER(MATCH(LEFT(TRIM(J139&amp;""),FIND(" ",TRIM(J139&amp;""))-1),설정_코드표!$J$2:$J$101,0)),ISNUMBER(MATCH(TRIM(RIGHT(SUBSTITUTE(TRIM(J139&amp;"")," ",REPT(" ",60)),60)),설정_코드표!$F$2:$F$101,0))),INDEX(설정_코드표!$K$2:$K$101,MATCH(LEFT(TRIM(J139&amp;""),FIND(" ",TRIM(J139&amp;""))-1),설정_코드표!$J$2:$J$101,0))&amp;" "&amp;INDEX(설정_코드표!$G$2:$G$101,MATCH(TRIM(RIGHT(SUBSTITUTE(TRIM(J139&amp;"")," ",REPT(" ",60)),60)),설정_코드표!$F$2:$F$101,0)),"⚠"&amp;TRIM(J139&amp;""))),"⚠"&amp;TRIM(J139&amp;""))</f>
        <v/>
      </c>
      <c r="S139" s="11">
        <f>IF(K139="","",IFERROR(IF(AND(ROUND((VALUE(K139&amp;"")-INT(VALUE(K139&amp;"")))*100,0)&gt;=1,ROUND((VALUE(K139&amp;"")-INT(VALUE(K139&amp;"")))*100,0)&lt;=12,INT(VALUE(K139&amp;""))&gt;=1900),DATE(INT(VALUE(K139&amp;"")),ROUND((VALUE(K139&amp;"")-INT(VALUE(K139&amp;"")))*100,0),1),K139&amp;""),K139&amp;""))</f>
        <v/>
      </c>
      <c r="T139" s="10">
        <f>COUNTIF(M139:R139,"⚠*")</f>
        <v/>
      </c>
    </row>
    <row r="140"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M140" s="10">
        <f>IFERROR(IF(TRIM(E140&amp;"")="","",IF(AND(ISNUMBER(FIND(" ",TRIM(E140&amp;""))),ISNUMBER(MATCH(LEFT(TRIM(E140&amp;""),FIND(" ",TRIM(E140&amp;""))-1),설정_코드표!$J$2:$J$101,0)),ISNUMBER(MATCH(TRIM(RIGHT(SUBSTITUTE(TRIM(E140&amp;"")," ",REPT(" ",60)),60)),설정_코드표!$F$2:$F$101,0))),INDEX(설정_코드표!$K$2:$K$101,MATCH(LEFT(TRIM(E140&amp;""),FIND(" ",TRIM(E140&amp;""))-1),설정_코드표!$J$2:$J$101,0))&amp;" "&amp;INDEX(설정_코드표!$G$2:$G$101,MATCH(TRIM(RIGHT(SUBSTITUTE(TRIM(E140&amp;"")," ",REPT(" ",60)),60)),설정_코드표!$F$2:$F$101,0)),"⚠"&amp;TRIM(E140&amp;""))),"⚠"&amp;TRIM(E140&amp;""))</f>
        <v/>
      </c>
      <c r="N140" s="10">
        <f>IFERROR(IF(TRIM(F140&amp;"")="","",IF(AND(ISNUMBER(FIND(" ",TRIM(F140&amp;""))),ISNUMBER(MATCH(LEFT(TRIM(F140&amp;""),FIND(" ",TRIM(F140&amp;""))-1),설정_코드표!$J$2:$J$101,0)),ISNUMBER(MATCH(TRIM(RIGHT(SUBSTITUTE(TRIM(F140&amp;"")," ",REPT(" ",60)),60)),설정_코드표!$F$2:$F$101,0))),INDEX(설정_코드표!$K$2:$K$101,MATCH(LEFT(TRIM(F140&amp;""),FIND(" ",TRIM(F140&amp;""))-1),설정_코드표!$J$2:$J$101,0))&amp;" "&amp;INDEX(설정_코드표!$G$2:$G$101,MATCH(TRIM(RIGHT(SUBSTITUTE(TRIM(F140&amp;"")," ",REPT(" ",60)),60)),설정_코드표!$F$2:$F$101,0)),"⚠"&amp;TRIM(F140&amp;""))),"⚠"&amp;TRIM(F140&amp;""))</f>
        <v/>
      </c>
      <c r="O140" s="10">
        <f>IFERROR(IF(TRIM(G140&amp;"")="","",IF(AND(ISNUMBER(FIND(" ",TRIM(G140&amp;""))),ISNUMBER(MATCH(LEFT(TRIM(G140&amp;""),FIND(" ",TRIM(G140&amp;""))-1),설정_코드표!$J$2:$J$101,0)),ISNUMBER(MATCH(TRIM(RIGHT(SUBSTITUTE(TRIM(G140&amp;"")," ",REPT(" ",60)),60)),설정_코드표!$F$2:$F$101,0))),INDEX(설정_코드표!$K$2:$K$101,MATCH(LEFT(TRIM(G140&amp;""),FIND(" ",TRIM(G140&amp;""))-1),설정_코드표!$J$2:$J$101,0))&amp;" "&amp;INDEX(설정_코드표!$G$2:$G$101,MATCH(TRIM(RIGHT(SUBSTITUTE(TRIM(G140&amp;"")," ",REPT(" ",60)),60)),설정_코드표!$F$2:$F$101,0)),"⚠"&amp;TRIM(G140&amp;""))),"⚠"&amp;TRIM(G140&amp;""))</f>
        <v/>
      </c>
      <c r="P140" s="10">
        <f>IFERROR(IF(TRIM(H140&amp;"")="","",IF(AND(ISNUMBER(FIND(" ",TRIM(H140&amp;""))),ISNUMBER(MATCH(LEFT(TRIM(H140&amp;""),FIND(" ",TRIM(H140&amp;""))-1),설정_코드표!$J$2:$J$101,0)),ISNUMBER(MATCH(TRIM(RIGHT(SUBSTITUTE(TRIM(H140&amp;"")," ",REPT(" ",60)),60)),설정_코드표!$F$2:$F$101,0))),INDEX(설정_코드표!$K$2:$K$101,MATCH(LEFT(TRIM(H140&amp;""),FIND(" ",TRIM(H140&amp;""))-1),설정_코드표!$J$2:$J$101,0))&amp;" "&amp;INDEX(설정_코드표!$G$2:$G$101,MATCH(TRIM(RIGHT(SUBSTITUTE(TRIM(H140&amp;"")," ",REPT(" ",60)),60)),설정_코드표!$F$2:$F$101,0)),"⚠"&amp;TRIM(H140&amp;""))),"⚠"&amp;TRIM(H140&amp;""))</f>
        <v/>
      </c>
      <c r="Q140" s="10">
        <f>IFERROR(IF(TRIM(I140&amp;"")="","",IF(AND(ISNUMBER(FIND(" ",TRIM(I140&amp;""))),ISNUMBER(MATCH(LEFT(TRIM(I140&amp;""),FIND(" ",TRIM(I140&amp;""))-1),설정_코드표!$J$2:$J$101,0)),ISNUMBER(MATCH(TRIM(RIGHT(SUBSTITUTE(TRIM(I140&amp;"")," ",REPT(" ",60)),60)),설정_코드표!$F$2:$F$101,0))),INDEX(설정_코드표!$K$2:$K$101,MATCH(LEFT(TRIM(I140&amp;""),FIND(" ",TRIM(I140&amp;""))-1),설정_코드표!$J$2:$J$101,0))&amp;" "&amp;INDEX(설정_코드표!$G$2:$G$101,MATCH(TRIM(RIGHT(SUBSTITUTE(TRIM(I140&amp;"")," ",REPT(" ",60)),60)),설정_코드표!$F$2:$F$101,0)),"⚠"&amp;TRIM(I140&amp;""))),"⚠"&amp;TRIM(I140&amp;""))</f>
        <v/>
      </c>
      <c r="R140" s="10">
        <f>IFERROR(IF(TRIM(J140&amp;"")="","",IF(AND(ISNUMBER(FIND(" ",TRIM(J140&amp;""))),ISNUMBER(MATCH(LEFT(TRIM(J140&amp;""),FIND(" ",TRIM(J140&amp;""))-1),설정_코드표!$J$2:$J$101,0)),ISNUMBER(MATCH(TRIM(RIGHT(SUBSTITUTE(TRIM(J140&amp;"")," ",REPT(" ",60)),60)),설정_코드표!$F$2:$F$101,0))),INDEX(설정_코드표!$K$2:$K$101,MATCH(LEFT(TRIM(J140&amp;""),FIND(" ",TRIM(J140&amp;""))-1),설정_코드표!$J$2:$J$101,0))&amp;" "&amp;INDEX(설정_코드표!$G$2:$G$101,MATCH(TRIM(RIGHT(SUBSTITUTE(TRIM(J140&amp;"")," ",REPT(" ",60)),60)),설정_코드표!$F$2:$F$101,0)),"⚠"&amp;TRIM(J140&amp;""))),"⚠"&amp;TRIM(J140&amp;""))</f>
        <v/>
      </c>
      <c r="S140" s="11">
        <f>IF(K140="","",IFERROR(IF(AND(ROUND((VALUE(K140&amp;"")-INT(VALUE(K140&amp;"")))*100,0)&gt;=1,ROUND((VALUE(K140&amp;"")-INT(VALUE(K140&amp;"")))*100,0)&lt;=12,INT(VALUE(K140&amp;""))&gt;=1900),DATE(INT(VALUE(K140&amp;"")),ROUND((VALUE(K140&amp;"")-INT(VALUE(K140&amp;"")))*100,0),1),K140&amp;""),K140&amp;""))</f>
        <v/>
      </c>
      <c r="T140" s="10">
        <f>COUNTIF(M140:R140,"⚠*")</f>
        <v/>
      </c>
    </row>
    <row r="141"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M141" s="10">
        <f>IFERROR(IF(TRIM(E141&amp;"")="","",IF(AND(ISNUMBER(FIND(" ",TRIM(E141&amp;""))),ISNUMBER(MATCH(LEFT(TRIM(E141&amp;""),FIND(" ",TRIM(E141&amp;""))-1),설정_코드표!$J$2:$J$101,0)),ISNUMBER(MATCH(TRIM(RIGHT(SUBSTITUTE(TRIM(E141&amp;"")," ",REPT(" ",60)),60)),설정_코드표!$F$2:$F$101,0))),INDEX(설정_코드표!$K$2:$K$101,MATCH(LEFT(TRIM(E141&amp;""),FIND(" ",TRIM(E141&amp;""))-1),설정_코드표!$J$2:$J$101,0))&amp;" "&amp;INDEX(설정_코드표!$G$2:$G$101,MATCH(TRIM(RIGHT(SUBSTITUTE(TRIM(E141&amp;"")," ",REPT(" ",60)),60)),설정_코드표!$F$2:$F$101,0)),"⚠"&amp;TRIM(E141&amp;""))),"⚠"&amp;TRIM(E141&amp;""))</f>
        <v/>
      </c>
      <c r="N141" s="10">
        <f>IFERROR(IF(TRIM(F141&amp;"")="","",IF(AND(ISNUMBER(FIND(" ",TRIM(F141&amp;""))),ISNUMBER(MATCH(LEFT(TRIM(F141&amp;""),FIND(" ",TRIM(F141&amp;""))-1),설정_코드표!$J$2:$J$101,0)),ISNUMBER(MATCH(TRIM(RIGHT(SUBSTITUTE(TRIM(F141&amp;"")," ",REPT(" ",60)),60)),설정_코드표!$F$2:$F$101,0))),INDEX(설정_코드표!$K$2:$K$101,MATCH(LEFT(TRIM(F141&amp;""),FIND(" ",TRIM(F141&amp;""))-1),설정_코드표!$J$2:$J$101,0))&amp;" "&amp;INDEX(설정_코드표!$G$2:$G$101,MATCH(TRIM(RIGHT(SUBSTITUTE(TRIM(F141&amp;"")," ",REPT(" ",60)),60)),설정_코드표!$F$2:$F$101,0)),"⚠"&amp;TRIM(F141&amp;""))),"⚠"&amp;TRIM(F141&amp;""))</f>
        <v/>
      </c>
      <c r="O141" s="10">
        <f>IFERROR(IF(TRIM(G141&amp;"")="","",IF(AND(ISNUMBER(FIND(" ",TRIM(G141&amp;""))),ISNUMBER(MATCH(LEFT(TRIM(G141&amp;""),FIND(" ",TRIM(G141&amp;""))-1),설정_코드표!$J$2:$J$101,0)),ISNUMBER(MATCH(TRIM(RIGHT(SUBSTITUTE(TRIM(G141&amp;"")," ",REPT(" ",60)),60)),설정_코드표!$F$2:$F$101,0))),INDEX(설정_코드표!$K$2:$K$101,MATCH(LEFT(TRIM(G141&amp;""),FIND(" ",TRIM(G141&amp;""))-1),설정_코드표!$J$2:$J$101,0))&amp;" "&amp;INDEX(설정_코드표!$G$2:$G$101,MATCH(TRIM(RIGHT(SUBSTITUTE(TRIM(G141&amp;"")," ",REPT(" ",60)),60)),설정_코드표!$F$2:$F$101,0)),"⚠"&amp;TRIM(G141&amp;""))),"⚠"&amp;TRIM(G141&amp;""))</f>
        <v/>
      </c>
      <c r="P141" s="10">
        <f>IFERROR(IF(TRIM(H141&amp;"")="","",IF(AND(ISNUMBER(FIND(" ",TRIM(H141&amp;""))),ISNUMBER(MATCH(LEFT(TRIM(H141&amp;""),FIND(" ",TRIM(H141&amp;""))-1),설정_코드표!$J$2:$J$101,0)),ISNUMBER(MATCH(TRIM(RIGHT(SUBSTITUTE(TRIM(H141&amp;"")," ",REPT(" ",60)),60)),설정_코드표!$F$2:$F$101,0))),INDEX(설정_코드표!$K$2:$K$101,MATCH(LEFT(TRIM(H141&amp;""),FIND(" ",TRIM(H141&amp;""))-1),설정_코드표!$J$2:$J$101,0))&amp;" "&amp;INDEX(설정_코드표!$G$2:$G$101,MATCH(TRIM(RIGHT(SUBSTITUTE(TRIM(H141&amp;"")," ",REPT(" ",60)),60)),설정_코드표!$F$2:$F$101,0)),"⚠"&amp;TRIM(H141&amp;""))),"⚠"&amp;TRIM(H141&amp;""))</f>
        <v/>
      </c>
      <c r="Q141" s="10">
        <f>IFERROR(IF(TRIM(I141&amp;"")="","",IF(AND(ISNUMBER(FIND(" ",TRIM(I141&amp;""))),ISNUMBER(MATCH(LEFT(TRIM(I141&amp;""),FIND(" ",TRIM(I141&amp;""))-1),설정_코드표!$J$2:$J$101,0)),ISNUMBER(MATCH(TRIM(RIGHT(SUBSTITUTE(TRIM(I141&amp;"")," ",REPT(" ",60)),60)),설정_코드표!$F$2:$F$101,0))),INDEX(설정_코드표!$K$2:$K$101,MATCH(LEFT(TRIM(I141&amp;""),FIND(" ",TRIM(I141&amp;""))-1),설정_코드표!$J$2:$J$101,0))&amp;" "&amp;INDEX(설정_코드표!$G$2:$G$101,MATCH(TRIM(RIGHT(SUBSTITUTE(TRIM(I141&amp;"")," ",REPT(" ",60)),60)),설정_코드표!$F$2:$F$101,0)),"⚠"&amp;TRIM(I141&amp;""))),"⚠"&amp;TRIM(I141&amp;""))</f>
        <v/>
      </c>
      <c r="R141" s="10">
        <f>IFERROR(IF(TRIM(J141&amp;"")="","",IF(AND(ISNUMBER(FIND(" ",TRIM(J141&amp;""))),ISNUMBER(MATCH(LEFT(TRIM(J141&amp;""),FIND(" ",TRIM(J141&amp;""))-1),설정_코드표!$J$2:$J$101,0)),ISNUMBER(MATCH(TRIM(RIGHT(SUBSTITUTE(TRIM(J141&amp;"")," ",REPT(" ",60)),60)),설정_코드표!$F$2:$F$101,0))),INDEX(설정_코드표!$K$2:$K$101,MATCH(LEFT(TRIM(J141&amp;""),FIND(" ",TRIM(J141&amp;""))-1),설정_코드표!$J$2:$J$101,0))&amp;" "&amp;INDEX(설정_코드표!$G$2:$G$101,MATCH(TRIM(RIGHT(SUBSTITUTE(TRIM(J141&amp;"")," ",REPT(" ",60)),60)),설정_코드표!$F$2:$F$101,0)),"⚠"&amp;TRIM(J141&amp;""))),"⚠"&amp;TRIM(J141&amp;""))</f>
        <v/>
      </c>
      <c r="S141" s="11">
        <f>IF(K141="","",IFERROR(IF(AND(ROUND((VALUE(K141&amp;"")-INT(VALUE(K141&amp;"")))*100,0)&gt;=1,ROUND((VALUE(K141&amp;"")-INT(VALUE(K141&amp;"")))*100,0)&lt;=12,INT(VALUE(K141&amp;""))&gt;=1900),DATE(INT(VALUE(K141&amp;"")),ROUND((VALUE(K141&amp;"")-INT(VALUE(K141&amp;"")))*100,0),1),K141&amp;""),K141&amp;""))</f>
        <v/>
      </c>
      <c r="T141" s="10">
        <f>COUNTIF(M141:R141,"⚠*")</f>
        <v/>
      </c>
    </row>
    <row r="142"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M142" s="10">
        <f>IFERROR(IF(TRIM(E142&amp;"")="","",IF(AND(ISNUMBER(FIND(" ",TRIM(E142&amp;""))),ISNUMBER(MATCH(LEFT(TRIM(E142&amp;""),FIND(" ",TRIM(E142&amp;""))-1),설정_코드표!$J$2:$J$101,0)),ISNUMBER(MATCH(TRIM(RIGHT(SUBSTITUTE(TRIM(E142&amp;"")," ",REPT(" ",60)),60)),설정_코드표!$F$2:$F$101,0))),INDEX(설정_코드표!$K$2:$K$101,MATCH(LEFT(TRIM(E142&amp;""),FIND(" ",TRIM(E142&amp;""))-1),설정_코드표!$J$2:$J$101,0))&amp;" "&amp;INDEX(설정_코드표!$G$2:$G$101,MATCH(TRIM(RIGHT(SUBSTITUTE(TRIM(E142&amp;"")," ",REPT(" ",60)),60)),설정_코드표!$F$2:$F$101,0)),"⚠"&amp;TRIM(E142&amp;""))),"⚠"&amp;TRIM(E142&amp;""))</f>
        <v/>
      </c>
      <c r="N142" s="10">
        <f>IFERROR(IF(TRIM(F142&amp;"")="","",IF(AND(ISNUMBER(FIND(" ",TRIM(F142&amp;""))),ISNUMBER(MATCH(LEFT(TRIM(F142&amp;""),FIND(" ",TRIM(F142&amp;""))-1),설정_코드표!$J$2:$J$101,0)),ISNUMBER(MATCH(TRIM(RIGHT(SUBSTITUTE(TRIM(F142&amp;"")," ",REPT(" ",60)),60)),설정_코드표!$F$2:$F$101,0))),INDEX(설정_코드표!$K$2:$K$101,MATCH(LEFT(TRIM(F142&amp;""),FIND(" ",TRIM(F142&amp;""))-1),설정_코드표!$J$2:$J$101,0))&amp;" "&amp;INDEX(설정_코드표!$G$2:$G$101,MATCH(TRIM(RIGHT(SUBSTITUTE(TRIM(F142&amp;"")," ",REPT(" ",60)),60)),설정_코드표!$F$2:$F$101,0)),"⚠"&amp;TRIM(F142&amp;""))),"⚠"&amp;TRIM(F142&amp;""))</f>
        <v/>
      </c>
      <c r="O142" s="10">
        <f>IFERROR(IF(TRIM(G142&amp;"")="","",IF(AND(ISNUMBER(FIND(" ",TRIM(G142&amp;""))),ISNUMBER(MATCH(LEFT(TRIM(G142&amp;""),FIND(" ",TRIM(G142&amp;""))-1),설정_코드표!$J$2:$J$101,0)),ISNUMBER(MATCH(TRIM(RIGHT(SUBSTITUTE(TRIM(G142&amp;"")," ",REPT(" ",60)),60)),설정_코드표!$F$2:$F$101,0))),INDEX(설정_코드표!$K$2:$K$101,MATCH(LEFT(TRIM(G142&amp;""),FIND(" ",TRIM(G142&amp;""))-1),설정_코드표!$J$2:$J$101,0))&amp;" "&amp;INDEX(설정_코드표!$G$2:$G$101,MATCH(TRIM(RIGHT(SUBSTITUTE(TRIM(G142&amp;"")," ",REPT(" ",60)),60)),설정_코드표!$F$2:$F$101,0)),"⚠"&amp;TRIM(G142&amp;""))),"⚠"&amp;TRIM(G142&amp;""))</f>
        <v/>
      </c>
      <c r="P142" s="10">
        <f>IFERROR(IF(TRIM(H142&amp;"")="","",IF(AND(ISNUMBER(FIND(" ",TRIM(H142&amp;""))),ISNUMBER(MATCH(LEFT(TRIM(H142&amp;""),FIND(" ",TRIM(H142&amp;""))-1),설정_코드표!$J$2:$J$101,0)),ISNUMBER(MATCH(TRIM(RIGHT(SUBSTITUTE(TRIM(H142&amp;"")," ",REPT(" ",60)),60)),설정_코드표!$F$2:$F$101,0))),INDEX(설정_코드표!$K$2:$K$101,MATCH(LEFT(TRIM(H142&amp;""),FIND(" ",TRIM(H142&amp;""))-1),설정_코드표!$J$2:$J$101,0))&amp;" "&amp;INDEX(설정_코드표!$G$2:$G$101,MATCH(TRIM(RIGHT(SUBSTITUTE(TRIM(H142&amp;"")," ",REPT(" ",60)),60)),설정_코드표!$F$2:$F$101,0)),"⚠"&amp;TRIM(H142&amp;""))),"⚠"&amp;TRIM(H142&amp;""))</f>
        <v/>
      </c>
      <c r="Q142" s="10">
        <f>IFERROR(IF(TRIM(I142&amp;"")="","",IF(AND(ISNUMBER(FIND(" ",TRIM(I142&amp;""))),ISNUMBER(MATCH(LEFT(TRIM(I142&amp;""),FIND(" ",TRIM(I142&amp;""))-1),설정_코드표!$J$2:$J$101,0)),ISNUMBER(MATCH(TRIM(RIGHT(SUBSTITUTE(TRIM(I142&amp;"")," ",REPT(" ",60)),60)),설정_코드표!$F$2:$F$101,0))),INDEX(설정_코드표!$K$2:$K$101,MATCH(LEFT(TRIM(I142&amp;""),FIND(" ",TRIM(I142&amp;""))-1),설정_코드표!$J$2:$J$101,0))&amp;" "&amp;INDEX(설정_코드표!$G$2:$G$101,MATCH(TRIM(RIGHT(SUBSTITUTE(TRIM(I142&amp;"")," ",REPT(" ",60)),60)),설정_코드표!$F$2:$F$101,0)),"⚠"&amp;TRIM(I142&amp;""))),"⚠"&amp;TRIM(I142&amp;""))</f>
        <v/>
      </c>
      <c r="R142" s="10">
        <f>IFERROR(IF(TRIM(J142&amp;"")="","",IF(AND(ISNUMBER(FIND(" ",TRIM(J142&amp;""))),ISNUMBER(MATCH(LEFT(TRIM(J142&amp;""),FIND(" ",TRIM(J142&amp;""))-1),설정_코드표!$J$2:$J$101,0)),ISNUMBER(MATCH(TRIM(RIGHT(SUBSTITUTE(TRIM(J142&amp;"")," ",REPT(" ",60)),60)),설정_코드표!$F$2:$F$101,0))),INDEX(설정_코드표!$K$2:$K$101,MATCH(LEFT(TRIM(J142&amp;""),FIND(" ",TRIM(J142&amp;""))-1),설정_코드표!$J$2:$J$101,0))&amp;" "&amp;INDEX(설정_코드표!$G$2:$G$101,MATCH(TRIM(RIGHT(SUBSTITUTE(TRIM(J142&amp;"")," ",REPT(" ",60)),60)),설정_코드표!$F$2:$F$101,0)),"⚠"&amp;TRIM(J142&amp;""))),"⚠"&amp;TRIM(J142&amp;""))</f>
        <v/>
      </c>
      <c r="S142" s="11">
        <f>IF(K142="","",IFERROR(IF(AND(ROUND((VALUE(K142&amp;"")-INT(VALUE(K142&amp;"")))*100,0)&gt;=1,ROUND((VALUE(K142&amp;"")-INT(VALUE(K142&amp;"")))*100,0)&lt;=12,INT(VALUE(K142&amp;""))&gt;=1900),DATE(INT(VALUE(K142&amp;"")),ROUND((VALUE(K142&amp;"")-INT(VALUE(K142&amp;"")))*100,0),1),K142&amp;""),K142&amp;""))</f>
        <v/>
      </c>
      <c r="T142" s="10">
        <f>COUNTIF(M142:R142,"⚠*")</f>
        <v/>
      </c>
    </row>
    <row r="143"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M143" s="10">
        <f>IFERROR(IF(TRIM(E143&amp;"")="","",IF(AND(ISNUMBER(FIND(" ",TRIM(E143&amp;""))),ISNUMBER(MATCH(LEFT(TRIM(E143&amp;""),FIND(" ",TRIM(E143&amp;""))-1),설정_코드표!$J$2:$J$101,0)),ISNUMBER(MATCH(TRIM(RIGHT(SUBSTITUTE(TRIM(E143&amp;"")," ",REPT(" ",60)),60)),설정_코드표!$F$2:$F$101,0))),INDEX(설정_코드표!$K$2:$K$101,MATCH(LEFT(TRIM(E143&amp;""),FIND(" ",TRIM(E143&amp;""))-1),설정_코드표!$J$2:$J$101,0))&amp;" "&amp;INDEX(설정_코드표!$G$2:$G$101,MATCH(TRIM(RIGHT(SUBSTITUTE(TRIM(E143&amp;"")," ",REPT(" ",60)),60)),설정_코드표!$F$2:$F$101,0)),"⚠"&amp;TRIM(E143&amp;""))),"⚠"&amp;TRIM(E143&amp;""))</f>
        <v/>
      </c>
      <c r="N143" s="10">
        <f>IFERROR(IF(TRIM(F143&amp;"")="","",IF(AND(ISNUMBER(FIND(" ",TRIM(F143&amp;""))),ISNUMBER(MATCH(LEFT(TRIM(F143&amp;""),FIND(" ",TRIM(F143&amp;""))-1),설정_코드표!$J$2:$J$101,0)),ISNUMBER(MATCH(TRIM(RIGHT(SUBSTITUTE(TRIM(F143&amp;"")," ",REPT(" ",60)),60)),설정_코드표!$F$2:$F$101,0))),INDEX(설정_코드표!$K$2:$K$101,MATCH(LEFT(TRIM(F143&amp;""),FIND(" ",TRIM(F143&amp;""))-1),설정_코드표!$J$2:$J$101,0))&amp;" "&amp;INDEX(설정_코드표!$G$2:$G$101,MATCH(TRIM(RIGHT(SUBSTITUTE(TRIM(F143&amp;"")," ",REPT(" ",60)),60)),설정_코드표!$F$2:$F$101,0)),"⚠"&amp;TRIM(F143&amp;""))),"⚠"&amp;TRIM(F143&amp;""))</f>
        <v/>
      </c>
      <c r="O143" s="10">
        <f>IFERROR(IF(TRIM(G143&amp;"")="","",IF(AND(ISNUMBER(FIND(" ",TRIM(G143&amp;""))),ISNUMBER(MATCH(LEFT(TRIM(G143&amp;""),FIND(" ",TRIM(G143&amp;""))-1),설정_코드표!$J$2:$J$101,0)),ISNUMBER(MATCH(TRIM(RIGHT(SUBSTITUTE(TRIM(G143&amp;"")," ",REPT(" ",60)),60)),설정_코드표!$F$2:$F$101,0))),INDEX(설정_코드표!$K$2:$K$101,MATCH(LEFT(TRIM(G143&amp;""),FIND(" ",TRIM(G143&amp;""))-1),설정_코드표!$J$2:$J$101,0))&amp;" "&amp;INDEX(설정_코드표!$G$2:$G$101,MATCH(TRIM(RIGHT(SUBSTITUTE(TRIM(G143&amp;"")," ",REPT(" ",60)),60)),설정_코드표!$F$2:$F$101,0)),"⚠"&amp;TRIM(G143&amp;""))),"⚠"&amp;TRIM(G143&amp;""))</f>
        <v/>
      </c>
      <c r="P143" s="10">
        <f>IFERROR(IF(TRIM(H143&amp;"")="","",IF(AND(ISNUMBER(FIND(" ",TRIM(H143&amp;""))),ISNUMBER(MATCH(LEFT(TRIM(H143&amp;""),FIND(" ",TRIM(H143&amp;""))-1),설정_코드표!$J$2:$J$101,0)),ISNUMBER(MATCH(TRIM(RIGHT(SUBSTITUTE(TRIM(H143&amp;"")," ",REPT(" ",60)),60)),설정_코드표!$F$2:$F$101,0))),INDEX(설정_코드표!$K$2:$K$101,MATCH(LEFT(TRIM(H143&amp;""),FIND(" ",TRIM(H143&amp;""))-1),설정_코드표!$J$2:$J$101,0))&amp;" "&amp;INDEX(설정_코드표!$G$2:$G$101,MATCH(TRIM(RIGHT(SUBSTITUTE(TRIM(H143&amp;"")," ",REPT(" ",60)),60)),설정_코드표!$F$2:$F$101,0)),"⚠"&amp;TRIM(H143&amp;""))),"⚠"&amp;TRIM(H143&amp;""))</f>
        <v/>
      </c>
      <c r="Q143" s="10">
        <f>IFERROR(IF(TRIM(I143&amp;"")="","",IF(AND(ISNUMBER(FIND(" ",TRIM(I143&amp;""))),ISNUMBER(MATCH(LEFT(TRIM(I143&amp;""),FIND(" ",TRIM(I143&amp;""))-1),설정_코드표!$J$2:$J$101,0)),ISNUMBER(MATCH(TRIM(RIGHT(SUBSTITUTE(TRIM(I143&amp;"")," ",REPT(" ",60)),60)),설정_코드표!$F$2:$F$101,0))),INDEX(설정_코드표!$K$2:$K$101,MATCH(LEFT(TRIM(I143&amp;""),FIND(" ",TRIM(I143&amp;""))-1),설정_코드표!$J$2:$J$101,0))&amp;" "&amp;INDEX(설정_코드표!$G$2:$G$101,MATCH(TRIM(RIGHT(SUBSTITUTE(TRIM(I143&amp;"")," ",REPT(" ",60)),60)),설정_코드표!$F$2:$F$101,0)),"⚠"&amp;TRIM(I143&amp;""))),"⚠"&amp;TRIM(I143&amp;""))</f>
        <v/>
      </c>
      <c r="R143" s="10">
        <f>IFERROR(IF(TRIM(J143&amp;"")="","",IF(AND(ISNUMBER(FIND(" ",TRIM(J143&amp;""))),ISNUMBER(MATCH(LEFT(TRIM(J143&amp;""),FIND(" ",TRIM(J143&amp;""))-1),설정_코드표!$J$2:$J$101,0)),ISNUMBER(MATCH(TRIM(RIGHT(SUBSTITUTE(TRIM(J143&amp;"")," ",REPT(" ",60)),60)),설정_코드표!$F$2:$F$101,0))),INDEX(설정_코드표!$K$2:$K$101,MATCH(LEFT(TRIM(J143&amp;""),FIND(" ",TRIM(J143&amp;""))-1),설정_코드표!$J$2:$J$101,0))&amp;" "&amp;INDEX(설정_코드표!$G$2:$G$101,MATCH(TRIM(RIGHT(SUBSTITUTE(TRIM(J143&amp;"")," ",REPT(" ",60)),60)),설정_코드표!$F$2:$F$101,0)),"⚠"&amp;TRIM(J143&amp;""))),"⚠"&amp;TRIM(J143&amp;""))</f>
        <v/>
      </c>
      <c r="S143" s="11">
        <f>IF(K143="","",IFERROR(IF(AND(ROUND((VALUE(K143&amp;"")-INT(VALUE(K143&amp;"")))*100,0)&gt;=1,ROUND((VALUE(K143&amp;"")-INT(VALUE(K143&amp;"")))*100,0)&lt;=12,INT(VALUE(K143&amp;""))&gt;=1900),DATE(INT(VALUE(K143&amp;"")),ROUND((VALUE(K143&amp;"")-INT(VALUE(K143&amp;"")))*100,0),1),K143&amp;""),K143&amp;""))</f>
        <v/>
      </c>
      <c r="T143" s="10">
        <f>COUNTIF(M143:R143,"⚠*")</f>
        <v/>
      </c>
    </row>
    <row r="144"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M144" s="10">
        <f>IFERROR(IF(TRIM(E144&amp;"")="","",IF(AND(ISNUMBER(FIND(" ",TRIM(E144&amp;""))),ISNUMBER(MATCH(LEFT(TRIM(E144&amp;""),FIND(" ",TRIM(E144&amp;""))-1),설정_코드표!$J$2:$J$101,0)),ISNUMBER(MATCH(TRIM(RIGHT(SUBSTITUTE(TRIM(E144&amp;"")," ",REPT(" ",60)),60)),설정_코드표!$F$2:$F$101,0))),INDEX(설정_코드표!$K$2:$K$101,MATCH(LEFT(TRIM(E144&amp;""),FIND(" ",TRIM(E144&amp;""))-1),설정_코드표!$J$2:$J$101,0))&amp;" "&amp;INDEX(설정_코드표!$G$2:$G$101,MATCH(TRIM(RIGHT(SUBSTITUTE(TRIM(E144&amp;"")," ",REPT(" ",60)),60)),설정_코드표!$F$2:$F$101,0)),"⚠"&amp;TRIM(E144&amp;""))),"⚠"&amp;TRIM(E144&amp;""))</f>
        <v/>
      </c>
      <c r="N144" s="10">
        <f>IFERROR(IF(TRIM(F144&amp;"")="","",IF(AND(ISNUMBER(FIND(" ",TRIM(F144&amp;""))),ISNUMBER(MATCH(LEFT(TRIM(F144&amp;""),FIND(" ",TRIM(F144&amp;""))-1),설정_코드표!$J$2:$J$101,0)),ISNUMBER(MATCH(TRIM(RIGHT(SUBSTITUTE(TRIM(F144&amp;"")," ",REPT(" ",60)),60)),설정_코드표!$F$2:$F$101,0))),INDEX(설정_코드표!$K$2:$K$101,MATCH(LEFT(TRIM(F144&amp;""),FIND(" ",TRIM(F144&amp;""))-1),설정_코드표!$J$2:$J$101,0))&amp;" "&amp;INDEX(설정_코드표!$G$2:$G$101,MATCH(TRIM(RIGHT(SUBSTITUTE(TRIM(F144&amp;"")," ",REPT(" ",60)),60)),설정_코드표!$F$2:$F$101,0)),"⚠"&amp;TRIM(F144&amp;""))),"⚠"&amp;TRIM(F144&amp;""))</f>
        <v/>
      </c>
      <c r="O144" s="10">
        <f>IFERROR(IF(TRIM(G144&amp;"")="","",IF(AND(ISNUMBER(FIND(" ",TRIM(G144&amp;""))),ISNUMBER(MATCH(LEFT(TRIM(G144&amp;""),FIND(" ",TRIM(G144&amp;""))-1),설정_코드표!$J$2:$J$101,0)),ISNUMBER(MATCH(TRIM(RIGHT(SUBSTITUTE(TRIM(G144&amp;"")," ",REPT(" ",60)),60)),설정_코드표!$F$2:$F$101,0))),INDEX(설정_코드표!$K$2:$K$101,MATCH(LEFT(TRIM(G144&amp;""),FIND(" ",TRIM(G144&amp;""))-1),설정_코드표!$J$2:$J$101,0))&amp;" "&amp;INDEX(설정_코드표!$G$2:$G$101,MATCH(TRIM(RIGHT(SUBSTITUTE(TRIM(G144&amp;"")," ",REPT(" ",60)),60)),설정_코드표!$F$2:$F$101,0)),"⚠"&amp;TRIM(G144&amp;""))),"⚠"&amp;TRIM(G144&amp;""))</f>
        <v/>
      </c>
      <c r="P144" s="10">
        <f>IFERROR(IF(TRIM(H144&amp;"")="","",IF(AND(ISNUMBER(FIND(" ",TRIM(H144&amp;""))),ISNUMBER(MATCH(LEFT(TRIM(H144&amp;""),FIND(" ",TRIM(H144&amp;""))-1),설정_코드표!$J$2:$J$101,0)),ISNUMBER(MATCH(TRIM(RIGHT(SUBSTITUTE(TRIM(H144&amp;"")," ",REPT(" ",60)),60)),설정_코드표!$F$2:$F$101,0))),INDEX(설정_코드표!$K$2:$K$101,MATCH(LEFT(TRIM(H144&amp;""),FIND(" ",TRIM(H144&amp;""))-1),설정_코드표!$J$2:$J$101,0))&amp;" "&amp;INDEX(설정_코드표!$G$2:$G$101,MATCH(TRIM(RIGHT(SUBSTITUTE(TRIM(H144&amp;"")," ",REPT(" ",60)),60)),설정_코드표!$F$2:$F$101,0)),"⚠"&amp;TRIM(H144&amp;""))),"⚠"&amp;TRIM(H144&amp;""))</f>
        <v/>
      </c>
      <c r="Q144" s="10">
        <f>IFERROR(IF(TRIM(I144&amp;"")="","",IF(AND(ISNUMBER(FIND(" ",TRIM(I144&amp;""))),ISNUMBER(MATCH(LEFT(TRIM(I144&amp;""),FIND(" ",TRIM(I144&amp;""))-1),설정_코드표!$J$2:$J$101,0)),ISNUMBER(MATCH(TRIM(RIGHT(SUBSTITUTE(TRIM(I144&amp;"")," ",REPT(" ",60)),60)),설정_코드표!$F$2:$F$101,0))),INDEX(설정_코드표!$K$2:$K$101,MATCH(LEFT(TRIM(I144&amp;""),FIND(" ",TRIM(I144&amp;""))-1),설정_코드표!$J$2:$J$101,0))&amp;" "&amp;INDEX(설정_코드표!$G$2:$G$101,MATCH(TRIM(RIGHT(SUBSTITUTE(TRIM(I144&amp;"")," ",REPT(" ",60)),60)),설정_코드표!$F$2:$F$101,0)),"⚠"&amp;TRIM(I144&amp;""))),"⚠"&amp;TRIM(I144&amp;""))</f>
        <v/>
      </c>
      <c r="R144" s="10">
        <f>IFERROR(IF(TRIM(J144&amp;"")="","",IF(AND(ISNUMBER(FIND(" ",TRIM(J144&amp;""))),ISNUMBER(MATCH(LEFT(TRIM(J144&amp;""),FIND(" ",TRIM(J144&amp;""))-1),설정_코드표!$J$2:$J$101,0)),ISNUMBER(MATCH(TRIM(RIGHT(SUBSTITUTE(TRIM(J144&amp;"")," ",REPT(" ",60)),60)),설정_코드표!$F$2:$F$101,0))),INDEX(설정_코드표!$K$2:$K$101,MATCH(LEFT(TRIM(J144&amp;""),FIND(" ",TRIM(J144&amp;""))-1),설정_코드표!$J$2:$J$101,0))&amp;" "&amp;INDEX(설정_코드표!$G$2:$G$101,MATCH(TRIM(RIGHT(SUBSTITUTE(TRIM(J144&amp;"")," ",REPT(" ",60)),60)),설정_코드표!$F$2:$F$101,0)),"⚠"&amp;TRIM(J144&amp;""))),"⚠"&amp;TRIM(J144&amp;""))</f>
        <v/>
      </c>
      <c r="S144" s="11">
        <f>IF(K144="","",IFERROR(IF(AND(ROUND((VALUE(K144&amp;"")-INT(VALUE(K144&amp;"")))*100,0)&gt;=1,ROUND((VALUE(K144&amp;"")-INT(VALUE(K144&amp;"")))*100,0)&lt;=12,INT(VALUE(K144&amp;""))&gt;=1900),DATE(INT(VALUE(K144&amp;"")),ROUND((VALUE(K144&amp;"")-INT(VALUE(K144&amp;"")))*100,0),1),K144&amp;""),K144&amp;""))</f>
        <v/>
      </c>
      <c r="T144" s="10">
        <f>COUNTIF(M144:R144,"⚠*")</f>
        <v/>
      </c>
    </row>
    <row r="145"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M145" s="10">
        <f>IFERROR(IF(TRIM(E145&amp;"")="","",IF(AND(ISNUMBER(FIND(" ",TRIM(E145&amp;""))),ISNUMBER(MATCH(LEFT(TRIM(E145&amp;""),FIND(" ",TRIM(E145&amp;""))-1),설정_코드표!$J$2:$J$101,0)),ISNUMBER(MATCH(TRIM(RIGHT(SUBSTITUTE(TRIM(E145&amp;"")," ",REPT(" ",60)),60)),설정_코드표!$F$2:$F$101,0))),INDEX(설정_코드표!$K$2:$K$101,MATCH(LEFT(TRIM(E145&amp;""),FIND(" ",TRIM(E145&amp;""))-1),설정_코드표!$J$2:$J$101,0))&amp;" "&amp;INDEX(설정_코드표!$G$2:$G$101,MATCH(TRIM(RIGHT(SUBSTITUTE(TRIM(E145&amp;"")," ",REPT(" ",60)),60)),설정_코드표!$F$2:$F$101,0)),"⚠"&amp;TRIM(E145&amp;""))),"⚠"&amp;TRIM(E145&amp;""))</f>
        <v/>
      </c>
      <c r="N145" s="10">
        <f>IFERROR(IF(TRIM(F145&amp;"")="","",IF(AND(ISNUMBER(FIND(" ",TRIM(F145&amp;""))),ISNUMBER(MATCH(LEFT(TRIM(F145&amp;""),FIND(" ",TRIM(F145&amp;""))-1),설정_코드표!$J$2:$J$101,0)),ISNUMBER(MATCH(TRIM(RIGHT(SUBSTITUTE(TRIM(F145&amp;"")," ",REPT(" ",60)),60)),설정_코드표!$F$2:$F$101,0))),INDEX(설정_코드표!$K$2:$K$101,MATCH(LEFT(TRIM(F145&amp;""),FIND(" ",TRIM(F145&amp;""))-1),설정_코드표!$J$2:$J$101,0))&amp;" "&amp;INDEX(설정_코드표!$G$2:$G$101,MATCH(TRIM(RIGHT(SUBSTITUTE(TRIM(F145&amp;"")," ",REPT(" ",60)),60)),설정_코드표!$F$2:$F$101,0)),"⚠"&amp;TRIM(F145&amp;""))),"⚠"&amp;TRIM(F145&amp;""))</f>
        <v/>
      </c>
      <c r="O145" s="10">
        <f>IFERROR(IF(TRIM(G145&amp;"")="","",IF(AND(ISNUMBER(FIND(" ",TRIM(G145&amp;""))),ISNUMBER(MATCH(LEFT(TRIM(G145&amp;""),FIND(" ",TRIM(G145&amp;""))-1),설정_코드표!$J$2:$J$101,0)),ISNUMBER(MATCH(TRIM(RIGHT(SUBSTITUTE(TRIM(G145&amp;"")," ",REPT(" ",60)),60)),설정_코드표!$F$2:$F$101,0))),INDEX(설정_코드표!$K$2:$K$101,MATCH(LEFT(TRIM(G145&amp;""),FIND(" ",TRIM(G145&amp;""))-1),설정_코드표!$J$2:$J$101,0))&amp;" "&amp;INDEX(설정_코드표!$G$2:$G$101,MATCH(TRIM(RIGHT(SUBSTITUTE(TRIM(G145&amp;"")," ",REPT(" ",60)),60)),설정_코드표!$F$2:$F$101,0)),"⚠"&amp;TRIM(G145&amp;""))),"⚠"&amp;TRIM(G145&amp;""))</f>
        <v/>
      </c>
      <c r="P145" s="10">
        <f>IFERROR(IF(TRIM(H145&amp;"")="","",IF(AND(ISNUMBER(FIND(" ",TRIM(H145&amp;""))),ISNUMBER(MATCH(LEFT(TRIM(H145&amp;""),FIND(" ",TRIM(H145&amp;""))-1),설정_코드표!$J$2:$J$101,0)),ISNUMBER(MATCH(TRIM(RIGHT(SUBSTITUTE(TRIM(H145&amp;"")," ",REPT(" ",60)),60)),설정_코드표!$F$2:$F$101,0))),INDEX(설정_코드표!$K$2:$K$101,MATCH(LEFT(TRIM(H145&amp;""),FIND(" ",TRIM(H145&amp;""))-1),설정_코드표!$J$2:$J$101,0))&amp;" "&amp;INDEX(설정_코드표!$G$2:$G$101,MATCH(TRIM(RIGHT(SUBSTITUTE(TRIM(H145&amp;"")," ",REPT(" ",60)),60)),설정_코드표!$F$2:$F$101,0)),"⚠"&amp;TRIM(H145&amp;""))),"⚠"&amp;TRIM(H145&amp;""))</f>
        <v/>
      </c>
      <c r="Q145" s="10">
        <f>IFERROR(IF(TRIM(I145&amp;"")="","",IF(AND(ISNUMBER(FIND(" ",TRIM(I145&amp;""))),ISNUMBER(MATCH(LEFT(TRIM(I145&amp;""),FIND(" ",TRIM(I145&amp;""))-1),설정_코드표!$J$2:$J$101,0)),ISNUMBER(MATCH(TRIM(RIGHT(SUBSTITUTE(TRIM(I145&amp;"")," ",REPT(" ",60)),60)),설정_코드표!$F$2:$F$101,0))),INDEX(설정_코드표!$K$2:$K$101,MATCH(LEFT(TRIM(I145&amp;""),FIND(" ",TRIM(I145&amp;""))-1),설정_코드표!$J$2:$J$101,0))&amp;" "&amp;INDEX(설정_코드표!$G$2:$G$101,MATCH(TRIM(RIGHT(SUBSTITUTE(TRIM(I145&amp;"")," ",REPT(" ",60)),60)),설정_코드표!$F$2:$F$101,0)),"⚠"&amp;TRIM(I145&amp;""))),"⚠"&amp;TRIM(I145&amp;""))</f>
        <v/>
      </c>
      <c r="R145" s="10">
        <f>IFERROR(IF(TRIM(J145&amp;"")="","",IF(AND(ISNUMBER(FIND(" ",TRIM(J145&amp;""))),ISNUMBER(MATCH(LEFT(TRIM(J145&amp;""),FIND(" ",TRIM(J145&amp;""))-1),설정_코드표!$J$2:$J$101,0)),ISNUMBER(MATCH(TRIM(RIGHT(SUBSTITUTE(TRIM(J145&amp;"")," ",REPT(" ",60)),60)),설정_코드표!$F$2:$F$101,0))),INDEX(설정_코드표!$K$2:$K$101,MATCH(LEFT(TRIM(J145&amp;""),FIND(" ",TRIM(J145&amp;""))-1),설정_코드표!$J$2:$J$101,0))&amp;" "&amp;INDEX(설정_코드표!$G$2:$G$101,MATCH(TRIM(RIGHT(SUBSTITUTE(TRIM(J145&amp;"")," ",REPT(" ",60)),60)),설정_코드표!$F$2:$F$101,0)),"⚠"&amp;TRIM(J145&amp;""))),"⚠"&amp;TRIM(J145&amp;""))</f>
        <v/>
      </c>
      <c r="S145" s="11">
        <f>IF(K145="","",IFERROR(IF(AND(ROUND((VALUE(K145&amp;"")-INT(VALUE(K145&amp;"")))*100,0)&gt;=1,ROUND((VALUE(K145&amp;"")-INT(VALUE(K145&amp;"")))*100,0)&lt;=12,INT(VALUE(K145&amp;""))&gt;=1900),DATE(INT(VALUE(K145&amp;"")),ROUND((VALUE(K145&amp;"")-INT(VALUE(K145&amp;"")))*100,0),1),K145&amp;""),K145&amp;""))</f>
        <v/>
      </c>
      <c r="T145" s="10">
        <f>COUNTIF(M145:R145,"⚠*")</f>
        <v/>
      </c>
    </row>
    <row r="146"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M146" s="10">
        <f>IFERROR(IF(TRIM(E146&amp;"")="","",IF(AND(ISNUMBER(FIND(" ",TRIM(E146&amp;""))),ISNUMBER(MATCH(LEFT(TRIM(E146&amp;""),FIND(" ",TRIM(E146&amp;""))-1),설정_코드표!$J$2:$J$101,0)),ISNUMBER(MATCH(TRIM(RIGHT(SUBSTITUTE(TRIM(E146&amp;"")," ",REPT(" ",60)),60)),설정_코드표!$F$2:$F$101,0))),INDEX(설정_코드표!$K$2:$K$101,MATCH(LEFT(TRIM(E146&amp;""),FIND(" ",TRIM(E146&amp;""))-1),설정_코드표!$J$2:$J$101,0))&amp;" "&amp;INDEX(설정_코드표!$G$2:$G$101,MATCH(TRIM(RIGHT(SUBSTITUTE(TRIM(E146&amp;"")," ",REPT(" ",60)),60)),설정_코드표!$F$2:$F$101,0)),"⚠"&amp;TRIM(E146&amp;""))),"⚠"&amp;TRIM(E146&amp;""))</f>
        <v/>
      </c>
      <c r="N146" s="10">
        <f>IFERROR(IF(TRIM(F146&amp;"")="","",IF(AND(ISNUMBER(FIND(" ",TRIM(F146&amp;""))),ISNUMBER(MATCH(LEFT(TRIM(F146&amp;""),FIND(" ",TRIM(F146&amp;""))-1),설정_코드표!$J$2:$J$101,0)),ISNUMBER(MATCH(TRIM(RIGHT(SUBSTITUTE(TRIM(F146&amp;"")," ",REPT(" ",60)),60)),설정_코드표!$F$2:$F$101,0))),INDEX(설정_코드표!$K$2:$K$101,MATCH(LEFT(TRIM(F146&amp;""),FIND(" ",TRIM(F146&amp;""))-1),설정_코드표!$J$2:$J$101,0))&amp;" "&amp;INDEX(설정_코드표!$G$2:$G$101,MATCH(TRIM(RIGHT(SUBSTITUTE(TRIM(F146&amp;"")," ",REPT(" ",60)),60)),설정_코드표!$F$2:$F$101,0)),"⚠"&amp;TRIM(F146&amp;""))),"⚠"&amp;TRIM(F146&amp;""))</f>
        <v/>
      </c>
      <c r="O146" s="10">
        <f>IFERROR(IF(TRIM(G146&amp;"")="","",IF(AND(ISNUMBER(FIND(" ",TRIM(G146&amp;""))),ISNUMBER(MATCH(LEFT(TRIM(G146&amp;""),FIND(" ",TRIM(G146&amp;""))-1),설정_코드표!$J$2:$J$101,0)),ISNUMBER(MATCH(TRIM(RIGHT(SUBSTITUTE(TRIM(G146&amp;"")," ",REPT(" ",60)),60)),설정_코드표!$F$2:$F$101,0))),INDEX(설정_코드표!$K$2:$K$101,MATCH(LEFT(TRIM(G146&amp;""),FIND(" ",TRIM(G146&amp;""))-1),설정_코드표!$J$2:$J$101,0))&amp;" "&amp;INDEX(설정_코드표!$G$2:$G$101,MATCH(TRIM(RIGHT(SUBSTITUTE(TRIM(G146&amp;"")," ",REPT(" ",60)),60)),설정_코드표!$F$2:$F$101,0)),"⚠"&amp;TRIM(G146&amp;""))),"⚠"&amp;TRIM(G146&amp;""))</f>
        <v/>
      </c>
      <c r="P146" s="10">
        <f>IFERROR(IF(TRIM(H146&amp;"")="","",IF(AND(ISNUMBER(FIND(" ",TRIM(H146&amp;""))),ISNUMBER(MATCH(LEFT(TRIM(H146&amp;""),FIND(" ",TRIM(H146&amp;""))-1),설정_코드표!$J$2:$J$101,0)),ISNUMBER(MATCH(TRIM(RIGHT(SUBSTITUTE(TRIM(H146&amp;"")," ",REPT(" ",60)),60)),설정_코드표!$F$2:$F$101,0))),INDEX(설정_코드표!$K$2:$K$101,MATCH(LEFT(TRIM(H146&amp;""),FIND(" ",TRIM(H146&amp;""))-1),설정_코드표!$J$2:$J$101,0))&amp;" "&amp;INDEX(설정_코드표!$G$2:$G$101,MATCH(TRIM(RIGHT(SUBSTITUTE(TRIM(H146&amp;"")," ",REPT(" ",60)),60)),설정_코드표!$F$2:$F$101,0)),"⚠"&amp;TRIM(H146&amp;""))),"⚠"&amp;TRIM(H146&amp;""))</f>
        <v/>
      </c>
      <c r="Q146" s="10">
        <f>IFERROR(IF(TRIM(I146&amp;"")="","",IF(AND(ISNUMBER(FIND(" ",TRIM(I146&amp;""))),ISNUMBER(MATCH(LEFT(TRIM(I146&amp;""),FIND(" ",TRIM(I146&amp;""))-1),설정_코드표!$J$2:$J$101,0)),ISNUMBER(MATCH(TRIM(RIGHT(SUBSTITUTE(TRIM(I146&amp;"")," ",REPT(" ",60)),60)),설정_코드표!$F$2:$F$101,0))),INDEX(설정_코드표!$K$2:$K$101,MATCH(LEFT(TRIM(I146&amp;""),FIND(" ",TRIM(I146&amp;""))-1),설정_코드표!$J$2:$J$101,0))&amp;" "&amp;INDEX(설정_코드표!$G$2:$G$101,MATCH(TRIM(RIGHT(SUBSTITUTE(TRIM(I146&amp;"")," ",REPT(" ",60)),60)),설정_코드표!$F$2:$F$101,0)),"⚠"&amp;TRIM(I146&amp;""))),"⚠"&amp;TRIM(I146&amp;""))</f>
        <v/>
      </c>
      <c r="R146" s="10">
        <f>IFERROR(IF(TRIM(J146&amp;"")="","",IF(AND(ISNUMBER(FIND(" ",TRIM(J146&amp;""))),ISNUMBER(MATCH(LEFT(TRIM(J146&amp;""),FIND(" ",TRIM(J146&amp;""))-1),설정_코드표!$J$2:$J$101,0)),ISNUMBER(MATCH(TRIM(RIGHT(SUBSTITUTE(TRIM(J146&amp;"")," ",REPT(" ",60)),60)),설정_코드표!$F$2:$F$101,0))),INDEX(설정_코드표!$K$2:$K$101,MATCH(LEFT(TRIM(J146&amp;""),FIND(" ",TRIM(J146&amp;""))-1),설정_코드표!$J$2:$J$101,0))&amp;" "&amp;INDEX(설정_코드표!$G$2:$G$101,MATCH(TRIM(RIGHT(SUBSTITUTE(TRIM(J146&amp;"")," ",REPT(" ",60)),60)),설정_코드표!$F$2:$F$101,0)),"⚠"&amp;TRIM(J146&amp;""))),"⚠"&amp;TRIM(J146&amp;""))</f>
        <v/>
      </c>
      <c r="S146" s="11">
        <f>IF(K146="","",IFERROR(IF(AND(ROUND((VALUE(K146&amp;"")-INT(VALUE(K146&amp;"")))*100,0)&gt;=1,ROUND((VALUE(K146&amp;"")-INT(VALUE(K146&amp;"")))*100,0)&lt;=12,INT(VALUE(K146&amp;""))&gt;=1900),DATE(INT(VALUE(K146&amp;"")),ROUND((VALUE(K146&amp;"")-INT(VALUE(K146&amp;"")))*100,0),1),K146&amp;""),K146&amp;""))</f>
        <v/>
      </c>
      <c r="T146" s="10">
        <f>COUNTIF(M146:R146,"⚠*")</f>
        <v/>
      </c>
    </row>
    <row r="147"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M147" s="10">
        <f>IFERROR(IF(TRIM(E147&amp;"")="","",IF(AND(ISNUMBER(FIND(" ",TRIM(E147&amp;""))),ISNUMBER(MATCH(LEFT(TRIM(E147&amp;""),FIND(" ",TRIM(E147&amp;""))-1),설정_코드표!$J$2:$J$101,0)),ISNUMBER(MATCH(TRIM(RIGHT(SUBSTITUTE(TRIM(E147&amp;"")," ",REPT(" ",60)),60)),설정_코드표!$F$2:$F$101,0))),INDEX(설정_코드표!$K$2:$K$101,MATCH(LEFT(TRIM(E147&amp;""),FIND(" ",TRIM(E147&amp;""))-1),설정_코드표!$J$2:$J$101,0))&amp;" "&amp;INDEX(설정_코드표!$G$2:$G$101,MATCH(TRIM(RIGHT(SUBSTITUTE(TRIM(E147&amp;"")," ",REPT(" ",60)),60)),설정_코드표!$F$2:$F$101,0)),"⚠"&amp;TRIM(E147&amp;""))),"⚠"&amp;TRIM(E147&amp;""))</f>
        <v/>
      </c>
      <c r="N147" s="10">
        <f>IFERROR(IF(TRIM(F147&amp;"")="","",IF(AND(ISNUMBER(FIND(" ",TRIM(F147&amp;""))),ISNUMBER(MATCH(LEFT(TRIM(F147&amp;""),FIND(" ",TRIM(F147&amp;""))-1),설정_코드표!$J$2:$J$101,0)),ISNUMBER(MATCH(TRIM(RIGHT(SUBSTITUTE(TRIM(F147&amp;"")," ",REPT(" ",60)),60)),설정_코드표!$F$2:$F$101,0))),INDEX(설정_코드표!$K$2:$K$101,MATCH(LEFT(TRIM(F147&amp;""),FIND(" ",TRIM(F147&amp;""))-1),설정_코드표!$J$2:$J$101,0))&amp;" "&amp;INDEX(설정_코드표!$G$2:$G$101,MATCH(TRIM(RIGHT(SUBSTITUTE(TRIM(F147&amp;"")," ",REPT(" ",60)),60)),설정_코드표!$F$2:$F$101,0)),"⚠"&amp;TRIM(F147&amp;""))),"⚠"&amp;TRIM(F147&amp;""))</f>
        <v/>
      </c>
      <c r="O147" s="10">
        <f>IFERROR(IF(TRIM(G147&amp;"")="","",IF(AND(ISNUMBER(FIND(" ",TRIM(G147&amp;""))),ISNUMBER(MATCH(LEFT(TRIM(G147&amp;""),FIND(" ",TRIM(G147&amp;""))-1),설정_코드표!$J$2:$J$101,0)),ISNUMBER(MATCH(TRIM(RIGHT(SUBSTITUTE(TRIM(G147&amp;"")," ",REPT(" ",60)),60)),설정_코드표!$F$2:$F$101,0))),INDEX(설정_코드표!$K$2:$K$101,MATCH(LEFT(TRIM(G147&amp;""),FIND(" ",TRIM(G147&amp;""))-1),설정_코드표!$J$2:$J$101,0))&amp;" "&amp;INDEX(설정_코드표!$G$2:$G$101,MATCH(TRIM(RIGHT(SUBSTITUTE(TRIM(G147&amp;"")," ",REPT(" ",60)),60)),설정_코드표!$F$2:$F$101,0)),"⚠"&amp;TRIM(G147&amp;""))),"⚠"&amp;TRIM(G147&amp;""))</f>
        <v/>
      </c>
      <c r="P147" s="10">
        <f>IFERROR(IF(TRIM(H147&amp;"")="","",IF(AND(ISNUMBER(FIND(" ",TRIM(H147&amp;""))),ISNUMBER(MATCH(LEFT(TRIM(H147&amp;""),FIND(" ",TRIM(H147&amp;""))-1),설정_코드표!$J$2:$J$101,0)),ISNUMBER(MATCH(TRIM(RIGHT(SUBSTITUTE(TRIM(H147&amp;"")," ",REPT(" ",60)),60)),설정_코드표!$F$2:$F$101,0))),INDEX(설정_코드표!$K$2:$K$101,MATCH(LEFT(TRIM(H147&amp;""),FIND(" ",TRIM(H147&amp;""))-1),설정_코드표!$J$2:$J$101,0))&amp;" "&amp;INDEX(설정_코드표!$G$2:$G$101,MATCH(TRIM(RIGHT(SUBSTITUTE(TRIM(H147&amp;"")," ",REPT(" ",60)),60)),설정_코드표!$F$2:$F$101,0)),"⚠"&amp;TRIM(H147&amp;""))),"⚠"&amp;TRIM(H147&amp;""))</f>
        <v/>
      </c>
      <c r="Q147" s="10">
        <f>IFERROR(IF(TRIM(I147&amp;"")="","",IF(AND(ISNUMBER(FIND(" ",TRIM(I147&amp;""))),ISNUMBER(MATCH(LEFT(TRIM(I147&amp;""),FIND(" ",TRIM(I147&amp;""))-1),설정_코드표!$J$2:$J$101,0)),ISNUMBER(MATCH(TRIM(RIGHT(SUBSTITUTE(TRIM(I147&amp;"")," ",REPT(" ",60)),60)),설정_코드표!$F$2:$F$101,0))),INDEX(설정_코드표!$K$2:$K$101,MATCH(LEFT(TRIM(I147&amp;""),FIND(" ",TRIM(I147&amp;""))-1),설정_코드표!$J$2:$J$101,0))&amp;" "&amp;INDEX(설정_코드표!$G$2:$G$101,MATCH(TRIM(RIGHT(SUBSTITUTE(TRIM(I147&amp;"")," ",REPT(" ",60)),60)),설정_코드표!$F$2:$F$101,0)),"⚠"&amp;TRIM(I147&amp;""))),"⚠"&amp;TRIM(I147&amp;""))</f>
        <v/>
      </c>
      <c r="R147" s="10">
        <f>IFERROR(IF(TRIM(J147&amp;"")="","",IF(AND(ISNUMBER(FIND(" ",TRIM(J147&amp;""))),ISNUMBER(MATCH(LEFT(TRIM(J147&amp;""),FIND(" ",TRIM(J147&amp;""))-1),설정_코드표!$J$2:$J$101,0)),ISNUMBER(MATCH(TRIM(RIGHT(SUBSTITUTE(TRIM(J147&amp;"")," ",REPT(" ",60)),60)),설정_코드표!$F$2:$F$101,0))),INDEX(설정_코드표!$K$2:$K$101,MATCH(LEFT(TRIM(J147&amp;""),FIND(" ",TRIM(J147&amp;""))-1),설정_코드표!$J$2:$J$101,0))&amp;" "&amp;INDEX(설정_코드표!$G$2:$G$101,MATCH(TRIM(RIGHT(SUBSTITUTE(TRIM(J147&amp;"")," ",REPT(" ",60)),60)),설정_코드표!$F$2:$F$101,0)),"⚠"&amp;TRIM(J147&amp;""))),"⚠"&amp;TRIM(J147&amp;""))</f>
        <v/>
      </c>
      <c r="S147" s="11">
        <f>IF(K147="","",IFERROR(IF(AND(ROUND((VALUE(K147&amp;"")-INT(VALUE(K147&amp;"")))*100,0)&gt;=1,ROUND((VALUE(K147&amp;"")-INT(VALUE(K147&amp;"")))*100,0)&lt;=12,INT(VALUE(K147&amp;""))&gt;=1900),DATE(INT(VALUE(K147&amp;"")),ROUND((VALUE(K147&amp;"")-INT(VALUE(K147&amp;"")))*100,0),1),K147&amp;""),K147&amp;""))</f>
        <v/>
      </c>
      <c r="T147" s="10">
        <f>COUNTIF(M147:R147,"⚠*")</f>
        <v/>
      </c>
    </row>
    <row r="148"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M148" s="10">
        <f>IFERROR(IF(TRIM(E148&amp;"")="","",IF(AND(ISNUMBER(FIND(" ",TRIM(E148&amp;""))),ISNUMBER(MATCH(LEFT(TRIM(E148&amp;""),FIND(" ",TRIM(E148&amp;""))-1),설정_코드표!$J$2:$J$101,0)),ISNUMBER(MATCH(TRIM(RIGHT(SUBSTITUTE(TRIM(E148&amp;"")," ",REPT(" ",60)),60)),설정_코드표!$F$2:$F$101,0))),INDEX(설정_코드표!$K$2:$K$101,MATCH(LEFT(TRIM(E148&amp;""),FIND(" ",TRIM(E148&amp;""))-1),설정_코드표!$J$2:$J$101,0))&amp;" "&amp;INDEX(설정_코드표!$G$2:$G$101,MATCH(TRIM(RIGHT(SUBSTITUTE(TRIM(E148&amp;"")," ",REPT(" ",60)),60)),설정_코드표!$F$2:$F$101,0)),"⚠"&amp;TRIM(E148&amp;""))),"⚠"&amp;TRIM(E148&amp;""))</f>
        <v/>
      </c>
      <c r="N148" s="10">
        <f>IFERROR(IF(TRIM(F148&amp;"")="","",IF(AND(ISNUMBER(FIND(" ",TRIM(F148&amp;""))),ISNUMBER(MATCH(LEFT(TRIM(F148&amp;""),FIND(" ",TRIM(F148&amp;""))-1),설정_코드표!$J$2:$J$101,0)),ISNUMBER(MATCH(TRIM(RIGHT(SUBSTITUTE(TRIM(F148&amp;"")," ",REPT(" ",60)),60)),설정_코드표!$F$2:$F$101,0))),INDEX(설정_코드표!$K$2:$K$101,MATCH(LEFT(TRIM(F148&amp;""),FIND(" ",TRIM(F148&amp;""))-1),설정_코드표!$J$2:$J$101,0))&amp;" "&amp;INDEX(설정_코드표!$G$2:$G$101,MATCH(TRIM(RIGHT(SUBSTITUTE(TRIM(F148&amp;"")," ",REPT(" ",60)),60)),설정_코드표!$F$2:$F$101,0)),"⚠"&amp;TRIM(F148&amp;""))),"⚠"&amp;TRIM(F148&amp;""))</f>
        <v/>
      </c>
      <c r="O148" s="10">
        <f>IFERROR(IF(TRIM(G148&amp;"")="","",IF(AND(ISNUMBER(FIND(" ",TRIM(G148&amp;""))),ISNUMBER(MATCH(LEFT(TRIM(G148&amp;""),FIND(" ",TRIM(G148&amp;""))-1),설정_코드표!$J$2:$J$101,0)),ISNUMBER(MATCH(TRIM(RIGHT(SUBSTITUTE(TRIM(G148&amp;"")," ",REPT(" ",60)),60)),설정_코드표!$F$2:$F$101,0))),INDEX(설정_코드표!$K$2:$K$101,MATCH(LEFT(TRIM(G148&amp;""),FIND(" ",TRIM(G148&amp;""))-1),설정_코드표!$J$2:$J$101,0))&amp;" "&amp;INDEX(설정_코드표!$G$2:$G$101,MATCH(TRIM(RIGHT(SUBSTITUTE(TRIM(G148&amp;"")," ",REPT(" ",60)),60)),설정_코드표!$F$2:$F$101,0)),"⚠"&amp;TRIM(G148&amp;""))),"⚠"&amp;TRIM(G148&amp;""))</f>
        <v/>
      </c>
      <c r="P148" s="10">
        <f>IFERROR(IF(TRIM(H148&amp;"")="","",IF(AND(ISNUMBER(FIND(" ",TRIM(H148&amp;""))),ISNUMBER(MATCH(LEFT(TRIM(H148&amp;""),FIND(" ",TRIM(H148&amp;""))-1),설정_코드표!$J$2:$J$101,0)),ISNUMBER(MATCH(TRIM(RIGHT(SUBSTITUTE(TRIM(H148&amp;"")," ",REPT(" ",60)),60)),설정_코드표!$F$2:$F$101,0))),INDEX(설정_코드표!$K$2:$K$101,MATCH(LEFT(TRIM(H148&amp;""),FIND(" ",TRIM(H148&amp;""))-1),설정_코드표!$J$2:$J$101,0))&amp;" "&amp;INDEX(설정_코드표!$G$2:$G$101,MATCH(TRIM(RIGHT(SUBSTITUTE(TRIM(H148&amp;"")," ",REPT(" ",60)),60)),설정_코드표!$F$2:$F$101,0)),"⚠"&amp;TRIM(H148&amp;""))),"⚠"&amp;TRIM(H148&amp;""))</f>
        <v/>
      </c>
      <c r="Q148" s="10">
        <f>IFERROR(IF(TRIM(I148&amp;"")="","",IF(AND(ISNUMBER(FIND(" ",TRIM(I148&amp;""))),ISNUMBER(MATCH(LEFT(TRIM(I148&amp;""),FIND(" ",TRIM(I148&amp;""))-1),설정_코드표!$J$2:$J$101,0)),ISNUMBER(MATCH(TRIM(RIGHT(SUBSTITUTE(TRIM(I148&amp;"")," ",REPT(" ",60)),60)),설정_코드표!$F$2:$F$101,0))),INDEX(설정_코드표!$K$2:$K$101,MATCH(LEFT(TRIM(I148&amp;""),FIND(" ",TRIM(I148&amp;""))-1),설정_코드표!$J$2:$J$101,0))&amp;" "&amp;INDEX(설정_코드표!$G$2:$G$101,MATCH(TRIM(RIGHT(SUBSTITUTE(TRIM(I148&amp;"")," ",REPT(" ",60)),60)),설정_코드표!$F$2:$F$101,0)),"⚠"&amp;TRIM(I148&amp;""))),"⚠"&amp;TRIM(I148&amp;""))</f>
        <v/>
      </c>
      <c r="R148" s="10">
        <f>IFERROR(IF(TRIM(J148&amp;"")="","",IF(AND(ISNUMBER(FIND(" ",TRIM(J148&amp;""))),ISNUMBER(MATCH(LEFT(TRIM(J148&amp;""),FIND(" ",TRIM(J148&amp;""))-1),설정_코드표!$J$2:$J$101,0)),ISNUMBER(MATCH(TRIM(RIGHT(SUBSTITUTE(TRIM(J148&amp;"")," ",REPT(" ",60)),60)),설정_코드표!$F$2:$F$101,0))),INDEX(설정_코드표!$K$2:$K$101,MATCH(LEFT(TRIM(J148&amp;""),FIND(" ",TRIM(J148&amp;""))-1),설정_코드표!$J$2:$J$101,0))&amp;" "&amp;INDEX(설정_코드표!$G$2:$G$101,MATCH(TRIM(RIGHT(SUBSTITUTE(TRIM(J148&amp;"")," ",REPT(" ",60)),60)),설정_코드표!$F$2:$F$101,0)),"⚠"&amp;TRIM(J148&amp;""))),"⚠"&amp;TRIM(J148&amp;""))</f>
        <v/>
      </c>
      <c r="S148" s="11">
        <f>IF(K148="","",IFERROR(IF(AND(ROUND((VALUE(K148&amp;"")-INT(VALUE(K148&amp;"")))*100,0)&gt;=1,ROUND((VALUE(K148&amp;"")-INT(VALUE(K148&amp;"")))*100,0)&lt;=12,INT(VALUE(K148&amp;""))&gt;=1900),DATE(INT(VALUE(K148&amp;"")),ROUND((VALUE(K148&amp;"")-INT(VALUE(K148&amp;"")))*100,0),1),K148&amp;""),K148&amp;""))</f>
        <v/>
      </c>
      <c r="T148" s="10">
        <f>COUNTIF(M148:R148,"⚠*")</f>
        <v/>
      </c>
    </row>
    <row r="149"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M149" s="10">
        <f>IFERROR(IF(TRIM(E149&amp;"")="","",IF(AND(ISNUMBER(FIND(" ",TRIM(E149&amp;""))),ISNUMBER(MATCH(LEFT(TRIM(E149&amp;""),FIND(" ",TRIM(E149&amp;""))-1),설정_코드표!$J$2:$J$101,0)),ISNUMBER(MATCH(TRIM(RIGHT(SUBSTITUTE(TRIM(E149&amp;"")," ",REPT(" ",60)),60)),설정_코드표!$F$2:$F$101,0))),INDEX(설정_코드표!$K$2:$K$101,MATCH(LEFT(TRIM(E149&amp;""),FIND(" ",TRIM(E149&amp;""))-1),설정_코드표!$J$2:$J$101,0))&amp;" "&amp;INDEX(설정_코드표!$G$2:$G$101,MATCH(TRIM(RIGHT(SUBSTITUTE(TRIM(E149&amp;"")," ",REPT(" ",60)),60)),설정_코드표!$F$2:$F$101,0)),"⚠"&amp;TRIM(E149&amp;""))),"⚠"&amp;TRIM(E149&amp;""))</f>
        <v/>
      </c>
      <c r="N149" s="10">
        <f>IFERROR(IF(TRIM(F149&amp;"")="","",IF(AND(ISNUMBER(FIND(" ",TRIM(F149&amp;""))),ISNUMBER(MATCH(LEFT(TRIM(F149&amp;""),FIND(" ",TRIM(F149&amp;""))-1),설정_코드표!$J$2:$J$101,0)),ISNUMBER(MATCH(TRIM(RIGHT(SUBSTITUTE(TRIM(F149&amp;"")," ",REPT(" ",60)),60)),설정_코드표!$F$2:$F$101,0))),INDEX(설정_코드표!$K$2:$K$101,MATCH(LEFT(TRIM(F149&amp;""),FIND(" ",TRIM(F149&amp;""))-1),설정_코드표!$J$2:$J$101,0))&amp;" "&amp;INDEX(설정_코드표!$G$2:$G$101,MATCH(TRIM(RIGHT(SUBSTITUTE(TRIM(F149&amp;"")," ",REPT(" ",60)),60)),설정_코드표!$F$2:$F$101,0)),"⚠"&amp;TRIM(F149&amp;""))),"⚠"&amp;TRIM(F149&amp;""))</f>
        <v/>
      </c>
      <c r="O149" s="10">
        <f>IFERROR(IF(TRIM(G149&amp;"")="","",IF(AND(ISNUMBER(FIND(" ",TRIM(G149&amp;""))),ISNUMBER(MATCH(LEFT(TRIM(G149&amp;""),FIND(" ",TRIM(G149&amp;""))-1),설정_코드표!$J$2:$J$101,0)),ISNUMBER(MATCH(TRIM(RIGHT(SUBSTITUTE(TRIM(G149&amp;"")," ",REPT(" ",60)),60)),설정_코드표!$F$2:$F$101,0))),INDEX(설정_코드표!$K$2:$K$101,MATCH(LEFT(TRIM(G149&amp;""),FIND(" ",TRIM(G149&amp;""))-1),설정_코드표!$J$2:$J$101,0))&amp;" "&amp;INDEX(설정_코드표!$G$2:$G$101,MATCH(TRIM(RIGHT(SUBSTITUTE(TRIM(G149&amp;"")," ",REPT(" ",60)),60)),설정_코드표!$F$2:$F$101,0)),"⚠"&amp;TRIM(G149&amp;""))),"⚠"&amp;TRIM(G149&amp;""))</f>
        <v/>
      </c>
      <c r="P149" s="10">
        <f>IFERROR(IF(TRIM(H149&amp;"")="","",IF(AND(ISNUMBER(FIND(" ",TRIM(H149&amp;""))),ISNUMBER(MATCH(LEFT(TRIM(H149&amp;""),FIND(" ",TRIM(H149&amp;""))-1),설정_코드표!$J$2:$J$101,0)),ISNUMBER(MATCH(TRIM(RIGHT(SUBSTITUTE(TRIM(H149&amp;"")," ",REPT(" ",60)),60)),설정_코드표!$F$2:$F$101,0))),INDEX(설정_코드표!$K$2:$K$101,MATCH(LEFT(TRIM(H149&amp;""),FIND(" ",TRIM(H149&amp;""))-1),설정_코드표!$J$2:$J$101,0))&amp;" "&amp;INDEX(설정_코드표!$G$2:$G$101,MATCH(TRIM(RIGHT(SUBSTITUTE(TRIM(H149&amp;"")," ",REPT(" ",60)),60)),설정_코드표!$F$2:$F$101,0)),"⚠"&amp;TRIM(H149&amp;""))),"⚠"&amp;TRIM(H149&amp;""))</f>
        <v/>
      </c>
      <c r="Q149" s="10">
        <f>IFERROR(IF(TRIM(I149&amp;"")="","",IF(AND(ISNUMBER(FIND(" ",TRIM(I149&amp;""))),ISNUMBER(MATCH(LEFT(TRIM(I149&amp;""),FIND(" ",TRIM(I149&amp;""))-1),설정_코드표!$J$2:$J$101,0)),ISNUMBER(MATCH(TRIM(RIGHT(SUBSTITUTE(TRIM(I149&amp;"")," ",REPT(" ",60)),60)),설정_코드표!$F$2:$F$101,0))),INDEX(설정_코드표!$K$2:$K$101,MATCH(LEFT(TRIM(I149&amp;""),FIND(" ",TRIM(I149&amp;""))-1),설정_코드표!$J$2:$J$101,0))&amp;" "&amp;INDEX(설정_코드표!$G$2:$G$101,MATCH(TRIM(RIGHT(SUBSTITUTE(TRIM(I149&amp;"")," ",REPT(" ",60)),60)),설정_코드표!$F$2:$F$101,0)),"⚠"&amp;TRIM(I149&amp;""))),"⚠"&amp;TRIM(I149&amp;""))</f>
        <v/>
      </c>
      <c r="R149" s="10">
        <f>IFERROR(IF(TRIM(J149&amp;"")="","",IF(AND(ISNUMBER(FIND(" ",TRIM(J149&amp;""))),ISNUMBER(MATCH(LEFT(TRIM(J149&amp;""),FIND(" ",TRIM(J149&amp;""))-1),설정_코드표!$J$2:$J$101,0)),ISNUMBER(MATCH(TRIM(RIGHT(SUBSTITUTE(TRIM(J149&amp;"")," ",REPT(" ",60)),60)),설정_코드표!$F$2:$F$101,0))),INDEX(설정_코드표!$K$2:$K$101,MATCH(LEFT(TRIM(J149&amp;""),FIND(" ",TRIM(J149&amp;""))-1),설정_코드표!$J$2:$J$101,0))&amp;" "&amp;INDEX(설정_코드표!$G$2:$G$101,MATCH(TRIM(RIGHT(SUBSTITUTE(TRIM(J149&amp;"")," ",REPT(" ",60)),60)),설정_코드표!$F$2:$F$101,0)),"⚠"&amp;TRIM(J149&amp;""))),"⚠"&amp;TRIM(J149&amp;""))</f>
        <v/>
      </c>
      <c r="S149" s="11">
        <f>IF(K149="","",IFERROR(IF(AND(ROUND((VALUE(K149&amp;"")-INT(VALUE(K149&amp;"")))*100,0)&gt;=1,ROUND((VALUE(K149&amp;"")-INT(VALUE(K149&amp;"")))*100,0)&lt;=12,INT(VALUE(K149&amp;""))&gt;=1900),DATE(INT(VALUE(K149&amp;"")),ROUND((VALUE(K149&amp;"")-INT(VALUE(K149&amp;"")))*100,0),1),K149&amp;""),K149&amp;""))</f>
        <v/>
      </c>
      <c r="T149" s="10">
        <f>COUNTIF(M149:R149,"⚠*")</f>
        <v/>
      </c>
    </row>
    <row r="150"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M150" s="10">
        <f>IFERROR(IF(TRIM(E150&amp;"")="","",IF(AND(ISNUMBER(FIND(" ",TRIM(E150&amp;""))),ISNUMBER(MATCH(LEFT(TRIM(E150&amp;""),FIND(" ",TRIM(E150&amp;""))-1),설정_코드표!$J$2:$J$101,0)),ISNUMBER(MATCH(TRIM(RIGHT(SUBSTITUTE(TRIM(E150&amp;"")," ",REPT(" ",60)),60)),설정_코드표!$F$2:$F$101,0))),INDEX(설정_코드표!$K$2:$K$101,MATCH(LEFT(TRIM(E150&amp;""),FIND(" ",TRIM(E150&amp;""))-1),설정_코드표!$J$2:$J$101,0))&amp;" "&amp;INDEX(설정_코드표!$G$2:$G$101,MATCH(TRIM(RIGHT(SUBSTITUTE(TRIM(E150&amp;"")," ",REPT(" ",60)),60)),설정_코드표!$F$2:$F$101,0)),"⚠"&amp;TRIM(E150&amp;""))),"⚠"&amp;TRIM(E150&amp;""))</f>
        <v/>
      </c>
      <c r="N150" s="10">
        <f>IFERROR(IF(TRIM(F150&amp;"")="","",IF(AND(ISNUMBER(FIND(" ",TRIM(F150&amp;""))),ISNUMBER(MATCH(LEFT(TRIM(F150&amp;""),FIND(" ",TRIM(F150&amp;""))-1),설정_코드표!$J$2:$J$101,0)),ISNUMBER(MATCH(TRIM(RIGHT(SUBSTITUTE(TRIM(F150&amp;"")," ",REPT(" ",60)),60)),설정_코드표!$F$2:$F$101,0))),INDEX(설정_코드표!$K$2:$K$101,MATCH(LEFT(TRIM(F150&amp;""),FIND(" ",TRIM(F150&amp;""))-1),설정_코드표!$J$2:$J$101,0))&amp;" "&amp;INDEX(설정_코드표!$G$2:$G$101,MATCH(TRIM(RIGHT(SUBSTITUTE(TRIM(F150&amp;"")," ",REPT(" ",60)),60)),설정_코드표!$F$2:$F$101,0)),"⚠"&amp;TRIM(F150&amp;""))),"⚠"&amp;TRIM(F150&amp;""))</f>
        <v/>
      </c>
      <c r="O150" s="10">
        <f>IFERROR(IF(TRIM(G150&amp;"")="","",IF(AND(ISNUMBER(FIND(" ",TRIM(G150&amp;""))),ISNUMBER(MATCH(LEFT(TRIM(G150&amp;""),FIND(" ",TRIM(G150&amp;""))-1),설정_코드표!$J$2:$J$101,0)),ISNUMBER(MATCH(TRIM(RIGHT(SUBSTITUTE(TRIM(G150&amp;"")," ",REPT(" ",60)),60)),설정_코드표!$F$2:$F$101,0))),INDEX(설정_코드표!$K$2:$K$101,MATCH(LEFT(TRIM(G150&amp;""),FIND(" ",TRIM(G150&amp;""))-1),설정_코드표!$J$2:$J$101,0))&amp;" "&amp;INDEX(설정_코드표!$G$2:$G$101,MATCH(TRIM(RIGHT(SUBSTITUTE(TRIM(G150&amp;"")," ",REPT(" ",60)),60)),설정_코드표!$F$2:$F$101,0)),"⚠"&amp;TRIM(G150&amp;""))),"⚠"&amp;TRIM(G150&amp;""))</f>
        <v/>
      </c>
      <c r="P150" s="10">
        <f>IFERROR(IF(TRIM(H150&amp;"")="","",IF(AND(ISNUMBER(FIND(" ",TRIM(H150&amp;""))),ISNUMBER(MATCH(LEFT(TRIM(H150&amp;""),FIND(" ",TRIM(H150&amp;""))-1),설정_코드표!$J$2:$J$101,0)),ISNUMBER(MATCH(TRIM(RIGHT(SUBSTITUTE(TRIM(H150&amp;"")," ",REPT(" ",60)),60)),설정_코드표!$F$2:$F$101,0))),INDEX(설정_코드표!$K$2:$K$101,MATCH(LEFT(TRIM(H150&amp;""),FIND(" ",TRIM(H150&amp;""))-1),설정_코드표!$J$2:$J$101,0))&amp;" "&amp;INDEX(설정_코드표!$G$2:$G$101,MATCH(TRIM(RIGHT(SUBSTITUTE(TRIM(H150&amp;"")," ",REPT(" ",60)),60)),설정_코드표!$F$2:$F$101,0)),"⚠"&amp;TRIM(H150&amp;""))),"⚠"&amp;TRIM(H150&amp;""))</f>
        <v/>
      </c>
      <c r="Q150" s="10">
        <f>IFERROR(IF(TRIM(I150&amp;"")="","",IF(AND(ISNUMBER(FIND(" ",TRIM(I150&amp;""))),ISNUMBER(MATCH(LEFT(TRIM(I150&amp;""),FIND(" ",TRIM(I150&amp;""))-1),설정_코드표!$J$2:$J$101,0)),ISNUMBER(MATCH(TRIM(RIGHT(SUBSTITUTE(TRIM(I150&amp;"")," ",REPT(" ",60)),60)),설정_코드표!$F$2:$F$101,0))),INDEX(설정_코드표!$K$2:$K$101,MATCH(LEFT(TRIM(I150&amp;""),FIND(" ",TRIM(I150&amp;""))-1),설정_코드표!$J$2:$J$101,0))&amp;" "&amp;INDEX(설정_코드표!$G$2:$G$101,MATCH(TRIM(RIGHT(SUBSTITUTE(TRIM(I150&amp;"")," ",REPT(" ",60)),60)),설정_코드표!$F$2:$F$101,0)),"⚠"&amp;TRIM(I150&amp;""))),"⚠"&amp;TRIM(I150&amp;""))</f>
        <v/>
      </c>
      <c r="R150" s="10">
        <f>IFERROR(IF(TRIM(J150&amp;"")="","",IF(AND(ISNUMBER(FIND(" ",TRIM(J150&amp;""))),ISNUMBER(MATCH(LEFT(TRIM(J150&amp;""),FIND(" ",TRIM(J150&amp;""))-1),설정_코드표!$J$2:$J$101,0)),ISNUMBER(MATCH(TRIM(RIGHT(SUBSTITUTE(TRIM(J150&amp;"")," ",REPT(" ",60)),60)),설정_코드표!$F$2:$F$101,0))),INDEX(설정_코드표!$K$2:$K$101,MATCH(LEFT(TRIM(J150&amp;""),FIND(" ",TRIM(J150&amp;""))-1),설정_코드표!$J$2:$J$101,0))&amp;" "&amp;INDEX(설정_코드표!$G$2:$G$101,MATCH(TRIM(RIGHT(SUBSTITUTE(TRIM(J150&amp;"")," ",REPT(" ",60)),60)),설정_코드표!$F$2:$F$101,0)),"⚠"&amp;TRIM(J150&amp;""))),"⚠"&amp;TRIM(J150&amp;""))</f>
        <v/>
      </c>
      <c r="S150" s="11">
        <f>IF(K150="","",IFERROR(IF(AND(ROUND((VALUE(K150&amp;"")-INT(VALUE(K150&amp;"")))*100,0)&gt;=1,ROUND((VALUE(K150&amp;"")-INT(VALUE(K150&amp;"")))*100,0)&lt;=12,INT(VALUE(K150&amp;""))&gt;=1900),DATE(INT(VALUE(K150&amp;"")),ROUND((VALUE(K150&amp;"")-INT(VALUE(K150&amp;"")))*100,0),1),K150&amp;""),K150&amp;""))</f>
        <v/>
      </c>
      <c r="T150" s="10">
        <f>COUNTIF(M150:R150,"⚠*")</f>
        <v/>
      </c>
    </row>
    <row r="151"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M151" s="10">
        <f>IFERROR(IF(TRIM(E151&amp;"")="","",IF(AND(ISNUMBER(FIND(" ",TRIM(E151&amp;""))),ISNUMBER(MATCH(LEFT(TRIM(E151&amp;""),FIND(" ",TRIM(E151&amp;""))-1),설정_코드표!$J$2:$J$101,0)),ISNUMBER(MATCH(TRIM(RIGHT(SUBSTITUTE(TRIM(E151&amp;"")," ",REPT(" ",60)),60)),설정_코드표!$F$2:$F$101,0))),INDEX(설정_코드표!$K$2:$K$101,MATCH(LEFT(TRIM(E151&amp;""),FIND(" ",TRIM(E151&amp;""))-1),설정_코드표!$J$2:$J$101,0))&amp;" "&amp;INDEX(설정_코드표!$G$2:$G$101,MATCH(TRIM(RIGHT(SUBSTITUTE(TRIM(E151&amp;"")," ",REPT(" ",60)),60)),설정_코드표!$F$2:$F$101,0)),"⚠"&amp;TRIM(E151&amp;""))),"⚠"&amp;TRIM(E151&amp;""))</f>
        <v/>
      </c>
      <c r="N151" s="10">
        <f>IFERROR(IF(TRIM(F151&amp;"")="","",IF(AND(ISNUMBER(FIND(" ",TRIM(F151&amp;""))),ISNUMBER(MATCH(LEFT(TRIM(F151&amp;""),FIND(" ",TRIM(F151&amp;""))-1),설정_코드표!$J$2:$J$101,0)),ISNUMBER(MATCH(TRIM(RIGHT(SUBSTITUTE(TRIM(F151&amp;"")," ",REPT(" ",60)),60)),설정_코드표!$F$2:$F$101,0))),INDEX(설정_코드표!$K$2:$K$101,MATCH(LEFT(TRIM(F151&amp;""),FIND(" ",TRIM(F151&amp;""))-1),설정_코드표!$J$2:$J$101,0))&amp;" "&amp;INDEX(설정_코드표!$G$2:$G$101,MATCH(TRIM(RIGHT(SUBSTITUTE(TRIM(F151&amp;"")," ",REPT(" ",60)),60)),설정_코드표!$F$2:$F$101,0)),"⚠"&amp;TRIM(F151&amp;""))),"⚠"&amp;TRIM(F151&amp;""))</f>
        <v/>
      </c>
      <c r="O151" s="10">
        <f>IFERROR(IF(TRIM(G151&amp;"")="","",IF(AND(ISNUMBER(FIND(" ",TRIM(G151&amp;""))),ISNUMBER(MATCH(LEFT(TRIM(G151&amp;""),FIND(" ",TRIM(G151&amp;""))-1),설정_코드표!$J$2:$J$101,0)),ISNUMBER(MATCH(TRIM(RIGHT(SUBSTITUTE(TRIM(G151&amp;"")," ",REPT(" ",60)),60)),설정_코드표!$F$2:$F$101,0))),INDEX(설정_코드표!$K$2:$K$101,MATCH(LEFT(TRIM(G151&amp;""),FIND(" ",TRIM(G151&amp;""))-1),설정_코드표!$J$2:$J$101,0))&amp;" "&amp;INDEX(설정_코드표!$G$2:$G$101,MATCH(TRIM(RIGHT(SUBSTITUTE(TRIM(G151&amp;"")," ",REPT(" ",60)),60)),설정_코드표!$F$2:$F$101,0)),"⚠"&amp;TRIM(G151&amp;""))),"⚠"&amp;TRIM(G151&amp;""))</f>
        <v/>
      </c>
      <c r="P151" s="10">
        <f>IFERROR(IF(TRIM(H151&amp;"")="","",IF(AND(ISNUMBER(FIND(" ",TRIM(H151&amp;""))),ISNUMBER(MATCH(LEFT(TRIM(H151&amp;""),FIND(" ",TRIM(H151&amp;""))-1),설정_코드표!$J$2:$J$101,0)),ISNUMBER(MATCH(TRIM(RIGHT(SUBSTITUTE(TRIM(H151&amp;"")," ",REPT(" ",60)),60)),설정_코드표!$F$2:$F$101,0))),INDEX(설정_코드표!$K$2:$K$101,MATCH(LEFT(TRIM(H151&amp;""),FIND(" ",TRIM(H151&amp;""))-1),설정_코드표!$J$2:$J$101,0))&amp;" "&amp;INDEX(설정_코드표!$G$2:$G$101,MATCH(TRIM(RIGHT(SUBSTITUTE(TRIM(H151&amp;"")," ",REPT(" ",60)),60)),설정_코드표!$F$2:$F$101,0)),"⚠"&amp;TRIM(H151&amp;""))),"⚠"&amp;TRIM(H151&amp;""))</f>
        <v/>
      </c>
      <c r="Q151" s="10">
        <f>IFERROR(IF(TRIM(I151&amp;"")="","",IF(AND(ISNUMBER(FIND(" ",TRIM(I151&amp;""))),ISNUMBER(MATCH(LEFT(TRIM(I151&amp;""),FIND(" ",TRIM(I151&amp;""))-1),설정_코드표!$J$2:$J$101,0)),ISNUMBER(MATCH(TRIM(RIGHT(SUBSTITUTE(TRIM(I151&amp;"")," ",REPT(" ",60)),60)),설정_코드표!$F$2:$F$101,0))),INDEX(설정_코드표!$K$2:$K$101,MATCH(LEFT(TRIM(I151&amp;""),FIND(" ",TRIM(I151&amp;""))-1),설정_코드표!$J$2:$J$101,0))&amp;" "&amp;INDEX(설정_코드표!$G$2:$G$101,MATCH(TRIM(RIGHT(SUBSTITUTE(TRIM(I151&amp;"")," ",REPT(" ",60)),60)),설정_코드표!$F$2:$F$101,0)),"⚠"&amp;TRIM(I151&amp;""))),"⚠"&amp;TRIM(I151&amp;""))</f>
        <v/>
      </c>
      <c r="R151" s="10">
        <f>IFERROR(IF(TRIM(J151&amp;"")="","",IF(AND(ISNUMBER(FIND(" ",TRIM(J151&amp;""))),ISNUMBER(MATCH(LEFT(TRIM(J151&amp;""),FIND(" ",TRIM(J151&amp;""))-1),설정_코드표!$J$2:$J$101,0)),ISNUMBER(MATCH(TRIM(RIGHT(SUBSTITUTE(TRIM(J151&amp;"")," ",REPT(" ",60)),60)),설정_코드표!$F$2:$F$101,0))),INDEX(설정_코드표!$K$2:$K$101,MATCH(LEFT(TRIM(J151&amp;""),FIND(" ",TRIM(J151&amp;""))-1),설정_코드표!$J$2:$J$101,0))&amp;" "&amp;INDEX(설정_코드표!$G$2:$G$101,MATCH(TRIM(RIGHT(SUBSTITUTE(TRIM(J151&amp;"")," ",REPT(" ",60)),60)),설정_코드표!$F$2:$F$101,0)),"⚠"&amp;TRIM(J151&amp;""))),"⚠"&amp;TRIM(J151&amp;""))</f>
        <v/>
      </c>
      <c r="S151" s="11">
        <f>IF(K151="","",IFERROR(IF(AND(ROUND((VALUE(K151&amp;"")-INT(VALUE(K151&amp;"")))*100,0)&gt;=1,ROUND((VALUE(K151&amp;"")-INT(VALUE(K151&amp;"")))*100,0)&lt;=12,INT(VALUE(K151&amp;""))&gt;=1900),DATE(INT(VALUE(K151&amp;"")),ROUND((VALUE(K151&amp;"")-INT(VALUE(K151&amp;"")))*100,0),1),K151&amp;""),K151&amp;""))</f>
        <v/>
      </c>
      <c r="T151" s="10">
        <f>COUNTIF(M151:R151,"⚠*")</f>
        <v/>
      </c>
    </row>
    <row r="152"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M152" s="10">
        <f>IFERROR(IF(TRIM(E152&amp;"")="","",IF(AND(ISNUMBER(FIND(" ",TRIM(E152&amp;""))),ISNUMBER(MATCH(LEFT(TRIM(E152&amp;""),FIND(" ",TRIM(E152&amp;""))-1),설정_코드표!$J$2:$J$101,0)),ISNUMBER(MATCH(TRIM(RIGHT(SUBSTITUTE(TRIM(E152&amp;"")," ",REPT(" ",60)),60)),설정_코드표!$F$2:$F$101,0))),INDEX(설정_코드표!$K$2:$K$101,MATCH(LEFT(TRIM(E152&amp;""),FIND(" ",TRIM(E152&amp;""))-1),설정_코드표!$J$2:$J$101,0))&amp;" "&amp;INDEX(설정_코드표!$G$2:$G$101,MATCH(TRIM(RIGHT(SUBSTITUTE(TRIM(E152&amp;"")," ",REPT(" ",60)),60)),설정_코드표!$F$2:$F$101,0)),"⚠"&amp;TRIM(E152&amp;""))),"⚠"&amp;TRIM(E152&amp;""))</f>
        <v/>
      </c>
      <c r="N152" s="10">
        <f>IFERROR(IF(TRIM(F152&amp;"")="","",IF(AND(ISNUMBER(FIND(" ",TRIM(F152&amp;""))),ISNUMBER(MATCH(LEFT(TRIM(F152&amp;""),FIND(" ",TRIM(F152&amp;""))-1),설정_코드표!$J$2:$J$101,0)),ISNUMBER(MATCH(TRIM(RIGHT(SUBSTITUTE(TRIM(F152&amp;"")," ",REPT(" ",60)),60)),설정_코드표!$F$2:$F$101,0))),INDEX(설정_코드표!$K$2:$K$101,MATCH(LEFT(TRIM(F152&amp;""),FIND(" ",TRIM(F152&amp;""))-1),설정_코드표!$J$2:$J$101,0))&amp;" "&amp;INDEX(설정_코드표!$G$2:$G$101,MATCH(TRIM(RIGHT(SUBSTITUTE(TRIM(F152&amp;"")," ",REPT(" ",60)),60)),설정_코드표!$F$2:$F$101,0)),"⚠"&amp;TRIM(F152&amp;""))),"⚠"&amp;TRIM(F152&amp;""))</f>
        <v/>
      </c>
      <c r="O152" s="10">
        <f>IFERROR(IF(TRIM(G152&amp;"")="","",IF(AND(ISNUMBER(FIND(" ",TRIM(G152&amp;""))),ISNUMBER(MATCH(LEFT(TRIM(G152&amp;""),FIND(" ",TRIM(G152&amp;""))-1),설정_코드표!$J$2:$J$101,0)),ISNUMBER(MATCH(TRIM(RIGHT(SUBSTITUTE(TRIM(G152&amp;"")," ",REPT(" ",60)),60)),설정_코드표!$F$2:$F$101,0))),INDEX(설정_코드표!$K$2:$K$101,MATCH(LEFT(TRIM(G152&amp;""),FIND(" ",TRIM(G152&amp;""))-1),설정_코드표!$J$2:$J$101,0))&amp;" "&amp;INDEX(설정_코드표!$G$2:$G$101,MATCH(TRIM(RIGHT(SUBSTITUTE(TRIM(G152&amp;"")," ",REPT(" ",60)),60)),설정_코드표!$F$2:$F$101,0)),"⚠"&amp;TRIM(G152&amp;""))),"⚠"&amp;TRIM(G152&amp;""))</f>
        <v/>
      </c>
      <c r="P152" s="10">
        <f>IFERROR(IF(TRIM(H152&amp;"")="","",IF(AND(ISNUMBER(FIND(" ",TRIM(H152&amp;""))),ISNUMBER(MATCH(LEFT(TRIM(H152&amp;""),FIND(" ",TRIM(H152&amp;""))-1),설정_코드표!$J$2:$J$101,0)),ISNUMBER(MATCH(TRIM(RIGHT(SUBSTITUTE(TRIM(H152&amp;"")," ",REPT(" ",60)),60)),설정_코드표!$F$2:$F$101,0))),INDEX(설정_코드표!$K$2:$K$101,MATCH(LEFT(TRIM(H152&amp;""),FIND(" ",TRIM(H152&amp;""))-1),설정_코드표!$J$2:$J$101,0))&amp;" "&amp;INDEX(설정_코드표!$G$2:$G$101,MATCH(TRIM(RIGHT(SUBSTITUTE(TRIM(H152&amp;"")," ",REPT(" ",60)),60)),설정_코드표!$F$2:$F$101,0)),"⚠"&amp;TRIM(H152&amp;""))),"⚠"&amp;TRIM(H152&amp;""))</f>
        <v/>
      </c>
      <c r="Q152" s="10">
        <f>IFERROR(IF(TRIM(I152&amp;"")="","",IF(AND(ISNUMBER(FIND(" ",TRIM(I152&amp;""))),ISNUMBER(MATCH(LEFT(TRIM(I152&amp;""),FIND(" ",TRIM(I152&amp;""))-1),설정_코드표!$J$2:$J$101,0)),ISNUMBER(MATCH(TRIM(RIGHT(SUBSTITUTE(TRIM(I152&amp;"")," ",REPT(" ",60)),60)),설정_코드표!$F$2:$F$101,0))),INDEX(설정_코드표!$K$2:$K$101,MATCH(LEFT(TRIM(I152&amp;""),FIND(" ",TRIM(I152&amp;""))-1),설정_코드표!$J$2:$J$101,0))&amp;" "&amp;INDEX(설정_코드표!$G$2:$G$101,MATCH(TRIM(RIGHT(SUBSTITUTE(TRIM(I152&amp;"")," ",REPT(" ",60)),60)),설정_코드표!$F$2:$F$101,0)),"⚠"&amp;TRIM(I152&amp;""))),"⚠"&amp;TRIM(I152&amp;""))</f>
        <v/>
      </c>
      <c r="R152" s="10">
        <f>IFERROR(IF(TRIM(J152&amp;"")="","",IF(AND(ISNUMBER(FIND(" ",TRIM(J152&amp;""))),ISNUMBER(MATCH(LEFT(TRIM(J152&amp;""),FIND(" ",TRIM(J152&amp;""))-1),설정_코드표!$J$2:$J$101,0)),ISNUMBER(MATCH(TRIM(RIGHT(SUBSTITUTE(TRIM(J152&amp;"")," ",REPT(" ",60)),60)),설정_코드표!$F$2:$F$101,0))),INDEX(설정_코드표!$K$2:$K$101,MATCH(LEFT(TRIM(J152&amp;""),FIND(" ",TRIM(J152&amp;""))-1),설정_코드표!$J$2:$J$101,0))&amp;" "&amp;INDEX(설정_코드표!$G$2:$G$101,MATCH(TRIM(RIGHT(SUBSTITUTE(TRIM(J152&amp;"")," ",REPT(" ",60)),60)),설정_코드표!$F$2:$F$101,0)),"⚠"&amp;TRIM(J152&amp;""))),"⚠"&amp;TRIM(J152&amp;""))</f>
        <v/>
      </c>
      <c r="S152" s="11">
        <f>IF(K152="","",IFERROR(IF(AND(ROUND((VALUE(K152&amp;"")-INT(VALUE(K152&amp;"")))*100,0)&gt;=1,ROUND((VALUE(K152&amp;"")-INT(VALUE(K152&amp;"")))*100,0)&lt;=12,INT(VALUE(K152&amp;""))&gt;=1900),DATE(INT(VALUE(K152&amp;"")),ROUND((VALUE(K152&amp;"")-INT(VALUE(K152&amp;"")))*100,0),1),K152&amp;""),K152&amp;""))</f>
        <v/>
      </c>
      <c r="T152" s="10">
        <f>COUNTIF(M152:R152,"⚠*")</f>
        <v/>
      </c>
    </row>
    <row r="153"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M153" s="10">
        <f>IFERROR(IF(TRIM(E153&amp;"")="","",IF(AND(ISNUMBER(FIND(" ",TRIM(E153&amp;""))),ISNUMBER(MATCH(LEFT(TRIM(E153&amp;""),FIND(" ",TRIM(E153&amp;""))-1),설정_코드표!$J$2:$J$101,0)),ISNUMBER(MATCH(TRIM(RIGHT(SUBSTITUTE(TRIM(E153&amp;"")," ",REPT(" ",60)),60)),설정_코드표!$F$2:$F$101,0))),INDEX(설정_코드표!$K$2:$K$101,MATCH(LEFT(TRIM(E153&amp;""),FIND(" ",TRIM(E153&amp;""))-1),설정_코드표!$J$2:$J$101,0))&amp;" "&amp;INDEX(설정_코드표!$G$2:$G$101,MATCH(TRIM(RIGHT(SUBSTITUTE(TRIM(E153&amp;"")," ",REPT(" ",60)),60)),설정_코드표!$F$2:$F$101,0)),"⚠"&amp;TRIM(E153&amp;""))),"⚠"&amp;TRIM(E153&amp;""))</f>
        <v/>
      </c>
      <c r="N153" s="10">
        <f>IFERROR(IF(TRIM(F153&amp;"")="","",IF(AND(ISNUMBER(FIND(" ",TRIM(F153&amp;""))),ISNUMBER(MATCH(LEFT(TRIM(F153&amp;""),FIND(" ",TRIM(F153&amp;""))-1),설정_코드표!$J$2:$J$101,0)),ISNUMBER(MATCH(TRIM(RIGHT(SUBSTITUTE(TRIM(F153&amp;"")," ",REPT(" ",60)),60)),설정_코드표!$F$2:$F$101,0))),INDEX(설정_코드표!$K$2:$K$101,MATCH(LEFT(TRIM(F153&amp;""),FIND(" ",TRIM(F153&amp;""))-1),설정_코드표!$J$2:$J$101,0))&amp;" "&amp;INDEX(설정_코드표!$G$2:$G$101,MATCH(TRIM(RIGHT(SUBSTITUTE(TRIM(F153&amp;"")," ",REPT(" ",60)),60)),설정_코드표!$F$2:$F$101,0)),"⚠"&amp;TRIM(F153&amp;""))),"⚠"&amp;TRIM(F153&amp;""))</f>
        <v/>
      </c>
      <c r="O153" s="10">
        <f>IFERROR(IF(TRIM(G153&amp;"")="","",IF(AND(ISNUMBER(FIND(" ",TRIM(G153&amp;""))),ISNUMBER(MATCH(LEFT(TRIM(G153&amp;""),FIND(" ",TRIM(G153&amp;""))-1),설정_코드표!$J$2:$J$101,0)),ISNUMBER(MATCH(TRIM(RIGHT(SUBSTITUTE(TRIM(G153&amp;"")," ",REPT(" ",60)),60)),설정_코드표!$F$2:$F$101,0))),INDEX(설정_코드표!$K$2:$K$101,MATCH(LEFT(TRIM(G153&amp;""),FIND(" ",TRIM(G153&amp;""))-1),설정_코드표!$J$2:$J$101,0))&amp;" "&amp;INDEX(설정_코드표!$G$2:$G$101,MATCH(TRIM(RIGHT(SUBSTITUTE(TRIM(G153&amp;"")," ",REPT(" ",60)),60)),설정_코드표!$F$2:$F$101,0)),"⚠"&amp;TRIM(G153&amp;""))),"⚠"&amp;TRIM(G153&amp;""))</f>
        <v/>
      </c>
      <c r="P153" s="10">
        <f>IFERROR(IF(TRIM(H153&amp;"")="","",IF(AND(ISNUMBER(FIND(" ",TRIM(H153&amp;""))),ISNUMBER(MATCH(LEFT(TRIM(H153&amp;""),FIND(" ",TRIM(H153&amp;""))-1),설정_코드표!$J$2:$J$101,0)),ISNUMBER(MATCH(TRIM(RIGHT(SUBSTITUTE(TRIM(H153&amp;"")," ",REPT(" ",60)),60)),설정_코드표!$F$2:$F$101,0))),INDEX(설정_코드표!$K$2:$K$101,MATCH(LEFT(TRIM(H153&amp;""),FIND(" ",TRIM(H153&amp;""))-1),설정_코드표!$J$2:$J$101,0))&amp;" "&amp;INDEX(설정_코드표!$G$2:$G$101,MATCH(TRIM(RIGHT(SUBSTITUTE(TRIM(H153&amp;"")," ",REPT(" ",60)),60)),설정_코드표!$F$2:$F$101,0)),"⚠"&amp;TRIM(H153&amp;""))),"⚠"&amp;TRIM(H153&amp;""))</f>
        <v/>
      </c>
      <c r="Q153" s="10">
        <f>IFERROR(IF(TRIM(I153&amp;"")="","",IF(AND(ISNUMBER(FIND(" ",TRIM(I153&amp;""))),ISNUMBER(MATCH(LEFT(TRIM(I153&amp;""),FIND(" ",TRIM(I153&amp;""))-1),설정_코드표!$J$2:$J$101,0)),ISNUMBER(MATCH(TRIM(RIGHT(SUBSTITUTE(TRIM(I153&amp;"")," ",REPT(" ",60)),60)),설정_코드표!$F$2:$F$101,0))),INDEX(설정_코드표!$K$2:$K$101,MATCH(LEFT(TRIM(I153&amp;""),FIND(" ",TRIM(I153&amp;""))-1),설정_코드표!$J$2:$J$101,0))&amp;" "&amp;INDEX(설정_코드표!$G$2:$G$101,MATCH(TRIM(RIGHT(SUBSTITUTE(TRIM(I153&amp;"")," ",REPT(" ",60)),60)),설정_코드표!$F$2:$F$101,0)),"⚠"&amp;TRIM(I153&amp;""))),"⚠"&amp;TRIM(I153&amp;""))</f>
        <v/>
      </c>
      <c r="R153" s="10">
        <f>IFERROR(IF(TRIM(J153&amp;"")="","",IF(AND(ISNUMBER(FIND(" ",TRIM(J153&amp;""))),ISNUMBER(MATCH(LEFT(TRIM(J153&amp;""),FIND(" ",TRIM(J153&amp;""))-1),설정_코드표!$J$2:$J$101,0)),ISNUMBER(MATCH(TRIM(RIGHT(SUBSTITUTE(TRIM(J153&amp;"")," ",REPT(" ",60)),60)),설정_코드표!$F$2:$F$101,0))),INDEX(설정_코드표!$K$2:$K$101,MATCH(LEFT(TRIM(J153&amp;""),FIND(" ",TRIM(J153&amp;""))-1),설정_코드표!$J$2:$J$101,0))&amp;" "&amp;INDEX(설정_코드표!$G$2:$G$101,MATCH(TRIM(RIGHT(SUBSTITUTE(TRIM(J153&amp;"")," ",REPT(" ",60)),60)),설정_코드표!$F$2:$F$101,0)),"⚠"&amp;TRIM(J153&amp;""))),"⚠"&amp;TRIM(J153&amp;""))</f>
        <v/>
      </c>
      <c r="S153" s="11">
        <f>IF(K153="","",IFERROR(IF(AND(ROUND((VALUE(K153&amp;"")-INT(VALUE(K153&amp;"")))*100,0)&gt;=1,ROUND((VALUE(K153&amp;"")-INT(VALUE(K153&amp;"")))*100,0)&lt;=12,INT(VALUE(K153&amp;""))&gt;=1900),DATE(INT(VALUE(K153&amp;"")),ROUND((VALUE(K153&amp;"")-INT(VALUE(K153&amp;"")))*100,0),1),K153&amp;""),K153&amp;""))</f>
        <v/>
      </c>
      <c r="T153" s="10">
        <f>COUNTIF(M153:R153,"⚠*")</f>
        <v/>
      </c>
    </row>
    <row r="154"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M154" s="10">
        <f>IFERROR(IF(TRIM(E154&amp;"")="","",IF(AND(ISNUMBER(FIND(" ",TRIM(E154&amp;""))),ISNUMBER(MATCH(LEFT(TRIM(E154&amp;""),FIND(" ",TRIM(E154&amp;""))-1),설정_코드표!$J$2:$J$101,0)),ISNUMBER(MATCH(TRIM(RIGHT(SUBSTITUTE(TRIM(E154&amp;"")," ",REPT(" ",60)),60)),설정_코드표!$F$2:$F$101,0))),INDEX(설정_코드표!$K$2:$K$101,MATCH(LEFT(TRIM(E154&amp;""),FIND(" ",TRIM(E154&amp;""))-1),설정_코드표!$J$2:$J$101,0))&amp;" "&amp;INDEX(설정_코드표!$G$2:$G$101,MATCH(TRIM(RIGHT(SUBSTITUTE(TRIM(E154&amp;"")," ",REPT(" ",60)),60)),설정_코드표!$F$2:$F$101,0)),"⚠"&amp;TRIM(E154&amp;""))),"⚠"&amp;TRIM(E154&amp;""))</f>
        <v/>
      </c>
      <c r="N154" s="10">
        <f>IFERROR(IF(TRIM(F154&amp;"")="","",IF(AND(ISNUMBER(FIND(" ",TRIM(F154&amp;""))),ISNUMBER(MATCH(LEFT(TRIM(F154&amp;""),FIND(" ",TRIM(F154&amp;""))-1),설정_코드표!$J$2:$J$101,0)),ISNUMBER(MATCH(TRIM(RIGHT(SUBSTITUTE(TRIM(F154&amp;"")," ",REPT(" ",60)),60)),설정_코드표!$F$2:$F$101,0))),INDEX(설정_코드표!$K$2:$K$101,MATCH(LEFT(TRIM(F154&amp;""),FIND(" ",TRIM(F154&amp;""))-1),설정_코드표!$J$2:$J$101,0))&amp;" "&amp;INDEX(설정_코드표!$G$2:$G$101,MATCH(TRIM(RIGHT(SUBSTITUTE(TRIM(F154&amp;"")," ",REPT(" ",60)),60)),설정_코드표!$F$2:$F$101,0)),"⚠"&amp;TRIM(F154&amp;""))),"⚠"&amp;TRIM(F154&amp;""))</f>
        <v/>
      </c>
      <c r="O154" s="10">
        <f>IFERROR(IF(TRIM(G154&amp;"")="","",IF(AND(ISNUMBER(FIND(" ",TRIM(G154&amp;""))),ISNUMBER(MATCH(LEFT(TRIM(G154&amp;""),FIND(" ",TRIM(G154&amp;""))-1),설정_코드표!$J$2:$J$101,0)),ISNUMBER(MATCH(TRIM(RIGHT(SUBSTITUTE(TRIM(G154&amp;"")," ",REPT(" ",60)),60)),설정_코드표!$F$2:$F$101,0))),INDEX(설정_코드표!$K$2:$K$101,MATCH(LEFT(TRIM(G154&amp;""),FIND(" ",TRIM(G154&amp;""))-1),설정_코드표!$J$2:$J$101,0))&amp;" "&amp;INDEX(설정_코드표!$G$2:$G$101,MATCH(TRIM(RIGHT(SUBSTITUTE(TRIM(G154&amp;"")," ",REPT(" ",60)),60)),설정_코드표!$F$2:$F$101,0)),"⚠"&amp;TRIM(G154&amp;""))),"⚠"&amp;TRIM(G154&amp;""))</f>
        <v/>
      </c>
      <c r="P154" s="10">
        <f>IFERROR(IF(TRIM(H154&amp;"")="","",IF(AND(ISNUMBER(FIND(" ",TRIM(H154&amp;""))),ISNUMBER(MATCH(LEFT(TRIM(H154&amp;""),FIND(" ",TRIM(H154&amp;""))-1),설정_코드표!$J$2:$J$101,0)),ISNUMBER(MATCH(TRIM(RIGHT(SUBSTITUTE(TRIM(H154&amp;"")," ",REPT(" ",60)),60)),설정_코드표!$F$2:$F$101,0))),INDEX(설정_코드표!$K$2:$K$101,MATCH(LEFT(TRIM(H154&amp;""),FIND(" ",TRIM(H154&amp;""))-1),설정_코드표!$J$2:$J$101,0))&amp;" "&amp;INDEX(설정_코드표!$G$2:$G$101,MATCH(TRIM(RIGHT(SUBSTITUTE(TRIM(H154&amp;"")," ",REPT(" ",60)),60)),설정_코드표!$F$2:$F$101,0)),"⚠"&amp;TRIM(H154&amp;""))),"⚠"&amp;TRIM(H154&amp;""))</f>
        <v/>
      </c>
      <c r="Q154" s="10">
        <f>IFERROR(IF(TRIM(I154&amp;"")="","",IF(AND(ISNUMBER(FIND(" ",TRIM(I154&amp;""))),ISNUMBER(MATCH(LEFT(TRIM(I154&amp;""),FIND(" ",TRIM(I154&amp;""))-1),설정_코드표!$J$2:$J$101,0)),ISNUMBER(MATCH(TRIM(RIGHT(SUBSTITUTE(TRIM(I154&amp;"")," ",REPT(" ",60)),60)),설정_코드표!$F$2:$F$101,0))),INDEX(설정_코드표!$K$2:$K$101,MATCH(LEFT(TRIM(I154&amp;""),FIND(" ",TRIM(I154&amp;""))-1),설정_코드표!$J$2:$J$101,0))&amp;" "&amp;INDEX(설정_코드표!$G$2:$G$101,MATCH(TRIM(RIGHT(SUBSTITUTE(TRIM(I154&amp;"")," ",REPT(" ",60)),60)),설정_코드표!$F$2:$F$101,0)),"⚠"&amp;TRIM(I154&amp;""))),"⚠"&amp;TRIM(I154&amp;""))</f>
        <v/>
      </c>
      <c r="R154" s="10">
        <f>IFERROR(IF(TRIM(J154&amp;"")="","",IF(AND(ISNUMBER(FIND(" ",TRIM(J154&amp;""))),ISNUMBER(MATCH(LEFT(TRIM(J154&amp;""),FIND(" ",TRIM(J154&amp;""))-1),설정_코드표!$J$2:$J$101,0)),ISNUMBER(MATCH(TRIM(RIGHT(SUBSTITUTE(TRIM(J154&amp;"")," ",REPT(" ",60)),60)),설정_코드표!$F$2:$F$101,0))),INDEX(설정_코드표!$K$2:$K$101,MATCH(LEFT(TRIM(J154&amp;""),FIND(" ",TRIM(J154&amp;""))-1),설정_코드표!$J$2:$J$101,0))&amp;" "&amp;INDEX(설정_코드표!$G$2:$G$101,MATCH(TRIM(RIGHT(SUBSTITUTE(TRIM(J154&amp;"")," ",REPT(" ",60)),60)),설정_코드표!$F$2:$F$101,0)),"⚠"&amp;TRIM(J154&amp;""))),"⚠"&amp;TRIM(J154&amp;""))</f>
        <v/>
      </c>
      <c r="S154" s="11">
        <f>IF(K154="","",IFERROR(IF(AND(ROUND((VALUE(K154&amp;"")-INT(VALUE(K154&amp;"")))*100,0)&gt;=1,ROUND((VALUE(K154&amp;"")-INT(VALUE(K154&amp;"")))*100,0)&lt;=12,INT(VALUE(K154&amp;""))&gt;=1900),DATE(INT(VALUE(K154&amp;"")),ROUND((VALUE(K154&amp;"")-INT(VALUE(K154&amp;"")))*100,0),1),K154&amp;""),K154&amp;""))</f>
        <v/>
      </c>
      <c r="T154" s="10">
        <f>COUNTIF(M154:R154,"⚠*")</f>
        <v/>
      </c>
    </row>
    <row r="155"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M155" s="10">
        <f>IFERROR(IF(TRIM(E155&amp;"")="","",IF(AND(ISNUMBER(FIND(" ",TRIM(E155&amp;""))),ISNUMBER(MATCH(LEFT(TRIM(E155&amp;""),FIND(" ",TRIM(E155&amp;""))-1),설정_코드표!$J$2:$J$101,0)),ISNUMBER(MATCH(TRIM(RIGHT(SUBSTITUTE(TRIM(E155&amp;"")," ",REPT(" ",60)),60)),설정_코드표!$F$2:$F$101,0))),INDEX(설정_코드표!$K$2:$K$101,MATCH(LEFT(TRIM(E155&amp;""),FIND(" ",TRIM(E155&amp;""))-1),설정_코드표!$J$2:$J$101,0))&amp;" "&amp;INDEX(설정_코드표!$G$2:$G$101,MATCH(TRIM(RIGHT(SUBSTITUTE(TRIM(E155&amp;"")," ",REPT(" ",60)),60)),설정_코드표!$F$2:$F$101,0)),"⚠"&amp;TRIM(E155&amp;""))),"⚠"&amp;TRIM(E155&amp;""))</f>
        <v/>
      </c>
      <c r="N155" s="10">
        <f>IFERROR(IF(TRIM(F155&amp;"")="","",IF(AND(ISNUMBER(FIND(" ",TRIM(F155&amp;""))),ISNUMBER(MATCH(LEFT(TRIM(F155&amp;""),FIND(" ",TRIM(F155&amp;""))-1),설정_코드표!$J$2:$J$101,0)),ISNUMBER(MATCH(TRIM(RIGHT(SUBSTITUTE(TRIM(F155&amp;"")," ",REPT(" ",60)),60)),설정_코드표!$F$2:$F$101,0))),INDEX(설정_코드표!$K$2:$K$101,MATCH(LEFT(TRIM(F155&amp;""),FIND(" ",TRIM(F155&amp;""))-1),설정_코드표!$J$2:$J$101,0))&amp;" "&amp;INDEX(설정_코드표!$G$2:$G$101,MATCH(TRIM(RIGHT(SUBSTITUTE(TRIM(F155&amp;"")," ",REPT(" ",60)),60)),설정_코드표!$F$2:$F$101,0)),"⚠"&amp;TRIM(F155&amp;""))),"⚠"&amp;TRIM(F155&amp;""))</f>
        <v/>
      </c>
      <c r="O155" s="10">
        <f>IFERROR(IF(TRIM(G155&amp;"")="","",IF(AND(ISNUMBER(FIND(" ",TRIM(G155&amp;""))),ISNUMBER(MATCH(LEFT(TRIM(G155&amp;""),FIND(" ",TRIM(G155&amp;""))-1),설정_코드표!$J$2:$J$101,0)),ISNUMBER(MATCH(TRIM(RIGHT(SUBSTITUTE(TRIM(G155&amp;"")," ",REPT(" ",60)),60)),설정_코드표!$F$2:$F$101,0))),INDEX(설정_코드표!$K$2:$K$101,MATCH(LEFT(TRIM(G155&amp;""),FIND(" ",TRIM(G155&amp;""))-1),설정_코드표!$J$2:$J$101,0))&amp;" "&amp;INDEX(설정_코드표!$G$2:$G$101,MATCH(TRIM(RIGHT(SUBSTITUTE(TRIM(G155&amp;"")," ",REPT(" ",60)),60)),설정_코드표!$F$2:$F$101,0)),"⚠"&amp;TRIM(G155&amp;""))),"⚠"&amp;TRIM(G155&amp;""))</f>
        <v/>
      </c>
      <c r="P155" s="10">
        <f>IFERROR(IF(TRIM(H155&amp;"")="","",IF(AND(ISNUMBER(FIND(" ",TRIM(H155&amp;""))),ISNUMBER(MATCH(LEFT(TRIM(H155&amp;""),FIND(" ",TRIM(H155&amp;""))-1),설정_코드표!$J$2:$J$101,0)),ISNUMBER(MATCH(TRIM(RIGHT(SUBSTITUTE(TRIM(H155&amp;"")," ",REPT(" ",60)),60)),설정_코드표!$F$2:$F$101,0))),INDEX(설정_코드표!$K$2:$K$101,MATCH(LEFT(TRIM(H155&amp;""),FIND(" ",TRIM(H155&amp;""))-1),설정_코드표!$J$2:$J$101,0))&amp;" "&amp;INDEX(설정_코드표!$G$2:$G$101,MATCH(TRIM(RIGHT(SUBSTITUTE(TRIM(H155&amp;"")," ",REPT(" ",60)),60)),설정_코드표!$F$2:$F$101,0)),"⚠"&amp;TRIM(H155&amp;""))),"⚠"&amp;TRIM(H155&amp;""))</f>
        <v/>
      </c>
      <c r="Q155" s="10">
        <f>IFERROR(IF(TRIM(I155&amp;"")="","",IF(AND(ISNUMBER(FIND(" ",TRIM(I155&amp;""))),ISNUMBER(MATCH(LEFT(TRIM(I155&amp;""),FIND(" ",TRIM(I155&amp;""))-1),설정_코드표!$J$2:$J$101,0)),ISNUMBER(MATCH(TRIM(RIGHT(SUBSTITUTE(TRIM(I155&amp;"")," ",REPT(" ",60)),60)),설정_코드표!$F$2:$F$101,0))),INDEX(설정_코드표!$K$2:$K$101,MATCH(LEFT(TRIM(I155&amp;""),FIND(" ",TRIM(I155&amp;""))-1),설정_코드표!$J$2:$J$101,0))&amp;" "&amp;INDEX(설정_코드표!$G$2:$G$101,MATCH(TRIM(RIGHT(SUBSTITUTE(TRIM(I155&amp;"")," ",REPT(" ",60)),60)),설정_코드표!$F$2:$F$101,0)),"⚠"&amp;TRIM(I155&amp;""))),"⚠"&amp;TRIM(I155&amp;""))</f>
        <v/>
      </c>
      <c r="R155" s="10">
        <f>IFERROR(IF(TRIM(J155&amp;"")="","",IF(AND(ISNUMBER(FIND(" ",TRIM(J155&amp;""))),ISNUMBER(MATCH(LEFT(TRIM(J155&amp;""),FIND(" ",TRIM(J155&amp;""))-1),설정_코드표!$J$2:$J$101,0)),ISNUMBER(MATCH(TRIM(RIGHT(SUBSTITUTE(TRIM(J155&amp;"")," ",REPT(" ",60)),60)),설정_코드표!$F$2:$F$101,0))),INDEX(설정_코드표!$K$2:$K$101,MATCH(LEFT(TRIM(J155&amp;""),FIND(" ",TRIM(J155&amp;""))-1),설정_코드표!$J$2:$J$101,0))&amp;" "&amp;INDEX(설정_코드표!$G$2:$G$101,MATCH(TRIM(RIGHT(SUBSTITUTE(TRIM(J155&amp;"")," ",REPT(" ",60)),60)),설정_코드표!$F$2:$F$101,0)),"⚠"&amp;TRIM(J155&amp;""))),"⚠"&amp;TRIM(J155&amp;""))</f>
        <v/>
      </c>
      <c r="S155" s="11">
        <f>IF(K155="","",IFERROR(IF(AND(ROUND((VALUE(K155&amp;"")-INT(VALUE(K155&amp;"")))*100,0)&gt;=1,ROUND((VALUE(K155&amp;"")-INT(VALUE(K155&amp;"")))*100,0)&lt;=12,INT(VALUE(K155&amp;""))&gt;=1900),DATE(INT(VALUE(K155&amp;"")),ROUND((VALUE(K155&amp;"")-INT(VALUE(K155&amp;"")))*100,0),1),K155&amp;""),K155&amp;""))</f>
        <v/>
      </c>
      <c r="T155" s="10">
        <f>COUNTIF(M155:R155,"⚠*")</f>
        <v/>
      </c>
    </row>
    <row r="156"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M156" s="10">
        <f>IFERROR(IF(TRIM(E156&amp;"")="","",IF(AND(ISNUMBER(FIND(" ",TRIM(E156&amp;""))),ISNUMBER(MATCH(LEFT(TRIM(E156&amp;""),FIND(" ",TRIM(E156&amp;""))-1),설정_코드표!$J$2:$J$101,0)),ISNUMBER(MATCH(TRIM(RIGHT(SUBSTITUTE(TRIM(E156&amp;"")," ",REPT(" ",60)),60)),설정_코드표!$F$2:$F$101,0))),INDEX(설정_코드표!$K$2:$K$101,MATCH(LEFT(TRIM(E156&amp;""),FIND(" ",TRIM(E156&amp;""))-1),설정_코드표!$J$2:$J$101,0))&amp;" "&amp;INDEX(설정_코드표!$G$2:$G$101,MATCH(TRIM(RIGHT(SUBSTITUTE(TRIM(E156&amp;"")," ",REPT(" ",60)),60)),설정_코드표!$F$2:$F$101,0)),"⚠"&amp;TRIM(E156&amp;""))),"⚠"&amp;TRIM(E156&amp;""))</f>
        <v/>
      </c>
      <c r="N156" s="10">
        <f>IFERROR(IF(TRIM(F156&amp;"")="","",IF(AND(ISNUMBER(FIND(" ",TRIM(F156&amp;""))),ISNUMBER(MATCH(LEFT(TRIM(F156&amp;""),FIND(" ",TRIM(F156&amp;""))-1),설정_코드표!$J$2:$J$101,0)),ISNUMBER(MATCH(TRIM(RIGHT(SUBSTITUTE(TRIM(F156&amp;"")," ",REPT(" ",60)),60)),설정_코드표!$F$2:$F$101,0))),INDEX(설정_코드표!$K$2:$K$101,MATCH(LEFT(TRIM(F156&amp;""),FIND(" ",TRIM(F156&amp;""))-1),설정_코드표!$J$2:$J$101,0))&amp;" "&amp;INDEX(설정_코드표!$G$2:$G$101,MATCH(TRIM(RIGHT(SUBSTITUTE(TRIM(F156&amp;"")," ",REPT(" ",60)),60)),설정_코드표!$F$2:$F$101,0)),"⚠"&amp;TRIM(F156&amp;""))),"⚠"&amp;TRIM(F156&amp;""))</f>
        <v/>
      </c>
      <c r="O156" s="10">
        <f>IFERROR(IF(TRIM(G156&amp;"")="","",IF(AND(ISNUMBER(FIND(" ",TRIM(G156&amp;""))),ISNUMBER(MATCH(LEFT(TRIM(G156&amp;""),FIND(" ",TRIM(G156&amp;""))-1),설정_코드표!$J$2:$J$101,0)),ISNUMBER(MATCH(TRIM(RIGHT(SUBSTITUTE(TRIM(G156&amp;"")," ",REPT(" ",60)),60)),설정_코드표!$F$2:$F$101,0))),INDEX(설정_코드표!$K$2:$K$101,MATCH(LEFT(TRIM(G156&amp;""),FIND(" ",TRIM(G156&amp;""))-1),설정_코드표!$J$2:$J$101,0))&amp;" "&amp;INDEX(설정_코드표!$G$2:$G$101,MATCH(TRIM(RIGHT(SUBSTITUTE(TRIM(G156&amp;"")," ",REPT(" ",60)),60)),설정_코드표!$F$2:$F$101,0)),"⚠"&amp;TRIM(G156&amp;""))),"⚠"&amp;TRIM(G156&amp;""))</f>
        <v/>
      </c>
      <c r="P156" s="10">
        <f>IFERROR(IF(TRIM(H156&amp;"")="","",IF(AND(ISNUMBER(FIND(" ",TRIM(H156&amp;""))),ISNUMBER(MATCH(LEFT(TRIM(H156&amp;""),FIND(" ",TRIM(H156&amp;""))-1),설정_코드표!$J$2:$J$101,0)),ISNUMBER(MATCH(TRIM(RIGHT(SUBSTITUTE(TRIM(H156&amp;"")," ",REPT(" ",60)),60)),설정_코드표!$F$2:$F$101,0))),INDEX(설정_코드표!$K$2:$K$101,MATCH(LEFT(TRIM(H156&amp;""),FIND(" ",TRIM(H156&amp;""))-1),설정_코드표!$J$2:$J$101,0))&amp;" "&amp;INDEX(설정_코드표!$G$2:$G$101,MATCH(TRIM(RIGHT(SUBSTITUTE(TRIM(H156&amp;"")," ",REPT(" ",60)),60)),설정_코드표!$F$2:$F$101,0)),"⚠"&amp;TRIM(H156&amp;""))),"⚠"&amp;TRIM(H156&amp;""))</f>
        <v/>
      </c>
      <c r="Q156" s="10">
        <f>IFERROR(IF(TRIM(I156&amp;"")="","",IF(AND(ISNUMBER(FIND(" ",TRIM(I156&amp;""))),ISNUMBER(MATCH(LEFT(TRIM(I156&amp;""),FIND(" ",TRIM(I156&amp;""))-1),설정_코드표!$J$2:$J$101,0)),ISNUMBER(MATCH(TRIM(RIGHT(SUBSTITUTE(TRIM(I156&amp;"")," ",REPT(" ",60)),60)),설정_코드표!$F$2:$F$101,0))),INDEX(설정_코드표!$K$2:$K$101,MATCH(LEFT(TRIM(I156&amp;""),FIND(" ",TRIM(I156&amp;""))-1),설정_코드표!$J$2:$J$101,0))&amp;" "&amp;INDEX(설정_코드표!$G$2:$G$101,MATCH(TRIM(RIGHT(SUBSTITUTE(TRIM(I156&amp;"")," ",REPT(" ",60)),60)),설정_코드표!$F$2:$F$101,0)),"⚠"&amp;TRIM(I156&amp;""))),"⚠"&amp;TRIM(I156&amp;""))</f>
        <v/>
      </c>
      <c r="R156" s="10">
        <f>IFERROR(IF(TRIM(J156&amp;"")="","",IF(AND(ISNUMBER(FIND(" ",TRIM(J156&amp;""))),ISNUMBER(MATCH(LEFT(TRIM(J156&amp;""),FIND(" ",TRIM(J156&amp;""))-1),설정_코드표!$J$2:$J$101,0)),ISNUMBER(MATCH(TRIM(RIGHT(SUBSTITUTE(TRIM(J156&amp;"")," ",REPT(" ",60)),60)),설정_코드표!$F$2:$F$101,0))),INDEX(설정_코드표!$K$2:$K$101,MATCH(LEFT(TRIM(J156&amp;""),FIND(" ",TRIM(J156&amp;""))-1),설정_코드표!$J$2:$J$101,0))&amp;" "&amp;INDEX(설정_코드표!$G$2:$G$101,MATCH(TRIM(RIGHT(SUBSTITUTE(TRIM(J156&amp;"")," ",REPT(" ",60)),60)),설정_코드표!$F$2:$F$101,0)),"⚠"&amp;TRIM(J156&amp;""))),"⚠"&amp;TRIM(J156&amp;""))</f>
        <v/>
      </c>
      <c r="S156" s="11">
        <f>IF(K156="","",IFERROR(IF(AND(ROUND((VALUE(K156&amp;"")-INT(VALUE(K156&amp;"")))*100,0)&gt;=1,ROUND((VALUE(K156&amp;"")-INT(VALUE(K156&amp;"")))*100,0)&lt;=12,INT(VALUE(K156&amp;""))&gt;=1900),DATE(INT(VALUE(K156&amp;"")),ROUND((VALUE(K156&amp;"")-INT(VALUE(K156&amp;"")))*100,0),1),K156&amp;""),K156&amp;""))</f>
        <v/>
      </c>
      <c r="T156" s="10">
        <f>COUNTIF(M156:R156,"⚠*")</f>
        <v/>
      </c>
    </row>
    <row r="157"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M157" s="10">
        <f>IFERROR(IF(TRIM(E157&amp;"")="","",IF(AND(ISNUMBER(FIND(" ",TRIM(E157&amp;""))),ISNUMBER(MATCH(LEFT(TRIM(E157&amp;""),FIND(" ",TRIM(E157&amp;""))-1),설정_코드표!$J$2:$J$101,0)),ISNUMBER(MATCH(TRIM(RIGHT(SUBSTITUTE(TRIM(E157&amp;"")," ",REPT(" ",60)),60)),설정_코드표!$F$2:$F$101,0))),INDEX(설정_코드표!$K$2:$K$101,MATCH(LEFT(TRIM(E157&amp;""),FIND(" ",TRIM(E157&amp;""))-1),설정_코드표!$J$2:$J$101,0))&amp;" "&amp;INDEX(설정_코드표!$G$2:$G$101,MATCH(TRIM(RIGHT(SUBSTITUTE(TRIM(E157&amp;"")," ",REPT(" ",60)),60)),설정_코드표!$F$2:$F$101,0)),"⚠"&amp;TRIM(E157&amp;""))),"⚠"&amp;TRIM(E157&amp;""))</f>
        <v/>
      </c>
      <c r="N157" s="10">
        <f>IFERROR(IF(TRIM(F157&amp;"")="","",IF(AND(ISNUMBER(FIND(" ",TRIM(F157&amp;""))),ISNUMBER(MATCH(LEFT(TRIM(F157&amp;""),FIND(" ",TRIM(F157&amp;""))-1),설정_코드표!$J$2:$J$101,0)),ISNUMBER(MATCH(TRIM(RIGHT(SUBSTITUTE(TRIM(F157&amp;"")," ",REPT(" ",60)),60)),설정_코드표!$F$2:$F$101,0))),INDEX(설정_코드표!$K$2:$K$101,MATCH(LEFT(TRIM(F157&amp;""),FIND(" ",TRIM(F157&amp;""))-1),설정_코드표!$J$2:$J$101,0))&amp;" "&amp;INDEX(설정_코드표!$G$2:$G$101,MATCH(TRIM(RIGHT(SUBSTITUTE(TRIM(F157&amp;"")," ",REPT(" ",60)),60)),설정_코드표!$F$2:$F$101,0)),"⚠"&amp;TRIM(F157&amp;""))),"⚠"&amp;TRIM(F157&amp;""))</f>
        <v/>
      </c>
      <c r="O157" s="10">
        <f>IFERROR(IF(TRIM(G157&amp;"")="","",IF(AND(ISNUMBER(FIND(" ",TRIM(G157&amp;""))),ISNUMBER(MATCH(LEFT(TRIM(G157&amp;""),FIND(" ",TRIM(G157&amp;""))-1),설정_코드표!$J$2:$J$101,0)),ISNUMBER(MATCH(TRIM(RIGHT(SUBSTITUTE(TRIM(G157&amp;"")," ",REPT(" ",60)),60)),설정_코드표!$F$2:$F$101,0))),INDEX(설정_코드표!$K$2:$K$101,MATCH(LEFT(TRIM(G157&amp;""),FIND(" ",TRIM(G157&amp;""))-1),설정_코드표!$J$2:$J$101,0))&amp;" "&amp;INDEX(설정_코드표!$G$2:$G$101,MATCH(TRIM(RIGHT(SUBSTITUTE(TRIM(G157&amp;"")," ",REPT(" ",60)),60)),설정_코드표!$F$2:$F$101,0)),"⚠"&amp;TRIM(G157&amp;""))),"⚠"&amp;TRIM(G157&amp;""))</f>
        <v/>
      </c>
      <c r="P157" s="10">
        <f>IFERROR(IF(TRIM(H157&amp;"")="","",IF(AND(ISNUMBER(FIND(" ",TRIM(H157&amp;""))),ISNUMBER(MATCH(LEFT(TRIM(H157&amp;""),FIND(" ",TRIM(H157&amp;""))-1),설정_코드표!$J$2:$J$101,0)),ISNUMBER(MATCH(TRIM(RIGHT(SUBSTITUTE(TRIM(H157&amp;"")," ",REPT(" ",60)),60)),설정_코드표!$F$2:$F$101,0))),INDEX(설정_코드표!$K$2:$K$101,MATCH(LEFT(TRIM(H157&amp;""),FIND(" ",TRIM(H157&amp;""))-1),설정_코드표!$J$2:$J$101,0))&amp;" "&amp;INDEX(설정_코드표!$G$2:$G$101,MATCH(TRIM(RIGHT(SUBSTITUTE(TRIM(H157&amp;"")," ",REPT(" ",60)),60)),설정_코드표!$F$2:$F$101,0)),"⚠"&amp;TRIM(H157&amp;""))),"⚠"&amp;TRIM(H157&amp;""))</f>
        <v/>
      </c>
      <c r="Q157" s="10">
        <f>IFERROR(IF(TRIM(I157&amp;"")="","",IF(AND(ISNUMBER(FIND(" ",TRIM(I157&amp;""))),ISNUMBER(MATCH(LEFT(TRIM(I157&amp;""),FIND(" ",TRIM(I157&amp;""))-1),설정_코드표!$J$2:$J$101,0)),ISNUMBER(MATCH(TRIM(RIGHT(SUBSTITUTE(TRIM(I157&amp;"")," ",REPT(" ",60)),60)),설정_코드표!$F$2:$F$101,0))),INDEX(설정_코드표!$K$2:$K$101,MATCH(LEFT(TRIM(I157&amp;""),FIND(" ",TRIM(I157&amp;""))-1),설정_코드표!$J$2:$J$101,0))&amp;" "&amp;INDEX(설정_코드표!$G$2:$G$101,MATCH(TRIM(RIGHT(SUBSTITUTE(TRIM(I157&amp;"")," ",REPT(" ",60)),60)),설정_코드표!$F$2:$F$101,0)),"⚠"&amp;TRIM(I157&amp;""))),"⚠"&amp;TRIM(I157&amp;""))</f>
        <v/>
      </c>
      <c r="R157" s="10">
        <f>IFERROR(IF(TRIM(J157&amp;"")="","",IF(AND(ISNUMBER(FIND(" ",TRIM(J157&amp;""))),ISNUMBER(MATCH(LEFT(TRIM(J157&amp;""),FIND(" ",TRIM(J157&amp;""))-1),설정_코드표!$J$2:$J$101,0)),ISNUMBER(MATCH(TRIM(RIGHT(SUBSTITUTE(TRIM(J157&amp;"")," ",REPT(" ",60)),60)),설정_코드표!$F$2:$F$101,0))),INDEX(설정_코드표!$K$2:$K$101,MATCH(LEFT(TRIM(J157&amp;""),FIND(" ",TRIM(J157&amp;""))-1),설정_코드표!$J$2:$J$101,0))&amp;" "&amp;INDEX(설정_코드표!$G$2:$G$101,MATCH(TRIM(RIGHT(SUBSTITUTE(TRIM(J157&amp;"")," ",REPT(" ",60)),60)),설정_코드표!$F$2:$F$101,0)),"⚠"&amp;TRIM(J157&amp;""))),"⚠"&amp;TRIM(J157&amp;""))</f>
        <v/>
      </c>
      <c r="S157" s="11">
        <f>IF(K157="","",IFERROR(IF(AND(ROUND((VALUE(K157&amp;"")-INT(VALUE(K157&amp;"")))*100,0)&gt;=1,ROUND((VALUE(K157&amp;"")-INT(VALUE(K157&amp;"")))*100,0)&lt;=12,INT(VALUE(K157&amp;""))&gt;=1900),DATE(INT(VALUE(K157&amp;"")),ROUND((VALUE(K157&amp;"")-INT(VALUE(K157&amp;"")))*100,0),1),K157&amp;""),K157&amp;""))</f>
        <v/>
      </c>
      <c r="T157" s="10">
        <f>COUNTIF(M157:R157,"⚠*")</f>
        <v/>
      </c>
    </row>
    <row r="158"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M158" s="10">
        <f>IFERROR(IF(TRIM(E158&amp;"")="","",IF(AND(ISNUMBER(FIND(" ",TRIM(E158&amp;""))),ISNUMBER(MATCH(LEFT(TRIM(E158&amp;""),FIND(" ",TRIM(E158&amp;""))-1),설정_코드표!$J$2:$J$101,0)),ISNUMBER(MATCH(TRIM(RIGHT(SUBSTITUTE(TRIM(E158&amp;"")," ",REPT(" ",60)),60)),설정_코드표!$F$2:$F$101,0))),INDEX(설정_코드표!$K$2:$K$101,MATCH(LEFT(TRIM(E158&amp;""),FIND(" ",TRIM(E158&amp;""))-1),설정_코드표!$J$2:$J$101,0))&amp;" "&amp;INDEX(설정_코드표!$G$2:$G$101,MATCH(TRIM(RIGHT(SUBSTITUTE(TRIM(E158&amp;"")," ",REPT(" ",60)),60)),설정_코드표!$F$2:$F$101,0)),"⚠"&amp;TRIM(E158&amp;""))),"⚠"&amp;TRIM(E158&amp;""))</f>
        <v/>
      </c>
      <c r="N158" s="10">
        <f>IFERROR(IF(TRIM(F158&amp;"")="","",IF(AND(ISNUMBER(FIND(" ",TRIM(F158&amp;""))),ISNUMBER(MATCH(LEFT(TRIM(F158&amp;""),FIND(" ",TRIM(F158&amp;""))-1),설정_코드표!$J$2:$J$101,0)),ISNUMBER(MATCH(TRIM(RIGHT(SUBSTITUTE(TRIM(F158&amp;"")," ",REPT(" ",60)),60)),설정_코드표!$F$2:$F$101,0))),INDEX(설정_코드표!$K$2:$K$101,MATCH(LEFT(TRIM(F158&amp;""),FIND(" ",TRIM(F158&amp;""))-1),설정_코드표!$J$2:$J$101,0))&amp;" "&amp;INDEX(설정_코드표!$G$2:$G$101,MATCH(TRIM(RIGHT(SUBSTITUTE(TRIM(F158&amp;"")," ",REPT(" ",60)),60)),설정_코드표!$F$2:$F$101,0)),"⚠"&amp;TRIM(F158&amp;""))),"⚠"&amp;TRIM(F158&amp;""))</f>
        <v/>
      </c>
      <c r="O158" s="10">
        <f>IFERROR(IF(TRIM(G158&amp;"")="","",IF(AND(ISNUMBER(FIND(" ",TRIM(G158&amp;""))),ISNUMBER(MATCH(LEFT(TRIM(G158&amp;""),FIND(" ",TRIM(G158&amp;""))-1),설정_코드표!$J$2:$J$101,0)),ISNUMBER(MATCH(TRIM(RIGHT(SUBSTITUTE(TRIM(G158&amp;"")," ",REPT(" ",60)),60)),설정_코드표!$F$2:$F$101,0))),INDEX(설정_코드표!$K$2:$K$101,MATCH(LEFT(TRIM(G158&amp;""),FIND(" ",TRIM(G158&amp;""))-1),설정_코드표!$J$2:$J$101,0))&amp;" "&amp;INDEX(설정_코드표!$G$2:$G$101,MATCH(TRIM(RIGHT(SUBSTITUTE(TRIM(G158&amp;"")," ",REPT(" ",60)),60)),설정_코드표!$F$2:$F$101,0)),"⚠"&amp;TRIM(G158&amp;""))),"⚠"&amp;TRIM(G158&amp;""))</f>
        <v/>
      </c>
      <c r="P158" s="10">
        <f>IFERROR(IF(TRIM(H158&amp;"")="","",IF(AND(ISNUMBER(FIND(" ",TRIM(H158&amp;""))),ISNUMBER(MATCH(LEFT(TRIM(H158&amp;""),FIND(" ",TRIM(H158&amp;""))-1),설정_코드표!$J$2:$J$101,0)),ISNUMBER(MATCH(TRIM(RIGHT(SUBSTITUTE(TRIM(H158&amp;"")," ",REPT(" ",60)),60)),설정_코드표!$F$2:$F$101,0))),INDEX(설정_코드표!$K$2:$K$101,MATCH(LEFT(TRIM(H158&amp;""),FIND(" ",TRIM(H158&amp;""))-1),설정_코드표!$J$2:$J$101,0))&amp;" "&amp;INDEX(설정_코드표!$G$2:$G$101,MATCH(TRIM(RIGHT(SUBSTITUTE(TRIM(H158&amp;"")," ",REPT(" ",60)),60)),설정_코드표!$F$2:$F$101,0)),"⚠"&amp;TRIM(H158&amp;""))),"⚠"&amp;TRIM(H158&amp;""))</f>
        <v/>
      </c>
      <c r="Q158" s="10">
        <f>IFERROR(IF(TRIM(I158&amp;"")="","",IF(AND(ISNUMBER(FIND(" ",TRIM(I158&amp;""))),ISNUMBER(MATCH(LEFT(TRIM(I158&amp;""),FIND(" ",TRIM(I158&amp;""))-1),설정_코드표!$J$2:$J$101,0)),ISNUMBER(MATCH(TRIM(RIGHT(SUBSTITUTE(TRIM(I158&amp;"")," ",REPT(" ",60)),60)),설정_코드표!$F$2:$F$101,0))),INDEX(설정_코드표!$K$2:$K$101,MATCH(LEFT(TRIM(I158&amp;""),FIND(" ",TRIM(I158&amp;""))-1),설정_코드표!$J$2:$J$101,0))&amp;" "&amp;INDEX(설정_코드표!$G$2:$G$101,MATCH(TRIM(RIGHT(SUBSTITUTE(TRIM(I158&amp;"")," ",REPT(" ",60)),60)),설정_코드표!$F$2:$F$101,0)),"⚠"&amp;TRIM(I158&amp;""))),"⚠"&amp;TRIM(I158&amp;""))</f>
        <v/>
      </c>
      <c r="R158" s="10">
        <f>IFERROR(IF(TRIM(J158&amp;"")="","",IF(AND(ISNUMBER(FIND(" ",TRIM(J158&amp;""))),ISNUMBER(MATCH(LEFT(TRIM(J158&amp;""),FIND(" ",TRIM(J158&amp;""))-1),설정_코드표!$J$2:$J$101,0)),ISNUMBER(MATCH(TRIM(RIGHT(SUBSTITUTE(TRIM(J158&amp;"")," ",REPT(" ",60)),60)),설정_코드표!$F$2:$F$101,0))),INDEX(설정_코드표!$K$2:$K$101,MATCH(LEFT(TRIM(J158&amp;""),FIND(" ",TRIM(J158&amp;""))-1),설정_코드표!$J$2:$J$101,0))&amp;" "&amp;INDEX(설정_코드표!$G$2:$G$101,MATCH(TRIM(RIGHT(SUBSTITUTE(TRIM(J158&amp;"")," ",REPT(" ",60)),60)),설정_코드표!$F$2:$F$101,0)),"⚠"&amp;TRIM(J158&amp;""))),"⚠"&amp;TRIM(J158&amp;""))</f>
        <v/>
      </c>
      <c r="S158" s="11">
        <f>IF(K158="","",IFERROR(IF(AND(ROUND((VALUE(K158&amp;"")-INT(VALUE(K158&amp;"")))*100,0)&gt;=1,ROUND((VALUE(K158&amp;"")-INT(VALUE(K158&amp;"")))*100,0)&lt;=12,INT(VALUE(K158&amp;""))&gt;=1900),DATE(INT(VALUE(K158&amp;"")),ROUND((VALUE(K158&amp;"")-INT(VALUE(K158&amp;"")))*100,0),1),K158&amp;""),K158&amp;""))</f>
        <v/>
      </c>
      <c r="T158" s="10">
        <f>COUNTIF(M158:R158,"⚠*")</f>
        <v/>
      </c>
    </row>
    <row r="159"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M159" s="10">
        <f>IFERROR(IF(TRIM(E159&amp;"")="","",IF(AND(ISNUMBER(FIND(" ",TRIM(E159&amp;""))),ISNUMBER(MATCH(LEFT(TRIM(E159&amp;""),FIND(" ",TRIM(E159&amp;""))-1),설정_코드표!$J$2:$J$101,0)),ISNUMBER(MATCH(TRIM(RIGHT(SUBSTITUTE(TRIM(E159&amp;"")," ",REPT(" ",60)),60)),설정_코드표!$F$2:$F$101,0))),INDEX(설정_코드표!$K$2:$K$101,MATCH(LEFT(TRIM(E159&amp;""),FIND(" ",TRIM(E159&amp;""))-1),설정_코드표!$J$2:$J$101,0))&amp;" "&amp;INDEX(설정_코드표!$G$2:$G$101,MATCH(TRIM(RIGHT(SUBSTITUTE(TRIM(E159&amp;"")," ",REPT(" ",60)),60)),설정_코드표!$F$2:$F$101,0)),"⚠"&amp;TRIM(E159&amp;""))),"⚠"&amp;TRIM(E159&amp;""))</f>
        <v/>
      </c>
      <c r="N159" s="10">
        <f>IFERROR(IF(TRIM(F159&amp;"")="","",IF(AND(ISNUMBER(FIND(" ",TRIM(F159&amp;""))),ISNUMBER(MATCH(LEFT(TRIM(F159&amp;""),FIND(" ",TRIM(F159&amp;""))-1),설정_코드표!$J$2:$J$101,0)),ISNUMBER(MATCH(TRIM(RIGHT(SUBSTITUTE(TRIM(F159&amp;"")," ",REPT(" ",60)),60)),설정_코드표!$F$2:$F$101,0))),INDEX(설정_코드표!$K$2:$K$101,MATCH(LEFT(TRIM(F159&amp;""),FIND(" ",TRIM(F159&amp;""))-1),설정_코드표!$J$2:$J$101,0))&amp;" "&amp;INDEX(설정_코드표!$G$2:$G$101,MATCH(TRIM(RIGHT(SUBSTITUTE(TRIM(F159&amp;"")," ",REPT(" ",60)),60)),설정_코드표!$F$2:$F$101,0)),"⚠"&amp;TRIM(F159&amp;""))),"⚠"&amp;TRIM(F159&amp;""))</f>
        <v/>
      </c>
      <c r="O159" s="10">
        <f>IFERROR(IF(TRIM(G159&amp;"")="","",IF(AND(ISNUMBER(FIND(" ",TRIM(G159&amp;""))),ISNUMBER(MATCH(LEFT(TRIM(G159&amp;""),FIND(" ",TRIM(G159&amp;""))-1),설정_코드표!$J$2:$J$101,0)),ISNUMBER(MATCH(TRIM(RIGHT(SUBSTITUTE(TRIM(G159&amp;"")," ",REPT(" ",60)),60)),설정_코드표!$F$2:$F$101,0))),INDEX(설정_코드표!$K$2:$K$101,MATCH(LEFT(TRIM(G159&amp;""),FIND(" ",TRIM(G159&amp;""))-1),설정_코드표!$J$2:$J$101,0))&amp;" "&amp;INDEX(설정_코드표!$G$2:$G$101,MATCH(TRIM(RIGHT(SUBSTITUTE(TRIM(G159&amp;"")," ",REPT(" ",60)),60)),설정_코드표!$F$2:$F$101,0)),"⚠"&amp;TRIM(G159&amp;""))),"⚠"&amp;TRIM(G159&amp;""))</f>
        <v/>
      </c>
      <c r="P159" s="10">
        <f>IFERROR(IF(TRIM(H159&amp;"")="","",IF(AND(ISNUMBER(FIND(" ",TRIM(H159&amp;""))),ISNUMBER(MATCH(LEFT(TRIM(H159&amp;""),FIND(" ",TRIM(H159&amp;""))-1),설정_코드표!$J$2:$J$101,0)),ISNUMBER(MATCH(TRIM(RIGHT(SUBSTITUTE(TRIM(H159&amp;"")," ",REPT(" ",60)),60)),설정_코드표!$F$2:$F$101,0))),INDEX(설정_코드표!$K$2:$K$101,MATCH(LEFT(TRIM(H159&amp;""),FIND(" ",TRIM(H159&amp;""))-1),설정_코드표!$J$2:$J$101,0))&amp;" "&amp;INDEX(설정_코드표!$G$2:$G$101,MATCH(TRIM(RIGHT(SUBSTITUTE(TRIM(H159&amp;"")," ",REPT(" ",60)),60)),설정_코드표!$F$2:$F$101,0)),"⚠"&amp;TRIM(H159&amp;""))),"⚠"&amp;TRIM(H159&amp;""))</f>
        <v/>
      </c>
      <c r="Q159" s="10">
        <f>IFERROR(IF(TRIM(I159&amp;"")="","",IF(AND(ISNUMBER(FIND(" ",TRIM(I159&amp;""))),ISNUMBER(MATCH(LEFT(TRIM(I159&amp;""),FIND(" ",TRIM(I159&amp;""))-1),설정_코드표!$J$2:$J$101,0)),ISNUMBER(MATCH(TRIM(RIGHT(SUBSTITUTE(TRIM(I159&amp;"")," ",REPT(" ",60)),60)),설정_코드표!$F$2:$F$101,0))),INDEX(설정_코드표!$K$2:$K$101,MATCH(LEFT(TRIM(I159&amp;""),FIND(" ",TRIM(I159&amp;""))-1),설정_코드표!$J$2:$J$101,0))&amp;" "&amp;INDEX(설정_코드표!$G$2:$G$101,MATCH(TRIM(RIGHT(SUBSTITUTE(TRIM(I159&amp;"")," ",REPT(" ",60)),60)),설정_코드표!$F$2:$F$101,0)),"⚠"&amp;TRIM(I159&amp;""))),"⚠"&amp;TRIM(I159&amp;""))</f>
        <v/>
      </c>
      <c r="R159" s="10">
        <f>IFERROR(IF(TRIM(J159&amp;"")="","",IF(AND(ISNUMBER(FIND(" ",TRIM(J159&amp;""))),ISNUMBER(MATCH(LEFT(TRIM(J159&amp;""),FIND(" ",TRIM(J159&amp;""))-1),설정_코드표!$J$2:$J$101,0)),ISNUMBER(MATCH(TRIM(RIGHT(SUBSTITUTE(TRIM(J159&amp;"")," ",REPT(" ",60)),60)),설정_코드표!$F$2:$F$101,0))),INDEX(설정_코드표!$K$2:$K$101,MATCH(LEFT(TRIM(J159&amp;""),FIND(" ",TRIM(J159&amp;""))-1),설정_코드표!$J$2:$J$101,0))&amp;" "&amp;INDEX(설정_코드표!$G$2:$G$101,MATCH(TRIM(RIGHT(SUBSTITUTE(TRIM(J159&amp;"")," ",REPT(" ",60)),60)),설정_코드표!$F$2:$F$101,0)),"⚠"&amp;TRIM(J159&amp;""))),"⚠"&amp;TRIM(J159&amp;""))</f>
        <v/>
      </c>
      <c r="S159" s="11">
        <f>IF(K159="","",IFERROR(IF(AND(ROUND((VALUE(K159&amp;"")-INT(VALUE(K159&amp;"")))*100,0)&gt;=1,ROUND((VALUE(K159&amp;"")-INT(VALUE(K159&amp;"")))*100,0)&lt;=12,INT(VALUE(K159&amp;""))&gt;=1900),DATE(INT(VALUE(K159&amp;"")),ROUND((VALUE(K159&amp;"")-INT(VALUE(K159&amp;"")))*100,0),1),K159&amp;""),K159&amp;""))</f>
        <v/>
      </c>
      <c r="T159" s="10">
        <f>COUNTIF(M159:R159,"⚠*")</f>
        <v/>
      </c>
    </row>
    <row r="160"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M160" s="10">
        <f>IFERROR(IF(TRIM(E160&amp;"")="","",IF(AND(ISNUMBER(FIND(" ",TRIM(E160&amp;""))),ISNUMBER(MATCH(LEFT(TRIM(E160&amp;""),FIND(" ",TRIM(E160&amp;""))-1),설정_코드표!$J$2:$J$101,0)),ISNUMBER(MATCH(TRIM(RIGHT(SUBSTITUTE(TRIM(E160&amp;"")," ",REPT(" ",60)),60)),설정_코드표!$F$2:$F$101,0))),INDEX(설정_코드표!$K$2:$K$101,MATCH(LEFT(TRIM(E160&amp;""),FIND(" ",TRIM(E160&amp;""))-1),설정_코드표!$J$2:$J$101,0))&amp;" "&amp;INDEX(설정_코드표!$G$2:$G$101,MATCH(TRIM(RIGHT(SUBSTITUTE(TRIM(E160&amp;"")," ",REPT(" ",60)),60)),설정_코드표!$F$2:$F$101,0)),"⚠"&amp;TRIM(E160&amp;""))),"⚠"&amp;TRIM(E160&amp;""))</f>
        <v/>
      </c>
      <c r="N160" s="10">
        <f>IFERROR(IF(TRIM(F160&amp;"")="","",IF(AND(ISNUMBER(FIND(" ",TRIM(F160&amp;""))),ISNUMBER(MATCH(LEFT(TRIM(F160&amp;""),FIND(" ",TRIM(F160&amp;""))-1),설정_코드표!$J$2:$J$101,0)),ISNUMBER(MATCH(TRIM(RIGHT(SUBSTITUTE(TRIM(F160&amp;"")," ",REPT(" ",60)),60)),설정_코드표!$F$2:$F$101,0))),INDEX(설정_코드표!$K$2:$K$101,MATCH(LEFT(TRIM(F160&amp;""),FIND(" ",TRIM(F160&amp;""))-1),설정_코드표!$J$2:$J$101,0))&amp;" "&amp;INDEX(설정_코드표!$G$2:$G$101,MATCH(TRIM(RIGHT(SUBSTITUTE(TRIM(F160&amp;"")," ",REPT(" ",60)),60)),설정_코드표!$F$2:$F$101,0)),"⚠"&amp;TRIM(F160&amp;""))),"⚠"&amp;TRIM(F160&amp;""))</f>
        <v/>
      </c>
      <c r="O160" s="10">
        <f>IFERROR(IF(TRIM(G160&amp;"")="","",IF(AND(ISNUMBER(FIND(" ",TRIM(G160&amp;""))),ISNUMBER(MATCH(LEFT(TRIM(G160&amp;""),FIND(" ",TRIM(G160&amp;""))-1),설정_코드표!$J$2:$J$101,0)),ISNUMBER(MATCH(TRIM(RIGHT(SUBSTITUTE(TRIM(G160&amp;"")," ",REPT(" ",60)),60)),설정_코드표!$F$2:$F$101,0))),INDEX(설정_코드표!$K$2:$K$101,MATCH(LEFT(TRIM(G160&amp;""),FIND(" ",TRIM(G160&amp;""))-1),설정_코드표!$J$2:$J$101,0))&amp;" "&amp;INDEX(설정_코드표!$G$2:$G$101,MATCH(TRIM(RIGHT(SUBSTITUTE(TRIM(G160&amp;"")," ",REPT(" ",60)),60)),설정_코드표!$F$2:$F$101,0)),"⚠"&amp;TRIM(G160&amp;""))),"⚠"&amp;TRIM(G160&amp;""))</f>
        <v/>
      </c>
      <c r="P160" s="10">
        <f>IFERROR(IF(TRIM(H160&amp;"")="","",IF(AND(ISNUMBER(FIND(" ",TRIM(H160&amp;""))),ISNUMBER(MATCH(LEFT(TRIM(H160&amp;""),FIND(" ",TRIM(H160&amp;""))-1),설정_코드표!$J$2:$J$101,0)),ISNUMBER(MATCH(TRIM(RIGHT(SUBSTITUTE(TRIM(H160&amp;"")," ",REPT(" ",60)),60)),설정_코드표!$F$2:$F$101,0))),INDEX(설정_코드표!$K$2:$K$101,MATCH(LEFT(TRIM(H160&amp;""),FIND(" ",TRIM(H160&amp;""))-1),설정_코드표!$J$2:$J$101,0))&amp;" "&amp;INDEX(설정_코드표!$G$2:$G$101,MATCH(TRIM(RIGHT(SUBSTITUTE(TRIM(H160&amp;"")," ",REPT(" ",60)),60)),설정_코드표!$F$2:$F$101,0)),"⚠"&amp;TRIM(H160&amp;""))),"⚠"&amp;TRIM(H160&amp;""))</f>
        <v/>
      </c>
      <c r="Q160" s="10">
        <f>IFERROR(IF(TRIM(I160&amp;"")="","",IF(AND(ISNUMBER(FIND(" ",TRIM(I160&amp;""))),ISNUMBER(MATCH(LEFT(TRIM(I160&amp;""),FIND(" ",TRIM(I160&amp;""))-1),설정_코드표!$J$2:$J$101,0)),ISNUMBER(MATCH(TRIM(RIGHT(SUBSTITUTE(TRIM(I160&amp;"")," ",REPT(" ",60)),60)),설정_코드표!$F$2:$F$101,0))),INDEX(설정_코드표!$K$2:$K$101,MATCH(LEFT(TRIM(I160&amp;""),FIND(" ",TRIM(I160&amp;""))-1),설정_코드표!$J$2:$J$101,0))&amp;" "&amp;INDEX(설정_코드표!$G$2:$G$101,MATCH(TRIM(RIGHT(SUBSTITUTE(TRIM(I160&amp;"")," ",REPT(" ",60)),60)),설정_코드표!$F$2:$F$101,0)),"⚠"&amp;TRIM(I160&amp;""))),"⚠"&amp;TRIM(I160&amp;""))</f>
        <v/>
      </c>
      <c r="R160" s="10">
        <f>IFERROR(IF(TRIM(J160&amp;"")="","",IF(AND(ISNUMBER(FIND(" ",TRIM(J160&amp;""))),ISNUMBER(MATCH(LEFT(TRIM(J160&amp;""),FIND(" ",TRIM(J160&amp;""))-1),설정_코드표!$J$2:$J$101,0)),ISNUMBER(MATCH(TRIM(RIGHT(SUBSTITUTE(TRIM(J160&amp;"")," ",REPT(" ",60)),60)),설정_코드표!$F$2:$F$101,0))),INDEX(설정_코드표!$K$2:$K$101,MATCH(LEFT(TRIM(J160&amp;""),FIND(" ",TRIM(J160&amp;""))-1),설정_코드표!$J$2:$J$101,0))&amp;" "&amp;INDEX(설정_코드표!$G$2:$G$101,MATCH(TRIM(RIGHT(SUBSTITUTE(TRIM(J160&amp;"")," ",REPT(" ",60)),60)),설정_코드표!$F$2:$F$101,0)),"⚠"&amp;TRIM(J160&amp;""))),"⚠"&amp;TRIM(J160&amp;""))</f>
        <v/>
      </c>
      <c r="S160" s="11">
        <f>IF(K160="","",IFERROR(IF(AND(ROUND((VALUE(K160&amp;"")-INT(VALUE(K160&amp;"")))*100,0)&gt;=1,ROUND((VALUE(K160&amp;"")-INT(VALUE(K160&amp;"")))*100,0)&lt;=12,INT(VALUE(K160&amp;""))&gt;=1900),DATE(INT(VALUE(K160&amp;"")),ROUND((VALUE(K160&amp;"")-INT(VALUE(K160&amp;"")))*100,0),1),K160&amp;""),K160&amp;""))</f>
        <v/>
      </c>
      <c r="T160" s="10">
        <f>COUNTIF(M160:R160,"⚠*")</f>
        <v/>
      </c>
    </row>
    <row r="161"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M161" s="10">
        <f>IFERROR(IF(TRIM(E161&amp;"")="","",IF(AND(ISNUMBER(FIND(" ",TRIM(E161&amp;""))),ISNUMBER(MATCH(LEFT(TRIM(E161&amp;""),FIND(" ",TRIM(E161&amp;""))-1),설정_코드표!$J$2:$J$101,0)),ISNUMBER(MATCH(TRIM(RIGHT(SUBSTITUTE(TRIM(E161&amp;"")," ",REPT(" ",60)),60)),설정_코드표!$F$2:$F$101,0))),INDEX(설정_코드표!$K$2:$K$101,MATCH(LEFT(TRIM(E161&amp;""),FIND(" ",TRIM(E161&amp;""))-1),설정_코드표!$J$2:$J$101,0))&amp;" "&amp;INDEX(설정_코드표!$G$2:$G$101,MATCH(TRIM(RIGHT(SUBSTITUTE(TRIM(E161&amp;"")," ",REPT(" ",60)),60)),설정_코드표!$F$2:$F$101,0)),"⚠"&amp;TRIM(E161&amp;""))),"⚠"&amp;TRIM(E161&amp;""))</f>
        <v/>
      </c>
      <c r="N161" s="10">
        <f>IFERROR(IF(TRIM(F161&amp;"")="","",IF(AND(ISNUMBER(FIND(" ",TRIM(F161&amp;""))),ISNUMBER(MATCH(LEFT(TRIM(F161&amp;""),FIND(" ",TRIM(F161&amp;""))-1),설정_코드표!$J$2:$J$101,0)),ISNUMBER(MATCH(TRIM(RIGHT(SUBSTITUTE(TRIM(F161&amp;"")," ",REPT(" ",60)),60)),설정_코드표!$F$2:$F$101,0))),INDEX(설정_코드표!$K$2:$K$101,MATCH(LEFT(TRIM(F161&amp;""),FIND(" ",TRIM(F161&amp;""))-1),설정_코드표!$J$2:$J$101,0))&amp;" "&amp;INDEX(설정_코드표!$G$2:$G$101,MATCH(TRIM(RIGHT(SUBSTITUTE(TRIM(F161&amp;"")," ",REPT(" ",60)),60)),설정_코드표!$F$2:$F$101,0)),"⚠"&amp;TRIM(F161&amp;""))),"⚠"&amp;TRIM(F161&amp;""))</f>
        <v/>
      </c>
      <c r="O161" s="10">
        <f>IFERROR(IF(TRIM(G161&amp;"")="","",IF(AND(ISNUMBER(FIND(" ",TRIM(G161&amp;""))),ISNUMBER(MATCH(LEFT(TRIM(G161&amp;""),FIND(" ",TRIM(G161&amp;""))-1),설정_코드표!$J$2:$J$101,0)),ISNUMBER(MATCH(TRIM(RIGHT(SUBSTITUTE(TRIM(G161&amp;"")," ",REPT(" ",60)),60)),설정_코드표!$F$2:$F$101,0))),INDEX(설정_코드표!$K$2:$K$101,MATCH(LEFT(TRIM(G161&amp;""),FIND(" ",TRIM(G161&amp;""))-1),설정_코드표!$J$2:$J$101,0))&amp;" "&amp;INDEX(설정_코드표!$G$2:$G$101,MATCH(TRIM(RIGHT(SUBSTITUTE(TRIM(G161&amp;"")," ",REPT(" ",60)),60)),설정_코드표!$F$2:$F$101,0)),"⚠"&amp;TRIM(G161&amp;""))),"⚠"&amp;TRIM(G161&amp;""))</f>
        <v/>
      </c>
      <c r="P161" s="10">
        <f>IFERROR(IF(TRIM(H161&amp;"")="","",IF(AND(ISNUMBER(FIND(" ",TRIM(H161&amp;""))),ISNUMBER(MATCH(LEFT(TRIM(H161&amp;""),FIND(" ",TRIM(H161&amp;""))-1),설정_코드표!$J$2:$J$101,0)),ISNUMBER(MATCH(TRIM(RIGHT(SUBSTITUTE(TRIM(H161&amp;"")," ",REPT(" ",60)),60)),설정_코드표!$F$2:$F$101,0))),INDEX(설정_코드표!$K$2:$K$101,MATCH(LEFT(TRIM(H161&amp;""),FIND(" ",TRIM(H161&amp;""))-1),설정_코드표!$J$2:$J$101,0))&amp;" "&amp;INDEX(설정_코드표!$G$2:$G$101,MATCH(TRIM(RIGHT(SUBSTITUTE(TRIM(H161&amp;"")," ",REPT(" ",60)),60)),설정_코드표!$F$2:$F$101,0)),"⚠"&amp;TRIM(H161&amp;""))),"⚠"&amp;TRIM(H161&amp;""))</f>
        <v/>
      </c>
      <c r="Q161" s="10">
        <f>IFERROR(IF(TRIM(I161&amp;"")="","",IF(AND(ISNUMBER(FIND(" ",TRIM(I161&amp;""))),ISNUMBER(MATCH(LEFT(TRIM(I161&amp;""),FIND(" ",TRIM(I161&amp;""))-1),설정_코드표!$J$2:$J$101,0)),ISNUMBER(MATCH(TRIM(RIGHT(SUBSTITUTE(TRIM(I161&amp;"")," ",REPT(" ",60)),60)),설정_코드표!$F$2:$F$101,0))),INDEX(설정_코드표!$K$2:$K$101,MATCH(LEFT(TRIM(I161&amp;""),FIND(" ",TRIM(I161&amp;""))-1),설정_코드표!$J$2:$J$101,0))&amp;" "&amp;INDEX(설정_코드표!$G$2:$G$101,MATCH(TRIM(RIGHT(SUBSTITUTE(TRIM(I161&amp;"")," ",REPT(" ",60)),60)),설정_코드표!$F$2:$F$101,0)),"⚠"&amp;TRIM(I161&amp;""))),"⚠"&amp;TRIM(I161&amp;""))</f>
        <v/>
      </c>
      <c r="R161" s="10">
        <f>IFERROR(IF(TRIM(J161&amp;"")="","",IF(AND(ISNUMBER(FIND(" ",TRIM(J161&amp;""))),ISNUMBER(MATCH(LEFT(TRIM(J161&amp;""),FIND(" ",TRIM(J161&amp;""))-1),설정_코드표!$J$2:$J$101,0)),ISNUMBER(MATCH(TRIM(RIGHT(SUBSTITUTE(TRIM(J161&amp;"")," ",REPT(" ",60)),60)),설정_코드표!$F$2:$F$101,0))),INDEX(설정_코드표!$K$2:$K$101,MATCH(LEFT(TRIM(J161&amp;""),FIND(" ",TRIM(J161&amp;""))-1),설정_코드표!$J$2:$J$101,0))&amp;" "&amp;INDEX(설정_코드표!$G$2:$G$101,MATCH(TRIM(RIGHT(SUBSTITUTE(TRIM(J161&amp;"")," ",REPT(" ",60)),60)),설정_코드표!$F$2:$F$101,0)),"⚠"&amp;TRIM(J161&amp;""))),"⚠"&amp;TRIM(J161&amp;""))</f>
        <v/>
      </c>
      <c r="S161" s="11">
        <f>IF(K161="","",IFERROR(IF(AND(ROUND((VALUE(K161&amp;"")-INT(VALUE(K161&amp;"")))*100,0)&gt;=1,ROUND((VALUE(K161&amp;"")-INT(VALUE(K161&amp;"")))*100,0)&lt;=12,INT(VALUE(K161&amp;""))&gt;=1900),DATE(INT(VALUE(K161&amp;"")),ROUND((VALUE(K161&amp;"")-INT(VALUE(K161&amp;"")))*100,0),1),K161&amp;""),K161&amp;""))</f>
        <v/>
      </c>
      <c r="T161" s="10">
        <f>COUNTIF(M161:R161,"⚠*")</f>
        <v/>
      </c>
    </row>
    <row r="162"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M162" s="10">
        <f>IFERROR(IF(TRIM(E162&amp;"")="","",IF(AND(ISNUMBER(FIND(" ",TRIM(E162&amp;""))),ISNUMBER(MATCH(LEFT(TRIM(E162&amp;""),FIND(" ",TRIM(E162&amp;""))-1),설정_코드표!$J$2:$J$101,0)),ISNUMBER(MATCH(TRIM(RIGHT(SUBSTITUTE(TRIM(E162&amp;"")," ",REPT(" ",60)),60)),설정_코드표!$F$2:$F$101,0))),INDEX(설정_코드표!$K$2:$K$101,MATCH(LEFT(TRIM(E162&amp;""),FIND(" ",TRIM(E162&amp;""))-1),설정_코드표!$J$2:$J$101,0))&amp;" "&amp;INDEX(설정_코드표!$G$2:$G$101,MATCH(TRIM(RIGHT(SUBSTITUTE(TRIM(E162&amp;"")," ",REPT(" ",60)),60)),설정_코드표!$F$2:$F$101,0)),"⚠"&amp;TRIM(E162&amp;""))),"⚠"&amp;TRIM(E162&amp;""))</f>
        <v/>
      </c>
      <c r="N162" s="10">
        <f>IFERROR(IF(TRIM(F162&amp;"")="","",IF(AND(ISNUMBER(FIND(" ",TRIM(F162&amp;""))),ISNUMBER(MATCH(LEFT(TRIM(F162&amp;""),FIND(" ",TRIM(F162&amp;""))-1),설정_코드표!$J$2:$J$101,0)),ISNUMBER(MATCH(TRIM(RIGHT(SUBSTITUTE(TRIM(F162&amp;"")," ",REPT(" ",60)),60)),설정_코드표!$F$2:$F$101,0))),INDEX(설정_코드표!$K$2:$K$101,MATCH(LEFT(TRIM(F162&amp;""),FIND(" ",TRIM(F162&amp;""))-1),설정_코드표!$J$2:$J$101,0))&amp;" "&amp;INDEX(설정_코드표!$G$2:$G$101,MATCH(TRIM(RIGHT(SUBSTITUTE(TRIM(F162&amp;"")," ",REPT(" ",60)),60)),설정_코드표!$F$2:$F$101,0)),"⚠"&amp;TRIM(F162&amp;""))),"⚠"&amp;TRIM(F162&amp;""))</f>
        <v/>
      </c>
      <c r="O162" s="10">
        <f>IFERROR(IF(TRIM(G162&amp;"")="","",IF(AND(ISNUMBER(FIND(" ",TRIM(G162&amp;""))),ISNUMBER(MATCH(LEFT(TRIM(G162&amp;""),FIND(" ",TRIM(G162&amp;""))-1),설정_코드표!$J$2:$J$101,0)),ISNUMBER(MATCH(TRIM(RIGHT(SUBSTITUTE(TRIM(G162&amp;"")," ",REPT(" ",60)),60)),설정_코드표!$F$2:$F$101,0))),INDEX(설정_코드표!$K$2:$K$101,MATCH(LEFT(TRIM(G162&amp;""),FIND(" ",TRIM(G162&amp;""))-1),설정_코드표!$J$2:$J$101,0))&amp;" "&amp;INDEX(설정_코드표!$G$2:$G$101,MATCH(TRIM(RIGHT(SUBSTITUTE(TRIM(G162&amp;"")," ",REPT(" ",60)),60)),설정_코드표!$F$2:$F$101,0)),"⚠"&amp;TRIM(G162&amp;""))),"⚠"&amp;TRIM(G162&amp;""))</f>
        <v/>
      </c>
      <c r="P162" s="10">
        <f>IFERROR(IF(TRIM(H162&amp;"")="","",IF(AND(ISNUMBER(FIND(" ",TRIM(H162&amp;""))),ISNUMBER(MATCH(LEFT(TRIM(H162&amp;""),FIND(" ",TRIM(H162&amp;""))-1),설정_코드표!$J$2:$J$101,0)),ISNUMBER(MATCH(TRIM(RIGHT(SUBSTITUTE(TRIM(H162&amp;"")," ",REPT(" ",60)),60)),설정_코드표!$F$2:$F$101,0))),INDEX(설정_코드표!$K$2:$K$101,MATCH(LEFT(TRIM(H162&amp;""),FIND(" ",TRIM(H162&amp;""))-1),설정_코드표!$J$2:$J$101,0))&amp;" "&amp;INDEX(설정_코드표!$G$2:$G$101,MATCH(TRIM(RIGHT(SUBSTITUTE(TRIM(H162&amp;"")," ",REPT(" ",60)),60)),설정_코드표!$F$2:$F$101,0)),"⚠"&amp;TRIM(H162&amp;""))),"⚠"&amp;TRIM(H162&amp;""))</f>
        <v/>
      </c>
      <c r="Q162" s="10">
        <f>IFERROR(IF(TRIM(I162&amp;"")="","",IF(AND(ISNUMBER(FIND(" ",TRIM(I162&amp;""))),ISNUMBER(MATCH(LEFT(TRIM(I162&amp;""),FIND(" ",TRIM(I162&amp;""))-1),설정_코드표!$J$2:$J$101,0)),ISNUMBER(MATCH(TRIM(RIGHT(SUBSTITUTE(TRIM(I162&amp;"")," ",REPT(" ",60)),60)),설정_코드표!$F$2:$F$101,0))),INDEX(설정_코드표!$K$2:$K$101,MATCH(LEFT(TRIM(I162&amp;""),FIND(" ",TRIM(I162&amp;""))-1),설정_코드표!$J$2:$J$101,0))&amp;" "&amp;INDEX(설정_코드표!$G$2:$G$101,MATCH(TRIM(RIGHT(SUBSTITUTE(TRIM(I162&amp;"")," ",REPT(" ",60)),60)),설정_코드표!$F$2:$F$101,0)),"⚠"&amp;TRIM(I162&amp;""))),"⚠"&amp;TRIM(I162&amp;""))</f>
        <v/>
      </c>
      <c r="R162" s="10">
        <f>IFERROR(IF(TRIM(J162&amp;"")="","",IF(AND(ISNUMBER(FIND(" ",TRIM(J162&amp;""))),ISNUMBER(MATCH(LEFT(TRIM(J162&amp;""),FIND(" ",TRIM(J162&amp;""))-1),설정_코드표!$J$2:$J$101,0)),ISNUMBER(MATCH(TRIM(RIGHT(SUBSTITUTE(TRIM(J162&amp;"")," ",REPT(" ",60)),60)),설정_코드표!$F$2:$F$101,0))),INDEX(설정_코드표!$K$2:$K$101,MATCH(LEFT(TRIM(J162&amp;""),FIND(" ",TRIM(J162&amp;""))-1),설정_코드표!$J$2:$J$101,0))&amp;" "&amp;INDEX(설정_코드표!$G$2:$G$101,MATCH(TRIM(RIGHT(SUBSTITUTE(TRIM(J162&amp;"")," ",REPT(" ",60)),60)),설정_코드표!$F$2:$F$101,0)),"⚠"&amp;TRIM(J162&amp;""))),"⚠"&amp;TRIM(J162&amp;""))</f>
        <v/>
      </c>
      <c r="S162" s="11">
        <f>IF(K162="","",IFERROR(IF(AND(ROUND((VALUE(K162&amp;"")-INT(VALUE(K162&amp;"")))*100,0)&gt;=1,ROUND((VALUE(K162&amp;"")-INT(VALUE(K162&amp;"")))*100,0)&lt;=12,INT(VALUE(K162&amp;""))&gt;=1900),DATE(INT(VALUE(K162&amp;"")),ROUND((VALUE(K162&amp;"")-INT(VALUE(K162&amp;"")))*100,0),1),K162&amp;""),K162&amp;""))</f>
        <v/>
      </c>
      <c r="T162" s="10">
        <f>COUNTIF(M162:R162,"⚠*")</f>
        <v/>
      </c>
    </row>
    <row r="163"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M163" s="10">
        <f>IFERROR(IF(TRIM(E163&amp;"")="","",IF(AND(ISNUMBER(FIND(" ",TRIM(E163&amp;""))),ISNUMBER(MATCH(LEFT(TRIM(E163&amp;""),FIND(" ",TRIM(E163&amp;""))-1),설정_코드표!$J$2:$J$101,0)),ISNUMBER(MATCH(TRIM(RIGHT(SUBSTITUTE(TRIM(E163&amp;"")," ",REPT(" ",60)),60)),설정_코드표!$F$2:$F$101,0))),INDEX(설정_코드표!$K$2:$K$101,MATCH(LEFT(TRIM(E163&amp;""),FIND(" ",TRIM(E163&amp;""))-1),설정_코드표!$J$2:$J$101,0))&amp;" "&amp;INDEX(설정_코드표!$G$2:$G$101,MATCH(TRIM(RIGHT(SUBSTITUTE(TRIM(E163&amp;"")," ",REPT(" ",60)),60)),설정_코드표!$F$2:$F$101,0)),"⚠"&amp;TRIM(E163&amp;""))),"⚠"&amp;TRIM(E163&amp;""))</f>
        <v/>
      </c>
      <c r="N163" s="10">
        <f>IFERROR(IF(TRIM(F163&amp;"")="","",IF(AND(ISNUMBER(FIND(" ",TRIM(F163&amp;""))),ISNUMBER(MATCH(LEFT(TRIM(F163&amp;""),FIND(" ",TRIM(F163&amp;""))-1),설정_코드표!$J$2:$J$101,0)),ISNUMBER(MATCH(TRIM(RIGHT(SUBSTITUTE(TRIM(F163&amp;"")," ",REPT(" ",60)),60)),설정_코드표!$F$2:$F$101,0))),INDEX(설정_코드표!$K$2:$K$101,MATCH(LEFT(TRIM(F163&amp;""),FIND(" ",TRIM(F163&amp;""))-1),설정_코드표!$J$2:$J$101,0))&amp;" "&amp;INDEX(설정_코드표!$G$2:$G$101,MATCH(TRIM(RIGHT(SUBSTITUTE(TRIM(F163&amp;"")," ",REPT(" ",60)),60)),설정_코드표!$F$2:$F$101,0)),"⚠"&amp;TRIM(F163&amp;""))),"⚠"&amp;TRIM(F163&amp;""))</f>
        <v/>
      </c>
      <c r="O163" s="10">
        <f>IFERROR(IF(TRIM(G163&amp;"")="","",IF(AND(ISNUMBER(FIND(" ",TRIM(G163&amp;""))),ISNUMBER(MATCH(LEFT(TRIM(G163&amp;""),FIND(" ",TRIM(G163&amp;""))-1),설정_코드표!$J$2:$J$101,0)),ISNUMBER(MATCH(TRIM(RIGHT(SUBSTITUTE(TRIM(G163&amp;"")," ",REPT(" ",60)),60)),설정_코드표!$F$2:$F$101,0))),INDEX(설정_코드표!$K$2:$K$101,MATCH(LEFT(TRIM(G163&amp;""),FIND(" ",TRIM(G163&amp;""))-1),설정_코드표!$J$2:$J$101,0))&amp;" "&amp;INDEX(설정_코드표!$G$2:$G$101,MATCH(TRIM(RIGHT(SUBSTITUTE(TRIM(G163&amp;"")," ",REPT(" ",60)),60)),설정_코드표!$F$2:$F$101,0)),"⚠"&amp;TRIM(G163&amp;""))),"⚠"&amp;TRIM(G163&amp;""))</f>
        <v/>
      </c>
      <c r="P163" s="10">
        <f>IFERROR(IF(TRIM(H163&amp;"")="","",IF(AND(ISNUMBER(FIND(" ",TRIM(H163&amp;""))),ISNUMBER(MATCH(LEFT(TRIM(H163&amp;""),FIND(" ",TRIM(H163&amp;""))-1),설정_코드표!$J$2:$J$101,0)),ISNUMBER(MATCH(TRIM(RIGHT(SUBSTITUTE(TRIM(H163&amp;"")," ",REPT(" ",60)),60)),설정_코드표!$F$2:$F$101,0))),INDEX(설정_코드표!$K$2:$K$101,MATCH(LEFT(TRIM(H163&amp;""),FIND(" ",TRIM(H163&amp;""))-1),설정_코드표!$J$2:$J$101,0))&amp;" "&amp;INDEX(설정_코드표!$G$2:$G$101,MATCH(TRIM(RIGHT(SUBSTITUTE(TRIM(H163&amp;"")," ",REPT(" ",60)),60)),설정_코드표!$F$2:$F$101,0)),"⚠"&amp;TRIM(H163&amp;""))),"⚠"&amp;TRIM(H163&amp;""))</f>
        <v/>
      </c>
      <c r="Q163" s="10">
        <f>IFERROR(IF(TRIM(I163&amp;"")="","",IF(AND(ISNUMBER(FIND(" ",TRIM(I163&amp;""))),ISNUMBER(MATCH(LEFT(TRIM(I163&amp;""),FIND(" ",TRIM(I163&amp;""))-1),설정_코드표!$J$2:$J$101,0)),ISNUMBER(MATCH(TRIM(RIGHT(SUBSTITUTE(TRIM(I163&amp;"")," ",REPT(" ",60)),60)),설정_코드표!$F$2:$F$101,0))),INDEX(설정_코드표!$K$2:$K$101,MATCH(LEFT(TRIM(I163&amp;""),FIND(" ",TRIM(I163&amp;""))-1),설정_코드표!$J$2:$J$101,0))&amp;" "&amp;INDEX(설정_코드표!$G$2:$G$101,MATCH(TRIM(RIGHT(SUBSTITUTE(TRIM(I163&amp;"")," ",REPT(" ",60)),60)),설정_코드표!$F$2:$F$101,0)),"⚠"&amp;TRIM(I163&amp;""))),"⚠"&amp;TRIM(I163&amp;""))</f>
        <v/>
      </c>
      <c r="R163" s="10">
        <f>IFERROR(IF(TRIM(J163&amp;"")="","",IF(AND(ISNUMBER(FIND(" ",TRIM(J163&amp;""))),ISNUMBER(MATCH(LEFT(TRIM(J163&amp;""),FIND(" ",TRIM(J163&amp;""))-1),설정_코드표!$J$2:$J$101,0)),ISNUMBER(MATCH(TRIM(RIGHT(SUBSTITUTE(TRIM(J163&amp;"")," ",REPT(" ",60)),60)),설정_코드표!$F$2:$F$101,0))),INDEX(설정_코드표!$K$2:$K$101,MATCH(LEFT(TRIM(J163&amp;""),FIND(" ",TRIM(J163&amp;""))-1),설정_코드표!$J$2:$J$101,0))&amp;" "&amp;INDEX(설정_코드표!$G$2:$G$101,MATCH(TRIM(RIGHT(SUBSTITUTE(TRIM(J163&amp;"")," ",REPT(" ",60)),60)),설정_코드표!$F$2:$F$101,0)),"⚠"&amp;TRIM(J163&amp;""))),"⚠"&amp;TRIM(J163&amp;""))</f>
        <v/>
      </c>
      <c r="S163" s="11">
        <f>IF(K163="","",IFERROR(IF(AND(ROUND((VALUE(K163&amp;"")-INT(VALUE(K163&amp;"")))*100,0)&gt;=1,ROUND((VALUE(K163&amp;"")-INT(VALUE(K163&amp;"")))*100,0)&lt;=12,INT(VALUE(K163&amp;""))&gt;=1900),DATE(INT(VALUE(K163&amp;"")),ROUND((VALUE(K163&amp;"")-INT(VALUE(K163&amp;"")))*100,0),1),K163&amp;""),K163&amp;""))</f>
        <v/>
      </c>
      <c r="T163" s="10">
        <f>COUNTIF(M163:R163,"⚠*")</f>
        <v/>
      </c>
    </row>
    <row r="164"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M164" s="10">
        <f>IFERROR(IF(TRIM(E164&amp;"")="","",IF(AND(ISNUMBER(FIND(" ",TRIM(E164&amp;""))),ISNUMBER(MATCH(LEFT(TRIM(E164&amp;""),FIND(" ",TRIM(E164&amp;""))-1),설정_코드표!$J$2:$J$101,0)),ISNUMBER(MATCH(TRIM(RIGHT(SUBSTITUTE(TRIM(E164&amp;"")," ",REPT(" ",60)),60)),설정_코드표!$F$2:$F$101,0))),INDEX(설정_코드표!$K$2:$K$101,MATCH(LEFT(TRIM(E164&amp;""),FIND(" ",TRIM(E164&amp;""))-1),설정_코드표!$J$2:$J$101,0))&amp;" "&amp;INDEX(설정_코드표!$G$2:$G$101,MATCH(TRIM(RIGHT(SUBSTITUTE(TRIM(E164&amp;"")," ",REPT(" ",60)),60)),설정_코드표!$F$2:$F$101,0)),"⚠"&amp;TRIM(E164&amp;""))),"⚠"&amp;TRIM(E164&amp;""))</f>
        <v/>
      </c>
      <c r="N164" s="10">
        <f>IFERROR(IF(TRIM(F164&amp;"")="","",IF(AND(ISNUMBER(FIND(" ",TRIM(F164&amp;""))),ISNUMBER(MATCH(LEFT(TRIM(F164&amp;""),FIND(" ",TRIM(F164&amp;""))-1),설정_코드표!$J$2:$J$101,0)),ISNUMBER(MATCH(TRIM(RIGHT(SUBSTITUTE(TRIM(F164&amp;"")," ",REPT(" ",60)),60)),설정_코드표!$F$2:$F$101,0))),INDEX(설정_코드표!$K$2:$K$101,MATCH(LEFT(TRIM(F164&amp;""),FIND(" ",TRIM(F164&amp;""))-1),설정_코드표!$J$2:$J$101,0))&amp;" "&amp;INDEX(설정_코드표!$G$2:$G$101,MATCH(TRIM(RIGHT(SUBSTITUTE(TRIM(F164&amp;"")," ",REPT(" ",60)),60)),설정_코드표!$F$2:$F$101,0)),"⚠"&amp;TRIM(F164&amp;""))),"⚠"&amp;TRIM(F164&amp;""))</f>
        <v/>
      </c>
      <c r="O164" s="10">
        <f>IFERROR(IF(TRIM(G164&amp;"")="","",IF(AND(ISNUMBER(FIND(" ",TRIM(G164&amp;""))),ISNUMBER(MATCH(LEFT(TRIM(G164&amp;""),FIND(" ",TRIM(G164&amp;""))-1),설정_코드표!$J$2:$J$101,0)),ISNUMBER(MATCH(TRIM(RIGHT(SUBSTITUTE(TRIM(G164&amp;"")," ",REPT(" ",60)),60)),설정_코드표!$F$2:$F$101,0))),INDEX(설정_코드표!$K$2:$K$101,MATCH(LEFT(TRIM(G164&amp;""),FIND(" ",TRIM(G164&amp;""))-1),설정_코드표!$J$2:$J$101,0))&amp;" "&amp;INDEX(설정_코드표!$G$2:$G$101,MATCH(TRIM(RIGHT(SUBSTITUTE(TRIM(G164&amp;"")," ",REPT(" ",60)),60)),설정_코드표!$F$2:$F$101,0)),"⚠"&amp;TRIM(G164&amp;""))),"⚠"&amp;TRIM(G164&amp;""))</f>
        <v/>
      </c>
      <c r="P164" s="10">
        <f>IFERROR(IF(TRIM(H164&amp;"")="","",IF(AND(ISNUMBER(FIND(" ",TRIM(H164&amp;""))),ISNUMBER(MATCH(LEFT(TRIM(H164&amp;""),FIND(" ",TRIM(H164&amp;""))-1),설정_코드표!$J$2:$J$101,0)),ISNUMBER(MATCH(TRIM(RIGHT(SUBSTITUTE(TRIM(H164&amp;"")," ",REPT(" ",60)),60)),설정_코드표!$F$2:$F$101,0))),INDEX(설정_코드표!$K$2:$K$101,MATCH(LEFT(TRIM(H164&amp;""),FIND(" ",TRIM(H164&amp;""))-1),설정_코드표!$J$2:$J$101,0))&amp;" "&amp;INDEX(설정_코드표!$G$2:$G$101,MATCH(TRIM(RIGHT(SUBSTITUTE(TRIM(H164&amp;"")," ",REPT(" ",60)),60)),설정_코드표!$F$2:$F$101,0)),"⚠"&amp;TRIM(H164&amp;""))),"⚠"&amp;TRIM(H164&amp;""))</f>
        <v/>
      </c>
      <c r="Q164" s="10">
        <f>IFERROR(IF(TRIM(I164&amp;"")="","",IF(AND(ISNUMBER(FIND(" ",TRIM(I164&amp;""))),ISNUMBER(MATCH(LEFT(TRIM(I164&amp;""),FIND(" ",TRIM(I164&amp;""))-1),설정_코드표!$J$2:$J$101,0)),ISNUMBER(MATCH(TRIM(RIGHT(SUBSTITUTE(TRIM(I164&amp;"")," ",REPT(" ",60)),60)),설정_코드표!$F$2:$F$101,0))),INDEX(설정_코드표!$K$2:$K$101,MATCH(LEFT(TRIM(I164&amp;""),FIND(" ",TRIM(I164&amp;""))-1),설정_코드표!$J$2:$J$101,0))&amp;" "&amp;INDEX(설정_코드표!$G$2:$G$101,MATCH(TRIM(RIGHT(SUBSTITUTE(TRIM(I164&amp;"")," ",REPT(" ",60)),60)),설정_코드표!$F$2:$F$101,0)),"⚠"&amp;TRIM(I164&amp;""))),"⚠"&amp;TRIM(I164&amp;""))</f>
        <v/>
      </c>
      <c r="R164" s="10">
        <f>IFERROR(IF(TRIM(J164&amp;"")="","",IF(AND(ISNUMBER(FIND(" ",TRIM(J164&amp;""))),ISNUMBER(MATCH(LEFT(TRIM(J164&amp;""),FIND(" ",TRIM(J164&amp;""))-1),설정_코드표!$J$2:$J$101,0)),ISNUMBER(MATCH(TRIM(RIGHT(SUBSTITUTE(TRIM(J164&amp;"")," ",REPT(" ",60)),60)),설정_코드표!$F$2:$F$101,0))),INDEX(설정_코드표!$K$2:$K$101,MATCH(LEFT(TRIM(J164&amp;""),FIND(" ",TRIM(J164&amp;""))-1),설정_코드표!$J$2:$J$101,0))&amp;" "&amp;INDEX(설정_코드표!$G$2:$G$101,MATCH(TRIM(RIGHT(SUBSTITUTE(TRIM(J164&amp;"")," ",REPT(" ",60)),60)),설정_코드표!$F$2:$F$101,0)),"⚠"&amp;TRIM(J164&amp;""))),"⚠"&amp;TRIM(J164&amp;""))</f>
        <v/>
      </c>
      <c r="S164" s="11">
        <f>IF(K164="","",IFERROR(IF(AND(ROUND((VALUE(K164&amp;"")-INT(VALUE(K164&amp;"")))*100,0)&gt;=1,ROUND((VALUE(K164&amp;"")-INT(VALUE(K164&amp;"")))*100,0)&lt;=12,INT(VALUE(K164&amp;""))&gt;=1900),DATE(INT(VALUE(K164&amp;"")),ROUND((VALUE(K164&amp;"")-INT(VALUE(K164&amp;"")))*100,0),1),K164&amp;""),K164&amp;""))</f>
        <v/>
      </c>
      <c r="T164" s="10">
        <f>COUNTIF(M164:R164,"⚠*")</f>
        <v/>
      </c>
    </row>
    <row r="165"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M165" s="10">
        <f>IFERROR(IF(TRIM(E165&amp;"")="","",IF(AND(ISNUMBER(FIND(" ",TRIM(E165&amp;""))),ISNUMBER(MATCH(LEFT(TRIM(E165&amp;""),FIND(" ",TRIM(E165&amp;""))-1),설정_코드표!$J$2:$J$101,0)),ISNUMBER(MATCH(TRIM(RIGHT(SUBSTITUTE(TRIM(E165&amp;"")," ",REPT(" ",60)),60)),설정_코드표!$F$2:$F$101,0))),INDEX(설정_코드표!$K$2:$K$101,MATCH(LEFT(TRIM(E165&amp;""),FIND(" ",TRIM(E165&amp;""))-1),설정_코드표!$J$2:$J$101,0))&amp;" "&amp;INDEX(설정_코드표!$G$2:$G$101,MATCH(TRIM(RIGHT(SUBSTITUTE(TRIM(E165&amp;"")," ",REPT(" ",60)),60)),설정_코드표!$F$2:$F$101,0)),"⚠"&amp;TRIM(E165&amp;""))),"⚠"&amp;TRIM(E165&amp;""))</f>
        <v/>
      </c>
      <c r="N165" s="10">
        <f>IFERROR(IF(TRIM(F165&amp;"")="","",IF(AND(ISNUMBER(FIND(" ",TRIM(F165&amp;""))),ISNUMBER(MATCH(LEFT(TRIM(F165&amp;""),FIND(" ",TRIM(F165&amp;""))-1),설정_코드표!$J$2:$J$101,0)),ISNUMBER(MATCH(TRIM(RIGHT(SUBSTITUTE(TRIM(F165&amp;"")," ",REPT(" ",60)),60)),설정_코드표!$F$2:$F$101,0))),INDEX(설정_코드표!$K$2:$K$101,MATCH(LEFT(TRIM(F165&amp;""),FIND(" ",TRIM(F165&amp;""))-1),설정_코드표!$J$2:$J$101,0))&amp;" "&amp;INDEX(설정_코드표!$G$2:$G$101,MATCH(TRIM(RIGHT(SUBSTITUTE(TRIM(F165&amp;"")," ",REPT(" ",60)),60)),설정_코드표!$F$2:$F$101,0)),"⚠"&amp;TRIM(F165&amp;""))),"⚠"&amp;TRIM(F165&amp;""))</f>
        <v/>
      </c>
      <c r="O165" s="10">
        <f>IFERROR(IF(TRIM(G165&amp;"")="","",IF(AND(ISNUMBER(FIND(" ",TRIM(G165&amp;""))),ISNUMBER(MATCH(LEFT(TRIM(G165&amp;""),FIND(" ",TRIM(G165&amp;""))-1),설정_코드표!$J$2:$J$101,0)),ISNUMBER(MATCH(TRIM(RIGHT(SUBSTITUTE(TRIM(G165&amp;"")," ",REPT(" ",60)),60)),설정_코드표!$F$2:$F$101,0))),INDEX(설정_코드표!$K$2:$K$101,MATCH(LEFT(TRIM(G165&amp;""),FIND(" ",TRIM(G165&amp;""))-1),설정_코드표!$J$2:$J$101,0))&amp;" "&amp;INDEX(설정_코드표!$G$2:$G$101,MATCH(TRIM(RIGHT(SUBSTITUTE(TRIM(G165&amp;"")," ",REPT(" ",60)),60)),설정_코드표!$F$2:$F$101,0)),"⚠"&amp;TRIM(G165&amp;""))),"⚠"&amp;TRIM(G165&amp;""))</f>
        <v/>
      </c>
      <c r="P165" s="10">
        <f>IFERROR(IF(TRIM(H165&amp;"")="","",IF(AND(ISNUMBER(FIND(" ",TRIM(H165&amp;""))),ISNUMBER(MATCH(LEFT(TRIM(H165&amp;""),FIND(" ",TRIM(H165&amp;""))-1),설정_코드표!$J$2:$J$101,0)),ISNUMBER(MATCH(TRIM(RIGHT(SUBSTITUTE(TRIM(H165&amp;"")," ",REPT(" ",60)),60)),설정_코드표!$F$2:$F$101,0))),INDEX(설정_코드표!$K$2:$K$101,MATCH(LEFT(TRIM(H165&amp;""),FIND(" ",TRIM(H165&amp;""))-1),설정_코드표!$J$2:$J$101,0))&amp;" "&amp;INDEX(설정_코드표!$G$2:$G$101,MATCH(TRIM(RIGHT(SUBSTITUTE(TRIM(H165&amp;"")," ",REPT(" ",60)),60)),설정_코드표!$F$2:$F$101,0)),"⚠"&amp;TRIM(H165&amp;""))),"⚠"&amp;TRIM(H165&amp;""))</f>
        <v/>
      </c>
      <c r="Q165" s="10">
        <f>IFERROR(IF(TRIM(I165&amp;"")="","",IF(AND(ISNUMBER(FIND(" ",TRIM(I165&amp;""))),ISNUMBER(MATCH(LEFT(TRIM(I165&amp;""),FIND(" ",TRIM(I165&amp;""))-1),설정_코드표!$J$2:$J$101,0)),ISNUMBER(MATCH(TRIM(RIGHT(SUBSTITUTE(TRIM(I165&amp;"")," ",REPT(" ",60)),60)),설정_코드표!$F$2:$F$101,0))),INDEX(설정_코드표!$K$2:$K$101,MATCH(LEFT(TRIM(I165&amp;""),FIND(" ",TRIM(I165&amp;""))-1),설정_코드표!$J$2:$J$101,0))&amp;" "&amp;INDEX(설정_코드표!$G$2:$G$101,MATCH(TRIM(RIGHT(SUBSTITUTE(TRIM(I165&amp;"")," ",REPT(" ",60)),60)),설정_코드표!$F$2:$F$101,0)),"⚠"&amp;TRIM(I165&amp;""))),"⚠"&amp;TRIM(I165&amp;""))</f>
        <v/>
      </c>
      <c r="R165" s="10">
        <f>IFERROR(IF(TRIM(J165&amp;"")="","",IF(AND(ISNUMBER(FIND(" ",TRIM(J165&amp;""))),ISNUMBER(MATCH(LEFT(TRIM(J165&amp;""),FIND(" ",TRIM(J165&amp;""))-1),설정_코드표!$J$2:$J$101,0)),ISNUMBER(MATCH(TRIM(RIGHT(SUBSTITUTE(TRIM(J165&amp;"")," ",REPT(" ",60)),60)),설정_코드표!$F$2:$F$101,0))),INDEX(설정_코드표!$K$2:$K$101,MATCH(LEFT(TRIM(J165&amp;""),FIND(" ",TRIM(J165&amp;""))-1),설정_코드표!$J$2:$J$101,0))&amp;" "&amp;INDEX(설정_코드표!$G$2:$G$101,MATCH(TRIM(RIGHT(SUBSTITUTE(TRIM(J165&amp;"")," ",REPT(" ",60)),60)),설정_코드표!$F$2:$F$101,0)),"⚠"&amp;TRIM(J165&amp;""))),"⚠"&amp;TRIM(J165&amp;""))</f>
        <v/>
      </c>
      <c r="S165" s="11">
        <f>IF(K165="","",IFERROR(IF(AND(ROUND((VALUE(K165&amp;"")-INT(VALUE(K165&amp;"")))*100,0)&gt;=1,ROUND((VALUE(K165&amp;"")-INT(VALUE(K165&amp;"")))*100,0)&lt;=12,INT(VALUE(K165&amp;""))&gt;=1900),DATE(INT(VALUE(K165&amp;"")),ROUND((VALUE(K165&amp;"")-INT(VALUE(K165&amp;"")))*100,0),1),K165&amp;""),K165&amp;""))</f>
        <v/>
      </c>
      <c r="T165" s="10">
        <f>COUNTIF(M165:R165,"⚠*")</f>
        <v/>
      </c>
    </row>
    <row r="166"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M166" s="10">
        <f>IFERROR(IF(TRIM(E166&amp;"")="","",IF(AND(ISNUMBER(FIND(" ",TRIM(E166&amp;""))),ISNUMBER(MATCH(LEFT(TRIM(E166&amp;""),FIND(" ",TRIM(E166&amp;""))-1),설정_코드표!$J$2:$J$101,0)),ISNUMBER(MATCH(TRIM(RIGHT(SUBSTITUTE(TRIM(E166&amp;"")," ",REPT(" ",60)),60)),설정_코드표!$F$2:$F$101,0))),INDEX(설정_코드표!$K$2:$K$101,MATCH(LEFT(TRIM(E166&amp;""),FIND(" ",TRIM(E166&amp;""))-1),설정_코드표!$J$2:$J$101,0))&amp;" "&amp;INDEX(설정_코드표!$G$2:$G$101,MATCH(TRIM(RIGHT(SUBSTITUTE(TRIM(E166&amp;"")," ",REPT(" ",60)),60)),설정_코드표!$F$2:$F$101,0)),"⚠"&amp;TRIM(E166&amp;""))),"⚠"&amp;TRIM(E166&amp;""))</f>
        <v/>
      </c>
      <c r="N166" s="10">
        <f>IFERROR(IF(TRIM(F166&amp;"")="","",IF(AND(ISNUMBER(FIND(" ",TRIM(F166&amp;""))),ISNUMBER(MATCH(LEFT(TRIM(F166&amp;""),FIND(" ",TRIM(F166&amp;""))-1),설정_코드표!$J$2:$J$101,0)),ISNUMBER(MATCH(TRIM(RIGHT(SUBSTITUTE(TRIM(F166&amp;"")," ",REPT(" ",60)),60)),설정_코드표!$F$2:$F$101,0))),INDEX(설정_코드표!$K$2:$K$101,MATCH(LEFT(TRIM(F166&amp;""),FIND(" ",TRIM(F166&amp;""))-1),설정_코드표!$J$2:$J$101,0))&amp;" "&amp;INDEX(설정_코드표!$G$2:$G$101,MATCH(TRIM(RIGHT(SUBSTITUTE(TRIM(F166&amp;"")," ",REPT(" ",60)),60)),설정_코드표!$F$2:$F$101,0)),"⚠"&amp;TRIM(F166&amp;""))),"⚠"&amp;TRIM(F166&amp;""))</f>
        <v/>
      </c>
      <c r="O166" s="10">
        <f>IFERROR(IF(TRIM(G166&amp;"")="","",IF(AND(ISNUMBER(FIND(" ",TRIM(G166&amp;""))),ISNUMBER(MATCH(LEFT(TRIM(G166&amp;""),FIND(" ",TRIM(G166&amp;""))-1),설정_코드표!$J$2:$J$101,0)),ISNUMBER(MATCH(TRIM(RIGHT(SUBSTITUTE(TRIM(G166&amp;"")," ",REPT(" ",60)),60)),설정_코드표!$F$2:$F$101,0))),INDEX(설정_코드표!$K$2:$K$101,MATCH(LEFT(TRIM(G166&amp;""),FIND(" ",TRIM(G166&amp;""))-1),설정_코드표!$J$2:$J$101,0))&amp;" "&amp;INDEX(설정_코드표!$G$2:$G$101,MATCH(TRIM(RIGHT(SUBSTITUTE(TRIM(G166&amp;"")," ",REPT(" ",60)),60)),설정_코드표!$F$2:$F$101,0)),"⚠"&amp;TRIM(G166&amp;""))),"⚠"&amp;TRIM(G166&amp;""))</f>
        <v/>
      </c>
      <c r="P166" s="10">
        <f>IFERROR(IF(TRIM(H166&amp;"")="","",IF(AND(ISNUMBER(FIND(" ",TRIM(H166&amp;""))),ISNUMBER(MATCH(LEFT(TRIM(H166&amp;""),FIND(" ",TRIM(H166&amp;""))-1),설정_코드표!$J$2:$J$101,0)),ISNUMBER(MATCH(TRIM(RIGHT(SUBSTITUTE(TRIM(H166&amp;"")," ",REPT(" ",60)),60)),설정_코드표!$F$2:$F$101,0))),INDEX(설정_코드표!$K$2:$K$101,MATCH(LEFT(TRIM(H166&amp;""),FIND(" ",TRIM(H166&amp;""))-1),설정_코드표!$J$2:$J$101,0))&amp;" "&amp;INDEX(설정_코드표!$G$2:$G$101,MATCH(TRIM(RIGHT(SUBSTITUTE(TRIM(H166&amp;"")," ",REPT(" ",60)),60)),설정_코드표!$F$2:$F$101,0)),"⚠"&amp;TRIM(H166&amp;""))),"⚠"&amp;TRIM(H166&amp;""))</f>
        <v/>
      </c>
      <c r="Q166" s="10">
        <f>IFERROR(IF(TRIM(I166&amp;"")="","",IF(AND(ISNUMBER(FIND(" ",TRIM(I166&amp;""))),ISNUMBER(MATCH(LEFT(TRIM(I166&amp;""),FIND(" ",TRIM(I166&amp;""))-1),설정_코드표!$J$2:$J$101,0)),ISNUMBER(MATCH(TRIM(RIGHT(SUBSTITUTE(TRIM(I166&amp;"")," ",REPT(" ",60)),60)),설정_코드표!$F$2:$F$101,0))),INDEX(설정_코드표!$K$2:$K$101,MATCH(LEFT(TRIM(I166&amp;""),FIND(" ",TRIM(I166&amp;""))-1),설정_코드표!$J$2:$J$101,0))&amp;" "&amp;INDEX(설정_코드표!$G$2:$G$101,MATCH(TRIM(RIGHT(SUBSTITUTE(TRIM(I166&amp;"")," ",REPT(" ",60)),60)),설정_코드표!$F$2:$F$101,0)),"⚠"&amp;TRIM(I166&amp;""))),"⚠"&amp;TRIM(I166&amp;""))</f>
        <v/>
      </c>
      <c r="R166" s="10">
        <f>IFERROR(IF(TRIM(J166&amp;"")="","",IF(AND(ISNUMBER(FIND(" ",TRIM(J166&amp;""))),ISNUMBER(MATCH(LEFT(TRIM(J166&amp;""),FIND(" ",TRIM(J166&amp;""))-1),설정_코드표!$J$2:$J$101,0)),ISNUMBER(MATCH(TRIM(RIGHT(SUBSTITUTE(TRIM(J166&amp;"")," ",REPT(" ",60)),60)),설정_코드표!$F$2:$F$101,0))),INDEX(설정_코드표!$K$2:$K$101,MATCH(LEFT(TRIM(J166&amp;""),FIND(" ",TRIM(J166&amp;""))-1),설정_코드표!$J$2:$J$101,0))&amp;" "&amp;INDEX(설정_코드표!$G$2:$G$101,MATCH(TRIM(RIGHT(SUBSTITUTE(TRIM(J166&amp;"")," ",REPT(" ",60)),60)),설정_코드표!$F$2:$F$101,0)),"⚠"&amp;TRIM(J166&amp;""))),"⚠"&amp;TRIM(J166&amp;""))</f>
        <v/>
      </c>
      <c r="S166" s="11">
        <f>IF(K166="","",IFERROR(IF(AND(ROUND((VALUE(K166&amp;"")-INT(VALUE(K166&amp;"")))*100,0)&gt;=1,ROUND((VALUE(K166&amp;"")-INT(VALUE(K166&amp;"")))*100,0)&lt;=12,INT(VALUE(K166&amp;""))&gt;=1900),DATE(INT(VALUE(K166&amp;"")),ROUND((VALUE(K166&amp;"")-INT(VALUE(K166&amp;"")))*100,0),1),K166&amp;""),K166&amp;""))</f>
        <v/>
      </c>
      <c r="T166" s="10">
        <f>COUNTIF(M166:R166,"⚠*")</f>
        <v/>
      </c>
    </row>
    <row r="167"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M167" s="10">
        <f>IFERROR(IF(TRIM(E167&amp;"")="","",IF(AND(ISNUMBER(FIND(" ",TRIM(E167&amp;""))),ISNUMBER(MATCH(LEFT(TRIM(E167&amp;""),FIND(" ",TRIM(E167&amp;""))-1),설정_코드표!$J$2:$J$101,0)),ISNUMBER(MATCH(TRIM(RIGHT(SUBSTITUTE(TRIM(E167&amp;"")," ",REPT(" ",60)),60)),설정_코드표!$F$2:$F$101,0))),INDEX(설정_코드표!$K$2:$K$101,MATCH(LEFT(TRIM(E167&amp;""),FIND(" ",TRIM(E167&amp;""))-1),설정_코드표!$J$2:$J$101,0))&amp;" "&amp;INDEX(설정_코드표!$G$2:$G$101,MATCH(TRIM(RIGHT(SUBSTITUTE(TRIM(E167&amp;"")," ",REPT(" ",60)),60)),설정_코드표!$F$2:$F$101,0)),"⚠"&amp;TRIM(E167&amp;""))),"⚠"&amp;TRIM(E167&amp;""))</f>
        <v/>
      </c>
      <c r="N167" s="10">
        <f>IFERROR(IF(TRIM(F167&amp;"")="","",IF(AND(ISNUMBER(FIND(" ",TRIM(F167&amp;""))),ISNUMBER(MATCH(LEFT(TRIM(F167&amp;""),FIND(" ",TRIM(F167&amp;""))-1),설정_코드표!$J$2:$J$101,0)),ISNUMBER(MATCH(TRIM(RIGHT(SUBSTITUTE(TRIM(F167&amp;"")," ",REPT(" ",60)),60)),설정_코드표!$F$2:$F$101,0))),INDEX(설정_코드표!$K$2:$K$101,MATCH(LEFT(TRIM(F167&amp;""),FIND(" ",TRIM(F167&amp;""))-1),설정_코드표!$J$2:$J$101,0))&amp;" "&amp;INDEX(설정_코드표!$G$2:$G$101,MATCH(TRIM(RIGHT(SUBSTITUTE(TRIM(F167&amp;"")," ",REPT(" ",60)),60)),설정_코드표!$F$2:$F$101,0)),"⚠"&amp;TRIM(F167&amp;""))),"⚠"&amp;TRIM(F167&amp;""))</f>
        <v/>
      </c>
      <c r="O167" s="10">
        <f>IFERROR(IF(TRIM(G167&amp;"")="","",IF(AND(ISNUMBER(FIND(" ",TRIM(G167&amp;""))),ISNUMBER(MATCH(LEFT(TRIM(G167&amp;""),FIND(" ",TRIM(G167&amp;""))-1),설정_코드표!$J$2:$J$101,0)),ISNUMBER(MATCH(TRIM(RIGHT(SUBSTITUTE(TRIM(G167&amp;"")," ",REPT(" ",60)),60)),설정_코드표!$F$2:$F$101,0))),INDEX(설정_코드표!$K$2:$K$101,MATCH(LEFT(TRIM(G167&amp;""),FIND(" ",TRIM(G167&amp;""))-1),설정_코드표!$J$2:$J$101,0))&amp;" "&amp;INDEX(설정_코드표!$G$2:$G$101,MATCH(TRIM(RIGHT(SUBSTITUTE(TRIM(G167&amp;"")," ",REPT(" ",60)),60)),설정_코드표!$F$2:$F$101,0)),"⚠"&amp;TRIM(G167&amp;""))),"⚠"&amp;TRIM(G167&amp;""))</f>
        <v/>
      </c>
      <c r="P167" s="10">
        <f>IFERROR(IF(TRIM(H167&amp;"")="","",IF(AND(ISNUMBER(FIND(" ",TRIM(H167&amp;""))),ISNUMBER(MATCH(LEFT(TRIM(H167&amp;""),FIND(" ",TRIM(H167&amp;""))-1),설정_코드표!$J$2:$J$101,0)),ISNUMBER(MATCH(TRIM(RIGHT(SUBSTITUTE(TRIM(H167&amp;"")," ",REPT(" ",60)),60)),설정_코드표!$F$2:$F$101,0))),INDEX(설정_코드표!$K$2:$K$101,MATCH(LEFT(TRIM(H167&amp;""),FIND(" ",TRIM(H167&amp;""))-1),설정_코드표!$J$2:$J$101,0))&amp;" "&amp;INDEX(설정_코드표!$G$2:$G$101,MATCH(TRIM(RIGHT(SUBSTITUTE(TRIM(H167&amp;"")," ",REPT(" ",60)),60)),설정_코드표!$F$2:$F$101,0)),"⚠"&amp;TRIM(H167&amp;""))),"⚠"&amp;TRIM(H167&amp;""))</f>
        <v/>
      </c>
      <c r="Q167" s="10">
        <f>IFERROR(IF(TRIM(I167&amp;"")="","",IF(AND(ISNUMBER(FIND(" ",TRIM(I167&amp;""))),ISNUMBER(MATCH(LEFT(TRIM(I167&amp;""),FIND(" ",TRIM(I167&amp;""))-1),설정_코드표!$J$2:$J$101,0)),ISNUMBER(MATCH(TRIM(RIGHT(SUBSTITUTE(TRIM(I167&amp;"")," ",REPT(" ",60)),60)),설정_코드표!$F$2:$F$101,0))),INDEX(설정_코드표!$K$2:$K$101,MATCH(LEFT(TRIM(I167&amp;""),FIND(" ",TRIM(I167&amp;""))-1),설정_코드표!$J$2:$J$101,0))&amp;" "&amp;INDEX(설정_코드표!$G$2:$G$101,MATCH(TRIM(RIGHT(SUBSTITUTE(TRIM(I167&amp;"")," ",REPT(" ",60)),60)),설정_코드표!$F$2:$F$101,0)),"⚠"&amp;TRIM(I167&amp;""))),"⚠"&amp;TRIM(I167&amp;""))</f>
        <v/>
      </c>
      <c r="R167" s="10">
        <f>IFERROR(IF(TRIM(J167&amp;"")="","",IF(AND(ISNUMBER(FIND(" ",TRIM(J167&amp;""))),ISNUMBER(MATCH(LEFT(TRIM(J167&amp;""),FIND(" ",TRIM(J167&amp;""))-1),설정_코드표!$J$2:$J$101,0)),ISNUMBER(MATCH(TRIM(RIGHT(SUBSTITUTE(TRIM(J167&amp;"")," ",REPT(" ",60)),60)),설정_코드표!$F$2:$F$101,0))),INDEX(설정_코드표!$K$2:$K$101,MATCH(LEFT(TRIM(J167&amp;""),FIND(" ",TRIM(J167&amp;""))-1),설정_코드표!$J$2:$J$101,0))&amp;" "&amp;INDEX(설정_코드표!$G$2:$G$101,MATCH(TRIM(RIGHT(SUBSTITUTE(TRIM(J167&amp;"")," ",REPT(" ",60)),60)),설정_코드표!$F$2:$F$101,0)),"⚠"&amp;TRIM(J167&amp;""))),"⚠"&amp;TRIM(J167&amp;""))</f>
        <v/>
      </c>
      <c r="S167" s="11">
        <f>IF(K167="","",IFERROR(IF(AND(ROUND((VALUE(K167&amp;"")-INT(VALUE(K167&amp;"")))*100,0)&gt;=1,ROUND((VALUE(K167&amp;"")-INT(VALUE(K167&amp;"")))*100,0)&lt;=12,INT(VALUE(K167&amp;""))&gt;=1900),DATE(INT(VALUE(K167&amp;"")),ROUND((VALUE(K167&amp;"")-INT(VALUE(K167&amp;"")))*100,0),1),K167&amp;""),K167&amp;""))</f>
        <v/>
      </c>
      <c r="T167" s="10">
        <f>COUNTIF(M167:R167,"⚠*")</f>
        <v/>
      </c>
    </row>
    <row r="168"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M168" s="10">
        <f>IFERROR(IF(TRIM(E168&amp;"")="","",IF(AND(ISNUMBER(FIND(" ",TRIM(E168&amp;""))),ISNUMBER(MATCH(LEFT(TRIM(E168&amp;""),FIND(" ",TRIM(E168&amp;""))-1),설정_코드표!$J$2:$J$101,0)),ISNUMBER(MATCH(TRIM(RIGHT(SUBSTITUTE(TRIM(E168&amp;"")," ",REPT(" ",60)),60)),설정_코드표!$F$2:$F$101,0))),INDEX(설정_코드표!$K$2:$K$101,MATCH(LEFT(TRIM(E168&amp;""),FIND(" ",TRIM(E168&amp;""))-1),설정_코드표!$J$2:$J$101,0))&amp;" "&amp;INDEX(설정_코드표!$G$2:$G$101,MATCH(TRIM(RIGHT(SUBSTITUTE(TRIM(E168&amp;"")," ",REPT(" ",60)),60)),설정_코드표!$F$2:$F$101,0)),"⚠"&amp;TRIM(E168&amp;""))),"⚠"&amp;TRIM(E168&amp;""))</f>
        <v/>
      </c>
      <c r="N168" s="10">
        <f>IFERROR(IF(TRIM(F168&amp;"")="","",IF(AND(ISNUMBER(FIND(" ",TRIM(F168&amp;""))),ISNUMBER(MATCH(LEFT(TRIM(F168&amp;""),FIND(" ",TRIM(F168&amp;""))-1),설정_코드표!$J$2:$J$101,0)),ISNUMBER(MATCH(TRIM(RIGHT(SUBSTITUTE(TRIM(F168&amp;"")," ",REPT(" ",60)),60)),설정_코드표!$F$2:$F$101,0))),INDEX(설정_코드표!$K$2:$K$101,MATCH(LEFT(TRIM(F168&amp;""),FIND(" ",TRIM(F168&amp;""))-1),설정_코드표!$J$2:$J$101,0))&amp;" "&amp;INDEX(설정_코드표!$G$2:$G$101,MATCH(TRIM(RIGHT(SUBSTITUTE(TRIM(F168&amp;"")," ",REPT(" ",60)),60)),설정_코드표!$F$2:$F$101,0)),"⚠"&amp;TRIM(F168&amp;""))),"⚠"&amp;TRIM(F168&amp;""))</f>
        <v/>
      </c>
      <c r="O168" s="10">
        <f>IFERROR(IF(TRIM(G168&amp;"")="","",IF(AND(ISNUMBER(FIND(" ",TRIM(G168&amp;""))),ISNUMBER(MATCH(LEFT(TRIM(G168&amp;""),FIND(" ",TRIM(G168&amp;""))-1),설정_코드표!$J$2:$J$101,0)),ISNUMBER(MATCH(TRIM(RIGHT(SUBSTITUTE(TRIM(G168&amp;"")," ",REPT(" ",60)),60)),설정_코드표!$F$2:$F$101,0))),INDEX(설정_코드표!$K$2:$K$101,MATCH(LEFT(TRIM(G168&amp;""),FIND(" ",TRIM(G168&amp;""))-1),설정_코드표!$J$2:$J$101,0))&amp;" "&amp;INDEX(설정_코드표!$G$2:$G$101,MATCH(TRIM(RIGHT(SUBSTITUTE(TRIM(G168&amp;"")," ",REPT(" ",60)),60)),설정_코드표!$F$2:$F$101,0)),"⚠"&amp;TRIM(G168&amp;""))),"⚠"&amp;TRIM(G168&amp;""))</f>
        <v/>
      </c>
      <c r="P168" s="10">
        <f>IFERROR(IF(TRIM(H168&amp;"")="","",IF(AND(ISNUMBER(FIND(" ",TRIM(H168&amp;""))),ISNUMBER(MATCH(LEFT(TRIM(H168&amp;""),FIND(" ",TRIM(H168&amp;""))-1),설정_코드표!$J$2:$J$101,0)),ISNUMBER(MATCH(TRIM(RIGHT(SUBSTITUTE(TRIM(H168&amp;"")," ",REPT(" ",60)),60)),설정_코드표!$F$2:$F$101,0))),INDEX(설정_코드표!$K$2:$K$101,MATCH(LEFT(TRIM(H168&amp;""),FIND(" ",TRIM(H168&amp;""))-1),설정_코드표!$J$2:$J$101,0))&amp;" "&amp;INDEX(설정_코드표!$G$2:$G$101,MATCH(TRIM(RIGHT(SUBSTITUTE(TRIM(H168&amp;"")," ",REPT(" ",60)),60)),설정_코드표!$F$2:$F$101,0)),"⚠"&amp;TRIM(H168&amp;""))),"⚠"&amp;TRIM(H168&amp;""))</f>
        <v/>
      </c>
      <c r="Q168" s="10">
        <f>IFERROR(IF(TRIM(I168&amp;"")="","",IF(AND(ISNUMBER(FIND(" ",TRIM(I168&amp;""))),ISNUMBER(MATCH(LEFT(TRIM(I168&amp;""),FIND(" ",TRIM(I168&amp;""))-1),설정_코드표!$J$2:$J$101,0)),ISNUMBER(MATCH(TRIM(RIGHT(SUBSTITUTE(TRIM(I168&amp;"")," ",REPT(" ",60)),60)),설정_코드표!$F$2:$F$101,0))),INDEX(설정_코드표!$K$2:$K$101,MATCH(LEFT(TRIM(I168&amp;""),FIND(" ",TRIM(I168&amp;""))-1),설정_코드표!$J$2:$J$101,0))&amp;" "&amp;INDEX(설정_코드표!$G$2:$G$101,MATCH(TRIM(RIGHT(SUBSTITUTE(TRIM(I168&amp;"")," ",REPT(" ",60)),60)),설정_코드표!$F$2:$F$101,0)),"⚠"&amp;TRIM(I168&amp;""))),"⚠"&amp;TRIM(I168&amp;""))</f>
        <v/>
      </c>
      <c r="R168" s="10">
        <f>IFERROR(IF(TRIM(J168&amp;"")="","",IF(AND(ISNUMBER(FIND(" ",TRIM(J168&amp;""))),ISNUMBER(MATCH(LEFT(TRIM(J168&amp;""),FIND(" ",TRIM(J168&amp;""))-1),설정_코드표!$J$2:$J$101,0)),ISNUMBER(MATCH(TRIM(RIGHT(SUBSTITUTE(TRIM(J168&amp;"")," ",REPT(" ",60)),60)),설정_코드표!$F$2:$F$101,0))),INDEX(설정_코드표!$K$2:$K$101,MATCH(LEFT(TRIM(J168&amp;""),FIND(" ",TRIM(J168&amp;""))-1),설정_코드표!$J$2:$J$101,0))&amp;" "&amp;INDEX(설정_코드표!$G$2:$G$101,MATCH(TRIM(RIGHT(SUBSTITUTE(TRIM(J168&amp;"")," ",REPT(" ",60)),60)),설정_코드표!$F$2:$F$101,0)),"⚠"&amp;TRIM(J168&amp;""))),"⚠"&amp;TRIM(J168&amp;""))</f>
        <v/>
      </c>
      <c r="S168" s="11">
        <f>IF(K168="","",IFERROR(IF(AND(ROUND((VALUE(K168&amp;"")-INT(VALUE(K168&amp;"")))*100,0)&gt;=1,ROUND((VALUE(K168&amp;"")-INT(VALUE(K168&amp;"")))*100,0)&lt;=12,INT(VALUE(K168&amp;""))&gt;=1900),DATE(INT(VALUE(K168&amp;"")),ROUND((VALUE(K168&amp;"")-INT(VALUE(K168&amp;"")))*100,0),1),K168&amp;""),K168&amp;""))</f>
        <v/>
      </c>
      <c r="T168" s="10">
        <f>COUNTIF(M168:R168,"⚠*")</f>
        <v/>
      </c>
    </row>
    <row r="169"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M169" s="10">
        <f>IFERROR(IF(TRIM(E169&amp;"")="","",IF(AND(ISNUMBER(FIND(" ",TRIM(E169&amp;""))),ISNUMBER(MATCH(LEFT(TRIM(E169&amp;""),FIND(" ",TRIM(E169&amp;""))-1),설정_코드표!$J$2:$J$101,0)),ISNUMBER(MATCH(TRIM(RIGHT(SUBSTITUTE(TRIM(E169&amp;"")," ",REPT(" ",60)),60)),설정_코드표!$F$2:$F$101,0))),INDEX(설정_코드표!$K$2:$K$101,MATCH(LEFT(TRIM(E169&amp;""),FIND(" ",TRIM(E169&amp;""))-1),설정_코드표!$J$2:$J$101,0))&amp;" "&amp;INDEX(설정_코드표!$G$2:$G$101,MATCH(TRIM(RIGHT(SUBSTITUTE(TRIM(E169&amp;"")," ",REPT(" ",60)),60)),설정_코드표!$F$2:$F$101,0)),"⚠"&amp;TRIM(E169&amp;""))),"⚠"&amp;TRIM(E169&amp;""))</f>
        <v/>
      </c>
      <c r="N169" s="10">
        <f>IFERROR(IF(TRIM(F169&amp;"")="","",IF(AND(ISNUMBER(FIND(" ",TRIM(F169&amp;""))),ISNUMBER(MATCH(LEFT(TRIM(F169&amp;""),FIND(" ",TRIM(F169&amp;""))-1),설정_코드표!$J$2:$J$101,0)),ISNUMBER(MATCH(TRIM(RIGHT(SUBSTITUTE(TRIM(F169&amp;"")," ",REPT(" ",60)),60)),설정_코드표!$F$2:$F$101,0))),INDEX(설정_코드표!$K$2:$K$101,MATCH(LEFT(TRIM(F169&amp;""),FIND(" ",TRIM(F169&amp;""))-1),설정_코드표!$J$2:$J$101,0))&amp;" "&amp;INDEX(설정_코드표!$G$2:$G$101,MATCH(TRIM(RIGHT(SUBSTITUTE(TRIM(F169&amp;"")," ",REPT(" ",60)),60)),설정_코드표!$F$2:$F$101,0)),"⚠"&amp;TRIM(F169&amp;""))),"⚠"&amp;TRIM(F169&amp;""))</f>
        <v/>
      </c>
      <c r="O169" s="10">
        <f>IFERROR(IF(TRIM(G169&amp;"")="","",IF(AND(ISNUMBER(FIND(" ",TRIM(G169&amp;""))),ISNUMBER(MATCH(LEFT(TRIM(G169&amp;""),FIND(" ",TRIM(G169&amp;""))-1),설정_코드표!$J$2:$J$101,0)),ISNUMBER(MATCH(TRIM(RIGHT(SUBSTITUTE(TRIM(G169&amp;"")," ",REPT(" ",60)),60)),설정_코드표!$F$2:$F$101,0))),INDEX(설정_코드표!$K$2:$K$101,MATCH(LEFT(TRIM(G169&amp;""),FIND(" ",TRIM(G169&amp;""))-1),설정_코드표!$J$2:$J$101,0))&amp;" "&amp;INDEX(설정_코드표!$G$2:$G$101,MATCH(TRIM(RIGHT(SUBSTITUTE(TRIM(G169&amp;"")," ",REPT(" ",60)),60)),설정_코드표!$F$2:$F$101,0)),"⚠"&amp;TRIM(G169&amp;""))),"⚠"&amp;TRIM(G169&amp;""))</f>
        <v/>
      </c>
      <c r="P169" s="10">
        <f>IFERROR(IF(TRIM(H169&amp;"")="","",IF(AND(ISNUMBER(FIND(" ",TRIM(H169&amp;""))),ISNUMBER(MATCH(LEFT(TRIM(H169&amp;""),FIND(" ",TRIM(H169&amp;""))-1),설정_코드표!$J$2:$J$101,0)),ISNUMBER(MATCH(TRIM(RIGHT(SUBSTITUTE(TRIM(H169&amp;"")," ",REPT(" ",60)),60)),설정_코드표!$F$2:$F$101,0))),INDEX(설정_코드표!$K$2:$K$101,MATCH(LEFT(TRIM(H169&amp;""),FIND(" ",TRIM(H169&amp;""))-1),설정_코드표!$J$2:$J$101,0))&amp;" "&amp;INDEX(설정_코드표!$G$2:$G$101,MATCH(TRIM(RIGHT(SUBSTITUTE(TRIM(H169&amp;"")," ",REPT(" ",60)),60)),설정_코드표!$F$2:$F$101,0)),"⚠"&amp;TRIM(H169&amp;""))),"⚠"&amp;TRIM(H169&amp;""))</f>
        <v/>
      </c>
      <c r="Q169" s="10">
        <f>IFERROR(IF(TRIM(I169&amp;"")="","",IF(AND(ISNUMBER(FIND(" ",TRIM(I169&amp;""))),ISNUMBER(MATCH(LEFT(TRIM(I169&amp;""),FIND(" ",TRIM(I169&amp;""))-1),설정_코드표!$J$2:$J$101,0)),ISNUMBER(MATCH(TRIM(RIGHT(SUBSTITUTE(TRIM(I169&amp;"")," ",REPT(" ",60)),60)),설정_코드표!$F$2:$F$101,0))),INDEX(설정_코드표!$K$2:$K$101,MATCH(LEFT(TRIM(I169&amp;""),FIND(" ",TRIM(I169&amp;""))-1),설정_코드표!$J$2:$J$101,0))&amp;" "&amp;INDEX(설정_코드표!$G$2:$G$101,MATCH(TRIM(RIGHT(SUBSTITUTE(TRIM(I169&amp;"")," ",REPT(" ",60)),60)),설정_코드표!$F$2:$F$101,0)),"⚠"&amp;TRIM(I169&amp;""))),"⚠"&amp;TRIM(I169&amp;""))</f>
        <v/>
      </c>
      <c r="R169" s="10">
        <f>IFERROR(IF(TRIM(J169&amp;"")="","",IF(AND(ISNUMBER(FIND(" ",TRIM(J169&amp;""))),ISNUMBER(MATCH(LEFT(TRIM(J169&amp;""),FIND(" ",TRIM(J169&amp;""))-1),설정_코드표!$J$2:$J$101,0)),ISNUMBER(MATCH(TRIM(RIGHT(SUBSTITUTE(TRIM(J169&amp;"")," ",REPT(" ",60)),60)),설정_코드표!$F$2:$F$101,0))),INDEX(설정_코드표!$K$2:$K$101,MATCH(LEFT(TRIM(J169&amp;""),FIND(" ",TRIM(J169&amp;""))-1),설정_코드표!$J$2:$J$101,0))&amp;" "&amp;INDEX(설정_코드표!$G$2:$G$101,MATCH(TRIM(RIGHT(SUBSTITUTE(TRIM(J169&amp;"")," ",REPT(" ",60)),60)),설정_코드표!$F$2:$F$101,0)),"⚠"&amp;TRIM(J169&amp;""))),"⚠"&amp;TRIM(J169&amp;""))</f>
        <v/>
      </c>
      <c r="S169" s="11">
        <f>IF(K169="","",IFERROR(IF(AND(ROUND((VALUE(K169&amp;"")-INT(VALUE(K169&amp;"")))*100,0)&gt;=1,ROUND((VALUE(K169&amp;"")-INT(VALUE(K169&amp;"")))*100,0)&lt;=12,INT(VALUE(K169&amp;""))&gt;=1900),DATE(INT(VALUE(K169&amp;"")),ROUND((VALUE(K169&amp;"")-INT(VALUE(K169&amp;"")))*100,0),1),K169&amp;""),K169&amp;""))</f>
        <v/>
      </c>
      <c r="T169" s="10">
        <f>COUNTIF(M169:R169,"⚠*")</f>
        <v/>
      </c>
    </row>
    <row r="170"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M170" s="10">
        <f>IFERROR(IF(TRIM(E170&amp;"")="","",IF(AND(ISNUMBER(FIND(" ",TRIM(E170&amp;""))),ISNUMBER(MATCH(LEFT(TRIM(E170&amp;""),FIND(" ",TRIM(E170&amp;""))-1),설정_코드표!$J$2:$J$101,0)),ISNUMBER(MATCH(TRIM(RIGHT(SUBSTITUTE(TRIM(E170&amp;"")," ",REPT(" ",60)),60)),설정_코드표!$F$2:$F$101,0))),INDEX(설정_코드표!$K$2:$K$101,MATCH(LEFT(TRIM(E170&amp;""),FIND(" ",TRIM(E170&amp;""))-1),설정_코드표!$J$2:$J$101,0))&amp;" "&amp;INDEX(설정_코드표!$G$2:$G$101,MATCH(TRIM(RIGHT(SUBSTITUTE(TRIM(E170&amp;"")," ",REPT(" ",60)),60)),설정_코드표!$F$2:$F$101,0)),"⚠"&amp;TRIM(E170&amp;""))),"⚠"&amp;TRIM(E170&amp;""))</f>
        <v/>
      </c>
      <c r="N170" s="10">
        <f>IFERROR(IF(TRIM(F170&amp;"")="","",IF(AND(ISNUMBER(FIND(" ",TRIM(F170&amp;""))),ISNUMBER(MATCH(LEFT(TRIM(F170&amp;""),FIND(" ",TRIM(F170&amp;""))-1),설정_코드표!$J$2:$J$101,0)),ISNUMBER(MATCH(TRIM(RIGHT(SUBSTITUTE(TRIM(F170&amp;"")," ",REPT(" ",60)),60)),설정_코드표!$F$2:$F$101,0))),INDEX(설정_코드표!$K$2:$K$101,MATCH(LEFT(TRIM(F170&amp;""),FIND(" ",TRIM(F170&amp;""))-1),설정_코드표!$J$2:$J$101,0))&amp;" "&amp;INDEX(설정_코드표!$G$2:$G$101,MATCH(TRIM(RIGHT(SUBSTITUTE(TRIM(F170&amp;"")," ",REPT(" ",60)),60)),설정_코드표!$F$2:$F$101,0)),"⚠"&amp;TRIM(F170&amp;""))),"⚠"&amp;TRIM(F170&amp;""))</f>
        <v/>
      </c>
      <c r="O170" s="10">
        <f>IFERROR(IF(TRIM(G170&amp;"")="","",IF(AND(ISNUMBER(FIND(" ",TRIM(G170&amp;""))),ISNUMBER(MATCH(LEFT(TRIM(G170&amp;""),FIND(" ",TRIM(G170&amp;""))-1),설정_코드표!$J$2:$J$101,0)),ISNUMBER(MATCH(TRIM(RIGHT(SUBSTITUTE(TRIM(G170&amp;"")," ",REPT(" ",60)),60)),설정_코드표!$F$2:$F$101,0))),INDEX(설정_코드표!$K$2:$K$101,MATCH(LEFT(TRIM(G170&amp;""),FIND(" ",TRIM(G170&amp;""))-1),설정_코드표!$J$2:$J$101,0))&amp;" "&amp;INDEX(설정_코드표!$G$2:$G$101,MATCH(TRIM(RIGHT(SUBSTITUTE(TRIM(G170&amp;"")," ",REPT(" ",60)),60)),설정_코드표!$F$2:$F$101,0)),"⚠"&amp;TRIM(G170&amp;""))),"⚠"&amp;TRIM(G170&amp;""))</f>
        <v/>
      </c>
      <c r="P170" s="10">
        <f>IFERROR(IF(TRIM(H170&amp;"")="","",IF(AND(ISNUMBER(FIND(" ",TRIM(H170&amp;""))),ISNUMBER(MATCH(LEFT(TRIM(H170&amp;""),FIND(" ",TRIM(H170&amp;""))-1),설정_코드표!$J$2:$J$101,0)),ISNUMBER(MATCH(TRIM(RIGHT(SUBSTITUTE(TRIM(H170&amp;"")," ",REPT(" ",60)),60)),설정_코드표!$F$2:$F$101,0))),INDEX(설정_코드표!$K$2:$K$101,MATCH(LEFT(TRIM(H170&amp;""),FIND(" ",TRIM(H170&amp;""))-1),설정_코드표!$J$2:$J$101,0))&amp;" "&amp;INDEX(설정_코드표!$G$2:$G$101,MATCH(TRIM(RIGHT(SUBSTITUTE(TRIM(H170&amp;"")," ",REPT(" ",60)),60)),설정_코드표!$F$2:$F$101,0)),"⚠"&amp;TRIM(H170&amp;""))),"⚠"&amp;TRIM(H170&amp;""))</f>
        <v/>
      </c>
      <c r="Q170" s="10">
        <f>IFERROR(IF(TRIM(I170&amp;"")="","",IF(AND(ISNUMBER(FIND(" ",TRIM(I170&amp;""))),ISNUMBER(MATCH(LEFT(TRIM(I170&amp;""),FIND(" ",TRIM(I170&amp;""))-1),설정_코드표!$J$2:$J$101,0)),ISNUMBER(MATCH(TRIM(RIGHT(SUBSTITUTE(TRIM(I170&amp;"")," ",REPT(" ",60)),60)),설정_코드표!$F$2:$F$101,0))),INDEX(설정_코드표!$K$2:$K$101,MATCH(LEFT(TRIM(I170&amp;""),FIND(" ",TRIM(I170&amp;""))-1),설정_코드표!$J$2:$J$101,0))&amp;" "&amp;INDEX(설정_코드표!$G$2:$G$101,MATCH(TRIM(RIGHT(SUBSTITUTE(TRIM(I170&amp;"")," ",REPT(" ",60)),60)),설정_코드표!$F$2:$F$101,0)),"⚠"&amp;TRIM(I170&amp;""))),"⚠"&amp;TRIM(I170&amp;""))</f>
        <v/>
      </c>
      <c r="R170" s="10">
        <f>IFERROR(IF(TRIM(J170&amp;"")="","",IF(AND(ISNUMBER(FIND(" ",TRIM(J170&amp;""))),ISNUMBER(MATCH(LEFT(TRIM(J170&amp;""),FIND(" ",TRIM(J170&amp;""))-1),설정_코드표!$J$2:$J$101,0)),ISNUMBER(MATCH(TRIM(RIGHT(SUBSTITUTE(TRIM(J170&amp;"")," ",REPT(" ",60)),60)),설정_코드표!$F$2:$F$101,0))),INDEX(설정_코드표!$K$2:$K$101,MATCH(LEFT(TRIM(J170&amp;""),FIND(" ",TRIM(J170&amp;""))-1),설정_코드표!$J$2:$J$101,0))&amp;" "&amp;INDEX(설정_코드표!$G$2:$G$101,MATCH(TRIM(RIGHT(SUBSTITUTE(TRIM(J170&amp;"")," ",REPT(" ",60)),60)),설정_코드표!$F$2:$F$101,0)),"⚠"&amp;TRIM(J170&amp;""))),"⚠"&amp;TRIM(J170&amp;""))</f>
        <v/>
      </c>
      <c r="S170" s="11">
        <f>IF(K170="","",IFERROR(IF(AND(ROUND((VALUE(K170&amp;"")-INT(VALUE(K170&amp;"")))*100,0)&gt;=1,ROUND((VALUE(K170&amp;"")-INT(VALUE(K170&amp;"")))*100,0)&lt;=12,INT(VALUE(K170&amp;""))&gt;=1900),DATE(INT(VALUE(K170&amp;"")),ROUND((VALUE(K170&amp;"")-INT(VALUE(K170&amp;"")))*100,0),1),K170&amp;""),K170&amp;""))</f>
        <v/>
      </c>
      <c r="T170" s="10">
        <f>COUNTIF(M170:R170,"⚠*")</f>
        <v/>
      </c>
    </row>
    <row r="171"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M171" s="10">
        <f>IFERROR(IF(TRIM(E171&amp;"")="","",IF(AND(ISNUMBER(FIND(" ",TRIM(E171&amp;""))),ISNUMBER(MATCH(LEFT(TRIM(E171&amp;""),FIND(" ",TRIM(E171&amp;""))-1),설정_코드표!$J$2:$J$101,0)),ISNUMBER(MATCH(TRIM(RIGHT(SUBSTITUTE(TRIM(E171&amp;"")," ",REPT(" ",60)),60)),설정_코드표!$F$2:$F$101,0))),INDEX(설정_코드표!$K$2:$K$101,MATCH(LEFT(TRIM(E171&amp;""),FIND(" ",TRIM(E171&amp;""))-1),설정_코드표!$J$2:$J$101,0))&amp;" "&amp;INDEX(설정_코드표!$G$2:$G$101,MATCH(TRIM(RIGHT(SUBSTITUTE(TRIM(E171&amp;"")," ",REPT(" ",60)),60)),설정_코드표!$F$2:$F$101,0)),"⚠"&amp;TRIM(E171&amp;""))),"⚠"&amp;TRIM(E171&amp;""))</f>
        <v/>
      </c>
      <c r="N171" s="10">
        <f>IFERROR(IF(TRIM(F171&amp;"")="","",IF(AND(ISNUMBER(FIND(" ",TRIM(F171&amp;""))),ISNUMBER(MATCH(LEFT(TRIM(F171&amp;""),FIND(" ",TRIM(F171&amp;""))-1),설정_코드표!$J$2:$J$101,0)),ISNUMBER(MATCH(TRIM(RIGHT(SUBSTITUTE(TRIM(F171&amp;"")," ",REPT(" ",60)),60)),설정_코드표!$F$2:$F$101,0))),INDEX(설정_코드표!$K$2:$K$101,MATCH(LEFT(TRIM(F171&amp;""),FIND(" ",TRIM(F171&amp;""))-1),설정_코드표!$J$2:$J$101,0))&amp;" "&amp;INDEX(설정_코드표!$G$2:$G$101,MATCH(TRIM(RIGHT(SUBSTITUTE(TRIM(F171&amp;"")," ",REPT(" ",60)),60)),설정_코드표!$F$2:$F$101,0)),"⚠"&amp;TRIM(F171&amp;""))),"⚠"&amp;TRIM(F171&amp;""))</f>
        <v/>
      </c>
      <c r="O171" s="10">
        <f>IFERROR(IF(TRIM(G171&amp;"")="","",IF(AND(ISNUMBER(FIND(" ",TRIM(G171&amp;""))),ISNUMBER(MATCH(LEFT(TRIM(G171&amp;""),FIND(" ",TRIM(G171&amp;""))-1),설정_코드표!$J$2:$J$101,0)),ISNUMBER(MATCH(TRIM(RIGHT(SUBSTITUTE(TRIM(G171&amp;"")," ",REPT(" ",60)),60)),설정_코드표!$F$2:$F$101,0))),INDEX(설정_코드표!$K$2:$K$101,MATCH(LEFT(TRIM(G171&amp;""),FIND(" ",TRIM(G171&amp;""))-1),설정_코드표!$J$2:$J$101,0))&amp;" "&amp;INDEX(설정_코드표!$G$2:$G$101,MATCH(TRIM(RIGHT(SUBSTITUTE(TRIM(G171&amp;"")," ",REPT(" ",60)),60)),설정_코드표!$F$2:$F$101,0)),"⚠"&amp;TRIM(G171&amp;""))),"⚠"&amp;TRIM(G171&amp;""))</f>
        <v/>
      </c>
      <c r="P171" s="10">
        <f>IFERROR(IF(TRIM(H171&amp;"")="","",IF(AND(ISNUMBER(FIND(" ",TRIM(H171&amp;""))),ISNUMBER(MATCH(LEFT(TRIM(H171&amp;""),FIND(" ",TRIM(H171&amp;""))-1),설정_코드표!$J$2:$J$101,0)),ISNUMBER(MATCH(TRIM(RIGHT(SUBSTITUTE(TRIM(H171&amp;"")," ",REPT(" ",60)),60)),설정_코드표!$F$2:$F$101,0))),INDEX(설정_코드표!$K$2:$K$101,MATCH(LEFT(TRIM(H171&amp;""),FIND(" ",TRIM(H171&amp;""))-1),설정_코드표!$J$2:$J$101,0))&amp;" "&amp;INDEX(설정_코드표!$G$2:$G$101,MATCH(TRIM(RIGHT(SUBSTITUTE(TRIM(H171&amp;"")," ",REPT(" ",60)),60)),설정_코드표!$F$2:$F$101,0)),"⚠"&amp;TRIM(H171&amp;""))),"⚠"&amp;TRIM(H171&amp;""))</f>
        <v/>
      </c>
      <c r="Q171" s="10">
        <f>IFERROR(IF(TRIM(I171&amp;"")="","",IF(AND(ISNUMBER(FIND(" ",TRIM(I171&amp;""))),ISNUMBER(MATCH(LEFT(TRIM(I171&amp;""),FIND(" ",TRIM(I171&amp;""))-1),설정_코드표!$J$2:$J$101,0)),ISNUMBER(MATCH(TRIM(RIGHT(SUBSTITUTE(TRIM(I171&amp;"")," ",REPT(" ",60)),60)),설정_코드표!$F$2:$F$101,0))),INDEX(설정_코드표!$K$2:$K$101,MATCH(LEFT(TRIM(I171&amp;""),FIND(" ",TRIM(I171&amp;""))-1),설정_코드표!$J$2:$J$101,0))&amp;" "&amp;INDEX(설정_코드표!$G$2:$G$101,MATCH(TRIM(RIGHT(SUBSTITUTE(TRIM(I171&amp;"")," ",REPT(" ",60)),60)),설정_코드표!$F$2:$F$101,0)),"⚠"&amp;TRIM(I171&amp;""))),"⚠"&amp;TRIM(I171&amp;""))</f>
        <v/>
      </c>
      <c r="R171" s="10">
        <f>IFERROR(IF(TRIM(J171&amp;"")="","",IF(AND(ISNUMBER(FIND(" ",TRIM(J171&amp;""))),ISNUMBER(MATCH(LEFT(TRIM(J171&amp;""),FIND(" ",TRIM(J171&amp;""))-1),설정_코드표!$J$2:$J$101,0)),ISNUMBER(MATCH(TRIM(RIGHT(SUBSTITUTE(TRIM(J171&amp;"")," ",REPT(" ",60)),60)),설정_코드표!$F$2:$F$101,0))),INDEX(설정_코드표!$K$2:$K$101,MATCH(LEFT(TRIM(J171&amp;""),FIND(" ",TRIM(J171&amp;""))-1),설정_코드표!$J$2:$J$101,0))&amp;" "&amp;INDEX(설정_코드표!$G$2:$G$101,MATCH(TRIM(RIGHT(SUBSTITUTE(TRIM(J171&amp;"")," ",REPT(" ",60)),60)),설정_코드표!$F$2:$F$101,0)),"⚠"&amp;TRIM(J171&amp;""))),"⚠"&amp;TRIM(J171&amp;""))</f>
        <v/>
      </c>
      <c r="S171" s="11">
        <f>IF(K171="","",IFERROR(IF(AND(ROUND((VALUE(K171&amp;"")-INT(VALUE(K171&amp;"")))*100,0)&gt;=1,ROUND((VALUE(K171&amp;"")-INT(VALUE(K171&amp;"")))*100,0)&lt;=12,INT(VALUE(K171&amp;""))&gt;=1900),DATE(INT(VALUE(K171&amp;"")),ROUND((VALUE(K171&amp;"")-INT(VALUE(K171&amp;"")))*100,0),1),K171&amp;""),K171&amp;""))</f>
        <v/>
      </c>
      <c r="T171" s="10">
        <f>COUNTIF(M171:R171,"⚠*")</f>
        <v/>
      </c>
    </row>
    <row r="172"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M172" s="10">
        <f>IFERROR(IF(TRIM(E172&amp;"")="","",IF(AND(ISNUMBER(FIND(" ",TRIM(E172&amp;""))),ISNUMBER(MATCH(LEFT(TRIM(E172&amp;""),FIND(" ",TRIM(E172&amp;""))-1),설정_코드표!$J$2:$J$101,0)),ISNUMBER(MATCH(TRIM(RIGHT(SUBSTITUTE(TRIM(E172&amp;"")," ",REPT(" ",60)),60)),설정_코드표!$F$2:$F$101,0))),INDEX(설정_코드표!$K$2:$K$101,MATCH(LEFT(TRIM(E172&amp;""),FIND(" ",TRIM(E172&amp;""))-1),설정_코드표!$J$2:$J$101,0))&amp;" "&amp;INDEX(설정_코드표!$G$2:$G$101,MATCH(TRIM(RIGHT(SUBSTITUTE(TRIM(E172&amp;"")," ",REPT(" ",60)),60)),설정_코드표!$F$2:$F$101,0)),"⚠"&amp;TRIM(E172&amp;""))),"⚠"&amp;TRIM(E172&amp;""))</f>
        <v/>
      </c>
      <c r="N172" s="10">
        <f>IFERROR(IF(TRIM(F172&amp;"")="","",IF(AND(ISNUMBER(FIND(" ",TRIM(F172&amp;""))),ISNUMBER(MATCH(LEFT(TRIM(F172&amp;""),FIND(" ",TRIM(F172&amp;""))-1),설정_코드표!$J$2:$J$101,0)),ISNUMBER(MATCH(TRIM(RIGHT(SUBSTITUTE(TRIM(F172&amp;"")," ",REPT(" ",60)),60)),설정_코드표!$F$2:$F$101,0))),INDEX(설정_코드표!$K$2:$K$101,MATCH(LEFT(TRIM(F172&amp;""),FIND(" ",TRIM(F172&amp;""))-1),설정_코드표!$J$2:$J$101,0))&amp;" "&amp;INDEX(설정_코드표!$G$2:$G$101,MATCH(TRIM(RIGHT(SUBSTITUTE(TRIM(F172&amp;"")," ",REPT(" ",60)),60)),설정_코드표!$F$2:$F$101,0)),"⚠"&amp;TRIM(F172&amp;""))),"⚠"&amp;TRIM(F172&amp;""))</f>
        <v/>
      </c>
      <c r="O172" s="10">
        <f>IFERROR(IF(TRIM(G172&amp;"")="","",IF(AND(ISNUMBER(FIND(" ",TRIM(G172&amp;""))),ISNUMBER(MATCH(LEFT(TRIM(G172&amp;""),FIND(" ",TRIM(G172&amp;""))-1),설정_코드표!$J$2:$J$101,0)),ISNUMBER(MATCH(TRIM(RIGHT(SUBSTITUTE(TRIM(G172&amp;"")," ",REPT(" ",60)),60)),설정_코드표!$F$2:$F$101,0))),INDEX(설정_코드표!$K$2:$K$101,MATCH(LEFT(TRIM(G172&amp;""),FIND(" ",TRIM(G172&amp;""))-1),설정_코드표!$J$2:$J$101,0))&amp;" "&amp;INDEX(설정_코드표!$G$2:$G$101,MATCH(TRIM(RIGHT(SUBSTITUTE(TRIM(G172&amp;"")," ",REPT(" ",60)),60)),설정_코드표!$F$2:$F$101,0)),"⚠"&amp;TRIM(G172&amp;""))),"⚠"&amp;TRIM(G172&amp;""))</f>
        <v/>
      </c>
      <c r="P172" s="10">
        <f>IFERROR(IF(TRIM(H172&amp;"")="","",IF(AND(ISNUMBER(FIND(" ",TRIM(H172&amp;""))),ISNUMBER(MATCH(LEFT(TRIM(H172&amp;""),FIND(" ",TRIM(H172&amp;""))-1),설정_코드표!$J$2:$J$101,0)),ISNUMBER(MATCH(TRIM(RIGHT(SUBSTITUTE(TRIM(H172&amp;"")," ",REPT(" ",60)),60)),설정_코드표!$F$2:$F$101,0))),INDEX(설정_코드표!$K$2:$K$101,MATCH(LEFT(TRIM(H172&amp;""),FIND(" ",TRIM(H172&amp;""))-1),설정_코드표!$J$2:$J$101,0))&amp;" "&amp;INDEX(설정_코드표!$G$2:$G$101,MATCH(TRIM(RIGHT(SUBSTITUTE(TRIM(H172&amp;"")," ",REPT(" ",60)),60)),설정_코드표!$F$2:$F$101,0)),"⚠"&amp;TRIM(H172&amp;""))),"⚠"&amp;TRIM(H172&amp;""))</f>
        <v/>
      </c>
      <c r="Q172" s="10">
        <f>IFERROR(IF(TRIM(I172&amp;"")="","",IF(AND(ISNUMBER(FIND(" ",TRIM(I172&amp;""))),ISNUMBER(MATCH(LEFT(TRIM(I172&amp;""),FIND(" ",TRIM(I172&amp;""))-1),설정_코드표!$J$2:$J$101,0)),ISNUMBER(MATCH(TRIM(RIGHT(SUBSTITUTE(TRIM(I172&amp;"")," ",REPT(" ",60)),60)),설정_코드표!$F$2:$F$101,0))),INDEX(설정_코드표!$K$2:$K$101,MATCH(LEFT(TRIM(I172&amp;""),FIND(" ",TRIM(I172&amp;""))-1),설정_코드표!$J$2:$J$101,0))&amp;" "&amp;INDEX(설정_코드표!$G$2:$G$101,MATCH(TRIM(RIGHT(SUBSTITUTE(TRIM(I172&amp;"")," ",REPT(" ",60)),60)),설정_코드표!$F$2:$F$101,0)),"⚠"&amp;TRIM(I172&amp;""))),"⚠"&amp;TRIM(I172&amp;""))</f>
        <v/>
      </c>
      <c r="R172" s="10">
        <f>IFERROR(IF(TRIM(J172&amp;"")="","",IF(AND(ISNUMBER(FIND(" ",TRIM(J172&amp;""))),ISNUMBER(MATCH(LEFT(TRIM(J172&amp;""),FIND(" ",TRIM(J172&amp;""))-1),설정_코드표!$J$2:$J$101,0)),ISNUMBER(MATCH(TRIM(RIGHT(SUBSTITUTE(TRIM(J172&amp;"")," ",REPT(" ",60)),60)),설정_코드표!$F$2:$F$101,0))),INDEX(설정_코드표!$K$2:$K$101,MATCH(LEFT(TRIM(J172&amp;""),FIND(" ",TRIM(J172&amp;""))-1),설정_코드표!$J$2:$J$101,0))&amp;" "&amp;INDEX(설정_코드표!$G$2:$G$101,MATCH(TRIM(RIGHT(SUBSTITUTE(TRIM(J172&amp;"")," ",REPT(" ",60)),60)),설정_코드표!$F$2:$F$101,0)),"⚠"&amp;TRIM(J172&amp;""))),"⚠"&amp;TRIM(J172&amp;""))</f>
        <v/>
      </c>
      <c r="S172" s="11">
        <f>IF(K172="","",IFERROR(IF(AND(ROUND((VALUE(K172&amp;"")-INT(VALUE(K172&amp;"")))*100,0)&gt;=1,ROUND((VALUE(K172&amp;"")-INT(VALUE(K172&amp;"")))*100,0)&lt;=12,INT(VALUE(K172&amp;""))&gt;=1900),DATE(INT(VALUE(K172&amp;"")),ROUND((VALUE(K172&amp;"")-INT(VALUE(K172&amp;"")))*100,0),1),K172&amp;""),K172&amp;""))</f>
        <v/>
      </c>
      <c r="T172" s="10">
        <f>COUNTIF(M172:R172,"⚠*")</f>
        <v/>
      </c>
    </row>
    <row r="173"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M173" s="10">
        <f>IFERROR(IF(TRIM(E173&amp;"")="","",IF(AND(ISNUMBER(FIND(" ",TRIM(E173&amp;""))),ISNUMBER(MATCH(LEFT(TRIM(E173&amp;""),FIND(" ",TRIM(E173&amp;""))-1),설정_코드표!$J$2:$J$101,0)),ISNUMBER(MATCH(TRIM(RIGHT(SUBSTITUTE(TRIM(E173&amp;"")," ",REPT(" ",60)),60)),설정_코드표!$F$2:$F$101,0))),INDEX(설정_코드표!$K$2:$K$101,MATCH(LEFT(TRIM(E173&amp;""),FIND(" ",TRIM(E173&amp;""))-1),설정_코드표!$J$2:$J$101,0))&amp;" "&amp;INDEX(설정_코드표!$G$2:$G$101,MATCH(TRIM(RIGHT(SUBSTITUTE(TRIM(E173&amp;"")," ",REPT(" ",60)),60)),설정_코드표!$F$2:$F$101,0)),"⚠"&amp;TRIM(E173&amp;""))),"⚠"&amp;TRIM(E173&amp;""))</f>
        <v/>
      </c>
      <c r="N173" s="10">
        <f>IFERROR(IF(TRIM(F173&amp;"")="","",IF(AND(ISNUMBER(FIND(" ",TRIM(F173&amp;""))),ISNUMBER(MATCH(LEFT(TRIM(F173&amp;""),FIND(" ",TRIM(F173&amp;""))-1),설정_코드표!$J$2:$J$101,0)),ISNUMBER(MATCH(TRIM(RIGHT(SUBSTITUTE(TRIM(F173&amp;"")," ",REPT(" ",60)),60)),설정_코드표!$F$2:$F$101,0))),INDEX(설정_코드표!$K$2:$K$101,MATCH(LEFT(TRIM(F173&amp;""),FIND(" ",TRIM(F173&amp;""))-1),설정_코드표!$J$2:$J$101,0))&amp;" "&amp;INDEX(설정_코드표!$G$2:$G$101,MATCH(TRIM(RIGHT(SUBSTITUTE(TRIM(F173&amp;"")," ",REPT(" ",60)),60)),설정_코드표!$F$2:$F$101,0)),"⚠"&amp;TRIM(F173&amp;""))),"⚠"&amp;TRIM(F173&amp;""))</f>
        <v/>
      </c>
      <c r="O173" s="10">
        <f>IFERROR(IF(TRIM(G173&amp;"")="","",IF(AND(ISNUMBER(FIND(" ",TRIM(G173&amp;""))),ISNUMBER(MATCH(LEFT(TRIM(G173&amp;""),FIND(" ",TRIM(G173&amp;""))-1),설정_코드표!$J$2:$J$101,0)),ISNUMBER(MATCH(TRIM(RIGHT(SUBSTITUTE(TRIM(G173&amp;"")," ",REPT(" ",60)),60)),설정_코드표!$F$2:$F$101,0))),INDEX(설정_코드표!$K$2:$K$101,MATCH(LEFT(TRIM(G173&amp;""),FIND(" ",TRIM(G173&amp;""))-1),설정_코드표!$J$2:$J$101,0))&amp;" "&amp;INDEX(설정_코드표!$G$2:$G$101,MATCH(TRIM(RIGHT(SUBSTITUTE(TRIM(G173&amp;"")," ",REPT(" ",60)),60)),설정_코드표!$F$2:$F$101,0)),"⚠"&amp;TRIM(G173&amp;""))),"⚠"&amp;TRIM(G173&amp;""))</f>
        <v/>
      </c>
      <c r="P173" s="10">
        <f>IFERROR(IF(TRIM(H173&amp;"")="","",IF(AND(ISNUMBER(FIND(" ",TRIM(H173&amp;""))),ISNUMBER(MATCH(LEFT(TRIM(H173&amp;""),FIND(" ",TRIM(H173&amp;""))-1),설정_코드표!$J$2:$J$101,0)),ISNUMBER(MATCH(TRIM(RIGHT(SUBSTITUTE(TRIM(H173&amp;"")," ",REPT(" ",60)),60)),설정_코드표!$F$2:$F$101,0))),INDEX(설정_코드표!$K$2:$K$101,MATCH(LEFT(TRIM(H173&amp;""),FIND(" ",TRIM(H173&amp;""))-1),설정_코드표!$J$2:$J$101,0))&amp;" "&amp;INDEX(설정_코드표!$G$2:$G$101,MATCH(TRIM(RIGHT(SUBSTITUTE(TRIM(H173&amp;"")," ",REPT(" ",60)),60)),설정_코드표!$F$2:$F$101,0)),"⚠"&amp;TRIM(H173&amp;""))),"⚠"&amp;TRIM(H173&amp;""))</f>
        <v/>
      </c>
      <c r="Q173" s="10">
        <f>IFERROR(IF(TRIM(I173&amp;"")="","",IF(AND(ISNUMBER(FIND(" ",TRIM(I173&amp;""))),ISNUMBER(MATCH(LEFT(TRIM(I173&amp;""),FIND(" ",TRIM(I173&amp;""))-1),설정_코드표!$J$2:$J$101,0)),ISNUMBER(MATCH(TRIM(RIGHT(SUBSTITUTE(TRIM(I173&amp;"")," ",REPT(" ",60)),60)),설정_코드표!$F$2:$F$101,0))),INDEX(설정_코드표!$K$2:$K$101,MATCH(LEFT(TRIM(I173&amp;""),FIND(" ",TRIM(I173&amp;""))-1),설정_코드표!$J$2:$J$101,0))&amp;" "&amp;INDEX(설정_코드표!$G$2:$G$101,MATCH(TRIM(RIGHT(SUBSTITUTE(TRIM(I173&amp;"")," ",REPT(" ",60)),60)),설정_코드표!$F$2:$F$101,0)),"⚠"&amp;TRIM(I173&amp;""))),"⚠"&amp;TRIM(I173&amp;""))</f>
        <v/>
      </c>
      <c r="R173" s="10">
        <f>IFERROR(IF(TRIM(J173&amp;"")="","",IF(AND(ISNUMBER(FIND(" ",TRIM(J173&amp;""))),ISNUMBER(MATCH(LEFT(TRIM(J173&amp;""),FIND(" ",TRIM(J173&amp;""))-1),설정_코드표!$J$2:$J$101,0)),ISNUMBER(MATCH(TRIM(RIGHT(SUBSTITUTE(TRIM(J173&amp;"")," ",REPT(" ",60)),60)),설정_코드표!$F$2:$F$101,0))),INDEX(설정_코드표!$K$2:$K$101,MATCH(LEFT(TRIM(J173&amp;""),FIND(" ",TRIM(J173&amp;""))-1),설정_코드표!$J$2:$J$101,0))&amp;" "&amp;INDEX(설정_코드표!$G$2:$G$101,MATCH(TRIM(RIGHT(SUBSTITUTE(TRIM(J173&amp;"")," ",REPT(" ",60)),60)),설정_코드표!$F$2:$F$101,0)),"⚠"&amp;TRIM(J173&amp;""))),"⚠"&amp;TRIM(J173&amp;""))</f>
        <v/>
      </c>
      <c r="S173" s="11">
        <f>IF(K173="","",IFERROR(IF(AND(ROUND((VALUE(K173&amp;"")-INT(VALUE(K173&amp;"")))*100,0)&gt;=1,ROUND((VALUE(K173&amp;"")-INT(VALUE(K173&amp;"")))*100,0)&lt;=12,INT(VALUE(K173&amp;""))&gt;=1900),DATE(INT(VALUE(K173&amp;"")),ROUND((VALUE(K173&amp;"")-INT(VALUE(K173&amp;"")))*100,0),1),K173&amp;""),K173&amp;""))</f>
        <v/>
      </c>
      <c r="T173" s="10">
        <f>COUNTIF(M173:R173,"⚠*")</f>
        <v/>
      </c>
    </row>
    <row r="174"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M174" s="10">
        <f>IFERROR(IF(TRIM(E174&amp;"")="","",IF(AND(ISNUMBER(FIND(" ",TRIM(E174&amp;""))),ISNUMBER(MATCH(LEFT(TRIM(E174&amp;""),FIND(" ",TRIM(E174&amp;""))-1),설정_코드표!$J$2:$J$101,0)),ISNUMBER(MATCH(TRIM(RIGHT(SUBSTITUTE(TRIM(E174&amp;"")," ",REPT(" ",60)),60)),설정_코드표!$F$2:$F$101,0))),INDEX(설정_코드표!$K$2:$K$101,MATCH(LEFT(TRIM(E174&amp;""),FIND(" ",TRIM(E174&amp;""))-1),설정_코드표!$J$2:$J$101,0))&amp;" "&amp;INDEX(설정_코드표!$G$2:$G$101,MATCH(TRIM(RIGHT(SUBSTITUTE(TRIM(E174&amp;"")," ",REPT(" ",60)),60)),설정_코드표!$F$2:$F$101,0)),"⚠"&amp;TRIM(E174&amp;""))),"⚠"&amp;TRIM(E174&amp;""))</f>
        <v/>
      </c>
      <c r="N174" s="10">
        <f>IFERROR(IF(TRIM(F174&amp;"")="","",IF(AND(ISNUMBER(FIND(" ",TRIM(F174&amp;""))),ISNUMBER(MATCH(LEFT(TRIM(F174&amp;""),FIND(" ",TRIM(F174&amp;""))-1),설정_코드표!$J$2:$J$101,0)),ISNUMBER(MATCH(TRIM(RIGHT(SUBSTITUTE(TRIM(F174&amp;"")," ",REPT(" ",60)),60)),설정_코드표!$F$2:$F$101,0))),INDEX(설정_코드표!$K$2:$K$101,MATCH(LEFT(TRIM(F174&amp;""),FIND(" ",TRIM(F174&amp;""))-1),설정_코드표!$J$2:$J$101,0))&amp;" "&amp;INDEX(설정_코드표!$G$2:$G$101,MATCH(TRIM(RIGHT(SUBSTITUTE(TRIM(F174&amp;"")," ",REPT(" ",60)),60)),설정_코드표!$F$2:$F$101,0)),"⚠"&amp;TRIM(F174&amp;""))),"⚠"&amp;TRIM(F174&amp;""))</f>
        <v/>
      </c>
      <c r="O174" s="10">
        <f>IFERROR(IF(TRIM(G174&amp;"")="","",IF(AND(ISNUMBER(FIND(" ",TRIM(G174&amp;""))),ISNUMBER(MATCH(LEFT(TRIM(G174&amp;""),FIND(" ",TRIM(G174&amp;""))-1),설정_코드표!$J$2:$J$101,0)),ISNUMBER(MATCH(TRIM(RIGHT(SUBSTITUTE(TRIM(G174&amp;"")," ",REPT(" ",60)),60)),설정_코드표!$F$2:$F$101,0))),INDEX(설정_코드표!$K$2:$K$101,MATCH(LEFT(TRIM(G174&amp;""),FIND(" ",TRIM(G174&amp;""))-1),설정_코드표!$J$2:$J$101,0))&amp;" "&amp;INDEX(설정_코드표!$G$2:$G$101,MATCH(TRIM(RIGHT(SUBSTITUTE(TRIM(G174&amp;"")," ",REPT(" ",60)),60)),설정_코드표!$F$2:$F$101,0)),"⚠"&amp;TRIM(G174&amp;""))),"⚠"&amp;TRIM(G174&amp;""))</f>
        <v/>
      </c>
      <c r="P174" s="10">
        <f>IFERROR(IF(TRIM(H174&amp;"")="","",IF(AND(ISNUMBER(FIND(" ",TRIM(H174&amp;""))),ISNUMBER(MATCH(LEFT(TRIM(H174&amp;""),FIND(" ",TRIM(H174&amp;""))-1),설정_코드표!$J$2:$J$101,0)),ISNUMBER(MATCH(TRIM(RIGHT(SUBSTITUTE(TRIM(H174&amp;"")," ",REPT(" ",60)),60)),설정_코드표!$F$2:$F$101,0))),INDEX(설정_코드표!$K$2:$K$101,MATCH(LEFT(TRIM(H174&amp;""),FIND(" ",TRIM(H174&amp;""))-1),설정_코드표!$J$2:$J$101,0))&amp;" "&amp;INDEX(설정_코드표!$G$2:$G$101,MATCH(TRIM(RIGHT(SUBSTITUTE(TRIM(H174&amp;"")," ",REPT(" ",60)),60)),설정_코드표!$F$2:$F$101,0)),"⚠"&amp;TRIM(H174&amp;""))),"⚠"&amp;TRIM(H174&amp;""))</f>
        <v/>
      </c>
      <c r="Q174" s="10">
        <f>IFERROR(IF(TRIM(I174&amp;"")="","",IF(AND(ISNUMBER(FIND(" ",TRIM(I174&amp;""))),ISNUMBER(MATCH(LEFT(TRIM(I174&amp;""),FIND(" ",TRIM(I174&amp;""))-1),설정_코드표!$J$2:$J$101,0)),ISNUMBER(MATCH(TRIM(RIGHT(SUBSTITUTE(TRIM(I174&amp;"")," ",REPT(" ",60)),60)),설정_코드표!$F$2:$F$101,0))),INDEX(설정_코드표!$K$2:$K$101,MATCH(LEFT(TRIM(I174&amp;""),FIND(" ",TRIM(I174&amp;""))-1),설정_코드표!$J$2:$J$101,0))&amp;" "&amp;INDEX(설정_코드표!$G$2:$G$101,MATCH(TRIM(RIGHT(SUBSTITUTE(TRIM(I174&amp;"")," ",REPT(" ",60)),60)),설정_코드표!$F$2:$F$101,0)),"⚠"&amp;TRIM(I174&amp;""))),"⚠"&amp;TRIM(I174&amp;""))</f>
        <v/>
      </c>
      <c r="R174" s="10">
        <f>IFERROR(IF(TRIM(J174&amp;"")="","",IF(AND(ISNUMBER(FIND(" ",TRIM(J174&amp;""))),ISNUMBER(MATCH(LEFT(TRIM(J174&amp;""),FIND(" ",TRIM(J174&amp;""))-1),설정_코드표!$J$2:$J$101,0)),ISNUMBER(MATCH(TRIM(RIGHT(SUBSTITUTE(TRIM(J174&amp;"")," ",REPT(" ",60)),60)),설정_코드표!$F$2:$F$101,0))),INDEX(설정_코드표!$K$2:$K$101,MATCH(LEFT(TRIM(J174&amp;""),FIND(" ",TRIM(J174&amp;""))-1),설정_코드표!$J$2:$J$101,0))&amp;" "&amp;INDEX(설정_코드표!$G$2:$G$101,MATCH(TRIM(RIGHT(SUBSTITUTE(TRIM(J174&amp;"")," ",REPT(" ",60)),60)),설정_코드표!$F$2:$F$101,0)),"⚠"&amp;TRIM(J174&amp;""))),"⚠"&amp;TRIM(J174&amp;""))</f>
        <v/>
      </c>
      <c r="S174" s="11">
        <f>IF(K174="","",IFERROR(IF(AND(ROUND((VALUE(K174&amp;"")-INT(VALUE(K174&amp;"")))*100,0)&gt;=1,ROUND((VALUE(K174&amp;"")-INT(VALUE(K174&amp;"")))*100,0)&lt;=12,INT(VALUE(K174&amp;""))&gt;=1900),DATE(INT(VALUE(K174&amp;"")),ROUND((VALUE(K174&amp;"")-INT(VALUE(K174&amp;"")))*100,0),1),K174&amp;""),K174&amp;""))</f>
        <v/>
      </c>
      <c r="T174" s="10">
        <f>COUNTIF(M174:R174,"⚠*")</f>
        <v/>
      </c>
    </row>
    <row r="175"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M175" s="10">
        <f>IFERROR(IF(TRIM(E175&amp;"")="","",IF(AND(ISNUMBER(FIND(" ",TRIM(E175&amp;""))),ISNUMBER(MATCH(LEFT(TRIM(E175&amp;""),FIND(" ",TRIM(E175&amp;""))-1),설정_코드표!$J$2:$J$101,0)),ISNUMBER(MATCH(TRIM(RIGHT(SUBSTITUTE(TRIM(E175&amp;"")," ",REPT(" ",60)),60)),설정_코드표!$F$2:$F$101,0))),INDEX(설정_코드표!$K$2:$K$101,MATCH(LEFT(TRIM(E175&amp;""),FIND(" ",TRIM(E175&amp;""))-1),설정_코드표!$J$2:$J$101,0))&amp;" "&amp;INDEX(설정_코드표!$G$2:$G$101,MATCH(TRIM(RIGHT(SUBSTITUTE(TRIM(E175&amp;"")," ",REPT(" ",60)),60)),설정_코드표!$F$2:$F$101,0)),"⚠"&amp;TRIM(E175&amp;""))),"⚠"&amp;TRIM(E175&amp;""))</f>
        <v/>
      </c>
      <c r="N175" s="10">
        <f>IFERROR(IF(TRIM(F175&amp;"")="","",IF(AND(ISNUMBER(FIND(" ",TRIM(F175&amp;""))),ISNUMBER(MATCH(LEFT(TRIM(F175&amp;""),FIND(" ",TRIM(F175&amp;""))-1),설정_코드표!$J$2:$J$101,0)),ISNUMBER(MATCH(TRIM(RIGHT(SUBSTITUTE(TRIM(F175&amp;"")," ",REPT(" ",60)),60)),설정_코드표!$F$2:$F$101,0))),INDEX(설정_코드표!$K$2:$K$101,MATCH(LEFT(TRIM(F175&amp;""),FIND(" ",TRIM(F175&amp;""))-1),설정_코드표!$J$2:$J$101,0))&amp;" "&amp;INDEX(설정_코드표!$G$2:$G$101,MATCH(TRIM(RIGHT(SUBSTITUTE(TRIM(F175&amp;"")," ",REPT(" ",60)),60)),설정_코드표!$F$2:$F$101,0)),"⚠"&amp;TRIM(F175&amp;""))),"⚠"&amp;TRIM(F175&amp;""))</f>
        <v/>
      </c>
      <c r="O175" s="10">
        <f>IFERROR(IF(TRIM(G175&amp;"")="","",IF(AND(ISNUMBER(FIND(" ",TRIM(G175&amp;""))),ISNUMBER(MATCH(LEFT(TRIM(G175&amp;""),FIND(" ",TRIM(G175&amp;""))-1),설정_코드표!$J$2:$J$101,0)),ISNUMBER(MATCH(TRIM(RIGHT(SUBSTITUTE(TRIM(G175&amp;"")," ",REPT(" ",60)),60)),설정_코드표!$F$2:$F$101,0))),INDEX(설정_코드표!$K$2:$K$101,MATCH(LEFT(TRIM(G175&amp;""),FIND(" ",TRIM(G175&amp;""))-1),설정_코드표!$J$2:$J$101,0))&amp;" "&amp;INDEX(설정_코드표!$G$2:$G$101,MATCH(TRIM(RIGHT(SUBSTITUTE(TRIM(G175&amp;"")," ",REPT(" ",60)),60)),설정_코드표!$F$2:$F$101,0)),"⚠"&amp;TRIM(G175&amp;""))),"⚠"&amp;TRIM(G175&amp;""))</f>
        <v/>
      </c>
      <c r="P175" s="10">
        <f>IFERROR(IF(TRIM(H175&amp;"")="","",IF(AND(ISNUMBER(FIND(" ",TRIM(H175&amp;""))),ISNUMBER(MATCH(LEFT(TRIM(H175&amp;""),FIND(" ",TRIM(H175&amp;""))-1),설정_코드표!$J$2:$J$101,0)),ISNUMBER(MATCH(TRIM(RIGHT(SUBSTITUTE(TRIM(H175&amp;"")," ",REPT(" ",60)),60)),설정_코드표!$F$2:$F$101,0))),INDEX(설정_코드표!$K$2:$K$101,MATCH(LEFT(TRIM(H175&amp;""),FIND(" ",TRIM(H175&amp;""))-1),설정_코드표!$J$2:$J$101,0))&amp;" "&amp;INDEX(설정_코드표!$G$2:$G$101,MATCH(TRIM(RIGHT(SUBSTITUTE(TRIM(H175&amp;"")," ",REPT(" ",60)),60)),설정_코드표!$F$2:$F$101,0)),"⚠"&amp;TRIM(H175&amp;""))),"⚠"&amp;TRIM(H175&amp;""))</f>
        <v/>
      </c>
      <c r="Q175" s="10">
        <f>IFERROR(IF(TRIM(I175&amp;"")="","",IF(AND(ISNUMBER(FIND(" ",TRIM(I175&amp;""))),ISNUMBER(MATCH(LEFT(TRIM(I175&amp;""),FIND(" ",TRIM(I175&amp;""))-1),설정_코드표!$J$2:$J$101,0)),ISNUMBER(MATCH(TRIM(RIGHT(SUBSTITUTE(TRIM(I175&amp;"")," ",REPT(" ",60)),60)),설정_코드표!$F$2:$F$101,0))),INDEX(설정_코드표!$K$2:$K$101,MATCH(LEFT(TRIM(I175&amp;""),FIND(" ",TRIM(I175&amp;""))-1),설정_코드표!$J$2:$J$101,0))&amp;" "&amp;INDEX(설정_코드표!$G$2:$G$101,MATCH(TRIM(RIGHT(SUBSTITUTE(TRIM(I175&amp;"")," ",REPT(" ",60)),60)),설정_코드표!$F$2:$F$101,0)),"⚠"&amp;TRIM(I175&amp;""))),"⚠"&amp;TRIM(I175&amp;""))</f>
        <v/>
      </c>
      <c r="R175" s="10">
        <f>IFERROR(IF(TRIM(J175&amp;"")="","",IF(AND(ISNUMBER(FIND(" ",TRIM(J175&amp;""))),ISNUMBER(MATCH(LEFT(TRIM(J175&amp;""),FIND(" ",TRIM(J175&amp;""))-1),설정_코드표!$J$2:$J$101,0)),ISNUMBER(MATCH(TRIM(RIGHT(SUBSTITUTE(TRIM(J175&amp;"")," ",REPT(" ",60)),60)),설정_코드표!$F$2:$F$101,0))),INDEX(설정_코드표!$K$2:$K$101,MATCH(LEFT(TRIM(J175&amp;""),FIND(" ",TRIM(J175&amp;""))-1),설정_코드표!$J$2:$J$101,0))&amp;" "&amp;INDEX(설정_코드표!$G$2:$G$101,MATCH(TRIM(RIGHT(SUBSTITUTE(TRIM(J175&amp;"")," ",REPT(" ",60)),60)),설정_코드표!$F$2:$F$101,0)),"⚠"&amp;TRIM(J175&amp;""))),"⚠"&amp;TRIM(J175&amp;""))</f>
        <v/>
      </c>
      <c r="S175" s="11">
        <f>IF(K175="","",IFERROR(IF(AND(ROUND((VALUE(K175&amp;"")-INT(VALUE(K175&amp;"")))*100,0)&gt;=1,ROUND((VALUE(K175&amp;"")-INT(VALUE(K175&amp;"")))*100,0)&lt;=12,INT(VALUE(K175&amp;""))&gt;=1900),DATE(INT(VALUE(K175&amp;"")),ROUND((VALUE(K175&amp;"")-INT(VALUE(K175&amp;"")))*100,0),1),K175&amp;""),K175&amp;""))</f>
        <v/>
      </c>
      <c r="T175" s="10">
        <f>COUNTIF(M175:R175,"⚠*")</f>
        <v/>
      </c>
    </row>
    <row r="176"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M176" s="10">
        <f>IFERROR(IF(TRIM(E176&amp;"")="","",IF(AND(ISNUMBER(FIND(" ",TRIM(E176&amp;""))),ISNUMBER(MATCH(LEFT(TRIM(E176&amp;""),FIND(" ",TRIM(E176&amp;""))-1),설정_코드표!$J$2:$J$101,0)),ISNUMBER(MATCH(TRIM(RIGHT(SUBSTITUTE(TRIM(E176&amp;"")," ",REPT(" ",60)),60)),설정_코드표!$F$2:$F$101,0))),INDEX(설정_코드표!$K$2:$K$101,MATCH(LEFT(TRIM(E176&amp;""),FIND(" ",TRIM(E176&amp;""))-1),설정_코드표!$J$2:$J$101,0))&amp;" "&amp;INDEX(설정_코드표!$G$2:$G$101,MATCH(TRIM(RIGHT(SUBSTITUTE(TRIM(E176&amp;"")," ",REPT(" ",60)),60)),설정_코드표!$F$2:$F$101,0)),"⚠"&amp;TRIM(E176&amp;""))),"⚠"&amp;TRIM(E176&amp;""))</f>
        <v/>
      </c>
      <c r="N176" s="10">
        <f>IFERROR(IF(TRIM(F176&amp;"")="","",IF(AND(ISNUMBER(FIND(" ",TRIM(F176&amp;""))),ISNUMBER(MATCH(LEFT(TRIM(F176&amp;""),FIND(" ",TRIM(F176&amp;""))-1),설정_코드표!$J$2:$J$101,0)),ISNUMBER(MATCH(TRIM(RIGHT(SUBSTITUTE(TRIM(F176&amp;"")," ",REPT(" ",60)),60)),설정_코드표!$F$2:$F$101,0))),INDEX(설정_코드표!$K$2:$K$101,MATCH(LEFT(TRIM(F176&amp;""),FIND(" ",TRIM(F176&amp;""))-1),설정_코드표!$J$2:$J$101,0))&amp;" "&amp;INDEX(설정_코드표!$G$2:$G$101,MATCH(TRIM(RIGHT(SUBSTITUTE(TRIM(F176&amp;"")," ",REPT(" ",60)),60)),설정_코드표!$F$2:$F$101,0)),"⚠"&amp;TRIM(F176&amp;""))),"⚠"&amp;TRIM(F176&amp;""))</f>
        <v/>
      </c>
      <c r="O176" s="10">
        <f>IFERROR(IF(TRIM(G176&amp;"")="","",IF(AND(ISNUMBER(FIND(" ",TRIM(G176&amp;""))),ISNUMBER(MATCH(LEFT(TRIM(G176&amp;""),FIND(" ",TRIM(G176&amp;""))-1),설정_코드표!$J$2:$J$101,0)),ISNUMBER(MATCH(TRIM(RIGHT(SUBSTITUTE(TRIM(G176&amp;"")," ",REPT(" ",60)),60)),설정_코드표!$F$2:$F$101,0))),INDEX(설정_코드표!$K$2:$K$101,MATCH(LEFT(TRIM(G176&amp;""),FIND(" ",TRIM(G176&amp;""))-1),설정_코드표!$J$2:$J$101,0))&amp;" "&amp;INDEX(설정_코드표!$G$2:$G$101,MATCH(TRIM(RIGHT(SUBSTITUTE(TRIM(G176&amp;"")," ",REPT(" ",60)),60)),설정_코드표!$F$2:$F$101,0)),"⚠"&amp;TRIM(G176&amp;""))),"⚠"&amp;TRIM(G176&amp;""))</f>
        <v/>
      </c>
      <c r="P176" s="10">
        <f>IFERROR(IF(TRIM(H176&amp;"")="","",IF(AND(ISNUMBER(FIND(" ",TRIM(H176&amp;""))),ISNUMBER(MATCH(LEFT(TRIM(H176&amp;""),FIND(" ",TRIM(H176&amp;""))-1),설정_코드표!$J$2:$J$101,0)),ISNUMBER(MATCH(TRIM(RIGHT(SUBSTITUTE(TRIM(H176&amp;"")," ",REPT(" ",60)),60)),설정_코드표!$F$2:$F$101,0))),INDEX(설정_코드표!$K$2:$K$101,MATCH(LEFT(TRIM(H176&amp;""),FIND(" ",TRIM(H176&amp;""))-1),설정_코드표!$J$2:$J$101,0))&amp;" "&amp;INDEX(설정_코드표!$G$2:$G$101,MATCH(TRIM(RIGHT(SUBSTITUTE(TRIM(H176&amp;"")," ",REPT(" ",60)),60)),설정_코드표!$F$2:$F$101,0)),"⚠"&amp;TRIM(H176&amp;""))),"⚠"&amp;TRIM(H176&amp;""))</f>
        <v/>
      </c>
      <c r="Q176" s="10">
        <f>IFERROR(IF(TRIM(I176&amp;"")="","",IF(AND(ISNUMBER(FIND(" ",TRIM(I176&amp;""))),ISNUMBER(MATCH(LEFT(TRIM(I176&amp;""),FIND(" ",TRIM(I176&amp;""))-1),설정_코드표!$J$2:$J$101,0)),ISNUMBER(MATCH(TRIM(RIGHT(SUBSTITUTE(TRIM(I176&amp;"")," ",REPT(" ",60)),60)),설정_코드표!$F$2:$F$101,0))),INDEX(설정_코드표!$K$2:$K$101,MATCH(LEFT(TRIM(I176&amp;""),FIND(" ",TRIM(I176&amp;""))-1),설정_코드표!$J$2:$J$101,0))&amp;" "&amp;INDEX(설정_코드표!$G$2:$G$101,MATCH(TRIM(RIGHT(SUBSTITUTE(TRIM(I176&amp;"")," ",REPT(" ",60)),60)),설정_코드표!$F$2:$F$101,0)),"⚠"&amp;TRIM(I176&amp;""))),"⚠"&amp;TRIM(I176&amp;""))</f>
        <v/>
      </c>
      <c r="R176" s="10">
        <f>IFERROR(IF(TRIM(J176&amp;"")="","",IF(AND(ISNUMBER(FIND(" ",TRIM(J176&amp;""))),ISNUMBER(MATCH(LEFT(TRIM(J176&amp;""),FIND(" ",TRIM(J176&amp;""))-1),설정_코드표!$J$2:$J$101,0)),ISNUMBER(MATCH(TRIM(RIGHT(SUBSTITUTE(TRIM(J176&amp;"")," ",REPT(" ",60)),60)),설정_코드표!$F$2:$F$101,0))),INDEX(설정_코드표!$K$2:$K$101,MATCH(LEFT(TRIM(J176&amp;""),FIND(" ",TRIM(J176&amp;""))-1),설정_코드표!$J$2:$J$101,0))&amp;" "&amp;INDEX(설정_코드표!$G$2:$G$101,MATCH(TRIM(RIGHT(SUBSTITUTE(TRIM(J176&amp;"")," ",REPT(" ",60)),60)),설정_코드표!$F$2:$F$101,0)),"⚠"&amp;TRIM(J176&amp;""))),"⚠"&amp;TRIM(J176&amp;""))</f>
        <v/>
      </c>
      <c r="S176" s="11">
        <f>IF(K176="","",IFERROR(IF(AND(ROUND((VALUE(K176&amp;"")-INT(VALUE(K176&amp;"")))*100,0)&gt;=1,ROUND((VALUE(K176&amp;"")-INT(VALUE(K176&amp;"")))*100,0)&lt;=12,INT(VALUE(K176&amp;""))&gt;=1900),DATE(INT(VALUE(K176&amp;"")),ROUND((VALUE(K176&amp;"")-INT(VALUE(K176&amp;"")))*100,0),1),K176&amp;""),K176&amp;""))</f>
        <v/>
      </c>
      <c r="T176" s="10">
        <f>COUNTIF(M176:R176,"⚠*")</f>
        <v/>
      </c>
    </row>
    <row r="177"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M177" s="10">
        <f>IFERROR(IF(TRIM(E177&amp;"")="","",IF(AND(ISNUMBER(FIND(" ",TRIM(E177&amp;""))),ISNUMBER(MATCH(LEFT(TRIM(E177&amp;""),FIND(" ",TRIM(E177&amp;""))-1),설정_코드표!$J$2:$J$101,0)),ISNUMBER(MATCH(TRIM(RIGHT(SUBSTITUTE(TRIM(E177&amp;"")," ",REPT(" ",60)),60)),설정_코드표!$F$2:$F$101,0))),INDEX(설정_코드표!$K$2:$K$101,MATCH(LEFT(TRIM(E177&amp;""),FIND(" ",TRIM(E177&amp;""))-1),설정_코드표!$J$2:$J$101,0))&amp;" "&amp;INDEX(설정_코드표!$G$2:$G$101,MATCH(TRIM(RIGHT(SUBSTITUTE(TRIM(E177&amp;"")," ",REPT(" ",60)),60)),설정_코드표!$F$2:$F$101,0)),"⚠"&amp;TRIM(E177&amp;""))),"⚠"&amp;TRIM(E177&amp;""))</f>
        <v/>
      </c>
      <c r="N177" s="10">
        <f>IFERROR(IF(TRIM(F177&amp;"")="","",IF(AND(ISNUMBER(FIND(" ",TRIM(F177&amp;""))),ISNUMBER(MATCH(LEFT(TRIM(F177&amp;""),FIND(" ",TRIM(F177&amp;""))-1),설정_코드표!$J$2:$J$101,0)),ISNUMBER(MATCH(TRIM(RIGHT(SUBSTITUTE(TRIM(F177&amp;"")," ",REPT(" ",60)),60)),설정_코드표!$F$2:$F$101,0))),INDEX(설정_코드표!$K$2:$K$101,MATCH(LEFT(TRIM(F177&amp;""),FIND(" ",TRIM(F177&amp;""))-1),설정_코드표!$J$2:$J$101,0))&amp;" "&amp;INDEX(설정_코드표!$G$2:$G$101,MATCH(TRIM(RIGHT(SUBSTITUTE(TRIM(F177&amp;"")," ",REPT(" ",60)),60)),설정_코드표!$F$2:$F$101,0)),"⚠"&amp;TRIM(F177&amp;""))),"⚠"&amp;TRIM(F177&amp;""))</f>
        <v/>
      </c>
      <c r="O177" s="10">
        <f>IFERROR(IF(TRIM(G177&amp;"")="","",IF(AND(ISNUMBER(FIND(" ",TRIM(G177&amp;""))),ISNUMBER(MATCH(LEFT(TRIM(G177&amp;""),FIND(" ",TRIM(G177&amp;""))-1),설정_코드표!$J$2:$J$101,0)),ISNUMBER(MATCH(TRIM(RIGHT(SUBSTITUTE(TRIM(G177&amp;"")," ",REPT(" ",60)),60)),설정_코드표!$F$2:$F$101,0))),INDEX(설정_코드표!$K$2:$K$101,MATCH(LEFT(TRIM(G177&amp;""),FIND(" ",TRIM(G177&amp;""))-1),설정_코드표!$J$2:$J$101,0))&amp;" "&amp;INDEX(설정_코드표!$G$2:$G$101,MATCH(TRIM(RIGHT(SUBSTITUTE(TRIM(G177&amp;"")," ",REPT(" ",60)),60)),설정_코드표!$F$2:$F$101,0)),"⚠"&amp;TRIM(G177&amp;""))),"⚠"&amp;TRIM(G177&amp;""))</f>
        <v/>
      </c>
      <c r="P177" s="10">
        <f>IFERROR(IF(TRIM(H177&amp;"")="","",IF(AND(ISNUMBER(FIND(" ",TRIM(H177&amp;""))),ISNUMBER(MATCH(LEFT(TRIM(H177&amp;""),FIND(" ",TRIM(H177&amp;""))-1),설정_코드표!$J$2:$J$101,0)),ISNUMBER(MATCH(TRIM(RIGHT(SUBSTITUTE(TRIM(H177&amp;"")," ",REPT(" ",60)),60)),설정_코드표!$F$2:$F$101,0))),INDEX(설정_코드표!$K$2:$K$101,MATCH(LEFT(TRIM(H177&amp;""),FIND(" ",TRIM(H177&amp;""))-1),설정_코드표!$J$2:$J$101,0))&amp;" "&amp;INDEX(설정_코드표!$G$2:$G$101,MATCH(TRIM(RIGHT(SUBSTITUTE(TRIM(H177&amp;"")," ",REPT(" ",60)),60)),설정_코드표!$F$2:$F$101,0)),"⚠"&amp;TRIM(H177&amp;""))),"⚠"&amp;TRIM(H177&amp;""))</f>
        <v/>
      </c>
      <c r="Q177" s="10">
        <f>IFERROR(IF(TRIM(I177&amp;"")="","",IF(AND(ISNUMBER(FIND(" ",TRIM(I177&amp;""))),ISNUMBER(MATCH(LEFT(TRIM(I177&amp;""),FIND(" ",TRIM(I177&amp;""))-1),설정_코드표!$J$2:$J$101,0)),ISNUMBER(MATCH(TRIM(RIGHT(SUBSTITUTE(TRIM(I177&amp;"")," ",REPT(" ",60)),60)),설정_코드표!$F$2:$F$101,0))),INDEX(설정_코드표!$K$2:$K$101,MATCH(LEFT(TRIM(I177&amp;""),FIND(" ",TRIM(I177&amp;""))-1),설정_코드표!$J$2:$J$101,0))&amp;" "&amp;INDEX(설정_코드표!$G$2:$G$101,MATCH(TRIM(RIGHT(SUBSTITUTE(TRIM(I177&amp;"")," ",REPT(" ",60)),60)),설정_코드표!$F$2:$F$101,0)),"⚠"&amp;TRIM(I177&amp;""))),"⚠"&amp;TRIM(I177&amp;""))</f>
        <v/>
      </c>
      <c r="R177" s="10">
        <f>IFERROR(IF(TRIM(J177&amp;"")="","",IF(AND(ISNUMBER(FIND(" ",TRIM(J177&amp;""))),ISNUMBER(MATCH(LEFT(TRIM(J177&amp;""),FIND(" ",TRIM(J177&amp;""))-1),설정_코드표!$J$2:$J$101,0)),ISNUMBER(MATCH(TRIM(RIGHT(SUBSTITUTE(TRIM(J177&amp;"")," ",REPT(" ",60)),60)),설정_코드표!$F$2:$F$101,0))),INDEX(설정_코드표!$K$2:$K$101,MATCH(LEFT(TRIM(J177&amp;""),FIND(" ",TRIM(J177&amp;""))-1),설정_코드표!$J$2:$J$101,0))&amp;" "&amp;INDEX(설정_코드표!$G$2:$G$101,MATCH(TRIM(RIGHT(SUBSTITUTE(TRIM(J177&amp;"")," ",REPT(" ",60)),60)),설정_코드표!$F$2:$F$101,0)),"⚠"&amp;TRIM(J177&amp;""))),"⚠"&amp;TRIM(J177&amp;""))</f>
        <v/>
      </c>
      <c r="S177" s="11">
        <f>IF(K177="","",IFERROR(IF(AND(ROUND((VALUE(K177&amp;"")-INT(VALUE(K177&amp;"")))*100,0)&gt;=1,ROUND((VALUE(K177&amp;"")-INT(VALUE(K177&amp;"")))*100,0)&lt;=12,INT(VALUE(K177&amp;""))&gt;=1900),DATE(INT(VALUE(K177&amp;"")),ROUND((VALUE(K177&amp;"")-INT(VALUE(K177&amp;"")))*100,0),1),K177&amp;""),K177&amp;""))</f>
        <v/>
      </c>
      <c r="T177" s="10">
        <f>COUNTIF(M177:R177,"⚠*")</f>
        <v/>
      </c>
    </row>
    <row r="178"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M178" s="10">
        <f>IFERROR(IF(TRIM(E178&amp;"")="","",IF(AND(ISNUMBER(FIND(" ",TRIM(E178&amp;""))),ISNUMBER(MATCH(LEFT(TRIM(E178&amp;""),FIND(" ",TRIM(E178&amp;""))-1),설정_코드표!$J$2:$J$101,0)),ISNUMBER(MATCH(TRIM(RIGHT(SUBSTITUTE(TRIM(E178&amp;"")," ",REPT(" ",60)),60)),설정_코드표!$F$2:$F$101,0))),INDEX(설정_코드표!$K$2:$K$101,MATCH(LEFT(TRIM(E178&amp;""),FIND(" ",TRIM(E178&amp;""))-1),설정_코드표!$J$2:$J$101,0))&amp;" "&amp;INDEX(설정_코드표!$G$2:$G$101,MATCH(TRIM(RIGHT(SUBSTITUTE(TRIM(E178&amp;"")," ",REPT(" ",60)),60)),설정_코드표!$F$2:$F$101,0)),"⚠"&amp;TRIM(E178&amp;""))),"⚠"&amp;TRIM(E178&amp;""))</f>
        <v/>
      </c>
      <c r="N178" s="10">
        <f>IFERROR(IF(TRIM(F178&amp;"")="","",IF(AND(ISNUMBER(FIND(" ",TRIM(F178&amp;""))),ISNUMBER(MATCH(LEFT(TRIM(F178&amp;""),FIND(" ",TRIM(F178&amp;""))-1),설정_코드표!$J$2:$J$101,0)),ISNUMBER(MATCH(TRIM(RIGHT(SUBSTITUTE(TRIM(F178&amp;"")," ",REPT(" ",60)),60)),설정_코드표!$F$2:$F$101,0))),INDEX(설정_코드표!$K$2:$K$101,MATCH(LEFT(TRIM(F178&amp;""),FIND(" ",TRIM(F178&amp;""))-1),설정_코드표!$J$2:$J$101,0))&amp;" "&amp;INDEX(설정_코드표!$G$2:$G$101,MATCH(TRIM(RIGHT(SUBSTITUTE(TRIM(F178&amp;"")," ",REPT(" ",60)),60)),설정_코드표!$F$2:$F$101,0)),"⚠"&amp;TRIM(F178&amp;""))),"⚠"&amp;TRIM(F178&amp;""))</f>
        <v/>
      </c>
      <c r="O178" s="10">
        <f>IFERROR(IF(TRIM(G178&amp;"")="","",IF(AND(ISNUMBER(FIND(" ",TRIM(G178&amp;""))),ISNUMBER(MATCH(LEFT(TRIM(G178&amp;""),FIND(" ",TRIM(G178&amp;""))-1),설정_코드표!$J$2:$J$101,0)),ISNUMBER(MATCH(TRIM(RIGHT(SUBSTITUTE(TRIM(G178&amp;"")," ",REPT(" ",60)),60)),설정_코드표!$F$2:$F$101,0))),INDEX(설정_코드표!$K$2:$K$101,MATCH(LEFT(TRIM(G178&amp;""),FIND(" ",TRIM(G178&amp;""))-1),설정_코드표!$J$2:$J$101,0))&amp;" "&amp;INDEX(설정_코드표!$G$2:$G$101,MATCH(TRIM(RIGHT(SUBSTITUTE(TRIM(G178&amp;"")," ",REPT(" ",60)),60)),설정_코드표!$F$2:$F$101,0)),"⚠"&amp;TRIM(G178&amp;""))),"⚠"&amp;TRIM(G178&amp;""))</f>
        <v/>
      </c>
      <c r="P178" s="10">
        <f>IFERROR(IF(TRIM(H178&amp;"")="","",IF(AND(ISNUMBER(FIND(" ",TRIM(H178&amp;""))),ISNUMBER(MATCH(LEFT(TRIM(H178&amp;""),FIND(" ",TRIM(H178&amp;""))-1),설정_코드표!$J$2:$J$101,0)),ISNUMBER(MATCH(TRIM(RIGHT(SUBSTITUTE(TRIM(H178&amp;"")," ",REPT(" ",60)),60)),설정_코드표!$F$2:$F$101,0))),INDEX(설정_코드표!$K$2:$K$101,MATCH(LEFT(TRIM(H178&amp;""),FIND(" ",TRIM(H178&amp;""))-1),설정_코드표!$J$2:$J$101,0))&amp;" "&amp;INDEX(설정_코드표!$G$2:$G$101,MATCH(TRIM(RIGHT(SUBSTITUTE(TRIM(H178&amp;"")," ",REPT(" ",60)),60)),설정_코드표!$F$2:$F$101,0)),"⚠"&amp;TRIM(H178&amp;""))),"⚠"&amp;TRIM(H178&amp;""))</f>
        <v/>
      </c>
      <c r="Q178" s="10">
        <f>IFERROR(IF(TRIM(I178&amp;"")="","",IF(AND(ISNUMBER(FIND(" ",TRIM(I178&amp;""))),ISNUMBER(MATCH(LEFT(TRIM(I178&amp;""),FIND(" ",TRIM(I178&amp;""))-1),설정_코드표!$J$2:$J$101,0)),ISNUMBER(MATCH(TRIM(RIGHT(SUBSTITUTE(TRIM(I178&amp;"")," ",REPT(" ",60)),60)),설정_코드표!$F$2:$F$101,0))),INDEX(설정_코드표!$K$2:$K$101,MATCH(LEFT(TRIM(I178&amp;""),FIND(" ",TRIM(I178&amp;""))-1),설정_코드표!$J$2:$J$101,0))&amp;" "&amp;INDEX(설정_코드표!$G$2:$G$101,MATCH(TRIM(RIGHT(SUBSTITUTE(TRIM(I178&amp;"")," ",REPT(" ",60)),60)),설정_코드표!$F$2:$F$101,0)),"⚠"&amp;TRIM(I178&amp;""))),"⚠"&amp;TRIM(I178&amp;""))</f>
        <v/>
      </c>
      <c r="R178" s="10">
        <f>IFERROR(IF(TRIM(J178&amp;"")="","",IF(AND(ISNUMBER(FIND(" ",TRIM(J178&amp;""))),ISNUMBER(MATCH(LEFT(TRIM(J178&amp;""),FIND(" ",TRIM(J178&amp;""))-1),설정_코드표!$J$2:$J$101,0)),ISNUMBER(MATCH(TRIM(RIGHT(SUBSTITUTE(TRIM(J178&amp;"")," ",REPT(" ",60)),60)),설정_코드표!$F$2:$F$101,0))),INDEX(설정_코드표!$K$2:$K$101,MATCH(LEFT(TRIM(J178&amp;""),FIND(" ",TRIM(J178&amp;""))-1),설정_코드표!$J$2:$J$101,0))&amp;" "&amp;INDEX(설정_코드표!$G$2:$G$101,MATCH(TRIM(RIGHT(SUBSTITUTE(TRIM(J178&amp;"")," ",REPT(" ",60)),60)),설정_코드표!$F$2:$F$101,0)),"⚠"&amp;TRIM(J178&amp;""))),"⚠"&amp;TRIM(J178&amp;""))</f>
        <v/>
      </c>
      <c r="S178" s="11">
        <f>IF(K178="","",IFERROR(IF(AND(ROUND((VALUE(K178&amp;"")-INT(VALUE(K178&amp;"")))*100,0)&gt;=1,ROUND((VALUE(K178&amp;"")-INT(VALUE(K178&amp;"")))*100,0)&lt;=12,INT(VALUE(K178&amp;""))&gt;=1900),DATE(INT(VALUE(K178&amp;"")),ROUND((VALUE(K178&amp;"")-INT(VALUE(K178&amp;"")))*100,0),1),K178&amp;""),K178&amp;""))</f>
        <v/>
      </c>
      <c r="T178" s="10">
        <f>COUNTIF(M178:R178,"⚠*")</f>
        <v/>
      </c>
    </row>
    <row r="179"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M179" s="10">
        <f>IFERROR(IF(TRIM(E179&amp;"")="","",IF(AND(ISNUMBER(FIND(" ",TRIM(E179&amp;""))),ISNUMBER(MATCH(LEFT(TRIM(E179&amp;""),FIND(" ",TRIM(E179&amp;""))-1),설정_코드표!$J$2:$J$101,0)),ISNUMBER(MATCH(TRIM(RIGHT(SUBSTITUTE(TRIM(E179&amp;"")," ",REPT(" ",60)),60)),설정_코드표!$F$2:$F$101,0))),INDEX(설정_코드표!$K$2:$K$101,MATCH(LEFT(TRIM(E179&amp;""),FIND(" ",TRIM(E179&amp;""))-1),설정_코드표!$J$2:$J$101,0))&amp;" "&amp;INDEX(설정_코드표!$G$2:$G$101,MATCH(TRIM(RIGHT(SUBSTITUTE(TRIM(E179&amp;"")," ",REPT(" ",60)),60)),설정_코드표!$F$2:$F$101,0)),"⚠"&amp;TRIM(E179&amp;""))),"⚠"&amp;TRIM(E179&amp;""))</f>
        <v/>
      </c>
      <c r="N179" s="10">
        <f>IFERROR(IF(TRIM(F179&amp;"")="","",IF(AND(ISNUMBER(FIND(" ",TRIM(F179&amp;""))),ISNUMBER(MATCH(LEFT(TRIM(F179&amp;""),FIND(" ",TRIM(F179&amp;""))-1),설정_코드표!$J$2:$J$101,0)),ISNUMBER(MATCH(TRIM(RIGHT(SUBSTITUTE(TRIM(F179&amp;"")," ",REPT(" ",60)),60)),설정_코드표!$F$2:$F$101,0))),INDEX(설정_코드표!$K$2:$K$101,MATCH(LEFT(TRIM(F179&amp;""),FIND(" ",TRIM(F179&amp;""))-1),설정_코드표!$J$2:$J$101,0))&amp;" "&amp;INDEX(설정_코드표!$G$2:$G$101,MATCH(TRIM(RIGHT(SUBSTITUTE(TRIM(F179&amp;"")," ",REPT(" ",60)),60)),설정_코드표!$F$2:$F$101,0)),"⚠"&amp;TRIM(F179&amp;""))),"⚠"&amp;TRIM(F179&amp;""))</f>
        <v/>
      </c>
      <c r="O179" s="10">
        <f>IFERROR(IF(TRIM(G179&amp;"")="","",IF(AND(ISNUMBER(FIND(" ",TRIM(G179&amp;""))),ISNUMBER(MATCH(LEFT(TRIM(G179&amp;""),FIND(" ",TRIM(G179&amp;""))-1),설정_코드표!$J$2:$J$101,0)),ISNUMBER(MATCH(TRIM(RIGHT(SUBSTITUTE(TRIM(G179&amp;"")," ",REPT(" ",60)),60)),설정_코드표!$F$2:$F$101,0))),INDEX(설정_코드표!$K$2:$K$101,MATCH(LEFT(TRIM(G179&amp;""),FIND(" ",TRIM(G179&amp;""))-1),설정_코드표!$J$2:$J$101,0))&amp;" "&amp;INDEX(설정_코드표!$G$2:$G$101,MATCH(TRIM(RIGHT(SUBSTITUTE(TRIM(G179&amp;"")," ",REPT(" ",60)),60)),설정_코드표!$F$2:$F$101,0)),"⚠"&amp;TRIM(G179&amp;""))),"⚠"&amp;TRIM(G179&amp;""))</f>
        <v/>
      </c>
      <c r="P179" s="10">
        <f>IFERROR(IF(TRIM(H179&amp;"")="","",IF(AND(ISNUMBER(FIND(" ",TRIM(H179&amp;""))),ISNUMBER(MATCH(LEFT(TRIM(H179&amp;""),FIND(" ",TRIM(H179&amp;""))-1),설정_코드표!$J$2:$J$101,0)),ISNUMBER(MATCH(TRIM(RIGHT(SUBSTITUTE(TRIM(H179&amp;"")," ",REPT(" ",60)),60)),설정_코드표!$F$2:$F$101,0))),INDEX(설정_코드표!$K$2:$K$101,MATCH(LEFT(TRIM(H179&amp;""),FIND(" ",TRIM(H179&amp;""))-1),설정_코드표!$J$2:$J$101,0))&amp;" "&amp;INDEX(설정_코드표!$G$2:$G$101,MATCH(TRIM(RIGHT(SUBSTITUTE(TRIM(H179&amp;"")," ",REPT(" ",60)),60)),설정_코드표!$F$2:$F$101,0)),"⚠"&amp;TRIM(H179&amp;""))),"⚠"&amp;TRIM(H179&amp;""))</f>
        <v/>
      </c>
      <c r="Q179" s="10">
        <f>IFERROR(IF(TRIM(I179&amp;"")="","",IF(AND(ISNUMBER(FIND(" ",TRIM(I179&amp;""))),ISNUMBER(MATCH(LEFT(TRIM(I179&amp;""),FIND(" ",TRIM(I179&amp;""))-1),설정_코드표!$J$2:$J$101,0)),ISNUMBER(MATCH(TRIM(RIGHT(SUBSTITUTE(TRIM(I179&amp;"")," ",REPT(" ",60)),60)),설정_코드표!$F$2:$F$101,0))),INDEX(설정_코드표!$K$2:$K$101,MATCH(LEFT(TRIM(I179&amp;""),FIND(" ",TRIM(I179&amp;""))-1),설정_코드표!$J$2:$J$101,0))&amp;" "&amp;INDEX(설정_코드표!$G$2:$G$101,MATCH(TRIM(RIGHT(SUBSTITUTE(TRIM(I179&amp;"")," ",REPT(" ",60)),60)),설정_코드표!$F$2:$F$101,0)),"⚠"&amp;TRIM(I179&amp;""))),"⚠"&amp;TRIM(I179&amp;""))</f>
        <v/>
      </c>
      <c r="R179" s="10">
        <f>IFERROR(IF(TRIM(J179&amp;"")="","",IF(AND(ISNUMBER(FIND(" ",TRIM(J179&amp;""))),ISNUMBER(MATCH(LEFT(TRIM(J179&amp;""),FIND(" ",TRIM(J179&amp;""))-1),설정_코드표!$J$2:$J$101,0)),ISNUMBER(MATCH(TRIM(RIGHT(SUBSTITUTE(TRIM(J179&amp;"")," ",REPT(" ",60)),60)),설정_코드표!$F$2:$F$101,0))),INDEX(설정_코드표!$K$2:$K$101,MATCH(LEFT(TRIM(J179&amp;""),FIND(" ",TRIM(J179&amp;""))-1),설정_코드표!$J$2:$J$101,0))&amp;" "&amp;INDEX(설정_코드표!$G$2:$G$101,MATCH(TRIM(RIGHT(SUBSTITUTE(TRIM(J179&amp;"")," ",REPT(" ",60)),60)),설정_코드표!$F$2:$F$101,0)),"⚠"&amp;TRIM(J179&amp;""))),"⚠"&amp;TRIM(J179&amp;""))</f>
        <v/>
      </c>
      <c r="S179" s="11">
        <f>IF(K179="","",IFERROR(IF(AND(ROUND((VALUE(K179&amp;"")-INT(VALUE(K179&amp;"")))*100,0)&gt;=1,ROUND((VALUE(K179&amp;"")-INT(VALUE(K179&amp;"")))*100,0)&lt;=12,INT(VALUE(K179&amp;""))&gt;=1900),DATE(INT(VALUE(K179&amp;"")),ROUND((VALUE(K179&amp;"")-INT(VALUE(K179&amp;"")))*100,0),1),K179&amp;""),K179&amp;""))</f>
        <v/>
      </c>
      <c r="T179" s="10">
        <f>COUNTIF(M179:R179,"⚠*")</f>
        <v/>
      </c>
    </row>
    <row r="180"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M180" s="10">
        <f>IFERROR(IF(TRIM(E180&amp;"")="","",IF(AND(ISNUMBER(FIND(" ",TRIM(E180&amp;""))),ISNUMBER(MATCH(LEFT(TRIM(E180&amp;""),FIND(" ",TRIM(E180&amp;""))-1),설정_코드표!$J$2:$J$101,0)),ISNUMBER(MATCH(TRIM(RIGHT(SUBSTITUTE(TRIM(E180&amp;"")," ",REPT(" ",60)),60)),설정_코드표!$F$2:$F$101,0))),INDEX(설정_코드표!$K$2:$K$101,MATCH(LEFT(TRIM(E180&amp;""),FIND(" ",TRIM(E180&amp;""))-1),설정_코드표!$J$2:$J$101,0))&amp;" "&amp;INDEX(설정_코드표!$G$2:$G$101,MATCH(TRIM(RIGHT(SUBSTITUTE(TRIM(E180&amp;"")," ",REPT(" ",60)),60)),설정_코드표!$F$2:$F$101,0)),"⚠"&amp;TRIM(E180&amp;""))),"⚠"&amp;TRIM(E180&amp;""))</f>
        <v/>
      </c>
      <c r="N180" s="10">
        <f>IFERROR(IF(TRIM(F180&amp;"")="","",IF(AND(ISNUMBER(FIND(" ",TRIM(F180&amp;""))),ISNUMBER(MATCH(LEFT(TRIM(F180&amp;""),FIND(" ",TRIM(F180&amp;""))-1),설정_코드표!$J$2:$J$101,0)),ISNUMBER(MATCH(TRIM(RIGHT(SUBSTITUTE(TRIM(F180&amp;"")," ",REPT(" ",60)),60)),설정_코드표!$F$2:$F$101,0))),INDEX(설정_코드표!$K$2:$K$101,MATCH(LEFT(TRIM(F180&amp;""),FIND(" ",TRIM(F180&amp;""))-1),설정_코드표!$J$2:$J$101,0))&amp;" "&amp;INDEX(설정_코드표!$G$2:$G$101,MATCH(TRIM(RIGHT(SUBSTITUTE(TRIM(F180&amp;"")," ",REPT(" ",60)),60)),설정_코드표!$F$2:$F$101,0)),"⚠"&amp;TRIM(F180&amp;""))),"⚠"&amp;TRIM(F180&amp;""))</f>
        <v/>
      </c>
      <c r="O180" s="10">
        <f>IFERROR(IF(TRIM(G180&amp;"")="","",IF(AND(ISNUMBER(FIND(" ",TRIM(G180&amp;""))),ISNUMBER(MATCH(LEFT(TRIM(G180&amp;""),FIND(" ",TRIM(G180&amp;""))-1),설정_코드표!$J$2:$J$101,0)),ISNUMBER(MATCH(TRIM(RIGHT(SUBSTITUTE(TRIM(G180&amp;"")," ",REPT(" ",60)),60)),설정_코드표!$F$2:$F$101,0))),INDEX(설정_코드표!$K$2:$K$101,MATCH(LEFT(TRIM(G180&amp;""),FIND(" ",TRIM(G180&amp;""))-1),설정_코드표!$J$2:$J$101,0))&amp;" "&amp;INDEX(설정_코드표!$G$2:$G$101,MATCH(TRIM(RIGHT(SUBSTITUTE(TRIM(G180&amp;"")," ",REPT(" ",60)),60)),설정_코드표!$F$2:$F$101,0)),"⚠"&amp;TRIM(G180&amp;""))),"⚠"&amp;TRIM(G180&amp;""))</f>
        <v/>
      </c>
      <c r="P180" s="10">
        <f>IFERROR(IF(TRIM(H180&amp;"")="","",IF(AND(ISNUMBER(FIND(" ",TRIM(H180&amp;""))),ISNUMBER(MATCH(LEFT(TRIM(H180&amp;""),FIND(" ",TRIM(H180&amp;""))-1),설정_코드표!$J$2:$J$101,0)),ISNUMBER(MATCH(TRIM(RIGHT(SUBSTITUTE(TRIM(H180&amp;"")," ",REPT(" ",60)),60)),설정_코드표!$F$2:$F$101,0))),INDEX(설정_코드표!$K$2:$K$101,MATCH(LEFT(TRIM(H180&amp;""),FIND(" ",TRIM(H180&amp;""))-1),설정_코드표!$J$2:$J$101,0))&amp;" "&amp;INDEX(설정_코드표!$G$2:$G$101,MATCH(TRIM(RIGHT(SUBSTITUTE(TRIM(H180&amp;"")," ",REPT(" ",60)),60)),설정_코드표!$F$2:$F$101,0)),"⚠"&amp;TRIM(H180&amp;""))),"⚠"&amp;TRIM(H180&amp;""))</f>
        <v/>
      </c>
      <c r="Q180" s="10">
        <f>IFERROR(IF(TRIM(I180&amp;"")="","",IF(AND(ISNUMBER(FIND(" ",TRIM(I180&amp;""))),ISNUMBER(MATCH(LEFT(TRIM(I180&amp;""),FIND(" ",TRIM(I180&amp;""))-1),설정_코드표!$J$2:$J$101,0)),ISNUMBER(MATCH(TRIM(RIGHT(SUBSTITUTE(TRIM(I180&amp;"")," ",REPT(" ",60)),60)),설정_코드표!$F$2:$F$101,0))),INDEX(설정_코드표!$K$2:$K$101,MATCH(LEFT(TRIM(I180&amp;""),FIND(" ",TRIM(I180&amp;""))-1),설정_코드표!$J$2:$J$101,0))&amp;" "&amp;INDEX(설정_코드표!$G$2:$G$101,MATCH(TRIM(RIGHT(SUBSTITUTE(TRIM(I180&amp;"")," ",REPT(" ",60)),60)),설정_코드표!$F$2:$F$101,0)),"⚠"&amp;TRIM(I180&amp;""))),"⚠"&amp;TRIM(I180&amp;""))</f>
        <v/>
      </c>
      <c r="R180" s="10">
        <f>IFERROR(IF(TRIM(J180&amp;"")="","",IF(AND(ISNUMBER(FIND(" ",TRIM(J180&amp;""))),ISNUMBER(MATCH(LEFT(TRIM(J180&amp;""),FIND(" ",TRIM(J180&amp;""))-1),설정_코드표!$J$2:$J$101,0)),ISNUMBER(MATCH(TRIM(RIGHT(SUBSTITUTE(TRIM(J180&amp;"")," ",REPT(" ",60)),60)),설정_코드표!$F$2:$F$101,0))),INDEX(설정_코드표!$K$2:$K$101,MATCH(LEFT(TRIM(J180&amp;""),FIND(" ",TRIM(J180&amp;""))-1),설정_코드표!$J$2:$J$101,0))&amp;" "&amp;INDEX(설정_코드표!$G$2:$G$101,MATCH(TRIM(RIGHT(SUBSTITUTE(TRIM(J180&amp;"")," ",REPT(" ",60)),60)),설정_코드표!$F$2:$F$101,0)),"⚠"&amp;TRIM(J180&amp;""))),"⚠"&amp;TRIM(J180&amp;""))</f>
        <v/>
      </c>
      <c r="S180" s="11">
        <f>IF(K180="","",IFERROR(IF(AND(ROUND((VALUE(K180&amp;"")-INT(VALUE(K180&amp;"")))*100,0)&gt;=1,ROUND((VALUE(K180&amp;"")-INT(VALUE(K180&amp;"")))*100,0)&lt;=12,INT(VALUE(K180&amp;""))&gt;=1900),DATE(INT(VALUE(K180&amp;"")),ROUND((VALUE(K180&amp;"")-INT(VALUE(K180&amp;"")))*100,0),1),K180&amp;""),K180&amp;""))</f>
        <v/>
      </c>
      <c r="T180" s="10">
        <f>COUNTIF(M180:R180,"⚠*")</f>
        <v/>
      </c>
    </row>
    <row r="181"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M181" s="10">
        <f>IFERROR(IF(TRIM(E181&amp;"")="","",IF(AND(ISNUMBER(FIND(" ",TRIM(E181&amp;""))),ISNUMBER(MATCH(LEFT(TRIM(E181&amp;""),FIND(" ",TRIM(E181&amp;""))-1),설정_코드표!$J$2:$J$101,0)),ISNUMBER(MATCH(TRIM(RIGHT(SUBSTITUTE(TRIM(E181&amp;"")," ",REPT(" ",60)),60)),설정_코드표!$F$2:$F$101,0))),INDEX(설정_코드표!$K$2:$K$101,MATCH(LEFT(TRIM(E181&amp;""),FIND(" ",TRIM(E181&amp;""))-1),설정_코드표!$J$2:$J$101,0))&amp;" "&amp;INDEX(설정_코드표!$G$2:$G$101,MATCH(TRIM(RIGHT(SUBSTITUTE(TRIM(E181&amp;"")," ",REPT(" ",60)),60)),설정_코드표!$F$2:$F$101,0)),"⚠"&amp;TRIM(E181&amp;""))),"⚠"&amp;TRIM(E181&amp;""))</f>
        <v/>
      </c>
      <c r="N181" s="10">
        <f>IFERROR(IF(TRIM(F181&amp;"")="","",IF(AND(ISNUMBER(FIND(" ",TRIM(F181&amp;""))),ISNUMBER(MATCH(LEFT(TRIM(F181&amp;""),FIND(" ",TRIM(F181&amp;""))-1),설정_코드표!$J$2:$J$101,0)),ISNUMBER(MATCH(TRIM(RIGHT(SUBSTITUTE(TRIM(F181&amp;"")," ",REPT(" ",60)),60)),설정_코드표!$F$2:$F$101,0))),INDEX(설정_코드표!$K$2:$K$101,MATCH(LEFT(TRIM(F181&amp;""),FIND(" ",TRIM(F181&amp;""))-1),설정_코드표!$J$2:$J$101,0))&amp;" "&amp;INDEX(설정_코드표!$G$2:$G$101,MATCH(TRIM(RIGHT(SUBSTITUTE(TRIM(F181&amp;"")," ",REPT(" ",60)),60)),설정_코드표!$F$2:$F$101,0)),"⚠"&amp;TRIM(F181&amp;""))),"⚠"&amp;TRIM(F181&amp;""))</f>
        <v/>
      </c>
      <c r="O181" s="10">
        <f>IFERROR(IF(TRIM(G181&amp;"")="","",IF(AND(ISNUMBER(FIND(" ",TRIM(G181&amp;""))),ISNUMBER(MATCH(LEFT(TRIM(G181&amp;""),FIND(" ",TRIM(G181&amp;""))-1),설정_코드표!$J$2:$J$101,0)),ISNUMBER(MATCH(TRIM(RIGHT(SUBSTITUTE(TRIM(G181&amp;"")," ",REPT(" ",60)),60)),설정_코드표!$F$2:$F$101,0))),INDEX(설정_코드표!$K$2:$K$101,MATCH(LEFT(TRIM(G181&amp;""),FIND(" ",TRIM(G181&amp;""))-1),설정_코드표!$J$2:$J$101,0))&amp;" "&amp;INDEX(설정_코드표!$G$2:$G$101,MATCH(TRIM(RIGHT(SUBSTITUTE(TRIM(G181&amp;"")," ",REPT(" ",60)),60)),설정_코드표!$F$2:$F$101,0)),"⚠"&amp;TRIM(G181&amp;""))),"⚠"&amp;TRIM(G181&amp;""))</f>
        <v/>
      </c>
      <c r="P181" s="10">
        <f>IFERROR(IF(TRIM(H181&amp;"")="","",IF(AND(ISNUMBER(FIND(" ",TRIM(H181&amp;""))),ISNUMBER(MATCH(LEFT(TRIM(H181&amp;""),FIND(" ",TRIM(H181&amp;""))-1),설정_코드표!$J$2:$J$101,0)),ISNUMBER(MATCH(TRIM(RIGHT(SUBSTITUTE(TRIM(H181&amp;"")," ",REPT(" ",60)),60)),설정_코드표!$F$2:$F$101,0))),INDEX(설정_코드표!$K$2:$K$101,MATCH(LEFT(TRIM(H181&amp;""),FIND(" ",TRIM(H181&amp;""))-1),설정_코드표!$J$2:$J$101,0))&amp;" "&amp;INDEX(설정_코드표!$G$2:$G$101,MATCH(TRIM(RIGHT(SUBSTITUTE(TRIM(H181&amp;"")," ",REPT(" ",60)),60)),설정_코드표!$F$2:$F$101,0)),"⚠"&amp;TRIM(H181&amp;""))),"⚠"&amp;TRIM(H181&amp;""))</f>
        <v/>
      </c>
      <c r="Q181" s="10">
        <f>IFERROR(IF(TRIM(I181&amp;"")="","",IF(AND(ISNUMBER(FIND(" ",TRIM(I181&amp;""))),ISNUMBER(MATCH(LEFT(TRIM(I181&amp;""),FIND(" ",TRIM(I181&amp;""))-1),설정_코드표!$J$2:$J$101,0)),ISNUMBER(MATCH(TRIM(RIGHT(SUBSTITUTE(TRIM(I181&amp;"")," ",REPT(" ",60)),60)),설정_코드표!$F$2:$F$101,0))),INDEX(설정_코드표!$K$2:$K$101,MATCH(LEFT(TRIM(I181&amp;""),FIND(" ",TRIM(I181&amp;""))-1),설정_코드표!$J$2:$J$101,0))&amp;" "&amp;INDEX(설정_코드표!$G$2:$G$101,MATCH(TRIM(RIGHT(SUBSTITUTE(TRIM(I181&amp;"")," ",REPT(" ",60)),60)),설정_코드표!$F$2:$F$101,0)),"⚠"&amp;TRIM(I181&amp;""))),"⚠"&amp;TRIM(I181&amp;""))</f>
        <v/>
      </c>
      <c r="R181" s="10">
        <f>IFERROR(IF(TRIM(J181&amp;"")="","",IF(AND(ISNUMBER(FIND(" ",TRIM(J181&amp;""))),ISNUMBER(MATCH(LEFT(TRIM(J181&amp;""),FIND(" ",TRIM(J181&amp;""))-1),설정_코드표!$J$2:$J$101,0)),ISNUMBER(MATCH(TRIM(RIGHT(SUBSTITUTE(TRIM(J181&amp;"")," ",REPT(" ",60)),60)),설정_코드표!$F$2:$F$101,0))),INDEX(설정_코드표!$K$2:$K$101,MATCH(LEFT(TRIM(J181&amp;""),FIND(" ",TRIM(J181&amp;""))-1),설정_코드표!$J$2:$J$101,0))&amp;" "&amp;INDEX(설정_코드표!$G$2:$G$101,MATCH(TRIM(RIGHT(SUBSTITUTE(TRIM(J181&amp;"")," ",REPT(" ",60)),60)),설정_코드표!$F$2:$F$101,0)),"⚠"&amp;TRIM(J181&amp;""))),"⚠"&amp;TRIM(J181&amp;""))</f>
        <v/>
      </c>
      <c r="S181" s="11">
        <f>IF(K181="","",IFERROR(IF(AND(ROUND((VALUE(K181&amp;"")-INT(VALUE(K181&amp;"")))*100,0)&gt;=1,ROUND((VALUE(K181&amp;"")-INT(VALUE(K181&amp;"")))*100,0)&lt;=12,INT(VALUE(K181&amp;""))&gt;=1900),DATE(INT(VALUE(K181&amp;"")),ROUND((VALUE(K181&amp;"")-INT(VALUE(K181&amp;"")))*100,0),1),K181&amp;""),K181&amp;""))</f>
        <v/>
      </c>
      <c r="T181" s="10">
        <f>COUNTIF(M181:R181,"⚠*")</f>
        <v/>
      </c>
    </row>
    <row r="182"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M182" s="10">
        <f>IFERROR(IF(TRIM(E182&amp;"")="","",IF(AND(ISNUMBER(FIND(" ",TRIM(E182&amp;""))),ISNUMBER(MATCH(LEFT(TRIM(E182&amp;""),FIND(" ",TRIM(E182&amp;""))-1),설정_코드표!$J$2:$J$101,0)),ISNUMBER(MATCH(TRIM(RIGHT(SUBSTITUTE(TRIM(E182&amp;"")," ",REPT(" ",60)),60)),설정_코드표!$F$2:$F$101,0))),INDEX(설정_코드표!$K$2:$K$101,MATCH(LEFT(TRIM(E182&amp;""),FIND(" ",TRIM(E182&amp;""))-1),설정_코드표!$J$2:$J$101,0))&amp;" "&amp;INDEX(설정_코드표!$G$2:$G$101,MATCH(TRIM(RIGHT(SUBSTITUTE(TRIM(E182&amp;"")," ",REPT(" ",60)),60)),설정_코드표!$F$2:$F$101,0)),"⚠"&amp;TRIM(E182&amp;""))),"⚠"&amp;TRIM(E182&amp;""))</f>
        <v/>
      </c>
      <c r="N182" s="10">
        <f>IFERROR(IF(TRIM(F182&amp;"")="","",IF(AND(ISNUMBER(FIND(" ",TRIM(F182&amp;""))),ISNUMBER(MATCH(LEFT(TRIM(F182&amp;""),FIND(" ",TRIM(F182&amp;""))-1),설정_코드표!$J$2:$J$101,0)),ISNUMBER(MATCH(TRIM(RIGHT(SUBSTITUTE(TRIM(F182&amp;"")," ",REPT(" ",60)),60)),설정_코드표!$F$2:$F$101,0))),INDEX(설정_코드표!$K$2:$K$101,MATCH(LEFT(TRIM(F182&amp;""),FIND(" ",TRIM(F182&amp;""))-1),설정_코드표!$J$2:$J$101,0))&amp;" "&amp;INDEX(설정_코드표!$G$2:$G$101,MATCH(TRIM(RIGHT(SUBSTITUTE(TRIM(F182&amp;"")," ",REPT(" ",60)),60)),설정_코드표!$F$2:$F$101,0)),"⚠"&amp;TRIM(F182&amp;""))),"⚠"&amp;TRIM(F182&amp;""))</f>
        <v/>
      </c>
      <c r="O182" s="10">
        <f>IFERROR(IF(TRIM(G182&amp;"")="","",IF(AND(ISNUMBER(FIND(" ",TRIM(G182&amp;""))),ISNUMBER(MATCH(LEFT(TRIM(G182&amp;""),FIND(" ",TRIM(G182&amp;""))-1),설정_코드표!$J$2:$J$101,0)),ISNUMBER(MATCH(TRIM(RIGHT(SUBSTITUTE(TRIM(G182&amp;"")," ",REPT(" ",60)),60)),설정_코드표!$F$2:$F$101,0))),INDEX(설정_코드표!$K$2:$K$101,MATCH(LEFT(TRIM(G182&amp;""),FIND(" ",TRIM(G182&amp;""))-1),설정_코드표!$J$2:$J$101,0))&amp;" "&amp;INDEX(설정_코드표!$G$2:$G$101,MATCH(TRIM(RIGHT(SUBSTITUTE(TRIM(G182&amp;"")," ",REPT(" ",60)),60)),설정_코드표!$F$2:$F$101,0)),"⚠"&amp;TRIM(G182&amp;""))),"⚠"&amp;TRIM(G182&amp;""))</f>
        <v/>
      </c>
      <c r="P182" s="10">
        <f>IFERROR(IF(TRIM(H182&amp;"")="","",IF(AND(ISNUMBER(FIND(" ",TRIM(H182&amp;""))),ISNUMBER(MATCH(LEFT(TRIM(H182&amp;""),FIND(" ",TRIM(H182&amp;""))-1),설정_코드표!$J$2:$J$101,0)),ISNUMBER(MATCH(TRIM(RIGHT(SUBSTITUTE(TRIM(H182&amp;"")," ",REPT(" ",60)),60)),설정_코드표!$F$2:$F$101,0))),INDEX(설정_코드표!$K$2:$K$101,MATCH(LEFT(TRIM(H182&amp;""),FIND(" ",TRIM(H182&amp;""))-1),설정_코드표!$J$2:$J$101,0))&amp;" "&amp;INDEX(설정_코드표!$G$2:$G$101,MATCH(TRIM(RIGHT(SUBSTITUTE(TRIM(H182&amp;"")," ",REPT(" ",60)),60)),설정_코드표!$F$2:$F$101,0)),"⚠"&amp;TRIM(H182&amp;""))),"⚠"&amp;TRIM(H182&amp;""))</f>
        <v/>
      </c>
      <c r="Q182" s="10">
        <f>IFERROR(IF(TRIM(I182&amp;"")="","",IF(AND(ISNUMBER(FIND(" ",TRIM(I182&amp;""))),ISNUMBER(MATCH(LEFT(TRIM(I182&amp;""),FIND(" ",TRIM(I182&amp;""))-1),설정_코드표!$J$2:$J$101,0)),ISNUMBER(MATCH(TRIM(RIGHT(SUBSTITUTE(TRIM(I182&amp;"")," ",REPT(" ",60)),60)),설정_코드표!$F$2:$F$101,0))),INDEX(설정_코드표!$K$2:$K$101,MATCH(LEFT(TRIM(I182&amp;""),FIND(" ",TRIM(I182&amp;""))-1),설정_코드표!$J$2:$J$101,0))&amp;" "&amp;INDEX(설정_코드표!$G$2:$G$101,MATCH(TRIM(RIGHT(SUBSTITUTE(TRIM(I182&amp;"")," ",REPT(" ",60)),60)),설정_코드표!$F$2:$F$101,0)),"⚠"&amp;TRIM(I182&amp;""))),"⚠"&amp;TRIM(I182&amp;""))</f>
        <v/>
      </c>
      <c r="R182" s="10">
        <f>IFERROR(IF(TRIM(J182&amp;"")="","",IF(AND(ISNUMBER(FIND(" ",TRIM(J182&amp;""))),ISNUMBER(MATCH(LEFT(TRIM(J182&amp;""),FIND(" ",TRIM(J182&amp;""))-1),설정_코드표!$J$2:$J$101,0)),ISNUMBER(MATCH(TRIM(RIGHT(SUBSTITUTE(TRIM(J182&amp;"")," ",REPT(" ",60)),60)),설정_코드표!$F$2:$F$101,0))),INDEX(설정_코드표!$K$2:$K$101,MATCH(LEFT(TRIM(J182&amp;""),FIND(" ",TRIM(J182&amp;""))-1),설정_코드표!$J$2:$J$101,0))&amp;" "&amp;INDEX(설정_코드표!$G$2:$G$101,MATCH(TRIM(RIGHT(SUBSTITUTE(TRIM(J182&amp;"")," ",REPT(" ",60)),60)),설정_코드표!$F$2:$F$101,0)),"⚠"&amp;TRIM(J182&amp;""))),"⚠"&amp;TRIM(J182&amp;""))</f>
        <v/>
      </c>
      <c r="S182" s="11">
        <f>IF(K182="","",IFERROR(IF(AND(ROUND((VALUE(K182&amp;"")-INT(VALUE(K182&amp;"")))*100,0)&gt;=1,ROUND((VALUE(K182&amp;"")-INT(VALUE(K182&amp;"")))*100,0)&lt;=12,INT(VALUE(K182&amp;""))&gt;=1900),DATE(INT(VALUE(K182&amp;"")),ROUND((VALUE(K182&amp;"")-INT(VALUE(K182&amp;"")))*100,0),1),K182&amp;""),K182&amp;""))</f>
        <v/>
      </c>
      <c r="T182" s="10">
        <f>COUNTIF(M182:R182,"⚠*")</f>
        <v/>
      </c>
    </row>
    <row r="183"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M183" s="10">
        <f>IFERROR(IF(TRIM(E183&amp;"")="","",IF(AND(ISNUMBER(FIND(" ",TRIM(E183&amp;""))),ISNUMBER(MATCH(LEFT(TRIM(E183&amp;""),FIND(" ",TRIM(E183&amp;""))-1),설정_코드표!$J$2:$J$101,0)),ISNUMBER(MATCH(TRIM(RIGHT(SUBSTITUTE(TRIM(E183&amp;"")," ",REPT(" ",60)),60)),설정_코드표!$F$2:$F$101,0))),INDEX(설정_코드표!$K$2:$K$101,MATCH(LEFT(TRIM(E183&amp;""),FIND(" ",TRIM(E183&amp;""))-1),설정_코드표!$J$2:$J$101,0))&amp;" "&amp;INDEX(설정_코드표!$G$2:$G$101,MATCH(TRIM(RIGHT(SUBSTITUTE(TRIM(E183&amp;"")," ",REPT(" ",60)),60)),설정_코드표!$F$2:$F$101,0)),"⚠"&amp;TRIM(E183&amp;""))),"⚠"&amp;TRIM(E183&amp;""))</f>
        <v/>
      </c>
      <c r="N183" s="10">
        <f>IFERROR(IF(TRIM(F183&amp;"")="","",IF(AND(ISNUMBER(FIND(" ",TRIM(F183&amp;""))),ISNUMBER(MATCH(LEFT(TRIM(F183&amp;""),FIND(" ",TRIM(F183&amp;""))-1),설정_코드표!$J$2:$J$101,0)),ISNUMBER(MATCH(TRIM(RIGHT(SUBSTITUTE(TRIM(F183&amp;"")," ",REPT(" ",60)),60)),설정_코드표!$F$2:$F$101,0))),INDEX(설정_코드표!$K$2:$K$101,MATCH(LEFT(TRIM(F183&amp;""),FIND(" ",TRIM(F183&amp;""))-1),설정_코드표!$J$2:$J$101,0))&amp;" "&amp;INDEX(설정_코드표!$G$2:$G$101,MATCH(TRIM(RIGHT(SUBSTITUTE(TRIM(F183&amp;"")," ",REPT(" ",60)),60)),설정_코드표!$F$2:$F$101,0)),"⚠"&amp;TRIM(F183&amp;""))),"⚠"&amp;TRIM(F183&amp;""))</f>
        <v/>
      </c>
      <c r="O183" s="10">
        <f>IFERROR(IF(TRIM(G183&amp;"")="","",IF(AND(ISNUMBER(FIND(" ",TRIM(G183&amp;""))),ISNUMBER(MATCH(LEFT(TRIM(G183&amp;""),FIND(" ",TRIM(G183&amp;""))-1),설정_코드표!$J$2:$J$101,0)),ISNUMBER(MATCH(TRIM(RIGHT(SUBSTITUTE(TRIM(G183&amp;"")," ",REPT(" ",60)),60)),설정_코드표!$F$2:$F$101,0))),INDEX(설정_코드표!$K$2:$K$101,MATCH(LEFT(TRIM(G183&amp;""),FIND(" ",TRIM(G183&amp;""))-1),설정_코드표!$J$2:$J$101,0))&amp;" "&amp;INDEX(설정_코드표!$G$2:$G$101,MATCH(TRIM(RIGHT(SUBSTITUTE(TRIM(G183&amp;"")," ",REPT(" ",60)),60)),설정_코드표!$F$2:$F$101,0)),"⚠"&amp;TRIM(G183&amp;""))),"⚠"&amp;TRIM(G183&amp;""))</f>
        <v/>
      </c>
      <c r="P183" s="10">
        <f>IFERROR(IF(TRIM(H183&amp;"")="","",IF(AND(ISNUMBER(FIND(" ",TRIM(H183&amp;""))),ISNUMBER(MATCH(LEFT(TRIM(H183&amp;""),FIND(" ",TRIM(H183&amp;""))-1),설정_코드표!$J$2:$J$101,0)),ISNUMBER(MATCH(TRIM(RIGHT(SUBSTITUTE(TRIM(H183&amp;"")," ",REPT(" ",60)),60)),설정_코드표!$F$2:$F$101,0))),INDEX(설정_코드표!$K$2:$K$101,MATCH(LEFT(TRIM(H183&amp;""),FIND(" ",TRIM(H183&amp;""))-1),설정_코드표!$J$2:$J$101,0))&amp;" "&amp;INDEX(설정_코드표!$G$2:$G$101,MATCH(TRIM(RIGHT(SUBSTITUTE(TRIM(H183&amp;"")," ",REPT(" ",60)),60)),설정_코드표!$F$2:$F$101,0)),"⚠"&amp;TRIM(H183&amp;""))),"⚠"&amp;TRIM(H183&amp;""))</f>
        <v/>
      </c>
      <c r="Q183" s="10">
        <f>IFERROR(IF(TRIM(I183&amp;"")="","",IF(AND(ISNUMBER(FIND(" ",TRIM(I183&amp;""))),ISNUMBER(MATCH(LEFT(TRIM(I183&amp;""),FIND(" ",TRIM(I183&amp;""))-1),설정_코드표!$J$2:$J$101,0)),ISNUMBER(MATCH(TRIM(RIGHT(SUBSTITUTE(TRIM(I183&amp;"")," ",REPT(" ",60)),60)),설정_코드표!$F$2:$F$101,0))),INDEX(설정_코드표!$K$2:$K$101,MATCH(LEFT(TRIM(I183&amp;""),FIND(" ",TRIM(I183&amp;""))-1),설정_코드표!$J$2:$J$101,0))&amp;" "&amp;INDEX(설정_코드표!$G$2:$G$101,MATCH(TRIM(RIGHT(SUBSTITUTE(TRIM(I183&amp;"")," ",REPT(" ",60)),60)),설정_코드표!$F$2:$F$101,0)),"⚠"&amp;TRIM(I183&amp;""))),"⚠"&amp;TRIM(I183&amp;""))</f>
        <v/>
      </c>
      <c r="R183" s="10">
        <f>IFERROR(IF(TRIM(J183&amp;"")="","",IF(AND(ISNUMBER(FIND(" ",TRIM(J183&amp;""))),ISNUMBER(MATCH(LEFT(TRIM(J183&amp;""),FIND(" ",TRIM(J183&amp;""))-1),설정_코드표!$J$2:$J$101,0)),ISNUMBER(MATCH(TRIM(RIGHT(SUBSTITUTE(TRIM(J183&amp;"")," ",REPT(" ",60)),60)),설정_코드표!$F$2:$F$101,0))),INDEX(설정_코드표!$K$2:$K$101,MATCH(LEFT(TRIM(J183&amp;""),FIND(" ",TRIM(J183&amp;""))-1),설정_코드표!$J$2:$J$101,0))&amp;" "&amp;INDEX(설정_코드표!$G$2:$G$101,MATCH(TRIM(RIGHT(SUBSTITUTE(TRIM(J183&amp;"")," ",REPT(" ",60)),60)),설정_코드표!$F$2:$F$101,0)),"⚠"&amp;TRIM(J183&amp;""))),"⚠"&amp;TRIM(J183&amp;""))</f>
        <v/>
      </c>
      <c r="S183" s="11">
        <f>IF(K183="","",IFERROR(IF(AND(ROUND((VALUE(K183&amp;"")-INT(VALUE(K183&amp;"")))*100,0)&gt;=1,ROUND((VALUE(K183&amp;"")-INT(VALUE(K183&amp;"")))*100,0)&lt;=12,INT(VALUE(K183&amp;""))&gt;=1900),DATE(INT(VALUE(K183&amp;"")),ROUND((VALUE(K183&amp;"")-INT(VALUE(K183&amp;"")))*100,0),1),K183&amp;""),K183&amp;""))</f>
        <v/>
      </c>
      <c r="T183" s="10">
        <f>COUNTIF(M183:R183,"⚠*")</f>
        <v/>
      </c>
    </row>
    <row r="184"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M184" s="10">
        <f>IFERROR(IF(TRIM(E184&amp;"")="","",IF(AND(ISNUMBER(FIND(" ",TRIM(E184&amp;""))),ISNUMBER(MATCH(LEFT(TRIM(E184&amp;""),FIND(" ",TRIM(E184&amp;""))-1),설정_코드표!$J$2:$J$101,0)),ISNUMBER(MATCH(TRIM(RIGHT(SUBSTITUTE(TRIM(E184&amp;"")," ",REPT(" ",60)),60)),설정_코드표!$F$2:$F$101,0))),INDEX(설정_코드표!$K$2:$K$101,MATCH(LEFT(TRIM(E184&amp;""),FIND(" ",TRIM(E184&amp;""))-1),설정_코드표!$J$2:$J$101,0))&amp;" "&amp;INDEX(설정_코드표!$G$2:$G$101,MATCH(TRIM(RIGHT(SUBSTITUTE(TRIM(E184&amp;"")," ",REPT(" ",60)),60)),설정_코드표!$F$2:$F$101,0)),"⚠"&amp;TRIM(E184&amp;""))),"⚠"&amp;TRIM(E184&amp;""))</f>
        <v/>
      </c>
      <c r="N184" s="10">
        <f>IFERROR(IF(TRIM(F184&amp;"")="","",IF(AND(ISNUMBER(FIND(" ",TRIM(F184&amp;""))),ISNUMBER(MATCH(LEFT(TRIM(F184&amp;""),FIND(" ",TRIM(F184&amp;""))-1),설정_코드표!$J$2:$J$101,0)),ISNUMBER(MATCH(TRIM(RIGHT(SUBSTITUTE(TRIM(F184&amp;"")," ",REPT(" ",60)),60)),설정_코드표!$F$2:$F$101,0))),INDEX(설정_코드표!$K$2:$K$101,MATCH(LEFT(TRIM(F184&amp;""),FIND(" ",TRIM(F184&amp;""))-1),설정_코드표!$J$2:$J$101,0))&amp;" "&amp;INDEX(설정_코드표!$G$2:$G$101,MATCH(TRIM(RIGHT(SUBSTITUTE(TRIM(F184&amp;"")," ",REPT(" ",60)),60)),설정_코드표!$F$2:$F$101,0)),"⚠"&amp;TRIM(F184&amp;""))),"⚠"&amp;TRIM(F184&amp;""))</f>
        <v/>
      </c>
      <c r="O184" s="10">
        <f>IFERROR(IF(TRIM(G184&amp;"")="","",IF(AND(ISNUMBER(FIND(" ",TRIM(G184&amp;""))),ISNUMBER(MATCH(LEFT(TRIM(G184&amp;""),FIND(" ",TRIM(G184&amp;""))-1),설정_코드표!$J$2:$J$101,0)),ISNUMBER(MATCH(TRIM(RIGHT(SUBSTITUTE(TRIM(G184&amp;"")," ",REPT(" ",60)),60)),설정_코드표!$F$2:$F$101,0))),INDEX(설정_코드표!$K$2:$K$101,MATCH(LEFT(TRIM(G184&amp;""),FIND(" ",TRIM(G184&amp;""))-1),설정_코드표!$J$2:$J$101,0))&amp;" "&amp;INDEX(설정_코드표!$G$2:$G$101,MATCH(TRIM(RIGHT(SUBSTITUTE(TRIM(G184&amp;"")," ",REPT(" ",60)),60)),설정_코드표!$F$2:$F$101,0)),"⚠"&amp;TRIM(G184&amp;""))),"⚠"&amp;TRIM(G184&amp;""))</f>
        <v/>
      </c>
      <c r="P184" s="10">
        <f>IFERROR(IF(TRIM(H184&amp;"")="","",IF(AND(ISNUMBER(FIND(" ",TRIM(H184&amp;""))),ISNUMBER(MATCH(LEFT(TRIM(H184&amp;""),FIND(" ",TRIM(H184&amp;""))-1),설정_코드표!$J$2:$J$101,0)),ISNUMBER(MATCH(TRIM(RIGHT(SUBSTITUTE(TRIM(H184&amp;"")," ",REPT(" ",60)),60)),설정_코드표!$F$2:$F$101,0))),INDEX(설정_코드표!$K$2:$K$101,MATCH(LEFT(TRIM(H184&amp;""),FIND(" ",TRIM(H184&amp;""))-1),설정_코드표!$J$2:$J$101,0))&amp;" "&amp;INDEX(설정_코드표!$G$2:$G$101,MATCH(TRIM(RIGHT(SUBSTITUTE(TRIM(H184&amp;"")," ",REPT(" ",60)),60)),설정_코드표!$F$2:$F$101,0)),"⚠"&amp;TRIM(H184&amp;""))),"⚠"&amp;TRIM(H184&amp;""))</f>
        <v/>
      </c>
      <c r="Q184" s="10">
        <f>IFERROR(IF(TRIM(I184&amp;"")="","",IF(AND(ISNUMBER(FIND(" ",TRIM(I184&amp;""))),ISNUMBER(MATCH(LEFT(TRIM(I184&amp;""),FIND(" ",TRIM(I184&amp;""))-1),설정_코드표!$J$2:$J$101,0)),ISNUMBER(MATCH(TRIM(RIGHT(SUBSTITUTE(TRIM(I184&amp;"")," ",REPT(" ",60)),60)),설정_코드표!$F$2:$F$101,0))),INDEX(설정_코드표!$K$2:$K$101,MATCH(LEFT(TRIM(I184&amp;""),FIND(" ",TRIM(I184&amp;""))-1),설정_코드표!$J$2:$J$101,0))&amp;" "&amp;INDEX(설정_코드표!$G$2:$G$101,MATCH(TRIM(RIGHT(SUBSTITUTE(TRIM(I184&amp;"")," ",REPT(" ",60)),60)),설정_코드표!$F$2:$F$101,0)),"⚠"&amp;TRIM(I184&amp;""))),"⚠"&amp;TRIM(I184&amp;""))</f>
        <v/>
      </c>
      <c r="R184" s="10">
        <f>IFERROR(IF(TRIM(J184&amp;"")="","",IF(AND(ISNUMBER(FIND(" ",TRIM(J184&amp;""))),ISNUMBER(MATCH(LEFT(TRIM(J184&amp;""),FIND(" ",TRIM(J184&amp;""))-1),설정_코드표!$J$2:$J$101,0)),ISNUMBER(MATCH(TRIM(RIGHT(SUBSTITUTE(TRIM(J184&amp;"")," ",REPT(" ",60)),60)),설정_코드표!$F$2:$F$101,0))),INDEX(설정_코드표!$K$2:$K$101,MATCH(LEFT(TRIM(J184&amp;""),FIND(" ",TRIM(J184&amp;""))-1),설정_코드표!$J$2:$J$101,0))&amp;" "&amp;INDEX(설정_코드표!$G$2:$G$101,MATCH(TRIM(RIGHT(SUBSTITUTE(TRIM(J184&amp;"")," ",REPT(" ",60)),60)),설정_코드표!$F$2:$F$101,0)),"⚠"&amp;TRIM(J184&amp;""))),"⚠"&amp;TRIM(J184&amp;""))</f>
        <v/>
      </c>
      <c r="S184" s="11">
        <f>IF(K184="","",IFERROR(IF(AND(ROUND((VALUE(K184&amp;"")-INT(VALUE(K184&amp;"")))*100,0)&gt;=1,ROUND((VALUE(K184&amp;"")-INT(VALUE(K184&amp;"")))*100,0)&lt;=12,INT(VALUE(K184&amp;""))&gt;=1900),DATE(INT(VALUE(K184&amp;"")),ROUND((VALUE(K184&amp;"")-INT(VALUE(K184&amp;"")))*100,0),1),K184&amp;""),K184&amp;""))</f>
        <v/>
      </c>
      <c r="T184" s="10">
        <f>COUNTIF(M184:R184,"⚠*")</f>
        <v/>
      </c>
    </row>
    <row r="185"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M185" s="10">
        <f>IFERROR(IF(TRIM(E185&amp;"")="","",IF(AND(ISNUMBER(FIND(" ",TRIM(E185&amp;""))),ISNUMBER(MATCH(LEFT(TRIM(E185&amp;""),FIND(" ",TRIM(E185&amp;""))-1),설정_코드표!$J$2:$J$101,0)),ISNUMBER(MATCH(TRIM(RIGHT(SUBSTITUTE(TRIM(E185&amp;"")," ",REPT(" ",60)),60)),설정_코드표!$F$2:$F$101,0))),INDEX(설정_코드표!$K$2:$K$101,MATCH(LEFT(TRIM(E185&amp;""),FIND(" ",TRIM(E185&amp;""))-1),설정_코드표!$J$2:$J$101,0))&amp;" "&amp;INDEX(설정_코드표!$G$2:$G$101,MATCH(TRIM(RIGHT(SUBSTITUTE(TRIM(E185&amp;"")," ",REPT(" ",60)),60)),설정_코드표!$F$2:$F$101,0)),"⚠"&amp;TRIM(E185&amp;""))),"⚠"&amp;TRIM(E185&amp;""))</f>
        <v/>
      </c>
      <c r="N185" s="10">
        <f>IFERROR(IF(TRIM(F185&amp;"")="","",IF(AND(ISNUMBER(FIND(" ",TRIM(F185&amp;""))),ISNUMBER(MATCH(LEFT(TRIM(F185&amp;""),FIND(" ",TRIM(F185&amp;""))-1),설정_코드표!$J$2:$J$101,0)),ISNUMBER(MATCH(TRIM(RIGHT(SUBSTITUTE(TRIM(F185&amp;"")," ",REPT(" ",60)),60)),설정_코드표!$F$2:$F$101,0))),INDEX(설정_코드표!$K$2:$K$101,MATCH(LEFT(TRIM(F185&amp;""),FIND(" ",TRIM(F185&amp;""))-1),설정_코드표!$J$2:$J$101,0))&amp;" "&amp;INDEX(설정_코드표!$G$2:$G$101,MATCH(TRIM(RIGHT(SUBSTITUTE(TRIM(F185&amp;"")," ",REPT(" ",60)),60)),설정_코드표!$F$2:$F$101,0)),"⚠"&amp;TRIM(F185&amp;""))),"⚠"&amp;TRIM(F185&amp;""))</f>
        <v/>
      </c>
      <c r="O185" s="10">
        <f>IFERROR(IF(TRIM(G185&amp;"")="","",IF(AND(ISNUMBER(FIND(" ",TRIM(G185&amp;""))),ISNUMBER(MATCH(LEFT(TRIM(G185&amp;""),FIND(" ",TRIM(G185&amp;""))-1),설정_코드표!$J$2:$J$101,0)),ISNUMBER(MATCH(TRIM(RIGHT(SUBSTITUTE(TRIM(G185&amp;"")," ",REPT(" ",60)),60)),설정_코드표!$F$2:$F$101,0))),INDEX(설정_코드표!$K$2:$K$101,MATCH(LEFT(TRIM(G185&amp;""),FIND(" ",TRIM(G185&amp;""))-1),설정_코드표!$J$2:$J$101,0))&amp;" "&amp;INDEX(설정_코드표!$G$2:$G$101,MATCH(TRIM(RIGHT(SUBSTITUTE(TRIM(G185&amp;"")," ",REPT(" ",60)),60)),설정_코드표!$F$2:$F$101,0)),"⚠"&amp;TRIM(G185&amp;""))),"⚠"&amp;TRIM(G185&amp;""))</f>
        <v/>
      </c>
      <c r="P185" s="10">
        <f>IFERROR(IF(TRIM(H185&amp;"")="","",IF(AND(ISNUMBER(FIND(" ",TRIM(H185&amp;""))),ISNUMBER(MATCH(LEFT(TRIM(H185&amp;""),FIND(" ",TRIM(H185&amp;""))-1),설정_코드표!$J$2:$J$101,0)),ISNUMBER(MATCH(TRIM(RIGHT(SUBSTITUTE(TRIM(H185&amp;"")," ",REPT(" ",60)),60)),설정_코드표!$F$2:$F$101,0))),INDEX(설정_코드표!$K$2:$K$101,MATCH(LEFT(TRIM(H185&amp;""),FIND(" ",TRIM(H185&amp;""))-1),설정_코드표!$J$2:$J$101,0))&amp;" "&amp;INDEX(설정_코드표!$G$2:$G$101,MATCH(TRIM(RIGHT(SUBSTITUTE(TRIM(H185&amp;"")," ",REPT(" ",60)),60)),설정_코드표!$F$2:$F$101,0)),"⚠"&amp;TRIM(H185&amp;""))),"⚠"&amp;TRIM(H185&amp;""))</f>
        <v/>
      </c>
      <c r="Q185" s="10">
        <f>IFERROR(IF(TRIM(I185&amp;"")="","",IF(AND(ISNUMBER(FIND(" ",TRIM(I185&amp;""))),ISNUMBER(MATCH(LEFT(TRIM(I185&amp;""),FIND(" ",TRIM(I185&amp;""))-1),설정_코드표!$J$2:$J$101,0)),ISNUMBER(MATCH(TRIM(RIGHT(SUBSTITUTE(TRIM(I185&amp;"")," ",REPT(" ",60)),60)),설정_코드표!$F$2:$F$101,0))),INDEX(설정_코드표!$K$2:$K$101,MATCH(LEFT(TRIM(I185&amp;""),FIND(" ",TRIM(I185&amp;""))-1),설정_코드표!$J$2:$J$101,0))&amp;" "&amp;INDEX(설정_코드표!$G$2:$G$101,MATCH(TRIM(RIGHT(SUBSTITUTE(TRIM(I185&amp;"")," ",REPT(" ",60)),60)),설정_코드표!$F$2:$F$101,0)),"⚠"&amp;TRIM(I185&amp;""))),"⚠"&amp;TRIM(I185&amp;""))</f>
        <v/>
      </c>
      <c r="R185" s="10">
        <f>IFERROR(IF(TRIM(J185&amp;"")="","",IF(AND(ISNUMBER(FIND(" ",TRIM(J185&amp;""))),ISNUMBER(MATCH(LEFT(TRIM(J185&amp;""),FIND(" ",TRIM(J185&amp;""))-1),설정_코드표!$J$2:$J$101,0)),ISNUMBER(MATCH(TRIM(RIGHT(SUBSTITUTE(TRIM(J185&amp;"")," ",REPT(" ",60)),60)),설정_코드표!$F$2:$F$101,0))),INDEX(설정_코드표!$K$2:$K$101,MATCH(LEFT(TRIM(J185&amp;""),FIND(" ",TRIM(J185&amp;""))-1),설정_코드표!$J$2:$J$101,0))&amp;" "&amp;INDEX(설정_코드표!$G$2:$G$101,MATCH(TRIM(RIGHT(SUBSTITUTE(TRIM(J185&amp;"")," ",REPT(" ",60)),60)),설정_코드표!$F$2:$F$101,0)),"⚠"&amp;TRIM(J185&amp;""))),"⚠"&amp;TRIM(J185&amp;""))</f>
        <v/>
      </c>
      <c r="S185" s="11">
        <f>IF(K185="","",IFERROR(IF(AND(ROUND((VALUE(K185&amp;"")-INT(VALUE(K185&amp;"")))*100,0)&gt;=1,ROUND((VALUE(K185&amp;"")-INT(VALUE(K185&amp;"")))*100,0)&lt;=12,INT(VALUE(K185&amp;""))&gt;=1900),DATE(INT(VALUE(K185&amp;"")),ROUND((VALUE(K185&amp;"")-INT(VALUE(K185&amp;"")))*100,0),1),K185&amp;""),K185&amp;""))</f>
        <v/>
      </c>
      <c r="T185" s="10">
        <f>COUNTIF(M185:R185,"⚠*")</f>
        <v/>
      </c>
    </row>
    <row r="186"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M186" s="10">
        <f>IFERROR(IF(TRIM(E186&amp;"")="","",IF(AND(ISNUMBER(FIND(" ",TRIM(E186&amp;""))),ISNUMBER(MATCH(LEFT(TRIM(E186&amp;""),FIND(" ",TRIM(E186&amp;""))-1),설정_코드표!$J$2:$J$101,0)),ISNUMBER(MATCH(TRIM(RIGHT(SUBSTITUTE(TRIM(E186&amp;"")," ",REPT(" ",60)),60)),설정_코드표!$F$2:$F$101,0))),INDEX(설정_코드표!$K$2:$K$101,MATCH(LEFT(TRIM(E186&amp;""),FIND(" ",TRIM(E186&amp;""))-1),설정_코드표!$J$2:$J$101,0))&amp;" "&amp;INDEX(설정_코드표!$G$2:$G$101,MATCH(TRIM(RIGHT(SUBSTITUTE(TRIM(E186&amp;"")," ",REPT(" ",60)),60)),설정_코드표!$F$2:$F$101,0)),"⚠"&amp;TRIM(E186&amp;""))),"⚠"&amp;TRIM(E186&amp;""))</f>
        <v/>
      </c>
      <c r="N186" s="10">
        <f>IFERROR(IF(TRIM(F186&amp;"")="","",IF(AND(ISNUMBER(FIND(" ",TRIM(F186&amp;""))),ISNUMBER(MATCH(LEFT(TRIM(F186&amp;""),FIND(" ",TRIM(F186&amp;""))-1),설정_코드표!$J$2:$J$101,0)),ISNUMBER(MATCH(TRIM(RIGHT(SUBSTITUTE(TRIM(F186&amp;"")," ",REPT(" ",60)),60)),설정_코드표!$F$2:$F$101,0))),INDEX(설정_코드표!$K$2:$K$101,MATCH(LEFT(TRIM(F186&amp;""),FIND(" ",TRIM(F186&amp;""))-1),설정_코드표!$J$2:$J$101,0))&amp;" "&amp;INDEX(설정_코드표!$G$2:$G$101,MATCH(TRIM(RIGHT(SUBSTITUTE(TRIM(F186&amp;"")," ",REPT(" ",60)),60)),설정_코드표!$F$2:$F$101,0)),"⚠"&amp;TRIM(F186&amp;""))),"⚠"&amp;TRIM(F186&amp;""))</f>
        <v/>
      </c>
      <c r="O186" s="10">
        <f>IFERROR(IF(TRIM(G186&amp;"")="","",IF(AND(ISNUMBER(FIND(" ",TRIM(G186&amp;""))),ISNUMBER(MATCH(LEFT(TRIM(G186&amp;""),FIND(" ",TRIM(G186&amp;""))-1),설정_코드표!$J$2:$J$101,0)),ISNUMBER(MATCH(TRIM(RIGHT(SUBSTITUTE(TRIM(G186&amp;"")," ",REPT(" ",60)),60)),설정_코드표!$F$2:$F$101,0))),INDEX(설정_코드표!$K$2:$K$101,MATCH(LEFT(TRIM(G186&amp;""),FIND(" ",TRIM(G186&amp;""))-1),설정_코드표!$J$2:$J$101,0))&amp;" "&amp;INDEX(설정_코드표!$G$2:$G$101,MATCH(TRIM(RIGHT(SUBSTITUTE(TRIM(G186&amp;"")," ",REPT(" ",60)),60)),설정_코드표!$F$2:$F$101,0)),"⚠"&amp;TRIM(G186&amp;""))),"⚠"&amp;TRIM(G186&amp;""))</f>
        <v/>
      </c>
      <c r="P186" s="10">
        <f>IFERROR(IF(TRIM(H186&amp;"")="","",IF(AND(ISNUMBER(FIND(" ",TRIM(H186&amp;""))),ISNUMBER(MATCH(LEFT(TRIM(H186&amp;""),FIND(" ",TRIM(H186&amp;""))-1),설정_코드표!$J$2:$J$101,0)),ISNUMBER(MATCH(TRIM(RIGHT(SUBSTITUTE(TRIM(H186&amp;"")," ",REPT(" ",60)),60)),설정_코드표!$F$2:$F$101,0))),INDEX(설정_코드표!$K$2:$K$101,MATCH(LEFT(TRIM(H186&amp;""),FIND(" ",TRIM(H186&amp;""))-1),설정_코드표!$J$2:$J$101,0))&amp;" "&amp;INDEX(설정_코드표!$G$2:$G$101,MATCH(TRIM(RIGHT(SUBSTITUTE(TRIM(H186&amp;"")," ",REPT(" ",60)),60)),설정_코드표!$F$2:$F$101,0)),"⚠"&amp;TRIM(H186&amp;""))),"⚠"&amp;TRIM(H186&amp;""))</f>
        <v/>
      </c>
      <c r="Q186" s="10">
        <f>IFERROR(IF(TRIM(I186&amp;"")="","",IF(AND(ISNUMBER(FIND(" ",TRIM(I186&amp;""))),ISNUMBER(MATCH(LEFT(TRIM(I186&amp;""),FIND(" ",TRIM(I186&amp;""))-1),설정_코드표!$J$2:$J$101,0)),ISNUMBER(MATCH(TRIM(RIGHT(SUBSTITUTE(TRIM(I186&amp;"")," ",REPT(" ",60)),60)),설정_코드표!$F$2:$F$101,0))),INDEX(설정_코드표!$K$2:$K$101,MATCH(LEFT(TRIM(I186&amp;""),FIND(" ",TRIM(I186&amp;""))-1),설정_코드표!$J$2:$J$101,0))&amp;" "&amp;INDEX(설정_코드표!$G$2:$G$101,MATCH(TRIM(RIGHT(SUBSTITUTE(TRIM(I186&amp;"")," ",REPT(" ",60)),60)),설정_코드표!$F$2:$F$101,0)),"⚠"&amp;TRIM(I186&amp;""))),"⚠"&amp;TRIM(I186&amp;""))</f>
        <v/>
      </c>
      <c r="R186" s="10">
        <f>IFERROR(IF(TRIM(J186&amp;"")="","",IF(AND(ISNUMBER(FIND(" ",TRIM(J186&amp;""))),ISNUMBER(MATCH(LEFT(TRIM(J186&amp;""),FIND(" ",TRIM(J186&amp;""))-1),설정_코드표!$J$2:$J$101,0)),ISNUMBER(MATCH(TRIM(RIGHT(SUBSTITUTE(TRIM(J186&amp;"")," ",REPT(" ",60)),60)),설정_코드표!$F$2:$F$101,0))),INDEX(설정_코드표!$K$2:$K$101,MATCH(LEFT(TRIM(J186&amp;""),FIND(" ",TRIM(J186&amp;""))-1),설정_코드표!$J$2:$J$101,0))&amp;" "&amp;INDEX(설정_코드표!$G$2:$G$101,MATCH(TRIM(RIGHT(SUBSTITUTE(TRIM(J186&amp;"")," ",REPT(" ",60)),60)),설정_코드표!$F$2:$F$101,0)),"⚠"&amp;TRIM(J186&amp;""))),"⚠"&amp;TRIM(J186&amp;""))</f>
        <v/>
      </c>
      <c r="S186" s="11">
        <f>IF(K186="","",IFERROR(IF(AND(ROUND((VALUE(K186&amp;"")-INT(VALUE(K186&amp;"")))*100,0)&gt;=1,ROUND((VALUE(K186&amp;"")-INT(VALUE(K186&amp;"")))*100,0)&lt;=12,INT(VALUE(K186&amp;""))&gt;=1900),DATE(INT(VALUE(K186&amp;"")),ROUND((VALUE(K186&amp;"")-INT(VALUE(K186&amp;"")))*100,0),1),K186&amp;""),K186&amp;""))</f>
        <v/>
      </c>
      <c r="T186" s="10">
        <f>COUNTIF(M186:R186,"⚠*")</f>
        <v/>
      </c>
    </row>
    <row r="187"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M187" s="10">
        <f>IFERROR(IF(TRIM(E187&amp;"")="","",IF(AND(ISNUMBER(FIND(" ",TRIM(E187&amp;""))),ISNUMBER(MATCH(LEFT(TRIM(E187&amp;""),FIND(" ",TRIM(E187&amp;""))-1),설정_코드표!$J$2:$J$101,0)),ISNUMBER(MATCH(TRIM(RIGHT(SUBSTITUTE(TRIM(E187&amp;"")," ",REPT(" ",60)),60)),설정_코드표!$F$2:$F$101,0))),INDEX(설정_코드표!$K$2:$K$101,MATCH(LEFT(TRIM(E187&amp;""),FIND(" ",TRIM(E187&amp;""))-1),설정_코드표!$J$2:$J$101,0))&amp;" "&amp;INDEX(설정_코드표!$G$2:$G$101,MATCH(TRIM(RIGHT(SUBSTITUTE(TRIM(E187&amp;"")," ",REPT(" ",60)),60)),설정_코드표!$F$2:$F$101,0)),"⚠"&amp;TRIM(E187&amp;""))),"⚠"&amp;TRIM(E187&amp;""))</f>
        <v/>
      </c>
      <c r="N187" s="10">
        <f>IFERROR(IF(TRIM(F187&amp;"")="","",IF(AND(ISNUMBER(FIND(" ",TRIM(F187&amp;""))),ISNUMBER(MATCH(LEFT(TRIM(F187&amp;""),FIND(" ",TRIM(F187&amp;""))-1),설정_코드표!$J$2:$J$101,0)),ISNUMBER(MATCH(TRIM(RIGHT(SUBSTITUTE(TRIM(F187&amp;"")," ",REPT(" ",60)),60)),설정_코드표!$F$2:$F$101,0))),INDEX(설정_코드표!$K$2:$K$101,MATCH(LEFT(TRIM(F187&amp;""),FIND(" ",TRIM(F187&amp;""))-1),설정_코드표!$J$2:$J$101,0))&amp;" "&amp;INDEX(설정_코드표!$G$2:$G$101,MATCH(TRIM(RIGHT(SUBSTITUTE(TRIM(F187&amp;"")," ",REPT(" ",60)),60)),설정_코드표!$F$2:$F$101,0)),"⚠"&amp;TRIM(F187&amp;""))),"⚠"&amp;TRIM(F187&amp;""))</f>
        <v/>
      </c>
      <c r="O187" s="10">
        <f>IFERROR(IF(TRIM(G187&amp;"")="","",IF(AND(ISNUMBER(FIND(" ",TRIM(G187&amp;""))),ISNUMBER(MATCH(LEFT(TRIM(G187&amp;""),FIND(" ",TRIM(G187&amp;""))-1),설정_코드표!$J$2:$J$101,0)),ISNUMBER(MATCH(TRIM(RIGHT(SUBSTITUTE(TRIM(G187&amp;"")," ",REPT(" ",60)),60)),설정_코드표!$F$2:$F$101,0))),INDEX(설정_코드표!$K$2:$K$101,MATCH(LEFT(TRIM(G187&amp;""),FIND(" ",TRIM(G187&amp;""))-1),설정_코드표!$J$2:$J$101,0))&amp;" "&amp;INDEX(설정_코드표!$G$2:$G$101,MATCH(TRIM(RIGHT(SUBSTITUTE(TRIM(G187&amp;"")," ",REPT(" ",60)),60)),설정_코드표!$F$2:$F$101,0)),"⚠"&amp;TRIM(G187&amp;""))),"⚠"&amp;TRIM(G187&amp;""))</f>
        <v/>
      </c>
      <c r="P187" s="10">
        <f>IFERROR(IF(TRIM(H187&amp;"")="","",IF(AND(ISNUMBER(FIND(" ",TRIM(H187&amp;""))),ISNUMBER(MATCH(LEFT(TRIM(H187&amp;""),FIND(" ",TRIM(H187&amp;""))-1),설정_코드표!$J$2:$J$101,0)),ISNUMBER(MATCH(TRIM(RIGHT(SUBSTITUTE(TRIM(H187&amp;"")," ",REPT(" ",60)),60)),설정_코드표!$F$2:$F$101,0))),INDEX(설정_코드표!$K$2:$K$101,MATCH(LEFT(TRIM(H187&amp;""),FIND(" ",TRIM(H187&amp;""))-1),설정_코드표!$J$2:$J$101,0))&amp;" "&amp;INDEX(설정_코드표!$G$2:$G$101,MATCH(TRIM(RIGHT(SUBSTITUTE(TRIM(H187&amp;"")," ",REPT(" ",60)),60)),설정_코드표!$F$2:$F$101,0)),"⚠"&amp;TRIM(H187&amp;""))),"⚠"&amp;TRIM(H187&amp;""))</f>
        <v/>
      </c>
      <c r="Q187" s="10">
        <f>IFERROR(IF(TRIM(I187&amp;"")="","",IF(AND(ISNUMBER(FIND(" ",TRIM(I187&amp;""))),ISNUMBER(MATCH(LEFT(TRIM(I187&amp;""),FIND(" ",TRIM(I187&amp;""))-1),설정_코드표!$J$2:$J$101,0)),ISNUMBER(MATCH(TRIM(RIGHT(SUBSTITUTE(TRIM(I187&amp;"")," ",REPT(" ",60)),60)),설정_코드표!$F$2:$F$101,0))),INDEX(설정_코드표!$K$2:$K$101,MATCH(LEFT(TRIM(I187&amp;""),FIND(" ",TRIM(I187&amp;""))-1),설정_코드표!$J$2:$J$101,0))&amp;" "&amp;INDEX(설정_코드표!$G$2:$G$101,MATCH(TRIM(RIGHT(SUBSTITUTE(TRIM(I187&amp;"")," ",REPT(" ",60)),60)),설정_코드표!$F$2:$F$101,0)),"⚠"&amp;TRIM(I187&amp;""))),"⚠"&amp;TRIM(I187&amp;""))</f>
        <v/>
      </c>
      <c r="R187" s="10">
        <f>IFERROR(IF(TRIM(J187&amp;"")="","",IF(AND(ISNUMBER(FIND(" ",TRIM(J187&amp;""))),ISNUMBER(MATCH(LEFT(TRIM(J187&amp;""),FIND(" ",TRIM(J187&amp;""))-1),설정_코드표!$J$2:$J$101,0)),ISNUMBER(MATCH(TRIM(RIGHT(SUBSTITUTE(TRIM(J187&amp;"")," ",REPT(" ",60)),60)),설정_코드표!$F$2:$F$101,0))),INDEX(설정_코드표!$K$2:$K$101,MATCH(LEFT(TRIM(J187&amp;""),FIND(" ",TRIM(J187&amp;""))-1),설정_코드표!$J$2:$J$101,0))&amp;" "&amp;INDEX(설정_코드표!$G$2:$G$101,MATCH(TRIM(RIGHT(SUBSTITUTE(TRIM(J187&amp;"")," ",REPT(" ",60)),60)),설정_코드표!$F$2:$F$101,0)),"⚠"&amp;TRIM(J187&amp;""))),"⚠"&amp;TRIM(J187&amp;""))</f>
        <v/>
      </c>
      <c r="S187" s="11">
        <f>IF(K187="","",IFERROR(IF(AND(ROUND((VALUE(K187&amp;"")-INT(VALUE(K187&amp;"")))*100,0)&gt;=1,ROUND((VALUE(K187&amp;"")-INT(VALUE(K187&amp;"")))*100,0)&lt;=12,INT(VALUE(K187&amp;""))&gt;=1900),DATE(INT(VALUE(K187&amp;"")),ROUND((VALUE(K187&amp;"")-INT(VALUE(K187&amp;"")))*100,0),1),K187&amp;""),K187&amp;""))</f>
        <v/>
      </c>
      <c r="T187" s="10">
        <f>COUNTIF(M187:R187,"⚠*")</f>
        <v/>
      </c>
    </row>
    <row r="188"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M188" s="10">
        <f>IFERROR(IF(TRIM(E188&amp;"")="","",IF(AND(ISNUMBER(FIND(" ",TRIM(E188&amp;""))),ISNUMBER(MATCH(LEFT(TRIM(E188&amp;""),FIND(" ",TRIM(E188&amp;""))-1),설정_코드표!$J$2:$J$101,0)),ISNUMBER(MATCH(TRIM(RIGHT(SUBSTITUTE(TRIM(E188&amp;"")," ",REPT(" ",60)),60)),설정_코드표!$F$2:$F$101,0))),INDEX(설정_코드표!$K$2:$K$101,MATCH(LEFT(TRIM(E188&amp;""),FIND(" ",TRIM(E188&amp;""))-1),설정_코드표!$J$2:$J$101,0))&amp;" "&amp;INDEX(설정_코드표!$G$2:$G$101,MATCH(TRIM(RIGHT(SUBSTITUTE(TRIM(E188&amp;"")," ",REPT(" ",60)),60)),설정_코드표!$F$2:$F$101,0)),"⚠"&amp;TRIM(E188&amp;""))),"⚠"&amp;TRIM(E188&amp;""))</f>
        <v/>
      </c>
      <c r="N188" s="10">
        <f>IFERROR(IF(TRIM(F188&amp;"")="","",IF(AND(ISNUMBER(FIND(" ",TRIM(F188&amp;""))),ISNUMBER(MATCH(LEFT(TRIM(F188&amp;""),FIND(" ",TRIM(F188&amp;""))-1),설정_코드표!$J$2:$J$101,0)),ISNUMBER(MATCH(TRIM(RIGHT(SUBSTITUTE(TRIM(F188&amp;"")," ",REPT(" ",60)),60)),설정_코드표!$F$2:$F$101,0))),INDEX(설정_코드표!$K$2:$K$101,MATCH(LEFT(TRIM(F188&amp;""),FIND(" ",TRIM(F188&amp;""))-1),설정_코드표!$J$2:$J$101,0))&amp;" "&amp;INDEX(설정_코드표!$G$2:$G$101,MATCH(TRIM(RIGHT(SUBSTITUTE(TRIM(F188&amp;"")," ",REPT(" ",60)),60)),설정_코드표!$F$2:$F$101,0)),"⚠"&amp;TRIM(F188&amp;""))),"⚠"&amp;TRIM(F188&amp;""))</f>
        <v/>
      </c>
      <c r="O188" s="10">
        <f>IFERROR(IF(TRIM(G188&amp;"")="","",IF(AND(ISNUMBER(FIND(" ",TRIM(G188&amp;""))),ISNUMBER(MATCH(LEFT(TRIM(G188&amp;""),FIND(" ",TRIM(G188&amp;""))-1),설정_코드표!$J$2:$J$101,0)),ISNUMBER(MATCH(TRIM(RIGHT(SUBSTITUTE(TRIM(G188&amp;"")," ",REPT(" ",60)),60)),설정_코드표!$F$2:$F$101,0))),INDEX(설정_코드표!$K$2:$K$101,MATCH(LEFT(TRIM(G188&amp;""),FIND(" ",TRIM(G188&amp;""))-1),설정_코드표!$J$2:$J$101,0))&amp;" "&amp;INDEX(설정_코드표!$G$2:$G$101,MATCH(TRIM(RIGHT(SUBSTITUTE(TRIM(G188&amp;"")," ",REPT(" ",60)),60)),설정_코드표!$F$2:$F$101,0)),"⚠"&amp;TRIM(G188&amp;""))),"⚠"&amp;TRIM(G188&amp;""))</f>
        <v/>
      </c>
      <c r="P188" s="10">
        <f>IFERROR(IF(TRIM(H188&amp;"")="","",IF(AND(ISNUMBER(FIND(" ",TRIM(H188&amp;""))),ISNUMBER(MATCH(LEFT(TRIM(H188&amp;""),FIND(" ",TRIM(H188&amp;""))-1),설정_코드표!$J$2:$J$101,0)),ISNUMBER(MATCH(TRIM(RIGHT(SUBSTITUTE(TRIM(H188&amp;"")," ",REPT(" ",60)),60)),설정_코드표!$F$2:$F$101,0))),INDEX(설정_코드표!$K$2:$K$101,MATCH(LEFT(TRIM(H188&amp;""),FIND(" ",TRIM(H188&amp;""))-1),설정_코드표!$J$2:$J$101,0))&amp;" "&amp;INDEX(설정_코드표!$G$2:$G$101,MATCH(TRIM(RIGHT(SUBSTITUTE(TRIM(H188&amp;"")," ",REPT(" ",60)),60)),설정_코드표!$F$2:$F$101,0)),"⚠"&amp;TRIM(H188&amp;""))),"⚠"&amp;TRIM(H188&amp;""))</f>
        <v/>
      </c>
      <c r="Q188" s="10">
        <f>IFERROR(IF(TRIM(I188&amp;"")="","",IF(AND(ISNUMBER(FIND(" ",TRIM(I188&amp;""))),ISNUMBER(MATCH(LEFT(TRIM(I188&amp;""),FIND(" ",TRIM(I188&amp;""))-1),설정_코드표!$J$2:$J$101,0)),ISNUMBER(MATCH(TRIM(RIGHT(SUBSTITUTE(TRIM(I188&amp;"")," ",REPT(" ",60)),60)),설정_코드표!$F$2:$F$101,0))),INDEX(설정_코드표!$K$2:$K$101,MATCH(LEFT(TRIM(I188&amp;""),FIND(" ",TRIM(I188&amp;""))-1),설정_코드표!$J$2:$J$101,0))&amp;" "&amp;INDEX(설정_코드표!$G$2:$G$101,MATCH(TRIM(RIGHT(SUBSTITUTE(TRIM(I188&amp;"")," ",REPT(" ",60)),60)),설정_코드표!$F$2:$F$101,0)),"⚠"&amp;TRIM(I188&amp;""))),"⚠"&amp;TRIM(I188&amp;""))</f>
        <v/>
      </c>
      <c r="R188" s="10">
        <f>IFERROR(IF(TRIM(J188&amp;"")="","",IF(AND(ISNUMBER(FIND(" ",TRIM(J188&amp;""))),ISNUMBER(MATCH(LEFT(TRIM(J188&amp;""),FIND(" ",TRIM(J188&amp;""))-1),설정_코드표!$J$2:$J$101,0)),ISNUMBER(MATCH(TRIM(RIGHT(SUBSTITUTE(TRIM(J188&amp;"")," ",REPT(" ",60)),60)),설정_코드표!$F$2:$F$101,0))),INDEX(설정_코드표!$K$2:$K$101,MATCH(LEFT(TRIM(J188&amp;""),FIND(" ",TRIM(J188&amp;""))-1),설정_코드표!$J$2:$J$101,0))&amp;" "&amp;INDEX(설정_코드표!$G$2:$G$101,MATCH(TRIM(RIGHT(SUBSTITUTE(TRIM(J188&amp;"")," ",REPT(" ",60)),60)),설정_코드표!$F$2:$F$101,0)),"⚠"&amp;TRIM(J188&amp;""))),"⚠"&amp;TRIM(J188&amp;""))</f>
        <v/>
      </c>
      <c r="S188" s="11">
        <f>IF(K188="","",IFERROR(IF(AND(ROUND((VALUE(K188&amp;"")-INT(VALUE(K188&amp;"")))*100,0)&gt;=1,ROUND((VALUE(K188&amp;"")-INT(VALUE(K188&amp;"")))*100,0)&lt;=12,INT(VALUE(K188&amp;""))&gt;=1900),DATE(INT(VALUE(K188&amp;"")),ROUND((VALUE(K188&amp;"")-INT(VALUE(K188&amp;"")))*100,0),1),K188&amp;""),K188&amp;""))</f>
        <v/>
      </c>
      <c r="T188" s="10">
        <f>COUNTIF(M188:R188,"⚠*")</f>
        <v/>
      </c>
    </row>
    <row r="189"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M189" s="10">
        <f>IFERROR(IF(TRIM(E189&amp;"")="","",IF(AND(ISNUMBER(FIND(" ",TRIM(E189&amp;""))),ISNUMBER(MATCH(LEFT(TRIM(E189&amp;""),FIND(" ",TRIM(E189&amp;""))-1),설정_코드표!$J$2:$J$101,0)),ISNUMBER(MATCH(TRIM(RIGHT(SUBSTITUTE(TRIM(E189&amp;"")," ",REPT(" ",60)),60)),설정_코드표!$F$2:$F$101,0))),INDEX(설정_코드표!$K$2:$K$101,MATCH(LEFT(TRIM(E189&amp;""),FIND(" ",TRIM(E189&amp;""))-1),설정_코드표!$J$2:$J$101,0))&amp;" "&amp;INDEX(설정_코드표!$G$2:$G$101,MATCH(TRIM(RIGHT(SUBSTITUTE(TRIM(E189&amp;"")," ",REPT(" ",60)),60)),설정_코드표!$F$2:$F$101,0)),"⚠"&amp;TRIM(E189&amp;""))),"⚠"&amp;TRIM(E189&amp;""))</f>
        <v/>
      </c>
      <c r="N189" s="10">
        <f>IFERROR(IF(TRIM(F189&amp;"")="","",IF(AND(ISNUMBER(FIND(" ",TRIM(F189&amp;""))),ISNUMBER(MATCH(LEFT(TRIM(F189&amp;""),FIND(" ",TRIM(F189&amp;""))-1),설정_코드표!$J$2:$J$101,0)),ISNUMBER(MATCH(TRIM(RIGHT(SUBSTITUTE(TRIM(F189&amp;"")," ",REPT(" ",60)),60)),설정_코드표!$F$2:$F$101,0))),INDEX(설정_코드표!$K$2:$K$101,MATCH(LEFT(TRIM(F189&amp;""),FIND(" ",TRIM(F189&amp;""))-1),설정_코드표!$J$2:$J$101,0))&amp;" "&amp;INDEX(설정_코드표!$G$2:$G$101,MATCH(TRIM(RIGHT(SUBSTITUTE(TRIM(F189&amp;"")," ",REPT(" ",60)),60)),설정_코드표!$F$2:$F$101,0)),"⚠"&amp;TRIM(F189&amp;""))),"⚠"&amp;TRIM(F189&amp;""))</f>
        <v/>
      </c>
      <c r="O189" s="10">
        <f>IFERROR(IF(TRIM(G189&amp;"")="","",IF(AND(ISNUMBER(FIND(" ",TRIM(G189&amp;""))),ISNUMBER(MATCH(LEFT(TRIM(G189&amp;""),FIND(" ",TRIM(G189&amp;""))-1),설정_코드표!$J$2:$J$101,0)),ISNUMBER(MATCH(TRIM(RIGHT(SUBSTITUTE(TRIM(G189&amp;"")," ",REPT(" ",60)),60)),설정_코드표!$F$2:$F$101,0))),INDEX(설정_코드표!$K$2:$K$101,MATCH(LEFT(TRIM(G189&amp;""),FIND(" ",TRIM(G189&amp;""))-1),설정_코드표!$J$2:$J$101,0))&amp;" "&amp;INDEX(설정_코드표!$G$2:$G$101,MATCH(TRIM(RIGHT(SUBSTITUTE(TRIM(G189&amp;"")," ",REPT(" ",60)),60)),설정_코드표!$F$2:$F$101,0)),"⚠"&amp;TRIM(G189&amp;""))),"⚠"&amp;TRIM(G189&amp;""))</f>
        <v/>
      </c>
      <c r="P189" s="10">
        <f>IFERROR(IF(TRIM(H189&amp;"")="","",IF(AND(ISNUMBER(FIND(" ",TRIM(H189&amp;""))),ISNUMBER(MATCH(LEFT(TRIM(H189&amp;""),FIND(" ",TRIM(H189&amp;""))-1),설정_코드표!$J$2:$J$101,0)),ISNUMBER(MATCH(TRIM(RIGHT(SUBSTITUTE(TRIM(H189&amp;"")," ",REPT(" ",60)),60)),설정_코드표!$F$2:$F$101,0))),INDEX(설정_코드표!$K$2:$K$101,MATCH(LEFT(TRIM(H189&amp;""),FIND(" ",TRIM(H189&amp;""))-1),설정_코드표!$J$2:$J$101,0))&amp;" "&amp;INDEX(설정_코드표!$G$2:$G$101,MATCH(TRIM(RIGHT(SUBSTITUTE(TRIM(H189&amp;"")," ",REPT(" ",60)),60)),설정_코드표!$F$2:$F$101,0)),"⚠"&amp;TRIM(H189&amp;""))),"⚠"&amp;TRIM(H189&amp;""))</f>
        <v/>
      </c>
      <c r="Q189" s="10">
        <f>IFERROR(IF(TRIM(I189&amp;"")="","",IF(AND(ISNUMBER(FIND(" ",TRIM(I189&amp;""))),ISNUMBER(MATCH(LEFT(TRIM(I189&amp;""),FIND(" ",TRIM(I189&amp;""))-1),설정_코드표!$J$2:$J$101,0)),ISNUMBER(MATCH(TRIM(RIGHT(SUBSTITUTE(TRIM(I189&amp;"")," ",REPT(" ",60)),60)),설정_코드표!$F$2:$F$101,0))),INDEX(설정_코드표!$K$2:$K$101,MATCH(LEFT(TRIM(I189&amp;""),FIND(" ",TRIM(I189&amp;""))-1),설정_코드표!$J$2:$J$101,0))&amp;" "&amp;INDEX(설정_코드표!$G$2:$G$101,MATCH(TRIM(RIGHT(SUBSTITUTE(TRIM(I189&amp;"")," ",REPT(" ",60)),60)),설정_코드표!$F$2:$F$101,0)),"⚠"&amp;TRIM(I189&amp;""))),"⚠"&amp;TRIM(I189&amp;""))</f>
        <v/>
      </c>
      <c r="R189" s="10">
        <f>IFERROR(IF(TRIM(J189&amp;"")="","",IF(AND(ISNUMBER(FIND(" ",TRIM(J189&amp;""))),ISNUMBER(MATCH(LEFT(TRIM(J189&amp;""),FIND(" ",TRIM(J189&amp;""))-1),설정_코드표!$J$2:$J$101,0)),ISNUMBER(MATCH(TRIM(RIGHT(SUBSTITUTE(TRIM(J189&amp;"")," ",REPT(" ",60)),60)),설정_코드표!$F$2:$F$101,0))),INDEX(설정_코드표!$K$2:$K$101,MATCH(LEFT(TRIM(J189&amp;""),FIND(" ",TRIM(J189&amp;""))-1),설정_코드표!$J$2:$J$101,0))&amp;" "&amp;INDEX(설정_코드표!$G$2:$G$101,MATCH(TRIM(RIGHT(SUBSTITUTE(TRIM(J189&amp;"")," ",REPT(" ",60)),60)),설정_코드표!$F$2:$F$101,0)),"⚠"&amp;TRIM(J189&amp;""))),"⚠"&amp;TRIM(J189&amp;""))</f>
        <v/>
      </c>
      <c r="S189" s="11">
        <f>IF(K189="","",IFERROR(IF(AND(ROUND((VALUE(K189&amp;"")-INT(VALUE(K189&amp;"")))*100,0)&gt;=1,ROUND((VALUE(K189&amp;"")-INT(VALUE(K189&amp;"")))*100,0)&lt;=12,INT(VALUE(K189&amp;""))&gt;=1900),DATE(INT(VALUE(K189&amp;"")),ROUND((VALUE(K189&amp;"")-INT(VALUE(K189&amp;"")))*100,0),1),K189&amp;""),K189&amp;""))</f>
        <v/>
      </c>
      <c r="T189" s="10">
        <f>COUNTIF(M189:R189,"⚠*")</f>
        <v/>
      </c>
    </row>
    <row r="190"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M190" s="10">
        <f>IFERROR(IF(TRIM(E190&amp;"")="","",IF(AND(ISNUMBER(FIND(" ",TRIM(E190&amp;""))),ISNUMBER(MATCH(LEFT(TRIM(E190&amp;""),FIND(" ",TRIM(E190&amp;""))-1),설정_코드표!$J$2:$J$101,0)),ISNUMBER(MATCH(TRIM(RIGHT(SUBSTITUTE(TRIM(E190&amp;"")," ",REPT(" ",60)),60)),설정_코드표!$F$2:$F$101,0))),INDEX(설정_코드표!$K$2:$K$101,MATCH(LEFT(TRIM(E190&amp;""),FIND(" ",TRIM(E190&amp;""))-1),설정_코드표!$J$2:$J$101,0))&amp;" "&amp;INDEX(설정_코드표!$G$2:$G$101,MATCH(TRIM(RIGHT(SUBSTITUTE(TRIM(E190&amp;"")," ",REPT(" ",60)),60)),설정_코드표!$F$2:$F$101,0)),"⚠"&amp;TRIM(E190&amp;""))),"⚠"&amp;TRIM(E190&amp;""))</f>
        <v/>
      </c>
      <c r="N190" s="10">
        <f>IFERROR(IF(TRIM(F190&amp;"")="","",IF(AND(ISNUMBER(FIND(" ",TRIM(F190&amp;""))),ISNUMBER(MATCH(LEFT(TRIM(F190&amp;""),FIND(" ",TRIM(F190&amp;""))-1),설정_코드표!$J$2:$J$101,0)),ISNUMBER(MATCH(TRIM(RIGHT(SUBSTITUTE(TRIM(F190&amp;"")," ",REPT(" ",60)),60)),설정_코드표!$F$2:$F$101,0))),INDEX(설정_코드표!$K$2:$K$101,MATCH(LEFT(TRIM(F190&amp;""),FIND(" ",TRIM(F190&amp;""))-1),설정_코드표!$J$2:$J$101,0))&amp;" "&amp;INDEX(설정_코드표!$G$2:$G$101,MATCH(TRIM(RIGHT(SUBSTITUTE(TRIM(F190&amp;"")," ",REPT(" ",60)),60)),설정_코드표!$F$2:$F$101,0)),"⚠"&amp;TRIM(F190&amp;""))),"⚠"&amp;TRIM(F190&amp;""))</f>
        <v/>
      </c>
      <c r="O190" s="10">
        <f>IFERROR(IF(TRIM(G190&amp;"")="","",IF(AND(ISNUMBER(FIND(" ",TRIM(G190&amp;""))),ISNUMBER(MATCH(LEFT(TRIM(G190&amp;""),FIND(" ",TRIM(G190&amp;""))-1),설정_코드표!$J$2:$J$101,0)),ISNUMBER(MATCH(TRIM(RIGHT(SUBSTITUTE(TRIM(G190&amp;"")," ",REPT(" ",60)),60)),설정_코드표!$F$2:$F$101,0))),INDEX(설정_코드표!$K$2:$K$101,MATCH(LEFT(TRIM(G190&amp;""),FIND(" ",TRIM(G190&amp;""))-1),설정_코드표!$J$2:$J$101,0))&amp;" "&amp;INDEX(설정_코드표!$G$2:$G$101,MATCH(TRIM(RIGHT(SUBSTITUTE(TRIM(G190&amp;"")," ",REPT(" ",60)),60)),설정_코드표!$F$2:$F$101,0)),"⚠"&amp;TRIM(G190&amp;""))),"⚠"&amp;TRIM(G190&amp;""))</f>
        <v/>
      </c>
      <c r="P190" s="10">
        <f>IFERROR(IF(TRIM(H190&amp;"")="","",IF(AND(ISNUMBER(FIND(" ",TRIM(H190&amp;""))),ISNUMBER(MATCH(LEFT(TRIM(H190&amp;""),FIND(" ",TRIM(H190&amp;""))-1),설정_코드표!$J$2:$J$101,0)),ISNUMBER(MATCH(TRIM(RIGHT(SUBSTITUTE(TRIM(H190&amp;"")," ",REPT(" ",60)),60)),설정_코드표!$F$2:$F$101,0))),INDEX(설정_코드표!$K$2:$K$101,MATCH(LEFT(TRIM(H190&amp;""),FIND(" ",TRIM(H190&amp;""))-1),설정_코드표!$J$2:$J$101,0))&amp;" "&amp;INDEX(설정_코드표!$G$2:$G$101,MATCH(TRIM(RIGHT(SUBSTITUTE(TRIM(H190&amp;"")," ",REPT(" ",60)),60)),설정_코드표!$F$2:$F$101,0)),"⚠"&amp;TRIM(H190&amp;""))),"⚠"&amp;TRIM(H190&amp;""))</f>
        <v/>
      </c>
      <c r="Q190" s="10">
        <f>IFERROR(IF(TRIM(I190&amp;"")="","",IF(AND(ISNUMBER(FIND(" ",TRIM(I190&amp;""))),ISNUMBER(MATCH(LEFT(TRIM(I190&amp;""),FIND(" ",TRIM(I190&amp;""))-1),설정_코드표!$J$2:$J$101,0)),ISNUMBER(MATCH(TRIM(RIGHT(SUBSTITUTE(TRIM(I190&amp;"")," ",REPT(" ",60)),60)),설정_코드표!$F$2:$F$101,0))),INDEX(설정_코드표!$K$2:$K$101,MATCH(LEFT(TRIM(I190&amp;""),FIND(" ",TRIM(I190&amp;""))-1),설정_코드표!$J$2:$J$101,0))&amp;" "&amp;INDEX(설정_코드표!$G$2:$G$101,MATCH(TRIM(RIGHT(SUBSTITUTE(TRIM(I190&amp;"")," ",REPT(" ",60)),60)),설정_코드표!$F$2:$F$101,0)),"⚠"&amp;TRIM(I190&amp;""))),"⚠"&amp;TRIM(I190&amp;""))</f>
        <v/>
      </c>
      <c r="R190" s="10">
        <f>IFERROR(IF(TRIM(J190&amp;"")="","",IF(AND(ISNUMBER(FIND(" ",TRIM(J190&amp;""))),ISNUMBER(MATCH(LEFT(TRIM(J190&amp;""),FIND(" ",TRIM(J190&amp;""))-1),설정_코드표!$J$2:$J$101,0)),ISNUMBER(MATCH(TRIM(RIGHT(SUBSTITUTE(TRIM(J190&amp;"")," ",REPT(" ",60)),60)),설정_코드표!$F$2:$F$101,0))),INDEX(설정_코드표!$K$2:$K$101,MATCH(LEFT(TRIM(J190&amp;""),FIND(" ",TRIM(J190&amp;""))-1),설정_코드표!$J$2:$J$101,0))&amp;" "&amp;INDEX(설정_코드표!$G$2:$G$101,MATCH(TRIM(RIGHT(SUBSTITUTE(TRIM(J190&amp;"")," ",REPT(" ",60)),60)),설정_코드표!$F$2:$F$101,0)),"⚠"&amp;TRIM(J190&amp;""))),"⚠"&amp;TRIM(J190&amp;""))</f>
        <v/>
      </c>
      <c r="S190" s="11">
        <f>IF(K190="","",IFERROR(IF(AND(ROUND((VALUE(K190&amp;"")-INT(VALUE(K190&amp;"")))*100,0)&gt;=1,ROUND((VALUE(K190&amp;"")-INT(VALUE(K190&amp;"")))*100,0)&lt;=12,INT(VALUE(K190&amp;""))&gt;=1900),DATE(INT(VALUE(K190&amp;"")),ROUND((VALUE(K190&amp;"")-INT(VALUE(K190&amp;"")))*100,0),1),K190&amp;""),K190&amp;""))</f>
        <v/>
      </c>
      <c r="T190" s="10">
        <f>COUNTIF(M190:R190,"⚠*")</f>
        <v/>
      </c>
    </row>
    <row r="191"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M191" s="10">
        <f>IFERROR(IF(TRIM(E191&amp;"")="","",IF(AND(ISNUMBER(FIND(" ",TRIM(E191&amp;""))),ISNUMBER(MATCH(LEFT(TRIM(E191&amp;""),FIND(" ",TRIM(E191&amp;""))-1),설정_코드표!$J$2:$J$101,0)),ISNUMBER(MATCH(TRIM(RIGHT(SUBSTITUTE(TRIM(E191&amp;"")," ",REPT(" ",60)),60)),설정_코드표!$F$2:$F$101,0))),INDEX(설정_코드표!$K$2:$K$101,MATCH(LEFT(TRIM(E191&amp;""),FIND(" ",TRIM(E191&amp;""))-1),설정_코드표!$J$2:$J$101,0))&amp;" "&amp;INDEX(설정_코드표!$G$2:$G$101,MATCH(TRIM(RIGHT(SUBSTITUTE(TRIM(E191&amp;"")," ",REPT(" ",60)),60)),설정_코드표!$F$2:$F$101,0)),"⚠"&amp;TRIM(E191&amp;""))),"⚠"&amp;TRIM(E191&amp;""))</f>
        <v/>
      </c>
      <c r="N191" s="10">
        <f>IFERROR(IF(TRIM(F191&amp;"")="","",IF(AND(ISNUMBER(FIND(" ",TRIM(F191&amp;""))),ISNUMBER(MATCH(LEFT(TRIM(F191&amp;""),FIND(" ",TRIM(F191&amp;""))-1),설정_코드표!$J$2:$J$101,0)),ISNUMBER(MATCH(TRIM(RIGHT(SUBSTITUTE(TRIM(F191&amp;"")," ",REPT(" ",60)),60)),설정_코드표!$F$2:$F$101,0))),INDEX(설정_코드표!$K$2:$K$101,MATCH(LEFT(TRIM(F191&amp;""),FIND(" ",TRIM(F191&amp;""))-1),설정_코드표!$J$2:$J$101,0))&amp;" "&amp;INDEX(설정_코드표!$G$2:$G$101,MATCH(TRIM(RIGHT(SUBSTITUTE(TRIM(F191&amp;"")," ",REPT(" ",60)),60)),설정_코드표!$F$2:$F$101,0)),"⚠"&amp;TRIM(F191&amp;""))),"⚠"&amp;TRIM(F191&amp;""))</f>
        <v/>
      </c>
      <c r="O191" s="10">
        <f>IFERROR(IF(TRIM(G191&amp;"")="","",IF(AND(ISNUMBER(FIND(" ",TRIM(G191&amp;""))),ISNUMBER(MATCH(LEFT(TRIM(G191&amp;""),FIND(" ",TRIM(G191&amp;""))-1),설정_코드표!$J$2:$J$101,0)),ISNUMBER(MATCH(TRIM(RIGHT(SUBSTITUTE(TRIM(G191&amp;"")," ",REPT(" ",60)),60)),설정_코드표!$F$2:$F$101,0))),INDEX(설정_코드표!$K$2:$K$101,MATCH(LEFT(TRIM(G191&amp;""),FIND(" ",TRIM(G191&amp;""))-1),설정_코드표!$J$2:$J$101,0))&amp;" "&amp;INDEX(설정_코드표!$G$2:$G$101,MATCH(TRIM(RIGHT(SUBSTITUTE(TRIM(G191&amp;"")," ",REPT(" ",60)),60)),설정_코드표!$F$2:$F$101,0)),"⚠"&amp;TRIM(G191&amp;""))),"⚠"&amp;TRIM(G191&amp;""))</f>
        <v/>
      </c>
      <c r="P191" s="10">
        <f>IFERROR(IF(TRIM(H191&amp;"")="","",IF(AND(ISNUMBER(FIND(" ",TRIM(H191&amp;""))),ISNUMBER(MATCH(LEFT(TRIM(H191&amp;""),FIND(" ",TRIM(H191&amp;""))-1),설정_코드표!$J$2:$J$101,0)),ISNUMBER(MATCH(TRIM(RIGHT(SUBSTITUTE(TRIM(H191&amp;"")," ",REPT(" ",60)),60)),설정_코드표!$F$2:$F$101,0))),INDEX(설정_코드표!$K$2:$K$101,MATCH(LEFT(TRIM(H191&amp;""),FIND(" ",TRIM(H191&amp;""))-1),설정_코드표!$J$2:$J$101,0))&amp;" "&amp;INDEX(설정_코드표!$G$2:$G$101,MATCH(TRIM(RIGHT(SUBSTITUTE(TRIM(H191&amp;"")," ",REPT(" ",60)),60)),설정_코드표!$F$2:$F$101,0)),"⚠"&amp;TRIM(H191&amp;""))),"⚠"&amp;TRIM(H191&amp;""))</f>
        <v/>
      </c>
      <c r="Q191" s="10">
        <f>IFERROR(IF(TRIM(I191&amp;"")="","",IF(AND(ISNUMBER(FIND(" ",TRIM(I191&amp;""))),ISNUMBER(MATCH(LEFT(TRIM(I191&amp;""),FIND(" ",TRIM(I191&amp;""))-1),설정_코드표!$J$2:$J$101,0)),ISNUMBER(MATCH(TRIM(RIGHT(SUBSTITUTE(TRIM(I191&amp;"")," ",REPT(" ",60)),60)),설정_코드표!$F$2:$F$101,0))),INDEX(설정_코드표!$K$2:$K$101,MATCH(LEFT(TRIM(I191&amp;""),FIND(" ",TRIM(I191&amp;""))-1),설정_코드표!$J$2:$J$101,0))&amp;" "&amp;INDEX(설정_코드표!$G$2:$G$101,MATCH(TRIM(RIGHT(SUBSTITUTE(TRIM(I191&amp;"")," ",REPT(" ",60)),60)),설정_코드표!$F$2:$F$101,0)),"⚠"&amp;TRIM(I191&amp;""))),"⚠"&amp;TRIM(I191&amp;""))</f>
        <v/>
      </c>
      <c r="R191" s="10">
        <f>IFERROR(IF(TRIM(J191&amp;"")="","",IF(AND(ISNUMBER(FIND(" ",TRIM(J191&amp;""))),ISNUMBER(MATCH(LEFT(TRIM(J191&amp;""),FIND(" ",TRIM(J191&amp;""))-1),설정_코드표!$J$2:$J$101,0)),ISNUMBER(MATCH(TRIM(RIGHT(SUBSTITUTE(TRIM(J191&amp;"")," ",REPT(" ",60)),60)),설정_코드표!$F$2:$F$101,0))),INDEX(설정_코드표!$K$2:$K$101,MATCH(LEFT(TRIM(J191&amp;""),FIND(" ",TRIM(J191&amp;""))-1),설정_코드표!$J$2:$J$101,0))&amp;" "&amp;INDEX(설정_코드표!$G$2:$G$101,MATCH(TRIM(RIGHT(SUBSTITUTE(TRIM(J191&amp;"")," ",REPT(" ",60)),60)),설정_코드표!$F$2:$F$101,0)),"⚠"&amp;TRIM(J191&amp;""))),"⚠"&amp;TRIM(J191&amp;""))</f>
        <v/>
      </c>
      <c r="S191" s="11">
        <f>IF(K191="","",IFERROR(IF(AND(ROUND((VALUE(K191&amp;"")-INT(VALUE(K191&amp;"")))*100,0)&gt;=1,ROUND((VALUE(K191&amp;"")-INT(VALUE(K191&amp;"")))*100,0)&lt;=12,INT(VALUE(K191&amp;""))&gt;=1900),DATE(INT(VALUE(K191&amp;"")),ROUND((VALUE(K191&amp;"")-INT(VALUE(K191&amp;"")))*100,0),1),K191&amp;""),K191&amp;""))</f>
        <v/>
      </c>
      <c r="T191" s="10">
        <f>COUNTIF(M191:R191,"⚠*")</f>
        <v/>
      </c>
    </row>
    <row r="192"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M192" s="10">
        <f>IFERROR(IF(TRIM(E192&amp;"")="","",IF(AND(ISNUMBER(FIND(" ",TRIM(E192&amp;""))),ISNUMBER(MATCH(LEFT(TRIM(E192&amp;""),FIND(" ",TRIM(E192&amp;""))-1),설정_코드표!$J$2:$J$101,0)),ISNUMBER(MATCH(TRIM(RIGHT(SUBSTITUTE(TRIM(E192&amp;"")," ",REPT(" ",60)),60)),설정_코드표!$F$2:$F$101,0))),INDEX(설정_코드표!$K$2:$K$101,MATCH(LEFT(TRIM(E192&amp;""),FIND(" ",TRIM(E192&amp;""))-1),설정_코드표!$J$2:$J$101,0))&amp;" "&amp;INDEX(설정_코드표!$G$2:$G$101,MATCH(TRIM(RIGHT(SUBSTITUTE(TRIM(E192&amp;"")," ",REPT(" ",60)),60)),설정_코드표!$F$2:$F$101,0)),"⚠"&amp;TRIM(E192&amp;""))),"⚠"&amp;TRIM(E192&amp;""))</f>
        <v/>
      </c>
      <c r="N192" s="10">
        <f>IFERROR(IF(TRIM(F192&amp;"")="","",IF(AND(ISNUMBER(FIND(" ",TRIM(F192&amp;""))),ISNUMBER(MATCH(LEFT(TRIM(F192&amp;""),FIND(" ",TRIM(F192&amp;""))-1),설정_코드표!$J$2:$J$101,0)),ISNUMBER(MATCH(TRIM(RIGHT(SUBSTITUTE(TRIM(F192&amp;"")," ",REPT(" ",60)),60)),설정_코드표!$F$2:$F$101,0))),INDEX(설정_코드표!$K$2:$K$101,MATCH(LEFT(TRIM(F192&amp;""),FIND(" ",TRIM(F192&amp;""))-1),설정_코드표!$J$2:$J$101,0))&amp;" "&amp;INDEX(설정_코드표!$G$2:$G$101,MATCH(TRIM(RIGHT(SUBSTITUTE(TRIM(F192&amp;"")," ",REPT(" ",60)),60)),설정_코드표!$F$2:$F$101,0)),"⚠"&amp;TRIM(F192&amp;""))),"⚠"&amp;TRIM(F192&amp;""))</f>
        <v/>
      </c>
      <c r="O192" s="10">
        <f>IFERROR(IF(TRIM(G192&amp;"")="","",IF(AND(ISNUMBER(FIND(" ",TRIM(G192&amp;""))),ISNUMBER(MATCH(LEFT(TRIM(G192&amp;""),FIND(" ",TRIM(G192&amp;""))-1),설정_코드표!$J$2:$J$101,0)),ISNUMBER(MATCH(TRIM(RIGHT(SUBSTITUTE(TRIM(G192&amp;"")," ",REPT(" ",60)),60)),설정_코드표!$F$2:$F$101,0))),INDEX(설정_코드표!$K$2:$K$101,MATCH(LEFT(TRIM(G192&amp;""),FIND(" ",TRIM(G192&amp;""))-1),설정_코드표!$J$2:$J$101,0))&amp;" "&amp;INDEX(설정_코드표!$G$2:$G$101,MATCH(TRIM(RIGHT(SUBSTITUTE(TRIM(G192&amp;"")," ",REPT(" ",60)),60)),설정_코드표!$F$2:$F$101,0)),"⚠"&amp;TRIM(G192&amp;""))),"⚠"&amp;TRIM(G192&amp;""))</f>
        <v/>
      </c>
      <c r="P192" s="10">
        <f>IFERROR(IF(TRIM(H192&amp;"")="","",IF(AND(ISNUMBER(FIND(" ",TRIM(H192&amp;""))),ISNUMBER(MATCH(LEFT(TRIM(H192&amp;""),FIND(" ",TRIM(H192&amp;""))-1),설정_코드표!$J$2:$J$101,0)),ISNUMBER(MATCH(TRIM(RIGHT(SUBSTITUTE(TRIM(H192&amp;"")," ",REPT(" ",60)),60)),설정_코드표!$F$2:$F$101,0))),INDEX(설정_코드표!$K$2:$K$101,MATCH(LEFT(TRIM(H192&amp;""),FIND(" ",TRIM(H192&amp;""))-1),설정_코드표!$J$2:$J$101,0))&amp;" "&amp;INDEX(설정_코드표!$G$2:$G$101,MATCH(TRIM(RIGHT(SUBSTITUTE(TRIM(H192&amp;"")," ",REPT(" ",60)),60)),설정_코드표!$F$2:$F$101,0)),"⚠"&amp;TRIM(H192&amp;""))),"⚠"&amp;TRIM(H192&amp;""))</f>
        <v/>
      </c>
      <c r="Q192" s="10">
        <f>IFERROR(IF(TRIM(I192&amp;"")="","",IF(AND(ISNUMBER(FIND(" ",TRIM(I192&amp;""))),ISNUMBER(MATCH(LEFT(TRIM(I192&amp;""),FIND(" ",TRIM(I192&amp;""))-1),설정_코드표!$J$2:$J$101,0)),ISNUMBER(MATCH(TRIM(RIGHT(SUBSTITUTE(TRIM(I192&amp;"")," ",REPT(" ",60)),60)),설정_코드표!$F$2:$F$101,0))),INDEX(설정_코드표!$K$2:$K$101,MATCH(LEFT(TRIM(I192&amp;""),FIND(" ",TRIM(I192&amp;""))-1),설정_코드표!$J$2:$J$101,0))&amp;" "&amp;INDEX(설정_코드표!$G$2:$G$101,MATCH(TRIM(RIGHT(SUBSTITUTE(TRIM(I192&amp;"")," ",REPT(" ",60)),60)),설정_코드표!$F$2:$F$101,0)),"⚠"&amp;TRIM(I192&amp;""))),"⚠"&amp;TRIM(I192&amp;""))</f>
        <v/>
      </c>
      <c r="R192" s="10">
        <f>IFERROR(IF(TRIM(J192&amp;"")="","",IF(AND(ISNUMBER(FIND(" ",TRIM(J192&amp;""))),ISNUMBER(MATCH(LEFT(TRIM(J192&amp;""),FIND(" ",TRIM(J192&amp;""))-1),설정_코드표!$J$2:$J$101,0)),ISNUMBER(MATCH(TRIM(RIGHT(SUBSTITUTE(TRIM(J192&amp;"")," ",REPT(" ",60)),60)),설정_코드표!$F$2:$F$101,0))),INDEX(설정_코드표!$K$2:$K$101,MATCH(LEFT(TRIM(J192&amp;""),FIND(" ",TRIM(J192&amp;""))-1),설정_코드표!$J$2:$J$101,0))&amp;" "&amp;INDEX(설정_코드표!$G$2:$G$101,MATCH(TRIM(RIGHT(SUBSTITUTE(TRIM(J192&amp;"")," ",REPT(" ",60)),60)),설정_코드표!$F$2:$F$101,0)),"⚠"&amp;TRIM(J192&amp;""))),"⚠"&amp;TRIM(J192&amp;""))</f>
        <v/>
      </c>
      <c r="S192" s="11">
        <f>IF(K192="","",IFERROR(IF(AND(ROUND((VALUE(K192&amp;"")-INT(VALUE(K192&amp;"")))*100,0)&gt;=1,ROUND((VALUE(K192&amp;"")-INT(VALUE(K192&amp;"")))*100,0)&lt;=12,INT(VALUE(K192&amp;""))&gt;=1900),DATE(INT(VALUE(K192&amp;"")),ROUND((VALUE(K192&amp;"")-INT(VALUE(K192&amp;"")))*100,0),1),K192&amp;""),K192&amp;""))</f>
        <v/>
      </c>
      <c r="T192" s="10">
        <f>COUNTIF(M192:R192,"⚠*")</f>
        <v/>
      </c>
    </row>
    <row r="193"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M193" s="10">
        <f>IFERROR(IF(TRIM(E193&amp;"")="","",IF(AND(ISNUMBER(FIND(" ",TRIM(E193&amp;""))),ISNUMBER(MATCH(LEFT(TRIM(E193&amp;""),FIND(" ",TRIM(E193&amp;""))-1),설정_코드표!$J$2:$J$101,0)),ISNUMBER(MATCH(TRIM(RIGHT(SUBSTITUTE(TRIM(E193&amp;"")," ",REPT(" ",60)),60)),설정_코드표!$F$2:$F$101,0))),INDEX(설정_코드표!$K$2:$K$101,MATCH(LEFT(TRIM(E193&amp;""),FIND(" ",TRIM(E193&amp;""))-1),설정_코드표!$J$2:$J$101,0))&amp;" "&amp;INDEX(설정_코드표!$G$2:$G$101,MATCH(TRIM(RIGHT(SUBSTITUTE(TRIM(E193&amp;"")," ",REPT(" ",60)),60)),설정_코드표!$F$2:$F$101,0)),"⚠"&amp;TRIM(E193&amp;""))),"⚠"&amp;TRIM(E193&amp;""))</f>
        <v/>
      </c>
      <c r="N193" s="10">
        <f>IFERROR(IF(TRIM(F193&amp;"")="","",IF(AND(ISNUMBER(FIND(" ",TRIM(F193&amp;""))),ISNUMBER(MATCH(LEFT(TRIM(F193&amp;""),FIND(" ",TRIM(F193&amp;""))-1),설정_코드표!$J$2:$J$101,0)),ISNUMBER(MATCH(TRIM(RIGHT(SUBSTITUTE(TRIM(F193&amp;"")," ",REPT(" ",60)),60)),설정_코드표!$F$2:$F$101,0))),INDEX(설정_코드표!$K$2:$K$101,MATCH(LEFT(TRIM(F193&amp;""),FIND(" ",TRIM(F193&amp;""))-1),설정_코드표!$J$2:$J$101,0))&amp;" "&amp;INDEX(설정_코드표!$G$2:$G$101,MATCH(TRIM(RIGHT(SUBSTITUTE(TRIM(F193&amp;"")," ",REPT(" ",60)),60)),설정_코드표!$F$2:$F$101,0)),"⚠"&amp;TRIM(F193&amp;""))),"⚠"&amp;TRIM(F193&amp;""))</f>
        <v/>
      </c>
      <c r="O193" s="10">
        <f>IFERROR(IF(TRIM(G193&amp;"")="","",IF(AND(ISNUMBER(FIND(" ",TRIM(G193&amp;""))),ISNUMBER(MATCH(LEFT(TRIM(G193&amp;""),FIND(" ",TRIM(G193&amp;""))-1),설정_코드표!$J$2:$J$101,0)),ISNUMBER(MATCH(TRIM(RIGHT(SUBSTITUTE(TRIM(G193&amp;"")," ",REPT(" ",60)),60)),설정_코드표!$F$2:$F$101,0))),INDEX(설정_코드표!$K$2:$K$101,MATCH(LEFT(TRIM(G193&amp;""),FIND(" ",TRIM(G193&amp;""))-1),설정_코드표!$J$2:$J$101,0))&amp;" "&amp;INDEX(설정_코드표!$G$2:$G$101,MATCH(TRIM(RIGHT(SUBSTITUTE(TRIM(G193&amp;"")," ",REPT(" ",60)),60)),설정_코드표!$F$2:$F$101,0)),"⚠"&amp;TRIM(G193&amp;""))),"⚠"&amp;TRIM(G193&amp;""))</f>
        <v/>
      </c>
      <c r="P193" s="10">
        <f>IFERROR(IF(TRIM(H193&amp;"")="","",IF(AND(ISNUMBER(FIND(" ",TRIM(H193&amp;""))),ISNUMBER(MATCH(LEFT(TRIM(H193&amp;""),FIND(" ",TRIM(H193&amp;""))-1),설정_코드표!$J$2:$J$101,0)),ISNUMBER(MATCH(TRIM(RIGHT(SUBSTITUTE(TRIM(H193&amp;"")," ",REPT(" ",60)),60)),설정_코드표!$F$2:$F$101,0))),INDEX(설정_코드표!$K$2:$K$101,MATCH(LEFT(TRIM(H193&amp;""),FIND(" ",TRIM(H193&amp;""))-1),설정_코드표!$J$2:$J$101,0))&amp;" "&amp;INDEX(설정_코드표!$G$2:$G$101,MATCH(TRIM(RIGHT(SUBSTITUTE(TRIM(H193&amp;"")," ",REPT(" ",60)),60)),설정_코드표!$F$2:$F$101,0)),"⚠"&amp;TRIM(H193&amp;""))),"⚠"&amp;TRIM(H193&amp;""))</f>
        <v/>
      </c>
      <c r="Q193" s="10">
        <f>IFERROR(IF(TRIM(I193&amp;"")="","",IF(AND(ISNUMBER(FIND(" ",TRIM(I193&amp;""))),ISNUMBER(MATCH(LEFT(TRIM(I193&amp;""),FIND(" ",TRIM(I193&amp;""))-1),설정_코드표!$J$2:$J$101,0)),ISNUMBER(MATCH(TRIM(RIGHT(SUBSTITUTE(TRIM(I193&amp;"")," ",REPT(" ",60)),60)),설정_코드표!$F$2:$F$101,0))),INDEX(설정_코드표!$K$2:$K$101,MATCH(LEFT(TRIM(I193&amp;""),FIND(" ",TRIM(I193&amp;""))-1),설정_코드표!$J$2:$J$101,0))&amp;" "&amp;INDEX(설정_코드표!$G$2:$G$101,MATCH(TRIM(RIGHT(SUBSTITUTE(TRIM(I193&amp;"")," ",REPT(" ",60)),60)),설정_코드표!$F$2:$F$101,0)),"⚠"&amp;TRIM(I193&amp;""))),"⚠"&amp;TRIM(I193&amp;""))</f>
        <v/>
      </c>
      <c r="R193" s="10">
        <f>IFERROR(IF(TRIM(J193&amp;"")="","",IF(AND(ISNUMBER(FIND(" ",TRIM(J193&amp;""))),ISNUMBER(MATCH(LEFT(TRIM(J193&amp;""),FIND(" ",TRIM(J193&amp;""))-1),설정_코드표!$J$2:$J$101,0)),ISNUMBER(MATCH(TRIM(RIGHT(SUBSTITUTE(TRIM(J193&amp;"")," ",REPT(" ",60)),60)),설정_코드표!$F$2:$F$101,0))),INDEX(설정_코드표!$K$2:$K$101,MATCH(LEFT(TRIM(J193&amp;""),FIND(" ",TRIM(J193&amp;""))-1),설정_코드표!$J$2:$J$101,0))&amp;" "&amp;INDEX(설정_코드표!$G$2:$G$101,MATCH(TRIM(RIGHT(SUBSTITUTE(TRIM(J193&amp;"")," ",REPT(" ",60)),60)),설정_코드표!$F$2:$F$101,0)),"⚠"&amp;TRIM(J193&amp;""))),"⚠"&amp;TRIM(J193&amp;""))</f>
        <v/>
      </c>
      <c r="S193" s="11">
        <f>IF(K193="","",IFERROR(IF(AND(ROUND((VALUE(K193&amp;"")-INT(VALUE(K193&amp;"")))*100,0)&gt;=1,ROUND((VALUE(K193&amp;"")-INT(VALUE(K193&amp;"")))*100,0)&lt;=12,INT(VALUE(K193&amp;""))&gt;=1900),DATE(INT(VALUE(K193&amp;"")),ROUND((VALUE(K193&amp;"")-INT(VALUE(K193&amp;"")))*100,0),1),K193&amp;""),K193&amp;""))</f>
        <v/>
      </c>
      <c r="T193" s="10">
        <f>COUNTIF(M193:R193,"⚠*")</f>
        <v/>
      </c>
    </row>
    <row r="194"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M194" s="10">
        <f>IFERROR(IF(TRIM(E194&amp;"")="","",IF(AND(ISNUMBER(FIND(" ",TRIM(E194&amp;""))),ISNUMBER(MATCH(LEFT(TRIM(E194&amp;""),FIND(" ",TRIM(E194&amp;""))-1),설정_코드표!$J$2:$J$101,0)),ISNUMBER(MATCH(TRIM(RIGHT(SUBSTITUTE(TRIM(E194&amp;"")," ",REPT(" ",60)),60)),설정_코드표!$F$2:$F$101,0))),INDEX(설정_코드표!$K$2:$K$101,MATCH(LEFT(TRIM(E194&amp;""),FIND(" ",TRIM(E194&amp;""))-1),설정_코드표!$J$2:$J$101,0))&amp;" "&amp;INDEX(설정_코드표!$G$2:$G$101,MATCH(TRIM(RIGHT(SUBSTITUTE(TRIM(E194&amp;"")," ",REPT(" ",60)),60)),설정_코드표!$F$2:$F$101,0)),"⚠"&amp;TRIM(E194&amp;""))),"⚠"&amp;TRIM(E194&amp;""))</f>
        <v/>
      </c>
      <c r="N194" s="10">
        <f>IFERROR(IF(TRIM(F194&amp;"")="","",IF(AND(ISNUMBER(FIND(" ",TRIM(F194&amp;""))),ISNUMBER(MATCH(LEFT(TRIM(F194&amp;""),FIND(" ",TRIM(F194&amp;""))-1),설정_코드표!$J$2:$J$101,0)),ISNUMBER(MATCH(TRIM(RIGHT(SUBSTITUTE(TRIM(F194&amp;"")," ",REPT(" ",60)),60)),설정_코드표!$F$2:$F$101,0))),INDEX(설정_코드표!$K$2:$K$101,MATCH(LEFT(TRIM(F194&amp;""),FIND(" ",TRIM(F194&amp;""))-1),설정_코드표!$J$2:$J$101,0))&amp;" "&amp;INDEX(설정_코드표!$G$2:$G$101,MATCH(TRIM(RIGHT(SUBSTITUTE(TRIM(F194&amp;"")," ",REPT(" ",60)),60)),설정_코드표!$F$2:$F$101,0)),"⚠"&amp;TRIM(F194&amp;""))),"⚠"&amp;TRIM(F194&amp;""))</f>
        <v/>
      </c>
      <c r="O194" s="10">
        <f>IFERROR(IF(TRIM(G194&amp;"")="","",IF(AND(ISNUMBER(FIND(" ",TRIM(G194&amp;""))),ISNUMBER(MATCH(LEFT(TRIM(G194&amp;""),FIND(" ",TRIM(G194&amp;""))-1),설정_코드표!$J$2:$J$101,0)),ISNUMBER(MATCH(TRIM(RIGHT(SUBSTITUTE(TRIM(G194&amp;"")," ",REPT(" ",60)),60)),설정_코드표!$F$2:$F$101,0))),INDEX(설정_코드표!$K$2:$K$101,MATCH(LEFT(TRIM(G194&amp;""),FIND(" ",TRIM(G194&amp;""))-1),설정_코드표!$J$2:$J$101,0))&amp;" "&amp;INDEX(설정_코드표!$G$2:$G$101,MATCH(TRIM(RIGHT(SUBSTITUTE(TRIM(G194&amp;"")," ",REPT(" ",60)),60)),설정_코드표!$F$2:$F$101,0)),"⚠"&amp;TRIM(G194&amp;""))),"⚠"&amp;TRIM(G194&amp;""))</f>
        <v/>
      </c>
      <c r="P194" s="10">
        <f>IFERROR(IF(TRIM(H194&amp;"")="","",IF(AND(ISNUMBER(FIND(" ",TRIM(H194&amp;""))),ISNUMBER(MATCH(LEFT(TRIM(H194&amp;""),FIND(" ",TRIM(H194&amp;""))-1),설정_코드표!$J$2:$J$101,0)),ISNUMBER(MATCH(TRIM(RIGHT(SUBSTITUTE(TRIM(H194&amp;"")," ",REPT(" ",60)),60)),설정_코드표!$F$2:$F$101,0))),INDEX(설정_코드표!$K$2:$K$101,MATCH(LEFT(TRIM(H194&amp;""),FIND(" ",TRIM(H194&amp;""))-1),설정_코드표!$J$2:$J$101,0))&amp;" "&amp;INDEX(설정_코드표!$G$2:$G$101,MATCH(TRIM(RIGHT(SUBSTITUTE(TRIM(H194&amp;"")," ",REPT(" ",60)),60)),설정_코드표!$F$2:$F$101,0)),"⚠"&amp;TRIM(H194&amp;""))),"⚠"&amp;TRIM(H194&amp;""))</f>
        <v/>
      </c>
      <c r="Q194" s="10">
        <f>IFERROR(IF(TRIM(I194&amp;"")="","",IF(AND(ISNUMBER(FIND(" ",TRIM(I194&amp;""))),ISNUMBER(MATCH(LEFT(TRIM(I194&amp;""),FIND(" ",TRIM(I194&amp;""))-1),설정_코드표!$J$2:$J$101,0)),ISNUMBER(MATCH(TRIM(RIGHT(SUBSTITUTE(TRIM(I194&amp;"")," ",REPT(" ",60)),60)),설정_코드표!$F$2:$F$101,0))),INDEX(설정_코드표!$K$2:$K$101,MATCH(LEFT(TRIM(I194&amp;""),FIND(" ",TRIM(I194&amp;""))-1),설정_코드표!$J$2:$J$101,0))&amp;" "&amp;INDEX(설정_코드표!$G$2:$G$101,MATCH(TRIM(RIGHT(SUBSTITUTE(TRIM(I194&amp;"")," ",REPT(" ",60)),60)),설정_코드표!$F$2:$F$101,0)),"⚠"&amp;TRIM(I194&amp;""))),"⚠"&amp;TRIM(I194&amp;""))</f>
        <v/>
      </c>
      <c r="R194" s="10">
        <f>IFERROR(IF(TRIM(J194&amp;"")="","",IF(AND(ISNUMBER(FIND(" ",TRIM(J194&amp;""))),ISNUMBER(MATCH(LEFT(TRIM(J194&amp;""),FIND(" ",TRIM(J194&amp;""))-1),설정_코드표!$J$2:$J$101,0)),ISNUMBER(MATCH(TRIM(RIGHT(SUBSTITUTE(TRIM(J194&amp;"")," ",REPT(" ",60)),60)),설정_코드표!$F$2:$F$101,0))),INDEX(설정_코드표!$K$2:$K$101,MATCH(LEFT(TRIM(J194&amp;""),FIND(" ",TRIM(J194&amp;""))-1),설정_코드표!$J$2:$J$101,0))&amp;" "&amp;INDEX(설정_코드표!$G$2:$G$101,MATCH(TRIM(RIGHT(SUBSTITUTE(TRIM(J194&amp;"")," ",REPT(" ",60)),60)),설정_코드표!$F$2:$F$101,0)),"⚠"&amp;TRIM(J194&amp;""))),"⚠"&amp;TRIM(J194&amp;""))</f>
        <v/>
      </c>
      <c r="S194" s="11">
        <f>IF(K194="","",IFERROR(IF(AND(ROUND((VALUE(K194&amp;"")-INT(VALUE(K194&amp;"")))*100,0)&gt;=1,ROUND((VALUE(K194&amp;"")-INT(VALUE(K194&amp;"")))*100,0)&lt;=12,INT(VALUE(K194&amp;""))&gt;=1900),DATE(INT(VALUE(K194&amp;"")),ROUND((VALUE(K194&amp;"")-INT(VALUE(K194&amp;"")))*100,0),1),K194&amp;""),K194&amp;""))</f>
        <v/>
      </c>
      <c r="T194" s="10">
        <f>COUNTIF(M194:R194,"⚠*")</f>
        <v/>
      </c>
    </row>
    <row r="195"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M195" s="10">
        <f>IFERROR(IF(TRIM(E195&amp;"")="","",IF(AND(ISNUMBER(FIND(" ",TRIM(E195&amp;""))),ISNUMBER(MATCH(LEFT(TRIM(E195&amp;""),FIND(" ",TRIM(E195&amp;""))-1),설정_코드표!$J$2:$J$101,0)),ISNUMBER(MATCH(TRIM(RIGHT(SUBSTITUTE(TRIM(E195&amp;"")," ",REPT(" ",60)),60)),설정_코드표!$F$2:$F$101,0))),INDEX(설정_코드표!$K$2:$K$101,MATCH(LEFT(TRIM(E195&amp;""),FIND(" ",TRIM(E195&amp;""))-1),설정_코드표!$J$2:$J$101,0))&amp;" "&amp;INDEX(설정_코드표!$G$2:$G$101,MATCH(TRIM(RIGHT(SUBSTITUTE(TRIM(E195&amp;"")," ",REPT(" ",60)),60)),설정_코드표!$F$2:$F$101,0)),"⚠"&amp;TRIM(E195&amp;""))),"⚠"&amp;TRIM(E195&amp;""))</f>
        <v/>
      </c>
      <c r="N195" s="10">
        <f>IFERROR(IF(TRIM(F195&amp;"")="","",IF(AND(ISNUMBER(FIND(" ",TRIM(F195&amp;""))),ISNUMBER(MATCH(LEFT(TRIM(F195&amp;""),FIND(" ",TRIM(F195&amp;""))-1),설정_코드표!$J$2:$J$101,0)),ISNUMBER(MATCH(TRIM(RIGHT(SUBSTITUTE(TRIM(F195&amp;"")," ",REPT(" ",60)),60)),설정_코드표!$F$2:$F$101,0))),INDEX(설정_코드표!$K$2:$K$101,MATCH(LEFT(TRIM(F195&amp;""),FIND(" ",TRIM(F195&amp;""))-1),설정_코드표!$J$2:$J$101,0))&amp;" "&amp;INDEX(설정_코드표!$G$2:$G$101,MATCH(TRIM(RIGHT(SUBSTITUTE(TRIM(F195&amp;"")," ",REPT(" ",60)),60)),설정_코드표!$F$2:$F$101,0)),"⚠"&amp;TRIM(F195&amp;""))),"⚠"&amp;TRIM(F195&amp;""))</f>
        <v/>
      </c>
      <c r="O195" s="10">
        <f>IFERROR(IF(TRIM(G195&amp;"")="","",IF(AND(ISNUMBER(FIND(" ",TRIM(G195&amp;""))),ISNUMBER(MATCH(LEFT(TRIM(G195&amp;""),FIND(" ",TRIM(G195&amp;""))-1),설정_코드표!$J$2:$J$101,0)),ISNUMBER(MATCH(TRIM(RIGHT(SUBSTITUTE(TRIM(G195&amp;"")," ",REPT(" ",60)),60)),설정_코드표!$F$2:$F$101,0))),INDEX(설정_코드표!$K$2:$K$101,MATCH(LEFT(TRIM(G195&amp;""),FIND(" ",TRIM(G195&amp;""))-1),설정_코드표!$J$2:$J$101,0))&amp;" "&amp;INDEX(설정_코드표!$G$2:$G$101,MATCH(TRIM(RIGHT(SUBSTITUTE(TRIM(G195&amp;"")," ",REPT(" ",60)),60)),설정_코드표!$F$2:$F$101,0)),"⚠"&amp;TRIM(G195&amp;""))),"⚠"&amp;TRIM(G195&amp;""))</f>
        <v/>
      </c>
      <c r="P195" s="10">
        <f>IFERROR(IF(TRIM(H195&amp;"")="","",IF(AND(ISNUMBER(FIND(" ",TRIM(H195&amp;""))),ISNUMBER(MATCH(LEFT(TRIM(H195&amp;""),FIND(" ",TRIM(H195&amp;""))-1),설정_코드표!$J$2:$J$101,0)),ISNUMBER(MATCH(TRIM(RIGHT(SUBSTITUTE(TRIM(H195&amp;"")," ",REPT(" ",60)),60)),설정_코드표!$F$2:$F$101,0))),INDEX(설정_코드표!$K$2:$K$101,MATCH(LEFT(TRIM(H195&amp;""),FIND(" ",TRIM(H195&amp;""))-1),설정_코드표!$J$2:$J$101,0))&amp;" "&amp;INDEX(설정_코드표!$G$2:$G$101,MATCH(TRIM(RIGHT(SUBSTITUTE(TRIM(H195&amp;"")," ",REPT(" ",60)),60)),설정_코드표!$F$2:$F$101,0)),"⚠"&amp;TRIM(H195&amp;""))),"⚠"&amp;TRIM(H195&amp;""))</f>
        <v/>
      </c>
      <c r="Q195" s="10">
        <f>IFERROR(IF(TRIM(I195&amp;"")="","",IF(AND(ISNUMBER(FIND(" ",TRIM(I195&amp;""))),ISNUMBER(MATCH(LEFT(TRIM(I195&amp;""),FIND(" ",TRIM(I195&amp;""))-1),설정_코드표!$J$2:$J$101,0)),ISNUMBER(MATCH(TRIM(RIGHT(SUBSTITUTE(TRIM(I195&amp;"")," ",REPT(" ",60)),60)),설정_코드표!$F$2:$F$101,0))),INDEX(설정_코드표!$K$2:$K$101,MATCH(LEFT(TRIM(I195&amp;""),FIND(" ",TRIM(I195&amp;""))-1),설정_코드표!$J$2:$J$101,0))&amp;" "&amp;INDEX(설정_코드표!$G$2:$G$101,MATCH(TRIM(RIGHT(SUBSTITUTE(TRIM(I195&amp;"")," ",REPT(" ",60)),60)),설정_코드표!$F$2:$F$101,0)),"⚠"&amp;TRIM(I195&amp;""))),"⚠"&amp;TRIM(I195&amp;""))</f>
        <v/>
      </c>
      <c r="R195" s="10">
        <f>IFERROR(IF(TRIM(J195&amp;"")="","",IF(AND(ISNUMBER(FIND(" ",TRIM(J195&amp;""))),ISNUMBER(MATCH(LEFT(TRIM(J195&amp;""),FIND(" ",TRIM(J195&amp;""))-1),설정_코드표!$J$2:$J$101,0)),ISNUMBER(MATCH(TRIM(RIGHT(SUBSTITUTE(TRIM(J195&amp;"")," ",REPT(" ",60)),60)),설정_코드표!$F$2:$F$101,0))),INDEX(설정_코드표!$K$2:$K$101,MATCH(LEFT(TRIM(J195&amp;""),FIND(" ",TRIM(J195&amp;""))-1),설정_코드표!$J$2:$J$101,0))&amp;" "&amp;INDEX(설정_코드표!$G$2:$G$101,MATCH(TRIM(RIGHT(SUBSTITUTE(TRIM(J195&amp;"")," ",REPT(" ",60)),60)),설정_코드표!$F$2:$F$101,0)),"⚠"&amp;TRIM(J195&amp;""))),"⚠"&amp;TRIM(J195&amp;""))</f>
        <v/>
      </c>
      <c r="S195" s="11">
        <f>IF(K195="","",IFERROR(IF(AND(ROUND((VALUE(K195&amp;"")-INT(VALUE(K195&amp;"")))*100,0)&gt;=1,ROUND((VALUE(K195&amp;"")-INT(VALUE(K195&amp;"")))*100,0)&lt;=12,INT(VALUE(K195&amp;""))&gt;=1900),DATE(INT(VALUE(K195&amp;"")),ROUND((VALUE(K195&amp;"")-INT(VALUE(K195&amp;"")))*100,0),1),K195&amp;""),K195&amp;""))</f>
        <v/>
      </c>
      <c r="T195" s="10">
        <f>COUNTIF(M195:R195,"⚠*")</f>
        <v/>
      </c>
    </row>
    <row r="196"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M196" s="10">
        <f>IFERROR(IF(TRIM(E196&amp;"")="","",IF(AND(ISNUMBER(FIND(" ",TRIM(E196&amp;""))),ISNUMBER(MATCH(LEFT(TRIM(E196&amp;""),FIND(" ",TRIM(E196&amp;""))-1),설정_코드표!$J$2:$J$101,0)),ISNUMBER(MATCH(TRIM(RIGHT(SUBSTITUTE(TRIM(E196&amp;"")," ",REPT(" ",60)),60)),설정_코드표!$F$2:$F$101,0))),INDEX(설정_코드표!$K$2:$K$101,MATCH(LEFT(TRIM(E196&amp;""),FIND(" ",TRIM(E196&amp;""))-1),설정_코드표!$J$2:$J$101,0))&amp;" "&amp;INDEX(설정_코드표!$G$2:$G$101,MATCH(TRIM(RIGHT(SUBSTITUTE(TRIM(E196&amp;"")," ",REPT(" ",60)),60)),설정_코드표!$F$2:$F$101,0)),"⚠"&amp;TRIM(E196&amp;""))),"⚠"&amp;TRIM(E196&amp;""))</f>
        <v/>
      </c>
      <c r="N196" s="10">
        <f>IFERROR(IF(TRIM(F196&amp;"")="","",IF(AND(ISNUMBER(FIND(" ",TRIM(F196&amp;""))),ISNUMBER(MATCH(LEFT(TRIM(F196&amp;""),FIND(" ",TRIM(F196&amp;""))-1),설정_코드표!$J$2:$J$101,0)),ISNUMBER(MATCH(TRIM(RIGHT(SUBSTITUTE(TRIM(F196&amp;"")," ",REPT(" ",60)),60)),설정_코드표!$F$2:$F$101,0))),INDEX(설정_코드표!$K$2:$K$101,MATCH(LEFT(TRIM(F196&amp;""),FIND(" ",TRIM(F196&amp;""))-1),설정_코드표!$J$2:$J$101,0))&amp;" "&amp;INDEX(설정_코드표!$G$2:$G$101,MATCH(TRIM(RIGHT(SUBSTITUTE(TRIM(F196&amp;"")," ",REPT(" ",60)),60)),설정_코드표!$F$2:$F$101,0)),"⚠"&amp;TRIM(F196&amp;""))),"⚠"&amp;TRIM(F196&amp;""))</f>
        <v/>
      </c>
      <c r="O196" s="10">
        <f>IFERROR(IF(TRIM(G196&amp;"")="","",IF(AND(ISNUMBER(FIND(" ",TRIM(G196&amp;""))),ISNUMBER(MATCH(LEFT(TRIM(G196&amp;""),FIND(" ",TRIM(G196&amp;""))-1),설정_코드표!$J$2:$J$101,0)),ISNUMBER(MATCH(TRIM(RIGHT(SUBSTITUTE(TRIM(G196&amp;"")," ",REPT(" ",60)),60)),설정_코드표!$F$2:$F$101,0))),INDEX(설정_코드표!$K$2:$K$101,MATCH(LEFT(TRIM(G196&amp;""),FIND(" ",TRIM(G196&amp;""))-1),설정_코드표!$J$2:$J$101,0))&amp;" "&amp;INDEX(설정_코드표!$G$2:$G$101,MATCH(TRIM(RIGHT(SUBSTITUTE(TRIM(G196&amp;"")," ",REPT(" ",60)),60)),설정_코드표!$F$2:$F$101,0)),"⚠"&amp;TRIM(G196&amp;""))),"⚠"&amp;TRIM(G196&amp;""))</f>
        <v/>
      </c>
      <c r="P196" s="10">
        <f>IFERROR(IF(TRIM(H196&amp;"")="","",IF(AND(ISNUMBER(FIND(" ",TRIM(H196&amp;""))),ISNUMBER(MATCH(LEFT(TRIM(H196&amp;""),FIND(" ",TRIM(H196&amp;""))-1),설정_코드표!$J$2:$J$101,0)),ISNUMBER(MATCH(TRIM(RIGHT(SUBSTITUTE(TRIM(H196&amp;"")," ",REPT(" ",60)),60)),설정_코드표!$F$2:$F$101,0))),INDEX(설정_코드표!$K$2:$K$101,MATCH(LEFT(TRIM(H196&amp;""),FIND(" ",TRIM(H196&amp;""))-1),설정_코드표!$J$2:$J$101,0))&amp;" "&amp;INDEX(설정_코드표!$G$2:$G$101,MATCH(TRIM(RIGHT(SUBSTITUTE(TRIM(H196&amp;"")," ",REPT(" ",60)),60)),설정_코드표!$F$2:$F$101,0)),"⚠"&amp;TRIM(H196&amp;""))),"⚠"&amp;TRIM(H196&amp;""))</f>
        <v/>
      </c>
      <c r="Q196" s="10">
        <f>IFERROR(IF(TRIM(I196&amp;"")="","",IF(AND(ISNUMBER(FIND(" ",TRIM(I196&amp;""))),ISNUMBER(MATCH(LEFT(TRIM(I196&amp;""),FIND(" ",TRIM(I196&amp;""))-1),설정_코드표!$J$2:$J$101,0)),ISNUMBER(MATCH(TRIM(RIGHT(SUBSTITUTE(TRIM(I196&amp;"")," ",REPT(" ",60)),60)),설정_코드표!$F$2:$F$101,0))),INDEX(설정_코드표!$K$2:$K$101,MATCH(LEFT(TRIM(I196&amp;""),FIND(" ",TRIM(I196&amp;""))-1),설정_코드표!$J$2:$J$101,0))&amp;" "&amp;INDEX(설정_코드표!$G$2:$G$101,MATCH(TRIM(RIGHT(SUBSTITUTE(TRIM(I196&amp;"")," ",REPT(" ",60)),60)),설정_코드표!$F$2:$F$101,0)),"⚠"&amp;TRIM(I196&amp;""))),"⚠"&amp;TRIM(I196&amp;""))</f>
        <v/>
      </c>
      <c r="R196" s="10">
        <f>IFERROR(IF(TRIM(J196&amp;"")="","",IF(AND(ISNUMBER(FIND(" ",TRIM(J196&amp;""))),ISNUMBER(MATCH(LEFT(TRIM(J196&amp;""),FIND(" ",TRIM(J196&amp;""))-1),설정_코드표!$J$2:$J$101,0)),ISNUMBER(MATCH(TRIM(RIGHT(SUBSTITUTE(TRIM(J196&amp;"")," ",REPT(" ",60)),60)),설정_코드표!$F$2:$F$101,0))),INDEX(설정_코드표!$K$2:$K$101,MATCH(LEFT(TRIM(J196&amp;""),FIND(" ",TRIM(J196&amp;""))-1),설정_코드표!$J$2:$J$101,0))&amp;" "&amp;INDEX(설정_코드표!$G$2:$G$101,MATCH(TRIM(RIGHT(SUBSTITUTE(TRIM(J196&amp;"")," ",REPT(" ",60)),60)),설정_코드표!$F$2:$F$101,0)),"⚠"&amp;TRIM(J196&amp;""))),"⚠"&amp;TRIM(J196&amp;""))</f>
        <v/>
      </c>
      <c r="S196" s="11">
        <f>IF(K196="","",IFERROR(IF(AND(ROUND((VALUE(K196&amp;"")-INT(VALUE(K196&amp;"")))*100,0)&gt;=1,ROUND((VALUE(K196&amp;"")-INT(VALUE(K196&amp;"")))*100,0)&lt;=12,INT(VALUE(K196&amp;""))&gt;=1900),DATE(INT(VALUE(K196&amp;"")),ROUND((VALUE(K196&amp;"")-INT(VALUE(K196&amp;"")))*100,0),1),K196&amp;""),K196&amp;""))</f>
        <v/>
      </c>
      <c r="T196" s="10">
        <f>COUNTIF(M196:R196,"⚠*")</f>
        <v/>
      </c>
    </row>
    <row r="197"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M197" s="10">
        <f>IFERROR(IF(TRIM(E197&amp;"")="","",IF(AND(ISNUMBER(FIND(" ",TRIM(E197&amp;""))),ISNUMBER(MATCH(LEFT(TRIM(E197&amp;""),FIND(" ",TRIM(E197&amp;""))-1),설정_코드표!$J$2:$J$101,0)),ISNUMBER(MATCH(TRIM(RIGHT(SUBSTITUTE(TRIM(E197&amp;"")," ",REPT(" ",60)),60)),설정_코드표!$F$2:$F$101,0))),INDEX(설정_코드표!$K$2:$K$101,MATCH(LEFT(TRIM(E197&amp;""),FIND(" ",TRIM(E197&amp;""))-1),설정_코드표!$J$2:$J$101,0))&amp;" "&amp;INDEX(설정_코드표!$G$2:$G$101,MATCH(TRIM(RIGHT(SUBSTITUTE(TRIM(E197&amp;"")," ",REPT(" ",60)),60)),설정_코드표!$F$2:$F$101,0)),"⚠"&amp;TRIM(E197&amp;""))),"⚠"&amp;TRIM(E197&amp;""))</f>
        <v/>
      </c>
      <c r="N197" s="10">
        <f>IFERROR(IF(TRIM(F197&amp;"")="","",IF(AND(ISNUMBER(FIND(" ",TRIM(F197&amp;""))),ISNUMBER(MATCH(LEFT(TRIM(F197&amp;""),FIND(" ",TRIM(F197&amp;""))-1),설정_코드표!$J$2:$J$101,0)),ISNUMBER(MATCH(TRIM(RIGHT(SUBSTITUTE(TRIM(F197&amp;"")," ",REPT(" ",60)),60)),설정_코드표!$F$2:$F$101,0))),INDEX(설정_코드표!$K$2:$K$101,MATCH(LEFT(TRIM(F197&amp;""),FIND(" ",TRIM(F197&amp;""))-1),설정_코드표!$J$2:$J$101,0))&amp;" "&amp;INDEX(설정_코드표!$G$2:$G$101,MATCH(TRIM(RIGHT(SUBSTITUTE(TRIM(F197&amp;"")," ",REPT(" ",60)),60)),설정_코드표!$F$2:$F$101,0)),"⚠"&amp;TRIM(F197&amp;""))),"⚠"&amp;TRIM(F197&amp;""))</f>
        <v/>
      </c>
      <c r="O197" s="10">
        <f>IFERROR(IF(TRIM(G197&amp;"")="","",IF(AND(ISNUMBER(FIND(" ",TRIM(G197&amp;""))),ISNUMBER(MATCH(LEFT(TRIM(G197&amp;""),FIND(" ",TRIM(G197&amp;""))-1),설정_코드표!$J$2:$J$101,0)),ISNUMBER(MATCH(TRIM(RIGHT(SUBSTITUTE(TRIM(G197&amp;"")," ",REPT(" ",60)),60)),설정_코드표!$F$2:$F$101,0))),INDEX(설정_코드표!$K$2:$K$101,MATCH(LEFT(TRIM(G197&amp;""),FIND(" ",TRIM(G197&amp;""))-1),설정_코드표!$J$2:$J$101,0))&amp;" "&amp;INDEX(설정_코드표!$G$2:$G$101,MATCH(TRIM(RIGHT(SUBSTITUTE(TRIM(G197&amp;"")," ",REPT(" ",60)),60)),설정_코드표!$F$2:$F$101,0)),"⚠"&amp;TRIM(G197&amp;""))),"⚠"&amp;TRIM(G197&amp;""))</f>
        <v/>
      </c>
      <c r="P197" s="10">
        <f>IFERROR(IF(TRIM(H197&amp;"")="","",IF(AND(ISNUMBER(FIND(" ",TRIM(H197&amp;""))),ISNUMBER(MATCH(LEFT(TRIM(H197&amp;""),FIND(" ",TRIM(H197&amp;""))-1),설정_코드표!$J$2:$J$101,0)),ISNUMBER(MATCH(TRIM(RIGHT(SUBSTITUTE(TRIM(H197&amp;"")," ",REPT(" ",60)),60)),설정_코드표!$F$2:$F$101,0))),INDEX(설정_코드표!$K$2:$K$101,MATCH(LEFT(TRIM(H197&amp;""),FIND(" ",TRIM(H197&amp;""))-1),설정_코드표!$J$2:$J$101,0))&amp;" "&amp;INDEX(설정_코드표!$G$2:$G$101,MATCH(TRIM(RIGHT(SUBSTITUTE(TRIM(H197&amp;"")," ",REPT(" ",60)),60)),설정_코드표!$F$2:$F$101,0)),"⚠"&amp;TRIM(H197&amp;""))),"⚠"&amp;TRIM(H197&amp;""))</f>
        <v/>
      </c>
      <c r="Q197" s="10">
        <f>IFERROR(IF(TRIM(I197&amp;"")="","",IF(AND(ISNUMBER(FIND(" ",TRIM(I197&amp;""))),ISNUMBER(MATCH(LEFT(TRIM(I197&amp;""),FIND(" ",TRIM(I197&amp;""))-1),설정_코드표!$J$2:$J$101,0)),ISNUMBER(MATCH(TRIM(RIGHT(SUBSTITUTE(TRIM(I197&amp;"")," ",REPT(" ",60)),60)),설정_코드표!$F$2:$F$101,0))),INDEX(설정_코드표!$K$2:$K$101,MATCH(LEFT(TRIM(I197&amp;""),FIND(" ",TRIM(I197&amp;""))-1),설정_코드표!$J$2:$J$101,0))&amp;" "&amp;INDEX(설정_코드표!$G$2:$G$101,MATCH(TRIM(RIGHT(SUBSTITUTE(TRIM(I197&amp;"")," ",REPT(" ",60)),60)),설정_코드표!$F$2:$F$101,0)),"⚠"&amp;TRIM(I197&amp;""))),"⚠"&amp;TRIM(I197&amp;""))</f>
        <v/>
      </c>
      <c r="R197" s="10">
        <f>IFERROR(IF(TRIM(J197&amp;"")="","",IF(AND(ISNUMBER(FIND(" ",TRIM(J197&amp;""))),ISNUMBER(MATCH(LEFT(TRIM(J197&amp;""),FIND(" ",TRIM(J197&amp;""))-1),설정_코드표!$J$2:$J$101,0)),ISNUMBER(MATCH(TRIM(RIGHT(SUBSTITUTE(TRIM(J197&amp;"")," ",REPT(" ",60)),60)),설정_코드표!$F$2:$F$101,0))),INDEX(설정_코드표!$K$2:$K$101,MATCH(LEFT(TRIM(J197&amp;""),FIND(" ",TRIM(J197&amp;""))-1),설정_코드표!$J$2:$J$101,0))&amp;" "&amp;INDEX(설정_코드표!$G$2:$G$101,MATCH(TRIM(RIGHT(SUBSTITUTE(TRIM(J197&amp;"")," ",REPT(" ",60)),60)),설정_코드표!$F$2:$F$101,0)),"⚠"&amp;TRIM(J197&amp;""))),"⚠"&amp;TRIM(J197&amp;""))</f>
        <v/>
      </c>
      <c r="S197" s="11">
        <f>IF(K197="","",IFERROR(IF(AND(ROUND((VALUE(K197&amp;"")-INT(VALUE(K197&amp;"")))*100,0)&gt;=1,ROUND((VALUE(K197&amp;"")-INT(VALUE(K197&amp;"")))*100,0)&lt;=12,INT(VALUE(K197&amp;""))&gt;=1900),DATE(INT(VALUE(K197&amp;"")),ROUND((VALUE(K197&amp;"")-INT(VALUE(K197&amp;"")))*100,0),1),K197&amp;""),K197&amp;""))</f>
        <v/>
      </c>
      <c r="T197" s="10">
        <f>COUNTIF(M197:R197,"⚠*")</f>
        <v/>
      </c>
    </row>
    <row r="198"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M198" s="10">
        <f>IFERROR(IF(TRIM(E198&amp;"")="","",IF(AND(ISNUMBER(FIND(" ",TRIM(E198&amp;""))),ISNUMBER(MATCH(LEFT(TRIM(E198&amp;""),FIND(" ",TRIM(E198&amp;""))-1),설정_코드표!$J$2:$J$101,0)),ISNUMBER(MATCH(TRIM(RIGHT(SUBSTITUTE(TRIM(E198&amp;"")," ",REPT(" ",60)),60)),설정_코드표!$F$2:$F$101,0))),INDEX(설정_코드표!$K$2:$K$101,MATCH(LEFT(TRIM(E198&amp;""),FIND(" ",TRIM(E198&amp;""))-1),설정_코드표!$J$2:$J$101,0))&amp;" "&amp;INDEX(설정_코드표!$G$2:$G$101,MATCH(TRIM(RIGHT(SUBSTITUTE(TRIM(E198&amp;"")," ",REPT(" ",60)),60)),설정_코드표!$F$2:$F$101,0)),"⚠"&amp;TRIM(E198&amp;""))),"⚠"&amp;TRIM(E198&amp;""))</f>
        <v/>
      </c>
      <c r="N198" s="10">
        <f>IFERROR(IF(TRIM(F198&amp;"")="","",IF(AND(ISNUMBER(FIND(" ",TRIM(F198&amp;""))),ISNUMBER(MATCH(LEFT(TRIM(F198&amp;""),FIND(" ",TRIM(F198&amp;""))-1),설정_코드표!$J$2:$J$101,0)),ISNUMBER(MATCH(TRIM(RIGHT(SUBSTITUTE(TRIM(F198&amp;"")," ",REPT(" ",60)),60)),설정_코드표!$F$2:$F$101,0))),INDEX(설정_코드표!$K$2:$K$101,MATCH(LEFT(TRIM(F198&amp;""),FIND(" ",TRIM(F198&amp;""))-1),설정_코드표!$J$2:$J$101,0))&amp;" "&amp;INDEX(설정_코드표!$G$2:$G$101,MATCH(TRIM(RIGHT(SUBSTITUTE(TRIM(F198&amp;"")," ",REPT(" ",60)),60)),설정_코드표!$F$2:$F$101,0)),"⚠"&amp;TRIM(F198&amp;""))),"⚠"&amp;TRIM(F198&amp;""))</f>
        <v/>
      </c>
      <c r="O198" s="10">
        <f>IFERROR(IF(TRIM(G198&amp;"")="","",IF(AND(ISNUMBER(FIND(" ",TRIM(G198&amp;""))),ISNUMBER(MATCH(LEFT(TRIM(G198&amp;""),FIND(" ",TRIM(G198&amp;""))-1),설정_코드표!$J$2:$J$101,0)),ISNUMBER(MATCH(TRIM(RIGHT(SUBSTITUTE(TRIM(G198&amp;"")," ",REPT(" ",60)),60)),설정_코드표!$F$2:$F$101,0))),INDEX(설정_코드표!$K$2:$K$101,MATCH(LEFT(TRIM(G198&amp;""),FIND(" ",TRIM(G198&amp;""))-1),설정_코드표!$J$2:$J$101,0))&amp;" "&amp;INDEX(설정_코드표!$G$2:$G$101,MATCH(TRIM(RIGHT(SUBSTITUTE(TRIM(G198&amp;"")," ",REPT(" ",60)),60)),설정_코드표!$F$2:$F$101,0)),"⚠"&amp;TRIM(G198&amp;""))),"⚠"&amp;TRIM(G198&amp;""))</f>
        <v/>
      </c>
      <c r="P198" s="10">
        <f>IFERROR(IF(TRIM(H198&amp;"")="","",IF(AND(ISNUMBER(FIND(" ",TRIM(H198&amp;""))),ISNUMBER(MATCH(LEFT(TRIM(H198&amp;""),FIND(" ",TRIM(H198&amp;""))-1),설정_코드표!$J$2:$J$101,0)),ISNUMBER(MATCH(TRIM(RIGHT(SUBSTITUTE(TRIM(H198&amp;"")," ",REPT(" ",60)),60)),설정_코드표!$F$2:$F$101,0))),INDEX(설정_코드표!$K$2:$K$101,MATCH(LEFT(TRIM(H198&amp;""),FIND(" ",TRIM(H198&amp;""))-1),설정_코드표!$J$2:$J$101,0))&amp;" "&amp;INDEX(설정_코드표!$G$2:$G$101,MATCH(TRIM(RIGHT(SUBSTITUTE(TRIM(H198&amp;"")," ",REPT(" ",60)),60)),설정_코드표!$F$2:$F$101,0)),"⚠"&amp;TRIM(H198&amp;""))),"⚠"&amp;TRIM(H198&amp;""))</f>
        <v/>
      </c>
      <c r="Q198" s="10">
        <f>IFERROR(IF(TRIM(I198&amp;"")="","",IF(AND(ISNUMBER(FIND(" ",TRIM(I198&amp;""))),ISNUMBER(MATCH(LEFT(TRIM(I198&amp;""),FIND(" ",TRIM(I198&amp;""))-1),설정_코드표!$J$2:$J$101,0)),ISNUMBER(MATCH(TRIM(RIGHT(SUBSTITUTE(TRIM(I198&amp;"")," ",REPT(" ",60)),60)),설정_코드표!$F$2:$F$101,0))),INDEX(설정_코드표!$K$2:$K$101,MATCH(LEFT(TRIM(I198&amp;""),FIND(" ",TRIM(I198&amp;""))-1),설정_코드표!$J$2:$J$101,0))&amp;" "&amp;INDEX(설정_코드표!$G$2:$G$101,MATCH(TRIM(RIGHT(SUBSTITUTE(TRIM(I198&amp;"")," ",REPT(" ",60)),60)),설정_코드표!$F$2:$F$101,0)),"⚠"&amp;TRIM(I198&amp;""))),"⚠"&amp;TRIM(I198&amp;""))</f>
        <v/>
      </c>
      <c r="R198" s="10">
        <f>IFERROR(IF(TRIM(J198&amp;"")="","",IF(AND(ISNUMBER(FIND(" ",TRIM(J198&amp;""))),ISNUMBER(MATCH(LEFT(TRIM(J198&amp;""),FIND(" ",TRIM(J198&amp;""))-1),설정_코드표!$J$2:$J$101,0)),ISNUMBER(MATCH(TRIM(RIGHT(SUBSTITUTE(TRIM(J198&amp;"")," ",REPT(" ",60)),60)),설정_코드표!$F$2:$F$101,0))),INDEX(설정_코드표!$K$2:$K$101,MATCH(LEFT(TRIM(J198&amp;""),FIND(" ",TRIM(J198&amp;""))-1),설정_코드표!$J$2:$J$101,0))&amp;" "&amp;INDEX(설정_코드표!$G$2:$G$101,MATCH(TRIM(RIGHT(SUBSTITUTE(TRIM(J198&amp;"")," ",REPT(" ",60)),60)),설정_코드표!$F$2:$F$101,0)),"⚠"&amp;TRIM(J198&amp;""))),"⚠"&amp;TRIM(J198&amp;""))</f>
        <v/>
      </c>
      <c r="S198" s="11">
        <f>IF(K198="","",IFERROR(IF(AND(ROUND((VALUE(K198&amp;"")-INT(VALUE(K198&amp;"")))*100,0)&gt;=1,ROUND((VALUE(K198&amp;"")-INT(VALUE(K198&amp;"")))*100,0)&lt;=12,INT(VALUE(K198&amp;""))&gt;=1900),DATE(INT(VALUE(K198&amp;"")),ROUND((VALUE(K198&amp;"")-INT(VALUE(K198&amp;"")))*100,0),1),K198&amp;""),K198&amp;""))</f>
        <v/>
      </c>
      <c r="T198" s="10">
        <f>COUNTIF(M198:R198,"⚠*")</f>
        <v/>
      </c>
    </row>
    <row r="199"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M199" s="10">
        <f>IFERROR(IF(TRIM(E199&amp;"")="","",IF(AND(ISNUMBER(FIND(" ",TRIM(E199&amp;""))),ISNUMBER(MATCH(LEFT(TRIM(E199&amp;""),FIND(" ",TRIM(E199&amp;""))-1),설정_코드표!$J$2:$J$101,0)),ISNUMBER(MATCH(TRIM(RIGHT(SUBSTITUTE(TRIM(E199&amp;"")," ",REPT(" ",60)),60)),설정_코드표!$F$2:$F$101,0))),INDEX(설정_코드표!$K$2:$K$101,MATCH(LEFT(TRIM(E199&amp;""),FIND(" ",TRIM(E199&amp;""))-1),설정_코드표!$J$2:$J$101,0))&amp;" "&amp;INDEX(설정_코드표!$G$2:$G$101,MATCH(TRIM(RIGHT(SUBSTITUTE(TRIM(E199&amp;"")," ",REPT(" ",60)),60)),설정_코드표!$F$2:$F$101,0)),"⚠"&amp;TRIM(E199&amp;""))),"⚠"&amp;TRIM(E199&amp;""))</f>
        <v/>
      </c>
      <c r="N199" s="10">
        <f>IFERROR(IF(TRIM(F199&amp;"")="","",IF(AND(ISNUMBER(FIND(" ",TRIM(F199&amp;""))),ISNUMBER(MATCH(LEFT(TRIM(F199&amp;""),FIND(" ",TRIM(F199&amp;""))-1),설정_코드표!$J$2:$J$101,0)),ISNUMBER(MATCH(TRIM(RIGHT(SUBSTITUTE(TRIM(F199&amp;"")," ",REPT(" ",60)),60)),설정_코드표!$F$2:$F$101,0))),INDEX(설정_코드표!$K$2:$K$101,MATCH(LEFT(TRIM(F199&amp;""),FIND(" ",TRIM(F199&amp;""))-1),설정_코드표!$J$2:$J$101,0))&amp;" "&amp;INDEX(설정_코드표!$G$2:$G$101,MATCH(TRIM(RIGHT(SUBSTITUTE(TRIM(F199&amp;"")," ",REPT(" ",60)),60)),설정_코드표!$F$2:$F$101,0)),"⚠"&amp;TRIM(F199&amp;""))),"⚠"&amp;TRIM(F199&amp;""))</f>
        <v/>
      </c>
      <c r="O199" s="10">
        <f>IFERROR(IF(TRIM(G199&amp;"")="","",IF(AND(ISNUMBER(FIND(" ",TRIM(G199&amp;""))),ISNUMBER(MATCH(LEFT(TRIM(G199&amp;""),FIND(" ",TRIM(G199&amp;""))-1),설정_코드표!$J$2:$J$101,0)),ISNUMBER(MATCH(TRIM(RIGHT(SUBSTITUTE(TRIM(G199&amp;"")," ",REPT(" ",60)),60)),설정_코드표!$F$2:$F$101,0))),INDEX(설정_코드표!$K$2:$K$101,MATCH(LEFT(TRIM(G199&amp;""),FIND(" ",TRIM(G199&amp;""))-1),설정_코드표!$J$2:$J$101,0))&amp;" "&amp;INDEX(설정_코드표!$G$2:$G$101,MATCH(TRIM(RIGHT(SUBSTITUTE(TRIM(G199&amp;"")," ",REPT(" ",60)),60)),설정_코드표!$F$2:$F$101,0)),"⚠"&amp;TRIM(G199&amp;""))),"⚠"&amp;TRIM(G199&amp;""))</f>
        <v/>
      </c>
      <c r="P199" s="10">
        <f>IFERROR(IF(TRIM(H199&amp;"")="","",IF(AND(ISNUMBER(FIND(" ",TRIM(H199&amp;""))),ISNUMBER(MATCH(LEFT(TRIM(H199&amp;""),FIND(" ",TRIM(H199&amp;""))-1),설정_코드표!$J$2:$J$101,0)),ISNUMBER(MATCH(TRIM(RIGHT(SUBSTITUTE(TRIM(H199&amp;"")," ",REPT(" ",60)),60)),설정_코드표!$F$2:$F$101,0))),INDEX(설정_코드표!$K$2:$K$101,MATCH(LEFT(TRIM(H199&amp;""),FIND(" ",TRIM(H199&amp;""))-1),설정_코드표!$J$2:$J$101,0))&amp;" "&amp;INDEX(설정_코드표!$G$2:$G$101,MATCH(TRIM(RIGHT(SUBSTITUTE(TRIM(H199&amp;"")," ",REPT(" ",60)),60)),설정_코드표!$F$2:$F$101,0)),"⚠"&amp;TRIM(H199&amp;""))),"⚠"&amp;TRIM(H199&amp;""))</f>
        <v/>
      </c>
      <c r="Q199" s="10">
        <f>IFERROR(IF(TRIM(I199&amp;"")="","",IF(AND(ISNUMBER(FIND(" ",TRIM(I199&amp;""))),ISNUMBER(MATCH(LEFT(TRIM(I199&amp;""),FIND(" ",TRIM(I199&amp;""))-1),설정_코드표!$J$2:$J$101,0)),ISNUMBER(MATCH(TRIM(RIGHT(SUBSTITUTE(TRIM(I199&amp;"")," ",REPT(" ",60)),60)),설정_코드표!$F$2:$F$101,0))),INDEX(설정_코드표!$K$2:$K$101,MATCH(LEFT(TRIM(I199&amp;""),FIND(" ",TRIM(I199&amp;""))-1),설정_코드표!$J$2:$J$101,0))&amp;" "&amp;INDEX(설정_코드표!$G$2:$G$101,MATCH(TRIM(RIGHT(SUBSTITUTE(TRIM(I199&amp;"")," ",REPT(" ",60)),60)),설정_코드표!$F$2:$F$101,0)),"⚠"&amp;TRIM(I199&amp;""))),"⚠"&amp;TRIM(I199&amp;""))</f>
        <v/>
      </c>
      <c r="R199" s="10">
        <f>IFERROR(IF(TRIM(J199&amp;"")="","",IF(AND(ISNUMBER(FIND(" ",TRIM(J199&amp;""))),ISNUMBER(MATCH(LEFT(TRIM(J199&amp;""),FIND(" ",TRIM(J199&amp;""))-1),설정_코드표!$J$2:$J$101,0)),ISNUMBER(MATCH(TRIM(RIGHT(SUBSTITUTE(TRIM(J199&amp;"")," ",REPT(" ",60)),60)),설정_코드표!$F$2:$F$101,0))),INDEX(설정_코드표!$K$2:$K$101,MATCH(LEFT(TRIM(J199&amp;""),FIND(" ",TRIM(J199&amp;""))-1),설정_코드표!$J$2:$J$101,0))&amp;" "&amp;INDEX(설정_코드표!$G$2:$G$101,MATCH(TRIM(RIGHT(SUBSTITUTE(TRIM(J199&amp;"")," ",REPT(" ",60)),60)),설정_코드표!$F$2:$F$101,0)),"⚠"&amp;TRIM(J199&amp;""))),"⚠"&amp;TRIM(J199&amp;""))</f>
        <v/>
      </c>
      <c r="S199" s="11">
        <f>IF(K199="","",IFERROR(IF(AND(ROUND((VALUE(K199&amp;"")-INT(VALUE(K199&amp;"")))*100,0)&gt;=1,ROUND((VALUE(K199&amp;"")-INT(VALUE(K199&amp;"")))*100,0)&lt;=12,INT(VALUE(K199&amp;""))&gt;=1900),DATE(INT(VALUE(K199&amp;"")),ROUND((VALUE(K199&amp;"")-INT(VALUE(K199&amp;"")))*100,0),1),K199&amp;""),K199&amp;""))</f>
        <v/>
      </c>
      <c r="T199" s="10">
        <f>COUNTIF(M199:R199,"⚠*")</f>
        <v/>
      </c>
    </row>
    <row r="200"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M200" s="10">
        <f>IFERROR(IF(TRIM(E200&amp;"")="","",IF(AND(ISNUMBER(FIND(" ",TRIM(E200&amp;""))),ISNUMBER(MATCH(LEFT(TRIM(E200&amp;""),FIND(" ",TRIM(E200&amp;""))-1),설정_코드표!$J$2:$J$101,0)),ISNUMBER(MATCH(TRIM(RIGHT(SUBSTITUTE(TRIM(E200&amp;"")," ",REPT(" ",60)),60)),설정_코드표!$F$2:$F$101,0))),INDEX(설정_코드표!$K$2:$K$101,MATCH(LEFT(TRIM(E200&amp;""),FIND(" ",TRIM(E200&amp;""))-1),설정_코드표!$J$2:$J$101,0))&amp;" "&amp;INDEX(설정_코드표!$G$2:$G$101,MATCH(TRIM(RIGHT(SUBSTITUTE(TRIM(E200&amp;"")," ",REPT(" ",60)),60)),설정_코드표!$F$2:$F$101,0)),"⚠"&amp;TRIM(E200&amp;""))),"⚠"&amp;TRIM(E200&amp;""))</f>
        <v/>
      </c>
      <c r="N200" s="10">
        <f>IFERROR(IF(TRIM(F200&amp;"")="","",IF(AND(ISNUMBER(FIND(" ",TRIM(F200&amp;""))),ISNUMBER(MATCH(LEFT(TRIM(F200&amp;""),FIND(" ",TRIM(F200&amp;""))-1),설정_코드표!$J$2:$J$101,0)),ISNUMBER(MATCH(TRIM(RIGHT(SUBSTITUTE(TRIM(F200&amp;"")," ",REPT(" ",60)),60)),설정_코드표!$F$2:$F$101,0))),INDEX(설정_코드표!$K$2:$K$101,MATCH(LEFT(TRIM(F200&amp;""),FIND(" ",TRIM(F200&amp;""))-1),설정_코드표!$J$2:$J$101,0))&amp;" "&amp;INDEX(설정_코드표!$G$2:$G$101,MATCH(TRIM(RIGHT(SUBSTITUTE(TRIM(F200&amp;"")," ",REPT(" ",60)),60)),설정_코드표!$F$2:$F$101,0)),"⚠"&amp;TRIM(F200&amp;""))),"⚠"&amp;TRIM(F200&amp;""))</f>
        <v/>
      </c>
      <c r="O200" s="10">
        <f>IFERROR(IF(TRIM(G200&amp;"")="","",IF(AND(ISNUMBER(FIND(" ",TRIM(G200&amp;""))),ISNUMBER(MATCH(LEFT(TRIM(G200&amp;""),FIND(" ",TRIM(G200&amp;""))-1),설정_코드표!$J$2:$J$101,0)),ISNUMBER(MATCH(TRIM(RIGHT(SUBSTITUTE(TRIM(G200&amp;"")," ",REPT(" ",60)),60)),설정_코드표!$F$2:$F$101,0))),INDEX(설정_코드표!$K$2:$K$101,MATCH(LEFT(TRIM(G200&amp;""),FIND(" ",TRIM(G200&amp;""))-1),설정_코드표!$J$2:$J$101,0))&amp;" "&amp;INDEX(설정_코드표!$G$2:$G$101,MATCH(TRIM(RIGHT(SUBSTITUTE(TRIM(G200&amp;"")," ",REPT(" ",60)),60)),설정_코드표!$F$2:$F$101,0)),"⚠"&amp;TRIM(G200&amp;""))),"⚠"&amp;TRIM(G200&amp;""))</f>
        <v/>
      </c>
      <c r="P200" s="10">
        <f>IFERROR(IF(TRIM(H200&amp;"")="","",IF(AND(ISNUMBER(FIND(" ",TRIM(H200&amp;""))),ISNUMBER(MATCH(LEFT(TRIM(H200&amp;""),FIND(" ",TRIM(H200&amp;""))-1),설정_코드표!$J$2:$J$101,0)),ISNUMBER(MATCH(TRIM(RIGHT(SUBSTITUTE(TRIM(H200&amp;"")," ",REPT(" ",60)),60)),설정_코드표!$F$2:$F$101,0))),INDEX(설정_코드표!$K$2:$K$101,MATCH(LEFT(TRIM(H200&amp;""),FIND(" ",TRIM(H200&amp;""))-1),설정_코드표!$J$2:$J$101,0))&amp;" "&amp;INDEX(설정_코드표!$G$2:$G$101,MATCH(TRIM(RIGHT(SUBSTITUTE(TRIM(H200&amp;"")," ",REPT(" ",60)),60)),설정_코드표!$F$2:$F$101,0)),"⚠"&amp;TRIM(H200&amp;""))),"⚠"&amp;TRIM(H200&amp;""))</f>
        <v/>
      </c>
      <c r="Q200" s="10">
        <f>IFERROR(IF(TRIM(I200&amp;"")="","",IF(AND(ISNUMBER(FIND(" ",TRIM(I200&amp;""))),ISNUMBER(MATCH(LEFT(TRIM(I200&amp;""),FIND(" ",TRIM(I200&amp;""))-1),설정_코드표!$J$2:$J$101,0)),ISNUMBER(MATCH(TRIM(RIGHT(SUBSTITUTE(TRIM(I200&amp;"")," ",REPT(" ",60)),60)),설정_코드표!$F$2:$F$101,0))),INDEX(설정_코드표!$K$2:$K$101,MATCH(LEFT(TRIM(I200&amp;""),FIND(" ",TRIM(I200&amp;""))-1),설정_코드표!$J$2:$J$101,0))&amp;" "&amp;INDEX(설정_코드표!$G$2:$G$101,MATCH(TRIM(RIGHT(SUBSTITUTE(TRIM(I200&amp;"")," ",REPT(" ",60)),60)),설정_코드표!$F$2:$F$101,0)),"⚠"&amp;TRIM(I200&amp;""))),"⚠"&amp;TRIM(I200&amp;""))</f>
        <v/>
      </c>
      <c r="R200" s="10">
        <f>IFERROR(IF(TRIM(J200&amp;"")="","",IF(AND(ISNUMBER(FIND(" ",TRIM(J200&amp;""))),ISNUMBER(MATCH(LEFT(TRIM(J200&amp;""),FIND(" ",TRIM(J200&amp;""))-1),설정_코드표!$J$2:$J$101,0)),ISNUMBER(MATCH(TRIM(RIGHT(SUBSTITUTE(TRIM(J200&amp;"")," ",REPT(" ",60)),60)),설정_코드표!$F$2:$F$101,0))),INDEX(설정_코드표!$K$2:$K$101,MATCH(LEFT(TRIM(J200&amp;""),FIND(" ",TRIM(J200&amp;""))-1),설정_코드표!$J$2:$J$101,0))&amp;" "&amp;INDEX(설정_코드표!$G$2:$G$101,MATCH(TRIM(RIGHT(SUBSTITUTE(TRIM(J200&amp;"")," ",REPT(" ",60)),60)),설정_코드표!$F$2:$F$101,0)),"⚠"&amp;TRIM(J200&amp;""))),"⚠"&amp;TRIM(J200&amp;""))</f>
        <v/>
      </c>
      <c r="S200" s="11">
        <f>IF(K200="","",IFERROR(IF(AND(ROUND((VALUE(K200&amp;"")-INT(VALUE(K200&amp;"")))*100,0)&gt;=1,ROUND((VALUE(K200&amp;"")-INT(VALUE(K200&amp;"")))*100,0)&lt;=12,INT(VALUE(K200&amp;""))&gt;=1900),DATE(INT(VALUE(K200&amp;"")),ROUND((VALUE(K200&amp;"")-INT(VALUE(K200&amp;"")))*100,0),1),K200&amp;""),K200&amp;""))</f>
        <v/>
      </c>
      <c r="T200" s="10">
        <f>COUNTIF(M200:R200,"⚠*")</f>
        <v/>
      </c>
    </row>
    <row r="201"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M201" s="10">
        <f>IFERROR(IF(TRIM(E201&amp;"")="","",IF(AND(ISNUMBER(FIND(" ",TRIM(E201&amp;""))),ISNUMBER(MATCH(LEFT(TRIM(E201&amp;""),FIND(" ",TRIM(E201&amp;""))-1),설정_코드표!$J$2:$J$101,0)),ISNUMBER(MATCH(TRIM(RIGHT(SUBSTITUTE(TRIM(E201&amp;"")," ",REPT(" ",60)),60)),설정_코드표!$F$2:$F$101,0))),INDEX(설정_코드표!$K$2:$K$101,MATCH(LEFT(TRIM(E201&amp;""),FIND(" ",TRIM(E201&amp;""))-1),설정_코드표!$J$2:$J$101,0))&amp;" "&amp;INDEX(설정_코드표!$G$2:$G$101,MATCH(TRIM(RIGHT(SUBSTITUTE(TRIM(E201&amp;"")," ",REPT(" ",60)),60)),설정_코드표!$F$2:$F$101,0)),"⚠"&amp;TRIM(E201&amp;""))),"⚠"&amp;TRIM(E201&amp;""))</f>
        <v/>
      </c>
      <c r="N201" s="10">
        <f>IFERROR(IF(TRIM(F201&amp;"")="","",IF(AND(ISNUMBER(FIND(" ",TRIM(F201&amp;""))),ISNUMBER(MATCH(LEFT(TRIM(F201&amp;""),FIND(" ",TRIM(F201&amp;""))-1),설정_코드표!$J$2:$J$101,0)),ISNUMBER(MATCH(TRIM(RIGHT(SUBSTITUTE(TRIM(F201&amp;"")," ",REPT(" ",60)),60)),설정_코드표!$F$2:$F$101,0))),INDEX(설정_코드표!$K$2:$K$101,MATCH(LEFT(TRIM(F201&amp;""),FIND(" ",TRIM(F201&amp;""))-1),설정_코드표!$J$2:$J$101,0))&amp;" "&amp;INDEX(설정_코드표!$G$2:$G$101,MATCH(TRIM(RIGHT(SUBSTITUTE(TRIM(F201&amp;"")," ",REPT(" ",60)),60)),설정_코드표!$F$2:$F$101,0)),"⚠"&amp;TRIM(F201&amp;""))),"⚠"&amp;TRIM(F201&amp;""))</f>
        <v/>
      </c>
      <c r="O201" s="10">
        <f>IFERROR(IF(TRIM(G201&amp;"")="","",IF(AND(ISNUMBER(FIND(" ",TRIM(G201&amp;""))),ISNUMBER(MATCH(LEFT(TRIM(G201&amp;""),FIND(" ",TRIM(G201&amp;""))-1),설정_코드표!$J$2:$J$101,0)),ISNUMBER(MATCH(TRIM(RIGHT(SUBSTITUTE(TRIM(G201&amp;"")," ",REPT(" ",60)),60)),설정_코드표!$F$2:$F$101,0))),INDEX(설정_코드표!$K$2:$K$101,MATCH(LEFT(TRIM(G201&amp;""),FIND(" ",TRIM(G201&amp;""))-1),설정_코드표!$J$2:$J$101,0))&amp;" "&amp;INDEX(설정_코드표!$G$2:$G$101,MATCH(TRIM(RIGHT(SUBSTITUTE(TRIM(G201&amp;"")," ",REPT(" ",60)),60)),설정_코드표!$F$2:$F$101,0)),"⚠"&amp;TRIM(G201&amp;""))),"⚠"&amp;TRIM(G201&amp;""))</f>
        <v/>
      </c>
      <c r="P201" s="10">
        <f>IFERROR(IF(TRIM(H201&amp;"")="","",IF(AND(ISNUMBER(FIND(" ",TRIM(H201&amp;""))),ISNUMBER(MATCH(LEFT(TRIM(H201&amp;""),FIND(" ",TRIM(H201&amp;""))-1),설정_코드표!$J$2:$J$101,0)),ISNUMBER(MATCH(TRIM(RIGHT(SUBSTITUTE(TRIM(H201&amp;"")," ",REPT(" ",60)),60)),설정_코드표!$F$2:$F$101,0))),INDEX(설정_코드표!$K$2:$K$101,MATCH(LEFT(TRIM(H201&amp;""),FIND(" ",TRIM(H201&amp;""))-1),설정_코드표!$J$2:$J$101,0))&amp;" "&amp;INDEX(설정_코드표!$G$2:$G$101,MATCH(TRIM(RIGHT(SUBSTITUTE(TRIM(H201&amp;"")," ",REPT(" ",60)),60)),설정_코드표!$F$2:$F$101,0)),"⚠"&amp;TRIM(H201&amp;""))),"⚠"&amp;TRIM(H201&amp;""))</f>
        <v/>
      </c>
      <c r="Q201" s="10">
        <f>IFERROR(IF(TRIM(I201&amp;"")="","",IF(AND(ISNUMBER(FIND(" ",TRIM(I201&amp;""))),ISNUMBER(MATCH(LEFT(TRIM(I201&amp;""),FIND(" ",TRIM(I201&amp;""))-1),설정_코드표!$J$2:$J$101,0)),ISNUMBER(MATCH(TRIM(RIGHT(SUBSTITUTE(TRIM(I201&amp;"")," ",REPT(" ",60)),60)),설정_코드표!$F$2:$F$101,0))),INDEX(설정_코드표!$K$2:$K$101,MATCH(LEFT(TRIM(I201&amp;""),FIND(" ",TRIM(I201&amp;""))-1),설정_코드표!$J$2:$J$101,0))&amp;" "&amp;INDEX(설정_코드표!$G$2:$G$101,MATCH(TRIM(RIGHT(SUBSTITUTE(TRIM(I201&amp;"")," ",REPT(" ",60)),60)),설정_코드표!$F$2:$F$101,0)),"⚠"&amp;TRIM(I201&amp;""))),"⚠"&amp;TRIM(I201&amp;""))</f>
        <v/>
      </c>
      <c r="R201" s="10">
        <f>IFERROR(IF(TRIM(J201&amp;"")="","",IF(AND(ISNUMBER(FIND(" ",TRIM(J201&amp;""))),ISNUMBER(MATCH(LEFT(TRIM(J201&amp;""),FIND(" ",TRIM(J201&amp;""))-1),설정_코드표!$J$2:$J$101,0)),ISNUMBER(MATCH(TRIM(RIGHT(SUBSTITUTE(TRIM(J201&amp;"")," ",REPT(" ",60)),60)),설정_코드표!$F$2:$F$101,0))),INDEX(설정_코드표!$K$2:$K$101,MATCH(LEFT(TRIM(J201&amp;""),FIND(" ",TRIM(J201&amp;""))-1),설정_코드표!$J$2:$J$101,0))&amp;" "&amp;INDEX(설정_코드표!$G$2:$G$101,MATCH(TRIM(RIGHT(SUBSTITUTE(TRIM(J201&amp;"")," ",REPT(" ",60)),60)),설정_코드표!$F$2:$F$101,0)),"⚠"&amp;TRIM(J201&amp;""))),"⚠"&amp;TRIM(J201&amp;""))</f>
        <v/>
      </c>
      <c r="S201" s="11">
        <f>IF(K201="","",IFERROR(IF(AND(ROUND((VALUE(K201&amp;"")-INT(VALUE(K201&amp;"")))*100,0)&gt;=1,ROUND((VALUE(K201&amp;"")-INT(VALUE(K201&amp;"")))*100,0)&lt;=12,INT(VALUE(K201&amp;""))&gt;=1900),DATE(INT(VALUE(K201&amp;"")),ROUND((VALUE(K201&amp;"")-INT(VALUE(K201&amp;"")))*100,0),1),K201&amp;""),K201&amp;""))</f>
        <v/>
      </c>
      <c r="T201" s="10">
        <f>COUNTIF(M201:R201,"⚠*")</f>
        <v/>
      </c>
    </row>
    <row r="202"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M202" s="10">
        <f>IFERROR(IF(TRIM(E202&amp;"")="","",IF(AND(ISNUMBER(FIND(" ",TRIM(E202&amp;""))),ISNUMBER(MATCH(LEFT(TRIM(E202&amp;""),FIND(" ",TRIM(E202&amp;""))-1),설정_코드표!$J$2:$J$101,0)),ISNUMBER(MATCH(TRIM(RIGHT(SUBSTITUTE(TRIM(E202&amp;"")," ",REPT(" ",60)),60)),설정_코드표!$F$2:$F$101,0))),INDEX(설정_코드표!$K$2:$K$101,MATCH(LEFT(TRIM(E202&amp;""),FIND(" ",TRIM(E202&amp;""))-1),설정_코드표!$J$2:$J$101,0))&amp;" "&amp;INDEX(설정_코드표!$G$2:$G$101,MATCH(TRIM(RIGHT(SUBSTITUTE(TRIM(E202&amp;"")," ",REPT(" ",60)),60)),설정_코드표!$F$2:$F$101,0)),"⚠"&amp;TRIM(E202&amp;""))),"⚠"&amp;TRIM(E202&amp;""))</f>
        <v/>
      </c>
      <c r="N202" s="10">
        <f>IFERROR(IF(TRIM(F202&amp;"")="","",IF(AND(ISNUMBER(FIND(" ",TRIM(F202&amp;""))),ISNUMBER(MATCH(LEFT(TRIM(F202&amp;""),FIND(" ",TRIM(F202&amp;""))-1),설정_코드표!$J$2:$J$101,0)),ISNUMBER(MATCH(TRIM(RIGHT(SUBSTITUTE(TRIM(F202&amp;"")," ",REPT(" ",60)),60)),설정_코드표!$F$2:$F$101,0))),INDEX(설정_코드표!$K$2:$K$101,MATCH(LEFT(TRIM(F202&amp;""),FIND(" ",TRIM(F202&amp;""))-1),설정_코드표!$J$2:$J$101,0))&amp;" "&amp;INDEX(설정_코드표!$G$2:$G$101,MATCH(TRIM(RIGHT(SUBSTITUTE(TRIM(F202&amp;"")," ",REPT(" ",60)),60)),설정_코드표!$F$2:$F$101,0)),"⚠"&amp;TRIM(F202&amp;""))),"⚠"&amp;TRIM(F202&amp;""))</f>
        <v/>
      </c>
      <c r="O202" s="10">
        <f>IFERROR(IF(TRIM(G202&amp;"")="","",IF(AND(ISNUMBER(FIND(" ",TRIM(G202&amp;""))),ISNUMBER(MATCH(LEFT(TRIM(G202&amp;""),FIND(" ",TRIM(G202&amp;""))-1),설정_코드표!$J$2:$J$101,0)),ISNUMBER(MATCH(TRIM(RIGHT(SUBSTITUTE(TRIM(G202&amp;"")," ",REPT(" ",60)),60)),설정_코드표!$F$2:$F$101,0))),INDEX(설정_코드표!$K$2:$K$101,MATCH(LEFT(TRIM(G202&amp;""),FIND(" ",TRIM(G202&amp;""))-1),설정_코드표!$J$2:$J$101,0))&amp;" "&amp;INDEX(설정_코드표!$G$2:$G$101,MATCH(TRIM(RIGHT(SUBSTITUTE(TRIM(G202&amp;"")," ",REPT(" ",60)),60)),설정_코드표!$F$2:$F$101,0)),"⚠"&amp;TRIM(G202&amp;""))),"⚠"&amp;TRIM(G202&amp;""))</f>
        <v/>
      </c>
      <c r="P202" s="10">
        <f>IFERROR(IF(TRIM(H202&amp;"")="","",IF(AND(ISNUMBER(FIND(" ",TRIM(H202&amp;""))),ISNUMBER(MATCH(LEFT(TRIM(H202&amp;""),FIND(" ",TRIM(H202&amp;""))-1),설정_코드표!$J$2:$J$101,0)),ISNUMBER(MATCH(TRIM(RIGHT(SUBSTITUTE(TRIM(H202&amp;"")," ",REPT(" ",60)),60)),설정_코드표!$F$2:$F$101,0))),INDEX(설정_코드표!$K$2:$K$101,MATCH(LEFT(TRIM(H202&amp;""),FIND(" ",TRIM(H202&amp;""))-1),설정_코드표!$J$2:$J$101,0))&amp;" "&amp;INDEX(설정_코드표!$G$2:$G$101,MATCH(TRIM(RIGHT(SUBSTITUTE(TRIM(H202&amp;"")," ",REPT(" ",60)),60)),설정_코드표!$F$2:$F$101,0)),"⚠"&amp;TRIM(H202&amp;""))),"⚠"&amp;TRIM(H202&amp;""))</f>
        <v/>
      </c>
      <c r="Q202" s="10">
        <f>IFERROR(IF(TRIM(I202&amp;"")="","",IF(AND(ISNUMBER(FIND(" ",TRIM(I202&amp;""))),ISNUMBER(MATCH(LEFT(TRIM(I202&amp;""),FIND(" ",TRIM(I202&amp;""))-1),설정_코드표!$J$2:$J$101,0)),ISNUMBER(MATCH(TRIM(RIGHT(SUBSTITUTE(TRIM(I202&amp;"")," ",REPT(" ",60)),60)),설정_코드표!$F$2:$F$101,0))),INDEX(설정_코드표!$K$2:$K$101,MATCH(LEFT(TRIM(I202&amp;""),FIND(" ",TRIM(I202&amp;""))-1),설정_코드표!$J$2:$J$101,0))&amp;" "&amp;INDEX(설정_코드표!$G$2:$G$101,MATCH(TRIM(RIGHT(SUBSTITUTE(TRIM(I202&amp;"")," ",REPT(" ",60)),60)),설정_코드표!$F$2:$F$101,0)),"⚠"&amp;TRIM(I202&amp;""))),"⚠"&amp;TRIM(I202&amp;""))</f>
        <v/>
      </c>
      <c r="R202" s="10">
        <f>IFERROR(IF(TRIM(J202&amp;"")="","",IF(AND(ISNUMBER(FIND(" ",TRIM(J202&amp;""))),ISNUMBER(MATCH(LEFT(TRIM(J202&amp;""),FIND(" ",TRIM(J202&amp;""))-1),설정_코드표!$J$2:$J$101,0)),ISNUMBER(MATCH(TRIM(RIGHT(SUBSTITUTE(TRIM(J202&amp;"")," ",REPT(" ",60)),60)),설정_코드표!$F$2:$F$101,0))),INDEX(설정_코드표!$K$2:$K$101,MATCH(LEFT(TRIM(J202&amp;""),FIND(" ",TRIM(J202&amp;""))-1),설정_코드표!$J$2:$J$101,0))&amp;" "&amp;INDEX(설정_코드표!$G$2:$G$101,MATCH(TRIM(RIGHT(SUBSTITUTE(TRIM(J202&amp;"")," ",REPT(" ",60)),60)),설정_코드표!$F$2:$F$101,0)),"⚠"&amp;TRIM(J202&amp;""))),"⚠"&amp;TRIM(J202&amp;""))</f>
        <v/>
      </c>
      <c r="S202" s="11">
        <f>IF(K202="","",IFERROR(IF(AND(ROUND((VALUE(K202&amp;"")-INT(VALUE(K202&amp;"")))*100,0)&gt;=1,ROUND((VALUE(K202&amp;"")-INT(VALUE(K202&amp;"")))*100,0)&lt;=12,INT(VALUE(K202&amp;""))&gt;=1900),DATE(INT(VALUE(K202&amp;"")),ROUND((VALUE(K202&amp;"")-INT(VALUE(K202&amp;"")))*100,0),1),K202&amp;""),K202&amp;""))</f>
        <v/>
      </c>
      <c r="T202" s="10">
        <f>COUNTIF(M202:R202,"⚠*")</f>
        <v/>
      </c>
    </row>
    <row r="203"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M203" s="10">
        <f>IFERROR(IF(TRIM(E203&amp;"")="","",IF(AND(ISNUMBER(FIND(" ",TRIM(E203&amp;""))),ISNUMBER(MATCH(LEFT(TRIM(E203&amp;""),FIND(" ",TRIM(E203&amp;""))-1),설정_코드표!$J$2:$J$101,0)),ISNUMBER(MATCH(TRIM(RIGHT(SUBSTITUTE(TRIM(E203&amp;"")," ",REPT(" ",60)),60)),설정_코드표!$F$2:$F$101,0))),INDEX(설정_코드표!$K$2:$K$101,MATCH(LEFT(TRIM(E203&amp;""),FIND(" ",TRIM(E203&amp;""))-1),설정_코드표!$J$2:$J$101,0))&amp;" "&amp;INDEX(설정_코드표!$G$2:$G$101,MATCH(TRIM(RIGHT(SUBSTITUTE(TRIM(E203&amp;"")," ",REPT(" ",60)),60)),설정_코드표!$F$2:$F$101,0)),"⚠"&amp;TRIM(E203&amp;""))),"⚠"&amp;TRIM(E203&amp;""))</f>
        <v/>
      </c>
      <c r="N203" s="10">
        <f>IFERROR(IF(TRIM(F203&amp;"")="","",IF(AND(ISNUMBER(FIND(" ",TRIM(F203&amp;""))),ISNUMBER(MATCH(LEFT(TRIM(F203&amp;""),FIND(" ",TRIM(F203&amp;""))-1),설정_코드표!$J$2:$J$101,0)),ISNUMBER(MATCH(TRIM(RIGHT(SUBSTITUTE(TRIM(F203&amp;"")," ",REPT(" ",60)),60)),설정_코드표!$F$2:$F$101,0))),INDEX(설정_코드표!$K$2:$K$101,MATCH(LEFT(TRIM(F203&amp;""),FIND(" ",TRIM(F203&amp;""))-1),설정_코드표!$J$2:$J$101,0))&amp;" "&amp;INDEX(설정_코드표!$G$2:$G$101,MATCH(TRIM(RIGHT(SUBSTITUTE(TRIM(F203&amp;"")," ",REPT(" ",60)),60)),설정_코드표!$F$2:$F$101,0)),"⚠"&amp;TRIM(F203&amp;""))),"⚠"&amp;TRIM(F203&amp;""))</f>
        <v/>
      </c>
      <c r="O203" s="10">
        <f>IFERROR(IF(TRIM(G203&amp;"")="","",IF(AND(ISNUMBER(FIND(" ",TRIM(G203&amp;""))),ISNUMBER(MATCH(LEFT(TRIM(G203&amp;""),FIND(" ",TRIM(G203&amp;""))-1),설정_코드표!$J$2:$J$101,0)),ISNUMBER(MATCH(TRIM(RIGHT(SUBSTITUTE(TRIM(G203&amp;"")," ",REPT(" ",60)),60)),설정_코드표!$F$2:$F$101,0))),INDEX(설정_코드표!$K$2:$K$101,MATCH(LEFT(TRIM(G203&amp;""),FIND(" ",TRIM(G203&amp;""))-1),설정_코드표!$J$2:$J$101,0))&amp;" "&amp;INDEX(설정_코드표!$G$2:$G$101,MATCH(TRIM(RIGHT(SUBSTITUTE(TRIM(G203&amp;"")," ",REPT(" ",60)),60)),설정_코드표!$F$2:$F$101,0)),"⚠"&amp;TRIM(G203&amp;""))),"⚠"&amp;TRIM(G203&amp;""))</f>
        <v/>
      </c>
      <c r="P203" s="10">
        <f>IFERROR(IF(TRIM(H203&amp;"")="","",IF(AND(ISNUMBER(FIND(" ",TRIM(H203&amp;""))),ISNUMBER(MATCH(LEFT(TRIM(H203&amp;""),FIND(" ",TRIM(H203&amp;""))-1),설정_코드표!$J$2:$J$101,0)),ISNUMBER(MATCH(TRIM(RIGHT(SUBSTITUTE(TRIM(H203&amp;"")," ",REPT(" ",60)),60)),설정_코드표!$F$2:$F$101,0))),INDEX(설정_코드표!$K$2:$K$101,MATCH(LEFT(TRIM(H203&amp;""),FIND(" ",TRIM(H203&amp;""))-1),설정_코드표!$J$2:$J$101,0))&amp;" "&amp;INDEX(설정_코드표!$G$2:$G$101,MATCH(TRIM(RIGHT(SUBSTITUTE(TRIM(H203&amp;"")," ",REPT(" ",60)),60)),설정_코드표!$F$2:$F$101,0)),"⚠"&amp;TRIM(H203&amp;""))),"⚠"&amp;TRIM(H203&amp;""))</f>
        <v/>
      </c>
      <c r="Q203" s="10">
        <f>IFERROR(IF(TRIM(I203&amp;"")="","",IF(AND(ISNUMBER(FIND(" ",TRIM(I203&amp;""))),ISNUMBER(MATCH(LEFT(TRIM(I203&amp;""),FIND(" ",TRIM(I203&amp;""))-1),설정_코드표!$J$2:$J$101,0)),ISNUMBER(MATCH(TRIM(RIGHT(SUBSTITUTE(TRIM(I203&amp;"")," ",REPT(" ",60)),60)),설정_코드표!$F$2:$F$101,0))),INDEX(설정_코드표!$K$2:$K$101,MATCH(LEFT(TRIM(I203&amp;""),FIND(" ",TRIM(I203&amp;""))-1),설정_코드표!$J$2:$J$101,0))&amp;" "&amp;INDEX(설정_코드표!$G$2:$G$101,MATCH(TRIM(RIGHT(SUBSTITUTE(TRIM(I203&amp;"")," ",REPT(" ",60)),60)),설정_코드표!$F$2:$F$101,0)),"⚠"&amp;TRIM(I203&amp;""))),"⚠"&amp;TRIM(I203&amp;""))</f>
        <v/>
      </c>
      <c r="R203" s="10">
        <f>IFERROR(IF(TRIM(J203&amp;"")="","",IF(AND(ISNUMBER(FIND(" ",TRIM(J203&amp;""))),ISNUMBER(MATCH(LEFT(TRIM(J203&amp;""),FIND(" ",TRIM(J203&amp;""))-1),설정_코드표!$J$2:$J$101,0)),ISNUMBER(MATCH(TRIM(RIGHT(SUBSTITUTE(TRIM(J203&amp;"")," ",REPT(" ",60)),60)),설정_코드표!$F$2:$F$101,0))),INDEX(설정_코드표!$K$2:$K$101,MATCH(LEFT(TRIM(J203&amp;""),FIND(" ",TRIM(J203&amp;""))-1),설정_코드표!$J$2:$J$101,0))&amp;" "&amp;INDEX(설정_코드표!$G$2:$G$101,MATCH(TRIM(RIGHT(SUBSTITUTE(TRIM(J203&amp;"")," ",REPT(" ",60)),60)),설정_코드표!$F$2:$F$101,0)),"⚠"&amp;TRIM(J203&amp;""))),"⚠"&amp;TRIM(J203&amp;""))</f>
        <v/>
      </c>
      <c r="S203" s="11">
        <f>IF(K203="","",IFERROR(IF(AND(ROUND((VALUE(K203&amp;"")-INT(VALUE(K203&amp;"")))*100,0)&gt;=1,ROUND((VALUE(K203&amp;"")-INT(VALUE(K203&amp;"")))*100,0)&lt;=12,INT(VALUE(K203&amp;""))&gt;=1900),DATE(INT(VALUE(K203&amp;"")),ROUND((VALUE(K203&amp;"")-INT(VALUE(K203&amp;"")))*100,0),1),K203&amp;""),K203&amp;""))</f>
        <v/>
      </c>
      <c r="T203" s="10">
        <f>COUNTIF(M203:R203,"⚠*")</f>
        <v/>
      </c>
    </row>
    <row r="204"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M204" s="10">
        <f>IFERROR(IF(TRIM(E204&amp;"")="","",IF(AND(ISNUMBER(FIND(" ",TRIM(E204&amp;""))),ISNUMBER(MATCH(LEFT(TRIM(E204&amp;""),FIND(" ",TRIM(E204&amp;""))-1),설정_코드표!$J$2:$J$101,0)),ISNUMBER(MATCH(TRIM(RIGHT(SUBSTITUTE(TRIM(E204&amp;"")," ",REPT(" ",60)),60)),설정_코드표!$F$2:$F$101,0))),INDEX(설정_코드표!$K$2:$K$101,MATCH(LEFT(TRIM(E204&amp;""),FIND(" ",TRIM(E204&amp;""))-1),설정_코드표!$J$2:$J$101,0))&amp;" "&amp;INDEX(설정_코드표!$G$2:$G$101,MATCH(TRIM(RIGHT(SUBSTITUTE(TRIM(E204&amp;"")," ",REPT(" ",60)),60)),설정_코드표!$F$2:$F$101,0)),"⚠"&amp;TRIM(E204&amp;""))),"⚠"&amp;TRIM(E204&amp;""))</f>
        <v/>
      </c>
      <c r="N204" s="10">
        <f>IFERROR(IF(TRIM(F204&amp;"")="","",IF(AND(ISNUMBER(FIND(" ",TRIM(F204&amp;""))),ISNUMBER(MATCH(LEFT(TRIM(F204&amp;""),FIND(" ",TRIM(F204&amp;""))-1),설정_코드표!$J$2:$J$101,0)),ISNUMBER(MATCH(TRIM(RIGHT(SUBSTITUTE(TRIM(F204&amp;"")," ",REPT(" ",60)),60)),설정_코드표!$F$2:$F$101,0))),INDEX(설정_코드표!$K$2:$K$101,MATCH(LEFT(TRIM(F204&amp;""),FIND(" ",TRIM(F204&amp;""))-1),설정_코드표!$J$2:$J$101,0))&amp;" "&amp;INDEX(설정_코드표!$G$2:$G$101,MATCH(TRIM(RIGHT(SUBSTITUTE(TRIM(F204&amp;"")," ",REPT(" ",60)),60)),설정_코드표!$F$2:$F$101,0)),"⚠"&amp;TRIM(F204&amp;""))),"⚠"&amp;TRIM(F204&amp;""))</f>
        <v/>
      </c>
      <c r="O204" s="10">
        <f>IFERROR(IF(TRIM(G204&amp;"")="","",IF(AND(ISNUMBER(FIND(" ",TRIM(G204&amp;""))),ISNUMBER(MATCH(LEFT(TRIM(G204&amp;""),FIND(" ",TRIM(G204&amp;""))-1),설정_코드표!$J$2:$J$101,0)),ISNUMBER(MATCH(TRIM(RIGHT(SUBSTITUTE(TRIM(G204&amp;"")," ",REPT(" ",60)),60)),설정_코드표!$F$2:$F$101,0))),INDEX(설정_코드표!$K$2:$K$101,MATCH(LEFT(TRIM(G204&amp;""),FIND(" ",TRIM(G204&amp;""))-1),설정_코드표!$J$2:$J$101,0))&amp;" "&amp;INDEX(설정_코드표!$G$2:$G$101,MATCH(TRIM(RIGHT(SUBSTITUTE(TRIM(G204&amp;"")," ",REPT(" ",60)),60)),설정_코드표!$F$2:$F$101,0)),"⚠"&amp;TRIM(G204&amp;""))),"⚠"&amp;TRIM(G204&amp;""))</f>
        <v/>
      </c>
      <c r="P204" s="10">
        <f>IFERROR(IF(TRIM(H204&amp;"")="","",IF(AND(ISNUMBER(FIND(" ",TRIM(H204&amp;""))),ISNUMBER(MATCH(LEFT(TRIM(H204&amp;""),FIND(" ",TRIM(H204&amp;""))-1),설정_코드표!$J$2:$J$101,0)),ISNUMBER(MATCH(TRIM(RIGHT(SUBSTITUTE(TRIM(H204&amp;"")," ",REPT(" ",60)),60)),설정_코드표!$F$2:$F$101,0))),INDEX(설정_코드표!$K$2:$K$101,MATCH(LEFT(TRIM(H204&amp;""),FIND(" ",TRIM(H204&amp;""))-1),설정_코드표!$J$2:$J$101,0))&amp;" "&amp;INDEX(설정_코드표!$G$2:$G$101,MATCH(TRIM(RIGHT(SUBSTITUTE(TRIM(H204&amp;"")," ",REPT(" ",60)),60)),설정_코드표!$F$2:$F$101,0)),"⚠"&amp;TRIM(H204&amp;""))),"⚠"&amp;TRIM(H204&amp;""))</f>
        <v/>
      </c>
      <c r="Q204" s="10">
        <f>IFERROR(IF(TRIM(I204&amp;"")="","",IF(AND(ISNUMBER(FIND(" ",TRIM(I204&amp;""))),ISNUMBER(MATCH(LEFT(TRIM(I204&amp;""),FIND(" ",TRIM(I204&amp;""))-1),설정_코드표!$J$2:$J$101,0)),ISNUMBER(MATCH(TRIM(RIGHT(SUBSTITUTE(TRIM(I204&amp;"")," ",REPT(" ",60)),60)),설정_코드표!$F$2:$F$101,0))),INDEX(설정_코드표!$K$2:$K$101,MATCH(LEFT(TRIM(I204&amp;""),FIND(" ",TRIM(I204&amp;""))-1),설정_코드표!$J$2:$J$101,0))&amp;" "&amp;INDEX(설정_코드표!$G$2:$G$101,MATCH(TRIM(RIGHT(SUBSTITUTE(TRIM(I204&amp;"")," ",REPT(" ",60)),60)),설정_코드표!$F$2:$F$101,0)),"⚠"&amp;TRIM(I204&amp;""))),"⚠"&amp;TRIM(I204&amp;""))</f>
        <v/>
      </c>
      <c r="R204" s="10">
        <f>IFERROR(IF(TRIM(J204&amp;"")="","",IF(AND(ISNUMBER(FIND(" ",TRIM(J204&amp;""))),ISNUMBER(MATCH(LEFT(TRIM(J204&amp;""),FIND(" ",TRIM(J204&amp;""))-1),설정_코드표!$J$2:$J$101,0)),ISNUMBER(MATCH(TRIM(RIGHT(SUBSTITUTE(TRIM(J204&amp;"")," ",REPT(" ",60)),60)),설정_코드표!$F$2:$F$101,0))),INDEX(설정_코드표!$K$2:$K$101,MATCH(LEFT(TRIM(J204&amp;""),FIND(" ",TRIM(J204&amp;""))-1),설정_코드표!$J$2:$J$101,0))&amp;" "&amp;INDEX(설정_코드표!$G$2:$G$101,MATCH(TRIM(RIGHT(SUBSTITUTE(TRIM(J204&amp;"")," ",REPT(" ",60)),60)),설정_코드표!$F$2:$F$101,0)),"⚠"&amp;TRIM(J204&amp;""))),"⚠"&amp;TRIM(J204&amp;""))</f>
        <v/>
      </c>
      <c r="S204" s="11">
        <f>IF(K204="","",IFERROR(IF(AND(ROUND((VALUE(K204&amp;"")-INT(VALUE(K204&amp;"")))*100,0)&gt;=1,ROUND((VALUE(K204&amp;"")-INT(VALUE(K204&amp;"")))*100,0)&lt;=12,INT(VALUE(K204&amp;""))&gt;=1900),DATE(INT(VALUE(K204&amp;"")),ROUND((VALUE(K204&amp;"")-INT(VALUE(K204&amp;"")))*100,0),1),K204&amp;""),K204&amp;""))</f>
        <v/>
      </c>
      <c r="T204" s="10">
        <f>COUNTIF(M204:R204,"⚠*")</f>
        <v/>
      </c>
    </row>
    <row r="205"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M205" s="10">
        <f>IFERROR(IF(TRIM(E205&amp;"")="","",IF(AND(ISNUMBER(FIND(" ",TRIM(E205&amp;""))),ISNUMBER(MATCH(LEFT(TRIM(E205&amp;""),FIND(" ",TRIM(E205&amp;""))-1),설정_코드표!$J$2:$J$101,0)),ISNUMBER(MATCH(TRIM(RIGHT(SUBSTITUTE(TRIM(E205&amp;"")," ",REPT(" ",60)),60)),설정_코드표!$F$2:$F$101,0))),INDEX(설정_코드표!$K$2:$K$101,MATCH(LEFT(TRIM(E205&amp;""),FIND(" ",TRIM(E205&amp;""))-1),설정_코드표!$J$2:$J$101,0))&amp;" "&amp;INDEX(설정_코드표!$G$2:$G$101,MATCH(TRIM(RIGHT(SUBSTITUTE(TRIM(E205&amp;"")," ",REPT(" ",60)),60)),설정_코드표!$F$2:$F$101,0)),"⚠"&amp;TRIM(E205&amp;""))),"⚠"&amp;TRIM(E205&amp;""))</f>
        <v/>
      </c>
      <c r="N205" s="10">
        <f>IFERROR(IF(TRIM(F205&amp;"")="","",IF(AND(ISNUMBER(FIND(" ",TRIM(F205&amp;""))),ISNUMBER(MATCH(LEFT(TRIM(F205&amp;""),FIND(" ",TRIM(F205&amp;""))-1),설정_코드표!$J$2:$J$101,0)),ISNUMBER(MATCH(TRIM(RIGHT(SUBSTITUTE(TRIM(F205&amp;"")," ",REPT(" ",60)),60)),설정_코드표!$F$2:$F$101,0))),INDEX(설정_코드표!$K$2:$K$101,MATCH(LEFT(TRIM(F205&amp;""),FIND(" ",TRIM(F205&amp;""))-1),설정_코드표!$J$2:$J$101,0))&amp;" "&amp;INDEX(설정_코드표!$G$2:$G$101,MATCH(TRIM(RIGHT(SUBSTITUTE(TRIM(F205&amp;"")," ",REPT(" ",60)),60)),설정_코드표!$F$2:$F$101,0)),"⚠"&amp;TRIM(F205&amp;""))),"⚠"&amp;TRIM(F205&amp;""))</f>
        <v/>
      </c>
      <c r="O205" s="10">
        <f>IFERROR(IF(TRIM(G205&amp;"")="","",IF(AND(ISNUMBER(FIND(" ",TRIM(G205&amp;""))),ISNUMBER(MATCH(LEFT(TRIM(G205&amp;""),FIND(" ",TRIM(G205&amp;""))-1),설정_코드표!$J$2:$J$101,0)),ISNUMBER(MATCH(TRIM(RIGHT(SUBSTITUTE(TRIM(G205&amp;"")," ",REPT(" ",60)),60)),설정_코드표!$F$2:$F$101,0))),INDEX(설정_코드표!$K$2:$K$101,MATCH(LEFT(TRIM(G205&amp;""),FIND(" ",TRIM(G205&amp;""))-1),설정_코드표!$J$2:$J$101,0))&amp;" "&amp;INDEX(설정_코드표!$G$2:$G$101,MATCH(TRIM(RIGHT(SUBSTITUTE(TRIM(G205&amp;"")," ",REPT(" ",60)),60)),설정_코드표!$F$2:$F$101,0)),"⚠"&amp;TRIM(G205&amp;""))),"⚠"&amp;TRIM(G205&amp;""))</f>
        <v/>
      </c>
      <c r="P205" s="10">
        <f>IFERROR(IF(TRIM(H205&amp;"")="","",IF(AND(ISNUMBER(FIND(" ",TRIM(H205&amp;""))),ISNUMBER(MATCH(LEFT(TRIM(H205&amp;""),FIND(" ",TRIM(H205&amp;""))-1),설정_코드표!$J$2:$J$101,0)),ISNUMBER(MATCH(TRIM(RIGHT(SUBSTITUTE(TRIM(H205&amp;"")," ",REPT(" ",60)),60)),설정_코드표!$F$2:$F$101,0))),INDEX(설정_코드표!$K$2:$K$101,MATCH(LEFT(TRIM(H205&amp;""),FIND(" ",TRIM(H205&amp;""))-1),설정_코드표!$J$2:$J$101,0))&amp;" "&amp;INDEX(설정_코드표!$G$2:$G$101,MATCH(TRIM(RIGHT(SUBSTITUTE(TRIM(H205&amp;"")," ",REPT(" ",60)),60)),설정_코드표!$F$2:$F$101,0)),"⚠"&amp;TRIM(H205&amp;""))),"⚠"&amp;TRIM(H205&amp;""))</f>
        <v/>
      </c>
      <c r="Q205" s="10">
        <f>IFERROR(IF(TRIM(I205&amp;"")="","",IF(AND(ISNUMBER(FIND(" ",TRIM(I205&amp;""))),ISNUMBER(MATCH(LEFT(TRIM(I205&amp;""),FIND(" ",TRIM(I205&amp;""))-1),설정_코드표!$J$2:$J$101,0)),ISNUMBER(MATCH(TRIM(RIGHT(SUBSTITUTE(TRIM(I205&amp;"")," ",REPT(" ",60)),60)),설정_코드표!$F$2:$F$101,0))),INDEX(설정_코드표!$K$2:$K$101,MATCH(LEFT(TRIM(I205&amp;""),FIND(" ",TRIM(I205&amp;""))-1),설정_코드표!$J$2:$J$101,0))&amp;" "&amp;INDEX(설정_코드표!$G$2:$G$101,MATCH(TRIM(RIGHT(SUBSTITUTE(TRIM(I205&amp;"")," ",REPT(" ",60)),60)),설정_코드표!$F$2:$F$101,0)),"⚠"&amp;TRIM(I205&amp;""))),"⚠"&amp;TRIM(I205&amp;""))</f>
        <v/>
      </c>
      <c r="R205" s="10">
        <f>IFERROR(IF(TRIM(J205&amp;"")="","",IF(AND(ISNUMBER(FIND(" ",TRIM(J205&amp;""))),ISNUMBER(MATCH(LEFT(TRIM(J205&amp;""),FIND(" ",TRIM(J205&amp;""))-1),설정_코드표!$J$2:$J$101,0)),ISNUMBER(MATCH(TRIM(RIGHT(SUBSTITUTE(TRIM(J205&amp;"")," ",REPT(" ",60)),60)),설정_코드표!$F$2:$F$101,0))),INDEX(설정_코드표!$K$2:$K$101,MATCH(LEFT(TRIM(J205&amp;""),FIND(" ",TRIM(J205&amp;""))-1),설정_코드표!$J$2:$J$101,0))&amp;" "&amp;INDEX(설정_코드표!$G$2:$G$101,MATCH(TRIM(RIGHT(SUBSTITUTE(TRIM(J205&amp;"")," ",REPT(" ",60)),60)),설정_코드표!$F$2:$F$101,0)),"⚠"&amp;TRIM(J205&amp;""))),"⚠"&amp;TRIM(J205&amp;""))</f>
        <v/>
      </c>
      <c r="S205" s="11">
        <f>IF(K205="","",IFERROR(IF(AND(ROUND((VALUE(K205&amp;"")-INT(VALUE(K205&amp;"")))*100,0)&gt;=1,ROUND((VALUE(K205&amp;"")-INT(VALUE(K205&amp;"")))*100,0)&lt;=12,INT(VALUE(K205&amp;""))&gt;=1900),DATE(INT(VALUE(K205&amp;"")),ROUND((VALUE(K205&amp;"")-INT(VALUE(K205&amp;"")))*100,0),1),K205&amp;""),K205&amp;""))</f>
        <v/>
      </c>
      <c r="T205" s="10">
        <f>COUNTIF(M205:R205,"⚠*")</f>
        <v/>
      </c>
    </row>
    <row r="206"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M206" s="10">
        <f>IFERROR(IF(TRIM(E206&amp;"")="","",IF(AND(ISNUMBER(FIND(" ",TRIM(E206&amp;""))),ISNUMBER(MATCH(LEFT(TRIM(E206&amp;""),FIND(" ",TRIM(E206&amp;""))-1),설정_코드표!$J$2:$J$101,0)),ISNUMBER(MATCH(TRIM(RIGHT(SUBSTITUTE(TRIM(E206&amp;"")," ",REPT(" ",60)),60)),설정_코드표!$F$2:$F$101,0))),INDEX(설정_코드표!$K$2:$K$101,MATCH(LEFT(TRIM(E206&amp;""),FIND(" ",TRIM(E206&amp;""))-1),설정_코드표!$J$2:$J$101,0))&amp;" "&amp;INDEX(설정_코드표!$G$2:$G$101,MATCH(TRIM(RIGHT(SUBSTITUTE(TRIM(E206&amp;"")," ",REPT(" ",60)),60)),설정_코드표!$F$2:$F$101,0)),"⚠"&amp;TRIM(E206&amp;""))),"⚠"&amp;TRIM(E206&amp;""))</f>
        <v/>
      </c>
      <c r="N206" s="10">
        <f>IFERROR(IF(TRIM(F206&amp;"")="","",IF(AND(ISNUMBER(FIND(" ",TRIM(F206&amp;""))),ISNUMBER(MATCH(LEFT(TRIM(F206&amp;""),FIND(" ",TRIM(F206&amp;""))-1),설정_코드표!$J$2:$J$101,0)),ISNUMBER(MATCH(TRIM(RIGHT(SUBSTITUTE(TRIM(F206&amp;"")," ",REPT(" ",60)),60)),설정_코드표!$F$2:$F$101,0))),INDEX(설정_코드표!$K$2:$K$101,MATCH(LEFT(TRIM(F206&amp;""),FIND(" ",TRIM(F206&amp;""))-1),설정_코드표!$J$2:$J$101,0))&amp;" "&amp;INDEX(설정_코드표!$G$2:$G$101,MATCH(TRIM(RIGHT(SUBSTITUTE(TRIM(F206&amp;"")," ",REPT(" ",60)),60)),설정_코드표!$F$2:$F$101,0)),"⚠"&amp;TRIM(F206&amp;""))),"⚠"&amp;TRIM(F206&amp;""))</f>
        <v/>
      </c>
      <c r="O206" s="10">
        <f>IFERROR(IF(TRIM(G206&amp;"")="","",IF(AND(ISNUMBER(FIND(" ",TRIM(G206&amp;""))),ISNUMBER(MATCH(LEFT(TRIM(G206&amp;""),FIND(" ",TRIM(G206&amp;""))-1),설정_코드표!$J$2:$J$101,0)),ISNUMBER(MATCH(TRIM(RIGHT(SUBSTITUTE(TRIM(G206&amp;"")," ",REPT(" ",60)),60)),설정_코드표!$F$2:$F$101,0))),INDEX(설정_코드표!$K$2:$K$101,MATCH(LEFT(TRIM(G206&amp;""),FIND(" ",TRIM(G206&amp;""))-1),설정_코드표!$J$2:$J$101,0))&amp;" "&amp;INDEX(설정_코드표!$G$2:$G$101,MATCH(TRIM(RIGHT(SUBSTITUTE(TRIM(G206&amp;"")," ",REPT(" ",60)),60)),설정_코드표!$F$2:$F$101,0)),"⚠"&amp;TRIM(G206&amp;""))),"⚠"&amp;TRIM(G206&amp;""))</f>
        <v/>
      </c>
      <c r="P206" s="10">
        <f>IFERROR(IF(TRIM(H206&amp;"")="","",IF(AND(ISNUMBER(FIND(" ",TRIM(H206&amp;""))),ISNUMBER(MATCH(LEFT(TRIM(H206&amp;""),FIND(" ",TRIM(H206&amp;""))-1),설정_코드표!$J$2:$J$101,0)),ISNUMBER(MATCH(TRIM(RIGHT(SUBSTITUTE(TRIM(H206&amp;"")," ",REPT(" ",60)),60)),설정_코드표!$F$2:$F$101,0))),INDEX(설정_코드표!$K$2:$K$101,MATCH(LEFT(TRIM(H206&amp;""),FIND(" ",TRIM(H206&amp;""))-1),설정_코드표!$J$2:$J$101,0))&amp;" "&amp;INDEX(설정_코드표!$G$2:$G$101,MATCH(TRIM(RIGHT(SUBSTITUTE(TRIM(H206&amp;"")," ",REPT(" ",60)),60)),설정_코드표!$F$2:$F$101,0)),"⚠"&amp;TRIM(H206&amp;""))),"⚠"&amp;TRIM(H206&amp;""))</f>
        <v/>
      </c>
      <c r="Q206" s="10">
        <f>IFERROR(IF(TRIM(I206&amp;"")="","",IF(AND(ISNUMBER(FIND(" ",TRIM(I206&amp;""))),ISNUMBER(MATCH(LEFT(TRIM(I206&amp;""),FIND(" ",TRIM(I206&amp;""))-1),설정_코드표!$J$2:$J$101,0)),ISNUMBER(MATCH(TRIM(RIGHT(SUBSTITUTE(TRIM(I206&amp;"")," ",REPT(" ",60)),60)),설정_코드표!$F$2:$F$101,0))),INDEX(설정_코드표!$K$2:$K$101,MATCH(LEFT(TRIM(I206&amp;""),FIND(" ",TRIM(I206&amp;""))-1),설정_코드표!$J$2:$J$101,0))&amp;" "&amp;INDEX(설정_코드표!$G$2:$G$101,MATCH(TRIM(RIGHT(SUBSTITUTE(TRIM(I206&amp;"")," ",REPT(" ",60)),60)),설정_코드표!$F$2:$F$101,0)),"⚠"&amp;TRIM(I206&amp;""))),"⚠"&amp;TRIM(I206&amp;""))</f>
        <v/>
      </c>
      <c r="R206" s="10">
        <f>IFERROR(IF(TRIM(J206&amp;"")="","",IF(AND(ISNUMBER(FIND(" ",TRIM(J206&amp;""))),ISNUMBER(MATCH(LEFT(TRIM(J206&amp;""),FIND(" ",TRIM(J206&amp;""))-1),설정_코드표!$J$2:$J$101,0)),ISNUMBER(MATCH(TRIM(RIGHT(SUBSTITUTE(TRIM(J206&amp;"")," ",REPT(" ",60)),60)),설정_코드표!$F$2:$F$101,0))),INDEX(설정_코드표!$K$2:$K$101,MATCH(LEFT(TRIM(J206&amp;""),FIND(" ",TRIM(J206&amp;""))-1),설정_코드표!$J$2:$J$101,0))&amp;" "&amp;INDEX(설정_코드표!$G$2:$G$101,MATCH(TRIM(RIGHT(SUBSTITUTE(TRIM(J206&amp;"")," ",REPT(" ",60)),60)),설정_코드표!$F$2:$F$101,0)),"⚠"&amp;TRIM(J206&amp;""))),"⚠"&amp;TRIM(J206&amp;""))</f>
        <v/>
      </c>
      <c r="S206" s="11">
        <f>IF(K206="","",IFERROR(IF(AND(ROUND((VALUE(K206&amp;"")-INT(VALUE(K206&amp;"")))*100,0)&gt;=1,ROUND((VALUE(K206&amp;"")-INT(VALUE(K206&amp;"")))*100,0)&lt;=12,INT(VALUE(K206&amp;""))&gt;=1900),DATE(INT(VALUE(K206&amp;"")),ROUND((VALUE(K206&amp;"")-INT(VALUE(K206&amp;"")))*100,0),1),K206&amp;""),K206&amp;""))</f>
        <v/>
      </c>
      <c r="T206" s="10">
        <f>COUNTIF(M206:R206,"⚠*")</f>
        <v/>
      </c>
    </row>
    <row r="207"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M207" s="10">
        <f>IFERROR(IF(TRIM(E207&amp;"")="","",IF(AND(ISNUMBER(FIND(" ",TRIM(E207&amp;""))),ISNUMBER(MATCH(LEFT(TRIM(E207&amp;""),FIND(" ",TRIM(E207&amp;""))-1),설정_코드표!$J$2:$J$101,0)),ISNUMBER(MATCH(TRIM(RIGHT(SUBSTITUTE(TRIM(E207&amp;"")," ",REPT(" ",60)),60)),설정_코드표!$F$2:$F$101,0))),INDEX(설정_코드표!$K$2:$K$101,MATCH(LEFT(TRIM(E207&amp;""),FIND(" ",TRIM(E207&amp;""))-1),설정_코드표!$J$2:$J$101,0))&amp;" "&amp;INDEX(설정_코드표!$G$2:$G$101,MATCH(TRIM(RIGHT(SUBSTITUTE(TRIM(E207&amp;"")," ",REPT(" ",60)),60)),설정_코드표!$F$2:$F$101,0)),"⚠"&amp;TRIM(E207&amp;""))),"⚠"&amp;TRIM(E207&amp;""))</f>
        <v/>
      </c>
      <c r="N207" s="10">
        <f>IFERROR(IF(TRIM(F207&amp;"")="","",IF(AND(ISNUMBER(FIND(" ",TRIM(F207&amp;""))),ISNUMBER(MATCH(LEFT(TRIM(F207&amp;""),FIND(" ",TRIM(F207&amp;""))-1),설정_코드표!$J$2:$J$101,0)),ISNUMBER(MATCH(TRIM(RIGHT(SUBSTITUTE(TRIM(F207&amp;"")," ",REPT(" ",60)),60)),설정_코드표!$F$2:$F$101,0))),INDEX(설정_코드표!$K$2:$K$101,MATCH(LEFT(TRIM(F207&amp;""),FIND(" ",TRIM(F207&amp;""))-1),설정_코드표!$J$2:$J$101,0))&amp;" "&amp;INDEX(설정_코드표!$G$2:$G$101,MATCH(TRIM(RIGHT(SUBSTITUTE(TRIM(F207&amp;"")," ",REPT(" ",60)),60)),설정_코드표!$F$2:$F$101,0)),"⚠"&amp;TRIM(F207&amp;""))),"⚠"&amp;TRIM(F207&amp;""))</f>
        <v/>
      </c>
      <c r="O207" s="10">
        <f>IFERROR(IF(TRIM(G207&amp;"")="","",IF(AND(ISNUMBER(FIND(" ",TRIM(G207&amp;""))),ISNUMBER(MATCH(LEFT(TRIM(G207&amp;""),FIND(" ",TRIM(G207&amp;""))-1),설정_코드표!$J$2:$J$101,0)),ISNUMBER(MATCH(TRIM(RIGHT(SUBSTITUTE(TRIM(G207&amp;"")," ",REPT(" ",60)),60)),설정_코드표!$F$2:$F$101,0))),INDEX(설정_코드표!$K$2:$K$101,MATCH(LEFT(TRIM(G207&amp;""),FIND(" ",TRIM(G207&amp;""))-1),설정_코드표!$J$2:$J$101,0))&amp;" "&amp;INDEX(설정_코드표!$G$2:$G$101,MATCH(TRIM(RIGHT(SUBSTITUTE(TRIM(G207&amp;"")," ",REPT(" ",60)),60)),설정_코드표!$F$2:$F$101,0)),"⚠"&amp;TRIM(G207&amp;""))),"⚠"&amp;TRIM(G207&amp;""))</f>
        <v/>
      </c>
      <c r="P207" s="10">
        <f>IFERROR(IF(TRIM(H207&amp;"")="","",IF(AND(ISNUMBER(FIND(" ",TRIM(H207&amp;""))),ISNUMBER(MATCH(LEFT(TRIM(H207&amp;""),FIND(" ",TRIM(H207&amp;""))-1),설정_코드표!$J$2:$J$101,0)),ISNUMBER(MATCH(TRIM(RIGHT(SUBSTITUTE(TRIM(H207&amp;"")," ",REPT(" ",60)),60)),설정_코드표!$F$2:$F$101,0))),INDEX(설정_코드표!$K$2:$K$101,MATCH(LEFT(TRIM(H207&amp;""),FIND(" ",TRIM(H207&amp;""))-1),설정_코드표!$J$2:$J$101,0))&amp;" "&amp;INDEX(설정_코드표!$G$2:$G$101,MATCH(TRIM(RIGHT(SUBSTITUTE(TRIM(H207&amp;"")," ",REPT(" ",60)),60)),설정_코드표!$F$2:$F$101,0)),"⚠"&amp;TRIM(H207&amp;""))),"⚠"&amp;TRIM(H207&amp;""))</f>
        <v/>
      </c>
      <c r="Q207" s="10">
        <f>IFERROR(IF(TRIM(I207&amp;"")="","",IF(AND(ISNUMBER(FIND(" ",TRIM(I207&amp;""))),ISNUMBER(MATCH(LEFT(TRIM(I207&amp;""),FIND(" ",TRIM(I207&amp;""))-1),설정_코드표!$J$2:$J$101,0)),ISNUMBER(MATCH(TRIM(RIGHT(SUBSTITUTE(TRIM(I207&amp;"")," ",REPT(" ",60)),60)),설정_코드표!$F$2:$F$101,0))),INDEX(설정_코드표!$K$2:$K$101,MATCH(LEFT(TRIM(I207&amp;""),FIND(" ",TRIM(I207&amp;""))-1),설정_코드표!$J$2:$J$101,0))&amp;" "&amp;INDEX(설정_코드표!$G$2:$G$101,MATCH(TRIM(RIGHT(SUBSTITUTE(TRIM(I207&amp;"")," ",REPT(" ",60)),60)),설정_코드표!$F$2:$F$101,0)),"⚠"&amp;TRIM(I207&amp;""))),"⚠"&amp;TRIM(I207&amp;""))</f>
        <v/>
      </c>
      <c r="R207" s="10">
        <f>IFERROR(IF(TRIM(J207&amp;"")="","",IF(AND(ISNUMBER(FIND(" ",TRIM(J207&amp;""))),ISNUMBER(MATCH(LEFT(TRIM(J207&amp;""),FIND(" ",TRIM(J207&amp;""))-1),설정_코드표!$J$2:$J$101,0)),ISNUMBER(MATCH(TRIM(RIGHT(SUBSTITUTE(TRIM(J207&amp;"")," ",REPT(" ",60)),60)),설정_코드표!$F$2:$F$101,0))),INDEX(설정_코드표!$K$2:$K$101,MATCH(LEFT(TRIM(J207&amp;""),FIND(" ",TRIM(J207&amp;""))-1),설정_코드표!$J$2:$J$101,0))&amp;" "&amp;INDEX(설정_코드표!$G$2:$G$101,MATCH(TRIM(RIGHT(SUBSTITUTE(TRIM(J207&amp;"")," ",REPT(" ",60)),60)),설정_코드표!$F$2:$F$101,0)),"⚠"&amp;TRIM(J207&amp;""))),"⚠"&amp;TRIM(J207&amp;""))</f>
        <v/>
      </c>
      <c r="S207" s="11">
        <f>IF(K207="","",IFERROR(IF(AND(ROUND((VALUE(K207&amp;"")-INT(VALUE(K207&amp;"")))*100,0)&gt;=1,ROUND((VALUE(K207&amp;"")-INT(VALUE(K207&amp;"")))*100,0)&lt;=12,INT(VALUE(K207&amp;""))&gt;=1900),DATE(INT(VALUE(K207&amp;"")),ROUND((VALUE(K207&amp;"")-INT(VALUE(K207&amp;"")))*100,0),1),K207&amp;""),K207&amp;""))</f>
        <v/>
      </c>
      <c r="T207" s="10">
        <f>COUNTIF(M207:R207,"⚠*")</f>
        <v/>
      </c>
    </row>
    <row r="208"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M208" s="10">
        <f>IFERROR(IF(TRIM(E208&amp;"")="","",IF(AND(ISNUMBER(FIND(" ",TRIM(E208&amp;""))),ISNUMBER(MATCH(LEFT(TRIM(E208&amp;""),FIND(" ",TRIM(E208&amp;""))-1),설정_코드표!$J$2:$J$101,0)),ISNUMBER(MATCH(TRIM(RIGHT(SUBSTITUTE(TRIM(E208&amp;"")," ",REPT(" ",60)),60)),설정_코드표!$F$2:$F$101,0))),INDEX(설정_코드표!$K$2:$K$101,MATCH(LEFT(TRIM(E208&amp;""),FIND(" ",TRIM(E208&amp;""))-1),설정_코드표!$J$2:$J$101,0))&amp;" "&amp;INDEX(설정_코드표!$G$2:$G$101,MATCH(TRIM(RIGHT(SUBSTITUTE(TRIM(E208&amp;"")," ",REPT(" ",60)),60)),설정_코드표!$F$2:$F$101,0)),"⚠"&amp;TRIM(E208&amp;""))),"⚠"&amp;TRIM(E208&amp;""))</f>
        <v/>
      </c>
      <c r="N208" s="10">
        <f>IFERROR(IF(TRIM(F208&amp;"")="","",IF(AND(ISNUMBER(FIND(" ",TRIM(F208&amp;""))),ISNUMBER(MATCH(LEFT(TRIM(F208&amp;""),FIND(" ",TRIM(F208&amp;""))-1),설정_코드표!$J$2:$J$101,0)),ISNUMBER(MATCH(TRIM(RIGHT(SUBSTITUTE(TRIM(F208&amp;"")," ",REPT(" ",60)),60)),설정_코드표!$F$2:$F$101,0))),INDEX(설정_코드표!$K$2:$K$101,MATCH(LEFT(TRIM(F208&amp;""),FIND(" ",TRIM(F208&amp;""))-1),설정_코드표!$J$2:$J$101,0))&amp;" "&amp;INDEX(설정_코드표!$G$2:$G$101,MATCH(TRIM(RIGHT(SUBSTITUTE(TRIM(F208&amp;"")," ",REPT(" ",60)),60)),설정_코드표!$F$2:$F$101,0)),"⚠"&amp;TRIM(F208&amp;""))),"⚠"&amp;TRIM(F208&amp;""))</f>
        <v/>
      </c>
      <c r="O208" s="10">
        <f>IFERROR(IF(TRIM(G208&amp;"")="","",IF(AND(ISNUMBER(FIND(" ",TRIM(G208&amp;""))),ISNUMBER(MATCH(LEFT(TRIM(G208&amp;""),FIND(" ",TRIM(G208&amp;""))-1),설정_코드표!$J$2:$J$101,0)),ISNUMBER(MATCH(TRIM(RIGHT(SUBSTITUTE(TRIM(G208&amp;"")," ",REPT(" ",60)),60)),설정_코드표!$F$2:$F$101,0))),INDEX(설정_코드표!$K$2:$K$101,MATCH(LEFT(TRIM(G208&amp;""),FIND(" ",TRIM(G208&amp;""))-1),설정_코드표!$J$2:$J$101,0))&amp;" "&amp;INDEX(설정_코드표!$G$2:$G$101,MATCH(TRIM(RIGHT(SUBSTITUTE(TRIM(G208&amp;"")," ",REPT(" ",60)),60)),설정_코드표!$F$2:$F$101,0)),"⚠"&amp;TRIM(G208&amp;""))),"⚠"&amp;TRIM(G208&amp;""))</f>
        <v/>
      </c>
      <c r="P208" s="10">
        <f>IFERROR(IF(TRIM(H208&amp;"")="","",IF(AND(ISNUMBER(FIND(" ",TRIM(H208&amp;""))),ISNUMBER(MATCH(LEFT(TRIM(H208&amp;""),FIND(" ",TRIM(H208&amp;""))-1),설정_코드표!$J$2:$J$101,0)),ISNUMBER(MATCH(TRIM(RIGHT(SUBSTITUTE(TRIM(H208&amp;"")," ",REPT(" ",60)),60)),설정_코드표!$F$2:$F$101,0))),INDEX(설정_코드표!$K$2:$K$101,MATCH(LEFT(TRIM(H208&amp;""),FIND(" ",TRIM(H208&amp;""))-1),설정_코드표!$J$2:$J$101,0))&amp;" "&amp;INDEX(설정_코드표!$G$2:$G$101,MATCH(TRIM(RIGHT(SUBSTITUTE(TRIM(H208&amp;"")," ",REPT(" ",60)),60)),설정_코드표!$F$2:$F$101,0)),"⚠"&amp;TRIM(H208&amp;""))),"⚠"&amp;TRIM(H208&amp;""))</f>
        <v/>
      </c>
      <c r="Q208" s="10">
        <f>IFERROR(IF(TRIM(I208&amp;"")="","",IF(AND(ISNUMBER(FIND(" ",TRIM(I208&amp;""))),ISNUMBER(MATCH(LEFT(TRIM(I208&amp;""),FIND(" ",TRIM(I208&amp;""))-1),설정_코드표!$J$2:$J$101,0)),ISNUMBER(MATCH(TRIM(RIGHT(SUBSTITUTE(TRIM(I208&amp;"")," ",REPT(" ",60)),60)),설정_코드표!$F$2:$F$101,0))),INDEX(설정_코드표!$K$2:$K$101,MATCH(LEFT(TRIM(I208&amp;""),FIND(" ",TRIM(I208&amp;""))-1),설정_코드표!$J$2:$J$101,0))&amp;" "&amp;INDEX(설정_코드표!$G$2:$G$101,MATCH(TRIM(RIGHT(SUBSTITUTE(TRIM(I208&amp;"")," ",REPT(" ",60)),60)),설정_코드표!$F$2:$F$101,0)),"⚠"&amp;TRIM(I208&amp;""))),"⚠"&amp;TRIM(I208&amp;""))</f>
        <v/>
      </c>
      <c r="R208" s="10">
        <f>IFERROR(IF(TRIM(J208&amp;"")="","",IF(AND(ISNUMBER(FIND(" ",TRIM(J208&amp;""))),ISNUMBER(MATCH(LEFT(TRIM(J208&amp;""),FIND(" ",TRIM(J208&amp;""))-1),설정_코드표!$J$2:$J$101,0)),ISNUMBER(MATCH(TRIM(RIGHT(SUBSTITUTE(TRIM(J208&amp;"")," ",REPT(" ",60)),60)),설정_코드표!$F$2:$F$101,0))),INDEX(설정_코드표!$K$2:$K$101,MATCH(LEFT(TRIM(J208&amp;""),FIND(" ",TRIM(J208&amp;""))-1),설정_코드표!$J$2:$J$101,0))&amp;" "&amp;INDEX(설정_코드표!$G$2:$G$101,MATCH(TRIM(RIGHT(SUBSTITUTE(TRIM(J208&amp;"")," ",REPT(" ",60)),60)),설정_코드표!$F$2:$F$101,0)),"⚠"&amp;TRIM(J208&amp;""))),"⚠"&amp;TRIM(J208&amp;""))</f>
        <v/>
      </c>
      <c r="S208" s="11">
        <f>IF(K208="","",IFERROR(IF(AND(ROUND((VALUE(K208&amp;"")-INT(VALUE(K208&amp;"")))*100,0)&gt;=1,ROUND((VALUE(K208&amp;"")-INT(VALUE(K208&amp;"")))*100,0)&lt;=12,INT(VALUE(K208&amp;""))&gt;=1900),DATE(INT(VALUE(K208&amp;"")),ROUND((VALUE(K208&amp;"")-INT(VALUE(K208&amp;"")))*100,0),1),K208&amp;""),K208&amp;""))</f>
        <v/>
      </c>
      <c r="T208" s="10">
        <f>COUNTIF(M208:R208,"⚠*")</f>
        <v/>
      </c>
    </row>
    <row r="209"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M209" s="10">
        <f>IFERROR(IF(TRIM(E209&amp;"")="","",IF(AND(ISNUMBER(FIND(" ",TRIM(E209&amp;""))),ISNUMBER(MATCH(LEFT(TRIM(E209&amp;""),FIND(" ",TRIM(E209&amp;""))-1),설정_코드표!$J$2:$J$101,0)),ISNUMBER(MATCH(TRIM(RIGHT(SUBSTITUTE(TRIM(E209&amp;"")," ",REPT(" ",60)),60)),설정_코드표!$F$2:$F$101,0))),INDEX(설정_코드표!$K$2:$K$101,MATCH(LEFT(TRIM(E209&amp;""),FIND(" ",TRIM(E209&amp;""))-1),설정_코드표!$J$2:$J$101,0))&amp;" "&amp;INDEX(설정_코드표!$G$2:$G$101,MATCH(TRIM(RIGHT(SUBSTITUTE(TRIM(E209&amp;"")," ",REPT(" ",60)),60)),설정_코드표!$F$2:$F$101,0)),"⚠"&amp;TRIM(E209&amp;""))),"⚠"&amp;TRIM(E209&amp;""))</f>
        <v/>
      </c>
      <c r="N209" s="10">
        <f>IFERROR(IF(TRIM(F209&amp;"")="","",IF(AND(ISNUMBER(FIND(" ",TRIM(F209&amp;""))),ISNUMBER(MATCH(LEFT(TRIM(F209&amp;""),FIND(" ",TRIM(F209&amp;""))-1),설정_코드표!$J$2:$J$101,0)),ISNUMBER(MATCH(TRIM(RIGHT(SUBSTITUTE(TRIM(F209&amp;"")," ",REPT(" ",60)),60)),설정_코드표!$F$2:$F$101,0))),INDEX(설정_코드표!$K$2:$K$101,MATCH(LEFT(TRIM(F209&amp;""),FIND(" ",TRIM(F209&amp;""))-1),설정_코드표!$J$2:$J$101,0))&amp;" "&amp;INDEX(설정_코드표!$G$2:$G$101,MATCH(TRIM(RIGHT(SUBSTITUTE(TRIM(F209&amp;"")," ",REPT(" ",60)),60)),설정_코드표!$F$2:$F$101,0)),"⚠"&amp;TRIM(F209&amp;""))),"⚠"&amp;TRIM(F209&amp;""))</f>
        <v/>
      </c>
      <c r="O209" s="10">
        <f>IFERROR(IF(TRIM(G209&amp;"")="","",IF(AND(ISNUMBER(FIND(" ",TRIM(G209&amp;""))),ISNUMBER(MATCH(LEFT(TRIM(G209&amp;""),FIND(" ",TRIM(G209&amp;""))-1),설정_코드표!$J$2:$J$101,0)),ISNUMBER(MATCH(TRIM(RIGHT(SUBSTITUTE(TRIM(G209&amp;"")," ",REPT(" ",60)),60)),설정_코드표!$F$2:$F$101,0))),INDEX(설정_코드표!$K$2:$K$101,MATCH(LEFT(TRIM(G209&amp;""),FIND(" ",TRIM(G209&amp;""))-1),설정_코드표!$J$2:$J$101,0))&amp;" "&amp;INDEX(설정_코드표!$G$2:$G$101,MATCH(TRIM(RIGHT(SUBSTITUTE(TRIM(G209&amp;"")," ",REPT(" ",60)),60)),설정_코드표!$F$2:$F$101,0)),"⚠"&amp;TRIM(G209&amp;""))),"⚠"&amp;TRIM(G209&amp;""))</f>
        <v/>
      </c>
      <c r="P209" s="10">
        <f>IFERROR(IF(TRIM(H209&amp;"")="","",IF(AND(ISNUMBER(FIND(" ",TRIM(H209&amp;""))),ISNUMBER(MATCH(LEFT(TRIM(H209&amp;""),FIND(" ",TRIM(H209&amp;""))-1),설정_코드표!$J$2:$J$101,0)),ISNUMBER(MATCH(TRIM(RIGHT(SUBSTITUTE(TRIM(H209&amp;"")," ",REPT(" ",60)),60)),설정_코드표!$F$2:$F$101,0))),INDEX(설정_코드표!$K$2:$K$101,MATCH(LEFT(TRIM(H209&amp;""),FIND(" ",TRIM(H209&amp;""))-1),설정_코드표!$J$2:$J$101,0))&amp;" "&amp;INDEX(설정_코드표!$G$2:$G$101,MATCH(TRIM(RIGHT(SUBSTITUTE(TRIM(H209&amp;"")," ",REPT(" ",60)),60)),설정_코드표!$F$2:$F$101,0)),"⚠"&amp;TRIM(H209&amp;""))),"⚠"&amp;TRIM(H209&amp;""))</f>
        <v/>
      </c>
      <c r="Q209" s="10">
        <f>IFERROR(IF(TRIM(I209&amp;"")="","",IF(AND(ISNUMBER(FIND(" ",TRIM(I209&amp;""))),ISNUMBER(MATCH(LEFT(TRIM(I209&amp;""),FIND(" ",TRIM(I209&amp;""))-1),설정_코드표!$J$2:$J$101,0)),ISNUMBER(MATCH(TRIM(RIGHT(SUBSTITUTE(TRIM(I209&amp;"")," ",REPT(" ",60)),60)),설정_코드표!$F$2:$F$101,0))),INDEX(설정_코드표!$K$2:$K$101,MATCH(LEFT(TRIM(I209&amp;""),FIND(" ",TRIM(I209&amp;""))-1),설정_코드표!$J$2:$J$101,0))&amp;" "&amp;INDEX(설정_코드표!$G$2:$G$101,MATCH(TRIM(RIGHT(SUBSTITUTE(TRIM(I209&amp;"")," ",REPT(" ",60)),60)),설정_코드표!$F$2:$F$101,0)),"⚠"&amp;TRIM(I209&amp;""))),"⚠"&amp;TRIM(I209&amp;""))</f>
        <v/>
      </c>
      <c r="R209" s="10">
        <f>IFERROR(IF(TRIM(J209&amp;"")="","",IF(AND(ISNUMBER(FIND(" ",TRIM(J209&amp;""))),ISNUMBER(MATCH(LEFT(TRIM(J209&amp;""),FIND(" ",TRIM(J209&amp;""))-1),설정_코드표!$J$2:$J$101,0)),ISNUMBER(MATCH(TRIM(RIGHT(SUBSTITUTE(TRIM(J209&amp;"")," ",REPT(" ",60)),60)),설정_코드표!$F$2:$F$101,0))),INDEX(설정_코드표!$K$2:$K$101,MATCH(LEFT(TRIM(J209&amp;""),FIND(" ",TRIM(J209&amp;""))-1),설정_코드표!$J$2:$J$101,0))&amp;" "&amp;INDEX(설정_코드표!$G$2:$G$101,MATCH(TRIM(RIGHT(SUBSTITUTE(TRIM(J209&amp;"")," ",REPT(" ",60)),60)),설정_코드표!$F$2:$F$101,0)),"⚠"&amp;TRIM(J209&amp;""))),"⚠"&amp;TRIM(J209&amp;""))</f>
        <v/>
      </c>
      <c r="S209" s="11">
        <f>IF(K209="","",IFERROR(IF(AND(ROUND((VALUE(K209&amp;"")-INT(VALUE(K209&amp;"")))*100,0)&gt;=1,ROUND((VALUE(K209&amp;"")-INT(VALUE(K209&amp;"")))*100,0)&lt;=12,INT(VALUE(K209&amp;""))&gt;=1900),DATE(INT(VALUE(K209&amp;"")),ROUND((VALUE(K209&amp;"")-INT(VALUE(K209&amp;"")))*100,0),1),K209&amp;""),K209&amp;""))</f>
        <v/>
      </c>
      <c r="T209" s="10">
        <f>COUNTIF(M209:R209,"⚠*")</f>
        <v/>
      </c>
    </row>
    <row r="210"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M210" s="10">
        <f>IFERROR(IF(TRIM(E210&amp;"")="","",IF(AND(ISNUMBER(FIND(" ",TRIM(E210&amp;""))),ISNUMBER(MATCH(LEFT(TRIM(E210&amp;""),FIND(" ",TRIM(E210&amp;""))-1),설정_코드표!$J$2:$J$101,0)),ISNUMBER(MATCH(TRIM(RIGHT(SUBSTITUTE(TRIM(E210&amp;"")," ",REPT(" ",60)),60)),설정_코드표!$F$2:$F$101,0))),INDEX(설정_코드표!$K$2:$K$101,MATCH(LEFT(TRIM(E210&amp;""),FIND(" ",TRIM(E210&amp;""))-1),설정_코드표!$J$2:$J$101,0))&amp;" "&amp;INDEX(설정_코드표!$G$2:$G$101,MATCH(TRIM(RIGHT(SUBSTITUTE(TRIM(E210&amp;"")," ",REPT(" ",60)),60)),설정_코드표!$F$2:$F$101,0)),"⚠"&amp;TRIM(E210&amp;""))),"⚠"&amp;TRIM(E210&amp;""))</f>
        <v/>
      </c>
      <c r="N210" s="10">
        <f>IFERROR(IF(TRIM(F210&amp;"")="","",IF(AND(ISNUMBER(FIND(" ",TRIM(F210&amp;""))),ISNUMBER(MATCH(LEFT(TRIM(F210&amp;""),FIND(" ",TRIM(F210&amp;""))-1),설정_코드표!$J$2:$J$101,0)),ISNUMBER(MATCH(TRIM(RIGHT(SUBSTITUTE(TRIM(F210&amp;"")," ",REPT(" ",60)),60)),설정_코드표!$F$2:$F$101,0))),INDEX(설정_코드표!$K$2:$K$101,MATCH(LEFT(TRIM(F210&amp;""),FIND(" ",TRIM(F210&amp;""))-1),설정_코드표!$J$2:$J$101,0))&amp;" "&amp;INDEX(설정_코드표!$G$2:$G$101,MATCH(TRIM(RIGHT(SUBSTITUTE(TRIM(F210&amp;"")," ",REPT(" ",60)),60)),설정_코드표!$F$2:$F$101,0)),"⚠"&amp;TRIM(F210&amp;""))),"⚠"&amp;TRIM(F210&amp;""))</f>
        <v/>
      </c>
      <c r="O210" s="10">
        <f>IFERROR(IF(TRIM(G210&amp;"")="","",IF(AND(ISNUMBER(FIND(" ",TRIM(G210&amp;""))),ISNUMBER(MATCH(LEFT(TRIM(G210&amp;""),FIND(" ",TRIM(G210&amp;""))-1),설정_코드표!$J$2:$J$101,0)),ISNUMBER(MATCH(TRIM(RIGHT(SUBSTITUTE(TRIM(G210&amp;"")," ",REPT(" ",60)),60)),설정_코드표!$F$2:$F$101,0))),INDEX(설정_코드표!$K$2:$K$101,MATCH(LEFT(TRIM(G210&amp;""),FIND(" ",TRIM(G210&amp;""))-1),설정_코드표!$J$2:$J$101,0))&amp;" "&amp;INDEX(설정_코드표!$G$2:$G$101,MATCH(TRIM(RIGHT(SUBSTITUTE(TRIM(G210&amp;"")," ",REPT(" ",60)),60)),설정_코드표!$F$2:$F$101,0)),"⚠"&amp;TRIM(G210&amp;""))),"⚠"&amp;TRIM(G210&amp;""))</f>
        <v/>
      </c>
      <c r="P210" s="10">
        <f>IFERROR(IF(TRIM(H210&amp;"")="","",IF(AND(ISNUMBER(FIND(" ",TRIM(H210&amp;""))),ISNUMBER(MATCH(LEFT(TRIM(H210&amp;""),FIND(" ",TRIM(H210&amp;""))-1),설정_코드표!$J$2:$J$101,0)),ISNUMBER(MATCH(TRIM(RIGHT(SUBSTITUTE(TRIM(H210&amp;"")," ",REPT(" ",60)),60)),설정_코드표!$F$2:$F$101,0))),INDEX(설정_코드표!$K$2:$K$101,MATCH(LEFT(TRIM(H210&amp;""),FIND(" ",TRIM(H210&amp;""))-1),설정_코드표!$J$2:$J$101,0))&amp;" "&amp;INDEX(설정_코드표!$G$2:$G$101,MATCH(TRIM(RIGHT(SUBSTITUTE(TRIM(H210&amp;"")," ",REPT(" ",60)),60)),설정_코드표!$F$2:$F$101,0)),"⚠"&amp;TRIM(H210&amp;""))),"⚠"&amp;TRIM(H210&amp;""))</f>
        <v/>
      </c>
      <c r="Q210" s="10">
        <f>IFERROR(IF(TRIM(I210&amp;"")="","",IF(AND(ISNUMBER(FIND(" ",TRIM(I210&amp;""))),ISNUMBER(MATCH(LEFT(TRIM(I210&amp;""),FIND(" ",TRIM(I210&amp;""))-1),설정_코드표!$J$2:$J$101,0)),ISNUMBER(MATCH(TRIM(RIGHT(SUBSTITUTE(TRIM(I210&amp;"")," ",REPT(" ",60)),60)),설정_코드표!$F$2:$F$101,0))),INDEX(설정_코드표!$K$2:$K$101,MATCH(LEFT(TRIM(I210&amp;""),FIND(" ",TRIM(I210&amp;""))-1),설정_코드표!$J$2:$J$101,0))&amp;" "&amp;INDEX(설정_코드표!$G$2:$G$101,MATCH(TRIM(RIGHT(SUBSTITUTE(TRIM(I210&amp;"")," ",REPT(" ",60)),60)),설정_코드표!$F$2:$F$101,0)),"⚠"&amp;TRIM(I210&amp;""))),"⚠"&amp;TRIM(I210&amp;""))</f>
        <v/>
      </c>
      <c r="R210" s="10">
        <f>IFERROR(IF(TRIM(J210&amp;"")="","",IF(AND(ISNUMBER(FIND(" ",TRIM(J210&amp;""))),ISNUMBER(MATCH(LEFT(TRIM(J210&amp;""),FIND(" ",TRIM(J210&amp;""))-1),설정_코드표!$J$2:$J$101,0)),ISNUMBER(MATCH(TRIM(RIGHT(SUBSTITUTE(TRIM(J210&amp;"")," ",REPT(" ",60)),60)),설정_코드표!$F$2:$F$101,0))),INDEX(설정_코드표!$K$2:$K$101,MATCH(LEFT(TRIM(J210&amp;""),FIND(" ",TRIM(J210&amp;""))-1),설정_코드표!$J$2:$J$101,0))&amp;" "&amp;INDEX(설정_코드표!$G$2:$G$101,MATCH(TRIM(RIGHT(SUBSTITUTE(TRIM(J210&amp;"")," ",REPT(" ",60)),60)),설정_코드표!$F$2:$F$101,0)),"⚠"&amp;TRIM(J210&amp;""))),"⚠"&amp;TRIM(J210&amp;""))</f>
        <v/>
      </c>
      <c r="S210" s="11">
        <f>IF(K210="","",IFERROR(IF(AND(ROUND((VALUE(K210&amp;"")-INT(VALUE(K210&amp;"")))*100,0)&gt;=1,ROUND((VALUE(K210&amp;"")-INT(VALUE(K210&amp;"")))*100,0)&lt;=12,INT(VALUE(K210&amp;""))&gt;=1900),DATE(INT(VALUE(K210&amp;"")),ROUND((VALUE(K210&amp;"")-INT(VALUE(K210&amp;"")))*100,0),1),K210&amp;""),K210&amp;""))</f>
        <v/>
      </c>
      <c r="T210" s="10">
        <f>COUNTIF(M210:R210,"⚠*")</f>
        <v/>
      </c>
    </row>
    <row r="211"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M211" s="10">
        <f>IFERROR(IF(TRIM(E211&amp;"")="","",IF(AND(ISNUMBER(FIND(" ",TRIM(E211&amp;""))),ISNUMBER(MATCH(LEFT(TRIM(E211&amp;""),FIND(" ",TRIM(E211&amp;""))-1),설정_코드표!$J$2:$J$101,0)),ISNUMBER(MATCH(TRIM(RIGHT(SUBSTITUTE(TRIM(E211&amp;"")," ",REPT(" ",60)),60)),설정_코드표!$F$2:$F$101,0))),INDEX(설정_코드표!$K$2:$K$101,MATCH(LEFT(TRIM(E211&amp;""),FIND(" ",TRIM(E211&amp;""))-1),설정_코드표!$J$2:$J$101,0))&amp;" "&amp;INDEX(설정_코드표!$G$2:$G$101,MATCH(TRIM(RIGHT(SUBSTITUTE(TRIM(E211&amp;"")," ",REPT(" ",60)),60)),설정_코드표!$F$2:$F$101,0)),"⚠"&amp;TRIM(E211&amp;""))),"⚠"&amp;TRIM(E211&amp;""))</f>
        <v/>
      </c>
      <c r="N211" s="10">
        <f>IFERROR(IF(TRIM(F211&amp;"")="","",IF(AND(ISNUMBER(FIND(" ",TRIM(F211&amp;""))),ISNUMBER(MATCH(LEFT(TRIM(F211&amp;""),FIND(" ",TRIM(F211&amp;""))-1),설정_코드표!$J$2:$J$101,0)),ISNUMBER(MATCH(TRIM(RIGHT(SUBSTITUTE(TRIM(F211&amp;"")," ",REPT(" ",60)),60)),설정_코드표!$F$2:$F$101,0))),INDEX(설정_코드표!$K$2:$K$101,MATCH(LEFT(TRIM(F211&amp;""),FIND(" ",TRIM(F211&amp;""))-1),설정_코드표!$J$2:$J$101,0))&amp;" "&amp;INDEX(설정_코드표!$G$2:$G$101,MATCH(TRIM(RIGHT(SUBSTITUTE(TRIM(F211&amp;"")," ",REPT(" ",60)),60)),설정_코드표!$F$2:$F$101,0)),"⚠"&amp;TRIM(F211&amp;""))),"⚠"&amp;TRIM(F211&amp;""))</f>
        <v/>
      </c>
      <c r="O211" s="10">
        <f>IFERROR(IF(TRIM(G211&amp;"")="","",IF(AND(ISNUMBER(FIND(" ",TRIM(G211&amp;""))),ISNUMBER(MATCH(LEFT(TRIM(G211&amp;""),FIND(" ",TRIM(G211&amp;""))-1),설정_코드표!$J$2:$J$101,0)),ISNUMBER(MATCH(TRIM(RIGHT(SUBSTITUTE(TRIM(G211&amp;"")," ",REPT(" ",60)),60)),설정_코드표!$F$2:$F$101,0))),INDEX(설정_코드표!$K$2:$K$101,MATCH(LEFT(TRIM(G211&amp;""),FIND(" ",TRIM(G211&amp;""))-1),설정_코드표!$J$2:$J$101,0))&amp;" "&amp;INDEX(설정_코드표!$G$2:$G$101,MATCH(TRIM(RIGHT(SUBSTITUTE(TRIM(G211&amp;"")," ",REPT(" ",60)),60)),설정_코드표!$F$2:$F$101,0)),"⚠"&amp;TRIM(G211&amp;""))),"⚠"&amp;TRIM(G211&amp;""))</f>
        <v/>
      </c>
      <c r="P211" s="10">
        <f>IFERROR(IF(TRIM(H211&amp;"")="","",IF(AND(ISNUMBER(FIND(" ",TRIM(H211&amp;""))),ISNUMBER(MATCH(LEFT(TRIM(H211&amp;""),FIND(" ",TRIM(H211&amp;""))-1),설정_코드표!$J$2:$J$101,0)),ISNUMBER(MATCH(TRIM(RIGHT(SUBSTITUTE(TRIM(H211&amp;"")," ",REPT(" ",60)),60)),설정_코드표!$F$2:$F$101,0))),INDEX(설정_코드표!$K$2:$K$101,MATCH(LEFT(TRIM(H211&amp;""),FIND(" ",TRIM(H211&amp;""))-1),설정_코드표!$J$2:$J$101,0))&amp;" "&amp;INDEX(설정_코드표!$G$2:$G$101,MATCH(TRIM(RIGHT(SUBSTITUTE(TRIM(H211&amp;"")," ",REPT(" ",60)),60)),설정_코드표!$F$2:$F$101,0)),"⚠"&amp;TRIM(H211&amp;""))),"⚠"&amp;TRIM(H211&amp;""))</f>
        <v/>
      </c>
      <c r="Q211" s="10">
        <f>IFERROR(IF(TRIM(I211&amp;"")="","",IF(AND(ISNUMBER(FIND(" ",TRIM(I211&amp;""))),ISNUMBER(MATCH(LEFT(TRIM(I211&amp;""),FIND(" ",TRIM(I211&amp;""))-1),설정_코드표!$J$2:$J$101,0)),ISNUMBER(MATCH(TRIM(RIGHT(SUBSTITUTE(TRIM(I211&amp;"")," ",REPT(" ",60)),60)),설정_코드표!$F$2:$F$101,0))),INDEX(설정_코드표!$K$2:$K$101,MATCH(LEFT(TRIM(I211&amp;""),FIND(" ",TRIM(I211&amp;""))-1),설정_코드표!$J$2:$J$101,0))&amp;" "&amp;INDEX(설정_코드표!$G$2:$G$101,MATCH(TRIM(RIGHT(SUBSTITUTE(TRIM(I211&amp;"")," ",REPT(" ",60)),60)),설정_코드표!$F$2:$F$101,0)),"⚠"&amp;TRIM(I211&amp;""))),"⚠"&amp;TRIM(I211&amp;""))</f>
        <v/>
      </c>
      <c r="R211" s="10">
        <f>IFERROR(IF(TRIM(J211&amp;"")="","",IF(AND(ISNUMBER(FIND(" ",TRIM(J211&amp;""))),ISNUMBER(MATCH(LEFT(TRIM(J211&amp;""),FIND(" ",TRIM(J211&amp;""))-1),설정_코드표!$J$2:$J$101,0)),ISNUMBER(MATCH(TRIM(RIGHT(SUBSTITUTE(TRIM(J211&amp;"")," ",REPT(" ",60)),60)),설정_코드표!$F$2:$F$101,0))),INDEX(설정_코드표!$K$2:$K$101,MATCH(LEFT(TRIM(J211&amp;""),FIND(" ",TRIM(J211&amp;""))-1),설정_코드표!$J$2:$J$101,0))&amp;" "&amp;INDEX(설정_코드표!$G$2:$G$101,MATCH(TRIM(RIGHT(SUBSTITUTE(TRIM(J211&amp;"")," ",REPT(" ",60)),60)),설정_코드표!$F$2:$F$101,0)),"⚠"&amp;TRIM(J211&amp;""))),"⚠"&amp;TRIM(J211&amp;""))</f>
        <v/>
      </c>
      <c r="S211" s="11">
        <f>IF(K211="","",IFERROR(IF(AND(ROUND((VALUE(K211&amp;"")-INT(VALUE(K211&amp;"")))*100,0)&gt;=1,ROUND((VALUE(K211&amp;"")-INT(VALUE(K211&amp;"")))*100,0)&lt;=12,INT(VALUE(K211&amp;""))&gt;=1900),DATE(INT(VALUE(K211&amp;"")),ROUND((VALUE(K211&amp;"")-INT(VALUE(K211&amp;"")))*100,0),1),K211&amp;""),K211&amp;""))</f>
        <v/>
      </c>
      <c r="T211" s="10">
        <f>COUNTIF(M211:R211,"⚠*")</f>
        <v/>
      </c>
    </row>
    <row r="212"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M212" s="10">
        <f>IFERROR(IF(TRIM(E212&amp;"")="","",IF(AND(ISNUMBER(FIND(" ",TRIM(E212&amp;""))),ISNUMBER(MATCH(LEFT(TRIM(E212&amp;""),FIND(" ",TRIM(E212&amp;""))-1),설정_코드표!$J$2:$J$101,0)),ISNUMBER(MATCH(TRIM(RIGHT(SUBSTITUTE(TRIM(E212&amp;"")," ",REPT(" ",60)),60)),설정_코드표!$F$2:$F$101,0))),INDEX(설정_코드표!$K$2:$K$101,MATCH(LEFT(TRIM(E212&amp;""),FIND(" ",TRIM(E212&amp;""))-1),설정_코드표!$J$2:$J$101,0))&amp;" "&amp;INDEX(설정_코드표!$G$2:$G$101,MATCH(TRIM(RIGHT(SUBSTITUTE(TRIM(E212&amp;"")," ",REPT(" ",60)),60)),설정_코드표!$F$2:$F$101,0)),"⚠"&amp;TRIM(E212&amp;""))),"⚠"&amp;TRIM(E212&amp;""))</f>
        <v/>
      </c>
      <c r="N212" s="10">
        <f>IFERROR(IF(TRIM(F212&amp;"")="","",IF(AND(ISNUMBER(FIND(" ",TRIM(F212&amp;""))),ISNUMBER(MATCH(LEFT(TRIM(F212&amp;""),FIND(" ",TRIM(F212&amp;""))-1),설정_코드표!$J$2:$J$101,0)),ISNUMBER(MATCH(TRIM(RIGHT(SUBSTITUTE(TRIM(F212&amp;"")," ",REPT(" ",60)),60)),설정_코드표!$F$2:$F$101,0))),INDEX(설정_코드표!$K$2:$K$101,MATCH(LEFT(TRIM(F212&amp;""),FIND(" ",TRIM(F212&amp;""))-1),설정_코드표!$J$2:$J$101,0))&amp;" "&amp;INDEX(설정_코드표!$G$2:$G$101,MATCH(TRIM(RIGHT(SUBSTITUTE(TRIM(F212&amp;"")," ",REPT(" ",60)),60)),설정_코드표!$F$2:$F$101,0)),"⚠"&amp;TRIM(F212&amp;""))),"⚠"&amp;TRIM(F212&amp;""))</f>
        <v/>
      </c>
      <c r="O212" s="10">
        <f>IFERROR(IF(TRIM(G212&amp;"")="","",IF(AND(ISNUMBER(FIND(" ",TRIM(G212&amp;""))),ISNUMBER(MATCH(LEFT(TRIM(G212&amp;""),FIND(" ",TRIM(G212&amp;""))-1),설정_코드표!$J$2:$J$101,0)),ISNUMBER(MATCH(TRIM(RIGHT(SUBSTITUTE(TRIM(G212&amp;"")," ",REPT(" ",60)),60)),설정_코드표!$F$2:$F$101,0))),INDEX(설정_코드표!$K$2:$K$101,MATCH(LEFT(TRIM(G212&amp;""),FIND(" ",TRIM(G212&amp;""))-1),설정_코드표!$J$2:$J$101,0))&amp;" "&amp;INDEX(설정_코드표!$G$2:$G$101,MATCH(TRIM(RIGHT(SUBSTITUTE(TRIM(G212&amp;"")," ",REPT(" ",60)),60)),설정_코드표!$F$2:$F$101,0)),"⚠"&amp;TRIM(G212&amp;""))),"⚠"&amp;TRIM(G212&amp;""))</f>
        <v/>
      </c>
      <c r="P212" s="10">
        <f>IFERROR(IF(TRIM(H212&amp;"")="","",IF(AND(ISNUMBER(FIND(" ",TRIM(H212&amp;""))),ISNUMBER(MATCH(LEFT(TRIM(H212&amp;""),FIND(" ",TRIM(H212&amp;""))-1),설정_코드표!$J$2:$J$101,0)),ISNUMBER(MATCH(TRIM(RIGHT(SUBSTITUTE(TRIM(H212&amp;"")," ",REPT(" ",60)),60)),설정_코드표!$F$2:$F$101,0))),INDEX(설정_코드표!$K$2:$K$101,MATCH(LEFT(TRIM(H212&amp;""),FIND(" ",TRIM(H212&amp;""))-1),설정_코드표!$J$2:$J$101,0))&amp;" "&amp;INDEX(설정_코드표!$G$2:$G$101,MATCH(TRIM(RIGHT(SUBSTITUTE(TRIM(H212&amp;"")," ",REPT(" ",60)),60)),설정_코드표!$F$2:$F$101,0)),"⚠"&amp;TRIM(H212&amp;""))),"⚠"&amp;TRIM(H212&amp;""))</f>
        <v/>
      </c>
      <c r="Q212" s="10">
        <f>IFERROR(IF(TRIM(I212&amp;"")="","",IF(AND(ISNUMBER(FIND(" ",TRIM(I212&amp;""))),ISNUMBER(MATCH(LEFT(TRIM(I212&amp;""),FIND(" ",TRIM(I212&amp;""))-1),설정_코드표!$J$2:$J$101,0)),ISNUMBER(MATCH(TRIM(RIGHT(SUBSTITUTE(TRIM(I212&amp;"")," ",REPT(" ",60)),60)),설정_코드표!$F$2:$F$101,0))),INDEX(설정_코드표!$K$2:$K$101,MATCH(LEFT(TRIM(I212&amp;""),FIND(" ",TRIM(I212&amp;""))-1),설정_코드표!$J$2:$J$101,0))&amp;" "&amp;INDEX(설정_코드표!$G$2:$G$101,MATCH(TRIM(RIGHT(SUBSTITUTE(TRIM(I212&amp;"")," ",REPT(" ",60)),60)),설정_코드표!$F$2:$F$101,0)),"⚠"&amp;TRIM(I212&amp;""))),"⚠"&amp;TRIM(I212&amp;""))</f>
        <v/>
      </c>
      <c r="R212" s="10">
        <f>IFERROR(IF(TRIM(J212&amp;"")="","",IF(AND(ISNUMBER(FIND(" ",TRIM(J212&amp;""))),ISNUMBER(MATCH(LEFT(TRIM(J212&amp;""),FIND(" ",TRIM(J212&amp;""))-1),설정_코드표!$J$2:$J$101,0)),ISNUMBER(MATCH(TRIM(RIGHT(SUBSTITUTE(TRIM(J212&amp;"")," ",REPT(" ",60)),60)),설정_코드표!$F$2:$F$101,0))),INDEX(설정_코드표!$K$2:$K$101,MATCH(LEFT(TRIM(J212&amp;""),FIND(" ",TRIM(J212&amp;""))-1),설정_코드표!$J$2:$J$101,0))&amp;" "&amp;INDEX(설정_코드표!$G$2:$G$101,MATCH(TRIM(RIGHT(SUBSTITUTE(TRIM(J212&amp;"")," ",REPT(" ",60)),60)),설정_코드표!$F$2:$F$101,0)),"⚠"&amp;TRIM(J212&amp;""))),"⚠"&amp;TRIM(J212&amp;""))</f>
        <v/>
      </c>
      <c r="S212" s="11">
        <f>IF(K212="","",IFERROR(IF(AND(ROUND((VALUE(K212&amp;"")-INT(VALUE(K212&amp;"")))*100,0)&gt;=1,ROUND((VALUE(K212&amp;"")-INT(VALUE(K212&amp;"")))*100,0)&lt;=12,INT(VALUE(K212&amp;""))&gt;=1900),DATE(INT(VALUE(K212&amp;"")),ROUND((VALUE(K212&amp;"")-INT(VALUE(K212&amp;"")))*100,0),1),K212&amp;""),K212&amp;""))</f>
        <v/>
      </c>
      <c r="T212" s="10">
        <f>COUNTIF(M212:R212,"⚠*")</f>
        <v/>
      </c>
    </row>
    <row r="213"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M213" s="10">
        <f>IFERROR(IF(TRIM(E213&amp;"")="","",IF(AND(ISNUMBER(FIND(" ",TRIM(E213&amp;""))),ISNUMBER(MATCH(LEFT(TRIM(E213&amp;""),FIND(" ",TRIM(E213&amp;""))-1),설정_코드표!$J$2:$J$101,0)),ISNUMBER(MATCH(TRIM(RIGHT(SUBSTITUTE(TRIM(E213&amp;"")," ",REPT(" ",60)),60)),설정_코드표!$F$2:$F$101,0))),INDEX(설정_코드표!$K$2:$K$101,MATCH(LEFT(TRIM(E213&amp;""),FIND(" ",TRIM(E213&amp;""))-1),설정_코드표!$J$2:$J$101,0))&amp;" "&amp;INDEX(설정_코드표!$G$2:$G$101,MATCH(TRIM(RIGHT(SUBSTITUTE(TRIM(E213&amp;"")," ",REPT(" ",60)),60)),설정_코드표!$F$2:$F$101,0)),"⚠"&amp;TRIM(E213&amp;""))),"⚠"&amp;TRIM(E213&amp;""))</f>
        <v/>
      </c>
      <c r="N213" s="10">
        <f>IFERROR(IF(TRIM(F213&amp;"")="","",IF(AND(ISNUMBER(FIND(" ",TRIM(F213&amp;""))),ISNUMBER(MATCH(LEFT(TRIM(F213&amp;""),FIND(" ",TRIM(F213&amp;""))-1),설정_코드표!$J$2:$J$101,0)),ISNUMBER(MATCH(TRIM(RIGHT(SUBSTITUTE(TRIM(F213&amp;"")," ",REPT(" ",60)),60)),설정_코드표!$F$2:$F$101,0))),INDEX(설정_코드표!$K$2:$K$101,MATCH(LEFT(TRIM(F213&amp;""),FIND(" ",TRIM(F213&amp;""))-1),설정_코드표!$J$2:$J$101,0))&amp;" "&amp;INDEX(설정_코드표!$G$2:$G$101,MATCH(TRIM(RIGHT(SUBSTITUTE(TRIM(F213&amp;"")," ",REPT(" ",60)),60)),설정_코드표!$F$2:$F$101,0)),"⚠"&amp;TRIM(F213&amp;""))),"⚠"&amp;TRIM(F213&amp;""))</f>
        <v/>
      </c>
      <c r="O213" s="10">
        <f>IFERROR(IF(TRIM(G213&amp;"")="","",IF(AND(ISNUMBER(FIND(" ",TRIM(G213&amp;""))),ISNUMBER(MATCH(LEFT(TRIM(G213&amp;""),FIND(" ",TRIM(G213&amp;""))-1),설정_코드표!$J$2:$J$101,0)),ISNUMBER(MATCH(TRIM(RIGHT(SUBSTITUTE(TRIM(G213&amp;"")," ",REPT(" ",60)),60)),설정_코드표!$F$2:$F$101,0))),INDEX(설정_코드표!$K$2:$K$101,MATCH(LEFT(TRIM(G213&amp;""),FIND(" ",TRIM(G213&amp;""))-1),설정_코드표!$J$2:$J$101,0))&amp;" "&amp;INDEX(설정_코드표!$G$2:$G$101,MATCH(TRIM(RIGHT(SUBSTITUTE(TRIM(G213&amp;"")," ",REPT(" ",60)),60)),설정_코드표!$F$2:$F$101,0)),"⚠"&amp;TRIM(G213&amp;""))),"⚠"&amp;TRIM(G213&amp;""))</f>
        <v/>
      </c>
      <c r="P213" s="10">
        <f>IFERROR(IF(TRIM(H213&amp;"")="","",IF(AND(ISNUMBER(FIND(" ",TRIM(H213&amp;""))),ISNUMBER(MATCH(LEFT(TRIM(H213&amp;""),FIND(" ",TRIM(H213&amp;""))-1),설정_코드표!$J$2:$J$101,0)),ISNUMBER(MATCH(TRIM(RIGHT(SUBSTITUTE(TRIM(H213&amp;"")," ",REPT(" ",60)),60)),설정_코드표!$F$2:$F$101,0))),INDEX(설정_코드표!$K$2:$K$101,MATCH(LEFT(TRIM(H213&amp;""),FIND(" ",TRIM(H213&amp;""))-1),설정_코드표!$J$2:$J$101,0))&amp;" "&amp;INDEX(설정_코드표!$G$2:$G$101,MATCH(TRIM(RIGHT(SUBSTITUTE(TRIM(H213&amp;"")," ",REPT(" ",60)),60)),설정_코드표!$F$2:$F$101,0)),"⚠"&amp;TRIM(H213&amp;""))),"⚠"&amp;TRIM(H213&amp;""))</f>
        <v/>
      </c>
      <c r="Q213" s="10">
        <f>IFERROR(IF(TRIM(I213&amp;"")="","",IF(AND(ISNUMBER(FIND(" ",TRIM(I213&amp;""))),ISNUMBER(MATCH(LEFT(TRIM(I213&amp;""),FIND(" ",TRIM(I213&amp;""))-1),설정_코드표!$J$2:$J$101,0)),ISNUMBER(MATCH(TRIM(RIGHT(SUBSTITUTE(TRIM(I213&amp;"")," ",REPT(" ",60)),60)),설정_코드표!$F$2:$F$101,0))),INDEX(설정_코드표!$K$2:$K$101,MATCH(LEFT(TRIM(I213&amp;""),FIND(" ",TRIM(I213&amp;""))-1),설정_코드표!$J$2:$J$101,0))&amp;" "&amp;INDEX(설정_코드표!$G$2:$G$101,MATCH(TRIM(RIGHT(SUBSTITUTE(TRIM(I213&amp;"")," ",REPT(" ",60)),60)),설정_코드표!$F$2:$F$101,0)),"⚠"&amp;TRIM(I213&amp;""))),"⚠"&amp;TRIM(I213&amp;""))</f>
        <v/>
      </c>
      <c r="R213" s="10">
        <f>IFERROR(IF(TRIM(J213&amp;"")="","",IF(AND(ISNUMBER(FIND(" ",TRIM(J213&amp;""))),ISNUMBER(MATCH(LEFT(TRIM(J213&amp;""),FIND(" ",TRIM(J213&amp;""))-1),설정_코드표!$J$2:$J$101,0)),ISNUMBER(MATCH(TRIM(RIGHT(SUBSTITUTE(TRIM(J213&amp;"")," ",REPT(" ",60)),60)),설정_코드표!$F$2:$F$101,0))),INDEX(설정_코드표!$K$2:$K$101,MATCH(LEFT(TRIM(J213&amp;""),FIND(" ",TRIM(J213&amp;""))-1),설정_코드표!$J$2:$J$101,0))&amp;" "&amp;INDEX(설정_코드표!$G$2:$G$101,MATCH(TRIM(RIGHT(SUBSTITUTE(TRIM(J213&amp;"")," ",REPT(" ",60)),60)),설정_코드표!$F$2:$F$101,0)),"⚠"&amp;TRIM(J213&amp;""))),"⚠"&amp;TRIM(J213&amp;""))</f>
        <v/>
      </c>
      <c r="S213" s="11">
        <f>IF(K213="","",IFERROR(IF(AND(ROUND((VALUE(K213&amp;"")-INT(VALUE(K213&amp;"")))*100,0)&gt;=1,ROUND((VALUE(K213&amp;"")-INT(VALUE(K213&amp;"")))*100,0)&lt;=12,INT(VALUE(K213&amp;""))&gt;=1900),DATE(INT(VALUE(K213&amp;"")),ROUND((VALUE(K213&amp;"")-INT(VALUE(K213&amp;"")))*100,0),1),K213&amp;""),K213&amp;""))</f>
        <v/>
      </c>
      <c r="T213" s="10">
        <f>COUNTIF(M213:R213,"⚠*")</f>
        <v/>
      </c>
    </row>
    <row r="214"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M214" s="10">
        <f>IFERROR(IF(TRIM(E214&amp;"")="","",IF(AND(ISNUMBER(FIND(" ",TRIM(E214&amp;""))),ISNUMBER(MATCH(LEFT(TRIM(E214&amp;""),FIND(" ",TRIM(E214&amp;""))-1),설정_코드표!$J$2:$J$101,0)),ISNUMBER(MATCH(TRIM(RIGHT(SUBSTITUTE(TRIM(E214&amp;"")," ",REPT(" ",60)),60)),설정_코드표!$F$2:$F$101,0))),INDEX(설정_코드표!$K$2:$K$101,MATCH(LEFT(TRIM(E214&amp;""),FIND(" ",TRIM(E214&amp;""))-1),설정_코드표!$J$2:$J$101,0))&amp;" "&amp;INDEX(설정_코드표!$G$2:$G$101,MATCH(TRIM(RIGHT(SUBSTITUTE(TRIM(E214&amp;"")," ",REPT(" ",60)),60)),설정_코드표!$F$2:$F$101,0)),"⚠"&amp;TRIM(E214&amp;""))),"⚠"&amp;TRIM(E214&amp;""))</f>
        <v/>
      </c>
      <c r="N214" s="10">
        <f>IFERROR(IF(TRIM(F214&amp;"")="","",IF(AND(ISNUMBER(FIND(" ",TRIM(F214&amp;""))),ISNUMBER(MATCH(LEFT(TRIM(F214&amp;""),FIND(" ",TRIM(F214&amp;""))-1),설정_코드표!$J$2:$J$101,0)),ISNUMBER(MATCH(TRIM(RIGHT(SUBSTITUTE(TRIM(F214&amp;"")," ",REPT(" ",60)),60)),설정_코드표!$F$2:$F$101,0))),INDEX(설정_코드표!$K$2:$K$101,MATCH(LEFT(TRIM(F214&amp;""),FIND(" ",TRIM(F214&amp;""))-1),설정_코드표!$J$2:$J$101,0))&amp;" "&amp;INDEX(설정_코드표!$G$2:$G$101,MATCH(TRIM(RIGHT(SUBSTITUTE(TRIM(F214&amp;"")," ",REPT(" ",60)),60)),설정_코드표!$F$2:$F$101,0)),"⚠"&amp;TRIM(F214&amp;""))),"⚠"&amp;TRIM(F214&amp;""))</f>
        <v/>
      </c>
      <c r="O214" s="10">
        <f>IFERROR(IF(TRIM(G214&amp;"")="","",IF(AND(ISNUMBER(FIND(" ",TRIM(G214&amp;""))),ISNUMBER(MATCH(LEFT(TRIM(G214&amp;""),FIND(" ",TRIM(G214&amp;""))-1),설정_코드표!$J$2:$J$101,0)),ISNUMBER(MATCH(TRIM(RIGHT(SUBSTITUTE(TRIM(G214&amp;"")," ",REPT(" ",60)),60)),설정_코드표!$F$2:$F$101,0))),INDEX(설정_코드표!$K$2:$K$101,MATCH(LEFT(TRIM(G214&amp;""),FIND(" ",TRIM(G214&amp;""))-1),설정_코드표!$J$2:$J$101,0))&amp;" "&amp;INDEX(설정_코드표!$G$2:$G$101,MATCH(TRIM(RIGHT(SUBSTITUTE(TRIM(G214&amp;"")," ",REPT(" ",60)),60)),설정_코드표!$F$2:$F$101,0)),"⚠"&amp;TRIM(G214&amp;""))),"⚠"&amp;TRIM(G214&amp;""))</f>
        <v/>
      </c>
      <c r="P214" s="10">
        <f>IFERROR(IF(TRIM(H214&amp;"")="","",IF(AND(ISNUMBER(FIND(" ",TRIM(H214&amp;""))),ISNUMBER(MATCH(LEFT(TRIM(H214&amp;""),FIND(" ",TRIM(H214&amp;""))-1),설정_코드표!$J$2:$J$101,0)),ISNUMBER(MATCH(TRIM(RIGHT(SUBSTITUTE(TRIM(H214&amp;"")," ",REPT(" ",60)),60)),설정_코드표!$F$2:$F$101,0))),INDEX(설정_코드표!$K$2:$K$101,MATCH(LEFT(TRIM(H214&amp;""),FIND(" ",TRIM(H214&amp;""))-1),설정_코드표!$J$2:$J$101,0))&amp;" "&amp;INDEX(설정_코드표!$G$2:$G$101,MATCH(TRIM(RIGHT(SUBSTITUTE(TRIM(H214&amp;"")," ",REPT(" ",60)),60)),설정_코드표!$F$2:$F$101,0)),"⚠"&amp;TRIM(H214&amp;""))),"⚠"&amp;TRIM(H214&amp;""))</f>
        <v/>
      </c>
      <c r="Q214" s="10">
        <f>IFERROR(IF(TRIM(I214&amp;"")="","",IF(AND(ISNUMBER(FIND(" ",TRIM(I214&amp;""))),ISNUMBER(MATCH(LEFT(TRIM(I214&amp;""),FIND(" ",TRIM(I214&amp;""))-1),설정_코드표!$J$2:$J$101,0)),ISNUMBER(MATCH(TRIM(RIGHT(SUBSTITUTE(TRIM(I214&amp;"")," ",REPT(" ",60)),60)),설정_코드표!$F$2:$F$101,0))),INDEX(설정_코드표!$K$2:$K$101,MATCH(LEFT(TRIM(I214&amp;""),FIND(" ",TRIM(I214&amp;""))-1),설정_코드표!$J$2:$J$101,0))&amp;" "&amp;INDEX(설정_코드표!$G$2:$G$101,MATCH(TRIM(RIGHT(SUBSTITUTE(TRIM(I214&amp;"")," ",REPT(" ",60)),60)),설정_코드표!$F$2:$F$101,0)),"⚠"&amp;TRIM(I214&amp;""))),"⚠"&amp;TRIM(I214&amp;""))</f>
        <v/>
      </c>
      <c r="R214" s="10">
        <f>IFERROR(IF(TRIM(J214&amp;"")="","",IF(AND(ISNUMBER(FIND(" ",TRIM(J214&amp;""))),ISNUMBER(MATCH(LEFT(TRIM(J214&amp;""),FIND(" ",TRIM(J214&amp;""))-1),설정_코드표!$J$2:$J$101,0)),ISNUMBER(MATCH(TRIM(RIGHT(SUBSTITUTE(TRIM(J214&amp;"")," ",REPT(" ",60)),60)),설정_코드표!$F$2:$F$101,0))),INDEX(설정_코드표!$K$2:$K$101,MATCH(LEFT(TRIM(J214&amp;""),FIND(" ",TRIM(J214&amp;""))-1),설정_코드표!$J$2:$J$101,0))&amp;" "&amp;INDEX(설정_코드표!$G$2:$G$101,MATCH(TRIM(RIGHT(SUBSTITUTE(TRIM(J214&amp;"")," ",REPT(" ",60)),60)),설정_코드표!$F$2:$F$101,0)),"⚠"&amp;TRIM(J214&amp;""))),"⚠"&amp;TRIM(J214&amp;""))</f>
        <v/>
      </c>
      <c r="S214" s="11">
        <f>IF(K214="","",IFERROR(IF(AND(ROUND((VALUE(K214&amp;"")-INT(VALUE(K214&amp;"")))*100,0)&gt;=1,ROUND((VALUE(K214&amp;"")-INT(VALUE(K214&amp;"")))*100,0)&lt;=12,INT(VALUE(K214&amp;""))&gt;=1900),DATE(INT(VALUE(K214&amp;"")),ROUND((VALUE(K214&amp;"")-INT(VALUE(K214&amp;"")))*100,0),1),K214&amp;""),K214&amp;""))</f>
        <v/>
      </c>
      <c r="T214" s="10">
        <f>COUNTIF(M214:R214,"⚠*")</f>
        <v/>
      </c>
    </row>
    <row r="215"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M215" s="10">
        <f>IFERROR(IF(TRIM(E215&amp;"")="","",IF(AND(ISNUMBER(FIND(" ",TRIM(E215&amp;""))),ISNUMBER(MATCH(LEFT(TRIM(E215&amp;""),FIND(" ",TRIM(E215&amp;""))-1),설정_코드표!$J$2:$J$101,0)),ISNUMBER(MATCH(TRIM(RIGHT(SUBSTITUTE(TRIM(E215&amp;"")," ",REPT(" ",60)),60)),설정_코드표!$F$2:$F$101,0))),INDEX(설정_코드표!$K$2:$K$101,MATCH(LEFT(TRIM(E215&amp;""),FIND(" ",TRIM(E215&amp;""))-1),설정_코드표!$J$2:$J$101,0))&amp;" "&amp;INDEX(설정_코드표!$G$2:$G$101,MATCH(TRIM(RIGHT(SUBSTITUTE(TRIM(E215&amp;"")," ",REPT(" ",60)),60)),설정_코드표!$F$2:$F$101,0)),"⚠"&amp;TRIM(E215&amp;""))),"⚠"&amp;TRIM(E215&amp;""))</f>
        <v/>
      </c>
      <c r="N215" s="10">
        <f>IFERROR(IF(TRIM(F215&amp;"")="","",IF(AND(ISNUMBER(FIND(" ",TRIM(F215&amp;""))),ISNUMBER(MATCH(LEFT(TRIM(F215&amp;""),FIND(" ",TRIM(F215&amp;""))-1),설정_코드표!$J$2:$J$101,0)),ISNUMBER(MATCH(TRIM(RIGHT(SUBSTITUTE(TRIM(F215&amp;"")," ",REPT(" ",60)),60)),설정_코드표!$F$2:$F$101,0))),INDEX(설정_코드표!$K$2:$K$101,MATCH(LEFT(TRIM(F215&amp;""),FIND(" ",TRIM(F215&amp;""))-1),설정_코드표!$J$2:$J$101,0))&amp;" "&amp;INDEX(설정_코드표!$G$2:$G$101,MATCH(TRIM(RIGHT(SUBSTITUTE(TRIM(F215&amp;"")," ",REPT(" ",60)),60)),설정_코드표!$F$2:$F$101,0)),"⚠"&amp;TRIM(F215&amp;""))),"⚠"&amp;TRIM(F215&amp;""))</f>
        <v/>
      </c>
      <c r="O215" s="10">
        <f>IFERROR(IF(TRIM(G215&amp;"")="","",IF(AND(ISNUMBER(FIND(" ",TRIM(G215&amp;""))),ISNUMBER(MATCH(LEFT(TRIM(G215&amp;""),FIND(" ",TRIM(G215&amp;""))-1),설정_코드표!$J$2:$J$101,0)),ISNUMBER(MATCH(TRIM(RIGHT(SUBSTITUTE(TRIM(G215&amp;"")," ",REPT(" ",60)),60)),설정_코드표!$F$2:$F$101,0))),INDEX(설정_코드표!$K$2:$K$101,MATCH(LEFT(TRIM(G215&amp;""),FIND(" ",TRIM(G215&amp;""))-1),설정_코드표!$J$2:$J$101,0))&amp;" "&amp;INDEX(설정_코드표!$G$2:$G$101,MATCH(TRIM(RIGHT(SUBSTITUTE(TRIM(G215&amp;"")," ",REPT(" ",60)),60)),설정_코드표!$F$2:$F$101,0)),"⚠"&amp;TRIM(G215&amp;""))),"⚠"&amp;TRIM(G215&amp;""))</f>
        <v/>
      </c>
      <c r="P215" s="10">
        <f>IFERROR(IF(TRIM(H215&amp;"")="","",IF(AND(ISNUMBER(FIND(" ",TRIM(H215&amp;""))),ISNUMBER(MATCH(LEFT(TRIM(H215&amp;""),FIND(" ",TRIM(H215&amp;""))-1),설정_코드표!$J$2:$J$101,0)),ISNUMBER(MATCH(TRIM(RIGHT(SUBSTITUTE(TRIM(H215&amp;"")," ",REPT(" ",60)),60)),설정_코드표!$F$2:$F$101,0))),INDEX(설정_코드표!$K$2:$K$101,MATCH(LEFT(TRIM(H215&amp;""),FIND(" ",TRIM(H215&amp;""))-1),설정_코드표!$J$2:$J$101,0))&amp;" "&amp;INDEX(설정_코드표!$G$2:$G$101,MATCH(TRIM(RIGHT(SUBSTITUTE(TRIM(H215&amp;"")," ",REPT(" ",60)),60)),설정_코드표!$F$2:$F$101,0)),"⚠"&amp;TRIM(H215&amp;""))),"⚠"&amp;TRIM(H215&amp;""))</f>
        <v/>
      </c>
      <c r="Q215" s="10">
        <f>IFERROR(IF(TRIM(I215&amp;"")="","",IF(AND(ISNUMBER(FIND(" ",TRIM(I215&amp;""))),ISNUMBER(MATCH(LEFT(TRIM(I215&amp;""),FIND(" ",TRIM(I215&amp;""))-1),설정_코드표!$J$2:$J$101,0)),ISNUMBER(MATCH(TRIM(RIGHT(SUBSTITUTE(TRIM(I215&amp;"")," ",REPT(" ",60)),60)),설정_코드표!$F$2:$F$101,0))),INDEX(설정_코드표!$K$2:$K$101,MATCH(LEFT(TRIM(I215&amp;""),FIND(" ",TRIM(I215&amp;""))-1),설정_코드표!$J$2:$J$101,0))&amp;" "&amp;INDEX(설정_코드표!$G$2:$G$101,MATCH(TRIM(RIGHT(SUBSTITUTE(TRIM(I215&amp;"")," ",REPT(" ",60)),60)),설정_코드표!$F$2:$F$101,0)),"⚠"&amp;TRIM(I215&amp;""))),"⚠"&amp;TRIM(I215&amp;""))</f>
        <v/>
      </c>
      <c r="R215" s="10">
        <f>IFERROR(IF(TRIM(J215&amp;"")="","",IF(AND(ISNUMBER(FIND(" ",TRIM(J215&amp;""))),ISNUMBER(MATCH(LEFT(TRIM(J215&amp;""),FIND(" ",TRIM(J215&amp;""))-1),설정_코드표!$J$2:$J$101,0)),ISNUMBER(MATCH(TRIM(RIGHT(SUBSTITUTE(TRIM(J215&amp;"")," ",REPT(" ",60)),60)),설정_코드표!$F$2:$F$101,0))),INDEX(설정_코드표!$K$2:$K$101,MATCH(LEFT(TRIM(J215&amp;""),FIND(" ",TRIM(J215&amp;""))-1),설정_코드표!$J$2:$J$101,0))&amp;" "&amp;INDEX(설정_코드표!$G$2:$G$101,MATCH(TRIM(RIGHT(SUBSTITUTE(TRIM(J215&amp;"")," ",REPT(" ",60)),60)),설정_코드표!$F$2:$F$101,0)),"⚠"&amp;TRIM(J215&amp;""))),"⚠"&amp;TRIM(J215&amp;""))</f>
        <v/>
      </c>
      <c r="S215" s="11">
        <f>IF(K215="","",IFERROR(IF(AND(ROUND((VALUE(K215&amp;"")-INT(VALUE(K215&amp;"")))*100,0)&gt;=1,ROUND((VALUE(K215&amp;"")-INT(VALUE(K215&amp;"")))*100,0)&lt;=12,INT(VALUE(K215&amp;""))&gt;=1900),DATE(INT(VALUE(K215&amp;"")),ROUND((VALUE(K215&amp;"")-INT(VALUE(K215&amp;"")))*100,0),1),K215&amp;""),K215&amp;""))</f>
        <v/>
      </c>
      <c r="T215" s="10">
        <f>COUNTIF(M215:R215,"⚠*")</f>
        <v/>
      </c>
    </row>
    <row r="216"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M216" s="10">
        <f>IFERROR(IF(TRIM(E216&amp;"")="","",IF(AND(ISNUMBER(FIND(" ",TRIM(E216&amp;""))),ISNUMBER(MATCH(LEFT(TRIM(E216&amp;""),FIND(" ",TRIM(E216&amp;""))-1),설정_코드표!$J$2:$J$101,0)),ISNUMBER(MATCH(TRIM(RIGHT(SUBSTITUTE(TRIM(E216&amp;"")," ",REPT(" ",60)),60)),설정_코드표!$F$2:$F$101,0))),INDEX(설정_코드표!$K$2:$K$101,MATCH(LEFT(TRIM(E216&amp;""),FIND(" ",TRIM(E216&amp;""))-1),설정_코드표!$J$2:$J$101,0))&amp;" "&amp;INDEX(설정_코드표!$G$2:$G$101,MATCH(TRIM(RIGHT(SUBSTITUTE(TRIM(E216&amp;"")," ",REPT(" ",60)),60)),설정_코드표!$F$2:$F$101,0)),"⚠"&amp;TRIM(E216&amp;""))),"⚠"&amp;TRIM(E216&amp;""))</f>
        <v/>
      </c>
      <c r="N216" s="10">
        <f>IFERROR(IF(TRIM(F216&amp;"")="","",IF(AND(ISNUMBER(FIND(" ",TRIM(F216&amp;""))),ISNUMBER(MATCH(LEFT(TRIM(F216&amp;""),FIND(" ",TRIM(F216&amp;""))-1),설정_코드표!$J$2:$J$101,0)),ISNUMBER(MATCH(TRIM(RIGHT(SUBSTITUTE(TRIM(F216&amp;"")," ",REPT(" ",60)),60)),설정_코드표!$F$2:$F$101,0))),INDEX(설정_코드표!$K$2:$K$101,MATCH(LEFT(TRIM(F216&amp;""),FIND(" ",TRIM(F216&amp;""))-1),설정_코드표!$J$2:$J$101,0))&amp;" "&amp;INDEX(설정_코드표!$G$2:$G$101,MATCH(TRIM(RIGHT(SUBSTITUTE(TRIM(F216&amp;"")," ",REPT(" ",60)),60)),설정_코드표!$F$2:$F$101,0)),"⚠"&amp;TRIM(F216&amp;""))),"⚠"&amp;TRIM(F216&amp;""))</f>
        <v/>
      </c>
      <c r="O216" s="10">
        <f>IFERROR(IF(TRIM(G216&amp;"")="","",IF(AND(ISNUMBER(FIND(" ",TRIM(G216&amp;""))),ISNUMBER(MATCH(LEFT(TRIM(G216&amp;""),FIND(" ",TRIM(G216&amp;""))-1),설정_코드표!$J$2:$J$101,0)),ISNUMBER(MATCH(TRIM(RIGHT(SUBSTITUTE(TRIM(G216&amp;"")," ",REPT(" ",60)),60)),설정_코드표!$F$2:$F$101,0))),INDEX(설정_코드표!$K$2:$K$101,MATCH(LEFT(TRIM(G216&amp;""),FIND(" ",TRIM(G216&amp;""))-1),설정_코드표!$J$2:$J$101,0))&amp;" "&amp;INDEX(설정_코드표!$G$2:$G$101,MATCH(TRIM(RIGHT(SUBSTITUTE(TRIM(G216&amp;"")," ",REPT(" ",60)),60)),설정_코드표!$F$2:$F$101,0)),"⚠"&amp;TRIM(G216&amp;""))),"⚠"&amp;TRIM(G216&amp;""))</f>
        <v/>
      </c>
      <c r="P216" s="10">
        <f>IFERROR(IF(TRIM(H216&amp;"")="","",IF(AND(ISNUMBER(FIND(" ",TRIM(H216&amp;""))),ISNUMBER(MATCH(LEFT(TRIM(H216&amp;""),FIND(" ",TRIM(H216&amp;""))-1),설정_코드표!$J$2:$J$101,0)),ISNUMBER(MATCH(TRIM(RIGHT(SUBSTITUTE(TRIM(H216&amp;"")," ",REPT(" ",60)),60)),설정_코드표!$F$2:$F$101,0))),INDEX(설정_코드표!$K$2:$K$101,MATCH(LEFT(TRIM(H216&amp;""),FIND(" ",TRIM(H216&amp;""))-1),설정_코드표!$J$2:$J$101,0))&amp;" "&amp;INDEX(설정_코드표!$G$2:$G$101,MATCH(TRIM(RIGHT(SUBSTITUTE(TRIM(H216&amp;"")," ",REPT(" ",60)),60)),설정_코드표!$F$2:$F$101,0)),"⚠"&amp;TRIM(H216&amp;""))),"⚠"&amp;TRIM(H216&amp;""))</f>
        <v/>
      </c>
      <c r="Q216" s="10">
        <f>IFERROR(IF(TRIM(I216&amp;"")="","",IF(AND(ISNUMBER(FIND(" ",TRIM(I216&amp;""))),ISNUMBER(MATCH(LEFT(TRIM(I216&amp;""),FIND(" ",TRIM(I216&amp;""))-1),설정_코드표!$J$2:$J$101,0)),ISNUMBER(MATCH(TRIM(RIGHT(SUBSTITUTE(TRIM(I216&amp;"")," ",REPT(" ",60)),60)),설정_코드표!$F$2:$F$101,0))),INDEX(설정_코드표!$K$2:$K$101,MATCH(LEFT(TRIM(I216&amp;""),FIND(" ",TRIM(I216&amp;""))-1),설정_코드표!$J$2:$J$101,0))&amp;" "&amp;INDEX(설정_코드표!$G$2:$G$101,MATCH(TRIM(RIGHT(SUBSTITUTE(TRIM(I216&amp;"")," ",REPT(" ",60)),60)),설정_코드표!$F$2:$F$101,0)),"⚠"&amp;TRIM(I216&amp;""))),"⚠"&amp;TRIM(I216&amp;""))</f>
        <v/>
      </c>
      <c r="R216" s="10">
        <f>IFERROR(IF(TRIM(J216&amp;"")="","",IF(AND(ISNUMBER(FIND(" ",TRIM(J216&amp;""))),ISNUMBER(MATCH(LEFT(TRIM(J216&amp;""),FIND(" ",TRIM(J216&amp;""))-1),설정_코드표!$J$2:$J$101,0)),ISNUMBER(MATCH(TRIM(RIGHT(SUBSTITUTE(TRIM(J216&amp;"")," ",REPT(" ",60)),60)),설정_코드표!$F$2:$F$101,0))),INDEX(설정_코드표!$K$2:$K$101,MATCH(LEFT(TRIM(J216&amp;""),FIND(" ",TRIM(J216&amp;""))-1),설정_코드표!$J$2:$J$101,0))&amp;" "&amp;INDEX(설정_코드표!$G$2:$G$101,MATCH(TRIM(RIGHT(SUBSTITUTE(TRIM(J216&amp;"")," ",REPT(" ",60)),60)),설정_코드표!$F$2:$F$101,0)),"⚠"&amp;TRIM(J216&amp;""))),"⚠"&amp;TRIM(J216&amp;""))</f>
        <v/>
      </c>
      <c r="S216" s="11">
        <f>IF(K216="","",IFERROR(IF(AND(ROUND((VALUE(K216&amp;"")-INT(VALUE(K216&amp;"")))*100,0)&gt;=1,ROUND((VALUE(K216&amp;"")-INT(VALUE(K216&amp;"")))*100,0)&lt;=12,INT(VALUE(K216&amp;""))&gt;=1900),DATE(INT(VALUE(K216&amp;"")),ROUND((VALUE(K216&amp;"")-INT(VALUE(K216&amp;"")))*100,0),1),K216&amp;""),K216&amp;""))</f>
        <v/>
      </c>
      <c r="T216" s="10">
        <f>COUNTIF(M216:R216,"⚠*")</f>
        <v/>
      </c>
    </row>
    <row r="217"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M217" s="10">
        <f>IFERROR(IF(TRIM(E217&amp;"")="","",IF(AND(ISNUMBER(FIND(" ",TRIM(E217&amp;""))),ISNUMBER(MATCH(LEFT(TRIM(E217&amp;""),FIND(" ",TRIM(E217&amp;""))-1),설정_코드표!$J$2:$J$101,0)),ISNUMBER(MATCH(TRIM(RIGHT(SUBSTITUTE(TRIM(E217&amp;"")," ",REPT(" ",60)),60)),설정_코드표!$F$2:$F$101,0))),INDEX(설정_코드표!$K$2:$K$101,MATCH(LEFT(TRIM(E217&amp;""),FIND(" ",TRIM(E217&amp;""))-1),설정_코드표!$J$2:$J$101,0))&amp;" "&amp;INDEX(설정_코드표!$G$2:$G$101,MATCH(TRIM(RIGHT(SUBSTITUTE(TRIM(E217&amp;"")," ",REPT(" ",60)),60)),설정_코드표!$F$2:$F$101,0)),"⚠"&amp;TRIM(E217&amp;""))),"⚠"&amp;TRIM(E217&amp;""))</f>
        <v/>
      </c>
      <c r="N217" s="10">
        <f>IFERROR(IF(TRIM(F217&amp;"")="","",IF(AND(ISNUMBER(FIND(" ",TRIM(F217&amp;""))),ISNUMBER(MATCH(LEFT(TRIM(F217&amp;""),FIND(" ",TRIM(F217&amp;""))-1),설정_코드표!$J$2:$J$101,0)),ISNUMBER(MATCH(TRIM(RIGHT(SUBSTITUTE(TRIM(F217&amp;"")," ",REPT(" ",60)),60)),설정_코드표!$F$2:$F$101,0))),INDEX(설정_코드표!$K$2:$K$101,MATCH(LEFT(TRIM(F217&amp;""),FIND(" ",TRIM(F217&amp;""))-1),설정_코드표!$J$2:$J$101,0))&amp;" "&amp;INDEX(설정_코드표!$G$2:$G$101,MATCH(TRIM(RIGHT(SUBSTITUTE(TRIM(F217&amp;"")," ",REPT(" ",60)),60)),설정_코드표!$F$2:$F$101,0)),"⚠"&amp;TRIM(F217&amp;""))),"⚠"&amp;TRIM(F217&amp;""))</f>
        <v/>
      </c>
      <c r="O217" s="10">
        <f>IFERROR(IF(TRIM(G217&amp;"")="","",IF(AND(ISNUMBER(FIND(" ",TRIM(G217&amp;""))),ISNUMBER(MATCH(LEFT(TRIM(G217&amp;""),FIND(" ",TRIM(G217&amp;""))-1),설정_코드표!$J$2:$J$101,0)),ISNUMBER(MATCH(TRIM(RIGHT(SUBSTITUTE(TRIM(G217&amp;"")," ",REPT(" ",60)),60)),설정_코드표!$F$2:$F$101,0))),INDEX(설정_코드표!$K$2:$K$101,MATCH(LEFT(TRIM(G217&amp;""),FIND(" ",TRIM(G217&amp;""))-1),설정_코드표!$J$2:$J$101,0))&amp;" "&amp;INDEX(설정_코드표!$G$2:$G$101,MATCH(TRIM(RIGHT(SUBSTITUTE(TRIM(G217&amp;"")," ",REPT(" ",60)),60)),설정_코드표!$F$2:$F$101,0)),"⚠"&amp;TRIM(G217&amp;""))),"⚠"&amp;TRIM(G217&amp;""))</f>
        <v/>
      </c>
      <c r="P217" s="10">
        <f>IFERROR(IF(TRIM(H217&amp;"")="","",IF(AND(ISNUMBER(FIND(" ",TRIM(H217&amp;""))),ISNUMBER(MATCH(LEFT(TRIM(H217&amp;""),FIND(" ",TRIM(H217&amp;""))-1),설정_코드표!$J$2:$J$101,0)),ISNUMBER(MATCH(TRIM(RIGHT(SUBSTITUTE(TRIM(H217&amp;"")," ",REPT(" ",60)),60)),설정_코드표!$F$2:$F$101,0))),INDEX(설정_코드표!$K$2:$K$101,MATCH(LEFT(TRIM(H217&amp;""),FIND(" ",TRIM(H217&amp;""))-1),설정_코드표!$J$2:$J$101,0))&amp;" "&amp;INDEX(설정_코드표!$G$2:$G$101,MATCH(TRIM(RIGHT(SUBSTITUTE(TRIM(H217&amp;"")," ",REPT(" ",60)),60)),설정_코드표!$F$2:$F$101,0)),"⚠"&amp;TRIM(H217&amp;""))),"⚠"&amp;TRIM(H217&amp;""))</f>
        <v/>
      </c>
      <c r="Q217" s="10">
        <f>IFERROR(IF(TRIM(I217&amp;"")="","",IF(AND(ISNUMBER(FIND(" ",TRIM(I217&amp;""))),ISNUMBER(MATCH(LEFT(TRIM(I217&amp;""),FIND(" ",TRIM(I217&amp;""))-1),설정_코드표!$J$2:$J$101,0)),ISNUMBER(MATCH(TRIM(RIGHT(SUBSTITUTE(TRIM(I217&amp;"")," ",REPT(" ",60)),60)),설정_코드표!$F$2:$F$101,0))),INDEX(설정_코드표!$K$2:$K$101,MATCH(LEFT(TRIM(I217&amp;""),FIND(" ",TRIM(I217&amp;""))-1),설정_코드표!$J$2:$J$101,0))&amp;" "&amp;INDEX(설정_코드표!$G$2:$G$101,MATCH(TRIM(RIGHT(SUBSTITUTE(TRIM(I217&amp;"")," ",REPT(" ",60)),60)),설정_코드표!$F$2:$F$101,0)),"⚠"&amp;TRIM(I217&amp;""))),"⚠"&amp;TRIM(I217&amp;""))</f>
        <v/>
      </c>
      <c r="R217" s="10">
        <f>IFERROR(IF(TRIM(J217&amp;"")="","",IF(AND(ISNUMBER(FIND(" ",TRIM(J217&amp;""))),ISNUMBER(MATCH(LEFT(TRIM(J217&amp;""),FIND(" ",TRIM(J217&amp;""))-1),설정_코드표!$J$2:$J$101,0)),ISNUMBER(MATCH(TRIM(RIGHT(SUBSTITUTE(TRIM(J217&amp;"")," ",REPT(" ",60)),60)),설정_코드표!$F$2:$F$101,0))),INDEX(설정_코드표!$K$2:$K$101,MATCH(LEFT(TRIM(J217&amp;""),FIND(" ",TRIM(J217&amp;""))-1),설정_코드표!$J$2:$J$101,0))&amp;" "&amp;INDEX(설정_코드표!$G$2:$G$101,MATCH(TRIM(RIGHT(SUBSTITUTE(TRIM(J217&amp;"")," ",REPT(" ",60)),60)),설정_코드표!$F$2:$F$101,0)),"⚠"&amp;TRIM(J217&amp;""))),"⚠"&amp;TRIM(J217&amp;""))</f>
        <v/>
      </c>
      <c r="S217" s="11">
        <f>IF(K217="","",IFERROR(IF(AND(ROUND((VALUE(K217&amp;"")-INT(VALUE(K217&amp;"")))*100,0)&gt;=1,ROUND((VALUE(K217&amp;"")-INT(VALUE(K217&amp;"")))*100,0)&lt;=12,INT(VALUE(K217&amp;""))&gt;=1900),DATE(INT(VALUE(K217&amp;"")),ROUND((VALUE(K217&amp;"")-INT(VALUE(K217&amp;"")))*100,0),1),K217&amp;""),K217&amp;""))</f>
        <v/>
      </c>
      <c r="T217" s="10">
        <f>COUNTIF(M217:R217,"⚠*")</f>
        <v/>
      </c>
    </row>
    <row r="218"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M218" s="10">
        <f>IFERROR(IF(TRIM(E218&amp;"")="","",IF(AND(ISNUMBER(FIND(" ",TRIM(E218&amp;""))),ISNUMBER(MATCH(LEFT(TRIM(E218&amp;""),FIND(" ",TRIM(E218&amp;""))-1),설정_코드표!$J$2:$J$101,0)),ISNUMBER(MATCH(TRIM(RIGHT(SUBSTITUTE(TRIM(E218&amp;"")," ",REPT(" ",60)),60)),설정_코드표!$F$2:$F$101,0))),INDEX(설정_코드표!$K$2:$K$101,MATCH(LEFT(TRIM(E218&amp;""),FIND(" ",TRIM(E218&amp;""))-1),설정_코드표!$J$2:$J$101,0))&amp;" "&amp;INDEX(설정_코드표!$G$2:$G$101,MATCH(TRIM(RIGHT(SUBSTITUTE(TRIM(E218&amp;"")," ",REPT(" ",60)),60)),설정_코드표!$F$2:$F$101,0)),"⚠"&amp;TRIM(E218&amp;""))),"⚠"&amp;TRIM(E218&amp;""))</f>
        <v/>
      </c>
      <c r="N218" s="10">
        <f>IFERROR(IF(TRIM(F218&amp;"")="","",IF(AND(ISNUMBER(FIND(" ",TRIM(F218&amp;""))),ISNUMBER(MATCH(LEFT(TRIM(F218&amp;""),FIND(" ",TRIM(F218&amp;""))-1),설정_코드표!$J$2:$J$101,0)),ISNUMBER(MATCH(TRIM(RIGHT(SUBSTITUTE(TRIM(F218&amp;"")," ",REPT(" ",60)),60)),설정_코드표!$F$2:$F$101,0))),INDEX(설정_코드표!$K$2:$K$101,MATCH(LEFT(TRIM(F218&amp;""),FIND(" ",TRIM(F218&amp;""))-1),설정_코드표!$J$2:$J$101,0))&amp;" "&amp;INDEX(설정_코드표!$G$2:$G$101,MATCH(TRIM(RIGHT(SUBSTITUTE(TRIM(F218&amp;"")," ",REPT(" ",60)),60)),설정_코드표!$F$2:$F$101,0)),"⚠"&amp;TRIM(F218&amp;""))),"⚠"&amp;TRIM(F218&amp;""))</f>
        <v/>
      </c>
      <c r="O218" s="10">
        <f>IFERROR(IF(TRIM(G218&amp;"")="","",IF(AND(ISNUMBER(FIND(" ",TRIM(G218&amp;""))),ISNUMBER(MATCH(LEFT(TRIM(G218&amp;""),FIND(" ",TRIM(G218&amp;""))-1),설정_코드표!$J$2:$J$101,0)),ISNUMBER(MATCH(TRIM(RIGHT(SUBSTITUTE(TRIM(G218&amp;"")," ",REPT(" ",60)),60)),설정_코드표!$F$2:$F$101,0))),INDEX(설정_코드표!$K$2:$K$101,MATCH(LEFT(TRIM(G218&amp;""),FIND(" ",TRIM(G218&amp;""))-1),설정_코드표!$J$2:$J$101,0))&amp;" "&amp;INDEX(설정_코드표!$G$2:$G$101,MATCH(TRIM(RIGHT(SUBSTITUTE(TRIM(G218&amp;"")," ",REPT(" ",60)),60)),설정_코드표!$F$2:$F$101,0)),"⚠"&amp;TRIM(G218&amp;""))),"⚠"&amp;TRIM(G218&amp;""))</f>
        <v/>
      </c>
      <c r="P218" s="10">
        <f>IFERROR(IF(TRIM(H218&amp;"")="","",IF(AND(ISNUMBER(FIND(" ",TRIM(H218&amp;""))),ISNUMBER(MATCH(LEFT(TRIM(H218&amp;""),FIND(" ",TRIM(H218&amp;""))-1),설정_코드표!$J$2:$J$101,0)),ISNUMBER(MATCH(TRIM(RIGHT(SUBSTITUTE(TRIM(H218&amp;"")," ",REPT(" ",60)),60)),설정_코드표!$F$2:$F$101,0))),INDEX(설정_코드표!$K$2:$K$101,MATCH(LEFT(TRIM(H218&amp;""),FIND(" ",TRIM(H218&amp;""))-1),설정_코드표!$J$2:$J$101,0))&amp;" "&amp;INDEX(설정_코드표!$G$2:$G$101,MATCH(TRIM(RIGHT(SUBSTITUTE(TRIM(H218&amp;"")," ",REPT(" ",60)),60)),설정_코드표!$F$2:$F$101,0)),"⚠"&amp;TRIM(H218&amp;""))),"⚠"&amp;TRIM(H218&amp;""))</f>
        <v/>
      </c>
      <c r="Q218" s="10">
        <f>IFERROR(IF(TRIM(I218&amp;"")="","",IF(AND(ISNUMBER(FIND(" ",TRIM(I218&amp;""))),ISNUMBER(MATCH(LEFT(TRIM(I218&amp;""),FIND(" ",TRIM(I218&amp;""))-1),설정_코드표!$J$2:$J$101,0)),ISNUMBER(MATCH(TRIM(RIGHT(SUBSTITUTE(TRIM(I218&amp;"")," ",REPT(" ",60)),60)),설정_코드표!$F$2:$F$101,0))),INDEX(설정_코드표!$K$2:$K$101,MATCH(LEFT(TRIM(I218&amp;""),FIND(" ",TRIM(I218&amp;""))-1),설정_코드표!$J$2:$J$101,0))&amp;" "&amp;INDEX(설정_코드표!$G$2:$G$101,MATCH(TRIM(RIGHT(SUBSTITUTE(TRIM(I218&amp;"")," ",REPT(" ",60)),60)),설정_코드표!$F$2:$F$101,0)),"⚠"&amp;TRIM(I218&amp;""))),"⚠"&amp;TRIM(I218&amp;""))</f>
        <v/>
      </c>
      <c r="R218" s="10">
        <f>IFERROR(IF(TRIM(J218&amp;"")="","",IF(AND(ISNUMBER(FIND(" ",TRIM(J218&amp;""))),ISNUMBER(MATCH(LEFT(TRIM(J218&amp;""),FIND(" ",TRIM(J218&amp;""))-1),설정_코드표!$J$2:$J$101,0)),ISNUMBER(MATCH(TRIM(RIGHT(SUBSTITUTE(TRIM(J218&amp;"")," ",REPT(" ",60)),60)),설정_코드표!$F$2:$F$101,0))),INDEX(설정_코드표!$K$2:$K$101,MATCH(LEFT(TRIM(J218&amp;""),FIND(" ",TRIM(J218&amp;""))-1),설정_코드표!$J$2:$J$101,0))&amp;" "&amp;INDEX(설정_코드표!$G$2:$G$101,MATCH(TRIM(RIGHT(SUBSTITUTE(TRIM(J218&amp;"")," ",REPT(" ",60)),60)),설정_코드표!$F$2:$F$101,0)),"⚠"&amp;TRIM(J218&amp;""))),"⚠"&amp;TRIM(J218&amp;""))</f>
        <v/>
      </c>
      <c r="S218" s="11">
        <f>IF(K218="","",IFERROR(IF(AND(ROUND((VALUE(K218&amp;"")-INT(VALUE(K218&amp;"")))*100,0)&gt;=1,ROUND((VALUE(K218&amp;"")-INT(VALUE(K218&amp;"")))*100,0)&lt;=12,INT(VALUE(K218&amp;""))&gt;=1900),DATE(INT(VALUE(K218&amp;"")),ROUND((VALUE(K218&amp;"")-INT(VALUE(K218&amp;"")))*100,0),1),K218&amp;""),K218&amp;""))</f>
        <v/>
      </c>
      <c r="T218" s="10">
        <f>COUNTIF(M218:R218,"⚠*")</f>
        <v/>
      </c>
    </row>
    <row r="219"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M219" s="10">
        <f>IFERROR(IF(TRIM(E219&amp;"")="","",IF(AND(ISNUMBER(FIND(" ",TRIM(E219&amp;""))),ISNUMBER(MATCH(LEFT(TRIM(E219&amp;""),FIND(" ",TRIM(E219&amp;""))-1),설정_코드표!$J$2:$J$101,0)),ISNUMBER(MATCH(TRIM(RIGHT(SUBSTITUTE(TRIM(E219&amp;"")," ",REPT(" ",60)),60)),설정_코드표!$F$2:$F$101,0))),INDEX(설정_코드표!$K$2:$K$101,MATCH(LEFT(TRIM(E219&amp;""),FIND(" ",TRIM(E219&amp;""))-1),설정_코드표!$J$2:$J$101,0))&amp;" "&amp;INDEX(설정_코드표!$G$2:$G$101,MATCH(TRIM(RIGHT(SUBSTITUTE(TRIM(E219&amp;"")," ",REPT(" ",60)),60)),설정_코드표!$F$2:$F$101,0)),"⚠"&amp;TRIM(E219&amp;""))),"⚠"&amp;TRIM(E219&amp;""))</f>
        <v/>
      </c>
      <c r="N219" s="10">
        <f>IFERROR(IF(TRIM(F219&amp;"")="","",IF(AND(ISNUMBER(FIND(" ",TRIM(F219&amp;""))),ISNUMBER(MATCH(LEFT(TRIM(F219&amp;""),FIND(" ",TRIM(F219&amp;""))-1),설정_코드표!$J$2:$J$101,0)),ISNUMBER(MATCH(TRIM(RIGHT(SUBSTITUTE(TRIM(F219&amp;"")," ",REPT(" ",60)),60)),설정_코드표!$F$2:$F$101,0))),INDEX(설정_코드표!$K$2:$K$101,MATCH(LEFT(TRIM(F219&amp;""),FIND(" ",TRIM(F219&amp;""))-1),설정_코드표!$J$2:$J$101,0))&amp;" "&amp;INDEX(설정_코드표!$G$2:$G$101,MATCH(TRIM(RIGHT(SUBSTITUTE(TRIM(F219&amp;"")," ",REPT(" ",60)),60)),설정_코드표!$F$2:$F$101,0)),"⚠"&amp;TRIM(F219&amp;""))),"⚠"&amp;TRIM(F219&amp;""))</f>
        <v/>
      </c>
      <c r="O219" s="10">
        <f>IFERROR(IF(TRIM(G219&amp;"")="","",IF(AND(ISNUMBER(FIND(" ",TRIM(G219&amp;""))),ISNUMBER(MATCH(LEFT(TRIM(G219&amp;""),FIND(" ",TRIM(G219&amp;""))-1),설정_코드표!$J$2:$J$101,0)),ISNUMBER(MATCH(TRIM(RIGHT(SUBSTITUTE(TRIM(G219&amp;"")," ",REPT(" ",60)),60)),설정_코드표!$F$2:$F$101,0))),INDEX(설정_코드표!$K$2:$K$101,MATCH(LEFT(TRIM(G219&amp;""),FIND(" ",TRIM(G219&amp;""))-1),설정_코드표!$J$2:$J$101,0))&amp;" "&amp;INDEX(설정_코드표!$G$2:$G$101,MATCH(TRIM(RIGHT(SUBSTITUTE(TRIM(G219&amp;"")," ",REPT(" ",60)),60)),설정_코드표!$F$2:$F$101,0)),"⚠"&amp;TRIM(G219&amp;""))),"⚠"&amp;TRIM(G219&amp;""))</f>
        <v/>
      </c>
      <c r="P219" s="10">
        <f>IFERROR(IF(TRIM(H219&amp;"")="","",IF(AND(ISNUMBER(FIND(" ",TRIM(H219&amp;""))),ISNUMBER(MATCH(LEFT(TRIM(H219&amp;""),FIND(" ",TRIM(H219&amp;""))-1),설정_코드표!$J$2:$J$101,0)),ISNUMBER(MATCH(TRIM(RIGHT(SUBSTITUTE(TRIM(H219&amp;"")," ",REPT(" ",60)),60)),설정_코드표!$F$2:$F$101,0))),INDEX(설정_코드표!$K$2:$K$101,MATCH(LEFT(TRIM(H219&amp;""),FIND(" ",TRIM(H219&amp;""))-1),설정_코드표!$J$2:$J$101,0))&amp;" "&amp;INDEX(설정_코드표!$G$2:$G$101,MATCH(TRIM(RIGHT(SUBSTITUTE(TRIM(H219&amp;"")," ",REPT(" ",60)),60)),설정_코드표!$F$2:$F$101,0)),"⚠"&amp;TRIM(H219&amp;""))),"⚠"&amp;TRIM(H219&amp;""))</f>
        <v/>
      </c>
      <c r="Q219" s="10">
        <f>IFERROR(IF(TRIM(I219&amp;"")="","",IF(AND(ISNUMBER(FIND(" ",TRIM(I219&amp;""))),ISNUMBER(MATCH(LEFT(TRIM(I219&amp;""),FIND(" ",TRIM(I219&amp;""))-1),설정_코드표!$J$2:$J$101,0)),ISNUMBER(MATCH(TRIM(RIGHT(SUBSTITUTE(TRIM(I219&amp;"")," ",REPT(" ",60)),60)),설정_코드표!$F$2:$F$101,0))),INDEX(설정_코드표!$K$2:$K$101,MATCH(LEFT(TRIM(I219&amp;""),FIND(" ",TRIM(I219&amp;""))-1),설정_코드표!$J$2:$J$101,0))&amp;" "&amp;INDEX(설정_코드표!$G$2:$G$101,MATCH(TRIM(RIGHT(SUBSTITUTE(TRIM(I219&amp;"")," ",REPT(" ",60)),60)),설정_코드표!$F$2:$F$101,0)),"⚠"&amp;TRIM(I219&amp;""))),"⚠"&amp;TRIM(I219&amp;""))</f>
        <v/>
      </c>
      <c r="R219" s="10">
        <f>IFERROR(IF(TRIM(J219&amp;"")="","",IF(AND(ISNUMBER(FIND(" ",TRIM(J219&amp;""))),ISNUMBER(MATCH(LEFT(TRIM(J219&amp;""),FIND(" ",TRIM(J219&amp;""))-1),설정_코드표!$J$2:$J$101,0)),ISNUMBER(MATCH(TRIM(RIGHT(SUBSTITUTE(TRIM(J219&amp;"")," ",REPT(" ",60)),60)),설정_코드표!$F$2:$F$101,0))),INDEX(설정_코드표!$K$2:$K$101,MATCH(LEFT(TRIM(J219&amp;""),FIND(" ",TRIM(J219&amp;""))-1),설정_코드표!$J$2:$J$101,0))&amp;" "&amp;INDEX(설정_코드표!$G$2:$G$101,MATCH(TRIM(RIGHT(SUBSTITUTE(TRIM(J219&amp;"")," ",REPT(" ",60)),60)),설정_코드표!$F$2:$F$101,0)),"⚠"&amp;TRIM(J219&amp;""))),"⚠"&amp;TRIM(J219&amp;""))</f>
        <v/>
      </c>
      <c r="S219" s="11">
        <f>IF(K219="","",IFERROR(IF(AND(ROUND((VALUE(K219&amp;"")-INT(VALUE(K219&amp;"")))*100,0)&gt;=1,ROUND((VALUE(K219&amp;"")-INT(VALUE(K219&amp;"")))*100,0)&lt;=12,INT(VALUE(K219&amp;""))&gt;=1900),DATE(INT(VALUE(K219&amp;"")),ROUND((VALUE(K219&amp;"")-INT(VALUE(K219&amp;"")))*100,0),1),K219&amp;""),K219&amp;""))</f>
        <v/>
      </c>
      <c r="T219" s="10">
        <f>COUNTIF(M219:R219,"⚠*")</f>
        <v/>
      </c>
    </row>
    <row r="220"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M220" s="10">
        <f>IFERROR(IF(TRIM(E220&amp;"")="","",IF(AND(ISNUMBER(FIND(" ",TRIM(E220&amp;""))),ISNUMBER(MATCH(LEFT(TRIM(E220&amp;""),FIND(" ",TRIM(E220&amp;""))-1),설정_코드표!$J$2:$J$101,0)),ISNUMBER(MATCH(TRIM(RIGHT(SUBSTITUTE(TRIM(E220&amp;"")," ",REPT(" ",60)),60)),설정_코드표!$F$2:$F$101,0))),INDEX(설정_코드표!$K$2:$K$101,MATCH(LEFT(TRIM(E220&amp;""),FIND(" ",TRIM(E220&amp;""))-1),설정_코드표!$J$2:$J$101,0))&amp;" "&amp;INDEX(설정_코드표!$G$2:$G$101,MATCH(TRIM(RIGHT(SUBSTITUTE(TRIM(E220&amp;"")," ",REPT(" ",60)),60)),설정_코드표!$F$2:$F$101,0)),"⚠"&amp;TRIM(E220&amp;""))),"⚠"&amp;TRIM(E220&amp;""))</f>
        <v/>
      </c>
      <c r="N220" s="10">
        <f>IFERROR(IF(TRIM(F220&amp;"")="","",IF(AND(ISNUMBER(FIND(" ",TRIM(F220&amp;""))),ISNUMBER(MATCH(LEFT(TRIM(F220&amp;""),FIND(" ",TRIM(F220&amp;""))-1),설정_코드표!$J$2:$J$101,0)),ISNUMBER(MATCH(TRIM(RIGHT(SUBSTITUTE(TRIM(F220&amp;"")," ",REPT(" ",60)),60)),설정_코드표!$F$2:$F$101,0))),INDEX(설정_코드표!$K$2:$K$101,MATCH(LEFT(TRIM(F220&amp;""),FIND(" ",TRIM(F220&amp;""))-1),설정_코드표!$J$2:$J$101,0))&amp;" "&amp;INDEX(설정_코드표!$G$2:$G$101,MATCH(TRIM(RIGHT(SUBSTITUTE(TRIM(F220&amp;"")," ",REPT(" ",60)),60)),설정_코드표!$F$2:$F$101,0)),"⚠"&amp;TRIM(F220&amp;""))),"⚠"&amp;TRIM(F220&amp;""))</f>
        <v/>
      </c>
      <c r="O220" s="10">
        <f>IFERROR(IF(TRIM(G220&amp;"")="","",IF(AND(ISNUMBER(FIND(" ",TRIM(G220&amp;""))),ISNUMBER(MATCH(LEFT(TRIM(G220&amp;""),FIND(" ",TRIM(G220&amp;""))-1),설정_코드표!$J$2:$J$101,0)),ISNUMBER(MATCH(TRIM(RIGHT(SUBSTITUTE(TRIM(G220&amp;"")," ",REPT(" ",60)),60)),설정_코드표!$F$2:$F$101,0))),INDEX(설정_코드표!$K$2:$K$101,MATCH(LEFT(TRIM(G220&amp;""),FIND(" ",TRIM(G220&amp;""))-1),설정_코드표!$J$2:$J$101,0))&amp;" "&amp;INDEX(설정_코드표!$G$2:$G$101,MATCH(TRIM(RIGHT(SUBSTITUTE(TRIM(G220&amp;"")," ",REPT(" ",60)),60)),설정_코드표!$F$2:$F$101,0)),"⚠"&amp;TRIM(G220&amp;""))),"⚠"&amp;TRIM(G220&amp;""))</f>
        <v/>
      </c>
      <c r="P220" s="10">
        <f>IFERROR(IF(TRIM(H220&amp;"")="","",IF(AND(ISNUMBER(FIND(" ",TRIM(H220&amp;""))),ISNUMBER(MATCH(LEFT(TRIM(H220&amp;""),FIND(" ",TRIM(H220&amp;""))-1),설정_코드표!$J$2:$J$101,0)),ISNUMBER(MATCH(TRIM(RIGHT(SUBSTITUTE(TRIM(H220&amp;"")," ",REPT(" ",60)),60)),설정_코드표!$F$2:$F$101,0))),INDEX(설정_코드표!$K$2:$K$101,MATCH(LEFT(TRIM(H220&amp;""),FIND(" ",TRIM(H220&amp;""))-1),설정_코드표!$J$2:$J$101,0))&amp;" "&amp;INDEX(설정_코드표!$G$2:$G$101,MATCH(TRIM(RIGHT(SUBSTITUTE(TRIM(H220&amp;"")," ",REPT(" ",60)),60)),설정_코드표!$F$2:$F$101,0)),"⚠"&amp;TRIM(H220&amp;""))),"⚠"&amp;TRIM(H220&amp;""))</f>
        <v/>
      </c>
      <c r="Q220" s="10">
        <f>IFERROR(IF(TRIM(I220&amp;"")="","",IF(AND(ISNUMBER(FIND(" ",TRIM(I220&amp;""))),ISNUMBER(MATCH(LEFT(TRIM(I220&amp;""),FIND(" ",TRIM(I220&amp;""))-1),설정_코드표!$J$2:$J$101,0)),ISNUMBER(MATCH(TRIM(RIGHT(SUBSTITUTE(TRIM(I220&amp;"")," ",REPT(" ",60)),60)),설정_코드표!$F$2:$F$101,0))),INDEX(설정_코드표!$K$2:$K$101,MATCH(LEFT(TRIM(I220&amp;""),FIND(" ",TRIM(I220&amp;""))-1),설정_코드표!$J$2:$J$101,0))&amp;" "&amp;INDEX(설정_코드표!$G$2:$G$101,MATCH(TRIM(RIGHT(SUBSTITUTE(TRIM(I220&amp;"")," ",REPT(" ",60)),60)),설정_코드표!$F$2:$F$101,0)),"⚠"&amp;TRIM(I220&amp;""))),"⚠"&amp;TRIM(I220&amp;""))</f>
        <v/>
      </c>
      <c r="R220" s="10">
        <f>IFERROR(IF(TRIM(J220&amp;"")="","",IF(AND(ISNUMBER(FIND(" ",TRIM(J220&amp;""))),ISNUMBER(MATCH(LEFT(TRIM(J220&amp;""),FIND(" ",TRIM(J220&amp;""))-1),설정_코드표!$J$2:$J$101,0)),ISNUMBER(MATCH(TRIM(RIGHT(SUBSTITUTE(TRIM(J220&amp;"")," ",REPT(" ",60)),60)),설정_코드표!$F$2:$F$101,0))),INDEX(설정_코드표!$K$2:$K$101,MATCH(LEFT(TRIM(J220&amp;""),FIND(" ",TRIM(J220&amp;""))-1),설정_코드표!$J$2:$J$101,0))&amp;" "&amp;INDEX(설정_코드표!$G$2:$G$101,MATCH(TRIM(RIGHT(SUBSTITUTE(TRIM(J220&amp;"")," ",REPT(" ",60)),60)),설정_코드표!$F$2:$F$101,0)),"⚠"&amp;TRIM(J220&amp;""))),"⚠"&amp;TRIM(J220&amp;""))</f>
        <v/>
      </c>
      <c r="S220" s="11">
        <f>IF(K220="","",IFERROR(IF(AND(ROUND((VALUE(K220&amp;"")-INT(VALUE(K220&amp;"")))*100,0)&gt;=1,ROUND((VALUE(K220&amp;"")-INT(VALUE(K220&amp;"")))*100,0)&lt;=12,INT(VALUE(K220&amp;""))&gt;=1900),DATE(INT(VALUE(K220&amp;"")),ROUND((VALUE(K220&amp;"")-INT(VALUE(K220&amp;"")))*100,0),1),K220&amp;""),K220&amp;""))</f>
        <v/>
      </c>
      <c r="T220" s="10">
        <f>COUNTIF(M220:R220,"⚠*")</f>
        <v/>
      </c>
    </row>
    <row r="221"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M221" s="10">
        <f>IFERROR(IF(TRIM(E221&amp;"")="","",IF(AND(ISNUMBER(FIND(" ",TRIM(E221&amp;""))),ISNUMBER(MATCH(LEFT(TRIM(E221&amp;""),FIND(" ",TRIM(E221&amp;""))-1),설정_코드표!$J$2:$J$101,0)),ISNUMBER(MATCH(TRIM(RIGHT(SUBSTITUTE(TRIM(E221&amp;"")," ",REPT(" ",60)),60)),설정_코드표!$F$2:$F$101,0))),INDEX(설정_코드표!$K$2:$K$101,MATCH(LEFT(TRIM(E221&amp;""),FIND(" ",TRIM(E221&amp;""))-1),설정_코드표!$J$2:$J$101,0))&amp;" "&amp;INDEX(설정_코드표!$G$2:$G$101,MATCH(TRIM(RIGHT(SUBSTITUTE(TRIM(E221&amp;"")," ",REPT(" ",60)),60)),설정_코드표!$F$2:$F$101,0)),"⚠"&amp;TRIM(E221&amp;""))),"⚠"&amp;TRIM(E221&amp;""))</f>
        <v/>
      </c>
      <c r="N221" s="10">
        <f>IFERROR(IF(TRIM(F221&amp;"")="","",IF(AND(ISNUMBER(FIND(" ",TRIM(F221&amp;""))),ISNUMBER(MATCH(LEFT(TRIM(F221&amp;""),FIND(" ",TRIM(F221&amp;""))-1),설정_코드표!$J$2:$J$101,0)),ISNUMBER(MATCH(TRIM(RIGHT(SUBSTITUTE(TRIM(F221&amp;"")," ",REPT(" ",60)),60)),설정_코드표!$F$2:$F$101,0))),INDEX(설정_코드표!$K$2:$K$101,MATCH(LEFT(TRIM(F221&amp;""),FIND(" ",TRIM(F221&amp;""))-1),설정_코드표!$J$2:$J$101,0))&amp;" "&amp;INDEX(설정_코드표!$G$2:$G$101,MATCH(TRIM(RIGHT(SUBSTITUTE(TRIM(F221&amp;"")," ",REPT(" ",60)),60)),설정_코드표!$F$2:$F$101,0)),"⚠"&amp;TRIM(F221&amp;""))),"⚠"&amp;TRIM(F221&amp;""))</f>
        <v/>
      </c>
      <c r="O221" s="10">
        <f>IFERROR(IF(TRIM(G221&amp;"")="","",IF(AND(ISNUMBER(FIND(" ",TRIM(G221&amp;""))),ISNUMBER(MATCH(LEFT(TRIM(G221&amp;""),FIND(" ",TRIM(G221&amp;""))-1),설정_코드표!$J$2:$J$101,0)),ISNUMBER(MATCH(TRIM(RIGHT(SUBSTITUTE(TRIM(G221&amp;"")," ",REPT(" ",60)),60)),설정_코드표!$F$2:$F$101,0))),INDEX(설정_코드표!$K$2:$K$101,MATCH(LEFT(TRIM(G221&amp;""),FIND(" ",TRIM(G221&amp;""))-1),설정_코드표!$J$2:$J$101,0))&amp;" "&amp;INDEX(설정_코드표!$G$2:$G$101,MATCH(TRIM(RIGHT(SUBSTITUTE(TRIM(G221&amp;"")," ",REPT(" ",60)),60)),설정_코드표!$F$2:$F$101,0)),"⚠"&amp;TRIM(G221&amp;""))),"⚠"&amp;TRIM(G221&amp;""))</f>
        <v/>
      </c>
      <c r="P221" s="10">
        <f>IFERROR(IF(TRIM(H221&amp;"")="","",IF(AND(ISNUMBER(FIND(" ",TRIM(H221&amp;""))),ISNUMBER(MATCH(LEFT(TRIM(H221&amp;""),FIND(" ",TRIM(H221&amp;""))-1),설정_코드표!$J$2:$J$101,0)),ISNUMBER(MATCH(TRIM(RIGHT(SUBSTITUTE(TRIM(H221&amp;"")," ",REPT(" ",60)),60)),설정_코드표!$F$2:$F$101,0))),INDEX(설정_코드표!$K$2:$K$101,MATCH(LEFT(TRIM(H221&amp;""),FIND(" ",TRIM(H221&amp;""))-1),설정_코드표!$J$2:$J$101,0))&amp;" "&amp;INDEX(설정_코드표!$G$2:$G$101,MATCH(TRIM(RIGHT(SUBSTITUTE(TRIM(H221&amp;"")," ",REPT(" ",60)),60)),설정_코드표!$F$2:$F$101,0)),"⚠"&amp;TRIM(H221&amp;""))),"⚠"&amp;TRIM(H221&amp;""))</f>
        <v/>
      </c>
      <c r="Q221" s="10">
        <f>IFERROR(IF(TRIM(I221&amp;"")="","",IF(AND(ISNUMBER(FIND(" ",TRIM(I221&amp;""))),ISNUMBER(MATCH(LEFT(TRIM(I221&amp;""),FIND(" ",TRIM(I221&amp;""))-1),설정_코드표!$J$2:$J$101,0)),ISNUMBER(MATCH(TRIM(RIGHT(SUBSTITUTE(TRIM(I221&amp;"")," ",REPT(" ",60)),60)),설정_코드표!$F$2:$F$101,0))),INDEX(설정_코드표!$K$2:$K$101,MATCH(LEFT(TRIM(I221&amp;""),FIND(" ",TRIM(I221&amp;""))-1),설정_코드표!$J$2:$J$101,0))&amp;" "&amp;INDEX(설정_코드표!$G$2:$G$101,MATCH(TRIM(RIGHT(SUBSTITUTE(TRIM(I221&amp;"")," ",REPT(" ",60)),60)),설정_코드표!$F$2:$F$101,0)),"⚠"&amp;TRIM(I221&amp;""))),"⚠"&amp;TRIM(I221&amp;""))</f>
        <v/>
      </c>
      <c r="R221" s="10">
        <f>IFERROR(IF(TRIM(J221&amp;"")="","",IF(AND(ISNUMBER(FIND(" ",TRIM(J221&amp;""))),ISNUMBER(MATCH(LEFT(TRIM(J221&amp;""),FIND(" ",TRIM(J221&amp;""))-1),설정_코드표!$J$2:$J$101,0)),ISNUMBER(MATCH(TRIM(RIGHT(SUBSTITUTE(TRIM(J221&amp;"")," ",REPT(" ",60)),60)),설정_코드표!$F$2:$F$101,0))),INDEX(설정_코드표!$K$2:$K$101,MATCH(LEFT(TRIM(J221&amp;""),FIND(" ",TRIM(J221&amp;""))-1),설정_코드표!$J$2:$J$101,0))&amp;" "&amp;INDEX(설정_코드표!$G$2:$G$101,MATCH(TRIM(RIGHT(SUBSTITUTE(TRIM(J221&amp;"")," ",REPT(" ",60)),60)),설정_코드표!$F$2:$F$101,0)),"⚠"&amp;TRIM(J221&amp;""))),"⚠"&amp;TRIM(J221&amp;""))</f>
        <v/>
      </c>
      <c r="S221" s="11">
        <f>IF(K221="","",IFERROR(IF(AND(ROUND((VALUE(K221&amp;"")-INT(VALUE(K221&amp;"")))*100,0)&gt;=1,ROUND((VALUE(K221&amp;"")-INT(VALUE(K221&amp;"")))*100,0)&lt;=12,INT(VALUE(K221&amp;""))&gt;=1900),DATE(INT(VALUE(K221&amp;"")),ROUND((VALUE(K221&amp;"")-INT(VALUE(K221&amp;"")))*100,0),1),K221&amp;""),K221&amp;""))</f>
        <v/>
      </c>
      <c r="T221" s="10">
        <f>COUNTIF(M221:R221,"⚠*")</f>
        <v/>
      </c>
    </row>
    <row r="222"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M222" s="10">
        <f>IFERROR(IF(TRIM(E222&amp;"")="","",IF(AND(ISNUMBER(FIND(" ",TRIM(E222&amp;""))),ISNUMBER(MATCH(LEFT(TRIM(E222&amp;""),FIND(" ",TRIM(E222&amp;""))-1),설정_코드표!$J$2:$J$101,0)),ISNUMBER(MATCH(TRIM(RIGHT(SUBSTITUTE(TRIM(E222&amp;"")," ",REPT(" ",60)),60)),설정_코드표!$F$2:$F$101,0))),INDEX(설정_코드표!$K$2:$K$101,MATCH(LEFT(TRIM(E222&amp;""),FIND(" ",TRIM(E222&amp;""))-1),설정_코드표!$J$2:$J$101,0))&amp;" "&amp;INDEX(설정_코드표!$G$2:$G$101,MATCH(TRIM(RIGHT(SUBSTITUTE(TRIM(E222&amp;"")," ",REPT(" ",60)),60)),설정_코드표!$F$2:$F$101,0)),"⚠"&amp;TRIM(E222&amp;""))),"⚠"&amp;TRIM(E222&amp;""))</f>
        <v/>
      </c>
      <c r="N222" s="10">
        <f>IFERROR(IF(TRIM(F222&amp;"")="","",IF(AND(ISNUMBER(FIND(" ",TRIM(F222&amp;""))),ISNUMBER(MATCH(LEFT(TRIM(F222&amp;""),FIND(" ",TRIM(F222&amp;""))-1),설정_코드표!$J$2:$J$101,0)),ISNUMBER(MATCH(TRIM(RIGHT(SUBSTITUTE(TRIM(F222&amp;"")," ",REPT(" ",60)),60)),설정_코드표!$F$2:$F$101,0))),INDEX(설정_코드표!$K$2:$K$101,MATCH(LEFT(TRIM(F222&amp;""),FIND(" ",TRIM(F222&amp;""))-1),설정_코드표!$J$2:$J$101,0))&amp;" "&amp;INDEX(설정_코드표!$G$2:$G$101,MATCH(TRIM(RIGHT(SUBSTITUTE(TRIM(F222&amp;"")," ",REPT(" ",60)),60)),설정_코드표!$F$2:$F$101,0)),"⚠"&amp;TRIM(F222&amp;""))),"⚠"&amp;TRIM(F222&amp;""))</f>
        <v/>
      </c>
      <c r="O222" s="10">
        <f>IFERROR(IF(TRIM(G222&amp;"")="","",IF(AND(ISNUMBER(FIND(" ",TRIM(G222&amp;""))),ISNUMBER(MATCH(LEFT(TRIM(G222&amp;""),FIND(" ",TRIM(G222&amp;""))-1),설정_코드표!$J$2:$J$101,0)),ISNUMBER(MATCH(TRIM(RIGHT(SUBSTITUTE(TRIM(G222&amp;"")," ",REPT(" ",60)),60)),설정_코드표!$F$2:$F$101,0))),INDEX(설정_코드표!$K$2:$K$101,MATCH(LEFT(TRIM(G222&amp;""),FIND(" ",TRIM(G222&amp;""))-1),설정_코드표!$J$2:$J$101,0))&amp;" "&amp;INDEX(설정_코드표!$G$2:$G$101,MATCH(TRIM(RIGHT(SUBSTITUTE(TRIM(G222&amp;"")," ",REPT(" ",60)),60)),설정_코드표!$F$2:$F$101,0)),"⚠"&amp;TRIM(G222&amp;""))),"⚠"&amp;TRIM(G222&amp;""))</f>
        <v/>
      </c>
      <c r="P222" s="10">
        <f>IFERROR(IF(TRIM(H222&amp;"")="","",IF(AND(ISNUMBER(FIND(" ",TRIM(H222&amp;""))),ISNUMBER(MATCH(LEFT(TRIM(H222&amp;""),FIND(" ",TRIM(H222&amp;""))-1),설정_코드표!$J$2:$J$101,0)),ISNUMBER(MATCH(TRIM(RIGHT(SUBSTITUTE(TRIM(H222&amp;"")," ",REPT(" ",60)),60)),설정_코드표!$F$2:$F$101,0))),INDEX(설정_코드표!$K$2:$K$101,MATCH(LEFT(TRIM(H222&amp;""),FIND(" ",TRIM(H222&amp;""))-1),설정_코드표!$J$2:$J$101,0))&amp;" "&amp;INDEX(설정_코드표!$G$2:$G$101,MATCH(TRIM(RIGHT(SUBSTITUTE(TRIM(H222&amp;"")," ",REPT(" ",60)),60)),설정_코드표!$F$2:$F$101,0)),"⚠"&amp;TRIM(H222&amp;""))),"⚠"&amp;TRIM(H222&amp;""))</f>
        <v/>
      </c>
      <c r="Q222" s="10">
        <f>IFERROR(IF(TRIM(I222&amp;"")="","",IF(AND(ISNUMBER(FIND(" ",TRIM(I222&amp;""))),ISNUMBER(MATCH(LEFT(TRIM(I222&amp;""),FIND(" ",TRIM(I222&amp;""))-1),설정_코드표!$J$2:$J$101,0)),ISNUMBER(MATCH(TRIM(RIGHT(SUBSTITUTE(TRIM(I222&amp;"")," ",REPT(" ",60)),60)),설정_코드표!$F$2:$F$101,0))),INDEX(설정_코드표!$K$2:$K$101,MATCH(LEFT(TRIM(I222&amp;""),FIND(" ",TRIM(I222&amp;""))-1),설정_코드표!$J$2:$J$101,0))&amp;" "&amp;INDEX(설정_코드표!$G$2:$G$101,MATCH(TRIM(RIGHT(SUBSTITUTE(TRIM(I222&amp;"")," ",REPT(" ",60)),60)),설정_코드표!$F$2:$F$101,0)),"⚠"&amp;TRIM(I222&amp;""))),"⚠"&amp;TRIM(I222&amp;""))</f>
        <v/>
      </c>
      <c r="R222" s="10">
        <f>IFERROR(IF(TRIM(J222&amp;"")="","",IF(AND(ISNUMBER(FIND(" ",TRIM(J222&amp;""))),ISNUMBER(MATCH(LEFT(TRIM(J222&amp;""),FIND(" ",TRIM(J222&amp;""))-1),설정_코드표!$J$2:$J$101,0)),ISNUMBER(MATCH(TRIM(RIGHT(SUBSTITUTE(TRIM(J222&amp;"")," ",REPT(" ",60)),60)),설정_코드표!$F$2:$F$101,0))),INDEX(설정_코드표!$K$2:$K$101,MATCH(LEFT(TRIM(J222&amp;""),FIND(" ",TRIM(J222&amp;""))-1),설정_코드표!$J$2:$J$101,0))&amp;" "&amp;INDEX(설정_코드표!$G$2:$G$101,MATCH(TRIM(RIGHT(SUBSTITUTE(TRIM(J222&amp;"")," ",REPT(" ",60)),60)),설정_코드표!$F$2:$F$101,0)),"⚠"&amp;TRIM(J222&amp;""))),"⚠"&amp;TRIM(J222&amp;""))</f>
        <v/>
      </c>
      <c r="S222" s="11">
        <f>IF(K222="","",IFERROR(IF(AND(ROUND((VALUE(K222&amp;"")-INT(VALUE(K222&amp;"")))*100,0)&gt;=1,ROUND((VALUE(K222&amp;"")-INT(VALUE(K222&amp;"")))*100,0)&lt;=12,INT(VALUE(K222&amp;""))&gt;=1900),DATE(INT(VALUE(K222&amp;"")),ROUND((VALUE(K222&amp;"")-INT(VALUE(K222&amp;"")))*100,0),1),K222&amp;""),K222&amp;""))</f>
        <v/>
      </c>
      <c r="T222" s="10">
        <f>COUNTIF(M222:R222,"⚠*")</f>
        <v/>
      </c>
    </row>
    <row r="223"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M223" s="10">
        <f>IFERROR(IF(TRIM(E223&amp;"")="","",IF(AND(ISNUMBER(FIND(" ",TRIM(E223&amp;""))),ISNUMBER(MATCH(LEFT(TRIM(E223&amp;""),FIND(" ",TRIM(E223&amp;""))-1),설정_코드표!$J$2:$J$101,0)),ISNUMBER(MATCH(TRIM(RIGHT(SUBSTITUTE(TRIM(E223&amp;"")," ",REPT(" ",60)),60)),설정_코드표!$F$2:$F$101,0))),INDEX(설정_코드표!$K$2:$K$101,MATCH(LEFT(TRIM(E223&amp;""),FIND(" ",TRIM(E223&amp;""))-1),설정_코드표!$J$2:$J$101,0))&amp;" "&amp;INDEX(설정_코드표!$G$2:$G$101,MATCH(TRIM(RIGHT(SUBSTITUTE(TRIM(E223&amp;"")," ",REPT(" ",60)),60)),설정_코드표!$F$2:$F$101,0)),"⚠"&amp;TRIM(E223&amp;""))),"⚠"&amp;TRIM(E223&amp;""))</f>
        <v/>
      </c>
      <c r="N223" s="10">
        <f>IFERROR(IF(TRIM(F223&amp;"")="","",IF(AND(ISNUMBER(FIND(" ",TRIM(F223&amp;""))),ISNUMBER(MATCH(LEFT(TRIM(F223&amp;""),FIND(" ",TRIM(F223&amp;""))-1),설정_코드표!$J$2:$J$101,0)),ISNUMBER(MATCH(TRIM(RIGHT(SUBSTITUTE(TRIM(F223&amp;"")," ",REPT(" ",60)),60)),설정_코드표!$F$2:$F$101,0))),INDEX(설정_코드표!$K$2:$K$101,MATCH(LEFT(TRIM(F223&amp;""),FIND(" ",TRIM(F223&amp;""))-1),설정_코드표!$J$2:$J$101,0))&amp;" "&amp;INDEX(설정_코드표!$G$2:$G$101,MATCH(TRIM(RIGHT(SUBSTITUTE(TRIM(F223&amp;"")," ",REPT(" ",60)),60)),설정_코드표!$F$2:$F$101,0)),"⚠"&amp;TRIM(F223&amp;""))),"⚠"&amp;TRIM(F223&amp;""))</f>
        <v/>
      </c>
      <c r="O223" s="10">
        <f>IFERROR(IF(TRIM(G223&amp;"")="","",IF(AND(ISNUMBER(FIND(" ",TRIM(G223&amp;""))),ISNUMBER(MATCH(LEFT(TRIM(G223&amp;""),FIND(" ",TRIM(G223&amp;""))-1),설정_코드표!$J$2:$J$101,0)),ISNUMBER(MATCH(TRIM(RIGHT(SUBSTITUTE(TRIM(G223&amp;"")," ",REPT(" ",60)),60)),설정_코드표!$F$2:$F$101,0))),INDEX(설정_코드표!$K$2:$K$101,MATCH(LEFT(TRIM(G223&amp;""),FIND(" ",TRIM(G223&amp;""))-1),설정_코드표!$J$2:$J$101,0))&amp;" "&amp;INDEX(설정_코드표!$G$2:$G$101,MATCH(TRIM(RIGHT(SUBSTITUTE(TRIM(G223&amp;"")," ",REPT(" ",60)),60)),설정_코드표!$F$2:$F$101,0)),"⚠"&amp;TRIM(G223&amp;""))),"⚠"&amp;TRIM(G223&amp;""))</f>
        <v/>
      </c>
      <c r="P223" s="10">
        <f>IFERROR(IF(TRIM(H223&amp;"")="","",IF(AND(ISNUMBER(FIND(" ",TRIM(H223&amp;""))),ISNUMBER(MATCH(LEFT(TRIM(H223&amp;""),FIND(" ",TRIM(H223&amp;""))-1),설정_코드표!$J$2:$J$101,0)),ISNUMBER(MATCH(TRIM(RIGHT(SUBSTITUTE(TRIM(H223&amp;"")," ",REPT(" ",60)),60)),설정_코드표!$F$2:$F$101,0))),INDEX(설정_코드표!$K$2:$K$101,MATCH(LEFT(TRIM(H223&amp;""),FIND(" ",TRIM(H223&amp;""))-1),설정_코드표!$J$2:$J$101,0))&amp;" "&amp;INDEX(설정_코드표!$G$2:$G$101,MATCH(TRIM(RIGHT(SUBSTITUTE(TRIM(H223&amp;"")," ",REPT(" ",60)),60)),설정_코드표!$F$2:$F$101,0)),"⚠"&amp;TRIM(H223&amp;""))),"⚠"&amp;TRIM(H223&amp;""))</f>
        <v/>
      </c>
      <c r="Q223" s="10">
        <f>IFERROR(IF(TRIM(I223&amp;"")="","",IF(AND(ISNUMBER(FIND(" ",TRIM(I223&amp;""))),ISNUMBER(MATCH(LEFT(TRIM(I223&amp;""),FIND(" ",TRIM(I223&amp;""))-1),설정_코드표!$J$2:$J$101,0)),ISNUMBER(MATCH(TRIM(RIGHT(SUBSTITUTE(TRIM(I223&amp;"")," ",REPT(" ",60)),60)),설정_코드표!$F$2:$F$101,0))),INDEX(설정_코드표!$K$2:$K$101,MATCH(LEFT(TRIM(I223&amp;""),FIND(" ",TRIM(I223&amp;""))-1),설정_코드표!$J$2:$J$101,0))&amp;" "&amp;INDEX(설정_코드표!$G$2:$G$101,MATCH(TRIM(RIGHT(SUBSTITUTE(TRIM(I223&amp;"")," ",REPT(" ",60)),60)),설정_코드표!$F$2:$F$101,0)),"⚠"&amp;TRIM(I223&amp;""))),"⚠"&amp;TRIM(I223&amp;""))</f>
        <v/>
      </c>
      <c r="R223" s="10">
        <f>IFERROR(IF(TRIM(J223&amp;"")="","",IF(AND(ISNUMBER(FIND(" ",TRIM(J223&amp;""))),ISNUMBER(MATCH(LEFT(TRIM(J223&amp;""),FIND(" ",TRIM(J223&amp;""))-1),설정_코드표!$J$2:$J$101,0)),ISNUMBER(MATCH(TRIM(RIGHT(SUBSTITUTE(TRIM(J223&amp;"")," ",REPT(" ",60)),60)),설정_코드표!$F$2:$F$101,0))),INDEX(설정_코드표!$K$2:$K$101,MATCH(LEFT(TRIM(J223&amp;""),FIND(" ",TRIM(J223&amp;""))-1),설정_코드표!$J$2:$J$101,0))&amp;" "&amp;INDEX(설정_코드표!$G$2:$G$101,MATCH(TRIM(RIGHT(SUBSTITUTE(TRIM(J223&amp;"")," ",REPT(" ",60)),60)),설정_코드표!$F$2:$F$101,0)),"⚠"&amp;TRIM(J223&amp;""))),"⚠"&amp;TRIM(J223&amp;""))</f>
        <v/>
      </c>
      <c r="S223" s="11">
        <f>IF(K223="","",IFERROR(IF(AND(ROUND((VALUE(K223&amp;"")-INT(VALUE(K223&amp;"")))*100,0)&gt;=1,ROUND((VALUE(K223&amp;"")-INT(VALUE(K223&amp;"")))*100,0)&lt;=12,INT(VALUE(K223&amp;""))&gt;=1900),DATE(INT(VALUE(K223&amp;"")),ROUND((VALUE(K223&amp;"")-INT(VALUE(K223&amp;"")))*100,0),1),K223&amp;""),K223&amp;""))</f>
        <v/>
      </c>
      <c r="T223" s="10">
        <f>COUNTIF(M223:R223,"⚠*")</f>
        <v/>
      </c>
    </row>
    <row r="224"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M224" s="10">
        <f>IFERROR(IF(TRIM(E224&amp;"")="","",IF(AND(ISNUMBER(FIND(" ",TRIM(E224&amp;""))),ISNUMBER(MATCH(LEFT(TRIM(E224&amp;""),FIND(" ",TRIM(E224&amp;""))-1),설정_코드표!$J$2:$J$101,0)),ISNUMBER(MATCH(TRIM(RIGHT(SUBSTITUTE(TRIM(E224&amp;"")," ",REPT(" ",60)),60)),설정_코드표!$F$2:$F$101,0))),INDEX(설정_코드표!$K$2:$K$101,MATCH(LEFT(TRIM(E224&amp;""),FIND(" ",TRIM(E224&amp;""))-1),설정_코드표!$J$2:$J$101,0))&amp;" "&amp;INDEX(설정_코드표!$G$2:$G$101,MATCH(TRIM(RIGHT(SUBSTITUTE(TRIM(E224&amp;"")," ",REPT(" ",60)),60)),설정_코드표!$F$2:$F$101,0)),"⚠"&amp;TRIM(E224&amp;""))),"⚠"&amp;TRIM(E224&amp;""))</f>
        <v/>
      </c>
      <c r="N224" s="10">
        <f>IFERROR(IF(TRIM(F224&amp;"")="","",IF(AND(ISNUMBER(FIND(" ",TRIM(F224&amp;""))),ISNUMBER(MATCH(LEFT(TRIM(F224&amp;""),FIND(" ",TRIM(F224&amp;""))-1),설정_코드표!$J$2:$J$101,0)),ISNUMBER(MATCH(TRIM(RIGHT(SUBSTITUTE(TRIM(F224&amp;"")," ",REPT(" ",60)),60)),설정_코드표!$F$2:$F$101,0))),INDEX(설정_코드표!$K$2:$K$101,MATCH(LEFT(TRIM(F224&amp;""),FIND(" ",TRIM(F224&amp;""))-1),설정_코드표!$J$2:$J$101,0))&amp;" "&amp;INDEX(설정_코드표!$G$2:$G$101,MATCH(TRIM(RIGHT(SUBSTITUTE(TRIM(F224&amp;"")," ",REPT(" ",60)),60)),설정_코드표!$F$2:$F$101,0)),"⚠"&amp;TRIM(F224&amp;""))),"⚠"&amp;TRIM(F224&amp;""))</f>
        <v/>
      </c>
      <c r="O224" s="10">
        <f>IFERROR(IF(TRIM(G224&amp;"")="","",IF(AND(ISNUMBER(FIND(" ",TRIM(G224&amp;""))),ISNUMBER(MATCH(LEFT(TRIM(G224&amp;""),FIND(" ",TRIM(G224&amp;""))-1),설정_코드표!$J$2:$J$101,0)),ISNUMBER(MATCH(TRIM(RIGHT(SUBSTITUTE(TRIM(G224&amp;"")," ",REPT(" ",60)),60)),설정_코드표!$F$2:$F$101,0))),INDEX(설정_코드표!$K$2:$K$101,MATCH(LEFT(TRIM(G224&amp;""),FIND(" ",TRIM(G224&amp;""))-1),설정_코드표!$J$2:$J$101,0))&amp;" "&amp;INDEX(설정_코드표!$G$2:$G$101,MATCH(TRIM(RIGHT(SUBSTITUTE(TRIM(G224&amp;"")," ",REPT(" ",60)),60)),설정_코드표!$F$2:$F$101,0)),"⚠"&amp;TRIM(G224&amp;""))),"⚠"&amp;TRIM(G224&amp;""))</f>
        <v/>
      </c>
      <c r="P224" s="10">
        <f>IFERROR(IF(TRIM(H224&amp;"")="","",IF(AND(ISNUMBER(FIND(" ",TRIM(H224&amp;""))),ISNUMBER(MATCH(LEFT(TRIM(H224&amp;""),FIND(" ",TRIM(H224&amp;""))-1),설정_코드표!$J$2:$J$101,0)),ISNUMBER(MATCH(TRIM(RIGHT(SUBSTITUTE(TRIM(H224&amp;"")," ",REPT(" ",60)),60)),설정_코드표!$F$2:$F$101,0))),INDEX(설정_코드표!$K$2:$K$101,MATCH(LEFT(TRIM(H224&amp;""),FIND(" ",TRIM(H224&amp;""))-1),설정_코드표!$J$2:$J$101,0))&amp;" "&amp;INDEX(설정_코드표!$G$2:$G$101,MATCH(TRIM(RIGHT(SUBSTITUTE(TRIM(H224&amp;"")," ",REPT(" ",60)),60)),설정_코드표!$F$2:$F$101,0)),"⚠"&amp;TRIM(H224&amp;""))),"⚠"&amp;TRIM(H224&amp;""))</f>
        <v/>
      </c>
      <c r="Q224" s="10">
        <f>IFERROR(IF(TRIM(I224&amp;"")="","",IF(AND(ISNUMBER(FIND(" ",TRIM(I224&amp;""))),ISNUMBER(MATCH(LEFT(TRIM(I224&amp;""),FIND(" ",TRIM(I224&amp;""))-1),설정_코드표!$J$2:$J$101,0)),ISNUMBER(MATCH(TRIM(RIGHT(SUBSTITUTE(TRIM(I224&amp;"")," ",REPT(" ",60)),60)),설정_코드표!$F$2:$F$101,0))),INDEX(설정_코드표!$K$2:$K$101,MATCH(LEFT(TRIM(I224&amp;""),FIND(" ",TRIM(I224&amp;""))-1),설정_코드표!$J$2:$J$101,0))&amp;" "&amp;INDEX(설정_코드표!$G$2:$G$101,MATCH(TRIM(RIGHT(SUBSTITUTE(TRIM(I224&amp;"")," ",REPT(" ",60)),60)),설정_코드표!$F$2:$F$101,0)),"⚠"&amp;TRIM(I224&amp;""))),"⚠"&amp;TRIM(I224&amp;""))</f>
        <v/>
      </c>
      <c r="R224" s="10">
        <f>IFERROR(IF(TRIM(J224&amp;"")="","",IF(AND(ISNUMBER(FIND(" ",TRIM(J224&amp;""))),ISNUMBER(MATCH(LEFT(TRIM(J224&amp;""),FIND(" ",TRIM(J224&amp;""))-1),설정_코드표!$J$2:$J$101,0)),ISNUMBER(MATCH(TRIM(RIGHT(SUBSTITUTE(TRIM(J224&amp;"")," ",REPT(" ",60)),60)),설정_코드표!$F$2:$F$101,0))),INDEX(설정_코드표!$K$2:$K$101,MATCH(LEFT(TRIM(J224&amp;""),FIND(" ",TRIM(J224&amp;""))-1),설정_코드표!$J$2:$J$101,0))&amp;" "&amp;INDEX(설정_코드표!$G$2:$G$101,MATCH(TRIM(RIGHT(SUBSTITUTE(TRIM(J224&amp;"")," ",REPT(" ",60)),60)),설정_코드표!$F$2:$F$101,0)),"⚠"&amp;TRIM(J224&amp;""))),"⚠"&amp;TRIM(J224&amp;""))</f>
        <v/>
      </c>
      <c r="S224" s="11">
        <f>IF(K224="","",IFERROR(IF(AND(ROUND((VALUE(K224&amp;"")-INT(VALUE(K224&amp;"")))*100,0)&gt;=1,ROUND((VALUE(K224&amp;"")-INT(VALUE(K224&amp;"")))*100,0)&lt;=12,INT(VALUE(K224&amp;""))&gt;=1900),DATE(INT(VALUE(K224&amp;"")),ROUND((VALUE(K224&amp;"")-INT(VALUE(K224&amp;"")))*100,0),1),K224&amp;""),K224&amp;""))</f>
        <v/>
      </c>
      <c r="T224" s="10">
        <f>COUNTIF(M224:R224,"⚠*")</f>
        <v/>
      </c>
    </row>
    <row r="225"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M225" s="10">
        <f>IFERROR(IF(TRIM(E225&amp;"")="","",IF(AND(ISNUMBER(FIND(" ",TRIM(E225&amp;""))),ISNUMBER(MATCH(LEFT(TRIM(E225&amp;""),FIND(" ",TRIM(E225&amp;""))-1),설정_코드표!$J$2:$J$101,0)),ISNUMBER(MATCH(TRIM(RIGHT(SUBSTITUTE(TRIM(E225&amp;"")," ",REPT(" ",60)),60)),설정_코드표!$F$2:$F$101,0))),INDEX(설정_코드표!$K$2:$K$101,MATCH(LEFT(TRIM(E225&amp;""),FIND(" ",TRIM(E225&amp;""))-1),설정_코드표!$J$2:$J$101,0))&amp;" "&amp;INDEX(설정_코드표!$G$2:$G$101,MATCH(TRIM(RIGHT(SUBSTITUTE(TRIM(E225&amp;"")," ",REPT(" ",60)),60)),설정_코드표!$F$2:$F$101,0)),"⚠"&amp;TRIM(E225&amp;""))),"⚠"&amp;TRIM(E225&amp;""))</f>
        <v/>
      </c>
      <c r="N225" s="10">
        <f>IFERROR(IF(TRIM(F225&amp;"")="","",IF(AND(ISNUMBER(FIND(" ",TRIM(F225&amp;""))),ISNUMBER(MATCH(LEFT(TRIM(F225&amp;""),FIND(" ",TRIM(F225&amp;""))-1),설정_코드표!$J$2:$J$101,0)),ISNUMBER(MATCH(TRIM(RIGHT(SUBSTITUTE(TRIM(F225&amp;"")," ",REPT(" ",60)),60)),설정_코드표!$F$2:$F$101,0))),INDEX(설정_코드표!$K$2:$K$101,MATCH(LEFT(TRIM(F225&amp;""),FIND(" ",TRIM(F225&amp;""))-1),설정_코드표!$J$2:$J$101,0))&amp;" "&amp;INDEX(설정_코드표!$G$2:$G$101,MATCH(TRIM(RIGHT(SUBSTITUTE(TRIM(F225&amp;"")," ",REPT(" ",60)),60)),설정_코드표!$F$2:$F$101,0)),"⚠"&amp;TRIM(F225&amp;""))),"⚠"&amp;TRIM(F225&amp;""))</f>
        <v/>
      </c>
      <c r="O225" s="10">
        <f>IFERROR(IF(TRIM(G225&amp;"")="","",IF(AND(ISNUMBER(FIND(" ",TRIM(G225&amp;""))),ISNUMBER(MATCH(LEFT(TRIM(G225&amp;""),FIND(" ",TRIM(G225&amp;""))-1),설정_코드표!$J$2:$J$101,0)),ISNUMBER(MATCH(TRIM(RIGHT(SUBSTITUTE(TRIM(G225&amp;"")," ",REPT(" ",60)),60)),설정_코드표!$F$2:$F$101,0))),INDEX(설정_코드표!$K$2:$K$101,MATCH(LEFT(TRIM(G225&amp;""),FIND(" ",TRIM(G225&amp;""))-1),설정_코드표!$J$2:$J$101,0))&amp;" "&amp;INDEX(설정_코드표!$G$2:$G$101,MATCH(TRIM(RIGHT(SUBSTITUTE(TRIM(G225&amp;"")," ",REPT(" ",60)),60)),설정_코드표!$F$2:$F$101,0)),"⚠"&amp;TRIM(G225&amp;""))),"⚠"&amp;TRIM(G225&amp;""))</f>
        <v/>
      </c>
      <c r="P225" s="10">
        <f>IFERROR(IF(TRIM(H225&amp;"")="","",IF(AND(ISNUMBER(FIND(" ",TRIM(H225&amp;""))),ISNUMBER(MATCH(LEFT(TRIM(H225&amp;""),FIND(" ",TRIM(H225&amp;""))-1),설정_코드표!$J$2:$J$101,0)),ISNUMBER(MATCH(TRIM(RIGHT(SUBSTITUTE(TRIM(H225&amp;"")," ",REPT(" ",60)),60)),설정_코드표!$F$2:$F$101,0))),INDEX(설정_코드표!$K$2:$K$101,MATCH(LEFT(TRIM(H225&amp;""),FIND(" ",TRIM(H225&amp;""))-1),설정_코드표!$J$2:$J$101,0))&amp;" "&amp;INDEX(설정_코드표!$G$2:$G$101,MATCH(TRIM(RIGHT(SUBSTITUTE(TRIM(H225&amp;"")," ",REPT(" ",60)),60)),설정_코드표!$F$2:$F$101,0)),"⚠"&amp;TRIM(H225&amp;""))),"⚠"&amp;TRIM(H225&amp;""))</f>
        <v/>
      </c>
      <c r="Q225" s="10">
        <f>IFERROR(IF(TRIM(I225&amp;"")="","",IF(AND(ISNUMBER(FIND(" ",TRIM(I225&amp;""))),ISNUMBER(MATCH(LEFT(TRIM(I225&amp;""),FIND(" ",TRIM(I225&amp;""))-1),설정_코드표!$J$2:$J$101,0)),ISNUMBER(MATCH(TRIM(RIGHT(SUBSTITUTE(TRIM(I225&amp;"")," ",REPT(" ",60)),60)),설정_코드표!$F$2:$F$101,0))),INDEX(설정_코드표!$K$2:$K$101,MATCH(LEFT(TRIM(I225&amp;""),FIND(" ",TRIM(I225&amp;""))-1),설정_코드표!$J$2:$J$101,0))&amp;" "&amp;INDEX(설정_코드표!$G$2:$G$101,MATCH(TRIM(RIGHT(SUBSTITUTE(TRIM(I225&amp;"")," ",REPT(" ",60)),60)),설정_코드표!$F$2:$F$101,0)),"⚠"&amp;TRIM(I225&amp;""))),"⚠"&amp;TRIM(I225&amp;""))</f>
        <v/>
      </c>
      <c r="R225" s="10">
        <f>IFERROR(IF(TRIM(J225&amp;"")="","",IF(AND(ISNUMBER(FIND(" ",TRIM(J225&amp;""))),ISNUMBER(MATCH(LEFT(TRIM(J225&amp;""),FIND(" ",TRIM(J225&amp;""))-1),설정_코드표!$J$2:$J$101,0)),ISNUMBER(MATCH(TRIM(RIGHT(SUBSTITUTE(TRIM(J225&amp;"")," ",REPT(" ",60)),60)),설정_코드표!$F$2:$F$101,0))),INDEX(설정_코드표!$K$2:$K$101,MATCH(LEFT(TRIM(J225&amp;""),FIND(" ",TRIM(J225&amp;""))-1),설정_코드표!$J$2:$J$101,0))&amp;" "&amp;INDEX(설정_코드표!$G$2:$G$101,MATCH(TRIM(RIGHT(SUBSTITUTE(TRIM(J225&amp;"")," ",REPT(" ",60)),60)),설정_코드표!$F$2:$F$101,0)),"⚠"&amp;TRIM(J225&amp;""))),"⚠"&amp;TRIM(J225&amp;""))</f>
        <v/>
      </c>
      <c r="S225" s="11">
        <f>IF(K225="","",IFERROR(IF(AND(ROUND((VALUE(K225&amp;"")-INT(VALUE(K225&amp;"")))*100,0)&gt;=1,ROUND((VALUE(K225&amp;"")-INT(VALUE(K225&amp;"")))*100,0)&lt;=12,INT(VALUE(K225&amp;""))&gt;=1900),DATE(INT(VALUE(K225&amp;"")),ROUND((VALUE(K225&amp;"")-INT(VALUE(K225&amp;"")))*100,0),1),K225&amp;""),K225&amp;""))</f>
        <v/>
      </c>
      <c r="T225" s="10">
        <f>COUNTIF(M225:R225,"⚠*")</f>
        <v/>
      </c>
    </row>
    <row r="226"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M226" s="10">
        <f>IFERROR(IF(TRIM(E226&amp;"")="","",IF(AND(ISNUMBER(FIND(" ",TRIM(E226&amp;""))),ISNUMBER(MATCH(LEFT(TRIM(E226&amp;""),FIND(" ",TRIM(E226&amp;""))-1),설정_코드표!$J$2:$J$101,0)),ISNUMBER(MATCH(TRIM(RIGHT(SUBSTITUTE(TRIM(E226&amp;"")," ",REPT(" ",60)),60)),설정_코드표!$F$2:$F$101,0))),INDEX(설정_코드표!$K$2:$K$101,MATCH(LEFT(TRIM(E226&amp;""),FIND(" ",TRIM(E226&amp;""))-1),설정_코드표!$J$2:$J$101,0))&amp;" "&amp;INDEX(설정_코드표!$G$2:$G$101,MATCH(TRIM(RIGHT(SUBSTITUTE(TRIM(E226&amp;"")," ",REPT(" ",60)),60)),설정_코드표!$F$2:$F$101,0)),"⚠"&amp;TRIM(E226&amp;""))),"⚠"&amp;TRIM(E226&amp;""))</f>
        <v/>
      </c>
      <c r="N226" s="10">
        <f>IFERROR(IF(TRIM(F226&amp;"")="","",IF(AND(ISNUMBER(FIND(" ",TRIM(F226&amp;""))),ISNUMBER(MATCH(LEFT(TRIM(F226&amp;""),FIND(" ",TRIM(F226&amp;""))-1),설정_코드표!$J$2:$J$101,0)),ISNUMBER(MATCH(TRIM(RIGHT(SUBSTITUTE(TRIM(F226&amp;"")," ",REPT(" ",60)),60)),설정_코드표!$F$2:$F$101,0))),INDEX(설정_코드표!$K$2:$K$101,MATCH(LEFT(TRIM(F226&amp;""),FIND(" ",TRIM(F226&amp;""))-1),설정_코드표!$J$2:$J$101,0))&amp;" "&amp;INDEX(설정_코드표!$G$2:$G$101,MATCH(TRIM(RIGHT(SUBSTITUTE(TRIM(F226&amp;"")," ",REPT(" ",60)),60)),설정_코드표!$F$2:$F$101,0)),"⚠"&amp;TRIM(F226&amp;""))),"⚠"&amp;TRIM(F226&amp;""))</f>
        <v/>
      </c>
      <c r="O226" s="10">
        <f>IFERROR(IF(TRIM(G226&amp;"")="","",IF(AND(ISNUMBER(FIND(" ",TRIM(G226&amp;""))),ISNUMBER(MATCH(LEFT(TRIM(G226&amp;""),FIND(" ",TRIM(G226&amp;""))-1),설정_코드표!$J$2:$J$101,0)),ISNUMBER(MATCH(TRIM(RIGHT(SUBSTITUTE(TRIM(G226&amp;"")," ",REPT(" ",60)),60)),설정_코드표!$F$2:$F$101,0))),INDEX(설정_코드표!$K$2:$K$101,MATCH(LEFT(TRIM(G226&amp;""),FIND(" ",TRIM(G226&amp;""))-1),설정_코드표!$J$2:$J$101,0))&amp;" "&amp;INDEX(설정_코드표!$G$2:$G$101,MATCH(TRIM(RIGHT(SUBSTITUTE(TRIM(G226&amp;"")," ",REPT(" ",60)),60)),설정_코드표!$F$2:$F$101,0)),"⚠"&amp;TRIM(G226&amp;""))),"⚠"&amp;TRIM(G226&amp;""))</f>
        <v/>
      </c>
      <c r="P226" s="10">
        <f>IFERROR(IF(TRIM(H226&amp;"")="","",IF(AND(ISNUMBER(FIND(" ",TRIM(H226&amp;""))),ISNUMBER(MATCH(LEFT(TRIM(H226&amp;""),FIND(" ",TRIM(H226&amp;""))-1),설정_코드표!$J$2:$J$101,0)),ISNUMBER(MATCH(TRIM(RIGHT(SUBSTITUTE(TRIM(H226&amp;"")," ",REPT(" ",60)),60)),설정_코드표!$F$2:$F$101,0))),INDEX(설정_코드표!$K$2:$K$101,MATCH(LEFT(TRIM(H226&amp;""),FIND(" ",TRIM(H226&amp;""))-1),설정_코드표!$J$2:$J$101,0))&amp;" "&amp;INDEX(설정_코드표!$G$2:$G$101,MATCH(TRIM(RIGHT(SUBSTITUTE(TRIM(H226&amp;"")," ",REPT(" ",60)),60)),설정_코드표!$F$2:$F$101,0)),"⚠"&amp;TRIM(H226&amp;""))),"⚠"&amp;TRIM(H226&amp;""))</f>
        <v/>
      </c>
      <c r="Q226" s="10">
        <f>IFERROR(IF(TRIM(I226&amp;"")="","",IF(AND(ISNUMBER(FIND(" ",TRIM(I226&amp;""))),ISNUMBER(MATCH(LEFT(TRIM(I226&amp;""),FIND(" ",TRIM(I226&amp;""))-1),설정_코드표!$J$2:$J$101,0)),ISNUMBER(MATCH(TRIM(RIGHT(SUBSTITUTE(TRIM(I226&amp;"")," ",REPT(" ",60)),60)),설정_코드표!$F$2:$F$101,0))),INDEX(설정_코드표!$K$2:$K$101,MATCH(LEFT(TRIM(I226&amp;""),FIND(" ",TRIM(I226&amp;""))-1),설정_코드표!$J$2:$J$101,0))&amp;" "&amp;INDEX(설정_코드표!$G$2:$G$101,MATCH(TRIM(RIGHT(SUBSTITUTE(TRIM(I226&amp;"")," ",REPT(" ",60)),60)),설정_코드표!$F$2:$F$101,0)),"⚠"&amp;TRIM(I226&amp;""))),"⚠"&amp;TRIM(I226&amp;""))</f>
        <v/>
      </c>
      <c r="R226" s="10">
        <f>IFERROR(IF(TRIM(J226&amp;"")="","",IF(AND(ISNUMBER(FIND(" ",TRIM(J226&amp;""))),ISNUMBER(MATCH(LEFT(TRIM(J226&amp;""),FIND(" ",TRIM(J226&amp;""))-1),설정_코드표!$J$2:$J$101,0)),ISNUMBER(MATCH(TRIM(RIGHT(SUBSTITUTE(TRIM(J226&amp;"")," ",REPT(" ",60)),60)),설정_코드표!$F$2:$F$101,0))),INDEX(설정_코드표!$K$2:$K$101,MATCH(LEFT(TRIM(J226&amp;""),FIND(" ",TRIM(J226&amp;""))-1),설정_코드표!$J$2:$J$101,0))&amp;" "&amp;INDEX(설정_코드표!$G$2:$G$101,MATCH(TRIM(RIGHT(SUBSTITUTE(TRIM(J226&amp;"")," ",REPT(" ",60)),60)),설정_코드표!$F$2:$F$101,0)),"⚠"&amp;TRIM(J226&amp;""))),"⚠"&amp;TRIM(J226&amp;""))</f>
        <v/>
      </c>
      <c r="S226" s="11">
        <f>IF(K226="","",IFERROR(IF(AND(ROUND((VALUE(K226&amp;"")-INT(VALUE(K226&amp;"")))*100,0)&gt;=1,ROUND((VALUE(K226&amp;"")-INT(VALUE(K226&amp;"")))*100,0)&lt;=12,INT(VALUE(K226&amp;""))&gt;=1900),DATE(INT(VALUE(K226&amp;"")),ROUND((VALUE(K226&amp;"")-INT(VALUE(K226&amp;"")))*100,0),1),K226&amp;""),K226&amp;""))</f>
        <v/>
      </c>
      <c r="T226" s="10">
        <f>COUNTIF(M226:R226,"⚠*")</f>
        <v/>
      </c>
    </row>
    <row r="227"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M227" s="10">
        <f>IFERROR(IF(TRIM(E227&amp;"")="","",IF(AND(ISNUMBER(FIND(" ",TRIM(E227&amp;""))),ISNUMBER(MATCH(LEFT(TRIM(E227&amp;""),FIND(" ",TRIM(E227&amp;""))-1),설정_코드표!$J$2:$J$101,0)),ISNUMBER(MATCH(TRIM(RIGHT(SUBSTITUTE(TRIM(E227&amp;"")," ",REPT(" ",60)),60)),설정_코드표!$F$2:$F$101,0))),INDEX(설정_코드표!$K$2:$K$101,MATCH(LEFT(TRIM(E227&amp;""),FIND(" ",TRIM(E227&amp;""))-1),설정_코드표!$J$2:$J$101,0))&amp;" "&amp;INDEX(설정_코드표!$G$2:$G$101,MATCH(TRIM(RIGHT(SUBSTITUTE(TRIM(E227&amp;"")," ",REPT(" ",60)),60)),설정_코드표!$F$2:$F$101,0)),"⚠"&amp;TRIM(E227&amp;""))),"⚠"&amp;TRIM(E227&amp;""))</f>
        <v/>
      </c>
      <c r="N227" s="10">
        <f>IFERROR(IF(TRIM(F227&amp;"")="","",IF(AND(ISNUMBER(FIND(" ",TRIM(F227&amp;""))),ISNUMBER(MATCH(LEFT(TRIM(F227&amp;""),FIND(" ",TRIM(F227&amp;""))-1),설정_코드표!$J$2:$J$101,0)),ISNUMBER(MATCH(TRIM(RIGHT(SUBSTITUTE(TRIM(F227&amp;"")," ",REPT(" ",60)),60)),설정_코드표!$F$2:$F$101,0))),INDEX(설정_코드표!$K$2:$K$101,MATCH(LEFT(TRIM(F227&amp;""),FIND(" ",TRIM(F227&amp;""))-1),설정_코드표!$J$2:$J$101,0))&amp;" "&amp;INDEX(설정_코드표!$G$2:$G$101,MATCH(TRIM(RIGHT(SUBSTITUTE(TRIM(F227&amp;"")," ",REPT(" ",60)),60)),설정_코드표!$F$2:$F$101,0)),"⚠"&amp;TRIM(F227&amp;""))),"⚠"&amp;TRIM(F227&amp;""))</f>
        <v/>
      </c>
      <c r="O227" s="10">
        <f>IFERROR(IF(TRIM(G227&amp;"")="","",IF(AND(ISNUMBER(FIND(" ",TRIM(G227&amp;""))),ISNUMBER(MATCH(LEFT(TRIM(G227&amp;""),FIND(" ",TRIM(G227&amp;""))-1),설정_코드표!$J$2:$J$101,0)),ISNUMBER(MATCH(TRIM(RIGHT(SUBSTITUTE(TRIM(G227&amp;"")," ",REPT(" ",60)),60)),설정_코드표!$F$2:$F$101,0))),INDEX(설정_코드표!$K$2:$K$101,MATCH(LEFT(TRIM(G227&amp;""),FIND(" ",TRIM(G227&amp;""))-1),설정_코드표!$J$2:$J$101,0))&amp;" "&amp;INDEX(설정_코드표!$G$2:$G$101,MATCH(TRIM(RIGHT(SUBSTITUTE(TRIM(G227&amp;"")," ",REPT(" ",60)),60)),설정_코드표!$F$2:$F$101,0)),"⚠"&amp;TRIM(G227&amp;""))),"⚠"&amp;TRIM(G227&amp;""))</f>
        <v/>
      </c>
      <c r="P227" s="10">
        <f>IFERROR(IF(TRIM(H227&amp;"")="","",IF(AND(ISNUMBER(FIND(" ",TRIM(H227&amp;""))),ISNUMBER(MATCH(LEFT(TRIM(H227&amp;""),FIND(" ",TRIM(H227&amp;""))-1),설정_코드표!$J$2:$J$101,0)),ISNUMBER(MATCH(TRIM(RIGHT(SUBSTITUTE(TRIM(H227&amp;"")," ",REPT(" ",60)),60)),설정_코드표!$F$2:$F$101,0))),INDEX(설정_코드표!$K$2:$K$101,MATCH(LEFT(TRIM(H227&amp;""),FIND(" ",TRIM(H227&amp;""))-1),설정_코드표!$J$2:$J$101,0))&amp;" "&amp;INDEX(설정_코드표!$G$2:$G$101,MATCH(TRIM(RIGHT(SUBSTITUTE(TRIM(H227&amp;"")," ",REPT(" ",60)),60)),설정_코드표!$F$2:$F$101,0)),"⚠"&amp;TRIM(H227&amp;""))),"⚠"&amp;TRIM(H227&amp;""))</f>
        <v/>
      </c>
      <c r="Q227" s="10">
        <f>IFERROR(IF(TRIM(I227&amp;"")="","",IF(AND(ISNUMBER(FIND(" ",TRIM(I227&amp;""))),ISNUMBER(MATCH(LEFT(TRIM(I227&amp;""),FIND(" ",TRIM(I227&amp;""))-1),설정_코드표!$J$2:$J$101,0)),ISNUMBER(MATCH(TRIM(RIGHT(SUBSTITUTE(TRIM(I227&amp;"")," ",REPT(" ",60)),60)),설정_코드표!$F$2:$F$101,0))),INDEX(설정_코드표!$K$2:$K$101,MATCH(LEFT(TRIM(I227&amp;""),FIND(" ",TRIM(I227&amp;""))-1),설정_코드표!$J$2:$J$101,0))&amp;" "&amp;INDEX(설정_코드표!$G$2:$G$101,MATCH(TRIM(RIGHT(SUBSTITUTE(TRIM(I227&amp;"")," ",REPT(" ",60)),60)),설정_코드표!$F$2:$F$101,0)),"⚠"&amp;TRIM(I227&amp;""))),"⚠"&amp;TRIM(I227&amp;""))</f>
        <v/>
      </c>
      <c r="R227" s="10">
        <f>IFERROR(IF(TRIM(J227&amp;"")="","",IF(AND(ISNUMBER(FIND(" ",TRIM(J227&amp;""))),ISNUMBER(MATCH(LEFT(TRIM(J227&amp;""),FIND(" ",TRIM(J227&amp;""))-1),설정_코드표!$J$2:$J$101,0)),ISNUMBER(MATCH(TRIM(RIGHT(SUBSTITUTE(TRIM(J227&amp;"")," ",REPT(" ",60)),60)),설정_코드표!$F$2:$F$101,0))),INDEX(설정_코드표!$K$2:$K$101,MATCH(LEFT(TRIM(J227&amp;""),FIND(" ",TRIM(J227&amp;""))-1),설정_코드표!$J$2:$J$101,0))&amp;" "&amp;INDEX(설정_코드표!$G$2:$G$101,MATCH(TRIM(RIGHT(SUBSTITUTE(TRIM(J227&amp;"")," ",REPT(" ",60)),60)),설정_코드표!$F$2:$F$101,0)),"⚠"&amp;TRIM(J227&amp;""))),"⚠"&amp;TRIM(J227&amp;""))</f>
        <v/>
      </c>
      <c r="S227" s="11">
        <f>IF(K227="","",IFERROR(IF(AND(ROUND((VALUE(K227&amp;"")-INT(VALUE(K227&amp;"")))*100,0)&gt;=1,ROUND((VALUE(K227&amp;"")-INT(VALUE(K227&amp;"")))*100,0)&lt;=12,INT(VALUE(K227&amp;""))&gt;=1900),DATE(INT(VALUE(K227&amp;"")),ROUND((VALUE(K227&amp;"")-INT(VALUE(K227&amp;"")))*100,0),1),K227&amp;""),K227&amp;""))</f>
        <v/>
      </c>
      <c r="T227" s="10">
        <f>COUNTIF(M227:R227,"⚠*")</f>
        <v/>
      </c>
    </row>
    <row r="228"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M228" s="10">
        <f>IFERROR(IF(TRIM(E228&amp;"")="","",IF(AND(ISNUMBER(FIND(" ",TRIM(E228&amp;""))),ISNUMBER(MATCH(LEFT(TRIM(E228&amp;""),FIND(" ",TRIM(E228&amp;""))-1),설정_코드표!$J$2:$J$101,0)),ISNUMBER(MATCH(TRIM(RIGHT(SUBSTITUTE(TRIM(E228&amp;"")," ",REPT(" ",60)),60)),설정_코드표!$F$2:$F$101,0))),INDEX(설정_코드표!$K$2:$K$101,MATCH(LEFT(TRIM(E228&amp;""),FIND(" ",TRIM(E228&amp;""))-1),설정_코드표!$J$2:$J$101,0))&amp;" "&amp;INDEX(설정_코드표!$G$2:$G$101,MATCH(TRIM(RIGHT(SUBSTITUTE(TRIM(E228&amp;"")," ",REPT(" ",60)),60)),설정_코드표!$F$2:$F$101,0)),"⚠"&amp;TRIM(E228&amp;""))),"⚠"&amp;TRIM(E228&amp;""))</f>
        <v/>
      </c>
      <c r="N228" s="10">
        <f>IFERROR(IF(TRIM(F228&amp;"")="","",IF(AND(ISNUMBER(FIND(" ",TRIM(F228&amp;""))),ISNUMBER(MATCH(LEFT(TRIM(F228&amp;""),FIND(" ",TRIM(F228&amp;""))-1),설정_코드표!$J$2:$J$101,0)),ISNUMBER(MATCH(TRIM(RIGHT(SUBSTITUTE(TRIM(F228&amp;"")," ",REPT(" ",60)),60)),설정_코드표!$F$2:$F$101,0))),INDEX(설정_코드표!$K$2:$K$101,MATCH(LEFT(TRIM(F228&amp;""),FIND(" ",TRIM(F228&amp;""))-1),설정_코드표!$J$2:$J$101,0))&amp;" "&amp;INDEX(설정_코드표!$G$2:$G$101,MATCH(TRIM(RIGHT(SUBSTITUTE(TRIM(F228&amp;"")," ",REPT(" ",60)),60)),설정_코드표!$F$2:$F$101,0)),"⚠"&amp;TRIM(F228&amp;""))),"⚠"&amp;TRIM(F228&amp;""))</f>
        <v/>
      </c>
      <c r="O228" s="10">
        <f>IFERROR(IF(TRIM(G228&amp;"")="","",IF(AND(ISNUMBER(FIND(" ",TRIM(G228&amp;""))),ISNUMBER(MATCH(LEFT(TRIM(G228&amp;""),FIND(" ",TRIM(G228&amp;""))-1),설정_코드표!$J$2:$J$101,0)),ISNUMBER(MATCH(TRIM(RIGHT(SUBSTITUTE(TRIM(G228&amp;"")," ",REPT(" ",60)),60)),설정_코드표!$F$2:$F$101,0))),INDEX(설정_코드표!$K$2:$K$101,MATCH(LEFT(TRIM(G228&amp;""),FIND(" ",TRIM(G228&amp;""))-1),설정_코드표!$J$2:$J$101,0))&amp;" "&amp;INDEX(설정_코드표!$G$2:$G$101,MATCH(TRIM(RIGHT(SUBSTITUTE(TRIM(G228&amp;"")," ",REPT(" ",60)),60)),설정_코드표!$F$2:$F$101,0)),"⚠"&amp;TRIM(G228&amp;""))),"⚠"&amp;TRIM(G228&amp;""))</f>
        <v/>
      </c>
      <c r="P228" s="10">
        <f>IFERROR(IF(TRIM(H228&amp;"")="","",IF(AND(ISNUMBER(FIND(" ",TRIM(H228&amp;""))),ISNUMBER(MATCH(LEFT(TRIM(H228&amp;""),FIND(" ",TRIM(H228&amp;""))-1),설정_코드표!$J$2:$J$101,0)),ISNUMBER(MATCH(TRIM(RIGHT(SUBSTITUTE(TRIM(H228&amp;"")," ",REPT(" ",60)),60)),설정_코드표!$F$2:$F$101,0))),INDEX(설정_코드표!$K$2:$K$101,MATCH(LEFT(TRIM(H228&amp;""),FIND(" ",TRIM(H228&amp;""))-1),설정_코드표!$J$2:$J$101,0))&amp;" "&amp;INDEX(설정_코드표!$G$2:$G$101,MATCH(TRIM(RIGHT(SUBSTITUTE(TRIM(H228&amp;"")," ",REPT(" ",60)),60)),설정_코드표!$F$2:$F$101,0)),"⚠"&amp;TRIM(H228&amp;""))),"⚠"&amp;TRIM(H228&amp;""))</f>
        <v/>
      </c>
      <c r="Q228" s="10">
        <f>IFERROR(IF(TRIM(I228&amp;"")="","",IF(AND(ISNUMBER(FIND(" ",TRIM(I228&amp;""))),ISNUMBER(MATCH(LEFT(TRIM(I228&amp;""),FIND(" ",TRIM(I228&amp;""))-1),설정_코드표!$J$2:$J$101,0)),ISNUMBER(MATCH(TRIM(RIGHT(SUBSTITUTE(TRIM(I228&amp;"")," ",REPT(" ",60)),60)),설정_코드표!$F$2:$F$101,0))),INDEX(설정_코드표!$K$2:$K$101,MATCH(LEFT(TRIM(I228&amp;""),FIND(" ",TRIM(I228&amp;""))-1),설정_코드표!$J$2:$J$101,0))&amp;" "&amp;INDEX(설정_코드표!$G$2:$G$101,MATCH(TRIM(RIGHT(SUBSTITUTE(TRIM(I228&amp;"")," ",REPT(" ",60)),60)),설정_코드표!$F$2:$F$101,0)),"⚠"&amp;TRIM(I228&amp;""))),"⚠"&amp;TRIM(I228&amp;""))</f>
        <v/>
      </c>
      <c r="R228" s="10">
        <f>IFERROR(IF(TRIM(J228&amp;"")="","",IF(AND(ISNUMBER(FIND(" ",TRIM(J228&amp;""))),ISNUMBER(MATCH(LEFT(TRIM(J228&amp;""),FIND(" ",TRIM(J228&amp;""))-1),설정_코드표!$J$2:$J$101,0)),ISNUMBER(MATCH(TRIM(RIGHT(SUBSTITUTE(TRIM(J228&amp;"")," ",REPT(" ",60)),60)),설정_코드표!$F$2:$F$101,0))),INDEX(설정_코드표!$K$2:$K$101,MATCH(LEFT(TRIM(J228&amp;""),FIND(" ",TRIM(J228&amp;""))-1),설정_코드표!$J$2:$J$101,0))&amp;" "&amp;INDEX(설정_코드표!$G$2:$G$101,MATCH(TRIM(RIGHT(SUBSTITUTE(TRIM(J228&amp;"")," ",REPT(" ",60)),60)),설정_코드표!$F$2:$F$101,0)),"⚠"&amp;TRIM(J228&amp;""))),"⚠"&amp;TRIM(J228&amp;""))</f>
        <v/>
      </c>
      <c r="S228" s="11">
        <f>IF(K228="","",IFERROR(IF(AND(ROUND((VALUE(K228&amp;"")-INT(VALUE(K228&amp;"")))*100,0)&gt;=1,ROUND((VALUE(K228&amp;"")-INT(VALUE(K228&amp;"")))*100,0)&lt;=12,INT(VALUE(K228&amp;""))&gt;=1900),DATE(INT(VALUE(K228&amp;"")),ROUND((VALUE(K228&amp;"")-INT(VALUE(K228&amp;"")))*100,0),1),K228&amp;""),K228&amp;""))</f>
        <v/>
      </c>
      <c r="T228" s="10">
        <f>COUNTIF(M228:R228,"⚠*")</f>
        <v/>
      </c>
    </row>
    <row r="229"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M229" s="10">
        <f>IFERROR(IF(TRIM(E229&amp;"")="","",IF(AND(ISNUMBER(FIND(" ",TRIM(E229&amp;""))),ISNUMBER(MATCH(LEFT(TRIM(E229&amp;""),FIND(" ",TRIM(E229&amp;""))-1),설정_코드표!$J$2:$J$101,0)),ISNUMBER(MATCH(TRIM(RIGHT(SUBSTITUTE(TRIM(E229&amp;"")," ",REPT(" ",60)),60)),설정_코드표!$F$2:$F$101,0))),INDEX(설정_코드표!$K$2:$K$101,MATCH(LEFT(TRIM(E229&amp;""),FIND(" ",TRIM(E229&amp;""))-1),설정_코드표!$J$2:$J$101,0))&amp;" "&amp;INDEX(설정_코드표!$G$2:$G$101,MATCH(TRIM(RIGHT(SUBSTITUTE(TRIM(E229&amp;"")," ",REPT(" ",60)),60)),설정_코드표!$F$2:$F$101,0)),"⚠"&amp;TRIM(E229&amp;""))),"⚠"&amp;TRIM(E229&amp;""))</f>
        <v/>
      </c>
      <c r="N229" s="10">
        <f>IFERROR(IF(TRIM(F229&amp;"")="","",IF(AND(ISNUMBER(FIND(" ",TRIM(F229&amp;""))),ISNUMBER(MATCH(LEFT(TRIM(F229&amp;""),FIND(" ",TRIM(F229&amp;""))-1),설정_코드표!$J$2:$J$101,0)),ISNUMBER(MATCH(TRIM(RIGHT(SUBSTITUTE(TRIM(F229&amp;"")," ",REPT(" ",60)),60)),설정_코드표!$F$2:$F$101,0))),INDEX(설정_코드표!$K$2:$K$101,MATCH(LEFT(TRIM(F229&amp;""),FIND(" ",TRIM(F229&amp;""))-1),설정_코드표!$J$2:$J$101,0))&amp;" "&amp;INDEX(설정_코드표!$G$2:$G$101,MATCH(TRIM(RIGHT(SUBSTITUTE(TRIM(F229&amp;"")," ",REPT(" ",60)),60)),설정_코드표!$F$2:$F$101,0)),"⚠"&amp;TRIM(F229&amp;""))),"⚠"&amp;TRIM(F229&amp;""))</f>
        <v/>
      </c>
      <c r="O229" s="10">
        <f>IFERROR(IF(TRIM(G229&amp;"")="","",IF(AND(ISNUMBER(FIND(" ",TRIM(G229&amp;""))),ISNUMBER(MATCH(LEFT(TRIM(G229&amp;""),FIND(" ",TRIM(G229&amp;""))-1),설정_코드표!$J$2:$J$101,0)),ISNUMBER(MATCH(TRIM(RIGHT(SUBSTITUTE(TRIM(G229&amp;"")," ",REPT(" ",60)),60)),설정_코드표!$F$2:$F$101,0))),INDEX(설정_코드표!$K$2:$K$101,MATCH(LEFT(TRIM(G229&amp;""),FIND(" ",TRIM(G229&amp;""))-1),설정_코드표!$J$2:$J$101,0))&amp;" "&amp;INDEX(설정_코드표!$G$2:$G$101,MATCH(TRIM(RIGHT(SUBSTITUTE(TRIM(G229&amp;"")," ",REPT(" ",60)),60)),설정_코드표!$F$2:$F$101,0)),"⚠"&amp;TRIM(G229&amp;""))),"⚠"&amp;TRIM(G229&amp;""))</f>
        <v/>
      </c>
      <c r="P229" s="10">
        <f>IFERROR(IF(TRIM(H229&amp;"")="","",IF(AND(ISNUMBER(FIND(" ",TRIM(H229&amp;""))),ISNUMBER(MATCH(LEFT(TRIM(H229&amp;""),FIND(" ",TRIM(H229&amp;""))-1),설정_코드표!$J$2:$J$101,0)),ISNUMBER(MATCH(TRIM(RIGHT(SUBSTITUTE(TRIM(H229&amp;"")," ",REPT(" ",60)),60)),설정_코드표!$F$2:$F$101,0))),INDEX(설정_코드표!$K$2:$K$101,MATCH(LEFT(TRIM(H229&amp;""),FIND(" ",TRIM(H229&amp;""))-1),설정_코드표!$J$2:$J$101,0))&amp;" "&amp;INDEX(설정_코드표!$G$2:$G$101,MATCH(TRIM(RIGHT(SUBSTITUTE(TRIM(H229&amp;"")," ",REPT(" ",60)),60)),설정_코드표!$F$2:$F$101,0)),"⚠"&amp;TRIM(H229&amp;""))),"⚠"&amp;TRIM(H229&amp;""))</f>
        <v/>
      </c>
      <c r="Q229" s="10">
        <f>IFERROR(IF(TRIM(I229&amp;"")="","",IF(AND(ISNUMBER(FIND(" ",TRIM(I229&amp;""))),ISNUMBER(MATCH(LEFT(TRIM(I229&amp;""),FIND(" ",TRIM(I229&amp;""))-1),설정_코드표!$J$2:$J$101,0)),ISNUMBER(MATCH(TRIM(RIGHT(SUBSTITUTE(TRIM(I229&amp;"")," ",REPT(" ",60)),60)),설정_코드표!$F$2:$F$101,0))),INDEX(설정_코드표!$K$2:$K$101,MATCH(LEFT(TRIM(I229&amp;""),FIND(" ",TRIM(I229&amp;""))-1),설정_코드표!$J$2:$J$101,0))&amp;" "&amp;INDEX(설정_코드표!$G$2:$G$101,MATCH(TRIM(RIGHT(SUBSTITUTE(TRIM(I229&amp;"")," ",REPT(" ",60)),60)),설정_코드표!$F$2:$F$101,0)),"⚠"&amp;TRIM(I229&amp;""))),"⚠"&amp;TRIM(I229&amp;""))</f>
        <v/>
      </c>
      <c r="R229" s="10">
        <f>IFERROR(IF(TRIM(J229&amp;"")="","",IF(AND(ISNUMBER(FIND(" ",TRIM(J229&amp;""))),ISNUMBER(MATCH(LEFT(TRIM(J229&amp;""),FIND(" ",TRIM(J229&amp;""))-1),설정_코드표!$J$2:$J$101,0)),ISNUMBER(MATCH(TRIM(RIGHT(SUBSTITUTE(TRIM(J229&amp;"")," ",REPT(" ",60)),60)),설정_코드표!$F$2:$F$101,0))),INDEX(설정_코드표!$K$2:$K$101,MATCH(LEFT(TRIM(J229&amp;""),FIND(" ",TRIM(J229&amp;""))-1),설정_코드표!$J$2:$J$101,0))&amp;" "&amp;INDEX(설정_코드표!$G$2:$G$101,MATCH(TRIM(RIGHT(SUBSTITUTE(TRIM(J229&amp;"")," ",REPT(" ",60)),60)),설정_코드표!$F$2:$F$101,0)),"⚠"&amp;TRIM(J229&amp;""))),"⚠"&amp;TRIM(J229&amp;""))</f>
        <v/>
      </c>
      <c r="S229" s="11">
        <f>IF(K229="","",IFERROR(IF(AND(ROUND((VALUE(K229&amp;"")-INT(VALUE(K229&amp;"")))*100,0)&gt;=1,ROUND((VALUE(K229&amp;"")-INT(VALUE(K229&amp;"")))*100,0)&lt;=12,INT(VALUE(K229&amp;""))&gt;=1900),DATE(INT(VALUE(K229&amp;"")),ROUND((VALUE(K229&amp;"")-INT(VALUE(K229&amp;"")))*100,0),1),K229&amp;""),K229&amp;""))</f>
        <v/>
      </c>
      <c r="T229" s="10">
        <f>COUNTIF(M229:R229,"⚠*")</f>
        <v/>
      </c>
    </row>
    <row r="230"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M230" s="10">
        <f>IFERROR(IF(TRIM(E230&amp;"")="","",IF(AND(ISNUMBER(FIND(" ",TRIM(E230&amp;""))),ISNUMBER(MATCH(LEFT(TRIM(E230&amp;""),FIND(" ",TRIM(E230&amp;""))-1),설정_코드표!$J$2:$J$101,0)),ISNUMBER(MATCH(TRIM(RIGHT(SUBSTITUTE(TRIM(E230&amp;"")," ",REPT(" ",60)),60)),설정_코드표!$F$2:$F$101,0))),INDEX(설정_코드표!$K$2:$K$101,MATCH(LEFT(TRIM(E230&amp;""),FIND(" ",TRIM(E230&amp;""))-1),설정_코드표!$J$2:$J$101,0))&amp;" "&amp;INDEX(설정_코드표!$G$2:$G$101,MATCH(TRIM(RIGHT(SUBSTITUTE(TRIM(E230&amp;"")," ",REPT(" ",60)),60)),설정_코드표!$F$2:$F$101,0)),"⚠"&amp;TRIM(E230&amp;""))),"⚠"&amp;TRIM(E230&amp;""))</f>
        <v/>
      </c>
      <c r="N230" s="10">
        <f>IFERROR(IF(TRIM(F230&amp;"")="","",IF(AND(ISNUMBER(FIND(" ",TRIM(F230&amp;""))),ISNUMBER(MATCH(LEFT(TRIM(F230&amp;""),FIND(" ",TRIM(F230&amp;""))-1),설정_코드표!$J$2:$J$101,0)),ISNUMBER(MATCH(TRIM(RIGHT(SUBSTITUTE(TRIM(F230&amp;"")," ",REPT(" ",60)),60)),설정_코드표!$F$2:$F$101,0))),INDEX(설정_코드표!$K$2:$K$101,MATCH(LEFT(TRIM(F230&amp;""),FIND(" ",TRIM(F230&amp;""))-1),설정_코드표!$J$2:$J$101,0))&amp;" "&amp;INDEX(설정_코드표!$G$2:$G$101,MATCH(TRIM(RIGHT(SUBSTITUTE(TRIM(F230&amp;"")," ",REPT(" ",60)),60)),설정_코드표!$F$2:$F$101,0)),"⚠"&amp;TRIM(F230&amp;""))),"⚠"&amp;TRIM(F230&amp;""))</f>
        <v/>
      </c>
      <c r="O230" s="10">
        <f>IFERROR(IF(TRIM(G230&amp;"")="","",IF(AND(ISNUMBER(FIND(" ",TRIM(G230&amp;""))),ISNUMBER(MATCH(LEFT(TRIM(G230&amp;""),FIND(" ",TRIM(G230&amp;""))-1),설정_코드표!$J$2:$J$101,0)),ISNUMBER(MATCH(TRIM(RIGHT(SUBSTITUTE(TRIM(G230&amp;"")," ",REPT(" ",60)),60)),설정_코드표!$F$2:$F$101,0))),INDEX(설정_코드표!$K$2:$K$101,MATCH(LEFT(TRIM(G230&amp;""),FIND(" ",TRIM(G230&amp;""))-1),설정_코드표!$J$2:$J$101,0))&amp;" "&amp;INDEX(설정_코드표!$G$2:$G$101,MATCH(TRIM(RIGHT(SUBSTITUTE(TRIM(G230&amp;"")," ",REPT(" ",60)),60)),설정_코드표!$F$2:$F$101,0)),"⚠"&amp;TRIM(G230&amp;""))),"⚠"&amp;TRIM(G230&amp;""))</f>
        <v/>
      </c>
      <c r="P230" s="10">
        <f>IFERROR(IF(TRIM(H230&amp;"")="","",IF(AND(ISNUMBER(FIND(" ",TRIM(H230&amp;""))),ISNUMBER(MATCH(LEFT(TRIM(H230&amp;""),FIND(" ",TRIM(H230&amp;""))-1),설정_코드표!$J$2:$J$101,0)),ISNUMBER(MATCH(TRIM(RIGHT(SUBSTITUTE(TRIM(H230&amp;"")," ",REPT(" ",60)),60)),설정_코드표!$F$2:$F$101,0))),INDEX(설정_코드표!$K$2:$K$101,MATCH(LEFT(TRIM(H230&amp;""),FIND(" ",TRIM(H230&amp;""))-1),설정_코드표!$J$2:$J$101,0))&amp;" "&amp;INDEX(설정_코드표!$G$2:$G$101,MATCH(TRIM(RIGHT(SUBSTITUTE(TRIM(H230&amp;"")," ",REPT(" ",60)),60)),설정_코드표!$F$2:$F$101,0)),"⚠"&amp;TRIM(H230&amp;""))),"⚠"&amp;TRIM(H230&amp;""))</f>
        <v/>
      </c>
      <c r="Q230" s="10">
        <f>IFERROR(IF(TRIM(I230&amp;"")="","",IF(AND(ISNUMBER(FIND(" ",TRIM(I230&amp;""))),ISNUMBER(MATCH(LEFT(TRIM(I230&amp;""),FIND(" ",TRIM(I230&amp;""))-1),설정_코드표!$J$2:$J$101,0)),ISNUMBER(MATCH(TRIM(RIGHT(SUBSTITUTE(TRIM(I230&amp;"")," ",REPT(" ",60)),60)),설정_코드표!$F$2:$F$101,0))),INDEX(설정_코드표!$K$2:$K$101,MATCH(LEFT(TRIM(I230&amp;""),FIND(" ",TRIM(I230&amp;""))-1),설정_코드표!$J$2:$J$101,0))&amp;" "&amp;INDEX(설정_코드표!$G$2:$G$101,MATCH(TRIM(RIGHT(SUBSTITUTE(TRIM(I230&amp;"")," ",REPT(" ",60)),60)),설정_코드표!$F$2:$F$101,0)),"⚠"&amp;TRIM(I230&amp;""))),"⚠"&amp;TRIM(I230&amp;""))</f>
        <v/>
      </c>
      <c r="R230" s="10">
        <f>IFERROR(IF(TRIM(J230&amp;"")="","",IF(AND(ISNUMBER(FIND(" ",TRIM(J230&amp;""))),ISNUMBER(MATCH(LEFT(TRIM(J230&amp;""),FIND(" ",TRIM(J230&amp;""))-1),설정_코드표!$J$2:$J$101,0)),ISNUMBER(MATCH(TRIM(RIGHT(SUBSTITUTE(TRIM(J230&amp;"")," ",REPT(" ",60)),60)),설정_코드표!$F$2:$F$101,0))),INDEX(설정_코드표!$K$2:$K$101,MATCH(LEFT(TRIM(J230&amp;""),FIND(" ",TRIM(J230&amp;""))-1),설정_코드표!$J$2:$J$101,0))&amp;" "&amp;INDEX(설정_코드표!$G$2:$G$101,MATCH(TRIM(RIGHT(SUBSTITUTE(TRIM(J230&amp;"")," ",REPT(" ",60)),60)),설정_코드표!$F$2:$F$101,0)),"⚠"&amp;TRIM(J230&amp;""))),"⚠"&amp;TRIM(J230&amp;""))</f>
        <v/>
      </c>
      <c r="S230" s="11">
        <f>IF(K230="","",IFERROR(IF(AND(ROUND((VALUE(K230&amp;"")-INT(VALUE(K230&amp;"")))*100,0)&gt;=1,ROUND((VALUE(K230&amp;"")-INT(VALUE(K230&amp;"")))*100,0)&lt;=12,INT(VALUE(K230&amp;""))&gt;=1900),DATE(INT(VALUE(K230&amp;"")),ROUND((VALUE(K230&amp;"")-INT(VALUE(K230&amp;"")))*100,0),1),K230&amp;""),K230&amp;""))</f>
        <v/>
      </c>
      <c r="T230" s="10">
        <f>COUNTIF(M230:R230,"⚠*")</f>
        <v/>
      </c>
    </row>
    <row r="231"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M231" s="10">
        <f>IFERROR(IF(TRIM(E231&amp;"")="","",IF(AND(ISNUMBER(FIND(" ",TRIM(E231&amp;""))),ISNUMBER(MATCH(LEFT(TRIM(E231&amp;""),FIND(" ",TRIM(E231&amp;""))-1),설정_코드표!$J$2:$J$101,0)),ISNUMBER(MATCH(TRIM(RIGHT(SUBSTITUTE(TRIM(E231&amp;"")," ",REPT(" ",60)),60)),설정_코드표!$F$2:$F$101,0))),INDEX(설정_코드표!$K$2:$K$101,MATCH(LEFT(TRIM(E231&amp;""),FIND(" ",TRIM(E231&amp;""))-1),설정_코드표!$J$2:$J$101,0))&amp;" "&amp;INDEX(설정_코드표!$G$2:$G$101,MATCH(TRIM(RIGHT(SUBSTITUTE(TRIM(E231&amp;"")," ",REPT(" ",60)),60)),설정_코드표!$F$2:$F$101,0)),"⚠"&amp;TRIM(E231&amp;""))),"⚠"&amp;TRIM(E231&amp;""))</f>
        <v/>
      </c>
      <c r="N231" s="10">
        <f>IFERROR(IF(TRIM(F231&amp;"")="","",IF(AND(ISNUMBER(FIND(" ",TRIM(F231&amp;""))),ISNUMBER(MATCH(LEFT(TRIM(F231&amp;""),FIND(" ",TRIM(F231&amp;""))-1),설정_코드표!$J$2:$J$101,0)),ISNUMBER(MATCH(TRIM(RIGHT(SUBSTITUTE(TRIM(F231&amp;"")," ",REPT(" ",60)),60)),설정_코드표!$F$2:$F$101,0))),INDEX(설정_코드표!$K$2:$K$101,MATCH(LEFT(TRIM(F231&amp;""),FIND(" ",TRIM(F231&amp;""))-1),설정_코드표!$J$2:$J$101,0))&amp;" "&amp;INDEX(설정_코드표!$G$2:$G$101,MATCH(TRIM(RIGHT(SUBSTITUTE(TRIM(F231&amp;"")," ",REPT(" ",60)),60)),설정_코드표!$F$2:$F$101,0)),"⚠"&amp;TRIM(F231&amp;""))),"⚠"&amp;TRIM(F231&amp;""))</f>
        <v/>
      </c>
      <c r="O231" s="10">
        <f>IFERROR(IF(TRIM(G231&amp;"")="","",IF(AND(ISNUMBER(FIND(" ",TRIM(G231&amp;""))),ISNUMBER(MATCH(LEFT(TRIM(G231&amp;""),FIND(" ",TRIM(G231&amp;""))-1),설정_코드표!$J$2:$J$101,0)),ISNUMBER(MATCH(TRIM(RIGHT(SUBSTITUTE(TRIM(G231&amp;"")," ",REPT(" ",60)),60)),설정_코드표!$F$2:$F$101,0))),INDEX(설정_코드표!$K$2:$K$101,MATCH(LEFT(TRIM(G231&amp;""),FIND(" ",TRIM(G231&amp;""))-1),설정_코드표!$J$2:$J$101,0))&amp;" "&amp;INDEX(설정_코드표!$G$2:$G$101,MATCH(TRIM(RIGHT(SUBSTITUTE(TRIM(G231&amp;"")," ",REPT(" ",60)),60)),설정_코드표!$F$2:$F$101,0)),"⚠"&amp;TRIM(G231&amp;""))),"⚠"&amp;TRIM(G231&amp;""))</f>
        <v/>
      </c>
      <c r="P231" s="10">
        <f>IFERROR(IF(TRIM(H231&amp;"")="","",IF(AND(ISNUMBER(FIND(" ",TRIM(H231&amp;""))),ISNUMBER(MATCH(LEFT(TRIM(H231&amp;""),FIND(" ",TRIM(H231&amp;""))-1),설정_코드표!$J$2:$J$101,0)),ISNUMBER(MATCH(TRIM(RIGHT(SUBSTITUTE(TRIM(H231&amp;"")," ",REPT(" ",60)),60)),설정_코드표!$F$2:$F$101,0))),INDEX(설정_코드표!$K$2:$K$101,MATCH(LEFT(TRIM(H231&amp;""),FIND(" ",TRIM(H231&amp;""))-1),설정_코드표!$J$2:$J$101,0))&amp;" "&amp;INDEX(설정_코드표!$G$2:$G$101,MATCH(TRIM(RIGHT(SUBSTITUTE(TRIM(H231&amp;"")," ",REPT(" ",60)),60)),설정_코드표!$F$2:$F$101,0)),"⚠"&amp;TRIM(H231&amp;""))),"⚠"&amp;TRIM(H231&amp;""))</f>
        <v/>
      </c>
      <c r="Q231" s="10">
        <f>IFERROR(IF(TRIM(I231&amp;"")="","",IF(AND(ISNUMBER(FIND(" ",TRIM(I231&amp;""))),ISNUMBER(MATCH(LEFT(TRIM(I231&amp;""),FIND(" ",TRIM(I231&amp;""))-1),설정_코드표!$J$2:$J$101,0)),ISNUMBER(MATCH(TRIM(RIGHT(SUBSTITUTE(TRIM(I231&amp;"")," ",REPT(" ",60)),60)),설정_코드표!$F$2:$F$101,0))),INDEX(설정_코드표!$K$2:$K$101,MATCH(LEFT(TRIM(I231&amp;""),FIND(" ",TRIM(I231&amp;""))-1),설정_코드표!$J$2:$J$101,0))&amp;" "&amp;INDEX(설정_코드표!$G$2:$G$101,MATCH(TRIM(RIGHT(SUBSTITUTE(TRIM(I231&amp;"")," ",REPT(" ",60)),60)),설정_코드표!$F$2:$F$101,0)),"⚠"&amp;TRIM(I231&amp;""))),"⚠"&amp;TRIM(I231&amp;""))</f>
        <v/>
      </c>
      <c r="R231" s="10">
        <f>IFERROR(IF(TRIM(J231&amp;"")="","",IF(AND(ISNUMBER(FIND(" ",TRIM(J231&amp;""))),ISNUMBER(MATCH(LEFT(TRIM(J231&amp;""),FIND(" ",TRIM(J231&amp;""))-1),설정_코드표!$J$2:$J$101,0)),ISNUMBER(MATCH(TRIM(RIGHT(SUBSTITUTE(TRIM(J231&amp;"")," ",REPT(" ",60)),60)),설정_코드표!$F$2:$F$101,0))),INDEX(설정_코드표!$K$2:$K$101,MATCH(LEFT(TRIM(J231&amp;""),FIND(" ",TRIM(J231&amp;""))-1),설정_코드표!$J$2:$J$101,0))&amp;" "&amp;INDEX(설정_코드표!$G$2:$G$101,MATCH(TRIM(RIGHT(SUBSTITUTE(TRIM(J231&amp;"")," ",REPT(" ",60)),60)),설정_코드표!$F$2:$F$101,0)),"⚠"&amp;TRIM(J231&amp;""))),"⚠"&amp;TRIM(J231&amp;""))</f>
        <v/>
      </c>
      <c r="S231" s="11">
        <f>IF(K231="","",IFERROR(IF(AND(ROUND((VALUE(K231&amp;"")-INT(VALUE(K231&amp;"")))*100,0)&gt;=1,ROUND((VALUE(K231&amp;"")-INT(VALUE(K231&amp;"")))*100,0)&lt;=12,INT(VALUE(K231&amp;""))&gt;=1900),DATE(INT(VALUE(K231&amp;"")),ROUND((VALUE(K231&amp;"")-INT(VALUE(K231&amp;"")))*100,0),1),K231&amp;""),K231&amp;""))</f>
        <v/>
      </c>
      <c r="T231" s="10">
        <f>COUNTIF(M231:R231,"⚠*")</f>
        <v/>
      </c>
    </row>
    <row r="232"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M232" s="10">
        <f>IFERROR(IF(TRIM(E232&amp;"")="","",IF(AND(ISNUMBER(FIND(" ",TRIM(E232&amp;""))),ISNUMBER(MATCH(LEFT(TRIM(E232&amp;""),FIND(" ",TRIM(E232&amp;""))-1),설정_코드표!$J$2:$J$101,0)),ISNUMBER(MATCH(TRIM(RIGHT(SUBSTITUTE(TRIM(E232&amp;"")," ",REPT(" ",60)),60)),설정_코드표!$F$2:$F$101,0))),INDEX(설정_코드표!$K$2:$K$101,MATCH(LEFT(TRIM(E232&amp;""),FIND(" ",TRIM(E232&amp;""))-1),설정_코드표!$J$2:$J$101,0))&amp;" "&amp;INDEX(설정_코드표!$G$2:$G$101,MATCH(TRIM(RIGHT(SUBSTITUTE(TRIM(E232&amp;"")," ",REPT(" ",60)),60)),설정_코드표!$F$2:$F$101,0)),"⚠"&amp;TRIM(E232&amp;""))),"⚠"&amp;TRIM(E232&amp;""))</f>
        <v/>
      </c>
      <c r="N232" s="10">
        <f>IFERROR(IF(TRIM(F232&amp;"")="","",IF(AND(ISNUMBER(FIND(" ",TRIM(F232&amp;""))),ISNUMBER(MATCH(LEFT(TRIM(F232&amp;""),FIND(" ",TRIM(F232&amp;""))-1),설정_코드표!$J$2:$J$101,0)),ISNUMBER(MATCH(TRIM(RIGHT(SUBSTITUTE(TRIM(F232&amp;"")," ",REPT(" ",60)),60)),설정_코드표!$F$2:$F$101,0))),INDEX(설정_코드표!$K$2:$K$101,MATCH(LEFT(TRIM(F232&amp;""),FIND(" ",TRIM(F232&amp;""))-1),설정_코드표!$J$2:$J$101,0))&amp;" "&amp;INDEX(설정_코드표!$G$2:$G$101,MATCH(TRIM(RIGHT(SUBSTITUTE(TRIM(F232&amp;"")," ",REPT(" ",60)),60)),설정_코드표!$F$2:$F$101,0)),"⚠"&amp;TRIM(F232&amp;""))),"⚠"&amp;TRIM(F232&amp;""))</f>
        <v/>
      </c>
      <c r="O232" s="10">
        <f>IFERROR(IF(TRIM(G232&amp;"")="","",IF(AND(ISNUMBER(FIND(" ",TRIM(G232&amp;""))),ISNUMBER(MATCH(LEFT(TRIM(G232&amp;""),FIND(" ",TRIM(G232&amp;""))-1),설정_코드표!$J$2:$J$101,0)),ISNUMBER(MATCH(TRIM(RIGHT(SUBSTITUTE(TRIM(G232&amp;"")," ",REPT(" ",60)),60)),설정_코드표!$F$2:$F$101,0))),INDEX(설정_코드표!$K$2:$K$101,MATCH(LEFT(TRIM(G232&amp;""),FIND(" ",TRIM(G232&amp;""))-1),설정_코드표!$J$2:$J$101,0))&amp;" "&amp;INDEX(설정_코드표!$G$2:$G$101,MATCH(TRIM(RIGHT(SUBSTITUTE(TRIM(G232&amp;"")," ",REPT(" ",60)),60)),설정_코드표!$F$2:$F$101,0)),"⚠"&amp;TRIM(G232&amp;""))),"⚠"&amp;TRIM(G232&amp;""))</f>
        <v/>
      </c>
      <c r="P232" s="10">
        <f>IFERROR(IF(TRIM(H232&amp;"")="","",IF(AND(ISNUMBER(FIND(" ",TRIM(H232&amp;""))),ISNUMBER(MATCH(LEFT(TRIM(H232&amp;""),FIND(" ",TRIM(H232&amp;""))-1),설정_코드표!$J$2:$J$101,0)),ISNUMBER(MATCH(TRIM(RIGHT(SUBSTITUTE(TRIM(H232&amp;"")," ",REPT(" ",60)),60)),설정_코드표!$F$2:$F$101,0))),INDEX(설정_코드표!$K$2:$K$101,MATCH(LEFT(TRIM(H232&amp;""),FIND(" ",TRIM(H232&amp;""))-1),설정_코드표!$J$2:$J$101,0))&amp;" "&amp;INDEX(설정_코드표!$G$2:$G$101,MATCH(TRIM(RIGHT(SUBSTITUTE(TRIM(H232&amp;"")," ",REPT(" ",60)),60)),설정_코드표!$F$2:$F$101,0)),"⚠"&amp;TRIM(H232&amp;""))),"⚠"&amp;TRIM(H232&amp;""))</f>
        <v/>
      </c>
      <c r="Q232" s="10">
        <f>IFERROR(IF(TRIM(I232&amp;"")="","",IF(AND(ISNUMBER(FIND(" ",TRIM(I232&amp;""))),ISNUMBER(MATCH(LEFT(TRIM(I232&amp;""),FIND(" ",TRIM(I232&amp;""))-1),설정_코드표!$J$2:$J$101,0)),ISNUMBER(MATCH(TRIM(RIGHT(SUBSTITUTE(TRIM(I232&amp;"")," ",REPT(" ",60)),60)),설정_코드표!$F$2:$F$101,0))),INDEX(설정_코드표!$K$2:$K$101,MATCH(LEFT(TRIM(I232&amp;""),FIND(" ",TRIM(I232&amp;""))-1),설정_코드표!$J$2:$J$101,0))&amp;" "&amp;INDEX(설정_코드표!$G$2:$G$101,MATCH(TRIM(RIGHT(SUBSTITUTE(TRIM(I232&amp;"")," ",REPT(" ",60)),60)),설정_코드표!$F$2:$F$101,0)),"⚠"&amp;TRIM(I232&amp;""))),"⚠"&amp;TRIM(I232&amp;""))</f>
        <v/>
      </c>
      <c r="R232" s="10">
        <f>IFERROR(IF(TRIM(J232&amp;"")="","",IF(AND(ISNUMBER(FIND(" ",TRIM(J232&amp;""))),ISNUMBER(MATCH(LEFT(TRIM(J232&amp;""),FIND(" ",TRIM(J232&amp;""))-1),설정_코드표!$J$2:$J$101,0)),ISNUMBER(MATCH(TRIM(RIGHT(SUBSTITUTE(TRIM(J232&amp;"")," ",REPT(" ",60)),60)),설정_코드표!$F$2:$F$101,0))),INDEX(설정_코드표!$K$2:$K$101,MATCH(LEFT(TRIM(J232&amp;""),FIND(" ",TRIM(J232&amp;""))-1),설정_코드표!$J$2:$J$101,0))&amp;" "&amp;INDEX(설정_코드표!$G$2:$G$101,MATCH(TRIM(RIGHT(SUBSTITUTE(TRIM(J232&amp;"")," ",REPT(" ",60)),60)),설정_코드표!$F$2:$F$101,0)),"⚠"&amp;TRIM(J232&amp;""))),"⚠"&amp;TRIM(J232&amp;""))</f>
        <v/>
      </c>
      <c r="S232" s="11">
        <f>IF(K232="","",IFERROR(IF(AND(ROUND((VALUE(K232&amp;"")-INT(VALUE(K232&amp;"")))*100,0)&gt;=1,ROUND((VALUE(K232&amp;"")-INT(VALUE(K232&amp;"")))*100,0)&lt;=12,INT(VALUE(K232&amp;""))&gt;=1900),DATE(INT(VALUE(K232&amp;"")),ROUND((VALUE(K232&amp;"")-INT(VALUE(K232&amp;"")))*100,0),1),K232&amp;""),K232&amp;""))</f>
        <v/>
      </c>
      <c r="T232" s="10">
        <f>COUNTIF(M232:R232,"⚠*")</f>
        <v/>
      </c>
    </row>
    <row r="233"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M233" s="10">
        <f>IFERROR(IF(TRIM(E233&amp;"")="","",IF(AND(ISNUMBER(FIND(" ",TRIM(E233&amp;""))),ISNUMBER(MATCH(LEFT(TRIM(E233&amp;""),FIND(" ",TRIM(E233&amp;""))-1),설정_코드표!$J$2:$J$101,0)),ISNUMBER(MATCH(TRIM(RIGHT(SUBSTITUTE(TRIM(E233&amp;"")," ",REPT(" ",60)),60)),설정_코드표!$F$2:$F$101,0))),INDEX(설정_코드표!$K$2:$K$101,MATCH(LEFT(TRIM(E233&amp;""),FIND(" ",TRIM(E233&amp;""))-1),설정_코드표!$J$2:$J$101,0))&amp;" "&amp;INDEX(설정_코드표!$G$2:$G$101,MATCH(TRIM(RIGHT(SUBSTITUTE(TRIM(E233&amp;"")," ",REPT(" ",60)),60)),설정_코드표!$F$2:$F$101,0)),"⚠"&amp;TRIM(E233&amp;""))),"⚠"&amp;TRIM(E233&amp;""))</f>
        <v/>
      </c>
      <c r="N233" s="10">
        <f>IFERROR(IF(TRIM(F233&amp;"")="","",IF(AND(ISNUMBER(FIND(" ",TRIM(F233&amp;""))),ISNUMBER(MATCH(LEFT(TRIM(F233&amp;""),FIND(" ",TRIM(F233&amp;""))-1),설정_코드표!$J$2:$J$101,0)),ISNUMBER(MATCH(TRIM(RIGHT(SUBSTITUTE(TRIM(F233&amp;"")," ",REPT(" ",60)),60)),설정_코드표!$F$2:$F$101,0))),INDEX(설정_코드표!$K$2:$K$101,MATCH(LEFT(TRIM(F233&amp;""),FIND(" ",TRIM(F233&amp;""))-1),설정_코드표!$J$2:$J$101,0))&amp;" "&amp;INDEX(설정_코드표!$G$2:$G$101,MATCH(TRIM(RIGHT(SUBSTITUTE(TRIM(F233&amp;"")," ",REPT(" ",60)),60)),설정_코드표!$F$2:$F$101,0)),"⚠"&amp;TRIM(F233&amp;""))),"⚠"&amp;TRIM(F233&amp;""))</f>
        <v/>
      </c>
      <c r="O233" s="10">
        <f>IFERROR(IF(TRIM(G233&amp;"")="","",IF(AND(ISNUMBER(FIND(" ",TRIM(G233&amp;""))),ISNUMBER(MATCH(LEFT(TRIM(G233&amp;""),FIND(" ",TRIM(G233&amp;""))-1),설정_코드표!$J$2:$J$101,0)),ISNUMBER(MATCH(TRIM(RIGHT(SUBSTITUTE(TRIM(G233&amp;"")," ",REPT(" ",60)),60)),설정_코드표!$F$2:$F$101,0))),INDEX(설정_코드표!$K$2:$K$101,MATCH(LEFT(TRIM(G233&amp;""),FIND(" ",TRIM(G233&amp;""))-1),설정_코드표!$J$2:$J$101,0))&amp;" "&amp;INDEX(설정_코드표!$G$2:$G$101,MATCH(TRIM(RIGHT(SUBSTITUTE(TRIM(G233&amp;"")," ",REPT(" ",60)),60)),설정_코드표!$F$2:$F$101,0)),"⚠"&amp;TRIM(G233&amp;""))),"⚠"&amp;TRIM(G233&amp;""))</f>
        <v/>
      </c>
      <c r="P233" s="10">
        <f>IFERROR(IF(TRIM(H233&amp;"")="","",IF(AND(ISNUMBER(FIND(" ",TRIM(H233&amp;""))),ISNUMBER(MATCH(LEFT(TRIM(H233&amp;""),FIND(" ",TRIM(H233&amp;""))-1),설정_코드표!$J$2:$J$101,0)),ISNUMBER(MATCH(TRIM(RIGHT(SUBSTITUTE(TRIM(H233&amp;"")," ",REPT(" ",60)),60)),설정_코드표!$F$2:$F$101,0))),INDEX(설정_코드표!$K$2:$K$101,MATCH(LEFT(TRIM(H233&amp;""),FIND(" ",TRIM(H233&amp;""))-1),설정_코드표!$J$2:$J$101,0))&amp;" "&amp;INDEX(설정_코드표!$G$2:$G$101,MATCH(TRIM(RIGHT(SUBSTITUTE(TRIM(H233&amp;"")," ",REPT(" ",60)),60)),설정_코드표!$F$2:$F$101,0)),"⚠"&amp;TRIM(H233&amp;""))),"⚠"&amp;TRIM(H233&amp;""))</f>
        <v/>
      </c>
      <c r="Q233" s="10">
        <f>IFERROR(IF(TRIM(I233&amp;"")="","",IF(AND(ISNUMBER(FIND(" ",TRIM(I233&amp;""))),ISNUMBER(MATCH(LEFT(TRIM(I233&amp;""),FIND(" ",TRIM(I233&amp;""))-1),설정_코드표!$J$2:$J$101,0)),ISNUMBER(MATCH(TRIM(RIGHT(SUBSTITUTE(TRIM(I233&amp;"")," ",REPT(" ",60)),60)),설정_코드표!$F$2:$F$101,0))),INDEX(설정_코드표!$K$2:$K$101,MATCH(LEFT(TRIM(I233&amp;""),FIND(" ",TRIM(I233&amp;""))-1),설정_코드표!$J$2:$J$101,0))&amp;" "&amp;INDEX(설정_코드표!$G$2:$G$101,MATCH(TRIM(RIGHT(SUBSTITUTE(TRIM(I233&amp;"")," ",REPT(" ",60)),60)),설정_코드표!$F$2:$F$101,0)),"⚠"&amp;TRIM(I233&amp;""))),"⚠"&amp;TRIM(I233&amp;""))</f>
        <v/>
      </c>
      <c r="R233" s="10">
        <f>IFERROR(IF(TRIM(J233&amp;"")="","",IF(AND(ISNUMBER(FIND(" ",TRIM(J233&amp;""))),ISNUMBER(MATCH(LEFT(TRIM(J233&amp;""),FIND(" ",TRIM(J233&amp;""))-1),설정_코드표!$J$2:$J$101,0)),ISNUMBER(MATCH(TRIM(RIGHT(SUBSTITUTE(TRIM(J233&amp;"")," ",REPT(" ",60)),60)),설정_코드표!$F$2:$F$101,0))),INDEX(설정_코드표!$K$2:$K$101,MATCH(LEFT(TRIM(J233&amp;""),FIND(" ",TRIM(J233&amp;""))-1),설정_코드표!$J$2:$J$101,0))&amp;" "&amp;INDEX(설정_코드표!$G$2:$G$101,MATCH(TRIM(RIGHT(SUBSTITUTE(TRIM(J233&amp;"")," ",REPT(" ",60)),60)),설정_코드표!$F$2:$F$101,0)),"⚠"&amp;TRIM(J233&amp;""))),"⚠"&amp;TRIM(J233&amp;""))</f>
        <v/>
      </c>
      <c r="S233" s="11">
        <f>IF(K233="","",IFERROR(IF(AND(ROUND((VALUE(K233&amp;"")-INT(VALUE(K233&amp;"")))*100,0)&gt;=1,ROUND((VALUE(K233&amp;"")-INT(VALUE(K233&amp;"")))*100,0)&lt;=12,INT(VALUE(K233&amp;""))&gt;=1900),DATE(INT(VALUE(K233&amp;"")),ROUND((VALUE(K233&amp;"")-INT(VALUE(K233&amp;"")))*100,0),1),K233&amp;""),K233&amp;""))</f>
        <v/>
      </c>
      <c r="T233" s="10">
        <f>COUNTIF(M233:R233,"⚠*")</f>
        <v/>
      </c>
    </row>
    <row r="234"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M234" s="10">
        <f>IFERROR(IF(TRIM(E234&amp;"")="","",IF(AND(ISNUMBER(FIND(" ",TRIM(E234&amp;""))),ISNUMBER(MATCH(LEFT(TRIM(E234&amp;""),FIND(" ",TRIM(E234&amp;""))-1),설정_코드표!$J$2:$J$101,0)),ISNUMBER(MATCH(TRIM(RIGHT(SUBSTITUTE(TRIM(E234&amp;"")," ",REPT(" ",60)),60)),설정_코드표!$F$2:$F$101,0))),INDEX(설정_코드표!$K$2:$K$101,MATCH(LEFT(TRIM(E234&amp;""),FIND(" ",TRIM(E234&amp;""))-1),설정_코드표!$J$2:$J$101,0))&amp;" "&amp;INDEX(설정_코드표!$G$2:$G$101,MATCH(TRIM(RIGHT(SUBSTITUTE(TRIM(E234&amp;"")," ",REPT(" ",60)),60)),설정_코드표!$F$2:$F$101,0)),"⚠"&amp;TRIM(E234&amp;""))),"⚠"&amp;TRIM(E234&amp;""))</f>
        <v/>
      </c>
      <c r="N234" s="10">
        <f>IFERROR(IF(TRIM(F234&amp;"")="","",IF(AND(ISNUMBER(FIND(" ",TRIM(F234&amp;""))),ISNUMBER(MATCH(LEFT(TRIM(F234&amp;""),FIND(" ",TRIM(F234&amp;""))-1),설정_코드표!$J$2:$J$101,0)),ISNUMBER(MATCH(TRIM(RIGHT(SUBSTITUTE(TRIM(F234&amp;"")," ",REPT(" ",60)),60)),설정_코드표!$F$2:$F$101,0))),INDEX(설정_코드표!$K$2:$K$101,MATCH(LEFT(TRIM(F234&amp;""),FIND(" ",TRIM(F234&amp;""))-1),설정_코드표!$J$2:$J$101,0))&amp;" "&amp;INDEX(설정_코드표!$G$2:$G$101,MATCH(TRIM(RIGHT(SUBSTITUTE(TRIM(F234&amp;"")," ",REPT(" ",60)),60)),설정_코드표!$F$2:$F$101,0)),"⚠"&amp;TRIM(F234&amp;""))),"⚠"&amp;TRIM(F234&amp;""))</f>
        <v/>
      </c>
      <c r="O234" s="10">
        <f>IFERROR(IF(TRIM(G234&amp;"")="","",IF(AND(ISNUMBER(FIND(" ",TRIM(G234&amp;""))),ISNUMBER(MATCH(LEFT(TRIM(G234&amp;""),FIND(" ",TRIM(G234&amp;""))-1),설정_코드표!$J$2:$J$101,0)),ISNUMBER(MATCH(TRIM(RIGHT(SUBSTITUTE(TRIM(G234&amp;"")," ",REPT(" ",60)),60)),설정_코드표!$F$2:$F$101,0))),INDEX(설정_코드표!$K$2:$K$101,MATCH(LEFT(TRIM(G234&amp;""),FIND(" ",TRIM(G234&amp;""))-1),설정_코드표!$J$2:$J$101,0))&amp;" "&amp;INDEX(설정_코드표!$G$2:$G$101,MATCH(TRIM(RIGHT(SUBSTITUTE(TRIM(G234&amp;"")," ",REPT(" ",60)),60)),설정_코드표!$F$2:$F$101,0)),"⚠"&amp;TRIM(G234&amp;""))),"⚠"&amp;TRIM(G234&amp;""))</f>
        <v/>
      </c>
      <c r="P234" s="10">
        <f>IFERROR(IF(TRIM(H234&amp;"")="","",IF(AND(ISNUMBER(FIND(" ",TRIM(H234&amp;""))),ISNUMBER(MATCH(LEFT(TRIM(H234&amp;""),FIND(" ",TRIM(H234&amp;""))-1),설정_코드표!$J$2:$J$101,0)),ISNUMBER(MATCH(TRIM(RIGHT(SUBSTITUTE(TRIM(H234&amp;"")," ",REPT(" ",60)),60)),설정_코드표!$F$2:$F$101,0))),INDEX(설정_코드표!$K$2:$K$101,MATCH(LEFT(TRIM(H234&amp;""),FIND(" ",TRIM(H234&amp;""))-1),설정_코드표!$J$2:$J$101,0))&amp;" "&amp;INDEX(설정_코드표!$G$2:$G$101,MATCH(TRIM(RIGHT(SUBSTITUTE(TRIM(H234&amp;"")," ",REPT(" ",60)),60)),설정_코드표!$F$2:$F$101,0)),"⚠"&amp;TRIM(H234&amp;""))),"⚠"&amp;TRIM(H234&amp;""))</f>
        <v/>
      </c>
      <c r="Q234" s="10">
        <f>IFERROR(IF(TRIM(I234&amp;"")="","",IF(AND(ISNUMBER(FIND(" ",TRIM(I234&amp;""))),ISNUMBER(MATCH(LEFT(TRIM(I234&amp;""),FIND(" ",TRIM(I234&amp;""))-1),설정_코드표!$J$2:$J$101,0)),ISNUMBER(MATCH(TRIM(RIGHT(SUBSTITUTE(TRIM(I234&amp;"")," ",REPT(" ",60)),60)),설정_코드표!$F$2:$F$101,0))),INDEX(설정_코드표!$K$2:$K$101,MATCH(LEFT(TRIM(I234&amp;""),FIND(" ",TRIM(I234&amp;""))-1),설정_코드표!$J$2:$J$101,0))&amp;" "&amp;INDEX(설정_코드표!$G$2:$G$101,MATCH(TRIM(RIGHT(SUBSTITUTE(TRIM(I234&amp;"")," ",REPT(" ",60)),60)),설정_코드표!$F$2:$F$101,0)),"⚠"&amp;TRIM(I234&amp;""))),"⚠"&amp;TRIM(I234&amp;""))</f>
        <v/>
      </c>
      <c r="R234" s="10">
        <f>IFERROR(IF(TRIM(J234&amp;"")="","",IF(AND(ISNUMBER(FIND(" ",TRIM(J234&amp;""))),ISNUMBER(MATCH(LEFT(TRIM(J234&amp;""),FIND(" ",TRIM(J234&amp;""))-1),설정_코드표!$J$2:$J$101,0)),ISNUMBER(MATCH(TRIM(RIGHT(SUBSTITUTE(TRIM(J234&amp;"")," ",REPT(" ",60)),60)),설정_코드표!$F$2:$F$101,0))),INDEX(설정_코드표!$K$2:$K$101,MATCH(LEFT(TRIM(J234&amp;""),FIND(" ",TRIM(J234&amp;""))-1),설정_코드표!$J$2:$J$101,0))&amp;" "&amp;INDEX(설정_코드표!$G$2:$G$101,MATCH(TRIM(RIGHT(SUBSTITUTE(TRIM(J234&amp;"")," ",REPT(" ",60)),60)),설정_코드표!$F$2:$F$101,0)),"⚠"&amp;TRIM(J234&amp;""))),"⚠"&amp;TRIM(J234&amp;""))</f>
        <v/>
      </c>
      <c r="S234" s="11">
        <f>IF(K234="","",IFERROR(IF(AND(ROUND((VALUE(K234&amp;"")-INT(VALUE(K234&amp;"")))*100,0)&gt;=1,ROUND((VALUE(K234&amp;"")-INT(VALUE(K234&amp;"")))*100,0)&lt;=12,INT(VALUE(K234&amp;""))&gt;=1900),DATE(INT(VALUE(K234&amp;"")),ROUND((VALUE(K234&amp;"")-INT(VALUE(K234&amp;"")))*100,0),1),K234&amp;""),K234&amp;""))</f>
        <v/>
      </c>
      <c r="T234" s="10">
        <f>COUNTIF(M234:R234,"⚠*")</f>
        <v/>
      </c>
    </row>
    <row r="235"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M235" s="10">
        <f>IFERROR(IF(TRIM(E235&amp;"")="","",IF(AND(ISNUMBER(FIND(" ",TRIM(E235&amp;""))),ISNUMBER(MATCH(LEFT(TRIM(E235&amp;""),FIND(" ",TRIM(E235&amp;""))-1),설정_코드표!$J$2:$J$101,0)),ISNUMBER(MATCH(TRIM(RIGHT(SUBSTITUTE(TRIM(E235&amp;"")," ",REPT(" ",60)),60)),설정_코드표!$F$2:$F$101,0))),INDEX(설정_코드표!$K$2:$K$101,MATCH(LEFT(TRIM(E235&amp;""),FIND(" ",TRIM(E235&amp;""))-1),설정_코드표!$J$2:$J$101,0))&amp;" "&amp;INDEX(설정_코드표!$G$2:$G$101,MATCH(TRIM(RIGHT(SUBSTITUTE(TRIM(E235&amp;"")," ",REPT(" ",60)),60)),설정_코드표!$F$2:$F$101,0)),"⚠"&amp;TRIM(E235&amp;""))),"⚠"&amp;TRIM(E235&amp;""))</f>
        <v/>
      </c>
      <c r="N235" s="10">
        <f>IFERROR(IF(TRIM(F235&amp;"")="","",IF(AND(ISNUMBER(FIND(" ",TRIM(F235&amp;""))),ISNUMBER(MATCH(LEFT(TRIM(F235&amp;""),FIND(" ",TRIM(F235&amp;""))-1),설정_코드표!$J$2:$J$101,0)),ISNUMBER(MATCH(TRIM(RIGHT(SUBSTITUTE(TRIM(F235&amp;"")," ",REPT(" ",60)),60)),설정_코드표!$F$2:$F$101,0))),INDEX(설정_코드표!$K$2:$K$101,MATCH(LEFT(TRIM(F235&amp;""),FIND(" ",TRIM(F235&amp;""))-1),설정_코드표!$J$2:$J$101,0))&amp;" "&amp;INDEX(설정_코드표!$G$2:$G$101,MATCH(TRIM(RIGHT(SUBSTITUTE(TRIM(F235&amp;"")," ",REPT(" ",60)),60)),설정_코드표!$F$2:$F$101,0)),"⚠"&amp;TRIM(F235&amp;""))),"⚠"&amp;TRIM(F235&amp;""))</f>
        <v/>
      </c>
      <c r="O235" s="10">
        <f>IFERROR(IF(TRIM(G235&amp;"")="","",IF(AND(ISNUMBER(FIND(" ",TRIM(G235&amp;""))),ISNUMBER(MATCH(LEFT(TRIM(G235&amp;""),FIND(" ",TRIM(G235&amp;""))-1),설정_코드표!$J$2:$J$101,0)),ISNUMBER(MATCH(TRIM(RIGHT(SUBSTITUTE(TRIM(G235&amp;"")," ",REPT(" ",60)),60)),설정_코드표!$F$2:$F$101,0))),INDEX(설정_코드표!$K$2:$K$101,MATCH(LEFT(TRIM(G235&amp;""),FIND(" ",TRIM(G235&amp;""))-1),설정_코드표!$J$2:$J$101,0))&amp;" "&amp;INDEX(설정_코드표!$G$2:$G$101,MATCH(TRIM(RIGHT(SUBSTITUTE(TRIM(G235&amp;"")," ",REPT(" ",60)),60)),설정_코드표!$F$2:$F$101,0)),"⚠"&amp;TRIM(G235&amp;""))),"⚠"&amp;TRIM(G235&amp;""))</f>
        <v/>
      </c>
      <c r="P235" s="10">
        <f>IFERROR(IF(TRIM(H235&amp;"")="","",IF(AND(ISNUMBER(FIND(" ",TRIM(H235&amp;""))),ISNUMBER(MATCH(LEFT(TRIM(H235&amp;""),FIND(" ",TRIM(H235&amp;""))-1),설정_코드표!$J$2:$J$101,0)),ISNUMBER(MATCH(TRIM(RIGHT(SUBSTITUTE(TRIM(H235&amp;"")," ",REPT(" ",60)),60)),설정_코드표!$F$2:$F$101,0))),INDEX(설정_코드표!$K$2:$K$101,MATCH(LEFT(TRIM(H235&amp;""),FIND(" ",TRIM(H235&amp;""))-1),설정_코드표!$J$2:$J$101,0))&amp;" "&amp;INDEX(설정_코드표!$G$2:$G$101,MATCH(TRIM(RIGHT(SUBSTITUTE(TRIM(H235&amp;"")," ",REPT(" ",60)),60)),설정_코드표!$F$2:$F$101,0)),"⚠"&amp;TRIM(H235&amp;""))),"⚠"&amp;TRIM(H235&amp;""))</f>
        <v/>
      </c>
      <c r="Q235" s="10">
        <f>IFERROR(IF(TRIM(I235&amp;"")="","",IF(AND(ISNUMBER(FIND(" ",TRIM(I235&amp;""))),ISNUMBER(MATCH(LEFT(TRIM(I235&amp;""),FIND(" ",TRIM(I235&amp;""))-1),설정_코드표!$J$2:$J$101,0)),ISNUMBER(MATCH(TRIM(RIGHT(SUBSTITUTE(TRIM(I235&amp;"")," ",REPT(" ",60)),60)),설정_코드표!$F$2:$F$101,0))),INDEX(설정_코드표!$K$2:$K$101,MATCH(LEFT(TRIM(I235&amp;""),FIND(" ",TRIM(I235&amp;""))-1),설정_코드표!$J$2:$J$101,0))&amp;" "&amp;INDEX(설정_코드표!$G$2:$G$101,MATCH(TRIM(RIGHT(SUBSTITUTE(TRIM(I235&amp;"")," ",REPT(" ",60)),60)),설정_코드표!$F$2:$F$101,0)),"⚠"&amp;TRIM(I235&amp;""))),"⚠"&amp;TRIM(I235&amp;""))</f>
        <v/>
      </c>
      <c r="R235" s="10">
        <f>IFERROR(IF(TRIM(J235&amp;"")="","",IF(AND(ISNUMBER(FIND(" ",TRIM(J235&amp;""))),ISNUMBER(MATCH(LEFT(TRIM(J235&amp;""),FIND(" ",TRIM(J235&amp;""))-1),설정_코드표!$J$2:$J$101,0)),ISNUMBER(MATCH(TRIM(RIGHT(SUBSTITUTE(TRIM(J235&amp;"")," ",REPT(" ",60)),60)),설정_코드표!$F$2:$F$101,0))),INDEX(설정_코드표!$K$2:$K$101,MATCH(LEFT(TRIM(J235&amp;""),FIND(" ",TRIM(J235&amp;""))-1),설정_코드표!$J$2:$J$101,0))&amp;" "&amp;INDEX(설정_코드표!$G$2:$G$101,MATCH(TRIM(RIGHT(SUBSTITUTE(TRIM(J235&amp;"")," ",REPT(" ",60)),60)),설정_코드표!$F$2:$F$101,0)),"⚠"&amp;TRIM(J235&amp;""))),"⚠"&amp;TRIM(J235&amp;""))</f>
        <v/>
      </c>
      <c r="S235" s="11">
        <f>IF(K235="","",IFERROR(IF(AND(ROUND((VALUE(K235&amp;"")-INT(VALUE(K235&amp;"")))*100,0)&gt;=1,ROUND((VALUE(K235&amp;"")-INT(VALUE(K235&amp;"")))*100,0)&lt;=12,INT(VALUE(K235&amp;""))&gt;=1900),DATE(INT(VALUE(K235&amp;"")),ROUND((VALUE(K235&amp;"")-INT(VALUE(K235&amp;"")))*100,0),1),K235&amp;""),K235&amp;""))</f>
        <v/>
      </c>
      <c r="T235" s="10">
        <f>COUNTIF(M235:R235,"⚠*")</f>
        <v/>
      </c>
    </row>
    <row r="236"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M236" s="10">
        <f>IFERROR(IF(TRIM(E236&amp;"")="","",IF(AND(ISNUMBER(FIND(" ",TRIM(E236&amp;""))),ISNUMBER(MATCH(LEFT(TRIM(E236&amp;""),FIND(" ",TRIM(E236&amp;""))-1),설정_코드표!$J$2:$J$101,0)),ISNUMBER(MATCH(TRIM(RIGHT(SUBSTITUTE(TRIM(E236&amp;"")," ",REPT(" ",60)),60)),설정_코드표!$F$2:$F$101,0))),INDEX(설정_코드표!$K$2:$K$101,MATCH(LEFT(TRIM(E236&amp;""),FIND(" ",TRIM(E236&amp;""))-1),설정_코드표!$J$2:$J$101,0))&amp;" "&amp;INDEX(설정_코드표!$G$2:$G$101,MATCH(TRIM(RIGHT(SUBSTITUTE(TRIM(E236&amp;"")," ",REPT(" ",60)),60)),설정_코드표!$F$2:$F$101,0)),"⚠"&amp;TRIM(E236&amp;""))),"⚠"&amp;TRIM(E236&amp;""))</f>
        <v/>
      </c>
      <c r="N236" s="10">
        <f>IFERROR(IF(TRIM(F236&amp;"")="","",IF(AND(ISNUMBER(FIND(" ",TRIM(F236&amp;""))),ISNUMBER(MATCH(LEFT(TRIM(F236&amp;""),FIND(" ",TRIM(F236&amp;""))-1),설정_코드표!$J$2:$J$101,0)),ISNUMBER(MATCH(TRIM(RIGHT(SUBSTITUTE(TRIM(F236&amp;"")," ",REPT(" ",60)),60)),설정_코드표!$F$2:$F$101,0))),INDEX(설정_코드표!$K$2:$K$101,MATCH(LEFT(TRIM(F236&amp;""),FIND(" ",TRIM(F236&amp;""))-1),설정_코드표!$J$2:$J$101,0))&amp;" "&amp;INDEX(설정_코드표!$G$2:$G$101,MATCH(TRIM(RIGHT(SUBSTITUTE(TRIM(F236&amp;"")," ",REPT(" ",60)),60)),설정_코드표!$F$2:$F$101,0)),"⚠"&amp;TRIM(F236&amp;""))),"⚠"&amp;TRIM(F236&amp;""))</f>
        <v/>
      </c>
      <c r="O236" s="10">
        <f>IFERROR(IF(TRIM(G236&amp;"")="","",IF(AND(ISNUMBER(FIND(" ",TRIM(G236&amp;""))),ISNUMBER(MATCH(LEFT(TRIM(G236&amp;""),FIND(" ",TRIM(G236&amp;""))-1),설정_코드표!$J$2:$J$101,0)),ISNUMBER(MATCH(TRIM(RIGHT(SUBSTITUTE(TRIM(G236&amp;"")," ",REPT(" ",60)),60)),설정_코드표!$F$2:$F$101,0))),INDEX(설정_코드표!$K$2:$K$101,MATCH(LEFT(TRIM(G236&amp;""),FIND(" ",TRIM(G236&amp;""))-1),설정_코드표!$J$2:$J$101,0))&amp;" "&amp;INDEX(설정_코드표!$G$2:$G$101,MATCH(TRIM(RIGHT(SUBSTITUTE(TRIM(G236&amp;"")," ",REPT(" ",60)),60)),설정_코드표!$F$2:$F$101,0)),"⚠"&amp;TRIM(G236&amp;""))),"⚠"&amp;TRIM(G236&amp;""))</f>
        <v/>
      </c>
      <c r="P236" s="10">
        <f>IFERROR(IF(TRIM(H236&amp;"")="","",IF(AND(ISNUMBER(FIND(" ",TRIM(H236&amp;""))),ISNUMBER(MATCH(LEFT(TRIM(H236&amp;""),FIND(" ",TRIM(H236&amp;""))-1),설정_코드표!$J$2:$J$101,0)),ISNUMBER(MATCH(TRIM(RIGHT(SUBSTITUTE(TRIM(H236&amp;"")," ",REPT(" ",60)),60)),설정_코드표!$F$2:$F$101,0))),INDEX(설정_코드표!$K$2:$K$101,MATCH(LEFT(TRIM(H236&amp;""),FIND(" ",TRIM(H236&amp;""))-1),설정_코드표!$J$2:$J$101,0))&amp;" "&amp;INDEX(설정_코드표!$G$2:$G$101,MATCH(TRIM(RIGHT(SUBSTITUTE(TRIM(H236&amp;"")," ",REPT(" ",60)),60)),설정_코드표!$F$2:$F$101,0)),"⚠"&amp;TRIM(H236&amp;""))),"⚠"&amp;TRIM(H236&amp;""))</f>
        <v/>
      </c>
      <c r="Q236" s="10">
        <f>IFERROR(IF(TRIM(I236&amp;"")="","",IF(AND(ISNUMBER(FIND(" ",TRIM(I236&amp;""))),ISNUMBER(MATCH(LEFT(TRIM(I236&amp;""),FIND(" ",TRIM(I236&amp;""))-1),설정_코드표!$J$2:$J$101,0)),ISNUMBER(MATCH(TRIM(RIGHT(SUBSTITUTE(TRIM(I236&amp;"")," ",REPT(" ",60)),60)),설정_코드표!$F$2:$F$101,0))),INDEX(설정_코드표!$K$2:$K$101,MATCH(LEFT(TRIM(I236&amp;""),FIND(" ",TRIM(I236&amp;""))-1),설정_코드표!$J$2:$J$101,0))&amp;" "&amp;INDEX(설정_코드표!$G$2:$G$101,MATCH(TRIM(RIGHT(SUBSTITUTE(TRIM(I236&amp;"")," ",REPT(" ",60)),60)),설정_코드표!$F$2:$F$101,0)),"⚠"&amp;TRIM(I236&amp;""))),"⚠"&amp;TRIM(I236&amp;""))</f>
        <v/>
      </c>
      <c r="R236" s="10">
        <f>IFERROR(IF(TRIM(J236&amp;"")="","",IF(AND(ISNUMBER(FIND(" ",TRIM(J236&amp;""))),ISNUMBER(MATCH(LEFT(TRIM(J236&amp;""),FIND(" ",TRIM(J236&amp;""))-1),설정_코드표!$J$2:$J$101,0)),ISNUMBER(MATCH(TRIM(RIGHT(SUBSTITUTE(TRIM(J236&amp;"")," ",REPT(" ",60)),60)),설정_코드표!$F$2:$F$101,0))),INDEX(설정_코드표!$K$2:$K$101,MATCH(LEFT(TRIM(J236&amp;""),FIND(" ",TRIM(J236&amp;""))-1),설정_코드표!$J$2:$J$101,0))&amp;" "&amp;INDEX(설정_코드표!$G$2:$G$101,MATCH(TRIM(RIGHT(SUBSTITUTE(TRIM(J236&amp;"")," ",REPT(" ",60)),60)),설정_코드표!$F$2:$F$101,0)),"⚠"&amp;TRIM(J236&amp;""))),"⚠"&amp;TRIM(J236&amp;""))</f>
        <v/>
      </c>
      <c r="S236" s="11">
        <f>IF(K236="","",IFERROR(IF(AND(ROUND((VALUE(K236&amp;"")-INT(VALUE(K236&amp;"")))*100,0)&gt;=1,ROUND((VALUE(K236&amp;"")-INT(VALUE(K236&amp;"")))*100,0)&lt;=12,INT(VALUE(K236&amp;""))&gt;=1900),DATE(INT(VALUE(K236&amp;"")),ROUND((VALUE(K236&amp;"")-INT(VALUE(K236&amp;"")))*100,0),1),K236&amp;""),K236&amp;""))</f>
        <v/>
      </c>
      <c r="T236" s="10">
        <f>COUNTIF(M236:R236,"⚠*")</f>
        <v/>
      </c>
    </row>
    <row r="237"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M237" s="10">
        <f>IFERROR(IF(TRIM(E237&amp;"")="","",IF(AND(ISNUMBER(FIND(" ",TRIM(E237&amp;""))),ISNUMBER(MATCH(LEFT(TRIM(E237&amp;""),FIND(" ",TRIM(E237&amp;""))-1),설정_코드표!$J$2:$J$101,0)),ISNUMBER(MATCH(TRIM(RIGHT(SUBSTITUTE(TRIM(E237&amp;"")," ",REPT(" ",60)),60)),설정_코드표!$F$2:$F$101,0))),INDEX(설정_코드표!$K$2:$K$101,MATCH(LEFT(TRIM(E237&amp;""),FIND(" ",TRIM(E237&amp;""))-1),설정_코드표!$J$2:$J$101,0))&amp;" "&amp;INDEX(설정_코드표!$G$2:$G$101,MATCH(TRIM(RIGHT(SUBSTITUTE(TRIM(E237&amp;"")," ",REPT(" ",60)),60)),설정_코드표!$F$2:$F$101,0)),"⚠"&amp;TRIM(E237&amp;""))),"⚠"&amp;TRIM(E237&amp;""))</f>
        <v/>
      </c>
      <c r="N237" s="10">
        <f>IFERROR(IF(TRIM(F237&amp;"")="","",IF(AND(ISNUMBER(FIND(" ",TRIM(F237&amp;""))),ISNUMBER(MATCH(LEFT(TRIM(F237&amp;""),FIND(" ",TRIM(F237&amp;""))-1),설정_코드표!$J$2:$J$101,0)),ISNUMBER(MATCH(TRIM(RIGHT(SUBSTITUTE(TRIM(F237&amp;"")," ",REPT(" ",60)),60)),설정_코드표!$F$2:$F$101,0))),INDEX(설정_코드표!$K$2:$K$101,MATCH(LEFT(TRIM(F237&amp;""),FIND(" ",TRIM(F237&amp;""))-1),설정_코드표!$J$2:$J$101,0))&amp;" "&amp;INDEX(설정_코드표!$G$2:$G$101,MATCH(TRIM(RIGHT(SUBSTITUTE(TRIM(F237&amp;"")," ",REPT(" ",60)),60)),설정_코드표!$F$2:$F$101,0)),"⚠"&amp;TRIM(F237&amp;""))),"⚠"&amp;TRIM(F237&amp;""))</f>
        <v/>
      </c>
      <c r="O237" s="10">
        <f>IFERROR(IF(TRIM(G237&amp;"")="","",IF(AND(ISNUMBER(FIND(" ",TRIM(G237&amp;""))),ISNUMBER(MATCH(LEFT(TRIM(G237&amp;""),FIND(" ",TRIM(G237&amp;""))-1),설정_코드표!$J$2:$J$101,0)),ISNUMBER(MATCH(TRIM(RIGHT(SUBSTITUTE(TRIM(G237&amp;"")," ",REPT(" ",60)),60)),설정_코드표!$F$2:$F$101,0))),INDEX(설정_코드표!$K$2:$K$101,MATCH(LEFT(TRIM(G237&amp;""),FIND(" ",TRIM(G237&amp;""))-1),설정_코드표!$J$2:$J$101,0))&amp;" "&amp;INDEX(설정_코드표!$G$2:$G$101,MATCH(TRIM(RIGHT(SUBSTITUTE(TRIM(G237&amp;"")," ",REPT(" ",60)),60)),설정_코드표!$F$2:$F$101,0)),"⚠"&amp;TRIM(G237&amp;""))),"⚠"&amp;TRIM(G237&amp;""))</f>
        <v/>
      </c>
      <c r="P237" s="10">
        <f>IFERROR(IF(TRIM(H237&amp;"")="","",IF(AND(ISNUMBER(FIND(" ",TRIM(H237&amp;""))),ISNUMBER(MATCH(LEFT(TRIM(H237&amp;""),FIND(" ",TRIM(H237&amp;""))-1),설정_코드표!$J$2:$J$101,0)),ISNUMBER(MATCH(TRIM(RIGHT(SUBSTITUTE(TRIM(H237&amp;"")," ",REPT(" ",60)),60)),설정_코드표!$F$2:$F$101,0))),INDEX(설정_코드표!$K$2:$K$101,MATCH(LEFT(TRIM(H237&amp;""),FIND(" ",TRIM(H237&amp;""))-1),설정_코드표!$J$2:$J$101,0))&amp;" "&amp;INDEX(설정_코드표!$G$2:$G$101,MATCH(TRIM(RIGHT(SUBSTITUTE(TRIM(H237&amp;"")," ",REPT(" ",60)),60)),설정_코드표!$F$2:$F$101,0)),"⚠"&amp;TRIM(H237&amp;""))),"⚠"&amp;TRIM(H237&amp;""))</f>
        <v/>
      </c>
      <c r="Q237" s="10">
        <f>IFERROR(IF(TRIM(I237&amp;"")="","",IF(AND(ISNUMBER(FIND(" ",TRIM(I237&amp;""))),ISNUMBER(MATCH(LEFT(TRIM(I237&amp;""),FIND(" ",TRIM(I237&amp;""))-1),설정_코드표!$J$2:$J$101,0)),ISNUMBER(MATCH(TRIM(RIGHT(SUBSTITUTE(TRIM(I237&amp;"")," ",REPT(" ",60)),60)),설정_코드표!$F$2:$F$101,0))),INDEX(설정_코드표!$K$2:$K$101,MATCH(LEFT(TRIM(I237&amp;""),FIND(" ",TRIM(I237&amp;""))-1),설정_코드표!$J$2:$J$101,0))&amp;" "&amp;INDEX(설정_코드표!$G$2:$G$101,MATCH(TRIM(RIGHT(SUBSTITUTE(TRIM(I237&amp;"")," ",REPT(" ",60)),60)),설정_코드표!$F$2:$F$101,0)),"⚠"&amp;TRIM(I237&amp;""))),"⚠"&amp;TRIM(I237&amp;""))</f>
        <v/>
      </c>
      <c r="R237" s="10">
        <f>IFERROR(IF(TRIM(J237&amp;"")="","",IF(AND(ISNUMBER(FIND(" ",TRIM(J237&amp;""))),ISNUMBER(MATCH(LEFT(TRIM(J237&amp;""),FIND(" ",TRIM(J237&amp;""))-1),설정_코드표!$J$2:$J$101,0)),ISNUMBER(MATCH(TRIM(RIGHT(SUBSTITUTE(TRIM(J237&amp;"")," ",REPT(" ",60)),60)),설정_코드표!$F$2:$F$101,0))),INDEX(설정_코드표!$K$2:$K$101,MATCH(LEFT(TRIM(J237&amp;""),FIND(" ",TRIM(J237&amp;""))-1),설정_코드표!$J$2:$J$101,0))&amp;" "&amp;INDEX(설정_코드표!$G$2:$G$101,MATCH(TRIM(RIGHT(SUBSTITUTE(TRIM(J237&amp;"")," ",REPT(" ",60)),60)),설정_코드표!$F$2:$F$101,0)),"⚠"&amp;TRIM(J237&amp;""))),"⚠"&amp;TRIM(J237&amp;""))</f>
        <v/>
      </c>
      <c r="S237" s="11">
        <f>IF(K237="","",IFERROR(IF(AND(ROUND((VALUE(K237&amp;"")-INT(VALUE(K237&amp;"")))*100,0)&gt;=1,ROUND((VALUE(K237&amp;"")-INT(VALUE(K237&amp;"")))*100,0)&lt;=12,INT(VALUE(K237&amp;""))&gt;=1900),DATE(INT(VALUE(K237&amp;"")),ROUND((VALUE(K237&amp;"")-INT(VALUE(K237&amp;"")))*100,0),1),K237&amp;""),K237&amp;""))</f>
        <v/>
      </c>
      <c r="T237" s="10">
        <f>COUNTIF(M237:R237,"⚠*")</f>
        <v/>
      </c>
    </row>
    <row r="238"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M238" s="10">
        <f>IFERROR(IF(TRIM(E238&amp;"")="","",IF(AND(ISNUMBER(FIND(" ",TRIM(E238&amp;""))),ISNUMBER(MATCH(LEFT(TRIM(E238&amp;""),FIND(" ",TRIM(E238&amp;""))-1),설정_코드표!$J$2:$J$101,0)),ISNUMBER(MATCH(TRIM(RIGHT(SUBSTITUTE(TRIM(E238&amp;"")," ",REPT(" ",60)),60)),설정_코드표!$F$2:$F$101,0))),INDEX(설정_코드표!$K$2:$K$101,MATCH(LEFT(TRIM(E238&amp;""),FIND(" ",TRIM(E238&amp;""))-1),설정_코드표!$J$2:$J$101,0))&amp;" "&amp;INDEX(설정_코드표!$G$2:$G$101,MATCH(TRIM(RIGHT(SUBSTITUTE(TRIM(E238&amp;"")," ",REPT(" ",60)),60)),설정_코드표!$F$2:$F$101,0)),"⚠"&amp;TRIM(E238&amp;""))),"⚠"&amp;TRIM(E238&amp;""))</f>
        <v/>
      </c>
      <c r="N238" s="10">
        <f>IFERROR(IF(TRIM(F238&amp;"")="","",IF(AND(ISNUMBER(FIND(" ",TRIM(F238&amp;""))),ISNUMBER(MATCH(LEFT(TRIM(F238&amp;""),FIND(" ",TRIM(F238&amp;""))-1),설정_코드표!$J$2:$J$101,0)),ISNUMBER(MATCH(TRIM(RIGHT(SUBSTITUTE(TRIM(F238&amp;"")," ",REPT(" ",60)),60)),설정_코드표!$F$2:$F$101,0))),INDEX(설정_코드표!$K$2:$K$101,MATCH(LEFT(TRIM(F238&amp;""),FIND(" ",TRIM(F238&amp;""))-1),설정_코드표!$J$2:$J$101,0))&amp;" "&amp;INDEX(설정_코드표!$G$2:$G$101,MATCH(TRIM(RIGHT(SUBSTITUTE(TRIM(F238&amp;"")," ",REPT(" ",60)),60)),설정_코드표!$F$2:$F$101,0)),"⚠"&amp;TRIM(F238&amp;""))),"⚠"&amp;TRIM(F238&amp;""))</f>
        <v/>
      </c>
      <c r="O238" s="10">
        <f>IFERROR(IF(TRIM(G238&amp;"")="","",IF(AND(ISNUMBER(FIND(" ",TRIM(G238&amp;""))),ISNUMBER(MATCH(LEFT(TRIM(G238&amp;""),FIND(" ",TRIM(G238&amp;""))-1),설정_코드표!$J$2:$J$101,0)),ISNUMBER(MATCH(TRIM(RIGHT(SUBSTITUTE(TRIM(G238&amp;"")," ",REPT(" ",60)),60)),설정_코드표!$F$2:$F$101,0))),INDEX(설정_코드표!$K$2:$K$101,MATCH(LEFT(TRIM(G238&amp;""),FIND(" ",TRIM(G238&amp;""))-1),설정_코드표!$J$2:$J$101,0))&amp;" "&amp;INDEX(설정_코드표!$G$2:$G$101,MATCH(TRIM(RIGHT(SUBSTITUTE(TRIM(G238&amp;"")," ",REPT(" ",60)),60)),설정_코드표!$F$2:$F$101,0)),"⚠"&amp;TRIM(G238&amp;""))),"⚠"&amp;TRIM(G238&amp;""))</f>
        <v/>
      </c>
      <c r="P238" s="10">
        <f>IFERROR(IF(TRIM(H238&amp;"")="","",IF(AND(ISNUMBER(FIND(" ",TRIM(H238&amp;""))),ISNUMBER(MATCH(LEFT(TRIM(H238&amp;""),FIND(" ",TRIM(H238&amp;""))-1),설정_코드표!$J$2:$J$101,0)),ISNUMBER(MATCH(TRIM(RIGHT(SUBSTITUTE(TRIM(H238&amp;"")," ",REPT(" ",60)),60)),설정_코드표!$F$2:$F$101,0))),INDEX(설정_코드표!$K$2:$K$101,MATCH(LEFT(TRIM(H238&amp;""),FIND(" ",TRIM(H238&amp;""))-1),설정_코드표!$J$2:$J$101,0))&amp;" "&amp;INDEX(설정_코드표!$G$2:$G$101,MATCH(TRIM(RIGHT(SUBSTITUTE(TRIM(H238&amp;"")," ",REPT(" ",60)),60)),설정_코드표!$F$2:$F$101,0)),"⚠"&amp;TRIM(H238&amp;""))),"⚠"&amp;TRIM(H238&amp;""))</f>
        <v/>
      </c>
      <c r="Q238" s="10">
        <f>IFERROR(IF(TRIM(I238&amp;"")="","",IF(AND(ISNUMBER(FIND(" ",TRIM(I238&amp;""))),ISNUMBER(MATCH(LEFT(TRIM(I238&amp;""),FIND(" ",TRIM(I238&amp;""))-1),설정_코드표!$J$2:$J$101,0)),ISNUMBER(MATCH(TRIM(RIGHT(SUBSTITUTE(TRIM(I238&amp;"")," ",REPT(" ",60)),60)),설정_코드표!$F$2:$F$101,0))),INDEX(설정_코드표!$K$2:$K$101,MATCH(LEFT(TRIM(I238&amp;""),FIND(" ",TRIM(I238&amp;""))-1),설정_코드표!$J$2:$J$101,0))&amp;" "&amp;INDEX(설정_코드표!$G$2:$G$101,MATCH(TRIM(RIGHT(SUBSTITUTE(TRIM(I238&amp;"")," ",REPT(" ",60)),60)),설정_코드표!$F$2:$F$101,0)),"⚠"&amp;TRIM(I238&amp;""))),"⚠"&amp;TRIM(I238&amp;""))</f>
        <v/>
      </c>
      <c r="R238" s="10">
        <f>IFERROR(IF(TRIM(J238&amp;"")="","",IF(AND(ISNUMBER(FIND(" ",TRIM(J238&amp;""))),ISNUMBER(MATCH(LEFT(TRIM(J238&amp;""),FIND(" ",TRIM(J238&amp;""))-1),설정_코드표!$J$2:$J$101,0)),ISNUMBER(MATCH(TRIM(RIGHT(SUBSTITUTE(TRIM(J238&amp;"")," ",REPT(" ",60)),60)),설정_코드표!$F$2:$F$101,0))),INDEX(설정_코드표!$K$2:$K$101,MATCH(LEFT(TRIM(J238&amp;""),FIND(" ",TRIM(J238&amp;""))-1),설정_코드표!$J$2:$J$101,0))&amp;" "&amp;INDEX(설정_코드표!$G$2:$G$101,MATCH(TRIM(RIGHT(SUBSTITUTE(TRIM(J238&amp;"")," ",REPT(" ",60)),60)),설정_코드표!$F$2:$F$101,0)),"⚠"&amp;TRIM(J238&amp;""))),"⚠"&amp;TRIM(J238&amp;""))</f>
        <v/>
      </c>
      <c r="S238" s="11">
        <f>IF(K238="","",IFERROR(IF(AND(ROUND((VALUE(K238&amp;"")-INT(VALUE(K238&amp;"")))*100,0)&gt;=1,ROUND((VALUE(K238&amp;"")-INT(VALUE(K238&amp;"")))*100,0)&lt;=12,INT(VALUE(K238&amp;""))&gt;=1900),DATE(INT(VALUE(K238&amp;"")),ROUND((VALUE(K238&amp;"")-INT(VALUE(K238&amp;"")))*100,0),1),K238&amp;""),K238&amp;""))</f>
        <v/>
      </c>
      <c r="T238" s="10">
        <f>COUNTIF(M238:R238,"⚠*")</f>
        <v/>
      </c>
    </row>
    <row r="239"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M239" s="10">
        <f>IFERROR(IF(TRIM(E239&amp;"")="","",IF(AND(ISNUMBER(FIND(" ",TRIM(E239&amp;""))),ISNUMBER(MATCH(LEFT(TRIM(E239&amp;""),FIND(" ",TRIM(E239&amp;""))-1),설정_코드표!$J$2:$J$101,0)),ISNUMBER(MATCH(TRIM(RIGHT(SUBSTITUTE(TRIM(E239&amp;"")," ",REPT(" ",60)),60)),설정_코드표!$F$2:$F$101,0))),INDEX(설정_코드표!$K$2:$K$101,MATCH(LEFT(TRIM(E239&amp;""),FIND(" ",TRIM(E239&amp;""))-1),설정_코드표!$J$2:$J$101,0))&amp;" "&amp;INDEX(설정_코드표!$G$2:$G$101,MATCH(TRIM(RIGHT(SUBSTITUTE(TRIM(E239&amp;"")," ",REPT(" ",60)),60)),설정_코드표!$F$2:$F$101,0)),"⚠"&amp;TRIM(E239&amp;""))),"⚠"&amp;TRIM(E239&amp;""))</f>
        <v/>
      </c>
      <c r="N239" s="10">
        <f>IFERROR(IF(TRIM(F239&amp;"")="","",IF(AND(ISNUMBER(FIND(" ",TRIM(F239&amp;""))),ISNUMBER(MATCH(LEFT(TRIM(F239&amp;""),FIND(" ",TRIM(F239&amp;""))-1),설정_코드표!$J$2:$J$101,0)),ISNUMBER(MATCH(TRIM(RIGHT(SUBSTITUTE(TRIM(F239&amp;"")," ",REPT(" ",60)),60)),설정_코드표!$F$2:$F$101,0))),INDEX(설정_코드표!$K$2:$K$101,MATCH(LEFT(TRIM(F239&amp;""),FIND(" ",TRIM(F239&amp;""))-1),설정_코드표!$J$2:$J$101,0))&amp;" "&amp;INDEX(설정_코드표!$G$2:$G$101,MATCH(TRIM(RIGHT(SUBSTITUTE(TRIM(F239&amp;"")," ",REPT(" ",60)),60)),설정_코드표!$F$2:$F$101,0)),"⚠"&amp;TRIM(F239&amp;""))),"⚠"&amp;TRIM(F239&amp;""))</f>
        <v/>
      </c>
      <c r="O239" s="10">
        <f>IFERROR(IF(TRIM(G239&amp;"")="","",IF(AND(ISNUMBER(FIND(" ",TRIM(G239&amp;""))),ISNUMBER(MATCH(LEFT(TRIM(G239&amp;""),FIND(" ",TRIM(G239&amp;""))-1),설정_코드표!$J$2:$J$101,0)),ISNUMBER(MATCH(TRIM(RIGHT(SUBSTITUTE(TRIM(G239&amp;"")," ",REPT(" ",60)),60)),설정_코드표!$F$2:$F$101,0))),INDEX(설정_코드표!$K$2:$K$101,MATCH(LEFT(TRIM(G239&amp;""),FIND(" ",TRIM(G239&amp;""))-1),설정_코드표!$J$2:$J$101,0))&amp;" "&amp;INDEX(설정_코드표!$G$2:$G$101,MATCH(TRIM(RIGHT(SUBSTITUTE(TRIM(G239&amp;"")," ",REPT(" ",60)),60)),설정_코드표!$F$2:$F$101,0)),"⚠"&amp;TRIM(G239&amp;""))),"⚠"&amp;TRIM(G239&amp;""))</f>
        <v/>
      </c>
      <c r="P239" s="10">
        <f>IFERROR(IF(TRIM(H239&amp;"")="","",IF(AND(ISNUMBER(FIND(" ",TRIM(H239&amp;""))),ISNUMBER(MATCH(LEFT(TRIM(H239&amp;""),FIND(" ",TRIM(H239&amp;""))-1),설정_코드표!$J$2:$J$101,0)),ISNUMBER(MATCH(TRIM(RIGHT(SUBSTITUTE(TRIM(H239&amp;"")," ",REPT(" ",60)),60)),설정_코드표!$F$2:$F$101,0))),INDEX(설정_코드표!$K$2:$K$101,MATCH(LEFT(TRIM(H239&amp;""),FIND(" ",TRIM(H239&amp;""))-1),설정_코드표!$J$2:$J$101,0))&amp;" "&amp;INDEX(설정_코드표!$G$2:$G$101,MATCH(TRIM(RIGHT(SUBSTITUTE(TRIM(H239&amp;"")," ",REPT(" ",60)),60)),설정_코드표!$F$2:$F$101,0)),"⚠"&amp;TRIM(H239&amp;""))),"⚠"&amp;TRIM(H239&amp;""))</f>
        <v/>
      </c>
      <c r="Q239" s="10">
        <f>IFERROR(IF(TRIM(I239&amp;"")="","",IF(AND(ISNUMBER(FIND(" ",TRIM(I239&amp;""))),ISNUMBER(MATCH(LEFT(TRIM(I239&amp;""),FIND(" ",TRIM(I239&amp;""))-1),설정_코드표!$J$2:$J$101,0)),ISNUMBER(MATCH(TRIM(RIGHT(SUBSTITUTE(TRIM(I239&amp;"")," ",REPT(" ",60)),60)),설정_코드표!$F$2:$F$101,0))),INDEX(설정_코드표!$K$2:$K$101,MATCH(LEFT(TRIM(I239&amp;""),FIND(" ",TRIM(I239&amp;""))-1),설정_코드표!$J$2:$J$101,0))&amp;" "&amp;INDEX(설정_코드표!$G$2:$G$101,MATCH(TRIM(RIGHT(SUBSTITUTE(TRIM(I239&amp;"")," ",REPT(" ",60)),60)),설정_코드표!$F$2:$F$101,0)),"⚠"&amp;TRIM(I239&amp;""))),"⚠"&amp;TRIM(I239&amp;""))</f>
        <v/>
      </c>
      <c r="R239" s="10">
        <f>IFERROR(IF(TRIM(J239&amp;"")="","",IF(AND(ISNUMBER(FIND(" ",TRIM(J239&amp;""))),ISNUMBER(MATCH(LEFT(TRIM(J239&amp;""),FIND(" ",TRIM(J239&amp;""))-1),설정_코드표!$J$2:$J$101,0)),ISNUMBER(MATCH(TRIM(RIGHT(SUBSTITUTE(TRIM(J239&amp;"")," ",REPT(" ",60)),60)),설정_코드표!$F$2:$F$101,0))),INDEX(설정_코드표!$K$2:$K$101,MATCH(LEFT(TRIM(J239&amp;""),FIND(" ",TRIM(J239&amp;""))-1),설정_코드표!$J$2:$J$101,0))&amp;" "&amp;INDEX(설정_코드표!$G$2:$G$101,MATCH(TRIM(RIGHT(SUBSTITUTE(TRIM(J239&amp;"")," ",REPT(" ",60)),60)),설정_코드표!$F$2:$F$101,0)),"⚠"&amp;TRIM(J239&amp;""))),"⚠"&amp;TRIM(J239&amp;""))</f>
        <v/>
      </c>
      <c r="S239" s="11">
        <f>IF(K239="","",IFERROR(IF(AND(ROUND((VALUE(K239&amp;"")-INT(VALUE(K239&amp;"")))*100,0)&gt;=1,ROUND((VALUE(K239&amp;"")-INT(VALUE(K239&amp;"")))*100,0)&lt;=12,INT(VALUE(K239&amp;""))&gt;=1900),DATE(INT(VALUE(K239&amp;"")),ROUND((VALUE(K239&amp;"")-INT(VALUE(K239&amp;"")))*100,0),1),K239&amp;""),K239&amp;""))</f>
        <v/>
      </c>
      <c r="T239" s="10">
        <f>COUNTIF(M239:R239,"⚠*")</f>
        <v/>
      </c>
    </row>
    <row r="240"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M240" s="10">
        <f>IFERROR(IF(TRIM(E240&amp;"")="","",IF(AND(ISNUMBER(FIND(" ",TRIM(E240&amp;""))),ISNUMBER(MATCH(LEFT(TRIM(E240&amp;""),FIND(" ",TRIM(E240&amp;""))-1),설정_코드표!$J$2:$J$101,0)),ISNUMBER(MATCH(TRIM(RIGHT(SUBSTITUTE(TRIM(E240&amp;"")," ",REPT(" ",60)),60)),설정_코드표!$F$2:$F$101,0))),INDEX(설정_코드표!$K$2:$K$101,MATCH(LEFT(TRIM(E240&amp;""),FIND(" ",TRIM(E240&amp;""))-1),설정_코드표!$J$2:$J$101,0))&amp;" "&amp;INDEX(설정_코드표!$G$2:$G$101,MATCH(TRIM(RIGHT(SUBSTITUTE(TRIM(E240&amp;"")," ",REPT(" ",60)),60)),설정_코드표!$F$2:$F$101,0)),"⚠"&amp;TRIM(E240&amp;""))),"⚠"&amp;TRIM(E240&amp;""))</f>
        <v/>
      </c>
      <c r="N240" s="10">
        <f>IFERROR(IF(TRIM(F240&amp;"")="","",IF(AND(ISNUMBER(FIND(" ",TRIM(F240&amp;""))),ISNUMBER(MATCH(LEFT(TRIM(F240&amp;""),FIND(" ",TRIM(F240&amp;""))-1),설정_코드표!$J$2:$J$101,0)),ISNUMBER(MATCH(TRIM(RIGHT(SUBSTITUTE(TRIM(F240&amp;"")," ",REPT(" ",60)),60)),설정_코드표!$F$2:$F$101,0))),INDEX(설정_코드표!$K$2:$K$101,MATCH(LEFT(TRIM(F240&amp;""),FIND(" ",TRIM(F240&amp;""))-1),설정_코드표!$J$2:$J$101,0))&amp;" "&amp;INDEX(설정_코드표!$G$2:$G$101,MATCH(TRIM(RIGHT(SUBSTITUTE(TRIM(F240&amp;"")," ",REPT(" ",60)),60)),설정_코드표!$F$2:$F$101,0)),"⚠"&amp;TRIM(F240&amp;""))),"⚠"&amp;TRIM(F240&amp;""))</f>
        <v/>
      </c>
      <c r="O240" s="10">
        <f>IFERROR(IF(TRIM(G240&amp;"")="","",IF(AND(ISNUMBER(FIND(" ",TRIM(G240&amp;""))),ISNUMBER(MATCH(LEFT(TRIM(G240&amp;""),FIND(" ",TRIM(G240&amp;""))-1),설정_코드표!$J$2:$J$101,0)),ISNUMBER(MATCH(TRIM(RIGHT(SUBSTITUTE(TRIM(G240&amp;"")," ",REPT(" ",60)),60)),설정_코드표!$F$2:$F$101,0))),INDEX(설정_코드표!$K$2:$K$101,MATCH(LEFT(TRIM(G240&amp;""),FIND(" ",TRIM(G240&amp;""))-1),설정_코드표!$J$2:$J$101,0))&amp;" "&amp;INDEX(설정_코드표!$G$2:$G$101,MATCH(TRIM(RIGHT(SUBSTITUTE(TRIM(G240&amp;"")," ",REPT(" ",60)),60)),설정_코드표!$F$2:$F$101,0)),"⚠"&amp;TRIM(G240&amp;""))),"⚠"&amp;TRIM(G240&amp;""))</f>
        <v/>
      </c>
      <c r="P240" s="10">
        <f>IFERROR(IF(TRIM(H240&amp;"")="","",IF(AND(ISNUMBER(FIND(" ",TRIM(H240&amp;""))),ISNUMBER(MATCH(LEFT(TRIM(H240&amp;""),FIND(" ",TRIM(H240&amp;""))-1),설정_코드표!$J$2:$J$101,0)),ISNUMBER(MATCH(TRIM(RIGHT(SUBSTITUTE(TRIM(H240&amp;"")," ",REPT(" ",60)),60)),설정_코드표!$F$2:$F$101,0))),INDEX(설정_코드표!$K$2:$K$101,MATCH(LEFT(TRIM(H240&amp;""),FIND(" ",TRIM(H240&amp;""))-1),설정_코드표!$J$2:$J$101,0))&amp;" "&amp;INDEX(설정_코드표!$G$2:$G$101,MATCH(TRIM(RIGHT(SUBSTITUTE(TRIM(H240&amp;"")," ",REPT(" ",60)),60)),설정_코드표!$F$2:$F$101,0)),"⚠"&amp;TRIM(H240&amp;""))),"⚠"&amp;TRIM(H240&amp;""))</f>
        <v/>
      </c>
      <c r="Q240" s="10">
        <f>IFERROR(IF(TRIM(I240&amp;"")="","",IF(AND(ISNUMBER(FIND(" ",TRIM(I240&amp;""))),ISNUMBER(MATCH(LEFT(TRIM(I240&amp;""),FIND(" ",TRIM(I240&amp;""))-1),설정_코드표!$J$2:$J$101,0)),ISNUMBER(MATCH(TRIM(RIGHT(SUBSTITUTE(TRIM(I240&amp;"")," ",REPT(" ",60)),60)),설정_코드표!$F$2:$F$101,0))),INDEX(설정_코드표!$K$2:$K$101,MATCH(LEFT(TRIM(I240&amp;""),FIND(" ",TRIM(I240&amp;""))-1),설정_코드표!$J$2:$J$101,0))&amp;" "&amp;INDEX(설정_코드표!$G$2:$G$101,MATCH(TRIM(RIGHT(SUBSTITUTE(TRIM(I240&amp;"")," ",REPT(" ",60)),60)),설정_코드표!$F$2:$F$101,0)),"⚠"&amp;TRIM(I240&amp;""))),"⚠"&amp;TRIM(I240&amp;""))</f>
        <v/>
      </c>
      <c r="R240" s="10">
        <f>IFERROR(IF(TRIM(J240&amp;"")="","",IF(AND(ISNUMBER(FIND(" ",TRIM(J240&amp;""))),ISNUMBER(MATCH(LEFT(TRIM(J240&amp;""),FIND(" ",TRIM(J240&amp;""))-1),설정_코드표!$J$2:$J$101,0)),ISNUMBER(MATCH(TRIM(RIGHT(SUBSTITUTE(TRIM(J240&amp;"")," ",REPT(" ",60)),60)),설정_코드표!$F$2:$F$101,0))),INDEX(설정_코드표!$K$2:$K$101,MATCH(LEFT(TRIM(J240&amp;""),FIND(" ",TRIM(J240&amp;""))-1),설정_코드표!$J$2:$J$101,0))&amp;" "&amp;INDEX(설정_코드표!$G$2:$G$101,MATCH(TRIM(RIGHT(SUBSTITUTE(TRIM(J240&amp;"")," ",REPT(" ",60)),60)),설정_코드표!$F$2:$F$101,0)),"⚠"&amp;TRIM(J240&amp;""))),"⚠"&amp;TRIM(J240&amp;""))</f>
        <v/>
      </c>
      <c r="S240" s="11">
        <f>IF(K240="","",IFERROR(IF(AND(ROUND((VALUE(K240&amp;"")-INT(VALUE(K240&amp;"")))*100,0)&gt;=1,ROUND((VALUE(K240&amp;"")-INT(VALUE(K240&amp;"")))*100,0)&lt;=12,INT(VALUE(K240&amp;""))&gt;=1900),DATE(INT(VALUE(K240&amp;"")),ROUND((VALUE(K240&amp;"")-INT(VALUE(K240&amp;"")))*100,0),1),K240&amp;""),K240&amp;""))</f>
        <v/>
      </c>
      <c r="T240" s="10">
        <f>COUNTIF(M240:R240,"⚠*")</f>
        <v/>
      </c>
    </row>
    <row r="241"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M241" s="10">
        <f>IFERROR(IF(TRIM(E241&amp;"")="","",IF(AND(ISNUMBER(FIND(" ",TRIM(E241&amp;""))),ISNUMBER(MATCH(LEFT(TRIM(E241&amp;""),FIND(" ",TRIM(E241&amp;""))-1),설정_코드표!$J$2:$J$101,0)),ISNUMBER(MATCH(TRIM(RIGHT(SUBSTITUTE(TRIM(E241&amp;"")," ",REPT(" ",60)),60)),설정_코드표!$F$2:$F$101,0))),INDEX(설정_코드표!$K$2:$K$101,MATCH(LEFT(TRIM(E241&amp;""),FIND(" ",TRIM(E241&amp;""))-1),설정_코드표!$J$2:$J$101,0))&amp;" "&amp;INDEX(설정_코드표!$G$2:$G$101,MATCH(TRIM(RIGHT(SUBSTITUTE(TRIM(E241&amp;"")," ",REPT(" ",60)),60)),설정_코드표!$F$2:$F$101,0)),"⚠"&amp;TRIM(E241&amp;""))),"⚠"&amp;TRIM(E241&amp;""))</f>
        <v/>
      </c>
      <c r="N241" s="10">
        <f>IFERROR(IF(TRIM(F241&amp;"")="","",IF(AND(ISNUMBER(FIND(" ",TRIM(F241&amp;""))),ISNUMBER(MATCH(LEFT(TRIM(F241&amp;""),FIND(" ",TRIM(F241&amp;""))-1),설정_코드표!$J$2:$J$101,0)),ISNUMBER(MATCH(TRIM(RIGHT(SUBSTITUTE(TRIM(F241&amp;"")," ",REPT(" ",60)),60)),설정_코드표!$F$2:$F$101,0))),INDEX(설정_코드표!$K$2:$K$101,MATCH(LEFT(TRIM(F241&amp;""),FIND(" ",TRIM(F241&amp;""))-1),설정_코드표!$J$2:$J$101,0))&amp;" "&amp;INDEX(설정_코드표!$G$2:$G$101,MATCH(TRIM(RIGHT(SUBSTITUTE(TRIM(F241&amp;"")," ",REPT(" ",60)),60)),설정_코드표!$F$2:$F$101,0)),"⚠"&amp;TRIM(F241&amp;""))),"⚠"&amp;TRIM(F241&amp;""))</f>
        <v/>
      </c>
      <c r="O241" s="10">
        <f>IFERROR(IF(TRIM(G241&amp;"")="","",IF(AND(ISNUMBER(FIND(" ",TRIM(G241&amp;""))),ISNUMBER(MATCH(LEFT(TRIM(G241&amp;""),FIND(" ",TRIM(G241&amp;""))-1),설정_코드표!$J$2:$J$101,0)),ISNUMBER(MATCH(TRIM(RIGHT(SUBSTITUTE(TRIM(G241&amp;"")," ",REPT(" ",60)),60)),설정_코드표!$F$2:$F$101,0))),INDEX(설정_코드표!$K$2:$K$101,MATCH(LEFT(TRIM(G241&amp;""),FIND(" ",TRIM(G241&amp;""))-1),설정_코드표!$J$2:$J$101,0))&amp;" "&amp;INDEX(설정_코드표!$G$2:$G$101,MATCH(TRIM(RIGHT(SUBSTITUTE(TRIM(G241&amp;"")," ",REPT(" ",60)),60)),설정_코드표!$F$2:$F$101,0)),"⚠"&amp;TRIM(G241&amp;""))),"⚠"&amp;TRIM(G241&amp;""))</f>
        <v/>
      </c>
      <c r="P241" s="10">
        <f>IFERROR(IF(TRIM(H241&amp;"")="","",IF(AND(ISNUMBER(FIND(" ",TRIM(H241&amp;""))),ISNUMBER(MATCH(LEFT(TRIM(H241&amp;""),FIND(" ",TRIM(H241&amp;""))-1),설정_코드표!$J$2:$J$101,0)),ISNUMBER(MATCH(TRIM(RIGHT(SUBSTITUTE(TRIM(H241&amp;"")," ",REPT(" ",60)),60)),설정_코드표!$F$2:$F$101,0))),INDEX(설정_코드표!$K$2:$K$101,MATCH(LEFT(TRIM(H241&amp;""),FIND(" ",TRIM(H241&amp;""))-1),설정_코드표!$J$2:$J$101,0))&amp;" "&amp;INDEX(설정_코드표!$G$2:$G$101,MATCH(TRIM(RIGHT(SUBSTITUTE(TRIM(H241&amp;"")," ",REPT(" ",60)),60)),설정_코드표!$F$2:$F$101,0)),"⚠"&amp;TRIM(H241&amp;""))),"⚠"&amp;TRIM(H241&amp;""))</f>
        <v/>
      </c>
      <c r="Q241" s="10">
        <f>IFERROR(IF(TRIM(I241&amp;"")="","",IF(AND(ISNUMBER(FIND(" ",TRIM(I241&amp;""))),ISNUMBER(MATCH(LEFT(TRIM(I241&amp;""),FIND(" ",TRIM(I241&amp;""))-1),설정_코드표!$J$2:$J$101,0)),ISNUMBER(MATCH(TRIM(RIGHT(SUBSTITUTE(TRIM(I241&amp;"")," ",REPT(" ",60)),60)),설정_코드표!$F$2:$F$101,0))),INDEX(설정_코드표!$K$2:$K$101,MATCH(LEFT(TRIM(I241&amp;""),FIND(" ",TRIM(I241&amp;""))-1),설정_코드표!$J$2:$J$101,0))&amp;" "&amp;INDEX(설정_코드표!$G$2:$G$101,MATCH(TRIM(RIGHT(SUBSTITUTE(TRIM(I241&amp;"")," ",REPT(" ",60)),60)),설정_코드표!$F$2:$F$101,0)),"⚠"&amp;TRIM(I241&amp;""))),"⚠"&amp;TRIM(I241&amp;""))</f>
        <v/>
      </c>
      <c r="R241" s="10">
        <f>IFERROR(IF(TRIM(J241&amp;"")="","",IF(AND(ISNUMBER(FIND(" ",TRIM(J241&amp;""))),ISNUMBER(MATCH(LEFT(TRIM(J241&amp;""),FIND(" ",TRIM(J241&amp;""))-1),설정_코드표!$J$2:$J$101,0)),ISNUMBER(MATCH(TRIM(RIGHT(SUBSTITUTE(TRIM(J241&amp;"")," ",REPT(" ",60)),60)),설정_코드표!$F$2:$F$101,0))),INDEX(설정_코드표!$K$2:$K$101,MATCH(LEFT(TRIM(J241&amp;""),FIND(" ",TRIM(J241&amp;""))-1),설정_코드표!$J$2:$J$101,0))&amp;" "&amp;INDEX(설정_코드표!$G$2:$G$101,MATCH(TRIM(RIGHT(SUBSTITUTE(TRIM(J241&amp;"")," ",REPT(" ",60)),60)),설정_코드표!$F$2:$F$101,0)),"⚠"&amp;TRIM(J241&amp;""))),"⚠"&amp;TRIM(J241&amp;""))</f>
        <v/>
      </c>
      <c r="S241" s="11">
        <f>IF(K241="","",IFERROR(IF(AND(ROUND((VALUE(K241&amp;"")-INT(VALUE(K241&amp;"")))*100,0)&gt;=1,ROUND((VALUE(K241&amp;"")-INT(VALUE(K241&amp;"")))*100,0)&lt;=12,INT(VALUE(K241&amp;""))&gt;=1900),DATE(INT(VALUE(K241&amp;"")),ROUND((VALUE(K241&amp;"")-INT(VALUE(K241&amp;"")))*100,0),1),K241&amp;""),K241&amp;""))</f>
        <v/>
      </c>
      <c r="T241" s="10">
        <f>COUNTIF(M241:R241,"⚠*")</f>
        <v/>
      </c>
    </row>
    <row r="242"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M242" s="10">
        <f>IFERROR(IF(TRIM(E242&amp;"")="","",IF(AND(ISNUMBER(FIND(" ",TRIM(E242&amp;""))),ISNUMBER(MATCH(LEFT(TRIM(E242&amp;""),FIND(" ",TRIM(E242&amp;""))-1),설정_코드표!$J$2:$J$101,0)),ISNUMBER(MATCH(TRIM(RIGHT(SUBSTITUTE(TRIM(E242&amp;"")," ",REPT(" ",60)),60)),설정_코드표!$F$2:$F$101,0))),INDEX(설정_코드표!$K$2:$K$101,MATCH(LEFT(TRIM(E242&amp;""),FIND(" ",TRIM(E242&amp;""))-1),설정_코드표!$J$2:$J$101,0))&amp;" "&amp;INDEX(설정_코드표!$G$2:$G$101,MATCH(TRIM(RIGHT(SUBSTITUTE(TRIM(E242&amp;"")," ",REPT(" ",60)),60)),설정_코드표!$F$2:$F$101,0)),"⚠"&amp;TRIM(E242&amp;""))),"⚠"&amp;TRIM(E242&amp;""))</f>
        <v/>
      </c>
      <c r="N242" s="10">
        <f>IFERROR(IF(TRIM(F242&amp;"")="","",IF(AND(ISNUMBER(FIND(" ",TRIM(F242&amp;""))),ISNUMBER(MATCH(LEFT(TRIM(F242&amp;""),FIND(" ",TRIM(F242&amp;""))-1),설정_코드표!$J$2:$J$101,0)),ISNUMBER(MATCH(TRIM(RIGHT(SUBSTITUTE(TRIM(F242&amp;"")," ",REPT(" ",60)),60)),설정_코드표!$F$2:$F$101,0))),INDEX(설정_코드표!$K$2:$K$101,MATCH(LEFT(TRIM(F242&amp;""),FIND(" ",TRIM(F242&amp;""))-1),설정_코드표!$J$2:$J$101,0))&amp;" "&amp;INDEX(설정_코드표!$G$2:$G$101,MATCH(TRIM(RIGHT(SUBSTITUTE(TRIM(F242&amp;"")," ",REPT(" ",60)),60)),설정_코드표!$F$2:$F$101,0)),"⚠"&amp;TRIM(F242&amp;""))),"⚠"&amp;TRIM(F242&amp;""))</f>
        <v/>
      </c>
      <c r="O242" s="10">
        <f>IFERROR(IF(TRIM(G242&amp;"")="","",IF(AND(ISNUMBER(FIND(" ",TRIM(G242&amp;""))),ISNUMBER(MATCH(LEFT(TRIM(G242&amp;""),FIND(" ",TRIM(G242&amp;""))-1),설정_코드표!$J$2:$J$101,0)),ISNUMBER(MATCH(TRIM(RIGHT(SUBSTITUTE(TRIM(G242&amp;"")," ",REPT(" ",60)),60)),설정_코드표!$F$2:$F$101,0))),INDEX(설정_코드표!$K$2:$K$101,MATCH(LEFT(TRIM(G242&amp;""),FIND(" ",TRIM(G242&amp;""))-1),설정_코드표!$J$2:$J$101,0))&amp;" "&amp;INDEX(설정_코드표!$G$2:$G$101,MATCH(TRIM(RIGHT(SUBSTITUTE(TRIM(G242&amp;"")," ",REPT(" ",60)),60)),설정_코드표!$F$2:$F$101,0)),"⚠"&amp;TRIM(G242&amp;""))),"⚠"&amp;TRIM(G242&amp;""))</f>
        <v/>
      </c>
      <c r="P242" s="10">
        <f>IFERROR(IF(TRIM(H242&amp;"")="","",IF(AND(ISNUMBER(FIND(" ",TRIM(H242&amp;""))),ISNUMBER(MATCH(LEFT(TRIM(H242&amp;""),FIND(" ",TRIM(H242&amp;""))-1),설정_코드표!$J$2:$J$101,0)),ISNUMBER(MATCH(TRIM(RIGHT(SUBSTITUTE(TRIM(H242&amp;"")," ",REPT(" ",60)),60)),설정_코드표!$F$2:$F$101,0))),INDEX(설정_코드표!$K$2:$K$101,MATCH(LEFT(TRIM(H242&amp;""),FIND(" ",TRIM(H242&amp;""))-1),설정_코드표!$J$2:$J$101,0))&amp;" "&amp;INDEX(설정_코드표!$G$2:$G$101,MATCH(TRIM(RIGHT(SUBSTITUTE(TRIM(H242&amp;"")," ",REPT(" ",60)),60)),설정_코드표!$F$2:$F$101,0)),"⚠"&amp;TRIM(H242&amp;""))),"⚠"&amp;TRIM(H242&amp;""))</f>
        <v/>
      </c>
      <c r="Q242" s="10">
        <f>IFERROR(IF(TRIM(I242&amp;"")="","",IF(AND(ISNUMBER(FIND(" ",TRIM(I242&amp;""))),ISNUMBER(MATCH(LEFT(TRIM(I242&amp;""),FIND(" ",TRIM(I242&amp;""))-1),설정_코드표!$J$2:$J$101,0)),ISNUMBER(MATCH(TRIM(RIGHT(SUBSTITUTE(TRIM(I242&amp;"")," ",REPT(" ",60)),60)),설정_코드표!$F$2:$F$101,0))),INDEX(설정_코드표!$K$2:$K$101,MATCH(LEFT(TRIM(I242&amp;""),FIND(" ",TRIM(I242&amp;""))-1),설정_코드표!$J$2:$J$101,0))&amp;" "&amp;INDEX(설정_코드표!$G$2:$G$101,MATCH(TRIM(RIGHT(SUBSTITUTE(TRIM(I242&amp;"")," ",REPT(" ",60)),60)),설정_코드표!$F$2:$F$101,0)),"⚠"&amp;TRIM(I242&amp;""))),"⚠"&amp;TRIM(I242&amp;""))</f>
        <v/>
      </c>
      <c r="R242" s="10">
        <f>IFERROR(IF(TRIM(J242&amp;"")="","",IF(AND(ISNUMBER(FIND(" ",TRIM(J242&amp;""))),ISNUMBER(MATCH(LEFT(TRIM(J242&amp;""),FIND(" ",TRIM(J242&amp;""))-1),설정_코드표!$J$2:$J$101,0)),ISNUMBER(MATCH(TRIM(RIGHT(SUBSTITUTE(TRIM(J242&amp;"")," ",REPT(" ",60)),60)),설정_코드표!$F$2:$F$101,0))),INDEX(설정_코드표!$K$2:$K$101,MATCH(LEFT(TRIM(J242&amp;""),FIND(" ",TRIM(J242&amp;""))-1),설정_코드표!$J$2:$J$101,0))&amp;" "&amp;INDEX(설정_코드표!$G$2:$G$101,MATCH(TRIM(RIGHT(SUBSTITUTE(TRIM(J242&amp;"")," ",REPT(" ",60)),60)),설정_코드표!$F$2:$F$101,0)),"⚠"&amp;TRIM(J242&amp;""))),"⚠"&amp;TRIM(J242&amp;""))</f>
        <v/>
      </c>
      <c r="S242" s="11">
        <f>IF(K242="","",IFERROR(IF(AND(ROUND((VALUE(K242&amp;"")-INT(VALUE(K242&amp;"")))*100,0)&gt;=1,ROUND((VALUE(K242&amp;"")-INT(VALUE(K242&amp;"")))*100,0)&lt;=12,INT(VALUE(K242&amp;""))&gt;=1900),DATE(INT(VALUE(K242&amp;"")),ROUND((VALUE(K242&amp;"")-INT(VALUE(K242&amp;"")))*100,0),1),K242&amp;""),K242&amp;""))</f>
        <v/>
      </c>
      <c r="T242" s="10">
        <f>COUNTIF(M242:R242,"⚠*")</f>
        <v/>
      </c>
    </row>
    <row r="243"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M243" s="10">
        <f>IFERROR(IF(TRIM(E243&amp;"")="","",IF(AND(ISNUMBER(FIND(" ",TRIM(E243&amp;""))),ISNUMBER(MATCH(LEFT(TRIM(E243&amp;""),FIND(" ",TRIM(E243&amp;""))-1),설정_코드표!$J$2:$J$101,0)),ISNUMBER(MATCH(TRIM(RIGHT(SUBSTITUTE(TRIM(E243&amp;"")," ",REPT(" ",60)),60)),설정_코드표!$F$2:$F$101,0))),INDEX(설정_코드표!$K$2:$K$101,MATCH(LEFT(TRIM(E243&amp;""),FIND(" ",TRIM(E243&amp;""))-1),설정_코드표!$J$2:$J$101,0))&amp;" "&amp;INDEX(설정_코드표!$G$2:$G$101,MATCH(TRIM(RIGHT(SUBSTITUTE(TRIM(E243&amp;"")," ",REPT(" ",60)),60)),설정_코드표!$F$2:$F$101,0)),"⚠"&amp;TRIM(E243&amp;""))),"⚠"&amp;TRIM(E243&amp;""))</f>
        <v/>
      </c>
      <c r="N243" s="10">
        <f>IFERROR(IF(TRIM(F243&amp;"")="","",IF(AND(ISNUMBER(FIND(" ",TRIM(F243&amp;""))),ISNUMBER(MATCH(LEFT(TRIM(F243&amp;""),FIND(" ",TRIM(F243&amp;""))-1),설정_코드표!$J$2:$J$101,0)),ISNUMBER(MATCH(TRIM(RIGHT(SUBSTITUTE(TRIM(F243&amp;"")," ",REPT(" ",60)),60)),설정_코드표!$F$2:$F$101,0))),INDEX(설정_코드표!$K$2:$K$101,MATCH(LEFT(TRIM(F243&amp;""),FIND(" ",TRIM(F243&amp;""))-1),설정_코드표!$J$2:$J$101,0))&amp;" "&amp;INDEX(설정_코드표!$G$2:$G$101,MATCH(TRIM(RIGHT(SUBSTITUTE(TRIM(F243&amp;"")," ",REPT(" ",60)),60)),설정_코드표!$F$2:$F$101,0)),"⚠"&amp;TRIM(F243&amp;""))),"⚠"&amp;TRIM(F243&amp;""))</f>
        <v/>
      </c>
      <c r="O243" s="10">
        <f>IFERROR(IF(TRIM(G243&amp;"")="","",IF(AND(ISNUMBER(FIND(" ",TRIM(G243&amp;""))),ISNUMBER(MATCH(LEFT(TRIM(G243&amp;""),FIND(" ",TRIM(G243&amp;""))-1),설정_코드표!$J$2:$J$101,0)),ISNUMBER(MATCH(TRIM(RIGHT(SUBSTITUTE(TRIM(G243&amp;"")," ",REPT(" ",60)),60)),설정_코드표!$F$2:$F$101,0))),INDEX(설정_코드표!$K$2:$K$101,MATCH(LEFT(TRIM(G243&amp;""),FIND(" ",TRIM(G243&amp;""))-1),설정_코드표!$J$2:$J$101,0))&amp;" "&amp;INDEX(설정_코드표!$G$2:$G$101,MATCH(TRIM(RIGHT(SUBSTITUTE(TRIM(G243&amp;"")," ",REPT(" ",60)),60)),설정_코드표!$F$2:$F$101,0)),"⚠"&amp;TRIM(G243&amp;""))),"⚠"&amp;TRIM(G243&amp;""))</f>
        <v/>
      </c>
      <c r="P243" s="10">
        <f>IFERROR(IF(TRIM(H243&amp;"")="","",IF(AND(ISNUMBER(FIND(" ",TRIM(H243&amp;""))),ISNUMBER(MATCH(LEFT(TRIM(H243&amp;""),FIND(" ",TRIM(H243&amp;""))-1),설정_코드표!$J$2:$J$101,0)),ISNUMBER(MATCH(TRIM(RIGHT(SUBSTITUTE(TRIM(H243&amp;"")," ",REPT(" ",60)),60)),설정_코드표!$F$2:$F$101,0))),INDEX(설정_코드표!$K$2:$K$101,MATCH(LEFT(TRIM(H243&amp;""),FIND(" ",TRIM(H243&amp;""))-1),설정_코드표!$J$2:$J$101,0))&amp;" "&amp;INDEX(설정_코드표!$G$2:$G$101,MATCH(TRIM(RIGHT(SUBSTITUTE(TRIM(H243&amp;"")," ",REPT(" ",60)),60)),설정_코드표!$F$2:$F$101,0)),"⚠"&amp;TRIM(H243&amp;""))),"⚠"&amp;TRIM(H243&amp;""))</f>
        <v/>
      </c>
      <c r="Q243" s="10">
        <f>IFERROR(IF(TRIM(I243&amp;"")="","",IF(AND(ISNUMBER(FIND(" ",TRIM(I243&amp;""))),ISNUMBER(MATCH(LEFT(TRIM(I243&amp;""),FIND(" ",TRIM(I243&amp;""))-1),설정_코드표!$J$2:$J$101,0)),ISNUMBER(MATCH(TRIM(RIGHT(SUBSTITUTE(TRIM(I243&amp;"")," ",REPT(" ",60)),60)),설정_코드표!$F$2:$F$101,0))),INDEX(설정_코드표!$K$2:$K$101,MATCH(LEFT(TRIM(I243&amp;""),FIND(" ",TRIM(I243&amp;""))-1),설정_코드표!$J$2:$J$101,0))&amp;" "&amp;INDEX(설정_코드표!$G$2:$G$101,MATCH(TRIM(RIGHT(SUBSTITUTE(TRIM(I243&amp;"")," ",REPT(" ",60)),60)),설정_코드표!$F$2:$F$101,0)),"⚠"&amp;TRIM(I243&amp;""))),"⚠"&amp;TRIM(I243&amp;""))</f>
        <v/>
      </c>
      <c r="R243" s="10">
        <f>IFERROR(IF(TRIM(J243&amp;"")="","",IF(AND(ISNUMBER(FIND(" ",TRIM(J243&amp;""))),ISNUMBER(MATCH(LEFT(TRIM(J243&amp;""),FIND(" ",TRIM(J243&amp;""))-1),설정_코드표!$J$2:$J$101,0)),ISNUMBER(MATCH(TRIM(RIGHT(SUBSTITUTE(TRIM(J243&amp;"")," ",REPT(" ",60)),60)),설정_코드표!$F$2:$F$101,0))),INDEX(설정_코드표!$K$2:$K$101,MATCH(LEFT(TRIM(J243&amp;""),FIND(" ",TRIM(J243&amp;""))-1),설정_코드표!$J$2:$J$101,0))&amp;" "&amp;INDEX(설정_코드표!$G$2:$G$101,MATCH(TRIM(RIGHT(SUBSTITUTE(TRIM(J243&amp;"")," ",REPT(" ",60)),60)),설정_코드표!$F$2:$F$101,0)),"⚠"&amp;TRIM(J243&amp;""))),"⚠"&amp;TRIM(J243&amp;""))</f>
        <v/>
      </c>
      <c r="S243" s="11">
        <f>IF(K243="","",IFERROR(IF(AND(ROUND((VALUE(K243&amp;"")-INT(VALUE(K243&amp;"")))*100,0)&gt;=1,ROUND((VALUE(K243&amp;"")-INT(VALUE(K243&amp;"")))*100,0)&lt;=12,INT(VALUE(K243&amp;""))&gt;=1900),DATE(INT(VALUE(K243&amp;"")),ROUND((VALUE(K243&amp;"")-INT(VALUE(K243&amp;"")))*100,0),1),K243&amp;""),K243&amp;""))</f>
        <v/>
      </c>
      <c r="T243" s="10">
        <f>COUNTIF(M243:R243,"⚠*")</f>
        <v/>
      </c>
    </row>
    <row r="244"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M244" s="10">
        <f>IFERROR(IF(TRIM(E244&amp;"")="","",IF(AND(ISNUMBER(FIND(" ",TRIM(E244&amp;""))),ISNUMBER(MATCH(LEFT(TRIM(E244&amp;""),FIND(" ",TRIM(E244&amp;""))-1),설정_코드표!$J$2:$J$101,0)),ISNUMBER(MATCH(TRIM(RIGHT(SUBSTITUTE(TRIM(E244&amp;"")," ",REPT(" ",60)),60)),설정_코드표!$F$2:$F$101,0))),INDEX(설정_코드표!$K$2:$K$101,MATCH(LEFT(TRIM(E244&amp;""),FIND(" ",TRIM(E244&amp;""))-1),설정_코드표!$J$2:$J$101,0))&amp;" "&amp;INDEX(설정_코드표!$G$2:$G$101,MATCH(TRIM(RIGHT(SUBSTITUTE(TRIM(E244&amp;"")," ",REPT(" ",60)),60)),설정_코드표!$F$2:$F$101,0)),"⚠"&amp;TRIM(E244&amp;""))),"⚠"&amp;TRIM(E244&amp;""))</f>
        <v/>
      </c>
      <c r="N244" s="10">
        <f>IFERROR(IF(TRIM(F244&amp;"")="","",IF(AND(ISNUMBER(FIND(" ",TRIM(F244&amp;""))),ISNUMBER(MATCH(LEFT(TRIM(F244&amp;""),FIND(" ",TRIM(F244&amp;""))-1),설정_코드표!$J$2:$J$101,0)),ISNUMBER(MATCH(TRIM(RIGHT(SUBSTITUTE(TRIM(F244&amp;"")," ",REPT(" ",60)),60)),설정_코드표!$F$2:$F$101,0))),INDEX(설정_코드표!$K$2:$K$101,MATCH(LEFT(TRIM(F244&amp;""),FIND(" ",TRIM(F244&amp;""))-1),설정_코드표!$J$2:$J$101,0))&amp;" "&amp;INDEX(설정_코드표!$G$2:$G$101,MATCH(TRIM(RIGHT(SUBSTITUTE(TRIM(F244&amp;"")," ",REPT(" ",60)),60)),설정_코드표!$F$2:$F$101,0)),"⚠"&amp;TRIM(F244&amp;""))),"⚠"&amp;TRIM(F244&amp;""))</f>
        <v/>
      </c>
      <c r="O244" s="10">
        <f>IFERROR(IF(TRIM(G244&amp;"")="","",IF(AND(ISNUMBER(FIND(" ",TRIM(G244&amp;""))),ISNUMBER(MATCH(LEFT(TRIM(G244&amp;""),FIND(" ",TRIM(G244&amp;""))-1),설정_코드표!$J$2:$J$101,0)),ISNUMBER(MATCH(TRIM(RIGHT(SUBSTITUTE(TRIM(G244&amp;"")," ",REPT(" ",60)),60)),설정_코드표!$F$2:$F$101,0))),INDEX(설정_코드표!$K$2:$K$101,MATCH(LEFT(TRIM(G244&amp;""),FIND(" ",TRIM(G244&amp;""))-1),설정_코드표!$J$2:$J$101,0))&amp;" "&amp;INDEX(설정_코드표!$G$2:$G$101,MATCH(TRIM(RIGHT(SUBSTITUTE(TRIM(G244&amp;"")," ",REPT(" ",60)),60)),설정_코드표!$F$2:$F$101,0)),"⚠"&amp;TRIM(G244&amp;""))),"⚠"&amp;TRIM(G244&amp;""))</f>
        <v/>
      </c>
      <c r="P244" s="10">
        <f>IFERROR(IF(TRIM(H244&amp;"")="","",IF(AND(ISNUMBER(FIND(" ",TRIM(H244&amp;""))),ISNUMBER(MATCH(LEFT(TRIM(H244&amp;""),FIND(" ",TRIM(H244&amp;""))-1),설정_코드표!$J$2:$J$101,0)),ISNUMBER(MATCH(TRIM(RIGHT(SUBSTITUTE(TRIM(H244&amp;"")," ",REPT(" ",60)),60)),설정_코드표!$F$2:$F$101,0))),INDEX(설정_코드표!$K$2:$K$101,MATCH(LEFT(TRIM(H244&amp;""),FIND(" ",TRIM(H244&amp;""))-1),설정_코드표!$J$2:$J$101,0))&amp;" "&amp;INDEX(설정_코드표!$G$2:$G$101,MATCH(TRIM(RIGHT(SUBSTITUTE(TRIM(H244&amp;"")," ",REPT(" ",60)),60)),설정_코드표!$F$2:$F$101,0)),"⚠"&amp;TRIM(H244&amp;""))),"⚠"&amp;TRIM(H244&amp;""))</f>
        <v/>
      </c>
      <c r="Q244" s="10">
        <f>IFERROR(IF(TRIM(I244&amp;"")="","",IF(AND(ISNUMBER(FIND(" ",TRIM(I244&amp;""))),ISNUMBER(MATCH(LEFT(TRIM(I244&amp;""),FIND(" ",TRIM(I244&amp;""))-1),설정_코드표!$J$2:$J$101,0)),ISNUMBER(MATCH(TRIM(RIGHT(SUBSTITUTE(TRIM(I244&amp;"")," ",REPT(" ",60)),60)),설정_코드표!$F$2:$F$101,0))),INDEX(설정_코드표!$K$2:$K$101,MATCH(LEFT(TRIM(I244&amp;""),FIND(" ",TRIM(I244&amp;""))-1),설정_코드표!$J$2:$J$101,0))&amp;" "&amp;INDEX(설정_코드표!$G$2:$G$101,MATCH(TRIM(RIGHT(SUBSTITUTE(TRIM(I244&amp;"")," ",REPT(" ",60)),60)),설정_코드표!$F$2:$F$101,0)),"⚠"&amp;TRIM(I244&amp;""))),"⚠"&amp;TRIM(I244&amp;""))</f>
        <v/>
      </c>
      <c r="R244" s="10">
        <f>IFERROR(IF(TRIM(J244&amp;"")="","",IF(AND(ISNUMBER(FIND(" ",TRIM(J244&amp;""))),ISNUMBER(MATCH(LEFT(TRIM(J244&amp;""),FIND(" ",TRIM(J244&amp;""))-1),설정_코드표!$J$2:$J$101,0)),ISNUMBER(MATCH(TRIM(RIGHT(SUBSTITUTE(TRIM(J244&amp;"")," ",REPT(" ",60)),60)),설정_코드표!$F$2:$F$101,0))),INDEX(설정_코드표!$K$2:$K$101,MATCH(LEFT(TRIM(J244&amp;""),FIND(" ",TRIM(J244&amp;""))-1),설정_코드표!$J$2:$J$101,0))&amp;" "&amp;INDEX(설정_코드표!$G$2:$G$101,MATCH(TRIM(RIGHT(SUBSTITUTE(TRIM(J244&amp;"")," ",REPT(" ",60)),60)),설정_코드표!$F$2:$F$101,0)),"⚠"&amp;TRIM(J244&amp;""))),"⚠"&amp;TRIM(J244&amp;""))</f>
        <v/>
      </c>
      <c r="S244" s="11">
        <f>IF(K244="","",IFERROR(IF(AND(ROUND((VALUE(K244&amp;"")-INT(VALUE(K244&amp;"")))*100,0)&gt;=1,ROUND((VALUE(K244&amp;"")-INT(VALUE(K244&amp;"")))*100,0)&lt;=12,INT(VALUE(K244&amp;""))&gt;=1900),DATE(INT(VALUE(K244&amp;"")),ROUND((VALUE(K244&amp;"")-INT(VALUE(K244&amp;"")))*100,0),1),K244&amp;""),K244&amp;""))</f>
        <v/>
      </c>
      <c r="T244" s="10">
        <f>COUNTIF(M244:R244,"⚠*")</f>
        <v/>
      </c>
    </row>
    <row r="245"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M245" s="10">
        <f>IFERROR(IF(TRIM(E245&amp;"")="","",IF(AND(ISNUMBER(FIND(" ",TRIM(E245&amp;""))),ISNUMBER(MATCH(LEFT(TRIM(E245&amp;""),FIND(" ",TRIM(E245&amp;""))-1),설정_코드표!$J$2:$J$101,0)),ISNUMBER(MATCH(TRIM(RIGHT(SUBSTITUTE(TRIM(E245&amp;"")," ",REPT(" ",60)),60)),설정_코드표!$F$2:$F$101,0))),INDEX(설정_코드표!$K$2:$K$101,MATCH(LEFT(TRIM(E245&amp;""),FIND(" ",TRIM(E245&amp;""))-1),설정_코드표!$J$2:$J$101,0))&amp;" "&amp;INDEX(설정_코드표!$G$2:$G$101,MATCH(TRIM(RIGHT(SUBSTITUTE(TRIM(E245&amp;"")," ",REPT(" ",60)),60)),설정_코드표!$F$2:$F$101,0)),"⚠"&amp;TRIM(E245&amp;""))),"⚠"&amp;TRIM(E245&amp;""))</f>
        <v/>
      </c>
      <c r="N245" s="10">
        <f>IFERROR(IF(TRIM(F245&amp;"")="","",IF(AND(ISNUMBER(FIND(" ",TRIM(F245&amp;""))),ISNUMBER(MATCH(LEFT(TRIM(F245&amp;""),FIND(" ",TRIM(F245&amp;""))-1),설정_코드표!$J$2:$J$101,0)),ISNUMBER(MATCH(TRIM(RIGHT(SUBSTITUTE(TRIM(F245&amp;"")," ",REPT(" ",60)),60)),설정_코드표!$F$2:$F$101,0))),INDEX(설정_코드표!$K$2:$K$101,MATCH(LEFT(TRIM(F245&amp;""),FIND(" ",TRIM(F245&amp;""))-1),설정_코드표!$J$2:$J$101,0))&amp;" "&amp;INDEX(설정_코드표!$G$2:$G$101,MATCH(TRIM(RIGHT(SUBSTITUTE(TRIM(F245&amp;"")," ",REPT(" ",60)),60)),설정_코드표!$F$2:$F$101,0)),"⚠"&amp;TRIM(F245&amp;""))),"⚠"&amp;TRIM(F245&amp;""))</f>
        <v/>
      </c>
      <c r="O245" s="10">
        <f>IFERROR(IF(TRIM(G245&amp;"")="","",IF(AND(ISNUMBER(FIND(" ",TRIM(G245&amp;""))),ISNUMBER(MATCH(LEFT(TRIM(G245&amp;""),FIND(" ",TRIM(G245&amp;""))-1),설정_코드표!$J$2:$J$101,0)),ISNUMBER(MATCH(TRIM(RIGHT(SUBSTITUTE(TRIM(G245&amp;"")," ",REPT(" ",60)),60)),설정_코드표!$F$2:$F$101,0))),INDEX(설정_코드표!$K$2:$K$101,MATCH(LEFT(TRIM(G245&amp;""),FIND(" ",TRIM(G245&amp;""))-1),설정_코드표!$J$2:$J$101,0))&amp;" "&amp;INDEX(설정_코드표!$G$2:$G$101,MATCH(TRIM(RIGHT(SUBSTITUTE(TRIM(G245&amp;"")," ",REPT(" ",60)),60)),설정_코드표!$F$2:$F$101,0)),"⚠"&amp;TRIM(G245&amp;""))),"⚠"&amp;TRIM(G245&amp;""))</f>
        <v/>
      </c>
      <c r="P245" s="10">
        <f>IFERROR(IF(TRIM(H245&amp;"")="","",IF(AND(ISNUMBER(FIND(" ",TRIM(H245&amp;""))),ISNUMBER(MATCH(LEFT(TRIM(H245&amp;""),FIND(" ",TRIM(H245&amp;""))-1),설정_코드표!$J$2:$J$101,0)),ISNUMBER(MATCH(TRIM(RIGHT(SUBSTITUTE(TRIM(H245&amp;"")," ",REPT(" ",60)),60)),설정_코드표!$F$2:$F$101,0))),INDEX(설정_코드표!$K$2:$K$101,MATCH(LEFT(TRIM(H245&amp;""),FIND(" ",TRIM(H245&amp;""))-1),설정_코드표!$J$2:$J$101,0))&amp;" "&amp;INDEX(설정_코드표!$G$2:$G$101,MATCH(TRIM(RIGHT(SUBSTITUTE(TRIM(H245&amp;"")," ",REPT(" ",60)),60)),설정_코드표!$F$2:$F$101,0)),"⚠"&amp;TRIM(H245&amp;""))),"⚠"&amp;TRIM(H245&amp;""))</f>
        <v/>
      </c>
      <c r="Q245" s="10">
        <f>IFERROR(IF(TRIM(I245&amp;"")="","",IF(AND(ISNUMBER(FIND(" ",TRIM(I245&amp;""))),ISNUMBER(MATCH(LEFT(TRIM(I245&amp;""),FIND(" ",TRIM(I245&amp;""))-1),설정_코드표!$J$2:$J$101,0)),ISNUMBER(MATCH(TRIM(RIGHT(SUBSTITUTE(TRIM(I245&amp;"")," ",REPT(" ",60)),60)),설정_코드표!$F$2:$F$101,0))),INDEX(설정_코드표!$K$2:$K$101,MATCH(LEFT(TRIM(I245&amp;""),FIND(" ",TRIM(I245&amp;""))-1),설정_코드표!$J$2:$J$101,0))&amp;" "&amp;INDEX(설정_코드표!$G$2:$G$101,MATCH(TRIM(RIGHT(SUBSTITUTE(TRIM(I245&amp;"")," ",REPT(" ",60)),60)),설정_코드표!$F$2:$F$101,0)),"⚠"&amp;TRIM(I245&amp;""))),"⚠"&amp;TRIM(I245&amp;""))</f>
        <v/>
      </c>
      <c r="R245" s="10">
        <f>IFERROR(IF(TRIM(J245&amp;"")="","",IF(AND(ISNUMBER(FIND(" ",TRIM(J245&amp;""))),ISNUMBER(MATCH(LEFT(TRIM(J245&amp;""),FIND(" ",TRIM(J245&amp;""))-1),설정_코드표!$J$2:$J$101,0)),ISNUMBER(MATCH(TRIM(RIGHT(SUBSTITUTE(TRIM(J245&amp;"")," ",REPT(" ",60)),60)),설정_코드표!$F$2:$F$101,0))),INDEX(설정_코드표!$K$2:$K$101,MATCH(LEFT(TRIM(J245&amp;""),FIND(" ",TRIM(J245&amp;""))-1),설정_코드표!$J$2:$J$101,0))&amp;" "&amp;INDEX(설정_코드표!$G$2:$G$101,MATCH(TRIM(RIGHT(SUBSTITUTE(TRIM(J245&amp;"")," ",REPT(" ",60)),60)),설정_코드표!$F$2:$F$101,0)),"⚠"&amp;TRIM(J245&amp;""))),"⚠"&amp;TRIM(J245&amp;""))</f>
        <v/>
      </c>
      <c r="S245" s="11">
        <f>IF(K245="","",IFERROR(IF(AND(ROUND((VALUE(K245&amp;"")-INT(VALUE(K245&amp;"")))*100,0)&gt;=1,ROUND((VALUE(K245&amp;"")-INT(VALUE(K245&amp;"")))*100,0)&lt;=12,INT(VALUE(K245&amp;""))&gt;=1900),DATE(INT(VALUE(K245&amp;"")),ROUND((VALUE(K245&amp;"")-INT(VALUE(K245&amp;"")))*100,0),1),K245&amp;""),K245&amp;""))</f>
        <v/>
      </c>
      <c r="T245" s="10">
        <f>COUNTIF(M245:R245,"⚠*")</f>
        <v/>
      </c>
    </row>
    <row r="246"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M246" s="10">
        <f>IFERROR(IF(TRIM(E246&amp;"")="","",IF(AND(ISNUMBER(FIND(" ",TRIM(E246&amp;""))),ISNUMBER(MATCH(LEFT(TRIM(E246&amp;""),FIND(" ",TRIM(E246&amp;""))-1),설정_코드표!$J$2:$J$101,0)),ISNUMBER(MATCH(TRIM(RIGHT(SUBSTITUTE(TRIM(E246&amp;"")," ",REPT(" ",60)),60)),설정_코드표!$F$2:$F$101,0))),INDEX(설정_코드표!$K$2:$K$101,MATCH(LEFT(TRIM(E246&amp;""),FIND(" ",TRIM(E246&amp;""))-1),설정_코드표!$J$2:$J$101,0))&amp;" "&amp;INDEX(설정_코드표!$G$2:$G$101,MATCH(TRIM(RIGHT(SUBSTITUTE(TRIM(E246&amp;"")," ",REPT(" ",60)),60)),설정_코드표!$F$2:$F$101,0)),"⚠"&amp;TRIM(E246&amp;""))),"⚠"&amp;TRIM(E246&amp;""))</f>
        <v/>
      </c>
      <c r="N246" s="10">
        <f>IFERROR(IF(TRIM(F246&amp;"")="","",IF(AND(ISNUMBER(FIND(" ",TRIM(F246&amp;""))),ISNUMBER(MATCH(LEFT(TRIM(F246&amp;""),FIND(" ",TRIM(F246&amp;""))-1),설정_코드표!$J$2:$J$101,0)),ISNUMBER(MATCH(TRIM(RIGHT(SUBSTITUTE(TRIM(F246&amp;"")," ",REPT(" ",60)),60)),설정_코드표!$F$2:$F$101,0))),INDEX(설정_코드표!$K$2:$K$101,MATCH(LEFT(TRIM(F246&amp;""),FIND(" ",TRIM(F246&amp;""))-1),설정_코드표!$J$2:$J$101,0))&amp;" "&amp;INDEX(설정_코드표!$G$2:$G$101,MATCH(TRIM(RIGHT(SUBSTITUTE(TRIM(F246&amp;"")," ",REPT(" ",60)),60)),설정_코드표!$F$2:$F$101,0)),"⚠"&amp;TRIM(F246&amp;""))),"⚠"&amp;TRIM(F246&amp;""))</f>
        <v/>
      </c>
      <c r="O246" s="10">
        <f>IFERROR(IF(TRIM(G246&amp;"")="","",IF(AND(ISNUMBER(FIND(" ",TRIM(G246&amp;""))),ISNUMBER(MATCH(LEFT(TRIM(G246&amp;""),FIND(" ",TRIM(G246&amp;""))-1),설정_코드표!$J$2:$J$101,0)),ISNUMBER(MATCH(TRIM(RIGHT(SUBSTITUTE(TRIM(G246&amp;"")," ",REPT(" ",60)),60)),설정_코드표!$F$2:$F$101,0))),INDEX(설정_코드표!$K$2:$K$101,MATCH(LEFT(TRIM(G246&amp;""),FIND(" ",TRIM(G246&amp;""))-1),설정_코드표!$J$2:$J$101,0))&amp;" "&amp;INDEX(설정_코드표!$G$2:$G$101,MATCH(TRIM(RIGHT(SUBSTITUTE(TRIM(G246&amp;"")," ",REPT(" ",60)),60)),설정_코드표!$F$2:$F$101,0)),"⚠"&amp;TRIM(G246&amp;""))),"⚠"&amp;TRIM(G246&amp;""))</f>
        <v/>
      </c>
      <c r="P246" s="10">
        <f>IFERROR(IF(TRIM(H246&amp;"")="","",IF(AND(ISNUMBER(FIND(" ",TRIM(H246&amp;""))),ISNUMBER(MATCH(LEFT(TRIM(H246&amp;""),FIND(" ",TRIM(H246&amp;""))-1),설정_코드표!$J$2:$J$101,0)),ISNUMBER(MATCH(TRIM(RIGHT(SUBSTITUTE(TRIM(H246&amp;"")," ",REPT(" ",60)),60)),설정_코드표!$F$2:$F$101,0))),INDEX(설정_코드표!$K$2:$K$101,MATCH(LEFT(TRIM(H246&amp;""),FIND(" ",TRIM(H246&amp;""))-1),설정_코드표!$J$2:$J$101,0))&amp;" "&amp;INDEX(설정_코드표!$G$2:$G$101,MATCH(TRIM(RIGHT(SUBSTITUTE(TRIM(H246&amp;"")," ",REPT(" ",60)),60)),설정_코드표!$F$2:$F$101,0)),"⚠"&amp;TRIM(H246&amp;""))),"⚠"&amp;TRIM(H246&amp;""))</f>
        <v/>
      </c>
      <c r="Q246" s="10">
        <f>IFERROR(IF(TRIM(I246&amp;"")="","",IF(AND(ISNUMBER(FIND(" ",TRIM(I246&amp;""))),ISNUMBER(MATCH(LEFT(TRIM(I246&amp;""),FIND(" ",TRIM(I246&amp;""))-1),설정_코드표!$J$2:$J$101,0)),ISNUMBER(MATCH(TRIM(RIGHT(SUBSTITUTE(TRIM(I246&amp;"")," ",REPT(" ",60)),60)),설정_코드표!$F$2:$F$101,0))),INDEX(설정_코드표!$K$2:$K$101,MATCH(LEFT(TRIM(I246&amp;""),FIND(" ",TRIM(I246&amp;""))-1),설정_코드표!$J$2:$J$101,0))&amp;" "&amp;INDEX(설정_코드표!$G$2:$G$101,MATCH(TRIM(RIGHT(SUBSTITUTE(TRIM(I246&amp;"")," ",REPT(" ",60)),60)),설정_코드표!$F$2:$F$101,0)),"⚠"&amp;TRIM(I246&amp;""))),"⚠"&amp;TRIM(I246&amp;""))</f>
        <v/>
      </c>
      <c r="R246" s="10">
        <f>IFERROR(IF(TRIM(J246&amp;"")="","",IF(AND(ISNUMBER(FIND(" ",TRIM(J246&amp;""))),ISNUMBER(MATCH(LEFT(TRIM(J246&amp;""),FIND(" ",TRIM(J246&amp;""))-1),설정_코드표!$J$2:$J$101,0)),ISNUMBER(MATCH(TRIM(RIGHT(SUBSTITUTE(TRIM(J246&amp;"")," ",REPT(" ",60)),60)),설정_코드표!$F$2:$F$101,0))),INDEX(설정_코드표!$K$2:$K$101,MATCH(LEFT(TRIM(J246&amp;""),FIND(" ",TRIM(J246&amp;""))-1),설정_코드표!$J$2:$J$101,0))&amp;" "&amp;INDEX(설정_코드표!$G$2:$G$101,MATCH(TRIM(RIGHT(SUBSTITUTE(TRIM(J246&amp;"")," ",REPT(" ",60)),60)),설정_코드표!$F$2:$F$101,0)),"⚠"&amp;TRIM(J246&amp;""))),"⚠"&amp;TRIM(J246&amp;""))</f>
        <v/>
      </c>
      <c r="S246" s="11">
        <f>IF(K246="","",IFERROR(IF(AND(ROUND((VALUE(K246&amp;"")-INT(VALUE(K246&amp;"")))*100,0)&gt;=1,ROUND((VALUE(K246&amp;"")-INT(VALUE(K246&amp;"")))*100,0)&lt;=12,INT(VALUE(K246&amp;""))&gt;=1900),DATE(INT(VALUE(K246&amp;"")),ROUND((VALUE(K246&amp;"")-INT(VALUE(K246&amp;"")))*100,0),1),K246&amp;""),K246&amp;""))</f>
        <v/>
      </c>
      <c r="T246" s="10">
        <f>COUNTIF(M246:R246,"⚠*")</f>
        <v/>
      </c>
    </row>
    <row r="247"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M247" s="10">
        <f>IFERROR(IF(TRIM(E247&amp;"")="","",IF(AND(ISNUMBER(FIND(" ",TRIM(E247&amp;""))),ISNUMBER(MATCH(LEFT(TRIM(E247&amp;""),FIND(" ",TRIM(E247&amp;""))-1),설정_코드표!$J$2:$J$101,0)),ISNUMBER(MATCH(TRIM(RIGHT(SUBSTITUTE(TRIM(E247&amp;"")," ",REPT(" ",60)),60)),설정_코드표!$F$2:$F$101,0))),INDEX(설정_코드표!$K$2:$K$101,MATCH(LEFT(TRIM(E247&amp;""),FIND(" ",TRIM(E247&amp;""))-1),설정_코드표!$J$2:$J$101,0))&amp;" "&amp;INDEX(설정_코드표!$G$2:$G$101,MATCH(TRIM(RIGHT(SUBSTITUTE(TRIM(E247&amp;"")," ",REPT(" ",60)),60)),설정_코드표!$F$2:$F$101,0)),"⚠"&amp;TRIM(E247&amp;""))),"⚠"&amp;TRIM(E247&amp;""))</f>
        <v/>
      </c>
      <c r="N247" s="10">
        <f>IFERROR(IF(TRIM(F247&amp;"")="","",IF(AND(ISNUMBER(FIND(" ",TRIM(F247&amp;""))),ISNUMBER(MATCH(LEFT(TRIM(F247&amp;""),FIND(" ",TRIM(F247&amp;""))-1),설정_코드표!$J$2:$J$101,0)),ISNUMBER(MATCH(TRIM(RIGHT(SUBSTITUTE(TRIM(F247&amp;"")," ",REPT(" ",60)),60)),설정_코드표!$F$2:$F$101,0))),INDEX(설정_코드표!$K$2:$K$101,MATCH(LEFT(TRIM(F247&amp;""),FIND(" ",TRIM(F247&amp;""))-1),설정_코드표!$J$2:$J$101,0))&amp;" "&amp;INDEX(설정_코드표!$G$2:$G$101,MATCH(TRIM(RIGHT(SUBSTITUTE(TRIM(F247&amp;"")," ",REPT(" ",60)),60)),설정_코드표!$F$2:$F$101,0)),"⚠"&amp;TRIM(F247&amp;""))),"⚠"&amp;TRIM(F247&amp;""))</f>
        <v/>
      </c>
      <c r="O247" s="10">
        <f>IFERROR(IF(TRIM(G247&amp;"")="","",IF(AND(ISNUMBER(FIND(" ",TRIM(G247&amp;""))),ISNUMBER(MATCH(LEFT(TRIM(G247&amp;""),FIND(" ",TRIM(G247&amp;""))-1),설정_코드표!$J$2:$J$101,0)),ISNUMBER(MATCH(TRIM(RIGHT(SUBSTITUTE(TRIM(G247&amp;"")," ",REPT(" ",60)),60)),설정_코드표!$F$2:$F$101,0))),INDEX(설정_코드표!$K$2:$K$101,MATCH(LEFT(TRIM(G247&amp;""),FIND(" ",TRIM(G247&amp;""))-1),설정_코드표!$J$2:$J$101,0))&amp;" "&amp;INDEX(설정_코드표!$G$2:$G$101,MATCH(TRIM(RIGHT(SUBSTITUTE(TRIM(G247&amp;"")," ",REPT(" ",60)),60)),설정_코드표!$F$2:$F$101,0)),"⚠"&amp;TRIM(G247&amp;""))),"⚠"&amp;TRIM(G247&amp;""))</f>
        <v/>
      </c>
      <c r="P247" s="10">
        <f>IFERROR(IF(TRIM(H247&amp;"")="","",IF(AND(ISNUMBER(FIND(" ",TRIM(H247&amp;""))),ISNUMBER(MATCH(LEFT(TRIM(H247&amp;""),FIND(" ",TRIM(H247&amp;""))-1),설정_코드표!$J$2:$J$101,0)),ISNUMBER(MATCH(TRIM(RIGHT(SUBSTITUTE(TRIM(H247&amp;"")," ",REPT(" ",60)),60)),설정_코드표!$F$2:$F$101,0))),INDEX(설정_코드표!$K$2:$K$101,MATCH(LEFT(TRIM(H247&amp;""),FIND(" ",TRIM(H247&amp;""))-1),설정_코드표!$J$2:$J$101,0))&amp;" "&amp;INDEX(설정_코드표!$G$2:$G$101,MATCH(TRIM(RIGHT(SUBSTITUTE(TRIM(H247&amp;"")," ",REPT(" ",60)),60)),설정_코드표!$F$2:$F$101,0)),"⚠"&amp;TRIM(H247&amp;""))),"⚠"&amp;TRIM(H247&amp;""))</f>
        <v/>
      </c>
      <c r="Q247" s="10">
        <f>IFERROR(IF(TRIM(I247&amp;"")="","",IF(AND(ISNUMBER(FIND(" ",TRIM(I247&amp;""))),ISNUMBER(MATCH(LEFT(TRIM(I247&amp;""),FIND(" ",TRIM(I247&amp;""))-1),설정_코드표!$J$2:$J$101,0)),ISNUMBER(MATCH(TRIM(RIGHT(SUBSTITUTE(TRIM(I247&amp;"")," ",REPT(" ",60)),60)),설정_코드표!$F$2:$F$101,0))),INDEX(설정_코드표!$K$2:$K$101,MATCH(LEFT(TRIM(I247&amp;""),FIND(" ",TRIM(I247&amp;""))-1),설정_코드표!$J$2:$J$101,0))&amp;" "&amp;INDEX(설정_코드표!$G$2:$G$101,MATCH(TRIM(RIGHT(SUBSTITUTE(TRIM(I247&amp;"")," ",REPT(" ",60)),60)),설정_코드표!$F$2:$F$101,0)),"⚠"&amp;TRIM(I247&amp;""))),"⚠"&amp;TRIM(I247&amp;""))</f>
        <v/>
      </c>
      <c r="R247" s="10">
        <f>IFERROR(IF(TRIM(J247&amp;"")="","",IF(AND(ISNUMBER(FIND(" ",TRIM(J247&amp;""))),ISNUMBER(MATCH(LEFT(TRIM(J247&amp;""),FIND(" ",TRIM(J247&amp;""))-1),설정_코드표!$J$2:$J$101,0)),ISNUMBER(MATCH(TRIM(RIGHT(SUBSTITUTE(TRIM(J247&amp;"")," ",REPT(" ",60)),60)),설정_코드표!$F$2:$F$101,0))),INDEX(설정_코드표!$K$2:$K$101,MATCH(LEFT(TRIM(J247&amp;""),FIND(" ",TRIM(J247&amp;""))-1),설정_코드표!$J$2:$J$101,0))&amp;" "&amp;INDEX(설정_코드표!$G$2:$G$101,MATCH(TRIM(RIGHT(SUBSTITUTE(TRIM(J247&amp;"")," ",REPT(" ",60)),60)),설정_코드표!$F$2:$F$101,0)),"⚠"&amp;TRIM(J247&amp;""))),"⚠"&amp;TRIM(J247&amp;""))</f>
        <v/>
      </c>
      <c r="S247" s="11">
        <f>IF(K247="","",IFERROR(IF(AND(ROUND((VALUE(K247&amp;"")-INT(VALUE(K247&amp;"")))*100,0)&gt;=1,ROUND((VALUE(K247&amp;"")-INT(VALUE(K247&amp;"")))*100,0)&lt;=12,INT(VALUE(K247&amp;""))&gt;=1900),DATE(INT(VALUE(K247&amp;"")),ROUND((VALUE(K247&amp;"")-INT(VALUE(K247&amp;"")))*100,0),1),K247&amp;""),K247&amp;""))</f>
        <v/>
      </c>
      <c r="T247" s="10">
        <f>COUNTIF(M247:R247,"⚠*")</f>
        <v/>
      </c>
    </row>
    <row r="248"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M248" s="10">
        <f>IFERROR(IF(TRIM(E248&amp;"")="","",IF(AND(ISNUMBER(FIND(" ",TRIM(E248&amp;""))),ISNUMBER(MATCH(LEFT(TRIM(E248&amp;""),FIND(" ",TRIM(E248&amp;""))-1),설정_코드표!$J$2:$J$101,0)),ISNUMBER(MATCH(TRIM(RIGHT(SUBSTITUTE(TRIM(E248&amp;"")," ",REPT(" ",60)),60)),설정_코드표!$F$2:$F$101,0))),INDEX(설정_코드표!$K$2:$K$101,MATCH(LEFT(TRIM(E248&amp;""),FIND(" ",TRIM(E248&amp;""))-1),설정_코드표!$J$2:$J$101,0))&amp;" "&amp;INDEX(설정_코드표!$G$2:$G$101,MATCH(TRIM(RIGHT(SUBSTITUTE(TRIM(E248&amp;"")," ",REPT(" ",60)),60)),설정_코드표!$F$2:$F$101,0)),"⚠"&amp;TRIM(E248&amp;""))),"⚠"&amp;TRIM(E248&amp;""))</f>
        <v/>
      </c>
      <c r="N248" s="10">
        <f>IFERROR(IF(TRIM(F248&amp;"")="","",IF(AND(ISNUMBER(FIND(" ",TRIM(F248&amp;""))),ISNUMBER(MATCH(LEFT(TRIM(F248&amp;""),FIND(" ",TRIM(F248&amp;""))-1),설정_코드표!$J$2:$J$101,0)),ISNUMBER(MATCH(TRIM(RIGHT(SUBSTITUTE(TRIM(F248&amp;"")," ",REPT(" ",60)),60)),설정_코드표!$F$2:$F$101,0))),INDEX(설정_코드표!$K$2:$K$101,MATCH(LEFT(TRIM(F248&amp;""),FIND(" ",TRIM(F248&amp;""))-1),설정_코드표!$J$2:$J$101,0))&amp;" "&amp;INDEX(설정_코드표!$G$2:$G$101,MATCH(TRIM(RIGHT(SUBSTITUTE(TRIM(F248&amp;"")," ",REPT(" ",60)),60)),설정_코드표!$F$2:$F$101,0)),"⚠"&amp;TRIM(F248&amp;""))),"⚠"&amp;TRIM(F248&amp;""))</f>
        <v/>
      </c>
      <c r="O248" s="10">
        <f>IFERROR(IF(TRIM(G248&amp;"")="","",IF(AND(ISNUMBER(FIND(" ",TRIM(G248&amp;""))),ISNUMBER(MATCH(LEFT(TRIM(G248&amp;""),FIND(" ",TRIM(G248&amp;""))-1),설정_코드표!$J$2:$J$101,0)),ISNUMBER(MATCH(TRIM(RIGHT(SUBSTITUTE(TRIM(G248&amp;"")," ",REPT(" ",60)),60)),설정_코드표!$F$2:$F$101,0))),INDEX(설정_코드표!$K$2:$K$101,MATCH(LEFT(TRIM(G248&amp;""),FIND(" ",TRIM(G248&amp;""))-1),설정_코드표!$J$2:$J$101,0))&amp;" "&amp;INDEX(설정_코드표!$G$2:$G$101,MATCH(TRIM(RIGHT(SUBSTITUTE(TRIM(G248&amp;"")," ",REPT(" ",60)),60)),설정_코드표!$F$2:$F$101,0)),"⚠"&amp;TRIM(G248&amp;""))),"⚠"&amp;TRIM(G248&amp;""))</f>
        <v/>
      </c>
      <c r="P248" s="10">
        <f>IFERROR(IF(TRIM(H248&amp;"")="","",IF(AND(ISNUMBER(FIND(" ",TRIM(H248&amp;""))),ISNUMBER(MATCH(LEFT(TRIM(H248&amp;""),FIND(" ",TRIM(H248&amp;""))-1),설정_코드표!$J$2:$J$101,0)),ISNUMBER(MATCH(TRIM(RIGHT(SUBSTITUTE(TRIM(H248&amp;"")," ",REPT(" ",60)),60)),설정_코드표!$F$2:$F$101,0))),INDEX(설정_코드표!$K$2:$K$101,MATCH(LEFT(TRIM(H248&amp;""),FIND(" ",TRIM(H248&amp;""))-1),설정_코드표!$J$2:$J$101,0))&amp;" "&amp;INDEX(설정_코드표!$G$2:$G$101,MATCH(TRIM(RIGHT(SUBSTITUTE(TRIM(H248&amp;"")," ",REPT(" ",60)),60)),설정_코드표!$F$2:$F$101,0)),"⚠"&amp;TRIM(H248&amp;""))),"⚠"&amp;TRIM(H248&amp;""))</f>
        <v/>
      </c>
      <c r="Q248" s="10">
        <f>IFERROR(IF(TRIM(I248&amp;"")="","",IF(AND(ISNUMBER(FIND(" ",TRIM(I248&amp;""))),ISNUMBER(MATCH(LEFT(TRIM(I248&amp;""),FIND(" ",TRIM(I248&amp;""))-1),설정_코드표!$J$2:$J$101,0)),ISNUMBER(MATCH(TRIM(RIGHT(SUBSTITUTE(TRIM(I248&amp;"")," ",REPT(" ",60)),60)),설정_코드표!$F$2:$F$101,0))),INDEX(설정_코드표!$K$2:$K$101,MATCH(LEFT(TRIM(I248&amp;""),FIND(" ",TRIM(I248&amp;""))-1),설정_코드표!$J$2:$J$101,0))&amp;" "&amp;INDEX(설정_코드표!$G$2:$G$101,MATCH(TRIM(RIGHT(SUBSTITUTE(TRIM(I248&amp;"")," ",REPT(" ",60)),60)),설정_코드표!$F$2:$F$101,0)),"⚠"&amp;TRIM(I248&amp;""))),"⚠"&amp;TRIM(I248&amp;""))</f>
        <v/>
      </c>
      <c r="R248" s="10">
        <f>IFERROR(IF(TRIM(J248&amp;"")="","",IF(AND(ISNUMBER(FIND(" ",TRIM(J248&amp;""))),ISNUMBER(MATCH(LEFT(TRIM(J248&amp;""),FIND(" ",TRIM(J248&amp;""))-1),설정_코드표!$J$2:$J$101,0)),ISNUMBER(MATCH(TRIM(RIGHT(SUBSTITUTE(TRIM(J248&amp;"")," ",REPT(" ",60)),60)),설정_코드표!$F$2:$F$101,0))),INDEX(설정_코드표!$K$2:$K$101,MATCH(LEFT(TRIM(J248&amp;""),FIND(" ",TRIM(J248&amp;""))-1),설정_코드표!$J$2:$J$101,0))&amp;" "&amp;INDEX(설정_코드표!$G$2:$G$101,MATCH(TRIM(RIGHT(SUBSTITUTE(TRIM(J248&amp;"")," ",REPT(" ",60)),60)),설정_코드표!$F$2:$F$101,0)),"⚠"&amp;TRIM(J248&amp;""))),"⚠"&amp;TRIM(J248&amp;""))</f>
        <v/>
      </c>
      <c r="S248" s="11">
        <f>IF(K248="","",IFERROR(IF(AND(ROUND((VALUE(K248&amp;"")-INT(VALUE(K248&amp;"")))*100,0)&gt;=1,ROUND((VALUE(K248&amp;"")-INT(VALUE(K248&amp;"")))*100,0)&lt;=12,INT(VALUE(K248&amp;""))&gt;=1900),DATE(INT(VALUE(K248&amp;"")),ROUND((VALUE(K248&amp;"")-INT(VALUE(K248&amp;"")))*100,0),1),K248&amp;""),K248&amp;""))</f>
        <v/>
      </c>
      <c r="T248" s="10">
        <f>COUNTIF(M248:R248,"⚠*")</f>
        <v/>
      </c>
    </row>
    <row r="249"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M249" s="10">
        <f>IFERROR(IF(TRIM(E249&amp;"")="","",IF(AND(ISNUMBER(FIND(" ",TRIM(E249&amp;""))),ISNUMBER(MATCH(LEFT(TRIM(E249&amp;""),FIND(" ",TRIM(E249&amp;""))-1),설정_코드표!$J$2:$J$101,0)),ISNUMBER(MATCH(TRIM(RIGHT(SUBSTITUTE(TRIM(E249&amp;"")," ",REPT(" ",60)),60)),설정_코드표!$F$2:$F$101,0))),INDEX(설정_코드표!$K$2:$K$101,MATCH(LEFT(TRIM(E249&amp;""),FIND(" ",TRIM(E249&amp;""))-1),설정_코드표!$J$2:$J$101,0))&amp;" "&amp;INDEX(설정_코드표!$G$2:$G$101,MATCH(TRIM(RIGHT(SUBSTITUTE(TRIM(E249&amp;"")," ",REPT(" ",60)),60)),설정_코드표!$F$2:$F$101,0)),"⚠"&amp;TRIM(E249&amp;""))),"⚠"&amp;TRIM(E249&amp;""))</f>
        <v/>
      </c>
      <c r="N249" s="10">
        <f>IFERROR(IF(TRIM(F249&amp;"")="","",IF(AND(ISNUMBER(FIND(" ",TRIM(F249&amp;""))),ISNUMBER(MATCH(LEFT(TRIM(F249&amp;""),FIND(" ",TRIM(F249&amp;""))-1),설정_코드표!$J$2:$J$101,0)),ISNUMBER(MATCH(TRIM(RIGHT(SUBSTITUTE(TRIM(F249&amp;"")," ",REPT(" ",60)),60)),설정_코드표!$F$2:$F$101,0))),INDEX(설정_코드표!$K$2:$K$101,MATCH(LEFT(TRIM(F249&amp;""),FIND(" ",TRIM(F249&amp;""))-1),설정_코드표!$J$2:$J$101,0))&amp;" "&amp;INDEX(설정_코드표!$G$2:$G$101,MATCH(TRIM(RIGHT(SUBSTITUTE(TRIM(F249&amp;"")," ",REPT(" ",60)),60)),설정_코드표!$F$2:$F$101,0)),"⚠"&amp;TRIM(F249&amp;""))),"⚠"&amp;TRIM(F249&amp;""))</f>
        <v/>
      </c>
      <c r="O249" s="10">
        <f>IFERROR(IF(TRIM(G249&amp;"")="","",IF(AND(ISNUMBER(FIND(" ",TRIM(G249&amp;""))),ISNUMBER(MATCH(LEFT(TRIM(G249&amp;""),FIND(" ",TRIM(G249&amp;""))-1),설정_코드표!$J$2:$J$101,0)),ISNUMBER(MATCH(TRIM(RIGHT(SUBSTITUTE(TRIM(G249&amp;"")," ",REPT(" ",60)),60)),설정_코드표!$F$2:$F$101,0))),INDEX(설정_코드표!$K$2:$K$101,MATCH(LEFT(TRIM(G249&amp;""),FIND(" ",TRIM(G249&amp;""))-1),설정_코드표!$J$2:$J$101,0))&amp;" "&amp;INDEX(설정_코드표!$G$2:$G$101,MATCH(TRIM(RIGHT(SUBSTITUTE(TRIM(G249&amp;"")," ",REPT(" ",60)),60)),설정_코드표!$F$2:$F$101,0)),"⚠"&amp;TRIM(G249&amp;""))),"⚠"&amp;TRIM(G249&amp;""))</f>
        <v/>
      </c>
      <c r="P249" s="10">
        <f>IFERROR(IF(TRIM(H249&amp;"")="","",IF(AND(ISNUMBER(FIND(" ",TRIM(H249&amp;""))),ISNUMBER(MATCH(LEFT(TRIM(H249&amp;""),FIND(" ",TRIM(H249&amp;""))-1),설정_코드표!$J$2:$J$101,0)),ISNUMBER(MATCH(TRIM(RIGHT(SUBSTITUTE(TRIM(H249&amp;"")," ",REPT(" ",60)),60)),설정_코드표!$F$2:$F$101,0))),INDEX(설정_코드표!$K$2:$K$101,MATCH(LEFT(TRIM(H249&amp;""),FIND(" ",TRIM(H249&amp;""))-1),설정_코드표!$J$2:$J$101,0))&amp;" "&amp;INDEX(설정_코드표!$G$2:$G$101,MATCH(TRIM(RIGHT(SUBSTITUTE(TRIM(H249&amp;"")," ",REPT(" ",60)),60)),설정_코드표!$F$2:$F$101,0)),"⚠"&amp;TRIM(H249&amp;""))),"⚠"&amp;TRIM(H249&amp;""))</f>
        <v/>
      </c>
      <c r="Q249" s="10">
        <f>IFERROR(IF(TRIM(I249&amp;"")="","",IF(AND(ISNUMBER(FIND(" ",TRIM(I249&amp;""))),ISNUMBER(MATCH(LEFT(TRIM(I249&amp;""),FIND(" ",TRIM(I249&amp;""))-1),설정_코드표!$J$2:$J$101,0)),ISNUMBER(MATCH(TRIM(RIGHT(SUBSTITUTE(TRIM(I249&amp;"")," ",REPT(" ",60)),60)),설정_코드표!$F$2:$F$101,0))),INDEX(설정_코드표!$K$2:$K$101,MATCH(LEFT(TRIM(I249&amp;""),FIND(" ",TRIM(I249&amp;""))-1),설정_코드표!$J$2:$J$101,0))&amp;" "&amp;INDEX(설정_코드표!$G$2:$G$101,MATCH(TRIM(RIGHT(SUBSTITUTE(TRIM(I249&amp;"")," ",REPT(" ",60)),60)),설정_코드표!$F$2:$F$101,0)),"⚠"&amp;TRIM(I249&amp;""))),"⚠"&amp;TRIM(I249&amp;""))</f>
        <v/>
      </c>
      <c r="R249" s="10">
        <f>IFERROR(IF(TRIM(J249&amp;"")="","",IF(AND(ISNUMBER(FIND(" ",TRIM(J249&amp;""))),ISNUMBER(MATCH(LEFT(TRIM(J249&amp;""),FIND(" ",TRIM(J249&amp;""))-1),설정_코드표!$J$2:$J$101,0)),ISNUMBER(MATCH(TRIM(RIGHT(SUBSTITUTE(TRIM(J249&amp;"")," ",REPT(" ",60)),60)),설정_코드표!$F$2:$F$101,0))),INDEX(설정_코드표!$K$2:$K$101,MATCH(LEFT(TRIM(J249&amp;""),FIND(" ",TRIM(J249&amp;""))-1),설정_코드표!$J$2:$J$101,0))&amp;" "&amp;INDEX(설정_코드표!$G$2:$G$101,MATCH(TRIM(RIGHT(SUBSTITUTE(TRIM(J249&amp;"")," ",REPT(" ",60)),60)),설정_코드표!$F$2:$F$101,0)),"⚠"&amp;TRIM(J249&amp;""))),"⚠"&amp;TRIM(J249&amp;""))</f>
        <v/>
      </c>
      <c r="S249" s="11">
        <f>IF(K249="","",IFERROR(IF(AND(ROUND((VALUE(K249&amp;"")-INT(VALUE(K249&amp;"")))*100,0)&gt;=1,ROUND((VALUE(K249&amp;"")-INT(VALUE(K249&amp;"")))*100,0)&lt;=12,INT(VALUE(K249&amp;""))&gt;=1900),DATE(INT(VALUE(K249&amp;"")),ROUND((VALUE(K249&amp;"")-INT(VALUE(K249&amp;"")))*100,0),1),K249&amp;""),K249&amp;""))</f>
        <v/>
      </c>
      <c r="T249" s="10">
        <f>COUNTIF(M249:R249,"⚠*")</f>
        <v/>
      </c>
    </row>
    <row r="250"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M250" s="10">
        <f>IFERROR(IF(TRIM(E250&amp;"")="","",IF(AND(ISNUMBER(FIND(" ",TRIM(E250&amp;""))),ISNUMBER(MATCH(LEFT(TRIM(E250&amp;""),FIND(" ",TRIM(E250&amp;""))-1),설정_코드표!$J$2:$J$101,0)),ISNUMBER(MATCH(TRIM(RIGHT(SUBSTITUTE(TRIM(E250&amp;"")," ",REPT(" ",60)),60)),설정_코드표!$F$2:$F$101,0))),INDEX(설정_코드표!$K$2:$K$101,MATCH(LEFT(TRIM(E250&amp;""),FIND(" ",TRIM(E250&amp;""))-1),설정_코드표!$J$2:$J$101,0))&amp;" "&amp;INDEX(설정_코드표!$G$2:$G$101,MATCH(TRIM(RIGHT(SUBSTITUTE(TRIM(E250&amp;"")," ",REPT(" ",60)),60)),설정_코드표!$F$2:$F$101,0)),"⚠"&amp;TRIM(E250&amp;""))),"⚠"&amp;TRIM(E250&amp;""))</f>
        <v/>
      </c>
      <c r="N250" s="10">
        <f>IFERROR(IF(TRIM(F250&amp;"")="","",IF(AND(ISNUMBER(FIND(" ",TRIM(F250&amp;""))),ISNUMBER(MATCH(LEFT(TRIM(F250&amp;""),FIND(" ",TRIM(F250&amp;""))-1),설정_코드표!$J$2:$J$101,0)),ISNUMBER(MATCH(TRIM(RIGHT(SUBSTITUTE(TRIM(F250&amp;"")," ",REPT(" ",60)),60)),설정_코드표!$F$2:$F$101,0))),INDEX(설정_코드표!$K$2:$K$101,MATCH(LEFT(TRIM(F250&amp;""),FIND(" ",TRIM(F250&amp;""))-1),설정_코드표!$J$2:$J$101,0))&amp;" "&amp;INDEX(설정_코드표!$G$2:$G$101,MATCH(TRIM(RIGHT(SUBSTITUTE(TRIM(F250&amp;"")," ",REPT(" ",60)),60)),설정_코드표!$F$2:$F$101,0)),"⚠"&amp;TRIM(F250&amp;""))),"⚠"&amp;TRIM(F250&amp;""))</f>
        <v/>
      </c>
      <c r="O250" s="10">
        <f>IFERROR(IF(TRIM(G250&amp;"")="","",IF(AND(ISNUMBER(FIND(" ",TRIM(G250&amp;""))),ISNUMBER(MATCH(LEFT(TRIM(G250&amp;""),FIND(" ",TRIM(G250&amp;""))-1),설정_코드표!$J$2:$J$101,0)),ISNUMBER(MATCH(TRIM(RIGHT(SUBSTITUTE(TRIM(G250&amp;"")," ",REPT(" ",60)),60)),설정_코드표!$F$2:$F$101,0))),INDEX(설정_코드표!$K$2:$K$101,MATCH(LEFT(TRIM(G250&amp;""),FIND(" ",TRIM(G250&amp;""))-1),설정_코드표!$J$2:$J$101,0))&amp;" "&amp;INDEX(설정_코드표!$G$2:$G$101,MATCH(TRIM(RIGHT(SUBSTITUTE(TRIM(G250&amp;"")," ",REPT(" ",60)),60)),설정_코드표!$F$2:$F$101,0)),"⚠"&amp;TRIM(G250&amp;""))),"⚠"&amp;TRIM(G250&amp;""))</f>
        <v/>
      </c>
      <c r="P250" s="10">
        <f>IFERROR(IF(TRIM(H250&amp;"")="","",IF(AND(ISNUMBER(FIND(" ",TRIM(H250&amp;""))),ISNUMBER(MATCH(LEFT(TRIM(H250&amp;""),FIND(" ",TRIM(H250&amp;""))-1),설정_코드표!$J$2:$J$101,0)),ISNUMBER(MATCH(TRIM(RIGHT(SUBSTITUTE(TRIM(H250&amp;"")," ",REPT(" ",60)),60)),설정_코드표!$F$2:$F$101,0))),INDEX(설정_코드표!$K$2:$K$101,MATCH(LEFT(TRIM(H250&amp;""),FIND(" ",TRIM(H250&amp;""))-1),설정_코드표!$J$2:$J$101,0))&amp;" "&amp;INDEX(설정_코드표!$G$2:$G$101,MATCH(TRIM(RIGHT(SUBSTITUTE(TRIM(H250&amp;"")," ",REPT(" ",60)),60)),설정_코드표!$F$2:$F$101,0)),"⚠"&amp;TRIM(H250&amp;""))),"⚠"&amp;TRIM(H250&amp;""))</f>
        <v/>
      </c>
      <c r="Q250" s="10">
        <f>IFERROR(IF(TRIM(I250&amp;"")="","",IF(AND(ISNUMBER(FIND(" ",TRIM(I250&amp;""))),ISNUMBER(MATCH(LEFT(TRIM(I250&amp;""),FIND(" ",TRIM(I250&amp;""))-1),설정_코드표!$J$2:$J$101,0)),ISNUMBER(MATCH(TRIM(RIGHT(SUBSTITUTE(TRIM(I250&amp;"")," ",REPT(" ",60)),60)),설정_코드표!$F$2:$F$101,0))),INDEX(설정_코드표!$K$2:$K$101,MATCH(LEFT(TRIM(I250&amp;""),FIND(" ",TRIM(I250&amp;""))-1),설정_코드표!$J$2:$J$101,0))&amp;" "&amp;INDEX(설정_코드표!$G$2:$G$101,MATCH(TRIM(RIGHT(SUBSTITUTE(TRIM(I250&amp;"")," ",REPT(" ",60)),60)),설정_코드표!$F$2:$F$101,0)),"⚠"&amp;TRIM(I250&amp;""))),"⚠"&amp;TRIM(I250&amp;""))</f>
        <v/>
      </c>
      <c r="R250" s="10">
        <f>IFERROR(IF(TRIM(J250&amp;"")="","",IF(AND(ISNUMBER(FIND(" ",TRIM(J250&amp;""))),ISNUMBER(MATCH(LEFT(TRIM(J250&amp;""),FIND(" ",TRIM(J250&amp;""))-1),설정_코드표!$J$2:$J$101,0)),ISNUMBER(MATCH(TRIM(RIGHT(SUBSTITUTE(TRIM(J250&amp;"")," ",REPT(" ",60)),60)),설정_코드표!$F$2:$F$101,0))),INDEX(설정_코드표!$K$2:$K$101,MATCH(LEFT(TRIM(J250&amp;""),FIND(" ",TRIM(J250&amp;""))-1),설정_코드표!$J$2:$J$101,0))&amp;" "&amp;INDEX(설정_코드표!$G$2:$G$101,MATCH(TRIM(RIGHT(SUBSTITUTE(TRIM(J250&amp;"")," ",REPT(" ",60)),60)),설정_코드표!$F$2:$F$101,0)),"⚠"&amp;TRIM(J250&amp;""))),"⚠"&amp;TRIM(J250&amp;""))</f>
        <v/>
      </c>
      <c r="S250" s="11">
        <f>IF(K250="","",IFERROR(IF(AND(ROUND((VALUE(K250&amp;"")-INT(VALUE(K250&amp;"")))*100,0)&gt;=1,ROUND((VALUE(K250&amp;"")-INT(VALUE(K250&amp;"")))*100,0)&lt;=12,INT(VALUE(K250&amp;""))&gt;=1900),DATE(INT(VALUE(K250&amp;"")),ROUND((VALUE(K250&amp;"")-INT(VALUE(K250&amp;"")))*100,0),1),K250&amp;""),K250&amp;""))</f>
        <v/>
      </c>
      <c r="T250" s="10">
        <f>COUNTIF(M250:R250,"⚠*")</f>
        <v/>
      </c>
    </row>
    <row r="251"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M251" s="10">
        <f>IFERROR(IF(TRIM(E251&amp;"")="","",IF(AND(ISNUMBER(FIND(" ",TRIM(E251&amp;""))),ISNUMBER(MATCH(LEFT(TRIM(E251&amp;""),FIND(" ",TRIM(E251&amp;""))-1),설정_코드표!$J$2:$J$101,0)),ISNUMBER(MATCH(TRIM(RIGHT(SUBSTITUTE(TRIM(E251&amp;"")," ",REPT(" ",60)),60)),설정_코드표!$F$2:$F$101,0))),INDEX(설정_코드표!$K$2:$K$101,MATCH(LEFT(TRIM(E251&amp;""),FIND(" ",TRIM(E251&amp;""))-1),설정_코드표!$J$2:$J$101,0))&amp;" "&amp;INDEX(설정_코드표!$G$2:$G$101,MATCH(TRIM(RIGHT(SUBSTITUTE(TRIM(E251&amp;"")," ",REPT(" ",60)),60)),설정_코드표!$F$2:$F$101,0)),"⚠"&amp;TRIM(E251&amp;""))),"⚠"&amp;TRIM(E251&amp;""))</f>
        <v/>
      </c>
      <c r="N251" s="10">
        <f>IFERROR(IF(TRIM(F251&amp;"")="","",IF(AND(ISNUMBER(FIND(" ",TRIM(F251&amp;""))),ISNUMBER(MATCH(LEFT(TRIM(F251&amp;""),FIND(" ",TRIM(F251&amp;""))-1),설정_코드표!$J$2:$J$101,0)),ISNUMBER(MATCH(TRIM(RIGHT(SUBSTITUTE(TRIM(F251&amp;"")," ",REPT(" ",60)),60)),설정_코드표!$F$2:$F$101,0))),INDEX(설정_코드표!$K$2:$K$101,MATCH(LEFT(TRIM(F251&amp;""),FIND(" ",TRIM(F251&amp;""))-1),설정_코드표!$J$2:$J$101,0))&amp;" "&amp;INDEX(설정_코드표!$G$2:$G$101,MATCH(TRIM(RIGHT(SUBSTITUTE(TRIM(F251&amp;"")," ",REPT(" ",60)),60)),설정_코드표!$F$2:$F$101,0)),"⚠"&amp;TRIM(F251&amp;""))),"⚠"&amp;TRIM(F251&amp;""))</f>
        <v/>
      </c>
      <c r="O251" s="10">
        <f>IFERROR(IF(TRIM(G251&amp;"")="","",IF(AND(ISNUMBER(FIND(" ",TRIM(G251&amp;""))),ISNUMBER(MATCH(LEFT(TRIM(G251&amp;""),FIND(" ",TRIM(G251&amp;""))-1),설정_코드표!$J$2:$J$101,0)),ISNUMBER(MATCH(TRIM(RIGHT(SUBSTITUTE(TRIM(G251&amp;"")," ",REPT(" ",60)),60)),설정_코드표!$F$2:$F$101,0))),INDEX(설정_코드표!$K$2:$K$101,MATCH(LEFT(TRIM(G251&amp;""),FIND(" ",TRIM(G251&amp;""))-1),설정_코드표!$J$2:$J$101,0))&amp;" "&amp;INDEX(설정_코드표!$G$2:$G$101,MATCH(TRIM(RIGHT(SUBSTITUTE(TRIM(G251&amp;"")," ",REPT(" ",60)),60)),설정_코드표!$F$2:$F$101,0)),"⚠"&amp;TRIM(G251&amp;""))),"⚠"&amp;TRIM(G251&amp;""))</f>
        <v/>
      </c>
      <c r="P251" s="10">
        <f>IFERROR(IF(TRIM(H251&amp;"")="","",IF(AND(ISNUMBER(FIND(" ",TRIM(H251&amp;""))),ISNUMBER(MATCH(LEFT(TRIM(H251&amp;""),FIND(" ",TRIM(H251&amp;""))-1),설정_코드표!$J$2:$J$101,0)),ISNUMBER(MATCH(TRIM(RIGHT(SUBSTITUTE(TRIM(H251&amp;"")," ",REPT(" ",60)),60)),설정_코드표!$F$2:$F$101,0))),INDEX(설정_코드표!$K$2:$K$101,MATCH(LEFT(TRIM(H251&amp;""),FIND(" ",TRIM(H251&amp;""))-1),설정_코드표!$J$2:$J$101,0))&amp;" "&amp;INDEX(설정_코드표!$G$2:$G$101,MATCH(TRIM(RIGHT(SUBSTITUTE(TRIM(H251&amp;"")," ",REPT(" ",60)),60)),설정_코드표!$F$2:$F$101,0)),"⚠"&amp;TRIM(H251&amp;""))),"⚠"&amp;TRIM(H251&amp;""))</f>
        <v/>
      </c>
      <c r="Q251" s="10">
        <f>IFERROR(IF(TRIM(I251&amp;"")="","",IF(AND(ISNUMBER(FIND(" ",TRIM(I251&amp;""))),ISNUMBER(MATCH(LEFT(TRIM(I251&amp;""),FIND(" ",TRIM(I251&amp;""))-1),설정_코드표!$J$2:$J$101,0)),ISNUMBER(MATCH(TRIM(RIGHT(SUBSTITUTE(TRIM(I251&amp;"")," ",REPT(" ",60)),60)),설정_코드표!$F$2:$F$101,0))),INDEX(설정_코드표!$K$2:$K$101,MATCH(LEFT(TRIM(I251&amp;""),FIND(" ",TRIM(I251&amp;""))-1),설정_코드표!$J$2:$J$101,0))&amp;" "&amp;INDEX(설정_코드표!$G$2:$G$101,MATCH(TRIM(RIGHT(SUBSTITUTE(TRIM(I251&amp;"")," ",REPT(" ",60)),60)),설정_코드표!$F$2:$F$101,0)),"⚠"&amp;TRIM(I251&amp;""))),"⚠"&amp;TRIM(I251&amp;""))</f>
        <v/>
      </c>
      <c r="R251" s="10">
        <f>IFERROR(IF(TRIM(J251&amp;"")="","",IF(AND(ISNUMBER(FIND(" ",TRIM(J251&amp;""))),ISNUMBER(MATCH(LEFT(TRIM(J251&amp;""),FIND(" ",TRIM(J251&amp;""))-1),설정_코드표!$J$2:$J$101,0)),ISNUMBER(MATCH(TRIM(RIGHT(SUBSTITUTE(TRIM(J251&amp;"")," ",REPT(" ",60)),60)),설정_코드표!$F$2:$F$101,0))),INDEX(설정_코드표!$K$2:$K$101,MATCH(LEFT(TRIM(J251&amp;""),FIND(" ",TRIM(J251&amp;""))-1),설정_코드표!$J$2:$J$101,0))&amp;" "&amp;INDEX(설정_코드표!$G$2:$G$101,MATCH(TRIM(RIGHT(SUBSTITUTE(TRIM(J251&amp;"")," ",REPT(" ",60)),60)),설정_코드표!$F$2:$F$101,0)),"⚠"&amp;TRIM(J251&amp;""))),"⚠"&amp;TRIM(J251&amp;""))</f>
        <v/>
      </c>
      <c r="S251" s="11">
        <f>IF(K251="","",IFERROR(IF(AND(ROUND((VALUE(K251&amp;"")-INT(VALUE(K251&amp;"")))*100,0)&gt;=1,ROUND((VALUE(K251&amp;"")-INT(VALUE(K251&amp;"")))*100,0)&lt;=12,INT(VALUE(K251&amp;""))&gt;=1900),DATE(INT(VALUE(K251&amp;"")),ROUND((VALUE(K251&amp;"")-INT(VALUE(K251&amp;"")))*100,0),1),K251&amp;""),K251&amp;""))</f>
        <v/>
      </c>
      <c r="T251" s="10">
        <f>COUNTIF(M251:R251,"⚠*")</f>
        <v/>
      </c>
    </row>
    <row r="252"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M252" s="10">
        <f>IFERROR(IF(TRIM(E252&amp;"")="","",IF(AND(ISNUMBER(FIND(" ",TRIM(E252&amp;""))),ISNUMBER(MATCH(LEFT(TRIM(E252&amp;""),FIND(" ",TRIM(E252&amp;""))-1),설정_코드표!$J$2:$J$101,0)),ISNUMBER(MATCH(TRIM(RIGHT(SUBSTITUTE(TRIM(E252&amp;"")," ",REPT(" ",60)),60)),설정_코드표!$F$2:$F$101,0))),INDEX(설정_코드표!$K$2:$K$101,MATCH(LEFT(TRIM(E252&amp;""),FIND(" ",TRIM(E252&amp;""))-1),설정_코드표!$J$2:$J$101,0))&amp;" "&amp;INDEX(설정_코드표!$G$2:$G$101,MATCH(TRIM(RIGHT(SUBSTITUTE(TRIM(E252&amp;"")," ",REPT(" ",60)),60)),설정_코드표!$F$2:$F$101,0)),"⚠"&amp;TRIM(E252&amp;""))),"⚠"&amp;TRIM(E252&amp;""))</f>
        <v/>
      </c>
      <c r="N252" s="10">
        <f>IFERROR(IF(TRIM(F252&amp;"")="","",IF(AND(ISNUMBER(FIND(" ",TRIM(F252&amp;""))),ISNUMBER(MATCH(LEFT(TRIM(F252&amp;""),FIND(" ",TRIM(F252&amp;""))-1),설정_코드표!$J$2:$J$101,0)),ISNUMBER(MATCH(TRIM(RIGHT(SUBSTITUTE(TRIM(F252&amp;"")," ",REPT(" ",60)),60)),설정_코드표!$F$2:$F$101,0))),INDEX(설정_코드표!$K$2:$K$101,MATCH(LEFT(TRIM(F252&amp;""),FIND(" ",TRIM(F252&amp;""))-1),설정_코드표!$J$2:$J$101,0))&amp;" "&amp;INDEX(설정_코드표!$G$2:$G$101,MATCH(TRIM(RIGHT(SUBSTITUTE(TRIM(F252&amp;"")," ",REPT(" ",60)),60)),설정_코드표!$F$2:$F$101,0)),"⚠"&amp;TRIM(F252&amp;""))),"⚠"&amp;TRIM(F252&amp;""))</f>
        <v/>
      </c>
      <c r="O252" s="10">
        <f>IFERROR(IF(TRIM(G252&amp;"")="","",IF(AND(ISNUMBER(FIND(" ",TRIM(G252&amp;""))),ISNUMBER(MATCH(LEFT(TRIM(G252&amp;""),FIND(" ",TRIM(G252&amp;""))-1),설정_코드표!$J$2:$J$101,0)),ISNUMBER(MATCH(TRIM(RIGHT(SUBSTITUTE(TRIM(G252&amp;"")," ",REPT(" ",60)),60)),설정_코드표!$F$2:$F$101,0))),INDEX(설정_코드표!$K$2:$K$101,MATCH(LEFT(TRIM(G252&amp;""),FIND(" ",TRIM(G252&amp;""))-1),설정_코드표!$J$2:$J$101,0))&amp;" "&amp;INDEX(설정_코드표!$G$2:$G$101,MATCH(TRIM(RIGHT(SUBSTITUTE(TRIM(G252&amp;"")," ",REPT(" ",60)),60)),설정_코드표!$F$2:$F$101,0)),"⚠"&amp;TRIM(G252&amp;""))),"⚠"&amp;TRIM(G252&amp;""))</f>
        <v/>
      </c>
      <c r="P252" s="10">
        <f>IFERROR(IF(TRIM(H252&amp;"")="","",IF(AND(ISNUMBER(FIND(" ",TRIM(H252&amp;""))),ISNUMBER(MATCH(LEFT(TRIM(H252&amp;""),FIND(" ",TRIM(H252&amp;""))-1),설정_코드표!$J$2:$J$101,0)),ISNUMBER(MATCH(TRIM(RIGHT(SUBSTITUTE(TRIM(H252&amp;"")," ",REPT(" ",60)),60)),설정_코드표!$F$2:$F$101,0))),INDEX(설정_코드표!$K$2:$K$101,MATCH(LEFT(TRIM(H252&amp;""),FIND(" ",TRIM(H252&amp;""))-1),설정_코드표!$J$2:$J$101,0))&amp;" "&amp;INDEX(설정_코드표!$G$2:$G$101,MATCH(TRIM(RIGHT(SUBSTITUTE(TRIM(H252&amp;"")," ",REPT(" ",60)),60)),설정_코드표!$F$2:$F$101,0)),"⚠"&amp;TRIM(H252&amp;""))),"⚠"&amp;TRIM(H252&amp;""))</f>
        <v/>
      </c>
      <c r="Q252" s="10">
        <f>IFERROR(IF(TRIM(I252&amp;"")="","",IF(AND(ISNUMBER(FIND(" ",TRIM(I252&amp;""))),ISNUMBER(MATCH(LEFT(TRIM(I252&amp;""),FIND(" ",TRIM(I252&amp;""))-1),설정_코드표!$J$2:$J$101,0)),ISNUMBER(MATCH(TRIM(RIGHT(SUBSTITUTE(TRIM(I252&amp;"")," ",REPT(" ",60)),60)),설정_코드표!$F$2:$F$101,0))),INDEX(설정_코드표!$K$2:$K$101,MATCH(LEFT(TRIM(I252&amp;""),FIND(" ",TRIM(I252&amp;""))-1),설정_코드표!$J$2:$J$101,0))&amp;" "&amp;INDEX(설정_코드표!$G$2:$G$101,MATCH(TRIM(RIGHT(SUBSTITUTE(TRIM(I252&amp;"")," ",REPT(" ",60)),60)),설정_코드표!$F$2:$F$101,0)),"⚠"&amp;TRIM(I252&amp;""))),"⚠"&amp;TRIM(I252&amp;""))</f>
        <v/>
      </c>
      <c r="R252" s="10">
        <f>IFERROR(IF(TRIM(J252&amp;"")="","",IF(AND(ISNUMBER(FIND(" ",TRIM(J252&amp;""))),ISNUMBER(MATCH(LEFT(TRIM(J252&amp;""),FIND(" ",TRIM(J252&amp;""))-1),설정_코드표!$J$2:$J$101,0)),ISNUMBER(MATCH(TRIM(RIGHT(SUBSTITUTE(TRIM(J252&amp;"")," ",REPT(" ",60)),60)),설정_코드표!$F$2:$F$101,0))),INDEX(설정_코드표!$K$2:$K$101,MATCH(LEFT(TRIM(J252&amp;""),FIND(" ",TRIM(J252&amp;""))-1),설정_코드표!$J$2:$J$101,0))&amp;" "&amp;INDEX(설정_코드표!$G$2:$G$101,MATCH(TRIM(RIGHT(SUBSTITUTE(TRIM(J252&amp;"")," ",REPT(" ",60)),60)),설정_코드표!$F$2:$F$101,0)),"⚠"&amp;TRIM(J252&amp;""))),"⚠"&amp;TRIM(J252&amp;""))</f>
        <v/>
      </c>
      <c r="S252" s="11">
        <f>IF(K252="","",IFERROR(IF(AND(ROUND((VALUE(K252&amp;"")-INT(VALUE(K252&amp;"")))*100,0)&gt;=1,ROUND((VALUE(K252&amp;"")-INT(VALUE(K252&amp;"")))*100,0)&lt;=12,INT(VALUE(K252&amp;""))&gt;=1900),DATE(INT(VALUE(K252&amp;"")),ROUND((VALUE(K252&amp;"")-INT(VALUE(K252&amp;"")))*100,0),1),K252&amp;""),K252&amp;""))</f>
        <v/>
      </c>
      <c r="T252" s="10">
        <f>COUNTIF(M252:R252,"⚠*")</f>
        <v/>
      </c>
    </row>
    <row r="253"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M253" s="10">
        <f>IFERROR(IF(TRIM(E253&amp;"")="","",IF(AND(ISNUMBER(FIND(" ",TRIM(E253&amp;""))),ISNUMBER(MATCH(LEFT(TRIM(E253&amp;""),FIND(" ",TRIM(E253&amp;""))-1),설정_코드표!$J$2:$J$101,0)),ISNUMBER(MATCH(TRIM(RIGHT(SUBSTITUTE(TRIM(E253&amp;"")," ",REPT(" ",60)),60)),설정_코드표!$F$2:$F$101,0))),INDEX(설정_코드표!$K$2:$K$101,MATCH(LEFT(TRIM(E253&amp;""),FIND(" ",TRIM(E253&amp;""))-1),설정_코드표!$J$2:$J$101,0))&amp;" "&amp;INDEX(설정_코드표!$G$2:$G$101,MATCH(TRIM(RIGHT(SUBSTITUTE(TRIM(E253&amp;"")," ",REPT(" ",60)),60)),설정_코드표!$F$2:$F$101,0)),"⚠"&amp;TRIM(E253&amp;""))),"⚠"&amp;TRIM(E253&amp;""))</f>
        <v/>
      </c>
      <c r="N253" s="10">
        <f>IFERROR(IF(TRIM(F253&amp;"")="","",IF(AND(ISNUMBER(FIND(" ",TRIM(F253&amp;""))),ISNUMBER(MATCH(LEFT(TRIM(F253&amp;""),FIND(" ",TRIM(F253&amp;""))-1),설정_코드표!$J$2:$J$101,0)),ISNUMBER(MATCH(TRIM(RIGHT(SUBSTITUTE(TRIM(F253&amp;"")," ",REPT(" ",60)),60)),설정_코드표!$F$2:$F$101,0))),INDEX(설정_코드표!$K$2:$K$101,MATCH(LEFT(TRIM(F253&amp;""),FIND(" ",TRIM(F253&amp;""))-1),설정_코드표!$J$2:$J$101,0))&amp;" "&amp;INDEX(설정_코드표!$G$2:$G$101,MATCH(TRIM(RIGHT(SUBSTITUTE(TRIM(F253&amp;"")," ",REPT(" ",60)),60)),설정_코드표!$F$2:$F$101,0)),"⚠"&amp;TRIM(F253&amp;""))),"⚠"&amp;TRIM(F253&amp;""))</f>
        <v/>
      </c>
      <c r="O253" s="10">
        <f>IFERROR(IF(TRIM(G253&amp;"")="","",IF(AND(ISNUMBER(FIND(" ",TRIM(G253&amp;""))),ISNUMBER(MATCH(LEFT(TRIM(G253&amp;""),FIND(" ",TRIM(G253&amp;""))-1),설정_코드표!$J$2:$J$101,0)),ISNUMBER(MATCH(TRIM(RIGHT(SUBSTITUTE(TRIM(G253&amp;"")," ",REPT(" ",60)),60)),설정_코드표!$F$2:$F$101,0))),INDEX(설정_코드표!$K$2:$K$101,MATCH(LEFT(TRIM(G253&amp;""),FIND(" ",TRIM(G253&amp;""))-1),설정_코드표!$J$2:$J$101,0))&amp;" "&amp;INDEX(설정_코드표!$G$2:$G$101,MATCH(TRIM(RIGHT(SUBSTITUTE(TRIM(G253&amp;"")," ",REPT(" ",60)),60)),설정_코드표!$F$2:$F$101,0)),"⚠"&amp;TRIM(G253&amp;""))),"⚠"&amp;TRIM(G253&amp;""))</f>
        <v/>
      </c>
      <c r="P253" s="10">
        <f>IFERROR(IF(TRIM(H253&amp;"")="","",IF(AND(ISNUMBER(FIND(" ",TRIM(H253&amp;""))),ISNUMBER(MATCH(LEFT(TRIM(H253&amp;""),FIND(" ",TRIM(H253&amp;""))-1),설정_코드표!$J$2:$J$101,0)),ISNUMBER(MATCH(TRIM(RIGHT(SUBSTITUTE(TRIM(H253&amp;"")," ",REPT(" ",60)),60)),설정_코드표!$F$2:$F$101,0))),INDEX(설정_코드표!$K$2:$K$101,MATCH(LEFT(TRIM(H253&amp;""),FIND(" ",TRIM(H253&amp;""))-1),설정_코드표!$J$2:$J$101,0))&amp;" "&amp;INDEX(설정_코드표!$G$2:$G$101,MATCH(TRIM(RIGHT(SUBSTITUTE(TRIM(H253&amp;"")," ",REPT(" ",60)),60)),설정_코드표!$F$2:$F$101,0)),"⚠"&amp;TRIM(H253&amp;""))),"⚠"&amp;TRIM(H253&amp;""))</f>
        <v/>
      </c>
      <c r="Q253" s="10">
        <f>IFERROR(IF(TRIM(I253&amp;"")="","",IF(AND(ISNUMBER(FIND(" ",TRIM(I253&amp;""))),ISNUMBER(MATCH(LEFT(TRIM(I253&amp;""),FIND(" ",TRIM(I253&amp;""))-1),설정_코드표!$J$2:$J$101,0)),ISNUMBER(MATCH(TRIM(RIGHT(SUBSTITUTE(TRIM(I253&amp;"")," ",REPT(" ",60)),60)),설정_코드표!$F$2:$F$101,0))),INDEX(설정_코드표!$K$2:$K$101,MATCH(LEFT(TRIM(I253&amp;""),FIND(" ",TRIM(I253&amp;""))-1),설정_코드표!$J$2:$J$101,0))&amp;" "&amp;INDEX(설정_코드표!$G$2:$G$101,MATCH(TRIM(RIGHT(SUBSTITUTE(TRIM(I253&amp;"")," ",REPT(" ",60)),60)),설정_코드표!$F$2:$F$101,0)),"⚠"&amp;TRIM(I253&amp;""))),"⚠"&amp;TRIM(I253&amp;""))</f>
        <v/>
      </c>
      <c r="R253" s="10">
        <f>IFERROR(IF(TRIM(J253&amp;"")="","",IF(AND(ISNUMBER(FIND(" ",TRIM(J253&amp;""))),ISNUMBER(MATCH(LEFT(TRIM(J253&amp;""),FIND(" ",TRIM(J253&amp;""))-1),설정_코드표!$J$2:$J$101,0)),ISNUMBER(MATCH(TRIM(RIGHT(SUBSTITUTE(TRIM(J253&amp;"")," ",REPT(" ",60)),60)),설정_코드표!$F$2:$F$101,0))),INDEX(설정_코드표!$K$2:$K$101,MATCH(LEFT(TRIM(J253&amp;""),FIND(" ",TRIM(J253&amp;""))-1),설정_코드표!$J$2:$J$101,0))&amp;" "&amp;INDEX(설정_코드표!$G$2:$G$101,MATCH(TRIM(RIGHT(SUBSTITUTE(TRIM(J253&amp;"")," ",REPT(" ",60)),60)),설정_코드표!$F$2:$F$101,0)),"⚠"&amp;TRIM(J253&amp;""))),"⚠"&amp;TRIM(J253&amp;""))</f>
        <v/>
      </c>
      <c r="S253" s="11">
        <f>IF(K253="","",IFERROR(IF(AND(ROUND((VALUE(K253&amp;"")-INT(VALUE(K253&amp;"")))*100,0)&gt;=1,ROUND((VALUE(K253&amp;"")-INT(VALUE(K253&amp;"")))*100,0)&lt;=12,INT(VALUE(K253&amp;""))&gt;=1900),DATE(INT(VALUE(K253&amp;"")),ROUND((VALUE(K253&amp;"")-INT(VALUE(K253&amp;"")))*100,0),1),K253&amp;""),K253&amp;""))</f>
        <v/>
      </c>
      <c r="T253" s="10">
        <f>COUNTIF(M253:R253,"⚠*")</f>
        <v/>
      </c>
    </row>
    <row r="254"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M254" s="10">
        <f>IFERROR(IF(TRIM(E254&amp;"")="","",IF(AND(ISNUMBER(FIND(" ",TRIM(E254&amp;""))),ISNUMBER(MATCH(LEFT(TRIM(E254&amp;""),FIND(" ",TRIM(E254&amp;""))-1),설정_코드표!$J$2:$J$101,0)),ISNUMBER(MATCH(TRIM(RIGHT(SUBSTITUTE(TRIM(E254&amp;"")," ",REPT(" ",60)),60)),설정_코드표!$F$2:$F$101,0))),INDEX(설정_코드표!$K$2:$K$101,MATCH(LEFT(TRIM(E254&amp;""),FIND(" ",TRIM(E254&amp;""))-1),설정_코드표!$J$2:$J$101,0))&amp;" "&amp;INDEX(설정_코드표!$G$2:$G$101,MATCH(TRIM(RIGHT(SUBSTITUTE(TRIM(E254&amp;"")," ",REPT(" ",60)),60)),설정_코드표!$F$2:$F$101,0)),"⚠"&amp;TRIM(E254&amp;""))),"⚠"&amp;TRIM(E254&amp;""))</f>
        <v/>
      </c>
      <c r="N254" s="10">
        <f>IFERROR(IF(TRIM(F254&amp;"")="","",IF(AND(ISNUMBER(FIND(" ",TRIM(F254&amp;""))),ISNUMBER(MATCH(LEFT(TRIM(F254&amp;""),FIND(" ",TRIM(F254&amp;""))-1),설정_코드표!$J$2:$J$101,0)),ISNUMBER(MATCH(TRIM(RIGHT(SUBSTITUTE(TRIM(F254&amp;"")," ",REPT(" ",60)),60)),설정_코드표!$F$2:$F$101,0))),INDEX(설정_코드표!$K$2:$K$101,MATCH(LEFT(TRIM(F254&amp;""),FIND(" ",TRIM(F254&amp;""))-1),설정_코드표!$J$2:$J$101,0))&amp;" "&amp;INDEX(설정_코드표!$G$2:$G$101,MATCH(TRIM(RIGHT(SUBSTITUTE(TRIM(F254&amp;"")," ",REPT(" ",60)),60)),설정_코드표!$F$2:$F$101,0)),"⚠"&amp;TRIM(F254&amp;""))),"⚠"&amp;TRIM(F254&amp;""))</f>
        <v/>
      </c>
      <c r="O254" s="10">
        <f>IFERROR(IF(TRIM(G254&amp;"")="","",IF(AND(ISNUMBER(FIND(" ",TRIM(G254&amp;""))),ISNUMBER(MATCH(LEFT(TRIM(G254&amp;""),FIND(" ",TRIM(G254&amp;""))-1),설정_코드표!$J$2:$J$101,0)),ISNUMBER(MATCH(TRIM(RIGHT(SUBSTITUTE(TRIM(G254&amp;"")," ",REPT(" ",60)),60)),설정_코드표!$F$2:$F$101,0))),INDEX(설정_코드표!$K$2:$K$101,MATCH(LEFT(TRIM(G254&amp;""),FIND(" ",TRIM(G254&amp;""))-1),설정_코드표!$J$2:$J$101,0))&amp;" "&amp;INDEX(설정_코드표!$G$2:$G$101,MATCH(TRIM(RIGHT(SUBSTITUTE(TRIM(G254&amp;"")," ",REPT(" ",60)),60)),설정_코드표!$F$2:$F$101,0)),"⚠"&amp;TRIM(G254&amp;""))),"⚠"&amp;TRIM(G254&amp;""))</f>
        <v/>
      </c>
      <c r="P254" s="10">
        <f>IFERROR(IF(TRIM(H254&amp;"")="","",IF(AND(ISNUMBER(FIND(" ",TRIM(H254&amp;""))),ISNUMBER(MATCH(LEFT(TRIM(H254&amp;""),FIND(" ",TRIM(H254&amp;""))-1),설정_코드표!$J$2:$J$101,0)),ISNUMBER(MATCH(TRIM(RIGHT(SUBSTITUTE(TRIM(H254&amp;"")," ",REPT(" ",60)),60)),설정_코드표!$F$2:$F$101,0))),INDEX(설정_코드표!$K$2:$K$101,MATCH(LEFT(TRIM(H254&amp;""),FIND(" ",TRIM(H254&amp;""))-1),설정_코드표!$J$2:$J$101,0))&amp;" "&amp;INDEX(설정_코드표!$G$2:$G$101,MATCH(TRIM(RIGHT(SUBSTITUTE(TRIM(H254&amp;"")," ",REPT(" ",60)),60)),설정_코드표!$F$2:$F$101,0)),"⚠"&amp;TRIM(H254&amp;""))),"⚠"&amp;TRIM(H254&amp;""))</f>
        <v/>
      </c>
      <c r="Q254" s="10">
        <f>IFERROR(IF(TRIM(I254&amp;"")="","",IF(AND(ISNUMBER(FIND(" ",TRIM(I254&amp;""))),ISNUMBER(MATCH(LEFT(TRIM(I254&amp;""),FIND(" ",TRIM(I254&amp;""))-1),설정_코드표!$J$2:$J$101,0)),ISNUMBER(MATCH(TRIM(RIGHT(SUBSTITUTE(TRIM(I254&amp;"")," ",REPT(" ",60)),60)),설정_코드표!$F$2:$F$101,0))),INDEX(설정_코드표!$K$2:$K$101,MATCH(LEFT(TRIM(I254&amp;""),FIND(" ",TRIM(I254&amp;""))-1),설정_코드표!$J$2:$J$101,0))&amp;" "&amp;INDEX(설정_코드표!$G$2:$G$101,MATCH(TRIM(RIGHT(SUBSTITUTE(TRIM(I254&amp;"")," ",REPT(" ",60)),60)),설정_코드표!$F$2:$F$101,0)),"⚠"&amp;TRIM(I254&amp;""))),"⚠"&amp;TRIM(I254&amp;""))</f>
        <v/>
      </c>
      <c r="R254" s="10">
        <f>IFERROR(IF(TRIM(J254&amp;"")="","",IF(AND(ISNUMBER(FIND(" ",TRIM(J254&amp;""))),ISNUMBER(MATCH(LEFT(TRIM(J254&amp;""),FIND(" ",TRIM(J254&amp;""))-1),설정_코드표!$J$2:$J$101,0)),ISNUMBER(MATCH(TRIM(RIGHT(SUBSTITUTE(TRIM(J254&amp;"")," ",REPT(" ",60)),60)),설정_코드표!$F$2:$F$101,0))),INDEX(설정_코드표!$K$2:$K$101,MATCH(LEFT(TRIM(J254&amp;""),FIND(" ",TRIM(J254&amp;""))-1),설정_코드표!$J$2:$J$101,0))&amp;" "&amp;INDEX(설정_코드표!$G$2:$G$101,MATCH(TRIM(RIGHT(SUBSTITUTE(TRIM(J254&amp;"")," ",REPT(" ",60)),60)),설정_코드표!$F$2:$F$101,0)),"⚠"&amp;TRIM(J254&amp;""))),"⚠"&amp;TRIM(J254&amp;""))</f>
        <v/>
      </c>
      <c r="S254" s="11">
        <f>IF(K254="","",IFERROR(IF(AND(ROUND((VALUE(K254&amp;"")-INT(VALUE(K254&amp;"")))*100,0)&gt;=1,ROUND((VALUE(K254&amp;"")-INT(VALUE(K254&amp;"")))*100,0)&lt;=12,INT(VALUE(K254&amp;""))&gt;=1900),DATE(INT(VALUE(K254&amp;"")),ROUND((VALUE(K254&amp;"")-INT(VALUE(K254&amp;"")))*100,0),1),K254&amp;""),K254&amp;""))</f>
        <v/>
      </c>
      <c r="T254" s="10">
        <f>COUNTIF(M254:R254,"⚠*")</f>
        <v/>
      </c>
    </row>
    <row r="255"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M255" s="10">
        <f>IFERROR(IF(TRIM(E255&amp;"")="","",IF(AND(ISNUMBER(FIND(" ",TRIM(E255&amp;""))),ISNUMBER(MATCH(LEFT(TRIM(E255&amp;""),FIND(" ",TRIM(E255&amp;""))-1),설정_코드표!$J$2:$J$101,0)),ISNUMBER(MATCH(TRIM(RIGHT(SUBSTITUTE(TRIM(E255&amp;"")," ",REPT(" ",60)),60)),설정_코드표!$F$2:$F$101,0))),INDEX(설정_코드표!$K$2:$K$101,MATCH(LEFT(TRIM(E255&amp;""),FIND(" ",TRIM(E255&amp;""))-1),설정_코드표!$J$2:$J$101,0))&amp;" "&amp;INDEX(설정_코드표!$G$2:$G$101,MATCH(TRIM(RIGHT(SUBSTITUTE(TRIM(E255&amp;"")," ",REPT(" ",60)),60)),설정_코드표!$F$2:$F$101,0)),"⚠"&amp;TRIM(E255&amp;""))),"⚠"&amp;TRIM(E255&amp;""))</f>
        <v/>
      </c>
      <c r="N255" s="10">
        <f>IFERROR(IF(TRIM(F255&amp;"")="","",IF(AND(ISNUMBER(FIND(" ",TRIM(F255&amp;""))),ISNUMBER(MATCH(LEFT(TRIM(F255&amp;""),FIND(" ",TRIM(F255&amp;""))-1),설정_코드표!$J$2:$J$101,0)),ISNUMBER(MATCH(TRIM(RIGHT(SUBSTITUTE(TRIM(F255&amp;"")," ",REPT(" ",60)),60)),설정_코드표!$F$2:$F$101,0))),INDEX(설정_코드표!$K$2:$K$101,MATCH(LEFT(TRIM(F255&amp;""),FIND(" ",TRIM(F255&amp;""))-1),설정_코드표!$J$2:$J$101,0))&amp;" "&amp;INDEX(설정_코드표!$G$2:$G$101,MATCH(TRIM(RIGHT(SUBSTITUTE(TRIM(F255&amp;"")," ",REPT(" ",60)),60)),설정_코드표!$F$2:$F$101,0)),"⚠"&amp;TRIM(F255&amp;""))),"⚠"&amp;TRIM(F255&amp;""))</f>
        <v/>
      </c>
      <c r="O255" s="10">
        <f>IFERROR(IF(TRIM(G255&amp;"")="","",IF(AND(ISNUMBER(FIND(" ",TRIM(G255&amp;""))),ISNUMBER(MATCH(LEFT(TRIM(G255&amp;""),FIND(" ",TRIM(G255&amp;""))-1),설정_코드표!$J$2:$J$101,0)),ISNUMBER(MATCH(TRIM(RIGHT(SUBSTITUTE(TRIM(G255&amp;"")," ",REPT(" ",60)),60)),설정_코드표!$F$2:$F$101,0))),INDEX(설정_코드표!$K$2:$K$101,MATCH(LEFT(TRIM(G255&amp;""),FIND(" ",TRIM(G255&amp;""))-1),설정_코드표!$J$2:$J$101,0))&amp;" "&amp;INDEX(설정_코드표!$G$2:$G$101,MATCH(TRIM(RIGHT(SUBSTITUTE(TRIM(G255&amp;"")," ",REPT(" ",60)),60)),설정_코드표!$F$2:$F$101,0)),"⚠"&amp;TRIM(G255&amp;""))),"⚠"&amp;TRIM(G255&amp;""))</f>
        <v/>
      </c>
      <c r="P255" s="10">
        <f>IFERROR(IF(TRIM(H255&amp;"")="","",IF(AND(ISNUMBER(FIND(" ",TRIM(H255&amp;""))),ISNUMBER(MATCH(LEFT(TRIM(H255&amp;""),FIND(" ",TRIM(H255&amp;""))-1),설정_코드표!$J$2:$J$101,0)),ISNUMBER(MATCH(TRIM(RIGHT(SUBSTITUTE(TRIM(H255&amp;"")," ",REPT(" ",60)),60)),설정_코드표!$F$2:$F$101,0))),INDEX(설정_코드표!$K$2:$K$101,MATCH(LEFT(TRIM(H255&amp;""),FIND(" ",TRIM(H255&amp;""))-1),설정_코드표!$J$2:$J$101,0))&amp;" "&amp;INDEX(설정_코드표!$G$2:$G$101,MATCH(TRIM(RIGHT(SUBSTITUTE(TRIM(H255&amp;"")," ",REPT(" ",60)),60)),설정_코드표!$F$2:$F$101,0)),"⚠"&amp;TRIM(H255&amp;""))),"⚠"&amp;TRIM(H255&amp;""))</f>
        <v/>
      </c>
      <c r="Q255" s="10">
        <f>IFERROR(IF(TRIM(I255&amp;"")="","",IF(AND(ISNUMBER(FIND(" ",TRIM(I255&amp;""))),ISNUMBER(MATCH(LEFT(TRIM(I255&amp;""),FIND(" ",TRIM(I255&amp;""))-1),설정_코드표!$J$2:$J$101,0)),ISNUMBER(MATCH(TRIM(RIGHT(SUBSTITUTE(TRIM(I255&amp;"")," ",REPT(" ",60)),60)),설정_코드표!$F$2:$F$101,0))),INDEX(설정_코드표!$K$2:$K$101,MATCH(LEFT(TRIM(I255&amp;""),FIND(" ",TRIM(I255&amp;""))-1),설정_코드표!$J$2:$J$101,0))&amp;" "&amp;INDEX(설정_코드표!$G$2:$G$101,MATCH(TRIM(RIGHT(SUBSTITUTE(TRIM(I255&amp;"")," ",REPT(" ",60)),60)),설정_코드표!$F$2:$F$101,0)),"⚠"&amp;TRIM(I255&amp;""))),"⚠"&amp;TRIM(I255&amp;""))</f>
        <v/>
      </c>
      <c r="R255" s="10">
        <f>IFERROR(IF(TRIM(J255&amp;"")="","",IF(AND(ISNUMBER(FIND(" ",TRIM(J255&amp;""))),ISNUMBER(MATCH(LEFT(TRIM(J255&amp;""),FIND(" ",TRIM(J255&amp;""))-1),설정_코드표!$J$2:$J$101,0)),ISNUMBER(MATCH(TRIM(RIGHT(SUBSTITUTE(TRIM(J255&amp;"")," ",REPT(" ",60)),60)),설정_코드표!$F$2:$F$101,0))),INDEX(설정_코드표!$K$2:$K$101,MATCH(LEFT(TRIM(J255&amp;""),FIND(" ",TRIM(J255&amp;""))-1),설정_코드표!$J$2:$J$101,0))&amp;" "&amp;INDEX(설정_코드표!$G$2:$G$101,MATCH(TRIM(RIGHT(SUBSTITUTE(TRIM(J255&amp;"")," ",REPT(" ",60)),60)),설정_코드표!$F$2:$F$101,0)),"⚠"&amp;TRIM(J255&amp;""))),"⚠"&amp;TRIM(J255&amp;""))</f>
        <v/>
      </c>
      <c r="S255" s="11">
        <f>IF(K255="","",IFERROR(IF(AND(ROUND((VALUE(K255&amp;"")-INT(VALUE(K255&amp;"")))*100,0)&gt;=1,ROUND((VALUE(K255&amp;"")-INT(VALUE(K255&amp;"")))*100,0)&lt;=12,INT(VALUE(K255&amp;""))&gt;=1900),DATE(INT(VALUE(K255&amp;"")),ROUND((VALUE(K255&amp;"")-INT(VALUE(K255&amp;"")))*100,0),1),K255&amp;""),K255&amp;""))</f>
        <v/>
      </c>
      <c r="T255" s="10">
        <f>COUNTIF(M255:R255,"⚠*")</f>
        <v/>
      </c>
    </row>
    <row r="256"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M256" s="10">
        <f>IFERROR(IF(TRIM(E256&amp;"")="","",IF(AND(ISNUMBER(FIND(" ",TRIM(E256&amp;""))),ISNUMBER(MATCH(LEFT(TRIM(E256&amp;""),FIND(" ",TRIM(E256&amp;""))-1),설정_코드표!$J$2:$J$101,0)),ISNUMBER(MATCH(TRIM(RIGHT(SUBSTITUTE(TRIM(E256&amp;"")," ",REPT(" ",60)),60)),설정_코드표!$F$2:$F$101,0))),INDEX(설정_코드표!$K$2:$K$101,MATCH(LEFT(TRIM(E256&amp;""),FIND(" ",TRIM(E256&amp;""))-1),설정_코드표!$J$2:$J$101,0))&amp;" "&amp;INDEX(설정_코드표!$G$2:$G$101,MATCH(TRIM(RIGHT(SUBSTITUTE(TRIM(E256&amp;"")," ",REPT(" ",60)),60)),설정_코드표!$F$2:$F$101,0)),"⚠"&amp;TRIM(E256&amp;""))),"⚠"&amp;TRIM(E256&amp;""))</f>
        <v/>
      </c>
      <c r="N256" s="10">
        <f>IFERROR(IF(TRIM(F256&amp;"")="","",IF(AND(ISNUMBER(FIND(" ",TRIM(F256&amp;""))),ISNUMBER(MATCH(LEFT(TRIM(F256&amp;""),FIND(" ",TRIM(F256&amp;""))-1),설정_코드표!$J$2:$J$101,0)),ISNUMBER(MATCH(TRIM(RIGHT(SUBSTITUTE(TRIM(F256&amp;"")," ",REPT(" ",60)),60)),설정_코드표!$F$2:$F$101,0))),INDEX(설정_코드표!$K$2:$K$101,MATCH(LEFT(TRIM(F256&amp;""),FIND(" ",TRIM(F256&amp;""))-1),설정_코드표!$J$2:$J$101,0))&amp;" "&amp;INDEX(설정_코드표!$G$2:$G$101,MATCH(TRIM(RIGHT(SUBSTITUTE(TRIM(F256&amp;"")," ",REPT(" ",60)),60)),설정_코드표!$F$2:$F$101,0)),"⚠"&amp;TRIM(F256&amp;""))),"⚠"&amp;TRIM(F256&amp;""))</f>
        <v/>
      </c>
      <c r="O256" s="10">
        <f>IFERROR(IF(TRIM(G256&amp;"")="","",IF(AND(ISNUMBER(FIND(" ",TRIM(G256&amp;""))),ISNUMBER(MATCH(LEFT(TRIM(G256&amp;""),FIND(" ",TRIM(G256&amp;""))-1),설정_코드표!$J$2:$J$101,0)),ISNUMBER(MATCH(TRIM(RIGHT(SUBSTITUTE(TRIM(G256&amp;"")," ",REPT(" ",60)),60)),설정_코드표!$F$2:$F$101,0))),INDEX(설정_코드표!$K$2:$K$101,MATCH(LEFT(TRIM(G256&amp;""),FIND(" ",TRIM(G256&amp;""))-1),설정_코드표!$J$2:$J$101,0))&amp;" "&amp;INDEX(설정_코드표!$G$2:$G$101,MATCH(TRIM(RIGHT(SUBSTITUTE(TRIM(G256&amp;"")," ",REPT(" ",60)),60)),설정_코드표!$F$2:$F$101,0)),"⚠"&amp;TRIM(G256&amp;""))),"⚠"&amp;TRIM(G256&amp;""))</f>
        <v/>
      </c>
      <c r="P256" s="10">
        <f>IFERROR(IF(TRIM(H256&amp;"")="","",IF(AND(ISNUMBER(FIND(" ",TRIM(H256&amp;""))),ISNUMBER(MATCH(LEFT(TRIM(H256&amp;""),FIND(" ",TRIM(H256&amp;""))-1),설정_코드표!$J$2:$J$101,0)),ISNUMBER(MATCH(TRIM(RIGHT(SUBSTITUTE(TRIM(H256&amp;"")," ",REPT(" ",60)),60)),설정_코드표!$F$2:$F$101,0))),INDEX(설정_코드표!$K$2:$K$101,MATCH(LEFT(TRIM(H256&amp;""),FIND(" ",TRIM(H256&amp;""))-1),설정_코드표!$J$2:$J$101,0))&amp;" "&amp;INDEX(설정_코드표!$G$2:$G$101,MATCH(TRIM(RIGHT(SUBSTITUTE(TRIM(H256&amp;"")," ",REPT(" ",60)),60)),설정_코드표!$F$2:$F$101,0)),"⚠"&amp;TRIM(H256&amp;""))),"⚠"&amp;TRIM(H256&amp;""))</f>
        <v/>
      </c>
      <c r="Q256" s="10">
        <f>IFERROR(IF(TRIM(I256&amp;"")="","",IF(AND(ISNUMBER(FIND(" ",TRIM(I256&amp;""))),ISNUMBER(MATCH(LEFT(TRIM(I256&amp;""),FIND(" ",TRIM(I256&amp;""))-1),설정_코드표!$J$2:$J$101,0)),ISNUMBER(MATCH(TRIM(RIGHT(SUBSTITUTE(TRIM(I256&amp;"")," ",REPT(" ",60)),60)),설정_코드표!$F$2:$F$101,0))),INDEX(설정_코드표!$K$2:$K$101,MATCH(LEFT(TRIM(I256&amp;""),FIND(" ",TRIM(I256&amp;""))-1),설정_코드표!$J$2:$J$101,0))&amp;" "&amp;INDEX(설정_코드표!$G$2:$G$101,MATCH(TRIM(RIGHT(SUBSTITUTE(TRIM(I256&amp;"")," ",REPT(" ",60)),60)),설정_코드표!$F$2:$F$101,0)),"⚠"&amp;TRIM(I256&amp;""))),"⚠"&amp;TRIM(I256&amp;""))</f>
        <v/>
      </c>
      <c r="R256" s="10">
        <f>IFERROR(IF(TRIM(J256&amp;"")="","",IF(AND(ISNUMBER(FIND(" ",TRIM(J256&amp;""))),ISNUMBER(MATCH(LEFT(TRIM(J256&amp;""),FIND(" ",TRIM(J256&amp;""))-1),설정_코드표!$J$2:$J$101,0)),ISNUMBER(MATCH(TRIM(RIGHT(SUBSTITUTE(TRIM(J256&amp;"")," ",REPT(" ",60)),60)),설정_코드표!$F$2:$F$101,0))),INDEX(설정_코드표!$K$2:$K$101,MATCH(LEFT(TRIM(J256&amp;""),FIND(" ",TRIM(J256&amp;""))-1),설정_코드표!$J$2:$J$101,0))&amp;" "&amp;INDEX(설정_코드표!$G$2:$G$101,MATCH(TRIM(RIGHT(SUBSTITUTE(TRIM(J256&amp;"")," ",REPT(" ",60)),60)),설정_코드표!$F$2:$F$101,0)),"⚠"&amp;TRIM(J256&amp;""))),"⚠"&amp;TRIM(J256&amp;""))</f>
        <v/>
      </c>
      <c r="S256" s="11">
        <f>IF(K256="","",IFERROR(IF(AND(ROUND((VALUE(K256&amp;"")-INT(VALUE(K256&amp;"")))*100,0)&gt;=1,ROUND((VALUE(K256&amp;"")-INT(VALUE(K256&amp;"")))*100,0)&lt;=12,INT(VALUE(K256&amp;""))&gt;=1900),DATE(INT(VALUE(K256&amp;"")),ROUND((VALUE(K256&amp;"")-INT(VALUE(K256&amp;"")))*100,0),1),K256&amp;""),K256&amp;""))</f>
        <v/>
      </c>
      <c r="T256" s="10">
        <f>COUNTIF(M256:R256,"⚠*")</f>
        <v/>
      </c>
    </row>
    <row r="257"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M257" s="10">
        <f>IFERROR(IF(TRIM(E257&amp;"")="","",IF(AND(ISNUMBER(FIND(" ",TRIM(E257&amp;""))),ISNUMBER(MATCH(LEFT(TRIM(E257&amp;""),FIND(" ",TRIM(E257&amp;""))-1),설정_코드표!$J$2:$J$101,0)),ISNUMBER(MATCH(TRIM(RIGHT(SUBSTITUTE(TRIM(E257&amp;"")," ",REPT(" ",60)),60)),설정_코드표!$F$2:$F$101,0))),INDEX(설정_코드표!$K$2:$K$101,MATCH(LEFT(TRIM(E257&amp;""),FIND(" ",TRIM(E257&amp;""))-1),설정_코드표!$J$2:$J$101,0))&amp;" "&amp;INDEX(설정_코드표!$G$2:$G$101,MATCH(TRIM(RIGHT(SUBSTITUTE(TRIM(E257&amp;"")," ",REPT(" ",60)),60)),설정_코드표!$F$2:$F$101,0)),"⚠"&amp;TRIM(E257&amp;""))),"⚠"&amp;TRIM(E257&amp;""))</f>
        <v/>
      </c>
      <c r="N257" s="10">
        <f>IFERROR(IF(TRIM(F257&amp;"")="","",IF(AND(ISNUMBER(FIND(" ",TRIM(F257&amp;""))),ISNUMBER(MATCH(LEFT(TRIM(F257&amp;""),FIND(" ",TRIM(F257&amp;""))-1),설정_코드표!$J$2:$J$101,0)),ISNUMBER(MATCH(TRIM(RIGHT(SUBSTITUTE(TRIM(F257&amp;"")," ",REPT(" ",60)),60)),설정_코드표!$F$2:$F$101,0))),INDEX(설정_코드표!$K$2:$K$101,MATCH(LEFT(TRIM(F257&amp;""),FIND(" ",TRIM(F257&amp;""))-1),설정_코드표!$J$2:$J$101,0))&amp;" "&amp;INDEX(설정_코드표!$G$2:$G$101,MATCH(TRIM(RIGHT(SUBSTITUTE(TRIM(F257&amp;"")," ",REPT(" ",60)),60)),설정_코드표!$F$2:$F$101,0)),"⚠"&amp;TRIM(F257&amp;""))),"⚠"&amp;TRIM(F257&amp;""))</f>
        <v/>
      </c>
      <c r="O257" s="10">
        <f>IFERROR(IF(TRIM(G257&amp;"")="","",IF(AND(ISNUMBER(FIND(" ",TRIM(G257&amp;""))),ISNUMBER(MATCH(LEFT(TRIM(G257&amp;""),FIND(" ",TRIM(G257&amp;""))-1),설정_코드표!$J$2:$J$101,0)),ISNUMBER(MATCH(TRIM(RIGHT(SUBSTITUTE(TRIM(G257&amp;"")," ",REPT(" ",60)),60)),설정_코드표!$F$2:$F$101,0))),INDEX(설정_코드표!$K$2:$K$101,MATCH(LEFT(TRIM(G257&amp;""),FIND(" ",TRIM(G257&amp;""))-1),설정_코드표!$J$2:$J$101,0))&amp;" "&amp;INDEX(설정_코드표!$G$2:$G$101,MATCH(TRIM(RIGHT(SUBSTITUTE(TRIM(G257&amp;"")," ",REPT(" ",60)),60)),설정_코드표!$F$2:$F$101,0)),"⚠"&amp;TRIM(G257&amp;""))),"⚠"&amp;TRIM(G257&amp;""))</f>
        <v/>
      </c>
      <c r="P257" s="10">
        <f>IFERROR(IF(TRIM(H257&amp;"")="","",IF(AND(ISNUMBER(FIND(" ",TRIM(H257&amp;""))),ISNUMBER(MATCH(LEFT(TRIM(H257&amp;""),FIND(" ",TRIM(H257&amp;""))-1),설정_코드표!$J$2:$J$101,0)),ISNUMBER(MATCH(TRIM(RIGHT(SUBSTITUTE(TRIM(H257&amp;"")," ",REPT(" ",60)),60)),설정_코드표!$F$2:$F$101,0))),INDEX(설정_코드표!$K$2:$K$101,MATCH(LEFT(TRIM(H257&amp;""),FIND(" ",TRIM(H257&amp;""))-1),설정_코드표!$J$2:$J$101,0))&amp;" "&amp;INDEX(설정_코드표!$G$2:$G$101,MATCH(TRIM(RIGHT(SUBSTITUTE(TRIM(H257&amp;"")," ",REPT(" ",60)),60)),설정_코드표!$F$2:$F$101,0)),"⚠"&amp;TRIM(H257&amp;""))),"⚠"&amp;TRIM(H257&amp;""))</f>
        <v/>
      </c>
      <c r="Q257" s="10">
        <f>IFERROR(IF(TRIM(I257&amp;"")="","",IF(AND(ISNUMBER(FIND(" ",TRIM(I257&amp;""))),ISNUMBER(MATCH(LEFT(TRIM(I257&amp;""),FIND(" ",TRIM(I257&amp;""))-1),설정_코드표!$J$2:$J$101,0)),ISNUMBER(MATCH(TRIM(RIGHT(SUBSTITUTE(TRIM(I257&amp;"")," ",REPT(" ",60)),60)),설정_코드표!$F$2:$F$101,0))),INDEX(설정_코드표!$K$2:$K$101,MATCH(LEFT(TRIM(I257&amp;""),FIND(" ",TRIM(I257&amp;""))-1),설정_코드표!$J$2:$J$101,0))&amp;" "&amp;INDEX(설정_코드표!$G$2:$G$101,MATCH(TRIM(RIGHT(SUBSTITUTE(TRIM(I257&amp;"")," ",REPT(" ",60)),60)),설정_코드표!$F$2:$F$101,0)),"⚠"&amp;TRIM(I257&amp;""))),"⚠"&amp;TRIM(I257&amp;""))</f>
        <v/>
      </c>
      <c r="R257" s="10">
        <f>IFERROR(IF(TRIM(J257&amp;"")="","",IF(AND(ISNUMBER(FIND(" ",TRIM(J257&amp;""))),ISNUMBER(MATCH(LEFT(TRIM(J257&amp;""),FIND(" ",TRIM(J257&amp;""))-1),설정_코드표!$J$2:$J$101,0)),ISNUMBER(MATCH(TRIM(RIGHT(SUBSTITUTE(TRIM(J257&amp;"")," ",REPT(" ",60)),60)),설정_코드표!$F$2:$F$101,0))),INDEX(설정_코드표!$K$2:$K$101,MATCH(LEFT(TRIM(J257&amp;""),FIND(" ",TRIM(J257&amp;""))-1),설정_코드표!$J$2:$J$101,0))&amp;" "&amp;INDEX(설정_코드표!$G$2:$G$101,MATCH(TRIM(RIGHT(SUBSTITUTE(TRIM(J257&amp;"")," ",REPT(" ",60)),60)),설정_코드표!$F$2:$F$101,0)),"⚠"&amp;TRIM(J257&amp;""))),"⚠"&amp;TRIM(J257&amp;""))</f>
        <v/>
      </c>
      <c r="S257" s="11">
        <f>IF(K257="","",IFERROR(IF(AND(ROUND((VALUE(K257&amp;"")-INT(VALUE(K257&amp;"")))*100,0)&gt;=1,ROUND((VALUE(K257&amp;"")-INT(VALUE(K257&amp;"")))*100,0)&lt;=12,INT(VALUE(K257&amp;""))&gt;=1900),DATE(INT(VALUE(K257&amp;"")),ROUND((VALUE(K257&amp;"")-INT(VALUE(K257&amp;"")))*100,0),1),K257&amp;""),K257&amp;""))</f>
        <v/>
      </c>
      <c r="T257" s="10">
        <f>COUNTIF(M257:R257,"⚠*")</f>
        <v/>
      </c>
    </row>
    <row r="258"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M258" s="10">
        <f>IFERROR(IF(TRIM(E258&amp;"")="","",IF(AND(ISNUMBER(FIND(" ",TRIM(E258&amp;""))),ISNUMBER(MATCH(LEFT(TRIM(E258&amp;""),FIND(" ",TRIM(E258&amp;""))-1),설정_코드표!$J$2:$J$101,0)),ISNUMBER(MATCH(TRIM(RIGHT(SUBSTITUTE(TRIM(E258&amp;"")," ",REPT(" ",60)),60)),설정_코드표!$F$2:$F$101,0))),INDEX(설정_코드표!$K$2:$K$101,MATCH(LEFT(TRIM(E258&amp;""),FIND(" ",TRIM(E258&amp;""))-1),설정_코드표!$J$2:$J$101,0))&amp;" "&amp;INDEX(설정_코드표!$G$2:$G$101,MATCH(TRIM(RIGHT(SUBSTITUTE(TRIM(E258&amp;"")," ",REPT(" ",60)),60)),설정_코드표!$F$2:$F$101,0)),"⚠"&amp;TRIM(E258&amp;""))),"⚠"&amp;TRIM(E258&amp;""))</f>
        <v/>
      </c>
      <c r="N258" s="10">
        <f>IFERROR(IF(TRIM(F258&amp;"")="","",IF(AND(ISNUMBER(FIND(" ",TRIM(F258&amp;""))),ISNUMBER(MATCH(LEFT(TRIM(F258&amp;""),FIND(" ",TRIM(F258&amp;""))-1),설정_코드표!$J$2:$J$101,0)),ISNUMBER(MATCH(TRIM(RIGHT(SUBSTITUTE(TRIM(F258&amp;"")," ",REPT(" ",60)),60)),설정_코드표!$F$2:$F$101,0))),INDEX(설정_코드표!$K$2:$K$101,MATCH(LEFT(TRIM(F258&amp;""),FIND(" ",TRIM(F258&amp;""))-1),설정_코드표!$J$2:$J$101,0))&amp;" "&amp;INDEX(설정_코드표!$G$2:$G$101,MATCH(TRIM(RIGHT(SUBSTITUTE(TRIM(F258&amp;"")," ",REPT(" ",60)),60)),설정_코드표!$F$2:$F$101,0)),"⚠"&amp;TRIM(F258&amp;""))),"⚠"&amp;TRIM(F258&amp;""))</f>
        <v/>
      </c>
      <c r="O258" s="10">
        <f>IFERROR(IF(TRIM(G258&amp;"")="","",IF(AND(ISNUMBER(FIND(" ",TRIM(G258&amp;""))),ISNUMBER(MATCH(LEFT(TRIM(G258&amp;""),FIND(" ",TRIM(G258&amp;""))-1),설정_코드표!$J$2:$J$101,0)),ISNUMBER(MATCH(TRIM(RIGHT(SUBSTITUTE(TRIM(G258&amp;"")," ",REPT(" ",60)),60)),설정_코드표!$F$2:$F$101,0))),INDEX(설정_코드표!$K$2:$K$101,MATCH(LEFT(TRIM(G258&amp;""),FIND(" ",TRIM(G258&amp;""))-1),설정_코드표!$J$2:$J$101,0))&amp;" "&amp;INDEX(설정_코드표!$G$2:$G$101,MATCH(TRIM(RIGHT(SUBSTITUTE(TRIM(G258&amp;"")," ",REPT(" ",60)),60)),설정_코드표!$F$2:$F$101,0)),"⚠"&amp;TRIM(G258&amp;""))),"⚠"&amp;TRIM(G258&amp;""))</f>
        <v/>
      </c>
      <c r="P258" s="10">
        <f>IFERROR(IF(TRIM(H258&amp;"")="","",IF(AND(ISNUMBER(FIND(" ",TRIM(H258&amp;""))),ISNUMBER(MATCH(LEFT(TRIM(H258&amp;""),FIND(" ",TRIM(H258&amp;""))-1),설정_코드표!$J$2:$J$101,0)),ISNUMBER(MATCH(TRIM(RIGHT(SUBSTITUTE(TRIM(H258&amp;"")," ",REPT(" ",60)),60)),설정_코드표!$F$2:$F$101,0))),INDEX(설정_코드표!$K$2:$K$101,MATCH(LEFT(TRIM(H258&amp;""),FIND(" ",TRIM(H258&amp;""))-1),설정_코드표!$J$2:$J$101,0))&amp;" "&amp;INDEX(설정_코드표!$G$2:$G$101,MATCH(TRIM(RIGHT(SUBSTITUTE(TRIM(H258&amp;"")," ",REPT(" ",60)),60)),설정_코드표!$F$2:$F$101,0)),"⚠"&amp;TRIM(H258&amp;""))),"⚠"&amp;TRIM(H258&amp;""))</f>
        <v/>
      </c>
      <c r="Q258" s="10">
        <f>IFERROR(IF(TRIM(I258&amp;"")="","",IF(AND(ISNUMBER(FIND(" ",TRIM(I258&amp;""))),ISNUMBER(MATCH(LEFT(TRIM(I258&amp;""),FIND(" ",TRIM(I258&amp;""))-1),설정_코드표!$J$2:$J$101,0)),ISNUMBER(MATCH(TRIM(RIGHT(SUBSTITUTE(TRIM(I258&amp;"")," ",REPT(" ",60)),60)),설정_코드표!$F$2:$F$101,0))),INDEX(설정_코드표!$K$2:$K$101,MATCH(LEFT(TRIM(I258&amp;""),FIND(" ",TRIM(I258&amp;""))-1),설정_코드표!$J$2:$J$101,0))&amp;" "&amp;INDEX(설정_코드표!$G$2:$G$101,MATCH(TRIM(RIGHT(SUBSTITUTE(TRIM(I258&amp;"")," ",REPT(" ",60)),60)),설정_코드표!$F$2:$F$101,0)),"⚠"&amp;TRIM(I258&amp;""))),"⚠"&amp;TRIM(I258&amp;""))</f>
        <v/>
      </c>
      <c r="R258" s="10">
        <f>IFERROR(IF(TRIM(J258&amp;"")="","",IF(AND(ISNUMBER(FIND(" ",TRIM(J258&amp;""))),ISNUMBER(MATCH(LEFT(TRIM(J258&amp;""),FIND(" ",TRIM(J258&amp;""))-1),설정_코드표!$J$2:$J$101,0)),ISNUMBER(MATCH(TRIM(RIGHT(SUBSTITUTE(TRIM(J258&amp;"")," ",REPT(" ",60)),60)),설정_코드표!$F$2:$F$101,0))),INDEX(설정_코드표!$K$2:$K$101,MATCH(LEFT(TRIM(J258&amp;""),FIND(" ",TRIM(J258&amp;""))-1),설정_코드표!$J$2:$J$101,0))&amp;" "&amp;INDEX(설정_코드표!$G$2:$G$101,MATCH(TRIM(RIGHT(SUBSTITUTE(TRIM(J258&amp;"")," ",REPT(" ",60)),60)),설정_코드표!$F$2:$F$101,0)),"⚠"&amp;TRIM(J258&amp;""))),"⚠"&amp;TRIM(J258&amp;""))</f>
        <v/>
      </c>
      <c r="S258" s="11">
        <f>IF(K258="","",IFERROR(IF(AND(ROUND((VALUE(K258&amp;"")-INT(VALUE(K258&amp;"")))*100,0)&gt;=1,ROUND((VALUE(K258&amp;"")-INT(VALUE(K258&amp;"")))*100,0)&lt;=12,INT(VALUE(K258&amp;""))&gt;=1900),DATE(INT(VALUE(K258&amp;"")),ROUND((VALUE(K258&amp;"")-INT(VALUE(K258&amp;"")))*100,0),1),K258&amp;""),K258&amp;""))</f>
        <v/>
      </c>
      <c r="T258" s="10">
        <f>COUNTIF(M258:R258,"⚠*")</f>
        <v/>
      </c>
    </row>
    <row r="259"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M259" s="10">
        <f>IFERROR(IF(TRIM(E259&amp;"")="","",IF(AND(ISNUMBER(FIND(" ",TRIM(E259&amp;""))),ISNUMBER(MATCH(LEFT(TRIM(E259&amp;""),FIND(" ",TRIM(E259&amp;""))-1),설정_코드표!$J$2:$J$101,0)),ISNUMBER(MATCH(TRIM(RIGHT(SUBSTITUTE(TRIM(E259&amp;"")," ",REPT(" ",60)),60)),설정_코드표!$F$2:$F$101,0))),INDEX(설정_코드표!$K$2:$K$101,MATCH(LEFT(TRIM(E259&amp;""),FIND(" ",TRIM(E259&amp;""))-1),설정_코드표!$J$2:$J$101,0))&amp;" "&amp;INDEX(설정_코드표!$G$2:$G$101,MATCH(TRIM(RIGHT(SUBSTITUTE(TRIM(E259&amp;"")," ",REPT(" ",60)),60)),설정_코드표!$F$2:$F$101,0)),"⚠"&amp;TRIM(E259&amp;""))),"⚠"&amp;TRIM(E259&amp;""))</f>
        <v/>
      </c>
      <c r="N259" s="10">
        <f>IFERROR(IF(TRIM(F259&amp;"")="","",IF(AND(ISNUMBER(FIND(" ",TRIM(F259&amp;""))),ISNUMBER(MATCH(LEFT(TRIM(F259&amp;""),FIND(" ",TRIM(F259&amp;""))-1),설정_코드표!$J$2:$J$101,0)),ISNUMBER(MATCH(TRIM(RIGHT(SUBSTITUTE(TRIM(F259&amp;"")," ",REPT(" ",60)),60)),설정_코드표!$F$2:$F$101,0))),INDEX(설정_코드표!$K$2:$K$101,MATCH(LEFT(TRIM(F259&amp;""),FIND(" ",TRIM(F259&amp;""))-1),설정_코드표!$J$2:$J$101,0))&amp;" "&amp;INDEX(설정_코드표!$G$2:$G$101,MATCH(TRIM(RIGHT(SUBSTITUTE(TRIM(F259&amp;"")," ",REPT(" ",60)),60)),설정_코드표!$F$2:$F$101,0)),"⚠"&amp;TRIM(F259&amp;""))),"⚠"&amp;TRIM(F259&amp;""))</f>
        <v/>
      </c>
      <c r="O259" s="10">
        <f>IFERROR(IF(TRIM(G259&amp;"")="","",IF(AND(ISNUMBER(FIND(" ",TRIM(G259&amp;""))),ISNUMBER(MATCH(LEFT(TRIM(G259&amp;""),FIND(" ",TRIM(G259&amp;""))-1),설정_코드표!$J$2:$J$101,0)),ISNUMBER(MATCH(TRIM(RIGHT(SUBSTITUTE(TRIM(G259&amp;"")," ",REPT(" ",60)),60)),설정_코드표!$F$2:$F$101,0))),INDEX(설정_코드표!$K$2:$K$101,MATCH(LEFT(TRIM(G259&amp;""),FIND(" ",TRIM(G259&amp;""))-1),설정_코드표!$J$2:$J$101,0))&amp;" "&amp;INDEX(설정_코드표!$G$2:$G$101,MATCH(TRIM(RIGHT(SUBSTITUTE(TRIM(G259&amp;"")," ",REPT(" ",60)),60)),설정_코드표!$F$2:$F$101,0)),"⚠"&amp;TRIM(G259&amp;""))),"⚠"&amp;TRIM(G259&amp;""))</f>
        <v/>
      </c>
      <c r="P259" s="10">
        <f>IFERROR(IF(TRIM(H259&amp;"")="","",IF(AND(ISNUMBER(FIND(" ",TRIM(H259&amp;""))),ISNUMBER(MATCH(LEFT(TRIM(H259&amp;""),FIND(" ",TRIM(H259&amp;""))-1),설정_코드표!$J$2:$J$101,0)),ISNUMBER(MATCH(TRIM(RIGHT(SUBSTITUTE(TRIM(H259&amp;"")," ",REPT(" ",60)),60)),설정_코드표!$F$2:$F$101,0))),INDEX(설정_코드표!$K$2:$K$101,MATCH(LEFT(TRIM(H259&amp;""),FIND(" ",TRIM(H259&amp;""))-1),설정_코드표!$J$2:$J$101,0))&amp;" "&amp;INDEX(설정_코드표!$G$2:$G$101,MATCH(TRIM(RIGHT(SUBSTITUTE(TRIM(H259&amp;"")," ",REPT(" ",60)),60)),설정_코드표!$F$2:$F$101,0)),"⚠"&amp;TRIM(H259&amp;""))),"⚠"&amp;TRIM(H259&amp;""))</f>
        <v/>
      </c>
      <c r="Q259" s="10">
        <f>IFERROR(IF(TRIM(I259&amp;"")="","",IF(AND(ISNUMBER(FIND(" ",TRIM(I259&amp;""))),ISNUMBER(MATCH(LEFT(TRIM(I259&amp;""),FIND(" ",TRIM(I259&amp;""))-1),설정_코드표!$J$2:$J$101,0)),ISNUMBER(MATCH(TRIM(RIGHT(SUBSTITUTE(TRIM(I259&amp;"")," ",REPT(" ",60)),60)),설정_코드표!$F$2:$F$101,0))),INDEX(설정_코드표!$K$2:$K$101,MATCH(LEFT(TRIM(I259&amp;""),FIND(" ",TRIM(I259&amp;""))-1),설정_코드표!$J$2:$J$101,0))&amp;" "&amp;INDEX(설정_코드표!$G$2:$G$101,MATCH(TRIM(RIGHT(SUBSTITUTE(TRIM(I259&amp;"")," ",REPT(" ",60)),60)),설정_코드표!$F$2:$F$101,0)),"⚠"&amp;TRIM(I259&amp;""))),"⚠"&amp;TRIM(I259&amp;""))</f>
        <v/>
      </c>
      <c r="R259" s="10">
        <f>IFERROR(IF(TRIM(J259&amp;"")="","",IF(AND(ISNUMBER(FIND(" ",TRIM(J259&amp;""))),ISNUMBER(MATCH(LEFT(TRIM(J259&amp;""),FIND(" ",TRIM(J259&amp;""))-1),설정_코드표!$J$2:$J$101,0)),ISNUMBER(MATCH(TRIM(RIGHT(SUBSTITUTE(TRIM(J259&amp;"")," ",REPT(" ",60)),60)),설정_코드표!$F$2:$F$101,0))),INDEX(설정_코드표!$K$2:$K$101,MATCH(LEFT(TRIM(J259&amp;""),FIND(" ",TRIM(J259&amp;""))-1),설정_코드표!$J$2:$J$101,0))&amp;" "&amp;INDEX(설정_코드표!$G$2:$G$101,MATCH(TRIM(RIGHT(SUBSTITUTE(TRIM(J259&amp;"")," ",REPT(" ",60)),60)),설정_코드표!$F$2:$F$101,0)),"⚠"&amp;TRIM(J259&amp;""))),"⚠"&amp;TRIM(J259&amp;""))</f>
        <v/>
      </c>
      <c r="S259" s="11">
        <f>IF(K259="","",IFERROR(IF(AND(ROUND((VALUE(K259&amp;"")-INT(VALUE(K259&amp;"")))*100,0)&gt;=1,ROUND((VALUE(K259&amp;"")-INT(VALUE(K259&amp;"")))*100,0)&lt;=12,INT(VALUE(K259&amp;""))&gt;=1900),DATE(INT(VALUE(K259&amp;"")),ROUND((VALUE(K259&amp;"")-INT(VALUE(K259&amp;"")))*100,0),1),K259&amp;""),K259&amp;""))</f>
        <v/>
      </c>
      <c r="T259" s="10">
        <f>COUNTIF(M259:R259,"⚠*")</f>
        <v/>
      </c>
    </row>
    <row r="260"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M260" s="10">
        <f>IFERROR(IF(TRIM(E260&amp;"")="","",IF(AND(ISNUMBER(FIND(" ",TRIM(E260&amp;""))),ISNUMBER(MATCH(LEFT(TRIM(E260&amp;""),FIND(" ",TRIM(E260&amp;""))-1),설정_코드표!$J$2:$J$101,0)),ISNUMBER(MATCH(TRIM(RIGHT(SUBSTITUTE(TRIM(E260&amp;"")," ",REPT(" ",60)),60)),설정_코드표!$F$2:$F$101,0))),INDEX(설정_코드표!$K$2:$K$101,MATCH(LEFT(TRIM(E260&amp;""),FIND(" ",TRIM(E260&amp;""))-1),설정_코드표!$J$2:$J$101,0))&amp;" "&amp;INDEX(설정_코드표!$G$2:$G$101,MATCH(TRIM(RIGHT(SUBSTITUTE(TRIM(E260&amp;"")," ",REPT(" ",60)),60)),설정_코드표!$F$2:$F$101,0)),"⚠"&amp;TRIM(E260&amp;""))),"⚠"&amp;TRIM(E260&amp;""))</f>
        <v/>
      </c>
      <c r="N260" s="10">
        <f>IFERROR(IF(TRIM(F260&amp;"")="","",IF(AND(ISNUMBER(FIND(" ",TRIM(F260&amp;""))),ISNUMBER(MATCH(LEFT(TRIM(F260&amp;""),FIND(" ",TRIM(F260&amp;""))-1),설정_코드표!$J$2:$J$101,0)),ISNUMBER(MATCH(TRIM(RIGHT(SUBSTITUTE(TRIM(F260&amp;"")," ",REPT(" ",60)),60)),설정_코드표!$F$2:$F$101,0))),INDEX(설정_코드표!$K$2:$K$101,MATCH(LEFT(TRIM(F260&amp;""),FIND(" ",TRIM(F260&amp;""))-1),설정_코드표!$J$2:$J$101,0))&amp;" "&amp;INDEX(설정_코드표!$G$2:$G$101,MATCH(TRIM(RIGHT(SUBSTITUTE(TRIM(F260&amp;"")," ",REPT(" ",60)),60)),설정_코드표!$F$2:$F$101,0)),"⚠"&amp;TRIM(F260&amp;""))),"⚠"&amp;TRIM(F260&amp;""))</f>
        <v/>
      </c>
      <c r="O260" s="10">
        <f>IFERROR(IF(TRIM(G260&amp;"")="","",IF(AND(ISNUMBER(FIND(" ",TRIM(G260&amp;""))),ISNUMBER(MATCH(LEFT(TRIM(G260&amp;""),FIND(" ",TRIM(G260&amp;""))-1),설정_코드표!$J$2:$J$101,0)),ISNUMBER(MATCH(TRIM(RIGHT(SUBSTITUTE(TRIM(G260&amp;"")," ",REPT(" ",60)),60)),설정_코드표!$F$2:$F$101,0))),INDEX(설정_코드표!$K$2:$K$101,MATCH(LEFT(TRIM(G260&amp;""),FIND(" ",TRIM(G260&amp;""))-1),설정_코드표!$J$2:$J$101,0))&amp;" "&amp;INDEX(설정_코드표!$G$2:$G$101,MATCH(TRIM(RIGHT(SUBSTITUTE(TRIM(G260&amp;"")," ",REPT(" ",60)),60)),설정_코드표!$F$2:$F$101,0)),"⚠"&amp;TRIM(G260&amp;""))),"⚠"&amp;TRIM(G260&amp;""))</f>
        <v/>
      </c>
      <c r="P260" s="10">
        <f>IFERROR(IF(TRIM(H260&amp;"")="","",IF(AND(ISNUMBER(FIND(" ",TRIM(H260&amp;""))),ISNUMBER(MATCH(LEFT(TRIM(H260&amp;""),FIND(" ",TRIM(H260&amp;""))-1),설정_코드표!$J$2:$J$101,0)),ISNUMBER(MATCH(TRIM(RIGHT(SUBSTITUTE(TRIM(H260&amp;"")," ",REPT(" ",60)),60)),설정_코드표!$F$2:$F$101,0))),INDEX(설정_코드표!$K$2:$K$101,MATCH(LEFT(TRIM(H260&amp;""),FIND(" ",TRIM(H260&amp;""))-1),설정_코드표!$J$2:$J$101,0))&amp;" "&amp;INDEX(설정_코드표!$G$2:$G$101,MATCH(TRIM(RIGHT(SUBSTITUTE(TRIM(H260&amp;"")," ",REPT(" ",60)),60)),설정_코드표!$F$2:$F$101,0)),"⚠"&amp;TRIM(H260&amp;""))),"⚠"&amp;TRIM(H260&amp;""))</f>
        <v/>
      </c>
      <c r="Q260" s="10">
        <f>IFERROR(IF(TRIM(I260&amp;"")="","",IF(AND(ISNUMBER(FIND(" ",TRIM(I260&amp;""))),ISNUMBER(MATCH(LEFT(TRIM(I260&amp;""),FIND(" ",TRIM(I260&amp;""))-1),설정_코드표!$J$2:$J$101,0)),ISNUMBER(MATCH(TRIM(RIGHT(SUBSTITUTE(TRIM(I260&amp;"")," ",REPT(" ",60)),60)),설정_코드표!$F$2:$F$101,0))),INDEX(설정_코드표!$K$2:$K$101,MATCH(LEFT(TRIM(I260&amp;""),FIND(" ",TRIM(I260&amp;""))-1),설정_코드표!$J$2:$J$101,0))&amp;" "&amp;INDEX(설정_코드표!$G$2:$G$101,MATCH(TRIM(RIGHT(SUBSTITUTE(TRIM(I260&amp;"")," ",REPT(" ",60)),60)),설정_코드표!$F$2:$F$101,0)),"⚠"&amp;TRIM(I260&amp;""))),"⚠"&amp;TRIM(I260&amp;""))</f>
        <v/>
      </c>
      <c r="R260" s="10">
        <f>IFERROR(IF(TRIM(J260&amp;"")="","",IF(AND(ISNUMBER(FIND(" ",TRIM(J260&amp;""))),ISNUMBER(MATCH(LEFT(TRIM(J260&amp;""),FIND(" ",TRIM(J260&amp;""))-1),설정_코드표!$J$2:$J$101,0)),ISNUMBER(MATCH(TRIM(RIGHT(SUBSTITUTE(TRIM(J260&amp;"")," ",REPT(" ",60)),60)),설정_코드표!$F$2:$F$101,0))),INDEX(설정_코드표!$K$2:$K$101,MATCH(LEFT(TRIM(J260&amp;""),FIND(" ",TRIM(J260&amp;""))-1),설정_코드표!$J$2:$J$101,0))&amp;" "&amp;INDEX(설정_코드표!$G$2:$G$101,MATCH(TRIM(RIGHT(SUBSTITUTE(TRIM(J260&amp;"")," ",REPT(" ",60)),60)),설정_코드표!$F$2:$F$101,0)),"⚠"&amp;TRIM(J260&amp;""))),"⚠"&amp;TRIM(J260&amp;""))</f>
        <v/>
      </c>
      <c r="S260" s="11">
        <f>IF(K260="","",IFERROR(IF(AND(ROUND((VALUE(K260&amp;"")-INT(VALUE(K260&amp;"")))*100,0)&gt;=1,ROUND((VALUE(K260&amp;"")-INT(VALUE(K260&amp;"")))*100,0)&lt;=12,INT(VALUE(K260&amp;""))&gt;=1900),DATE(INT(VALUE(K260&amp;"")),ROUND((VALUE(K260&amp;"")-INT(VALUE(K260&amp;"")))*100,0),1),K260&amp;""),K260&amp;""))</f>
        <v/>
      </c>
      <c r="T260" s="10">
        <f>COUNTIF(M260:R260,"⚠*")</f>
        <v/>
      </c>
    </row>
    <row r="261"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M261" s="10">
        <f>IFERROR(IF(TRIM(E261&amp;"")="","",IF(AND(ISNUMBER(FIND(" ",TRIM(E261&amp;""))),ISNUMBER(MATCH(LEFT(TRIM(E261&amp;""),FIND(" ",TRIM(E261&amp;""))-1),설정_코드표!$J$2:$J$101,0)),ISNUMBER(MATCH(TRIM(RIGHT(SUBSTITUTE(TRIM(E261&amp;"")," ",REPT(" ",60)),60)),설정_코드표!$F$2:$F$101,0))),INDEX(설정_코드표!$K$2:$K$101,MATCH(LEFT(TRIM(E261&amp;""),FIND(" ",TRIM(E261&amp;""))-1),설정_코드표!$J$2:$J$101,0))&amp;" "&amp;INDEX(설정_코드표!$G$2:$G$101,MATCH(TRIM(RIGHT(SUBSTITUTE(TRIM(E261&amp;"")," ",REPT(" ",60)),60)),설정_코드표!$F$2:$F$101,0)),"⚠"&amp;TRIM(E261&amp;""))),"⚠"&amp;TRIM(E261&amp;""))</f>
        <v/>
      </c>
      <c r="N261" s="10">
        <f>IFERROR(IF(TRIM(F261&amp;"")="","",IF(AND(ISNUMBER(FIND(" ",TRIM(F261&amp;""))),ISNUMBER(MATCH(LEFT(TRIM(F261&amp;""),FIND(" ",TRIM(F261&amp;""))-1),설정_코드표!$J$2:$J$101,0)),ISNUMBER(MATCH(TRIM(RIGHT(SUBSTITUTE(TRIM(F261&amp;"")," ",REPT(" ",60)),60)),설정_코드표!$F$2:$F$101,0))),INDEX(설정_코드표!$K$2:$K$101,MATCH(LEFT(TRIM(F261&amp;""),FIND(" ",TRIM(F261&amp;""))-1),설정_코드표!$J$2:$J$101,0))&amp;" "&amp;INDEX(설정_코드표!$G$2:$G$101,MATCH(TRIM(RIGHT(SUBSTITUTE(TRIM(F261&amp;"")," ",REPT(" ",60)),60)),설정_코드표!$F$2:$F$101,0)),"⚠"&amp;TRIM(F261&amp;""))),"⚠"&amp;TRIM(F261&amp;""))</f>
        <v/>
      </c>
      <c r="O261" s="10">
        <f>IFERROR(IF(TRIM(G261&amp;"")="","",IF(AND(ISNUMBER(FIND(" ",TRIM(G261&amp;""))),ISNUMBER(MATCH(LEFT(TRIM(G261&amp;""),FIND(" ",TRIM(G261&amp;""))-1),설정_코드표!$J$2:$J$101,0)),ISNUMBER(MATCH(TRIM(RIGHT(SUBSTITUTE(TRIM(G261&amp;"")," ",REPT(" ",60)),60)),설정_코드표!$F$2:$F$101,0))),INDEX(설정_코드표!$K$2:$K$101,MATCH(LEFT(TRIM(G261&amp;""),FIND(" ",TRIM(G261&amp;""))-1),설정_코드표!$J$2:$J$101,0))&amp;" "&amp;INDEX(설정_코드표!$G$2:$G$101,MATCH(TRIM(RIGHT(SUBSTITUTE(TRIM(G261&amp;"")," ",REPT(" ",60)),60)),설정_코드표!$F$2:$F$101,0)),"⚠"&amp;TRIM(G261&amp;""))),"⚠"&amp;TRIM(G261&amp;""))</f>
        <v/>
      </c>
      <c r="P261" s="10">
        <f>IFERROR(IF(TRIM(H261&amp;"")="","",IF(AND(ISNUMBER(FIND(" ",TRIM(H261&amp;""))),ISNUMBER(MATCH(LEFT(TRIM(H261&amp;""),FIND(" ",TRIM(H261&amp;""))-1),설정_코드표!$J$2:$J$101,0)),ISNUMBER(MATCH(TRIM(RIGHT(SUBSTITUTE(TRIM(H261&amp;"")," ",REPT(" ",60)),60)),설정_코드표!$F$2:$F$101,0))),INDEX(설정_코드표!$K$2:$K$101,MATCH(LEFT(TRIM(H261&amp;""),FIND(" ",TRIM(H261&amp;""))-1),설정_코드표!$J$2:$J$101,0))&amp;" "&amp;INDEX(설정_코드표!$G$2:$G$101,MATCH(TRIM(RIGHT(SUBSTITUTE(TRIM(H261&amp;"")," ",REPT(" ",60)),60)),설정_코드표!$F$2:$F$101,0)),"⚠"&amp;TRIM(H261&amp;""))),"⚠"&amp;TRIM(H261&amp;""))</f>
        <v/>
      </c>
      <c r="Q261" s="10">
        <f>IFERROR(IF(TRIM(I261&amp;"")="","",IF(AND(ISNUMBER(FIND(" ",TRIM(I261&amp;""))),ISNUMBER(MATCH(LEFT(TRIM(I261&amp;""),FIND(" ",TRIM(I261&amp;""))-1),설정_코드표!$J$2:$J$101,0)),ISNUMBER(MATCH(TRIM(RIGHT(SUBSTITUTE(TRIM(I261&amp;"")," ",REPT(" ",60)),60)),설정_코드표!$F$2:$F$101,0))),INDEX(설정_코드표!$K$2:$K$101,MATCH(LEFT(TRIM(I261&amp;""),FIND(" ",TRIM(I261&amp;""))-1),설정_코드표!$J$2:$J$101,0))&amp;" "&amp;INDEX(설정_코드표!$G$2:$G$101,MATCH(TRIM(RIGHT(SUBSTITUTE(TRIM(I261&amp;"")," ",REPT(" ",60)),60)),설정_코드표!$F$2:$F$101,0)),"⚠"&amp;TRIM(I261&amp;""))),"⚠"&amp;TRIM(I261&amp;""))</f>
        <v/>
      </c>
      <c r="R261" s="10">
        <f>IFERROR(IF(TRIM(J261&amp;"")="","",IF(AND(ISNUMBER(FIND(" ",TRIM(J261&amp;""))),ISNUMBER(MATCH(LEFT(TRIM(J261&amp;""),FIND(" ",TRIM(J261&amp;""))-1),설정_코드표!$J$2:$J$101,0)),ISNUMBER(MATCH(TRIM(RIGHT(SUBSTITUTE(TRIM(J261&amp;"")," ",REPT(" ",60)),60)),설정_코드표!$F$2:$F$101,0))),INDEX(설정_코드표!$K$2:$K$101,MATCH(LEFT(TRIM(J261&amp;""),FIND(" ",TRIM(J261&amp;""))-1),설정_코드표!$J$2:$J$101,0))&amp;" "&amp;INDEX(설정_코드표!$G$2:$G$101,MATCH(TRIM(RIGHT(SUBSTITUTE(TRIM(J261&amp;"")," ",REPT(" ",60)),60)),설정_코드표!$F$2:$F$101,0)),"⚠"&amp;TRIM(J261&amp;""))),"⚠"&amp;TRIM(J261&amp;""))</f>
        <v/>
      </c>
      <c r="S261" s="11">
        <f>IF(K261="","",IFERROR(IF(AND(ROUND((VALUE(K261&amp;"")-INT(VALUE(K261&amp;"")))*100,0)&gt;=1,ROUND((VALUE(K261&amp;"")-INT(VALUE(K261&amp;"")))*100,0)&lt;=12,INT(VALUE(K261&amp;""))&gt;=1900),DATE(INT(VALUE(K261&amp;"")),ROUND((VALUE(K261&amp;"")-INT(VALUE(K261&amp;"")))*100,0),1),K261&amp;""),K261&amp;""))</f>
        <v/>
      </c>
      <c r="T261" s="10">
        <f>COUNTIF(M261:R261,"⚠*")</f>
        <v/>
      </c>
    </row>
    <row r="262"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M262" s="10">
        <f>IFERROR(IF(TRIM(E262&amp;"")="","",IF(AND(ISNUMBER(FIND(" ",TRIM(E262&amp;""))),ISNUMBER(MATCH(LEFT(TRIM(E262&amp;""),FIND(" ",TRIM(E262&amp;""))-1),설정_코드표!$J$2:$J$101,0)),ISNUMBER(MATCH(TRIM(RIGHT(SUBSTITUTE(TRIM(E262&amp;"")," ",REPT(" ",60)),60)),설정_코드표!$F$2:$F$101,0))),INDEX(설정_코드표!$K$2:$K$101,MATCH(LEFT(TRIM(E262&amp;""),FIND(" ",TRIM(E262&amp;""))-1),설정_코드표!$J$2:$J$101,0))&amp;" "&amp;INDEX(설정_코드표!$G$2:$G$101,MATCH(TRIM(RIGHT(SUBSTITUTE(TRIM(E262&amp;"")," ",REPT(" ",60)),60)),설정_코드표!$F$2:$F$101,0)),"⚠"&amp;TRIM(E262&amp;""))),"⚠"&amp;TRIM(E262&amp;""))</f>
        <v/>
      </c>
      <c r="N262" s="10">
        <f>IFERROR(IF(TRIM(F262&amp;"")="","",IF(AND(ISNUMBER(FIND(" ",TRIM(F262&amp;""))),ISNUMBER(MATCH(LEFT(TRIM(F262&amp;""),FIND(" ",TRIM(F262&amp;""))-1),설정_코드표!$J$2:$J$101,0)),ISNUMBER(MATCH(TRIM(RIGHT(SUBSTITUTE(TRIM(F262&amp;"")," ",REPT(" ",60)),60)),설정_코드표!$F$2:$F$101,0))),INDEX(설정_코드표!$K$2:$K$101,MATCH(LEFT(TRIM(F262&amp;""),FIND(" ",TRIM(F262&amp;""))-1),설정_코드표!$J$2:$J$101,0))&amp;" "&amp;INDEX(설정_코드표!$G$2:$G$101,MATCH(TRIM(RIGHT(SUBSTITUTE(TRIM(F262&amp;"")," ",REPT(" ",60)),60)),설정_코드표!$F$2:$F$101,0)),"⚠"&amp;TRIM(F262&amp;""))),"⚠"&amp;TRIM(F262&amp;""))</f>
        <v/>
      </c>
      <c r="O262" s="10">
        <f>IFERROR(IF(TRIM(G262&amp;"")="","",IF(AND(ISNUMBER(FIND(" ",TRIM(G262&amp;""))),ISNUMBER(MATCH(LEFT(TRIM(G262&amp;""),FIND(" ",TRIM(G262&amp;""))-1),설정_코드표!$J$2:$J$101,0)),ISNUMBER(MATCH(TRIM(RIGHT(SUBSTITUTE(TRIM(G262&amp;"")," ",REPT(" ",60)),60)),설정_코드표!$F$2:$F$101,0))),INDEX(설정_코드표!$K$2:$K$101,MATCH(LEFT(TRIM(G262&amp;""),FIND(" ",TRIM(G262&amp;""))-1),설정_코드표!$J$2:$J$101,0))&amp;" "&amp;INDEX(설정_코드표!$G$2:$G$101,MATCH(TRIM(RIGHT(SUBSTITUTE(TRIM(G262&amp;"")," ",REPT(" ",60)),60)),설정_코드표!$F$2:$F$101,0)),"⚠"&amp;TRIM(G262&amp;""))),"⚠"&amp;TRIM(G262&amp;""))</f>
        <v/>
      </c>
      <c r="P262" s="10">
        <f>IFERROR(IF(TRIM(H262&amp;"")="","",IF(AND(ISNUMBER(FIND(" ",TRIM(H262&amp;""))),ISNUMBER(MATCH(LEFT(TRIM(H262&amp;""),FIND(" ",TRIM(H262&amp;""))-1),설정_코드표!$J$2:$J$101,0)),ISNUMBER(MATCH(TRIM(RIGHT(SUBSTITUTE(TRIM(H262&amp;"")," ",REPT(" ",60)),60)),설정_코드표!$F$2:$F$101,0))),INDEX(설정_코드표!$K$2:$K$101,MATCH(LEFT(TRIM(H262&amp;""),FIND(" ",TRIM(H262&amp;""))-1),설정_코드표!$J$2:$J$101,0))&amp;" "&amp;INDEX(설정_코드표!$G$2:$G$101,MATCH(TRIM(RIGHT(SUBSTITUTE(TRIM(H262&amp;"")," ",REPT(" ",60)),60)),설정_코드표!$F$2:$F$101,0)),"⚠"&amp;TRIM(H262&amp;""))),"⚠"&amp;TRIM(H262&amp;""))</f>
        <v/>
      </c>
      <c r="Q262" s="10">
        <f>IFERROR(IF(TRIM(I262&amp;"")="","",IF(AND(ISNUMBER(FIND(" ",TRIM(I262&amp;""))),ISNUMBER(MATCH(LEFT(TRIM(I262&amp;""),FIND(" ",TRIM(I262&amp;""))-1),설정_코드표!$J$2:$J$101,0)),ISNUMBER(MATCH(TRIM(RIGHT(SUBSTITUTE(TRIM(I262&amp;"")," ",REPT(" ",60)),60)),설정_코드표!$F$2:$F$101,0))),INDEX(설정_코드표!$K$2:$K$101,MATCH(LEFT(TRIM(I262&amp;""),FIND(" ",TRIM(I262&amp;""))-1),설정_코드표!$J$2:$J$101,0))&amp;" "&amp;INDEX(설정_코드표!$G$2:$G$101,MATCH(TRIM(RIGHT(SUBSTITUTE(TRIM(I262&amp;"")," ",REPT(" ",60)),60)),설정_코드표!$F$2:$F$101,0)),"⚠"&amp;TRIM(I262&amp;""))),"⚠"&amp;TRIM(I262&amp;""))</f>
        <v/>
      </c>
      <c r="R262" s="10">
        <f>IFERROR(IF(TRIM(J262&amp;"")="","",IF(AND(ISNUMBER(FIND(" ",TRIM(J262&amp;""))),ISNUMBER(MATCH(LEFT(TRIM(J262&amp;""),FIND(" ",TRIM(J262&amp;""))-1),설정_코드표!$J$2:$J$101,0)),ISNUMBER(MATCH(TRIM(RIGHT(SUBSTITUTE(TRIM(J262&amp;"")," ",REPT(" ",60)),60)),설정_코드표!$F$2:$F$101,0))),INDEX(설정_코드표!$K$2:$K$101,MATCH(LEFT(TRIM(J262&amp;""),FIND(" ",TRIM(J262&amp;""))-1),설정_코드표!$J$2:$J$101,0))&amp;" "&amp;INDEX(설정_코드표!$G$2:$G$101,MATCH(TRIM(RIGHT(SUBSTITUTE(TRIM(J262&amp;"")," ",REPT(" ",60)),60)),설정_코드표!$F$2:$F$101,0)),"⚠"&amp;TRIM(J262&amp;""))),"⚠"&amp;TRIM(J262&amp;""))</f>
        <v/>
      </c>
      <c r="S262" s="11">
        <f>IF(K262="","",IFERROR(IF(AND(ROUND((VALUE(K262&amp;"")-INT(VALUE(K262&amp;"")))*100,0)&gt;=1,ROUND((VALUE(K262&amp;"")-INT(VALUE(K262&amp;"")))*100,0)&lt;=12,INT(VALUE(K262&amp;""))&gt;=1900),DATE(INT(VALUE(K262&amp;"")),ROUND((VALUE(K262&amp;"")-INT(VALUE(K262&amp;"")))*100,0),1),K262&amp;""),K262&amp;""))</f>
        <v/>
      </c>
      <c r="T262" s="10">
        <f>COUNTIF(M262:R262,"⚠*")</f>
        <v/>
      </c>
    </row>
    <row r="263"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M263" s="10">
        <f>IFERROR(IF(TRIM(E263&amp;"")="","",IF(AND(ISNUMBER(FIND(" ",TRIM(E263&amp;""))),ISNUMBER(MATCH(LEFT(TRIM(E263&amp;""),FIND(" ",TRIM(E263&amp;""))-1),설정_코드표!$J$2:$J$101,0)),ISNUMBER(MATCH(TRIM(RIGHT(SUBSTITUTE(TRIM(E263&amp;"")," ",REPT(" ",60)),60)),설정_코드표!$F$2:$F$101,0))),INDEX(설정_코드표!$K$2:$K$101,MATCH(LEFT(TRIM(E263&amp;""),FIND(" ",TRIM(E263&amp;""))-1),설정_코드표!$J$2:$J$101,0))&amp;" "&amp;INDEX(설정_코드표!$G$2:$G$101,MATCH(TRIM(RIGHT(SUBSTITUTE(TRIM(E263&amp;"")," ",REPT(" ",60)),60)),설정_코드표!$F$2:$F$101,0)),"⚠"&amp;TRIM(E263&amp;""))),"⚠"&amp;TRIM(E263&amp;""))</f>
        <v/>
      </c>
      <c r="N263" s="10">
        <f>IFERROR(IF(TRIM(F263&amp;"")="","",IF(AND(ISNUMBER(FIND(" ",TRIM(F263&amp;""))),ISNUMBER(MATCH(LEFT(TRIM(F263&amp;""),FIND(" ",TRIM(F263&amp;""))-1),설정_코드표!$J$2:$J$101,0)),ISNUMBER(MATCH(TRIM(RIGHT(SUBSTITUTE(TRIM(F263&amp;"")," ",REPT(" ",60)),60)),설정_코드표!$F$2:$F$101,0))),INDEX(설정_코드표!$K$2:$K$101,MATCH(LEFT(TRIM(F263&amp;""),FIND(" ",TRIM(F263&amp;""))-1),설정_코드표!$J$2:$J$101,0))&amp;" "&amp;INDEX(설정_코드표!$G$2:$G$101,MATCH(TRIM(RIGHT(SUBSTITUTE(TRIM(F263&amp;"")," ",REPT(" ",60)),60)),설정_코드표!$F$2:$F$101,0)),"⚠"&amp;TRIM(F263&amp;""))),"⚠"&amp;TRIM(F263&amp;""))</f>
        <v/>
      </c>
      <c r="O263" s="10">
        <f>IFERROR(IF(TRIM(G263&amp;"")="","",IF(AND(ISNUMBER(FIND(" ",TRIM(G263&amp;""))),ISNUMBER(MATCH(LEFT(TRIM(G263&amp;""),FIND(" ",TRIM(G263&amp;""))-1),설정_코드표!$J$2:$J$101,0)),ISNUMBER(MATCH(TRIM(RIGHT(SUBSTITUTE(TRIM(G263&amp;"")," ",REPT(" ",60)),60)),설정_코드표!$F$2:$F$101,0))),INDEX(설정_코드표!$K$2:$K$101,MATCH(LEFT(TRIM(G263&amp;""),FIND(" ",TRIM(G263&amp;""))-1),설정_코드표!$J$2:$J$101,0))&amp;" "&amp;INDEX(설정_코드표!$G$2:$G$101,MATCH(TRIM(RIGHT(SUBSTITUTE(TRIM(G263&amp;"")," ",REPT(" ",60)),60)),설정_코드표!$F$2:$F$101,0)),"⚠"&amp;TRIM(G263&amp;""))),"⚠"&amp;TRIM(G263&amp;""))</f>
        <v/>
      </c>
      <c r="P263" s="10">
        <f>IFERROR(IF(TRIM(H263&amp;"")="","",IF(AND(ISNUMBER(FIND(" ",TRIM(H263&amp;""))),ISNUMBER(MATCH(LEFT(TRIM(H263&amp;""),FIND(" ",TRIM(H263&amp;""))-1),설정_코드표!$J$2:$J$101,0)),ISNUMBER(MATCH(TRIM(RIGHT(SUBSTITUTE(TRIM(H263&amp;"")," ",REPT(" ",60)),60)),설정_코드표!$F$2:$F$101,0))),INDEX(설정_코드표!$K$2:$K$101,MATCH(LEFT(TRIM(H263&amp;""),FIND(" ",TRIM(H263&amp;""))-1),설정_코드표!$J$2:$J$101,0))&amp;" "&amp;INDEX(설정_코드표!$G$2:$G$101,MATCH(TRIM(RIGHT(SUBSTITUTE(TRIM(H263&amp;"")," ",REPT(" ",60)),60)),설정_코드표!$F$2:$F$101,0)),"⚠"&amp;TRIM(H263&amp;""))),"⚠"&amp;TRIM(H263&amp;""))</f>
        <v/>
      </c>
      <c r="Q263" s="10">
        <f>IFERROR(IF(TRIM(I263&amp;"")="","",IF(AND(ISNUMBER(FIND(" ",TRIM(I263&amp;""))),ISNUMBER(MATCH(LEFT(TRIM(I263&amp;""),FIND(" ",TRIM(I263&amp;""))-1),설정_코드표!$J$2:$J$101,0)),ISNUMBER(MATCH(TRIM(RIGHT(SUBSTITUTE(TRIM(I263&amp;"")," ",REPT(" ",60)),60)),설정_코드표!$F$2:$F$101,0))),INDEX(설정_코드표!$K$2:$K$101,MATCH(LEFT(TRIM(I263&amp;""),FIND(" ",TRIM(I263&amp;""))-1),설정_코드표!$J$2:$J$101,0))&amp;" "&amp;INDEX(설정_코드표!$G$2:$G$101,MATCH(TRIM(RIGHT(SUBSTITUTE(TRIM(I263&amp;"")," ",REPT(" ",60)),60)),설정_코드표!$F$2:$F$101,0)),"⚠"&amp;TRIM(I263&amp;""))),"⚠"&amp;TRIM(I263&amp;""))</f>
        <v/>
      </c>
      <c r="R263" s="10">
        <f>IFERROR(IF(TRIM(J263&amp;"")="","",IF(AND(ISNUMBER(FIND(" ",TRIM(J263&amp;""))),ISNUMBER(MATCH(LEFT(TRIM(J263&amp;""),FIND(" ",TRIM(J263&amp;""))-1),설정_코드표!$J$2:$J$101,0)),ISNUMBER(MATCH(TRIM(RIGHT(SUBSTITUTE(TRIM(J263&amp;"")," ",REPT(" ",60)),60)),설정_코드표!$F$2:$F$101,0))),INDEX(설정_코드표!$K$2:$K$101,MATCH(LEFT(TRIM(J263&amp;""),FIND(" ",TRIM(J263&amp;""))-1),설정_코드표!$J$2:$J$101,0))&amp;" "&amp;INDEX(설정_코드표!$G$2:$G$101,MATCH(TRIM(RIGHT(SUBSTITUTE(TRIM(J263&amp;"")," ",REPT(" ",60)),60)),설정_코드표!$F$2:$F$101,0)),"⚠"&amp;TRIM(J263&amp;""))),"⚠"&amp;TRIM(J263&amp;""))</f>
        <v/>
      </c>
      <c r="S263" s="11">
        <f>IF(K263="","",IFERROR(IF(AND(ROUND((VALUE(K263&amp;"")-INT(VALUE(K263&amp;"")))*100,0)&gt;=1,ROUND((VALUE(K263&amp;"")-INT(VALUE(K263&amp;"")))*100,0)&lt;=12,INT(VALUE(K263&amp;""))&gt;=1900),DATE(INT(VALUE(K263&amp;"")),ROUND((VALUE(K263&amp;"")-INT(VALUE(K263&amp;"")))*100,0),1),K263&amp;""),K263&amp;""))</f>
        <v/>
      </c>
      <c r="T263" s="10">
        <f>COUNTIF(M263:R263,"⚠*")</f>
        <v/>
      </c>
    </row>
    <row r="264"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M264" s="10">
        <f>IFERROR(IF(TRIM(E264&amp;"")="","",IF(AND(ISNUMBER(FIND(" ",TRIM(E264&amp;""))),ISNUMBER(MATCH(LEFT(TRIM(E264&amp;""),FIND(" ",TRIM(E264&amp;""))-1),설정_코드표!$J$2:$J$101,0)),ISNUMBER(MATCH(TRIM(RIGHT(SUBSTITUTE(TRIM(E264&amp;"")," ",REPT(" ",60)),60)),설정_코드표!$F$2:$F$101,0))),INDEX(설정_코드표!$K$2:$K$101,MATCH(LEFT(TRIM(E264&amp;""),FIND(" ",TRIM(E264&amp;""))-1),설정_코드표!$J$2:$J$101,0))&amp;" "&amp;INDEX(설정_코드표!$G$2:$G$101,MATCH(TRIM(RIGHT(SUBSTITUTE(TRIM(E264&amp;"")," ",REPT(" ",60)),60)),설정_코드표!$F$2:$F$101,0)),"⚠"&amp;TRIM(E264&amp;""))),"⚠"&amp;TRIM(E264&amp;""))</f>
        <v/>
      </c>
      <c r="N264" s="10">
        <f>IFERROR(IF(TRIM(F264&amp;"")="","",IF(AND(ISNUMBER(FIND(" ",TRIM(F264&amp;""))),ISNUMBER(MATCH(LEFT(TRIM(F264&amp;""),FIND(" ",TRIM(F264&amp;""))-1),설정_코드표!$J$2:$J$101,0)),ISNUMBER(MATCH(TRIM(RIGHT(SUBSTITUTE(TRIM(F264&amp;"")," ",REPT(" ",60)),60)),설정_코드표!$F$2:$F$101,0))),INDEX(설정_코드표!$K$2:$K$101,MATCH(LEFT(TRIM(F264&amp;""),FIND(" ",TRIM(F264&amp;""))-1),설정_코드표!$J$2:$J$101,0))&amp;" "&amp;INDEX(설정_코드표!$G$2:$G$101,MATCH(TRIM(RIGHT(SUBSTITUTE(TRIM(F264&amp;"")," ",REPT(" ",60)),60)),설정_코드표!$F$2:$F$101,0)),"⚠"&amp;TRIM(F264&amp;""))),"⚠"&amp;TRIM(F264&amp;""))</f>
        <v/>
      </c>
      <c r="O264" s="10">
        <f>IFERROR(IF(TRIM(G264&amp;"")="","",IF(AND(ISNUMBER(FIND(" ",TRIM(G264&amp;""))),ISNUMBER(MATCH(LEFT(TRIM(G264&amp;""),FIND(" ",TRIM(G264&amp;""))-1),설정_코드표!$J$2:$J$101,0)),ISNUMBER(MATCH(TRIM(RIGHT(SUBSTITUTE(TRIM(G264&amp;"")," ",REPT(" ",60)),60)),설정_코드표!$F$2:$F$101,0))),INDEX(설정_코드표!$K$2:$K$101,MATCH(LEFT(TRIM(G264&amp;""),FIND(" ",TRIM(G264&amp;""))-1),설정_코드표!$J$2:$J$101,0))&amp;" "&amp;INDEX(설정_코드표!$G$2:$G$101,MATCH(TRIM(RIGHT(SUBSTITUTE(TRIM(G264&amp;"")," ",REPT(" ",60)),60)),설정_코드표!$F$2:$F$101,0)),"⚠"&amp;TRIM(G264&amp;""))),"⚠"&amp;TRIM(G264&amp;""))</f>
        <v/>
      </c>
      <c r="P264" s="10">
        <f>IFERROR(IF(TRIM(H264&amp;"")="","",IF(AND(ISNUMBER(FIND(" ",TRIM(H264&amp;""))),ISNUMBER(MATCH(LEFT(TRIM(H264&amp;""),FIND(" ",TRIM(H264&amp;""))-1),설정_코드표!$J$2:$J$101,0)),ISNUMBER(MATCH(TRIM(RIGHT(SUBSTITUTE(TRIM(H264&amp;"")," ",REPT(" ",60)),60)),설정_코드표!$F$2:$F$101,0))),INDEX(설정_코드표!$K$2:$K$101,MATCH(LEFT(TRIM(H264&amp;""),FIND(" ",TRIM(H264&amp;""))-1),설정_코드표!$J$2:$J$101,0))&amp;" "&amp;INDEX(설정_코드표!$G$2:$G$101,MATCH(TRIM(RIGHT(SUBSTITUTE(TRIM(H264&amp;"")," ",REPT(" ",60)),60)),설정_코드표!$F$2:$F$101,0)),"⚠"&amp;TRIM(H264&amp;""))),"⚠"&amp;TRIM(H264&amp;""))</f>
        <v/>
      </c>
      <c r="Q264" s="10">
        <f>IFERROR(IF(TRIM(I264&amp;"")="","",IF(AND(ISNUMBER(FIND(" ",TRIM(I264&amp;""))),ISNUMBER(MATCH(LEFT(TRIM(I264&amp;""),FIND(" ",TRIM(I264&amp;""))-1),설정_코드표!$J$2:$J$101,0)),ISNUMBER(MATCH(TRIM(RIGHT(SUBSTITUTE(TRIM(I264&amp;"")," ",REPT(" ",60)),60)),설정_코드표!$F$2:$F$101,0))),INDEX(설정_코드표!$K$2:$K$101,MATCH(LEFT(TRIM(I264&amp;""),FIND(" ",TRIM(I264&amp;""))-1),설정_코드표!$J$2:$J$101,0))&amp;" "&amp;INDEX(설정_코드표!$G$2:$G$101,MATCH(TRIM(RIGHT(SUBSTITUTE(TRIM(I264&amp;"")," ",REPT(" ",60)),60)),설정_코드표!$F$2:$F$101,0)),"⚠"&amp;TRIM(I264&amp;""))),"⚠"&amp;TRIM(I264&amp;""))</f>
        <v/>
      </c>
      <c r="R264" s="10">
        <f>IFERROR(IF(TRIM(J264&amp;"")="","",IF(AND(ISNUMBER(FIND(" ",TRIM(J264&amp;""))),ISNUMBER(MATCH(LEFT(TRIM(J264&amp;""),FIND(" ",TRIM(J264&amp;""))-1),설정_코드표!$J$2:$J$101,0)),ISNUMBER(MATCH(TRIM(RIGHT(SUBSTITUTE(TRIM(J264&amp;"")," ",REPT(" ",60)),60)),설정_코드표!$F$2:$F$101,0))),INDEX(설정_코드표!$K$2:$K$101,MATCH(LEFT(TRIM(J264&amp;""),FIND(" ",TRIM(J264&amp;""))-1),설정_코드표!$J$2:$J$101,0))&amp;" "&amp;INDEX(설정_코드표!$G$2:$G$101,MATCH(TRIM(RIGHT(SUBSTITUTE(TRIM(J264&amp;"")," ",REPT(" ",60)),60)),설정_코드표!$F$2:$F$101,0)),"⚠"&amp;TRIM(J264&amp;""))),"⚠"&amp;TRIM(J264&amp;""))</f>
        <v/>
      </c>
      <c r="S264" s="11">
        <f>IF(K264="","",IFERROR(IF(AND(ROUND((VALUE(K264&amp;"")-INT(VALUE(K264&amp;"")))*100,0)&gt;=1,ROUND((VALUE(K264&amp;"")-INT(VALUE(K264&amp;"")))*100,0)&lt;=12,INT(VALUE(K264&amp;""))&gt;=1900),DATE(INT(VALUE(K264&amp;"")),ROUND((VALUE(K264&amp;"")-INT(VALUE(K264&amp;"")))*100,0),1),K264&amp;""),K264&amp;""))</f>
        <v/>
      </c>
      <c r="T264" s="10">
        <f>COUNTIF(M264:R264,"⚠*")</f>
        <v/>
      </c>
    </row>
    <row r="265"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M265" s="10">
        <f>IFERROR(IF(TRIM(E265&amp;"")="","",IF(AND(ISNUMBER(FIND(" ",TRIM(E265&amp;""))),ISNUMBER(MATCH(LEFT(TRIM(E265&amp;""),FIND(" ",TRIM(E265&amp;""))-1),설정_코드표!$J$2:$J$101,0)),ISNUMBER(MATCH(TRIM(RIGHT(SUBSTITUTE(TRIM(E265&amp;"")," ",REPT(" ",60)),60)),설정_코드표!$F$2:$F$101,0))),INDEX(설정_코드표!$K$2:$K$101,MATCH(LEFT(TRIM(E265&amp;""),FIND(" ",TRIM(E265&amp;""))-1),설정_코드표!$J$2:$J$101,0))&amp;" "&amp;INDEX(설정_코드표!$G$2:$G$101,MATCH(TRIM(RIGHT(SUBSTITUTE(TRIM(E265&amp;"")," ",REPT(" ",60)),60)),설정_코드표!$F$2:$F$101,0)),"⚠"&amp;TRIM(E265&amp;""))),"⚠"&amp;TRIM(E265&amp;""))</f>
        <v/>
      </c>
      <c r="N265" s="10">
        <f>IFERROR(IF(TRIM(F265&amp;"")="","",IF(AND(ISNUMBER(FIND(" ",TRIM(F265&amp;""))),ISNUMBER(MATCH(LEFT(TRIM(F265&amp;""),FIND(" ",TRIM(F265&amp;""))-1),설정_코드표!$J$2:$J$101,0)),ISNUMBER(MATCH(TRIM(RIGHT(SUBSTITUTE(TRIM(F265&amp;"")," ",REPT(" ",60)),60)),설정_코드표!$F$2:$F$101,0))),INDEX(설정_코드표!$K$2:$K$101,MATCH(LEFT(TRIM(F265&amp;""),FIND(" ",TRIM(F265&amp;""))-1),설정_코드표!$J$2:$J$101,0))&amp;" "&amp;INDEX(설정_코드표!$G$2:$G$101,MATCH(TRIM(RIGHT(SUBSTITUTE(TRIM(F265&amp;"")," ",REPT(" ",60)),60)),설정_코드표!$F$2:$F$101,0)),"⚠"&amp;TRIM(F265&amp;""))),"⚠"&amp;TRIM(F265&amp;""))</f>
        <v/>
      </c>
      <c r="O265" s="10">
        <f>IFERROR(IF(TRIM(G265&amp;"")="","",IF(AND(ISNUMBER(FIND(" ",TRIM(G265&amp;""))),ISNUMBER(MATCH(LEFT(TRIM(G265&amp;""),FIND(" ",TRIM(G265&amp;""))-1),설정_코드표!$J$2:$J$101,0)),ISNUMBER(MATCH(TRIM(RIGHT(SUBSTITUTE(TRIM(G265&amp;"")," ",REPT(" ",60)),60)),설정_코드표!$F$2:$F$101,0))),INDEX(설정_코드표!$K$2:$K$101,MATCH(LEFT(TRIM(G265&amp;""),FIND(" ",TRIM(G265&amp;""))-1),설정_코드표!$J$2:$J$101,0))&amp;" "&amp;INDEX(설정_코드표!$G$2:$G$101,MATCH(TRIM(RIGHT(SUBSTITUTE(TRIM(G265&amp;"")," ",REPT(" ",60)),60)),설정_코드표!$F$2:$F$101,0)),"⚠"&amp;TRIM(G265&amp;""))),"⚠"&amp;TRIM(G265&amp;""))</f>
        <v/>
      </c>
      <c r="P265" s="10">
        <f>IFERROR(IF(TRIM(H265&amp;"")="","",IF(AND(ISNUMBER(FIND(" ",TRIM(H265&amp;""))),ISNUMBER(MATCH(LEFT(TRIM(H265&amp;""),FIND(" ",TRIM(H265&amp;""))-1),설정_코드표!$J$2:$J$101,0)),ISNUMBER(MATCH(TRIM(RIGHT(SUBSTITUTE(TRIM(H265&amp;"")," ",REPT(" ",60)),60)),설정_코드표!$F$2:$F$101,0))),INDEX(설정_코드표!$K$2:$K$101,MATCH(LEFT(TRIM(H265&amp;""),FIND(" ",TRIM(H265&amp;""))-1),설정_코드표!$J$2:$J$101,0))&amp;" "&amp;INDEX(설정_코드표!$G$2:$G$101,MATCH(TRIM(RIGHT(SUBSTITUTE(TRIM(H265&amp;"")," ",REPT(" ",60)),60)),설정_코드표!$F$2:$F$101,0)),"⚠"&amp;TRIM(H265&amp;""))),"⚠"&amp;TRIM(H265&amp;""))</f>
        <v/>
      </c>
      <c r="Q265" s="10">
        <f>IFERROR(IF(TRIM(I265&amp;"")="","",IF(AND(ISNUMBER(FIND(" ",TRIM(I265&amp;""))),ISNUMBER(MATCH(LEFT(TRIM(I265&amp;""),FIND(" ",TRIM(I265&amp;""))-1),설정_코드표!$J$2:$J$101,0)),ISNUMBER(MATCH(TRIM(RIGHT(SUBSTITUTE(TRIM(I265&amp;"")," ",REPT(" ",60)),60)),설정_코드표!$F$2:$F$101,0))),INDEX(설정_코드표!$K$2:$K$101,MATCH(LEFT(TRIM(I265&amp;""),FIND(" ",TRIM(I265&amp;""))-1),설정_코드표!$J$2:$J$101,0))&amp;" "&amp;INDEX(설정_코드표!$G$2:$G$101,MATCH(TRIM(RIGHT(SUBSTITUTE(TRIM(I265&amp;"")," ",REPT(" ",60)),60)),설정_코드표!$F$2:$F$101,0)),"⚠"&amp;TRIM(I265&amp;""))),"⚠"&amp;TRIM(I265&amp;""))</f>
        <v/>
      </c>
      <c r="R265" s="10">
        <f>IFERROR(IF(TRIM(J265&amp;"")="","",IF(AND(ISNUMBER(FIND(" ",TRIM(J265&amp;""))),ISNUMBER(MATCH(LEFT(TRIM(J265&amp;""),FIND(" ",TRIM(J265&amp;""))-1),설정_코드표!$J$2:$J$101,0)),ISNUMBER(MATCH(TRIM(RIGHT(SUBSTITUTE(TRIM(J265&amp;"")," ",REPT(" ",60)),60)),설정_코드표!$F$2:$F$101,0))),INDEX(설정_코드표!$K$2:$K$101,MATCH(LEFT(TRIM(J265&amp;""),FIND(" ",TRIM(J265&amp;""))-1),설정_코드표!$J$2:$J$101,0))&amp;" "&amp;INDEX(설정_코드표!$G$2:$G$101,MATCH(TRIM(RIGHT(SUBSTITUTE(TRIM(J265&amp;"")," ",REPT(" ",60)),60)),설정_코드표!$F$2:$F$101,0)),"⚠"&amp;TRIM(J265&amp;""))),"⚠"&amp;TRIM(J265&amp;""))</f>
        <v/>
      </c>
      <c r="S265" s="11">
        <f>IF(K265="","",IFERROR(IF(AND(ROUND((VALUE(K265&amp;"")-INT(VALUE(K265&amp;"")))*100,0)&gt;=1,ROUND((VALUE(K265&amp;"")-INT(VALUE(K265&amp;"")))*100,0)&lt;=12,INT(VALUE(K265&amp;""))&gt;=1900),DATE(INT(VALUE(K265&amp;"")),ROUND((VALUE(K265&amp;"")-INT(VALUE(K265&amp;"")))*100,0),1),K265&amp;""),K265&amp;""))</f>
        <v/>
      </c>
      <c r="T265" s="10">
        <f>COUNTIF(M265:R265,"⚠*")</f>
        <v/>
      </c>
    </row>
    <row r="266"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M266" s="10">
        <f>IFERROR(IF(TRIM(E266&amp;"")="","",IF(AND(ISNUMBER(FIND(" ",TRIM(E266&amp;""))),ISNUMBER(MATCH(LEFT(TRIM(E266&amp;""),FIND(" ",TRIM(E266&amp;""))-1),설정_코드표!$J$2:$J$101,0)),ISNUMBER(MATCH(TRIM(RIGHT(SUBSTITUTE(TRIM(E266&amp;"")," ",REPT(" ",60)),60)),설정_코드표!$F$2:$F$101,0))),INDEX(설정_코드표!$K$2:$K$101,MATCH(LEFT(TRIM(E266&amp;""),FIND(" ",TRIM(E266&amp;""))-1),설정_코드표!$J$2:$J$101,0))&amp;" "&amp;INDEX(설정_코드표!$G$2:$G$101,MATCH(TRIM(RIGHT(SUBSTITUTE(TRIM(E266&amp;"")," ",REPT(" ",60)),60)),설정_코드표!$F$2:$F$101,0)),"⚠"&amp;TRIM(E266&amp;""))),"⚠"&amp;TRIM(E266&amp;""))</f>
        <v/>
      </c>
      <c r="N266" s="10">
        <f>IFERROR(IF(TRIM(F266&amp;"")="","",IF(AND(ISNUMBER(FIND(" ",TRIM(F266&amp;""))),ISNUMBER(MATCH(LEFT(TRIM(F266&amp;""),FIND(" ",TRIM(F266&amp;""))-1),설정_코드표!$J$2:$J$101,0)),ISNUMBER(MATCH(TRIM(RIGHT(SUBSTITUTE(TRIM(F266&amp;"")," ",REPT(" ",60)),60)),설정_코드표!$F$2:$F$101,0))),INDEX(설정_코드표!$K$2:$K$101,MATCH(LEFT(TRIM(F266&amp;""),FIND(" ",TRIM(F266&amp;""))-1),설정_코드표!$J$2:$J$101,0))&amp;" "&amp;INDEX(설정_코드표!$G$2:$G$101,MATCH(TRIM(RIGHT(SUBSTITUTE(TRIM(F266&amp;"")," ",REPT(" ",60)),60)),설정_코드표!$F$2:$F$101,0)),"⚠"&amp;TRIM(F266&amp;""))),"⚠"&amp;TRIM(F266&amp;""))</f>
        <v/>
      </c>
      <c r="O266" s="10">
        <f>IFERROR(IF(TRIM(G266&amp;"")="","",IF(AND(ISNUMBER(FIND(" ",TRIM(G266&amp;""))),ISNUMBER(MATCH(LEFT(TRIM(G266&amp;""),FIND(" ",TRIM(G266&amp;""))-1),설정_코드표!$J$2:$J$101,0)),ISNUMBER(MATCH(TRIM(RIGHT(SUBSTITUTE(TRIM(G266&amp;"")," ",REPT(" ",60)),60)),설정_코드표!$F$2:$F$101,0))),INDEX(설정_코드표!$K$2:$K$101,MATCH(LEFT(TRIM(G266&amp;""),FIND(" ",TRIM(G266&amp;""))-1),설정_코드표!$J$2:$J$101,0))&amp;" "&amp;INDEX(설정_코드표!$G$2:$G$101,MATCH(TRIM(RIGHT(SUBSTITUTE(TRIM(G266&amp;"")," ",REPT(" ",60)),60)),설정_코드표!$F$2:$F$101,0)),"⚠"&amp;TRIM(G266&amp;""))),"⚠"&amp;TRIM(G266&amp;""))</f>
        <v/>
      </c>
      <c r="P266" s="10">
        <f>IFERROR(IF(TRIM(H266&amp;"")="","",IF(AND(ISNUMBER(FIND(" ",TRIM(H266&amp;""))),ISNUMBER(MATCH(LEFT(TRIM(H266&amp;""),FIND(" ",TRIM(H266&amp;""))-1),설정_코드표!$J$2:$J$101,0)),ISNUMBER(MATCH(TRIM(RIGHT(SUBSTITUTE(TRIM(H266&amp;"")," ",REPT(" ",60)),60)),설정_코드표!$F$2:$F$101,0))),INDEX(설정_코드표!$K$2:$K$101,MATCH(LEFT(TRIM(H266&amp;""),FIND(" ",TRIM(H266&amp;""))-1),설정_코드표!$J$2:$J$101,0))&amp;" "&amp;INDEX(설정_코드표!$G$2:$G$101,MATCH(TRIM(RIGHT(SUBSTITUTE(TRIM(H266&amp;"")," ",REPT(" ",60)),60)),설정_코드표!$F$2:$F$101,0)),"⚠"&amp;TRIM(H266&amp;""))),"⚠"&amp;TRIM(H266&amp;""))</f>
        <v/>
      </c>
      <c r="Q266" s="10">
        <f>IFERROR(IF(TRIM(I266&amp;"")="","",IF(AND(ISNUMBER(FIND(" ",TRIM(I266&amp;""))),ISNUMBER(MATCH(LEFT(TRIM(I266&amp;""),FIND(" ",TRIM(I266&amp;""))-1),설정_코드표!$J$2:$J$101,0)),ISNUMBER(MATCH(TRIM(RIGHT(SUBSTITUTE(TRIM(I266&amp;"")," ",REPT(" ",60)),60)),설정_코드표!$F$2:$F$101,0))),INDEX(설정_코드표!$K$2:$K$101,MATCH(LEFT(TRIM(I266&amp;""),FIND(" ",TRIM(I266&amp;""))-1),설정_코드표!$J$2:$J$101,0))&amp;" "&amp;INDEX(설정_코드표!$G$2:$G$101,MATCH(TRIM(RIGHT(SUBSTITUTE(TRIM(I266&amp;"")," ",REPT(" ",60)),60)),설정_코드표!$F$2:$F$101,0)),"⚠"&amp;TRIM(I266&amp;""))),"⚠"&amp;TRIM(I266&amp;""))</f>
        <v/>
      </c>
      <c r="R266" s="10">
        <f>IFERROR(IF(TRIM(J266&amp;"")="","",IF(AND(ISNUMBER(FIND(" ",TRIM(J266&amp;""))),ISNUMBER(MATCH(LEFT(TRIM(J266&amp;""),FIND(" ",TRIM(J266&amp;""))-1),설정_코드표!$J$2:$J$101,0)),ISNUMBER(MATCH(TRIM(RIGHT(SUBSTITUTE(TRIM(J266&amp;"")," ",REPT(" ",60)),60)),설정_코드표!$F$2:$F$101,0))),INDEX(설정_코드표!$K$2:$K$101,MATCH(LEFT(TRIM(J266&amp;""),FIND(" ",TRIM(J266&amp;""))-1),설정_코드표!$J$2:$J$101,0))&amp;" "&amp;INDEX(설정_코드표!$G$2:$G$101,MATCH(TRIM(RIGHT(SUBSTITUTE(TRIM(J266&amp;"")," ",REPT(" ",60)),60)),설정_코드표!$F$2:$F$101,0)),"⚠"&amp;TRIM(J266&amp;""))),"⚠"&amp;TRIM(J266&amp;""))</f>
        <v/>
      </c>
      <c r="S266" s="11">
        <f>IF(K266="","",IFERROR(IF(AND(ROUND((VALUE(K266&amp;"")-INT(VALUE(K266&amp;"")))*100,0)&gt;=1,ROUND((VALUE(K266&amp;"")-INT(VALUE(K266&amp;"")))*100,0)&lt;=12,INT(VALUE(K266&amp;""))&gt;=1900),DATE(INT(VALUE(K266&amp;"")),ROUND((VALUE(K266&amp;"")-INT(VALUE(K266&amp;"")))*100,0),1),K266&amp;""),K266&amp;""))</f>
        <v/>
      </c>
      <c r="T266" s="10">
        <f>COUNTIF(M266:R266,"⚠*")</f>
        <v/>
      </c>
    </row>
    <row r="267"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M267" s="10">
        <f>IFERROR(IF(TRIM(E267&amp;"")="","",IF(AND(ISNUMBER(FIND(" ",TRIM(E267&amp;""))),ISNUMBER(MATCH(LEFT(TRIM(E267&amp;""),FIND(" ",TRIM(E267&amp;""))-1),설정_코드표!$J$2:$J$101,0)),ISNUMBER(MATCH(TRIM(RIGHT(SUBSTITUTE(TRIM(E267&amp;"")," ",REPT(" ",60)),60)),설정_코드표!$F$2:$F$101,0))),INDEX(설정_코드표!$K$2:$K$101,MATCH(LEFT(TRIM(E267&amp;""),FIND(" ",TRIM(E267&amp;""))-1),설정_코드표!$J$2:$J$101,0))&amp;" "&amp;INDEX(설정_코드표!$G$2:$G$101,MATCH(TRIM(RIGHT(SUBSTITUTE(TRIM(E267&amp;"")," ",REPT(" ",60)),60)),설정_코드표!$F$2:$F$101,0)),"⚠"&amp;TRIM(E267&amp;""))),"⚠"&amp;TRIM(E267&amp;""))</f>
        <v/>
      </c>
      <c r="N267" s="10">
        <f>IFERROR(IF(TRIM(F267&amp;"")="","",IF(AND(ISNUMBER(FIND(" ",TRIM(F267&amp;""))),ISNUMBER(MATCH(LEFT(TRIM(F267&amp;""),FIND(" ",TRIM(F267&amp;""))-1),설정_코드표!$J$2:$J$101,0)),ISNUMBER(MATCH(TRIM(RIGHT(SUBSTITUTE(TRIM(F267&amp;"")," ",REPT(" ",60)),60)),설정_코드표!$F$2:$F$101,0))),INDEX(설정_코드표!$K$2:$K$101,MATCH(LEFT(TRIM(F267&amp;""),FIND(" ",TRIM(F267&amp;""))-1),설정_코드표!$J$2:$J$101,0))&amp;" "&amp;INDEX(설정_코드표!$G$2:$G$101,MATCH(TRIM(RIGHT(SUBSTITUTE(TRIM(F267&amp;"")," ",REPT(" ",60)),60)),설정_코드표!$F$2:$F$101,0)),"⚠"&amp;TRIM(F267&amp;""))),"⚠"&amp;TRIM(F267&amp;""))</f>
        <v/>
      </c>
      <c r="O267" s="10">
        <f>IFERROR(IF(TRIM(G267&amp;"")="","",IF(AND(ISNUMBER(FIND(" ",TRIM(G267&amp;""))),ISNUMBER(MATCH(LEFT(TRIM(G267&amp;""),FIND(" ",TRIM(G267&amp;""))-1),설정_코드표!$J$2:$J$101,0)),ISNUMBER(MATCH(TRIM(RIGHT(SUBSTITUTE(TRIM(G267&amp;"")," ",REPT(" ",60)),60)),설정_코드표!$F$2:$F$101,0))),INDEX(설정_코드표!$K$2:$K$101,MATCH(LEFT(TRIM(G267&amp;""),FIND(" ",TRIM(G267&amp;""))-1),설정_코드표!$J$2:$J$101,0))&amp;" "&amp;INDEX(설정_코드표!$G$2:$G$101,MATCH(TRIM(RIGHT(SUBSTITUTE(TRIM(G267&amp;"")," ",REPT(" ",60)),60)),설정_코드표!$F$2:$F$101,0)),"⚠"&amp;TRIM(G267&amp;""))),"⚠"&amp;TRIM(G267&amp;""))</f>
        <v/>
      </c>
      <c r="P267" s="10">
        <f>IFERROR(IF(TRIM(H267&amp;"")="","",IF(AND(ISNUMBER(FIND(" ",TRIM(H267&amp;""))),ISNUMBER(MATCH(LEFT(TRIM(H267&amp;""),FIND(" ",TRIM(H267&amp;""))-1),설정_코드표!$J$2:$J$101,0)),ISNUMBER(MATCH(TRIM(RIGHT(SUBSTITUTE(TRIM(H267&amp;"")," ",REPT(" ",60)),60)),설정_코드표!$F$2:$F$101,0))),INDEX(설정_코드표!$K$2:$K$101,MATCH(LEFT(TRIM(H267&amp;""),FIND(" ",TRIM(H267&amp;""))-1),설정_코드표!$J$2:$J$101,0))&amp;" "&amp;INDEX(설정_코드표!$G$2:$G$101,MATCH(TRIM(RIGHT(SUBSTITUTE(TRIM(H267&amp;"")," ",REPT(" ",60)),60)),설정_코드표!$F$2:$F$101,0)),"⚠"&amp;TRIM(H267&amp;""))),"⚠"&amp;TRIM(H267&amp;""))</f>
        <v/>
      </c>
      <c r="Q267" s="10">
        <f>IFERROR(IF(TRIM(I267&amp;"")="","",IF(AND(ISNUMBER(FIND(" ",TRIM(I267&amp;""))),ISNUMBER(MATCH(LEFT(TRIM(I267&amp;""),FIND(" ",TRIM(I267&amp;""))-1),설정_코드표!$J$2:$J$101,0)),ISNUMBER(MATCH(TRIM(RIGHT(SUBSTITUTE(TRIM(I267&amp;"")," ",REPT(" ",60)),60)),설정_코드표!$F$2:$F$101,0))),INDEX(설정_코드표!$K$2:$K$101,MATCH(LEFT(TRIM(I267&amp;""),FIND(" ",TRIM(I267&amp;""))-1),설정_코드표!$J$2:$J$101,0))&amp;" "&amp;INDEX(설정_코드표!$G$2:$G$101,MATCH(TRIM(RIGHT(SUBSTITUTE(TRIM(I267&amp;"")," ",REPT(" ",60)),60)),설정_코드표!$F$2:$F$101,0)),"⚠"&amp;TRIM(I267&amp;""))),"⚠"&amp;TRIM(I267&amp;""))</f>
        <v/>
      </c>
      <c r="R267" s="10">
        <f>IFERROR(IF(TRIM(J267&amp;"")="","",IF(AND(ISNUMBER(FIND(" ",TRIM(J267&amp;""))),ISNUMBER(MATCH(LEFT(TRIM(J267&amp;""),FIND(" ",TRIM(J267&amp;""))-1),설정_코드표!$J$2:$J$101,0)),ISNUMBER(MATCH(TRIM(RIGHT(SUBSTITUTE(TRIM(J267&amp;"")," ",REPT(" ",60)),60)),설정_코드표!$F$2:$F$101,0))),INDEX(설정_코드표!$K$2:$K$101,MATCH(LEFT(TRIM(J267&amp;""),FIND(" ",TRIM(J267&amp;""))-1),설정_코드표!$J$2:$J$101,0))&amp;" "&amp;INDEX(설정_코드표!$G$2:$G$101,MATCH(TRIM(RIGHT(SUBSTITUTE(TRIM(J267&amp;"")," ",REPT(" ",60)),60)),설정_코드표!$F$2:$F$101,0)),"⚠"&amp;TRIM(J267&amp;""))),"⚠"&amp;TRIM(J267&amp;""))</f>
        <v/>
      </c>
      <c r="S267" s="11">
        <f>IF(K267="","",IFERROR(IF(AND(ROUND((VALUE(K267&amp;"")-INT(VALUE(K267&amp;"")))*100,0)&gt;=1,ROUND((VALUE(K267&amp;"")-INT(VALUE(K267&amp;"")))*100,0)&lt;=12,INT(VALUE(K267&amp;""))&gt;=1900),DATE(INT(VALUE(K267&amp;"")),ROUND((VALUE(K267&amp;"")-INT(VALUE(K267&amp;"")))*100,0),1),K267&amp;""),K267&amp;""))</f>
        <v/>
      </c>
      <c r="T267" s="10">
        <f>COUNTIF(M267:R267,"⚠*")</f>
        <v/>
      </c>
    </row>
    <row r="268"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M268" s="10">
        <f>IFERROR(IF(TRIM(E268&amp;"")="","",IF(AND(ISNUMBER(FIND(" ",TRIM(E268&amp;""))),ISNUMBER(MATCH(LEFT(TRIM(E268&amp;""),FIND(" ",TRIM(E268&amp;""))-1),설정_코드표!$J$2:$J$101,0)),ISNUMBER(MATCH(TRIM(RIGHT(SUBSTITUTE(TRIM(E268&amp;"")," ",REPT(" ",60)),60)),설정_코드표!$F$2:$F$101,0))),INDEX(설정_코드표!$K$2:$K$101,MATCH(LEFT(TRIM(E268&amp;""),FIND(" ",TRIM(E268&amp;""))-1),설정_코드표!$J$2:$J$101,0))&amp;" "&amp;INDEX(설정_코드표!$G$2:$G$101,MATCH(TRIM(RIGHT(SUBSTITUTE(TRIM(E268&amp;"")," ",REPT(" ",60)),60)),설정_코드표!$F$2:$F$101,0)),"⚠"&amp;TRIM(E268&amp;""))),"⚠"&amp;TRIM(E268&amp;""))</f>
        <v/>
      </c>
      <c r="N268" s="10">
        <f>IFERROR(IF(TRIM(F268&amp;"")="","",IF(AND(ISNUMBER(FIND(" ",TRIM(F268&amp;""))),ISNUMBER(MATCH(LEFT(TRIM(F268&amp;""),FIND(" ",TRIM(F268&amp;""))-1),설정_코드표!$J$2:$J$101,0)),ISNUMBER(MATCH(TRIM(RIGHT(SUBSTITUTE(TRIM(F268&amp;"")," ",REPT(" ",60)),60)),설정_코드표!$F$2:$F$101,0))),INDEX(설정_코드표!$K$2:$K$101,MATCH(LEFT(TRIM(F268&amp;""),FIND(" ",TRIM(F268&amp;""))-1),설정_코드표!$J$2:$J$101,0))&amp;" "&amp;INDEX(설정_코드표!$G$2:$G$101,MATCH(TRIM(RIGHT(SUBSTITUTE(TRIM(F268&amp;"")," ",REPT(" ",60)),60)),설정_코드표!$F$2:$F$101,0)),"⚠"&amp;TRIM(F268&amp;""))),"⚠"&amp;TRIM(F268&amp;""))</f>
        <v/>
      </c>
      <c r="O268" s="10">
        <f>IFERROR(IF(TRIM(G268&amp;"")="","",IF(AND(ISNUMBER(FIND(" ",TRIM(G268&amp;""))),ISNUMBER(MATCH(LEFT(TRIM(G268&amp;""),FIND(" ",TRIM(G268&amp;""))-1),설정_코드표!$J$2:$J$101,0)),ISNUMBER(MATCH(TRIM(RIGHT(SUBSTITUTE(TRIM(G268&amp;"")," ",REPT(" ",60)),60)),설정_코드표!$F$2:$F$101,0))),INDEX(설정_코드표!$K$2:$K$101,MATCH(LEFT(TRIM(G268&amp;""),FIND(" ",TRIM(G268&amp;""))-1),설정_코드표!$J$2:$J$101,0))&amp;" "&amp;INDEX(설정_코드표!$G$2:$G$101,MATCH(TRIM(RIGHT(SUBSTITUTE(TRIM(G268&amp;"")," ",REPT(" ",60)),60)),설정_코드표!$F$2:$F$101,0)),"⚠"&amp;TRIM(G268&amp;""))),"⚠"&amp;TRIM(G268&amp;""))</f>
        <v/>
      </c>
      <c r="P268" s="10">
        <f>IFERROR(IF(TRIM(H268&amp;"")="","",IF(AND(ISNUMBER(FIND(" ",TRIM(H268&amp;""))),ISNUMBER(MATCH(LEFT(TRIM(H268&amp;""),FIND(" ",TRIM(H268&amp;""))-1),설정_코드표!$J$2:$J$101,0)),ISNUMBER(MATCH(TRIM(RIGHT(SUBSTITUTE(TRIM(H268&amp;"")," ",REPT(" ",60)),60)),설정_코드표!$F$2:$F$101,0))),INDEX(설정_코드표!$K$2:$K$101,MATCH(LEFT(TRIM(H268&amp;""),FIND(" ",TRIM(H268&amp;""))-1),설정_코드표!$J$2:$J$101,0))&amp;" "&amp;INDEX(설정_코드표!$G$2:$G$101,MATCH(TRIM(RIGHT(SUBSTITUTE(TRIM(H268&amp;"")," ",REPT(" ",60)),60)),설정_코드표!$F$2:$F$101,0)),"⚠"&amp;TRIM(H268&amp;""))),"⚠"&amp;TRIM(H268&amp;""))</f>
        <v/>
      </c>
      <c r="Q268" s="10">
        <f>IFERROR(IF(TRIM(I268&amp;"")="","",IF(AND(ISNUMBER(FIND(" ",TRIM(I268&amp;""))),ISNUMBER(MATCH(LEFT(TRIM(I268&amp;""),FIND(" ",TRIM(I268&amp;""))-1),설정_코드표!$J$2:$J$101,0)),ISNUMBER(MATCH(TRIM(RIGHT(SUBSTITUTE(TRIM(I268&amp;"")," ",REPT(" ",60)),60)),설정_코드표!$F$2:$F$101,0))),INDEX(설정_코드표!$K$2:$K$101,MATCH(LEFT(TRIM(I268&amp;""),FIND(" ",TRIM(I268&amp;""))-1),설정_코드표!$J$2:$J$101,0))&amp;" "&amp;INDEX(설정_코드표!$G$2:$G$101,MATCH(TRIM(RIGHT(SUBSTITUTE(TRIM(I268&amp;"")," ",REPT(" ",60)),60)),설정_코드표!$F$2:$F$101,0)),"⚠"&amp;TRIM(I268&amp;""))),"⚠"&amp;TRIM(I268&amp;""))</f>
        <v/>
      </c>
      <c r="R268" s="10">
        <f>IFERROR(IF(TRIM(J268&amp;"")="","",IF(AND(ISNUMBER(FIND(" ",TRIM(J268&amp;""))),ISNUMBER(MATCH(LEFT(TRIM(J268&amp;""),FIND(" ",TRIM(J268&amp;""))-1),설정_코드표!$J$2:$J$101,0)),ISNUMBER(MATCH(TRIM(RIGHT(SUBSTITUTE(TRIM(J268&amp;"")," ",REPT(" ",60)),60)),설정_코드표!$F$2:$F$101,0))),INDEX(설정_코드표!$K$2:$K$101,MATCH(LEFT(TRIM(J268&amp;""),FIND(" ",TRIM(J268&amp;""))-1),설정_코드표!$J$2:$J$101,0))&amp;" "&amp;INDEX(설정_코드표!$G$2:$G$101,MATCH(TRIM(RIGHT(SUBSTITUTE(TRIM(J268&amp;"")," ",REPT(" ",60)),60)),설정_코드표!$F$2:$F$101,0)),"⚠"&amp;TRIM(J268&amp;""))),"⚠"&amp;TRIM(J268&amp;""))</f>
        <v/>
      </c>
      <c r="S268" s="11">
        <f>IF(K268="","",IFERROR(IF(AND(ROUND((VALUE(K268&amp;"")-INT(VALUE(K268&amp;"")))*100,0)&gt;=1,ROUND((VALUE(K268&amp;"")-INT(VALUE(K268&amp;"")))*100,0)&lt;=12,INT(VALUE(K268&amp;""))&gt;=1900),DATE(INT(VALUE(K268&amp;"")),ROUND((VALUE(K268&amp;"")-INT(VALUE(K268&amp;"")))*100,0),1),K268&amp;""),K268&amp;""))</f>
        <v/>
      </c>
      <c r="T268" s="10">
        <f>COUNTIF(M268:R268,"⚠*")</f>
        <v/>
      </c>
    </row>
    <row r="269"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M269" s="10">
        <f>IFERROR(IF(TRIM(E269&amp;"")="","",IF(AND(ISNUMBER(FIND(" ",TRIM(E269&amp;""))),ISNUMBER(MATCH(LEFT(TRIM(E269&amp;""),FIND(" ",TRIM(E269&amp;""))-1),설정_코드표!$J$2:$J$101,0)),ISNUMBER(MATCH(TRIM(RIGHT(SUBSTITUTE(TRIM(E269&amp;"")," ",REPT(" ",60)),60)),설정_코드표!$F$2:$F$101,0))),INDEX(설정_코드표!$K$2:$K$101,MATCH(LEFT(TRIM(E269&amp;""),FIND(" ",TRIM(E269&amp;""))-1),설정_코드표!$J$2:$J$101,0))&amp;" "&amp;INDEX(설정_코드표!$G$2:$G$101,MATCH(TRIM(RIGHT(SUBSTITUTE(TRIM(E269&amp;"")," ",REPT(" ",60)),60)),설정_코드표!$F$2:$F$101,0)),"⚠"&amp;TRIM(E269&amp;""))),"⚠"&amp;TRIM(E269&amp;""))</f>
        <v/>
      </c>
      <c r="N269" s="10">
        <f>IFERROR(IF(TRIM(F269&amp;"")="","",IF(AND(ISNUMBER(FIND(" ",TRIM(F269&amp;""))),ISNUMBER(MATCH(LEFT(TRIM(F269&amp;""),FIND(" ",TRIM(F269&amp;""))-1),설정_코드표!$J$2:$J$101,0)),ISNUMBER(MATCH(TRIM(RIGHT(SUBSTITUTE(TRIM(F269&amp;"")," ",REPT(" ",60)),60)),설정_코드표!$F$2:$F$101,0))),INDEX(설정_코드표!$K$2:$K$101,MATCH(LEFT(TRIM(F269&amp;""),FIND(" ",TRIM(F269&amp;""))-1),설정_코드표!$J$2:$J$101,0))&amp;" "&amp;INDEX(설정_코드표!$G$2:$G$101,MATCH(TRIM(RIGHT(SUBSTITUTE(TRIM(F269&amp;"")," ",REPT(" ",60)),60)),설정_코드표!$F$2:$F$101,0)),"⚠"&amp;TRIM(F269&amp;""))),"⚠"&amp;TRIM(F269&amp;""))</f>
        <v/>
      </c>
      <c r="O269" s="10">
        <f>IFERROR(IF(TRIM(G269&amp;"")="","",IF(AND(ISNUMBER(FIND(" ",TRIM(G269&amp;""))),ISNUMBER(MATCH(LEFT(TRIM(G269&amp;""),FIND(" ",TRIM(G269&amp;""))-1),설정_코드표!$J$2:$J$101,0)),ISNUMBER(MATCH(TRIM(RIGHT(SUBSTITUTE(TRIM(G269&amp;"")," ",REPT(" ",60)),60)),설정_코드표!$F$2:$F$101,0))),INDEX(설정_코드표!$K$2:$K$101,MATCH(LEFT(TRIM(G269&amp;""),FIND(" ",TRIM(G269&amp;""))-1),설정_코드표!$J$2:$J$101,0))&amp;" "&amp;INDEX(설정_코드표!$G$2:$G$101,MATCH(TRIM(RIGHT(SUBSTITUTE(TRIM(G269&amp;"")," ",REPT(" ",60)),60)),설정_코드표!$F$2:$F$101,0)),"⚠"&amp;TRIM(G269&amp;""))),"⚠"&amp;TRIM(G269&amp;""))</f>
        <v/>
      </c>
      <c r="P269" s="10">
        <f>IFERROR(IF(TRIM(H269&amp;"")="","",IF(AND(ISNUMBER(FIND(" ",TRIM(H269&amp;""))),ISNUMBER(MATCH(LEFT(TRIM(H269&amp;""),FIND(" ",TRIM(H269&amp;""))-1),설정_코드표!$J$2:$J$101,0)),ISNUMBER(MATCH(TRIM(RIGHT(SUBSTITUTE(TRIM(H269&amp;"")," ",REPT(" ",60)),60)),설정_코드표!$F$2:$F$101,0))),INDEX(설정_코드표!$K$2:$K$101,MATCH(LEFT(TRIM(H269&amp;""),FIND(" ",TRIM(H269&amp;""))-1),설정_코드표!$J$2:$J$101,0))&amp;" "&amp;INDEX(설정_코드표!$G$2:$G$101,MATCH(TRIM(RIGHT(SUBSTITUTE(TRIM(H269&amp;"")," ",REPT(" ",60)),60)),설정_코드표!$F$2:$F$101,0)),"⚠"&amp;TRIM(H269&amp;""))),"⚠"&amp;TRIM(H269&amp;""))</f>
        <v/>
      </c>
      <c r="Q269" s="10">
        <f>IFERROR(IF(TRIM(I269&amp;"")="","",IF(AND(ISNUMBER(FIND(" ",TRIM(I269&amp;""))),ISNUMBER(MATCH(LEFT(TRIM(I269&amp;""),FIND(" ",TRIM(I269&amp;""))-1),설정_코드표!$J$2:$J$101,0)),ISNUMBER(MATCH(TRIM(RIGHT(SUBSTITUTE(TRIM(I269&amp;"")," ",REPT(" ",60)),60)),설정_코드표!$F$2:$F$101,0))),INDEX(설정_코드표!$K$2:$K$101,MATCH(LEFT(TRIM(I269&amp;""),FIND(" ",TRIM(I269&amp;""))-1),설정_코드표!$J$2:$J$101,0))&amp;" "&amp;INDEX(설정_코드표!$G$2:$G$101,MATCH(TRIM(RIGHT(SUBSTITUTE(TRIM(I269&amp;"")," ",REPT(" ",60)),60)),설정_코드표!$F$2:$F$101,0)),"⚠"&amp;TRIM(I269&amp;""))),"⚠"&amp;TRIM(I269&amp;""))</f>
        <v/>
      </c>
      <c r="R269" s="10">
        <f>IFERROR(IF(TRIM(J269&amp;"")="","",IF(AND(ISNUMBER(FIND(" ",TRIM(J269&amp;""))),ISNUMBER(MATCH(LEFT(TRIM(J269&amp;""),FIND(" ",TRIM(J269&amp;""))-1),설정_코드표!$J$2:$J$101,0)),ISNUMBER(MATCH(TRIM(RIGHT(SUBSTITUTE(TRIM(J269&amp;"")," ",REPT(" ",60)),60)),설정_코드표!$F$2:$F$101,0))),INDEX(설정_코드표!$K$2:$K$101,MATCH(LEFT(TRIM(J269&amp;""),FIND(" ",TRIM(J269&amp;""))-1),설정_코드표!$J$2:$J$101,0))&amp;" "&amp;INDEX(설정_코드표!$G$2:$G$101,MATCH(TRIM(RIGHT(SUBSTITUTE(TRIM(J269&amp;"")," ",REPT(" ",60)),60)),설정_코드표!$F$2:$F$101,0)),"⚠"&amp;TRIM(J269&amp;""))),"⚠"&amp;TRIM(J269&amp;""))</f>
        <v/>
      </c>
      <c r="S269" s="11">
        <f>IF(K269="","",IFERROR(IF(AND(ROUND((VALUE(K269&amp;"")-INT(VALUE(K269&amp;"")))*100,0)&gt;=1,ROUND((VALUE(K269&amp;"")-INT(VALUE(K269&amp;"")))*100,0)&lt;=12,INT(VALUE(K269&amp;""))&gt;=1900),DATE(INT(VALUE(K269&amp;"")),ROUND((VALUE(K269&amp;"")-INT(VALUE(K269&amp;"")))*100,0),1),K269&amp;""),K269&amp;""))</f>
        <v/>
      </c>
      <c r="T269" s="10">
        <f>COUNTIF(M269:R269,"⚠*")</f>
        <v/>
      </c>
    </row>
    <row r="270"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M270" s="10">
        <f>IFERROR(IF(TRIM(E270&amp;"")="","",IF(AND(ISNUMBER(FIND(" ",TRIM(E270&amp;""))),ISNUMBER(MATCH(LEFT(TRIM(E270&amp;""),FIND(" ",TRIM(E270&amp;""))-1),설정_코드표!$J$2:$J$101,0)),ISNUMBER(MATCH(TRIM(RIGHT(SUBSTITUTE(TRIM(E270&amp;"")," ",REPT(" ",60)),60)),설정_코드표!$F$2:$F$101,0))),INDEX(설정_코드표!$K$2:$K$101,MATCH(LEFT(TRIM(E270&amp;""),FIND(" ",TRIM(E270&amp;""))-1),설정_코드표!$J$2:$J$101,0))&amp;" "&amp;INDEX(설정_코드표!$G$2:$G$101,MATCH(TRIM(RIGHT(SUBSTITUTE(TRIM(E270&amp;"")," ",REPT(" ",60)),60)),설정_코드표!$F$2:$F$101,0)),"⚠"&amp;TRIM(E270&amp;""))),"⚠"&amp;TRIM(E270&amp;""))</f>
        <v/>
      </c>
      <c r="N270" s="10">
        <f>IFERROR(IF(TRIM(F270&amp;"")="","",IF(AND(ISNUMBER(FIND(" ",TRIM(F270&amp;""))),ISNUMBER(MATCH(LEFT(TRIM(F270&amp;""),FIND(" ",TRIM(F270&amp;""))-1),설정_코드표!$J$2:$J$101,0)),ISNUMBER(MATCH(TRIM(RIGHT(SUBSTITUTE(TRIM(F270&amp;"")," ",REPT(" ",60)),60)),설정_코드표!$F$2:$F$101,0))),INDEX(설정_코드표!$K$2:$K$101,MATCH(LEFT(TRIM(F270&amp;""),FIND(" ",TRIM(F270&amp;""))-1),설정_코드표!$J$2:$J$101,0))&amp;" "&amp;INDEX(설정_코드표!$G$2:$G$101,MATCH(TRIM(RIGHT(SUBSTITUTE(TRIM(F270&amp;"")," ",REPT(" ",60)),60)),설정_코드표!$F$2:$F$101,0)),"⚠"&amp;TRIM(F270&amp;""))),"⚠"&amp;TRIM(F270&amp;""))</f>
        <v/>
      </c>
      <c r="O270" s="10">
        <f>IFERROR(IF(TRIM(G270&amp;"")="","",IF(AND(ISNUMBER(FIND(" ",TRIM(G270&amp;""))),ISNUMBER(MATCH(LEFT(TRIM(G270&amp;""),FIND(" ",TRIM(G270&amp;""))-1),설정_코드표!$J$2:$J$101,0)),ISNUMBER(MATCH(TRIM(RIGHT(SUBSTITUTE(TRIM(G270&amp;"")," ",REPT(" ",60)),60)),설정_코드표!$F$2:$F$101,0))),INDEX(설정_코드표!$K$2:$K$101,MATCH(LEFT(TRIM(G270&amp;""),FIND(" ",TRIM(G270&amp;""))-1),설정_코드표!$J$2:$J$101,0))&amp;" "&amp;INDEX(설정_코드표!$G$2:$G$101,MATCH(TRIM(RIGHT(SUBSTITUTE(TRIM(G270&amp;"")," ",REPT(" ",60)),60)),설정_코드표!$F$2:$F$101,0)),"⚠"&amp;TRIM(G270&amp;""))),"⚠"&amp;TRIM(G270&amp;""))</f>
        <v/>
      </c>
      <c r="P270" s="10">
        <f>IFERROR(IF(TRIM(H270&amp;"")="","",IF(AND(ISNUMBER(FIND(" ",TRIM(H270&amp;""))),ISNUMBER(MATCH(LEFT(TRIM(H270&amp;""),FIND(" ",TRIM(H270&amp;""))-1),설정_코드표!$J$2:$J$101,0)),ISNUMBER(MATCH(TRIM(RIGHT(SUBSTITUTE(TRIM(H270&amp;"")," ",REPT(" ",60)),60)),설정_코드표!$F$2:$F$101,0))),INDEX(설정_코드표!$K$2:$K$101,MATCH(LEFT(TRIM(H270&amp;""),FIND(" ",TRIM(H270&amp;""))-1),설정_코드표!$J$2:$J$101,0))&amp;" "&amp;INDEX(설정_코드표!$G$2:$G$101,MATCH(TRIM(RIGHT(SUBSTITUTE(TRIM(H270&amp;"")," ",REPT(" ",60)),60)),설정_코드표!$F$2:$F$101,0)),"⚠"&amp;TRIM(H270&amp;""))),"⚠"&amp;TRIM(H270&amp;""))</f>
        <v/>
      </c>
      <c r="Q270" s="10">
        <f>IFERROR(IF(TRIM(I270&amp;"")="","",IF(AND(ISNUMBER(FIND(" ",TRIM(I270&amp;""))),ISNUMBER(MATCH(LEFT(TRIM(I270&amp;""),FIND(" ",TRIM(I270&amp;""))-1),설정_코드표!$J$2:$J$101,0)),ISNUMBER(MATCH(TRIM(RIGHT(SUBSTITUTE(TRIM(I270&amp;"")," ",REPT(" ",60)),60)),설정_코드표!$F$2:$F$101,0))),INDEX(설정_코드표!$K$2:$K$101,MATCH(LEFT(TRIM(I270&amp;""),FIND(" ",TRIM(I270&amp;""))-1),설정_코드표!$J$2:$J$101,0))&amp;" "&amp;INDEX(설정_코드표!$G$2:$G$101,MATCH(TRIM(RIGHT(SUBSTITUTE(TRIM(I270&amp;"")," ",REPT(" ",60)),60)),설정_코드표!$F$2:$F$101,0)),"⚠"&amp;TRIM(I270&amp;""))),"⚠"&amp;TRIM(I270&amp;""))</f>
        <v/>
      </c>
      <c r="R270" s="10">
        <f>IFERROR(IF(TRIM(J270&amp;"")="","",IF(AND(ISNUMBER(FIND(" ",TRIM(J270&amp;""))),ISNUMBER(MATCH(LEFT(TRIM(J270&amp;""),FIND(" ",TRIM(J270&amp;""))-1),설정_코드표!$J$2:$J$101,0)),ISNUMBER(MATCH(TRIM(RIGHT(SUBSTITUTE(TRIM(J270&amp;"")," ",REPT(" ",60)),60)),설정_코드표!$F$2:$F$101,0))),INDEX(설정_코드표!$K$2:$K$101,MATCH(LEFT(TRIM(J270&amp;""),FIND(" ",TRIM(J270&amp;""))-1),설정_코드표!$J$2:$J$101,0))&amp;" "&amp;INDEX(설정_코드표!$G$2:$G$101,MATCH(TRIM(RIGHT(SUBSTITUTE(TRIM(J270&amp;"")," ",REPT(" ",60)),60)),설정_코드표!$F$2:$F$101,0)),"⚠"&amp;TRIM(J270&amp;""))),"⚠"&amp;TRIM(J270&amp;""))</f>
        <v/>
      </c>
      <c r="S270" s="11">
        <f>IF(K270="","",IFERROR(IF(AND(ROUND((VALUE(K270&amp;"")-INT(VALUE(K270&amp;"")))*100,0)&gt;=1,ROUND((VALUE(K270&amp;"")-INT(VALUE(K270&amp;"")))*100,0)&lt;=12,INT(VALUE(K270&amp;""))&gt;=1900),DATE(INT(VALUE(K270&amp;"")),ROUND((VALUE(K270&amp;"")-INT(VALUE(K270&amp;"")))*100,0),1),K270&amp;""),K270&amp;""))</f>
        <v/>
      </c>
      <c r="T270" s="10">
        <f>COUNTIF(M270:R270,"⚠*")</f>
        <v/>
      </c>
    </row>
    <row r="271"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M271" s="10">
        <f>IFERROR(IF(TRIM(E271&amp;"")="","",IF(AND(ISNUMBER(FIND(" ",TRIM(E271&amp;""))),ISNUMBER(MATCH(LEFT(TRIM(E271&amp;""),FIND(" ",TRIM(E271&amp;""))-1),설정_코드표!$J$2:$J$101,0)),ISNUMBER(MATCH(TRIM(RIGHT(SUBSTITUTE(TRIM(E271&amp;"")," ",REPT(" ",60)),60)),설정_코드표!$F$2:$F$101,0))),INDEX(설정_코드표!$K$2:$K$101,MATCH(LEFT(TRIM(E271&amp;""),FIND(" ",TRIM(E271&amp;""))-1),설정_코드표!$J$2:$J$101,0))&amp;" "&amp;INDEX(설정_코드표!$G$2:$G$101,MATCH(TRIM(RIGHT(SUBSTITUTE(TRIM(E271&amp;"")," ",REPT(" ",60)),60)),설정_코드표!$F$2:$F$101,0)),"⚠"&amp;TRIM(E271&amp;""))),"⚠"&amp;TRIM(E271&amp;""))</f>
        <v/>
      </c>
      <c r="N271" s="10">
        <f>IFERROR(IF(TRIM(F271&amp;"")="","",IF(AND(ISNUMBER(FIND(" ",TRIM(F271&amp;""))),ISNUMBER(MATCH(LEFT(TRIM(F271&amp;""),FIND(" ",TRIM(F271&amp;""))-1),설정_코드표!$J$2:$J$101,0)),ISNUMBER(MATCH(TRIM(RIGHT(SUBSTITUTE(TRIM(F271&amp;"")," ",REPT(" ",60)),60)),설정_코드표!$F$2:$F$101,0))),INDEX(설정_코드표!$K$2:$K$101,MATCH(LEFT(TRIM(F271&amp;""),FIND(" ",TRIM(F271&amp;""))-1),설정_코드표!$J$2:$J$101,0))&amp;" "&amp;INDEX(설정_코드표!$G$2:$G$101,MATCH(TRIM(RIGHT(SUBSTITUTE(TRIM(F271&amp;"")," ",REPT(" ",60)),60)),설정_코드표!$F$2:$F$101,0)),"⚠"&amp;TRIM(F271&amp;""))),"⚠"&amp;TRIM(F271&amp;""))</f>
        <v/>
      </c>
      <c r="O271" s="10">
        <f>IFERROR(IF(TRIM(G271&amp;"")="","",IF(AND(ISNUMBER(FIND(" ",TRIM(G271&amp;""))),ISNUMBER(MATCH(LEFT(TRIM(G271&amp;""),FIND(" ",TRIM(G271&amp;""))-1),설정_코드표!$J$2:$J$101,0)),ISNUMBER(MATCH(TRIM(RIGHT(SUBSTITUTE(TRIM(G271&amp;"")," ",REPT(" ",60)),60)),설정_코드표!$F$2:$F$101,0))),INDEX(설정_코드표!$K$2:$K$101,MATCH(LEFT(TRIM(G271&amp;""),FIND(" ",TRIM(G271&amp;""))-1),설정_코드표!$J$2:$J$101,0))&amp;" "&amp;INDEX(설정_코드표!$G$2:$G$101,MATCH(TRIM(RIGHT(SUBSTITUTE(TRIM(G271&amp;"")," ",REPT(" ",60)),60)),설정_코드표!$F$2:$F$101,0)),"⚠"&amp;TRIM(G271&amp;""))),"⚠"&amp;TRIM(G271&amp;""))</f>
        <v/>
      </c>
      <c r="P271" s="10">
        <f>IFERROR(IF(TRIM(H271&amp;"")="","",IF(AND(ISNUMBER(FIND(" ",TRIM(H271&amp;""))),ISNUMBER(MATCH(LEFT(TRIM(H271&amp;""),FIND(" ",TRIM(H271&amp;""))-1),설정_코드표!$J$2:$J$101,0)),ISNUMBER(MATCH(TRIM(RIGHT(SUBSTITUTE(TRIM(H271&amp;"")," ",REPT(" ",60)),60)),설정_코드표!$F$2:$F$101,0))),INDEX(설정_코드표!$K$2:$K$101,MATCH(LEFT(TRIM(H271&amp;""),FIND(" ",TRIM(H271&amp;""))-1),설정_코드표!$J$2:$J$101,0))&amp;" "&amp;INDEX(설정_코드표!$G$2:$G$101,MATCH(TRIM(RIGHT(SUBSTITUTE(TRIM(H271&amp;"")," ",REPT(" ",60)),60)),설정_코드표!$F$2:$F$101,0)),"⚠"&amp;TRIM(H271&amp;""))),"⚠"&amp;TRIM(H271&amp;""))</f>
        <v/>
      </c>
      <c r="Q271" s="10">
        <f>IFERROR(IF(TRIM(I271&amp;"")="","",IF(AND(ISNUMBER(FIND(" ",TRIM(I271&amp;""))),ISNUMBER(MATCH(LEFT(TRIM(I271&amp;""),FIND(" ",TRIM(I271&amp;""))-1),설정_코드표!$J$2:$J$101,0)),ISNUMBER(MATCH(TRIM(RIGHT(SUBSTITUTE(TRIM(I271&amp;"")," ",REPT(" ",60)),60)),설정_코드표!$F$2:$F$101,0))),INDEX(설정_코드표!$K$2:$K$101,MATCH(LEFT(TRIM(I271&amp;""),FIND(" ",TRIM(I271&amp;""))-1),설정_코드표!$J$2:$J$101,0))&amp;" "&amp;INDEX(설정_코드표!$G$2:$G$101,MATCH(TRIM(RIGHT(SUBSTITUTE(TRIM(I271&amp;"")," ",REPT(" ",60)),60)),설정_코드표!$F$2:$F$101,0)),"⚠"&amp;TRIM(I271&amp;""))),"⚠"&amp;TRIM(I271&amp;""))</f>
        <v/>
      </c>
      <c r="R271" s="10">
        <f>IFERROR(IF(TRIM(J271&amp;"")="","",IF(AND(ISNUMBER(FIND(" ",TRIM(J271&amp;""))),ISNUMBER(MATCH(LEFT(TRIM(J271&amp;""),FIND(" ",TRIM(J271&amp;""))-1),설정_코드표!$J$2:$J$101,0)),ISNUMBER(MATCH(TRIM(RIGHT(SUBSTITUTE(TRIM(J271&amp;"")," ",REPT(" ",60)),60)),설정_코드표!$F$2:$F$101,0))),INDEX(설정_코드표!$K$2:$K$101,MATCH(LEFT(TRIM(J271&amp;""),FIND(" ",TRIM(J271&amp;""))-1),설정_코드표!$J$2:$J$101,0))&amp;" "&amp;INDEX(설정_코드표!$G$2:$G$101,MATCH(TRIM(RIGHT(SUBSTITUTE(TRIM(J271&amp;"")," ",REPT(" ",60)),60)),설정_코드표!$F$2:$F$101,0)),"⚠"&amp;TRIM(J271&amp;""))),"⚠"&amp;TRIM(J271&amp;""))</f>
        <v/>
      </c>
      <c r="S271" s="11">
        <f>IF(K271="","",IFERROR(IF(AND(ROUND((VALUE(K271&amp;"")-INT(VALUE(K271&amp;"")))*100,0)&gt;=1,ROUND((VALUE(K271&amp;"")-INT(VALUE(K271&amp;"")))*100,0)&lt;=12,INT(VALUE(K271&amp;""))&gt;=1900),DATE(INT(VALUE(K271&amp;"")),ROUND((VALUE(K271&amp;"")-INT(VALUE(K271&amp;"")))*100,0),1),K271&amp;""),K271&amp;""))</f>
        <v/>
      </c>
      <c r="T271" s="10">
        <f>COUNTIF(M271:R271,"⚠*")</f>
        <v/>
      </c>
    </row>
    <row r="272"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M272" s="10">
        <f>IFERROR(IF(TRIM(E272&amp;"")="","",IF(AND(ISNUMBER(FIND(" ",TRIM(E272&amp;""))),ISNUMBER(MATCH(LEFT(TRIM(E272&amp;""),FIND(" ",TRIM(E272&amp;""))-1),설정_코드표!$J$2:$J$101,0)),ISNUMBER(MATCH(TRIM(RIGHT(SUBSTITUTE(TRIM(E272&amp;"")," ",REPT(" ",60)),60)),설정_코드표!$F$2:$F$101,0))),INDEX(설정_코드표!$K$2:$K$101,MATCH(LEFT(TRIM(E272&amp;""),FIND(" ",TRIM(E272&amp;""))-1),설정_코드표!$J$2:$J$101,0))&amp;" "&amp;INDEX(설정_코드표!$G$2:$G$101,MATCH(TRIM(RIGHT(SUBSTITUTE(TRIM(E272&amp;"")," ",REPT(" ",60)),60)),설정_코드표!$F$2:$F$101,0)),"⚠"&amp;TRIM(E272&amp;""))),"⚠"&amp;TRIM(E272&amp;""))</f>
        <v/>
      </c>
      <c r="N272" s="10">
        <f>IFERROR(IF(TRIM(F272&amp;"")="","",IF(AND(ISNUMBER(FIND(" ",TRIM(F272&amp;""))),ISNUMBER(MATCH(LEFT(TRIM(F272&amp;""),FIND(" ",TRIM(F272&amp;""))-1),설정_코드표!$J$2:$J$101,0)),ISNUMBER(MATCH(TRIM(RIGHT(SUBSTITUTE(TRIM(F272&amp;"")," ",REPT(" ",60)),60)),설정_코드표!$F$2:$F$101,0))),INDEX(설정_코드표!$K$2:$K$101,MATCH(LEFT(TRIM(F272&amp;""),FIND(" ",TRIM(F272&amp;""))-1),설정_코드표!$J$2:$J$101,0))&amp;" "&amp;INDEX(설정_코드표!$G$2:$G$101,MATCH(TRIM(RIGHT(SUBSTITUTE(TRIM(F272&amp;"")," ",REPT(" ",60)),60)),설정_코드표!$F$2:$F$101,0)),"⚠"&amp;TRIM(F272&amp;""))),"⚠"&amp;TRIM(F272&amp;""))</f>
        <v/>
      </c>
      <c r="O272" s="10">
        <f>IFERROR(IF(TRIM(G272&amp;"")="","",IF(AND(ISNUMBER(FIND(" ",TRIM(G272&amp;""))),ISNUMBER(MATCH(LEFT(TRIM(G272&amp;""),FIND(" ",TRIM(G272&amp;""))-1),설정_코드표!$J$2:$J$101,0)),ISNUMBER(MATCH(TRIM(RIGHT(SUBSTITUTE(TRIM(G272&amp;"")," ",REPT(" ",60)),60)),설정_코드표!$F$2:$F$101,0))),INDEX(설정_코드표!$K$2:$K$101,MATCH(LEFT(TRIM(G272&amp;""),FIND(" ",TRIM(G272&amp;""))-1),설정_코드표!$J$2:$J$101,0))&amp;" "&amp;INDEX(설정_코드표!$G$2:$G$101,MATCH(TRIM(RIGHT(SUBSTITUTE(TRIM(G272&amp;"")," ",REPT(" ",60)),60)),설정_코드표!$F$2:$F$101,0)),"⚠"&amp;TRIM(G272&amp;""))),"⚠"&amp;TRIM(G272&amp;""))</f>
        <v/>
      </c>
      <c r="P272" s="10">
        <f>IFERROR(IF(TRIM(H272&amp;"")="","",IF(AND(ISNUMBER(FIND(" ",TRIM(H272&amp;""))),ISNUMBER(MATCH(LEFT(TRIM(H272&amp;""),FIND(" ",TRIM(H272&amp;""))-1),설정_코드표!$J$2:$J$101,0)),ISNUMBER(MATCH(TRIM(RIGHT(SUBSTITUTE(TRIM(H272&amp;"")," ",REPT(" ",60)),60)),설정_코드표!$F$2:$F$101,0))),INDEX(설정_코드표!$K$2:$K$101,MATCH(LEFT(TRIM(H272&amp;""),FIND(" ",TRIM(H272&amp;""))-1),설정_코드표!$J$2:$J$101,0))&amp;" "&amp;INDEX(설정_코드표!$G$2:$G$101,MATCH(TRIM(RIGHT(SUBSTITUTE(TRIM(H272&amp;"")," ",REPT(" ",60)),60)),설정_코드표!$F$2:$F$101,0)),"⚠"&amp;TRIM(H272&amp;""))),"⚠"&amp;TRIM(H272&amp;""))</f>
        <v/>
      </c>
      <c r="Q272" s="10">
        <f>IFERROR(IF(TRIM(I272&amp;"")="","",IF(AND(ISNUMBER(FIND(" ",TRIM(I272&amp;""))),ISNUMBER(MATCH(LEFT(TRIM(I272&amp;""),FIND(" ",TRIM(I272&amp;""))-1),설정_코드표!$J$2:$J$101,0)),ISNUMBER(MATCH(TRIM(RIGHT(SUBSTITUTE(TRIM(I272&amp;"")," ",REPT(" ",60)),60)),설정_코드표!$F$2:$F$101,0))),INDEX(설정_코드표!$K$2:$K$101,MATCH(LEFT(TRIM(I272&amp;""),FIND(" ",TRIM(I272&amp;""))-1),설정_코드표!$J$2:$J$101,0))&amp;" "&amp;INDEX(설정_코드표!$G$2:$G$101,MATCH(TRIM(RIGHT(SUBSTITUTE(TRIM(I272&amp;"")," ",REPT(" ",60)),60)),설정_코드표!$F$2:$F$101,0)),"⚠"&amp;TRIM(I272&amp;""))),"⚠"&amp;TRIM(I272&amp;""))</f>
        <v/>
      </c>
      <c r="R272" s="10">
        <f>IFERROR(IF(TRIM(J272&amp;"")="","",IF(AND(ISNUMBER(FIND(" ",TRIM(J272&amp;""))),ISNUMBER(MATCH(LEFT(TRIM(J272&amp;""),FIND(" ",TRIM(J272&amp;""))-1),설정_코드표!$J$2:$J$101,0)),ISNUMBER(MATCH(TRIM(RIGHT(SUBSTITUTE(TRIM(J272&amp;"")," ",REPT(" ",60)),60)),설정_코드표!$F$2:$F$101,0))),INDEX(설정_코드표!$K$2:$K$101,MATCH(LEFT(TRIM(J272&amp;""),FIND(" ",TRIM(J272&amp;""))-1),설정_코드표!$J$2:$J$101,0))&amp;" "&amp;INDEX(설정_코드표!$G$2:$G$101,MATCH(TRIM(RIGHT(SUBSTITUTE(TRIM(J272&amp;"")," ",REPT(" ",60)),60)),설정_코드표!$F$2:$F$101,0)),"⚠"&amp;TRIM(J272&amp;""))),"⚠"&amp;TRIM(J272&amp;""))</f>
        <v/>
      </c>
      <c r="S272" s="11">
        <f>IF(K272="","",IFERROR(IF(AND(ROUND((VALUE(K272&amp;"")-INT(VALUE(K272&amp;"")))*100,0)&gt;=1,ROUND((VALUE(K272&amp;"")-INT(VALUE(K272&amp;"")))*100,0)&lt;=12,INT(VALUE(K272&amp;""))&gt;=1900),DATE(INT(VALUE(K272&amp;"")),ROUND((VALUE(K272&amp;"")-INT(VALUE(K272&amp;"")))*100,0),1),K272&amp;""),K272&amp;""))</f>
        <v/>
      </c>
      <c r="T272" s="10">
        <f>COUNTIF(M272:R272,"⚠*")</f>
        <v/>
      </c>
    </row>
    <row r="273"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M273" s="10">
        <f>IFERROR(IF(TRIM(E273&amp;"")="","",IF(AND(ISNUMBER(FIND(" ",TRIM(E273&amp;""))),ISNUMBER(MATCH(LEFT(TRIM(E273&amp;""),FIND(" ",TRIM(E273&amp;""))-1),설정_코드표!$J$2:$J$101,0)),ISNUMBER(MATCH(TRIM(RIGHT(SUBSTITUTE(TRIM(E273&amp;"")," ",REPT(" ",60)),60)),설정_코드표!$F$2:$F$101,0))),INDEX(설정_코드표!$K$2:$K$101,MATCH(LEFT(TRIM(E273&amp;""),FIND(" ",TRIM(E273&amp;""))-1),설정_코드표!$J$2:$J$101,0))&amp;" "&amp;INDEX(설정_코드표!$G$2:$G$101,MATCH(TRIM(RIGHT(SUBSTITUTE(TRIM(E273&amp;"")," ",REPT(" ",60)),60)),설정_코드표!$F$2:$F$101,0)),"⚠"&amp;TRIM(E273&amp;""))),"⚠"&amp;TRIM(E273&amp;""))</f>
        <v/>
      </c>
      <c r="N273" s="10">
        <f>IFERROR(IF(TRIM(F273&amp;"")="","",IF(AND(ISNUMBER(FIND(" ",TRIM(F273&amp;""))),ISNUMBER(MATCH(LEFT(TRIM(F273&amp;""),FIND(" ",TRIM(F273&amp;""))-1),설정_코드표!$J$2:$J$101,0)),ISNUMBER(MATCH(TRIM(RIGHT(SUBSTITUTE(TRIM(F273&amp;"")," ",REPT(" ",60)),60)),설정_코드표!$F$2:$F$101,0))),INDEX(설정_코드표!$K$2:$K$101,MATCH(LEFT(TRIM(F273&amp;""),FIND(" ",TRIM(F273&amp;""))-1),설정_코드표!$J$2:$J$101,0))&amp;" "&amp;INDEX(설정_코드표!$G$2:$G$101,MATCH(TRIM(RIGHT(SUBSTITUTE(TRIM(F273&amp;"")," ",REPT(" ",60)),60)),설정_코드표!$F$2:$F$101,0)),"⚠"&amp;TRIM(F273&amp;""))),"⚠"&amp;TRIM(F273&amp;""))</f>
        <v/>
      </c>
      <c r="O273" s="10">
        <f>IFERROR(IF(TRIM(G273&amp;"")="","",IF(AND(ISNUMBER(FIND(" ",TRIM(G273&amp;""))),ISNUMBER(MATCH(LEFT(TRIM(G273&amp;""),FIND(" ",TRIM(G273&amp;""))-1),설정_코드표!$J$2:$J$101,0)),ISNUMBER(MATCH(TRIM(RIGHT(SUBSTITUTE(TRIM(G273&amp;"")," ",REPT(" ",60)),60)),설정_코드표!$F$2:$F$101,0))),INDEX(설정_코드표!$K$2:$K$101,MATCH(LEFT(TRIM(G273&amp;""),FIND(" ",TRIM(G273&amp;""))-1),설정_코드표!$J$2:$J$101,0))&amp;" "&amp;INDEX(설정_코드표!$G$2:$G$101,MATCH(TRIM(RIGHT(SUBSTITUTE(TRIM(G273&amp;"")," ",REPT(" ",60)),60)),설정_코드표!$F$2:$F$101,0)),"⚠"&amp;TRIM(G273&amp;""))),"⚠"&amp;TRIM(G273&amp;""))</f>
        <v/>
      </c>
      <c r="P273" s="10">
        <f>IFERROR(IF(TRIM(H273&amp;"")="","",IF(AND(ISNUMBER(FIND(" ",TRIM(H273&amp;""))),ISNUMBER(MATCH(LEFT(TRIM(H273&amp;""),FIND(" ",TRIM(H273&amp;""))-1),설정_코드표!$J$2:$J$101,0)),ISNUMBER(MATCH(TRIM(RIGHT(SUBSTITUTE(TRIM(H273&amp;"")," ",REPT(" ",60)),60)),설정_코드표!$F$2:$F$101,0))),INDEX(설정_코드표!$K$2:$K$101,MATCH(LEFT(TRIM(H273&amp;""),FIND(" ",TRIM(H273&amp;""))-1),설정_코드표!$J$2:$J$101,0))&amp;" "&amp;INDEX(설정_코드표!$G$2:$G$101,MATCH(TRIM(RIGHT(SUBSTITUTE(TRIM(H273&amp;"")," ",REPT(" ",60)),60)),설정_코드표!$F$2:$F$101,0)),"⚠"&amp;TRIM(H273&amp;""))),"⚠"&amp;TRIM(H273&amp;""))</f>
        <v/>
      </c>
      <c r="Q273" s="10">
        <f>IFERROR(IF(TRIM(I273&amp;"")="","",IF(AND(ISNUMBER(FIND(" ",TRIM(I273&amp;""))),ISNUMBER(MATCH(LEFT(TRIM(I273&amp;""),FIND(" ",TRIM(I273&amp;""))-1),설정_코드표!$J$2:$J$101,0)),ISNUMBER(MATCH(TRIM(RIGHT(SUBSTITUTE(TRIM(I273&amp;"")," ",REPT(" ",60)),60)),설정_코드표!$F$2:$F$101,0))),INDEX(설정_코드표!$K$2:$K$101,MATCH(LEFT(TRIM(I273&amp;""),FIND(" ",TRIM(I273&amp;""))-1),설정_코드표!$J$2:$J$101,0))&amp;" "&amp;INDEX(설정_코드표!$G$2:$G$101,MATCH(TRIM(RIGHT(SUBSTITUTE(TRIM(I273&amp;"")," ",REPT(" ",60)),60)),설정_코드표!$F$2:$F$101,0)),"⚠"&amp;TRIM(I273&amp;""))),"⚠"&amp;TRIM(I273&amp;""))</f>
        <v/>
      </c>
      <c r="R273" s="10">
        <f>IFERROR(IF(TRIM(J273&amp;"")="","",IF(AND(ISNUMBER(FIND(" ",TRIM(J273&amp;""))),ISNUMBER(MATCH(LEFT(TRIM(J273&amp;""),FIND(" ",TRIM(J273&amp;""))-1),설정_코드표!$J$2:$J$101,0)),ISNUMBER(MATCH(TRIM(RIGHT(SUBSTITUTE(TRIM(J273&amp;"")," ",REPT(" ",60)),60)),설정_코드표!$F$2:$F$101,0))),INDEX(설정_코드표!$K$2:$K$101,MATCH(LEFT(TRIM(J273&amp;""),FIND(" ",TRIM(J273&amp;""))-1),설정_코드표!$J$2:$J$101,0))&amp;" "&amp;INDEX(설정_코드표!$G$2:$G$101,MATCH(TRIM(RIGHT(SUBSTITUTE(TRIM(J273&amp;"")," ",REPT(" ",60)),60)),설정_코드표!$F$2:$F$101,0)),"⚠"&amp;TRIM(J273&amp;""))),"⚠"&amp;TRIM(J273&amp;""))</f>
        <v/>
      </c>
      <c r="S273" s="11">
        <f>IF(K273="","",IFERROR(IF(AND(ROUND((VALUE(K273&amp;"")-INT(VALUE(K273&amp;"")))*100,0)&gt;=1,ROUND((VALUE(K273&amp;"")-INT(VALUE(K273&amp;"")))*100,0)&lt;=12,INT(VALUE(K273&amp;""))&gt;=1900),DATE(INT(VALUE(K273&amp;"")),ROUND((VALUE(K273&amp;"")-INT(VALUE(K273&amp;"")))*100,0),1),K273&amp;""),K273&amp;""))</f>
        <v/>
      </c>
      <c r="T273" s="10">
        <f>COUNTIF(M273:R273,"⚠*")</f>
        <v/>
      </c>
    </row>
    <row r="274"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M274" s="10">
        <f>IFERROR(IF(TRIM(E274&amp;"")="","",IF(AND(ISNUMBER(FIND(" ",TRIM(E274&amp;""))),ISNUMBER(MATCH(LEFT(TRIM(E274&amp;""),FIND(" ",TRIM(E274&amp;""))-1),설정_코드표!$J$2:$J$101,0)),ISNUMBER(MATCH(TRIM(RIGHT(SUBSTITUTE(TRIM(E274&amp;"")," ",REPT(" ",60)),60)),설정_코드표!$F$2:$F$101,0))),INDEX(설정_코드표!$K$2:$K$101,MATCH(LEFT(TRIM(E274&amp;""),FIND(" ",TRIM(E274&amp;""))-1),설정_코드표!$J$2:$J$101,0))&amp;" "&amp;INDEX(설정_코드표!$G$2:$G$101,MATCH(TRIM(RIGHT(SUBSTITUTE(TRIM(E274&amp;"")," ",REPT(" ",60)),60)),설정_코드표!$F$2:$F$101,0)),"⚠"&amp;TRIM(E274&amp;""))),"⚠"&amp;TRIM(E274&amp;""))</f>
        <v/>
      </c>
      <c r="N274" s="10">
        <f>IFERROR(IF(TRIM(F274&amp;"")="","",IF(AND(ISNUMBER(FIND(" ",TRIM(F274&amp;""))),ISNUMBER(MATCH(LEFT(TRIM(F274&amp;""),FIND(" ",TRIM(F274&amp;""))-1),설정_코드표!$J$2:$J$101,0)),ISNUMBER(MATCH(TRIM(RIGHT(SUBSTITUTE(TRIM(F274&amp;"")," ",REPT(" ",60)),60)),설정_코드표!$F$2:$F$101,0))),INDEX(설정_코드표!$K$2:$K$101,MATCH(LEFT(TRIM(F274&amp;""),FIND(" ",TRIM(F274&amp;""))-1),설정_코드표!$J$2:$J$101,0))&amp;" "&amp;INDEX(설정_코드표!$G$2:$G$101,MATCH(TRIM(RIGHT(SUBSTITUTE(TRIM(F274&amp;"")," ",REPT(" ",60)),60)),설정_코드표!$F$2:$F$101,0)),"⚠"&amp;TRIM(F274&amp;""))),"⚠"&amp;TRIM(F274&amp;""))</f>
        <v/>
      </c>
      <c r="O274" s="10">
        <f>IFERROR(IF(TRIM(G274&amp;"")="","",IF(AND(ISNUMBER(FIND(" ",TRIM(G274&amp;""))),ISNUMBER(MATCH(LEFT(TRIM(G274&amp;""),FIND(" ",TRIM(G274&amp;""))-1),설정_코드표!$J$2:$J$101,0)),ISNUMBER(MATCH(TRIM(RIGHT(SUBSTITUTE(TRIM(G274&amp;"")," ",REPT(" ",60)),60)),설정_코드표!$F$2:$F$101,0))),INDEX(설정_코드표!$K$2:$K$101,MATCH(LEFT(TRIM(G274&amp;""),FIND(" ",TRIM(G274&amp;""))-1),설정_코드표!$J$2:$J$101,0))&amp;" "&amp;INDEX(설정_코드표!$G$2:$G$101,MATCH(TRIM(RIGHT(SUBSTITUTE(TRIM(G274&amp;"")," ",REPT(" ",60)),60)),설정_코드표!$F$2:$F$101,0)),"⚠"&amp;TRIM(G274&amp;""))),"⚠"&amp;TRIM(G274&amp;""))</f>
        <v/>
      </c>
      <c r="P274" s="10">
        <f>IFERROR(IF(TRIM(H274&amp;"")="","",IF(AND(ISNUMBER(FIND(" ",TRIM(H274&amp;""))),ISNUMBER(MATCH(LEFT(TRIM(H274&amp;""),FIND(" ",TRIM(H274&amp;""))-1),설정_코드표!$J$2:$J$101,0)),ISNUMBER(MATCH(TRIM(RIGHT(SUBSTITUTE(TRIM(H274&amp;"")," ",REPT(" ",60)),60)),설정_코드표!$F$2:$F$101,0))),INDEX(설정_코드표!$K$2:$K$101,MATCH(LEFT(TRIM(H274&amp;""),FIND(" ",TRIM(H274&amp;""))-1),설정_코드표!$J$2:$J$101,0))&amp;" "&amp;INDEX(설정_코드표!$G$2:$G$101,MATCH(TRIM(RIGHT(SUBSTITUTE(TRIM(H274&amp;"")," ",REPT(" ",60)),60)),설정_코드표!$F$2:$F$101,0)),"⚠"&amp;TRIM(H274&amp;""))),"⚠"&amp;TRIM(H274&amp;""))</f>
        <v/>
      </c>
      <c r="Q274" s="10">
        <f>IFERROR(IF(TRIM(I274&amp;"")="","",IF(AND(ISNUMBER(FIND(" ",TRIM(I274&amp;""))),ISNUMBER(MATCH(LEFT(TRIM(I274&amp;""),FIND(" ",TRIM(I274&amp;""))-1),설정_코드표!$J$2:$J$101,0)),ISNUMBER(MATCH(TRIM(RIGHT(SUBSTITUTE(TRIM(I274&amp;"")," ",REPT(" ",60)),60)),설정_코드표!$F$2:$F$101,0))),INDEX(설정_코드표!$K$2:$K$101,MATCH(LEFT(TRIM(I274&amp;""),FIND(" ",TRIM(I274&amp;""))-1),설정_코드표!$J$2:$J$101,0))&amp;" "&amp;INDEX(설정_코드표!$G$2:$G$101,MATCH(TRIM(RIGHT(SUBSTITUTE(TRIM(I274&amp;"")," ",REPT(" ",60)),60)),설정_코드표!$F$2:$F$101,0)),"⚠"&amp;TRIM(I274&amp;""))),"⚠"&amp;TRIM(I274&amp;""))</f>
        <v/>
      </c>
      <c r="R274" s="10">
        <f>IFERROR(IF(TRIM(J274&amp;"")="","",IF(AND(ISNUMBER(FIND(" ",TRIM(J274&amp;""))),ISNUMBER(MATCH(LEFT(TRIM(J274&amp;""),FIND(" ",TRIM(J274&amp;""))-1),설정_코드표!$J$2:$J$101,0)),ISNUMBER(MATCH(TRIM(RIGHT(SUBSTITUTE(TRIM(J274&amp;"")," ",REPT(" ",60)),60)),설정_코드표!$F$2:$F$101,0))),INDEX(설정_코드표!$K$2:$K$101,MATCH(LEFT(TRIM(J274&amp;""),FIND(" ",TRIM(J274&amp;""))-1),설정_코드표!$J$2:$J$101,0))&amp;" "&amp;INDEX(설정_코드표!$G$2:$G$101,MATCH(TRIM(RIGHT(SUBSTITUTE(TRIM(J274&amp;"")," ",REPT(" ",60)),60)),설정_코드표!$F$2:$F$101,0)),"⚠"&amp;TRIM(J274&amp;""))),"⚠"&amp;TRIM(J274&amp;""))</f>
        <v/>
      </c>
      <c r="S274" s="11">
        <f>IF(K274="","",IFERROR(IF(AND(ROUND((VALUE(K274&amp;"")-INT(VALUE(K274&amp;"")))*100,0)&gt;=1,ROUND((VALUE(K274&amp;"")-INT(VALUE(K274&amp;"")))*100,0)&lt;=12,INT(VALUE(K274&amp;""))&gt;=1900),DATE(INT(VALUE(K274&amp;"")),ROUND((VALUE(K274&amp;"")-INT(VALUE(K274&amp;"")))*100,0),1),K274&amp;""),K274&amp;""))</f>
        <v/>
      </c>
      <c r="T274" s="10">
        <f>COUNTIF(M274:R274,"⚠*")</f>
        <v/>
      </c>
    </row>
    <row r="275"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M275" s="10">
        <f>IFERROR(IF(TRIM(E275&amp;"")="","",IF(AND(ISNUMBER(FIND(" ",TRIM(E275&amp;""))),ISNUMBER(MATCH(LEFT(TRIM(E275&amp;""),FIND(" ",TRIM(E275&amp;""))-1),설정_코드표!$J$2:$J$101,0)),ISNUMBER(MATCH(TRIM(RIGHT(SUBSTITUTE(TRIM(E275&amp;"")," ",REPT(" ",60)),60)),설정_코드표!$F$2:$F$101,0))),INDEX(설정_코드표!$K$2:$K$101,MATCH(LEFT(TRIM(E275&amp;""),FIND(" ",TRIM(E275&amp;""))-1),설정_코드표!$J$2:$J$101,0))&amp;" "&amp;INDEX(설정_코드표!$G$2:$G$101,MATCH(TRIM(RIGHT(SUBSTITUTE(TRIM(E275&amp;"")," ",REPT(" ",60)),60)),설정_코드표!$F$2:$F$101,0)),"⚠"&amp;TRIM(E275&amp;""))),"⚠"&amp;TRIM(E275&amp;""))</f>
        <v/>
      </c>
      <c r="N275" s="10">
        <f>IFERROR(IF(TRIM(F275&amp;"")="","",IF(AND(ISNUMBER(FIND(" ",TRIM(F275&amp;""))),ISNUMBER(MATCH(LEFT(TRIM(F275&amp;""),FIND(" ",TRIM(F275&amp;""))-1),설정_코드표!$J$2:$J$101,0)),ISNUMBER(MATCH(TRIM(RIGHT(SUBSTITUTE(TRIM(F275&amp;"")," ",REPT(" ",60)),60)),설정_코드표!$F$2:$F$101,0))),INDEX(설정_코드표!$K$2:$K$101,MATCH(LEFT(TRIM(F275&amp;""),FIND(" ",TRIM(F275&amp;""))-1),설정_코드표!$J$2:$J$101,0))&amp;" "&amp;INDEX(설정_코드표!$G$2:$G$101,MATCH(TRIM(RIGHT(SUBSTITUTE(TRIM(F275&amp;"")," ",REPT(" ",60)),60)),설정_코드표!$F$2:$F$101,0)),"⚠"&amp;TRIM(F275&amp;""))),"⚠"&amp;TRIM(F275&amp;""))</f>
        <v/>
      </c>
      <c r="O275" s="10">
        <f>IFERROR(IF(TRIM(G275&amp;"")="","",IF(AND(ISNUMBER(FIND(" ",TRIM(G275&amp;""))),ISNUMBER(MATCH(LEFT(TRIM(G275&amp;""),FIND(" ",TRIM(G275&amp;""))-1),설정_코드표!$J$2:$J$101,0)),ISNUMBER(MATCH(TRIM(RIGHT(SUBSTITUTE(TRIM(G275&amp;"")," ",REPT(" ",60)),60)),설정_코드표!$F$2:$F$101,0))),INDEX(설정_코드표!$K$2:$K$101,MATCH(LEFT(TRIM(G275&amp;""),FIND(" ",TRIM(G275&amp;""))-1),설정_코드표!$J$2:$J$101,0))&amp;" "&amp;INDEX(설정_코드표!$G$2:$G$101,MATCH(TRIM(RIGHT(SUBSTITUTE(TRIM(G275&amp;"")," ",REPT(" ",60)),60)),설정_코드표!$F$2:$F$101,0)),"⚠"&amp;TRIM(G275&amp;""))),"⚠"&amp;TRIM(G275&amp;""))</f>
        <v/>
      </c>
      <c r="P275" s="10">
        <f>IFERROR(IF(TRIM(H275&amp;"")="","",IF(AND(ISNUMBER(FIND(" ",TRIM(H275&amp;""))),ISNUMBER(MATCH(LEFT(TRIM(H275&amp;""),FIND(" ",TRIM(H275&amp;""))-1),설정_코드표!$J$2:$J$101,0)),ISNUMBER(MATCH(TRIM(RIGHT(SUBSTITUTE(TRIM(H275&amp;"")," ",REPT(" ",60)),60)),설정_코드표!$F$2:$F$101,0))),INDEX(설정_코드표!$K$2:$K$101,MATCH(LEFT(TRIM(H275&amp;""),FIND(" ",TRIM(H275&amp;""))-1),설정_코드표!$J$2:$J$101,0))&amp;" "&amp;INDEX(설정_코드표!$G$2:$G$101,MATCH(TRIM(RIGHT(SUBSTITUTE(TRIM(H275&amp;"")," ",REPT(" ",60)),60)),설정_코드표!$F$2:$F$101,0)),"⚠"&amp;TRIM(H275&amp;""))),"⚠"&amp;TRIM(H275&amp;""))</f>
        <v/>
      </c>
      <c r="Q275" s="10">
        <f>IFERROR(IF(TRIM(I275&amp;"")="","",IF(AND(ISNUMBER(FIND(" ",TRIM(I275&amp;""))),ISNUMBER(MATCH(LEFT(TRIM(I275&amp;""),FIND(" ",TRIM(I275&amp;""))-1),설정_코드표!$J$2:$J$101,0)),ISNUMBER(MATCH(TRIM(RIGHT(SUBSTITUTE(TRIM(I275&amp;"")," ",REPT(" ",60)),60)),설정_코드표!$F$2:$F$101,0))),INDEX(설정_코드표!$K$2:$K$101,MATCH(LEFT(TRIM(I275&amp;""),FIND(" ",TRIM(I275&amp;""))-1),설정_코드표!$J$2:$J$101,0))&amp;" "&amp;INDEX(설정_코드표!$G$2:$G$101,MATCH(TRIM(RIGHT(SUBSTITUTE(TRIM(I275&amp;"")," ",REPT(" ",60)),60)),설정_코드표!$F$2:$F$101,0)),"⚠"&amp;TRIM(I275&amp;""))),"⚠"&amp;TRIM(I275&amp;""))</f>
        <v/>
      </c>
      <c r="R275" s="10">
        <f>IFERROR(IF(TRIM(J275&amp;"")="","",IF(AND(ISNUMBER(FIND(" ",TRIM(J275&amp;""))),ISNUMBER(MATCH(LEFT(TRIM(J275&amp;""),FIND(" ",TRIM(J275&amp;""))-1),설정_코드표!$J$2:$J$101,0)),ISNUMBER(MATCH(TRIM(RIGHT(SUBSTITUTE(TRIM(J275&amp;"")," ",REPT(" ",60)),60)),설정_코드표!$F$2:$F$101,0))),INDEX(설정_코드표!$K$2:$K$101,MATCH(LEFT(TRIM(J275&amp;""),FIND(" ",TRIM(J275&amp;""))-1),설정_코드표!$J$2:$J$101,0))&amp;" "&amp;INDEX(설정_코드표!$G$2:$G$101,MATCH(TRIM(RIGHT(SUBSTITUTE(TRIM(J275&amp;"")," ",REPT(" ",60)),60)),설정_코드표!$F$2:$F$101,0)),"⚠"&amp;TRIM(J275&amp;""))),"⚠"&amp;TRIM(J275&amp;""))</f>
        <v/>
      </c>
      <c r="S275" s="11">
        <f>IF(K275="","",IFERROR(IF(AND(ROUND((VALUE(K275&amp;"")-INT(VALUE(K275&amp;"")))*100,0)&gt;=1,ROUND((VALUE(K275&amp;"")-INT(VALUE(K275&amp;"")))*100,0)&lt;=12,INT(VALUE(K275&amp;""))&gt;=1900),DATE(INT(VALUE(K275&amp;"")),ROUND((VALUE(K275&amp;"")-INT(VALUE(K275&amp;"")))*100,0),1),K275&amp;""),K275&amp;""))</f>
        <v/>
      </c>
      <c r="T275" s="10">
        <f>COUNTIF(M275:R275,"⚠*")</f>
        <v/>
      </c>
    </row>
    <row r="276"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M276" s="10">
        <f>IFERROR(IF(TRIM(E276&amp;"")="","",IF(AND(ISNUMBER(FIND(" ",TRIM(E276&amp;""))),ISNUMBER(MATCH(LEFT(TRIM(E276&amp;""),FIND(" ",TRIM(E276&amp;""))-1),설정_코드표!$J$2:$J$101,0)),ISNUMBER(MATCH(TRIM(RIGHT(SUBSTITUTE(TRIM(E276&amp;"")," ",REPT(" ",60)),60)),설정_코드표!$F$2:$F$101,0))),INDEX(설정_코드표!$K$2:$K$101,MATCH(LEFT(TRIM(E276&amp;""),FIND(" ",TRIM(E276&amp;""))-1),설정_코드표!$J$2:$J$101,0))&amp;" "&amp;INDEX(설정_코드표!$G$2:$G$101,MATCH(TRIM(RIGHT(SUBSTITUTE(TRIM(E276&amp;"")," ",REPT(" ",60)),60)),설정_코드표!$F$2:$F$101,0)),"⚠"&amp;TRIM(E276&amp;""))),"⚠"&amp;TRIM(E276&amp;""))</f>
        <v/>
      </c>
      <c r="N276" s="10">
        <f>IFERROR(IF(TRIM(F276&amp;"")="","",IF(AND(ISNUMBER(FIND(" ",TRIM(F276&amp;""))),ISNUMBER(MATCH(LEFT(TRIM(F276&amp;""),FIND(" ",TRIM(F276&amp;""))-1),설정_코드표!$J$2:$J$101,0)),ISNUMBER(MATCH(TRIM(RIGHT(SUBSTITUTE(TRIM(F276&amp;"")," ",REPT(" ",60)),60)),설정_코드표!$F$2:$F$101,0))),INDEX(설정_코드표!$K$2:$K$101,MATCH(LEFT(TRIM(F276&amp;""),FIND(" ",TRIM(F276&amp;""))-1),설정_코드표!$J$2:$J$101,0))&amp;" "&amp;INDEX(설정_코드표!$G$2:$G$101,MATCH(TRIM(RIGHT(SUBSTITUTE(TRIM(F276&amp;"")," ",REPT(" ",60)),60)),설정_코드표!$F$2:$F$101,0)),"⚠"&amp;TRIM(F276&amp;""))),"⚠"&amp;TRIM(F276&amp;""))</f>
        <v/>
      </c>
      <c r="O276" s="10">
        <f>IFERROR(IF(TRIM(G276&amp;"")="","",IF(AND(ISNUMBER(FIND(" ",TRIM(G276&amp;""))),ISNUMBER(MATCH(LEFT(TRIM(G276&amp;""),FIND(" ",TRIM(G276&amp;""))-1),설정_코드표!$J$2:$J$101,0)),ISNUMBER(MATCH(TRIM(RIGHT(SUBSTITUTE(TRIM(G276&amp;"")," ",REPT(" ",60)),60)),설정_코드표!$F$2:$F$101,0))),INDEX(설정_코드표!$K$2:$K$101,MATCH(LEFT(TRIM(G276&amp;""),FIND(" ",TRIM(G276&amp;""))-1),설정_코드표!$J$2:$J$101,0))&amp;" "&amp;INDEX(설정_코드표!$G$2:$G$101,MATCH(TRIM(RIGHT(SUBSTITUTE(TRIM(G276&amp;"")," ",REPT(" ",60)),60)),설정_코드표!$F$2:$F$101,0)),"⚠"&amp;TRIM(G276&amp;""))),"⚠"&amp;TRIM(G276&amp;""))</f>
        <v/>
      </c>
      <c r="P276" s="10">
        <f>IFERROR(IF(TRIM(H276&amp;"")="","",IF(AND(ISNUMBER(FIND(" ",TRIM(H276&amp;""))),ISNUMBER(MATCH(LEFT(TRIM(H276&amp;""),FIND(" ",TRIM(H276&amp;""))-1),설정_코드표!$J$2:$J$101,0)),ISNUMBER(MATCH(TRIM(RIGHT(SUBSTITUTE(TRIM(H276&amp;"")," ",REPT(" ",60)),60)),설정_코드표!$F$2:$F$101,0))),INDEX(설정_코드표!$K$2:$K$101,MATCH(LEFT(TRIM(H276&amp;""),FIND(" ",TRIM(H276&amp;""))-1),설정_코드표!$J$2:$J$101,0))&amp;" "&amp;INDEX(설정_코드표!$G$2:$G$101,MATCH(TRIM(RIGHT(SUBSTITUTE(TRIM(H276&amp;"")," ",REPT(" ",60)),60)),설정_코드표!$F$2:$F$101,0)),"⚠"&amp;TRIM(H276&amp;""))),"⚠"&amp;TRIM(H276&amp;""))</f>
        <v/>
      </c>
      <c r="Q276" s="10">
        <f>IFERROR(IF(TRIM(I276&amp;"")="","",IF(AND(ISNUMBER(FIND(" ",TRIM(I276&amp;""))),ISNUMBER(MATCH(LEFT(TRIM(I276&amp;""),FIND(" ",TRIM(I276&amp;""))-1),설정_코드표!$J$2:$J$101,0)),ISNUMBER(MATCH(TRIM(RIGHT(SUBSTITUTE(TRIM(I276&amp;"")," ",REPT(" ",60)),60)),설정_코드표!$F$2:$F$101,0))),INDEX(설정_코드표!$K$2:$K$101,MATCH(LEFT(TRIM(I276&amp;""),FIND(" ",TRIM(I276&amp;""))-1),설정_코드표!$J$2:$J$101,0))&amp;" "&amp;INDEX(설정_코드표!$G$2:$G$101,MATCH(TRIM(RIGHT(SUBSTITUTE(TRIM(I276&amp;"")," ",REPT(" ",60)),60)),설정_코드표!$F$2:$F$101,0)),"⚠"&amp;TRIM(I276&amp;""))),"⚠"&amp;TRIM(I276&amp;""))</f>
        <v/>
      </c>
      <c r="R276" s="10">
        <f>IFERROR(IF(TRIM(J276&amp;"")="","",IF(AND(ISNUMBER(FIND(" ",TRIM(J276&amp;""))),ISNUMBER(MATCH(LEFT(TRIM(J276&amp;""),FIND(" ",TRIM(J276&amp;""))-1),설정_코드표!$J$2:$J$101,0)),ISNUMBER(MATCH(TRIM(RIGHT(SUBSTITUTE(TRIM(J276&amp;"")," ",REPT(" ",60)),60)),설정_코드표!$F$2:$F$101,0))),INDEX(설정_코드표!$K$2:$K$101,MATCH(LEFT(TRIM(J276&amp;""),FIND(" ",TRIM(J276&amp;""))-1),설정_코드표!$J$2:$J$101,0))&amp;" "&amp;INDEX(설정_코드표!$G$2:$G$101,MATCH(TRIM(RIGHT(SUBSTITUTE(TRIM(J276&amp;"")," ",REPT(" ",60)),60)),설정_코드표!$F$2:$F$101,0)),"⚠"&amp;TRIM(J276&amp;""))),"⚠"&amp;TRIM(J276&amp;""))</f>
        <v/>
      </c>
      <c r="S276" s="11">
        <f>IF(K276="","",IFERROR(IF(AND(ROUND((VALUE(K276&amp;"")-INT(VALUE(K276&amp;"")))*100,0)&gt;=1,ROUND((VALUE(K276&amp;"")-INT(VALUE(K276&amp;"")))*100,0)&lt;=12,INT(VALUE(K276&amp;""))&gt;=1900),DATE(INT(VALUE(K276&amp;"")),ROUND((VALUE(K276&amp;"")-INT(VALUE(K276&amp;"")))*100,0),1),K276&amp;""),K276&amp;""))</f>
        <v/>
      </c>
      <c r="T276" s="10">
        <f>COUNTIF(M276:R276,"⚠*")</f>
        <v/>
      </c>
    </row>
    <row r="277"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M277" s="10">
        <f>IFERROR(IF(TRIM(E277&amp;"")="","",IF(AND(ISNUMBER(FIND(" ",TRIM(E277&amp;""))),ISNUMBER(MATCH(LEFT(TRIM(E277&amp;""),FIND(" ",TRIM(E277&amp;""))-1),설정_코드표!$J$2:$J$101,0)),ISNUMBER(MATCH(TRIM(RIGHT(SUBSTITUTE(TRIM(E277&amp;"")," ",REPT(" ",60)),60)),설정_코드표!$F$2:$F$101,0))),INDEX(설정_코드표!$K$2:$K$101,MATCH(LEFT(TRIM(E277&amp;""),FIND(" ",TRIM(E277&amp;""))-1),설정_코드표!$J$2:$J$101,0))&amp;" "&amp;INDEX(설정_코드표!$G$2:$G$101,MATCH(TRIM(RIGHT(SUBSTITUTE(TRIM(E277&amp;"")," ",REPT(" ",60)),60)),설정_코드표!$F$2:$F$101,0)),"⚠"&amp;TRIM(E277&amp;""))),"⚠"&amp;TRIM(E277&amp;""))</f>
        <v/>
      </c>
      <c r="N277" s="10">
        <f>IFERROR(IF(TRIM(F277&amp;"")="","",IF(AND(ISNUMBER(FIND(" ",TRIM(F277&amp;""))),ISNUMBER(MATCH(LEFT(TRIM(F277&amp;""),FIND(" ",TRIM(F277&amp;""))-1),설정_코드표!$J$2:$J$101,0)),ISNUMBER(MATCH(TRIM(RIGHT(SUBSTITUTE(TRIM(F277&amp;"")," ",REPT(" ",60)),60)),설정_코드표!$F$2:$F$101,0))),INDEX(설정_코드표!$K$2:$K$101,MATCH(LEFT(TRIM(F277&amp;""),FIND(" ",TRIM(F277&amp;""))-1),설정_코드표!$J$2:$J$101,0))&amp;" "&amp;INDEX(설정_코드표!$G$2:$G$101,MATCH(TRIM(RIGHT(SUBSTITUTE(TRIM(F277&amp;"")," ",REPT(" ",60)),60)),설정_코드표!$F$2:$F$101,0)),"⚠"&amp;TRIM(F277&amp;""))),"⚠"&amp;TRIM(F277&amp;""))</f>
        <v/>
      </c>
      <c r="O277" s="10">
        <f>IFERROR(IF(TRIM(G277&amp;"")="","",IF(AND(ISNUMBER(FIND(" ",TRIM(G277&amp;""))),ISNUMBER(MATCH(LEFT(TRIM(G277&amp;""),FIND(" ",TRIM(G277&amp;""))-1),설정_코드표!$J$2:$J$101,0)),ISNUMBER(MATCH(TRIM(RIGHT(SUBSTITUTE(TRIM(G277&amp;"")," ",REPT(" ",60)),60)),설정_코드표!$F$2:$F$101,0))),INDEX(설정_코드표!$K$2:$K$101,MATCH(LEFT(TRIM(G277&amp;""),FIND(" ",TRIM(G277&amp;""))-1),설정_코드표!$J$2:$J$101,0))&amp;" "&amp;INDEX(설정_코드표!$G$2:$G$101,MATCH(TRIM(RIGHT(SUBSTITUTE(TRIM(G277&amp;"")," ",REPT(" ",60)),60)),설정_코드표!$F$2:$F$101,0)),"⚠"&amp;TRIM(G277&amp;""))),"⚠"&amp;TRIM(G277&amp;""))</f>
        <v/>
      </c>
      <c r="P277" s="10">
        <f>IFERROR(IF(TRIM(H277&amp;"")="","",IF(AND(ISNUMBER(FIND(" ",TRIM(H277&amp;""))),ISNUMBER(MATCH(LEFT(TRIM(H277&amp;""),FIND(" ",TRIM(H277&amp;""))-1),설정_코드표!$J$2:$J$101,0)),ISNUMBER(MATCH(TRIM(RIGHT(SUBSTITUTE(TRIM(H277&amp;"")," ",REPT(" ",60)),60)),설정_코드표!$F$2:$F$101,0))),INDEX(설정_코드표!$K$2:$K$101,MATCH(LEFT(TRIM(H277&amp;""),FIND(" ",TRIM(H277&amp;""))-1),설정_코드표!$J$2:$J$101,0))&amp;" "&amp;INDEX(설정_코드표!$G$2:$G$101,MATCH(TRIM(RIGHT(SUBSTITUTE(TRIM(H277&amp;"")," ",REPT(" ",60)),60)),설정_코드표!$F$2:$F$101,0)),"⚠"&amp;TRIM(H277&amp;""))),"⚠"&amp;TRIM(H277&amp;""))</f>
        <v/>
      </c>
      <c r="Q277" s="10">
        <f>IFERROR(IF(TRIM(I277&amp;"")="","",IF(AND(ISNUMBER(FIND(" ",TRIM(I277&amp;""))),ISNUMBER(MATCH(LEFT(TRIM(I277&amp;""),FIND(" ",TRIM(I277&amp;""))-1),설정_코드표!$J$2:$J$101,0)),ISNUMBER(MATCH(TRIM(RIGHT(SUBSTITUTE(TRIM(I277&amp;"")," ",REPT(" ",60)),60)),설정_코드표!$F$2:$F$101,0))),INDEX(설정_코드표!$K$2:$K$101,MATCH(LEFT(TRIM(I277&amp;""),FIND(" ",TRIM(I277&amp;""))-1),설정_코드표!$J$2:$J$101,0))&amp;" "&amp;INDEX(설정_코드표!$G$2:$G$101,MATCH(TRIM(RIGHT(SUBSTITUTE(TRIM(I277&amp;"")," ",REPT(" ",60)),60)),설정_코드표!$F$2:$F$101,0)),"⚠"&amp;TRIM(I277&amp;""))),"⚠"&amp;TRIM(I277&amp;""))</f>
        <v/>
      </c>
      <c r="R277" s="10">
        <f>IFERROR(IF(TRIM(J277&amp;"")="","",IF(AND(ISNUMBER(FIND(" ",TRIM(J277&amp;""))),ISNUMBER(MATCH(LEFT(TRIM(J277&amp;""),FIND(" ",TRIM(J277&amp;""))-1),설정_코드표!$J$2:$J$101,0)),ISNUMBER(MATCH(TRIM(RIGHT(SUBSTITUTE(TRIM(J277&amp;"")," ",REPT(" ",60)),60)),설정_코드표!$F$2:$F$101,0))),INDEX(설정_코드표!$K$2:$K$101,MATCH(LEFT(TRIM(J277&amp;""),FIND(" ",TRIM(J277&amp;""))-1),설정_코드표!$J$2:$J$101,0))&amp;" "&amp;INDEX(설정_코드표!$G$2:$G$101,MATCH(TRIM(RIGHT(SUBSTITUTE(TRIM(J277&amp;"")," ",REPT(" ",60)),60)),설정_코드표!$F$2:$F$101,0)),"⚠"&amp;TRIM(J277&amp;""))),"⚠"&amp;TRIM(J277&amp;""))</f>
        <v/>
      </c>
      <c r="S277" s="11">
        <f>IF(K277="","",IFERROR(IF(AND(ROUND((VALUE(K277&amp;"")-INT(VALUE(K277&amp;"")))*100,0)&gt;=1,ROUND((VALUE(K277&amp;"")-INT(VALUE(K277&amp;"")))*100,0)&lt;=12,INT(VALUE(K277&amp;""))&gt;=1900),DATE(INT(VALUE(K277&amp;"")),ROUND((VALUE(K277&amp;"")-INT(VALUE(K277&amp;"")))*100,0),1),K277&amp;""),K277&amp;""))</f>
        <v/>
      </c>
      <c r="T277" s="10">
        <f>COUNTIF(M277:R277,"⚠*")</f>
        <v/>
      </c>
    </row>
    <row r="278"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M278" s="10">
        <f>IFERROR(IF(TRIM(E278&amp;"")="","",IF(AND(ISNUMBER(FIND(" ",TRIM(E278&amp;""))),ISNUMBER(MATCH(LEFT(TRIM(E278&amp;""),FIND(" ",TRIM(E278&amp;""))-1),설정_코드표!$J$2:$J$101,0)),ISNUMBER(MATCH(TRIM(RIGHT(SUBSTITUTE(TRIM(E278&amp;"")," ",REPT(" ",60)),60)),설정_코드표!$F$2:$F$101,0))),INDEX(설정_코드표!$K$2:$K$101,MATCH(LEFT(TRIM(E278&amp;""),FIND(" ",TRIM(E278&amp;""))-1),설정_코드표!$J$2:$J$101,0))&amp;" "&amp;INDEX(설정_코드표!$G$2:$G$101,MATCH(TRIM(RIGHT(SUBSTITUTE(TRIM(E278&amp;"")," ",REPT(" ",60)),60)),설정_코드표!$F$2:$F$101,0)),"⚠"&amp;TRIM(E278&amp;""))),"⚠"&amp;TRIM(E278&amp;""))</f>
        <v/>
      </c>
      <c r="N278" s="10">
        <f>IFERROR(IF(TRIM(F278&amp;"")="","",IF(AND(ISNUMBER(FIND(" ",TRIM(F278&amp;""))),ISNUMBER(MATCH(LEFT(TRIM(F278&amp;""),FIND(" ",TRIM(F278&amp;""))-1),설정_코드표!$J$2:$J$101,0)),ISNUMBER(MATCH(TRIM(RIGHT(SUBSTITUTE(TRIM(F278&amp;"")," ",REPT(" ",60)),60)),설정_코드표!$F$2:$F$101,0))),INDEX(설정_코드표!$K$2:$K$101,MATCH(LEFT(TRIM(F278&amp;""),FIND(" ",TRIM(F278&amp;""))-1),설정_코드표!$J$2:$J$101,0))&amp;" "&amp;INDEX(설정_코드표!$G$2:$G$101,MATCH(TRIM(RIGHT(SUBSTITUTE(TRIM(F278&amp;"")," ",REPT(" ",60)),60)),설정_코드표!$F$2:$F$101,0)),"⚠"&amp;TRIM(F278&amp;""))),"⚠"&amp;TRIM(F278&amp;""))</f>
        <v/>
      </c>
      <c r="O278" s="10">
        <f>IFERROR(IF(TRIM(G278&amp;"")="","",IF(AND(ISNUMBER(FIND(" ",TRIM(G278&amp;""))),ISNUMBER(MATCH(LEFT(TRIM(G278&amp;""),FIND(" ",TRIM(G278&amp;""))-1),설정_코드표!$J$2:$J$101,0)),ISNUMBER(MATCH(TRIM(RIGHT(SUBSTITUTE(TRIM(G278&amp;"")," ",REPT(" ",60)),60)),설정_코드표!$F$2:$F$101,0))),INDEX(설정_코드표!$K$2:$K$101,MATCH(LEFT(TRIM(G278&amp;""),FIND(" ",TRIM(G278&amp;""))-1),설정_코드표!$J$2:$J$101,0))&amp;" "&amp;INDEX(설정_코드표!$G$2:$G$101,MATCH(TRIM(RIGHT(SUBSTITUTE(TRIM(G278&amp;"")," ",REPT(" ",60)),60)),설정_코드표!$F$2:$F$101,0)),"⚠"&amp;TRIM(G278&amp;""))),"⚠"&amp;TRIM(G278&amp;""))</f>
        <v/>
      </c>
      <c r="P278" s="10">
        <f>IFERROR(IF(TRIM(H278&amp;"")="","",IF(AND(ISNUMBER(FIND(" ",TRIM(H278&amp;""))),ISNUMBER(MATCH(LEFT(TRIM(H278&amp;""),FIND(" ",TRIM(H278&amp;""))-1),설정_코드표!$J$2:$J$101,0)),ISNUMBER(MATCH(TRIM(RIGHT(SUBSTITUTE(TRIM(H278&amp;"")," ",REPT(" ",60)),60)),설정_코드표!$F$2:$F$101,0))),INDEX(설정_코드표!$K$2:$K$101,MATCH(LEFT(TRIM(H278&amp;""),FIND(" ",TRIM(H278&amp;""))-1),설정_코드표!$J$2:$J$101,0))&amp;" "&amp;INDEX(설정_코드표!$G$2:$G$101,MATCH(TRIM(RIGHT(SUBSTITUTE(TRIM(H278&amp;"")," ",REPT(" ",60)),60)),설정_코드표!$F$2:$F$101,0)),"⚠"&amp;TRIM(H278&amp;""))),"⚠"&amp;TRIM(H278&amp;""))</f>
        <v/>
      </c>
      <c r="Q278" s="10">
        <f>IFERROR(IF(TRIM(I278&amp;"")="","",IF(AND(ISNUMBER(FIND(" ",TRIM(I278&amp;""))),ISNUMBER(MATCH(LEFT(TRIM(I278&amp;""),FIND(" ",TRIM(I278&amp;""))-1),설정_코드표!$J$2:$J$101,0)),ISNUMBER(MATCH(TRIM(RIGHT(SUBSTITUTE(TRIM(I278&amp;"")," ",REPT(" ",60)),60)),설정_코드표!$F$2:$F$101,0))),INDEX(설정_코드표!$K$2:$K$101,MATCH(LEFT(TRIM(I278&amp;""),FIND(" ",TRIM(I278&amp;""))-1),설정_코드표!$J$2:$J$101,0))&amp;" "&amp;INDEX(설정_코드표!$G$2:$G$101,MATCH(TRIM(RIGHT(SUBSTITUTE(TRIM(I278&amp;"")," ",REPT(" ",60)),60)),설정_코드표!$F$2:$F$101,0)),"⚠"&amp;TRIM(I278&amp;""))),"⚠"&amp;TRIM(I278&amp;""))</f>
        <v/>
      </c>
      <c r="R278" s="10">
        <f>IFERROR(IF(TRIM(J278&amp;"")="","",IF(AND(ISNUMBER(FIND(" ",TRIM(J278&amp;""))),ISNUMBER(MATCH(LEFT(TRIM(J278&amp;""),FIND(" ",TRIM(J278&amp;""))-1),설정_코드표!$J$2:$J$101,0)),ISNUMBER(MATCH(TRIM(RIGHT(SUBSTITUTE(TRIM(J278&amp;"")," ",REPT(" ",60)),60)),설정_코드표!$F$2:$F$101,0))),INDEX(설정_코드표!$K$2:$K$101,MATCH(LEFT(TRIM(J278&amp;""),FIND(" ",TRIM(J278&amp;""))-1),설정_코드표!$J$2:$J$101,0))&amp;" "&amp;INDEX(설정_코드표!$G$2:$G$101,MATCH(TRIM(RIGHT(SUBSTITUTE(TRIM(J278&amp;"")," ",REPT(" ",60)),60)),설정_코드표!$F$2:$F$101,0)),"⚠"&amp;TRIM(J278&amp;""))),"⚠"&amp;TRIM(J278&amp;""))</f>
        <v/>
      </c>
      <c r="S278" s="11">
        <f>IF(K278="","",IFERROR(IF(AND(ROUND((VALUE(K278&amp;"")-INT(VALUE(K278&amp;"")))*100,0)&gt;=1,ROUND((VALUE(K278&amp;"")-INT(VALUE(K278&amp;"")))*100,0)&lt;=12,INT(VALUE(K278&amp;""))&gt;=1900),DATE(INT(VALUE(K278&amp;"")),ROUND((VALUE(K278&amp;"")-INT(VALUE(K278&amp;"")))*100,0),1),K278&amp;""),K278&amp;""))</f>
        <v/>
      </c>
      <c r="T278" s="10">
        <f>COUNTIF(M278:R278,"⚠*")</f>
        <v/>
      </c>
    </row>
    <row r="279"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M279" s="10">
        <f>IFERROR(IF(TRIM(E279&amp;"")="","",IF(AND(ISNUMBER(FIND(" ",TRIM(E279&amp;""))),ISNUMBER(MATCH(LEFT(TRIM(E279&amp;""),FIND(" ",TRIM(E279&amp;""))-1),설정_코드표!$J$2:$J$101,0)),ISNUMBER(MATCH(TRIM(RIGHT(SUBSTITUTE(TRIM(E279&amp;"")," ",REPT(" ",60)),60)),설정_코드표!$F$2:$F$101,0))),INDEX(설정_코드표!$K$2:$K$101,MATCH(LEFT(TRIM(E279&amp;""),FIND(" ",TRIM(E279&amp;""))-1),설정_코드표!$J$2:$J$101,0))&amp;" "&amp;INDEX(설정_코드표!$G$2:$G$101,MATCH(TRIM(RIGHT(SUBSTITUTE(TRIM(E279&amp;"")," ",REPT(" ",60)),60)),설정_코드표!$F$2:$F$101,0)),"⚠"&amp;TRIM(E279&amp;""))),"⚠"&amp;TRIM(E279&amp;""))</f>
        <v/>
      </c>
      <c r="N279" s="10">
        <f>IFERROR(IF(TRIM(F279&amp;"")="","",IF(AND(ISNUMBER(FIND(" ",TRIM(F279&amp;""))),ISNUMBER(MATCH(LEFT(TRIM(F279&amp;""),FIND(" ",TRIM(F279&amp;""))-1),설정_코드표!$J$2:$J$101,0)),ISNUMBER(MATCH(TRIM(RIGHT(SUBSTITUTE(TRIM(F279&amp;"")," ",REPT(" ",60)),60)),설정_코드표!$F$2:$F$101,0))),INDEX(설정_코드표!$K$2:$K$101,MATCH(LEFT(TRIM(F279&amp;""),FIND(" ",TRIM(F279&amp;""))-1),설정_코드표!$J$2:$J$101,0))&amp;" "&amp;INDEX(설정_코드표!$G$2:$G$101,MATCH(TRIM(RIGHT(SUBSTITUTE(TRIM(F279&amp;"")," ",REPT(" ",60)),60)),설정_코드표!$F$2:$F$101,0)),"⚠"&amp;TRIM(F279&amp;""))),"⚠"&amp;TRIM(F279&amp;""))</f>
        <v/>
      </c>
      <c r="O279" s="10">
        <f>IFERROR(IF(TRIM(G279&amp;"")="","",IF(AND(ISNUMBER(FIND(" ",TRIM(G279&amp;""))),ISNUMBER(MATCH(LEFT(TRIM(G279&amp;""),FIND(" ",TRIM(G279&amp;""))-1),설정_코드표!$J$2:$J$101,0)),ISNUMBER(MATCH(TRIM(RIGHT(SUBSTITUTE(TRIM(G279&amp;"")," ",REPT(" ",60)),60)),설정_코드표!$F$2:$F$101,0))),INDEX(설정_코드표!$K$2:$K$101,MATCH(LEFT(TRIM(G279&amp;""),FIND(" ",TRIM(G279&amp;""))-1),설정_코드표!$J$2:$J$101,0))&amp;" "&amp;INDEX(설정_코드표!$G$2:$G$101,MATCH(TRIM(RIGHT(SUBSTITUTE(TRIM(G279&amp;"")," ",REPT(" ",60)),60)),설정_코드표!$F$2:$F$101,0)),"⚠"&amp;TRIM(G279&amp;""))),"⚠"&amp;TRIM(G279&amp;""))</f>
        <v/>
      </c>
      <c r="P279" s="10">
        <f>IFERROR(IF(TRIM(H279&amp;"")="","",IF(AND(ISNUMBER(FIND(" ",TRIM(H279&amp;""))),ISNUMBER(MATCH(LEFT(TRIM(H279&amp;""),FIND(" ",TRIM(H279&amp;""))-1),설정_코드표!$J$2:$J$101,0)),ISNUMBER(MATCH(TRIM(RIGHT(SUBSTITUTE(TRIM(H279&amp;"")," ",REPT(" ",60)),60)),설정_코드표!$F$2:$F$101,0))),INDEX(설정_코드표!$K$2:$K$101,MATCH(LEFT(TRIM(H279&amp;""),FIND(" ",TRIM(H279&amp;""))-1),설정_코드표!$J$2:$J$101,0))&amp;" "&amp;INDEX(설정_코드표!$G$2:$G$101,MATCH(TRIM(RIGHT(SUBSTITUTE(TRIM(H279&amp;"")," ",REPT(" ",60)),60)),설정_코드표!$F$2:$F$101,0)),"⚠"&amp;TRIM(H279&amp;""))),"⚠"&amp;TRIM(H279&amp;""))</f>
        <v/>
      </c>
      <c r="Q279" s="10">
        <f>IFERROR(IF(TRIM(I279&amp;"")="","",IF(AND(ISNUMBER(FIND(" ",TRIM(I279&amp;""))),ISNUMBER(MATCH(LEFT(TRIM(I279&amp;""),FIND(" ",TRIM(I279&amp;""))-1),설정_코드표!$J$2:$J$101,0)),ISNUMBER(MATCH(TRIM(RIGHT(SUBSTITUTE(TRIM(I279&amp;"")," ",REPT(" ",60)),60)),설정_코드표!$F$2:$F$101,0))),INDEX(설정_코드표!$K$2:$K$101,MATCH(LEFT(TRIM(I279&amp;""),FIND(" ",TRIM(I279&amp;""))-1),설정_코드표!$J$2:$J$101,0))&amp;" "&amp;INDEX(설정_코드표!$G$2:$G$101,MATCH(TRIM(RIGHT(SUBSTITUTE(TRIM(I279&amp;"")," ",REPT(" ",60)),60)),설정_코드표!$F$2:$F$101,0)),"⚠"&amp;TRIM(I279&amp;""))),"⚠"&amp;TRIM(I279&amp;""))</f>
        <v/>
      </c>
      <c r="R279" s="10">
        <f>IFERROR(IF(TRIM(J279&amp;"")="","",IF(AND(ISNUMBER(FIND(" ",TRIM(J279&amp;""))),ISNUMBER(MATCH(LEFT(TRIM(J279&amp;""),FIND(" ",TRIM(J279&amp;""))-1),설정_코드표!$J$2:$J$101,0)),ISNUMBER(MATCH(TRIM(RIGHT(SUBSTITUTE(TRIM(J279&amp;"")," ",REPT(" ",60)),60)),설정_코드표!$F$2:$F$101,0))),INDEX(설정_코드표!$K$2:$K$101,MATCH(LEFT(TRIM(J279&amp;""),FIND(" ",TRIM(J279&amp;""))-1),설정_코드표!$J$2:$J$101,0))&amp;" "&amp;INDEX(설정_코드표!$G$2:$G$101,MATCH(TRIM(RIGHT(SUBSTITUTE(TRIM(J279&amp;"")," ",REPT(" ",60)),60)),설정_코드표!$F$2:$F$101,0)),"⚠"&amp;TRIM(J279&amp;""))),"⚠"&amp;TRIM(J279&amp;""))</f>
        <v/>
      </c>
      <c r="S279" s="11">
        <f>IF(K279="","",IFERROR(IF(AND(ROUND((VALUE(K279&amp;"")-INT(VALUE(K279&amp;"")))*100,0)&gt;=1,ROUND((VALUE(K279&amp;"")-INT(VALUE(K279&amp;"")))*100,0)&lt;=12,INT(VALUE(K279&amp;""))&gt;=1900),DATE(INT(VALUE(K279&amp;"")),ROUND((VALUE(K279&amp;"")-INT(VALUE(K279&amp;"")))*100,0),1),K279&amp;""),K279&amp;""))</f>
        <v/>
      </c>
      <c r="T279" s="10">
        <f>COUNTIF(M279:R279,"⚠*")</f>
        <v/>
      </c>
    </row>
    <row r="280"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M280" s="10">
        <f>IFERROR(IF(TRIM(E280&amp;"")="","",IF(AND(ISNUMBER(FIND(" ",TRIM(E280&amp;""))),ISNUMBER(MATCH(LEFT(TRIM(E280&amp;""),FIND(" ",TRIM(E280&amp;""))-1),설정_코드표!$J$2:$J$101,0)),ISNUMBER(MATCH(TRIM(RIGHT(SUBSTITUTE(TRIM(E280&amp;"")," ",REPT(" ",60)),60)),설정_코드표!$F$2:$F$101,0))),INDEX(설정_코드표!$K$2:$K$101,MATCH(LEFT(TRIM(E280&amp;""),FIND(" ",TRIM(E280&amp;""))-1),설정_코드표!$J$2:$J$101,0))&amp;" "&amp;INDEX(설정_코드표!$G$2:$G$101,MATCH(TRIM(RIGHT(SUBSTITUTE(TRIM(E280&amp;"")," ",REPT(" ",60)),60)),설정_코드표!$F$2:$F$101,0)),"⚠"&amp;TRIM(E280&amp;""))),"⚠"&amp;TRIM(E280&amp;""))</f>
        <v/>
      </c>
      <c r="N280" s="10">
        <f>IFERROR(IF(TRIM(F280&amp;"")="","",IF(AND(ISNUMBER(FIND(" ",TRIM(F280&amp;""))),ISNUMBER(MATCH(LEFT(TRIM(F280&amp;""),FIND(" ",TRIM(F280&amp;""))-1),설정_코드표!$J$2:$J$101,0)),ISNUMBER(MATCH(TRIM(RIGHT(SUBSTITUTE(TRIM(F280&amp;"")," ",REPT(" ",60)),60)),설정_코드표!$F$2:$F$101,0))),INDEX(설정_코드표!$K$2:$K$101,MATCH(LEFT(TRIM(F280&amp;""),FIND(" ",TRIM(F280&amp;""))-1),설정_코드표!$J$2:$J$101,0))&amp;" "&amp;INDEX(설정_코드표!$G$2:$G$101,MATCH(TRIM(RIGHT(SUBSTITUTE(TRIM(F280&amp;"")," ",REPT(" ",60)),60)),설정_코드표!$F$2:$F$101,0)),"⚠"&amp;TRIM(F280&amp;""))),"⚠"&amp;TRIM(F280&amp;""))</f>
        <v/>
      </c>
      <c r="O280" s="10">
        <f>IFERROR(IF(TRIM(G280&amp;"")="","",IF(AND(ISNUMBER(FIND(" ",TRIM(G280&amp;""))),ISNUMBER(MATCH(LEFT(TRIM(G280&amp;""),FIND(" ",TRIM(G280&amp;""))-1),설정_코드표!$J$2:$J$101,0)),ISNUMBER(MATCH(TRIM(RIGHT(SUBSTITUTE(TRIM(G280&amp;"")," ",REPT(" ",60)),60)),설정_코드표!$F$2:$F$101,0))),INDEX(설정_코드표!$K$2:$K$101,MATCH(LEFT(TRIM(G280&amp;""),FIND(" ",TRIM(G280&amp;""))-1),설정_코드표!$J$2:$J$101,0))&amp;" "&amp;INDEX(설정_코드표!$G$2:$G$101,MATCH(TRIM(RIGHT(SUBSTITUTE(TRIM(G280&amp;"")," ",REPT(" ",60)),60)),설정_코드표!$F$2:$F$101,0)),"⚠"&amp;TRIM(G280&amp;""))),"⚠"&amp;TRIM(G280&amp;""))</f>
        <v/>
      </c>
      <c r="P280" s="10">
        <f>IFERROR(IF(TRIM(H280&amp;"")="","",IF(AND(ISNUMBER(FIND(" ",TRIM(H280&amp;""))),ISNUMBER(MATCH(LEFT(TRIM(H280&amp;""),FIND(" ",TRIM(H280&amp;""))-1),설정_코드표!$J$2:$J$101,0)),ISNUMBER(MATCH(TRIM(RIGHT(SUBSTITUTE(TRIM(H280&amp;"")," ",REPT(" ",60)),60)),설정_코드표!$F$2:$F$101,0))),INDEX(설정_코드표!$K$2:$K$101,MATCH(LEFT(TRIM(H280&amp;""),FIND(" ",TRIM(H280&amp;""))-1),설정_코드표!$J$2:$J$101,0))&amp;" "&amp;INDEX(설정_코드표!$G$2:$G$101,MATCH(TRIM(RIGHT(SUBSTITUTE(TRIM(H280&amp;"")," ",REPT(" ",60)),60)),설정_코드표!$F$2:$F$101,0)),"⚠"&amp;TRIM(H280&amp;""))),"⚠"&amp;TRIM(H280&amp;""))</f>
        <v/>
      </c>
      <c r="Q280" s="10">
        <f>IFERROR(IF(TRIM(I280&amp;"")="","",IF(AND(ISNUMBER(FIND(" ",TRIM(I280&amp;""))),ISNUMBER(MATCH(LEFT(TRIM(I280&amp;""),FIND(" ",TRIM(I280&amp;""))-1),설정_코드표!$J$2:$J$101,0)),ISNUMBER(MATCH(TRIM(RIGHT(SUBSTITUTE(TRIM(I280&amp;"")," ",REPT(" ",60)),60)),설정_코드표!$F$2:$F$101,0))),INDEX(설정_코드표!$K$2:$K$101,MATCH(LEFT(TRIM(I280&amp;""),FIND(" ",TRIM(I280&amp;""))-1),설정_코드표!$J$2:$J$101,0))&amp;" "&amp;INDEX(설정_코드표!$G$2:$G$101,MATCH(TRIM(RIGHT(SUBSTITUTE(TRIM(I280&amp;"")," ",REPT(" ",60)),60)),설정_코드표!$F$2:$F$101,0)),"⚠"&amp;TRIM(I280&amp;""))),"⚠"&amp;TRIM(I280&amp;""))</f>
        <v/>
      </c>
      <c r="R280" s="10">
        <f>IFERROR(IF(TRIM(J280&amp;"")="","",IF(AND(ISNUMBER(FIND(" ",TRIM(J280&amp;""))),ISNUMBER(MATCH(LEFT(TRIM(J280&amp;""),FIND(" ",TRIM(J280&amp;""))-1),설정_코드표!$J$2:$J$101,0)),ISNUMBER(MATCH(TRIM(RIGHT(SUBSTITUTE(TRIM(J280&amp;"")," ",REPT(" ",60)),60)),설정_코드표!$F$2:$F$101,0))),INDEX(설정_코드표!$K$2:$K$101,MATCH(LEFT(TRIM(J280&amp;""),FIND(" ",TRIM(J280&amp;""))-1),설정_코드표!$J$2:$J$101,0))&amp;" "&amp;INDEX(설정_코드표!$G$2:$G$101,MATCH(TRIM(RIGHT(SUBSTITUTE(TRIM(J280&amp;"")," ",REPT(" ",60)),60)),설정_코드표!$F$2:$F$101,0)),"⚠"&amp;TRIM(J280&amp;""))),"⚠"&amp;TRIM(J280&amp;""))</f>
        <v/>
      </c>
      <c r="S280" s="11">
        <f>IF(K280="","",IFERROR(IF(AND(ROUND((VALUE(K280&amp;"")-INT(VALUE(K280&amp;"")))*100,0)&gt;=1,ROUND((VALUE(K280&amp;"")-INT(VALUE(K280&amp;"")))*100,0)&lt;=12,INT(VALUE(K280&amp;""))&gt;=1900),DATE(INT(VALUE(K280&amp;"")),ROUND((VALUE(K280&amp;"")-INT(VALUE(K280&amp;"")))*100,0),1),K280&amp;""),K280&amp;""))</f>
        <v/>
      </c>
      <c r="T280" s="10">
        <f>COUNTIF(M280:R280,"⚠*")</f>
        <v/>
      </c>
    </row>
    <row r="281"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M281" s="10">
        <f>IFERROR(IF(TRIM(E281&amp;"")="","",IF(AND(ISNUMBER(FIND(" ",TRIM(E281&amp;""))),ISNUMBER(MATCH(LEFT(TRIM(E281&amp;""),FIND(" ",TRIM(E281&amp;""))-1),설정_코드표!$J$2:$J$101,0)),ISNUMBER(MATCH(TRIM(RIGHT(SUBSTITUTE(TRIM(E281&amp;"")," ",REPT(" ",60)),60)),설정_코드표!$F$2:$F$101,0))),INDEX(설정_코드표!$K$2:$K$101,MATCH(LEFT(TRIM(E281&amp;""),FIND(" ",TRIM(E281&amp;""))-1),설정_코드표!$J$2:$J$101,0))&amp;" "&amp;INDEX(설정_코드표!$G$2:$G$101,MATCH(TRIM(RIGHT(SUBSTITUTE(TRIM(E281&amp;"")," ",REPT(" ",60)),60)),설정_코드표!$F$2:$F$101,0)),"⚠"&amp;TRIM(E281&amp;""))),"⚠"&amp;TRIM(E281&amp;""))</f>
        <v/>
      </c>
      <c r="N281" s="10">
        <f>IFERROR(IF(TRIM(F281&amp;"")="","",IF(AND(ISNUMBER(FIND(" ",TRIM(F281&amp;""))),ISNUMBER(MATCH(LEFT(TRIM(F281&amp;""),FIND(" ",TRIM(F281&amp;""))-1),설정_코드표!$J$2:$J$101,0)),ISNUMBER(MATCH(TRIM(RIGHT(SUBSTITUTE(TRIM(F281&amp;"")," ",REPT(" ",60)),60)),설정_코드표!$F$2:$F$101,0))),INDEX(설정_코드표!$K$2:$K$101,MATCH(LEFT(TRIM(F281&amp;""),FIND(" ",TRIM(F281&amp;""))-1),설정_코드표!$J$2:$J$101,0))&amp;" "&amp;INDEX(설정_코드표!$G$2:$G$101,MATCH(TRIM(RIGHT(SUBSTITUTE(TRIM(F281&amp;"")," ",REPT(" ",60)),60)),설정_코드표!$F$2:$F$101,0)),"⚠"&amp;TRIM(F281&amp;""))),"⚠"&amp;TRIM(F281&amp;""))</f>
        <v/>
      </c>
      <c r="O281" s="10">
        <f>IFERROR(IF(TRIM(G281&amp;"")="","",IF(AND(ISNUMBER(FIND(" ",TRIM(G281&amp;""))),ISNUMBER(MATCH(LEFT(TRIM(G281&amp;""),FIND(" ",TRIM(G281&amp;""))-1),설정_코드표!$J$2:$J$101,0)),ISNUMBER(MATCH(TRIM(RIGHT(SUBSTITUTE(TRIM(G281&amp;"")," ",REPT(" ",60)),60)),설정_코드표!$F$2:$F$101,0))),INDEX(설정_코드표!$K$2:$K$101,MATCH(LEFT(TRIM(G281&amp;""),FIND(" ",TRIM(G281&amp;""))-1),설정_코드표!$J$2:$J$101,0))&amp;" "&amp;INDEX(설정_코드표!$G$2:$G$101,MATCH(TRIM(RIGHT(SUBSTITUTE(TRIM(G281&amp;"")," ",REPT(" ",60)),60)),설정_코드표!$F$2:$F$101,0)),"⚠"&amp;TRIM(G281&amp;""))),"⚠"&amp;TRIM(G281&amp;""))</f>
        <v/>
      </c>
      <c r="P281" s="10">
        <f>IFERROR(IF(TRIM(H281&amp;"")="","",IF(AND(ISNUMBER(FIND(" ",TRIM(H281&amp;""))),ISNUMBER(MATCH(LEFT(TRIM(H281&amp;""),FIND(" ",TRIM(H281&amp;""))-1),설정_코드표!$J$2:$J$101,0)),ISNUMBER(MATCH(TRIM(RIGHT(SUBSTITUTE(TRIM(H281&amp;"")," ",REPT(" ",60)),60)),설정_코드표!$F$2:$F$101,0))),INDEX(설정_코드표!$K$2:$K$101,MATCH(LEFT(TRIM(H281&amp;""),FIND(" ",TRIM(H281&amp;""))-1),설정_코드표!$J$2:$J$101,0))&amp;" "&amp;INDEX(설정_코드표!$G$2:$G$101,MATCH(TRIM(RIGHT(SUBSTITUTE(TRIM(H281&amp;"")," ",REPT(" ",60)),60)),설정_코드표!$F$2:$F$101,0)),"⚠"&amp;TRIM(H281&amp;""))),"⚠"&amp;TRIM(H281&amp;""))</f>
        <v/>
      </c>
      <c r="Q281" s="10">
        <f>IFERROR(IF(TRIM(I281&amp;"")="","",IF(AND(ISNUMBER(FIND(" ",TRIM(I281&amp;""))),ISNUMBER(MATCH(LEFT(TRIM(I281&amp;""),FIND(" ",TRIM(I281&amp;""))-1),설정_코드표!$J$2:$J$101,0)),ISNUMBER(MATCH(TRIM(RIGHT(SUBSTITUTE(TRIM(I281&amp;"")," ",REPT(" ",60)),60)),설정_코드표!$F$2:$F$101,0))),INDEX(설정_코드표!$K$2:$K$101,MATCH(LEFT(TRIM(I281&amp;""),FIND(" ",TRIM(I281&amp;""))-1),설정_코드표!$J$2:$J$101,0))&amp;" "&amp;INDEX(설정_코드표!$G$2:$G$101,MATCH(TRIM(RIGHT(SUBSTITUTE(TRIM(I281&amp;"")," ",REPT(" ",60)),60)),설정_코드표!$F$2:$F$101,0)),"⚠"&amp;TRIM(I281&amp;""))),"⚠"&amp;TRIM(I281&amp;""))</f>
        <v/>
      </c>
      <c r="R281" s="10">
        <f>IFERROR(IF(TRIM(J281&amp;"")="","",IF(AND(ISNUMBER(FIND(" ",TRIM(J281&amp;""))),ISNUMBER(MATCH(LEFT(TRIM(J281&amp;""),FIND(" ",TRIM(J281&amp;""))-1),설정_코드표!$J$2:$J$101,0)),ISNUMBER(MATCH(TRIM(RIGHT(SUBSTITUTE(TRIM(J281&amp;"")," ",REPT(" ",60)),60)),설정_코드표!$F$2:$F$101,0))),INDEX(설정_코드표!$K$2:$K$101,MATCH(LEFT(TRIM(J281&amp;""),FIND(" ",TRIM(J281&amp;""))-1),설정_코드표!$J$2:$J$101,0))&amp;" "&amp;INDEX(설정_코드표!$G$2:$G$101,MATCH(TRIM(RIGHT(SUBSTITUTE(TRIM(J281&amp;"")," ",REPT(" ",60)),60)),설정_코드표!$F$2:$F$101,0)),"⚠"&amp;TRIM(J281&amp;""))),"⚠"&amp;TRIM(J281&amp;""))</f>
        <v/>
      </c>
      <c r="S281" s="11">
        <f>IF(K281="","",IFERROR(IF(AND(ROUND((VALUE(K281&amp;"")-INT(VALUE(K281&amp;"")))*100,0)&gt;=1,ROUND((VALUE(K281&amp;"")-INT(VALUE(K281&amp;"")))*100,0)&lt;=12,INT(VALUE(K281&amp;""))&gt;=1900),DATE(INT(VALUE(K281&amp;"")),ROUND((VALUE(K281&amp;"")-INT(VALUE(K281&amp;"")))*100,0),1),K281&amp;""),K281&amp;""))</f>
        <v/>
      </c>
      <c r="T281" s="10">
        <f>COUNTIF(M281:R281,"⚠*")</f>
        <v/>
      </c>
    </row>
    <row r="282"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M282" s="10">
        <f>IFERROR(IF(TRIM(E282&amp;"")="","",IF(AND(ISNUMBER(FIND(" ",TRIM(E282&amp;""))),ISNUMBER(MATCH(LEFT(TRIM(E282&amp;""),FIND(" ",TRIM(E282&amp;""))-1),설정_코드표!$J$2:$J$101,0)),ISNUMBER(MATCH(TRIM(RIGHT(SUBSTITUTE(TRIM(E282&amp;"")," ",REPT(" ",60)),60)),설정_코드표!$F$2:$F$101,0))),INDEX(설정_코드표!$K$2:$K$101,MATCH(LEFT(TRIM(E282&amp;""),FIND(" ",TRIM(E282&amp;""))-1),설정_코드표!$J$2:$J$101,0))&amp;" "&amp;INDEX(설정_코드표!$G$2:$G$101,MATCH(TRIM(RIGHT(SUBSTITUTE(TRIM(E282&amp;"")," ",REPT(" ",60)),60)),설정_코드표!$F$2:$F$101,0)),"⚠"&amp;TRIM(E282&amp;""))),"⚠"&amp;TRIM(E282&amp;""))</f>
        <v/>
      </c>
      <c r="N282" s="10">
        <f>IFERROR(IF(TRIM(F282&amp;"")="","",IF(AND(ISNUMBER(FIND(" ",TRIM(F282&amp;""))),ISNUMBER(MATCH(LEFT(TRIM(F282&amp;""),FIND(" ",TRIM(F282&amp;""))-1),설정_코드표!$J$2:$J$101,0)),ISNUMBER(MATCH(TRIM(RIGHT(SUBSTITUTE(TRIM(F282&amp;"")," ",REPT(" ",60)),60)),설정_코드표!$F$2:$F$101,0))),INDEX(설정_코드표!$K$2:$K$101,MATCH(LEFT(TRIM(F282&amp;""),FIND(" ",TRIM(F282&amp;""))-1),설정_코드표!$J$2:$J$101,0))&amp;" "&amp;INDEX(설정_코드표!$G$2:$G$101,MATCH(TRIM(RIGHT(SUBSTITUTE(TRIM(F282&amp;"")," ",REPT(" ",60)),60)),설정_코드표!$F$2:$F$101,0)),"⚠"&amp;TRIM(F282&amp;""))),"⚠"&amp;TRIM(F282&amp;""))</f>
        <v/>
      </c>
      <c r="O282" s="10">
        <f>IFERROR(IF(TRIM(G282&amp;"")="","",IF(AND(ISNUMBER(FIND(" ",TRIM(G282&amp;""))),ISNUMBER(MATCH(LEFT(TRIM(G282&amp;""),FIND(" ",TRIM(G282&amp;""))-1),설정_코드표!$J$2:$J$101,0)),ISNUMBER(MATCH(TRIM(RIGHT(SUBSTITUTE(TRIM(G282&amp;"")," ",REPT(" ",60)),60)),설정_코드표!$F$2:$F$101,0))),INDEX(설정_코드표!$K$2:$K$101,MATCH(LEFT(TRIM(G282&amp;""),FIND(" ",TRIM(G282&amp;""))-1),설정_코드표!$J$2:$J$101,0))&amp;" "&amp;INDEX(설정_코드표!$G$2:$G$101,MATCH(TRIM(RIGHT(SUBSTITUTE(TRIM(G282&amp;"")," ",REPT(" ",60)),60)),설정_코드표!$F$2:$F$101,0)),"⚠"&amp;TRIM(G282&amp;""))),"⚠"&amp;TRIM(G282&amp;""))</f>
        <v/>
      </c>
      <c r="P282" s="10">
        <f>IFERROR(IF(TRIM(H282&amp;"")="","",IF(AND(ISNUMBER(FIND(" ",TRIM(H282&amp;""))),ISNUMBER(MATCH(LEFT(TRIM(H282&amp;""),FIND(" ",TRIM(H282&amp;""))-1),설정_코드표!$J$2:$J$101,0)),ISNUMBER(MATCH(TRIM(RIGHT(SUBSTITUTE(TRIM(H282&amp;"")," ",REPT(" ",60)),60)),설정_코드표!$F$2:$F$101,0))),INDEX(설정_코드표!$K$2:$K$101,MATCH(LEFT(TRIM(H282&amp;""),FIND(" ",TRIM(H282&amp;""))-1),설정_코드표!$J$2:$J$101,0))&amp;" "&amp;INDEX(설정_코드표!$G$2:$G$101,MATCH(TRIM(RIGHT(SUBSTITUTE(TRIM(H282&amp;"")," ",REPT(" ",60)),60)),설정_코드표!$F$2:$F$101,0)),"⚠"&amp;TRIM(H282&amp;""))),"⚠"&amp;TRIM(H282&amp;""))</f>
        <v/>
      </c>
      <c r="Q282" s="10">
        <f>IFERROR(IF(TRIM(I282&amp;"")="","",IF(AND(ISNUMBER(FIND(" ",TRIM(I282&amp;""))),ISNUMBER(MATCH(LEFT(TRIM(I282&amp;""),FIND(" ",TRIM(I282&amp;""))-1),설정_코드표!$J$2:$J$101,0)),ISNUMBER(MATCH(TRIM(RIGHT(SUBSTITUTE(TRIM(I282&amp;"")," ",REPT(" ",60)),60)),설정_코드표!$F$2:$F$101,0))),INDEX(설정_코드표!$K$2:$K$101,MATCH(LEFT(TRIM(I282&amp;""),FIND(" ",TRIM(I282&amp;""))-1),설정_코드표!$J$2:$J$101,0))&amp;" "&amp;INDEX(설정_코드표!$G$2:$G$101,MATCH(TRIM(RIGHT(SUBSTITUTE(TRIM(I282&amp;"")," ",REPT(" ",60)),60)),설정_코드표!$F$2:$F$101,0)),"⚠"&amp;TRIM(I282&amp;""))),"⚠"&amp;TRIM(I282&amp;""))</f>
        <v/>
      </c>
      <c r="R282" s="10">
        <f>IFERROR(IF(TRIM(J282&amp;"")="","",IF(AND(ISNUMBER(FIND(" ",TRIM(J282&amp;""))),ISNUMBER(MATCH(LEFT(TRIM(J282&amp;""),FIND(" ",TRIM(J282&amp;""))-1),설정_코드표!$J$2:$J$101,0)),ISNUMBER(MATCH(TRIM(RIGHT(SUBSTITUTE(TRIM(J282&amp;"")," ",REPT(" ",60)),60)),설정_코드표!$F$2:$F$101,0))),INDEX(설정_코드표!$K$2:$K$101,MATCH(LEFT(TRIM(J282&amp;""),FIND(" ",TRIM(J282&amp;""))-1),설정_코드표!$J$2:$J$101,0))&amp;" "&amp;INDEX(설정_코드표!$G$2:$G$101,MATCH(TRIM(RIGHT(SUBSTITUTE(TRIM(J282&amp;"")," ",REPT(" ",60)),60)),설정_코드표!$F$2:$F$101,0)),"⚠"&amp;TRIM(J282&amp;""))),"⚠"&amp;TRIM(J282&amp;""))</f>
        <v/>
      </c>
      <c r="S282" s="11">
        <f>IF(K282="","",IFERROR(IF(AND(ROUND((VALUE(K282&amp;"")-INT(VALUE(K282&amp;"")))*100,0)&gt;=1,ROUND((VALUE(K282&amp;"")-INT(VALUE(K282&amp;"")))*100,0)&lt;=12,INT(VALUE(K282&amp;""))&gt;=1900),DATE(INT(VALUE(K282&amp;"")),ROUND((VALUE(K282&amp;"")-INT(VALUE(K282&amp;"")))*100,0),1),K282&amp;""),K282&amp;""))</f>
        <v/>
      </c>
      <c r="T282" s="10">
        <f>COUNTIF(M282:R282,"⚠*")</f>
        <v/>
      </c>
    </row>
    <row r="283"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M283" s="10">
        <f>IFERROR(IF(TRIM(E283&amp;"")="","",IF(AND(ISNUMBER(FIND(" ",TRIM(E283&amp;""))),ISNUMBER(MATCH(LEFT(TRIM(E283&amp;""),FIND(" ",TRIM(E283&amp;""))-1),설정_코드표!$J$2:$J$101,0)),ISNUMBER(MATCH(TRIM(RIGHT(SUBSTITUTE(TRIM(E283&amp;"")," ",REPT(" ",60)),60)),설정_코드표!$F$2:$F$101,0))),INDEX(설정_코드표!$K$2:$K$101,MATCH(LEFT(TRIM(E283&amp;""),FIND(" ",TRIM(E283&amp;""))-1),설정_코드표!$J$2:$J$101,0))&amp;" "&amp;INDEX(설정_코드표!$G$2:$G$101,MATCH(TRIM(RIGHT(SUBSTITUTE(TRIM(E283&amp;"")," ",REPT(" ",60)),60)),설정_코드표!$F$2:$F$101,0)),"⚠"&amp;TRIM(E283&amp;""))),"⚠"&amp;TRIM(E283&amp;""))</f>
        <v/>
      </c>
      <c r="N283" s="10">
        <f>IFERROR(IF(TRIM(F283&amp;"")="","",IF(AND(ISNUMBER(FIND(" ",TRIM(F283&amp;""))),ISNUMBER(MATCH(LEFT(TRIM(F283&amp;""),FIND(" ",TRIM(F283&amp;""))-1),설정_코드표!$J$2:$J$101,0)),ISNUMBER(MATCH(TRIM(RIGHT(SUBSTITUTE(TRIM(F283&amp;"")," ",REPT(" ",60)),60)),설정_코드표!$F$2:$F$101,0))),INDEX(설정_코드표!$K$2:$K$101,MATCH(LEFT(TRIM(F283&amp;""),FIND(" ",TRIM(F283&amp;""))-1),설정_코드표!$J$2:$J$101,0))&amp;" "&amp;INDEX(설정_코드표!$G$2:$G$101,MATCH(TRIM(RIGHT(SUBSTITUTE(TRIM(F283&amp;"")," ",REPT(" ",60)),60)),설정_코드표!$F$2:$F$101,0)),"⚠"&amp;TRIM(F283&amp;""))),"⚠"&amp;TRIM(F283&amp;""))</f>
        <v/>
      </c>
      <c r="O283" s="10">
        <f>IFERROR(IF(TRIM(G283&amp;"")="","",IF(AND(ISNUMBER(FIND(" ",TRIM(G283&amp;""))),ISNUMBER(MATCH(LEFT(TRIM(G283&amp;""),FIND(" ",TRIM(G283&amp;""))-1),설정_코드표!$J$2:$J$101,0)),ISNUMBER(MATCH(TRIM(RIGHT(SUBSTITUTE(TRIM(G283&amp;"")," ",REPT(" ",60)),60)),설정_코드표!$F$2:$F$101,0))),INDEX(설정_코드표!$K$2:$K$101,MATCH(LEFT(TRIM(G283&amp;""),FIND(" ",TRIM(G283&amp;""))-1),설정_코드표!$J$2:$J$101,0))&amp;" "&amp;INDEX(설정_코드표!$G$2:$G$101,MATCH(TRIM(RIGHT(SUBSTITUTE(TRIM(G283&amp;"")," ",REPT(" ",60)),60)),설정_코드표!$F$2:$F$101,0)),"⚠"&amp;TRIM(G283&amp;""))),"⚠"&amp;TRIM(G283&amp;""))</f>
        <v/>
      </c>
      <c r="P283" s="10">
        <f>IFERROR(IF(TRIM(H283&amp;"")="","",IF(AND(ISNUMBER(FIND(" ",TRIM(H283&amp;""))),ISNUMBER(MATCH(LEFT(TRIM(H283&amp;""),FIND(" ",TRIM(H283&amp;""))-1),설정_코드표!$J$2:$J$101,0)),ISNUMBER(MATCH(TRIM(RIGHT(SUBSTITUTE(TRIM(H283&amp;"")," ",REPT(" ",60)),60)),설정_코드표!$F$2:$F$101,0))),INDEX(설정_코드표!$K$2:$K$101,MATCH(LEFT(TRIM(H283&amp;""),FIND(" ",TRIM(H283&amp;""))-1),설정_코드표!$J$2:$J$101,0))&amp;" "&amp;INDEX(설정_코드표!$G$2:$G$101,MATCH(TRIM(RIGHT(SUBSTITUTE(TRIM(H283&amp;"")," ",REPT(" ",60)),60)),설정_코드표!$F$2:$F$101,0)),"⚠"&amp;TRIM(H283&amp;""))),"⚠"&amp;TRIM(H283&amp;""))</f>
        <v/>
      </c>
      <c r="Q283" s="10">
        <f>IFERROR(IF(TRIM(I283&amp;"")="","",IF(AND(ISNUMBER(FIND(" ",TRIM(I283&amp;""))),ISNUMBER(MATCH(LEFT(TRIM(I283&amp;""),FIND(" ",TRIM(I283&amp;""))-1),설정_코드표!$J$2:$J$101,0)),ISNUMBER(MATCH(TRIM(RIGHT(SUBSTITUTE(TRIM(I283&amp;"")," ",REPT(" ",60)),60)),설정_코드표!$F$2:$F$101,0))),INDEX(설정_코드표!$K$2:$K$101,MATCH(LEFT(TRIM(I283&amp;""),FIND(" ",TRIM(I283&amp;""))-1),설정_코드표!$J$2:$J$101,0))&amp;" "&amp;INDEX(설정_코드표!$G$2:$G$101,MATCH(TRIM(RIGHT(SUBSTITUTE(TRIM(I283&amp;"")," ",REPT(" ",60)),60)),설정_코드표!$F$2:$F$101,0)),"⚠"&amp;TRIM(I283&amp;""))),"⚠"&amp;TRIM(I283&amp;""))</f>
        <v/>
      </c>
      <c r="R283" s="10">
        <f>IFERROR(IF(TRIM(J283&amp;"")="","",IF(AND(ISNUMBER(FIND(" ",TRIM(J283&amp;""))),ISNUMBER(MATCH(LEFT(TRIM(J283&amp;""),FIND(" ",TRIM(J283&amp;""))-1),설정_코드표!$J$2:$J$101,0)),ISNUMBER(MATCH(TRIM(RIGHT(SUBSTITUTE(TRIM(J283&amp;"")," ",REPT(" ",60)),60)),설정_코드표!$F$2:$F$101,0))),INDEX(설정_코드표!$K$2:$K$101,MATCH(LEFT(TRIM(J283&amp;""),FIND(" ",TRIM(J283&amp;""))-1),설정_코드표!$J$2:$J$101,0))&amp;" "&amp;INDEX(설정_코드표!$G$2:$G$101,MATCH(TRIM(RIGHT(SUBSTITUTE(TRIM(J283&amp;"")," ",REPT(" ",60)),60)),설정_코드표!$F$2:$F$101,0)),"⚠"&amp;TRIM(J283&amp;""))),"⚠"&amp;TRIM(J283&amp;""))</f>
        <v/>
      </c>
      <c r="S283" s="11">
        <f>IF(K283="","",IFERROR(IF(AND(ROUND((VALUE(K283&amp;"")-INT(VALUE(K283&amp;"")))*100,0)&gt;=1,ROUND((VALUE(K283&amp;"")-INT(VALUE(K283&amp;"")))*100,0)&lt;=12,INT(VALUE(K283&amp;""))&gt;=1900),DATE(INT(VALUE(K283&amp;"")),ROUND((VALUE(K283&amp;"")-INT(VALUE(K283&amp;"")))*100,0),1),K283&amp;""),K283&amp;""))</f>
        <v/>
      </c>
      <c r="T283" s="10">
        <f>COUNTIF(M283:R283,"⚠*")</f>
        <v/>
      </c>
    </row>
    <row r="284"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M284" s="10">
        <f>IFERROR(IF(TRIM(E284&amp;"")="","",IF(AND(ISNUMBER(FIND(" ",TRIM(E284&amp;""))),ISNUMBER(MATCH(LEFT(TRIM(E284&amp;""),FIND(" ",TRIM(E284&amp;""))-1),설정_코드표!$J$2:$J$101,0)),ISNUMBER(MATCH(TRIM(RIGHT(SUBSTITUTE(TRIM(E284&amp;"")," ",REPT(" ",60)),60)),설정_코드표!$F$2:$F$101,0))),INDEX(설정_코드표!$K$2:$K$101,MATCH(LEFT(TRIM(E284&amp;""),FIND(" ",TRIM(E284&amp;""))-1),설정_코드표!$J$2:$J$101,0))&amp;" "&amp;INDEX(설정_코드표!$G$2:$G$101,MATCH(TRIM(RIGHT(SUBSTITUTE(TRIM(E284&amp;"")," ",REPT(" ",60)),60)),설정_코드표!$F$2:$F$101,0)),"⚠"&amp;TRIM(E284&amp;""))),"⚠"&amp;TRIM(E284&amp;""))</f>
        <v/>
      </c>
      <c r="N284" s="10">
        <f>IFERROR(IF(TRIM(F284&amp;"")="","",IF(AND(ISNUMBER(FIND(" ",TRIM(F284&amp;""))),ISNUMBER(MATCH(LEFT(TRIM(F284&amp;""),FIND(" ",TRIM(F284&amp;""))-1),설정_코드표!$J$2:$J$101,0)),ISNUMBER(MATCH(TRIM(RIGHT(SUBSTITUTE(TRIM(F284&amp;"")," ",REPT(" ",60)),60)),설정_코드표!$F$2:$F$101,0))),INDEX(설정_코드표!$K$2:$K$101,MATCH(LEFT(TRIM(F284&amp;""),FIND(" ",TRIM(F284&amp;""))-1),설정_코드표!$J$2:$J$101,0))&amp;" "&amp;INDEX(설정_코드표!$G$2:$G$101,MATCH(TRIM(RIGHT(SUBSTITUTE(TRIM(F284&amp;"")," ",REPT(" ",60)),60)),설정_코드표!$F$2:$F$101,0)),"⚠"&amp;TRIM(F284&amp;""))),"⚠"&amp;TRIM(F284&amp;""))</f>
        <v/>
      </c>
      <c r="O284" s="10">
        <f>IFERROR(IF(TRIM(G284&amp;"")="","",IF(AND(ISNUMBER(FIND(" ",TRIM(G284&amp;""))),ISNUMBER(MATCH(LEFT(TRIM(G284&amp;""),FIND(" ",TRIM(G284&amp;""))-1),설정_코드표!$J$2:$J$101,0)),ISNUMBER(MATCH(TRIM(RIGHT(SUBSTITUTE(TRIM(G284&amp;"")," ",REPT(" ",60)),60)),설정_코드표!$F$2:$F$101,0))),INDEX(설정_코드표!$K$2:$K$101,MATCH(LEFT(TRIM(G284&amp;""),FIND(" ",TRIM(G284&amp;""))-1),설정_코드표!$J$2:$J$101,0))&amp;" "&amp;INDEX(설정_코드표!$G$2:$G$101,MATCH(TRIM(RIGHT(SUBSTITUTE(TRIM(G284&amp;"")," ",REPT(" ",60)),60)),설정_코드표!$F$2:$F$101,0)),"⚠"&amp;TRIM(G284&amp;""))),"⚠"&amp;TRIM(G284&amp;""))</f>
        <v/>
      </c>
      <c r="P284" s="10">
        <f>IFERROR(IF(TRIM(H284&amp;"")="","",IF(AND(ISNUMBER(FIND(" ",TRIM(H284&amp;""))),ISNUMBER(MATCH(LEFT(TRIM(H284&amp;""),FIND(" ",TRIM(H284&amp;""))-1),설정_코드표!$J$2:$J$101,0)),ISNUMBER(MATCH(TRIM(RIGHT(SUBSTITUTE(TRIM(H284&amp;"")," ",REPT(" ",60)),60)),설정_코드표!$F$2:$F$101,0))),INDEX(설정_코드표!$K$2:$K$101,MATCH(LEFT(TRIM(H284&amp;""),FIND(" ",TRIM(H284&amp;""))-1),설정_코드표!$J$2:$J$101,0))&amp;" "&amp;INDEX(설정_코드표!$G$2:$G$101,MATCH(TRIM(RIGHT(SUBSTITUTE(TRIM(H284&amp;"")," ",REPT(" ",60)),60)),설정_코드표!$F$2:$F$101,0)),"⚠"&amp;TRIM(H284&amp;""))),"⚠"&amp;TRIM(H284&amp;""))</f>
        <v/>
      </c>
      <c r="Q284" s="10">
        <f>IFERROR(IF(TRIM(I284&amp;"")="","",IF(AND(ISNUMBER(FIND(" ",TRIM(I284&amp;""))),ISNUMBER(MATCH(LEFT(TRIM(I284&amp;""),FIND(" ",TRIM(I284&amp;""))-1),설정_코드표!$J$2:$J$101,0)),ISNUMBER(MATCH(TRIM(RIGHT(SUBSTITUTE(TRIM(I284&amp;"")," ",REPT(" ",60)),60)),설정_코드표!$F$2:$F$101,0))),INDEX(설정_코드표!$K$2:$K$101,MATCH(LEFT(TRIM(I284&amp;""),FIND(" ",TRIM(I284&amp;""))-1),설정_코드표!$J$2:$J$101,0))&amp;" "&amp;INDEX(설정_코드표!$G$2:$G$101,MATCH(TRIM(RIGHT(SUBSTITUTE(TRIM(I284&amp;"")," ",REPT(" ",60)),60)),설정_코드표!$F$2:$F$101,0)),"⚠"&amp;TRIM(I284&amp;""))),"⚠"&amp;TRIM(I284&amp;""))</f>
        <v/>
      </c>
      <c r="R284" s="10">
        <f>IFERROR(IF(TRIM(J284&amp;"")="","",IF(AND(ISNUMBER(FIND(" ",TRIM(J284&amp;""))),ISNUMBER(MATCH(LEFT(TRIM(J284&amp;""),FIND(" ",TRIM(J284&amp;""))-1),설정_코드표!$J$2:$J$101,0)),ISNUMBER(MATCH(TRIM(RIGHT(SUBSTITUTE(TRIM(J284&amp;"")," ",REPT(" ",60)),60)),설정_코드표!$F$2:$F$101,0))),INDEX(설정_코드표!$K$2:$K$101,MATCH(LEFT(TRIM(J284&amp;""),FIND(" ",TRIM(J284&amp;""))-1),설정_코드표!$J$2:$J$101,0))&amp;" "&amp;INDEX(설정_코드표!$G$2:$G$101,MATCH(TRIM(RIGHT(SUBSTITUTE(TRIM(J284&amp;"")," ",REPT(" ",60)),60)),설정_코드표!$F$2:$F$101,0)),"⚠"&amp;TRIM(J284&amp;""))),"⚠"&amp;TRIM(J284&amp;""))</f>
        <v/>
      </c>
      <c r="S284" s="11">
        <f>IF(K284="","",IFERROR(IF(AND(ROUND((VALUE(K284&amp;"")-INT(VALUE(K284&amp;"")))*100,0)&gt;=1,ROUND((VALUE(K284&amp;"")-INT(VALUE(K284&amp;"")))*100,0)&lt;=12,INT(VALUE(K284&amp;""))&gt;=1900),DATE(INT(VALUE(K284&amp;"")),ROUND((VALUE(K284&amp;"")-INT(VALUE(K284&amp;"")))*100,0),1),K284&amp;""),K284&amp;""))</f>
        <v/>
      </c>
      <c r="T284" s="10">
        <f>COUNTIF(M284:R284,"⚠*")</f>
        <v/>
      </c>
    </row>
    <row r="285"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M285" s="10">
        <f>IFERROR(IF(TRIM(E285&amp;"")="","",IF(AND(ISNUMBER(FIND(" ",TRIM(E285&amp;""))),ISNUMBER(MATCH(LEFT(TRIM(E285&amp;""),FIND(" ",TRIM(E285&amp;""))-1),설정_코드표!$J$2:$J$101,0)),ISNUMBER(MATCH(TRIM(RIGHT(SUBSTITUTE(TRIM(E285&amp;"")," ",REPT(" ",60)),60)),설정_코드표!$F$2:$F$101,0))),INDEX(설정_코드표!$K$2:$K$101,MATCH(LEFT(TRIM(E285&amp;""),FIND(" ",TRIM(E285&amp;""))-1),설정_코드표!$J$2:$J$101,0))&amp;" "&amp;INDEX(설정_코드표!$G$2:$G$101,MATCH(TRIM(RIGHT(SUBSTITUTE(TRIM(E285&amp;"")," ",REPT(" ",60)),60)),설정_코드표!$F$2:$F$101,0)),"⚠"&amp;TRIM(E285&amp;""))),"⚠"&amp;TRIM(E285&amp;""))</f>
        <v/>
      </c>
      <c r="N285" s="10">
        <f>IFERROR(IF(TRIM(F285&amp;"")="","",IF(AND(ISNUMBER(FIND(" ",TRIM(F285&amp;""))),ISNUMBER(MATCH(LEFT(TRIM(F285&amp;""),FIND(" ",TRIM(F285&amp;""))-1),설정_코드표!$J$2:$J$101,0)),ISNUMBER(MATCH(TRIM(RIGHT(SUBSTITUTE(TRIM(F285&amp;"")," ",REPT(" ",60)),60)),설정_코드표!$F$2:$F$101,0))),INDEX(설정_코드표!$K$2:$K$101,MATCH(LEFT(TRIM(F285&amp;""),FIND(" ",TRIM(F285&amp;""))-1),설정_코드표!$J$2:$J$101,0))&amp;" "&amp;INDEX(설정_코드표!$G$2:$G$101,MATCH(TRIM(RIGHT(SUBSTITUTE(TRIM(F285&amp;"")," ",REPT(" ",60)),60)),설정_코드표!$F$2:$F$101,0)),"⚠"&amp;TRIM(F285&amp;""))),"⚠"&amp;TRIM(F285&amp;""))</f>
        <v/>
      </c>
      <c r="O285" s="10">
        <f>IFERROR(IF(TRIM(G285&amp;"")="","",IF(AND(ISNUMBER(FIND(" ",TRIM(G285&amp;""))),ISNUMBER(MATCH(LEFT(TRIM(G285&amp;""),FIND(" ",TRIM(G285&amp;""))-1),설정_코드표!$J$2:$J$101,0)),ISNUMBER(MATCH(TRIM(RIGHT(SUBSTITUTE(TRIM(G285&amp;"")," ",REPT(" ",60)),60)),설정_코드표!$F$2:$F$101,0))),INDEX(설정_코드표!$K$2:$K$101,MATCH(LEFT(TRIM(G285&amp;""),FIND(" ",TRIM(G285&amp;""))-1),설정_코드표!$J$2:$J$101,0))&amp;" "&amp;INDEX(설정_코드표!$G$2:$G$101,MATCH(TRIM(RIGHT(SUBSTITUTE(TRIM(G285&amp;"")," ",REPT(" ",60)),60)),설정_코드표!$F$2:$F$101,0)),"⚠"&amp;TRIM(G285&amp;""))),"⚠"&amp;TRIM(G285&amp;""))</f>
        <v/>
      </c>
      <c r="P285" s="10">
        <f>IFERROR(IF(TRIM(H285&amp;"")="","",IF(AND(ISNUMBER(FIND(" ",TRIM(H285&amp;""))),ISNUMBER(MATCH(LEFT(TRIM(H285&amp;""),FIND(" ",TRIM(H285&amp;""))-1),설정_코드표!$J$2:$J$101,0)),ISNUMBER(MATCH(TRIM(RIGHT(SUBSTITUTE(TRIM(H285&amp;"")," ",REPT(" ",60)),60)),설정_코드표!$F$2:$F$101,0))),INDEX(설정_코드표!$K$2:$K$101,MATCH(LEFT(TRIM(H285&amp;""),FIND(" ",TRIM(H285&amp;""))-1),설정_코드표!$J$2:$J$101,0))&amp;" "&amp;INDEX(설정_코드표!$G$2:$G$101,MATCH(TRIM(RIGHT(SUBSTITUTE(TRIM(H285&amp;"")," ",REPT(" ",60)),60)),설정_코드표!$F$2:$F$101,0)),"⚠"&amp;TRIM(H285&amp;""))),"⚠"&amp;TRIM(H285&amp;""))</f>
        <v/>
      </c>
      <c r="Q285" s="10">
        <f>IFERROR(IF(TRIM(I285&amp;"")="","",IF(AND(ISNUMBER(FIND(" ",TRIM(I285&amp;""))),ISNUMBER(MATCH(LEFT(TRIM(I285&amp;""),FIND(" ",TRIM(I285&amp;""))-1),설정_코드표!$J$2:$J$101,0)),ISNUMBER(MATCH(TRIM(RIGHT(SUBSTITUTE(TRIM(I285&amp;"")," ",REPT(" ",60)),60)),설정_코드표!$F$2:$F$101,0))),INDEX(설정_코드표!$K$2:$K$101,MATCH(LEFT(TRIM(I285&amp;""),FIND(" ",TRIM(I285&amp;""))-1),설정_코드표!$J$2:$J$101,0))&amp;" "&amp;INDEX(설정_코드표!$G$2:$G$101,MATCH(TRIM(RIGHT(SUBSTITUTE(TRIM(I285&amp;"")," ",REPT(" ",60)),60)),설정_코드표!$F$2:$F$101,0)),"⚠"&amp;TRIM(I285&amp;""))),"⚠"&amp;TRIM(I285&amp;""))</f>
        <v/>
      </c>
      <c r="R285" s="10">
        <f>IFERROR(IF(TRIM(J285&amp;"")="","",IF(AND(ISNUMBER(FIND(" ",TRIM(J285&amp;""))),ISNUMBER(MATCH(LEFT(TRIM(J285&amp;""),FIND(" ",TRIM(J285&amp;""))-1),설정_코드표!$J$2:$J$101,0)),ISNUMBER(MATCH(TRIM(RIGHT(SUBSTITUTE(TRIM(J285&amp;"")," ",REPT(" ",60)),60)),설정_코드표!$F$2:$F$101,0))),INDEX(설정_코드표!$K$2:$K$101,MATCH(LEFT(TRIM(J285&amp;""),FIND(" ",TRIM(J285&amp;""))-1),설정_코드표!$J$2:$J$101,0))&amp;" "&amp;INDEX(설정_코드표!$G$2:$G$101,MATCH(TRIM(RIGHT(SUBSTITUTE(TRIM(J285&amp;"")," ",REPT(" ",60)),60)),설정_코드표!$F$2:$F$101,0)),"⚠"&amp;TRIM(J285&amp;""))),"⚠"&amp;TRIM(J285&amp;""))</f>
        <v/>
      </c>
      <c r="S285" s="11">
        <f>IF(K285="","",IFERROR(IF(AND(ROUND((VALUE(K285&amp;"")-INT(VALUE(K285&amp;"")))*100,0)&gt;=1,ROUND((VALUE(K285&amp;"")-INT(VALUE(K285&amp;"")))*100,0)&lt;=12,INT(VALUE(K285&amp;""))&gt;=1900),DATE(INT(VALUE(K285&amp;"")),ROUND((VALUE(K285&amp;"")-INT(VALUE(K285&amp;"")))*100,0),1),K285&amp;""),K285&amp;""))</f>
        <v/>
      </c>
      <c r="T285" s="10">
        <f>COUNTIF(M285:R285,"⚠*")</f>
        <v/>
      </c>
    </row>
    <row r="286"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M286" s="10">
        <f>IFERROR(IF(TRIM(E286&amp;"")="","",IF(AND(ISNUMBER(FIND(" ",TRIM(E286&amp;""))),ISNUMBER(MATCH(LEFT(TRIM(E286&amp;""),FIND(" ",TRIM(E286&amp;""))-1),설정_코드표!$J$2:$J$101,0)),ISNUMBER(MATCH(TRIM(RIGHT(SUBSTITUTE(TRIM(E286&amp;"")," ",REPT(" ",60)),60)),설정_코드표!$F$2:$F$101,0))),INDEX(설정_코드표!$K$2:$K$101,MATCH(LEFT(TRIM(E286&amp;""),FIND(" ",TRIM(E286&amp;""))-1),설정_코드표!$J$2:$J$101,0))&amp;" "&amp;INDEX(설정_코드표!$G$2:$G$101,MATCH(TRIM(RIGHT(SUBSTITUTE(TRIM(E286&amp;"")," ",REPT(" ",60)),60)),설정_코드표!$F$2:$F$101,0)),"⚠"&amp;TRIM(E286&amp;""))),"⚠"&amp;TRIM(E286&amp;""))</f>
        <v/>
      </c>
      <c r="N286" s="10">
        <f>IFERROR(IF(TRIM(F286&amp;"")="","",IF(AND(ISNUMBER(FIND(" ",TRIM(F286&amp;""))),ISNUMBER(MATCH(LEFT(TRIM(F286&amp;""),FIND(" ",TRIM(F286&amp;""))-1),설정_코드표!$J$2:$J$101,0)),ISNUMBER(MATCH(TRIM(RIGHT(SUBSTITUTE(TRIM(F286&amp;"")," ",REPT(" ",60)),60)),설정_코드표!$F$2:$F$101,0))),INDEX(설정_코드표!$K$2:$K$101,MATCH(LEFT(TRIM(F286&amp;""),FIND(" ",TRIM(F286&amp;""))-1),설정_코드표!$J$2:$J$101,0))&amp;" "&amp;INDEX(설정_코드표!$G$2:$G$101,MATCH(TRIM(RIGHT(SUBSTITUTE(TRIM(F286&amp;"")," ",REPT(" ",60)),60)),설정_코드표!$F$2:$F$101,0)),"⚠"&amp;TRIM(F286&amp;""))),"⚠"&amp;TRIM(F286&amp;""))</f>
        <v/>
      </c>
      <c r="O286" s="10">
        <f>IFERROR(IF(TRIM(G286&amp;"")="","",IF(AND(ISNUMBER(FIND(" ",TRIM(G286&amp;""))),ISNUMBER(MATCH(LEFT(TRIM(G286&amp;""),FIND(" ",TRIM(G286&amp;""))-1),설정_코드표!$J$2:$J$101,0)),ISNUMBER(MATCH(TRIM(RIGHT(SUBSTITUTE(TRIM(G286&amp;"")," ",REPT(" ",60)),60)),설정_코드표!$F$2:$F$101,0))),INDEX(설정_코드표!$K$2:$K$101,MATCH(LEFT(TRIM(G286&amp;""),FIND(" ",TRIM(G286&amp;""))-1),설정_코드표!$J$2:$J$101,0))&amp;" "&amp;INDEX(설정_코드표!$G$2:$G$101,MATCH(TRIM(RIGHT(SUBSTITUTE(TRIM(G286&amp;"")," ",REPT(" ",60)),60)),설정_코드표!$F$2:$F$101,0)),"⚠"&amp;TRIM(G286&amp;""))),"⚠"&amp;TRIM(G286&amp;""))</f>
        <v/>
      </c>
      <c r="P286" s="10">
        <f>IFERROR(IF(TRIM(H286&amp;"")="","",IF(AND(ISNUMBER(FIND(" ",TRIM(H286&amp;""))),ISNUMBER(MATCH(LEFT(TRIM(H286&amp;""),FIND(" ",TRIM(H286&amp;""))-1),설정_코드표!$J$2:$J$101,0)),ISNUMBER(MATCH(TRIM(RIGHT(SUBSTITUTE(TRIM(H286&amp;"")," ",REPT(" ",60)),60)),설정_코드표!$F$2:$F$101,0))),INDEX(설정_코드표!$K$2:$K$101,MATCH(LEFT(TRIM(H286&amp;""),FIND(" ",TRIM(H286&amp;""))-1),설정_코드표!$J$2:$J$101,0))&amp;" "&amp;INDEX(설정_코드표!$G$2:$G$101,MATCH(TRIM(RIGHT(SUBSTITUTE(TRIM(H286&amp;"")," ",REPT(" ",60)),60)),설정_코드표!$F$2:$F$101,0)),"⚠"&amp;TRIM(H286&amp;""))),"⚠"&amp;TRIM(H286&amp;""))</f>
        <v/>
      </c>
      <c r="Q286" s="10">
        <f>IFERROR(IF(TRIM(I286&amp;"")="","",IF(AND(ISNUMBER(FIND(" ",TRIM(I286&amp;""))),ISNUMBER(MATCH(LEFT(TRIM(I286&amp;""),FIND(" ",TRIM(I286&amp;""))-1),설정_코드표!$J$2:$J$101,0)),ISNUMBER(MATCH(TRIM(RIGHT(SUBSTITUTE(TRIM(I286&amp;"")," ",REPT(" ",60)),60)),설정_코드표!$F$2:$F$101,0))),INDEX(설정_코드표!$K$2:$K$101,MATCH(LEFT(TRIM(I286&amp;""),FIND(" ",TRIM(I286&amp;""))-1),설정_코드표!$J$2:$J$101,0))&amp;" "&amp;INDEX(설정_코드표!$G$2:$G$101,MATCH(TRIM(RIGHT(SUBSTITUTE(TRIM(I286&amp;"")," ",REPT(" ",60)),60)),설정_코드표!$F$2:$F$101,0)),"⚠"&amp;TRIM(I286&amp;""))),"⚠"&amp;TRIM(I286&amp;""))</f>
        <v/>
      </c>
      <c r="R286" s="10">
        <f>IFERROR(IF(TRIM(J286&amp;"")="","",IF(AND(ISNUMBER(FIND(" ",TRIM(J286&amp;""))),ISNUMBER(MATCH(LEFT(TRIM(J286&amp;""),FIND(" ",TRIM(J286&amp;""))-1),설정_코드표!$J$2:$J$101,0)),ISNUMBER(MATCH(TRIM(RIGHT(SUBSTITUTE(TRIM(J286&amp;"")," ",REPT(" ",60)),60)),설정_코드표!$F$2:$F$101,0))),INDEX(설정_코드표!$K$2:$K$101,MATCH(LEFT(TRIM(J286&amp;""),FIND(" ",TRIM(J286&amp;""))-1),설정_코드표!$J$2:$J$101,0))&amp;" "&amp;INDEX(설정_코드표!$G$2:$G$101,MATCH(TRIM(RIGHT(SUBSTITUTE(TRIM(J286&amp;"")," ",REPT(" ",60)),60)),설정_코드표!$F$2:$F$101,0)),"⚠"&amp;TRIM(J286&amp;""))),"⚠"&amp;TRIM(J286&amp;""))</f>
        <v/>
      </c>
      <c r="S286" s="11">
        <f>IF(K286="","",IFERROR(IF(AND(ROUND((VALUE(K286&amp;"")-INT(VALUE(K286&amp;"")))*100,0)&gt;=1,ROUND((VALUE(K286&amp;"")-INT(VALUE(K286&amp;"")))*100,0)&lt;=12,INT(VALUE(K286&amp;""))&gt;=1900),DATE(INT(VALUE(K286&amp;"")),ROUND((VALUE(K286&amp;"")-INT(VALUE(K286&amp;"")))*100,0),1),K286&amp;""),K286&amp;""))</f>
        <v/>
      </c>
      <c r="T286" s="10">
        <f>COUNTIF(M286:R286,"⚠*")</f>
        <v/>
      </c>
    </row>
    <row r="287"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M287" s="10">
        <f>IFERROR(IF(TRIM(E287&amp;"")="","",IF(AND(ISNUMBER(FIND(" ",TRIM(E287&amp;""))),ISNUMBER(MATCH(LEFT(TRIM(E287&amp;""),FIND(" ",TRIM(E287&amp;""))-1),설정_코드표!$J$2:$J$101,0)),ISNUMBER(MATCH(TRIM(RIGHT(SUBSTITUTE(TRIM(E287&amp;"")," ",REPT(" ",60)),60)),설정_코드표!$F$2:$F$101,0))),INDEX(설정_코드표!$K$2:$K$101,MATCH(LEFT(TRIM(E287&amp;""),FIND(" ",TRIM(E287&amp;""))-1),설정_코드표!$J$2:$J$101,0))&amp;" "&amp;INDEX(설정_코드표!$G$2:$G$101,MATCH(TRIM(RIGHT(SUBSTITUTE(TRIM(E287&amp;"")," ",REPT(" ",60)),60)),설정_코드표!$F$2:$F$101,0)),"⚠"&amp;TRIM(E287&amp;""))),"⚠"&amp;TRIM(E287&amp;""))</f>
        <v/>
      </c>
      <c r="N287" s="10">
        <f>IFERROR(IF(TRIM(F287&amp;"")="","",IF(AND(ISNUMBER(FIND(" ",TRIM(F287&amp;""))),ISNUMBER(MATCH(LEFT(TRIM(F287&amp;""),FIND(" ",TRIM(F287&amp;""))-1),설정_코드표!$J$2:$J$101,0)),ISNUMBER(MATCH(TRIM(RIGHT(SUBSTITUTE(TRIM(F287&amp;"")," ",REPT(" ",60)),60)),설정_코드표!$F$2:$F$101,0))),INDEX(설정_코드표!$K$2:$K$101,MATCH(LEFT(TRIM(F287&amp;""),FIND(" ",TRIM(F287&amp;""))-1),설정_코드표!$J$2:$J$101,0))&amp;" "&amp;INDEX(설정_코드표!$G$2:$G$101,MATCH(TRIM(RIGHT(SUBSTITUTE(TRIM(F287&amp;"")," ",REPT(" ",60)),60)),설정_코드표!$F$2:$F$101,0)),"⚠"&amp;TRIM(F287&amp;""))),"⚠"&amp;TRIM(F287&amp;""))</f>
        <v/>
      </c>
      <c r="O287" s="10">
        <f>IFERROR(IF(TRIM(G287&amp;"")="","",IF(AND(ISNUMBER(FIND(" ",TRIM(G287&amp;""))),ISNUMBER(MATCH(LEFT(TRIM(G287&amp;""),FIND(" ",TRIM(G287&amp;""))-1),설정_코드표!$J$2:$J$101,0)),ISNUMBER(MATCH(TRIM(RIGHT(SUBSTITUTE(TRIM(G287&amp;"")," ",REPT(" ",60)),60)),설정_코드표!$F$2:$F$101,0))),INDEX(설정_코드표!$K$2:$K$101,MATCH(LEFT(TRIM(G287&amp;""),FIND(" ",TRIM(G287&amp;""))-1),설정_코드표!$J$2:$J$101,0))&amp;" "&amp;INDEX(설정_코드표!$G$2:$G$101,MATCH(TRIM(RIGHT(SUBSTITUTE(TRIM(G287&amp;"")," ",REPT(" ",60)),60)),설정_코드표!$F$2:$F$101,0)),"⚠"&amp;TRIM(G287&amp;""))),"⚠"&amp;TRIM(G287&amp;""))</f>
        <v/>
      </c>
      <c r="P287" s="10">
        <f>IFERROR(IF(TRIM(H287&amp;"")="","",IF(AND(ISNUMBER(FIND(" ",TRIM(H287&amp;""))),ISNUMBER(MATCH(LEFT(TRIM(H287&amp;""),FIND(" ",TRIM(H287&amp;""))-1),설정_코드표!$J$2:$J$101,0)),ISNUMBER(MATCH(TRIM(RIGHT(SUBSTITUTE(TRIM(H287&amp;"")," ",REPT(" ",60)),60)),설정_코드표!$F$2:$F$101,0))),INDEX(설정_코드표!$K$2:$K$101,MATCH(LEFT(TRIM(H287&amp;""),FIND(" ",TRIM(H287&amp;""))-1),설정_코드표!$J$2:$J$101,0))&amp;" "&amp;INDEX(설정_코드표!$G$2:$G$101,MATCH(TRIM(RIGHT(SUBSTITUTE(TRIM(H287&amp;"")," ",REPT(" ",60)),60)),설정_코드표!$F$2:$F$101,0)),"⚠"&amp;TRIM(H287&amp;""))),"⚠"&amp;TRIM(H287&amp;""))</f>
        <v/>
      </c>
      <c r="Q287" s="10">
        <f>IFERROR(IF(TRIM(I287&amp;"")="","",IF(AND(ISNUMBER(FIND(" ",TRIM(I287&amp;""))),ISNUMBER(MATCH(LEFT(TRIM(I287&amp;""),FIND(" ",TRIM(I287&amp;""))-1),설정_코드표!$J$2:$J$101,0)),ISNUMBER(MATCH(TRIM(RIGHT(SUBSTITUTE(TRIM(I287&amp;"")," ",REPT(" ",60)),60)),설정_코드표!$F$2:$F$101,0))),INDEX(설정_코드표!$K$2:$K$101,MATCH(LEFT(TRIM(I287&amp;""),FIND(" ",TRIM(I287&amp;""))-1),설정_코드표!$J$2:$J$101,0))&amp;" "&amp;INDEX(설정_코드표!$G$2:$G$101,MATCH(TRIM(RIGHT(SUBSTITUTE(TRIM(I287&amp;"")," ",REPT(" ",60)),60)),설정_코드표!$F$2:$F$101,0)),"⚠"&amp;TRIM(I287&amp;""))),"⚠"&amp;TRIM(I287&amp;""))</f>
        <v/>
      </c>
      <c r="R287" s="10">
        <f>IFERROR(IF(TRIM(J287&amp;"")="","",IF(AND(ISNUMBER(FIND(" ",TRIM(J287&amp;""))),ISNUMBER(MATCH(LEFT(TRIM(J287&amp;""),FIND(" ",TRIM(J287&amp;""))-1),설정_코드표!$J$2:$J$101,0)),ISNUMBER(MATCH(TRIM(RIGHT(SUBSTITUTE(TRIM(J287&amp;"")," ",REPT(" ",60)),60)),설정_코드표!$F$2:$F$101,0))),INDEX(설정_코드표!$K$2:$K$101,MATCH(LEFT(TRIM(J287&amp;""),FIND(" ",TRIM(J287&amp;""))-1),설정_코드표!$J$2:$J$101,0))&amp;" "&amp;INDEX(설정_코드표!$G$2:$G$101,MATCH(TRIM(RIGHT(SUBSTITUTE(TRIM(J287&amp;"")," ",REPT(" ",60)),60)),설정_코드표!$F$2:$F$101,0)),"⚠"&amp;TRIM(J287&amp;""))),"⚠"&amp;TRIM(J287&amp;""))</f>
        <v/>
      </c>
      <c r="S287" s="11">
        <f>IF(K287="","",IFERROR(IF(AND(ROUND((VALUE(K287&amp;"")-INT(VALUE(K287&amp;"")))*100,0)&gt;=1,ROUND((VALUE(K287&amp;"")-INT(VALUE(K287&amp;"")))*100,0)&lt;=12,INT(VALUE(K287&amp;""))&gt;=1900),DATE(INT(VALUE(K287&amp;"")),ROUND((VALUE(K287&amp;"")-INT(VALUE(K287&amp;"")))*100,0),1),K287&amp;""),K287&amp;""))</f>
        <v/>
      </c>
      <c r="T287" s="10">
        <f>COUNTIF(M287:R287,"⚠*")</f>
        <v/>
      </c>
    </row>
    <row r="288"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M288" s="10">
        <f>IFERROR(IF(TRIM(E288&amp;"")="","",IF(AND(ISNUMBER(FIND(" ",TRIM(E288&amp;""))),ISNUMBER(MATCH(LEFT(TRIM(E288&amp;""),FIND(" ",TRIM(E288&amp;""))-1),설정_코드표!$J$2:$J$101,0)),ISNUMBER(MATCH(TRIM(RIGHT(SUBSTITUTE(TRIM(E288&amp;"")," ",REPT(" ",60)),60)),설정_코드표!$F$2:$F$101,0))),INDEX(설정_코드표!$K$2:$K$101,MATCH(LEFT(TRIM(E288&amp;""),FIND(" ",TRIM(E288&amp;""))-1),설정_코드표!$J$2:$J$101,0))&amp;" "&amp;INDEX(설정_코드표!$G$2:$G$101,MATCH(TRIM(RIGHT(SUBSTITUTE(TRIM(E288&amp;"")," ",REPT(" ",60)),60)),설정_코드표!$F$2:$F$101,0)),"⚠"&amp;TRIM(E288&amp;""))),"⚠"&amp;TRIM(E288&amp;""))</f>
        <v/>
      </c>
      <c r="N288" s="10">
        <f>IFERROR(IF(TRIM(F288&amp;"")="","",IF(AND(ISNUMBER(FIND(" ",TRIM(F288&amp;""))),ISNUMBER(MATCH(LEFT(TRIM(F288&amp;""),FIND(" ",TRIM(F288&amp;""))-1),설정_코드표!$J$2:$J$101,0)),ISNUMBER(MATCH(TRIM(RIGHT(SUBSTITUTE(TRIM(F288&amp;"")," ",REPT(" ",60)),60)),설정_코드표!$F$2:$F$101,0))),INDEX(설정_코드표!$K$2:$K$101,MATCH(LEFT(TRIM(F288&amp;""),FIND(" ",TRIM(F288&amp;""))-1),설정_코드표!$J$2:$J$101,0))&amp;" "&amp;INDEX(설정_코드표!$G$2:$G$101,MATCH(TRIM(RIGHT(SUBSTITUTE(TRIM(F288&amp;"")," ",REPT(" ",60)),60)),설정_코드표!$F$2:$F$101,0)),"⚠"&amp;TRIM(F288&amp;""))),"⚠"&amp;TRIM(F288&amp;""))</f>
        <v/>
      </c>
      <c r="O288" s="10">
        <f>IFERROR(IF(TRIM(G288&amp;"")="","",IF(AND(ISNUMBER(FIND(" ",TRIM(G288&amp;""))),ISNUMBER(MATCH(LEFT(TRIM(G288&amp;""),FIND(" ",TRIM(G288&amp;""))-1),설정_코드표!$J$2:$J$101,0)),ISNUMBER(MATCH(TRIM(RIGHT(SUBSTITUTE(TRIM(G288&amp;"")," ",REPT(" ",60)),60)),설정_코드표!$F$2:$F$101,0))),INDEX(설정_코드표!$K$2:$K$101,MATCH(LEFT(TRIM(G288&amp;""),FIND(" ",TRIM(G288&amp;""))-1),설정_코드표!$J$2:$J$101,0))&amp;" "&amp;INDEX(설정_코드표!$G$2:$G$101,MATCH(TRIM(RIGHT(SUBSTITUTE(TRIM(G288&amp;"")," ",REPT(" ",60)),60)),설정_코드표!$F$2:$F$101,0)),"⚠"&amp;TRIM(G288&amp;""))),"⚠"&amp;TRIM(G288&amp;""))</f>
        <v/>
      </c>
      <c r="P288" s="10">
        <f>IFERROR(IF(TRIM(H288&amp;"")="","",IF(AND(ISNUMBER(FIND(" ",TRIM(H288&amp;""))),ISNUMBER(MATCH(LEFT(TRIM(H288&amp;""),FIND(" ",TRIM(H288&amp;""))-1),설정_코드표!$J$2:$J$101,0)),ISNUMBER(MATCH(TRIM(RIGHT(SUBSTITUTE(TRIM(H288&amp;"")," ",REPT(" ",60)),60)),설정_코드표!$F$2:$F$101,0))),INDEX(설정_코드표!$K$2:$K$101,MATCH(LEFT(TRIM(H288&amp;""),FIND(" ",TRIM(H288&amp;""))-1),설정_코드표!$J$2:$J$101,0))&amp;" "&amp;INDEX(설정_코드표!$G$2:$G$101,MATCH(TRIM(RIGHT(SUBSTITUTE(TRIM(H288&amp;"")," ",REPT(" ",60)),60)),설정_코드표!$F$2:$F$101,0)),"⚠"&amp;TRIM(H288&amp;""))),"⚠"&amp;TRIM(H288&amp;""))</f>
        <v/>
      </c>
      <c r="Q288" s="10">
        <f>IFERROR(IF(TRIM(I288&amp;"")="","",IF(AND(ISNUMBER(FIND(" ",TRIM(I288&amp;""))),ISNUMBER(MATCH(LEFT(TRIM(I288&amp;""),FIND(" ",TRIM(I288&amp;""))-1),설정_코드표!$J$2:$J$101,0)),ISNUMBER(MATCH(TRIM(RIGHT(SUBSTITUTE(TRIM(I288&amp;"")," ",REPT(" ",60)),60)),설정_코드표!$F$2:$F$101,0))),INDEX(설정_코드표!$K$2:$K$101,MATCH(LEFT(TRIM(I288&amp;""),FIND(" ",TRIM(I288&amp;""))-1),설정_코드표!$J$2:$J$101,0))&amp;" "&amp;INDEX(설정_코드표!$G$2:$G$101,MATCH(TRIM(RIGHT(SUBSTITUTE(TRIM(I288&amp;"")," ",REPT(" ",60)),60)),설정_코드표!$F$2:$F$101,0)),"⚠"&amp;TRIM(I288&amp;""))),"⚠"&amp;TRIM(I288&amp;""))</f>
        <v/>
      </c>
      <c r="R288" s="10">
        <f>IFERROR(IF(TRIM(J288&amp;"")="","",IF(AND(ISNUMBER(FIND(" ",TRIM(J288&amp;""))),ISNUMBER(MATCH(LEFT(TRIM(J288&amp;""),FIND(" ",TRIM(J288&amp;""))-1),설정_코드표!$J$2:$J$101,0)),ISNUMBER(MATCH(TRIM(RIGHT(SUBSTITUTE(TRIM(J288&amp;"")," ",REPT(" ",60)),60)),설정_코드표!$F$2:$F$101,0))),INDEX(설정_코드표!$K$2:$K$101,MATCH(LEFT(TRIM(J288&amp;""),FIND(" ",TRIM(J288&amp;""))-1),설정_코드표!$J$2:$J$101,0))&amp;" "&amp;INDEX(설정_코드표!$G$2:$G$101,MATCH(TRIM(RIGHT(SUBSTITUTE(TRIM(J288&amp;"")," ",REPT(" ",60)),60)),설정_코드표!$F$2:$F$101,0)),"⚠"&amp;TRIM(J288&amp;""))),"⚠"&amp;TRIM(J288&amp;""))</f>
        <v/>
      </c>
      <c r="S288" s="11">
        <f>IF(K288="","",IFERROR(IF(AND(ROUND((VALUE(K288&amp;"")-INT(VALUE(K288&amp;"")))*100,0)&gt;=1,ROUND((VALUE(K288&amp;"")-INT(VALUE(K288&amp;"")))*100,0)&lt;=12,INT(VALUE(K288&amp;""))&gt;=1900),DATE(INT(VALUE(K288&amp;"")),ROUND((VALUE(K288&amp;"")-INT(VALUE(K288&amp;"")))*100,0),1),K288&amp;""),K288&amp;""))</f>
        <v/>
      </c>
      <c r="T288" s="10">
        <f>COUNTIF(M288:R288,"⚠*")</f>
        <v/>
      </c>
    </row>
    <row r="289"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M289" s="10">
        <f>IFERROR(IF(TRIM(E289&amp;"")="","",IF(AND(ISNUMBER(FIND(" ",TRIM(E289&amp;""))),ISNUMBER(MATCH(LEFT(TRIM(E289&amp;""),FIND(" ",TRIM(E289&amp;""))-1),설정_코드표!$J$2:$J$101,0)),ISNUMBER(MATCH(TRIM(RIGHT(SUBSTITUTE(TRIM(E289&amp;"")," ",REPT(" ",60)),60)),설정_코드표!$F$2:$F$101,0))),INDEX(설정_코드표!$K$2:$K$101,MATCH(LEFT(TRIM(E289&amp;""),FIND(" ",TRIM(E289&amp;""))-1),설정_코드표!$J$2:$J$101,0))&amp;" "&amp;INDEX(설정_코드표!$G$2:$G$101,MATCH(TRIM(RIGHT(SUBSTITUTE(TRIM(E289&amp;"")," ",REPT(" ",60)),60)),설정_코드표!$F$2:$F$101,0)),"⚠"&amp;TRIM(E289&amp;""))),"⚠"&amp;TRIM(E289&amp;""))</f>
        <v/>
      </c>
      <c r="N289" s="10">
        <f>IFERROR(IF(TRIM(F289&amp;"")="","",IF(AND(ISNUMBER(FIND(" ",TRIM(F289&amp;""))),ISNUMBER(MATCH(LEFT(TRIM(F289&amp;""),FIND(" ",TRIM(F289&amp;""))-1),설정_코드표!$J$2:$J$101,0)),ISNUMBER(MATCH(TRIM(RIGHT(SUBSTITUTE(TRIM(F289&amp;"")," ",REPT(" ",60)),60)),설정_코드표!$F$2:$F$101,0))),INDEX(설정_코드표!$K$2:$K$101,MATCH(LEFT(TRIM(F289&amp;""),FIND(" ",TRIM(F289&amp;""))-1),설정_코드표!$J$2:$J$101,0))&amp;" "&amp;INDEX(설정_코드표!$G$2:$G$101,MATCH(TRIM(RIGHT(SUBSTITUTE(TRIM(F289&amp;"")," ",REPT(" ",60)),60)),설정_코드표!$F$2:$F$101,0)),"⚠"&amp;TRIM(F289&amp;""))),"⚠"&amp;TRIM(F289&amp;""))</f>
        <v/>
      </c>
      <c r="O289" s="10">
        <f>IFERROR(IF(TRIM(G289&amp;"")="","",IF(AND(ISNUMBER(FIND(" ",TRIM(G289&amp;""))),ISNUMBER(MATCH(LEFT(TRIM(G289&amp;""),FIND(" ",TRIM(G289&amp;""))-1),설정_코드표!$J$2:$J$101,0)),ISNUMBER(MATCH(TRIM(RIGHT(SUBSTITUTE(TRIM(G289&amp;"")," ",REPT(" ",60)),60)),설정_코드표!$F$2:$F$101,0))),INDEX(설정_코드표!$K$2:$K$101,MATCH(LEFT(TRIM(G289&amp;""),FIND(" ",TRIM(G289&amp;""))-1),설정_코드표!$J$2:$J$101,0))&amp;" "&amp;INDEX(설정_코드표!$G$2:$G$101,MATCH(TRIM(RIGHT(SUBSTITUTE(TRIM(G289&amp;"")," ",REPT(" ",60)),60)),설정_코드표!$F$2:$F$101,0)),"⚠"&amp;TRIM(G289&amp;""))),"⚠"&amp;TRIM(G289&amp;""))</f>
        <v/>
      </c>
      <c r="P289" s="10">
        <f>IFERROR(IF(TRIM(H289&amp;"")="","",IF(AND(ISNUMBER(FIND(" ",TRIM(H289&amp;""))),ISNUMBER(MATCH(LEFT(TRIM(H289&amp;""),FIND(" ",TRIM(H289&amp;""))-1),설정_코드표!$J$2:$J$101,0)),ISNUMBER(MATCH(TRIM(RIGHT(SUBSTITUTE(TRIM(H289&amp;"")," ",REPT(" ",60)),60)),설정_코드표!$F$2:$F$101,0))),INDEX(설정_코드표!$K$2:$K$101,MATCH(LEFT(TRIM(H289&amp;""),FIND(" ",TRIM(H289&amp;""))-1),설정_코드표!$J$2:$J$101,0))&amp;" "&amp;INDEX(설정_코드표!$G$2:$G$101,MATCH(TRIM(RIGHT(SUBSTITUTE(TRIM(H289&amp;"")," ",REPT(" ",60)),60)),설정_코드표!$F$2:$F$101,0)),"⚠"&amp;TRIM(H289&amp;""))),"⚠"&amp;TRIM(H289&amp;""))</f>
        <v/>
      </c>
      <c r="Q289" s="10">
        <f>IFERROR(IF(TRIM(I289&amp;"")="","",IF(AND(ISNUMBER(FIND(" ",TRIM(I289&amp;""))),ISNUMBER(MATCH(LEFT(TRIM(I289&amp;""),FIND(" ",TRIM(I289&amp;""))-1),설정_코드표!$J$2:$J$101,0)),ISNUMBER(MATCH(TRIM(RIGHT(SUBSTITUTE(TRIM(I289&amp;"")," ",REPT(" ",60)),60)),설정_코드표!$F$2:$F$101,0))),INDEX(설정_코드표!$K$2:$K$101,MATCH(LEFT(TRIM(I289&amp;""),FIND(" ",TRIM(I289&amp;""))-1),설정_코드표!$J$2:$J$101,0))&amp;" "&amp;INDEX(설정_코드표!$G$2:$G$101,MATCH(TRIM(RIGHT(SUBSTITUTE(TRIM(I289&amp;"")," ",REPT(" ",60)),60)),설정_코드표!$F$2:$F$101,0)),"⚠"&amp;TRIM(I289&amp;""))),"⚠"&amp;TRIM(I289&amp;""))</f>
        <v/>
      </c>
      <c r="R289" s="10">
        <f>IFERROR(IF(TRIM(J289&amp;"")="","",IF(AND(ISNUMBER(FIND(" ",TRIM(J289&amp;""))),ISNUMBER(MATCH(LEFT(TRIM(J289&amp;""),FIND(" ",TRIM(J289&amp;""))-1),설정_코드표!$J$2:$J$101,0)),ISNUMBER(MATCH(TRIM(RIGHT(SUBSTITUTE(TRIM(J289&amp;"")," ",REPT(" ",60)),60)),설정_코드표!$F$2:$F$101,0))),INDEX(설정_코드표!$K$2:$K$101,MATCH(LEFT(TRIM(J289&amp;""),FIND(" ",TRIM(J289&amp;""))-1),설정_코드표!$J$2:$J$101,0))&amp;" "&amp;INDEX(설정_코드표!$G$2:$G$101,MATCH(TRIM(RIGHT(SUBSTITUTE(TRIM(J289&amp;"")," ",REPT(" ",60)),60)),설정_코드표!$F$2:$F$101,0)),"⚠"&amp;TRIM(J289&amp;""))),"⚠"&amp;TRIM(J289&amp;""))</f>
        <v/>
      </c>
      <c r="S289" s="11">
        <f>IF(K289="","",IFERROR(IF(AND(ROUND((VALUE(K289&amp;"")-INT(VALUE(K289&amp;"")))*100,0)&gt;=1,ROUND((VALUE(K289&amp;"")-INT(VALUE(K289&amp;"")))*100,0)&lt;=12,INT(VALUE(K289&amp;""))&gt;=1900),DATE(INT(VALUE(K289&amp;"")),ROUND((VALUE(K289&amp;"")-INT(VALUE(K289&amp;"")))*100,0),1),K289&amp;""),K289&amp;""))</f>
        <v/>
      </c>
      <c r="T289" s="10">
        <f>COUNTIF(M289:R289,"⚠*")</f>
        <v/>
      </c>
    </row>
    <row r="290"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M290" s="10">
        <f>IFERROR(IF(TRIM(E290&amp;"")="","",IF(AND(ISNUMBER(FIND(" ",TRIM(E290&amp;""))),ISNUMBER(MATCH(LEFT(TRIM(E290&amp;""),FIND(" ",TRIM(E290&amp;""))-1),설정_코드표!$J$2:$J$101,0)),ISNUMBER(MATCH(TRIM(RIGHT(SUBSTITUTE(TRIM(E290&amp;"")," ",REPT(" ",60)),60)),설정_코드표!$F$2:$F$101,0))),INDEX(설정_코드표!$K$2:$K$101,MATCH(LEFT(TRIM(E290&amp;""),FIND(" ",TRIM(E290&amp;""))-1),설정_코드표!$J$2:$J$101,0))&amp;" "&amp;INDEX(설정_코드표!$G$2:$G$101,MATCH(TRIM(RIGHT(SUBSTITUTE(TRIM(E290&amp;"")," ",REPT(" ",60)),60)),설정_코드표!$F$2:$F$101,0)),"⚠"&amp;TRIM(E290&amp;""))),"⚠"&amp;TRIM(E290&amp;""))</f>
        <v/>
      </c>
      <c r="N290" s="10">
        <f>IFERROR(IF(TRIM(F290&amp;"")="","",IF(AND(ISNUMBER(FIND(" ",TRIM(F290&amp;""))),ISNUMBER(MATCH(LEFT(TRIM(F290&amp;""),FIND(" ",TRIM(F290&amp;""))-1),설정_코드표!$J$2:$J$101,0)),ISNUMBER(MATCH(TRIM(RIGHT(SUBSTITUTE(TRIM(F290&amp;"")," ",REPT(" ",60)),60)),설정_코드표!$F$2:$F$101,0))),INDEX(설정_코드표!$K$2:$K$101,MATCH(LEFT(TRIM(F290&amp;""),FIND(" ",TRIM(F290&amp;""))-1),설정_코드표!$J$2:$J$101,0))&amp;" "&amp;INDEX(설정_코드표!$G$2:$G$101,MATCH(TRIM(RIGHT(SUBSTITUTE(TRIM(F290&amp;"")," ",REPT(" ",60)),60)),설정_코드표!$F$2:$F$101,0)),"⚠"&amp;TRIM(F290&amp;""))),"⚠"&amp;TRIM(F290&amp;""))</f>
        <v/>
      </c>
      <c r="O290" s="10">
        <f>IFERROR(IF(TRIM(G290&amp;"")="","",IF(AND(ISNUMBER(FIND(" ",TRIM(G290&amp;""))),ISNUMBER(MATCH(LEFT(TRIM(G290&amp;""),FIND(" ",TRIM(G290&amp;""))-1),설정_코드표!$J$2:$J$101,0)),ISNUMBER(MATCH(TRIM(RIGHT(SUBSTITUTE(TRIM(G290&amp;"")," ",REPT(" ",60)),60)),설정_코드표!$F$2:$F$101,0))),INDEX(설정_코드표!$K$2:$K$101,MATCH(LEFT(TRIM(G290&amp;""),FIND(" ",TRIM(G290&amp;""))-1),설정_코드표!$J$2:$J$101,0))&amp;" "&amp;INDEX(설정_코드표!$G$2:$G$101,MATCH(TRIM(RIGHT(SUBSTITUTE(TRIM(G290&amp;"")," ",REPT(" ",60)),60)),설정_코드표!$F$2:$F$101,0)),"⚠"&amp;TRIM(G290&amp;""))),"⚠"&amp;TRIM(G290&amp;""))</f>
        <v/>
      </c>
      <c r="P290" s="10">
        <f>IFERROR(IF(TRIM(H290&amp;"")="","",IF(AND(ISNUMBER(FIND(" ",TRIM(H290&amp;""))),ISNUMBER(MATCH(LEFT(TRIM(H290&amp;""),FIND(" ",TRIM(H290&amp;""))-1),설정_코드표!$J$2:$J$101,0)),ISNUMBER(MATCH(TRIM(RIGHT(SUBSTITUTE(TRIM(H290&amp;"")," ",REPT(" ",60)),60)),설정_코드표!$F$2:$F$101,0))),INDEX(설정_코드표!$K$2:$K$101,MATCH(LEFT(TRIM(H290&amp;""),FIND(" ",TRIM(H290&amp;""))-1),설정_코드표!$J$2:$J$101,0))&amp;" "&amp;INDEX(설정_코드표!$G$2:$G$101,MATCH(TRIM(RIGHT(SUBSTITUTE(TRIM(H290&amp;"")," ",REPT(" ",60)),60)),설정_코드표!$F$2:$F$101,0)),"⚠"&amp;TRIM(H290&amp;""))),"⚠"&amp;TRIM(H290&amp;""))</f>
        <v/>
      </c>
      <c r="Q290" s="10">
        <f>IFERROR(IF(TRIM(I290&amp;"")="","",IF(AND(ISNUMBER(FIND(" ",TRIM(I290&amp;""))),ISNUMBER(MATCH(LEFT(TRIM(I290&amp;""),FIND(" ",TRIM(I290&amp;""))-1),설정_코드표!$J$2:$J$101,0)),ISNUMBER(MATCH(TRIM(RIGHT(SUBSTITUTE(TRIM(I290&amp;"")," ",REPT(" ",60)),60)),설정_코드표!$F$2:$F$101,0))),INDEX(설정_코드표!$K$2:$K$101,MATCH(LEFT(TRIM(I290&amp;""),FIND(" ",TRIM(I290&amp;""))-1),설정_코드표!$J$2:$J$101,0))&amp;" "&amp;INDEX(설정_코드표!$G$2:$G$101,MATCH(TRIM(RIGHT(SUBSTITUTE(TRIM(I290&amp;"")," ",REPT(" ",60)),60)),설정_코드표!$F$2:$F$101,0)),"⚠"&amp;TRIM(I290&amp;""))),"⚠"&amp;TRIM(I290&amp;""))</f>
        <v/>
      </c>
      <c r="R290" s="10">
        <f>IFERROR(IF(TRIM(J290&amp;"")="","",IF(AND(ISNUMBER(FIND(" ",TRIM(J290&amp;""))),ISNUMBER(MATCH(LEFT(TRIM(J290&amp;""),FIND(" ",TRIM(J290&amp;""))-1),설정_코드표!$J$2:$J$101,0)),ISNUMBER(MATCH(TRIM(RIGHT(SUBSTITUTE(TRIM(J290&amp;"")," ",REPT(" ",60)),60)),설정_코드표!$F$2:$F$101,0))),INDEX(설정_코드표!$K$2:$K$101,MATCH(LEFT(TRIM(J290&amp;""),FIND(" ",TRIM(J290&amp;""))-1),설정_코드표!$J$2:$J$101,0))&amp;" "&amp;INDEX(설정_코드표!$G$2:$G$101,MATCH(TRIM(RIGHT(SUBSTITUTE(TRIM(J290&amp;"")," ",REPT(" ",60)),60)),설정_코드표!$F$2:$F$101,0)),"⚠"&amp;TRIM(J290&amp;""))),"⚠"&amp;TRIM(J290&amp;""))</f>
        <v/>
      </c>
      <c r="S290" s="11">
        <f>IF(K290="","",IFERROR(IF(AND(ROUND((VALUE(K290&amp;"")-INT(VALUE(K290&amp;"")))*100,0)&gt;=1,ROUND((VALUE(K290&amp;"")-INT(VALUE(K290&amp;"")))*100,0)&lt;=12,INT(VALUE(K290&amp;""))&gt;=1900),DATE(INT(VALUE(K290&amp;"")),ROUND((VALUE(K290&amp;"")-INT(VALUE(K290&amp;"")))*100,0),1),K290&amp;""),K290&amp;""))</f>
        <v/>
      </c>
      <c r="T290" s="10">
        <f>COUNTIF(M290:R290,"⚠*")</f>
        <v/>
      </c>
    </row>
    <row r="291"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M291" s="10">
        <f>IFERROR(IF(TRIM(E291&amp;"")="","",IF(AND(ISNUMBER(FIND(" ",TRIM(E291&amp;""))),ISNUMBER(MATCH(LEFT(TRIM(E291&amp;""),FIND(" ",TRIM(E291&amp;""))-1),설정_코드표!$J$2:$J$101,0)),ISNUMBER(MATCH(TRIM(RIGHT(SUBSTITUTE(TRIM(E291&amp;"")," ",REPT(" ",60)),60)),설정_코드표!$F$2:$F$101,0))),INDEX(설정_코드표!$K$2:$K$101,MATCH(LEFT(TRIM(E291&amp;""),FIND(" ",TRIM(E291&amp;""))-1),설정_코드표!$J$2:$J$101,0))&amp;" "&amp;INDEX(설정_코드표!$G$2:$G$101,MATCH(TRIM(RIGHT(SUBSTITUTE(TRIM(E291&amp;"")," ",REPT(" ",60)),60)),설정_코드표!$F$2:$F$101,0)),"⚠"&amp;TRIM(E291&amp;""))),"⚠"&amp;TRIM(E291&amp;""))</f>
        <v/>
      </c>
      <c r="N291" s="10">
        <f>IFERROR(IF(TRIM(F291&amp;"")="","",IF(AND(ISNUMBER(FIND(" ",TRIM(F291&amp;""))),ISNUMBER(MATCH(LEFT(TRIM(F291&amp;""),FIND(" ",TRIM(F291&amp;""))-1),설정_코드표!$J$2:$J$101,0)),ISNUMBER(MATCH(TRIM(RIGHT(SUBSTITUTE(TRIM(F291&amp;"")," ",REPT(" ",60)),60)),설정_코드표!$F$2:$F$101,0))),INDEX(설정_코드표!$K$2:$K$101,MATCH(LEFT(TRIM(F291&amp;""),FIND(" ",TRIM(F291&amp;""))-1),설정_코드표!$J$2:$J$101,0))&amp;" "&amp;INDEX(설정_코드표!$G$2:$G$101,MATCH(TRIM(RIGHT(SUBSTITUTE(TRIM(F291&amp;"")," ",REPT(" ",60)),60)),설정_코드표!$F$2:$F$101,0)),"⚠"&amp;TRIM(F291&amp;""))),"⚠"&amp;TRIM(F291&amp;""))</f>
        <v/>
      </c>
      <c r="O291" s="10">
        <f>IFERROR(IF(TRIM(G291&amp;"")="","",IF(AND(ISNUMBER(FIND(" ",TRIM(G291&amp;""))),ISNUMBER(MATCH(LEFT(TRIM(G291&amp;""),FIND(" ",TRIM(G291&amp;""))-1),설정_코드표!$J$2:$J$101,0)),ISNUMBER(MATCH(TRIM(RIGHT(SUBSTITUTE(TRIM(G291&amp;"")," ",REPT(" ",60)),60)),설정_코드표!$F$2:$F$101,0))),INDEX(설정_코드표!$K$2:$K$101,MATCH(LEFT(TRIM(G291&amp;""),FIND(" ",TRIM(G291&amp;""))-1),설정_코드표!$J$2:$J$101,0))&amp;" "&amp;INDEX(설정_코드표!$G$2:$G$101,MATCH(TRIM(RIGHT(SUBSTITUTE(TRIM(G291&amp;"")," ",REPT(" ",60)),60)),설정_코드표!$F$2:$F$101,0)),"⚠"&amp;TRIM(G291&amp;""))),"⚠"&amp;TRIM(G291&amp;""))</f>
        <v/>
      </c>
      <c r="P291" s="10">
        <f>IFERROR(IF(TRIM(H291&amp;"")="","",IF(AND(ISNUMBER(FIND(" ",TRIM(H291&amp;""))),ISNUMBER(MATCH(LEFT(TRIM(H291&amp;""),FIND(" ",TRIM(H291&amp;""))-1),설정_코드표!$J$2:$J$101,0)),ISNUMBER(MATCH(TRIM(RIGHT(SUBSTITUTE(TRIM(H291&amp;"")," ",REPT(" ",60)),60)),설정_코드표!$F$2:$F$101,0))),INDEX(설정_코드표!$K$2:$K$101,MATCH(LEFT(TRIM(H291&amp;""),FIND(" ",TRIM(H291&amp;""))-1),설정_코드표!$J$2:$J$101,0))&amp;" "&amp;INDEX(설정_코드표!$G$2:$G$101,MATCH(TRIM(RIGHT(SUBSTITUTE(TRIM(H291&amp;"")," ",REPT(" ",60)),60)),설정_코드표!$F$2:$F$101,0)),"⚠"&amp;TRIM(H291&amp;""))),"⚠"&amp;TRIM(H291&amp;""))</f>
        <v/>
      </c>
      <c r="Q291" s="10">
        <f>IFERROR(IF(TRIM(I291&amp;"")="","",IF(AND(ISNUMBER(FIND(" ",TRIM(I291&amp;""))),ISNUMBER(MATCH(LEFT(TRIM(I291&amp;""),FIND(" ",TRIM(I291&amp;""))-1),설정_코드표!$J$2:$J$101,0)),ISNUMBER(MATCH(TRIM(RIGHT(SUBSTITUTE(TRIM(I291&amp;"")," ",REPT(" ",60)),60)),설정_코드표!$F$2:$F$101,0))),INDEX(설정_코드표!$K$2:$K$101,MATCH(LEFT(TRIM(I291&amp;""),FIND(" ",TRIM(I291&amp;""))-1),설정_코드표!$J$2:$J$101,0))&amp;" "&amp;INDEX(설정_코드표!$G$2:$G$101,MATCH(TRIM(RIGHT(SUBSTITUTE(TRIM(I291&amp;"")," ",REPT(" ",60)),60)),설정_코드표!$F$2:$F$101,0)),"⚠"&amp;TRIM(I291&amp;""))),"⚠"&amp;TRIM(I291&amp;""))</f>
        <v/>
      </c>
      <c r="R291" s="10">
        <f>IFERROR(IF(TRIM(J291&amp;"")="","",IF(AND(ISNUMBER(FIND(" ",TRIM(J291&amp;""))),ISNUMBER(MATCH(LEFT(TRIM(J291&amp;""),FIND(" ",TRIM(J291&amp;""))-1),설정_코드표!$J$2:$J$101,0)),ISNUMBER(MATCH(TRIM(RIGHT(SUBSTITUTE(TRIM(J291&amp;"")," ",REPT(" ",60)),60)),설정_코드표!$F$2:$F$101,0))),INDEX(설정_코드표!$K$2:$K$101,MATCH(LEFT(TRIM(J291&amp;""),FIND(" ",TRIM(J291&amp;""))-1),설정_코드표!$J$2:$J$101,0))&amp;" "&amp;INDEX(설정_코드표!$G$2:$G$101,MATCH(TRIM(RIGHT(SUBSTITUTE(TRIM(J291&amp;"")," ",REPT(" ",60)),60)),설정_코드표!$F$2:$F$101,0)),"⚠"&amp;TRIM(J291&amp;""))),"⚠"&amp;TRIM(J291&amp;""))</f>
        <v/>
      </c>
      <c r="S291" s="11">
        <f>IF(K291="","",IFERROR(IF(AND(ROUND((VALUE(K291&amp;"")-INT(VALUE(K291&amp;"")))*100,0)&gt;=1,ROUND((VALUE(K291&amp;"")-INT(VALUE(K291&amp;"")))*100,0)&lt;=12,INT(VALUE(K291&amp;""))&gt;=1900),DATE(INT(VALUE(K291&amp;"")),ROUND((VALUE(K291&amp;"")-INT(VALUE(K291&amp;"")))*100,0),1),K291&amp;""),K291&amp;""))</f>
        <v/>
      </c>
      <c r="T291" s="10">
        <f>COUNTIF(M291:R291,"⚠*")</f>
        <v/>
      </c>
    </row>
    <row r="292"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M292" s="10">
        <f>IFERROR(IF(TRIM(E292&amp;"")="","",IF(AND(ISNUMBER(FIND(" ",TRIM(E292&amp;""))),ISNUMBER(MATCH(LEFT(TRIM(E292&amp;""),FIND(" ",TRIM(E292&amp;""))-1),설정_코드표!$J$2:$J$101,0)),ISNUMBER(MATCH(TRIM(RIGHT(SUBSTITUTE(TRIM(E292&amp;"")," ",REPT(" ",60)),60)),설정_코드표!$F$2:$F$101,0))),INDEX(설정_코드표!$K$2:$K$101,MATCH(LEFT(TRIM(E292&amp;""),FIND(" ",TRIM(E292&amp;""))-1),설정_코드표!$J$2:$J$101,0))&amp;" "&amp;INDEX(설정_코드표!$G$2:$G$101,MATCH(TRIM(RIGHT(SUBSTITUTE(TRIM(E292&amp;"")," ",REPT(" ",60)),60)),설정_코드표!$F$2:$F$101,0)),"⚠"&amp;TRIM(E292&amp;""))),"⚠"&amp;TRIM(E292&amp;""))</f>
        <v/>
      </c>
      <c r="N292" s="10">
        <f>IFERROR(IF(TRIM(F292&amp;"")="","",IF(AND(ISNUMBER(FIND(" ",TRIM(F292&amp;""))),ISNUMBER(MATCH(LEFT(TRIM(F292&amp;""),FIND(" ",TRIM(F292&amp;""))-1),설정_코드표!$J$2:$J$101,0)),ISNUMBER(MATCH(TRIM(RIGHT(SUBSTITUTE(TRIM(F292&amp;"")," ",REPT(" ",60)),60)),설정_코드표!$F$2:$F$101,0))),INDEX(설정_코드표!$K$2:$K$101,MATCH(LEFT(TRIM(F292&amp;""),FIND(" ",TRIM(F292&amp;""))-1),설정_코드표!$J$2:$J$101,0))&amp;" "&amp;INDEX(설정_코드표!$G$2:$G$101,MATCH(TRIM(RIGHT(SUBSTITUTE(TRIM(F292&amp;"")," ",REPT(" ",60)),60)),설정_코드표!$F$2:$F$101,0)),"⚠"&amp;TRIM(F292&amp;""))),"⚠"&amp;TRIM(F292&amp;""))</f>
        <v/>
      </c>
      <c r="O292" s="10">
        <f>IFERROR(IF(TRIM(G292&amp;"")="","",IF(AND(ISNUMBER(FIND(" ",TRIM(G292&amp;""))),ISNUMBER(MATCH(LEFT(TRIM(G292&amp;""),FIND(" ",TRIM(G292&amp;""))-1),설정_코드표!$J$2:$J$101,0)),ISNUMBER(MATCH(TRIM(RIGHT(SUBSTITUTE(TRIM(G292&amp;"")," ",REPT(" ",60)),60)),설정_코드표!$F$2:$F$101,0))),INDEX(설정_코드표!$K$2:$K$101,MATCH(LEFT(TRIM(G292&amp;""),FIND(" ",TRIM(G292&amp;""))-1),설정_코드표!$J$2:$J$101,0))&amp;" "&amp;INDEX(설정_코드표!$G$2:$G$101,MATCH(TRIM(RIGHT(SUBSTITUTE(TRIM(G292&amp;"")," ",REPT(" ",60)),60)),설정_코드표!$F$2:$F$101,0)),"⚠"&amp;TRIM(G292&amp;""))),"⚠"&amp;TRIM(G292&amp;""))</f>
        <v/>
      </c>
      <c r="P292" s="10">
        <f>IFERROR(IF(TRIM(H292&amp;"")="","",IF(AND(ISNUMBER(FIND(" ",TRIM(H292&amp;""))),ISNUMBER(MATCH(LEFT(TRIM(H292&amp;""),FIND(" ",TRIM(H292&amp;""))-1),설정_코드표!$J$2:$J$101,0)),ISNUMBER(MATCH(TRIM(RIGHT(SUBSTITUTE(TRIM(H292&amp;"")," ",REPT(" ",60)),60)),설정_코드표!$F$2:$F$101,0))),INDEX(설정_코드표!$K$2:$K$101,MATCH(LEFT(TRIM(H292&amp;""),FIND(" ",TRIM(H292&amp;""))-1),설정_코드표!$J$2:$J$101,0))&amp;" "&amp;INDEX(설정_코드표!$G$2:$G$101,MATCH(TRIM(RIGHT(SUBSTITUTE(TRIM(H292&amp;"")," ",REPT(" ",60)),60)),설정_코드표!$F$2:$F$101,0)),"⚠"&amp;TRIM(H292&amp;""))),"⚠"&amp;TRIM(H292&amp;""))</f>
        <v/>
      </c>
      <c r="Q292" s="10">
        <f>IFERROR(IF(TRIM(I292&amp;"")="","",IF(AND(ISNUMBER(FIND(" ",TRIM(I292&amp;""))),ISNUMBER(MATCH(LEFT(TRIM(I292&amp;""),FIND(" ",TRIM(I292&amp;""))-1),설정_코드표!$J$2:$J$101,0)),ISNUMBER(MATCH(TRIM(RIGHT(SUBSTITUTE(TRIM(I292&amp;"")," ",REPT(" ",60)),60)),설정_코드표!$F$2:$F$101,0))),INDEX(설정_코드표!$K$2:$K$101,MATCH(LEFT(TRIM(I292&amp;""),FIND(" ",TRIM(I292&amp;""))-1),설정_코드표!$J$2:$J$101,0))&amp;" "&amp;INDEX(설정_코드표!$G$2:$G$101,MATCH(TRIM(RIGHT(SUBSTITUTE(TRIM(I292&amp;"")," ",REPT(" ",60)),60)),설정_코드표!$F$2:$F$101,0)),"⚠"&amp;TRIM(I292&amp;""))),"⚠"&amp;TRIM(I292&amp;""))</f>
        <v/>
      </c>
      <c r="R292" s="10">
        <f>IFERROR(IF(TRIM(J292&amp;"")="","",IF(AND(ISNUMBER(FIND(" ",TRIM(J292&amp;""))),ISNUMBER(MATCH(LEFT(TRIM(J292&amp;""),FIND(" ",TRIM(J292&amp;""))-1),설정_코드표!$J$2:$J$101,0)),ISNUMBER(MATCH(TRIM(RIGHT(SUBSTITUTE(TRIM(J292&amp;"")," ",REPT(" ",60)),60)),설정_코드표!$F$2:$F$101,0))),INDEX(설정_코드표!$K$2:$K$101,MATCH(LEFT(TRIM(J292&amp;""),FIND(" ",TRIM(J292&amp;""))-1),설정_코드표!$J$2:$J$101,0))&amp;" "&amp;INDEX(설정_코드표!$G$2:$G$101,MATCH(TRIM(RIGHT(SUBSTITUTE(TRIM(J292&amp;"")," ",REPT(" ",60)),60)),설정_코드표!$F$2:$F$101,0)),"⚠"&amp;TRIM(J292&amp;""))),"⚠"&amp;TRIM(J292&amp;""))</f>
        <v/>
      </c>
      <c r="S292" s="11">
        <f>IF(K292="","",IFERROR(IF(AND(ROUND((VALUE(K292&amp;"")-INT(VALUE(K292&amp;"")))*100,0)&gt;=1,ROUND((VALUE(K292&amp;"")-INT(VALUE(K292&amp;"")))*100,0)&lt;=12,INT(VALUE(K292&amp;""))&gt;=1900),DATE(INT(VALUE(K292&amp;"")),ROUND((VALUE(K292&amp;"")-INT(VALUE(K292&amp;"")))*100,0),1),K292&amp;""),K292&amp;""))</f>
        <v/>
      </c>
      <c r="T292" s="10">
        <f>COUNTIF(M292:R292,"⚠*")</f>
        <v/>
      </c>
    </row>
    <row r="293"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M293" s="10">
        <f>IFERROR(IF(TRIM(E293&amp;"")="","",IF(AND(ISNUMBER(FIND(" ",TRIM(E293&amp;""))),ISNUMBER(MATCH(LEFT(TRIM(E293&amp;""),FIND(" ",TRIM(E293&amp;""))-1),설정_코드표!$J$2:$J$101,0)),ISNUMBER(MATCH(TRIM(RIGHT(SUBSTITUTE(TRIM(E293&amp;"")," ",REPT(" ",60)),60)),설정_코드표!$F$2:$F$101,0))),INDEX(설정_코드표!$K$2:$K$101,MATCH(LEFT(TRIM(E293&amp;""),FIND(" ",TRIM(E293&amp;""))-1),설정_코드표!$J$2:$J$101,0))&amp;" "&amp;INDEX(설정_코드표!$G$2:$G$101,MATCH(TRIM(RIGHT(SUBSTITUTE(TRIM(E293&amp;"")," ",REPT(" ",60)),60)),설정_코드표!$F$2:$F$101,0)),"⚠"&amp;TRIM(E293&amp;""))),"⚠"&amp;TRIM(E293&amp;""))</f>
        <v/>
      </c>
      <c r="N293" s="10">
        <f>IFERROR(IF(TRIM(F293&amp;"")="","",IF(AND(ISNUMBER(FIND(" ",TRIM(F293&amp;""))),ISNUMBER(MATCH(LEFT(TRIM(F293&amp;""),FIND(" ",TRIM(F293&amp;""))-1),설정_코드표!$J$2:$J$101,0)),ISNUMBER(MATCH(TRIM(RIGHT(SUBSTITUTE(TRIM(F293&amp;"")," ",REPT(" ",60)),60)),설정_코드표!$F$2:$F$101,0))),INDEX(설정_코드표!$K$2:$K$101,MATCH(LEFT(TRIM(F293&amp;""),FIND(" ",TRIM(F293&amp;""))-1),설정_코드표!$J$2:$J$101,0))&amp;" "&amp;INDEX(설정_코드표!$G$2:$G$101,MATCH(TRIM(RIGHT(SUBSTITUTE(TRIM(F293&amp;"")," ",REPT(" ",60)),60)),설정_코드표!$F$2:$F$101,0)),"⚠"&amp;TRIM(F293&amp;""))),"⚠"&amp;TRIM(F293&amp;""))</f>
        <v/>
      </c>
      <c r="O293" s="10">
        <f>IFERROR(IF(TRIM(G293&amp;"")="","",IF(AND(ISNUMBER(FIND(" ",TRIM(G293&amp;""))),ISNUMBER(MATCH(LEFT(TRIM(G293&amp;""),FIND(" ",TRIM(G293&amp;""))-1),설정_코드표!$J$2:$J$101,0)),ISNUMBER(MATCH(TRIM(RIGHT(SUBSTITUTE(TRIM(G293&amp;"")," ",REPT(" ",60)),60)),설정_코드표!$F$2:$F$101,0))),INDEX(설정_코드표!$K$2:$K$101,MATCH(LEFT(TRIM(G293&amp;""),FIND(" ",TRIM(G293&amp;""))-1),설정_코드표!$J$2:$J$101,0))&amp;" "&amp;INDEX(설정_코드표!$G$2:$G$101,MATCH(TRIM(RIGHT(SUBSTITUTE(TRIM(G293&amp;"")," ",REPT(" ",60)),60)),설정_코드표!$F$2:$F$101,0)),"⚠"&amp;TRIM(G293&amp;""))),"⚠"&amp;TRIM(G293&amp;""))</f>
        <v/>
      </c>
      <c r="P293" s="10">
        <f>IFERROR(IF(TRIM(H293&amp;"")="","",IF(AND(ISNUMBER(FIND(" ",TRIM(H293&amp;""))),ISNUMBER(MATCH(LEFT(TRIM(H293&amp;""),FIND(" ",TRIM(H293&amp;""))-1),설정_코드표!$J$2:$J$101,0)),ISNUMBER(MATCH(TRIM(RIGHT(SUBSTITUTE(TRIM(H293&amp;"")," ",REPT(" ",60)),60)),설정_코드표!$F$2:$F$101,0))),INDEX(설정_코드표!$K$2:$K$101,MATCH(LEFT(TRIM(H293&amp;""),FIND(" ",TRIM(H293&amp;""))-1),설정_코드표!$J$2:$J$101,0))&amp;" "&amp;INDEX(설정_코드표!$G$2:$G$101,MATCH(TRIM(RIGHT(SUBSTITUTE(TRIM(H293&amp;"")," ",REPT(" ",60)),60)),설정_코드표!$F$2:$F$101,0)),"⚠"&amp;TRIM(H293&amp;""))),"⚠"&amp;TRIM(H293&amp;""))</f>
        <v/>
      </c>
      <c r="Q293" s="10">
        <f>IFERROR(IF(TRIM(I293&amp;"")="","",IF(AND(ISNUMBER(FIND(" ",TRIM(I293&amp;""))),ISNUMBER(MATCH(LEFT(TRIM(I293&amp;""),FIND(" ",TRIM(I293&amp;""))-1),설정_코드표!$J$2:$J$101,0)),ISNUMBER(MATCH(TRIM(RIGHT(SUBSTITUTE(TRIM(I293&amp;"")," ",REPT(" ",60)),60)),설정_코드표!$F$2:$F$101,0))),INDEX(설정_코드표!$K$2:$K$101,MATCH(LEFT(TRIM(I293&amp;""),FIND(" ",TRIM(I293&amp;""))-1),설정_코드표!$J$2:$J$101,0))&amp;" "&amp;INDEX(설정_코드표!$G$2:$G$101,MATCH(TRIM(RIGHT(SUBSTITUTE(TRIM(I293&amp;"")," ",REPT(" ",60)),60)),설정_코드표!$F$2:$F$101,0)),"⚠"&amp;TRIM(I293&amp;""))),"⚠"&amp;TRIM(I293&amp;""))</f>
        <v/>
      </c>
      <c r="R293" s="10">
        <f>IFERROR(IF(TRIM(J293&amp;"")="","",IF(AND(ISNUMBER(FIND(" ",TRIM(J293&amp;""))),ISNUMBER(MATCH(LEFT(TRIM(J293&amp;""),FIND(" ",TRIM(J293&amp;""))-1),설정_코드표!$J$2:$J$101,0)),ISNUMBER(MATCH(TRIM(RIGHT(SUBSTITUTE(TRIM(J293&amp;"")," ",REPT(" ",60)),60)),설정_코드표!$F$2:$F$101,0))),INDEX(설정_코드표!$K$2:$K$101,MATCH(LEFT(TRIM(J293&amp;""),FIND(" ",TRIM(J293&amp;""))-1),설정_코드표!$J$2:$J$101,0))&amp;" "&amp;INDEX(설정_코드표!$G$2:$G$101,MATCH(TRIM(RIGHT(SUBSTITUTE(TRIM(J293&amp;"")," ",REPT(" ",60)),60)),설정_코드표!$F$2:$F$101,0)),"⚠"&amp;TRIM(J293&amp;""))),"⚠"&amp;TRIM(J293&amp;""))</f>
        <v/>
      </c>
      <c r="S293" s="11">
        <f>IF(K293="","",IFERROR(IF(AND(ROUND((VALUE(K293&amp;"")-INT(VALUE(K293&amp;"")))*100,0)&gt;=1,ROUND((VALUE(K293&amp;"")-INT(VALUE(K293&amp;"")))*100,0)&lt;=12,INT(VALUE(K293&amp;""))&gt;=1900),DATE(INT(VALUE(K293&amp;"")),ROUND((VALUE(K293&amp;"")-INT(VALUE(K293&amp;"")))*100,0),1),K293&amp;""),K293&amp;""))</f>
        <v/>
      </c>
      <c r="T293" s="10">
        <f>COUNTIF(M293:R293,"⚠*")</f>
        <v/>
      </c>
    </row>
    <row r="294"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M294" s="10">
        <f>IFERROR(IF(TRIM(E294&amp;"")="","",IF(AND(ISNUMBER(FIND(" ",TRIM(E294&amp;""))),ISNUMBER(MATCH(LEFT(TRIM(E294&amp;""),FIND(" ",TRIM(E294&amp;""))-1),설정_코드표!$J$2:$J$101,0)),ISNUMBER(MATCH(TRIM(RIGHT(SUBSTITUTE(TRIM(E294&amp;"")," ",REPT(" ",60)),60)),설정_코드표!$F$2:$F$101,0))),INDEX(설정_코드표!$K$2:$K$101,MATCH(LEFT(TRIM(E294&amp;""),FIND(" ",TRIM(E294&amp;""))-1),설정_코드표!$J$2:$J$101,0))&amp;" "&amp;INDEX(설정_코드표!$G$2:$G$101,MATCH(TRIM(RIGHT(SUBSTITUTE(TRIM(E294&amp;"")," ",REPT(" ",60)),60)),설정_코드표!$F$2:$F$101,0)),"⚠"&amp;TRIM(E294&amp;""))),"⚠"&amp;TRIM(E294&amp;""))</f>
        <v/>
      </c>
      <c r="N294" s="10">
        <f>IFERROR(IF(TRIM(F294&amp;"")="","",IF(AND(ISNUMBER(FIND(" ",TRIM(F294&amp;""))),ISNUMBER(MATCH(LEFT(TRIM(F294&amp;""),FIND(" ",TRIM(F294&amp;""))-1),설정_코드표!$J$2:$J$101,0)),ISNUMBER(MATCH(TRIM(RIGHT(SUBSTITUTE(TRIM(F294&amp;"")," ",REPT(" ",60)),60)),설정_코드표!$F$2:$F$101,0))),INDEX(설정_코드표!$K$2:$K$101,MATCH(LEFT(TRIM(F294&amp;""),FIND(" ",TRIM(F294&amp;""))-1),설정_코드표!$J$2:$J$101,0))&amp;" "&amp;INDEX(설정_코드표!$G$2:$G$101,MATCH(TRIM(RIGHT(SUBSTITUTE(TRIM(F294&amp;"")," ",REPT(" ",60)),60)),설정_코드표!$F$2:$F$101,0)),"⚠"&amp;TRIM(F294&amp;""))),"⚠"&amp;TRIM(F294&amp;""))</f>
        <v/>
      </c>
      <c r="O294" s="10">
        <f>IFERROR(IF(TRIM(G294&amp;"")="","",IF(AND(ISNUMBER(FIND(" ",TRIM(G294&amp;""))),ISNUMBER(MATCH(LEFT(TRIM(G294&amp;""),FIND(" ",TRIM(G294&amp;""))-1),설정_코드표!$J$2:$J$101,0)),ISNUMBER(MATCH(TRIM(RIGHT(SUBSTITUTE(TRIM(G294&amp;"")," ",REPT(" ",60)),60)),설정_코드표!$F$2:$F$101,0))),INDEX(설정_코드표!$K$2:$K$101,MATCH(LEFT(TRIM(G294&amp;""),FIND(" ",TRIM(G294&amp;""))-1),설정_코드표!$J$2:$J$101,0))&amp;" "&amp;INDEX(설정_코드표!$G$2:$G$101,MATCH(TRIM(RIGHT(SUBSTITUTE(TRIM(G294&amp;"")," ",REPT(" ",60)),60)),설정_코드표!$F$2:$F$101,0)),"⚠"&amp;TRIM(G294&amp;""))),"⚠"&amp;TRIM(G294&amp;""))</f>
        <v/>
      </c>
      <c r="P294" s="10">
        <f>IFERROR(IF(TRIM(H294&amp;"")="","",IF(AND(ISNUMBER(FIND(" ",TRIM(H294&amp;""))),ISNUMBER(MATCH(LEFT(TRIM(H294&amp;""),FIND(" ",TRIM(H294&amp;""))-1),설정_코드표!$J$2:$J$101,0)),ISNUMBER(MATCH(TRIM(RIGHT(SUBSTITUTE(TRIM(H294&amp;"")," ",REPT(" ",60)),60)),설정_코드표!$F$2:$F$101,0))),INDEX(설정_코드표!$K$2:$K$101,MATCH(LEFT(TRIM(H294&amp;""),FIND(" ",TRIM(H294&amp;""))-1),설정_코드표!$J$2:$J$101,0))&amp;" "&amp;INDEX(설정_코드표!$G$2:$G$101,MATCH(TRIM(RIGHT(SUBSTITUTE(TRIM(H294&amp;"")," ",REPT(" ",60)),60)),설정_코드표!$F$2:$F$101,0)),"⚠"&amp;TRIM(H294&amp;""))),"⚠"&amp;TRIM(H294&amp;""))</f>
        <v/>
      </c>
      <c r="Q294" s="10">
        <f>IFERROR(IF(TRIM(I294&amp;"")="","",IF(AND(ISNUMBER(FIND(" ",TRIM(I294&amp;""))),ISNUMBER(MATCH(LEFT(TRIM(I294&amp;""),FIND(" ",TRIM(I294&amp;""))-1),설정_코드표!$J$2:$J$101,0)),ISNUMBER(MATCH(TRIM(RIGHT(SUBSTITUTE(TRIM(I294&amp;"")," ",REPT(" ",60)),60)),설정_코드표!$F$2:$F$101,0))),INDEX(설정_코드표!$K$2:$K$101,MATCH(LEFT(TRIM(I294&amp;""),FIND(" ",TRIM(I294&amp;""))-1),설정_코드표!$J$2:$J$101,0))&amp;" "&amp;INDEX(설정_코드표!$G$2:$G$101,MATCH(TRIM(RIGHT(SUBSTITUTE(TRIM(I294&amp;"")," ",REPT(" ",60)),60)),설정_코드표!$F$2:$F$101,0)),"⚠"&amp;TRIM(I294&amp;""))),"⚠"&amp;TRIM(I294&amp;""))</f>
        <v/>
      </c>
      <c r="R294" s="10">
        <f>IFERROR(IF(TRIM(J294&amp;"")="","",IF(AND(ISNUMBER(FIND(" ",TRIM(J294&amp;""))),ISNUMBER(MATCH(LEFT(TRIM(J294&amp;""),FIND(" ",TRIM(J294&amp;""))-1),설정_코드표!$J$2:$J$101,0)),ISNUMBER(MATCH(TRIM(RIGHT(SUBSTITUTE(TRIM(J294&amp;"")," ",REPT(" ",60)),60)),설정_코드표!$F$2:$F$101,0))),INDEX(설정_코드표!$K$2:$K$101,MATCH(LEFT(TRIM(J294&amp;""),FIND(" ",TRIM(J294&amp;""))-1),설정_코드표!$J$2:$J$101,0))&amp;" "&amp;INDEX(설정_코드표!$G$2:$G$101,MATCH(TRIM(RIGHT(SUBSTITUTE(TRIM(J294&amp;"")," ",REPT(" ",60)),60)),설정_코드표!$F$2:$F$101,0)),"⚠"&amp;TRIM(J294&amp;""))),"⚠"&amp;TRIM(J294&amp;""))</f>
        <v/>
      </c>
      <c r="S294" s="11">
        <f>IF(K294="","",IFERROR(IF(AND(ROUND((VALUE(K294&amp;"")-INT(VALUE(K294&amp;"")))*100,0)&gt;=1,ROUND((VALUE(K294&amp;"")-INT(VALUE(K294&amp;"")))*100,0)&lt;=12,INT(VALUE(K294&amp;""))&gt;=1900),DATE(INT(VALUE(K294&amp;"")),ROUND((VALUE(K294&amp;"")-INT(VALUE(K294&amp;"")))*100,0),1),K294&amp;""),K294&amp;""))</f>
        <v/>
      </c>
      <c r="T294" s="10">
        <f>COUNTIF(M294:R294,"⚠*")</f>
        <v/>
      </c>
    </row>
    <row r="295"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M295" s="10">
        <f>IFERROR(IF(TRIM(E295&amp;"")="","",IF(AND(ISNUMBER(FIND(" ",TRIM(E295&amp;""))),ISNUMBER(MATCH(LEFT(TRIM(E295&amp;""),FIND(" ",TRIM(E295&amp;""))-1),설정_코드표!$J$2:$J$101,0)),ISNUMBER(MATCH(TRIM(RIGHT(SUBSTITUTE(TRIM(E295&amp;"")," ",REPT(" ",60)),60)),설정_코드표!$F$2:$F$101,0))),INDEX(설정_코드표!$K$2:$K$101,MATCH(LEFT(TRIM(E295&amp;""),FIND(" ",TRIM(E295&amp;""))-1),설정_코드표!$J$2:$J$101,0))&amp;" "&amp;INDEX(설정_코드표!$G$2:$G$101,MATCH(TRIM(RIGHT(SUBSTITUTE(TRIM(E295&amp;"")," ",REPT(" ",60)),60)),설정_코드표!$F$2:$F$101,0)),"⚠"&amp;TRIM(E295&amp;""))),"⚠"&amp;TRIM(E295&amp;""))</f>
        <v/>
      </c>
      <c r="N295" s="10">
        <f>IFERROR(IF(TRIM(F295&amp;"")="","",IF(AND(ISNUMBER(FIND(" ",TRIM(F295&amp;""))),ISNUMBER(MATCH(LEFT(TRIM(F295&amp;""),FIND(" ",TRIM(F295&amp;""))-1),설정_코드표!$J$2:$J$101,0)),ISNUMBER(MATCH(TRIM(RIGHT(SUBSTITUTE(TRIM(F295&amp;"")," ",REPT(" ",60)),60)),설정_코드표!$F$2:$F$101,0))),INDEX(설정_코드표!$K$2:$K$101,MATCH(LEFT(TRIM(F295&amp;""),FIND(" ",TRIM(F295&amp;""))-1),설정_코드표!$J$2:$J$101,0))&amp;" "&amp;INDEX(설정_코드표!$G$2:$G$101,MATCH(TRIM(RIGHT(SUBSTITUTE(TRIM(F295&amp;"")," ",REPT(" ",60)),60)),설정_코드표!$F$2:$F$101,0)),"⚠"&amp;TRIM(F295&amp;""))),"⚠"&amp;TRIM(F295&amp;""))</f>
        <v/>
      </c>
      <c r="O295" s="10">
        <f>IFERROR(IF(TRIM(G295&amp;"")="","",IF(AND(ISNUMBER(FIND(" ",TRIM(G295&amp;""))),ISNUMBER(MATCH(LEFT(TRIM(G295&amp;""),FIND(" ",TRIM(G295&amp;""))-1),설정_코드표!$J$2:$J$101,0)),ISNUMBER(MATCH(TRIM(RIGHT(SUBSTITUTE(TRIM(G295&amp;"")," ",REPT(" ",60)),60)),설정_코드표!$F$2:$F$101,0))),INDEX(설정_코드표!$K$2:$K$101,MATCH(LEFT(TRIM(G295&amp;""),FIND(" ",TRIM(G295&amp;""))-1),설정_코드표!$J$2:$J$101,0))&amp;" "&amp;INDEX(설정_코드표!$G$2:$G$101,MATCH(TRIM(RIGHT(SUBSTITUTE(TRIM(G295&amp;"")," ",REPT(" ",60)),60)),설정_코드표!$F$2:$F$101,0)),"⚠"&amp;TRIM(G295&amp;""))),"⚠"&amp;TRIM(G295&amp;""))</f>
        <v/>
      </c>
      <c r="P295" s="10">
        <f>IFERROR(IF(TRIM(H295&amp;"")="","",IF(AND(ISNUMBER(FIND(" ",TRIM(H295&amp;""))),ISNUMBER(MATCH(LEFT(TRIM(H295&amp;""),FIND(" ",TRIM(H295&amp;""))-1),설정_코드표!$J$2:$J$101,0)),ISNUMBER(MATCH(TRIM(RIGHT(SUBSTITUTE(TRIM(H295&amp;"")," ",REPT(" ",60)),60)),설정_코드표!$F$2:$F$101,0))),INDEX(설정_코드표!$K$2:$K$101,MATCH(LEFT(TRIM(H295&amp;""),FIND(" ",TRIM(H295&amp;""))-1),설정_코드표!$J$2:$J$101,0))&amp;" "&amp;INDEX(설정_코드표!$G$2:$G$101,MATCH(TRIM(RIGHT(SUBSTITUTE(TRIM(H295&amp;"")," ",REPT(" ",60)),60)),설정_코드표!$F$2:$F$101,0)),"⚠"&amp;TRIM(H295&amp;""))),"⚠"&amp;TRIM(H295&amp;""))</f>
        <v/>
      </c>
      <c r="Q295" s="10">
        <f>IFERROR(IF(TRIM(I295&amp;"")="","",IF(AND(ISNUMBER(FIND(" ",TRIM(I295&amp;""))),ISNUMBER(MATCH(LEFT(TRIM(I295&amp;""),FIND(" ",TRIM(I295&amp;""))-1),설정_코드표!$J$2:$J$101,0)),ISNUMBER(MATCH(TRIM(RIGHT(SUBSTITUTE(TRIM(I295&amp;"")," ",REPT(" ",60)),60)),설정_코드표!$F$2:$F$101,0))),INDEX(설정_코드표!$K$2:$K$101,MATCH(LEFT(TRIM(I295&amp;""),FIND(" ",TRIM(I295&amp;""))-1),설정_코드표!$J$2:$J$101,0))&amp;" "&amp;INDEX(설정_코드표!$G$2:$G$101,MATCH(TRIM(RIGHT(SUBSTITUTE(TRIM(I295&amp;"")," ",REPT(" ",60)),60)),설정_코드표!$F$2:$F$101,0)),"⚠"&amp;TRIM(I295&amp;""))),"⚠"&amp;TRIM(I295&amp;""))</f>
        <v/>
      </c>
      <c r="R295" s="10">
        <f>IFERROR(IF(TRIM(J295&amp;"")="","",IF(AND(ISNUMBER(FIND(" ",TRIM(J295&amp;""))),ISNUMBER(MATCH(LEFT(TRIM(J295&amp;""),FIND(" ",TRIM(J295&amp;""))-1),설정_코드표!$J$2:$J$101,0)),ISNUMBER(MATCH(TRIM(RIGHT(SUBSTITUTE(TRIM(J295&amp;"")," ",REPT(" ",60)),60)),설정_코드표!$F$2:$F$101,0))),INDEX(설정_코드표!$K$2:$K$101,MATCH(LEFT(TRIM(J295&amp;""),FIND(" ",TRIM(J295&amp;""))-1),설정_코드표!$J$2:$J$101,0))&amp;" "&amp;INDEX(설정_코드표!$G$2:$G$101,MATCH(TRIM(RIGHT(SUBSTITUTE(TRIM(J295&amp;"")," ",REPT(" ",60)),60)),설정_코드표!$F$2:$F$101,0)),"⚠"&amp;TRIM(J295&amp;""))),"⚠"&amp;TRIM(J295&amp;""))</f>
        <v/>
      </c>
      <c r="S295" s="11">
        <f>IF(K295="","",IFERROR(IF(AND(ROUND((VALUE(K295&amp;"")-INT(VALUE(K295&amp;"")))*100,0)&gt;=1,ROUND((VALUE(K295&amp;"")-INT(VALUE(K295&amp;"")))*100,0)&lt;=12,INT(VALUE(K295&amp;""))&gt;=1900),DATE(INT(VALUE(K295&amp;"")),ROUND((VALUE(K295&amp;"")-INT(VALUE(K295&amp;"")))*100,0),1),K295&amp;""),K295&amp;""))</f>
        <v/>
      </c>
      <c r="T295" s="10">
        <f>COUNTIF(M295:R295,"⚠*")</f>
        <v/>
      </c>
    </row>
    <row r="296"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M296" s="10">
        <f>IFERROR(IF(TRIM(E296&amp;"")="","",IF(AND(ISNUMBER(FIND(" ",TRIM(E296&amp;""))),ISNUMBER(MATCH(LEFT(TRIM(E296&amp;""),FIND(" ",TRIM(E296&amp;""))-1),설정_코드표!$J$2:$J$101,0)),ISNUMBER(MATCH(TRIM(RIGHT(SUBSTITUTE(TRIM(E296&amp;"")," ",REPT(" ",60)),60)),설정_코드표!$F$2:$F$101,0))),INDEX(설정_코드표!$K$2:$K$101,MATCH(LEFT(TRIM(E296&amp;""),FIND(" ",TRIM(E296&amp;""))-1),설정_코드표!$J$2:$J$101,0))&amp;" "&amp;INDEX(설정_코드표!$G$2:$G$101,MATCH(TRIM(RIGHT(SUBSTITUTE(TRIM(E296&amp;"")," ",REPT(" ",60)),60)),설정_코드표!$F$2:$F$101,0)),"⚠"&amp;TRIM(E296&amp;""))),"⚠"&amp;TRIM(E296&amp;""))</f>
        <v/>
      </c>
      <c r="N296" s="10">
        <f>IFERROR(IF(TRIM(F296&amp;"")="","",IF(AND(ISNUMBER(FIND(" ",TRIM(F296&amp;""))),ISNUMBER(MATCH(LEFT(TRIM(F296&amp;""),FIND(" ",TRIM(F296&amp;""))-1),설정_코드표!$J$2:$J$101,0)),ISNUMBER(MATCH(TRIM(RIGHT(SUBSTITUTE(TRIM(F296&amp;"")," ",REPT(" ",60)),60)),설정_코드표!$F$2:$F$101,0))),INDEX(설정_코드표!$K$2:$K$101,MATCH(LEFT(TRIM(F296&amp;""),FIND(" ",TRIM(F296&amp;""))-1),설정_코드표!$J$2:$J$101,0))&amp;" "&amp;INDEX(설정_코드표!$G$2:$G$101,MATCH(TRIM(RIGHT(SUBSTITUTE(TRIM(F296&amp;"")," ",REPT(" ",60)),60)),설정_코드표!$F$2:$F$101,0)),"⚠"&amp;TRIM(F296&amp;""))),"⚠"&amp;TRIM(F296&amp;""))</f>
        <v/>
      </c>
      <c r="O296" s="10">
        <f>IFERROR(IF(TRIM(G296&amp;"")="","",IF(AND(ISNUMBER(FIND(" ",TRIM(G296&amp;""))),ISNUMBER(MATCH(LEFT(TRIM(G296&amp;""),FIND(" ",TRIM(G296&amp;""))-1),설정_코드표!$J$2:$J$101,0)),ISNUMBER(MATCH(TRIM(RIGHT(SUBSTITUTE(TRIM(G296&amp;"")," ",REPT(" ",60)),60)),설정_코드표!$F$2:$F$101,0))),INDEX(설정_코드표!$K$2:$K$101,MATCH(LEFT(TRIM(G296&amp;""),FIND(" ",TRIM(G296&amp;""))-1),설정_코드표!$J$2:$J$101,0))&amp;" "&amp;INDEX(설정_코드표!$G$2:$G$101,MATCH(TRIM(RIGHT(SUBSTITUTE(TRIM(G296&amp;"")," ",REPT(" ",60)),60)),설정_코드표!$F$2:$F$101,0)),"⚠"&amp;TRIM(G296&amp;""))),"⚠"&amp;TRIM(G296&amp;""))</f>
        <v/>
      </c>
      <c r="P296" s="10">
        <f>IFERROR(IF(TRIM(H296&amp;"")="","",IF(AND(ISNUMBER(FIND(" ",TRIM(H296&amp;""))),ISNUMBER(MATCH(LEFT(TRIM(H296&amp;""),FIND(" ",TRIM(H296&amp;""))-1),설정_코드표!$J$2:$J$101,0)),ISNUMBER(MATCH(TRIM(RIGHT(SUBSTITUTE(TRIM(H296&amp;"")," ",REPT(" ",60)),60)),설정_코드표!$F$2:$F$101,0))),INDEX(설정_코드표!$K$2:$K$101,MATCH(LEFT(TRIM(H296&amp;""),FIND(" ",TRIM(H296&amp;""))-1),설정_코드표!$J$2:$J$101,0))&amp;" "&amp;INDEX(설정_코드표!$G$2:$G$101,MATCH(TRIM(RIGHT(SUBSTITUTE(TRIM(H296&amp;"")," ",REPT(" ",60)),60)),설정_코드표!$F$2:$F$101,0)),"⚠"&amp;TRIM(H296&amp;""))),"⚠"&amp;TRIM(H296&amp;""))</f>
        <v/>
      </c>
      <c r="Q296" s="10">
        <f>IFERROR(IF(TRIM(I296&amp;"")="","",IF(AND(ISNUMBER(FIND(" ",TRIM(I296&amp;""))),ISNUMBER(MATCH(LEFT(TRIM(I296&amp;""),FIND(" ",TRIM(I296&amp;""))-1),설정_코드표!$J$2:$J$101,0)),ISNUMBER(MATCH(TRIM(RIGHT(SUBSTITUTE(TRIM(I296&amp;"")," ",REPT(" ",60)),60)),설정_코드표!$F$2:$F$101,0))),INDEX(설정_코드표!$K$2:$K$101,MATCH(LEFT(TRIM(I296&amp;""),FIND(" ",TRIM(I296&amp;""))-1),설정_코드표!$J$2:$J$101,0))&amp;" "&amp;INDEX(설정_코드표!$G$2:$G$101,MATCH(TRIM(RIGHT(SUBSTITUTE(TRIM(I296&amp;"")," ",REPT(" ",60)),60)),설정_코드표!$F$2:$F$101,0)),"⚠"&amp;TRIM(I296&amp;""))),"⚠"&amp;TRIM(I296&amp;""))</f>
        <v/>
      </c>
      <c r="R296" s="10">
        <f>IFERROR(IF(TRIM(J296&amp;"")="","",IF(AND(ISNUMBER(FIND(" ",TRIM(J296&amp;""))),ISNUMBER(MATCH(LEFT(TRIM(J296&amp;""),FIND(" ",TRIM(J296&amp;""))-1),설정_코드표!$J$2:$J$101,0)),ISNUMBER(MATCH(TRIM(RIGHT(SUBSTITUTE(TRIM(J296&amp;"")," ",REPT(" ",60)),60)),설정_코드표!$F$2:$F$101,0))),INDEX(설정_코드표!$K$2:$K$101,MATCH(LEFT(TRIM(J296&amp;""),FIND(" ",TRIM(J296&amp;""))-1),설정_코드표!$J$2:$J$101,0))&amp;" "&amp;INDEX(설정_코드표!$G$2:$G$101,MATCH(TRIM(RIGHT(SUBSTITUTE(TRIM(J296&amp;"")," ",REPT(" ",60)),60)),설정_코드표!$F$2:$F$101,0)),"⚠"&amp;TRIM(J296&amp;""))),"⚠"&amp;TRIM(J296&amp;""))</f>
        <v/>
      </c>
      <c r="S296" s="11">
        <f>IF(K296="","",IFERROR(IF(AND(ROUND((VALUE(K296&amp;"")-INT(VALUE(K296&amp;"")))*100,0)&gt;=1,ROUND((VALUE(K296&amp;"")-INT(VALUE(K296&amp;"")))*100,0)&lt;=12,INT(VALUE(K296&amp;""))&gt;=1900),DATE(INT(VALUE(K296&amp;"")),ROUND((VALUE(K296&amp;"")-INT(VALUE(K296&amp;"")))*100,0),1),K296&amp;""),K296&amp;""))</f>
        <v/>
      </c>
      <c r="T296" s="10">
        <f>COUNTIF(M296:R296,"⚠*")</f>
        <v/>
      </c>
    </row>
    <row r="297"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M297" s="10">
        <f>IFERROR(IF(TRIM(E297&amp;"")="","",IF(AND(ISNUMBER(FIND(" ",TRIM(E297&amp;""))),ISNUMBER(MATCH(LEFT(TRIM(E297&amp;""),FIND(" ",TRIM(E297&amp;""))-1),설정_코드표!$J$2:$J$101,0)),ISNUMBER(MATCH(TRIM(RIGHT(SUBSTITUTE(TRIM(E297&amp;"")," ",REPT(" ",60)),60)),설정_코드표!$F$2:$F$101,0))),INDEX(설정_코드표!$K$2:$K$101,MATCH(LEFT(TRIM(E297&amp;""),FIND(" ",TRIM(E297&amp;""))-1),설정_코드표!$J$2:$J$101,0))&amp;" "&amp;INDEX(설정_코드표!$G$2:$G$101,MATCH(TRIM(RIGHT(SUBSTITUTE(TRIM(E297&amp;"")," ",REPT(" ",60)),60)),설정_코드표!$F$2:$F$101,0)),"⚠"&amp;TRIM(E297&amp;""))),"⚠"&amp;TRIM(E297&amp;""))</f>
        <v/>
      </c>
      <c r="N297" s="10">
        <f>IFERROR(IF(TRIM(F297&amp;"")="","",IF(AND(ISNUMBER(FIND(" ",TRIM(F297&amp;""))),ISNUMBER(MATCH(LEFT(TRIM(F297&amp;""),FIND(" ",TRIM(F297&amp;""))-1),설정_코드표!$J$2:$J$101,0)),ISNUMBER(MATCH(TRIM(RIGHT(SUBSTITUTE(TRIM(F297&amp;"")," ",REPT(" ",60)),60)),설정_코드표!$F$2:$F$101,0))),INDEX(설정_코드표!$K$2:$K$101,MATCH(LEFT(TRIM(F297&amp;""),FIND(" ",TRIM(F297&amp;""))-1),설정_코드표!$J$2:$J$101,0))&amp;" "&amp;INDEX(설정_코드표!$G$2:$G$101,MATCH(TRIM(RIGHT(SUBSTITUTE(TRIM(F297&amp;"")," ",REPT(" ",60)),60)),설정_코드표!$F$2:$F$101,0)),"⚠"&amp;TRIM(F297&amp;""))),"⚠"&amp;TRIM(F297&amp;""))</f>
        <v/>
      </c>
      <c r="O297" s="10">
        <f>IFERROR(IF(TRIM(G297&amp;"")="","",IF(AND(ISNUMBER(FIND(" ",TRIM(G297&amp;""))),ISNUMBER(MATCH(LEFT(TRIM(G297&amp;""),FIND(" ",TRIM(G297&amp;""))-1),설정_코드표!$J$2:$J$101,0)),ISNUMBER(MATCH(TRIM(RIGHT(SUBSTITUTE(TRIM(G297&amp;"")," ",REPT(" ",60)),60)),설정_코드표!$F$2:$F$101,0))),INDEX(설정_코드표!$K$2:$K$101,MATCH(LEFT(TRIM(G297&amp;""),FIND(" ",TRIM(G297&amp;""))-1),설정_코드표!$J$2:$J$101,0))&amp;" "&amp;INDEX(설정_코드표!$G$2:$G$101,MATCH(TRIM(RIGHT(SUBSTITUTE(TRIM(G297&amp;"")," ",REPT(" ",60)),60)),설정_코드표!$F$2:$F$101,0)),"⚠"&amp;TRIM(G297&amp;""))),"⚠"&amp;TRIM(G297&amp;""))</f>
        <v/>
      </c>
      <c r="P297" s="10">
        <f>IFERROR(IF(TRIM(H297&amp;"")="","",IF(AND(ISNUMBER(FIND(" ",TRIM(H297&amp;""))),ISNUMBER(MATCH(LEFT(TRIM(H297&amp;""),FIND(" ",TRIM(H297&amp;""))-1),설정_코드표!$J$2:$J$101,0)),ISNUMBER(MATCH(TRIM(RIGHT(SUBSTITUTE(TRIM(H297&amp;"")," ",REPT(" ",60)),60)),설정_코드표!$F$2:$F$101,0))),INDEX(설정_코드표!$K$2:$K$101,MATCH(LEFT(TRIM(H297&amp;""),FIND(" ",TRIM(H297&amp;""))-1),설정_코드표!$J$2:$J$101,0))&amp;" "&amp;INDEX(설정_코드표!$G$2:$G$101,MATCH(TRIM(RIGHT(SUBSTITUTE(TRIM(H297&amp;"")," ",REPT(" ",60)),60)),설정_코드표!$F$2:$F$101,0)),"⚠"&amp;TRIM(H297&amp;""))),"⚠"&amp;TRIM(H297&amp;""))</f>
        <v/>
      </c>
      <c r="Q297" s="10">
        <f>IFERROR(IF(TRIM(I297&amp;"")="","",IF(AND(ISNUMBER(FIND(" ",TRIM(I297&amp;""))),ISNUMBER(MATCH(LEFT(TRIM(I297&amp;""),FIND(" ",TRIM(I297&amp;""))-1),설정_코드표!$J$2:$J$101,0)),ISNUMBER(MATCH(TRIM(RIGHT(SUBSTITUTE(TRIM(I297&amp;"")," ",REPT(" ",60)),60)),설정_코드표!$F$2:$F$101,0))),INDEX(설정_코드표!$K$2:$K$101,MATCH(LEFT(TRIM(I297&amp;""),FIND(" ",TRIM(I297&amp;""))-1),설정_코드표!$J$2:$J$101,0))&amp;" "&amp;INDEX(설정_코드표!$G$2:$G$101,MATCH(TRIM(RIGHT(SUBSTITUTE(TRIM(I297&amp;"")," ",REPT(" ",60)),60)),설정_코드표!$F$2:$F$101,0)),"⚠"&amp;TRIM(I297&amp;""))),"⚠"&amp;TRIM(I297&amp;""))</f>
        <v/>
      </c>
      <c r="R297" s="10">
        <f>IFERROR(IF(TRIM(J297&amp;"")="","",IF(AND(ISNUMBER(FIND(" ",TRIM(J297&amp;""))),ISNUMBER(MATCH(LEFT(TRIM(J297&amp;""),FIND(" ",TRIM(J297&amp;""))-1),설정_코드표!$J$2:$J$101,0)),ISNUMBER(MATCH(TRIM(RIGHT(SUBSTITUTE(TRIM(J297&amp;"")," ",REPT(" ",60)),60)),설정_코드표!$F$2:$F$101,0))),INDEX(설정_코드표!$K$2:$K$101,MATCH(LEFT(TRIM(J297&amp;""),FIND(" ",TRIM(J297&amp;""))-1),설정_코드표!$J$2:$J$101,0))&amp;" "&amp;INDEX(설정_코드표!$G$2:$G$101,MATCH(TRIM(RIGHT(SUBSTITUTE(TRIM(J297&amp;"")," ",REPT(" ",60)),60)),설정_코드표!$F$2:$F$101,0)),"⚠"&amp;TRIM(J297&amp;""))),"⚠"&amp;TRIM(J297&amp;""))</f>
        <v/>
      </c>
      <c r="S297" s="11">
        <f>IF(K297="","",IFERROR(IF(AND(ROUND((VALUE(K297&amp;"")-INT(VALUE(K297&amp;"")))*100,0)&gt;=1,ROUND((VALUE(K297&amp;"")-INT(VALUE(K297&amp;"")))*100,0)&lt;=12,INT(VALUE(K297&amp;""))&gt;=1900),DATE(INT(VALUE(K297&amp;"")),ROUND((VALUE(K297&amp;"")-INT(VALUE(K297&amp;"")))*100,0),1),K297&amp;""),K297&amp;""))</f>
        <v/>
      </c>
      <c r="T297" s="10">
        <f>COUNTIF(M297:R297,"⚠*")</f>
        <v/>
      </c>
    </row>
    <row r="298"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M298" s="10">
        <f>IFERROR(IF(TRIM(E298&amp;"")="","",IF(AND(ISNUMBER(FIND(" ",TRIM(E298&amp;""))),ISNUMBER(MATCH(LEFT(TRIM(E298&amp;""),FIND(" ",TRIM(E298&amp;""))-1),설정_코드표!$J$2:$J$101,0)),ISNUMBER(MATCH(TRIM(RIGHT(SUBSTITUTE(TRIM(E298&amp;"")," ",REPT(" ",60)),60)),설정_코드표!$F$2:$F$101,0))),INDEX(설정_코드표!$K$2:$K$101,MATCH(LEFT(TRIM(E298&amp;""),FIND(" ",TRIM(E298&amp;""))-1),설정_코드표!$J$2:$J$101,0))&amp;" "&amp;INDEX(설정_코드표!$G$2:$G$101,MATCH(TRIM(RIGHT(SUBSTITUTE(TRIM(E298&amp;"")," ",REPT(" ",60)),60)),설정_코드표!$F$2:$F$101,0)),"⚠"&amp;TRIM(E298&amp;""))),"⚠"&amp;TRIM(E298&amp;""))</f>
        <v/>
      </c>
      <c r="N298" s="10">
        <f>IFERROR(IF(TRIM(F298&amp;"")="","",IF(AND(ISNUMBER(FIND(" ",TRIM(F298&amp;""))),ISNUMBER(MATCH(LEFT(TRIM(F298&amp;""),FIND(" ",TRIM(F298&amp;""))-1),설정_코드표!$J$2:$J$101,0)),ISNUMBER(MATCH(TRIM(RIGHT(SUBSTITUTE(TRIM(F298&amp;"")," ",REPT(" ",60)),60)),설정_코드표!$F$2:$F$101,0))),INDEX(설정_코드표!$K$2:$K$101,MATCH(LEFT(TRIM(F298&amp;""),FIND(" ",TRIM(F298&amp;""))-1),설정_코드표!$J$2:$J$101,0))&amp;" "&amp;INDEX(설정_코드표!$G$2:$G$101,MATCH(TRIM(RIGHT(SUBSTITUTE(TRIM(F298&amp;"")," ",REPT(" ",60)),60)),설정_코드표!$F$2:$F$101,0)),"⚠"&amp;TRIM(F298&amp;""))),"⚠"&amp;TRIM(F298&amp;""))</f>
        <v/>
      </c>
      <c r="O298" s="10">
        <f>IFERROR(IF(TRIM(G298&amp;"")="","",IF(AND(ISNUMBER(FIND(" ",TRIM(G298&amp;""))),ISNUMBER(MATCH(LEFT(TRIM(G298&amp;""),FIND(" ",TRIM(G298&amp;""))-1),설정_코드표!$J$2:$J$101,0)),ISNUMBER(MATCH(TRIM(RIGHT(SUBSTITUTE(TRIM(G298&amp;"")," ",REPT(" ",60)),60)),설정_코드표!$F$2:$F$101,0))),INDEX(설정_코드표!$K$2:$K$101,MATCH(LEFT(TRIM(G298&amp;""),FIND(" ",TRIM(G298&amp;""))-1),설정_코드표!$J$2:$J$101,0))&amp;" "&amp;INDEX(설정_코드표!$G$2:$G$101,MATCH(TRIM(RIGHT(SUBSTITUTE(TRIM(G298&amp;"")," ",REPT(" ",60)),60)),설정_코드표!$F$2:$F$101,0)),"⚠"&amp;TRIM(G298&amp;""))),"⚠"&amp;TRIM(G298&amp;""))</f>
        <v/>
      </c>
      <c r="P298" s="10">
        <f>IFERROR(IF(TRIM(H298&amp;"")="","",IF(AND(ISNUMBER(FIND(" ",TRIM(H298&amp;""))),ISNUMBER(MATCH(LEFT(TRIM(H298&amp;""),FIND(" ",TRIM(H298&amp;""))-1),설정_코드표!$J$2:$J$101,0)),ISNUMBER(MATCH(TRIM(RIGHT(SUBSTITUTE(TRIM(H298&amp;"")," ",REPT(" ",60)),60)),설정_코드표!$F$2:$F$101,0))),INDEX(설정_코드표!$K$2:$K$101,MATCH(LEFT(TRIM(H298&amp;""),FIND(" ",TRIM(H298&amp;""))-1),설정_코드표!$J$2:$J$101,0))&amp;" "&amp;INDEX(설정_코드표!$G$2:$G$101,MATCH(TRIM(RIGHT(SUBSTITUTE(TRIM(H298&amp;"")," ",REPT(" ",60)),60)),설정_코드표!$F$2:$F$101,0)),"⚠"&amp;TRIM(H298&amp;""))),"⚠"&amp;TRIM(H298&amp;""))</f>
        <v/>
      </c>
      <c r="Q298" s="10">
        <f>IFERROR(IF(TRIM(I298&amp;"")="","",IF(AND(ISNUMBER(FIND(" ",TRIM(I298&amp;""))),ISNUMBER(MATCH(LEFT(TRIM(I298&amp;""),FIND(" ",TRIM(I298&amp;""))-1),설정_코드표!$J$2:$J$101,0)),ISNUMBER(MATCH(TRIM(RIGHT(SUBSTITUTE(TRIM(I298&amp;"")," ",REPT(" ",60)),60)),설정_코드표!$F$2:$F$101,0))),INDEX(설정_코드표!$K$2:$K$101,MATCH(LEFT(TRIM(I298&amp;""),FIND(" ",TRIM(I298&amp;""))-1),설정_코드표!$J$2:$J$101,0))&amp;" "&amp;INDEX(설정_코드표!$G$2:$G$101,MATCH(TRIM(RIGHT(SUBSTITUTE(TRIM(I298&amp;"")," ",REPT(" ",60)),60)),설정_코드표!$F$2:$F$101,0)),"⚠"&amp;TRIM(I298&amp;""))),"⚠"&amp;TRIM(I298&amp;""))</f>
        <v/>
      </c>
      <c r="R298" s="10">
        <f>IFERROR(IF(TRIM(J298&amp;"")="","",IF(AND(ISNUMBER(FIND(" ",TRIM(J298&amp;""))),ISNUMBER(MATCH(LEFT(TRIM(J298&amp;""),FIND(" ",TRIM(J298&amp;""))-1),설정_코드표!$J$2:$J$101,0)),ISNUMBER(MATCH(TRIM(RIGHT(SUBSTITUTE(TRIM(J298&amp;"")," ",REPT(" ",60)),60)),설정_코드표!$F$2:$F$101,0))),INDEX(설정_코드표!$K$2:$K$101,MATCH(LEFT(TRIM(J298&amp;""),FIND(" ",TRIM(J298&amp;""))-1),설정_코드표!$J$2:$J$101,0))&amp;" "&amp;INDEX(설정_코드표!$G$2:$G$101,MATCH(TRIM(RIGHT(SUBSTITUTE(TRIM(J298&amp;"")," ",REPT(" ",60)),60)),설정_코드표!$F$2:$F$101,0)),"⚠"&amp;TRIM(J298&amp;""))),"⚠"&amp;TRIM(J298&amp;""))</f>
        <v/>
      </c>
      <c r="S298" s="11">
        <f>IF(K298="","",IFERROR(IF(AND(ROUND((VALUE(K298&amp;"")-INT(VALUE(K298&amp;"")))*100,0)&gt;=1,ROUND((VALUE(K298&amp;"")-INT(VALUE(K298&amp;"")))*100,0)&lt;=12,INT(VALUE(K298&amp;""))&gt;=1900),DATE(INT(VALUE(K298&amp;"")),ROUND((VALUE(K298&amp;"")-INT(VALUE(K298&amp;"")))*100,0),1),K298&amp;""),K298&amp;""))</f>
        <v/>
      </c>
      <c r="T298" s="10">
        <f>COUNTIF(M298:R298,"⚠*")</f>
        <v/>
      </c>
    </row>
    <row r="299"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M299" s="10">
        <f>IFERROR(IF(TRIM(E299&amp;"")="","",IF(AND(ISNUMBER(FIND(" ",TRIM(E299&amp;""))),ISNUMBER(MATCH(LEFT(TRIM(E299&amp;""),FIND(" ",TRIM(E299&amp;""))-1),설정_코드표!$J$2:$J$101,0)),ISNUMBER(MATCH(TRIM(RIGHT(SUBSTITUTE(TRIM(E299&amp;"")," ",REPT(" ",60)),60)),설정_코드표!$F$2:$F$101,0))),INDEX(설정_코드표!$K$2:$K$101,MATCH(LEFT(TRIM(E299&amp;""),FIND(" ",TRIM(E299&amp;""))-1),설정_코드표!$J$2:$J$101,0))&amp;" "&amp;INDEX(설정_코드표!$G$2:$G$101,MATCH(TRIM(RIGHT(SUBSTITUTE(TRIM(E299&amp;"")," ",REPT(" ",60)),60)),설정_코드표!$F$2:$F$101,0)),"⚠"&amp;TRIM(E299&amp;""))),"⚠"&amp;TRIM(E299&amp;""))</f>
        <v/>
      </c>
      <c r="N299" s="10">
        <f>IFERROR(IF(TRIM(F299&amp;"")="","",IF(AND(ISNUMBER(FIND(" ",TRIM(F299&amp;""))),ISNUMBER(MATCH(LEFT(TRIM(F299&amp;""),FIND(" ",TRIM(F299&amp;""))-1),설정_코드표!$J$2:$J$101,0)),ISNUMBER(MATCH(TRIM(RIGHT(SUBSTITUTE(TRIM(F299&amp;"")," ",REPT(" ",60)),60)),설정_코드표!$F$2:$F$101,0))),INDEX(설정_코드표!$K$2:$K$101,MATCH(LEFT(TRIM(F299&amp;""),FIND(" ",TRIM(F299&amp;""))-1),설정_코드표!$J$2:$J$101,0))&amp;" "&amp;INDEX(설정_코드표!$G$2:$G$101,MATCH(TRIM(RIGHT(SUBSTITUTE(TRIM(F299&amp;"")," ",REPT(" ",60)),60)),설정_코드표!$F$2:$F$101,0)),"⚠"&amp;TRIM(F299&amp;""))),"⚠"&amp;TRIM(F299&amp;""))</f>
        <v/>
      </c>
      <c r="O299" s="10">
        <f>IFERROR(IF(TRIM(G299&amp;"")="","",IF(AND(ISNUMBER(FIND(" ",TRIM(G299&amp;""))),ISNUMBER(MATCH(LEFT(TRIM(G299&amp;""),FIND(" ",TRIM(G299&amp;""))-1),설정_코드표!$J$2:$J$101,0)),ISNUMBER(MATCH(TRIM(RIGHT(SUBSTITUTE(TRIM(G299&amp;"")," ",REPT(" ",60)),60)),설정_코드표!$F$2:$F$101,0))),INDEX(설정_코드표!$K$2:$K$101,MATCH(LEFT(TRIM(G299&amp;""),FIND(" ",TRIM(G299&amp;""))-1),설정_코드표!$J$2:$J$101,0))&amp;" "&amp;INDEX(설정_코드표!$G$2:$G$101,MATCH(TRIM(RIGHT(SUBSTITUTE(TRIM(G299&amp;"")," ",REPT(" ",60)),60)),설정_코드표!$F$2:$F$101,0)),"⚠"&amp;TRIM(G299&amp;""))),"⚠"&amp;TRIM(G299&amp;""))</f>
        <v/>
      </c>
      <c r="P299" s="10">
        <f>IFERROR(IF(TRIM(H299&amp;"")="","",IF(AND(ISNUMBER(FIND(" ",TRIM(H299&amp;""))),ISNUMBER(MATCH(LEFT(TRIM(H299&amp;""),FIND(" ",TRIM(H299&amp;""))-1),설정_코드표!$J$2:$J$101,0)),ISNUMBER(MATCH(TRIM(RIGHT(SUBSTITUTE(TRIM(H299&amp;"")," ",REPT(" ",60)),60)),설정_코드표!$F$2:$F$101,0))),INDEX(설정_코드표!$K$2:$K$101,MATCH(LEFT(TRIM(H299&amp;""),FIND(" ",TRIM(H299&amp;""))-1),설정_코드표!$J$2:$J$101,0))&amp;" "&amp;INDEX(설정_코드표!$G$2:$G$101,MATCH(TRIM(RIGHT(SUBSTITUTE(TRIM(H299&amp;"")," ",REPT(" ",60)),60)),설정_코드표!$F$2:$F$101,0)),"⚠"&amp;TRIM(H299&amp;""))),"⚠"&amp;TRIM(H299&amp;""))</f>
        <v/>
      </c>
      <c r="Q299" s="10">
        <f>IFERROR(IF(TRIM(I299&amp;"")="","",IF(AND(ISNUMBER(FIND(" ",TRIM(I299&amp;""))),ISNUMBER(MATCH(LEFT(TRIM(I299&amp;""),FIND(" ",TRIM(I299&amp;""))-1),설정_코드표!$J$2:$J$101,0)),ISNUMBER(MATCH(TRIM(RIGHT(SUBSTITUTE(TRIM(I299&amp;"")," ",REPT(" ",60)),60)),설정_코드표!$F$2:$F$101,0))),INDEX(설정_코드표!$K$2:$K$101,MATCH(LEFT(TRIM(I299&amp;""),FIND(" ",TRIM(I299&amp;""))-1),설정_코드표!$J$2:$J$101,0))&amp;" "&amp;INDEX(설정_코드표!$G$2:$G$101,MATCH(TRIM(RIGHT(SUBSTITUTE(TRIM(I299&amp;"")," ",REPT(" ",60)),60)),설정_코드표!$F$2:$F$101,0)),"⚠"&amp;TRIM(I299&amp;""))),"⚠"&amp;TRIM(I299&amp;""))</f>
        <v/>
      </c>
      <c r="R299" s="10">
        <f>IFERROR(IF(TRIM(J299&amp;"")="","",IF(AND(ISNUMBER(FIND(" ",TRIM(J299&amp;""))),ISNUMBER(MATCH(LEFT(TRIM(J299&amp;""),FIND(" ",TRIM(J299&amp;""))-1),설정_코드표!$J$2:$J$101,0)),ISNUMBER(MATCH(TRIM(RIGHT(SUBSTITUTE(TRIM(J299&amp;"")," ",REPT(" ",60)),60)),설정_코드표!$F$2:$F$101,0))),INDEX(설정_코드표!$K$2:$K$101,MATCH(LEFT(TRIM(J299&amp;""),FIND(" ",TRIM(J299&amp;""))-1),설정_코드표!$J$2:$J$101,0))&amp;" "&amp;INDEX(설정_코드표!$G$2:$G$101,MATCH(TRIM(RIGHT(SUBSTITUTE(TRIM(J299&amp;"")," ",REPT(" ",60)),60)),설정_코드표!$F$2:$F$101,0)),"⚠"&amp;TRIM(J299&amp;""))),"⚠"&amp;TRIM(J299&amp;""))</f>
        <v/>
      </c>
      <c r="S299" s="11">
        <f>IF(K299="","",IFERROR(IF(AND(ROUND((VALUE(K299&amp;"")-INT(VALUE(K299&amp;"")))*100,0)&gt;=1,ROUND((VALUE(K299&amp;"")-INT(VALUE(K299&amp;"")))*100,0)&lt;=12,INT(VALUE(K299&amp;""))&gt;=1900),DATE(INT(VALUE(K299&amp;"")),ROUND((VALUE(K299&amp;"")-INT(VALUE(K299&amp;"")))*100,0),1),K299&amp;""),K299&amp;""))</f>
        <v/>
      </c>
      <c r="T299" s="10">
        <f>COUNTIF(M299:R299,"⚠*")</f>
        <v/>
      </c>
    </row>
    <row r="300"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M300" s="10">
        <f>IFERROR(IF(TRIM(E300&amp;"")="","",IF(AND(ISNUMBER(FIND(" ",TRIM(E300&amp;""))),ISNUMBER(MATCH(LEFT(TRIM(E300&amp;""),FIND(" ",TRIM(E300&amp;""))-1),설정_코드표!$J$2:$J$101,0)),ISNUMBER(MATCH(TRIM(RIGHT(SUBSTITUTE(TRIM(E300&amp;"")," ",REPT(" ",60)),60)),설정_코드표!$F$2:$F$101,0))),INDEX(설정_코드표!$K$2:$K$101,MATCH(LEFT(TRIM(E300&amp;""),FIND(" ",TRIM(E300&amp;""))-1),설정_코드표!$J$2:$J$101,0))&amp;" "&amp;INDEX(설정_코드표!$G$2:$G$101,MATCH(TRIM(RIGHT(SUBSTITUTE(TRIM(E300&amp;"")," ",REPT(" ",60)),60)),설정_코드표!$F$2:$F$101,0)),"⚠"&amp;TRIM(E300&amp;""))),"⚠"&amp;TRIM(E300&amp;""))</f>
        <v/>
      </c>
      <c r="N300" s="10">
        <f>IFERROR(IF(TRIM(F300&amp;"")="","",IF(AND(ISNUMBER(FIND(" ",TRIM(F300&amp;""))),ISNUMBER(MATCH(LEFT(TRIM(F300&amp;""),FIND(" ",TRIM(F300&amp;""))-1),설정_코드표!$J$2:$J$101,0)),ISNUMBER(MATCH(TRIM(RIGHT(SUBSTITUTE(TRIM(F300&amp;"")," ",REPT(" ",60)),60)),설정_코드표!$F$2:$F$101,0))),INDEX(설정_코드표!$K$2:$K$101,MATCH(LEFT(TRIM(F300&amp;""),FIND(" ",TRIM(F300&amp;""))-1),설정_코드표!$J$2:$J$101,0))&amp;" "&amp;INDEX(설정_코드표!$G$2:$G$101,MATCH(TRIM(RIGHT(SUBSTITUTE(TRIM(F300&amp;"")," ",REPT(" ",60)),60)),설정_코드표!$F$2:$F$101,0)),"⚠"&amp;TRIM(F300&amp;""))),"⚠"&amp;TRIM(F300&amp;""))</f>
        <v/>
      </c>
      <c r="O300" s="10">
        <f>IFERROR(IF(TRIM(G300&amp;"")="","",IF(AND(ISNUMBER(FIND(" ",TRIM(G300&amp;""))),ISNUMBER(MATCH(LEFT(TRIM(G300&amp;""),FIND(" ",TRIM(G300&amp;""))-1),설정_코드표!$J$2:$J$101,0)),ISNUMBER(MATCH(TRIM(RIGHT(SUBSTITUTE(TRIM(G300&amp;"")," ",REPT(" ",60)),60)),설정_코드표!$F$2:$F$101,0))),INDEX(설정_코드표!$K$2:$K$101,MATCH(LEFT(TRIM(G300&amp;""),FIND(" ",TRIM(G300&amp;""))-1),설정_코드표!$J$2:$J$101,0))&amp;" "&amp;INDEX(설정_코드표!$G$2:$G$101,MATCH(TRIM(RIGHT(SUBSTITUTE(TRIM(G300&amp;"")," ",REPT(" ",60)),60)),설정_코드표!$F$2:$F$101,0)),"⚠"&amp;TRIM(G300&amp;""))),"⚠"&amp;TRIM(G300&amp;""))</f>
        <v/>
      </c>
      <c r="P300" s="10">
        <f>IFERROR(IF(TRIM(H300&amp;"")="","",IF(AND(ISNUMBER(FIND(" ",TRIM(H300&amp;""))),ISNUMBER(MATCH(LEFT(TRIM(H300&amp;""),FIND(" ",TRIM(H300&amp;""))-1),설정_코드표!$J$2:$J$101,0)),ISNUMBER(MATCH(TRIM(RIGHT(SUBSTITUTE(TRIM(H300&amp;"")," ",REPT(" ",60)),60)),설정_코드표!$F$2:$F$101,0))),INDEX(설정_코드표!$K$2:$K$101,MATCH(LEFT(TRIM(H300&amp;""),FIND(" ",TRIM(H300&amp;""))-1),설정_코드표!$J$2:$J$101,0))&amp;" "&amp;INDEX(설정_코드표!$G$2:$G$101,MATCH(TRIM(RIGHT(SUBSTITUTE(TRIM(H300&amp;"")," ",REPT(" ",60)),60)),설정_코드표!$F$2:$F$101,0)),"⚠"&amp;TRIM(H300&amp;""))),"⚠"&amp;TRIM(H300&amp;""))</f>
        <v/>
      </c>
      <c r="Q300" s="10">
        <f>IFERROR(IF(TRIM(I300&amp;"")="","",IF(AND(ISNUMBER(FIND(" ",TRIM(I300&amp;""))),ISNUMBER(MATCH(LEFT(TRIM(I300&amp;""),FIND(" ",TRIM(I300&amp;""))-1),설정_코드표!$J$2:$J$101,0)),ISNUMBER(MATCH(TRIM(RIGHT(SUBSTITUTE(TRIM(I300&amp;"")," ",REPT(" ",60)),60)),설정_코드표!$F$2:$F$101,0))),INDEX(설정_코드표!$K$2:$K$101,MATCH(LEFT(TRIM(I300&amp;""),FIND(" ",TRIM(I300&amp;""))-1),설정_코드표!$J$2:$J$101,0))&amp;" "&amp;INDEX(설정_코드표!$G$2:$G$101,MATCH(TRIM(RIGHT(SUBSTITUTE(TRIM(I300&amp;"")," ",REPT(" ",60)),60)),설정_코드표!$F$2:$F$101,0)),"⚠"&amp;TRIM(I300&amp;""))),"⚠"&amp;TRIM(I300&amp;""))</f>
        <v/>
      </c>
      <c r="R300" s="10">
        <f>IFERROR(IF(TRIM(J300&amp;"")="","",IF(AND(ISNUMBER(FIND(" ",TRIM(J300&amp;""))),ISNUMBER(MATCH(LEFT(TRIM(J300&amp;""),FIND(" ",TRIM(J300&amp;""))-1),설정_코드표!$J$2:$J$101,0)),ISNUMBER(MATCH(TRIM(RIGHT(SUBSTITUTE(TRIM(J300&amp;"")," ",REPT(" ",60)),60)),설정_코드표!$F$2:$F$101,0))),INDEX(설정_코드표!$K$2:$K$101,MATCH(LEFT(TRIM(J300&amp;""),FIND(" ",TRIM(J300&amp;""))-1),설정_코드표!$J$2:$J$101,0))&amp;" "&amp;INDEX(설정_코드표!$G$2:$G$101,MATCH(TRIM(RIGHT(SUBSTITUTE(TRIM(J300&amp;"")," ",REPT(" ",60)),60)),설정_코드표!$F$2:$F$101,0)),"⚠"&amp;TRIM(J300&amp;""))),"⚠"&amp;TRIM(J300&amp;""))</f>
        <v/>
      </c>
      <c r="S300" s="11">
        <f>IF(K300="","",IFERROR(IF(AND(ROUND((VALUE(K300&amp;"")-INT(VALUE(K300&amp;"")))*100,0)&gt;=1,ROUND((VALUE(K300&amp;"")-INT(VALUE(K300&amp;"")))*100,0)&lt;=12,INT(VALUE(K300&amp;""))&gt;=1900),DATE(INT(VALUE(K300&amp;"")),ROUND((VALUE(K300&amp;"")-INT(VALUE(K300&amp;"")))*100,0),1),K300&amp;""),K300&amp;""))</f>
        <v/>
      </c>
      <c r="T300" s="10">
        <f>COUNTIF(M300:R300,"⚠*")</f>
        <v/>
      </c>
    </row>
    <row r="301"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M301" s="10">
        <f>IFERROR(IF(TRIM(E301&amp;"")="","",IF(AND(ISNUMBER(FIND(" ",TRIM(E301&amp;""))),ISNUMBER(MATCH(LEFT(TRIM(E301&amp;""),FIND(" ",TRIM(E301&amp;""))-1),설정_코드표!$J$2:$J$101,0)),ISNUMBER(MATCH(TRIM(RIGHT(SUBSTITUTE(TRIM(E301&amp;"")," ",REPT(" ",60)),60)),설정_코드표!$F$2:$F$101,0))),INDEX(설정_코드표!$K$2:$K$101,MATCH(LEFT(TRIM(E301&amp;""),FIND(" ",TRIM(E301&amp;""))-1),설정_코드표!$J$2:$J$101,0))&amp;" "&amp;INDEX(설정_코드표!$G$2:$G$101,MATCH(TRIM(RIGHT(SUBSTITUTE(TRIM(E301&amp;"")," ",REPT(" ",60)),60)),설정_코드표!$F$2:$F$101,0)),"⚠"&amp;TRIM(E301&amp;""))),"⚠"&amp;TRIM(E301&amp;""))</f>
        <v/>
      </c>
      <c r="N301" s="10">
        <f>IFERROR(IF(TRIM(F301&amp;"")="","",IF(AND(ISNUMBER(FIND(" ",TRIM(F301&amp;""))),ISNUMBER(MATCH(LEFT(TRIM(F301&amp;""),FIND(" ",TRIM(F301&amp;""))-1),설정_코드표!$J$2:$J$101,0)),ISNUMBER(MATCH(TRIM(RIGHT(SUBSTITUTE(TRIM(F301&amp;"")," ",REPT(" ",60)),60)),설정_코드표!$F$2:$F$101,0))),INDEX(설정_코드표!$K$2:$K$101,MATCH(LEFT(TRIM(F301&amp;""),FIND(" ",TRIM(F301&amp;""))-1),설정_코드표!$J$2:$J$101,0))&amp;" "&amp;INDEX(설정_코드표!$G$2:$G$101,MATCH(TRIM(RIGHT(SUBSTITUTE(TRIM(F301&amp;"")," ",REPT(" ",60)),60)),설정_코드표!$F$2:$F$101,0)),"⚠"&amp;TRIM(F301&amp;""))),"⚠"&amp;TRIM(F301&amp;""))</f>
        <v/>
      </c>
      <c r="O301" s="10">
        <f>IFERROR(IF(TRIM(G301&amp;"")="","",IF(AND(ISNUMBER(FIND(" ",TRIM(G301&amp;""))),ISNUMBER(MATCH(LEFT(TRIM(G301&amp;""),FIND(" ",TRIM(G301&amp;""))-1),설정_코드표!$J$2:$J$101,0)),ISNUMBER(MATCH(TRIM(RIGHT(SUBSTITUTE(TRIM(G301&amp;"")," ",REPT(" ",60)),60)),설정_코드표!$F$2:$F$101,0))),INDEX(설정_코드표!$K$2:$K$101,MATCH(LEFT(TRIM(G301&amp;""),FIND(" ",TRIM(G301&amp;""))-1),설정_코드표!$J$2:$J$101,0))&amp;" "&amp;INDEX(설정_코드표!$G$2:$G$101,MATCH(TRIM(RIGHT(SUBSTITUTE(TRIM(G301&amp;"")," ",REPT(" ",60)),60)),설정_코드표!$F$2:$F$101,0)),"⚠"&amp;TRIM(G301&amp;""))),"⚠"&amp;TRIM(G301&amp;""))</f>
        <v/>
      </c>
      <c r="P301" s="10">
        <f>IFERROR(IF(TRIM(H301&amp;"")="","",IF(AND(ISNUMBER(FIND(" ",TRIM(H301&amp;""))),ISNUMBER(MATCH(LEFT(TRIM(H301&amp;""),FIND(" ",TRIM(H301&amp;""))-1),설정_코드표!$J$2:$J$101,0)),ISNUMBER(MATCH(TRIM(RIGHT(SUBSTITUTE(TRIM(H301&amp;"")," ",REPT(" ",60)),60)),설정_코드표!$F$2:$F$101,0))),INDEX(설정_코드표!$K$2:$K$101,MATCH(LEFT(TRIM(H301&amp;""),FIND(" ",TRIM(H301&amp;""))-1),설정_코드표!$J$2:$J$101,0))&amp;" "&amp;INDEX(설정_코드표!$G$2:$G$101,MATCH(TRIM(RIGHT(SUBSTITUTE(TRIM(H301&amp;"")," ",REPT(" ",60)),60)),설정_코드표!$F$2:$F$101,0)),"⚠"&amp;TRIM(H301&amp;""))),"⚠"&amp;TRIM(H301&amp;""))</f>
        <v/>
      </c>
      <c r="Q301" s="10">
        <f>IFERROR(IF(TRIM(I301&amp;"")="","",IF(AND(ISNUMBER(FIND(" ",TRIM(I301&amp;""))),ISNUMBER(MATCH(LEFT(TRIM(I301&amp;""),FIND(" ",TRIM(I301&amp;""))-1),설정_코드표!$J$2:$J$101,0)),ISNUMBER(MATCH(TRIM(RIGHT(SUBSTITUTE(TRIM(I301&amp;"")," ",REPT(" ",60)),60)),설정_코드표!$F$2:$F$101,0))),INDEX(설정_코드표!$K$2:$K$101,MATCH(LEFT(TRIM(I301&amp;""),FIND(" ",TRIM(I301&amp;""))-1),설정_코드표!$J$2:$J$101,0))&amp;" "&amp;INDEX(설정_코드표!$G$2:$G$101,MATCH(TRIM(RIGHT(SUBSTITUTE(TRIM(I301&amp;"")," ",REPT(" ",60)),60)),설정_코드표!$F$2:$F$101,0)),"⚠"&amp;TRIM(I301&amp;""))),"⚠"&amp;TRIM(I301&amp;""))</f>
        <v/>
      </c>
      <c r="R301" s="10">
        <f>IFERROR(IF(TRIM(J301&amp;"")="","",IF(AND(ISNUMBER(FIND(" ",TRIM(J301&amp;""))),ISNUMBER(MATCH(LEFT(TRIM(J301&amp;""),FIND(" ",TRIM(J301&amp;""))-1),설정_코드표!$J$2:$J$101,0)),ISNUMBER(MATCH(TRIM(RIGHT(SUBSTITUTE(TRIM(J301&amp;"")," ",REPT(" ",60)),60)),설정_코드표!$F$2:$F$101,0))),INDEX(설정_코드표!$K$2:$K$101,MATCH(LEFT(TRIM(J301&amp;""),FIND(" ",TRIM(J301&amp;""))-1),설정_코드표!$J$2:$J$101,0))&amp;" "&amp;INDEX(설정_코드표!$G$2:$G$101,MATCH(TRIM(RIGHT(SUBSTITUTE(TRIM(J301&amp;"")," ",REPT(" ",60)),60)),설정_코드표!$F$2:$F$101,0)),"⚠"&amp;TRIM(J301&amp;""))),"⚠"&amp;TRIM(J301&amp;""))</f>
        <v/>
      </c>
      <c r="S301" s="11">
        <f>IF(K301="","",IFERROR(IF(AND(ROUND((VALUE(K301&amp;"")-INT(VALUE(K301&amp;"")))*100,0)&gt;=1,ROUND((VALUE(K301&amp;"")-INT(VALUE(K301&amp;"")))*100,0)&lt;=12,INT(VALUE(K301&amp;""))&gt;=1900),DATE(INT(VALUE(K301&amp;"")),ROUND((VALUE(K301&amp;"")-INT(VALUE(K301&amp;"")))*100,0),1),K301&amp;""),K301&amp;""))</f>
        <v/>
      </c>
      <c r="T301" s="10">
        <f>COUNTIF(M301:R301,"⚠*")</f>
        <v/>
      </c>
    </row>
    <row r="302"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M302" s="10">
        <f>IFERROR(IF(TRIM(E302&amp;"")="","",IF(AND(ISNUMBER(FIND(" ",TRIM(E302&amp;""))),ISNUMBER(MATCH(LEFT(TRIM(E302&amp;""),FIND(" ",TRIM(E302&amp;""))-1),설정_코드표!$J$2:$J$101,0)),ISNUMBER(MATCH(TRIM(RIGHT(SUBSTITUTE(TRIM(E302&amp;"")," ",REPT(" ",60)),60)),설정_코드표!$F$2:$F$101,0))),INDEX(설정_코드표!$K$2:$K$101,MATCH(LEFT(TRIM(E302&amp;""),FIND(" ",TRIM(E302&amp;""))-1),설정_코드표!$J$2:$J$101,0))&amp;" "&amp;INDEX(설정_코드표!$G$2:$G$101,MATCH(TRIM(RIGHT(SUBSTITUTE(TRIM(E302&amp;"")," ",REPT(" ",60)),60)),설정_코드표!$F$2:$F$101,0)),"⚠"&amp;TRIM(E302&amp;""))),"⚠"&amp;TRIM(E302&amp;""))</f>
        <v/>
      </c>
      <c r="N302" s="10">
        <f>IFERROR(IF(TRIM(F302&amp;"")="","",IF(AND(ISNUMBER(FIND(" ",TRIM(F302&amp;""))),ISNUMBER(MATCH(LEFT(TRIM(F302&amp;""),FIND(" ",TRIM(F302&amp;""))-1),설정_코드표!$J$2:$J$101,0)),ISNUMBER(MATCH(TRIM(RIGHT(SUBSTITUTE(TRIM(F302&amp;"")," ",REPT(" ",60)),60)),설정_코드표!$F$2:$F$101,0))),INDEX(설정_코드표!$K$2:$K$101,MATCH(LEFT(TRIM(F302&amp;""),FIND(" ",TRIM(F302&amp;""))-1),설정_코드표!$J$2:$J$101,0))&amp;" "&amp;INDEX(설정_코드표!$G$2:$G$101,MATCH(TRIM(RIGHT(SUBSTITUTE(TRIM(F302&amp;"")," ",REPT(" ",60)),60)),설정_코드표!$F$2:$F$101,0)),"⚠"&amp;TRIM(F302&amp;""))),"⚠"&amp;TRIM(F302&amp;""))</f>
        <v/>
      </c>
      <c r="O302" s="10">
        <f>IFERROR(IF(TRIM(G302&amp;"")="","",IF(AND(ISNUMBER(FIND(" ",TRIM(G302&amp;""))),ISNUMBER(MATCH(LEFT(TRIM(G302&amp;""),FIND(" ",TRIM(G302&amp;""))-1),설정_코드표!$J$2:$J$101,0)),ISNUMBER(MATCH(TRIM(RIGHT(SUBSTITUTE(TRIM(G302&amp;"")," ",REPT(" ",60)),60)),설정_코드표!$F$2:$F$101,0))),INDEX(설정_코드표!$K$2:$K$101,MATCH(LEFT(TRIM(G302&amp;""),FIND(" ",TRIM(G302&amp;""))-1),설정_코드표!$J$2:$J$101,0))&amp;" "&amp;INDEX(설정_코드표!$G$2:$G$101,MATCH(TRIM(RIGHT(SUBSTITUTE(TRIM(G302&amp;"")," ",REPT(" ",60)),60)),설정_코드표!$F$2:$F$101,0)),"⚠"&amp;TRIM(G302&amp;""))),"⚠"&amp;TRIM(G302&amp;""))</f>
        <v/>
      </c>
      <c r="P302" s="10">
        <f>IFERROR(IF(TRIM(H302&amp;"")="","",IF(AND(ISNUMBER(FIND(" ",TRIM(H302&amp;""))),ISNUMBER(MATCH(LEFT(TRIM(H302&amp;""),FIND(" ",TRIM(H302&amp;""))-1),설정_코드표!$J$2:$J$101,0)),ISNUMBER(MATCH(TRIM(RIGHT(SUBSTITUTE(TRIM(H302&amp;"")," ",REPT(" ",60)),60)),설정_코드표!$F$2:$F$101,0))),INDEX(설정_코드표!$K$2:$K$101,MATCH(LEFT(TRIM(H302&amp;""),FIND(" ",TRIM(H302&amp;""))-1),설정_코드표!$J$2:$J$101,0))&amp;" "&amp;INDEX(설정_코드표!$G$2:$G$101,MATCH(TRIM(RIGHT(SUBSTITUTE(TRIM(H302&amp;"")," ",REPT(" ",60)),60)),설정_코드표!$F$2:$F$101,0)),"⚠"&amp;TRIM(H302&amp;""))),"⚠"&amp;TRIM(H302&amp;""))</f>
        <v/>
      </c>
      <c r="Q302" s="10">
        <f>IFERROR(IF(TRIM(I302&amp;"")="","",IF(AND(ISNUMBER(FIND(" ",TRIM(I302&amp;""))),ISNUMBER(MATCH(LEFT(TRIM(I302&amp;""),FIND(" ",TRIM(I302&amp;""))-1),설정_코드표!$J$2:$J$101,0)),ISNUMBER(MATCH(TRIM(RIGHT(SUBSTITUTE(TRIM(I302&amp;"")," ",REPT(" ",60)),60)),설정_코드표!$F$2:$F$101,0))),INDEX(설정_코드표!$K$2:$K$101,MATCH(LEFT(TRIM(I302&amp;""),FIND(" ",TRIM(I302&amp;""))-1),설정_코드표!$J$2:$J$101,0))&amp;" "&amp;INDEX(설정_코드표!$G$2:$G$101,MATCH(TRIM(RIGHT(SUBSTITUTE(TRIM(I302&amp;"")," ",REPT(" ",60)),60)),설정_코드표!$F$2:$F$101,0)),"⚠"&amp;TRIM(I302&amp;""))),"⚠"&amp;TRIM(I302&amp;""))</f>
        <v/>
      </c>
      <c r="R302" s="10">
        <f>IFERROR(IF(TRIM(J302&amp;"")="","",IF(AND(ISNUMBER(FIND(" ",TRIM(J302&amp;""))),ISNUMBER(MATCH(LEFT(TRIM(J302&amp;""),FIND(" ",TRIM(J302&amp;""))-1),설정_코드표!$J$2:$J$101,0)),ISNUMBER(MATCH(TRIM(RIGHT(SUBSTITUTE(TRIM(J302&amp;"")," ",REPT(" ",60)),60)),설정_코드표!$F$2:$F$101,0))),INDEX(설정_코드표!$K$2:$K$101,MATCH(LEFT(TRIM(J302&amp;""),FIND(" ",TRIM(J302&amp;""))-1),설정_코드표!$J$2:$J$101,0))&amp;" "&amp;INDEX(설정_코드표!$G$2:$G$101,MATCH(TRIM(RIGHT(SUBSTITUTE(TRIM(J302&amp;"")," ",REPT(" ",60)),60)),설정_코드표!$F$2:$F$101,0)),"⚠"&amp;TRIM(J302&amp;""))),"⚠"&amp;TRIM(J302&amp;""))</f>
        <v/>
      </c>
      <c r="S302" s="11">
        <f>IF(K302="","",IFERROR(IF(AND(ROUND((VALUE(K302&amp;"")-INT(VALUE(K302&amp;"")))*100,0)&gt;=1,ROUND((VALUE(K302&amp;"")-INT(VALUE(K302&amp;"")))*100,0)&lt;=12,INT(VALUE(K302&amp;""))&gt;=1900),DATE(INT(VALUE(K302&amp;"")),ROUND((VALUE(K302&amp;"")-INT(VALUE(K302&amp;"")))*100,0),1),K302&amp;""),K302&amp;""))</f>
        <v/>
      </c>
      <c r="T302" s="10">
        <f>COUNTIF(M302:R302,"⚠*")</f>
        <v/>
      </c>
    </row>
    <row r="303"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M303" s="10">
        <f>IFERROR(IF(TRIM(E303&amp;"")="","",IF(AND(ISNUMBER(FIND(" ",TRIM(E303&amp;""))),ISNUMBER(MATCH(LEFT(TRIM(E303&amp;""),FIND(" ",TRIM(E303&amp;""))-1),설정_코드표!$J$2:$J$101,0)),ISNUMBER(MATCH(TRIM(RIGHT(SUBSTITUTE(TRIM(E303&amp;"")," ",REPT(" ",60)),60)),설정_코드표!$F$2:$F$101,0))),INDEX(설정_코드표!$K$2:$K$101,MATCH(LEFT(TRIM(E303&amp;""),FIND(" ",TRIM(E303&amp;""))-1),설정_코드표!$J$2:$J$101,0))&amp;" "&amp;INDEX(설정_코드표!$G$2:$G$101,MATCH(TRIM(RIGHT(SUBSTITUTE(TRIM(E303&amp;"")," ",REPT(" ",60)),60)),설정_코드표!$F$2:$F$101,0)),"⚠"&amp;TRIM(E303&amp;""))),"⚠"&amp;TRIM(E303&amp;""))</f>
        <v/>
      </c>
      <c r="N303" s="10">
        <f>IFERROR(IF(TRIM(F303&amp;"")="","",IF(AND(ISNUMBER(FIND(" ",TRIM(F303&amp;""))),ISNUMBER(MATCH(LEFT(TRIM(F303&amp;""),FIND(" ",TRIM(F303&amp;""))-1),설정_코드표!$J$2:$J$101,0)),ISNUMBER(MATCH(TRIM(RIGHT(SUBSTITUTE(TRIM(F303&amp;"")," ",REPT(" ",60)),60)),설정_코드표!$F$2:$F$101,0))),INDEX(설정_코드표!$K$2:$K$101,MATCH(LEFT(TRIM(F303&amp;""),FIND(" ",TRIM(F303&amp;""))-1),설정_코드표!$J$2:$J$101,0))&amp;" "&amp;INDEX(설정_코드표!$G$2:$G$101,MATCH(TRIM(RIGHT(SUBSTITUTE(TRIM(F303&amp;"")," ",REPT(" ",60)),60)),설정_코드표!$F$2:$F$101,0)),"⚠"&amp;TRIM(F303&amp;""))),"⚠"&amp;TRIM(F303&amp;""))</f>
        <v/>
      </c>
      <c r="O303" s="10">
        <f>IFERROR(IF(TRIM(G303&amp;"")="","",IF(AND(ISNUMBER(FIND(" ",TRIM(G303&amp;""))),ISNUMBER(MATCH(LEFT(TRIM(G303&amp;""),FIND(" ",TRIM(G303&amp;""))-1),설정_코드표!$J$2:$J$101,0)),ISNUMBER(MATCH(TRIM(RIGHT(SUBSTITUTE(TRIM(G303&amp;"")," ",REPT(" ",60)),60)),설정_코드표!$F$2:$F$101,0))),INDEX(설정_코드표!$K$2:$K$101,MATCH(LEFT(TRIM(G303&amp;""),FIND(" ",TRIM(G303&amp;""))-1),설정_코드표!$J$2:$J$101,0))&amp;" "&amp;INDEX(설정_코드표!$G$2:$G$101,MATCH(TRIM(RIGHT(SUBSTITUTE(TRIM(G303&amp;"")," ",REPT(" ",60)),60)),설정_코드표!$F$2:$F$101,0)),"⚠"&amp;TRIM(G303&amp;""))),"⚠"&amp;TRIM(G303&amp;""))</f>
        <v/>
      </c>
      <c r="P303" s="10">
        <f>IFERROR(IF(TRIM(H303&amp;"")="","",IF(AND(ISNUMBER(FIND(" ",TRIM(H303&amp;""))),ISNUMBER(MATCH(LEFT(TRIM(H303&amp;""),FIND(" ",TRIM(H303&amp;""))-1),설정_코드표!$J$2:$J$101,0)),ISNUMBER(MATCH(TRIM(RIGHT(SUBSTITUTE(TRIM(H303&amp;"")," ",REPT(" ",60)),60)),설정_코드표!$F$2:$F$101,0))),INDEX(설정_코드표!$K$2:$K$101,MATCH(LEFT(TRIM(H303&amp;""),FIND(" ",TRIM(H303&amp;""))-1),설정_코드표!$J$2:$J$101,0))&amp;" "&amp;INDEX(설정_코드표!$G$2:$G$101,MATCH(TRIM(RIGHT(SUBSTITUTE(TRIM(H303&amp;"")," ",REPT(" ",60)),60)),설정_코드표!$F$2:$F$101,0)),"⚠"&amp;TRIM(H303&amp;""))),"⚠"&amp;TRIM(H303&amp;""))</f>
        <v/>
      </c>
      <c r="Q303" s="10">
        <f>IFERROR(IF(TRIM(I303&amp;"")="","",IF(AND(ISNUMBER(FIND(" ",TRIM(I303&amp;""))),ISNUMBER(MATCH(LEFT(TRIM(I303&amp;""),FIND(" ",TRIM(I303&amp;""))-1),설정_코드표!$J$2:$J$101,0)),ISNUMBER(MATCH(TRIM(RIGHT(SUBSTITUTE(TRIM(I303&amp;"")," ",REPT(" ",60)),60)),설정_코드표!$F$2:$F$101,0))),INDEX(설정_코드표!$K$2:$K$101,MATCH(LEFT(TRIM(I303&amp;""),FIND(" ",TRIM(I303&amp;""))-1),설정_코드표!$J$2:$J$101,0))&amp;" "&amp;INDEX(설정_코드표!$G$2:$G$101,MATCH(TRIM(RIGHT(SUBSTITUTE(TRIM(I303&amp;"")," ",REPT(" ",60)),60)),설정_코드표!$F$2:$F$101,0)),"⚠"&amp;TRIM(I303&amp;""))),"⚠"&amp;TRIM(I303&amp;""))</f>
        <v/>
      </c>
      <c r="R303" s="10">
        <f>IFERROR(IF(TRIM(J303&amp;"")="","",IF(AND(ISNUMBER(FIND(" ",TRIM(J303&amp;""))),ISNUMBER(MATCH(LEFT(TRIM(J303&amp;""),FIND(" ",TRIM(J303&amp;""))-1),설정_코드표!$J$2:$J$101,0)),ISNUMBER(MATCH(TRIM(RIGHT(SUBSTITUTE(TRIM(J303&amp;"")," ",REPT(" ",60)),60)),설정_코드표!$F$2:$F$101,0))),INDEX(설정_코드표!$K$2:$K$101,MATCH(LEFT(TRIM(J303&amp;""),FIND(" ",TRIM(J303&amp;""))-1),설정_코드표!$J$2:$J$101,0))&amp;" "&amp;INDEX(설정_코드표!$G$2:$G$101,MATCH(TRIM(RIGHT(SUBSTITUTE(TRIM(J303&amp;"")," ",REPT(" ",60)),60)),설정_코드표!$F$2:$F$101,0)),"⚠"&amp;TRIM(J303&amp;""))),"⚠"&amp;TRIM(J303&amp;""))</f>
        <v/>
      </c>
      <c r="S303" s="11">
        <f>IF(K303="","",IFERROR(IF(AND(ROUND((VALUE(K303&amp;"")-INT(VALUE(K303&amp;"")))*100,0)&gt;=1,ROUND((VALUE(K303&amp;"")-INT(VALUE(K303&amp;"")))*100,0)&lt;=12,INT(VALUE(K303&amp;""))&gt;=1900),DATE(INT(VALUE(K303&amp;"")),ROUND((VALUE(K303&amp;"")-INT(VALUE(K303&amp;"")))*100,0),1),K303&amp;""),K303&amp;""))</f>
        <v/>
      </c>
      <c r="T303" s="10">
        <f>COUNTIF(M303:R303,"⚠*")</f>
        <v/>
      </c>
    </row>
    <row r="304"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M304" s="10">
        <f>IFERROR(IF(TRIM(E304&amp;"")="","",IF(AND(ISNUMBER(FIND(" ",TRIM(E304&amp;""))),ISNUMBER(MATCH(LEFT(TRIM(E304&amp;""),FIND(" ",TRIM(E304&amp;""))-1),설정_코드표!$J$2:$J$101,0)),ISNUMBER(MATCH(TRIM(RIGHT(SUBSTITUTE(TRIM(E304&amp;"")," ",REPT(" ",60)),60)),설정_코드표!$F$2:$F$101,0))),INDEX(설정_코드표!$K$2:$K$101,MATCH(LEFT(TRIM(E304&amp;""),FIND(" ",TRIM(E304&amp;""))-1),설정_코드표!$J$2:$J$101,0))&amp;" "&amp;INDEX(설정_코드표!$G$2:$G$101,MATCH(TRIM(RIGHT(SUBSTITUTE(TRIM(E304&amp;"")," ",REPT(" ",60)),60)),설정_코드표!$F$2:$F$101,0)),"⚠"&amp;TRIM(E304&amp;""))),"⚠"&amp;TRIM(E304&amp;""))</f>
        <v/>
      </c>
      <c r="N304" s="10">
        <f>IFERROR(IF(TRIM(F304&amp;"")="","",IF(AND(ISNUMBER(FIND(" ",TRIM(F304&amp;""))),ISNUMBER(MATCH(LEFT(TRIM(F304&amp;""),FIND(" ",TRIM(F304&amp;""))-1),설정_코드표!$J$2:$J$101,0)),ISNUMBER(MATCH(TRIM(RIGHT(SUBSTITUTE(TRIM(F304&amp;"")," ",REPT(" ",60)),60)),설정_코드표!$F$2:$F$101,0))),INDEX(설정_코드표!$K$2:$K$101,MATCH(LEFT(TRIM(F304&amp;""),FIND(" ",TRIM(F304&amp;""))-1),설정_코드표!$J$2:$J$101,0))&amp;" "&amp;INDEX(설정_코드표!$G$2:$G$101,MATCH(TRIM(RIGHT(SUBSTITUTE(TRIM(F304&amp;"")," ",REPT(" ",60)),60)),설정_코드표!$F$2:$F$101,0)),"⚠"&amp;TRIM(F304&amp;""))),"⚠"&amp;TRIM(F304&amp;""))</f>
        <v/>
      </c>
      <c r="O304" s="10">
        <f>IFERROR(IF(TRIM(G304&amp;"")="","",IF(AND(ISNUMBER(FIND(" ",TRIM(G304&amp;""))),ISNUMBER(MATCH(LEFT(TRIM(G304&amp;""),FIND(" ",TRIM(G304&amp;""))-1),설정_코드표!$J$2:$J$101,0)),ISNUMBER(MATCH(TRIM(RIGHT(SUBSTITUTE(TRIM(G304&amp;"")," ",REPT(" ",60)),60)),설정_코드표!$F$2:$F$101,0))),INDEX(설정_코드표!$K$2:$K$101,MATCH(LEFT(TRIM(G304&amp;""),FIND(" ",TRIM(G304&amp;""))-1),설정_코드표!$J$2:$J$101,0))&amp;" "&amp;INDEX(설정_코드표!$G$2:$G$101,MATCH(TRIM(RIGHT(SUBSTITUTE(TRIM(G304&amp;"")," ",REPT(" ",60)),60)),설정_코드표!$F$2:$F$101,0)),"⚠"&amp;TRIM(G304&amp;""))),"⚠"&amp;TRIM(G304&amp;""))</f>
        <v/>
      </c>
      <c r="P304" s="10">
        <f>IFERROR(IF(TRIM(H304&amp;"")="","",IF(AND(ISNUMBER(FIND(" ",TRIM(H304&amp;""))),ISNUMBER(MATCH(LEFT(TRIM(H304&amp;""),FIND(" ",TRIM(H304&amp;""))-1),설정_코드표!$J$2:$J$101,0)),ISNUMBER(MATCH(TRIM(RIGHT(SUBSTITUTE(TRIM(H304&amp;"")," ",REPT(" ",60)),60)),설정_코드표!$F$2:$F$101,0))),INDEX(설정_코드표!$K$2:$K$101,MATCH(LEFT(TRIM(H304&amp;""),FIND(" ",TRIM(H304&amp;""))-1),설정_코드표!$J$2:$J$101,0))&amp;" "&amp;INDEX(설정_코드표!$G$2:$G$101,MATCH(TRIM(RIGHT(SUBSTITUTE(TRIM(H304&amp;"")," ",REPT(" ",60)),60)),설정_코드표!$F$2:$F$101,0)),"⚠"&amp;TRIM(H304&amp;""))),"⚠"&amp;TRIM(H304&amp;""))</f>
        <v/>
      </c>
      <c r="Q304" s="10">
        <f>IFERROR(IF(TRIM(I304&amp;"")="","",IF(AND(ISNUMBER(FIND(" ",TRIM(I304&amp;""))),ISNUMBER(MATCH(LEFT(TRIM(I304&amp;""),FIND(" ",TRIM(I304&amp;""))-1),설정_코드표!$J$2:$J$101,0)),ISNUMBER(MATCH(TRIM(RIGHT(SUBSTITUTE(TRIM(I304&amp;"")," ",REPT(" ",60)),60)),설정_코드표!$F$2:$F$101,0))),INDEX(설정_코드표!$K$2:$K$101,MATCH(LEFT(TRIM(I304&amp;""),FIND(" ",TRIM(I304&amp;""))-1),설정_코드표!$J$2:$J$101,0))&amp;" "&amp;INDEX(설정_코드표!$G$2:$G$101,MATCH(TRIM(RIGHT(SUBSTITUTE(TRIM(I304&amp;"")," ",REPT(" ",60)),60)),설정_코드표!$F$2:$F$101,0)),"⚠"&amp;TRIM(I304&amp;""))),"⚠"&amp;TRIM(I304&amp;""))</f>
        <v/>
      </c>
      <c r="R304" s="10">
        <f>IFERROR(IF(TRIM(J304&amp;"")="","",IF(AND(ISNUMBER(FIND(" ",TRIM(J304&amp;""))),ISNUMBER(MATCH(LEFT(TRIM(J304&amp;""),FIND(" ",TRIM(J304&amp;""))-1),설정_코드표!$J$2:$J$101,0)),ISNUMBER(MATCH(TRIM(RIGHT(SUBSTITUTE(TRIM(J304&amp;"")," ",REPT(" ",60)),60)),설정_코드표!$F$2:$F$101,0))),INDEX(설정_코드표!$K$2:$K$101,MATCH(LEFT(TRIM(J304&amp;""),FIND(" ",TRIM(J304&amp;""))-1),설정_코드표!$J$2:$J$101,0))&amp;" "&amp;INDEX(설정_코드표!$G$2:$G$101,MATCH(TRIM(RIGHT(SUBSTITUTE(TRIM(J304&amp;"")," ",REPT(" ",60)),60)),설정_코드표!$F$2:$F$101,0)),"⚠"&amp;TRIM(J304&amp;""))),"⚠"&amp;TRIM(J304&amp;""))</f>
        <v/>
      </c>
      <c r="S304" s="11">
        <f>IF(K304="","",IFERROR(IF(AND(ROUND((VALUE(K304&amp;"")-INT(VALUE(K304&amp;"")))*100,0)&gt;=1,ROUND((VALUE(K304&amp;"")-INT(VALUE(K304&amp;"")))*100,0)&lt;=12,INT(VALUE(K304&amp;""))&gt;=1900),DATE(INT(VALUE(K304&amp;"")),ROUND((VALUE(K304&amp;"")-INT(VALUE(K304&amp;"")))*100,0),1),K304&amp;""),K304&amp;""))</f>
        <v/>
      </c>
      <c r="T304" s="10">
        <f>COUNTIF(M304:R304,"⚠*")</f>
        <v/>
      </c>
    </row>
    <row r="305"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M305" s="10">
        <f>IFERROR(IF(TRIM(E305&amp;"")="","",IF(AND(ISNUMBER(FIND(" ",TRIM(E305&amp;""))),ISNUMBER(MATCH(LEFT(TRIM(E305&amp;""),FIND(" ",TRIM(E305&amp;""))-1),설정_코드표!$J$2:$J$101,0)),ISNUMBER(MATCH(TRIM(RIGHT(SUBSTITUTE(TRIM(E305&amp;"")," ",REPT(" ",60)),60)),설정_코드표!$F$2:$F$101,0))),INDEX(설정_코드표!$K$2:$K$101,MATCH(LEFT(TRIM(E305&amp;""),FIND(" ",TRIM(E305&amp;""))-1),설정_코드표!$J$2:$J$101,0))&amp;" "&amp;INDEX(설정_코드표!$G$2:$G$101,MATCH(TRIM(RIGHT(SUBSTITUTE(TRIM(E305&amp;"")," ",REPT(" ",60)),60)),설정_코드표!$F$2:$F$101,0)),"⚠"&amp;TRIM(E305&amp;""))),"⚠"&amp;TRIM(E305&amp;""))</f>
        <v/>
      </c>
      <c r="N305" s="10">
        <f>IFERROR(IF(TRIM(F305&amp;"")="","",IF(AND(ISNUMBER(FIND(" ",TRIM(F305&amp;""))),ISNUMBER(MATCH(LEFT(TRIM(F305&amp;""),FIND(" ",TRIM(F305&amp;""))-1),설정_코드표!$J$2:$J$101,0)),ISNUMBER(MATCH(TRIM(RIGHT(SUBSTITUTE(TRIM(F305&amp;"")," ",REPT(" ",60)),60)),설정_코드표!$F$2:$F$101,0))),INDEX(설정_코드표!$K$2:$K$101,MATCH(LEFT(TRIM(F305&amp;""),FIND(" ",TRIM(F305&amp;""))-1),설정_코드표!$J$2:$J$101,0))&amp;" "&amp;INDEX(설정_코드표!$G$2:$G$101,MATCH(TRIM(RIGHT(SUBSTITUTE(TRIM(F305&amp;"")," ",REPT(" ",60)),60)),설정_코드표!$F$2:$F$101,0)),"⚠"&amp;TRIM(F305&amp;""))),"⚠"&amp;TRIM(F305&amp;""))</f>
        <v/>
      </c>
      <c r="O305" s="10">
        <f>IFERROR(IF(TRIM(G305&amp;"")="","",IF(AND(ISNUMBER(FIND(" ",TRIM(G305&amp;""))),ISNUMBER(MATCH(LEFT(TRIM(G305&amp;""),FIND(" ",TRIM(G305&amp;""))-1),설정_코드표!$J$2:$J$101,0)),ISNUMBER(MATCH(TRIM(RIGHT(SUBSTITUTE(TRIM(G305&amp;"")," ",REPT(" ",60)),60)),설정_코드표!$F$2:$F$101,0))),INDEX(설정_코드표!$K$2:$K$101,MATCH(LEFT(TRIM(G305&amp;""),FIND(" ",TRIM(G305&amp;""))-1),설정_코드표!$J$2:$J$101,0))&amp;" "&amp;INDEX(설정_코드표!$G$2:$G$101,MATCH(TRIM(RIGHT(SUBSTITUTE(TRIM(G305&amp;"")," ",REPT(" ",60)),60)),설정_코드표!$F$2:$F$101,0)),"⚠"&amp;TRIM(G305&amp;""))),"⚠"&amp;TRIM(G305&amp;""))</f>
        <v/>
      </c>
      <c r="P305" s="10">
        <f>IFERROR(IF(TRIM(H305&amp;"")="","",IF(AND(ISNUMBER(FIND(" ",TRIM(H305&amp;""))),ISNUMBER(MATCH(LEFT(TRIM(H305&amp;""),FIND(" ",TRIM(H305&amp;""))-1),설정_코드표!$J$2:$J$101,0)),ISNUMBER(MATCH(TRIM(RIGHT(SUBSTITUTE(TRIM(H305&amp;"")," ",REPT(" ",60)),60)),설정_코드표!$F$2:$F$101,0))),INDEX(설정_코드표!$K$2:$K$101,MATCH(LEFT(TRIM(H305&amp;""),FIND(" ",TRIM(H305&amp;""))-1),설정_코드표!$J$2:$J$101,0))&amp;" "&amp;INDEX(설정_코드표!$G$2:$G$101,MATCH(TRIM(RIGHT(SUBSTITUTE(TRIM(H305&amp;"")," ",REPT(" ",60)),60)),설정_코드표!$F$2:$F$101,0)),"⚠"&amp;TRIM(H305&amp;""))),"⚠"&amp;TRIM(H305&amp;""))</f>
        <v/>
      </c>
      <c r="Q305" s="10">
        <f>IFERROR(IF(TRIM(I305&amp;"")="","",IF(AND(ISNUMBER(FIND(" ",TRIM(I305&amp;""))),ISNUMBER(MATCH(LEFT(TRIM(I305&amp;""),FIND(" ",TRIM(I305&amp;""))-1),설정_코드표!$J$2:$J$101,0)),ISNUMBER(MATCH(TRIM(RIGHT(SUBSTITUTE(TRIM(I305&amp;"")," ",REPT(" ",60)),60)),설정_코드표!$F$2:$F$101,0))),INDEX(설정_코드표!$K$2:$K$101,MATCH(LEFT(TRIM(I305&amp;""),FIND(" ",TRIM(I305&amp;""))-1),설정_코드표!$J$2:$J$101,0))&amp;" "&amp;INDEX(설정_코드표!$G$2:$G$101,MATCH(TRIM(RIGHT(SUBSTITUTE(TRIM(I305&amp;"")," ",REPT(" ",60)),60)),설정_코드표!$F$2:$F$101,0)),"⚠"&amp;TRIM(I305&amp;""))),"⚠"&amp;TRIM(I305&amp;""))</f>
        <v/>
      </c>
      <c r="R305" s="10">
        <f>IFERROR(IF(TRIM(J305&amp;"")="","",IF(AND(ISNUMBER(FIND(" ",TRIM(J305&amp;""))),ISNUMBER(MATCH(LEFT(TRIM(J305&amp;""),FIND(" ",TRIM(J305&amp;""))-1),설정_코드표!$J$2:$J$101,0)),ISNUMBER(MATCH(TRIM(RIGHT(SUBSTITUTE(TRIM(J305&amp;"")," ",REPT(" ",60)),60)),설정_코드표!$F$2:$F$101,0))),INDEX(설정_코드표!$K$2:$K$101,MATCH(LEFT(TRIM(J305&amp;""),FIND(" ",TRIM(J305&amp;""))-1),설정_코드표!$J$2:$J$101,0))&amp;" "&amp;INDEX(설정_코드표!$G$2:$G$101,MATCH(TRIM(RIGHT(SUBSTITUTE(TRIM(J305&amp;"")," ",REPT(" ",60)),60)),설정_코드표!$F$2:$F$101,0)),"⚠"&amp;TRIM(J305&amp;""))),"⚠"&amp;TRIM(J305&amp;""))</f>
        <v/>
      </c>
      <c r="S305" s="11">
        <f>IF(K305="","",IFERROR(IF(AND(ROUND((VALUE(K305&amp;"")-INT(VALUE(K305&amp;"")))*100,0)&gt;=1,ROUND((VALUE(K305&amp;"")-INT(VALUE(K305&amp;"")))*100,0)&lt;=12,INT(VALUE(K305&amp;""))&gt;=1900),DATE(INT(VALUE(K305&amp;"")),ROUND((VALUE(K305&amp;"")-INT(VALUE(K305&amp;"")))*100,0),1),K305&amp;""),K305&amp;""))</f>
        <v/>
      </c>
      <c r="T305" s="10">
        <f>COUNTIF(M305:R305,"⚠*")</f>
        <v/>
      </c>
    </row>
    <row r="306"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M306" s="10">
        <f>IFERROR(IF(TRIM(E306&amp;"")="","",IF(AND(ISNUMBER(FIND(" ",TRIM(E306&amp;""))),ISNUMBER(MATCH(LEFT(TRIM(E306&amp;""),FIND(" ",TRIM(E306&amp;""))-1),설정_코드표!$J$2:$J$101,0)),ISNUMBER(MATCH(TRIM(RIGHT(SUBSTITUTE(TRIM(E306&amp;"")," ",REPT(" ",60)),60)),설정_코드표!$F$2:$F$101,0))),INDEX(설정_코드표!$K$2:$K$101,MATCH(LEFT(TRIM(E306&amp;""),FIND(" ",TRIM(E306&amp;""))-1),설정_코드표!$J$2:$J$101,0))&amp;" "&amp;INDEX(설정_코드표!$G$2:$G$101,MATCH(TRIM(RIGHT(SUBSTITUTE(TRIM(E306&amp;"")," ",REPT(" ",60)),60)),설정_코드표!$F$2:$F$101,0)),"⚠"&amp;TRIM(E306&amp;""))),"⚠"&amp;TRIM(E306&amp;""))</f>
        <v/>
      </c>
      <c r="N306" s="10">
        <f>IFERROR(IF(TRIM(F306&amp;"")="","",IF(AND(ISNUMBER(FIND(" ",TRIM(F306&amp;""))),ISNUMBER(MATCH(LEFT(TRIM(F306&amp;""),FIND(" ",TRIM(F306&amp;""))-1),설정_코드표!$J$2:$J$101,0)),ISNUMBER(MATCH(TRIM(RIGHT(SUBSTITUTE(TRIM(F306&amp;"")," ",REPT(" ",60)),60)),설정_코드표!$F$2:$F$101,0))),INDEX(설정_코드표!$K$2:$K$101,MATCH(LEFT(TRIM(F306&amp;""),FIND(" ",TRIM(F306&amp;""))-1),설정_코드표!$J$2:$J$101,0))&amp;" "&amp;INDEX(설정_코드표!$G$2:$G$101,MATCH(TRIM(RIGHT(SUBSTITUTE(TRIM(F306&amp;"")," ",REPT(" ",60)),60)),설정_코드표!$F$2:$F$101,0)),"⚠"&amp;TRIM(F306&amp;""))),"⚠"&amp;TRIM(F306&amp;""))</f>
        <v/>
      </c>
      <c r="O306" s="10">
        <f>IFERROR(IF(TRIM(G306&amp;"")="","",IF(AND(ISNUMBER(FIND(" ",TRIM(G306&amp;""))),ISNUMBER(MATCH(LEFT(TRIM(G306&amp;""),FIND(" ",TRIM(G306&amp;""))-1),설정_코드표!$J$2:$J$101,0)),ISNUMBER(MATCH(TRIM(RIGHT(SUBSTITUTE(TRIM(G306&amp;"")," ",REPT(" ",60)),60)),설정_코드표!$F$2:$F$101,0))),INDEX(설정_코드표!$K$2:$K$101,MATCH(LEFT(TRIM(G306&amp;""),FIND(" ",TRIM(G306&amp;""))-1),설정_코드표!$J$2:$J$101,0))&amp;" "&amp;INDEX(설정_코드표!$G$2:$G$101,MATCH(TRIM(RIGHT(SUBSTITUTE(TRIM(G306&amp;"")," ",REPT(" ",60)),60)),설정_코드표!$F$2:$F$101,0)),"⚠"&amp;TRIM(G306&amp;""))),"⚠"&amp;TRIM(G306&amp;""))</f>
        <v/>
      </c>
      <c r="P306" s="10">
        <f>IFERROR(IF(TRIM(H306&amp;"")="","",IF(AND(ISNUMBER(FIND(" ",TRIM(H306&amp;""))),ISNUMBER(MATCH(LEFT(TRIM(H306&amp;""),FIND(" ",TRIM(H306&amp;""))-1),설정_코드표!$J$2:$J$101,0)),ISNUMBER(MATCH(TRIM(RIGHT(SUBSTITUTE(TRIM(H306&amp;"")," ",REPT(" ",60)),60)),설정_코드표!$F$2:$F$101,0))),INDEX(설정_코드표!$K$2:$K$101,MATCH(LEFT(TRIM(H306&amp;""),FIND(" ",TRIM(H306&amp;""))-1),설정_코드표!$J$2:$J$101,0))&amp;" "&amp;INDEX(설정_코드표!$G$2:$G$101,MATCH(TRIM(RIGHT(SUBSTITUTE(TRIM(H306&amp;"")," ",REPT(" ",60)),60)),설정_코드표!$F$2:$F$101,0)),"⚠"&amp;TRIM(H306&amp;""))),"⚠"&amp;TRIM(H306&amp;""))</f>
        <v/>
      </c>
      <c r="Q306" s="10">
        <f>IFERROR(IF(TRIM(I306&amp;"")="","",IF(AND(ISNUMBER(FIND(" ",TRIM(I306&amp;""))),ISNUMBER(MATCH(LEFT(TRIM(I306&amp;""),FIND(" ",TRIM(I306&amp;""))-1),설정_코드표!$J$2:$J$101,0)),ISNUMBER(MATCH(TRIM(RIGHT(SUBSTITUTE(TRIM(I306&amp;"")," ",REPT(" ",60)),60)),설정_코드표!$F$2:$F$101,0))),INDEX(설정_코드표!$K$2:$K$101,MATCH(LEFT(TRIM(I306&amp;""),FIND(" ",TRIM(I306&amp;""))-1),설정_코드표!$J$2:$J$101,0))&amp;" "&amp;INDEX(설정_코드표!$G$2:$G$101,MATCH(TRIM(RIGHT(SUBSTITUTE(TRIM(I306&amp;"")," ",REPT(" ",60)),60)),설정_코드표!$F$2:$F$101,0)),"⚠"&amp;TRIM(I306&amp;""))),"⚠"&amp;TRIM(I306&amp;""))</f>
        <v/>
      </c>
      <c r="R306" s="10">
        <f>IFERROR(IF(TRIM(J306&amp;"")="","",IF(AND(ISNUMBER(FIND(" ",TRIM(J306&amp;""))),ISNUMBER(MATCH(LEFT(TRIM(J306&amp;""),FIND(" ",TRIM(J306&amp;""))-1),설정_코드표!$J$2:$J$101,0)),ISNUMBER(MATCH(TRIM(RIGHT(SUBSTITUTE(TRIM(J306&amp;"")," ",REPT(" ",60)),60)),설정_코드표!$F$2:$F$101,0))),INDEX(설정_코드표!$K$2:$K$101,MATCH(LEFT(TRIM(J306&amp;""),FIND(" ",TRIM(J306&amp;""))-1),설정_코드표!$J$2:$J$101,0))&amp;" "&amp;INDEX(설정_코드표!$G$2:$G$101,MATCH(TRIM(RIGHT(SUBSTITUTE(TRIM(J306&amp;"")," ",REPT(" ",60)),60)),설정_코드표!$F$2:$F$101,0)),"⚠"&amp;TRIM(J306&amp;""))),"⚠"&amp;TRIM(J306&amp;""))</f>
        <v/>
      </c>
      <c r="S306" s="11">
        <f>IF(K306="","",IFERROR(IF(AND(ROUND((VALUE(K306&amp;"")-INT(VALUE(K306&amp;"")))*100,0)&gt;=1,ROUND((VALUE(K306&amp;"")-INT(VALUE(K306&amp;"")))*100,0)&lt;=12,INT(VALUE(K306&amp;""))&gt;=1900),DATE(INT(VALUE(K306&amp;"")),ROUND((VALUE(K306&amp;"")-INT(VALUE(K306&amp;"")))*100,0),1),K306&amp;""),K306&amp;""))</f>
        <v/>
      </c>
      <c r="T306" s="10">
        <f>COUNTIF(M306:R306,"⚠*")</f>
        <v/>
      </c>
    </row>
    <row r="307"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M307" s="10">
        <f>IFERROR(IF(TRIM(E307&amp;"")="","",IF(AND(ISNUMBER(FIND(" ",TRIM(E307&amp;""))),ISNUMBER(MATCH(LEFT(TRIM(E307&amp;""),FIND(" ",TRIM(E307&amp;""))-1),설정_코드표!$J$2:$J$101,0)),ISNUMBER(MATCH(TRIM(RIGHT(SUBSTITUTE(TRIM(E307&amp;"")," ",REPT(" ",60)),60)),설정_코드표!$F$2:$F$101,0))),INDEX(설정_코드표!$K$2:$K$101,MATCH(LEFT(TRIM(E307&amp;""),FIND(" ",TRIM(E307&amp;""))-1),설정_코드표!$J$2:$J$101,0))&amp;" "&amp;INDEX(설정_코드표!$G$2:$G$101,MATCH(TRIM(RIGHT(SUBSTITUTE(TRIM(E307&amp;"")," ",REPT(" ",60)),60)),설정_코드표!$F$2:$F$101,0)),"⚠"&amp;TRIM(E307&amp;""))),"⚠"&amp;TRIM(E307&amp;""))</f>
        <v/>
      </c>
      <c r="N307" s="10">
        <f>IFERROR(IF(TRIM(F307&amp;"")="","",IF(AND(ISNUMBER(FIND(" ",TRIM(F307&amp;""))),ISNUMBER(MATCH(LEFT(TRIM(F307&amp;""),FIND(" ",TRIM(F307&amp;""))-1),설정_코드표!$J$2:$J$101,0)),ISNUMBER(MATCH(TRIM(RIGHT(SUBSTITUTE(TRIM(F307&amp;"")," ",REPT(" ",60)),60)),설정_코드표!$F$2:$F$101,0))),INDEX(설정_코드표!$K$2:$K$101,MATCH(LEFT(TRIM(F307&amp;""),FIND(" ",TRIM(F307&amp;""))-1),설정_코드표!$J$2:$J$101,0))&amp;" "&amp;INDEX(설정_코드표!$G$2:$G$101,MATCH(TRIM(RIGHT(SUBSTITUTE(TRIM(F307&amp;"")," ",REPT(" ",60)),60)),설정_코드표!$F$2:$F$101,0)),"⚠"&amp;TRIM(F307&amp;""))),"⚠"&amp;TRIM(F307&amp;""))</f>
        <v/>
      </c>
      <c r="O307" s="10">
        <f>IFERROR(IF(TRIM(G307&amp;"")="","",IF(AND(ISNUMBER(FIND(" ",TRIM(G307&amp;""))),ISNUMBER(MATCH(LEFT(TRIM(G307&amp;""),FIND(" ",TRIM(G307&amp;""))-1),설정_코드표!$J$2:$J$101,0)),ISNUMBER(MATCH(TRIM(RIGHT(SUBSTITUTE(TRIM(G307&amp;"")," ",REPT(" ",60)),60)),설정_코드표!$F$2:$F$101,0))),INDEX(설정_코드표!$K$2:$K$101,MATCH(LEFT(TRIM(G307&amp;""),FIND(" ",TRIM(G307&amp;""))-1),설정_코드표!$J$2:$J$101,0))&amp;" "&amp;INDEX(설정_코드표!$G$2:$G$101,MATCH(TRIM(RIGHT(SUBSTITUTE(TRIM(G307&amp;"")," ",REPT(" ",60)),60)),설정_코드표!$F$2:$F$101,0)),"⚠"&amp;TRIM(G307&amp;""))),"⚠"&amp;TRIM(G307&amp;""))</f>
        <v/>
      </c>
      <c r="P307" s="10">
        <f>IFERROR(IF(TRIM(H307&amp;"")="","",IF(AND(ISNUMBER(FIND(" ",TRIM(H307&amp;""))),ISNUMBER(MATCH(LEFT(TRIM(H307&amp;""),FIND(" ",TRIM(H307&amp;""))-1),설정_코드표!$J$2:$J$101,0)),ISNUMBER(MATCH(TRIM(RIGHT(SUBSTITUTE(TRIM(H307&amp;"")," ",REPT(" ",60)),60)),설정_코드표!$F$2:$F$101,0))),INDEX(설정_코드표!$K$2:$K$101,MATCH(LEFT(TRIM(H307&amp;""),FIND(" ",TRIM(H307&amp;""))-1),설정_코드표!$J$2:$J$101,0))&amp;" "&amp;INDEX(설정_코드표!$G$2:$G$101,MATCH(TRIM(RIGHT(SUBSTITUTE(TRIM(H307&amp;"")," ",REPT(" ",60)),60)),설정_코드표!$F$2:$F$101,0)),"⚠"&amp;TRIM(H307&amp;""))),"⚠"&amp;TRIM(H307&amp;""))</f>
        <v/>
      </c>
      <c r="Q307" s="10">
        <f>IFERROR(IF(TRIM(I307&amp;"")="","",IF(AND(ISNUMBER(FIND(" ",TRIM(I307&amp;""))),ISNUMBER(MATCH(LEFT(TRIM(I307&amp;""),FIND(" ",TRIM(I307&amp;""))-1),설정_코드표!$J$2:$J$101,0)),ISNUMBER(MATCH(TRIM(RIGHT(SUBSTITUTE(TRIM(I307&amp;"")," ",REPT(" ",60)),60)),설정_코드표!$F$2:$F$101,0))),INDEX(설정_코드표!$K$2:$K$101,MATCH(LEFT(TRIM(I307&amp;""),FIND(" ",TRIM(I307&amp;""))-1),설정_코드표!$J$2:$J$101,0))&amp;" "&amp;INDEX(설정_코드표!$G$2:$G$101,MATCH(TRIM(RIGHT(SUBSTITUTE(TRIM(I307&amp;"")," ",REPT(" ",60)),60)),설정_코드표!$F$2:$F$101,0)),"⚠"&amp;TRIM(I307&amp;""))),"⚠"&amp;TRIM(I307&amp;""))</f>
        <v/>
      </c>
      <c r="R307" s="10">
        <f>IFERROR(IF(TRIM(J307&amp;"")="","",IF(AND(ISNUMBER(FIND(" ",TRIM(J307&amp;""))),ISNUMBER(MATCH(LEFT(TRIM(J307&amp;""),FIND(" ",TRIM(J307&amp;""))-1),설정_코드표!$J$2:$J$101,0)),ISNUMBER(MATCH(TRIM(RIGHT(SUBSTITUTE(TRIM(J307&amp;"")," ",REPT(" ",60)),60)),설정_코드표!$F$2:$F$101,0))),INDEX(설정_코드표!$K$2:$K$101,MATCH(LEFT(TRIM(J307&amp;""),FIND(" ",TRIM(J307&amp;""))-1),설정_코드표!$J$2:$J$101,0))&amp;" "&amp;INDEX(설정_코드표!$G$2:$G$101,MATCH(TRIM(RIGHT(SUBSTITUTE(TRIM(J307&amp;"")," ",REPT(" ",60)),60)),설정_코드표!$F$2:$F$101,0)),"⚠"&amp;TRIM(J307&amp;""))),"⚠"&amp;TRIM(J307&amp;""))</f>
        <v/>
      </c>
      <c r="S307" s="11">
        <f>IF(K307="","",IFERROR(IF(AND(ROUND((VALUE(K307&amp;"")-INT(VALUE(K307&amp;"")))*100,0)&gt;=1,ROUND((VALUE(K307&amp;"")-INT(VALUE(K307&amp;"")))*100,0)&lt;=12,INT(VALUE(K307&amp;""))&gt;=1900),DATE(INT(VALUE(K307&amp;"")),ROUND((VALUE(K307&amp;"")-INT(VALUE(K307&amp;"")))*100,0),1),K307&amp;""),K307&amp;""))</f>
        <v/>
      </c>
      <c r="T307" s="10">
        <f>COUNTIF(M307:R307,"⚠*")</f>
        <v/>
      </c>
    </row>
    <row r="308"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M308" s="10">
        <f>IFERROR(IF(TRIM(E308&amp;"")="","",IF(AND(ISNUMBER(FIND(" ",TRIM(E308&amp;""))),ISNUMBER(MATCH(LEFT(TRIM(E308&amp;""),FIND(" ",TRIM(E308&amp;""))-1),설정_코드표!$J$2:$J$101,0)),ISNUMBER(MATCH(TRIM(RIGHT(SUBSTITUTE(TRIM(E308&amp;"")," ",REPT(" ",60)),60)),설정_코드표!$F$2:$F$101,0))),INDEX(설정_코드표!$K$2:$K$101,MATCH(LEFT(TRIM(E308&amp;""),FIND(" ",TRIM(E308&amp;""))-1),설정_코드표!$J$2:$J$101,0))&amp;" "&amp;INDEX(설정_코드표!$G$2:$G$101,MATCH(TRIM(RIGHT(SUBSTITUTE(TRIM(E308&amp;"")," ",REPT(" ",60)),60)),설정_코드표!$F$2:$F$101,0)),"⚠"&amp;TRIM(E308&amp;""))),"⚠"&amp;TRIM(E308&amp;""))</f>
        <v/>
      </c>
      <c r="N308" s="10">
        <f>IFERROR(IF(TRIM(F308&amp;"")="","",IF(AND(ISNUMBER(FIND(" ",TRIM(F308&amp;""))),ISNUMBER(MATCH(LEFT(TRIM(F308&amp;""),FIND(" ",TRIM(F308&amp;""))-1),설정_코드표!$J$2:$J$101,0)),ISNUMBER(MATCH(TRIM(RIGHT(SUBSTITUTE(TRIM(F308&amp;"")," ",REPT(" ",60)),60)),설정_코드표!$F$2:$F$101,0))),INDEX(설정_코드표!$K$2:$K$101,MATCH(LEFT(TRIM(F308&amp;""),FIND(" ",TRIM(F308&amp;""))-1),설정_코드표!$J$2:$J$101,0))&amp;" "&amp;INDEX(설정_코드표!$G$2:$G$101,MATCH(TRIM(RIGHT(SUBSTITUTE(TRIM(F308&amp;"")," ",REPT(" ",60)),60)),설정_코드표!$F$2:$F$101,0)),"⚠"&amp;TRIM(F308&amp;""))),"⚠"&amp;TRIM(F308&amp;""))</f>
        <v/>
      </c>
      <c r="O308" s="10">
        <f>IFERROR(IF(TRIM(G308&amp;"")="","",IF(AND(ISNUMBER(FIND(" ",TRIM(G308&amp;""))),ISNUMBER(MATCH(LEFT(TRIM(G308&amp;""),FIND(" ",TRIM(G308&amp;""))-1),설정_코드표!$J$2:$J$101,0)),ISNUMBER(MATCH(TRIM(RIGHT(SUBSTITUTE(TRIM(G308&amp;"")," ",REPT(" ",60)),60)),설정_코드표!$F$2:$F$101,0))),INDEX(설정_코드표!$K$2:$K$101,MATCH(LEFT(TRIM(G308&amp;""),FIND(" ",TRIM(G308&amp;""))-1),설정_코드표!$J$2:$J$101,0))&amp;" "&amp;INDEX(설정_코드표!$G$2:$G$101,MATCH(TRIM(RIGHT(SUBSTITUTE(TRIM(G308&amp;"")," ",REPT(" ",60)),60)),설정_코드표!$F$2:$F$101,0)),"⚠"&amp;TRIM(G308&amp;""))),"⚠"&amp;TRIM(G308&amp;""))</f>
        <v/>
      </c>
      <c r="P308" s="10">
        <f>IFERROR(IF(TRIM(H308&amp;"")="","",IF(AND(ISNUMBER(FIND(" ",TRIM(H308&amp;""))),ISNUMBER(MATCH(LEFT(TRIM(H308&amp;""),FIND(" ",TRIM(H308&amp;""))-1),설정_코드표!$J$2:$J$101,0)),ISNUMBER(MATCH(TRIM(RIGHT(SUBSTITUTE(TRIM(H308&amp;"")," ",REPT(" ",60)),60)),설정_코드표!$F$2:$F$101,0))),INDEX(설정_코드표!$K$2:$K$101,MATCH(LEFT(TRIM(H308&amp;""),FIND(" ",TRIM(H308&amp;""))-1),설정_코드표!$J$2:$J$101,0))&amp;" "&amp;INDEX(설정_코드표!$G$2:$G$101,MATCH(TRIM(RIGHT(SUBSTITUTE(TRIM(H308&amp;"")," ",REPT(" ",60)),60)),설정_코드표!$F$2:$F$101,0)),"⚠"&amp;TRIM(H308&amp;""))),"⚠"&amp;TRIM(H308&amp;""))</f>
        <v/>
      </c>
      <c r="Q308" s="10">
        <f>IFERROR(IF(TRIM(I308&amp;"")="","",IF(AND(ISNUMBER(FIND(" ",TRIM(I308&amp;""))),ISNUMBER(MATCH(LEFT(TRIM(I308&amp;""),FIND(" ",TRIM(I308&amp;""))-1),설정_코드표!$J$2:$J$101,0)),ISNUMBER(MATCH(TRIM(RIGHT(SUBSTITUTE(TRIM(I308&amp;"")," ",REPT(" ",60)),60)),설정_코드표!$F$2:$F$101,0))),INDEX(설정_코드표!$K$2:$K$101,MATCH(LEFT(TRIM(I308&amp;""),FIND(" ",TRIM(I308&amp;""))-1),설정_코드표!$J$2:$J$101,0))&amp;" "&amp;INDEX(설정_코드표!$G$2:$G$101,MATCH(TRIM(RIGHT(SUBSTITUTE(TRIM(I308&amp;"")," ",REPT(" ",60)),60)),설정_코드표!$F$2:$F$101,0)),"⚠"&amp;TRIM(I308&amp;""))),"⚠"&amp;TRIM(I308&amp;""))</f>
        <v/>
      </c>
      <c r="R308" s="10">
        <f>IFERROR(IF(TRIM(J308&amp;"")="","",IF(AND(ISNUMBER(FIND(" ",TRIM(J308&amp;""))),ISNUMBER(MATCH(LEFT(TRIM(J308&amp;""),FIND(" ",TRIM(J308&amp;""))-1),설정_코드표!$J$2:$J$101,0)),ISNUMBER(MATCH(TRIM(RIGHT(SUBSTITUTE(TRIM(J308&amp;"")," ",REPT(" ",60)),60)),설정_코드표!$F$2:$F$101,0))),INDEX(설정_코드표!$K$2:$K$101,MATCH(LEFT(TRIM(J308&amp;""),FIND(" ",TRIM(J308&amp;""))-1),설정_코드표!$J$2:$J$101,0))&amp;" "&amp;INDEX(설정_코드표!$G$2:$G$101,MATCH(TRIM(RIGHT(SUBSTITUTE(TRIM(J308&amp;"")," ",REPT(" ",60)),60)),설정_코드표!$F$2:$F$101,0)),"⚠"&amp;TRIM(J308&amp;""))),"⚠"&amp;TRIM(J308&amp;""))</f>
        <v/>
      </c>
      <c r="S308" s="11">
        <f>IF(K308="","",IFERROR(IF(AND(ROUND((VALUE(K308&amp;"")-INT(VALUE(K308&amp;"")))*100,0)&gt;=1,ROUND((VALUE(K308&amp;"")-INT(VALUE(K308&amp;"")))*100,0)&lt;=12,INT(VALUE(K308&amp;""))&gt;=1900),DATE(INT(VALUE(K308&amp;"")),ROUND((VALUE(K308&amp;"")-INT(VALUE(K308&amp;"")))*100,0),1),K308&amp;""),K308&amp;""))</f>
        <v/>
      </c>
      <c r="T308" s="10">
        <f>COUNTIF(M308:R308,"⚠*")</f>
        <v/>
      </c>
    </row>
    <row r="309"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M309" s="10">
        <f>IFERROR(IF(TRIM(E309&amp;"")="","",IF(AND(ISNUMBER(FIND(" ",TRIM(E309&amp;""))),ISNUMBER(MATCH(LEFT(TRIM(E309&amp;""),FIND(" ",TRIM(E309&amp;""))-1),설정_코드표!$J$2:$J$101,0)),ISNUMBER(MATCH(TRIM(RIGHT(SUBSTITUTE(TRIM(E309&amp;"")," ",REPT(" ",60)),60)),설정_코드표!$F$2:$F$101,0))),INDEX(설정_코드표!$K$2:$K$101,MATCH(LEFT(TRIM(E309&amp;""),FIND(" ",TRIM(E309&amp;""))-1),설정_코드표!$J$2:$J$101,0))&amp;" "&amp;INDEX(설정_코드표!$G$2:$G$101,MATCH(TRIM(RIGHT(SUBSTITUTE(TRIM(E309&amp;"")," ",REPT(" ",60)),60)),설정_코드표!$F$2:$F$101,0)),"⚠"&amp;TRIM(E309&amp;""))),"⚠"&amp;TRIM(E309&amp;""))</f>
        <v/>
      </c>
      <c r="N309" s="10">
        <f>IFERROR(IF(TRIM(F309&amp;"")="","",IF(AND(ISNUMBER(FIND(" ",TRIM(F309&amp;""))),ISNUMBER(MATCH(LEFT(TRIM(F309&amp;""),FIND(" ",TRIM(F309&amp;""))-1),설정_코드표!$J$2:$J$101,0)),ISNUMBER(MATCH(TRIM(RIGHT(SUBSTITUTE(TRIM(F309&amp;"")," ",REPT(" ",60)),60)),설정_코드표!$F$2:$F$101,0))),INDEX(설정_코드표!$K$2:$K$101,MATCH(LEFT(TRIM(F309&amp;""),FIND(" ",TRIM(F309&amp;""))-1),설정_코드표!$J$2:$J$101,0))&amp;" "&amp;INDEX(설정_코드표!$G$2:$G$101,MATCH(TRIM(RIGHT(SUBSTITUTE(TRIM(F309&amp;"")," ",REPT(" ",60)),60)),설정_코드표!$F$2:$F$101,0)),"⚠"&amp;TRIM(F309&amp;""))),"⚠"&amp;TRIM(F309&amp;""))</f>
        <v/>
      </c>
      <c r="O309" s="10">
        <f>IFERROR(IF(TRIM(G309&amp;"")="","",IF(AND(ISNUMBER(FIND(" ",TRIM(G309&amp;""))),ISNUMBER(MATCH(LEFT(TRIM(G309&amp;""),FIND(" ",TRIM(G309&amp;""))-1),설정_코드표!$J$2:$J$101,0)),ISNUMBER(MATCH(TRIM(RIGHT(SUBSTITUTE(TRIM(G309&amp;"")," ",REPT(" ",60)),60)),설정_코드표!$F$2:$F$101,0))),INDEX(설정_코드표!$K$2:$K$101,MATCH(LEFT(TRIM(G309&amp;""),FIND(" ",TRIM(G309&amp;""))-1),설정_코드표!$J$2:$J$101,0))&amp;" "&amp;INDEX(설정_코드표!$G$2:$G$101,MATCH(TRIM(RIGHT(SUBSTITUTE(TRIM(G309&amp;"")," ",REPT(" ",60)),60)),설정_코드표!$F$2:$F$101,0)),"⚠"&amp;TRIM(G309&amp;""))),"⚠"&amp;TRIM(G309&amp;""))</f>
        <v/>
      </c>
      <c r="P309" s="10">
        <f>IFERROR(IF(TRIM(H309&amp;"")="","",IF(AND(ISNUMBER(FIND(" ",TRIM(H309&amp;""))),ISNUMBER(MATCH(LEFT(TRIM(H309&amp;""),FIND(" ",TRIM(H309&amp;""))-1),설정_코드표!$J$2:$J$101,0)),ISNUMBER(MATCH(TRIM(RIGHT(SUBSTITUTE(TRIM(H309&amp;"")," ",REPT(" ",60)),60)),설정_코드표!$F$2:$F$101,0))),INDEX(설정_코드표!$K$2:$K$101,MATCH(LEFT(TRIM(H309&amp;""),FIND(" ",TRIM(H309&amp;""))-1),설정_코드표!$J$2:$J$101,0))&amp;" "&amp;INDEX(설정_코드표!$G$2:$G$101,MATCH(TRIM(RIGHT(SUBSTITUTE(TRIM(H309&amp;"")," ",REPT(" ",60)),60)),설정_코드표!$F$2:$F$101,0)),"⚠"&amp;TRIM(H309&amp;""))),"⚠"&amp;TRIM(H309&amp;""))</f>
        <v/>
      </c>
      <c r="Q309" s="10">
        <f>IFERROR(IF(TRIM(I309&amp;"")="","",IF(AND(ISNUMBER(FIND(" ",TRIM(I309&amp;""))),ISNUMBER(MATCH(LEFT(TRIM(I309&amp;""),FIND(" ",TRIM(I309&amp;""))-1),설정_코드표!$J$2:$J$101,0)),ISNUMBER(MATCH(TRIM(RIGHT(SUBSTITUTE(TRIM(I309&amp;"")," ",REPT(" ",60)),60)),설정_코드표!$F$2:$F$101,0))),INDEX(설정_코드표!$K$2:$K$101,MATCH(LEFT(TRIM(I309&amp;""),FIND(" ",TRIM(I309&amp;""))-1),설정_코드표!$J$2:$J$101,0))&amp;" "&amp;INDEX(설정_코드표!$G$2:$G$101,MATCH(TRIM(RIGHT(SUBSTITUTE(TRIM(I309&amp;"")," ",REPT(" ",60)),60)),설정_코드표!$F$2:$F$101,0)),"⚠"&amp;TRIM(I309&amp;""))),"⚠"&amp;TRIM(I309&amp;""))</f>
        <v/>
      </c>
      <c r="R309" s="10">
        <f>IFERROR(IF(TRIM(J309&amp;"")="","",IF(AND(ISNUMBER(FIND(" ",TRIM(J309&amp;""))),ISNUMBER(MATCH(LEFT(TRIM(J309&amp;""),FIND(" ",TRIM(J309&amp;""))-1),설정_코드표!$J$2:$J$101,0)),ISNUMBER(MATCH(TRIM(RIGHT(SUBSTITUTE(TRIM(J309&amp;"")," ",REPT(" ",60)),60)),설정_코드표!$F$2:$F$101,0))),INDEX(설정_코드표!$K$2:$K$101,MATCH(LEFT(TRIM(J309&amp;""),FIND(" ",TRIM(J309&amp;""))-1),설정_코드표!$J$2:$J$101,0))&amp;" "&amp;INDEX(설정_코드표!$G$2:$G$101,MATCH(TRIM(RIGHT(SUBSTITUTE(TRIM(J309&amp;"")," ",REPT(" ",60)),60)),설정_코드표!$F$2:$F$101,0)),"⚠"&amp;TRIM(J309&amp;""))),"⚠"&amp;TRIM(J309&amp;""))</f>
        <v/>
      </c>
      <c r="S309" s="11">
        <f>IF(K309="","",IFERROR(IF(AND(ROUND((VALUE(K309&amp;"")-INT(VALUE(K309&amp;"")))*100,0)&gt;=1,ROUND((VALUE(K309&amp;"")-INT(VALUE(K309&amp;"")))*100,0)&lt;=12,INT(VALUE(K309&amp;""))&gt;=1900),DATE(INT(VALUE(K309&amp;"")),ROUND((VALUE(K309&amp;"")-INT(VALUE(K309&amp;"")))*100,0),1),K309&amp;""),K309&amp;""))</f>
        <v/>
      </c>
      <c r="T309" s="10">
        <f>COUNTIF(M309:R309,"⚠*")</f>
        <v/>
      </c>
    </row>
    <row r="310"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M310" s="10">
        <f>IFERROR(IF(TRIM(E310&amp;"")="","",IF(AND(ISNUMBER(FIND(" ",TRIM(E310&amp;""))),ISNUMBER(MATCH(LEFT(TRIM(E310&amp;""),FIND(" ",TRIM(E310&amp;""))-1),설정_코드표!$J$2:$J$101,0)),ISNUMBER(MATCH(TRIM(RIGHT(SUBSTITUTE(TRIM(E310&amp;"")," ",REPT(" ",60)),60)),설정_코드표!$F$2:$F$101,0))),INDEX(설정_코드표!$K$2:$K$101,MATCH(LEFT(TRIM(E310&amp;""),FIND(" ",TRIM(E310&amp;""))-1),설정_코드표!$J$2:$J$101,0))&amp;" "&amp;INDEX(설정_코드표!$G$2:$G$101,MATCH(TRIM(RIGHT(SUBSTITUTE(TRIM(E310&amp;"")," ",REPT(" ",60)),60)),설정_코드표!$F$2:$F$101,0)),"⚠"&amp;TRIM(E310&amp;""))),"⚠"&amp;TRIM(E310&amp;""))</f>
        <v/>
      </c>
      <c r="N310" s="10">
        <f>IFERROR(IF(TRIM(F310&amp;"")="","",IF(AND(ISNUMBER(FIND(" ",TRIM(F310&amp;""))),ISNUMBER(MATCH(LEFT(TRIM(F310&amp;""),FIND(" ",TRIM(F310&amp;""))-1),설정_코드표!$J$2:$J$101,0)),ISNUMBER(MATCH(TRIM(RIGHT(SUBSTITUTE(TRIM(F310&amp;"")," ",REPT(" ",60)),60)),설정_코드표!$F$2:$F$101,0))),INDEX(설정_코드표!$K$2:$K$101,MATCH(LEFT(TRIM(F310&amp;""),FIND(" ",TRIM(F310&amp;""))-1),설정_코드표!$J$2:$J$101,0))&amp;" "&amp;INDEX(설정_코드표!$G$2:$G$101,MATCH(TRIM(RIGHT(SUBSTITUTE(TRIM(F310&amp;"")," ",REPT(" ",60)),60)),설정_코드표!$F$2:$F$101,0)),"⚠"&amp;TRIM(F310&amp;""))),"⚠"&amp;TRIM(F310&amp;""))</f>
        <v/>
      </c>
      <c r="O310" s="10">
        <f>IFERROR(IF(TRIM(G310&amp;"")="","",IF(AND(ISNUMBER(FIND(" ",TRIM(G310&amp;""))),ISNUMBER(MATCH(LEFT(TRIM(G310&amp;""),FIND(" ",TRIM(G310&amp;""))-1),설정_코드표!$J$2:$J$101,0)),ISNUMBER(MATCH(TRIM(RIGHT(SUBSTITUTE(TRIM(G310&amp;"")," ",REPT(" ",60)),60)),설정_코드표!$F$2:$F$101,0))),INDEX(설정_코드표!$K$2:$K$101,MATCH(LEFT(TRIM(G310&amp;""),FIND(" ",TRIM(G310&amp;""))-1),설정_코드표!$J$2:$J$101,0))&amp;" "&amp;INDEX(설정_코드표!$G$2:$G$101,MATCH(TRIM(RIGHT(SUBSTITUTE(TRIM(G310&amp;"")," ",REPT(" ",60)),60)),설정_코드표!$F$2:$F$101,0)),"⚠"&amp;TRIM(G310&amp;""))),"⚠"&amp;TRIM(G310&amp;""))</f>
        <v/>
      </c>
      <c r="P310" s="10">
        <f>IFERROR(IF(TRIM(H310&amp;"")="","",IF(AND(ISNUMBER(FIND(" ",TRIM(H310&amp;""))),ISNUMBER(MATCH(LEFT(TRIM(H310&amp;""),FIND(" ",TRIM(H310&amp;""))-1),설정_코드표!$J$2:$J$101,0)),ISNUMBER(MATCH(TRIM(RIGHT(SUBSTITUTE(TRIM(H310&amp;"")," ",REPT(" ",60)),60)),설정_코드표!$F$2:$F$101,0))),INDEX(설정_코드표!$K$2:$K$101,MATCH(LEFT(TRIM(H310&amp;""),FIND(" ",TRIM(H310&amp;""))-1),설정_코드표!$J$2:$J$101,0))&amp;" "&amp;INDEX(설정_코드표!$G$2:$G$101,MATCH(TRIM(RIGHT(SUBSTITUTE(TRIM(H310&amp;"")," ",REPT(" ",60)),60)),설정_코드표!$F$2:$F$101,0)),"⚠"&amp;TRIM(H310&amp;""))),"⚠"&amp;TRIM(H310&amp;""))</f>
        <v/>
      </c>
      <c r="Q310" s="10">
        <f>IFERROR(IF(TRIM(I310&amp;"")="","",IF(AND(ISNUMBER(FIND(" ",TRIM(I310&amp;""))),ISNUMBER(MATCH(LEFT(TRIM(I310&amp;""),FIND(" ",TRIM(I310&amp;""))-1),설정_코드표!$J$2:$J$101,0)),ISNUMBER(MATCH(TRIM(RIGHT(SUBSTITUTE(TRIM(I310&amp;"")," ",REPT(" ",60)),60)),설정_코드표!$F$2:$F$101,0))),INDEX(설정_코드표!$K$2:$K$101,MATCH(LEFT(TRIM(I310&amp;""),FIND(" ",TRIM(I310&amp;""))-1),설정_코드표!$J$2:$J$101,0))&amp;" "&amp;INDEX(설정_코드표!$G$2:$G$101,MATCH(TRIM(RIGHT(SUBSTITUTE(TRIM(I310&amp;"")," ",REPT(" ",60)),60)),설정_코드표!$F$2:$F$101,0)),"⚠"&amp;TRIM(I310&amp;""))),"⚠"&amp;TRIM(I310&amp;""))</f>
        <v/>
      </c>
      <c r="R310" s="10">
        <f>IFERROR(IF(TRIM(J310&amp;"")="","",IF(AND(ISNUMBER(FIND(" ",TRIM(J310&amp;""))),ISNUMBER(MATCH(LEFT(TRIM(J310&amp;""),FIND(" ",TRIM(J310&amp;""))-1),설정_코드표!$J$2:$J$101,0)),ISNUMBER(MATCH(TRIM(RIGHT(SUBSTITUTE(TRIM(J310&amp;"")," ",REPT(" ",60)),60)),설정_코드표!$F$2:$F$101,0))),INDEX(설정_코드표!$K$2:$K$101,MATCH(LEFT(TRIM(J310&amp;""),FIND(" ",TRIM(J310&amp;""))-1),설정_코드표!$J$2:$J$101,0))&amp;" "&amp;INDEX(설정_코드표!$G$2:$G$101,MATCH(TRIM(RIGHT(SUBSTITUTE(TRIM(J310&amp;"")," ",REPT(" ",60)),60)),설정_코드표!$F$2:$F$101,0)),"⚠"&amp;TRIM(J310&amp;""))),"⚠"&amp;TRIM(J310&amp;""))</f>
        <v/>
      </c>
      <c r="S310" s="11">
        <f>IF(K310="","",IFERROR(IF(AND(ROUND((VALUE(K310&amp;"")-INT(VALUE(K310&amp;"")))*100,0)&gt;=1,ROUND((VALUE(K310&amp;"")-INT(VALUE(K310&amp;"")))*100,0)&lt;=12,INT(VALUE(K310&amp;""))&gt;=1900),DATE(INT(VALUE(K310&amp;"")),ROUND((VALUE(K310&amp;"")-INT(VALUE(K310&amp;"")))*100,0),1),K310&amp;""),K310&amp;""))</f>
        <v/>
      </c>
      <c r="T310" s="10">
        <f>COUNTIF(M310:R310,"⚠*")</f>
        <v/>
      </c>
    </row>
    <row r="311"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M311" s="10">
        <f>IFERROR(IF(TRIM(E311&amp;"")="","",IF(AND(ISNUMBER(FIND(" ",TRIM(E311&amp;""))),ISNUMBER(MATCH(LEFT(TRIM(E311&amp;""),FIND(" ",TRIM(E311&amp;""))-1),설정_코드표!$J$2:$J$101,0)),ISNUMBER(MATCH(TRIM(RIGHT(SUBSTITUTE(TRIM(E311&amp;"")," ",REPT(" ",60)),60)),설정_코드표!$F$2:$F$101,0))),INDEX(설정_코드표!$K$2:$K$101,MATCH(LEFT(TRIM(E311&amp;""),FIND(" ",TRIM(E311&amp;""))-1),설정_코드표!$J$2:$J$101,0))&amp;" "&amp;INDEX(설정_코드표!$G$2:$G$101,MATCH(TRIM(RIGHT(SUBSTITUTE(TRIM(E311&amp;"")," ",REPT(" ",60)),60)),설정_코드표!$F$2:$F$101,0)),"⚠"&amp;TRIM(E311&amp;""))),"⚠"&amp;TRIM(E311&amp;""))</f>
        <v/>
      </c>
      <c r="N311" s="10">
        <f>IFERROR(IF(TRIM(F311&amp;"")="","",IF(AND(ISNUMBER(FIND(" ",TRIM(F311&amp;""))),ISNUMBER(MATCH(LEFT(TRIM(F311&amp;""),FIND(" ",TRIM(F311&amp;""))-1),설정_코드표!$J$2:$J$101,0)),ISNUMBER(MATCH(TRIM(RIGHT(SUBSTITUTE(TRIM(F311&amp;"")," ",REPT(" ",60)),60)),설정_코드표!$F$2:$F$101,0))),INDEX(설정_코드표!$K$2:$K$101,MATCH(LEFT(TRIM(F311&amp;""),FIND(" ",TRIM(F311&amp;""))-1),설정_코드표!$J$2:$J$101,0))&amp;" "&amp;INDEX(설정_코드표!$G$2:$G$101,MATCH(TRIM(RIGHT(SUBSTITUTE(TRIM(F311&amp;"")," ",REPT(" ",60)),60)),설정_코드표!$F$2:$F$101,0)),"⚠"&amp;TRIM(F311&amp;""))),"⚠"&amp;TRIM(F311&amp;""))</f>
        <v/>
      </c>
      <c r="O311" s="10">
        <f>IFERROR(IF(TRIM(G311&amp;"")="","",IF(AND(ISNUMBER(FIND(" ",TRIM(G311&amp;""))),ISNUMBER(MATCH(LEFT(TRIM(G311&amp;""),FIND(" ",TRIM(G311&amp;""))-1),설정_코드표!$J$2:$J$101,0)),ISNUMBER(MATCH(TRIM(RIGHT(SUBSTITUTE(TRIM(G311&amp;"")," ",REPT(" ",60)),60)),설정_코드표!$F$2:$F$101,0))),INDEX(설정_코드표!$K$2:$K$101,MATCH(LEFT(TRIM(G311&amp;""),FIND(" ",TRIM(G311&amp;""))-1),설정_코드표!$J$2:$J$101,0))&amp;" "&amp;INDEX(설정_코드표!$G$2:$G$101,MATCH(TRIM(RIGHT(SUBSTITUTE(TRIM(G311&amp;"")," ",REPT(" ",60)),60)),설정_코드표!$F$2:$F$101,0)),"⚠"&amp;TRIM(G311&amp;""))),"⚠"&amp;TRIM(G311&amp;""))</f>
        <v/>
      </c>
      <c r="P311" s="10">
        <f>IFERROR(IF(TRIM(H311&amp;"")="","",IF(AND(ISNUMBER(FIND(" ",TRIM(H311&amp;""))),ISNUMBER(MATCH(LEFT(TRIM(H311&amp;""),FIND(" ",TRIM(H311&amp;""))-1),설정_코드표!$J$2:$J$101,0)),ISNUMBER(MATCH(TRIM(RIGHT(SUBSTITUTE(TRIM(H311&amp;"")," ",REPT(" ",60)),60)),설정_코드표!$F$2:$F$101,0))),INDEX(설정_코드표!$K$2:$K$101,MATCH(LEFT(TRIM(H311&amp;""),FIND(" ",TRIM(H311&amp;""))-1),설정_코드표!$J$2:$J$101,0))&amp;" "&amp;INDEX(설정_코드표!$G$2:$G$101,MATCH(TRIM(RIGHT(SUBSTITUTE(TRIM(H311&amp;"")," ",REPT(" ",60)),60)),설정_코드표!$F$2:$F$101,0)),"⚠"&amp;TRIM(H311&amp;""))),"⚠"&amp;TRIM(H311&amp;""))</f>
        <v/>
      </c>
      <c r="Q311" s="10">
        <f>IFERROR(IF(TRIM(I311&amp;"")="","",IF(AND(ISNUMBER(FIND(" ",TRIM(I311&amp;""))),ISNUMBER(MATCH(LEFT(TRIM(I311&amp;""),FIND(" ",TRIM(I311&amp;""))-1),설정_코드표!$J$2:$J$101,0)),ISNUMBER(MATCH(TRIM(RIGHT(SUBSTITUTE(TRIM(I311&amp;"")," ",REPT(" ",60)),60)),설정_코드표!$F$2:$F$101,0))),INDEX(설정_코드표!$K$2:$K$101,MATCH(LEFT(TRIM(I311&amp;""),FIND(" ",TRIM(I311&amp;""))-1),설정_코드표!$J$2:$J$101,0))&amp;" "&amp;INDEX(설정_코드표!$G$2:$G$101,MATCH(TRIM(RIGHT(SUBSTITUTE(TRIM(I311&amp;"")," ",REPT(" ",60)),60)),설정_코드표!$F$2:$F$101,0)),"⚠"&amp;TRIM(I311&amp;""))),"⚠"&amp;TRIM(I311&amp;""))</f>
        <v/>
      </c>
      <c r="R311" s="10">
        <f>IFERROR(IF(TRIM(J311&amp;"")="","",IF(AND(ISNUMBER(FIND(" ",TRIM(J311&amp;""))),ISNUMBER(MATCH(LEFT(TRIM(J311&amp;""),FIND(" ",TRIM(J311&amp;""))-1),설정_코드표!$J$2:$J$101,0)),ISNUMBER(MATCH(TRIM(RIGHT(SUBSTITUTE(TRIM(J311&amp;"")," ",REPT(" ",60)),60)),설정_코드표!$F$2:$F$101,0))),INDEX(설정_코드표!$K$2:$K$101,MATCH(LEFT(TRIM(J311&amp;""),FIND(" ",TRIM(J311&amp;""))-1),설정_코드표!$J$2:$J$101,0))&amp;" "&amp;INDEX(설정_코드표!$G$2:$G$101,MATCH(TRIM(RIGHT(SUBSTITUTE(TRIM(J311&amp;"")," ",REPT(" ",60)),60)),설정_코드표!$F$2:$F$101,0)),"⚠"&amp;TRIM(J311&amp;""))),"⚠"&amp;TRIM(J311&amp;""))</f>
        <v/>
      </c>
      <c r="S311" s="11">
        <f>IF(K311="","",IFERROR(IF(AND(ROUND((VALUE(K311&amp;"")-INT(VALUE(K311&amp;"")))*100,0)&gt;=1,ROUND((VALUE(K311&amp;"")-INT(VALUE(K311&amp;"")))*100,0)&lt;=12,INT(VALUE(K311&amp;""))&gt;=1900),DATE(INT(VALUE(K311&amp;"")),ROUND((VALUE(K311&amp;"")-INT(VALUE(K311&amp;"")))*100,0),1),K311&amp;""),K311&amp;""))</f>
        <v/>
      </c>
      <c r="T311" s="10">
        <f>COUNTIF(M311:R311,"⚠*")</f>
        <v/>
      </c>
    </row>
    <row r="312"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M312" s="10">
        <f>IFERROR(IF(TRIM(E312&amp;"")="","",IF(AND(ISNUMBER(FIND(" ",TRIM(E312&amp;""))),ISNUMBER(MATCH(LEFT(TRIM(E312&amp;""),FIND(" ",TRIM(E312&amp;""))-1),설정_코드표!$J$2:$J$101,0)),ISNUMBER(MATCH(TRIM(RIGHT(SUBSTITUTE(TRIM(E312&amp;"")," ",REPT(" ",60)),60)),설정_코드표!$F$2:$F$101,0))),INDEX(설정_코드표!$K$2:$K$101,MATCH(LEFT(TRIM(E312&amp;""),FIND(" ",TRIM(E312&amp;""))-1),설정_코드표!$J$2:$J$101,0))&amp;" "&amp;INDEX(설정_코드표!$G$2:$G$101,MATCH(TRIM(RIGHT(SUBSTITUTE(TRIM(E312&amp;"")," ",REPT(" ",60)),60)),설정_코드표!$F$2:$F$101,0)),"⚠"&amp;TRIM(E312&amp;""))),"⚠"&amp;TRIM(E312&amp;""))</f>
        <v/>
      </c>
      <c r="N312" s="10">
        <f>IFERROR(IF(TRIM(F312&amp;"")="","",IF(AND(ISNUMBER(FIND(" ",TRIM(F312&amp;""))),ISNUMBER(MATCH(LEFT(TRIM(F312&amp;""),FIND(" ",TRIM(F312&amp;""))-1),설정_코드표!$J$2:$J$101,0)),ISNUMBER(MATCH(TRIM(RIGHT(SUBSTITUTE(TRIM(F312&amp;"")," ",REPT(" ",60)),60)),설정_코드표!$F$2:$F$101,0))),INDEX(설정_코드표!$K$2:$K$101,MATCH(LEFT(TRIM(F312&amp;""),FIND(" ",TRIM(F312&amp;""))-1),설정_코드표!$J$2:$J$101,0))&amp;" "&amp;INDEX(설정_코드표!$G$2:$G$101,MATCH(TRIM(RIGHT(SUBSTITUTE(TRIM(F312&amp;"")," ",REPT(" ",60)),60)),설정_코드표!$F$2:$F$101,0)),"⚠"&amp;TRIM(F312&amp;""))),"⚠"&amp;TRIM(F312&amp;""))</f>
        <v/>
      </c>
      <c r="O312" s="10">
        <f>IFERROR(IF(TRIM(G312&amp;"")="","",IF(AND(ISNUMBER(FIND(" ",TRIM(G312&amp;""))),ISNUMBER(MATCH(LEFT(TRIM(G312&amp;""),FIND(" ",TRIM(G312&amp;""))-1),설정_코드표!$J$2:$J$101,0)),ISNUMBER(MATCH(TRIM(RIGHT(SUBSTITUTE(TRIM(G312&amp;"")," ",REPT(" ",60)),60)),설정_코드표!$F$2:$F$101,0))),INDEX(설정_코드표!$K$2:$K$101,MATCH(LEFT(TRIM(G312&amp;""),FIND(" ",TRIM(G312&amp;""))-1),설정_코드표!$J$2:$J$101,0))&amp;" "&amp;INDEX(설정_코드표!$G$2:$G$101,MATCH(TRIM(RIGHT(SUBSTITUTE(TRIM(G312&amp;"")," ",REPT(" ",60)),60)),설정_코드표!$F$2:$F$101,0)),"⚠"&amp;TRIM(G312&amp;""))),"⚠"&amp;TRIM(G312&amp;""))</f>
        <v/>
      </c>
      <c r="P312" s="10">
        <f>IFERROR(IF(TRIM(H312&amp;"")="","",IF(AND(ISNUMBER(FIND(" ",TRIM(H312&amp;""))),ISNUMBER(MATCH(LEFT(TRIM(H312&amp;""),FIND(" ",TRIM(H312&amp;""))-1),설정_코드표!$J$2:$J$101,0)),ISNUMBER(MATCH(TRIM(RIGHT(SUBSTITUTE(TRIM(H312&amp;"")," ",REPT(" ",60)),60)),설정_코드표!$F$2:$F$101,0))),INDEX(설정_코드표!$K$2:$K$101,MATCH(LEFT(TRIM(H312&amp;""),FIND(" ",TRIM(H312&amp;""))-1),설정_코드표!$J$2:$J$101,0))&amp;" "&amp;INDEX(설정_코드표!$G$2:$G$101,MATCH(TRIM(RIGHT(SUBSTITUTE(TRIM(H312&amp;"")," ",REPT(" ",60)),60)),설정_코드표!$F$2:$F$101,0)),"⚠"&amp;TRIM(H312&amp;""))),"⚠"&amp;TRIM(H312&amp;""))</f>
        <v/>
      </c>
      <c r="Q312" s="10">
        <f>IFERROR(IF(TRIM(I312&amp;"")="","",IF(AND(ISNUMBER(FIND(" ",TRIM(I312&amp;""))),ISNUMBER(MATCH(LEFT(TRIM(I312&amp;""),FIND(" ",TRIM(I312&amp;""))-1),설정_코드표!$J$2:$J$101,0)),ISNUMBER(MATCH(TRIM(RIGHT(SUBSTITUTE(TRIM(I312&amp;"")," ",REPT(" ",60)),60)),설정_코드표!$F$2:$F$101,0))),INDEX(설정_코드표!$K$2:$K$101,MATCH(LEFT(TRIM(I312&amp;""),FIND(" ",TRIM(I312&amp;""))-1),설정_코드표!$J$2:$J$101,0))&amp;" "&amp;INDEX(설정_코드표!$G$2:$G$101,MATCH(TRIM(RIGHT(SUBSTITUTE(TRIM(I312&amp;"")," ",REPT(" ",60)),60)),설정_코드표!$F$2:$F$101,0)),"⚠"&amp;TRIM(I312&amp;""))),"⚠"&amp;TRIM(I312&amp;""))</f>
        <v/>
      </c>
      <c r="R312" s="10">
        <f>IFERROR(IF(TRIM(J312&amp;"")="","",IF(AND(ISNUMBER(FIND(" ",TRIM(J312&amp;""))),ISNUMBER(MATCH(LEFT(TRIM(J312&amp;""),FIND(" ",TRIM(J312&amp;""))-1),설정_코드표!$J$2:$J$101,0)),ISNUMBER(MATCH(TRIM(RIGHT(SUBSTITUTE(TRIM(J312&amp;"")," ",REPT(" ",60)),60)),설정_코드표!$F$2:$F$101,0))),INDEX(설정_코드표!$K$2:$K$101,MATCH(LEFT(TRIM(J312&amp;""),FIND(" ",TRIM(J312&amp;""))-1),설정_코드표!$J$2:$J$101,0))&amp;" "&amp;INDEX(설정_코드표!$G$2:$G$101,MATCH(TRIM(RIGHT(SUBSTITUTE(TRIM(J312&amp;"")," ",REPT(" ",60)),60)),설정_코드표!$F$2:$F$101,0)),"⚠"&amp;TRIM(J312&amp;""))),"⚠"&amp;TRIM(J312&amp;""))</f>
        <v/>
      </c>
      <c r="S312" s="11">
        <f>IF(K312="","",IFERROR(IF(AND(ROUND((VALUE(K312&amp;"")-INT(VALUE(K312&amp;"")))*100,0)&gt;=1,ROUND((VALUE(K312&amp;"")-INT(VALUE(K312&amp;"")))*100,0)&lt;=12,INT(VALUE(K312&amp;""))&gt;=1900),DATE(INT(VALUE(K312&amp;"")),ROUND((VALUE(K312&amp;"")-INT(VALUE(K312&amp;"")))*100,0),1),K312&amp;""),K312&amp;""))</f>
        <v/>
      </c>
      <c r="T312" s="10">
        <f>COUNTIF(M312:R312,"⚠*")</f>
        <v/>
      </c>
    </row>
    <row r="313"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M313" s="10">
        <f>IFERROR(IF(TRIM(E313&amp;"")="","",IF(AND(ISNUMBER(FIND(" ",TRIM(E313&amp;""))),ISNUMBER(MATCH(LEFT(TRIM(E313&amp;""),FIND(" ",TRIM(E313&amp;""))-1),설정_코드표!$J$2:$J$101,0)),ISNUMBER(MATCH(TRIM(RIGHT(SUBSTITUTE(TRIM(E313&amp;"")," ",REPT(" ",60)),60)),설정_코드표!$F$2:$F$101,0))),INDEX(설정_코드표!$K$2:$K$101,MATCH(LEFT(TRIM(E313&amp;""),FIND(" ",TRIM(E313&amp;""))-1),설정_코드표!$J$2:$J$101,0))&amp;" "&amp;INDEX(설정_코드표!$G$2:$G$101,MATCH(TRIM(RIGHT(SUBSTITUTE(TRIM(E313&amp;"")," ",REPT(" ",60)),60)),설정_코드표!$F$2:$F$101,0)),"⚠"&amp;TRIM(E313&amp;""))),"⚠"&amp;TRIM(E313&amp;""))</f>
        <v/>
      </c>
      <c r="N313" s="10">
        <f>IFERROR(IF(TRIM(F313&amp;"")="","",IF(AND(ISNUMBER(FIND(" ",TRIM(F313&amp;""))),ISNUMBER(MATCH(LEFT(TRIM(F313&amp;""),FIND(" ",TRIM(F313&amp;""))-1),설정_코드표!$J$2:$J$101,0)),ISNUMBER(MATCH(TRIM(RIGHT(SUBSTITUTE(TRIM(F313&amp;"")," ",REPT(" ",60)),60)),설정_코드표!$F$2:$F$101,0))),INDEX(설정_코드표!$K$2:$K$101,MATCH(LEFT(TRIM(F313&amp;""),FIND(" ",TRIM(F313&amp;""))-1),설정_코드표!$J$2:$J$101,0))&amp;" "&amp;INDEX(설정_코드표!$G$2:$G$101,MATCH(TRIM(RIGHT(SUBSTITUTE(TRIM(F313&amp;"")," ",REPT(" ",60)),60)),설정_코드표!$F$2:$F$101,0)),"⚠"&amp;TRIM(F313&amp;""))),"⚠"&amp;TRIM(F313&amp;""))</f>
        <v/>
      </c>
      <c r="O313" s="10">
        <f>IFERROR(IF(TRIM(G313&amp;"")="","",IF(AND(ISNUMBER(FIND(" ",TRIM(G313&amp;""))),ISNUMBER(MATCH(LEFT(TRIM(G313&amp;""),FIND(" ",TRIM(G313&amp;""))-1),설정_코드표!$J$2:$J$101,0)),ISNUMBER(MATCH(TRIM(RIGHT(SUBSTITUTE(TRIM(G313&amp;"")," ",REPT(" ",60)),60)),설정_코드표!$F$2:$F$101,0))),INDEX(설정_코드표!$K$2:$K$101,MATCH(LEFT(TRIM(G313&amp;""),FIND(" ",TRIM(G313&amp;""))-1),설정_코드표!$J$2:$J$101,0))&amp;" "&amp;INDEX(설정_코드표!$G$2:$G$101,MATCH(TRIM(RIGHT(SUBSTITUTE(TRIM(G313&amp;"")," ",REPT(" ",60)),60)),설정_코드표!$F$2:$F$101,0)),"⚠"&amp;TRIM(G313&amp;""))),"⚠"&amp;TRIM(G313&amp;""))</f>
        <v/>
      </c>
      <c r="P313" s="10">
        <f>IFERROR(IF(TRIM(H313&amp;"")="","",IF(AND(ISNUMBER(FIND(" ",TRIM(H313&amp;""))),ISNUMBER(MATCH(LEFT(TRIM(H313&amp;""),FIND(" ",TRIM(H313&amp;""))-1),설정_코드표!$J$2:$J$101,0)),ISNUMBER(MATCH(TRIM(RIGHT(SUBSTITUTE(TRIM(H313&amp;"")," ",REPT(" ",60)),60)),설정_코드표!$F$2:$F$101,0))),INDEX(설정_코드표!$K$2:$K$101,MATCH(LEFT(TRIM(H313&amp;""),FIND(" ",TRIM(H313&amp;""))-1),설정_코드표!$J$2:$J$101,0))&amp;" "&amp;INDEX(설정_코드표!$G$2:$G$101,MATCH(TRIM(RIGHT(SUBSTITUTE(TRIM(H313&amp;"")," ",REPT(" ",60)),60)),설정_코드표!$F$2:$F$101,0)),"⚠"&amp;TRIM(H313&amp;""))),"⚠"&amp;TRIM(H313&amp;""))</f>
        <v/>
      </c>
      <c r="Q313" s="10">
        <f>IFERROR(IF(TRIM(I313&amp;"")="","",IF(AND(ISNUMBER(FIND(" ",TRIM(I313&amp;""))),ISNUMBER(MATCH(LEFT(TRIM(I313&amp;""),FIND(" ",TRIM(I313&amp;""))-1),설정_코드표!$J$2:$J$101,0)),ISNUMBER(MATCH(TRIM(RIGHT(SUBSTITUTE(TRIM(I313&amp;"")," ",REPT(" ",60)),60)),설정_코드표!$F$2:$F$101,0))),INDEX(설정_코드표!$K$2:$K$101,MATCH(LEFT(TRIM(I313&amp;""),FIND(" ",TRIM(I313&amp;""))-1),설정_코드표!$J$2:$J$101,0))&amp;" "&amp;INDEX(설정_코드표!$G$2:$G$101,MATCH(TRIM(RIGHT(SUBSTITUTE(TRIM(I313&amp;"")," ",REPT(" ",60)),60)),설정_코드표!$F$2:$F$101,0)),"⚠"&amp;TRIM(I313&amp;""))),"⚠"&amp;TRIM(I313&amp;""))</f>
        <v/>
      </c>
      <c r="R313" s="10">
        <f>IFERROR(IF(TRIM(J313&amp;"")="","",IF(AND(ISNUMBER(FIND(" ",TRIM(J313&amp;""))),ISNUMBER(MATCH(LEFT(TRIM(J313&amp;""),FIND(" ",TRIM(J313&amp;""))-1),설정_코드표!$J$2:$J$101,0)),ISNUMBER(MATCH(TRIM(RIGHT(SUBSTITUTE(TRIM(J313&amp;"")," ",REPT(" ",60)),60)),설정_코드표!$F$2:$F$101,0))),INDEX(설정_코드표!$K$2:$K$101,MATCH(LEFT(TRIM(J313&amp;""),FIND(" ",TRIM(J313&amp;""))-1),설정_코드표!$J$2:$J$101,0))&amp;" "&amp;INDEX(설정_코드표!$G$2:$G$101,MATCH(TRIM(RIGHT(SUBSTITUTE(TRIM(J313&amp;"")," ",REPT(" ",60)),60)),설정_코드표!$F$2:$F$101,0)),"⚠"&amp;TRIM(J313&amp;""))),"⚠"&amp;TRIM(J313&amp;""))</f>
        <v/>
      </c>
      <c r="S313" s="11">
        <f>IF(K313="","",IFERROR(IF(AND(ROUND((VALUE(K313&amp;"")-INT(VALUE(K313&amp;"")))*100,0)&gt;=1,ROUND((VALUE(K313&amp;"")-INT(VALUE(K313&amp;"")))*100,0)&lt;=12,INT(VALUE(K313&amp;""))&gt;=1900),DATE(INT(VALUE(K313&amp;"")),ROUND((VALUE(K313&amp;"")-INT(VALUE(K313&amp;"")))*100,0),1),K313&amp;""),K313&amp;""))</f>
        <v/>
      </c>
      <c r="T313" s="10">
        <f>COUNTIF(M313:R313,"⚠*")</f>
        <v/>
      </c>
    </row>
    <row r="314"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M314" s="10">
        <f>IFERROR(IF(TRIM(E314&amp;"")="","",IF(AND(ISNUMBER(FIND(" ",TRIM(E314&amp;""))),ISNUMBER(MATCH(LEFT(TRIM(E314&amp;""),FIND(" ",TRIM(E314&amp;""))-1),설정_코드표!$J$2:$J$101,0)),ISNUMBER(MATCH(TRIM(RIGHT(SUBSTITUTE(TRIM(E314&amp;"")," ",REPT(" ",60)),60)),설정_코드표!$F$2:$F$101,0))),INDEX(설정_코드표!$K$2:$K$101,MATCH(LEFT(TRIM(E314&amp;""),FIND(" ",TRIM(E314&amp;""))-1),설정_코드표!$J$2:$J$101,0))&amp;" "&amp;INDEX(설정_코드표!$G$2:$G$101,MATCH(TRIM(RIGHT(SUBSTITUTE(TRIM(E314&amp;"")," ",REPT(" ",60)),60)),설정_코드표!$F$2:$F$101,0)),"⚠"&amp;TRIM(E314&amp;""))),"⚠"&amp;TRIM(E314&amp;""))</f>
        <v/>
      </c>
      <c r="N314" s="10">
        <f>IFERROR(IF(TRIM(F314&amp;"")="","",IF(AND(ISNUMBER(FIND(" ",TRIM(F314&amp;""))),ISNUMBER(MATCH(LEFT(TRIM(F314&amp;""),FIND(" ",TRIM(F314&amp;""))-1),설정_코드표!$J$2:$J$101,0)),ISNUMBER(MATCH(TRIM(RIGHT(SUBSTITUTE(TRIM(F314&amp;"")," ",REPT(" ",60)),60)),설정_코드표!$F$2:$F$101,0))),INDEX(설정_코드표!$K$2:$K$101,MATCH(LEFT(TRIM(F314&amp;""),FIND(" ",TRIM(F314&amp;""))-1),설정_코드표!$J$2:$J$101,0))&amp;" "&amp;INDEX(설정_코드표!$G$2:$G$101,MATCH(TRIM(RIGHT(SUBSTITUTE(TRIM(F314&amp;"")," ",REPT(" ",60)),60)),설정_코드표!$F$2:$F$101,0)),"⚠"&amp;TRIM(F314&amp;""))),"⚠"&amp;TRIM(F314&amp;""))</f>
        <v/>
      </c>
      <c r="O314" s="10">
        <f>IFERROR(IF(TRIM(G314&amp;"")="","",IF(AND(ISNUMBER(FIND(" ",TRIM(G314&amp;""))),ISNUMBER(MATCH(LEFT(TRIM(G314&amp;""),FIND(" ",TRIM(G314&amp;""))-1),설정_코드표!$J$2:$J$101,0)),ISNUMBER(MATCH(TRIM(RIGHT(SUBSTITUTE(TRIM(G314&amp;"")," ",REPT(" ",60)),60)),설정_코드표!$F$2:$F$101,0))),INDEX(설정_코드표!$K$2:$K$101,MATCH(LEFT(TRIM(G314&amp;""),FIND(" ",TRIM(G314&amp;""))-1),설정_코드표!$J$2:$J$101,0))&amp;" "&amp;INDEX(설정_코드표!$G$2:$G$101,MATCH(TRIM(RIGHT(SUBSTITUTE(TRIM(G314&amp;"")," ",REPT(" ",60)),60)),설정_코드표!$F$2:$F$101,0)),"⚠"&amp;TRIM(G314&amp;""))),"⚠"&amp;TRIM(G314&amp;""))</f>
        <v/>
      </c>
      <c r="P314" s="10">
        <f>IFERROR(IF(TRIM(H314&amp;"")="","",IF(AND(ISNUMBER(FIND(" ",TRIM(H314&amp;""))),ISNUMBER(MATCH(LEFT(TRIM(H314&amp;""),FIND(" ",TRIM(H314&amp;""))-1),설정_코드표!$J$2:$J$101,0)),ISNUMBER(MATCH(TRIM(RIGHT(SUBSTITUTE(TRIM(H314&amp;"")," ",REPT(" ",60)),60)),설정_코드표!$F$2:$F$101,0))),INDEX(설정_코드표!$K$2:$K$101,MATCH(LEFT(TRIM(H314&amp;""),FIND(" ",TRIM(H314&amp;""))-1),설정_코드표!$J$2:$J$101,0))&amp;" "&amp;INDEX(설정_코드표!$G$2:$G$101,MATCH(TRIM(RIGHT(SUBSTITUTE(TRIM(H314&amp;"")," ",REPT(" ",60)),60)),설정_코드표!$F$2:$F$101,0)),"⚠"&amp;TRIM(H314&amp;""))),"⚠"&amp;TRIM(H314&amp;""))</f>
        <v/>
      </c>
      <c r="Q314" s="10">
        <f>IFERROR(IF(TRIM(I314&amp;"")="","",IF(AND(ISNUMBER(FIND(" ",TRIM(I314&amp;""))),ISNUMBER(MATCH(LEFT(TRIM(I314&amp;""),FIND(" ",TRIM(I314&amp;""))-1),설정_코드표!$J$2:$J$101,0)),ISNUMBER(MATCH(TRIM(RIGHT(SUBSTITUTE(TRIM(I314&amp;"")," ",REPT(" ",60)),60)),설정_코드표!$F$2:$F$101,0))),INDEX(설정_코드표!$K$2:$K$101,MATCH(LEFT(TRIM(I314&amp;""),FIND(" ",TRIM(I314&amp;""))-1),설정_코드표!$J$2:$J$101,0))&amp;" "&amp;INDEX(설정_코드표!$G$2:$G$101,MATCH(TRIM(RIGHT(SUBSTITUTE(TRIM(I314&amp;"")," ",REPT(" ",60)),60)),설정_코드표!$F$2:$F$101,0)),"⚠"&amp;TRIM(I314&amp;""))),"⚠"&amp;TRIM(I314&amp;""))</f>
        <v/>
      </c>
      <c r="R314" s="10">
        <f>IFERROR(IF(TRIM(J314&amp;"")="","",IF(AND(ISNUMBER(FIND(" ",TRIM(J314&amp;""))),ISNUMBER(MATCH(LEFT(TRIM(J314&amp;""),FIND(" ",TRIM(J314&amp;""))-1),설정_코드표!$J$2:$J$101,0)),ISNUMBER(MATCH(TRIM(RIGHT(SUBSTITUTE(TRIM(J314&amp;"")," ",REPT(" ",60)),60)),설정_코드표!$F$2:$F$101,0))),INDEX(설정_코드표!$K$2:$K$101,MATCH(LEFT(TRIM(J314&amp;""),FIND(" ",TRIM(J314&amp;""))-1),설정_코드표!$J$2:$J$101,0))&amp;" "&amp;INDEX(설정_코드표!$G$2:$G$101,MATCH(TRIM(RIGHT(SUBSTITUTE(TRIM(J314&amp;"")," ",REPT(" ",60)),60)),설정_코드표!$F$2:$F$101,0)),"⚠"&amp;TRIM(J314&amp;""))),"⚠"&amp;TRIM(J314&amp;""))</f>
        <v/>
      </c>
      <c r="S314" s="11">
        <f>IF(K314="","",IFERROR(IF(AND(ROUND((VALUE(K314&amp;"")-INT(VALUE(K314&amp;"")))*100,0)&gt;=1,ROUND((VALUE(K314&amp;"")-INT(VALUE(K314&amp;"")))*100,0)&lt;=12,INT(VALUE(K314&amp;""))&gt;=1900),DATE(INT(VALUE(K314&amp;"")),ROUND((VALUE(K314&amp;"")-INT(VALUE(K314&amp;"")))*100,0),1),K314&amp;""),K314&amp;""))</f>
        <v/>
      </c>
      <c r="T314" s="10">
        <f>COUNTIF(M314:R314,"⚠*")</f>
        <v/>
      </c>
    </row>
    <row r="315"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M315" s="10">
        <f>IFERROR(IF(TRIM(E315&amp;"")="","",IF(AND(ISNUMBER(FIND(" ",TRIM(E315&amp;""))),ISNUMBER(MATCH(LEFT(TRIM(E315&amp;""),FIND(" ",TRIM(E315&amp;""))-1),설정_코드표!$J$2:$J$101,0)),ISNUMBER(MATCH(TRIM(RIGHT(SUBSTITUTE(TRIM(E315&amp;"")," ",REPT(" ",60)),60)),설정_코드표!$F$2:$F$101,0))),INDEX(설정_코드표!$K$2:$K$101,MATCH(LEFT(TRIM(E315&amp;""),FIND(" ",TRIM(E315&amp;""))-1),설정_코드표!$J$2:$J$101,0))&amp;" "&amp;INDEX(설정_코드표!$G$2:$G$101,MATCH(TRIM(RIGHT(SUBSTITUTE(TRIM(E315&amp;"")," ",REPT(" ",60)),60)),설정_코드표!$F$2:$F$101,0)),"⚠"&amp;TRIM(E315&amp;""))),"⚠"&amp;TRIM(E315&amp;""))</f>
        <v/>
      </c>
      <c r="N315" s="10">
        <f>IFERROR(IF(TRIM(F315&amp;"")="","",IF(AND(ISNUMBER(FIND(" ",TRIM(F315&amp;""))),ISNUMBER(MATCH(LEFT(TRIM(F315&amp;""),FIND(" ",TRIM(F315&amp;""))-1),설정_코드표!$J$2:$J$101,0)),ISNUMBER(MATCH(TRIM(RIGHT(SUBSTITUTE(TRIM(F315&amp;"")," ",REPT(" ",60)),60)),설정_코드표!$F$2:$F$101,0))),INDEX(설정_코드표!$K$2:$K$101,MATCH(LEFT(TRIM(F315&amp;""),FIND(" ",TRIM(F315&amp;""))-1),설정_코드표!$J$2:$J$101,0))&amp;" "&amp;INDEX(설정_코드표!$G$2:$G$101,MATCH(TRIM(RIGHT(SUBSTITUTE(TRIM(F315&amp;"")," ",REPT(" ",60)),60)),설정_코드표!$F$2:$F$101,0)),"⚠"&amp;TRIM(F315&amp;""))),"⚠"&amp;TRIM(F315&amp;""))</f>
        <v/>
      </c>
      <c r="O315" s="10">
        <f>IFERROR(IF(TRIM(G315&amp;"")="","",IF(AND(ISNUMBER(FIND(" ",TRIM(G315&amp;""))),ISNUMBER(MATCH(LEFT(TRIM(G315&amp;""),FIND(" ",TRIM(G315&amp;""))-1),설정_코드표!$J$2:$J$101,0)),ISNUMBER(MATCH(TRIM(RIGHT(SUBSTITUTE(TRIM(G315&amp;"")," ",REPT(" ",60)),60)),설정_코드표!$F$2:$F$101,0))),INDEX(설정_코드표!$K$2:$K$101,MATCH(LEFT(TRIM(G315&amp;""),FIND(" ",TRIM(G315&amp;""))-1),설정_코드표!$J$2:$J$101,0))&amp;" "&amp;INDEX(설정_코드표!$G$2:$G$101,MATCH(TRIM(RIGHT(SUBSTITUTE(TRIM(G315&amp;"")," ",REPT(" ",60)),60)),설정_코드표!$F$2:$F$101,0)),"⚠"&amp;TRIM(G315&amp;""))),"⚠"&amp;TRIM(G315&amp;""))</f>
        <v/>
      </c>
      <c r="P315" s="10">
        <f>IFERROR(IF(TRIM(H315&amp;"")="","",IF(AND(ISNUMBER(FIND(" ",TRIM(H315&amp;""))),ISNUMBER(MATCH(LEFT(TRIM(H315&amp;""),FIND(" ",TRIM(H315&amp;""))-1),설정_코드표!$J$2:$J$101,0)),ISNUMBER(MATCH(TRIM(RIGHT(SUBSTITUTE(TRIM(H315&amp;"")," ",REPT(" ",60)),60)),설정_코드표!$F$2:$F$101,0))),INDEX(설정_코드표!$K$2:$K$101,MATCH(LEFT(TRIM(H315&amp;""),FIND(" ",TRIM(H315&amp;""))-1),설정_코드표!$J$2:$J$101,0))&amp;" "&amp;INDEX(설정_코드표!$G$2:$G$101,MATCH(TRIM(RIGHT(SUBSTITUTE(TRIM(H315&amp;"")," ",REPT(" ",60)),60)),설정_코드표!$F$2:$F$101,0)),"⚠"&amp;TRIM(H315&amp;""))),"⚠"&amp;TRIM(H315&amp;""))</f>
        <v/>
      </c>
      <c r="Q315" s="10">
        <f>IFERROR(IF(TRIM(I315&amp;"")="","",IF(AND(ISNUMBER(FIND(" ",TRIM(I315&amp;""))),ISNUMBER(MATCH(LEFT(TRIM(I315&amp;""),FIND(" ",TRIM(I315&amp;""))-1),설정_코드표!$J$2:$J$101,0)),ISNUMBER(MATCH(TRIM(RIGHT(SUBSTITUTE(TRIM(I315&amp;"")," ",REPT(" ",60)),60)),설정_코드표!$F$2:$F$101,0))),INDEX(설정_코드표!$K$2:$K$101,MATCH(LEFT(TRIM(I315&amp;""),FIND(" ",TRIM(I315&amp;""))-1),설정_코드표!$J$2:$J$101,0))&amp;" "&amp;INDEX(설정_코드표!$G$2:$G$101,MATCH(TRIM(RIGHT(SUBSTITUTE(TRIM(I315&amp;"")," ",REPT(" ",60)),60)),설정_코드표!$F$2:$F$101,0)),"⚠"&amp;TRIM(I315&amp;""))),"⚠"&amp;TRIM(I315&amp;""))</f>
        <v/>
      </c>
      <c r="R315" s="10">
        <f>IFERROR(IF(TRIM(J315&amp;"")="","",IF(AND(ISNUMBER(FIND(" ",TRIM(J315&amp;""))),ISNUMBER(MATCH(LEFT(TRIM(J315&amp;""),FIND(" ",TRIM(J315&amp;""))-1),설정_코드표!$J$2:$J$101,0)),ISNUMBER(MATCH(TRIM(RIGHT(SUBSTITUTE(TRIM(J315&amp;"")," ",REPT(" ",60)),60)),설정_코드표!$F$2:$F$101,0))),INDEX(설정_코드표!$K$2:$K$101,MATCH(LEFT(TRIM(J315&amp;""),FIND(" ",TRIM(J315&amp;""))-1),설정_코드표!$J$2:$J$101,0))&amp;" "&amp;INDEX(설정_코드표!$G$2:$G$101,MATCH(TRIM(RIGHT(SUBSTITUTE(TRIM(J315&amp;"")," ",REPT(" ",60)),60)),설정_코드표!$F$2:$F$101,0)),"⚠"&amp;TRIM(J315&amp;""))),"⚠"&amp;TRIM(J315&amp;""))</f>
        <v/>
      </c>
      <c r="S315" s="11">
        <f>IF(K315="","",IFERROR(IF(AND(ROUND((VALUE(K315&amp;"")-INT(VALUE(K315&amp;"")))*100,0)&gt;=1,ROUND((VALUE(K315&amp;"")-INT(VALUE(K315&amp;"")))*100,0)&lt;=12,INT(VALUE(K315&amp;""))&gt;=1900),DATE(INT(VALUE(K315&amp;"")),ROUND((VALUE(K315&amp;"")-INT(VALUE(K315&amp;"")))*100,0),1),K315&amp;""),K315&amp;""))</f>
        <v/>
      </c>
      <c r="T315" s="10">
        <f>COUNTIF(M315:R315,"⚠*")</f>
        <v/>
      </c>
    </row>
    <row r="316"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M316" s="10">
        <f>IFERROR(IF(TRIM(E316&amp;"")="","",IF(AND(ISNUMBER(FIND(" ",TRIM(E316&amp;""))),ISNUMBER(MATCH(LEFT(TRIM(E316&amp;""),FIND(" ",TRIM(E316&amp;""))-1),설정_코드표!$J$2:$J$101,0)),ISNUMBER(MATCH(TRIM(RIGHT(SUBSTITUTE(TRIM(E316&amp;"")," ",REPT(" ",60)),60)),설정_코드표!$F$2:$F$101,0))),INDEX(설정_코드표!$K$2:$K$101,MATCH(LEFT(TRIM(E316&amp;""),FIND(" ",TRIM(E316&amp;""))-1),설정_코드표!$J$2:$J$101,0))&amp;" "&amp;INDEX(설정_코드표!$G$2:$G$101,MATCH(TRIM(RIGHT(SUBSTITUTE(TRIM(E316&amp;"")," ",REPT(" ",60)),60)),설정_코드표!$F$2:$F$101,0)),"⚠"&amp;TRIM(E316&amp;""))),"⚠"&amp;TRIM(E316&amp;""))</f>
        <v/>
      </c>
      <c r="N316" s="10">
        <f>IFERROR(IF(TRIM(F316&amp;"")="","",IF(AND(ISNUMBER(FIND(" ",TRIM(F316&amp;""))),ISNUMBER(MATCH(LEFT(TRIM(F316&amp;""),FIND(" ",TRIM(F316&amp;""))-1),설정_코드표!$J$2:$J$101,0)),ISNUMBER(MATCH(TRIM(RIGHT(SUBSTITUTE(TRIM(F316&amp;"")," ",REPT(" ",60)),60)),설정_코드표!$F$2:$F$101,0))),INDEX(설정_코드표!$K$2:$K$101,MATCH(LEFT(TRIM(F316&amp;""),FIND(" ",TRIM(F316&amp;""))-1),설정_코드표!$J$2:$J$101,0))&amp;" "&amp;INDEX(설정_코드표!$G$2:$G$101,MATCH(TRIM(RIGHT(SUBSTITUTE(TRIM(F316&amp;"")," ",REPT(" ",60)),60)),설정_코드표!$F$2:$F$101,0)),"⚠"&amp;TRIM(F316&amp;""))),"⚠"&amp;TRIM(F316&amp;""))</f>
        <v/>
      </c>
      <c r="O316" s="10">
        <f>IFERROR(IF(TRIM(G316&amp;"")="","",IF(AND(ISNUMBER(FIND(" ",TRIM(G316&amp;""))),ISNUMBER(MATCH(LEFT(TRIM(G316&amp;""),FIND(" ",TRIM(G316&amp;""))-1),설정_코드표!$J$2:$J$101,0)),ISNUMBER(MATCH(TRIM(RIGHT(SUBSTITUTE(TRIM(G316&amp;"")," ",REPT(" ",60)),60)),설정_코드표!$F$2:$F$101,0))),INDEX(설정_코드표!$K$2:$K$101,MATCH(LEFT(TRIM(G316&amp;""),FIND(" ",TRIM(G316&amp;""))-1),설정_코드표!$J$2:$J$101,0))&amp;" "&amp;INDEX(설정_코드표!$G$2:$G$101,MATCH(TRIM(RIGHT(SUBSTITUTE(TRIM(G316&amp;"")," ",REPT(" ",60)),60)),설정_코드표!$F$2:$F$101,0)),"⚠"&amp;TRIM(G316&amp;""))),"⚠"&amp;TRIM(G316&amp;""))</f>
        <v/>
      </c>
      <c r="P316" s="10">
        <f>IFERROR(IF(TRIM(H316&amp;"")="","",IF(AND(ISNUMBER(FIND(" ",TRIM(H316&amp;""))),ISNUMBER(MATCH(LEFT(TRIM(H316&amp;""),FIND(" ",TRIM(H316&amp;""))-1),설정_코드표!$J$2:$J$101,0)),ISNUMBER(MATCH(TRIM(RIGHT(SUBSTITUTE(TRIM(H316&amp;"")," ",REPT(" ",60)),60)),설정_코드표!$F$2:$F$101,0))),INDEX(설정_코드표!$K$2:$K$101,MATCH(LEFT(TRIM(H316&amp;""),FIND(" ",TRIM(H316&amp;""))-1),설정_코드표!$J$2:$J$101,0))&amp;" "&amp;INDEX(설정_코드표!$G$2:$G$101,MATCH(TRIM(RIGHT(SUBSTITUTE(TRIM(H316&amp;"")," ",REPT(" ",60)),60)),설정_코드표!$F$2:$F$101,0)),"⚠"&amp;TRIM(H316&amp;""))),"⚠"&amp;TRIM(H316&amp;""))</f>
        <v/>
      </c>
      <c r="Q316" s="10">
        <f>IFERROR(IF(TRIM(I316&amp;"")="","",IF(AND(ISNUMBER(FIND(" ",TRIM(I316&amp;""))),ISNUMBER(MATCH(LEFT(TRIM(I316&amp;""),FIND(" ",TRIM(I316&amp;""))-1),설정_코드표!$J$2:$J$101,0)),ISNUMBER(MATCH(TRIM(RIGHT(SUBSTITUTE(TRIM(I316&amp;"")," ",REPT(" ",60)),60)),설정_코드표!$F$2:$F$101,0))),INDEX(설정_코드표!$K$2:$K$101,MATCH(LEFT(TRIM(I316&amp;""),FIND(" ",TRIM(I316&amp;""))-1),설정_코드표!$J$2:$J$101,0))&amp;" "&amp;INDEX(설정_코드표!$G$2:$G$101,MATCH(TRIM(RIGHT(SUBSTITUTE(TRIM(I316&amp;"")," ",REPT(" ",60)),60)),설정_코드표!$F$2:$F$101,0)),"⚠"&amp;TRIM(I316&amp;""))),"⚠"&amp;TRIM(I316&amp;""))</f>
        <v/>
      </c>
      <c r="R316" s="10">
        <f>IFERROR(IF(TRIM(J316&amp;"")="","",IF(AND(ISNUMBER(FIND(" ",TRIM(J316&amp;""))),ISNUMBER(MATCH(LEFT(TRIM(J316&amp;""),FIND(" ",TRIM(J316&amp;""))-1),설정_코드표!$J$2:$J$101,0)),ISNUMBER(MATCH(TRIM(RIGHT(SUBSTITUTE(TRIM(J316&amp;"")," ",REPT(" ",60)),60)),설정_코드표!$F$2:$F$101,0))),INDEX(설정_코드표!$K$2:$K$101,MATCH(LEFT(TRIM(J316&amp;""),FIND(" ",TRIM(J316&amp;""))-1),설정_코드표!$J$2:$J$101,0))&amp;" "&amp;INDEX(설정_코드표!$G$2:$G$101,MATCH(TRIM(RIGHT(SUBSTITUTE(TRIM(J316&amp;"")," ",REPT(" ",60)),60)),설정_코드표!$F$2:$F$101,0)),"⚠"&amp;TRIM(J316&amp;""))),"⚠"&amp;TRIM(J316&amp;""))</f>
        <v/>
      </c>
      <c r="S316" s="11">
        <f>IF(K316="","",IFERROR(IF(AND(ROUND((VALUE(K316&amp;"")-INT(VALUE(K316&amp;"")))*100,0)&gt;=1,ROUND((VALUE(K316&amp;"")-INT(VALUE(K316&amp;"")))*100,0)&lt;=12,INT(VALUE(K316&amp;""))&gt;=1900),DATE(INT(VALUE(K316&amp;"")),ROUND((VALUE(K316&amp;"")-INT(VALUE(K316&amp;"")))*100,0),1),K316&amp;""),K316&amp;""))</f>
        <v/>
      </c>
      <c r="T316" s="10">
        <f>COUNTIF(M316:R316,"⚠*")</f>
        <v/>
      </c>
    </row>
    <row r="317"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M317" s="10">
        <f>IFERROR(IF(TRIM(E317&amp;"")="","",IF(AND(ISNUMBER(FIND(" ",TRIM(E317&amp;""))),ISNUMBER(MATCH(LEFT(TRIM(E317&amp;""),FIND(" ",TRIM(E317&amp;""))-1),설정_코드표!$J$2:$J$101,0)),ISNUMBER(MATCH(TRIM(RIGHT(SUBSTITUTE(TRIM(E317&amp;"")," ",REPT(" ",60)),60)),설정_코드표!$F$2:$F$101,0))),INDEX(설정_코드표!$K$2:$K$101,MATCH(LEFT(TRIM(E317&amp;""),FIND(" ",TRIM(E317&amp;""))-1),설정_코드표!$J$2:$J$101,0))&amp;" "&amp;INDEX(설정_코드표!$G$2:$G$101,MATCH(TRIM(RIGHT(SUBSTITUTE(TRIM(E317&amp;"")," ",REPT(" ",60)),60)),설정_코드표!$F$2:$F$101,0)),"⚠"&amp;TRIM(E317&amp;""))),"⚠"&amp;TRIM(E317&amp;""))</f>
        <v/>
      </c>
      <c r="N317" s="10">
        <f>IFERROR(IF(TRIM(F317&amp;"")="","",IF(AND(ISNUMBER(FIND(" ",TRIM(F317&amp;""))),ISNUMBER(MATCH(LEFT(TRIM(F317&amp;""),FIND(" ",TRIM(F317&amp;""))-1),설정_코드표!$J$2:$J$101,0)),ISNUMBER(MATCH(TRIM(RIGHT(SUBSTITUTE(TRIM(F317&amp;"")," ",REPT(" ",60)),60)),설정_코드표!$F$2:$F$101,0))),INDEX(설정_코드표!$K$2:$K$101,MATCH(LEFT(TRIM(F317&amp;""),FIND(" ",TRIM(F317&amp;""))-1),설정_코드표!$J$2:$J$101,0))&amp;" "&amp;INDEX(설정_코드표!$G$2:$G$101,MATCH(TRIM(RIGHT(SUBSTITUTE(TRIM(F317&amp;"")," ",REPT(" ",60)),60)),설정_코드표!$F$2:$F$101,0)),"⚠"&amp;TRIM(F317&amp;""))),"⚠"&amp;TRIM(F317&amp;""))</f>
        <v/>
      </c>
      <c r="O317" s="10">
        <f>IFERROR(IF(TRIM(G317&amp;"")="","",IF(AND(ISNUMBER(FIND(" ",TRIM(G317&amp;""))),ISNUMBER(MATCH(LEFT(TRIM(G317&amp;""),FIND(" ",TRIM(G317&amp;""))-1),설정_코드표!$J$2:$J$101,0)),ISNUMBER(MATCH(TRIM(RIGHT(SUBSTITUTE(TRIM(G317&amp;"")," ",REPT(" ",60)),60)),설정_코드표!$F$2:$F$101,0))),INDEX(설정_코드표!$K$2:$K$101,MATCH(LEFT(TRIM(G317&amp;""),FIND(" ",TRIM(G317&amp;""))-1),설정_코드표!$J$2:$J$101,0))&amp;" "&amp;INDEX(설정_코드표!$G$2:$G$101,MATCH(TRIM(RIGHT(SUBSTITUTE(TRIM(G317&amp;"")," ",REPT(" ",60)),60)),설정_코드표!$F$2:$F$101,0)),"⚠"&amp;TRIM(G317&amp;""))),"⚠"&amp;TRIM(G317&amp;""))</f>
        <v/>
      </c>
      <c r="P317" s="10">
        <f>IFERROR(IF(TRIM(H317&amp;"")="","",IF(AND(ISNUMBER(FIND(" ",TRIM(H317&amp;""))),ISNUMBER(MATCH(LEFT(TRIM(H317&amp;""),FIND(" ",TRIM(H317&amp;""))-1),설정_코드표!$J$2:$J$101,0)),ISNUMBER(MATCH(TRIM(RIGHT(SUBSTITUTE(TRIM(H317&amp;"")," ",REPT(" ",60)),60)),설정_코드표!$F$2:$F$101,0))),INDEX(설정_코드표!$K$2:$K$101,MATCH(LEFT(TRIM(H317&amp;""),FIND(" ",TRIM(H317&amp;""))-1),설정_코드표!$J$2:$J$101,0))&amp;" "&amp;INDEX(설정_코드표!$G$2:$G$101,MATCH(TRIM(RIGHT(SUBSTITUTE(TRIM(H317&amp;"")," ",REPT(" ",60)),60)),설정_코드표!$F$2:$F$101,0)),"⚠"&amp;TRIM(H317&amp;""))),"⚠"&amp;TRIM(H317&amp;""))</f>
        <v/>
      </c>
      <c r="Q317" s="10">
        <f>IFERROR(IF(TRIM(I317&amp;"")="","",IF(AND(ISNUMBER(FIND(" ",TRIM(I317&amp;""))),ISNUMBER(MATCH(LEFT(TRIM(I317&amp;""),FIND(" ",TRIM(I317&amp;""))-1),설정_코드표!$J$2:$J$101,0)),ISNUMBER(MATCH(TRIM(RIGHT(SUBSTITUTE(TRIM(I317&amp;"")," ",REPT(" ",60)),60)),설정_코드표!$F$2:$F$101,0))),INDEX(설정_코드표!$K$2:$K$101,MATCH(LEFT(TRIM(I317&amp;""),FIND(" ",TRIM(I317&amp;""))-1),설정_코드표!$J$2:$J$101,0))&amp;" "&amp;INDEX(설정_코드표!$G$2:$G$101,MATCH(TRIM(RIGHT(SUBSTITUTE(TRIM(I317&amp;"")," ",REPT(" ",60)),60)),설정_코드표!$F$2:$F$101,0)),"⚠"&amp;TRIM(I317&amp;""))),"⚠"&amp;TRIM(I317&amp;""))</f>
        <v/>
      </c>
      <c r="R317" s="10">
        <f>IFERROR(IF(TRIM(J317&amp;"")="","",IF(AND(ISNUMBER(FIND(" ",TRIM(J317&amp;""))),ISNUMBER(MATCH(LEFT(TRIM(J317&amp;""),FIND(" ",TRIM(J317&amp;""))-1),설정_코드표!$J$2:$J$101,0)),ISNUMBER(MATCH(TRIM(RIGHT(SUBSTITUTE(TRIM(J317&amp;"")," ",REPT(" ",60)),60)),설정_코드표!$F$2:$F$101,0))),INDEX(설정_코드표!$K$2:$K$101,MATCH(LEFT(TRIM(J317&amp;""),FIND(" ",TRIM(J317&amp;""))-1),설정_코드표!$J$2:$J$101,0))&amp;" "&amp;INDEX(설정_코드표!$G$2:$G$101,MATCH(TRIM(RIGHT(SUBSTITUTE(TRIM(J317&amp;"")," ",REPT(" ",60)),60)),설정_코드표!$F$2:$F$101,0)),"⚠"&amp;TRIM(J317&amp;""))),"⚠"&amp;TRIM(J317&amp;""))</f>
        <v/>
      </c>
      <c r="S317" s="11">
        <f>IF(K317="","",IFERROR(IF(AND(ROUND((VALUE(K317&amp;"")-INT(VALUE(K317&amp;"")))*100,0)&gt;=1,ROUND((VALUE(K317&amp;"")-INT(VALUE(K317&amp;"")))*100,0)&lt;=12,INT(VALUE(K317&amp;""))&gt;=1900),DATE(INT(VALUE(K317&amp;"")),ROUND((VALUE(K317&amp;"")-INT(VALUE(K317&amp;"")))*100,0),1),K317&amp;""),K317&amp;""))</f>
        <v/>
      </c>
      <c r="T317" s="10">
        <f>COUNTIF(M317:R317,"⚠*")</f>
        <v/>
      </c>
    </row>
    <row r="318"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M318" s="10">
        <f>IFERROR(IF(TRIM(E318&amp;"")="","",IF(AND(ISNUMBER(FIND(" ",TRIM(E318&amp;""))),ISNUMBER(MATCH(LEFT(TRIM(E318&amp;""),FIND(" ",TRIM(E318&amp;""))-1),설정_코드표!$J$2:$J$101,0)),ISNUMBER(MATCH(TRIM(RIGHT(SUBSTITUTE(TRIM(E318&amp;"")," ",REPT(" ",60)),60)),설정_코드표!$F$2:$F$101,0))),INDEX(설정_코드표!$K$2:$K$101,MATCH(LEFT(TRIM(E318&amp;""),FIND(" ",TRIM(E318&amp;""))-1),설정_코드표!$J$2:$J$101,0))&amp;" "&amp;INDEX(설정_코드표!$G$2:$G$101,MATCH(TRIM(RIGHT(SUBSTITUTE(TRIM(E318&amp;"")," ",REPT(" ",60)),60)),설정_코드표!$F$2:$F$101,0)),"⚠"&amp;TRIM(E318&amp;""))),"⚠"&amp;TRIM(E318&amp;""))</f>
        <v/>
      </c>
      <c r="N318" s="10">
        <f>IFERROR(IF(TRIM(F318&amp;"")="","",IF(AND(ISNUMBER(FIND(" ",TRIM(F318&amp;""))),ISNUMBER(MATCH(LEFT(TRIM(F318&amp;""),FIND(" ",TRIM(F318&amp;""))-1),설정_코드표!$J$2:$J$101,0)),ISNUMBER(MATCH(TRIM(RIGHT(SUBSTITUTE(TRIM(F318&amp;"")," ",REPT(" ",60)),60)),설정_코드표!$F$2:$F$101,0))),INDEX(설정_코드표!$K$2:$K$101,MATCH(LEFT(TRIM(F318&amp;""),FIND(" ",TRIM(F318&amp;""))-1),설정_코드표!$J$2:$J$101,0))&amp;" "&amp;INDEX(설정_코드표!$G$2:$G$101,MATCH(TRIM(RIGHT(SUBSTITUTE(TRIM(F318&amp;"")," ",REPT(" ",60)),60)),설정_코드표!$F$2:$F$101,0)),"⚠"&amp;TRIM(F318&amp;""))),"⚠"&amp;TRIM(F318&amp;""))</f>
        <v/>
      </c>
      <c r="O318" s="10">
        <f>IFERROR(IF(TRIM(G318&amp;"")="","",IF(AND(ISNUMBER(FIND(" ",TRIM(G318&amp;""))),ISNUMBER(MATCH(LEFT(TRIM(G318&amp;""),FIND(" ",TRIM(G318&amp;""))-1),설정_코드표!$J$2:$J$101,0)),ISNUMBER(MATCH(TRIM(RIGHT(SUBSTITUTE(TRIM(G318&amp;"")," ",REPT(" ",60)),60)),설정_코드표!$F$2:$F$101,0))),INDEX(설정_코드표!$K$2:$K$101,MATCH(LEFT(TRIM(G318&amp;""),FIND(" ",TRIM(G318&amp;""))-1),설정_코드표!$J$2:$J$101,0))&amp;" "&amp;INDEX(설정_코드표!$G$2:$G$101,MATCH(TRIM(RIGHT(SUBSTITUTE(TRIM(G318&amp;"")," ",REPT(" ",60)),60)),설정_코드표!$F$2:$F$101,0)),"⚠"&amp;TRIM(G318&amp;""))),"⚠"&amp;TRIM(G318&amp;""))</f>
        <v/>
      </c>
      <c r="P318" s="10">
        <f>IFERROR(IF(TRIM(H318&amp;"")="","",IF(AND(ISNUMBER(FIND(" ",TRIM(H318&amp;""))),ISNUMBER(MATCH(LEFT(TRIM(H318&amp;""),FIND(" ",TRIM(H318&amp;""))-1),설정_코드표!$J$2:$J$101,0)),ISNUMBER(MATCH(TRIM(RIGHT(SUBSTITUTE(TRIM(H318&amp;"")," ",REPT(" ",60)),60)),설정_코드표!$F$2:$F$101,0))),INDEX(설정_코드표!$K$2:$K$101,MATCH(LEFT(TRIM(H318&amp;""),FIND(" ",TRIM(H318&amp;""))-1),설정_코드표!$J$2:$J$101,0))&amp;" "&amp;INDEX(설정_코드표!$G$2:$G$101,MATCH(TRIM(RIGHT(SUBSTITUTE(TRIM(H318&amp;"")," ",REPT(" ",60)),60)),설정_코드표!$F$2:$F$101,0)),"⚠"&amp;TRIM(H318&amp;""))),"⚠"&amp;TRIM(H318&amp;""))</f>
        <v/>
      </c>
      <c r="Q318" s="10">
        <f>IFERROR(IF(TRIM(I318&amp;"")="","",IF(AND(ISNUMBER(FIND(" ",TRIM(I318&amp;""))),ISNUMBER(MATCH(LEFT(TRIM(I318&amp;""),FIND(" ",TRIM(I318&amp;""))-1),설정_코드표!$J$2:$J$101,0)),ISNUMBER(MATCH(TRIM(RIGHT(SUBSTITUTE(TRIM(I318&amp;"")," ",REPT(" ",60)),60)),설정_코드표!$F$2:$F$101,0))),INDEX(설정_코드표!$K$2:$K$101,MATCH(LEFT(TRIM(I318&amp;""),FIND(" ",TRIM(I318&amp;""))-1),설정_코드표!$J$2:$J$101,0))&amp;" "&amp;INDEX(설정_코드표!$G$2:$G$101,MATCH(TRIM(RIGHT(SUBSTITUTE(TRIM(I318&amp;"")," ",REPT(" ",60)),60)),설정_코드표!$F$2:$F$101,0)),"⚠"&amp;TRIM(I318&amp;""))),"⚠"&amp;TRIM(I318&amp;""))</f>
        <v/>
      </c>
      <c r="R318" s="10">
        <f>IFERROR(IF(TRIM(J318&amp;"")="","",IF(AND(ISNUMBER(FIND(" ",TRIM(J318&amp;""))),ISNUMBER(MATCH(LEFT(TRIM(J318&amp;""),FIND(" ",TRIM(J318&amp;""))-1),설정_코드표!$J$2:$J$101,0)),ISNUMBER(MATCH(TRIM(RIGHT(SUBSTITUTE(TRIM(J318&amp;"")," ",REPT(" ",60)),60)),설정_코드표!$F$2:$F$101,0))),INDEX(설정_코드표!$K$2:$K$101,MATCH(LEFT(TRIM(J318&amp;""),FIND(" ",TRIM(J318&amp;""))-1),설정_코드표!$J$2:$J$101,0))&amp;" "&amp;INDEX(설정_코드표!$G$2:$G$101,MATCH(TRIM(RIGHT(SUBSTITUTE(TRIM(J318&amp;"")," ",REPT(" ",60)),60)),설정_코드표!$F$2:$F$101,0)),"⚠"&amp;TRIM(J318&amp;""))),"⚠"&amp;TRIM(J318&amp;""))</f>
        <v/>
      </c>
      <c r="S318" s="11">
        <f>IF(K318="","",IFERROR(IF(AND(ROUND((VALUE(K318&amp;"")-INT(VALUE(K318&amp;"")))*100,0)&gt;=1,ROUND((VALUE(K318&amp;"")-INT(VALUE(K318&amp;"")))*100,0)&lt;=12,INT(VALUE(K318&amp;""))&gt;=1900),DATE(INT(VALUE(K318&amp;"")),ROUND((VALUE(K318&amp;"")-INT(VALUE(K318&amp;"")))*100,0),1),K318&amp;""),K318&amp;""))</f>
        <v/>
      </c>
      <c r="T318" s="10">
        <f>COUNTIF(M318:R318,"⚠*")</f>
        <v/>
      </c>
    </row>
    <row r="319"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M319" s="10">
        <f>IFERROR(IF(TRIM(E319&amp;"")="","",IF(AND(ISNUMBER(FIND(" ",TRIM(E319&amp;""))),ISNUMBER(MATCH(LEFT(TRIM(E319&amp;""),FIND(" ",TRIM(E319&amp;""))-1),설정_코드표!$J$2:$J$101,0)),ISNUMBER(MATCH(TRIM(RIGHT(SUBSTITUTE(TRIM(E319&amp;"")," ",REPT(" ",60)),60)),설정_코드표!$F$2:$F$101,0))),INDEX(설정_코드표!$K$2:$K$101,MATCH(LEFT(TRIM(E319&amp;""),FIND(" ",TRIM(E319&amp;""))-1),설정_코드표!$J$2:$J$101,0))&amp;" "&amp;INDEX(설정_코드표!$G$2:$G$101,MATCH(TRIM(RIGHT(SUBSTITUTE(TRIM(E319&amp;"")," ",REPT(" ",60)),60)),설정_코드표!$F$2:$F$101,0)),"⚠"&amp;TRIM(E319&amp;""))),"⚠"&amp;TRIM(E319&amp;""))</f>
        <v/>
      </c>
      <c r="N319" s="10">
        <f>IFERROR(IF(TRIM(F319&amp;"")="","",IF(AND(ISNUMBER(FIND(" ",TRIM(F319&amp;""))),ISNUMBER(MATCH(LEFT(TRIM(F319&amp;""),FIND(" ",TRIM(F319&amp;""))-1),설정_코드표!$J$2:$J$101,0)),ISNUMBER(MATCH(TRIM(RIGHT(SUBSTITUTE(TRIM(F319&amp;"")," ",REPT(" ",60)),60)),설정_코드표!$F$2:$F$101,0))),INDEX(설정_코드표!$K$2:$K$101,MATCH(LEFT(TRIM(F319&amp;""),FIND(" ",TRIM(F319&amp;""))-1),설정_코드표!$J$2:$J$101,0))&amp;" "&amp;INDEX(설정_코드표!$G$2:$G$101,MATCH(TRIM(RIGHT(SUBSTITUTE(TRIM(F319&amp;"")," ",REPT(" ",60)),60)),설정_코드표!$F$2:$F$101,0)),"⚠"&amp;TRIM(F319&amp;""))),"⚠"&amp;TRIM(F319&amp;""))</f>
        <v/>
      </c>
      <c r="O319" s="10">
        <f>IFERROR(IF(TRIM(G319&amp;"")="","",IF(AND(ISNUMBER(FIND(" ",TRIM(G319&amp;""))),ISNUMBER(MATCH(LEFT(TRIM(G319&amp;""),FIND(" ",TRIM(G319&amp;""))-1),설정_코드표!$J$2:$J$101,0)),ISNUMBER(MATCH(TRIM(RIGHT(SUBSTITUTE(TRIM(G319&amp;"")," ",REPT(" ",60)),60)),설정_코드표!$F$2:$F$101,0))),INDEX(설정_코드표!$K$2:$K$101,MATCH(LEFT(TRIM(G319&amp;""),FIND(" ",TRIM(G319&amp;""))-1),설정_코드표!$J$2:$J$101,0))&amp;" "&amp;INDEX(설정_코드표!$G$2:$G$101,MATCH(TRIM(RIGHT(SUBSTITUTE(TRIM(G319&amp;"")," ",REPT(" ",60)),60)),설정_코드표!$F$2:$F$101,0)),"⚠"&amp;TRIM(G319&amp;""))),"⚠"&amp;TRIM(G319&amp;""))</f>
        <v/>
      </c>
      <c r="P319" s="10">
        <f>IFERROR(IF(TRIM(H319&amp;"")="","",IF(AND(ISNUMBER(FIND(" ",TRIM(H319&amp;""))),ISNUMBER(MATCH(LEFT(TRIM(H319&amp;""),FIND(" ",TRIM(H319&amp;""))-1),설정_코드표!$J$2:$J$101,0)),ISNUMBER(MATCH(TRIM(RIGHT(SUBSTITUTE(TRIM(H319&amp;"")," ",REPT(" ",60)),60)),설정_코드표!$F$2:$F$101,0))),INDEX(설정_코드표!$K$2:$K$101,MATCH(LEFT(TRIM(H319&amp;""),FIND(" ",TRIM(H319&amp;""))-1),설정_코드표!$J$2:$J$101,0))&amp;" "&amp;INDEX(설정_코드표!$G$2:$G$101,MATCH(TRIM(RIGHT(SUBSTITUTE(TRIM(H319&amp;"")," ",REPT(" ",60)),60)),설정_코드표!$F$2:$F$101,0)),"⚠"&amp;TRIM(H319&amp;""))),"⚠"&amp;TRIM(H319&amp;""))</f>
        <v/>
      </c>
      <c r="Q319" s="10">
        <f>IFERROR(IF(TRIM(I319&amp;"")="","",IF(AND(ISNUMBER(FIND(" ",TRIM(I319&amp;""))),ISNUMBER(MATCH(LEFT(TRIM(I319&amp;""),FIND(" ",TRIM(I319&amp;""))-1),설정_코드표!$J$2:$J$101,0)),ISNUMBER(MATCH(TRIM(RIGHT(SUBSTITUTE(TRIM(I319&amp;"")," ",REPT(" ",60)),60)),설정_코드표!$F$2:$F$101,0))),INDEX(설정_코드표!$K$2:$K$101,MATCH(LEFT(TRIM(I319&amp;""),FIND(" ",TRIM(I319&amp;""))-1),설정_코드표!$J$2:$J$101,0))&amp;" "&amp;INDEX(설정_코드표!$G$2:$G$101,MATCH(TRIM(RIGHT(SUBSTITUTE(TRIM(I319&amp;"")," ",REPT(" ",60)),60)),설정_코드표!$F$2:$F$101,0)),"⚠"&amp;TRIM(I319&amp;""))),"⚠"&amp;TRIM(I319&amp;""))</f>
        <v/>
      </c>
      <c r="R319" s="10">
        <f>IFERROR(IF(TRIM(J319&amp;"")="","",IF(AND(ISNUMBER(FIND(" ",TRIM(J319&amp;""))),ISNUMBER(MATCH(LEFT(TRIM(J319&amp;""),FIND(" ",TRIM(J319&amp;""))-1),설정_코드표!$J$2:$J$101,0)),ISNUMBER(MATCH(TRIM(RIGHT(SUBSTITUTE(TRIM(J319&amp;"")," ",REPT(" ",60)),60)),설정_코드표!$F$2:$F$101,0))),INDEX(설정_코드표!$K$2:$K$101,MATCH(LEFT(TRIM(J319&amp;""),FIND(" ",TRIM(J319&amp;""))-1),설정_코드표!$J$2:$J$101,0))&amp;" "&amp;INDEX(설정_코드표!$G$2:$G$101,MATCH(TRIM(RIGHT(SUBSTITUTE(TRIM(J319&amp;"")," ",REPT(" ",60)),60)),설정_코드표!$F$2:$F$101,0)),"⚠"&amp;TRIM(J319&amp;""))),"⚠"&amp;TRIM(J319&amp;""))</f>
        <v/>
      </c>
      <c r="S319" s="11">
        <f>IF(K319="","",IFERROR(IF(AND(ROUND((VALUE(K319&amp;"")-INT(VALUE(K319&amp;"")))*100,0)&gt;=1,ROUND((VALUE(K319&amp;"")-INT(VALUE(K319&amp;"")))*100,0)&lt;=12,INT(VALUE(K319&amp;""))&gt;=1900),DATE(INT(VALUE(K319&amp;"")),ROUND((VALUE(K319&amp;"")-INT(VALUE(K319&amp;"")))*100,0),1),K319&amp;""),K319&amp;""))</f>
        <v/>
      </c>
      <c r="T319" s="10">
        <f>COUNTIF(M319:R319,"⚠*")</f>
        <v/>
      </c>
    </row>
    <row r="320"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M320" s="10">
        <f>IFERROR(IF(TRIM(E320&amp;"")="","",IF(AND(ISNUMBER(FIND(" ",TRIM(E320&amp;""))),ISNUMBER(MATCH(LEFT(TRIM(E320&amp;""),FIND(" ",TRIM(E320&amp;""))-1),설정_코드표!$J$2:$J$101,0)),ISNUMBER(MATCH(TRIM(RIGHT(SUBSTITUTE(TRIM(E320&amp;"")," ",REPT(" ",60)),60)),설정_코드표!$F$2:$F$101,0))),INDEX(설정_코드표!$K$2:$K$101,MATCH(LEFT(TRIM(E320&amp;""),FIND(" ",TRIM(E320&amp;""))-1),설정_코드표!$J$2:$J$101,0))&amp;" "&amp;INDEX(설정_코드표!$G$2:$G$101,MATCH(TRIM(RIGHT(SUBSTITUTE(TRIM(E320&amp;"")," ",REPT(" ",60)),60)),설정_코드표!$F$2:$F$101,0)),"⚠"&amp;TRIM(E320&amp;""))),"⚠"&amp;TRIM(E320&amp;""))</f>
        <v/>
      </c>
      <c r="N320" s="10">
        <f>IFERROR(IF(TRIM(F320&amp;"")="","",IF(AND(ISNUMBER(FIND(" ",TRIM(F320&amp;""))),ISNUMBER(MATCH(LEFT(TRIM(F320&amp;""),FIND(" ",TRIM(F320&amp;""))-1),설정_코드표!$J$2:$J$101,0)),ISNUMBER(MATCH(TRIM(RIGHT(SUBSTITUTE(TRIM(F320&amp;"")," ",REPT(" ",60)),60)),설정_코드표!$F$2:$F$101,0))),INDEX(설정_코드표!$K$2:$K$101,MATCH(LEFT(TRIM(F320&amp;""),FIND(" ",TRIM(F320&amp;""))-1),설정_코드표!$J$2:$J$101,0))&amp;" "&amp;INDEX(설정_코드표!$G$2:$G$101,MATCH(TRIM(RIGHT(SUBSTITUTE(TRIM(F320&amp;"")," ",REPT(" ",60)),60)),설정_코드표!$F$2:$F$101,0)),"⚠"&amp;TRIM(F320&amp;""))),"⚠"&amp;TRIM(F320&amp;""))</f>
        <v/>
      </c>
      <c r="O320" s="10">
        <f>IFERROR(IF(TRIM(G320&amp;"")="","",IF(AND(ISNUMBER(FIND(" ",TRIM(G320&amp;""))),ISNUMBER(MATCH(LEFT(TRIM(G320&amp;""),FIND(" ",TRIM(G320&amp;""))-1),설정_코드표!$J$2:$J$101,0)),ISNUMBER(MATCH(TRIM(RIGHT(SUBSTITUTE(TRIM(G320&amp;"")," ",REPT(" ",60)),60)),설정_코드표!$F$2:$F$101,0))),INDEX(설정_코드표!$K$2:$K$101,MATCH(LEFT(TRIM(G320&amp;""),FIND(" ",TRIM(G320&amp;""))-1),설정_코드표!$J$2:$J$101,0))&amp;" "&amp;INDEX(설정_코드표!$G$2:$G$101,MATCH(TRIM(RIGHT(SUBSTITUTE(TRIM(G320&amp;"")," ",REPT(" ",60)),60)),설정_코드표!$F$2:$F$101,0)),"⚠"&amp;TRIM(G320&amp;""))),"⚠"&amp;TRIM(G320&amp;""))</f>
        <v/>
      </c>
      <c r="P320" s="10">
        <f>IFERROR(IF(TRIM(H320&amp;"")="","",IF(AND(ISNUMBER(FIND(" ",TRIM(H320&amp;""))),ISNUMBER(MATCH(LEFT(TRIM(H320&amp;""),FIND(" ",TRIM(H320&amp;""))-1),설정_코드표!$J$2:$J$101,0)),ISNUMBER(MATCH(TRIM(RIGHT(SUBSTITUTE(TRIM(H320&amp;"")," ",REPT(" ",60)),60)),설정_코드표!$F$2:$F$101,0))),INDEX(설정_코드표!$K$2:$K$101,MATCH(LEFT(TRIM(H320&amp;""),FIND(" ",TRIM(H320&amp;""))-1),설정_코드표!$J$2:$J$101,0))&amp;" "&amp;INDEX(설정_코드표!$G$2:$G$101,MATCH(TRIM(RIGHT(SUBSTITUTE(TRIM(H320&amp;"")," ",REPT(" ",60)),60)),설정_코드표!$F$2:$F$101,0)),"⚠"&amp;TRIM(H320&amp;""))),"⚠"&amp;TRIM(H320&amp;""))</f>
        <v/>
      </c>
      <c r="Q320" s="10">
        <f>IFERROR(IF(TRIM(I320&amp;"")="","",IF(AND(ISNUMBER(FIND(" ",TRIM(I320&amp;""))),ISNUMBER(MATCH(LEFT(TRIM(I320&amp;""),FIND(" ",TRIM(I320&amp;""))-1),설정_코드표!$J$2:$J$101,0)),ISNUMBER(MATCH(TRIM(RIGHT(SUBSTITUTE(TRIM(I320&amp;"")," ",REPT(" ",60)),60)),설정_코드표!$F$2:$F$101,0))),INDEX(설정_코드표!$K$2:$K$101,MATCH(LEFT(TRIM(I320&amp;""),FIND(" ",TRIM(I320&amp;""))-1),설정_코드표!$J$2:$J$101,0))&amp;" "&amp;INDEX(설정_코드표!$G$2:$G$101,MATCH(TRIM(RIGHT(SUBSTITUTE(TRIM(I320&amp;"")," ",REPT(" ",60)),60)),설정_코드표!$F$2:$F$101,0)),"⚠"&amp;TRIM(I320&amp;""))),"⚠"&amp;TRIM(I320&amp;""))</f>
        <v/>
      </c>
      <c r="R320" s="10">
        <f>IFERROR(IF(TRIM(J320&amp;"")="","",IF(AND(ISNUMBER(FIND(" ",TRIM(J320&amp;""))),ISNUMBER(MATCH(LEFT(TRIM(J320&amp;""),FIND(" ",TRIM(J320&amp;""))-1),설정_코드표!$J$2:$J$101,0)),ISNUMBER(MATCH(TRIM(RIGHT(SUBSTITUTE(TRIM(J320&amp;"")," ",REPT(" ",60)),60)),설정_코드표!$F$2:$F$101,0))),INDEX(설정_코드표!$K$2:$K$101,MATCH(LEFT(TRIM(J320&amp;""),FIND(" ",TRIM(J320&amp;""))-1),설정_코드표!$J$2:$J$101,0))&amp;" "&amp;INDEX(설정_코드표!$G$2:$G$101,MATCH(TRIM(RIGHT(SUBSTITUTE(TRIM(J320&amp;"")," ",REPT(" ",60)),60)),설정_코드표!$F$2:$F$101,0)),"⚠"&amp;TRIM(J320&amp;""))),"⚠"&amp;TRIM(J320&amp;""))</f>
        <v/>
      </c>
      <c r="S320" s="11">
        <f>IF(K320="","",IFERROR(IF(AND(ROUND((VALUE(K320&amp;"")-INT(VALUE(K320&amp;"")))*100,0)&gt;=1,ROUND((VALUE(K320&amp;"")-INT(VALUE(K320&amp;"")))*100,0)&lt;=12,INT(VALUE(K320&amp;""))&gt;=1900),DATE(INT(VALUE(K320&amp;"")),ROUND((VALUE(K320&amp;"")-INT(VALUE(K320&amp;"")))*100,0),1),K320&amp;""),K320&amp;""))</f>
        <v/>
      </c>
      <c r="T320" s="10">
        <f>COUNTIF(M320:R320,"⚠*")</f>
        <v/>
      </c>
    </row>
    <row r="321"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M321" s="10">
        <f>IFERROR(IF(TRIM(E321&amp;"")="","",IF(AND(ISNUMBER(FIND(" ",TRIM(E321&amp;""))),ISNUMBER(MATCH(LEFT(TRIM(E321&amp;""),FIND(" ",TRIM(E321&amp;""))-1),설정_코드표!$J$2:$J$101,0)),ISNUMBER(MATCH(TRIM(RIGHT(SUBSTITUTE(TRIM(E321&amp;"")," ",REPT(" ",60)),60)),설정_코드표!$F$2:$F$101,0))),INDEX(설정_코드표!$K$2:$K$101,MATCH(LEFT(TRIM(E321&amp;""),FIND(" ",TRIM(E321&amp;""))-1),설정_코드표!$J$2:$J$101,0))&amp;" "&amp;INDEX(설정_코드표!$G$2:$G$101,MATCH(TRIM(RIGHT(SUBSTITUTE(TRIM(E321&amp;"")," ",REPT(" ",60)),60)),설정_코드표!$F$2:$F$101,0)),"⚠"&amp;TRIM(E321&amp;""))),"⚠"&amp;TRIM(E321&amp;""))</f>
        <v/>
      </c>
      <c r="N321" s="10">
        <f>IFERROR(IF(TRIM(F321&amp;"")="","",IF(AND(ISNUMBER(FIND(" ",TRIM(F321&amp;""))),ISNUMBER(MATCH(LEFT(TRIM(F321&amp;""),FIND(" ",TRIM(F321&amp;""))-1),설정_코드표!$J$2:$J$101,0)),ISNUMBER(MATCH(TRIM(RIGHT(SUBSTITUTE(TRIM(F321&amp;"")," ",REPT(" ",60)),60)),설정_코드표!$F$2:$F$101,0))),INDEX(설정_코드표!$K$2:$K$101,MATCH(LEFT(TRIM(F321&amp;""),FIND(" ",TRIM(F321&amp;""))-1),설정_코드표!$J$2:$J$101,0))&amp;" "&amp;INDEX(설정_코드표!$G$2:$G$101,MATCH(TRIM(RIGHT(SUBSTITUTE(TRIM(F321&amp;"")," ",REPT(" ",60)),60)),설정_코드표!$F$2:$F$101,0)),"⚠"&amp;TRIM(F321&amp;""))),"⚠"&amp;TRIM(F321&amp;""))</f>
        <v/>
      </c>
      <c r="O321" s="10">
        <f>IFERROR(IF(TRIM(G321&amp;"")="","",IF(AND(ISNUMBER(FIND(" ",TRIM(G321&amp;""))),ISNUMBER(MATCH(LEFT(TRIM(G321&amp;""),FIND(" ",TRIM(G321&amp;""))-1),설정_코드표!$J$2:$J$101,0)),ISNUMBER(MATCH(TRIM(RIGHT(SUBSTITUTE(TRIM(G321&amp;"")," ",REPT(" ",60)),60)),설정_코드표!$F$2:$F$101,0))),INDEX(설정_코드표!$K$2:$K$101,MATCH(LEFT(TRIM(G321&amp;""),FIND(" ",TRIM(G321&amp;""))-1),설정_코드표!$J$2:$J$101,0))&amp;" "&amp;INDEX(설정_코드표!$G$2:$G$101,MATCH(TRIM(RIGHT(SUBSTITUTE(TRIM(G321&amp;"")," ",REPT(" ",60)),60)),설정_코드표!$F$2:$F$101,0)),"⚠"&amp;TRIM(G321&amp;""))),"⚠"&amp;TRIM(G321&amp;""))</f>
        <v/>
      </c>
      <c r="P321" s="10">
        <f>IFERROR(IF(TRIM(H321&amp;"")="","",IF(AND(ISNUMBER(FIND(" ",TRIM(H321&amp;""))),ISNUMBER(MATCH(LEFT(TRIM(H321&amp;""),FIND(" ",TRIM(H321&amp;""))-1),설정_코드표!$J$2:$J$101,0)),ISNUMBER(MATCH(TRIM(RIGHT(SUBSTITUTE(TRIM(H321&amp;"")," ",REPT(" ",60)),60)),설정_코드표!$F$2:$F$101,0))),INDEX(설정_코드표!$K$2:$K$101,MATCH(LEFT(TRIM(H321&amp;""),FIND(" ",TRIM(H321&amp;""))-1),설정_코드표!$J$2:$J$101,0))&amp;" "&amp;INDEX(설정_코드표!$G$2:$G$101,MATCH(TRIM(RIGHT(SUBSTITUTE(TRIM(H321&amp;"")," ",REPT(" ",60)),60)),설정_코드표!$F$2:$F$101,0)),"⚠"&amp;TRIM(H321&amp;""))),"⚠"&amp;TRIM(H321&amp;""))</f>
        <v/>
      </c>
      <c r="Q321" s="10">
        <f>IFERROR(IF(TRIM(I321&amp;"")="","",IF(AND(ISNUMBER(FIND(" ",TRIM(I321&amp;""))),ISNUMBER(MATCH(LEFT(TRIM(I321&amp;""),FIND(" ",TRIM(I321&amp;""))-1),설정_코드표!$J$2:$J$101,0)),ISNUMBER(MATCH(TRIM(RIGHT(SUBSTITUTE(TRIM(I321&amp;"")," ",REPT(" ",60)),60)),설정_코드표!$F$2:$F$101,0))),INDEX(설정_코드표!$K$2:$K$101,MATCH(LEFT(TRIM(I321&amp;""),FIND(" ",TRIM(I321&amp;""))-1),설정_코드표!$J$2:$J$101,0))&amp;" "&amp;INDEX(설정_코드표!$G$2:$G$101,MATCH(TRIM(RIGHT(SUBSTITUTE(TRIM(I321&amp;"")," ",REPT(" ",60)),60)),설정_코드표!$F$2:$F$101,0)),"⚠"&amp;TRIM(I321&amp;""))),"⚠"&amp;TRIM(I321&amp;""))</f>
        <v/>
      </c>
      <c r="R321" s="10">
        <f>IFERROR(IF(TRIM(J321&amp;"")="","",IF(AND(ISNUMBER(FIND(" ",TRIM(J321&amp;""))),ISNUMBER(MATCH(LEFT(TRIM(J321&amp;""),FIND(" ",TRIM(J321&amp;""))-1),설정_코드표!$J$2:$J$101,0)),ISNUMBER(MATCH(TRIM(RIGHT(SUBSTITUTE(TRIM(J321&amp;"")," ",REPT(" ",60)),60)),설정_코드표!$F$2:$F$101,0))),INDEX(설정_코드표!$K$2:$K$101,MATCH(LEFT(TRIM(J321&amp;""),FIND(" ",TRIM(J321&amp;""))-1),설정_코드표!$J$2:$J$101,0))&amp;" "&amp;INDEX(설정_코드표!$G$2:$G$101,MATCH(TRIM(RIGHT(SUBSTITUTE(TRIM(J321&amp;"")," ",REPT(" ",60)),60)),설정_코드표!$F$2:$F$101,0)),"⚠"&amp;TRIM(J321&amp;""))),"⚠"&amp;TRIM(J321&amp;""))</f>
        <v/>
      </c>
      <c r="S321" s="11">
        <f>IF(K321="","",IFERROR(IF(AND(ROUND((VALUE(K321&amp;"")-INT(VALUE(K321&amp;"")))*100,0)&gt;=1,ROUND((VALUE(K321&amp;"")-INT(VALUE(K321&amp;"")))*100,0)&lt;=12,INT(VALUE(K321&amp;""))&gt;=1900),DATE(INT(VALUE(K321&amp;"")),ROUND((VALUE(K321&amp;"")-INT(VALUE(K321&amp;"")))*100,0),1),K321&amp;""),K321&amp;""))</f>
        <v/>
      </c>
      <c r="T321" s="10">
        <f>COUNTIF(M321:R321,"⚠*")</f>
        <v/>
      </c>
    </row>
    <row r="322"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M322" s="10">
        <f>IFERROR(IF(TRIM(E322&amp;"")="","",IF(AND(ISNUMBER(FIND(" ",TRIM(E322&amp;""))),ISNUMBER(MATCH(LEFT(TRIM(E322&amp;""),FIND(" ",TRIM(E322&amp;""))-1),설정_코드표!$J$2:$J$101,0)),ISNUMBER(MATCH(TRIM(RIGHT(SUBSTITUTE(TRIM(E322&amp;"")," ",REPT(" ",60)),60)),설정_코드표!$F$2:$F$101,0))),INDEX(설정_코드표!$K$2:$K$101,MATCH(LEFT(TRIM(E322&amp;""),FIND(" ",TRIM(E322&amp;""))-1),설정_코드표!$J$2:$J$101,0))&amp;" "&amp;INDEX(설정_코드표!$G$2:$G$101,MATCH(TRIM(RIGHT(SUBSTITUTE(TRIM(E322&amp;"")," ",REPT(" ",60)),60)),설정_코드표!$F$2:$F$101,0)),"⚠"&amp;TRIM(E322&amp;""))),"⚠"&amp;TRIM(E322&amp;""))</f>
        <v/>
      </c>
      <c r="N322" s="10">
        <f>IFERROR(IF(TRIM(F322&amp;"")="","",IF(AND(ISNUMBER(FIND(" ",TRIM(F322&amp;""))),ISNUMBER(MATCH(LEFT(TRIM(F322&amp;""),FIND(" ",TRIM(F322&amp;""))-1),설정_코드표!$J$2:$J$101,0)),ISNUMBER(MATCH(TRIM(RIGHT(SUBSTITUTE(TRIM(F322&amp;"")," ",REPT(" ",60)),60)),설정_코드표!$F$2:$F$101,0))),INDEX(설정_코드표!$K$2:$K$101,MATCH(LEFT(TRIM(F322&amp;""),FIND(" ",TRIM(F322&amp;""))-1),설정_코드표!$J$2:$J$101,0))&amp;" "&amp;INDEX(설정_코드표!$G$2:$G$101,MATCH(TRIM(RIGHT(SUBSTITUTE(TRIM(F322&amp;"")," ",REPT(" ",60)),60)),설정_코드표!$F$2:$F$101,0)),"⚠"&amp;TRIM(F322&amp;""))),"⚠"&amp;TRIM(F322&amp;""))</f>
        <v/>
      </c>
      <c r="O322" s="10">
        <f>IFERROR(IF(TRIM(G322&amp;"")="","",IF(AND(ISNUMBER(FIND(" ",TRIM(G322&amp;""))),ISNUMBER(MATCH(LEFT(TRIM(G322&amp;""),FIND(" ",TRIM(G322&amp;""))-1),설정_코드표!$J$2:$J$101,0)),ISNUMBER(MATCH(TRIM(RIGHT(SUBSTITUTE(TRIM(G322&amp;"")," ",REPT(" ",60)),60)),설정_코드표!$F$2:$F$101,0))),INDEX(설정_코드표!$K$2:$K$101,MATCH(LEFT(TRIM(G322&amp;""),FIND(" ",TRIM(G322&amp;""))-1),설정_코드표!$J$2:$J$101,0))&amp;" "&amp;INDEX(설정_코드표!$G$2:$G$101,MATCH(TRIM(RIGHT(SUBSTITUTE(TRIM(G322&amp;"")," ",REPT(" ",60)),60)),설정_코드표!$F$2:$F$101,0)),"⚠"&amp;TRIM(G322&amp;""))),"⚠"&amp;TRIM(G322&amp;""))</f>
        <v/>
      </c>
      <c r="P322" s="10">
        <f>IFERROR(IF(TRIM(H322&amp;"")="","",IF(AND(ISNUMBER(FIND(" ",TRIM(H322&amp;""))),ISNUMBER(MATCH(LEFT(TRIM(H322&amp;""),FIND(" ",TRIM(H322&amp;""))-1),설정_코드표!$J$2:$J$101,0)),ISNUMBER(MATCH(TRIM(RIGHT(SUBSTITUTE(TRIM(H322&amp;"")," ",REPT(" ",60)),60)),설정_코드표!$F$2:$F$101,0))),INDEX(설정_코드표!$K$2:$K$101,MATCH(LEFT(TRIM(H322&amp;""),FIND(" ",TRIM(H322&amp;""))-1),설정_코드표!$J$2:$J$101,0))&amp;" "&amp;INDEX(설정_코드표!$G$2:$G$101,MATCH(TRIM(RIGHT(SUBSTITUTE(TRIM(H322&amp;"")," ",REPT(" ",60)),60)),설정_코드표!$F$2:$F$101,0)),"⚠"&amp;TRIM(H322&amp;""))),"⚠"&amp;TRIM(H322&amp;""))</f>
        <v/>
      </c>
      <c r="Q322" s="10">
        <f>IFERROR(IF(TRIM(I322&amp;"")="","",IF(AND(ISNUMBER(FIND(" ",TRIM(I322&amp;""))),ISNUMBER(MATCH(LEFT(TRIM(I322&amp;""),FIND(" ",TRIM(I322&amp;""))-1),설정_코드표!$J$2:$J$101,0)),ISNUMBER(MATCH(TRIM(RIGHT(SUBSTITUTE(TRIM(I322&amp;"")," ",REPT(" ",60)),60)),설정_코드표!$F$2:$F$101,0))),INDEX(설정_코드표!$K$2:$K$101,MATCH(LEFT(TRIM(I322&amp;""),FIND(" ",TRIM(I322&amp;""))-1),설정_코드표!$J$2:$J$101,0))&amp;" "&amp;INDEX(설정_코드표!$G$2:$G$101,MATCH(TRIM(RIGHT(SUBSTITUTE(TRIM(I322&amp;"")," ",REPT(" ",60)),60)),설정_코드표!$F$2:$F$101,0)),"⚠"&amp;TRIM(I322&amp;""))),"⚠"&amp;TRIM(I322&amp;""))</f>
        <v/>
      </c>
      <c r="R322" s="10">
        <f>IFERROR(IF(TRIM(J322&amp;"")="","",IF(AND(ISNUMBER(FIND(" ",TRIM(J322&amp;""))),ISNUMBER(MATCH(LEFT(TRIM(J322&amp;""),FIND(" ",TRIM(J322&amp;""))-1),설정_코드표!$J$2:$J$101,0)),ISNUMBER(MATCH(TRIM(RIGHT(SUBSTITUTE(TRIM(J322&amp;"")," ",REPT(" ",60)),60)),설정_코드표!$F$2:$F$101,0))),INDEX(설정_코드표!$K$2:$K$101,MATCH(LEFT(TRIM(J322&amp;""),FIND(" ",TRIM(J322&amp;""))-1),설정_코드표!$J$2:$J$101,0))&amp;" "&amp;INDEX(설정_코드표!$G$2:$G$101,MATCH(TRIM(RIGHT(SUBSTITUTE(TRIM(J322&amp;"")," ",REPT(" ",60)),60)),설정_코드표!$F$2:$F$101,0)),"⚠"&amp;TRIM(J322&amp;""))),"⚠"&amp;TRIM(J322&amp;""))</f>
        <v/>
      </c>
      <c r="S322" s="11">
        <f>IF(K322="","",IFERROR(IF(AND(ROUND((VALUE(K322&amp;"")-INT(VALUE(K322&amp;"")))*100,0)&gt;=1,ROUND((VALUE(K322&amp;"")-INT(VALUE(K322&amp;"")))*100,0)&lt;=12,INT(VALUE(K322&amp;""))&gt;=1900),DATE(INT(VALUE(K322&amp;"")),ROUND((VALUE(K322&amp;"")-INT(VALUE(K322&amp;"")))*100,0),1),K322&amp;""),K322&amp;""))</f>
        <v/>
      </c>
      <c r="T322" s="10">
        <f>COUNTIF(M322:R322,"⚠*")</f>
        <v/>
      </c>
    </row>
    <row r="323"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M323" s="10">
        <f>IFERROR(IF(TRIM(E323&amp;"")="","",IF(AND(ISNUMBER(FIND(" ",TRIM(E323&amp;""))),ISNUMBER(MATCH(LEFT(TRIM(E323&amp;""),FIND(" ",TRIM(E323&amp;""))-1),설정_코드표!$J$2:$J$101,0)),ISNUMBER(MATCH(TRIM(RIGHT(SUBSTITUTE(TRIM(E323&amp;"")," ",REPT(" ",60)),60)),설정_코드표!$F$2:$F$101,0))),INDEX(설정_코드표!$K$2:$K$101,MATCH(LEFT(TRIM(E323&amp;""),FIND(" ",TRIM(E323&amp;""))-1),설정_코드표!$J$2:$J$101,0))&amp;" "&amp;INDEX(설정_코드표!$G$2:$G$101,MATCH(TRIM(RIGHT(SUBSTITUTE(TRIM(E323&amp;"")," ",REPT(" ",60)),60)),설정_코드표!$F$2:$F$101,0)),"⚠"&amp;TRIM(E323&amp;""))),"⚠"&amp;TRIM(E323&amp;""))</f>
        <v/>
      </c>
      <c r="N323" s="10">
        <f>IFERROR(IF(TRIM(F323&amp;"")="","",IF(AND(ISNUMBER(FIND(" ",TRIM(F323&amp;""))),ISNUMBER(MATCH(LEFT(TRIM(F323&amp;""),FIND(" ",TRIM(F323&amp;""))-1),설정_코드표!$J$2:$J$101,0)),ISNUMBER(MATCH(TRIM(RIGHT(SUBSTITUTE(TRIM(F323&amp;"")," ",REPT(" ",60)),60)),설정_코드표!$F$2:$F$101,0))),INDEX(설정_코드표!$K$2:$K$101,MATCH(LEFT(TRIM(F323&amp;""),FIND(" ",TRIM(F323&amp;""))-1),설정_코드표!$J$2:$J$101,0))&amp;" "&amp;INDEX(설정_코드표!$G$2:$G$101,MATCH(TRIM(RIGHT(SUBSTITUTE(TRIM(F323&amp;"")," ",REPT(" ",60)),60)),설정_코드표!$F$2:$F$101,0)),"⚠"&amp;TRIM(F323&amp;""))),"⚠"&amp;TRIM(F323&amp;""))</f>
        <v/>
      </c>
      <c r="O323" s="10">
        <f>IFERROR(IF(TRIM(G323&amp;"")="","",IF(AND(ISNUMBER(FIND(" ",TRIM(G323&amp;""))),ISNUMBER(MATCH(LEFT(TRIM(G323&amp;""),FIND(" ",TRIM(G323&amp;""))-1),설정_코드표!$J$2:$J$101,0)),ISNUMBER(MATCH(TRIM(RIGHT(SUBSTITUTE(TRIM(G323&amp;"")," ",REPT(" ",60)),60)),설정_코드표!$F$2:$F$101,0))),INDEX(설정_코드표!$K$2:$K$101,MATCH(LEFT(TRIM(G323&amp;""),FIND(" ",TRIM(G323&amp;""))-1),설정_코드표!$J$2:$J$101,0))&amp;" "&amp;INDEX(설정_코드표!$G$2:$G$101,MATCH(TRIM(RIGHT(SUBSTITUTE(TRIM(G323&amp;"")," ",REPT(" ",60)),60)),설정_코드표!$F$2:$F$101,0)),"⚠"&amp;TRIM(G323&amp;""))),"⚠"&amp;TRIM(G323&amp;""))</f>
        <v/>
      </c>
      <c r="P323" s="10">
        <f>IFERROR(IF(TRIM(H323&amp;"")="","",IF(AND(ISNUMBER(FIND(" ",TRIM(H323&amp;""))),ISNUMBER(MATCH(LEFT(TRIM(H323&amp;""),FIND(" ",TRIM(H323&amp;""))-1),설정_코드표!$J$2:$J$101,0)),ISNUMBER(MATCH(TRIM(RIGHT(SUBSTITUTE(TRIM(H323&amp;"")," ",REPT(" ",60)),60)),설정_코드표!$F$2:$F$101,0))),INDEX(설정_코드표!$K$2:$K$101,MATCH(LEFT(TRIM(H323&amp;""),FIND(" ",TRIM(H323&amp;""))-1),설정_코드표!$J$2:$J$101,0))&amp;" "&amp;INDEX(설정_코드표!$G$2:$G$101,MATCH(TRIM(RIGHT(SUBSTITUTE(TRIM(H323&amp;"")," ",REPT(" ",60)),60)),설정_코드표!$F$2:$F$101,0)),"⚠"&amp;TRIM(H323&amp;""))),"⚠"&amp;TRIM(H323&amp;""))</f>
        <v/>
      </c>
      <c r="Q323" s="10">
        <f>IFERROR(IF(TRIM(I323&amp;"")="","",IF(AND(ISNUMBER(FIND(" ",TRIM(I323&amp;""))),ISNUMBER(MATCH(LEFT(TRIM(I323&amp;""),FIND(" ",TRIM(I323&amp;""))-1),설정_코드표!$J$2:$J$101,0)),ISNUMBER(MATCH(TRIM(RIGHT(SUBSTITUTE(TRIM(I323&amp;"")," ",REPT(" ",60)),60)),설정_코드표!$F$2:$F$101,0))),INDEX(설정_코드표!$K$2:$K$101,MATCH(LEFT(TRIM(I323&amp;""),FIND(" ",TRIM(I323&amp;""))-1),설정_코드표!$J$2:$J$101,0))&amp;" "&amp;INDEX(설정_코드표!$G$2:$G$101,MATCH(TRIM(RIGHT(SUBSTITUTE(TRIM(I323&amp;"")," ",REPT(" ",60)),60)),설정_코드표!$F$2:$F$101,0)),"⚠"&amp;TRIM(I323&amp;""))),"⚠"&amp;TRIM(I323&amp;""))</f>
        <v/>
      </c>
      <c r="R323" s="10">
        <f>IFERROR(IF(TRIM(J323&amp;"")="","",IF(AND(ISNUMBER(FIND(" ",TRIM(J323&amp;""))),ISNUMBER(MATCH(LEFT(TRIM(J323&amp;""),FIND(" ",TRIM(J323&amp;""))-1),설정_코드표!$J$2:$J$101,0)),ISNUMBER(MATCH(TRIM(RIGHT(SUBSTITUTE(TRIM(J323&amp;"")," ",REPT(" ",60)),60)),설정_코드표!$F$2:$F$101,0))),INDEX(설정_코드표!$K$2:$K$101,MATCH(LEFT(TRIM(J323&amp;""),FIND(" ",TRIM(J323&amp;""))-1),설정_코드표!$J$2:$J$101,0))&amp;" "&amp;INDEX(설정_코드표!$G$2:$G$101,MATCH(TRIM(RIGHT(SUBSTITUTE(TRIM(J323&amp;"")," ",REPT(" ",60)),60)),설정_코드표!$F$2:$F$101,0)),"⚠"&amp;TRIM(J323&amp;""))),"⚠"&amp;TRIM(J323&amp;""))</f>
        <v/>
      </c>
      <c r="S323" s="11">
        <f>IF(K323="","",IFERROR(IF(AND(ROUND((VALUE(K323&amp;"")-INT(VALUE(K323&amp;"")))*100,0)&gt;=1,ROUND((VALUE(K323&amp;"")-INT(VALUE(K323&amp;"")))*100,0)&lt;=12,INT(VALUE(K323&amp;""))&gt;=1900),DATE(INT(VALUE(K323&amp;"")),ROUND((VALUE(K323&amp;"")-INT(VALUE(K323&amp;"")))*100,0),1),K323&amp;""),K323&amp;""))</f>
        <v/>
      </c>
      <c r="T323" s="10">
        <f>COUNTIF(M323:R323,"⚠*")</f>
        <v/>
      </c>
    </row>
    <row r="324"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M324" s="10">
        <f>IFERROR(IF(TRIM(E324&amp;"")="","",IF(AND(ISNUMBER(FIND(" ",TRIM(E324&amp;""))),ISNUMBER(MATCH(LEFT(TRIM(E324&amp;""),FIND(" ",TRIM(E324&amp;""))-1),설정_코드표!$J$2:$J$101,0)),ISNUMBER(MATCH(TRIM(RIGHT(SUBSTITUTE(TRIM(E324&amp;"")," ",REPT(" ",60)),60)),설정_코드표!$F$2:$F$101,0))),INDEX(설정_코드표!$K$2:$K$101,MATCH(LEFT(TRIM(E324&amp;""),FIND(" ",TRIM(E324&amp;""))-1),설정_코드표!$J$2:$J$101,0))&amp;" "&amp;INDEX(설정_코드표!$G$2:$G$101,MATCH(TRIM(RIGHT(SUBSTITUTE(TRIM(E324&amp;"")," ",REPT(" ",60)),60)),설정_코드표!$F$2:$F$101,0)),"⚠"&amp;TRIM(E324&amp;""))),"⚠"&amp;TRIM(E324&amp;""))</f>
        <v/>
      </c>
      <c r="N324" s="10">
        <f>IFERROR(IF(TRIM(F324&amp;"")="","",IF(AND(ISNUMBER(FIND(" ",TRIM(F324&amp;""))),ISNUMBER(MATCH(LEFT(TRIM(F324&amp;""),FIND(" ",TRIM(F324&amp;""))-1),설정_코드표!$J$2:$J$101,0)),ISNUMBER(MATCH(TRIM(RIGHT(SUBSTITUTE(TRIM(F324&amp;"")," ",REPT(" ",60)),60)),설정_코드표!$F$2:$F$101,0))),INDEX(설정_코드표!$K$2:$K$101,MATCH(LEFT(TRIM(F324&amp;""),FIND(" ",TRIM(F324&amp;""))-1),설정_코드표!$J$2:$J$101,0))&amp;" "&amp;INDEX(설정_코드표!$G$2:$G$101,MATCH(TRIM(RIGHT(SUBSTITUTE(TRIM(F324&amp;"")," ",REPT(" ",60)),60)),설정_코드표!$F$2:$F$101,0)),"⚠"&amp;TRIM(F324&amp;""))),"⚠"&amp;TRIM(F324&amp;""))</f>
        <v/>
      </c>
      <c r="O324" s="10">
        <f>IFERROR(IF(TRIM(G324&amp;"")="","",IF(AND(ISNUMBER(FIND(" ",TRIM(G324&amp;""))),ISNUMBER(MATCH(LEFT(TRIM(G324&amp;""),FIND(" ",TRIM(G324&amp;""))-1),설정_코드표!$J$2:$J$101,0)),ISNUMBER(MATCH(TRIM(RIGHT(SUBSTITUTE(TRIM(G324&amp;"")," ",REPT(" ",60)),60)),설정_코드표!$F$2:$F$101,0))),INDEX(설정_코드표!$K$2:$K$101,MATCH(LEFT(TRIM(G324&amp;""),FIND(" ",TRIM(G324&amp;""))-1),설정_코드표!$J$2:$J$101,0))&amp;" "&amp;INDEX(설정_코드표!$G$2:$G$101,MATCH(TRIM(RIGHT(SUBSTITUTE(TRIM(G324&amp;"")," ",REPT(" ",60)),60)),설정_코드표!$F$2:$F$101,0)),"⚠"&amp;TRIM(G324&amp;""))),"⚠"&amp;TRIM(G324&amp;""))</f>
        <v/>
      </c>
      <c r="P324" s="10">
        <f>IFERROR(IF(TRIM(H324&amp;"")="","",IF(AND(ISNUMBER(FIND(" ",TRIM(H324&amp;""))),ISNUMBER(MATCH(LEFT(TRIM(H324&amp;""),FIND(" ",TRIM(H324&amp;""))-1),설정_코드표!$J$2:$J$101,0)),ISNUMBER(MATCH(TRIM(RIGHT(SUBSTITUTE(TRIM(H324&amp;"")," ",REPT(" ",60)),60)),설정_코드표!$F$2:$F$101,0))),INDEX(설정_코드표!$K$2:$K$101,MATCH(LEFT(TRIM(H324&amp;""),FIND(" ",TRIM(H324&amp;""))-1),설정_코드표!$J$2:$J$101,0))&amp;" "&amp;INDEX(설정_코드표!$G$2:$G$101,MATCH(TRIM(RIGHT(SUBSTITUTE(TRIM(H324&amp;"")," ",REPT(" ",60)),60)),설정_코드표!$F$2:$F$101,0)),"⚠"&amp;TRIM(H324&amp;""))),"⚠"&amp;TRIM(H324&amp;""))</f>
        <v/>
      </c>
      <c r="Q324" s="10">
        <f>IFERROR(IF(TRIM(I324&amp;"")="","",IF(AND(ISNUMBER(FIND(" ",TRIM(I324&amp;""))),ISNUMBER(MATCH(LEFT(TRIM(I324&amp;""),FIND(" ",TRIM(I324&amp;""))-1),설정_코드표!$J$2:$J$101,0)),ISNUMBER(MATCH(TRIM(RIGHT(SUBSTITUTE(TRIM(I324&amp;"")," ",REPT(" ",60)),60)),설정_코드표!$F$2:$F$101,0))),INDEX(설정_코드표!$K$2:$K$101,MATCH(LEFT(TRIM(I324&amp;""),FIND(" ",TRIM(I324&amp;""))-1),설정_코드표!$J$2:$J$101,0))&amp;" "&amp;INDEX(설정_코드표!$G$2:$G$101,MATCH(TRIM(RIGHT(SUBSTITUTE(TRIM(I324&amp;"")," ",REPT(" ",60)),60)),설정_코드표!$F$2:$F$101,0)),"⚠"&amp;TRIM(I324&amp;""))),"⚠"&amp;TRIM(I324&amp;""))</f>
        <v/>
      </c>
      <c r="R324" s="10">
        <f>IFERROR(IF(TRIM(J324&amp;"")="","",IF(AND(ISNUMBER(FIND(" ",TRIM(J324&amp;""))),ISNUMBER(MATCH(LEFT(TRIM(J324&amp;""),FIND(" ",TRIM(J324&amp;""))-1),설정_코드표!$J$2:$J$101,0)),ISNUMBER(MATCH(TRIM(RIGHT(SUBSTITUTE(TRIM(J324&amp;"")," ",REPT(" ",60)),60)),설정_코드표!$F$2:$F$101,0))),INDEX(설정_코드표!$K$2:$K$101,MATCH(LEFT(TRIM(J324&amp;""),FIND(" ",TRIM(J324&amp;""))-1),설정_코드표!$J$2:$J$101,0))&amp;" "&amp;INDEX(설정_코드표!$G$2:$G$101,MATCH(TRIM(RIGHT(SUBSTITUTE(TRIM(J324&amp;"")," ",REPT(" ",60)),60)),설정_코드표!$F$2:$F$101,0)),"⚠"&amp;TRIM(J324&amp;""))),"⚠"&amp;TRIM(J324&amp;""))</f>
        <v/>
      </c>
      <c r="S324" s="11">
        <f>IF(K324="","",IFERROR(IF(AND(ROUND((VALUE(K324&amp;"")-INT(VALUE(K324&amp;"")))*100,0)&gt;=1,ROUND((VALUE(K324&amp;"")-INT(VALUE(K324&amp;"")))*100,0)&lt;=12,INT(VALUE(K324&amp;""))&gt;=1900),DATE(INT(VALUE(K324&amp;"")),ROUND((VALUE(K324&amp;"")-INT(VALUE(K324&amp;"")))*100,0),1),K324&amp;""),K324&amp;""))</f>
        <v/>
      </c>
      <c r="T324" s="10">
        <f>COUNTIF(M324:R324,"⚠*")</f>
        <v/>
      </c>
    </row>
    <row r="325"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M325" s="10">
        <f>IFERROR(IF(TRIM(E325&amp;"")="","",IF(AND(ISNUMBER(FIND(" ",TRIM(E325&amp;""))),ISNUMBER(MATCH(LEFT(TRIM(E325&amp;""),FIND(" ",TRIM(E325&amp;""))-1),설정_코드표!$J$2:$J$101,0)),ISNUMBER(MATCH(TRIM(RIGHT(SUBSTITUTE(TRIM(E325&amp;"")," ",REPT(" ",60)),60)),설정_코드표!$F$2:$F$101,0))),INDEX(설정_코드표!$K$2:$K$101,MATCH(LEFT(TRIM(E325&amp;""),FIND(" ",TRIM(E325&amp;""))-1),설정_코드표!$J$2:$J$101,0))&amp;" "&amp;INDEX(설정_코드표!$G$2:$G$101,MATCH(TRIM(RIGHT(SUBSTITUTE(TRIM(E325&amp;"")," ",REPT(" ",60)),60)),설정_코드표!$F$2:$F$101,0)),"⚠"&amp;TRIM(E325&amp;""))),"⚠"&amp;TRIM(E325&amp;""))</f>
        <v/>
      </c>
      <c r="N325" s="10">
        <f>IFERROR(IF(TRIM(F325&amp;"")="","",IF(AND(ISNUMBER(FIND(" ",TRIM(F325&amp;""))),ISNUMBER(MATCH(LEFT(TRIM(F325&amp;""),FIND(" ",TRIM(F325&amp;""))-1),설정_코드표!$J$2:$J$101,0)),ISNUMBER(MATCH(TRIM(RIGHT(SUBSTITUTE(TRIM(F325&amp;"")," ",REPT(" ",60)),60)),설정_코드표!$F$2:$F$101,0))),INDEX(설정_코드표!$K$2:$K$101,MATCH(LEFT(TRIM(F325&amp;""),FIND(" ",TRIM(F325&amp;""))-1),설정_코드표!$J$2:$J$101,0))&amp;" "&amp;INDEX(설정_코드표!$G$2:$G$101,MATCH(TRIM(RIGHT(SUBSTITUTE(TRIM(F325&amp;"")," ",REPT(" ",60)),60)),설정_코드표!$F$2:$F$101,0)),"⚠"&amp;TRIM(F325&amp;""))),"⚠"&amp;TRIM(F325&amp;""))</f>
        <v/>
      </c>
      <c r="O325" s="10">
        <f>IFERROR(IF(TRIM(G325&amp;"")="","",IF(AND(ISNUMBER(FIND(" ",TRIM(G325&amp;""))),ISNUMBER(MATCH(LEFT(TRIM(G325&amp;""),FIND(" ",TRIM(G325&amp;""))-1),설정_코드표!$J$2:$J$101,0)),ISNUMBER(MATCH(TRIM(RIGHT(SUBSTITUTE(TRIM(G325&amp;"")," ",REPT(" ",60)),60)),설정_코드표!$F$2:$F$101,0))),INDEX(설정_코드표!$K$2:$K$101,MATCH(LEFT(TRIM(G325&amp;""),FIND(" ",TRIM(G325&amp;""))-1),설정_코드표!$J$2:$J$101,0))&amp;" "&amp;INDEX(설정_코드표!$G$2:$G$101,MATCH(TRIM(RIGHT(SUBSTITUTE(TRIM(G325&amp;"")," ",REPT(" ",60)),60)),설정_코드표!$F$2:$F$101,0)),"⚠"&amp;TRIM(G325&amp;""))),"⚠"&amp;TRIM(G325&amp;""))</f>
        <v/>
      </c>
      <c r="P325" s="10">
        <f>IFERROR(IF(TRIM(H325&amp;"")="","",IF(AND(ISNUMBER(FIND(" ",TRIM(H325&amp;""))),ISNUMBER(MATCH(LEFT(TRIM(H325&amp;""),FIND(" ",TRIM(H325&amp;""))-1),설정_코드표!$J$2:$J$101,0)),ISNUMBER(MATCH(TRIM(RIGHT(SUBSTITUTE(TRIM(H325&amp;"")," ",REPT(" ",60)),60)),설정_코드표!$F$2:$F$101,0))),INDEX(설정_코드표!$K$2:$K$101,MATCH(LEFT(TRIM(H325&amp;""),FIND(" ",TRIM(H325&amp;""))-1),설정_코드표!$J$2:$J$101,0))&amp;" "&amp;INDEX(설정_코드표!$G$2:$G$101,MATCH(TRIM(RIGHT(SUBSTITUTE(TRIM(H325&amp;"")," ",REPT(" ",60)),60)),설정_코드표!$F$2:$F$101,0)),"⚠"&amp;TRIM(H325&amp;""))),"⚠"&amp;TRIM(H325&amp;""))</f>
        <v/>
      </c>
      <c r="Q325" s="10">
        <f>IFERROR(IF(TRIM(I325&amp;"")="","",IF(AND(ISNUMBER(FIND(" ",TRIM(I325&amp;""))),ISNUMBER(MATCH(LEFT(TRIM(I325&amp;""),FIND(" ",TRIM(I325&amp;""))-1),설정_코드표!$J$2:$J$101,0)),ISNUMBER(MATCH(TRIM(RIGHT(SUBSTITUTE(TRIM(I325&amp;"")," ",REPT(" ",60)),60)),설정_코드표!$F$2:$F$101,0))),INDEX(설정_코드표!$K$2:$K$101,MATCH(LEFT(TRIM(I325&amp;""),FIND(" ",TRIM(I325&amp;""))-1),설정_코드표!$J$2:$J$101,0))&amp;" "&amp;INDEX(설정_코드표!$G$2:$G$101,MATCH(TRIM(RIGHT(SUBSTITUTE(TRIM(I325&amp;"")," ",REPT(" ",60)),60)),설정_코드표!$F$2:$F$101,0)),"⚠"&amp;TRIM(I325&amp;""))),"⚠"&amp;TRIM(I325&amp;""))</f>
        <v/>
      </c>
      <c r="R325" s="10">
        <f>IFERROR(IF(TRIM(J325&amp;"")="","",IF(AND(ISNUMBER(FIND(" ",TRIM(J325&amp;""))),ISNUMBER(MATCH(LEFT(TRIM(J325&amp;""),FIND(" ",TRIM(J325&amp;""))-1),설정_코드표!$J$2:$J$101,0)),ISNUMBER(MATCH(TRIM(RIGHT(SUBSTITUTE(TRIM(J325&amp;"")," ",REPT(" ",60)),60)),설정_코드표!$F$2:$F$101,0))),INDEX(설정_코드표!$K$2:$K$101,MATCH(LEFT(TRIM(J325&amp;""),FIND(" ",TRIM(J325&amp;""))-1),설정_코드표!$J$2:$J$101,0))&amp;" "&amp;INDEX(설정_코드표!$G$2:$G$101,MATCH(TRIM(RIGHT(SUBSTITUTE(TRIM(J325&amp;"")," ",REPT(" ",60)),60)),설정_코드표!$F$2:$F$101,0)),"⚠"&amp;TRIM(J325&amp;""))),"⚠"&amp;TRIM(J325&amp;""))</f>
        <v/>
      </c>
      <c r="S325" s="11">
        <f>IF(K325="","",IFERROR(IF(AND(ROUND((VALUE(K325&amp;"")-INT(VALUE(K325&amp;"")))*100,0)&gt;=1,ROUND((VALUE(K325&amp;"")-INT(VALUE(K325&amp;"")))*100,0)&lt;=12,INT(VALUE(K325&amp;""))&gt;=1900),DATE(INT(VALUE(K325&amp;"")),ROUND((VALUE(K325&amp;"")-INT(VALUE(K325&amp;"")))*100,0),1),K325&amp;""),K325&amp;""))</f>
        <v/>
      </c>
      <c r="T325" s="10">
        <f>COUNTIF(M325:R325,"⚠*")</f>
        <v/>
      </c>
    </row>
    <row r="326"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M326" s="10">
        <f>IFERROR(IF(TRIM(E326&amp;"")="","",IF(AND(ISNUMBER(FIND(" ",TRIM(E326&amp;""))),ISNUMBER(MATCH(LEFT(TRIM(E326&amp;""),FIND(" ",TRIM(E326&amp;""))-1),설정_코드표!$J$2:$J$101,0)),ISNUMBER(MATCH(TRIM(RIGHT(SUBSTITUTE(TRIM(E326&amp;"")," ",REPT(" ",60)),60)),설정_코드표!$F$2:$F$101,0))),INDEX(설정_코드표!$K$2:$K$101,MATCH(LEFT(TRIM(E326&amp;""),FIND(" ",TRIM(E326&amp;""))-1),설정_코드표!$J$2:$J$101,0))&amp;" "&amp;INDEX(설정_코드표!$G$2:$G$101,MATCH(TRIM(RIGHT(SUBSTITUTE(TRIM(E326&amp;"")," ",REPT(" ",60)),60)),설정_코드표!$F$2:$F$101,0)),"⚠"&amp;TRIM(E326&amp;""))),"⚠"&amp;TRIM(E326&amp;""))</f>
        <v/>
      </c>
      <c r="N326" s="10">
        <f>IFERROR(IF(TRIM(F326&amp;"")="","",IF(AND(ISNUMBER(FIND(" ",TRIM(F326&amp;""))),ISNUMBER(MATCH(LEFT(TRIM(F326&amp;""),FIND(" ",TRIM(F326&amp;""))-1),설정_코드표!$J$2:$J$101,0)),ISNUMBER(MATCH(TRIM(RIGHT(SUBSTITUTE(TRIM(F326&amp;"")," ",REPT(" ",60)),60)),설정_코드표!$F$2:$F$101,0))),INDEX(설정_코드표!$K$2:$K$101,MATCH(LEFT(TRIM(F326&amp;""),FIND(" ",TRIM(F326&amp;""))-1),설정_코드표!$J$2:$J$101,0))&amp;" "&amp;INDEX(설정_코드표!$G$2:$G$101,MATCH(TRIM(RIGHT(SUBSTITUTE(TRIM(F326&amp;"")," ",REPT(" ",60)),60)),설정_코드표!$F$2:$F$101,0)),"⚠"&amp;TRIM(F326&amp;""))),"⚠"&amp;TRIM(F326&amp;""))</f>
        <v/>
      </c>
      <c r="O326" s="10">
        <f>IFERROR(IF(TRIM(G326&amp;"")="","",IF(AND(ISNUMBER(FIND(" ",TRIM(G326&amp;""))),ISNUMBER(MATCH(LEFT(TRIM(G326&amp;""),FIND(" ",TRIM(G326&amp;""))-1),설정_코드표!$J$2:$J$101,0)),ISNUMBER(MATCH(TRIM(RIGHT(SUBSTITUTE(TRIM(G326&amp;"")," ",REPT(" ",60)),60)),설정_코드표!$F$2:$F$101,0))),INDEX(설정_코드표!$K$2:$K$101,MATCH(LEFT(TRIM(G326&amp;""),FIND(" ",TRIM(G326&amp;""))-1),설정_코드표!$J$2:$J$101,0))&amp;" "&amp;INDEX(설정_코드표!$G$2:$G$101,MATCH(TRIM(RIGHT(SUBSTITUTE(TRIM(G326&amp;"")," ",REPT(" ",60)),60)),설정_코드표!$F$2:$F$101,0)),"⚠"&amp;TRIM(G326&amp;""))),"⚠"&amp;TRIM(G326&amp;""))</f>
        <v/>
      </c>
      <c r="P326" s="10">
        <f>IFERROR(IF(TRIM(H326&amp;"")="","",IF(AND(ISNUMBER(FIND(" ",TRIM(H326&amp;""))),ISNUMBER(MATCH(LEFT(TRIM(H326&amp;""),FIND(" ",TRIM(H326&amp;""))-1),설정_코드표!$J$2:$J$101,0)),ISNUMBER(MATCH(TRIM(RIGHT(SUBSTITUTE(TRIM(H326&amp;"")," ",REPT(" ",60)),60)),설정_코드표!$F$2:$F$101,0))),INDEX(설정_코드표!$K$2:$K$101,MATCH(LEFT(TRIM(H326&amp;""),FIND(" ",TRIM(H326&amp;""))-1),설정_코드표!$J$2:$J$101,0))&amp;" "&amp;INDEX(설정_코드표!$G$2:$G$101,MATCH(TRIM(RIGHT(SUBSTITUTE(TRIM(H326&amp;"")," ",REPT(" ",60)),60)),설정_코드표!$F$2:$F$101,0)),"⚠"&amp;TRIM(H326&amp;""))),"⚠"&amp;TRIM(H326&amp;""))</f>
        <v/>
      </c>
      <c r="Q326" s="10">
        <f>IFERROR(IF(TRIM(I326&amp;"")="","",IF(AND(ISNUMBER(FIND(" ",TRIM(I326&amp;""))),ISNUMBER(MATCH(LEFT(TRIM(I326&amp;""),FIND(" ",TRIM(I326&amp;""))-1),설정_코드표!$J$2:$J$101,0)),ISNUMBER(MATCH(TRIM(RIGHT(SUBSTITUTE(TRIM(I326&amp;"")," ",REPT(" ",60)),60)),설정_코드표!$F$2:$F$101,0))),INDEX(설정_코드표!$K$2:$K$101,MATCH(LEFT(TRIM(I326&amp;""),FIND(" ",TRIM(I326&amp;""))-1),설정_코드표!$J$2:$J$101,0))&amp;" "&amp;INDEX(설정_코드표!$G$2:$G$101,MATCH(TRIM(RIGHT(SUBSTITUTE(TRIM(I326&amp;"")," ",REPT(" ",60)),60)),설정_코드표!$F$2:$F$101,0)),"⚠"&amp;TRIM(I326&amp;""))),"⚠"&amp;TRIM(I326&amp;""))</f>
        <v/>
      </c>
      <c r="R326" s="10">
        <f>IFERROR(IF(TRIM(J326&amp;"")="","",IF(AND(ISNUMBER(FIND(" ",TRIM(J326&amp;""))),ISNUMBER(MATCH(LEFT(TRIM(J326&amp;""),FIND(" ",TRIM(J326&amp;""))-1),설정_코드표!$J$2:$J$101,0)),ISNUMBER(MATCH(TRIM(RIGHT(SUBSTITUTE(TRIM(J326&amp;"")," ",REPT(" ",60)),60)),설정_코드표!$F$2:$F$101,0))),INDEX(설정_코드표!$K$2:$K$101,MATCH(LEFT(TRIM(J326&amp;""),FIND(" ",TRIM(J326&amp;""))-1),설정_코드표!$J$2:$J$101,0))&amp;" "&amp;INDEX(설정_코드표!$G$2:$G$101,MATCH(TRIM(RIGHT(SUBSTITUTE(TRIM(J326&amp;"")," ",REPT(" ",60)),60)),설정_코드표!$F$2:$F$101,0)),"⚠"&amp;TRIM(J326&amp;""))),"⚠"&amp;TRIM(J326&amp;""))</f>
        <v/>
      </c>
      <c r="S326" s="11">
        <f>IF(K326="","",IFERROR(IF(AND(ROUND((VALUE(K326&amp;"")-INT(VALUE(K326&amp;"")))*100,0)&gt;=1,ROUND((VALUE(K326&amp;"")-INT(VALUE(K326&amp;"")))*100,0)&lt;=12,INT(VALUE(K326&amp;""))&gt;=1900),DATE(INT(VALUE(K326&amp;"")),ROUND((VALUE(K326&amp;"")-INT(VALUE(K326&amp;"")))*100,0),1),K326&amp;""),K326&amp;""))</f>
        <v/>
      </c>
      <c r="T326" s="10">
        <f>COUNTIF(M326:R326,"⚠*")</f>
        <v/>
      </c>
    </row>
    <row r="327"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M327" s="10">
        <f>IFERROR(IF(TRIM(E327&amp;"")="","",IF(AND(ISNUMBER(FIND(" ",TRIM(E327&amp;""))),ISNUMBER(MATCH(LEFT(TRIM(E327&amp;""),FIND(" ",TRIM(E327&amp;""))-1),설정_코드표!$J$2:$J$101,0)),ISNUMBER(MATCH(TRIM(RIGHT(SUBSTITUTE(TRIM(E327&amp;"")," ",REPT(" ",60)),60)),설정_코드표!$F$2:$F$101,0))),INDEX(설정_코드표!$K$2:$K$101,MATCH(LEFT(TRIM(E327&amp;""),FIND(" ",TRIM(E327&amp;""))-1),설정_코드표!$J$2:$J$101,0))&amp;" "&amp;INDEX(설정_코드표!$G$2:$G$101,MATCH(TRIM(RIGHT(SUBSTITUTE(TRIM(E327&amp;"")," ",REPT(" ",60)),60)),설정_코드표!$F$2:$F$101,0)),"⚠"&amp;TRIM(E327&amp;""))),"⚠"&amp;TRIM(E327&amp;""))</f>
        <v/>
      </c>
      <c r="N327" s="10">
        <f>IFERROR(IF(TRIM(F327&amp;"")="","",IF(AND(ISNUMBER(FIND(" ",TRIM(F327&amp;""))),ISNUMBER(MATCH(LEFT(TRIM(F327&amp;""),FIND(" ",TRIM(F327&amp;""))-1),설정_코드표!$J$2:$J$101,0)),ISNUMBER(MATCH(TRIM(RIGHT(SUBSTITUTE(TRIM(F327&amp;"")," ",REPT(" ",60)),60)),설정_코드표!$F$2:$F$101,0))),INDEX(설정_코드표!$K$2:$K$101,MATCH(LEFT(TRIM(F327&amp;""),FIND(" ",TRIM(F327&amp;""))-1),설정_코드표!$J$2:$J$101,0))&amp;" "&amp;INDEX(설정_코드표!$G$2:$G$101,MATCH(TRIM(RIGHT(SUBSTITUTE(TRIM(F327&amp;"")," ",REPT(" ",60)),60)),설정_코드표!$F$2:$F$101,0)),"⚠"&amp;TRIM(F327&amp;""))),"⚠"&amp;TRIM(F327&amp;""))</f>
        <v/>
      </c>
      <c r="O327" s="10">
        <f>IFERROR(IF(TRIM(G327&amp;"")="","",IF(AND(ISNUMBER(FIND(" ",TRIM(G327&amp;""))),ISNUMBER(MATCH(LEFT(TRIM(G327&amp;""),FIND(" ",TRIM(G327&amp;""))-1),설정_코드표!$J$2:$J$101,0)),ISNUMBER(MATCH(TRIM(RIGHT(SUBSTITUTE(TRIM(G327&amp;"")," ",REPT(" ",60)),60)),설정_코드표!$F$2:$F$101,0))),INDEX(설정_코드표!$K$2:$K$101,MATCH(LEFT(TRIM(G327&amp;""),FIND(" ",TRIM(G327&amp;""))-1),설정_코드표!$J$2:$J$101,0))&amp;" "&amp;INDEX(설정_코드표!$G$2:$G$101,MATCH(TRIM(RIGHT(SUBSTITUTE(TRIM(G327&amp;"")," ",REPT(" ",60)),60)),설정_코드표!$F$2:$F$101,0)),"⚠"&amp;TRIM(G327&amp;""))),"⚠"&amp;TRIM(G327&amp;""))</f>
        <v/>
      </c>
      <c r="P327" s="10">
        <f>IFERROR(IF(TRIM(H327&amp;"")="","",IF(AND(ISNUMBER(FIND(" ",TRIM(H327&amp;""))),ISNUMBER(MATCH(LEFT(TRIM(H327&amp;""),FIND(" ",TRIM(H327&amp;""))-1),설정_코드표!$J$2:$J$101,0)),ISNUMBER(MATCH(TRIM(RIGHT(SUBSTITUTE(TRIM(H327&amp;"")," ",REPT(" ",60)),60)),설정_코드표!$F$2:$F$101,0))),INDEX(설정_코드표!$K$2:$K$101,MATCH(LEFT(TRIM(H327&amp;""),FIND(" ",TRIM(H327&amp;""))-1),설정_코드표!$J$2:$J$101,0))&amp;" "&amp;INDEX(설정_코드표!$G$2:$G$101,MATCH(TRIM(RIGHT(SUBSTITUTE(TRIM(H327&amp;"")," ",REPT(" ",60)),60)),설정_코드표!$F$2:$F$101,0)),"⚠"&amp;TRIM(H327&amp;""))),"⚠"&amp;TRIM(H327&amp;""))</f>
        <v/>
      </c>
      <c r="Q327" s="10">
        <f>IFERROR(IF(TRIM(I327&amp;"")="","",IF(AND(ISNUMBER(FIND(" ",TRIM(I327&amp;""))),ISNUMBER(MATCH(LEFT(TRIM(I327&amp;""),FIND(" ",TRIM(I327&amp;""))-1),설정_코드표!$J$2:$J$101,0)),ISNUMBER(MATCH(TRIM(RIGHT(SUBSTITUTE(TRIM(I327&amp;"")," ",REPT(" ",60)),60)),설정_코드표!$F$2:$F$101,0))),INDEX(설정_코드표!$K$2:$K$101,MATCH(LEFT(TRIM(I327&amp;""),FIND(" ",TRIM(I327&amp;""))-1),설정_코드표!$J$2:$J$101,0))&amp;" "&amp;INDEX(설정_코드표!$G$2:$G$101,MATCH(TRIM(RIGHT(SUBSTITUTE(TRIM(I327&amp;"")," ",REPT(" ",60)),60)),설정_코드표!$F$2:$F$101,0)),"⚠"&amp;TRIM(I327&amp;""))),"⚠"&amp;TRIM(I327&amp;""))</f>
        <v/>
      </c>
      <c r="R327" s="10">
        <f>IFERROR(IF(TRIM(J327&amp;"")="","",IF(AND(ISNUMBER(FIND(" ",TRIM(J327&amp;""))),ISNUMBER(MATCH(LEFT(TRIM(J327&amp;""),FIND(" ",TRIM(J327&amp;""))-1),설정_코드표!$J$2:$J$101,0)),ISNUMBER(MATCH(TRIM(RIGHT(SUBSTITUTE(TRIM(J327&amp;"")," ",REPT(" ",60)),60)),설정_코드표!$F$2:$F$101,0))),INDEX(설정_코드표!$K$2:$K$101,MATCH(LEFT(TRIM(J327&amp;""),FIND(" ",TRIM(J327&amp;""))-1),설정_코드표!$J$2:$J$101,0))&amp;" "&amp;INDEX(설정_코드표!$G$2:$G$101,MATCH(TRIM(RIGHT(SUBSTITUTE(TRIM(J327&amp;"")," ",REPT(" ",60)),60)),설정_코드표!$F$2:$F$101,0)),"⚠"&amp;TRIM(J327&amp;""))),"⚠"&amp;TRIM(J327&amp;""))</f>
        <v/>
      </c>
      <c r="S327" s="11">
        <f>IF(K327="","",IFERROR(IF(AND(ROUND((VALUE(K327&amp;"")-INT(VALUE(K327&amp;"")))*100,0)&gt;=1,ROUND((VALUE(K327&amp;"")-INT(VALUE(K327&amp;"")))*100,0)&lt;=12,INT(VALUE(K327&amp;""))&gt;=1900),DATE(INT(VALUE(K327&amp;"")),ROUND((VALUE(K327&amp;"")-INT(VALUE(K327&amp;"")))*100,0),1),K327&amp;""),K327&amp;""))</f>
        <v/>
      </c>
      <c r="T327" s="10">
        <f>COUNTIF(M327:R327,"⚠*")</f>
        <v/>
      </c>
    </row>
    <row r="328"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M328" s="10">
        <f>IFERROR(IF(TRIM(E328&amp;"")="","",IF(AND(ISNUMBER(FIND(" ",TRIM(E328&amp;""))),ISNUMBER(MATCH(LEFT(TRIM(E328&amp;""),FIND(" ",TRIM(E328&amp;""))-1),설정_코드표!$J$2:$J$101,0)),ISNUMBER(MATCH(TRIM(RIGHT(SUBSTITUTE(TRIM(E328&amp;"")," ",REPT(" ",60)),60)),설정_코드표!$F$2:$F$101,0))),INDEX(설정_코드표!$K$2:$K$101,MATCH(LEFT(TRIM(E328&amp;""),FIND(" ",TRIM(E328&amp;""))-1),설정_코드표!$J$2:$J$101,0))&amp;" "&amp;INDEX(설정_코드표!$G$2:$G$101,MATCH(TRIM(RIGHT(SUBSTITUTE(TRIM(E328&amp;"")," ",REPT(" ",60)),60)),설정_코드표!$F$2:$F$101,0)),"⚠"&amp;TRIM(E328&amp;""))),"⚠"&amp;TRIM(E328&amp;""))</f>
        <v/>
      </c>
      <c r="N328" s="10">
        <f>IFERROR(IF(TRIM(F328&amp;"")="","",IF(AND(ISNUMBER(FIND(" ",TRIM(F328&amp;""))),ISNUMBER(MATCH(LEFT(TRIM(F328&amp;""),FIND(" ",TRIM(F328&amp;""))-1),설정_코드표!$J$2:$J$101,0)),ISNUMBER(MATCH(TRIM(RIGHT(SUBSTITUTE(TRIM(F328&amp;"")," ",REPT(" ",60)),60)),설정_코드표!$F$2:$F$101,0))),INDEX(설정_코드표!$K$2:$K$101,MATCH(LEFT(TRIM(F328&amp;""),FIND(" ",TRIM(F328&amp;""))-1),설정_코드표!$J$2:$J$101,0))&amp;" "&amp;INDEX(설정_코드표!$G$2:$G$101,MATCH(TRIM(RIGHT(SUBSTITUTE(TRIM(F328&amp;"")," ",REPT(" ",60)),60)),설정_코드표!$F$2:$F$101,0)),"⚠"&amp;TRIM(F328&amp;""))),"⚠"&amp;TRIM(F328&amp;""))</f>
        <v/>
      </c>
      <c r="O328" s="10">
        <f>IFERROR(IF(TRIM(G328&amp;"")="","",IF(AND(ISNUMBER(FIND(" ",TRIM(G328&amp;""))),ISNUMBER(MATCH(LEFT(TRIM(G328&amp;""),FIND(" ",TRIM(G328&amp;""))-1),설정_코드표!$J$2:$J$101,0)),ISNUMBER(MATCH(TRIM(RIGHT(SUBSTITUTE(TRIM(G328&amp;"")," ",REPT(" ",60)),60)),설정_코드표!$F$2:$F$101,0))),INDEX(설정_코드표!$K$2:$K$101,MATCH(LEFT(TRIM(G328&amp;""),FIND(" ",TRIM(G328&amp;""))-1),설정_코드표!$J$2:$J$101,0))&amp;" "&amp;INDEX(설정_코드표!$G$2:$G$101,MATCH(TRIM(RIGHT(SUBSTITUTE(TRIM(G328&amp;"")," ",REPT(" ",60)),60)),설정_코드표!$F$2:$F$101,0)),"⚠"&amp;TRIM(G328&amp;""))),"⚠"&amp;TRIM(G328&amp;""))</f>
        <v/>
      </c>
      <c r="P328" s="10">
        <f>IFERROR(IF(TRIM(H328&amp;"")="","",IF(AND(ISNUMBER(FIND(" ",TRIM(H328&amp;""))),ISNUMBER(MATCH(LEFT(TRIM(H328&amp;""),FIND(" ",TRIM(H328&amp;""))-1),설정_코드표!$J$2:$J$101,0)),ISNUMBER(MATCH(TRIM(RIGHT(SUBSTITUTE(TRIM(H328&amp;"")," ",REPT(" ",60)),60)),설정_코드표!$F$2:$F$101,0))),INDEX(설정_코드표!$K$2:$K$101,MATCH(LEFT(TRIM(H328&amp;""),FIND(" ",TRIM(H328&amp;""))-1),설정_코드표!$J$2:$J$101,0))&amp;" "&amp;INDEX(설정_코드표!$G$2:$G$101,MATCH(TRIM(RIGHT(SUBSTITUTE(TRIM(H328&amp;"")," ",REPT(" ",60)),60)),설정_코드표!$F$2:$F$101,0)),"⚠"&amp;TRIM(H328&amp;""))),"⚠"&amp;TRIM(H328&amp;""))</f>
        <v/>
      </c>
      <c r="Q328" s="10">
        <f>IFERROR(IF(TRIM(I328&amp;"")="","",IF(AND(ISNUMBER(FIND(" ",TRIM(I328&amp;""))),ISNUMBER(MATCH(LEFT(TRIM(I328&amp;""),FIND(" ",TRIM(I328&amp;""))-1),설정_코드표!$J$2:$J$101,0)),ISNUMBER(MATCH(TRIM(RIGHT(SUBSTITUTE(TRIM(I328&amp;"")," ",REPT(" ",60)),60)),설정_코드표!$F$2:$F$101,0))),INDEX(설정_코드표!$K$2:$K$101,MATCH(LEFT(TRIM(I328&amp;""),FIND(" ",TRIM(I328&amp;""))-1),설정_코드표!$J$2:$J$101,0))&amp;" "&amp;INDEX(설정_코드표!$G$2:$G$101,MATCH(TRIM(RIGHT(SUBSTITUTE(TRIM(I328&amp;"")," ",REPT(" ",60)),60)),설정_코드표!$F$2:$F$101,0)),"⚠"&amp;TRIM(I328&amp;""))),"⚠"&amp;TRIM(I328&amp;""))</f>
        <v/>
      </c>
      <c r="R328" s="10">
        <f>IFERROR(IF(TRIM(J328&amp;"")="","",IF(AND(ISNUMBER(FIND(" ",TRIM(J328&amp;""))),ISNUMBER(MATCH(LEFT(TRIM(J328&amp;""),FIND(" ",TRIM(J328&amp;""))-1),설정_코드표!$J$2:$J$101,0)),ISNUMBER(MATCH(TRIM(RIGHT(SUBSTITUTE(TRIM(J328&amp;"")," ",REPT(" ",60)),60)),설정_코드표!$F$2:$F$101,0))),INDEX(설정_코드표!$K$2:$K$101,MATCH(LEFT(TRIM(J328&amp;""),FIND(" ",TRIM(J328&amp;""))-1),설정_코드표!$J$2:$J$101,0))&amp;" "&amp;INDEX(설정_코드표!$G$2:$G$101,MATCH(TRIM(RIGHT(SUBSTITUTE(TRIM(J328&amp;"")," ",REPT(" ",60)),60)),설정_코드표!$F$2:$F$101,0)),"⚠"&amp;TRIM(J328&amp;""))),"⚠"&amp;TRIM(J328&amp;""))</f>
        <v/>
      </c>
      <c r="S328" s="11">
        <f>IF(K328="","",IFERROR(IF(AND(ROUND((VALUE(K328&amp;"")-INT(VALUE(K328&amp;"")))*100,0)&gt;=1,ROUND((VALUE(K328&amp;"")-INT(VALUE(K328&amp;"")))*100,0)&lt;=12,INT(VALUE(K328&amp;""))&gt;=1900),DATE(INT(VALUE(K328&amp;"")),ROUND((VALUE(K328&amp;"")-INT(VALUE(K328&amp;"")))*100,0),1),K328&amp;""),K328&amp;""))</f>
        <v/>
      </c>
      <c r="T328" s="10">
        <f>COUNTIF(M328:R328,"⚠*")</f>
        <v/>
      </c>
    </row>
    <row r="329"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M329" s="10">
        <f>IFERROR(IF(TRIM(E329&amp;"")="","",IF(AND(ISNUMBER(FIND(" ",TRIM(E329&amp;""))),ISNUMBER(MATCH(LEFT(TRIM(E329&amp;""),FIND(" ",TRIM(E329&amp;""))-1),설정_코드표!$J$2:$J$101,0)),ISNUMBER(MATCH(TRIM(RIGHT(SUBSTITUTE(TRIM(E329&amp;"")," ",REPT(" ",60)),60)),설정_코드표!$F$2:$F$101,0))),INDEX(설정_코드표!$K$2:$K$101,MATCH(LEFT(TRIM(E329&amp;""),FIND(" ",TRIM(E329&amp;""))-1),설정_코드표!$J$2:$J$101,0))&amp;" "&amp;INDEX(설정_코드표!$G$2:$G$101,MATCH(TRIM(RIGHT(SUBSTITUTE(TRIM(E329&amp;"")," ",REPT(" ",60)),60)),설정_코드표!$F$2:$F$101,0)),"⚠"&amp;TRIM(E329&amp;""))),"⚠"&amp;TRIM(E329&amp;""))</f>
        <v/>
      </c>
      <c r="N329" s="10">
        <f>IFERROR(IF(TRIM(F329&amp;"")="","",IF(AND(ISNUMBER(FIND(" ",TRIM(F329&amp;""))),ISNUMBER(MATCH(LEFT(TRIM(F329&amp;""),FIND(" ",TRIM(F329&amp;""))-1),설정_코드표!$J$2:$J$101,0)),ISNUMBER(MATCH(TRIM(RIGHT(SUBSTITUTE(TRIM(F329&amp;"")," ",REPT(" ",60)),60)),설정_코드표!$F$2:$F$101,0))),INDEX(설정_코드표!$K$2:$K$101,MATCH(LEFT(TRIM(F329&amp;""),FIND(" ",TRIM(F329&amp;""))-1),설정_코드표!$J$2:$J$101,0))&amp;" "&amp;INDEX(설정_코드표!$G$2:$G$101,MATCH(TRIM(RIGHT(SUBSTITUTE(TRIM(F329&amp;"")," ",REPT(" ",60)),60)),설정_코드표!$F$2:$F$101,0)),"⚠"&amp;TRIM(F329&amp;""))),"⚠"&amp;TRIM(F329&amp;""))</f>
        <v/>
      </c>
      <c r="O329" s="10">
        <f>IFERROR(IF(TRIM(G329&amp;"")="","",IF(AND(ISNUMBER(FIND(" ",TRIM(G329&amp;""))),ISNUMBER(MATCH(LEFT(TRIM(G329&amp;""),FIND(" ",TRIM(G329&amp;""))-1),설정_코드표!$J$2:$J$101,0)),ISNUMBER(MATCH(TRIM(RIGHT(SUBSTITUTE(TRIM(G329&amp;"")," ",REPT(" ",60)),60)),설정_코드표!$F$2:$F$101,0))),INDEX(설정_코드표!$K$2:$K$101,MATCH(LEFT(TRIM(G329&amp;""),FIND(" ",TRIM(G329&amp;""))-1),설정_코드표!$J$2:$J$101,0))&amp;" "&amp;INDEX(설정_코드표!$G$2:$G$101,MATCH(TRIM(RIGHT(SUBSTITUTE(TRIM(G329&amp;"")," ",REPT(" ",60)),60)),설정_코드표!$F$2:$F$101,0)),"⚠"&amp;TRIM(G329&amp;""))),"⚠"&amp;TRIM(G329&amp;""))</f>
        <v/>
      </c>
      <c r="P329" s="10">
        <f>IFERROR(IF(TRIM(H329&amp;"")="","",IF(AND(ISNUMBER(FIND(" ",TRIM(H329&amp;""))),ISNUMBER(MATCH(LEFT(TRIM(H329&amp;""),FIND(" ",TRIM(H329&amp;""))-1),설정_코드표!$J$2:$J$101,0)),ISNUMBER(MATCH(TRIM(RIGHT(SUBSTITUTE(TRIM(H329&amp;"")," ",REPT(" ",60)),60)),설정_코드표!$F$2:$F$101,0))),INDEX(설정_코드표!$K$2:$K$101,MATCH(LEFT(TRIM(H329&amp;""),FIND(" ",TRIM(H329&amp;""))-1),설정_코드표!$J$2:$J$101,0))&amp;" "&amp;INDEX(설정_코드표!$G$2:$G$101,MATCH(TRIM(RIGHT(SUBSTITUTE(TRIM(H329&amp;"")," ",REPT(" ",60)),60)),설정_코드표!$F$2:$F$101,0)),"⚠"&amp;TRIM(H329&amp;""))),"⚠"&amp;TRIM(H329&amp;""))</f>
        <v/>
      </c>
      <c r="Q329" s="10">
        <f>IFERROR(IF(TRIM(I329&amp;"")="","",IF(AND(ISNUMBER(FIND(" ",TRIM(I329&amp;""))),ISNUMBER(MATCH(LEFT(TRIM(I329&amp;""),FIND(" ",TRIM(I329&amp;""))-1),설정_코드표!$J$2:$J$101,0)),ISNUMBER(MATCH(TRIM(RIGHT(SUBSTITUTE(TRIM(I329&amp;"")," ",REPT(" ",60)),60)),설정_코드표!$F$2:$F$101,0))),INDEX(설정_코드표!$K$2:$K$101,MATCH(LEFT(TRIM(I329&amp;""),FIND(" ",TRIM(I329&amp;""))-1),설정_코드표!$J$2:$J$101,0))&amp;" "&amp;INDEX(설정_코드표!$G$2:$G$101,MATCH(TRIM(RIGHT(SUBSTITUTE(TRIM(I329&amp;"")," ",REPT(" ",60)),60)),설정_코드표!$F$2:$F$101,0)),"⚠"&amp;TRIM(I329&amp;""))),"⚠"&amp;TRIM(I329&amp;""))</f>
        <v/>
      </c>
      <c r="R329" s="10">
        <f>IFERROR(IF(TRIM(J329&amp;"")="","",IF(AND(ISNUMBER(FIND(" ",TRIM(J329&amp;""))),ISNUMBER(MATCH(LEFT(TRIM(J329&amp;""),FIND(" ",TRIM(J329&amp;""))-1),설정_코드표!$J$2:$J$101,0)),ISNUMBER(MATCH(TRIM(RIGHT(SUBSTITUTE(TRIM(J329&amp;"")," ",REPT(" ",60)),60)),설정_코드표!$F$2:$F$101,0))),INDEX(설정_코드표!$K$2:$K$101,MATCH(LEFT(TRIM(J329&amp;""),FIND(" ",TRIM(J329&amp;""))-1),설정_코드표!$J$2:$J$101,0))&amp;" "&amp;INDEX(설정_코드표!$G$2:$G$101,MATCH(TRIM(RIGHT(SUBSTITUTE(TRIM(J329&amp;"")," ",REPT(" ",60)),60)),설정_코드표!$F$2:$F$101,0)),"⚠"&amp;TRIM(J329&amp;""))),"⚠"&amp;TRIM(J329&amp;""))</f>
        <v/>
      </c>
      <c r="S329" s="11">
        <f>IF(K329="","",IFERROR(IF(AND(ROUND((VALUE(K329&amp;"")-INT(VALUE(K329&amp;"")))*100,0)&gt;=1,ROUND((VALUE(K329&amp;"")-INT(VALUE(K329&amp;"")))*100,0)&lt;=12,INT(VALUE(K329&amp;""))&gt;=1900),DATE(INT(VALUE(K329&amp;"")),ROUND((VALUE(K329&amp;"")-INT(VALUE(K329&amp;"")))*100,0),1),K329&amp;""),K329&amp;""))</f>
        <v/>
      </c>
      <c r="T329" s="10">
        <f>COUNTIF(M329:R329,"⚠*")</f>
        <v/>
      </c>
    </row>
    <row r="330"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M330" s="10">
        <f>IFERROR(IF(TRIM(E330&amp;"")="","",IF(AND(ISNUMBER(FIND(" ",TRIM(E330&amp;""))),ISNUMBER(MATCH(LEFT(TRIM(E330&amp;""),FIND(" ",TRIM(E330&amp;""))-1),설정_코드표!$J$2:$J$101,0)),ISNUMBER(MATCH(TRIM(RIGHT(SUBSTITUTE(TRIM(E330&amp;"")," ",REPT(" ",60)),60)),설정_코드표!$F$2:$F$101,0))),INDEX(설정_코드표!$K$2:$K$101,MATCH(LEFT(TRIM(E330&amp;""),FIND(" ",TRIM(E330&amp;""))-1),설정_코드표!$J$2:$J$101,0))&amp;" "&amp;INDEX(설정_코드표!$G$2:$G$101,MATCH(TRIM(RIGHT(SUBSTITUTE(TRIM(E330&amp;"")," ",REPT(" ",60)),60)),설정_코드표!$F$2:$F$101,0)),"⚠"&amp;TRIM(E330&amp;""))),"⚠"&amp;TRIM(E330&amp;""))</f>
        <v/>
      </c>
      <c r="N330" s="10">
        <f>IFERROR(IF(TRIM(F330&amp;"")="","",IF(AND(ISNUMBER(FIND(" ",TRIM(F330&amp;""))),ISNUMBER(MATCH(LEFT(TRIM(F330&amp;""),FIND(" ",TRIM(F330&amp;""))-1),설정_코드표!$J$2:$J$101,0)),ISNUMBER(MATCH(TRIM(RIGHT(SUBSTITUTE(TRIM(F330&amp;"")," ",REPT(" ",60)),60)),설정_코드표!$F$2:$F$101,0))),INDEX(설정_코드표!$K$2:$K$101,MATCH(LEFT(TRIM(F330&amp;""),FIND(" ",TRIM(F330&amp;""))-1),설정_코드표!$J$2:$J$101,0))&amp;" "&amp;INDEX(설정_코드표!$G$2:$G$101,MATCH(TRIM(RIGHT(SUBSTITUTE(TRIM(F330&amp;"")," ",REPT(" ",60)),60)),설정_코드표!$F$2:$F$101,0)),"⚠"&amp;TRIM(F330&amp;""))),"⚠"&amp;TRIM(F330&amp;""))</f>
        <v/>
      </c>
      <c r="O330" s="10">
        <f>IFERROR(IF(TRIM(G330&amp;"")="","",IF(AND(ISNUMBER(FIND(" ",TRIM(G330&amp;""))),ISNUMBER(MATCH(LEFT(TRIM(G330&amp;""),FIND(" ",TRIM(G330&amp;""))-1),설정_코드표!$J$2:$J$101,0)),ISNUMBER(MATCH(TRIM(RIGHT(SUBSTITUTE(TRIM(G330&amp;"")," ",REPT(" ",60)),60)),설정_코드표!$F$2:$F$101,0))),INDEX(설정_코드표!$K$2:$K$101,MATCH(LEFT(TRIM(G330&amp;""),FIND(" ",TRIM(G330&amp;""))-1),설정_코드표!$J$2:$J$101,0))&amp;" "&amp;INDEX(설정_코드표!$G$2:$G$101,MATCH(TRIM(RIGHT(SUBSTITUTE(TRIM(G330&amp;"")," ",REPT(" ",60)),60)),설정_코드표!$F$2:$F$101,0)),"⚠"&amp;TRIM(G330&amp;""))),"⚠"&amp;TRIM(G330&amp;""))</f>
        <v/>
      </c>
      <c r="P330" s="10">
        <f>IFERROR(IF(TRIM(H330&amp;"")="","",IF(AND(ISNUMBER(FIND(" ",TRIM(H330&amp;""))),ISNUMBER(MATCH(LEFT(TRIM(H330&amp;""),FIND(" ",TRIM(H330&amp;""))-1),설정_코드표!$J$2:$J$101,0)),ISNUMBER(MATCH(TRIM(RIGHT(SUBSTITUTE(TRIM(H330&amp;"")," ",REPT(" ",60)),60)),설정_코드표!$F$2:$F$101,0))),INDEX(설정_코드표!$K$2:$K$101,MATCH(LEFT(TRIM(H330&amp;""),FIND(" ",TRIM(H330&amp;""))-1),설정_코드표!$J$2:$J$101,0))&amp;" "&amp;INDEX(설정_코드표!$G$2:$G$101,MATCH(TRIM(RIGHT(SUBSTITUTE(TRIM(H330&amp;"")," ",REPT(" ",60)),60)),설정_코드표!$F$2:$F$101,0)),"⚠"&amp;TRIM(H330&amp;""))),"⚠"&amp;TRIM(H330&amp;""))</f>
        <v/>
      </c>
      <c r="Q330" s="10">
        <f>IFERROR(IF(TRIM(I330&amp;"")="","",IF(AND(ISNUMBER(FIND(" ",TRIM(I330&amp;""))),ISNUMBER(MATCH(LEFT(TRIM(I330&amp;""),FIND(" ",TRIM(I330&amp;""))-1),설정_코드표!$J$2:$J$101,0)),ISNUMBER(MATCH(TRIM(RIGHT(SUBSTITUTE(TRIM(I330&amp;"")," ",REPT(" ",60)),60)),설정_코드표!$F$2:$F$101,0))),INDEX(설정_코드표!$K$2:$K$101,MATCH(LEFT(TRIM(I330&amp;""),FIND(" ",TRIM(I330&amp;""))-1),설정_코드표!$J$2:$J$101,0))&amp;" "&amp;INDEX(설정_코드표!$G$2:$G$101,MATCH(TRIM(RIGHT(SUBSTITUTE(TRIM(I330&amp;"")," ",REPT(" ",60)),60)),설정_코드표!$F$2:$F$101,0)),"⚠"&amp;TRIM(I330&amp;""))),"⚠"&amp;TRIM(I330&amp;""))</f>
        <v/>
      </c>
      <c r="R330" s="10">
        <f>IFERROR(IF(TRIM(J330&amp;"")="","",IF(AND(ISNUMBER(FIND(" ",TRIM(J330&amp;""))),ISNUMBER(MATCH(LEFT(TRIM(J330&amp;""),FIND(" ",TRIM(J330&amp;""))-1),설정_코드표!$J$2:$J$101,0)),ISNUMBER(MATCH(TRIM(RIGHT(SUBSTITUTE(TRIM(J330&amp;"")," ",REPT(" ",60)),60)),설정_코드표!$F$2:$F$101,0))),INDEX(설정_코드표!$K$2:$K$101,MATCH(LEFT(TRIM(J330&amp;""),FIND(" ",TRIM(J330&amp;""))-1),설정_코드표!$J$2:$J$101,0))&amp;" "&amp;INDEX(설정_코드표!$G$2:$G$101,MATCH(TRIM(RIGHT(SUBSTITUTE(TRIM(J330&amp;"")," ",REPT(" ",60)),60)),설정_코드표!$F$2:$F$101,0)),"⚠"&amp;TRIM(J330&amp;""))),"⚠"&amp;TRIM(J330&amp;""))</f>
        <v/>
      </c>
      <c r="S330" s="11">
        <f>IF(K330="","",IFERROR(IF(AND(ROUND((VALUE(K330&amp;"")-INT(VALUE(K330&amp;"")))*100,0)&gt;=1,ROUND((VALUE(K330&amp;"")-INT(VALUE(K330&amp;"")))*100,0)&lt;=12,INT(VALUE(K330&amp;""))&gt;=1900),DATE(INT(VALUE(K330&amp;"")),ROUND((VALUE(K330&amp;"")-INT(VALUE(K330&amp;"")))*100,0),1),K330&amp;""),K330&amp;""))</f>
        <v/>
      </c>
      <c r="T330" s="10">
        <f>COUNTIF(M330:R330,"⚠*")</f>
        <v/>
      </c>
    </row>
    <row r="331"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M331" s="10">
        <f>IFERROR(IF(TRIM(E331&amp;"")="","",IF(AND(ISNUMBER(FIND(" ",TRIM(E331&amp;""))),ISNUMBER(MATCH(LEFT(TRIM(E331&amp;""),FIND(" ",TRIM(E331&amp;""))-1),설정_코드표!$J$2:$J$101,0)),ISNUMBER(MATCH(TRIM(RIGHT(SUBSTITUTE(TRIM(E331&amp;"")," ",REPT(" ",60)),60)),설정_코드표!$F$2:$F$101,0))),INDEX(설정_코드표!$K$2:$K$101,MATCH(LEFT(TRIM(E331&amp;""),FIND(" ",TRIM(E331&amp;""))-1),설정_코드표!$J$2:$J$101,0))&amp;" "&amp;INDEX(설정_코드표!$G$2:$G$101,MATCH(TRIM(RIGHT(SUBSTITUTE(TRIM(E331&amp;"")," ",REPT(" ",60)),60)),설정_코드표!$F$2:$F$101,0)),"⚠"&amp;TRIM(E331&amp;""))),"⚠"&amp;TRIM(E331&amp;""))</f>
        <v/>
      </c>
      <c r="N331" s="10">
        <f>IFERROR(IF(TRIM(F331&amp;"")="","",IF(AND(ISNUMBER(FIND(" ",TRIM(F331&amp;""))),ISNUMBER(MATCH(LEFT(TRIM(F331&amp;""),FIND(" ",TRIM(F331&amp;""))-1),설정_코드표!$J$2:$J$101,0)),ISNUMBER(MATCH(TRIM(RIGHT(SUBSTITUTE(TRIM(F331&amp;"")," ",REPT(" ",60)),60)),설정_코드표!$F$2:$F$101,0))),INDEX(설정_코드표!$K$2:$K$101,MATCH(LEFT(TRIM(F331&amp;""),FIND(" ",TRIM(F331&amp;""))-1),설정_코드표!$J$2:$J$101,0))&amp;" "&amp;INDEX(설정_코드표!$G$2:$G$101,MATCH(TRIM(RIGHT(SUBSTITUTE(TRIM(F331&amp;"")," ",REPT(" ",60)),60)),설정_코드표!$F$2:$F$101,0)),"⚠"&amp;TRIM(F331&amp;""))),"⚠"&amp;TRIM(F331&amp;""))</f>
        <v/>
      </c>
      <c r="O331" s="10">
        <f>IFERROR(IF(TRIM(G331&amp;"")="","",IF(AND(ISNUMBER(FIND(" ",TRIM(G331&amp;""))),ISNUMBER(MATCH(LEFT(TRIM(G331&amp;""),FIND(" ",TRIM(G331&amp;""))-1),설정_코드표!$J$2:$J$101,0)),ISNUMBER(MATCH(TRIM(RIGHT(SUBSTITUTE(TRIM(G331&amp;"")," ",REPT(" ",60)),60)),설정_코드표!$F$2:$F$101,0))),INDEX(설정_코드표!$K$2:$K$101,MATCH(LEFT(TRIM(G331&amp;""),FIND(" ",TRIM(G331&amp;""))-1),설정_코드표!$J$2:$J$101,0))&amp;" "&amp;INDEX(설정_코드표!$G$2:$G$101,MATCH(TRIM(RIGHT(SUBSTITUTE(TRIM(G331&amp;"")," ",REPT(" ",60)),60)),설정_코드표!$F$2:$F$101,0)),"⚠"&amp;TRIM(G331&amp;""))),"⚠"&amp;TRIM(G331&amp;""))</f>
        <v/>
      </c>
      <c r="P331" s="10">
        <f>IFERROR(IF(TRIM(H331&amp;"")="","",IF(AND(ISNUMBER(FIND(" ",TRIM(H331&amp;""))),ISNUMBER(MATCH(LEFT(TRIM(H331&amp;""),FIND(" ",TRIM(H331&amp;""))-1),설정_코드표!$J$2:$J$101,0)),ISNUMBER(MATCH(TRIM(RIGHT(SUBSTITUTE(TRIM(H331&amp;"")," ",REPT(" ",60)),60)),설정_코드표!$F$2:$F$101,0))),INDEX(설정_코드표!$K$2:$K$101,MATCH(LEFT(TRIM(H331&amp;""),FIND(" ",TRIM(H331&amp;""))-1),설정_코드표!$J$2:$J$101,0))&amp;" "&amp;INDEX(설정_코드표!$G$2:$G$101,MATCH(TRIM(RIGHT(SUBSTITUTE(TRIM(H331&amp;"")," ",REPT(" ",60)),60)),설정_코드표!$F$2:$F$101,0)),"⚠"&amp;TRIM(H331&amp;""))),"⚠"&amp;TRIM(H331&amp;""))</f>
        <v/>
      </c>
      <c r="Q331" s="10">
        <f>IFERROR(IF(TRIM(I331&amp;"")="","",IF(AND(ISNUMBER(FIND(" ",TRIM(I331&amp;""))),ISNUMBER(MATCH(LEFT(TRIM(I331&amp;""),FIND(" ",TRIM(I331&amp;""))-1),설정_코드표!$J$2:$J$101,0)),ISNUMBER(MATCH(TRIM(RIGHT(SUBSTITUTE(TRIM(I331&amp;"")," ",REPT(" ",60)),60)),설정_코드표!$F$2:$F$101,0))),INDEX(설정_코드표!$K$2:$K$101,MATCH(LEFT(TRIM(I331&amp;""),FIND(" ",TRIM(I331&amp;""))-1),설정_코드표!$J$2:$J$101,0))&amp;" "&amp;INDEX(설정_코드표!$G$2:$G$101,MATCH(TRIM(RIGHT(SUBSTITUTE(TRIM(I331&amp;"")," ",REPT(" ",60)),60)),설정_코드표!$F$2:$F$101,0)),"⚠"&amp;TRIM(I331&amp;""))),"⚠"&amp;TRIM(I331&amp;""))</f>
        <v/>
      </c>
      <c r="R331" s="10">
        <f>IFERROR(IF(TRIM(J331&amp;"")="","",IF(AND(ISNUMBER(FIND(" ",TRIM(J331&amp;""))),ISNUMBER(MATCH(LEFT(TRIM(J331&amp;""),FIND(" ",TRIM(J331&amp;""))-1),설정_코드표!$J$2:$J$101,0)),ISNUMBER(MATCH(TRIM(RIGHT(SUBSTITUTE(TRIM(J331&amp;"")," ",REPT(" ",60)),60)),설정_코드표!$F$2:$F$101,0))),INDEX(설정_코드표!$K$2:$K$101,MATCH(LEFT(TRIM(J331&amp;""),FIND(" ",TRIM(J331&amp;""))-1),설정_코드표!$J$2:$J$101,0))&amp;" "&amp;INDEX(설정_코드표!$G$2:$G$101,MATCH(TRIM(RIGHT(SUBSTITUTE(TRIM(J331&amp;"")," ",REPT(" ",60)),60)),설정_코드표!$F$2:$F$101,0)),"⚠"&amp;TRIM(J331&amp;""))),"⚠"&amp;TRIM(J331&amp;""))</f>
        <v/>
      </c>
      <c r="S331" s="11">
        <f>IF(K331="","",IFERROR(IF(AND(ROUND((VALUE(K331&amp;"")-INT(VALUE(K331&amp;"")))*100,0)&gt;=1,ROUND((VALUE(K331&amp;"")-INT(VALUE(K331&amp;"")))*100,0)&lt;=12,INT(VALUE(K331&amp;""))&gt;=1900),DATE(INT(VALUE(K331&amp;"")),ROUND((VALUE(K331&amp;"")-INT(VALUE(K331&amp;"")))*100,0),1),K331&amp;""),K331&amp;""))</f>
        <v/>
      </c>
      <c r="T331" s="10">
        <f>COUNTIF(M331:R331,"⚠*")</f>
        <v/>
      </c>
    </row>
    <row r="332"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M332" s="10">
        <f>IFERROR(IF(TRIM(E332&amp;"")="","",IF(AND(ISNUMBER(FIND(" ",TRIM(E332&amp;""))),ISNUMBER(MATCH(LEFT(TRIM(E332&amp;""),FIND(" ",TRIM(E332&amp;""))-1),설정_코드표!$J$2:$J$101,0)),ISNUMBER(MATCH(TRIM(RIGHT(SUBSTITUTE(TRIM(E332&amp;"")," ",REPT(" ",60)),60)),설정_코드표!$F$2:$F$101,0))),INDEX(설정_코드표!$K$2:$K$101,MATCH(LEFT(TRIM(E332&amp;""),FIND(" ",TRIM(E332&amp;""))-1),설정_코드표!$J$2:$J$101,0))&amp;" "&amp;INDEX(설정_코드표!$G$2:$G$101,MATCH(TRIM(RIGHT(SUBSTITUTE(TRIM(E332&amp;"")," ",REPT(" ",60)),60)),설정_코드표!$F$2:$F$101,0)),"⚠"&amp;TRIM(E332&amp;""))),"⚠"&amp;TRIM(E332&amp;""))</f>
        <v/>
      </c>
      <c r="N332" s="10">
        <f>IFERROR(IF(TRIM(F332&amp;"")="","",IF(AND(ISNUMBER(FIND(" ",TRIM(F332&amp;""))),ISNUMBER(MATCH(LEFT(TRIM(F332&amp;""),FIND(" ",TRIM(F332&amp;""))-1),설정_코드표!$J$2:$J$101,0)),ISNUMBER(MATCH(TRIM(RIGHT(SUBSTITUTE(TRIM(F332&amp;"")," ",REPT(" ",60)),60)),설정_코드표!$F$2:$F$101,0))),INDEX(설정_코드표!$K$2:$K$101,MATCH(LEFT(TRIM(F332&amp;""),FIND(" ",TRIM(F332&amp;""))-1),설정_코드표!$J$2:$J$101,0))&amp;" "&amp;INDEX(설정_코드표!$G$2:$G$101,MATCH(TRIM(RIGHT(SUBSTITUTE(TRIM(F332&amp;"")," ",REPT(" ",60)),60)),설정_코드표!$F$2:$F$101,0)),"⚠"&amp;TRIM(F332&amp;""))),"⚠"&amp;TRIM(F332&amp;""))</f>
        <v/>
      </c>
      <c r="O332" s="10">
        <f>IFERROR(IF(TRIM(G332&amp;"")="","",IF(AND(ISNUMBER(FIND(" ",TRIM(G332&amp;""))),ISNUMBER(MATCH(LEFT(TRIM(G332&amp;""),FIND(" ",TRIM(G332&amp;""))-1),설정_코드표!$J$2:$J$101,0)),ISNUMBER(MATCH(TRIM(RIGHT(SUBSTITUTE(TRIM(G332&amp;"")," ",REPT(" ",60)),60)),설정_코드표!$F$2:$F$101,0))),INDEX(설정_코드표!$K$2:$K$101,MATCH(LEFT(TRIM(G332&amp;""),FIND(" ",TRIM(G332&amp;""))-1),설정_코드표!$J$2:$J$101,0))&amp;" "&amp;INDEX(설정_코드표!$G$2:$G$101,MATCH(TRIM(RIGHT(SUBSTITUTE(TRIM(G332&amp;"")," ",REPT(" ",60)),60)),설정_코드표!$F$2:$F$101,0)),"⚠"&amp;TRIM(G332&amp;""))),"⚠"&amp;TRIM(G332&amp;""))</f>
        <v/>
      </c>
      <c r="P332" s="10">
        <f>IFERROR(IF(TRIM(H332&amp;"")="","",IF(AND(ISNUMBER(FIND(" ",TRIM(H332&amp;""))),ISNUMBER(MATCH(LEFT(TRIM(H332&amp;""),FIND(" ",TRIM(H332&amp;""))-1),설정_코드표!$J$2:$J$101,0)),ISNUMBER(MATCH(TRIM(RIGHT(SUBSTITUTE(TRIM(H332&amp;"")," ",REPT(" ",60)),60)),설정_코드표!$F$2:$F$101,0))),INDEX(설정_코드표!$K$2:$K$101,MATCH(LEFT(TRIM(H332&amp;""),FIND(" ",TRIM(H332&amp;""))-1),설정_코드표!$J$2:$J$101,0))&amp;" "&amp;INDEX(설정_코드표!$G$2:$G$101,MATCH(TRIM(RIGHT(SUBSTITUTE(TRIM(H332&amp;"")," ",REPT(" ",60)),60)),설정_코드표!$F$2:$F$101,0)),"⚠"&amp;TRIM(H332&amp;""))),"⚠"&amp;TRIM(H332&amp;""))</f>
        <v/>
      </c>
      <c r="Q332" s="10">
        <f>IFERROR(IF(TRIM(I332&amp;"")="","",IF(AND(ISNUMBER(FIND(" ",TRIM(I332&amp;""))),ISNUMBER(MATCH(LEFT(TRIM(I332&amp;""),FIND(" ",TRIM(I332&amp;""))-1),설정_코드표!$J$2:$J$101,0)),ISNUMBER(MATCH(TRIM(RIGHT(SUBSTITUTE(TRIM(I332&amp;"")," ",REPT(" ",60)),60)),설정_코드표!$F$2:$F$101,0))),INDEX(설정_코드표!$K$2:$K$101,MATCH(LEFT(TRIM(I332&amp;""),FIND(" ",TRIM(I332&amp;""))-1),설정_코드표!$J$2:$J$101,0))&amp;" "&amp;INDEX(설정_코드표!$G$2:$G$101,MATCH(TRIM(RIGHT(SUBSTITUTE(TRIM(I332&amp;"")," ",REPT(" ",60)),60)),설정_코드표!$F$2:$F$101,0)),"⚠"&amp;TRIM(I332&amp;""))),"⚠"&amp;TRIM(I332&amp;""))</f>
        <v/>
      </c>
      <c r="R332" s="10">
        <f>IFERROR(IF(TRIM(J332&amp;"")="","",IF(AND(ISNUMBER(FIND(" ",TRIM(J332&amp;""))),ISNUMBER(MATCH(LEFT(TRIM(J332&amp;""),FIND(" ",TRIM(J332&amp;""))-1),설정_코드표!$J$2:$J$101,0)),ISNUMBER(MATCH(TRIM(RIGHT(SUBSTITUTE(TRIM(J332&amp;"")," ",REPT(" ",60)),60)),설정_코드표!$F$2:$F$101,0))),INDEX(설정_코드표!$K$2:$K$101,MATCH(LEFT(TRIM(J332&amp;""),FIND(" ",TRIM(J332&amp;""))-1),설정_코드표!$J$2:$J$101,0))&amp;" "&amp;INDEX(설정_코드표!$G$2:$G$101,MATCH(TRIM(RIGHT(SUBSTITUTE(TRIM(J332&amp;"")," ",REPT(" ",60)),60)),설정_코드표!$F$2:$F$101,0)),"⚠"&amp;TRIM(J332&amp;""))),"⚠"&amp;TRIM(J332&amp;""))</f>
        <v/>
      </c>
      <c r="S332" s="11">
        <f>IF(K332="","",IFERROR(IF(AND(ROUND((VALUE(K332&amp;"")-INT(VALUE(K332&amp;"")))*100,0)&gt;=1,ROUND((VALUE(K332&amp;"")-INT(VALUE(K332&amp;"")))*100,0)&lt;=12,INT(VALUE(K332&amp;""))&gt;=1900),DATE(INT(VALUE(K332&amp;"")),ROUND((VALUE(K332&amp;"")-INT(VALUE(K332&amp;"")))*100,0),1),K332&amp;""),K332&amp;""))</f>
        <v/>
      </c>
      <c r="T332" s="10">
        <f>COUNTIF(M332:R332,"⚠*")</f>
        <v/>
      </c>
    </row>
    <row r="333"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M333" s="10">
        <f>IFERROR(IF(TRIM(E333&amp;"")="","",IF(AND(ISNUMBER(FIND(" ",TRIM(E333&amp;""))),ISNUMBER(MATCH(LEFT(TRIM(E333&amp;""),FIND(" ",TRIM(E333&amp;""))-1),설정_코드표!$J$2:$J$101,0)),ISNUMBER(MATCH(TRIM(RIGHT(SUBSTITUTE(TRIM(E333&amp;"")," ",REPT(" ",60)),60)),설정_코드표!$F$2:$F$101,0))),INDEX(설정_코드표!$K$2:$K$101,MATCH(LEFT(TRIM(E333&amp;""),FIND(" ",TRIM(E333&amp;""))-1),설정_코드표!$J$2:$J$101,0))&amp;" "&amp;INDEX(설정_코드표!$G$2:$G$101,MATCH(TRIM(RIGHT(SUBSTITUTE(TRIM(E333&amp;"")," ",REPT(" ",60)),60)),설정_코드표!$F$2:$F$101,0)),"⚠"&amp;TRIM(E333&amp;""))),"⚠"&amp;TRIM(E333&amp;""))</f>
        <v/>
      </c>
      <c r="N333" s="10">
        <f>IFERROR(IF(TRIM(F333&amp;"")="","",IF(AND(ISNUMBER(FIND(" ",TRIM(F333&amp;""))),ISNUMBER(MATCH(LEFT(TRIM(F333&amp;""),FIND(" ",TRIM(F333&amp;""))-1),설정_코드표!$J$2:$J$101,0)),ISNUMBER(MATCH(TRIM(RIGHT(SUBSTITUTE(TRIM(F333&amp;"")," ",REPT(" ",60)),60)),설정_코드표!$F$2:$F$101,0))),INDEX(설정_코드표!$K$2:$K$101,MATCH(LEFT(TRIM(F333&amp;""),FIND(" ",TRIM(F333&amp;""))-1),설정_코드표!$J$2:$J$101,0))&amp;" "&amp;INDEX(설정_코드표!$G$2:$G$101,MATCH(TRIM(RIGHT(SUBSTITUTE(TRIM(F333&amp;"")," ",REPT(" ",60)),60)),설정_코드표!$F$2:$F$101,0)),"⚠"&amp;TRIM(F333&amp;""))),"⚠"&amp;TRIM(F333&amp;""))</f>
        <v/>
      </c>
      <c r="O333" s="10">
        <f>IFERROR(IF(TRIM(G333&amp;"")="","",IF(AND(ISNUMBER(FIND(" ",TRIM(G333&amp;""))),ISNUMBER(MATCH(LEFT(TRIM(G333&amp;""),FIND(" ",TRIM(G333&amp;""))-1),설정_코드표!$J$2:$J$101,0)),ISNUMBER(MATCH(TRIM(RIGHT(SUBSTITUTE(TRIM(G333&amp;"")," ",REPT(" ",60)),60)),설정_코드표!$F$2:$F$101,0))),INDEX(설정_코드표!$K$2:$K$101,MATCH(LEFT(TRIM(G333&amp;""),FIND(" ",TRIM(G333&amp;""))-1),설정_코드표!$J$2:$J$101,0))&amp;" "&amp;INDEX(설정_코드표!$G$2:$G$101,MATCH(TRIM(RIGHT(SUBSTITUTE(TRIM(G333&amp;"")," ",REPT(" ",60)),60)),설정_코드표!$F$2:$F$101,0)),"⚠"&amp;TRIM(G333&amp;""))),"⚠"&amp;TRIM(G333&amp;""))</f>
        <v/>
      </c>
      <c r="P333" s="10">
        <f>IFERROR(IF(TRIM(H333&amp;"")="","",IF(AND(ISNUMBER(FIND(" ",TRIM(H333&amp;""))),ISNUMBER(MATCH(LEFT(TRIM(H333&amp;""),FIND(" ",TRIM(H333&amp;""))-1),설정_코드표!$J$2:$J$101,0)),ISNUMBER(MATCH(TRIM(RIGHT(SUBSTITUTE(TRIM(H333&amp;"")," ",REPT(" ",60)),60)),설정_코드표!$F$2:$F$101,0))),INDEX(설정_코드표!$K$2:$K$101,MATCH(LEFT(TRIM(H333&amp;""),FIND(" ",TRIM(H333&amp;""))-1),설정_코드표!$J$2:$J$101,0))&amp;" "&amp;INDEX(설정_코드표!$G$2:$G$101,MATCH(TRIM(RIGHT(SUBSTITUTE(TRIM(H333&amp;"")," ",REPT(" ",60)),60)),설정_코드표!$F$2:$F$101,0)),"⚠"&amp;TRIM(H333&amp;""))),"⚠"&amp;TRIM(H333&amp;""))</f>
        <v/>
      </c>
      <c r="Q333" s="10">
        <f>IFERROR(IF(TRIM(I333&amp;"")="","",IF(AND(ISNUMBER(FIND(" ",TRIM(I333&amp;""))),ISNUMBER(MATCH(LEFT(TRIM(I333&amp;""),FIND(" ",TRIM(I333&amp;""))-1),설정_코드표!$J$2:$J$101,0)),ISNUMBER(MATCH(TRIM(RIGHT(SUBSTITUTE(TRIM(I333&amp;"")," ",REPT(" ",60)),60)),설정_코드표!$F$2:$F$101,0))),INDEX(설정_코드표!$K$2:$K$101,MATCH(LEFT(TRIM(I333&amp;""),FIND(" ",TRIM(I333&amp;""))-1),설정_코드표!$J$2:$J$101,0))&amp;" "&amp;INDEX(설정_코드표!$G$2:$G$101,MATCH(TRIM(RIGHT(SUBSTITUTE(TRIM(I333&amp;"")," ",REPT(" ",60)),60)),설정_코드표!$F$2:$F$101,0)),"⚠"&amp;TRIM(I333&amp;""))),"⚠"&amp;TRIM(I333&amp;""))</f>
        <v/>
      </c>
      <c r="R333" s="10">
        <f>IFERROR(IF(TRIM(J333&amp;"")="","",IF(AND(ISNUMBER(FIND(" ",TRIM(J333&amp;""))),ISNUMBER(MATCH(LEFT(TRIM(J333&amp;""),FIND(" ",TRIM(J333&amp;""))-1),설정_코드표!$J$2:$J$101,0)),ISNUMBER(MATCH(TRIM(RIGHT(SUBSTITUTE(TRIM(J333&amp;"")," ",REPT(" ",60)),60)),설정_코드표!$F$2:$F$101,0))),INDEX(설정_코드표!$K$2:$K$101,MATCH(LEFT(TRIM(J333&amp;""),FIND(" ",TRIM(J333&amp;""))-1),설정_코드표!$J$2:$J$101,0))&amp;" "&amp;INDEX(설정_코드표!$G$2:$G$101,MATCH(TRIM(RIGHT(SUBSTITUTE(TRIM(J333&amp;"")," ",REPT(" ",60)),60)),설정_코드표!$F$2:$F$101,0)),"⚠"&amp;TRIM(J333&amp;""))),"⚠"&amp;TRIM(J333&amp;""))</f>
        <v/>
      </c>
      <c r="S333" s="11">
        <f>IF(K333="","",IFERROR(IF(AND(ROUND((VALUE(K333&amp;"")-INT(VALUE(K333&amp;"")))*100,0)&gt;=1,ROUND((VALUE(K333&amp;"")-INT(VALUE(K333&amp;"")))*100,0)&lt;=12,INT(VALUE(K333&amp;""))&gt;=1900),DATE(INT(VALUE(K333&amp;"")),ROUND((VALUE(K333&amp;"")-INT(VALUE(K333&amp;"")))*100,0),1),K333&amp;""),K333&amp;""))</f>
        <v/>
      </c>
      <c r="T333" s="10">
        <f>COUNTIF(M333:R333,"⚠*")</f>
        <v/>
      </c>
    </row>
    <row r="334"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M334" s="10">
        <f>IFERROR(IF(TRIM(E334&amp;"")="","",IF(AND(ISNUMBER(FIND(" ",TRIM(E334&amp;""))),ISNUMBER(MATCH(LEFT(TRIM(E334&amp;""),FIND(" ",TRIM(E334&amp;""))-1),설정_코드표!$J$2:$J$101,0)),ISNUMBER(MATCH(TRIM(RIGHT(SUBSTITUTE(TRIM(E334&amp;"")," ",REPT(" ",60)),60)),설정_코드표!$F$2:$F$101,0))),INDEX(설정_코드표!$K$2:$K$101,MATCH(LEFT(TRIM(E334&amp;""),FIND(" ",TRIM(E334&amp;""))-1),설정_코드표!$J$2:$J$101,0))&amp;" "&amp;INDEX(설정_코드표!$G$2:$G$101,MATCH(TRIM(RIGHT(SUBSTITUTE(TRIM(E334&amp;"")," ",REPT(" ",60)),60)),설정_코드표!$F$2:$F$101,0)),"⚠"&amp;TRIM(E334&amp;""))),"⚠"&amp;TRIM(E334&amp;""))</f>
        <v/>
      </c>
      <c r="N334" s="10">
        <f>IFERROR(IF(TRIM(F334&amp;"")="","",IF(AND(ISNUMBER(FIND(" ",TRIM(F334&amp;""))),ISNUMBER(MATCH(LEFT(TRIM(F334&amp;""),FIND(" ",TRIM(F334&amp;""))-1),설정_코드표!$J$2:$J$101,0)),ISNUMBER(MATCH(TRIM(RIGHT(SUBSTITUTE(TRIM(F334&amp;"")," ",REPT(" ",60)),60)),설정_코드표!$F$2:$F$101,0))),INDEX(설정_코드표!$K$2:$K$101,MATCH(LEFT(TRIM(F334&amp;""),FIND(" ",TRIM(F334&amp;""))-1),설정_코드표!$J$2:$J$101,0))&amp;" "&amp;INDEX(설정_코드표!$G$2:$G$101,MATCH(TRIM(RIGHT(SUBSTITUTE(TRIM(F334&amp;"")," ",REPT(" ",60)),60)),설정_코드표!$F$2:$F$101,0)),"⚠"&amp;TRIM(F334&amp;""))),"⚠"&amp;TRIM(F334&amp;""))</f>
        <v/>
      </c>
      <c r="O334" s="10">
        <f>IFERROR(IF(TRIM(G334&amp;"")="","",IF(AND(ISNUMBER(FIND(" ",TRIM(G334&amp;""))),ISNUMBER(MATCH(LEFT(TRIM(G334&amp;""),FIND(" ",TRIM(G334&amp;""))-1),설정_코드표!$J$2:$J$101,0)),ISNUMBER(MATCH(TRIM(RIGHT(SUBSTITUTE(TRIM(G334&amp;"")," ",REPT(" ",60)),60)),설정_코드표!$F$2:$F$101,0))),INDEX(설정_코드표!$K$2:$K$101,MATCH(LEFT(TRIM(G334&amp;""),FIND(" ",TRIM(G334&amp;""))-1),설정_코드표!$J$2:$J$101,0))&amp;" "&amp;INDEX(설정_코드표!$G$2:$G$101,MATCH(TRIM(RIGHT(SUBSTITUTE(TRIM(G334&amp;"")," ",REPT(" ",60)),60)),설정_코드표!$F$2:$F$101,0)),"⚠"&amp;TRIM(G334&amp;""))),"⚠"&amp;TRIM(G334&amp;""))</f>
        <v/>
      </c>
      <c r="P334" s="10">
        <f>IFERROR(IF(TRIM(H334&amp;"")="","",IF(AND(ISNUMBER(FIND(" ",TRIM(H334&amp;""))),ISNUMBER(MATCH(LEFT(TRIM(H334&amp;""),FIND(" ",TRIM(H334&amp;""))-1),설정_코드표!$J$2:$J$101,0)),ISNUMBER(MATCH(TRIM(RIGHT(SUBSTITUTE(TRIM(H334&amp;"")," ",REPT(" ",60)),60)),설정_코드표!$F$2:$F$101,0))),INDEX(설정_코드표!$K$2:$K$101,MATCH(LEFT(TRIM(H334&amp;""),FIND(" ",TRIM(H334&amp;""))-1),설정_코드표!$J$2:$J$101,0))&amp;" "&amp;INDEX(설정_코드표!$G$2:$G$101,MATCH(TRIM(RIGHT(SUBSTITUTE(TRIM(H334&amp;"")," ",REPT(" ",60)),60)),설정_코드표!$F$2:$F$101,0)),"⚠"&amp;TRIM(H334&amp;""))),"⚠"&amp;TRIM(H334&amp;""))</f>
        <v/>
      </c>
      <c r="Q334" s="10">
        <f>IFERROR(IF(TRIM(I334&amp;"")="","",IF(AND(ISNUMBER(FIND(" ",TRIM(I334&amp;""))),ISNUMBER(MATCH(LEFT(TRIM(I334&amp;""),FIND(" ",TRIM(I334&amp;""))-1),설정_코드표!$J$2:$J$101,0)),ISNUMBER(MATCH(TRIM(RIGHT(SUBSTITUTE(TRIM(I334&amp;"")," ",REPT(" ",60)),60)),설정_코드표!$F$2:$F$101,0))),INDEX(설정_코드표!$K$2:$K$101,MATCH(LEFT(TRIM(I334&amp;""),FIND(" ",TRIM(I334&amp;""))-1),설정_코드표!$J$2:$J$101,0))&amp;" "&amp;INDEX(설정_코드표!$G$2:$G$101,MATCH(TRIM(RIGHT(SUBSTITUTE(TRIM(I334&amp;"")," ",REPT(" ",60)),60)),설정_코드표!$F$2:$F$101,0)),"⚠"&amp;TRIM(I334&amp;""))),"⚠"&amp;TRIM(I334&amp;""))</f>
        <v/>
      </c>
      <c r="R334" s="10">
        <f>IFERROR(IF(TRIM(J334&amp;"")="","",IF(AND(ISNUMBER(FIND(" ",TRIM(J334&amp;""))),ISNUMBER(MATCH(LEFT(TRIM(J334&amp;""),FIND(" ",TRIM(J334&amp;""))-1),설정_코드표!$J$2:$J$101,0)),ISNUMBER(MATCH(TRIM(RIGHT(SUBSTITUTE(TRIM(J334&amp;"")," ",REPT(" ",60)),60)),설정_코드표!$F$2:$F$101,0))),INDEX(설정_코드표!$K$2:$K$101,MATCH(LEFT(TRIM(J334&amp;""),FIND(" ",TRIM(J334&amp;""))-1),설정_코드표!$J$2:$J$101,0))&amp;" "&amp;INDEX(설정_코드표!$G$2:$G$101,MATCH(TRIM(RIGHT(SUBSTITUTE(TRIM(J334&amp;"")," ",REPT(" ",60)),60)),설정_코드표!$F$2:$F$101,0)),"⚠"&amp;TRIM(J334&amp;""))),"⚠"&amp;TRIM(J334&amp;""))</f>
        <v/>
      </c>
      <c r="S334" s="11">
        <f>IF(K334="","",IFERROR(IF(AND(ROUND((VALUE(K334&amp;"")-INT(VALUE(K334&amp;"")))*100,0)&gt;=1,ROUND((VALUE(K334&amp;"")-INT(VALUE(K334&amp;"")))*100,0)&lt;=12,INT(VALUE(K334&amp;""))&gt;=1900),DATE(INT(VALUE(K334&amp;"")),ROUND((VALUE(K334&amp;"")-INT(VALUE(K334&amp;"")))*100,0),1),K334&amp;""),K334&amp;""))</f>
        <v/>
      </c>
      <c r="T334" s="10">
        <f>COUNTIF(M334:R334,"⚠*")</f>
        <v/>
      </c>
    </row>
    <row r="335"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M335" s="10">
        <f>IFERROR(IF(TRIM(E335&amp;"")="","",IF(AND(ISNUMBER(FIND(" ",TRIM(E335&amp;""))),ISNUMBER(MATCH(LEFT(TRIM(E335&amp;""),FIND(" ",TRIM(E335&amp;""))-1),설정_코드표!$J$2:$J$101,0)),ISNUMBER(MATCH(TRIM(RIGHT(SUBSTITUTE(TRIM(E335&amp;"")," ",REPT(" ",60)),60)),설정_코드표!$F$2:$F$101,0))),INDEX(설정_코드표!$K$2:$K$101,MATCH(LEFT(TRIM(E335&amp;""),FIND(" ",TRIM(E335&amp;""))-1),설정_코드표!$J$2:$J$101,0))&amp;" "&amp;INDEX(설정_코드표!$G$2:$G$101,MATCH(TRIM(RIGHT(SUBSTITUTE(TRIM(E335&amp;"")," ",REPT(" ",60)),60)),설정_코드표!$F$2:$F$101,0)),"⚠"&amp;TRIM(E335&amp;""))),"⚠"&amp;TRIM(E335&amp;""))</f>
        <v/>
      </c>
      <c r="N335" s="10">
        <f>IFERROR(IF(TRIM(F335&amp;"")="","",IF(AND(ISNUMBER(FIND(" ",TRIM(F335&amp;""))),ISNUMBER(MATCH(LEFT(TRIM(F335&amp;""),FIND(" ",TRIM(F335&amp;""))-1),설정_코드표!$J$2:$J$101,0)),ISNUMBER(MATCH(TRIM(RIGHT(SUBSTITUTE(TRIM(F335&amp;"")," ",REPT(" ",60)),60)),설정_코드표!$F$2:$F$101,0))),INDEX(설정_코드표!$K$2:$K$101,MATCH(LEFT(TRIM(F335&amp;""),FIND(" ",TRIM(F335&amp;""))-1),설정_코드표!$J$2:$J$101,0))&amp;" "&amp;INDEX(설정_코드표!$G$2:$G$101,MATCH(TRIM(RIGHT(SUBSTITUTE(TRIM(F335&amp;"")," ",REPT(" ",60)),60)),설정_코드표!$F$2:$F$101,0)),"⚠"&amp;TRIM(F335&amp;""))),"⚠"&amp;TRIM(F335&amp;""))</f>
        <v/>
      </c>
      <c r="O335" s="10">
        <f>IFERROR(IF(TRIM(G335&amp;"")="","",IF(AND(ISNUMBER(FIND(" ",TRIM(G335&amp;""))),ISNUMBER(MATCH(LEFT(TRIM(G335&amp;""),FIND(" ",TRIM(G335&amp;""))-1),설정_코드표!$J$2:$J$101,0)),ISNUMBER(MATCH(TRIM(RIGHT(SUBSTITUTE(TRIM(G335&amp;"")," ",REPT(" ",60)),60)),설정_코드표!$F$2:$F$101,0))),INDEX(설정_코드표!$K$2:$K$101,MATCH(LEFT(TRIM(G335&amp;""),FIND(" ",TRIM(G335&amp;""))-1),설정_코드표!$J$2:$J$101,0))&amp;" "&amp;INDEX(설정_코드표!$G$2:$G$101,MATCH(TRIM(RIGHT(SUBSTITUTE(TRIM(G335&amp;"")," ",REPT(" ",60)),60)),설정_코드표!$F$2:$F$101,0)),"⚠"&amp;TRIM(G335&amp;""))),"⚠"&amp;TRIM(G335&amp;""))</f>
        <v/>
      </c>
      <c r="P335" s="10">
        <f>IFERROR(IF(TRIM(H335&amp;"")="","",IF(AND(ISNUMBER(FIND(" ",TRIM(H335&amp;""))),ISNUMBER(MATCH(LEFT(TRIM(H335&amp;""),FIND(" ",TRIM(H335&amp;""))-1),설정_코드표!$J$2:$J$101,0)),ISNUMBER(MATCH(TRIM(RIGHT(SUBSTITUTE(TRIM(H335&amp;"")," ",REPT(" ",60)),60)),설정_코드표!$F$2:$F$101,0))),INDEX(설정_코드표!$K$2:$K$101,MATCH(LEFT(TRIM(H335&amp;""),FIND(" ",TRIM(H335&amp;""))-1),설정_코드표!$J$2:$J$101,0))&amp;" "&amp;INDEX(설정_코드표!$G$2:$G$101,MATCH(TRIM(RIGHT(SUBSTITUTE(TRIM(H335&amp;"")," ",REPT(" ",60)),60)),설정_코드표!$F$2:$F$101,0)),"⚠"&amp;TRIM(H335&amp;""))),"⚠"&amp;TRIM(H335&amp;""))</f>
        <v/>
      </c>
      <c r="Q335" s="10">
        <f>IFERROR(IF(TRIM(I335&amp;"")="","",IF(AND(ISNUMBER(FIND(" ",TRIM(I335&amp;""))),ISNUMBER(MATCH(LEFT(TRIM(I335&amp;""),FIND(" ",TRIM(I335&amp;""))-1),설정_코드표!$J$2:$J$101,0)),ISNUMBER(MATCH(TRIM(RIGHT(SUBSTITUTE(TRIM(I335&amp;"")," ",REPT(" ",60)),60)),설정_코드표!$F$2:$F$101,0))),INDEX(설정_코드표!$K$2:$K$101,MATCH(LEFT(TRIM(I335&amp;""),FIND(" ",TRIM(I335&amp;""))-1),설정_코드표!$J$2:$J$101,0))&amp;" "&amp;INDEX(설정_코드표!$G$2:$G$101,MATCH(TRIM(RIGHT(SUBSTITUTE(TRIM(I335&amp;"")," ",REPT(" ",60)),60)),설정_코드표!$F$2:$F$101,0)),"⚠"&amp;TRIM(I335&amp;""))),"⚠"&amp;TRIM(I335&amp;""))</f>
        <v/>
      </c>
      <c r="R335" s="10">
        <f>IFERROR(IF(TRIM(J335&amp;"")="","",IF(AND(ISNUMBER(FIND(" ",TRIM(J335&amp;""))),ISNUMBER(MATCH(LEFT(TRIM(J335&amp;""),FIND(" ",TRIM(J335&amp;""))-1),설정_코드표!$J$2:$J$101,0)),ISNUMBER(MATCH(TRIM(RIGHT(SUBSTITUTE(TRIM(J335&amp;"")," ",REPT(" ",60)),60)),설정_코드표!$F$2:$F$101,0))),INDEX(설정_코드표!$K$2:$K$101,MATCH(LEFT(TRIM(J335&amp;""),FIND(" ",TRIM(J335&amp;""))-1),설정_코드표!$J$2:$J$101,0))&amp;" "&amp;INDEX(설정_코드표!$G$2:$G$101,MATCH(TRIM(RIGHT(SUBSTITUTE(TRIM(J335&amp;"")," ",REPT(" ",60)),60)),설정_코드표!$F$2:$F$101,0)),"⚠"&amp;TRIM(J335&amp;""))),"⚠"&amp;TRIM(J335&amp;""))</f>
        <v/>
      </c>
      <c r="S335" s="11">
        <f>IF(K335="","",IFERROR(IF(AND(ROUND((VALUE(K335&amp;"")-INT(VALUE(K335&amp;"")))*100,0)&gt;=1,ROUND((VALUE(K335&amp;"")-INT(VALUE(K335&amp;"")))*100,0)&lt;=12,INT(VALUE(K335&amp;""))&gt;=1900),DATE(INT(VALUE(K335&amp;"")),ROUND((VALUE(K335&amp;"")-INT(VALUE(K335&amp;"")))*100,0),1),K335&amp;""),K335&amp;""))</f>
        <v/>
      </c>
      <c r="T335" s="10">
        <f>COUNTIF(M335:R335,"⚠*")</f>
        <v/>
      </c>
    </row>
    <row r="336"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M336" s="10">
        <f>IFERROR(IF(TRIM(E336&amp;"")="","",IF(AND(ISNUMBER(FIND(" ",TRIM(E336&amp;""))),ISNUMBER(MATCH(LEFT(TRIM(E336&amp;""),FIND(" ",TRIM(E336&amp;""))-1),설정_코드표!$J$2:$J$101,0)),ISNUMBER(MATCH(TRIM(RIGHT(SUBSTITUTE(TRIM(E336&amp;"")," ",REPT(" ",60)),60)),설정_코드표!$F$2:$F$101,0))),INDEX(설정_코드표!$K$2:$K$101,MATCH(LEFT(TRIM(E336&amp;""),FIND(" ",TRIM(E336&amp;""))-1),설정_코드표!$J$2:$J$101,0))&amp;" "&amp;INDEX(설정_코드표!$G$2:$G$101,MATCH(TRIM(RIGHT(SUBSTITUTE(TRIM(E336&amp;"")," ",REPT(" ",60)),60)),설정_코드표!$F$2:$F$101,0)),"⚠"&amp;TRIM(E336&amp;""))),"⚠"&amp;TRIM(E336&amp;""))</f>
        <v/>
      </c>
      <c r="N336" s="10">
        <f>IFERROR(IF(TRIM(F336&amp;"")="","",IF(AND(ISNUMBER(FIND(" ",TRIM(F336&amp;""))),ISNUMBER(MATCH(LEFT(TRIM(F336&amp;""),FIND(" ",TRIM(F336&amp;""))-1),설정_코드표!$J$2:$J$101,0)),ISNUMBER(MATCH(TRIM(RIGHT(SUBSTITUTE(TRIM(F336&amp;"")," ",REPT(" ",60)),60)),설정_코드표!$F$2:$F$101,0))),INDEX(설정_코드표!$K$2:$K$101,MATCH(LEFT(TRIM(F336&amp;""),FIND(" ",TRIM(F336&amp;""))-1),설정_코드표!$J$2:$J$101,0))&amp;" "&amp;INDEX(설정_코드표!$G$2:$G$101,MATCH(TRIM(RIGHT(SUBSTITUTE(TRIM(F336&amp;"")," ",REPT(" ",60)),60)),설정_코드표!$F$2:$F$101,0)),"⚠"&amp;TRIM(F336&amp;""))),"⚠"&amp;TRIM(F336&amp;""))</f>
        <v/>
      </c>
      <c r="O336" s="10">
        <f>IFERROR(IF(TRIM(G336&amp;"")="","",IF(AND(ISNUMBER(FIND(" ",TRIM(G336&amp;""))),ISNUMBER(MATCH(LEFT(TRIM(G336&amp;""),FIND(" ",TRIM(G336&amp;""))-1),설정_코드표!$J$2:$J$101,0)),ISNUMBER(MATCH(TRIM(RIGHT(SUBSTITUTE(TRIM(G336&amp;"")," ",REPT(" ",60)),60)),설정_코드표!$F$2:$F$101,0))),INDEX(설정_코드표!$K$2:$K$101,MATCH(LEFT(TRIM(G336&amp;""),FIND(" ",TRIM(G336&amp;""))-1),설정_코드표!$J$2:$J$101,0))&amp;" "&amp;INDEX(설정_코드표!$G$2:$G$101,MATCH(TRIM(RIGHT(SUBSTITUTE(TRIM(G336&amp;"")," ",REPT(" ",60)),60)),설정_코드표!$F$2:$F$101,0)),"⚠"&amp;TRIM(G336&amp;""))),"⚠"&amp;TRIM(G336&amp;""))</f>
        <v/>
      </c>
      <c r="P336" s="10">
        <f>IFERROR(IF(TRIM(H336&amp;"")="","",IF(AND(ISNUMBER(FIND(" ",TRIM(H336&amp;""))),ISNUMBER(MATCH(LEFT(TRIM(H336&amp;""),FIND(" ",TRIM(H336&amp;""))-1),설정_코드표!$J$2:$J$101,0)),ISNUMBER(MATCH(TRIM(RIGHT(SUBSTITUTE(TRIM(H336&amp;"")," ",REPT(" ",60)),60)),설정_코드표!$F$2:$F$101,0))),INDEX(설정_코드표!$K$2:$K$101,MATCH(LEFT(TRIM(H336&amp;""),FIND(" ",TRIM(H336&amp;""))-1),설정_코드표!$J$2:$J$101,0))&amp;" "&amp;INDEX(설정_코드표!$G$2:$G$101,MATCH(TRIM(RIGHT(SUBSTITUTE(TRIM(H336&amp;"")," ",REPT(" ",60)),60)),설정_코드표!$F$2:$F$101,0)),"⚠"&amp;TRIM(H336&amp;""))),"⚠"&amp;TRIM(H336&amp;""))</f>
        <v/>
      </c>
      <c r="Q336" s="10">
        <f>IFERROR(IF(TRIM(I336&amp;"")="","",IF(AND(ISNUMBER(FIND(" ",TRIM(I336&amp;""))),ISNUMBER(MATCH(LEFT(TRIM(I336&amp;""),FIND(" ",TRIM(I336&amp;""))-1),설정_코드표!$J$2:$J$101,0)),ISNUMBER(MATCH(TRIM(RIGHT(SUBSTITUTE(TRIM(I336&amp;"")," ",REPT(" ",60)),60)),설정_코드표!$F$2:$F$101,0))),INDEX(설정_코드표!$K$2:$K$101,MATCH(LEFT(TRIM(I336&amp;""),FIND(" ",TRIM(I336&amp;""))-1),설정_코드표!$J$2:$J$101,0))&amp;" "&amp;INDEX(설정_코드표!$G$2:$G$101,MATCH(TRIM(RIGHT(SUBSTITUTE(TRIM(I336&amp;"")," ",REPT(" ",60)),60)),설정_코드표!$F$2:$F$101,0)),"⚠"&amp;TRIM(I336&amp;""))),"⚠"&amp;TRIM(I336&amp;""))</f>
        <v/>
      </c>
      <c r="R336" s="10">
        <f>IFERROR(IF(TRIM(J336&amp;"")="","",IF(AND(ISNUMBER(FIND(" ",TRIM(J336&amp;""))),ISNUMBER(MATCH(LEFT(TRIM(J336&amp;""),FIND(" ",TRIM(J336&amp;""))-1),설정_코드표!$J$2:$J$101,0)),ISNUMBER(MATCH(TRIM(RIGHT(SUBSTITUTE(TRIM(J336&amp;"")," ",REPT(" ",60)),60)),설정_코드표!$F$2:$F$101,0))),INDEX(설정_코드표!$K$2:$K$101,MATCH(LEFT(TRIM(J336&amp;""),FIND(" ",TRIM(J336&amp;""))-1),설정_코드표!$J$2:$J$101,0))&amp;" "&amp;INDEX(설정_코드표!$G$2:$G$101,MATCH(TRIM(RIGHT(SUBSTITUTE(TRIM(J336&amp;"")," ",REPT(" ",60)),60)),설정_코드표!$F$2:$F$101,0)),"⚠"&amp;TRIM(J336&amp;""))),"⚠"&amp;TRIM(J336&amp;""))</f>
        <v/>
      </c>
      <c r="S336" s="11">
        <f>IF(K336="","",IFERROR(IF(AND(ROUND((VALUE(K336&amp;"")-INT(VALUE(K336&amp;"")))*100,0)&gt;=1,ROUND((VALUE(K336&amp;"")-INT(VALUE(K336&amp;"")))*100,0)&lt;=12,INT(VALUE(K336&amp;""))&gt;=1900),DATE(INT(VALUE(K336&amp;"")),ROUND((VALUE(K336&amp;"")-INT(VALUE(K336&amp;"")))*100,0),1),K336&amp;""),K336&amp;""))</f>
        <v/>
      </c>
      <c r="T336" s="10">
        <f>COUNTIF(M336:R336,"⚠*")</f>
        <v/>
      </c>
    </row>
    <row r="337"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M337" s="10">
        <f>IFERROR(IF(TRIM(E337&amp;"")="","",IF(AND(ISNUMBER(FIND(" ",TRIM(E337&amp;""))),ISNUMBER(MATCH(LEFT(TRIM(E337&amp;""),FIND(" ",TRIM(E337&amp;""))-1),설정_코드표!$J$2:$J$101,0)),ISNUMBER(MATCH(TRIM(RIGHT(SUBSTITUTE(TRIM(E337&amp;"")," ",REPT(" ",60)),60)),설정_코드표!$F$2:$F$101,0))),INDEX(설정_코드표!$K$2:$K$101,MATCH(LEFT(TRIM(E337&amp;""),FIND(" ",TRIM(E337&amp;""))-1),설정_코드표!$J$2:$J$101,0))&amp;" "&amp;INDEX(설정_코드표!$G$2:$G$101,MATCH(TRIM(RIGHT(SUBSTITUTE(TRIM(E337&amp;"")," ",REPT(" ",60)),60)),설정_코드표!$F$2:$F$101,0)),"⚠"&amp;TRIM(E337&amp;""))),"⚠"&amp;TRIM(E337&amp;""))</f>
        <v/>
      </c>
      <c r="N337" s="10">
        <f>IFERROR(IF(TRIM(F337&amp;"")="","",IF(AND(ISNUMBER(FIND(" ",TRIM(F337&amp;""))),ISNUMBER(MATCH(LEFT(TRIM(F337&amp;""),FIND(" ",TRIM(F337&amp;""))-1),설정_코드표!$J$2:$J$101,0)),ISNUMBER(MATCH(TRIM(RIGHT(SUBSTITUTE(TRIM(F337&amp;"")," ",REPT(" ",60)),60)),설정_코드표!$F$2:$F$101,0))),INDEX(설정_코드표!$K$2:$K$101,MATCH(LEFT(TRIM(F337&amp;""),FIND(" ",TRIM(F337&amp;""))-1),설정_코드표!$J$2:$J$101,0))&amp;" "&amp;INDEX(설정_코드표!$G$2:$G$101,MATCH(TRIM(RIGHT(SUBSTITUTE(TRIM(F337&amp;"")," ",REPT(" ",60)),60)),설정_코드표!$F$2:$F$101,0)),"⚠"&amp;TRIM(F337&amp;""))),"⚠"&amp;TRIM(F337&amp;""))</f>
        <v/>
      </c>
      <c r="O337" s="10">
        <f>IFERROR(IF(TRIM(G337&amp;"")="","",IF(AND(ISNUMBER(FIND(" ",TRIM(G337&amp;""))),ISNUMBER(MATCH(LEFT(TRIM(G337&amp;""),FIND(" ",TRIM(G337&amp;""))-1),설정_코드표!$J$2:$J$101,0)),ISNUMBER(MATCH(TRIM(RIGHT(SUBSTITUTE(TRIM(G337&amp;"")," ",REPT(" ",60)),60)),설정_코드표!$F$2:$F$101,0))),INDEX(설정_코드표!$K$2:$K$101,MATCH(LEFT(TRIM(G337&amp;""),FIND(" ",TRIM(G337&amp;""))-1),설정_코드표!$J$2:$J$101,0))&amp;" "&amp;INDEX(설정_코드표!$G$2:$G$101,MATCH(TRIM(RIGHT(SUBSTITUTE(TRIM(G337&amp;"")," ",REPT(" ",60)),60)),설정_코드표!$F$2:$F$101,0)),"⚠"&amp;TRIM(G337&amp;""))),"⚠"&amp;TRIM(G337&amp;""))</f>
        <v/>
      </c>
      <c r="P337" s="10">
        <f>IFERROR(IF(TRIM(H337&amp;"")="","",IF(AND(ISNUMBER(FIND(" ",TRIM(H337&amp;""))),ISNUMBER(MATCH(LEFT(TRIM(H337&amp;""),FIND(" ",TRIM(H337&amp;""))-1),설정_코드표!$J$2:$J$101,0)),ISNUMBER(MATCH(TRIM(RIGHT(SUBSTITUTE(TRIM(H337&amp;"")," ",REPT(" ",60)),60)),설정_코드표!$F$2:$F$101,0))),INDEX(설정_코드표!$K$2:$K$101,MATCH(LEFT(TRIM(H337&amp;""),FIND(" ",TRIM(H337&amp;""))-1),설정_코드표!$J$2:$J$101,0))&amp;" "&amp;INDEX(설정_코드표!$G$2:$G$101,MATCH(TRIM(RIGHT(SUBSTITUTE(TRIM(H337&amp;"")," ",REPT(" ",60)),60)),설정_코드표!$F$2:$F$101,0)),"⚠"&amp;TRIM(H337&amp;""))),"⚠"&amp;TRIM(H337&amp;""))</f>
        <v/>
      </c>
      <c r="Q337" s="10">
        <f>IFERROR(IF(TRIM(I337&amp;"")="","",IF(AND(ISNUMBER(FIND(" ",TRIM(I337&amp;""))),ISNUMBER(MATCH(LEFT(TRIM(I337&amp;""),FIND(" ",TRIM(I337&amp;""))-1),설정_코드표!$J$2:$J$101,0)),ISNUMBER(MATCH(TRIM(RIGHT(SUBSTITUTE(TRIM(I337&amp;"")," ",REPT(" ",60)),60)),설정_코드표!$F$2:$F$101,0))),INDEX(설정_코드표!$K$2:$K$101,MATCH(LEFT(TRIM(I337&amp;""),FIND(" ",TRIM(I337&amp;""))-1),설정_코드표!$J$2:$J$101,0))&amp;" "&amp;INDEX(설정_코드표!$G$2:$G$101,MATCH(TRIM(RIGHT(SUBSTITUTE(TRIM(I337&amp;"")," ",REPT(" ",60)),60)),설정_코드표!$F$2:$F$101,0)),"⚠"&amp;TRIM(I337&amp;""))),"⚠"&amp;TRIM(I337&amp;""))</f>
        <v/>
      </c>
      <c r="R337" s="10">
        <f>IFERROR(IF(TRIM(J337&amp;"")="","",IF(AND(ISNUMBER(FIND(" ",TRIM(J337&amp;""))),ISNUMBER(MATCH(LEFT(TRIM(J337&amp;""),FIND(" ",TRIM(J337&amp;""))-1),설정_코드표!$J$2:$J$101,0)),ISNUMBER(MATCH(TRIM(RIGHT(SUBSTITUTE(TRIM(J337&amp;"")," ",REPT(" ",60)),60)),설정_코드표!$F$2:$F$101,0))),INDEX(설정_코드표!$K$2:$K$101,MATCH(LEFT(TRIM(J337&amp;""),FIND(" ",TRIM(J337&amp;""))-1),설정_코드표!$J$2:$J$101,0))&amp;" "&amp;INDEX(설정_코드표!$G$2:$G$101,MATCH(TRIM(RIGHT(SUBSTITUTE(TRIM(J337&amp;"")," ",REPT(" ",60)),60)),설정_코드표!$F$2:$F$101,0)),"⚠"&amp;TRIM(J337&amp;""))),"⚠"&amp;TRIM(J337&amp;""))</f>
        <v/>
      </c>
      <c r="S337" s="11">
        <f>IF(K337="","",IFERROR(IF(AND(ROUND((VALUE(K337&amp;"")-INT(VALUE(K337&amp;"")))*100,0)&gt;=1,ROUND((VALUE(K337&amp;"")-INT(VALUE(K337&amp;"")))*100,0)&lt;=12,INT(VALUE(K337&amp;""))&gt;=1900),DATE(INT(VALUE(K337&amp;"")),ROUND((VALUE(K337&amp;"")-INT(VALUE(K337&amp;"")))*100,0),1),K337&amp;""),K337&amp;""))</f>
        <v/>
      </c>
      <c r="T337" s="10">
        <f>COUNTIF(M337:R337,"⚠*")</f>
        <v/>
      </c>
    </row>
    <row r="338"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M338" s="10">
        <f>IFERROR(IF(TRIM(E338&amp;"")="","",IF(AND(ISNUMBER(FIND(" ",TRIM(E338&amp;""))),ISNUMBER(MATCH(LEFT(TRIM(E338&amp;""),FIND(" ",TRIM(E338&amp;""))-1),설정_코드표!$J$2:$J$101,0)),ISNUMBER(MATCH(TRIM(RIGHT(SUBSTITUTE(TRIM(E338&amp;"")," ",REPT(" ",60)),60)),설정_코드표!$F$2:$F$101,0))),INDEX(설정_코드표!$K$2:$K$101,MATCH(LEFT(TRIM(E338&amp;""),FIND(" ",TRIM(E338&amp;""))-1),설정_코드표!$J$2:$J$101,0))&amp;" "&amp;INDEX(설정_코드표!$G$2:$G$101,MATCH(TRIM(RIGHT(SUBSTITUTE(TRIM(E338&amp;"")," ",REPT(" ",60)),60)),설정_코드표!$F$2:$F$101,0)),"⚠"&amp;TRIM(E338&amp;""))),"⚠"&amp;TRIM(E338&amp;""))</f>
        <v/>
      </c>
      <c r="N338" s="10">
        <f>IFERROR(IF(TRIM(F338&amp;"")="","",IF(AND(ISNUMBER(FIND(" ",TRIM(F338&amp;""))),ISNUMBER(MATCH(LEFT(TRIM(F338&amp;""),FIND(" ",TRIM(F338&amp;""))-1),설정_코드표!$J$2:$J$101,0)),ISNUMBER(MATCH(TRIM(RIGHT(SUBSTITUTE(TRIM(F338&amp;"")," ",REPT(" ",60)),60)),설정_코드표!$F$2:$F$101,0))),INDEX(설정_코드표!$K$2:$K$101,MATCH(LEFT(TRIM(F338&amp;""),FIND(" ",TRIM(F338&amp;""))-1),설정_코드표!$J$2:$J$101,0))&amp;" "&amp;INDEX(설정_코드표!$G$2:$G$101,MATCH(TRIM(RIGHT(SUBSTITUTE(TRIM(F338&amp;"")," ",REPT(" ",60)),60)),설정_코드표!$F$2:$F$101,0)),"⚠"&amp;TRIM(F338&amp;""))),"⚠"&amp;TRIM(F338&amp;""))</f>
        <v/>
      </c>
      <c r="O338" s="10">
        <f>IFERROR(IF(TRIM(G338&amp;"")="","",IF(AND(ISNUMBER(FIND(" ",TRIM(G338&amp;""))),ISNUMBER(MATCH(LEFT(TRIM(G338&amp;""),FIND(" ",TRIM(G338&amp;""))-1),설정_코드표!$J$2:$J$101,0)),ISNUMBER(MATCH(TRIM(RIGHT(SUBSTITUTE(TRIM(G338&amp;"")," ",REPT(" ",60)),60)),설정_코드표!$F$2:$F$101,0))),INDEX(설정_코드표!$K$2:$K$101,MATCH(LEFT(TRIM(G338&amp;""),FIND(" ",TRIM(G338&amp;""))-1),설정_코드표!$J$2:$J$101,0))&amp;" "&amp;INDEX(설정_코드표!$G$2:$G$101,MATCH(TRIM(RIGHT(SUBSTITUTE(TRIM(G338&amp;"")," ",REPT(" ",60)),60)),설정_코드표!$F$2:$F$101,0)),"⚠"&amp;TRIM(G338&amp;""))),"⚠"&amp;TRIM(G338&amp;""))</f>
        <v/>
      </c>
      <c r="P338" s="10">
        <f>IFERROR(IF(TRIM(H338&amp;"")="","",IF(AND(ISNUMBER(FIND(" ",TRIM(H338&amp;""))),ISNUMBER(MATCH(LEFT(TRIM(H338&amp;""),FIND(" ",TRIM(H338&amp;""))-1),설정_코드표!$J$2:$J$101,0)),ISNUMBER(MATCH(TRIM(RIGHT(SUBSTITUTE(TRIM(H338&amp;"")," ",REPT(" ",60)),60)),설정_코드표!$F$2:$F$101,0))),INDEX(설정_코드표!$K$2:$K$101,MATCH(LEFT(TRIM(H338&amp;""),FIND(" ",TRIM(H338&amp;""))-1),설정_코드표!$J$2:$J$101,0))&amp;" "&amp;INDEX(설정_코드표!$G$2:$G$101,MATCH(TRIM(RIGHT(SUBSTITUTE(TRIM(H338&amp;"")," ",REPT(" ",60)),60)),설정_코드표!$F$2:$F$101,0)),"⚠"&amp;TRIM(H338&amp;""))),"⚠"&amp;TRIM(H338&amp;""))</f>
        <v/>
      </c>
      <c r="Q338" s="10">
        <f>IFERROR(IF(TRIM(I338&amp;"")="","",IF(AND(ISNUMBER(FIND(" ",TRIM(I338&amp;""))),ISNUMBER(MATCH(LEFT(TRIM(I338&amp;""),FIND(" ",TRIM(I338&amp;""))-1),설정_코드표!$J$2:$J$101,0)),ISNUMBER(MATCH(TRIM(RIGHT(SUBSTITUTE(TRIM(I338&amp;"")," ",REPT(" ",60)),60)),설정_코드표!$F$2:$F$101,0))),INDEX(설정_코드표!$K$2:$K$101,MATCH(LEFT(TRIM(I338&amp;""),FIND(" ",TRIM(I338&amp;""))-1),설정_코드표!$J$2:$J$101,0))&amp;" "&amp;INDEX(설정_코드표!$G$2:$G$101,MATCH(TRIM(RIGHT(SUBSTITUTE(TRIM(I338&amp;"")," ",REPT(" ",60)),60)),설정_코드표!$F$2:$F$101,0)),"⚠"&amp;TRIM(I338&amp;""))),"⚠"&amp;TRIM(I338&amp;""))</f>
        <v/>
      </c>
      <c r="R338" s="10">
        <f>IFERROR(IF(TRIM(J338&amp;"")="","",IF(AND(ISNUMBER(FIND(" ",TRIM(J338&amp;""))),ISNUMBER(MATCH(LEFT(TRIM(J338&amp;""),FIND(" ",TRIM(J338&amp;""))-1),설정_코드표!$J$2:$J$101,0)),ISNUMBER(MATCH(TRIM(RIGHT(SUBSTITUTE(TRIM(J338&amp;"")," ",REPT(" ",60)),60)),설정_코드표!$F$2:$F$101,0))),INDEX(설정_코드표!$K$2:$K$101,MATCH(LEFT(TRIM(J338&amp;""),FIND(" ",TRIM(J338&amp;""))-1),설정_코드표!$J$2:$J$101,0))&amp;" "&amp;INDEX(설정_코드표!$G$2:$G$101,MATCH(TRIM(RIGHT(SUBSTITUTE(TRIM(J338&amp;"")," ",REPT(" ",60)),60)),설정_코드표!$F$2:$F$101,0)),"⚠"&amp;TRIM(J338&amp;""))),"⚠"&amp;TRIM(J338&amp;""))</f>
        <v/>
      </c>
      <c r="S338" s="11">
        <f>IF(K338="","",IFERROR(IF(AND(ROUND((VALUE(K338&amp;"")-INT(VALUE(K338&amp;"")))*100,0)&gt;=1,ROUND((VALUE(K338&amp;"")-INT(VALUE(K338&amp;"")))*100,0)&lt;=12,INT(VALUE(K338&amp;""))&gt;=1900),DATE(INT(VALUE(K338&amp;"")),ROUND((VALUE(K338&amp;"")-INT(VALUE(K338&amp;"")))*100,0),1),K338&amp;""),K338&amp;""))</f>
        <v/>
      </c>
      <c r="T338" s="10">
        <f>COUNTIF(M338:R338,"⚠*")</f>
        <v/>
      </c>
    </row>
    <row r="339"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M339" s="10">
        <f>IFERROR(IF(TRIM(E339&amp;"")="","",IF(AND(ISNUMBER(FIND(" ",TRIM(E339&amp;""))),ISNUMBER(MATCH(LEFT(TRIM(E339&amp;""),FIND(" ",TRIM(E339&amp;""))-1),설정_코드표!$J$2:$J$101,0)),ISNUMBER(MATCH(TRIM(RIGHT(SUBSTITUTE(TRIM(E339&amp;"")," ",REPT(" ",60)),60)),설정_코드표!$F$2:$F$101,0))),INDEX(설정_코드표!$K$2:$K$101,MATCH(LEFT(TRIM(E339&amp;""),FIND(" ",TRIM(E339&amp;""))-1),설정_코드표!$J$2:$J$101,0))&amp;" "&amp;INDEX(설정_코드표!$G$2:$G$101,MATCH(TRIM(RIGHT(SUBSTITUTE(TRIM(E339&amp;"")," ",REPT(" ",60)),60)),설정_코드표!$F$2:$F$101,0)),"⚠"&amp;TRIM(E339&amp;""))),"⚠"&amp;TRIM(E339&amp;""))</f>
        <v/>
      </c>
      <c r="N339" s="10">
        <f>IFERROR(IF(TRIM(F339&amp;"")="","",IF(AND(ISNUMBER(FIND(" ",TRIM(F339&amp;""))),ISNUMBER(MATCH(LEFT(TRIM(F339&amp;""),FIND(" ",TRIM(F339&amp;""))-1),설정_코드표!$J$2:$J$101,0)),ISNUMBER(MATCH(TRIM(RIGHT(SUBSTITUTE(TRIM(F339&amp;"")," ",REPT(" ",60)),60)),설정_코드표!$F$2:$F$101,0))),INDEX(설정_코드표!$K$2:$K$101,MATCH(LEFT(TRIM(F339&amp;""),FIND(" ",TRIM(F339&amp;""))-1),설정_코드표!$J$2:$J$101,0))&amp;" "&amp;INDEX(설정_코드표!$G$2:$G$101,MATCH(TRIM(RIGHT(SUBSTITUTE(TRIM(F339&amp;"")," ",REPT(" ",60)),60)),설정_코드표!$F$2:$F$101,0)),"⚠"&amp;TRIM(F339&amp;""))),"⚠"&amp;TRIM(F339&amp;""))</f>
        <v/>
      </c>
      <c r="O339" s="10">
        <f>IFERROR(IF(TRIM(G339&amp;"")="","",IF(AND(ISNUMBER(FIND(" ",TRIM(G339&amp;""))),ISNUMBER(MATCH(LEFT(TRIM(G339&amp;""),FIND(" ",TRIM(G339&amp;""))-1),설정_코드표!$J$2:$J$101,0)),ISNUMBER(MATCH(TRIM(RIGHT(SUBSTITUTE(TRIM(G339&amp;"")," ",REPT(" ",60)),60)),설정_코드표!$F$2:$F$101,0))),INDEX(설정_코드표!$K$2:$K$101,MATCH(LEFT(TRIM(G339&amp;""),FIND(" ",TRIM(G339&amp;""))-1),설정_코드표!$J$2:$J$101,0))&amp;" "&amp;INDEX(설정_코드표!$G$2:$G$101,MATCH(TRIM(RIGHT(SUBSTITUTE(TRIM(G339&amp;"")," ",REPT(" ",60)),60)),설정_코드표!$F$2:$F$101,0)),"⚠"&amp;TRIM(G339&amp;""))),"⚠"&amp;TRIM(G339&amp;""))</f>
        <v/>
      </c>
      <c r="P339" s="10">
        <f>IFERROR(IF(TRIM(H339&amp;"")="","",IF(AND(ISNUMBER(FIND(" ",TRIM(H339&amp;""))),ISNUMBER(MATCH(LEFT(TRIM(H339&amp;""),FIND(" ",TRIM(H339&amp;""))-1),설정_코드표!$J$2:$J$101,0)),ISNUMBER(MATCH(TRIM(RIGHT(SUBSTITUTE(TRIM(H339&amp;"")," ",REPT(" ",60)),60)),설정_코드표!$F$2:$F$101,0))),INDEX(설정_코드표!$K$2:$K$101,MATCH(LEFT(TRIM(H339&amp;""),FIND(" ",TRIM(H339&amp;""))-1),설정_코드표!$J$2:$J$101,0))&amp;" "&amp;INDEX(설정_코드표!$G$2:$G$101,MATCH(TRIM(RIGHT(SUBSTITUTE(TRIM(H339&amp;"")," ",REPT(" ",60)),60)),설정_코드표!$F$2:$F$101,0)),"⚠"&amp;TRIM(H339&amp;""))),"⚠"&amp;TRIM(H339&amp;""))</f>
        <v/>
      </c>
      <c r="Q339" s="10">
        <f>IFERROR(IF(TRIM(I339&amp;"")="","",IF(AND(ISNUMBER(FIND(" ",TRIM(I339&amp;""))),ISNUMBER(MATCH(LEFT(TRIM(I339&amp;""),FIND(" ",TRIM(I339&amp;""))-1),설정_코드표!$J$2:$J$101,0)),ISNUMBER(MATCH(TRIM(RIGHT(SUBSTITUTE(TRIM(I339&amp;"")," ",REPT(" ",60)),60)),설정_코드표!$F$2:$F$101,0))),INDEX(설정_코드표!$K$2:$K$101,MATCH(LEFT(TRIM(I339&amp;""),FIND(" ",TRIM(I339&amp;""))-1),설정_코드표!$J$2:$J$101,0))&amp;" "&amp;INDEX(설정_코드표!$G$2:$G$101,MATCH(TRIM(RIGHT(SUBSTITUTE(TRIM(I339&amp;"")," ",REPT(" ",60)),60)),설정_코드표!$F$2:$F$101,0)),"⚠"&amp;TRIM(I339&amp;""))),"⚠"&amp;TRIM(I339&amp;""))</f>
        <v/>
      </c>
      <c r="R339" s="10">
        <f>IFERROR(IF(TRIM(J339&amp;"")="","",IF(AND(ISNUMBER(FIND(" ",TRIM(J339&amp;""))),ISNUMBER(MATCH(LEFT(TRIM(J339&amp;""),FIND(" ",TRIM(J339&amp;""))-1),설정_코드표!$J$2:$J$101,0)),ISNUMBER(MATCH(TRIM(RIGHT(SUBSTITUTE(TRIM(J339&amp;"")," ",REPT(" ",60)),60)),설정_코드표!$F$2:$F$101,0))),INDEX(설정_코드표!$K$2:$K$101,MATCH(LEFT(TRIM(J339&amp;""),FIND(" ",TRIM(J339&amp;""))-1),설정_코드표!$J$2:$J$101,0))&amp;" "&amp;INDEX(설정_코드표!$G$2:$G$101,MATCH(TRIM(RIGHT(SUBSTITUTE(TRIM(J339&amp;"")," ",REPT(" ",60)),60)),설정_코드표!$F$2:$F$101,0)),"⚠"&amp;TRIM(J339&amp;""))),"⚠"&amp;TRIM(J339&amp;""))</f>
        <v/>
      </c>
      <c r="S339" s="11">
        <f>IF(K339="","",IFERROR(IF(AND(ROUND((VALUE(K339&amp;"")-INT(VALUE(K339&amp;"")))*100,0)&gt;=1,ROUND((VALUE(K339&amp;"")-INT(VALUE(K339&amp;"")))*100,0)&lt;=12,INT(VALUE(K339&amp;""))&gt;=1900),DATE(INT(VALUE(K339&amp;"")),ROUND((VALUE(K339&amp;"")-INT(VALUE(K339&amp;"")))*100,0),1),K339&amp;""),K339&amp;""))</f>
        <v/>
      </c>
      <c r="T339" s="10">
        <f>COUNTIF(M339:R339,"⚠*")</f>
        <v/>
      </c>
    </row>
    <row r="340"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M340" s="10">
        <f>IFERROR(IF(TRIM(E340&amp;"")="","",IF(AND(ISNUMBER(FIND(" ",TRIM(E340&amp;""))),ISNUMBER(MATCH(LEFT(TRIM(E340&amp;""),FIND(" ",TRIM(E340&amp;""))-1),설정_코드표!$J$2:$J$101,0)),ISNUMBER(MATCH(TRIM(RIGHT(SUBSTITUTE(TRIM(E340&amp;"")," ",REPT(" ",60)),60)),설정_코드표!$F$2:$F$101,0))),INDEX(설정_코드표!$K$2:$K$101,MATCH(LEFT(TRIM(E340&amp;""),FIND(" ",TRIM(E340&amp;""))-1),설정_코드표!$J$2:$J$101,0))&amp;" "&amp;INDEX(설정_코드표!$G$2:$G$101,MATCH(TRIM(RIGHT(SUBSTITUTE(TRIM(E340&amp;"")," ",REPT(" ",60)),60)),설정_코드표!$F$2:$F$101,0)),"⚠"&amp;TRIM(E340&amp;""))),"⚠"&amp;TRIM(E340&amp;""))</f>
        <v/>
      </c>
      <c r="N340" s="10">
        <f>IFERROR(IF(TRIM(F340&amp;"")="","",IF(AND(ISNUMBER(FIND(" ",TRIM(F340&amp;""))),ISNUMBER(MATCH(LEFT(TRIM(F340&amp;""),FIND(" ",TRIM(F340&amp;""))-1),설정_코드표!$J$2:$J$101,0)),ISNUMBER(MATCH(TRIM(RIGHT(SUBSTITUTE(TRIM(F340&amp;"")," ",REPT(" ",60)),60)),설정_코드표!$F$2:$F$101,0))),INDEX(설정_코드표!$K$2:$K$101,MATCH(LEFT(TRIM(F340&amp;""),FIND(" ",TRIM(F340&amp;""))-1),설정_코드표!$J$2:$J$101,0))&amp;" "&amp;INDEX(설정_코드표!$G$2:$G$101,MATCH(TRIM(RIGHT(SUBSTITUTE(TRIM(F340&amp;"")," ",REPT(" ",60)),60)),설정_코드표!$F$2:$F$101,0)),"⚠"&amp;TRIM(F340&amp;""))),"⚠"&amp;TRIM(F340&amp;""))</f>
        <v/>
      </c>
      <c r="O340" s="10">
        <f>IFERROR(IF(TRIM(G340&amp;"")="","",IF(AND(ISNUMBER(FIND(" ",TRIM(G340&amp;""))),ISNUMBER(MATCH(LEFT(TRIM(G340&amp;""),FIND(" ",TRIM(G340&amp;""))-1),설정_코드표!$J$2:$J$101,0)),ISNUMBER(MATCH(TRIM(RIGHT(SUBSTITUTE(TRIM(G340&amp;"")," ",REPT(" ",60)),60)),설정_코드표!$F$2:$F$101,0))),INDEX(설정_코드표!$K$2:$K$101,MATCH(LEFT(TRIM(G340&amp;""),FIND(" ",TRIM(G340&amp;""))-1),설정_코드표!$J$2:$J$101,0))&amp;" "&amp;INDEX(설정_코드표!$G$2:$G$101,MATCH(TRIM(RIGHT(SUBSTITUTE(TRIM(G340&amp;"")," ",REPT(" ",60)),60)),설정_코드표!$F$2:$F$101,0)),"⚠"&amp;TRIM(G340&amp;""))),"⚠"&amp;TRIM(G340&amp;""))</f>
        <v/>
      </c>
      <c r="P340" s="10">
        <f>IFERROR(IF(TRIM(H340&amp;"")="","",IF(AND(ISNUMBER(FIND(" ",TRIM(H340&amp;""))),ISNUMBER(MATCH(LEFT(TRIM(H340&amp;""),FIND(" ",TRIM(H340&amp;""))-1),설정_코드표!$J$2:$J$101,0)),ISNUMBER(MATCH(TRIM(RIGHT(SUBSTITUTE(TRIM(H340&amp;"")," ",REPT(" ",60)),60)),설정_코드표!$F$2:$F$101,0))),INDEX(설정_코드표!$K$2:$K$101,MATCH(LEFT(TRIM(H340&amp;""),FIND(" ",TRIM(H340&amp;""))-1),설정_코드표!$J$2:$J$101,0))&amp;" "&amp;INDEX(설정_코드표!$G$2:$G$101,MATCH(TRIM(RIGHT(SUBSTITUTE(TRIM(H340&amp;"")," ",REPT(" ",60)),60)),설정_코드표!$F$2:$F$101,0)),"⚠"&amp;TRIM(H340&amp;""))),"⚠"&amp;TRIM(H340&amp;""))</f>
        <v/>
      </c>
      <c r="Q340" s="10">
        <f>IFERROR(IF(TRIM(I340&amp;"")="","",IF(AND(ISNUMBER(FIND(" ",TRIM(I340&amp;""))),ISNUMBER(MATCH(LEFT(TRIM(I340&amp;""),FIND(" ",TRIM(I340&amp;""))-1),설정_코드표!$J$2:$J$101,0)),ISNUMBER(MATCH(TRIM(RIGHT(SUBSTITUTE(TRIM(I340&amp;"")," ",REPT(" ",60)),60)),설정_코드표!$F$2:$F$101,0))),INDEX(설정_코드표!$K$2:$K$101,MATCH(LEFT(TRIM(I340&amp;""),FIND(" ",TRIM(I340&amp;""))-1),설정_코드표!$J$2:$J$101,0))&amp;" "&amp;INDEX(설정_코드표!$G$2:$G$101,MATCH(TRIM(RIGHT(SUBSTITUTE(TRIM(I340&amp;"")," ",REPT(" ",60)),60)),설정_코드표!$F$2:$F$101,0)),"⚠"&amp;TRIM(I340&amp;""))),"⚠"&amp;TRIM(I340&amp;""))</f>
        <v/>
      </c>
      <c r="R340" s="10">
        <f>IFERROR(IF(TRIM(J340&amp;"")="","",IF(AND(ISNUMBER(FIND(" ",TRIM(J340&amp;""))),ISNUMBER(MATCH(LEFT(TRIM(J340&amp;""),FIND(" ",TRIM(J340&amp;""))-1),설정_코드표!$J$2:$J$101,0)),ISNUMBER(MATCH(TRIM(RIGHT(SUBSTITUTE(TRIM(J340&amp;"")," ",REPT(" ",60)),60)),설정_코드표!$F$2:$F$101,0))),INDEX(설정_코드표!$K$2:$K$101,MATCH(LEFT(TRIM(J340&amp;""),FIND(" ",TRIM(J340&amp;""))-1),설정_코드표!$J$2:$J$101,0))&amp;" "&amp;INDEX(설정_코드표!$G$2:$G$101,MATCH(TRIM(RIGHT(SUBSTITUTE(TRIM(J340&amp;"")," ",REPT(" ",60)),60)),설정_코드표!$F$2:$F$101,0)),"⚠"&amp;TRIM(J340&amp;""))),"⚠"&amp;TRIM(J340&amp;""))</f>
        <v/>
      </c>
      <c r="S340" s="11">
        <f>IF(K340="","",IFERROR(IF(AND(ROUND((VALUE(K340&amp;"")-INT(VALUE(K340&amp;"")))*100,0)&gt;=1,ROUND((VALUE(K340&amp;"")-INT(VALUE(K340&amp;"")))*100,0)&lt;=12,INT(VALUE(K340&amp;""))&gt;=1900),DATE(INT(VALUE(K340&amp;"")),ROUND((VALUE(K340&amp;"")-INT(VALUE(K340&amp;"")))*100,0),1),K340&amp;""),K340&amp;""))</f>
        <v/>
      </c>
      <c r="T340" s="10">
        <f>COUNTIF(M340:R340,"⚠*")</f>
        <v/>
      </c>
    </row>
    <row r="341"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M341" s="10">
        <f>IFERROR(IF(TRIM(E341&amp;"")="","",IF(AND(ISNUMBER(FIND(" ",TRIM(E341&amp;""))),ISNUMBER(MATCH(LEFT(TRIM(E341&amp;""),FIND(" ",TRIM(E341&amp;""))-1),설정_코드표!$J$2:$J$101,0)),ISNUMBER(MATCH(TRIM(RIGHT(SUBSTITUTE(TRIM(E341&amp;"")," ",REPT(" ",60)),60)),설정_코드표!$F$2:$F$101,0))),INDEX(설정_코드표!$K$2:$K$101,MATCH(LEFT(TRIM(E341&amp;""),FIND(" ",TRIM(E341&amp;""))-1),설정_코드표!$J$2:$J$101,0))&amp;" "&amp;INDEX(설정_코드표!$G$2:$G$101,MATCH(TRIM(RIGHT(SUBSTITUTE(TRIM(E341&amp;"")," ",REPT(" ",60)),60)),설정_코드표!$F$2:$F$101,0)),"⚠"&amp;TRIM(E341&amp;""))),"⚠"&amp;TRIM(E341&amp;""))</f>
        <v/>
      </c>
      <c r="N341" s="10">
        <f>IFERROR(IF(TRIM(F341&amp;"")="","",IF(AND(ISNUMBER(FIND(" ",TRIM(F341&amp;""))),ISNUMBER(MATCH(LEFT(TRIM(F341&amp;""),FIND(" ",TRIM(F341&amp;""))-1),설정_코드표!$J$2:$J$101,0)),ISNUMBER(MATCH(TRIM(RIGHT(SUBSTITUTE(TRIM(F341&amp;"")," ",REPT(" ",60)),60)),설정_코드표!$F$2:$F$101,0))),INDEX(설정_코드표!$K$2:$K$101,MATCH(LEFT(TRIM(F341&amp;""),FIND(" ",TRIM(F341&amp;""))-1),설정_코드표!$J$2:$J$101,0))&amp;" "&amp;INDEX(설정_코드표!$G$2:$G$101,MATCH(TRIM(RIGHT(SUBSTITUTE(TRIM(F341&amp;"")," ",REPT(" ",60)),60)),설정_코드표!$F$2:$F$101,0)),"⚠"&amp;TRIM(F341&amp;""))),"⚠"&amp;TRIM(F341&amp;""))</f>
        <v/>
      </c>
      <c r="O341" s="10">
        <f>IFERROR(IF(TRIM(G341&amp;"")="","",IF(AND(ISNUMBER(FIND(" ",TRIM(G341&amp;""))),ISNUMBER(MATCH(LEFT(TRIM(G341&amp;""),FIND(" ",TRIM(G341&amp;""))-1),설정_코드표!$J$2:$J$101,0)),ISNUMBER(MATCH(TRIM(RIGHT(SUBSTITUTE(TRIM(G341&amp;"")," ",REPT(" ",60)),60)),설정_코드표!$F$2:$F$101,0))),INDEX(설정_코드표!$K$2:$K$101,MATCH(LEFT(TRIM(G341&amp;""),FIND(" ",TRIM(G341&amp;""))-1),설정_코드표!$J$2:$J$101,0))&amp;" "&amp;INDEX(설정_코드표!$G$2:$G$101,MATCH(TRIM(RIGHT(SUBSTITUTE(TRIM(G341&amp;"")," ",REPT(" ",60)),60)),설정_코드표!$F$2:$F$101,0)),"⚠"&amp;TRIM(G341&amp;""))),"⚠"&amp;TRIM(G341&amp;""))</f>
        <v/>
      </c>
      <c r="P341" s="10">
        <f>IFERROR(IF(TRIM(H341&amp;"")="","",IF(AND(ISNUMBER(FIND(" ",TRIM(H341&amp;""))),ISNUMBER(MATCH(LEFT(TRIM(H341&amp;""),FIND(" ",TRIM(H341&amp;""))-1),설정_코드표!$J$2:$J$101,0)),ISNUMBER(MATCH(TRIM(RIGHT(SUBSTITUTE(TRIM(H341&amp;"")," ",REPT(" ",60)),60)),설정_코드표!$F$2:$F$101,0))),INDEX(설정_코드표!$K$2:$K$101,MATCH(LEFT(TRIM(H341&amp;""),FIND(" ",TRIM(H341&amp;""))-1),설정_코드표!$J$2:$J$101,0))&amp;" "&amp;INDEX(설정_코드표!$G$2:$G$101,MATCH(TRIM(RIGHT(SUBSTITUTE(TRIM(H341&amp;"")," ",REPT(" ",60)),60)),설정_코드표!$F$2:$F$101,0)),"⚠"&amp;TRIM(H341&amp;""))),"⚠"&amp;TRIM(H341&amp;""))</f>
        <v/>
      </c>
      <c r="Q341" s="10">
        <f>IFERROR(IF(TRIM(I341&amp;"")="","",IF(AND(ISNUMBER(FIND(" ",TRIM(I341&amp;""))),ISNUMBER(MATCH(LEFT(TRIM(I341&amp;""),FIND(" ",TRIM(I341&amp;""))-1),설정_코드표!$J$2:$J$101,0)),ISNUMBER(MATCH(TRIM(RIGHT(SUBSTITUTE(TRIM(I341&amp;"")," ",REPT(" ",60)),60)),설정_코드표!$F$2:$F$101,0))),INDEX(설정_코드표!$K$2:$K$101,MATCH(LEFT(TRIM(I341&amp;""),FIND(" ",TRIM(I341&amp;""))-1),설정_코드표!$J$2:$J$101,0))&amp;" "&amp;INDEX(설정_코드표!$G$2:$G$101,MATCH(TRIM(RIGHT(SUBSTITUTE(TRIM(I341&amp;"")," ",REPT(" ",60)),60)),설정_코드표!$F$2:$F$101,0)),"⚠"&amp;TRIM(I341&amp;""))),"⚠"&amp;TRIM(I341&amp;""))</f>
        <v/>
      </c>
      <c r="R341" s="10">
        <f>IFERROR(IF(TRIM(J341&amp;"")="","",IF(AND(ISNUMBER(FIND(" ",TRIM(J341&amp;""))),ISNUMBER(MATCH(LEFT(TRIM(J341&amp;""),FIND(" ",TRIM(J341&amp;""))-1),설정_코드표!$J$2:$J$101,0)),ISNUMBER(MATCH(TRIM(RIGHT(SUBSTITUTE(TRIM(J341&amp;"")," ",REPT(" ",60)),60)),설정_코드표!$F$2:$F$101,0))),INDEX(설정_코드표!$K$2:$K$101,MATCH(LEFT(TRIM(J341&amp;""),FIND(" ",TRIM(J341&amp;""))-1),설정_코드표!$J$2:$J$101,0))&amp;" "&amp;INDEX(설정_코드표!$G$2:$G$101,MATCH(TRIM(RIGHT(SUBSTITUTE(TRIM(J341&amp;"")," ",REPT(" ",60)),60)),설정_코드표!$F$2:$F$101,0)),"⚠"&amp;TRIM(J341&amp;""))),"⚠"&amp;TRIM(J341&amp;""))</f>
        <v/>
      </c>
      <c r="S341" s="11">
        <f>IF(K341="","",IFERROR(IF(AND(ROUND((VALUE(K341&amp;"")-INT(VALUE(K341&amp;"")))*100,0)&gt;=1,ROUND((VALUE(K341&amp;"")-INT(VALUE(K341&amp;"")))*100,0)&lt;=12,INT(VALUE(K341&amp;""))&gt;=1900),DATE(INT(VALUE(K341&amp;"")),ROUND((VALUE(K341&amp;"")-INT(VALUE(K341&amp;"")))*100,0),1),K341&amp;""),K341&amp;""))</f>
        <v/>
      </c>
      <c r="T341" s="10">
        <f>COUNTIF(M341:R341,"⚠*")</f>
        <v/>
      </c>
    </row>
    <row r="342"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M342" s="10">
        <f>IFERROR(IF(TRIM(E342&amp;"")="","",IF(AND(ISNUMBER(FIND(" ",TRIM(E342&amp;""))),ISNUMBER(MATCH(LEFT(TRIM(E342&amp;""),FIND(" ",TRIM(E342&amp;""))-1),설정_코드표!$J$2:$J$101,0)),ISNUMBER(MATCH(TRIM(RIGHT(SUBSTITUTE(TRIM(E342&amp;"")," ",REPT(" ",60)),60)),설정_코드표!$F$2:$F$101,0))),INDEX(설정_코드표!$K$2:$K$101,MATCH(LEFT(TRIM(E342&amp;""),FIND(" ",TRIM(E342&amp;""))-1),설정_코드표!$J$2:$J$101,0))&amp;" "&amp;INDEX(설정_코드표!$G$2:$G$101,MATCH(TRIM(RIGHT(SUBSTITUTE(TRIM(E342&amp;"")," ",REPT(" ",60)),60)),설정_코드표!$F$2:$F$101,0)),"⚠"&amp;TRIM(E342&amp;""))),"⚠"&amp;TRIM(E342&amp;""))</f>
        <v/>
      </c>
      <c r="N342" s="10">
        <f>IFERROR(IF(TRIM(F342&amp;"")="","",IF(AND(ISNUMBER(FIND(" ",TRIM(F342&amp;""))),ISNUMBER(MATCH(LEFT(TRIM(F342&amp;""),FIND(" ",TRIM(F342&amp;""))-1),설정_코드표!$J$2:$J$101,0)),ISNUMBER(MATCH(TRIM(RIGHT(SUBSTITUTE(TRIM(F342&amp;"")," ",REPT(" ",60)),60)),설정_코드표!$F$2:$F$101,0))),INDEX(설정_코드표!$K$2:$K$101,MATCH(LEFT(TRIM(F342&amp;""),FIND(" ",TRIM(F342&amp;""))-1),설정_코드표!$J$2:$J$101,0))&amp;" "&amp;INDEX(설정_코드표!$G$2:$G$101,MATCH(TRIM(RIGHT(SUBSTITUTE(TRIM(F342&amp;"")," ",REPT(" ",60)),60)),설정_코드표!$F$2:$F$101,0)),"⚠"&amp;TRIM(F342&amp;""))),"⚠"&amp;TRIM(F342&amp;""))</f>
        <v/>
      </c>
      <c r="O342" s="10">
        <f>IFERROR(IF(TRIM(G342&amp;"")="","",IF(AND(ISNUMBER(FIND(" ",TRIM(G342&amp;""))),ISNUMBER(MATCH(LEFT(TRIM(G342&amp;""),FIND(" ",TRIM(G342&amp;""))-1),설정_코드표!$J$2:$J$101,0)),ISNUMBER(MATCH(TRIM(RIGHT(SUBSTITUTE(TRIM(G342&amp;"")," ",REPT(" ",60)),60)),설정_코드표!$F$2:$F$101,0))),INDEX(설정_코드표!$K$2:$K$101,MATCH(LEFT(TRIM(G342&amp;""),FIND(" ",TRIM(G342&amp;""))-1),설정_코드표!$J$2:$J$101,0))&amp;" "&amp;INDEX(설정_코드표!$G$2:$G$101,MATCH(TRIM(RIGHT(SUBSTITUTE(TRIM(G342&amp;"")," ",REPT(" ",60)),60)),설정_코드표!$F$2:$F$101,0)),"⚠"&amp;TRIM(G342&amp;""))),"⚠"&amp;TRIM(G342&amp;""))</f>
        <v/>
      </c>
      <c r="P342" s="10">
        <f>IFERROR(IF(TRIM(H342&amp;"")="","",IF(AND(ISNUMBER(FIND(" ",TRIM(H342&amp;""))),ISNUMBER(MATCH(LEFT(TRIM(H342&amp;""),FIND(" ",TRIM(H342&amp;""))-1),설정_코드표!$J$2:$J$101,0)),ISNUMBER(MATCH(TRIM(RIGHT(SUBSTITUTE(TRIM(H342&amp;"")," ",REPT(" ",60)),60)),설정_코드표!$F$2:$F$101,0))),INDEX(설정_코드표!$K$2:$K$101,MATCH(LEFT(TRIM(H342&amp;""),FIND(" ",TRIM(H342&amp;""))-1),설정_코드표!$J$2:$J$101,0))&amp;" "&amp;INDEX(설정_코드표!$G$2:$G$101,MATCH(TRIM(RIGHT(SUBSTITUTE(TRIM(H342&amp;"")," ",REPT(" ",60)),60)),설정_코드표!$F$2:$F$101,0)),"⚠"&amp;TRIM(H342&amp;""))),"⚠"&amp;TRIM(H342&amp;""))</f>
        <v/>
      </c>
      <c r="Q342" s="10">
        <f>IFERROR(IF(TRIM(I342&amp;"")="","",IF(AND(ISNUMBER(FIND(" ",TRIM(I342&amp;""))),ISNUMBER(MATCH(LEFT(TRIM(I342&amp;""),FIND(" ",TRIM(I342&amp;""))-1),설정_코드표!$J$2:$J$101,0)),ISNUMBER(MATCH(TRIM(RIGHT(SUBSTITUTE(TRIM(I342&amp;"")," ",REPT(" ",60)),60)),설정_코드표!$F$2:$F$101,0))),INDEX(설정_코드표!$K$2:$K$101,MATCH(LEFT(TRIM(I342&amp;""),FIND(" ",TRIM(I342&amp;""))-1),설정_코드표!$J$2:$J$101,0))&amp;" "&amp;INDEX(설정_코드표!$G$2:$G$101,MATCH(TRIM(RIGHT(SUBSTITUTE(TRIM(I342&amp;"")," ",REPT(" ",60)),60)),설정_코드표!$F$2:$F$101,0)),"⚠"&amp;TRIM(I342&amp;""))),"⚠"&amp;TRIM(I342&amp;""))</f>
        <v/>
      </c>
      <c r="R342" s="10">
        <f>IFERROR(IF(TRIM(J342&amp;"")="","",IF(AND(ISNUMBER(FIND(" ",TRIM(J342&amp;""))),ISNUMBER(MATCH(LEFT(TRIM(J342&amp;""),FIND(" ",TRIM(J342&amp;""))-1),설정_코드표!$J$2:$J$101,0)),ISNUMBER(MATCH(TRIM(RIGHT(SUBSTITUTE(TRIM(J342&amp;"")," ",REPT(" ",60)),60)),설정_코드표!$F$2:$F$101,0))),INDEX(설정_코드표!$K$2:$K$101,MATCH(LEFT(TRIM(J342&amp;""),FIND(" ",TRIM(J342&amp;""))-1),설정_코드표!$J$2:$J$101,0))&amp;" "&amp;INDEX(설정_코드표!$G$2:$G$101,MATCH(TRIM(RIGHT(SUBSTITUTE(TRIM(J342&amp;"")," ",REPT(" ",60)),60)),설정_코드표!$F$2:$F$101,0)),"⚠"&amp;TRIM(J342&amp;""))),"⚠"&amp;TRIM(J342&amp;""))</f>
        <v/>
      </c>
      <c r="S342" s="11">
        <f>IF(K342="","",IFERROR(IF(AND(ROUND((VALUE(K342&amp;"")-INT(VALUE(K342&amp;"")))*100,0)&gt;=1,ROUND((VALUE(K342&amp;"")-INT(VALUE(K342&amp;"")))*100,0)&lt;=12,INT(VALUE(K342&amp;""))&gt;=1900),DATE(INT(VALUE(K342&amp;"")),ROUND((VALUE(K342&amp;"")-INT(VALUE(K342&amp;"")))*100,0),1),K342&amp;""),K342&amp;""))</f>
        <v/>
      </c>
      <c r="T342" s="10">
        <f>COUNTIF(M342:R342,"⚠*")</f>
        <v/>
      </c>
    </row>
    <row r="343"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M343" s="10">
        <f>IFERROR(IF(TRIM(E343&amp;"")="","",IF(AND(ISNUMBER(FIND(" ",TRIM(E343&amp;""))),ISNUMBER(MATCH(LEFT(TRIM(E343&amp;""),FIND(" ",TRIM(E343&amp;""))-1),설정_코드표!$J$2:$J$101,0)),ISNUMBER(MATCH(TRIM(RIGHT(SUBSTITUTE(TRIM(E343&amp;"")," ",REPT(" ",60)),60)),설정_코드표!$F$2:$F$101,0))),INDEX(설정_코드표!$K$2:$K$101,MATCH(LEFT(TRIM(E343&amp;""),FIND(" ",TRIM(E343&amp;""))-1),설정_코드표!$J$2:$J$101,0))&amp;" "&amp;INDEX(설정_코드표!$G$2:$G$101,MATCH(TRIM(RIGHT(SUBSTITUTE(TRIM(E343&amp;"")," ",REPT(" ",60)),60)),설정_코드표!$F$2:$F$101,0)),"⚠"&amp;TRIM(E343&amp;""))),"⚠"&amp;TRIM(E343&amp;""))</f>
        <v/>
      </c>
      <c r="N343" s="10">
        <f>IFERROR(IF(TRIM(F343&amp;"")="","",IF(AND(ISNUMBER(FIND(" ",TRIM(F343&amp;""))),ISNUMBER(MATCH(LEFT(TRIM(F343&amp;""),FIND(" ",TRIM(F343&amp;""))-1),설정_코드표!$J$2:$J$101,0)),ISNUMBER(MATCH(TRIM(RIGHT(SUBSTITUTE(TRIM(F343&amp;"")," ",REPT(" ",60)),60)),설정_코드표!$F$2:$F$101,0))),INDEX(설정_코드표!$K$2:$K$101,MATCH(LEFT(TRIM(F343&amp;""),FIND(" ",TRIM(F343&amp;""))-1),설정_코드표!$J$2:$J$101,0))&amp;" "&amp;INDEX(설정_코드표!$G$2:$G$101,MATCH(TRIM(RIGHT(SUBSTITUTE(TRIM(F343&amp;"")," ",REPT(" ",60)),60)),설정_코드표!$F$2:$F$101,0)),"⚠"&amp;TRIM(F343&amp;""))),"⚠"&amp;TRIM(F343&amp;""))</f>
        <v/>
      </c>
      <c r="O343" s="10">
        <f>IFERROR(IF(TRIM(G343&amp;"")="","",IF(AND(ISNUMBER(FIND(" ",TRIM(G343&amp;""))),ISNUMBER(MATCH(LEFT(TRIM(G343&amp;""),FIND(" ",TRIM(G343&amp;""))-1),설정_코드표!$J$2:$J$101,0)),ISNUMBER(MATCH(TRIM(RIGHT(SUBSTITUTE(TRIM(G343&amp;"")," ",REPT(" ",60)),60)),설정_코드표!$F$2:$F$101,0))),INDEX(설정_코드표!$K$2:$K$101,MATCH(LEFT(TRIM(G343&amp;""),FIND(" ",TRIM(G343&amp;""))-1),설정_코드표!$J$2:$J$101,0))&amp;" "&amp;INDEX(설정_코드표!$G$2:$G$101,MATCH(TRIM(RIGHT(SUBSTITUTE(TRIM(G343&amp;"")," ",REPT(" ",60)),60)),설정_코드표!$F$2:$F$101,0)),"⚠"&amp;TRIM(G343&amp;""))),"⚠"&amp;TRIM(G343&amp;""))</f>
        <v/>
      </c>
      <c r="P343" s="10">
        <f>IFERROR(IF(TRIM(H343&amp;"")="","",IF(AND(ISNUMBER(FIND(" ",TRIM(H343&amp;""))),ISNUMBER(MATCH(LEFT(TRIM(H343&amp;""),FIND(" ",TRIM(H343&amp;""))-1),설정_코드표!$J$2:$J$101,0)),ISNUMBER(MATCH(TRIM(RIGHT(SUBSTITUTE(TRIM(H343&amp;"")," ",REPT(" ",60)),60)),설정_코드표!$F$2:$F$101,0))),INDEX(설정_코드표!$K$2:$K$101,MATCH(LEFT(TRIM(H343&amp;""),FIND(" ",TRIM(H343&amp;""))-1),설정_코드표!$J$2:$J$101,0))&amp;" "&amp;INDEX(설정_코드표!$G$2:$G$101,MATCH(TRIM(RIGHT(SUBSTITUTE(TRIM(H343&amp;"")," ",REPT(" ",60)),60)),설정_코드표!$F$2:$F$101,0)),"⚠"&amp;TRIM(H343&amp;""))),"⚠"&amp;TRIM(H343&amp;""))</f>
        <v/>
      </c>
      <c r="Q343" s="10">
        <f>IFERROR(IF(TRIM(I343&amp;"")="","",IF(AND(ISNUMBER(FIND(" ",TRIM(I343&amp;""))),ISNUMBER(MATCH(LEFT(TRIM(I343&amp;""),FIND(" ",TRIM(I343&amp;""))-1),설정_코드표!$J$2:$J$101,0)),ISNUMBER(MATCH(TRIM(RIGHT(SUBSTITUTE(TRIM(I343&amp;"")," ",REPT(" ",60)),60)),설정_코드표!$F$2:$F$101,0))),INDEX(설정_코드표!$K$2:$K$101,MATCH(LEFT(TRIM(I343&amp;""),FIND(" ",TRIM(I343&amp;""))-1),설정_코드표!$J$2:$J$101,0))&amp;" "&amp;INDEX(설정_코드표!$G$2:$G$101,MATCH(TRIM(RIGHT(SUBSTITUTE(TRIM(I343&amp;"")," ",REPT(" ",60)),60)),설정_코드표!$F$2:$F$101,0)),"⚠"&amp;TRIM(I343&amp;""))),"⚠"&amp;TRIM(I343&amp;""))</f>
        <v/>
      </c>
      <c r="R343" s="10">
        <f>IFERROR(IF(TRIM(J343&amp;"")="","",IF(AND(ISNUMBER(FIND(" ",TRIM(J343&amp;""))),ISNUMBER(MATCH(LEFT(TRIM(J343&amp;""),FIND(" ",TRIM(J343&amp;""))-1),설정_코드표!$J$2:$J$101,0)),ISNUMBER(MATCH(TRIM(RIGHT(SUBSTITUTE(TRIM(J343&amp;"")," ",REPT(" ",60)),60)),설정_코드표!$F$2:$F$101,0))),INDEX(설정_코드표!$K$2:$K$101,MATCH(LEFT(TRIM(J343&amp;""),FIND(" ",TRIM(J343&amp;""))-1),설정_코드표!$J$2:$J$101,0))&amp;" "&amp;INDEX(설정_코드표!$G$2:$G$101,MATCH(TRIM(RIGHT(SUBSTITUTE(TRIM(J343&amp;"")," ",REPT(" ",60)),60)),설정_코드표!$F$2:$F$101,0)),"⚠"&amp;TRIM(J343&amp;""))),"⚠"&amp;TRIM(J343&amp;""))</f>
        <v/>
      </c>
      <c r="S343" s="11">
        <f>IF(K343="","",IFERROR(IF(AND(ROUND((VALUE(K343&amp;"")-INT(VALUE(K343&amp;"")))*100,0)&gt;=1,ROUND((VALUE(K343&amp;"")-INT(VALUE(K343&amp;"")))*100,0)&lt;=12,INT(VALUE(K343&amp;""))&gt;=1900),DATE(INT(VALUE(K343&amp;"")),ROUND((VALUE(K343&amp;"")-INT(VALUE(K343&amp;"")))*100,0),1),K343&amp;""),K343&amp;""))</f>
        <v/>
      </c>
      <c r="T343" s="10">
        <f>COUNTIF(M343:R343,"⚠*")</f>
        <v/>
      </c>
    </row>
    <row r="344"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M344" s="10">
        <f>IFERROR(IF(TRIM(E344&amp;"")="","",IF(AND(ISNUMBER(FIND(" ",TRIM(E344&amp;""))),ISNUMBER(MATCH(LEFT(TRIM(E344&amp;""),FIND(" ",TRIM(E344&amp;""))-1),설정_코드표!$J$2:$J$101,0)),ISNUMBER(MATCH(TRIM(RIGHT(SUBSTITUTE(TRIM(E344&amp;"")," ",REPT(" ",60)),60)),설정_코드표!$F$2:$F$101,0))),INDEX(설정_코드표!$K$2:$K$101,MATCH(LEFT(TRIM(E344&amp;""),FIND(" ",TRIM(E344&amp;""))-1),설정_코드표!$J$2:$J$101,0))&amp;" "&amp;INDEX(설정_코드표!$G$2:$G$101,MATCH(TRIM(RIGHT(SUBSTITUTE(TRIM(E344&amp;"")," ",REPT(" ",60)),60)),설정_코드표!$F$2:$F$101,0)),"⚠"&amp;TRIM(E344&amp;""))),"⚠"&amp;TRIM(E344&amp;""))</f>
        <v/>
      </c>
      <c r="N344" s="10">
        <f>IFERROR(IF(TRIM(F344&amp;"")="","",IF(AND(ISNUMBER(FIND(" ",TRIM(F344&amp;""))),ISNUMBER(MATCH(LEFT(TRIM(F344&amp;""),FIND(" ",TRIM(F344&amp;""))-1),설정_코드표!$J$2:$J$101,0)),ISNUMBER(MATCH(TRIM(RIGHT(SUBSTITUTE(TRIM(F344&amp;"")," ",REPT(" ",60)),60)),설정_코드표!$F$2:$F$101,0))),INDEX(설정_코드표!$K$2:$K$101,MATCH(LEFT(TRIM(F344&amp;""),FIND(" ",TRIM(F344&amp;""))-1),설정_코드표!$J$2:$J$101,0))&amp;" "&amp;INDEX(설정_코드표!$G$2:$G$101,MATCH(TRIM(RIGHT(SUBSTITUTE(TRIM(F344&amp;"")," ",REPT(" ",60)),60)),설정_코드표!$F$2:$F$101,0)),"⚠"&amp;TRIM(F344&amp;""))),"⚠"&amp;TRIM(F344&amp;""))</f>
        <v/>
      </c>
      <c r="O344" s="10">
        <f>IFERROR(IF(TRIM(G344&amp;"")="","",IF(AND(ISNUMBER(FIND(" ",TRIM(G344&amp;""))),ISNUMBER(MATCH(LEFT(TRIM(G344&amp;""),FIND(" ",TRIM(G344&amp;""))-1),설정_코드표!$J$2:$J$101,0)),ISNUMBER(MATCH(TRIM(RIGHT(SUBSTITUTE(TRIM(G344&amp;"")," ",REPT(" ",60)),60)),설정_코드표!$F$2:$F$101,0))),INDEX(설정_코드표!$K$2:$K$101,MATCH(LEFT(TRIM(G344&amp;""),FIND(" ",TRIM(G344&amp;""))-1),설정_코드표!$J$2:$J$101,0))&amp;" "&amp;INDEX(설정_코드표!$G$2:$G$101,MATCH(TRIM(RIGHT(SUBSTITUTE(TRIM(G344&amp;"")," ",REPT(" ",60)),60)),설정_코드표!$F$2:$F$101,0)),"⚠"&amp;TRIM(G344&amp;""))),"⚠"&amp;TRIM(G344&amp;""))</f>
        <v/>
      </c>
      <c r="P344" s="10">
        <f>IFERROR(IF(TRIM(H344&amp;"")="","",IF(AND(ISNUMBER(FIND(" ",TRIM(H344&amp;""))),ISNUMBER(MATCH(LEFT(TRIM(H344&amp;""),FIND(" ",TRIM(H344&amp;""))-1),설정_코드표!$J$2:$J$101,0)),ISNUMBER(MATCH(TRIM(RIGHT(SUBSTITUTE(TRIM(H344&amp;"")," ",REPT(" ",60)),60)),설정_코드표!$F$2:$F$101,0))),INDEX(설정_코드표!$K$2:$K$101,MATCH(LEFT(TRIM(H344&amp;""),FIND(" ",TRIM(H344&amp;""))-1),설정_코드표!$J$2:$J$101,0))&amp;" "&amp;INDEX(설정_코드표!$G$2:$G$101,MATCH(TRIM(RIGHT(SUBSTITUTE(TRIM(H344&amp;"")," ",REPT(" ",60)),60)),설정_코드표!$F$2:$F$101,0)),"⚠"&amp;TRIM(H344&amp;""))),"⚠"&amp;TRIM(H344&amp;""))</f>
        <v/>
      </c>
      <c r="Q344" s="10">
        <f>IFERROR(IF(TRIM(I344&amp;"")="","",IF(AND(ISNUMBER(FIND(" ",TRIM(I344&amp;""))),ISNUMBER(MATCH(LEFT(TRIM(I344&amp;""),FIND(" ",TRIM(I344&amp;""))-1),설정_코드표!$J$2:$J$101,0)),ISNUMBER(MATCH(TRIM(RIGHT(SUBSTITUTE(TRIM(I344&amp;"")," ",REPT(" ",60)),60)),설정_코드표!$F$2:$F$101,0))),INDEX(설정_코드표!$K$2:$K$101,MATCH(LEFT(TRIM(I344&amp;""),FIND(" ",TRIM(I344&amp;""))-1),설정_코드표!$J$2:$J$101,0))&amp;" "&amp;INDEX(설정_코드표!$G$2:$G$101,MATCH(TRIM(RIGHT(SUBSTITUTE(TRIM(I344&amp;"")," ",REPT(" ",60)),60)),설정_코드표!$F$2:$F$101,0)),"⚠"&amp;TRIM(I344&amp;""))),"⚠"&amp;TRIM(I344&amp;""))</f>
        <v/>
      </c>
      <c r="R344" s="10">
        <f>IFERROR(IF(TRIM(J344&amp;"")="","",IF(AND(ISNUMBER(FIND(" ",TRIM(J344&amp;""))),ISNUMBER(MATCH(LEFT(TRIM(J344&amp;""),FIND(" ",TRIM(J344&amp;""))-1),설정_코드표!$J$2:$J$101,0)),ISNUMBER(MATCH(TRIM(RIGHT(SUBSTITUTE(TRIM(J344&amp;"")," ",REPT(" ",60)),60)),설정_코드표!$F$2:$F$101,0))),INDEX(설정_코드표!$K$2:$K$101,MATCH(LEFT(TRIM(J344&amp;""),FIND(" ",TRIM(J344&amp;""))-1),설정_코드표!$J$2:$J$101,0))&amp;" "&amp;INDEX(설정_코드표!$G$2:$G$101,MATCH(TRIM(RIGHT(SUBSTITUTE(TRIM(J344&amp;"")," ",REPT(" ",60)),60)),설정_코드표!$F$2:$F$101,0)),"⚠"&amp;TRIM(J344&amp;""))),"⚠"&amp;TRIM(J344&amp;""))</f>
        <v/>
      </c>
      <c r="S344" s="11">
        <f>IF(K344="","",IFERROR(IF(AND(ROUND((VALUE(K344&amp;"")-INT(VALUE(K344&amp;"")))*100,0)&gt;=1,ROUND((VALUE(K344&amp;"")-INT(VALUE(K344&amp;"")))*100,0)&lt;=12,INT(VALUE(K344&amp;""))&gt;=1900),DATE(INT(VALUE(K344&amp;"")),ROUND((VALUE(K344&amp;"")-INT(VALUE(K344&amp;"")))*100,0),1),K344&amp;""),K344&amp;""))</f>
        <v/>
      </c>
      <c r="T344" s="10">
        <f>COUNTIF(M344:R344,"⚠*")</f>
        <v/>
      </c>
    </row>
    <row r="345"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M345" s="10">
        <f>IFERROR(IF(TRIM(E345&amp;"")="","",IF(AND(ISNUMBER(FIND(" ",TRIM(E345&amp;""))),ISNUMBER(MATCH(LEFT(TRIM(E345&amp;""),FIND(" ",TRIM(E345&amp;""))-1),설정_코드표!$J$2:$J$101,0)),ISNUMBER(MATCH(TRIM(RIGHT(SUBSTITUTE(TRIM(E345&amp;"")," ",REPT(" ",60)),60)),설정_코드표!$F$2:$F$101,0))),INDEX(설정_코드표!$K$2:$K$101,MATCH(LEFT(TRIM(E345&amp;""),FIND(" ",TRIM(E345&amp;""))-1),설정_코드표!$J$2:$J$101,0))&amp;" "&amp;INDEX(설정_코드표!$G$2:$G$101,MATCH(TRIM(RIGHT(SUBSTITUTE(TRIM(E345&amp;"")," ",REPT(" ",60)),60)),설정_코드표!$F$2:$F$101,0)),"⚠"&amp;TRIM(E345&amp;""))),"⚠"&amp;TRIM(E345&amp;""))</f>
        <v/>
      </c>
      <c r="N345" s="10">
        <f>IFERROR(IF(TRIM(F345&amp;"")="","",IF(AND(ISNUMBER(FIND(" ",TRIM(F345&amp;""))),ISNUMBER(MATCH(LEFT(TRIM(F345&amp;""),FIND(" ",TRIM(F345&amp;""))-1),설정_코드표!$J$2:$J$101,0)),ISNUMBER(MATCH(TRIM(RIGHT(SUBSTITUTE(TRIM(F345&amp;"")," ",REPT(" ",60)),60)),설정_코드표!$F$2:$F$101,0))),INDEX(설정_코드표!$K$2:$K$101,MATCH(LEFT(TRIM(F345&amp;""),FIND(" ",TRIM(F345&amp;""))-1),설정_코드표!$J$2:$J$101,0))&amp;" "&amp;INDEX(설정_코드표!$G$2:$G$101,MATCH(TRIM(RIGHT(SUBSTITUTE(TRIM(F345&amp;"")," ",REPT(" ",60)),60)),설정_코드표!$F$2:$F$101,0)),"⚠"&amp;TRIM(F345&amp;""))),"⚠"&amp;TRIM(F345&amp;""))</f>
        <v/>
      </c>
      <c r="O345" s="10">
        <f>IFERROR(IF(TRIM(G345&amp;"")="","",IF(AND(ISNUMBER(FIND(" ",TRIM(G345&amp;""))),ISNUMBER(MATCH(LEFT(TRIM(G345&amp;""),FIND(" ",TRIM(G345&amp;""))-1),설정_코드표!$J$2:$J$101,0)),ISNUMBER(MATCH(TRIM(RIGHT(SUBSTITUTE(TRIM(G345&amp;"")," ",REPT(" ",60)),60)),설정_코드표!$F$2:$F$101,0))),INDEX(설정_코드표!$K$2:$K$101,MATCH(LEFT(TRIM(G345&amp;""),FIND(" ",TRIM(G345&amp;""))-1),설정_코드표!$J$2:$J$101,0))&amp;" "&amp;INDEX(설정_코드표!$G$2:$G$101,MATCH(TRIM(RIGHT(SUBSTITUTE(TRIM(G345&amp;"")," ",REPT(" ",60)),60)),설정_코드표!$F$2:$F$101,0)),"⚠"&amp;TRIM(G345&amp;""))),"⚠"&amp;TRIM(G345&amp;""))</f>
        <v/>
      </c>
      <c r="P345" s="10">
        <f>IFERROR(IF(TRIM(H345&amp;"")="","",IF(AND(ISNUMBER(FIND(" ",TRIM(H345&amp;""))),ISNUMBER(MATCH(LEFT(TRIM(H345&amp;""),FIND(" ",TRIM(H345&amp;""))-1),설정_코드표!$J$2:$J$101,0)),ISNUMBER(MATCH(TRIM(RIGHT(SUBSTITUTE(TRIM(H345&amp;"")," ",REPT(" ",60)),60)),설정_코드표!$F$2:$F$101,0))),INDEX(설정_코드표!$K$2:$K$101,MATCH(LEFT(TRIM(H345&amp;""),FIND(" ",TRIM(H345&amp;""))-1),설정_코드표!$J$2:$J$101,0))&amp;" "&amp;INDEX(설정_코드표!$G$2:$G$101,MATCH(TRIM(RIGHT(SUBSTITUTE(TRIM(H345&amp;"")," ",REPT(" ",60)),60)),설정_코드표!$F$2:$F$101,0)),"⚠"&amp;TRIM(H345&amp;""))),"⚠"&amp;TRIM(H345&amp;""))</f>
        <v/>
      </c>
      <c r="Q345" s="10">
        <f>IFERROR(IF(TRIM(I345&amp;"")="","",IF(AND(ISNUMBER(FIND(" ",TRIM(I345&amp;""))),ISNUMBER(MATCH(LEFT(TRIM(I345&amp;""),FIND(" ",TRIM(I345&amp;""))-1),설정_코드표!$J$2:$J$101,0)),ISNUMBER(MATCH(TRIM(RIGHT(SUBSTITUTE(TRIM(I345&amp;"")," ",REPT(" ",60)),60)),설정_코드표!$F$2:$F$101,0))),INDEX(설정_코드표!$K$2:$K$101,MATCH(LEFT(TRIM(I345&amp;""),FIND(" ",TRIM(I345&amp;""))-1),설정_코드표!$J$2:$J$101,0))&amp;" "&amp;INDEX(설정_코드표!$G$2:$G$101,MATCH(TRIM(RIGHT(SUBSTITUTE(TRIM(I345&amp;"")," ",REPT(" ",60)),60)),설정_코드표!$F$2:$F$101,0)),"⚠"&amp;TRIM(I345&amp;""))),"⚠"&amp;TRIM(I345&amp;""))</f>
        <v/>
      </c>
      <c r="R345" s="10">
        <f>IFERROR(IF(TRIM(J345&amp;"")="","",IF(AND(ISNUMBER(FIND(" ",TRIM(J345&amp;""))),ISNUMBER(MATCH(LEFT(TRIM(J345&amp;""),FIND(" ",TRIM(J345&amp;""))-1),설정_코드표!$J$2:$J$101,0)),ISNUMBER(MATCH(TRIM(RIGHT(SUBSTITUTE(TRIM(J345&amp;"")," ",REPT(" ",60)),60)),설정_코드표!$F$2:$F$101,0))),INDEX(설정_코드표!$K$2:$K$101,MATCH(LEFT(TRIM(J345&amp;""),FIND(" ",TRIM(J345&amp;""))-1),설정_코드표!$J$2:$J$101,0))&amp;" "&amp;INDEX(설정_코드표!$G$2:$G$101,MATCH(TRIM(RIGHT(SUBSTITUTE(TRIM(J345&amp;"")," ",REPT(" ",60)),60)),설정_코드표!$F$2:$F$101,0)),"⚠"&amp;TRIM(J345&amp;""))),"⚠"&amp;TRIM(J345&amp;""))</f>
        <v/>
      </c>
      <c r="S345" s="11">
        <f>IF(K345="","",IFERROR(IF(AND(ROUND((VALUE(K345&amp;"")-INT(VALUE(K345&amp;"")))*100,0)&gt;=1,ROUND((VALUE(K345&amp;"")-INT(VALUE(K345&amp;"")))*100,0)&lt;=12,INT(VALUE(K345&amp;""))&gt;=1900),DATE(INT(VALUE(K345&amp;"")),ROUND((VALUE(K345&amp;"")-INT(VALUE(K345&amp;"")))*100,0),1),K345&amp;""),K345&amp;""))</f>
        <v/>
      </c>
      <c r="T345" s="10">
        <f>COUNTIF(M345:R345,"⚠*")</f>
        <v/>
      </c>
    </row>
    <row r="346"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M346" s="10">
        <f>IFERROR(IF(TRIM(E346&amp;"")="","",IF(AND(ISNUMBER(FIND(" ",TRIM(E346&amp;""))),ISNUMBER(MATCH(LEFT(TRIM(E346&amp;""),FIND(" ",TRIM(E346&amp;""))-1),설정_코드표!$J$2:$J$101,0)),ISNUMBER(MATCH(TRIM(RIGHT(SUBSTITUTE(TRIM(E346&amp;"")," ",REPT(" ",60)),60)),설정_코드표!$F$2:$F$101,0))),INDEX(설정_코드표!$K$2:$K$101,MATCH(LEFT(TRIM(E346&amp;""),FIND(" ",TRIM(E346&amp;""))-1),설정_코드표!$J$2:$J$101,0))&amp;" "&amp;INDEX(설정_코드표!$G$2:$G$101,MATCH(TRIM(RIGHT(SUBSTITUTE(TRIM(E346&amp;"")," ",REPT(" ",60)),60)),설정_코드표!$F$2:$F$101,0)),"⚠"&amp;TRIM(E346&amp;""))),"⚠"&amp;TRIM(E346&amp;""))</f>
        <v/>
      </c>
      <c r="N346" s="10">
        <f>IFERROR(IF(TRIM(F346&amp;"")="","",IF(AND(ISNUMBER(FIND(" ",TRIM(F346&amp;""))),ISNUMBER(MATCH(LEFT(TRIM(F346&amp;""),FIND(" ",TRIM(F346&amp;""))-1),설정_코드표!$J$2:$J$101,0)),ISNUMBER(MATCH(TRIM(RIGHT(SUBSTITUTE(TRIM(F346&amp;"")," ",REPT(" ",60)),60)),설정_코드표!$F$2:$F$101,0))),INDEX(설정_코드표!$K$2:$K$101,MATCH(LEFT(TRIM(F346&amp;""),FIND(" ",TRIM(F346&amp;""))-1),설정_코드표!$J$2:$J$101,0))&amp;" "&amp;INDEX(설정_코드표!$G$2:$G$101,MATCH(TRIM(RIGHT(SUBSTITUTE(TRIM(F346&amp;"")," ",REPT(" ",60)),60)),설정_코드표!$F$2:$F$101,0)),"⚠"&amp;TRIM(F346&amp;""))),"⚠"&amp;TRIM(F346&amp;""))</f>
        <v/>
      </c>
      <c r="O346" s="10">
        <f>IFERROR(IF(TRIM(G346&amp;"")="","",IF(AND(ISNUMBER(FIND(" ",TRIM(G346&amp;""))),ISNUMBER(MATCH(LEFT(TRIM(G346&amp;""),FIND(" ",TRIM(G346&amp;""))-1),설정_코드표!$J$2:$J$101,0)),ISNUMBER(MATCH(TRIM(RIGHT(SUBSTITUTE(TRIM(G346&amp;"")," ",REPT(" ",60)),60)),설정_코드표!$F$2:$F$101,0))),INDEX(설정_코드표!$K$2:$K$101,MATCH(LEFT(TRIM(G346&amp;""),FIND(" ",TRIM(G346&amp;""))-1),설정_코드표!$J$2:$J$101,0))&amp;" "&amp;INDEX(설정_코드표!$G$2:$G$101,MATCH(TRIM(RIGHT(SUBSTITUTE(TRIM(G346&amp;"")," ",REPT(" ",60)),60)),설정_코드표!$F$2:$F$101,0)),"⚠"&amp;TRIM(G346&amp;""))),"⚠"&amp;TRIM(G346&amp;""))</f>
        <v/>
      </c>
      <c r="P346" s="10">
        <f>IFERROR(IF(TRIM(H346&amp;"")="","",IF(AND(ISNUMBER(FIND(" ",TRIM(H346&amp;""))),ISNUMBER(MATCH(LEFT(TRIM(H346&amp;""),FIND(" ",TRIM(H346&amp;""))-1),설정_코드표!$J$2:$J$101,0)),ISNUMBER(MATCH(TRIM(RIGHT(SUBSTITUTE(TRIM(H346&amp;"")," ",REPT(" ",60)),60)),설정_코드표!$F$2:$F$101,0))),INDEX(설정_코드표!$K$2:$K$101,MATCH(LEFT(TRIM(H346&amp;""),FIND(" ",TRIM(H346&amp;""))-1),설정_코드표!$J$2:$J$101,0))&amp;" "&amp;INDEX(설정_코드표!$G$2:$G$101,MATCH(TRIM(RIGHT(SUBSTITUTE(TRIM(H346&amp;"")," ",REPT(" ",60)),60)),설정_코드표!$F$2:$F$101,0)),"⚠"&amp;TRIM(H346&amp;""))),"⚠"&amp;TRIM(H346&amp;""))</f>
        <v/>
      </c>
      <c r="Q346" s="10">
        <f>IFERROR(IF(TRIM(I346&amp;"")="","",IF(AND(ISNUMBER(FIND(" ",TRIM(I346&amp;""))),ISNUMBER(MATCH(LEFT(TRIM(I346&amp;""),FIND(" ",TRIM(I346&amp;""))-1),설정_코드표!$J$2:$J$101,0)),ISNUMBER(MATCH(TRIM(RIGHT(SUBSTITUTE(TRIM(I346&amp;"")," ",REPT(" ",60)),60)),설정_코드표!$F$2:$F$101,0))),INDEX(설정_코드표!$K$2:$K$101,MATCH(LEFT(TRIM(I346&amp;""),FIND(" ",TRIM(I346&amp;""))-1),설정_코드표!$J$2:$J$101,0))&amp;" "&amp;INDEX(설정_코드표!$G$2:$G$101,MATCH(TRIM(RIGHT(SUBSTITUTE(TRIM(I346&amp;"")," ",REPT(" ",60)),60)),설정_코드표!$F$2:$F$101,0)),"⚠"&amp;TRIM(I346&amp;""))),"⚠"&amp;TRIM(I346&amp;""))</f>
        <v/>
      </c>
      <c r="R346" s="10">
        <f>IFERROR(IF(TRIM(J346&amp;"")="","",IF(AND(ISNUMBER(FIND(" ",TRIM(J346&amp;""))),ISNUMBER(MATCH(LEFT(TRIM(J346&amp;""),FIND(" ",TRIM(J346&amp;""))-1),설정_코드표!$J$2:$J$101,0)),ISNUMBER(MATCH(TRIM(RIGHT(SUBSTITUTE(TRIM(J346&amp;"")," ",REPT(" ",60)),60)),설정_코드표!$F$2:$F$101,0))),INDEX(설정_코드표!$K$2:$K$101,MATCH(LEFT(TRIM(J346&amp;""),FIND(" ",TRIM(J346&amp;""))-1),설정_코드표!$J$2:$J$101,0))&amp;" "&amp;INDEX(설정_코드표!$G$2:$G$101,MATCH(TRIM(RIGHT(SUBSTITUTE(TRIM(J346&amp;"")," ",REPT(" ",60)),60)),설정_코드표!$F$2:$F$101,0)),"⚠"&amp;TRIM(J346&amp;""))),"⚠"&amp;TRIM(J346&amp;""))</f>
        <v/>
      </c>
      <c r="S346" s="11">
        <f>IF(K346="","",IFERROR(IF(AND(ROUND((VALUE(K346&amp;"")-INT(VALUE(K346&amp;"")))*100,0)&gt;=1,ROUND((VALUE(K346&amp;"")-INT(VALUE(K346&amp;"")))*100,0)&lt;=12,INT(VALUE(K346&amp;""))&gt;=1900),DATE(INT(VALUE(K346&amp;"")),ROUND((VALUE(K346&amp;"")-INT(VALUE(K346&amp;"")))*100,0),1),K346&amp;""),K346&amp;""))</f>
        <v/>
      </c>
      <c r="T346" s="10">
        <f>COUNTIF(M346:R346,"⚠*")</f>
        <v/>
      </c>
    </row>
    <row r="347"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M347" s="10">
        <f>IFERROR(IF(TRIM(E347&amp;"")="","",IF(AND(ISNUMBER(FIND(" ",TRIM(E347&amp;""))),ISNUMBER(MATCH(LEFT(TRIM(E347&amp;""),FIND(" ",TRIM(E347&amp;""))-1),설정_코드표!$J$2:$J$101,0)),ISNUMBER(MATCH(TRIM(RIGHT(SUBSTITUTE(TRIM(E347&amp;"")," ",REPT(" ",60)),60)),설정_코드표!$F$2:$F$101,0))),INDEX(설정_코드표!$K$2:$K$101,MATCH(LEFT(TRIM(E347&amp;""),FIND(" ",TRIM(E347&amp;""))-1),설정_코드표!$J$2:$J$101,0))&amp;" "&amp;INDEX(설정_코드표!$G$2:$G$101,MATCH(TRIM(RIGHT(SUBSTITUTE(TRIM(E347&amp;"")," ",REPT(" ",60)),60)),설정_코드표!$F$2:$F$101,0)),"⚠"&amp;TRIM(E347&amp;""))),"⚠"&amp;TRIM(E347&amp;""))</f>
        <v/>
      </c>
      <c r="N347" s="10">
        <f>IFERROR(IF(TRIM(F347&amp;"")="","",IF(AND(ISNUMBER(FIND(" ",TRIM(F347&amp;""))),ISNUMBER(MATCH(LEFT(TRIM(F347&amp;""),FIND(" ",TRIM(F347&amp;""))-1),설정_코드표!$J$2:$J$101,0)),ISNUMBER(MATCH(TRIM(RIGHT(SUBSTITUTE(TRIM(F347&amp;"")," ",REPT(" ",60)),60)),설정_코드표!$F$2:$F$101,0))),INDEX(설정_코드표!$K$2:$K$101,MATCH(LEFT(TRIM(F347&amp;""),FIND(" ",TRIM(F347&amp;""))-1),설정_코드표!$J$2:$J$101,0))&amp;" "&amp;INDEX(설정_코드표!$G$2:$G$101,MATCH(TRIM(RIGHT(SUBSTITUTE(TRIM(F347&amp;"")," ",REPT(" ",60)),60)),설정_코드표!$F$2:$F$101,0)),"⚠"&amp;TRIM(F347&amp;""))),"⚠"&amp;TRIM(F347&amp;""))</f>
        <v/>
      </c>
      <c r="O347" s="10">
        <f>IFERROR(IF(TRIM(G347&amp;"")="","",IF(AND(ISNUMBER(FIND(" ",TRIM(G347&amp;""))),ISNUMBER(MATCH(LEFT(TRIM(G347&amp;""),FIND(" ",TRIM(G347&amp;""))-1),설정_코드표!$J$2:$J$101,0)),ISNUMBER(MATCH(TRIM(RIGHT(SUBSTITUTE(TRIM(G347&amp;"")," ",REPT(" ",60)),60)),설정_코드표!$F$2:$F$101,0))),INDEX(설정_코드표!$K$2:$K$101,MATCH(LEFT(TRIM(G347&amp;""),FIND(" ",TRIM(G347&amp;""))-1),설정_코드표!$J$2:$J$101,0))&amp;" "&amp;INDEX(설정_코드표!$G$2:$G$101,MATCH(TRIM(RIGHT(SUBSTITUTE(TRIM(G347&amp;"")," ",REPT(" ",60)),60)),설정_코드표!$F$2:$F$101,0)),"⚠"&amp;TRIM(G347&amp;""))),"⚠"&amp;TRIM(G347&amp;""))</f>
        <v/>
      </c>
      <c r="P347" s="10">
        <f>IFERROR(IF(TRIM(H347&amp;"")="","",IF(AND(ISNUMBER(FIND(" ",TRIM(H347&amp;""))),ISNUMBER(MATCH(LEFT(TRIM(H347&amp;""),FIND(" ",TRIM(H347&amp;""))-1),설정_코드표!$J$2:$J$101,0)),ISNUMBER(MATCH(TRIM(RIGHT(SUBSTITUTE(TRIM(H347&amp;"")," ",REPT(" ",60)),60)),설정_코드표!$F$2:$F$101,0))),INDEX(설정_코드표!$K$2:$K$101,MATCH(LEFT(TRIM(H347&amp;""),FIND(" ",TRIM(H347&amp;""))-1),설정_코드표!$J$2:$J$101,0))&amp;" "&amp;INDEX(설정_코드표!$G$2:$G$101,MATCH(TRIM(RIGHT(SUBSTITUTE(TRIM(H347&amp;"")," ",REPT(" ",60)),60)),설정_코드표!$F$2:$F$101,0)),"⚠"&amp;TRIM(H347&amp;""))),"⚠"&amp;TRIM(H347&amp;""))</f>
        <v/>
      </c>
      <c r="Q347" s="10">
        <f>IFERROR(IF(TRIM(I347&amp;"")="","",IF(AND(ISNUMBER(FIND(" ",TRIM(I347&amp;""))),ISNUMBER(MATCH(LEFT(TRIM(I347&amp;""),FIND(" ",TRIM(I347&amp;""))-1),설정_코드표!$J$2:$J$101,0)),ISNUMBER(MATCH(TRIM(RIGHT(SUBSTITUTE(TRIM(I347&amp;"")," ",REPT(" ",60)),60)),설정_코드표!$F$2:$F$101,0))),INDEX(설정_코드표!$K$2:$K$101,MATCH(LEFT(TRIM(I347&amp;""),FIND(" ",TRIM(I347&amp;""))-1),설정_코드표!$J$2:$J$101,0))&amp;" "&amp;INDEX(설정_코드표!$G$2:$G$101,MATCH(TRIM(RIGHT(SUBSTITUTE(TRIM(I347&amp;"")," ",REPT(" ",60)),60)),설정_코드표!$F$2:$F$101,0)),"⚠"&amp;TRIM(I347&amp;""))),"⚠"&amp;TRIM(I347&amp;""))</f>
        <v/>
      </c>
      <c r="R347" s="10">
        <f>IFERROR(IF(TRIM(J347&amp;"")="","",IF(AND(ISNUMBER(FIND(" ",TRIM(J347&amp;""))),ISNUMBER(MATCH(LEFT(TRIM(J347&amp;""),FIND(" ",TRIM(J347&amp;""))-1),설정_코드표!$J$2:$J$101,0)),ISNUMBER(MATCH(TRIM(RIGHT(SUBSTITUTE(TRIM(J347&amp;"")," ",REPT(" ",60)),60)),설정_코드표!$F$2:$F$101,0))),INDEX(설정_코드표!$K$2:$K$101,MATCH(LEFT(TRIM(J347&amp;""),FIND(" ",TRIM(J347&amp;""))-1),설정_코드표!$J$2:$J$101,0))&amp;" "&amp;INDEX(설정_코드표!$G$2:$G$101,MATCH(TRIM(RIGHT(SUBSTITUTE(TRIM(J347&amp;"")," ",REPT(" ",60)),60)),설정_코드표!$F$2:$F$101,0)),"⚠"&amp;TRIM(J347&amp;""))),"⚠"&amp;TRIM(J347&amp;""))</f>
        <v/>
      </c>
      <c r="S347" s="11">
        <f>IF(K347="","",IFERROR(IF(AND(ROUND((VALUE(K347&amp;"")-INT(VALUE(K347&amp;"")))*100,0)&gt;=1,ROUND((VALUE(K347&amp;"")-INT(VALUE(K347&amp;"")))*100,0)&lt;=12,INT(VALUE(K347&amp;""))&gt;=1900),DATE(INT(VALUE(K347&amp;"")),ROUND((VALUE(K347&amp;"")-INT(VALUE(K347&amp;"")))*100,0),1),K347&amp;""),K347&amp;""))</f>
        <v/>
      </c>
      <c r="T347" s="10">
        <f>COUNTIF(M347:R347,"⚠*")</f>
        <v/>
      </c>
    </row>
    <row r="348"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M348" s="10">
        <f>IFERROR(IF(TRIM(E348&amp;"")="","",IF(AND(ISNUMBER(FIND(" ",TRIM(E348&amp;""))),ISNUMBER(MATCH(LEFT(TRIM(E348&amp;""),FIND(" ",TRIM(E348&amp;""))-1),설정_코드표!$J$2:$J$101,0)),ISNUMBER(MATCH(TRIM(RIGHT(SUBSTITUTE(TRIM(E348&amp;"")," ",REPT(" ",60)),60)),설정_코드표!$F$2:$F$101,0))),INDEX(설정_코드표!$K$2:$K$101,MATCH(LEFT(TRIM(E348&amp;""),FIND(" ",TRIM(E348&amp;""))-1),설정_코드표!$J$2:$J$101,0))&amp;" "&amp;INDEX(설정_코드표!$G$2:$G$101,MATCH(TRIM(RIGHT(SUBSTITUTE(TRIM(E348&amp;"")," ",REPT(" ",60)),60)),설정_코드표!$F$2:$F$101,0)),"⚠"&amp;TRIM(E348&amp;""))),"⚠"&amp;TRIM(E348&amp;""))</f>
        <v/>
      </c>
      <c r="N348" s="10">
        <f>IFERROR(IF(TRIM(F348&amp;"")="","",IF(AND(ISNUMBER(FIND(" ",TRIM(F348&amp;""))),ISNUMBER(MATCH(LEFT(TRIM(F348&amp;""),FIND(" ",TRIM(F348&amp;""))-1),설정_코드표!$J$2:$J$101,0)),ISNUMBER(MATCH(TRIM(RIGHT(SUBSTITUTE(TRIM(F348&amp;"")," ",REPT(" ",60)),60)),설정_코드표!$F$2:$F$101,0))),INDEX(설정_코드표!$K$2:$K$101,MATCH(LEFT(TRIM(F348&amp;""),FIND(" ",TRIM(F348&amp;""))-1),설정_코드표!$J$2:$J$101,0))&amp;" "&amp;INDEX(설정_코드표!$G$2:$G$101,MATCH(TRIM(RIGHT(SUBSTITUTE(TRIM(F348&amp;"")," ",REPT(" ",60)),60)),설정_코드표!$F$2:$F$101,0)),"⚠"&amp;TRIM(F348&amp;""))),"⚠"&amp;TRIM(F348&amp;""))</f>
        <v/>
      </c>
      <c r="O348" s="10">
        <f>IFERROR(IF(TRIM(G348&amp;"")="","",IF(AND(ISNUMBER(FIND(" ",TRIM(G348&amp;""))),ISNUMBER(MATCH(LEFT(TRIM(G348&amp;""),FIND(" ",TRIM(G348&amp;""))-1),설정_코드표!$J$2:$J$101,0)),ISNUMBER(MATCH(TRIM(RIGHT(SUBSTITUTE(TRIM(G348&amp;"")," ",REPT(" ",60)),60)),설정_코드표!$F$2:$F$101,0))),INDEX(설정_코드표!$K$2:$K$101,MATCH(LEFT(TRIM(G348&amp;""),FIND(" ",TRIM(G348&amp;""))-1),설정_코드표!$J$2:$J$101,0))&amp;" "&amp;INDEX(설정_코드표!$G$2:$G$101,MATCH(TRIM(RIGHT(SUBSTITUTE(TRIM(G348&amp;"")," ",REPT(" ",60)),60)),설정_코드표!$F$2:$F$101,0)),"⚠"&amp;TRIM(G348&amp;""))),"⚠"&amp;TRIM(G348&amp;""))</f>
        <v/>
      </c>
      <c r="P348" s="10">
        <f>IFERROR(IF(TRIM(H348&amp;"")="","",IF(AND(ISNUMBER(FIND(" ",TRIM(H348&amp;""))),ISNUMBER(MATCH(LEFT(TRIM(H348&amp;""),FIND(" ",TRIM(H348&amp;""))-1),설정_코드표!$J$2:$J$101,0)),ISNUMBER(MATCH(TRIM(RIGHT(SUBSTITUTE(TRIM(H348&amp;"")," ",REPT(" ",60)),60)),설정_코드표!$F$2:$F$101,0))),INDEX(설정_코드표!$K$2:$K$101,MATCH(LEFT(TRIM(H348&amp;""),FIND(" ",TRIM(H348&amp;""))-1),설정_코드표!$J$2:$J$101,0))&amp;" "&amp;INDEX(설정_코드표!$G$2:$G$101,MATCH(TRIM(RIGHT(SUBSTITUTE(TRIM(H348&amp;"")," ",REPT(" ",60)),60)),설정_코드표!$F$2:$F$101,0)),"⚠"&amp;TRIM(H348&amp;""))),"⚠"&amp;TRIM(H348&amp;""))</f>
        <v/>
      </c>
      <c r="Q348" s="10">
        <f>IFERROR(IF(TRIM(I348&amp;"")="","",IF(AND(ISNUMBER(FIND(" ",TRIM(I348&amp;""))),ISNUMBER(MATCH(LEFT(TRIM(I348&amp;""),FIND(" ",TRIM(I348&amp;""))-1),설정_코드표!$J$2:$J$101,0)),ISNUMBER(MATCH(TRIM(RIGHT(SUBSTITUTE(TRIM(I348&amp;"")," ",REPT(" ",60)),60)),설정_코드표!$F$2:$F$101,0))),INDEX(설정_코드표!$K$2:$K$101,MATCH(LEFT(TRIM(I348&amp;""),FIND(" ",TRIM(I348&amp;""))-1),설정_코드표!$J$2:$J$101,0))&amp;" "&amp;INDEX(설정_코드표!$G$2:$G$101,MATCH(TRIM(RIGHT(SUBSTITUTE(TRIM(I348&amp;"")," ",REPT(" ",60)),60)),설정_코드표!$F$2:$F$101,0)),"⚠"&amp;TRIM(I348&amp;""))),"⚠"&amp;TRIM(I348&amp;""))</f>
        <v/>
      </c>
      <c r="R348" s="10">
        <f>IFERROR(IF(TRIM(J348&amp;"")="","",IF(AND(ISNUMBER(FIND(" ",TRIM(J348&amp;""))),ISNUMBER(MATCH(LEFT(TRIM(J348&amp;""),FIND(" ",TRIM(J348&amp;""))-1),설정_코드표!$J$2:$J$101,0)),ISNUMBER(MATCH(TRIM(RIGHT(SUBSTITUTE(TRIM(J348&amp;"")," ",REPT(" ",60)),60)),설정_코드표!$F$2:$F$101,0))),INDEX(설정_코드표!$K$2:$K$101,MATCH(LEFT(TRIM(J348&amp;""),FIND(" ",TRIM(J348&amp;""))-1),설정_코드표!$J$2:$J$101,0))&amp;" "&amp;INDEX(설정_코드표!$G$2:$G$101,MATCH(TRIM(RIGHT(SUBSTITUTE(TRIM(J348&amp;"")," ",REPT(" ",60)),60)),설정_코드표!$F$2:$F$101,0)),"⚠"&amp;TRIM(J348&amp;""))),"⚠"&amp;TRIM(J348&amp;""))</f>
        <v/>
      </c>
      <c r="S348" s="11">
        <f>IF(K348="","",IFERROR(IF(AND(ROUND((VALUE(K348&amp;"")-INT(VALUE(K348&amp;"")))*100,0)&gt;=1,ROUND((VALUE(K348&amp;"")-INT(VALUE(K348&amp;"")))*100,0)&lt;=12,INT(VALUE(K348&amp;""))&gt;=1900),DATE(INT(VALUE(K348&amp;"")),ROUND((VALUE(K348&amp;"")-INT(VALUE(K348&amp;"")))*100,0),1),K348&amp;""),K348&amp;""))</f>
        <v/>
      </c>
      <c r="T348" s="10">
        <f>COUNTIF(M348:R348,"⚠*")</f>
        <v/>
      </c>
    </row>
    <row r="349"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M349" s="10">
        <f>IFERROR(IF(TRIM(E349&amp;"")="","",IF(AND(ISNUMBER(FIND(" ",TRIM(E349&amp;""))),ISNUMBER(MATCH(LEFT(TRIM(E349&amp;""),FIND(" ",TRIM(E349&amp;""))-1),설정_코드표!$J$2:$J$101,0)),ISNUMBER(MATCH(TRIM(RIGHT(SUBSTITUTE(TRIM(E349&amp;"")," ",REPT(" ",60)),60)),설정_코드표!$F$2:$F$101,0))),INDEX(설정_코드표!$K$2:$K$101,MATCH(LEFT(TRIM(E349&amp;""),FIND(" ",TRIM(E349&amp;""))-1),설정_코드표!$J$2:$J$101,0))&amp;" "&amp;INDEX(설정_코드표!$G$2:$G$101,MATCH(TRIM(RIGHT(SUBSTITUTE(TRIM(E349&amp;"")," ",REPT(" ",60)),60)),설정_코드표!$F$2:$F$101,0)),"⚠"&amp;TRIM(E349&amp;""))),"⚠"&amp;TRIM(E349&amp;""))</f>
        <v/>
      </c>
      <c r="N349" s="10">
        <f>IFERROR(IF(TRIM(F349&amp;"")="","",IF(AND(ISNUMBER(FIND(" ",TRIM(F349&amp;""))),ISNUMBER(MATCH(LEFT(TRIM(F349&amp;""),FIND(" ",TRIM(F349&amp;""))-1),설정_코드표!$J$2:$J$101,0)),ISNUMBER(MATCH(TRIM(RIGHT(SUBSTITUTE(TRIM(F349&amp;"")," ",REPT(" ",60)),60)),설정_코드표!$F$2:$F$101,0))),INDEX(설정_코드표!$K$2:$K$101,MATCH(LEFT(TRIM(F349&amp;""),FIND(" ",TRIM(F349&amp;""))-1),설정_코드표!$J$2:$J$101,0))&amp;" "&amp;INDEX(설정_코드표!$G$2:$G$101,MATCH(TRIM(RIGHT(SUBSTITUTE(TRIM(F349&amp;"")," ",REPT(" ",60)),60)),설정_코드표!$F$2:$F$101,0)),"⚠"&amp;TRIM(F349&amp;""))),"⚠"&amp;TRIM(F349&amp;""))</f>
        <v/>
      </c>
      <c r="O349" s="10">
        <f>IFERROR(IF(TRIM(G349&amp;"")="","",IF(AND(ISNUMBER(FIND(" ",TRIM(G349&amp;""))),ISNUMBER(MATCH(LEFT(TRIM(G349&amp;""),FIND(" ",TRIM(G349&amp;""))-1),설정_코드표!$J$2:$J$101,0)),ISNUMBER(MATCH(TRIM(RIGHT(SUBSTITUTE(TRIM(G349&amp;"")," ",REPT(" ",60)),60)),설정_코드표!$F$2:$F$101,0))),INDEX(설정_코드표!$K$2:$K$101,MATCH(LEFT(TRIM(G349&amp;""),FIND(" ",TRIM(G349&amp;""))-1),설정_코드표!$J$2:$J$101,0))&amp;" "&amp;INDEX(설정_코드표!$G$2:$G$101,MATCH(TRIM(RIGHT(SUBSTITUTE(TRIM(G349&amp;"")," ",REPT(" ",60)),60)),설정_코드표!$F$2:$F$101,0)),"⚠"&amp;TRIM(G349&amp;""))),"⚠"&amp;TRIM(G349&amp;""))</f>
        <v/>
      </c>
      <c r="P349" s="10">
        <f>IFERROR(IF(TRIM(H349&amp;"")="","",IF(AND(ISNUMBER(FIND(" ",TRIM(H349&amp;""))),ISNUMBER(MATCH(LEFT(TRIM(H349&amp;""),FIND(" ",TRIM(H349&amp;""))-1),설정_코드표!$J$2:$J$101,0)),ISNUMBER(MATCH(TRIM(RIGHT(SUBSTITUTE(TRIM(H349&amp;"")," ",REPT(" ",60)),60)),설정_코드표!$F$2:$F$101,0))),INDEX(설정_코드표!$K$2:$K$101,MATCH(LEFT(TRIM(H349&amp;""),FIND(" ",TRIM(H349&amp;""))-1),설정_코드표!$J$2:$J$101,0))&amp;" "&amp;INDEX(설정_코드표!$G$2:$G$101,MATCH(TRIM(RIGHT(SUBSTITUTE(TRIM(H349&amp;"")," ",REPT(" ",60)),60)),설정_코드표!$F$2:$F$101,0)),"⚠"&amp;TRIM(H349&amp;""))),"⚠"&amp;TRIM(H349&amp;""))</f>
        <v/>
      </c>
      <c r="Q349" s="10">
        <f>IFERROR(IF(TRIM(I349&amp;"")="","",IF(AND(ISNUMBER(FIND(" ",TRIM(I349&amp;""))),ISNUMBER(MATCH(LEFT(TRIM(I349&amp;""),FIND(" ",TRIM(I349&amp;""))-1),설정_코드표!$J$2:$J$101,0)),ISNUMBER(MATCH(TRIM(RIGHT(SUBSTITUTE(TRIM(I349&amp;"")," ",REPT(" ",60)),60)),설정_코드표!$F$2:$F$101,0))),INDEX(설정_코드표!$K$2:$K$101,MATCH(LEFT(TRIM(I349&amp;""),FIND(" ",TRIM(I349&amp;""))-1),설정_코드표!$J$2:$J$101,0))&amp;" "&amp;INDEX(설정_코드표!$G$2:$G$101,MATCH(TRIM(RIGHT(SUBSTITUTE(TRIM(I349&amp;"")," ",REPT(" ",60)),60)),설정_코드표!$F$2:$F$101,0)),"⚠"&amp;TRIM(I349&amp;""))),"⚠"&amp;TRIM(I349&amp;""))</f>
        <v/>
      </c>
      <c r="R349" s="10">
        <f>IFERROR(IF(TRIM(J349&amp;"")="","",IF(AND(ISNUMBER(FIND(" ",TRIM(J349&amp;""))),ISNUMBER(MATCH(LEFT(TRIM(J349&amp;""),FIND(" ",TRIM(J349&amp;""))-1),설정_코드표!$J$2:$J$101,0)),ISNUMBER(MATCH(TRIM(RIGHT(SUBSTITUTE(TRIM(J349&amp;"")," ",REPT(" ",60)),60)),설정_코드표!$F$2:$F$101,0))),INDEX(설정_코드표!$K$2:$K$101,MATCH(LEFT(TRIM(J349&amp;""),FIND(" ",TRIM(J349&amp;""))-1),설정_코드표!$J$2:$J$101,0))&amp;" "&amp;INDEX(설정_코드표!$G$2:$G$101,MATCH(TRIM(RIGHT(SUBSTITUTE(TRIM(J349&amp;"")," ",REPT(" ",60)),60)),설정_코드표!$F$2:$F$101,0)),"⚠"&amp;TRIM(J349&amp;""))),"⚠"&amp;TRIM(J349&amp;""))</f>
        <v/>
      </c>
      <c r="S349" s="11">
        <f>IF(K349="","",IFERROR(IF(AND(ROUND((VALUE(K349&amp;"")-INT(VALUE(K349&amp;"")))*100,0)&gt;=1,ROUND((VALUE(K349&amp;"")-INT(VALUE(K349&amp;"")))*100,0)&lt;=12,INT(VALUE(K349&amp;""))&gt;=1900),DATE(INT(VALUE(K349&amp;"")),ROUND((VALUE(K349&amp;"")-INT(VALUE(K349&amp;"")))*100,0),1),K349&amp;""),K349&amp;""))</f>
        <v/>
      </c>
      <c r="T349" s="10">
        <f>COUNTIF(M349:R349,"⚠*")</f>
        <v/>
      </c>
    </row>
    <row r="350"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M350" s="10">
        <f>IFERROR(IF(TRIM(E350&amp;"")="","",IF(AND(ISNUMBER(FIND(" ",TRIM(E350&amp;""))),ISNUMBER(MATCH(LEFT(TRIM(E350&amp;""),FIND(" ",TRIM(E350&amp;""))-1),설정_코드표!$J$2:$J$101,0)),ISNUMBER(MATCH(TRIM(RIGHT(SUBSTITUTE(TRIM(E350&amp;"")," ",REPT(" ",60)),60)),설정_코드표!$F$2:$F$101,0))),INDEX(설정_코드표!$K$2:$K$101,MATCH(LEFT(TRIM(E350&amp;""),FIND(" ",TRIM(E350&amp;""))-1),설정_코드표!$J$2:$J$101,0))&amp;" "&amp;INDEX(설정_코드표!$G$2:$G$101,MATCH(TRIM(RIGHT(SUBSTITUTE(TRIM(E350&amp;"")," ",REPT(" ",60)),60)),설정_코드표!$F$2:$F$101,0)),"⚠"&amp;TRIM(E350&amp;""))),"⚠"&amp;TRIM(E350&amp;""))</f>
        <v/>
      </c>
      <c r="N350" s="10">
        <f>IFERROR(IF(TRIM(F350&amp;"")="","",IF(AND(ISNUMBER(FIND(" ",TRIM(F350&amp;""))),ISNUMBER(MATCH(LEFT(TRIM(F350&amp;""),FIND(" ",TRIM(F350&amp;""))-1),설정_코드표!$J$2:$J$101,0)),ISNUMBER(MATCH(TRIM(RIGHT(SUBSTITUTE(TRIM(F350&amp;"")," ",REPT(" ",60)),60)),설정_코드표!$F$2:$F$101,0))),INDEX(설정_코드표!$K$2:$K$101,MATCH(LEFT(TRIM(F350&amp;""),FIND(" ",TRIM(F350&amp;""))-1),설정_코드표!$J$2:$J$101,0))&amp;" "&amp;INDEX(설정_코드표!$G$2:$G$101,MATCH(TRIM(RIGHT(SUBSTITUTE(TRIM(F350&amp;"")," ",REPT(" ",60)),60)),설정_코드표!$F$2:$F$101,0)),"⚠"&amp;TRIM(F350&amp;""))),"⚠"&amp;TRIM(F350&amp;""))</f>
        <v/>
      </c>
      <c r="O350" s="10">
        <f>IFERROR(IF(TRIM(G350&amp;"")="","",IF(AND(ISNUMBER(FIND(" ",TRIM(G350&amp;""))),ISNUMBER(MATCH(LEFT(TRIM(G350&amp;""),FIND(" ",TRIM(G350&amp;""))-1),설정_코드표!$J$2:$J$101,0)),ISNUMBER(MATCH(TRIM(RIGHT(SUBSTITUTE(TRIM(G350&amp;"")," ",REPT(" ",60)),60)),설정_코드표!$F$2:$F$101,0))),INDEX(설정_코드표!$K$2:$K$101,MATCH(LEFT(TRIM(G350&amp;""),FIND(" ",TRIM(G350&amp;""))-1),설정_코드표!$J$2:$J$101,0))&amp;" "&amp;INDEX(설정_코드표!$G$2:$G$101,MATCH(TRIM(RIGHT(SUBSTITUTE(TRIM(G350&amp;"")," ",REPT(" ",60)),60)),설정_코드표!$F$2:$F$101,0)),"⚠"&amp;TRIM(G350&amp;""))),"⚠"&amp;TRIM(G350&amp;""))</f>
        <v/>
      </c>
      <c r="P350" s="10">
        <f>IFERROR(IF(TRIM(H350&amp;"")="","",IF(AND(ISNUMBER(FIND(" ",TRIM(H350&amp;""))),ISNUMBER(MATCH(LEFT(TRIM(H350&amp;""),FIND(" ",TRIM(H350&amp;""))-1),설정_코드표!$J$2:$J$101,0)),ISNUMBER(MATCH(TRIM(RIGHT(SUBSTITUTE(TRIM(H350&amp;"")," ",REPT(" ",60)),60)),설정_코드표!$F$2:$F$101,0))),INDEX(설정_코드표!$K$2:$K$101,MATCH(LEFT(TRIM(H350&amp;""),FIND(" ",TRIM(H350&amp;""))-1),설정_코드표!$J$2:$J$101,0))&amp;" "&amp;INDEX(설정_코드표!$G$2:$G$101,MATCH(TRIM(RIGHT(SUBSTITUTE(TRIM(H350&amp;"")," ",REPT(" ",60)),60)),설정_코드표!$F$2:$F$101,0)),"⚠"&amp;TRIM(H350&amp;""))),"⚠"&amp;TRIM(H350&amp;""))</f>
        <v/>
      </c>
      <c r="Q350" s="10">
        <f>IFERROR(IF(TRIM(I350&amp;"")="","",IF(AND(ISNUMBER(FIND(" ",TRIM(I350&amp;""))),ISNUMBER(MATCH(LEFT(TRIM(I350&amp;""),FIND(" ",TRIM(I350&amp;""))-1),설정_코드표!$J$2:$J$101,0)),ISNUMBER(MATCH(TRIM(RIGHT(SUBSTITUTE(TRIM(I350&amp;"")," ",REPT(" ",60)),60)),설정_코드표!$F$2:$F$101,0))),INDEX(설정_코드표!$K$2:$K$101,MATCH(LEFT(TRIM(I350&amp;""),FIND(" ",TRIM(I350&amp;""))-1),설정_코드표!$J$2:$J$101,0))&amp;" "&amp;INDEX(설정_코드표!$G$2:$G$101,MATCH(TRIM(RIGHT(SUBSTITUTE(TRIM(I350&amp;"")," ",REPT(" ",60)),60)),설정_코드표!$F$2:$F$101,0)),"⚠"&amp;TRIM(I350&amp;""))),"⚠"&amp;TRIM(I350&amp;""))</f>
        <v/>
      </c>
      <c r="R350" s="10">
        <f>IFERROR(IF(TRIM(J350&amp;"")="","",IF(AND(ISNUMBER(FIND(" ",TRIM(J350&amp;""))),ISNUMBER(MATCH(LEFT(TRIM(J350&amp;""),FIND(" ",TRIM(J350&amp;""))-1),설정_코드표!$J$2:$J$101,0)),ISNUMBER(MATCH(TRIM(RIGHT(SUBSTITUTE(TRIM(J350&amp;"")," ",REPT(" ",60)),60)),설정_코드표!$F$2:$F$101,0))),INDEX(설정_코드표!$K$2:$K$101,MATCH(LEFT(TRIM(J350&amp;""),FIND(" ",TRIM(J350&amp;""))-1),설정_코드표!$J$2:$J$101,0))&amp;" "&amp;INDEX(설정_코드표!$G$2:$G$101,MATCH(TRIM(RIGHT(SUBSTITUTE(TRIM(J350&amp;"")," ",REPT(" ",60)),60)),설정_코드표!$F$2:$F$101,0)),"⚠"&amp;TRIM(J350&amp;""))),"⚠"&amp;TRIM(J350&amp;""))</f>
        <v/>
      </c>
      <c r="S350" s="11">
        <f>IF(K350="","",IFERROR(IF(AND(ROUND((VALUE(K350&amp;"")-INT(VALUE(K350&amp;"")))*100,0)&gt;=1,ROUND((VALUE(K350&amp;"")-INT(VALUE(K350&amp;"")))*100,0)&lt;=12,INT(VALUE(K350&amp;""))&gt;=1900),DATE(INT(VALUE(K350&amp;"")),ROUND((VALUE(K350&amp;"")-INT(VALUE(K350&amp;"")))*100,0),1),K350&amp;""),K350&amp;""))</f>
        <v/>
      </c>
      <c r="T350" s="10">
        <f>COUNTIF(M350:R350,"⚠*")</f>
        <v/>
      </c>
    </row>
    <row r="351"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M351" s="10">
        <f>IFERROR(IF(TRIM(E351&amp;"")="","",IF(AND(ISNUMBER(FIND(" ",TRIM(E351&amp;""))),ISNUMBER(MATCH(LEFT(TRIM(E351&amp;""),FIND(" ",TRIM(E351&amp;""))-1),설정_코드표!$J$2:$J$101,0)),ISNUMBER(MATCH(TRIM(RIGHT(SUBSTITUTE(TRIM(E351&amp;"")," ",REPT(" ",60)),60)),설정_코드표!$F$2:$F$101,0))),INDEX(설정_코드표!$K$2:$K$101,MATCH(LEFT(TRIM(E351&amp;""),FIND(" ",TRIM(E351&amp;""))-1),설정_코드표!$J$2:$J$101,0))&amp;" "&amp;INDEX(설정_코드표!$G$2:$G$101,MATCH(TRIM(RIGHT(SUBSTITUTE(TRIM(E351&amp;"")," ",REPT(" ",60)),60)),설정_코드표!$F$2:$F$101,0)),"⚠"&amp;TRIM(E351&amp;""))),"⚠"&amp;TRIM(E351&amp;""))</f>
        <v/>
      </c>
      <c r="N351" s="10">
        <f>IFERROR(IF(TRIM(F351&amp;"")="","",IF(AND(ISNUMBER(FIND(" ",TRIM(F351&amp;""))),ISNUMBER(MATCH(LEFT(TRIM(F351&amp;""),FIND(" ",TRIM(F351&amp;""))-1),설정_코드표!$J$2:$J$101,0)),ISNUMBER(MATCH(TRIM(RIGHT(SUBSTITUTE(TRIM(F351&amp;"")," ",REPT(" ",60)),60)),설정_코드표!$F$2:$F$101,0))),INDEX(설정_코드표!$K$2:$K$101,MATCH(LEFT(TRIM(F351&amp;""),FIND(" ",TRIM(F351&amp;""))-1),설정_코드표!$J$2:$J$101,0))&amp;" "&amp;INDEX(설정_코드표!$G$2:$G$101,MATCH(TRIM(RIGHT(SUBSTITUTE(TRIM(F351&amp;"")," ",REPT(" ",60)),60)),설정_코드표!$F$2:$F$101,0)),"⚠"&amp;TRIM(F351&amp;""))),"⚠"&amp;TRIM(F351&amp;""))</f>
        <v/>
      </c>
      <c r="O351" s="10">
        <f>IFERROR(IF(TRIM(G351&amp;"")="","",IF(AND(ISNUMBER(FIND(" ",TRIM(G351&amp;""))),ISNUMBER(MATCH(LEFT(TRIM(G351&amp;""),FIND(" ",TRIM(G351&amp;""))-1),설정_코드표!$J$2:$J$101,0)),ISNUMBER(MATCH(TRIM(RIGHT(SUBSTITUTE(TRIM(G351&amp;"")," ",REPT(" ",60)),60)),설정_코드표!$F$2:$F$101,0))),INDEX(설정_코드표!$K$2:$K$101,MATCH(LEFT(TRIM(G351&amp;""),FIND(" ",TRIM(G351&amp;""))-1),설정_코드표!$J$2:$J$101,0))&amp;" "&amp;INDEX(설정_코드표!$G$2:$G$101,MATCH(TRIM(RIGHT(SUBSTITUTE(TRIM(G351&amp;"")," ",REPT(" ",60)),60)),설정_코드표!$F$2:$F$101,0)),"⚠"&amp;TRIM(G351&amp;""))),"⚠"&amp;TRIM(G351&amp;""))</f>
        <v/>
      </c>
      <c r="P351" s="10">
        <f>IFERROR(IF(TRIM(H351&amp;"")="","",IF(AND(ISNUMBER(FIND(" ",TRIM(H351&amp;""))),ISNUMBER(MATCH(LEFT(TRIM(H351&amp;""),FIND(" ",TRIM(H351&amp;""))-1),설정_코드표!$J$2:$J$101,0)),ISNUMBER(MATCH(TRIM(RIGHT(SUBSTITUTE(TRIM(H351&amp;"")," ",REPT(" ",60)),60)),설정_코드표!$F$2:$F$101,0))),INDEX(설정_코드표!$K$2:$K$101,MATCH(LEFT(TRIM(H351&amp;""),FIND(" ",TRIM(H351&amp;""))-1),설정_코드표!$J$2:$J$101,0))&amp;" "&amp;INDEX(설정_코드표!$G$2:$G$101,MATCH(TRIM(RIGHT(SUBSTITUTE(TRIM(H351&amp;"")," ",REPT(" ",60)),60)),설정_코드표!$F$2:$F$101,0)),"⚠"&amp;TRIM(H351&amp;""))),"⚠"&amp;TRIM(H351&amp;""))</f>
        <v/>
      </c>
      <c r="Q351" s="10">
        <f>IFERROR(IF(TRIM(I351&amp;"")="","",IF(AND(ISNUMBER(FIND(" ",TRIM(I351&amp;""))),ISNUMBER(MATCH(LEFT(TRIM(I351&amp;""),FIND(" ",TRIM(I351&amp;""))-1),설정_코드표!$J$2:$J$101,0)),ISNUMBER(MATCH(TRIM(RIGHT(SUBSTITUTE(TRIM(I351&amp;"")," ",REPT(" ",60)),60)),설정_코드표!$F$2:$F$101,0))),INDEX(설정_코드표!$K$2:$K$101,MATCH(LEFT(TRIM(I351&amp;""),FIND(" ",TRIM(I351&amp;""))-1),설정_코드표!$J$2:$J$101,0))&amp;" "&amp;INDEX(설정_코드표!$G$2:$G$101,MATCH(TRIM(RIGHT(SUBSTITUTE(TRIM(I351&amp;"")," ",REPT(" ",60)),60)),설정_코드표!$F$2:$F$101,0)),"⚠"&amp;TRIM(I351&amp;""))),"⚠"&amp;TRIM(I351&amp;""))</f>
        <v/>
      </c>
      <c r="R351" s="10">
        <f>IFERROR(IF(TRIM(J351&amp;"")="","",IF(AND(ISNUMBER(FIND(" ",TRIM(J351&amp;""))),ISNUMBER(MATCH(LEFT(TRIM(J351&amp;""),FIND(" ",TRIM(J351&amp;""))-1),설정_코드표!$J$2:$J$101,0)),ISNUMBER(MATCH(TRIM(RIGHT(SUBSTITUTE(TRIM(J351&amp;"")," ",REPT(" ",60)),60)),설정_코드표!$F$2:$F$101,0))),INDEX(설정_코드표!$K$2:$K$101,MATCH(LEFT(TRIM(J351&amp;""),FIND(" ",TRIM(J351&amp;""))-1),설정_코드표!$J$2:$J$101,0))&amp;" "&amp;INDEX(설정_코드표!$G$2:$G$101,MATCH(TRIM(RIGHT(SUBSTITUTE(TRIM(J351&amp;"")," ",REPT(" ",60)),60)),설정_코드표!$F$2:$F$101,0)),"⚠"&amp;TRIM(J351&amp;""))),"⚠"&amp;TRIM(J351&amp;""))</f>
        <v/>
      </c>
      <c r="S351" s="11">
        <f>IF(K351="","",IFERROR(IF(AND(ROUND((VALUE(K351&amp;"")-INT(VALUE(K351&amp;"")))*100,0)&gt;=1,ROUND((VALUE(K351&amp;"")-INT(VALUE(K351&amp;"")))*100,0)&lt;=12,INT(VALUE(K351&amp;""))&gt;=1900),DATE(INT(VALUE(K351&amp;"")),ROUND((VALUE(K351&amp;"")-INT(VALUE(K351&amp;"")))*100,0),1),K351&amp;""),K351&amp;""))</f>
        <v/>
      </c>
      <c r="T351" s="10">
        <f>COUNTIF(M351:R351,"⚠*")</f>
        <v/>
      </c>
    </row>
    <row r="352"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M352" s="10">
        <f>IFERROR(IF(TRIM(E352&amp;"")="","",IF(AND(ISNUMBER(FIND(" ",TRIM(E352&amp;""))),ISNUMBER(MATCH(LEFT(TRIM(E352&amp;""),FIND(" ",TRIM(E352&amp;""))-1),설정_코드표!$J$2:$J$101,0)),ISNUMBER(MATCH(TRIM(RIGHT(SUBSTITUTE(TRIM(E352&amp;"")," ",REPT(" ",60)),60)),설정_코드표!$F$2:$F$101,0))),INDEX(설정_코드표!$K$2:$K$101,MATCH(LEFT(TRIM(E352&amp;""),FIND(" ",TRIM(E352&amp;""))-1),설정_코드표!$J$2:$J$101,0))&amp;" "&amp;INDEX(설정_코드표!$G$2:$G$101,MATCH(TRIM(RIGHT(SUBSTITUTE(TRIM(E352&amp;"")," ",REPT(" ",60)),60)),설정_코드표!$F$2:$F$101,0)),"⚠"&amp;TRIM(E352&amp;""))),"⚠"&amp;TRIM(E352&amp;""))</f>
        <v/>
      </c>
      <c r="N352" s="10">
        <f>IFERROR(IF(TRIM(F352&amp;"")="","",IF(AND(ISNUMBER(FIND(" ",TRIM(F352&amp;""))),ISNUMBER(MATCH(LEFT(TRIM(F352&amp;""),FIND(" ",TRIM(F352&amp;""))-1),설정_코드표!$J$2:$J$101,0)),ISNUMBER(MATCH(TRIM(RIGHT(SUBSTITUTE(TRIM(F352&amp;"")," ",REPT(" ",60)),60)),설정_코드표!$F$2:$F$101,0))),INDEX(설정_코드표!$K$2:$K$101,MATCH(LEFT(TRIM(F352&amp;""),FIND(" ",TRIM(F352&amp;""))-1),설정_코드표!$J$2:$J$101,0))&amp;" "&amp;INDEX(설정_코드표!$G$2:$G$101,MATCH(TRIM(RIGHT(SUBSTITUTE(TRIM(F352&amp;"")," ",REPT(" ",60)),60)),설정_코드표!$F$2:$F$101,0)),"⚠"&amp;TRIM(F352&amp;""))),"⚠"&amp;TRIM(F352&amp;""))</f>
        <v/>
      </c>
      <c r="O352" s="10">
        <f>IFERROR(IF(TRIM(G352&amp;"")="","",IF(AND(ISNUMBER(FIND(" ",TRIM(G352&amp;""))),ISNUMBER(MATCH(LEFT(TRIM(G352&amp;""),FIND(" ",TRIM(G352&amp;""))-1),설정_코드표!$J$2:$J$101,0)),ISNUMBER(MATCH(TRIM(RIGHT(SUBSTITUTE(TRIM(G352&amp;"")," ",REPT(" ",60)),60)),설정_코드표!$F$2:$F$101,0))),INDEX(설정_코드표!$K$2:$K$101,MATCH(LEFT(TRIM(G352&amp;""),FIND(" ",TRIM(G352&amp;""))-1),설정_코드표!$J$2:$J$101,0))&amp;" "&amp;INDEX(설정_코드표!$G$2:$G$101,MATCH(TRIM(RIGHT(SUBSTITUTE(TRIM(G352&amp;"")," ",REPT(" ",60)),60)),설정_코드표!$F$2:$F$101,0)),"⚠"&amp;TRIM(G352&amp;""))),"⚠"&amp;TRIM(G352&amp;""))</f>
        <v/>
      </c>
      <c r="P352" s="10">
        <f>IFERROR(IF(TRIM(H352&amp;"")="","",IF(AND(ISNUMBER(FIND(" ",TRIM(H352&amp;""))),ISNUMBER(MATCH(LEFT(TRIM(H352&amp;""),FIND(" ",TRIM(H352&amp;""))-1),설정_코드표!$J$2:$J$101,0)),ISNUMBER(MATCH(TRIM(RIGHT(SUBSTITUTE(TRIM(H352&amp;"")," ",REPT(" ",60)),60)),설정_코드표!$F$2:$F$101,0))),INDEX(설정_코드표!$K$2:$K$101,MATCH(LEFT(TRIM(H352&amp;""),FIND(" ",TRIM(H352&amp;""))-1),설정_코드표!$J$2:$J$101,0))&amp;" "&amp;INDEX(설정_코드표!$G$2:$G$101,MATCH(TRIM(RIGHT(SUBSTITUTE(TRIM(H352&amp;"")," ",REPT(" ",60)),60)),설정_코드표!$F$2:$F$101,0)),"⚠"&amp;TRIM(H352&amp;""))),"⚠"&amp;TRIM(H352&amp;""))</f>
        <v/>
      </c>
      <c r="Q352" s="10">
        <f>IFERROR(IF(TRIM(I352&amp;"")="","",IF(AND(ISNUMBER(FIND(" ",TRIM(I352&amp;""))),ISNUMBER(MATCH(LEFT(TRIM(I352&amp;""),FIND(" ",TRIM(I352&amp;""))-1),설정_코드표!$J$2:$J$101,0)),ISNUMBER(MATCH(TRIM(RIGHT(SUBSTITUTE(TRIM(I352&amp;"")," ",REPT(" ",60)),60)),설정_코드표!$F$2:$F$101,0))),INDEX(설정_코드표!$K$2:$K$101,MATCH(LEFT(TRIM(I352&amp;""),FIND(" ",TRIM(I352&amp;""))-1),설정_코드표!$J$2:$J$101,0))&amp;" "&amp;INDEX(설정_코드표!$G$2:$G$101,MATCH(TRIM(RIGHT(SUBSTITUTE(TRIM(I352&amp;"")," ",REPT(" ",60)),60)),설정_코드표!$F$2:$F$101,0)),"⚠"&amp;TRIM(I352&amp;""))),"⚠"&amp;TRIM(I352&amp;""))</f>
        <v/>
      </c>
      <c r="R352" s="10">
        <f>IFERROR(IF(TRIM(J352&amp;"")="","",IF(AND(ISNUMBER(FIND(" ",TRIM(J352&amp;""))),ISNUMBER(MATCH(LEFT(TRIM(J352&amp;""),FIND(" ",TRIM(J352&amp;""))-1),설정_코드표!$J$2:$J$101,0)),ISNUMBER(MATCH(TRIM(RIGHT(SUBSTITUTE(TRIM(J352&amp;"")," ",REPT(" ",60)),60)),설정_코드표!$F$2:$F$101,0))),INDEX(설정_코드표!$K$2:$K$101,MATCH(LEFT(TRIM(J352&amp;""),FIND(" ",TRIM(J352&amp;""))-1),설정_코드표!$J$2:$J$101,0))&amp;" "&amp;INDEX(설정_코드표!$G$2:$G$101,MATCH(TRIM(RIGHT(SUBSTITUTE(TRIM(J352&amp;"")," ",REPT(" ",60)),60)),설정_코드표!$F$2:$F$101,0)),"⚠"&amp;TRIM(J352&amp;""))),"⚠"&amp;TRIM(J352&amp;""))</f>
        <v/>
      </c>
      <c r="S352" s="11">
        <f>IF(K352="","",IFERROR(IF(AND(ROUND((VALUE(K352&amp;"")-INT(VALUE(K352&amp;"")))*100,0)&gt;=1,ROUND((VALUE(K352&amp;"")-INT(VALUE(K352&amp;"")))*100,0)&lt;=12,INT(VALUE(K352&amp;""))&gt;=1900),DATE(INT(VALUE(K352&amp;"")),ROUND((VALUE(K352&amp;"")-INT(VALUE(K352&amp;"")))*100,0),1),K352&amp;""),K352&amp;""))</f>
        <v/>
      </c>
      <c r="T352" s="10">
        <f>COUNTIF(M352:R352,"⚠*")</f>
        <v/>
      </c>
    </row>
    <row r="353"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M353" s="10">
        <f>IFERROR(IF(TRIM(E353&amp;"")="","",IF(AND(ISNUMBER(FIND(" ",TRIM(E353&amp;""))),ISNUMBER(MATCH(LEFT(TRIM(E353&amp;""),FIND(" ",TRIM(E353&amp;""))-1),설정_코드표!$J$2:$J$101,0)),ISNUMBER(MATCH(TRIM(RIGHT(SUBSTITUTE(TRIM(E353&amp;"")," ",REPT(" ",60)),60)),설정_코드표!$F$2:$F$101,0))),INDEX(설정_코드표!$K$2:$K$101,MATCH(LEFT(TRIM(E353&amp;""),FIND(" ",TRIM(E353&amp;""))-1),설정_코드표!$J$2:$J$101,0))&amp;" "&amp;INDEX(설정_코드표!$G$2:$G$101,MATCH(TRIM(RIGHT(SUBSTITUTE(TRIM(E353&amp;"")," ",REPT(" ",60)),60)),설정_코드표!$F$2:$F$101,0)),"⚠"&amp;TRIM(E353&amp;""))),"⚠"&amp;TRIM(E353&amp;""))</f>
        <v/>
      </c>
      <c r="N353" s="10">
        <f>IFERROR(IF(TRIM(F353&amp;"")="","",IF(AND(ISNUMBER(FIND(" ",TRIM(F353&amp;""))),ISNUMBER(MATCH(LEFT(TRIM(F353&amp;""),FIND(" ",TRIM(F353&amp;""))-1),설정_코드표!$J$2:$J$101,0)),ISNUMBER(MATCH(TRIM(RIGHT(SUBSTITUTE(TRIM(F353&amp;"")," ",REPT(" ",60)),60)),설정_코드표!$F$2:$F$101,0))),INDEX(설정_코드표!$K$2:$K$101,MATCH(LEFT(TRIM(F353&amp;""),FIND(" ",TRIM(F353&amp;""))-1),설정_코드표!$J$2:$J$101,0))&amp;" "&amp;INDEX(설정_코드표!$G$2:$G$101,MATCH(TRIM(RIGHT(SUBSTITUTE(TRIM(F353&amp;"")," ",REPT(" ",60)),60)),설정_코드표!$F$2:$F$101,0)),"⚠"&amp;TRIM(F353&amp;""))),"⚠"&amp;TRIM(F353&amp;""))</f>
        <v/>
      </c>
      <c r="O353" s="10">
        <f>IFERROR(IF(TRIM(G353&amp;"")="","",IF(AND(ISNUMBER(FIND(" ",TRIM(G353&amp;""))),ISNUMBER(MATCH(LEFT(TRIM(G353&amp;""),FIND(" ",TRIM(G353&amp;""))-1),설정_코드표!$J$2:$J$101,0)),ISNUMBER(MATCH(TRIM(RIGHT(SUBSTITUTE(TRIM(G353&amp;"")," ",REPT(" ",60)),60)),설정_코드표!$F$2:$F$101,0))),INDEX(설정_코드표!$K$2:$K$101,MATCH(LEFT(TRIM(G353&amp;""),FIND(" ",TRIM(G353&amp;""))-1),설정_코드표!$J$2:$J$101,0))&amp;" "&amp;INDEX(설정_코드표!$G$2:$G$101,MATCH(TRIM(RIGHT(SUBSTITUTE(TRIM(G353&amp;"")," ",REPT(" ",60)),60)),설정_코드표!$F$2:$F$101,0)),"⚠"&amp;TRIM(G353&amp;""))),"⚠"&amp;TRIM(G353&amp;""))</f>
        <v/>
      </c>
      <c r="P353" s="10">
        <f>IFERROR(IF(TRIM(H353&amp;"")="","",IF(AND(ISNUMBER(FIND(" ",TRIM(H353&amp;""))),ISNUMBER(MATCH(LEFT(TRIM(H353&amp;""),FIND(" ",TRIM(H353&amp;""))-1),설정_코드표!$J$2:$J$101,0)),ISNUMBER(MATCH(TRIM(RIGHT(SUBSTITUTE(TRIM(H353&amp;"")," ",REPT(" ",60)),60)),설정_코드표!$F$2:$F$101,0))),INDEX(설정_코드표!$K$2:$K$101,MATCH(LEFT(TRIM(H353&amp;""),FIND(" ",TRIM(H353&amp;""))-1),설정_코드표!$J$2:$J$101,0))&amp;" "&amp;INDEX(설정_코드표!$G$2:$G$101,MATCH(TRIM(RIGHT(SUBSTITUTE(TRIM(H353&amp;"")," ",REPT(" ",60)),60)),설정_코드표!$F$2:$F$101,0)),"⚠"&amp;TRIM(H353&amp;""))),"⚠"&amp;TRIM(H353&amp;""))</f>
        <v/>
      </c>
      <c r="Q353" s="10">
        <f>IFERROR(IF(TRIM(I353&amp;"")="","",IF(AND(ISNUMBER(FIND(" ",TRIM(I353&amp;""))),ISNUMBER(MATCH(LEFT(TRIM(I353&amp;""),FIND(" ",TRIM(I353&amp;""))-1),설정_코드표!$J$2:$J$101,0)),ISNUMBER(MATCH(TRIM(RIGHT(SUBSTITUTE(TRIM(I353&amp;"")," ",REPT(" ",60)),60)),설정_코드표!$F$2:$F$101,0))),INDEX(설정_코드표!$K$2:$K$101,MATCH(LEFT(TRIM(I353&amp;""),FIND(" ",TRIM(I353&amp;""))-1),설정_코드표!$J$2:$J$101,0))&amp;" "&amp;INDEX(설정_코드표!$G$2:$G$101,MATCH(TRIM(RIGHT(SUBSTITUTE(TRIM(I353&amp;"")," ",REPT(" ",60)),60)),설정_코드표!$F$2:$F$101,0)),"⚠"&amp;TRIM(I353&amp;""))),"⚠"&amp;TRIM(I353&amp;""))</f>
        <v/>
      </c>
      <c r="R353" s="10">
        <f>IFERROR(IF(TRIM(J353&amp;"")="","",IF(AND(ISNUMBER(FIND(" ",TRIM(J353&amp;""))),ISNUMBER(MATCH(LEFT(TRIM(J353&amp;""),FIND(" ",TRIM(J353&amp;""))-1),설정_코드표!$J$2:$J$101,0)),ISNUMBER(MATCH(TRIM(RIGHT(SUBSTITUTE(TRIM(J353&amp;"")," ",REPT(" ",60)),60)),설정_코드표!$F$2:$F$101,0))),INDEX(설정_코드표!$K$2:$K$101,MATCH(LEFT(TRIM(J353&amp;""),FIND(" ",TRIM(J353&amp;""))-1),설정_코드표!$J$2:$J$101,0))&amp;" "&amp;INDEX(설정_코드표!$G$2:$G$101,MATCH(TRIM(RIGHT(SUBSTITUTE(TRIM(J353&amp;"")," ",REPT(" ",60)),60)),설정_코드표!$F$2:$F$101,0)),"⚠"&amp;TRIM(J353&amp;""))),"⚠"&amp;TRIM(J353&amp;""))</f>
        <v/>
      </c>
      <c r="S353" s="11">
        <f>IF(K353="","",IFERROR(IF(AND(ROUND((VALUE(K353&amp;"")-INT(VALUE(K353&amp;"")))*100,0)&gt;=1,ROUND((VALUE(K353&amp;"")-INT(VALUE(K353&amp;"")))*100,0)&lt;=12,INT(VALUE(K353&amp;""))&gt;=1900),DATE(INT(VALUE(K353&amp;"")),ROUND((VALUE(K353&amp;"")-INT(VALUE(K353&amp;"")))*100,0),1),K353&amp;""),K353&amp;""))</f>
        <v/>
      </c>
      <c r="T353" s="10">
        <f>COUNTIF(M353:R353,"⚠*")</f>
        <v/>
      </c>
    </row>
    <row r="354"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M354" s="10">
        <f>IFERROR(IF(TRIM(E354&amp;"")="","",IF(AND(ISNUMBER(FIND(" ",TRIM(E354&amp;""))),ISNUMBER(MATCH(LEFT(TRIM(E354&amp;""),FIND(" ",TRIM(E354&amp;""))-1),설정_코드표!$J$2:$J$101,0)),ISNUMBER(MATCH(TRIM(RIGHT(SUBSTITUTE(TRIM(E354&amp;"")," ",REPT(" ",60)),60)),설정_코드표!$F$2:$F$101,0))),INDEX(설정_코드표!$K$2:$K$101,MATCH(LEFT(TRIM(E354&amp;""),FIND(" ",TRIM(E354&amp;""))-1),설정_코드표!$J$2:$J$101,0))&amp;" "&amp;INDEX(설정_코드표!$G$2:$G$101,MATCH(TRIM(RIGHT(SUBSTITUTE(TRIM(E354&amp;"")," ",REPT(" ",60)),60)),설정_코드표!$F$2:$F$101,0)),"⚠"&amp;TRIM(E354&amp;""))),"⚠"&amp;TRIM(E354&amp;""))</f>
        <v/>
      </c>
      <c r="N354" s="10">
        <f>IFERROR(IF(TRIM(F354&amp;"")="","",IF(AND(ISNUMBER(FIND(" ",TRIM(F354&amp;""))),ISNUMBER(MATCH(LEFT(TRIM(F354&amp;""),FIND(" ",TRIM(F354&amp;""))-1),설정_코드표!$J$2:$J$101,0)),ISNUMBER(MATCH(TRIM(RIGHT(SUBSTITUTE(TRIM(F354&amp;"")," ",REPT(" ",60)),60)),설정_코드표!$F$2:$F$101,0))),INDEX(설정_코드표!$K$2:$K$101,MATCH(LEFT(TRIM(F354&amp;""),FIND(" ",TRIM(F354&amp;""))-1),설정_코드표!$J$2:$J$101,0))&amp;" "&amp;INDEX(설정_코드표!$G$2:$G$101,MATCH(TRIM(RIGHT(SUBSTITUTE(TRIM(F354&amp;"")," ",REPT(" ",60)),60)),설정_코드표!$F$2:$F$101,0)),"⚠"&amp;TRIM(F354&amp;""))),"⚠"&amp;TRIM(F354&amp;""))</f>
        <v/>
      </c>
      <c r="O354" s="10">
        <f>IFERROR(IF(TRIM(G354&amp;"")="","",IF(AND(ISNUMBER(FIND(" ",TRIM(G354&amp;""))),ISNUMBER(MATCH(LEFT(TRIM(G354&amp;""),FIND(" ",TRIM(G354&amp;""))-1),설정_코드표!$J$2:$J$101,0)),ISNUMBER(MATCH(TRIM(RIGHT(SUBSTITUTE(TRIM(G354&amp;"")," ",REPT(" ",60)),60)),설정_코드표!$F$2:$F$101,0))),INDEX(설정_코드표!$K$2:$K$101,MATCH(LEFT(TRIM(G354&amp;""),FIND(" ",TRIM(G354&amp;""))-1),설정_코드표!$J$2:$J$101,0))&amp;" "&amp;INDEX(설정_코드표!$G$2:$G$101,MATCH(TRIM(RIGHT(SUBSTITUTE(TRIM(G354&amp;"")," ",REPT(" ",60)),60)),설정_코드표!$F$2:$F$101,0)),"⚠"&amp;TRIM(G354&amp;""))),"⚠"&amp;TRIM(G354&amp;""))</f>
        <v/>
      </c>
      <c r="P354" s="10">
        <f>IFERROR(IF(TRIM(H354&amp;"")="","",IF(AND(ISNUMBER(FIND(" ",TRIM(H354&amp;""))),ISNUMBER(MATCH(LEFT(TRIM(H354&amp;""),FIND(" ",TRIM(H354&amp;""))-1),설정_코드표!$J$2:$J$101,0)),ISNUMBER(MATCH(TRIM(RIGHT(SUBSTITUTE(TRIM(H354&amp;"")," ",REPT(" ",60)),60)),설정_코드표!$F$2:$F$101,0))),INDEX(설정_코드표!$K$2:$K$101,MATCH(LEFT(TRIM(H354&amp;""),FIND(" ",TRIM(H354&amp;""))-1),설정_코드표!$J$2:$J$101,0))&amp;" "&amp;INDEX(설정_코드표!$G$2:$G$101,MATCH(TRIM(RIGHT(SUBSTITUTE(TRIM(H354&amp;"")," ",REPT(" ",60)),60)),설정_코드표!$F$2:$F$101,0)),"⚠"&amp;TRIM(H354&amp;""))),"⚠"&amp;TRIM(H354&amp;""))</f>
        <v/>
      </c>
      <c r="Q354" s="10">
        <f>IFERROR(IF(TRIM(I354&amp;"")="","",IF(AND(ISNUMBER(FIND(" ",TRIM(I354&amp;""))),ISNUMBER(MATCH(LEFT(TRIM(I354&amp;""),FIND(" ",TRIM(I354&amp;""))-1),설정_코드표!$J$2:$J$101,0)),ISNUMBER(MATCH(TRIM(RIGHT(SUBSTITUTE(TRIM(I354&amp;"")," ",REPT(" ",60)),60)),설정_코드표!$F$2:$F$101,0))),INDEX(설정_코드표!$K$2:$K$101,MATCH(LEFT(TRIM(I354&amp;""),FIND(" ",TRIM(I354&amp;""))-1),설정_코드표!$J$2:$J$101,0))&amp;" "&amp;INDEX(설정_코드표!$G$2:$G$101,MATCH(TRIM(RIGHT(SUBSTITUTE(TRIM(I354&amp;"")," ",REPT(" ",60)),60)),설정_코드표!$F$2:$F$101,0)),"⚠"&amp;TRIM(I354&amp;""))),"⚠"&amp;TRIM(I354&amp;""))</f>
        <v/>
      </c>
      <c r="R354" s="10">
        <f>IFERROR(IF(TRIM(J354&amp;"")="","",IF(AND(ISNUMBER(FIND(" ",TRIM(J354&amp;""))),ISNUMBER(MATCH(LEFT(TRIM(J354&amp;""),FIND(" ",TRIM(J354&amp;""))-1),설정_코드표!$J$2:$J$101,0)),ISNUMBER(MATCH(TRIM(RIGHT(SUBSTITUTE(TRIM(J354&amp;"")," ",REPT(" ",60)),60)),설정_코드표!$F$2:$F$101,0))),INDEX(설정_코드표!$K$2:$K$101,MATCH(LEFT(TRIM(J354&amp;""),FIND(" ",TRIM(J354&amp;""))-1),설정_코드표!$J$2:$J$101,0))&amp;" "&amp;INDEX(설정_코드표!$G$2:$G$101,MATCH(TRIM(RIGHT(SUBSTITUTE(TRIM(J354&amp;"")," ",REPT(" ",60)),60)),설정_코드표!$F$2:$F$101,0)),"⚠"&amp;TRIM(J354&amp;""))),"⚠"&amp;TRIM(J354&amp;""))</f>
        <v/>
      </c>
      <c r="S354" s="11">
        <f>IF(K354="","",IFERROR(IF(AND(ROUND((VALUE(K354&amp;"")-INT(VALUE(K354&amp;"")))*100,0)&gt;=1,ROUND((VALUE(K354&amp;"")-INT(VALUE(K354&amp;"")))*100,0)&lt;=12,INT(VALUE(K354&amp;""))&gt;=1900),DATE(INT(VALUE(K354&amp;"")),ROUND((VALUE(K354&amp;"")-INT(VALUE(K354&amp;"")))*100,0),1),K354&amp;""),K354&amp;""))</f>
        <v/>
      </c>
      <c r="T354" s="10">
        <f>COUNTIF(M354:R354,"⚠*")</f>
        <v/>
      </c>
    </row>
    <row r="355"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M355" s="10">
        <f>IFERROR(IF(TRIM(E355&amp;"")="","",IF(AND(ISNUMBER(FIND(" ",TRIM(E355&amp;""))),ISNUMBER(MATCH(LEFT(TRIM(E355&amp;""),FIND(" ",TRIM(E355&amp;""))-1),설정_코드표!$J$2:$J$101,0)),ISNUMBER(MATCH(TRIM(RIGHT(SUBSTITUTE(TRIM(E355&amp;"")," ",REPT(" ",60)),60)),설정_코드표!$F$2:$F$101,0))),INDEX(설정_코드표!$K$2:$K$101,MATCH(LEFT(TRIM(E355&amp;""),FIND(" ",TRIM(E355&amp;""))-1),설정_코드표!$J$2:$J$101,0))&amp;" "&amp;INDEX(설정_코드표!$G$2:$G$101,MATCH(TRIM(RIGHT(SUBSTITUTE(TRIM(E355&amp;"")," ",REPT(" ",60)),60)),설정_코드표!$F$2:$F$101,0)),"⚠"&amp;TRIM(E355&amp;""))),"⚠"&amp;TRIM(E355&amp;""))</f>
        <v/>
      </c>
      <c r="N355" s="10">
        <f>IFERROR(IF(TRIM(F355&amp;"")="","",IF(AND(ISNUMBER(FIND(" ",TRIM(F355&amp;""))),ISNUMBER(MATCH(LEFT(TRIM(F355&amp;""),FIND(" ",TRIM(F355&amp;""))-1),설정_코드표!$J$2:$J$101,0)),ISNUMBER(MATCH(TRIM(RIGHT(SUBSTITUTE(TRIM(F355&amp;"")," ",REPT(" ",60)),60)),설정_코드표!$F$2:$F$101,0))),INDEX(설정_코드표!$K$2:$K$101,MATCH(LEFT(TRIM(F355&amp;""),FIND(" ",TRIM(F355&amp;""))-1),설정_코드표!$J$2:$J$101,0))&amp;" "&amp;INDEX(설정_코드표!$G$2:$G$101,MATCH(TRIM(RIGHT(SUBSTITUTE(TRIM(F355&amp;"")," ",REPT(" ",60)),60)),설정_코드표!$F$2:$F$101,0)),"⚠"&amp;TRIM(F355&amp;""))),"⚠"&amp;TRIM(F355&amp;""))</f>
        <v/>
      </c>
      <c r="O355" s="10">
        <f>IFERROR(IF(TRIM(G355&amp;"")="","",IF(AND(ISNUMBER(FIND(" ",TRIM(G355&amp;""))),ISNUMBER(MATCH(LEFT(TRIM(G355&amp;""),FIND(" ",TRIM(G355&amp;""))-1),설정_코드표!$J$2:$J$101,0)),ISNUMBER(MATCH(TRIM(RIGHT(SUBSTITUTE(TRIM(G355&amp;"")," ",REPT(" ",60)),60)),설정_코드표!$F$2:$F$101,0))),INDEX(설정_코드표!$K$2:$K$101,MATCH(LEFT(TRIM(G355&amp;""),FIND(" ",TRIM(G355&amp;""))-1),설정_코드표!$J$2:$J$101,0))&amp;" "&amp;INDEX(설정_코드표!$G$2:$G$101,MATCH(TRIM(RIGHT(SUBSTITUTE(TRIM(G355&amp;"")," ",REPT(" ",60)),60)),설정_코드표!$F$2:$F$101,0)),"⚠"&amp;TRIM(G355&amp;""))),"⚠"&amp;TRIM(G355&amp;""))</f>
        <v/>
      </c>
      <c r="P355" s="10">
        <f>IFERROR(IF(TRIM(H355&amp;"")="","",IF(AND(ISNUMBER(FIND(" ",TRIM(H355&amp;""))),ISNUMBER(MATCH(LEFT(TRIM(H355&amp;""),FIND(" ",TRIM(H355&amp;""))-1),설정_코드표!$J$2:$J$101,0)),ISNUMBER(MATCH(TRIM(RIGHT(SUBSTITUTE(TRIM(H355&amp;"")," ",REPT(" ",60)),60)),설정_코드표!$F$2:$F$101,0))),INDEX(설정_코드표!$K$2:$K$101,MATCH(LEFT(TRIM(H355&amp;""),FIND(" ",TRIM(H355&amp;""))-1),설정_코드표!$J$2:$J$101,0))&amp;" "&amp;INDEX(설정_코드표!$G$2:$G$101,MATCH(TRIM(RIGHT(SUBSTITUTE(TRIM(H355&amp;"")," ",REPT(" ",60)),60)),설정_코드표!$F$2:$F$101,0)),"⚠"&amp;TRIM(H355&amp;""))),"⚠"&amp;TRIM(H355&amp;""))</f>
        <v/>
      </c>
      <c r="Q355" s="10">
        <f>IFERROR(IF(TRIM(I355&amp;"")="","",IF(AND(ISNUMBER(FIND(" ",TRIM(I355&amp;""))),ISNUMBER(MATCH(LEFT(TRIM(I355&amp;""),FIND(" ",TRIM(I355&amp;""))-1),설정_코드표!$J$2:$J$101,0)),ISNUMBER(MATCH(TRIM(RIGHT(SUBSTITUTE(TRIM(I355&amp;"")," ",REPT(" ",60)),60)),설정_코드표!$F$2:$F$101,0))),INDEX(설정_코드표!$K$2:$K$101,MATCH(LEFT(TRIM(I355&amp;""),FIND(" ",TRIM(I355&amp;""))-1),설정_코드표!$J$2:$J$101,0))&amp;" "&amp;INDEX(설정_코드표!$G$2:$G$101,MATCH(TRIM(RIGHT(SUBSTITUTE(TRIM(I355&amp;"")," ",REPT(" ",60)),60)),설정_코드표!$F$2:$F$101,0)),"⚠"&amp;TRIM(I355&amp;""))),"⚠"&amp;TRIM(I355&amp;""))</f>
        <v/>
      </c>
      <c r="R355" s="10">
        <f>IFERROR(IF(TRIM(J355&amp;"")="","",IF(AND(ISNUMBER(FIND(" ",TRIM(J355&amp;""))),ISNUMBER(MATCH(LEFT(TRIM(J355&amp;""),FIND(" ",TRIM(J355&amp;""))-1),설정_코드표!$J$2:$J$101,0)),ISNUMBER(MATCH(TRIM(RIGHT(SUBSTITUTE(TRIM(J355&amp;"")," ",REPT(" ",60)),60)),설정_코드표!$F$2:$F$101,0))),INDEX(설정_코드표!$K$2:$K$101,MATCH(LEFT(TRIM(J355&amp;""),FIND(" ",TRIM(J355&amp;""))-1),설정_코드표!$J$2:$J$101,0))&amp;" "&amp;INDEX(설정_코드표!$G$2:$G$101,MATCH(TRIM(RIGHT(SUBSTITUTE(TRIM(J355&amp;"")," ",REPT(" ",60)),60)),설정_코드표!$F$2:$F$101,0)),"⚠"&amp;TRIM(J355&amp;""))),"⚠"&amp;TRIM(J355&amp;""))</f>
        <v/>
      </c>
      <c r="S355" s="11">
        <f>IF(K355="","",IFERROR(IF(AND(ROUND((VALUE(K355&amp;"")-INT(VALUE(K355&amp;"")))*100,0)&gt;=1,ROUND((VALUE(K355&amp;"")-INT(VALUE(K355&amp;"")))*100,0)&lt;=12,INT(VALUE(K355&amp;""))&gt;=1900),DATE(INT(VALUE(K355&amp;"")),ROUND((VALUE(K355&amp;"")-INT(VALUE(K355&amp;"")))*100,0),1),K355&amp;""),K355&amp;""))</f>
        <v/>
      </c>
      <c r="T355" s="10">
        <f>COUNTIF(M355:R355,"⚠*")</f>
        <v/>
      </c>
    </row>
    <row r="356"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M356" s="10">
        <f>IFERROR(IF(TRIM(E356&amp;"")="","",IF(AND(ISNUMBER(FIND(" ",TRIM(E356&amp;""))),ISNUMBER(MATCH(LEFT(TRIM(E356&amp;""),FIND(" ",TRIM(E356&amp;""))-1),설정_코드표!$J$2:$J$101,0)),ISNUMBER(MATCH(TRIM(RIGHT(SUBSTITUTE(TRIM(E356&amp;"")," ",REPT(" ",60)),60)),설정_코드표!$F$2:$F$101,0))),INDEX(설정_코드표!$K$2:$K$101,MATCH(LEFT(TRIM(E356&amp;""),FIND(" ",TRIM(E356&amp;""))-1),설정_코드표!$J$2:$J$101,0))&amp;" "&amp;INDEX(설정_코드표!$G$2:$G$101,MATCH(TRIM(RIGHT(SUBSTITUTE(TRIM(E356&amp;"")," ",REPT(" ",60)),60)),설정_코드표!$F$2:$F$101,0)),"⚠"&amp;TRIM(E356&amp;""))),"⚠"&amp;TRIM(E356&amp;""))</f>
        <v/>
      </c>
      <c r="N356" s="10">
        <f>IFERROR(IF(TRIM(F356&amp;"")="","",IF(AND(ISNUMBER(FIND(" ",TRIM(F356&amp;""))),ISNUMBER(MATCH(LEFT(TRIM(F356&amp;""),FIND(" ",TRIM(F356&amp;""))-1),설정_코드표!$J$2:$J$101,0)),ISNUMBER(MATCH(TRIM(RIGHT(SUBSTITUTE(TRIM(F356&amp;"")," ",REPT(" ",60)),60)),설정_코드표!$F$2:$F$101,0))),INDEX(설정_코드표!$K$2:$K$101,MATCH(LEFT(TRIM(F356&amp;""),FIND(" ",TRIM(F356&amp;""))-1),설정_코드표!$J$2:$J$101,0))&amp;" "&amp;INDEX(설정_코드표!$G$2:$G$101,MATCH(TRIM(RIGHT(SUBSTITUTE(TRIM(F356&amp;"")," ",REPT(" ",60)),60)),설정_코드표!$F$2:$F$101,0)),"⚠"&amp;TRIM(F356&amp;""))),"⚠"&amp;TRIM(F356&amp;""))</f>
        <v/>
      </c>
      <c r="O356" s="10">
        <f>IFERROR(IF(TRIM(G356&amp;"")="","",IF(AND(ISNUMBER(FIND(" ",TRIM(G356&amp;""))),ISNUMBER(MATCH(LEFT(TRIM(G356&amp;""),FIND(" ",TRIM(G356&amp;""))-1),설정_코드표!$J$2:$J$101,0)),ISNUMBER(MATCH(TRIM(RIGHT(SUBSTITUTE(TRIM(G356&amp;"")," ",REPT(" ",60)),60)),설정_코드표!$F$2:$F$101,0))),INDEX(설정_코드표!$K$2:$K$101,MATCH(LEFT(TRIM(G356&amp;""),FIND(" ",TRIM(G356&amp;""))-1),설정_코드표!$J$2:$J$101,0))&amp;" "&amp;INDEX(설정_코드표!$G$2:$G$101,MATCH(TRIM(RIGHT(SUBSTITUTE(TRIM(G356&amp;"")," ",REPT(" ",60)),60)),설정_코드표!$F$2:$F$101,0)),"⚠"&amp;TRIM(G356&amp;""))),"⚠"&amp;TRIM(G356&amp;""))</f>
        <v/>
      </c>
      <c r="P356" s="10">
        <f>IFERROR(IF(TRIM(H356&amp;"")="","",IF(AND(ISNUMBER(FIND(" ",TRIM(H356&amp;""))),ISNUMBER(MATCH(LEFT(TRIM(H356&amp;""),FIND(" ",TRIM(H356&amp;""))-1),설정_코드표!$J$2:$J$101,0)),ISNUMBER(MATCH(TRIM(RIGHT(SUBSTITUTE(TRIM(H356&amp;"")," ",REPT(" ",60)),60)),설정_코드표!$F$2:$F$101,0))),INDEX(설정_코드표!$K$2:$K$101,MATCH(LEFT(TRIM(H356&amp;""),FIND(" ",TRIM(H356&amp;""))-1),설정_코드표!$J$2:$J$101,0))&amp;" "&amp;INDEX(설정_코드표!$G$2:$G$101,MATCH(TRIM(RIGHT(SUBSTITUTE(TRIM(H356&amp;"")," ",REPT(" ",60)),60)),설정_코드표!$F$2:$F$101,0)),"⚠"&amp;TRIM(H356&amp;""))),"⚠"&amp;TRIM(H356&amp;""))</f>
        <v/>
      </c>
      <c r="Q356" s="10">
        <f>IFERROR(IF(TRIM(I356&amp;"")="","",IF(AND(ISNUMBER(FIND(" ",TRIM(I356&amp;""))),ISNUMBER(MATCH(LEFT(TRIM(I356&amp;""),FIND(" ",TRIM(I356&amp;""))-1),설정_코드표!$J$2:$J$101,0)),ISNUMBER(MATCH(TRIM(RIGHT(SUBSTITUTE(TRIM(I356&amp;"")," ",REPT(" ",60)),60)),설정_코드표!$F$2:$F$101,0))),INDEX(설정_코드표!$K$2:$K$101,MATCH(LEFT(TRIM(I356&amp;""),FIND(" ",TRIM(I356&amp;""))-1),설정_코드표!$J$2:$J$101,0))&amp;" "&amp;INDEX(설정_코드표!$G$2:$G$101,MATCH(TRIM(RIGHT(SUBSTITUTE(TRIM(I356&amp;"")," ",REPT(" ",60)),60)),설정_코드표!$F$2:$F$101,0)),"⚠"&amp;TRIM(I356&amp;""))),"⚠"&amp;TRIM(I356&amp;""))</f>
        <v/>
      </c>
      <c r="R356" s="10">
        <f>IFERROR(IF(TRIM(J356&amp;"")="","",IF(AND(ISNUMBER(FIND(" ",TRIM(J356&amp;""))),ISNUMBER(MATCH(LEFT(TRIM(J356&amp;""),FIND(" ",TRIM(J356&amp;""))-1),설정_코드표!$J$2:$J$101,0)),ISNUMBER(MATCH(TRIM(RIGHT(SUBSTITUTE(TRIM(J356&amp;"")," ",REPT(" ",60)),60)),설정_코드표!$F$2:$F$101,0))),INDEX(설정_코드표!$K$2:$K$101,MATCH(LEFT(TRIM(J356&amp;""),FIND(" ",TRIM(J356&amp;""))-1),설정_코드표!$J$2:$J$101,0))&amp;" "&amp;INDEX(설정_코드표!$G$2:$G$101,MATCH(TRIM(RIGHT(SUBSTITUTE(TRIM(J356&amp;"")," ",REPT(" ",60)),60)),설정_코드표!$F$2:$F$101,0)),"⚠"&amp;TRIM(J356&amp;""))),"⚠"&amp;TRIM(J356&amp;""))</f>
        <v/>
      </c>
      <c r="S356" s="11">
        <f>IF(K356="","",IFERROR(IF(AND(ROUND((VALUE(K356&amp;"")-INT(VALUE(K356&amp;"")))*100,0)&gt;=1,ROUND((VALUE(K356&amp;"")-INT(VALUE(K356&amp;"")))*100,0)&lt;=12,INT(VALUE(K356&amp;""))&gt;=1900),DATE(INT(VALUE(K356&amp;"")),ROUND((VALUE(K356&amp;"")-INT(VALUE(K356&amp;"")))*100,0),1),K356&amp;""),K356&amp;""))</f>
        <v/>
      </c>
      <c r="T356" s="10">
        <f>COUNTIF(M356:R356,"⚠*")</f>
        <v/>
      </c>
    </row>
    <row r="357"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M357" s="10">
        <f>IFERROR(IF(TRIM(E357&amp;"")="","",IF(AND(ISNUMBER(FIND(" ",TRIM(E357&amp;""))),ISNUMBER(MATCH(LEFT(TRIM(E357&amp;""),FIND(" ",TRIM(E357&amp;""))-1),설정_코드표!$J$2:$J$101,0)),ISNUMBER(MATCH(TRIM(RIGHT(SUBSTITUTE(TRIM(E357&amp;"")," ",REPT(" ",60)),60)),설정_코드표!$F$2:$F$101,0))),INDEX(설정_코드표!$K$2:$K$101,MATCH(LEFT(TRIM(E357&amp;""),FIND(" ",TRIM(E357&amp;""))-1),설정_코드표!$J$2:$J$101,0))&amp;" "&amp;INDEX(설정_코드표!$G$2:$G$101,MATCH(TRIM(RIGHT(SUBSTITUTE(TRIM(E357&amp;"")," ",REPT(" ",60)),60)),설정_코드표!$F$2:$F$101,0)),"⚠"&amp;TRIM(E357&amp;""))),"⚠"&amp;TRIM(E357&amp;""))</f>
        <v/>
      </c>
      <c r="N357" s="10">
        <f>IFERROR(IF(TRIM(F357&amp;"")="","",IF(AND(ISNUMBER(FIND(" ",TRIM(F357&amp;""))),ISNUMBER(MATCH(LEFT(TRIM(F357&amp;""),FIND(" ",TRIM(F357&amp;""))-1),설정_코드표!$J$2:$J$101,0)),ISNUMBER(MATCH(TRIM(RIGHT(SUBSTITUTE(TRIM(F357&amp;"")," ",REPT(" ",60)),60)),설정_코드표!$F$2:$F$101,0))),INDEX(설정_코드표!$K$2:$K$101,MATCH(LEFT(TRIM(F357&amp;""),FIND(" ",TRIM(F357&amp;""))-1),설정_코드표!$J$2:$J$101,0))&amp;" "&amp;INDEX(설정_코드표!$G$2:$G$101,MATCH(TRIM(RIGHT(SUBSTITUTE(TRIM(F357&amp;"")," ",REPT(" ",60)),60)),설정_코드표!$F$2:$F$101,0)),"⚠"&amp;TRIM(F357&amp;""))),"⚠"&amp;TRIM(F357&amp;""))</f>
        <v/>
      </c>
      <c r="O357" s="10">
        <f>IFERROR(IF(TRIM(G357&amp;"")="","",IF(AND(ISNUMBER(FIND(" ",TRIM(G357&amp;""))),ISNUMBER(MATCH(LEFT(TRIM(G357&amp;""),FIND(" ",TRIM(G357&amp;""))-1),설정_코드표!$J$2:$J$101,0)),ISNUMBER(MATCH(TRIM(RIGHT(SUBSTITUTE(TRIM(G357&amp;"")," ",REPT(" ",60)),60)),설정_코드표!$F$2:$F$101,0))),INDEX(설정_코드표!$K$2:$K$101,MATCH(LEFT(TRIM(G357&amp;""),FIND(" ",TRIM(G357&amp;""))-1),설정_코드표!$J$2:$J$101,0))&amp;" "&amp;INDEX(설정_코드표!$G$2:$G$101,MATCH(TRIM(RIGHT(SUBSTITUTE(TRIM(G357&amp;"")," ",REPT(" ",60)),60)),설정_코드표!$F$2:$F$101,0)),"⚠"&amp;TRIM(G357&amp;""))),"⚠"&amp;TRIM(G357&amp;""))</f>
        <v/>
      </c>
      <c r="P357" s="10">
        <f>IFERROR(IF(TRIM(H357&amp;"")="","",IF(AND(ISNUMBER(FIND(" ",TRIM(H357&amp;""))),ISNUMBER(MATCH(LEFT(TRIM(H357&amp;""),FIND(" ",TRIM(H357&amp;""))-1),설정_코드표!$J$2:$J$101,0)),ISNUMBER(MATCH(TRIM(RIGHT(SUBSTITUTE(TRIM(H357&amp;"")," ",REPT(" ",60)),60)),설정_코드표!$F$2:$F$101,0))),INDEX(설정_코드표!$K$2:$K$101,MATCH(LEFT(TRIM(H357&amp;""),FIND(" ",TRIM(H357&amp;""))-1),설정_코드표!$J$2:$J$101,0))&amp;" "&amp;INDEX(설정_코드표!$G$2:$G$101,MATCH(TRIM(RIGHT(SUBSTITUTE(TRIM(H357&amp;"")," ",REPT(" ",60)),60)),설정_코드표!$F$2:$F$101,0)),"⚠"&amp;TRIM(H357&amp;""))),"⚠"&amp;TRIM(H357&amp;""))</f>
        <v/>
      </c>
      <c r="Q357" s="10">
        <f>IFERROR(IF(TRIM(I357&amp;"")="","",IF(AND(ISNUMBER(FIND(" ",TRIM(I357&amp;""))),ISNUMBER(MATCH(LEFT(TRIM(I357&amp;""),FIND(" ",TRIM(I357&amp;""))-1),설정_코드표!$J$2:$J$101,0)),ISNUMBER(MATCH(TRIM(RIGHT(SUBSTITUTE(TRIM(I357&amp;"")," ",REPT(" ",60)),60)),설정_코드표!$F$2:$F$101,0))),INDEX(설정_코드표!$K$2:$K$101,MATCH(LEFT(TRIM(I357&amp;""),FIND(" ",TRIM(I357&amp;""))-1),설정_코드표!$J$2:$J$101,0))&amp;" "&amp;INDEX(설정_코드표!$G$2:$G$101,MATCH(TRIM(RIGHT(SUBSTITUTE(TRIM(I357&amp;"")," ",REPT(" ",60)),60)),설정_코드표!$F$2:$F$101,0)),"⚠"&amp;TRIM(I357&amp;""))),"⚠"&amp;TRIM(I357&amp;""))</f>
        <v/>
      </c>
      <c r="R357" s="10">
        <f>IFERROR(IF(TRIM(J357&amp;"")="","",IF(AND(ISNUMBER(FIND(" ",TRIM(J357&amp;""))),ISNUMBER(MATCH(LEFT(TRIM(J357&amp;""),FIND(" ",TRIM(J357&amp;""))-1),설정_코드표!$J$2:$J$101,0)),ISNUMBER(MATCH(TRIM(RIGHT(SUBSTITUTE(TRIM(J357&amp;"")," ",REPT(" ",60)),60)),설정_코드표!$F$2:$F$101,0))),INDEX(설정_코드표!$K$2:$K$101,MATCH(LEFT(TRIM(J357&amp;""),FIND(" ",TRIM(J357&amp;""))-1),설정_코드표!$J$2:$J$101,0))&amp;" "&amp;INDEX(설정_코드표!$G$2:$G$101,MATCH(TRIM(RIGHT(SUBSTITUTE(TRIM(J357&amp;"")," ",REPT(" ",60)),60)),설정_코드표!$F$2:$F$101,0)),"⚠"&amp;TRIM(J357&amp;""))),"⚠"&amp;TRIM(J357&amp;""))</f>
        <v/>
      </c>
      <c r="S357" s="11">
        <f>IF(K357="","",IFERROR(IF(AND(ROUND((VALUE(K357&amp;"")-INT(VALUE(K357&amp;"")))*100,0)&gt;=1,ROUND((VALUE(K357&amp;"")-INT(VALUE(K357&amp;"")))*100,0)&lt;=12,INT(VALUE(K357&amp;""))&gt;=1900),DATE(INT(VALUE(K357&amp;"")),ROUND((VALUE(K357&amp;"")-INT(VALUE(K357&amp;"")))*100,0),1),K357&amp;""),K357&amp;""))</f>
        <v/>
      </c>
      <c r="T357" s="10">
        <f>COUNTIF(M357:R357,"⚠*")</f>
        <v/>
      </c>
    </row>
    <row r="358"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M358" s="10">
        <f>IFERROR(IF(TRIM(E358&amp;"")="","",IF(AND(ISNUMBER(FIND(" ",TRIM(E358&amp;""))),ISNUMBER(MATCH(LEFT(TRIM(E358&amp;""),FIND(" ",TRIM(E358&amp;""))-1),설정_코드표!$J$2:$J$101,0)),ISNUMBER(MATCH(TRIM(RIGHT(SUBSTITUTE(TRIM(E358&amp;"")," ",REPT(" ",60)),60)),설정_코드표!$F$2:$F$101,0))),INDEX(설정_코드표!$K$2:$K$101,MATCH(LEFT(TRIM(E358&amp;""),FIND(" ",TRIM(E358&amp;""))-1),설정_코드표!$J$2:$J$101,0))&amp;" "&amp;INDEX(설정_코드표!$G$2:$G$101,MATCH(TRIM(RIGHT(SUBSTITUTE(TRIM(E358&amp;"")," ",REPT(" ",60)),60)),설정_코드표!$F$2:$F$101,0)),"⚠"&amp;TRIM(E358&amp;""))),"⚠"&amp;TRIM(E358&amp;""))</f>
        <v/>
      </c>
      <c r="N358" s="10">
        <f>IFERROR(IF(TRIM(F358&amp;"")="","",IF(AND(ISNUMBER(FIND(" ",TRIM(F358&amp;""))),ISNUMBER(MATCH(LEFT(TRIM(F358&amp;""),FIND(" ",TRIM(F358&amp;""))-1),설정_코드표!$J$2:$J$101,0)),ISNUMBER(MATCH(TRIM(RIGHT(SUBSTITUTE(TRIM(F358&amp;"")," ",REPT(" ",60)),60)),설정_코드표!$F$2:$F$101,0))),INDEX(설정_코드표!$K$2:$K$101,MATCH(LEFT(TRIM(F358&amp;""),FIND(" ",TRIM(F358&amp;""))-1),설정_코드표!$J$2:$J$101,0))&amp;" "&amp;INDEX(설정_코드표!$G$2:$G$101,MATCH(TRIM(RIGHT(SUBSTITUTE(TRIM(F358&amp;"")," ",REPT(" ",60)),60)),설정_코드표!$F$2:$F$101,0)),"⚠"&amp;TRIM(F358&amp;""))),"⚠"&amp;TRIM(F358&amp;""))</f>
        <v/>
      </c>
      <c r="O358" s="10">
        <f>IFERROR(IF(TRIM(G358&amp;"")="","",IF(AND(ISNUMBER(FIND(" ",TRIM(G358&amp;""))),ISNUMBER(MATCH(LEFT(TRIM(G358&amp;""),FIND(" ",TRIM(G358&amp;""))-1),설정_코드표!$J$2:$J$101,0)),ISNUMBER(MATCH(TRIM(RIGHT(SUBSTITUTE(TRIM(G358&amp;"")," ",REPT(" ",60)),60)),설정_코드표!$F$2:$F$101,0))),INDEX(설정_코드표!$K$2:$K$101,MATCH(LEFT(TRIM(G358&amp;""),FIND(" ",TRIM(G358&amp;""))-1),설정_코드표!$J$2:$J$101,0))&amp;" "&amp;INDEX(설정_코드표!$G$2:$G$101,MATCH(TRIM(RIGHT(SUBSTITUTE(TRIM(G358&amp;"")," ",REPT(" ",60)),60)),설정_코드표!$F$2:$F$101,0)),"⚠"&amp;TRIM(G358&amp;""))),"⚠"&amp;TRIM(G358&amp;""))</f>
        <v/>
      </c>
      <c r="P358" s="10">
        <f>IFERROR(IF(TRIM(H358&amp;"")="","",IF(AND(ISNUMBER(FIND(" ",TRIM(H358&amp;""))),ISNUMBER(MATCH(LEFT(TRIM(H358&amp;""),FIND(" ",TRIM(H358&amp;""))-1),설정_코드표!$J$2:$J$101,0)),ISNUMBER(MATCH(TRIM(RIGHT(SUBSTITUTE(TRIM(H358&amp;"")," ",REPT(" ",60)),60)),설정_코드표!$F$2:$F$101,0))),INDEX(설정_코드표!$K$2:$K$101,MATCH(LEFT(TRIM(H358&amp;""),FIND(" ",TRIM(H358&amp;""))-1),설정_코드표!$J$2:$J$101,0))&amp;" "&amp;INDEX(설정_코드표!$G$2:$G$101,MATCH(TRIM(RIGHT(SUBSTITUTE(TRIM(H358&amp;"")," ",REPT(" ",60)),60)),설정_코드표!$F$2:$F$101,0)),"⚠"&amp;TRIM(H358&amp;""))),"⚠"&amp;TRIM(H358&amp;""))</f>
        <v/>
      </c>
      <c r="Q358" s="10">
        <f>IFERROR(IF(TRIM(I358&amp;"")="","",IF(AND(ISNUMBER(FIND(" ",TRIM(I358&amp;""))),ISNUMBER(MATCH(LEFT(TRIM(I358&amp;""),FIND(" ",TRIM(I358&amp;""))-1),설정_코드표!$J$2:$J$101,0)),ISNUMBER(MATCH(TRIM(RIGHT(SUBSTITUTE(TRIM(I358&amp;"")," ",REPT(" ",60)),60)),설정_코드표!$F$2:$F$101,0))),INDEX(설정_코드표!$K$2:$K$101,MATCH(LEFT(TRIM(I358&amp;""),FIND(" ",TRIM(I358&amp;""))-1),설정_코드표!$J$2:$J$101,0))&amp;" "&amp;INDEX(설정_코드표!$G$2:$G$101,MATCH(TRIM(RIGHT(SUBSTITUTE(TRIM(I358&amp;"")," ",REPT(" ",60)),60)),설정_코드표!$F$2:$F$101,0)),"⚠"&amp;TRIM(I358&amp;""))),"⚠"&amp;TRIM(I358&amp;""))</f>
        <v/>
      </c>
      <c r="R358" s="10">
        <f>IFERROR(IF(TRIM(J358&amp;"")="","",IF(AND(ISNUMBER(FIND(" ",TRIM(J358&amp;""))),ISNUMBER(MATCH(LEFT(TRIM(J358&amp;""),FIND(" ",TRIM(J358&amp;""))-1),설정_코드표!$J$2:$J$101,0)),ISNUMBER(MATCH(TRIM(RIGHT(SUBSTITUTE(TRIM(J358&amp;"")," ",REPT(" ",60)),60)),설정_코드표!$F$2:$F$101,0))),INDEX(설정_코드표!$K$2:$K$101,MATCH(LEFT(TRIM(J358&amp;""),FIND(" ",TRIM(J358&amp;""))-1),설정_코드표!$J$2:$J$101,0))&amp;" "&amp;INDEX(설정_코드표!$G$2:$G$101,MATCH(TRIM(RIGHT(SUBSTITUTE(TRIM(J358&amp;"")," ",REPT(" ",60)),60)),설정_코드표!$F$2:$F$101,0)),"⚠"&amp;TRIM(J358&amp;""))),"⚠"&amp;TRIM(J358&amp;""))</f>
        <v/>
      </c>
      <c r="S358" s="11">
        <f>IF(K358="","",IFERROR(IF(AND(ROUND((VALUE(K358&amp;"")-INT(VALUE(K358&amp;"")))*100,0)&gt;=1,ROUND((VALUE(K358&amp;"")-INT(VALUE(K358&amp;"")))*100,0)&lt;=12,INT(VALUE(K358&amp;""))&gt;=1900),DATE(INT(VALUE(K358&amp;"")),ROUND((VALUE(K358&amp;"")-INT(VALUE(K358&amp;"")))*100,0),1),K358&amp;""),K358&amp;""))</f>
        <v/>
      </c>
      <c r="T358" s="10">
        <f>COUNTIF(M358:R358,"⚠*")</f>
        <v/>
      </c>
    </row>
    <row r="359"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M359" s="10">
        <f>IFERROR(IF(TRIM(E359&amp;"")="","",IF(AND(ISNUMBER(FIND(" ",TRIM(E359&amp;""))),ISNUMBER(MATCH(LEFT(TRIM(E359&amp;""),FIND(" ",TRIM(E359&amp;""))-1),설정_코드표!$J$2:$J$101,0)),ISNUMBER(MATCH(TRIM(RIGHT(SUBSTITUTE(TRIM(E359&amp;"")," ",REPT(" ",60)),60)),설정_코드표!$F$2:$F$101,0))),INDEX(설정_코드표!$K$2:$K$101,MATCH(LEFT(TRIM(E359&amp;""),FIND(" ",TRIM(E359&amp;""))-1),설정_코드표!$J$2:$J$101,0))&amp;" "&amp;INDEX(설정_코드표!$G$2:$G$101,MATCH(TRIM(RIGHT(SUBSTITUTE(TRIM(E359&amp;"")," ",REPT(" ",60)),60)),설정_코드표!$F$2:$F$101,0)),"⚠"&amp;TRIM(E359&amp;""))),"⚠"&amp;TRIM(E359&amp;""))</f>
        <v/>
      </c>
      <c r="N359" s="10">
        <f>IFERROR(IF(TRIM(F359&amp;"")="","",IF(AND(ISNUMBER(FIND(" ",TRIM(F359&amp;""))),ISNUMBER(MATCH(LEFT(TRIM(F359&amp;""),FIND(" ",TRIM(F359&amp;""))-1),설정_코드표!$J$2:$J$101,0)),ISNUMBER(MATCH(TRIM(RIGHT(SUBSTITUTE(TRIM(F359&amp;"")," ",REPT(" ",60)),60)),설정_코드표!$F$2:$F$101,0))),INDEX(설정_코드표!$K$2:$K$101,MATCH(LEFT(TRIM(F359&amp;""),FIND(" ",TRIM(F359&amp;""))-1),설정_코드표!$J$2:$J$101,0))&amp;" "&amp;INDEX(설정_코드표!$G$2:$G$101,MATCH(TRIM(RIGHT(SUBSTITUTE(TRIM(F359&amp;"")," ",REPT(" ",60)),60)),설정_코드표!$F$2:$F$101,0)),"⚠"&amp;TRIM(F359&amp;""))),"⚠"&amp;TRIM(F359&amp;""))</f>
        <v/>
      </c>
      <c r="O359" s="10">
        <f>IFERROR(IF(TRIM(G359&amp;"")="","",IF(AND(ISNUMBER(FIND(" ",TRIM(G359&amp;""))),ISNUMBER(MATCH(LEFT(TRIM(G359&amp;""),FIND(" ",TRIM(G359&amp;""))-1),설정_코드표!$J$2:$J$101,0)),ISNUMBER(MATCH(TRIM(RIGHT(SUBSTITUTE(TRIM(G359&amp;"")," ",REPT(" ",60)),60)),설정_코드표!$F$2:$F$101,0))),INDEX(설정_코드표!$K$2:$K$101,MATCH(LEFT(TRIM(G359&amp;""),FIND(" ",TRIM(G359&amp;""))-1),설정_코드표!$J$2:$J$101,0))&amp;" "&amp;INDEX(설정_코드표!$G$2:$G$101,MATCH(TRIM(RIGHT(SUBSTITUTE(TRIM(G359&amp;"")," ",REPT(" ",60)),60)),설정_코드표!$F$2:$F$101,0)),"⚠"&amp;TRIM(G359&amp;""))),"⚠"&amp;TRIM(G359&amp;""))</f>
        <v/>
      </c>
      <c r="P359" s="10">
        <f>IFERROR(IF(TRIM(H359&amp;"")="","",IF(AND(ISNUMBER(FIND(" ",TRIM(H359&amp;""))),ISNUMBER(MATCH(LEFT(TRIM(H359&amp;""),FIND(" ",TRIM(H359&amp;""))-1),설정_코드표!$J$2:$J$101,0)),ISNUMBER(MATCH(TRIM(RIGHT(SUBSTITUTE(TRIM(H359&amp;"")," ",REPT(" ",60)),60)),설정_코드표!$F$2:$F$101,0))),INDEX(설정_코드표!$K$2:$K$101,MATCH(LEFT(TRIM(H359&amp;""),FIND(" ",TRIM(H359&amp;""))-1),설정_코드표!$J$2:$J$101,0))&amp;" "&amp;INDEX(설정_코드표!$G$2:$G$101,MATCH(TRIM(RIGHT(SUBSTITUTE(TRIM(H359&amp;"")," ",REPT(" ",60)),60)),설정_코드표!$F$2:$F$101,0)),"⚠"&amp;TRIM(H359&amp;""))),"⚠"&amp;TRIM(H359&amp;""))</f>
        <v/>
      </c>
      <c r="Q359" s="10">
        <f>IFERROR(IF(TRIM(I359&amp;"")="","",IF(AND(ISNUMBER(FIND(" ",TRIM(I359&amp;""))),ISNUMBER(MATCH(LEFT(TRIM(I359&amp;""),FIND(" ",TRIM(I359&amp;""))-1),설정_코드표!$J$2:$J$101,0)),ISNUMBER(MATCH(TRIM(RIGHT(SUBSTITUTE(TRIM(I359&amp;"")," ",REPT(" ",60)),60)),설정_코드표!$F$2:$F$101,0))),INDEX(설정_코드표!$K$2:$K$101,MATCH(LEFT(TRIM(I359&amp;""),FIND(" ",TRIM(I359&amp;""))-1),설정_코드표!$J$2:$J$101,0))&amp;" "&amp;INDEX(설정_코드표!$G$2:$G$101,MATCH(TRIM(RIGHT(SUBSTITUTE(TRIM(I359&amp;"")," ",REPT(" ",60)),60)),설정_코드표!$F$2:$F$101,0)),"⚠"&amp;TRIM(I359&amp;""))),"⚠"&amp;TRIM(I359&amp;""))</f>
        <v/>
      </c>
      <c r="R359" s="10">
        <f>IFERROR(IF(TRIM(J359&amp;"")="","",IF(AND(ISNUMBER(FIND(" ",TRIM(J359&amp;""))),ISNUMBER(MATCH(LEFT(TRIM(J359&amp;""),FIND(" ",TRIM(J359&amp;""))-1),설정_코드표!$J$2:$J$101,0)),ISNUMBER(MATCH(TRIM(RIGHT(SUBSTITUTE(TRIM(J359&amp;"")," ",REPT(" ",60)),60)),설정_코드표!$F$2:$F$101,0))),INDEX(설정_코드표!$K$2:$K$101,MATCH(LEFT(TRIM(J359&amp;""),FIND(" ",TRIM(J359&amp;""))-1),설정_코드표!$J$2:$J$101,0))&amp;" "&amp;INDEX(설정_코드표!$G$2:$G$101,MATCH(TRIM(RIGHT(SUBSTITUTE(TRIM(J359&amp;"")," ",REPT(" ",60)),60)),설정_코드표!$F$2:$F$101,0)),"⚠"&amp;TRIM(J359&amp;""))),"⚠"&amp;TRIM(J359&amp;""))</f>
        <v/>
      </c>
      <c r="S359" s="11">
        <f>IF(K359="","",IFERROR(IF(AND(ROUND((VALUE(K359&amp;"")-INT(VALUE(K359&amp;"")))*100,0)&gt;=1,ROUND((VALUE(K359&amp;"")-INT(VALUE(K359&amp;"")))*100,0)&lt;=12,INT(VALUE(K359&amp;""))&gt;=1900),DATE(INT(VALUE(K359&amp;"")),ROUND((VALUE(K359&amp;"")-INT(VALUE(K359&amp;"")))*100,0),1),K359&amp;""),K359&amp;""))</f>
        <v/>
      </c>
      <c r="T359" s="10">
        <f>COUNTIF(M359:R359,"⚠*")</f>
        <v/>
      </c>
    </row>
    <row r="360"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M360" s="10">
        <f>IFERROR(IF(TRIM(E360&amp;"")="","",IF(AND(ISNUMBER(FIND(" ",TRIM(E360&amp;""))),ISNUMBER(MATCH(LEFT(TRIM(E360&amp;""),FIND(" ",TRIM(E360&amp;""))-1),설정_코드표!$J$2:$J$101,0)),ISNUMBER(MATCH(TRIM(RIGHT(SUBSTITUTE(TRIM(E360&amp;"")," ",REPT(" ",60)),60)),설정_코드표!$F$2:$F$101,0))),INDEX(설정_코드표!$K$2:$K$101,MATCH(LEFT(TRIM(E360&amp;""),FIND(" ",TRIM(E360&amp;""))-1),설정_코드표!$J$2:$J$101,0))&amp;" "&amp;INDEX(설정_코드표!$G$2:$G$101,MATCH(TRIM(RIGHT(SUBSTITUTE(TRIM(E360&amp;"")," ",REPT(" ",60)),60)),설정_코드표!$F$2:$F$101,0)),"⚠"&amp;TRIM(E360&amp;""))),"⚠"&amp;TRIM(E360&amp;""))</f>
        <v/>
      </c>
      <c r="N360" s="10">
        <f>IFERROR(IF(TRIM(F360&amp;"")="","",IF(AND(ISNUMBER(FIND(" ",TRIM(F360&amp;""))),ISNUMBER(MATCH(LEFT(TRIM(F360&amp;""),FIND(" ",TRIM(F360&amp;""))-1),설정_코드표!$J$2:$J$101,0)),ISNUMBER(MATCH(TRIM(RIGHT(SUBSTITUTE(TRIM(F360&amp;"")," ",REPT(" ",60)),60)),설정_코드표!$F$2:$F$101,0))),INDEX(설정_코드표!$K$2:$K$101,MATCH(LEFT(TRIM(F360&amp;""),FIND(" ",TRIM(F360&amp;""))-1),설정_코드표!$J$2:$J$101,0))&amp;" "&amp;INDEX(설정_코드표!$G$2:$G$101,MATCH(TRIM(RIGHT(SUBSTITUTE(TRIM(F360&amp;"")," ",REPT(" ",60)),60)),설정_코드표!$F$2:$F$101,0)),"⚠"&amp;TRIM(F360&amp;""))),"⚠"&amp;TRIM(F360&amp;""))</f>
        <v/>
      </c>
      <c r="O360" s="10">
        <f>IFERROR(IF(TRIM(G360&amp;"")="","",IF(AND(ISNUMBER(FIND(" ",TRIM(G360&amp;""))),ISNUMBER(MATCH(LEFT(TRIM(G360&amp;""),FIND(" ",TRIM(G360&amp;""))-1),설정_코드표!$J$2:$J$101,0)),ISNUMBER(MATCH(TRIM(RIGHT(SUBSTITUTE(TRIM(G360&amp;"")," ",REPT(" ",60)),60)),설정_코드표!$F$2:$F$101,0))),INDEX(설정_코드표!$K$2:$K$101,MATCH(LEFT(TRIM(G360&amp;""),FIND(" ",TRIM(G360&amp;""))-1),설정_코드표!$J$2:$J$101,0))&amp;" "&amp;INDEX(설정_코드표!$G$2:$G$101,MATCH(TRIM(RIGHT(SUBSTITUTE(TRIM(G360&amp;"")," ",REPT(" ",60)),60)),설정_코드표!$F$2:$F$101,0)),"⚠"&amp;TRIM(G360&amp;""))),"⚠"&amp;TRIM(G360&amp;""))</f>
        <v/>
      </c>
      <c r="P360" s="10">
        <f>IFERROR(IF(TRIM(H360&amp;"")="","",IF(AND(ISNUMBER(FIND(" ",TRIM(H360&amp;""))),ISNUMBER(MATCH(LEFT(TRIM(H360&amp;""),FIND(" ",TRIM(H360&amp;""))-1),설정_코드표!$J$2:$J$101,0)),ISNUMBER(MATCH(TRIM(RIGHT(SUBSTITUTE(TRIM(H360&amp;"")," ",REPT(" ",60)),60)),설정_코드표!$F$2:$F$101,0))),INDEX(설정_코드표!$K$2:$K$101,MATCH(LEFT(TRIM(H360&amp;""),FIND(" ",TRIM(H360&amp;""))-1),설정_코드표!$J$2:$J$101,0))&amp;" "&amp;INDEX(설정_코드표!$G$2:$G$101,MATCH(TRIM(RIGHT(SUBSTITUTE(TRIM(H360&amp;"")," ",REPT(" ",60)),60)),설정_코드표!$F$2:$F$101,0)),"⚠"&amp;TRIM(H360&amp;""))),"⚠"&amp;TRIM(H360&amp;""))</f>
        <v/>
      </c>
      <c r="Q360" s="10">
        <f>IFERROR(IF(TRIM(I360&amp;"")="","",IF(AND(ISNUMBER(FIND(" ",TRIM(I360&amp;""))),ISNUMBER(MATCH(LEFT(TRIM(I360&amp;""),FIND(" ",TRIM(I360&amp;""))-1),설정_코드표!$J$2:$J$101,0)),ISNUMBER(MATCH(TRIM(RIGHT(SUBSTITUTE(TRIM(I360&amp;"")," ",REPT(" ",60)),60)),설정_코드표!$F$2:$F$101,0))),INDEX(설정_코드표!$K$2:$K$101,MATCH(LEFT(TRIM(I360&amp;""),FIND(" ",TRIM(I360&amp;""))-1),설정_코드표!$J$2:$J$101,0))&amp;" "&amp;INDEX(설정_코드표!$G$2:$G$101,MATCH(TRIM(RIGHT(SUBSTITUTE(TRIM(I360&amp;"")," ",REPT(" ",60)),60)),설정_코드표!$F$2:$F$101,0)),"⚠"&amp;TRIM(I360&amp;""))),"⚠"&amp;TRIM(I360&amp;""))</f>
        <v/>
      </c>
      <c r="R360" s="10">
        <f>IFERROR(IF(TRIM(J360&amp;"")="","",IF(AND(ISNUMBER(FIND(" ",TRIM(J360&amp;""))),ISNUMBER(MATCH(LEFT(TRIM(J360&amp;""),FIND(" ",TRIM(J360&amp;""))-1),설정_코드표!$J$2:$J$101,0)),ISNUMBER(MATCH(TRIM(RIGHT(SUBSTITUTE(TRIM(J360&amp;"")," ",REPT(" ",60)),60)),설정_코드표!$F$2:$F$101,0))),INDEX(설정_코드표!$K$2:$K$101,MATCH(LEFT(TRIM(J360&amp;""),FIND(" ",TRIM(J360&amp;""))-1),설정_코드표!$J$2:$J$101,0))&amp;" "&amp;INDEX(설정_코드표!$G$2:$G$101,MATCH(TRIM(RIGHT(SUBSTITUTE(TRIM(J360&amp;"")," ",REPT(" ",60)),60)),설정_코드표!$F$2:$F$101,0)),"⚠"&amp;TRIM(J360&amp;""))),"⚠"&amp;TRIM(J360&amp;""))</f>
        <v/>
      </c>
      <c r="S360" s="11">
        <f>IF(K360="","",IFERROR(IF(AND(ROUND((VALUE(K360&amp;"")-INT(VALUE(K360&amp;"")))*100,0)&gt;=1,ROUND((VALUE(K360&amp;"")-INT(VALUE(K360&amp;"")))*100,0)&lt;=12,INT(VALUE(K360&amp;""))&gt;=1900),DATE(INT(VALUE(K360&amp;"")),ROUND((VALUE(K360&amp;"")-INT(VALUE(K360&amp;"")))*100,0),1),K360&amp;""),K360&amp;""))</f>
        <v/>
      </c>
      <c r="T360" s="10">
        <f>COUNTIF(M360:R360,"⚠*")</f>
        <v/>
      </c>
    </row>
    <row r="361"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M361" s="10">
        <f>IFERROR(IF(TRIM(E361&amp;"")="","",IF(AND(ISNUMBER(FIND(" ",TRIM(E361&amp;""))),ISNUMBER(MATCH(LEFT(TRIM(E361&amp;""),FIND(" ",TRIM(E361&amp;""))-1),설정_코드표!$J$2:$J$101,0)),ISNUMBER(MATCH(TRIM(RIGHT(SUBSTITUTE(TRIM(E361&amp;"")," ",REPT(" ",60)),60)),설정_코드표!$F$2:$F$101,0))),INDEX(설정_코드표!$K$2:$K$101,MATCH(LEFT(TRIM(E361&amp;""),FIND(" ",TRIM(E361&amp;""))-1),설정_코드표!$J$2:$J$101,0))&amp;" "&amp;INDEX(설정_코드표!$G$2:$G$101,MATCH(TRIM(RIGHT(SUBSTITUTE(TRIM(E361&amp;"")," ",REPT(" ",60)),60)),설정_코드표!$F$2:$F$101,0)),"⚠"&amp;TRIM(E361&amp;""))),"⚠"&amp;TRIM(E361&amp;""))</f>
        <v/>
      </c>
      <c r="N361" s="10">
        <f>IFERROR(IF(TRIM(F361&amp;"")="","",IF(AND(ISNUMBER(FIND(" ",TRIM(F361&amp;""))),ISNUMBER(MATCH(LEFT(TRIM(F361&amp;""),FIND(" ",TRIM(F361&amp;""))-1),설정_코드표!$J$2:$J$101,0)),ISNUMBER(MATCH(TRIM(RIGHT(SUBSTITUTE(TRIM(F361&amp;"")," ",REPT(" ",60)),60)),설정_코드표!$F$2:$F$101,0))),INDEX(설정_코드표!$K$2:$K$101,MATCH(LEFT(TRIM(F361&amp;""),FIND(" ",TRIM(F361&amp;""))-1),설정_코드표!$J$2:$J$101,0))&amp;" "&amp;INDEX(설정_코드표!$G$2:$G$101,MATCH(TRIM(RIGHT(SUBSTITUTE(TRIM(F361&amp;"")," ",REPT(" ",60)),60)),설정_코드표!$F$2:$F$101,0)),"⚠"&amp;TRIM(F361&amp;""))),"⚠"&amp;TRIM(F361&amp;""))</f>
        <v/>
      </c>
      <c r="O361" s="10">
        <f>IFERROR(IF(TRIM(G361&amp;"")="","",IF(AND(ISNUMBER(FIND(" ",TRIM(G361&amp;""))),ISNUMBER(MATCH(LEFT(TRIM(G361&amp;""),FIND(" ",TRIM(G361&amp;""))-1),설정_코드표!$J$2:$J$101,0)),ISNUMBER(MATCH(TRIM(RIGHT(SUBSTITUTE(TRIM(G361&amp;"")," ",REPT(" ",60)),60)),설정_코드표!$F$2:$F$101,0))),INDEX(설정_코드표!$K$2:$K$101,MATCH(LEFT(TRIM(G361&amp;""),FIND(" ",TRIM(G361&amp;""))-1),설정_코드표!$J$2:$J$101,0))&amp;" "&amp;INDEX(설정_코드표!$G$2:$G$101,MATCH(TRIM(RIGHT(SUBSTITUTE(TRIM(G361&amp;"")," ",REPT(" ",60)),60)),설정_코드표!$F$2:$F$101,0)),"⚠"&amp;TRIM(G361&amp;""))),"⚠"&amp;TRIM(G361&amp;""))</f>
        <v/>
      </c>
      <c r="P361" s="10">
        <f>IFERROR(IF(TRIM(H361&amp;"")="","",IF(AND(ISNUMBER(FIND(" ",TRIM(H361&amp;""))),ISNUMBER(MATCH(LEFT(TRIM(H361&amp;""),FIND(" ",TRIM(H361&amp;""))-1),설정_코드표!$J$2:$J$101,0)),ISNUMBER(MATCH(TRIM(RIGHT(SUBSTITUTE(TRIM(H361&amp;"")," ",REPT(" ",60)),60)),설정_코드표!$F$2:$F$101,0))),INDEX(설정_코드표!$K$2:$K$101,MATCH(LEFT(TRIM(H361&amp;""),FIND(" ",TRIM(H361&amp;""))-1),설정_코드표!$J$2:$J$101,0))&amp;" "&amp;INDEX(설정_코드표!$G$2:$G$101,MATCH(TRIM(RIGHT(SUBSTITUTE(TRIM(H361&amp;"")," ",REPT(" ",60)),60)),설정_코드표!$F$2:$F$101,0)),"⚠"&amp;TRIM(H361&amp;""))),"⚠"&amp;TRIM(H361&amp;""))</f>
        <v/>
      </c>
      <c r="Q361" s="10">
        <f>IFERROR(IF(TRIM(I361&amp;"")="","",IF(AND(ISNUMBER(FIND(" ",TRIM(I361&amp;""))),ISNUMBER(MATCH(LEFT(TRIM(I361&amp;""),FIND(" ",TRIM(I361&amp;""))-1),설정_코드표!$J$2:$J$101,0)),ISNUMBER(MATCH(TRIM(RIGHT(SUBSTITUTE(TRIM(I361&amp;"")," ",REPT(" ",60)),60)),설정_코드표!$F$2:$F$101,0))),INDEX(설정_코드표!$K$2:$K$101,MATCH(LEFT(TRIM(I361&amp;""),FIND(" ",TRIM(I361&amp;""))-1),설정_코드표!$J$2:$J$101,0))&amp;" "&amp;INDEX(설정_코드표!$G$2:$G$101,MATCH(TRIM(RIGHT(SUBSTITUTE(TRIM(I361&amp;"")," ",REPT(" ",60)),60)),설정_코드표!$F$2:$F$101,0)),"⚠"&amp;TRIM(I361&amp;""))),"⚠"&amp;TRIM(I361&amp;""))</f>
        <v/>
      </c>
      <c r="R361" s="10">
        <f>IFERROR(IF(TRIM(J361&amp;"")="","",IF(AND(ISNUMBER(FIND(" ",TRIM(J361&amp;""))),ISNUMBER(MATCH(LEFT(TRIM(J361&amp;""),FIND(" ",TRIM(J361&amp;""))-1),설정_코드표!$J$2:$J$101,0)),ISNUMBER(MATCH(TRIM(RIGHT(SUBSTITUTE(TRIM(J361&amp;"")," ",REPT(" ",60)),60)),설정_코드표!$F$2:$F$101,0))),INDEX(설정_코드표!$K$2:$K$101,MATCH(LEFT(TRIM(J361&amp;""),FIND(" ",TRIM(J361&amp;""))-1),설정_코드표!$J$2:$J$101,0))&amp;" "&amp;INDEX(설정_코드표!$G$2:$G$101,MATCH(TRIM(RIGHT(SUBSTITUTE(TRIM(J361&amp;"")," ",REPT(" ",60)),60)),설정_코드표!$F$2:$F$101,0)),"⚠"&amp;TRIM(J361&amp;""))),"⚠"&amp;TRIM(J361&amp;""))</f>
        <v/>
      </c>
      <c r="S361" s="11">
        <f>IF(K361="","",IFERROR(IF(AND(ROUND((VALUE(K361&amp;"")-INT(VALUE(K361&amp;"")))*100,0)&gt;=1,ROUND((VALUE(K361&amp;"")-INT(VALUE(K361&amp;"")))*100,0)&lt;=12,INT(VALUE(K361&amp;""))&gt;=1900),DATE(INT(VALUE(K361&amp;"")),ROUND((VALUE(K361&amp;"")-INT(VALUE(K361&amp;"")))*100,0),1),K361&amp;""),K361&amp;""))</f>
        <v/>
      </c>
      <c r="T361" s="10">
        <f>COUNTIF(M361:R361,"⚠*")</f>
        <v/>
      </c>
    </row>
    <row r="362"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M362" s="10">
        <f>IFERROR(IF(TRIM(E362&amp;"")="","",IF(AND(ISNUMBER(FIND(" ",TRIM(E362&amp;""))),ISNUMBER(MATCH(LEFT(TRIM(E362&amp;""),FIND(" ",TRIM(E362&amp;""))-1),설정_코드표!$J$2:$J$101,0)),ISNUMBER(MATCH(TRIM(RIGHT(SUBSTITUTE(TRIM(E362&amp;"")," ",REPT(" ",60)),60)),설정_코드표!$F$2:$F$101,0))),INDEX(설정_코드표!$K$2:$K$101,MATCH(LEFT(TRIM(E362&amp;""),FIND(" ",TRIM(E362&amp;""))-1),설정_코드표!$J$2:$J$101,0))&amp;" "&amp;INDEX(설정_코드표!$G$2:$G$101,MATCH(TRIM(RIGHT(SUBSTITUTE(TRIM(E362&amp;"")," ",REPT(" ",60)),60)),설정_코드표!$F$2:$F$101,0)),"⚠"&amp;TRIM(E362&amp;""))),"⚠"&amp;TRIM(E362&amp;""))</f>
        <v/>
      </c>
      <c r="N362" s="10">
        <f>IFERROR(IF(TRIM(F362&amp;"")="","",IF(AND(ISNUMBER(FIND(" ",TRIM(F362&amp;""))),ISNUMBER(MATCH(LEFT(TRIM(F362&amp;""),FIND(" ",TRIM(F362&amp;""))-1),설정_코드표!$J$2:$J$101,0)),ISNUMBER(MATCH(TRIM(RIGHT(SUBSTITUTE(TRIM(F362&amp;"")," ",REPT(" ",60)),60)),설정_코드표!$F$2:$F$101,0))),INDEX(설정_코드표!$K$2:$K$101,MATCH(LEFT(TRIM(F362&amp;""),FIND(" ",TRIM(F362&amp;""))-1),설정_코드표!$J$2:$J$101,0))&amp;" "&amp;INDEX(설정_코드표!$G$2:$G$101,MATCH(TRIM(RIGHT(SUBSTITUTE(TRIM(F362&amp;"")," ",REPT(" ",60)),60)),설정_코드표!$F$2:$F$101,0)),"⚠"&amp;TRIM(F362&amp;""))),"⚠"&amp;TRIM(F362&amp;""))</f>
        <v/>
      </c>
      <c r="O362" s="10">
        <f>IFERROR(IF(TRIM(G362&amp;"")="","",IF(AND(ISNUMBER(FIND(" ",TRIM(G362&amp;""))),ISNUMBER(MATCH(LEFT(TRIM(G362&amp;""),FIND(" ",TRIM(G362&amp;""))-1),설정_코드표!$J$2:$J$101,0)),ISNUMBER(MATCH(TRIM(RIGHT(SUBSTITUTE(TRIM(G362&amp;"")," ",REPT(" ",60)),60)),설정_코드표!$F$2:$F$101,0))),INDEX(설정_코드표!$K$2:$K$101,MATCH(LEFT(TRIM(G362&amp;""),FIND(" ",TRIM(G362&amp;""))-1),설정_코드표!$J$2:$J$101,0))&amp;" "&amp;INDEX(설정_코드표!$G$2:$G$101,MATCH(TRIM(RIGHT(SUBSTITUTE(TRIM(G362&amp;"")," ",REPT(" ",60)),60)),설정_코드표!$F$2:$F$101,0)),"⚠"&amp;TRIM(G362&amp;""))),"⚠"&amp;TRIM(G362&amp;""))</f>
        <v/>
      </c>
      <c r="P362" s="10">
        <f>IFERROR(IF(TRIM(H362&amp;"")="","",IF(AND(ISNUMBER(FIND(" ",TRIM(H362&amp;""))),ISNUMBER(MATCH(LEFT(TRIM(H362&amp;""),FIND(" ",TRIM(H362&amp;""))-1),설정_코드표!$J$2:$J$101,0)),ISNUMBER(MATCH(TRIM(RIGHT(SUBSTITUTE(TRIM(H362&amp;"")," ",REPT(" ",60)),60)),설정_코드표!$F$2:$F$101,0))),INDEX(설정_코드표!$K$2:$K$101,MATCH(LEFT(TRIM(H362&amp;""),FIND(" ",TRIM(H362&amp;""))-1),설정_코드표!$J$2:$J$101,0))&amp;" "&amp;INDEX(설정_코드표!$G$2:$G$101,MATCH(TRIM(RIGHT(SUBSTITUTE(TRIM(H362&amp;"")," ",REPT(" ",60)),60)),설정_코드표!$F$2:$F$101,0)),"⚠"&amp;TRIM(H362&amp;""))),"⚠"&amp;TRIM(H362&amp;""))</f>
        <v/>
      </c>
      <c r="Q362" s="10">
        <f>IFERROR(IF(TRIM(I362&amp;"")="","",IF(AND(ISNUMBER(FIND(" ",TRIM(I362&amp;""))),ISNUMBER(MATCH(LEFT(TRIM(I362&amp;""),FIND(" ",TRIM(I362&amp;""))-1),설정_코드표!$J$2:$J$101,0)),ISNUMBER(MATCH(TRIM(RIGHT(SUBSTITUTE(TRIM(I362&amp;"")," ",REPT(" ",60)),60)),설정_코드표!$F$2:$F$101,0))),INDEX(설정_코드표!$K$2:$K$101,MATCH(LEFT(TRIM(I362&amp;""),FIND(" ",TRIM(I362&amp;""))-1),설정_코드표!$J$2:$J$101,0))&amp;" "&amp;INDEX(설정_코드표!$G$2:$G$101,MATCH(TRIM(RIGHT(SUBSTITUTE(TRIM(I362&amp;"")," ",REPT(" ",60)),60)),설정_코드표!$F$2:$F$101,0)),"⚠"&amp;TRIM(I362&amp;""))),"⚠"&amp;TRIM(I362&amp;""))</f>
        <v/>
      </c>
      <c r="R362" s="10">
        <f>IFERROR(IF(TRIM(J362&amp;"")="","",IF(AND(ISNUMBER(FIND(" ",TRIM(J362&amp;""))),ISNUMBER(MATCH(LEFT(TRIM(J362&amp;""),FIND(" ",TRIM(J362&amp;""))-1),설정_코드표!$J$2:$J$101,0)),ISNUMBER(MATCH(TRIM(RIGHT(SUBSTITUTE(TRIM(J362&amp;"")," ",REPT(" ",60)),60)),설정_코드표!$F$2:$F$101,0))),INDEX(설정_코드표!$K$2:$K$101,MATCH(LEFT(TRIM(J362&amp;""),FIND(" ",TRIM(J362&amp;""))-1),설정_코드표!$J$2:$J$101,0))&amp;" "&amp;INDEX(설정_코드표!$G$2:$G$101,MATCH(TRIM(RIGHT(SUBSTITUTE(TRIM(J362&amp;"")," ",REPT(" ",60)),60)),설정_코드표!$F$2:$F$101,0)),"⚠"&amp;TRIM(J362&amp;""))),"⚠"&amp;TRIM(J362&amp;""))</f>
        <v/>
      </c>
      <c r="S362" s="11">
        <f>IF(K362="","",IFERROR(IF(AND(ROUND((VALUE(K362&amp;"")-INT(VALUE(K362&amp;"")))*100,0)&gt;=1,ROUND((VALUE(K362&amp;"")-INT(VALUE(K362&amp;"")))*100,0)&lt;=12,INT(VALUE(K362&amp;""))&gt;=1900),DATE(INT(VALUE(K362&amp;"")),ROUND((VALUE(K362&amp;"")-INT(VALUE(K362&amp;"")))*100,0),1),K362&amp;""),K362&amp;""))</f>
        <v/>
      </c>
      <c r="T362" s="10">
        <f>COUNTIF(M362:R362,"⚠*")</f>
        <v/>
      </c>
    </row>
    <row r="363"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M363" s="10">
        <f>IFERROR(IF(TRIM(E363&amp;"")="","",IF(AND(ISNUMBER(FIND(" ",TRIM(E363&amp;""))),ISNUMBER(MATCH(LEFT(TRIM(E363&amp;""),FIND(" ",TRIM(E363&amp;""))-1),설정_코드표!$J$2:$J$101,0)),ISNUMBER(MATCH(TRIM(RIGHT(SUBSTITUTE(TRIM(E363&amp;"")," ",REPT(" ",60)),60)),설정_코드표!$F$2:$F$101,0))),INDEX(설정_코드표!$K$2:$K$101,MATCH(LEFT(TRIM(E363&amp;""),FIND(" ",TRIM(E363&amp;""))-1),설정_코드표!$J$2:$J$101,0))&amp;" "&amp;INDEX(설정_코드표!$G$2:$G$101,MATCH(TRIM(RIGHT(SUBSTITUTE(TRIM(E363&amp;"")," ",REPT(" ",60)),60)),설정_코드표!$F$2:$F$101,0)),"⚠"&amp;TRIM(E363&amp;""))),"⚠"&amp;TRIM(E363&amp;""))</f>
        <v/>
      </c>
      <c r="N363" s="10">
        <f>IFERROR(IF(TRIM(F363&amp;"")="","",IF(AND(ISNUMBER(FIND(" ",TRIM(F363&amp;""))),ISNUMBER(MATCH(LEFT(TRIM(F363&amp;""),FIND(" ",TRIM(F363&amp;""))-1),설정_코드표!$J$2:$J$101,0)),ISNUMBER(MATCH(TRIM(RIGHT(SUBSTITUTE(TRIM(F363&amp;"")," ",REPT(" ",60)),60)),설정_코드표!$F$2:$F$101,0))),INDEX(설정_코드표!$K$2:$K$101,MATCH(LEFT(TRIM(F363&amp;""),FIND(" ",TRIM(F363&amp;""))-1),설정_코드표!$J$2:$J$101,0))&amp;" "&amp;INDEX(설정_코드표!$G$2:$G$101,MATCH(TRIM(RIGHT(SUBSTITUTE(TRIM(F363&amp;"")," ",REPT(" ",60)),60)),설정_코드표!$F$2:$F$101,0)),"⚠"&amp;TRIM(F363&amp;""))),"⚠"&amp;TRIM(F363&amp;""))</f>
        <v/>
      </c>
      <c r="O363" s="10">
        <f>IFERROR(IF(TRIM(G363&amp;"")="","",IF(AND(ISNUMBER(FIND(" ",TRIM(G363&amp;""))),ISNUMBER(MATCH(LEFT(TRIM(G363&amp;""),FIND(" ",TRIM(G363&amp;""))-1),설정_코드표!$J$2:$J$101,0)),ISNUMBER(MATCH(TRIM(RIGHT(SUBSTITUTE(TRIM(G363&amp;"")," ",REPT(" ",60)),60)),설정_코드표!$F$2:$F$101,0))),INDEX(설정_코드표!$K$2:$K$101,MATCH(LEFT(TRIM(G363&amp;""),FIND(" ",TRIM(G363&amp;""))-1),설정_코드표!$J$2:$J$101,0))&amp;" "&amp;INDEX(설정_코드표!$G$2:$G$101,MATCH(TRIM(RIGHT(SUBSTITUTE(TRIM(G363&amp;"")," ",REPT(" ",60)),60)),설정_코드표!$F$2:$F$101,0)),"⚠"&amp;TRIM(G363&amp;""))),"⚠"&amp;TRIM(G363&amp;""))</f>
        <v/>
      </c>
      <c r="P363" s="10">
        <f>IFERROR(IF(TRIM(H363&amp;"")="","",IF(AND(ISNUMBER(FIND(" ",TRIM(H363&amp;""))),ISNUMBER(MATCH(LEFT(TRIM(H363&amp;""),FIND(" ",TRIM(H363&amp;""))-1),설정_코드표!$J$2:$J$101,0)),ISNUMBER(MATCH(TRIM(RIGHT(SUBSTITUTE(TRIM(H363&amp;"")," ",REPT(" ",60)),60)),설정_코드표!$F$2:$F$101,0))),INDEX(설정_코드표!$K$2:$K$101,MATCH(LEFT(TRIM(H363&amp;""),FIND(" ",TRIM(H363&amp;""))-1),설정_코드표!$J$2:$J$101,0))&amp;" "&amp;INDEX(설정_코드표!$G$2:$G$101,MATCH(TRIM(RIGHT(SUBSTITUTE(TRIM(H363&amp;"")," ",REPT(" ",60)),60)),설정_코드표!$F$2:$F$101,0)),"⚠"&amp;TRIM(H363&amp;""))),"⚠"&amp;TRIM(H363&amp;""))</f>
        <v/>
      </c>
      <c r="Q363" s="10">
        <f>IFERROR(IF(TRIM(I363&amp;"")="","",IF(AND(ISNUMBER(FIND(" ",TRIM(I363&amp;""))),ISNUMBER(MATCH(LEFT(TRIM(I363&amp;""),FIND(" ",TRIM(I363&amp;""))-1),설정_코드표!$J$2:$J$101,0)),ISNUMBER(MATCH(TRIM(RIGHT(SUBSTITUTE(TRIM(I363&amp;"")," ",REPT(" ",60)),60)),설정_코드표!$F$2:$F$101,0))),INDEX(설정_코드표!$K$2:$K$101,MATCH(LEFT(TRIM(I363&amp;""),FIND(" ",TRIM(I363&amp;""))-1),설정_코드표!$J$2:$J$101,0))&amp;" "&amp;INDEX(설정_코드표!$G$2:$G$101,MATCH(TRIM(RIGHT(SUBSTITUTE(TRIM(I363&amp;"")," ",REPT(" ",60)),60)),설정_코드표!$F$2:$F$101,0)),"⚠"&amp;TRIM(I363&amp;""))),"⚠"&amp;TRIM(I363&amp;""))</f>
        <v/>
      </c>
      <c r="R363" s="10">
        <f>IFERROR(IF(TRIM(J363&amp;"")="","",IF(AND(ISNUMBER(FIND(" ",TRIM(J363&amp;""))),ISNUMBER(MATCH(LEFT(TRIM(J363&amp;""),FIND(" ",TRIM(J363&amp;""))-1),설정_코드표!$J$2:$J$101,0)),ISNUMBER(MATCH(TRIM(RIGHT(SUBSTITUTE(TRIM(J363&amp;"")," ",REPT(" ",60)),60)),설정_코드표!$F$2:$F$101,0))),INDEX(설정_코드표!$K$2:$K$101,MATCH(LEFT(TRIM(J363&amp;""),FIND(" ",TRIM(J363&amp;""))-1),설정_코드표!$J$2:$J$101,0))&amp;" "&amp;INDEX(설정_코드표!$G$2:$G$101,MATCH(TRIM(RIGHT(SUBSTITUTE(TRIM(J363&amp;"")," ",REPT(" ",60)),60)),설정_코드표!$F$2:$F$101,0)),"⚠"&amp;TRIM(J363&amp;""))),"⚠"&amp;TRIM(J363&amp;""))</f>
        <v/>
      </c>
      <c r="S363" s="11">
        <f>IF(K363="","",IFERROR(IF(AND(ROUND((VALUE(K363&amp;"")-INT(VALUE(K363&amp;"")))*100,0)&gt;=1,ROUND((VALUE(K363&amp;"")-INT(VALUE(K363&amp;"")))*100,0)&lt;=12,INT(VALUE(K363&amp;""))&gt;=1900),DATE(INT(VALUE(K363&amp;"")),ROUND((VALUE(K363&amp;"")-INT(VALUE(K363&amp;"")))*100,0),1),K363&amp;""),K363&amp;""))</f>
        <v/>
      </c>
      <c r="T363" s="10">
        <f>COUNTIF(M363:R363,"⚠*")</f>
        <v/>
      </c>
    </row>
    <row r="364"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M364" s="10">
        <f>IFERROR(IF(TRIM(E364&amp;"")="","",IF(AND(ISNUMBER(FIND(" ",TRIM(E364&amp;""))),ISNUMBER(MATCH(LEFT(TRIM(E364&amp;""),FIND(" ",TRIM(E364&amp;""))-1),설정_코드표!$J$2:$J$101,0)),ISNUMBER(MATCH(TRIM(RIGHT(SUBSTITUTE(TRIM(E364&amp;"")," ",REPT(" ",60)),60)),설정_코드표!$F$2:$F$101,0))),INDEX(설정_코드표!$K$2:$K$101,MATCH(LEFT(TRIM(E364&amp;""),FIND(" ",TRIM(E364&amp;""))-1),설정_코드표!$J$2:$J$101,0))&amp;" "&amp;INDEX(설정_코드표!$G$2:$G$101,MATCH(TRIM(RIGHT(SUBSTITUTE(TRIM(E364&amp;"")," ",REPT(" ",60)),60)),설정_코드표!$F$2:$F$101,0)),"⚠"&amp;TRIM(E364&amp;""))),"⚠"&amp;TRIM(E364&amp;""))</f>
        <v/>
      </c>
      <c r="N364" s="10">
        <f>IFERROR(IF(TRIM(F364&amp;"")="","",IF(AND(ISNUMBER(FIND(" ",TRIM(F364&amp;""))),ISNUMBER(MATCH(LEFT(TRIM(F364&amp;""),FIND(" ",TRIM(F364&amp;""))-1),설정_코드표!$J$2:$J$101,0)),ISNUMBER(MATCH(TRIM(RIGHT(SUBSTITUTE(TRIM(F364&amp;"")," ",REPT(" ",60)),60)),설정_코드표!$F$2:$F$101,0))),INDEX(설정_코드표!$K$2:$K$101,MATCH(LEFT(TRIM(F364&amp;""),FIND(" ",TRIM(F364&amp;""))-1),설정_코드표!$J$2:$J$101,0))&amp;" "&amp;INDEX(설정_코드표!$G$2:$G$101,MATCH(TRIM(RIGHT(SUBSTITUTE(TRIM(F364&amp;"")," ",REPT(" ",60)),60)),설정_코드표!$F$2:$F$101,0)),"⚠"&amp;TRIM(F364&amp;""))),"⚠"&amp;TRIM(F364&amp;""))</f>
        <v/>
      </c>
      <c r="O364" s="10">
        <f>IFERROR(IF(TRIM(G364&amp;"")="","",IF(AND(ISNUMBER(FIND(" ",TRIM(G364&amp;""))),ISNUMBER(MATCH(LEFT(TRIM(G364&amp;""),FIND(" ",TRIM(G364&amp;""))-1),설정_코드표!$J$2:$J$101,0)),ISNUMBER(MATCH(TRIM(RIGHT(SUBSTITUTE(TRIM(G364&amp;"")," ",REPT(" ",60)),60)),설정_코드표!$F$2:$F$101,0))),INDEX(설정_코드표!$K$2:$K$101,MATCH(LEFT(TRIM(G364&amp;""),FIND(" ",TRIM(G364&amp;""))-1),설정_코드표!$J$2:$J$101,0))&amp;" "&amp;INDEX(설정_코드표!$G$2:$G$101,MATCH(TRIM(RIGHT(SUBSTITUTE(TRIM(G364&amp;"")," ",REPT(" ",60)),60)),설정_코드표!$F$2:$F$101,0)),"⚠"&amp;TRIM(G364&amp;""))),"⚠"&amp;TRIM(G364&amp;""))</f>
        <v/>
      </c>
      <c r="P364" s="10">
        <f>IFERROR(IF(TRIM(H364&amp;"")="","",IF(AND(ISNUMBER(FIND(" ",TRIM(H364&amp;""))),ISNUMBER(MATCH(LEFT(TRIM(H364&amp;""),FIND(" ",TRIM(H364&amp;""))-1),설정_코드표!$J$2:$J$101,0)),ISNUMBER(MATCH(TRIM(RIGHT(SUBSTITUTE(TRIM(H364&amp;"")," ",REPT(" ",60)),60)),설정_코드표!$F$2:$F$101,0))),INDEX(설정_코드표!$K$2:$K$101,MATCH(LEFT(TRIM(H364&amp;""),FIND(" ",TRIM(H364&amp;""))-1),설정_코드표!$J$2:$J$101,0))&amp;" "&amp;INDEX(설정_코드표!$G$2:$G$101,MATCH(TRIM(RIGHT(SUBSTITUTE(TRIM(H364&amp;"")," ",REPT(" ",60)),60)),설정_코드표!$F$2:$F$101,0)),"⚠"&amp;TRIM(H364&amp;""))),"⚠"&amp;TRIM(H364&amp;""))</f>
        <v/>
      </c>
      <c r="Q364" s="10">
        <f>IFERROR(IF(TRIM(I364&amp;"")="","",IF(AND(ISNUMBER(FIND(" ",TRIM(I364&amp;""))),ISNUMBER(MATCH(LEFT(TRIM(I364&amp;""),FIND(" ",TRIM(I364&amp;""))-1),설정_코드표!$J$2:$J$101,0)),ISNUMBER(MATCH(TRIM(RIGHT(SUBSTITUTE(TRIM(I364&amp;"")," ",REPT(" ",60)),60)),설정_코드표!$F$2:$F$101,0))),INDEX(설정_코드표!$K$2:$K$101,MATCH(LEFT(TRIM(I364&amp;""),FIND(" ",TRIM(I364&amp;""))-1),설정_코드표!$J$2:$J$101,0))&amp;" "&amp;INDEX(설정_코드표!$G$2:$G$101,MATCH(TRIM(RIGHT(SUBSTITUTE(TRIM(I364&amp;"")," ",REPT(" ",60)),60)),설정_코드표!$F$2:$F$101,0)),"⚠"&amp;TRIM(I364&amp;""))),"⚠"&amp;TRIM(I364&amp;""))</f>
        <v/>
      </c>
      <c r="R364" s="10">
        <f>IFERROR(IF(TRIM(J364&amp;"")="","",IF(AND(ISNUMBER(FIND(" ",TRIM(J364&amp;""))),ISNUMBER(MATCH(LEFT(TRIM(J364&amp;""),FIND(" ",TRIM(J364&amp;""))-1),설정_코드표!$J$2:$J$101,0)),ISNUMBER(MATCH(TRIM(RIGHT(SUBSTITUTE(TRIM(J364&amp;"")," ",REPT(" ",60)),60)),설정_코드표!$F$2:$F$101,0))),INDEX(설정_코드표!$K$2:$K$101,MATCH(LEFT(TRIM(J364&amp;""),FIND(" ",TRIM(J364&amp;""))-1),설정_코드표!$J$2:$J$101,0))&amp;" "&amp;INDEX(설정_코드표!$G$2:$G$101,MATCH(TRIM(RIGHT(SUBSTITUTE(TRIM(J364&amp;"")," ",REPT(" ",60)),60)),설정_코드표!$F$2:$F$101,0)),"⚠"&amp;TRIM(J364&amp;""))),"⚠"&amp;TRIM(J364&amp;""))</f>
        <v/>
      </c>
      <c r="S364" s="11">
        <f>IF(K364="","",IFERROR(IF(AND(ROUND((VALUE(K364&amp;"")-INT(VALUE(K364&amp;"")))*100,0)&gt;=1,ROUND((VALUE(K364&amp;"")-INT(VALUE(K364&amp;"")))*100,0)&lt;=12,INT(VALUE(K364&amp;""))&gt;=1900),DATE(INT(VALUE(K364&amp;"")),ROUND((VALUE(K364&amp;"")-INT(VALUE(K364&amp;"")))*100,0),1),K364&amp;""),K364&amp;""))</f>
        <v/>
      </c>
      <c r="T364" s="10">
        <f>COUNTIF(M364:R364,"⚠*")</f>
        <v/>
      </c>
    </row>
    <row r="365"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M365" s="10">
        <f>IFERROR(IF(TRIM(E365&amp;"")="","",IF(AND(ISNUMBER(FIND(" ",TRIM(E365&amp;""))),ISNUMBER(MATCH(LEFT(TRIM(E365&amp;""),FIND(" ",TRIM(E365&amp;""))-1),설정_코드표!$J$2:$J$101,0)),ISNUMBER(MATCH(TRIM(RIGHT(SUBSTITUTE(TRIM(E365&amp;"")," ",REPT(" ",60)),60)),설정_코드표!$F$2:$F$101,0))),INDEX(설정_코드표!$K$2:$K$101,MATCH(LEFT(TRIM(E365&amp;""),FIND(" ",TRIM(E365&amp;""))-1),설정_코드표!$J$2:$J$101,0))&amp;" "&amp;INDEX(설정_코드표!$G$2:$G$101,MATCH(TRIM(RIGHT(SUBSTITUTE(TRIM(E365&amp;"")," ",REPT(" ",60)),60)),설정_코드표!$F$2:$F$101,0)),"⚠"&amp;TRIM(E365&amp;""))),"⚠"&amp;TRIM(E365&amp;""))</f>
        <v/>
      </c>
      <c r="N365" s="10">
        <f>IFERROR(IF(TRIM(F365&amp;"")="","",IF(AND(ISNUMBER(FIND(" ",TRIM(F365&amp;""))),ISNUMBER(MATCH(LEFT(TRIM(F365&amp;""),FIND(" ",TRIM(F365&amp;""))-1),설정_코드표!$J$2:$J$101,0)),ISNUMBER(MATCH(TRIM(RIGHT(SUBSTITUTE(TRIM(F365&amp;"")," ",REPT(" ",60)),60)),설정_코드표!$F$2:$F$101,0))),INDEX(설정_코드표!$K$2:$K$101,MATCH(LEFT(TRIM(F365&amp;""),FIND(" ",TRIM(F365&amp;""))-1),설정_코드표!$J$2:$J$101,0))&amp;" "&amp;INDEX(설정_코드표!$G$2:$G$101,MATCH(TRIM(RIGHT(SUBSTITUTE(TRIM(F365&amp;"")," ",REPT(" ",60)),60)),설정_코드표!$F$2:$F$101,0)),"⚠"&amp;TRIM(F365&amp;""))),"⚠"&amp;TRIM(F365&amp;""))</f>
        <v/>
      </c>
      <c r="O365" s="10">
        <f>IFERROR(IF(TRIM(G365&amp;"")="","",IF(AND(ISNUMBER(FIND(" ",TRIM(G365&amp;""))),ISNUMBER(MATCH(LEFT(TRIM(G365&amp;""),FIND(" ",TRIM(G365&amp;""))-1),설정_코드표!$J$2:$J$101,0)),ISNUMBER(MATCH(TRIM(RIGHT(SUBSTITUTE(TRIM(G365&amp;"")," ",REPT(" ",60)),60)),설정_코드표!$F$2:$F$101,0))),INDEX(설정_코드표!$K$2:$K$101,MATCH(LEFT(TRIM(G365&amp;""),FIND(" ",TRIM(G365&amp;""))-1),설정_코드표!$J$2:$J$101,0))&amp;" "&amp;INDEX(설정_코드표!$G$2:$G$101,MATCH(TRIM(RIGHT(SUBSTITUTE(TRIM(G365&amp;"")," ",REPT(" ",60)),60)),설정_코드표!$F$2:$F$101,0)),"⚠"&amp;TRIM(G365&amp;""))),"⚠"&amp;TRIM(G365&amp;""))</f>
        <v/>
      </c>
      <c r="P365" s="10">
        <f>IFERROR(IF(TRIM(H365&amp;"")="","",IF(AND(ISNUMBER(FIND(" ",TRIM(H365&amp;""))),ISNUMBER(MATCH(LEFT(TRIM(H365&amp;""),FIND(" ",TRIM(H365&amp;""))-1),설정_코드표!$J$2:$J$101,0)),ISNUMBER(MATCH(TRIM(RIGHT(SUBSTITUTE(TRIM(H365&amp;"")," ",REPT(" ",60)),60)),설정_코드표!$F$2:$F$101,0))),INDEX(설정_코드표!$K$2:$K$101,MATCH(LEFT(TRIM(H365&amp;""),FIND(" ",TRIM(H365&amp;""))-1),설정_코드표!$J$2:$J$101,0))&amp;" "&amp;INDEX(설정_코드표!$G$2:$G$101,MATCH(TRIM(RIGHT(SUBSTITUTE(TRIM(H365&amp;"")," ",REPT(" ",60)),60)),설정_코드표!$F$2:$F$101,0)),"⚠"&amp;TRIM(H365&amp;""))),"⚠"&amp;TRIM(H365&amp;""))</f>
        <v/>
      </c>
      <c r="Q365" s="10">
        <f>IFERROR(IF(TRIM(I365&amp;"")="","",IF(AND(ISNUMBER(FIND(" ",TRIM(I365&amp;""))),ISNUMBER(MATCH(LEFT(TRIM(I365&amp;""),FIND(" ",TRIM(I365&amp;""))-1),설정_코드표!$J$2:$J$101,0)),ISNUMBER(MATCH(TRIM(RIGHT(SUBSTITUTE(TRIM(I365&amp;"")," ",REPT(" ",60)),60)),설정_코드표!$F$2:$F$101,0))),INDEX(설정_코드표!$K$2:$K$101,MATCH(LEFT(TRIM(I365&amp;""),FIND(" ",TRIM(I365&amp;""))-1),설정_코드표!$J$2:$J$101,0))&amp;" "&amp;INDEX(설정_코드표!$G$2:$G$101,MATCH(TRIM(RIGHT(SUBSTITUTE(TRIM(I365&amp;"")," ",REPT(" ",60)),60)),설정_코드표!$F$2:$F$101,0)),"⚠"&amp;TRIM(I365&amp;""))),"⚠"&amp;TRIM(I365&amp;""))</f>
        <v/>
      </c>
      <c r="R365" s="10">
        <f>IFERROR(IF(TRIM(J365&amp;"")="","",IF(AND(ISNUMBER(FIND(" ",TRIM(J365&amp;""))),ISNUMBER(MATCH(LEFT(TRIM(J365&amp;""),FIND(" ",TRIM(J365&amp;""))-1),설정_코드표!$J$2:$J$101,0)),ISNUMBER(MATCH(TRIM(RIGHT(SUBSTITUTE(TRIM(J365&amp;"")," ",REPT(" ",60)),60)),설정_코드표!$F$2:$F$101,0))),INDEX(설정_코드표!$K$2:$K$101,MATCH(LEFT(TRIM(J365&amp;""),FIND(" ",TRIM(J365&amp;""))-1),설정_코드표!$J$2:$J$101,0))&amp;" "&amp;INDEX(설정_코드표!$G$2:$G$101,MATCH(TRIM(RIGHT(SUBSTITUTE(TRIM(J365&amp;"")," ",REPT(" ",60)),60)),설정_코드표!$F$2:$F$101,0)),"⚠"&amp;TRIM(J365&amp;""))),"⚠"&amp;TRIM(J365&amp;""))</f>
        <v/>
      </c>
      <c r="S365" s="11">
        <f>IF(K365="","",IFERROR(IF(AND(ROUND((VALUE(K365&amp;"")-INT(VALUE(K365&amp;"")))*100,0)&gt;=1,ROUND((VALUE(K365&amp;"")-INT(VALUE(K365&amp;"")))*100,0)&lt;=12,INT(VALUE(K365&amp;""))&gt;=1900),DATE(INT(VALUE(K365&amp;"")),ROUND((VALUE(K365&amp;"")-INT(VALUE(K365&amp;"")))*100,0),1),K365&amp;""),K365&amp;""))</f>
        <v/>
      </c>
      <c r="T365" s="10">
        <f>COUNTIF(M365:R365,"⚠*")</f>
        <v/>
      </c>
    </row>
    <row r="366"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M366" s="10">
        <f>IFERROR(IF(TRIM(E366&amp;"")="","",IF(AND(ISNUMBER(FIND(" ",TRIM(E366&amp;""))),ISNUMBER(MATCH(LEFT(TRIM(E366&amp;""),FIND(" ",TRIM(E366&amp;""))-1),설정_코드표!$J$2:$J$101,0)),ISNUMBER(MATCH(TRIM(RIGHT(SUBSTITUTE(TRIM(E366&amp;"")," ",REPT(" ",60)),60)),설정_코드표!$F$2:$F$101,0))),INDEX(설정_코드표!$K$2:$K$101,MATCH(LEFT(TRIM(E366&amp;""),FIND(" ",TRIM(E366&amp;""))-1),설정_코드표!$J$2:$J$101,0))&amp;" "&amp;INDEX(설정_코드표!$G$2:$G$101,MATCH(TRIM(RIGHT(SUBSTITUTE(TRIM(E366&amp;"")," ",REPT(" ",60)),60)),설정_코드표!$F$2:$F$101,0)),"⚠"&amp;TRIM(E366&amp;""))),"⚠"&amp;TRIM(E366&amp;""))</f>
        <v/>
      </c>
      <c r="N366" s="10">
        <f>IFERROR(IF(TRIM(F366&amp;"")="","",IF(AND(ISNUMBER(FIND(" ",TRIM(F366&amp;""))),ISNUMBER(MATCH(LEFT(TRIM(F366&amp;""),FIND(" ",TRIM(F366&amp;""))-1),설정_코드표!$J$2:$J$101,0)),ISNUMBER(MATCH(TRIM(RIGHT(SUBSTITUTE(TRIM(F366&amp;"")," ",REPT(" ",60)),60)),설정_코드표!$F$2:$F$101,0))),INDEX(설정_코드표!$K$2:$K$101,MATCH(LEFT(TRIM(F366&amp;""),FIND(" ",TRIM(F366&amp;""))-1),설정_코드표!$J$2:$J$101,0))&amp;" "&amp;INDEX(설정_코드표!$G$2:$G$101,MATCH(TRIM(RIGHT(SUBSTITUTE(TRIM(F366&amp;"")," ",REPT(" ",60)),60)),설정_코드표!$F$2:$F$101,0)),"⚠"&amp;TRIM(F366&amp;""))),"⚠"&amp;TRIM(F366&amp;""))</f>
        <v/>
      </c>
      <c r="O366" s="10">
        <f>IFERROR(IF(TRIM(G366&amp;"")="","",IF(AND(ISNUMBER(FIND(" ",TRIM(G366&amp;""))),ISNUMBER(MATCH(LEFT(TRIM(G366&amp;""),FIND(" ",TRIM(G366&amp;""))-1),설정_코드표!$J$2:$J$101,0)),ISNUMBER(MATCH(TRIM(RIGHT(SUBSTITUTE(TRIM(G366&amp;"")," ",REPT(" ",60)),60)),설정_코드표!$F$2:$F$101,0))),INDEX(설정_코드표!$K$2:$K$101,MATCH(LEFT(TRIM(G366&amp;""),FIND(" ",TRIM(G366&amp;""))-1),설정_코드표!$J$2:$J$101,0))&amp;" "&amp;INDEX(설정_코드표!$G$2:$G$101,MATCH(TRIM(RIGHT(SUBSTITUTE(TRIM(G366&amp;"")," ",REPT(" ",60)),60)),설정_코드표!$F$2:$F$101,0)),"⚠"&amp;TRIM(G366&amp;""))),"⚠"&amp;TRIM(G366&amp;""))</f>
        <v/>
      </c>
      <c r="P366" s="10">
        <f>IFERROR(IF(TRIM(H366&amp;"")="","",IF(AND(ISNUMBER(FIND(" ",TRIM(H366&amp;""))),ISNUMBER(MATCH(LEFT(TRIM(H366&amp;""),FIND(" ",TRIM(H366&amp;""))-1),설정_코드표!$J$2:$J$101,0)),ISNUMBER(MATCH(TRIM(RIGHT(SUBSTITUTE(TRIM(H366&amp;"")," ",REPT(" ",60)),60)),설정_코드표!$F$2:$F$101,0))),INDEX(설정_코드표!$K$2:$K$101,MATCH(LEFT(TRIM(H366&amp;""),FIND(" ",TRIM(H366&amp;""))-1),설정_코드표!$J$2:$J$101,0))&amp;" "&amp;INDEX(설정_코드표!$G$2:$G$101,MATCH(TRIM(RIGHT(SUBSTITUTE(TRIM(H366&amp;"")," ",REPT(" ",60)),60)),설정_코드표!$F$2:$F$101,0)),"⚠"&amp;TRIM(H366&amp;""))),"⚠"&amp;TRIM(H366&amp;""))</f>
        <v/>
      </c>
      <c r="Q366" s="10">
        <f>IFERROR(IF(TRIM(I366&amp;"")="","",IF(AND(ISNUMBER(FIND(" ",TRIM(I366&amp;""))),ISNUMBER(MATCH(LEFT(TRIM(I366&amp;""),FIND(" ",TRIM(I366&amp;""))-1),설정_코드표!$J$2:$J$101,0)),ISNUMBER(MATCH(TRIM(RIGHT(SUBSTITUTE(TRIM(I366&amp;"")," ",REPT(" ",60)),60)),설정_코드표!$F$2:$F$101,0))),INDEX(설정_코드표!$K$2:$K$101,MATCH(LEFT(TRIM(I366&amp;""),FIND(" ",TRIM(I366&amp;""))-1),설정_코드표!$J$2:$J$101,0))&amp;" "&amp;INDEX(설정_코드표!$G$2:$G$101,MATCH(TRIM(RIGHT(SUBSTITUTE(TRIM(I366&amp;"")," ",REPT(" ",60)),60)),설정_코드표!$F$2:$F$101,0)),"⚠"&amp;TRIM(I366&amp;""))),"⚠"&amp;TRIM(I366&amp;""))</f>
        <v/>
      </c>
      <c r="R366" s="10">
        <f>IFERROR(IF(TRIM(J366&amp;"")="","",IF(AND(ISNUMBER(FIND(" ",TRIM(J366&amp;""))),ISNUMBER(MATCH(LEFT(TRIM(J366&amp;""),FIND(" ",TRIM(J366&amp;""))-1),설정_코드표!$J$2:$J$101,0)),ISNUMBER(MATCH(TRIM(RIGHT(SUBSTITUTE(TRIM(J366&amp;"")," ",REPT(" ",60)),60)),설정_코드표!$F$2:$F$101,0))),INDEX(설정_코드표!$K$2:$K$101,MATCH(LEFT(TRIM(J366&amp;""),FIND(" ",TRIM(J366&amp;""))-1),설정_코드표!$J$2:$J$101,0))&amp;" "&amp;INDEX(설정_코드표!$G$2:$G$101,MATCH(TRIM(RIGHT(SUBSTITUTE(TRIM(J366&amp;"")," ",REPT(" ",60)),60)),설정_코드표!$F$2:$F$101,0)),"⚠"&amp;TRIM(J366&amp;""))),"⚠"&amp;TRIM(J366&amp;""))</f>
        <v/>
      </c>
      <c r="S366" s="11">
        <f>IF(K366="","",IFERROR(IF(AND(ROUND((VALUE(K366&amp;"")-INT(VALUE(K366&amp;"")))*100,0)&gt;=1,ROUND((VALUE(K366&amp;"")-INT(VALUE(K366&amp;"")))*100,0)&lt;=12,INT(VALUE(K366&amp;""))&gt;=1900),DATE(INT(VALUE(K366&amp;"")),ROUND((VALUE(K366&amp;"")-INT(VALUE(K366&amp;"")))*100,0),1),K366&amp;""),K366&amp;""))</f>
        <v/>
      </c>
      <c r="T366" s="10">
        <f>COUNTIF(M366:R366,"⚠*")</f>
        <v/>
      </c>
    </row>
    <row r="367"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M367" s="10">
        <f>IFERROR(IF(TRIM(E367&amp;"")="","",IF(AND(ISNUMBER(FIND(" ",TRIM(E367&amp;""))),ISNUMBER(MATCH(LEFT(TRIM(E367&amp;""),FIND(" ",TRIM(E367&amp;""))-1),설정_코드표!$J$2:$J$101,0)),ISNUMBER(MATCH(TRIM(RIGHT(SUBSTITUTE(TRIM(E367&amp;"")," ",REPT(" ",60)),60)),설정_코드표!$F$2:$F$101,0))),INDEX(설정_코드표!$K$2:$K$101,MATCH(LEFT(TRIM(E367&amp;""),FIND(" ",TRIM(E367&amp;""))-1),설정_코드표!$J$2:$J$101,0))&amp;" "&amp;INDEX(설정_코드표!$G$2:$G$101,MATCH(TRIM(RIGHT(SUBSTITUTE(TRIM(E367&amp;"")," ",REPT(" ",60)),60)),설정_코드표!$F$2:$F$101,0)),"⚠"&amp;TRIM(E367&amp;""))),"⚠"&amp;TRIM(E367&amp;""))</f>
        <v/>
      </c>
      <c r="N367" s="10">
        <f>IFERROR(IF(TRIM(F367&amp;"")="","",IF(AND(ISNUMBER(FIND(" ",TRIM(F367&amp;""))),ISNUMBER(MATCH(LEFT(TRIM(F367&amp;""),FIND(" ",TRIM(F367&amp;""))-1),설정_코드표!$J$2:$J$101,0)),ISNUMBER(MATCH(TRIM(RIGHT(SUBSTITUTE(TRIM(F367&amp;"")," ",REPT(" ",60)),60)),설정_코드표!$F$2:$F$101,0))),INDEX(설정_코드표!$K$2:$K$101,MATCH(LEFT(TRIM(F367&amp;""),FIND(" ",TRIM(F367&amp;""))-1),설정_코드표!$J$2:$J$101,0))&amp;" "&amp;INDEX(설정_코드표!$G$2:$G$101,MATCH(TRIM(RIGHT(SUBSTITUTE(TRIM(F367&amp;"")," ",REPT(" ",60)),60)),설정_코드표!$F$2:$F$101,0)),"⚠"&amp;TRIM(F367&amp;""))),"⚠"&amp;TRIM(F367&amp;""))</f>
        <v/>
      </c>
      <c r="O367" s="10">
        <f>IFERROR(IF(TRIM(G367&amp;"")="","",IF(AND(ISNUMBER(FIND(" ",TRIM(G367&amp;""))),ISNUMBER(MATCH(LEFT(TRIM(G367&amp;""),FIND(" ",TRIM(G367&amp;""))-1),설정_코드표!$J$2:$J$101,0)),ISNUMBER(MATCH(TRIM(RIGHT(SUBSTITUTE(TRIM(G367&amp;"")," ",REPT(" ",60)),60)),설정_코드표!$F$2:$F$101,0))),INDEX(설정_코드표!$K$2:$K$101,MATCH(LEFT(TRIM(G367&amp;""),FIND(" ",TRIM(G367&amp;""))-1),설정_코드표!$J$2:$J$101,0))&amp;" "&amp;INDEX(설정_코드표!$G$2:$G$101,MATCH(TRIM(RIGHT(SUBSTITUTE(TRIM(G367&amp;"")," ",REPT(" ",60)),60)),설정_코드표!$F$2:$F$101,0)),"⚠"&amp;TRIM(G367&amp;""))),"⚠"&amp;TRIM(G367&amp;""))</f>
        <v/>
      </c>
      <c r="P367" s="10">
        <f>IFERROR(IF(TRIM(H367&amp;"")="","",IF(AND(ISNUMBER(FIND(" ",TRIM(H367&amp;""))),ISNUMBER(MATCH(LEFT(TRIM(H367&amp;""),FIND(" ",TRIM(H367&amp;""))-1),설정_코드표!$J$2:$J$101,0)),ISNUMBER(MATCH(TRIM(RIGHT(SUBSTITUTE(TRIM(H367&amp;"")," ",REPT(" ",60)),60)),설정_코드표!$F$2:$F$101,0))),INDEX(설정_코드표!$K$2:$K$101,MATCH(LEFT(TRIM(H367&amp;""),FIND(" ",TRIM(H367&amp;""))-1),설정_코드표!$J$2:$J$101,0))&amp;" "&amp;INDEX(설정_코드표!$G$2:$G$101,MATCH(TRIM(RIGHT(SUBSTITUTE(TRIM(H367&amp;"")," ",REPT(" ",60)),60)),설정_코드표!$F$2:$F$101,0)),"⚠"&amp;TRIM(H367&amp;""))),"⚠"&amp;TRIM(H367&amp;""))</f>
        <v/>
      </c>
      <c r="Q367" s="10">
        <f>IFERROR(IF(TRIM(I367&amp;"")="","",IF(AND(ISNUMBER(FIND(" ",TRIM(I367&amp;""))),ISNUMBER(MATCH(LEFT(TRIM(I367&amp;""),FIND(" ",TRIM(I367&amp;""))-1),설정_코드표!$J$2:$J$101,0)),ISNUMBER(MATCH(TRIM(RIGHT(SUBSTITUTE(TRIM(I367&amp;"")," ",REPT(" ",60)),60)),설정_코드표!$F$2:$F$101,0))),INDEX(설정_코드표!$K$2:$K$101,MATCH(LEFT(TRIM(I367&amp;""),FIND(" ",TRIM(I367&amp;""))-1),설정_코드표!$J$2:$J$101,0))&amp;" "&amp;INDEX(설정_코드표!$G$2:$G$101,MATCH(TRIM(RIGHT(SUBSTITUTE(TRIM(I367&amp;"")," ",REPT(" ",60)),60)),설정_코드표!$F$2:$F$101,0)),"⚠"&amp;TRIM(I367&amp;""))),"⚠"&amp;TRIM(I367&amp;""))</f>
        <v/>
      </c>
      <c r="R367" s="10">
        <f>IFERROR(IF(TRIM(J367&amp;"")="","",IF(AND(ISNUMBER(FIND(" ",TRIM(J367&amp;""))),ISNUMBER(MATCH(LEFT(TRIM(J367&amp;""),FIND(" ",TRIM(J367&amp;""))-1),설정_코드표!$J$2:$J$101,0)),ISNUMBER(MATCH(TRIM(RIGHT(SUBSTITUTE(TRIM(J367&amp;"")," ",REPT(" ",60)),60)),설정_코드표!$F$2:$F$101,0))),INDEX(설정_코드표!$K$2:$K$101,MATCH(LEFT(TRIM(J367&amp;""),FIND(" ",TRIM(J367&amp;""))-1),설정_코드표!$J$2:$J$101,0))&amp;" "&amp;INDEX(설정_코드표!$G$2:$G$101,MATCH(TRIM(RIGHT(SUBSTITUTE(TRIM(J367&amp;"")," ",REPT(" ",60)),60)),설정_코드표!$F$2:$F$101,0)),"⚠"&amp;TRIM(J367&amp;""))),"⚠"&amp;TRIM(J367&amp;""))</f>
        <v/>
      </c>
      <c r="S367" s="11">
        <f>IF(K367="","",IFERROR(IF(AND(ROUND((VALUE(K367&amp;"")-INT(VALUE(K367&amp;"")))*100,0)&gt;=1,ROUND((VALUE(K367&amp;"")-INT(VALUE(K367&amp;"")))*100,0)&lt;=12,INT(VALUE(K367&amp;""))&gt;=1900),DATE(INT(VALUE(K367&amp;"")),ROUND((VALUE(K367&amp;"")-INT(VALUE(K367&amp;"")))*100,0),1),K367&amp;""),K367&amp;""))</f>
        <v/>
      </c>
      <c r="T367" s="10">
        <f>COUNTIF(M367:R367,"⚠*")</f>
        <v/>
      </c>
    </row>
    <row r="368"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M368" s="10">
        <f>IFERROR(IF(TRIM(E368&amp;"")="","",IF(AND(ISNUMBER(FIND(" ",TRIM(E368&amp;""))),ISNUMBER(MATCH(LEFT(TRIM(E368&amp;""),FIND(" ",TRIM(E368&amp;""))-1),설정_코드표!$J$2:$J$101,0)),ISNUMBER(MATCH(TRIM(RIGHT(SUBSTITUTE(TRIM(E368&amp;"")," ",REPT(" ",60)),60)),설정_코드표!$F$2:$F$101,0))),INDEX(설정_코드표!$K$2:$K$101,MATCH(LEFT(TRIM(E368&amp;""),FIND(" ",TRIM(E368&amp;""))-1),설정_코드표!$J$2:$J$101,0))&amp;" "&amp;INDEX(설정_코드표!$G$2:$G$101,MATCH(TRIM(RIGHT(SUBSTITUTE(TRIM(E368&amp;"")," ",REPT(" ",60)),60)),설정_코드표!$F$2:$F$101,0)),"⚠"&amp;TRIM(E368&amp;""))),"⚠"&amp;TRIM(E368&amp;""))</f>
        <v/>
      </c>
      <c r="N368" s="10">
        <f>IFERROR(IF(TRIM(F368&amp;"")="","",IF(AND(ISNUMBER(FIND(" ",TRIM(F368&amp;""))),ISNUMBER(MATCH(LEFT(TRIM(F368&amp;""),FIND(" ",TRIM(F368&amp;""))-1),설정_코드표!$J$2:$J$101,0)),ISNUMBER(MATCH(TRIM(RIGHT(SUBSTITUTE(TRIM(F368&amp;"")," ",REPT(" ",60)),60)),설정_코드표!$F$2:$F$101,0))),INDEX(설정_코드표!$K$2:$K$101,MATCH(LEFT(TRIM(F368&amp;""),FIND(" ",TRIM(F368&amp;""))-1),설정_코드표!$J$2:$J$101,0))&amp;" "&amp;INDEX(설정_코드표!$G$2:$G$101,MATCH(TRIM(RIGHT(SUBSTITUTE(TRIM(F368&amp;"")," ",REPT(" ",60)),60)),설정_코드표!$F$2:$F$101,0)),"⚠"&amp;TRIM(F368&amp;""))),"⚠"&amp;TRIM(F368&amp;""))</f>
        <v/>
      </c>
      <c r="O368" s="10">
        <f>IFERROR(IF(TRIM(G368&amp;"")="","",IF(AND(ISNUMBER(FIND(" ",TRIM(G368&amp;""))),ISNUMBER(MATCH(LEFT(TRIM(G368&amp;""),FIND(" ",TRIM(G368&amp;""))-1),설정_코드표!$J$2:$J$101,0)),ISNUMBER(MATCH(TRIM(RIGHT(SUBSTITUTE(TRIM(G368&amp;"")," ",REPT(" ",60)),60)),설정_코드표!$F$2:$F$101,0))),INDEX(설정_코드표!$K$2:$K$101,MATCH(LEFT(TRIM(G368&amp;""),FIND(" ",TRIM(G368&amp;""))-1),설정_코드표!$J$2:$J$101,0))&amp;" "&amp;INDEX(설정_코드표!$G$2:$G$101,MATCH(TRIM(RIGHT(SUBSTITUTE(TRIM(G368&amp;"")," ",REPT(" ",60)),60)),설정_코드표!$F$2:$F$101,0)),"⚠"&amp;TRIM(G368&amp;""))),"⚠"&amp;TRIM(G368&amp;""))</f>
        <v/>
      </c>
      <c r="P368" s="10">
        <f>IFERROR(IF(TRIM(H368&amp;"")="","",IF(AND(ISNUMBER(FIND(" ",TRIM(H368&amp;""))),ISNUMBER(MATCH(LEFT(TRIM(H368&amp;""),FIND(" ",TRIM(H368&amp;""))-1),설정_코드표!$J$2:$J$101,0)),ISNUMBER(MATCH(TRIM(RIGHT(SUBSTITUTE(TRIM(H368&amp;"")," ",REPT(" ",60)),60)),설정_코드표!$F$2:$F$101,0))),INDEX(설정_코드표!$K$2:$K$101,MATCH(LEFT(TRIM(H368&amp;""),FIND(" ",TRIM(H368&amp;""))-1),설정_코드표!$J$2:$J$101,0))&amp;" "&amp;INDEX(설정_코드표!$G$2:$G$101,MATCH(TRIM(RIGHT(SUBSTITUTE(TRIM(H368&amp;"")," ",REPT(" ",60)),60)),설정_코드표!$F$2:$F$101,0)),"⚠"&amp;TRIM(H368&amp;""))),"⚠"&amp;TRIM(H368&amp;""))</f>
        <v/>
      </c>
      <c r="Q368" s="10">
        <f>IFERROR(IF(TRIM(I368&amp;"")="","",IF(AND(ISNUMBER(FIND(" ",TRIM(I368&amp;""))),ISNUMBER(MATCH(LEFT(TRIM(I368&amp;""),FIND(" ",TRIM(I368&amp;""))-1),설정_코드표!$J$2:$J$101,0)),ISNUMBER(MATCH(TRIM(RIGHT(SUBSTITUTE(TRIM(I368&amp;"")," ",REPT(" ",60)),60)),설정_코드표!$F$2:$F$101,0))),INDEX(설정_코드표!$K$2:$K$101,MATCH(LEFT(TRIM(I368&amp;""),FIND(" ",TRIM(I368&amp;""))-1),설정_코드표!$J$2:$J$101,0))&amp;" "&amp;INDEX(설정_코드표!$G$2:$G$101,MATCH(TRIM(RIGHT(SUBSTITUTE(TRIM(I368&amp;"")," ",REPT(" ",60)),60)),설정_코드표!$F$2:$F$101,0)),"⚠"&amp;TRIM(I368&amp;""))),"⚠"&amp;TRIM(I368&amp;""))</f>
        <v/>
      </c>
      <c r="R368" s="10">
        <f>IFERROR(IF(TRIM(J368&amp;"")="","",IF(AND(ISNUMBER(FIND(" ",TRIM(J368&amp;""))),ISNUMBER(MATCH(LEFT(TRIM(J368&amp;""),FIND(" ",TRIM(J368&amp;""))-1),설정_코드표!$J$2:$J$101,0)),ISNUMBER(MATCH(TRIM(RIGHT(SUBSTITUTE(TRIM(J368&amp;"")," ",REPT(" ",60)),60)),설정_코드표!$F$2:$F$101,0))),INDEX(설정_코드표!$K$2:$K$101,MATCH(LEFT(TRIM(J368&amp;""),FIND(" ",TRIM(J368&amp;""))-1),설정_코드표!$J$2:$J$101,0))&amp;" "&amp;INDEX(설정_코드표!$G$2:$G$101,MATCH(TRIM(RIGHT(SUBSTITUTE(TRIM(J368&amp;"")," ",REPT(" ",60)),60)),설정_코드표!$F$2:$F$101,0)),"⚠"&amp;TRIM(J368&amp;""))),"⚠"&amp;TRIM(J368&amp;""))</f>
        <v/>
      </c>
      <c r="S368" s="11">
        <f>IF(K368="","",IFERROR(IF(AND(ROUND((VALUE(K368&amp;"")-INT(VALUE(K368&amp;"")))*100,0)&gt;=1,ROUND((VALUE(K368&amp;"")-INT(VALUE(K368&amp;"")))*100,0)&lt;=12,INT(VALUE(K368&amp;""))&gt;=1900),DATE(INT(VALUE(K368&amp;"")),ROUND((VALUE(K368&amp;"")-INT(VALUE(K368&amp;"")))*100,0),1),K368&amp;""),K368&amp;""))</f>
        <v/>
      </c>
      <c r="T368" s="10">
        <f>COUNTIF(M368:R368,"⚠*")</f>
        <v/>
      </c>
    </row>
    <row r="369"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M369" s="10">
        <f>IFERROR(IF(TRIM(E369&amp;"")="","",IF(AND(ISNUMBER(FIND(" ",TRIM(E369&amp;""))),ISNUMBER(MATCH(LEFT(TRIM(E369&amp;""),FIND(" ",TRIM(E369&amp;""))-1),설정_코드표!$J$2:$J$101,0)),ISNUMBER(MATCH(TRIM(RIGHT(SUBSTITUTE(TRIM(E369&amp;"")," ",REPT(" ",60)),60)),설정_코드표!$F$2:$F$101,0))),INDEX(설정_코드표!$K$2:$K$101,MATCH(LEFT(TRIM(E369&amp;""),FIND(" ",TRIM(E369&amp;""))-1),설정_코드표!$J$2:$J$101,0))&amp;" "&amp;INDEX(설정_코드표!$G$2:$G$101,MATCH(TRIM(RIGHT(SUBSTITUTE(TRIM(E369&amp;"")," ",REPT(" ",60)),60)),설정_코드표!$F$2:$F$101,0)),"⚠"&amp;TRIM(E369&amp;""))),"⚠"&amp;TRIM(E369&amp;""))</f>
        <v/>
      </c>
      <c r="N369" s="10">
        <f>IFERROR(IF(TRIM(F369&amp;"")="","",IF(AND(ISNUMBER(FIND(" ",TRIM(F369&amp;""))),ISNUMBER(MATCH(LEFT(TRIM(F369&amp;""),FIND(" ",TRIM(F369&amp;""))-1),설정_코드표!$J$2:$J$101,0)),ISNUMBER(MATCH(TRIM(RIGHT(SUBSTITUTE(TRIM(F369&amp;"")," ",REPT(" ",60)),60)),설정_코드표!$F$2:$F$101,0))),INDEX(설정_코드표!$K$2:$K$101,MATCH(LEFT(TRIM(F369&amp;""),FIND(" ",TRIM(F369&amp;""))-1),설정_코드표!$J$2:$J$101,0))&amp;" "&amp;INDEX(설정_코드표!$G$2:$G$101,MATCH(TRIM(RIGHT(SUBSTITUTE(TRIM(F369&amp;"")," ",REPT(" ",60)),60)),설정_코드표!$F$2:$F$101,0)),"⚠"&amp;TRIM(F369&amp;""))),"⚠"&amp;TRIM(F369&amp;""))</f>
        <v/>
      </c>
      <c r="O369" s="10">
        <f>IFERROR(IF(TRIM(G369&amp;"")="","",IF(AND(ISNUMBER(FIND(" ",TRIM(G369&amp;""))),ISNUMBER(MATCH(LEFT(TRIM(G369&amp;""),FIND(" ",TRIM(G369&amp;""))-1),설정_코드표!$J$2:$J$101,0)),ISNUMBER(MATCH(TRIM(RIGHT(SUBSTITUTE(TRIM(G369&amp;"")," ",REPT(" ",60)),60)),설정_코드표!$F$2:$F$101,0))),INDEX(설정_코드표!$K$2:$K$101,MATCH(LEFT(TRIM(G369&amp;""),FIND(" ",TRIM(G369&amp;""))-1),설정_코드표!$J$2:$J$101,0))&amp;" "&amp;INDEX(설정_코드표!$G$2:$G$101,MATCH(TRIM(RIGHT(SUBSTITUTE(TRIM(G369&amp;"")," ",REPT(" ",60)),60)),설정_코드표!$F$2:$F$101,0)),"⚠"&amp;TRIM(G369&amp;""))),"⚠"&amp;TRIM(G369&amp;""))</f>
        <v/>
      </c>
      <c r="P369" s="10">
        <f>IFERROR(IF(TRIM(H369&amp;"")="","",IF(AND(ISNUMBER(FIND(" ",TRIM(H369&amp;""))),ISNUMBER(MATCH(LEFT(TRIM(H369&amp;""),FIND(" ",TRIM(H369&amp;""))-1),설정_코드표!$J$2:$J$101,0)),ISNUMBER(MATCH(TRIM(RIGHT(SUBSTITUTE(TRIM(H369&amp;"")," ",REPT(" ",60)),60)),설정_코드표!$F$2:$F$101,0))),INDEX(설정_코드표!$K$2:$K$101,MATCH(LEFT(TRIM(H369&amp;""),FIND(" ",TRIM(H369&amp;""))-1),설정_코드표!$J$2:$J$101,0))&amp;" "&amp;INDEX(설정_코드표!$G$2:$G$101,MATCH(TRIM(RIGHT(SUBSTITUTE(TRIM(H369&amp;"")," ",REPT(" ",60)),60)),설정_코드표!$F$2:$F$101,0)),"⚠"&amp;TRIM(H369&amp;""))),"⚠"&amp;TRIM(H369&amp;""))</f>
        <v/>
      </c>
      <c r="Q369" s="10">
        <f>IFERROR(IF(TRIM(I369&amp;"")="","",IF(AND(ISNUMBER(FIND(" ",TRIM(I369&amp;""))),ISNUMBER(MATCH(LEFT(TRIM(I369&amp;""),FIND(" ",TRIM(I369&amp;""))-1),설정_코드표!$J$2:$J$101,0)),ISNUMBER(MATCH(TRIM(RIGHT(SUBSTITUTE(TRIM(I369&amp;"")," ",REPT(" ",60)),60)),설정_코드표!$F$2:$F$101,0))),INDEX(설정_코드표!$K$2:$K$101,MATCH(LEFT(TRIM(I369&amp;""),FIND(" ",TRIM(I369&amp;""))-1),설정_코드표!$J$2:$J$101,0))&amp;" "&amp;INDEX(설정_코드표!$G$2:$G$101,MATCH(TRIM(RIGHT(SUBSTITUTE(TRIM(I369&amp;"")," ",REPT(" ",60)),60)),설정_코드표!$F$2:$F$101,0)),"⚠"&amp;TRIM(I369&amp;""))),"⚠"&amp;TRIM(I369&amp;""))</f>
        <v/>
      </c>
      <c r="R369" s="10">
        <f>IFERROR(IF(TRIM(J369&amp;"")="","",IF(AND(ISNUMBER(FIND(" ",TRIM(J369&amp;""))),ISNUMBER(MATCH(LEFT(TRIM(J369&amp;""),FIND(" ",TRIM(J369&amp;""))-1),설정_코드표!$J$2:$J$101,0)),ISNUMBER(MATCH(TRIM(RIGHT(SUBSTITUTE(TRIM(J369&amp;"")," ",REPT(" ",60)),60)),설정_코드표!$F$2:$F$101,0))),INDEX(설정_코드표!$K$2:$K$101,MATCH(LEFT(TRIM(J369&amp;""),FIND(" ",TRIM(J369&amp;""))-1),설정_코드표!$J$2:$J$101,0))&amp;" "&amp;INDEX(설정_코드표!$G$2:$G$101,MATCH(TRIM(RIGHT(SUBSTITUTE(TRIM(J369&amp;"")," ",REPT(" ",60)),60)),설정_코드표!$F$2:$F$101,0)),"⚠"&amp;TRIM(J369&amp;""))),"⚠"&amp;TRIM(J369&amp;""))</f>
        <v/>
      </c>
      <c r="S369" s="11">
        <f>IF(K369="","",IFERROR(IF(AND(ROUND((VALUE(K369&amp;"")-INT(VALUE(K369&amp;"")))*100,0)&gt;=1,ROUND((VALUE(K369&amp;"")-INT(VALUE(K369&amp;"")))*100,0)&lt;=12,INT(VALUE(K369&amp;""))&gt;=1900),DATE(INT(VALUE(K369&amp;"")),ROUND((VALUE(K369&amp;"")-INT(VALUE(K369&amp;"")))*100,0),1),K369&amp;""),K369&amp;""))</f>
        <v/>
      </c>
      <c r="T369" s="10">
        <f>COUNTIF(M369:R369,"⚠*")</f>
        <v/>
      </c>
    </row>
    <row r="370"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M370" s="10">
        <f>IFERROR(IF(TRIM(E370&amp;"")="","",IF(AND(ISNUMBER(FIND(" ",TRIM(E370&amp;""))),ISNUMBER(MATCH(LEFT(TRIM(E370&amp;""),FIND(" ",TRIM(E370&amp;""))-1),설정_코드표!$J$2:$J$101,0)),ISNUMBER(MATCH(TRIM(RIGHT(SUBSTITUTE(TRIM(E370&amp;"")," ",REPT(" ",60)),60)),설정_코드표!$F$2:$F$101,0))),INDEX(설정_코드표!$K$2:$K$101,MATCH(LEFT(TRIM(E370&amp;""),FIND(" ",TRIM(E370&amp;""))-1),설정_코드표!$J$2:$J$101,0))&amp;" "&amp;INDEX(설정_코드표!$G$2:$G$101,MATCH(TRIM(RIGHT(SUBSTITUTE(TRIM(E370&amp;"")," ",REPT(" ",60)),60)),설정_코드표!$F$2:$F$101,0)),"⚠"&amp;TRIM(E370&amp;""))),"⚠"&amp;TRIM(E370&amp;""))</f>
        <v/>
      </c>
      <c r="N370" s="10">
        <f>IFERROR(IF(TRIM(F370&amp;"")="","",IF(AND(ISNUMBER(FIND(" ",TRIM(F370&amp;""))),ISNUMBER(MATCH(LEFT(TRIM(F370&amp;""),FIND(" ",TRIM(F370&amp;""))-1),설정_코드표!$J$2:$J$101,0)),ISNUMBER(MATCH(TRIM(RIGHT(SUBSTITUTE(TRIM(F370&amp;"")," ",REPT(" ",60)),60)),설정_코드표!$F$2:$F$101,0))),INDEX(설정_코드표!$K$2:$K$101,MATCH(LEFT(TRIM(F370&amp;""),FIND(" ",TRIM(F370&amp;""))-1),설정_코드표!$J$2:$J$101,0))&amp;" "&amp;INDEX(설정_코드표!$G$2:$G$101,MATCH(TRIM(RIGHT(SUBSTITUTE(TRIM(F370&amp;"")," ",REPT(" ",60)),60)),설정_코드표!$F$2:$F$101,0)),"⚠"&amp;TRIM(F370&amp;""))),"⚠"&amp;TRIM(F370&amp;""))</f>
        <v/>
      </c>
      <c r="O370" s="10">
        <f>IFERROR(IF(TRIM(G370&amp;"")="","",IF(AND(ISNUMBER(FIND(" ",TRIM(G370&amp;""))),ISNUMBER(MATCH(LEFT(TRIM(G370&amp;""),FIND(" ",TRIM(G370&amp;""))-1),설정_코드표!$J$2:$J$101,0)),ISNUMBER(MATCH(TRIM(RIGHT(SUBSTITUTE(TRIM(G370&amp;"")," ",REPT(" ",60)),60)),설정_코드표!$F$2:$F$101,0))),INDEX(설정_코드표!$K$2:$K$101,MATCH(LEFT(TRIM(G370&amp;""),FIND(" ",TRIM(G370&amp;""))-1),설정_코드표!$J$2:$J$101,0))&amp;" "&amp;INDEX(설정_코드표!$G$2:$G$101,MATCH(TRIM(RIGHT(SUBSTITUTE(TRIM(G370&amp;"")," ",REPT(" ",60)),60)),설정_코드표!$F$2:$F$101,0)),"⚠"&amp;TRIM(G370&amp;""))),"⚠"&amp;TRIM(G370&amp;""))</f>
        <v/>
      </c>
      <c r="P370" s="10">
        <f>IFERROR(IF(TRIM(H370&amp;"")="","",IF(AND(ISNUMBER(FIND(" ",TRIM(H370&amp;""))),ISNUMBER(MATCH(LEFT(TRIM(H370&amp;""),FIND(" ",TRIM(H370&amp;""))-1),설정_코드표!$J$2:$J$101,0)),ISNUMBER(MATCH(TRIM(RIGHT(SUBSTITUTE(TRIM(H370&amp;"")," ",REPT(" ",60)),60)),설정_코드표!$F$2:$F$101,0))),INDEX(설정_코드표!$K$2:$K$101,MATCH(LEFT(TRIM(H370&amp;""),FIND(" ",TRIM(H370&amp;""))-1),설정_코드표!$J$2:$J$101,0))&amp;" "&amp;INDEX(설정_코드표!$G$2:$G$101,MATCH(TRIM(RIGHT(SUBSTITUTE(TRIM(H370&amp;"")," ",REPT(" ",60)),60)),설정_코드표!$F$2:$F$101,0)),"⚠"&amp;TRIM(H370&amp;""))),"⚠"&amp;TRIM(H370&amp;""))</f>
        <v/>
      </c>
      <c r="Q370" s="10">
        <f>IFERROR(IF(TRIM(I370&amp;"")="","",IF(AND(ISNUMBER(FIND(" ",TRIM(I370&amp;""))),ISNUMBER(MATCH(LEFT(TRIM(I370&amp;""),FIND(" ",TRIM(I370&amp;""))-1),설정_코드표!$J$2:$J$101,0)),ISNUMBER(MATCH(TRIM(RIGHT(SUBSTITUTE(TRIM(I370&amp;"")," ",REPT(" ",60)),60)),설정_코드표!$F$2:$F$101,0))),INDEX(설정_코드표!$K$2:$K$101,MATCH(LEFT(TRIM(I370&amp;""),FIND(" ",TRIM(I370&amp;""))-1),설정_코드표!$J$2:$J$101,0))&amp;" "&amp;INDEX(설정_코드표!$G$2:$G$101,MATCH(TRIM(RIGHT(SUBSTITUTE(TRIM(I370&amp;"")," ",REPT(" ",60)),60)),설정_코드표!$F$2:$F$101,0)),"⚠"&amp;TRIM(I370&amp;""))),"⚠"&amp;TRIM(I370&amp;""))</f>
        <v/>
      </c>
      <c r="R370" s="10">
        <f>IFERROR(IF(TRIM(J370&amp;"")="","",IF(AND(ISNUMBER(FIND(" ",TRIM(J370&amp;""))),ISNUMBER(MATCH(LEFT(TRIM(J370&amp;""),FIND(" ",TRIM(J370&amp;""))-1),설정_코드표!$J$2:$J$101,0)),ISNUMBER(MATCH(TRIM(RIGHT(SUBSTITUTE(TRIM(J370&amp;"")," ",REPT(" ",60)),60)),설정_코드표!$F$2:$F$101,0))),INDEX(설정_코드표!$K$2:$K$101,MATCH(LEFT(TRIM(J370&amp;""),FIND(" ",TRIM(J370&amp;""))-1),설정_코드표!$J$2:$J$101,0))&amp;" "&amp;INDEX(설정_코드표!$G$2:$G$101,MATCH(TRIM(RIGHT(SUBSTITUTE(TRIM(J370&amp;"")," ",REPT(" ",60)),60)),설정_코드표!$F$2:$F$101,0)),"⚠"&amp;TRIM(J370&amp;""))),"⚠"&amp;TRIM(J370&amp;""))</f>
        <v/>
      </c>
      <c r="S370" s="11">
        <f>IF(K370="","",IFERROR(IF(AND(ROUND((VALUE(K370&amp;"")-INT(VALUE(K370&amp;"")))*100,0)&gt;=1,ROUND((VALUE(K370&amp;"")-INT(VALUE(K370&amp;"")))*100,0)&lt;=12,INT(VALUE(K370&amp;""))&gt;=1900),DATE(INT(VALUE(K370&amp;"")),ROUND((VALUE(K370&amp;"")-INT(VALUE(K370&amp;"")))*100,0),1),K370&amp;""),K370&amp;""))</f>
        <v/>
      </c>
      <c r="T370" s="10">
        <f>COUNTIF(M370:R370,"⚠*")</f>
        <v/>
      </c>
    </row>
    <row r="371"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M371" s="10">
        <f>IFERROR(IF(TRIM(E371&amp;"")="","",IF(AND(ISNUMBER(FIND(" ",TRIM(E371&amp;""))),ISNUMBER(MATCH(LEFT(TRIM(E371&amp;""),FIND(" ",TRIM(E371&amp;""))-1),설정_코드표!$J$2:$J$101,0)),ISNUMBER(MATCH(TRIM(RIGHT(SUBSTITUTE(TRIM(E371&amp;"")," ",REPT(" ",60)),60)),설정_코드표!$F$2:$F$101,0))),INDEX(설정_코드표!$K$2:$K$101,MATCH(LEFT(TRIM(E371&amp;""),FIND(" ",TRIM(E371&amp;""))-1),설정_코드표!$J$2:$J$101,0))&amp;" "&amp;INDEX(설정_코드표!$G$2:$G$101,MATCH(TRIM(RIGHT(SUBSTITUTE(TRIM(E371&amp;"")," ",REPT(" ",60)),60)),설정_코드표!$F$2:$F$101,0)),"⚠"&amp;TRIM(E371&amp;""))),"⚠"&amp;TRIM(E371&amp;""))</f>
        <v/>
      </c>
      <c r="N371" s="10">
        <f>IFERROR(IF(TRIM(F371&amp;"")="","",IF(AND(ISNUMBER(FIND(" ",TRIM(F371&amp;""))),ISNUMBER(MATCH(LEFT(TRIM(F371&amp;""),FIND(" ",TRIM(F371&amp;""))-1),설정_코드표!$J$2:$J$101,0)),ISNUMBER(MATCH(TRIM(RIGHT(SUBSTITUTE(TRIM(F371&amp;"")," ",REPT(" ",60)),60)),설정_코드표!$F$2:$F$101,0))),INDEX(설정_코드표!$K$2:$K$101,MATCH(LEFT(TRIM(F371&amp;""),FIND(" ",TRIM(F371&amp;""))-1),설정_코드표!$J$2:$J$101,0))&amp;" "&amp;INDEX(설정_코드표!$G$2:$G$101,MATCH(TRIM(RIGHT(SUBSTITUTE(TRIM(F371&amp;"")," ",REPT(" ",60)),60)),설정_코드표!$F$2:$F$101,0)),"⚠"&amp;TRIM(F371&amp;""))),"⚠"&amp;TRIM(F371&amp;""))</f>
        <v/>
      </c>
      <c r="O371" s="10">
        <f>IFERROR(IF(TRIM(G371&amp;"")="","",IF(AND(ISNUMBER(FIND(" ",TRIM(G371&amp;""))),ISNUMBER(MATCH(LEFT(TRIM(G371&amp;""),FIND(" ",TRIM(G371&amp;""))-1),설정_코드표!$J$2:$J$101,0)),ISNUMBER(MATCH(TRIM(RIGHT(SUBSTITUTE(TRIM(G371&amp;"")," ",REPT(" ",60)),60)),설정_코드표!$F$2:$F$101,0))),INDEX(설정_코드표!$K$2:$K$101,MATCH(LEFT(TRIM(G371&amp;""),FIND(" ",TRIM(G371&amp;""))-1),설정_코드표!$J$2:$J$101,0))&amp;" "&amp;INDEX(설정_코드표!$G$2:$G$101,MATCH(TRIM(RIGHT(SUBSTITUTE(TRIM(G371&amp;"")," ",REPT(" ",60)),60)),설정_코드표!$F$2:$F$101,0)),"⚠"&amp;TRIM(G371&amp;""))),"⚠"&amp;TRIM(G371&amp;""))</f>
        <v/>
      </c>
      <c r="P371" s="10">
        <f>IFERROR(IF(TRIM(H371&amp;"")="","",IF(AND(ISNUMBER(FIND(" ",TRIM(H371&amp;""))),ISNUMBER(MATCH(LEFT(TRIM(H371&amp;""),FIND(" ",TRIM(H371&amp;""))-1),설정_코드표!$J$2:$J$101,0)),ISNUMBER(MATCH(TRIM(RIGHT(SUBSTITUTE(TRIM(H371&amp;"")," ",REPT(" ",60)),60)),설정_코드표!$F$2:$F$101,0))),INDEX(설정_코드표!$K$2:$K$101,MATCH(LEFT(TRIM(H371&amp;""),FIND(" ",TRIM(H371&amp;""))-1),설정_코드표!$J$2:$J$101,0))&amp;" "&amp;INDEX(설정_코드표!$G$2:$G$101,MATCH(TRIM(RIGHT(SUBSTITUTE(TRIM(H371&amp;"")," ",REPT(" ",60)),60)),설정_코드표!$F$2:$F$101,0)),"⚠"&amp;TRIM(H371&amp;""))),"⚠"&amp;TRIM(H371&amp;""))</f>
        <v/>
      </c>
      <c r="Q371" s="10">
        <f>IFERROR(IF(TRIM(I371&amp;"")="","",IF(AND(ISNUMBER(FIND(" ",TRIM(I371&amp;""))),ISNUMBER(MATCH(LEFT(TRIM(I371&amp;""),FIND(" ",TRIM(I371&amp;""))-1),설정_코드표!$J$2:$J$101,0)),ISNUMBER(MATCH(TRIM(RIGHT(SUBSTITUTE(TRIM(I371&amp;"")," ",REPT(" ",60)),60)),설정_코드표!$F$2:$F$101,0))),INDEX(설정_코드표!$K$2:$K$101,MATCH(LEFT(TRIM(I371&amp;""),FIND(" ",TRIM(I371&amp;""))-1),설정_코드표!$J$2:$J$101,0))&amp;" "&amp;INDEX(설정_코드표!$G$2:$G$101,MATCH(TRIM(RIGHT(SUBSTITUTE(TRIM(I371&amp;"")," ",REPT(" ",60)),60)),설정_코드표!$F$2:$F$101,0)),"⚠"&amp;TRIM(I371&amp;""))),"⚠"&amp;TRIM(I371&amp;""))</f>
        <v/>
      </c>
      <c r="R371" s="10">
        <f>IFERROR(IF(TRIM(J371&amp;"")="","",IF(AND(ISNUMBER(FIND(" ",TRIM(J371&amp;""))),ISNUMBER(MATCH(LEFT(TRIM(J371&amp;""),FIND(" ",TRIM(J371&amp;""))-1),설정_코드표!$J$2:$J$101,0)),ISNUMBER(MATCH(TRIM(RIGHT(SUBSTITUTE(TRIM(J371&amp;"")," ",REPT(" ",60)),60)),설정_코드표!$F$2:$F$101,0))),INDEX(설정_코드표!$K$2:$K$101,MATCH(LEFT(TRIM(J371&amp;""),FIND(" ",TRIM(J371&amp;""))-1),설정_코드표!$J$2:$J$101,0))&amp;" "&amp;INDEX(설정_코드표!$G$2:$G$101,MATCH(TRIM(RIGHT(SUBSTITUTE(TRIM(J371&amp;"")," ",REPT(" ",60)),60)),설정_코드표!$F$2:$F$101,0)),"⚠"&amp;TRIM(J371&amp;""))),"⚠"&amp;TRIM(J371&amp;""))</f>
        <v/>
      </c>
      <c r="S371" s="11">
        <f>IF(K371="","",IFERROR(IF(AND(ROUND((VALUE(K371&amp;"")-INT(VALUE(K371&amp;"")))*100,0)&gt;=1,ROUND((VALUE(K371&amp;"")-INT(VALUE(K371&amp;"")))*100,0)&lt;=12,INT(VALUE(K371&amp;""))&gt;=1900),DATE(INT(VALUE(K371&amp;"")),ROUND((VALUE(K371&amp;"")-INT(VALUE(K371&amp;"")))*100,0),1),K371&amp;""),K371&amp;""))</f>
        <v/>
      </c>
      <c r="T371" s="10">
        <f>COUNTIF(M371:R371,"⚠*")</f>
        <v/>
      </c>
    </row>
    <row r="372"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M372" s="10">
        <f>IFERROR(IF(TRIM(E372&amp;"")="","",IF(AND(ISNUMBER(FIND(" ",TRIM(E372&amp;""))),ISNUMBER(MATCH(LEFT(TRIM(E372&amp;""),FIND(" ",TRIM(E372&amp;""))-1),설정_코드표!$J$2:$J$101,0)),ISNUMBER(MATCH(TRIM(RIGHT(SUBSTITUTE(TRIM(E372&amp;"")," ",REPT(" ",60)),60)),설정_코드표!$F$2:$F$101,0))),INDEX(설정_코드표!$K$2:$K$101,MATCH(LEFT(TRIM(E372&amp;""),FIND(" ",TRIM(E372&amp;""))-1),설정_코드표!$J$2:$J$101,0))&amp;" "&amp;INDEX(설정_코드표!$G$2:$G$101,MATCH(TRIM(RIGHT(SUBSTITUTE(TRIM(E372&amp;"")," ",REPT(" ",60)),60)),설정_코드표!$F$2:$F$101,0)),"⚠"&amp;TRIM(E372&amp;""))),"⚠"&amp;TRIM(E372&amp;""))</f>
        <v/>
      </c>
      <c r="N372" s="10">
        <f>IFERROR(IF(TRIM(F372&amp;"")="","",IF(AND(ISNUMBER(FIND(" ",TRIM(F372&amp;""))),ISNUMBER(MATCH(LEFT(TRIM(F372&amp;""),FIND(" ",TRIM(F372&amp;""))-1),설정_코드표!$J$2:$J$101,0)),ISNUMBER(MATCH(TRIM(RIGHT(SUBSTITUTE(TRIM(F372&amp;"")," ",REPT(" ",60)),60)),설정_코드표!$F$2:$F$101,0))),INDEX(설정_코드표!$K$2:$K$101,MATCH(LEFT(TRIM(F372&amp;""),FIND(" ",TRIM(F372&amp;""))-1),설정_코드표!$J$2:$J$101,0))&amp;" "&amp;INDEX(설정_코드표!$G$2:$G$101,MATCH(TRIM(RIGHT(SUBSTITUTE(TRIM(F372&amp;"")," ",REPT(" ",60)),60)),설정_코드표!$F$2:$F$101,0)),"⚠"&amp;TRIM(F372&amp;""))),"⚠"&amp;TRIM(F372&amp;""))</f>
        <v/>
      </c>
      <c r="O372" s="10">
        <f>IFERROR(IF(TRIM(G372&amp;"")="","",IF(AND(ISNUMBER(FIND(" ",TRIM(G372&amp;""))),ISNUMBER(MATCH(LEFT(TRIM(G372&amp;""),FIND(" ",TRIM(G372&amp;""))-1),설정_코드표!$J$2:$J$101,0)),ISNUMBER(MATCH(TRIM(RIGHT(SUBSTITUTE(TRIM(G372&amp;"")," ",REPT(" ",60)),60)),설정_코드표!$F$2:$F$101,0))),INDEX(설정_코드표!$K$2:$K$101,MATCH(LEFT(TRIM(G372&amp;""),FIND(" ",TRIM(G372&amp;""))-1),설정_코드표!$J$2:$J$101,0))&amp;" "&amp;INDEX(설정_코드표!$G$2:$G$101,MATCH(TRIM(RIGHT(SUBSTITUTE(TRIM(G372&amp;"")," ",REPT(" ",60)),60)),설정_코드표!$F$2:$F$101,0)),"⚠"&amp;TRIM(G372&amp;""))),"⚠"&amp;TRIM(G372&amp;""))</f>
        <v/>
      </c>
      <c r="P372" s="10">
        <f>IFERROR(IF(TRIM(H372&amp;"")="","",IF(AND(ISNUMBER(FIND(" ",TRIM(H372&amp;""))),ISNUMBER(MATCH(LEFT(TRIM(H372&amp;""),FIND(" ",TRIM(H372&amp;""))-1),설정_코드표!$J$2:$J$101,0)),ISNUMBER(MATCH(TRIM(RIGHT(SUBSTITUTE(TRIM(H372&amp;"")," ",REPT(" ",60)),60)),설정_코드표!$F$2:$F$101,0))),INDEX(설정_코드표!$K$2:$K$101,MATCH(LEFT(TRIM(H372&amp;""),FIND(" ",TRIM(H372&amp;""))-1),설정_코드표!$J$2:$J$101,0))&amp;" "&amp;INDEX(설정_코드표!$G$2:$G$101,MATCH(TRIM(RIGHT(SUBSTITUTE(TRIM(H372&amp;"")," ",REPT(" ",60)),60)),설정_코드표!$F$2:$F$101,0)),"⚠"&amp;TRIM(H372&amp;""))),"⚠"&amp;TRIM(H372&amp;""))</f>
        <v/>
      </c>
      <c r="Q372" s="10">
        <f>IFERROR(IF(TRIM(I372&amp;"")="","",IF(AND(ISNUMBER(FIND(" ",TRIM(I372&amp;""))),ISNUMBER(MATCH(LEFT(TRIM(I372&amp;""),FIND(" ",TRIM(I372&amp;""))-1),설정_코드표!$J$2:$J$101,0)),ISNUMBER(MATCH(TRIM(RIGHT(SUBSTITUTE(TRIM(I372&amp;"")," ",REPT(" ",60)),60)),설정_코드표!$F$2:$F$101,0))),INDEX(설정_코드표!$K$2:$K$101,MATCH(LEFT(TRIM(I372&amp;""),FIND(" ",TRIM(I372&amp;""))-1),설정_코드표!$J$2:$J$101,0))&amp;" "&amp;INDEX(설정_코드표!$G$2:$G$101,MATCH(TRIM(RIGHT(SUBSTITUTE(TRIM(I372&amp;"")," ",REPT(" ",60)),60)),설정_코드표!$F$2:$F$101,0)),"⚠"&amp;TRIM(I372&amp;""))),"⚠"&amp;TRIM(I372&amp;""))</f>
        <v/>
      </c>
      <c r="R372" s="10">
        <f>IFERROR(IF(TRIM(J372&amp;"")="","",IF(AND(ISNUMBER(FIND(" ",TRIM(J372&amp;""))),ISNUMBER(MATCH(LEFT(TRIM(J372&amp;""),FIND(" ",TRIM(J372&amp;""))-1),설정_코드표!$J$2:$J$101,0)),ISNUMBER(MATCH(TRIM(RIGHT(SUBSTITUTE(TRIM(J372&amp;"")," ",REPT(" ",60)),60)),설정_코드표!$F$2:$F$101,0))),INDEX(설정_코드표!$K$2:$K$101,MATCH(LEFT(TRIM(J372&amp;""),FIND(" ",TRIM(J372&amp;""))-1),설정_코드표!$J$2:$J$101,0))&amp;" "&amp;INDEX(설정_코드표!$G$2:$G$101,MATCH(TRIM(RIGHT(SUBSTITUTE(TRIM(J372&amp;"")," ",REPT(" ",60)),60)),설정_코드표!$F$2:$F$101,0)),"⚠"&amp;TRIM(J372&amp;""))),"⚠"&amp;TRIM(J372&amp;""))</f>
        <v/>
      </c>
      <c r="S372" s="11">
        <f>IF(K372="","",IFERROR(IF(AND(ROUND((VALUE(K372&amp;"")-INT(VALUE(K372&amp;"")))*100,0)&gt;=1,ROUND((VALUE(K372&amp;"")-INT(VALUE(K372&amp;"")))*100,0)&lt;=12,INT(VALUE(K372&amp;""))&gt;=1900),DATE(INT(VALUE(K372&amp;"")),ROUND((VALUE(K372&amp;"")-INT(VALUE(K372&amp;"")))*100,0),1),K372&amp;""),K372&amp;""))</f>
        <v/>
      </c>
      <c r="T372" s="10">
        <f>COUNTIF(M372:R372,"⚠*")</f>
        <v/>
      </c>
    </row>
    <row r="373"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M373" s="10">
        <f>IFERROR(IF(TRIM(E373&amp;"")="","",IF(AND(ISNUMBER(FIND(" ",TRIM(E373&amp;""))),ISNUMBER(MATCH(LEFT(TRIM(E373&amp;""),FIND(" ",TRIM(E373&amp;""))-1),설정_코드표!$J$2:$J$101,0)),ISNUMBER(MATCH(TRIM(RIGHT(SUBSTITUTE(TRIM(E373&amp;"")," ",REPT(" ",60)),60)),설정_코드표!$F$2:$F$101,0))),INDEX(설정_코드표!$K$2:$K$101,MATCH(LEFT(TRIM(E373&amp;""),FIND(" ",TRIM(E373&amp;""))-1),설정_코드표!$J$2:$J$101,0))&amp;" "&amp;INDEX(설정_코드표!$G$2:$G$101,MATCH(TRIM(RIGHT(SUBSTITUTE(TRIM(E373&amp;"")," ",REPT(" ",60)),60)),설정_코드표!$F$2:$F$101,0)),"⚠"&amp;TRIM(E373&amp;""))),"⚠"&amp;TRIM(E373&amp;""))</f>
        <v/>
      </c>
      <c r="N373" s="10">
        <f>IFERROR(IF(TRIM(F373&amp;"")="","",IF(AND(ISNUMBER(FIND(" ",TRIM(F373&amp;""))),ISNUMBER(MATCH(LEFT(TRIM(F373&amp;""),FIND(" ",TRIM(F373&amp;""))-1),설정_코드표!$J$2:$J$101,0)),ISNUMBER(MATCH(TRIM(RIGHT(SUBSTITUTE(TRIM(F373&amp;"")," ",REPT(" ",60)),60)),설정_코드표!$F$2:$F$101,0))),INDEX(설정_코드표!$K$2:$K$101,MATCH(LEFT(TRIM(F373&amp;""),FIND(" ",TRIM(F373&amp;""))-1),설정_코드표!$J$2:$J$101,0))&amp;" "&amp;INDEX(설정_코드표!$G$2:$G$101,MATCH(TRIM(RIGHT(SUBSTITUTE(TRIM(F373&amp;"")," ",REPT(" ",60)),60)),설정_코드표!$F$2:$F$101,0)),"⚠"&amp;TRIM(F373&amp;""))),"⚠"&amp;TRIM(F373&amp;""))</f>
        <v/>
      </c>
      <c r="O373" s="10">
        <f>IFERROR(IF(TRIM(G373&amp;"")="","",IF(AND(ISNUMBER(FIND(" ",TRIM(G373&amp;""))),ISNUMBER(MATCH(LEFT(TRIM(G373&amp;""),FIND(" ",TRIM(G373&amp;""))-1),설정_코드표!$J$2:$J$101,0)),ISNUMBER(MATCH(TRIM(RIGHT(SUBSTITUTE(TRIM(G373&amp;"")," ",REPT(" ",60)),60)),설정_코드표!$F$2:$F$101,0))),INDEX(설정_코드표!$K$2:$K$101,MATCH(LEFT(TRIM(G373&amp;""),FIND(" ",TRIM(G373&amp;""))-1),설정_코드표!$J$2:$J$101,0))&amp;" "&amp;INDEX(설정_코드표!$G$2:$G$101,MATCH(TRIM(RIGHT(SUBSTITUTE(TRIM(G373&amp;"")," ",REPT(" ",60)),60)),설정_코드표!$F$2:$F$101,0)),"⚠"&amp;TRIM(G373&amp;""))),"⚠"&amp;TRIM(G373&amp;""))</f>
        <v/>
      </c>
      <c r="P373" s="10">
        <f>IFERROR(IF(TRIM(H373&amp;"")="","",IF(AND(ISNUMBER(FIND(" ",TRIM(H373&amp;""))),ISNUMBER(MATCH(LEFT(TRIM(H373&amp;""),FIND(" ",TRIM(H373&amp;""))-1),설정_코드표!$J$2:$J$101,0)),ISNUMBER(MATCH(TRIM(RIGHT(SUBSTITUTE(TRIM(H373&amp;"")," ",REPT(" ",60)),60)),설정_코드표!$F$2:$F$101,0))),INDEX(설정_코드표!$K$2:$K$101,MATCH(LEFT(TRIM(H373&amp;""),FIND(" ",TRIM(H373&amp;""))-1),설정_코드표!$J$2:$J$101,0))&amp;" "&amp;INDEX(설정_코드표!$G$2:$G$101,MATCH(TRIM(RIGHT(SUBSTITUTE(TRIM(H373&amp;"")," ",REPT(" ",60)),60)),설정_코드표!$F$2:$F$101,0)),"⚠"&amp;TRIM(H373&amp;""))),"⚠"&amp;TRIM(H373&amp;""))</f>
        <v/>
      </c>
      <c r="Q373" s="10">
        <f>IFERROR(IF(TRIM(I373&amp;"")="","",IF(AND(ISNUMBER(FIND(" ",TRIM(I373&amp;""))),ISNUMBER(MATCH(LEFT(TRIM(I373&amp;""),FIND(" ",TRIM(I373&amp;""))-1),설정_코드표!$J$2:$J$101,0)),ISNUMBER(MATCH(TRIM(RIGHT(SUBSTITUTE(TRIM(I373&amp;"")," ",REPT(" ",60)),60)),설정_코드표!$F$2:$F$101,0))),INDEX(설정_코드표!$K$2:$K$101,MATCH(LEFT(TRIM(I373&amp;""),FIND(" ",TRIM(I373&amp;""))-1),설정_코드표!$J$2:$J$101,0))&amp;" "&amp;INDEX(설정_코드표!$G$2:$G$101,MATCH(TRIM(RIGHT(SUBSTITUTE(TRIM(I373&amp;"")," ",REPT(" ",60)),60)),설정_코드표!$F$2:$F$101,0)),"⚠"&amp;TRIM(I373&amp;""))),"⚠"&amp;TRIM(I373&amp;""))</f>
        <v/>
      </c>
      <c r="R373" s="10">
        <f>IFERROR(IF(TRIM(J373&amp;"")="","",IF(AND(ISNUMBER(FIND(" ",TRIM(J373&amp;""))),ISNUMBER(MATCH(LEFT(TRIM(J373&amp;""),FIND(" ",TRIM(J373&amp;""))-1),설정_코드표!$J$2:$J$101,0)),ISNUMBER(MATCH(TRIM(RIGHT(SUBSTITUTE(TRIM(J373&amp;"")," ",REPT(" ",60)),60)),설정_코드표!$F$2:$F$101,0))),INDEX(설정_코드표!$K$2:$K$101,MATCH(LEFT(TRIM(J373&amp;""),FIND(" ",TRIM(J373&amp;""))-1),설정_코드표!$J$2:$J$101,0))&amp;" "&amp;INDEX(설정_코드표!$G$2:$G$101,MATCH(TRIM(RIGHT(SUBSTITUTE(TRIM(J373&amp;"")," ",REPT(" ",60)),60)),설정_코드표!$F$2:$F$101,0)),"⚠"&amp;TRIM(J373&amp;""))),"⚠"&amp;TRIM(J373&amp;""))</f>
        <v/>
      </c>
      <c r="S373" s="11">
        <f>IF(K373="","",IFERROR(IF(AND(ROUND((VALUE(K373&amp;"")-INT(VALUE(K373&amp;"")))*100,0)&gt;=1,ROUND((VALUE(K373&amp;"")-INT(VALUE(K373&amp;"")))*100,0)&lt;=12,INT(VALUE(K373&amp;""))&gt;=1900),DATE(INT(VALUE(K373&amp;"")),ROUND((VALUE(K373&amp;"")-INT(VALUE(K373&amp;"")))*100,0),1),K373&amp;""),K373&amp;""))</f>
        <v/>
      </c>
      <c r="T373" s="10">
        <f>COUNTIF(M373:R373,"⚠*")</f>
        <v/>
      </c>
    </row>
    <row r="374"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M374" s="10">
        <f>IFERROR(IF(TRIM(E374&amp;"")="","",IF(AND(ISNUMBER(FIND(" ",TRIM(E374&amp;""))),ISNUMBER(MATCH(LEFT(TRIM(E374&amp;""),FIND(" ",TRIM(E374&amp;""))-1),설정_코드표!$J$2:$J$101,0)),ISNUMBER(MATCH(TRIM(RIGHT(SUBSTITUTE(TRIM(E374&amp;"")," ",REPT(" ",60)),60)),설정_코드표!$F$2:$F$101,0))),INDEX(설정_코드표!$K$2:$K$101,MATCH(LEFT(TRIM(E374&amp;""),FIND(" ",TRIM(E374&amp;""))-1),설정_코드표!$J$2:$J$101,0))&amp;" "&amp;INDEX(설정_코드표!$G$2:$G$101,MATCH(TRIM(RIGHT(SUBSTITUTE(TRIM(E374&amp;"")," ",REPT(" ",60)),60)),설정_코드표!$F$2:$F$101,0)),"⚠"&amp;TRIM(E374&amp;""))),"⚠"&amp;TRIM(E374&amp;""))</f>
        <v/>
      </c>
      <c r="N374" s="10">
        <f>IFERROR(IF(TRIM(F374&amp;"")="","",IF(AND(ISNUMBER(FIND(" ",TRIM(F374&amp;""))),ISNUMBER(MATCH(LEFT(TRIM(F374&amp;""),FIND(" ",TRIM(F374&amp;""))-1),설정_코드표!$J$2:$J$101,0)),ISNUMBER(MATCH(TRIM(RIGHT(SUBSTITUTE(TRIM(F374&amp;"")," ",REPT(" ",60)),60)),설정_코드표!$F$2:$F$101,0))),INDEX(설정_코드표!$K$2:$K$101,MATCH(LEFT(TRIM(F374&amp;""),FIND(" ",TRIM(F374&amp;""))-1),설정_코드표!$J$2:$J$101,0))&amp;" "&amp;INDEX(설정_코드표!$G$2:$G$101,MATCH(TRIM(RIGHT(SUBSTITUTE(TRIM(F374&amp;"")," ",REPT(" ",60)),60)),설정_코드표!$F$2:$F$101,0)),"⚠"&amp;TRIM(F374&amp;""))),"⚠"&amp;TRIM(F374&amp;""))</f>
        <v/>
      </c>
      <c r="O374" s="10">
        <f>IFERROR(IF(TRIM(G374&amp;"")="","",IF(AND(ISNUMBER(FIND(" ",TRIM(G374&amp;""))),ISNUMBER(MATCH(LEFT(TRIM(G374&amp;""),FIND(" ",TRIM(G374&amp;""))-1),설정_코드표!$J$2:$J$101,0)),ISNUMBER(MATCH(TRIM(RIGHT(SUBSTITUTE(TRIM(G374&amp;"")," ",REPT(" ",60)),60)),설정_코드표!$F$2:$F$101,0))),INDEX(설정_코드표!$K$2:$K$101,MATCH(LEFT(TRIM(G374&amp;""),FIND(" ",TRIM(G374&amp;""))-1),설정_코드표!$J$2:$J$101,0))&amp;" "&amp;INDEX(설정_코드표!$G$2:$G$101,MATCH(TRIM(RIGHT(SUBSTITUTE(TRIM(G374&amp;"")," ",REPT(" ",60)),60)),설정_코드표!$F$2:$F$101,0)),"⚠"&amp;TRIM(G374&amp;""))),"⚠"&amp;TRIM(G374&amp;""))</f>
        <v/>
      </c>
      <c r="P374" s="10">
        <f>IFERROR(IF(TRIM(H374&amp;"")="","",IF(AND(ISNUMBER(FIND(" ",TRIM(H374&amp;""))),ISNUMBER(MATCH(LEFT(TRIM(H374&amp;""),FIND(" ",TRIM(H374&amp;""))-1),설정_코드표!$J$2:$J$101,0)),ISNUMBER(MATCH(TRIM(RIGHT(SUBSTITUTE(TRIM(H374&amp;"")," ",REPT(" ",60)),60)),설정_코드표!$F$2:$F$101,0))),INDEX(설정_코드표!$K$2:$K$101,MATCH(LEFT(TRIM(H374&amp;""),FIND(" ",TRIM(H374&amp;""))-1),설정_코드표!$J$2:$J$101,0))&amp;" "&amp;INDEX(설정_코드표!$G$2:$G$101,MATCH(TRIM(RIGHT(SUBSTITUTE(TRIM(H374&amp;"")," ",REPT(" ",60)),60)),설정_코드표!$F$2:$F$101,0)),"⚠"&amp;TRIM(H374&amp;""))),"⚠"&amp;TRIM(H374&amp;""))</f>
        <v/>
      </c>
      <c r="Q374" s="10">
        <f>IFERROR(IF(TRIM(I374&amp;"")="","",IF(AND(ISNUMBER(FIND(" ",TRIM(I374&amp;""))),ISNUMBER(MATCH(LEFT(TRIM(I374&amp;""),FIND(" ",TRIM(I374&amp;""))-1),설정_코드표!$J$2:$J$101,0)),ISNUMBER(MATCH(TRIM(RIGHT(SUBSTITUTE(TRIM(I374&amp;"")," ",REPT(" ",60)),60)),설정_코드표!$F$2:$F$101,0))),INDEX(설정_코드표!$K$2:$K$101,MATCH(LEFT(TRIM(I374&amp;""),FIND(" ",TRIM(I374&amp;""))-1),설정_코드표!$J$2:$J$101,0))&amp;" "&amp;INDEX(설정_코드표!$G$2:$G$101,MATCH(TRIM(RIGHT(SUBSTITUTE(TRIM(I374&amp;"")," ",REPT(" ",60)),60)),설정_코드표!$F$2:$F$101,0)),"⚠"&amp;TRIM(I374&amp;""))),"⚠"&amp;TRIM(I374&amp;""))</f>
        <v/>
      </c>
      <c r="R374" s="10">
        <f>IFERROR(IF(TRIM(J374&amp;"")="","",IF(AND(ISNUMBER(FIND(" ",TRIM(J374&amp;""))),ISNUMBER(MATCH(LEFT(TRIM(J374&amp;""),FIND(" ",TRIM(J374&amp;""))-1),설정_코드표!$J$2:$J$101,0)),ISNUMBER(MATCH(TRIM(RIGHT(SUBSTITUTE(TRIM(J374&amp;"")," ",REPT(" ",60)),60)),설정_코드표!$F$2:$F$101,0))),INDEX(설정_코드표!$K$2:$K$101,MATCH(LEFT(TRIM(J374&amp;""),FIND(" ",TRIM(J374&amp;""))-1),설정_코드표!$J$2:$J$101,0))&amp;" "&amp;INDEX(설정_코드표!$G$2:$G$101,MATCH(TRIM(RIGHT(SUBSTITUTE(TRIM(J374&amp;"")," ",REPT(" ",60)),60)),설정_코드표!$F$2:$F$101,0)),"⚠"&amp;TRIM(J374&amp;""))),"⚠"&amp;TRIM(J374&amp;""))</f>
        <v/>
      </c>
      <c r="S374" s="11">
        <f>IF(K374="","",IFERROR(IF(AND(ROUND((VALUE(K374&amp;"")-INT(VALUE(K374&amp;"")))*100,0)&gt;=1,ROUND((VALUE(K374&amp;"")-INT(VALUE(K374&amp;"")))*100,0)&lt;=12,INT(VALUE(K374&amp;""))&gt;=1900),DATE(INT(VALUE(K374&amp;"")),ROUND((VALUE(K374&amp;"")-INT(VALUE(K374&amp;"")))*100,0),1),K374&amp;""),K374&amp;""))</f>
        <v/>
      </c>
      <c r="T374" s="10">
        <f>COUNTIF(M374:R374,"⚠*")</f>
        <v/>
      </c>
    </row>
    <row r="375"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M375" s="10">
        <f>IFERROR(IF(TRIM(E375&amp;"")="","",IF(AND(ISNUMBER(FIND(" ",TRIM(E375&amp;""))),ISNUMBER(MATCH(LEFT(TRIM(E375&amp;""),FIND(" ",TRIM(E375&amp;""))-1),설정_코드표!$J$2:$J$101,0)),ISNUMBER(MATCH(TRIM(RIGHT(SUBSTITUTE(TRIM(E375&amp;"")," ",REPT(" ",60)),60)),설정_코드표!$F$2:$F$101,0))),INDEX(설정_코드표!$K$2:$K$101,MATCH(LEFT(TRIM(E375&amp;""),FIND(" ",TRIM(E375&amp;""))-1),설정_코드표!$J$2:$J$101,0))&amp;" "&amp;INDEX(설정_코드표!$G$2:$G$101,MATCH(TRIM(RIGHT(SUBSTITUTE(TRIM(E375&amp;"")," ",REPT(" ",60)),60)),설정_코드표!$F$2:$F$101,0)),"⚠"&amp;TRIM(E375&amp;""))),"⚠"&amp;TRIM(E375&amp;""))</f>
        <v/>
      </c>
      <c r="N375" s="10">
        <f>IFERROR(IF(TRIM(F375&amp;"")="","",IF(AND(ISNUMBER(FIND(" ",TRIM(F375&amp;""))),ISNUMBER(MATCH(LEFT(TRIM(F375&amp;""),FIND(" ",TRIM(F375&amp;""))-1),설정_코드표!$J$2:$J$101,0)),ISNUMBER(MATCH(TRIM(RIGHT(SUBSTITUTE(TRIM(F375&amp;"")," ",REPT(" ",60)),60)),설정_코드표!$F$2:$F$101,0))),INDEX(설정_코드표!$K$2:$K$101,MATCH(LEFT(TRIM(F375&amp;""),FIND(" ",TRIM(F375&amp;""))-1),설정_코드표!$J$2:$J$101,0))&amp;" "&amp;INDEX(설정_코드표!$G$2:$G$101,MATCH(TRIM(RIGHT(SUBSTITUTE(TRIM(F375&amp;"")," ",REPT(" ",60)),60)),설정_코드표!$F$2:$F$101,0)),"⚠"&amp;TRIM(F375&amp;""))),"⚠"&amp;TRIM(F375&amp;""))</f>
        <v/>
      </c>
      <c r="O375" s="10">
        <f>IFERROR(IF(TRIM(G375&amp;"")="","",IF(AND(ISNUMBER(FIND(" ",TRIM(G375&amp;""))),ISNUMBER(MATCH(LEFT(TRIM(G375&amp;""),FIND(" ",TRIM(G375&amp;""))-1),설정_코드표!$J$2:$J$101,0)),ISNUMBER(MATCH(TRIM(RIGHT(SUBSTITUTE(TRIM(G375&amp;"")," ",REPT(" ",60)),60)),설정_코드표!$F$2:$F$101,0))),INDEX(설정_코드표!$K$2:$K$101,MATCH(LEFT(TRIM(G375&amp;""),FIND(" ",TRIM(G375&amp;""))-1),설정_코드표!$J$2:$J$101,0))&amp;" "&amp;INDEX(설정_코드표!$G$2:$G$101,MATCH(TRIM(RIGHT(SUBSTITUTE(TRIM(G375&amp;"")," ",REPT(" ",60)),60)),설정_코드표!$F$2:$F$101,0)),"⚠"&amp;TRIM(G375&amp;""))),"⚠"&amp;TRIM(G375&amp;""))</f>
        <v/>
      </c>
      <c r="P375" s="10">
        <f>IFERROR(IF(TRIM(H375&amp;"")="","",IF(AND(ISNUMBER(FIND(" ",TRIM(H375&amp;""))),ISNUMBER(MATCH(LEFT(TRIM(H375&amp;""),FIND(" ",TRIM(H375&amp;""))-1),설정_코드표!$J$2:$J$101,0)),ISNUMBER(MATCH(TRIM(RIGHT(SUBSTITUTE(TRIM(H375&amp;"")," ",REPT(" ",60)),60)),설정_코드표!$F$2:$F$101,0))),INDEX(설정_코드표!$K$2:$K$101,MATCH(LEFT(TRIM(H375&amp;""),FIND(" ",TRIM(H375&amp;""))-1),설정_코드표!$J$2:$J$101,0))&amp;" "&amp;INDEX(설정_코드표!$G$2:$G$101,MATCH(TRIM(RIGHT(SUBSTITUTE(TRIM(H375&amp;"")," ",REPT(" ",60)),60)),설정_코드표!$F$2:$F$101,0)),"⚠"&amp;TRIM(H375&amp;""))),"⚠"&amp;TRIM(H375&amp;""))</f>
        <v/>
      </c>
      <c r="Q375" s="10">
        <f>IFERROR(IF(TRIM(I375&amp;"")="","",IF(AND(ISNUMBER(FIND(" ",TRIM(I375&amp;""))),ISNUMBER(MATCH(LEFT(TRIM(I375&amp;""),FIND(" ",TRIM(I375&amp;""))-1),설정_코드표!$J$2:$J$101,0)),ISNUMBER(MATCH(TRIM(RIGHT(SUBSTITUTE(TRIM(I375&amp;"")," ",REPT(" ",60)),60)),설정_코드표!$F$2:$F$101,0))),INDEX(설정_코드표!$K$2:$K$101,MATCH(LEFT(TRIM(I375&amp;""),FIND(" ",TRIM(I375&amp;""))-1),설정_코드표!$J$2:$J$101,0))&amp;" "&amp;INDEX(설정_코드표!$G$2:$G$101,MATCH(TRIM(RIGHT(SUBSTITUTE(TRIM(I375&amp;"")," ",REPT(" ",60)),60)),설정_코드표!$F$2:$F$101,0)),"⚠"&amp;TRIM(I375&amp;""))),"⚠"&amp;TRIM(I375&amp;""))</f>
        <v/>
      </c>
      <c r="R375" s="10">
        <f>IFERROR(IF(TRIM(J375&amp;"")="","",IF(AND(ISNUMBER(FIND(" ",TRIM(J375&amp;""))),ISNUMBER(MATCH(LEFT(TRIM(J375&amp;""),FIND(" ",TRIM(J375&amp;""))-1),설정_코드표!$J$2:$J$101,0)),ISNUMBER(MATCH(TRIM(RIGHT(SUBSTITUTE(TRIM(J375&amp;"")," ",REPT(" ",60)),60)),설정_코드표!$F$2:$F$101,0))),INDEX(설정_코드표!$K$2:$K$101,MATCH(LEFT(TRIM(J375&amp;""),FIND(" ",TRIM(J375&amp;""))-1),설정_코드표!$J$2:$J$101,0))&amp;" "&amp;INDEX(설정_코드표!$G$2:$G$101,MATCH(TRIM(RIGHT(SUBSTITUTE(TRIM(J375&amp;"")," ",REPT(" ",60)),60)),설정_코드표!$F$2:$F$101,0)),"⚠"&amp;TRIM(J375&amp;""))),"⚠"&amp;TRIM(J375&amp;""))</f>
        <v/>
      </c>
      <c r="S375" s="11">
        <f>IF(K375="","",IFERROR(IF(AND(ROUND((VALUE(K375&amp;"")-INT(VALUE(K375&amp;"")))*100,0)&gt;=1,ROUND((VALUE(K375&amp;"")-INT(VALUE(K375&amp;"")))*100,0)&lt;=12,INT(VALUE(K375&amp;""))&gt;=1900),DATE(INT(VALUE(K375&amp;"")),ROUND((VALUE(K375&amp;"")-INT(VALUE(K375&amp;"")))*100,0),1),K375&amp;""),K375&amp;""))</f>
        <v/>
      </c>
      <c r="T375" s="10">
        <f>COUNTIF(M375:R375,"⚠*")</f>
        <v/>
      </c>
    </row>
    <row r="376"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M376" s="10">
        <f>IFERROR(IF(TRIM(E376&amp;"")="","",IF(AND(ISNUMBER(FIND(" ",TRIM(E376&amp;""))),ISNUMBER(MATCH(LEFT(TRIM(E376&amp;""),FIND(" ",TRIM(E376&amp;""))-1),설정_코드표!$J$2:$J$101,0)),ISNUMBER(MATCH(TRIM(RIGHT(SUBSTITUTE(TRIM(E376&amp;"")," ",REPT(" ",60)),60)),설정_코드표!$F$2:$F$101,0))),INDEX(설정_코드표!$K$2:$K$101,MATCH(LEFT(TRIM(E376&amp;""),FIND(" ",TRIM(E376&amp;""))-1),설정_코드표!$J$2:$J$101,0))&amp;" "&amp;INDEX(설정_코드표!$G$2:$G$101,MATCH(TRIM(RIGHT(SUBSTITUTE(TRIM(E376&amp;"")," ",REPT(" ",60)),60)),설정_코드표!$F$2:$F$101,0)),"⚠"&amp;TRIM(E376&amp;""))),"⚠"&amp;TRIM(E376&amp;""))</f>
        <v/>
      </c>
      <c r="N376" s="10">
        <f>IFERROR(IF(TRIM(F376&amp;"")="","",IF(AND(ISNUMBER(FIND(" ",TRIM(F376&amp;""))),ISNUMBER(MATCH(LEFT(TRIM(F376&amp;""),FIND(" ",TRIM(F376&amp;""))-1),설정_코드표!$J$2:$J$101,0)),ISNUMBER(MATCH(TRIM(RIGHT(SUBSTITUTE(TRIM(F376&amp;"")," ",REPT(" ",60)),60)),설정_코드표!$F$2:$F$101,0))),INDEX(설정_코드표!$K$2:$K$101,MATCH(LEFT(TRIM(F376&amp;""),FIND(" ",TRIM(F376&amp;""))-1),설정_코드표!$J$2:$J$101,0))&amp;" "&amp;INDEX(설정_코드표!$G$2:$G$101,MATCH(TRIM(RIGHT(SUBSTITUTE(TRIM(F376&amp;"")," ",REPT(" ",60)),60)),설정_코드표!$F$2:$F$101,0)),"⚠"&amp;TRIM(F376&amp;""))),"⚠"&amp;TRIM(F376&amp;""))</f>
        <v/>
      </c>
      <c r="O376" s="10">
        <f>IFERROR(IF(TRIM(G376&amp;"")="","",IF(AND(ISNUMBER(FIND(" ",TRIM(G376&amp;""))),ISNUMBER(MATCH(LEFT(TRIM(G376&amp;""),FIND(" ",TRIM(G376&amp;""))-1),설정_코드표!$J$2:$J$101,0)),ISNUMBER(MATCH(TRIM(RIGHT(SUBSTITUTE(TRIM(G376&amp;"")," ",REPT(" ",60)),60)),설정_코드표!$F$2:$F$101,0))),INDEX(설정_코드표!$K$2:$K$101,MATCH(LEFT(TRIM(G376&amp;""),FIND(" ",TRIM(G376&amp;""))-1),설정_코드표!$J$2:$J$101,0))&amp;" "&amp;INDEX(설정_코드표!$G$2:$G$101,MATCH(TRIM(RIGHT(SUBSTITUTE(TRIM(G376&amp;"")," ",REPT(" ",60)),60)),설정_코드표!$F$2:$F$101,0)),"⚠"&amp;TRIM(G376&amp;""))),"⚠"&amp;TRIM(G376&amp;""))</f>
        <v/>
      </c>
      <c r="P376" s="10">
        <f>IFERROR(IF(TRIM(H376&amp;"")="","",IF(AND(ISNUMBER(FIND(" ",TRIM(H376&amp;""))),ISNUMBER(MATCH(LEFT(TRIM(H376&amp;""),FIND(" ",TRIM(H376&amp;""))-1),설정_코드표!$J$2:$J$101,0)),ISNUMBER(MATCH(TRIM(RIGHT(SUBSTITUTE(TRIM(H376&amp;"")," ",REPT(" ",60)),60)),설정_코드표!$F$2:$F$101,0))),INDEX(설정_코드표!$K$2:$K$101,MATCH(LEFT(TRIM(H376&amp;""),FIND(" ",TRIM(H376&amp;""))-1),설정_코드표!$J$2:$J$101,0))&amp;" "&amp;INDEX(설정_코드표!$G$2:$G$101,MATCH(TRIM(RIGHT(SUBSTITUTE(TRIM(H376&amp;"")," ",REPT(" ",60)),60)),설정_코드표!$F$2:$F$101,0)),"⚠"&amp;TRIM(H376&amp;""))),"⚠"&amp;TRIM(H376&amp;""))</f>
        <v/>
      </c>
      <c r="Q376" s="10">
        <f>IFERROR(IF(TRIM(I376&amp;"")="","",IF(AND(ISNUMBER(FIND(" ",TRIM(I376&amp;""))),ISNUMBER(MATCH(LEFT(TRIM(I376&amp;""),FIND(" ",TRIM(I376&amp;""))-1),설정_코드표!$J$2:$J$101,0)),ISNUMBER(MATCH(TRIM(RIGHT(SUBSTITUTE(TRIM(I376&amp;"")," ",REPT(" ",60)),60)),설정_코드표!$F$2:$F$101,0))),INDEX(설정_코드표!$K$2:$K$101,MATCH(LEFT(TRIM(I376&amp;""),FIND(" ",TRIM(I376&amp;""))-1),설정_코드표!$J$2:$J$101,0))&amp;" "&amp;INDEX(설정_코드표!$G$2:$G$101,MATCH(TRIM(RIGHT(SUBSTITUTE(TRIM(I376&amp;"")," ",REPT(" ",60)),60)),설정_코드표!$F$2:$F$101,0)),"⚠"&amp;TRIM(I376&amp;""))),"⚠"&amp;TRIM(I376&amp;""))</f>
        <v/>
      </c>
      <c r="R376" s="10">
        <f>IFERROR(IF(TRIM(J376&amp;"")="","",IF(AND(ISNUMBER(FIND(" ",TRIM(J376&amp;""))),ISNUMBER(MATCH(LEFT(TRIM(J376&amp;""),FIND(" ",TRIM(J376&amp;""))-1),설정_코드표!$J$2:$J$101,0)),ISNUMBER(MATCH(TRIM(RIGHT(SUBSTITUTE(TRIM(J376&amp;"")," ",REPT(" ",60)),60)),설정_코드표!$F$2:$F$101,0))),INDEX(설정_코드표!$K$2:$K$101,MATCH(LEFT(TRIM(J376&amp;""),FIND(" ",TRIM(J376&amp;""))-1),설정_코드표!$J$2:$J$101,0))&amp;" "&amp;INDEX(설정_코드표!$G$2:$G$101,MATCH(TRIM(RIGHT(SUBSTITUTE(TRIM(J376&amp;"")," ",REPT(" ",60)),60)),설정_코드표!$F$2:$F$101,0)),"⚠"&amp;TRIM(J376&amp;""))),"⚠"&amp;TRIM(J376&amp;""))</f>
        <v/>
      </c>
      <c r="S376" s="11">
        <f>IF(K376="","",IFERROR(IF(AND(ROUND((VALUE(K376&amp;"")-INT(VALUE(K376&amp;"")))*100,0)&gt;=1,ROUND((VALUE(K376&amp;"")-INT(VALUE(K376&amp;"")))*100,0)&lt;=12,INT(VALUE(K376&amp;""))&gt;=1900),DATE(INT(VALUE(K376&amp;"")),ROUND((VALUE(K376&amp;"")-INT(VALUE(K376&amp;"")))*100,0),1),K376&amp;""),K376&amp;""))</f>
        <v/>
      </c>
      <c r="T376" s="10">
        <f>COUNTIF(M376:R376,"⚠*")</f>
        <v/>
      </c>
    </row>
    <row r="377"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M377" s="10">
        <f>IFERROR(IF(TRIM(E377&amp;"")="","",IF(AND(ISNUMBER(FIND(" ",TRIM(E377&amp;""))),ISNUMBER(MATCH(LEFT(TRIM(E377&amp;""),FIND(" ",TRIM(E377&amp;""))-1),설정_코드표!$J$2:$J$101,0)),ISNUMBER(MATCH(TRIM(RIGHT(SUBSTITUTE(TRIM(E377&amp;"")," ",REPT(" ",60)),60)),설정_코드표!$F$2:$F$101,0))),INDEX(설정_코드표!$K$2:$K$101,MATCH(LEFT(TRIM(E377&amp;""),FIND(" ",TRIM(E377&amp;""))-1),설정_코드표!$J$2:$J$101,0))&amp;" "&amp;INDEX(설정_코드표!$G$2:$G$101,MATCH(TRIM(RIGHT(SUBSTITUTE(TRIM(E377&amp;"")," ",REPT(" ",60)),60)),설정_코드표!$F$2:$F$101,0)),"⚠"&amp;TRIM(E377&amp;""))),"⚠"&amp;TRIM(E377&amp;""))</f>
        <v/>
      </c>
      <c r="N377" s="10">
        <f>IFERROR(IF(TRIM(F377&amp;"")="","",IF(AND(ISNUMBER(FIND(" ",TRIM(F377&amp;""))),ISNUMBER(MATCH(LEFT(TRIM(F377&amp;""),FIND(" ",TRIM(F377&amp;""))-1),설정_코드표!$J$2:$J$101,0)),ISNUMBER(MATCH(TRIM(RIGHT(SUBSTITUTE(TRIM(F377&amp;"")," ",REPT(" ",60)),60)),설정_코드표!$F$2:$F$101,0))),INDEX(설정_코드표!$K$2:$K$101,MATCH(LEFT(TRIM(F377&amp;""),FIND(" ",TRIM(F377&amp;""))-1),설정_코드표!$J$2:$J$101,0))&amp;" "&amp;INDEX(설정_코드표!$G$2:$G$101,MATCH(TRIM(RIGHT(SUBSTITUTE(TRIM(F377&amp;"")," ",REPT(" ",60)),60)),설정_코드표!$F$2:$F$101,0)),"⚠"&amp;TRIM(F377&amp;""))),"⚠"&amp;TRIM(F377&amp;""))</f>
        <v/>
      </c>
      <c r="O377" s="10">
        <f>IFERROR(IF(TRIM(G377&amp;"")="","",IF(AND(ISNUMBER(FIND(" ",TRIM(G377&amp;""))),ISNUMBER(MATCH(LEFT(TRIM(G377&amp;""),FIND(" ",TRIM(G377&amp;""))-1),설정_코드표!$J$2:$J$101,0)),ISNUMBER(MATCH(TRIM(RIGHT(SUBSTITUTE(TRIM(G377&amp;"")," ",REPT(" ",60)),60)),설정_코드표!$F$2:$F$101,0))),INDEX(설정_코드표!$K$2:$K$101,MATCH(LEFT(TRIM(G377&amp;""),FIND(" ",TRIM(G377&amp;""))-1),설정_코드표!$J$2:$J$101,0))&amp;" "&amp;INDEX(설정_코드표!$G$2:$G$101,MATCH(TRIM(RIGHT(SUBSTITUTE(TRIM(G377&amp;"")," ",REPT(" ",60)),60)),설정_코드표!$F$2:$F$101,0)),"⚠"&amp;TRIM(G377&amp;""))),"⚠"&amp;TRIM(G377&amp;""))</f>
        <v/>
      </c>
      <c r="P377" s="10">
        <f>IFERROR(IF(TRIM(H377&amp;"")="","",IF(AND(ISNUMBER(FIND(" ",TRIM(H377&amp;""))),ISNUMBER(MATCH(LEFT(TRIM(H377&amp;""),FIND(" ",TRIM(H377&amp;""))-1),설정_코드표!$J$2:$J$101,0)),ISNUMBER(MATCH(TRIM(RIGHT(SUBSTITUTE(TRIM(H377&amp;"")," ",REPT(" ",60)),60)),설정_코드표!$F$2:$F$101,0))),INDEX(설정_코드표!$K$2:$K$101,MATCH(LEFT(TRIM(H377&amp;""),FIND(" ",TRIM(H377&amp;""))-1),설정_코드표!$J$2:$J$101,0))&amp;" "&amp;INDEX(설정_코드표!$G$2:$G$101,MATCH(TRIM(RIGHT(SUBSTITUTE(TRIM(H377&amp;"")," ",REPT(" ",60)),60)),설정_코드표!$F$2:$F$101,0)),"⚠"&amp;TRIM(H377&amp;""))),"⚠"&amp;TRIM(H377&amp;""))</f>
        <v/>
      </c>
      <c r="Q377" s="10">
        <f>IFERROR(IF(TRIM(I377&amp;"")="","",IF(AND(ISNUMBER(FIND(" ",TRIM(I377&amp;""))),ISNUMBER(MATCH(LEFT(TRIM(I377&amp;""),FIND(" ",TRIM(I377&amp;""))-1),설정_코드표!$J$2:$J$101,0)),ISNUMBER(MATCH(TRIM(RIGHT(SUBSTITUTE(TRIM(I377&amp;"")," ",REPT(" ",60)),60)),설정_코드표!$F$2:$F$101,0))),INDEX(설정_코드표!$K$2:$K$101,MATCH(LEFT(TRIM(I377&amp;""),FIND(" ",TRIM(I377&amp;""))-1),설정_코드표!$J$2:$J$101,0))&amp;" "&amp;INDEX(설정_코드표!$G$2:$G$101,MATCH(TRIM(RIGHT(SUBSTITUTE(TRIM(I377&amp;"")," ",REPT(" ",60)),60)),설정_코드표!$F$2:$F$101,0)),"⚠"&amp;TRIM(I377&amp;""))),"⚠"&amp;TRIM(I377&amp;""))</f>
        <v/>
      </c>
      <c r="R377" s="10">
        <f>IFERROR(IF(TRIM(J377&amp;"")="","",IF(AND(ISNUMBER(FIND(" ",TRIM(J377&amp;""))),ISNUMBER(MATCH(LEFT(TRIM(J377&amp;""),FIND(" ",TRIM(J377&amp;""))-1),설정_코드표!$J$2:$J$101,0)),ISNUMBER(MATCH(TRIM(RIGHT(SUBSTITUTE(TRIM(J377&amp;"")," ",REPT(" ",60)),60)),설정_코드표!$F$2:$F$101,0))),INDEX(설정_코드표!$K$2:$K$101,MATCH(LEFT(TRIM(J377&amp;""),FIND(" ",TRIM(J377&amp;""))-1),설정_코드표!$J$2:$J$101,0))&amp;" "&amp;INDEX(설정_코드표!$G$2:$G$101,MATCH(TRIM(RIGHT(SUBSTITUTE(TRIM(J377&amp;"")," ",REPT(" ",60)),60)),설정_코드표!$F$2:$F$101,0)),"⚠"&amp;TRIM(J377&amp;""))),"⚠"&amp;TRIM(J377&amp;""))</f>
        <v/>
      </c>
      <c r="S377" s="11">
        <f>IF(K377="","",IFERROR(IF(AND(ROUND((VALUE(K377&amp;"")-INT(VALUE(K377&amp;"")))*100,0)&gt;=1,ROUND((VALUE(K377&amp;"")-INT(VALUE(K377&amp;"")))*100,0)&lt;=12,INT(VALUE(K377&amp;""))&gt;=1900),DATE(INT(VALUE(K377&amp;"")),ROUND((VALUE(K377&amp;"")-INT(VALUE(K377&amp;"")))*100,0),1),K377&amp;""),K377&amp;""))</f>
        <v/>
      </c>
      <c r="T377" s="10">
        <f>COUNTIF(M377:R377,"⚠*")</f>
        <v/>
      </c>
    </row>
    <row r="378"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M378" s="10">
        <f>IFERROR(IF(TRIM(E378&amp;"")="","",IF(AND(ISNUMBER(FIND(" ",TRIM(E378&amp;""))),ISNUMBER(MATCH(LEFT(TRIM(E378&amp;""),FIND(" ",TRIM(E378&amp;""))-1),설정_코드표!$J$2:$J$101,0)),ISNUMBER(MATCH(TRIM(RIGHT(SUBSTITUTE(TRIM(E378&amp;"")," ",REPT(" ",60)),60)),설정_코드표!$F$2:$F$101,0))),INDEX(설정_코드표!$K$2:$K$101,MATCH(LEFT(TRIM(E378&amp;""),FIND(" ",TRIM(E378&amp;""))-1),설정_코드표!$J$2:$J$101,0))&amp;" "&amp;INDEX(설정_코드표!$G$2:$G$101,MATCH(TRIM(RIGHT(SUBSTITUTE(TRIM(E378&amp;"")," ",REPT(" ",60)),60)),설정_코드표!$F$2:$F$101,0)),"⚠"&amp;TRIM(E378&amp;""))),"⚠"&amp;TRIM(E378&amp;""))</f>
        <v/>
      </c>
      <c r="N378" s="10">
        <f>IFERROR(IF(TRIM(F378&amp;"")="","",IF(AND(ISNUMBER(FIND(" ",TRIM(F378&amp;""))),ISNUMBER(MATCH(LEFT(TRIM(F378&amp;""),FIND(" ",TRIM(F378&amp;""))-1),설정_코드표!$J$2:$J$101,0)),ISNUMBER(MATCH(TRIM(RIGHT(SUBSTITUTE(TRIM(F378&amp;"")," ",REPT(" ",60)),60)),설정_코드표!$F$2:$F$101,0))),INDEX(설정_코드표!$K$2:$K$101,MATCH(LEFT(TRIM(F378&amp;""),FIND(" ",TRIM(F378&amp;""))-1),설정_코드표!$J$2:$J$101,0))&amp;" "&amp;INDEX(설정_코드표!$G$2:$G$101,MATCH(TRIM(RIGHT(SUBSTITUTE(TRIM(F378&amp;"")," ",REPT(" ",60)),60)),설정_코드표!$F$2:$F$101,0)),"⚠"&amp;TRIM(F378&amp;""))),"⚠"&amp;TRIM(F378&amp;""))</f>
        <v/>
      </c>
      <c r="O378" s="10">
        <f>IFERROR(IF(TRIM(G378&amp;"")="","",IF(AND(ISNUMBER(FIND(" ",TRIM(G378&amp;""))),ISNUMBER(MATCH(LEFT(TRIM(G378&amp;""),FIND(" ",TRIM(G378&amp;""))-1),설정_코드표!$J$2:$J$101,0)),ISNUMBER(MATCH(TRIM(RIGHT(SUBSTITUTE(TRIM(G378&amp;"")," ",REPT(" ",60)),60)),설정_코드표!$F$2:$F$101,0))),INDEX(설정_코드표!$K$2:$K$101,MATCH(LEFT(TRIM(G378&amp;""),FIND(" ",TRIM(G378&amp;""))-1),설정_코드표!$J$2:$J$101,0))&amp;" "&amp;INDEX(설정_코드표!$G$2:$G$101,MATCH(TRIM(RIGHT(SUBSTITUTE(TRIM(G378&amp;"")," ",REPT(" ",60)),60)),설정_코드표!$F$2:$F$101,0)),"⚠"&amp;TRIM(G378&amp;""))),"⚠"&amp;TRIM(G378&amp;""))</f>
        <v/>
      </c>
      <c r="P378" s="10">
        <f>IFERROR(IF(TRIM(H378&amp;"")="","",IF(AND(ISNUMBER(FIND(" ",TRIM(H378&amp;""))),ISNUMBER(MATCH(LEFT(TRIM(H378&amp;""),FIND(" ",TRIM(H378&amp;""))-1),설정_코드표!$J$2:$J$101,0)),ISNUMBER(MATCH(TRIM(RIGHT(SUBSTITUTE(TRIM(H378&amp;"")," ",REPT(" ",60)),60)),설정_코드표!$F$2:$F$101,0))),INDEX(설정_코드표!$K$2:$K$101,MATCH(LEFT(TRIM(H378&amp;""),FIND(" ",TRIM(H378&amp;""))-1),설정_코드표!$J$2:$J$101,0))&amp;" "&amp;INDEX(설정_코드표!$G$2:$G$101,MATCH(TRIM(RIGHT(SUBSTITUTE(TRIM(H378&amp;"")," ",REPT(" ",60)),60)),설정_코드표!$F$2:$F$101,0)),"⚠"&amp;TRIM(H378&amp;""))),"⚠"&amp;TRIM(H378&amp;""))</f>
        <v/>
      </c>
      <c r="Q378" s="10">
        <f>IFERROR(IF(TRIM(I378&amp;"")="","",IF(AND(ISNUMBER(FIND(" ",TRIM(I378&amp;""))),ISNUMBER(MATCH(LEFT(TRIM(I378&amp;""),FIND(" ",TRIM(I378&amp;""))-1),설정_코드표!$J$2:$J$101,0)),ISNUMBER(MATCH(TRIM(RIGHT(SUBSTITUTE(TRIM(I378&amp;"")," ",REPT(" ",60)),60)),설정_코드표!$F$2:$F$101,0))),INDEX(설정_코드표!$K$2:$K$101,MATCH(LEFT(TRIM(I378&amp;""),FIND(" ",TRIM(I378&amp;""))-1),설정_코드표!$J$2:$J$101,0))&amp;" "&amp;INDEX(설정_코드표!$G$2:$G$101,MATCH(TRIM(RIGHT(SUBSTITUTE(TRIM(I378&amp;"")," ",REPT(" ",60)),60)),설정_코드표!$F$2:$F$101,0)),"⚠"&amp;TRIM(I378&amp;""))),"⚠"&amp;TRIM(I378&amp;""))</f>
        <v/>
      </c>
      <c r="R378" s="10">
        <f>IFERROR(IF(TRIM(J378&amp;"")="","",IF(AND(ISNUMBER(FIND(" ",TRIM(J378&amp;""))),ISNUMBER(MATCH(LEFT(TRIM(J378&amp;""),FIND(" ",TRIM(J378&amp;""))-1),설정_코드표!$J$2:$J$101,0)),ISNUMBER(MATCH(TRIM(RIGHT(SUBSTITUTE(TRIM(J378&amp;"")," ",REPT(" ",60)),60)),설정_코드표!$F$2:$F$101,0))),INDEX(설정_코드표!$K$2:$K$101,MATCH(LEFT(TRIM(J378&amp;""),FIND(" ",TRIM(J378&amp;""))-1),설정_코드표!$J$2:$J$101,0))&amp;" "&amp;INDEX(설정_코드표!$G$2:$G$101,MATCH(TRIM(RIGHT(SUBSTITUTE(TRIM(J378&amp;"")," ",REPT(" ",60)),60)),설정_코드표!$F$2:$F$101,0)),"⚠"&amp;TRIM(J378&amp;""))),"⚠"&amp;TRIM(J378&amp;""))</f>
        <v/>
      </c>
      <c r="S378" s="11">
        <f>IF(K378="","",IFERROR(IF(AND(ROUND((VALUE(K378&amp;"")-INT(VALUE(K378&amp;"")))*100,0)&gt;=1,ROUND((VALUE(K378&amp;"")-INT(VALUE(K378&amp;"")))*100,0)&lt;=12,INT(VALUE(K378&amp;""))&gt;=1900),DATE(INT(VALUE(K378&amp;"")),ROUND((VALUE(K378&amp;"")-INT(VALUE(K378&amp;"")))*100,0),1),K378&amp;""),K378&amp;""))</f>
        <v/>
      </c>
      <c r="T378" s="10">
        <f>COUNTIF(M378:R378,"⚠*")</f>
        <v/>
      </c>
    </row>
    <row r="379"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M379" s="10">
        <f>IFERROR(IF(TRIM(E379&amp;"")="","",IF(AND(ISNUMBER(FIND(" ",TRIM(E379&amp;""))),ISNUMBER(MATCH(LEFT(TRIM(E379&amp;""),FIND(" ",TRIM(E379&amp;""))-1),설정_코드표!$J$2:$J$101,0)),ISNUMBER(MATCH(TRIM(RIGHT(SUBSTITUTE(TRIM(E379&amp;"")," ",REPT(" ",60)),60)),설정_코드표!$F$2:$F$101,0))),INDEX(설정_코드표!$K$2:$K$101,MATCH(LEFT(TRIM(E379&amp;""),FIND(" ",TRIM(E379&amp;""))-1),설정_코드표!$J$2:$J$101,0))&amp;" "&amp;INDEX(설정_코드표!$G$2:$G$101,MATCH(TRIM(RIGHT(SUBSTITUTE(TRIM(E379&amp;"")," ",REPT(" ",60)),60)),설정_코드표!$F$2:$F$101,0)),"⚠"&amp;TRIM(E379&amp;""))),"⚠"&amp;TRIM(E379&amp;""))</f>
        <v/>
      </c>
      <c r="N379" s="10">
        <f>IFERROR(IF(TRIM(F379&amp;"")="","",IF(AND(ISNUMBER(FIND(" ",TRIM(F379&amp;""))),ISNUMBER(MATCH(LEFT(TRIM(F379&amp;""),FIND(" ",TRIM(F379&amp;""))-1),설정_코드표!$J$2:$J$101,0)),ISNUMBER(MATCH(TRIM(RIGHT(SUBSTITUTE(TRIM(F379&amp;"")," ",REPT(" ",60)),60)),설정_코드표!$F$2:$F$101,0))),INDEX(설정_코드표!$K$2:$K$101,MATCH(LEFT(TRIM(F379&amp;""),FIND(" ",TRIM(F379&amp;""))-1),설정_코드표!$J$2:$J$101,0))&amp;" "&amp;INDEX(설정_코드표!$G$2:$G$101,MATCH(TRIM(RIGHT(SUBSTITUTE(TRIM(F379&amp;"")," ",REPT(" ",60)),60)),설정_코드표!$F$2:$F$101,0)),"⚠"&amp;TRIM(F379&amp;""))),"⚠"&amp;TRIM(F379&amp;""))</f>
        <v/>
      </c>
      <c r="O379" s="10">
        <f>IFERROR(IF(TRIM(G379&amp;"")="","",IF(AND(ISNUMBER(FIND(" ",TRIM(G379&amp;""))),ISNUMBER(MATCH(LEFT(TRIM(G379&amp;""),FIND(" ",TRIM(G379&amp;""))-1),설정_코드표!$J$2:$J$101,0)),ISNUMBER(MATCH(TRIM(RIGHT(SUBSTITUTE(TRIM(G379&amp;"")," ",REPT(" ",60)),60)),설정_코드표!$F$2:$F$101,0))),INDEX(설정_코드표!$K$2:$K$101,MATCH(LEFT(TRIM(G379&amp;""),FIND(" ",TRIM(G379&amp;""))-1),설정_코드표!$J$2:$J$101,0))&amp;" "&amp;INDEX(설정_코드표!$G$2:$G$101,MATCH(TRIM(RIGHT(SUBSTITUTE(TRIM(G379&amp;"")," ",REPT(" ",60)),60)),설정_코드표!$F$2:$F$101,0)),"⚠"&amp;TRIM(G379&amp;""))),"⚠"&amp;TRIM(G379&amp;""))</f>
        <v/>
      </c>
      <c r="P379" s="10">
        <f>IFERROR(IF(TRIM(H379&amp;"")="","",IF(AND(ISNUMBER(FIND(" ",TRIM(H379&amp;""))),ISNUMBER(MATCH(LEFT(TRIM(H379&amp;""),FIND(" ",TRIM(H379&amp;""))-1),설정_코드표!$J$2:$J$101,0)),ISNUMBER(MATCH(TRIM(RIGHT(SUBSTITUTE(TRIM(H379&amp;"")," ",REPT(" ",60)),60)),설정_코드표!$F$2:$F$101,0))),INDEX(설정_코드표!$K$2:$K$101,MATCH(LEFT(TRIM(H379&amp;""),FIND(" ",TRIM(H379&amp;""))-1),설정_코드표!$J$2:$J$101,0))&amp;" "&amp;INDEX(설정_코드표!$G$2:$G$101,MATCH(TRIM(RIGHT(SUBSTITUTE(TRIM(H379&amp;"")," ",REPT(" ",60)),60)),설정_코드표!$F$2:$F$101,0)),"⚠"&amp;TRIM(H379&amp;""))),"⚠"&amp;TRIM(H379&amp;""))</f>
        <v/>
      </c>
      <c r="Q379" s="10">
        <f>IFERROR(IF(TRIM(I379&amp;"")="","",IF(AND(ISNUMBER(FIND(" ",TRIM(I379&amp;""))),ISNUMBER(MATCH(LEFT(TRIM(I379&amp;""),FIND(" ",TRIM(I379&amp;""))-1),설정_코드표!$J$2:$J$101,0)),ISNUMBER(MATCH(TRIM(RIGHT(SUBSTITUTE(TRIM(I379&amp;"")," ",REPT(" ",60)),60)),설정_코드표!$F$2:$F$101,0))),INDEX(설정_코드표!$K$2:$K$101,MATCH(LEFT(TRIM(I379&amp;""),FIND(" ",TRIM(I379&amp;""))-1),설정_코드표!$J$2:$J$101,0))&amp;" "&amp;INDEX(설정_코드표!$G$2:$G$101,MATCH(TRIM(RIGHT(SUBSTITUTE(TRIM(I379&amp;"")," ",REPT(" ",60)),60)),설정_코드표!$F$2:$F$101,0)),"⚠"&amp;TRIM(I379&amp;""))),"⚠"&amp;TRIM(I379&amp;""))</f>
        <v/>
      </c>
      <c r="R379" s="10">
        <f>IFERROR(IF(TRIM(J379&amp;"")="","",IF(AND(ISNUMBER(FIND(" ",TRIM(J379&amp;""))),ISNUMBER(MATCH(LEFT(TRIM(J379&amp;""),FIND(" ",TRIM(J379&amp;""))-1),설정_코드표!$J$2:$J$101,0)),ISNUMBER(MATCH(TRIM(RIGHT(SUBSTITUTE(TRIM(J379&amp;"")," ",REPT(" ",60)),60)),설정_코드표!$F$2:$F$101,0))),INDEX(설정_코드표!$K$2:$K$101,MATCH(LEFT(TRIM(J379&amp;""),FIND(" ",TRIM(J379&amp;""))-1),설정_코드표!$J$2:$J$101,0))&amp;" "&amp;INDEX(설정_코드표!$G$2:$G$101,MATCH(TRIM(RIGHT(SUBSTITUTE(TRIM(J379&amp;"")," ",REPT(" ",60)),60)),설정_코드표!$F$2:$F$101,0)),"⚠"&amp;TRIM(J379&amp;""))),"⚠"&amp;TRIM(J379&amp;""))</f>
        <v/>
      </c>
      <c r="S379" s="11">
        <f>IF(K379="","",IFERROR(IF(AND(ROUND((VALUE(K379&amp;"")-INT(VALUE(K379&amp;"")))*100,0)&gt;=1,ROUND((VALUE(K379&amp;"")-INT(VALUE(K379&amp;"")))*100,0)&lt;=12,INT(VALUE(K379&amp;""))&gt;=1900),DATE(INT(VALUE(K379&amp;"")),ROUND((VALUE(K379&amp;"")-INT(VALUE(K379&amp;"")))*100,0),1),K379&amp;""),K379&amp;""))</f>
        <v/>
      </c>
      <c r="T379" s="10">
        <f>COUNTIF(M379:R379,"⚠*")</f>
        <v/>
      </c>
    </row>
    <row r="380"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M380" s="10">
        <f>IFERROR(IF(TRIM(E380&amp;"")="","",IF(AND(ISNUMBER(FIND(" ",TRIM(E380&amp;""))),ISNUMBER(MATCH(LEFT(TRIM(E380&amp;""),FIND(" ",TRIM(E380&amp;""))-1),설정_코드표!$J$2:$J$101,0)),ISNUMBER(MATCH(TRIM(RIGHT(SUBSTITUTE(TRIM(E380&amp;"")," ",REPT(" ",60)),60)),설정_코드표!$F$2:$F$101,0))),INDEX(설정_코드표!$K$2:$K$101,MATCH(LEFT(TRIM(E380&amp;""),FIND(" ",TRIM(E380&amp;""))-1),설정_코드표!$J$2:$J$101,0))&amp;" "&amp;INDEX(설정_코드표!$G$2:$G$101,MATCH(TRIM(RIGHT(SUBSTITUTE(TRIM(E380&amp;"")," ",REPT(" ",60)),60)),설정_코드표!$F$2:$F$101,0)),"⚠"&amp;TRIM(E380&amp;""))),"⚠"&amp;TRIM(E380&amp;""))</f>
        <v/>
      </c>
      <c r="N380" s="10">
        <f>IFERROR(IF(TRIM(F380&amp;"")="","",IF(AND(ISNUMBER(FIND(" ",TRIM(F380&amp;""))),ISNUMBER(MATCH(LEFT(TRIM(F380&amp;""),FIND(" ",TRIM(F380&amp;""))-1),설정_코드표!$J$2:$J$101,0)),ISNUMBER(MATCH(TRIM(RIGHT(SUBSTITUTE(TRIM(F380&amp;"")," ",REPT(" ",60)),60)),설정_코드표!$F$2:$F$101,0))),INDEX(설정_코드표!$K$2:$K$101,MATCH(LEFT(TRIM(F380&amp;""),FIND(" ",TRIM(F380&amp;""))-1),설정_코드표!$J$2:$J$101,0))&amp;" "&amp;INDEX(설정_코드표!$G$2:$G$101,MATCH(TRIM(RIGHT(SUBSTITUTE(TRIM(F380&amp;"")," ",REPT(" ",60)),60)),설정_코드표!$F$2:$F$101,0)),"⚠"&amp;TRIM(F380&amp;""))),"⚠"&amp;TRIM(F380&amp;""))</f>
        <v/>
      </c>
      <c r="O380" s="10">
        <f>IFERROR(IF(TRIM(G380&amp;"")="","",IF(AND(ISNUMBER(FIND(" ",TRIM(G380&amp;""))),ISNUMBER(MATCH(LEFT(TRIM(G380&amp;""),FIND(" ",TRIM(G380&amp;""))-1),설정_코드표!$J$2:$J$101,0)),ISNUMBER(MATCH(TRIM(RIGHT(SUBSTITUTE(TRIM(G380&amp;"")," ",REPT(" ",60)),60)),설정_코드표!$F$2:$F$101,0))),INDEX(설정_코드표!$K$2:$K$101,MATCH(LEFT(TRIM(G380&amp;""),FIND(" ",TRIM(G380&amp;""))-1),설정_코드표!$J$2:$J$101,0))&amp;" "&amp;INDEX(설정_코드표!$G$2:$G$101,MATCH(TRIM(RIGHT(SUBSTITUTE(TRIM(G380&amp;"")," ",REPT(" ",60)),60)),설정_코드표!$F$2:$F$101,0)),"⚠"&amp;TRIM(G380&amp;""))),"⚠"&amp;TRIM(G380&amp;""))</f>
        <v/>
      </c>
      <c r="P380" s="10">
        <f>IFERROR(IF(TRIM(H380&amp;"")="","",IF(AND(ISNUMBER(FIND(" ",TRIM(H380&amp;""))),ISNUMBER(MATCH(LEFT(TRIM(H380&amp;""),FIND(" ",TRIM(H380&amp;""))-1),설정_코드표!$J$2:$J$101,0)),ISNUMBER(MATCH(TRIM(RIGHT(SUBSTITUTE(TRIM(H380&amp;"")," ",REPT(" ",60)),60)),설정_코드표!$F$2:$F$101,0))),INDEX(설정_코드표!$K$2:$K$101,MATCH(LEFT(TRIM(H380&amp;""),FIND(" ",TRIM(H380&amp;""))-1),설정_코드표!$J$2:$J$101,0))&amp;" "&amp;INDEX(설정_코드표!$G$2:$G$101,MATCH(TRIM(RIGHT(SUBSTITUTE(TRIM(H380&amp;"")," ",REPT(" ",60)),60)),설정_코드표!$F$2:$F$101,0)),"⚠"&amp;TRIM(H380&amp;""))),"⚠"&amp;TRIM(H380&amp;""))</f>
        <v/>
      </c>
      <c r="Q380" s="10">
        <f>IFERROR(IF(TRIM(I380&amp;"")="","",IF(AND(ISNUMBER(FIND(" ",TRIM(I380&amp;""))),ISNUMBER(MATCH(LEFT(TRIM(I380&amp;""),FIND(" ",TRIM(I380&amp;""))-1),설정_코드표!$J$2:$J$101,0)),ISNUMBER(MATCH(TRIM(RIGHT(SUBSTITUTE(TRIM(I380&amp;"")," ",REPT(" ",60)),60)),설정_코드표!$F$2:$F$101,0))),INDEX(설정_코드표!$K$2:$K$101,MATCH(LEFT(TRIM(I380&amp;""),FIND(" ",TRIM(I380&amp;""))-1),설정_코드표!$J$2:$J$101,0))&amp;" "&amp;INDEX(설정_코드표!$G$2:$G$101,MATCH(TRIM(RIGHT(SUBSTITUTE(TRIM(I380&amp;"")," ",REPT(" ",60)),60)),설정_코드표!$F$2:$F$101,0)),"⚠"&amp;TRIM(I380&amp;""))),"⚠"&amp;TRIM(I380&amp;""))</f>
        <v/>
      </c>
      <c r="R380" s="10">
        <f>IFERROR(IF(TRIM(J380&amp;"")="","",IF(AND(ISNUMBER(FIND(" ",TRIM(J380&amp;""))),ISNUMBER(MATCH(LEFT(TRIM(J380&amp;""),FIND(" ",TRIM(J380&amp;""))-1),설정_코드표!$J$2:$J$101,0)),ISNUMBER(MATCH(TRIM(RIGHT(SUBSTITUTE(TRIM(J380&amp;"")," ",REPT(" ",60)),60)),설정_코드표!$F$2:$F$101,0))),INDEX(설정_코드표!$K$2:$K$101,MATCH(LEFT(TRIM(J380&amp;""),FIND(" ",TRIM(J380&amp;""))-1),설정_코드표!$J$2:$J$101,0))&amp;" "&amp;INDEX(설정_코드표!$G$2:$G$101,MATCH(TRIM(RIGHT(SUBSTITUTE(TRIM(J380&amp;"")," ",REPT(" ",60)),60)),설정_코드표!$F$2:$F$101,0)),"⚠"&amp;TRIM(J380&amp;""))),"⚠"&amp;TRIM(J380&amp;""))</f>
        <v/>
      </c>
      <c r="S380" s="11">
        <f>IF(K380="","",IFERROR(IF(AND(ROUND((VALUE(K380&amp;"")-INT(VALUE(K380&amp;"")))*100,0)&gt;=1,ROUND((VALUE(K380&amp;"")-INT(VALUE(K380&amp;"")))*100,0)&lt;=12,INT(VALUE(K380&amp;""))&gt;=1900),DATE(INT(VALUE(K380&amp;"")),ROUND((VALUE(K380&amp;"")-INT(VALUE(K380&amp;"")))*100,0),1),K380&amp;""),K380&amp;""))</f>
        <v/>
      </c>
      <c r="T380" s="10">
        <f>COUNTIF(M380:R380,"⚠*")</f>
        <v/>
      </c>
    </row>
    <row r="381"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M381" s="10">
        <f>IFERROR(IF(TRIM(E381&amp;"")="","",IF(AND(ISNUMBER(FIND(" ",TRIM(E381&amp;""))),ISNUMBER(MATCH(LEFT(TRIM(E381&amp;""),FIND(" ",TRIM(E381&amp;""))-1),설정_코드표!$J$2:$J$101,0)),ISNUMBER(MATCH(TRIM(RIGHT(SUBSTITUTE(TRIM(E381&amp;"")," ",REPT(" ",60)),60)),설정_코드표!$F$2:$F$101,0))),INDEX(설정_코드표!$K$2:$K$101,MATCH(LEFT(TRIM(E381&amp;""),FIND(" ",TRIM(E381&amp;""))-1),설정_코드표!$J$2:$J$101,0))&amp;" "&amp;INDEX(설정_코드표!$G$2:$G$101,MATCH(TRIM(RIGHT(SUBSTITUTE(TRIM(E381&amp;"")," ",REPT(" ",60)),60)),설정_코드표!$F$2:$F$101,0)),"⚠"&amp;TRIM(E381&amp;""))),"⚠"&amp;TRIM(E381&amp;""))</f>
        <v/>
      </c>
      <c r="N381" s="10">
        <f>IFERROR(IF(TRIM(F381&amp;"")="","",IF(AND(ISNUMBER(FIND(" ",TRIM(F381&amp;""))),ISNUMBER(MATCH(LEFT(TRIM(F381&amp;""),FIND(" ",TRIM(F381&amp;""))-1),설정_코드표!$J$2:$J$101,0)),ISNUMBER(MATCH(TRIM(RIGHT(SUBSTITUTE(TRIM(F381&amp;"")," ",REPT(" ",60)),60)),설정_코드표!$F$2:$F$101,0))),INDEX(설정_코드표!$K$2:$K$101,MATCH(LEFT(TRIM(F381&amp;""),FIND(" ",TRIM(F381&amp;""))-1),설정_코드표!$J$2:$J$101,0))&amp;" "&amp;INDEX(설정_코드표!$G$2:$G$101,MATCH(TRIM(RIGHT(SUBSTITUTE(TRIM(F381&amp;"")," ",REPT(" ",60)),60)),설정_코드표!$F$2:$F$101,0)),"⚠"&amp;TRIM(F381&amp;""))),"⚠"&amp;TRIM(F381&amp;""))</f>
        <v/>
      </c>
      <c r="O381" s="10">
        <f>IFERROR(IF(TRIM(G381&amp;"")="","",IF(AND(ISNUMBER(FIND(" ",TRIM(G381&amp;""))),ISNUMBER(MATCH(LEFT(TRIM(G381&amp;""),FIND(" ",TRIM(G381&amp;""))-1),설정_코드표!$J$2:$J$101,0)),ISNUMBER(MATCH(TRIM(RIGHT(SUBSTITUTE(TRIM(G381&amp;"")," ",REPT(" ",60)),60)),설정_코드표!$F$2:$F$101,0))),INDEX(설정_코드표!$K$2:$K$101,MATCH(LEFT(TRIM(G381&amp;""),FIND(" ",TRIM(G381&amp;""))-1),설정_코드표!$J$2:$J$101,0))&amp;" "&amp;INDEX(설정_코드표!$G$2:$G$101,MATCH(TRIM(RIGHT(SUBSTITUTE(TRIM(G381&amp;"")," ",REPT(" ",60)),60)),설정_코드표!$F$2:$F$101,0)),"⚠"&amp;TRIM(G381&amp;""))),"⚠"&amp;TRIM(G381&amp;""))</f>
        <v/>
      </c>
      <c r="P381" s="10">
        <f>IFERROR(IF(TRIM(H381&amp;"")="","",IF(AND(ISNUMBER(FIND(" ",TRIM(H381&amp;""))),ISNUMBER(MATCH(LEFT(TRIM(H381&amp;""),FIND(" ",TRIM(H381&amp;""))-1),설정_코드표!$J$2:$J$101,0)),ISNUMBER(MATCH(TRIM(RIGHT(SUBSTITUTE(TRIM(H381&amp;"")," ",REPT(" ",60)),60)),설정_코드표!$F$2:$F$101,0))),INDEX(설정_코드표!$K$2:$K$101,MATCH(LEFT(TRIM(H381&amp;""),FIND(" ",TRIM(H381&amp;""))-1),설정_코드표!$J$2:$J$101,0))&amp;" "&amp;INDEX(설정_코드표!$G$2:$G$101,MATCH(TRIM(RIGHT(SUBSTITUTE(TRIM(H381&amp;"")," ",REPT(" ",60)),60)),설정_코드표!$F$2:$F$101,0)),"⚠"&amp;TRIM(H381&amp;""))),"⚠"&amp;TRIM(H381&amp;""))</f>
        <v/>
      </c>
      <c r="Q381" s="10">
        <f>IFERROR(IF(TRIM(I381&amp;"")="","",IF(AND(ISNUMBER(FIND(" ",TRIM(I381&amp;""))),ISNUMBER(MATCH(LEFT(TRIM(I381&amp;""),FIND(" ",TRIM(I381&amp;""))-1),설정_코드표!$J$2:$J$101,0)),ISNUMBER(MATCH(TRIM(RIGHT(SUBSTITUTE(TRIM(I381&amp;"")," ",REPT(" ",60)),60)),설정_코드표!$F$2:$F$101,0))),INDEX(설정_코드표!$K$2:$K$101,MATCH(LEFT(TRIM(I381&amp;""),FIND(" ",TRIM(I381&amp;""))-1),설정_코드표!$J$2:$J$101,0))&amp;" "&amp;INDEX(설정_코드표!$G$2:$G$101,MATCH(TRIM(RIGHT(SUBSTITUTE(TRIM(I381&amp;"")," ",REPT(" ",60)),60)),설정_코드표!$F$2:$F$101,0)),"⚠"&amp;TRIM(I381&amp;""))),"⚠"&amp;TRIM(I381&amp;""))</f>
        <v/>
      </c>
      <c r="R381" s="10">
        <f>IFERROR(IF(TRIM(J381&amp;"")="","",IF(AND(ISNUMBER(FIND(" ",TRIM(J381&amp;""))),ISNUMBER(MATCH(LEFT(TRIM(J381&amp;""),FIND(" ",TRIM(J381&amp;""))-1),설정_코드표!$J$2:$J$101,0)),ISNUMBER(MATCH(TRIM(RIGHT(SUBSTITUTE(TRIM(J381&amp;"")," ",REPT(" ",60)),60)),설정_코드표!$F$2:$F$101,0))),INDEX(설정_코드표!$K$2:$K$101,MATCH(LEFT(TRIM(J381&amp;""),FIND(" ",TRIM(J381&amp;""))-1),설정_코드표!$J$2:$J$101,0))&amp;" "&amp;INDEX(설정_코드표!$G$2:$G$101,MATCH(TRIM(RIGHT(SUBSTITUTE(TRIM(J381&amp;"")," ",REPT(" ",60)),60)),설정_코드표!$F$2:$F$101,0)),"⚠"&amp;TRIM(J381&amp;""))),"⚠"&amp;TRIM(J381&amp;""))</f>
        <v/>
      </c>
      <c r="S381" s="11">
        <f>IF(K381="","",IFERROR(IF(AND(ROUND((VALUE(K381&amp;"")-INT(VALUE(K381&amp;"")))*100,0)&gt;=1,ROUND((VALUE(K381&amp;"")-INT(VALUE(K381&amp;"")))*100,0)&lt;=12,INT(VALUE(K381&amp;""))&gt;=1900),DATE(INT(VALUE(K381&amp;"")),ROUND((VALUE(K381&amp;"")-INT(VALUE(K381&amp;"")))*100,0),1),K381&amp;""),K381&amp;""))</f>
        <v/>
      </c>
      <c r="T381" s="10">
        <f>COUNTIF(M381:R381,"⚠*")</f>
        <v/>
      </c>
    </row>
    <row r="382"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M382" s="10">
        <f>IFERROR(IF(TRIM(E382&amp;"")="","",IF(AND(ISNUMBER(FIND(" ",TRIM(E382&amp;""))),ISNUMBER(MATCH(LEFT(TRIM(E382&amp;""),FIND(" ",TRIM(E382&amp;""))-1),설정_코드표!$J$2:$J$101,0)),ISNUMBER(MATCH(TRIM(RIGHT(SUBSTITUTE(TRIM(E382&amp;"")," ",REPT(" ",60)),60)),설정_코드표!$F$2:$F$101,0))),INDEX(설정_코드표!$K$2:$K$101,MATCH(LEFT(TRIM(E382&amp;""),FIND(" ",TRIM(E382&amp;""))-1),설정_코드표!$J$2:$J$101,0))&amp;" "&amp;INDEX(설정_코드표!$G$2:$G$101,MATCH(TRIM(RIGHT(SUBSTITUTE(TRIM(E382&amp;"")," ",REPT(" ",60)),60)),설정_코드표!$F$2:$F$101,0)),"⚠"&amp;TRIM(E382&amp;""))),"⚠"&amp;TRIM(E382&amp;""))</f>
        <v/>
      </c>
      <c r="N382" s="10">
        <f>IFERROR(IF(TRIM(F382&amp;"")="","",IF(AND(ISNUMBER(FIND(" ",TRIM(F382&amp;""))),ISNUMBER(MATCH(LEFT(TRIM(F382&amp;""),FIND(" ",TRIM(F382&amp;""))-1),설정_코드표!$J$2:$J$101,0)),ISNUMBER(MATCH(TRIM(RIGHT(SUBSTITUTE(TRIM(F382&amp;"")," ",REPT(" ",60)),60)),설정_코드표!$F$2:$F$101,0))),INDEX(설정_코드표!$K$2:$K$101,MATCH(LEFT(TRIM(F382&amp;""),FIND(" ",TRIM(F382&amp;""))-1),설정_코드표!$J$2:$J$101,0))&amp;" "&amp;INDEX(설정_코드표!$G$2:$G$101,MATCH(TRIM(RIGHT(SUBSTITUTE(TRIM(F382&amp;"")," ",REPT(" ",60)),60)),설정_코드표!$F$2:$F$101,0)),"⚠"&amp;TRIM(F382&amp;""))),"⚠"&amp;TRIM(F382&amp;""))</f>
        <v/>
      </c>
      <c r="O382" s="10">
        <f>IFERROR(IF(TRIM(G382&amp;"")="","",IF(AND(ISNUMBER(FIND(" ",TRIM(G382&amp;""))),ISNUMBER(MATCH(LEFT(TRIM(G382&amp;""),FIND(" ",TRIM(G382&amp;""))-1),설정_코드표!$J$2:$J$101,0)),ISNUMBER(MATCH(TRIM(RIGHT(SUBSTITUTE(TRIM(G382&amp;"")," ",REPT(" ",60)),60)),설정_코드표!$F$2:$F$101,0))),INDEX(설정_코드표!$K$2:$K$101,MATCH(LEFT(TRIM(G382&amp;""),FIND(" ",TRIM(G382&amp;""))-1),설정_코드표!$J$2:$J$101,0))&amp;" "&amp;INDEX(설정_코드표!$G$2:$G$101,MATCH(TRIM(RIGHT(SUBSTITUTE(TRIM(G382&amp;"")," ",REPT(" ",60)),60)),설정_코드표!$F$2:$F$101,0)),"⚠"&amp;TRIM(G382&amp;""))),"⚠"&amp;TRIM(G382&amp;""))</f>
        <v/>
      </c>
      <c r="P382" s="10">
        <f>IFERROR(IF(TRIM(H382&amp;"")="","",IF(AND(ISNUMBER(FIND(" ",TRIM(H382&amp;""))),ISNUMBER(MATCH(LEFT(TRIM(H382&amp;""),FIND(" ",TRIM(H382&amp;""))-1),설정_코드표!$J$2:$J$101,0)),ISNUMBER(MATCH(TRIM(RIGHT(SUBSTITUTE(TRIM(H382&amp;"")," ",REPT(" ",60)),60)),설정_코드표!$F$2:$F$101,0))),INDEX(설정_코드표!$K$2:$K$101,MATCH(LEFT(TRIM(H382&amp;""),FIND(" ",TRIM(H382&amp;""))-1),설정_코드표!$J$2:$J$101,0))&amp;" "&amp;INDEX(설정_코드표!$G$2:$G$101,MATCH(TRIM(RIGHT(SUBSTITUTE(TRIM(H382&amp;"")," ",REPT(" ",60)),60)),설정_코드표!$F$2:$F$101,0)),"⚠"&amp;TRIM(H382&amp;""))),"⚠"&amp;TRIM(H382&amp;""))</f>
        <v/>
      </c>
      <c r="Q382" s="10">
        <f>IFERROR(IF(TRIM(I382&amp;"")="","",IF(AND(ISNUMBER(FIND(" ",TRIM(I382&amp;""))),ISNUMBER(MATCH(LEFT(TRIM(I382&amp;""),FIND(" ",TRIM(I382&amp;""))-1),설정_코드표!$J$2:$J$101,0)),ISNUMBER(MATCH(TRIM(RIGHT(SUBSTITUTE(TRIM(I382&amp;"")," ",REPT(" ",60)),60)),설정_코드표!$F$2:$F$101,0))),INDEX(설정_코드표!$K$2:$K$101,MATCH(LEFT(TRIM(I382&amp;""),FIND(" ",TRIM(I382&amp;""))-1),설정_코드표!$J$2:$J$101,0))&amp;" "&amp;INDEX(설정_코드표!$G$2:$G$101,MATCH(TRIM(RIGHT(SUBSTITUTE(TRIM(I382&amp;"")," ",REPT(" ",60)),60)),설정_코드표!$F$2:$F$101,0)),"⚠"&amp;TRIM(I382&amp;""))),"⚠"&amp;TRIM(I382&amp;""))</f>
        <v/>
      </c>
      <c r="R382" s="10">
        <f>IFERROR(IF(TRIM(J382&amp;"")="","",IF(AND(ISNUMBER(FIND(" ",TRIM(J382&amp;""))),ISNUMBER(MATCH(LEFT(TRIM(J382&amp;""),FIND(" ",TRIM(J382&amp;""))-1),설정_코드표!$J$2:$J$101,0)),ISNUMBER(MATCH(TRIM(RIGHT(SUBSTITUTE(TRIM(J382&amp;"")," ",REPT(" ",60)),60)),설정_코드표!$F$2:$F$101,0))),INDEX(설정_코드표!$K$2:$K$101,MATCH(LEFT(TRIM(J382&amp;""),FIND(" ",TRIM(J382&amp;""))-1),설정_코드표!$J$2:$J$101,0))&amp;" "&amp;INDEX(설정_코드표!$G$2:$G$101,MATCH(TRIM(RIGHT(SUBSTITUTE(TRIM(J382&amp;"")," ",REPT(" ",60)),60)),설정_코드표!$F$2:$F$101,0)),"⚠"&amp;TRIM(J382&amp;""))),"⚠"&amp;TRIM(J382&amp;""))</f>
        <v/>
      </c>
      <c r="S382" s="11">
        <f>IF(K382="","",IFERROR(IF(AND(ROUND((VALUE(K382&amp;"")-INT(VALUE(K382&amp;"")))*100,0)&gt;=1,ROUND((VALUE(K382&amp;"")-INT(VALUE(K382&amp;"")))*100,0)&lt;=12,INT(VALUE(K382&amp;""))&gt;=1900),DATE(INT(VALUE(K382&amp;"")),ROUND((VALUE(K382&amp;"")-INT(VALUE(K382&amp;"")))*100,0),1),K382&amp;""),K382&amp;""))</f>
        <v/>
      </c>
      <c r="T382" s="10">
        <f>COUNTIF(M382:R382,"⚠*")</f>
        <v/>
      </c>
    </row>
    <row r="383"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M383" s="10">
        <f>IFERROR(IF(TRIM(E383&amp;"")="","",IF(AND(ISNUMBER(FIND(" ",TRIM(E383&amp;""))),ISNUMBER(MATCH(LEFT(TRIM(E383&amp;""),FIND(" ",TRIM(E383&amp;""))-1),설정_코드표!$J$2:$J$101,0)),ISNUMBER(MATCH(TRIM(RIGHT(SUBSTITUTE(TRIM(E383&amp;"")," ",REPT(" ",60)),60)),설정_코드표!$F$2:$F$101,0))),INDEX(설정_코드표!$K$2:$K$101,MATCH(LEFT(TRIM(E383&amp;""),FIND(" ",TRIM(E383&amp;""))-1),설정_코드표!$J$2:$J$101,0))&amp;" "&amp;INDEX(설정_코드표!$G$2:$G$101,MATCH(TRIM(RIGHT(SUBSTITUTE(TRIM(E383&amp;"")," ",REPT(" ",60)),60)),설정_코드표!$F$2:$F$101,0)),"⚠"&amp;TRIM(E383&amp;""))),"⚠"&amp;TRIM(E383&amp;""))</f>
        <v/>
      </c>
      <c r="N383" s="10">
        <f>IFERROR(IF(TRIM(F383&amp;"")="","",IF(AND(ISNUMBER(FIND(" ",TRIM(F383&amp;""))),ISNUMBER(MATCH(LEFT(TRIM(F383&amp;""),FIND(" ",TRIM(F383&amp;""))-1),설정_코드표!$J$2:$J$101,0)),ISNUMBER(MATCH(TRIM(RIGHT(SUBSTITUTE(TRIM(F383&amp;"")," ",REPT(" ",60)),60)),설정_코드표!$F$2:$F$101,0))),INDEX(설정_코드표!$K$2:$K$101,MATCH(LEFT(TRIM(F383&amp;""),FIND(" ",TRIM(F383&amp;""))-1),설정_코드표!$J$2:$J$101,0))&amp;" "&amp;INDEX(설정_코드표!$G$2:$G$101,MATCH(TRIM(RIGHT(SUBSTITUTE(TRIM(F383&amp;"")," ",REPT(" ",60)),60)),설정_코드표!$F$2:$F$101,0)),"⚠"&amp;TRIM(F383&amp;""))),"⚠"&amp;TRIM(F383&amp;""))</f>
        <v/>
      </c>
      <c r="O383" s="10">
        <f>IFERROR(IF(TRIM(G383&amp;"")="","",IF(AND(ISNUMBER(FIND(" ",TRIM(G383&amp;""))),ISNUMBER(MATCH(LEFT(TRIM(G383&amp;""),FIND(" ",TRIM(G383&amp;""))-1),설정_코드표!$J$2:$J$101,0)),ISNUMBER(MATCH(TRIM(RIGHT(SUBSTITUTE(TRIM(G383&amp;"")," ",REPT(" ",60)),60)),설정_코드표!$F$2:$F$101,0))),INDEX(설정_코드표!$K$2:$K$101,MATCH(LEFT(TRIM(G383&amp;""),FIND(" ",TRIM(G383&amp;""))-1),설정_코드표!$J$2:$J$101,0))&amp;" "&amp;INDEX(설정_코드표!$G$2:$G$101,MATCH(TRIM(RIGHT(SUBSTITUTE(TRIM(G383&amp;"")," ",REPT(" ",60)),60)),설정_코드표!$F$2:$F$101,0)),"⚠"&amp;TRIM(G383&amp;""))),"⚠"&amp;TRIM(G383&amp;""))</f>
        <v/>
      </c>
      <c r="P383" s="10">
        <f>IFERROR(IF(TRIM(H383&amp;"")="","",IF(AND(ISNUMBER(FIND(" ",TRIM(H383&amp;""))),ISNUMBER(MATCH(LEFT(TRIM(H383&amp;""),FIND(" ",TRIM(H383&amp;""))-1),설정_코드표!$J$2:$J$101,0)),ISNUMBER(MATCH(TRIM(RIGHT(SUBSTITUTE(TRIM(H383&amp;"")," ",REPT(" ",60)),60)),설정_코드표!$F$2:$F$101,0))),INDEX(설정_코드표!$K$2:$K$101,MATCH(LEFT(TRIM(H383&amp;""),FIND(" ",TRIM(H383&amp;""))-1),설정_코드표!$J$2:$J$101,0))&amp;" "&amp;INDEX(설정_코드표!$G$2:$G$101,MATCH(TRIM(RIGHT(SUBSTITUTE(TRIM(H383&amp;"")," ",REPT(" ",60)),60)),설정_코드표!$F$2:$F$101,0)),"⚠"&amp;TRIM(H383&amp;""))),"⚠"&amp;TRIM(H383&amp;""))</f>
        <v/>
      </c>
      <c r="Q383" s="10">
        <f>IFERROR(IF(TRIM(I383&amp;"")="","",IF(AND(ISNUMBER(FIND(" ",TRIM(I383&amp;""))),ISNUMBER(MATCH(LEFT(TRIM(I383&amp;""),FIND(" ",TRIM(I383&amp;""))-1),설정_코드표!$J$2:$J$101,0)),ISNUMBER(MATCH(TRIM(RIGHT(SUBSTITUTE(TRIM(I383&amp;"")," ",REPT(" ",60)),60)),설정_코드표!$F$2:$F$101,0))),INDEX(설정_코드표!$K$2:$K$101,MATCH(LEFT(TRIM(I383&amp;""),FIND(" ",TRIM(I383&amp;""))-1),설정_코드표!$J$2:$J$101,0))&amp;" "&amp;INDEX(설정_코드표!$G$2:$G$101,MATCH(TRIM(RIGHT(SUBSTITUTE(TRIM(I383&amp;"")," ",REPT(" ",60)),60)),설정_코드표!$F$2:$F$101,0)),"⚠"&amp;TRIM(I383&amp;""))),"⚠"&amp;TRIM(I383&amp;""))</f>
        <v/>
      </c>
      <c r="R383" s="10">
        <f>IFERROR(IF(TRIM(J383&amp;"")="","",IF(AND(ISNUMBER(FIND(" ",TRIM(J383&amp;""))),ISNUMBER(MATCH(LEFT(TRIM(J383&amp;""),FIND(" ",TRIM(J383&amp;""))-1),설정_코드표!$J$2:$J$101,0)),ISNUMBER(MATCH(TRIM(RIGHT(SUBSTITUTE(TRIM(J383&amp;"")," ",REPT(" ",60)),60)),설정_코드표!$F$2:$F$101,0))),INDEX(설정_코드표!$K$2:$K$101,MATCH(LEFT(TRIM(J383&amp;""),FIND(" ",TRIM(J383&amp;""))-1),설정_코드표!$J$2:$J$101,0))&amp;" "&amp;INDEX(설정_코드표!$G$2:$G$101,MATCH(TRIM(RIGHT(SUBSTITUTE(TRIM(J383&amp;"")," ",REPT(" ",60)),60)),설정_코드표!$F$2:$F$101,0)),"⚠"&amp;TRIM(J383&amp;""))),"⚠"&amp;TRIM(J383&amp;""))</f>
        <v/>
      </c>
      <c r="S383" s="11">
        <f>IF(K383="","",IFERROR(IF(AND(ROUND((VALUE(K383&amp;"")-INT(VALUE(K383&amp;"")))*100,0)&gt;=1,ROUND((VALUE(K383&amp;"")-INT(VALUE(K383&amp;"")))*100,0)&lt;=12,INT(VALUE(K383&amp;""))&gt;=1900),DATE(INT(VALUE(K383&amp;"")),ROUND((VALUE(K383&amp;"")-INT(VALUE(K383&amp;"")))*100,0),1),K383&amp;""),K383&amp;""))</f>
        <v/>
      </c>
      <c r="T383" s="10">
        <f>COUNTIF(M383:R383,"⚠*")</f>
        <v/>
      </c>
    </row>
    <row r="384"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M384" s="10">
        <f>IFERROR(IF(TRIM(E384&amp;"")="","",IF(AND(ISNUMBER(FIND(" ",TRIM(E384&amp;""))),ISNUMBER(MATCH(LEFT(TRIM(E384&amp;""),FIND(" ",TRIM(E384&amp;""))-1),설정_코드표!$J$2:$J$101,0)),ISNUMBER(MATCH(TRIM(RIGHT(SUBSTITUTE(TRIM(E384&amp;"")," ",REPT(" ",60)),60)),설정_코드표!$F$2:$F$101,0))),INDEX(설정_코드표!$K$2:$K$101,MATCH(LEFT(TRIM(E384&amp;""),FIND(" ",TRIM(E384&amp;""))-1),설정_코드표!$J$2:$J$101,0))&amp;" "&amp;INDEX(설정_코드표!$G$2:$G$101,MATCH(TRIM(RIGHT(SUBSTITUTE(TRIM(E384&amp;"")," ",REPT(" ",60)),60)),설정_코드표!$F$2:$F$101,0)),"⚠"&amp;TRIM(E384&amp;""))),"⚠"&amp;TRIM(E384&amp;""))</f>
        <v/>
      </c>
      <c r="N384" s="10">
        <f>IFERROR(IF(TRIM(F384&amp;"")="","",IF(AND(ISNUMBER(FIND(" ",TRIM(F384&amp;""))),ISNUMBER(MATCH(LEFT(TRIM(F384&amp;""),FIND(" ",TRIM(F384&amp;""))-1),설정_코드표!$J$2:$J$101,0)),ISNUMBER(MATCH(TRIM(RIGHT(SUBSTITUTE(TRIM(F384&amp;"")," ",REPT(" ",60)),60)),설정_코드표!$F$2:$F$101,0))),INDEX(설정_코드표!$K$2:$K$101,MATCH(LEFT(TRIM(F384&amp;""),FIND(" ",TRIM(F384&amp;""))-1),설정_코드표!$J$2:$J$101,0))&amp;" "&amp;INDEX(설정_코드표!$G$2:$G$101,MATCH(TRIM(RIGHT(SUBSTITUTE(TRIM(F384&amp;"")," ",REPT(" ",60)),60)),설정_코드표!$F$2:$F$101,0)),"⚠"&amp;TRIM(F384&amp;""))),"⚠"&amp;TRIM(F384&amp;""))</f>
        <v/>
      </c>
      <c r="O384" s="10">
        <f>IFERROR(IF(TRIM(G384&amp;"")="","",IF(AND(ISNUMBER(FIND(" ",TRIM(G384&amp;""))),ISNUMBER(MATCH(LEFT(TRIM(G384&amp;""),FIND(" ",TRIM(G384&amp;""))-1),설정_코드표!$J$2:$J$101,0)),ISNUMBER(MATCH(TRIM(RIGHT(SUBSTITUTE(TRIM(G384&amp;"")," ",REPT(" ",60)),60)),설정_코드표!$F$2:$F$101,0))),INDEX(설정_코드표!$K$2:$K$101,MATCH(LEFT(TRIM(G384&amp;""),FIND(" ",TRIM(G384&amp;""))-1),설정_코드표!$J$2:$J$101,0))&amp;" "&amp;INDEX(설정_코드표!$G$2:$G$101,MATCH(TRIM(RIGHT(SUBSTITUTE(TRIM(G384&amp;"")," ",REPT(" ",60)),60)),설정_코드표!$F$2:$F$101,0)),"⚠"&amp;TRIM(G384&amp;""))),"⚠"&amp;TRIM(G384&amp;""))</f>
        <v/>
      </c>
      <c r="P384" s="10">
        <f>IFERROR(IF(TRIM(H384&amp;"")="","",IF(AND(ISNUMBER(FIND(" ",TRIM(H384&amp;""))),ISNUMBER(MATCH(LEFT(TRIM(H384&amp;""),FIND(" ",TRIM(H384&amp;""))-1),설정_코드표!$J$2:$J$101,0)),ISNUMBER(MATCH(TRIM(RIGHT(SUBSTITUTE(TRIM(H384&amp;"")," ",REPT(" ",60)),60)),설정_코드표!$F$2:$F$101,0))),INDEX(설정_코드표!$K$2:$K$101,MATCH(LEFT(TRIM(H384&amp;""),FIND(" ",TRIM(H384&amp;""))-1),설정_코드표!$J$2:$J$101,0))&amp;" "&amp;INDEX(설정_코드표!$G$2:$G$101,MATCH(TRIM(RIGHT(SUBSTITUTE(TRIM(H384&amp;"")," ",REPT(" ",60)),60)),설정_코드표!$F$2:$F$101,0)),"⚠"&amp;TRIM(H384&amp;""))),"⚠"&amp;TRIM(H384&amp;""))</f>
        <v/>
      </c>
      <c r="Q384" s="10">
        <f>IFERROR(IF(TRIM(I384&amp;"")="","",IF(AND(ISNUMBER(FIND(" ",TRIM(I384&amp;""))),ISNUMBER(MATCH(LEFT(TRIM(I384&amp;""),FIND(" ",TRIM(I384&amp;""))-1),설정_코드표!$J$2:$J$101,0)),ISNUMBER(MATCH(TRIM(RIGHT(SUBSTITUTE(TRIM(I384&amp;"")," ",REPT(" ",60)),60)),설정_코드표!$F$2:$F$101,0))),INDEX(설정_코드표!$K$2:$K$101,MATCH(LEFT(TRIM(I384&amp;""),FIND(" ",TRIM(I384&amp;""))-1),설정_코드표!$J$2:$J$101,0))&amp;" "&amp;INDEX(설정_코드표!$G$2:$G$101,MATCH(TRIM(RIGHT(SUBSTITUTE(TRIM(I384&amp;"")," ",REPT(" ",60)),60)),설정_코드표!$F$2:$F$101,0)),"⚠"&amp;TRIM(I384&amp;""))),"⚠"&amp;TRIM(I384&amp;""))</f>
        <v/>
      </c>
      <c r="R384" s="10">
        <f>IFERROR(IF(TRIM(J384&amp;"")="","",IF(AND(ISNUMBER(FIND(" ",TRIM(J384&amp;""))),ISNUMBER(MATCH(LEFT(TRIM(J384&amp;""),FIND(" ",TRIM(J384&amp;""))-1),설정_코드표!$J$2:$J$101,0)),ISNUMBER(MATCH(TRIM(RIGHT(SUBSTITUTE(TRIM(J384&amp;"")," ",REPT(" ",60)),60)),설정_코드표!$F$2:$F$101,0))),INDEX(설정_코드표!$K$2:$K$101,MATCH(LEFT(TRIM(J384&amp;""),FIND(" ",TRIM(J384&amp;""))-1),설정_코드표!$J$2:$J$101,0))&amp;" "&amp;INDEX(설정_코드표!$G$2:$G$101,MATCH(TRIM(RIGHT(SUBSTITUTE(TRIM(J384&amp;"")," ",REPT(" ",60)),60)),설정_코드표!$F$2:$F$101,0)),"⚠"&amp;TRIM(J384&amp;""))),"⚠"&amp;TRIM(J384&amp;""))</f>
        <v/>
      </c>
      <c r="S384" s="11">
        <f>IF(K384="","",IFERROR(IF(AND(ROUND((VALUE(K384&amp;"")-INT(VALUE(K384&amp;"")))*100,0)&gt;=1,ROUND((VALUE(K384&amp;"")-INT(VALUE(K384&amp;"")))*100,0)&lt;=12,INT(VALUE(K384&amp;""))&gt;=1900),DATE(INT(VALUE(K384&amp;"")),ROUND((VALUE(K384&amp;"")-INT(VALUE(K384&amp;"")))*100,0),1),K384&amp;""),K384&amp;""))</f>
        <v/>
      </c>
      <c r="T384" s="10">
        <f>COUNTIF(M384:R384,"⚠*")</f>
        <v/>
      </c>
    </row>
    <row r="385"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M385" s="10">
        <f>IFERROR(IF(TRIM(E385&amp;"")="","",IF(AND(ISNUMBER(FIND(" ",TRIM(E385&amp;""))),ISNUMBER(MATCH(LEFT(TRIM(E385&amp;""),FIND(" ",TRIM(E385&amp;""))-1),설정_코드표!$J$2:$J$101,0)),ISNUMBER(MATCH(TRIM(RIGHT(SUBSTITUTE(TRIM(E385&amp;"")," ",REPT(" ",60)),60)),설정_코드표!$F$2:$F$101,0))),INDEX(설정_코드표!$K$2:$K$101,MATCH(LEFT(TRIM(E385&amp;""),FIND(" ",TRIM(E385&amp;""))-1),설정_코드표!$J$2:$J$101,0))&amp;" "&amp;INDEX(설정_코드표!$G$2:$G$101,MATCH(TRIM(RIGHT(SUBSTITUTE(TRIM(E385&amp;"")," ",REPT(" ",60)),60)),설정_코드표!$F$2:$F$101,0)),"⚠"&amp;TRIM(E385&amp;""))),"⚠"&amp;TRIM(E385&amp;""))</f>
        <v/>
      </c>
      <c r="N385" s="10">
        <f>IFERROR(IF(TRIM(F385&amp;"")="","",IF(AND(ISNUMBER(FIND(" ",TRIM(F385&amp;""))),ISNUMBER(MATCH(LEFT(TRIM(F385&amp;""),FIND(" ",TRIM(F385&amp;""))-1),설정_코드표!$J$2:$J$101,0)),ISNUMBER(MATCH(TRIM(RIGHT(SUBSTITUTE(TRIM(F385&amp;"")," ",REPT(" ",60)),60)),설정_코드표!$F$2:$F$101,0))),INDEX(설정_코드표!$K$2:$K$101,MATCH(LEFT(TRIM(F385&amp;""),FIND(" ",TRIM(F385&amp;""))-1),설정_코드표!$J$2:$J$101,0))&amp;" "&amp;INDEX(설정_코드표!$G$2:$G$101,MATCH(TRIM(RIGHT(SUBSTITUTE(TRIM(F385&amp;"")," ",REPT(" ",60)),60)),설정_코드표!$F$2:$F$101,0)),"⚠"&amp;TRIM(F385&amp;""))),"⚠"&amp;TRIM(F385&amp;""))</f>
        <v/>
      </c>
      <c r="O385" s="10">
        <f>IFERROR(IF(TRIM(G385&amp;"")="","",IF(AND(ISNUMBER(FIND(" ",TRIM(G385&amp;""))),ISNUMBER(MATCH(LEFT(TRIM(G385&amp;""),FIND(" ",TRIM(G385&amp;""))-1),설정_코드표!$J$2:$J$101,0)),ISNUMBER(MATCH(TRIM(RIGHT(SUBSTITUTE(TRIM(G385&amp;"")," ",REPT(" ",60)),60)),설정_코드표!$F$2:$F$101,0))),INDEX(설정_코드표!$K$2:$K$101,MATCH(LEFT(TRIM(G385&amp;""),FIND(" ",TRIM(G385&amp;""))-1),설정_코드표!$J$2:$J$101,0))&amp;" "&amp;INDEX(설정_코드표!$G$2:$G$101,MATCH(TRIM(RIGHT(SUBSTITUTE(TRIM(G385&amp;"")," ",REPT(" ",60)),60)),설정_코드표!$F$2:$F$101,0)),"⚠"&amp;TRIM(G385&amp;""))),"⚠"&amp;TRIM(G385&amp;""))</f>
        <v/>
      </c>
      <c r="P385" s="10">
        <f>IFERROR(IF(TRIM(H385&amp;"")="","",IF(AND(ISNUMBER(FIND(" ",TRIM(H385&amp;""))),ISNUMBER(MATCH(LEFT(TRIM(H385&amp;""),FIND(" ",TRIM(H385&amp;""))-1),설정_코드표!$J$2:$J$101,0)),ISNUMBER(MATCH(TRIM(RIGHT(SUBSTITUTE(TRIM(H385&amp;"")," ",REPT(" ",60)),60)),설정_코드표!$F$2:$F$101,0))),INDEX(설정_코드표!$K$2:$K$101,MATCH(LEFT(TRIM(H385&amp;""),FIND(" ",TRIM(H385&amp;""))-1),설정_코드표!$J$2:$J$101,0))&amp;" "&amp;INDEX(설정_코드표!$G$2:$G$101,MATCH(TRIM(RIGHT(SUBSTITUTE(TRIM(H385&amp;"")," ",REPT(" ",60)),60)),설정_코드표!$F$2:$F$101,0)),"⚠"&amp;TRIM(H385&amp;""))),"⚠"&amp;TRIM(H385&amp;""))</f>
        <v/>
      </c>
      <c r="Q385" s="10">
        <f>IFERROR(IF(TRIM(I385&amp;"")="","",IF(AND(ISNUMBER(FIND(" ",TRIM(I385&amp;""))),ISNUMBER(MATCH(LEFT(TRIM(I385&amp;""),FIND(" ",TRIM(I385&amp;""))-1),설정_코드표!$J$2:$J$101,0)),ISNUMBER(MATCH(TRIM(RIGHT(SUBSTITUTE(TRIM(I385&amp;"")," ",REPT(" ",60)),60)),설정_코드표!$F$2:$F$101,0))),INDEX(설정_코드표!$K$2:$K$101,MATCH(LEFT(TRIM(I385&amp;""),FIND(" ",TRIM(I385&amp;""))-1),설정_코드표!$J$2:$J$101,0))&amp;" "&amp;INDEX(설정_코드표!$G$2:$G$101,MATCH(TRIM(RIGHT(SUBSTITUTE(TRIM(I385&amp;"")," ",REPT(" ",60)),60)),설정_코드표!$F$2:$F$101,0)),"⚠"&amp;TRIM(I385&amp;""))),"⚠"&amp;TRIM(I385&amp;""))</f>
        <v/>
      </c>
      <c r="R385" s="10">
        <f>IFERROR(IF(TRIM(J385&amp;"")="","",IF(AND(ISNUMBER(FIND(" ",TRIM(J385&amp;""))),ISNUMBER(MATCH(LEFT(TRIM(J385&amp;""),FIND(" ",TRIM(J385&amp;""))-1),설정_코드표!$J$2:$J$101,0)),ISNUMBER(MATCH(TRIM(RIGHT(SUBSTITUTE(TRIM(J385&amp;"")," ",REPT(" ",60)),60)),설정_코드표!$F$2:$F$101,0))),INDEX(설정_코드표!$K$2:$K$101,MATCH(LEFT(TRIM(J385&amp;""),FIND(" ",TRIM(J385&amp;""))-1),설정_코드표!$J$2:$J$101,0))&amp;" "&amp;INDEX(설정_코드표!$G$2:$G$101,MATCH(TRIM(RIGHT(SUBSTITUTE(TRIM(J385&amp;"")," ",REPT(" ",60)),60)),설정_코드표!$F$2:$F$101,0)),"⚠"&amp;TRIM(J385&amp;""))),"⚠"&amp;TRIM(J385&amp;""))</f>
        <v/>
      </c>
      <c r="S385" s="11">
        <f>IF(K385="","",IFERROR(IF(AND(ROUND((VALUE(K385&amp;"")-INT(VALUE(K385&amp;"")))*100,0)&gt;=1,ROUND((VALUE(K385&amp;"")-INT(VALUE(K385&amp;"")))*100,0)&lt;=12,INT(VALUE(K385&amp;""))&gt;=1900),DATE(INT(VALUE(K385&amp;"")),ROUND((VALUE(K385&amp;"")-INT(VALUE(K385&amp;"")))*100,0),1),K385&amp;""),K385&amp;""))</f>
        <v/>
      </c>
      <c r="T385" s="10">
        <f>COUNTIF(M385:R385,"⚠*")</f>
        <v/>
      </c>
    </row>
    <row r="386"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M386" s="10">
        <f>IFERROR(IF(TRIM(E386&amp;"")="","",IF(AND(ISNUMBER(FIND(" ",TRIM(E386&amp;""))),ISNUMBER(MATCH(LEFT(TRIM(E386&amp;""),FIND(" ",TRIM(E386&amp;""))-1),설정_코드표!$J$2:$J$101,0)),ISNUMBER(MATCH(TRIM(RIGHT(SUBSTITUTE(TRIM(E386&amp;"")," ",REPT(" ",60)),60)),설정_코드표!$F$2:$F$101,0))),INDEX(설정_코드표!$K$2:$K$101,MATCH(LEFT(TRIM(E386&amp;""),FIND(" ",TRIM(E386&amp;""))-1),설정_코드표!$J$2:$J$101,0))&amp;" "&amp;INDEX(설정_코드표!$G$2:$G$101,MATCH(TRIM(RIGHT(SUBSTITUTE(TRIM(E386&amp;"")," ",REPT(" ",60)),60)),설정_코드표!$F$2:$F$101,0)),"⚠"&amp;TRIM(E386&amp;""))),"⚠"&amp;TRIM(E386&amp;""))</f>
        <v/>
      </c>
      <c r="N386" s="10">
        <f>IFERROR(IF(TRIM(F386&amp;"")="","",IF(AND(ISNUMBER(FIND(" ",TRIM(F386&amp;""))),ISNUMBER(MATCH(LEFT(TRIM(F386&amp;""),FIND(" ",TRIM(F386&amp;""))-1),설정_코드표!$J$2:$J$101,0)),ISNUMBER(MATCH(TRIM(RIGHT(SUBSTITUTE(TRIM(F386&amp;"")," ",REPT(" ",60)),60)),설정_코드표!$F$2:$F$101,0))),INDEX(설정_코드표!$K$2:$K$101,MATCH(LEFT(TRIM(F386&amp;""),FIND(" ",TRIM(F386&amp;""))-1),설정_코드표!$J$2:$J$101,0))&amp;" "&amp;INDEX(설정_코드표!$G$2:$G$101,MATCH(TRIM(RIGHT(SUBSTITUTE(TRIM(F386&amp;"")," ",REPT(" ",60)),60)),설정_코드표!$F$2:$F$101,0)),"⚠"&amp;TRIM(F386&amp;""))),"⚠"&amp;TRIM(F386&amp;""))</f>
        <v/>
      </c>
      <c r="O386" s="10">
        <f>IFERROR(IF(TRIM(G386&amp;"")="","",IF(AND(ISNUMBER(FIND(" ",TRIM(G386&amp;""))),ISNUMBER(MATCH(LEFT(TRIM(G386&amp;""),FIND(" ",TRIM(G386&amp;""))-1),설정_코드표!$J$2:$J$101,0)),ISNUMBER(MATCH(TRIM(RIGHT(SUBSTITUTE(TRIM(G386&amp;"")," ",REPT(" ",60)),60)),설정_코드표!$F$2:$F$101,0))),INDEX(설정_코드표!$K$2:$K$101,MATCH(LEFT(TRIM(G386&amp;""),FIND(" ",TRIM(G386&amp;""))-1),설정_코드표!$J$2:$J$101,0))&amp;" "&amp;INDEX(설정_코드표!$G$2:$G$101,MATCH(TRIM(RIGHT(SUBSTITUTE(TRIM(G386&amp;"")," ",REPT(" ",60)),60)),설정_코드표!$F$2:$F$101,0)),"⚠"&amp;TRIM(G386&amp;""))),"⚠"&amp;TRIM(G386&amp;""))</f>
        <v/>
      </c>
      <c r="P386" s="10">
        <f>IFERROR(IF(TRIM(H386&amp;"")="","",IF(AND(ISNUMBER(FIND(" ",TRIM(H386&amp;""))),ISNUMBER(MATCH(LEFT(TRIM(H386&amp;""),FIND(" ",TRIM(H386&amp;""))-1),설정_코드표!$J$2:$J$101,0)),ISNUMBER(MATCH(TRIM(RIGHT(SUBSTITUTE(TRIM(H386&amp;"")," ",REPT(" ",60)),60)),설정_코드표!$F$2:$F$101,0))),INDEX(설정_코드표!$K$2:$K$101,MATCH(LEFT(TRIM(H386&amp;""),FIND(" ",TRIM(H386&amp;""))-1),설정_코드표!$J$2:$J$101,0))&amp;" "&amp;INDEX(설정_코드표!$G$2:$G$101,MATCH(TRIM(RIGHT(SUBSTITUTE(TRIM(H386&amp;"")," ",REPT(" ",60)),60)),설정_코드표!$F$2:$F$101,0)),"⚠"&amp;TRIM(H386&amp;""))),"⚠"&amp;TRIM(H386&amp;""))</f>
        <v/>
      </c>
      <c r="Q386" s="10">
        <f>IFERROR(IF(TRIM(I386&amp;"")="","",IF(AND(ISNUMBER(FIND(" ",TRIM(I386&amp;""))),ISNUMBER(MATCH(LEFT(TRIM(I386&amp;""),FIND(" ",TRIM(I386&amp;""))-1),설정_코드표!$J$2:$J$101,0)),ISNUMBER(MATCH(TRIM(RIGHT(SUBSTITUTE(TRIM(I386&amp;"")," ",REPT(" ",60)),60)),설정_코드표!$F$2:$F$101,0))),INDEX(설정_코드표!$K$2:$K$101,MATCH(LEFT(TRIM(I386&amp;""),FIND(" ",TRIM(I386&amp;""))-1),설정_코드표!$J$2:$J$101,0))&amp;" "&amp;INDEX(설정_코드표!$G$2:$G$101,MATCH(TRIM(RIGHT(SUBSTITUTE(TRIM(I386&amp;"")," ",REPT(" ",60)),60)),설정_코드표!$F$2:$F$101,0)),"⚠"&amp;TRIM(I386&amp;""))),"⚠"&amp;TRIM(I386&amp;""))</f>
        <v/>
      </c>
      <c r="R386" s="10">
        <f>IFERROR(IF(TRIM(J386&amp;"")="","",IF(AND(ISNUMBER(FIND(" ",TRIM(J386&amp;""))),ISNUMBER(MATCH(LEFT(TRIM(J386&amp;""),FIND(" ",TRIM(J386&amp;""))-1),설정_코드표!$J$2:$J$101,0)),ISNUMBER(MATCH(TRIM(RIGHT(SUBSTITUTE(TRIM(J386&amp;"")," ",REPT(" ",60)),60)),설정_코드표!$F$2:$F$101,0))),INDEX(설정_코드표!$K$2:$K$101,MATCH(LEFT(TRIM(J386&amp;""),FIND(" ",TRIM(J386&amp;""))-1),설정_코드표!$J$2:$J$101,0))&amp;" "&amp;INDEX(설정_코드표!$G$2:$G$101,MATCH(TRIM(RIGHT(SUBSTITUTE(TRIM(J386&amp;"")," ",REPT(" ",60)),60)),설정_코드표!$F$2:$F$101,0)),"⚠"&amp;TRIM(J386&amp;""))),"⚠"&amp;TRIM(J386&amp;""))</f>
        <v/>
      </c>
      <c r="S386" s="11">
        <f>IF(K386="","",IFERROR(IF(AND(ROUND((VALUE(K386&amp;"")-INT(VALUE(K386&amp;"")))*100,0)&gt;=1,ROUND((VALUE(K386&amp;"")-INT(VALUE(K386&amp;"")))*100,0)&lt;=12,INT(VALUE(K386&amp;""))&gt;=1900),DATE(INT(VALUE(K386&amp;"")),ROUND((VALUE(K386&amp;"")-INT(VALUE(K386&amp;"")))*100,0),1),K386&amp;""),K386&amp;""))</f>
        <v/>
      </c>
      <c r="T386" s="10">
        <f>COUNTIF(M386:R386,"⚠*")</f>
        <v/>
      </c>
    </row>
    <row r="387"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M387" s="10">
        <f>IFERROR(IF(TRIM(E387&amp;"")="","",IF(AND(ISNUMBER(FIND(" ",TRIM(E387&amp;""))),ISNUMBER(MATCH(LEFT(TRIM(E387&amp;""),FIND(" ",TRIM(E387&amp;""))-1),설정_코드표!$J$2:$J$101,0)),ISNUMBER(MATCH(TRIM(RIGHT(SUBSTITUTE(TRIM(E387&amp;"")," ",REPT(" ",60)),60)),설정_코드표!$F$2:$F$101,0))),INDEX(설정_코드표!$K$2:$K$101,MATCH(LEFT(TRIM(E387&amp;""),FIND(" ",TRIM(E387&amp;""))-1),설정_코드표!$J$2:$J$101,0))&amp;" "&amp;INDEX(설정_코드표!$G$2:$G$101,MATCH(TRIM(RIGHT(SUBSTITUTE(TRIM(E387&amp;"")," ",REPT(" ",60)),60)),설정_코드표!$F$2:$F$101,0)),"⚠"&amp;TRIM(E387&amp;""))),"⚠"&amp;TRIM(E387&amp;""))</f>
        <v/>
      </c>
      <c r="N387" s="10">
        <f>IFERROR(IF(TRIM(F387&amp;"")="","",IF(AND(ISNUMBER(FIND(" ",TRIM(F387&amp;""))),ISNUMBER(MATCH(LEFT(TRIM(F387&amp;""),FIND(" ",TRIM(F387&amp;""))-1),설정_코드표!$J$2:$J$101,0)),ISNUMBER(MATCH(TRIM(RIGHT(SUBSTITUTE(TRIM(F387&amp;"")," ",REPT(" ",60)),60)),설정_코드표!$F$2:$F$101,0))),INDEX(설정_코드표!$K$2:$K$101,MATCH(LEFT(TRIM(F387&amp;""),FIND(" ",TRIM(F387&amp;""))-1),설정_코드표!$J$2:$J$101,0))&amp;" "&amp;INDEX(설정_코드표!$G$2:$G$101,MATCH(TRIM(RIGHT(SUBSTITUTE(TRIM(F387&amp;"")," ",REPT(" ",60)),60)),설정_코드표!$F$2:$F$101,0)),"⚠"&amp;TRIM(F387&amp;""))),"⚠"&amp;TRIM(F387&amp;""))</f>
        <v/>
      </c>
      <c r="O387" s="10">
        <f>IFERROR(IF(TRIM(G387&amp;"")="","",IF(AND(ISNUMBER(FIND(" ",TRIM(G387&amp;""))),ISNUMBER(MATCH(LEFT(TRIM(G387&amp;""),FIND(" ",TRIM(G387&amp;""))-1),설정_코드표!$J$2:$J$101,0)),ISNUMBER(MATCH(TRIM(RIGHT(SUBSTITUTE(TRIM(G387&amp;"")," ",REPT(" ",60)),60)),설정_코드표!$F$2:$F$101,0))),INDEX(설정_코드표!$K$2:$K$101,MATCH(LEFT(TRIM(G387&amp;""),FIND(" ",TRIM(G387&amp;""))-1),설정_코드표!$J$2:$J$101,0))&amp;" "&amp;INDEX(설정_코드표!$G$2:$G$101,MATCH(TRIM(RIGHT(SUBSTITUTE(TRIM(G387&amp;"")," ",REPT(" ",60)),60)),설정_코드표!$F$2:$F$101,0)),"⚠"&amp;TRIM(G387&amp;""))),"⚠"&amp;TRIM(G387&amp;""))</f>
        <v/>
      </c>
      <c r="P387" s="10">
        <f>IFERROR(IF(TRIM(H387&amp;"")="","",IF(AND(ISNUMBER(FIND(" ",TRIM(H387&amp;""))),ISNUMBER(MATCH(LEFT(TRIM(H387&amp;""),FIND(" ",TRIM(H387&amp;""))-1),설정_코드표!$J$2:$J$101,0)),ISNUMBER(MATCH(TRIM(RIGHT(SUBSTITUTE(TRIM(H387&amp;"")," ",REPT(" ",60)),60)),설정_코드표!$F$2:$F$101,0))),INDEX(설정_코드표!$K$2:$K$101,MATCH(LEFT(TRIM(H387&amp;""),FIND(" ",TRIM(H387&amp;""))-1),설정_코드표!$J$2:$J$101,0))&amp;" "&amp;INDEX(설정_코드표!$G$2:$G$101,MATCH(TRIM(RIGHT(SUBSTITUTE(TRIM(H387&amp;"")," ",REPT(" ",60)),60)),설정_코드표!$F$2:$F$101,0)),"⚠"&amp;TRIM(H387&amp;""))),"⚠"&amp;TRIM(H387&amp;""))</f>
        <v/>
      </c>
      <c r="Q387" s="10">
        <f>IFERROR(IF(TRIM(I387&amp;"")="","",IF(AND(ISNUMBER(FIND(" ",TRIM(I387&amp;""))),ISNUMBER(MATCH(LEFT(TRIM(I387&amp;""),FIND(" ",TRIM(I387&amp;""))-1),설정_코드표!$J$2:$J$101,0)),ISNUMBER(MATCH(TRIM(RIGHT(SUBSTITUTE(TRIM(I387&amp;"")," ",REPT(" ",60)),60)),설정_코드표!$F$2:$F$101,0))),INDEX(설정_코드표!$K$2:$K$101,MATCH(LEFT(TRIM(I387&amp;""),FIND(" ",TRIM(I387&amp;""))-1),설정_코드표!$J$2:$J$101,0))&amp;" "&amp;INDEX(설정_코드표!$G$2:$G$101,MATCH(TRIM(RIGHT(SUBSTITUTE(TRIM(I387&amp;"")," ",REPT(" ",60)),60)),설정_코드표!$F$2:$F$101,0)),"⚠"&amp;TRIM(I387&amp;""))),"⚠"&amp;TRIM(I387&amp;""))</f>
        <v/>
      </c>
      <c r="R387" s="10">
        <f>IFERROR(IF(TRIM(J387&amp;"")="","",IF(AND(ISNUMBER(FIND(" ",TRIM(J387&amp;""))),ISNUMBER(MATCH(LEFT(TRIM(J387&amp;""),FIND(" ",TRIM(J387&amp;""))-1),설정_코드표!$J$2:$J$101,0)),ISNUMBER(MATCH(TRIM(RIGHT(SUBSTITUTE(TRIM(J387&amp;"")," ",REPT(" ",60)),60)),설정_코드표!$F$2:$F$101,0))),INDEX(설정_코드표!$K$2:$K$101,MATCH(LEFT(TRIM(J387&amp;""),FIND(" ",TRIM(J387&amp;""))-1),설정_코드표!$J$2:$J$101,0))&amp;" "&amp;INDEX(설정_코드표!$G$2:$G$101,MATCH(TRIM(RIGHT(SUBSTITUTE(TRIM(J387&amp;"")," ",REPT(" ",60)),60)),설정_코드표!$F$2:$F$101,0)),"⚠"&amp;TRIM(J387&amp;""))),"⚠"&amp;TRIM(J387&amp;""))</f>
        <v/>
      </c>
      <c r="S387" s="11">
        <f>IF(K387="","",IFERROR(IF(AND(ROUND((VALUE(K387&amp;"")-INT(VALUE(K387&amp;"")))*100,0)&gt;=1,ROUND((VALUE(K387&amp;"")-INT(VALUE(K387&amp;"")))*100,0)&lt;=12,INT(VALUE(K387&amp;""))&gt;=1900),DATE(INT(VALUE(K387&amp;"")),ROUND((VALUE(K387&amp;"")-INT(VALUE(K387&amp;"")))*100,0),1),K387&amp;""),K387&amp;""))</f>
        <v/>
      </c>
      <c r="T387" s="10">
        <f>COUNTIF(M387:R387,"⚠*")</f>
        <v/>
      </c>
    </row>
    <row r="388"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M388" s="10">
        <f>IFERROR(IF(TRIM(E388&amp;"")="","",IF(AND(ISNUMBER(FIND(" ",TRIM(E388&amp;""))),ISNUMBER(MATCH(LEFT(TRIM(E388&amp;""),FIND(" ",TRIM(E388&amp;""))-1),설정_코드표!$J$2:$J$101,0)),ISNUMBER(MATCH(TRIM(RIGHT(SUBSTITUTE(TRIM(E388&amp;"")," ",REPT(" ",60)),60)),설정_코드표!$F$2:$F$101,0))),INDEX(설정_코드표!$K$2:$K$101,MATCH(LEFT(TRIM(E388&amp;""),FIND(" ",TRIM(E388&amp;""))-1),설정_코드표!$J$2:$J$101,0))&amp;" "&amp;INDEX(설정_코드표!$G$2:$G$101,MATCH(TRIM(RIGHT(SUBSTITUTE(TRIM(E388&amp;"")," ",REPT(" ",60)),60)),설정_코드표!$F$2:$F$101,0)),"⚠"&amp;TRIM(E388&amp;""))),"⚠"&amp;TRIM(E388&amp;""))</f>
        <v/>
      </c>
      <c r="N388" s="10">
        <f>IFERROR(IF(TRIM(F388&amp;"")="","",IF(AND(ISNUMBER(FIND(" ",TRIM(F388&amp;""))),ISNUMBER(MATCH(LEFT(TRIM(F388&amp;""),FIND(" ",TRIM(F388&amp;""))-1),설정_코드표!$J$2:$J$101,0)),ISNUMBER(MATCH(TRIM(RIGHT(SUBSTITUTE(TRIM(F388&amp;"")," ",REPT(" ",60)),60)),설정_코드표!$F$2:$F$101,0))),INDEX(설정_코드표!$K$2:$K$101,MATCH(LEFT(TRIM(F388&amp;""),FIND(" ",TRIM(F388&amp;""))-1),설정_코드표!$J$2:$J$101,0))&amp;" "&amp;INDEX(설정_코드표!$G$2:$G$101,MATCH(TRIM(RIGHT(SUBSTITUTE(TRIM(F388&amp;"")," ",REPT(" ",60)),60)),설정_코드표!$F$2:$F$101,0)),"⚠"&amp;TRIM(F388&amp;""))),"⚠"&amp;TRIM(F388&amp;""))</f>
        <v/>
      </c>
      <c r="O388" s="10">
        <f>IFERROR(IF(TRIM(G388&amp;"")="","",IF(AND(ISNUMBER(FIND(" ",TRIM(G388&amp;""))),ISNUMBER(MATCH(LEFT(TRIM(G388&amp;""),FIND(" ",TRIM(G388&amp;""))-1),설정_코드표!$J$2:$J$101,0)),ISNUMBER(MATCH(TRIM(RIGHT(SUBSTITUTE(TRIM(G388&amp;"")," ",REPT(" ",60)),60)),설정_코드표!$F$2:$F$101,0))),INDEX(설정_코드표!$K$2:$K$101,MATCH(LEFT(TRIM(G388&amp;""),FIND(" ",TRIM(G388&amp;""))-1),설정_코드표!$J$2:$J$101,0))&amp;" "&amp;INDEX(설정_코드표!$G$2:$G$101,MATCH(TRIM(RIGHT(SUBSTITUTE(TRIM(G388&amp;"")," ",REPT(" ",60)),60)),설정_코드표!$F$2:$F$101,0)),"⚠"&amp;TRIM(G388&amp;""))),"⚠"&amp;TRIM(G388&amp;""))</f>
        <v/>
      </c>
      <c r="P388" s="10">
        <f>IFERROR(IF(TRIM(H388&amp;"")="","",IF(AND(ISNUMBER(FIND(" ",TRIM(H388&amp;""))),ISNUMBER(MATCH(LEFT(TRIM(H388&amp;""),FIND(" ",TRIM(H388&amp;""))-1),설정_코드표!$J$2:$J$101,0)),ISNUMBER(MATCH(TRIM(RIGHT(SUBSTITUTE(TRIM(H388&amp;"")," ",REPT(" ",60)),60)),설정_코드표!$F$2:$F$101,0))),INDEX(설정_코드표!$K$2:$K$101,MATCH(LEFT(TRIM(H388&amp;""),FIND(" ",TRIM(H388&amp;""))-1),설정_코드표!$J$2:$J$101,0))&amp;" "&amp;INDEX(설정_코드표!$G$2:$G$101,MATCH(TRIM(RIGHT(SUBSTITUTE(TRIM(H388&amp;"")," ",REPT(" ",60)),60)),설정_코드표!$F$2:$F$101,0)),"⚠"&amp;TRIM(H388&amp;""))),"⚠"&amp;TRIM(H388&amp;""))</f>
        <v/>
      </c>
      <c r="Q388" s="10">
        <f>IFERROR(IF(TRIM(I388&amp;"")="","",IF(AND(ISNUMBER(FIND(" ",TRIM(I388&amp;""))),ISNUMBER(MATCH(LEFT(TRIM(I388&amp;""),FIND(" ",TRIM(I388&amp;""))-1),설정_코드표!$J$2:$J$101,0)),ISNUMBER(MATCH(TRIM(RIGHT(SUBSTITUTE(TRIM(I388&amp;"")," ",REPT(" ",60)),60)),설정_코드표!$F$2:$F$101,0))),INDEX(설정_코드표!$K$2:$K$101,MATCH(LEFT(TRIM(I388&amp;""),FIND(" ",TRIM(I388&amp;""))-1),설정_코드표!$J$2:$J$101,0))&amp;" "&amp;INDEX(설정_코드표!$G$2:$G$101,MATCH(TRIM(RIGHT(SUBSTITUTE(TRIM(I388&amp;"")," ",REPT(" ",60)),60)),설정_코드표!$F$2:$F$101,0)),"⚠"&amp;TRIM(I388&amp;""))),"⚠"&amp;TRIM(I388&amp;""))</f>
        <v/>
      </c>
      <c r="R388" s="10">
        <f>IFERROR(IF(TRIM(J388&amp;"")="","",IF(AND(ISNUMBER(FIND(" ",TRIM(J388&amp;""))),ISNUMBER(MATCH(LEFT(TRIM(J388&amp;""),FIND(" ",TRIM(J388&amp;""))-1),설정_코드표!$J$2:$J$101,0)),ISNUMBER(MATCH(TRIM(RIGHT(SUBSTITUTE(TRIM(J388&amp;"")," ",REPT(" ",60)),60)),설정_코드표!$F$2:$F$101,0))),INDEX(설정_코드표!$K$2:$K$101,MATCH(LEFT(TRIM(J388&amp;""),FIND(" ",TRIM(J388&amp;""))-1),설정_코드표!$J$2:$J$101,0))&amp;" "&amp;INDEX(설정_코드표!$G$2:$G$101,MATCH(TRIM(RIGHT(SUBSTITUTE(TRIM(J388&amp;"")," ",REPT(" ",60)),60)),설정_코드표!$F$2:$F$101,0)),"⚠"&amp;TRIM(J388&amp;""))),"⚠"&amp;TRIM(J388&amp;""))</f>
        <v/>
      </c>
      <c r="S388" s="11">
        <f>IF(K388="","",IFERROR(IF(AND(ROUND((VALUE(K388&amp;"")-INT(VALUE(K388&amp;"")))*100,0)&gt;=1,ROUND((VALUE(K388&amp;"")-INT(VALUE(K388&amp;"")))*100,0)&lt;=12,INT(VALUE(K388&amp;""))&gt;=1900),DATE(INT(VALUE(K388&amp;"")),ROUND((VALUE(K388&amp;"")-INT(VALUE(K388&amp;"")))*100,0),1),K388&amp;""),K388&amp;""))</f>
        <v/>
      </c>
      <c r="T388" s="10">
        <f>COUNTIF(M388:R388,"⚠*")</f>
        <v/>
      </c>
    </row>
    <row r="389"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M389" s="10">
        <f>IFERROR(IF(TRIM(E389&amp;"")="","",IF(AND(ISNUMBER(FIND(" ",TRIM(E389&amp;""))),ISNUMBER(MATCH(LEFT(TRIM(E389&amp;""),FIND(" ",TRIM(E389&amp;""))-1),설정_코드표!$J$2:$J$101,0)),ISNUMBER(MATCH(TRIM(RIGHT(SUBSTITUTE(TRIM(E389&amp;"")," ",REPT(" ",60)),60)),설정_코드표!$F$2:$F$101,0))),INDEX(설정_코드표!$K$2:$K$101,MATCH(LEFT(TRIM(E389&amp;""),FIND(" ",TRIM(E389&amp;""))-1),설정_코드표!$J$2:$J$101,0))&amp;" "&amp;INDEX(설정_코드표!$G$2:$G$101,MATCH(TRIM(RIGHT(SUBSTITUTE(TRIM(E389&amp;"")," ",REPT(" ",60)),60)),설정_코드표!$F$2:$F$101,0)),"⚠"&amp;TRIM(E389&amp;""))),"⚠"&amp;TRIM(E389&amp;""))</f>
        <v/>
      </c>
      <c r="N389" s="10">
        <f>IFERROR(IF(TRIM(F389&amp;"")="","",IF(AND(ISNUMBER(FIND(" ",TRIM(F389&amp;""))),ISNUMBER(MATCH(LEFT(TRIM(F389&amp;""),FIND(" ",TRIM(F389&amp;""))-1),설정_코드표!$J$2:$J$101,0)),ISNUMBER(MATCH(TRIM(RIGHT(SUBSTITUTE(TRIM(F389&amp;"")," ",REPT(" ",60)),60)),설정_코드표!$F$2:$F$101,0))),INDEX(설정_코드표!$K$2:$K$101,MATCH(LEFT(TRIM(F389&amp;""),FIND(" ",TRIM(F389&amp;""))-1),설정_코드표!$J$2:$J$101,0))&amp;" "&amp;INDEX(설정_코드표!$G$2:$G$101,MATCH(TRIM(RIGHT(SUBSTITUTE(TRIM(F389&amp;"")," ",REPT(" ",60)),60)),설정_코드표!$F$2:$F$101,0)),"⚠"&amp;TRIM(F389&amp;""))),"⚠"&amp;TRIM(F389&amp;""))</f>
        <v/>
      </c>
      <c r="O389" s="10">
        <f>IFERROR(IF(TRIM(G389&amp;"")="","",IF(AND(ISNUMBER(FIND(" ",TRIM(G389&amp;""))),ISNUMBER(MATCH(LEFT(TRIM(G389&amp;""),FIND(" ",TRIM(G389&amp;""))-1),설정_코드표!$J$2:$J$101,0)),ISNUMBER(MATCH(TRIM(RIGHT(SUBSTITUTE(TRIM(G389&amp;"")," ",REPT(" ",60)),60)),설정_코드표!$F$2:$F$101,0))),INDEX(설정_코드표!$K$2:$K$101,MATCH(LEFT(TRIM(G389&amp;""),FIND(" ",TRIM(G389&amp;""))-1),설정_코드표!$J$2:$J$101,0))&amp;" "&amp;INDEX(설정_코드표!$G$2:$G$101,MATCH(TRIM(RIGHT(SUBSTITUTE(TRIM(G389&amp;"")," ",REPT(" ",60)),60)),설정_코드표!$F$2:$F$101,0)),"⚠"&amp;TRIM(G389&amp;""))),"⚠"&amp;TRIM(G389&amp;""))</f>
        <v/>
      </c>
      <c r="P389" s="10">
        <f>IFERROR(IF(TRIM(H389&amp;"")="","",IF(AND(ISNUMBER(FIND(" ",TRIM(H389&amp;""))),ISNUMBER(MATCH(LEFT(TRIM(H389&amp;""),FIND(" ",TRIM(H389&amp;""))-1),설정_코드표!$J$2:$J$101,0)),ISNUMBER(MATCH(TRIM(RIGHT(SUBSTITUTE(TRIM(H389&amp;"")," ",REPT(" ",60)),60)),설정_코드표!$F$2:$F$101,0))),INDEX(설정_코드표!$K$2:$K$101,MATCH(LEFT(TRIM(H389&amp;""),FIND(" ",TRIM(H389&amp;""))-1),설정_코드표!$J$2:$J$101,0))&amp;" "&amp;INDEX(설정_코드표!$G$2:$G$101,MATCH(TRIM(RIGHT(SUBSTITUTE(TRIM(H389&amp;"")," ",REPT(" ",60)),60)),설정_코드표!$F$2:$F$101,0)),"⚠"&amp;TRIM(H389&amp;""))),"⚠"&amp;TRIM(H389&amp;""))</f>
        <v/>
      </c>
      <c r="Q389" s="10">
        <f>IFERROR(IF(TRIM(I389&amp;"")="","",IF(AND(ISNUMBER(FIND(" ",TRIM(I389&amp;""))),ISNUMBER(MATCH(LEFT(TRIM(I389&amp;""),FIND(" ",TRIM(I389&amp;""))-1),설정_코드표!$J$2:$J$101,0)),ISNUMBER(MATCH(TRIM(RIGHT(SUBSTITUTE(TRIM(I389&amp;"")," ",REPT(" ",60)),60)),설정_코드표!$F$2:$F$101,0))),INDEX(설정_코드표!$K$2:$K$101,MATCH(LEFT(TRIM(I389&amp;""),FIND(" ",TRIM(I389&amp;""))-1),설정_코드표!$J$2:$J$101,0))&amp;" "&amp;INDEX(설정_코드표!$G$2:$G$101,MATCH(TRIM(RIGHT(SUBSTITUTE(TRIM(I389&amp;"")," ",REPT(" ",60)),60)),설정_코드표!$F$2:$F$101,0)),"⚠"&amp;TRIM(I389&amp;""))),"⚠"&amp;TRIM(I389&amp;""))</f>
        <v/>
      </c>
      <c r="R389" s="10">
        <f>IFERROR(IF(TRIM(J389&amp;"")="","",IF(AND(ISNUMBER(FIND(" ",TRIM(J389&amp;""))),ISNUMBER(MATCH(LEFT(TRIM(J389&amp;""),FIND(" ",TRIM(J389&amp;""))-1),설정_코드표!$J$2:$J$101,0)),ISNUMBER(MATCH(TRIM(RIGHT(SUBSTITUTE(TRIM(J389&amp;"")," ",REPT(" ",60)),60)),설정_코드표!$F$2:$F$101,0))),INDEX(설정_코드표!$K$2:$K$101,MATCH(LEFT(TRIM(J389&amp;""),FIND(" ",TRIM(J389&amp;""))-1),설정_코드표!$J$2:$J$101,0))&amp;" "&amp;INDEX(설정_코드표!$G$2:$G$101,MATCH(TRIM(RIGHT(SUBSTITUTE(TRIM(J389&amp;"")," ",REPT(" ",60)),60)),설정_코드표!$F$2:$F$101,0)),"⚠"&amp;TRIM(J389&amp;""))),"⚠"&amp;TRIM(J389&amp;""))</f>
        <v/>
      </c>
      <c r="S389" s="11">
        <f>IF(K389="","",IFERROR(IF(AND(ROUND((VALUE(K389&amp;"")-INT(VALUE(K389&amp;"")))*100,0)&gt;=1,ROUND((VALUE(K389&amp;"")-INT(VALUE(K389&amp;"")))*100,0)&lt;=12,INT(VALUE(K389&amp;""))&gt;=1900),DATE(INT(VALUE(K389&amp;"")),ROUND((VALUE(K389&amp;"")-INT(VALUE(K389&amp;"")))*100,0),1),K389&amp;""),K389&amp;""))</f>
        <v/>
      </c>
      <c r="T389" s="10">
        <f>COUNTIF(M389:R389,"⚠*")</f>
        <v/>
      </c>
    </row>
    <row r="390"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M390" s="10">
        <f>IFERROR(IF(TRIM(E390&amp;"")="","",IF(AND(ISNUMBER(FIND(" ",TRIM(E390&amp;""))),ISNUMBER(MATCH(LEFT(TRIM(E390&amp;""),FIND(" ",TRIM(E390&amp;""))-1),설정_코드표!$J$2:$J$101,0)),ISNUMBER(MATCH(TRIM(RIGHT(SUBSTITUTE(TRIM(E390&amp;"")," ",REPT(" ",60)),60)),설정_코드표!$F$2:$F$101,0))),INDEX(설정_코드표!$K$2:$K$101,MATCH(LEFT(TRIM(E390&amp;""),FIND(" ",TRIM(E390&amp;""))-1),설정_코드표!$J$2:$J$101,0))&amp;" "&amp;INDEX(설정_코드표!$G$2:$G$101,MATCH(TRIM(RIGHT(SUBSTITUTE(TRIM(E390&amp;"")," ",REPT(" ",60)),60)),설정_코드표!$F$2:$F$101,0)),"⚠"&amp;TRIM(E390&amp;""))),"⚠"&amp;TRIM(E390&amp;""))</f>
        <v/>
      </c>
      <c r="N390" s="10">
        <f>IFERROR(IF(TRIM(F390&amp;"")="","",IF(AND(ISNUMBER(FIND(" ",TRIM(F390&amp;""))),ISNUMBER(MATCH(LEFT(TRIM(F390&amp;""),FIND(" ",TRIM(F390&amp;""))-1),설정_코드표!$J$2:$J$101,0)),ISNUMBER(MATCH(TRIM(RIGHT(SUBSTITUTE(TRIM(F390&amp;"")," ",REPT(" ",60)),60)),설정_코드표!$F$2:$F$101,0))),INDEX(설정_코드표!$K$2:$K$101,MATCH(LEFT(TRIM(F390&amp;""),FIND(" ",TRIM(F390&amp;""))-1),설정_코드표!$J$2:$J$101,0))&amp;" "&amp;INDEX(설정_코드표!$G$2:$G$101,MATCH(TRIM(RIGHT(SUBSTITUTE(TRIM(F390&amp;"")," ",REPT(" ",60)),60)),설정_코드표!$F$2:$F$101,0)),"⚠"&amp;TRIM(F390&amp;""))),"⚠"&amp;TRIM(F390&amp;""))</f>
        <v/>
      </c>
      <c r="O390" s="10">
        <f>IFERROR(IF(TRIM(G390&amp;"")="","",IF(AND(ISNUMBER(FIND(" ",TRIM(G390&amp;""))),ISNUMBER(MATCH(LEFT(TRIM(G390&amp;""),FIND(" ",TRIM(G390&amp;""))-1),설정_코드표!$J$2:$J$101,0)),ISNUMBER(MATCH(TRIM(RIGHT(SUBSTITUTE(TRIM(G390&amp;"")," ",REPT(" ",60)),60)),설정_코드표!$F$2:$F$101,0))),INDEX(설정_코드표!$K$2:$K$101,MATCH(LEFT(TRIM(G390&amp;""),FIND(" ",TRIM(G390&amp;""))-1),설정_코드표!$J$2:$J$101,0))&amp;" "&amp;INDEX(설정_코드표!$G$2:$G$101,MATCH(TRIM(RIGHT(SUBSTITUTE(TRIM(G390&amp;"")," ",REPT(" ",60)),60)),설정_코드표!$F$2:$F$101,0)),"⚠"&amp;TRIM(G390&amp;""))),"⚠"&amp;TRIM(G390&amp;""))</f>
        <v/>
      </c>
      <c r="P390" s="10">
        <f>IFERROR(IF(TRIM(H390&amp;"")="","",IF(AND(ISNUMBER(FIND(" ",TRIM(H390&amp;""))),ISNUMBER(MATCH(LEFT(TRIM(H390&amp;""),FIND(" ",TRIM(H390&amp;""))-1),설정_코드표!$J$2:$J$101,0)),ISNUMBER(MATCH(TRIM(RIGHT(SUBSTITUTE(TRIM(H390&amp;"")," ",REPT(" ",60)),60)),설정_코드표!$F$2:$F$101,0))),INDEX(설정_코드표!$K$2:$K$101,MATCH(LEFT(TRIM(H390&amp;""),FIND(" ",TRIM(H390&amp;""))-1),설정_코드표!$J$2:$J$101,0))&amp;" "&amp;INDEX(설정_코드표!$G$2:$G$101,MATCH(TRIM(RIGHT(SUBSTITUTE(TRIM(H390&amp;"")," ",REPT(" ",60)),60)),설정_코드표!$F$2:$F$101,0)),"⚠"&amp;TRIM(H390&amp;""))),"⚠"&amp;TRIM(H390&amp;""))</f>
        <v/>
      </c>
      <c r="Q390" s="10">
        <f>IFERROR(IF(TRIM(I390&amp;"")="","",IF(AND(ISNUMBER(FIND(" ",TRIM(I390&amp;""))),ISNUMBER(MATCH(LEFT(TRIM(I390&amp;""),FIND(" ",TRIM(I390&amp;""))-1),설정_코드표!$J$2:$J$101,0)),ISNUMBER(MATCH(TRIM(RIGHT(SUBSTITUTE(TRIM(I390&amp;"")," ",REPT(" ",60)),60)),설정_코드표!$F$2:$F$101,0))),INDEX(설정_코드표!$K$2:$K$101,MATCH(LEFT(TRIM(I390&amp;""),FIND(" ",TRIM(I390&amp;""))-1),설정_코드표!$J$2:$J$101,0))&amp;" "&amp;INDEX(설정_코드표!$G$2:$G$101,MATCH(TRIM(RIGHT(SUBSTITUTE(TRIM(I390&amp;"")," ",REPT(" ",60)),60)),설정_코드표!$F$2:$F$101,0)),"⚠"&amp;TRIM(I390&amp;""))),"⚠"&amp;TRIM(I390&amp;""))</f>
        <v/>
      </c>
      <c r="R390" s="10">
        <f>IFERROR(IF(TRIM(J390&amp;"")="","",IF(AND(ISNUMBER(FIND(" ",TRIM(J390&amp;""))),ISNUMBER(MATCH(LEFT(TRIM(J390&amp;""),FIND(" ",TRIM(J390&amp;""))-1),설정_코드표!$J$2:$J$101,0)),ISNUMBER(MATCH(TRIM(RIGHT(SUBSTITUTE(TRIM(J390&amp;"")," ",REPT(" ",60)),60)),설정_코드표!$F$2:$F$101,0))),INDEX(설정_코드표!$K$2:$K$101,MATCH(LEFT(TRIM(J390&amp;""),FIND(" ",TRIM(J390&amp;""))-1),설정_코드표!$J$2:$J$101,0))&amp;" "&amp;INDEX(설정_코드표!$G$2:$G$101,MATCH(TRIM(RIGHT(SUBSTITUTE(TRIM(J390&amp;"")," ",REPT(" ",60)),60)),설정_코드표!$F$2:$F$101,0)),"⚠"&amp;TRIM(J390&amp;""))),"⚠"&amp;TRIM(J390&amp;""))</f>
        <v/>
      </c>
      <c r="S390" s="11">
        <f>IF(K390="","",IFERROR(IF(AND(ROUND((VALUE(K390&amp;"")-INT(VALUE(K390&amp;"")))*100,0)&gt;=1,ROUND((VALUE(K390&amp;"")-INT(VALUE(K390&amp;"")))*100,0)&lt;=12,INT(VALUE(K390&amp;""))&gt;=1900),DATE(INT(VALUE(K390&amp;"")),ROUND((VALUE(K390&amp;"")-INT(VALUE(K390&amp;"")))*100,0),1),K390&amp;""),K390&amp;""))</f>
        <v/>
      </c>
      <c r="T390" s="10">
        <f>COUNTIF(M390:R390,"⚠*")</f>
        <v/>
      </c>
    </row>
    <row r="391"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M391" s="10">
        <f>IFERROR(IF(TRIM(E391&amp;"")="","",IF(AND(ISNUMBER(FIND(" ",TRIM(E391&amp;""))),ISNUMBER(MATCH(LEFT(TRIM(E391&amp;""),FIND(" ",TRIM(E391&amp;""))-1),설정_코드표!$J$2:$J$101,0)),ISNUMBER(MATCH(TRIM(RIGHT(SUBSTITUTE(TRIM(E391&amp;"")," ",REPT(" ",60)),60)),설정_코드표!$F$2:$F$101,0))),INDEX(설정_코드표!$K$2:$K$101,MATCH(LEFT(TRIM(E391&amp;""),FIND(" ",TRIM(E391&amp;""))-1),설정_코드표!$J$2:$J$101,0))&amp;" "&amp;INDEX(설정_코드표!$G$2:$G$101,MATCH(TRIM(RIGHT(SUBSTITUTE(TRIM(E391&amp;"")," ",REPT(" ",60)),60)),설정_코드표!$F$2:$F$101,0)),"⚠"&amp;TRIM(E391&amp;""))),"⚠"&amp;TRIM(E391&amp;""))</f>
        <v/>
      </c>
      <c r="N391" s="10">
        <f>IFERROR(IF(TRIM(F391&amp;"")="","",IF(AND(ISNUMBER(FIND(" ",TRIM(F391&amp;""))),ISNUMBER(MATCH(LEFT(TRIM(F391&amp;""),FIND(" ",TRIM(F391&amp;""))-1),설정_코드표!$J$2:$J$101,0)),ISNUMBER(MATCH(TRIM(RIGHT(SUBSTITUTE(TRIM(F391&amp;"")," ",REPT(" ",60)),60)),설정_코드표!$F$2:$F$101,0))),INDEX(설정_코드표!$K$2:$K$101,MATCH(LEFT(TRIM(F391&amp;""),FIND(" ",TRIM(F391&amp;""))-1),설정_코드표!$J$2:$J$101,0))&amp;" "&amp;INDEX(설정_코드표!$G$2:$G$101,MATCH(TRIM(RIGHT(SUBSTITUTE(TRIM(F391&amp;"")," ",REPT(" ",60)),60)),설정_코드표!$F$2:$F$101,0)),"⚠"&amp;TRIM(F391&amp;""))),"⚠"&amp;TRIM(F391&amp;""))</f>
        <v/>
      </c>
      <c r="O391" s="10">
        <f>IFERROR(IF(TRIM(G391&amp;"")="","",IF(AND(ISNUMBER(FIND(" ",TRIM(G391&amp;""))),ISNUMBER(MATCH(LEFT(TRIM(G391&amp;""),FIND(" ",TRIM(G391&amp;""))-1),설정_코드표!$J$2:$J$101,0)),ISNUMBER(MATCH(TRIM(RIGHT(SUBSTITUTE(TRIM(G391&amp;"")," ",REPT(" ",60)),60)),설정_코드표!$F$2:$F$101,0))),INDEX(설정_코드표!$K$2:$K$101,MATCH(LEFT(TRIM(G391&amp;""),FIND(" ",TRIM(G391&amp;""))-1),설정_코드표!$J$2:$J$101,0))&amp;" "&amp;INDEX(설정_코드표!$G$2:$G$101,MATCH(TRIM(RIGHT(SUBSTITUTE(TRIM(G391&amp;"")," ",REPT(" ",60)),60)),설정_코드표!$F$2:$F$101,0)),"⚠"&amp;TRIM(G391&amp;""))),"⚠"&amp;TRIM(G391&amp;""))</f>
        <v/>
      </c>
      <c r="P391" s="10">
        <f>IFERROR(IF(TRIM(H391&amp;"")="","",IF(AND(ISNUMBER(FIND(" ",TRIM(H391&amp;""))),ISNUMBER(MATCH(LEFT(TRIM(H391&amp;""),FIND(" ",TRIM(H391&amp;""))-1),설정_코드표!$J$2:$J$101,0)),ISNUMBER(MATCH(TRIM(RIGHT(SUBSTITUTE(TRIM(H391&amp;"")," ",REPT(" ",60)),60)),설정_코드표!$F$2:$F$101,0))),INDEX(설정_코드표!$K$2:$K$101,MATCH(LEFT(TRIM(H391&amp;""),FIND(" ",TRIM(H391&amp;""))-1),설정_코드표!$J$2:$J$101,0))&amp;" "&amp;INDEX(설정_코드표!$G$2:$G$101,MATCH(TRIM(RIGHT(SUBSTITUTE(TRIM(H391&amp;"")," ",REPT(" ",60)),60)),설정_코드표!$F$2:$F$101,0)),"⚠"&amp;TRIM(H391&amp;""))),"⚠"&amp;TRIM(H391&amp;""))</f>
        <v/>
      </c>
      <c r="Q391" s="10">
        <f>IFERROR(IF(TRIM(I391&amp;"")="","",IF(AND(ISNUMBER(FIND(" ",TRIM(I391&amp;""))),ISNUMBER(MATCH(LEFT(TRIM(I391&amp;""),FIND(" ",TRIM(I391&amp;""))-1),설정_코드표!$J$2:$J$101,0)),ISNUMBER(MATCH(TRIM(RIGHT(SUBSTITUTE(TRIM(I391&amp;"")," ",REPT(" ",60)),60)),설정_코드표!$F$2:$F$101,0))),INDEX(설정_코드표!$K$2:$K$101,MATCH(LEFT(TRIM(I391&amp;""),FIND(" ",TRIM(I391&amp;""))-1),설정_코드표!$J$2:$J$101,0))&amp;" "&amp;INDEX(설정_코드표!$G$2:$G$101,MATCH(TRIM(RIGHT(SUBSTITUTE(TRIM(I391&amp;"")," ",REPT(" ",60)),60)),설정_코드표!$F$2:$F$101,0)),"⚠"&amp;TRIM(I391&amp;""))),"⚠"&amp;TRIM(I391&amp;""))</f>
        <v/>
      </c>
      <c r="R391" s="10">
        <f>IFERROR(IF(TRIM(J391&amp;"")="","",IF(AND(ISNUMBER(FIND(" ",TRIM(J391&amp;""))),ISNUMBER(MATCH(LEFT(TRIM(J391&amp;""),FIND(" ",TRIM(J391&amp;""))-1),설정_코드표!$J$2:$J$101,0)),ISNUMBER(MATCH(TRIM(RIGHT(SUBSTITUTE(TRIM(J391&amp;"")," ",REPT(" ",60)),60)),설정_코드표!$F$2:$F$101,0))),INDEX(설정_코드표!$K$2:$K$101,MATCH(LEFT(TRIM(J391&amp;""),FIND(" ",TRIM(J391&amp;""))-1),설정_코드표!$J$2:$J$101,0))&amp;" "&amp;INDEX(설정_코드표!$G$2:$G$101,MATCH(TRIM(RIGHT(SUBSTITUTE(TRIM(J391&amp;"")," ",REPT(" ",60)),60)),설정_코드표!$F$2:$F$101,0)),"⚠"&amp;TRIM(J391&amp;""))),"⚠"&amp;TRIM(J391&amp;""))</f>
        <v/>
      </c>
      <c r="S391" s="11">
        <f>IF(K391="","",IFERROR(IF(AND(ROUND((VALUE(K391&amp;"")-INT(VALUE(K391&amp;"")))*100,0)&gt;=1,ROUND((VALUE(K391&amp;"")-INT(VALUE(K391&amp;"")))*100,0)&lt;=12,INT(VALUE(K391&amp;""))&gt;=1900),DATE(INT(VALUE(K391&amp;"")),ROUND((VALUE(K391&amp;"")-INT(VALUE(K391&amp;"")))*100,0),1),K391&amp;""),K391&amp;""))</f>
        <v/>
      </c>
      <c r="T391" s="10">
        <f>COUNTIF(M391:R391,"⚠*")</f>
        <v/>
      </c>
    </row>
    <row r="392"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M392" s="10">
        <f>IFERROR(IF(TRIM(E392&amp;"")="","",IF(AND(ISNUMBER(FIND(" ",TRIM(E392&amp;""))),ISNUMBER(MATCH(LEFT(TRIM(E392&amp;""),FIND(" ",TRIM(E392&amp;""))-1),설정_코드표!$J$2:$J$101,0)),ISNUMBER(MATCH(TRIM(RIGHT(SUBSTITUTE(TRIM(E392&amp;"")," ",REPT(" ",60)),60)),설정_코드표!$F$2:$F$101,0))),INDEX(설정_코드표!$K$2:$K$101,MATCH(LEFT(TRIM(E392&amp;""),FIND(" ",TRIM(E392&amp;""))-1),설정_코드표!$J$2:$J$101,0))&amp;" "&amp;INDEX(설정_코드표!$G$2:$G$101,MATCH(TRIM(RIGHT(SUBSTITUTE(TRIM(E392&amp;"")," ",REPT(" ",60)),60)),설정_코드표!$F$2:$F$101,0)),"⚠"&amp;TRIM(E392&amp;""))),"⚠"&amp;TRIM(E392&amp;""))</f>
        <v/>
      </c>
      <c r="N392" s="10">
        <f>IFERROR(IF(TRIM(F392&amp;"")="","",IF(AND(ISNUMBER(FIND(" ",TRIM(F392&amp;""))),ISNUMBER(MATCH(LEFT(TRIM(F392&amp;""),FIND(" ",TRIM(F392&amp;""))-1),설정_코드표!$J$2:$J$101,0)),ISNUMBER(MATCH(TRIM(RIGHT(SUBSTITUTE(TRIM(F392&amp;"")," ",REPT(" ",60)),60)),설정_코드표!$F$2:$F$101,0))),INDEX(설정_코드표!$K$2:$K$101,MATCH(LEFT(TRIM(F392&amp;""),FIND(" ",TRIM(F392&amp;""))-1),설정_코드표!$J$2:$J$101,0))&amp;" "&amp;INDEX(설정_코드표!$G$2:$G$101,MATCH(TRIM(RIGHT(SUBSTITUTE(TRIM(F392&amp;"")," ",REPT(" ",60)),60)),설정_코드표!$F$2:$F$101,0)),"⚠"&amp;TRIM(F392&amp;""))),"⚠"&amp;TRIM(F392&amp;""))</f>
        <v/>
      </c>
      <c r="O392" s="10">
        <f>IFERROR(IF(TRIM(G392&amp;"")="","",IF(AND(ISNUMBER(FIND(" ",TRIM(G392&amp;""))),ISNUMBER(MATCH(LEFT(TRIM(G392&amp;""),FIND(" ",TRIM(G392&amp;""))-1),설정_코드표!$J$2:$J$101,0)),ISNUMBER(MATCH(TRIM(RIGHT(SUBSTITUTE(TRIM(G392&amp;"")," ",REPT(" ",60)),60)),설정_코드표!$F$2:$F$101,0))),INDEX(설정_코드표!$K$2:$K$101,MATCH(LEFT(TRIM(G392&amp;""),FIND(" ",TRIM(G392&amp;""))-1),설정_코드표!$J$2:$J$101,0))&amp;" "&amp;INDEX(설정_코드표!$G$2:$G$101,MATCH(TRIM(RIGHT(SUBSTITUTE(TRIM(G392&amp;"")," ",REPT(" ",60)),60)),설정_코드표!$F$2:$F$101,0)),"⚠"&amp;TRIM(G392&amp;""))),"⚠"&amp;TRIM(G392&amp;""))</f>
        <v/>
      </c>
      <c r="P392" s="10">
        <f>IFERROR(IF(TRIM(H392&amp;"")="","",IF(AND(ISNUMBER(FIND(" ",TRIM(H392&amp;""))),ISNUMBER(MATCH(LEFT(TRIM(H392&amp;""),FIND(" ",TRIM(H392&amp;""))-1),설정_코드표!$J$2:$J$101,0)),ISNUMBER(MATCH(TRIM(RIGHT(SUBSTITUTE(TRIM(H392&amp;"")," ",REPT(" ",60)),60)),설정_코드표!$F$2:$F$101,0))),INDEX(설정_코드표!$K$2:$K$101,MATCH(LEFT(TRIM(H392&amp;""),FIND(" ",TRIM(H392&amp;""))-1),설정_코드표!$J$2:$J$101,0))&amp;" "&amp;INDEX(설정_코드표!$G$2:$G$101,MATCH(TRIM(RIGHT(SUBSTITUTE(TRIM(H392&amp;"")," ",REPT(" ",60)),60)),설정_코드표!$F$2:$F$101,0)),"⚠"&amp;TRIM(H392&amp;""))),"⚠"&amp;TRIM(H392&amp;""))</f>
        <v/>
      </c>
      <c r="Q392" s="10">
        <f>IFERROR(IF(TRIM(I392&amp;"")="","",IF(AND(ISNUMBER(FIND(" ",TRIM(I392&amp;""))),ISNUMBER(MATCH(LEFT(TRIM(I392&amp;""),FIND(" ",TRIM(I392&amp;""))-1),설정_코드표!$J$2:$J$101,0)),ISNUMBER(MATCH(TRIM(RIGHT(SUBSTITUTE(TRIM(I392&amp;"")," ",REPT(" ",60)),60)),설정_코드표!$F$2:$F$101,0))),INDEX(설정_코드표!$K$2:$K$101,MATCH(LEFT(TRIM(I392&amp;""),FIND(" ",TRIM(I392&amp;""))-1),설정_코드표!$J$2:$J$101,0))&amp;" "&amp;INDEX(설정_코드표!$G$2:$G$101,MATCH(TRIM(RIGHT(SUBSTITUTE(TRIM(I392&amp;"")," ",REPT(" ",60)),60)),설정_코드표!$F$2:$F$101,0)),"⚠"&amp;TRIM(I392&amp;""))),"⚠"&amp;TRIM(I392&amp;""))</f>
        <v/>
      </c>
      <c r="R392" s="10">
        <f>IFERROR(IF(TRIM(J392&amp;"")="","",IF(AND(ISNUMBER(FIND(" ",TRIM(J392&amp;""))),ISNUMBER(MATCH(LEFT(TRIM(J392&amp;""),FIND(" ",TRIM(J392&amp;""))-1),설정_코드표!$J$2:$J$101,0)),ISNUMBER(MATCH(TRIM(RIGHT(SUBSTITUTE(TRIM(J392&amp;"")," ",REPT(" ",60)),60)),설정_코드표!$F$2:$F$101,0))),INDEX(설정_코드표!$K$2:$K$101,MATCH(LEFT(TRIM(J392&amp;""),FIND(" ",TRIM(J392&amp;""))-1),설정_코드표!$J$2:$J$101,0))&amp;" "&amp;INDEX(설정_코드표!$G$2:$G$101,MATCH(TRIM(RIGHT(SUBSTITUTE(TRIM(J392&amp;"")," ",REPT(" ",60)),60)),설정_코드표!$F$2:$F$101,0)),"⚠"&amp;TRIM(J392&amp;""))),"⚠"&amp;TRIM(J392&amp;""))</f>
        <v/>
      </c>
      <c r="S392" s="11">
        <f>IF(K392="","",IFERROR(IF(AND(ROUND((VALUE(K392&amp;"")-INT(VALUE(K392&amp;"")))*100,0)&gt;=1,ROUND((VALUE(K392&amp;"")-INT(VALUE(K392&amp;"")))*100,0)&lt;=12,INT(VALUE(K392&amp;""))&gt;=1900),DATE(INT(VALUE(K392&amp;"")),ROUND((VALUE(K392&amp;"")-INT(VALUE(K392&amp;"")))*100,0),1),K392&amp;""),K392&amp;""))</f>
        <v/>
      </c>
      <c r="T392" s="10">
        <f>COUNTIF(M392:R392,"⚠*")</f>
        <v/>
      </c>
    </row>
    <row r="393"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M393" s="10">
        <f>IFERROR(IF(TRIM(E393&amp;"")="","",IF(AND(ISNUMBER(FIND(" ",TRIM(E393&amp;""))),ISNUMBER(MATCH(LEFT(TRIM(E393&amp;""),FIND(" ",TRIM(E393&amp;""))-1),설정_코드표!$J$2:$J$101,0)),ISNUMBER(MATCH(TRIM(RIGHT(SUBSTITUTE(TRIM(E393&amp;"")," ",REPT(" ",60)),60)),설정_코드표!$F$2:$F$101,0))),INDEX(설정_코드표!$K$2:$K$101,MATCH(LEFT(TRIM(E393&amp;""),FIND(" ",TRIM(E393&amp;""))-1),설정_코드표!$J$2:$J$101,0))&amp;" "&amp;INDEX(설정_코드표!$G$2:$G$101,MATCH(TRIM(RIGHT(SUBSTITUTE(TRIM(E393&amp;"")," ",REPT(" ",60)),60)),설정_코드표!$F$2:$F$101,0)),"⚠"&amp;TRIM(E393&amp;""))),"⚠"&amp;TRIM(E393&amp;""))</f>
        <v/>
      </c>
      <c r="N393" s="10">
        <f>IFERROR(IF(TRIM(F393&amp;"")="","",IF(AND(ISNUMBER(FIND(" ",TRIM(F393&amp;""))),ISNUMBER(MATCH(LEFT(TRIM(F393&amp;""),FIND(" ",TRIM(F393&amp;""))-1),설정_코드표!$J$2:$J$101,0)),ISNUMBER(MATCH(TRIM(RIGHT(SUBSTITUTE(TRIM(F393&amp;"")," ",REPT(" ",60)),60)),설정_코드표!$F$2:$F$101,0))),INDEX(설정_코드표!$K$2:$K$101,MATCH(LEFT(TRIM(F393&amp;""),FIND(" ",TRIM(F393&amp;""))-1),설정_코드표!$J$2:$J$101,0))&amp;" "&amp;INDEX(설정_코드표!$G$2:$G$101,MATCH(TRIM(RIGHT(SUBSTITUTE(TRIM(F393&amp;"")," ",REPT(" ",60)),60)),설정_코드표!$F$2:$F$101,0)),"⚠"&amp;TRIM(F393&amp;""))),"⚠"&amp;TRIM(F393&amp;""))</f>
        <v/>
      </c>
      <c r="O393" s="10">
        <f>IFERROR(IF(TRIM(G393&amp;"")="","",IF(AND(ISNUMBER(FIND(" ",TRIM(G393&amp;""))),ISNUMBER(MATCH(LEFT(TRIM(G393&amp;""),FIND(" ",TRIM(G393&amp;""))-1),설정_코드표!$J$2:$J$101,0)),ISNUMBER(MATCH(TRIM(RIGHT(SUBSTITUTE(TRIM(G393&amp;"")," ",REPT(" ",60)),60)),설정_코드표!$F$2:$F$101,0))),INDEX(설정_코드표!$K$2:$K$101,MATCH(LEFT(TRIM(G393&amp;""),FIND(" ",TRIM(G393&amp;""))-1),설정_코드표!$J$2:$J$101,0))&amp;" "&amp;INDEX(설정_코드표!$G$2:$G$101,MATCH(TRIM(RIGHT(SUBSTITUTE(TRIM(G393&amp;"")," ",REPT(" ",60)),60)),설정_코드표!$F$2:$F$101,0)),"⚠"&amp;TRIM(G393&amp;""))),"⚠"&amp;TRIM(G393&amp;""))</f>
        <v/>
      </c>
      <c r="P393" s="10">
        <f>IFERROR(IF(TRIM(H393&amp;"")="","",IF(AND(ISNUMBER(FIND(" ",TRIM(H393&amp;""))),ISNUMBER(MATCH(LEFT(TRIM(H393&amp;""),FIND(" ",TRIM(H393&amp;""))-1),설정_코드표!$J$2:$J$101,0)),ISNUMBER(MATCH(TRIM(RIGHT(SUBSTITUTE(TRIM(H393&amp;"")," ",REPT(" ",60)),60)),설정_코드표!$F$2:$F$101,0))),INDEX(설정_코드표!$K$2:$K$101,MATCH(LEFT(TRIM(H393&amp;""),FIND(" ",TRIM(H393&amp;""))-1),설정_코드표!$J$2:$J$101,0))&amp;" "&amp;INDEX(설정_코드표!$G$2:$G$101,MATCH(TRIM(RIGHT(SUBSTITUTE(TRIM(H393&amp;"")," ",REPT(" ",60)),60)),설정_코드표!$F$2:$F$101,0)),"⚠"&amp;TRIM(H393&amp;""))),"⚠"&amp;TRIM(H393&amp;""))</f>
        <v/>
      </c>
      <c r="Q393" s="10">
        <f>IFERROR(IF(TRIM(I393&amp;"")="","",IF(AND(ISNUMBER(FIND(" ",TRIM(I393&amp;""))),ISNUMBER(MATCH(LEFT(TRIM(I393&amp;""),FIND(" ",TRIM(I393&amp;""))-1),설정_코드표!$J$2:$J$101,0)),ISNUMBER(MATCH(TRIM(RIGHT(SUBSTITUTE(TRIM(I393&amp;"")," ",REPT(" ",60)),60)),설정_코드표!$F$2:$F$101,0))),INDEX(설정_코드표!$K$2:$K$101,MATCH(LEFT(TRIM(I393&amp;""),FIND(" ",TRIM(I393&amp;""))-1),설정_코드표!$J$2:$J$101,0))&amp;" "&amp;INDEX(설정_코드표!$G$2:$G$101,MATCH(TRIM(RIGHT(SUBSTITUTE(TRIM(I393&amp;"")," ",REPT(" ",60)),60)),설정_코드표!$F$2:$F$101,0)),"⚠"&amp;TRIM(I393&amp;""))),"⚠"&amp;TRIM(I393&amp;""))</f>
        <v/>
      </c>
      <c r="R393" s="10">
        <f>IFERROR(IF(TRIM(J393&amp;"")="","",IF(AND(ISNUMBER(FIND(" ",TRIM(J393&amp;""))),ISNUMBER(MATCH(LEFT(TRIM(J393&amp;""),FIND(" ",TRIM(J393&amp;""))-1),설정_코드표!$J$2:$J$101,0)),ISNUMBER(MATCH(TRIM(RIGHT(SUBSTITUTE(TRIM(J393&amp;"")," ",REPT(" ",60)),60)),설정_코드표!$F$2:$F$101,0))),INDEX(설정_코드표!$K$2:$K$101,MATCH(LEFT(TRIM(J393&amp;""),FIND(" ",TRIM(J393&amp;""))-1),설정_코드표!$J$2:$J$101,0))&amp;" "&amp;INDEX(설정_코드표!$G$2:$G$101,MATCH(TRIM(RIGHT(SUBSTITUTE(TRIM(J393&amp;"")," ",REPT(" ",60)),60)),설정_코드표!$F$2:$F$101,0)),"⚠"&amp;TRIM(J393&amp;""))),"⚠"&amp;TRIM(J393&amp;""))</f>
        <v/>
      </c>
      <c r="S393" s="11">
        <f>IF(K393="","",IFERROR(IF(AND(ROUND((VALUE(K393&amp;"")-INT(VALUE(K393&amp;"")))*100,0)&gt;=1,ROUND((VALUE(K393&amp;"")-INT(VALUE(K393&amp;"")))*100,0)&lt;=12,INT(VALUE(K393&amp;""))&gt;=1900),DATE(INT(VALUE(K393&amp;"")),ROUND((VALUE(K393&amp;"")-INT(VALUE(K393&amp;"")))*100,0),1),K393&amp;""),K393&amp;""))</f>
        <v/>
      </c>
      <c r="T393" s="10">
        <f>COUNTIF(M393:R393,"⚠*")</f>
        <v/>
      </c>
    </row>
    <row r="394"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M394" s="10">
        <f>IFERROR(IF(TRIM(E394&amp;"")="","",IF(AND(ISNUMBER(FIND(" ",TRIM(E394&amp;""))),ISNUMBER(MATCH(LEFT(TRIM(E394&amp;""),FIND(" ",TRIM(E394&amp;""))-1),설정_코드표!$J$2:$J$101,0)),ISNUMBER(MATCH(TRIM(RIGHT(SUBSTITUTE(TRIM(E394&amp;"")," ",REPT(" ",60)),60)),설정_코드표!$F$2:$F$101,0))),INDEX(설정_코드표!$K$2:$K$101,MATCH(LEFT(TRIM(E394&amp;""),FIND(" ",TRIM(E394&amp;""))-1),설정_코드표!$J$2:$J$101,0))&amp;" "&amp;INDEX(설정_코드표!$G$2:$G$101,MATCH(TRIM(RIGHT(SUBSTITUTE(TRIM(E394&amp;"")," ",REPT(" ",60)),60)),설정_코드표!$F$2:$F$101,0)),"⚠"&amp;TRIM(E394&amp;""))),"⚠"&amp;TRIM(E394&amp;""))</f>
        <v/>
      </c>
      <c r="N394" s="10">
        <f>IFERROR(IF(TRIM(F394&amp;"")="","",IF(AND(ISNUMBER(FIND(" ",TRIM(F394&amp;""))),ISNUMBER(MATCH(LEFT(TRIM(F394&amp;""),FIND(" ",TRIM(F394&amp;""))-1),설정_코드표!$J$2:$J$101,0)),ISNUMBER(MATCH(TRIM(RIGHT(SUBSTITUTE(TRIM(F394&amp;"")," ",REPT(" ",60)),60)),설정_코드표!$F$2:$F$101,0))),INDEX(설정_코드표!$K$2:$K$101,MATCH(LEFT(TRIM(F394&amp;""),FIND(" ",TRIM(F394&amp;""))-1),설정_코드표!$J$2:$J$101,0))&amp;" "&amp;INDEX(설정_코드표!$G$2:$G$101,MATCH(TRIM(RIGHT(SUBSTITUTE(TRIM(F394&amp;"")," ",REPT(" ",60)),60)),설정_코드표!$F$2:$F$101,0)),"⚠"&amp;TRIM(F394&amp;""))),"⚠"&amp;TRIM(F394&amp;""))</f>
        <v/>
      </c>
      <c r="O394" s="10">
        <f>IFERROR(IF(TRIM(G394&amp;"")="","",IF(AND(ISNUMBER(FIND(" ",TRIM(G394&amp;""))),ISNUMBER(MATCH(LEFT(TRIM(G394&amp;""),FIND(" ",TRIM(G394&amp;""))-1),설정_코드표!$J$2:$J$101,0)),ISNUMBER(MATCH(TRIM(RIGHT(SUBSTITUTE(TRIM(G394&amp;"")," ",REPT(" ",60)),60)),설정_코드표!$F$2:$F$101,0))),INDEX(설정_코드표!$K$2:$K$101,MATCH(LEFT(TRIM(G394&amp;""),FIND(" ",TRIM(G394&amp;""))-1),설정_코드표!$J$2:$J$101,0))&amp;" "&amp;INDEX(설정_코드표!$G$2:$G$101,MATCH(TRIM(RIGHT(SUBSTITUTE(TRIM(G394&amp;"")," ",REPT(" ",60)),60)),설정_코드표!$F$2:$F$101,0)),"⚠"&amp;TRIM(G394&amp;""))),"⚠"&amp;TRIM(G394&amp;""))</f>
        <v/>
      </c>
      <c r="P394" s="10">
        <f>IFERROR(IF(TRIM(H394&amp;"")="","",IF(AND(ISNUMBER(FIND(" ",TRIM(H394&amp;""))),ISNUMBER(MATCH(LEFT(TRIM(H394&amp;""),FIND(" ",TRIM(H394&amp;""))-1),설정_코드표!$J$2:$J$101,0)),ISNUMBER(MATCH(TRIM(RIGHT(SUBSTITUTE(TRIM(H394&amp;"")," ",REPT(" ",60)),60)),설정_코드표!$F$2:$F$101,0))),INDEX(설정_코드표!$K$2:$K$101,MATCH(LEFT(TRIM(H394&amp;""),FIND(" ",TRIM(H394&amp;""))-1),설정_코드표!$J$2:$J$101,0))&amp;" "&amp;INDEX(설정_코드표!$G$2:$G$101,MATCH(TRIM(RIGHT(SUBSTITUTE(TRIM(H394&amp;"")," ",REPT(" ",60)),60)),설정_코드표!$F$2:$F$101,0)),"⚠"&amp;TRIM(H394&amp;""))),"⚠"&amp;TRIM(H394&amp;""))</f>
        <v/>
      </c>
      <c r="Q394" s="10">
        <f>IFERROR(IF(TRIM(I394&amp;"")="","",IF(AND(ISNUMBER(FIND(" ",TRIM(I394&amp;""))),ISNUMBER(MATCH(LEFT(TRIM(I394&amp;""),FIND(" ",TRIM(I394&amp;""))-1),설정_코드표!$J$2:$J$101,0)),ISNUMBER(MATCH(TRIM(RIGHT(SUBSTITUTE(TRIM(I394&amp;"")," ",REPT(" ",60)),60)),설정_코드표!$F$2:$F$101,0))),INDEX(설정_코드표!$K$2:$K$101,MATCH(LEFT(TRIM(I394&amp;""),FIND(" ",TRIM(I394&amp;""))-1),설정_코드표!$J$2:$J$101,0))&amp;" "&amp;INDEX(설정_코드표!$G$2:$G$101,MATCH(TRIM(RIGHT(SUBSTITUTE(TRIM(I394&amp;"")," ",REPT(" ",60)),60)),설정_코드표!$F$2:$F$101,0)),"⚠"&amp;TRIM(I394&amp;""))),"⚠"&amp;TRIM(I394&amp;""))</f>
        <v/>
      </c>
      <c r="R394" s="10">
        <f>IFERROR(IF(TRIM(J394&amp;"")="","",IF(AND(ISNUMBER(FIND(" ",TRIM(J394&amp;""))),ISNUMBER(MATCH(LEFT(TRIM(J394&amp;""),FIND(" ",TRIM(J394&amp;""))-1),설정_코드표!$J$2:$J$101,0)),ISNUMBER(MATCH(TRIM(RIGHT(SUBSTITUTE(TRIM(J394&amp;"")," ",REPT(" ",60)),60)),설정_코드표!$F$2:$F$101,0))),INDEX(설정_코드표!$K$2:$K$101,MATCH(LEFT(TRIM(J394&amp;""),FIND(" ",TRIM(J394&amp;""))-1),설정_코드표!$J$2:$J$101,0))&amp;" "&amp;INDEX(설정_코드표!$G$2:$G$101,MATCH(TRIM(RIGHT(SUBSTITUTE(TRIM(J394&amp;"")," ",REPT(" ",60)),60)),설정_코드표!$F$2:$F$101,0)),"⚠"&amp;TRIM(J394&amp;""))),"⚠"&amp;TRIM(J394&amp;""))</f>
        <v/>
      </c>
      <c r="S394" s="11">
        <f>IF(K394="","",IFERROR(IF(AND(ROUND((VALUE(K394&amp;"")-INT(VALUE(K394&amp;"")))*100,0)&gt;=1,ROUND((VALUE(K394&amp;"")-INT(VALUE(K394&amp;"")))*100,0)&lt;=12,INT(VALUE(K394&amp;""))&gt;=1900),DATE(INT(VALUE(K394&amp;"")),ROUND((VALUE(K394&amp;"")-INT(VALUE(K394&amp;"")))*100,0),1),K394&amp;""),K394&amp;""))</f>
        <v/>
      </c>
      <c r="T394" s="10">
        <f>COUNTIF(M394:R394,"⚠*")</f>
        <v/>
      </c>
    </row>
    <row r="395"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M395" s="10">
        <f>IFERROR(IF(TRIM(E395&amp;"")="","",IF(AND(ISNUMBER(FIND(" ",TRIM(E395&amp;""))),ISNUMBER(MATCH(LEFT(TRIM(E395&amp;""),FIND(" ",TRIM(E395&amp;""))-1),설정_코드표!$J$2:$J$101,0)),ISNUMBER(MATCH(TRIM(RIGHT(SUBSTITUTE(TRIM(E395&amp;"")," ",REPT(" ",60)),60)),설정_코드표!$F$2:$F$101,0))),INDEX(설정_코드표!$K$2:$K$101,MATCH(LEFT(TRIM(E395&amp;""),FIND(" ",TRIM(E395&amp;""))-1),설정_코드표!$J$2:$J$101,0))&amp;" "&amp;INDEX(설정_코드표!$G$2:$G$101,MATCH(TRIM(RIGHT(SUBSTITUTE(TRIM(E395&amp;"")," ",REPT(" ",60)),60)),설정_코드표!$F$2:$F$101,0)),"⚠"&amp;TRIM(E395&amp;""))),"⚠"&amp;TRIM(E395&amp;""))</f>
        <v/>
      </c>
      <c r="N395" s="10">
        <f>IFERROR(IF(TRIM(F395&amp;"")="","",IF(AND(ISNUMBER(FIND(" ",TRIM(F395&amp;""))),ISNUMBER(MATCH(LEFT(TRIM(F395&amp;""),FIND(" ",TRIM(F395&amp;""))-1),설정_코드표!$J$2:$J$101,0)),ISNUMBER(MATCH(TRIM(RIGHT(SUBSTITUTE(TRIM(F395&amp;"")," ",REPT(" ",60)),60)),설정_코드표!$F$2:$F$101,0))),INDEX(설정_코드표!$K$2:$K$101,MATCH(LEFT(TRIM(F395&amp;""),FIND(" ",TRIM(F395&amp;""))-1),설정_코드표!$J$2:$J$101,0))&amp;" "&amp;INDEX(설정_코드표!$G$2:$G$101,MATCH(TRIM(RIGHT(SUBSTITUTE(TRIM(F395&amp;"")," ",REPT(" ",60)),60)),설정_코드표!$F$2:$F$101,0)),"⚠"&amp;TRIM(F395&amp;""))),"⚠"&amp;TRIM(F395&amp;""))</f>
        <v/>
      </c>
      <c r="O395" s="10">
        <f>IFERROR(IF(TRIM(G395&amp;"")="","",IF(AND(ISNUMBER(FIND(" ",TRIM(G395&amp;""))),ISNUMBER(MATCH(LEFT(TRIM(G395&amp;""),FIND(" ",TRIM(G395&amp;""))-1),설정_코드표!$J$2:$J$101,0)),ISNUMBER(MATCH(TRIM(RIGHT(SUBSTITUTE(TRIM(G395&amp;"")," ",REPT(" ",60)),60)),설정_코드표!$F$2:$F$101,0))),INDEX(설정_코드표!$K$2:$K$101,MATCH(LEFT(TRIM(G395&amp;""),FIND(" ",TRIM(G395&amp;""))-1),설정_코드표!$J$2:$J$101,0))&amp;" "&amp;INDEX(설정_코드표!$G$2:$G$101,MATCH(TRIM(RIGHT(SUBSTITUTE(TRIM(G395&amp;"")," ",REPT(" ",60)),60)),설정_코드표!$F$2:$F$101,0)),"⚠"&amp;TRIM(G395&amp;""))),"⚠"&amp;TRIM(G395&amp;""))</f>
        <v/>
      </c>
      <c r="P395" s="10">
        <f>IFERROR(IF(TRIM(H395&amp;"")="","",IF(AND(ISNUMBER(FIND(" ",TRIM(H395&amp;""))),ISNUMBER(MATCH(LEFT(TRIM(H395&amp;""),FIND(" ",TRIM(H395&amp;""))-1),설정_코드표!$J$2:$J$101,0)),ISNUMBER(MATCH(TRIM(RIGHT(SUBSTITUTE(TRIM(H395&amp;"")," ",REPT(" ",60)),60)),설정_코드표!$F$2:$F$101,0))),INDEX(설정_코드표!$K$2:$K$101,MATCH(LEFT(TRIM(H395&amp;""),FIND(" ",TRIM(H395&amp;""))-1),설정_코드표!$J$2:$J$101,0))&amp;" "&amp;INDEX(설정_코드표!$G$2:$G$101,MATCH(TRIM(RIGHT(SUBSTITUTE(TRIM(H395&amp;"")," ",REPT(" ",60)),60)),설정_코드표!$F$2:$F$101,0)),"⚠"&amp;TRIM(H395&amp;""))),"⚠"&amp;TRIM(H395&amp;""))</f>
        <v/>
      </c>
      <c r="Q395" s="10">
        <f>IFERROR(IF(TRIM(I395&amp;"")="","",IF(AND(ISNUMBER(FIND(" ",TRIM(I395&amp;""))),ISNUMBER(MATCH(LEFT(TRIM(I395&amp;""),FIND(" ",TRIM(I395&amp;""))-1),설정_코드표!$J$2:$J$101,0)),ISNUMBER(MATCH(TRIM(RIGHT(SUBSTITUTE(TRIM(I395&amp;"")," ",REPT(" ",60)),60)),설정_코드표!$F$2:$F$101,0))),INDEX(설정_코드표!$K$2:$K$101,MATCH(LEFT(TRIM(I395&amp;""),FIND(" ",TRIM(I395&amp;""))-1),설정_코드표!$J$2:$J$101,0))&amp;" "&amp;INDEX(설정_코드표!$G$2:$G$101,MATCH(TRIM(RIGHT(SUBSTITUTE(TRIM(I395&amp;"")," ",REPT(" ",60)),60)),설정_코드표!$F$2:$F$101,0)),"⚠"&amp;TRIM(I395&amp;""))),"⚠"&amp;TRIM(I395&amp;""))</f>
        <v/>
      </c>
      <c r="R395" s="10">
        <f>IFERROR(IF(TRIM(J395&amp;"")="","",IF(AND(ISNUMBER(FIND(" ",TRIM(J395&amp;""))),ISNUMBER(MATCH(LEFT(TRIM(J395&amp;""),FIND(" ",TRIM(J395&amp;""))-1),설정_코드표!$J$2:$J$101,0)),ISNUMBER(MATCH(TRIM(RIGHT(SUBSTITUTE(TRIM(J395&amp;"")," ",REPT(" ",60)),60)),설정_코드표!$F$2:$F$101,0))),INDEX(설정_코드표!$K$2:$K$101,MATCH(LEFT(TRIM(J395&amp;""),FIND(" ",TRIM(J395&amp;""))-1),설정_코드표!$J$2:$J$101,0))&amp;" "&amp;INDEX(설정_코드표!$G$2:$G$101,MATCH(TRIM(RIGHT(SUBSTITUTE(TRIM(J395&amp;"")," ",REPT(" ",60)),60)),설정_코드표!$F$2:$F$101,0)),"⚠"&amp;TRIM(J395&amp;""))),"⚠"&amp;TRIM(J395&amp;""))</f>
        <v/>
      </c>
      <c r="S395" s="11">
        <f>IF(K395="","",IFERROR(IF(AND(ROUND((VALUE(K395&amp;"")-INT(VALUE(K395&amp;"")))*100,0)&gt;=1,ROUND((VALUE(K395&amp;"")-INT(VALUE(K395&amp;"")))*100,0)&lt;=12,INT(VALUE(K395&amp;""))&gt;=1900),DATE(INT(VALUE(K395&amp;"")),ROUND((VALUE(K395&amp;"")-INT(VALUE(K395&amp;"")))*100,0),1),K395&amp;""),K395&amp;""))</f>
        <v/>
      </c>
      <c r="T395" s="10">
        <f>COUNTIF(M395:R395,"⚠*")</f>
        <v/>
      </c>
    </row>
    <row r="396"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M396" s="10">
        <f>IFERROR(IF(TRIM(E396&amp;"")="","",IF(AND(ISNUMBER(FIND(" ",TRIM(E396&amp;""))),ISNUMBER(MATCH(LEFT(TRIM(E396&amp;""),FIND(" ",TRIM(E396&amp;""))-1),설정_코드표!$J$2:$J$101,0)),ISNUMBER(MATCH(TRIM(RIGHT(SUBSTITUTE(TRIM(E396&amp;"")," ",REPT(" ",60)),60)),설정_코드표!$F$2:$F$101,0))),INDEX(설정_코드표!$K$2:$K$101,MATCH(LEFT(TRIM(E396&amp;""),FIND(" ",TRIM(E396&amp;""))-1),설정_코드표!$J$2:$J$101,0))&amp;" "&amp;INDEX(설정_코드표!$G$2:$G$101,MATCH(TRIM(RIGHT(SUBSTITUTE(TRIM(E396&amp;"")," ",REPT(" ",60)),60)),설정_코드표!$F$2:$F$101,0)),"⚠"&amp;TRIM(E396&amp;""))),"⚠"&amp;TRIM(E396&amp;""))</f>
        <v/>
      </c>
      <c r="N396" s="10">
        <f>IFERROR(IF(TRIM(F396&amp;"")="","",IF(AND(ISNUMBER(FIND(" ",TRIM(F396&amp;""))),ISNUMBER(MATCH(LEFT(TRIM(F396&amp;""),FIND(" ",TRIM(F396&amp;""))-1),설정_코드표!$J$2:$J$101,0)),ISNUMBER(MATCH(TRIM(RIGHT(SUBSTITUTE(TRIM(F396&amp;"")," ",REPT(" ",60)),60)),설정_코드표!$F$2:$F$101,0))),INDEX(설정_코드표!$K$2:$K$101,MATCH(LEFT(TRIM(F396&amp;""),FIND(" ",TRIM(F396&amp;""))-1),설정_코드표!$J$2:$J$101,0))&amp;" "&amp;INDEX(설정_코드표!$G$2:$G$101,MATCH(TRIM(RIGHT(SUBSTITUTE(TRIM(F396&amp;"")," ",REPT(" ",60)),60)),설정_코드표!$F$2:$F$101,0)),"⚠"&amp;TRIM(F396&amp;""))),"⚠"&amp;TRIM(F396&amp;""))</f>
        <v/>
      </c>
      <c r="O396" s="10">
        <f>IFERROR(IF(TRIM(G396&amp;"")="","",IF(AND(ISNUMBER(FIND(" ",TRIM(G396&amp;""))),ISNUMBER(MATCH(LEFT(TRIM(G396&amp;""),FIND(" ",TRIM(G396&amp;""))-1),설정_코드표!$J$2:$J$101,0)),ISNUMBER(MATCH(TRIM(RIGHT(SUBSTITUTE(TRIM(G396&amp;"")," ",REPT(" ",60)),60)),설정_코드표!$F$2:$F$101,0))),INDEX(설정_코드표!$K$2:$K$101,MATCH(LEFT(TRIM(G396&amp;""),FIND(" ",TRIM(G396&amp;""))-1),설정_코드표!$J$2:$J$101,0))&amp;" "&amp;INDEX(설정_코드표!$G$2:$G$101,MATCH(TRIM(RIGHT(SUBSTITUTE(TRIM(G396&amp;"")," ",REPT(" ",60)),60)),설정_코드표!$F$2:$F$101,0)),"⚠"&amp;TRIM(G396&amp;""))),"⚠"&amp;TRIM(G396&amp;""))</f>
        <v/>
      </c>
      <c r="P396" s="10">
        <f>IFERROR(IF(TRIM(H396&amp;"")="","",IF(AND(ISNUMBER(FIND(" ",TRIM(H396&amp;""))),ISNUMBER(MATCH(LEFT(TRIM(H396&amp;""),FIND(" ",TRIM(H396&amp;""))-1),설정_코드표!$J$2:$J$101,0)),ISNUMBER(MATCH(TRIM(RIGHT(SUBSTITUTE(TRIM(H396&amp;"")," ",REPT(" ",60)),60)),설정_코드표!$F$2:$F$101,0))),INDEX(설정_코드표!$K$2:$K$101,MATCH(LEFT(TRIM(H396&amp;""),FIND(" ",TRIM(H396&amp;""))-1),설정_코드표!$J$2:$J$101,0))&amp;" "&amp;INDEX(설정_코드표!$G$2:$G$101,MATCH(TRIM(RIGHT(SUBSTITUTE(TRIM(H396&amp;"")," ",REPT(" ",60)),60)),설정_코드표!$F$2:$F$101,0)),"⚠"&amp;TRIM(H396&amp;""))),"⚠"&amp;TRIM(H396&amp;""))</f>
        <v/>
      </c>
      <c r="Q396" s="10">
        <f>IFERROR(IF(TRIM(I396&amp;"")="","",IF(AND(ISNUMBER(FIND(" ",TRIM(I396&amp;""))),ISNUMBER(MATCH(LEFT(TRIM(I396&amp;""),FIND(" ",TRIM(I396&amp;""))-1),설정_코드표!$J$2:$J$101,0)),ISNUMBER(MATCH(TRIM(RIGHT(SUBSTITUTE(TRIM(I396&amp;"")," ",REPT(" ",60)),60)),설정_코드표!$F$2:$F$101,0))),INDEX(설정_코드표!$K$2:$K$101,MATCH(LEFT(TRIM(I396&amp;""),FIND(" ",TRIM(I396&amp;""))-1),설정_코드표!$J$2:$J$101,0))&amp;" "&amp;INDEX(설정_코드표!$G$2:$G$101,MATCH(TRIM(RIGHT(SUBSTITUTE(TRIM(I396&amp;"")," ",REPT(" ",60)),60)),설정_코드표!$F$2:$F$101,0)),"⚠"&amp;TRIM(I396&amp;""))),"⚠"&amp;TRIM(I396&amp;""))</f>
        <v/>
      </c>
      <c r="R396" s="10">
        <f>IFERROR(IF(TRIM(J396&amp;"")="","",IF(AND(ISNUMBER(FIND(" ",TRIM(J396&amp;""))),ISNUMBER(MATCH(LEFT(TRIM(J396&amp;""),FIND(" ",TRIM(J396&amp;""))-1),설정_코드표!$J$2:$J$101,0)),ISNUMBER(MATCH(TRIM(RIGHT(SUBSTITUTE(TRIM(J396&amp;"")," ",REPT(" ",60)),60)),설정_코드표!$F$2:$F$101,0))),INDEX(설정_코드표!$K$2:$K$101,MATCH(LEFT(TRIM(J396&amp;""),FIND(" ",TRIM(J396&amp;""))-1),설정_코드표!$J$2:$J$101,0))&amp;" "&amp;INDEX(설정_코드표!$G$2:$G$101,MATCH(TRIM(RIGHT(SUBSTITUTE(TRIM(J396&amp;"")," ",REPT(" ",60)),60)),설정_코드표!$F$2:$F$101,0)),"⚠"&amp;TRIM(J396&amp;""))),"⚠"&amp;TRIM(J396&amp;""))</f>
        <v/>
      </c>
      <c r="S396" s="11">
        <f>IF(K396="","",IFERROR(IF(AND(ROUND((VALUE(K396&amp;"")-INT(VALUE(K396&amp;"")))*100,0)&gt;=1,ROUND((VALUE(K396&amp;"")-INT(VALUE(K396&amp;"")))*100,0)&lt;=12,INT(VALUE(K396&amp;""))&gt;=1900),DATE(INT(VALUE(K396&amp;"")),ROUND((VALUE(K396&amp;"")-INT(VALUE(K396&amp;"")))*100,0),1),K396&amp;""),K396&amp;""))</f>
        <v/>
      </c>
      <c r="T396" s="10">
        <f>COUNTIF(M396:R396,"⚠*")</f>
        <v/>
      </c>
    </row>
    <row r="397"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M397" s="10">
        <f>IFERROR(IF(TRIM(E397&amp;"")="","",IF(AND(ISNUMBER(FIND(" ",TRIM(E397&amp;""))),ISNUMBER(MATCH(LEFT(TRIM(E397&amp;""),FIND(" ",TRIM(E397&amp;""))-1),설정_코드표!$J$2:$J$101,0)),ISNUMBER(MATCH(TRIM(RIGHT(SUBSTITUTE(TRIM(E397&amp;"")," ",REPT(" ",60)),60)),설정_코드표!$F$2:$F$101,0))),INDEX(설정_코드표!$K$2:$K$101,MATCH(LEFT(TRIM(E397&amp;""),FIND(" ",TRIM(E397&amp;""))-1),설정_코드표!$J$2:$J$101,0))&amp;" "&amp;INDEX(설정_코드표!$G$2:$G$101,MATCH(TRIM(RIGHT(SUBSTITUTE(TRIM(E397&amp;"")," ",REPT(" ",60)),60)),설정_코드표!$F$2:$F$101,0)),"⚠"&amp;TRIM(E397&amp;""))),"⚠"&amp;TRIM(E397&amp;""))</f>
        <v/>
      </c>
      <c r="N397" s="10">
        <f>IFERROR(IF(TRIM(F397&amp;"")="","",IF(AND(ISNUMBER(FIND(" ",TRIM(F397&amp;""))),ISNUMBER(MATCH(LEFT(TRIM(F397&amp;""),FIND(" ",TRIM(F397&amp;""))-1),설정_코드표!$J$2:$J$101,0)),ISNUMBER(MATCH(TRIM(RIGHT(SUBSTITUTE(TRIM(F397&amp;"")," ",REPT(" ",60)),60)),설정_코드표!$F$2:$F$101,0))),INDEX(설정_코드표!$K$2:$K$101,MATCH(LEFT(TRIM(F397&amp;""),FIND(" ",TRIM(F397&amp;""))-1),설정_코드표!$J$2:$J$101,0))&amp;" "&amp;INDEX(설정_코드표!$G$2:$G$101,MATCH(TRIM(RIGHT(SUBSTITUTE(TRIM(F397&amp;"")," ",REPT(" ",60)),60)),설정_코드표!$F$2:$F$101,0)),"⚠"&amp;TRIM(F397&amp;""))),"⚠"&amp;TRIM(F397&amp;""))</f>
        <v/>
      </c>
      <c r="O397" s="10">
        <f>IFERROR(IF(TRIM(G397&amp;"")="","",IF(AND(ISNUMBER(FIND(" ",TRIM(G397&amp;""))),ISNUMBER(MATCH(LEFT(TRIM(G397&amp;""),FIND(" ",TRIM(G397&amp;""))-1),설정_코드표!$J$2:$J$101,0)),ISNUMBER(MATCH(TRIM(RIGHT(SUBSTITUTE(TRIM(G397&amp;"")," ",REPT(" ",60)),60)),설정_코드표!$F$2:$F$101,0))),INDEX(설정_코드표!$K$2:$K$101,MATCH(LEFT(TRIM(G397&amp;""),FIND(" ",TRIM(G397&amp;""))-1),설정_코드표!$J$2:$J$101,0))&amp;" "&amp;INDEX(설정_코드표!$G$2:$G$101,MATCH(TRIM(RIGHT(SUBSTITUTE(TRIM(G397&amp;"")," ",REPT(" ",60)),60)),설정_코드표!$F$2:$F$101,0)),"⚠"&amp;TRIM(G397&amp;""))),"⚠"&amp;TRIM(G397&amp;""))</f>
        <v/>
      </c>
      <c r="P397" s="10">
        <f>IFERROR(IF(TRIM(H397&amp;"")="","",IF(AND(ISNUMBER(FIND(" ",TRIM(H397&amp;""))),ISNUMBER(MATCH(LEFT(TRIM(H397&amp;""),FIND(" ",TRIM(H397&amp;""))-1),설정_코드표!$J$2:$J$101,0)),ISNUMBER(MATCH(TRIM(RIGHT(SUBSTITUTE(TRIM(H397&amp;"")," ",REPT(" ",60)),60)),설정_코드표!$F$2:$F$101,0))),INDEX(설정_코드표!$K$2:$K$101,MATCH(LEFT(TRIM(H397&amp;""),FIND(" ",TRIM(H397&amp;""))-1),설정_코드표!$J$2:$J$101,0))&amp;" "&amp;INDEX(설정_코드표!$G$2:$G$101,MATCH(TRIM(RIGHT(SUBSTITUTE(TRIM(H397&amp;"")," ",REPT(" ",60)),60)),설정_코드표!$F$2:$F$101,0)),"⚠"&amp;TRIM(H397&amp;""))),"⚠"&amp;TRIM(H397&amp;""))</f>
        <v/>
      </c>
      <c r="Q397" s="10">
        <f>IFERROR(IF(TRIM(I397&amp;"")="","",IF(AND(ISNUMBER(FIND(" ",TRIM(I397&amp;""))),ISNUMBER(MATCH(LEFT(TRIM(I397&amp;""),FIND(" ",TRIM(I397&amp;""))-1),설정_코드표!$J$2:$J$101,0)),ISNUMBER(MATCH(TRIM(RIGHT(SUBSTITUTE(TRIM(I397&amp;"")," ",REPT(" ",60)),60)),설정_코드표!$F$2:$F$101,0))),INDEX(설정_코드표!$K$2:$K$101,MATCH(LEFT(TRIM(I397&amp;""),FIND(" ",TRIM(I397&amp;""))-1),설정_코드표!$J$2:$J$101,0))&amp;" "&amp;INDEX(설정_코드표!$G$2:$G$101,MATCH(TRIM(RIGHT(SUBSTITUTE(TRIM(I397&amp;"")," ",REPT(" ",60)),60)),설정_코드표!$F$2:$F$101,0)),"⚠"&amp;TRIM(I397&amp;""))),"⚠"&amp;TRIM(I397&amp;""))</f>
        <v/>
      </c>
      <c r="R397" s="10">
        <f>IFERROR(IF(TRIM(J397&amp;"")="","",IF(AND(ISNUMBER(FIND(" ",TRIM(J397&amp;""))),ISNUMBER(MATCH(LEFT(TRIM(J397&amp;""),FIND(" ",TRIM(J397&amp;""))-1),설정_코드표!$J$2:$J$101,0)),ISNUMBER(MATCH(TRIM(RIGHT(SUBSTITUTE(TRIM(J397&amp;"")," ",REPT(" ",60)),60)),설정_코드표!$F$2:$F$101,0))),INDEX(설정_코드표!$K$2:$K$101,MATCH(LEFT(TRIM(J397&amp;""),FIND(" ",TRIM(J397&amp;""))-1),설정_코드표!$J$2:$J$101,0))&amp;" "&amp;INDEX(설정_코드표!$G$2:$G$101,MATCH(TRIM(RIGHT(SUBSTITUTE(TRIM(J397&amp;"")," ",REPT(" ",60)),60)),설정_코드표!$F$2:$F$101,0)),"⚠"&amp;TRIM(J397&amp;""))),"⚠"&amp;TRIM(J397&amp;""))</f>
        <v/>
      </c>
      <c r="S397" s="11">
        <f>IF(K397="","",IFERROR(IF(AND(ROUND((VALUE(K397&amp;"")-INT(VALUE(K397&amp;"")))*100,0)&gt;=1,ROUND((VALUE(K397&amp;"")-INT(VALUE(K397&amp;"")))*100,0)&lt;=12,INT(VALUE(K397&amp;""))&gt;=1900),DATE(INT(VALUE(K397&amp;"")),ROUND((VALUE(K397&amp;"")-INT(VALUE(K397&amp;"")))*100,0),1),K397&amp;""),K397&amp;""))</f>
        <v/>
      </c>
      <c r="T397" s="10">
        <f>COUNTIF(M397:R397,"⚠*")</f>
        <v/>
      </c>
    </row>
    <row r="398"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M398" s="10">
        <f>IFERROR(IF(TRIM(E398&amp;"")="","",IF(AND(ISNUMBER(FIND(" ",TRIM(E398&amp;""))),ISNUMBER(MATCH(LEFT(TRIM(E398&amp;""),FIND(" ",TRIM(E398&amp;""))-1),설정_코드표!$J$2:$J$101,0)),ISNUMBER(MATCH(TRIM(RIGHT(SUBSTITUTE(TRIM(E398&amp;"")," ",REPT(" ",60)),60)),설정_코드표!$F$2:$F$101,0))),INDEX(설정_코드표!$K$2:$K$101,MATCH(LEFT(TRIM(E398&amp;""),FIND(" ",TRIM(E398&amp;""))-1),설정_코드표!$J$2:$J$101,0))&amp;" "&amp;INDEX(설정_코드표!$G$2:$G$101,MATCH(TRIM(RIGHT(SUBSTITUTE(TRIM(E398&amp;"")," ",REPT(" ",60)),60)),설정_코드표!$F$2:$F$101,0)),"⚠"&amp;TRIM(E398&amp;""))),"⚠"&amp;TRIM(E398&amp;""))</f>
        <v/>
      </c>
      <c r="N398" s="10">
        <f>IFERROR(IF(TRIM(F398&amp;"")="","",IF(AND(ISNUMBER(FIND(" ",TRIM(F398&amp;""))),ISNUMBER(MATCH(LEFT(TRIM(F398&amp;""),FIND(" ",TRIM(F398&amp;""))-1),설정_코드표!$J$2:$J$101,0)),ISNUMBER(MATCH(TRIM(RIGHT(SUBSTITUTE(TRIM(F398&amp;"")," ",REPT(" ",60)),60)),설정_코드표!$F$2:$F$101,0))),INDEX(설정_코드표!$K$2:$K$101,MATCH(LEFT(TRIM(F398&amp;""),FIND(" ",TRIM(F398&amp;""))-1),설정_코드표!$J$2:$J$101,0))&amp;" "&amp;INDEX(설정_코드표!$G$2:$G$101,MATCH(TRIM(RIGHT(SUBSTITUTE(TRIM(F398&amp;"")," ",REPT(" ",60)),60)),설정_코드표!$F$2:$F$101,0)),"⚠"&amp;TRIM(F398&amp;""))),"⚠"&amp;TRIM(F398&amp;""))</f>
        <v/>
      </c>
      <c r="O398" s="10">
        <f>IFERROR(IF(TRIM(G398&amp;"")="","",IF(AND(ISNUMBER(FIND(" ",TRIM(G398&amp;""))),ISNUMBER(MATCH(LEFT(TRIM(G398&amp;""),FIND(" ",TRIM(G398&amp;""))-1),설정_코드표!$J$2:$J$101,0)),ISNUMBER(MATCH(TRIM(RIGHT(SUBSTITUTE(TRIM(G398&amp;"")," ",REPT(" ",60)),60)),설정_코드표!$F$2:$F$101,0))),INDEX(설정_코드표!$K$2:$K$101,MATCH(LEFT(TRIM(G398&amp;""),FIND(" ",TRIM(G398&amp;""))-1),설정_코드표!$J$2:$J$101,0))&amp;" "&amp;INDEX(설정_코드표!$G$2:$G$101,MATCH(TRIM(RIGHT(SUBSTITUTE(TRIM(G398&amp;"")," ",REPT(" ",60)),60)),설정_코드표!$F$2:$F$101,0)),"⚠"&amp;TRIM(G398&amp;""))),"⚠"&amp;TRIM(G398&amp;""))</f>
        <v/>
      </c>
      <c r="P398" s="10">
        <f>IFERROR(IF(TRIM(H398&amp;"")="","",IF(AND(ISNUMBER(FIND(" ",TRIM(H398&amp;""))),ISNUMBER(MATCH(LEFT(TRIM(H398&amp;""),FIND(" ",TRIM(H398&amp;""))-1),설정_코드표!$J$2:$J$101,0)),ISNUMBER(MATCH(TRIM(RIGHT(SUBSTITUTE(TRIM(H398&amp;"")," ",REPT(" ",60)),60)),설정_코드표!$F$2:$F$101,0))),INDEX(설정_코드표!$K$2:$K$101,MATCH(LEFT(TRIM(H398&amp;""),FIND(" ",TRIM(H398&amp;""))-1),설정_코드표!$J$2:$J$101,0))&amp;" "&amp;INDEX(설정_코드표!$G$2:$G$101,MATCH(TRIM(RIGHT(SUBSTITUTE(TRIM(H398&amp;"")," ",REPT(" ",60)),60)),설정_코드표!$F$2:$F$101,0)),"⚠"&amp;TRIM(H398&amp;""))),"⚠"&amp;TRIM(H398&amp;""))</f>
        <v/>
      </c>
      <c r="Q398" s="10">
        <f>IFERROR(IF(TRIM(I398&amp;"")="","",IF(AND(ISNUMBER(FIND(" ",TRIM(I398&amp;""))),ISNUMBER(MATCH(LEFT(TRIM(I398&amp;""),FIND(" ",TRIM(I398&amp;""))-1),설정_코드표!$J$2:$J$101,0)),ISNUMBER(MATCH(TRIM(RIGHT(SUBSTITUTE(TRIM(I398&amp;"")," ",REPT(" ",60)),60)),설정_코드표!$F$2:$F$101,0))),INDEX(설정_코드표!$K$2:$K$101,MATCH(LEFT(TRIM(I398&amp;""),FIND(" ",TRIM(I398&amp;""))-1),설정_코드표!$J$2:$J$101,0))&amp;" "&amp;INDEX(설정_코드표!$G$2:$G$101,MATCH(TRIM(RIGHT(SUBSTITUTE(TRIM(I398&amp;"")," ",REPT(" ",60)),60)),설정_코드표!$F$2:$F$101,0)),"⚠"&amp;TRIM(I398&amp;""))),"⚠"&amp;TRIM(I398&amp;""))</f>
        <v/>
      </c>
      <c r="R398" s="10">
        <f>IFERROR(IF(TRIM(J398&amp;"")="","",IF(AND(ISNUMBER(FIND(" ",TRIM(J398&amp;""))),ISNUMBER(MATCH(LEFT(TRIM(J398&amp;""),FIND(" ",TRIM(J398&amp;""))-1),설정_코드표!$J$2:$J$101,0)),ISNUMBER(MATCH(TRIM(RIGHT(SUBSTITUTE(TRIM(J398&amp;"")," ",REPT(" ",60)),60)),설정_코드표!$F$2:$F$101,0))),INDEX(설정_코드표!$K$2:$K$101,MATCH(LEFT(TRIM(J398&amp;""),FIND(" ",TRIM(J398&amp;""))-1),설정_코드표!$J$2:$J$101,0))&amp;" "&amp;INDEX(설정_코드표!$G$2:$G$101,MATCH(TRIM(RIGHT(SUBSTITUTE(TRIM(J398&amp;"")," ",REPT(" ",60)),60)),설정_코드표!$F$2:$F$101,0)),"⚠"&amp;TRIM(J398&amp;""))),"⚠"&amp;TRIM(J398&amp;""))</f>
        <v/>
      </c>
      <c r="S398" s="11">
        <f>IF(K398="","",IFERROR(IF(AND(ROUND((VALUE(K398&amp;"")-INT(VALUE(K398&amp;"")))*100,0)&gt;=1,ROUND((VALUE(K398&amp;"")-INT(VALUE(K398&amp;"")))*100,0)&lt;=12,INT(VALUE(K398&amp;""))&gt;=1900),DATE(INT(VALUE(K398&amp;"")),ROUND((VALUE(K398&amp;"")-INT(VALUE(K398&amp;"")))*100,0),1),K398&amp;""),K398&amp;""))</f>
        <v/>
      </c>
      <c r="T398" s="10">
        <f>COUNTIF(M398:R398,"⚠*")</f>
        <v/>
      </c>
    </row>
    <row r="399"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M399" s="10">
        <f>IFERROR(IF(TRIM(E399&amp;"")="","",IF(AND(ISNUMBER(FIND(" ",TRIM(E399&amp;""))),ISNUMBER(MATCH(LEFT(TRIM(E399&amp;""),FIND(" ",TRIM(E399&amp;""))-1),설정_코드표!$J$2:$J$101,0)),ISNUMBER(MATCH(TRIM(RIGHT(SUBSTITUTE(TRIM(E399&amp;"")," ",REPT(" ",60)),60)),설정_코드표!$F$2:$F$101,0))),INDEX(설정_코드표!$K$2:$K$101,MATCH(LEFT(TRIM(E399&amp;""),FIND(" ",TRIM(E399&amp;""))-1),설정_코드표!$J$2:$J$101,0))&amp;" "&amp;INDEX(설정_코드표!$G$2:$G$101,MATCH(TRIM(RIGHT(SUBSTITUTE(TRIM(E399&amp;"")," ",REPT(" ",60)),60)),설정_코드표!$F$2:$F$101,0)),"⚠"&amp;TRIM(E399&amp;""))),"⚠"&amp;TRIM(E399&amp;""))</f>
        <v/>
      </c>
      <c r="N399" s="10">
        <f>IFERROR(IF(TRIM(F399&amp;"")="","",IF(AND(ISNUMBER(FIND(" ",TRIM(F399&amp;""))),ISNUMBER(MATCH(LEFT(TRIM(F399&amp;""),FIND(" ",TRIM(F399&amp;""))-1),설정_코드표!$J$2:$J$101,0)),ISNUMBER(MATCH(TRIM(RIGHT(SUBSTITUTE(TRIM(F399&amp;"")," ",REPT(" ",60)),60)),설정_코드표!$F$2:$F$101,0))),INDEX(설정_코드표!$K$2:$K$101,MATCH(LEFT(TRIM(F399&amp;""),FIND(" ",TRIM(F399&amp;""))-1),설정_코드표!$J$2:$J$101,0))&amp;" "&amp;INDEX(설정_코드표!$G$2:$G$101,MATCH(TRIM(RIGHT(SUBSTITUTE(TRIM(F399&amp;"")," ",REPT(" ",60)),60)),설정_코드표!$F$2:$F$101,0)),"⚠"&amp;TRIM(F399&amp;""))),"⚠"&amp;TRIM(F399&amp;""))</f>
        <v/>
      </c>
      <c r="O399" s="10">
        <f>IFERROR(IF(TRIM(G399&amp;"")="","",IF(AND(ISNUMBER(FIND(" ",TRIM(G399&amp;""))),ISNUMBER(MATCH(LEFT(TRIM(G399&amp;""),FIND(" ",TRIM(G399&amp;""))-1),설정_코드표!$J$2:$J$101,0)),ISNUMBER(MATCH(TRIM(RIGHT(SUBSTITUTE(TRIM(G399&amp;"")," ",REPT(" ",60)),60)),설정_코드표!$F$2:$F$101,0))),INDEX(설정_코드표!$K$2:$K$101,MATCH(LEFT(TRIM(G399&amp;""),FIND(" ",TRIM(G399&amp;""))-1),설정_코드표!$J$2:$J$101,0))&amp;" "&amp;INDEX(설정_코드표!$G$2:$G$101,MATCH(TRIM(RIGHT(SUBSTITUTE(TRIM(G399&amp;"")," ",REPT(" ",60)),60)),설정_코드표!$F$2:$F$101,0)),"⚠"&amp;TRIM(G399&amp;""))),"⚠"&amp;TRIM(G399&amp;""))</f>
        <v/>
      </c>
      <c r="P399" s="10">
        <f>IFERROR(IF(TRIM(H399&amp;"")="","",IF(AND(ISNUMBER(FIND(" ",TRIM(H399&amp;""))),ISNUMBER(MATCH(LEFT(TRIM(H399&amp;""),FIND(" ",TRIM(H399&amp;""))-1),설정_코드표!$J$2:$J$101,0)),ISNUMBER(MATCH(TRIM(RIGHT(SUBSTITUTE(TRIM(H399&amp;"")," ",REPT(" ",60)),60)),설정_코드표!$F$2:$F$101,0))),INDEX(설정_코드표!$K$2:$K$101,MATCH(LEFT(TRIM(H399&amp;""),FIND(" ",TRIM(H399&amp;""))-1),설정_코드표!$J$2:$J$101,0))&amp;" "&amp;INDEX(설정_코드표!$G$2:$G$101,MATCH(TRIM(RIGHT(SUBSTITUTE(TRIM(H399&amp;"")," ",REPT(" ",60)),60)),설정_코드표!$F$2:$F$101,0)),"⚠"&amp;TRIM(H399&amp;""))),"⚠"&amp;TRIM(H399&amp;""))</f>
        <v/>
      </c>
      <c r="Q399" s="10">
        <f>IFERROR(IF(TRIM(I399&amp;"")="","",IF(AND(ISNUMBER(FIND(" ",TRIM(I399&amp;""))),ISNUMBER(MATCH(LEFT(TRIM(I399&amp;""),FIND(" ",TRIM(I399&amp;""))-1),설정_코드표!$J$2:$J$101,0)),ISNUMBER(MATCH(TRIM(RIGHT(SUBSTITUTE(TRIM(I399&amp;"")," ",REPT(" ",60)),60)),설정_코드표!$F$2:$F$101,0))),INDEX(설정_코드표!$K$2:$K$101,MATCH(LEFT(TRIM(I399&amp;""),FIND(" ",TRIM(I399&amp;""))-1),설정_코드표!$J$2:$J$101,0))&amp;" "&amp;INDEX(설정_코드표!$G$2:$G$101,MATCH(TRIM(RIGHT(SUBSTITUTE(TRIM(I399&amp;"")," ",REPT(" ",60)),60)),설정_코드표!$F$2:$F$101,0)),"⚠"&amp;TRIM(I399&amp;""))),"⚠"&amp;TRIM(I399&amp;""))</f>
        <v/>
      </c>
      <c r="R399" s="10">
        <f>IFERROR(IF(TRIM(J399&amp;"")="","",IF(AND(ISNUMBER(FIND(" ",TRIM(J399&amp;""))),ISNUMBER(MATCH(LEFT(TRIM(J399&amp;""),FIND(" ",TRIM(J399&amp;""))-1),설정_코드표!$J$2:$J$101,0)),ISNUMBER(MATCH(TRIM(RIGHT(SUBSTITUTE(TRIM(J399&amp;"")," ",REPT(" ",60)),60)),설정_코드표!$F$2:$F$101,0))),INDEX(설정_코드표!$K$2:$K$101,MATCH(LEFT(TRIM(J399&amp;""),FIND(" ",TRIM(J399&amp;""))-1),설정_코드표!$J$2:$J$101,0))&amp;" "&amp;INDEX(설정_코드표!$G$2:$G$101,MATCH(TRIM(RIGHT(SUBSTITUTE(TRIM(J399&amp;"")," ",REPT(" ",60)),60)),설정_코드표!$F$2:$F$101,0)),"⚠"&amp;TRIM(J399&amp;""))),"⚠"&amp;TRIM(J399&amp;""))</f>
        <v/>
      </c>
      <c r="S399" s="11">
        <f>IF(K399="","",IFERROR(IF(AND(ROUND((VALUE(K399&amp;"")-INT(VALUE(K399&amp;"")))*100,0)&gt;=1,ROUND((VALUE(K399&amp;"")-INT(VALUE(K399&amp;"")))*100,0)&lt;=12,INT(VALUE(K399&amp;""))&gt;=1900),DATE(INT(VALUE(K399&amp;"")),ROUND((VALUE(K399&amp;"")-INT(VALUE(K399&amp;"")))*100,0),1),K399&amp;""),K399&amp;""))</f>
        <v/>
      </c>
      <c r="T399" s="10">
        <f>COUNTIF(M399:R399,"⚠*")</f>
        <v/>
      </c>
    </row>
    <row r="400"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M400" s="10">
        <f>IFERROR(IF(TRIM(E400&amp;"")="","",IF(AND(ISNUMBER(FIND(" ",TRIM(E400&amp;""))),ISNUMBER(MATCH(LEFT(TRIM(E400&amp;""),FIND(" ",TRIM(E400&amp;""))-1),설정_코드표!$J$2:$J$101,0)),ISNUMBER(MATCH(TRIM(RIGHT(SUBSTITUTE(TRIM(E400&amp;"")," ",REPT(" ",60)),60)),설정_코드표!$F$2:$F$101,0))),INDEX(설정_코드표!$K$2:$K$101,MATCH(LEFT(TRIM(E400&amp;""),FIND(" ",TRIM(E400&amp;""))-1),설정_코드표!$J$2:$J$101,0))&amp;" "&amp;INDEX(설정_코드표!$G$2:$G$101,MATCH(TRIM(RIGHT(SUBSTITUTE(TRIM(E400&amp;"")," ",REPT(" ",60)),60)),설정_코드표!$F$2:$F$101,0)),"⚠"&amp;TRIM(E400&amp;""))),"⚠"&amp;TRIM(E400&amp;""))</f>
        <v/>
      </c>
      <c r="N400" s="10">
        <f>IFERROR(IF(TRIM(F400&amp;"")="","",IF(AND(ISNUMBER(FIND(" ",TRIM(F400&amp;""))),ISNUMBER(MATCH(LEFT(TRIM(F400&amp;""),FIND(" ",TRIM(F400&amp;""))-1),설정_코드표!$J$2:$J$101,0)),ISNUMBER(MATCH(TRIM(RIGHT(SUBSTITUTE(TRIM(F400&amp;"")," ",REPT(" ",60)),60)),설정_코드표!$F$2:$F$101,0))),INDEX(설정_코드표!$K$2:$K$101,MATCH(LEFT(TRIM(F400&amp;""),FIND(" ",TRIM(F400&amp;""))-1),설정_코드표!$J$2:$J$101,0))&amp;" "&amp;INDEX(설정_코드표!$G$2:$G$101,MATCH(TRIM(RIGHT(SUBSTITUTE(TRIM(F400&amp;"")," ",REPT(" ",60)),60)),설정_코드표!$F$2:$F$101,0)),"⚠"&amp;TRIM(F400&amp;""))),"⚠"&amp;TRIM(F400&amp;""))</f>
        <v/>
      </c>
      <c r="O400" s="10">
        <f>IFERROR(IF(TRIM(G400&amp;"")="","",IF(AND(ISNUMBER(FIND(" ",TRIM(G400&amp;""))),ISNUMBER(MATCH(LEFT(TRIM(G400&amp;""),FIND(" ",TRIM(G400&amp;""))-1),설정_코드표!$J$2:$J$101,0)),ISNUMBER(MATCH(TRIM(RIGHT(SUBSTITUTE(TRIM(G400&amp;"")," ",REPT(" ",60)),60)),설정_코드표!$F$2:$F$101,0))),INDEX(설정_코드표!$K$2:$K$101,MATCH(LEFT(TRIM(G400&amp;""),FIND(" ",TRIM(G400&amp;""))-1),설정_코드표!$J$2:$J$101,0))&amp;" "&amp;INDEX(설정_코드표!$G$2:$G$101,MATCH(TRIM(RIGHT(SUBSTITUTE(TRIM(G400&amp;"")," ",REPT(" ",60)),60)),설정_코드표!$F$2:$F$101,0)),"⚠"&amp;TRIM(G400&amp;""))),"⚠"&amp;TRIM(G400&amp;""))</f>
        <v/>
      </c>
      <c r="P400" s="10">
        <f>IFERROR(IF(TRIM(H400&amp;"")="","",IF(AND(ISNUMBER(FIND(" ",TRIM(H400&amp;""))),ISNUMBER(MATCH(LEFT(TRIM(H400&amp;""),FIND(" ",TRIM(H400&amp;""))-1),설정_코드표!$J$2:$J$101,0)),ISNUMBER(MATCH(TRIM(RIGHT(SUBSTITUTE(TRIM(H400&amp;"")," ",REPT(" ",60)),60)),설정_코드표!$F$2:$F$101,0))),INDEX(설정_코드표!$K$2:$K$101,MATCH(LEFT(TRIM(H400&amp;""),FIND(" ",TRIM(H400&amp;""))-1),설정_코드표!$J$2:$J$101,0))&amp;" "&amp;INDEX(설정_코드표!$G$2:$G$101,MATCH(TRIM(RIGHT(SUBSTITUTE(TRIM(H400&amp;"")," ",REPT(" ",60)),60)),설정_코드표!$F$2:$F$101,0)),"⚠"&amp;TRIM(H400&amp;""))),"⚠"&amp;TRIM(H400&amp;""))</f>
        <v/>
      </c>
      <c r="Q400" s="10">
        <f>IFERROR(IF(TRIM(I400&amp;"")="","",IF(AND(ISNUMBER(FIND(" ",TRIM(I400&amp;""))),ISNUMBER(MATCH(LEFT(TRIM(I400&amp;""),FIND(" ",TRIM(I400&amp;""))-1),설정_코드표!$J$2:$J$101,0)),ISNUMBER(MATCH(TRIM(RIGHT(SUBSTITUTE(TRIM(I400&amp;"")," ",REPT(" ",60)),60)),설정_코드표!$F$2:$F$101,0))),INDEX(설정_코드표!$K$2:$K$101,MATCH(LEFT(TRIM(I400&amp;""),FIND(" ",TRIM(I400&amp;""))-1),설정_코드표!$J$2:$J$101,0))&amp;" "&amp;INDEX(설정_코드표!$G$2:$G$101,MATCH(TRIM(RIGHT(SUBSTITUTE(TRIM(I400&amp;"")," ",REPT(" ",60)),60)),설정_코드표!$F$2:$F$101,0)),"⚠"&amp;TRIM(I400&amp;""))),"⚠"&amp;TRIM(I400&amp;""))</f>
        <v/>
      </c>
      <c r="R400" s="10">
        <f>IFERROR(IF(TRIM(J400&amp;"")="","",IF(AND(ISNUMBER(FIND(" ",TRIM(J400&amp;""))),ISNUMBER(MATCH(LEFT(TRIM(J400&amp;""),FIND(" ",TRIM(J400&amp;""))-1),설정_코드표!$J$2:$J$101,0)),ISNUMBER(MATCH(TRIM(RIGHT(SUBSTITUTE(TRIM(J400&amp;"")," ",REPT(" ",60)),60)),설정_코드표!$F$2:$F$101,0))),INDEX(설정_코드표!$K$2:$K$101,MATCH(LEFT(TRIM(J400&amp;""),FIND(" ",TRIM(J400&amp;""))-1),설정_코드표!$J$2:$J$101,0))&amp;" "&amp;INDEX(설정_코드표!$G$2:$G$101,MATCH(TRIM(RIGHT(SUBSTITUTE(TRIM(J400&amp;"")," ",REPT(" ",60)),60)),설정_코드표!$F$2:$F$101,0)),"⚠"&amp;TRIM(J400&amp;""))),"⚠"&amp;TRIM(J400&amp;""))</f>
        <v/>
      </c>
      <c r="S400" s="11">
        <f>IF(K400="","",IFERROR(IF(AND(ROUND((VALUE(K400&amp;"")-INT(VALUE(K400&amp;"")))*100,0)&gt;=1,ROUND((VALUE(K400&amp;"")-INT(VALUE(K400&amp;"")))*100,0)&lt;=12,INT(VALUE(K400&amp;""))&gt;=1900),DATE(INT(VALUE(K400&amp;"")),ROUND((VALUE(K400&amp;"")-INT(VALUE(K400&amp;"")))*100,0),1),K400&amp;""),K400&amp;""))</f>
        <v/>
      </c>
      <c r="T400" s="10">
        <f>COUNTIF(M400:R400,"⚠*")</f>
        <v/>
      </c>
    </row>
    <row r="401"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M401" s="10">
        <f>IFERROR(IF(TRIM(E401&amp;"")="","",IF(AND(ISNUMBER(FIND(" ",TRIM(E401&amp;""))),ISNUMBER(MATCH(LEFT(TRIM(E401&amp;""),FIND(" ",TRIM(E401&amp;""))-1),설정_코드표!$J$2:$J$101,0)),ISNUMBER(MATCH(TRIM(RIGHT(SUBSTITUTE(TRIM(E401&amp;"")," ",REPT(" ",60)),60)),설정_코드표!$F$2:$F$101,0))),INDEX(설정_코드표!$K$2:$K$101,MATCH(LEFT(TRIM(E401&amp;""),FIND(" ",TRIM(E401&amp;""))-1),설정_코드표!$J$2:$J$101,0))&amp;" "&amp;INDEX(설정_코드표!$G$2:$G$101,MATCH(TRIM(RIGHT(SUBSTITUTE(TRIM(E401&amp;"")," ",REPT(" ",60)),60)),설정_코드표!$F$2:$F$101,0)),"⚠"&amp;TRIM(E401&amp;""))),"⚠"&amp;TRIM(E401&amp;""))</f>
        <v/>
      </c>
      <c r="N401" s="10">
        <f>IFERROR(IF(TRIM(F401&amp;"")="","",IF(AND(ISNUMBER(FIND(" ",TRIM(F401&amp;""))),ISNUMBER(MATCH(LEFT(TRIM(F401&amp;""),FIND(" ",TRIM(F401&amp;""))-1),설정_코드표!$J$2:$J$101,0)),ISNUMBER(MATCH(TRIM(RIGHT(SUBSTITUTE(TRIM(F401&amp;"")," ",REPT(" ",60)),60)),설정_코드표!$F$2:$F$101,0))),INDEX(설정_코드표!$K$2:$K$101,MATCH(LEFT(TRIM(F401&amp;""),FIND(" ",TRIM(F401&amp;""))-1),설정_코드표!$J$2:$J$101,0))&amp;" "&amp;INDEX(설정_코드표!$G$2:$G$101,MATCH(TRIM(RIGHT(SUBSTITUTE(TRIM(F401&amp;"")," ",REPT(" ",60)),60)),설정_코드표!$F$2:$F$101,0)),"⚠"&amp;TRIM(F401&amp;""))),"⚠"&amp;TRIM(F401&amp;""))</f>
        <v/>
      </c>
      <c r="O401" s="10">
        <f>IFERROR(IF(TRIM(G401&amp;"")="","",IF(AND(ISNUMBER(FIND(" ",TRIM(G401&amp;""))),ISNUMBER(MATCH(LEFT(TRIM(G401&amp;""),FIND(" ",TRIM(G401&amp;""))-1),설정_코드표!$J$2:$J$101,0)),ISNUMBER(MATCH(TRIM(RIGHT(SUBSTITUTE(TRIM(G401&amp;"")," ",REPT(" ",60)),60)),설정_코드표!$F$2:$F$101,0))),INDEX(설정_코드표!$K$2:$K$101,MATCH(LEFT(TRIM(G401&amp;""),FIND(" ",TRIM(G401&amp;""))-1),설정_코드표!$J$2:$J$101,0))&amp;" "&amp;INDEX(설정_코드표!$G$2:$G$101,MATCH(TRIM(RIGHT(SUBSTITUTE(TRIM(G401&amp;"")," ",REPT(" ",60)),60)),설정_코드표!$F$2:$F$101,0)),"⚠"&amp;TRIM(G401&amp;""))),"⚠"&amp;TRIM(G401&amp;""))</f>
        <v/>
      </c>
      <c r="P401" s="10">
        <f>IFERROR(IF(TRIM(H401&amp;"")="","",IF(AND(ISNUMBER(FIND(" ",TRIM(H401&amp;""))),ISNUMBER(MATCH(LEFT(TRIM(H401&amp;""),FIND(" ",TRIM(H401&amp;""))-1),설정_코드표!$J$2:$J$101,0)),ISNUMBER(MATCH(TRIM(RIGHT(SUBSTITUTE(TRIM(H401&amp;"")," ",REPT(" ",60)),60)),설정_코드표!$F$2:$F$101,0))),INDEX(설정_코드표!$K$2:$K$101,MATCH(LEFT(TRIM(H401&amp;""),FIND(" ",TRIM(H401&amp;""))-1),설정_코드표!$J$2:$J$101,0))&amp;" "&amp;INDEX(설정_코드표!$G$2:$G$101,MATCH(TRIM(RIGHT(SUBSTITUTE(TRIM(H401&amp;"")," ",REPT(" ",60)),60)),설정_코드표!$F$2:$F$101,0)),"⚠"&amp;TRIM(H401&amp;""))),"⚠"&amp;TRIM(H401&amp;""))</f>
        <v/>
      </c>
      <c r="Q401" s="10">
        <f>IFERROR(IF(TRIM(I401&amp;"")="","",IF(AND(ISNUMBER(FIND(" ",TRIM(I401&amp;""))),ISNUMBER(MATCH(LEFT(TRIM(I401&amp;""),FIND(" ",TRIM(I401&amp;""))-1),설정_코드표!$J$2:$J$101,0)),ISNUMBER(MATCH(TRIM(RIGHT(SUBSTITUTE(TRIM(I401&amp;"")," ",REPT(" ",60)),60)),설정_코드표!$F$2:$F$101,0))),INDEX(설정_코드표!$K$2:$K$101,MATCH(LEFT(TRIM(I401&amp;""),FIND(" ",TRIM(I401&amp;""))-1),설정_코드표!$J$2:$J$101,0))&amp;" "&amp;INDEX(설정_코드표!$G$2:$G$101,MATCH(TRIM(RIGHT(SUBSTITUTE(TRIM(I401&amp;"")," ",REPT(" ",60)),60)),설정_코드표!$F$2:$F$101,0)),"⚠"&amp;TRIM(I401&amp;""))),"⚠"&amp;TRIM(I401&amp;""))</f>
        <v/>
      </c>
      <c r="R401" s="10">
        <f>IFERROR(IF(TRIM(J401&amp;"")="","",IF(AND(ISNUMBER(FIND(" ",TRIM(J401&amp;""))),ISNUMBER(MATCH(LEFT(TRIM(J401&amp;""),FIND(" ",TRIM(J401&amp;""))-1),설정_코드표!$J$2:$J$101,0)),ISNUMBER(MATCH(TRIM(RIGHT(SUBSTITUTE(TRIM(J401&amp;"")," ",REPT(" ",60)),60)),설정_코드표!$F$2:$F$101,0))),INDEX(설정_코드표!$K$2:$K$101,MATCH(LEFT(TRIM(J401&amp;""),FIND(" ",TRIM(J401&amp;""))-1),설정_코드표!$J$2:$J$101,0))&amp;" "&amp;INDEX(설정_코드표!$G$2:$G$101,MATCH(TRIM(RIGHT(SUBSTITUTE(TRIM(J401&amp;"")," ",REPT(" ",60)),60)),설정_코드표!$F$2:$F$101,0)),"⚠"&amp;TRIM(J401&amp;""))),"⚠"&amp;TRIM(J401&amp;""))</f>
        <v/>
      </c>
      <c r="S401" s="11">
        <f>IF(K401="","",IFERROR(IF(AND(ROUND((VALUE(K401&amp;"")-INT(VALUE(K401&amp;"")))*100,0)&gt;=1,ROUND((VALUE(K401&amp;"")-INT(VALUE(K401&amp;"")))*100,0)&lt;=12,INT(VALUE(K401&amp;""))&gt;=1900),DATE(INT(VALUE(K401&amp;"")),ROUND((VALUE(K401&amp;"")-INT(VALUE(K401&amp;"")))*100,0),1),K401&amp;""),K401&amp;""))</f>
        <v/>
      </c>
      <c r="T401" s="10">
        <f>COUNTIF(M401:R401,"⚠*")</f>
        <v/>
      </c>
    </row>
    <row r="402"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M402" s="10">
        <f>IFERROR(IF(TRIM(E402&amp;"")="","",IF(AND(ISNUMBER(FIND(" ",TRIM(E402&amp;""))),ISNUMBER(MATCH(LEFT(TRIM(E402&amp;""),FIND(" ",TRIM(E402&amp;""))-1),설정_코드표!$J$2:$J$101,0)),ISNUMBER(MATCH(TRIM(RIGHT(SUBSTITUTE(TRIM(E402&amp;"")," ",REPT(" ",60)),60)),설정_코드표!$F$2:$F$101,0))),INDEX(설정_코드표!$K$2:$K$101,MATCH(LEFT(TRIM(E402&amp;""),FIND(" ",TRIM(E402&amp;""))-1),설정_코드표!$J$2:$J$101,0))&amp;" "&amp;INDEX(설정_코드표!$G$2:$G$101,MATCH(TRIM(RIGHT(SUBSTITUTE(TRIM(E402&amp;"")," ",REPT(" ",60)),60)),설정_코드표!$F$2:$F$101,0)),"⚠"&amp;TRIM(E402&amp;""))),"⚠"&amp;TRIM(E402&amp;""))</f>
        <v/>
      </c>
      <c r="N402" s="10">
        <f>IFERROR(IF(TRIM(F402&amp;"")="","",IF(AND(ISNUMBER(FIND(" ",TRIM(F402&amp;""))),ISNUMBER(MATCH(LEFT(TRIM(F402&amp;""),FIND(" ",TRIM(F402&amp;""))-1),설정_코드표!$J$2:$J$101,0)),ISNUMBER(MATCH(TRIM(RIGHT(SUBSTITUTE(TRIM(F402&amp;"")," ",REPT(" ",60)),60)),설정_코드표!$F$2:$F$101,0))),INDEX(설정_코드표!$K$2:$K$101,MATCH(LEFT(TRIM(F402&amp;""),FIND(" ",TRIM(F402&amp;""))-1),설정_코드표!$J$2:$J$101,0))&amp;" "&amp;INDEX(설정_코드표!$G$2:$G$101,MATCH(TRIM(RIGHT(SUBSTITUTE(TRIM(F402&amp;"")," ",REPT(" ",60)),60)),설정_코드표!$F$2:$F$101,0)),"⚠"&amp;TRIM(F402&amp;""))),"⚠"&amp;TRIM(F402&amp;""))</f>
        <v/>
      </c>
      <c r="O402" s="10">
        <f>IFERROR(IF(TRIM(G402&amp;"")="","",IF(AND(ISNUMBER(FIND(" ",TRIM(G402&amp;""))),ISNUMBER(MATCH(LEFT(TRIM(G402&amp;""),FIND(" ",TRIM(G402&amp;""))-1),설정_코드표!$J$2:$J$101,0)),ISNUMBER(MATCH(TRIM(RIGHT(SUBSTITUTE(TRIM(G402&amp;"")," ",REPT(" ",60)),60)),설정_코드표!$F$2:$F$101,0))),INDEX(설정_코드표!$K$2:$K$101,MATCH(LEFT(TRIM(G402&amp;""),FIND(" ",TRIM(G402&amp;""))-1),설정_코드표!$J$2:$J$101,0))&amp;" "&amp;INDEX(설정_코드표!$G$2:$G$101,MATCH(TRIM(RIGHT(SUBSTITUTE(TRIM(G402&amp;"")," ",REPT(" ",60)),60)),설정_코드표!$F$2:$F$101,0)),"⚠"&amp;TRIM(G402&amp;""))),"⚠"&amp;TRIM(G402&amp;""))</f>
        <v/>
      </c>
      <c r="P402" s="10">
        <f>IFERROR(IF(TRIM(H402&amp;"")="","",IF(AND(ISNUMBER(FIND(" ",TRIM(H402&amp;""))),ISNUMBER(MATCH(LEFT(TRIM(H402&amp;""),FIND(" ",TRIM(H402&amp;""))-1),설정_코드표!$J$2:$J$101,0)),ISNUMBER(MATCH(TRIM(RIGHT(SUBSTITUTE(TRIM(H402&amp;"")," ",REPT(" ",60)),60)),설정_코드표!$F$2:$F$101,0))),INDEX(설정_코드표!$K$2:$K$101,MATCH(LEFT(TRIM(H402&amp;""),FIND(" ",TRIM(H402&amp;""))-1),설정_코드표!$J$2:$J$101,0))&amp;" "&amp;INDEX(설정_코드표!$G$2:$G$101,MATCH(TRIM(RIGHT(SUBSTITUTE(TRIM(H402&amp;"")," ",REPT(" ",60)),60)),설정_코드표!$F$2:$F$101,0)),"⚠"&amp;TRIM(H402&amp;""))),"⚠"&amp;TRIM(H402&amp;""))</f>
        <v/>
      </c>
      <c r="Q402" s="10">
        <f>IFERROR(IF(TRIM(I402&amp;"")="","",IF(AND(ISNUMBER(FIND(" ",TRIM(I402&amp;""))),ISNUMBER(MATCH(LEFT(TRIM(I402&amp;""),FIND(" ",TRIM(I402&amp;""))-1),설정_코드표!$J$2:$J$101,0)),ISNUMBER(MATCH(TRIM(RIGHT(SUBSTITUTE(TRIM(I402&amp;"")," ",REPT(" ",60)),60)),설정_코드표!$F$2:$F$101,0))),INDEX(설정_코드표!$K$2:$K$101,MATCH(LEFT(TRIM(I402&amp;""),FIND(" ",TRIM(I402&amp;""))-1),설정_코드표!$J$2:$J$101,0))&amp;" "&amp;INDEX(설정_코드표!$G$2:$G$101,MATCH(TRIM(RIGHT(SUBSTITUTE(TRIM(I402&amp;"")," ",REPT(" ",60)),60)),설정_코드표!$F$2:$F$101,0)),"⚠"&amp;TRIM(I402&amp;""))),"⚠"&amp;TRIM(I402&amp;""))</f>
        <v/>
      </c>
      <c r="R402" s="10">
        <f>IFERROR(IF(TRIM(J402&amp;"")="","",IF(AND(ISNUMBER(FIND(" ",TRIM(J402&amp;""))),ISNUMBER(MATCH(LEFT(TRIM(J402&amp;""),FIND(" ",TRIM(J402&amp;""))-1),설정_코드표!$J$2:$J$101,0)),ISNUMBER(MATCH(TRIM(RIGHT(SUBSTITUTE(TRIM(J402&amp;"")," ",REPT(" ",60)),60)),설정_코드표!$F$2:$F$101,0))),INDEX(설정_코드표!$K$2:$K$101,MATCH(LEFT(TRIM(J402&amp;""),FIND(" ",TRIM(J402&amp;""))-1),설정_코드표!$J$2:$J$101,0))&amp;" "&amp;INDEX(설정_코드표!$G$2:$G$101,MATCH(TRIM(RIGHT(SUBSTITUTE(TRIM(J402&amp;"")," ",REPT(" ",60)),60)),설정_코드표!$F$2:$F$101,0)),"⚠"&amp;TRIM(J402&amp;""))),"⚠"&amp;TRIM(J402&amp;""))</f>
        <v/>
      </c>
      <c r="S402" s="11">
        <f>IF(K402="","",IFERROR(IF(AND(ROUND((VALUE(K402&amp;"")-INT(VALUE(K402&amp;"")))*100,0)&gt;=1,ROUND((VALUE(K402&amp;"")-INT(VALUE(K402&amp;"")))*100,0)&lt;=12,INT(VALUE(K402&amp;""))&gt;=1900),DATE(INT(VALUE(K402&amp;"")),ROUND((VALUE(K402&amp;"")-INT(VALUE(K402&amp;"")))*100,0),1),K402&amp;""),K402&amp;""))</f>
        <v/>
      </c>
      <c r="T402" s="10">
        <f>COUNTIF(M402:R402,"⚠*")</f>
        <v/>
      </c>
    </row>
  </sheetData>
  <mergeCells count="1">
    <mergeCell ref="B1:K1"/>
  </mergeCells>
  <conditionalFormatting sqref="E3:J402">
    <cfRule type="expression" priority="1" dxfId="0">
      <formula>LEFT(M3,1)="⚠"</formula>
    </cfRule>
  </conditionalFormatting>
  <conditionalFormatting sqref="M3:R402">
    <cfRule type="expression" priority="2" dxfId="1">
      <formula>LEFT(M3,1)="⚠"</formula>
    </cfRule>
  </conditionalFormatting>
  <dataValidations count="1">
    <dataValidation sqref="E3:J402" showDropDown="0" showInputMessage="0" showErrorMessage="1" allowBlank="1" errorTitle="등록되지 않은 병원/진료과" error="'지역 진료과' 형식(예: 서울 내과, 제주 산부)으로 입력하세요.&#10;처음 보는 지역이나 진료과(약칭)라면 먼저 '코드표' 시트에 추가한 뒤 다시 입력하세요." type="custom" errorStyle="stop">
      <formula1>AND(ISNUMBER(FIND(" ",TRIM(E3))),ISNUMBER(MATCH(LEFT(TRIM(E3),FIND(" ",TRIM(E3))-1),INDIRECT("설정_코드표!$J$2:$J$101"),0)),ISNUMBER(MATCH(TRIM(RIGHT(SUBSTITUTE(TRIM(E3)," ",REPT(" ",60)),60)),INDIRECT("설정_코드표!$F$2:$F$101"),0)))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F5597"/>
    <outlinePr summaryBelow="1" summaryRight="1"/>
    <pageSetUpPr/>
  </sheetPr>
  <dimension ref="A1:AE803"/>
  <sheetViews>
    <sheetView workbookViewId="0">
      <pane xSplit="7" ySplit="3" topLeftCell="H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14" customWidth="1" min="4" max="4"/>
    <col width="9" customWidth="1" min="5" max="5"/>
    <col width="10" customWidth="1" min="6" max="6"/>
    <col width="11" customWidth="1" min="7" max="7"/>
    <col width="12" customWidth="1" min="8" max="8"/>
    <col width="12" customWidth="1" min="9" max="9"/>
    <col width="9" customWidth="1" min="10" max="10"/>
    <col width="16" customWidth="1" min="11" max="11"/>
    <col width="14" customWidth="1" min="12" max="12"/>
    <col width="14" customWidth="1" min="13" max="13"/>
    <col width="20" customWidth="1" min="14" max="14"/>
    <col width="30" customWidth="1" min="15" max="15"/>
    <col width="3" customWidth="1" min="16" max="16"/>
    <col width="12" customWidth="1" min="17" max="17"/>
    <col width="12" customWidth="1" min="18" max="18"/>
    <col width="13" customWidth="1" min="19" max="19"/>
    <col width="11" customWidth="1" min="20" max="20"/>
    <col width="15" customWidth="1" min="21" max="21"/>
    <col width="9" customWidth="1" min="22" max="22"/>
    <col width="11" customWidth="1" min="23" max="23"/>
    <col width="10" customWidth="1" min="24" max="24"/>
    <col width="16" customWidth="1" min="25" max="25"/>
    <col width="14" customWidth="1" min="26" max="26"/>
    <col width="22" customWidth="1" min="27" max="27"/>
    <col width="12" customWidth="1" min="28" max="28"/>
    <col width="12" customWidth="1" min="29" max="29"/>
    <col width="12" customWidth="1" min="30" max="30"/>
    <col width="14" customWidth="1" min="31" max="31"/>
  </cols>
  <sheetData>
    <row r="1">
      <c r="A1" s="12" t="inlineStr">
        <is>
          <t>연번</t>
        </is>
      </c>
      <c r="B1" s="12" t="inlineStr">
        <is>
          <t>모병원명</t>
        </is>
      </c>
      <c r="C1" s="12" t="inlineStr">
        <is>
          <t>수련
종별
(I/R)</t>
        </is>
      </c>
      <c r="D1" s="12" t="inlineStr">
        <is>
          <t>수련
과목</t>
        </is>
      </c>
      <c r="E1" s="12" t="inlineStr">
        <is>
          <t>연차</t>
        </is>
      </c>
      <c r="F1" s="12" t="inlineStr">
        <is>
          <t>성명</t>
        </is>
      </c>
      <c r="G1" s="12" t="inlineStr">
        <is>
          <t>전공의
등록번호</t>
        </is>
      </c>
      <c r="H1" s="12" t="inlineStr">
        <is>
          <t>파견시작일</t>
        </is>
      </c>
      <c r="I1" s="12" t="inlineStr">
        <is>
          <t>파견종료일</t>
        </is>
      </c>
      <c r="J1" s="12" t="inlineStr">
        <is>
          <t>파견일수</t>
        </is>
      </c>
      <c r="K1" s="12" t="inlineStr">
        <is>
          <t>파견병원</t>
        </is>
      </c>
      <c r="L1" s="12" t="inlineStr">
        <is>
          <t>파견
과목</t>
        </is>
      </c>
      <c r="M1" s="12" t="inlineStr">
        <is>
          <t>파견근거
(모자/통합수련)</t>
        </is>
      </c>
      <c r="N1" s="12" t="inlineStr">
        <is>
          <t>비고</t>
        </is>
      </c>
      <c r="Q1" s="8" t="inlineStr">
        <is>
          <t>↓ 자동 계산 (수정 금지) — 병원/과목은 코드표 기준으로 통일, 인식 불가는 ⚠ 표시</t>
        </is>
      </c>
    </row>
    <row r="2">
      <c r="A2" s="13" t="n"/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</row>
    <row r="3" ht="30" customHeight="1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Q3" s="9" t="inlineStr">
        <is>
          <t>키(등록번호)</t>
        </is>
      </c>
      <c r="R3" s="9" t="inlineStr">
        <is>
          <t>모병원(정규화)</t>
        </is>
      </c>
      <c r="S3" s="9" t="inlineStr">
        <is>
          <t>파견병원(정규화)</t>
        </is>
      </c>
      <c r="T3" s="9" t="inlineStr">
        <is>
          <t>파견근거(정규화)</t>
        </is>
      </c>
      <c r="U3" s="9" t="inlineStr">
        <is>
          <t>파견과목(정규화)</t>
        </is>
      </c>
      <c r="V3" s="9" t="inlineStr">
        <is>
          <t>파견일수(계산)</t>
        </is>
      </c>
      <c r="W3" s="9" t="inlineStr">
        <is>
          <t>급여기준월 겹침일수</t>
        </is>
      </c>
      <c r="X3" s="9" t="inlineStr">
        <is>
          <t>상태</t>
        </is>
      </c>
      <c r="Y3" s="9" t="inlineStr">
        <is>
          <t>키|상태</t>
        </is>
      </c>
      <c r="Z3" s="9" t="inlineStr">
        <is>
          <t>키|기준월</t>
        </is>
      </c>
      <c r="AA3" s="9" t="inlineStr">
        <is>
          <t>입력 오류</t>
        </is>
      </c>
      <c r="AB3" s="9" t="inlineStr">
        <is>
          <t>비고 다기관 시작</t>
        </is>
      </c>
      <c r="AC3" s="9" t="inlineStr">
        <is>
          <t>비고 다기관 종료</t>
        </is>
      </c>
      <c r="AD3" s="9" t="inlineStr">
        <is>
          <t>비고 다기관 기준월 겹침일수</t>
        </is>
      </c>
      <c r="AE3" s="9" t="inlineStr">
        <is>
          <t>키|다기관</t>
        </is>
      </c>
    </row>
    <row r="4">
      <c r="A4" s="15">
        <f>IF(F4="","",ROW()-3)</f>
        <v/>
      </c>
      <c r="B4" s="5" t="inlineStr">
        <is>
          <t>한양대학교병원</t>
        </is>
      </c>
      <c r="C4" s="15" t="inlineStr">
        <is>
          <t>R</t>
        </is>
      </c>
      <c r="D4" s="5" t="inlineStr">
        <is>
          <t>내과</t>
        </is>
      </c>
      <c r="E4" s="15" t="n">
        <v>3</v>
      </c>
      <c r="F4" s="5" t="inlineStr">
        <is>
          <t>박ㅇㅇ</t>
        </is>
      </c>
      <c r="G4" s="6" t="inlineStr">
        <is>
          <t>21-1111</t>
        </is>
      </c>
      <c r="H4" s="16" t="n">
        <v>46144</v>
      </c>
      <c r="I4" s="16" t="n">
        <v>46265</v>
      </c>
      <c r="J4" s="15">
        <f>IF(AND(ISNUMBER(H4),ISNUMBER(I4)),I4-H4+1,"")</f>
        <v/>
      </c>
      <c r="K4" s="5" t="inlineStr">
        <is>
          <t>한양대구리병원</t>
        </is>
      </c>
      <c r="L4" s="5" t="inlineStr">
        <is>
          <t>내과</t>
        </is>
      </c>
      <c r="M4" s="5" t="inlineStr">
        <is>
          <t>모자</t>
        </is>
      </c>
      <c r="N4" s="5" t="n"/>
      <c r="O4" s="5" t="inlineStr">
        <is>
          <t>2026.09.01-2026.09.30 다기관 파견</t>
        </is>
      </c>
      <c r="Q4" s="10">
        <f>IF(TRIM(G4&amp;"")="","",TRIM(G4&amp;""))</f>
        <v/>
      </c>
      <c r="R4" s="10">
        <f>IF(TRIM(B4&amp;"")="","",IFERROR(INDEX(설정_코드표!$K$2:$K$101,MATCH(TRIM(B4&amp;""),설정_코드표!$J$2:$J$101,0)),"⚠"&amp;TRIM(B4&amp;"")))</f>
        <v/>
      </c>
      <c r="S4" s="10">
        <f>IF(TRIM(K4&amp;"")="","",IFERROR(INDEX(설정_코드표!$K$2:$K$101,MATCH(TRIM(K4&amp;""),설정_코드표!$J$2:$J$101,0)),"⚠"&amp;TRIM(K4&amp;"")))</f>
        <v/>
      </c>
      <c r="T4" s="10">
        <f>IF(TRIM(M4&amp;"")="","",IF(ISNUMBER(MATCH(TRIM(M4&amp;""),설정_코드표!$C$2:$C$11,0)),TRIM(M4&amp;""),"⚠"&amp;TRIM(M4&amp;"")))</f>
        <v/>
      </c>
      <c r="U4" s="10">
        <f>IF(TRIM(L4&amp;"")="","",IFERROR(INDEX(설정_코드표!$G$2:$G$101,MATCH(TRIM(L4&amp;""),설정_코드표!$F$2:$F$101,0)),"⚠"&amp;TRIM(L4&amp;"")))</f>
        <v/>
      </c>
      <c r="V4" s="10">
        <f>IF(AND(ISNUMBER(H4),ISNUMBER(I4)),I4-H4+1,"")</f>
        <v/>
      </c>
      <c r="W4" s="17">
        <f>IF(ISNUMBER(H4),MAX(0,MIN(IF(ISNUMBER(I4),I4,EOMONTH(출력_요약!$B$3,0)),EOMONTH(출력_요약!$B$3,0))-MAX(H4,출력_요약!$B$3)+1),0)</f>
        <v/>
      </c>
      <c r="X4" s="10">
        <f>IF(OR(NOT(ISNUMBER(H4)),Q4=""),"",IF(TODAY()&lt;H4,"파견예정",IF(AND(ISNUMBER(I4),TODAY()&gt;I4),"파견종료","파견중")))</f>
        <v/>
      </c>
      <c r="Y4" s="10">
        <f>IF(OR(Q4="",X4=""),"",Q4&amp;"|"&amp;X4)</f>
        <v/>
      </c>
      <c r="Z4" s="10">
        <f>IF(AND(Q4&lt;&gt;"",W4&gt;0),Q4&amp;"|월","")</f>
        <v/>
      </c>
      <c r="AA4" s="10">
        <f>IF(COUNTA(B4:I4,K4:N4)=0,"",IF(Q4="","등록번호 없음",IF(LEFT(R4,1)="⚠","모병원명 미등록",IF(S4="","파견병원 입력",IF(LEFT(S4,1)="⚠","파견병원명 미등록",IF(LEFT(U4,1)="⚠","파견과목 미등록",IF(OR(T4="",LEFT(T4,1)="⚠"),"파견근거 확인",IF(NOT(AND(ISNUMBER(H4),ISNUMBER(I4))),"날짜 형식/누락",IF(I4&lt;H4,"종료일&lt;시작일","")))))))))</f>
        <v/>
      </c>
      <c r="AB4" s="11">
        <f>IF(ISNUMBER(SEARCH("다기관",TRIM(N4&amp;" "&amp;O4))),IFERROR(DATE(VALUE(MID(TRIM(N4&amp;" "&amp;O4),1,4)),VALUE(MID(TRIM(N4&amp;" "&amp;O4),6,2)),VALUE(MID(TRIM(N4&amp;" "&amp;O4),9,2))),IF(ISNUMBER(H4),H4,"")),"")</f>
        <v/>
      </c>
      <c r="AC4" s="11">
        <f>IF(ISNUMBER(SEARCH("다기관",TRIM(N4&amp;" "&amp;O4))),IFERROR(DATE(VALUE(MID(TRIM(N4&amp;" "&amp;O4),12,4)),VALUE(MID(TRIM(N4&amp;" "&amp;O4),17,2)),VALUE(MID(TRIM(N4&amp;" "&amp;O4),20,2))),IF(ISNUMBER(I4),I4,"")),"")</f>
        <v/>
      </c>
      <c r="AD4" s="17">
        <f>IF(AND(ISNUMBER(AB4),ISNUMBER(AC4)),MAX(0,MIN(AC4,EOMONTH(출력_요약!$B$3,0))-MAX(AB4,출력_요약!$B$3)+1),0)</f>
        <v/>
      </c>
      <c r="AE4" s="10">
        <f>IF(AND(Q4&lt;&gt;"",ISNUMBER(AB4)),Q4&amp;"|다기관","")</f>
        <v/>
      </c>
    </row>
    <row r="5">
      <c r="A5" s="15">
        <f>IF(F5="","",ROW()-3)</f>
        <v/>
      </c>
      <c r="B5" s="5" t="inlineStr">
        <is>
          <t>한양대학교병원</t>
        </is>
      </c>
      <c r="C5" s="15" t="inlineStr">
        <is>
          <t>R</t>
        </is>
      </c>
      <c r="D5" s="5" t="inlineStr">
        <is>
          <t>내과</t>
        </is>
      </c>
      <c r="E5" s="15" t="n">
        <v>3</v>
      </c>
      <c r="F5" s="5" t="inlineStr">
        <is>
          <t>박ㅇㅇ</t>
        </is>
      </c>
      <c r="G5" s="6" t="inlineStr">
        <is>
          <t>21-1111</t>
        </is>
      </c>
      <c r="H5" s="16" t="n">
        <v>46296</v>
      </c>
      <c r="I5" s="16" t="n">
        <v>46326</v>
      </c>
      <c r="J5" s="15">
        <f>IF(AND(ISNUMBER(H5),ISNUMBER(I5)),I5-H5+1,"")</f>
        <v/>
      </c>
      <c r="K5" s="5" t="inlineStr">
        <is>
          <t>한양대구리병원</t>
        </is>
      </c>
      <c r="L5" s="5" t="inlineStr">
        <is>
          <t>내과</t>
        </is>
      </c>
      <c r="M5" s="5" t="inlineStr">
        <is>
          <t>모자</t>
        </is>
      </c>
      <c r="N5" s="5" t="n"/>
      <c r="O5" s="5" t="n"/>
      <c r="Q5" s="10">
        <f>IF(TRIM(G5&amp;"")="","",TRIM(G5&amp;""))</f>
        <v/>
      </c>
      <c r="R5" s="10">
        <f>IF(TRIM(B5&amp;"")="","",IFERROR(INDEX(설정_코드표!$K$2:$K$101,MATCH(TRIM(B5&amp;""),설정_코드표!$J$2:$J$101,0)),"⚠"&amp;TRIM(B5&amp;"")))</f>
        <v/>
      </c>
      <c r="S5" s="10">
        <f>IF(TRIM(K5&amp;"")="","",IFERROR(INDEX(설정_코드표!$K$2:$K$101,MATCH(TRIM(K5&amp;""),설정_코드표!$J$2:$J$101,0)),"⚠"&amp;TRIM(K5&amp;"")))</f>
        <v/>
      </c>
      <c r="T5" s="10">
        <f>IF(TRIM(M5&amp;"")="","",IF(ISNUMBER(MATCH(TRIM(M5&amp;""),설정_코드표!$C$2:$C$11,0)),TRIM(M5&amp;""),"⚠"&amp;TRIM(M5&amp;"")))</f>
        <v/>
      </c>
      <c r="U5" s="10">
        <f>IF(TRIM(L5&amp;"")="","",IFERROR(INDEX(설정_코드표!$G$2:$G$101,MATCH(TRIM(L5&amp;""),설정_코드표!$F$2:$F$101,0)),"⚠"&amp;TRIM(L5&amp;"")))</f>
        <v/>
      </c>
      <c r="V5" s="10">
        <f>IF(AND(ISNUMBER(H5),ISNUMBER(I5)),I5-H5+1,"")</f>
        <v/>
      </c>
      <c r="W5" s="17">
        <f>IF(ISNUMBER(H5),MAX(0,MIN(IF(ISNUMBER(I5),I5,EOMONTH(출력_요약!$B$3,0)),EOMONTH(출력_요약!$B$3,0))-MAX(H5,출력_요약!$B$3)+1),0)</f>
        <v/>
      </c>
      <c r="X5" s="10">
        <f>IF(OR(NOT(ISNUMBER(H5)),Q5=""),"",IF(TODAY()&lt;H5,"파견예정",IF(AND(ISNUMBER(I5),TODAY()&gt;I5),"파견종료","파견중")))</f>
        <v/>
      </c>
      <c r="Y5" s="10">
        <f>IF(OR(Q5="",X5=""),"",Q5&amp;"|"&amp;X5)</f>
        <v/>
      </c>
      <c r="Z5" s="10">
        <f>IF(AND(Q5&lt;&gt;"",W5&gt;0),Q5&amp;"|월","")</f>
        <v/>
      </c>
      <c r="AA5" s="10">
        <f>IF(COUNTA(B5:I5,K5:N5)=0,"",IF(Q5="","등록번호 없음",IF(LEFT(R5,1)="⚠","모병원명 미등록",IF(S5="","파견병원 입력",IF(LEFT(S5,1)="⚠","파견병원명 미등록",IF(LEFT(U5,1)="⚠","파견과목 미등록",IF(OR(T5="",LEFT(T5,1)="⚠"),"파견근거 확인",IF(NOT(AND(ISNUMBER(H5),ISNUMBER(I5))),"날짜 형식/누락",IF(I5&lt;H5,"종료일&lt;시작일","")))))))))</f>
        <v/>
      </c>
      <c r="AB5" s="11">
        <f>IF(ISNUMBER(SEARCH("다기관",TRIM(N5&amp;" "&amp;O5))),IFERROR(DATE(VALUE(MID(TRIM(N5&amp;" "&amp;O5),1,4)),VALUE(MID(TRIM(N5&amp;" "&amp;O5),6,2)),VALUE(MID(TRIM(N5&amp;" "&amp;O5),9,2))),IF(ISNUMBER(H5),H5,"")),"")</f>
        <v/>
      </c>
      <c r="AC5" s="11">
        <f>IF(ISNUMBER(SEARCH("다기관",TRIM(N5&amp;" "&amp;O5))),IFERROR(DATE(VALUE(MID(TRIM(N5&amp;" "&amp;O5),12,4)),VALUE(MID(TRIM(N5&amp;" "&amp;O5),17,2)),VALUE(MID(TRIM(N5&amp;" "&amp;O5),20,2))),IF(ISNUMBER(I5),I5,"")),"")</f>
        <v/>
      </c>
      <c r="AD5" s="17">
        <f>IF(AND(ISNUMBER(AB5),ISNUMBER(AC5)),MAX(0,MIN(AC5,EOMONTH(출력_요약!$B$3,0))-MAX(AB5,출력_요약!$B$3)+1),0)</f>
        <v/>
      </c>
      <c r="AE5" s="10">
        <f>IF(AND(Q5&lt;&gt;"",ISNUMBER(AB5)),Q5&amp;"|다기관","")</f>
        <v/>
      </c>
    </row>
    <row r="6">
      <c r="A6" s="15">
        <f>IF(F6="","",ROW()-3)</f>
        <v/>
      </c>
      <c r="B6" s="5" t="inlineStr">
        <is>
          <t>한양대학교병원</t>
        </is>
      </c>
      <c r="C6" s="15" t="inlineStr">
        <is>
          <t>R</t>
        </is>
      </c>
      <c r="D6" s="5" t="inlineStr">
        <is>
          <t>가정의학과</t>
        </is>
      </c>
      <c r="E6" s="15" t="n">
        <v>1</v>
      </c>
      <c r="F6" s="5" t="inlineStr">
        <is>
          <t>김ㅇㅇ</t>
        </is>
      </c>
      <c r="G6" s="6" t="inlineStr">
        <is>
          <t>11-1111</t>
        </is>
      </c>
      <c r="H6" s="16" t="n">
        <v>46316</v>
      </c>
      <c r="I6" s="16" t="n">
        <v>46387</v>
      </c>
      <c r="J6" s="15">
        <f>IF(AND(ISNUMBER(H6),ISNUMBER(I6)),I6-H6+1,"")</f>
        <v/>
      </c>
      <c r="K6" s="5" t="inlineStr">
        <is>
          <t>한양대구리병원</t>
        </is>
      </c>
      <c r="L6" s="5" t="inlineStr">
        <is>
          <t>가정의학과</t>
        </is>
      </c>
      <c r="M6" s="5" t="inlineStr">
        <is>
          <t>통합수련</t>
        </is>
      </c>
      <c r="N6" s="5" t="n"/>
      <c r="O6" s="5" t="n"/>
      <c r="Q6" s="10">
        <f>IF(TRIM(G6&amp;"")="","",TRIM(G6&amp;""))</f>
        <v/>
      </c>
      <c r="R6" s="10">
        <f>IF(TRIM(B6&amp;"")="","",IFERROR(INDEX(설정_코드표!$K$2:$K$101,MATCH(TRIM(B6&amp;""),설정_코드표!$J$2:$J$101,0)),"⚠"&amp;TRIM(B6&amp;"")))</f>
        <v/>
      </c>
      <c r="S6" s="10">
        <f>IF(TRIM(K6&amp;"")="","",IFERROR(INDEX(설정_코드표!$K$2:$K$101,MATCH(TRIM(K6&amp;""),설정_코드표!$J$2:$J$101,0)),"⚠"&amp;TRIM(K6&amp;"")))</f>
        <v/>
      </c>
      <c r="T6" s="10">
        <f>IF(TRIM(M6&amp;"")="","",IF(ISNUMBER(MATCH(TRIM(M6&amp;""),설정_코드표!$C$2:$C$11,0)),TRIM(M6&amp;""),"⚠"&amp;TRIM(M6&amp;"")))</f>
        <v/>
      </c>
      <c r="U6" s="10">
        <f>IF(TRIM(L6&amp;"")="","",IFERROR(INDEX(설정_코드표!$G$2:$G$101,MATCH(TRIM(L6&amp;""),설정_코드표!$F$2:$F$101,0)),"⚠"&amp;TRIM(L6&amp;"")))</f>
        <v/>
      </c>
      <c r="V6" s="10">
        <f>IF(AND(ISNUMBER(H6),ISNUMBER(I6)),I6-H6+1,"")</f>
        <v/>
      </c>
      <c r="W6" s="17">
        <f>IF(ISNUMBER(H6),MAX(0,MIN(IF(ISNUMBER(I6),I6,EOMONTH(출력_요약!$B$3,0)),EOMONTH(출력_요약!$B$3,0))-MAX(H6,출력_요약!$B$3)+1),0)</f>
        <v/>
      </c>
      <c r="X6" s="10">
        <f>IF(OR(NOT(ISNUMBER(H6)),Q6=""),"",IF(TODAY()&lt;H6,"파견예정",IF(AND(ISNUMBER(I6),TODAY()&gt;I6),"파견종료","파견중")))</f>
        <v/>
      </c>
      <c r="Y6" s="10">
        <f>IF(OR(Q6="",X6=""),"",Q6&amp;"|"&amp;X6)</f>
        <v/>
      </c>
      <c r="Z6" s="10">
        <f>IF(AND(Q6&lt;&gt;"",W6&gt;0),Q6&amp;"|월","")</f>
        <v/>
      </c>
      <c r="AA6" s="10">
        <f>IF(COUNTA(B6:I6,K6:N6)=0,"",IF(Q6="","등록번호 없음",IF(LEFT(R6,1)="⚠","모병원명 미등록",IF(S6="","파견병원 입력",IF(LEFT(S6,1)="⚠","파견병원명 미등록",IF(LEFT(U6,1)="⚠","파견과목 미등록",IF(OR(T6="",LEFT(T6,1)="⚠"),"파견근거 확인",IF(NOT(AND(ISNUMBER(H6),ISNUMBER(I6))),"날짜 형식/누락",IF(I6&lt;H6,"종료일&lt;시작일","")))))))))</f>
        <v/>
      </c>
      <c r="AB6" s="11">
        <f>IF(ISNUMBER(SEARCH("다기관",TRIM(N6&amp;" "&amp;O6))),IFERROR(DATE(VALUE(MID(TRIM(N6&amp;" "&amp;O6),1,4)),VALUE(MID(TRIM(N6&amp;" "&amp;O6),6,2)),VALUE(MID(TRIM(N6&amp;" "&amp;O6),9,2))),IF(ISNUMBER(H6),H6,"")),"")</f>
        <v/>
      </c>
      <c r="AC6" s="11">
        <f>IF(ISNUMBER(SEARCH("다기관",TRIM(N6&amp;" "&amp;O6))),IFERROR(DATE(VALUE(MID(TRIM(N6&amp;" "&amp;O6),12,4)),VALUE(MID(TRIM(N6&amp;" "&amp;O6),17,2)),VALUE(MID(TRIM(N6&amp;" "&amp;O6),20,2))),IF(ISNUMBER(I6),I6,"")),"")</f>
        <v/>
      </c>
      <c r="AD6" s="17">
        <f>IF(AND(ISNUMBER(AB6),ISNUMBER(AC6)),MAX(0,MIN(AC6,EOMONTH(출력_요약!$B$3,0))-MAX(AB6,출력_요약!$B$3)+1),0)</f>
        <v/>
      </c>
      <c r="AE6" s="10">
        <f>IF(AND(Q6&lt;&gt;"",ISNUMBER(AB6)),Q6&amp;"|다기관","")</f>
        <v/>
      </c>
    </row>
    <row r="7">
      <c r="A7" s="15">
        <f>IF(F7="","",ROW()-3)</f>
        <v/>
      </c>
      <c r="B7" s="5" t="inlineStr">
        <is>
          <t>한양대학교병원</t>
        </is>
      </c>
      <c r="C7" s="15" t="inlineStr">
        <is>
          <t>R</t>
        </is>
      </c>
      <c r="D7" s="5" t="inlineStr">
        <is>
          <t>내과</t>
        </is>
      </c>
      <c r="E7" s="15" t="n">
        <v>2</v>
      </c>
      <c r="F7" s="5" t="inlineStr">
        <is>
          <t>이ㅇㅇ</t>
        </is>
      </c>
      <c r="G7" s="6" t="inlineStr">
        <is>
          <t>11-1112</t>
        </is>
      </c>
      <c r="H7" s="16" t="n">
        <v>46300</v>
      </c>
      <c r="I7" s="16" t="n">
        <v>46387</v>
      </c>
      <c r="J7" s="15">
        <f>IF(AND(ISNUMBER(H7),ISNUMBER(I7)),I7-H7+1,"")</f>
        <v/>
      </c>
      <c r="K7" s="5" t="inlineStr">
        <is>
          <t>에스중앙병원</t>
        </is>
      </c>
      <c r="L7" s="5" t="inlineStr">
        <is>
          <t>내과</t>
        </is>
      </c>
      <c r="M7" s="5" t="inlineStr">
        <is>
          <t>통합수련</t>
        </is>
      </c>
      <c r="N7" s="5" t="n"/>
      <c r="O7" s="5" t="n"/>
      <c r="Q7" s="10">
        <f>IF(TRIM(G7&amp;"")="","",TRIM(G7&amp;""))</f>
        <v/>
      </c>
      <c r="R7" s="10">
        <f>IF(TRIM(B7&amp;"")="","",IFERROR(INDEX(설정_코드표!$K$2:$K$101,MATCH(TRIM(B7&amp;""),설정_코드표!$J$2:$J$101,0)),"⚠"&amp;TRIM(B7&amp;"")))</f>
        <v/>
      </c>
      <c r="S7" s="10">
        <f>IF(TRIM(K7&amp;"")="","",IFERROR(INDEX(설정_코드표!$K$2:$K$101,MATCH(TRIM(K7&amp;""),설정_코드표!$J$2:$J$101,0)),"⚠"&amp;TRIM(K7&amp;"")))</f>
        <v/>
      </c>
      <c r="T7" s="10">
        <f>IF(TRIM(M7&amp;"")="","",IF(ISNUMBER(MATCH(TRIM(M7&amp;""),설정_코드표!$C$2:$C$11,0)),TRIM(M7&amp;""),"⚠"&amp;TRIM(M7&amp;"")))</f>
        <v/>
      </c>
      <c r="U7" s="10">
        <f>IF(TRIM(L7&amp;"")="","",IFERROR(INDEX(설정_코드표!$G$2:$G$101,MATCH(TRIM(L7&amp;""),설정_코드표!$F$2:$F$101,0)),"⚠"&amp;TRIM(L7&amp;"")))</f>
        <v/>
      </c>
      <c r="V7" s="10">
        <f>IF(AND(ISNUMBER(H7),ISNUMBER(I7)),I7-H7+1,"")</f>
        <v/>
      </c>
      <c r="W7" s="17">
        <f>IF(ISNUMBER(H7),MAX(0,MIN(IF(ISNUMBER(I7),I7,EOMONTH(출력_요약!$B$3,0)),EOMONTH(출력_요약!$B$3,0))-MAX(H7,출력_요약!$B$3)+1),0)</f>
        <v/>
      </c>
      <c r="X7" s="10">
        <f>IF(OR(NOT(ISNUMBER(H7)),Q7=""),"",IF(TODAY()&lt;H7,"파견예정",IF(AND(ISNUMBER(I7),TODAY()&gt;I7),"파견종료","파견중")))</f>
        <v/>
      </c>
      <c r="Y7" s="10">
        <f>IF(OR(Q7="",X7=""),"",Q7&amp;"|"&amp;X7)</f>
        <v/>
      </c>
      <c r="Z7" s="10">
        <f>IF(AND(Q7&lt;&gt;"",W7&gt;0),Q7&amp;"|월","")</f>
        <v/>
      </c>
      <c r="AA7" s="10">
        <f>IF(COUNTA(B7:I7,K7:N7)=0,"",IF(Q7="","등록번호 없음",IF(LEFT(R7,1)="⚠","모병원명 미등록",IF(S7="","파견병원 입력",IF(LEFT(S7,1)="⚠","파견병원명 미등록",IF(LEFT(U7,1)="⚠","파견과목 미등록",IF(OR(T7="",LEFT(T7,1)="⚠"),"파견근거 확인",IF(NOT(AND(ISNUMBER(H7),ISNUMBER(I7))),"날짜 형식/누락",IF(I7&lt;H7,"종료일&lt;시작일","")))))))))</f>
        <v/>
      </c>
      <c r="AB7" s="11">
        <f>IF(ISNUMBER(SEARCH("다기관",TRIM(N7&amp;" "&amp;O7))),IFERROR(DATE(VALUE(MID(TRIM(N7&amp;" "&amp;O7),1,4)),VALUE(MID(TRIM(N7&amp;" "&amp;O7),6,2)),VALUE(MID(TRIM(N7&amp;" "&amp;O7),9,2))),IF(ISNUMBER(H7),H7,"")),"")</f>
        <v/>
      </c>
      <c r="AC7" s="11">
        <f>IF(ISNUMBER(SEARCH("다기관",TRIM(N7&amp;" "&amp;O7))),IFERROR(DATE(VALUE(MID(TRIM(N7&amp;" "&amp;O7),12,4)),VALUE(MID(TRIM(N7&amp;" "&amp;O7),17,2)),VALUE(MID(TRIM(N7&amp;" "&amp;O7),20,2))),IF(ISNUMBER(I7),I7,"")),"")</f>
        <v/>
      </c>
      <c r="AD7" s="17">
        <f>IF(AND(ISNUMBER(AB7),ISNUMBER(AC7)),MAX(0,MIN(AC7,EOMONTH(출력_요약!$B$3,0))-MAX(AB7,출력_요약!$B$3)+1),0)</f>
        <v/>
      </c>
      <c r="AE7" s="10">
        <f>IF(AND(Q7&lt;&gt;"",ISNUMBER(AB7)),Q7&amp;"|다기관","")</f>
        <v/>
      </c>
    </row>
    <row r="8">
      <c r="A8" s="15">
        <f>IF(F8="","",ROW()-3)</f>
        <v/>
      </c>
      <c r="B8" s="5" t="inlineStr">
        <is>
          <t>한양대구리병원</t>
        </is>
      </c>
      <c r="C8" s="15" t="inlineStr">
        <is>
          <t>R</t>
        </is>
      </c>
      <c r="D8" s="5" t="inlineStr">
        <is>
          <t>마취통증의학과</t>
        </is>
      </c>
      <c r="E8" s="15" t="n">
        <v>2</v>
      </c>
      <c r="F8" s="5" t="inlineStr">
        <is>
          <t>정ㅇㅇ</t>
        </is>
      </c>
      <c r="G8" s="6" t="inlineStr">
        <is>
          <t>11-1115</t>
        </is>
      </c>
      <c r="H8" s="16" t="n">
        <v>46313</v>
      </c>
      <c r="I8" s="16" t="n">
        <v>46387</v>
      </c>
      <c r="J8" s="15">
        <f>IF(AND(ISNUMBER(H8),ISNUMBER(I8)),I8-H8+1,"")</f>
        <v/>
      </c>
      <c r="K8" s="5" t="inlineStr">
        <is>
          <t>한양대학교병원</t>
        </is>
      </c>
      <c r="L8" s="5" t="inlineStr">
        <is>
          <t>마취통증의학과</t>
        </is>
      </c>
      <c r="M8" s="5" t="inlineStr">
        <is>
          <t>모자</t>
        </is>
      </c>
      <c r="N8" s="5" t="n"/>
      <c r="O8" s="5" t="n"/>
      <c r="Q8" s="10">
        <f>IF(TRIM(G8&amp;"")="","",TRIM(G8&amp;""))</f>
        <v/>
      </c>
      <c r="R8" s="10">
        <f>IF(TRIM(B8&amp;"")="","",IFERROR(INDEX(설정_코드표!$K$2:$K$101,MATCH(TRIM(B8&amp;""),설정_코드표!$J$2:$J$101,0)),"⚠"&amp;TRIM(B8&amp;"")))</f>
        <v/>
      </c>
      <c r="S8" s="10">
        <f>IF(TRIM(K8&amp;"")="","",IFERROR(INDEX(설정_코드표!$K$2:$K$101,MATCH(TRIM(K8&amp;""),설정_코드표!$J$2:$J$101,0)),"⚠"&amp;TRIM(K8&amp;"")))</f>
        <v/>
      </c>
      <c r="T8" s="10">
        <f>IF(TRIM(M8&amp;"")="","",IF(ISNUMBER(MATCH(TRIM(M8&amp;""),설정_코드표!$C$2:$C$11,0)),TRIM(M8&amp;""),"⚠"&amp;TRIM(M8&amp;"")))</f>
        <v/>
      </c>
      <c r="U8" s="10">
        <f>IF(TRIM(L8&amp;"")="","",IFERROR(INDEX(설정_코드표!$G$2:$G$101,MATCH(TRIM(L8&amp;""),설정_코드표!$F$2:$F$101,0)),"⚠"&amp;TRIM(L8&amp;"")))</f>
        <v/>
      </c>
      <c r="V8" s="10">
        <f>IF(AND(ISNUMBER(H8),ISNUMBER(I8)),I8-H8+1,"")</f>
        <v/>
      </c>
      <c r="W8" s="17">
        <f>IF(ISNUMBER(H8),MAX(0,MIN(IF(ISNUMBER(I8),I8,EOMONTH(출력_요약!$B$3,0)),EOMONTH(출력_요약!$B$3,0))-MAX(H8,출력_요약!$B$3)+1),0)</f>
        <v/>
      </c>
      <c r="X8" s="10">
        <f>IF(OR(NOT(ISNUMBER(H8)),Q8=""),"",IF(TODAY()&lt;H8,"파견예정",IF(AND(ISNUMBER(I8),TODAY()&gt;I8),"파견종료","파견중")))</f>
        <v/>
      </c>
      <c r="Y8" s="10">
        <f>IF(OR(Q8="",X8=""),"",Q8&amp;"|"&amp;X8)</f>
        <v/>
      </c>
      <c r="Z8" s="10">
        <f>IF(AND(Q8&lt;&gt;"",W8&gt;0),Q8&amp;"|월","")</f>
        <v/>
      </c>
      <c r="AA8" s="10">
        <f>IF(COUNTA(B8:I8,K8:N8)=0,"",IF(Q8="","등록번호 없음",IF(LEFT(R8,1)="⚠","모병원명 미등록",IF(S8="","파견병원 입력",IF(LEFT(S8,1)="⚠","파견병원명 미등록",IF(LEFT(U8,1)="⚠","파견과목 미등록",IF(OR(T8="",LEFT(T8,1)="⚠"),"파견근거 확인",IF(NOT(AND(ISNUMBER(H8),ISNUMBER(I8))),"날짜 형식/누락",IF(I8&lt;H8,"종료일&lt;시작일","")))))))))</f>
        <v/>
      </c>
      <c r="AB8" s="11">
        <f>IF(ISNUMBER(SEARCH("다기관",TRIM(N8&amp;" "&amp;O8))),IFERROR(DATE(VALUE(MID(TRIM(N8&amp;" "&amp;O8),1,4)),VALUE(MID(TRIM(N8&amp;" "&amp;O8),6,2)),VALUE(MID(TRIM(N8&amp;" "&amp;O8),9,2))),IF(ISNUMBER(H8),H8,"")),"")</f>
        <v/>
      </c>
      <c r="AC8" s="11">
        <f>IF(ISNUMBER(SEARCH("다기관",TRIM(N8&amp;" "&amp;O8))),IFERROR(DATE(VALUE(MID(TRIM(N8&amp;" "&amp;O8),12,4)),VALUE(MID(TRIM(N8&amp;" "&amp;O8),17,2)),VALUE(MID(TRIM(N8&amp;" "&amp;O8),20,2))),IF(ISNUMBER(I8),I8,"")),"")</f>
        <v/>
      </c>
      <c r="AD8" s="17">
        <f>IF(AND(ISNUMBER(AB8),ISNUMBER(AC8)),MAX(0,MIN(AC8,EOMONTH(출력_요약!$B$3,0))-MAX(AB8,출력_요약!$B$3)+1),0)</f>
        <v/>
      </c>
      <c r="AE8" s="10">
        <f>IF(AND(Q8&lt;&gt;"",ISNUMBER(AB8)),Q8&amp;"|다기관","")</f>
        <v/>
      </c>
    </row>
    <row r="9">
      <c r="A9" s="15">
        <f>IF(F9="","",ROW()-3)</f>
        <v/>
      </c>
      <c r="B9" s="5" t="inlineStr">
        <is>
          <t>한양대학교병원</t>
        </is>
      </c>
      <c r="C9" s="15" t="inlineStr">
        <is>
          <t>R</t>
        </is>
      </c>
      <c r="D9" s="5" t="inlineStr">
        <is>
          <t>산부인과</t>
        </is>
      </c>
      <c r="E9" s="15" t="n">
        <v>3</v>
      </c>
      <c r="F9" s="5" t="inlineStr">
        <is>
          <t>최ㅇㅇ</t>
        </is>
      </c>
      <c r="G9" s="6" t="inlineStr">
        <is>
          <t>11-1114</t>
        </is>
      </c>
      <c r="H9" s="16" t="n">
        <v>46027</v>
      </c>
      <c r="I9" s="16" t="n">
        <v>46112</v>
      </c>
      <c r="J9" s="15">
        <f>IF(AND(ISNUMBER(H9),ISNUMBER(I9)),I9-H9+1,"")</f>
        <v/>
      </c>
      <c r="K9" s="5" t="inlineStr">
        <is>
          <t>창원</t>
        </is>
      </c>
      <c r="L9" s="5" t="inlineStr">
        <is>
          <t>산부인과</t>
        </is>
      </c>
      <c r="M9" s="5" t="inlineStr">
        <is>
          <t>다기관</t>
        </is>
      </c>
      <c r="N9" s="5" t="n"/>
      <c r="O9" s="5" t="n"/>
      <c r="Q9" s="10">
        <f>IF(TRIM(G9&amp;"")="","",TRIM(G9&amp;""))</f>
        <v/>
      </c>
      <c r="R9" s="10">
        <f>IF(TRIM(B9&amp;"")="","",IFERROR(INDEX(설정_코드표!$K$2:$K$101,MATCH(TRIM(B9&amp;""),설정_코드표!$J$2:$J$101,0)),"⚠"&amp;TRIM(B9&amp;"")))</f>
        <v/>
      </c>
      <c r="S9" s="10">
        <f>IF(TRIM(K9&amp;"")="","",IFERROR(INDEX(설정_코드표!$K$2:$K$101,MATCH(TRIM(K9&amp;""),설정_코드표!$J$2:$J$101,0)),"⚠"&amp;TRIM(K9&amp;"")))</f>
        <v/>
      </c>
      <c r="T9" s="10">
        <f>IF(TRIM(M9&amp;"")="","",IF(ISNUMBER(MATCH(TRIM(M9&amp;""),설정_코드표!$C$2:$C$11,0)),TRIM(M9&amp;""),"⚠"&amp;TRIM(M9&amp;"")))</f>
        <v/>
      </c>
      <c r="U9" s="10">
        <f>IF(TRIM(L9&amp;"")="","",IFERROR(INDEX(설정_코드표!$G$2:$G$101,MATCH(TRIM(L9&amp;""),설정_코드표!$F$2:$F$101,0)),"⚠"&amp;TRIM(L9&amp;"")))</f>
        <v/>
      </c>
      <c r="V9" s="10">
        <f>IF(AND(ISNUMBER(H9),ISNUMBER(I9)),I9-H9+1,"")</f>
        <v/>
      </c>
      <c r="W9" s="17">
        <f>IF(ISNUMBER(H9),MAX(0,MIN(IF(ISNUMBER(I9),I9,EOMONTH(출력_요약!$B$3,0)),EOMONTH(출력_요약!$B$3,0))-MAX(H9,출력_요약!$B$3)+1),0)</f>
        <v/>
      </c>
      <c r="X9" s="10">
        <f>IF(OR(NOT(ISNUMBER(H9)),Q9=""),"",IF(TODAY()&lt;H9,"파견예정",IF(AND(ISNUMBER(I9),TODAY()&gt;I9),"파견종료","파견중")))</f>
        <v/>
      </c>
      <c r="Y9" s="10">
        <f>IF(OR(Q9="",X9=""),"",Q9&amp;"|"&amp;X9)</f>
        <v/>
      </c>
      <c r="Z9" s="10">
        <f>IF(AND(Q9&lt;&gt;"",W9&gt;0),Q9&amp;"|월","")</f>
        <v/>
      </c>
      <c r="AA9" s="10">
        <f>IF(COUNTA(B9:I9,K9:N9)=0,"",IF(Q9="","등록번호 없음",IF(LEFT(R9,1)="⚠","모병원명 미등록",IF(S9="","파견병원 입력",IF(LEFT(S9,1)="⚠","파견병원명 미등록",IF(LEFT(U9,1)="⚠","파견과목 미등록",IF(OR(T9="",LEFT(T9,1)="⚠"),"파견근거 확인",IF(NOT(AND(ISNUMBER(H9),ISNUMBER(I9))),"날짜 형식/누락",IF(I9&lt;H9,"종료일&lt;시작일","")))))))))</f>
        <v/>
      </c>
      <c r="AB9" s="11">
        <f>IF(ISNUMBER(SEARCH("다기관",TRIM(N9&amp;" "&amp;O9))),IFERROR(DATE(VALUE(MID(TRIM(N9&amp;" "&amp;O9),1,4)),VALUE(MID(TRIM(N9&amp;" "&amp;O9),6,2)),VALUE(MID(TRIM(N9&amp;" "&amp;O9),9,2))),IF(ISNUMBER(H9),H9,"")),"")</f>
        <v/>
      </c>
      <c r="AC9" s="11">
        <f>IF(ISNUMBER(SEARCH("다기관",TRIM(N9&amp;" "&amp;O9))),IFERROR(DATE(VALUE(MID(TRIM(N9&amp;" "&amp;O9),12,4)),VALUE(MID(TRIM(N9&amp;" "&amp;O9),17,2)),VALUE(MID(TRIM(N9&amp;" "&amp;O9),20,2))),IF(ISNUMBER(I9),I9,"")),"")</f>
        <v/>
      </c>
      <c r="AD9" s="17">
        <f>IF(AND(ISNUMBER(AB9),ISNUMBER(AC9)),MAX(0,MIN(AC9,EOMONTH(출력_요약!$B$3,0))-MAX(AB9,출력_요약!$B$3)+1),0)</f>
        <v/>
      </c>
      <c r="AE9" s="10">
        <f>IF(AND(Q9&lt;&gt;"",ISNUMBER(AB9)),Q9&amp;"|다기관","")</f>
        <v/>
      </c>
    </row>
    <row r="10">
      <c r="A10" s="15">
        <f>IF(F10="","",ROW()-3)</f>
        <v/>
      </c>
      <c r="B10" s="5" t="inlineStr">
        <is>
          <t>한양대구리병원</t>
        </is>
      </c>
      <c r="C10" s="15" t="inlineStr">
        <is>
          <t>I</t>
        </is>
      </c>
      <c r="D10" s="5" t="inlineStr">
        <is>
          <t>인턴</t>
        </is>
      </c>
      <c r="E10" s="15" t="inlineStr">
        <is>
          <t>인턴</t>
        </is>
      </c>
      <c r="F10" s="5" t="inlineStr">
        <is>
          <t>박ㅇㅇ</t>
        </is>
      </c>
      <c r="G10" s="6" t="inlineStr">
        <is>
          <t>22-2224</t>
        </is>
      </c>
      <c r="H10" s="16" t="n">
        <v>46327</v>
      </c>
      <c r="I10" s="16" t="n">
        <v>46356</v>
      </c>
      <c r="J10" s="15">
        <f>IF(AND(ISNUMBER(H10),ISNUMBER(I10)),I10-H10+1,"")</f>
        <v/>
      </c>
      <c r="K10" s="5" t="inlineStr">
        <is>
          <t>한양대학교병원</t>
        </is>
      </c>
      <c r="L10" s="5" t="inlineStr">
        <is>
          <t>응급의학과</t>
        </is>
      </c>
      <c r="M10" s="5" t="inlineStr">
        <is>
          <t>모자</t>
        </is>
      </c>
      <c r="N10" s="5" t="n"/>
      <c r="O10" s="5" t="n"/>
      <c r="Q10" s="10">
        <f>IF(TRIM(G10&amp;"")="","",TRIM(G10&amp;""))</f>
        <v/>
      </c>
      <c r="R10" s="10">
        <f>IF(TRIM(B10&amp;"")="","",IFERROR(INDEX(설정_코드표!$K$2:$K$101,MATCH(TRIM(B10&amp;""),설정_코드표!$J$2:$J$101,0)),"⚠"&amp;TRIM(B10&amp;"")))</f>
        <v/>
      </c>
      <c r="S10" s="10">
        <f>IF(TRIM(K10&amp;"")="","",IFERROR(INDEX(설정_코드표!$K$2:$K$101,MATCH(TRIM(K10&amp;""),설정_코드표!$J$2:$J$101,0)),"⚠"&amp;TRIM(K10&amp;"")))</f>
        <v/>
      </c>
      <c r="T10" s="10">
        <f>IF(TRIM(M10&amp;"")="","",IF(ISNUMBER(MATCH(TRIM(M10&amp;""),설정_코드표!$C$2:$C$11,0)),TRIM(M10&amp;""),"⚠"&amp;TRIM(M10&amp;"")))</f>
        <v/>
      </c>
      <c r="U10" s="10">
        <f>IF(TRIM(L10&amp;"")="","",IFERROR(INDEX(설정_코드표!$G$2:$G$101,MATCH(TRIM(L10&amp;""),설정_코드표!$F$2:$F$101,0)),"⚠"&amp;TRIM(L10&amp;"")))</f>
        <v/>
      </c>
      <c r="V10" s="10">
        <f>IF(AND(ISNUMBER(H10),ISNUMBER(I10)),I10-H10+1,"")</f>
        <v/>
      </c>
      <c r="W10" s="17">
        <f>IF(ISNUMBER(H10),MAX(0,MIN(IF(ISNUMBER(I10),I10,EOMONTH(출력_요약!$B$3,0)),EOMONTH(출력_요약!$B$3,0))-MAX(H10,출력_요약!$B$3)+1),0)</f>
        <v/>
      </c>
      <c r="X10" s="10">
        <f>IF(OR(NOT(ISNUMBER(H10)),Q10=""),"",IF(TODAY()&lt;H10,"파견예정",IF(AND(ISNUMBER(I10),TODAY()&gt;I10),"파견종료","파견중")))</f>
        <v/>
      </c>
      <c r="Y10" s="10">
        <f>IF(OR(Q10="",X10=""),"",Q10&amp;"|"&amp;X10)</f>
        <v/>
      </c>
      <c r="Z10" s="10">
        <f>IF(AND(Q10&lt;&gt;"",W10&gt;0),Q10&amp;"|월","")</f>
        <v/>
      </c>
      <c r="AA10" s="10">
        <f>IF(COUNTA(B10:I10,K10:N10)=0,"",IF(Q10="","등록번호 없음",IF(LEFT(R10,1)="⚠","모병원명 미등록",IF(S10="","파견병원 입력",IF(LEFT(S10,1)="⚠","파견병원명 미등록",IF(LEFT(U10,1)="⚠","파견과목 미등록",IF(OR(T10="",LEFT(T10,1)="⚠"),"파견근거 확인",IF(NOT(AND(ISNUMBER(H10),ISNUMBER(I10))),"날짜 형식/누락",IF(I10&lt;H10,"종료일&lt;시작일","")))))))))</f>
        <v/>
      </c>
      <c r="AB10" s="11">
        <f>IF(ISNUMBER(SEARCH("다기관",TRIM(N10&amp;" "&amp;O10))),IFERROR(DATE(VALUE(MID(TRIM(N10&amp;" "&amp;O10),1,4)),VALUE(MID(TRIM(N10&amp;" "&amp;O10),6,2)),VALUE(MID(TRIM(N10&amp;" "&amp;O10),9,2))),IF(ISNUMBER(H10),H10,"")),"")</f>
        <v/>
      </c>
      <c r="AC10" s="11">
        <f>IF(ISNUMBER(SEARCH("다기관",TRIM(N10&amp;" "&amp;O10))),IFERROR(DATE(VALUE(MID(TRIM(N10&amp;" "&amp;O10),12,4)),VALUE(MID(TRIM(N10&amp;" "&amp;O10),17,2)),VALUE(MID(TRIM(N10&amp;" "&amp;O10),20,2))),IF(ISNUMBER(I10),I10,"")),"")</f>
        <v/>
      </c>
      <c r="AD10" s="17">
        <f>IF(AND(ISNUMBER(AB10),ISNUMBER(AC10)),MAX(0,MIN(AC10,EOMONTH(출력_요약!$B$3,0))-MAX(AB10,출력_요약!$B$3)+1),0)</f>
        <v/>
      </c>
      <c r="AE10" s="10">
        <f>IF(AND(Q10&lt;&gt;"",ISNUMBER(AB10)),Q10&amp;"|다기관","")</f>
        <v/>
      </c>
    </row>
    <row r="11">
      <c r="A11" s="15">
        <f>IF(F11="","",ROW()-3)</f>
        <v/>
      </c>
      <c r="B11" s="5" t="n"/>
      <c r="C11" s="15" t="n"/>
      <c r="D11" s="5" t="n"/>
      <c r="E11" s="15" t="n"/>
      <c r="F11" s="5" t="n"/>
      <c r="G11" s="6" t="n"/>
      <c r="H11" s="16" t="n"/>
      <c r="I11" s="16" t="n"/>
      <c r="J11" s="15">
        <f>IF(AND(ISNUMBER(H11),ISNUMBER(I11)),I11-H11+1,"")</f>
        <v/>
      </c>
      <c r="K11" s="5" t="n"/>
      <c r="L11" s="5" t="n"/>
      <c r="M11" s="5" t="n"/>
      <c r="N11" s="5" t="n"/>
      <c r="O11" s="5" t="n"/>
      <c r="Q11" s="10">
        <f>IF(TRIM(G11&amp;"")="","",TRIM(G11&amp;""))</f>
        <v/>
      </c>
      <c r="R11" s="10">
        <f>IF(TRIM(B11&amp;"")="","",IFERROR(INDEX(설정_코드표!$K$2:$K$101,MATCH(TRIM(B11&amp;""),설정_코드표!$J$2:$J$101,0)),"⚠"&amp;TRIM(B11&amp;"")))</f>
        <v/>
      </c>
      <c r="S11" s="10">
        <f>IF(TRIM(K11&amp;"")="","",IFERROR(INDEX(설정_코드표!$K$2:$K$101,MATCH(TRIM(K11&amp;""),설정_코드표!$J$2:$J$101,0)),"⚠"&amp;TRIM(K11&amp;"")))</f>
        <v/>
      </c>
      <c r="T11" s="10">
        <f>IF(TRIM(M11&amp;"")="","",IF(ISNUMBER(MATCH(TRIM(M11&amp;""),설정_코드표!$C$2:$C$11,0)),TRIM(M11&amp;""),"⚠"&amp;TRIM(M11&amp;"")))</f>
        <v/>
      </c>
      <c r="U11" s="10">
        <f>IF(TRIM(L11&amp;"")="","",IFERROR(INDEX(설정_코드표!$G$2:$G$101,MATCH(TRIM(L11&amp;""),설정_코드표!$F$2:$F$101,0)),"⚠"&amp;TRIM(L11&amp;"")))</f>
        <v/>
      </c>
      <c r="V11" s="10">
        <f>IF(AND(ISNUMBER(H11),ISNUMBER(I11)),I11-H11+1,"")</f>
        <v/>
      </c>
      <c r="W11" s="17">
        <f>IF(ISNUMBER(H11),MAX(0,MIN(IF(ISNUMBER(I11),I11,EOMONTH(출력_요약!$B$3,0)),EOMONTH(출력_요약!$B$3,0))-MAX(H11,출력_요약!$B$3)+1),0)</f>
        <v/>
      </c>
      <c r="X11" s="10">
        <f>IF(OR(NOT(ISNUMBER(H11)),Q11=""),"",IF(TODAY()&lt;H11,"파견예정",IF(AND(ISNUMBER(I11),TODAY()&gt;I11),"파견종료","파견중")))</f>
        <v/>
      </c>
      <c r="Y11" s="10">
        <f>IF(OR(Q11="",X11=""),"",Q11&amp;"|"&amp;X11)</f>
        <v/>
      </c>
      <c r="Z11" s="10">
        <f>IF(AND(Q11&lt;&gt;"",W11&gt;0),Q11&amp;"|월","")</f>
        <v/>
      </c>
      <c r="AA11" s="10">
        <f>IF(COUNTA(B11:I11,K11:N11)=0,"",IF(Q11="","등록번호 없음",IF(LEFT(R11,1)="⚠","모병원명 미등록",IF(S11="","파견병원 입력",IF(LEFT(S11,1)="⚠","파견병원명 미등록",IF(LEFT(U11,1)="⚠","파견과목 미등록",IF(OR(T11="",LEFT(T11,1)="⚠"),"파견근거 확인",IF(NOT(AND(ISNUMBER(H11),ISNUMBER(I11))),"날짜 형식/누락",IF(I11&lt;H11,"종료일&lt;시작일","")))))))))</f>
        <v/>
      </c>
      <c r="AB11" s="11">
        <f>IF(ISNUMBER(SEARCH("다기관",TRIM(N11&amp;" "&amp;O11))),IFERROR(DATE(VALUE(MID(TRIM(N11&amp;" "&amp;O11),1,4)),VALUE(MID(TRIM(N11&amp;" "&amp;O11),6,2)),VALUE(MID(TRIM(N11&amp;" "&amp;O11),9,2))),IF(ISNUMBER(H11),H11,"")),"")</f>
        <v/>
      </c>
      <c r="AC11" s="11">
        <f>IF(ISNUMBER(SEARCH("다기관",TRIM(N11&amp;" "&amp;O11))),IFERROR(DATE(VALUE(MID(TRIM(N11&amp;" "&amp;O11),12,4)),VALUE(MID(TRIM(N11&amp;" "&amp;O11),17,2)),VALUE(MID(TRIM(N11&amp;" "&amp;O11),20,2))),IF(ISNUMBER(I11),I11,"")),"")</f>
        <v/>
      </c>
      <c r="AD11" s="17">
        <f>IF(AND(ISNUMBER(AB11),ISNUMBER(AC11)),MAX(0,MIN(AC11,EOMONTH(출력_요약!$B$3,0))-MAX(AB11,출력_요약!$B$3)+1),0)</f>
        <v/>
      </c>
      <c r="AE11" s="10">
        <f>IF(AND(Q11&lt;&gt;"",ISNUMBER(AB11)),Q11&amp;"|다기관","")</f>
        <v/>
      </c>
    </row>
    <row r="12">
      <c r="A12" s="15">
        <f>IF(F12="","",ROW()-3)</f>
        <v/>
      </c>
      <c r="B12" s="5" t="n"/>
      <c r="C12" s="15" t="n"/>
      <c r="D12" s="5" t="n"/>
      <c r="E12" s="15" t="n"/>
      <c r="F12" s="5" t="n"/>
      <c r="G12" s="6" t="n"/>
      <c r="H12" s="16" t="n"/>
      <c r="I12" s="16" t="n"/>
      <c r="J12" s="15">
        <f>IF(AND(ISNUMBER(H12),ISNUMBER(I12)),I12-H12+1,"")</f>
        <v/>
      </c>
      <c r="K12" s="5" t="n"/>
      <c r="L12" s="5" t="n"/>
      <c r="M12" s="5" t="n"/>
      <c r="N12" s="5" t="n"/>
      <c r="O12" s="5" t="n"/>
      <c r="Q12" s="10">
        <f>IF(TRIM(G12&amp;"")="","",TRIM(G12&amp;""))</f>
        <v/>
      </c>
      <c r="R12" s="10">
        <f>IF(TRIM(B12&amp;"")="","",IFERROR(INDEX(설정_코드표!$K$2:$K$101,MATCH(TRIM(B12&amp;""),설정_코드표!$J$2:$J$101,0)),"⚠"&amp;TRIM(B12&amp;"")))</f>
        <v/>
      </c>
      <c r="S12" s="10">
        <f>IF(TRIM(K12&amp;"")="","",IFERROR(INDEX(설정_코드표!$K$2:$K$101,MATCH(TRIM(K12&amp;""),설정_코드표!$J$2:$J$101,0)),"⚠"&amp;TRIM(K12&amp;"")))</f>
        <v/>
      </c>
      <c r="T12" s="10">
        <f>IF(TRIM(M12&amp;"")="","",IF(ISNUMBER(MATCH(TRIM(M12&amp;""),설정_코드표!$C$2:$C$11,0)),TRIM(M12&amp;""),"⚠"&amp;TRIM(M12&amp;"")))</f>
        <v/>
      </c>
      <c r="U12" s="10">
        <f>IF(TRIM(L12&amp;"")="","",IFERROR(INDEX(설정_코드표!$G$2:$G$101,MATCH(TRIM(L12&amp;""),설정_코드표!$F$2:$F$101,0)),"⚠"&amp;TRIM(L12&amp;"")))</f>
        <v/>
      </c>
      <c r="V12" s="10">
        <f>IF(AND(ISNUMBER(H12),ISNUMBER(I12)),I12-H12+1,"")</f>
        <v/>
      </c>
      <c r="W12" s="17">
        <f>IF(ISNUMBER(H12),MAX(0,MIN(IF(ISNUMBER(I12),I12,EOMONTH(출력_요약!$B$3,0)),EOMONTH(출력_요약!$B$3,0))-MAX(H12,출력_요약!$B$3)+1),0)</f>
        <v/>
      </c>
      <c r="X12" s="10">
        <f>IF(OR(NOT(ISNUMBER(H12)),Q12=""),"",IF(TODAY()&lt;H12,"파견예정",IF(AND(ISNUMBER(I12),TODAY()&gt;I12),"파견종료","파견중")))</f>
        <v/>
      </c>
      <c r="Y12" s="10">
        <f>IF(OR(Q12="",X12=""),"",Q12&amp;"|"&amp;X12)</f>
        <v/>
      </c>
      <c r="Z12" s="10">
        <f>IF(AND(Q12&lt;&gt;"",W12&gt;0),Q12&amp;"|월","")</f>
        <v/>
      </c>
      <c r="AA12" s="10">
        <f>IF(COUNTA(B12:I12,K12:N12)=0,"",IF(Q12="","등록번호 없음",IF(LEFT(R12,1)="⚠","모병원명 미등록",IF(S12="","파견병원 입력",IF(LEFT(S12,1)="⚠","파견병원명 미등록",IF(LEFT(U12,1)="⚠","파견과목 미등록",IF(OR(T12="",LEFT(T12,1)="⚠"),"파견근거 확인",IF(NOT(AND(ISNUMBER(H12),ISNUMBER(I12))),"날짜 형식/누락",IF(I12&lt;H12,"종료일&lt;시작일","")))))))))</f>
        <v/>
      </c>
      <c r="AB12" s="11">
        <f>IF(ISNUMBER(SEARCH("다기관",TRIM(N12&amp;" "&amp;O12))),IFERROR(DATE(VALUE(MID(TRIM(N12&amp;" "&amp;O12),1,4)),VALUE(MID(TRIM(N12&amp;" "&amp;O12),6,2)),VALUE(MID(TRIM(N12&amp;" "&amp;O12),9,2))),IF(ISNUMBER(H12),H12,"")),"")</f>
        <v/>
      </c>
      <c r="AC12" s="11">
        <f>IF(ISNUMBER(SEARCH("다기관",TRIM(N12&amp;" "&amp;O12))),IFERROR(DATE(VALUE(MID(TRIM(N12&amp;" "&amp;O12),12,4)),VALUE(MID(TRIM(N12&amp;" "&amp;O12),17,2)),VALUE(MID(TRIM(N12&amp;" "&amp;O12),20,2))),IF(ISNUMBER(I12),I12,"")),"")</f>
        <v/>
      </c>
      <c r="AD12" s="17">
        <f>IF(AND(ISNUMBER(AB12),ISNUMBER(AC12)),MAX(0,MIN(AC12,EOMONTH(출력_요약!$B$3,0))-MAX(AB12,출력_요약!$B$3)+1),0)</f>
        <v/>
      </c>
      <c r="AE12" s="10">
        <f>IF(AND(Q12&lt;&gt;"",ISNUMBER(AB12)),Q12&amp;"|다기관","")</f>
        <v/>
      </c>
    </row>
    <row r="13">
      <c r="A13" s="15">
        <f>IF(F13="","",ROW()-3)</f>
        <v/>
      </c>
      <c r="B13" s="5" t="n"/>
      <c r="C13" s="15" t="n"/>
      <c r="D13" s="5" t="n"/>
      <c r="E13" s="15" t="n"/>
      <c r="F13" s="5" t="n"/>
      <c r="G13" s="6" t="n"/>
      <c r="H13" s="16" t="n"/>
      <c r="I13" s="16" t="n"/>
      <c r="J13" s="15">
        <f>IF(AND(ISNUMBER(H13),ISNUMBER(I13)),I13-H13+1,"")</f>
        <v/>
      </c>
      <c r="K13" s="5" t="n"/>
      <c r="L13" s="5" t="n"/>
      <c r="M13" s="5" t="n"/>
      <c r="N13" s="5" t="n"/>
      <c r="O13" s="5" t="n"/>
      <c r="Q13" s="10">
        <f>IF(TRIM(G13&amp;"")="","",TRIM(G13&amp;""))</f>
        <v/>
      </c>
      <c r="R13" s="10">
        <f>IF(TRIM(B13&amp;"")="","",IFERROR(INDEX(설정_코드표!$K$2:$K$101,MATCH(TRIM(B13&amp;""),설정_코드표!$J$2:$J$101,0)),"⚠"&amp;TRIM(B13&amp;"")))</f>
        <v/>
      </c>
      <c r="S13" s="10">
        <f>IF(TRIM(K13&amp;"")="","",IFERROR(INDEX(설정_코드표!$K$2:$K$101,MATCH(TRIM(K13&amp;""),설정_코드표!$J$2:$J$101,0)),"⚠"&amp;TRIM(K13&amp;"")))</f>
        <v/>
      </c>
      <c r="T13" s="10">
        <f>IF(TRIM(M13&amp;"")="","",IF(ISNUMBER(MATCH(TRIM(M13&amp;""),설정_코드표!$C$2:$C$11,0)),TRIM(M13&amp;""),"⚠"&amp;TRIM(M13&amp;"")))</f>
        <v/>
      </c>
      <c r="U13" s="10">
        <f>IF(TRIM(L13&amp;"")="","",IFERROR(INDEX(설정_코드표!$G$2:$G$101,MATCH(TRIM(L13&amp;""),설정_코드표!$F$2:$F$101,0)),"⚠"&amp;TRIM(L13&amp;"")))</f>
        <v/>
      </c>
      <c r="V13" s="10">
        <f>IF(AND(ISNUMBER(H13),ISNUMBER(I13)),I13-H13+1,"")</f>
        <v/>
      </c>
      <c r="W13" s="17">
        <f>IF(ISNUMBER(H13),MAX(0,MIN(IF(ISNUMBER(I13),I13,EOMONTH(출력_요약!$B$3,0)),EOMONTH(출력_요약!$B$3,0))-MAX(H13,출력_요약!$B$3)+1),0)</f>
        <v/>
      </c>
      <c r="X13" s="10">
        <f>IF(OR(NOT(ISNUMBER(H13)),Q13=""),"",IF(TODAY()&lt;H13,"파견예정",IF(AND(ISNUMBER(I13),TODAY()&gt;I13),"파견종료","파견중")))</f>
        <v/>
      </c>
      <c r="Y13" s="10">
        <f>IF(OR(Q13="",X13=""),"",Q13&amp;"|"&amp;X13)</f>
        <v/>
      </c>
      <c r="Z13" s="10">
        <f>IF(AND(Q13&lt;&gt;"",W13&gt;0),Q13&amp;"|월","")</f>
        <v/>
      </c>
      <c r="AA13" s="10">
        <f>IF(COUNTA(B13:I13,K13:N13)=0,"",IF(Q13="","등록번호 없음",IF(LEFT(R13,1)="⚠","모병원명 미등록",IF(S13="","파견병원 입력",IF(LEFT(S13,1)="⚠","파견병원명 미등록",IF(LEFT(U13,1)="⚠","파견과목 미등록",IF(OR(T13="",LEFT(T13,1)="⚠"),"파견근거 확인",IF(NOT(AND(ISNUMBER(H13),ISNUMBER(I13))),"날짜 형식/누락",IF(I13&lt;H13,"종료일&lt;시작일","")))))))))</f>
        <v/>
      </c>
      <c r="AB13" s="11">
        <f>IF(ISNUMBER(SEARCH("다기관",TRIM(N13&amp;" "&amp;O13))),IFERROR(DATE(VALUE(MID(TRIM(N13&amp;" "&amp;O13),1,4)),VALUE(MID(TRIM(N13&amp;" "&amp;O13),6,2)),VALUE(MID(TRIM(N13&amp;" "&amp;O13),9,2))),IF(ISNUMBER(H13),H13,"")),"")</f>
        <v/>
      </c>
      <c r="AC13" s="11">
        <f>IF(ISNUMBER(SEARCH("다기관",TRIM(N13&amp;" "&amp;O13))),IFERROR(DATE(VALUE(MID(TRIM(N13&amp;" "&amp;O13),12,4)),VALUE(MID(TRIM(N13&amp;" "&amp;O13),17,2)),VALUE(MID(TRIM(N13&amp;" "&amp;O13),20,2))),IF(ISNUMBER(I13),I13,"")),"")</f>
        <v/>
      </c>
      <c r="AD13" s="17">
        <f>IF(AND(ISNUMBER(AB13),ISNUMBER(AC13)),MAX(0,MIN(AC13,EOMONTH(출력_요약!$B$3,0))-MAX(AB13,출력_요약!$B$3)+1),0)</f>
        <v/>
      </c>
      <c r="AE13" s="10">
        <f>IF(AND(Q13&lt;&gt;"",ISNUMBER(AB13)),Q13&amp;"|다기관","")</f>
        <v/>
      </c>
    </row>
    <row r="14">
      <c r="A14" s="15">
        <f>IF(F14="","",ROW()-3)</f>
        <v/>
      </c>
      <c r="B14" s="5" t="n"/>
      <c r="C14" s="15" t="n"/>
      <c r="D14" s="5" t="n"/>
      <c r="E14" s="15" t="n"/>
      <c r="F14" s="5" t="n"/>
      <c r="G14" s="6" t="n"/>
      <c r="H14" s="16" t="n"/>
      <c r="I14" s="16" t="n"/>
      <c r="J14" s="15">
        <f>IF(AND(ISNUMBER(H14),ISNUMBER(I14)),I14-H14+1,"")</f>
        <v/>
      </c>
      <c r="K14" s="5" t="n"/>
      <c r="L14" s="5" t="n"/>
      <c r="M14" s="5" t="n"/>
      <c r="N14" s="5" t="n"/>
      <c r="O14" s="5" t="n"/>
      <c r="Q14" s="10">
        <f>IF(TRIM(G14&amp;"")="","",TRIM(G14&amp;""))</f>
        <v/>
      </c>
      <c r="R14" s="10">
        <f>IF(TRIM(B14&amp;"")="","",IFERROR(INDEX(설정_코드표!$K$2:$K$101,MATCH(TRIM(B14&amp;""),설정_코드표!$J$2:$J$101,0)),"⚠"&amp;TRIM(B14&amp;"")))</f>
        <v/>
      </c>
      <c r="S14" s="10">
        <f>IF(TRIM(K14&amp;"")="","",IFERROR(INDEX(설정_코드표!$K$2:$K$101,MATCH(TRIM(K14&amp;""),설정_코드표!$J$2:$J$101,0)),"⚠"&amp;TRIM(K14&amp;"")))</f>
        <v/>
      </c>
      <c r="T14" s="10">
        <f>IF(TRIM(M14&amp;"")="","",IF(ISNUMBER(MATCH(TRIM(M14&amp;""),설정_코드표!$C$2:$C$11,0)),TRIM(M14&amp;""),"⚠"&amp;TRIM(M14&amp;"")))</f>
        <v/>
      </c>
      <c r="U14" s="10">
        <f>IF(TRIM(L14&amp;"")="","",IFERROR(INDEX(설정_코드표!$G$2:$G$101,MATCH(TRIM(L14&amp;""),설정_코드표!$F$2:$F$101,0)),"⚠"&amp;TRIM(L14&amp;"")))</f>
        <v/>
      </c>
      <c r="V14" s="10">
        <f>IF(AND(ISNUMBER(H14),ISNUMBER(I14)),I14-H14+1,"")</f>
        <v/>
      </c>
      <c r="W14" s="17">
        <f>IF(ISNUMBER(H14),MAX(0,MIN(IF(ISNUMBER(I14),I14,EOMONTH(출력_요약!$B$3,0)),EOMONTH(출력_요약!$B$3,0))-MAX(H14,출력_요약!$B$3)+1),0)</f>
        <v/>
      </c>
      <c r="X14" s="10">
        <f>IF(OR(NOT(ISNUMBER(H14)),Q14=""),"",IF(TODAY()&lt;H14,"파견예정",IF(AND(ISNUMBER(I14),TODAY()&gt;I14),"파견종료","파견중")))</f>
        <v/>
      </c>
      <c r="Y14" s="10">
        <f>IF(OR(Q14="",X14=""),"",Q14&amp;"|"&amp;X14)</f>
        <v/>
      </c>
      <c r="Z14" s="10">
        <f>IF(AND(Q14&lt;&gt;"",W14&gt;0),Q14&amp;"|월","")</f>
        <v/>
      </c>
      <c r="AA14" s="10">
        <f>IF(COUNTA(B14:I14,K14:N14)=0,"",IF(Q14="","등록번호 없음",IF(LEFT(R14,1)="⚠","모병원명 미등록",IF(S14="","파견병원 입력",IF(LEFT(S14,1)="⚠","파견병원명 미등록",IF(LEFT(U14,1)="⚠","파견과목 미등록",IF(OR(T14="",LEFT(T14,1)="⚠"),"파견근거 확인",IF(NOT(AND(ISNUMBER(H14),ISNUMBER(I14))),"날짜 형식/누락",IF(I14&lt;H14,"종료일&lt;시작일","")))))))))</f>
        <v/>
      </c>
      <c r="AB14" s="11">
        <f>IF(ISNUMBER(SEARCH("다기관",TRIM(N14&amp;" "&amp;O14))),IFERROR(DATE(VALUE(MID(TRIM(N14&amp;" "&amp;O14),1,4)),VALUE(MID(TRIM(N14&amp;" "&amp;O14),6,2)),VALUE(MID(TRIM(N14&amp;" "&amp;O14),9,2))),IF(ISNUMBER(H14),H14,"")),"")</f>
        <v/>
      </c>
      <c r="AC14" s="11">
        <f>IF(ISNUMBER(SEARCH("다기관",TRIM(N14&amp;" "&amp;O14))),IFERROR(DATE(VALUE(MID(TRIM(N14&amp;" "&amp;O14),12,4)),VALUE(MID(TRIM(N14&amp;" "&amp;O14),17,2)),VALUE(MID(TRIM(N14&amp;" "&amp;O14),20,2))),IF(ISNUMBER(I14),I14,"")),"")</f>
        <v/>
      </c>
      <c r="AD14" s="17">
        <f>IF(AND(ISNUMBER(AB14),ISNUMBER(AC14)),MAX(0,MIN(AC14,EOMONTH(출력_요약!$B$3,0))-MAX(AB14,출력_요약!$B$3)+1),0)</f>
        <v/>
      </c>
      <c r="AE14" s="10">
        <f>IF(AND(Q14&lt;&gt;"",ISNUMBER(AB14)),Q14&amp;"|다기관","")</f>
        <v/>
      </c>
    </row>
    <row r="15">
      <c r="A15" s="15">
        <f>IF(F15="","",ROW()-3)</f>
        <v/>
      </c>
      <c r="B15" s="5" t="n"/>
      <c r="C15" s="15" t="n"/>
      <c r="D15" s="5" t="n"/>
      <c r="E15" s="15" t="n"/>
      <c r="F15" s="5" t="n"/>
      <c r="G15" s="6" t="n"/>
      <c r="H15" s="16" t="n"/>
      <c r="I15" s="16" t="n"/>
      <c r="J15" s="15">
        <f>IF(AND(ISNUMBER(H15),ISNUMBER(I15)),I15-H15+1,"")</f>
        <v/>
      </c>
      <c r="K15" s="5" t="n"/>
      <c r="L15" s="5" t="n"/>
      <c r="M15" s="5" t="n"/>
      <c r="N15" s="5" t="n"/>
      <c r="O15" s="5" t="n"/>
      <c r="Q15" s="10">
        <f>IF(TRIM(G15&amp;"")="","",TRIM(G15&amp;""))</f>
        <v/>
      </c>
      <c r="R15" s="10">
        <f>IF(TRIM(B15&amp;"")="","",IFERROR(INDEX(설정_코드표!$K$2:$K$101,MATCH(TRIM(B15&amp;""),설정_코드표!$J$2:$J$101,0)),"⚠"&amp;TRIM(B15&amp;"")))</f>
        <v/>
      </c>
      <c r="S15" s="10">
        <f>IF(TRIM(K15&amp;"")="","",IFERROR(INDEX(설정_코드표!$K$2:$K$101,MATCH(TRIM(K15&amp;""),설정_코드표!$J$2:$J$101,0)),"⚠"&amp;TRIM(K15&amp;"")))</f>
        <v/>
      </c>
      <c r="T15" s="10">
        <f>IF(TRIM(M15&amp;"")="","",IF(ISNUMBER(MATCH(TRIM(M15&amp;""),설정_코드표!$C$2:$C$11,0)),TRIM(M15&amp;""),"⚠"&amp;TRIM(M15&amp;"")))</f>
        <v/>
      </c>
      <c r="U15" s="10">
        <f>IF(TRIM(L15&amp;"")="","",IFERROR(INDEX(설정_코드표!$G$2:$G$101,MATCH(TRIM(L15&amp;""),설정_코드표!$F$2:$F$101,0)),"⚠"&amp;TRIM(L15&amp;"")))</f>
        <v/>
      </c>
      <c r="V15" s="10">
        <f>IF(AND(ISNUMBER(H15),ISNUMBER(I15)),I15-H15+1,"")</f>
        <v/>
      </c>
      <c r="W15" s="17">
        <f>IF(ISNUMBER(H15),MAX(0,MIN(IF(ISNUMBER(I15),I15,EOMONTH(출력_요약!$B$3,0)),EOMONTH(출력_요약!$B$3,0))-MAX(H15,출력_요약!$B$3)+1),0)</f>
        <v/>
      </c>
      <c r="X15" s="10">
        <f>IF(OR(NOT(ISNUMBER(H15)),Q15=""),"",IF(TODAY()&lt;H15,"파견예정",IF(AND(ISNUMBER(I15),TODAY()&gt;I15),"파견종료","파견중")))</f>
        <v/>
      </c>
      <c r="Y15" s="10">
        <f>IF(OR(Q15="",X15=""),"",Q15&amp;"|"&amp;X15)</f>
        <v/>
      </c>
      <c r="Z15" s="10">
        <f>IF(AND(Q15&lt;&gt;"",W15&gt;0),Q15&amp;"|월","")</f>
        <v/>
      </c>
      <c r="AA15" s="10">
        <f>IF(COUNTA(B15:I15,K15:N15)=0,"",IF(Q15="","등록번호 없음",IF(LEFT(R15,1)="⚠","모병원명 미등록",IF(S15="","파견병원 입력",IF(LEFT(S15,1)="⚠","파견병원명 미등록",IF(LEFT(U15,1)="⚠","파견과목 미등록",IF(OR(T15="",LEFT(T15,1)="⚠"),"파견근거 확인",IF(NOT(AND(ISNUMBER(H15),ISNUMBER(I15))),"날짜 형식/누락",IF(I15&lt;H15,"종료일&lt;시작일","")))))))))</f>
        <v/>
      </c>
      <c r="AB15" s="11">
        <f>IF(ISNUMBER(SEARCH("다기관",TRIM(N15&amp;" "&amp;O15))),IFERROR(DATE(VALUE(MID(TRIM(N15&amp;" "&amp;O15),1,4)),VALUE(MID(TRIM(N15&amp;" "&amp;O15),6,2)),VALUE(MID(TRIM(N15&amp;" "&amp;O15),9,2))),IF(ISNUMBER(H15),H15,"")),"")</f>
        <v/>
      </c>
      <c r="AC15" s="11">
        <f>IF(ISNUMBER(SEARCH("다기관",TRIM(N15&amp;" "&amp;O15))),IFERROR(DATE(VALUE(MID(TRIM(N15&amp;" "&amp;O15),12,4)),VALUE(MID(TRIM(N15&amp;" "&amp;O15),17,2)),VALUE(MID(TRIM(N15&amp;" "&amp;O15),20,2))),IF(ISNUMBER(I15),I15,"")),"")</f>
        <v/>
      </c>
      <c r="AD15" s="17">
        <f>IF(AND(ISNUMBER(AB15),ISNUMBER(AC15)),MAX(0,MIN(AC15,EOMONTH(출력_요약!$B$3,0))-MAX(AB15,출력_요약!$B$3)+1),0)</f>
        <v/>
      </c>
      <c r="AE15" s="10">
        <f>IF(AND(Q15&lt;&gt;"",ISNUMBER(AB15)),Q15&amp;"|다기관","")</f>
        <v/>
      </c>
    </row>
    <row r="16">
      <c r="A16" s="15">
        <f>IF(F16="","",ROW()-3)</f>
        <v/>
      </c>
      <c r="B16" s="5" t="n"/>
      <c r="C16" s="15" t="n"/>
      <c r="D16" s="5" t="n"/>
      <c r="E16" s="15" t="n"/>
      <c r="F16" s="5" t="n"/>
      <c r="G16" s="6" t="n"/>
      <c r="H16" s="16" t="n"/>
      <c r="I16" s="16" t="n"/>
      <c r="J16" s="15">
        <f>IF(AND(ISNUMBER(H16),ISNUMBER(I16)),I16-H16+1,"")</f>
        <v/>
      </c>
      <c r="K16" s="5" t="n"/>
      <c r="L16" s="5" t="n"/>
      <c r="M16" s="5" t="n"/>
      <c r="N16" s="5" t="n"/>
      <c r="O16" s="5" t="n"/>
      <c r="Q16" s="10">
        <f>IF(TRIM(G16&amp;"")="","",TRIM(G16&amp;""))</f>
        <v/>
      </c>
      <c r="R16" s="10">
        <f>IF(TRIM(B16&amp;"")="","",IFERROR(INDEX(설정_코드표!$K$2:$K$101,MATCH(TRIM(B16&amp;""),설정_코드표!$J$2:$J$101,0)),"⚠"&amp;TRIM(B16&amp;"")))</f>
        <v/>
      </c>
      <c r="S16" s="10">
        <f>IF(TRIM(K16&amp;"")="","",IFERROR(INDEX(설정_코드표!$K$2:$K$101,MATCH(TRIM(K16&amp;""),설정_코드표!$J$2:$J$101,0)),"⚠"&amp;TRIM(K16&amp;"")))</f>
        <v/>
      </c>
      <c r="T16" s="10">
        <f>IF(TRIM(M16&amp;"")="","",IF(ISNUMBER(MATCH(TRIM(M16&amp;""),설정_코드표!$C$2:$C$11,0)),TRIM(M16&amp;""),"⚠"&amp;TRIM(M16&amp;"")))</f>
        <v/>
      </c>
      <c r="U16" s="10">
        <f>IF(TRIM(L16&amp;"")="","",IFERROR(INDEX(설정_코드표!$G$2:$G$101,MATCH(TRIM(L16&amp;""),설정_코드표!$F$2:$F$101,0)),"⚠"&amp;TRIM(L16&amp;"")))</f>
        <v/>
      </c>
      <c r="V16" s="10">
        <f>IF(AND(ISNUMBER(H16),ISNUMBER(I16)),I16-H16+1,"")</f>
        <v/>
      </c>
      <c r="W16" s="17">
        <f>IF(ISNUMBER(H16),MAX(0,MIN(IF(ISNUMBER(I16),I16,EOMONTH(출력_요약!$B$3,0)),EOMONTH(출력_요약!$B$3,0))-MAX(H16,출력_요약!$B$3)+1),0)</f>
        <v/>
      </c>
      <c r="X16" s="10">
        <f>IF(OR(NOT(ISNUMBER(H16)),Q16=""),"",IF(TODAY()&lt;H16,"파견예정",IF(AND(ISNUMBER(I16),TODAY()&gt;I16),"파견종료","파견중")))</f>
        <v/>
      </c>
      <c r="Y16" s="10">
        <f>IF(OR(Q16="",X16=""),"",Q16&amp;"|"&amp;X16)</f>
        <v/>
      </c>
      <c r="Z16" s="10">
        <f>IF(AND(Q16&lt;&gt;"",W16&gt;0),Q16&amp;"|월","")</f>
        <v/>
      </c>
      <c r="AA16" s="10">
        <f>IF(COUNTA(B16:I16,K16:N16)=0,"",IF(Q16="","등록번호 없음",IF(LEFT(R16,1)="⚠","모병원명 미등록",IF(S16="","파견병원 입력",IF(LEFT(S16,1)="⚠","파견병원명 미등록",IF(LEFT(U16,1)="⚠","파견과목 미등록",IF(OR(T16="",LEFT(T16,1)="⚠"),"파견근거 확인",IF(NOT(AND(ISNUMBER(H16),ISNUMBER(I16))),"날짜 형식/누락",IF(I16&lt;H16,"종료일&lt;시작일","")))))))))</f>
        <v/>
      </c>
      <c r="AB16" s="11">
        <f>IF(ISNUMBER(SEARCH("다기관",TRIM(N16&amp;" "&amp;O16))),IFERROR(DATE(VALUE(MID(TRIM(N16&amp;" "&amp;O16),1,4)),VALUE(MID(TRIM(N16&amp;" "&amp;O16),6,2)),VALUE(MID(TRIM(N16&amp;" "&amp;O16),9,2))),IF(ISNUMBER(H16),H16,"")),"")</f>
        <v/>
      </c>
      <c r="AC16" s="11">
        <f>IF(ISNUMBER(SEARCH("다기관",TRIM(N16&amp;" "&amp;O16))),IFERROR(DATE(VALUE(MID(TRIM(N16&amp;" "&amp;O16),12,4)),VALUE(MID(TRIM(N16&amp;" "&amp;O16),17,2)),VALUE(MID(TRIM(N16&amp;" "&amp;O16),20,2))),IF(ISNUMBER(I16),I16,"")),"")</f>
        <v/>
      </c>
      <c r="AD16" s="17">
        <f>IF(AND(ISNUMBER(AB16),ISNUMBER(AC16)),MAX(0,MIN(AC16,EOMONTH(출력_요약!$B$3,0))-MAX(AB16,출력_요약!$B$3)+1),0)</f>
        <v/>
      </c>
      <c r="AE16" s="10">
        <f>IF(AND(Q16&lt;&gt;"",ISNUMBER(AB16)),Q16&amp;"|다기관","")</f>
        <v/>
      </c>
    </row>
    <row r="17">
      <c r="A17" s="15">
        <f>IF(F17="","",ROW()-3)</f>
        <v/>
      </c>
      <c r="B17" s="5" t="n"/>
      <c r="C17" s="15" t="n"/>
      <c r="D17" s="5" t="n"/>
      <c r="E17" s="15" t="n"/>
      <c r="F17" s="5" t="n"/>
      <c r="G17" s="6" t="n"/>
      <c r="H17" s="16" t="n"/>
      <c r="I17" s="16" t="n"/>
      <c r="J17" s="15">
        <f>IF(AND(ISNUMBER(H17),ISNUMBER(I17)),I17-H17+1,"")</f>
        <v/>
      </c>
      <c r="K17" s="5" t="n"/>
      <c r="L17" s="5" t="n"/>
      <c r="M17" s="5" t="n"/>
      <c r="N17" s="5" t="n"/>
      <c r="O17" s="5" t="n"/>
      <c r="Q17" s="10">
        <f>IF(TRIM(G17&amp;"")="","",TRIM(G17&amp;""))</f>
        <v/>
      </c>
      <c r="R17" s="10">
        <f>IF(TRIM(B17&amp;"")="","",IFERROR(INDEX(설정_코드표!$K$2:$K$101,MATCH(TRIM(B17&amp;""),설정_코드표!$J$2:$J$101,0)),"⚠"&amp;TRIM(B17&amp;"")))</f>
        <v/>
      </c>
      <c r="S17" s="10">
        <f>IF(TRIM(K17&amp;"")="","",IFERROR(INDEX(설정_코드표!$K$2:$K$101,MATCH(TRIM(K17&amp;""),설정_코드표!$J$2:$J$101,0)),"⚠"&amp;TRIM(K17&amp;"")))</f>
        <v/>
      </c>
      <c r="T17" s="10">
        <f>IF(TRIM(M17&amp;"")="","",IF(ISNUMBER(MATCH(TRIM(M17&amp;""),설정_코드표!$C$2:$C$11,0)),TRIM(M17&amp;""),"⚠"&amp;TRIM(M17&amp;"")))</f>
        <v/>
      </c>
      <c r="U17" s="10">
        <f>IF(TRIM(L17&amp;"")="","",IFERROR(INDEX(설정_코드표!$G$2:$G$101,MATCH(TRIM(L17&amp;""),설정_코드표!$F$2:$F$101,0)),"⚠"&amp;TRIM(L17&amp;"")))</f>
        <v/>
      </c>
      <c r="V17" s="10">
        <f>IF(AND(ISNUMBER(H17),ISNUMBER(I17)),I17-H17+1,"")</f>
        <v/>
      </c>
      <c r="W17" s="17">
        <f>IF(ISNUMBER(H17),MAX(0,MIN(IF(ISNUMBER(I17),I17,EOMONTH(출력_요약!$B$3,0)),EOMONTH(출력_요약!$B$3,0))-MAX(H17,출력_요약!$B$3)+1),0)</f>
        <v/>
      </c>
      <c r="X17" s="10">
        <f>IF(OR(NOT(ISNUMBER(H17)),Q17=""),"",IF(TODAY()&lt;H17,"파견예정",IF(AND(ISNUMBER(I17),TODAY()&gt;I17),"파견종료","파견중")))</f>
        <v/>
      </c>
      <c r="Y17" s="10">
        <f>IF(OR(Q17="",X17=""),"",Q17&amp;"|"&amp;X17)</f>
        <v/>
      </c>
      <c r="Z17" s="10">
        <f>IF(AND(Q17&lt;&gt;"",W17&gt;0),Q17&amp;"|월","")</f>
        <v/>
      </c>
      <c r="AA17" s="10">
        <f>IF(COUNTA(B17:I17,K17:N17)=0,"",IF(Q17="","등록번호 없음",IF(LEFT(R17,1)="⚠","모병원명 미등록",IF(S17="","파견병원 입력",IF(LEFT(S17,1)="⚠","파견병원명 미등록",IF(LEFT(U17,1)="⚠","파견과목 미등록",IF(OR(T17="",LEFT(T17,1)="⚠"),"파견근거 확인",IF(NOT(AND(ISNUMBER(H17),ISNUMBER(I17))),"날짜 형식/누락",IF(I17&lt;H17,"종료일&lt;시작일","")))))))))</f>
        <v/>
      </c>
      <c r="AB17" s="11">
        <f>IF(ISNUMBER(SEARCH("다기관",TRIM(N17&amp;" "&amp;O17))),IFERROR(DATE(VALUE(MID(TRIM(N17&amp;" "&amp;O17),1,4)),VALUE(MID(TRIM(N17&amp;" "&amp;O17),6,2)),VALUE(MID(TRIM(N17&amp;" "&amp;O17),9,2))),IF(ISNUMBER(H17),H17,"")),"")</f>
        <v/>
      </c>
      <c r="AC17" s="11">
        <f>IF(ISNUMBER(SEARCH("다기관",TRIM(N17&amp;" "&amp;O17))),IFERROR(DATE(VALUE(MID(TRIM(N17&amp;" "&amp;O17),12,4)),VALUE(MID(TRIM(N17&amp;" "&amp;O17),17,2)),VALUE(MID(TRIM(N17&amp;" "&amp;O17),20,2))),IF(ISNUMBER(I17),I17,"")),"")</f>
        <v/>
      </c>
      <c r="AD17" s="17">
        <f>IF(AND(ISNUMBER(AB17),ISNUMBER(AC17)),MAX(0,MIN(AC17,EOMONTH(출력_요약!$B$3,0))-MAX(AB17,출력_요약!$B$3)+1),0)</f>
        <v/>
      </c>
      <c r="AE17" s="10">
        <f>IF(AND(Q17&lt;&gt;"",ISNUMBER(AB17)),Q17&amp;"|다기관","")</f>
        <v/>
      </c>
    </row>
    <row r="18">
      <c r="A18" s="15">
        <f>IF(F18="","",ROW()-3)</f>
        <v/>
      </c>
      <c r="B18" s="5" t="n"/>
      <c r="C18" s="15" t="n"/>
      <c r="D18" s="5" t="n"/>
      <c r="E18" s="15" t="n"/>
      <c r="F18" s="5" t="n"/>
      <c r="G18" s="6" t="n"/>
      <c r="H18" s="16" t="n"/>
      <c r="I18" s="16" t="n"/>
      <c r="J18" s="15">
        <f>IF(AND(ISNUMBER(H18),ISNUMBER(I18)),I18-H18+1,"")</f>
        <v/>
      </c>
      <c r="K18" s="5" t="n"/>
      <c r="L18" s="5" t="n"/>
      <c r="M18" s="5" t="n"/>
      <c r="N18" s="5" t="n"/>
      <c r="O18" s="5" t="n"/>
      <c r="Q18" s="10">
        <f>IF(TRIM(G18&amp;"")="","",TRIM(G18&amp;""))</f>
        <v/>
      </c>
      <c r="R18" s="10">
        <f>IF(TRIM(B18&amp;"")="","",IFERROR(INDEX(설정_코드표!$K$2:$K$101,MATCH(TRIM(B18&amp;""),설정_코드표!$J$2:$J$101,0)),"⚠"&amp;TRIM(B18&amp;"")))</f>
        <v/>
      </c>
      <c r="S18" s="10">
        <f>IF(TRIM(K18&amp;"")="","",IFERROR(INDEX(설정_코드표!$K$2:$K$101,MATCH(TRIM(K18&amp;""),설정_코드표!$J$2:$J$101,0)),"⚠"&amp;TRIM(K18&amp;"")))</f>
        <v/>
      </c>
      <c r="T18" s="10">
        <f>IF(TRIM(M18&amp;"")="","",IF(ISNUMBER(MATCH(TRIM(M18&amp;""),설정_코드표!$C$2:$C$11,0)),TRIM(M18&amp;""),"⚠"&amp;TRIM(M18&amp;"")))</f>
        <v/>
      </c>
      <c r="U18" s="10">
        <f>IF(TRIM(L18&amp;"")="","",IFERROR(INDEX(설정_코드표!$G$2:$G$101,MATCH(TRIM(L18&amp;""),설정_코드표!$F$2:$F$101,0)),"⚠"&amp;TRIM(L18&amp;"")))</f>
        <v/>
      </c>
      <c r="V18" s="10">
        <f>IF(AND(ISNUMBER(H18),ISNUMBER(I18)),I18-H18+1,"")</f>
        <v/>
      </c>
      <c r="W18" s="17">
        <f>IF(ISNUMBER(H18),MAX(0,MIN(IF(ISNUMBER(I18),I18,EOMONTH(출력_요약!$B$3,0)),EOMONTH(출력_요약!$B$3,0))-MAX(H18,출력_요약!$B$3)+1),0)</f>
        <v/>
      </c>
      <c r="X18" s="10">
        <f>IF(OR(NOT(ISNUMBER(H18)),Q18=""),"",IF(TODAY()&lt;H18,"파견예정",IF(AND(ISNUMBER(I18),TODAY()&gt;I18),"파견종료","파견중")))</f>
        <v/>
      </c>
      <c r="Y18" s="10">
        <f>IF(OR(Q18="",X18=""),"",Q18&amp;"|"&amp;X18)</f>
        <v/>
      </c>
      <c r="Z18" s="10">
        <f>IF(AND(Q18&lt;&gt;"",W18&gt;0),Q18&amp;"|월","")</f>
        <v/>
      </c>
      <c r="AA18" s="10">
        <f>IF(COUNTA(B18:I18,K18:N18)=0,"",IF(Q18="","등록번호 없음",IF(LEFT(R18,1)="⚠","모병원명 미등록",IF(S18="","파견병원 입력",IF(LEFT(S18,1)="⚠","파견병원명 미등록",IF(LEFT(U18,1)="⚠","파견과목 미등록",IF(OR(T18="",LEFT(T18,1)="⚠"),"파견근거 확인",IF(NOT(AND(ISNUMBER(H18),ISNUMBER(I18))),"날짜 형식/누락",IF(I18&lt;H18,"종료일&lt;시작일","")))))))))</f>
        <v/>
      </c>
      <c r="AB18" s="11">
        <f>IF(ISNUMBER(SEARCH("다기관",TRIM(N18&amp;" "&amp;O18))),IFERROR(DATE(VALUE(MID(TRIM(N18&amp;" "&amp;O18),1,4)),VALUE(MID(TRIM(N18&amp;" "&amp;O18),6,2)),VALUE(MID(TRIM(N18&amp;" "&amp;O18),9,2))),IF(ISNUMBER(H18),H18,"")),"")</f>
        <v/>
      </c>
      <c r="AC18" s="11">
        <f>IF(ISNUMBER(SEARCH("다기관",TRIM(N18&amp;" "&amp;O18))),IFERROR(DATE(VALUE(MID(TRIM(N18&amp;" "&amp;O18),12,4)),VALUE(MID(TRIM(N18&amp;" "&amp;O18),17,2)),VALUE(MID(TRIM(N18&amp;" "&amp;O18),20,2))),IF(ISNUMBER(I18),I18,"")),"")</f>
        <v/>
      </c>
      <c r="AD18" s="17">
        <f>IF(AND(ISNUMBER(AB18),ISNUMBER(AC18)),MAX(0,MIN(AC18,EOMONTH(출력_요약!$B$3,0))-MAX(AB18,출력_요약!$B$3)+1),0)</f>
        <v/>
      </c>
      <c r="AE18" s="10">
        <f>IF(AND(Q18&lt;&gt;"",ISNUMBER(AB18)),Q18&amp;"|다기관","")</f>
        <v/>
      </c>
    </row>
    <row r="19">
      <c r="A19" s="15">
        <f>IF(F19="","",ROW()-3)</f>
        <v/>
      </c>
      <c r="B19" s="5" t="n"/>
      <c r="C19" s="15" t="n"/>
      <c r="D19" s="5" t="n"/>
      <c r="E19" s="15" t="n"/>
      <c r="F19" s="5" t="n"/>
      <c r="G19" s="6" t="n"/>
      <c r="H19" s="16" t="n"/>
      <c r="I19" s="16" t="n"/>
      <c r="J19" s="15">
        <f>IF(AND(ISNUMBER(H19),ISNUMBER(I19)),I19-H19+1,"")</f>
        <v/>
      </c>
      <c r="K19" s="5" t="n"/>
      <c r="L19" s="5" t="n"/>
      <c r="M19" s="5" t="n"/>
      <c r="N19" s="5" t="n"/>
      <c r="O19" s="5" t="n"/>
      <c r="Q19" s="10">
        <f>IF(TRIM(G19&amp;"")="","",TRIM(G19&amp;""))</f>
        <v/>
      </c>
      <c r="R19" s="10">
        <f>IF(TRIM(B19&amp;"")="","",IFERROR(INDEX(설정_코드표!$K$2:$K$101,MATCH(TRIM(B19&amp;""),설정_코드표!$J$2:$J$101,0)),"⚠"&amp;TRIM(B19&amp;"")))</f>
        <v/>
      </c>
      <c r="S19" s="10">
        <f>IF(TRIM(K19&amp;"")="","",IFERROR(INDEX(설정_코드표!$K$2:$K$101,MATCH(TRIM(K19&amp;""),설정_코드표!$J$2:$J$101,0)),"⚠"&amp;TRIM(K19&amp;"")))</f>
        <v/>
      </c>
      <c r="T19" s="10">
        <f>IF(TRIM(M19&amp;"")="","",IF(ISNUMBER(MATCH(TRIM(M19&amp;""),설정_코드표!$C$2:$C$11,0)),TRIM(M19&amp;""),"⚠"&amp;TRIM(M19&amp;"")))</f>
        <v/>
      </c>
      <c r="U19" s="10">
        <f>IF(TRIM(L19&amp;"")="","",IFERROR(INDEX(설정_코드표!$G$2:$G$101,MATCH(TRIM(L19&amp;""),설정_코드표!$F$2:$F$101,0)),"⚠"&amp;TRIM(L19&amp;"")))</f>
        <v/>
      </c>
      <c r="V19" s="10">
        <f>IF(AND(ISNUMBER(H19),ISNUMBER(I19)),I19-H19+1,"")</f>
        <v/>
      </c>
      <c r="W19" s="17">
        <f>IF(ISNUMBER(H19),MAX(0,MIN(IF(ISNUMBER(I19),I19,EOMONTH(출력_요약!$B$3,0)),EOMONTH(출력_요약!$B$3,0))-MAX(H19,출력_요약!$B$3)+1),0)</f>
        <v/>
      </c>
      <c r="X19" s="10">
        <f>IF(OR(NOT(ISNUMBER(H19)),Q19=""),"",IF(TODAY()&lt;H19,"파견예정",IF(AND(ISNUMBER(I19),TODAY()&gt;I19),"파견종료","파견중")))</f>
        <v/>
      </c>
      <c r="Y19" s="10">
        <f>IF(OR(Q19="",X19=""),"",Q19&amp;"|"&amp;X19)</f>
        <v/>
      </c>
      <c r="Z19" s="10">
        <f>IF(AND(Q19&lt;&gt;"",W19&gt;0),Q19&amp;"|월","")</f>
        <v/>
      </c>
      <c r="AA19" s="10">
        <f>IF(COUNTA(B19:I19,K19:N19)=0,"",IF(Q19="","등록번호 없음",IF(LEFT(R19,1)="⚠","모병원명 미등록",IF(S19="","파견병원 입력",IF(LEFT(S19,1)="⚠","파견병원명 미등록",IF(LEFT(U19,1)="⚠","파견과목 미등록",IF(OR(T19="",LEFT(T19,1)="⚠"),"파견근거 확인",IF(NOT(AND(ISNUMBER(H19),ISNUMBER(I19))),"날짜 형식/누락",IF(I19&lt;H19,"종료일&lt;시작일","")))))))))</f>
        <v/>
      </c>
      <c r="AB19" s="11">
        <f>IF(ISNUMBER(SEARCH("다기관",TRIM(N19&amp;" "&amp;O19))),IFERROR(DATE(VALUE(MID(TRIM(N19&amp;" "&amp;O19),1,4)),VALUE(MID(TRIM(N19&amp;" "&amp;O19),6,2)),VALUE(MID(TRIM(N19&amp;" "&amp;O19),9,2))),IF(ISNUMBER(H19),H19,"")),"")</f>
        <v/>
      </c>
      <c r="AC19" s="11">
        <f>IF(ISNUMBER(SEARCH("다기관",TRIM(N19&amp;" "&amp;O19))),IFERROR(DATE(VALUE(MID(TRIM(N19&amp;" "&amp;O19),12,4)),VALUE(MID(TRIM(N19&amp;" "&amp;O19),17,2)),VALUE(MID(TRIM(N19&amp;" "&amp;O19),20,2))),IF(ISNUMBER(I19),I19,"")),"")</f>
        <v/>
      </c>
      <c r="AD19" s="17">
        <f>IF(AND(ISNUMBER(AB19),ISNUMBER(AC19)),MAX(0,MIN(AC19,EOMONTH(출력_요약!$B$3,0))-MAX(AB19,출력_요약!$B$3)+1),0)</f>
        <v/>
      </c>
      <c r="AE19" s="10">
        <f>IF(AND(Q19&lt;&gt;"",ISNUMBER(AB19)),Q19&amp;"|다기관","")</f>
        <v/>
      </c>
    </row>
    <row r="20">
      <c r="A20" s="15">
        <f>IF(F20="","",ROW()-3)</f>
        <v/>
      </c>
      <c r="B20" s="5" t="n"/>
      <c r="C20" s="15" t="n"/>
      <c r="D20" s="5" t="n"/>
      <c r="E20" s="15" t="n"/>
      <c r="F20" s="5" t="n"/>
      <c r="G20" s="6" t="n"/>
      <c r="H20" s="16" t="n"/>
      <c r="I20" s="16" t="n"/>
      <c r="J20" s="15">
        <f>IF(AND(ISNUMBER(H20),ISNUMBER(I20)),I20-H20+1,"")</f>
        <v/>
      </c>
      <c r="K20" s="5" t="n"/>
      <c r="L20" s="5" t="n"/>
      <c r="M20" s="5" t="n"/>
      <c r="N20" s="5" t="n"/>
      <c r="O20" s="5" t="n"/>
      <c r="Q20" s="10">
        <f>IF(TRIM(G20&amp;"")="","",TRIM(G20&amp;""))</f>
        <v/>
      </c>
      <c r="R20" s="10">
        <f>IF(TRIM(B20&amp;"")="","",IFERROR(INDEX(설정_코드표!$K$2:$K$101,MATCH(TRIM(B20&amp;""),설정_코드표!$J$2:$J$101,0)),"⚠"&amp;TRIM(B20&amp;"")))</f>
        <v/>
      </c>
      <c r="S20" s="10">
        <f>IF(TRIM(K20&amp;"")="","",IFERROR(INDEX(설정_코드표!$K$2:$K$101,MATCH(TRIM(K20&amp;""),설정_코드표!$J$2:$J$101,0)),"⚠"&amp;TRIM(K20&amp;"")))</f>
        <v/>
      </c>
      <c r="T20" s="10">
        <f>IF(TRIM(M20&amp;"")="","",IF(ISNUMBER(MATCH(TRIM(M20&amp;""),설정_코드표!$C$2:$C$11,0)),TRIM(M20&amp;""),"⚠"&amp;TRIM(M20&amp;"")))</f>
        <v/>
      </c>
      <c r="U20" s="10">
        <f>IF(TRIM(L20&amp;"")="","",IFERROR(INDEX(설정_코드표!$G$2:$G$101,MATCH(TRIM(L20&amp;""),설정_코드표!$F$2:$F$101,0)),"⚠"&amp;TRIM(L20&amp;"")))</f>
        <v/>
      </c>
      <c r="V20" s="10">
        <f>IF(AND(ISNUMBER(H20),ISNUMBER(I20)),I20-H20+1,"")</f>
        <v/>
      </c>
      <c r="W20" s="17">
        <f>IF(ISNUMBER(H20),MAX(0,MIN(IF(ISNUMBER(I20),I20,EOMONTH(출력_요약!$B$3,0)),EOMONTH(출력_요약!$B$3,0))-MAX(H20,출력_요약!$B$3)+1),0)</f>
        <v/>
      </c>
      <c r="X20" s="10">
        <f>IF(OR(NOT(ISNUMBER(H20)),Q20=""),"",IF(TODAY()&lt;H20,"파견예정",IF(AND(ISNUMBER(I20),TODAY()&gt;I20),"파견종료","파견중")))</f>
        <v/>
      </c>
      <c r="Y20" s="10">
        <f>IF(OR(Q20="",X20=""),"",Q20&amp;"|"&amp;X20)</f>
        <v/>
      </c>
      <c r="Z20" s="10">
        <f>IF(AND(Q20&lt;&gt;"",W20&gt;0),Q20&amp;"|월","")</f>
        <v/>
      </c>
      <c r="AA20" s="10">
        <f>IF(COUNTA(B20:I20,K20:N20)=0,"",IF(Q20="","등록번호 없음",IF(LEFT(R20,1)="⚠","모병원명 미등록",IF(S20="","파견병원 입력",IF(LEFT(S20,1)="⚠","파견병원명 미등록",IF(LEFT(U20,1)="⚠","파견과목 미등록",IF(OR(T20="",LEFT(T20,1)="⚠"),"파견근거 확인",IF(NOT(AND(ISNUMBER(H20),ISNUMBER(I20))),"날짜 형식/누락",IF(I20&lt;H20,"종료일&lt;시작일","")))))))))</f>
        <v/>
      </c>
      <c r="AB20" s="11">
        <f>IF(ISNUMBER(SEARCH("다기관",TRIM(N20&amp;" "&amp;O20))),IFERROR(DATE(VALUE(MID(TRIM(N20&amp;" "&amp;O20),1,4)),VALUE(MID(TRIM(N20&amp;" "&amp;O20),6,2)),VALUE(MID(TRIM(N20&amp;" "&amp;O20),9,2))),IF(ISNUMBER(H20),H20,"")),"")</f>
        <v/>
      </c>
      <c r="AC20" s="11">
        <f>IF(ISNUMBER(SEARCH("다기관",TRIM(N20&amp;" "&amp;O20))),IFERROR(DATE(VALUE(MID(TRIM(N20&amp;" "&amp;O20),12,4)),VALUE(MID(TRIM(N20&amp;" "&amp;O20),17,2)),VALUE(MID(TRIM(N20&amp;" "&amp;O20),20,2))),IF(ISNUMBER(I20),I20,"")),"")</f>
        <v/>
      </c>
      <c r="AD20" s="17">
        <f>IF(AND(ISNUMBER(AB20),ISNUMBER(AC20)),MAX(0,MIN(AC20,EOMONTH(출력_요약!$B$3,0))-MAX(AB20,출력_요약!$B$3)+1),0)</f>
        <v/>
      </c>
      <c r="AE20" s="10">
        <f>IF(AND(Q20&lt;&gt;"",ISNUMBER(AB20)),Q20&amp;"|다기관","")</f>
        <v/>
      </c>
    </row>
    <row r="21">
      <c r="A21" s="15">
        <f>IF(F21="","",ROW()-3)</f>
        <v/>
      </c>
      <c r="B21" s="5" t="n"/>
      <c r="C21" s="15" t="n"/>
      <c r="D21" s="5" t="n"/>
      <c r="E21" s="15" t="n"/>
      <c r="F21" s="5" t="n"/>
      <c r="G21" s="6" t="n"/>
      <c r="H21" s="16" t="n"/>
      <c r="I21" s="16" t="n"/>
      <c r="J21" s="15">
        <f>IF(AND(ISNUMBER(H21),ISNUMBER(I21)),I21-H21+1,"")</f>
        <v/>
      </c>
      <c r="K21" s="5" t="n"/>
      <c r="L21" s="5" t="n"/>
      <c r="M21" s="5" t="n"/>
      <c r="N21" s="5" t="n"/>
      <c r="O21" s="5" t="n"/>
      <c r="Q21" s="10">
        <f>IF(TRIM(G21&amp;"")="","",TRIM(G21&amp;""))</f>
        <v/>
      </c>
      <c r="R21" s="10">
        <f>IF(TRIM(B21&amp;"")="","",IFERROR(INDEX(설정_코드표!$K$2:$K$101,MATCH(TRIM(B21&amp;""),설정_코드표!$J$2:$J$101,0)),"⚠"&amp;TRIM(B21&amp;"")))</f>
        <v/>
      </c>
      <c r="S21" s="10">
        <f>IF(TRIM(K21&amp;"")="","",IFERROR(INDEX(설정_코드표!$K$2:$K$101,MATCH(TRIM(K21&amp;""),설정_코드표!$J$2:$J$101,0)),"⚠"&amp;TRIM(K21&amp;"")))</f>
        <v/>
      </c>
      <c r="T21" s="10">
        <f>IF(TRIM(M21&amp;"")="","",IF(ISNUMBER(MATCH(TRIM(M21&amp;""),설정_코드표!$C$2:$C$11,0)),TRIM(M21&amp;""),"⚠"&amp;TRIM(M21&amp;"")))</f>
        <v/>
      </c>
      <c r="U21" s="10">
        <f>IF(TRIM(L21&amp;"")="","",IFERROR(INDEX(설정_코드표!$G$2:$G$101,MATCH(TRIM(L21&amp;""),설정_코드표!$F$2:$F$101,0)),"⚠"&amp;TRIM(L21&amp;"")))</f>
        <v/>
      </c>
      <c r="V21" s="10">
        <f>IF(AND(ISNUMBER(H21),ISNUMBER(I21)),I21-H21+1,"")</f>
        <v/>
      </c>
      <c r="W21" s="17">
        <f>IF(ISNUMBER(H21),MAX(0,MIN(IF(ISNUMBER(I21),I21,EOMONTH(출력_요약!$B$3,0)),EOMONTH(출력_요약!$B$3,0))-MAX(H21,출력_요약!$B$3)+1),0)</f>
        <v/>
      </c>
      <c r="X21" s="10">
        <f>IF(OR(NOT(ISNUMBER(H21)),Q21=""),"",IF(TODAY()&lt;H21,"파견예정",IF(AND(ISNUMBER(I21),TODAY()&gt;I21),"파견종료","파견중")))</f>
        <v/>
      </c>
      <c r="Y21" s="10">
        <f>IF(OR(Q21="",X21=""),"",Q21&amp;"|"&amp;X21)</f>
        <v/>
      </c>
      <c r="Z21" s="10">
        <f>IF(AND(Q21&lt;&gt;"",W21&gt;0),Q21&amp;"|월","")</f>
        <v/>
      </c>
      <c r="AA21" s="10">
        <f>IF(COUNTA(B21:I21,K21:N21)=0,"",IF(Q21="","등록번호 없음",IF(LEFT(R21,1)="⚠","모병원명 미등록",IF(S21="","파견병원 입력",IF(LEFT(S21,1)="⚠","파견병원명 미등록",IF(LEFT(U21,1)="⚠","파견과목 미등록",IF(OR(T21="",LEFT(T21,1)="⚠"),"파견근거 확인",IF(NOT(AND(ISNUMBER(H21),ISNUMBER(I21))),"날짜 형식/누락",IF(I21&lt;H21,"종료일&lt;시작일","")))))))))</f>
        <v/>
      </c>
      <c r="AB21" s="11">
        <f>IF(ISNUMBER(SEARCH("다기관",TRIM(N21&amp;" "&amp;O21))),IFERROR(DATE(VALUE(MID(TRIM(N21&amp;" "&amp;O21),1,4)),VALUE(MID(TRIM(N21&amp;" "&amp;O21),6,2)),VALUE(MID(TRIM(N21&amp;" "&amp;O21),9,2))),IF(ISNUMBER(H21),H21,"")),"")</f>
        <v/>
      </c>
      <c r="AC21" s="11">
        <f>IF(ISNUMBER(SEARCH("다기관",TRIM(N21&amp;" "&amp;O21))),IFERROR(DATE(VALUE(MID(TRIM(N21&amp;" "&amp;O21),12,4)),VALUE(MID(TRIM(N21&amp;" "&amp;O21),17,2)),VALUE(MID(TRIM(N21&amp;" "&amp;O21),20,2))),IF(ISNUMBER(I21),I21,"")),"")</f>
        <v/>
      </c>
      <c r="AD21" s="17">
        <f>IF(AND(ISNUMBER(AB21),ISNUMBER(AC21)),MAX(0,MIN(AC21,EOMONTH(출력_요약!$B$3,0))-MAX(AB21,출력_요약!$B$3)+1),0)</f>
        <v/>
      </c>
      <c r="AE21" s="10">
        <f>IF(AND(Q21&lt;&gt;"",ISNUMBER(AB21)),Q21&amp;"|다기관","")</f>
        <v/>
      </c>
    </row>
    <row r="22">
      <c r="A22" s="15">
        <f>IF(F22="","",ROW()-3)</f>
        <v/>
      </c>
      <c r="B22" s="5" t="n"/>
      <c r="C22" s="15" t="n"/>
      <c r="D22" s="5" t="n"/>
      <c r="E22" s="15" t="n"/>
      <c r="F22" s="5" t="n"/>
      <c r="G22" s="6" t="n"/>
      <c r="H22" s="16" t="n"/>
      <c r="I22" s="16" t="n"/>
      <c r="J22" s="15">
        <f>IF(AND(ISNUMBER(H22),ISNUMBER(I22)),I22-H22+1,"")</f>
        <v/>
      </c>
      <c r="K22" s="5" t="n"/>
      <c r="L22" s="5" t="n"/>
      <c r="M22" s="5" t="n"/>
      <c r="N22" s="5" t="n"/>
      <c r="O22" s="5" t="n"/>
      <c r="Q22" s="10">
        <f>IF(TRIM(G22&amp;"")="","",TRIM(G22&amp;""))</f>
        <v/>
      </c>
      <c r="R22" s="10">
        <f>IF(TRIM(B22&amp;"")="","",IFERROR(INDEX(설정_코드표!$K$2:$K$101,MATCH(TRIM(B22&amp;""),설정_코드표!$J$2:$J$101,0)),"⚠"&amp;TRIM(B22&amp;"")))</f>
        <v/>
      </c>
      <c r="S22" s="10">
        <f>IF(TRIM(K22&amp;"")="","",IFERROR(INDEX(설정_코드표!$K$2:$K$101,MATCH(TRIM(K22&amp;""),설정_코드표!$J$2:$J$101,0)),"⚠"&amp;TRIM(K22&amp;"")))</f>
        <v/>
      </c>
      <c r="T22" s="10">
        <f>IF(TRIM(M22&amp;"")="","",IF(ISNUMBER(MATCH(TRIM(M22&amp;""),설정_코드표!$C$2:$C$11,0)),TRIM(M22&amp;""),"⚠"&amp;TRIM(M22&amp;"")))</f>
        <v/>
      </c>
      <c r="U22" s="10">
        <f>IF(TRIM(L22&amp;"")="","",IFERROR(INDEX(설정_코드표!$G$2:$G$101,MATCH(TRIM(L22&amp;""),설정_코드표!$F$2:$F$101,0)),"⚠"&amp;TRIM(L22&amp;"")))</f>
        <v/>
      </c>
      <c r="V22" s="10">
        <f>IF(AND(ISNUMBER(H22),ISNUMBER(I22)),I22-H22+1,"")</f>
        <v/>
      </c>
      <c r="W22" s="17">
        <f>IF(ISNUMBER(H22),MAX(0,MIN(IF(ISNUMBER(I22),I22,EOMONTH(출력_요약!$B$3,0)),EOMONTH(출력_요약!$B$3,0))-MAX(H22,출력_요약!$B$3)+1),0)</f>
        <v/>
      </c>
      <c r="X22" s="10">
        <f>IF(OR(NOT(ISNUMBER(H22)),Q22=""),"",IF(TODAY()&lt;H22,"파견예정",IF(AND(ISNUMBER(I22),TODAY()&gt;I22),"파견종료","파견중")))</f>
        <v/>
      </c>
      <c r="Y22" s="10">
        <f>IF(OR(Q22="",X22=""),"",Q22&amp;"|"&amp;X22)</f>
        <v/>
      </c>
      <c r="Z22" s="10">
        <f>IF(AND(Q22&lt;&gt;"",W22&gt;0),Q22&amp;"|월","")</f>
        <v/>
      </c>
      <c r="AA22" s="10">
        <f>IF(COUNTA(B22:I22,K22:N22)=0,"",IF(Q22="","등록번호 없음",IF(LEFT(R22,1)="⚠","모병원명 미등록",IF(S22="","파견병원 입력",IF(LEFT(S22,1)="⚠","파견병원명 미등록",IF(LEFT(U22,1)="⚠","파견과목 미등록",IF(OR(T22="",LEFT(T22,1)="⚠"),"파견근거 확인",IF(NOT(AND(ISNUMBER(H22),ISNUMBER(I22))),"날짜 형식/누락",IF(I22&lt;H22,"종료일&lt;시작일","")))))))))</f>
        <v/>
      </c>
      <c r="AB22" s="11">
        <f>IF(ISNUMBER(SEARCH("다기관",TRIM(N22&amp;" "&amp;O22))),IFERROR(DATE(VALUE(MID(TRIM(N22&amp;" "&amp;O22),1,4)),VALUE(MID(TRIM(N22&amp;" "&amp;O22),6,2)),VALUE(MID(TRIM(N22&amp;" "&amp;O22),9,2))),IF(ISNUMBER(H22),H22,"")),"")</f>
        <v/>
      </c>
      <c r="AC22" s="11">
        <f>IF(ISNUMBER(SEARCH("다기관",TRIM(N22&amp;" "&amp;O22))),IFERROR(DATE(VALUE(MID(TRIM(N22&amp;" "&amp;O22),12,4)),VALUE(MID(TRIM(N22&amp;" "&amp;O22),17,2)),VALUE(MID(TRIM(N22&amp;" "&amp;O22),20,2))),IF(ISNUMBER(I22),I22,"")),"")</f>
        <v/>
      </c>
      <c r="AD22" s="17">
        <f>IF(AND(ISNUMBER(AB22),ISNUMBER(AC22)),MAX(0,MIN(AC22,EOMONTH(출력_요약!$B$3,0))-MAX(AB22,출력_요약!$B$3)+1),0)</f>
        <v/>
      </c>
      <c r="AE22" s="10">
        <f>IF(AND(Q22&lt;&gt;"",ISNUMBER(AB22)),Q22&amp;"|다기관","")</f>
        <v/>
      </c>
    </row>
    <row r="23">
      <c r="A23" s="15">
        <f>IF(F23="","",ROW()-3)</f>
        <v/>
      </c>
      <c r="B23" s="5" t="n"/>
      <c r="C23" s="15" t="n"/>
      <c r="D23" s="5" t="n"/>
      <c r="E23" s="15" t="n"/>
      <c r="F23" s="5" t="n"/>
      <c r="G23" s="6" t="n"/>
      <c r="H23" s="16" t="n"/>
      <c r="I23" s="16" t="n"/>
      <c r="J23" s="15">
        <f>IF(AND(ISNUMBER(H23),ISNUMBER(I23)),I23-H23+1,"")</f>
        <v/>
      </c>
      <c r="K23" s="5" t="n"/>
      <c r="L23" s="5" t="n"/>
      <c r="M23" s="5" t="n"/>
      <c r="N23" s="5" t="n"/>
      <c r="O23" s="5" t="n"/>
      <c r="Q23" s="10">
        <f>IF(TRIM(G23&amp;"")="","",TRIM(G23&amp;""))</f>
        <v/>
      </c>
      <c r="R23" s="10">
        <f>IF(TRIM(B23&amp;"")="","",IFERROR(INDEX(설정_코드표!$K$2:$K$101,MATCH(TRIM(B23&amp;""),설정_코드표!$J$2:$J$101,0)),"⚠"&amp;TRIM(B23&amp;"")))</f>
        <v/>
      </c>
      <c r="S23" s="10">
        <f>IF(TRIM(K23&amp;"")="","",IFERROR(INDEX(설정_코드표!$K$2:$K$101,MATCH(TRIM(K23&amp;""),설정_코드표!$J$2:$J$101,0)),"⚠"&amp;TRIM(K23&amp;"")))</f>
        <v/>
      </c>
      <c r="T23" s="10">
        <f>IF(TRIM(M23&amp;"")="","",IF(ISNUMBER(MATCH(TRIM(M23&amp;""),설정_코드표!$C$2:$C$11,0)),TRIM(M23&amp;""),"⚠"&amp;TRIM(M23&amp;"")))</f>
        <v/>
      </c>
      <c r="U23" s="10">
        <f>IF(TRIM(L23&amp;"")="","",IFERROR(INDEX(설정_코드표!$G$2:$G$101,MATCH(TRIM(L23&amp;""),설정_코드표!$F$2:$F$101,0)),"⚠"&amp;TRIM(L23&amp;"")))</f>
        <v/>
      </c>
      <c r="V23" s="10">
        <f>IF(AND(ISNUMBER(H23),ISNUMBER(I23)),I23-H23+1,"")</f>
        <v/>
      </c>
      <c r="W23" s="17">
        <f>IF(ISNUMBER(H23),MAX(0,MIN(IF(ISNUMBER(I23),I23,EOMONTH(출력_요약!$B$3,0)),EOMONTH(출력_요약!$B$3,0))-MAX(H23,출력_요약!$B$3)+1),0)</f>
        <v/>
      </c>
      <c r="X23" s="10">
        <f>IF(OR(NOT(ISNUMBER(H23)),Q23=""),"",IF(TODAY()&lt;H23,"파견예정",IF(AND(ISNUMBER(I23),TODAY()&gt;I23),"파견종료","파견중")))</f>
        <v/>
      </c>
      <c r="Y23" s="10">
        <f>IF(OR(Q23="",X23=""),"",Q23&amp;"|"&amp;X23)</f>
        <v/>
      </c>
      <c r="Z23" s="10">
        <f>IF(AND(Q23&lt;&gt;"",W23&gt;0),Q23&amp;"|월","")</f>
        <v/>
      </c>
      <c r="AA23" s="10">
        <f>IF(COUNTA(B23:I23,K23:N23)=0,"",IF(Q23="","등록번호 없음",IF(LEFT(R23,1)="⚠","모병원명 미등록",IF(S23="","파견병원 입력",IF(LEFT(S23,1)="⚠","파견병원명 미등록",IF(LEFT(U23,1)="⚠","파견과목 미등록",IF(OR(T23="",LEFT(T23,1)="⚠"),"파견근거 확인",IF(NOT(AND(ISNUMBER(H23),ISNUMBER(I23))),"날짜 형식/누락",IF(I23&lt;H23,"종료일&lt;시작일","")))))))))</f>
        <v/>
      </c>
      <c r="AB23" s="11">
        <f>IF(ISNUMBER(SEARCH("다기관",TRIM(N23&amp;" "&amp;O23))),IFERROR(DATE(VALUE(MID(TRIM(N23&amp;" "&amp;O23),1,4)),VALUE(MID(TRIM(N23&amp;" "&amp;O23),6,2)),VALUE(MID(TRIM(N23&amp;" "&amp;O23),9,2))),IF(ISNUMBER(H23),H23,"")),"")</f>
        <v/>
      </c>
      <c r="AC23" s="11">
        <f>IF(ISNUMBER(SEARCH("다기관",TRIM(N23&amp;" "&amp;O23))),IFERROR(DATE(VALUE(MID(TRIM(N23&amp;" "&amp;O23),12,4)),VALUE(MID(TRIM(N23&amp;" "&amp;O23),17,2)),VALUE(MID(TRIM(N23&amp;" "&amp;O23),20,2))),IF(ISNUMBER(I23),I23,"")),"")</f>
        <v/>
      </c>
      <c r="AD23" s="17">
        <f>IF(AND(ISNUMBER(AB23),ISNUMBER(AC23)),MAX(0,MIN(AC23,EOMONTH(출력_요약!$B$3,0))-MAX(AB23,출력_요약!$B$3)+1),0)</f>
        <v/>
      </c>
      <c r="AE23" s="10">
        <f>IF(AND(Q23&lt;&gt;"",ISNUMBER(AB23)),Q23&amp;"|다기관","")</f>
        <v/>
      </c>
    </row>
    <row r="24">
      <c r="A24" s="15">
        <f>IF(F24="","",ROW()-3)</f>
        <v/>
      </c>
      <c r="B24" s="5" t="n"/>
      <c r="C24" s="15" t="n"/>
      <c r="D24" s="5" t="n"/>
      <c r="E24" s="15" t="n"/>
      <c r="F24" s="5" t="n"/>
      <c r="G24" s="6" t="n"/>
      <c r="H24" s="16" t="n"/>
      <c r="I24" s="16" t="n"/>
      <c r="J24" s="15">
        <f>IF(AND(ISNUMBER(H24),ISNUMBER(I24)),I24-H24+1,"")</f>
        <v/>
      </c>
      <c r="K24" s="5" t="n"/>
      <c r="L24" s="5" t="n"/>
      <c r="M24" s="5" t="n"/>
      <c r="N24" s="5" t="n"/>
      <c r="O24" s="5" t="n"/>
      <c r="Q24" s="10">
        <f>IF(TRIM(G24&amp;"")="","",TRIM(G24&amp;""))</f>
        <v/>
      </c>
      <c r="R24" s="10">
        <f>IF(TRIM(B24&amp;"")="","",IFERROR(INDEX(설정_코드표!$K$2:$K$101,MATCH(TRIM(B24&amp;""),설정_코드표!$J$2:$J$101,0)),"⚠"&amp;TRIM(B24&amp;"")))</f>
        <v/>
      </c>
      <c r="S24" s="10">
        <f>IF(TRIM(K24&amp;"")="","",IFERROR(INDEX(설정_코드표!$K$2:$K$101,MATCH(TRIM(K24&amp;""),설정_코드표!$J$2:$J$101,0)),"⚠"&amp;TRIM(K24&amp;"")))</f>
        <v/>
      </c>
      <c r="T24" s="10">
        <f>IF(TRIM(M24&amp;"")="","",IF(ISNUMBER(MATCH(TRIM(M24&amp;""),설정_코드표!$C$2:$C$11,0)),TRIM(M24&amp;""),"⚠"&amp;TRIM(M24&amp;"")))</f>
        <v/>
      </c>
      <c r="U24" s="10">
        <f>IF(TRIM(L24&amp;"")="","",IFERROR(INDEX(설정_코드표!$G$2:$G$101,MATCH(TRIM(L24&amp;""),설정_코드표!$F$2:$F$101,0)),"⚠"&amp;TRIM(L24&amp;"")))</f>
        <v/>
      </c>
      <c r="V24" s="10">
        <f>IF(AND(ISNUMBER(H24),ISNUMBER(I24)),I24-H24+1,"")</f>
        <v/>
      </c>
      <c r="W24" s="17">
        <f>IF(ISNUMBER(H24),MAX(0,MIN(IF(ISNUMBER(I24),I24,EOMONTH(출력_요약!$B$3,0)),EOMONTH(출력_요약!$B$3,0))-MAX(H24,출력_요약!$B$3)+1),0)</f>
        <v/>
      </c>
      <c r="X24" s="10">
        <f>IF(OR(NOT(ISNUMBER(H24)),Q24=""),"",IF(TODAY()&lt;H24,"파견예정",IF(AND(ISNUMBER(I24),TODAY()&gt;I24),"파견종료","파견중")))</f>
        <v/>
      </c>
      <c r="Y24" s="10">
        <f>IF(OR(Q24="",X24=""),"",Q24&amp;"|"&amp;X24)</f>
        <v/>
      </c>
      <c r="Z24" s="10">
        <f>IF(AND(Q24&lt;&gt;"",W24&gt;0),Q24&amp;"|월","")</f>
        <v/>
      </c>
      <c r="AA24" s="10">
        <f>IF(COUNTA(B24:I24,K24:N24)=0,"",IF(Q24="","등록번호 없음",IF(LEFT(R24,1)="⚠","모병원명 미등록",IF(S24="","파견병원 입력",IF(LEFT(S24,1)="⚠","파견병원명 미등록",IF(LEFT(U24,1)="⚠","파견과목 미등록",IF(OR(T24="",LEFT(T24,1)="⚠"),"파견근거 확인",IF(NOT(AND(ISNUMBER(H24),ISNUMBER(I24))),"날짜 형식/누락",IF(I24&lt;H24,"종료일&lt;시작일","")))))))))</f>
        <v/>
      </c>
      <c r="AB24" s="11">
        <f>IF(ISNUMBER(SEARCH("다기관",TRIM(N24&amp;" "&amp;O24))),IFERROR(DATE(VALUE(MID(TRIM(N24&amp;" "&amp;O24),1,4)),VALUE(MID(TRIM(N24&amp;" "&amp;O24),6,2)),VALUE(MID(TRIM(N24&amp;" "&amp;O24),9,2))),IF(ISNUMBER(H24),H24,"")),"")</f>
        <v/>
      </c>
      <c r="AC24" s="11">
        <f>IF(ISNUMBER(SEARCH("다기관",TRIM(N24&amp;" "&amp;O24))),IFERROR(DATE(VALUE(MID(TRIM(N24&amp;" "&amp;O24),12,4)),VALUE(MID(TRIM(N24&amp;" "&amp;O24),17,2)),VALUE(MID(TRIM(N24&amp;" "&amp;O24),20,2))),IF(ISNUMBER(I24),I24,"")),"")</f>
        <v/>
      </c>
      <c r="AD24" s="17">
        <f>IF(AND(ISNUMBER(AB24),ISNUMBER(AC24)),MAX(0,MIN(AC24,EOMONTH(출력_요약!$B$3,0))-MAX(AB24,출력_요약!$B$3)+1),0)</f>
        <v/>
      </c>
      <c r="AE24" s="10">
        <f>IF(AND(Q24&lt;&gt;"",ISNUMBER(AB24)),Q24&amp;"|다기관","")</f>
        <v/>
      </c>
    </row>
    <row r="25">
      <c r="A25" s="15">
        <f>IF(F25="","",ROW()-3)</f>
        <v/>
      </c>
      <c r="B25" s="5" t="n"/>
      <c r="C25" s="15" t="n"/>
      <c r="D25" s="5" t="n"/>
      <c r="E25" s="15" t="n"/>
      <c r="F25" s="5" t="n"/>
      <c r="G25" s="6" t="n"/>
      <c r="H25" s="16" t="n"/>
      <c r="I25" s="16" t="n"/>
      <c r="J25" s="15">
        <f>IF(AND(ISNUMBER(H25),ISNUMBER(I25)),I25-H25+1,"")</f>
        <v/>
      </c>
      <c r="K25" s="5" t="n"/>
      <c r="L25" s="5" t="n"/>
      <c r="M25" s="5" t="n"/>
      <c r="N25" s="5" t="n"/>
      <c r="O25" s="5" t="n"/>
      <c r="Q25" s="10">
        <f>IF(TRIM(G25&amp;"")="","",TRIM(G25&amp;""))</f>
        <v/>
      </c>
      <c r="R25" s="10">
        <f>IF(TRIM(B25&amp;"")="","",IFERROR(INDEX(설정_코드표!$K$2:$K$101,MATCH(TRIM(B25&amp;""),설정_코드표!$J$2:$J$101,0)),"⚠"&amp;TRIM(B25&amp;"")))</f>
        <v/>
      </c>
      <c r="S25" s="10">
        <f>IF(TRIM(K25&amp;"")="","",IFERROR(INDEX(설정_코드표!$K$2:$K$101,MATCH(TRIM(K25&amp;""),설정_코드표!$J$2:$J$101,0)),"⚠"&amp;TRIM(K25&amp;"")))</f>
        <v/>
      </c>
      <c r="T25" s="10">
        <f>IF(TRIM(M25&amp;"")="","",IF(ISNUMBER(MATCH(TRIM(M25&amp;""),설정_코드표!$C$2:$C$11,0)),TRIM(M25&amp;""),"⚠"&amp;TRIM(M25&amp;"")))</f>
        <v/>
      </c>
      <c r="U25" s="10">
        <f>IF(TRIM(L25&amp;"")="","",IFERROR(INDEX(설정_코드표!$G$2:$G$101,MATCH(TRIM(L25&amp;""),설정_코드표!$F$2:$F$101,0)),"⚠"&amp;TRIM(L25&amp;"")))</f>
        <v/>
      </c>
      <c r="V25" s="10">
        <f>IF(AND(ISNUMBER(H25),ISNUMBER(I25)),I25-H25+1,"")</f>
        <v/>
      </c>
      <c r="W25" s="17">
        <f>IF(ISNUMBER(H25),MAX(0,MIN(IF(ISNUMBER(I25),I25,EOMONTH(출력_요약!$B$3,0)),EOMONTH(출력_요약!$B$3,0))-MAX(H25,출력_요약!$B$3)+1),0)</f>
        <v/>
      </c>
      <c r="X25" s="10">
        <f>IF(OR(NOT(ISNUMBER(H25)),Q25=""),"",IF(TODAY()&lt;H25,"파견예정",IF(AND(ISNUMBER(I25),TODAY()&gt;I25),"파견종료","파견중")))</f>
        <v/>
      </c>
      <c r="Y25" s="10">
        <f>IF(OR(Q25="",X25=""),"",Q25&amp;"|"&amp;X25)</f>
        <v/>
      </c>
      <c r="Z25" s="10">
        <f>IF(AND(Q25&lt;&gt;"",W25&gt;0),Q25&amp;"|월","")</f>
        <v/>
      </c>
      <c r="AA25" s="10">
        <f>IF(COUNTA(B25:I25,K25:N25)=0,"",IF(Q25="","등록번호 없음",IF(LEFT(R25,1)="⚠","모병원명 미등록",IF(S25="","파견병원 입력",IF(LEFT(S25,1)="⚠","파견병원명 미등록",IF(LEFT(U25,1)="⚠","파견과목 미등록",IF(OR(T25="",LEFT(T25,1)="⚠"),"파견근거 확인",IF(NOT(AND(ISNUMBER(H25),ISNUMBER(I25))),"날짜 형식/누락",IF(I25&lt;H25,"종료일&lt;시작일","")))))))))</f>
        <v/>
      </c>
      <c r="AB25" s="11">
        <f>IF(ISNUMBER(SEARCH("다기관",TRIM(N25&amp;" "&amp;O25))),IFERROR(DATE(VALUE(MID(TRIM(N25&amp;" "&amp;O25),1,4)),VALUE(MID(TRIM(N25&amp;" "&amp;O25),6,2)),VALUE(MID(TRIM(N25&amp;" "&amp;O25),9,2))),IF(ISNUMBER(H25),H25,"")),"")</f>
        <v/>
      </c>
      <c r="AC25" s="11">
        <f>IF(ISNUMBER(SEARCH("다기관",TRIM(N25&amp;" "&amp;O25))),IFERROR(DATE(VALUE(MID(TRIM(N25&amp;" "&amp;O25),12,4)),VALUE(MID(TRIM(N25&amp;" "&amp;O25),17,2)),VALUE(MID(TRIM(N25&amp;" "&amp;O25),20,2))),IF(ISNUMBER(I25),I25,"")),"")</f>
        <v/>
      </c>
      <c r="AD25" s="17">
        <f>IF(AND(ISNUMBER(AB25),ISNUMBER(AC25)),MAX(0,MIN(AC25,EOMONTH(출력_요약!$B$3,0))-MAX(AB25,출력_요약!$B$3)+1),0)</f>
        <v/>
      </c>
      <c r="AE25" s="10">
        <f>IF(AND(Q25&lt;&gt;"",ISNUMBER(AB25)),Q25&amp;"|다기관","")</f>
        <v/>
      </c>
    </row>
    <row r="26">
      <c r="A26" s="15">
        <f>IF(F26="","",ROW()-3)</f>
        <v/>
      </c>
      <c r="B26" s="5" t="n"/>
      <c r="C26" s="15" t="n"/>
      <c r="D26" s="5" t="n"/>
      <c r="E26" s="15" t="n"/>
      <c r="F26" s="5" t="n"/>
      <c r="G26" s="6" t="n"/>
      <c r="H26" s="16" t="n"/>
      <c r="I26" s="16" t="n"/>
      <c r="J26" s="15">
        <f>IF(AND(ISNUMBER(H26),ISNUMBER(I26)),I26-H26+1,"")</f>
        <v/>
      </c>
      <c r="K26" s="5" t="n"/>
      <c r="L26" s="5" t="n"/>
      <c r="M26" s="5" t="n"/>
      <c r="N26" s="5" t="n"/>
      <c r="O26" s="5" t="n"/>
      <c r="Q26" s="10">
        <f>IF(TRIM(G26&amp;"")="","",TRIM(G26&amp;""))</f>
        <v/>
      </c>
      <c r="R26" s="10">
        <f>IF(TRIM(B26&amp;"")="","",IFERROR(INDEX(설정_코드표!$K$2:$K$101,MATCH(TRIM(B26&amp;""),설정_코드표!$J$2:$J$101,0)),"⚠"&amp;TRIM(B26&amp;"")))</f>
        <v/>
      </c>
      <c r="S26" s="10">
        <f>IF(TRIM(K26&amp;"")="","",IFERROR(INDEX(설정_코드표!$K$2:$K$101,MATCH(TRIM(K26&amp;""),설정_코드표!$J$2:$J$101,0)),"⚠"&amp;TRIM(K26&amp;"")))</f>
        <v/>
      </c>
      <c r="T26" s="10">
        <f>IF(TRIM(M26&amp;"")="","",IF(ISNUMBER(MATCH(TRIM(M26&amp;""),설정_코드표!$C$2:$C$11,0)),TRIM(M26&amp;""),"⚠"&amp;TRIM(M26&amp;"")))</f>
        <v/>
      </c>
      <c r="U26" s="10">
        <f>IF(TRIM(L26&amp;"")="","",IFERROR(INDEX(설정_코드표!$G$2:$G$101,MATCH(TRIM(L26&amp;""),설정_코드표!$F$2:$F$101,0)),"⚠"&amp;TRIM(L26&amp;"")))</f>
        <v/>
      </c>
      <c r="V26" s="10">
        <f>IF(AND(ISNUMBER(H26),ISNUMBER(I26)),I26-H26+1,"")</f>
        <v/>
      </c>
      <c r="W26" s="17">
        <f>IF(ISNUMBER(H26),MAX(0,MIN(IF(ISNUMBER(I26),I26,EOMONTH(출력_요약!$B$3,0)),EOMONTH(출력_요약!$B$3,0))-MAX(H26,출력_요약!$B$3)+1),0)</f>
        <v/>
      </c>
      <c r="X26" s="10">
        <f>IF(OR(NOT(ISNUMBER(H26)),Q26=""),"",IF(TODAY()&lt;H26,"파견예정",IF(AND(ISNUMBER(I26),TODAY()&gt;I26),"파견종료","파견중")))</f>
        <v/>
      </c>
      <c r="Y26" s="10">
        <f>IF(OR(Q26="",X26=""),"",Q26&amp;"|"&amp;X26)</f>
        <v/>
      </c>
      <c r="Z26" s="10">
        <f>IF(AND(Q26&lt;&gt;"",W26&gt;0),Q26&amp;"|월","")</f>
        <v/>
      </c>
      <c r="AA26" s="10">
        <f>IF(COUNTA(B26:I26,K26:N26)=0,"",IF(Q26="","등록번호 없음",IF(LEFT(R26,1)="⚠","모병원명 미등록",IF(S26="","파견병원 입력",IF(LEFT(S26,1)="⚠","파견병원명 미등록",IF(LEFT(U26,1)="⚠","파견과목 미등록",IF(OR(T26="",LEFT(T26,1)="⚠"),"파견근거 확인",IF(NOT(AND(ISNUMBER(H26),ISNUMBER(I26))),"날짜 형식/누락",IF(I26&lt;H26,"종료일&lt;시작일","")))))))))</f>
        <v/>
      </c>
      <c r="AB26" s="11">
        <f>IF(ISNUMBER(SEARCH("다기관",TRIM(N26&amp;" "&amp;O26))),IFERROR(DATE(VALUE(MID(TRIM(N26&amp;" "&amp;O26),1,4)),VALUE(MID(TRIM(N26&amp;" "&amp;O26),6,2)),VALUE(MID(TRIM(N26&amp;" "&amp;O26),9,2))),IF(ISNUMBER(H26),H26,"")),"")</f>
        <v/>
      </c>
      <c r="AC26" s="11">
        <f>IF(ISNUMBER(SEARCH("다기관",TRIM(N26&amp;" "&amp;O26))),IFERROR(DATE(VALUE(MID(TRIM(N26&amp;" "&amp;O26),12,4)),VALUE(MID(TRIM(N26&amp;" "&amp;O26),17,2)),VALUE(MID(TRIM(N26&amp;" "&amp;O26),20,2))),IF(ISNUMBER(I26),I26,"")),"")</f>
        <v/>
      </c>
      <c r="AD26" s="17">
        <f>IF(AND(ISNUMBER(AB26),ISNUMBER(AC26)),MAX(0,MIN(AC26,EOMONTH(출력_요약!$B$3,0))-MAX(AB26,출력_요약!$B$3)+1),0)</f>
        <v/>
      </c>
      <c r="AE26" s="10">
        <f>IF(AND(Q26&lt;&gt;"",ISNUMBER(AB26)),Q26&amp;"|다기관","")</f>
        <v/>
      </c>
    </row>
    <row r="27">
      <c r="A27" s="15">
        <f>IF(F27="","",ROW()-3)</f>
        <v/>
      </c>
      <c r="B27" s="5" t="n"/>
      <c r="C27" s="15" t="n"/>
      <c r="D27" s="5" t="n"/>
      <c r="E27" s="15" t="n"/>
      <c r="F27" s="5" t="n"/>
      <c r="G27" s="6" t="n"/>
      <c r="H27" s="16" t="n"/>
      <c r="I27" s="16" t="n"/>
      <c r="J27" s="15">
        <f>IF(AND(ISNUMBER(H27),ISNUMBER(I27)),I27-H27+1,"")</f>
        <v/>
      </c>
      <c r="K27" s="5" t="n"/>
      <c r="L27" s="5" t="n"/>
      <c r="M27" s="5" t="n"/>
      <c r="N27" s="5" t="n"/>
      <c r="O27" s="5" t="n"/>
      <c r="Q27" s="10">
        <f>IF(TRIM(G27&amp;"")="","",TRIM(G27&amp;""))</f>
        <v/>
      </c>
      <c r="R27" s="10">
        <f>IF(TRIM(B27&amp;"")="","",IFERROR(INDEX(설정_코드표!$K$2:$K$101,MATCH(TRIM(B27&amp;""),설정_코드표!$J$2:$J$101,0)),"⚠"&amp;TRIM(B27&amp;"")))</f>
        <v/>
      </c>
      <c r="S27" s="10">
        <f>IF(TRIM(K27&amp;"")="","",IFERROR(INDEX(설정_코드표!$K$2:$K$101,MATCH(TRIM(K27&amp;""),설정_코드표!$J$2:$J$101,0)),"⚠"&amp;TRIM(K27&amp;"")))</f>
        <v/>
      </c>
      <c r="T27" s="10">
        <f>IF(TRIM(M27&amp;"")="","",IF(ISNUMBER(MATCH(TRIM(M27&amp;""),설정_코드표!$C$2:$C$11,0)),TRIM(M27&amp;""),"⚠"&amp;TRIM(M27&amp;"")))</f>
        <v/>
      </c>
      <c r="U27" s="10">
        <f>IF(TRIM(L27&amp;"")="","",IFERROR(INDEX(설정_코드표!$G$2:$G$101,MATCH(TRIM(L27&amp;""),설정_코드표!$F$2:$F$101,0)),"⚠"&amp;TRIM(L27&amp;"")))</f>
        <v/>
      </c>
      <c r="V27" s="10">
        <f>IF(AND(ISNUMBER(H27),ISNUMBER(I27)),I27-H27+1,"")</f>
        <v/>
      </c>
      <c r="W27" s="17">
        <f>IF(ISNUMBER(H27),MAX(0,MIN(IF(ISNUMBER(I27),I27,EOMONTH(출력_요약!$B$3,0)),EOMONTH(출력_요약!$B$3,0))-MAX(H27,출력_요약!$B$3)+1),0)</f>
        <v/>
      </c>
      <c r="X27" s="10">
        <f>IF(OR(NOT(ISNUMBER(H27)),Q27=""),"",IF(TODAY()&lt;H27,"파견예정",IF(AND(ISNUMBER(I27),TODAY()&gt;I27),"파견종료","파견중")))</f>
        <v/>
      </c>
      <c r="Y27" s="10">
        <f>IF(OR(Q27="",X27=""),"",Q27&amp;"|"&amp;X27)</f>
        <v/>
      </c>
      <c r="Z27" s="10">
        <f>IF(AND(Q27&lt;&gt;"",W27&gt;0),Q27&amp;"|월","")</f>
        <v/>
      </c>
      <c r="AA27" s="10">
        <f>IF(COUNTA(B27:I27,K27:N27)=0,"",IF(Q27="","등록번호 없음",IF(LEFT(R27,1)="⚠","모병원명 미등록",IF(S27="","파견병원 입력",IF(LEFT(S27,1)="⚠","파견병원명 미등록",IF(LEFT(U27,1)="⚠","파견과목 미등록",IF(OR(T27="",LEFT(T27,1)="⚠"),"파견근거 확인",IF(NOT(AND(ISNUMBER(H27),ISNUMBER(I27))),"날짜 형식/누락",IF(I27&lt;H27,"종료일&lt;시작일","")))))))))</f>
        <v/>
      </c>
      <c r="AB27" s="11">
        <f>IF(ISNUMBER(SEARCH("다기관",TRIM(N27&amp;" "&amp;O27))),IFERROR(DATE(VALUE(MID(TRIM(N27&amp;" "&amp;O27),1,4)),VALUE(MID(TRIM(N27&amp;" "&amp;O27),6,2)),VALUE(MID(TRIM(N27&amp;" "&amp;O27),9,2))),IF(ISNUMBER(H27),H27,"")),"")</f>
        <v/>
      </c>
      <c r="AC27" s="11">
        <f>IF(ISNUMBER(SEARCH("다기관",TRIM(N27&amp;" "&amp;O27))),IFERROR(DATE(VALUE(MID(TRIM(N27&amp;" "&amp;O27),12,4)),VALUE(MID(TRIM(N27&amp;" "&amp;O27),17,2)),VALUE(MID(TRIM(N27&amp;" "&amp;O27),20,2))),IF(ISNUMBER(I27),I27,"")),"")</f>
        <v/>
      </c>
      <c r="AD27" s="17">
        <f>IF(AND(ISNUMBER(AB27),ISNUMBER(AC27)),MAX(0,MIN(AC27,EOMONTH(출력_요약!$B$3,0))-MAX(AB27,출력_요약!$B$3)+1),0)</f>
        <v/>
      </c>
      <c r="AE27" s="10">
        <f>IF(AND(Q27&lt;&gt;"",ISNUMBER(AB27)),Q27&amp;"|다기관","")</f>
        <v/>
      </c>
    </row>
    <row r="28">
      <c r="A28" s="15">
        <f>IF(F28="","",ROW()-3)</f>
        <v/>
      </c>
      <c r="B28" s="5" t="n"/>
      <c r="C28" s="15" t="n"/>
      <c r="D28" s="5" t="n"/>
      <c r="E28" s="15" t="n"/>
      <c r="F28" s="5" t="n"/>
      <c r="G28" s="6" t="n"/>
      <c r="H28" s="16" t="n"/>
      <c r="I28" s="16" t="n"/>
      <c r="J28" s="15">
        <f>IF(AND(ISNUMBER(H28),ISNUMBER(I28)),I28-H28+1,"")</f>
        <v/>
      </c>
      <c r="K28" s="5" t="n"/>
      <c r="L28" s="5" t="n"/>
      <c r="M28" s="5" t="n"/>
      <c r="N28" s="5" t="n"/>
      <c r="O28" s="5" t="n"/>
      <c r="Q28" s="10">
        <f>IF(TRIM(G28&amp;"")="","",TRIM(G28&amp;""))</f>
        <v/>
      </c>
      <c r="R28" s="10">
        <f>IF(TRIM(B28&amp;"")="","",IFERROR(INDEX(설정_코드표!$K$2:$K$101,MATCH(TRIM(B28&amp;""),설정_코드표!$J$2:$J$101,0)),"⚠"&amp;TRIM(B28&amp;"")))</f>
        <v/>
      </c>
      <c r="S28" s="10">
        <f>IF(TRIM(K28&amp;"")="","",IFERROR(INDEX(설정_코드표!$K$2:$K$101,MATCH(TRIM(K28&amp;""),설정_코드표!$J$2:$J$101,0)),"⚠"&amp;TRIM(K28&amp;"")))</f>
        <v/>
      </c>
      <c r="T28" s="10">
        <f>IF(TRIM(M28&amp;"")="","",IF(ISNUMBER(MATCH(TRIM(M28&amp;""),설정_코드표!$C$2:$C$11,0)),TRIM(M28&amp;""),"⚠"&amp;TRIM(M28&amp;"")))</f>
        <v/>
      </c>
      <c r="U28" s="10">
        <f>IF(TRIM(L28&amp;"")="","",IFERROR(INDEX(설정_코드표!$G$2:$G$101,MATCH(TRIM(L28&amp;""),설정_코드표!$F$2:$F$101,0)),"⚠"&amp;TRIM(L28&amp;"")))</f>
        <v/>
      </c>
      <c r="V28" s="10">
        <f>IF(AND(ISNUMBER(H28),ISNUMBER(I28)),I28-H28+1,"")</f>
        <v/>
      </c>
      <c r="W28" s="17">
        <f>IF(ISNUMBER(H28),MAX(0,MIN(IF(ISNUMBER(I28),I28,EOMONTH(출력_요약!$B$3,0)),EOMONTH(출력_요약!$B$3,0))-MAX(H28,출력_요약!$B$3)+1),0)</f>
        <v/>
      </c>
      <c r="X28" s="10">
        <f>IF(OR(NOT(ISNUMBER(H28)),Q28=""),"",IF(TODAY()&lt;H28,"파견예정",IF(AND(ISNUMBER(I28),TODAY()&gt;I28),"파견종료","파견중")))</f>
        <v/>
      </c>
      <c r="Y28" s="10">
        <f>IF(OR(Q28="",X28=""),"",Q28&amp;"|"&amp;X28)</f>
        <v/>
      </c>
      <c r="Z28" s="10">
        <f>IF(AND(Q28&lt;&gt;"",W28&gt;0),Q28&amp;"|월","")</f>
        <v/>
      </c>
      <c r="AA28" s="10">
        <f>IF(COUNTA(B28:I28,K28:N28)=0,"",IF(Q28="","등록번호 없음",IF(LEFT(R28,1)="⚠","모병원명 미등록",IF(S28="","파견병원 입력",IF(LEFT(S28,1)="⚠","파견병원명 미등록",IF(LEFT(U28,1)="⚠","파견과목 미등록",IF(OR(T28="",LEFT(T28,1)="⚠"),"파견근거 확인",IF(NOT(AND(ISNUMBER(H28),ISNUMBER(I28))),"날짜 형식/누락",IF(I28&lt;H28,"종료일&lt;시작일","")))))))))</f>
        <v/>
      </c>
      <c r="AB28" s="11">
        <f>IF(ISNUMBER(SEARCH("다기관",TRIM(N28&amp;" "&amp;O28))),IFERROR(DATE(VALUE(MID(TRIM(N28&amp;" "&amp;O28),1,4)),VALUE(MID(TRIM(N28&amp;" "&amp;O28),6,2)),VALUE(MID(TRIM(N28&amp;" "&amp;O28),9,2))),IF(ISNUMBER(H28),H28,"")),"")</f>
        <v/>
      </c>
      <c r="AC28" s="11">
        <f>IF(ISNUMBER(SEARCH("다기관",TRIM(N28&amp;" "&amp;O28))),IFERROR(DATE(VALUE(MID(TRIM(N28&amp;" "&amp;O28),12,4)),VALUE(MID(TRIM(N28&amp;" "&amp;O28),17,2)),VALUE(MID(TRIM(N28&amp;" "&amp;O28),20,2))),IF(ISNUMBER(I28),I28,"")),"")</f>
        <v/>
      </c>
      <c r="AD28" s="17">
        <f>IF(AND(ISNUMBER(AB28),ISNUMBER(AC28)),MAX(0,MIN(AC28,EOMONTH(출력_요약!$B$3,0))-MAX(AB28,출력_요약!$B$3)+1),0)</f>
        <v/>
      </c>
      <c r="AE28" s="10">
        <f>IF(AND(Q28&lt;&gt;"",ISNUMBER(AB28)),Q28&amp;"|다기관","")</f>
        <v/>
      </c>
    </row>
    <row r="29">
      <c r="A29" s="15">
        <f>IF(F29="","",ROW()-3)</f>
        <v/>
      </c>
      <c r="B29" s="5" t="n"/>
      <c r="C29" s="15" t="n"/>
      <c r="D29" s="5" t="n"/>
      <c r="E29" s="15" t="n"/>
      <c r="F29" s="5" t="n"/>
      <c r="G29" s="6" t="n"/>
      <c r="H29" s="16" t="n"/>
      <c r="I29" s="16" t="n"/>
      <c r="J29" s="15">
        <f>IF(AND(ISNUMBER(H29),ISNUMBER(I29)),I29-H29+1,"")</f>
        <v/>
      </c>
      <c r="K29" s="5" t="n"/>
      <c r="L29" s="5" t="n"/>
      <c r="M29" s="5" t="n"/>
      <c r="N29" s="5" t="n"/>
      <c r="O29" s="5" t="n"/>
      <c r="Q29" s="10">
        <f>IF(TRIM(G29&amp;"")="","",TRIM(G29&amp;""))</f>
        <v/>
      </c>
      <c r="R29" s="10">
        <f>IF(TRIM(B29&amp;"")="","",IFERROR(INDEX(설정_코드표!$K$2:$K$101,MATCH(TRIM(B29&amp;""),설정_코드표!$J$2:$J$101,0)),"⚠"&amp;TRIM(B29&amp;"")))</f>
        <v/>
      </c>
      <c r="S29" s="10">
        <f>IF(TRIM(K29&amp;"")="","",IFERROR(INDEX(설정_코드표!$K$2:$K$101,MATCH(TRIM(K29&amp;""),설정_코드표!$J$2:$J$101,0)),"⚠"&amp;TRIM(K29&amp;"")))</f>
        <v/>
      </c>
      <c r="T29" s="10">
        <f>IF(TRIM(M29&amp;"")="","",IF(ISNUMBER(MATCH(TRIM(M29&amp;""),설정_코드표!$C$2:$C$11,0)),TRIM(M29&amp;""),"⚠"&amp;TRIM(M29&amp;"")))</f>
        <v/>
      </c>
      <c r="U29" s="10">
        <f>IF(TRIM(L29&amp;"")="","",IFERROR(INDEX(설정_코드표!$G$2:$G$101,MATCH(TRIM(L29&amp;""),설정_코드표!$F$2:$F$101,0)),"⚠"&amp;TRIM(L29&amp;"")))</f>
        <v/>
      </c>
      <c r="V29" s="10">
        <f>IF(AND(ISNUMBER(H29),ISNUMBER(I29)),I29-H29+1,"")</f>
        <v/>
      </c>
      <c r="W29" s="17">
        <f>IF(ISNUMBER(H29),MAX(0,MIN(IF(ISNUMBER(I29),I29,EOMONTH(출력_요약!$B$3,0)),EOMONTH(출력_요약!$B$3,0))-MAX(H29,출력_요약!$B$3)+1),0)</f>
        <v/>
      </c>
      <c r="X29" s="10">
        <f>IF(OR(NOT(ISNUMBER(H29)),Q29=""),"",IF(TODAY()&lt;H29,"파견예정",IF(AND(ISNUMBER(I29),TODAY()&gt;I29),"파견종료","파견중")))</f>
        <v/>
      </c>
      <c r="Y29" s="10">
        <f>IF(OR(Q29="",X29=""),"",Q29&amp;"|"&amp;X29)</f>
        <v/>
      </c>
      <c r="Z29" s="10">
        <f>IF(AND(Q29&lt;&gt;"",W29&gt;0),Q29&amp;"|월","")</f>
        <v/>
      </c>
      <c r="AA29" s="10">
        <f>IF(COUNTA(B29:I29,K29:N29)=0,"",IF(Q29="","등록번호 없음",IF(LEFT(R29,1)="⚠","모병원명 미등록",IF(S29="","파견병원 입력",IF(LEFT(S29,1)="⚠","파견병원명 미등록",IF(LEFT(U29,1)="⚠","파견과목 미등록",IF(OR(T29="",LEFT(T29,1)="⚠"),"파견근거 확인",IF(NOT(AND(ISNUMBER(H29),ISNUMBER(I29))),"날짜 형식/누락",IF(I29&lt;H29,"종료일&lt;시작일","")))))))))</f>
        <v/>
      </c>
      <c r="AB29" s="11">
        <f>IF(ISNUMBER(SEARCH("다기관",TRIM(N29&amp;" "&amp;O29))),IFERROR(DATE(VALUE(MID(TRIM(N29&amp;" "&amp;O29),1,4)),VALUE(MID(TRIM(N29&amp;" "&amp;O29),6,2)),VALUE(MID(TRIM(N29&amp;" "&amp;O29),9,2))),IF(ISNUMBER(H29),H29,"")),"")</f>
        <v/>
      </c>
      <c r="AC29" s="11">
        <f>IF(ISNUMBER(SEARCH("다기관",TRIM(N29&amp;" "&amp;O29))),IFERROR(DATE(VALUE(MID(TRIM(N29&amp;" "&amp;O29),12,4)),VALUE(MID(TRIM(N29&amp;" "&amp;O29),17,2)),VALUE(MID(TRIM(N29&amp;" "&amp;O29),20,2))),IF(ISNUMBER(I29),I29,"")),"")</f>
        <v/>
      </c>
      <c r="AD29" s="17">
        <f>IF(AND(ISNUMBER(AB29),ISNUMBER(AC29)),MAX(0,MIN(AC29,EOMONTH(출력_요약!$B$3,0))-MAX(AB29,출력_요약!$B$3)+1),0)</f>
        <v/>
      </c>
      <c r="AE29" s="10">
        <f>IF(AND(Q29&lt;&gt;"",ISNUMBER(AB29)),Q29&amp;"|다기관","")</f>
        <v/>
      </c>
    </row>
    <row r="30">
      <c r="A30" s="15">
        <f>IF(F30="","",ROW()-3)</f>
        <v/>
      </c>
      <c r="B30" s="5" t="n"/>
      <c r="C30" s="15" t="n"/>
      <c r="D30" s="5" t="n"/>
      <c r="E30" s="15" t="n"/>
      <c r="F30" s="5" t="n"/>
      <c r="G30" s="6" t="n"/>
      <c r="H30" s="16" t="n"/>
      <c r="I30" s="16" t="n"/>
      <c r="J30" s="15">
        <f>IF(AND(ISNUMBER(H30),ISNUMBER(I30)),I30-H30+1,"")</f>
        <v/>
      </c>
      <c r="K30" s="5" t="n"/>
      <c r="L30" s="5" t="n"/>
      <c r="M30" s="5" t="n"/>
      <c r="N30" s="5" t="n"/>
      <c r="O30" s="5" t="n"/>
      <c r="Q30" s="10">
        <f>IF(TRIM(G30&amp;"")="","",TRIM(G30&amp;""))</f>
        <v/>
      </c>
      <c r="R30" s="10">
        <f>IF(TRIM(B30&amp;"")="","",IFERROR(INDEX(설정_코드표!$K$2:$K$101,MATCH(TRIM(B30&amp;""),설정_코드표!$J$2:$J$101,0)),"⚠"&amp;TRIM(B30&amp;"")))</f>
        <v/>
      </c>
      <c r="S30" s="10">
        <f>IF(TRIM(K30&amp;"")="","",IFERROR(INDEX(설정_코드표!$K$2:$K$101,MATCH(TRIM(K30&amp;""),설정_코드표!$J$2:$J$101,0)),"⚠"&amp;TRIM(K30&amp;"")))</f>
        <v/>
      </c>
      <c r="T30" s="10">
        <f>IF(TRIM(M30&amp;"")="","",IF(ISNUMBER(MATCH(TRIM(M30&amp;""),설정_코드표!$C$2:$C$11,0)),TRIM(M30&amp;""),"⚠"&amp;TRIM(M30&amp;"")))</f>
        <v/>
      </c>
      <c r="U30" s="10">
        <f>IF(TRIM(L30&amp;"")="","",IFERROR(INDEX(설정_코드표!$G$2:$G$101,MATCH(TRIM(L30&amp;""),설정_코드표!$F$2:$F$101,0)),"⚠"&amp;TRIM(L30&amp;"")))</f>
        <v/>
      </c>
      <c r="V30" s="10">
        <f>IF(AND(ISNUMBER(H30),ISNUMBER(I30)),I30-H30+1,"")</f>
        <v/>
      </c>
      <c r="W30" s="17">
        <f>IF(ISNUMBER(H30),MAX(0,MIN(IF(ISNUMBER(I30),I30,EOMONTH(출력_요약!$B$3,0)),EOMONTH(출력_요약!$B$3,0))-MAX(H30,출력_요약!$B$3)+1),0)</f>
        <v/>
      </c>
      <c r="X30" s="10">
        <f>IF(OR(NOT(ISNUMBER(H30)),Q30=""),"",IF(TODAY()&lt;H30,"파견예정",IF(AND(ISNUMBER(I30),TODAY()&gt;I30),"파견종료","파견중")))</f>
        <v/>
      </c>
      <c r="Y30" s="10">
        <f>IF(OR(Q30="",X30=""),"",Q30&amp;"|"&amp;X30)</f>
        <v/>
      </c>
      <c r="Z30" s="10">
        <f>IF(AND(Q30&lt;&gt;"",W30&gt;0),Q30&amp;"|월","")</f>
        <v/>
      </c>
      <c r="AA30" s="10">
        <f>IF(COUNTA(B30:I30,K30:N30)=0,"",IF(Q30="","등록번호 없음",IF(LEFT(R30,1)="⚠","모병원명 미등록",IF(S30="","파견병원 입력",IF(LEFT(S30,1)="⚠","파견병원명 미등록",IF(LEFT(U30,1)="⚠","파견과목 미등록",IF(OR(T30="",LEFT(T30,1)="⚠"),"파견근거 확인",IF(NOT(AND(ISNUMBER(H30),ISNUMBER(I30))),"날짜 형식/누락",IF(I30&lt;H30,"종료일&lt;시작일","")))))))))</f>
        <v/>
      </c>
      <c r="AB30" s="11">
        <f>IF(ISNUMBER(SEARCH("다기관",TRIM(N30&amp;" "&amp;O30))),IFERROR(DATE(VALUE(MID(TRIM(N30&amp;" "&amp;O30),1,4)),VALUE(MID(TRIM(N30&amp;" "&amp;O30),6,2)),VALUE(MID(TRIM(N30&amp;" "&amp;O30),9,2))),IF(ISNUMBER(H30),H30,"")),"")</f>
        <v/>
      </c>
      <c r="AC30" s="11">
        <f>IF(ISNUMBER(SEARCH("다기관",TRIM(N30&amp;" "&amp;O30))),IFERROR(DATE(VALUE(MID(TRIM(N30&amp;" "&amp;O30),12,4)),VALUE(MID(TRIM(N30&amp;" "&amp;O30),17,2)),VALUE(MID(TRIM(N30&amp;" "&amp;O30),20,2))),IF(ISNUMBER(I30),I30,"")),"")</f>
        <v/>
      </c>
      <c r="AD30" s="17">
        <f>IF(AND(ISNUMBER(AB30),ISNUMBER(AC30)),MAX(0,MIN(AC30,EOMONTH(출력_요약!$B$3,0))-MAX(AB30,출력_요약!$B$3)+1),0)</f>
        <v/>
      </c>
      <c r="AE30" s="10">
        <f>IF(AND(Q30&lt;&gt;"",ISNUMBER(AB30)),Q30&amp;"|다기관","")</f>
        <v/>
      </c>
    </row>
    <row r="31">
      <c r="A31" s="15">
        <f>IF(F31="","",ROW()-3)</f>
        <v/>
      </c>
      <c r="B31" s="5" t="n"/>
      <c r="C31" s="15" t="n"/>
      <c r="D31" s="5" t="n"/>
      <c r="E31" s="15" t="n"/>
      <c r="F31" s="5" t="n"/>
      <c r="G31" s="6" t="n"/>
      <c r="H31" s="16" t="n"/>
      <c r="I31" s="16" t="n"/>
      <c r="J31" s="15">
        <f>IF(AND(ISNUMBER(H31),ISNUMBER(I31)),I31-H31+1,"")</f>
        <v/>
      </c>
      <c r="K31" s="5" t="n"/>
      <c r="L31" s="5" t="n"/>
      <c r="M31" s="5" t="n"/>
      <c r="N31" s="5" t="n"/>
      <c r="O31" s="5" t="n"/>
      <c r="Q31" s="10">
        <f>IF(TRIM(G31&amp;"")="","",TRIM(G31&amp;""))</f>
        <v/>
      </c>
      <c r="R31" s="10">
        <f>IF(TRIM(B31&amp;"")="","",IFERROR(INDEX(설정_코드표!$K$2:$K$101,MATCH(TRIM(B31&amp;""),설정_코드표!$J$2:$J$101,0)),"⚠"&amp;TRIM(B31&amp;"")))</f>
        <v/>
      </c>
      <c r="S31" s="10">
        <f>IF(TRIM(K31&amp;"")="","",IFERROR(INDEX(설정_코드표!$K$2:$K$101,MATCH(TRIM(K31&amp;""),설정_코드표!$J$2:$J$101,0)),"⚠"&amp;TRIM(K31&amp;"")))</f>
        <v/>
      </c>
      <c r="T31" s="10">
        <f>IF(TRIM(M31&amp;"")="","",IF(ISNUMBER(MATCH(TRIM(M31&amp;""),설정_코드표!$C$2:$C$11,0)),TRIM(M31&amp;""),"⚠"&amp;TRIM(M31&amp;"")))</f>
        <v/>
      </c>
      <c r="U31" s="10">
        <f>IF(TRIM(L31&amp;"")="","",IFERROR(INDEX(설정_코드표!$G$2:$G$101,MATCH(TRIM(L31&amp;""),설정_코드표!$F$2:$F$101,0)),"⚠"&amp;TRIM(L31&amp;"")))</f>
        <v/>
      </c>
      <c r="V31" s="10">
        <f>IF(AND(ISNUMBER(H31),ISNUMBER(I31)),I31-H31+1,"")</f>
        <v/>
      </c>
      <c r="W31" s="17">
        <f>IF(ISNUMBER(H31),MAX(0,MIN(IF(ISNUMBER(I31),I31,EOMONTH(출력_요약!$B$3,0)),EOMONTH(출력_요약!$B$3,0))-MAX(H31,출력_요약!$B$3)+1),0)</f>
        <v/>
      </c>
      <c r="X31" s="10">
        <f>IF(OR(NOT(ISNUMBER(H31)),Q31=""),"",IF(TODAY()&lt;H31,"파견예정",IF(AND(ISNUMBER(I31),TODAY()&gt;I31),"파견종료","파견중")))</f>
        <v/>
      </c>
      <c r="Y31" s="10">
        <f>IF(OR(Q31="",X31=""),"",Q31&amp;"|"&amp;X31)</f>
        <v/>
      </c>
      <c r="Z31" s="10">
        <f>IF(AND(Q31&lt;&gt;"",W31&gt;0),Q31&amp;"|월","")</f>
        <v/>
      </c>
      <c r="AA31" s="10">
        <f>IF(COUNTA(B31:I31,K31:N31)=0,"",IF(Q31="","등록번호 없음",IF(LEFT(R31,1)="⚠","모병원명 미등록",IF(S31="","파견병원 입력",IF(LEFT(S31,1)="⚠","파견병원명 미등록",IF(LEFT(U31,1)="⚠","파견과목 미등록",IF(OR(T31="",LEFT(T31,1)="⚠"),"파견근거 확인",IF(NOT(AND(ISNUMBER(H31),ISNUMBER(I31))),"날짜 형식/누락",IF(I31&lt;H31,"종료일&lt;시작일","")))))))))</f>
        <v/>
      </c>
      <c r="AB31" s="11">
        <f>IF(ISNUMBER(SEARCH("다기관",TRIM(N31&amp;" "&amp;O31))),IFERROR(DATE(VALUE(MID(TRIM(N31&amp;" "&amp;O31),1,4)),VALUE(MID(TRIM(N31&amp;" "&amp;O31),6,2)),VALUE(MID(TRIM(N31&amp;" "&amp;O31),9,2))),IF(ISNUMBER(H31),H31,"")),"")</f>
        <v/>
      </c>
      <c r="AC31" s="11">
        <f>IF(ISNUMBER(SEARCH("다기관",TRIM(N31&amp;" "&amp;O31))),IFERROR(DATE(VALUE(MID(TRIM(N31&amp;" "&amp;O31),12,4)),VALUE(MID(TRIM(N31&amp;" "&amp;O31),17,2)),VALUE(MID(TRIM(N31&amp;" "&amp;O31),20,2))),IF(ISNUMBER(I31),I31,"")),"")</f>
        <v/>
      </c>
      <c r="AD31" s="17">
        <f>IF(AND(ISNUMBER(AB31),ISNUMBER(AC31)),MAX(0,MIN(AC31,EOMONTH(출력_요약!$B$3,0))-MAX(AB31,출력_요약!$B$3)+1),0)</f>
        <v/>
      </c>
      <c r="AE31" s="10">
        <f>IF(AND(Q31&lt;&gt;"",ISNUMBER(AB31)),Q31&amp;"|다기관","")</f>
        <v/>
      </c>
    </row>
    <row r="32">
      <c r="A32" s="15">
        <f>IF(F32="","",ROW()-3)</f>
        <v/>
      </c>
      <c r="B32" s="5" t="n"/>
      <c r="C32" s="15" t="n"/>
      <c r="D32" s="5" t="n"/>
      <c r="E32" s="15" t="n"/>
      <c r="F32" s="5" t="n"/>
      <c r="G32" s="6" t="n"/>
      <c r="H32" s="16" t="n"/>
      <c r="I32" s="16" t="n"/>
      <c r="J32" s="15">
        <f>IF(AND(ISNUMBER(H32),ISNUMBER(I32)),I32-H32+1,"")</f>
        <v/>
      </c>
      <c r="K32" s="5" t="n"/>
      <c r="L32" s="5" t="n"/>
      <c r="M32" s="5" t="n"/>
      <c r="N32" s="5" t="n"/>
      <c r="O32" s="5" t="n"/>
      <c r="Q32" s="10">
        <f>IF(TRIM(G32&amp;"")="","",TRIM(G32&amp;""))</f>
        <v/>
      </c>
      <c r="R32" s="10">
        <f>IF(TRIM(B32&amp;"")="","",IFERROR(INDEX(설정_코드표!$K$2:$K$101,MATCH(TRIM(B32&amp;""),설정_코드표!$J$2:$J$101,0)),"⚠"&amp;TRIM(B32&amp;"")))</f>
        <v/>
      </c>
      <c r="S32" s="10">
        <f>IF(TRIM(K32&amp;"")="","",IFERROR(INDEX(설정_코드표!$K$2:$K$101,MATCH(TRIM(K32&amp;""),설정_코드표!$J$2:$J$101,0)),"⚠"&amp;TRIM(K32&amp;"")))</f>
        <v/>
      </c>
      <c r="T32" s="10">
        <f>IF(TRIM(M32&amp;"")="","",IF(ISNUMBER(MATCH(TRIM(M32&amp;""),설정_코드표!$C$2:$C$11,0)),TRIM(M32&amp;""),"⚠"&amp;TRIM(M32&amp;"")))</f>
        <v/>
      </c>
      <c r="U32" s="10">
        <f>IF(TRIM(L32&amp;"")="","",IFERROR(INDEX(설정_코드표!$G$2:$G$101,MATCH(TRIM(L32&amp;""),설정_코드표!$F$2:$F$101,0)),"⚠"&amp;TRIM(L32&amp;"")))</f>
        <v/>
      </c>
      <c r="V32" s="10">
        <f>IF(AND(ISNUMBER(H32),ISNUMBER(I32)),I32-H32+1,"")</f>
        <v/>
      </c>
      <c r="W32" s="17">
        <f>IF(ISNUMBER(H32),MAX(0,MIN(IF(ISNUMBER(I32),I32,EOMONTH(출력_요약!$B$3,0)),EOMONTH(출력_요약!$B$3,0))-MAX(H32,출력_요약!$B$3)+1),0)</f>
        <v/>
      </c>
      <c r="X32" s="10">
        <f>IF(OR(NOT(ISNUMBER(H32)),Q32=""),"",IF(TODAY()&lt;H32,"파견예정",IF(AND(ISNUMBER(I32),TODAY()&gt;I32),"파견종료","파견중")))</f>
        <v/>
      </c>
      <c r="Y32" s="10">
        <f>IF(OR(Q32="",X32=""),"",Q32&amp;"|"&amp;X32)</f>
        <v/>
      </c>
      <c r="Z32" s="10">
        <f>IF(AND(Q32&lt;&gt;"",W32&gt;0),Q32&amp;"|월","")</f>
        <v/>
      </c>
      <c r="AA32" s="10">
        <f>IF(COUNTA(B32:I32,K32:N32)=0,"",IF(Q32="","등록번호 없음",IF(LEFT(R32,1)="⚠","모병원명 미등록",IF(S32="","파견병원 입력",IF(LEFT(S32,1)="⚠","파견병원명 미등록",IF(LEFT(U32,1)="⚠","파견과목 미등록",IF(OR(T32="",LEFT(T32,1)="⚠"),"파견근거 확인",IF(NOT(AND(ISNUMBER(H32),ISNUMBER(I32))),"날짜 형식/누락",IF(I32&lt;H32,"종료일&lt;시작일","")))))))))</f>
        <v/>
      </c>
      <c r="AB32" s="11">
        <f>IF(ISNUMBER(SEARCH("다기관",TRIM(N32&amp;" "&amp;O32))),IFERROR(DATE(VALUE(MID(TRIM(N32&amp;" "&amp;O32),1,4)),VALUE(MID(TRIM(N32&amp;" "&amp;O32),6,2)),VALUE(MID(TRIM(N32&amp;" "&amp;O32),9,2))),IF(ISNUMBER(H32),H32,"")),"")</f>
        <v/>
      </c>
      <c r="AC32" s="11">
        <f>IF(ISNUMBER(SEARCH("다기관",TRIM(N32&amp;" "&amp;O32))),IFERROR(DATE(VALUE(MID(TRIM(N32&amp;" "&amp;O32),12,4)),VALUE(MID(TRIM(N32&amp;" "&amp;O32),17,2)),VALUE(MID(TRIM(N32&amp;" "&amp;O32),20,2))),IF(ISNUMBER(I32),I32,"")),"")</f>
        <v/>
      </c>
      <c r="AD32" s="17">
        <f>IF(AND(ISNUMBER(AB32),ISNUMBER(AC32)),MAX(0,MIN(AC32,EOMONTH(출력_요약!$B$3,0))-MAX(AB32,출력_요약!$B$3)+1),0)</f>
        <v/>
      </c>
      <c r="AE32" s="10">
        <f>IF(AND(Q32&lt;&gt;"",ISNUMBER(AB32)),Q32&amp;"|다기관","")</f>
        <v/>
      </c>
    </row>
    <row r="33">
      <c r="A33" s="15">
        <f>IF(F33="","",ROW()-3)</f>
        <v/>
      </c>
      <c r="B33" s="5" t="n"/>
      <c r="C33" s="15" t="n"/>
      <c r="D33" s="5" t="n"/>
      <c r="E33" s="15" t="n"/>
      <c r="F33" s="5" t="n"/>
      <c r="G33" s="6" t="n"/>
      <c r="H33" s="16" t="n"/>
      <c r="I33" s="16" t="n"/>
      <c r="J33" s="15">
        <f>IF(AND(ISNUMBER(H33),ISNUMBER(I33)),I33-H33+1,"")</f>
        <v/>
      </c>
      <c r="K33" s="5" t="n"/>
      <c r="L33" s="5" t="n"/>
      <c r="M33" s="5" t="n"/>
      <c r="N33" s="5" t="n"/>
      <c r="O33" s="5" t="n"/>
      <c r="Q33" s="10">
        <f>IF(TRIM(G33&amp;"")="","",TRIM(G33&amp;""))</f>
        <v/>
      </c>
      <c r="R33" s="10">
        <f>IF(TRIM(B33&amp;"")="","",IFERROR(INDEX(설정_코드표!$K$2:$K$101,MATCH(TRIM(B33&amp;""),설정_코드표!$J$2:$J$101,0)),"⚠"&amp;TRIM(B33&amp;"")))</f>
        <v/>
      </c>
      <c r="S33" s="10">
        <f>IF(TRIM(K33&amp;"")="","",IFERROR(INDEX(설정_코드표!$K$2:$K$101,MATCH(TRIM(K33&amp;""),설정_코드표!$J$2:$J$101,0)),"⚠"&amp;TRIM(K33&amp;"")))</f>
        <v/>
      </c>
      <c r="T33" s="10">
        <f>IF(TRIM(M33&amp;"")="","",IF(ISNUMBER(MATCH(TRIM(M33&amp;""),설정_코드표!$C$2:$C$11,0)),TRIM(M33&amp;""),"⚠"&amp;TRIM(M33&amp;"")))</f>
        <v/>
      </c>
      <c r="U33" s="10">
        <f>IF(TRIM(L33&amp;"")="","",IFERROR(INDEX(설정_코드표!$G$2:$G$101,MATCH(TRIM(L33&amp;""),설정_코드표!$F$2:$F$101,0)),"⚠"&amp;TRIM(L33&amp;"")))</f>
        <v/>
      </c>
      <c r="V33" s="10">
        <f>IF(AND(ISNUMBER(H33),ISNUMBER(I33)),I33-H33+1,"")</f>
        <v/>
      </c>
      <c r="W33" s="17">
        <f>IF(ISNUMBER(H33),MAX(0,MIN(IF(ISNUMBER(I33),I33,EOMONTH(출력_요약!$B$3,0)),EOMONTH(출력_요약!$B$3,0))-MAX(H33,출력_요약!$B$3)+1),0)</f>
        <v/>
      </c>
      <c r="X33" s="10">
        <f>IF(OR(NOT(ISNUMBER(H33)),Q33=""),"",IF(TODAY()&lt;H33,"파견예정",IF(AND(ISNUMBER(I33),TODAY()&gt;I33),"파견종료","파견중")))</f>
        <v/>
      </c>
      <c r="Y33" s="10">
        <f>IF(OR(Q33="",X33=""),"",Q33&amp;"|"&amp;X33)</f>
        <v/>
      </c>
      <c r="Z33" s="10">
        <f>IF(AND(Q33&lt;&gt;"",W33&gt;0),Q33&amp;"|월","")</f>
        <v/>
      </c>
      <c r="AA33" s="10">
        <f>IF(COUNTA(B33:I33,K33:N33)=0,"",IF(Q33="","등록번호 없음",IF(LEFT(R33,1)="⚠","모병원명 미등록",IF(S33="","파견병원 입력",IF(LEFT(S33,1)="⚠","파견병원명 미등록",IF(LEFT(U33,1)="⚠","파견과목 미등록",IF(OR(T33="",LEFT(T33,1)="⚠"),"파견근거 확인",IF(NOT(AND(ISNUMBER(H33),ISNUMBER(I33))),"날짜 형식/누락",IF(I33&lt;H33,"종료일&lt;시작일","")))))))))</f>
        <v/>
      </c>
      <c r="AB33" s="11">
        <f>IF(ISNUMBER(SEARCH("다기관",TRIM(N33&amp;" "&amp;O33))),IFERROR(DATE(VALUE(MID(TRIM(N33&amp;" "&amp;O33),1,4)),VALUE(MID(TRIM(N33&amp;" "&amp;O33),6,2)),VALUE(MID(TRIM(N33&amp;" "&amp;O33),9,2))),IF(ISNUMBER(H33),H33,"")),"")</f>
        <v/>
      </c>
      <c r="AC33" s="11">
        <f>IF(ISNUMBER(SEARCH("다기관",TRIM(N33&amp;" "&amp;O33))),IFERROR(DATE(VALUE(MID(TRIM(N33&amp;" "&amp;O33),12,4)),VALUE(MID(TRIM(N33&amp;" "&amp;O33),17,2)),VALUE(MID(TRIM(N33&amp;" "&amp;O33),20,2))),IF(ISNUMBER(I33),I33,"")),"")</f>
        <v/>
      </c>
      <c r="AD33" s="17">
        <f>IF(AND(ISNUMBER(AB33),ISNUMBER(AC33)),MAX(0,MIN(AC33,EOMONTH(출력_요약!$B$3,0))-MAX(AB33,출력_요약!$B$3)+1),0)</f>
        <v/>
      </c>
      <c r="AE33" s="10">
        <f>IF(AND(Q33&lt;&gt;"",ISNUMBER(AB33)),Q33&amp;"|다기관","")</f>
        <v/>
      </c>
    </row>
    <row r="34">
      <c r="A34" s="15">
        <f>IF(F34="","",ROW()-3)</f>
        <v/>
      </c>
      <c r="B34" s="5" t="n"/>
      <c r="C34" s="15" t="n"/>
      <c r="D34" s="5" t="n"/>
      <c r="E34" s="15" t="n"/>
      <c r="F34" s="5" t="n"/>
      <c r="G34" s="6" t="n"/>
      <c r="H34" s="16" t="n"/>
      <c r="I34" s="16" t="n"/>
      <c r="J34" s="15">
        <f>IF(AND(ISNUMBER(H34),ISNUMBER(I34)),I34-H34+1,"")</f>
        <v/>
      </c>
      <c r="K34" s="5" t="n"/>
      <c r="L34" s="5" t="n"/>
      <c r="M34" s="5" t="n"/>
      <c r="N34" s="5" t="n"/>
      <c r="O34" s="5" t="n"/>
      <c r="Q34" s="10">
        <f>IF(TRIM(G34&amp;"")="","",TRIM(G34&amp;""))</f>
        <v/>
      </c>
      <c r="R34" s="10">
        <f>IF(TRIM(B34&amp;"")="","",IFERROR(INDEX(설정_코드표!$K$2:$K$101,MATCH(TRIM(B34&amp;""),설정_코드표!$J$2:$J$101,0)),"⚠"&amp;TRIM(B34&amp;"")))</f>
        <v/>
      </c>
      <c r="S34" s="10">
        <f>IF(TRIM(K34&amp;"")="","",IFERROR(INDEX(설정_코드표!$K$2:$K$101,MATCH(TRIM(K34&amp;""),설정_코드표!$J$2:$J$101,0)),"⚠"&amp;TRIM(K34&amp;"")))</f>
        <v/>
      </c>
      <c r="T34" s="10">
        <f>IF(TRIM(M34&amp;"")="","",IF(ISNUMBER(MATCH(TRIM(M34&amp;""),설정_코드표!$C$2:$C$11,0)),TRIM(M34&amp;""),"⚠"&amp;TRIM(M34&amp;"")))</f>
        <v/>
      </c>
      <c r="U34" s="10">
        <f>IF(TRIM(L34&amp;"")="","",IFERROR(INDEX(설정_코드표!$G$2:$G$101,MATCH(TRIM(L34&amp;""),설정_코드표!$F$2:$F$101,0)),"⚠"&amp;TRIM(L34&amp;"")))</f>
        <v/>
      </c>
      <c r="V34" s="10">
        <f>IF(AND(ISNUMBER(H34),ISNUMBER(I34)),I34-H34+1,"")</f>
        <v/>
      </c>
      <c r="W34" s="17">
        <f>IF(ISNUMBER(H34),MAX(0,MIN(IF(ISNUMBER(I34),I34,EOMONTH(출력_요약!$B$3,0)),EOMONTH(출력_요약!$B$3,0))-MAX(H34,출력_요약!$B$3)+1),0)</f>
        <v/>
      </c>
      <c r="X34" s="10">
        <f>IF(OR(NOT(ISNUMBER(H34)),Q34=""),"",IF(TODAY()&lt;H34,"파견예정",IF(AND(ISNUMBER(I34),TODAY()&gt;I34),"파견종료","파견중")))</f>
        <v/>
      </c>
      <c r="Y34" s="10">
        <f>IF(OR(Q34="",X34=""),"",Q34&amp;"|"&amp;X34)</f>
        <v/>
      </c>
      <c r="Z34" s="10">
        <f>IF(AND(Q34&lt;&gt;"",W34&gt;0),Q34&amp;"|월","")</f>
        <v/>
      </c>
      <c r="AA34" s="10">
        <f>IF(COUNTA(B34:I34,K34:N34)=0,"",IF(Q34="","등록번호 없음",IF(LEFT(R34,1)="⚠","모병원명 미등록",IF(S34="","파견병원 입력",IF(LEFT(S34,1)="⚠","파견병원명 미등록",IF(LEFT(U34,1)="⚠","파견과목 미등록",IF(OR(T34="",LEFT(T34,1)="⚠"),"파견근거 확인",IF(NOT(AND(ISNUMBER(H34),ISNUMBER(I34))),"날짜 형식/누락",IF(I34&lt;H34,"종료일&lt;시작일","")))))))))</f>
        <v/>
      </c>
      <c r="AB34" s="11">
        <f>IF(ISNUMBER(SEARCH("다기관",TRIM(N34&amp;" "&amp;O34))),IFERROR(DATE(VALUE(MID(TRIM(N34&amp;" "&amp;O34),1,4)),VALUE(MID(TRIM(N34&amp;" "&amp;O34),6,2)),VALUE(MID(TRIM(N34&amp;" "&amp;O34),9,2))),IF(ISNUMBER(H34),H34,"")),"")</f>
        <v/>
      </c>
      <c r="AC34" s="11">
        <f>IF(ISNUMBER(SEARCH("다기관",TRIM(N34&amp;" "&amp;O34))),IFERROR(DATE(VALUE(MID(TRIM(N34&amp;" "&amp;O34),12,4)),VALUE(MID(TRIM(N34&amp;" "&amp;O34),17,2)),VALUE(MID(TRIM(N34&amp;" "&amp;O34),20,2))),IF(ISNUMBER(I34),I34,"")),"")</f>
        <v/>
      </c>
      <c r="AD34" s="17">
        <f>IF(AND(ISNUMBER(AB34),ISNUMBER(AC34)),MAX(0,MIN(AC34,EOMONTH(출력_요약!$B$3,0))-MAX(AB34,출력_요약!$B$3)+1),0)</f>
        <v/>
      </c>
      <c r="AE34" s="10">
        <f>IF(AND(Q34&lt;&gt;"",ISNUMBER(AB34)),Q34&amp;"|다기관","")</f>
        <v/>
      </c>
    </row>
    <row r="35">
      <c r="A35" s="15">
        <f>IF(F35="","",ROW()-3)</f>
        <v/>
      </c>
      <c r="B35" s="5" t="n"/>
      <c r="C35" s="15" t="n"/>
      <c r="D35" s="5" t="n"/>
      <c r="E35" s="15" t="n"/>
      <c r="F35" s="5" t="n"/>
      <c r="G35" s="6" t="n"/>
      <c r="H35" s="16" t="n"/>
      <c r="I35" s="16" t="n"/>
      <c r="J35" s="15">
        <f>IF(AND(ISNUMBER(H35),ISNUMBER(I35)),I35-H35+1,"")</f>
        <v/>
      </c>
      <c r="K35" s="5" t="n"/>
      <c r="L35" s="5" t="n"/>
      <c r="M35" s="5" t="n"/>
      <c r="N35" s="5" t="n"/>
      <c r="O35" s="5" t="n"/>
      <c r="Q35" s="10">
        <f>IF(TRIM(G35&amp;"")="","",TRIM(G35&amp;""))</f>
        <v/>
      </c>
      <c r="R35" s="10">
        <f>IF(TRIM(B35&amp;"")="","",IFERROR(INDEX(설정_코드표!$K$2:$K$101,MATCH(TRIM(B35&amp;""),설정_코드표!$J$2:$J$101,0)),"⚠"&amp;TRIM(B35&amp;"")))</f>
        <v/>
      </c>
      <c r="S35" s="10">
        <f>IF(TRIM(K35&amp;"")="","",IFERROR(INDEX(설정_코드표!$K$2:$K$101,MATCH(TRIM(K35&amp;""),설정_코드표!$J$2:$J$101,0)),"⚠"&amp;TRIM(K35&amp;"")))</f>
        <v/>
      </c>
      <c r="T35" s="10">
        <f>IF(TRIM(M35&amp;"")="","",IF(ISNUMBER(MATCH(TRIM(M35&amp;""),설정_코드표!$C$2:$C$11,0)),TRIM(M35&amp;""),"⚠"&amp;TRIM(M35&amp;"")))</f>
        <v/>
      </c>
      <c r="U35" s="10">
        <f>IF(TRIM(L35&amp;"")="","",IFERROR(INDEX(설정_코드표!$G$2:$G$101,MATCH(TRIM(L35&amp;""),설정_코드표!$F$2:$F$101,0)),"⚠"&amp;TRIM(L35&amp;"")))</f>
        <v/>
      </c>
      <c r="V35" s="10">
        <f>IF(AND(ISNUMBER(H35),ISNUMBER(I35)),I35-H35+1,"")</f>
        <v/>
      </c>
      <c r="W35" s="17">
        <f>IF(ISNUMBER(H35),MAX(0,MIN(IF(ISNUMBER(I35),I35,EOMONTH(출력_요약!$B$3,0)),EOMONTH(출력_요약!$B$3,0))-MAX(H35,출력_요약!$B$3)+1),0)</f>
        <v/>
      </c>
      <c r="X35" s="10">
        <f>IF(OR(NOT(ISNUMBER(H35)),Q35=""),"",IF(TODAY()&lt;H35,"파견예정",IF(AND(ISNUMBER(I35),TODAY()&gt;I35),"파견종료","파견중")))</f>
        <v/>
      </c>
      <c r="Y35" s="10">
        <f>IF(OR(Q35="",X35=""),"",Q35&amp;"|"&amp;X35)</f>
        <v/>
      </c>
      <c r="Z35" s="10">
        <f>IF(AND(Q35&lt;&gt;"",W35&gt;0),Q35&amp;"|월","")</f>
        <v/>
      </c>
      <c r="AA35" s="10">
        <f>IF(COUNTA(B35:I35,K35:N35)=0,"",IF(Q35="","등록번호 없음",IF(LEFT(R35,1)="⚠","모병원명 미등록",IF(S35="","파견병원 입력",IF(LEFT(S35,1)="⚠","파견병원명 미등록",IF(LEFT(U35,1)="⚠","파견과목 미등록",IF(OR(T35="",LEFT(T35,1)="⚠"),"파견근거 확인",IF(NOT(AND(ISNUMBER(H35),ISNUMBER(I35))),"날짜 형식/누락",IF(I35&lt;H35,"종료일&lt;시작일","")))))))))</f>
        <v/>
      </c>
      <c r="AB35" s="11">
        <f>IF(ISNUMBER(SEARCH("다기관",TRIM(N35&amp;" "&amp;O35))),IFERROR(DATE(VALUE(MID(TRIM(N35&amp;" "&amp;O35),1,4)),VALUE(MID(TRIM(N35&amp;" "&amp;O35),6,2)),VALUE(MID(TRIM(N35&amp;" "&amp;O35),9,2))),IF(ISNUMBER(H35),H35,"")),"")</f>
        <v/>
      </c>
      <c r="AC35" s="11">
        <f>IF(ISNUMBER(SEARCH("다기관",TRIM(N35&amp;" "&amp;O35))),IFERROR(DATE(VALUE(MID(TRIM(N35&amp;" "&amp;O35),12,4)),VALUE(MID(TRIM(N35&amp;" "&amp;O35),17,2)),VALUE(MID(TRIM(N35&amp;" "&amp;O35),20,2))),IF(ISNUMBER(I35),I35,"")),"")</f>
        <v/>
      </c>
      <c r="AD35" s="17">
        <f>IF(AND(ISNUMBER(AB35),ISNUMBER(AC35)),MAX(0,MIN(AC35,EOMONTH(출력_요약!$B$3,0))-MAX(AB35,출력_요약!$B$3)+1),0)</f>
        <v/>
      </c>
      <c r="AE35" s="10">
        <f>IF(AND(Q35&lt;&gt;"",ISNUMBER(AB35)),Q35&amp;"|다기관","")</f>
        <v/>
      </c>
    </row>
    <row r="36">
      <c r="A36" s="15">
        <f>IF(F36="","",ROW()-3)</f>
        <v/>
      </c>
      <c r="B36" s="5" t="n"/>
      <c r="C36" s="15" t="n"/>
      <c r="D36" s="5" t="n"/>
      <c r="E36" s="15" t="n"/>
      <c r="F36" s="5" t="n"/>
      <c r="G36" s="6" t="n"/>
      <c r="H36" s="16" t="n"/>
      <c r="I36" s="16" t="n"/>
      <c r="J36" s="15">
        <f>IF(AND(ISNUMBER(H36),ISNUMBER(I36)),I36-H36+1,"")</f>
        <v/>
      </c>
      <c r="K36" s="5" t="n"/>
      <c r="L36" s="5" t="n"/>
      <c r="M36" s="5" t="n"/>
      <c r="N36" s="5" t="n"/>
      <c r="O36" s="5" t="n"/>
      <c r="Q36" s="10">
        <f>IF(TRIM(G36&amp;"")="","",TRIM(G36&amp;""))</f>
        <v/>
      </c>
      <c r="R36" s="10">
        <f>IF(TRIM(B36&amp;"")="","",IFERROR(INDEX(설정_코드표!$K$2:$K$101,MATCH(TRIM(B36&amp;""),설정_코드표!$J$2:$J$101,0)),"⚠"&amp;TRIM(B36&amp;"")))</f>
        <v/>
      </c>
      <c r="S36" s="10">
        <f>IF(TRIM(K36&amp;"")="","",IFERROR(INDEX(설정_코드표!$K$2:$K$101,MATCH(TRIM(K36&amp;""),설정_코드표!$J$2:$J$101,0)),"⚠"&amp;TRIM(K36&amp;"")))</f>
        <v/>
      </c>
      <c r="T36" s="10">
        <f>IF(TRIM(M36&amp;"")="","",IF(ISNUMBER(MATCH(TRIM(M36&amp;""),설정_코드표!$C$2:$C$11,0)),TRIM(M36&amp;""),"⚠"&amp;TRIM(M36&amp;"")))</f>
        <v/>
      </c>
      <c r="U36" s="10">
        <f>IF(TRIM(L36&amp;"")="","",IFERROR(INDEX(설정_코드표!$G$2:$G$101,MATCH(TRIM(L36&amp;""),설정_코드표!$F$2:$F$101,0)),"⚠"&amp;TRIM(L36&amp;"")))</f>
        <v/>
      </c>
      <c r="V36" s="10">
        <f>IF(AND(ISNUMBER(H36),ISNUMBER(I36)),I36-H36+1,"")</f>
        <v/>
      </c>
      <c r="W36" s="17">
        <f>IF(ISNUMBER(H36),MAX(0,MIN(IF(ISNUMBER(I36),I36,EOMONTH(출력_요약!$B$3,0)),EOMONTH(출력_요약!$B$3,0))-MAX(H36,출력_요약!$B$3)+1),0)</f>
        <v/>
      </c>
      <c r="X36" s="10">
        <f>IF(OR(NOT(ISNUMBER(H36)),Q36=""),"",IF(TODAY()&lt;H36,"파견예정",IF(AND(ISNUMBER(I36),TODAY()&gt;I36),"파견종료","파견중")))</f>
        <v/>
      </c>
      <c r="Y36" s="10">
        <f>IF(OR(Q36="",X36=""),"",Q36&amp;"|"&amp;X36)</f>
        <v/>
      </c>
      <c r="Z36" s="10">
        <f>IF(AND(Q36&lt;&gt;"",W36&gt;0),Q36&amp;"|월","")</f>
        <v/>
      </c>
      <c r="AA36" s="10">
        <f>IF(COUNTA(B36:I36,K36:N36)=0,"",IF(Q36="","등록번호 없음",IF(LEFT(R36,1)="⚠","모병원명 미등록",IF(S36="","파견병원 입력",IF(LEFT(S36,1)="⚠","파견병원명 미등록",IF(LEFT(U36,1)="⚠","파견과목 미등록",IF(OR(T36="",LEFT(T36,1)="⚠"),"파견근거 확인",IF(NOT(AND(ISNUMBER(H36),ISNUMBER(I36))),"날짜 형식/누락",IF(I36&lt;H36,"종료일&lt;시작일","")))))))))</f>
        <v/>
      </c>
      <c r="AB36" s="11">
        <f>IF(ISNUMBER(SEARCH("다기관",TRIM(N36&amp;" "&amp;O36))),IFERROR(DATE(VALUE(MID(TRIM(N36&amp;" "&amp;O36),1,4)),VALUE(MID(TRIM(N36&amp;" "&amp;O36),6,2)),VALUE(MID(TRIM(N36&amp;" "&amp;O36),9,2))),IF(ISNUMBER(H36),H36,"")),"")</f>
        <v/>
      </c>
      <c r="AC36" s="11">
        <f>IF(ISNUMBER(SEARCH("다기관",TRIM(N36&amp;" "&amp;O36))),IFERROR(DATE(VALUE(MID(TRIM(N36&amp;" "&amp;O36),12,4)),VALUE(MID(TRIM(N36&amp;" "&amp;O36),17,2)),VALUE(MID(TRIM(N36&amp;" "&amp;O36),20,2))),IF(ISNUMBER(I36),I36,"")),"")</f>
        <v/>
      </c>
      <c r="AD36" s="17">
        <f>IF(AND(ISNUMBER(AB36),ISNUMBER(AC36)),MAX(0,MIN(AC36,EOMONTH(출력_요약!$B$3,0))-MAX(AB36,출력_요약!$B$3)+1),0)</f>
        <v/>
      </c>
      <c r="AE36" s="10">
        <f>IF(AND(Q36&lt;&gt;"",ISNUMBER(AB36)),Q36&amp;"|다기관","")</f>
        <v/>
      </c>
    </row>
    <row r="37">
      <c r="A37" s="15">
        <f>IF(F37="","",ROW()-3)</f>
        <v/>
      </c>
      <c r="B37" s="5" t="n"/>
      <c r="C37" s="15" t="n"/>
      <c r="D37" s="5" t="n"/>
      <c r="E37" s="15" t="n"/>
      <c r="F37" s="5" t="n"/>
      <c r="G37" s="6" t="n"/>
      <c r="H37" s="16" t="n"/>
      <c r="I37" s="16" t="n"/>
      <c r="J37" s="15">
        <f>IF(AND(ISNUMBER(H37),ISNUMBER(I37)),I37-H37+1,"")</f>
        <v/>
      </c>
      <c r="K37" s="5" t="n"/>
      <c r="L37" s="5" t="n"/>
      <c r="M37" s="5" t="n"/>
      <c r="N37" s="5" t="n"/>
      <c r="O37" s="5" t="n"/>
      <c r="Q37" s="10">
        <f>IF(TRIM(G37&amp;"")="","",TRIM(G37&amp;""))</f>
        <v/>
      </c>
      <c r="R37" s="10">
        <f>IF(TRIM(B37&amp;"")="","",IFERROR(INDEX(설정_코드표!$K$2:$K$101,MATCH(TRIM(B37&amp;""),설정_코드표!$J$2:$J$101,0)),"⚠"&amp;TRIM(B37&amp;"")))</f>
        <v/>
      </c>
      <c r="S37" s="10">
        <f>IF(TRIM(K37&amp;"")="","",IFERROR(INDEX(설정_코드표!$K$2:$K$101,MATCH(TRIM(K37&amp;""),설정_코드표!$J$2:$J$101,0)),"⚠"&amp;TRIM(K37&amp;"")))</f>
        <v/>
      </c>
      <c r="T37" s="10">
        <f>IF(TRIM(M37&amp;"")="","",IF(ISNUMBER(MATCH(TRIM(M37&amp;""),설정_코드표!$C$2:$C$11,0)),TRIM(M37&amp;""),"⚠"&amp;TRIM(M37&amp;"")))</f>
        <v/>
      </c>
      <c r="U37" s="10">
        <f>IF(TRIM(L37&amp;"")="","",IFERROR(INDEX(설정_코드표!$G$2:$G$101,MATCH(TRIM(L37&amp;""),설정_코드표!$F$2:$F$101,0)),"⚠"&amp;TRIM(L37&amp;"")))</f>
        <v/>
      </c>
      <c r="V37" s="10">
        <f>IF(AND(ISNUMBER(H37),ISNUMBER(I37)),I37-H37+1,"")</f>
        <v/>
      </c>
      <c r="W37" s="17">
        <f>IF(ISNUMBER(H37),MAX(0,MIN(IF(ISNUMBER(I37),I37,EOMONTH(출력_요약!$B$3,0)),EOMONTH(출력_요약!$B$3,0))-MAX(H37,출력_요약!$B$3)+1),0)</f>
        <v/>
      </c>
      <c r="X37" s="10">
        <f>IF(OR(NOT(ISNUMBER(H37)),Q37=""),"",IF(TODAY()&lt;H37,"파견예정",IF(AND(ISNUMBER(I37),TODAY()&gt;I37),"파견종료","파견중")))</f>
        <v/>
      </c>
      <c r="Y37" s="10">
        <f>IF(OR(Q37="",X37=""),"",Q37&amp;"|"&amp;X37)</f>
        <v/>
      </c>
      <c r="Z37" s="10">
        <f>IF(AND(Q37&lt;&gt;"",W37&gt;0),Q37&amp;"|월","")</f>
        <v/>
      </c>
      <c r="AA37" s="10">
        <f>IF(COUNTA(B37:I37,K37:N37)=0,"",IF(Q37="","등록번호 없음",IF(LEFT(R37,1)="⚠","모병원명 미등록",IF(S37="","파견병원 입력",IF(LEFT(S37,1)="⚠","파견병원명 미등록",IF(LEFT(U37,1)="⚠","파견과목 미등록",IF(OR(T37="",LEFT(T37,1)="⚠"),"파견근거 확인",IF(NOT(AND(ISNUMBER(H37),ISNUMBER(I37))),"날짜 형식/누락",IF(I37&lt;H37,"종료일&lt;시작일","")))))))))</f>
        <v/>
      </c>
      <c r="AB37" s="11">
        <f>IF(ISNUMBER(SEARCH("다기관",TRIM(N37&amp;" "&amp;O37))),IFERROR(DATE(VALUE(MID(TRIM(N37&amp;" "&amp;O37),1,4)),VALUE(MID(TRIM(N37&amp;" "&amp;O37),6,2)),VALUE(MID(TRIM(N37&amp;" "&amp;O37),9,2))),IF(ISNUMBER(H37),H37,"")),"")</f>
        <v/>
      </c>
      <c r="AC37" s="11">
        <f>IF(ISNUMBER(SEARCH("다기관",TRIM(N37&amp;" "&amp;O37))),IFERROR(DATE(VALUE(MID(TRIM(N37&amp;" "&amp;O37),12,4)),VALUE(MID(TRIM(N37&amp;" "&amp;O37),17,2)),VALUE(MID(TRIM(N37&amp;" "&amp;O37),20,2))),IF(ISNUMBER(I37),I37,"")),"")</f>
        <v/>
      </c>
      <c r="AD37" s="17">
        <f>IF(AND(ISNUMBER(AB37),ISNUMBER(AC37)),MAX(0,MIN(AC37,EOMONTH(출력_요약!$B$3,0))-MAX(AB37,출력_요약!$B$3)+1),0)</f>
        <v/>
      </c>
      <c r="AE37" s="10">
        <f>IF(AND(Q37&lt;&gt;"",ISNUMBER(AB37)),Q37&amp;"|다기관","")</f>
        <v/>
      </c>
    </row>
    <row r="38">
      <c r="A38" s="15">
        <f>IF(F38="","",ROW()-3)</f>
        <v/>
      </c>
      <c r="B38" s="5" t="n"/>
      <c r="C38" s="15" t="n"/>
      <c r="D38" s="5" t="n"/>
      <c r="E38" s="15" t="n"/>
      <c r="F38" s="5" t="n"/>
      <c r="G38" s="6" t="n"/>
      <c r="H38" s="16" t="n"/>
      <c r="I38" s="16" t="n"/>
      <c r="J38" s="15">
        <f>IF(AND(ISNUMBER(H38),ISNUMBER(I38)),I38-H38+1,"")</f>
        <v/>
      </c>
      <c r="K38" s="5" t="n"/>
      <c r="L38" s="5" t="n"/>
      <c r="M38" s="5" t="n"/>
      <c r="N38" s="5" t="n"/>
      <c r="O38" s="5" t="n"/>
      <c r="Q38" s="10">
        <f>IF(TRIM(G38&amp;"")="","",TRIM(G38&amp;""))</f>
        <v/>
      </c>
      <c r="R38" s="10">
        <f>IF(TRIM(B38&amp;"")="","",IFERROR(INDEX(설정_코드표!$K$2:$K$101,MATCH(TRIM(B38&amp;""),설정_코드표!$J$2:$J$101,0)),"⚠"&amp;TRIM(B38&amp;"")))</f>
        <v/>
      </c>
      <c r="S38" s="10">
        <f>IF(TRIM(K38&amp;"")="","",IFERROR(INDEX(설정_코드표!$K$2:$K$101,MATCH(TRIM(K38&amp;""),설정_코드표!$J$2:$J$101,0)),"⚠"&amp;TRIM(K38&amp;"")))</f>
        <v/>
      </c>
      <c r="T38" s="10">
        <f>IF(TRIM(M38&amp;"")="","",IF(ISNUMBER(MATCH(TRIM(M38&amp;""),설정_코드표!$C$2:$C$11,0)),TRIM(M38&amp;""),"⚠"&amp;TRIM(M38&amp;"")))</f>
        <v/>
      </c>
      <c r="U38" s="10">
        <f>IF(TRIM(L38&amp;"")="","",IFERROR(INDEX(설정_코드표!$G$2:$G$101,MATCH(TRIM(L38&amp;""),설정_코드표!$F$2:$F$101,0)),"⚠"&amp;TRIM(L38&amp;"")))</f>
        <v/>
      </c>
      <c r="V38" s="10">
        <f>IF(AND(ISNUMBER(H38),ISNUMBER(I38)),I38-H38+1,"")</f>
        <v/>
      </c>
      <c r="W38" s="17">
        <f>IF(ISNUMBER(H38),MAX(0,MIN(IF(ISNUMBER(I38),I38,EOMONTH(출력_요약!$B$3,0)),EOMONTH(출력_요약!$B$3,0))-MAX(H38,출력_요약!$B$3)+1),0)</f>
        <v/>
      </c>
      <c r="X38" s="10">
        <f>IF(OR(NOT(ISNUMBER(H38)),Q38=""),"",IF(TODAY()&lt;H38,"파견예정",IF(AND(ISNUMBER(I38),TODAY()&gt;I38),"파견종료","파견중")))</f>
        <v/>
      </c>
      <c r="Y38" s="10">
        <f>IF(OR(Q38="",X38=""),"",Q38&amp;"|"&amp;X38)</f>
        <v/>
      </c>
      <c r="Z38" s="10">
        <f>IF(AND(Q38&lt;&gt;"",W38&gt;0),Q38&amp;"|월","")</f>
        <v/>
      </c>
      <c r="AA38" s="10">
        <f>IF(COUNTA(B38:I38,K38:N38)=0,"",IF(Q38="","등록번호 없음",IF(LEFT(R38,1)="⚠","모병원명 미등록",IF(S38="","파견병원 입력",IF(LEFT(S38,1)="⚠","파견병원명 미등록",IF(LEFT(U38,1)="⚠","파견과목 미등록",IF(OR(T38="",LEFT(T38,1)="⚠"),"파견근거 확인",IF(NOT(AND(ISNUMBER(H38),ISNUMBER(I38))),"날짜 형식/누락",IF(I38&lt;H38,"종료일&lt;시작일","")))))))))</f>
        <v/>
      </c>
      <c r="AB38" s="11">
        <f>IF(ISNUMBER(SEARCH("다기관",TRIM(N38&amp;" "&amp;O38))),IFERROR(DATE(VALUE(MID(TRIM(N38&amp;" "&amp;O38),1,4)),VALUE(MID(TRIM(N38&amp;" "&amp;O38),6,2)),VALUE(MID(TRIM(N38&amp;" "&amp;O38),9,2))),IF(ISNUMBER(H38),H38,"")),"")</f>
        <v/>
      </c>
      <c r="AC38" s="11">
        <f>IF(ISNUMBER(SEARCH("다기관",TRIM(N38&amp;" "&amp;O38))),IFERROR(DATE(VALUE(MID(TRIM(N38&amp;" "&amp;O38),12,4)),VALUE(MID(TRIM(N38&amp;" "&amp;O38),17,2)),VALUE(MID(TRIM(N38&amp;" "&amp;O38),20,2))),IF(ISNUMBER(I38),I38,"")),"")</f>
        <v/>
      </c>
      <c r="AD38" s="17">
        <f>IF(AND(ISNUMBER(AB38),ISNUMBER(AC38)),MAX(0,MIN(AC38,EOMONTH(출력_요약!$B$3,0))-MAX(AB38,출력_요약!$B$3)+1),0)</f>
        <v/>
      </c>
      <c r="AE38" s="10">
        <f>IF(AND(Q38&lt;&gt;"",ISNUMBER(AB38)),Q38&amp;"|다기관","")</f>
        <v/>
      </c>
    </row>
    <row r="39">
      <c r="A39" s="15">
        <f>IF(F39="","",ROW()-3)</f>
        <v/>
      </c>
      <c r="B39" s="5" t="n"/>
      <c r="C39" s="15" t="n"/>
      <c r="D39" s="5" t="n"/>
      <c r="E39" s="15" t="n"/>
      <c r="F39" s="5" t="n"/>
      <c r="G39" s="6" t="n"/>
      <c r="H39" s="16" t="n"/>
      <c r="I39" s="16" t="n"/>
      <c r="J39" s="15">
        <f>IF(AND(ISNUMBER(H39),ISNUMBER(I39)),I39-H39+1,"")</f>
        <v/>
      </c>
      <c r="K39" s="5" t="n"/>
      <c r="L39" s="5" t="n"/>
      <c r="M39" s="5" t="n"/>
      <c r="N39" s="5" t="n"/>
      <c r="O39" s="5" t="n"/>
      <c r="Q39" s="10">
        <f>IF(TRIM(G39&amp;"")="","",TRIM(G39&amp;""))</f>
        <v/>
      </c>
      <c r="R39" s="10">
        <f>IF(TRIM(B39&amp;"")="","",IFERROR(INDEX(설정_코드표!$K$2:$K$101,MATCH(TRIM(B39&amp;""),설정_코드표!$J$2:$J$101,0)),"⚠"&amp;TRIM(B39&amp;"")))</f>
        <v/>
      </c>
      <c r="S39" s="10">
        <f>IF(TRIM(K39&amp;"")="","",IFERROR(INDEX(설정_코드표!$K$2:$K$101,MATCH(TRIM(K39&amp;""),설정_코드표!$J$2:$J$101,0)),"⚠"&amp;TRIM(K39&amp;"")))</f>
        <v/>
      </c>
      <c r="T39" s="10">
        <f>IF(TRIM(M39&amp;"")="","",IF(ISNUMBER(MATCH(TRIM(M39&amp;""),설정_코드표!$C$2:$C$11,0)),TRIM(M39&amp;""),"⚠"&amp;TRIM(M39&amp;"")))</f>
        <v/>
      </c>
      <c r="U39" s="10">
        <f>IF(TRIM(L39&amp;"")="","",IFERROR(INDEX(설정_코드표!$G$2:$G$101,MATCH(TRIM(L39&amp;""),설정_코드표!$F$2:$F$101,0)),"⚠"&amp;TRIM(L39&amp;"")))</f>
        <v/>
      </c>
      <c r="V39" s="10">
        <f>IF(AND(ISNUMBER(H39),ISNUMBER(I39)),I39-H39+1,"")</f>
        <v/>
      </c>
      <c r="W39" s="17">
        <f>IF(ISNUMBER(H39),MAX(0,MIN(IF(ISNUMBER(I39),I39,EOMONTH(출력_요약!$B$3,0)),EOMONTH(출력_요약!$B$3,0))-MAX(H39,출력_요약!$B$3)+1),0)</f>
        <v/>
      </c>
      <c r="X39" s="10">
        <f>IF(OR(NOT(ISNUMBER(H39)),Q39=""),"",IF(TODAY()&lt;H39,"파견예정",IF(AND(ISNUMBER(I39),TODAY()&gt;I39),"파견종료","파견중")))</f>
        <v/>
      </c>
      <c r="Y39" s="10">
        <f>IF(OR(Q39="",X39=""),"",Q39&amp;"|"&amp;X39)</f>
        <v/>
      </c>
      <c r="Z39" s="10">
        <f>IF(AND(Q39&lt;&gt;"",W39&gt;0),Q39&amp;"|월","")</f>
        <v/>
      </c>
      <c r="AA39" s="10">
        <f>IF(COUNTA(B39:I39,K39:N39)=0,"",IF(Q39="","등록번호 없음",IF(LEFT(R39,1)="⚠","모병원명 미등록",IF(S39="","파견병원 입력",IF(LEFT(S39,1)="⚠","파견병원명 미등록",IF(LEFT(U39,1)="⚠","파견과목 미등록",IF(OR(T39="",LEFT(T39,1)="⚠"),"파견근거 확인",IF(NOT(AND(ISNUMBER(H39),ISNUMBER(I39))),"날짜 형식/누락",IF(I39&lt;H39,"종료일&lt;시작일","")))))))))</f>
        <v/>
      </c>
      <c r="AB39" s="11">
        <f>IF(ISNUMBER(SEARCH("다기관",TRIM(N39&amp;" "&amp;O39))),IFERROR(DATE(VALUE(MID(TRIM(N39&amp;" "&amp;O39),1,4)),VALUE(MID(TRIM(N39&amp;" "&amp;O39),6,2)),VALUE(MID(TRIM(N39&amp;" "&amp;O39),9,2))),IF(ISNUMBER(H39),H39,"")),"")</f>
        <v/>
      </c>
      <c r="AC39" s="11">
        <f>IF(ISNUMBER(SEARCH("다기관",TRIM(N39&amp;" "&amp;O39))),IFERROR(DATE(VALUE(MID(TRIM(N39&amp;" "&amp;O39),12,4)),VALUE(MID(TRIM(N39&amp;" "&amp;O39),17,2)),VALUE(MID(TRIM(N39&amp;" "&amp;O39),20,2))),IF(ISNUMBER(I39),I39,"")),"")</f>
        <v/>
      </c>
      <c r="AD39" s="17">
        <f>IF(AND(ISNUMBER(AB39),ISNUMBER(AC39)),MAX(0,MIN(AC39,EOMONTH(출력_요약!$B$3,0))-MAX(AB39,출력_요약!$B$3)+1),0)</f>
        <v/>
      </c>
      <c r="AE39" s="10">
        <f>IF(AND(Q39&lt;&gt;"",ISNUMBER(AB39)),Q39&amp;"|다기관","")</f>
        <v/>
      </c>
    </row>
    <row r="40">
      <c r="A40" s="15">
        <f>IF(F40="","",ROW()-3)</f>
        <v/>
      </c>
      <c r="B40" s="5" t="n"/>
      <c r="C40" s="15" t="n"/>
      <c r="D40" s="5" t="n"/>
      <c r="E40" s="15" t="n"/>
      <c r="F40" s="5" t="n"/>
      <c r="G40" s="6" t="n"/>
      <c r="H40" s="16" t="n"/>
      <c r="I40" s="16" t="n"/>
      <c r="J40" s="15">
        <f>IF(AND(ISNUMBER(H40),ISNUMBER(I40)),I40-H40+1,"")</f>
        <v/>
      </c>
      <c r="K40" s="5" t="n"/>
      <c r="L40" s="5" t="n"/>
      <c r="M40" s="5" t="n"/>
      <c r="N40" s="5" t="n"/>
      <c r="O40" s="5" t="n"/>
      <c r="Q40" s="10">
        <f>IF(TRIM(G40&amp;"")="","",TRIM(G40&amp;""))</f>
        <v/>
      </c>
      <c r="R40" s="10">
        <f>IF(TRIM(B40&amp;"")="","",IFERROR(INDEX(설정_코드표!$K$2:$K$101,MATCH(TRIM(B40&amp;""),설정_코드표!$J$2:$J$101,0)),"⚠"&amp;TRIM(B40&amp;"")))</f>
        <v/>
      </c>
      <c r="S40" s="10">
        <f>IF(TRIM(K40&amp;"")="","",IFERROR(INDEX(설정_코드표!$K$2:$K$101,MATCH(TRIM(K40&amp;""),설정_코드표!$J$2:$J$101,0)),"⚠"&amp;TRIM(K40&amp;"")))</f>
        <v/>
      </c>
      <c r="T40" s="10">
        <f>IF(TRIM(M40&amp;"")="","",IF(ISNUMBER(MATCH(TRIM(M40&amp;""),설정_코드표!$C$2:$C$11,0)),TRIM(M40&amp;""),"⚠"&amp;TRIM(M40&amp;"")))</f>
        <v/>
      </c>
      <c r="U40" s="10">
        <f>IF(TRIM(L40&amp;"")="","",IFERROR(INDEX(설정_코드표!$G$2:$G$101,MATCH(TRIM(L40&amp;""),설정_코드표!$F$2:$F$101,0)),"⚠"&amp;TRIM(L40&amp;"")))</f>
        <v/>
      </c>
      <c r="V40" s="10">
        <f>IF(AND(ISNUMBER(H40),ISNUMBER(I40)),I40-H40+1,"")</f>
        <v/>
      </c>
      <c r="W40" s="17">
        <f>IF(ISNUMBER(H40),MAX(0,MIN(IF(ISNUMBER(I40),I40,EOMONTH(출력_요약!$B$3,0)),EOMONTH(출력_요약!$B$3,0))-MAX(H40,출력_요약!$B$3)+1),0)</f>
        <v/>
      </c>
      <c r="X40" s="10">
        <f>IF(OR(NOT(ISNUMBER(H40)),Q40=""),"",IF(TODAY()&lt;H40,"파견예정",IF(AND(ISNUMBER(I40),TODAY()&gt;I40),"파견종료","파견중")))</f>
        <v/>
      </c>
      <c r="Y40" s="10">
        <f>IF(OR(Q40="",X40=""),"",Q40&amp;"|"&amp;X40)</f>
        <v/>
      </c>
      <c r="Z40" s="10">
        <f>IF(AND(Q40&lt;&gt;"",W40&gt;0),Q40&amp;"|월","")</f>
        <v/>
      </c>
      <c r="AA40" s="10">
        <f>IF(COUNTA(B40:I40,K40:N40)=0,"",IF(Q40="","등록번호 없음",IF(LEFT(R40,1)="⚠","모병원명 미등록",IF(S40="","파견병원 입력",IF(LEFT(S40,1)="⚠","파견병원명 미등록",IF(LEFT(U40,1)="⚠","파견과목 미등록",IF(OR(T40="",LEFT(T40,1)="⚠"),"파견근거 확인",IF(NOT(AND(ISNUMBER(H40),ISNUMBER(I40))),"날짜 형식/누락",IF(I40&lt;H40,"종료일&lt;시작일","")))))))))</f>
        <v/>
      </c>
      <c r="AB40" s="11">
        <f>IF(ISNUMBER(SEARCH("다기관",TRIM(N40&amp;" "&amp;O40))),IFERROR(DATE(VALUE(MID(TRIM(N40&amp;" "&amp;O40),1,4)),VALUE(MID(TRIM(N40&amp;" "&amp;O40),6,2)),VALUE(MID(TRIM(N40&amp;" "&amp;O40),9,2))),IF(ISNUMBER(H40),H40,"")),"")</f>
        <v/>
      </c>
      <c r="AC40" s="11">
        <f>IF(ISNUMBER(SEARCH("다기관",TRIM(N40&amp;" "&amp;O40))),IFERROR(DATE(VALUE(MID(TRIM(N40&amp;" "&amp;O40),12,4)),VALUE(MID(TRIM(N40&amp;" "&amp;O40),17,2)),VALUE(MID(TRIM(N40&amp;" "&amp;O40),20,2))),IF(ISNUMBER(I40),I40,"")),"")</f>
        <v/>
      </c>
      <c r="AD40" s="17">
        <f>IF(AND(ISNUMBER(AB40),ISNUMBER(AC40)),MAX(0,MIN(AC40,EOMONTH(출력_요약!$B$3,0))-MAX(AB40,출력_요약!$B$3)+1),0)</f>
        <v/>
      </c>
      <c r="AE40" s="10">
        <f>IF(AND(Q40&lt;&gt;"",ISNUMBER(AB40)),Q40&amp;"|다기관","")</f>
        <v/>
      </c>
    </row>
    <row r="41">
      <c r="A41" s="15">
        <f>IF(F41="","",ROW()-3)</f>
        <v/>
      </c>
      <c r="B41" s="5" t="n"/>
      <c r="C41" s="15" t="n"/>
      <c r="D41" s="5" t="n"/>
      <c r="E41" s="15" t="n"/>
      <c r="F41" s="5" t="n"/>
      <c r="G41" s="6" t="n"/>
      <c r="H41" s="16" t="n"/>
      <c r="I41" s="16" t="n"/>
      <c r="J41" s="15">
        <f>IF(AND(ISNUMBER(H41),ISNUMBER(I41)),I41-H41+1,"")</f>
        <v/>
      </c>
      <c r="K41" s="5" t="n"/>
      <c r="L41" s="5" t="n"/>
      <c r="M41" s="5" t="n"/>
      <c r="N41" s="5" t="n"/>
      <c r="O41" s="5" t="n"/>
      <c r="Q41" s="10">
        <f>IF(TRIM(G41&amp;"")="","",TRIM(G41&amp;""))</f>
        <v/>
      </c>
      <c r="R41" s="10">
        <f>IF(TRIM(B41&amp;"")="","",IFERROR(INDEX(설정_코드표!$K$2:$K$101,MATCH(TRIM(B41&amp;""),설정_코드표!$J$2:$J$101,0)),"⚠"&amp;TRIM(B41&amp;"")))</f>
        <v/>
      </c>
      <c r="S41" s="10">
        <f>IF(TRIM(K41&amp;"")="","",IFERROR(INDEX(설정_코드표!$K$2:$K$101,MATCH(TRIM(K41&amp;""),설정_코드표!$J$2:$J$101,0)),"⚠"&amp;TRIM(K41&amp;"")))</f>
        <v/>
      </c>
      <c r="T41" s="10">
        <f>IF(TRIM(M41&amp;"")="","",IF(ISNUMBER(MATCH(TRIM(M41&amp;""),설정_코드표!$C$2:$C$11,0)),TRIM(M41&amp;""),"⚠"&amp;TRIM(M41&amp;"")))</f>
        <v/>
      </c>
      <c r="U41" s="10">
        <f>IF(TRIM(L41&amp;"")="","",IFERROR(INDEX(설정_코드표!$G$2:$G$101,MATCH(TRIM(L41&amp;""),설정_코드표!$F$2:$F$101,0)),"⚠"&amp;TRIM(L41&amp;"")))</f>
        <v/>
      </c>
      <c r="V41" s="10">
        <f>IF(AND(ISNUMBER(H41),ISNUMBER(I41)),I41-H41+1,"")</f>
        <v/>
      </c>
      <c r="W41" s="17">
        <f>IF(ISNUMBER(H41),MAX(0,MIN(IF(ISNUMBER(I41),I41,EOMONTH(출력_요약!$B$3,0)),EOMONTH(출력_요약!$B$3,0))-MAX(H41,출력_요약!$B$3)+1),0)</f>
        <v/>
      </c>
      <c r="X41" s="10">
        <f>IF(OR(NOT(ISNUMBER(H41)),Q41=""),"",IF(TODAY()&lt;H41,"파견예정",IF(AND(ISNUMBER(I41),TODAY()&gt;I41),"파견종료","파견중")))</f>
        <v/>
      </c>
      <c r="Y41" s="10">
        <f>IF(OR(Q41="",X41=""),"",Q41&amp;"|"&amp;X41)</f>
        <v/>
      </c>
      <c r="Z41" s="10">
        <f>IF(AND(Q41&lt;&gt;"",W41&gt;0),Q41&amp;"|월","")</f>
        <v/>
      </c>
      <c r="AA41" s="10">
        <f>IF(COUNTA(B41:I41,K41:N41)=0,"",IF(Q41="","등록번호 없음",IF(LEFT(R41,1)="⚠","모병원명 미등록",IF(S41="","파견병원 입력",IF(LEFT(S41,1)="⚠","파견병원명 미등록",IF(LEFT(U41,1)="⚠","파견과목 미등록",IF(OR(T41="",LEFT(T41,1)="⚠"),"파견근거 확인",IF(NOT(AND(ISNUMBER(H41),ISNUMBER(I41))),"날짜 형식/누락",IF(I41&lt;H41,"종료일&lt;시작일","")))))))))</f>
        <v/>
      </c>
      <c r="AB41" s="11">
        <f>IF(ISNUMBER(SEARCH("다기관",TRIM(N41&amp;" "&amp;O41))),IFERROR(DATE(VALUE(MID(TRIM(N41&amp;" "&amp;O41),1,4)),VALUE(MID(TRIM(N41&amp;" "&amp;O41),6,2)),VALUE(MID(TRIM(N41&amp;" "&amp;O41),9,2))),IF(ISNUMBER(H41),H41,"")),"")</f>
        <v/>
      </c>
      <c r="AC41" s="11">
        <f>IF(ISNUMBER(SEARCH("다기관",TRIM(N41&amp;" "&amp;O41))),IFERROR(DATE(VALUE(MID(TRIM(N41&amp;" "&amp;O41),12,4)),VALUE(MID(TRIM(N41&amp;" "&amp;O41),17,2)),VALUE(MID(TRIM(N41&amp;" "&amp;O41),20,2))),IF(ISNUMBER(I41),I41,"")),"")</f>
        <v/>
      </c>
      <c r="AD41" s="17">
        <f>IF(AND(ISNUMBER(AB41),ISNUMBER(AC41)),MAX(0,MIN(AC41,EOMONTH(출력_요약!$B$3,0))-MAX(AB41,출력_요약!$B$3)+1),0)</f>
        <v/>
      </c>
      <c r="AE41" s="10">
        <f>IF(AND(Q41&lt;&gt;"",ISNUMBER(AB41)),Q41&amp;"|다기관","")</f>
        <v/>
      </c>
    </row>
    <row r="42">
      <c r="A42" s="15">
        <f>IF(F42="","",ROW()-3)</f>
        <v/>
      </c>
      <c r="B42" s="5" t="n"/>
      <c r="C42" s="15" t="n"/>
      <c r="D42" s="5" t="n"/>
      <c r="E42" s="15" t="n"/>
      <c r="F42" s="5" t="n"/>
      <c r="G42" s="6" t="n"/>
      <c r="H42" s="16" t="n"/>
      <c r="I42" s="16" t="n"/>
      <c r="J42" s="15">
        <f>IF(AND(ISNUMBER(H42),ISNUMBER(I42)),I42-H42+1,"")</f>
        <v/>
      </c>
      <c r="K42" s="5" t="n"/>
      <c r="L42" s="5" t="n"/>
      <c r="M42" s="5" t="n"/>
      <c r="N42" s="5" t="n"/>
      <c r="O42" s="5" t="n"/>
      <c r="Q42" s="10">
        <f>IF(TRIM(G42&amp;"")="","",TRIM(G42&amp;""))</f>
        <v/>
      </c>
      <c r="R42" s="10">
        <f>IF(TRIM(B42&amp;"")="","",IFERROR(INDEX(설정_코드표!$K$2:$K$101,MATCH(TRIM(B42&amp;""),설정_코드표!$J$2:$J$101,0)),"⚠"&amp;TRIM(B42&amp;"")))</f>
        <v/>
      </c>
      <c r="S42" s="10">
        <f>IF(TRIM(K42&amp;"")="","",IFERROR(INDEX(설정_코드표!$K$2:$K$101,MATCH(TRIM(K42&amp;""),설정_코드표!$J$2:$J$101,0)),"⚠"&amp;TRIM(K42&amp;"")))</f>
        <v/>
      </c>
      <c r="T42" s="10">
        <f>IF(TRIM(M42&amp;"")="","",IF(ISNUMBER(MATCH(TRIM(M42&amp;""),설정_코드표!$C$2:$C$11,0)),TRIM(M42&amp;""),"⚠"&amp;TRIM(M42&amp;"")))</f>
        <v/>
      </c>
      <c r="U42" s="10">
        <f>IF(TRIM(L42&amp;"")="","",IFERROR(INDEX(설정_코드표!$G$2:$G$101,MATCH(TRIM(L42&amp;""),설정_코드표!$F$2:$F$101,0)),"⚠"&amp;TRIM(L42&amp;"")))</f>
        <v/>
      </c>
      <c r="V42" s="10">
        <f>IF(AND(ISNUMBER(H42),ISNUMBER(I42)),I42-H42+1,"")</f>
        <v/>
      </c>
      <c r="W42" s="17">
        <f>IF(ISNUMBER(H42),MAX(0,MIN(IF(ISNUMBER(I42),I42,EOMONTH(출력_요약!$B$3,0)),EOMONTH(출력_요약!$B$3,0))-MAX(H42,출력_요약!$B$3)+1),0)</f>
        <v/>
      </c>
      <c r="X42" s="10">
        <f>IF(OR(NOT(ISNUMBER(H42)),Q42=""),"",IF(TODAY()&lt;H42,"파견예정",IF(AND(ISNUMBER(I42),TODAY()&gt;I42),"파견종료","파견중")))</f>
        <v/>
      </c>
      <c r="Y42" s="10">
        <f>IF(OR(Q42="",X42=""),"",Q42&amp;"|"&amp;X42)</f>
        <v/>
      </c>
      <c r="Z42" s="10">
        <f>IF(AND(Q42&lt;&gt;"",W42&gt;0),Q42&amp;"|월","")</f>
        <v/>
      </c>
      <c r="AA42" s="10">
        <f>IF(COUNTA(B42:I42,K42:N42)=0,"",IF(Q42="","등록번호 없음",IF(LEFT(R42,1)="⚠","모병원명 미등록",IF(S42="","파견병원 입력",IF(LEFT(S42,1)="⚠","파견병원명 미등록",IF(LEFT(U42,1)="⚠","파견과목 미등록",IF(OR(T42="",LEFT(T42,1)="⚠"),"파견근거 확인",IF(NOT(AND(ISNUMBER(H42),ISNUMBER(I42))),"날짜 형식/누락",IF(I42&lt;H42,"종료일&lt;시작일","")))))))))</f>
        <v/>
      </c>
      <c r="AB42" s="11">
        <f>IF(ISNUMBER(SEARCH("다기관",TRIM(N42&amp;" "&amp;O42))),IFERROR(DATE(VALUE(MID(TRIM(N42&amp;" "&amp;O42),1,4)),VALUE(MID(TRIM(N42&amp;" "&amp;O42),6,2)),VALUE(MID(TRIM(N42&amp;" "&amp;O42),9,2))),IF(ISNUMBER(H42),H42,"")),"")</f>
        <v/>
      </c>
      <c r="AC42" s="11">
        <f>IF(ISNUMBER(SEARCH("다기관",TRIM(N42&amp;" "&amp;O42))),IFERROR(DATE(VALUE(MID(TRIM(N42&amp;" "&amp;O42),12,4)),VALUE(MID(TRIM(N42&amp;" "&amp;O42),17,2)),VALUE(MID(TRIM(N42&amp;" "&amp;O42),20,2))),IF(ISNUMBER(I42),I42,"")),"")</f>
        <v/>
      </c>
      <c r="AD42" s="17">
        <f>IF(AND(ISNUMBER(AB42),ISNUMBER(AC42)),MAX(0,MIN(AC42,EOMONTH(출력_요약!$B$3,0))-MAX(AB42,출력_요약!$B$3)+1),0)</f>
        <v/>
      </c>
      <c r="AE42" s="10">
        <f>IF(AND(Q42&lt;&gt;"",ISNUMBER(AB42)),Q42&amp;"|다기관","")</f>
        <v/>
      </c>
    </row>
    <row r="43">
      <c r="A43" s="15">
        <f>IF(F43="","",ROW()-3)</f>
        <v/>
      </c>
      <c r="B43" s="5" t="n"/>
      <c r="C43" s="15" t="n"/>
      <c r="D43" s="5" t="n"/>
      <c r="E43" s="15" t="n"/>
      <c r="F43" s="5" t="n"/>
      <c r="G43" s="6" t="n"/>
      <c r="H43" s="16" t="n"/>
      <c r="I43" s="16" t="n"/>
      <c r="J43" s="15">
        <f>IF(AND(ISNUMBER(H43),ISNUMBER(I43)),I43-H43+1,"")</f>
        <v/>
      </c>
      <c r="K43" s="5" t="n"/>
      <c r="L43" s="5" t="n"/>
      <c r="M43" s="5" t="n"/>
      <c r="N43" s="5" t="n"/>
      <c r="O43" s="5" t="n"/>
      <c r="Q43" s="10">
        <f>IF(TRIM(G43&amp;"")="","",TRIM(G43&amp;""))</f>
        <v/>
      </c>
      <c r="R43" s="10">
        <f>IF(TRIM(B43&amp;"")="","",IFERROR(INDEX(설정_코드표!$K$2:$K$101,MATCH(TRIM(B43&amp;""),설정_코드표!$J$2:$J$101,0)),"⚠"&amp;TRIM(B43&amp;"")))</f>
        <v/>
      </c>
      <c r="S43" s="10">
        <f>IF(TRIM(K43&amp;"")="","",IFERROR(INDEX(설정_코드표!$K$2:$K$101,MATCH(TRIM(K43&amp;""),설정_코드표!$J$2:$J$101,0)),"⚠"&amp;TRIM(K43&amp;"")))</f>
        <v/>
      </c>
      <c r="T43" s="10">
        <f>IF(TRIM(M43&amp;"")="","",IF(ISNUMBER(MATCH(TRIM(M43&amp;""),설정_코드표!$C$2:$C$11,0)),TRIM(M43&amp;""),"⚠"&amp;TRIM(M43&amp;"")))</f>
        <v/>
      </c>
      <c r="U43" s="10">
        <f>IF(TRIM(L43&amp;"")="","",IFERROR(INDEX(설정_코드표!$G$2:$G$101,MATCH(TRIM(L43&amp;""),설정_코드표!$F$2:$F$101,0)),"⚠"&amp;TRIM(L43&amp;"")))</f>
        <v/>
      </c>
      <c r="V43" s="10">
        <f>IF(AND(ISNUMBER(H43),ISNUMBER(I43)),I43-H43+1,"")</f>
        <v/>
      </c>
      <c r="W43" s="17">
        <f>IF(ISNUMBER(H43),MAX(0,MIN(IF(ISNUMBER(I43),I43,EOMONTH(출력_요약!$B$3,0)),EOMONTH(출력_요약!$B$3,0))-MAX(H43,출력_요약!$B$3)+1),0)</f>
        <v/>
      </c>
      <c r="X43" s="10">
        <f>IF(OR(NOT(ISNUMBER(H43)),Q43=""),"",IF(TODAY()&lt;H43,"파견예정",IF(AND(ISNUMBER(I43),TODAY()&gt;I43),"파견종료","파견중")))</f>
        <v/>
      </c>
      <c r="Y43" s="10">
        <f>IF(OR(Q43="",X43=""),"",Q43&amp;"|"&amp;X43)</f>
        <v/>
      </c>
      <c r="Z43" s="10">
        <f>IF(AND(Q43&lt;&gt;"",W43&gt;0),Q43&amp;"|월","")</f>
        <v/>
      </c>
      <c r="AA43" s="10">
        <f>IF(COUNTA(B43:I43,K43:N43)=0,"",IF(Q43="","등록번호 없음",IF(LEFT(R43,1)="⚠","모병원명 미등록",IF(S43="","파견병원 입력",IF(LEFT(S43,1)="⚠","파견병원명 미등록",IF(LEFT(U43,1)="⚠","파견과목 미등록",IF(OR(T43="",LEFT(T43,1)="⚠"),"파견근거 확인",IF(NOT(AND(ISNUMBER(H43),ISNUMBER(I43))),"날짜 형식/누락",IF(I43&lt;H43,"종료일&lt;시작일","")))))))))</f>
        <v/>
      </c>
      <c r="AB43" s="11">
        <f>IF(ISNUMBER(SEARCH("다기관",TRIM(N43&amp;" "&amp;O43))),IFERROR(DATE(VALUE(MID(TRIM(N43&amp;" "&amp;O43),1,4)),VALUE(MID(TRIM(N43&amp;" "&amp;O43),6,2)),VALUE(MID(TRIM(N43&amp;" "&amp;O43),9,2))),IF(ISNUMBER(H43),H43,"")),"")</f>
        <v/>
      </c>
      <c r="AC43" s="11">
        <f>IF(ISNUMBER(SEARCH("다기관",TRIM(N43&amp;" "&amp;O43))),IFERROR(DATE(VALUE(MID(TRIM(N43&amp;" "&amp;O43),12,4)),VALUE(MID(TRIM(N43&amp;" "&amp;O43),17,2)),VALUE(MID(TRIM(N43&amp;" "&amp;O43),20,2))),IF(ISNUMBER(I43),I43,"")),"")</f>
        <v/>
      </c>
      <c r="AD43" s="17">
        <f>IF(AND(ISNUMBER(AB43),ISNUMBER(AC43)),MAX(0,MIN(AC43,EOMONTH(출력_요약!$B$3,0))-MAX(AB43,출력_요약!$B$3)+1),0)</f>
        <v/>
      </c>
      <c r="AE43" s="10">
        <f>IF(AND(Q43&lt;&gt;"",ISNUMBER(AB43)),Q43&amp;"|다기관","")</f>
        <v/>
      </c>
    </row>
    <row r="44">
      <c r="A44" s="15">
        <f>IF(F44="","",ROW()-3)</f>
        <v/>
      </c>
      <c r="B44" s="5" t="n"/>
      <c r="C44" s="15" t="n"/>
      <c r="D44" s="5" t="n"/>
      <c r="E44" s="15" t="n"/>
      <c r="F44" s="5" t="n"/>
      <c r="G44" s="6" t="n"/>
      <c r="H44" s="16" t="n"/>
      <c r="I44" s="16" t="n"/>
      <c r="J44" s="15">
        <f>IF(AND(ISNUMBER(H44),ISNUMBER(I44)),I44-H44+1,"")</f>
        <v/>
      </c>
      <c r="K44" s="5" t="n"/>
      <c r="L44" s="5" t="n"/>
      <c r="M44" s="5" t="n"/>
      <c r="N44" s="5" t="n"/>
      <c r="O44" s="5" t="n"/>
      <c r="Q44" s="10">
        <f>IF(TRIM(G44&amp;"")="","",TRIM(G44&amp;""))</f>
        <v/>
      </c>
      <c r="R44" s="10">
        <f>IF(TRIM(B44&amp;"")="","",IFERROR(INDEX(설정_코드표!$K$2:$K$101,MATCH(TRIM(B44&amp;""),설정_코드표!$J$2:$J$101,0)),"⚠"&amp;TRIM(B44&amp;"")))</f>
        <v/>
      </c>
      <c r="S44" s="10">
        <f>IF(TRIM(K44&amp;"")="","",IFERROR(INDEX(설정_코드표!$K$2:$K$101,MATCH(TRIM(K44&amp;""),설정_코드표!$J$2:$J$101,0)),"⚠"&amp;TRIM(K44&amp;"")))</f>
        <v/>
      </c>
      <c r="T44" s="10">
        <f>IF(TRIM(M44&amp;"")="","",IF(ISNUMBER(MATCH(TRIM(M44&amp;""),설정_코드표!$C$2:$C$11,0)),TRIM(M44&amp;""),"⚠"&amp;TRIM(M44&amp;"")))</f>
        <v/>
      </c>
      <c r="U44" s="10">
        <f>IF(TRIM(L44&amp;"")="","",IFERROR(INDEX(설정_코드표!$G$2:$G$101,MATCH(TRIM(L44&amp;""),설정_코드표!$F$2:$F$101,0)),"⚠"&amp;TRIM(L44&amp;"")))</f>
        <v/>
      </c>
      <c r="V44" s="10">
        <f>IF(AND(ISNUMBER(H44),ISNUMBER(I44)),I44-H44+1,"")</f>
        <v/>
      </c>
      <c r="W44" s="17">
        <f>IF(ISNUMBER(H44),MAX(0,MIN(IF(ISNUMBER(I44),I44,EOMONTH(출력_요약!$B$3,0)),EOMONTH(출력_요약!$B$3,0))-MAX(H44,출력_요약!$B$3)+1),0)</f>
        <v/>
      </c>
      <c r="X44" s="10">
        <f>IF(OR(NOT(ISNUMBER(H44)),Q44=""),"",IF(TODAY()&lt;H44,"파견예정",IF(AND(ISNUMBER(I44),TODAY()&gt;I44),"파견종료","파견중")))</f>
        <v/>
      </c>
      <c r="Y44" s="10">
        <f>IF(OR(Q44="",X44=""),"",Q44&amp;"|"&amp;X44)</f>
        <v/>
      </c>
      <c r="Z44" s="10">
        <f>IF(AND(Q44&lt;&gt;"",W44&gt;0),Q44&amp;"|월","")</f>
        <v/>
      </c>
      <c r="AA44" s="10">
        <f>IF(COUNTA(B44:I44,K44:N44)=0,"",IF(Q44="","등록번호 없음",IF(LEFT(R44,1)="⚠","모병원명 미등록",IF(S44="","파견병원 입력",IF(LEFT(S44,1)="⚠","파견병원명 미등록",IF(LEFT(U44,1)="⚠","파견과목 미등록",IF(OR(T44="",LEFT(T44,1)="⚠"),"파견근거 확인",IF(NOT(AND(ISNUMBER(H44),ISNUMBER(I44))),"날짜 형식/누락",IF(I44&lt;H44,"종료일&lt;시작일","")))))))))</f>
        <v/>
      </c>
      <c r="AB44" s="11">
        <f>IF(ISNUMBER(SEARCH("다기관",TRIM(N44&amp;" "&amp;O44))),IFERROR(DATE(VALUE(MID(TRIM(N44&amp;" "&amp;O44),1,4)),VALUE(MID(TRIM(N44&amp;" "&amp;O44),6,2)),VALUE(MID(TRIM(N44&amp;" "&amp;O44),9,2))),IF(ISNUMBER(H44),H44,"")),"")</f>
        <v/>
      </c>
      <c r="AC44" s="11">
        <f>IF(ISNUMBER(SEARCH("다기관",TRIM(N44&amp;" "&amp;O44))),IFERROR(DATE(VALUE(MID(TRIM(N44&amp;" "&amp;O44),12,4)),VALUE(MID(TRIM(N44&amp;" "&amp;O44),17,2)),VALUE(MID(TRIM(N44&amp;" "&amp;O44),20,2))),IF(ISNUMBER(I44),I44,"")),"")</f>
        <v/>
      </c>
      <c r="AD44" s="17">
        <f>IF(AND(ISNUMBER(AB44),ISNUMBER(AC44)),MAX(0,MIN(AC44,EOMONTH(출력_요약!$B$3,0))-MAX(AB44,출력_요약!$B$3)+1),0)</f>
        <v/>
      </c>
      <c r="AE44" s="10">
        <f>IF(AND(Q44&lt;&gt;"",ISNUMBER(AB44)),Q44&amp;"|다기관","")</f>
        <v/>
      </c>
    </row>
    <row r="45">
      <c r="A45" s="15">
        <f>IF(F45="","",ROW()-3)</f>
        <v/>
      </c>
      <c r="B45" s="5" t="n"/>
      <c r="C45" s="15" t="n"/>
      <c r="D45" s="5" t="n"/>
      <c r="E45" s="15" t="n"/>
      <c r="F45" s="5" t="n"/>
      <c r="G45" s="6" t="n"/>
      <c r="H45" s="16" t="n"/>
      <c r="I45" s="16" t="n"/>
      <c r="J45" s="15">
        <f>IF(AND(ISNUMBER(H45),ISNUMBER(I45)),I45-H45+1,"")</f>
        <v/>
      </c>
      <c r="K45" s="5" t="n"/>
      <c r="L45" s="5" t="n"/>
      <c r="M45" s="5" t="n"/>
      <c r="N45" s="5" t="n"/>
      <c r="O45" s="5" t="n"/>
      <c r="Q45" s="10">
        <f>IF(TRIM(G45&amp;"")="","",TRIM(G45&amp;""))</f>
        <v/>
      </c>
      <c r="R45" s="10">
        <f>IF(TRIM(B45&amp;"")="","",IFERROR(INDEX(설정_코드표!$K$2:$K$101,MATCH(TRIM(B45&amp;""),설정_코드표!$J$2:$J$101,0)),"⚠"&amp;TRIM(B45&amp;"")))</f>
        <v/>
      </c>
      <c r="S45" s="10">
        <f>IF(TRIM(K45&amp;"")="","",IFERROR(INDEX(설정_코드표!$K$2:$K$101,MATCH(TRIM(K45&amp;""),설정_코드표!$J$2:$J$101,0)),"⚠"&amp;TRIM(K45&amp;"")))</f>
        <v/>
      </c>
      <c r="T45" s="10">
        <f>IF(TRIM(M45&amp;"")="","",IF(ISNUMBER(MATCH(TRIM(M45&amp;""),설정_코드표!$C$2:$C$11,0)),TRIM(M45&amp;""),"⚠"&amp;TRIM(M45&amp;"")))</f>
        <v/>
      </c>
      <c r="U45" s="10">
        <f>IF(TRIM(L45&amp;"")="","",IFERROR(INDEX(설정_코드표!$G$2:$G$101,MATCH(TRIM(L45&amp;""),설정_코드표!$F$2:$F$101,0)),"⚠"&amp;TRIM(L45&amp;"")))</f>
        <v/>
      </c>
      <c r="V45" s="10">
        <f>IF(AND(ISNUMBER(H45),ISNUMBER(I45)),I45-H45+1,"")</f>
        <v/>
      </c>
      <c r="W45" s="17">
        <f>IF(ISNUMBER(H45),MAX(0,MIN(IF(ISNUMBER(I45),I45,EOMONTH(출력_요약!$B$3,0)),EOMONTH(출력_요약!$B$3,0))-MAX(H45,출력_요약!$B$3)+1),0)</f>
        <v/>
      </c>
      <c r="X45" s="10">
        <f>IF(OR(NOT(ISNUMBER(H45)),Q45=""),"",IF(TODAY()&lt;H45,"파견예정",IF(AND(ISNUMBER(I45),TODAY()&gt;I45),"파견종료","파견중")))</f>
        <v/>
      </c>
      <c r="Y45" s="10">
        <f>IF(OR(Q45="",X45=""),"",Q45&amp;"|"&amp;X45)</f>
        <v/>
      </c>
      <c r="Z45" s="10">
        <f>IF(AND(Q45&lt;&gt;"",W45&gt;0),Q45&amp;"|월","")</f>
        <v/>
      </c>
      <c r="AA45" s="10">
        <f>IF(COUNTA(B45:I45,K45:N45)=0,"",IF(Q45="","등록번호 없음",IF(LEFT(R45,1)="⚠","모병원명 미등록",IF(S45="","파견병원 입력",IF(LEFT(S45,1)="⚠","파견병원명 미등록",IF(LEFT(U45,1)="⚠","파견과목 미등록",IF(OR(T45="",LEFT(T45,1)="⚠"),"파견근거 확인",IF(NOT(AND(ISNUMBER(H45),ISNUMBER(I45))),"날짜 형식/누락",IF(I45&lt;H45,"종료일&lt;시작일","")))))))))</f>
        <v/>
      </c>
      <c r="AB45" s="11">
        <f>IF(ISNUMBER(SEARCH("다기관",TRIM(N45&amp;" "&amp;O45))),IFERROR(DATE(VALUE(MID(TRIM(N45&amp;" "&amp;O45),1,4)),VALUE(MID(TRIM(N45&amp;" "&amp;O45),6,2)),VALUE(MID(TRIM(N45&amp;" "&amp;O45),9,2))),IF(ISNUMBER(H45),H45,"")),"")</f>
        <v/>
      </c>
      <c r="AC45" s="11">
        <f>IF(ISNUMBER(SEARCH("다기관",TRIM(N45&amp;" "&amp;O45))),IFERROR(DATE(VALUE(MID(TRIM(N45&amp;" "&amp;O45),12,4)),VALUE(MID(TRIM(N45&amp;" "&amp;O45),17,2)),VALUE(MID(TRIM(N45&amp;" "&amp;O45),20,2))),IF(ISNUMBER(I45),I45,"")),"")</f>
        <v/>
      </c>
      <c r="AD45" s="17">
        <f>IF(AND(ISNUMBER(AB45),ISNUMBER(AC45)),MAX(0,MIN(AC45,EOMONTH(출력_요약!$B$3,0))-MAX(AB45,출력_요약!$B$3)+1),0)</f>
        <v/>
      </c>
      <c r="AE45" s="10">
        <f>IF(AND(Q45&lt;&gt;"",ISNUMBER(AB45)),Q45&amp;"|다기관","")</f>
        <v/>
      </c>
    </row>
    <row r="46">
      <c r="A46" s="15">
        <f>IF(F46="","",ROW()-3)</f>
        <v/>
      </c>
      <c r="B46" s="5" t="n"/>
      <c r="C46" s="15" t="n"/>
      <c r="D46" s="5" t="n"/>
      <c r="E46" s="15" t="n"/>
      <c r="F46" s="5" t="n"/>
      <c r="G46" s="6" t="n"/>
      <c r="H46" s="16" t="n"/>
      <c r="I46" s="16" t="n"/>
      <c r="J46" s="15">
        <f>IF(AND(ISNUMBER(H46),ISNUMBER(I46)),I46-H46+1,"")</f>
        <v/>
      </c>
      <c r="K46" s="5" t="n"/>
      <c r="L46" s="5" t="n"/>
      <c r="M46" s="5" t="n"/>
      <c r="N46" s="5" t="n"/>
      <c r="O46" s="5" t="n"/>
      <c r="Q46" s="10">
        <f>IF(TRIM(G46&amp;"")="","",TRIM(G46&amp;""))</f>
        <v/>
      </c>
      <c r="R46" s="10">
        <f>IF(TRIM(B46&amp;"")="","",IFERROR(INDEX(설정_코드표!$K$2:$K$101,MATCH(TRIM(B46&amp;""),설정_코드표!$J$2:$J$101,0)),"⚠"&amp;TRIM(B46&amp;"")))</f>
        <v/>
      </c>
      <c r="S46" s="10">
        <f>IF(TRIM(K46&amp;"")="","",IFERROR(INDEX(설정_코드표!$K$2:$K$101,MATCH(TRIM(K46&amp;""),설정_코드표!$J$2:$J$101,0)),"⚠"&amp;TRIM(K46&amp;"")))</f>
        <v/>
      </c>
      <c r="T46" s="10">
        <f>IF(TRIM(M46&amp;"")="","",IF(ISNUMBER(MATCH(TRIM(M46&amp;""),설정_코드표!$C$2:$C$11,0)),TRIM(M46&amp;""),"⚠"&amp;TRIM(M46&amp;"")))</f>
        <v/>
      </c>
      <c r="U46" s="10">
        <f>IF(TRIM(L46&amp;"")="","",IFERROR(INDEX(설정_코드표!$G$2:$G$101,MATCH(TRIM(L46&amp;""),설정_코드표!$F$2:$F$101,0)),"⚠"&amp;TRIM(L46&amp;"")))</f>
        <v/>
      </c>
      <c r="V46" s="10">
        <f>IF(AND(ISNUMBER(H46),ISNUMBER(I46)),I46-H46+1,"")</f>
        <v/>
      </c>
      <c r="W46" s="17">
        <f>IF(ISNUMBER(H46),MAX(0,MIN(IF(ISNUMBER(I46),I46,EOMONTH(출력_요약!$B$3,0)),EOMONTH(출력_요약!$B$3,0))-MAX(H46,출력_요약!$B$3)+1),0)</f>
        <v/>
      </c>
      <c r="X46" s="10">
        <f>IF(OR(NOT(ISNUMBER(H46)),Q46=""),"",IF(TODAY()&lt;H46,"파견예정",IF(AND(ISNUMBER(I46),TODAY()&gt;I46),"파견종료","파견중")))</f>
        <v/>
      </c>
      <c r="Y46" s="10">
        <f>IF(OR(Q46="",X46=""),"",Q46&amp;"|"&amp;X46)</f>
        <v/>
      </c>
      <c r="Z46" s="10">
        <f>IF(AND(Q46&lt;&gt;"",W46&gt;0),Q46&amp;"|월","")</f>
        <v/>
      </c>
      <c r="AA46" s="10">
        <f>IF(COUNTA(B46:I46,K46:N46)=0,"",IF(Q46="","등록번호 없음",IF(LEFT(R46,1)="⚠","모병원명 미등록",IF(S46="","파견병원 입력",IF(LEFT(S46,1)="⚠","파견병원명 미등록",IF(LEFT(U46,1)="⚠","파견과목 미등록",IF(OR(T46="",LEFT(T46,1)="⚠"),"파견근거 확인",IF(NOT(AND(ISNUMBER(H46),ISNUMBER(I46))),"날짜 형식/누락",IF(I46&lt;H46,"종료일&lt;시작일","")))))))))</f>
        <v/>
      </c>
      <c r="AB46" s="11">
        <f>IF(ISNUMBER(SEARCH("다기관",TRIM(N46&amp;" "&amp;O46))),IFERROR(DATE(VALUE(MID(TRIM(N46&amp;" "&amp;O46),1,4)),VALUE(MID(TRIM(N46&amp;" "&amp;O46),6,2)),VALUE(MID(TRIM(N46&amp;" "&amp;O46),9,2))),IF(ISNUMBER(H46),H46,"")),"")</f>
        <v/>
      </c>
      <c r="AC46" s="11">
        <f>IF(ISNUMBER(SEARCH("다기관",TRIM(N46&amp;" "&amp;O46))),IFERROR(DATE(VALUE(MID(TRIM(N46&amp;" "&amp;O46),12,4)),VALUE(MID(TRIM(N46&amp;" "&amp;O46),17,2)),VALUE(MID(TRIM(N46&amp;" "&amp;O46),20,2))),IF(ISNUMBER(I46),I46,"")),"")</f>
        <v/>
      </c>
      <c r="AD46" s="17">
        <f>IF(AND(ISNUMBER(AB46),ISNUMBER(AC46)),MAX(0,MIN(AC46,EOMONTH(출력_요약!$B$3,0))-MAX(AB46,출력_요약!$B$3)+1),0)</f>
        <v/>
      </c>
      <c r="AE46" s="10">
        <f>IF(AND(Q46&lt;&gt;"",ISNUMBER(AB46)),Q46&amp;"|다기관","")</f>
        <v/>
      </c>
    </row>
    <row r="47">
      <c r="A47" s="15">
        <f>IF(F47="","",ROW()-3)</f>
        <v/>
      </c>
      <c r="B47" s="5" t="n"/>
      <c r="C47" s="15" t="n"/>
      <c r="D47" s="5" t="n"/>
      <c r="E47" s="15" t="n"/>
      <c r="F47" s="5" t="n"/>
      <c r="G47" s="6" t="n"/>
      <c r="H47" s="16" t="n"/>
      <c r="I47" s="16" t="n"/>
      <c r="J47" s="15">
        <f>IF(AND(ISNUMBER(H47),ISNUMBER(I47)),I47-H47+1,"")</f>
        <v/>
      </c>
      <c r="K47" s="5" t="n"/>
      <c r="L47" s="5" t="n"/>
      <c r="M47" s="5" t="n"/>
      <c r="N47" s="5" t="n"/>
      <c r="O47" s="5" t="n"/>
      <c r="Q47" s="10">
        <f>IF(TRIM(G47&amp;"")="","",TRIM(G47&amp;""))</f>
        <v/>
      </c>
      <c r="R47" s="10">
        <f>IF(TRIM(B47&amp;"")="","",IFERROR(INDEX(설정_코드표!$K$2:$K$101,MATCH(TRIM(B47&amp;""),설정_코드표!$J$2:$J$101,0)),"⚠"&amp;TRIM(B47&amp;"")))</f>
        <v/>
      </c>
      <c r="S47" s="10">
        <f>IF(TRIM(K47&amp;"")="","",IFERROR(INDEX(설정_코드표!$K$2:$K$101,MATCH(TRIM(K47&amp;""),설정_코드표!$J$2:$J$101,0)),"⚠"&amp;TRIM(K47&amp;"")))</f>
        <v/>
      </c>
      <c r="T47" s="10">
        <f>IF(TRIM(M47&amp;"")="","",IF(ISNUMBER(MATCH(TRIM(M47&amp;""),설정_코드표!$C$2:$C$11,0)),TRIM(M47&amp;""),"⚠"&amp;TRIM(M47&amp;"")))</f>
        <v/>
      </c>
      <c r="U47" s="10">
        <f>IF(TRIM(L47&amp;"")="","",IFERROR(INDEX(설정_코드표!$G$2:$G$101,MATCH(TRIM(L47&amp;""),설정_코드표!$F$2:$F$101,0)),"⚠"&amp;TRIM(L47&amp;"")))</f>
        <v/>
      </c>
      <c r="V47" s="10">
        <f>IF(AND(ISNUMBER(H47),ISNUMBER(I47)),I47-H47+1,"")</f>
        <v/>
      </c>
      <c r="W47" s="17">
        <f>IF(ISNUMBER(H47),MAX(0,MIN(IF(ISNUMBER(I47),I47,EOMONTH(출력_요약!$B$3,0)),EOMONTH(출력_요약!$B$3,0))-MAX(H47,출력_요약!$B$3)+1),0)</f>
        <v/>
      </c>
      <c r="X47" s="10">
        <f>IF(OR(NOT(ISNUMBER(H47)),Q47=""),"",IF(TODAY()&lt;H47,"파견예정",IF(AND(ISNUMBER(I47),TODAY()&gt;I47),"파견종료","파견중")))</f>
        <v/>
      </c>
      <c r="Y47" s="10">
        <f>IF(OR(Q47="",X47=""),"",Q47&amp;"|"&amp;X47)</f>
        <v/>
      </c>
      <c r="Z47" s="10">
        <f>IF(AND(Q47&lt;&gt;"",W47&gt;0),Q47&amp;"|월","")</f>
        <v/>
      </c>
      <c r="AA47" s="10">
        <f>IF(COUNTA(B47:I47,K47:N47)=0,"",IF(Q47="","등록번호 없음",IF(LEFT(R47,1)="⚠","모병원명 미등록",IF(S47="","파견병원 입력",IF(LEFT(S47,1)="⚠","파견병원명 미등록",IF(LEFT(U47,1)="⚠","파견과목 미등록",IF(OR(T47="",LEFT(T47,1)="⚠"),"파견근거 확인",IF(NOT(AND(ISNUMBER(H47),ISNUMBER(I47))),"날짜 형식/누락",IF(I47&lt;H47,"종료일&lt;시작일","")))))))))</f>
        <v/>
      </c>
      <c r="AB47" s="11">
        <f>IF(ISNUMBER(SEARCH("다기관",TRIM(N47&amp;" "&amp;O47))),IFERROR(DATE(VALUE(MID(TRIM(N47&amp;" "&amp;O47),1,4)),VALUE(MID(TRIM(N47&amp;" "&amp;O47),6,2)),VALUE(MID(TRIM(N47&amp;" "&amp;O47),9,2))),IF(ISNUMBER(H47),H47,"")),"")</f>
        <v/>
      </c>
      <c r="AC47" s="11">
        <f>IF(ISNUMBER(SEARCH("다기관",TRIM(N47&amp;" "&amp;O47))),IFERROR(DATE(VALUE(MID(TRIM(N47&amp;" "&amp;O47),12,4)),VALUE(MID(TRIM(N47&amp;" "&amp;O47),17,2)),VALUE(MID(TRIM(N47&amp;" "&amp;O47),20,2))),IF(ISNUMBER(I47),I47,"")),"")</f>
        <v/>
      </c>
      <c r="AD47" s="17">
        <f>IF(AND(ISNUMBER(AB47),ISNUMBER(AC47)),MAX(0,MIN(AC47,EOMONTH(출력_요약!$B$3,0))-MAX(AB47,출력_요약!$B$3)+1),0)</f>
        <v/>
      </c>
      <c r="AE47" s="10">
        <f>IF(AND(Q47&lt;&gt;"",ISNUMBER(AB47)),Q47&amp;"|다기관","")</f>
        <v/>
      </c>
    </row>
    <row r="48">
      <c r="A48" s="15">
        <f>IF(F48="","",ROW()-3)</f>
        <v/>
      </c>
      <c r="B48" s="5" t="n"/>
      <c r="C48" s="15" t="n"/>
      <c r="D48" s="5" t="n"/>
      <c r="E48" s="15" t="n"/>
      <c r="F48" s="5" t="n"/>
      <c r="G48" s="6" t="n"/>
      <c r="H48" s="16" t="n"/>
      <c r="I48" s="16" t="n"/>
      <c r="J48" s="15">
        <f>IF(AND(ISNUMBER(H48),ISNUMBER(I48)),I48-H48+1,"")</f>
        <v/>
      </c>
      <c r="K48" s="5" t="n"/>
      <c r="L48" s="5" t="n"/>
      <c r="M48" s="5" t="n"/>
      <c r="N48" s="5" t="n"/>
      <c r="O48" s="5" t="n"/>
      <c r="Q48" s="10">
        <f>IF(TRIM(G48&amp;"")="","",TRIM(G48&amp;""))</f>
        <v/>
      </c>
      <c r="R48" s="10">
        <f>IF(TRIM(B48&amp;"")="","",IFERROR(INDEX(설정_코드표!$K$2:$K$101,MATCH(TRIM(B48&amp;""),설정_코드표!$J$2:$J$101,0)),"⚠"&amp;TRIM(B48&amp;"")))</f>
        <v/>
      </c>
      <c r="S48" s="10">
        <f>IF(TRIM(K48&amp;"")="","",IFERROR(INDEX(설정_코드표!$K$2:$K$101,MATCH(TRIM(K48&amp;""),설정_코드표!$J$2:$J$101,0)),"⚠"&amp;TRIM(K48&amp;"")))</f>
        <v/>
      </c>
      <c r="T48" s="10">
        <f>IF(TRIM(M48&amp;"")="","",IF(ISNUMBER(MATCH(TRIM(M48&amp;""),설정_코드표!$C$2:$C$11,0)),TRIM(M48&amp;""),"⚠"&amp;TRIM(M48&amp;"")))</f>
        <v/>
      </c>
      <c r="U48" s="10">
        <f>IF(TRIM(L48&amp;"")="","",IFERROR(INDEX(설정_코드표!$G$2:$G$101,MATCH(TRIM(L48&amp;""),설정_코드표!$F$2:$F$101,0)),"⚠"&amp;TRIM(L48&amp;"")))</f>
        <v/>
      </c>
      <c r="V48" s="10">
        <f>IF(AND(ISNUMBER(H48),ISNUMBER(I48)),I48-H48+1,"")</f>
        <v/>
      </c>
      <c r="W48" s="17">
        <f>IF(ISNUMBER(H48),MAX(0,MIN(IF(ISNUMBER(I48),I48,EOMONTH(출력_요약!$B$3,0)),EOMONTH(출력_요약!$B$3,0))-MAX(H48,출력_요약!$B$3)+1),0)</f>
        <v/>
      </c>
      <c r="X48" s="10">
        <f>IF(OR(NOT(ISNUMBER(H48)),Q48=""),"",IF(TODAY()&lt;H48,"파견예정",IF(AND(ISNUMBER(I48),TODAY()&gt;I48),"파견종료","파견중")))</f>
        <v/>
      </c>
      <c r="Y48" s="10">
        <f>IF(OR(Q48="",X48=""),"",Q48&amp;"|"&amp;X48)</f>
        <v/>
      </c>
      <c r="Z48" s="10">
        <f>IF(AND(Q48&lt;&gt;"",W48&gt;0),Q48&amp;"|월","")</f>
        <v/>
      </c>
      <c r="AA48" s="10">
        <f>IF(COUNTA(B48:I48,K48:N48)=0,"",IF(Q48="","등록번호 없음",IF(LEFT(R48,1)="⚠","모병원명 미등록",IF(S48="","파견병원 입력",IF(LEFT(S48,1)="⚠","파견병원명 미등록",IF(LEFT(U48,1)="⚠","파견과목 미등록",IF(OR(T48="",LEFT(T48,1)="⚠"),"파견근거 확인",IF(NOT(AND(ISNUMBER(H48),ISNUMBER(I48))),"날짜 형식/누락",IF(I48&lt;H48,"종료일&lt;시작일","")))))))))</f>
        <v/>
      </c>
      <c r="AB48" s="11">
        <f>IF(ISNUMBER(SEARCH("다기관",TRIM(N48&amp;" "&amp;O48))),IFERROR(DATE(VALUE(MID(TRIM(N48&amp;" "&amp;O48),1,4)),VALUE(MID(TRIM(N48&amp;" "&amp;O48),6,2)),VALUE(MID(TRIM(N48&amp;" "&amp;O48),9,2))),IF(ISNUMBER(H48),H48,"")),"")</f>
        <v/>
      </c>
      <c r="AC48" s="11">
        <f>IF(ISNUMBER(SEARCH("다기관",TRIM(N48&amp;" "&amp;O48))),IFERROR(DATE(VALUE(MID(TRIM(N48&amp;" "&amp;O48),12,4)),VALUE(MID(TRIM(N48&amp;" "&amp;O48),17,2)),VALUE(MID(TRIM(N48&amp;" "&amp;O48),20,2))),IF(ISNUMBER(I48),I48,"")),"")</f>
        <v/>
      </c>
      <c r="AD48" s="17">
        <f>IF(AND(ISNUMBER(AB48),ISNUMBER(AC48)),MAX(0,MIN(AC48,EOMONTH(출력_요약!$B$3,0))-MAX(AB48,출력_요약!$B$3)+1),0)</f>
        <v/>
      </c>
      <c r="AE48" s="10">
        <f>IF(AND(Q48&lt;&gt;"",ISNUMBER(AB48)),Q48&amp;"|다기관","")</f>
        <v/>
      </c>
    </row>
    <row r="49">
      <c r="A49" s="15">
        <f>IF(F49="","",ROW()-3)</f>
        <v/>
      </c>
      <c r="B49" s="5" t="n"/>
      <c r="C49" s="15" t="n"/>
      <c r="D49" s="5" t="n"/>
      <c r="E49" s="15" t="n"/>
      <c r="F49" s="5" t="n"/>
      <c r="G49" s="6" t="n"/>
      <c r="H49" s="16" t="n"/>
      <c r="I49" s="16" t="n"/>
      <c r="J49" s="15">
        <f>IF(AND(ISNUMBER(H49),ISNUMBER(I49)),I49-H49+1,"")</f>
        <v/>
      </c>
      <c r="K49" s="5" t="n"/>
      <c r="L49" s="5" t="n"/>
      <c r="M49" s="5" t="n"/>
      <c r="N49" s="5" t="n"/>
      <c r="O49" s="5" t="n"/>
      <c r="Q49" s="10">
        <f>IF(TRIM(G49&amp;"")="","",TRIM(G49&amp;""))</f>
        <v/>
      </c>
      <c r="R49" s="10">
        <f>IF(TRIM(B49&amp;"")="","",IFERROR(INDEX(설정_코드표!$K$2:$K$101,MATCH(TRIM(B49&amp;""),설정_코드표!$J$2:$J$101,0)),"⚠"&amp;TRIM(B49&amp;"")))</f>
        <v/>
      </c>
      <c r="S49" s="10">
        <f>IF(TRIM(K49&amp;"")="","",IFERROR(INDEX(설정_코드표!$K$2:$K$101,MATCH(TRIM(K49&amp;""),설정_코드표!$J$2:$J$101,0)),"⚠"&amp;TRIM(K49&amp;"")))</f>
        <v/>
      </c>
      <c r="T49" s="10">
        <f>IF(TRIM(M49&amp;"")="","",IF(ISNUMBER(MATCH(TRIM(M49&amp;""),설정_코드표!$C$2:$C$11,0)),TRIM(M49&amp;""),"⚠"&amp;TRIM(M49&amp;"")))</f>
        <v/>
      </c>
      <c r="U49" s="10">
        <f>IF(TRIM(L49&amp;"")="","",IFERROR(INDEX(설정_코드표!$G$2:$G$101,MATCH(TRIM(L49&amp;""),설정_코드표!$F$2:$F$101,0)),"⚠"&amp;TRIM(L49&amp;"")))</f>
        <v/>
      </c>
      <c r="V49" s="10">
        <f>IF(AND(ISNUMBER(H49),ISNUMBER(I49)),I49-H49+1,"")</f>
        <v/>
      </c>
      <c r="W49" s="17">
        <f>IF(ISNUMBER(H49),MAX(0,MIN(IF(ISNUMBER(I49),I49,EOMONTH(출력_요약!$B$3,0)),EOMONTH(출력_요약!$B$3,0))-MAX(H49,출력_요약!$B$3)+1),0)</f>
        <v/>
      </c>
      <c r="X49" s="10">
        <f>IF(OR(NOT(ISNUMBER(H49)),Q49=""),"",IF(TODAY()&lt;H49,"파견예정",IF(AND(ISNUMBER(I49),TODAY()&gt;I49),"파견종료","파견중")))</f>
        <v/>
      </c>
      <c r="Y49" s="10">
        <f>IF(OR(Q49="",X49=""),"",Q49&amp;"|"&amp;X49)</f>
        <v/>
      </c>
      <c r="Z49" s="10">
        <f>IF(AND(Q49&lt;&gt;"",W49&gt;0),Q49&amp;"|월","")</f>
        <v/>
      </c>
      <c r="AA49" s="10">
        <f>IF(COUNTA(B49:I49,K49:N49)=0,"",IF(Q49="","등록번호 없음",IF(LEFT(R49,1)="⚠","모병원명 미등록",IF(S49="","파견병원 입력",IF(LEFT(S49,1)="⚠","파견병원명 미등록",IF(LEFT(U49,1)="⚠","파견과목 미등록",IF(OR(T49="",LEFT(T49,1)="⚠"),"파견근거 확인",IF(NOT(AND(ISNUMBER(H49),ISNUMBER(I49))),"날짜 형식/누락",IF(I49&lt;H49,"종료일&lt;시작일","")))))))))</f>
        <v/>
      </c>
      <c r="AB49" s="11">
        <f>IF(ISNUMBER(SEARCH("다기관",TRIM(N49&amp;" "&amp;O49))),IFERROR(DATE(VALUE(MID(TRIM(N49&amp;" "&amp;O49),1,4)),VALUE(MID(TRIM(N49&amp;" "&amp;O49),6,2)),VALUE(MID(TRIM(N49&amp;" "&amp;O49),9,2))),IF(ISNUMBER(H49),H49,"")),"")</f>
        <v/>
      </c>
      <c r="AC49" s="11">
        <f>IF(ISNUMBER(SEARCH("다기관",TRIM(N49&amp;" "&amp;O49))),IFERROR(DATE(VALUE(MID(TRIM(N49&amp;" "&amp;O49),12,4)),VALUE(MID(TRIM(N49&amp;" "&amp;O49),17,2)),VALUE(MID(TRIM(N49&amp;" "&amp;O49),20,2))),IF(ISNUMBER(I49),I49,"")),"")</f>
        <v/>
      </c>
      <c r="AD49" s="17">
        <f>IF(AND(ISNUMBER(AB49),ISNUMBER(AC49)),MAX(0,MIN(AC49,EOMONTH(출력_요약!$B$3,0))-MAX(AB49,출력_요약!$B$3)+1),0)</f>
        <v/>
      </c>
      <c r="AE49" s="10">
        <f>IF(AND(Q49&lt;&gt;"",ISNUMBER(AB49)),Q49&amp;"|다기관","")</f>
        <v/>
      </c>
    </row>
    <row r="50">
      <c r="A50" s="15">
        <f>IF(F50="","",ROW()-3)</f>
        <v/>
      </c>
      <c r="B50" s="5" t="n"/>
      <c r="C50" s="15" t="n"/>
      <c r="D50" s="5" t="n"/>
      <c r="E50" s="15" t="n"/>
      <c r="F50" s="5" t="n"/>
      <c r="G50" s="6" t="n"/>
      <c r="H50" s="16" t="n"/>
      <c r="I50" s="16" t="n"/>
      <c r="J50" s="15">
        <f>IF(AND(ISNUMBER(H50),ISNUMBER(I50)),I50-H50+1,"")</f>
        <v/>
      </c>
      <c r="K50" s="5" t="n"/>
      <c r="L50" s="5" t="n"/>
      <c r="M50" s="5" t="n"/>
      <c r="N50" s="5" t="n"/>
      <c r="O50" s="5" t="n"/>
      <c r="Q50" s="10">
        <f>IF(TRIM(G50&amp;"")="","",TRIM(G50&amp;""))</f>
        <v/>
      </c>
      <c r="R50" s="10">
        <f>IF(TRIM(B50&amp;"")="","",IFERROR(INDEX(설정_코드표!$K$2:$K$101,MATCH(TRIM(B50&amp;""),설정_코드표!$J$2:$J$101,0)),"⚠"&amp;TRIM(B50&amp;"")))</f>
        <v/>
      </c>
      <c r="S50" s="10">
        <f>IF(TRIM(K50&amp;"")="","",IFERROR(INDEX(설정_코드표!$K$2:$K$101,MATCH(TRIM(K50&amp;""),설정_코드표!$J$2:$J$101,0)),"⚠"&amp;TRIM(K50&amp;"")))</f>
        <v/>
      </c>
      <c r="T50" s="10">
        <f>IF(TRIM(M50&amp;"")="","",IF(ISNUMBER(MATCH(TRIM(M50&amp;""),설정_코드표!$C$2:$C$11,0)),TRIM(M50&amp;""),"⚠"&amp;TRIM(M50&amp;"")))</f>
        <v/>
      </c>
      <c r="U50" s="10">
        <f>IF(TRIM(L50&amp;"")="","",IFERROR(INDEX(설정_코드표!$G$2:$G$101,MATCH(TRIM(L50&amp;""),설정_코드표!$F$2:$F$101,0)),"⚠"&amp;TRIM(L50&amp;"")))</f>
        <v/>
      </c>
      <c r="V50" s="10">
        <f>IF(AND(ISNUMBER(H50),ISNUMBER(I50)),I50-H50+1,"")</f>
        <v/>
      </c>
      <c r="W50" s="17">
        <f>IF(ISNUMBER(H50),MAX(0,MIN(IF(ISNUMBER(I50),I50,EOMONTH(출력_요약!$B$3,0)),EOMONTH(출력_요약!$B$3,0))-MAX(H50,출력_요약!$B$3)+1),0)</f>
        <v/>
      </c>
      <c r="X50" s="10">
        <f>IF(OR(NOT(ISNUMBER(H50)),Q50=""),"",IF(TODAY()&lt;H50,"파견예정",IF(AND(ISNUMBER(I50),TODAY()&gt;I50),"파견종료","파견중")))</f>
        <v/>
      </c>
      <c r="Y50" s="10">
        <f>IF(OR(Q50="",X50=""),"",Q50&amp;"|"&amp;X50)</f>
        <v/>
      </c>
      <c r="Z50" s="10">
        <f>IF(AND(Q50&lt;&gt;"",W50&gt;0),Q50&amp;"|월","")</f>
        <v/>
      </c>
      <c r="AA50" s="10">
        <f>IF(COUNTA(B50:I50,K50:N50)=0,"",IF(Q50="","등록번호 없음",IF(LEFT(R50,1)="⚠","모병원명 미등록",IF(S50="","파견병원 입력",IF(LEFT(S50,1)="⚠","파견병원명 미등록",IF(LEFT(U50,1)="⚠","파견과목 미등록",IF(OR(T50="",LEFT(T50,1)="⚠"),"파견근거 확인",IF(NOT(AND(ISNUMBER(H50),ISNUMBER(I50))),"날짜 형식/누락",IF(I50&lt;H50,"종료일&lt;시작일","")))))))))</f>
        <v/>
      </c>
      <c r="AB50" s="11">
        <f>IF(ISNUMBER(SEARCH("다기관",TRIM(N50&amp;" "&amp;O50))),IFERROR(DATE(VALUE(MID(TRIM(N50&amp;" "&amp;O50),1,4)),VALUE(MID(TRIM(N50&amp;" "&amp;O50),6,2)),VALUE(MID(TRIM(N50&amp;" "&amp;O50),9,2))),IF(ISNUMBER(H50),H50,"")),"")</f>
        <v/>
      </c>
      <c r="AC50" s="11">
        <f>IF(ISNUMBER(SEARCH("다기관",TRIM(N50&amp;" "&amp;O50))),IFERROR(DATE(VALUE(MID(TRIM(N50&amp;" "&amp;O50),12,4)),VALUE(MID(TRIM(N50&amp;" "&amp;O50),17,2)),VALUE(MID(TRIM(N50&amp;" "&amp;O50),20,2))),IF(ISNUMBER(I50),I50,"")),"")</f>
        <v/>
      </c>
      <c r="AD50" s="17">
        <f>IF(AND(ISNUMBER(AB50),ISNUMBER(AC50)),MAX(0,MIN(AC50,EOMONTH(출력_요약!$B$3,0))-MAX(AB50,출력_요약!$B$3)+1),0)</f>
        <v/>
      </c>
      <c r="AE50" s="10">
        <f>IF(AND(Q50&lt;&gt;"",ISNUMBER(AB50)),Q50&amp;"|다기관","")</f>
        <v/>
      </c>
    </row>
    <row r="51">
      <c r="A51" s="15">
        <f>IF(F51="","",ROW()-3)</f>
        <v/>
      </c>
      <c r="B51" s="5" t="n"/>
      <c r="C51" s="15" t="n"/>
      <c r="D51" s="5" t="n"/>
      <c r="E51" s="15" t="n"/>
      <c r="F51" s="5" t="n"/>
      <c r="G51" s="6" t="n"/>
      <c r="H51" s="16" t="n"/>
      <c r="I51" s="16" t="n"/>
      <c r="J51" s="15">
        <f>IF(AND(ISNUMBER(H51),ISNUMBER(I51)),I51-H51+1,"")</f>
        <v/>
      </c>
      <c r="K51" s="5" t="n"/>
      <c r="L51" s="5" t="n"/>
      <c r="M51" s="5" t="n"/>
      <c r="N51" s="5" t="n"/>
      <c r="O51" s="5" t="n"/>
      <c r="Q51" s="10">
        <f>IF(TRIM(G51&amp;"")="","",TRIM(G51&amp;""))</f>
        <v/>
      </c>
      <c r="R51" s="10">
        <f>IF(TRIM(B51&amp;"")="","",IFERROR(INDEX(설정_코드표!$K$2:$K$101,MATCH(TRIM(B51&amp;""),설정_코드표!$J$2:$J$101,0)),"⚠"&amp;TRIM(B51&amp;"")))</f>
        <v/>
      </c>
      <c r="S51" s="10">
        <f>IF(TRIM(K51&amp;"")="","",IFERROR(INDEX(설정_코드표!$K$2:$K$101,MATCH(TRIM(K51&amp;""),설정_코드표!$J$2:$J$101,0)),"⚠"&amp;TRIM(K51&amp;"")))</f>
        <v/>
      </c>
      <c r="T51" s="10">
        <f>IF(TRIM(M51&amp;"")="","",IF(ISNUMBER(MATCH(TRIM(M51&amp;""),설정_코드표!$C$2:$C$11,0)),TRIM(M51&amp;""),"⚠"&amp;TRIM(M51&amp;"")))</f>
        <v/>
      </c>
      <c r="U51" s="10">
        <f>IF(TRIM(L51&amp;"")="","",IFERROR(INDEX(설정_코드표!$G$2:$G$101,MATCH(TRIM(L51&amp;""),설정_코드표!$F$2:$F$101,0)),"⚠"&amp;TRIM(L51&amp;"")))</f>
        <v/>
      </c>
      <c r="V51" s="10">
        <f>IF(AND(ISNUMBER(H51),ISNUMBER(I51)),I51-H51+1,"")</f>
        <v/>
      </c>
      <c r="W51" s="17">
        <f>IF(ISNUMBER(H51),MAX(0,MIN(IF(ISNUMBER(I51),I51,EOMONTH(출력_요약!$B$3,0)),EOMONTH(출력_요약!$B$3,0))-MAX(H51,출력_요약!$B$3)+1),0)</f>
        <v/>
      </c>
      <c r="X51" s="10">
        <f>IF(OR(NOT(ISNUMBER(H51)),Q51=""),"",IF(TODAY()&lt;H51,"파견예정",IF(AND(ISNUMBER(I51),TODAY()&gt;I51),"파견종료","파견중")))</f>
        <v/>
      </c>
      <c r="Y51" s="10">
        <f>IF(OR(Q51="",X51=""),"",Q51&amp;"|"&amp;X51)</f>
        <v/>
      </c>
      <c r="Z51" s="10">
        <f>IF(AND(Q51&lt;&gt;"",W51&gt;0),Q51&amp;"|월","")</f>
        <v/>
      </c>
      <c r="AA51" s="10">
        <f>IF(COUNTA(B51:I51,K51:N51)=0,"",IF(Q51="","등록번호 없음",IF(LEFT(R51,1)="⚠","모병원명 미등록",IF(S51="","파견병원 입력",IF(LEFT(S51,1)="⚠","파견병원명 미등록",IF(LEFT(U51,1)="⚠","파견과목 미등록",IF(OR(T51="",LEFT(T51,1)="⚠"),"파견근거 확인",IF(NOT(AND(ISNUMBER(H51),ISNUMBER(I51))),"날짜 형식/누락",IF(I51&lt;H51,"종료일&lt;시작일","")))))))))</f>
        <v/>
      </c>
      <c r="AB51" s="11">
        <f>IF(ISNUMBER(SEARCH("다기관",TRIM(N51&amp;" "&amp;O51))),IFERROR(DATE(VALUE(MID(TRIM(N51&amp;" "&amp;O51),1,4)),VALUE(MID(TRIM(N51&amp;" "&amp;O51),6,2)),VALUE(MID(TRIM(N51&amp;" "&amp;O51),9,2))),IF(ISNUMBER(H51),H51,"")),"")</f>
        <v/>
      </c>
      <c r="AC51" s="11">
        <f>IF(ISNUMBER(SEARCH("다기관",TRIM(N51&amp;" "&amp;O51))),IFERROR(DATE(VALUE(MID(TRIM(N51&amp;" "&amp;O51),12,4)),VALUE(MID(TRIM(N51&amp;" "&amp;O51),17,2)),VALUE(MID(TRIM(N51&amp;" "&amp;O51),20,2))),IF(ISNUMBER(I51),I51,"")),"")</f>
        <v/>
      </c>
      <c r="AD51" s="17">
        <f>IF(AND(ISNUMBER(AB51),ISNUMBER(AC51)),MAX(0,MIN(AC51,EOMONTH(출력_요약!$B$3,0))-MAX(AB51,출력_요약!$B$3)+1),0)</f>
        <v/>
      </c>
      <c r="AE51" s="10">
        <f>IF(AND(Q51&lt;&gt;"",ISNUMBER(AB51)),Q51&amp;"|다기관","")</f>
        <v/>
      </c>
    </row>
    <row r="52">
      <c r="A52" s="15">
        <f>IF(F52="","",ROW()-3)</f>
        <v/>
      </c>
      <c r="B52" s="5" t="n"/>
      <c r="C52" s="15" t="n"/>
      <c r="D52" s="5" t="n"/>
      <c r="E52" s="15" t="n"/>
      <c r="F52" s="5" t="n"/>
      <c r="G52" s="6" t="n"/>
      <c r="H52" s="16" t="n"/>
      <c r="I52" s="16" t="n"/>
      <c r="J52" s="15">
        <f>IF(AND(ISNUMBER(H52),ISNUMBER(I52)),I52-H52+1,"")</f>
        <v/>
      </c>
      <c r="K52" s="5" t="n"/>
      <c r="L52" s="5" t="n"/>
      <c r="M52" s="5" t="n"/>
      <c r="N52" s="5" t="n"/>
      <c r="O52" s="5" t="n"/>
      <c r="Q52" s="10">
        <f>IF(TRIM(G52&amp;"")="","",TRIM(G52&amp;""))</f>
        <v/>
      </c>
      <c r="R52" s="10">
        <f>IF(TRIM(B52&amp;"")="","",IFERROR(INDEX(설정_코드표!$K$2:$K$101,MATCH(TRIM(B52&amp;""),설정_코드표!$J$2:$J$101,0)),"⚠"&amp;TRIM(B52&amp;"")))</f>
        <v/>
      </c>
      <c r="S52" s="10">
        <f>IF(TRIM(K52&amp;"")="","",IFERROR(INDEX(설정_코드표!$K$2:$K$101,MATCH(TRIM(K52&amp;""),설정_코드표!$J$2:$J$101,0)),"⚠"&amp;TRIM(K52&amp;"")))</f>
        <v/>
      </c>
      <c r="T52" s="10">
        <f>IF(TRIM(M52&amp;"")="","",IF(ISNUMBER(MATCH(TRIM(M52&amp;""),설정_코드표!$C$2:$C$11,0)),TRIM(M52&amp;""),"⚠"&amp;TRIM(M52&amp;"")))</f>
        <v/>
      </c>
      <c r="U52" s="10">
        <f>IF(TRIM(L52&amp;"")="","",IFERROR(INDEX(설정_코드표!$G$2:$G$101,MATCH(TRIM(L52&amp;""),설정_코드표!$F$2:$F$101,0)),"⚠"&amp;TRIM(L52&amp;"")))</f>
        <v/>
      </c>
      <c r="V52" s="10">
        <f>IF(AND(ISNUMBER(H52),ISNUMBER(I52)),I52-H52+1,"")</f>
        <v/>
      </c>
      <c r="W52" s="17">
        <f>IF(ISNUMBER(H52),MAX(0,MIN(IF(ISNUMBER(I52),I52,EOMONTH(출력_요약!$B$3,0)),EOMONTH(출력_요약!$B$3,0))-MAX(H52,출력_요약!$B$3)+1),0)</f>
        <v/>
      </c>
      <c r="X52" s="10">
        <f>IF(OR(NOT(ISNUMBER(H52)),Q52=""),"",IF(TODAY()&lt;H52,"파견예정",IF(AND(ISNUMBER(I52),TODAY()&gt;I52),"파견종료","파견중")))</f>
        <v/>
      </c>
      <c r="Y52" s="10">
        <f>IF(OR(Q52="",X52=""),"",Q52&amp;"|"&amp;X52)</f>
        <v/>
      </c>
      <c r="Z52" s="10">
        <f>IF(AND(Q52&lt;&gt;"",W52&gt;0),Q52&amp;"|월","")</f>
        <v/>
      </c>
      <c r="AA52" s="10">
        <f>IF(COUNTA(B52:I52,K52:N52)=0,"",IF(Q52="","등록번호 없음",IF(LEFT(R52,1)="⚠","모병원명 미등록",IF(S52="","파견병원 입력",IF(LEFT(S52,1)="⚠","파견병원명 미등록",IF(LEFT(U52,1)="⚠","파견과목 미등록",IF(OR(T52="",LEFT(T52,1)="⚠"),"파견근거 확인",IF(NOT(AND(ISNUMBER(H52),ISNUMBER(I52))),"날짜 형식/누락",IF(I52&lt;H52,"종료일&lt;시작일","")))))))))</f>
        <v/>
      </c>
      <c r="AB52" s="11">
        <f>IF(ISNUMBER(SEARCH("다기관",TRIM(N52&amp;" "&amp;O52))),IFERROR(DATE(VALUE(MID(TRIM(N52&amp;" "&amp;O52),1,4)),VALUE(MID(TRIM(N52&amp;" "&amp;O52),6,2)),VALUE(MID(TRIM(N52&amp;" "&amp;O52),9,2))),IF(ISNUMBER(H52),H52,"")),"")</f>
        <v/>
      </c>
      <c r="AC52" s="11">
        <f>IF(ISNUMBER(SEARCH("다기관",TRIM(N52&amp;" "&amp;O52))),IFERROR(DATE(VALUE(MID(TRIM(N52&amp;" "&amp;O52),12,4)),VALUE(MID(TRIM(N52&amp;" "&amp;O52),17,2)),VALUE(MID(TRIM(N52&amp;" "&amp;O52),20,2))),IF(ISNUMBER(I52),I52,"")),"")</f>
        <v/>
      </c>
      <c r="AD52" s="17">
        <f>IF(AND(ISNUMBER(AB52),ISNUMBER(AC52)),MAX(0,MIN(AC52,EOMONTH(출력_요약!$B$3,0))-MAX(AB52,출력_요약!$B$3)+1),0)</f>
        <v/>
      </c>
      <c r="AE52" s="10">
        <f>IF(AND(Q52&lt;&gt;"",ISNUMBER(AB52)),Q52&amp;"|다기관","")</f>
        <v/>
      </c>
    </row>
    <row r="53">
      <c r="A53" s="15">
        <f>IF(F53="","",ROW()-3)</f>
        <v/>
      </c>
      <c r="B53" s="5" t="n"/>
      <c r="C53" s="15" t="n"/>
      <c r="D53" s="5" t="n"/>
      <c r="E53" s="15" t="n"/>
      <c r="F53" s="5" t="n"/>
      <c r="G53" s="6" t="n"/>
      <c r="H53" s="16" t="n"/>
      <c r="I53" s="16" t="n"/>
      <c r="J53" s="15">
        <f>IF(AND(ISNUMBER(H53),ISNUMBER(I53)),I53-H53+1,"")</f>
        <v/>
      </c>
      <c r="K53" s="5" t="n"/>
      <c r="L53" s="5" t="n"/>
      <c r="M53" s="5" t="n"/>
      <c r="N53" s="5" t="n"/>
      <c r="O53" s="5" t="n"/>
      <c r="Q53" s="10">
        <f>IF(TRIM(G53&amp;"")="","",TRIM(G53&amp;""))</f>
        <v/>
      </c>
      <c r="R53" s="10">
        <f>IF(TRIM(B53&amp;"")="","",IFERROR(INDEX(설정_코드표!$K$2:$K$101,MATCH(TRIM(B53&amp;""),설정_코드표!$J$2:$J$101,0)),"⚠"&amp;TRIM(B53&amp;"")))</f>
        <v/>
      </c>
      <c r="S53" s="10">
        <f>IF(TRIM(K53&amp;"")="","",IFERROR(INDEX(설정_코드표!$K$2:$K$101,MATCH(TRIM(K53&amp;""),설정_코드표!$J$2:$J$101,0)),"⚠"&amp;TRIM(K53&amp;"")))</f>
        <v/>
      </c>
      <c r="T53" s="10">
        <f>IF(TRIM(M53&amp;"")="","",IF(ISNUMBER(MATCH(TRIM(M53&amp;""),설정_코드표!$C$2:$C$11,0)),TRIM(M53&amp;""),"⚠"&amp;TRIM(M53&amp;"")))</f>
        <v/>
      </c>
      <c r="U53" s="10">
        <f>IF(TRIM(L53&amp;"")="","",IFERROR(INDEX(설정_코드표!$G$2:$G$101,MATCH(TRIM(L53&amp;""),설정_코드표!$F$2:$F$101,0)),"⚠"&amp;TRIM(L53&amp;"")))</f>
        <v/>
      </c>
      <c r="V53" s="10">
        <f>IF(AND(ISNUMBER(H53),ISNUMBER(I53)),I53-H53+1,"")</f>
        <v/>
      </c>
      <c r="W53" s="17">
        <f>IF(ISNUMBER(H53),MAX(0,MIN(IF(ISNUMBER(I53),I53,EOMONTH(출력_요약!$B$3,0)),EOMONTH(출력_요약!$B$3,0))-MAX(H53,출력_요약!$B$3)+1),0)</f>
        <v/>
      </c>
      <c r="X53" s="10">
        <f>IF(OR(NOT(ISNUMBER(H53)),Q53=""),"",IF(TODAY()&lt;H53,"파견예정",IF(AND(ISNUMBER(I53),TODAY()&gt;I53),"파견종료","파견중")))</f>
        <v/>
      </c>
      <c r="Y53" s="10">
        <f>IF(OR(Q53="",X53=""),"",Q53&amp;"|"&amp;X53)</f>
        <v/>
      </c>
      <c r="Z53" s="10">
        <f>IF(AND(Q53&lt;&gt;"",W53&gt;0),Q53&amp;"|월","")</f>
        <v/>
      </c>
      <c r="AA53" s="10">
        <f>IF(COUNTA(B53:I53,K53:N53)=0,"",IF(Q53="","등록번호 없음",IF(LEFT(R53,1)="⚠","모병원명 미등록",IF(S53="","파견병원 입력",IF(LEFT(S53,1)="⚠","파견병원명 미등록",IF(LEFT(U53,1)="⚠","파견과목 미등록",IF(OR(T53="",LEFT(T53,1)="⚠"),"파견근거 확인",IF(NOT(AND(ISNUMBER(H53),ISNUMBER(I53))),"날짜 형식/누락",IF(I53&lt;H53,"종료일&lt;시작일","")))))))))</f>
        <v/>
      </c>
      <c r="AB53" s="11">
        <f>IF(ISNUMBER(SEARCH("다기관",TRIM(N53&amp;" "&amp;O53))),IFERROR(DATE(VALUE(MID(TRIM(N53&amp;" "&amp;O53),1,4)),VALUE(MID(TRIM(N53&amp;" "&amp;O53),6,2)),VALUE(MID(TRIM(N53&amp;" "&amp;O53),9,2))),IF(ISNUMBER(H53),H53,"")),"")</f>
        <v/>
      </c>
      <c r="AC53" s="11">
        <f>IF(ISNUMBER(SEARCH("다기관",TRIM(N53&amp;" "&amp;O53))),IFERROR(DATE(VALUE(MID(TRIM(N53&amp;" "&amp;O53),12,4)),VALUE(MID(TRIM(N53&amp;" "&amp;O53),17,2)),VALUE(MID(TRIM(N53&amp;" "&amp;O53),20,2))),IF(ISNUMBER(I53),I53,"")),"")</f>
        <v/>
      </c>
      <c r="AD53" s="17">
        <f>IF(AND(ISNUMBER(AB53),ISNUMBER(AC53)),MAX(0,MIN(AC53,EOMONTH(출력_요약!$B$3,0))-MAX(AB53,출력_요약!$B$3)+1),0)</f>
        <v/>
      </c>
      <c r="AE53" s="10">
        <f>IF(AND(Q53&lt;&gt;"",ISNUMBER(AB53)),Q53&amp;"|다기관","")</f>
        <v/>
      </c>
    </row>
    <row r="54">
      <c r="A54" s="15">
        <f>IF(F54="","",ROW()-3)</f>
        <v/>
      </c>
      <c r="B54" s="5" t="n"/>
      <c r="C54" s="15" t="n"/>
      <c r="D54" s="5" t="n"/>
      <c r="E54" s="15" t="n"/>
      <c r="F54" s="5" t="n"/>
      <c r="G54" s="6" t="n"/>
      <c r="H54" s="16" t="n"/>
      <c r="I54" s="16" t="n"/>
      <c r="J54" s="15">
        <f>IF(AND(ISNUMBER(H54),ISNUMBER(I54)),I54-H54+1,"")</f>
        <v/>
      </c>
      <c r="K54" s="5" t="n"/>
      <c r="L54" s="5" t="n"/>
      <c r="M54" s="5" t="n"/>
      <c r="N54" s="5" t="n"/>
      <c r="O54" s="5" t="n"/>
      <c r="Q54" s="10">
        <f>IF(TRIM(G54&amp;"")="","",TRIM(G54&amp;""))</f>
        <v/>
      </c>
      <c r="R54" s="10">
        <f>IF(TRIM(B54&amp;"")="","",IFERROR(INDEX(설정_코드표!$K$2:$K$101,MATCH(TRIM(B54&amp;""),설정_코드표!$J$2:$J$101,0)),"⚠"&amp;TRIM(B54&amp;"")))</f>
        <v/>
      </c>
      <c r="S54" s="10">
        <f>IF(TRIM(K54&amp;"")="","",IFERROR(INDEX(설정_코드표!$K$2:$K$101,MATCH(TRIM(K54&amp;""),설정_코드표!$J$2:$J$101,0)),"⚠"&amp;TRIM(K54&amp;"")))</f>
        <v/>
      </c>
      <c r="T54" s="10">
        <f>IF(TRIM(M54&amp;"")="","",IF(ISNUMBER(MATCH(TRIM(M54&amp;""),설정_코드표!$C$2:$C$11,0)),TRIM(M54&amp;""),"⚠"&amp;TRIM(M54&amp;"")))</f>
        <v/>
      </c>
      <c r="U54" s="10">
        <f>IF(TRIM(L54&amp;"")="","",IFERROR(INDEX(설정_코드표!$G$2:$G$101,MATCH(TRIM(L54&amp;""),설정_코드표!$F$2:$F$101,0)),"⚠"&amp;TRIM(L54&amp;"")))</f>
        <v/>
      </c>
      <c r="V54" s="10">
        <f>IF(AND(ISNUMBER(H54),ISNUMBER(I54)),I54-H54+1,"")</f>
        <v/>
      </c>
      <c r="W54" s="17">
        <f>IF(ISNUMBER(H54),MAX(0,MIN(IF(ISNUMBER(I54),I54,EOMONTH(출력_요약!$B$3,0)),EOMONTH(출력_요약!$B$3,0))-MAX(H54,출력_요약!$B$3)+1),0)</f>
        <v/>
      </c>
      <c r="X54" s="10">
        <f>IF(OR(NOT(ISNUMBER(H54)),Q54=""),"",IF(TODAY()&lt;H54,"파견예정",IF(AND(ISNUMBER(I54),TODAY()&gt;I54),"파견종료","파견중")))</f>
        <v/>
      </c>
      <c r="Y54" s="10">
        <f>IF(OR(Q54="",X54=""),"",Q54&amp;"|"&amp;X54)</f>
        <v/>
      </c>
      <c r="Z54" s="10">
        <f>IF(AND(Q54&lt;&gt;"",W54&gt;0),Q54&amp;"|월","")</f>
        <v/>
      </c>
      <c r="AA54" s="10">
        <f>IF(COUNTA(B54:I54,K54:N54)=0,"",IF(Q54="","등록번호 없음",IF(LEFT(R54,1)="⚠","모병원명 미등록",IF(S54="","파견병원 입력",IF(LEFT(S54,1)="⚠","파견병원명 미등록",IF(LEFT(U54,1)="⚠","파견과목 미등록",IF(OR(T54="",LEFT(T54,1)="⚠"),"파견근거 확인",IF(NOT(AND(ISNUMBER(H54),ISNUMBER(I54))),"날짜 형식/누락",IF(I54&lt;H54,"종료일&lt;시작일","")))))))))</f>
        <v/>
      </c>
      <c r="AB54" s="11">
        <f>IF(ISNUMBER(SEARCH("다기관",TRIM(N54&amp;" "&amp;O54))),IFERROR(DATE(VALUE(MID(TRIM(N54&amp;" "&amp;O54),1,4)),VALUE(MID(TRIM(N54&amp;" "&amp;O54),6,2)),VALUE(MID(TRIM(N54&amp;" "&amp;O54),9,2))),IF(ISNUMBER(H54),H54,"")),"")</f>
        <v/>
      </c>
      <c r="AC54" s="11">
        <f>IF(ISNUMBER(SEARCH("다기관",TRIM(N54&amp;" "&amp;O54))),IFERROR(DATE(VALUE(MID(TRIM(N54&amp;" "&amp;O54),12,4)),VALUE(MID(TRIM(N54&amp;" "&amp;O54),17,2)),VALUE(MID(TRIM(N54&amp;" "&amp;O54),20,2))),IF(ISNUMBER(I54),I54,"")),"")</f>
        <v/>
      </c>
      <c r="AD54" s="17">
        <f>IF(AND(ISNUMBER(AB54),ISNUMBER(AC54)),MAX(0,MIN(AC54,EOMONTH(출력_요약!$B$3,0))-MAX(AB54,출력_요약!$B$3)+1),0)</f>
        <v/>
      </c>
      <c r="AE54" s="10">
        <f>IF(AND(Q54&lt;&gt;"",ISNUMBER(AB54)),Q54&amp;"|다기관","")</f>
        <v/>
      </c>
    </row>
    <row r="55">
      <c r="A55" s="15">
        <f>IF(F55="","",ROW()-3)</f>
        <v/>
      </c>
      <c r="B55" s="5" t="n"/>
      <c r="C55" s="15" t="n"/>
      <c r="D55" s="5" t="n"/>
      <c r="E55" s="15" t="n"/>
      <c r="F55" s="5" t="n"/>
      <c r="G55" s="6" t="n"/>
      <c r="H55" s="16" t="n"/>
      <c r="I55" s="16" t="n"/>
      <c r="J55" s="15">
        <f>IF(AND(ISNUMBER(H55),ISNUMBER(I55)),I55-H55+1,"")</f>
        <v/>
      </c>
      <c r="K55" s="5" t="n"/>
      <c r="L55" s="5" t="n"/>
      <c r="M55" s="5" t="n"/>
      <c r="N55" s="5" t="n"/>
      <c r="O55" s="5" t="n"/>
      <c r="Q55" s="10">
        <f>IF(TRIM(G55&amp;"")="","",TRIM(G55&amp;""))</f>
        <v/>
      </c>
      <c r="R55" s="10">
        <f>IF(TRIM(B55&amp;"")="","",IFERROR(INDEX(설정_코드표!$K$2:$K$101,MATCH(TRIM(B55&amp;""),설정_코드표!$J$2:$J$101,0)),"⚠"&amp;TRIM(B55&amp;"")))</f>
        <v/>
      </c>
      <c r="S55" s="10">
        <f>IF(TRIM(K55&amp;"")="","",IFERROR(INDEX(설정_코드표!$K$2:$K$101,MATCH(TRIM(K55&amp;""),설정_코드표!$J$2:$J$101,0)),"⚠"&amp;TRIM(K55&amp;"")))</f>
        <v/>
      </c>
      <c r="T55" s="10">
        <f>IF(TRIM(M55&amp;"")="","",IF(ISNUMBER(MATCH(TRIM(M55&amp;""),설정_코드표!$C$2:$C$11,0)),TRIM(M55&amp;""),"⚠"&amp;TRIM(M55&amp;"")))</f>
        <v/>
      </c>
      <c r="U55" s="10">
        <f>IF(TRIM(L55&amp;"")="","",IFERROR(INDEX(설정_코드표!$G$2:$G$101,MATCH(TRIM(L55&amp;""),설정_코드표!$F$2:$F$101,0)),"⚠"&amp;TRIM(L55&amp;"")))</f>
        <v/>
      </c>
      <c r="V55" s="10">
        <f>IF(AND(ISNUMBER(H55),ISNUMBER(I55)),I55-H55+1,"")</f>
        <v/>
      </c>
      <c r="W55" s="17">
        <f>IF(ISNUMBER(H55),MAX(0,MIN(IF(ISNUMBER(I55),I55,EOMONTH(출력_요약!$B$3,0)),EOMONTH(출력_요약!$B$3,0))-MAX(H55,출력_요약!$B$3)+1),0)</f>
        <v/>
      </c>
      <c r="X55" s="10">
        <f>IF(OR(NOT(ISNUMBER(H55)),Q55=""),"",IF(TODAY()&lt;H55,"파견예정",IF(AND(ISNUMBER(I55),TODAY()&gt;I55),"파견종료","파견중")))</f>
        <v/>
      </c>
      <c r="Y55" s="10">
        <f>IF(OR(Q55="",X55=""),"",Q55&amp;"|"&amp;X55)</f>
        <v/>
      </c>
      <c r="Z55" s="10">
        <f>IF(AND(Q55&lt;&gt;"",W55&gt;0),Q55&amp;"|월","")</f>
        <v/>
      </c>
      <c r="AA55" s="10">
        <f>IF(COUNTA(B55:I55,K55:N55)=0,"",IF(Q55="","등록번호 없음",IF(LEFT(R55,1)="⚠","모병원명 미등록",IF(S55="","파견병원 입력",IF(LEFT(S55,1)="⚠","파견병원명 미등록",IF(LEFT(U55,1)="⚠","파견과목 미등록",IF(OR(T55="",LEFT(T55,1)="⚠"),"파견근거 확인",IF(NOT(AND(ISNUMBER(H55),ISNUMBER(I55))),"날짜 형식/누락",IF(I55&lt;H55,"종료일&lt;시작일","")))))))))</f>
        <v/>
      </c>
      <c r="AB55" s="11">
        <f>IF(ISNUMBER(SEARCH("다기관",TRIM(N55&amp;" "&amp;O55))),IFERROR(DATE(VALUE(MID(TRIM(N55&amp;" "&amp;O55),1,4)),VALUE(MID(TRIM(N55&amp;" "&amp;O55),6,2)),VALUE(MID(TRIM(N55&amp;" "&amp;O55),9,2))),IF(ISNUMBER(H55),H55,"")),"")</f>
        <v/>
      </c>
      <c r="AC55" s="11">
        <f>IF(ISNUMBER(SEARCH("다기관",TRIM(N55&amp;" "&amp;O55))),IFERROR(DATE(VALUE(MID(TRIM(N55&amp;" "&amp;O55),12,4)),VALUE(MID(TRIM(N55&amp;" "&amp;O55),17,2)),VALUE(MID(TRIM(N55&amp;" "&amp;O55),20,2))),IF(ISNUMBER(I55),I55,"")),"")</f>
        <v/>
      </c>
      <c r="AD55" s="17">
        <f>IF(AND(ISNUMBER(AB55),ISNUMBER(AC55)),MAX(0,MIN(AC55,EOMONTH(출력_요약!$B$3,0))-MAX(AB55,출력_요약!$B$3)+1),0)</f>
        <v/>
      </c>
      <c r="AE55" s="10">
        <f>IF(AND(Q55&lt;&gt;"",ISNUMBER(AB55)),Q55&amp;"|다기관","")</f>
        <v/>
      </c>
    </row>
    <row r="56">
      <c r="A56" s="15">
        <f>IF(F56="","",ROW()-3)</f>
        <v/>
      </c>
      <c r="B56" s="5" t="n"/>
      <c r="C56" s="15" t="n"/>
      <c r="D56" s="5" t="n"/>
      <c r="E56" s="15" t="n"/>
      <c r="F56" s="5" t="n"/>
      <c r="G56" s="6" t="n"/>
      <c r="H56" s="16" t="n"/>
      <c r="I56" s="16" t="n"/>
      <c r="J56" s="15">
        <f>IF(AND(ISNUMBER(H56),ISNUMBER(I56)),I56-H56+1,"")</f>
        <v/>
      </c>
      <c r="K56" s="5" t="n"/>
      <c r="L56" s="5" t="n"/>
      <c r="M56" s="5" t="n"/>
      <c r="N56" s="5" t="n"/>
      <c r="O56" s="5" t="n"/>
      <c r="Q56" s="10">
        <f>IF(TRIM(G56&amp;"")="","",TRIM(G56&amp;""))</f>
        <v/>
      </c>
      <c r="R56" s="10">
        <f>IF(TRIM(B56&amp;"")="","",IFERROR(INDEX(설정_코드표!$K$2:$K$101,MATCH(TRIM(B56&amp;""),설정_코드표!$J$2:$J$101,0)),"⚠"&amp;TRIM(B56&amp;"")))</f>
        <v/>
      </c>
      <c r="S56" s="10">
        <f>IF(TRIM(K56&amp;"")="","",IFERROR(INDEX(설정_코드표!$K$2:$K$101,MATCH(TRIM(K56&amp;""),설정_코드표!$J$2:$J$101,0)),"⚠"&amp;TRIM(K56&amp;"")))</f>
        <v/>
      </c>
      <c r="T56" s="10">
        <f>IF(TRIM(M56&amp;"")="","",IF(ISNUMBER(MATCH(TRIM(M56&amp;""),설정_코드표!$C$2:$C$11,0)),TRIM(M56&amp;""),"⚠"&amp;TRIM(M56&amp;"")))</f>
        <v/>
      </c>
      <c r="U56" s="10">
        <f>IF(TRIM(L56&amp;"")="","",IFERROR(INDEX(설정_코드표!$G$2:$G$101,MATCH(TRIM(L56&amp;""),설정_코드표!$F$2:$F$101,0)),"⚠"&amp;TRIM(L56&amp;"")))</f>
        <v/>
      </c>
      <c r="V56" s="10">
        <f>IF(AND(ISNUMBER(H56),ISNUMBER(I56)),I56-H56+1,"")</f>
        <v/>
      </c>
      <c r="W56" s="17">
        <f>IF(ISNUMBER(H56),MAX(0,MIN(IF(ISNUMBER(I56),I56,EOMONTH(출력_요약!$B$3,0)),EOMONTH(출력_요약!$B$3,0))-MAX(H56,출력_요약!$B$3)+1),0)</f>
        <v/>
      </c>
      <c r="X56" s="10">
        <f>IF(OR(NOT(ISNUMBER(H56)),Q56=""),"",IF(TODAY()&lt;H56,"파견예정",IF(AND(ISNUMBER(I56),TODAY()&gt;I56),"파견종료","파견중")))</f>
        <v/>
      </c>
      <c r="Y56" s="10">
        <f>IF(OR(Q56="",X56=""),"",Q56&amp;"|"&amp;X56)</f>
        <v/>
      </c>
      <c r="Z56" s="10">
        <f>IF(AND(Q56&lt;&gt;"",W56&gt;0),Q56&amp;"|월","")</f>
        <v/>
      </c>
      <c r="AA56" s="10">
        <f>IF(COUNTA(B56:I56,K56:N56)=0,"",IF(Q56="","등록번호 없음",IF(LEFT(R56,1)="⚠","모병원명 미등록",IF(S56="","파견병원 입력",IF(LEFT(S56,1)="⚠","파견병원명 미등록",IF(LEFT(U56,1)="⚠","파견과목 미등록",IF(OR(T56="",LEFT(T56,1)="⚠"),"파견근거 확인",IF(NOT(AND(ISNUMBER(H56),ISNUMBER(I56))),"날짜 형식/누락",IF(I56&lt;H56,"종료일&lt;시작일","")))))))))</f>
        <v/>
      </c>
      <c r="AB56" s="11">
        <f>IF(ISNUMBER(SEARCH("다기관",TRIM(N56&amp;" "&amp;O56))),IFERROR(DATE(VALUE(MID(TRIM(N56&amp;" "&amp;O56),1,4)),VALUE(MID(TRIM(N56&amp;" "&amp;O56),6,2)),VALUE(MID(TRIM(N56&amp;" "&amp;O56),9,2))),IF(ISNUMBER(H56),H56,"")),"")</f>
        <v/>
      </c>
      <c r="AC56" s="11">
        <f>IF(ISNUMBER(SEARCH("다기관",TRIM(N56&amp;" "&amp;O56))),IFERROR(DATE(VALUE(MID(TRIM(N56&amp;" "&amp;O56),12,4)),VALUE(MID(TRIM(N56&amp;" "&amp;O56),17,2)),VALUE(MID(TRIM(N56&amp;" "&amp;O56),20,2))),IF(ISNUMBER(I56),I56,"")),"")</f>
        <v/>
      </c>
      <c r="AD56" s="17">
        <f>IF(AND(ISNUMBER(AB56),ISNUMBER(AC56)),MAX(0,MIN(AC56,EOMONTH(출력_요약!$B$3,0))-MAX(AB56,출력_요약!$B$3)+1),0)</f>
        <v/>
      </c>
      <c r="AE56" s="10">
        <f>IF(AND(Q56&lt;&gt;"",ISNUMBER(AB56)),Q56&amp;"|다기관","")</f>
        <v/>
      </c>
    </row>
    <row r="57">
      <c r="A57" s="15">
        <f>IF(F57="","",ROW()-3)</f>
        <v/>
      </c>
      <c r="B57" s="5" t="n"/>
      <c r="C57" s="15" t="n"/>
      <c r="D57" s="5" t="n"/>
      <c r="E57" s="15" t="n"/>
      <c r="F57" s="5" t="n"/>
      <c r="G57" s="6" t="n"/>
      <c r="H57" s="16" t="n"/>
      <c r="I57" s="16" t="n"/>
      <c r="J57" s="15">
        <f>IF(AND(ISNUMBER(H57),ISNUMBER(I57)),I57-H57+1,"")</f>
        <v/>
      </c>
      <c r="K57" s="5" t="n"/>
      <c r="L57" s="5" t="n"/>
      <c r="M57" s="5" t="n"/>
      <c r="N57" s="5" t="n"/>
      <c r="O57" s="5" t="n"/>
      <c r="Q57" s="10">
        <f>IF(TRIM(G57&amp;"")="","",TRIM(G57&amp;""))</f>
        <v/>
      </c>
      <c r="R57" s="10">
        <f>IF(TRIM(B57&amp;"")="","",IFERROR(INDEX(설정_코드표!$K$2:$K$101,MATCH(TRIM(B57&amp;""),설정_코드표!$J$2:$J$101,0)),"⚠"&amp;TRIM(B57&amp;"")))</f>
        <v/>
      </c>
      <c r="S57" s="10">
        <f>IF(TRIM(K57&amp;"")="","",IFERROR(INDEX(설정_코드표!$K$2:$K$101,MATCH(TRIM(K57&amp;""),설정_코드표!$J$2:$J$101,0)),"⚠"&amp;TRIM(K57&amp;"")))</f>
        <v/>
      </c>
      <c r="T57" s="10">
        <f>IF(TRIM(M57&amp;"")="","",IF(ISNUMBER(MATCH(TRIM(M57&amp;""),설정_코드표!$C$2:$C$11,0)),TRIM(M57&amp;""),"⚠"&amp;TRIM(M57&amp;"")))</f>
        <v/>
      </c>
      <c r="U57" s="10">
        <f>IF(TRIM(L57&amp;"")="","",IFERROR(INDEX(설정_코드표!$G$2:$G$101,MATCH(TRIM(L57&amp;""),설정_코드표!$F$2:$F$101,0)),"⚠"&amp;TRIM(L57&amp;"")))</f>
        <v/>
      </c>
      <c r="V57" s="10">
        <f>IF(AND(ISNUMBER(H57),ISNUMBER(I57)),I57-H57+1,"")</f>
        <v/>
      </c>
      <c r="W57" s="17">
        <f>IF(ISNUMBER(H57),MAX(0,MIN(IF(ISNUMBER(I57),I57,EOMONTH(출력_요약!$B$3,0)),EOMONTH(출력_요약!$B$3,0))-MAX(H57,출력_요약!$B$3)+1),0)</f>
        <v/>
      </c>
      <c r="X57" s="10">
        <f>IF(OR(NOT(ISNUMBER(H57)),Q57=""),"",IF(TODAY()&lt;H57,"파견예정",IF(AND(ISNUMBER(I57),TODAY()&gt;I57),"파견종료","파견중")))</f>
        <v/>
      </c>
      <c r="Y57" s="10">
        <f>IF(OR(Q57="",X57=""),"",Q57&amp;"|"&amp;X57)</f>
        <v/>
      </c>
      <c r="Z57" s="10">
        <f>IF(AND(Q57&lt;&gt;"",W57&gt;0),Q57&amp;"|월","")</f>
        <v/>
      </c>
      <c r="AA57" s="10">
        <f>IF(COUNTA(B57:I57,K57:N57)=0,"",IF(Q57="","등록번호 없음",IF(LEFT(R57,1)="⚠","모병원명 미등록",IF(S57="","파견병원 입력",IF(LEFT(S57,1)="⚠","파견병원명 미등록",IF(LEFT(U57,1)="⚠","파견과목 미등록",IF(OR(T57="",LEFT(T57,1)="⚠"),"파견근거 확인",IF(NOT(AND(ISNUMBER(H57),ISNUMBER(I57))),"날짜 형식/누락",IF(I57&lt;H57,"종료일&lt;시작일","")))))))))</f>
        <v/>
      </c>
      <c r="AB57" s="11">
        <f>IF(ISNUMBER(SEARCH("다기관",TRIM(N57&amp;" "&amp;O57))),IFERROR(DATE(VALUE(MID(TRIM(N57&amp;" "&amp;O57),1,4)),VALUE(MID(TRIM(N57&amp;" "&amp;O57),6,2)),VALUE(MID(TRIM(N57&amp;" "&amp;O57),9,2))),IF(ISNUMBER(H57),H57,"")),"")</f>
        <v/>
      </c>
      <c r="AC57" s="11">
        <f>IF(ISNUMBER(SEARCH("다기관",TRIM(N57&amp;" "&amp;O57))),IFERROR(DATE(VALUE(MID(TRIM(N57&amp;" "&amp;O57),12,4)),VALUE(MID(TRIM(N57&amp;" "&amp;O57),17,2)),VALUE(MID(TRIM(N57&amp;" "&amp;O57),20,2))),IF(ISNUMBER(I57),I57,"")),"")</f>
        <v/>
      </c>
      <c r="AD57" s="17">
        <f>IF(AND(ISNUMBER(AB57),ISNUMBER(AC57)),MAX(0,MIN(AC57,EOMONTH(출력_요약!$B$3,0))-MAX(AB57,출력_요약!$B$3)+1),0)</f>
        <v/>
      </c>
      <c r="AE57" s="10">
        <f>IF(AND(Q57&lt;&gt;"",ISNUMBER(AB57)),Q57&amp;"|다기관","")</f>
        <v/>
      </c>
    </row>
    <row r="58">
      <c r="A58" s="15">
        <f>IF(F58="","",ROW()-3)</f>
        <v/>
      </c>
      <c r="B58" s="5" t="n"/>
      <c r="C58" s="15" t="n"/>
      <c r="D58" s="5" t="n"/>
      <c r="E58" s="15" t="n"/>
      <c r="F58" s="5" t="n"/>
      <c r="G58" s="6" t="n"/>
      <c r="H58" s="16" t="n"/>
      <c r="I58" s="16" t="n"/>
      <c r="J58" s="15">
        <f>IF(AND(ISNUMBER(H58),ISNUMBER(I58)),I58-H58+1,"")</f>
        <v/>
      </c>
      <c r="K58" s="5" t="n"/>
      <c r="L58" s="5" t="n"/>
      <c r="M58" s="5" t="n"/>
      <c r="N58" s="5" t="n"/>
      <c r="O58" s="5" t="n"/>
      <c r="Q58" s="10">
        <f>IF(TRIM(G58&amp;"")="","",TRIM(G58&amp;""))</f>
        <v/>
      </c>
      <c r="R58" s="10">
        <f>IF(TRIM(B58&amp;"")="","",IFERROR(INDEX(설정_코드표!$K$2:$K$101,MATCH(TRIM(B58&amp;""),설정_코드표!$J$2:$J$101,0)),"⚠"&amp;TRIM(B58&amp;"")))</f>
        <v/>
      </c>
      <c r="S58" s="10">
        <f>IF(TRIM(K58&amp;"")="","",IFERROR(INDEX(설정_코드표!$K$2:$K$101,MATCH(TRIM(K58&amp;""),설정_코드표!$J$2:$J$101,0)),"⚠"&amp;TRIM(K58&amp;"")))</f>
        <v/>
      </c>
      <c r="T58" s="10">
        <f>IF(TRIM(M58&amp;"")="","",IF(ISNUMBER(MATCH(TRIM(M58&amp;""),설정_코드표!$C$2:$C$11,0)),TRIM(M58&amp;""),"⚠"&amp;TRIM(M58&amp;"")))</f>
        <v/>
      </c>
      <c r="U58" s="10">
        <f>IF(TRIM(L58&amp;"")="","",IFERROR(INDEX(설정_코드표!$G$2:$G$101,MATCH(TRIM(L58&amp;""),설정_코드표!$F$2:$F$101,0)),"⚠"&amp;TRIM(L58&amp;"")))</f>
        <v/>
      </c>
      <c r="V58" s="10">
        <f>IF(AND(ISNUMBER(H58),ISNUMBER(I58)),I58-H58+1,"")</f>
        <v/>
      </c>
      <c r="W58" s="17">
        <f>IF(ISNUMBER(H58),MAX(0,MIN(IF(ISNUMBER(I58),I58,EOMONTH(출력_요약!$B$3,0)),EOMONTH(출력_요약!$B$3,0))-MAX(H58,출력_요약!$B$3)+1),0)</f>
        <v/>
      </c>
      <c r="X58" s="10">
        <f>IF(OR(NOT(ISNUMBER(H58)),Q58=""),"",IF(TODAY()&lt;H58,"파견예정",IF(AND(ISNUMBER(I58),TODAY()&gt;I58),"파견종료","파견중")))</f>
        <v/>
      </c>
      <c r="Y58" s="10">
        <f>IF(OR(Q58="",X58=""),"",Q58&amp;"|"&amp;X58)</f>
        <v/>
      </c>
      <c r="Z58" s="10">
        <f>IF(AND(Q58&lt;&gt;"",W58&gt;0),Q58&amp;"|월","")</f>
        <v/>
      </c>
      <c r="AA58" s="10">
        <f>IF(COUNTA(B58:I58,K58:N58)=0,"",IF(Q58="","등록번호 없음",IF(LEFT(R58,1)="⚠","모병원명 미등록",IF(S58="","파견병원 입력",IF(LEFT(S58,1)="⚠","파견병원명 미등록",IF(LEFT(U58,1)="⚠","파견과목 미등록",IF(OR(T58="",LEFT(T58,1)="⚠"),"파견근거 확인",IF(NOT(AND(ISNUMBER(H58),ISNUMBER(I58))),"날짜 형식/누락",IF(I58&lt;H58,"종료일&lt;시작일","")))))))))</f>
        <v/>
      </c>
      <c r="AB58" s="11">
        <f>IF(ISNUMBER(SEARCH("다기관",TRIM(N58&amp;" "&amp;O58))),IFERROR(DATE(VALUE(MID(TRIM(N58&amp;" "&amp;O58),1,4)),VALUE(MID(TRIM(N58&amp;" "&amp;O58),6,2)),VALUE(MID(TRIM(N58&amp;" "&amp;O58),9,2))),IF(ISNUMBER(H58),H58,"")),"")</f>
        <v/>
      </c>
      <c r="AC58" s="11">
        <f>IF(ISNUMBER(SEARCH("다기관",TRIM(N58&amp;" "&amp;O58))),IFERROR(DATE(VALUE(MID(TRIM(N58&amp;" "&amp;O58),12,4)),VALUE(MID(TRIM(N58&amp;" "&amp;O58),17,2)),VALUE(MID(TRIM(N58&amp;" "&amp;O58),20,2))),IF(ISNUMBER(I58),I58,"")),"")</f>
        <v/>
      </c>
      <c r="AD58" s="17">
        <f>IF(AND(ISNUMBER(AB58),ISNUMBER(AC58)),MAX(0,MIN(AC58,EOMONTH(출력_요약!$B$3,0))-MAX(AB58,출력_요약!$B$3)+1),0)</f>
        <v/>
      </c>
      <c r="AE58" s="10">
        <f>IF(AND(Q58&lt;&gt;"",ISNUMBER(AB58)),Q58&amp;"|다기관","")</f>
        <v/>
      </c>
    </row>
    <row r="59">
      <c r="A59" s="15">
        <f>IF(F59="","",ROW()-3)</f>
        <v/>
      </c>
      <c r="B59" s="5" t="n"/>
      <c r="C59" s="15" t="n"/>
      <c r="D59" s="5" t="n"/>
      <c r="E59" s="15" t="n"/>
      <c r="F59" s="5" t="n"/>
      <c r="G59" s="6" t="n"/>
      <c r="H59" s="16" t="n"/>
      <c r="I59" s="16" t="n"/>
      <c r="J59" s="15">
        <f>IF(AND(ISNUMBER(H59),ISNUMBER(I59)),I59-H59+1,"")</f>
        <v/>
      </c>
      <c r="K59" s="5" t="n"/>
      <c r="L59" s="5" t="n"/>
      <c r="M59" s="5" t="n"/>
      <c r="N59" s="5" t="n"/>
      <c r="O59" s="5" t="n"/>
      <c r="Q59" s="10">
        <f>IF(TRIM(G59&amp;"")="","",TRIM(G59&amp;""))</f>
        <v/>
      </c>
      <c r="R59" s="10">
        <f>IF(TRIM(B59&amp;"")="","",IFERROR(INDEX(설정_코드표!$K$2:$K$101,MATCH(TRIM(B59&amp;""),설정_코드표!$J$2:$J$101,0)),"⚠"&amp;TRIM(B59&amp;"")))</f>
        <v/>
      </c>
      <c r="S59" s="10">
        <f>IF(TRIM(K59&amp;"")="","",IFERROR(INDEX(설정_코드표!$K$2:$K$101,MATCH(TRIM(K59&amp;""),설정_코드표!$J$2:$J$101,0)),"⚠"&amp;TRIM(K59&amp;"")))</f>
        <v/>
      </c>
      <c r="T59" s="10">
        <f>IF(TRIM(M59&amp;"")="","",IF(ISNUMBER(MATCH(TRIM(M59&amp;""),설정_코드표!$C$2:$C$11,0)),TRIM(M59&amp;""),"⚠"&amp;TRIM(M59&amp;"")))</f>
        <v/>
      </c>
      <c r="U59" s="10">
        <f>IF(TRIM(L59&amp;"")="","",IFERROR(INDEX(설정_코드표!$G$2:$G$101,MATCH(TRIM(L59&amp;""),설정_코드표!$F$2:$F$101,0)),"⚠"&amp;TRIM(L59&amp;"")))</f>
        <v/>
      </c>
      <c r="V59" s="10">
        <f>IF(AND(ISNUMBER(H59),ISNUMBER(I59)),I59-H59+1,"")</f>
        <v/>
      </c>
      <c r="W59" s="17">
        <f>IF(ISNUMBER(H59),MAX(0,MIN(IF(ISNUMBER(I59),I59,EOMONTH(출력_요약!$B$3,0)),EOMONTH(출력_요약!$B$3,0))-MAX(H59,출력_요약!$B$3)+1),0)</f>
        <v/>
      </c>
      <c r="X59" s="10">
        <f>IF(OR(NOT(ISNUMBER(H59)),Q59=""),"",IF(TODAY()&lt;H59,"파견예정",IF(AND(ISNUMBER(I59),TODAY()&gt;I59),"파견종료","파견중")))</f>
        <v/>
      </c>
      <c r="Y59" s="10">
        <f>IF(OR(Q59="",X59=""),"",Q59&amp;"|"&amp;X59)</f>
        <v/>
      </c>
      <c r="Z59" s="10">
        <f>IF(AND(Q59&lt;&gt;"",W59&gt;0),Q59&amp;"|월","")</f>
        <v/>
      </c>
      <c r="AA59" s="10">
        <f>IF(COUNTA(B59:I59,K59:N59)=0,"",IF(Q59="","등록번호 없음",IF(LEFT(R59,1)="⚠","모병원명 미등록",IF(S59="","파견병원 입력",IF(LEFT(S59,1)="⚠","파견병원명 미등록",IF(LEFT(U59,1)="⚠","파견과목 미등록",IF(OR(T59="",LEFT(T59,1)="⚠"),"파견근거 확인",IF(NOT(AND(ISNUMBER(H59),ISNUMBER(I59))),"날짜 형식/누락",IF(I59&lt;H59,"종료일&lt;시작일","")))))))))</f>
        <v/>
      </c>
      <c r="AB59" s="11">
        <f>IF(ISNUMBER(SEARCH("다기관",TRIM(N59&amp;" "&amp;O59))),IFERROR(DATE(VALUE(MID(TRIM(N59&amp;" "&amp;O59),1,4)),VALUE(MID(TRIM(N59&amp;" "&amp;O59),6,2)),VALUE(MID(TRIM(N59&amp;" "&amp;O59),9,2))),IF(ISNUMBER(H59),H59,"")),"")</f>
        <v/>
      </c>
      <c r="AC59" s="11">
        <f>IF(ISNUMBER(SEARCH("다기관",TRIM(N59&amp;" "&amp;O59))),IFERROR(DATE(VALUE(MID(TRIM(N59&amp;" "&amp;O59),12,4)),VALUE(MID(TRIM(N59&amp;" "&amp;O59),17,2)),VALUE(MID(TRIM(N59&amp;" "&amp;O59),20,2))),IF(ISNUMBER(I59),I59,"")),"")</f>
        <v/>
      </c>
      <c r="AD59" s="17">
        <f>IF(AND(ISNUMBER(AB59),ISNUMBER(AC59)),MAX(0,MIN(AC59,EOMONTH(출력_요약!$B$3,0))-MAX(AB59,출력_요약!$B$3)+1),0)</f>
        <v/>
      </c>
      <c r="AE59" s="10">
        <f>IF(AND(Q59&lt;&gt;"",ISNUMBER(AB59)),Q59&amp;"|다기관","")</f>
        <v/>
      </c>
    </row>
    <row r="60">
      <c r="A60" s="15">
        <f>IF(F60="","",ROW()-3)</f>
        <v/>
      </c>
      <c r="B60" s="5" t="n"/>
      <c r="C60" s="15" t="n"/>
      <c r="D60" s="5" t="n"/>
      <c r="E60" s="15" t="n"/>
      <c r="F60" s="5" t="n"/>
      <c r="G60" s="6" t="n"/>
      <c r="H60" s="16" t="n"/>
      <c r="I60" s="16" t="n"/>
      <c r="J60" s="15">
        <f>IF(AND(ISNUMBER(H60),ISNUMBER(I60)),I60-H60+1,"")</f>
        <v/>
      </c>
      <c r="K60" s="5" t="n"/>
      <c r="L60" s="5" t="n"/>
      <c r="M60" s="5" t="n"/>
      <c r="N60" s="5" t="n"/>
      <c r="O60" s="5" t="n"/>
      <c r="Q60" s="10">
        <f>IF(TRIM(G60&amp;"")="","",TRIM(G60&amp;""))</f>
        <v/>
      </c>
      <c r="R60" s="10">
        <f>IF(TRIM(B60&amp;"")="","",IFERROR(INDEX(설정_코드표!$K$2:$K$101,MATCH(TRIM(B60&amp;""),설정_코드표!$J$2:$J$101,0)),"⚠"&amp;TRIM(B60&amp;"")))</f>
        <v/>
      </c>
      <c r="S60" s="10">
        <f>IF(TRIM(K60&amp;"")="","",IFERROR(INDEX(설정_코드표!$K$2:$K$101,MATCH(TRIM(K60&amp;""),설정_코드표!$J$2:$J$101,0)),"⚠"&amp;TRIM(K60&amp;"")))</f>
        <v/>
      </c>
      <c r="T60" s="10">
        <f>IF(TRIM(M60&amp;"")="","",IF(ISNUMBER(MATCH(TRIM(M60&amp;""),설정_코드표!$C$2:$C$11,0)),TRIM(M60&amp;""),"⚠"&amp;TRIM(M60&amp;"")))</f>
        <v/>
      </c>
      <c r="U60" s="10">
        <f>IF(TRIM(L60&amp;"")="","",IFERROR(INDEX(설정_코드표!$G$2:$G$101,MATCH(TRIM(L60&amp;""),설정_코드표!$F$2:$F$101,0)),"⚠"&amp;TRIM(L60&amp;"")))</f>
        <v/>
      </c>
      <c r="V60" s="10">
        <f>IF(AND(ISNUMBER(H60),ISNUMBER(I60)),I60-H60+1,"")</f>
        <v/>
      </c>
      <c r="W60" s="17">
        <f>IF(ISNUMBER(H60),MAX(0,MIN(IF(ISNUMBER(I60),I60,EOMONTH(출력_요약!$B$3,0)),EOMONTH(출력_요약!$B$3,0))-MAX(H60,출력_요약!$B$3)+1),0)</f>
        <v/>
      </c>
      <c r="X60" s="10">
        <f>IF(OR(NOT(ISNUMBER(H60)),Q60=""),"",IF(TODAY()&lt;H60,"파견예정",IF(AND(ISNUMBER(I60),TODAY()&gt;I60),"파견종료","파견중")))</f>
        <v/>
      </c>
      <c r="Y60" s="10">
        <f>IF(OR(Q60="",X60=""),"",Q60&amp;"|"&amp;X60)</f>
        <v/>
      </c>
      <c r="Z60" s="10">
        <f>IF(AND(Q60&lt;&gt;"",W60&gt;0),Q60&amp;"|월","")</f>
        <v/>
      </c>
      <c r="AA60" s="10">
        <f>IF(COUNTA(B60:I60,K60:N60)=0,"",IF(Q60="","등록번호 없음",IF(LEFT(R60,1)="⚠","모병원명 미등록",IF(S60="","파견병원 입력",IF(LEFT(S60,1)="⚠","파견병원명 미등록",IF(LEFT(U60,1)="⚠","파견과목 미등록",IF(OR(T60="",LEFT(T60,1)="⚠"),"파견근거 확인",IF(NOT(AND(ISNUMBER(H60),ISNUMBER(I60))),"날짜 형식/누락",IF(I60&lt;H60,"종료일&lt;시작일","")))))))))</f>
        <v/>
      </c>
      <c r="AB60" s="11">
        <f>IF(ISNUMBER(SEARCH("다기관",TRIM(N60&amp;" "&amp;O60))),IFERROR(DATE(VALUE(MID(TRIM(N60&amp;" "&amp;O60),1,4)),VALUE(MID(TRIM(N60&amp;" "&amp;O60),6,2)),VALUE(MID(TRIM(N60&amp;" "&amp;O60),9,2))),IF(ISNUMBER(H60),H60,"")),"")</f>
        <v/>
      </c>
      <c r="AC60" s="11">
        <f>IF(ISNUMBER(SEARCH("다기관",TRIM(N60&amp;" "&amp;O60))),IFERROR(DATE(VALUE(MID(TRIM(N60&amp;" "&amp;O60),12,4)),VALUE(MID(TRIM(N60&amp;" "&amp;O60),17,2)),VALUE(MID(TRIM(N60&amp;" "&amp;O60),20,2))),IF(ISNUMBER(I60),I60,"")),"")</f>
        <v/>
      </c>
      <c r="AD60" s="17">
        <f>IF(AND(ISNUMBER(AB60),ISNUMBER(AC60)),MAX(0,MIN(AC60,EOMONTH(출력_요약!$B$3,0))-MAX(AB60,출력_요약!$B$3)+1),0)</f>
        <v/>
      </c>
      <c r="AE60" s="10">
        <f>IF(AND(Q60&lt;&gt;"",ISNUMBER(AB60)),Q60&amp;"|다기관","")</f>
        <v/>
      </c>
    </row>
    <row r="61">
      <c r="A61" s="15">
        <f>IF(F61="","",ROW()-3)</f>
        <v/>
      </c>
      <c r="B61" s="5" t="n"/>
      <c r="C61" s="15" t="n"/>
      <c r="D61" s="5" t="n"/>
      <c r="E61" s="15" t="n"/>
      <c r="F61" s="5" t="n"/>
      <c r="G61" s="6" t="n"/>
      <c r="H61" s="16" t="n"/>
      <c r="I61" s="16" t="n"/>
      <c r="J61" s="15">
        <f>IF(AND(ISNUMBER(H61),ISNUMBER(I61)),I61-H61+1,"")</f>
        <v/>
      </c>
      <c r="K61" s="5" t="n"/>
      <c r="L61" s="5" t="n"/>
      <c r="M61" s="5" t="n"/>
      <c r="N61" s="5" t="n"/>
      <c r="O61" s="5" t="n"/>
      <c r="Q61" s="10">
        <f>IF(TRIM(G61&amp;"")="","",TRIM(G61&amp;""))</f>
        <v/>
      </c>
      <c r="R61" s="10">
        <f>IF(TRIM(B61&amp;"")="","",IFERROR(INDEX(설정_코드표!$K$2:$K$101,MATCH(TRIM(B61&amp;""),설정_코드표!$J$2:$J$101,0)),"⚠"&amp;TRIM(B61&amp;"")))</f>
        <v/>
      </c>
      <c r="S61" s="10">
        <f>IF(TRIM(K61&amp;"")="","",IFERROR(INDEX(설정_코드표!$K$2:$K$101,MATCH(TRIM(K61&amp;""),설정_코드표!$J$2:$J$101,0)),"⚠"&amp;TRIM(K61&amp;"")))</f>
        <v/>
      </c>
      <c r="T61" s="10">
        <f>IF(TRIM(M61&amp;"")="","",IF(ISNUMBER(MATCH(TRIM(M61&amp;""),설정_코드표!$C$2:$C$11,0)),TRIM(M61&amp;""),"⚠"&amp;TRIM(M61&amp;"")))</f>
        <v/>
      </c>
      <c r="U61" s="10">
        <f>IF(TRIM(L61&amp;"")="","",IFERROR(INDEX(설정_코드표!$G$2:$G$101,MATCH(TRIM(L61&amp;""),설정_코드표!$F$2:$F$101,0)),"⚠"&amp;TRIM(L61&amp;"")))</f>
        <v/>
      </c>
      <c r="V61" s="10">
        <f>IF(AND(ISNUMBER(H61),ISNUMBER(I61)),I61-H61+1,"")</f>
        <v/>
      </c>
      <c r="W61" s="17">
        <f>IF(ISNUMBER(H61),MAX(0,MIN(IF(ISNUMBER(I61),I61,EOMONTH(출력_요약!$B$3,0)),EOMONTH(출력_요약!$B$3,0))-MAX(H61,출력_요약!$B$3)+1),0)</f>
        <v/>
      </c>
      <c r="X61" s="10">
        <f>IF(OR(NOT(ISNUMBER(H61)),Q61=""),"",IF(TODAY()&lt;H61,"파견예정",IF(AND(ISNUMBER(I61),TODAY()&gt;I61),"파견종료","파견중")))</f>
        <v/>
      </c>
      <c r="Y61" s="10">
        <f>IF(OR(Q61="",X61=""),"",Q61&amp;"|"&amp;X61)</f>
        <v/>
      </c>
      <c r="Z61" s="10">
        <f>IF(AND(Q61&lt;&gt;"",W61&gt;0),Q61&amp;"|월","")</f>
        <v/>
      </c>
      <c r="AA61" s="10">
        <f>IF(COUNTA(B61:I61,K61:N61)=0,"",IF(Q61="","등록번호 없음",IF(LEFT(R61,1)="⚠","모병원명 미등록",IF(S61="","파견병원 입력",IF(LEFT(S61,1)="⚠","파견병원명 미등록",IF(LEFT(U61,1)="⚠","파견과목 미등록",IF(OR(T61="",LEFT(T61,1)="⚠"),"파견근거 확인",IF(NOT(AND(ISNUMBER(H61),ISNUMBER(I61))),"날짜 형식/누락",IF(I61&lt;H61,"종료일&lt;시작일","")))))))))</f>
        <v/>
      </c>
      <c r="AB61" s="11">
        <f>IF(ISNUMBER(SEARCH("다기관",TRIM(N61&amp;" "&amp;O61))),IFERROR(DATE(VALUE(MID(TRIM(N61&amp;" "&amp;O61),1,4)),VALUE(MID(TRIM(N61&amp;" "&amp;O61),6,2)),VALUE(MID(TRIM(N61&amp;" "&amp;O61),9,2))),IF(ISNUMBER(H61),H61,"")),"")</f>
        <v/>
      </c>
      <c r="AC61" s="11">
        <f>IF(ISNUMBER(SEARCH("다기관",TRIM(N61&amp;" "&amp;O61))),IFERROR(DATE(VALUE(MID(TRIM(N61&amp;" "&amp;O61),12,4)),VALUE(MID(TRIM(N61&amp;" "&amp;O61),17,2)),VALUE(MID(TRIM(N61&amp;" "&amp;O61),20,2))),IF(ISNUMBER(I61),I61,"")),"")</f>
        <v/>
      </c>
      <c r="AD61" s="17">
        <f>IF(AND(ISNUMBER(AB61),ISNUMBER(AC61)),MAX(0,MIN(AC61,EOMONTH(출력_요약!$B$3,0))-MAX(AB61,출력_요약!$B$3)+1),0)</f>
        <v/>
      </c>
      <c r="AE61" s="10">
        <f>IF(AND(Q61&lt;&gt;"",ISNUMBER(AB61)),Q61&amp;"|다기관","")</f>
        <v/>
      </c>
    </row>
    <row r="62">
      <c r="A62" s="15">
        <f>IF(F62="","",ROW()-3)</f>
        <v/>
      </c>
      <c r="B62" s="5" t="n"/>
      <c r="C62" s="15" t="n"/>
      <c r="D62" s="5" t="n"/>
      <c r="E62" s="15" t="n"/>
      <c r="F62" s="5" t="n"/>
      <c r="G62" s="6" t="n"/>
      <c r="H62" s="16" t="n"/>
      <c r="I62" s="16" t="n"/>
      <c r="J62" s="15">
        <f>IF(AND(ISNUMBER(H62),ISNUMBER(I62)),I62-H62+1,"")</f>
        <v/>
      </c>
      <c r="K62" s="5" t="n"/>
      <c r="L62" s="5" t="n"/>
      <c r="M62" s="5" t="n"/>
      <c r="N62" s="5" t="n"/>
      <c r="O62" s="5" t="n"/>
      <c r="Q62" s="10">
        <f>IF(TRIM(G62&amp;"")="","",TRIM(G62&amp;""))</f>
        <v/>
      </c>
      <c r="R62" s="10">
        <f>IF(TRIM(B62&amp;"")="","",IFERROR(INDEX(설정_코드표!$K$2:$K$101,MATCH(TRIM(B62&amp;""),설정_코드표!$J$2:$J$101,0)),"⚠"&amp;TRIM(B62&amp;"")))</f>
        <v/>
      </c>
      <c r="S62" s="10">
        <f>IF(TRIM(K62&amp;"")="","",IFERROR(INDEX(설정_코드표!$K$2:$K$101,MATCH(TRIM(K62&amp;""),설정_코드표!$J$2:$J$101,0)),"⚠"&amp;TRIM(K62&amp;"")))</f>
        <v/>
      </c>
      <c r="T62" s="10">
        <f>IF(TRIM(M62&amp;"")="","",IF(ISNUMBER(MATCH(TRIM(M62&amp;""),설정_코드표!$C$2:$C$11,0)),TRIM(M62&amp;""),"⚠"&amp;TRIM(M62&amp;"")))</f>
        <v/>
      </c>
      <c r="U62" s="10">
        <f>IF(TRIM(L62&amp;"")="","",IFERROR(INDEX(설정_코드표!$G$2:$G$101,MATCH(TRIM(L62&amp;""),설정_코드표!$F$2:$F$101,0)),"⚠"&amp;TRIM(L62&amp;"")))</f>
        <v/>
      </c>
      <c r="V62" s="10">
        <f>IF(AND(ISNUMBER(H62),ISNUMBER(I62)),I62-H62+1,"")</f>
        <v/>
      </c>
      <c r="W62" s="17">
        <f>IF(ISNUMBER(H62),MAX(0,MIN(IF(ISNUMBER(I62),I62,EOMONTH(출력_요약!$B$3,0)),EOMONTH(출력_요약!$B$3,0))-MAX(H62,출력_요약!$B$3)+1),0)</f>
        <v/>
      </c>
      <c r="X62" s="10">
        <f>IF(OR(NOT(ISNUMBER(H62)),Q62=""),"",IF(TODAY()&lt;H62,"파견예정",IF(AND(ISNUMBER(I62),TODAY()&gt;I62),"파견종료","파견중")))</f>
        <v/>
      </c>
      <c r="Y62" s="10">
        <f>IF(OR(Q62="",X62=""),"",Q62&amp;"|"&amp;X62)</f>
        <v/>
      </c>
      <c r="Z62" s="10">
        <f>IF(AND(Q62&lt;&gt;"",W62&gt;0),Q62&amp;"|월","")</f>
        <v/>
      </c>
      <c r="AA62" s="10">
        <f>IF(COUNTA(B62:I62,K62:N62)=0,"",IF(Q62="","등록번호 없음",IF(LEFT(R62,1)="⚠","모병원명 미등록",IF(S62="","파견병원 입력",IF(LEFT(S62,1)="⚠","파견병원명 미등록",IF(LEFT(U62,1)="⚠","파견과목 미등록",IF(OR(T62="",LEFT(T62,1)="⚠"),"파견근거 확인",IF(NOT(AND(ISNUMBER(H62),ISNUMBER(I62))),"날짜 형식/누락",IF(I62&lt;H62,"종료일&lt;시작일","")))))))))</f>
        <v/>
      </c>
      <c r="AB62" s="11">
        <f>IF(ISNUMBER(SEARCH("다기관",TRIM(N62&amp;" "&amp;O62))),IFERROR(DATE(VALUE(MID(TRIM(N62&amp;" "&amp;O62),1,4)),VALUE(MID(TRIM(N62&amp;" "&amp;O62),6,2)),VALUE(MID(TRIM(N62&amp;" "&amp;O62),9,2))),IF(ISNUMBER(H62),H62,"")),"")</f>
        <v/>
      </c>
      <c r="AC62" s="11">
        <f>IF(ISNUMBER(SEARCH("다기관",TRIM(N62&amp;" "&amp;O62))),IFERROR(DATE(VALUE(MID(TRIM(N62&amp;" "&amp;O62),12,4)),VALUE(MID(TRIM(N62&amp;" "&amp;O62),17,2)),VALUE(MID(TRIM(N62&amp;" "&amp;O62),20,2))),IF(ISNUMBER(I62),I62,"")),"")</f>
        <v/>
      </c>
      <c r="AD62" s="17">
        <f>IF(AND(ISNUMBER(AB62),ISNUMBER(AC62)),MAX(0,MIN(AC62,EOMONTH(출력_요약!$B$3,0))-MAX(AB62,출력_요약!$B$3)+1),0)</f>
        <v/>
      </c>
      <c r="AE62" s="10">
        <f>IF(AND(Q62&lt;&gt;"",ISNUMBER(AB62)),Q62&amp;"|다기관","")</f>
        <v/>
      </c>
    </row>
    <row r="63">
      <c r="A63" s="15">
        <f>IF(F63="","",ROW()-3)</f>
        <v/>
      </c>
      <c r="B63" s="5" t="n"/>
      <c r="C63" s="15" t="n"/>
      <c r="D63" s="5" t="n"/>
      <c r="E63" s="15" t="n"/>
      <c r="F63" s="5" t="n"/>
      <c r="G63" s="6" t="n"/>
      <c r="H63" s="16" t="n"/>
      <c r="I63" s="16" t="n"/>
      <c r="J63" s="15">
        <f>IF(AND(ISNUMBER(H63),ISNUMBER(I63)),I63-H63+1,"")</f>
        <v/>
      </c>
      <c r="K63" s="5" t="n"/>
      <c r="L63" s="5" t="n"/>
      <c r="M63" s="5" t="n"/>
      <c r="N63" s="5" t="n"/>
      <c r="O63" s="5" t="n"/>
      <c r="Q63" s="10">
        <f>IF(TRIM(G63&amp;"")="","",TRIM(G63&amp;""))</f>
        <v/>
      </c>
      <c r="R63" s="10">
        <f>IF(TRIM(B63&amp;"")="","",IFERROR(INDEX(설정_코드표!$K$2:$K$101,MATCH(TRIM(B63&amp;""),설정_코드표!$J$2:$J$101,0)),"⚠"&amp;TRIM(B63&amp;"")))</f>
        <v/>
      </c>
      <c r="S63" s="10">
        <f>IF(TRIM(K63&amp;"")="","",IFERROR(INDEX(설정_코드표!$K$2:$K$101,MATCH(TRIM(K63&amp;""),설정_코드표!$J$2:$J$101,0)),"⚠"&amp;TRIM(K63&amp;"")))</f>
        <v/>
      </c>
      <c r="T63" s="10">
        <f>IF(TRIM(M63&amp;"")="","",IF(ISNUMBER(MATCH(TRIM(M63&amp;""),설정_코드표!$C$2:$C$11,0)),TRIM(M63&amp;""),"⚠"&amp;TRIM(M63&amp;"")))</f>
        <v/>
      </c>
      <c r="U63" s="10">
        <f>IF(TRIM(L63&amp;"")="","",IFERROR(INDEX(설정_코드표!$G$2:$G$101,MATCH(TRIM(L63&amp;""),설정_코드표!$F$2:$F$101,0)),"⚠"&amp;TRIM(L63&amp;"")))</f>
        <v/>
      </c>
      <c r="V63" s="10">
        <f>IF(AND(ISNUMBER(H63),ISNUMBER(I63)),I63-H63+1,"")</f>
        <v/>
      </c>
      <c r="W63" s="17">
        <f>IF(ISNUMBER(H63),MAX(0,MIN(IF(ISNUMBER(I63),I63,EOMONTH(출력_요약!$B$3,0)),EOMONTH(출력_요약!$B$3,0))-MAX(H63,출력_요약!$B$3)+1),0)</f>
        <v/>
      </c>
      <c r="X63" s="10">
        <f>IF(OR(NOT(ISNUMBER(H63)),Q63=""),"",IF(TODAY()&lt;H63,"파견예정",IF(AND(ISNUMBER(I63),TODAY()&gt;I63),"파견종료","파견중")))</f>
        <v/>
      </c>
      <c r="Y63" s="10">
        <f>IF(OR(Q63="",X63=""),"",Q63&amp;"|"&amp;X63)</f>
        <v/>
      </c>
      <c r="Z63" s="10">
        <f>IF(AND(Q63&lt;&gt;"",W63&gt;0),Q63&amp;"|월","")</f>
        <v/>
      </c>
      <c r="AA63" s="10">
        <f>IF(COUNTA(B63:I63,K63:N63)=0,"",IF(Q63="","등록번호 없음",IF(LEFT(R63,1)="⚠","모병원명 미등록",IF(S63="","파견병원 입력",IF(LEFT(S63,1)="⚠","파견병원명 미등록",IF(LEFT(U63,1)="⚠","파견과목 미등록",IF(OR(T63="",LEFT(T63,1)="⚠"),"파견근거 확인",IF(NOT(AND(ISNUMBER(H63),ISNUMBER(I63))),"날짜 형식/누락",IF(I63&lt;H63,"종료일&lt;시작일","")))))))))</f>
        <v/>
      </c>
      <c r="AB63" s="11">
        <f>IF(ISNUMBER(SEARCH("다기관",TRIM(N63&amp;" "&amp;O63))),IFERROR(DATE(VALUE(MID(TRIM(N63&amp;" "&amp;O63),1,4)),VALUE(MID(TRIM(N63&amp;" "&amp;O63),6,2)),VALUE(MID(TRIM(N63&amp;" "&amp;O63),9,2))),IF(ISNUMBER(H63),H63,"")),"")</f>
        <v/>
      </c>
      <c r="AC63" s="11">
        <f>IF(ISNUMBER(SEARCH("다기관",TRIM(N63&amp;" "&amp;O63))),IFERROR(DATE(VALUE(MID(TRIM(N63&amp;" "&amp;O63),12,4)),VALUE(MID(TRIM(N63&amp;" "&amp;O63),17,2)),VALUE(MID(TRIM(N63&amp;" "&amp;O63),20,2))),IF(ISNUMBER(I63),I63,"")),"")</f>
        <v/>
      </c>
      <c r="AD63" s="17">
        <f>IF(AND(ISNUMBER(AB63),ISNUMBER(AC63)),MAX(0,MIN(AC63,EOMONTH(출력_요약!$B$3,0))-MAX(AB63,출력_요약!$B$3)+1),0)</f>
        <v/>
      </c>
      <c r="AE63" s="10">
        <f>IF(AND(Q63&lt;&gt;"",ISNUMBER(AB63)),Q63&amp;"|다기관","")</f>
        <v/>
      </c>
    </row>
    <row r="64">
      <c r="A64" s="15">
        <f>IF(F64="","",ROW()-3)</f>
        <v/>
      </c>
      <c r="B64" s="5" t="n"/>
      <c r="C64" s="15" t="n"/>
      <c r="D64" s="5" t="n"/>
      <c r="E64" s="15" t="n"/>
      <c r="F64" s="5" t="n"/>
      <c r="G64" s="6" t="n"/>
      <c r="H64" s="16" t="n"/>
      <c r="I64" s="16" t="n"/>
      <c r="J64" s="15">
        <f>IF(AND(ISNUMBER(H64),ISNUMBER(I64)),I64-H64+1,"")</f>
        <v/>
      </c>
      <c r="K64" s="5" t="n"/>
      <c r="L64" s="5" t="n"/>
      <c r="M64" s="5" t="n"/>
      <c r="N64" s="5" t="n"/>
      <c r="O64" s="5" t="n"/>
      <c r="Q64" s="10">
        <f>IF(TRIM(G64&amp;"")="","",TRIM(G64&amp;""))</f>
        <v/>
      </c>
      <c r="R64" s="10">
        <f>IF(TRIM(B64&amp;"")="","",IFERROR(INDEX(설정_코드표!$K$2:$K$101,MATCH(TRIM(B64&amp;""),설정_코드표!$J$2:$J$101,0)),"⚠"&amp;TRIM(B64&amp;"")))</f>
        <v/>
      </c>
      <c r="S64" s="10">
        <f>IF(TRIM(K64&amp;"")="","",IFERROR(INDEX(설정_코드표!$K$2:$K$101,MATCH(TRIM(K64&amp;""),설정_코드표!$J$2:$J$101,0)),"⚠"&amp;TRIM(K64&amp;"")))</f>
        <v/>
      </c>
      <c r="T64" s="10">
        <f>IF(TRIM(M64&amp;"")="","",IF(ISNUMBER(MATCH(TRIM(M64&amp;""),설정_코드표!$C$2:$C$11,0)),TRIM(M64&amp;""),"⚠"&amp;TRIM(M64&amp;"")))</f>
        <v/>
      </c>
      <c r="U64" s="10">
        <f>IF(TRIM(L64&amp;"")="","",IFERROR(INDEX(설정_코드표!$G$2:$G$101,MATCH(TRIM(L64&amp;""),설정_코드표!$F$2:$F$101,0)),"⚠"&amp;TRIM(L64&amp;"")))</f>
        <v/>
      </c>
      <c r="V64" s="10">
        <f>IF(AND(ISNUMBER(H64),ISNUMBER(I64)),I64-H64+1,"")</f>
        <v/>
      </c>
      <c r="W64" s="17">
        <f>IF(ISNUMBER(H64),MAX(0,MIN(IF(ISNUMBER(I64),I64,EOMONTH(출력_요약!$B$3,0)),EOMONTH(출력_요약!$B$3,0))-MAX(H64,출력_요약!$B$3)+1),0)</f>
        <v/>
      </c>
      <c r="X64" s="10">
        <f>IF(OR(NOT(ISNUMBER(H64)),Q64=""),"",IF(TODAY()&lt;H64,"파견예정",IF(AND(ISNUMBER(I64),TODAY()&gt;I64),"파견종료","파견중")))</f>
        <v/>
      </c>
      <c r="Y64" s="10">
        <f>IF(OR(Q64="",X64=""),"",Q64&amp;"|"&amp;X64)</f>
        <v/>
      </c>
      <c r="Z64" s="10">
        <f>IF(AND(Q64&lt;&gt;"",W64&gt;0),Q64&amp;"|월","")</f>
        <v/>
      </c>
      <c r="AA64" s="10">
        <f>IF(COUNTA(B64:I64,K64:N64)=0,"",IF(Q64="","등록번호 없음",IF(LEFT(R64,1)="⚠","모병원명 미등록",IF(S64="","파견병원 입력",IF(LEFT(S64,1)="⚠","파견병원명 미등록",IF(LEFT(U64,1)="⚠","파견과목 미등록",IF(OR(T64="",LEFT(T64,1)="⚠"),"파견근거 확인",IF(NOT(AND(ISNUMBER(H64),ISNUMBER(I64))),"날짜 형식/누락",IF(I64&lt;H64,"종료일&lt;시작일","")))))))))</f>
        <v/>
      </c>
      <c r="AB64" s="11">
        <f>IF(ISNUMBER(SEARCH("다기관",TRIM(N64&amp;" "&amp;O64))),IFERROR(DATE(VALUE(MID(TRIM(N64&amp;" "&amp;O64),1,4)),VALUE(MID(TRIM(N64&amp;" "&amp;O64),6,2)),VALUE(MID(TRIM(N64&amp;" "&amp;O64),9,2))),IF(ISNUMBER(H64),H64,"")),"")</f>
        <v/>
      </c>
      <c r="AC64" s="11">
        <f>IF(ISNUMBER(SEARCH("다기관",TRIM(N64&amp;" "&amp;O64))),IFERROR(DATE(VALUE(MID(TRIM(N64&amp;" "&amp;O64),12,4)),VALUE(MID(TRIM(N64&amp;" "&amp;O64),17,2)),VALUE(MID(TRIM(N64&amp;" "&amp;O64),20,2))),IF(ISNUMBER(I64),I64,"")),"")</f>
        <v/>
      </c>
      <c r="AD64" s="17">
        <f>IF(AND(ISNUMBER(AB64),ISNUMBER(AC64)),MAX(0,MIN(AC64,EOMONTH(출력_요약!$B$3,0))-MAX(AB64,출력_요약!$B$3)+1),0)</f>
        <v/>
      </c>
      <c r="AE64" s="10">
        <f>IF(AND(Q64&lt;&gt;"",ISNUMBER(AB64)),Q64&amp;"|다기관","")</f>
        <v/>
      </c>
    </row>
    <row r="65">
      <c r="A65" s="15">
        <f>IF(F65="","",ROW()-3)</f>
        <v/>
      </c>
      <c r="B65" s="5" t="n"/>
      <c r="C65" s="15" t="n"/>
      <c r="D65" s="5" t="n"/>
      <c r="E65" s="15" t="n"/>
      <c r="F65" s="5" t="n"/>
      <c r="G65" s="6" t="n"/>
      <c r="H65" s="16" t="n"/>
      <c r="I65" s="16" t="n"/>
      <c r="J65" s="15">
        <f>IF(AND(ISNUMBER(H65),ISNUMBER(I65)),I65-H65+1,"")</f>
        <v/>
      </c>
      <c r="K65" s="5" t="n"/>
      <c r="L65" s="5" t="n"/>
      <c r="M65" s="5" t="n"/>
      <c r="N65" s="5" t="n"/>
      <c r="O65" s="5" t="n"/>
      <c r="Q65" s="10">
        <f>IF(TRIM(G65&amp;"")="","",TRIM(G65&amp;""))</f>
        <v/>
      </c>
      <c r="R65" s="10">
        <f>IF(TRIM(B65&amp;"")="","",IFERROR(INDEX(설정_코드표!$K$2:$K$101,MATCH(TRIM(B65&amp;""),설정_코드표!$J$2:$J$101,0)),"⚠"&amp;TRIM(B65&amp;"")))</f>
        <v/>
      </c>
      <c r="S65" s="10">
        <f>IF(TRIM(K65&amp;"")="","",IFERROR(INDEX(설정_코드표!$K$2:$K$101,MATCH(TRIM(K65&amp;""),설정_코드표!$J$2:$J$101,0)),"⚠"&amp;TRIM(K65&amp;"")))</f>
        <v/>
      </c>
      <c r="T65" s="10">
        <f>IF(TRIM(M65&amp;"")="","",IF(ISNUMBER(MATCH(TRIM(M65&amp;""),설정_코드표!$C$2:$C$11,0)),TRIM(M65&amp;""),"⚠"&amp;TRIM(M65&amp;"")))</f>
        <v/>
      </c>
      <c r="U65" s="10">
        <f>IF(TRIM(L65&amp;"")="","",IFERROR(INDEX(설정_코드표!$G$2:$G$101,MATCH(TRIM(L65&amp;""),설정_코드표!$F$2:$F$101,0)),"⚠"&amp;TRIM(L65&amp;"")))</f>
        <v/>
      </c>
      <c r="V65" s="10">
        <f>IF(AND(ISNUMBER(H65),ISNUMBER(I65)),I65-H65+1,"")</f>
        <v/>
      </c>
      <c r="W65" s="17">
        <f>IF(ISNUMBER(H65),MAX(0,MIN(IF(ISNUMBER(I65),I65,EOMONTH(출력_요약!$B$3,0)),EOMONTH(출력_요약!$B$3,0))-MAX(H65,출력_요약!$B$3)+1),0)</f>
        <v/>
      </c>
      <c r="X65" s="10">
        <f>IF(OR(NOT(ISNUMBER(H65)),Q65=""),"",IF(TODAY()&lt;H65,"파견예정",IF(AND(ISNUMBER(I65),TODAY()&gt;I65),"파견종료","파견중")))</f>
        <v/>
      </c>
      <c r="Y65" s="10">
        <f>IF(OR(Q65="",X65=""),"",Q65&amp;"|"&amp;X65)</f>
        <v/>
      </c>
      <c r="Z65" s="10">
        <f>IF(AND(Q65&lt;&gt;"",W65&gt;0),Q65&amp;"|월","")</f>
        <v/>
      </c>
      <c r="AA65" s="10">
        <f>IF(COUNTA(B65:I65,K65:N65)=0,"",IF(Q65="","등록번호 없음",IF(LEFT(R65,1)="⚠","모병원명 미등록",IF(S65="","파견병원 입력",IF(LEFT(S65,1)="⚠","파견병원명 미등록",IF(LEFT(U65,1)="⚠","파견과목 미등록",IF(OR(T65="",LEFT(T65,1)="⚠"),"파견근거 확인",IF(NOT(AND(ISNUMBER(H65),ISNUMBER(I65))),"날짜 형식/누락",IF(I65&lt;H65,"종료일&lt;시작일","")))))))))</f>
        <v/>
      </c>
      <c r="AB65" s="11">
        <f>IF(ISNUMBER(SEARCH("다기관",TRIM(N65&amp;" "&amp;O65))),IFERROR(DATE(VALUE(MID(TRIM(N65&amp;" "&amp;O65),1,4)),VALUE(MID(TRIM(N65&amp;" "&amp;O65),6,2)),VALUE(MID(TRIM(N65&amp;" "&amp;O65),9,2))),IF(ISNUMBER(H65),H65,"")),"")</f>
        <v/>
      </c>
      <c r="AC65" s="11">
        <f>IF(ISNUMBER(SEARCH("다기관",TRIM(N65&amp;" "&amp;O65))),IFERROR(DATE(VALUE(MID(TRIM(N65&amp;" "&amp;O65),12,4)),VALUE(MID(TRIM(N65&amp;" "&amp;O65),17,2)),VALUE(MID(TRIM(N65&amp;" "&amp;O65),20,2))),IF(ISNUMBER(I65),I65,"")),"")</f>
        <v/>
      </c>
      <c r="AD65" s="17">
        <f>IF(AND(ISNUMBER(AB65),ISNUMBER(AC65)),MAX(0,MIN(AC65,EOMONTH(출력_요약!$B$3,0))-MAX(AB65,출력_요약!$B$3)+1),0)</f>
        <v/>
      </c>
      <c r="AE65" s="10">
        <f>IF(AND(Q65&lt;&gt;"",ISNUMBER(AB65)),Q65&amp;"|다기관","")</f>
        <v/>
      </c>
    </row>
    <row r="66">
      <c r="A66" s="15">
        <f>IF(F66="","",ROW()-3)</f>
        <v/>
      </c>
      <c r="B66" s="5" t="n"/>
      <c r="C66" s="15" t="n"/>
      <c r="D66" s="5" t="n"/>
      <c r="E66" s="15" t="n"/>
      <c r="F66" s="5" t="n"/>
      <c r="G66" s="6" t="n"/>
      <c r="H66" s="16" t="n"/>
      <c r="I66" s="16" t="n"/>
      <c r="J66" s="15">
        <f>IF(AND(ISNUMBER(H66),ISNUMBER(I66)),I66-H66+1,"")</f>
        <v/>
      </c>
      <c r="K66" s="5" t="n"/>
      <c r="L66" s="5" t="n"/>
      <c r="M66" s="5" t="n"/>
      <c r="N66" s="5" t="n"/>
      <c r="O66" s="5" t="n"/>
      <c r="Q66" s="10">
        <f>IF(TRIM(G66&amp;"")="","",TRIM(G66&amp;""))</f>
        <v/>
      </c>
      <c r="R66" s="10">
        <f>IF(TRIM(B66&amp;"")="","",IFERROR(INDEX(설정_코드표!$K$2:$K$101,MATCH(TRIM(B66&amp;""),설정_코드표!$J$2:$J$101,0)),"⚠"&amp;TRIM(B66&amp;"")))</f>
        <v/>
      </c>
      <c r="S66" s="10">
        <f>IF(TRIM(K66&amp;"")="","",IFERROR(INDEX(설정_코드표!$K$2:$K$101,MATCH(TRIM(K66&amp;""),설정_코드표!$J$2:$J$101,0)),"⚠"&amp;TRIM(K66&amp;"")))</f>
        <v/>
      </c>
      <c r="T66" s="10">
        <f>IF(TRIM(M66&amp;"")="","",IF(ISNUMBER(MATCH(TRIM(M66&amp;""),설정_코드표!$C$2:$C$11,0)),TRIM(M66&amp;""),"⚠"&amp;TRIM(M66&amp;"")))</f>
        <v/>
      </c>
      <c r="U66" s="10">
        <f>IF(TRIM(L66&amp;"")="","",IFERROR(INDEX(설정_코드표!$G$2:$G$101,MATCH(TRIM(L66&amp;""),설정_코드표!$F$2:$F$101,0)),"⚠"&amp;TRIM(L66&amp;"")))</f>
        <v/>
      </c>
      <c r="V66" s="10">
        <f>IF(AND(ISNUMBER(H66),ISNUMBER(I66)),I66-H66+1,"")</f>
        <v/>
      </c>
      <c r="W66" s="17">
        <f>IF(ISNUMBER(H66),MAX(0,MIN(IF(ISNUMBER(I66),I66,EOMONTH(출력_요약!$B$3,0)),EOMONTH(출력_요약!$B$3,0))-MAX(H66,출력_요약!$B$3)+1),0)</f>
        <v/>
      </c>
      <c r="X66" s="10">
        <f>IF(OR(NOT(ISNUMBER(H66)),Q66=""),"",IF(TODAY()&lt;H66,"파견예정",IF(AND(ISNUMBER(I66),TODAY()&gt;I66),"파견종료","파견중")))</f>
        <v/>
      </c>
      <c r="Y66" s="10">
        <f>IF(OR(Q66="",X66=""),"",Q66&amp;"|"&amp;X66)</f>
        <v/>
      </c>
      <c r="Z66" s="10">
        <f>IF(AND(Q66&lt;&gt;"",W66&gt;0),Q66&amp;"|월","")</f>
        <v/>
      </c>
      <c r="AA66" s="10">
        <f>IF(COUNTA(B66:I66,K66:N66)=0,"",IF(Q66="","등록번호 없음",IF(LEFT(R66,1)="⚠","모병원명 미등록",IF(S66="","파견병원 입력",IF(LEFT(S66,1)="⚠","파견병원명 미등록",IF(LEFT(U66,1)="⚠","파견과목 미등록",IF(OR(T66="",LEFT(T66,1)="⚠"),"파견근거 확인",IF(NOT(AND(ISNUMBER(H66),ISNUMBER(I66))),"날짜 형식/누락",IF(I66&lt;H66,"종료일&lt;시작일","")))))))))</f>
        <v/>
      </c>
      <c r="AB66" s="11">
        <f>IF(ISNUMBER(SEARCH("다기관",TRIM(N66&amp;" "&amp;O66))),IFERROR(DATE(VALUE(MID(TRIM(N66&amp;" "&amp;O66),1,4)),VALUE(MID(TRIM(N66&amp;" "&amp;O66),6,2)),VALUE(MID(TRIM(N66&amp;" "&amp;O66),9,2))),IF(ISNUMBER(H66),H66,"")),"")</f>
        <v/>
      </c>
      <c r="AC66" s="11">
        <f>IF(ISNUMBER(SEARCH("다기관",TRIM(N66&amp;" "&amp;O66))),IFERROR(DATE(VALUE(MID(TRIM(N66&amp;" "&amp;O66),12,4)),VALUE(MID(TRIM(N66&amp;" "&amp;O66),17,2)),VALUE(MID(TRIM(N66&amp;" "&amp;O66),20,2))),IF(ISNUMBER(I66),I66,"")),"")</f>
        <v/>
      </c>
      <c r="AD66" s="17">
        <f>IF(AND(ISNUMBER(AB66),ISNUMBER(AC66)),MAX(0,MIN(AC66,EOMONTH(출력_요약!$B$3,0))-MAX(AB66,출력_요약!$B$3)+1),0)</f>
        <v/>
      </c>
      <c r="AE66" s="10">
        <f>IF(AND(Q66&lt;&gt;"",ISNUMBER(AB66)),Q66&amp;"|다기관","")</f>
        <v/>
      </c>
    </row>
    <row r="67">
      <c r="A67" s="15">
        <f>IF(F67="","",ROW()-3)</f>
        <v/>
      </c>
      <c r="B67" s="5" t="n"/>
      <c r="C67" s="15" t="n"/>
      <c r="D67" s="5" t="n"/>
      <c r="E67" s="15" t="n"/>
      <c r="F67" s="5" t="n"/>
      <c r="G67" s="6" t="n"/>
      <c r="H67" s="16" t="n"/>
      <c r="I67" s="16" t="n"/>
      <c r="J67" s="15">
        <f>IF(AND(ISNUMBER(H67),ISNUMBER(I67)),I67-H67+1,"")</f>
        <v/>
      </c>
      <c r="K67" s="5" t="n"/>
      <c r="L67" s="5" t="n"/>
      <c r="M67" s="5" t="n"/>
      <c r="N67" s="5" t="n"/>
      <c r="O67" s="5" t="n"/>
      <c r="Q67" s="10">
        <f>IF(TRIM(G67&amp;"")="","",TRIM(G67&amp;""))</f>
        <v/>
      </c>
      <c r="R67" s="10">
        <f>IF(TRIM(B67&amp;"")="","",IFERROR(INDEX(설정_코드표!$K$2:$K$101,MATCH(TRIM(B67&amp;""),설정_코드표!$J$2:$J$101,0)),"⚠"&amp;TRIM(B67&amp;"")))</f>
        <v/>
      </c>
      <c r="S67" s="10">
        <f>IF(TRIM(K67&amp;"")="","",IFERROR(INDEX(설정_코드표!$K$2:$K$101,MATCH(TRIM(K67&amp;""),설정_코드표!$J$2:$J$101,0)),"⚠"&amp;TRIM(K67&amp;"")))</f>
        <v/>
      </c>
      <c r="T67" s="10">
        <f>IF(TRIM(M67&amp;"")="","",IF(ISNUMBER(MATCH(TRIM(M67&amp;""),설정_코드표!$C$2:$C$11,0)),TRIM(M67&amp;""),"⚠"&amp;TRIM(M67&amp;"")))</f>
        <v/>
      </c>
      <c r="U67" s="10">
        <f>IF(TRIM(L67&amp;"")="","",IFERROR(INDEX(설정_코드표!$G$2:$G$101,MATCH(TRIM(L67&amp;""),설정_코드표!$F$2:$F$101,0)),"⚠"&amp;TRIM(L67&amp;"")))</f>
        <v/>
      </c>
      <c r="V67" s="10">
        <f>IF(AND(ISNUMBER(H67),ISNUMBER(I67)),I67-H67+1,"")</f>
        <v/>
      </c>
      <c r="W67" s="17">
        <f>IF(ISNUMBER(H67),MAX(0,MIN(IF(ISNUMBER(I67),I67,EOMONTH(출력_요약!$B$3,0)),EOMONTH(출력_요약!$B$3,0))-MAX(H67,출력_요약!$B$3)+1),0)</f>
        <v/>
      </c>
      <c r="X67" s="10">
        <f>IF(OR(NOT(ISNUMBER(H67)),Q67=""),"",IF(TODAY()&lt;H67,"파견예정",IF(AND(ISNUMBER(I67),TODAY()&gt;I67),"파견종료","파견중")))</f>
        <v/>
      </c>
      <c r="Y67" s="10">
        <f>IF(OR(Q67="",X67=""),"",Q67&amp;"|"&amp;X67)</f>
        <v/>
      </c>
      <c r="Z67" s="10">
        <f>IF(AND(Q67&lt;&gt;"",W67&gt;0),Q67&amp;"|월","")</f>
        <v/>
      </c>
      <c r="AA67" s="10">
        <f>IF(COUNTA(B67:I67,K67:N67)=0,"",IF(Q67="","등록번호 없음",IF(LEFT(R67,1)="⚠","모병원명 미등록",IF(S67="","파견병원 입력",IF(LEFT(S67,1)="⚠","파견병원명 미등록",IF(LEFT(U67,1)="⚠","파견과목 미등록",IF(OR(T67="",LEFT(T67,1)="⚠"),"파견근거 확인",IF(NOT(AND(ISNUMBER(H67),ISNUMBER(I67))),"날짜 형식/누락",IF(I67&lt;H67,"종료일&lt;시작일","")))))))))</f>
        <v/>
      </c>
      <c r="AB67" s="11">
        <f>IF(ISNUMBER(SEARCH("다기관",TRIM(N67&amp;" "&amp;O67))),IFERROR(DATE(VALUE(MID(TRIM(N67&amp;" "&amp;O67),1,4)),VALUE(MID(TRIM(N67&amp;" "&amp;O67),6,2)),VALUE(MID(TRIM(N67&amp;" "&amp;O67),9,2))),IF(ISNUMBER(H67),H67,"")),"")</f>
        <v/>
      </c>
      <c r="AC67" s="11">
        <f>IF(ISNUMBER(SEARCH("다기관",TRIM(N67&amp;" "&amp;O67))),IFERROR(DATE(VALUE(MID(TRIM(N67&amp;" "&amp;O67),12,4)),VALUE(MID(TRIM(N67&amp;" "&amp;O67),17,2)),VALUE(MID(TRIM(N67&amp;" "&amp;O67),20,2))),IF(ISNUMBER(I67),I67,"")),"")</f>
        <v/>
      </c>
      <c r="AD67" s="17">
        <f>IF(AND(ISNUMBER(AB67),ISNUMBER(AC67)),MAX(0,MIN(AC67,EOMONTH(출력_요약!$B$3,0))-MAX(AB67,출력_요약!$B$3)+1),0)</f>
        <v/>
      </c>
      <c r="AE67" s="10">
        <f>IF(AND(Q67&lt;&gt;"",ISNUMBER(AB67)),Q67&amp;"|다기관","")</f>
        <v/>
      </c>
    </row>
    <row r="68">
      <c r="A68" s="15">
        <f>IF(F68="","",ROW()-3)</f>
        <v/>
      </c>
      <c r="B68" s="5" t="n"/>
      <c r="C68" s="15" t="n"/>
      <c r="D68" s="5" t="n"/>
      <c r="E68" s="15" t="n"/>
      <c r="F68" s="5" t="n"/>
      <c r="G68" s="6" t="n"/>
      <c r="H68" s="16" t="n"/>
      <c r="I68" s="16" t="n"/>
      <c r="J68" s="15">
        <f>IF(AND(ISNUMBER(H68),ISNUMBER(I68)),I68-H68+1,"")</f>
        <v/>
      </c>
      <c r="K68" s="5" t="n"/>
      <c r="L68" s="5" t="n"/>
      <c r="M68" s="5" t="n"/>
      <c r="N68" s="5" t="n"/>
      <c r="O68" s="5" t="n"/>
      <c r="Q68" s="10">
        <f>IF(TRIM(G68&amp;"")="","",TRIM(G68&amp;""))</f>
        <v/>
      </c>
      <c r="R68" s="10">
        <f>IF(TRIM(B68&amp;"")="","",IFERROR(INDEX(설정_코드표!$K$2:$K$101,MATCH(TRIM(B68&amp;""),설정_코드표!$J$2:$J$101,0)),"⚠"&amp;TRIM(B68&amp;"")))</f>
        <v/>
      </c>
      <c r="S68" s="10">
        <f>IF(TRIM(K68&amp;"")="","",IFERROR(INDEX(설정_코드표!$K$2:$K$101,MATCH(TRIM(K68&amp;""),설정_코드표!$J$2:$J$101,0)),"⚠"&amp;TRIM(K68&amp;"")))</f>
        <v/>
      </c>
      <c r="T68" s="10">
        <f>IF(TRIM(M68&amp;"")="","",IF(ISNUMBER(MATCH(TRIM(M68&amp;""),설정_코드표!$C$2:$C$11,0)),TRIM(M68&amp;""),"⚠"&amp;TRIM(M68&amp;"")))</f>
        <v/>
      </c>
      <c r="U68" s="10">
        <f>IF(TRIM(L68&amp;"")="","",IFERROR(INDEX(설정_코드표!$G$2:$G$101,MATCH(TRIM(L68&amp;""),설정_코드표!$F$2:$F$101,0)),"⚠"&amp;TRIM(L68&amp;"")))</f>
        <v/>
      </c>
      <c r="V68" s="10">
        <f>IF(AND(ISNUMBER(H68),ISNUMBER(I68)),I68-H68+1,"")</f>
        <v/>
      </c>
      <c r="W68" s="17">
        <f>IF(ISNUMBER(H68),MAX(0,MIN(IF(ISNUMBER(I68),I68,EOMONTH(출력_요약!$B$3,0)),EOMONTH(출력_요약!$B$3,0))-MAX(H68,출력_요약!$B$3)+1),0)</f>
        <v/>
      </c>
      <c r="X68" s="10">
        <f>IF(OR(NOT(ISNUMBER(H68)),Q68=""),"",IF(TODAY()&lt;H68,"파견예정",IF(AND(ISNUMBER(I68),TODAY()&gt;I68),"파견종료","파견중")))</f>
        <v/>
      </c>
      <c r="Y68" s="10">
        <f>IF(OR(Q68="",X68=""),"",Q68&amp;"|"&amp;X68)</f>
        <v/>
      </c>
      <c r="Z68" s="10">
        <f>IF(AND(Q68&lt;&gt;"",W68&gt;0),Q68&amp;"|월","")</f>
        <v/>
      </c>
      <c r="AA68" s="10">
        <f>IF(COUNTA(B68:I68,K68:N68)=0,"",IF(Q68="","등록번호 없음",IF(LEFT(R68,1)="⚠","모병원명 미등록",IF(S68="","파견병원 입력",IF(LEFT(S68,1)="⚠","파견병원명 미등록",IF(LEFT(U68,1)="⚠","파견과목 미등록",IF(OR(T68="",LEFT(T68,1)="⚠"),"파견근거 확인",IF(NOT(AND(ISNUMBER(H68),ISNUMBER(I68))),"날짜 형식/누락",IF(I68&lt;H68,"종료일&lt;시작일","")))))))))</f>
        <v/>
      </c>
      <c r="AB68" s="11">
        <f>IF(ISNUMBER(SEARCH("다기관",TRIM(N68&amp;" "&amp;O68))),IFERROR(DATE(VALUE(MID(TRIM(N68&amp;" "&amp;O68),1,4)),VALUE(MID(TRIM(N68&amp;" "&amp;O68),6,2)),VALUE(MID(TRIM(N68&amp;" "&amp;O68),9,2))),IF(ISNUMBER(H68),H68,"")),"")</f>
        <v/>
      </c>
      <c r="AC68" s="11">
        <f>IF(ISNUMBER(SEARCH("다기관",TRIM(N68&amp;" "&amp;O68))),IFERROR(DATE(VALUE(MID(TRIM(N68&amp;" "&amp;O68),12,4)),VALUE(MID(TRIM(N68&amp;" "&amp;O68),17,2)),VALUE(MID(TRIM(N68&amp;" "&amp;O68),20,2))),IF(ISNUMBER(I68),I68,"")),"")</f>
        <v/>
      </c>
      <c r="AD68" s="17">
        <f>IF(AND(ISNUMBER(AB68),ISNUMBER(AC68)),MAX(0,MIN(AC68,EOMONTH(출력_요약!$B$3,0))-MAX(AB68,출력_요약!$B$3)+1),0)</f>
        <v/>
      </c>
      <c r="AE68" s="10">
        <f>IF(AND(Q68&lt;&gt;"",ISNUMBER(AB68)),Q68&amp;"|다기관","")</f>
        <v/>
      </c>
    </row>
    <row r="69">
      <c r="A69" s="15">
        <f>IF(F69="","",ROW()-3)</f>
        <v/>
      </c>
      <c r="B69" s="5" t="n"/>
      <c r="C69" s="15" t="n"/>
      <c r="D69" s="5" t="n"/>
      <c r="E69" s="15" t="n"/>
      <c r="F69" s="5" t="n"/>
      <c r="G69" s="6" t="n"/>
      <c r="H69" s="16" t="n"/>
      <c r="I69" s="16" t="n"/>
      <c r="J69" s="15">
        <f>IF(AND(ISNUMBER(H69),ISNUMBER(I69)),I69-H69+1,"")</f>
        <v/>
      </c>
      <c r="K69" s="5" t="n"/>
      <c r="L69" s="5" t="n"/>
      <c r="M69" s="5" t="n"/>
      <c r="N69" s="5" t="n"/>
      <c r="O69" s="5" t="n"/>
      <c r="Q69" s="10">
        <f>IF(TRIM(G69&amp;"")="","",TRIM(G69&amp;""))</f>
        <v/>
      </c>
      <c r="R69" s="10">
        <f>IF(TRIM(B69&amp;"")="","",IFERROR(INDEX(설정_코드표!$K$2:$K$101,MATCH(TRIM(B69&amp;""),설정_코드표!$J$2:$J$101,0)),"⚠"&amp;TRIM(B69&amp;"")))</f>
        <v/>
      </c>
      <c r="S69" s="10">
        <f>IF(TRIM(K69&amp;"")="","",IFERROR(INDEX(설정_코드표!$K$2:$K$101,MATCH(TRIM(K69&amp;""),설정_코드표!$J$2:$J$101,0)),"⚠"&amp;TRIM(K69&amp;"")))</f>
        <v/>
      </c>
      <c r="T69" s="10">
        <f>IF(TRIM(M69&amp;"")="","",IF(ISNUMBER(MATCH(TRIM(M69&amp;""),설정_코드표!$C$2:$C$11,0)),TRIM(M69&amp;""),"⚠"&amp;TRIM(M69&amp;"")))</f>
        <v/>
      </c>
      <c r="U69" s="10">
        <f>IF(TRIM(L69&amp;"")="","",IFERROR(INDEX(설정_코드표!$G$2:$G$101,MATCH(TRIM(L69&amp;""),설정_코드표!$F$2:$F$101,0)),"⚠"&amp;TRIM(L69&amp;"")))</f>
        <v/>
      </c>
      <c r="V69" s="10">
        <f>IF(AND(ISNUMBER(H69),ISNUMBER(I69)),I69-H69+1,"")</f>
        <v/>
      </c>
      <c r="W69" s="17">
        <f>IF(ISNUMBER(H69),MAX(0,MIN(IF(ISNUMBER(I69),I69,EOMONTH(출력_요약!$B$3,0)),EOMONTH(출력_요약!$B$3,0))-MAX(H69,출력_요약!$B$3)+1),0)</f>
        <v/>
      </c>
      <c r="X69" s="10">
        <f>IF(OR(NOT(ISNUMBER(H69)),Q69=""),"",IF(TODAY()&lt;H69,"파견예정",IF(AND(ISNUMBER(I69),TODAY()&gt;I69),"파견종료","파견중")))</f>
        <v/>
      </c>
      <c r="Y69" s="10">
        <f>IF(OR(Q69="",X69=""),"",Q69&amp;"|"&amp;X69)</f>
        <v/>
      </c>
      <c r="Z69" s="10">
        <f>IF(AND(Q69&lt;&gt;"",W69&gt;0),Q69&amp;"|월","")</f>
        <v/>
      </c>
      <c r="AA69" s="10">
        <f>IF(COUNTA(B69:I69,K69:N69)=0,"",IF(Q69="","등록번호 없음",IF(LEFT(R69,1)="⚠","모병원명 미등록",IF(S69="","파견병원 입력",IF(LEFT(S69,1)="⚠","파견병원명 미등록",IF(LEFT(U69,1)="⚠","파견과목 미등록",IF(OR(T69="",LEFT(T69,1)="⚠"),"파견근거 확인",IF(NOT(AND(ISNUMBER(H69),ISNUMBER(I69))),"날짜 형식/누락",IF(I69&lt;H69,"종료일&lt;시작일","")))))))))</f>
        <v/>
      </c>
      <c r="AB69" s="11">
        <f>IF(ISNUMBER(SEARCH("다기관",TRIM(N69&amp;" "&amp;O69))),IFERROR(DATE(VALUE(MID(TRIM(N69&amp;" "&amp;O69),1,4)),VALUE(MID(TRIM(N69&amp;" "&amp;O69),6,2)),VALUE(MID(TRIM(N69&amp;" "&amp;O69),9,2))),IF(ISNUMBER(H69),H69,"")),"")</f>
        <v/>
      </c>
      <c r="AC69" s="11">
        <f>IF(ISNUMBER(SEARCH("다기관",TRIM(N69&amp;" "&amp;O69))),IFERROR(DATE(VALUE(MID(TRIM(N69&amp;" "&amp;O69),12,4)),VALUE(MID(TRIM(N69&amp;" "&amp;O69),17,2)),VALUE(MID(TRIM(N69&amp;" "&amp;O69),20,2))),IF(ISNUMBER(I69),I69,"")),"")</f>
        <v/>
      </c>
      <c r="AD69" s="17">
        <f>IF(AND(ISNUMBER(AB69),ISNUMBER(AC69)),MAX(0,MIN(AC69,EOMONTH(출력_요약!$B$3,0))-MAX(AB69,출력_요약!$B$3)+1),0)</f>
        <v/>
      </c>
      <c r="AE69" s="10">
        <f>IF(AND(Q69&lt;&gt;"",ISNUMBER(AB69)),Q69&amp;"|다기관","")</f>
        <v/>
      </c>
    </row>
    <row r="70">
      <c r="A70" s="15">
        <f>IF(F70="","",ROW()-3)</f>
        <v/>
      </c>
      <c r="B70" s="5" t="n"/>
      <c r="C70" s="15" t="n"/>
      <c r="D70" s="5" t="n"/>
      <c r="E70" s="15" t="n"/>
      <c r="F70" s="5" t="n"/>
      <c r="G70" s="6" t="n"/>
      <c r="H70" s="16" t="n"/>
      <c r="I70" s="16" t="n"/>
      <c r="J70" s="15">
        <f>IF(AND(ISNUMBER(H70),ISNUMBER(I70)),I70-H70+1,"")</f>
        <v/>
      </c>
      <c r="K70" s="5" t="n"/>
      <c r="L70" s="5" t="n"/>
      <c r="M70" s="5" t="n"/>
      <c r="N70" s="5" t="n"/>
      <c r="O70" s="5" t="n"/>
      <c r="Q70" s="10">
        <f>IF(TRIM(G70&amp;"")="","",TRIM(G70&amp;""))</f>
        <v/>
      </c>
      <c r="R70" s="10">
        <f>IF(TRIM(B70&amp;"")="","",IFERROR(INDEX(설정_코드표!$K$2:$K$101,MATCH(TRIM(B70&amp;""),설정_코드표!$J$2:$J$101,0)),"⚠"&amp;TRIM(B70&amp;"")))</f>
        <v/>
      </c>
      <c r="S70" s="10">
        <f>IF(TRIM(K70&amp;"")="","",IFERROR(INDEX(설정_코드표!$K$2:$K$101,MATCH(TRIM(K70&amp;""),설정_코드표!$J$2:$J$101,0)),"⚠"&amp;TRIM(K70&amp;"")))</f>
        <v/>
      </c>
      <c r="T70" s="10">
        <f>IF(TRIM(M70&amp;"")="","",IF(ISNUMBER(MATCH(TRIM(M70&amp;""),설정_코드표!$C$2:$C$11,0)),TRIM(M70&amp;""),"⚠"&amp;TRIM(M70&amp;"")))</f>
        <v/>
      </c>
      <c r="U70" s="10">
        <f>IF(TRIM(L70&amp;"")="","",IFERROR(INDEX(설정_코드표!$G$2:$G$101,MATCH(TRIM(L70&amp;""),설정_코드표!$F$2:$F$101,0)),"⚠"&amp;TRIM(L70&amp;"")))</f>
        <v/>
      </c>
      <c r="V70" s="10">
        <f>IF(AND(ISNUMBER(H70),ISNUMBER(I70)),I70-H70+1,"")</f>
        <v/>
      </c>
      <c r="W70" s="17">
        <f>IF(ISNUMBER(H70),MAX(0,MIN(IF(ISNUMBER(I70),I70,EOMONTH(출력_요약!$B$3,0)),EOMONTH(출력_요약!$B$3,0))-MAX(H70,출력_요약!$B$3)+1),0)</f>
        <v/>
      </c>
      <c r="X70" s="10">
        <f>IF(OR(NOT(ISNUMBER(H70)),Q70=""),"",IF(TODAY()&lt;H70,"파견예정",IF(AND(ISNUMBER(I70),TODAY()&gt;I70),"파견종료","파견중")))</f>
        <v/>
      </c>
      <c r="Y70" s="10">
        <f>IF(OR(Q70="",X70=""),"",Q70&amp;"|"&amp;X70)</f>
        <v/>
      </c>
      <c r="Z70" s="10">
        <f>IF(AND(Q70&lt;&gt;"",W70&gt;0),Q70&amp;"|월","")</f>
        <v/>
      </c>
      <c r="AA70" s="10">
        <f>IF(COUNTA(B70:I70,K70:N70)=0,"",IF(Q70="","등록번호 없음",IF(LEFT(R70,1)="⚠","모병원명 미등록",IF(S70="","파견병원 입력",IF(LEFT(S70,1)="⚠","파견병원명 미등록",IF(LEFT(U70,1)="⚠","파견과목 미등록",IF(OR(T70="",LEFT(T70,1)="⚠"),"파견근거 확인",IF(NOT(AND(ISNUMBER(H70),ISNUMBER(I70))),"날짜 형식/누락",IF(I70&lt;H70,"종료일&lt;시작일","")))))))))</f>
        <v/>
      </c>
      <c r="AB70" s="11">
        <f>IF(ISNUMBER(SEARCH("다기관",TRIM(N70&amp;" "&amp;O70))),IFERROR(DATE(VALUE(MID(TRIM(N70&amp;" "&amp;O70),1,4)),VALUE(MID(TRIM(N70&amp;" "&amp;O70),6,2)),VALUE(MID(TRIM(N70&amp;" "&amp;O70),9,2))),IF(ISNUMBER(H70),H70,"")),"")</f>
        <v/>
      </c>
      <c r="AC70" s="11">
        <f>IF(ISNUMBER(SEARCH("다기관",TRIM(N70&amp;" "&amp;O70))),IFERROR(DATE(VALUE(MID(TRIM(N70&amp;" "&amp;O70),12,4)),VALUE(MID(TRIM(N70&amp;" "&amp;O70),17,2)),VALUE(MID(TRIM(N70&amp;" "&amp;O70),20,2))),IF(ISNUMBER(I70),I70,"")),"")</f>
        <v/>
      </c>
      <c r="AD70" s="17">
        <f>IF(AND(ISNUMBER(AB70),ISNUMBER(AC70)),MAX(0,MIN(AC70,EOMONTH(출력_요약!$B$3,0))-MAX(AB70,출력_요약!$B$3)+1),0)</f>
        <v/>
      </c>
      <c r="AE70" s="10">
        <f>IF(AND(Q70&lt;&gt;"",ISNUMBER(AB70)),Q70&amp;"|다기관","")</f>
        <v/>
      </c>
    </row>
    <row r="71">
      <c r="A71" s="15">
        <f>IF(F71="","",ROW()-3)</f>
        <v/>
      </c>
      <c r="B71" s="5" t="n"/>
      <c r="C71" s="15" t="n"/>
      <c r="D71" s="5" t="n"/>
      <c r="E71" s="15" t="n"/>
      <c r="F71" s="5" t="n"/>
      <c r="G71" s="6" t="n"/>
      <c r="H71" s="16" t="n"/>
      <c r="I71" s="16" t="n"/>
      <c r="J71" s="15">
        <f>IF(AND(ISNUMBER(H71),ISNUMBER(I71)),I71-H71+1,"")</f>
        <v/>
      </c>
      <c r="K71" s="5" t="n"/>
      <c r="L71" s="5" t="n"/>
      <c r="M71" s="5" t="n"/>
      <c r="N71" s="5" t="n"/>
      <c r="O71" s="5" t="n"/>
      <c r="Q71" s="10">
        <f>IF(TRIM(G71&amp;"")="","",TRIM(G71&amp;""))</f>
        <v/>
      </c>
      <c r="R71" s="10">
        <f>IF(TRIM(B71&amp;"")="","",IFERROR(INDEX(설정_코드표!$K$2:$K$101,MATCH(TRIM(B71&amp;""),설정_코드표!$J$2:$J$101,0)),"⚠"&amp;TRIM(B71&amp;"")))</f>
        <v/>
      </c>
      <c r="S71" s="10">
        <f>IF(TRIM(K71&amp;"")="","",IFERROR(INDEX(설정_코드표!$K$2:$K$101,MATCH(TRIM(K71&amp;""),설정_코드표!$J$2:$J$101,0)),"⚠"&amp;TRIM(K71&amp;"")))</f>
        <v/>
      </c>
      <c r="T71" s="10">
        <f>IF(TRIM(M71&amp;"")="","",IF(ISNUMBER(MATCH(TRIM(M71&amp;""),설정_코드표!$C$2:$C$11,0)),TRIM(M71&amp;""),"⚠"&amp;TRIM(M71&amp;"")))</f>
        <v/>
      </c>
      <c r="U71" s="10">
        <f>IF(TRIM(L71&amp;"")="","",IFERROR(INDEX(설정_코드표!$G$2:$G$101,MATCH(TRIM(L71&amp;""),설정_코드표!$F$2:$F$101,0)),"⚠"&amp;TRIM(L71&amp;"")))</f>
        <v/>
      </c>
      <c r="V71" s="10">
        <f>IF(AND(ISNUMBER(H71),ISNUMBER(I71)),I71-H71+1,"")</f>
        <v/>
      </c>
      <c r="W71" s="17">
        <f>IF(ISNUMBER(H71),MAX(0,MIN(IF(ISNUMBER(I71),I71,EOMONTH(출력_요약!$B$3,0)),EOMONTH(출력_요약!$B$3,0))-MAX(H71,출력_요약!$B$3)+1),0)</f>
        <v/>
      </c>
      <c r="X71" s="10">
        <f>IF(OR(NOT(ISNUMBER(H71)),Q71=""),"",IF(TODAY()&lt;H71,"파견예정",IF(AND(ISNUMBER(I71),TODAY()&gt;I71),"파견종료","파견중")))</f>
        <v/>
      </c>
      <c r="Y71" s="10">
        <f>IF(OR(Q71="",X71=""),"",Q71&amp;"|"&amp;X71)</f>
        <v/>
      </c>
      <c r="Z71" s="10">
        <f>IF(AND(Q71&lt;&gt;"",W71&gt;0),Q71&amp;"|월","")</f>
        <v/>
      </c>
      <c r="AA71" s="10">
        <f>IF(COUNTA(B71:I71,K71:N71)=0,"",IF(Q71="","등록번호 없음",IF(LEFT(R71,1)="⚠","모병원명 미등록",IF(S71="","파견병원 입력",IF(LEFT(S71,1)="⚠","파견병원명 미등록",IF(LEFT(U71,1)="⚠","파견과목 미등록",IF(OR(T71="",LEFT(T71,1)="⚠"),"파견근거 확인",IF(NOT(AND(ISNUMBER(H71),ISNUMBER(I71))),"날짜 형식/누락",IF(I71&lt;H71,"종료일&lt;시작일","")))))))))</f>
        <v/>
      </c>
      <c r="AB71" s="11">
        <f>IF(ISNUMBER(SEARCH("다기관",TRIM(N71&amp;" "&amp;O71))),IFERROR(DATE(VALUE(MID(TRIM(N71&amp;" "&amp;O71),1,4)),VALUE(MID(TRIM(N71&amp;" "&amp;O71),6,2)),VALUE(MID(TRIM(N71&amp;" "&amp;O71),9,2))),IF(ISNUMBER(H71),H71,"")),"")</f>
        <v/>
      </c>
      <c r="AC71" s="11">
        <f>IF(ISNUMBER(SEARCH("다기관",TRIM(N71&amp;" "&amp;O71))),IFERROR(DATE(VALUE(MID(TRIM(N71&amp;" "&amp;O71),12,4)),VALUE(MID(TRIM(N71&amp;" "&amp;O71),17,2)),VALUE(MID(TRIM(N71&amp;" "&amp;O71),20,2))),IF(ISNUMBER(I71),I71,"")),"")</f>
        <v/>
      </c>
      <c r="AD71" s="17">
        <f>IF(AND(ISNUMBER(AB71),ISNUMBER(AC71)),MAX(0,MIN(AC71,EOMONTH(출력_요약!$B$3,0))-MAX(AB71,출력_요약!$B$3)+1),0)</f>
        <v/>
      </c>
      <c r="AE71" s="10">
        <f>IF(AND(Q71&lt;&gt;"",ISNUMBER(AB71)),Q71&amp;"|다기관","")</f>
        <v/>
      </c>
    </row>
    <row r="72">
      <c r="A72" s="15">
        <f>IF(F72="","",ROW()-3)</f>
        <v/>
      </c>
      <c r="B72" s="5" t="n"/>
      <c r="C72" s="15" t="n"/>
      <c r="D72" s="5" t="n"/>
      <c r="E72" s="15" t="n"/>
      <c r="F72" s="5" t="n"/>
      <c r="G72" s="6" t="n"/>
      <c r="H72" s="16" t="n"/>
      <c r="I72" s="16" t="n"/>
      <c r="J72" s="15">
        <f>IF(AND(ISNUMBER(H72),ISNUMBER(I72)),I72-H72+1,"")</f>
        <v/>
      </c>
      <c r="K72" s="5" t="n"/>
      <c r="L72" s="5" t="n"/>
      <c r="M72" s="5" t="n"/>
      <c r="N72" s="5" t="n"/>
      <c r="O72" s="5" t="n"/>
      <c r="Q72" s="10">
        <f>IF(TRIM(G72&amp;"")="","",TRIM(G72&amp;""))</f>
        <v/>
      </c>
      <c r="R72" s="10">
        <f>IF(TRIM(B72&amp;"")="","",IFERROR(INDEX(설정_코드표!$K$2:$K$101,MATCH(TRIM(B72&amp;""),설정_코드표!$J$2:$J$101,0)),"⚠"&amp;TRIM(B72&amp;"")))</f>
        <v/>
      </c>
      <c r="S72" s="10">
        <f>IF(TRIM(K72&amp;"")="","",IFERROR(INDEX(설정_코드표!$K$2:$K$101,MATCH(TRIM(K72&amp;""),설정_코드표!$J$2:$J$101,0)),"⚠"&amp;TRIM(K72&amp;"")))</f>
        <v/>
      </c>
      <c r="T72" s="10">
        <f>IF(TRIM(M72&amp;"")="","",IF(ISNUMBER(MATCH(TRIM(M72&amp;""),설정_코드표!$C$2:$C$11,0)),TRIM(M72&amp;""),"⚠"&amp;TRIM(M72&amp;"")))</f>
        <v/>
      </c>
      <c r="U72" s="10">
        <f>IF(TRIM(L72&amp;"")="","",IFERROR(INDEX(설정_코드표!$G$2:$G$101,MATCH(TRIM(L72&amp;""),설정_코드표!$F$2:$F$101,0)),"⚠"&amp;TRIM(L72&amp;"")))</f>
        <v/>
      </c>
      <c r="V72" s="10">
        <f>IF(AND(ISNUMBER(H72),ISNUMBER(I72)),I72-H72+1,"")</f>
        <v/>
      </c>
      <c r="W72" s="17">
        <f>IF(ISNUMBER(H72),MAX(0,MIN(IF(ISNUMBER(I72),I72,EOMONTH(출력_요약!$B$3,0)),EOMONTH(출력_요약!$B$3,0))-MAX(H72,출력_요약!$B$3)+1),0)</f>
        <v/>
      </c>
      <c r="X72" s="10">
        <f>IF(OR(NOT(ISNUMBER(H72)),Q72=""),"",IF(TODAY()&lt;H72,"파견예정",IF(AND(ISNUMBER(I72),TODAY()&gt;I72),"파견종료","파견중")))</f>
        <v/>
      </c>
      <c r="Y72" s="10">
        <f>IF(OR(Q72="",X72=""),"",Q72&amp;"|"&amp;X72)</f>
        <v/>
      </c>
      <c r="Z72" s="10">
        <f>IF(AND(Q72&lt;&gt;"",W72&gt;0),Q72&amp;"|월","")</f>
        <v/>
      </c>
      <c r="AA72" s="10">
        <f>IF(COUNTA(B72:I72,K72:N72)=0,"",IF(Q72="","등록번호 없음",IF(LEFT(R72,1)="⚠","모병원명 미등록",IF(S72="","파견병원 입력",IF(LEFT(S72,1)="⚠","파견병원명 미등록",IF(LEFT(U72,1)="⚠","파견과목 미등록",IF(OR(T72="",LEFT(T72,1)="⚠"),"파견근거 확인",IF(NOT(AND(ISNUMBER(H72),ISNUMBER(I72))),"날짜 형식/누락",IF(I72&lt;H72,"종료일&lt;시작일","")))))))))</f>
        <v/>
      </c>
      <c r="AB72" s="11">
        <f>IF(ISNUMBER(SEARCH("다기관",TRIM(N72&amp;" "&amp;O72))),IFERROR(DATE(VALUE(MID(TRIM(N72&amp;" "&amp;O72),1,4)),VALUE(MID(TRIM(N72&amp;" "&amp;O72),6,2)),VALUE(MID(TRIM(N72&amp;" "&amp;O72),9,2))),IF(ISNUMBER(H72),H72,"")),"")</f>
        <v/>
      </c>
      <c r="AC72" s="11">
        <f>IF(ISNUMBER(SEARCH("다기관",TRIM(N72&amp;" "&amp;O72))),IFERROR(DATE(VALUE(MID(TRIM(N72&amp;" "&amp;O72),12,4)),VALUE(MID(TRIM(N72&amp;" "&amp;O72),17,2)),VALUE(MID(TRIM(N72&amp;" "&amp;O72),20,2))),IF(ISNUMBER(I72),I72,"")),"")</f>
        <v/>
      </c>
      <c r="AD72" s="17">
        <f>IF(AND(ISNUMBER(AB72),ISNUMBER(AC72)),MAX(0,MIN(AC72,EOMONTH(출력_요약!$B$3,0))-MAX(AB72,출력_요약!$B$3)+1),0)</f>
        <v/>
      </c>
      <c r="AE72" s="10">
        <f>IF(AND(Q72&lt;&gt;"",ISNUMBER(AB72)),Q72&amp;"|다기관","")</f>
        <v/>
      </c>
    </row>
    <row r="73">
      <c r="A73" s="15">
        <f>IF(F73="","",ROW()-3)</f>
        <v/>
      </c>
      <c r="B73" s="5" t="n"/>
      <c r="C73" s="15" t="n"/>
      <c r="D73" s="5" t="n"/>
      <c r="E73" s="15" t="n"/>
      <c r="F73" s="5" t="n"/>
      <c r="G73" s="6" t="n"/>
      <c r="H73" s="16" t="n"/>
      <c r="I73" s="16" t="n"/>
      <c r="J73" s="15">
        <f>IF(AND(ISNUMBER(H73),ISNUMBER(I73)),I73-H73+1,"")</f>
        <v/>
      </c>
      <c r="K73" s="5" t="n"/>
      <c r="L73" s="5" t="n"/>
      <c r="M73" s="5" t="n"/>
      <c r="N73" s="5" t="n"/>
      <c r="O73" s="5" t="n"/>
      <c r="Q73" s="10">
        <f>IF(TRIM(G73&amp;"")="","",TRIM(G73&amp;""))</f>
        <v/>
      </c>
      <c r="R73" s="10">
        <f>IF(TRIM(B73&amp;"")="","",IFERROR(INDEX(설정_코드표!$K$2:$K$101,MATCH(TRIM(B73&amp;""),설정_코드표!$J$2:$J$101,0)),"⚠"&amp;TRIM(B73&amp;"")))</f>
        <v/>
      </c>
      <c r="S73" s="10">
        <f>IF(TRIM(K73&amp;"")="","",IFERROR(INDEX(설정_코드표!$K$2:$K$101,MATCH(TRIM(K73&amp;""),설정_코드표!$J$2:$J$101,0)),"⚠"&amp;TRIM(K73&amp;"")))</f>
        <v/>
      </c>
      <c r="T73" s="10">
        <f>IF(TRIM(M73&amp;"")="","",IF(ISNUMBER(MATCH(TRIM(M73&amp;""),설정_코드표!$C$2:$C$11,0)),TRIM(M73&amp;""),"⚠"&amp;TRIM(M73&amp;"")))</f>
        <v/>
      </c>
      <c r="U73" s="10">
        <f>IF(TRIM(L73&amp;"")="","",IFERROR(INDEX(설정_코드표!$G$2:$G$101,MATCH(TRIM(L73&amp;""),설정_코드표!$F$2:$F$101,0)),"⚠"&amp;TRIM(L73&amp;"")))</f>
        <v/>
      </c>
      <c r="V73" s="10">
        <f>IF(AND(ISNUMBER(H73),ISNUMBER(I73)),I73-H73+1,"")</f>
        <v/>
      </c>
      <c r="W73" s="17">
        <f>IF(ISNUMBER(H73),MAX(0,MIN(IF(ISNUMBER(I73),I73,EOMONTH(출력_요약!$B$3,0)),EOMONTH(출력_요약!$B$3,0))-MAX(H73,출력_요약!$B$3)+1),0)</f>
        <v/>
      </c>
      <c r="X73" s="10">
        <f>IF(OR(NOT(ISNUMBER(H73)),Q73=""),"",IF(TODAY()&lt;H73,"파견예정",IF(AND(ISNUMBER(I73),TODAY()&gt;I73),"파견종료","파견중")))</f>
        <v/>
      </c>
      <c r="Y73" s="10">
        <f>IF(OR(Q73="",X73=""),"",Q73&amp;"|"&amp;X73)</f>
        <v/>
      </c>
      <c r="Z73" s="10">
        <f>IF(AND(Q73&lt;&gt;"",W73&gt;0),Q73&amp;"|월","")</f>
        <v/>
      </c>
      <c r="AA73" s="10">
        <f>IF(COUNTA(B73:I73,K73:N73)=0,"",IF(Q73="","등록번호 없음",IF(LEFT(R73,1)="⚠","모병원명 미등록",IF(S73="","파견병원 입력",IF(LEFT(S73,1)="⚠","파견병원명 미등록",IF(LEFT(U73,1)="⚠","파견과목 미등록",IF(OR(T73="",LEFT(T73,1)="⚠"),"파견근거 확인",IF(NOT(AND(ISNUMBER(H73),ISNUMBER(I73))),"날짜 형식/누락",IF(I73&lt;H73,"종료일&lt;시작일","")))))))))</f>
        <v/>
      </c>
      <c r="AB73" s="11">
        <f>IF(ISNUMBER(SEARCH("다기관",TRIM(N73&amp;" "&amp;O73))),IFERROR(DATE(VALUE(MID(TRIM(N73&amp;" "&amp;O73),1,4)),VALUE(MID(TRIM(N73&amp;" "&amp;O73),6,2)),VALUE(MID(TRIM(N73&amp;" "&amp;O73),9,2))),IF(ISNUMBER(H73),H73,"")),"")</f>
        <v/>
      </c>
      <c r="AC73" s="11">
        <f>IF(ISNUMBER(SEARCH("다기관",TRIM(N73&amp;" "&amp;O73))),IFERROR(DATE(VALUE(MID(TRIM(N73&amp;" "&amp;O73),12,4)),VALUE(MID(TRIM(N73&amp;" "&amp;O73),17,2)),VALUE(MID(TRIM(N73&amp;" "&amp;O73),20,2))),IF(ISNUMBER(I73),I73,"")),"")</f>
        <v/>
      </c>
      <c r="AD73" s="17">
        <f>IF(AND(ISNUMBER(AB73),ISNUMBER(AC73)),MAX(0,MIN(AC73,EOMONTH(출력_요약!$B$3,0))-MAX(AB73,출력_요약!$B$3)+1),0)</f>
        <v/>
      </c>
      <c r="AE73" s="10">
        <f>IF(AND(Q73&lt;&gt;"",ISNUMBER(AB73)),Q73&amp;"|다기관","")</f>
        <v/>
      </c>
    </row>
    <row r="74">
      <c r="A74" s="15">
        <f>IF(F74="","",ROW()-3)</f>
        <v/>
      </c>
      <c r="B74" s="5" t="n"/>
      <c r="C74" s="15" t="n"/>
      <c r="D74" s="5" t="n"/>
      <c r="E74" s="15" t="n"/>
      <c r="F74" s="5" t="n"/>
      <c r="G74" s="6" t="n"/>
      <c r="H74" s="16" t="n"/>
      <c r="I74" s="16" t="n"/>
      <c r="J74" s="15">
        <f>IF(AND(ISNUMBER(H74),ISNUMBER(I74)),I74-H74+1,"")</f>
        <v/>
      </c>
      <c r="K74" s="5" t="n"/>
      <c r="L74" s="5" t="n"/>
      <c r="M74" s="5" t="n"/>
      <c r="N74" s="5" t="n"/>
      <c r="O74" s="5" t="n"/>
      <c r="Q74" s="10">
        <f>IF(TRIM(G74&amp;"")="","",TRIM(G74&amp;""))</f>
        <v/>
      </c>
      <c r="R74" s="10">
        <f>IF(TRIM(B74&amp;"")="","",IFERROR(INDEX(설정_코드표!$K$2:$K$101,MATCH(TRIM(B74&amp;""),설정_코드표!$J$2:$J$101,0)),"⚠"&amp;TRIM(B74&amp;"")))</f>
        <v/>
      </c>
      <c r="S74" s="10">
        <f>IF(TRIM(K74&amp;"")="","",IFERROR(INDEX(설정_코드표!$K$2:$K$101,MATCH(TRIM(K74&amp;""),설정_코드표!$J$2:$J$101,0)),"⚠"&amp;TRIM(K74&amp;"")))</f>
        <v/>
      </c>
      <c r="T74" s="10">
        <f>IF(TRIM(M74&amp;"")="","",IF(ISNUMBER(MATCH(TRIM(M74&amp;""),설정_코드표!$C$2:$C$11,0)),TRIM(M74&amp;""),"⚠"&amp;TRIM(M74&amp;"")))</f>
        <v/>
      </c>
      <c r="U74" s="10">
        <f>IF(TRIM(L74&amp;"")="","",IFERROR(INDEX(설정_코드표!$G$2:$G$101,MATCH(TRIM(L74&amp;""),설정_코드표!$F$2:$F$101,0)),"⚠"&amp;TRIM(L74&amp;"")))</f>
        <v/>
      </c>
      <c r="V74" s="10">
        <f>IF(AND(ISNUMBER(H74),ISNUMBER(I74)),I74-H74+1,"")</f>
        <v/>
      </c>
      <c r="W74" s="17">
        <f>IF(ISNUMBER(H74),MAX(0,MIN(IF(ISNUMBER(I74),I74,EOMONTH(출력_요약!$B$3,0)),EOMONTH(출력_요약!$B$3,0))-MAX(H74,출력_요약!$B$3)+1),0)</f>
        <v/>
      </c>
      <c r="X74" s="10">
        <f>IF(OR(NOT(ISNUMBER(H74)),Q74=""),"",IF(TODAY()&lt;H74,"파견예정",IF(AND(ISNUMBER(I74),TODAY()&gt;I74),"파견종료","파견중")))</f>
        <v/>
      </c>
      <c r="Y74" s="10">
        <f>IF(OR(Q74="",X74=""),"",Q74&amp;"|"&amp;X74)</f>
        <v/>
      </c>
      <c r="Z74" s="10">
        <f>IF(AND(Q74&lt;&gt;"",W74&gt;0),Q74&amp;"|월","")</f>
        <v/>
      </c>
      <c r="AA74" s="10">
        <f>IF(COUNTA(B74:I74,K74:N74)=0,"",IF(Q74="","등록번호 없음",IF(LEFT(R74,1)="⚠","모병원명 미등록",IF(S74="","파견병원 입력",IF(LEFT(S74,1)="⚠","파견병원명 미등록",IF(LEFT(U74,1)="⚠","파견과목 미등록",IF(OR(T74="",LEFT(T74,1)="⚠"),"파견근거 확인",IF(NOT(AND(ISNUMBER(H74),ISNUMBER(I74))),"날짜 형식/누락",IF(I74&lt;H74,"종료일&lt;시작일","")))))))))</f>
        <v/>
      </c>
      <c r="AB74" s="11">
        <f>IF(ISNUMBER(SEARCH("다기관",TRIM(N74&amp;" "&amp;O74))),IFERROR(DATE(VALUE(MID(TRIM(N74&amp;" "&amp;O74),1,4)),VALUE(MID(TRIM(N74&amp;" "&amp;O74),6,2)),VALUE(MID(TRIM(N74&amp;" "&amp;O74),9,2))),IF(ISNUMBER(H74),H74,"")),"")</f>
        <v/>
      </c>
      <c r="AC74" s="11">
        <f>IF(ISNUMBER(SEARCH("다기관",TRIM(N74&amp;" "&amp;O74))),IFERROR(DATE(VALUE(MID(TRIM(N74&amp;" "&amp;O74),12,4)),VALUE(MID(TRIM(N74&amp;" "&amp;O74),17,2)),VALUE(MID(TRIM(N74&amp;" "&amp;O74),20,2))),IF(ISNUMBER(I74),I74,"")),"")</f>
        <v/>
      </c>
      <c r="AD74" s="17">
        <f>IF(AND(ISNUMBER(AB74),ISNUMBER(AC74)),MAX(0,MIN(AC74,EOMONTH(출력_요약!$B$3,0))-MAX(AB74,출력_요약!$B$3)+1),0)</f>
        <v/>
      </c>
      <c r="AE74" s="10">
        <f>IF(AND(Q74&lt;&gt;"",ISNUMBER(AB74)),Q74&amp;"|다기관","")</f>
        <v/>
      </c>
    </row>
    <row r="75">
      <c r="A75" s="15">
        <f>IF(F75="","",ROW()-3)</f>
        <v/>
      </c>
      <c r="B75" s="5" t="n"/>
      <c r="C75" s="15" t="n"/>
      <c r="D75" s="5" t="n"/>
      <c r="E75" s="15" t="n"/>
      <c r="F75" s="5" t="n"/>
      <c r="G75" s="6" t="n"/>
      <c r="H75" s="16" t="n"/>
      <c r="I75" s="16" t="n"/>
      <c r="J75" s="15">
        <f>IF(AND(ISNUMBER(H75),ISNUMBER(I75)),I75-H75+1,"")</f>
        <v/>
      </c>
      <c r="K75" s="5" t="n"/>
      <c r="L75" s="5" t="n"/>
      <c r="M75" s="5" t="n"/>
      <c r="N75" s="5" t="n"/>
      <c r="O75" s="5" t="n"/>
      <c r="Q75" s="10">
        <f>IF(TRIM(G75&amp;"")="","",TRIM(G75&amp;""))</f>
        <v/>
      </c>
      <c r="R75" s="10">
        <f>IF(TRIM(B75&amp;"")="","",IFERROR(INDEX(설정_코드표!$K$2:$K$101,MATCH(TRIM(B75&amp;""),설정_코드표!$J$2:$J$101,0)),"⚠"&amp;TRIM(B75&amp;"")))</f>
        <v/>
      </c>
      <c r="S75" s="10">
        <f>IF(TRIM(K75&amp;"")="","",IFERROR(INDEX(설정_코드표!$K$2:$K$101,MATCH(TRIM(K75&amp;""),설정_코드표!$J$2:$J$101,0)),"⚠"&amp;TRIM(K75&amp;"")))</f>
        <v/>
      </c>
      <c r="T75" s="10">
        <f>IF(TRIM(M75&amp;"")="","",IF(ISNUMBER(MATCH(TRIM(M75&amp;""),설정_코드표!$C$2:$C$11,0)),TRIM(M75&amp;""),"⚠"&amp;TRIM(M75&amp;"")))</f>
        <v/>
      </c>
      <c r="U75" s="10">
        <f>IF(TRIM(L75&amp;"")="","",IFERROR(INDEX(설정_코드표!$G$2:$G$101,MATCH(TRIM(L75&amp;""),설정_코드표!$F$2:$F$101,0)),"⚠"&amp;TRIM(L75&amp;"")))</f>
        <v/>
      </c>
      <c r="V75" s="10">
        <f>IF(AND(ISNUMBER(H75),ISNUMBER(I75)),I75-H75+1,"")</f>
        <v/>
      </c>
      <c r="W75" s="17">
        <f>IF(ISNUMBER(H75),MAX(0,MIN(IF(ISNUMBER(I75),I75,EOMONTH(출력_요약!$B$3,0)),EOMONTH(출력_요약!$B$3,0))-MAX(H75,출력_요약!$B$3)+1),0)</f>
        <v/>
      </c>
      <c r="X75" s="10">
        <f>IF(OR(NOT(ISNUMBER(H75)),Q75=""),"",IF(TODAY()&lt;H75,"파견예정",IF(AND(ISNUMBER(I75),TODAY()&gt;I75),"파견종료","파견중")))</f>
        <v/>
      </c>
      <c r="Y75" s="10">
        <f>IF(OR(Q75="",X75=""),"",Q75&amp;"|"&amp;X75)</f>
        <v/>
      </c>
      <c r="Z75" s="10">
        <f>IF(AND(Q75&lt;&gt;"",W75&gt;0),Q75&amp;"|월","")</f>
        <v/>
      </c>
      <c r="AA75" s="10">
        <f>IF(COUNTA(B75:I75,K75:N75)=0,"",IF(Q75="","등록번호 없음",IF(LEFT(R75,1)="⚠","모병원명 미등록",IF(S75="","파견병원 입력",IF(LEFT(S75,1)="⚠","파견병원명 미등록",IF(LEFT(U75,1)="⚠","파견과목 미등록",IF(OR(T75="",LEFT(T75,1)="⚠"),"파견근거 확인",IF(NOT(AND(ISNUMBER(H75),ISNUMBER(I75))),"날짜 형식/누락",IF(I75&lt;H75,"종료일&lt;시작일","")))))))))</f>
        <v/>
      </c>
      <c r="AB75" s="11">
        <f>IF(ISNUMBER(SEARCH("다기관",TRIM(N75&amp;" "&amp;O75))),IFERROR(DATE(VALUE(MID(TRIM(N75&amp;" "&amp;O75),1,4)),VALUE(MID(TRIM(N75&amp;" "&amp;O75),6,2)),VALUE(MID(TRIM(N75&amp;" "&amp;O75),9,2))),IF(ISNUMBER(H75),H75,"")),"")</f>
        <v/>
      </c>
      <c r="AC75" s="11">
        <f>IF(ISNUMBER(SEARCH("다기관",TRIM(N75&amp;" "&amp;O75))),IFERROR(DATE(VALUE(MID(TRIM(N75&amp;" "&amp;O75),12,4)),VALUE(MID(TRIM(N75&amp;" "&amp;O75),17,2)),VALUE(MID(TRIM(N75&amp;" "&amp;O75),20,2))),IF(ISNUMBER(I75),I75,"")),"")</f>
        <v/>
      </c>
      <c r="AD75" s="17">
        <f>IF(AND(ISNUMBER(AB75),ISNUMBER(AC75)),MAX(0,MIN(AC75,EOMONTH(출력_요약!$B$3,0))-MAX(AB75,출력_요약!$B$3)+1),0)</f>
        <v/>
      </c>
      <c r="AE75" s="10">
        <f>IF(AND(Q75&lt;&gt;"",ISNUMBER(AB75)),Q75&amp;"|다기관","")</f>
        <v/>
      </c>
    </row>
    <row r="76">
      <c r="A76" s="15">
        <f>IF(F76="","",ROW()-3)</f>
        <v/>
      </c>
      <c r="B76" s="5" t="n"/>
      <c r="C76" s="15" t="n"/>
      <c r="D76" s="5" t="n"/>
      <c r="E76" s="15" t="n"/>
      <c r="F76" s="5" t="n"/>
      <c r="G76" s="6" t="n"/>
      <c r="H76" s="16" t="n"/>
      <c r="I76" s="16" t="n"/>
      <c r="J76" s="15">
        <f>IF(AND(ISNUMBER(H76),ISNUMBER(I76)),I76-H76+1,"")</f>
        <v/>
      </c>
      <c r="K76" s="5" t="n"/>
      <c r="L76" s="5" t="n"/>
      <c r="M76" s="5" t="n"/>
      <c r="N76" s="5" t="n"/>
      <c r="O76" s="5" t="n"/>
      <c r="Q76" s="10">
        <f>IF(TRIM(G76&amp;"")="","",TRIM(G76&amp;""))</f>
        <v/>
      </c>
      <c r="R76" s="10">
        <f>IF(TRIM(B76&amp;"")="","",IFERROR(INDEX(설정_코드표!$K$2:$K$101,MATCH(TRIM(B76&amp;""),설정_코드표!$J$2:$J$101,0)),"⚠"&amp;TRIM(B76&amp;"")))</f>
        <v/>
      </c>
      <c r="S76" s="10">
        <f>IF(TRIM(K76&amp;"")="","",IFERROR(INDEX(설정_코드표!$K$2:$K$101,MATCH(TRIM(K76&amp;""),설정_코드표!$J$2:$J$101,0)),"⚠"&amp;TRIM(K76&amp;"")))</f>
        <v/>
      </c>
      <c r="T76" s="10">
        <f>IF(TRIM(M76&amp;"")="","",IF(ISNUMBER(MATCH(TRIM(M76&amp;""),설정_코드표!$C$2:$C$11,0)),TRIM(M76&amp;""),"⚠"&amp;TRIM(M76&amp;"")))</f>
        <v/>
      </c>
      <c r="U76" s="10">
        <f>IF(TRIM(L76&amp;"")="","",IFERROR(INDEX(설정_코드표!$G$2:$G$101,MATCH(TRIM(L76&amp;""),설정_코드표!$F$2:$F$101,0)),"⚠"&amp;TRIM(L76&amp;"")))</f>
        <v/>
      </c>
      <c r="V76" s="10">
        <f>IF(AND(ISNUMBER(H76),ISNUMBER(I76)),I76-H76+1,"")</f>
        <v/>
      </c>
      <c r="W76" s="17">
        <f>IF(ISNUMBER(H76),MAX(0,MIN(IF(ISNUMBER(I76),I76,EOMONTH(출력_요약!$B$3,0)),EOMONTH(출력_요약!$B$3,0))-MAX(H76,출력_요약!$B$3)+1),0)</f>
        <v/>
      </c>
      <c r="X76" s="10">
        <f>IF(OR(NOT(ISNUMBER(H76)),Q76=""),"",IF(TODAY()&lt;H76,"파견예정",IF(AND(ISNUMBER(I76),TODAY()&gt;I76),"파견종료","파견중")))</f>
        <v/>
      </c>
      <c r="Y76" s="10">
        <f>IF(OR(Q76="",X76=""),"",Q76&amp;"|"&amp;X76)</f>
        <v/>
      </c>
      <c r="Z76" s="10">
        <f>IF(AND(Q76&lt;&gt;"",W76&gt;0),Q76&amp;"|월","")</f>
        <v/>
      </c>
      <c r="AA76" s="10">
        <f>IF(COUNTA(B76:I76,K76:N76)=0,"",IF(Q76="","등록번호 없음",IF(LEFT(R76,1)="⚠","모병원명 미등록",IF(S76="","파견병원 입력",IF(LEFT(S76,1)="⚠","파견병원명 미등록",IF(LEFT(U76,1)="⚠","파견과목 미등록",IF(OR(T76="",LEFT(T76,1)="⚠"),"파견근거 확인",IF(NOT(AND(ISNUMBER(H76),ISNUMBER(I76))),"날짜 형식/누락",IF(I76&lt;H76,"종료일&lt;시작일","")))))))))</f>
        <v/>
      </c>
      <c r="AB76" s="11">
        <f>IF(ISNUMBER(SEARCH("다기관",TRIM(N76&amp;" "&amp;O76))),IFERROR(DATE(VALUE(MID(TRIM(N76&amp;" "&amp;O76),1,4)),VALUE(MID(TRIM(N76&amp;" "&amp;O76),6,2)),VALUE(MID(TRIM(N76&amp;" "&amp;O76),9,2))),IF(ISNUMBER(H76),H76,"")),"")</f>
        <v/>
      </c>
      <c r="AC76" s="11">
        <f>IF(ISNUMBER(SEARCH("다기관",TRIM(N76&amp;" "&amp;O76))),IFERROR(DATE(VALUE(MID(TRIM(N76&amp;" "&amp;O76),12,4)),VALUE(MID(TRIM(N76&amp;" "&amp;O76),17,2)),VALUE(MID(TRIM(N76&amp;" "&amp;O76),20,2))),IF(ISNUMBER(I76),I76,"")),"")</f>
        <v/>
      </c>
      <c r="AD76" s="17">
        <f>IF(AND(ISNUMBER(AB76),ISNUMBER(AC76)),MAX(0,MIN(AC76,EOMONTH(출력_요약!$B$3,0))-MAX(AB76,출력_요약!$B$3)+1),0)</f>
        <v/>
      </c>
      <c r="AE76" s="10">
        <f>IF(AND(Q76&lt;&gt;"",ISNUMBER(AB76)),Q76&amp;"|다기관","")</f>
        <v/>
      </c>
    </row>
    <row r="77">
      <c r="A77" s="15">
        <f>IF(F77="","",ROW()-3)</f>
        <v/>
      </c>
      <c r="B77" s="5" t="n"/>
      <c r="C77" s="15" t="n"/>
      <c r="D77" s="5" t="n"/>
      <c r="E77" s="15" t="n"/>
      <c r="F77" s="5" t="n"/>
      <c r="G77" s="6" t="n"/>
      <c r="H77" s="16" t="n"/>
      <c r="I77" s="16" t="n"/>
      <c r="J77" s="15">
        <f>IF(AND(ISNUMBER(H77),ISNUMBER(I77)),I77-H77+1,"")</f>
        <v/>
      </c>
      <c r="K77" s="5" t="n"/>
      <c r="L77" s="5" t="n"/>
      <c r="M77" s="5" t="n"/>
      <c r="N77" s="5" t="n"/>
      <c r="O77" s="5" t="n"/>
      <c r="Q77" s="10">
        <f>IF(TRIM(G77&amp;"")="","",TRIM(G77&amp;""))</f>
        <v/>
      </c>
      <c r="R77" s="10">
        <f>IF(TRIM(B77&amp;"")="","",IFERROR(INDEX(설정_코드표!$K$2:$K$101,MATCH(TRIM(B77&amp;""),설정_코드표!$J$2:$J$101,0)),"⚠"&amp;TRIM(B77&amp;"")))</f>
        <v/>
      </c>
      <c r="S77" s="10">
        <f>IF(TRIM(K77&amp;"")="","",IFERROR(INDEX(설정_코드표!$K$2:$K$101,MATCH(TRIM(K77&amp;""),설정_코드표!$J$2:$J$101,0)),"⚠"&amp;TRIM(K77&amp;"")))</f>
        <v/>
      </c>
      <c r="T77" s="10">
        <f>IF(TRIM(M77&amp;"")="","",IF(ISNUMBER(MATCH(TRIM(M77&amp;""),설정_코드표!$C$2:$C$11,0)),TRIM(M77&amp;""),"⚠"&amp;TRIM(M77&amp;"")))</f>
        <v/>
      </c>
      <c r="U77" s="10">
        <f>IF(TRIM(L77&amp;"")="","",IFERROR(INDEX(설정_코드표!$G$2:$G$101,MATCH(TRIM(L77&amp;""),설정_코드표!$F$2:$F$101,0)),"⚠"&amp;TRIM(L77&amp;"")))</f>
        <v/>
      </c>
      <c r="V77" s="10">
        <f>IF(AND(ISNUMBER(H77),ISNUMBER(I77)),I77-H77+1,"")</f>
        <v/>
      </c>
      <c r="W77" s="17">
        <f>IF(ISNUMBER(H77),MAX(0,MIN(IF(ISNUMBER(I77),I77,EOMONTH(출력_요약!$B$3,0)),EOMONTH(출력_요약!$B$3,0))-MAX(H77,출력_요약!$B$3)+1),0)</f>
        <v/>
      </c>
      <c r="X77" s="10">
        <f>IF(OR(NOT(ISNUMBER(H77)),Q77=""),"",IF(TODAY()&lt;H77,"파견예정",IF(AND(ISNUMBER(I77),TODAY()&gt;I77),"파견종료","파견중")))</f>
        <v/>
      </c>
      <c r="Y77" s="10">
        <f>IF(OR(Q77="",X77=""),"",Q77&amp;"|"&amp;X77)</f>
        <v/>
      </c>
      <c r="Z77" s="10">
        <f>IF(AND(Q77&lt;&gt;"",W77&gt;0),Q77&amp;"|월","")</f>
        <v/>
      </c>
      <c r="AA77" s="10">
        <f>IF(COUNTA(B77:I77,K77:N77)=0,"",IF(Q77="","등록번호 없음",IF(LEFT(R77,1)="⚠","모병원명 미등록",IF(S77="","파견병원 입력",IF(LEFT(S77,1)="⚠","파견병원명 미등록",IF(LEFT(U77,1)="⚠","파견과목 미등록",IF(OR(T77="",LEFT(T77,1)="⚠"),"파견근거 확인",IF(NOT(AND(ISNUMBER(H77),ISNUMBER(I77))),"날짜 형식/누락",IF(I77&lt;H77,"종료일&lt;시작일","")))))))))</f>
        <v/>
      </c>
      <c r="AB77" s="11">
        <f>IF(ISNUMBER(SEARCH("다기관",TRIM(N77&amp;" "&amp;O77))),IFERROR(DATE(VALUE(MID(TRIM(N77&amp;" "&amp;O77),1,4)),VALUE(MID(TRIM(N77&amp;" "&amp;O77),6,2)),VALUE(MID(TRIM(N77&amp;" "&amp;O77),9,2))),IF(ISNUMBER(H77),H77,"")),"")</f>
        <v/>
      </c>
      <c r="AC77" s="11">
        <f>IF(ISNUMBER(SEARCH("다기관",TRIM(N77&amp;" "&amp;O77))),IFERROR(DATE(VALUE(MID(TRIM(N77&amp;" "&amp;O77),12,4)),VALUE(MID(TRIM(N77&amp;" "&amp;O77),17,2)),VALUE(MID(TRIM(N77&amp;" "&amp;O77),20,2))),IF(ISNUMBER(I77),I77,"")),"")</f>
        <v/>
      </c>
      <c r="AD77" s="17">
        <f>IF(AND(ISNUMBER(AB77),ISNUMBER(AC77)),MAX(0,MIN(AC77,EOMONTH(출력_요약!$B$3,0))-MAX(AB77,출력_요약!$B$3)+1),0)</f>
        <v/>
      </c>
      <c r="AE77" s="10">
        <f>IF(AND(Q77&lt;&gt;"",ISNUMBER(AB77)),Q77&amp;"|다기관","")</f>
        <v/>
      </c>
    </row>
    <row r="78">
      <c r="A78" s="15">
        <f>IF(F78="","",ROW()-3)</f>
        <v/>
      </c>
      <c r="B78" s="5" t="n"/>
      <c r="C78" s="15" t="n"/>
      <c r="D78" s="5" t="n"/>
      <c r="E78" s="15" t="n"/>
      <c r="F78" s="5" t="n"/>
      <c r="G78" s="6" t="n"/>
      <c r="H78" s="16" t="n"/>
      <c r="I78" s="16" t="n"/>
      <c r="J78" s="15">
        <f>IF(AND(ISNUMBER(H78),ISNUMBER(I78)),I78-H78+1,"")</f>
        <v/>
      </c>
      <c r="K78" s="5" t="n"/>
      <c r="L78" s="5" t="n"/>
      <c r="M78" s="5" t="n"/>
      <c r="N78" s="5" t="n"/>
      <c r="O78" s="5" t="n"/>
      <c r="Q78" s="10">
        <f>IF(TRIM(G78&amp;"")="","",TRIM(G78&amp;""))</f>
        <v/>
      </c>
      <c r="R78" s="10">
        <f>IF(TRIM(B78&amp;"")="","",IFERROR(INDEX(설정_코드표!$K$2:$K$101,MATCH(TRIM(B78&amp;""),설정_코드표!$J$2:$J$101,0)),"⚠"&amp;TRIM(B78&amp;"")))</f>
        <v/>
      </c>
      <c r="S78" s="10">
        <f>IF(TRIM(K78&amp;"")="","",IFERROR(INDEX(설정_코드표!$K$2:$K$101,MATCH(TRIM(K78&amp;""),설정_코드표!$J$2:$J$101,0)),"⚠"&amp;TRIM(K78&amp;"")))</f>
        <v/>
      </c>
      <c r="T78" s="10">
        <f>IF(TRIM(M78&amp;"")="","",IF(ISNUMBER(MATCH(TRIM(M78&amp;""),설정_코드표!$C$2:$C$11,0)),TRIM(M78&amp;""),"⚠"&amp;TRIM(M78&amp;"")))</f>
        <v/>
      </c>
      <c r="U78" s="10">
        <f>IF(TRIM(L78&amp;"")="","",IFERROR(INDEX(설정_코드표!$G$2:$G$101,MATCH(TRIM(L78&amp;""),설정_코드표!$F$2:$F$101,0)),"⚠"&amp;TRIM(L78&amp;"")))</f>
        <v/>
      </c>
      <c r="V78" s="10">
        <f>IF(AND(ISNUMBER(H78),ISNUMBER(I78)),I78-H78+1,"")</f>
        <v/>
      </c>
      <c r="W78" s="17">
        <f>IF(ISNUMBER(H78),MAX(0,MIN(IF(ISNUMBER(I78),I78,EOMONTH(출력_요약!$B$3,0)),EOMONTH(출력_요약!$B$3,0))-MAX(H78,출력_요약!$B$3)+1),0)</f>
        <v/>
      </c>
      <c r="X78" s="10">
        <f>IF(OR(NOT(ISNUMBER(H78)),Q78=""),"",IF(TODAY()&lt;H78,"파견예정",IF(AND(ISNUMBER(I78),TODAY()&gt;I78),"파견종료","파견중")))</f>
        <v/>
      </c>
      <c r="Y78" s="10">
        <f>IF(OR(Q78="",X78=""),"",Q78&amp;"|"&amp;X78)</f>
        <v/>
      </c>
      <c r="Z78" s="10">
        <f>IF(AND(Q78&lt;&gt;"",W78&gt;0),Q78&amp;"|월","")</f>
        <v/>
      </c>
      <c r="AA78" s="10">
        <f>IF(COUNTA(B78:I78,K78:N78)=0,"",IF(Q78="","등록번호 없음",IF(LEFT(R78,1)="⚠","모병원명 미등록",IF(S78="","파견병원 입력",IF(LEFT(S78,1)="⚠","파견병원명 미등록",IF(LEFT(U78,1)="⚠","파견과목 미등록",IF(OR(T78="",LEFT(T78,1)="⚠"),"파견근거 확인",IF(NOT(AND(ISNUMBER(H78),ISNUMBER(I78))),"날짜 형식/누락",IF(I78&lt;H78,"종료일&lt;시작일","")))))))))</f>
        <v/>
      </c>
      <c r="AB78" s="11">
        <f>IF(ISNUMBER(SEARCH("다기관",TRIM(N78&amp;" "&amp;O78))),IFERROR(DATE(VALUE(MID(TRIM(N78&amp;" "&amp;O78),1,4)),VALUE(MID(TRIM(N78&amp;" "&amp;O78),6,2)),VALUE(MID(TRIM(N78&amp;" "&amp;O78),9,2))),IF(ISNUMBER(H78),H78,"")),"")</f>
        <v/>
      </c>
      <c r="AC78" s="11">
        <f>IF(ISNUMBER(SEARCH("다기관",TRIM(N78&amp;" "&amp;O78))),IFERROR(DATE(VALUE(MID(TRIM(N78&amp;" "&amp;O78),12,4)),VALUE(MID(TRIM(N78&amp;" "&amp;O78),17,2)),VALUE(MID(TRIM(N78&amp;" "&amp;O78),20,2))),IF(ISNUMBER(I78),I78,"")),"")</f>
        <v/>
      </c>
      <c r="AD78" s="17">
        <f>IF(AND(ISNUMBER(AB78),ISNUMBER(AC78)),MAX(0,MIN(AC78,EOMONTH(출력_요약!$B$3,0))-MAX(AB78,출력_요약!$B$3)+1),0)</f>
        <v/>
      </c>
      <c r="AE78" s="10">
        <f>IF(AND(Q78&lt;&gt;"",ISNUMBER(AB78)),Q78&amp;"|다기관","")</f>
        <v/>
      </c>
    </row>
    <row r="79">
      <c r="A79" s="15">
        <f>IF(F79="","",ROW()-3)</f>
        <v/>
      </c>
      <c r="B79" s="5" t="n"/>
      <c r="C79" s="15" t="n"/>
      <c r="D79" s="5" t="n"/>
      <c r="E79" s="15" t="n"/>
      <c r="F79" s="5" t="n"/>
      <c r="G79" s="6" t="n"/>
      <c r="H79" s="16" t="n"/>
      <c r="I79" s="16" t="n"/>
      <c r="J79" s="15">
        <f>IF(AND(ISNUMBER(H79),ISNUMBER(I79)),I79-H79+1,"")</f>
        <v/>
      </c>
      <c r="K79" s="5" t="n"/>
      <c r="L79" s="5" t="n"/>
      <c r="M79" s="5" t="n"/>
      <c r="N79" s="5" t="n"/>
      <c r="O79" s="5" t="n"/>
      <c r="Q79" s="10">
        <f>IF(TRIM(G79&amp;"")="","",TRIM(G79&amp;""))</f>
        <v/>
      </c>
      <c r="R79" s="10">
        <f>IF(TRIM(B79&amp;"")="","",IFERROR(INDEX(설정_코드표!$K$2:$K$101,MATCH(TRIM(B79&amp;""),설정_코드표!$J$2:$J$101,0)),"⚠"&amp;TRIM(B79&amp;"")))</f>
        <v/>
      </c>
      <c r="S79" s="10">
        <f>IF(TRIM(K79&amp;"")="","",IFERROR(INDEX(설정_코드표!$K$2:$K$101,MATCH(TRIM(K79&amp;""),설정_코드표!$J$2:$J$101,0)),"⚠"&amp;TRIM(K79&amp;"")))</f>
        <v/>
      </c>
      <c r="T79" s="10">
        <f>IF(TRIM(M79&amp;"")="","",IF(ISNUMBER(MATCH(TRIM(M79&amp;""),설정_코드표!$C$2:$C$11,0)),TRIM(M79&amp;""),"⚠"&amp;TRIM(M79&amp;"")))</f>
        <v/>
      </c>
      <c r="U79" s="10">
        <f>IF(TRIM(L79&amp;"")="","",IFERROR(INDEX(설정_코드표!$G$2:$G$101,MATCH(TRIM(L79&amp;""),설정_코드표!$F$2:$F$101,0)),"⚠"&amp;TRIM(L79&amp;"")))</f>
        <v/>
      </c>
      <c r="V79" s="10">
        <f>IF(AND(ISNUMBER(H79),ISNUMBER(I79)),I79-H79+1,"")</f>
        <v/>
      </c>
      <c r="W79" s="17">
        <f>IF(ISNUMBER(H79),MAX(0,MIN(IF(ISNUMBER(I79),I79,EOMONTH(출력_요약!$B$3,0)),EOMONTH(출력_요약!$B$3,0))-MAX(H79,출력_요약!$B$3)+1),0)</f>
        <v/>
      </c>
      <c r="X79" s="10">
        <f>IF(OR(NOT(ISNUMBER(H79)),Q79=""),"",IF(TODAY()&lt;H79,"파견예정",IF(AND(ISNUMBER(I79),TODAY()&gt;I79),"파견종료","파견중")))</f>
        <v/>
      </c>
      <c r="Y79" s="10">
        <f>IF(OR(Q79="",X79=""),"",Q79&amp;"|"&amp;X79)</f>
        <v/>
      </c>
      <c r="Z79" s="10">
        <f>IF(AND(Q79&lt;&gt;"",W79&gt;0),Q79&amp;"|월","")</f>
        <v/>
      </c>
      <c r="AA79" s="10">
        <f>IF(COUNTA(B79:I79,K79:N79)=0,"",IF(Q79="","등록번호 없음",IF(LEFT(R79,1)="⚠","모병원명 미등록",IF(S79="","파견병원 입력",IF(LEFT(S79,1)="⚠","파견병원명 미등록",IF(LEFT(U79,1)="⚠","파견과목 미등록",IF(OR(T79="",LEFT(T79,1)="⚠"),"파견근거 확인",IF(NOT(AND(ISNUMBER(H79),ISNUMBER(I79))),"날짜 형식/누락",IF(I79&lt;H79,"종료일&lt;시작일","")))))))))</f>
        <v/>
      </c>
      <c r="AB79" s="11">
        <f>IF(ISNUMBER(SEARCH("다기관",TRIM(N79&amp;" "&amp;O79))),IFERROR(DATE(VALUE(MID(TRIM(N79&amp;" "&amp;O79),1,4)),VALUE(MID(TRIM(N79&amp;" "&amp;O79),6,2)),VALUE(MID(TRIM(N79&amp;" "&amp;O79),9,2))),IF(ISNUMBER(H79),H79,"")),"")</f>
        <v/>
      </c>
      <c r="AC79" s="11">
        <f>IF(ISNUMBER(SEARCH("다기관",TRIM(N79&amp;" "&amp;O79))),IFERROR(DATE(VALUE(MID(TRIM(N79&amp;" "&amp;O79),12,4)),VALUE(MID(TRIM(N79&amp;" "&amp;O79),17,2)),VALUE(MID(TRIM(N79&amp;" "&amp;O79),20,2))),IF(ISNUMBER(I79),I79,"")),"")</f>
        <v/>
      </c>
      <c r="AD79" s="17">
        <f>IF(AND(ISNUMBER(AB79),ISNUMBER(AC79)),MAX(0,MIN(AC79,EOMONTH(출력_요약!$B$3,0))-MAX(AB79,출력_요약!$B$3)+1),0)</f>
        <v/>
      </c>
      <c r="AE79" s="10">
        <f>IF(AND(Q79&lt;&gt;"",ISNUMBER(AB79)),Q79&amp;"|다기관","")</f>
        <v/>
      </c>
    </row>
    <row r="80">
      <c r="A80" s="15">
        <f>IF(F80="","",ROW()-3)</f>
        <v/>
      </c>
      <c r="B80" s="5" t="n"/>
      <c r="C80" s="15" t="n"/>
      <c r="D80" s="5" t="n"/>
      <c r="E80" s="15" t="n"/>
      <c r="F80" s="5" t="n"/>
      <c r="G80" s="6" t="n"/>
      <c r="H80" s="16" t="n"/>
      <c r="I80" s="16" t="n"/>
      <c r="J80" s="15">
        <f>IF(AND(ISNUMBER(H80),ISNUMBER(I80)),I80-H80+1,"")</f>
        <v/>
      </c>
      <c r="K80" s="5" t="n"/>
      <c r="L80" s="5" t="n"/>
      <c r="M80" s="5" t="n"/>
      <c r="N80" s="5" t="n"/>
      <c r="O80" s="5" t="n"/>
      <c r="Q80" s="10">
        <f>IF(TRIM(G80&amp;"")="","",TRIM(G80&amp;""))</f>
        <v/>
      </c>
      <c r="R80" s="10">
        <f>IF(TRIM(B80&amp;"")="","",IFERROR(INDEX(설정_코드표!$K$2:$K$101,MATCH(TRIM(B80&amp;""),설정_코드표!$J$2:$J$101,0)),"⚠"&amp;TRIM(B80&amp;"")))</f>
        <v/>
      </c>
      <c r="S80" s="10">
        <f>IF(TRIM(K80&amp;"")="","",IFERROR(INDEX(설정_코드표!$K$2:$K$101,MATCH(TRIM(K80&amp;""),설정_코드표!$J$2:$J$101,0)),"⚠"&amp;TRIM(K80&amp;"")))</f>
        <v/>
      </c>
      <c r="T80" s="10">
        <f>IF(TRIM(M80&amp;"")="","",IF(ISNUMBER(MATCH(TRIM(M80&amp;""),설정_코드표!$C$2:$C$11,0)),TRIM(M80&amp;""),"⚠"&amp;TRIM(M80&amp;"")))</f>
        <v/>
      </c>
      <c r="U80" s="10">
        <f>IF(TRIM(L80&amp;"")="","",IFERROR(INDEX(설정_코드표!$G$2:$G$101,MATCH(TRIM(L80&amp;""),설정_코드표!$F$2:$F$101,0)),"⚠"&amp;TRIM(L80&amp;"")))</f>
        <v/>
      </c>
      <c r="V80" s="10">
        <f>IF(AND(ISNUMBER(H80),ISNUMBER(I80)),I80-H80+1,"")</f>
        <v/>
      </c>
      <c r="W80" s="17">
        <f>IF(ISNUMBER(H80),MAX(0,MIN(IF(ISNUMBER(I80),I80,EOMONTH(출력_요약!$B$3,0)),EOMONTH(출력_요약!$B$3,0))-MAX(H80,출력_요약!$B$3)+1),0)</f>
        <v/>
      </c>
      <c r="X80" s="10">
        <f>IF(OR(NOT(ISNUMBER(H80)),Q80=""),"",IF(TODAY()&lt;H80,"파견예정",IF(AND(ISNUMBER(I80),TODAY()&gt;I80),"파견종료","파견중")))</f>
        <v/>
      </c>
      <c r="Y80" s="10">
        <f>IF(OR(Q80="",X80=""),"",Q80&amp;"|"&amp;X80)</f>
        <v/>
      </c>
      <c r="Z80" s="10">
        <f>IF(AND(Q80&lt;&gt;"",W80&gt;0),Q80&amp;"|월","")</f>
        <v/>
      </c>
      <c r="AA80" s="10">
        <f>IF(COUNTA(B80:I80,K80:N80)=0,"",IF(Q80="","등록번호 없음",IF(LEFT(R80,1)="⚠","모병원명 미등록",IF(S80="","파견병원 입력",IF(LEFT(S80,1)="⚠","파견병원명 미등록",IF(LEFT(U80,1)="⚠","파견과목 미등록",IF(OR(T80="",LEFT(T80,1)="⚠"),"파견근거 확인",IF(NOT(AND(ISNUMBER(H80),ISNUMBER(I80))),"날짜 형식/누락",IF(I80&lt;H80,"종료일&lt;시작일","")))))))))</f>
        <v/>
      </c>
      <c r="AB80" s="11">
        <f>IF(ISNUMBER(SEARCH("다기관",TRIM(N80&amp;" "&amp;O80))),IFERROR(DATE(VALUE(MID(TRIM(N80&amp;" "&amp;O80),1,4)),VALUE(MID(TRIM(N80&amp;" "&amp;O80),6,2)),VALUE(MID(TRIM(N80&amp;" "&amp;O80),9,2))),IF(ISNUMBER(H80),H80,"")),"")</f>
        <v/>
      </c>
      <c r="AC80" s="11">
        <f>IF(ISNUMBER(SEARCH("다기관",TRIM(N80&amp;" "&amp;O80))),IFERROR(DATE(VALUE(MID(TRIM(N80&amp;" "&amp;O80),12,4)),VALUE(MID(TRIM(N80&amp;" "&amp;O80),17,2)),VALUE(MID(TRIM(N80&amp;" "&amp;O80),20,2))),IF(ISNUMBER(I80),I80,"")),"")</f>
        <v/>
      </c>
      <c r="AD80" s="17">
        <f>IF(AND(ISNUMBER(AB80),ISNUMBER(AC80)),MAX(0,MIN(AC80,EOMONTH(출력_요약!$B$3,0))-MAX(AB80,출력_요약!$B$3)+1),0)</f>
        <v/>
      </c>
      <c r="AE80" s="10">
        <f>IF(AND(Q80&lt;&gt;"",ISNUMBER(AB80)),Q80&amp;"|다기관","")</f>
        <v/>
      </c>
    </row>
    <row r="81">
      <c r="A81" s="15">
        <f>IF(F81="","",ROW()-3)</f>
        <v/>
      </c>
      <c r="B81" s="5" t="n"/>
      <c r="C81" s="15" t="n"/>
      <c r="D81" s="5" t="n"/>
      <c r="E81" s="15" t="n"/>
      <c r="F81" s="5" t="n"/>
      <c r="G81" s="6" t="n"/>
      <c r="H81" s="16" t="n"/>
      <c r="I81" s="16" t="n"/>
      <c r="J81" s="15">
        <f>IF(AND(ISNUMBER(H81),ISNUMBER(I81)),I81-H81+1,"")</f>
        <v/>
      </c>
      <c r="K81" s="5" t="n"/>
      <c r="L81" s="5" t="n"/>
      <c r="M81" s="5" t="n"/>
      <c r="N81" s="5" t="n"/>
      <c r="O81" s="5" t="n"/>
      <c r="Q81" s="10">
        <f>IF(TRIM(G81&amp;"")="","",TRIM(G81&amp;""))</f>
        <v/>
      </c>
      <c r="R81" s="10">
        <f>IF(TRIM(B81&amp;"")="","",IFERROR(INDEX(설정_코드표!$K$2:$K$101,MATCH(TRIM(B81&amp;""),설정_코드표!$J$2:$J$101,0)),"⚠"&amp;TRIM(B81&amp;"")))</f>
        <v/>
      </c>
      <c r="S81" s="10">
        <f>IF(TRIM(K81&amp;"")="","",IFERROR(INDEX(설정_코드표!$K$2:$K$101,MATCH(TRIM(K81&amp;""),설정_코드표!$J$2:$J$101,0)),"⚠"&amp;TRIM(K81&amp;"")))</f>
        <v/>
      </c>
      <c r="T81" s="10">
        <f>IF(TRIM(M81&amp;"")="","",IF(ISNUMBER(MATCH(TRIM(M81&amp;""),설정_코드표!$C$2:$C$11,0)),TRIM(M81&amp;""),"⚠"&amp;TRIM(M81&amp;"")))</f>
        <v/>
      </c>
      <c r="U81" s="10">
        <f>IF(TRIM(L81&amp;"")="","",IFERROR(INDEX(설정_코드표!$G$2:$G$101,MATCH(TRIM(L81&amp;""),설정_코드표!$F$2:$F$101,0)),"⚠"&amp;TRIM(L81&amp;"")))</f>
        <v/>
      </c>
      <c r="V81" s="10">
        <f>IF(AND(ISNUMBER(H81),ISNUMBER(I81)),I81-H81+1,"")</f>
        <v/>
      </c>
      <c r="W81" s="17">
        <f>IF(ISNUMBER(H81),MAX(0,MIN(IF(ISNUMBER(I81),I81,EOMONTH(출력_요약!$B$3,0)),EOMONTH(출력_요약!$B$3,0))-MAX(H81,출력_요약!$B$3)+1),0)</f>
        <v/>
      </c>
      <c r="X81" s="10">
        <f>IF(OR(NOT(ISNUMBER(H81)),Q81=""),"",IF(TODAY()&lt;H81,"파견예정",IF(AND(ISNUMBER(I81),TODAY()&gt;I81),"파견종료","파견중")))</f>
        <v/>
      </c>
      <c r="Y81" s="10">
        <f>IF(OR(Q81="",X81=""),"",Q81&amp;"|"&amp;X81)</f>
        <v/>
      </c>
      <c r="Z81" s="10">
        <f>IF(AND(Q81&lt;&gt;"",W81&gt;0),Q81&amp;"|월","")</f>
        <v/>
      </c>
      <c r="AA81" s="10">
        <f>IF(COUNTA(B81:I81,K81:N81)=0,"",IF(Q81="","등록번호 없음",IF(LEFT(R81,1)="⚠","모병원명 미등록",IF(S81="","파견병원 입력",IF(LEFT(S81,1)="⚠","파견병원명 미등록",IF(LEFT(U81,1)="⚠","파견과목 미등록",IF(OR(T81="",LEFT(T81,1)="⚠"),"파견근거 확인",IF(NOT(AND(ISNUMBER(H81),ISNUMBER(I81))),"날짜 형식/누락",IF(I81&lt;H81,"종료일&lt;시작일","")))))))))</f>
        <v/>
      </c>
      <c r="AB81" s="11">
        <f>IF(ISNUMBER(SEARCH("다기관",TRIM(N81&amp;" "&amp;O81))),IFERROR(DATE(VALUE(MID(TRIM(N81&amp;" "&amp;O81),1,4)),VALUE(MID(TRIM(N81&amp;" "&amp;O81),6,2)),VALUE(MID(TRIM(N81&amp;" "&amp;O81),9,2))),IF(ISNUMBER(H81),H81,"")),"")</f>
        <v/>
      </c>
      <c r="AC81" s="11">
        <f>IF(ISNUMBER(SEARCH("다기관",TRIM(N81&amp;" "&amp;O81))),IFERROR(DATE(VALUE(MID(TRIM(N81&amp;" "&amp;O81),12,4)),VALUE(MID(TRIM(N81&amp;" "&amp;O81),17,2)),VALUE(MID(TRIM(N81&amp;" "&amp;O81),20,2))),IF(ISNUMBER(I81),I81,"")),"")</f>
        <v/>
      </c>
      <c r="AD81" s="17">
        <f>IF(AND(ISNUMBER(AB81),ISNUMBER(AC81)),MAX(0,MIN(AC81,EOMONTH(출력_요약!$B$3,0))-MAX(AB81,출력_요약!$B$3)+1),0)</f>
        <v/>
      </c>
      <c r="AE81" s="10">
        <f>IF(AND(Q81&lt;&gt;"",ISNUMBER(AB81)),Q81&amp;"|다기관","")</f>
        <v/>
      </c>
    </row>
    <row r="82">
      <c r="A82" s="15">
        <f>IF(F82="","",ROW()-3)</f>
        <v/>
      </c>
      <c r="B82" s="5" t="n"/>
      <c r="C82" s="15" t="n"/>
      <c r="D82" s="5" t="n"/>
      <c r="E82" s="15" t="n"/>
      <c r="F82" s="5" t="n"/>
      <c r="G82" s="6" t="n"/>
      <c r="H82" s="16" t="n"/>
      <c r="I82" s="16" t="n"/>
      <c r="J82" s="15">
        <f>IF(AND(ISNUMBER(H82),ISNUMBER(I82)),I82-H82+1,"")</f>
        <v/>
      </c>
      <c r="K82" s="5" t="n"/>
      <c r="L82" s="5" t="n"/>
      <c r="M82" s="5" t="n"/>
      <c r="N82" s="5" t="n"/>
      <c r="O82" s="5" t="n"/>
      <c r="Q82" s="10">
        <f>IF(TRIM(G82&amp;"")="","",TRIM(G82&amp;""))</f>
        <v/>
      </c>
      <c r="R82" s="10">
        <f>IF(TRIM(B82&amp;"")="","",IFERROR(INDEX(설정_코드표!$K$2:$K$101,MATCH(TRIM(B82&amp;""),설정_코드표!$J$2:$J$101,0)),"⚠"&amp;TRIM(B82&amp;"")))</f>
        <v/>
      </c>
      <c r="S82" s="10">
        <f>IF(TRIM(K82&amp;"")="","",IFERROR(INDEX(설정_코드표!$K$2:$K$101,MATCH(TRIM(K82&amp;""),설정_코드표!$J$2:$J$101,0)),"⚠"&amp;TRIM(K82&amp;"")))</f>
        <v/>
      </c>
      <c r="T82" s="10">
        <f>IF(TRIM(M82&amp;"")="","",IF(ISNUMBER(MATCH(TRIM(M82&amp;""),설정_코드표!$C$2:$C$11,0)),TRIM(M82&amp;""),"⚠"&amp;TRIM(M82&amp;"")))</f>
        <v/>
      </c>
      <c r="U82" s="10">
        <f>IF(TRIM(L82&amp;"")="","",IFERROR(INDEX(설정_코드표!$G$2:$G$101,MATCH(TRIM(L82&amp;""),설정_코드표!$F$2:$F$101,0)),"⚠"&amp;TRIM(L82&amp;"")))</f>
        <v/>
      </c>
      <c r="V82" s="10">
        <f>IF(AND(ISNUMBER(H82),ISNUMBER(I82)),I82-H82+1,"")</f>
        <v/>
      </c>
      <c r="W82" s="17">
        <f>IF(ISNUMBER(H82),MAX(0,MIN(IF(ISNUMBER(I82),I82,EOMONTH(출력_요약!$B$3,0)),EOMONTH(출력_요약!$B$3,0))-MAX(H82,출력_요약!$B$3)+1),0)</f>
        <v/>
      </c>
      <c r="X82" s="10">
        <f>IF(OR(NOT(ISNUMBER(H82)),Q82=""),"",IF(TODAY()&lt;H82,"파견예정",IF(AND(ISNUMBER(I82),TODAY()&gt;I82),"파견종료","파견중")))</f>
        <v/>
      </c>
      <c r="Y82" s="10">
        <f>IF(OR(Q82="",X82=""),"",Q82&amp;"|"&amp;X82)</f>
        <v/>
      </c>
      <c r="Z82" s="10">
        <f>IF(AND(Q82&lt;&gt;"",W82&gt;0),Q82&amp;"|월","")</f>
        <v/>
      </c>
      <c r="AA82" s="10">
        <f>IF(COUNTA(B82:I82,K82:N82)=0,"",IF(Q82="","등록번호 없음",IF(LEFT(R82,1)="⚠","모병원명 미등록",IF(S82="","파견병원 입력",IF(LEFT(S82,1)="⚠","파견병원명 미등록",IF(LEFT(U82,1)="⚠","파견과목 미등록",IF(OR(T82="",LEFT(T82,1)="⚠"),"파견근거 확인",IF(NOT(AND(ISNUMBER(H82),ISNUMBER(I82))),"날짜 형식/누락",IF(I82&lt;H82,"종료일&lt;시작일","")))))))))</f>
        <v/>
      </c>
      <c r="AB82" s="11">
        <f>IF(ISNUMBER(SEARCH("다기관",TRIM(N82&amp;" "&amp;O82))),IFERROR(DATE(VALUE(MID(TRIM(N82&amp;" "&amp;O82),1,4)),VALUE(MID(TRIM(N82&amp;" "&amp;O82),6,2)),VALUE(MID(TRIM(N82&amp;" "&amp;O82),9,2))),IF(ISNUMBER(H82),H82,"")),"")</f>
        <v/>
      </c>
      <c r="AC82" s="11">
        <f>IF(ISNUMBER(SEARCH("다기관",TRIM(N82&amp;" "&amp;O82))),IFERROR(DATE(VALUE(MID(TRIM(N82&amp;" "&amp;O82),12,4)),VALUE(MID(TRIM(N82&amp;" "&amp;O82),17,2)),VALUE(MID(TRIM(N82&amp;" "&amp;O82),20,2))),IF(ISNUMBER(I82),I82,"")),"")</f>
        <v/>
      </c>
      <c r="AD82" s="17">
        <f>IF(AND(ISNUMBER(AB82),ISNUMBER(AC82)),MAX(0,MIN(AC82,EOMONTH(출력_요약!$B$3,0))-MAX(AB82,출력_요약!$B$3)+1),0)</f>
        <v/>
      </c>
      <c r="AE82" s="10">
        <f>IF(AND(Q82&lt;&gt;"",ISNUMBER(AB82)),Q82&amp;"|다기관","")</f>
        <v/>
      </c>
    </row>
    <row r="83">
      <c r="A83" s="15">
        <f>IF(F83="","",ROW()-3)</f>
        <v/>
      </c>
      <c r="B83" s="5" t="n"/>
      <c r="C83" s="15" t="n"/>
      <c r="D83" s="5" t="n"/>
      <c r="E83" s="15" t="n"/>
      <c r="F83" s="5" t="n"/>
      <c r="G83" s="6" t="n"/>
      <c r="H83" s="16" t="n"/>
      <c r="I83" s="16" t="n"/>
      <c r="J83" s="15">
        <f>IF(AND(ISNUMBER(H83),ISNUMBER(I83)),I83-H83+1,"")</f>
        <v/>
      </c>
      <c r="K83" s="5" t="n"/>
      <c r="L83" s="5" t="n"/>
      <c r="M83" s="5" t="n"/>
      <c r="N83" s="5" t="n"/>
      <c r="O83" s="5" t="n"/>
      <c r="Q83" s="10">
        <f>IF(TRIM(G83&amp;"")="","",TRIM(G83&amp;""))</f>
        <v/>
      </c>
      <c r="R83" s="10">
        <f>IF(TRIM(B83&amp;"")="","",IFERROR(INDEX(설정_코드표!$K$2:$K$101,MATCH(TRIM(B83&amp;""),설정_코드표!$J$2:$J$101,0)),"⚠"&amp;TRIM(B83&amp;"")))</f>
        <v/>
      </c>
      <c r="S83" s="10">
        <f>IF(TRIM(K83&amp;"")="","",IFERROR(INDEX(설정_코드표!$K$2:$K$101,MATCH(TRIM(K83&amp;""),설정_코드표!$J$2:$J$101,0)),"⚠"&amp;TRIM(K83&amp;"")))</f>
        <v/>
      </c>
      <c r="T83" s="10">
        <f>IF(TRIM(M83&amp;"")="","",IF(ISNUMBER(MATCH(TRIM(M83&amp;""),설정_코드표!$C$2:$C$11,0)),TRIM(M83&amp;""),"⚠"&amp;TRIM(M83&amp;"")))</f>
        <v/>
      </c>
      <c r="U83" s="10">
        <f>IF(TRIM(L83&amp;"")="","",IFERROR(INDEX(설정_코드표!$G$2:$G$101,MATCH(TRIM(L83&amp;""),설정_코드표!$F$2:$F$101,0)),"⚠"&amp;TRIM(L83&amp;"")))</f>
        <v/>
      </c>
      <c r="V83" s="10">
        <f>IF(AND(ISNUMBER(H83),ISNUMBER(I83)),I83-H83+1,"")</f>
        <v/>
      </c>
      <c r="W83" s="17">
        <f>IF(ISNUMBER(H83),MAX(0,MIN(IF(ISNUMBER(I83),I83,EOMONTH(출력_요약!$B$3,0)),EOMONTH(출력_요약!$B$3,0))-MAX(H83,출력_요약!$B$3)+1),0)</f>
        <v/>
      </c>
      <c r="X83" s="10">
        <f>IF(OR(NOT(ISNUMBER(H83)),Q83=""),"",IF(TODAY()&lt;H83,"파견예정",IF(AND(ISNUMBER(I83),TODAY()&gt;I83),"파견종료","파견중")))</f>
        <v/>
      </c>
      <c r="Y83" s="10">
        <f>IF(OR(Q83="",X83=""),"",Q83&amp;"|"&amp;X83)</f>
        <v/>
      </c>
      <c r="Z83" s="10">
        <f>IF(AND(Q83&lt;&gt;"",W83&gt;0),Q83&amp;"|월","")</f>
        <v/>
      </c>
      <c r="AA83" s="10">
        <f>IF(COUNTA(B83:I83,K83:N83)=0,"",IF(Q83="","등록번호 없음",IF(LEFT(R83,1)="⚠","모병원명 미등록",IF(S83="","파견병원 입력",IF(LEFT(S83,1)="⚠","파견병원명 미등록",IF(LEFT(U83,1)="⚠","파견과목 미등록",IF(OR(T83="",LEFT(T83,1)="⚠"),"파견근거 확인",IF(NOT(AND(ISNUMBER(H83),ISNUMBER(I83))),"날짜 형식/누락",IF(I83&lt;H83,"종료일&lt;시작일","")))))))))</f>
        <v/>
      </c>
      <c r="AB83" s="11">
        <f>IF(ISNUMBER(SEARCH("다기관",TRIM(N83&amp;" "&amp;O83))),IFERROR(DATE(VALUE(MID(TRIM(N83&amp;" "&amp;O83),1,4)),VALUE(MID(TRIM(N83&amp;" "&amp;O83),6,2)),VALUE(MID(TRIM(N83&amp;" "&amp;O83),9,2))),IF(ISNUMBER(H83),H83,"")),"")</f>
        <v/>
      </c>
      <c r="AC83" s="11">
        <f>IF(ISNUMBER(SEARCH("다기관",TRIM(N83&amp;" "&amp;O83))),IFERROR(DATE(VALUE(MID(TRIM(N83&amp;" "&amp;O83),12,4)),VALUE(MID(TRIM(N83&amp;" "&amp;O83),17,2)),VALUE(MID(TRIM(N83&amp;" "&amp;O83),20,2))),IF(ISNUMBER(I83),I83,"")),"")</f>
        <v/>
      </c>
      <c r="AD83" s="17">
        <f>IF(AND(ISNUMBER(AB83),ISNUMBER(AC83)),MAX(0,MIN(AC83,EOMONTH(출력_요약!$B$3,0))-MAX(AB83,출력_요약!$B$3)+1),0)</f>
        <v/>
      </c>
      <c r="AE83" s="10">
        <f>IF(AND(Q83&lt;&gt;"",ISNUMBER(AB83)),Q83&amp;"|다기관","")</f>
        <v/>
      </c>
    </row>
    <row r="84">
      <c r="A84" s="15">
        <f>IF(F84="","",ROW()-3)</f>
        <v/>
      </c>
      <c r="B84" s="5" t="n"/>
      <c r="C84" s="15" t="n"/>
      <c r="D84" s="5" t="n"/>
      <c r="E84" s="15" t="n"/>
      <c r="F84" s="5" t="n"/>
      <c r="G84" s="6" t="n"/>
      <c r="H84" s="16" t="n"/>
      <c r="I84" s="16" t="n"/>
      <c r="J84" s="15">
        <f>IF(AND(ISNUMBER(H84),ISNUMBER(I84)),I84-H84+1,"")</f>
        <v/>
      </c>
      <c r="K84" s="5" t="n"/>
      <c r="L84" s="5" t="n"/>
      <c r="M84" s="5" t="n"/>
      <c r="N84" s="5" t="n"/>
      <c r="O84" s="5" t="n"/>
      <c r="Q84" s="10">
        <f>IF(TRIM(G84&amp;"")="","",TRIM(G84&amp;""))</f>
        <v/>
      </c>
      <c r="R84" s="10">
        <f>IF(TRIM(B84&amp;"")="","",IFERROR(INDEX(설정_코드표!$K$2:$K$101,MATCH(TRIM(B84&amp;""),설정_코드표!$J$2:$J$101,0)),"⚠"&amp;TRIM(B84&amp;"")))</f>
        <v/>
      </c>
      <c r="S84" s="10">
        <f>IF(TRIM(K84&amp;"")="","",IFERROR(INDEX(설정_코드표!$K$2:$K$101,MATCH(TRIM(K84&amp;""),설정_코드표!$J$2:$J$101,0)),"⚠"&amp;TRIM(K84&amp;"")))</f>
        <v/>
      </c>
      <c r="T84" s="10">
        <f>IF(TRIM(M84&amp;"")="","",IF(ISNUMBER(MATCH(TRIM(M84&amp;""),설정_코드표!$C$2:$C$11,0)),TRIM(M84&amp;""),"⚠"&amp;TRIM(M84&amp;"")))</f>
        <v/>
      </c>
      <c r="U84" s="10">
        <f>IF(TRIM(L84&amp;"")="","",IFERROR(INDEX(설정_코드표!$G$2:$G$101,MATCH(TRIM(L84&amp;""),설정_코드표!$F$2:$F$101,0)),"⚠"&amp;TRIM(L84&amp;"")))</f>
        <v/>
      </c>
      <c r="V84" s="10">
        <f>IF(AND(ISNUMBER(H84),ISNUMBER(I84)),I84-H84+1,"")</f>
        <v/>
      </c>
      <c r="W84" s="17">
        <f>IF(ISNUMBER(H84),MAX(0,MIN(IF(ISNUMBER(I84),I84,EOMONTH(출력_요약!$B$3,0)),EOMONTH(출력_요약!$B$3,0))-MAX(H84,출력_요약!$B$3)+1),0)</f>
        <v/>
      </c>
      <c r="X84" s="10">
        <f>IF(OR(NOT(ISNUMBER(H84)),Q84=""),"",IF(TODAY()&lt;H84,"파견예정",IF(AND(ISNUMBER(I84),TODAY()&gt;I84),"파견종료","파견중")))</f>
        <v/>
      </c>
      <c r="Y84" s="10">
        <f>IF(OR(Q84="",X84=""),"",Q84&amp;"|"&amp;X84)</f>
        <v/>
      </c>
      <c r="Z84" s="10">
        <f>IF(AND(Q84&lt;&gt;"",W84&gt;0),Q84&amp;"|월","")</f>
        <v/>
      </c>
      <c r="AA84" s="10">
        <f>IF(COUNTA(B84:I84,K84:N84)=0,"",IF(Q84="","등록번호 없음",IF(LEFT(R84,1)="⚠","모병원명 미등록",IF(S84="","파견병원 입력",IF(LEFT(S84,1)="⚠","파견병원명 미등록",IF(LEFT(U84,1)="⚠","파견과목 미등록",IF(OR(T84="",LEFT(T84,1)="⚠"),"파견근거 확인",IF(NOT(AND(ISNUMBER(H84),ISNUMBER(I84))),"날짜 형식/누락",IF(I84&lt;H84,"종료일&lt;시작일","")))))))))</f>
        <v/>
      </c>
      <c r="AB84" s="11">
        <f>IF(ISNUMBER(SEARCH("다기관",TRIM(N84&amp;" "&amp;O84))),IFERROR(DATE(VALUE(MID(TRIM(N84&amp;" "&amp;O84),1,4)),VALUE(MID(TRIM(N84&amp;" "&amp;O84),6,2)),VALUE(MID(TRIM(N84&amp;" "&amp;O84),9,2))),IF(ISNUMBER(H84),H84,"")),"")</f>
        <v/>
      </c>
      <c r="AC84" s="11">
        <f>IF(ISNUMBER(SEARCH("다기관",TRIM(N84&amp;" "&amp;O84))),IFERROR(DATE(VALUE(MID(TRIM(N84&amp;" "&amp;O84),12,4)),VALUE(MID(TRIM(N84&amp;" "&amp;O84),17,2)),VALUE(MID(TRIM(N84&amp;" "&amp;O84),20,2))),IF(ISNUMBER(I84),I84,"")),"")</f>
        <v/>
      </c>
      <c r="AD84" s="17">
        <f>IF(AND(ISNUMBER(AB84),ISNUMBER(AC84)),MAX(0,MIN(AC84,EOMONTH(출력_요약!$B$3,0))-MAX(AB84,출력_요약!$B$3)+1),0)</f>
        <v/>
      </c>
      <c r="AE84" s="10">
        <f>IF(AND(Q84&lt;&gt;"",ISNUMBER(AB84)),Q84&amp;"|다기관","")</f>
        <v/>
      </c>
    </row>
    <row r="85">
      <c r="A85" s="15">
        <f>IF(F85="","",ROW()-3)</f>
        <v/>
      </c>
      <c r="B85" s="5" t="n"/>
      <c r="C85" s="15" t="n"/>
      <c r="D85" s="5" t="n"/>
      <c r="E85" s="15" t="n"/>
      <c r="F85" s="5" t="n"/>
      <c r="G85" s="6" t="n"/>
      <c r="H85" s="16" t="n"/>
      <c r="I85" s="16" t="n"/>
      <c r="J85" s="15">
        <f>IF(AND(ISNUMBER(H85),ISNUMBER(I85)),I85-H85+1,"")</f>
        <v/>
      </c>
      <c r="K85" s="5" t="n"/>
      <c r="L85" s="5" t="n"/>
      <c r="M85" s="5" t="n"/>
      <c r="N85" s="5" t="n"/>
      <c r="O85" s="5" t="n"/>
      <c r="Q85" s="10">
        <f>IF(TRIM(G85&amp;"")="","",TRIM(G85&amp;""))</f>
        <v/>
      </c>
      <c r="R85" s="10">
        <f>IF(TRIM(B85&amp;"")="","",IFERROR(INDEX(설정_코드표!$K$2:$K$101,MATCH(TRIM(B85&amp;""),설정_코드표!$J$2:$J$101,0)),"⚠"&amp;TRIM(B85&amp;"")))</f>
        <v/>
      </c>
      <c r="S85" s="10">
        <f>IF(TRIM(K85&amp;"")="","",IFERROR(INDEX(설정_코드표!$K$2:$K$101,MATCH(TRIM(K85&amp;""),설정_코드표!$J$2:$J$101,0)),"⚠"&amp;TRIM(K85&amp;"")))</f>
        <v/>
      </c>
      <c r="T85" s="10">
        <f>IF(TRIM(M85&amp;"")="","",IF(ISNUMBER(MATCH(TRIM(M85&amp;""),설정_코드표!$C$2:$C$11,0)),TRIM(M85&amp;""),"⚠"&amp;TRIM(M85&amp;"")))</f>
        <v/>
      </c>
      <c r="U85" s="10">
        <f>IF(TRIM(L85&amp;"")="","",IFERROR(INDEX(설정_코드표!$G$2:$G$101,MATCH(TRIM(L85&amp;""),설정_코드표!$F$2:$F$101,0)),"⚠"&amp;TRIM(L85&amp;"")))</f>
        <v/>
      </c>
      <c r="V85" s="10">
        <f>IF(AND(ISNUMBER(H85),ISNUMBER(I85)),I85-H85+1,"")</f>
        <v/>
      </c>
      <c r="W85" s="17">
        <f>IF(ISNUMBER(H85),MAX(0,MIN(IF(ISNUMBER(I85),I85,EOMONTH(출력_요약!$B$3,0)),EOMONTH(출력_요약!$B$3,0))-MAX(H85,출력_요약!$B$3)+1),0)</f>
        <v/>
      </c>
      <c r="X85" s="10">
        <f>IF(OR(NOT(ISNUMBER(H85)),Q85=""),"",IF(TODAY()&lt;H85,"파견예정",IF(AND(ISNUMBER(I85),TODAY()&gt;I85),"파견종료","파견중")))</f>
        <v/>
      </c>
      <c r="Y85" s="10">
        <f>IF(OR(Q85="",X85=""),"",Q85&amp;"|"&amp;X85)</f>
        <v/>
      </c>
      <c r="Z85" s="10">
        <f>IF(AND(Q85&lt;&gt;"",W85&gt;0),Q85&amp;"|월","")</f>
        <v/>
      </c>
      <c r="AA85" s="10">
        <f>IF(COUNTA(B85:I85,K85:N85)=0,"",IF(Q85="","등록번호 없음",IF(LEFT(R85,1)="⚠","모병원명 미등록",IF(S85="","파견병원 입력",IF(LEFT(S85,1)="⚠","파견병원명 미등록",IF(LEFT(U85,1)="⚠","파견과목 미등록",IF(OR(T85="",LEFT(T85,1)="⚠"),"파견근거 확인",IF(NOT(AND(ISNUMBER(H85),ISNUMBER(I85))),"날짜 형식/누락",IF(I85&lt;H85,"종료일&lt;시작일","")))))))))</f>
        <v/>
      </c>
      <c r="AB85" s="11">
        <f>IF(ISNUMBER(SEARCH("다기관",TRIM(N85&amp;" "&amp;O85))),IFERROR(DATE(VALUE(MID(TRIM(N85&amp;" "&amp;O85),1,4)),VALUE(MID(TRIM(N85&amp;" "&amp;O85),6,2)),VALUE(MID(TRIM(N85&amp;" "&amp;O85),9,2))),IF(ISNUMBER(H85),H85,"")),"")</f>
        <v/>
      </c>
      <c r="AC85" s="11">
        <f>IF(ISNUMBER(SEARCH("다기관",TRIM(N85&amp;" "&amp;O85))),IFERROR(DATE(VALUE(MID(TRIM(N85&amp;" "&amp;O85),12,4)),VALUE(MID(TRIM(N85&amp;" "&amp;O85),17,2)),VALUE(MID(TRIM(N85&amp;" "&amp;O85),20,2))),IF(ISNUMBER(I85),I85,"")),"")</f>
        <v/>
      </c>
      <c r="AD85" s="17">
        <f>IF(AND(ISNUMBER(AB85),ISNUMBER(AC85)),MAX(0,MIN(AC85,EOMONTH(출력_요약!$B$3,0))-MAX(AB85,출력_요약!$B$3)+1),0)</f>
        <v/>
      </c>
      <c r="AE85" s="10">
        <f>IF(AND(Q85&lt;&gt;"",ISNUMBER(AB85)),Q85&amp;"|다기관","")</f>
        <v/>
      </c>
    </row>
    <row r="86">
      <c r="A86" s="15">
        <f>IF(F86="","",ROW()-3)</f>
        <v/>
      </c>
      <c r="B86" s="5" t="n"/>
      <c r="C86" s="15" t="n"/>
      <c r="D86" s="5" t="n"/>
      <c r="E86" s="15" t="n"/>
      <c r="F86" s="5" t="n"/>
      <c r="G86" s="6" t="n"/>
      <c r="H86" s="16" t="n"/>
      <c r="I86" s="16" t="n"/>
      <c r="J86" s="15">
        <f>IF(AND(ISNUMBER(H86),ISNUMBER(I86)),I86-H86+1,"")</f>
        <v/>
      </c>
      <c r="K86" s="5" t="n"/>
      <c r="L86" s="5" t="n"/>
      <c r="M86" s="5" t="n"/>
      <c r="N86" s="5" t="n"/>
      <c r="O86" s="5" t="n"/>
      <c r="Q86" s="10">
        <f>IF(TRIM(G86&amp;"")="","",TRIM(G86&amp;""))</f>
        <v/>
      </c>
      <c r="R86" s="10">
        <f>IF(TRIM(B86&amp;"")="","",IFERROR(INDEX(설정_코드표!$K$2:$K$101,MATCH(TRIM(B86&amp;""),설정_코드표!$J$2:$J$101,0)),"⚠"&amp;TRIM(B86&amp;"")))</f>
        <v/>
      </c>
      <c r="S86" s="10">
        <f>IF(TRIM(K86&amp;"")="","",IFERROR(INDEX(설정_코드표!$K$2:$K$101,MATCH(TRIM(K86&amp;""),설정_코드표!$J$2:$J$101,0)),"⚠"&amp;TRIM(K86&amp;"")))</f>
        <v/>
      </c>
      <c r="T86" s="10">
        <f>IF(TRIM(M86&amp;"")="","",IF(ISNUMBER(MATCH(TRIM(M86&amp;""),설정_코드표!$C$2:$C$11,0)),TRIM(M86&amp;""),"⚠"&amp;TRIM(M86&amp;"")))</f>
        <v/>
      </c>
      <c r="U86" s="10">
        <f>IF(TRIM(L86&amp;"")="","",IFERROR(INDEX(설정_코드표!$G$2:$G$101,MATCH(TRIM(L86&amp;""),설정_코드표!$F$2:$F$101,0)),"⚠"&amp;TRIM(L86&amp;"")))</f>
        <v/>
      </c>
      <c r="V86" s="10">
        <f>IF(AND(ISNUMBER(H86),ISNUMBER(I86)),I86-H86+1,"")</f>
        <v/>
      </c>
      <c r="W86" s="17">
        <f>IF(ISNUMBER(H86),MAX(0,MIN(IF(ISNUMBER(I86),I86,EOMONTH(출력_요약!$B$3,0)),EOMONTH(출력_요약!$B$3,0))-MAX(H86,출력_요약!$B$3)+1),0)</f>
        <v/>
      </c>
      <c r="X86" s="10">
        <f>IF(OR(NOT(ISNUMBER(H86)),Q86=""),"",IF(TODAY()&lt;H86,"파견예정",IF(AND(ISNUMBER(I86),TODAY()&gt;I86),"파견종료","파견중")))</f>
        <v/>
      </c>
      <c r="Y86" s="10">
        <f>IF(OR(Q86="",X86=""),"",Q86&amp;"|"&amp;X86)</f>
        <v/>
      </c>
      <c r="Z86" s="10">
        <f>IF(AND(Q86&lt;&gt;"",W86&gt;0),Q86&amp;"|월","")</f>
        <v/>
      </c>
      <c r="AA86" s="10">
        <f>IF(COUNTA(B86:I86,K86:N86)=0,"",IF(Q86="","등록번호 없음",IF(LEFT(R86,1)="⚠","모병원명 미등록",IF(S86="","파견병원 입력",IF(LEFT(S86,1)="⚠","파견병원명 미등록",IF(LEFT(U86,1)="⚠","파견과목 미등록",IF(OR(T86="",LEFT(T86,1)="⚠"),"파견근거 확인",IF(NOT(AND(ISNUMBER(H86),ISNUMBER(I86))),"날짜 형식/누락",IF(I86&lt;H86,"종료일&lt;시작일","")))))))))</f>
        <v/>
      </c>
      <c r="AB86" s="11">
        <f>IF(ISNUMBER(SEARCH("다기관",TRIM(N86&amp;" "&amp;O86))),IFERROR(DATE(VALUE(MID(TRIM(N86&amp;" "&amp;O86),1,4)),VALUE(MID(TRIM(N86&amp;" "&amp;O86),6,2)),VALUE(MID(TRIM(N86&amp;" "&amp;O86),9,2))),IF(ISNUMBER(H86),H86,"")),"")</f>
        <v/>
      </c>
      <c r="AC86" s="11">
        <f>IF(ISNUMBER(SEARCH("다기관",TRIM(N86&amp;" "&amp;O86))),IFERROR(DATE(VALUE(MID(TRIM(N86&amp;" "&amp;O86),12,4)),VALUE(MID(TRIM(N86&amp;" "&amp;O86),17,2)),VALUE(MID(TRIM(N86&amp;" "&amp;O86),20,2))),IF(ISNUMBER(I86),I86,"")),"")</f>
        <v/>
      </c>
      <c r="AD86" s="17">
        <f>IF(AND(ISNUMBER(AB86),ISNUMBER(AC86)),MAX(0,MIN(AC86,EOMONTH(출력_요약!$B$3,0))-MAX(AB86,출력_요약!$B$3)+1),0)</f>
        <v/>
      </c>
      <c r="AE86" s="10">
        <f>IF(AND(Q86&lt;&gt;"",ISNUMBER(AB86)),Q86&amp;"|다기관","")</f>
        <v/>
      </c>
    </row>
    <row r="87">
      <c r="A87" s="15">
        <f>IF(F87="","",ROW()-3)</f>
        <v/>
      </c>
      <c r="B87" s="5" t="n"/>
      <c r="C87" s="15" t="n"/>
      <c r="D87" s="5" t="n"/>
      <c r="E87" s="15" t="n"/>
      <c r="F87" s="5" t="n"/>
      <c r="G87" s="6" t="n"/>
      <c r="H87" s="16" t="n"/>
      <c r="I87" s="16" t="n"/>
      <c r="J87" s="15">
        <f>IF(AND(ISNUMBER(H87),ISNUMBER(I87)),I87-H87+1,"")</f>
        <v/>
      </c>
      <c r="K87" s="5" t="n"/>
      <c r="L87" s="5" t="n"/>
      <c r="M87" s="5" t="n"/>
      <c r="N87" s="5" t="n"/>
      <c r="O87" s="5" t="n"/>
      <c r="Q87" s="10">
        <f>IF(TRIM(G87&amp;"")="","",TRIM(G87&amp;""))</f>
        <v/>
      </c>
      <c r="R87" s="10">
        <f>IF(TRIM(B87&amp;"")="","",IFERROR(INDEX(설정_코드표!$K$2:$K$101,MATCH(TRIM(B87&amp;""),설정_코드표!$J$2:$J$101,0)),"⚠"&amp;TRIM(B87&amp;"")))</f>
        <v/>
      </c>
      <c r="S87" s="10">
        <f>IF(TRIM(K87&amp;"")="","",IFERROR(INDEX(설정_코드표!$K$2:$K$101,MATCH(TRIM(K87&amp;""),설정_코드표!$J$2:$J$101,0)),"⚠"&amp;TRIM(K87&amp;"")))</f>
        <v/>
      </c>
      <c r="T87" s="10">
        <f>IF(TRIM(M87&amp;"")="","",IF(ISNUMBER(MATCH(TRIM(M87&amp;""),설정_코드표!$C$2:$C$11,0)),TRIM(M87&amp;""),"⚠"&amp;TRIM(M87&amp;"")))</f>
        <v/>
      </c>
      <c r="U87" s="10">
        <f>IF(TRIM(L87&amp;"")="","",IFERROR(INDEX(설정_코드표!$G$2:$G$101,MATCH(TRIM(L87&amp;""),설정_코드표!$F$2:$F$101,0)),"⚠"&amp;TRIM(L87&amp;"")))</f>
        <v/>
      </c>
      <c r="V87" s="10">
        <f>IF(AND(ISNUMBER(H87),ISNUMBER(I87)),I87-H87+1,"")</f>
        <v/>
      </c>
      <c r="W87" s="17">
        <f>IF(ISNUMBER(H87),MAX(0,MIN(IF(ISNUMBER(I87),I87,EOMONTH(출력_요약!$B$3,0)),EOMONTH(출력_요약!$B$3,0))-MAX(H87,출력_요약!$B$3)+1),0)</f>
        <v/>
      </c>
      <c r="X87" s="10">
        <f>IF(OR(NOT(ISNUMBER(H87)),Q87=""),"",IF(TODAY()&lt;H87,"파견예정",IF(AND(ISNUMBER(I87),TODAY()&gt;I87),"파견종료","파견중")))</f>
        <v/>
      </c>
      <c r="Y87" s="10">
        <f>IF(OR(Q87="",X87=""),"",Q87&amp;"|"&amp;X87)</f>
        <v/>
      </c>
      <c r="Z87" s="10">
        <f>IF(AND(Q87&lt;&gt;"",W87&gt;0),Q87&amp;"|월","")</f>
        <v/>
      </c>
      <c r="AA87" s="10">
        <f>IF(COUNTA(B87:I87,K87:N87)=0,"",IF(Q87="","등록번호 없음",IF(LEFT(R87,1)="⚠","모병원명 미등록",IF(S87="","파견병원 입력",IF(LEFT(S87,1)="⚠","파견병원명 미등록",IF(LEFT(U87,1)="⚠","파견과목 미등록",IF(OR(T87="",LEFT(T87,1)="⚠"),"파견근거 확인",IF(NOT(AND(ISNUMBER(H87),ISNUMBER(I87))),"날짜 형식/누락",IF(I87&lt;H87,"종료일&lt;시작일","")))))))))</f>
        <v/>
      </c>
      <c r="AB87" s="11">
        <f>IF(ISNUMBER(SEARCH("다기관",TRIM(N87&amp;" "&amp;O87))),IFERROR(DATE(VALUE(MID(TRIM(N87&amp;" "&amp;O87),1,4)),VALUE(MID(TRIM(N87&amp;" "&amp;O87),6,2)),VALUE(MID(TRIM(N87&amp;" "&amp;O87),9,2))),IF(ISNUMBER(H87),H87,"")),"")</f>
        <v/>
      </c>
      <c r="AC87" s="11">
        <f>IF(ISNUMBER(SEARCH("다기관",TRIM(N87&amp;" "&amp;O87))),IFERROR(DATE(VALUE(MID(TRIM(N87&amp;" "&amp;O87),12,4)),VALUE(MID(TRIM(N87&amp;" "&amp;O87),17,2)),VALUE(MID(TRIM(N87&amp;" "&amp;O87),20,2))),IF(ISNUMBER(I87),I87,"")),"")</f>
        <v/>
      </c>
      <c r="AD87" s="17">
        <f>IF(AND(ISNUMBER(AB87),ISNUMBER(AC87)),MAX(0,MIN(AC87,EOMONTH(출력_요약!$B$3,0))-MAX(AB87,출력_요약!$B$3)+1),0)</f>
        <v/>
      </c>
      <c r="AE87" s="10">
        <f>IF(AND(Q87&lt;&gt;"",ISNUMBER(AB87)),Q87&amp;"|다기관","")</f>
        <v/>
      </c>
    </row>
    <row r="88">
      <c r="A88" s="15">
        <f>IF(F88="","",ROW()-3)</f>
        <v/>
      </c>
      <c r="B88" s="5" t="n"/>
      <c r="C88" s="15" t="n"/>
      <c r="D88" s="5" t="n"/>
      <c r="E88" s="15" t="n"/>
      <c r="F88" s="5" t="n"/>
      <c r="G88" s="6" t="n"/>
      <c r="H88" s="16" t="n"/>
      <c r="I88" s="16" t="n"/>
      <c r="J88" s="15">
        <f>IF(AND(ISNUMBER(H88),ISNUMBER(I88)),I88-H88+1,"")</f>
        <v/>
      </c>
      <c r="K88" s="5" t="n"/>
      <c r="L88" s="5" t="n"/>
      <c r="M88" s="5" t="n"/>
      <c r="N88" s="5" t="n"/>
      <c r="O88" s="5" t="n"/>
      <c r="Q88" s="10">
        <f>IF(TRIM(G88&amp;"")="","",TRIM(G88&amp;""))</f>
        <v/>
      </c>
      <c r="R88" s="10">
        <f>IF(TRIM(B88&amp;"")="","",IFERROR(INDEX(설정_코드표!$K$2:$K$101,MATCH(TRIM(B88&amp;""),설정_코드표!$J$2:$J$101,0)),"⚠"&amp;TRIM(B88&amp;"")))</f>
        <v/>
      </c>
      <c r="S88" s="10">
        <f>IF(TRIM(K88&amp;"")="","",IFERROR(INDEX(설정_코드표!$K$2:$K$101,MATCH(TRIM(K88&amp;""),설정_코드표!$J$2:$J$101,0)),"⚠"&amp;TRIM(K88&amp;"")))</f>
        <v/>
      </c>
      <c r="T88" s="10">
        <f>IF(TRIM(M88&amp;"")="","",IF(ISNUMBER(MATCH(TRIM(M88&amp;""),설정_코드표!$C$2:$C$11,0)),TRIM(M88&amp;""),"⚠"&amp;TRIM(M88&amp;"")))</f>
        <v/>
      </c>
      <c r="U88" s="10">
        <f>IF(TRIM(L88&amp;"")="","",IFERROR(INDEX(설정_코드표!$G$2:$G$101,MATCH(TRIM(L88&amp;""),설정_코드표!$F$2:$F$101,0)),"⚠"&amp;TRIM(L88&amp;"")))</f>
        <v/>
      </c>
      <c r="V88" s="10">
        <f>IF(AND(ISNUMBER(H88),ISNUMBER(I88)),I88-H88+1,"")</f>
        <v/>
      </c>
      <c r="W88" s="17">
        <f>IF(ISNUMBER(H88),MAX(0,MIN(IF(ISNUMBER(I88),I88,EOMONTH(출력_요약!$B$3,0)),EOMONTH(출력_요약!$B$3,0))-MAX(H88,출력_요약!$B$3)+1),0)</f>
        <v/>
      </c>
      <c r="X88" s="10">
        <f>IF(OR(NOT(ISNUMBER(H88)),Q88=""),"",IF(TODAY()&lt;H88,"파견예정",IF(AND(ISNUMBER(I88),TODAY()&gt;I88),"파견종료","파견중")))</f>
        <v/>
      </c>
      <c r="Y88" s="10">
        <f>IF(OR(Q88="",X88=""),"",Q88&amp;"|"&amp;X88)</f>
        <v/>
      </c>
      <c r="Z88" s="10">
        <f>IF(AND(Q88&lt;&gt;"",W88&gt;0),Q88&amp;"|월","")</f>
        <v/>
      </c>
      <c r="AA88" s="10">
        <f>IF(COUNTA(B88:I88,K88:N88)=0,"",IF(Q88="","등록번호 없음",IF(LEFT(R88,1)="⚠","모병원명 미등록",IF(S88="","파견병원 입력",IF(LEFT(S88,1)="⚠","파견병원명 미등록",IF(LEFT(U88,1)="⚠","파견과목 미등록",IF(OR(T88="",LEFT(T88,1)="⚠"),"파견근거 확인",IF(NOT(AND(ISNUMBER(H88),ISNUMBER(I88))),"날짜 형식/누락",IF(I88&lt;H88,"종료일&lt;시작일","")))))))))</f>
        <v/>
      </c>
      <c r="AB88" s="11">
        <f>IF(ISNUMBER(SEARCH("다기관",TRIM(N88&amp;" "&amp;O88))),IFERROR(DATE(VALUE(MID(TRIM(N88&amp;" "&amp;O88),1,4)),VALUE(MID(TRIM(N88&amp;" "&amp;O88),6,2)),VALUE(MID(TRIM(N88&amp;" "&amp;O88),9,2))),IF(ISNUMBER(H88),H88,"")),"")</f>
        <v/>
      </c>
      <c r="AC88" s="11">
        <f>IF(ISNUMBER(SEARCH("다기관",TRIM(N88&amp;" "&amp;O88))),IFERROR(DATE(VALUE(MID(TRIM(N88&amp;" "&amp;O88),12,4)),VALUE(MID(TRIM(N88&amp;" "&amp;O88),17,2)),VALUE(MID(TRIM(N88&amp;" "&amp;O88),20,2))),IF(ISNUMBER(I88),I88,"")),"")</f>
        <v/>
      </c>
      <c r="AD88" s="17">
        <f>IF(AND(ISNUMBER(AB88),ISNUMBER(AC88)),MAX(0,MIN(AC88,EOMONTH(출력_요약!$B$3,0))-MAX(AB88,출력_요약!$B$3)+1),0)</f>
        <v/>
      </c>
      <c r="AE88" s="10">
        <f>IF(AND(Q88&lt;&gt;"",ISNUMBER(AB88)),Q88&amp;"|다기관","")</f>
        <v/>
      </c>
    </row>
    <row r="89">
      <c r="A89" s="15">
        <f>IF(F89="","",ROW()-3)</f>
        <v/>
      </c>
      <c r="B89" s="5" t="n"/>
      <c r="C89" s="15" t="n"/>
      <c r="D89" s="5" t="n"/>
      <c r="E89" s="15" t="n"/>
      <c r="F89" s="5" t="n"/>
      <c r="G89" s="6" t="n"/>
      <c r="H89" s="16" t="n"/>
      <c r="I89" s="16" t="n"/>
      <c r="J89" s="15">
        <f>IF(AND(ISNUMBER(H89),ISNUMBER(I89)),I89-H89+1,"")</f>
        <v/>
      </c>
      <c r="K89" s="5" t="n"/>
      <c r="L89" s="5" t="n"/>
      <c r="M89" s="5" t="n"/>
      <c r="N89" s="5" t="n"/>
      <c r="O89" s="5" t="n"/>
      <c r="Q89" s="10">
        <f>IF(TRIM(G89&amp;"")="","",TRIM(G89&amp;""))</f>
        <v/>
      </c>
      <c r="R89" s="10">
        <f>IF(TRIM(B89&amp;"")="","",IFERROR(INDEX(설정_코드표!$K$2:$K$101,MATCH(TRIM(B89&amp;""),설정_코드표!$J$2:$J$101,0)),"⚠"&amp;TRIM(B89&amp;"")))</f>
        <v/>
      </c>
      <c r="S89" s="10">
        <f>IF(TRIM(K89&amp;"")="","",IFERROR(INDEX(설정_코드표!$K$2:$K$101,MATCH(TRIM(K89&amp;""),설정_코드표!$J$2:$J$101,0)),"⚠"&amp;TRIM(K89&amp;"")))</f>
        <v/>
      </c>
      <c r="T89" s="10">
        <f>IF(TRIM(M89&amp;"")="","",IF(ISNUMBER(MATCH(TRIM(M89&amp;""),설정_코드표!$C$2:$C$11,0)),TRIM(M89&amp;""),"⚠"&amp;TRIM(M89&amp;"")))</f>
        <v/>
      </c>
      <c r="U89" s="10">
        <f>IF(TRIM(L89&amp;"")="","",IFERROR(INDEX(설정_코드표!$G$2:$G$101,MATCH(TRIM(L89&amp;""),설정_코드표!$F$2:$F$101,0)),"⚠"&amp;TRIM(L89&amp;"")))</f>
        <v/>
      </c>
      <c r="V89" s="10">
        <f>IF(AND(ISNUMBER(H89),ISNUMBER(I89)),I89-H89+1,"")</f>
        <v/>
      </c>
      <c r="W89" s="17">
        <f>IF(ISNUMBER(H89),MAX(0,MIN(IF(ISNUMBER(I89),I89,EOMONTH(출력_요약!$B$3,0)),EOMONTH(출력_요약!$B$3,0))-MAX(H89,출력_요약!$B$3)+1),0)</f>
        <v/>
      </c>
      <c r="X89" s="10">
        <f>IF(OR(NOT(ISNUMBER(H89)),Q89=""),"",IF(TODAY()&lt;H89,"파견예정",IF(AND(ISNUMBER(I89),TODAY()&gt;I89),"파견종료","파견중")))</f>
        <v/>
      </c>
      <c r="Y89" s="10">
        <f>IF(OR(Q89="",X89=""),"",Q89&amp;"|"&amp;X89)</f>
        <v/>
      </c>
      <c r="Z89" s="10">
        <f>IF(AND(Q89&lt;&gt;"",W89&gt;0),Q89&amp;"|월","")</f>
        <v/>
      </c>
      <c r="AA89" s="10">
        <f>IF(COUNTA(B89:I89,K89:N89)=0,"",IF(Q89="","등록번호 없음",IF(LEFT(R89,1)="⚠","모병원명 미등록",IF(S89="","파견병원 입력",IF(LEFT(S89,1)="⚠","파견병원명 미등록",IF(LEFT(U89,1)="⚠","파견과목 미등록",IF(OR(T89="",LEFT(T89,1)="⚠"),"파견근거 확인",IF(NOT(AND(ISNUMBER(H89),ISNUMBER(I89))),"날짜 형식/누락",IF(I89&lt;H89,"종료일&lt;시작일","")))))))))</f>
        <v/>
      </c>
      <c r="AB89" s="11">
        <f>IF(ISNUMBER(SEARCH("다기관",TRIM(N89&amp;" "&amp;O89))),IFERROR(DATE(VALUE(MID(TRIM(N89&amp;" "&amp;O89),1,4)),VALUE(MID(TRIM(N89&amp;" "&amp;O89),6,2)),VALUE(MID(TRIM(N89&amp;" "&amp;O89),9,2))),IF(ISNUMBER(H89),H89,"")),"")</f>
        <v/>
      </c>
      <c r="AC89" s="11">
        <f>IF(ISNUMBER(SEARCH("다기관",TRIM(N89&amp;" "&amp;O89))),IFERROR(DATE(VALUE(MID(TRIM(N89&amp;" "&amp;O89),12,4)),VALUE(MID(TRIM(N89&amp;" "&amp;O89),17,2)),VALUE(MID(TRIM(N89&amp;" "&amp;O89),20,2))),IF(ISNUMBER(I89),I89,"")),"")</f>
        <v/>
      </c>
      <c r="AD89" s="17">
        <f>IF(AND(ISNUMBER(AB89),ISNUMBER(AC89)),MAX(0,MIN(AC89,EOMONTH(출력_요약!$B$3,0))-MAX(AB89,출력_요약!$B$3)+1),0)</f>
        <v/>
      </c>
      <c r="AE89" s="10">
        <f>IF(AND(Q89&lt;&gt;"",ISNUMBER(AB89)),Q89&amp;"|다기관","")</f>
        <v/>
      </c>
    </row>
    <row r="90">
      <c r="A90" s="15">
        <f>IF(F90="","",ROW()-3)</f>
        <v/>
      </c>
      <c r="B90" s="5" t="n"/>
      <c r="C90" s="15" t="n"/>
      <c r="D90" s="5" t="n"/>
      <c r="E90" s="15" t="n"/>
      <c r="F90" s="5" t="n"/>
      <c r="G90" s="6" t="n"/>
      <c r="H90" s="16" t="n"/>
      <c r="I90" s="16" t="n"/>
      <c r="J90" s="15">
        <f>IF(AND(ISNUMBER(H90),ISNUMBER(I90)),I90-H90+1,"")</f>
        <v/>
      </c>
      <c r="K90" s="5" t="n"/>
      <c r="L90" s="5" t="n"/>
      <c r="M90" s="5" t="n"/>
      <c r="N90" s="5" t="n"/>
      <c r="O90" s="5" t="n"/>
      <c r="Q90" s="10">
        <f>IF(TRIM(G90&amp;"")="","",TRIM(G90&amp;""))</f>
        <v/>
      </c>
      <c r="R90" s="10">
        <f>IF(TRIM(B90&amp;"")="","",IFERROR(INDEX(설정_코드표!$K$2:$K$101,MATCH(TRIM(B90&amp;""),설정_코드표!$J$2:$J$101,0)),"⚠"&amp;TRIM(B90&amp;"")))</f>
        <v/>
      </c>
      <c r="S90" s="10">
        <f>IF(TRIM(K90&amp;"")="","",IFERROR(INDEX(설정_코드표!$K$2:$K$101,MATCH(TRIM(K90&amp;""),설정_코드표!$J$2:$J$101,0)),"⚠"&amp;TRIM(K90&amp;"")))</f>
        <v/>
      </c>
      <c r="T90" s="10">
        <f>IF(TRIM(M90&amp;"")="","",IF(ISNUMBER(MATCH(TRIM(M90&amp;""),설정_코드표!$C$2:$C$11,0)),TRIM(M90&amp;""),"⚠"&amp;TRIM(M90&amp;"")))</f>
        <v/>
      </c>
      <c r="U90" s="10">
        <f>IF(TRIM(L90&amp;"")="","",IFERROR(INDEX(설정_코드표!$G$2:$G$101,MATCH(TRIM(L90&amp;""),설정_코드표!$F$2:$F$101,0)),"⚠"&amp;TRIM(L90&amp;"")))</f>
        <v/>
      </c>
      <c r="V90" s="10">
        <f>IF(AND(ISNUMBER(H90),ISNUMBER(I90)),I90-H90+1,"")</f>
        <v/>
      </c>
      <c r="W90" s="17">
        <f>IF(ISNUMBER(H90),MAX(0,MIN(IF(ISNUMBER(I90),I90,EOMONTH(출력_요약!$B$3,0)),EOMONTH(출력_요약!$B$3,0))-MAX(H90,출력_요약!$B$3)+1),0)</f>
        <v/>
      </c>
      <c r="X90" s="10">
        <f>IF(OR(NOT(ISNUMBER(H90)),Q90=""),"",IF(TODAY()&lt;H90,"파견예정",IF(AND(ISNUMBER(I90),TODAY()&gt;I90),"파견종료","파견중")))</f>
        <v/>
      </c>
      <c r="Y90" s="10">
        <f>IF(OR(Q90="",X90=""),"",Q90&amp;"|"&amp;X90)</f>
        <v/>
      </c>
      <c r="Z90" s="10">
        <f>IF(AND(Q90&lt;&gt;"",W90&gt;0),Q90&amp;"|월","")</f>
        <v/>
      </c>
      <c r="AA90" s="10">
        <f>IF(COUNTA(B90:I90,K90:N90)=0,"",IF(Q90="","등록번호 없음",IF(LEFT(R90,1)="⚠","모병원명 미등록",IF(S90="","파견병원 입력",IF(LEFT(S90,1)="⚠","파견병원명 미등록",IF(LEFT(U90,1)="⚠","파견과목 미등록",IF(OR(T90="",LEFT(T90,1)="⚠"),"파견근거 확인",IF(NOT(AND(ISNUMBER(H90),ISNUMBER(I90))),"날짜 형식/누락",IF(I90&lt;H90,"종료일&lt;시작일","")))))))))</f>
        <v/>
      </c>
      <c r="AB90" s="11">
        <f>IF(ISNUMBER(SEARCH("다기관",TRIM(N90&amp;" "&amp;O90))),IFERROR(DATE(VALUE(MID(TRIM(N90&amp;" "&amp;O90),1,4)),VALUE(MID(TRIM(N90&amp;" "&amp;O90),6,2)),VALUE(MID(TRIM(N90&amp;" "&amp;O90),9,2))),IF(ISNUMBER(H90),H90,"")),"")</f>
        <v/>
      </c>
      <c r="AC90" s="11">
        <f>IF(ISNUMBER(SEARCH("다기관",TRIM(N90&amp;" "&amp;O90))),IFERROR(DATE(VALUE(MID(TRIM(N90&amp;" "&amp;O90),12,4)),VALUE(MID(TRIM(N90&amp;" "&amp;O90),17,2)),VALUE(MID(TRIM(N90&amp;" "&amp;O90),20,2))),IF(ISNUMBER(I90),I90,"")),"")</f>
        <v/>
      </c>
      <c r="AD90" s="17">
        <f>IF(AND(ISNUMBER(AB90),ISNUMBER(AC90)),MAX(0,MIN(AC90,EOMONTH(출력_요약!$B$3,0))-MAX(AB90,출력_요약!$B$3)+1),0)</f>
        <v/>
      </c>
      <c r="AE90" s="10">
        <f>IF(AND(Q90&lt;&gt;"",ISNUMBER(AB90)),Q90&amp;"|다기관","")</f>
        <v/>
      </c>
    </row>
    <row r="91">
      <c r="A91" s="15">
        <f>IF(F91="","",ROW()-3)</f>
        <v/>
      </c>
      <c r="B91" s="5" t="n"/>
      <c r="C91" s="15" t="n"/>
      <c r="D91" s="5" t="n"/>
      <c r="E91" s="15" t="n"/>
      <c r="F91" s="5" t="n"/>
      <c r="G91" s="6" t="n"/>
      <c r="H91" s="16" t="n"/>
      <c r="I91" s="16" t="n"/>
      <c r="J91" s="15">
        <f>IF(AND(ISNUMBER(H91),ISNUMBER(I91)),I91-H91+1,"")</f>
        <v/>
      </c>
      <c r="K91" s="5" t="n"/>
      <c r="L91" s="5" t="n"/>
      <c r="M91" s="5" t="n"/>
      <c r="N91" s="5" t="n"/>
      <c r="O91" s="5" t="n"/>
      <c r="Q91" s="10">
        <f>IF(TRIM(G91&amp;"")="","",TRIM(G91&amp;""))</f>
        <v/>
      </c>
      <c r="R91" s="10">
        <f>IF(TRIM(B91&amp;"")="","",IFERROR(INDEX(설정_코드표!$K$2:$K$101,MATCH(TRIM(B91&amp;""),설정_코드표!$J$2:$J$101,0)),"⚠"&amp;TRIM(B91&amp;"")))</f>
        <v/>
      </c>
      <c r="S91" s="10">
        <f>IF(TRIM(K91&amp;"")="","",IFERROR(INDEX(설정_코드표!$K$2:$K$101,MATCH(TRIM(K91&amp;""),설정_코드표!$J$2:$J$101,0)),"⚠"&amp;TRIM(K91&amp;"")))</f>
        <v/>
      </c>
      <c r="T91" s="10">
        <f>IF(TRIM(M91&amp;"")="","",IF(ISNUMBER(MATCH(TRIM(M91&amp;""),설정_코드표!$C$2:$C$11,0)),TRIM(M91&amp;""),"⚠"&amp;TRIM(M91&amp;"")))</f>
        <v/>
      </c>
      <c r="U91" s="10">
        <f>IF(TRIM(L91&amp;"")="","",IFERROR(INDEX(설정_코드표!$G$2:$G$101,MATCH(TRIM(L91&amp;""),설정_코드표!$F$2:$F$101,0)),"⚠"&amp;TRIM(L91&amp;"")))</f>
        <v/>
      </c>
      <c r="V91" s="10">
        <f>IF(AND(ISNUMBER(H91),ISNUMBER(I91)),I91-H91+1,"")</f>
        <v/>
      </c>
      <c r="W91" s="17">
        <f>IF(ISNUMBER(H91),MAX(0,MIN(IF(ISNUMBER(I91),I91,EOMONTH(출력_요약!$B$3,0)),EOMONTH(출력_요약!$B$3,0))-MAX(H91,출력_요약!$B$3)+1),0)</f>
        <v/>
      </c>
      <c r="X91" s="10">
        <f>IF(OR(NOT(ISNUMBER(H91)),Q91=""),"",IF(TODAY()&lt;H91,"파견예정",IF(AND(ISNUMBER(I91),TODAY()&gt;I91),"파견종료","파견중")))</f>
        <v/>
      </c>
      <c r="Y91" s="10">
        <f>IF(OR(Q91="",X91=""),"",Q91&amp;"|"&amp;X91)</f>
        <v/>
      </c>
      <c r="Z91" s="10">
        <f>IF(AND(Q91&lt;&gt;"",W91&gt;0),Q91&amp;"|월","")</f>
        <v/>
      </c>
      <c r="AA91" s="10">
        <f>IF(COUNTA(B91:I91,K91:N91)=0,"",IF(Q91="","등록번호 없음",IF(LEFT(R91,1)="⚠","모병원명 미등록",IF(S91="","파견병원 입력",IF(LEFT(S91,1)="⚠","파견병원명 미등록",IF(LEFT(U91,1)="⚠","파견과목 미등록",IF(OR(T91="",LEFT(T91,1)="⚠"),"파견근거 확인",IF(NOT(AND(ISNUMBER(H91),ISNUMBER(I91))),"날짜 형식/누락",IF(I91&lt;H91,"종료일&lt;시작일","")))))))))</f>
        <v/>
      </c>
      <c r="AB91" s="11">
        <f>IF(ISNUMBER(SEARCH("다기관",TRIM(N91&amp;" "&amp;O91))),IFERROR(DATE(VALUE(MID(TRIM(N91&amp;" "&amp;O91),1,4)),VALUE(MID(TRIM(N91&amp;" "&amp;O91),6,2)),VALUE(MID(TRIM(N91&amp;" "&amp;O91),9,2))),IF(ISNUMBER(H91),H91,"")),"")</f>
        <v/>
      </c>
      <c r="AC91" s="11">
        <f>IF(ISNUMBER(SEARCH("다기관",TRIM(N91&amp;" "&amp;O91))),IFERROR(DATE(VALUE(MID(TRIM(N91&amp;" "&amp;O91),12,4)),VALUE(MID(TRIM(N91&amp;" "&amp;O91),17,2)),VALUE(MID(TRIM(N91&amp;" "&amp;O91),20,2))),IF(ISNUMBER(I91),I91,"")),"")</f>
        <v/>
      </c>
      <c r="AD91" s="17">
        <f>IF(AND(ISNUMBER(AB91),ISNUMBER(AC91)),MAX(0,MIN(AC91,EOMONTH(출력_요약!$B$3,0))-MAX(AB91,출력_요약!$B$3)+1),0)</f>
        <v/>
      </c>
      <c r="AE91" s="10">
        <f>IF(AND(Q91&lt;&gt;"",ISNUMBER(AB91)),Q91&amp;"|다기관","")</f>
        <v/>
      </c>
    </row>
    <row r="92">
      <c r="A92" s="15">
        <f>IF(F92="","",ROW()-3)</f>
        <v/>
      </c>
      <c r="B92" s="5" t="n"/>
      <c r="C92" s="15" t="n"/>
      <c r="D92" s="5" t="n"/>
      <c r="E92" s="15" t="n"/>
      <c r="F92" s="5" t="n"/>
      <c r="G92" s="6" t="n"/>
      <c r="H92" s="16" t="n"/>
      <c r="I92" s="16" t="n"/>
      <c r="J92" s="15">
        <f>IF(AND(ISNUMBER(H92),ISNUMBER(I92)),I92-H92+1,"")</f>
        <v/>
      </c>
      <c r="K92" s="5" t="n"/>
      <c r="L92" s="5" t="n"/>
      <c r="M92" s="5" t="n"/>
      <c r="N92" s="5" t="n"/>
      <c r="O92" s="5" t="n"/>
      <c r="Q92" s="10">
        <f>IF(TRIM(G92&amp;"")="","",TRIM(G92&amp;""))</f>
        <v/>
      </c>
      <c r="R92" s="10">
        <f>IF(TRIM(B92&amp;"")="","",IFERROR(INDEX(설정_코드표!$K$2:$K$101,MATCH(TRIM(B92&amp;""),설정_코드표!$J$2:$J$101,0)),"⚠"&amp;TRIM(B92&amp;"")))</f>
        <v/>
      </c>
      <c r="S92" s="10">
        <f>IF(TRIM(K92&amp;"")="","",IFERROR(INDEX(설정_코드표!$K$2:$K$101,MATCH(TRIM(K92&amp;""),설정_코드표!$J$2:$J$101,0)),"⚠"&amp;TRIM(K92&amp;"")))</f>
        <v/>
      </c>
      <c r="T92" s="10">
        <f>IF(TRIM(M92&amp;"")="","",IF(ISNUMBER(MATCH(TRIM(M92&amp;""),설정_코드표!$C$2:$C$11,0)),TRIM(M92&amp;""),"⚠"&amp;TRIM(M92&amp;"")))</f>
        <v/>
      </c>
      <c r="U92" s="10">
        <f>IF(TRIM(L92&amp;"")="","",IFERROR(INDEX(설정_코드표!$G$2:$G$101,MATCH(TRIM(L92&amp;""),설정_코드표!$F$2:$F$101,0)),"⚠"&amp;TRIM(L92&amp;"")))</f>
        <v/>
      </c>
      <c r="V92" s="10">
        <f>IF(AND(ISNUMBER(H92),ISNUMBER(I92)),I92-H92+1,"")</f>
        <v/>
      </c>
      <c r="W92" s="17">
        <f>IF(ISNUMBER(H92),MAX(0,MIN(IF(ISNUMBER(I92),I92,EOMONTH(출력_요약!$B$3,0)),EOMONTH(출력_요약!$B$3,0))-MAX(H92,출력_요약!$B$3)+1),0)</f>
        <v/>
      </c>
      <c r="X92" s="10">
        <f>IF(OR(NOT(ISNUMBER(H92)),Q92=""),"",IF(TODAY()&lt;H92,"파견예정",IF(AND(ISNUMBER(I92),TODAY()&gt;I92),"파견종료","파견중")))</f>
        <v/>
      </c>
      <c r="Y92" s="10">
        <f>IF(OR(Q92="",X92=""),"",Q92&amp;"|"&amp;X92)</f>
        <v/>
      </c>
      <c r="Z92" s="10">
        <f>IF(AND(Q92&lt;&gt;"",W92&gt;0),Q92&amp;"|월","")</f>
        <v/>
      </c>
      <c r="AA92" s="10">
        <f>IF(COUNTA(B92:I92,K92:N92)=0,"",IF(Q92="","등록번호 없음",IF(LEFT(R92,1)="⚠","모병원명 미등록",IF(S92="","파견병원 입력",IF(LEFT(S92,1)="⚠","파견병원명 미등록",IF(LEFT(U92,1)="⚠","파견과목 미등록",IF(OR(T92="",LEFT(T92,1)="⚠"),"파견근거 확인",IF(NOT(AND(ISNUMBER(H92),ISNUMBER(I92))),"날짜 형식/누락",IF(I92&lt;H92,"종료일&lt;시작일","")))))))))</f>
        <v/>
      </c>
      <c r="AB92" s="11">
        <f>IF(ISNUMBER(SEARCH("다기관",TRIM(N92&amp;" "&amp;O92))),IFERROR(DATE(VALUE(MID(TRIM(N92&amp;" "&amp;O92),1,4)),VALUE(MID(TRIM(N92&amp;" "&amp;O92),6,2)),VALUE(MID(TRIM(N92&amp;" "&amp;O92),9,2))),IF(ISNUMBER(H92),H92,"")),"")</f>
        <v/>
      </c>
      <c r="AC92" s="11">
        <f>IF(ISNUMBER(SEARCH("다기관",TRIM(N92&amp;" "&amp;O92))),IFERROR(DATE(VALUE(MID(TRIM(N92&amp;" "&amp;O92),12,4)),VALUE(MID(TRIM(N92&amp;" "&amp;O92),17,2)),VALUE(MID(TRIM(N92&amp;" "&amp;O92),20,2))),IF(ISNUMBER(I92),I92,"")),"")</f>
        <v/>
      </c>
      <c r="AD92" s="17">
        <f>IF(AND(ISNUMBER(AB92),ISNUMBER(AC92)),MAX(0,MIN(AC92,EOMONTH(출력_요약!$B$3,0))-MAX(AB92,출력_요약!$B$3)+1),0)</f>
        <v/>
      </c>
      <c r="AE92" s="10">
        <f>IF(AND(Q92&lt;&gt;"",ISNUMBER(AB92)),Q92&amp;"|다기관","")</f>
        <v/>
      </c>
    </row>
    <row r="93">
      <c r="A93" s="15">
        <f>IF(F93="","",ROW()-3)</f>
        <v/>
      </c>
      <c r="B93" s="5" t="n"/>
      <c r="C93" s="15" t="n"/>
      <c r="D93" s="5" t="n"/>
      <c r="E93" s="15" t="n"/>
      <c r="F93" s="5" t="n"/>
      <c r="G93" s="6" t="n"/>
      <c r="H93" s="16" t="n"/>
      <c r="I93" s="16" t="n"/>
      <c r="J93" s="15">
        <f>IF(AND(ISNUMBER(H93),ISNUMBER(I93)),I93-H93+1,"")</f>
        <v/>
      </c>
      <c r="K93" s="5" t="n"/>
      <c r="L93" s="5" t="n"/>
      <c r="M93" s="5" t="n"/>
      <c r="N93" s="5" t="n"/>
      <c r="O93" s="5" t="n"/>
      <c r="Q93" s="10">
        <f>IF(TRIM(G93&amp;"")="","",TRIM(G93&amp;""))</f>
        <v/>
      </c>
      <c r="R93" s="10">
        <f>IF(TRIM(B93&amp;"")="","",IFERROR(INDEX(설정_코드표!$K$2:$K$101,MATCH(TRIM(B93&amp;""),설정_코드표!$J$2:$J$101,0)),"⚠"&amp;TRIM(B93&amp;"")))</f>
        <v/>
      </c>
      <c r="S93" s="10">
        <f>IF(TRIM(K93&amp;"")="","",IFERROR(INDEX(설정_코드표!$K$2:$K$101,MATCH(TRIM(K93&amp;""),설정_코드표!$J$2:$J$101,0)),"⚠"&amp;TRIM(K93&amp;"")))</f>
        <v/>
      </c>
      <c r="T93" s="10">
        <f>IF(TRIM(M93&amp;"")="","",IF(ISNUMBER(MATCH(TRIM(M93&amp;""),설정_코드표!$C$2:$C$11,0)),TRIM(M93&amp;""),"⚠"&amp;TRIM(M93&amp;"")))</f>
        <v/>
      </c>
      <c r="U93" s="10">
        <f>IF(TRIM(L93&amp;"")="","",IFERROR(INDEX(설정_코드표!$G$2:$G$101,MATCH(TRIM(L93&amp;""),설정_코드표!$F$2:$F$101,0)),"⚠"&amp;TRIM(L93&amp;"")))</f>
        <v/>
      </c>
      <c r="V93" s="10">
        <f>IF(AND(ISNUMBER(H93),ISNUMBER(I93)),I93-H93+1,"")</f>
        <v/>
      </c>
      <c r="W93" s="17">
        <f>IF(ISNUMBER(H93),MAX(0,MIN(IF(ISNUMBER(I93),I93,EOMONTH(출력_요약!$B$3,0)),EOMONTH(출력_요약!$B$3,0))-MAX(H93,출력_요약!$B$3)+1),0)</f>
        <v/>
      </c>
      <c r="X93" s="10">
        <f>IF(OR(NOT(ISNUMBER(H93)),Q93=""),"",IF(TODAY()&lt;H93,"파견예정",IF(AND(ISNUMBER(I93),TODAY()&gt;I93),"파견종료","파견중")))</f>
        <v/>
      </c>
      <c r="Y93" s="10">
        <f>IF(OR(Q93="",X93=""),"",Q93&amp;"|"&amp;X93)</f>
        <v/>
      </c>
      <c r="Z93" s="10">
        <f>IF(AND(Q93&lt;&gt;"",W93&gt;0),Q93&amp;"|월","")</f>
        <v/>
      </c>
      <c r="AA93" s="10">
        <f>IF(COUNTA(B93:I93,K93:N93)=0,"",IF(Q93="","등록번호 없음",IF(LEFT(R93,1)="⚠","모병원명 미등록",IF(S93="","파견병원 입력",IF(LEFT(S93,1)="⚠","파견병원명 미등록",IF(LEFT(U93,1)="⚠","파견과목 미등록",IF(OR(T93="",LEFT(T93,1)="⚠"),"파견근거 확인",IF(NOT(AND(ISNUMBER(H93),ISNUMBER(I93))),"날짜 형식/누락",IF(I93&lt;H93,"종료일&lt;시작일","")))))))))</f>
        <v/>
      </c>
      <c r="AB93" s="11">
        <f>IF(ISNUMBER(SEARCH("다기관",TRIM(N93&amp;" "&amp;O93))),IFERROR(DATE(VALUE(MID(TRIM(N93&amp;" "&amp;O93),1,4)),VALUE(MID(TRIM(N93&amp;" "&amp;O93),6,2)),VALUE(MID(TRIM(N93&amp;" "&amp;O93),9,2))),IF(ISNUMBER(H93),H93,"")),"")</f>
        <v/>
      </c>
      <c r="AC93" s="11">
        <f>IF(ISNUMBER(SEARCH("다기관",TRIM(N93&amp;" "&amp;O93))),IFERROR(DATE(VALUE(MID(TRIM(N93&amp;" "&amp;O93),12,4)),VALUE(MID(TRIM(N93&amp;" "&amp;O93),17,2)),VALUE(MID(TRIM(N93&amp;" "&amp;O93),20,2))),IF(ISNUMBER(I93),I93,"")),"")</f>
        <v/>
      </c>
      <c r="AD93" s="17">
        <f>IF(AND(ISNUMBER(AB93),ISNUMBER(AC93)),MAX(0,MIN(AC93,EOMONTH(출력_요약!$B$3,0))-MAX(AB93,출력_요약!$B$3)+1),0)</f>
        <v/>
      </c>
      <c r="AE93" s="10">
        <f>IF(AND(Q93&lt;&gt;"",ISNUMBER(AB93)),Q93&amp;"|다기관","")</f>
        <v/>
      </c>
    </row>
    <row r="94">
      <c r="A94" s="15">
        <f>IF(F94="","",ROW()-3)</f>
        <v/>
      </c>
      <c r="B94" s="5" t="n"/>
      <c r="C94" s="15" t="n"/>
      <c r="D94" s="5" t="n"/>
      <c r="E94" s="15" t="n"/>
      <c r="F94" s="5" t="n"/>
      <c r="G94" s="6" t="n"/>
      <c r="H94" s="16" t="n"/>
      <c r="I94" s="16" t="n"/>
      <c r="J94" s="15">
        <f>IF(AND(ISNUMBER(H94),ISNUMBER(I94)),I94-H94+1,"")</f>
        <v/>
      </c>
      <c r="K94" s="5" t="n"/>
      <c r="L94" s="5" t="n"/>
      <c r="M94" s="5" t="n"/>
      <c r="N94" s="5" t="n"/>
      <c r="O94" s="5" t="n"/>
      <c r="Q94" s="10">
        <f>IF(TRIM(G94&amp;"")="","",TRIM(G94&amp;""))</f>
        <v/>
      </c>
      <c r="R94" s="10">
        <f>IF(TRIM(B94&amp;"")="","",IFERROR(INDEX(설정_코드표!$K$2:$K$101,MATCH(TRIM(B94&amp;""),설정_코드표!$J$2:$J$101,0)),"⚠"&amp;TRIM(B94&amp;"")))</f>
        <v/>
      </c>
      <c r="S94" s="10">
        <f>IF(TRIM(K94&amp;"")="","",IFERROR(INDEX(설정_코드표!$K$2:$K$101,MATCH(TRIM(K94&amp;""),설정_코드표!$J$2:$J$101,0)),"⚠"&amp;TRIM(K94&amp;"")))</f>
        <v/>
      </c>
      <c r="T94" s="10">
        <f>IF(TRIM(M94&amp;"")="","",IF(ISNUMBER(MATCH(TRIM(M94&amp;""),설정_코드표!$C$2:$C$11,0)),TRIM(M94&amp;""),"⚠"&amp;TRIM(M94&amp;"")))</f>
        <v/>
      </c>
      <c r="U94" s="10">
        <f>IF(TRIM(L94&amp;"")="","",IFERROR(INDEX(설정_코드표!$G$2:$G$101,MATCH(TRIM(L94&amp;""),설정_코드표!$F$2:$F$101,0)),"⚠"&amp;TRIM(L94&amp;"")))</f>
        <v/>
      </c>
      <c r="V94" s="10">
        <f>IF(AND(ISNUMBER(H94),ISNUMBER(I94)),I94-H94+1,"")</f>
        <v/>
      </c>
      <c r="W94" s="17">
        <f>IF(ISNUMBER(H94),MAX(0,MIN(IF(ISNUMBER(I94),I94,EOMONTH(출력_요약!$B$3,0)),EOMONTH(출력_요약!$B$3,0))-MAX(H94,출력_요약!$B$3)+1),0)</f>
        <v/>
      </c>
      <c r="X94" s="10">
        <f>IF(OR(NOT(ISNUMBER(H94)),Q94=""),"",IF(TODAY()&lt;H94,"파견예정",IF(AND(ISNUMBER(I94),TODAY()&gt;I94),"파견종료","파견중")))</f>
        <v/>
      </c>
      <c r="Y94" s="10">
        <f>IF(OR(Q94="",X94=""),"",Q94&amp;"|"&amp;X94)</f>
        <v/>
      </c>
      <c r="Z94" s="10">
        <f>IF(AND(Q94&lt;&gt;"",W94&gt;0),Q94&amp;"|월","")</f>
        <v/>
      </c>
      <c r="AA94" s="10">
        <f>IF(COUNTA(B94:I94,K94:N94)=0,"",IF(Q94="","등록번호 없음",IF(LEFT(R94,1)="⚠","모병원명 미등록",IF(S94="","파견병원 입력",IF(LEFT(S94,1)="⚠","파견병원명 미등록",IF(LEFT(U94,1)="⚠","파견과목 미등록",IF(OR(T94="",LEFT(T94,1)="⚠"),"파견근거 확인",IF(NOT(AND(ISNUMBER(H94),ISNUMBER(I94))),"날짜 형식/누락",IF(I94&lt;H94,"종료일&lt;시작일","")))))))))</f>
        <v/>
      </c>
      <c r="AB94" s="11">
        <f>IF(ISNUMBER(SEARCH("다기관",TRIM(N94&amp;" "&amp;O94))),IFERROR(DATE(VALUE(MID(TRIM(N94&amp;" "&amp;O94),1,4)),VALUE(MID(TRIM(N94&amp;" "&amp;O94),6,2)),VALUE(MID(TRIM(N94&amp;" "&amp;O94),9,2))),IF(ISNUMBER(H94),H94,"")),"")</f>
        <v/>
      </c>
      <c r="AC94" s="11">
        <f>IF(ISNUMBER(SEARCH("다기관",TRIM(N94&amp;" "&amp;O94))),IFERROR(DATE(VALUE(MID(TRIM(N94&amp;" "&amp;O94),12,4)),VALUE(MID(TRIM(N94&amp;" "&amp;O94),17,2)),VALUE(MID(TRIM(N94&amp;" "&amp;O94),20,2))),IF(ISNUMBER(I94),I94,"")),"")</f>
        <v/>
      </c>
      <c r="AD94" s="17">
        <f>IF(AND(ISNUMBER(AB94),ISNUMBER(AC94)),MAX(0,MIN(AC94,EOMONTH(출력_요약!$B$3,0))-MAX(AB94,출력_요약!$B$3)+1),0)</f>
        <v/>
      </c>
      <c r="AE94" s="10">
        <f>IF(AND(Q94&lt;&gt;"",ISNUMBER(AB94)),Q94&amp;"|다기관","")</f>
        <v/>
      </c>
    </row>
    <row r="95">
      <c r="A95" s="15">
        <f>IF(F95="","",ROW()-3)</f>
        <v/>
      </c>
      <c r="B95" s="5" t="n"/>
      <c r="C95" s="15" t="n"/>
      <c r="D95" s="5" t="n"/>
      <c r="E95" s="15" t="n"/>
      <c r="F95" s="5" t="n"/>
      <c r="G95" s="6" t="n"/>
      <c r="H95" s="16" t="n"/>
      <c r="I95" s="16" t="n"/>
      <c r="J95" s="15">
        <f>IF(AND(ISNUMBER(H95),ISNUMBER(I95)),I95-H95+1,"")</f>
        <v/>
      </c>
      <c r="K95" s="5" t="n"/>
      <c r="L95" s="5" t="n"/>
      <c r="M95" s="5" t="n"/>
      <c r="N95" s="5" t="n"/>
      <c r="O95" s="5" t="n"/>
      <c r="Q95" s="10">
        <f>IF(TRIM(G95&amp;"")="","",TRIM(G95&amp;""))</f>
        <v/>
      </c>
      <c r="R95" s="10">
        <f>IF(TRIM(B95&amp;"")="","",IFERROR(INDEX(설정_코드표!$K$2:$K$101,MATCH(TRIM(B95&amp;""),설정_코드표!$J$2:$J$101,0)),"⚠"&amp;TRIM(B95&amp;"")))</f>
        <v/>
      </c>
      <c r="S95" s="10">
        <f>IF(TRIM(K95&amp;"")="","",IFERROR(INDEX(설정_코드표!$K$2:$K$101,MATCH(TRIM(K95&amp;""),설정_코드표!$J$2:$J$101,0)),"⚠"&amp;TRIM(K95&amp;"")))</f>
        <v/>
      </c>
      <c r="T95" s="10">
        <f>IF(TRIM(M95&amp;"")="","",IF(ISNUMBER(MATCH(TRIM(M95&amp;""),설정_코드표!$C$2:$C$11,0)),TRIM(M95&amp;""),"⚠"&amp;TRIM(M95&amp;"")))</f>
        <v/>
      </c>
      <c r="U95" s="10">
        <f>IF(TRIM(L95&amp;"")="","",IFERROR(INDEX(설정_코드표!$G$2:$G$101,MATCH(TRIM(L95&amp;""),설정_코드표!$F$2:$F$101,0)),"⚠"&amp;TRIM(L95&amp;"")))</f>
        <v/>
      </c>
      <c r="V95" s="10">
        <f>IF(AND(ISNUMBER(H95),ISNUMBER(I95)),I95-H95+1,"")</f>
        <v/>
      </c>
      <c r="W95" s="17">
        <f>IF(ISNUMBER(H95),MAX(0,MIN(IF(ISNUMBER(I95),I95,EOMONTH(출력_요약!$B$3,0)),EOMONTH(출력_요약!$B$3,0))-MAX(H95,출력_요약!$B$3)+1),0)</f>
        <v/>
      </c>
      <c r="X95" s="10">
        <f>IF(OR(NOT(ISNUMBER(H95)),Q95=""),"",IF(TODAY()&lt;H95,"파견예정",IF(AND(ISNUMBER(I95),TODAY()&gt;I95),"파견종료","파견중")))</f>
        <v/>
      </c>
      <c r="Y95" s="10">
        <f>IF(OR(Q95="",X95=""),"",Q95&amp;"|"&amp;X95)</f>
        <v/>
      </c>
      <c r="Z95" s="10">
        <f>IF(AND(Q95&lt;&gt;"",W95&gt;0),Q95&amp;"|월","")</f>
        <v/>
      </c>
      <c r="AA95" s="10">
        <f>IF(COUNTA(B95:I95,K95:N95)=0,"",IF(Q95="","등록번호 없음",IF(LEFT(R95,1)="⚠","모병원명 미등록",IF(S95="","파견병원 입력",IF(LEFT(S95,1)="⚠","파견병원명 미등록",IF(LEFT(U95,1)="⚠","파견과목 미등록",IF(OR(T95="",LEFT(T95,1)="⚠"),"파견근거 확인",IF(NOT(AND(ISNUMBER(H95),ISNUMBER(I95))),"날짜 형식/누락",IF(I95&lt;H95,"종료일&lt;시작일","")))))))))</f>
        <v/>
      </c>
      <c r="AB95" s="11">
        <f>IF(ISNUMBER(SEARCH("다기관",TRIM(N95&amp;" "&amp;O95))),IFERROR(DATE(VALUE(MID(TRIM(N95&amp;" "&amp;O95),1,4)),VALUE(MID(TRIM(N95&amp;" "&amp;O95),6,2)),VALUE(MID(TRIM(N95&amp;" "&amp;O95),9,2))),IF(ISNUMBER(H95),H95,"")),"")</f>
        <v/>
      </c>
      <c r="AC95" s="11">
        <f>IF(ISNUMBER(SEARCH("다기관",TRIM(N95&amp;" "&amp;O95))),IFERROR(DATE(VALUE(MID(TRIM(N95&amp;" "&amp;O95),12,4)),VALUE(MID(TRIM(N95&amp;" "&amp;O95),17,2)),VALUE(MID(TRIM(N95&amp;" "&amp;O95),20,2))),IF(ISNUMBER(I95),I95,"")),"")</f>
        <v/>
      </c>
      <c r="AD95" s="17">
        <f>IF(AND(ISNUMBER(AB95),ISNUMBER(AC95)),MAX(0,MIN(AC95,EOMONTH(출력_요약!$B$3,0))-MAX(AB95,출력_요약!$B$3)+1),0)</f>
        <v/>
      </c>
      <c r="AE95" s="10">
        <f>IF(AND(Q95&lt;&gt;"",ISNUMBER(AB95)),Q95&amp;"|다기관","")</f>
        <v/>
      </c>
    </row>
    <row r="96">
      <c r="A96" s="15">
        <f>IF(F96="","",ROW()-3)</f>
        <v/>
      </c>
      <c r="B96" s="5" t="n"/>
      <c r="C96" s="15" t="n"/>
      <c r="D96" s="5" t="n"/>
      <c r="E96" s="15" t="n"/>
      <c r="F96" s="5" t="n"/>
      <c r="G96" s="6" t="n"/>
      <c r="H96" s="16" t="n"/>
      <c r="I96" s="16" t="n"/>
      <c r="J96" s="15">
        <f>IF(AND(ISNUMBER(H96),ISNUMBER(I96)),I96-H96+1,"")</f>
        <v/>
      </c>
      <c r="K96" s="5" t="n"/>
      <c r="L96" s="5" t="n"/>
      <c r="M96" s="5" t="n"/>
      <c r="N96" s="5" t="n"/>
      <c r="O96" s="5" t="n"/>
      <c r="Q96" s="10">
        <f>IF(TRIM(G96&amp;"")="","",TRIM(G96&amp;""))</f>
        <v/>
      </c>
      <c r="R96" s="10">
        <f>IF(TRIM(B96&amp;"")="","",IFERROR(INDEX(설정_코드표!$K$2:$K$101,MATCH(TRIM(B96&amp;""),설정_코드표!$J$2:$J$101,0)),"⚠"&amp;TRIM(B96&amp;"")))</f>
        <v/>
      </c>
      <c r="S96" s="10">
        <f>IF(TRIM(K96&amp;"")="","",IFERROR(INDEX(설정_코드표!$K$2:$K$101,MATCH(TRIM(K96&amp;""),설정_코드표!$J$2:$J$101,0)),"⚠"&amp;TRIM(K96&amp;"")))</f>
        <v/>
      </c>
      <c r="T96" s="10">
        <f>IF(TRIM(M96&amp;"")="","",IF(ISNUMBER(MATCH(TRIM(M96&amp;""),설정_코드표!$C$2:$C$11,0)),TRIM(M96&amp;""),"⚠"&amp;TRIM(M96&amp;"")))</f>
        <v/>
      </c>
      <c r="U96" s="10">
        <f>IF(TRIM(L96&amp;"")="","",IFERROR(INDEX(설정_코드표!$G$2:$G$101,MATCH(TRIM(L96&amp;""),설정_코드표!$F$2:$F$101,0)),"⚠"&amp;TRIM(L96&amp;"")))</f>
        <v/>
      </c>
      <c r="V96" s="10">
        <f>IF(AND(ISNUMBER(H96),ISNUMBER(I96)),I96-H96+1,"")</f>
        <v/>
      </c>
      <c r="W96" s="17">
        <f>IF(ISNUMBER(H96),MAX(0,MIN(IF(ISNUMBER(I96),I96,EOMONTH(출력_요약!$B$3,0)),EOMONTH(출력_요약!$B$3,0))-MAX(H96,출력_요약!$B$3)+1),0)</f>
        <v/>
      </c>
      <c r="X96" s="10">
        <f>IF(OR(NOT(ISNUMBER(H96)),Q96=""),"",IF(TODAY()&lt;H96,"파견예정",IF(AND(ISNUMBER(I96),TODAY()&gt;I96),"파견종료","파견중")))</f>
        <v/>
      </c>
      <c r="Y96" s="10">
        <f>IF(OR(Q96="",X96=""),"",Q96&amp;"|"&amp;X96)</f>
        <v/>
      </c>
      <c r="Z96" s="10">
        <f>IF(AND(Q96&lt;&gt;"",W96&gt;0),Q96&amp;"|월","")</f>
        <v/>
      </c>
      <c r="AA96" s="10">
        <f>IF(COUNTA(B96:I96,K96:N96)=0,"",IF(Q96="","등록번호 없음",IF(LEFT(R96,1)="⚠","모병원명 미등록",IF(S96="","파견병원 입력",IF(LEFT(S96,1)="⚠","파견병원명 미등록",IF(LEFT(U96,1)="⚠","파견과목 미등록",IF(OR(T96="",LEFT(T96,1)="⚠"),"파견근거 확인",IF(NOT(AND(ISNUMBER(H96),ISNUMBER(I96))),"날짜 형식/누락",IF(I96&lt;H96,"종료일&lt;시작일","")))))))))</f>
        <v/>
      </c>
      <c r="AB96" s="11">
        <f>IF(ISNUMBER(SEARCH("다기관",TRIM(N96&amp;" "&amp;O96))),IFERROR(DATE(VALUE(MID(TRIM(N96&amp;" "&amp;O96),1,4)),VALUE(MID(TRIM(N96&amp;" "&amp;O96),6,2)),VALUE(MID(TRIM(N96&amp;" "&amp;O96),9,2))),IF(ISNUMBER(H96),H96,"")),"")</f>
        <v/>
      </c>
      <c r="AC96" s="11">
        <f>IF(ISNUMBER(SEARCH("다기관",TRIM(N96&amp;" "&amp;O96))),IFERROR(DATE(VALUE(MID(TRIM(N96&amp;" "&amp;O96),12,4)),VALUE(MID(TRIM(N96&amp;" "&amp;O96),17,2)),VALUE(MID(TRIM(N96&amp;" "&amp;O96),20,2))),IF(ISNUMBER(I96),I96,"")),"")</f>
        <v/>
      </c>
      <c r="AD96" s="17">
        <f>IF(AND(ISNUMBER(AB96),ISNUMBER(AC96)),MAX(0,MIN(AC96,EOMONTH(출력_요약!$B$3,0))-MAX(AB96,출력_요약!$B$3)+1),0)</f>
        <v/>
      </c>
      <c r="AE96" s="10">
        <f>IF(AND(Q96&lt;&gt;"",ISNUMBER(AB96)),Q96&amp;"|다기관","")</f>
        <v/>
      </c>
    </row>
    <row r="97">
      <c r="A97" s="15">
        <f>IF(F97="","",ROW()-3)</f>
        <v/>
      </c>
      <c r="B97" s="5" t="n"/>
      <c r="C97" s="15" t="n"/>
      <c r="D97" s="5" t="n"/>
      <c r="E97" s="15" t="n"/>
      <c r="F97" s="5" t="n"/>
      <c r="G97" s="6" t="n"/>
      <c r="H97" s="16" t="n"/>
      <c r="I97" s="16" t="n"/>
      <c r="J97" s="15">
        <f>IF(AND(ISNUMBER(H97),ISNUMBER(I97)),I97-H97+1,"")</f>
        <v/>
      </c>
      <c r="K97" s="5" t="n"/>
      <c r="L97" s="5" t="n"/>
      <c r="M97" s="5" t="n"/>
      <c r="N97" s="5" t="n"/>
      <c r="O97" s="5" t="n"/>
      <c r="Q97" s="10">
        <f>IF(TRIM(G97&amp;"")="","",TRIM(G97&amp;""))</f>
        <v/>
      </c>
      <c r="R97" s="10">
        <f>IF(TRIM(B97&amp;"")="","",IFERROR(INDEX(설정_코드표!$K$2:$K$101,MATCH(TRIM(B97&amp;""),설정_코드표!$J$2:$J$101,0)),"⚠"&amp;TRIM(B97&amp;"")))</f>
        <v/>
      </c>
      <c r="S97" s="10">
        <f>IF(TRIM(K97&amp;"")="","",IFERROR(INDEX(설정_코드표!$K$2:$K$101,MATCH(TRIM(K97&amp;""),설정_코드표!$J$2:$J$101,0)),"⚠"&amp;TRIM(K97&amp;"")))</f>
        <v/>
      </c>
      <c r="T97" s="10">
        <f>IF(TRIM(M97&amp;"")="","",IF(ISNUMBER(MATCH(TRIM(M97&amp;""),설정_코드표!$C$2:$C$11,0)),TRIM(M97&amp;""),"⚠"&amp;TRIM(M97&amp;"")))</f>
        <v/>
      </c>
      <c r="U97" s="10">
        <f>IF(TRIM(L97&amp;"")="","",IFERROR(INDEX(설정_코드표!$G$2:$G$101,MATCH(TRIM(L97&amp;""),설정_코드표!$F$2:$F$101,0)),"⚠"&amp;TRIM(L97&amp;"")))</f>
        <v/>
      </c>
      <c r="V97" s="10">
        <f>IF(AND(ISNUMBER(H97),ISNUMBER(I97)),I97-H97+1,"")</f>
        <v/>
      </c>
      <c r="W97" s="17">
        <f>IF(ISNUMBER(H97),MAX(0,MIN(IF(ISNUMBER(I97),I97,EOMONTH(출력_요약!$B$3,0)),EOMONTH(출력_요약!$B$3,0))-MAX(H97,출력_요약!$B$3)+1),0)</f>
        <v/>
      </c>
      <c r="X97" s="10">
        <f>IF(OR(NOT(ISNUMBER(H97)),Q97=""),"",IF(TODAY()&lt;H97,"파견예정",IF(AND(ISNUMBER(I97),TODAY()&gt;I97),"파견종료","파견중")))</f>
        <v/>
      </c>
      <c r="Y97" s="10">
        <f>IF(OR(Q97="",X97=""),"",Q97&amp;"|"&amp;X97)</f>
        <v/>
      </c>
      <c r="Z97" s="10">
        <f>IF(AND(Q97&lt;&gt;"",W97&gt;0),Q97&amp;"|월","")</f>
        <v/>
      </c>
      <c r="AA97" s="10">
        <f>IF(COUNTA(B97:I97,K97:N97)=0,"",IF(Q97="","등록번호 없음",IF(LEFT(R97,1)="⚠","모병원명 미등록",IF(S97="","파견병원 입력",IF(LEFT(S97,1)="⚠","파견병원명 미등록",IF(LEFT(U97,1)="⚠","파견과목 미등록",IF(OR(T97="",LEFT(T97,1)="⚠"),"파견근거 확인",IF(NOT(AND(ISNUMBER(H97),ISNUMBER(I97))),"날짜 형식/누락",IF(I97&lt;H97,"종료일&lt;시작일","")))))))))</f>
        <v/>
      </c>
      <c r="AB97" s="11">
        <f>IF(ISNUMBER(SEARCH("다기관",TRIM(N97&amp;" "&amp;O97))),IFERROR(DATE(VALUE(MID(TRIM(N97&amp;" "&amp;O97),1,4)),VALUE(MID(TRIM(N97&amp;" "&amp;O97),6,2)),VALUE(MID(TRIM(N97&amp;" "&amp;O97),9,2))),IF(ISNUMBER(H97),H97,"")),"")</f>
        <v/>
      </c>
      <c r="AC97" s="11">
        <f>IF(ISNUMBER(SEARCH("다기관",TRIM(N97&amp;" "&amp;O97))),IFERROR(DATE(VALUE(MID(TRIM(N97&amp;" "&amp;O97),12,4)),VALUE(MID(TRIM(N97&amp;" "&amp;O97),17,2)),VALUE(MID(TRIM(N97&amp;" "&amp;O97),20,2))),IF(ISNUMBER(I97),I97,"")),"")</f>
        <v/>
      </c>
      <c r="AD97" s="17">
        <f>IF(AND(ISNUMBER(AB97),ISNUMBER(AC97)),MAX(0,MIN(AC97,EOMONTH(출력_요약!$B$3,0))-MAX(AB97,출력_요약!$B$3)+1),0)</f>
        <v/>
      </c>
      <c r="AE97" s="10">
        <f>IF(AND(Q97&lt;&gt;"",ISNUMBER(AB97)),Q97&amp;"|다기관","")</f>
        <v/>
      </c>
    </row>
    <row r="98">
      <c r="A98" s="15">
        <f>IF(F98="","",ROW()-3)</f>
        <v/>
      </c>
      <c r="B98" s="5" t="n"/>
      <c r="C98" s="15" t="n"/>
      <c r="D98" s="5" t="n"/>
      <c r="E98" s="15" t="n"/>
      <c r="F98" s="5" t="n"/>
      <c r="G98" s="6" t="n"/>
      <c r="H98" s="16" t="n"/>
      <c r="I98" s="16" t="n"/>
      <c r="J98" s="15">
        <f>IF(AND(ISNUMBER(H98),ISNUMBER(I98)),I98-H98+1,"")</f>
        <v/>
      </c>
      <c r="K98" s="5" t="n"/>
      <c r="L98" s="5" t="n"/>
      <c r="M98" s="5" t="n"/>
      <c r="N98" s="5" t="n"/>
      <c r="O98" s="5" t="n"/>
      <c r="Q98" s="10">
        <f>IF(TRIM(G98&amp;"")="","",TRIM(G98&amp;""))</f>
        <v/>
      </c>
      <c r="R98" s="10">
        <f>IF(TRIM(B98&amp;"")="","",IFERROR(INDEX(설정_코드표!$K$2:$K$101,MATCH(TRIM(B98&amp;""),설정_코드표!$J$2:$J$101,0)),"⚠"&amp;TRIM(B98&amp;"")))</f>
        <v/>
      </c>
      <c r="S98" s="10">
        <f>IF(TRIM(K98&amp;"")="","",IFERROR(INDEX(설정_코드표!$K$2:$K$101,MATCH(TRIM(K98&amp;""),설정_코드표!$J$2:$J$101,0)),"⚠"&amp;TRIM(K98&amp;"")))</f>
        <v/>
      </c>
      <c r="T98" s="10">
        <f>IF(TRIM(M98&amp;"")="","",IF(ISNUMBER(MATCH(TRIM(M98&amp;""),설정_코드표!$C$2:$C$11,0)),TRIM(M98&amp;""),"⚠"&amp;TRIM(M98&amp;"")))</f>
        <v/>
      </c>
      <c r="U98" s="10">
        <f>IF(TRIM(L98&amp;"")="","",IFERROR(INDEX(설정_코드표!$G$2:$G$101,MATCH(TRIM(L98&amp;""),설정_코드표!$F$2:$F$101,0)),"⚠"&amp;TRIM(L98&amp;"")))</f>
        <v/>
      </c>
      <c r="V98" s="10">
        <f>IF(AND(ISNUMBER(H98),ISNUMBER(I98)),I98-H98+1,"")</f>
        <v/>
      </c>
      <c r="W98" s="17">
        <f>IF(ISNUMBER(H98),MAX(0,MIN(IF(ISNUMBER(I98),I98,EOMONTH(출력_요약!$B$3,0)),EOMONTH(출력_요약!$B$3,0))-MAX(H98,출력_요약!$B$3)+1),0)</f>
        <v/>
      </c>
      <c r="X98" s="10">
        <f>IF(OR(NOT(ISNUMBER(H98)),Q98=""),"",IF(TODAY()&lt;H98,"파견예정",IF(AND(ISNUMBER(I98),TODAY()&gt;I98),"파견종료","파견중")))</f>
        <v/>
      </c>
      <c r="Y98" s="10">
        <f>IF(OR(Q98="",X98=""),"",Q98&amp;"|"&amp;X98)</f>
        <v/>
      </c>
      <c r="Z98" s="10">
        <f>IF(AND(Q98&lt;&gt;"",W98&gt;0),Q98&amp;"|월","")</f>
        <v/>
      </c>
      <c r="AA98" s="10">
        <f>IF(COUNTA(B98:I98,K98:N98)=0,"",IF(Q98="","등록번호 없음",IF(LEFT(R98,1)="⚠","모병원명 미등록",IF(S98="","파견병원 입력",IF(LEFT(S98,1)="⚠","파견병원명 미등록",IF(LEFT(U98,1)="⚠","파견과목 미등록",IF(OR(T98="",LEFT(T98,1)="⚠"),"파견근거 확인",IF(NOT(AND(ISNUMBER(H98),ISNUMBER(I98))),"날짜 형식/누락",IF(I98&lt;H98,"종료일&lt;시작일","")))))))))</f>
        <v/>
      </c>
      <c r="AB98" s="11">
        <f>IF(ISNUMBER(SEARCH("다기관",TRIM(N98&amp;" "&amp;O98))),IFERROR(DATE(VALUE(MID(TRIM(N98&amp;" "&amp;O98),1,4)),VALUE(MID(TRIM(N98&amp;" "&amp;O98),6,2)),VALUE(MID(TRIM(N98&amp;" "&amp;O98),9,2))),IF(ISNUMBER(H98),H98,"")),"")</f>
        <v/>
      </c>
      <c r="AC98" s="11">
        <f>IF(ISNUMBER(SEARCH("다기관",TRIM(N98&amp;" "&amp;O98))),IFERROR(DATE(VALUE(MID(TRIM(N98&amp;" "&amp;O98),12,4)),VALUE(MID(TRIM(N98&amp;" "&amp;O98),17,2)),VALUE(MID(TRIM(N98&amp;" "&amp;O98),20,2))),IF(ISNUMBER(I98),I98,"")),"")</f>
        <v/>
      </c>
      <c r="AD98" s="17">
        <f>IF(AND(ISNUMBER(AB98),ISNUMBER(AC98)),MAX(0,MIN(AC98,EOMONTH(출력_요약!$B$3,0))-MAX(AB98,출력_요약!$B$3)+1),0)</f>
        <v/>
      </c>
      <c r="AE98" s="10">
        <f>IF(AND(Q98&lt;&gt;"",ISNUMBER(AB98)),Q98&amp;"|다기관","")</f>
        <v/>
      </c>
    </row>
    <row r="99">
      <c r="A99" s="15">
        <f>IF(F99="","",ROW()-3)</f>
        <v/>
      </c>
      <c r="B99" s="5" t="n"/>
      <c r="C99" s="15" t="n"/>
      <c r="D99" s="5" t="n"/>
      <c r="E99" s="15" t="n"/>
      <c r="F99" s="5" t="n"/>
      <c r="G99" s="6" t="n"/>
      <c r="H99" s="16" t="n"/>
      <c r="I99" s="16" t="n"/>
      <c r="J99" s="15">
        <f>IF(AND(ISNUMBER(H99),ISNUMBER(I99)),I99-H99+1,"")</f>
        <v/>
      </c>
      <c r="K99" s="5" t="n"/>
      <c r="L99" s="5" t="n"/>
      <c r="M99" s="5" t="n"/>
      <c r="N99" s="5" t="n"/>
      <c r="O99" s="5" t="n"/>
      <c r="Q99" s="10">
        <f>IF(TRIM(G99&amp;"")="","",TRIM(G99&amp;""))</f>
        <v/>
      </c>
      <c r="R99" s="10">
        <f>IF(TRIM(B99&amp;"")="","",IFERROR(INDEX(설정_코드표!$K$2:$K$101,MATCH(TRIM(B99&amp;""),설정_코드표!$J$2:$J$101,0)),"⚠"&amp;TRIM(B99&amp;"")))</f>
        <v/>
      </c>
      <c r="S99" s="10">
        <f>IF(TRIM(K99&amp;"")="","",IFERROR(INDEX(설정_코드표!$K$2:$K$101,MATCH(TRIM(K99&amp;""),설정_코드표!$J$2:$J$101,0)),"⚠"&amp;TRIM(K99&amp;"")))</f>
        <v/>
      </c>
      <c r="T99" s="10">
        <f>IF(TRIM(M99&amp;"")="","",IF(ISNUMBER(MATCH(TRIM(M99&amp;""),설정_코드표!$C$2:$C$11,0)),TRIM(M99&amp;""),"⚠"&amp;TRIM(M99&amp;"")))</f>
        <v/>
      </c>
      <c r="U99" s="10">
        <f>IF(TRIM(L99&amp;"")="","",IFERROR(INDEX(설정_코드표!$G$2:$G$101,MATCH(TRIM(L99&amp;""),설정_코드표!$F$2:$F$101,0)),"⚠"&amp;TRIM(L99&amp;"")))</f>
        <v/>
      </c>
      <c r="V99" s="10">
        <f>IF(AND(ISNUMBER(H99),ISNUMBER(I99)),I99-H99+1,"")</f>
        <v/>
      </c>
      <c r="W99" s="17">
        <f>IF(ISNUMBER(H99),MAX(0,MIN(IF(ISNUMBER(I99),I99,EOMONTH(출력_요약!$B$3,0)),EOMONTH(출력_요약!$B$3,0))-MAX(H99,출력_요약!$B$3)+1),0)</f>
        <v/>
      </c>
      <c r="X99" s="10">
        <f>IF(OR(NOT(ISNUMBER(H99)),Q99=""),"",IF(TODAY()&lt;H99,"파견예정",IF(AND(ISNUMBER(I99),TODAY()&gt;I99),"파견종료","파견중")))</f>
        <v/>
      </c>
      <c r="Y99" s="10">
        <f>IF(OR(Q99="",X99=""),"",Q99&amp;"|"&amp;X99)</f>
        <v/>
      </c>
      <c r="Z99" s="10">
        <f>IF(AND(Q99&lt;&gt;"",W99&gt;0),Q99&amp;"|월","")</f>
        <v/>
      </c>
      <c r="AA99" s="10">
        <f>IF(COUNTA(B99:I99,K99:N99)=0,"",IF(Q99="","등록번호 없음",IF(LEFT(R99,1)="⚠","모병원명 미등록",IF(S99="","파견병원 입력",IF(LEFT(S99,1)="⚠","파견병원명 미등록",IF(LEFT(U99,1)="⚠","파견과목 미등록",IF(OR(T99="",LEFT(T99,1)="⚠"),"파견근거 확인",IF(NOT(AND(ISNUMBER(H99),ISNUMBER(I99))),"날짜 형식/누락",IF(I99&lt;H99,"종료일&lt;시작일","")))))))))</f>
        <v/>
      </c>
      <c r="AB99" s="11">
        <f>IF(ISNUMBER(SEARCH("다기관",TRIM(N99&amp;" "&amp;O99))),IFERROR(DATE(VALUE(MID(TRIM(N99&amp;" "&amp;O99),1,4)),VALUE(MID(TRIM(N99&amp;" "&amp;O99),6,2)),VALUE(MID(TRIM(N99&amp;" "&amp;O99),9,2))),IF(ISNUMBER(H99),H99,"")),"")</f>
        <v/>
      </c>
      <c r="AC99" s="11">
        <f>IF(ISNUMBER(SEARCH("다기관",TRIM(N99&amp;" "&amp;O99))),IFERROR(DATE(VALUE(MID(TRIM(N99&amp;" "&amp;O99),12,4)),VALUE(MID(TRIM(N99&amp;" "&amp;O99),17,2)),VALUE(MID(TRIM(N99&amp;" "&amp;O99),20,2))),IF(ISNUMBER(I99),I99,"")),"")</f>
        <v/>
      </c>
      <c r="AD99" s="17">
        <f>IF(AND(ISNUMBER(AB99),ISNUMBER(AC99)),MAX(0,MIN(AC99,EOMONTH(출력_요약!$B$3,0))-MAX(AB99,출력_요약!$B$3)+1),0)</f>
        <v/>
      </c>
      <c r="AE99" s="10">
        <f>IF(AND(Q99&lt;&gt;"",ISNUMBER(AB99)),Q99&amp;"|다기관","")</f>
        <v/>
      </c>
    </row>
    <row r="100">
      <c r="A100" s="15">
        <f>IF(F100="","",ROW()-3)</f>
        <v/>
      </c>
      <c r="B100" s="5" t="n"/>
      <c r="C100" s="15" t="n"/>
      <c r="D100" s="5" t="n"/>
      <c r="E100" s="15" t="n"/>
      <c r="F100" s="5" t="n"/>
      <c r="G100" s="6" t="n"/>
      <c r="H100" s="16" t="n"/>
      <c r="I100" s="16" t="n"/>
      <c r="J100" s="15">
        <f>IF(AND(ISNUMBER(H100),ISNUMBER(I100)),I100-H100+1,"")</f>
        <v/>
      </c>
      <c r="K100" s="5" t="n"/>
      <c r="L100" s="5" t="n"/>
      <c r="M100" s="5" t="n"/>
      <c r="N100" s="5" t="n"/>
      <c r="O100" s="5" t="n"/>
      <c r="Q100" s="10">
        <f>IF(TRIM(G100&amp;"")="","",TRIM(G100&amp;""))</f>
        <v/>
      </c>
      <c r="R100" s="10">
        <f>IF(TRIM(B100&amp;"")="","",IFERROR(INDEX(설정_코드표!$K$2:$K$101,MATCH(TRIM(B100&amp;""),설정_코드표!$J$2:$J$101,0)),"⚠"&amp;TRIM(B100&amp;"")))</f>
        <v/>
      </c>
      <c r="S100" s="10">
        <f>IF(TRIM(K100&amp;"")="","",IFERROR(INDEX(설정_코드표!$K$2:$K$101,MATCH(TRIM(K100&amp;""),설정_코드표!$J$2:$J$101,0)),"⚠"&amp;TRIM(K100&amp;"")))</f>
        <v/>
      </c>
      <c r="T100" s="10">
        <f>IF(TRIM(M100&amp;"")="","",IF(ISNUMBER(MATCH(TRIM(M100&amp;""),설정_코드표!$C$2:$C$11,0)),TRIM(M100&amp;""),"⚠"&amp;TRIM(M100&amp;"")))</f>
        <v/>
      </c>
      <c r="U100" s="10">
        <f>IF(TRIM(L100&amp;"")="","",IFERROR(INDEX(설정_코드표!$G$2:$G$101,MATCH(TRIM(L100&amp;""),설정_코드표!$F$2:$F$101,0)),"⚠"&amp;TRIM(L100&amp;"")))</f>
        <v/>
      </c>
      <c r="V100" s="10">
        <f>IF(AND(ISNUMBER(H100),ISNUMBER(I100)),I100-H100+1,"")</f>
        <v/>
      </c>
      <c r="W100" s="17">
        <f>IF(ISNUMBER(H100),MAX(0,MIN(IF(ISNUMBER(I100),I100,EOMONTH(출력_요약!$B$3,0)),EOMONTH(출력_요약!$B$3,0))-MAX(H100,출력_요약!$B$3)+1),0)</f>
        <v/>
      </c>
      <c r="X100" s="10">
        <f>IF(OR(NOT(ISNUMBER(H100)),Q100=""),"",IF(TODAY()&lt;H100,"파견예정",IF(AND(ISNUMBER(I100),TODAY()&gt;I100),"파견종료","파견중")))</f>
        <v/>
      </c>
      <c r="Y100" s="10">
        <f>IF(OR(Q100="",X100=""),"",Q100&amp;"|"&amp;X100)</f>
        <v/>
      </c>
      <c r="Z100" s="10">
        <f>IF(AND(Q100&lt;&gt;"",W100&gt;0),Q100&amp;"|월","")</f>
        <v/>
      </c>
      <c r="AA100" s="10">
        <f>IF(COUNTA(B100:I100,K100:N100)=0,"",IF(Q100="","등록번호 없음",IF(LEFT(R100,1)="⚠","모병원명 미등록",IF(S100="","파견병원 입력",IF(LEFT(S100,1)="⚠","파견병원명 미등록",IF(LEFT(U100,1)="⚠","파견과목 미등록",IF(OR(T100="",LEFT(T100,1)="⚠"),"파견근거 확인",IF(NOT(AND(ISNUMBER(H100),ISNUMBER(I100))),"날짜 형식/누락",IF(I100&lt;H100,"종료일&lt;시작일","")))))))))</f>
        <v/>
      </c>
      <c r="AB100" s="11">
        <f>IF(ISNUMBER(SEARCH("다기관",TRIM(N100&amp;" "&amp;O100))),IFERROR(DATE(VALUE(MID(TRIM(N100&amp;" "&amp;O100),1,4)),VALUE(MID(TRIM(N100&amp;" "&amp;O100),6,2)),VALUE(MID(TRIM(N100&amp;" "&amp;O100),9,2))),IF(ISNUMBER(H100),H100,"")),"")</f>
        <v/>
      </c>
      <c r="AC100" s="11">
        <f>IF(ISNUMBER(SEARCH("다기관",TRIM(N100&amp;" "&amp;O100))),IFERROR(DATE(VALUE(MID(TRIM(N100&amp;" "&amp;O100),12,4)),VALUE(MID(TRIM(N100&amp;" "&amp;O100),17,2)),VALUE(MID(TRIM(N100&amp;" "&amp;O100),20,2))),IF(ISNUMBER(I100),I100,"")),"")</f>
        <v/>
      </c>
      <c r="AD100" s="17">
        <f>IF(AND(ISNUMBER(AB100),ISNUMBER(AC100)),MAX(0,MIN(AC100,EOMONTH(출력_요약!$B$3,0))-MAX(AB100,출력_요약!$B$3)+1),0)</f>
        <v/>
      </c>
      <c r="AE100" s="10">
        <f>IF(AND(Q100&lt;&gt;"",ISNUMBER(AB100)),Q100&amp;"|다기관","")</f>
        <v/>
      </c>
    </row>
    <row r="101">
      <c r="A101" s="15">
        <f>IF(F101="","",ROW()-3)</f>
        <v/>
      </c>
      <c r="B101" s="5" t="n"/>
      <c r="C101" s="15" t="n"/>
      <c r="D101" s="5" t="n"/>
      <c r="E101" s="15" t="n"/>
      <c r="F101" s="5" t="n"/>
      <c r="G101" s="6" t="n"/>
      <c r="H101" s="16" t="n"/>
      <c r="I101" s="16" t="n"/>
      <c r="J101" s="15">
        <f>IF(AND(ISNUMBER(H101),ISNUMBER(I101)),I101-H101+1,"")</f>
        <v/>
      </c>
      <c r="K101" s="5" t="n"/>
      <c r="L101" s="5" t="n"/>
      <c r="M101" s="5" t="n"/>
      <c r="N101" s="5" t="n"/>
      <c r="O101" s="5" t="n"/>
      <c r="Q101" s="10">
        <f>IF(TRIM(G101&amp;"")="","",TRIM(G101&amp;""))</f>
        <v/>
      </c>
      <c r="R101" s="10">
        <f>IF(TRIM(B101&amp;"")="","",IFERROR(INDEX(설정_코드표!$K$2:$K$101,MATCH(TRIM(B101&amp;""),설정_코드표!$J$2:$J$101,0)),"⚠"&amp;TRIM(B101&amp;"")))</f>
        <v/>
      </c>
      <c r="S101" s="10">
        <f>IF(TRIM(K101&amp;"")="","",IFERROR(INDEX(설정_코드표!$K$2:$K$101,MATCH(TRIM(K101&amp;""),설정_코드표!$J$2:$J$101,0)),"⚠"&amp;TRIM(K101&amp;"")))</f>
        <v/>
      </c>
      <c r="T101" s="10">
        <f>IF(TRIM(M101&amp;"")="","",IF(ISNUMBER(MATCH(TRIM(M101&amp;""),설정_코드표!$C$2:$C$11,0)),TRIM(M101&amp;""),"⚠"&amp;TRIM(M101&amp;"")))</f>
        <v/>
      </c>
      <c r="U101" s="10">
        <f>IF(TRIM(L101&amp;"")="","",IFERROR(INDEX(설정_코드표!$G$2:$G$101,MATCH(TRIM(L101&amp;""),설정_코드표!$F$2:$F$101,0)),"⚠"&amp;TRIM(L101&amp;"")))</f>
        <v/>
      </c>
      <c r="V101" s="10">
        <f>IF(AND(ISNUMBER(H101),ISNUMBER(I101)),I101-H101+1,"")</f>
        <v/>
      </c>
      <c r="W101" s="17">
        <f>IF(ISNUMBER(H101),MAX(0,MIN(IF(ISNUMBER(I101),I101,EOMONTH(출력_요약!$B$3,0)),EOMONTH(출력_요약!$B$3,0))-MAX(H101,출력_요약!$B$3)+1),0)</f>
        <v/>
      </c>
      <c r="X101" s="10">
        <f>IF(OR(NOT(ISNUMBER(H101)),Q101=""),"",IF(TODAY()&lt;H101,"파견예정",IF(AND(ISNUMBER(I101),TODAY()&gt;I101),"파견종료","파견중")))</f>
        <v/>
      </c>
      <c r="Y101" s="10">
        <f>IF(OR(Q101="",X101=""),"",Q101&amp;"|"&amp;X101)</f>
        <v/>
      </c>
      <c r="Z101" s="10">
        <f>IF(AND(Q101&lt;&gt;"",W101&gt;0),Q101&amp;"|월","")</f>
        <v/>
      </c>
      <c r="AA101" s="10">
        <f>IF(COUNTA(B101:I101,K101:N101)=0,"",IF(Q101="","등록번호 없음",IF(LEFT(R101,1)="⚠","모병원명 미등록",IF(S101="","파견병원 입력",IF(LEFT(S101,1)="⚠","파견병원명 미등록",IF(LEFT(U101,1)="⚠","파견과목 미등록",IF(OR(T101="",LEFT(T101,1)="⚠"),"파견근거 확인",IF(NOT(AND(ISNUMBER(H101),ISNUMBER(I101))),"날짜 형식/누락",IF(I101&lt;H101,"종료일&lt;시작일","")))))))))</f>
        <v/>
      </c>
      <c r="AB101" s="11">
        <f>IF(ISNUMBER(SEARCH("다기관",TRIM(N101&amp;" "&amp;O101))),IFERROR(DATE(VALUE(MID(TRIM(N101&amp;" "&amp;O101),1,4)),VALUE(MID(TRIM(N101&amp;" "&amp;O101),6,2)),VALUE(MID(TRIM(N101&amp;" "&amp;O101),9,2))),IF(ISNUMBER(H101),H101,"")),"")</f>
        <v/>
      </c>
      <c r="AC101" s="11">
        <f>IF(ISNUMBER(SEARCH("다기관",TRIM(N101&amp;" "&amp;O101))),IFERROR(DATE(VALUE(MID(TRIM(N101&amp;" "&amp;O101),12,4)),VALUE(MID(TRIM(N101&amp;" "&amp;O101),17,2)),VALUE(MID(TRIM(N101&amp;" "&amp;O101),20,2))),IF(ISNUMBER(I101),I101,"")),"")</f>
        <v/>
      </c>
      <c r="AD101" s="17">
        <f>IF(AND(ISNUMBER(AB101),ISNUMBER(AC101)),MAX(0,MIN(AC101,EOMONTH(출력_요약!$B$3,0))-MAX(AB101,출력_요약!$B$3)+1),0)</f>
        <v/>
      </c>
      <c r="AE101" s="10">
        <f>IF(AND(Q101&lt;&gt;"",ISNUMBER(AB101)),Q101&amp;"|다기관","")</f>
        <v/>
      </c>
    </row>
    <row r="102">
      <c r="A102" s="15">
        <f>IF(F102="","",ROW()-3)</f>
        <v/>
      </c>
      <c r="B102" s="5" t="n"/>
      <c r="C102" s="15" t="n"/>
      <c r="D102" s="5" t="n"/>
      <c r="E102" s="15" t="n"/>
      <c r="F102" s="5" t="n"/>
      <c r="G102" s="6" t="n"/>
      <c r="H102" s="16" t="n"/>
      <c r="I102" s="16" t="n"/>
      <c r="J102" s="15">
        <f>IF(AND(ISNUMBER(H102),ISNUMBER(I102)),I102-H102+1,"")</f>
        <v/>
      </c>
      <c r="K102" s="5" t="n"/>
      <c r="L102" s="5" t="n"/>
      <c r="M102" s="5" t="n"/>
      <c r="N102" s="5" t="n"/>
      <c r="O102" s="5" t="n"/>
      <c r="Q102" s="10">
        <f>IF(TRIM(G102&amp;"")="","",TRIM(G102&amp;""))</f>
        <v/>
      </c>
      <c r="R102" s="10">
        <f>IF(TRIM(B102&amp;"")="","",IFERROR(INDEX(설정_코드표!$K$2:$K$101,MATCH(TRIM(B102&amp;""),설정_코드표!$J$2:$J$101,0)),"⚠"&amp;TRIM(B102&amp;"")))</f>
        <v/>
      </c>
      <c r="S102" s="10">
        <f>IF(TRIM(K102&amp;"")="","",IFERROR(INDEX(설정_코드표!$K$2:$K$101,MATCH(TRIM(K102&amp;""),설정_코드표!$J$2:$J$101,0)),"⚠"&amp;TRIM(K102&amp;"")))</f>
        <v/>
      </c>
      <c r="T102" s="10">
        <f>IF(TRIM(M102&amp;"")="","",IF(ISNUMBER(MATCH(TRIM(M102&amp;""),설정_코드표!$C$2:$C$11,0)),TRIM(M102&amp;""),"⚠"&amp;TRIM(M102&amp;"")))</f>
        <v/>
      </c>
      <c r="U102" s="10">
        <f>IF(TRIM(L102&amp;"")="","",IFERROR(INDEX(설정_코드표!$G$2:$G$101,MATCH(TRIM(L102&amp;""),설정_코드표!$F$2:$F$101,0)),"⚠"&amp;TRIM(L102&amp;"")))</f>
        <v/>
      </c>
      <c r="V102" s="10">
        <f>IF(AND(ISNUMBER(H102),ISNUMBER(I102)),I102-H102+1,"")</f>
        <v/>
      </c>
      <c r="W102" s="17">
        <f>IF(ISNUMBER(H102),MAX(0,MIN(IF(ISNUMBER(I102),I102,EOMONTH(출력_요약!$B$3,0)),EOMONTH(출력_요약!$B$3,0))-MAX(H102,출력_요약!$B$3)+1),0)</f>
        <v/>
      </c>
      <c r="X102" s="10">
        <f>IF(OR(NOT(ISNUMBER(H102)),Q102=""),"",IF(TODAY()&lt;H102,"파견예정",IF(AND(ISNUMBER(I102),TODAY()&gt;I102),"파견종료","파견중")))</f>
        <v/>
      </c>
      <c r="Y102" s="10">
        <f>IF(OR(Q102="",X102=""),"",Q102&amp;"|"&amp;X102)</f>
        <v/>
      </c>
      <c r="Z102" s="10">
        <f>IF(AND(Q102&lt;&gt;"",W102&gt;0),Q102&amp;"|월","")</f>
        <v/>
      </c>
      <c r="AA102" s="10">
        <f>IF(COUNTA(B102:I102,K102:N102)=0,"",IF(Q102="","등록번호 없음",IF(LEFT(R102,1)="⚠","모병원명 미등록",IF(S102="","파견병원 입력",IF(LEFT(S102,1)="⚠","파견병원명 미등록",IF(LEFT(U102,1)="⚠","파견과목 미등록",IF(OR(T102="",LEFT(T102,1)="⚠"),"파견근거 확인",IF(NOT(AND(ISNUMBER(H102),ISNUMBER(I102))),"날짜 형식/누락",IF(I102&lt;H102,"종료일&lt;시작일","")))))))))</f>
        <v/>
      </c>
      <c r="AB102" s="11">
        <f>IF(ISNUMBER(SEARCH("다기관",TRIM(N102&amp;" "&amp;O102))),IFERROR(DATE(VALUE(MID(TRIM(N102&amp;" "&amp;O102),1,4)),VALUE(MID(TRIM(N102&amp;" "&amp;O102),6,2)),VALUE(MID(TRIM(N102&amp;" "&amp;O102),9,2))),IF(ISNUMBER(H102),H102,"")),"")</f>
        <v/>
      </c>
      <c r="AC102" s="11">
        <f>IF(ISNUMBER(SEARCH("다기관",TRIM(N102&amp;" "&amp;O102))),IFERROR(DATE(VALUE(MID(TRIM(N102&amp;" "&amp;O102),12,4)),VALUE(MID(TRIM(N102&amp;" "&amp;O102),17,2)),VALUE(MID(TRIM(N102&amp;" "&amp;O102),20,2))),IF(ISNUMBER(I102),I102,"")),"")</f>
        <v/>
      </c>
      <c r="AD102" s="17">
        <f>IF(AND(ISNUMBER(AB102),ISNUMBER(AC102)),MAX(0,MIN(AC102,EOMONTH(출력_요약!$B$3,0))-MAX(AB102,출력_요약!$B$3)+1),0)</f>
        <v/>
      </c>
      <c r="AE102" s="10">
        <f>IF(AND(Q102&lt;&gt;"",ISNUMBER(AB102)),Q102&amp;"|다기관","")</f>
        <v/>
      </c>
    </row>
    <row r="103">
      <c r="A103" s="15">
        <f>IF(F103="","",ROW()-3)</f>
        <v/>
      </c>
      <c r="B103" s="5" t="n"/>
      <c r="C103" s="15" t="n"/>
      <c r="D103" s="5" t="n"/>
      <c r="E103" s="15" t="n"/>
      <c r="F103" s="5" t="n"/>
      <c r="G103" s="6" t="n"/>
      <c r="H103" s="16" t="n"/>
      <c r="I103" s="16" t="n"/>
      <c r="J103" s="15">
        <f>IF(AND(ISNUMBER(H103),ISNUMBER(I103)),I103-H103+1,"")</f>
        <v/>
      </c>
      <c r="K103" s="5" t="n"/>
      <c r="L103" s="5" t="n"/>
      <c r="M103" s="5" t="n"/>
      <c r="N103" s="5" t="n"/>
      <c r="O103" s="5" t="n"/>
      <c r="Q103" s="10">
        <f>IF(TRIM(G103&amp;"")="","",TRIM(G103&amp;""))</f>
        <v/>
      </c>
      <c r="R103" s="10">
        <f>IF(TRIM(B103&amp;"")="","",IFERROR(INDEX(설정_코드표!$K$2:$K$101,MATCH(TRIM(B103&amp;""),설정_코드표!$J$2:$J$101,0)),"⚠"&amp;TRIM(B103&amp;"")))</f>
        <v/>
      </c>
      <c r="S103" s="10">
        <f>IF(TRIM(K103&amp;"")="","",IFERROR(INDEX(설정_코드표!$K$2:$K$101,MATCH(TRIM(K103&amp;""),설정_코드표!$J$2:$J$101,0)),"⚠"&amp;TRIM(K103&amp;"")))</f>
        <v/>
      </c>
      <c r="T103" s="10">
        <f>IF(TRIM(M103&amp;"")="","",IF(ISNUMBER(MATCH(TRIM(M103&amp;""),설정_코드표!$C$2:$C$11,0)),TRIM(M103&amp;""),"⚠"&amp;TRIM(M103&amp;"")))</f>
        <v/>
      </c>
      <c r="U103" s="10">
        <f>IF(TRIM(L103&amp;"")="","",IFERROR(INDEX(설정_코드표!$G$2:$G$101,MATCH(TRIM(L103&amp;""),설정_코드표!$F$2:$F$101,0)),"⚠"&amp;TRIM(L103&amp;"")))</f>
        <v/>
      </c>
      <c r="V103" s="10">
        <f>IF(AND(ISNUMBER(H103),ISNUMBER(I103)),I103-H103+1,"")</f>
        <v/>
      </c>
      <c r="W103" s="17">
        <f>IF(ISNUMBER(H103),MAX(0,MIN(IF(ISNUMBER(I103),I103,EOMONTH(출력_요약!$B$3,0)),EOMONTH(출력_요약!$B$3,0))-MAX(H103,출력_요약!$B$3)+1),0)</f>
        <v/>
      </c>
      <c r="X103" s="10">
        <f>IF(OR(NOT(ISNUMBER(H103)),Q103=""),"",IF(TODAY()&lt;H103,"파견예정",IF(AND(ISNUMBER(I103),TODAY()&gt;I103),"파견종료","파견중")))</f>
        <v/>
      </c>
      <c r="Y103" s="10">
        <f>IF(OR(Q103="",X103=""),"",Q103&amp;"|"&amp;X103)</f>
        <v/>
      </c>
      <c r="Z103" s="10">
        <f>IF(AND(Q103&lt;&gt;"",W103&gt;0),Q103&amp;"|월","")</f>
        <v/>
      </c>
      <c r="AA103" s="10">
        <f>IF(COUNTA(B103:I103,K103:N103)=0,"",IF(Q103="","등록번호 없음",IF(LEFT(R103,1)="⚠","모병원명 미등록",IF(S103="","파견병원 입력",IF(LEFT(S103,1)="⚠","파견병원명 미등록",IF(LEFT(U103,1)="⚠","파견과목 미등록",IF(OR(T103="",LEFT(T103,1)="⚠"),"파견근거 확인",IF(NOT(AND(ISNUMBER(H103),ISNUMBER(I103))),"날짜 형식/누락",IF(I103&lt;H103,"종료일&lt;시작일","")))))))))</f>
        <v/>
      </c>
      <c r="AB103" s="11">
        <f>IF(ISNUMBER(SEARCH("다기관",TRIM(N103&amp;" "&amp;O103))),IFERROR(DATE(VALUE(MID(TRIM(N103&amp;" "&amp;O103),1,4)),VALUE(MID(TRIM(N103&amp;" "&amp;O103),6,2)),VALUE(MID(TRIM(N103&amp;" "&amp;O103),9,2))),IF(ISNUMBER(H103),H103,"")),"")</f>
        <v/>
      </c>
      <c r="AC103" s="11">
        <f>IF(ISNUMBER(SEARCH("다기관",TRIM(N103&amp;" "&amp;O103))),IFERROR(DATE(VALUE(MID(TRIM(N103&amp;" "&amp;O103),12,4)),VALUE(MID(TRIM(N103&amp;" "&amp;O103),17,2)),VALUE(MID(TRIM(N103&amp;" "&amp;O103),20,2))),IF(ISNUMBER(I103),I103,"")),"")</f>
        <v/>
      </c>
      <c r="AD103" s="17">
        <f>IF(AND(ISNUMBER(AB103),ISNUMBER(AC103)),MAX(0,MIN(AC103,EOMONTH(출력_요약!$B$3,0))-MAX(AB103,출력_요약!$B$3)+1),0)</f>
        <v/>
      </c>
      <c r="AE103" s="10">
        <f>IF(AND(Q103&lt;&gt;"",ISNUMBER(AB103)),Q103&amp;"|다기관","")</f>
        <v/>
      </c>
    </row>
    <row r="104">
      <c r="A104" s="15">
        <f>IF(F104="","",ROW()-3)</f>
        <v/>
      </c>
      <c r="B104" s="5" t="n"/>
      <c r="C104" s="15" t="n"/>
      <c r="D104" s="5" t="n"/>
      <c r="E104" s="15" t="n"/>
      <c r="F104" s="5" t="n"/>
      <c r="G104" s="6" t="n"/>
      <c r="H104" s="16" t="n"/>
      <c r="I104" s="16" t="n"/>
      <c r="J104" s="15">
        <f>IF(AND(ISNUMBER(H104),ISNUMBER(I104)),I104-H104+1,"")</f>
        <v/>
      </c>
      <c r="K104" s="5" t="n"/>
      <c r="L104" s="5" t="n"/>
      <c r="M104" s="5" t="n"/>
      <c r="N104" s="5" t="n"/>
      <c r="O104" s="5" t="n"/>
      <c r="Q104" s="10">
        <f>IF(TRIM(G104&amp;"")="","",TRIM(G104&amp;""))</f>
        <v/>
      </c>
      <c r="R104" s="10">
        <f>IF(TRIM(B104&amp;"")="","",IFERROR(INDEX(설정_코드표!$K$2:$K$101,MATCH(TRIM(B104&amp;""),설정_코드표!$J$2:$J$101,0)),"⚠"&amp;TRIM(B104&amp;"")))</f>
        <v/>
      </c>
      <c r="S104" s="10">
        <f>IF(TRIM(K104&amp;"")="","",IFERROR(INDEX(설정_코드표!$K$2:$K$101,MATCH(TRIM(K104&amp;""),설정_코드표!$J$2:$J$101,0)),"⚠"&amp;TRIM(K104&amp;"")))</f>
        <v/>
      </c>
      <c r="T104" s="10">
        <f>IF(TRIM(M104&amp;"")="","",IF(ISNUMBER(MATCH(TRIM(M104&amp;""),설정_코드표!$C$2:$C$11,0)),TRIM(M104&amp;""),"⚠"&amp;TRIM(M104&amp;"")))</f>
        <v/>
      </c>
      <c r="U104" s="10">
        <f>IF(TRIM(L104&amp;"")="","",IFERROR(INDEX(설정_코드표!$G$2:$G$101,MATCH(TRIM(L104&amp;""),설정_코드표!$F$2:$F$101,0)),"⚠"&amp;TRIM(L104&amp;"")))</f>
        <v/>
      </c>
      <c r="V104" s="10">
        <f>IF(AND(ISNUMBER(H104),ISNUMBER(I104)),I104-H104+1,"")</f>
        <v/>
      </c>
      <c r="W104" s="17">
        <f>IF(ISNUMBER(H104),MAX(0,MIN(IF(ISNUMBER(I104),I104,EOMONTH(출력_요약!$B$3,0)),EOMONTH(출력_요약!$B$3,0))-MAX(H104,출력_요약!$B$3)+1),0)</f>
        <v/>
      </c>
      <c r="X104" s="10">
        <f>IF(OR(NOT(ISNUMBER(H104)),Q104=""),"",IF(TODAY()&lt;H104,"파견예정",IF(AND(ISNUMBER(I104),TODAY()&gt;I104),"파견종료","파견중")))</f>
        <v/>
      </c>
      <c r="Y104" s="10">
        <f>IF(OR(Q104="",X104=""),"",Q104&amp;"|"&amp;X104)</f>
        <v/>
      </c>
      <c r="Z104" s="10">
        <f>IF(AND(Q104&lt;&gt;"",W104&gt;0),Q104&amp;"|월","")</f>
        <v/>
      </c>
      <c r="AA104" s="10">
        <f>IF(COUNTA(B104:I104,K104:N104)=0,"",IF(Q104="","등록번호 없음",IF(LEFT(R104,1)="⚠","모병원명 미등록",IF(S104="","파견병원 입력",IF(LEFT(S104,1)="⚠","파견병원명 미등록",IF(LEFT(U104,1)="⚠","파견과목 미등록",IF(OR(T104="",LEFT(T104,1)="⚠"),"파견근거 확인",IF(NOT(AND(ISNUMBER(H104),ISNUMBER(I104))),"날짜 형식/누락",IF(I104&lt;H104,"종료일&lt;시작일","")))))))))</f>
        <v/>
      </c>
      <c r="AB104" s="11">
        <f>IF(ISNUMBER(SEARCH("다기관",TRIM(N104&amp;" "&amp;O104))),IFERROR(DATE(VALUE(MID(TRIM(N104&amp;" "&amp;O104),1,4)),VALUE(MID(TRIM(N104&amp;" "&amp;O104),6,2)),VALUE(MID(TRIM(N104&amp;" "&amp;O104),9,2))),IF(ISNUMBER(H104),H104,"")),"")</f>
        <v/>
      </c>
      <c r="AC104" s="11">
        <f>IF(ISNUMBER(SEARCH("다기관",TRIM(N104&amp;" "&amp;O104))),IFERROR(DATE(VALUE(MID(TRIM(N104&amp;" "&amp;O104),12,4)),VALUE(MID(TRIM(N104&amp;" "&amp;O104),17,2)),VALUE(MID(TRIM(N104&amp;" "&amp;O104),20,2))),IF(ISNUMBER(I104),I104,"")),"")</f>
        <v/>
      </c>
      <c r="AD104" s="17">
        <f>IF(AND(ISNUMBER(AB104),ISNUMBER(AC104)),MAX(0,MIN(AC104,EOMONTH(출력_요약!$B$3,0))-MAX(AB104,출력_요약!$B$3)+1),0)</f>
        <v/>
      </c>
      <c r="AE104" s="10">
        <f>IF(AND(Q104&lt;&gt;"",ISNUMBER(AB104)),Q104&amp;"|다기관","")</f>
        <v/>
      </c>
    </row>
    <row r="105">
      <c r="A105" s="15">
        <f>IF(F105="","",ROW()-3)</f>
        <v/>
      </c>
      <c r="B105" s="5" t="n"/>
      <c r="C105" s="15" t="n"/>
      <c r="D105" s="5" t="n"/>
      <c r="E105" s="15" t="n"/>
      <c r="F105" s="5" t="n"/>
      <c r="G105" s="6" t="n"/>
      <c r="H105" s="16" t="n"/>
      <c r="I105" s="16" t="n"/>
      <c r="J105" s="15">
        <f>IF(AND(ISNUMBER(H105),ISNUMBER(I105)),I105-H105+1,"")</f>
        <v/>
      </c>
      <c r="K105" s="5" t="n"/>
      <c r="L105" s="5" t="n"/>
      <c r="M105" s="5" t="n"/>
      <c r="N105" s="5" t="n"/>
      <c r="O105" s="5" t="n"/>
      <c r="Q105" s="10">
        <f>IF(TRIM(G105&amp;"")="","",TRIM(G105&amp;""))</f>
        <v/>
      </c>
      <c r="R105" s="10">
        <f>IF(TRIM(B105&amp;"")="","",IFERROR(INDEX(설정_코드표!$K$2:$K$101,MATCH(TRIM(B105&amp;""),설정_코드표!$J$2:$J$101,0)),"⚠"&amp;TRIM(B105&amp;"")))</f>
        <v/>
      </c>
      <c r="S105" s="10">
        <f>IF(TRIM(K105&amp;"")="","",IFERROR(INDEX(설정_코드표!$K$2:$K$101,MATCH(TRIM(K105&amp;""),설정_코드표!$J$2:$J$101,0)),"⚠"&amp;TRIM(K105&amp;"")))</f>
        <v/>
      </c>
      <c r="T105" s="10">
        <f>IF(TRIM(M105&amp;"")="","",IF(ISNUMBER(MATCH(TRIM(M105&amp;""),설정_코드표!$C$2:$C$11,0)),TRIM(M105&amp;""),"⚠"&amp;TRIM(M105&amp;"")))</f>
        <v/>
      </c>
      <c r="U105" s="10">
        <f>IF(TRIM(L105&amp;"")="","",IFERROR(INDEX(설정_코드표!$G$2:$G$101,MATCH(TRIM(L105&amp;""),설정_코드표!$F$2:$F$101,0)),"⚠"&amp;TRIM(L105&amp;"")))</f>
        <v/>
      </c>
      <c r="V105" s="10">
        <f>IF(AND(ISNUMBER(H105),ISNUMBER(I105)),I105-H105+1,"")</f>
        <v/>
      </c>
      <c r="W105" s="17">
        <f>IF(ISNUMBER(H105),MAX(0,MIN(IF(ISNUMBER(I105),I105,EOMONTH(출력_요약!$B$3,0)),EOMONTH(출력_요약!$B$3,0))-MAX(H105,출력_요약!$B$3)+1),0)</f>
        <v/>
      </c>
      <c r="X105" s="10">
        <f>IF(OR(NOT(ISNUMBER(H105)),Q105=""),"",IF(TODAY()&lt;H105,"파견예정",IF(AND(ISNUMBER(I105),TODAY()&gt;I105),"파견종료","파견중")))</f>
        <v/>
      </c>
      <c r="Y105" s="10">
        <f>IF(OR(Q105="",X105=""),"",Q105&amp;"|"&amp;X105)</f>
        <v/>
      </c>
      <c r="Z105" s="10">
        <f>IF(AND(Q105&lt;&gt;"",W105&gt;0),Q105&amp;"|월","")</f>
        <v/>
      </c>
      <c r="AA105" s="10">
        <f>IF(COUNTA(B105:I105,K105:N105)=0,"",IF(Q105="","등록번호 없음",IF(LEFT(R105,1)="⚠","모병원명 미등록",IF(S105="","파견병원 입력",IF(LEFT(S105,1)="⚠","파견병원명 미등록",IF(LEFT(U105,1)="⚠","파견과목 미등록",IF(OR(T105="",LEFT(T105,1)="⚠"),"파견근거 확인",IF(NOT(AND(ISNUMBER(H105),ISNUMBER(I105))),"날짜 형식/누락",IF(I105&lt;H105,"종료일&lt;시작일","")))))))))</f>
        <v/>
      </c>
      <c r="AB105" s="11">
        <f>IF(ISNUMBER(SEARCH("다기관",TRIM(N105&amp;" "&amp;O105))),IFERROR(DATE(VALUE(MID(TRIM(N105&amp;" "&amp;O105),1,4)),VALUE(MID(TRIM(N105&amp;" "&amp;O105),6,2)),VALUE(MID(TRIM(N105&amp;" "&amp;O105),9,2))),IF(ISNUMBER(H105),H105,"")),"")</f>
        <v/>
      </c>
      <c r="AC105" s="11">
        <f>IF(ISNUMBER(SEARCH("다기관",TRIM(N105&amp;" "&amp;O105))),IFERROR(DATE(VALUE(MID(TRIM(N105&amp;" "&amp;O105),12,4)),VALUE(MID(TRIM(N105&amp;" "&amp;O105),17,2)),VALUE(MID(TRIM(N105&amp;" "&amp;O105),20,2))),IF(ISNUMBER(I105),I105,"")),"")</f>
        <v/>
      </c>
      <c r="AD105" s="17">
        <f>IF(AND(ISNUMBER(AB105),ISNUMBER(AC105)),MAX(0,MIN(AC105,EOMONTH(출력_요약!$B$3,0))-MAX(AB105,출력_요약!$B$3)+1),0)</f>
        <v/>
      </c>
      <c r="AE105" s="10">
        <f>IF(AND(Q105&lt;&gt;"",ISNUMBER(AB105)),Q105&amp;"|다기관","")</f>
        <v/>
      </c>
    </row>
    <row r="106">
      <c r="A106" s="15">
        <f>IF(F106="","",ROW()-3)</f>
        <v/>
      </c>
      <c r="B106" s="5" t="n"/>
      <c r="C106" s="15" t="n"/>
      <c r="D106" s="5" t="n"/>
      <c r="E106" s="15" t="n"/>
      <c r="F106" s="5" t="n"/>
      <c r="G106" s="6" t="n"/>
      <c r="H106" s="16" t="n"/>
      <c r="I106" s="16" t="n"/>
      <c r="J106" s="15">
        <f>IF(AND(ISNUMBER(H106),ISNUMBER(I106)),I106-H106+1,"")</f>
        <v/>
      </c>
      <c r="K106" s="5" t="n"/>
      <c r="L106" s="5" t="n"/>
      <c r="M106" s="5" t="n"/>
      <c r="N106" s="5" t="n"/>
      <c r="O106" s="5" t="n"/>
      <c r="Q106" s="10">
        <f>IF(TRIM(G106&amp;"")="","",TRIM(G106&amp;""))</f>
        <v/>
      </c>
      <c r="R106" s="10">
        <f>IF(TRIM(B106&amp;"")="","",IFERROR(INDEX(설정_코드표!$K$2:$K$101,MATCH(TRIM(B106&amp;""),설정_코드표!$J$2:$J$101,0)),"⚠"&amp;TRIM(B106&amp;"")))</f>
        <v/>
      </c>
      <c r="S106" s="10">
        <f>IF(TRIM(K106&amp;"")="","",IFERROR(INDEX(설정_코드표!$K$2:$K$101,MATCH(TRIM(K106&amp;""),설정_코드표!$J$2:$J$101,0)),"⚠"&amp;TRIM(K106&amp;"")))</f>
        <v/>
      </c>
      <c r="T106" s="10">
        <f>IF(TRIM(M106&amp;"")="","",IF(ISNUMBER(MATCH(TRIM(M106&amp;""),설정_코드표!$C$2:$C$11,0)),TRIM(M106&amp;""),"⚠"&amp;TRIM(M106&amp;"")))</f>
        <v/>
      </c>
      <c r="U106" s="10">
        <f>IF(TRIM(L106&amp;"")="","",IFERROR(INDEX(설정_코드표!$G$2:$G$101,MATCH(TRIM(L106&amp;""),설정_코드표!$F$2:$F$101,0)),"⚠"&amp;TRIM(L106&amp;"")))</f>
        <v/>
      </c>
      <c r="V106" s="10">
        <f>IF(AND(ISNUMBER(H106),ISNUMBER(I106)),I106-H106+1,"")</f>
        <v/>
      </c>
      <c r="W106" s="17">
        <f>IF(ISNUMBER(H106),MAX(0,MIN(IF(ISNUMBER(I106),I106,EOMONTH(출력_요약!$B$3,0)),EOMONTH(출력_요약!$B$3,0))-MAX(H106,출력_요약!$B$3)+1),0)</f>
        <v/>
      </c>
      <c r="X106" s="10">
        <f>IF(OR(NOT(ISNUMBER(H106)),Q106=""),"",IF(TODAY()&lt;H106,"파견예정",IF(AND(ISNUMBER(I106),TODAY()&gt;I106),"파견종료","파견중")))</f>
        <v/>
      </c>
      <c r="Y106" s="10">
        <f>IF(OR(Q106="",X106=""),"",Q106&amp;"|"&amp;X106)</f>
        <v/>
      </c>
      <c r="Z106" s="10">
        <f>IF(AND(Q106&lt;&gt;"",W106&gt;0),Q106&amp;"|월","")</f>
        <v/>
      </c>
      <c r="AA106" s="10">
        <f>IF(COUNTA(B106:I106,K106:N106)=0,"",IF(Q106="","등록번호 없음",IF(LEFT(R106,1)="⚠","모병원명 미등록",IF(S106="","파견병원 입력",IF(LEFT(S106,1)="⚠","파견병원명 미등록",IF(LEFT(U106,1)="⚠","파견과목 미등록",IF(OR(T106="",LEFT(T106,1)="⚠"),"파견근거 확인",IF(NOT(AND(ISNUMBER(H106),ISNUMBER(I106))),"날짜 형식/누락",IF(I106&lt;H106,"종료일&lt;시작일","")))))))))</f>
        <v/>
      </c>
      <c r="AB106" s="11">
        <f>IF(ISNUMBER(SEARCH("다기관",TRIM(N106&amp;" "&amp;O106))),IFERROR(DATE(VALUE(MID(TRIM(N106&amp;" "&amp;O106),1,4)),VALUE(MID(TRIM(N106&amp;" "&amp;O106),6,2)),VALUE(MID(TRIM(N106&amp;" "&amp;O106),9,2))),IF(ISNUMBER(H106),H106,"")),"")</f>
        <v/>
      </c>
      <c r="AC106" s="11">
        <f>IF(ISNUMBER(SEARCH("다기관",TRIM(N106&amp;" "&amp;O106))),IFERROR(DATE(VALUE(MID(TRIM(N106&amp;" "&amp;O106),12,4)),VALUE(MID(TRIM(N106&amp;" "&amp;O106),17,2)),VALUE(MID(TRIM(N106&amp;" "&amp;O106),20,2))),IF(ISNUMBER(I106),I106,"")),"")</f>
        <v/>
      </c>
      <c r="AD106" s="17">
        <f>IF(AND(ISNUMBER(AB106),ISNUMBER(AC106)),MAX(0,MIN(AC106,EOMONTH(출력_요약!$B$3,0))-MAX(AB106,출력_요약!$B$3)+1),0)</f>
        <v/>
      </c>
      <c r="AE106" s="10">
        <f>IF(AND(Q106&lt;&gt;"",ISNUMBER(AB106)),Q106&amp;"|다기관","")</f>
        <v/>
      </c>
    </row>
    <row r="107">
      <c r="A107" s="15">
        <f>IF(F107="","",ROW()-3)</f>
        <v/>
      </c>
      <c r="B107" s="5" t="n"/>
      <c r="C107" s="15" t="n"/>
      <c r="D107" s="5" t="n"/>
      <c r="E107" s="15" t="n"/>
      <c r="F107" s="5" t="n"/>
      <c r="G107" s="6" t="n"/>
      <c r="H107" s="16" t="n"/>
      <c r="I107" s="16" t="n"/>
      <c r="J107" s="15">
        <f>IF(AND(ISNUMBER(H107),ISNUMBER(I107)),I107-H107+1,"")</f>
        <v/>
      </c>
      <c r="K107" s="5" t="n"/>
      <c r="L107" s="5" t="n"/>
      <c r="M107" s="5" t="n"/>
      <c r="N107" s="5" t="n"/>
      <c r="O107" s="5" t="n"/>
      <c r="Q107" s="10">
        <f>IF(TRIM(G107&amp;"")="","",TRIM(G107&amp;""))</f>
        <v/>
      </c>
      <c r="R107" s="10">
        <f>IF(TRIM(B107&amp;"")="","",IFERROR(INDEX(설정_코드표!$K$2:$K$101,MATCH(TRIM(B107&amp;""),설정_코드표!$J$2:$J$101,0)),"⚠"&amp;TRIM(B107&amp;"")))</f>
        <v/>
      </c>
      <c r="S107" s="10">
        <f>IF(TRIM(K107&amp;"")="","",IFERROR(INDEX(설정_코드표!$K$2:$K$101,MATCH(TRIM(K107&amp;""),설정_코드표!$J$2:$J$101,0)),"⚠"&amp;TRIM(K107&amp;"")))</f>
        <v/>
      </c>
      <c r="T107" s="10">
        <f>IF(TRIM(M107&amp;"")="","",IF(ISNUMBER(MATCH(TRIM(M107&amp;""),설정_코드표!$C$2:$C$11,0)),TRIM(M107&amp;""),"⚠"&amp;TRIM(M107&amp;"")))</f>
        <v/>
      </c>
      <c r="U107" s="10">
        <f>IF(TRIM(L107&amp;"")="","",IFERROR(INDEX(설정_코드표!$G$2:$G$101,MATCH(TRIM(L107&amp;""),설정_코드표!$F$2:$F$101,0)),"⚠"&amp;TRIM(L107&amp;"")))</f>
        <v/>
      </c>
      <c r="V107" s="10">
        <f>IF(AND(ISNUMBER(H107),ISNUMBER(I107)),I107-H107+1,"")</f>
        <v/>
      </c>
      <c r="W107" s="17">
        <f>IF(ISNUMBER(H107),MAX(0,MIN(IF(ISNUMBER(I107),I107,EOMONTH(출력_요약!$B$3,0)),EOMONTH(출력_요약!$B$3,0))-MAX(H107,출력_요약!$B$3)+1),0)</f>
        <v/>
      </c>
      <c r="X107" s="10">
        <f>IF(OR(NOT(ISNUMBER(H107)),Q107=""),"",IF(TODAY()&lt;H107,"파견예정",IF(AND(ISNUMBER(I107),TODAY()&gt;I107),"파견종료","파견중")))</f>
        <v/>
      </c>
      <c r="Y107" s="10">
        <f>IF(OR(Q107="",X107=""),"",Q107&amp;"|"&amp;X107)</f>
        <v/>
      </c>
      <c r="Z107" s="10">
        <f>IF(AND(Q107&lt;&gt;"",W107&gt;0),Q107&amp;"|월","")</f>
        <v/>
      </c>
      <c r="AA107" s="10">
        <f>IF(COUNTA(B107:I107,K107:N107)=0,"",IF(Q107="","등록번호 없음",IF(LEFT(R107,1)="⚠","모병원명 미등록",IF(S107="","파견병원 입력",IF(LEFT(S107,1)="⚠","파견병원명 미등록",IF(LEFT(U107,1)="⚠","파견과목 미등록",IF(OR(T107="",LEFT(T107,1)="⚠"),"파견근거 확인",IF(NOT(AND(ISNUMBER(H107),ISNUMBER(I107))),"날짜 형식/누락",IF(I107&lt;H107,"종료일&lt;시작일","")))))))))</f>
        <v/>
      </c>
      <c r="AB107" s="11">
        <f>IF(ISNUMBER(SEARCH("다기관",TRIM(N107&amp;" "&amp;O107))),IFERROR(DATE(VALUE(MID(TRIM(N107&amp;" "&amp;O107),1,4)),VALUE(MID(TRIM(N107&amp;" "&amp;O107),6,2)),VALUE(MID(TRIM(N107&amp;" "&amp;O107),9,2))),IF(ISNUMBER(H107),H107,"")),"")</f>
        <v/>
      </c>
      <c r="AC107" s="11">
        <f>IF(ISNUMBER(SEARCH("다기관",TRIM(N107&amp;" "&amp;O107))),IFERROR(DATE(VALUE(MID(TRIM(N107&amp;" "&amp;O107),12,4)),VALUE(MID(TRIM(N107&amp;" "&amp;O107),17,2)),VALUE(MID(TRIM(N107&amp;" "&amp;O107),20,2))),IF(ISNUMBER(I107),I107,"")),"")</f>
        <v/>
      </c>
      <c r="AD107" s="17">
        <f>IF(AND(ISNUMBER(AB107),ISNUMBER(AC107)),MAX(0,MIN(AC107,EOMONTH(출력_요약!$B$3,0))-MAX(AB107,출력_요약!$B$3)+1),0)</f>
        <v/>
      </c>
      <c r="AE107" s="10">
        <f>IF(AND(Q107&lt;&gt;"",ISNUMBER(AB107)),Q107&amp;"|다기관","")</f>
        <v/>
      </c>
    </row>
    <row r="108">
      <c r="A108" s="15">
        <f>IF(F108="","",ROW()-3)</f>
        <v/>
      </c>
      <c r="B108" s="5" t="n"/>
      <c r="C108" s="15" t="n"/>
      <c r="D108" s="5" t="n"/>
      <c r="E108" s="15" t="n"/>
      <c r="F108" s="5" t="n"/>
      <c r="G108" s="6" t="n"/>
      <c r="H108" s="16" t="n"/>
      <c r="I108" s="16" t="n"/>
      <c r="J108" s="15">
        <f>IF(AND(ISNUMBER(H108),ISNUMBER(I108)),I108-H108+1,"")</f>
        <v/>
      </c>
      <c r="K108" s="5" t="n"/>
      <c r="L108" s="5" t="n"/>
      <c r="M108" s="5" t="n"/>
      <c r="N108" s="5" t="n"/>
      <c r="O108" s="5" t="n"/>
      <c r="Q108" s="10">
        <f>IF(TRIM(G108&amp;"")="","",TRIM(G108&amp;""))</f>
        <v/>
      </c>
      <c r="R108" s="10">
        <f>IF(TRIM(B108&amp;"")="","",IFERROR(INDEX(설정_코드표!$K$2:$K$101,MATCH(TRIM(B108&amp;""),설정_코드표!$J$2:$J$101,0)),"⚠"&amp;TRIM(B108&amp;"")))</f>
        <v/>
      </c>
      <c r="S108" s="10">
        <f>IF(TRIM(K108&amp;"")="","",IFERROR(INDEX(설정_코드표!$K$2:$K$101,MATCH(TRIM(K108&amp;""),설정_코드표!$J$2:$J$101,0)),"⚠"&amp;TRIM(K108&amp;"")))</f>
        <v/>
      </c>
      <c r="T108" s="10">
        <f>IF(TRIM(M108&amp;"")="","",IF(ISNUMBER(MATCH(TRIM(M108&amp;""),설정_코드표!$C$2:$C$11,0)),TRIM(M108&amp;""),"⚠"&amp;TRIM(M108&amp;"")))</f>
        <v/>
      </c>
      <c r="U108" s="10">
        <f>IF(TRIM(L108&amp;"")="","",IFERROR(INDEX(설정_코드표!$G$2:$G$101,MATCH(TRIM(L108&amp;""),설정_코드표!$F$2:$F$101,0)),"⚠"&amp;TRIM(L108&amp;"")))</f>
        <v/>
      </c>
      <c r="V108" s="10">
        <f>IF(AND(ISNUMBER(H108),ISNUMBER(I108)),I108-H108+1,"")</f>
        <v/>
      </c>
      <c r="W108" s="17">
        <f>IF(ISNUMBER(H108),MAX(0,MIN(IF(ISNUMBER(I108),I108,EOMONTH(출력_요약!$B$3,0)),EOMONTH(출력_요약!$B$3,0))-MAX(H108,출력_요약!$B$3)+1),0)</f>
        <v/>
      </c>
      <c r="X108" s="10">
        <f>IF(OR(NOT(ISNUMBER(H108)),Q108=""),"",IF(TODAY()&lt;H108,"파견예정",IF(AND(ISNUMBER(I108),TODAY()&gt;I108),"파견종료","파견중")))</f>
        <v/>
      </c>
      <c r="Y108" s="10">
        <f>IF(OR(Q108="",X108=""),"",Q108&amp;"|"&amp;X108)</f>
        <v/>
      </c>
      <c r="Z108" s="10">
        <f>IF(AND(Q108&lt;&gt;"",W108&gt;0),Q108&amp;"|월","")</f>
        <v/>
      </c>
      <c r="AA108" s="10">
        <f>IF(COUNTA(B108:I108,K108:N108)=0,"",IF(Q108="","등록번호 없음",IF(LEFT(R108,1)="⚠","모병원명 미등록",IF(S108="","파견병원 입력",IF(LEFT(S108,1)="⚠","파견병원명 미등록",IF(LEFT(U108,1)="⚠","파견과목 미등록",IF(OR(T108="",LEFT(T108,1)="⚠"),"파견근거 확인",IF(NOT(AND(ISNUMBER(H108),ISNUMBER(I108))),"날짜 형식/누락",IF(I108&lt;H108,"종료일&lt;시작일","")))))))))</f>
        <v/>
      </c>
      <c r="AB108" s="11">
        <f>IF(ISNUMBER(SEARCH("다기관",TRIM(N108&amp;" "&amp;O108))),IFERROR(DATE(VALUE(MID(TRIM(N108&amp;" "&amp;O108),1,4)),VALUE(MID(TRIM(N108&amp;" "&amp;O108),6,2)),VALUE(MID(TRIM(N108&amp;" "&amp;O108),9,2))),IF(ISNUMBER(H108),H108,"")),"")</f>
        <v/>
      </c>
      <c r="AC108" s="11">
        <f>IF(ISNUMBER(SEARCH("다기관",TRIM(N108&amp;" "&amp;O108))),IFERROR(DATE(VALUE(MID(TRIM(N108&amp;" "&amp;O108),12,4)),VALUE(MID(TRIM(N108&amp;" "&amp;O108),17,2)),VALUE(MID(TRIM(N108&amp;" "&amp;O108),20,2))),IF(ISNUMBER(I108),I108,"")),"")</f>
        <v/>
      </c>
      <c r="AD108" s="17">
        <f>IF(AND(ISNUMBER(AB108),ISNUMBER(AC108)),MAX(0,MIN(AC108,EOMONTH(출력_요약!$B$3,0))-MAX(AB108,출력_요약!$B$3)+1),0)</f>
        <v/>
      </c>
      <c r="AE108" s="10">
        <f>IF(AND(Q108&lt;&gt;"",ISNUMBER(AB108)),Q108&amp;"|다기관","")</f>
        <v/>
      </c>
    </row>
    <row r="109">
      <c r="A109" s="15">
        <f>IF(F109="","",ROW()-3)</f>
        <v/>
      </c>
      <c r="B109" s="5" t="n"/>
      <c r="C109" s="15" t="n"/>
      <c r="D109" s="5" t="n"/>
      <c r="E109" s="15" t="n"/>
      <c r="F109" s="5" t="n"/>
      <c r="G109" s="6" t="n"/>
      <c r="H109" s="16" t="n"/>
      <c r="I109" s="16" t="n"/>
      <c r="J109" s="15">
        <f>IF(AND(ISNUMBER(H109),ISNUMBER(I109)),I109-H109+1,"")</f>
        <v/>
      </c>
      <c r="K109" s="5" t="n"/>
      <c r="L109" s="5" t="n"/>
      <c r="M109" s="5" t="n"/>
      <c r="N109" s="5" t="n"/>
      <c r="O109" s="5" t="n"/>
      <c r="Q109" s="10">
        <f>IF(TRIM(G109&amp;"")="","",TRIM(G109&amp;""))</f>
        <v/>
      </c>
      <c r="R109" s="10">
        <f>IF(TRIM(B109&amp;"")="","",IFERROR(INDEX(설정_코드표!$K$2:$K$101,MATCH(TRIM(B109&amp;""),설정_코드표!$J$2:$J$101,0)),"⚠"&amp;TRIM(B109&amp;"")))</f>
        <v/>
      </c>
      <c r="S109" s="10">
        <f>IF(TRIM(K109&amp;"")="","",IFERROR(INDEX(설정_코드표!$K$2:$K$101,MATCH(TRIM(K109&amp;""),설정_코드표!$J$2:$J$101,0)),"⚠"&amp;TRIM(K109&amp;"")))</f>
        <v/>
      </c>
      <c r="T109" s="10">
        <f>IF(TRIM(M109&amp;"")="","",IF(ISNUMBER(MATCH(TRIM(M109&amp;""),설정_코드표!$C$2:$C$11,0)),TRIM(M109&amp;""),"⚠"&amp;TRIM(M109&amp;"")))</f>
        <v/>
      </c>
      <c r="U109" s="10">
        <f>IF(TRIM(L109&amp;"")="","",IFERROR(INDEX(설정_코드표!$G$2:$G$101,MATCH(TRIM(L109&amp;""),설정_코드표!$F$2:$F$101,0)),"⚠"&amp;TRIM(L109&amp;"")))</f>
        <v/>
      </c>
      <c r="V109" s="10">
        <f>IF(AND(ISNUMBER(H109),ISNUMBER(I109)),I109-H109+1,"")</f>
        <v/>
      </c>
      <c r="W109" s="17">
        <f>IF(ISNUMBER(H109),MAX(0,MIN(IF(ISNUMBER(I109),I109,EOMONTH(출력_요약!$B$3,0)),EOMONTH(출력_요약!$B$3,0))-MAX(H109,출력_요약!$B$3)+1),0)</f>
        <v/>
      </c>
      <c r="X109" s="10">
        <f>IF(OR(NOT(ISNUMBER(H109)),Q109=""),"",IF(TODAY()&lt;H109,"파견예정",IF(AND(ISNUMBER(I109),TODAY()&gt;I109),"파견종료","파견중")))</f>
        <v/>
      </c>
      <c r="Y109" s="10">
        <f>IF(OR(Q109="",X109=""),"",Q109&amp;"|"&amp;X109)</f>
        <v/>
      </c>
      <c r="Z109" s="10">
        <f>IF(AND(Q109&lt;&gt;"",W109&gt;0),Q109&amp;"|월","")</f>
        <v/>
      </c>
      <c r="AA109" s="10">
        <f>IF(COUNTA(B109:I109,K109:N109)=0,"",IF(Q109="","등록번호 없음",IF(LEFT(R109,1)="⚠","모병원명 미등록",IF(S109="","파견병원 입력",IF(LEFT(S109,1)="⚠","파견병원명 미등록",IF(LEFT(U109,1)="⚠","파견과목 미등록",IF(OR(T109="",LEFT(T109,1)="⚠"),"파견근거 확인",IF(NOT(AND(ISNUMBER(H109),ISNUMBER(I109))),"날짜 형식/누락",IF(I109&lt;H109,"종료일&lt;시작일","")))))))))</f>
        <v/>
      </c>
      <c r="AB109" s="11">
        <f>IF(ISNUMBER(SEARCH("다기관",TRIM(N109&amp;" "&amp;O109))),IFERROR(DATE(VALUE(MID(TRIM(N109&amp;" "&amp;O109),1,4)),VALUE(MID(TRIM(N109&amp;" "&amp;O109),6,2)),VALUE(MID(TRIM(N109&amp;" "&amp;O109),9,2))),IF(ISNUMBER(H109),H109,"")),"")</f>
        <v/>
      </c>
      <c r="AC109" s="11">
        <f>IF(ISNUMBER(SEARCH("다기관",TRIM(N109&amp;" "&amp;O109))),IFERROR(DATE(VALUE(MID(TRIM(N109&amp;" "&amp;O109),12,4)),VALUE(MID(TRIM(N109&amp;" "&amp;O109),17,2)),VALUE(MID(TRIM(N109&amp;" "&amp;O109),20,2))),IF(ISNUMBER(I109),I109,"")),"")</f>
        <v/>
      </c>
      <c r="AD109" s="17">
        <f>IF(AND(ISNUMBER(AB109),ISNUMBER(AC109)),MAX(0,MIN(AC109,EOMONTH(출력_요약!$B$3,0))-MAX(AB109,출력_요약!$B$3)+1),0)</f>
        <v/>
      </c>
      <c r="AE109" s="10">
        <f>IF(AND(Q109&lt;&gt;"",ISNUMBER(AB109)),Q109&amp;"|다기관","")</f>
        <v/>
      </c>
    </row>
    <row r="110">
      <c r="A110" s="15">
        <f>IF(F110="","",ROW()-3)</f>
        <v/>
      </c>
      <c r="B110" s="5" t="n"/>
      <c r="C110" s="15" t="n"/>
      <c r="D110" s="5" t="n"/>
      <c r="E110" s="15" t="n"/>
      <c r="F110" s="5" t="n"/>
      <c r="G110" s="6" t="n"/>
      <c r="H110" s="16" t="n"/>
      <c r="I110" s="16" t="n"/>
      <c r="J110" s="15">
        <f>IF(AND(ISNUMBER(H110),ISNUMBER(I110)),I110-H110+1,"")</f>
        <v/>
      </c>
      <c r="K110" s="5" t="n"/>
      <c r="L110" s="5" t="n"/>
      <c r="M110" s="5" t="n"/>
      <c r="N110" s="5" t="n"/>
      <c r="O110" s="5" t="n"/>
      <c r="Q110" s="10">
        <f>IF(TRIM(G110&amp;"")="","",TRIM(G110&amp;""))</f>
        <v/>
      </c>
      <c r="R110" s="10">
        <f>IF(TRIM(B110&amp;"")="","",IFERROR(INDEX(설정_코드표!$K$2:$K$101,MATCH(TRIM(B110&amp;""),설정_코드표!$J$2:$J$101,0)),"⚠"&amp;TRIM(B110&amp;"")))</f>
        <v/>
      </c>
      <c r="S110" s="10">
        <f>IF(TRIM(K110&amp;"")="","",IFERROR(INDEX(설정_코드표!$K$2:$K$101,MATCH(TRIM(K110&amp;""),설정_코드표!$J$2:$J$101,0)),"⚠"&amp;TRIM(K110&amp;"")))</f>
        <v/>
      </c>
      <c r="T110" s="10">
        <f>IF(TRIM(M110&amp;"")="","",IF(ISNUMBER(MATCH(TRIM(M110&amp;""),설정_코드표!$C$2:$C$11,0)),TRIM(M110&amp;""),"⚠"&amp;TRIM(M110&amp;"")))</f>
        <v/>
      </c>
      <c r="U110" s="10">
        <f>IF(TRIM(L110&amp;"")="","",IFERROR(INDEX(설정_코드표!$G$2:$G$101,MATCH(TRIM(L110&amp;""),설정_코드표!$F$2:$F$101,0)),"⚠"&amp;TRIM(L110&amp;"")))</f>
        <v/>
      </c>
      <c r="V110" s="10">
        <f>IF(AND(ISNUMBER(H110),ISNUMBER(I110)),I110-H110+1,"")</f>
        <v/>
      </c>
      <c r="W110" s="17">
        <f>IF(ISNUMBER(H110),MAX(0,MIN(IF(ISNUMBER(I110),I110,EOMONTH(출력_요약!$B$3,0)),EOMONTH(출력_요약!$B$3,0))-MAX(H110,출력_요약!$B$3)+1),0)</f>
        <v/>
      </c>
      <c r="X110" s="10">
        <f>IF(OR(NOT(ISNUMBER(H110)),Q110=""),"",IF(TODAY()&lt;H110,"파견예정",IF(AND(ISNUMBER(I110),TODAY()&gt;I110),"파견종료","파견중")))</f>
        <v/>
      </c>
      <c r="Y110" s="10">
        <f>IF(OR(Q110="",X110=""),"",Q110&amp;"|"&amp;X110)</f>
        <v/>
      </c>
      <c r="Z110" s="10">
        <f>IF(AND(Q110&lt;&gt;"",W110&gt;0),Q110&amp;"|월","")</f>
        <v/>
      </c>
      <c r="AA110" s="10">
        <f>IF(COUNTA(B110:I110,K110:N110)=0,"",IF(Q110="","등록번호 없음",IF(LEFT(R110,1)="⚠","모병원명 미등록",IF(S110="","파견병원 입력",IF(LEFT(S110,1)="⚠","파견병원명 미등록",IF(LEFT(U110,1)="⚠","파견과목 미등록",IF(OR(T110="",LEFT(T110,1)="⚠"),"파견근거 확인",IF(NOT(AND(ISNUMBER(H110),ISNUMBER(I110))),"날짜 형식/누락",IF(I110&lt;H110,"종료일&lt;시작일","")))))))))</f>
        <v/>
      </c>
      <c r="AB110" s="11">
        <f>IF(ISNUMBER(SEARCH("다기관",TRIM(N110&amp;" "&amp;O110))),IFERROR(DATE(VALUE(MID(TRIM(N110&amp;" "&amp;O110),1,4)),VALUE(MID(TRIM(N110&amp;" "&amp;O110),6,2)),VALUE(MID(TRIM(N110&amp;" "&amp;O110),9,2))),IF(ISNUMBER(H110),H110,"")),"")</f>
        <v/>
      </c>
      <c r="AC110" s="11">
        <f>IF(ISNUMBER(SEARCH("다기관",TRIM(N110&amp;" "&amp;O110))),IFERROR(DATE(VALUE(MID(TRIM(N110&amp;" "&amp;O110),12,4)),VALUE(MID(TRIM(N110&amp;" "&amp;O110),17,2)),VALUE(MID(TRIM(N110&amp;" "&amp;O110),20,2))),IF(ISNUMBER(I110),I110,"")),"")</f>
        <v/>
      </c>
      <c r="AD110" s="17">
        <f>IF(AND(ISNUMBER(AB110),ISNUMBER(AC110)),MAX(0,MIN(AC110,EOMONTH(출력_요약!$B$3,0))-MAX(AB110,출력_요약!$B$3)+1),0)</f>
        <v/>
      </c>
      <c r="AE110" s="10">
        <f>IF(AND(Q110&lt;&gt;"",ISNUMBER(AB110)),Q110&amp;"|다기관","")</f>
        <v/>
      </c>
    </row>
    <row r="111">
      <c r="A111" s="15">
        <f>IF(F111="","",ROW()-3)</f>
        <v/>
      </c>
      <c r="B111" s="5" t="n"/>
      <c r="C111" s="15" t="n"/>
      <c r="D111" s="5" t="n"/>
      <c r="E111" s="15" t="n"/>
      <c r="F111" s="5" t="n"/>
      <c r="G111" s="6" t="n"/>
      <c r="H111" s="16" t="n"/>
      <c r="I111" s="16" t="n"/>
      <c r="J111" s="15">
        <f>IF(AND(ISNUMBER(H111),ISNUMBER(I111)),I111-H111+1,"")</f>
        <v/>
      </c>
      <c r="K111" s="5" t="n"/>
      <c r="L111" s="5" t="n"/>
      <c r="M111" s="5" t="n"/>
      <c r="N111" s="5" t="n"/>
      <c r="O111" s="5" t="n"/>
      <c r="Q111" s="10">
        <f>IF(TRIM(G111&amp;"")="","",TRIM(G111&amp;""))</f>
        <v/>
      </c>
      <c r="R111" s="10">
        <f>IF(TRIM(B111&amp;"")="","",IFERROR(INDEX(설정_코드표!$K$2:$K$101,MATCH(TRIM(B111&amp;""),설정_코드표!$J$2:$J$101,0)),"⚠"&amp;TRIM(B111&amp;"")))</f>
        <v/>
      </c>
      <c r="S111" s="10">
        <f>IF(TRIM(K111&amp;"")="","",IFERROR(INDEX(설정_코드표!$K$2:$K$101,MATCH(TRIM(K111&amp;""),설정_코드표!$J$2:$J$101,0)),"⚠"&amp;TRIM(K111&amp;"")))</f>
        <v/>
      </c>
      <c r="T111" s="10">
        <f>IF(TRIM(M111&amp;"")="","",IF(ISNUMBER(MATCH(TRIM(M111&amp;""),설정_코드표!$C$2:$C$11,0)),TRIM(M111&amp;""),"⚠"&amp;TRIM(M111&amp;"")))</f>
        <v/>
      </c>
      <c r="U111" s="10">
        <f>IF(TRIM(L111&amp;"")="","",IFERROR(INDEX(설정_코드표!$G$2:$G$101,MATCH(TRIM(L111&amp;""),설정_코드표!$F$2:$F$101,0)),"⚠"&amp;TRIM(L111&amp;"")))</f>
        <v/>
      </c>
      <c r="V111" s="10">
        <f>IF(AND(ISNUMBER(H111),ISNUMBER(I111)),I111-H111+1,"")</f>
        <v/>
      </c>
      <c r="W111" s="17">
        <f>IF(ISNUMBER(H111),MAX(0,MIN(IF(ISNUMBER(I111),I111,EOMONTH(출력_요약!$B$3,0)),EOMONTH(출력_요약!$B$3,0))-MAX(H111,출력_요약!$B$3)+1),0)</f>
        <v/>
      </c>
      <c r="X111" s="10">
        <f>IF(OR(NOT(ISNUMBER(H111)),Q111=""),"",IF(TODAY()&lt;H111,"파견예정",IF(AND(ISNUMBER(I111),TODAY()&gt;I111),"파견종료","파견중")))</f>
        <v/>
      </c>
      <c r="Y111" s="10">
        <f>IF(OR(Q111="",X111=""),"",Q111&amp;"|"&amp;X111)</f>
        <v/>
      </c>
      <c r="Z111" s="10">
        <f>IF(AND(Q111&lt;&gt;"",W111&gt;0),Q111&amp;"|월","")</f>
        <v/>
      </c>
      <c r="AA111" s="10">
        <f>IF(COUNTA(B111:I111,K111:N111)=0,"",IF(Q111="","등록번호 없음",IF(LEFT(R111,1)="⚠","모병원명 미등록",IF(S111="","파견병원 입력",IF(LEFT(S111,1)="⚠","파견병원명 미등록",IF(LEFT(U111,1)="⚠","파견과목 미등록",IF(OR(T111="",LEFT(T111,1)="⚠"),"파견근거 확인",IF(NOT(AND(ISNUMBER(H111),ISNUMBER(I111))),"날짜 형식/누락",IF(I111&lt;H111,"종료일&lt;시작일","")))))))))</f>
        <v/>
      </c>
      <c r="AB111" s="11">
        <f>IF(ISNUMBER(SEARCH("다기관",TRIM(N111&amp;" "&amp;O111))),IFERROR(DATE(VALUE(MID(TRIM(N111&amp;" "&amp;O111),1,4)),VALUE(MID(TRIM(N111&amp;" "&amp;O111),6,2)),VALUE(MID(TRIM(N111&amp;" "&amp;O111),9,2))),IF(ISNUMBER(H111),H111,"")),"")</f>
        <v/>
      </c>
      <c r="AC111" s="11">
        <f>IF(ISNUMBER(SEARCH("다기관",TRIM(N111&amp;" "&amp;O111))),IFERROR(DATE(VALUE(MID(TRIM(N111&amp;" "&amp;O111),12,4)),VALUE(MID(TRIM(N111&amp;" "&amp;O111),17,2)),VALUE(MID(TRIM(N111&amp;" "&amp;O111),20,2))),IF(ISNUMBER(I111),I111,"")),"")</f>
        <v/>
      </c>
      <c r="AD111" s="17">
        <f>IF(AND(ISNUMBER(AB111),ISNUMBER(AC111)),MAX(0,MIN(AC111,EOMONTH(출력_요약!$B$3,0))-MAX(AB111,출력_요약!$B$3)+1),0)</f>
        <v/>
      </c>
      <c r="AE111" s="10">
        <f>IF(AND(Q111&lt;&gt;"",ISNUMBER(AB111)),Q111&amp;"|다기관","")</f>
        <v/>
      </c>
    </row>
    <row r="112">
      <c r="A112" s="15">
        <f>IF(F112="","",ROW()-3)</f>
        <v/>
      </c>
      <c r="B112" s="5" t="n"/>
      <c r="C112" s="15" t="n"/>
      <c r="D112" s="5" t="n"/>
      <c r="E112" s="15" t="n"/>
      <c r="F112" s="5" t="n"/>
      <c r="G112" s="6" t="n"/>
      <c r="H112" s="16" t="n"/>
      <c r="I112" s="16" t="n"/>
      <c r="J112" s="15">
        <f>IF(AND(ISNUMBER(H112),ISNUMBER(I112)),I112-H112+1,"")</f>
        <v/>
      </c>
      <c r="K112" s="5" t="n"/>
      <c r="L112" s="5" t="n"/>
      <c r="M112" s="5" t="n"/>
      <c r="N112" s="5" t="n"/>
      <c r="O112" s="5" t="n"/>
      <c r="Q112" s="10">
        <f>IF(TRIM(G112&amp;"")="","",TRIM(G112&amp;""))</f>
        <v/>
      </c>
      <c r="R112" s="10">
        <f>IF(TRIM(B112&amp;"")="","",IFERROR(INDEX(설정_코드표!$K$2:$K$101,MATCH(TRIM(B112&amp;""),설정_코드표!$J$2:$J$101,0)),"⚠"&amp;TRIM(B112&amp;"")))</f>
        <v/>
      </c>
      <c r="S112" s="10">
        <f>IF(TRIM(K112&amp;"")="","",IFERROR(INDEX(설정_코드표!$K$2:$K$101,MATCH(TRIM(K112&amp;""),설정_코드표!$J$2:$J$101,0)),"⚠"&amp;TRIM(K112&amp;"")))</f>
        <v/>
      </c>
      <c r="T112" s="10">
        <f>IF(TRIM(M112&amp;"")="","",IF(ISNUMBER(MATCH(TRIM(M112&amp;""),설정_코드표!$C$2:$C$11,0)),TRIM(M112&amp;""),"⚠"&amp;TRIM(M112&amp;"")))</f>
        <v/>
      </c>
      <c r="U112" s="10">
        <f>IF(TRIM(L112&amp;"")="","",IFERROR(INDEX(설정_코드표!$G$2:$G$101,MATCH(TRIM(L112&amp;""),설정_코드표!$F$2:$F$101,0)),"⚠"&amp;TRIM(L112&amp;"")))</f>
        <v/>
      </c>
      <c r="V112" s="10">
        <f>IF(AND(ISNUMBER(H112),ISNUMBER(I112)),I112-H112+1,"")</f>
        <v/>
      </c>
      <c r="W112" s="17">
        <f>IF(ISNUMBER(H112),MAX(0,MIN(IF(ISNUMBER(I112),I112,EOMONTH(출력_요약!$B$3,0)),EOMONTH(출력_요약!$B$3,0))-MAX(H112,출력_요약!$B$3)+1),0)</f>
        <v/>
      </c>
      <c r="X112" s="10">
        <f>IF(OR(NOT(ISNUMBER(H112)),Q112=""),"",IF(TODAY()&lt;H112,"파견예정",IF(AND(ISNUMBER(I112),TODAY()&gt;I112),"파견종료","파견중")))</f>
        <v/>
      </c>
      <c r="Y112" s="10">
        <f>IF(OR(Q112="",X112=""),"",Q112&amp;"|"&amp;X112)</f>
        <v/>
      </c>
      <c r="Z112" s="10">
        <f>IF(AND(Q112&lt;&gt;"",W112&gt;0),Q112&amp;"|월","")</f>
        <v/>
      </c>
      <c r="AA112" s="10">
        <f>IF(COUNTA(B112:I112,K112:N112)=0,"",IF(Q112="","등록번호 없음",IF(LEFT(R112,1)="⚠","모병원명 미등록",IF(S112="","파견병원 입력",IF(LEFT(S112,1)="⚠","파견병원명 미등록",IF(LEFT(U112,1)="⚠","파견과목 미등록",IF(OR(T112="",LEFT(T112,1)="⚠"),"파견근거 확인",IF(NOT(AND(ISNUMBER(H112),ISNUMBER(I112))),"날짜 형식/누락",IF(I112&lt;H112,"종료일&lt;시작일","")))))))))</f>
        <v/>
      </c>
      <c r="AB112" s="11">
        <f>IF(ISNUMBER(SEARCH("다기관",TRIM(N112&amp;" "&amp;O112))),IFERROR(DATE(VALUE(MID(TRIM(N112&amp;" "&amp;O112),1,4)),VALUE(MID(TRIM(N112&amp;" "&amp;O112),6,2)),VALUE(MID(TRIM(N112&amp;" "&amp;O112),9,2))),IF(ISNUMBER(H112),H112,"")),"")</f>
        <v/>
      </c>
      <c r="AC112" s="11">
        <f>IF(ISNUMBER(SEARCH("다기관",TRIM(N112&amp;" "&amp;O112))),IFERROR(DATE(VALUE(MID(TRIM(N112&amp;" "&amp;O112),12,4)),VALUE(MID(TRIM(N112&amp;" "&amp;O112),17,2)),VALUE(MID(TRIM(N112&amp;" "&amp;O112),20,2))),IF(ISNUMBER(I112),I112,"")),"")</f>
        <v/>
      </c>
      <c r="AD112" s="17">
        <f>IF(AND(ISNUMBER(AB112),ISNUMBER(AC112)),MAX(0,MIN(AC112,EOMONTH(출력_요약!$B$3,0))-MAX(AB112,출력_요약!$B$3)+1),0)</f>
        <v/>
      </c>
      <c r="AE112" s="10">
        <f>IF(AND(Q112&lt;&gt;"",ISNUMBER(AB112)),Q112&amp;"|다기관","")</f>
        <v/>
      </c>
    </row>
    <row r="113">
      <c r="A113" s="15">
        <f>IF(F113="","",ROW()-3)</f>
        <v/>
      </c>
      <c r="B113" s="5" t="n"/>
      <c r="C113" s="15" t="n"/>
      <c r="D113" s="5" t="n"/>
      <c r="E113" s="15" t="n"/>
      <c r="F113" s="5" t="n"/>
      <c r="G113" s="6" t="n"/>
      <c r="H113" s="16" t="n"/>
      <c r="I113" s="16" t="n"/>
      <c r="J113" s="15">
        <f>IF(AND(ISNUMBER(H113),ISNUMBER(I113)),I113-H113+1,"")</f>
        <v/>
      </c>
      <c r="K113" s="5" t="n"/>
      <c r="L113" s="5" t="n"/>
      <c r="M113" s="5" t="n"/>
      <c r="N113" s="5" t="n"/>
      <c r="O113" s="5" t="n"/>
      <c r="Q113" s="10">
        <f>IF(TRIM(G113&amp;"")="","",TRIM(G113&amp;""))</f>
        <v/>
      </c>
      <c r="R113" s="10">
        <f>IF(TRIM(B113&amp;"")="","",IFERROR(INDEX(설정_코드표!$K$2:$K$101,MATCH(TRIM(B113&amp;""),설정_코드표!$J$2:$J$101,0)),"⚠"&amp;TRIM(B113&amp;"")))</f>
        <v/>
      </c>
      <c r="S113" s="10">
        <f>IF(TRIM(K113&amp;"")="","",IFERROR(INDEX(설정_코드표!$K$2:$K$101,MATCH(TRIM(K113&amp;""),설정_코드표!$J$2:$J$101,0)),"⚠"&amp;TRIM(K113&amp;"")))</f>
        <v/>
      </c>
      <c r="T113" s="10">
        <f>IF(TRIM(M113&amp;"")="","",IF(ISNUMBER(MATCH(TRIM(M113&amp;""),설정_코드표!$C$2:$C$11,0)),TRIM(M113&amp;""),"⚠"&amp;TRIM(M113&amp;"")))</f>
        <v/>
      </c>
      <c r="U113" s="10">
        <f>IF(TRIM(L113&amp;"")="","",IFERROR(INDEX(설정_코드표!$G$2:$G$101,MATCH(TRIM(L113&amp;""),설정_코드표!$F$2:$F$101,0)),"⚠"&amp;TRIM(L113&amp;"")))</f>
        <v/>
      </c>
      <c r="V113" s="10">
        <f>IF(AND(ISNUMBER(H113),ISNUMBER(I113)),I113-H113+1,"")</f>
        <v/>
      </c>
      <c r="W113" s="17">
        <f>IF(ISNUMBER(H113),MAX(0,MIN(IF(ISNUMBER(I113),I113,EOMONTH(출력_요약!$B$3,0)),EOMONTH(출력_요약!$B$3,0))-MAX(H113,출력_요약!$B$3)+1),0)</f>
        <v/>
      </c>
      <c r="X113" s="10">
        <f>IF(OR(NOT(ISNUMBER(H113)),Q113=""),"",IF(TODAY()&lt;H113,"파견예정",IF(AND(ISNUMBER(I113),TODAY()&gt;I113),"파견종료","파견중")))</f>
        <v/>
      </c>
      <c r="Y113" s="10">
        <f>IF(OR(Q113="",X113=""),"",Q113&amp;"|"&amp;X113)</f>
        <v/>
      </c>
      <c r="Z113" s="10">
        <f>IF(AND(Q113&lt;&gt;"",W113&gt;0),Q113&amp;"|월","")</f>
        <v/>
      </c>
      <c r="AA113" s="10">
        <f>IF(COUNTA(B113:I113,K113:N113)=0,"",IF(Q113="","등록번호 없음",IF(LEFT(R113,1)="⚠","모병원명 미등록",IF(S113="","파견병원 입력",IF(LEFT(S113,1)="⚠","파견병원명 미등록",IF(LEFT(U113,1)="⚠","파견과목 미등록",IF(OR(T113="",LEFT(T113,1)="⚠"),"파견근거 확인",IF(NOT(AND(ISNUMBER(H113),ISNUMBER(I113))),"날짜 형식/누락",IF(I113&lt;H113,"종료일&lt;시작일","")))))))))</f>
        <v/>
      </c>
      <c r="AB113" s="11">
        <f>IF(ISNUMBER(SEARCH("다기관",TRIM(N113&amp;" "&amp;O113))),IFERROR(DATE(VALUE(MID(TRIM(N113&amp;" "&amp;O113),1,4)),VALUE(MID(TRIM(N113&amp;" "&amp;O113),6,2)),VALUE(MID(TRIM(N113&amp;" "&amp;O113),9,2))),IF(ISNUMBER(H113),H113,"")),"")</f>
        <v/>
      </c>
      <c r="AC113" s="11">
        <f>IF(ISNUMBER(SEARCH("다기관",TRIM(N113&amp;" "&amp;O113))),IFERROR(DATE(VALUE(MID(TRIM(N113&amp;" "&amp;O113),12,4)),VALUE(MID(TRIM(N113&amp;" "&amp;O113),17,2)),VALUE(MID(TRIM(N113&amp;" "&amp;O113),20,2))),IF(ISNUMBER(I113),I113,"")),"")</f>
        <v/>
      </c>
      <c r="AD113" s="17">
        <f>IF(AND(ISNUMBER(AB113),ISNUMBER(AC113)),MAX(0,MIN(AC113,EOMONTH(출력_요약!$B$3,0))-MAX(AB113,출력_요약!$B$3)+1),0)</f>
        <v/>
      </c>
      <c r="AE113" s="10">
        <f>IF(AND(Q113&lt;&gt;"",ISNUMBER(AB113)),Q113&amp;"|다기관","")</f>
        <v/>
      </c>
    </row>
    <row r="114">
      <c r="A114" s="15">
        <f>IF(F114="","",ROW()-3)</f>
        <v/>
      </c>
      <c r="B114" s="5" t="n"/>
      <c r="C114" s="15" t="n"/>
      <c r="D114" s="5" t="n"/>
      <c r="E114" s="15" t="n"/>
      <c r="F114" s="5" t="n"/>
      <c r="G114" s="6" t="n"/>
      <c r="H114" s="16" t="n"/>
      <c r="I114" s="16" t="n"/>
      <c r="J114" s="15">
        <f>IF(AND(ISNUMBER(H114),ISNUMBER(I114)),I114-H114+1,"")</f>
        <v/>
      </c>
      <c r="K114" s="5" t="n"/>
      <c r="L114" s="5" t="n"/>
      <c r="M114" s="5" t="n"/>
      <c r="N114" s="5" t="n"/>
      <c r="O114" s="5" t="n"/>
      <c r="Q114" s="10">
        <f>IF(TRIM(G114&amp;"")="","",TRIM(G114&amp;""))</f>
        <v/>
      </c>
      <c r="R114" s="10">
        <f>IF(TRIM(B114&amp;"")="","",IFERROR(INDEX(설정_코드표!$K$2:$K$101,MATCH(TRIM(B114&amp;""),설정_코드표!$J$2:$J$101,0)),"⚠"&amp;TRIM(B114&amp;"")))</f>
        <v/>
      </c>
      <c r="S114" s="10">
        <f>IF(TRIM(K114&amp;"")="","",IFERROR(INDEX(설정_코드표!$K$2:$K$101,MATCH(TRIM(K114&amp;""),설정_코드표!$J$2:$J$101,0)),"⚠"&amp;TRIM(K114&amp;"")))</f>
        <v/>
      </c>
      <c r="T114" s="10">
        <f>IF(TRIM(M114&amp;"")="","",IF(ISNUMBER(MATCH(TRIM(M114&amp;""),설정_코드표!$C$2:$C$11,0)),TRIM(M114&amp;""),"⚠"&amp;TRIM(M114&amp;"")))</f>
        <v/>
      </c>
      <c r="U114" s="10">
        <f>IF(TRIM(L114&amp;"")="","",IFERROR(INDEX(설정_코드표!$G$2:$G$101,MATCH(TRIM(L114&amp;""),설정_코드표!$F$2:$F$101,0)),"⚠"&amp;TRIM(L114&amp;"")))</f>
        <v/>
      </c>
      <c r="V114" s="10">
        <f>IF(AND(ISNUMBER(H114),ISNUMBER(I114)),I114-H114+1,"")</f>
        <v/>
      </c>
      <c r="W114" s="17">
        <f>IF(ISNUMBER(H114),MAX(0,MIN(IF(ISNUMBER(I114),I114,EOMONTH(출력_요약!$B$3,0)),EOMONTH(출력_요약!$B$3,0))-MAX(H114,출력_요약!$B$3)+1),0)</f>
        <v/>
      </c>
      <c r="X114" s="10">
        <f>IF(OR(NOT(ISNUMBER(H114)),Q114=""),"",IF(TODAY()&lt;H114,"파견예정",IF(AND(ISNUMBER(I114),TODAY()&gt;I114),"파견종료","파견중")))</f>
        <v/>
      </c>
      <c r="Y114" s="10">
        <f>IF(OR(Q114="",X114=""),"",Q114&amp;"|"&amp;X114)</f>
        <v/>
      </c>
      <c r="Z114" s="10">
        <f>IF(AND(Q114&lt;&gt;"",W114&gt;0),Q114&amp;"|월","")</f>
        <v/>
      </c>
      <c r="AA114" s="10">
        <f>IF(COUNTA(B114:I114,K114:N114)=0,"",IF(Q114="","등록번호 없음",IF(LEFT(R114,1)="⚠","모병원명 미등록",IF(S114="","파견병원 입력",IF(LEFT(S114,1)="⚠","파견병원명 미등록",IF(LEFT(U114,1)="⚠","파견과목 미등록",IF(OR(T114="",LEFT(T114,1)="⚠"),"파견근거 확인",IF(NOT(AND(ISNUMBER(H114),ISNUMBER(I114))),"날짜 형식/누락",IF(I114&lt;H114,"종료일&lt;시작일","")))))))))</f>
        <v/>
      </c>
      <c r="AB114" s="11">
        <f>IF(ISNUMBER(SEARCH("다기관",TRIM(N114&amp;" "&amp;O114))),IFERROR(DATE(VALUE(MID(TRIM(N114&amp;" "&amp;O114),1,4)),VALUE(MID(TRIM(N114&amp;" "&amp;O114),6,2)),VALUE(MID(TRIM(N114&amp;" "&amp;O114),9,2))),IF(ISNUMBER(H114),H114,"")),"")</f>
        <v/>
      </c>
      <c r="AC114" s="11">
        <f>IF(ISNUMBER(SEARCH("다기관",TRIM(N114&amp;" "&amp;O114))),IFERROR(DATE(VALUE(MID(TRIM(N114&amp;" "&amp;O114),12,4)),VALUE(MID(TRIM(N114&amp;" "&amp;O114),17,2)),VALUE(MID(TRIM(N114&amp;" "&amp;O114),20,2))),IF(ISNUMBER(I114),I114,"")),"")</f>
        <v/>
      </c>
      <c r="AD114" s="17">
        <f>IF(AND(ISNUMBER(AB114),ISNUMBER(AC114)),MAX(0,MIN(AC114,EOMONTH(출력_요약!$B$3,0))-MAX(AB114,출력_요약!$B$3)+1),0)</f>
        <v/>
      </c>
      <c r="AE114" s="10">
        <f>IF(AND(Q114&lt;&gt;"",ISNUMBER(AB114)),Q114&amp;"|다기관","")</f>
        <v/>
      </c>
    </row>
    <row r="115">
      <c r="A115" s="15">
        <f>IF(F115="","",ROW()-3)</f>
        <v/>
      </c>
      <c r="B115" s="5" t="n"/>
      <c r="C115" s="15" t="n"/>
      <c r="D115" s="5" t="n"/>
      <c r="E115" s="15" t="n"/>
      <c r="F115" s="5" t="n"/>
      <c r="G115" s="6" t="n"/>
      <c r="H115" s="16" t="n"/>
      <c r="I115" s="16" t="n"/>
      <c r="J115" s="15">
        <f>IF(AND(ISNUMBER(H115),ISNUMBER(I115)),I115-H115+1,"")</f>
        <v/>
      </c>
      <c r="K115" s="5" t="n"/>
      <c r="L115" s="5" t="n"/>
      <c r="M115" s="5" t="n"/>
      <c r="N115" s="5" t="n"/>
      <c r="O115" s="5" t="n"/>
      <c r="Q115" s="10">
        <f>IF(TRIM(G115&amp;"")="","",TRIM(G115&amp;""))</f>
        <v/>
      </c>
      <c r="R115" s="10">
        <f>IF(TRIM(B115&amp;"")="","",IFERROR(INDEX(설정_코드표!$K$2:$K$101,MATCH(TRIM(B115&amp;""),설정_코드표!$J$2:$J$101,0)),"⚠"&amp;TRIM(B115&amp;"")))</f>
        <v/>
      </c>
      <c r="S115" s="10">
        <f>IF(TRIM(K115&amp;"")="","",IFERROR(INDEX(설정_코드표!$K$2:$K$101,MATCH(TRIM(K115&amp;""),설정_코드표!$J$2:$J$101,0)),"⚠"&amp;TRIM(K115&amp;"")))</f>
        <v/>
      </c>
      <c r="T115" s="10">
        <f>IF(TRIM(M115&amp;"")="","",IF(ISNUMBER(MATCH(TRIM(M115&amp;""),설정_코드표!$C$2:$C$11,0)),TRIM(M115&amp;""),"⚠"&amp;TRIM(M115&amp;"")))</f>
        <v/>
      </c>
      <c r="U115" s="10">
        <f>IF(TRIM(L115&amp;"")="","",IFERROR(INDEX(설정_코드표!$G$2:$G$101,MATCH(TRIM(L115&amp;""),설정_코드표!$F$2:$F$101,0)),"⚠"&amp;TRIM(L115&amp;"")))</f>
        <v/>
      </c>
      <c r="V115" s="10">
        <f>IF(AND(ISNUMBER(H115),ISNUMBER(I115)),I115-H115+1,"")</f>
        <v/>
      </c>
      <c r="W115" s="17">
        <f>IF(ISNUMBER(H115),MAX(0,MIN(IF(ISNUMBER(I115),I115,EOMONTH(출력_요약!$B$3,0)),EOMONTH(출력_요약!$B$3,0))-MAX(H115,출력_요약!$B$3)+1),0)</f>
        <v/>
      </c>
      <c r="X115" s="10">
        <f>IF(OR(NOT(ISNUMBER(H115)),Q115=""),"",IF(TODAY()&lt;H115,"파견예정",IF(AND(ISNUMBER(I115),TODAY()&gt;I115),"파견종료","파견중")))</f>
        <v/>
      </c>
      <c r="Y115" s="10">
        <f>IF(OR(Q115="",X115=""),"",Q115&amp;"|"&amp;X115)</f>
        <v/>
      </c>
      <c r="Z115" s="10">
        <f>IF(AND(Q115&lt;&gt;"",W115&gt;0),Q115&amp;"|월","")</f>
        <v/>
      </c>
      <c r="AA115" s="10">
        <f>IF(COUNTA(B115:I115,K115:N115)=0,"",IF(Q115="","등록번호 없음",IF(LEFT(R115,1)="⚠","모병원명 미등록",IF(S115="","파견병원 입력",IF(LEFT(S115,1)="⚠","파견병원명 미등록",IF(LEFT(U115,1)="⚠","파견과목 미등록",IF(OR(T115="",LEFT(T115,1)="⚠"),"파견근거 확인",IF(NOT(AND(ISNUMBER(H115),ISNUMBER(I115))),"날짜 형식/누락",IF(I115&lt;H115,"종료일&lt;시작일","")))))))))</f>
        <v/>
      </c>
      <c r="AB115" s="11">
        <f>IF(ISNUMBER(SEARCH("다기관",TRIM(N115&amp;" "&amp;O115))),IFERROR(DATE(VALUE(MID(TRIM(N115&amp;" "&amp;O115),1,4)),VALUE(MID(TRIM(N115&amp;" "&amp;O115),6,2)),VALUE(MID(TRIM(N115&amp;" "&amp;O115),9,2))),IF(ISNUMBER(H115),H115,"")),"")</f>
        <v/>
      </c>
      <c r="AC115" s="11">
        <f>IF(ISNUMBER(SEARCH("다기관",TRIM(N115&amp;" "&amp;O115))),IFERROR(DATE(VALUE(MID(TRIM(N115&amp;" "&amp;O115),12,4)),VALUE(MID(TRIM(N115&amp;" "&amp;O115),17,2)),VALUE(MID(TRIM(N115&amp;" "&amp;O115),20,2))),IF(ISNUMBER(I115),I115,"")),"")</f>
        <v/>
      </c>
      <c r="AD115" s="17">
        <f>IF(AND(ISNUMBER(AB115),ISNUMBER(AC115)),MAX(0,MIN(AC115,EOMONTH(출력_요약!$B$3,0))-MAX(AB115,출력_요약!$B$3)+1),0)</f>
        <v/>
      </c>
      <c r="AE115" s="10">
        <f>IF(AND(Q115&lt;&gt;"",ISNUMBER(AB115)),Q115&amp;"|다기관","")</f>
        <v/>
      </c>
    </row>
    <row r="116">
      <c r="A116" s="15">
        <f>IF(F116="","",ROW()-3)</f>
        <v/>
      </c>
      <c r="B116" s="5" t="n"/>
      <c r="C116" s="15" t="n"/>
      <c r="D116" s="5" t="n"/>
      <c r="E116" s="15" t="n"/>
      <c r="F116" s="5" t="n"/>
      <c r="G116" s="6" t="n"/>
      <c r="H116" s="16" t="n"/>
      <c r="I116" s="16" t="n"/>
      <c r="J116" s="15">
        <f>IF(AND(ISNUMBER(H116),ISNUMBER(I116)),I116-H116+1,"")</f>
        <v/>
      </c>
      <c r="K116" s="5" t="n"/>
      <c r="L116" s="5" t="n"/>
      <c r="M116" s="5" t="n"/>
      <c r="N116" s="5" t="n"/>
      <c r="O116" s="5" t="n"/>
      <c r="Q116" s="10">
        <f>IF(TRIM(G116&amp;"")="","",TRIM(G116&amp;""))</f>
        <v/>
      </c>
      <c r="R116" s="10">
        <f>IF(TRIM(B116&amp;"")="","",IFERROR(INDEX(설정_코드표!$K$2:$K$101,MATCH(TRIM(B116&amp;""),설정_코드표!$J$2:$J$101,0)),"⚠"&amp;TRIM(B116&amp;"")))</f>
        <v/>
      </c>
      <c r="S116" s="10">
        <f>IF(TRIM(K116&amp;"")="","",IFERROR(INDEX(설정_코드표!$K$2:$K$101,MATCH(TRIM(K116&amp;""),설정_코드표!$J$2:$J$101,0)),"⚠"&amp;TRIM(K116&amp;"")))</f>
        <v/>
      </c>
      <c r="T116" s="10">
        <f>IF(TRIM(M116&amp;"")="","",IF(ISNUMBER(MATCH(TRIM(M116&amp;""),설정_코드표!$C$2:$C$11,0)),TRIM(M116&amp;""),"⚠"&amp;TRIM(M116&amp;"")))</f>
        <v/>
      </c>
      <c r="U116" s="10">
        <f>IF(TRIM(L116&amp;"")="","",IFERROR(INDEX(설정_코드표!$G$2:$G$101,MATCH(TRIM(L116&amp;""),설정_코드표!$F$2:$F$101,0)),"⚠"&amp;TRIM(L116&amp;"")))</f>
        <v/>
      </c>
      <c r="V116" s="10">
        <f>IF(AND(ISNUMBER(H116),ISNUMBER(I116)),I116-H116+1,"")</f>
        <v/>
      </c>
      <c r="W116" s="17">
        <f>IF(ISNUMBER(H116),MAX(0,MIN(IF(ISNUMBER(I116),I116,EOMONTH(출력_요약!$B$3,0)),EOMONTH(출력_요약!$B$3,0))-MAX(H116,출력_요약!$B$3)+1),0)</f>
        <v/>
      </c>
      <c r="X116" s="10">
        <f>IF(OR(NOT(ISNUMBER(H116)),Q116=""),"",IF(TODAY()&lt;H116,"파견예정",IF(AND(ISNUMBER(I116),TODAY()&gt;I116),"파견종료","파견중")))</f>
        <v/>
      </c>
      <c r="Y116" s="10">
        <f>IF(OR(Q116="",X116=""),"",Q116&amp;"|"&amp;X116)</f>
        <v/>
      </c>
      <c r="Z116" s="10">
        <f>IF(AND(Q116&lt;&gt;"",W116&gt;0),Q116&amp;"|월","")</f>
        <v/>
      </c>
      <c r="AA116" s="10">
        <f>IF(COUNTA(B116:I116,K116:N116)=0,"",IF(Q116="","등록번호 없음",IF(LEFT(R116,1)="⚠","모병원명 미등록",IF(S116="","파견병원 입력",IF(LEFT(S116,1)="⚠","파견병원명 미등록",IF(LEFT(U116,1)="⚠","파견과목 미등록",IF(OR(T116="",LEFT(T116,1)="⚠"),"파견근거 확인",IF(NOT(AND(ISNUMBER(H116),ISNUMBER(I116))),"날짜 형식/누락",IF(I116&lt;H116,"종료일&lt;시작일","")))))))))</f>
        <v/>
      </c>
      <c r="AB116" s="11">
        <f>IF(ISNUMBER(SEARCH("다기관",TRIM(N116&amp;" "&amp;O116))),IFERROR(DATE(VALUE(MID(TRIM(N116&amp;" "&amp;O116),1,4)),VALUE(MID(TRIM(N116&amp;" "&amp;O116),6,2)),VALUE(MID(TRIM(N116&amp;" "&amp;O116),9,2))),IF(ISNUMBER(H116),H116,"")),"")</f>
        <v/>
      </c>
      <c r="AC116" s="11">
        <f>IF(ISNUMBER(SEARCH("다기관",TRIM(N116&amp;" "&amp;O116))),IFERROR(DATE(VALUE(MID(TRIM(N116&amp;" "&amp;O116),12,4)),VALUE(MID(TRIM(N116&amp;" "&amp;O116),17,2)),VALUE(MID(TRIM(N116&amp;" "&amp;O116),20,2))),IF(ISNUMBER(I116),I116,"")),"")</f>
        <v/>
      </c>
      <c r="AD116" s="17">
        <f>IF(AND(ISNUMBER(AB116),ISNUMBER(AC116)),MAX(0,MIN(AC116,EOMONTH(출력_요약!$B$3,0))-MAX(AB116,출력_요약!$B$3)+1),0)</f>
        <v/>
      </c>
      <c r="AE116" s="10">
        <f>IF(AND(Q116&lt;&gt;"",ISNUMBER(AB116)),Q116&amp;"|다기관","")</f>
        <v/>
      </c>
    </row>
    <row r="117">
      <c r="A117" s="15">
        <f>IF(F117="","",ROW()-3)</f>
        <v/>
      </c>
      <c r="B117" s="5" t="n"/>
      <c r="C117" s="15" t="n"/>
      <c r="D117" s="5" t="n"/>
      <c r="E117" s="15" t="n"/>
      <c r="F117" s="5" t="n"/>
      <c r="G117" s="6" t="n"/>
      <c r="H117" s="16" t="n"/>
      <c r="I117" s="16" t="n"/>
      <c r="J117" s="15">
        <f>IF(AND(ISNUMBER(H117),ISNUMBER(I117)),I117-H117+1,"")</f>
        <v/>
      </c>
      <c r="K117" s="5" t="n"/>
      <c r="L117" s="5" t="n"/>
      <c r="M117" s="5" t="n"/>
      <c r="N117" s="5" t="n"/>
      <c r="O117" s="5" t="n"/>
      <c r="Q117" s="10">
        <f>IF(TRIM(G117&amp;"")="","",TRIM(G117&amp;""))</f>
        <v/>
      </c>
      <c r="R117" s="10">
        <f>IF(TRIM(B117&amp;"")="","",IFERROR(INDEX(설정_코드표!$K$2:$K$101,MATCH(TRIM(B117&amp;""),설정_코드표!$J$2:$J$101,0)),"⚠"&amp;TRIM(B117&amp;"")))</f>
        <v/>
      </c>
      <c r="S117" s="10">
        <f>IF(TRIM(K117&amp;"")="","",IFERROR(INDEX(설정_코드표!$K$2:$K$101,MATCH(TRIM(K117&amp;""),설정_코드표!$J$2:$J$101,0)),"⚠"&amp;TRIM(K117&amp;"")))</f>
        <v/>
      </c>
      <c r="T117" s="10">
        <f>IF(TRIM(M117&amp;"")="","",IF(ISNUMBER(MATCH(TRIM(M117&amp;""),설정_코드표!$C$2:$C$11,0)),TRIM(M117&amp;""),"⚠"&amp;TRIM(M117&amp;"")))</f>
        <v/>
      </c>
      <c r="U117" s="10">
        <f>IF(TRIM(L117&amp;"")="","",IFERROR(INDEX(설정_코드표!$G$2:$G$101,MATCH(TRIM(L117&amp;""),설정_코드표!$F$2:$F$101,0)),"⚠"&amp;TRIM(L117&amp;"")))</f>
        <v/>
      </c>
      <c r="V117" s="10">
        <f>IF(AND(ISNUMBER(H117),ISNUMBER(I117)),I117-H117+1,"")</f>
        <v/>
      </c>
      <c r="W117" s="17">
        <f>IF(ISNUMBER(H117),MAX(0,MIN(IF(ISNUMBER(I117),I117,EOMONTH(출력_요약!$B$3,0)),EOMONTH(출력_요약!$B$3,0))-MAX(H117,출력_요약!$B$3)+1),0)</f>
        <v/>
      </c>
      <c r="X117" s="10">
        <f>IF(OR(NOT(ISNUMBER(H117)),Q117=""),"",IF(TODAY()&lt;H117,"파견예정",IF(AND(ISNUMBER(I117),TODAY()&gt;I117),"파견종료","파견중")))</f>
        <v/>
      </c>
      <c r="Y117" s="10">
        <f>IF(OR(Q117="",X117=""),"",Q117&amp;"|"&amp;X117)</f>
        <v/>
      </c>
      <c r="Z117" s="10">
        <f>IF(AND(Q117&lt;&gt;"",W117&gt;0),Q117&amp;"|월","")</f>
        <v/>
      </c>
      <c r="AA117" s="10">
        <f>IF(COUNTA(B117:I117,K117:N117)=0,"",IF(Q117="","등록번호 없음",IF(LEFT(R117,1)="⚠","모병원명 미등록",IF(S117="","파견병원 입력",IF(LEFT(S117,1)="⚠","파견병원명 미등록",IF(LEFT(U117,1)="⚠","파견과목 미등록",IF(OR(T117="",LEFT(T117,1)="⚠"),"파견근거 확인",IF(NOT(AND(ISNUMBER(H117),ISNUMBER(I117))),"날짜 형식/누락",IF(I117&lt;H117,"종료일&lt;시작일","")))))))))</f>
        <v/>
      </c>
      <c r="AB117" s="11">
        <f>IF(ISNUMBER(SEARCH("다기관",TRIM(N117&amp;" "&amp;O117))),IFERROR(DATE(VALUE(MID(TRIM(N117&amp;" "&amp;O117),1,4)),VALUE(MID(TRIM(N117&amp;" "&amp;O117),6,2)),VALUE(MID(TRIM(N117&amp;" "&amp;O117),9,2))),IF(ISNUMBER(H117),H117,"")),"")</f>
        <v/>
      </c>
      <c r="AC117" s="11">
        <f>IF(ISNUMBER(SEARCH("다기관",TRIM(N117&amp;" "&amp;O117))),IFERROR(DATE(VALUE(MID(TRIM(N117&amp;" "&amp;O117),12,4)),VALUE(MID(TRIM(N117&amp;" "&amp;O117),17,2)),VALUE(MID(TRIM(N117&amp;" "&amp;O117),20,2))),IF(ISNUMBER(I117),I117,"")),"")</f>
        <v/>
      </c>
      <c r="AD117" s="17">
        <f>IF(AND(ISNUMBER(AB117),ISNUMBER(AC117)),MAX(0,MIN(AC117,EOMONTH(출력_요약!$B$3,0))-MAX(AB117,출력_요약!$B$3)+1),0)</f>
        <v/>
      </c>
      <c r="AE117" s="10">
        <f>IF(AND(Q117&lt;&gt;"",ISNUMBER(AB117)),Q117&amp;"|다기관","")</f>
        <v/>
      </c>
    </row>
    <row r="118">
      <c r="A118" s="15">
        <f>IF(F118="","",ROW()-3)</f>
        <v/>
      </c>
      <c r="B118" s="5" t="n"/>
      <c r="C118" s="15" t="n"/>
      <c r="D118" s="5" t="n"/>
      <c r="E118" s="15" t="n"/>
      <c r="F118" s="5" t="n"/>
      <c r="G118" s="6" t="n"/>
      <c r="H118" s="16" t="n"/>
      <c r="I118" s="16" t="n"/>
      <c r="J118" s="15">
        <f>IF(AND(ISNUMBER(H118),ISNUMBER(I118)),I118-H118+1,"")</f>
        <v/>
      </c>
      <c r="K118" s="5" t="n"/>
      <c r="L118" s="5" t="n"/>
      <c r="M118" s="5" t="n"/>
      <c r="N118" s="5" t="n"/>
      <c r="O118" s="5" t="n"/>
      <c r="Q118" s="10">
        <f>IF(TRIM(G118&amp;"")="","",TRIM(G118&amp;""))</f>
        <v/>
      </c>
      <c r="R118" s="10">
        <f>IF(TRIM(B118&amp;"")="","",IFERROR(INDEX(설정_코드표!$K$2:$K$101,MATCH(TRIM(B118&amp;""),설정_코드표!$J$2:$J$101,0)),"⚠"&amp;TRIM(B118&amp;"")))</f>
        <v/>
      </c>
      <c r="S118" s="10">
        <f>IF(TRIM(K118&amp;"")="","",IFERROR(INDEX(설정_코드표!$K$2:$K$101,MATCH(TRIM(K118&amp;""),설정_코드표!$J$2:$J$101,0)),"⚠"&amp;TRIM(K118&amp;"")))</f>
        <v/>
      </c>
      <c r="T118" s="10">
        <f>IF(TRIM(M118&amp;"")="","",IF(ISNUMBER(MATCH(TRIM(M118&amp;""),설정_코드표!$C$2:$C$11,0)),TRIM(M118&amp;""),"⚠"&amp;TRIM(M118&amp;"")))</f>
        <v/>
      </c>
      <c r="U118" s="10">
        <f>IF(TRIM(L118&amp;"")="","",IFERROR(INDEX(설정_코드표!$G$2:$G$101,MATCH(TRIM(L118&amp;""),설정_코드표!$F$2:$F$101,0)),"⚠"&amp;TRIM(L118&amp;"")))</f>
        <v/>
      </c>
      <c r="V118" s="10">
        <f>IF(AND(ISNUMBER(H118),ISNUMBER(I118)),I118-H118+1,"")</f>
        <v/>
      </c>
      <c r="W118" s="17">
        <f>IF(ISNUMBER(H118),MAX(0,MIN(IF(ISNUMBER(I118),I118,EOMONTH(출력_요약!$B$3,0)),EOMONTH(출력_요약!$B$3,0))-MAX(H118,출력_요약!$B$3)+1),0)</f>
        <v/>
      </c>
      <c r="X118" s="10">
        <f>IF(OR(NOT(ISNUMBER(H118)),Q118=""),"",IF(TODAY()&lt;H118,"파견예정",IF(AND(ISNUMBER(I118),TODAY()&gt;I118),"파견종료","파견중")))</f>
        <v/>
      </c>
      <c r="Y118" s="10">
        <f>IF(OR(Q118="",X118=""),"",Q118&amp;"|"&amp;X118)</f>
        <v/>
      </c>
      <c r="Z118" s="10">
        <f>IF(AND(Q118&lt;&gt;"",W118&gt;0),Q118&amp;"|월","")</f>
        <v/>
      </c>
      <c r="AA118" s="10">
        <f>IF(COUNTA(B118:I118,K118:N118)=0,"",IF(Q118="","등록번호 없음",IF(LEFT(R118,1)="⚠","모병원명 미등록",IF(S118="","파견병원 입력",IF(LEFT(S118,1)="⚠","파견병원명 미등록",IF(LEFT(U118,1)="⚠","파견과목 미등록",IF(OR(T118="",LEFT(T118,1)="⚠"),"파견근거 확인",IF(NOT(AND(ISNUMBER(H118),ISNUMBER(I118))),"날짜 형식/누락",IF(I118&lt;H118,"종료일&lt;시작일","")))))))))</f>
        <v/>
      </c>
      <c r="AB118" s="11">
        <f>IF(ISNUMBER(SEARCH("다기관",TRIM(N118&amp;" "&amp;O118))),IFERROR(DATE(VALUE(MID(TRIM(N118&amp;" "&amp;O118),1,4)),VALUE(MID(TRIM(N118&amp;" "&amp;O118),6,2)),VALUE(MID(TRIM(N118&amp;" "&amp;O118),9,2))),IF(ISNUMBER(H118),H118,"")),"")</f>
        <v/>
      </c>
      <c r="AC118" s="11">
        <f>IF(ISNUMBER(SEARCH("다기관",TRIM(N118&amp;" "&amp;O118))),IFERROR(DATE(VALUE(MID(TRIM(N118&amp;" "&amp;O118),12,4)),VALUE(MID(TRIM(N118&amp;" "&amp;O118),17,2)),VALUE(MID(TRIM(N118&amp;" "&amp;O118),20,2))),IF(ISNUMBER(I118),I118,"")),"")</f>
        <v/>
      </c>
      <c r="AD118" s="17">
        <f>IF(AND(ISNUMBER(AB118),ISNUMBER(AC118)),MAX(0,MIN(AC118,EOMONTH(출력_요약!$B$3,0))-MAX(AB118,출력_요약!$B$3)+1),0)</f>
        <v/>
      </c>
      <c r="AE118" s="10">
        <f>IF(AND(Q118&lt;&gt;"",ISNUMBER(AB118)),Q118&amp;"|다기관","")</f>
        <v/>
      </c>
    </row>
    <row r="119">
      <c r="A119" s="15">
        <f>IF(F119="","",ROW()-3)</f>
        <v/>
      </c>
      <c r="B119" s="5" t="n"/>
      <c r="C119" s="15" t="n"/>
      <c r="D119" s="5" t="n"/>
      <c r="E119" s="15" t="n"/>
      <c r="F119" s="5" t="n"/>
      <c r="G119" s="6" t="n"/>
      <c r="H119" s="16" t="n"/>
      <c r="I119" s="16" t="n"/>
      <c r="J119" s="15">
        <f>IF(AND(ISNUMBER(H119),ISNUMBER(I119)),I119-H119+1,"")</f>
        <v/>
      </c>
      <c r="K119" s="5" t="n"/>
      <c r="L119" s="5" t="n"/>
      <c r="M119" s="5" t="n"/>
      <c r="N119" s="5" t="n"/>
      <c r="O119" s="5" t="n"/>
      <c r="Q119" s="10">
        <f>IF(TRIM(G119&amp;"")="","",TRIM(G119&amp;""))</f>
        <v/>
      </c>
      <c r="R119" s="10">
        <f>IF(TRIM(B119&amp;"")="","",IFERROR(INDEX(설정_코드표!$K$2:$K$101,MATCH(TRIM(B119&amp;""),설정_코드표!$J$2:$J$101,0)),"⚠"&amp;TRIM(B119&amp;"")))</f>
        <v/>
      </c>
      <c r="S119" s="10">
        <f>IF(TRIM(K119&amp;"")="","",IFERROR(INDEX(설정_코드표!$K$2:$K$101,MATCH(TRIM(K119&amp;""),설정_코드표!$J$2:$J$101,0)),"⚠"&amp;TRIM(K119&amp;"")))</f>
        <v/>
      </c>
      <c r="T119" s="10">
        <f>IF(TRIM(M119&amp;"")="","",IF(ISNUMBER(MATCH(TRIM(M119&amp;""),설정_코드표!$C$2:$C$11,0)),TRIM(M119&amp;""),"⚠"&amp;TRIM(M119&amp;"")))</f>
        <v/>
      </c>
      <c r="U119" s="10">
        <f>IF(TRIM(L119&amp;"")="","",IFERROR(INDEX(설정_코드표!$G$2:$G$101,MATCH(TRIM(L119&amp;""),설정_코드표!$F$2:$F$101,0)),"⚠"&amp;TRIM(L119&amp;"")))</f>
        <v/>
      </c>
      <c r="V119" s="10">
        <f>IF(AND(ISNUMBER(H119),ISNUMBER(I119)),I119-H119+1,"")</f>
        <v/>
      </c>
      <c r="W119" s="17">
        <f>IF(ISNUMBER(H119),MAX(0,MIN(IF(ISNUMBER(I119),I119,EOMONTH(출력_요약!$B$3,0)),EOMONTH(출력_요약!$B$3,0))-MAX(H119,출력_요약!$B$3)+1),0)</f>
        <v/>
      </c>
      <c r="X119" s="10">
        <f>IF(OR(NOT(ISNUMBER(H119)),Q119=""),"",IF(TODAY()&lt;H119,"파견예정",IF(AND(ISNUMBER(I119),TODAY()&gt;I119),"파견종료","파견중")))</f>
        <v/>
      </c>
      <c r="Y119" s="10">
        <f>IF(OR(Q119="",X119=""),"",Q119&amp;"|"&amp;X119)</f>
        <v/>
      </c>
      <c r="Z119" s="10">
        <f>IF(AND(Q119&lt;&gt;"",W119&gt;0),Q119&amp;"|월","")</f>
        <v/>
      </c>
      <c r="AA119" s="10">
        <f>IF(COUNTA(B119:I119,K119:N119)=0,"",IF(Q119="","등록번호 없음",IF(LEFT(R119,1)="⚠","모병원명 미등록",IF(S119="","파견병원 입력",IF(LEFT(S119,1)="⚠","파견병원명 미등록",IF(LEFT(U119,1)="⚠","파견과목 미등록",IF(OR(T119="",LEFT(T119,1)="⚠"),"파견근거 확인",IF(NOT(AND(ISNUMBER(H119),ISNUMBER(I119))),"날짜 형식/누락",IF(I119&lt;H119,"종료일&lt;시작일","")))))))))</f>
        <v/>
      </c>
      <c r="AB119" s="11">
        <f>IF(ISNUMBER(SEARCH("다기관",TRIM(N119&amp;" "&amp;O119))),IFERROR(DATE(VALUE(MID(TRIM(N119&amp;" "&amp;O119),1,4)),VALUE(MID(TRIM(N119&amp;" "&amp;O119),6,2)),VALUE(MID(TRIM(N119&amp;" "&amp;O119),9,2))),IF(ISNUMBER(H119),H119,"")),"")</f>
        <v/>
      </c>
      <c r="AC119" s="11">
        <f>IF(ISNUMBER(SEARCH("다기관",TRIM(N119&amp;" "&amp;O119))),IFERROR(DATE(VALUE(MID(TRIM(N119&amp;" "&amp;O119),12,4)),VALUE(MID(TRIM(N119&amp;" "&amp;O119),17,2)),VALUE(MID(TRIM(N119&amp;" "&amp;O119),20,2))),IF(ISNUMBER(I119),I119,"")),"")</f>
        <v/>
      </c>
      <c r="AD119" s="17">
        <f>IF(AND(ISNUMBER(AB119),ISNUMBER(AC119)),MAX(0,MIN(AC119,EOMONTH(출력_요약!$B$3,0))-MAX(AB119,출력_요약!$B$3)+1),0)</f>
        <v/>
      </c>
      <c r="AE119" s="10">
        <f>IF(AND(Q119&lt;&gt;"",ISNUMBER(AB119)),Q119&amp;"|다기관","")</f>
        <v/>
      </c>
    </row>
    <row r="120">
      <c r="A120" s="15">
        <f>IF(F120="","",ROW()-3)</f>
        <v/>
      </c>
      <c r="B120" s="5" t="n"/>
      <c r="C120" s="15" t="n"/>
      <c r="D120" s="5" t="n"/>
      <c r="E120" s="15" t="n"/>
      <c r="F120" s="5" t="n"/>
      <c r="G120" s="6" t="n"/>
      <c r="H120" s="16" t="n"/>
      <c r="I120" s="16" t="n"/>
      <c r="J120" s="15">
        <f>IF(AND(ISNUMBER(H120),ISNUMBER(I120)),I120-H120+1,"")</f>
        <v/>
      </c>
      <c r="K120" s="5" t="n"/>
      <c r="L120" s="5" t="n"/>
      <c r="M120" s="5" t="n"/>
      <c r="N120" s="5" t="n"/>
      <c r="O120" s="5" t="n"/>
      <c r="Q120" s="10">
        <f>IF(TRIM(G120&amp;"")="","",TRIM(G120&amp;""))</f>
        <v/>
      </c>
      <c r="R120" s="10">
        <f>IF(TRIM(B120&amp;"")="","",IFERROR(INDEX(설정_코드표!$K$2:$K$101,MATCH(TRIM(B120&amp;""),설정_코드표!$J$2:$J$101,0)),"⚠"&amp;TRIM(B120&amp;"")))</f>
        <v/>
      </c>
      <c r="S120" s="10">
        <f>IF(TRIM(K120&amp;"")="","",IFERROR(INDEX(설정_코드표!$K$2:$K$101,MATCH(TRIM(K120&amp;""),설정_코드표!$J$2:$J$101,0)),"⚠"&amp;TRIM(K120&amp;"")))</f>
        <v/>
      </c>
      <c r="T120" s="10">
        <f>IF(TRIM(M120&amp;"")="","",IF(ISNUMBER(MATCH(TRIM(M120&amp;""),설정_코드표!$C$2:$C$11,0)),TRIM(M120&amp;""),"⚠"&amp;TRIM(M120&amp;"")))</f>
        <v/>
      </c>
      <c r="U120" s="10">
        <f>IF(TRIM(L120&amp;"")="","",IFERROR(INDEX(설정_코드표!$G$2:$G$101,MATCH(TRIM(L120&amp;""),설정_코드표!$F$2:$F$101,0)),"⚠"&amp;TRIM(L120&amp;"")))</f>
        <v/>
      </c>
      <c r="V120" s="10">
        <f>IF(AND(ISNUMBER(H120),ISNUMBER(I120)),I120-H120+1,"")</f>
        <v/>
      </c>
      <c r="W120" s="17">
        <f>IF(ISNUMBER(H120),MAX(0,MIN(IF(ISNUMBER(I120),I120,EOMONTH(출력_요약!$B$3,0)),EOMONTH(출력_요약!$B$3,0))-MAX(H120,출력_요약!$B$3)+1),0)</f>
        <v/>
      </c>
      <c r="X120" s="10">
        <f>IF(OR(NOT(ISNUMBER(H120)),Q120=""),"",IF(TODAY()&lt;H120,"파견예정",IF(AND(ISNUMBER(I120),TODAY()&gt;I120),"파견종료","파견중")))</f>
        <v/>
      </c>
      <c r="Y120" s="10">
        <f>IF(OR(Q120="",X120=""),"",Q120&amp;"|"&amp;X120)</f>
        <v/>
      </c>
      <c r="Z120" s="10">
        <f>IF(AND(Q120&lt;&gt;"",W120&gt;0),Q120&amp;"|월","")</f>
        <v/>
      </c>
      <c r="AA120" s="10">
        <f>IF(COUNTA(B120:I120,K120:N120)=0,"",IF(Q120="","등록번호 없음",IF(LEFT(R120,1)="⚠","모병원명 미등록",IF(S120="","파견병원 입력",IF(LEFT(S120,1)="⚠","파견병원명 미등록",IF(LEFT(U120,1)="⚠","파견과목 미등록",IF(OR(T120="",LEFT(T120,1)="⚠"),"파견근거 확인",IF(NOT(AND(ISNUMBER(H120),ISNUMBER(I120))),"날짜 형식/누락",IF(I120&lt;H120,"종료일&lt;시작일","")))))))))</f>
        <v/>
      </c>
      <c r="AB120" s="11">
        <f>IF(ISNUMBER(SEARCH("다기관",TRIM(N120&amp;" "&amp;O120))),IFERROR(DATE(VALUE(MID(TRIM(N120&amp;" "&amp;O120),1,4)),VALUE(MID(TRIM(N120&amp;" "&amp;O120),6,2)),VALUE(MID(TRIM(N120&amp;" "&amp;O120),9,2))),IF(ISNUMBER(H120),H120,"")),"")</f>
        <v/>
      </c>
      <c r="AC120" s="11">
        <f>IF(ISNUMBER(SEARCH("다기관",TRIM(N120&amp;" "&amp;O120))),IFERROR(DATE(VALUE(MID(TRIM(N120&amp;" "&amp;O120),12,4)),VALUE(MID(TRIM(N120&amp;" "&amp;O120),17,2)),VALUE(MID(TRIM(N120&amp;" "&amp;O120),20,2))),IF(ISNUMBER(I120),I120,"")),"")</f>
        <v/>
      </c>
      <c r="AD120" s="17">
        <f>IF(AND(ISNUMBER(AB120),ISNUMBER(AC120)),MAX(0,MIN(AC120,EOMONTH(출력_요약!$B$3,0))-MAX(AB120,출력_요약!$B$3)+1),0)</f>
        <v/>
      </c>
      <c r="AE120" s="10">
        <f>IF(AND(Q120&lt;&gt;"",ISNUMBER(AB120)),Q120&amp;"|다기관","")</f>
        <v/>
      </c>
    </row>
    <row r="121">
      <c r="A121" s="15">
        <f>IF(F121="","",ROW()-3)</f>
        <v/>
      </c>
      <c r="B121" s="5" t="n"/>
      <c r="C121" s="15" t="n"/>
      <c r="D121" s="5" t="n"/>
      <c r="E121" s="15" t="n"/>
      <c r="F121" s="5" t="n"/>
      <c r="G121" s="6" t="n"/>
      <c r="H121" s="16" t="n"/>
      <c r="I121" s="16" t="n"/>
      <c r="J121" s="15">
        <f>IF(AND(ISNUMBER(H121),ISNUMBER(I121)),I121-H121+1,"")</f>
        <v/>
      </c>
      <c r="K121" s="5" t="n"/>
      <c r="L121" s="5" t="n"/>
      <c r="M121" s="5" t="n"/>
      <c r="N121" s="5" t="n"/>
      <c r="O121" s="5" t="n"/>
      <c r="Q121" s="10">
        <f>IF(TRIM(G121&amp;"")="","",TRIM(G121&amp;""))</f>
        <v/>
      </c>
      <c r="R121" s="10">
        <f>IF(TRIM(B121&amp;"")="","",IFERROR(INDEX(설정_코드표!$K$2:$K$101,MATCH(TRIM(B121&amp;""),설정_코드표!$J$2:$J$101,0)),"⚠"&amp;TRIM(B121&amp;"")))</f>
        <v/>
      </c>
      <c r="S121" s="10">
        <f>IF(TRIM(K121&amp;"")="","",IFERROR(INDEX(설정_코드표!$K$2:$K$101,MATCH(TRIM(K121&amp;""),설정_코드표!$J$2:$J$101,0)),"⚠"&amp;TRIM(K121&amp;"")))</f>
        <v/>
      </c>
      <c r="T121" s="10">
        <f>IF(TRIM(M121&amp;"")="","",IF(ISNUMBER(MATCH(TRIM(M121&amp;""),설정_코드표!$C$2:$C$11,0)),TRIM(M121&amp;""),"⚠"&amp;TRIM(M121&amp;"")))</f>
        <v/>
      </c>
      <c r="U121" s="10">
        <f>IF(TRIM(L121&amp;"")="","",IFERROR(INDEX(설정_코드표!$G$2:$G$101,MATCH(TRIM(L121&amp;""),설정_코드표!$F$2:$F$101,0)),"⚠"&amp;TRIM(L121&amp;"")))</f>
        <v/>
      </c>
      <c r="V121" s="10">
        <f>IF(AND(ISNUMBER(H121),ISNUMBER(I121)),I121-H121+1,"")</f>
        <v/>
      </c>
      <c r="W121" s="17">
        <f>IF(ISNUMBER(H121),MAX(0,MIN(IF(ISNUMBER(I121),I121,EOMONTH(출력_요약!$B$3,0)),EOMONTH(출력_요약!$B$3,0))-MAX(H121,출력_요약!$B$3)+1),0)</f>
        <v/>
      </c>
      <c r="X121" s="10">
        <f>IF(OR(NOT(ISNUMBER(H121)),Q121=""),"",IF(TODAY()&lt;H121,"파견예정",IF(AND(ISNUMBER(I121),TODAY()&gt;I121),"파견종료","파견중")))</f>
        <v/>
      </c>
      <c r="Y121" s="10">
        <f>IF(OR(Q121="",X121=""),"",Q121&amp;"|"&amp;X121)</f>
        <v/>
      </c>
      <c r="Z121" s="10">
        <f>IF(AND(Q121&lt;&gt;"",W121&gt;0),Q121&amp;"|월","")</f>
        <v/>
      </c>
      <c r="AA121" s="10">
        <f>IF(COUNTA(B121:I121,K121:N121)=0,"",IF(Q121="","등록번호 없음",IF(LEFT(R121,1)="⚠","모병원명 미등록",IF(S121="","파견병원 입력",IF(LEFT(S121,1)="⚠","파견병원명 미등록",IF(LEFT(U121,1)="⚠","파견과목 미등록",IF(OR(T121="",LEFT(T121,1)="⚠"),"파견근거 확인",IF(NOT(AND(ISNUMBER(H121),ISNUMBER(I121))),"날짜 형식/누락",IF(I121&lt;H121,"종료일&lt;시작일","")))))))))</f>
        <v/>
      </c>
      <c r="AB121" s="11">
        <f>IF(ISNUMBER(SEARCH("다기관",TRIM(N121&amp;" "&amp;O121))),IFERROR(DATE(VALUE(MID(TRIM(N121&amp;" "&amp;O121),1,4)),VALUE(MID(TRIM(N121&amp;" "&amp;O121),6,2)),VALUE(MID(TRIM(N121&amp;" "&amp;O121),9,2))),IF(ISNUMBER(H121),H121,"")),"")</f>
        <v/>
      </c>
      <c r="AC121" s="11">
        <f>IF(ISNUMBER(SEARCH("다기관",TRIM(N121&amp;" "&amp;O121))),IFERROR(DATE(VALUE(MID(TRIM(N121&amp;" "&amp;O121),12,4)),VALUE(MID(TRIM(N121&amp;" "&amp;O121),17,2)),VALUE(MID(TRIM(N121&amp;" "&amp;O121),20,2))),IF(ISNUMBER(I121),I121,"")),"")</f>
        <v/>
      </c>
      <c r="AD121" s="17">
        <f>IF(AND(ISNUMBER(AB121),ISNUMBER(AC121)),MAX(0,MIN(AC121,EOMONTH(출력_요약!$B$3,0))-MAX(AB121,출력_요약!$B$3)+1),0)</f>
        <v/>
      </c>
      <c r="AE121" s="10">
        <f>IF(AND(Q121&lt;&gt;"",ISNUMBER(AB121)),Q121&amp;"|다기관","")</f>
        <v/>
      </c>
    </row>
    <row r="122">
      <c r="A122" s="15">
        <f>IF(F122="","",ROW()-3)</f>
        <v/>
      </c>
      <c r="B122" s="5" t="n"/>
      <c r="C122" s="15" t="n"/>
      <c r="D122" s="5" t="n"/>
      <c r="E122" s="15" t="n"/>
      <c r="F122" s="5" t="n"/>
      <c r="G122" s="6" t="n"/>
      <c r="H122" s="16" t="n"/>
      <c r="I122" s="16" t="n"/>
      <c r="J122" s="15">
        <f>IF(AND(ISNUMBER(H122),ISNUMBER(I122)),I122-H122+1,"")</f>
        <v/>
      </c>
      <c r="K122" s="5" t="n"/>
      <c r="L122" s="5" t="n"/>
      <c r="M122" s="5" t="n"/>
      <c r="N122" s="5" t="n"/>
      <c r="O122" s="5" t="n"/>
      <c r="Q122" s="10">
        <f>IF(TRIM(G122&amp;"")="","",TRIM(G122&amp;""))</f>
        <v/>
      </c>
      <c r="R122" s="10">
        <f>IF(TRIM(B122&amp;"")="","",IFERROR(INDEX(설정_코드표!$K$2:$K$101,MATCH(TRIM(B122&amp;""),설정_코드표!$J$2:$J$101,0)),"⚠"&amp;TRIM(B122&amp;"")))</f>
        <v/>
      </c>
      <c r="S122" s="10">
        <f>IF(TRIM(K122&amp;"")="","",IFERROR(INDEX(설정_코드표!$K$2:$K$101,MATCH(TRIM(K122&amp;""),설정_코드표!$J$2:$J$101,0)),"⚠"&amp;TRIM(K122&amp;"")))</f>
        <v/>
      </c>
      <c r="T122" s="10">
        <f>IF(TRIM(M122&amp;"")="","",IF(ISNUMBER(MATCH(TRIM(M122&amp;""),설정_코드표!$C$2:$C$11,0)),TRIM(M122&amp;""),"⚠"&amp;TRIM(M122&amp;"")))</f>
        <v/>
      </c>
      <c r="U122" s="10">
        <f>IF(TRIM(L122&amp;"")="","",IFERROR(INDEX(설정_코드표!$G$2:$G$101,MATCH(TRIM(L122&amp;""),설정_코드표!$F$2:$F$101,0)),"⚠"&amp;TRIM(L122&amp;"")))</f>
        <v/>
      </c>
      <c r="V122" s="10">
        <f>IF(AND(ISNUMBER(H122),ISNUMBER(I122)),I122-H122+1,"")</f>
        <v/>
      </c>
      <c r="W122" s="17">
        <f>IF(ISNUMBER(H122),MAX(0,MIN(IF(ISNUMBER(I122),I122,EOMONTH(출력_요약!$B$3,0)),EOMONTH(출력_요약!$B$3,0))-MAX(H122,출력_요약!$B$3)+1),0)</f>
        <v/>
      </c>
      <c r="X122" s="10">
        <f>IF(OR(NOT(ISNUMBER(H122)),Q122=""),"",IF(TODAY()&lt;H122,"파견예정",IF(AND(ISNUMBER(I122),TODAY()&gt;I122),"파견종료","파견중")))</f>
        <v/>
      </c>
      <c r="Y122" s="10">
        <f>IF(OR(Q122="",X122=""),"",Q122&amp;"|"&amp;X122)</f>
        <v/>
      </c>
      <c r="Z122" s="10">
        <f>IF(AND(Q122&lt;&gt;"",W122&gt;0),Q122&amp;"|월","")</f>
        <v/>
      </c>
      <c r="AA122" s="10">
        <f>IF(COUNTA(B122:I122,K122:N122)=0,"",IF(Q122="","등록번호 없음",IF(LEFT(R122,1)="⚠","모병원명 미등록",IF(S122="","파견병원 입력",IF(LEFT(S122,1)="⚠","파견병원명 미등록",IF(LEFT(U122,1)="⚠","파견과목 미등록",IF(OR(T122="",LEFT(T122,1)="⚠"),"파견근거 확인",IF(NOT(AND(ISNUMBER(H122),ISNUMBER(I122))),"날짜 형식/누락",IF(I122&lt;H122,"종료일&lt;시작일","")))))))))</f>
        <v/>
      </c>
      <c r="AB122" s="11">
        <f>IF(ISNUMBER(SEARCH("다기관",TRIM(N122&amp;" "&amp;O122))),IFERROR(DATE(VALUE(MID(TRIM(N122&amp;" "&amp;O122),1,4)),VALUE(MID(TRIM(N122&amp;" "&amp;O122),6,2)),VALUE(MID(TRIM(N122&amp;" "&amp;O122),9,2))),IF(ISNUMBER(H122),H122,"")),"")</f>
        <v/>
      </c>
      <c r="AC122" s="11">
        <f>IF(ISNUMBER(SEARCH("다기관",TRIM(N122&amp;" "&amp;O122))),IFERROR(DATE(VALUE(MID(TRIM(N122&amp;" "&amp;O122),12,4)),VALUE(MID(TRIM(N122&amp;" "&amp;O122),17,2)),VALUE(MID(TRIM(N122&amp;" "&amp;O122),20,2))),IF(ISNUMBER(I122),I122,"")),"")</f>
        <v/>
      </c>
      <c r="AD122" s="17">
        <f>IF(AND(ISNUMBER(AB122),ISNUMBER(AC122)),MAX(0,MIN(AC122,EOMONTH(출력_요약!$B$3,0))-MAX(AB122,출력_요약!$B$3)+1),0)</f>
        <v/>
      </c>
      <c r="AE122" s="10">
        <f>IF(AND(Q122&lt;&gt;"",ISNUMBER(AB122)),Q122&amp;"|다기관","")</f>
        <v/>
      </c>
    </row>
    <row r="123">
      <c r="A123" s="15">
        <f>IF(F123="","",ROW()-3)</f>
        <v/>
      </c>
      <c r="B123" s="5" t="n"/>
      <c r="C123" s="15" t="n"/>
      <c r="D123" s="5" t="n"/>
      <c r="E123" s="15" t="n"/>
      <c r="F123" s="5" t="n"/>
      <c r="G123" s="6" t="n"/>
      <c r="H123" s="16" t="n"/>
      <c r="I123" s="16" t="n"/>
      <c r="J123" s="15">
        <f>IF(AND(ISNUMBER(H123),ISNUMBER(I123)),I123-H123+1,"")</f>
        <v/>
      </c>
      <c r="K123" s="5" t="n"/>
      <c r="L123" s="5" t="n"/>
      <c r="M123" s="5" t="n"/>
      <c r="N123" s="5" t="n"/>
      <c r="O123" s="5" t="n"/>
      <c r="Q123" s="10">
        <f>IF(TRIM(G123&amp;"")="","",TRIM(G123&amp;""))</f>
        <v/>
      </c>
      <c r="R123" s="10">
        <f>IF(TRIM(B123&amp;"")="","",IFERROR(INDEX(설정_코드표!$K$2:$K$101,MATCH(TRIM(B123&amp;""),설정_코드표!$J$2:$J$101,0)),"⚠"&amp;TRIM(B123&amp;"")))</f>
        <v/>
      </c>
      <c r="S123" s="10">
        <f>IF(TRIM(K123&amp;"")="","",IFERROR(INDEX(설정_코드표!$K$2:$K$101,MATCH(TRIM(K123&amp;""),설정_코드표!$J$2:$J$101,0)),"⚠"&amp;TRIM(K123&amp;"")))</f>
        <v/>
      </c>
      <c r="T123" s="10">
        <f>IF(TRIM(M123&amp;"")="","",IF(ISNUMBER(MATCH(TRIM(M123&amp;""),설정_코드표!$C$2:$C$11,0)),TRIM(M123&amp;""),"⚠"&amp;TRIM(M123&amp;"")))</f>
        <v/>
      </c>
      <c r="U123" s="10">
        <f>IF(TRIM(L123&amp;"")="","",IFERROR(INDEX(설정_코드표!$G$2:$G$101,MATCH(TRIM(L123&amp;""),설정_코드표!$F$2:$F$101,0)),"⚠"&amp;TRIM(L123&amp;"")))</f>
        <v/>
      </c>
      <c r="V123" s="10">
        <f>IF(AND(ISNUMBER(H123),ISNUMBER(I123)),I123-H123+1,"")</f>
        <v/>
      </c>
      <c r="W123" s="17">
        <f>IF(ISNUMBER(H123),MAX(0,MIN(IF(ISNUMBER(I123),I123,EOMONTH(출력_요약!$B$3,0)),EOMONTH(출력_요약!$B$3,0))-MAX(H123,출력_요약!$B$3)+1),0)</f>
        <v/>
      </c>
      <c r="X123" s="10">
        <f>IF(OR(NOT(ISNUMBER(H123)),Q123=""),"",IF(TODAY()&lt;H123,"파견예정",IF(AND(ISNUMBER(I123),TODAY()&gt;I123),"파견종료","파견중")))</f>
        <v/>
      </c>
      <c r="Y123" s="10">
        <f>IF(OR(Q123="",X123=""),"",Q123&amp;"|"&amp;X123)</f>
        <v/>
      </c>
      <c r="Z123" s="10">
        <f>IF(AND(Q123&lt;&gt;"",W123&gt;0),Q123&amp;"|월","")</f>
        <v/>
      </c>
      <c r="AA123" s="10">
        <f>IF(COUNTA(B123:I123,K123:N123)=0,"",IF(Q123="","등록번호 없음",IF(LEFT(R123,1)="⚠","모병원명 미등록",IF(S123="","파견병원 입력",IF(LEFT(S123,1)="⚠","파견병원명 미등록",IF(LEFT(U123,1)="⚠","파견과목 미등록",IF(OR(T123="",LEFT(T123,1)="⚠"),"파견근거 확인",IF(NOT(AND(ISNUMBER(H123),ISNUMBER(I123))),"날짜 형식/누락",IF(I123&lt;H123,"종료일&lt;시작일","")))))))))</f>
        <v/>
      </c>
      <c r="AB123" s="11">
        <f>IF(ISNUMBER(SEARCH("다기관",TRIM(N123&amp;" "&amp;O123))),IFERROR(DATE(VALUE(MID(TRIM(N123&amp;" "&amp;O123),1,4)),VALUE(MID(TRIM(N123&amp;" "&amp;O123),6,2)),VALUE(MID(TRIM(N123&amp;" "&amp;O123),9,2))),IF(ISNUMBER(H123),H123,"")),"")</f>
        <v/>
      </c>
      <c r="AC123" s="11">
        <f>IF(ISNUMBER(SEARCH("다기관",TRIM(N123&amp;" "&amp;O123))),IFERROR(DATE(VALUE(MID(TRIM(N123&amp;" "&amp;O123),12,4)),VALUE(MID(TRIM(N123&amp;" "&amp;O123),17,2)),VALUE(MID(TRIM(N123&amp;" "&amp;O123),20,2))),IF(ISNUMBER(I123),I123,"")),"")</f>
        <v/>
      </c>
      <c r="AD123" s="17">
        <f>IF(AND(ISNUMBER(AB123),ISNUMBER(AC123)),MAX(0,MIN(AC123,EOMONTH(출력_요약!$B$3,0))-MAX(AB123,출력_요약!$B$3)+1),0)</f>
        <v/>
      </c>
      <c r="AE123" s="10">
        <f>IF(AND(Q123&lt;&gt;"",ISNUMBER(AB123)),Q123&amp;"|다기관","")</f>
        <v/>
      </c>
    </row>
    <row r="124">
      <c r="A124" s="15">
        <f>IF(F124="","",ROW()-3)</f>
        <v/>
      </c>
      <c r="B124" s="5" t="n"/>
      <c r="C124" s="15" t="n"/>
      <c r="D124" s="5" t="n"/>
      <c r="E124" s="15" t="n"/>
      <c r="F124" s="5" t="n"/>
      <c r="G124" s="6" t="n"/>
      <c r="H124" s="16" t="n"/>
      <c r="I124" s="16" t="n"/>
      <c r="J124" s="15">
        <f>IF(AND(ISNUMBER(H124),ISNUMBER(I124)),I124-H124+1,"")</f>
        <v/>
      </c>
      <c r="K124" s="5" t="n"/>
      <c r="L124" s="5" t="n"/>
      <c r="M124" s="5" t="n"/>
      <c r="N124" s="5" t="n"/>
      <c r="O124" s="5" t="n"/>
      <c r="Q124" s="10">
        <f>IF(TRIM(G124&amp;"")="","",TRIM(G124&amp;""))</f>
        <v/>
      </c>
      <c r="R124" s="10">
        <f>IF(TRIM(B124&amp;"")="","",IFERROR(INDEX(설정_코드표!$K$2:$K$101,MATCH(TRIM(B124&amp;""),설정_코드표!$J$2:$J$101,0)),"⚠"&amp;TRIM(B124&amp;"")))</f>
        <v/>
      </c>
      <c r="S124" s="10">
        <f>IF(TRIM(K124&amp;"")="","",IFERROR(INDEX(설정_코드표!$K$2:$K$101,MATCH(TRIM(K124&amp;""),설정_코드표!$J$2:$J$101,0)),"⚠"&amp;TRIM(K124&amp;"")))</f>
        <v/>
      </c>
      <c r="T124" s="10">
        <f>IF(TRIM(M124&amp;"")="","",IF(ISNUMBER(MATCH(TRIM(M124&amp;""),설정_코드표!$C$2:$C$11,0)),TRIM(M124&amp;""),"⚠"&amp;TRIM(M124&amp;"")))</f>
        <v/>
      </c>
      <c r="U124" s="10">
        <f>IF(TRIM(L124&amp;"")="","",IFERROR(INDEX(설정_코드표!$G$2:$G$101,MATCH(TRIM(L124&amp;""),설정_코드표!$F$2:$F$101,0)),"⚠"&amp;TRIM(L124&amp;"")))</f>
        <v/>
      </c>
      <c r="V124" s="10">
        <f>IF(AND(ISNUMBER(H124),ISNUMBER(I124)),I124-H124+1,"")</f>
        <v/>
      </c>
      <c r="W124" s="17">
        <f>IF(ISNUMBER(H124),MAX(0,MIN(IF(ISNUMBER(I124),I124,EOMONTH(출력_요약!$B$3,0)),EOMONTH(출력_요약!$B$3,0))-MAX(H124,출력_요약!$B$3)+1),0)</f>
        <v/>
      </c>
      <c r="X124" s="10">
        <f>IF(OR(NOT(ISNUMBER(H124)),Q124=""),"",IF(TODAY()&lt;H124,"파견예정",IF(AND(ISNUMBER(I124),TODAY()&gt;I124),"파견종료","파견중")))</f>
        <v/>
      </c>
      <c r="Y124" s="10">
        <f>IF(OR(Q124="",X124=""),"",Q124&amp;"|"&amp;X124)</f>
        <v/>
      </c>
      <c r="Z124" s="10">
        <f>IF(AND(Q124&lt;&gt;"",W124&gt;0),Q124&amp;"|월","")</f>
        <v/>
      </c>
      <c r="AA124" s="10">
        <f>IF(COUNTA(B124:I124,K124:N124)=0,"",IF(Q124="","등록번호 없음",IF(LEFT(R124,1)="⚠","모병원명 미등록",IF(S124="","파견병원 입력",IF(LEFT(S124,1)="⚠","파견병원명 미등록",IF(LEFT(U124,1)="⚠","파견과목 미등록",IF(OR(T124="",LEFT(T124,1)="⚠"),"파견근거 확인",IF(NOT(AND(ISNUMBER(H124),ISNUMBER(I124))),"날짜 형식/누락",IF(I124&lt;H124,"종료일&lt;시작일","")))))))))</f>
        <v/>
      </c>
      <c r="AB124" s="11">
        <f>IF(ISNUMBER(SEARCH("다기관",TRIM(N124&amp;" "&amp;O124))),IFERROR(DATE(VALUE(MID(TRIM(N124&amp;" "&amp;O124),1,4)),VALUE(MID(TRIM(N124&amp;" "&amp;O124),6,2)),VALUE(MID(TRIM(N124&amp;" "&amp;O124),9,2))),IF(ISNUMBER(H124),H124,"")),"")</f>
        <v/>
      </c>
      <c r="AC124" s="11">
        <f>IF(ISNUMBER(SEARCH("다기관",TRIM(N124&amp;" "&amp;O124))),IFERROR(DATE(VALUE(MID(TRIM(N124&amp;" "&amp;O124),12,4)),VALUE(MID(TRIM(N124&amp;" "&amp;O124),17,2)),VALUE(MID(TRIM(N124&amp;" "&amp;O124),20,2))),IF(ISNUMBER(I124),I124,"")),"")</f>
        <v/>
      </c>
      <c r="AD124" s="17">
        <f>IF(AND(ISNUMBER(AB124),ISNUMBER(AC124)),MAX(0,MIN(AC124,EOMONTH(출력_요약!$B$3,0))-MAX(AB124,출력_요약!$B$3)+1),0)</f>
        <v/>
      </c>
      <c r="AE124" s="10">
        <f>IF(AND(Q124&lt;&gt;"",ISNUMBER(AB124)),Q124&amp;"|다기관","")</f>
        <v/>
      </c>
    </row>
    <row r="125">
      <c r="A125" s="15">
        <f>IF(F125="","",ROW()-3)</f>
        <v/>
      </c>
      <c r="B125" s="5" t="n"/>
      <c r="C125" s="15" t="n"/>
      <c r="D125" s="5" t="n"/>
      <c r="E125" s="15" t="n"/>
      <c r="F125" s="5" t="n"/>
      <c r="G125" s="6" t="n"/>
      <c r="H125" s="16" t="n"/>
      <c r="I125" s="16" t="n"/>
      <c r="J125" s="15">
        <f>IF(AND(ISNUMBER(H125),ISNUMBER(I125)),I125-H125+1,"")</f>
        <v/>
      </c>
      <c r="K125" s="5" t="n"/>
      <c r="L125" s="5" t="n"/>
      <c r="M125" s="5" t="n"/>
      <c r="N125" s="5" t="n"/>
      <c r="O125" s="5" t="n"/>
      <c r="Q125" s="10">
        <f>IF(TRIM(G125&amp;"")="","",TRIM(G125&amp;""))</f>
        <v/>
      </c>
      <c r="R125" s="10">
        <f>IF(TRIM(B125&amp;"")="","",IFERROR(INDEX(설정_코드표!$K$2:$K$101,MATCH(TRIM(B125&amp;""),설정_코드표!$J$2:$J$101,0)),"⚠"&amp;TRIM(B125&amp;"")))</f>
        <v/>
      </c>
      <c r="S125" s="10">
        <f>IF(TRIM(K125&amp;"")="","",IFERROR(INDEX(설정_코드표!$K$2:$K$101,MATCH(TRIM(K125&amp;""),설정_코드표!$J$2:$J$101,0)),"⚠"&amp;TRIM(K125&amp;"")))</f>
        <v/>
      </c>
      <c r="T125" s="10">
        <f>IF(TRIM(M125&amp;"")="","",IF(ISNUMBER(MATCH(TRIM(M125&amp;""),설정_코드표!$C$2:$C$11,0)),TRIM(M125&amp;""),"⚠"&amp;TRIM(M125&amp;"")))</f>
        <v/>
      </c>
      <c r="U125" s="10">
        <f>IF(TRIM(L125&amp;"")="","",IFERROR(INDEX(설정_코드표!$G$2:$G$101,MATCH(TRIM(L125&amp;""),설정_코드표!$F$2:$F$101,0)),"⚠"&amp;TRIM(L125&amp;"")))</f>
        <v/>
      </c>
      <c r="V125" s="10">
        <f>IF(AND(ISNUMBER(H125),ISNUMBER(I125)),I125-H125+1,"")</f>
        <v/>
      </c>
      <c r="W125" s="17">
        <f>IF(ISNUMBER(H125),MAX(0,MIN(IF(ISNUMBER(I125),I125,EOMONTH(출력_요약!$B$3,0)),EOMONTH(출력_요약!$B$3,0))-MAX(H125,출력_요약!$B$3)+1),0)</f>
        <v/>
      </c>
      <c r="X125" s="10">
        <f>IF(OR(NOT(ISNUMBER(H125)),Q125=""),"",IF(TODAY()&lt;H125,"파견예정",IF(AND(ISNUMBER(I125),TODAY()&gt;I125),"파견종료","파견중")))</f>
        <v/>
      </c>
      <c r="Y125" s="10">
        <f>IF(OR(Q125="",X125=""),"",Q125&amp;"|"&amp;X125)</f>
        <v/>
      </c>
      <c r="Z125" s="10">
        <f>IF(AND(Q125&lt;&gt;"",W125&gt;0),Q125&amp;"|월","")</f>
        <v/>
      </c>
      <c r="AA125" s="10">
        <f>IF(COUNTA(B125:I125,K125:N125)=0,"",IF(Q125="","등록번호 없음",IF(LEFT(R125,1)="⚠","모병원명 미등록",IF(S125="","파견병원 입력",IF(LEFT(S125,1)="⚠","파견병원명 미등록",IF(LEFT(U125,1)="⚠","파견과목 미등록",IF(OR(T125="",LEFT(T125,1)="⚠"),"파견근거 확인",IF(NOT(AND(ISNUMBER(H125),ISNUMBER(I125))),"날짜 형식/누락",IF(I125&lt;H125,"종료일&lt;시작일","")))))))))</f>
        <v/>
      </c>
      <c r="AB125" s="11">
        <f>IF(ISNUMBER(SEARCH("다기관",TRIM(N125&amp;" "&amp;O125))),IFERROR(DATE(VALUE(MID(TRIM(N125&amp;" "&amp;O125),1,4)),VALUE(MID(TRIM(N125&amp;" "&amp;O125),6,2)),VALUE(MID(TRIM(N125&amp;" "&amp;O125),9,2))),IF(ISNUMBER(H125),H125,"")),"")</f>
        <v/>
      </c>
      <c r="AC125" s="11">
        <f>IF(ISNUMBER(SEARCH("다기관",TRIM(N125&amp;" "&amp;O125))),IFERROR(DATE(VALUE(MID(TRIM(N125&amp;" "&amp;O125),12,4)),VALUE(MID(TRIM(N125&amp;" "&amp;O125),17,2)),VALUE(MID(TRIM(N125&amp;" "&amp;O125),20,2))),IF(ISNUMBER(I125),I125,"")),"")</f>
        <v/>
      </c>
      <c r="AD125" s="17">
        <f>IF(AND(ISNUMBER(AB125),ISNUMBER(AC125)),MAX(0,MIN(AC125,EOMONTH(출력_요약!$B$3,0))-MAX(AB125,출력_요약!$B$3)+1),0)</f>
        <v/>
      </c>
      <c r="AE125" s="10">
        <f>IF(AND(Q125&lt;&gt;"",ISNUMBER(AB125)),Q125&amp;"|다기관","")</f>
        <v/>
      </c>
    </row>
    <row r="126">
      <c r="A126" s="15">
        <f>IF(F126="","",ROW()-3)</f>
        <v/>
      </c>
      <c r="B126" s="5" t="n"/>
      <c r="C126" s="15" t="n"/>
      <c r="D126" s="5" t="n"/>
      <c r="E126" s="15" t="n"/>
      <c r="F126" s="5" t="n"/>
      <c r="G126" s="6" t="n"/>
      <c r="H126" s="16" t="n"/>
      <c r="I126" s="16" t="n"/>
      <c r="J126" s="15">
        <f>IF(AND(ISNUMBER(H126),ISNUMBER(I126)),I126-H126+1,"")</f>
        <v/>
      </c>
      <c r="K126" s="5" t="n"/>
      <c r="L126" s="5" t="n"/>
      <c r="M126" s="5" t="n"/>
      <c r="N126" s="5" t="n"/>
      <c r="O126" s="5" t="n"/>
      <c r="Q126" s="10">
        <f>IF(TRIM(G126&amp;"")="","",TRIM(G126&amp;""))</f>
        <v/>
      </c>
      <c r="R126" s="10">
        <f>IF(TRIM(B126&amp;"")="","",IFERROR(INDEX(설정_코드표!$K$2:$K$101,MATCH(TRIM(B126&amp;""),설정_코드표!$J$2:$J$101,0)),"⚠"&amp;TRIM(B126&amp;"")))</f>
        <v/>
      </c>
      <c r="S126" s="10">
        <f>IF(TRIM(K126&amp;"")="","",IFERROR(INDEX(설정_코드표!$K$2:$K$101,MATCH(TRIM(K126&amp;""),설정_코드표!$J$2:$J$101,0)),"⚠"&amp;TRIM(K126&amp;"")))</f>
        <v/>
      </c>
      <c r="T126" s="10">
        <f>IF(TRIM(M126&amp;"")="","",IF(ISNUMBER(MATCH(TRIM(M126&amp;""),설정_코드표!$C$2:$C$11,0)),TRIM(M126&amp;""),"⚠"&amp;TRIM(M126&amp;"")))</f>
        <v/>
      </c>
      <c r="U126" s="10">
        <f>IF(TRIM(L126&amp;"")="","",IFERROR(INDEX(설정_코드표!$G$2:$G$101,MATCH(TRIM(L126&amp;""),설정_코드표!$F$2:$F$101,0)),"⚠"&amp;TRIM(L126&amp;"")))</f>
        <v/>
      </c>
      <c r="V126" s="10">
        <f>IF(AND(ISNUMBER(H126),ISNUMBER(I126)),I126-H126+1,"")</f>
        <v/>
      </c>
      <c r="W126" s="17">
        <f>IF(ISNUMBER(H126),MAX(0,MIN(IF(ISNUMBER(I126),I126,EOMONTH(출력_요약!$B$3,0)),EOMONTH(출력_요약!$B$3,0))-MAX(H126,출력_요약!$B$3)+1),0)</f>
        <v/>
      </c>
      <c r="X126" s="10">
        <f>IF(OR(NOT(ISNUMBER(H126)),Q126=""),"",IF(TODAY()&lt;H126,"파견예정",IF(AND(ISNUMBER(I126),TODAY()&gt;I126),"파견종료","파견중")))</f>
        <v/>
      </c>
      <c r="Y126" s="10">
        <f>IF(OR(Q126="",X126=""),"",Q126&amp;"|"&amp;X126)</f>
        <v/>
      </c>
      <c r="Z126" s="10">
        <f>IF(AND(Q126&lt;&gt;"",W126&gt;0),Q126&amp;"|월","")</f>
        <v/>
      </c>
      <c r="AA126" s="10">
        <f>IF(COUNTA(B126:I126,K126:N126)=0,"",IF(Q126="","등록번호 없음",IF(LEFT(R126,1)="⚠","모병원명 미등록",IF(S126="","파견병원 입력",IF(LEFT(S126,1)="⚠","파견병원명 미등록",IF(LEFT(U126,1)="⚠","파견과목 미등록",IF(OR(T126="",LEFT(T126,1)="⚠"),"파견근거 확인",IF(NOT(AND(ISNUMBER(H126),ISNUMBER(I126))),"날짜 형식/누락",IF(I126&lt;H126,"종료일&lt;시작일","")))))))))</f>
        <v/>
      </c>
      <c r="AB126" s="11">
        <f>IF(ISNUMBER(SEARCH("다기관",TRIM(N126&amp;" "&amp;O126))),IFERROR(DATE(VALUE(MID(TRIM(N126&amp;" "&amp;O126),1,4)),VALUE(MID(TRIM(N126&amp;" "&amp;O126),6,2)),VALUE(MID(TRIM(N126&amp;" "&amp;O126),9,2))),IF(ISNUMBER(H126),H126,"")),"")</f>
        <v/>
      </c>
      <c r="AC126" s="11">
        <f>IF(ISNUMBER(SEARCH("다기관",TRIM(N126&amp;" "&amp;O126))),IFERROR(DATE(VALUE(MID(TRIM(N126&amp;" "&amp;O126),12,4)),VALUE(MID(TRIM(N126&amp;" "&amp;O126),17,2)),VALUE(MID(TRIM(N126&amp;" "&amp;O126),20,2))),IF(ISNUMBER(I126),I126,"")),"")</f>
        <v/>
      </c>
      <c r="AD126" s="17">
        <f>IF(AND(ISNUMBER(AB126),ISNUMBER(AC126)),MAX(0,MIN(AC126,EOMONTH(출력_요약!$B$3,0))-MAX(AB126,출력_요약!$B$3)+1),0)</f>
        <v/>
      </c>
      <c r="AE126" s="10">
        <f>IF(AND(Q126&lt;&gt;"",ISNUMBER(AB126)),Q126&amp;"|다기관","")</f>
        <v/>
      </c>
    </row>
    <row r="127">
      <c r="A127" s="15">
        <f>IF(F127="","",ROW()-3)</f>
        <v/>
      </c>
      <c r="B127" s="5" t="n"/>
      <c r="C127" s="15" t="n"/>
      <c r="D127" s="5" t="n"/>
      <c r="E127" s="15" t="n"/>
      <c r="F127" s="5" t="n"/>
      <c r="G127" s="6" t="n"/>
      <c r="H127" s="16" t="n"/>
      <c r="I127" s="16" t="n"/>
      <c r="J127" s="15">
        <f>IF(AND(ISNUMBER(H127),ISNUMBER(I127)),I127-H127+1,"")</f>
        <v/>
      </c>
      <c r="K127" s="5" t="n"/>
      <c r="L127" s="5" t="n"/>
      <c r="M127" s="5" t="n"/>
      <c r="N127" s="5" t="n"/>
      <c r="O127" s="5" t="n"/>
      <c r="Q127" s="10">
        <f>IF(TRIM(G127&amp;"")="","",TRIM(G127&amp;""))</f>
        <v/>
      </c>
      <c r="R127" s="10">
        <f>IF(TRIM(B127&amp;"")="","",IFERROR(INDEX(설정_코드표!$K$2:$K$101,MATCH(TRIM(B127&amp;""),설정_코드표!$J$2:$J$101,0)),"⚠"&amp;TRIM(B127&amp;"")))</f>
        <v/>
      </c>
      <c r="S127" s="10">
        <f>IF(TRIM(K127&amp;"")="","",IFERROR(INDEX(설정_코드표!$K$2:$K$101,MATCH(TRIM(K127&amp;""),설정_코드표!$J$2:$J$101,0)),"⚠"&amp;TRIM(K127&amp;"")))</f>
        <v/>
      </c>
      <c r="T127" s="10">
        <f>IF(TRIM(M127&amp;"")="","",IF(ISNUMBER(MATCH(TRIM(M127&amp;""),설정_코드표!$C$2:$C$11,0)),TRIM(M127&amp;""),"⚠"&amp;TRIM(M127&amp;"")))</f>
        <v/>
      </c>
      <c r="U127" s="10">
        <f>IF(TRIM(L127&amp;"")="","",IFERROR(INDEX(설정_코드표!$G$2:$G$101,MATCH(TRIM(L127&amp;""),설정_코드표!$F$2:$F$101,0)),"⚠"&amp;TRIM(L127&amp;"")))</f>
        <v/>
      </c>
      <c r="V127" s="10">
        <f>IF(AND(ISNUMBER(H127),ISNUMBER(I127)),I127-H127+1,"")</f>
        <v/>
      </c>
      <c r="W127" s="17">
        <f>IF(ISNUMBER(H127),MAX(0,MIN(IF(ISNUMBER(I127),I127,EOMONTH(출력_요약!$B$3,0)),EOMONTH(출력_요약!$B$3,0))-MAX(H127,출력_요약!$B$3)+1),0)</f>
        <v/>
      </c>
      <c r="X127" s="10">
        <f>IF(OR(NOT(ISNUMBER(H127)),Q127=""),"",IF(TODAY()&lt;H127,"파견예정",IF(AND(ISNUMBER(I127),TODAY()&gt;I127),"파견종료","파견중")))</f>
        <v/>
      </c>
      <c r="Y127" s="10">
        <f>IF(OR(Q127="",X127=""),"",Q127&amp;"|"&amp;X127)</f>
        <v/>
      </c>
      <c r="Z127" s="10">
        <f>IF(AND(Q127&lt;&gt;"",W127&gt;0),Q127&amp;"|월","")</f>
        <v/>
      </c>
      <c r="AA127" s="10">
        <f>IF(COUNTA(B127:I127,K127:N127)=0,"",IF(Q127="","등록번호 없음",IF(LEFT(R127,1)="⚠","모병원명 미등록",IF(S127="","파견병원 입력",IF(LEFT(S127,1)="⚠","파견병원명 미등록",IF(LEFT(U127,1)="⚠","파견과목 미등록",IF(OR(T127="",LEFT(T127,1)="⚠"),"파견근거 확인",IF(NOT(AND(ISNUMBER(H127),ISNUMBER(I127))),"날짜 형식/누락",IF(I127&lt;H127,"종료일&lt;시작일","")))))))))</f>
        <v/>
      </c>
      <c r="AB127" s="11">
        <f>IF(ISNUMBER(SEARCH("다기관",TRIM(N127&amp;" "&amp;O127))),IFERROR(DATE(VALUE(MID(TRIM(N127&amp;" "&amp;O127),1,4)),VALUE(MID(TRIM(N127&amp;" "&amp;O127),6,2)),VALUE(MID(TRIM(N127&amp;" "&amp;O127),9,2))),IF(ISNUMBER(H127),H127,"")),"")</f>
        <v/>
      </c>
      <c r="AC127" s="11">
        <f>IF(ISNUMBER(SEARCH("다기관",TRIM(N127&amp;" "&amp;O127))),IFERROR(DATE(VALUE(MID(TRIM(N127&amp;" "&amp;O127),12,4)),VALUE(MID(TRIM(N127&amp;" "&amp;O127),17,2)),VALUE(MID(TRIM(N127&amp;" "&amp;O127),20,2))),IF(ISNUMBER(I127),I127,"")),"")</f>
        <v/>
      </c>
      <c r="AD127" s="17">
        <f>IF(AND(ISNUMBER(AB127),ISNUMBER(AC127)),MAX(0,MIN(AC127,EOMONTH(출력_요약!$B$3,0))-MAX(AB127,출력_요약!$B$3)+1),0)</f>
        <v/>
      </c>
      <c r="AE127" s="10">
        <f>IF(AND(Q127&lt;&gt;"",ISNUMBER(AB127)),Q127&amp;"|다기관","")</f>
        <v/>
      </c>
    </row>
    <row r="128">
      <c r="A128" s="15">
        <f>IF(F128="","",ROW()-3)</f>
        <v/>
      </c>
      <c r="B128" s="5" t="n"/>
      <c r="C128" s="15" t="n"/>
      <c r="D128" s="5" t="n"/>
      <c r="E128" s="15" t="n"/>
      <c r="F128" s="5" t="n"/>
      <c r="G128" s="6" t="n"/>
      <c r="H128" s="16" t="n"/>
      <c r="I128" s="16" t="n"/>
      <c r="J128" s="15">
        <f>IF(AND(ISNUMBER(H128),ISNUMBER(I128)),I128-H128+1,"")</f>
        <v/>
      </c>
      <c r="K128" s="5" t="n"/>
      <c r="L128" s="5" t="n"/>
      <c r="M128" s="5" t="n"/>
      <c r="N128" s="5" t="n"/>
      <c r="O128" s="5" t="n"/>
      <c r="Q128" s="10">
        <f>IF(TRIM(G128&amp;"")="","",TRIM(G128&amp;""))</f>
        <v/>
      </c>
      <c r="R128" s="10">
        <f>IF(TRIM(B128&amp;"")="","",IFERROR(INDEX(설정_코드표!$K$2:$K$101,MATCH(TRIM(B128&amp;""),설정_코드표!$J$2:$J$101,0)),"⚠"&amp;TRIM(B128&amp;"")))</f>
        <v/>
      </c>
      <c r="S128" s="10">
        <f>IF(TRIM(K128&amp;"")="","",IFERROR(INDEX(설정_코드표!$K$2:$K$101,MATCH(TRIM(K128&amp;""),설정_코드표!$J$2:$J$101,0)),"⚠"&amp;TRIM(K128&amp;"")))</f>
        <v/>
      </c>
      <c r="T128" s="10">
        <f>IF(TRIM(M128&amp;"")="","",IF(ISNUMBER(MATCH(TRIM(M128&amp;""),설정_코드표!$C$2:$C$11,0)),TRIM(M128&amp;""),"⚠"&amp;TRIM(M128&amp;"")))</f>
        <v/>
      </c>
      <c r="U128" s="10">
        <f>IF(TRIM(L128&amp;"")="","",IFERROR(INDEX(설정_코드표!$G$2:$G$101,MATCH(TRIM(L128&amp;""),설정_코드표!$F$2:$F$101,0)),"⚠"&amp;TRIM(L128&amp;"")))</f>
        <v/>
      </c>
      <c r="V128" s="10">
        <f>IF(AND(ISNUMBER(H128),ISNUMBER(I128)),I128-H128+1,"")</f>
        <v/>
      </c>
      <c r="W128" s="17">
        <f>IF(ISNUMBER(H128),MAX(0,MIN(IF(ISNUMBER(I128),I128,EOMONTH(출력_요약!$B$3,0)),EOMONTH(출력_요약!$B$3,0))-MAX(H128,출력_요약!$B$3)+1),0)</f>
        <v/>
      </c>
      <c r="X128" s="10">
        <f>IF(OR(NOT(ISNUMBER(H128)),Q128=""),"",IF(TODAY()&lt;H128,"파견예정",IF(AND(ISNUMBER(I128),TODAY()&gt;I128),"파견종료","파견중")))</f>
        <v/>
      </c>
      <c r="Y128" s="10">
        <f>IF(OR(Q128="",X128=""),"",Q128&amp;"|"&amp;X128)</f>
        <v/>
      </c>
      <c r="Z128" s="10">
        <f>IF(AND(Q128&lt;&gt;"",W128&gt;0),Q128&amp;"|월","")</f>
        <v/>
      </c>
      <c r="AA128" s="10">
        <f>IF(COUNTA(B128:I128,K128:N128)=0,"",IF(Q128="","등록번호 없음",IF(LEFT(R128,1)="⚠","모병원명 미등록",IF(S128="","파견병원 입력",IF(LEFT(S128,1)="⚠","파견병원명 미등록",IF(LEFT(U128,1)="⚠","파견과목 미등록",IF(OR(T128="",LEFT(T128,1)="⚠"),"파견근거 확인",IF(NOT(AND(ISNUMBER(H128),ISNUMBER(I128))),"날짜 형식/누락",IF(I128&lt;H128,"종료일&lt;시작일","")))))))))</f>
        <v/>
      </c>
      <c r="AB128" s="11">
        <f>IF(ISNUMBER(SEARCH("다기관",TRIM(N128&amp;" "&amp;O128))),IFERROR(DATE(VALUE(MID(TRIM(N128&amp;" "&amp;O128),1,4)),VALUE(MID(TRIM(N128&amp;" "&amp;O128),6,2)),VALUE(MID(TRIM(N128&amp;" "&amp;O128),9,2))),IF(ISNUMBER(H128),H128,"")),"")</f>
        <v/>
      </c>
      <c r="AC128" s="11">
        <f>IF(ISNUMBER(SEARCH("다기관",TRIM(N128&amp;" "&amp;O128))),IFERROR(DATE(VALUE(MID(TRIM(N128&amp;" "&amp;O128),12,4)),VALUE(MID(TRIM(N128&amp;" "&amp;O128),17,2)),VALUE(MID(TRIM(N128&amp;" "&amp;O128),20,2))),IF(ISNUMBER(I128),I128,"")),"")</f>
        <v/>
      </c>
      <c r="AD128" s="17">
        <f>IF(AND(ISNUMBER(AB128),ISNUMBER(AC128)),MAX(0,MIN(AC128,EOMONTH(출력_요약!$B$3,0))-MAX(AB128,출력_요약!$B$3)+1),0)</f>
        <v/>
      </c>
      <c r="AE128" s="10">
        <f>IF(AND(Q128&lt;&gt;"",ISNUMBER(AB128)),Q128&amp;"|다기관","")</f>
        <v/>
      </c>
    </row>
    <row r="129">
      <c r="A129" s="15">
        <f>IF(F129="","",ROW()-3)</f>
        <v/>
      </c>
      <c r="B129" s="5" t="n"/>
      <c r="C129" s="15" t="n"/>
      <c r="D129" s="5" t="n"/>
      <c r="E129" s="15" t="n"/>
      <c r="F129" s="5" t="n"/>
      <c r="G129" s="6" t="n"/>
      <c r="H129" s="16" t="n"/>
      <c r="I129" s="16" t="n"/>
      <c r="J129" s="15">
        <f>IF(AND(ISNUMBER(H129),ISNUMBER(I129)),I129-H129+1,"")</f>
        <v/>
      </c>
      <c r="K129" s="5" t="n"/>
      <c r="L129" s="5" t="n"/>
      <c r="M129" s="5" t="n"/>
      <c r="N129" s="5" t="n"/>
      <c r="O129" s="5" t="n"/>
      <c r="Q129" s="10">
        <f>IF(TRIM(G129&amp;"")="","",TRIM(G129&amp;""))</f>
        <v/>
      </c>
      <c r="R129" s="10">
        <f>IF(TRIM(B129&amp;"")="","",IFERROR(INDEX(설정_코드표!$K$2:$K$101,MATCH(TRIM(B129&amp;""),설정_코드표!$J$2:$J$101,0)),"⚠"&amp;TRIM(B129&amp;"")))</f>
        <v/>
      </c>
      <c r="S129" s="10">
        <f>IF(TRIM(K129&amp;"")="","",IFERROR(INDEX(설정_코드표!$K$2:$K$101,MATCH(TRIM(K129&amp;""),설정_코드표!$J$2:$J$101,0)),"⚠"&amp;TRIM(K129&amp;"")))</f>
        <v/>
      </c>
      <c r="T129" s="10">
        <f>IF(TRIM(M129&amp;"")="","",IF(ISNUMBER(MATCH(TRIM(M129&amp;""),설정_코드표!$C$2:$C$11,0)),TRIM(M129&amp;""),"⚠"&amp;TRIM(M129&amp;"")))</f>
        <v/>
      </c>
      <c r="U129" s="10">
        <f>IF(TRIM(L129&amp;"")="","",IFERROR(INDEX(설정_코드표!$G$2:$G$101,MATCH(TRIM(L129&amp;""),설정_코드표!$F$2:$F$101,0)),"⚠"&amp;TRIM(L129&amp;"")))</f>
        <v/>
      </c>
      <c r="V129" s="10">
        <f>IF(AND(ISNUMBER(H129),ISNUMBER(I129)),I129-H129+1,"")</f>
        <v/>
      </c>
      <c r="W129" s="17">
        <f>IF(ISNUMBER(H129),MAX(0,MIN(IF(ISNUMBER(I129),I129,EOMONTH(출력_요약!$B$3,0)),EOMONTH(출력_요약!$B$3,0))-MAX(H129,출력_요약!$B$3)+1),0)</f>
        <v/>
      </c>
      <c r="X129" s="10">
        <f>IF(OR(NOT(ISNUMBER(H129)),Q129=""),"",IF(TODAY()&lt;H129,"파견예정",IF(AND(ISNUMBER(I129),TODAY()&gt;I129),"파견종료","파견중")))</f>
        <v/>
      </c>
      <c r="Y129" s="10">
        <f>IF(OR(Q129="",X129=""),"",Q129&amp;"|"&amp;X129)</f>
        <v/>
      </c>
      <c r="Z129" s="10">
        <f>IF(AND(Q129&lt;&gt;"",W129&gt;0),Q129&amp;"|월","")</f>
        <v/>
      </c>
      <c r="AA129" s="10">
        <f>IF(COUNTA(B129:I129,K129:N129)=0,"",IF(Q129="","등록번호 없음",IF(LEFT(R129,1)="⚠","모병원명 미등록",IF(S129="","파견병원 입력",IF(LEFT(S129,1)="⚠","파견병원명 미등록",IF(LEFT(U129,1)="⚠","파견과목 미등록",IF(OR(T129="",LEFT(T129,1)="⚠"),"파견근거 확인",IF(NOT(AND(ISNUMBER(H129),ISNUMBER(I129))),"날짜 형식/누락",IF(I129&lt;H129,"종료일&lt;시작일","")))))))))</f>
        <v/>
      </c>
      <c r="AB129" s="11">
        <f>IF(ISNUMBER(SEARCH("다기관",TRIM(N129&amp;" "&amp;O129))),IFERROR(DATE(VALUE(MID(TRIM(N129&amp;" "&amp;O129),1,4)),VALUE(MID(TRIM(N129&amp;" "&amp;O129),6,2)),VALUE(MID(TRIM(N129&amp;" "&amp;O129),9,2))),IF(ISNUMBER(H129),H129,"")),"")</f>
        <v/>
      </c>
      <c r="AC129" s="11">
        <f>IF(ISNUMBER(SEARCH("다기관",TRIM(N129&amp;" "&amp;O129))),IFERROR(DATE(VALUE(MID(TRIM(N129&amp;" "&amp;O129),12,4)),VALUE(MID(TRIM(N129&amp;" "&amp;O129),17,2)),VALUE(MID(TRIM(N129&amp;" "&amp;O129),20,2))),IF(ISNUMBER(I129),I129,"")),"")</f>
        <v/>
      </c>
      <c r="AD129" s="17">
        <f>IF(AND(ISNUMBER(AB129),ISNUMBER(AC129)),MAX(0,MIN(AC129,EOMONTH(출력_요약!$B$3,0))-MAX(AB129,출력_요약!$B$3)+1),0)</f>
        <v/>
      </c>
      <c r="AE129" s="10">
        <f>IF(AND(Q129&lt;&gt;"",ISNUMBER(AB129)),Q129&amp;"|다기관","")</f>
        <v/>
      </c>
    </row>
    <row r="130">
      <c r="A130" s="15">
        <f>IF(F130="","",ROW()-3)</f>
        <v/>
      </c>
      <c r="B130" s="5" t="n"/>
      <c r="C130" s="15" t="n"/>
      <c r="D130" s="5" t="n"/>
      <c r="E130" s="15" t="n"/>
      <c r="F130" s="5" t="n"/>
      <c r="G130" s="6" t="n"/>
      <c r="H130" s="16" t="n"/>
      <c r="I130" s="16" t="n"/>
      <c r="J130" s="15">
        <f>IF(AND(ISNUMBER(H130),ISNUMBER(I130)),I130-H130+1,"")</f>
        <v/>
      </c>
      <c r="K130" s="5" t="n"/>
      <c r="L130" s="5" t="n"/>
      <c r="M130" s="5" t="n"/>
      <c r="N130" s="5" t="n"/>
      <c r="O130" s="5" t="n"/>
      <c r="Q130" s="10">
        <f>IF(TRIM(G130&amp;"")="","",TRIM(G130&amp;""))</f>
        <v/>
      </c>
      <c r="R130" s="10">
        <f>IF(TRIM(B130&amp;"")="","",IFERROR(INDEX(설정_코드표!$K$2:$K$101,MATCH(TRIM(B130&amp;""),설정_코드표!$J$2:$J$101,0)),"⚠"&amp;TRIM(B130&amp;"")))</f>
        <v/>
      </c>
      <c r="S130" s="10">
        <f>IF(TRIM(K130&amp;"")="","",IFERROR(INDEX(설정_코드표!$K$2:$K$101,MATCH(TRIM(K130&amp;""),설정_코드표!$J$2:$J$101,0)),"⚠"&amp;TRIM(K130&amp;"")))</f>
        <v/>
      </c>
      <c r="T130" s="10">
        <f>IF(TRIM(M130&amp;"")="","",IF(ISNUMBER(MATCH(TRIM(M130&amp;""),설정_코드표!$C$2:$C$11,0)),TRIM(M130&amp;""),"⚠"&amp;TRIM(M130&amp;"")))</f>
        <v/>
      </c>
      <c r="U130" s="10">
        <f>IF(TRIM(L130&amp;"")="","",IFERROR(INDEX(설정_코드표!$G$2:$G$101,MATCH(TRIM(L130&amp;""),설정_코드표!$F$2:$F$101,0)),"⚠"&amp;TRIM(L130&amp;"")))</f>
        <v/>
      </c>
      <c r="V130" s="10">
        <f>IF(AND(ISNUMBER(H130),ISNUMBER(I130)),I130-H130+1,"")</f>
        <v/>
      </c>
      <c r="W130" s="17">
        <f>IF(ISNUMBER(H130),MAX(0,MIN(IF(ISNUMBER(I130),I130,EOMONTH(출력_요약!$B$3,0)),EOMONTH(출력_요약!$B$3,0))-MAX(H130,출력_요약!$B$3)+1),0)</f>
        <v/>
      </c>
      <c r="X130" s="10">
        <f>IF(OR(NOT(ISNUMBER(H130)),Q130=""),"",IF(TODAY()&lt;H130,"파견예정",IF(AND(ISNUMBER(I130),TODAY()&gt;I130),"파견종료","파견중")))</f>
        <v/>
      </c>
      <c r="Y130" s="10">
        <f>IF(OR(Q130="",X130=""),"",Q130&amp;"|"&amp;X130)</f>
        <v/>
      </c>
      <c r="Z130" s="10">
        <f>IF(AND(Q130&lt;&gt;"",W130&gt;0),Q130&amp;"|월","")</f>
        <v/>
      </c>
      <c r="AA130" s="10">
        <f>IF(COUNTA(B130:I130,K130:N130)=0,"",IF(Q130="","등록번호 없음",IF(LEFT(R130,1)="⚠","모병원명 미등록",IF(S130="","파견병원 입력",IF(LEFT(S130,1)="⚠","파견병원명 미등록",IF(LEFT(U130,1)="⚠","파견과목 미등록",IF(OR(T130="",LEFT(T130,1)="⚠"),"파견근거 확인",IF(NOT(AND(ISNUMBER(H130),ISNUMBER(I130))),"날짜 형식/누락",IF(I130&lt;H130,"종료일&lt;시작일","")))))))))</f>
        <v/>
      </c>
      <c r="AB130" s="11">
        <f>IF(ISNUMBER(SEARCH("다기관",TRIM(N130&amp;" "&amp;O130))),IFERROR(DATE(VALUE(MID(TRIM(N130&amp;" "&amp;O130),1,4)),VALUE(MID(TRIM(N130&amp;" "&amp;O130),6,2)),VALUE(MID(TRIM(N130&amp;" "&amp;O130),9,2))),IF(ISNUMBER(H130),H130,"")),"")</f>
        <v/>
      </c>
      <c r="AC130" s="11">
        <f>IF(ISNUMBER(SEARCH("다기관",TRIM(N130&amp;" "&amp;O130))),IFERROR(DATE(VALUE(MID(TRIM(N130&amp;" "&amp;O130),12,4)),VALUE(MID(TRIM(N130&amp;" "&amp;O130),17,2)),VALUE(MID(TRIM(N130&amp;" "&amp;O130),20,2))),IF(ISNUMBER(I130),I130,"")),"")</f>
        <v/>
      </c>
      <c r="AD130" s="17">
        <f>IF(AND(ISNUMBER(AB130),ISNUMBER(AC130)),MAX(0,MIN(AC130,EOMONTH(출력_요약!$B$3,0))-MAX(AB130,출력_요약!$B$3)+1),0)</f>
        <v/>
      </c>
      <c r="AE130" s="10">
        <f>IF(AND(Q130&lt;&gt;"",ISNUMBER(AB130)),Q130&amp;"|다기관","")</f>
        <v/>
      </c>
    </row>
    <row r="131">
      <c r="A131" s="15">
        <f>IF(F131="","",ROW()-3)</f>
        <v/>
      </c>
      <c r="B131" s="5" t="n"/>
      <c r="C131" s="15" t="n"/>
      <c r="D131" s="5" t="n"/>
      <c r="E131" s="15" t="n"/>
      <c r="F131" s="5" t="n"/>
      <c r="G131" s="6" t="n"/>
      <c r="H131" s="16" t="n"/>
      <c r="I131" s="16" t="n"/>
      <c r="J131" s="15">
        <f>IF(AND(ISNUMBER(H131),ISNUMBER(I131)),I131-H131+1,"")</f>
        <v/>
      </c>
      <c r="K131" s="5" t="n"/>
      <c r="L131" s="5" t="n"/>
      <c r="M131" s="5" t="n"/>
      <c r="N131" s="5" t="n"/>
      <c r="O131" s="5" t="n"/>
      <c r="Q131" s="10">
        <f>IF(TRIM(G131&amp;"")="","",TRIM(G131&amp;""))</f>
        <v/>
      </c>
      <c r="R131" s="10">
        <f>IF(TRIM(B131&amp;"")="","",IFERROR(INDEX(설정_코드표!$K$2:$K$101,MATCH(TRIM(B131&amp;""),설정_코드표!$J$2:$J$101,0)),"⚠"&amp;TRIM(B131&amp;"")))</f>
        <v/>
      </c>
      <c r="S131" s="10">
        <f>IF(TRIM(K131&amp;"")="","",IFERROR(INDEX(설정_코드표!$K$2:$K$101,MATCH(TRIM(K131&amp;""),설정_코드표!$J$2:$J$101,0)),"⚠"&amp;TRIM(K131&amp;"")))</f>
        <v/>
      </c>
      <c r="T131" s="10">
        <f>IF(TRIM(M131&amp;"")="","",IF(ISNUMBER(MATCH(TRIM(M131&amp;""),설정_코드표!$C$2:$C$11,0)),TRIM(M131&amp;""),"⚠"&amp;TRIM(M131&amp;"")))</f>
        <v/>
      </c>
      <c r="U131" s="10">
        <f>IF(TRIM(L131&amp;"")="","",IFERROR(INDEX(설정_코드표!$G$2:$G$101,MATCH(TRIM(L131&amp;""),설정_코드표!$F$2:$F$101,0)),"⚠"&amp;TRIM(L131&amp;"")))</f>
        <v/>
      </c>
      <c r="V131" s="10">
        <f>IF(AND(ISNUMBER(H131),ISNUMBER(I131)),I131-H131+1,"")</f>
        <v/>
      </c>
      <c r="W131" s="17">
        <f>IF(ISNUMBER(H131),MAX(0,MIN(IF(ISNUMBER(I131),I131,EOMONTH(출력_요약!$B$3,0)),EOMONTH(출력_요약!$B$3,0))-MAX(H131,출력_요약!$B$3)+1),0)</f>
        <v/>
      </c>
      <c r="X131" s="10">
        <f>IF(OR(NOT(ISNUMBER(H131)),Q131=""),"",IF(TODAY()&lt;H131,"파견예정",IF(AND(ISNUMBER(I131),TODAY()&gt;I131),"파견종료","파견중")))</f>
        <v/>
      </c>
      <c r="Y131" s="10">
        <f>IF(OR(Q131="",X131=""),"",Q131&amp;"|"&amp;X131)</f>
        <v/>
      </c>
      <c r="Z131" s="10">
        <f>IF(AND(Q131&lt;&gt;"",W131&gt;0),Q131&amp;"|월","")</f>
        <v/>
      </c>
      <c r="AA131" s="10">
        <f>IF(COUNTA(B131:I131,K131:N131)=0,"",IF(Q131="","등록번호 없음",IF(LEFT(R131,1)="⚠","모병원명 미등록",IF(S131="","파견병원 입력",IF(LEFT(S131,1)="⚠","파견병원명 미등록",IF(LEFT(U131,1)="⚠","파견과목 미등록",IF(OR(T131="",LEFT(T131,1)="⚠"),"파견근거 확인",IF(NOT(AND(ISNUMBER(H131),ISNUMBER(I131))),"날짜 형식/누락",IF(I131&lt;H131,"종료일&lt;시작일","")))))))))</f>
        <v/>
      </c>
      <c r="AB131" s="11">
        <f>IF(ISNUMBER(SEARCH("다기관",TRIM(N131&amp;" "&amp;O131))),IFERROR(DATE(VALUE(MID(TRIM(N131&amp;" "&amp;O131),1,4)),VALUE(MID(TRIM(N131&amp;" "&amp;O131),6,2)),VALUE(MID(TRIM(N131&amp;" "&amp;O131),9,2))),IF(ISNUMBER(H131),H131,"")),"")</f>
        <v/>
      </c>
      <c r="AC131" s="11">
        <f>IF(ISNUMBER(SEARCH("다기관",TRIM(N131&amp;" "&amp;O131))),IFERROR(DATE(VALUE(MID(TRIM(N131&amp;" "&amp;O131),12,4)),VALUE(MID(TRIM(N131&amp;" "&amp;O131),17,2)),VALUE(MID(TRIM(N131&amp;" "&amp;O131),20,2))),IF(ISNUMBER(I131),I131,"")),"")</f>
        <v/>
      </c>
      <c r="AD131" s="17">
        <f>IF(AND(ISNUMBER(AB131),ISNUMBER(AC131)),MAX(0,MIN(AC131,EOMONTH(출력_요약!$B$3,0))-MAX(AB131,출력_요약!$B$3)+1),0)</f>
        <v/>
      </c>
      <c r="AE131" s="10">
        <f>IF(AND(Q131&lt;&gt;"",ISNUMBER(AB131)),Q131&amp;"|다기관","")</f>
        <v/>
      </c>
    </row>
    <row r="132">
      <c r="A132" s="15">
        <f>IF(F132="","",ROW()-3)</f>
        <v/>
      </c>
      <c r="B132" s="5" t="n"/>
      <c r="C132" s="15" t="n"/>
      <c r="D132" s="5" t="n"/>
      <c r="E132" s="15" t="n"/>
      <c r="F132" s="5" t="n"/>
      <c r="G132" s="6" t="n"/>
      <c r="H132" s="16" t="n"/>
      <c r="I132" s="16" t="n"/>
      <c r="J132" s="15">
        <f>IF(AND(ISNUMBER(H132),ISNUMBER(I132)),I132-H132+1,"")</f>
        <v/>
      </c>
      <c r="K132" s="5" t="n"/>
      <c r="L132" s="5" t="n"/>
      <c r="M132" s="5" t="n"/>
      <c r="N132" s="5" t="n"/>
      <c r="O132" s="5" t="n"/>
      <c r="Q132" s="10">
        <f>IF(TRIM(G132&amp;"")="","",TRIM(G132&amp;""))</f>
        <v/>
      </c>
      <c r="R132" s="10">
        <f>IF(TRIM(B132&amp;"")="","",IFERROR(INDEX(설정_코드표!$K$2:$K$101,MATCH(TRIM(B132&amp;""),설정_코드표!$J$2:$J$101,0)),"⚠"&amp;TRIM(B132&amp;"")))</f>
        <v/>
      </c>
      <c r="S132" s="10">
        <f>IF(TRIM(K132&amp;"")="","",IFERROR(INDEX(설정_코드표!$K$2:$K$101,MATCH(TRIM(K132&amp;""),설정_코드표!$J$2:$J$101,0)),"⚠"&amp;TRIM(K132&amp;"")))</f>
        <v/>
      </c>
      <c r="T132" s="10">
        <f>IF(TRIM(M132&amp;"")="","",IF(ISNUMBER(MATCH(TRIM(M132&amp;""),설정_코드표!$C$2:$C$11,0)),TRIM(M132&amp;""),"⚠"&amp;TRIM(M132&amp;"")))</f>
        <v/>
      </c>
      <c r="U132" s="10">
        <f>IF(TRIM(L132&amp;"")="","",IFERROR(INDEX(설정_코드표!$G$2:$G$101,MATCH(TRIM(L132&amp;""),설정_코드표!$F$2:$F$101,0)),"⚠"&amp;TRIM(L132&amp;"")))</f>
        <v/>
      </c>
      <c r="V132" s="10">
        <f>IF(AND(ISNUMBER(H132),ISNUMBER(I132)),I132-H132+1,"")</f>
        <v/>
      </c>
      <c r="W132" s="17">
        <f>IF(ISNUMBER(H132),MAX(0,MIN(IF(ISNUMBER(I132),I132,EOMONTH(출력_요약!$B$3,0)),EOMONTH(출력_요약!$B$3,0))-MAX(H132,출력_요약!$B$3)+1),0)</f>
        <v/>
      </c>
      <c r="X132" s="10">
        <f>IF(OR(NOT(ISNUMBER(H132)),Q132=""),"",IF(TODAY()&lt;H132,"파견예정",IF(AND(ISNUMBER(I132),TODAY()&gt;I132),"파견종료","파견중")))</f>
        <v/>
      </c>
      <c r="Y132" s="10">
        <f>IF(OR(Q132="",X132=""),"",Q132&amp;"|"&amp;X132)</f>
        <v/>
      </c>
      <c r="Z132" s="10">
        <f>IF(AND(Q132&lt;&gt;"",W132&gt;0),Q132&amp;"|월","")</f>
        <v/>
      </c>
      <c r="AA132" s="10">
        <f>IF(COUNTA(B132:I132,K132:N132)=0,"",IF(Q132="","등록번호 없음",IF(LEFT(R132,1)="⚠","모병원명 미등록",IF(S132="","파견병원 입력",IF(LEFT(S132,1)="⚠","파견병원명 미등록",IF(LEFT(U132,1)="⚠","파견과목 미등록",IF(OR(T132="",LEFT(T132,1)="⚠"),"파견근거 확인",IF(NOT(AND(ISNUMBER(H132),ISNUMBER(I132))),"날짜 형식/누락",IF(I132&lt;H132,"종료일&lt;시작일","")))))))))</f>
        <v/>
      </c>
      <c r="AB132" s="11">
        <f>IF(ISNUMBER(SEARCH("다기관",TRIM(N132&amp;" "&amp;O132))),IFERROR(DATE(VALUE(MID(TRIM(N132&amp;" "&amp;O132),1,4)),VALUE(MID(TRIM(N132&amp;" "&amp;O132),6,2)),VALUE(MID(TRIM(N132&amp;" "&amp;O132),9,2))),IF(ISNUMBER(H132),H132,"")),"")</f>
        <v/>
      </c>
      <c r="AC132" s="11">
        <f>IF(ISNUMBER(SEARCH("다기관",TRIM(N132&amp;" "&amp;O132))),IFERROR(DATE(VALUE(MID(TRIM(N132&amp;" "&amp;O132),12,4)),VALUE(MID(TRIM(N132&amp;" "&amp;O132),17,2)),VALUE(MID(TRIM(N132&amp;" "&amp;O132),20,2))),IF(ISNUMBER(I132),I132,"")),"")</f>
        <v/>
      </c>
      <c r="AD132" s="17">
        <f>IF(AND(ISNUMBER(AB132),ISNUMBER(AC132)),MAX(0,MIN(AC132,EOMONTH(출력_요약!$B$3,0))-MAX(AB132,출력_요약!$B$3)+1),0)</f>
        <v/>
      </c>
      <c r="AE132" s="10">
        <f>IF(AND(Q132&lt;&gt;"",ISNUMBER(AB132)),Q132&amp;"|다기관","")</f>
        <v/>
      </c>
    </row>
    <row r="133">
      <c r="A133" s="15">
        <f>IF(F133="","",ROW()-3)</f>
        <v/>
      </c>
      <c r="B133" s="5" t="n"/>
      <c r="C133" s="15" t="n"/>
      <c r="D133" s="5" t="n"/>
      <c r="E133" s="15" t="n"/>
      <c r="F133" s="5" t="n"/>
      <c r="G133" s="6" t="n"/>
      <c r="H133" s="16" t="n"/>
      <c r="I133" s="16" t="n"/>
      <c r="J133" s="15">
        <f>IF(AND(ISNUMBER(H133),ISNUMBER(I133)),I133-H133+1,"")</f>
        <v/>
      </c>
      <c r="K133" s="5" t="n"/>
      <c r="L133" s="5" t="n"/>
      <c r="M133" s="5" t="n"/>
      <c r="N133" s="5" t="n"/>
      <c r="O133" s="5" t="n"/>
      <c r="Q133" s="10">
        <f>IF(TRIM(G133&amp;"")="","",TRIM(G133&amp;""))</f>
        <v/>
      </c>
      <c r="R133" s="10">
        <f>IF(TRIM(B133&amp;"")="","",IFERROR(INDEX(설정_코드표!$K$2:$K$101,MATCH(TRIM(B133&amp;""),설정_코드표!$J$2:$J$101,0)),"⚠"&amp;TRIM(B133&amp;"")))</f>
        <v/>
      </c>
      <c r="S133" s="10">
        <f>IF(TRIM(K133&amp;"")="","",IFERROR(INDEX(설정_코드표!$K$2:$K$101,MATCH(TRIM(K133&amp;""),설정_코드표!$J$2:$J$101,0)),"⚠"&amp;TRIM(K133&amp;"")))</f>
        <v/>
      </c>
      <c r="T133" s="10">
        <f>IF(TRIM(M133&amp;"")="","",IF(ISNUMBER(MATCH(TRIM(M133&amp;""),설정_코드표!$C$2:$C$11,0)),TRIM(M133&amp;""),"⚠"&amp;TRIM(M133&amp;"")))</f>
        <v/>
      </c>
      <c r="U133" s="10">
        <f>IF(TRIM(L133&amp;"")="","",IFERROR(INDEX(설정_코드표!$G$2:$G$101,MATCH(TRIM(L133&amp;""),설정_코드표!$F$2:$F$101,0)),"⚠"&amp;TRIM(L133&amp;"")))</f>
        <v/>
      </c>
      <c r="V133" s="10">
        <f>IF(AND(ISNUMBER(H133),ISNUMBER(I133)),I133-H133+1,"")</f>
        <v/>
      </c>
      <c r="W133" s="17">
        <f>IF(ISNUMBER(H133),MAX(0,MIN(IF(ISNUMBER(I133),I133,EOMONTH(출력_요약!$B$3,0)),EOMONTH(출력_요약!$B$3,0))-MAX(H133,출력_요약!$B$3)+1),0)</f>
        <v/>
      </c>
      <c r="X133" s="10">
        <f>IF(OR(NOT(ISNUMBER(H133)),Q133=""),"",IF(TODAY()&lt;H133,"파견예정",IF(AND(ISNUMBER(I133),TODAY()&gt;I133),"파견종료","파견중")))</f>
        <v/>
      </c>
      <c r="Y133" s="10">
        <f>IF(OR(Q133="",X133=""),"",Q133&amp;"|"&amp;X133)</f>
        <v/>
      </c>
      <c r="Z133" s="10">
        <f>IF(AND(Q133&lt;&gt;"",W133&gt;0),Q133&amp;"|월","")</f>
        <v/>
      </c>
      <c r="AA133" s="10">
        <f>IF(COUNTA(B133:I133,K133:N133)=0,"",IF(Q133="","등록번호 없음",IF(LEFT(R133,1)="⚠","모병원명 미등록",IF(S133="","파견병원 입력",IF(LEFT(S133,1)="⚠","파견병원명 미등록",IF(LEFT(U133,1)="⚠","파견과목 미등록",IF(OR(T133="",LEFT(T133,1)="⚠"),"파견근거 확인",IF(NOT(AND(ISNUMBER(H133),ISNUMBER(I133))),"날짜 형식/누락",IF(I133&lt;H133,"종료일&lt;시작일","")))))))))</f>
        <v/>
      </c>
      <c r="AB133" s="11">
        <f>IF(ISNUMBER(SEARCH("다기관",TRIM(N133&amp;" "&amp;O133))),IFERROR(DATE(VALUE(MID(TRIM(N133&amp;" "&amp;O133),1,4)),VALUE(MID(TRIM(N133&amp;" "&amp;O133),6,2)),VALUE(MID(TRIM(N133&amp;" "&amp;O133),9,2))),IF(ISNUMBER(H133),H133,"")),"")</f>
        <v/>
      </c>
      <c r="AC133" s="11">
        <f>IF(ISNUMBER(SEARCH("다기관",TRIM(N133&amp;" "&amp;O133))),IFERROR(DATE(VALUE(MID(TRIM(N133&amp;" "&amp;O133),12,4)),VALUE(MID(TRIM(N133&amp;" "&amp;O133),17,2)),VALUE(MID(TRIM(N133&amp;" "&amp;O133),20,2))),IF(ISNUMBER(I133),I133,"")),"")</f>
        <v/>
      </c>
      <c r="AD133" s="17">
        <f>IF(AND(ISNUMBER(AB133),ISNUMBER(AC133)),MAX(0,MIN(AC133,EOMONTH(출력_요약!$B$3,0))-MAX(AB133,출력_요약!$B$3)+1),0)</f>
        <v/>
      </c>
      <c r="AE133" s="10">
        <f>IF(AND(Q133&lt;&gt;"",ISNUMBER(AB133)),Q133&amp;"|다기관","")</f>
        <v/>
      </c>
    </row>
    <row r="134">
      <c r="A134" s="15">
        <f>IF(F134="","",ROW()-3)</f>
        <v/>
      </c>
      <c r="B134" s="5" t="n"/>
      <c r="C134" s="15" t="n"/>
      <c r="D134" s="5" t="n"/>
      <c r="E134" s="15" t="n"/>
      <c r="F134" s="5" t="n"/>
      <c r="G134" s="6" t="n"/>
      <c r="H134" s="16" t="n"/>
      <c r="I134" s="16" t="n"/>
      <c r="J134" s="15">
        <f>IF(AND(ISNUMBER(H134),ISNUMBER(I134)),I134-H134+1,"")</f>
        <v/>
      </c>
      <c r="K134" s="5" t="n"/>
      <c r="L134" s="5" t="n"/>
      <c r="M134" s="5" t="n"/>
      <c r="N134" s="5" t="n"/>
      <c r="O134" s="5" t="n"/>
      <c r="Q134" s="10">
        <f>IF(TRIM(G134&amp;"")="","",TRIM(G134&amp;""))</f>
        <v/>
      </c>
      <c r="R134" s="10">
        <f>IF(TRIM(B134&amp;"")="","",IFERROR(INDEX(설정_코드표!$K$2:$K$101,MATCH(TRIM(B134&amp;""),설정_코드표!$J$2:$J$101,0)),"⚠"&amp;TRIM(B134&amp;"")))</f>
        <v/>
      </c>
      <c r="S134" s="10">
        <f>IF(TRIM(K134&amp;"")="","",IFERROR(INDEX(설정_코드표!$K$2:$K$101,MATCH(TRIM(K134&amp;""),설정_코드표!$J$2:$J$101,0)),"⚠"&amp;TRIM(K134&amp;"")))</f>
        <v/>
      </c>
      <c r="T134" s="10">
        <f>IF(TRIM(M134&amp;"")="","",IF(ISNUMBER(MATCH(TRIM(M134&amp;""),설정_코드표!$C$2:$C$11,0)),TRIM(M134&amp;""),"⚠"&amp;TRIM(M134&amp;"")))</f>
        <v/>
      </c>
      <c r="U134" s="10">
        <f>IF(TRIM(L134&amp;"")="","",IFERROR(INDEX(설정_코드표!$G$2:$G$101,MATCH(TRIM(L134&amp;""),설정_코드표!$F$2:$F$101,0)),"⚠"&amp;TRIM(L134&amp;"")))</f>
        <v/>
      </c>
      <c r="V134" s="10">
        <f>IF(AND(ISNUMBER(H134),ISNUMBER(I134)),I134-H134+1,"")</f>
        <v/>
      </c>
      <c r="W134" s="17">
        <f>IF(ISNUMBER(H134),MAX(0,MIN(IF(ISNUMBER(I134),I134,EOMONTH(출력_요약!$B$3,0)),EOMONTH(출력_요약!$B$3,0))-MAX(H134,출력_요약!$B$3)+1),0)</f>
        <v/>
      </c>
      <c r="X134" s="10">
        <f>IF(OR(NOT(ISNUMBER(H134)),Q134=""),"",IF(TODAY()&lt;H134,"파견예정",IF(AND(ISNUMBER(I134),TODAY()&gt;I134),"파견종료","파견중")))</f>
        <v/>
      </c>
      <c r="Y134" s="10">
        <f>IF(OR(Q134="",X134=""),"",Q134&amp;"|"&amp;X134)</f>
        <v/>
      </c>
      <c r="Z134" s="10">
        <f>IF(AND(Q134&lt;&gt;"",W134&gt;0),Q134&amp;"|월","")</f>
        <v/>
      </c>
      <c r="AA134" s="10">
        <f>IF(COUNTA(B134:I134,K134:N134)=0,"",IF(Q134="","등록번호 없음",IF(LEFT(R134,1)="⚠","모병원명 미등록",IF(S134="","파견병원 입력",IF(LEFT(S134,1)="⚠","파견병원명 미등록",IF(LEFT(U134,1)="⚠","파견과목 미등록",IF(OR(T134="",LEFT(T134,1)="⚠"),"파견근거 확인",IF(NOT(AND(ISNUMBER(H134),ISNUMBER(I134))),"날짜 형식/누락",IF(I134&lt;H134,"종료일&lt;시작일","")))))))))</f>
        <v/>
      </c>
      <c r="AB134" s="11">
        <f>IF(ISNUMBER(SEARCH("다기관",TRIM(N134&amp;" "&amp;O134))),IFERROR(DATE(VALUE(MID(TRIM(N134&amp;" "&amp;O134),1,4)),VALUE(MID(TRIM(N134&amp;" "&amp;O134),6,2)),VALUE(MID(TRIM(N134&amp;" "&amp;O134),9,2))),IF(ISNUMBER(H134),H134,"")),"")</f>
        <v/>
      </c>
      <c r="AC134" s="11">
        <f>IF(ISNUMBER(SEARCH("다기관",TRIM(N134&amp;" "&amp;O134))),IFERROR(DATE(VALUE(MID(TRIM(N134&amp;" "&amp;O134),12,4)),VALUE(MID(TRIM(N134&amp;" "&amp;O134),17,2)),VALUE(MID(TRIM(N134&amp;" "&amp;O134),20,2))),IF(ISNUMBER(I134),I134,"")),"")</f>
        <v/>
      </c>
      <c r="AD134" s="17">
        <f>IF(AND(ISNUMBER(AB134),ISNUMBER(AC134)),MAX(0,MIN(AC134,EOMONTH(출력_요약!$B$3,0))-MAX(AB134,출력_요약!$B$3)+1),0)</f>
        <v/>
      </c>
      <c r="AE134" s="10">
        <f>IF(AND(Q134&lt;&gt;"",ISNUMBER(AB134)),Q134&amp;"|다기관","")</f>
        <v/>
      </c>
    </row>
    <row r="135">
      <c r="A135" s="15">
        <f>IF(F135="","",ROW()-3)</f>
        <v/>
      </c>
      <c r="B135" s="5" t="n"/>
      <c r="C135" s="15" t="n"/>
      <c r="D135" s="5" t="n"/>
      <c r="E135" s="15" t="n"/>
      <c r="F135" s="5" t="n"/>
      <c r="G135" s="6" t="n"/>
      <c r="H135" s="16" t="n"/>
      <c r="I135" s="16" t="n"/>
      <c r="J135" s="15">
        <f>IF(AND(ISNUMBER(H135),ISNUMBER(I135)),I135-H135+1,"")</f>
        <v/>
      </c>
      <c r="K135" s="5" t="n"/>
      <c r="L135" s="5" t="n"/>
      <c r="M135" s="5" t="n"/>
      <c r="N135" s="5" t="n"/>
      <c r="O135" s="5" t="n"/>
      <c r="Q135" s="10">
        <f>IF(TRIM(G135&amp;"")="","",TRIM(G135&amp;""))</f>
        <v/>
      </c>
      <c r="R135" s="10">
        <f>IF(TRIM(B135&amp;"")="","",IFERROR(INDEX(설정_코드표!$K$2:$K$101,MATCH(TRIM(B135&amp;""),설정_코드표!$J$2:$J$101,0)),"⚠"&amp;TRIM(B135&amp;"")))</f>
        <v/>
      </c>
      <c r="S135" s="10">
        <f>IF(TRIM(K135&amp;"")="","",IFERROR(INDEX(설정_코드표!$K$2:$K$101,MATCH(TRIM(K135&amp;""),설정_코드표!$J$2:$J$101,0)),"⚠"&amp;TRIM(K135&amp;"")))</f>
        <v/>
      </c>
      <c r="T135" s="10">
        <f>IF(TRIM(M135&amp;"")="","",IF(ISNUMBER(MATCH(TRIM(M135&amp;""),설정_코드표!$C$2:$C$11,0)),TRIM(M135&amp;""),"⚠"&amp;TRIM(M135&amp;"")))</f>
        <v/>
      </c>
      <c r="U135" s="10">
        <f>IF(TRIM(L135&amp;"")="","",IFERROR(INDEX(설정_코드표!$G$2:$G$101,MATCH(TRIM(L135&amp;""),설정_코드표!$F$2:$F$101,0)),"⚠"&amp;TRIM(L135&amp;"")))</f>
        <v/>
      </c>
      <c r="V135" s="10">
        <f>IF(AND(ISNUMBER(H135),ISNUMBER(I135)),I135-H135+1,"")</f>
        <v/>
      </c>
      <c r="W135" s="17">
        <f>IF(ISNUMBER(H135),MAX(0,MIN(IF(ISNUMBER(I135),I135,EOMONTH(출력_요약!$B$3,0)),EOMONTH(출력_요약!$B$3,0))-MAX(H135,출력_요약!$B$3)+1),0)</f>
        <v/>
      </c>
      <c r="X135" s="10">
        <f>IF(OR(NOT(ISNUMBER(H135)),Q135=""),"",IF(TODAY()&lt;H135,"파견예정",IF(AND(ISNUMBER(I135),TODAY()&gt;I135),"파견종료","파견중")))</f>
        <v/>
      </c>
      <c r="Y135" s="10">
        <f>IF(OR(Q135="",X135=""),"",Q135&amp;"|"&amp;X135)</f>
        <v/>
      </c>
      <c r="Z135" s="10">
        <f>IF(AND(Q135&lt;&gt;"",W135&gt;0),Q135&amp;"|월","")</f>
        <v/>
      </c>
      <c r="AA135" s="10">
        <f>IF(COUNTA(B135:I135,K135:N135)=0,"",IF(Q135="","등록번호 없음",IF(LEFT(R135,1)="⚠","모병원명 미등록",IF(S135="","파견병원 입력",IF(LEFT(S135,1)="⚠","파견병원명 미등록",IF(LEFT(U135,1)="⚠","파견과목 미등록",IF(OR(T135="",LEFT(T135,1)="⚠"),"파견근거 확인",IF(NOT(AND(ISNUMBER(H135),ISNUMBER(I135))),"날짜 형식/누락",IF(I135&lt;H135,"종료일&lt;시작일","")))))))))</f>
        <v/>
      </c>
      <c r="AB135" s="11">
        <f>IF(ISNUMBER(SEARCH("다기관",TRIM(N135&amp;" "&amp;O135))),IFERROR(DATE(VALUE(MID(TRIM(N135&amp;" "&amp;O135),1,4)),VALUE(MID(TRIM(N135&amp;" "&amp;O135),6,2)),VALUE(MID(TRIM(N135&amp;" "&amp;O135),9,2))),IF(ISNUMBER(H135),H135,"")),"")</f>
        <v/>
      </c>
      <c r="AC135" s="11">
        <f>IF(ISNUMBER(SEARCH("다기관",TRIM(N135&amp;" "&amp;O135))),IFERROR(DATE(VALUE(MID(TRIM(N135&amp;" "&amp;O135),12,4)),VALUE(MID(TRIM(N135&amp;" "&amp;O135),17,2)),VALUE(MID(TRIM(N135&amp;" "&amp;O135),20,2))),IF(ISNUMBER(I135),I135,"")),"")</f>
        <v/>
      </c>
      <c r="AD135" s="17">
        <f>IF(AND(ISNUMBER(AB135),ISNUMBER(AC135)),MAX(0,MIN(AC135,EOMONTH(출력_요약!$B$3,0))-MAX(AB135,출력_요약!$B$3)+1),0)</f>
        <v/>
      </c>
      <c r="AE135" s="10">
        <f>IF(AND(Q135&lt;&gt;"",ISNUMBER(AB135)),Q135&amp;"|다기관","")</f>
        <v/>
      </c>
    </row>
    <row r="136">
      <c r="A136" s="15">
        <f>IF(F136="","",ROW()-3)</f>
        <v/>
      </c>
      <c r="B136" s="5" t="n"/>
      <c r="C136" s="15" t="n"/>
      <c r="D136" s="5" t="n"/>
      <c r="E136" s="15" t="n"/>
      <c r="F136" s="5" t="n"/>
      <c r="G136" s="6" t="n"/>
      <c r="H136" s="16" t="n"/>
      <c r="I136" s="16" t="n"/>
      <c r="J136" s="15">
        <f>IF(AND(ISNUMBER(H136),ISNUMBER(I136)),I136-H136+1,"")</f>
        <v/>
      </c>
      <c r="K136" s="5" t="n"/>
      <c r="L136" s="5" t="n"/>
      <c r="M136" s="5" t="n"/>
      <c r="N136" s="5" t="n"/>
      <c r="O136" s="5" t="n"/>
      <c r="Q136" s="10">
        <f>IF(TRIM(G136&amp;"")="","",TRIM(G136&amp;""))</f>
        <v/>
      </c>
      <c r="R136" s="10">
        <f>IF(TRIM(B136&amp;"")="","",IFERROR(INDEX(설정_코드표!$K$2:$K$101,MATCH(TRIM(B136&amp;""),설정_코드표!$J$2:$J$101,0)),"⚠"&amp;TRIM(B136&amp;"")))</f>
        <v/>
      </c>
      <c r="S136" s="10">
        <f>IF(TRIM(K136&amp;"")="","",IFERROR(INDEX(설정_코드표!$K$2:$K$101,MATCH(TRIM(K136&amp;""),설정_코드표!$J$2:$J$101,0)),"⚠"&amp;TRIM(K136&amp;"")))</f>
        <v/>
      </c>
      <c r="T136" s="10">
        <f>IF(TRIM(M136&amp;"")="","",IF(ISNUMBER(MATCH(TRIM(M136&amp;""),설정_코드표!$C$2:$C$11,0)),TRIM(M136&amp;""),"⚠"&amp;TRIM(M136&amp;"")))</f>
        <v/>
      </c>
      <c r="U136" s="10">
        <f>IF(TRIM(L136&amp;"")="","",IFERROR(INDEX(설정_코드표!$G$2:$G$101,MATCH(TRIM(L136&amp;""),설정_코드표!$F$2:$F$101,0)),"⚠"&amp;TRIM(L136&amp;"")))</f>
        <v/>
      </c>
      <c r="V136" s="10">
        <f>IF(AND(ISNUMBER(H136),ISNUMBER(I136)),I136-H136+1,"")</f>
        <v/>
      </c>
      <c r="W136" s="17">
        <f>IF(ISNUMBER(H136),MAX(0,MIN(IF(ISNUMBER(I136),I136,EOMONTH(출력_요약!$B$3,0)),EOMONTH(출력_요약!$B$3,0))-MAX(H136,출력_요약!$B$3)+1),0)</f>
        <v/>
      </c>
      <c r="X136" s="10">
        <f>IF(OR(NOT(ISNUMBER(H136)),Q136=""),"",IF(TODAY()&lt;H136,"파견예정",IF(AND(ISNUMBER(I136),TODAY()&gt;I136),"파견종료","파견중")))</f>
        <v/>
      </c>
      <c r="Y136" s="10">
        <f>IF(OR(Q136="",X136=""),"",Q136&amp;"|"&amp;X136)</f>
        <v/>
      </c>
      <c r="Z136" s="10">
        <f>IF(AND(Q136&lt;&gt;"",W136&gt;0),Q136&amp;"|월","")</f>
        <v/>
      </c>
      <c r="AA136" s="10">
        <f>IF(COUNTA(B136:I136,K136:N136)=0,"",IF(Q136="","등록번호 없음",IF(LEFT(R136,1)="⚠","모병원명 미등록",IF(S136="","파견병원 입력",IF(LEFT(S136,1)="⚠","파견병원명 미등록",IF(LEFT(U136,1)="⚠","파견과목 미등록",IF(OR(T136="",LEFT(T136,1)="⚠"),"파견근거 확인",IF(NOT(AND(ISNUMBER(H136),ISNUMBER(I136))),"날짜 형식/누락",IF(I136&lt;H136,"종료일&lt;시작일","")))))))))</f>
        <v/>
      </c>
      <c r="AB136" s="11">
        <f>IF(ISNUMBER(SEARCH("다기관",TRIM(N136&amp;" "&amp;O136))),IFERROR(DATE(VALUE(MID(TRIM(N136&amp;" "&amp;O136),1,4)),VALUE(MID(TRIM(N136&amp;" "&amp;O136),6,2)),VALUE(MID(TRIM(N136&amp;" "&amp;O136),9,2))),IF(ISNUMBER(H136),H136,"")),"")</f>
        <v/>
      </c>
      <c r="AC136" s="11">
        <f>IF(ISNUMBER(SEARCH("다기관",TRIM(N136&amp;" "&amp;O136))),IFERROR(DATE(VALUE(MID(TRIM(N136&amp;" "&amp;O136),12,4)),VALUE(MID(TRIM(N136&amp;" "&amp;O136),17,2)),VALUE(MID(TRIM(N136&amp;" "&amp;O136),20,2))),IF(ISNUMBER(I136),I136,"")),"")</f>
        <v/>
      </c>
      <c r="AD136" s="17">
        <f>IF(AND(ISNUMBER(AB136),ISNUMBER(AC136)),MAX(0,MIN(AC136,EOMONTH(출력_요약!$B$3,0))-MAX(AB136,출력_요약!$B$3)+1),0)</f>
        <v/>
      </c>
      <c r="AE136" s="10">
        <f>IF(AND(Q136&lt;&gt;"",ISNUMBER(AB136)),Q136&amp;"|다기관","")</f>
        <v/>
      </c>
    </row>
    <row r="137">
      <c r="A137" s="15">
        <f>IF(F137="","",ROW()-3)</f>
        <v/>
      </c>
      <c r="B137" s="5" t="n"/>
      <c r="C137" s="15" t="n"/>
      <c r="D137" s="5" t="n"/>
      <c r="E137" s="15" t="n"/>
      <c r="F137" s="5" t="n"/>
      <c r="G137" s="6" t="n"/>
      <c r="H137" s="16" t="n"/>
      <c r="I137" s="16" t="n"/>
      <c r="J137" s="15">
        <f>IF(AND(ISNUMBER(H137),ISNUMBER(I137)),I137-H137+1,"")</f>
        <v/>
      </c>
      <c r="K137" s="5" t="n"/>
      <c r="L137" s="5" t="n"/>
      <c r="M137" s="5" t="n"/>
      <c r="N137" s="5" t="n"/>
      <c r="O137" s="5" t="n"/>
      <c r="Q137" s="10">
        <f>IF(TRIM(G137&amp;"")="","",TRIM(G137&amp;""))</f>
        <v/>
      </c>
      <c r="R137" s="10">
        <f>IF(TRIM(B137&amp;"")="","",IFERROR(INDEX(설정_코드표!$K$2:$K$101,MATCH(TRIM(B137&amp;""),설정_코드표!$J$2:$J$101,0)),"⚠"&amp;TRIM(B137&amp;"")))</f>
        <v/>
      </c>
      <c r="S137" s="10">
        <f>IF(TRIM(K137&amp;"")="","",IFERROR(INDEX(설정_코드표!$K$2:$K$101,MATCH(TRIM(K137&amp;""),설정_코드표!$J$2:$J$101,0)),"⚠"&amp;TRIM(K137&amp;"")))</f>
        <v/>
      </c>
      <c r="T137" s="10">
        <f>IF(TRIM(M137&amp;"")="","",IF(ISNUMBER(MATCH(TRIM(M137&amp;""),설정_코드표!$C$2:$C$11,0)),TRIM(M137&amp;""),"⚠"&amp;TRIM(M137&amp;"")))</f>
        <v/>
      </c>
      <c r="U137" s="10">
        <f>IF(TRIM(L137&amp;"")="","",IFERROR(INDEX(설정_코드표!$G$2:$G$101,MATCH(TRIM(L137&amp;""),설정_코드표!$F$2:$F$101,0)),"⚠"&amp;TRIM(L137&amp;"")))</f>
        <v/>
      </c>
      <c r="V137" s="10">
        <f>IF(AND(ISNUMBER(H137),ISNUMBER(I137)),I137-H137+1,"")</f>
        <v/>
      </c>
      <c r="W137" s="17">
        <f>IF(ISNUMBER(H137),MAX(0,MIN(IF(ISNUMBER(I137),I137,EOMONTH(출력_요약!$B$3,0)),EOMONTH(출력_요약!$B$3,0))-MAX(H137,출력_요약!$B$3)+1),0)</f>
        <v/>
      </c>
      <c r="X137" s="10">
        <f>IF(OR(NOT(ISNUMBER(H137)),Q137=""),"",IF(TODAY()&lt;H137,"파견예정",IF(AND(ISNUMBER(I137),TODAY()&gt;I137),"파견종료","파견중")))</f>
        <v/>
      </c>
      <c r="Y137" s="10">
        <f>IF(OR(Q137="",X137=""),"",Q137&amp;"|"&amp;X137)</f>
        <v/>
      </c>
      <c r="Z137" s="10">
        <f>IF(AND(Q137&lt;&gt;"",W137&gt;0),Q137&amp;"|월","")</f>
        <v/>
      </c>
      <c r="AA137" s="10">
        <f>IF(COUNTA(B137:I137,K137:N137)=0,"",IF(Q137="","등록번호 없음",IF(LEFT(R137,1)="⚠","모병원명 미등록",IF(S137="","파견병원 입력",IF(LEFT(S137,1)="⚠","파견병원명 미등록",IF(LEFT(U137,1)="⚠","파견과목 미등록",IF(OR(T137="",LEFT(T137,1)="⚠"),"파견근거 확인",IF(NOT(AND(ISNUMBER(H137),ISNUMBER(I137))),"날짜 형식/누락",IF(I137&lt;H137,"종료일&lt;시작일","")))))))))</f>
        <v/>
      </c>
      <c r="AB137" s="11">
        <f>IF(ISNUMBER(SEARCH("다기관",TRIM(N137&amp;" "&amp;O137))),IFERROR(DATE(VALUE(MID(TRIM(N137&amp;" "&amp;O137),1,4)),VALUE(MID(TRIM(N137&amp;" "&amp;O137),6,2)),VALUE(MID(TRIM(N137&amp;" "&amp;O137),9,2))),IF(ISNUMBER(H137),H137,"")),"")</f>
        <v/>
      </c>
      <c r="AC137" s="11">
        <f>IF(ISNUMBER(SEARCH("다기관",TRIM(N137&amp;" "&amp;O137))),IFERROR(DATE(VALUE(MID(TRIM(N137&amp;" "&amp;O137),12,4)),VALUE(MID(TRIM(N137&amp;" "&amp;O137),17,2)),VALUE(MID(TRIM(N137&amp;" "&amp;O137),20,2))),IF(ISNUMBER(I137),I137,"")),"")</f>
        <v/>
      </c>
      <c r="AD137" s="17">
        <f>IF(AND(ISNUMBER(AB137),ISNUMBER(AC137)),MAX(0,MIN(AC137,EOMONTH(출력_요약!$B$3,0))-MAX(AB137,출력_요약!$B$3)+1),0)</f>
        <v/>
      </c>
      <c r="AE137" s="10">
        <f>IF(AND(Q137&lt;&gt;"",ISNUMBER(AB137)),Q137&amp;"|다기관","")</f>
        <v/>
      </c>
    </row>
    <row r="138">
      <c r="A138" s="15">
        <f>IF(F138="","",ROW()-3)</f>
        <v/>
      </c>
      <c r="B138" s="5" t="n"/>
      <c r="C138" s="15" t="n"/>
      <c r="D138" s="5" t="n"/>
      <c r="E138" s="15" t="n"/>
      <c r="F138" s="5" t="n"/>
      <c r="G138" s="6" t="n"/>
      <c r="H138" s="16" t="n"/>
      <c r="I138" s="16" t="n"/>
      <c r="J138" s="15">
        <f>IF(AND(ISNUMBER(H138),ISNUMBER(I138)),I138-H138+1,"")</f>
        <v/>
      </c>
      <c r="K138" s="5" t="n"/>
      <c r="L138" s="5" t="n"/>
      <c r="M138" s="5" t="n"/>
      <c r="N138" s="5" t="n"/>
      <c r="O138" s="5" t="n"/>
      <c r="Q138" s="10">
        <f>IF(TRIM(G138&amp;"")="","",TRIM(G138&amp;""))</f>
        <v/>
      </c>
      <c r="R138" s="10">
        <f>IF(TRIM(B138&amp;"")="","",IFERROR(INDEX(설정_코드표!$K$2:$K$101,MATCH(TRIM(B138&amp;""),설정_코드표!$J$2:$J$101,0)),"⚠"&amp;TRIM(B138&amp;"")))</f>
        <v/>
      </c>
      <c r="S138" s="10">
        <f>IF(TRIM(K138&amp;"")="","",IFERROR(INDEX(설정_코드표!$K$2:$K$101,MATCH(TRIM(K138&amp;""),설정_코드표!$J$2:$J$101,0)),"⚠"&amp;TRIM(K138&amp;"")))</f>
        <v/>
      </c>
      <c r="T138" s="10">
        <f>IF(TRIM(M138&amp;"")="","",IF(ISNUMBER(MATCH(TRIM(M138&amp;""),설정_코드표!$C$2:$C$11,0)),TRIM(M138&amp;""),"⚠"&amp;TRIM(M138&amp;"")))</f>
        <v/>
      </c>
      <c r="U138" s="10">
        <f>IF(TRIM(L138&amp;"")="","",IFERROR(INDEX(설정_코드표!$G$2:$G$101,MATCH(TRIM(L138&amp;""),설정_코드표!$F$2:$F$101,0)),"⚠"&amp;TRIM(L138&amp;"")))</f>
        <v/>
      </c>
      <c r="V138" s="10">
        <f>IF(AND(ISNUMBER(H138),ISNUMBER(I138)),I138-H138+1,"")</f>
        <v/>
      </c>
      <c r="W138" s="17">
        <f>IF(ISNUMBER(H138),MAX(0,MIN(IF(ISNUMBER(I138),I138,EOMONTH(출력_요약!$B$3,0)),EOMONTH(출력_요약!$B$3,0))-MAX(H138,출력_요약!$B$3)+1),0)</f>
        <v/>
      </c>
      <c r="X138" s="10">
        <f>IF(OR(NOT(ISNUMBER(H138)),Q138=""),"",IF(TODAY()&lt;H138,"파견예정",IF(AND(ISNUMBER(I138),TODAY()&gt;I138),"파견종료","파견중")))</f>
        <v/>
      </c>
      <c r="Y138" s="10">
        <f>IF(OR(Q138="",X138=""),"",Q138&amp;"|"&amp;X138)</f>
        <v/>
      </c>
      <c r="Z138" s="10">
        <f>IF(AND(Q138&lt;&gt;"",W138&gt;0),Q138&amp;"|월","")</f>
        <v/>
      </c>
      <c r="AA138" s="10">
        <f>IF(COUNTA(B138:I138,K138:N138)=0,"",IF(Q138="","등록번호 없음",IF(LEFT(R138,1)="⚠","모병원명 미등록",IF(S138="","파견병원 입력",IF(LEFT(S138,1)="⚠","파견병원명 미등록",IF(LEFT(U138,1)="⚠","파견과목 미등록",IF(OR(T138="",LEFT(T138,1)="⚠"),"파견근거 확인",IF(NOT(AND(ISNUMBER(H138),ISNUMBER(I138))),"날짜 형식/누락",IF(I138&lt;H138,"종료일&lt;시작일","")))))))))</f>
        <v/>
      </c>
      <c r="AB138" s="11">
        <f>IF(ISNUMBER(SEARCH("다기관",TRIM(N138&amp;" "&amp;O138))),IFERROR(DATE(VALUE(MID(TRIM(N138&amp;" "&amp;O138),1,4)),VALUE(MID(TRIM(N138&amp;" "&amp;O138),6,2)),VALUE(MID(TRIM(N138&amp;" "&amp;O138),9,2))),IF(ISNUMBER(H138),H138,"")),"")</f>
        <v/>
      </c>
      <c r="AC138" s="11">
        <f>IF(ISNUMBER(SEARCH("다기관",TRIM(N138&amp;" "&amp;O138))),IFERROR(DATE(VALUE(MID(TRIM(N138&amp;" "&amp;O138),12,4)),VALUE(MID(TRIM(N138&amp;" "&amp;O138),17,2)),VALUE(MID(TRIM(N138&amp;" "&amp;O138),20,2))),IF(ISNUMBER(I138),I138,"")),"")</f>
        <v/>
      </c>
      <c r="AD138" s="17">
        <f>IF(AND(ISNUMBER(AB138),ISNUMBER(AC138)),MAX(0,MIN(AC138,EOMONTH(출력_요약!$B$3,0))-MAX(AB138,출력_요약!$B$3)+1),0)</f>
        <v/>
      </c>
      <c r="AE138" s="10">
        <f>IF(AND(Q138&lt;&gt;"",ISNUMBER(AB138)),Q138&amp;"|다기관","")</f>
        <v/>
      </c>
    </row>
    <row r="139">
      <c r="A139" s="15">
        <f>IF(F139="","",ROW()-3)</f>
        <v/>
      </c>
      <c r="B139" s="5" t="n"/>
      <c r="C139" s="15" t="n"/>
      <c r="D139" s="5" t="n"/>
      <c r="E139" s="15" t="n"/>
      <c r="F139" s="5" t="n"/>
      <c r="G139" s="6" t="n"/>
      <c r="H139" s="16" t="n"/>
      <c r="I139" s="16" t="n"/>
      <c r="J139" s="15">
        <f>IF(AND(ISNUMBER(H139),ISNUMBER(I139)),I139-H139+1,"")</f>
        <v/>
      </c>
      <c r="K139" s="5" t="n"/>
      <c r="L139" s="5" t="n"/>
      <c r="M139" s="5" t="n"/>
      <c r="N139" s="5" t="n"/>
      <c r="O139" s="5" t="n"/>
      <c r="Q139" s="10">
        <f>IF(TRIM(G139&amp;"")="","",TRIM(G139&amp;""))</f>
        <v/>
      </c>
      <c r="R139" s="10">
        <f>IF(TRIM(B139&amp;"")="","",IFERROR(INDEX(설정_코드표!$K$2:$K$101,MATCH(TRIM(B139&amp;""),설정_코드표!$J$2:$J$101,0)),"⚠"&amp;TRIM(B139&amp;"")))</f>
        <v/>
      </c>
      <c r="S139" s="10">
        <f>IF(TRIM(K139&amp;"")="","",IFERROR(INDEX(설정_코드표!$K$2:$K$101,MATCH(TRIM(K139&amp;""),설정_코드표!$J$2:$J$101,0)),"⚠"&amp;TRIM(K139&amp;"")))</f>
        <v/>
      </c>
      <c r="T139" s="10">
        <f>IF(TRIM(M139&amp;"")="","",IF(ISNUMBER(MATCH(TRIM(M139&amp;""),설정_코드표!$C$2:$C$11,0)),TRIM(M139&amp;""),"⚠"&amp;TRIM(M139&amp;"")))</f>
        <v/>
      </c>
      <c r="U139" s="10">
        <f>IF(TRIM(L139&amp;"")="","",IFERROR(INDEX(설정_코드표!$G$2:$G$101,MATCH(TRIM(L139&amp;""),설정_코드표!$F$2:$F$101,0)),"⚠"&amp;TRIM(L139&amp;"")))</f>
        <v/>
      </c>
      <c r="V139" s="10">
        <f>IF(AND(ISNUMBER(H139),ISNUMBER(I139)),I139-H139+1,"")</f>
        <v/>
      </c>
      <c r="W139" s="17">
        <f>IF(ISNUMBER(H139),MAX(0,MIN(IF(ISNUMBER(I139),I139,EOMONTH(출력_요약!$B$3,0)),EOMONTH(출력_요약!$B$3,0))-MAX(H139,출력_요약!$B$3)+1),0)</f>
        <v/>
      </c>
      <c r="X139" s="10">
        <f>IF(OR(NOT(ISNUMBER(H139)),Q139=""),"",IF(TODAY()&lt;H139,"파견예정",IF(AND(ISNUMBER(I139),TODAY()&gt;I139),"파견종료","파견중")))</f>
        <v/>
      </c>
      <c r="Y139" s="10">
        <f>IF(OR(Q139="",X139=""),"",Q139&amp;"|"&amp;X139)</f>
        <v/>
      </c>
      <c r="Z139" s="10">
        <f>IF(AND(Q139&lt;&gt;"",W139&gt;0),Q139&amp;"|월","")</f>
        <v/>
      </c>
      <c r="AA139" s="10">
        <f>IF(COUNTA(B139:I139,K139:N139)=0,"",IF(Q139="","등록번호 없음",IF(LEFT(R139,1)="⚠","모병원명 미등록",IF(S139="","파견병원 입력",IF(LEFT(S139,1)="⚠","파견병원명 미등록",IF(LEFT(U139,1)="⚠","파견과목 미등록",IF(OR(T139="",LEFT(T139,1)="⚠"),"파견근거 확인",IF(NOT(AND(ISNUMBER(H139),ISNUMBER(I139))),"날짜 형식/누락",IF(I139&lt;H139,"종료일&lt;시작일","")))))))))</f>
        <v/>
      </c>
      <c r="AB139" s="11">
        <f>IF(ISNUMBER(SEARCH("다기관",TRIM(N139&amp;" "&amp;O139))),IFERROR(DATE(VALUE(MID(TRIM(N139&amp;" "&amp;O139),1,4)),VALUE(MID(TRIM(N139&amp;" "&amp;O139),6,2)),VALUE(MID(TRIM(N139&amp;" "&amp;O139),9,2))),IF(ISNUMBER(H139),H139,"")),"")</f>
        <v/>
      </c>
      <c r="AC139" s="11">
        <f>IF(ISNUMBER(SEARCH("다기관",TRIM(N139&amp;" "&amp;O139))),IFERROR(DATE(VALUE(MID(TRIM(N139&amp;" "&amp;O139),12,4)),VALUE(MID(TRIM(N139&amp;" "&amp;O139),17,2)),VALUE(MID(TRIM(N139&amp;" "&amp;O139),20,2))),IF(ISNUMBER(I139),I139,"")),"")</f>
        <v/>
      </c>
      <c r="AD139" s="17">
        <f>IF(AND(ISNUMBER(AB139),ISNUMBER(AC139)),MAX(0,MIN(AC139,EOMONTH(출력_요약!$B$3,0))-MAX(AB139,출력_요약!$B$3)+1),0)</f>
        <v/>
      </c>
      <c r="AE139" s="10">
        <f>IF(AND(Q139&lt;&gt;"",ISNUMBER(AB139)),Q139&amp;"|다기관","")</f>
        <v/>
      </c>
    </row>
    <row r="140">
      <c r="A140" s="15">
        <f>IF(F140="","",ROW()-3)</f>
        <v/>
      </c>
      <c r="B140" s="5" t="n"/>
      <c r="C140" s="15" t="n"/>
      <c r="D140" s="5" t="n"/>
      <c r="E140" s="15" t="n"/>
      <c r="F140" s="5" t="n"/>
      <c r="G140" s="6" t="n"/>
      <c r="H140" s="16" t="n"/>
      <c r="I140" s="16" t="n"/>
      <c r="J140" s="15">
        <f>IF(AND(ISNUMBER(H140),ISNUMBER(I140)),I140-H140+1,"")</f>
        <v/>
      </c>
      <c r="K140" s="5" t="n"/>
      <c r="L140" s="5" t="n"/>
      <c r="M140" s="5" t="n"/>
      <c r="N140" s="5" t="n"/>
      <c r="O140" s="5" t="n"/>
      <c r="Q140" s="10">
        <f>IF(TRIM(G140&amp;"")="","",TRIM(G140&amp;""))</f>
        <v/>
      </c>
      <c r="R140" s="10">
        <f>IF(TRIM(B140&amp;"")="","",IFERROR(INDEX(설정_코드표!$K$2:$K$101,MATCH(TRIM(B140&amp;""),설정_코드표!$J$2:$J$101,0)),"⚠"&amp;TRIM(B140&amp;"")))</f>
        <v/>
      </c>
      <c r="S140" s="10">
        <f>IF(TRIM(K140&amp;"")="","",IFERROR(INDEX(설정_코드표!$K$2:$K$101,MATCH(TRIM(K140&amp;""),설정_코드표!$J$2:$J$101,0)),"⚠"&amp;TRIM(K140&amp;"")))</f>
        <v/>
      </c>
      <c r="T140" s="10">
        <f>IF(TRIM(M140&amp;"")="","",IF(ISNUMBER(MATCH(TRIM(M140&amp;""),설정_코드표!$C$2:$C$11,0)),TRIM(M140&amp;""),"⚠"&amp;TRIM(M140&amp;"")))</f>
        <v/>
      </c>
      <c r="U140" s="10">
        <f>IF(TRIM(L140&amp;"")="","",IFERROR(INDEX(설정_코드표!$G$2:$G$101,MATCH(TRIM(L140&amp;""),설정_코드표!$F$2:$F$101,0)),"⚠"&amp;TRIM(L140&amp;"")))</f>
        <v/>
      </c>
      <c r="V140" s="10">
        <f>IF(AND(ISNUMBER(H140),ISNUMBER(I140)),I140-H140+1,"")</f>
        <v/>
      </c>
      <c r="W140" s="17">
        <f>IF(ISNUMBER(H140),MAX(0,MIN(IF(ISNUMBER(I140),I140,EOMONTH(출력_요약!$B$3,0)),EOMONTH(출력_요약!$B$3,0))-MAX(H140,출력_요약!$B$3)+1),0)</f>
        <v/>
      </c>
      <c r="X140" s="10">
        <f>IF(OR(NOT(ISNUMBER(H140)),Q140=""),"",IF(TODAY()&lt;H140,"파견예정",IF(AND(ISNUMBER(I140),TODAY()&gt;I140),"파견종료","파견중")))</f>
        <v/>
      </c>
      <c r="Y140" s="10">
        <f>IF(OR(Q140="",X140=""),"",Q140&amp;"|"&amp;X140)</f>
        <v/>
      </c>
      <c r="Z140" s="10">
        <f>IF(AND(Q140&lt;&gt;"",W140&gt;0),Q140&amp;"|월","")</f>
        <v/>
      </c>
      <c r="AA140" s="10">
        <f>IF(COUNTA(B140:I140,K140:N140)=0,"",IF(Q140="","등록번호 없음",IF(LEFT(R140,1)="⚠","모병원명 미등록",IF(S140="","파견병원 입력",IF(LEFT(S140,1)="⚠","파견병원명 미등록",IF(LEFT(U140,1)="⚠","파견과목 미등록",IF(OR(T140="",LEFT(T140,1)="⚠"),"파견근거 확인",IF(NOT(AND(ISNUMBER(H140),ISNUMBER(I140))),"날짜 형식/누락",IF(I140&lt;H140,"종료일&lt;시작일","")))))))))</f>
        <v/>
      </c>
      <c r="AB140" s="11">
        <f>IF(ISNUMBER(SEARCH("다기관",TRIM(N140&amp;" "&amp;O140))),IFERROR(DATE(VALUE(MID(TRIM(N140&amp;" "&amp;O140),1,4)),VALUE(MID(TRIM(N140&amp;" "&amp;O140),6,2)),VALUE(MID(TRIM(N140&amp;" "&amp;O140),9,2))),IF(ISNUMBER(H140),H140,"")),"")</f>
        <v/>
      </c>
      <c r="AC140" s="11">
        <f>IF(ISNUMBER(SEARCH("다기관",TRIM(N140&amp;" "&amp;O140))),IFERROR(DATE(VALUE(MID(TRIM(N140&amp;" "&amp;O140),12,4)),VALUE(MID(TRIM(N140&amp;" "&amp;O140),17,2)),VALUE(MID(TRIM(N140&amp;" "&amp;O140),20,2))),IF(ISNUMBER(I140),I140,"")),"")</f>
        <v/>
      </c>
      <c r="AD140" s="17">
        <f>IF(AND(ISNUMBER(AB140),ISNUMBER(AC140)),MAX(0,MIN(AC140,EOMONTH(출력_요약!$B$3,0))-MAX(AB140,출력_요약!$B$3)+1),0)</f>
        <v/>
      </c>
      <c r="AE140" s="10">
        <f>IF(AND(Q140&lt;&gt;"",ISNUMBER(AB140)),Q140&amp;"|다기관","")</f>
        <v/>
      </c>
    </row>
    <row r="141">
      <c r="A141" s="15">
        <f>IF(F141="","",ROW()-3)</f>
        <v/>
      </c>
      <c r="B141" s="5" t="n"/>
      <c r="C141" s="15" t="n"/>
      <c r="D141" s="5" t="n"/>
      <c r="E141" s="15" t="n"/>
      <c r="F141" s="5" t="n"/>
      <c r="G141" s="6" t="n"/>
      <c r="H141" s="16" t="n"/>
      <c r="I141" s="16" t="n"/>
      <c r="J141" s="15">
        <f>IF(AND(ISNUMBER(H141),ISNUMBER(I141)),I141-H141+1,"")</f>
        <v/>
      </c>
      <c r="K141" s="5" t="n"/>
      <c r="L141" s="5" t="n"/>
      <c r="M141" s="5" t="n"/>
      <c r="N141" s="5" t="n"/>
      <c r="O141" s="5" t="n"/>
      <c r="Q141" s="10">
        <f>IF(TRIM(G141&amp;"")="","",TRIM(G141&amp;""))</f>
        <v/>
      </c>
      <c r="R141" s="10">
        <f>IF(TRIM(B141&amp;"")="","",IFERROR(INDEX(설정_코드표!$K$2:$K$101,MATCH(TRIM(B141&amp;""),설정_코드표!$J$2:$J$101,0)),"⚠"&amp;TRIM(B141&amp;"")))</f>
        <v/>
      </c>
      <c r="S141" s="10">
        <f>IF(TRIM(K141&amp;"")="","",IFERROR(INDEX(설정_코드표!$K$2:$K$101,MATCH(TRIM(K141&amp;""),설정_코드표!$J$2:$J$101,0)),"⚠"&amp;TRIM(K141&amp;"")))</f>
        <v/>
      </c>
      <c r="T141" s="10">
        <f>IF(TRIM(M141&amp;"")="","",IF(ISNUMBER(MATCH(TRIM(M141&amp;""),설정_코드표!$C$2:$C$11,0)),TRIM(M141&amp;""),"⚠"&amp;TRIM(M141&amp;"")))</f>
        <v/>
      </c>
      <c r="U141" s="10">
        <f>IF(TRIM(L141&amp;"")="","",IFERROR(INDEX(설정_코드표!$G$2:$G$101,MATCH(TRIM(L141&amp;""),설정_코드표!$F$2:$F$101,0)),"⚠"&amp;TRIM(L141&amp;"")))</f>
        <v/>
      </c>
      <c r="V141" s="10">
        <f>IF(AND(ISNUMBER(H141),ISNUMBER(I141)),I141-H141+1,"")</f>
        <v/>
      </c>
      <c r="W141" s="17">
        <f>IF(ISNUMBER(H141),MAX(0,MIN(IF(ISNUMBER(I141),I141,EOMONTH(출력_요약!$B$3,0)),EOMONTH(출력_요약!$B$3,0))-MAX(H141,출력_요약!$B$3)+1),0)</f>
        <v/>
      </c>
      <c r="X141" s="10">
        <f>IF(OR(NOT(ISNUMBER(H141)),Q141=""),"",IF(TODAY()&lt;H141,"파견예정",IF(AND(ISNUMBER(I141),TODAY()&gt;I141),"파견종료","파견중")))</f>
        <v/>
      </c>
      <c r="Y141" s="10">
        <f>IF(OR(Q141="",X141=""),"",Q141&amp;"|"&amp;X141)</f>
        <v/>
      </c>
      <c r="Z141" s="10">
        <f>IF(AND(Q141&lt;&gt;"",W141&gt;0),Q141&amp;"|월","")</f>
        <v/>
      </c>
      <c r="AA141" s="10">
        <f>IF(COUNTA(B141:I141,K141:N141)=0,"",IF(Q141="","등록번호 없음",IF(LEFT(R141,1)="⚠","모병원명 미등록",IF(S141="","파견병원 입력",IF(LEFT(S141,1)="⚠","파견병원명 미등록",IF(LEFT(U141,1)="⚠","파견과목 미등록",IF(OR(T141="",LEFT(T141,1)="⚠"),"파견근거 확인",IF(NOT(AND(ISNUMBER(H141),ISNUMBER(I141))),"날짜 형식/누락",IF(I141&lt;H141,"종료일&lt;시작일","")))))))))</f>
        <v/>
      </c>
      <c r="AB141" s="11">
        <f>IF(ISNUMBER(SEARCH("다기관",TRIM(N141&amp;" "&amp;O141))),IFERROR(DATE(VALUE(MID(TRIM(N141&amp;" "&amp;O141),1,4)),VALUE(MID(TRIM(N141&amp;" "&amp;O141),6,2)),VALUE(MID(TRIM(N141&amp;" "&amp;O141),9,2))),IF(ISNUMBER(H141),H141,"")),"")</f>
        <v/>
      </c>
      <c r="AC141" s="11">
        <f>IF(ISNUMBER(SEARCH("다기관",TRIM(N141&amp;" "&amp;O141))),IFERROR(DATE(VALUE(MID(TRIM(N141&amp;" "&amp;O141),12,4)),VALUE(MID(TRIM(N141&amp;" "&amp;O141),17,2)),VALUE(MID(TRIM(N141&amp;" "&amp;O141),20,2))),IF(ISNUMBER(I141),I141,"")),"")</f>
        <v/>
      </c>
      <c r="AD141" s="17">
        <f>IF(AND(ISNUMBER(AB141),ISNUMBER(AC141)),MAX(0,MIN(AC141,EOMONTH(출력_요약!$B$3,0))-MAX(AB141,출력_요약!$B$3)+1),0)</f>
        <v/>
      </c>
      <c r="AE141" s="10">
        <f>IF(AND(Q141&lt;&gt;"",ISNUMBER(AB141)),Q141&amp;"|다기관","")</f>
        <v/>
      </c>
    </row>
    <row r="142">
      <c r="A142" s="15">
        <f>IF(F142="","",ROW()-3)</f>
        <v/>
      </c>
      <c r="B142" s="5" t="n"/>
      <c r="C142" s="15" t="n"/>
      <c r="D142" s="5" t="n"/>
      <c r="E142" s="15" t="n"/>
      <c r="F142" s="5" t="n"/>
      <c r="G142" s="6" t="n"/>
      <c r="H142" s="16" t="n"/>
      <c r="I142" s="16" t="n"/>
      <c r="J142" s="15">
        <f>IF(AND(ISNUMBER(H142),ISNUMBER(I142)),I142-H142+1,"")</f>
        <v/>
      </c>
      <c r="K142" s="5" t="n"/>
      <c r="L142" s="5" t="n"/>
      <c r="M142" s="5" t="n"/>
      <c r="N142" s="5" t="n"/>
      <c r="O142" s="5" t="n"/>
      <c r="Q142" s="10">
        <f>IF(TRIM(G142&amp;"")="","",TRIM(G142&amp;""))</f>
        <v/>
      </c>
      <c r="R142" s="10">
        <f>IF(TRIM(B142&amp;"")="","",IFERROR(INDEX(설정_코드표!$K$2:$K$101,MATCH(TRIM(B142&amp;""),설정_코드표!$J$2:$J$101,0)),"⚠"&amp;TRIM(B142&amp;"")))</f>
        <v/>
      </c>
      <c r="S142" s="10">
        <f>IF(TRIM(K142&amp;"")="","",IFERROR(INDEX(설정_코드표!$K$2:$K$101,MATCH(TRIM(K142&amp;""),설정_코드표!$J$2:$J$101,0)),"⚠"&amp;TRIM(K142&amp;"")))</f>
        <v/>
      </c>
      <c r="T142" s="10">
        <f>IF(TRIM(M142&amp;"")="","",IF(ISNUMBER(MATCH(TRIM(M142&amp;""),설정_코드표!$C$2:$C$11,0)),TRIM(M142&amp;""),"⚠"&amp;TRIM(M142&amp;"")))</f>
        <v/>
      </c>
      <c r="U142" s="10">
        <f>IF(TRIM(L142&amp;"")="","",IFERROR(INDEX(설정_코드표!$G$2:$G$101,MATCH(TRIM(L142&amp;""),설정_코드표!$F$2:$F$101,0)),"⚠"&amp;TRIM(L142&amp;"")))</f>
        <v/>
      </c>
      <c r="V142" s="10">
        <f>IF(AND(ISNUMBER(H142),ISNUMBER(I142)),I142-H142+1,"")</f>
        <v/>
      </c>
      <c r="W142" s="17">
        <f>IF(ISNUMBER(H142),MAX(0,MIN(IF(ISNUMBER(I142),I142,EOMONTH(출력_요약!$B$3,0)),EOMONTH(출력_요약!$B$3,0))-MAX(H142,출력_요약!$B$3)+1),0)</f>
        <v/>
      </c>
      <c r="X142" s="10">
        <f>IF(OR(NOT(ISNUMBER(H142)),Q142=""),"",IF(TODAY()&lt;H142,"파견예정",IF(AND(ISNUMBER(I142),TODAY()&gt;I142),"파견종료","파견중")))</f>
        <v/>
      </c>
      <c r="Y142" s="10">
        <f>IF(OR(Q142="",X142=""),"",Q142&amp;"|"&amp;X142)</f>
        <v/>
      </c>
      <c r="Z142" s="10">
        <f>IF(AND(Q142&lt;&gt;"",W142&gt;0),Q142&amp;"|월","")</f>
        <v/>
      </c>
      <c r="AA142" s="10">
        <f>IF(COUNTA(B142:I142,K142:N142)=0,"",IF(Q142="","등록번호 없음",IF(LEFT(R142,1)="⚠","모병원명 미등록",IF(S142="","파견병원 입력",IF(LEFT(S142,1)="⚠","파견병원명 미등록",IF(LEFT(U142,1)="⚠","파견과목 미등록",IF(OR(T142="",LEFT(T142,1)="⚠"),"파견근거 확인",IF(NOT(AND(ISNUMBER(H142),ISNUMBER(I142))),"날짜 형식/누락",IF(I142&lt;H142,"종료일&lt;시작일","")))))))))</f>
        <v/>
      </c>
      <c r="AB142" s="11">
        <f>IF(ISNUMBER(SEARCH("다기관",TRIM(N142&amp;" "&amp;O142))),IFERROR(DATE(VALUE(MID(TRIM(N142&amp;" "&amp;O142),1,4)),VALUE(MID(TRIM(N142&amp;" "&amp;O142),6,2)),VALUE(MID(TRIM(N142&amp;" "&amp;O142),9,2))),IF(ISNUMBER(H142),H142,"")),"")</f>
        <v/>
      </c>
      <c r="AC142" s="11">
        <f>IF(ISNUMBER(SEARCH("다기관",TRIM(N142&amp;" "&amp;O142))),IFERROR(DATE(VALUE(MID(TRIM(N142&amp;" "&amp;O142),12,4)),VALUE(MID(TRIM(N142&amp;" "&amp;O142),17,2)),VALUE(MID(TRIM(N142&amp;" "&amp;O142),20,2))),IF(ISNUMBER(I142),I142,"")),"")</f>
        <v/>
      </c>
      <c r="AD142" s="17">
        <f>IF(AND(ISNUMBER(AB142),ISNUMBER(AC142)),MAX(0,MIN(AC142,EOMONTH(출력_요약!$B$3,0))-MAX(AB142,출력_요약!$B$3)+1),0)</f>
        <v/>
      </c>
      <c r="AE142" s="10">
        <f>IF(AND(Q142&lt;&gt;"",ISNUMBER(AB142)),Q142&amp;"|다기관","")</f>
        <v/>
      </c>
    </row>
    <row r="143">
      <c r="A143" s="15">
        <f>IF(F143="","",ROW()-3)</f>
        <v/>
      </c>
      <c r="B143" s="5" t="n"/>
      <c r="C143" s="15" t="n"/>
      <c r="D143" s="5" t="n"/>
      <c r="E143" s="15" t="n"/>
      <c r="F143" s="5" t="n"/>
      <c r="G143" s="6" t="n"/>
      <c r="H143" s="16" t="n"/>
      <c r="I143" s="16" t="n"/>
      <c r="J143" s="15">
        <f>IF(AND(ISNUMBER(H143),ISNUMBER(I143)),I143-H143+1,"")</f>
        <v/>
      </c>
      <c r="K143" s="5" t="n"/>
      <c r="L143" s="5" t="n"/>
      <c r="M143" s="5" t="n"/>
      <c r="N143" s="5" t="n"/>
      <c r="O143" s="5" t="n"/>
      <c r="Q143" s="10">
        <f>IF(TRIM(G143&amp;"")="","",TRIM(G143&amp;""))</f>
        <v/>
      </c>
      <c r="R143" s="10">
        <f>IF(TRIM(B143&amp;"")="","",IFERROR(INDEX(설정_코드표!$K$2:$K$101,MATCH(TRIM(B143&amp;""),설정_코드표!$J$2:$J$101,0)),"⚠"&amp;TRIM(B143&amp;"")))</f>
        <v/>
      </c>
      <c r="S143" s="10">
        <f>IF(TRIM(K143&amp;"")="","",IFERROR(INDEX(설정_코드표!$K$2:$K$101,MATCH(TRIM(K143&amp;""),설정_코드표!$J$2:$J$101,0)),"⚠"&amp;TRIM(K143&amp;"")))</f>
        <v/>
      </c>
      <c r="T143" s="10">
        <f>IF(TRIM(M143&amp;"")="","",IF(ISNUMBER(MATCH(TRIM(M143&amp;""),설정_코드표!$C$2:$C$11,0)),TRIM(M143&amp;""),"⚠"&amp;TRIM(M143&amp;"")))</f>
        <v/>
      </c>
      <c r="U143" s="10">
        <f>IF(TRIM(L143&amp;"")="","",IFERROR(INDEX(설정_코드표!$G$2:$G$101,MATCH(TRIM(L143&amp;""),설정_코드표!$F$2:$F$101,0)),"⚠"&amp;TRIM(L143&amp;"")))</f>
        <v/>
      </c>
      <c r="V143" s="10">
        <f>IF(AND(ISNUMBER(H143),ISNUMBER(I143)),I143-H143+1,"")</f>
        <v/>
      </c>
      <c r="W143" s="17">
        <f>IF(ISNUMBER(H143),MAX(0,MIN(IF(ISNUMBER(I143),I143,EOMONTH(출력_요약!$B$3,0)),EOMONTH(출력_요약!$B$3,0))-MAX(H143,출력_요약!$B$3)+1),0)</f>
        <v/>
      </c>
      <c r="X143" s="10">
        <f>IF(OR(NOT(ISNUMBER(H143)),Q143=""),"",IF(TODAY()&lt;H143,"파견예정",IF(AND(ISNUMBER(I143),TODAY()&gt;I143),"파견종료","파견중")))</f>
        <v/>
      </c>
      <c r="Y143" s="10">
        <f>IF(OR(Q143="",X143=""),"",Q143&amp;"|"&amp;X143)</f>
        <v/>
      </c>
      <c r="Z143" s="10">
        <f>IF(AND(Q143&lt;&gt;"",W143&gt;0),Q143&amp;"|월","")</f>
        <v/>
      </c>
      <c r="AA143" s="10">
        <f>IF(COUNTA(B143:I143,K143:N143)=0,"",IF(Q143="","등록번호 없음",IF(LEFT(R143,1)="⚠","모병원명 미등록",IF(S143="","파견병원 입력",IF(LEFT(S143,1)="⚠","파견병원명 미등록",IF(LEFT(U143,1)="⚠","파견과목 미등록",IF(OR(T143="",LEFT(T143,1)="⚠"),"파견근거 확인",IF(NOT(AND(ISNUMBER(H143),ISNUMBER(I143))),"날짜 형식/누락",IF(I143&lt;H143,"종료일&lt;시작일","")))))))))</f>
        <v/>
      </c>
      <c r="AB143" s="11">
        <f>IF(ISNUMBER(SEARCH("다기관",TRIM(N143&amp;" "&amp;O143))),IFERROR(DATE(VALUE(MID(TRIM(N143&amp;" "&amp;O143),1,4)),VALUE(MID(TRIM(N143&amp;" "&amp;O143),6,2)),VALUE(MID(TRIM(N143&amp;" "&amp;O143),9,2))),IF(ISNUMBER(H143),H143,"")),"")</f>
        <v/>
      </c>
      <c r="AC143" s="11">
        <f>IF(ISNUMBER(SEARCH("다기관",TRIM(N143&amp;" "&amp;O143))),IFERROR(DATE(VALUE(MID(TRIM(N143&amp;" "&amp;O143),12,4)),VALUE(MID(TRIM(N143&amp;" "&amp;O143),17,2)),VALUE(MID(TRIM(N143&amp;" "&amp;O143),20,2))),IF(ISNUMBER(I143),I143,"")),"")</f>
        <v/>
      </c>
      <c r="AD143" s="17">
        <f>IF(AND(ISNUMBER(AB143),ISNUMBER(AC143)),MAX(0,MIN(AC143,EOMONTH(출력_요약!$B$3,0))-MAX(AB143,출력_요약!$B$3)+1),0)</f>
        <v/>
      </c>
      <c r="AE143" s="10">
        <f>IF(AND(Q143&lt;&gt;"",ISNUMBER(AB143)),Q143&amp;"|다기관","")</f>
        <v/>
      </c>
    </row>
    <row r="144">
      <c r="A144" s="15">
        <f>IF(F144="","",ROW()-3)</f>
        <v/>
      </c>
      <c r="B144" s="5" t="n"/>
      <c r="C144" s="15" t="n"/>
      <c r="D144" s="5" t="n"/>
      <c r="E144" s="15" t="n"/>
      <c r="F144" s="5" t="n"/>
      <c r="G144" s="6" t="n"/>
      <c r="H144" s="16" t="n"/>
      <c r="I144" s="16" t="n"/>
      <c r="J144" s="15">
        <f>IF(AND(ISNUMBER(H144),ISNUMBER(I144)),I144-H144+1,"")</f>
        <v/>
      </c>
      <c r="K144" s="5" t="n"/>
      <c r="L144" s="5" t="n"/>
      <c r="M144" s="5" t="n"/>
      <c r="N144" s="5" t="n"/>
      <c r="O144" s="5" t="n"/>
      <c r="Q144" s="10">
        <f>IF(TRIM(G144&amp;"")="","",TRIM(G144&amp;""))</f>
        <v/>
      </c>
      <c r="R144" s="10">
        <f>IF(TRIM(B144&amp;"")="","",IFERROR(INDEX(설정_코드표!$K$2:$K$101,MATCH(TRIM(B144&amp;""),설정_코드표!$J$2:$J$101,0)),"⚠"&amp;TRIM(B144&amp;"")))</f>
        <v/>
      </c>
      <c r="S144" s="10">
        <f>IF(TRIM(K144&amp;"")="","",IFERROR(INDEX(설정_코드표!$K$2:$K$101,MATCH(TRIM(K144&amp;""),설정_코드표!$J$2:$J$101,0)),"⚠"&amp;TRIM(K144&amp;"")))</f>
        <v/>
      </c>
      <c r="T144" s="10">
        <f>IF(TRIM(M144&amp;"")="","",IF(ISNUMBER(MATCH(TRIM(M144&amp;""),설정_코드표!$C$2:$C$11,0)),TRIM(M144&amp;""),"⚠"&amp;TRIM(M144&amp;"")))</f>
        <v/>
      </c>
      <c r="U144" s="10">
        <f>IF(TRIM(L144&amp;"")="","",IFERROR(INDEX(설정_코드표!$G$2:$G$101,MATCH(TRIM(L144&amp;""),설정_코드표!$F$2:$F$101,0)),"⚠"&amp;TRIM(L144&amp;"")))</f>
        <v/>
      </c>
      <c r="V144" s="10">
        <f>IF(AND(ISNUMBER(H144),ISNUMBER(I144)),I144-H144+1,"")</f>
        <v/>
      </c>
      <c r="W144" s="17">
        <f>IF(ISNUMBER(H144),MAX(0,MIN(IF(ISNUMBER(I144),I144,EOMONTH(출력_요약!$B$3,0)),EOMONTH(출력_요약!$B$3,0))-MAX(H144,출력_요약!$B$3)+1),0)</f>
        <v/>
      </c>
      <c r="X144" s="10">
        <f>IF(OR(NOT(ISNUMBER(H144)),Q144=""),"",IF(TODAY()&lt;H144,"파견예정",IF(AND(ISNUMBER(I144),TODAY()&gt;I144),"파견종료","파견중")))</f>
        <v/>
      </c>
      <c r="Y144" s="10">
        <f>IF(OR(Q144="",X144=""),"",Q144&amp;"|"&amp;X144)</f>
        <v/>
      </c>
      <c r="Z144" s="10">
        <f>IF(AND(Q144&lt;&gt;"",W144&gt;0),Q144&amp;"|월","")</f>
        <v/>
      </c>
      <c r="AA144" s="10">
        <f>IF(COUNTA(B144:I144,K144:N144)=0,"",IF(Q144="","등록번호 없음",IF(LEFT(R144,1)="⚠","모병원명 미등록",IF(S144="","파견병원 입력",IF(LEFT(S144,1)="⚠","파견병원명 미등록",IF(LEFT(U144,1)="⚠","파견과목 미등록",IF(OR(T144="",LEFT(T144,1)="⚠"),"파견근거 확인",IF(NOT(AND(ISNUMBER(H144),ISNUMBER(I144))),"날짜 형식/누락",IF(I144&lt;H144,"종료일&lt;시작일","")))))))))</f>
        <v/>
      </c>
      <c r="AB144" s="11">
        <f>IF(ISNUMBER(SEARCH("다기관",TRIM(N144&amp;" "&amp;O144))),IFERROR(DATE(VALUE(MID(TRIM(N144&amp;" "&amp;O144),1,4)),VALUE(MID(TRIM(N144&amp;" "&amp;O144),6,2)),VALUE(MID(TRIM(N144&amp;" "&amp;O144),9,2))),IF(ISNUMBER(H144),H144,"")),"")</f>
        <v/>
      </c>
      <c r="AC144" s="11">
        <f>IF(ISNUMBER(SEARCH("다기관",TRIM(N144&amp;" "&amp;O144))),IFERROR(DATE(VALUE(MID(TRIM(N144&amp;" "&amp;O144),12,4)),VALUE(MID(TRIM(N144&amp;" "&amp;O144),17,2)),VALUE(MID(TRIM(N144&amp;" "&amp;O144),20,2))),IF(ISNUMBER(I144),I144,"")),"")</f>
        <v/>
      </c>
      <c r="AD144" s="17">
        <f>IF(AND(ISNUMBER(AB144),ISNUMBER(AC144)),MAX(0,MIN(AC144,EOMONTH(출력_요약!$B$3,0))-MAX(AB144,출력_요약!$B$3)+1),0)</f>
        <v/>
      </c>
      <c r="AE144" s="10">
        <f>IF(AND(Q144&lt;&gt;"",ISNUMBER(AB144)),Q144&amp;"|다기관","")</f>
        <v/>
      </c>
    </row>
    <row r="145">
      <c r="A145" s="15">
        <f>IF(F145="","",ROW()-3)</f>
        <v/>
      </c>
      <c r="B145" s="5" t="n"/>
      <c r="C145" s="15" t="n"/>
      <c r="D145" s="5" t="n"/>
      <c r="E145" s="15" t="n"/>
      <c r="F145" s="5" t="n"/>
      <c r="G145" s="6" t="n"/>
      <c r="H145" s="16" t="n"/>
      <c r="I145" s="16" t="n"/>
      <c r="J145" s="15">
        <f>IF(AND(ISNUMBER(H145),ISNUMBER(I145)),I145-H145+1,"")</f>
        <v/>
      </c>
      <c r="K145" s="5" t="n"/>
      <c r="L145" s="5" t="n"/>
      <c r="M145" s="5" t="n"/>
      <c r="N145" s="5" t="n"/>
      <c r="O145" s="5" t="n"/>
      <c r="Q145" s="10">
        <f>IF(TRIM(G145&amp;"")="","",TRIM(G145&amp;""))</f>
        <v/>
      </c>
      <c r="R145" s="10">
        <f>IF(TRIM(B145&amp;"")="","",IFERROR(INDEX(설정_코드표!$K$2:$K$101,MATCH(TRIM(B145&amp;""),설정_코드표!$J$2:$J$101,0)),"⚠"&amp;TRIM(B145&amp;"")))</f>
        <v/>
      </c>
      <c r="S145" s="10">
        <f>IF(TRIM(K145&amp;"")="","",IFERROR(INDEX(설정_코드표!$K$2:$K$101,MATCH(TRIM(K145&amp;""),설정_코드표!$J$2:$J$101,0)),"⚠"&amp;TRIM(K145&amp;"")))</f>
        <v/>
      </c>
      <c r="T145" s="10">
        <f>IF(TRIM(M145&amp;"")="","",IF(ISNUMBER(MATCH(TRIM(M145&amp;""),설정_코드표!$C$2:$C$11,0)),TRIM(M145&amp;""),"⚠"&amp;TRIM(M145&amp;"")))</f>
        <v/>
      </c>
      <c r="U145" s="10">
        <f>IF(TRIM(L145&amp;"")="","",IFERROR(INDEX(설정_코드표!$G$2:$G$101,MATCH(TRIM(L145&amp;""),설정_코드표!$F$2:$F$101,0)),"⚠"&amp;TRIM(L145&amp;"")))</f>
        <v/>
      </c>
      <c r="V145" s="10">
        <f>IF(AND(ISNUMBER(H145),ISNUMBER(I145)),I145-H145+1,"")</f>
        <v/>
      </c>
      <c r="W145" s="17">
        <f>IF(ISNUMBER(H145),MAX(0,MIN(IF(ISNUMBER(I145),I145,EOMONTH(출력_요약!$B$3,0)),EOMONTH(출력_요약!$B$3,0))-MAX(H145,출력_요약!$B$3)+1),0)</f>
        <v/>
      </c>
      <c r="X145" s="10">
        <f>IF(OR(NOT(ISNUMBER(H145)),Q145=""),"",IF(TODAY()&lt;H145,"파견예정",IF(AND(ISNUMBER(I145),TODAY()&gt;I145),"파견종료","파견중")))</f>
        <v/>
      </c>
      <c r="Y145" s="10">
        <f>IF(OR(Q145="",X145=""),"",Q145&amp;"|"&amp;X145)</f>
        <v/>
      </c>
      <c r="Z145" s="10">
        <f>IF(AND(Q145&lt;&gt;"",W145&gt;0),Q145&amp;"|월","")</f>
        <v/>
      </c>
      <c r="AA145" s="10">
        <f>IF(COUNTA(B145:I145,K145:N145)=0,"",IF(Q145="","등록번호 없음",IF(LEFT(R145,1)="⚠","모병원명 미등록",IF(S145="","파견병원 입력",IF(LEFT(S145,1)="⚠","파견병원명 미등록",IF(LEFT(U145,1)="⚠","파견과목 미등록",IF(OR(T145="",LEFT(T145,1)="⚠"),"파견근거 확인",IF(NOT(AND(ISNUMBER(H145),ISNUMBER(I145))),"날짜 형식/누락",IF(I145&lt;H145,"종료일&lt;시작일","")))))))))</f>
        <v/>
      </c>
      <c r="AB145" s="11">
        <f>IF(ISNUMBER(SEARCH("다기관",TRIM(N145&amp;" "&amp;O145))),IFERROR(DATE(VALUE(MID(TRIM(N145&amp;" "&amp;O145),1,4)),VALUE(MID(TRIM(N145&amp;" "&amp;O145),6,2)),VALUE(MID(TRIM(N145&amp;" "&amp;O145),9,2))),IF(ISNUMBER(H145),H145,"")),"")</f>
        <v/>
      </c>
      <c r="AC145" s="11">
        <f>IF(ISNUMBER(SEARCH("다기관",TRIM(N145&amp;" "&amp;O145))),IFERROR(DATE(VALUE(MID(TRIM(N145&amp;" "&amp;O145),12,4)),VALUE(MID(TRIM(N145&amp;" "&amp;O145),17,2)),VALUE(MID(TRIM(N145&amp;" "&amp;O145),20,2))),IF(ISNUMBER(I145),I145,"")),"")</f>
        <v/>
      </c>
      <c r="AD145" s="17">
        <f>IF(AND(ISNUMBER(AB145),ISNUMBER(AC145)),MAX(0,MIN(AC145,EOMONTH(출력_요약!$B$3,0))-MAX(AB145,출력_요약!$B$3)+1),0)</f>
        <v/>
      </c>
      <c r="AE145" s="10">
        <f>IF(AND(Q145&lt;&gt;"",ISNUMBER(AB145)),Q145&amp;"|다기관","")</f>
        <v/>
      </c>
    </row>
    <row r="146">
      <c r="A146" s="15">
        <f>IF(F146="","",ROW()-3)</f>
        <v/>
      </c>
      <c r="B146" s="5" t="n"/>
      <c r="C146" s="15" t="n"/>
      <c r="D146" s="5" t="n"/>
      <c r="E146" s="15" t="n"/>
      <c r="F146" s="5" t="n"/>
      <c r="G146" s="6" t="n"/>
      <c r="H146" s="16" t="n"/>
      <c r="I146" s="16" t="n"/>
      <c r="J146" s="15">
        <f>IF(AND(ISNUMBER(H146),ISNUMBER(I146)),I146-H146+1,"")</f>
        <v/>
      </c>
      <c r="K146" s="5" t="n"/>
      <c r="L146" s="5" t="n"/>
      <c r="M146" s="5" t="n"/>
      <c r="N146" s="5" t="n"/>
      <c r="O146" s="5" t="n"/>
      <c r="Q146" s="10">
        <f>IF(TRIM(G146&amp;"")="","",TRIM(G146&amp;""))</f>
        <v/>
      </c>
      <c r="R146" s="10">
        <f>IF(TRIM(B146&amp;"")="","",IFERROR(INDEX(설정_코드표!$K$2:$K$101,MATCH(TRIM(B146&amp;""),설정_코드표!$J$2:$J$101,0)),"⚠"&amp;TRIM(B146&amp;"")))</f>
        <v/>
      </c>
      <c r="S146" s="10">
        <f>IF(TRIM(K146&amp;"")="","",IFERROR(INDEX(설정_코드표!$K$2:$K$101,MATCH(TRIM(K146&amp;""),설정_코드표!$J$2:$J$101,0)),"⚠"&amp;TRIM(K146&amp;"")))</f>
        <v/>
      </c>
      <c r="T146" s="10">
        <f>IF(TRIM(M146&amp;"")="","",IF(ISNUMBER(MATCH(TRIM(M146&amp;""),설정_코드표!$C$2:$C$11,0)),TRIM(M146&amp;""),"⚠"&amp;TRIM(M146&amp;"")))</f>
        <v/>
      </c>
      <c r="U146" s="10">
        <f>IF(TRIM(L146&amp;"")="","",IFERROR(INDEX(설정_코드표!$G$2:$G$101,MATCH(TRIM(L146&amp;""),설정_코드표!$F$2:$F$101,0)),"⚠"&amp;TRIM(L146&amp;"")))</f>
        <v/>
      </c>
      <c r="V146" s="10">
        <f>IF(AND(ISNUMBER(H146),ISNUMBER(I146)),I146-H146+1,"")</f>
        <v/>
      </c>
      <c r="W146" s="17">
        <f>IF(ISNUMBER(H146),MAX(0,MIN(IF(ISNUMBER(I146),I146,EOMONTH(출력_요약!$B$3,0)),EOMONTH(출력_요약!$B$3,0))-MAX(H146,출력_요약!$B$3)+1),0)</f>
        <v/>
      </c>
      <c r="X146" s="10">
        <f>IF(OR(NOT(ISNUMBER(H146)),Q146=""),"",IF(TODAY()&lt;H146,"파견예정",IF(AND(ISNUMBER(I146),TODAY()&gt;I146),"파견종료","파견중")))</f>
        <v/>
      </c>
      <c r="Y146" s="10">
        <f>IF(OR(Q146="",X146=""),"",Q146&amp;"|"&amp;X146)</f>
        <v/>
      </c>
      <c r="Z146" s="10">
        <f>IF(AND(Q146&lt;&gt;"",W146&gt;0),Q146&amp;"|월","")</f>
        <v/>
      </c>
      <c r="AA146" s="10">
        <f>IF(COUNTA(B146:I146,K146:N146)=0,"",IF(Q146="","등록번호 없음",IF(LEFT(R146,1)="⚠","모병원명 미등록",IF(S146="","파견병원 입력",IF(LEFT(S146,1)="⚠","파견병원명 미등록",IF(LEFT(U146,1)="⚠","파견과목 미등록",IF(OR(T146="",LEFT(T146,1)="⚠"),"파견근거 확인",IF(NOT(AND(ISNUMBER(H146),ISNUMBER(I146))),"날짜 형식/누락",IF(I146&lt;H146,"종료일&lt;시작일","")))))))))</f>
        <v/>
      </c>
      <c r="AB146" s="11">
        <f>IF(ISNUMBER(SEARCH("다기관",TRIM(N146&amp;" "&amp;O146))),IFERROR(DATE(VALUE(MID(TRIM(N146&amp;" "&amp;O146),1,4)),VALUE(MID(TRIM(N146&amp;" "&amp;O146),6,2)),VALUE(MID(TRIM(N146&amp;" "&amp;O146),9,2))),IF(ISNUMBER(H146),H146,"")),"")</f>
        <v/>
      </c>
      <c r="AC146" s="11">
        <f>IF(ISNUMBER(SEARCH("다기관",TRIM(N146&amp;" "&amp;O146))),IFERROR(DATE(VALUE(MID(TRIM(N146&amp;" "&amp;O146),12,4)),VALUE(MID(TRIM(N146&amp;" "&amp;O146),17,2)),VALUE(MID(TRIM(N146&amp;" "&amp;O146),20,2))),IF(ISNUMBER(I146),I146,"")),"")</f>
        <v/>
      </c>
      <c r="AD146" s="17">
        <f>IF(AND(ISNUMBER(AB146),ISNUMBER(AC146)),MAX(0,MIN(AC146,EOMONTH(출력_요약!$B$3,0))-MAX(AB146,출력_요약!$B$3)+1),0)</f>
        <v/>
      </c>
      <c r="AE146" s="10">
        <f>IF(AND(Q146&lt;&gt;"",ISNUMBER(AB146)),Q146&amp;"|다기관","")</f>
        <v/>
      </c>
    </row>
    <row r="147">
      <c r="A147" s="15">
        <f>IF(F147="","",ROW()-3)</f>
        <v/>
      </c>
      <c r="B147" s="5" t="n"/>
      <c r="C147" s="15" t="n"/>
      <c r="D147" s="5" t="n"/>
      <c r="E147" s="15" t="n"/>
      <c r="F147" s="5" t="n"/>
      <c r="G147" s="6" t="n"/>
      <c r="H147" s="16" t="n"/>
      <c r="I147" s="16" t="n"/>
      <c r="J147" s="15">
        <f>IF(AND(ISNUMBER(H147),ISNUMBER(I147)),I147-H147+1,"")</f>
        <v/>
      </c>
      <c r="K147" s="5" t="n"/>
      <c r="L147" s="5" t="n"/>
      <c r="M147" s="5" t="n"/>
      <c r="N147" s="5" t="n"/>
      <c r="O147" s="5" t="n"/>
      <c r="Q147" s="10">
        <f>IF(TRIM(G147&amp;"")="","",TRIM(G147&amp;""))</f>
        <v/>
      </c>
      <c r="R147" s="10">
        <f>IF(TRIM(B147&amp;"")="","",IFERROR(INDEX(설정_코드표!$K$2:$K$101,MATCH(TRIM(B147&amp;""),설정_코드표!$J$2:$J$101,0)),"⚠"&amp;TRIM(B147&amp;"")))</f>
        <v/>
      </c>
      <c r="S147" s="10">
        <f>IF(TRIM(K147&amp;"")="","",IFERROR(INDEX(설정_코드표!$K$2:$K$101,MATCH(TRIM(K147&amp;""),설정_코드표!$J$2:$J$101,0)),"⚠"&amp;TRIM(K147&amp;"")))</f>
        <v/>
      </c>
      <c r="T147" s="10">
        <f>IF(TRIM(M147&amp;"")="","",IF(ISNUMBER(MATCH(TRIM(M147&amp;""),설정_코드표!$C$2:$C$11,0)),TRIM(M147&amp;""),"⚠"&amp;TRIM(M147&amp;"")))</f>
        <v/>
      </c>
      <c r="U147" s="10">
        <f>IF(TRIM(L147&amp;"")="","",IFERROR(INDEX(설정_코드표!$G$2:$G$101,MATCH(TRIM(L147&amp;""),설정_코드표!$F$2:$F$101,0)),"⚠"&amp;TRIM(L147&amp;"")))</f>
        <v/>
      </c>
      <c r="V147" s="10">
        <f>IF(AND(ISNUMBER(H147),ISNUMBER(I147)),I147-H147+1,"")</f>
        <v/>
      </c>
      <c r="W147" s="17">
        <f>IF(ISNUMBER(H147),MAX(0,MIN(IF(ISNUMBER(I147),I147,EOMONTH(출력_요약!$B$3,0)),EOMONTH(출력_요약!$B$3,0))-MAX(H147,출력_요약!$B$3)+1),0)</f>
        <v/>
      </c>
      <c r="X147" s="10">
        <f>IF(OR(NOT(ISNUMBER(H147)),Q147=""),"",IF(TODAY()&lt;H147,"파견예정",IF(AND(ISNUMBER(I147),TODAY()&gt;I147),"파견종료","파견중")))</f>
        <v/>
      </c>
      <c r="Y147" s="10">
        <f>IF(OR(Q147="",X147=""),"",Q147&amp;"|"&amp;X147)</f>
        <v/>
      </c>
      <c r="Z147" s="10">
        <f>IF(AND(Q147&lt;&gt;"",W147&gt;0),Q147&amp;"|월","")</f>
        <v/>
      </c>
      <c r="AA147" s="10">
        <f>IF(COUNTA(B147:I147,K147:N147)=0,"",IF(Q147="","등록번호 없음",IF(LEFT(R147,1)="⚠","모병원명 미등록",IF(S147="","파견병원 입력",IF(LEFT(S147,1)="⚠","파견병원명 미등록",IF(LEFT(U147,1)="⚠","파견과목 미등록",IF(OR(T147="",LEFT(T147,1)="⚠"),"파견근거 확인",IF(NOT(AND(ISNUMBER(H147),ISNUMBER(I147))),"날짜 형식/누락",IF(I147&lt;H147,"종료일&lt;시작일","")))))))))</f>
        <v/>
      </c>
      <c r="AB147" s="11">
        <f>IF(ISNUMBER(SEARCH("다기관",TRIM(N147&amp;" "&amp;O147))),IFERROR(DATE(VALUE(MID(TRIM(N147&amp;" "&amp;O147),1,4)),VALUE(MID(TRIM(N147&amp;" "&amp;O147),6,2)),VALUE(MID(TRIM(N147&amp;" "&amp;O147),9,2))),IF(ISNUMBER(H147),H147,"")),"")</f>
        <v/>
      </c>
      <c r="AC147" s="11">
        <f>IF(ISNUMBER(SEARCH("다기관",TRIM(N147&amp;" "&amp;O147))),IFERROR(DATE(VALUE(MID(TRIM(N147&amp;" "&amp;O147),12,4)),VALUE(MID(TRIM(N147&amp;" "&amp;O147),17,2)),VALUE(MID(TRIM(N147&amp;" "&amp;O147),20,2))),IF(ISNUMBER(I147),I147,"")),"")</f>
        <v/>
      </c>
      <c r="AD147" s="17">
        <f>IF(AND(ISNUMBER(AB147),ISNUMBER(AC147)),MAX(0,MIN(AC147,EOMONTH(출력_요약!$B$3,0))-MAX(AB147,출력_요약!$B$3)+1),0)</f>
        <v/>
      </c>
      <c r="AE147" s="10">
        <f>IF(AND(Q147&lt;&gt;"",ISNUMBER(AB147)),Q147&amp;"|다기관","")</f>
        <v/>
      </c>
    </row>
    <row r="148">
      <c r="A148" s="15">
        <f>IF(F148="","",ROW()-3)</f>
        <v/>
      </c>
      <c r="B148" s="5" t="n"/>
      <c r="C148" s="15" t="n"/>
      <c r="D148" s="5" t="n"/>
      <c r="E148" s="15" t="n"/>
      <c r="F148" s="5" t="n"/>
      <c r="G148" s="6" t="n"/>
      <c r="H148" s="16" t="n"/>
      <c r="I148" s="16" t="n"/>
      <c r="J148" s="15">
        <f>IF(AND(ISNUMBER(H148),ISNUMBER(I148)),I148-H148+1,"")</f>
        <v/>
      </c>
      <c r="K148" s="5" t="n"/>
      <c r="L148" s="5" t="n"/>
      <c r="M148" s="5" t="n"/>
      <c r="N148" s="5" t="n"/>
      <c r="O148" s="5" t="n"/>
      <c r="Q148" s="10">
        <f>IF(TRIM(G148&amp;"")="","",TRIM(G148&amp;""))</f>
        <v/>
      </c>
      <c r="R148" s="10">
        <f>IF(TRIM(B148&amp;"")="","",IFERROR(INDEX(설정_코드표!$K$2:$K$101,MATCH(TRIM(B148&amp;""),설정_코드표!$J$2:$J$101,0)),"⚠"&amp;TRIM(B148&amp;"")))</f>
        <v/>
      </c>
      <c r="S148" s="10">
        <f>IF(TRIM(K148&amp;"")="","",IFERROR(INDEX(설정_코드표!$K$2:$K$101,MATCH(TRIM(K148&amp;""),설정_코드표!$J$2:$J$101,0)),"⚠"&amp;TRIM(K148&amp;"")))</f>
        <v/>
      </c>
      <c r="T148" s="10">
        <f>IF(TRIM(M148&amp;"")="","",IF(ISNUMBER(MATCH(TRIM(M148&amp;""),설정_코드표!$C$2:$C$11,0)),TRIM(M148&amp;""),"⚠"&amp;TRIM(M148&amp;"")))</f>
        <v/>
      </c>
      <c r="U148" s="10">
        <f>IF(TRIM(L148&amp;"")="","",IFERROR(INDEX(설정_코드표!$G$2:$G$101,MATCH(TRIM(L148&amp;""),설정_코드표!$F$2:$F$101,0)),"⚠"&amp;TRIM(L148&amp;"")))</f>
        <v/>
      </c>
      <c r="V148" s="10">
        <f>IF(AND(ISNUMBER(H148),ISNUMBER(I148)),I148-H148+1,"")</f>
        <v/>
      </c>
      <c r="W148" s="17">
        <f>IF(ISNUMBER(H148),MAX(0,MIN(IF(ISNUMBER(I148),I148,EOMONTH(출력_요약!$B$3,0)),EOMONTH(출력_요약!$B$3,0))-MAX(H148,출력_요약!$B$3)+1),0)</f>
        <v/>
      </c>
      <c r="X148" s="10">
        <f>IF(OR(NOT(ISNUMBER(H148)),Q148=""),"",IF(TODAY()&lt;H148,"파견예정",IF(AND(ISNUMBER(I148),TODAY()&gt;I148),"파견종료","파견중")))</f>
        <v/>
      </c>
      <c r="Y148" s="10">
        <f>IF(OR(Q148="",X148=""),"",Q148&amp;"|"&amp;X148)</f>
        <v/>
      </c>
      <c r="Z148" s="10">
        <f>IF(AND(Q148&lt;&gt;"",W148&gt;0),Q148&amp;"|월","")</f>
        <v/>
      </c>
      <c r="AA148" s="10">
        <f>IF(COUNTA(B148:I148,K148:N148)=0,"",IF(Q148="","등록번호 없음",IF(LEFT(R148,1)="⚠","모병원명 미등록",IF(S148="","파견병원 입력",IF(LEFT(S148,1)="⚠","파견병원명 미등록",IF(LEFT(U148,1)="⚠","파견과목 미등록",IF(OR(T148="",LEFT(T148,1)="⚠"),"파견근거 확인",IF(NOT(AND(ISNUMBER(H148),ISNUMBER(I148))),"날짜 형식/누락",IF(I148&lt;H148,"종료일&lt;시작일","")))))))))</f>
        <v/>
      </c>
      <c r="AB148" s="11">
        <f>IF(ISNUMBER(SEARCH("다기관",TRIM(N148&amp;" "&amp;O148))),IFERROR(DATE(VALUE(MID(TRIM(N148&amp;" "&amp;O148),1,4)),VALUE(MID(TRIM(N148&amp;" "&amp;O148),6,2)),VALUE(MID(TRIM(N148&amp;" "&amp;O148),9,2))),IF(ISNUMBER(H148),H148,"")),"")</f>
        <v/>
      </c>
      <c r="AC148" s="11">
        <f>IF(ISNUMBER(SEARCH("다기관",TRIM(N148&amp;" "&amp;O148))),IFERROR(DATE(VALUE(MID(TRIM(N148&amp;" "&amp;O148),12,4)),VALUE(MID(TRIM(N148&amp;" "&amp;O148),17,2)),VALUE(MID(TRIM(N148&amp;" "&amp;O148),20,2))),IF(ISNUMBER(I148),I148,"")),"")</f>
        <v/>
      </c>
      <c r="AD148" s="17">
        <f>IF(AND(ISNUMBER(AB148),ISNUMBER(AC148)),MAX(0,MIN(AC148,EOMONTH(출력_요약!$B$3,0))-MAX(AB148,출력_요약!$B$3)+1),0)</f>
        <v/>
      </c>
      <c r="AE148" s="10">
        <f>IF(AND(Q148&lt;&gt;"",ISNUMBER(AB148)),Q148&amp;"|다기관","")</f>
        <v/>
      </c>
    </row>
    <row r="149">
      <c r="A149" s="15">
        <f>IF(F149="","",ROW()-3)</f>
        <v/>
      </c>
      <c r="B149" s="5" t="n"/>
      <c r="C149" s="15" t="n"/>
      <c r="D149" s="5" t="n"/>
      <c r="E149" s="15" t="n"/>
      <c r="F149" s="5" t="n"/>
      <c r="G149" s="6" t="n"/>
      <c r="H149" s="16" t="n"/>
      <c r="I149" s="16" t="n"/>
      <c r="J149" s="15">
        <f>IF(AND(ISNUMBER(H149),ISNUMBER(I149)),I149-H149+1,"")</f>
        <v/>
      </c>
      <c r="K149" s="5" t="n"/>
      <c r="L149" s="5" t="n"/>
      <c r="M149" s="5" t="n"/>
      <c r="N149" s="5" t="n"/>
      <c r="O149" s="5" t="n"/>
      <c r="Q149" s="10">
        <f>IF(TRIM(G149&amp;"")="","",TRIM(G149&amp;""))</f>
        <v/>
      </c>
      <c r="R149" s="10">
        <f>IF(TRIM(B149&amp;"")="","",IFERROR(INDEX(설정_코드표!$K$2:$K$101,MATCH(TRIM(B149&amp;""),설정_코드표!$J$2:$J$101,0)),"⚠"&amp;TRIM(B149&amp;"")))</f>
        <v/>
      </c>
      <c r="S149" s="10">
        <f>IF(TRIM(K149&amp;"")="","",IFERROR(INDEX(설정_코드표!$K$2:$K$101,MATCH(TRIM(K149&amp;""),설정_코드표!$J$2:$J$101,0)),"⚠"&amp;TRIM(K149&amp;"")))</f>
        <v/>
      </c>
      <c r="T149" s="10">
        <f>IF(TRIM(M149&amp;"")="","",IF(ISNUMBER(MATCH(TRIM(M149&amp;""),설정_코드표!$C$2:$C$11,0)),TRIM(M149&amp;""),"⚠"&amp;TRIM(M149&amp;"")))</f>
        <v/>
      </c>
      <c r="U149" s="10">
        <f>IF(TRIM(L149&amp;"")="","",IFERROR(INDEX(설정_코드표!$G$2:$G$101,MATCH(TRIM(L149&amp;""),설정_코드표!$F$2:$F$101,0)),"⚠"&amp;TRIM(L149&amp;"")))</f>
        <v/>
      </c>
      <c r="V149" s="10">
        <f>IF(AND(ISNUMBER(H149),ISNUMBER(I149)),I149-H149+1,"")</f>
        <v/>
      </c>
      <c r="W149" s="17">
        <f>IF(ISNUMBER(H149),MAX(0,MIN(IF(ISNUMBER(I149),I149,EOMONTH(출력_요약!$B$3,0)),EOMONTH(출력_요약!$B$3,0))-MAX(H149,출력_요약!$B$3)+1),0)</f>
        <v/>
      </c>
      <c r="X149" s="10">
        <f>IF(OR(NOT(ISNUMBER(H149)),Q149=""),"",IF(TODAY()&lt;H149,"파견예정",IF(AND(ISNUMBER(I149),TODAY()&gt;I149),"파견종료","파견중")))</f>
        <v/>
      </c>
      <c r="Y149" s="10">
        <f>IF(OR(Q149="",X149=""),"",Q149&amp;"|"&amp;X149)</f>
        <v/>
      </c>
      <c r="Z149" s="10">
        <f>IF(AND(Q149&lt;&gt;"",W149&gt;0),Q149&amp;"|월","")</f>
        <v/>
      </c>
      <c r="AA149" s="10">
        <f>IF(COUNTA(B149:I149,K149:N149)=0,"",IF(Q149="","등록번호 없음",IF(LEFT(R149,1)="⚠","모병원명 미등록",IF(S149="","파견병원 입력",IF(LEFT(S149,1)="⚠","파견병원명 미등록",IF(LEFT(U149,1)="⚠","파견과목 미등록",IF(OR(T149="",LEFT(T149,1)="⚠"),"파견근거 확인",IF(NOT(AND(ISNUMBER(H149),ISNUMBER(I149))),"날짜 형식/누락",IF(I149&lt;H149,"종료일&lt;시작일","")))))))))</f>
        <v/>
      </c>
      <c r="AB149" s="11">
        <f>IF(ISNUMBER(SEARCH("다기관",TRIM(N149&amp;" "&amp;O149))),IFERROR(DATE(VALUE(MID(TRIM(N149&amp;" "&amp;O149),1,4)),VALUE(MID(TRIM(N149&amp;" "&amp;O149),6,2)),VALUE(MID(TRIM(N149&amp;" "&amp;O149),9,2))),IF(ISNUMBER(H149),H149,"")),"")</f>
        <v/>
      </c>
      <c r="AC149" s="11">
        <f>IF(ISNUMBER(SEARCH("다기관",TRIM(N149&amp;" "&amp;O149))),IFERROR(DATE(VALUE(MID(TRIM(N149&amp;" "&amp;O149),12,4)),VALUE(MID(TRIM(N149&amp;" "&amp;O149),17,2)),VALUE(MID(TRIM(N149&amp;" "&amp;O149),20,2))),IF(ISNUMBER(I149),I149,"")),"")</f>
        <v/>
      </c>
      <c r="AD149" s="17">
        <f>IF(AND(ISNUMBER(AB149),ISNUMBER(AC149)),MAX(0,MIN(AC149,EOMONTH(출력_요약!$B$3,0))-MAX(AB149,출력_요약!$B$3)+1),0)</f>
        <v/>
      </c>
      <c r="AE149" s="10">
        <f>IF(AND(Q149&lt;&gt;"",ISNUMBER(AB149)),Q149&amp;"|다기관","")</f>
        <v/>
      </c>
    </row>
    <row r="150">
      <c r="A150" s="15">
        <f>IF(F150="","",ROW()-3)</f>
        <v/>
      </c>
      <c r="B150" s="5" t="n"/>
      <c r="C150" s="15" t="n"/>
      <c r="D150" s="5" t="n"/>
      <c r="E150" s="15" t="n"/>
      <c r="F150" s="5" t="n"/>
      <c r="G150" s="6" t="n"/>
      <c r="H150" s="16" t="n"/>
      <c r="I150" s="16" t="n"/>
      <c r="J150" s="15">
        <f>IF(AND(ISNUMBER(H150),ISNUMBER(I150)),I150-H150+1,"")</f>
        <v/>
      </c>
      <c r="K150" s="5" t="n"/>
      <c r="L150" s="5" t="n"/>
      <c r="M150" s="5" t="n"/>
      <c r="N150" s="5" t="n"/>
      <c r="O150" s="5" t="n"/>
      <c r="Q150" s="10">
        <f>IF(TRIM(G150&amp;"")="","",TRIM(G150&amp;""))</f>
        <v/>
      </c>
      <c r="R150" s="10">
        <f>IF(TRIM(B150&amp;"")="","",IFERROR(INDEX(설정_코드표!$K$2:$K$101,MATCH(TRIM(B150&amp;""),설정_코드표!$J$2:$J$101,0)),"⚠"&amp;TRIM(B150&amp;"")))</f>
        <v/>
      </c>
      <c r="S150" s="10">
        <f>IF(TRIM(K150&amp;"")="","",IFERROR(INDEX(설정_코드표!$K$2:$K$101,MATCH(TRIM(K150&amp;""),설정_코드표!$J$2:$J$101,0)),"⚠"&amp;TRIM(K150&amp;"")))</f>
        <v/>
      </c>
      <c r="T150" s="10">
        <f>IF(TRIM(M150&amp;"")="","",IF(ISNUMBER(MATCH(TRIM(M150&amp;""),설정_코드표!$C$2:$C$11,0)),TRIM(M150&amp;""),"⚠"&amp;TRIM(M150&amp;"")))</f>
        <v/>
      </c>
      <c r="U150" s="10">
        <f>IF(TRIM(L150&amp;"")="","",IFERROR(INDEX(설정_코드표!$G$2:$G$101,MATCH(TRIM(L150&amp;""),설정_코드표!$F$2:$F$101,0)),"⚠"&amp;TRIM(L150&amp;"")))</f>
        <v/>
      </c>
      <c r="V150" s="10">
        <f>IF(AND(ISNUMBER(H150),ISNUMBER(I150)),I150-H150+1,"")</f>
        <v/>
      </c>
      <c r="W150" s="17">
        <f>IF(ISNUMBER(H150),MAX(0,MIN(IF(ISNUMBER(I150),I150,EOMONTH(출력_요약!$B$3,0)),EOMONTH(출력_요약!$B$3,0))-MAX(H150,출력_요약!$B$3)+1),0)</f>
        <v/>
      </c>
      <c r="X150" s="10">
        <f>IF(OR(NOT(ISNUMBER(H150)),Q150=""),"",IF(TODAY()&lt;H150,"파견예정",IF(AND(ISNUMBER(I150),TODAY()&gt;I150),"파견종료","파견중")))</f>
        <v/>
      </c>
      <c r="Y150" s="10">
        <f>IF(OR(Q150="",X150=""),"",Q150&amp;"|"&amp;X150)</f>
        <v/>
      </c>
      <c r="Z150" s="10">
        <f>IF(AND(Q150&lt;&gt;"",W150&gt;0),Q150&amp;"|월","")</f>
        <v/>
      </c>
      <c r="AA150" s="10">
        <f>IF(COUNTA(B150:I150,K150:N150)=0,"",IF(Q150="","등록번호 없음",IF(LEFT(R150,1)="⚠","모병원명 미등록",IF(S150="","파견병원 입력",IF(LEFT(S150,1)="⚠","파견병원명 미등록",IF(LEFT(U150,1)="⚠","파견과목 미등록",IF(OR(T150="",LEFT(T150,1)="⚠"),"파견근거 확인",IF(NOT(AND(ISNUMBER(H150),ISNUMBER(I150))),"날짜 형식/누락",IF(I150&lt;H150,"종료일&lt;시작일","")))))))))</f>
        <v/>
      </c>
      <c r="AB150" s="11">
        <f>IF(ISNUMBER(SEARCH("다기관",TRIM(N150&amp;" "&amp;O150))),IFERROR(DATE(VALUE(MID(TRIM(N150&amp;" "&amp;O150),1,4)),VALUE(MID(TRIM(N150&amp;" "&amp;O150),6,2)),VALUE(MID(TRIM(N150&amp;" "&amp;O150),9,2))),IF(ISNUMBER(H150),H150,"")),"")</f>
        <v/>
      </c>
      <c r="AC150" s="11">
        <f>IF(ISNUMBER(SEARCH("다기관",TRIM(N150&amp;" "&amp;O150))),IFERROR(DATE(VALUE(MID(TRIM(N150&amp;" "&amp;O150),12,4)),VALUE(MID(TRIM(N150&amp;" "&amp;O150),17,2)),VALUE(MID(TRIM(N150&amp;" "&amp;O150),20,2))),IF(ISNUMBER(I150),I150,"")),"")</f>
        <v/>
      </c>
      <c r="AD150" s="17">
        <f>IF(AND(ISNUMBER(AB150),ISNUMBER(AC150)),MAX(0,MIN(AC150,EOMONTH(출력_요약!$B$3,0))-MAX(AB150,출력_요약!$B$3)+1),0)</f>
        <v/>
      </c>
      <c r="AE150" s="10">
        <f>IF(AND(Q150&lt;&gt;"",ISNUMBER(AB150)),Q150&amp;"|다기관","")</f>
        <v/>
      </c>
    </row>
    <row r="151">
      <c r="A151" s="15">
        <f>IF(F151="","",ROW()-3)</f>
        <v/>
      </c>
      <c r="B151" s="5" t="n"/>
      <c r="C151" s="15" t="n"/>
      <c r="D151" s="5" t="n"/>
      <c r="E151" s="15" t="n"/>
      <c r="F151" s="5" t="n"/>
      <c r="G151" s="6" t="n"/>
      <c r="H151" s="16" t="n"/>
      <c r="I151" s="16" t="n"/>
      <c r="J151" s="15">
        <f>IF(AND(ISNUMBER(H151),ISNUMBER(I151)),I151-H151+1,"")</f>
        <v/>
      </c>
      <c r="K151" s="5" t="n"/>
      <c r="L151" s="5" t="n"/>
      <c r="M151" s="5" t="n"/>
      <c r="N151" s="5" t="n"/>
      <c r="O151" s="5" t="n"/>
      <c r="Q151" s="10">
        <f>IF(TRIM(G151&amp;"")="","",TRIM(G151&amp;""))</f>
        <v/>
      </c>
      <c r="R151" s="10">
        <f>IF(TRIM(B151&amp;"")="","",IFERROR(INDEX(설정_코드표!$K$2:$K$101,MATCH(TRIM(B151&amp;""),설정_코드표!$J$2:$J$101,0)),"⚠"&amp;TRIM(B151&amp;"")))</f>
        <v/>
      </c>
      <c r="S151" s="10">
        <f>IF(TRIM(K151&amp;"")="","",IFERROR(INDEX(설정_코드표!$K$2:$K$101,MATCH(TRIM(K151&amp;""),설정_코드표!$J$2:$J$101,0)),"⚠"&amp;TRIM(K151&amp;"")))</f>
        <v/>
      </c>
      <c r="T151" s="10">
        <f>IF(TRIM(M151&amp;"")="","",IF(ISNUMBER(MATCH(TRIM(M151&amp;""),설정_코드표!$C$2:$C$11,0)),TRIM(M151&amp;""),"⚠"&amp;TRIM(M151&amp;"")))</f>
        <v/>
      </c>
      <c r="U151" s="10">
        <f>IF(TRIM(L151&amp;"")="","",IFERROR(INDEX(설정_코드표!$G$2:$G$101,MATCH(TRIM(L151&amp;""),설정_코드표!$F$2:$F$101,0)),"⚠"&amp;TRIM(L151&amp;"")))</f>
        <v/>
      </c>
      <c r="V151" s="10">
        <f>IF(AND(ISNUMBER(H151),ISNUMBER(I151)),I151-H151+1,"")</f>
        <v/>
      </c>
      <c r="W151" s="17">
        <f>IF(ISNUMBER(H151),MAX(0,MIN(IF(ISNUMBER(I151),I151,EOMONTH(출력_요약!$B$3,0)),EOMONTH(출력_요약!$B$3,0))-MAX(H151,출력_요약!$B$3)+1),0)</f>
        <v/>
      </c>
      <c r="X151" s="10">
        <f>IF(OR(NOT(ISNUMBER(H151)),Q151=""),"",IF(TODAY()&lt;H151,"파견예정",IF(AND(ISNUMBER(I151),TODAY()&gt;I151),"파견종료","파견중")))</f>
        <v/>
      </c>
      <c r="Y151" s="10">
        <f>IF(OR(Q151="",X151=""),"",Q151&amp;"|"&amp;X151)</f>
        <v/>
      </c>
      <c r="Z151" s="10">
        <f>IF(AND(Q151&lt;&gt;"",W151&gt;0),Q151&amp;"|월","")</f>
        <v/>
      </c>
      <c r="AA151" s="10">
        <f>IF(COUNTA(B151:I151,K151:N151)=0,"",IF(Q151="","등록번호 없음",IF(LEFT(R151,1)="⚠","모병원명 미등록",IF(S151="","파견병원 입력",IF(LEFT(S151,1)="⚠","파견병원명 미등록",IF(LEFT(U151,1)="⚠","파견과목 미등록",IF(OR(T151="",LEFT(T151,1)="⚠"),"파견근거 확인",IF(NOT(AND(ISNUMBER(H151),ISNUMBER(I151))),"날짜 형식/누락",IF(I151&lt;H151,"종료일&lt;시작일","")))))))))</f>
        <v/>
      </c>
      <c r="AB151" s="11">
        <f>IF(ISNUMBER(SEARCH("다기관",TRIM(N151&amp;" "&amp;O151))),IFERROR(DATE(VALUE(MID(TRIM(N151&amp;" "&amp;O151),1,4)),VALUE(MID(TRIM(N151&amp;" "&amp;O151),6,2)),VALUE(MID(TRIM(N151&amp;" "&amp;O151),9,2))),IF(ISNUMBER(H151),H151,"")),"")</f>
        <v/>
      </c>
      <c r="AC151" s="11">
        <f>IF(ISNUMBER(SEARCH("다기관",TRIM(N151&amp;" "&amp;O151))),IFERROR(DATE(VALUE(MID(TRIM(N151&amp;" "&amp;O151),12,4)),VALUE(MID(TRIM(N151&amp;" "&amp;O151),17,2)),VALUE(MID(TRIM(N151&amp;" "&amp;O151),20,2))),IF(ISNUMBER(I151),I151,"")),"")</f>
        <v/>
      </c>
      <c r="AD151" s="17">
        <f>IF(AND(ISNUMBER(AB151),ISNUMBER(AC151)),MAX(0,MIN(AC151,EOMONTH(출력_요약!$B$3,0))-MAX(AB151,출력_요약!$B$3)+1),0)</f>
        <v/>
      </c>
      <c r="AE151" s="10">
        <f>IF(AND(Q151&lt;&gt;"",ISNUMBER(AB151)),Q151&amp;"|다기관","")</f>
        <v/>
      </c>
    </row>
    <row r="152">
      <c r="A152" s="15">
        <f>IF(F152="","",ROW()-3)</f>
        <v/>
      </c>
      <c r="B152" s="5" t="n"/>
      <c r="C152" s="15" t="n"/>
      <c r="D152" s="5" t="n"/>
      <c r="E152" s="15" t="n"/>
      <c r="F152" s="5" t="n"/>
      <c r="G152" s="6" t="n"/>
      <c r="H152" s="16" t="n"/>
      <c r="I152" s="16" t="n"/>
      <c r="J152" s="15">
        <f>IF(AND(ISNUMBER(H152),ISNUMBER(I152)),I152-H152+1,"")</f>
        <v/>
      </c>
      <c r="K152" s="5" t="n"/>
      <c r="L152" s="5" t="n"/>
      <c r="M152" s="5" t="n"/>
      <c r="N152" s="5" t="n"/>
      <c r="O152" s="5" t="n"/>
      <c r="Q152" s="10">
        <f>IF(TRIM(G152&amp;"")="","",TRIM(G152&amp;""))</f>
        <v/>
      </c>
      <c r="R152" s="10">
        <f>IF(TRIM(B152&amp;"")="","",IFERROR(INDEX(설정_코드표!$K$2:$K$101,MATCH(TRIM(B152&amp;""),설정_코드표!$J$2:$J$101,0)),"⚠"&amp;TRIM(B152&amp;"")))</f>
        <v/>
      </c>
      <c r="S152" s="10">
        <f>IF(TRIM(K152&amp;"")="","",IFERROR(INDEX(설정_코드표!$K$2:$K$101,MATCH(TRIM(K152&amp;""),설정_코드표!$J$2:$J$101,0)),"⚠"&amp;TRIM(K152&amp;"")))</f>
        <v/>
      </c>
      <c r="T152" s="10">
        <f>IF(TRIM(M152&amp;"")="","",IF(ISNUMBER(MATCH(TRIM(M152&amp;""),설정_코드표!$C$2:$C$11,0)),TRIM(M152&amp;""),"⚠"&amp;TRIM(M152&amp;"")))</f>
        <v/>
      </c>
      <c r="U152" s="10">
        <f>IF(TRIM(L152&amp;"")="","",IFERROR(INDEX(설정_코드표!$G$2:$G$101,MATCH(TRIM(L152&amp;""),설정_코드표!$F$2:$F$101,0)),"⚠"&amp;TRIM(L152&amp;"")))</f>
        <v/>
      </c>
      <c r="V152" s="10">
        <f>IF(AND(ISNUMBER(H152),ISNUMBER(I152)),I152-H152+1,"")</f>
        <v/>
      </c>
      <c r="W152" s="17">
        <f>IF(ISNUMBER(H152),MAX(0,MIN(IF(ISNUMBER(I152),I152,EOMONTH(출력_요약!$B$3,0)),EOMONTH(출력_요약!$B$3,0))-MAX(H152,출력_요약!$B$3)+1),0)</f>
        <v/>
      </c>
      <c r="X152" s="10">
        <f>IF(OR(NOT(ISNUMBER(H152)),Q152=""),"",IF(TODAY()&lt;H152,"파견예정",IF(AND(ISNUMBER(I152),TODAY()&gt;I152),"파견종료","파견중")))</f>
        <v/>
      </c>
      <c r="Y152" s="10">
        <f>IF(OR(Q152="",X152=""),"",Q152&amp;"|"&amp;X152)</f>
        <v/>
      </c>
      <c r="Z152" s="10">
        <f>IF(AND(Q152&lt;&gt;"",W152&gt;0),Q152&amp;"|월","")</f>
        <v/>
      </c>
      <c r="AA152" s="10">
        <f>IF(COUNTA(B152:I152,K152:N152)=0,"",IF(Q152="","등록번호 없음",IF(LEFT(R152,1)="⚠","모병원명 미등록",IF(S152="","파견병원 입력",IF(LEFT(S152,1)="⚠","파견병원명 미등록",IF(LEFT(U152,1)="⚠","파견과목 미등록",IF(OR(T152="",LEFT(T152,1)="⚠"),"파견근거 확인",IF(NOT(AND(ISNUMBER(H152),ISNUMBER(I152))),"날짜 형식/누락",IF(I152&lt;H152,"종료일&lt;시작일","")))))))))</f>
        <v/>
      </c>
      <c r="AB152" s="11">
        <f>IF(ISNUMBER(SEARCH("다기관",TRIM(N152&amp;" "&amp;O152))),IFERROR(DATE(VALUE(MID(TRIM(N152&amp;" "&amp;O152),1,4)),VALUE(MID(TRIM(N152&amp;" "&amp;O152),6,2)),VALUE(MID(TRIM(N152&amp;" "&amp;O152),9,2))),IF(ISNUMBER(H152),H152,"")),"")</f>
        <v/>
      </c>
      <c r="AC152" s="11">
        <f>IF(ISNUMBER(SEARCH("다기관",TRIM(N152&amp;" "&amp;O152))),IFERROR(DATE(VALUE(MID(TRIM(N152&amp;" "&amp;O152),12,4)),VALUE(MID(TRIM(N152&amp;" "&amp;O152),17,2)),VALUE(MID(TRIM(N152&amp;" "&amp;O152),20,2))),IF(ISNUMBER(I152),I152,"")),"")</f>
        <v/>
      </c>
      <c r="AD152" s="17">
        <f>IF(AND(ISNUMBER(AB152),ISNUMBER(AC152)),MAX(0,MIN(AC152,EOMONTH(출력_요약!$B$3,0))-MAX(AB152,출력_요약!$B$3)+1),0)</f>
        <v/>
      </c>
      <c r="AE152" s="10">
        <f>IF(AND(Q152&lt;&gt;"",ISNUMBER(AB152)),Q152&amp;"|다기관","")</f>
        <v/>
      </c>
    </row>
    <row r="153">
      <c r="A153" s="15">
        <f>IF(F153="","",ROW()-3)</f>
        <v/>
      </c>
      <c r="B153" s="5" t="n"/>
      <c r="C153" s="15" t="n"/>
      <c r="D153" s="5" t="n"/>
      <c r="E153" s="15" t="n"/>
      <c r="F153" s="5" t="n"/>
      <c r="G153" s="6" t="n"/>
      <c r="H153" s="16" t="n"/>
      <c r="I153" s="16" t="n"/>
      <c r="J153" s="15">
        <f>IF(AND(ISNUMBER(H153),ISNUMBER(I153)),I153-H153+1,"")</f>
        <v/>
      </c>
      <c r="K153" s="5" t="n"/>
      <c r="L153" s="5" t="n"/>
      <c r="M153" s="5" t="n"/>
      <c r="N153" s="5" t="n"/>
      <c r="O153" s="5" t="n"/>
      <c r="Q153" s="10">
        <f>IF(TRIM(G153&amp;"")="","",TRIM(G153&amp;""))</f>
        <v/>
      </c>
      <c r="R153" s="10">
        <f>IF(TRIM(B153&amp;"")="","",IFERROR(INDEX(설정_코드표!$K$2:$K$101,MATCH(TRIM(B153&amp;""),설정_코드표!$J$2:$J$101,0)),"⚠"&amp;TRIM(B153&amp;"")))</f>
        <v/>
      </c>
      <c r="S153" s="10">
        <f>IF(TRIM(K153&amp;"")="","",IFERROR(INDEX(설정_코드표!$K$2:$K$101,MATCH(TRIM(K153&amp;""),설정_코드표!$J$2:$J$101,0)),"⚠"&amp;TRIM(K153&amp;"")))</f>
        <v/>
      </c>
      <c r="T153" s="10">
        <f>IF(TRIM(M153&amp;"")="","",IF(ISNUMBER(MATCH(TRIM(M153&amp;""),설정_코드표!$C$2:$C$11,0)),TRIM(M153&amp;""),"⚠"&amp;TRIM(M153&amp;"")))</f>
        <v/>
      </c>
      <c r="U153" s="10">
        <f>IF(TRIM(L153&amp;"")="","",IFERROR(INDEX(설정_코드표!$G$2:$G$101,MATCH(TRIM(L153&amp;""),설정_코드표!$F$2:$F$101,0)),"⚠"&amp;TRIM(L153&amp;"")))</f>
        <v/>
      </c>
      <c r="V153" s="10">
        <f>IF(AND(ISNUMBER(H153),ISNUMBER(I153)),I153-H153+1,"")</f>
        <v/>
      </c>
      <c r="W153" s="17">
        <f>IF(ISNUMBER(H153),MAX(0,MIN(IF(ISNUMBER(I153),I153,EOMONTH(출력_요약!$B$3,0)),EOMONTH(출력_요약!$B$3,0))-MAX(H153,출력_요약!$B$3)+1),0)</f>
        <v/>
      </c>
      <c r="X153" s="10">
        <f>IF(OR(NOT(ISNUMBER(H153)),Q153=""),"",IF(TODAY()&lt;H153,"파견예정",IF(AND(ISNUMBER(I153),TODAY()&gt;I153),"파견종료","파견중")))</f>
        <v/>
      </c>
      <c r="Y153" s="10">
        <f>IF(OR(Q153="",X153=""),"",Q153&amp;"|"&amp;X153)</f>
        <v/>
      </c>
      <c r="Z153" s="10">
        <f>IF(AND(Q153&lt;&gt;"",W153&gt;0),Q153&amp;"|월","")</f>
        <v/>
      </c>
      <c r="AA153" s="10">
        <f>IF(COUNTA(B153:I153,K153:N153)=0,"",IF(Q153="","등록번호 없음",IF(LEFT(R153,1)="⚠","모병원명 미등록",IF(S153="","파견병원 입력",IF(LEFT(S153,1)="⚠","파견병원명 미등록",IF(LEFT(U153,1)="⚠","파견과목 미등록",IF(OR(T153="",LEFT(T153,1)="⚠"),"파견근거 확인",IF(NOT(AND(ISNUMBER(H153),ISNUMBER(I153))),"날짜 형식/누락",IF(I153&lt;H153,"종료일&lt;시작일","")))))))))</f>
        <v/>
      </c>
      <c r="AB153" s="11">
        <f>IF(ISNUMBER(SEARCH("다기관",TRIM(N153&amp;" "&amp;O153))),IFERROR(DATE(VALUE(MID(TRIM(N153&amp;" "&amp;O153),1,4)),VALUE(MID(TRIM(N153&amp;" "&amp;O153),6,2)),VALUE(MID(TRIM(N153&amp;" "&amp;O153),9,2))),IF(ISNUMBER(H153),H153,"")),"")</f>
        <v/>
      </c>
      <c r="AC153" s="11">
        <f>IF(ISNUMBER(SEARCH("다기관",TRIM(N153&amp;" "&amp;O153))),IFERROR(DATE(VALUE(MID(TRIM(N153&amp;" "&amp;O153),12,4)),VALUE(MID(TRIM(N153&amp;" "&amp;O153),17,2)),VALUE(MID(TRIM(N153&amp;" "&amp;O153),20,2))),IF(ISNUMBER(I153),I153,"")),"")</f>
        <v/>
      </c>
      <c r="AD153" s="17">
        <f>IF(AND(ISNUMBER(AB153),ISNUMBER(AC153)),MAX(0,MIN(AC153,EOMONTH(출력_요약!$B$3,0))-MAX(AB153,출력_요약!$B$3)+1),0)</f>
        <v/>
      </c>
      <c r="AE153" s="10">
        <f>IF(AND(Q153&lt;&gt;"",ISNUMBER(AB153)),Q153&amp;"|다기관","")</f>
        <v/>
      </c>
    </row>
    <row r="154">
      <c r="A154" s="15">
        <f>IF(F154="","",ROW()-3)</f>
        <v/>
      </c>
      <c r="B154" s="5" t="n"/>
      <c r="C154" s="15" t="n"/>
      <c r="D154" s="5" t="n"/>
      <c r="E154" s="15" t="n"/>
      <c r="F154" s="5" t="n"/>
      <c r="G154" s="6" t="n"/>
      <c r="H154" s="16" t="n"/>
      <c r="I154" s="16" t="n"/>
      <c r="J154" s="15">
        <f>IF(AND(ISNUMBER(H154),ISNUMBER(I154)),I154-H154+1,"")</f>
        <v/>
      </c>
      <c r="K154" s="5" t="n"/>
      <c r="L154" s="5" t="n"/>
      <c r="M154" s="5" t="n"/>
      <c r="N154" s="5" t="n"/>
      <c r="O154" s="5" t="n"/>
      <c r="Q154" s="10">
        <f>IF(TRIM(G154&amp;"")="","",TRIM(G154&amp;""))</f>
        <v/>
      </c>
      <c r="R154" s="10">
        <f>IF(TRIM(B154&amp;"")="","",IFERROR(INDEX(설정_코드표!$K$2:$K$101,MATCH(TRIM(B154&amp;""),설정_코드표!$J$2:$J$101,0)),"⚠"&amp;TRIM(B154&amp;"")))</f>
        <v/>
      </c>
      <c r="S154" s="10">
        <f>IF(TRIM(K154&amp;"")="","",IFERROR(INDEX(설정_코드표!$K$2:$K$101,MATCH(TRIM(K154&amp;""),설정_코드표!$J$2:$J$101,0)),"⚠"&amp;TRIM(K154&amp;"")))</f>
        <v/>
      </c>
      <c r="T154" s="10">
        <f>IF(TRIM(M154&amp;"")="","",IF(ISNUMBER(MATCH(TRIM(M154&amp;""),설정_코드표!$C$2:$C$11,0)),TRIM(M154&amp;""),"⚠"&amp;TRIM(M154&amp;"")))</f>
        <v/>
      </c>
      <c r="U154" s="10">
        <f>IF(TRIM(L154&amp;"")="","",IFERROR(INDEX(설정_코드표!$G$2:$G$101,MATCH(TRIM(L154&amp;""),설정_코드표!$F$2:$F$101,0)),"⚠"&amp;TRIM(L154&amp;"")))</f>
        <v/>
      </c>
      <c r="V154" s="10">
        <f>IF(AND(ISNUMBER(H154),ISNUMBER(I154)),I154-H154+1,"")</f>
        <v/>
      </c>
      <c r="W154" s="17">
        <f>IF(ISNUMBER(H154),MAX(0,MIN(IF(ISNUMBER(I154),I154,EOMONTH(출력_요약!$B$3,0)),EOMONTH(출력_요약!$B$3,0))-MAX(H154,출력_요약!$B$3)+1),0)</f>
        <v/>
      </c>
      <c r="X154" s="10">
        <f>IF(OR(NOT(ISNUMBER(H154)),Q154=""),"",IF(TODAY()&lt;H154,"파견예정",IF(AND(ISNUMBER(I154),TODAY()&gt;I154),"파견종료","파견중")))</f>
        <v/>
      </c>
      <c r="Y154" s="10">
        <f>IF(OR(Q154="",X154=""),"",Q154&amp;"|"&amp;X154)</f>
        <v/>
      </c>
      <c r="Z154" s="10">
        <f>IF(AND(Q154&lt;&gt;"",W154&gt;0),Q154&amp;"|월","")</f>
        <v/>
      </c>
      <c r="AA154" s="10">
        <f>IF(COUNTA(B154:I154,K154:N154)=0,"",IF(Q154="","등록번호 없음",IF(LEFT(R154,1)="⚠","모병원명 미등록",IF(S154="","파견병원 입력",IF(LEFT(S154,1)="⚠","파견병원명 미등록",IF(LEFT(U154,1)="⚠","파견과목 미등록",IF(OR(T154="",LEFT(T154,1)="⚠"),"파견근거 확인",IF(NOT(AND(ISNUMBER(H154),ISNUMBER(I154))),"날짜 형식/누락",IF(I154&lt;H154,"종료일&lt;시작일","")))))))))</f>
        <v/>
      </c>
      <c r="AB154" s="11">
        <f>IF(ISNUMBER(SEARCH("다기관",TRIM(N154&amp;" "&amp;O154))),IFERROR(DATE(VALUE(MID(TRIM(N154&amp;" "&amp;O154),1,4)),VALUE(MID(TRIM(N154&amp;" "&amp;O154),6,2)),VALUE(MID(TRIM(N154&amp;" "&amp;O154),9,2))),IF(ISNUMBER(H154),H154,"")),"")</f>
        <v/>
      </c>
      <c r="AC154" s="11">
        <f>IF(ISNUMBER(SEARCH("다기관",TRIM(N154&amp;" "&amp;O154))),IFERROR(DATE(VALUE(MID(TRIM(N154&amp;" "&amp;O154),12,4)),VALUE(MID(TRIM(N154&amp;" "&amp;O154),17,2)),VALUE(MID(TRIM(N154&amp;" "&amp;O154),20,2))),IF(ISNUMBER(I154),I154,"")),"")</f>
        <v/>
      </c>
      <c r="AD154" s="17">
        <f>IF(AND(ISNUMBER(AB154),ISNUMBER(AC154)),MAX(0,MIN(AC154,EOMONTH(출력_요약!$B$3,0))-MAX(AB154,출력_요약!$B$3)+1),0)</f>
        <v/>
      </c>
      <c r="AE154" s="10">
        <f>IF(AND(Q154&lt;&gt;"",ISNUMBER(AB154)),Q154&amp;"|다기관","")</f>
        <v/>
      </c>
    </row>
    <row r="155">
      <c r="A155" s="15">
        <f>IF(F155="","",ROW()-3)</f>
        <v/>
      </c>
      <c r="B155" s="5" t="n"/>
      <c r="C155" s="15" t="n"/>
      <c r="D155" s="5" t="n"/>
      <c r="E155" s="15" t="n"/>
      <c r="F155" s="5" t="n"/>
      <c r="G155" s="6" t="n"/>
      <c r="H155" s="16" t="n"/>
      <c r="I155" s="16" t="n"/>
      <c r="J155" s="15">
        <f>IF(AND(ISNUMBER(H155),ISNUMBER(I155)),I155-H155+1,"")</f>
        <v/>
      </c>
      <c r="K155" s="5" t="n"/>
      <c r="L155" s="5" t="n"/>
      <c r="M155" s="5" t="n"/>
      <c r="N155" s="5" t="n"/>
      <c r="O155" s="5" t="n"/>
      <c r="Q155" s="10">
        <f>IF(TRIM(G155&amp;"")="","",TRIM(G155&amp;""))</f>
        <v/>
      </c>
      <c r="R155" s="10">
        <f>IF(TRIM(B155&amp;"")="","",IFERROR(INDEX(설정_코드표!$K$2:$K$101,MATCH(TRIM(B155&amp;""),설정_코드표!$J$2:$J$101,0)),"⚠"&amp;TRIM(B155&amp;"")))</f>
        <v/>
      </c>
      <c r="S155" s="10">
        <f>IF(TRIM(K155&amp;"")="","",IFERROR(INDEX(설정_코드표!$K$2:$K$101,MATCH(TRIM(K155&amp;""),설정_코드표!$J$2:$J$101,0)),"⚠"&amp;TRIM(K155&amp;"")))</f>
        <v/>
      </c>
      <c r="T155" s="10">
        <f>IF(TRIM(M155&amp;"")="","",IF(ISNUMBER(MATCH(TRIM(M155&amp;""),설정_코드표!$C$2:$C$11,0)),TRIM(M155&amp;""),"⚠"&amp;TRIM(M155&amp;"")))</f>
        <v/>
      </c>
      <c r="U155" s="10">
        <f>IF(TRIM(L155&amp;"")="","",IFERROR(INDEX(설정_코드표!$G$2:$G$101,MATCH(TRIM(L155&amp;""),설정_코드표!$F$2:$F$101,0)),"⚠"&amp;TRIM(L155&amp;"")))</f>
        <v/>
      </c>
      <c r="V155" s="10">
        <f>IF(AND(ISNUMBER(H155),ISNUMBER(I155)),I155-H155+1,"")</f>
        <v/>
      </c>
      <c r="W155" s="17">
        <f>IF(ISNUMBER(H155),MAX(0,MIN(IF(ISNUMBER(I155),I155,EOMONTH(출력_요약!$B$3,0)),EOMONTH(출력_요약!$B$3,0))-MAX(H155,출력_요약!$B$3)+1),0)</f>
        <v/>
      </c>
      <c r="X155" s="10">
        <f>IF(OR(NOT(ISNUMBER(H155)),Q155=""),"",IF(TODAY()&lt;H155,"파견예정",IF(AND(ISNUMBER(I155),TODAY()&gt;I155),"파견종료","파견중")))</f>
        <v/>
      </c>
      <c r="Y155" s="10">
        <f>IF(OR(Q155="",X155=""),"",Q155&amp;"|"&amp;X155)</f>
        <v/>
      </c>
      <c r="Z155" s="10">
        <f>IF(AND(Q155&lt;&gt;"",W155&gt;0),Q155&amp;"|월","")</f>
        <v/>
      </c>
      <c r="AA155" s="10">
        <f>IF(COUNTA(B155:I155,K155:N155)=0,"",IF(Q155="","등록번호 없음",IF(LEFT(R155,1)="⚠","모병원명 미등록",IF(S155="","파견병원 입력",IF(LEFT(S155,1)="⚠","파견병원명 미등록",IF(LEFT(U155,1)="⚠","파견과목 미등록",IF(OR(T155="",LEFT(T155,1)="⚠"),"파견근거 확인",IF(NOT(AND(ISNUMBER(H155),ISNUMBER(I155))),"날짜 형식/누락",IF(I155&lt;H155,"종료일&lt;시작일","")))))))))</f>
        <v/>
      </c>
      <c r="AB155" s="11">
        <f>IF(ISNUMBER(SEARCH("다기관",TRIM(N155&amp;" "&amp;O155))),IFERROR(DATE(VALUE(MID(TRIM(N155&amp;" "&amp;O155),1,4)),VALUE(MID(TRIM(N155&amp;" "&amp;O155),6,2)),VALUE(MID(TRIM(N155&amp;" "&amp;O155),9,2))),IF(ISNUMBER(H155),H155,"")),"")</f>
        <v/>
      </c>
      <c r="AC155" s="11">
        <f>IF(ISNUMBER(SEARCH("다기관",TRIM(N155&amp;" "&amp;O155))),IFERROR(DATE(VALUE(MID(TRIM(N155&amp;" "&amp;O155),12,4)),VALUE(MID(TRIM(N155&amp;" "&amp;O155),17,2)),VALUE(MID(TRIM(N155&amp;" "&amp;O155),20,2))),IF(ISNUMBER(I155),I155,"")),"")</f>
        <v/>
      </c>
      <c r="AD155" s="17">
        <f>IF(AND(ISNUMBER(AB155),ISNUMBER(AC155)),MAX(0,MIN(AC155,EOMONTH(출력_요약!$B$3,0))-MAX(AB155,출력_요약!$B$3)+1),0)</f>
        <v/>
      </c>
      <c r="AE155" s="10">
        <f>IF(AND(Q155&lt;&gt;"",ISNUMBER(AB155)),Q155&amp;"|다기관","")</f>
        <v/>
      </c>
    </row>
    <row r="156">
      <c r="A156" s="15">
        <f>IF(F156="","",ROW()-3)</f>
        <v/>
      </c>
      <c r="B156" s="5" t="n"/>
      <c r="C156" s="15" t="n"/>
      <c r="D156" s="5" t="n"/>
      <c r="E156" s="15" t="n"/>
      <c r="F156" s="5" t="n"/>
      <c r="G156" s="6" t="n"/>
      <c r="H156" s="16" t="n"/>
      <c r="I156" s="16" t="n"/>
      <c r="J156" s="15">
        <f>IF(AND(ISNUMBER(H156),ISNUMBER(I156)),I156-H156+1,"")</f>
        <v/>
      </c>
      <c r="K156" s="5" t="n"/>
      <c r="L156" s="5" t="n"/>
      <c r="M156" s="5" t="n"/>
      <c r="N156" s="5" t="n"/>
      <c r="O156" s="5" t="n"/>
      <c r="Q156" s="10">
        <f>IF(TRIM(G156&amp;"")="","",TRIM(G156&amp;""))</f>
        <v/>
      </c>
      <c r="R156" s="10">
        <f>IF(TRIM(B156&amp;"")="","",IFERROR(INDEX(설정_코드표!$K$2:$K$101,MATCH(TRIM(B156&amp;""),설정_코드표!$J$2:$J$101,0)),"⚠"&amp;TRIM(B156&amp;"")))</f>
        <v/>
      </c>
      <c r="S156" s="10">
        <f>IF(TRIM(K156&amp;"")="","",IFERROR(INDEX(설정_코드표!$K$2:$K$101,MATCH(TRIM(K156&amp;""),설정_코드표!$J$2:$J$101,0)),"⚠"&amp;TRIM(K156&amp;"")))</f>
        <v/>
      </c>
      <c r="T156" s="10">
        <f>IF(TRIM(M156&amp;"")="","",IF(ISNUMBER(MATCH(TRIM(M156&amp;""),설정_코드표!$C$2:$C$11,0)),TRIM(M156&amp;""),"⚠"&amp;TRIM(M156&amp;"")))</f>
        <v/>
      </c>
      <c r="U156" s="10">
        <f>IF(TRIM(L156&amp;"")="","",IFERROR(INDEX(설정_코드표!$G$2:$G$101,MATCH(TRIM(L156&amp;""),설정_코드표!$F$2:$F$101,0)),"⚠"&amp;TRIM(L156&amp;"")))</f>
        <v/>
      </c>
      <c r="V156" s="10">
        <f>IF(AND(ISNUMBER(H156),ISNUMBER(I156)),I156-H156+1,"")</f>
        <v/>
      </c>
      <c r="W156" s="17">
        <f>IF(ISNUMBER(H156),MAX(0,MIN(IF(ISNUMBER(I156),I156,EOMONTH(출력_요약!$B$3,0)),EOMONTH(출력_요약!$B$3,0))-MAX(H156,출력_요약!$B$3)+1),0)</f>
        <v/>
      </c>
      <c r="X156" s="10">
        <f>IF(OR(NOT(ISNUMBER(H156)),Q156=""),"",IF(TODAY()&lt;H156,"파견예정",IF(AND(ISNUMBER(I156),TODAY()&gt;I156),"파견종료","파견중")))</f>
        <v/>
      </c>
      <c r="Y156" s="10">
        <f>IF(OR(Q156="",X156=""),"",Q156&amp;"|"&amp;X156)</f>
        <v/>
      </c>
      <c r="Z156" s="10">
        <f>IF(AND(Q156&lt;&gt;"",W156&gt;0),Q156&amp;"|월","")</f>
        <v/>
      </c>
      <c r="AA156" s="10">
        <f>IF(COUNTA(B156:I156,K156:N156)=0,"",IF(Q156="","등록번호 없음",IF(LEFT(R156,1)="⚠","모병원명 미등록",IF(S156="","파견병원 입력",IF(LEFT(S156,1)="⚠","파견병원명 미등록",IF(LEFT(U156,1)="⚠","파견과목 미등록",IF(OR(T156="",LEFT(T156,1)="⚠"),"파견근거 확인",IF(NOT(AND(ISNUMBER(H156),ISNUMBER(I156))),"날짜 형식/누락",IF(I156&lt;H156,"종료일&lt;시작일","")))))))))</f>
        <v/>
      </c>
      <c r="AB156" s="11">
        <f>IF(ISNUMBER(SEARCH("다기관",TRIM(N156&amp;" "&amp;O156))),IFERROR(DATE(VALUE(MID(TRIM(N156&amp;" "&amp;O156),1,4)),VALUE(MID(TRIM(N156&amp;" "&amp;O156),6,2)),VALUE(MID(TRIM(N156&amp;" "&amp;O156),9,2))),IF(ISNUMBER(H156),H156,"")),"")</f>
        <v/>
      </c>
      <c r="AC156" s="11">
        <f>IF(ISNUMBER(SEARCH("다기관",TRIM(N156&amp;" "&amp;O156))),IFERROR(DATE(VALUE(MID(TRIM(N156&amp;" "&amp;O156),12,4)),VALUE(MID(TRIM(N156&amp;" "&amp;O156),17,2)),VALUE(MID(TRIM(N156&amp;" "&amp;O156),20,2))),IF(ISNUMBER(I156),I156,"")),"")</f>
        <v/>
      </c>
      <c r="AD156" s="17">
        <f>IF(AND(ISNUMBER(AB156),ISNUMBER(AC156)),MAX(0,MIN(AC156,EOMONTH(출력_요약!$B$3,0))-MAX(AB156,출력_요약!$B$3)+1),0)</f>
        <v/>
      </c>
      <c r="AE156" s="10">
        <f>IF(AND(Q156&lt;&gt;"",ISNUMBER(AB156)),Q156&amp;"|다기관","")</f>
        <v/>
      </c>
    </row>
    <row r="157">
      <c r="A157" s="15">
        <f>IF(F157="","",ROW()-3)</f>
        <v/>
      </c>
      <c r="B157" s="5" t="n"/>
      <c r="C157" s="15" t="n"/>
      <c r="D157" s="5" t="n"/>
      <c r="E157" s="15" t="n"/>
      <c r="F157" s="5" t="n"/>
      <c r="G157" s="6" t="n"/>
      <c r="H157" s="16" t="n"/>
      <c r="I157" s="16" t="n"/>
      <c r="J157" s="15">
        <f>IF(AND(ISNUMBER(H157),ISNUMBER(I157)),I157-H157+1,"")</f>
        <v/>
      </c>
      <c r="K157" s="5" t="n"/>
      <c r="L157" s="5" t="n"/>
      <c r="M157" s="5" t="n"/>
      <c r="N157" s="5" t="n"/>
      <c r="O157" s="5" t="n"/>
      <c r="Q157" s="10">
        <f>IF(TRIM(G157&amp;"")="","",TRIM(G157&amp;""))</f>
        <v/>
      </c>
      <c r="R157" s="10">
        <f>IF(TRIM(B157&amp;"")="","",IFERROR(INDEX(설정_코드표!$K$2:$K$101,MATCH(TRIM(B157&amp;""),설정_코드표!$J$2:$J$101,0)),"⚠"&amp;TRIM(B157&amp;"")))</f>
        <v/>
      </c>
      <c r="S157" s="10">
        <f>IF(TRIM(K157&amp;"")="","",IFERROR(INDEX(설정_코드표!$K$2:$K$101,MATCH(TRIM(K157&amp;""),설정_코드표!$J$2:$J$101,0)),"⚠"&amp;TRIM(K157&amp;"")))</f>
        <v/>
      </c>
      <c r="T157" s="10">
        <f>IF(TRIM(M157&amp;"")="","",IF(ISNUMBER(MATCH(TRIM(M157&amp;""),설정_코드표!$C$2:$C$11,0)),TRIM(M157&amp;""),"⚠"&amp;TRIM(M157&amp;"")))</f>
        <v/>
      </c>
      <c r="U157" s="10">
        <f>IF(TRIM(L157&amp;"")="","",IFERROR(INDEX(설정_코드표!$G$2:$G$101,MATCH(TRIM(L157&amp;""),설정_코드표!$F$2:$F$101,0)),"⚠"&amp;TRIM(L157&amp;"")))</f>
        <v/>
      </c>
      <c r="V157" s="10">
        <f>IF(AND(ISNUMBER(H157),ISNUMBER(I157)),I157-H157+1,"")</f>
        <v/>
      </c>
      <c r="W157" s="17">
        <f>IF(ISNUMBER(H157),MAX(0,MIN(IF(ISNUMBER(I157),I157,EOMONTH(출력_요약!$B$3,0)),EOMONTH(출력_요약!$B$3,0))-MAX(H157,출력_요약!$B$3)+1),0)</f>
        <v/>
      </c>
      <c r="X157" s="10">
        <f>IF(OR(NOT(ISNUMBER(H157)),Q157=""),"",IF(TODAY()&lt;H157,"파견예정",IF(AND(ISNUMBER(I157),TODAY()&gt;I157),"파견종료","파견중")))</f>
        <v/>
      </c>
      <c r="Y157" s="10">
        <f>IF(OR(Q157="",X157=""),"",Q157&amp;"|"&amp;X157)</f>
        <v/>
      </c>
      <c r="Z157" s="10">
        <f>IF(AND(Q157&lt;&gt;"",W157&gt;0),Q157&amp;"|월","")</f>
        <v/>
      </c>
      <c r="AA157" s="10">
        <f>IF(COUNTA(B157:I157,K157:N157)=0,"",IF(Q157="","등록번호 없음",IF(LEFT(R157,1)="⚠","모병원명 미등록",IF(S157="","파견병원 입력",IF(LEFT(S157,1)="⚠","파견병원명 미등록",IF(LEFT(U157,1)="⚠","파견과목 미등록",IF(OR(T157="",LEFT(T157,1)="⚠"),"파견근거 확인",IF(NOT(AND(ISNUMBER(H157),ISNUMBER(I157))),"날짜 형식/누락",IF(I157&lt;H157,"종료일&lt;시작일","")))))))))</f>
        <v/>
      </c>
      <c r="AB157" s="11">
        <f>IF(ISNUMBER(SEARCH("다기관",TRIM(N157&amp;" "&amp;O157))),IFERROR(DATE(VALUE(MID(TRIM(N157&amp;" "&amp;O157),1,4)),VALUE(MID(TRIM(N157&amp;" "&amp;O157),6,2)),VALUE(MID(TRIM(N157&amp;" "&amp;O157),9,2))),IF(ISNUMBER(H157),H157,"")),"")</f>
        <v/>
      </c>
      <c r="AC157" s="11">
        <f>IF(ISNUMBER(SEARCH("다기관",TRIM(N157&amp;" "&amp;O157))),IFERROR(DATE(VALUE(MID(TRIM(N157&amp;" "&amp;O157),12,4)),VALUE(MID(TRIM(N157&amp;" "&amp;O157),17,2)),VALUE(MID(TRIM(N157&amp;" "&amp;O157),20,2))),IF(ISNUMBER(I157),I157,"")),"")</f>
        <v/>
      </c>
      <c r="AD157" s="17">
        <f>IF(AND(ISNUMBER(AB157),ISNUMBER(AC157)),MAX(0,MIN(AC157,EOMONTH(출력_요약!$B$3,0))-MAX(AB157,출력_요약!$B$3)+1),0)</f>
        <v/>
      </c>
      <c r="AE157" s="10">
        <f>IF(AND(Q157&lt;&gt;"",ISNUMBER(AB157)),Q157&amp;"|다기관","")</f>
        <v/>
      </c>
    </row>
    <row r="158">
      <c r="A158" s="15">
        <f>IF(F158="","",ROW()-3)</f>
        <v/>
      </c>
      <c r="B158" s="5" t="n"/>
      <c r="C158" s="15" t="n"/>
      <c r="D158" s="5" t="n"/>
      <c r="E158" s="15" t="n"/>
      <c r="F158" s="5" t="n"/>
      <c r="G158" s="6" t="n"/>
      <c r="H158" s="16" t="n"/>
      <c r="I158" s="16" t="n"/>
      <c r="J158" s="15">
        <f>IF(AND(ISNUMBER(H158),ISNUMBER(I158)),I158-H158+1,"")</f>
        <v/>
      </c>
      <c r="K158" s="5" t="n"/>
      <c r="L158" s="5" t="n"/>
      <c r="M158" s="5" t="n"/>
      <c r="N158" s="5" t="n"/>
      <c r="O158" s="5" t="n"/>
      <c r="Q158" s="10">
        <f>IF(TRIM(G158&amp;"")="","",TRIM(G158&amp;""))</f>
        <v/>
      </c>
      <c r="R158" s="10">
        <f>IF(TRIM(B158&amp;"")="","",IFERROR(INDEX(설정_코드표!$K$2:$K$101,MATCH(TRIM(B158&amp;""),설정_코드표!$J$2:$J$101,0)),"⚠"&amp;TRIM(B158&amp;"")))</f>
        <v/>
      </c>
      <c r="S158" s="10">
        <f>IF(TRIM(K158&amp;"")="","",IFERROR(INDEX(설정_코드표!$K$2:$K$101,MATCH(TRIM(K158&amp;""),설정_코드표!$J$2:$J$101,0)),"⚠"&amp;TRIM(K158&amp;"")))</f>
        <v/>
      </c>
      <c r="T158" s="10">
        <f>IF(TRIM(M158&amp;"")="","",IF(ISNUMBER(MATCH(TRIM(M158&amp;""),설정_코드표!$C$2:$C$11,0)),TRIM(M158&amp;""),"⚠"&amp;TRIM(M158&amp;"")))</f>
        <v/>
      </c>
      <c r="U158" s="10">
        <f>IF(TRIM(L158&amp;"")="","",IFERROR(INDEX(설정_코드표!$G$2:$G$101,MATCH(TRIM(L158&amp;""),설정_코드표!$F$2:$F$101,0)),"⚠"&amp;TRIM(L158&amp;"")))</f>
        <v/>
      </c>
      <c r="V158" s="10">
        <f>IF(AND(ISNUMBER(H158),ISNUMBER(I158)),I158-H158+1,"")</f>
        <v/>
      </c>
      <c r="W158" s="17">
        <f>IF(ISNUMBER(H158),MAX(0,MIN(IF(ISNUMBER(I158),I158,EOMONTH(출력_요약!$B$3,0)),EOMONTH(출력_요약!$B$3,0))-MAX(H158,출력_요약!$B$3)+1),0)</f>
        <v/>
      </c>
      <c r="X158" s="10">
        <f>IF(OR(NOT(ISNUMBER(H158)),Q158=""),"",IF(TODAY()&lt;H158,"파견예정",IF(AND(ISNUMBER(I158),TODAY()&gt;I158),"파견종료","파견중")))</f>
        <v/>
      </c>
      <c r="Y158" s="10">
        <f>IF(OR(Q158="",X158=""),"",Q158&amp;"|"&amp;X158)</f>
        <v/>
      </c>
      <c r="Z158" s="10">
        <f>IF(AND(Q158&lt;&gt;"",W158&gt;0),Q158&amp;"|월","")</f>
        <v/>
      </c>
      <c r="AA158" s="10">
        <f>IF(COUNTA(B158:I158,K158:N158)=0,"",IF(Q158="","등록번호 없음",IF(LEFT(R158,1)="⚠","모병원명 미등록",IF(S158="","파견병원 입력",IF(LEFT(S158,1)="⚠","파견병원명 미등록",IF(LEFT(U158,1)="⚠","파견과목 미등록",IF(OR(T158="",LEFT(T158,1)="⚠"),"파견근거 확인",IF(NOT(AND(ISNUMBER(H158),ISNUMBER(I158))),"날짜 형식/누락",IF(I158&lt;H158,"종료일&lt;시작일","")))))))))</f>
        <v/>
      </c>
      <c r="AB158" s="11">
        <f>IF(ISNUMBER(SEARCH("다기관",TRIM(N158&amp;" "&amp;O158))),IFERROR(DATE(VALUE(MID(TRIM(N158&amp;" "&amp;O158),1,4)),VALUE(MID(TRIM(N158&amp;" "&amp;O158),6,2)),VALUE(MID(TRIM(N158&amp;" "&amp;O158),9,2))),IF(ISNUMBER(H158),H158,"")),"")</f>
        <v/>
      </c>
      <c r="AC158" s="11">
        <f>IF(ISNUMBER(SEARCH("다기관",TRIM(N158&amp;" "&amp;O158))),IFERROR(DATE(VALUE(MID(TRIM(N158&amp;" "&amp;O158),12,4)),VALUE(MID(TRIM(N158&amp;" "&amp;O158),17,2)),VALUE(MID(TRIM(N158&amp;" "&amp;O158),20,2))),IF(ISNUMBER(I158),I158,"")),"")</f>
        <v/>
      </c>
      <c r="AD158" s="17">
        <f>IF(AND(ISNUMBER(AB158),ISNUMBER(AC158)),MAX(0,MIN(AC158,EOMONTH(출력_요약!$B$3,0))-MAX(AB158,출력_요약!$B$3)+1),0)</f>
        <v/>
      </c>
      <c r="AE158" s="10">
        <f>IF(AND(Q158&lt;&gt;"",ISNUMBER(AB158)),Q158&amp;"|다기관","")</f>
        <v/>
      </c>
    </row>
    <row r="159">
      <c r="A159" s="15">
        <f>IF(F159="","",ROW()-3)</f>
        <v/>
      </c>
      <c r="B159" s="5" t="n"/>
      <c r="C159" s="15" t="n"/>
      <c r="D159" s="5" t="n"/>
      <c r="E159" s="15" t="n"/>
      <c r="F159" s="5" t="n"/>
      <c r="G159" s="6" t="n"/>
      <c r="H159" s="16" t="n"/>
      <c r="I159" s="16" t="n"/>
      <c r="J159" s="15">
        <f>IF(AND(ISNUMBER(H159),ISNUMBER(I159)),I159-H159+1,"")</f>
        <v/>
      </c>
      <c r="K159" s="5" t="n"/>
      <c r="L159" s="5" t="n"/>
      <c r="M159" s="5" t="n"/>
      <c r="N159" s="5" t="n"/>
      <c r="O159" s="5" t="n"/>
      <c r="Q159" s="10">
        <f>IF(TRIM(G159&amp;"")="","",TRIM(G159&amp;""))</f>
        <v/>
      </c>
      <c r="R159" s="10">
        <f>IF(TRIM(B159&amp;"")="","",IFERROR(INDEX(설정_코드표!$K$2:$K$101,MATCH(TRIM(B159&amp;""),설정_코드표!$J$2:$J$101,0)),"⚠"&amp;TRIM(B159&amp;"")))</f>
        <v/>
      </c>
      <c r="S159" s="10">
        <f>IF(TRIM(K159&amp;"")="","",IFERROR(INDEX(설정_코드표!$K$2:$K$101,MATCH(TRIM(K159&amp;""),설정_코드표!$J$2:$J$101,0)),"⚠"&amp;TRIM(K159&amp;"")))</f>
        <v/>
      </c>
      <c r="T159" s="10">
        <f>IF(TRIM(M159&amp;"")="","",IF(ISNUMBER(MATCH(TRIM(M159&amp;""),설정_코드표!$C$2:$C$11,0)),TRIM(M159&amp;""),"⚠"&amp;TRIM(M159&amp;"")))</f>
        <v/>
      </c>
      <c r="U159" s="10">
        <f>IF(TRIM(L159&amp;"")="","",IFERROR(INDEX(설정_코드표!$G$2:$G$101,MATCH(TRIM(L159&amp;""),설정_코드표!$F$2:$F$101,0)),"⚠"&amp;TRIM(L159&amp;"")))</f>
        <v/>
      </c>
      <c r="V159" s="10">
        <f>IF(AND(ISNUMBER(H159),ISNUMBER(I159)),I159-H159+1,"")</f>
        <v/>
      </c>
      <c r="W159" s="17">
        <f>IF(ISNUMBER(H159),MAX(0,MIN(IF(ISNUMBER(I159),I159,EOMONTH(출력_요약!$B$3,0)),EOMONTH(출력_요약!$B$3,0))-MAX(H159,출력_요약!$B$3)+1),0)</f>
        <v/>
      </c>
      <c r="X159" s="10">
        <f>IF(OR(NOT(ISNUMBER(H159)),Q159=""),"",IF(TODAY()&lt;H159,"파견예정",IF(AND(ISNUMBER(I159),TODAY()&gt;I159),"파견종료","파견중")))</f>
        <v/>
      </c>
      <c r="Y159" s="10">
        <f>IF(OR(Q159="",X159=""),"",Q159&amp;"|"&amp;X159)</f>
        <v/>
      </c>
      <c r="Z159" s="10">
        <f>IF(AND(Q159&lt;&gt;"",W159&gt;0),Q159&amp;"|월","")</f>
        <v/>
      </c>
      <c r="AA159" s="10">
        <f>IF(COUNTA(B159:I159,K159:N159)=0,"",IF(Q159="","등록번호 없음",IF(LEFT(R159,1)="⚠","모병원명 미등록",IF(S159="","파견병원 입력",IF(LEFT(S159,1)="⚠","파견병원명 미등록",IF(LEFT(U159,1)="⚠","파견과목 미등록",IF(OR(T159="",LEFT(T159,1)="⚠"),"파견근거 확인",IF(NOT(AND(ISNUMBER(H159),ISNUMBER(I159))),"날짜 형식/누락",IF(I159&lt;H159,"종료일&lt;시작일","")))))))))</f>
        <v/>
      </c>
      <c r="AB159" s="11">
        <f>IF(ISNUMBER(SEARCH("다기관",TRIM(N159&amp;" "&amp;O159))),IFERROR(DATE(VALUE(MID(TRIM(N159&amp;" "&amp;O159),1,4)),VALUE(MID(TRIM(N159&amp;" "&amp;O159),6,2)),VALUE(MID(TRIM(N159&amp;" "&amp;O159),9,2))),IF(ISNUMBER(H159),H159,"")),"")</f>
        <v/>
      </c>
      <c r="AC159" s="11">
        <f>IF(ISNUMBER(SEARCH("다기관",TRIM(N159&amp;" "&amp;O159))),IFERROR(DATE(VALUE(MID(TRIM(N159&amp;" "&amp;O159),12,4)),VALUE(MID(TRIM(N159&amp;" "&amp;O159),17,2)),VALUE(MID(TRIM(N159&amp;" "&amp;O159),20,2))),IF(ISNUMBER(I159),I159,"")),"")</f>
        <v/>
      </c>
      <c r="AD159" s="17">
        <f>IF(AND(ISNUMBER(AB159),ISNUMBER(AC159)),MAX(0,MIN(AC159,EOMONTH(출력_요약!$B$3,0))-MAX(AB159,출력_요약!$B$3)+1),0)</f>
        <v/>
      </c>
      <c r="AE159" s="10">
        <f>IF(AND(Q159&lt;&gt;"",ISNUMBER(AB159)),Q159&amp;"|다기관","")</f>
        <v/>
      </c>
    </row>
    <row r="160">
      <c r="A160" s="15">
        <f>IF(F160="","",ROW()-3)</f>
        <v/>
      </c>
      <c r="B160" s="5" t="n"/>
      <c r="C160" s="15" t="n"/>
      <c r="D160" s="5" t="n"/>
      <c r="E160" s="15" t="n"/>
      <c r="F160" s="5" t="n"/>
      <c r="G160" s="6" t="n"/>
      <c r="H160" s="16" t="n"/>
      <c r="I160" s="16" t="n"/>
      <c r="J160" s="15">
        <f>IF(AND(ISNUMBER(H160),ISNUMBER(I160)),I160-H160+1,"")</f>
        <v/>
      </c>
      <c r="K160" s="5" t="n"/>
      <c r="L160" s="5" t="n"/>
      <c r="M160" s="5" t="n"/>
      <c r="N160" s="5" t="n"/>
      <c r="O160" s="5" t="n"/>
      <c r="Q160" s="10">
        <f>IF(TRIM(G160&amp;"")="","",TRIM(G160&amp;""))</f>
        <v/>
      </c>
      <c r="R160" s="10">
        <f>IF(TRIM(B160&amp;"")="","",IFERROR(INDEX(설정_코드표!$K$2:$K$101,MATCH(TRIM(B160&amp;""),설정_코드표!$J$2:$J$101,0)),"⚠"&amp;TRIM(B160&amp;"")))</f>
        <v/>
      </c>
      <c r="S160" s="10">
        <f>IF(TRIM(K160&amp;"")="","",IFERROR(INDEX(설정_코드표!$K$2:$K$101,MATCH(TRIM(K160&amp;""),설정_코드표!$J$2:$J$101,0)),"⚠"&amp;TRIM(K160&amp;"")))</f>
        <v/>
      </c>
      <c r="T160" s="10">
        <f>IF(TRIM(M160&amp;"")="","",IF(ISNUMBER(MATCH(TRIM(M160&amp;""),설정_코드표!$C$2:$C$11,0)),TRIM(M160&amp;""),"⚠"&amp;TRIM(M160&amp;"")))</f>
        <v/>
      </c>
      <c r="U160" s="10">
        <f>IF(TRIM(L160&amp;"")="","",IFERROR(INDEX(설정_코드표!$G$2:$G$101,MATCH(TRIM(L160&amp;""),설정_코드표!$F$2:$F$101,0)),"⚠"&amp;TRIM(L160&amp;"")))</f>
        <v/>
      </c>
      <c r="V160" s="10">
        <f>IF(AND(ISNUMBER(H160),ISNUMBER(I160)),I160-H160+1,"")</f>
        <v/>
      </c>
      <c r="W160" s="17">
        <f>IF(ISNUMBER(H160),MAX(0,MIN(IF(ISNUMBER(I160),I160,EOMONTH(출력_요약!$B$3,0)),EOMONTH(출력_요약!$B$3,0))-MAX(H160,출력_요약!$B$3)+1),0)</f>
        <v/>
      </c>
      <c r="X160" s="10">
        <f>IF(OR(NOT(ISNUMBER(H160)),Q160=""),"",IF(TODAY()&lt;H160,"파견예정",IF(AND(ISNUMBER(I160),TODAY()&gt;I160),"파견종료","파견중")))</f>
        <v/>
      </c>
      <c r="Y160" s="10">
        <f>IF(OR(Q160="",X160=""),"",Q160&amp;"|"&amp;X160)</f>
        <v/>
      </c>
      <c r="Z160" s="10">
        <f>IF(AND(Q160&lt;&gt;"",W160&gt;0),Q160&amp;"|월","")</f>
        <v/>
      </c>
      <c r="AA160" s="10">
        <f>IF(COUNTA(B160:I160,K160:N160)=0,"",IF(Q160="","등록번호 없음",IF(LEFT(R160,1)="⚠","모병원명 미등록",IF(S160="","파견병원 입력",IF(LEFT(S160,1)="⚠","파견병원명 미등록",IF(LEFT(U160,1)="⚠","파견과목 미등록",IF(OR(T160="",LEFT(T160,1)="⚠"),"파견근거 확인",IF(NOT(AND(ISNUMBER(H160),ISNUMBER(I160))),"날짜 형식/누락",IF(I160&lt;H160,"종료일&lt;시작일","")))))))))</f>
        <v/>
      </c>
      <c r="AB160" s="11">
        <f>IF(ISNUMBER(SEARCH("다기관",TRIM(N160&amp;" "&amp;O160))),IFERROR(DATE(VALUE(MID(TRIM(N160&amp;" "&amp;O160),1,4)),VALUE(MID(TRIM(N160&amp;" "&amp;O160),6,2)),VALUE(MID(TRIM(N160&amp;" "&amp;O160),9,2))),IF(ISNUMBER(H160),H160,"")),"")</f>
        <v/>
      </c>
      <c r="AC160" s="11">
        <f>IF(ISNUMBER(SEARCH("다기관",TRIM(N160&amp;" "&amp;O160))),IFERROR(DATE(VALUE(MID(TRIM(N160&amp;" "&amp;O160),12,4)),VALUE(MID(TRIM(N160&amp;" "&amp;O160),17,2)),VALUE(MID(TRIM(N160&amp;" "&amp;O160),20,2))),IF(ISNUMBER(I160),I160,"")),"")</f>
        <v/>
      </c>
      <c r="AD160" s="17">
        <f>IF(AND(ISNUMBER(AB160),ISNUMBER(AC160)),MAX(0,MIN(AC160,EOMONTH(출력_요약!$B$3,0))-MAX(AB160,출력_요약!$B$3)+1),0)</f>
        <v/>
      </c>
      <c r="AE160" s="10">
        <f>IF(AND(Q160&lt;&gt;"",ISNUMBER(AB160)),Q160&amp;"|다기관","")</f>
        <v/>
      </c>
    </row>
    <row r="161">
      <c r="A161" s="15">
        <f>IF(F161="","",ROW()-3)</f>
        <v/>
      </c>
      <c r="B161" s="5" t="n"/>
      <c r="C161" s="15" t="n"/>
      <c r="D161" s="5" t="n"/>
      <c r="E161" s="15" t="n"/>
      <c r="F161" s="5" t="n"/>
      <c r="G161" s="6" t="n"/>
      <c r="H161" s="16" t="n"/>
      <c r="I161" s="16" t="n"/>
      <c r="J161" s="15">
        <f>IF(AND(ISNUMBER(H161),ISNUMBER(I161)),I161-H161+1,"")</f>
        <v/>
      </c>
      <c r="K161" s="5" t="n"/>
      <c r="L161" s="5" t="n"/>
      <c r="M161" s="5" t="n"/>
      <c r="N161" s="5" t="n"/>
      <c r="O161" s="5" t="n"/>
      <c r="Q161" s="10">
        <f>IF(TRIM(G161&amp;"")="","",TRIM(G161&amp;""))</f>
        <v/>
      </c>
      <c r="R161" s="10">
        <f>IF(TRIM(B161&amp;"")="","",IFERROR(INDEX(설정_코드표!$K$2:$K$101,MATCH(TRIM(B161&amp;""),설정_코드표!$J$2:$J$101,0)),"⚠"&amp;TRIM(B161&amp;"")))</f>
        <v/>
      </c>
      <c r="S161" s="10">
        <f>IF(TRIM(K161&amp;"")="","",IFERROR(INDEX(설정_코드표!$K$2:$K$101,MATCH(TRIM(K161&amp;""),설정_코드표!$J$2:$J$101,0)),"⚠"&amp;TRIM(K161&amp;"")))</f>
        <v/>
      </c>
      <c r="T161" s="10">
        <f>IF(TRIM(M161&amp;"")="","",IF(ISNUMBER(MATCH(TRIM(M161&amp;""),설정_코드표!$C$2:$C$11,0)),TRIM(M161&amp;""),"⚠"&amp;TRIM(M161&amp;"")))</f>
        <v/>
      </c>
      <c r="U161" s="10">
        <f>IF(TRIM(L161&amp;"")="","",IFERROR(INDEX(설정_코드표!$G$2:$G$101,MATCH(TRIM(L161&amp;""),설정_코드표!$F$2:$F$101,0)),"⚠"&amp;TRIM(L161&amp;"")))</f>
        <v/>
      </c>
      <c r="V161" s="10">
        <f>IF(AND(ISNUMBER(H161),ISNUMBER(I161)),I161-H161+1,"")</f>
        <v/>
      </c>
      <c r="W161" s="17">
        <f>IF(ISNUMBER(H161),MAX(0,MIN(IF(ISNUMBER(I161),I161,EOMONTH(출력_요약!$B$3,0)),EOMONTH(출력_요약!$B$3,0))-MAX(H161,출력_요약!$B$3)+1),0)</f>
        <v/>
      </c>
      <c r="X161" s="10">
        <f>IF(OR(NOT(ISNUMBER(H161)),Q161=""),"",IF(TODAY()&lt;H161,"파견예정",IF(AND(ISNUMBER(I161),TODAY()&gt;I161),"파견종료","파견중")))</f>
        <v/>
      </c>
      <c r="Y161" s="10">
        <f>IF(OR(Q161="",X161=""),"",Q161&amp;"|"&amp;X161)</f>
        <v/>
      </c>
      <c r="Z161" s="10">
        <f>IF(AND(Q161&lt;&gt;"",W161&gt;0),Q161&amp;"|월","")</f>
        <v/>
      </c>
      <c r="AA161" s="10">
        <f>IF(COUNTA(B161:I161,K161:N161)=0,"",IF(Q161="","등록번호 없음",IF(LEFT(R161,1)="⚠","모병원명 미등록",IF(S161="","파견병원 입력",IF(LEFT(S161,1)="⚠","파견병원명 미등록",IF(LEFT(U161,1)="⚠","파견과목 미등록",IF(OR(T161="",LEFT(T161,1)="⚠"),"파견근거 확인",IF(NOT(AND(ISNUMBER(H161),ISNUMBER(I161))),"날짜 형식/누락",IF(I161&lt;H161,"종료일&lt;시작일","")))))))))</f>
        <v/>
      </c>
      <c r="AB161" s="11">
        <f>IF(ISNUMBER(SEARCH("다기관",TRIM(N161&amp;" "&amp;O161))),IFERROR(DATE(VALUE(MID(TRIM(N161&amp;" "&amp;O161),1,4)),VALUE(MID(TRIM(N161&amp;" "&amp;O161),6,2)),VALUE(MID(TRIM(N161&amp;" "&amp;O161),9,2))),IF(ISNUMBER(H161),H161,"")),"")</f>
        <v/>
      </c>
      <c r="AC161" s="11">
        <f>IF(ISNUMBER(SEARCH("다기관",TRIM(N161&amp;" "&amp;O161))),IFERROR(DATE(VALUE(MID(TRIM(N161&amp;" "&amp;O161),12,4)),VALUE(MID(TRIM(N161&amp;" "&amp;O161),17,2)),VALUE(MID(TRIM(N161&amp;" "&amp;O161),20,2))),IF(ISNUMBER(I161),I161,"")),"")</f>
        <v/>
      </c>
      <c r="AD161" s="17">
        <f>IF(AND(ISNUMBER(AB161),ISNUMBER(AC161)),MAX(0,MIN(AC161,EOMONTH(출력_요약!$B$3,0))-MAX(AB161,출력_요약!$B$3)+1),0)</f>
        <v/>
      </c>
      <c r="AE161" s="10">
        <f>IF(AND(Q161&lt;&gt;"",ISNUMBER(AB161)),Q161&amp;"|다기관","")</f>
        <v/>
      </c>
    </row>
    <row r="162">
      <c r="A162" s="15">
        <f>IF(F162="","",ROW()-3)</f>
        <v/>
      </c>
      <c r="B162" s="5" t="n"/>
      <c r="C162" s="15" t="n"/>
      <c r="D162" s="5" t="n"/>
      <c r="E162" s="15" t="n"/>
      <c r="F162" s="5" t="n"/>
      <c r="G162" s="6" t="n"/>
      <c r="H162" s="16" t="n"/>
      <c r="I162" s="16" t="n"/>
      <c r="J162" s="15">
        <f>IF(AND(ISNUMBER(H162),ISNUMBER(I162)),I162-H162+1,"")</f>
        <v/>
      </c>
      <c r="K162" s="5" t="n"/>
      <c r="L162" s="5" t="n"/>
      <c r="M162" s="5" t="n"/>
      <c r="N162" s="5" t="n"/>
      <c r="O162" s="5" t="n"/>
      <c r="Q162" s="10">
        <f>IF(TRIM(G162&amp;"")="","",TRIM(G162&amp;""))</f>
        <v/>
      </c>
      <c r="R162" s="10">
        <f>IF(TRIM(B162&amp;"")="","",IFERROR(INDEX(설정_코드표!$K$2:$K$101,MATCH(TRIM(B162&amp;""),설정_코드표!$J$2:$J$101,0)),"⚠"&amp;TRIM(B162&amp;"")))</f>
        <v/>
      </c>
      <c r="S162" s="10">
        <f>IF(TRIM(K162&amp;"")="","",IFERROR(INDEX(설정_코드표!$K$2:$K$101,MATCH(TRIM(K162&amp;""),설정_코드표!$J$2:$J$101,0)),"⚠"&amp;TRIM(K162&amp;"")))</f>
        <v/>
      </c>
      <c r="T162" s="10">
        <f>IF(TRIM(M162&amp;"")="","",IF(ISNUMBER(MATCH(TRIM(M162&amp;""),설정_코드표!$C$2:$C$11,0)),TRIM(M162&amp;""),"⚠"&amp;TRIM(M162&amp;"")))</f>
        <v/>
      </c>
      <c r="U162" s="10">
        <f>IF(TRIM(L162&amp;"")="","",IFERROR(INDEX(설정_코드표!$G$2:$G$101,MATCH(TRIM(L162&amp;""),설정_코드표!$F$2:$F$101,0)),"⚠"&amp;TRIM(L162&amp;"")))</f>
        <v/>
      </c>
      <c r="V162" s="10">
        <f>IF(AND(ISNUMBER(H162),ISNUMBER(I162)),I162-H162+1,"")</f>
        <v/>
      </c>
      <c r="W162" s="17">
        <f>IF(ISNUMBER(H162),MAX(0,MIN(IF(ISNUMBER(I162),I162,EOMONTH(출력_요약!$B$3,0)),EOMONTH(출력_요약!$B$3,0))-MAX(H162,출력_요약!$B$3)+1),0)</f>
        <v/>
      </c>
      <c r="X162" s="10">
        <f>IF(OR(NOT(ISNUMBER(H162)),Q162=""),"",IF(TODAY()&lt;H162,"파견예정",IF(AND(ISNUMBER(I162),TODAY()&gt;I162),"파견종료","파견중")))</f>
        <v/>
      </c>
      <c r="Y162" s="10">
        <f>IF(OR(Q162="",X162=""),"",Q162&amp;"|"&amp;X162)</f>
        <v/>
      </c>
      <c r="Z162" s="10">
        <f>IF(AND(Q162&lt;&gt;"",W162&gt;0),Q162&amp;"|월","")</f>
        <v/>
      </c>
      <c r="AA162" s="10">
        <f>IF(COUNTA(B162:I162,K162:N162)=0,"",IF(Q162="","등록번호 없음",IF(LEFT(R162,1)="⚠","모병원명 미등록",IF(S162="","파견병원 입력",IF(LEFT(S162,1)="⚠","파견병원명 미등록",IF(LEFT(U162,1)="⚠","파견과목 미등록",IF(OR(T162="",LEFT(T162,1)="⚠"),"파견근거 확인",IF(NOT(AND(ISNUMBER(H162),ISNUMBER(I162))),"날짜 형식/누락",IF(I162&lt;H162,"종료일&lt;시작일","")))))))))</f>
        <v/>
      </c>
      <c r="AB162" s="11">
        <f>IF(ISNUMBER(SEARCH("다기관",TRIM(N162&amp;" "&amp;O162))),IFERROR(DATE(VALUE(MID(TRIM(N162&amp;" "&amp;O162),1,4)),VALUE(MID(TRIM(N162&amp;" "&amp;O162),6,2)),VALUE(MID(TRIM(N162&amp;" "&amp;O162),9,2))),IF(ISNUMBER(H162),H162,"")),"")</f>
        <v/>
      </c>
      <c r="AC162" s="11">
        <f>IF(ISNUMBER(SEARCH("다기관",TRIM(N162&amp;" "&amp;O162))),IFERROR(DATE(VALUE(MID(TRIM(N162&amp;" "&amp;O162),12,4)),VALUE(MID(TRIM(N162&amp;" "&amp;O162),17,2)),VALUE(MID(TRIM(N162&amp;" "&amp;O162),20,2))),IF(ISNUMBER(I162),I162,"")),"")</f>
        <v/>
      </c>
      <c r="AD162" s="17">
        <f>IF(AND(ISNUMBER(AB162),ISNUMBER(AC162)),MAX(0,MIN(AC162,EOMONTH(출력_요약!$B$3,0))-MAX(AB162,출력_요약!$B$3)+1),0)</f>
        <v/>
      </c>
      <c r="AE162" s="10">
        <f>IF(AND(Q162&lt;&gt;"",ISNUMBER(AB162)),Q162&amp;"|다기관","")</f>
        <v/>
      </c>
    </row>
    <row r="163">
      <c r="A163" s="15">
        <f>IF(F163="","",ROW()-3)</f>
        <v/>
      </c>
      <c r="B163" s="5" t="n"/>
      <c r="C163" s="15" t="n"/>
      <c r="D163" s="5" t="n"/>
      <c r="E163" s="15" t="n"/>
      <c r="F163" s="5" t="n"/>
      <c r="G163" s="6" t="n"/>
      <c r="H163" s="16" t="n"/>
      <c r="I163" s="16" t="n"/>
      <c r="J163" s="15">
        <f>IF(AND(ISNUMBER(H163),ISNUMBER(I163)),I163-H163+1,"")</f>
        <v/>
      </c>
      <c r="K163" s="5" t="n"/>
      <c r="L163" s="5" t="n"/>
      <c r="M163" s="5" t="n"/>
      <c r="N163" s="5" t="n"/>
      <c r="O163" s="5" t="n"/>
      <c r="Q163" s="10">
        <f>IF(TRIM(G163&amp;"")="","",TRIM(G163&amp;""))</f>
        <v/>
      </c>
      <c r="R163" s="10">
        <f>IF(TRIM(B163&amp;"")="","",IFERROR(INDEX(설정_코드표!$K$2:$K$101,MATCH(TRIM(B163&amp;""),설정_코드표!$J$2:$J$101,0)),"⚠"&amp;TRIM(B163&amp;"")))</f>
        <v/>
      </c>
      <c r="S163" s="10">
        <f>IF(TRIM(K163&amp;"")="","",IFERROR(INDEX(설정_코드표!$K$2:$K$101,MATCH(TRIM(K163&amp;""),설정_코드표!$J$2:$J$101,0)),"⚠"&amp;TRIM(K163&amp;"")))</f>
        <v/>
      </c>
      <c r="T163" s="10">
        <f>IF(TRIM(M163&amp;"")="","",IF(ISNUMBER(MATCH(TRIM(M163&amp;""),설정_코드표!$C$2:$C$11,0)),TRIM(M163&amp;""),"⚠"&amp;TRIM(M163&amp;"")))</f>
        <v/>
      </c>
      <c r="U163" s="10">
        <f>IF(TRIM(L163&amp;"")="","",IFERROR(INDEX(설정_코드표!$G$2:$G$101,MATCH(TRIM(L163&amp;""),설정_코드표!$F$2:$F$101,0)),"⚠"&amp;TRIM(L163&amp;"")))</f>
        <v/>
      </c>
      <c r="V163" s="10">
        <f>IF(AND(ISNUMBER(H163),ISNUMBER(I163)),I163-H163+1,"")</f>
        <v/>
      </c>
      <c r="W163" s="17">
        <f>IF(ISNUMBER(H163),MAX(0,MIN(IF(ISNUMBER(I163),I163,EOMONTH(출력_요약!$B$3,0)),EOMONTH(출력_요약!$B$3,0))-MAX(H163,출력_요약!$B$3)+1),0)</f>
        <v/>
      </c>
      <c r="X163" s="10">
        <f>IF(OR(NOT(ISNUMBER(H163)),Q163=""),"",IF(TODAY()&lt;H163,"파견예정",IF(AND(ISNUMBER(I163),TODAY()&gt;I163),"파견종료","파견중")))</f>
        <v/>
      </c>
      <c r="Y163" s="10">
        <f>IF(OR(Q163="",X163=""),"",Q163&amp;"|"&amp;X163)</f>
        <v/>
      </c>
      <c r="Z163" s="10">
        <f>IF(AND(Q163&lt;&gt;"",W163&gt;0),Q163&amp;"|월","")</f>
        <v/>
      </c>
      <c r="AA163" s="10">
        <f>IF(COUNTA(B163:I163,K163:N163)=0,"",IF(Q163="","등록번호 없음",IF(LEFT(R163,1)="⚠","모병원명 미등록",IF(S163="","파견병원 입력",IF(LEFT(S163,1)="⚠","파견병원명 미등록",IF(LEFT(U163,1)="⚠","파견과목 미등록",IF(OR(T163="",LEFT(T163,1)="⚠"),"파견근거 확인",IF(NOT(AND(ISNUMBER(H163),ISNUMBER(I163))),"날짜 형식/누락",IF(I163&lt;H163,"종료일&lt;시작일","")))))))))</f>
        <v/>
      </c>
      <c r="AB163" s="11">
        <f>IF(ISNUMBER(SEARCH("다기관",TRIM(N163&amp;" "&amp;O163))),IFERROR(DATE(VALUE(MID(TRIM(N163&amp;" "&amp;O163),1,4)),VALUE(MID(TRIM(N163&amp;" "&amp;O163),6,2)),VALUE(MID(TRIM(N163&amp;" "&amp;O163),9,2))),IF(ISNUMBER(H163),H163,"")),"")</f>
        <v/>
      </c>
      <c r="AC163" s="11">
        <f>IF(ISNUMBER(SEARCH("다기관",TRIM(N163&amp;" "&amp;O163))),IFERROR(DATE(VALUE(MID(TRIM(N163&amp;" "&amp;O163),12,4)),VALUE(MID(TRIM(N163&amp;" "&amp;O163),17,2)),VALUE(MID(TRIM(N163&amp;" "&amp;O163),20,2))),IF(ISNUMBER(I163),I163,"")),"")</f>
        <v/>
      </c>
      <c r="AD163" s="17">
        <f>IF(AND(ISNUMBER(AB163),ISNUMBER(AC163)),MAX(0,MIN(AC163,EOMONTH(출력_요약!$B$3,0))-MAX(AB163,출력_요약!$B$3)+1),0)</f>
        <v/>
      </c>
      <c r="AE163" s="10">
        <f>IF(AND(Q163&lt;&gt;"",ISNUMBER(AB163)),Q163&amp;"|다기관","")</f>
        <v/>
      </c>
    </row>
    <row r="164">
      <c r="A164" s="15">
        <f>IF(F164="","",ROW()-3)</f>
        <v/>
      </c>
      <c r="B164" s="5" t="n"/>
      <c r="C164" s="15" t="n"/>
      <c r="D164" s="5" t="n"/>
      <c r="E164" s="15" t="n"/>
      <c r="F164" s="5" t="n"/>
      <c r="G164" s="6" t="n"/>
      <c r="H164" s="16" t="n"/>
      <c r="I164" s="16" t="n"/>
      <c r="J164" s="15">
        <f>IF(AND(ISNUMBER(H164),ISNUMBER(I164)),I164-H164+1,"")</f>
        <v/>
      </c>
      <c r="K164" s="5" t="n"/>
      <c r="L164" s="5" t="n"/>
      <c r="M164" s="5" t="n"/>
      <c r="N164" s="5" t="n"/>
      <c r="O164" s="5" t="n"/>
      <c r="Q164" s="10">
        <f>IF(TRIM(G164&amp;"")="","",TRIM(G164&amp;""))</f>
        <v/>
      </c>
      <c r="R164" s="10">
        <f>IF(TRIM(B164&amp;"")="","",IFERROR(INDEX(설정_코드표!$K$2:$K$101,MATCH(TRIM(B164&amp;""),설정_코드표!$J$2:$J$101,0)),"⚠"&amp;TRIM(B164&amp;"")))</f>
        <v/>
      </c>
      <c r="S164" s="10">
        <f>IF(TRIM(K164&amp;"")="","",IFERROR(INDEX(설정_코드표!$K$2:$K$101,MATCH(TRIM(K164&amp;""),설정_코드표!$J$2:$J$101,0)),"⚠"&amp;TRIM(K164&amp;"")))</f>
        <v/>
      </c>
      <c r="T164" s="10">
        <f>IF(TRIM(M164&amp;"")="","",IF(ISNUMBER(MATCH(TRIM(M164&amp;""),설정_코드표!$C$2:$C$11,0)),TRIM(M164&amp;""),"⚠"&amp;TRIM(M164&amp;"")))</f>
        <v/>
      </c>
      <c r="U164" s="10">
        <f>IF(TRIM(L164&amp;"")="","",IFERROR(INDEX(설정_코드표!$G$2:$G$101,MATCH(TRIM(L164&amp;""),설정_코드표!$F$2:$F$101,0)),"⚠"&amp;TRIM(L164&amp;"")))</f>
        <v/>
      </c>
      <c r="V164" s="10">
        <f>IF(AND(ISNUMBER(H164),ISNUMBER(I164)),I164-H164+1,"")</f>
        <v/>
      </c>
      <c r="W164" s="17">
        <f>IF(ISNUMBER(H164),MAX(0,MIN(IF(ISNUMBER(I164),I164,EOMONTH(출력_요약!$B$3,0)),EOMONTH(출력_요약!$B$3,0))-MAX(H164,출력_요약!$B$3)+1),0)</f>
        <v/>
      </c>
      <c r="X164" s="10">
        <f>IF(OR(NOT(ISNUMBER(H164)),Q164=""),"",IF(TODAY()&lt;H164,"파견예정",IF(AND(ISNUMBER(I164),TODAY()&gt;I164),"파견종료","파견중")))</f>
        <v/>
      </c>
      <c r="Y164" s="10">
        <f>IF(OR(Q164="",X164=""),"",Q164&amp;"|"&amp;X164)</f>
        <v/>
      </c>
      <c r="Z164" s="10">
        <f>IF(AND(Q164&lt;&gt;"",W164&gt;0),Q164&amp;"|월","")</f>
        <v/>
      </c>
      <c r="AA164" s="10">
        <f>IF(COUNTA(B164:I164,K164:N164)=0,"",IF(Q164="","등록번호 없음",IF(LEFT(R164,1)="⚠","모병원명 미등록",IF(S164="","파견병원 입력",IF(LEFT(S164,1)="⚠","파견병원명 미등록",IF(LEFT(U164,1)="⚠","파견과목 미등록",IF(OR(T164="",LEFT(T164,1)="⚠"),"파견근거 확인",IF(NOT(AND(ISNUMBER(H164),ISNUMBER(I164))),"날짜 형식/누락",IF(I164&lt;H164,"종료일&lt;시작일","")))))))))</f>
        <v/>
      </c>
      <c r="AB164" s="11">
        <f>IF(ISNUMBER(SEARCH("다기관",TRIM(N164&amp;" "&amp;O164))),IFERROR(DATE(VALUE(MID(TRIM(N164&amp;" "&amp;O164),1,4)),VALUE(MID(TRIM(N164&amp;" "&amp;O164),6,2)),VALUE(MID(TRIM(N164&amp;" "&amp;O164),9,2))),IF(ISNUMBER(H164),H164,"")),"")</f>
        <v/>
      </c>
      <c r="AC164" s="11">
        <f>IF(ISNUMBER(SEARCH("다기관",TRIM(N164&amp;" "&amp;O164))),IFERROR(DATE(VALUE(MID(TRIM(N164&amp;" "&amp;O164),12,4)),VALUE(MID(TRIM(N164&amp;" "&amp;O164),17,2)),VALUE(MID(TRIM(N164&amp;" "&amp;O164),20,2))),IF(ISNUMBER(I164),I164,"")),"")</f>
        <v/>
      </c>
      <c r="AD164" s="17">
        <f>IF(AND(ISNUMBER(AB164),ISNUMBER(AC164)),MAX(0,MIN(AC164,EOMONTH(출력_요약!$B$3,0))-MAX(AB164,출력_요약!$B$3)+1),0)</f>
        <v/>
      </c>
      <c r="AE164" s="10">
        <f>IF(AND(Q164&lt;&gt;"",ISNUMBER(AB164)),Q164&amp;"|다기관","")</f>
        <v/>
      </c>
    </row>
    <row r="165">
      <c r="A165" s="15">
        <f>IF(F165="","",ROW()-3)</f>
        <v/>
      </c>
      <c r="B165" s="5" t="n"/>
      <c r="C165" s="15" t="n"/>
      <c r="D165" s="5" t="n"/>
      <c r="E165" s="15" t="n"/>
      <c r="F165" s="5" t="n"/>
      <c r="G165" s="6" t="n"/>
      <c r="H165" s="16" t="n"/>
      <c r="I165" s="16" t="n"/>
      <c r="J165" s="15">
        <f>IF(AND(ISNUMBER(H165),ISNUMBER(I165)),I165-H165+1,"")</f>
        <v/>
      </c>
      <c r="K165" s="5" t="n"/>
      <c r="L165" s="5" t="n"/>
      <c r="M165" s="5" t="n"/>
      <c r="N165" s="5" t="n"/>
      <c r="O165" s="5" t="n"/>
      <c r="Q165" s="10">
        <f>IF(TRIM(G165&amp;"")="","",TRIM(G165&amp;""))</f>
        <v/>
      </c>
      <c r="R165" s="10">
        <f>IF(TRIM(B165&amp;"")="","",IFERROR(INDEX(설정_코드표!$K$2:$K$101,MATCH(TRIM(B165&amp;""),설정_코드표!$J$2:$J$101,0)),"⚠"&amp;TRIM(B165&amp;"")))</f>
        <v/>
      </c>
      <c r="S165" s="10">
        <f>IF(TRIM(K165&amp;"")="","",IFERROR(INDEX(설정_코드표!$K$2:$K$101,MATCH(TRIM(K165&amp;""),설정_코드표!$J$2:$J$101,0)),"⚠"&amp;TRIM(K165&amp;"")))</f>
        <v/>
      </c>
      <c r="T165" s="10">
        <f>IF(TRIM(M165&amp;"")="","",IF(ISNUMBER(MATCH(TRIM(M165&amp;""),설정_코드표!$C$2:$C$11,0)),TRIM(M165&amp;""),"⚠"&amp;TRIM(M165&amp;"")))</f>
        <v/>
      </c>
      <c r="U165" s="10">
        <f>IF(TRIM(L165&amp;"")="","",IFERROR(INDEX(설정_코드표!$G$2:$G$101,MATCH(TRIM(L165&amp;""),설정_코드표!$F$2:$F$101,0)),"⚠"&amp;TRIM(L165&amp;"")))</f>
        <v/>
      </c>
      <c r="V165" s="10">
        <f>IF(AND(ISNUMBER(H165),ISNUMBER(I165)),I165-H165+1,"")</f>
        <v/>
      </c>
      <c r="W165" s="17">
        <f>IF(ISNUMBER(H165),MAX(0,MIN(IF(ISNUMBER(I165),I165,EOMONTH(출력_요약!$B$3,0)),EOMONTH(출력_요약!$B$3,0))-MAX(H165,출력_요약!$B$3)+1),0)</f>
        <v/>
      </c>
      <c r="X165" s="10">
        <f>IF(OR(NOT(ISNUMBER(H165)),Q165=""),"",IF(TODAY()&lt;H165,"파견예정",IF(AND(ISNUMBER(I165),TODAY()&gt;I165),"파견종료","파견중")))</f>
        <v/>
      </c>
      <c r="Y165" s="10">
        <f>IF(OR(Q165="",X165=""),"",Q165&amp;"|"&amp;X165)</f>
        <v/>
      </c>
      <c r="Z165" s="10">
        <f>IF(AND(Q165&lt;&gt;"",W165&gt;0),Q165&amp;"|월","")</f>
        <v/>
      </c>
      <c r="AA165" s="10">
        <f>IF(COUNTA(B165:I165,K165:N165)=0,"",IF(Q165="","등록번호 없음",IF(LEFT(R165,1)="⚠","모병원명 미등록",IF(S165="","파견병원 입력",IF(LEFT(S165,1)="⚠","파견병원명 미등록",IF(LEFT(U165,1)="⚠","파견과목 미등록",IF(OR(T165="",LEFT(T165,1)="⚠"),"파견근거 확인",IF(NOT(AND(ISNUMBER(H165),ISNUMBER(I165))),"날짜 형식/누락",IF(I165&lt;H165,"종료일&lt;시작일","")))))))))</f>
        <v/>
      </c>
      <c r="AB165" s="11">
        <f>IF(ISNUMBER(SEARCH("다기관",TRIM(N165&amp;" "&amp;O165))),IFERROR(DATE(VALUE(MID(TRIM(N165&amp;" "&amp;O165),1,4)),VALUE(MID(TRIM(N165&amp;" "&amp;O165),6,2)),VALUE(MID(TRIM(N165&amp;" "&amp;O165),9,2))),IF(ISNUMBER(H165),H165,"")),"")</f>
        <v/>
      </c>
      <c r="AC165" s="11">
        <f>IF(ISNUMBER(SEARCH("다기관",TRIM(N165&amp;" "&amp;O165))),IFERROR(DATE(VALUE(MID(TRIM(N165&amp;" "&amp;O165),12,4)),VALUE(MID(TRIM(N165&amp;" "&amp;O165),17,2)),VALUE(MID(TRIM(N165&amp;" "&amp;O165),20,2))),IF(ISNUMBER(I165),I165,"")),"")</f>
        <v/>
      </c>
      <c r="AD165" s="17">
        <f>IF(AND(ISNUMBER(AB165),ISNUMBER(AC165)),MAX(0,MIN(AC165,EOMONTH(출력_요약!$B$3,0))-MAX(AB165,출력_요약!$B$3)+1),0)</f>
        <v/>
      </c>
      <c r="AE165" s="10">
        <f>IF(AND(Q165&lt;&gt;"",ISNUMBER(AB165)),Q165&amp;"|다기관","")</f>
        <v/>
      </c>
    </row>
    <row r="166">
      <c r="A166" s="15">
        <f>IF(F166="","",ROW()-3)</f>
        <v/>
      </c>
      <c r="B166" s="5" t="n"/>
      <c r="C166" s="15" t="n"/>
      <c r="D166" s="5" t="n"/>
      <c r="E166" s="15" t="n"/>
      <c r="F166" s="5" t="n"/>
      <c r="G166" s="6" t="n"/>
      <c r="H166" s="16" t="n"/>
      <c r="I166" s="16" t="n"/>
      <c r="J166" s="15">
        <f>IF(AND(ISNUMBER(H166),ISNUMBER(I166)),I166-H166+1,"")</f>
        <v/>
      </c>
      <c r="K166" s="5" t="n"/>
      <c r="L166" s="5" t="n"/>
      <c r="M166" s="5" t="n"/>
      <c r="N166" s="5" t="n"/>
      <c r="O166" s="5" t="n"/>
      <c r="Q166" s="10">
        <f>IF(TRIM(G166&amp;"")="","",TRIM(G166&amp;""))</f>
        <v/>
      </c>
      <c r="R166" s="10">
        <f>IF(TRIM(B166&amp;"")="","",IFERROR(INDEX(설정_코드표!$K$2:$K$101,MATCH(TRIM(B166&amp;""),설정_코드표!$J$2:$J$101,0)),"⚠"&amp;TRIM(B166&amp;"")))</f>
        <v/>
      </c>
      <c r="S166" s="10">
        <f>IF(TRIM(K166&amp;"")="","",IFERROR(INDEX(설정_코드표!$K$2:$K$101,MATCH(TRIM(K166&amp;""),설정_코드표!$J$2:$J$101,0)),"⚠"&amp;TRIM(K166&amp;"")))</f>
        <v/>
      </c>
      <c r="T166" s="10">
        <f>IF(TRIM(M166&amp;"")="","",IF(ISNUMBER(MATCH(TRIM(M166&amp;""),설정_코드표!$C$2:$C$11,0)),TRIM(M166&amp;""),"⚠"&amp;TRIM(M166&amp;"")))</f>
        <v/>
      </c>
      <c r="U166" s="10">
        <f>IF(TRIM(L166&amp;"")="","",IFERROR(INDEX(설정_코드표!$G$2:$G$101,MATCH(TRIM(L166&amp;""),설정_코드표!$F$2:$F$101,0)),"⚠"&amp;TRIM(L166&amp;"")))</f>
        <v/>
      </c>
      <c r="V166" s="10">
        <f>IF(AND(ISNUMBER(H166),ISNUMBER(I166)),I166-H166+1,"")</f>
        <v/>
      </c>
      <c r="W166" s="17">
        <f>IF(ISNUMBER(H166),MAX(0,MIN(IF(ISNUMBER(I166),I166,EOMONTH(출력_요약!$B$3,0)),EOMONTH(출력_요약!$B$3,0))-MAX(H166,출력_요약!$B$3)+1),0)</f>
        <v/>
      </c>
      <c r="X166" s="10">
        <f>IF(OR(NOT(ISNUMBER(H166)),Q166=""),"",IF(TODAY()&lt;H166,"파견예정",IF(AND(ISNUMBER(I166),TODAY()&gt;I166),"파견종료","파견중")))</f>
        <v/>
      </c>
      <c r="Y166" s="10">
        <f>IF(OR(Q166="",X166=""),"",Q166&amp;"|"&amp;X166)</f>
        <v/>
      </c>
      <c r="Z166" s="10">
        <f>IF(AND(Q166&lt;&gt;"",W166&gt;0),Q166&amp;"|월","")</f>
        <v/>
      </c>
      <c r="AA166" s="10">
        <f>IF(COUNTA(B166:I166,K166:N166)=0,"",IF(Q166="","등록번호 없음",IF(LEFT(R166,1)="⚠","모병원명 미등록",IF(S166="","파견병원 입력",IF(LEFT(S166,1)="⚠","파견병원명 미등록",IF(LEFT(U166,1)="⚠","파견과목 미등록",IF(OR(T166="",LEFT(T166,1)="⚠"),"파견근거 확인",IF(NOT(AND(ISNUMBER(H166),ISNUMBER(I166))),"날짜 형식/누락",IF(I166&lt;H166,"종료일&lt;시작일","")))))))))</f>
        <v/>
      </c>
      <c r="AB166" s="11">
        <f>IF(ISNUMBER(SEARCH("다기관",TRIM(N166&amp;" "&amp;O166))),IFERROR(DATE(VALUE(MID(TRIM(N166&amp;" "&amp;O166),1,4)),VALUE(MID(TRIM(N166&amp;" "&amp;O166),6,2)),VALUE(MID(TRIM(N166&amp;" "&amp;O166),9,2))),IF(ISNUMBER(H166),H166,"")),"")</f>
        <v/>
      </c>
      <c r="AC166" s="11">
        <f>IF(ISNUMBER(SEARCH("다기관",TRIM(N166&amp;" "&amp;O166))),IFERROR(DATE(VALUE(MID(TRIM(N166&amp;" "&amp;O166),12,4)),VALUE(MID(TRIM(N166&amp;" "&amp;O166),17,2)),VALUE(MID(TRIM(N166&amp;" "&amp;O166),20,2))),IF(ISNUMBER(I166),I166,"")),"")</f>
        <v/>
      </c>
      <c r="AD166" s="17">
        <f>IF(AND(ISNUMBER(AB166),ISNUMBER(AC166)),MAX(0,MIN(AC166,EOMONTH(출력_요약!$B$3,0))-MAX(AB166,출력_요약!$B$3)+1),0)</f>
        <v/>
      </c>
      <c r="AE166" s="10">
        <f>IF(AND(Q166&lt;&gt;"",ISNUMBER(AB166)),Q166&amp;"|다기관","")</f>
        <v/>
      </c>
    </row>
    <row r="167">
      <c r="A167" s="15">
        <f>IF(F167="","",ROW()-3)</f>
        <v/>
      </c>
      <c r="B167" s="5" t="n"/>
      <c r="C167" s="15" t="n"/>
      <c r="D167" s="5" t="n"/>
      <c r="E167" s="15" t="n"/>
      <c r="F167" s="5" t="n"/>
      <c r="G167" s="6" t="n"/>
      <c r="H167" s="16" t="n"/>
      <c r="I167" s="16" t="n"/>
      <c r="J167" s="15">
        <f>IF(AND(ISNUMBER(H167),ISNUMBER(I167)),I167-H167+1,"")</f>
        <v/>
      </c>
      <c r="K167" s="5" t="n"/>
      <c r="L167" s="5" t="n"/>
      <c r="M167" s="5" t="n"/>
      <c r="N167" s="5" t="n"/>
      <c r="O167" s="5" t="n"/>
      <c r="Q167" s="10">
        <f>IF(TRIM(G167&amp;"")="","",TRIM(G167&amp;""))</f>
        <v/>
      </c>
      <c r="R167" s="10">
        <f>IF(TRIM(B167&amp;"")="","",IFERROR(INDEX(설정_코드표!$K$2:$K$101,MATCH(TRIM(B167&amp;""),설정_코드표!$J$2:$J$101,0)),"⚠"&amp;TRIM(B167&amp;"")))</f>
        <v/>
      </c>
      <c r="S167" s="10">
        <f>IF(TRIM(K167&amp;"")="","",IFERROR(INDEX(설정_코드표!$K$2:$K$101,MATCH(TRIM(K167&amp;""),설정_코드표!$J$2:$J$101,0)),"⚠"&amp;TRIM(K167&amp;"")))</f>
        <v/>
      </c>
      <c r="T167" s="10">
        <f>IF(TRIM(M167&amp;"")="","",IF(ISNUMBER(MATCH(TRIM(M167&amp;""),설정_코드표!$C$2:$C$11,0)),TRIM(M167&amp;""),"⚠"&amp;TRIM(M167&amp;"")))</f>
        <v/>
      </c>
      <c r="U167" s="10">
        <f>IF(TRIM(L167&amp;"")="","",IFERROR(INDEX(설정_코드표!$G$2:$G$101,MATCH(TRIM(L167&amp;""),설정_코드표!$F$2:$F$101,0)),"⚠"&amp;TRIM(L167&amp;"")))</f>
        <v/>
      </c>
      <c r="V167" s="10">
        <f>IF(AND(ISNUMBER(H167),ISNUMBER(I167)),I167-H167+1,"")</f>
        <v/>
      </c>
      <c r="W167" s="17">
        <f>IF(ISNUMBER(H167),MAX(0,MIN(IF(ISNUMBER(I167),I167,EOMONTH(출력_요약!$B$3,0)),EOMONTH(출력_요약!$B$3,0))-MAX(H167,출력_요약!$B$3)+1),0)</f>
        <v/>
      </c>
      <c r="X167" s="10">
        <f>IF(OR(NOT(ISNUMBER(H167)),Q167=""),"",IF(TODAY()&lt;H167,"파견예정",IF(AND(ISNUMBER(I167),TODAY()&gt;I167),"파견종료","파견중")))</f>
        <v/>
      </c>
      <c r="Y167" s="10">
        <f>IF(OR(Q167="",X167=""),"",Q167&amp;"|"&amp;X167)</f>
        <v/>
      </c>
      <c r="Z167" s="10">
        <f>IF(AND(Q167&lt;&gt;"",W167&gt;0),Q167&amp;"|월","")</f>
        <v/>
      </c>
      <c r="AA167" s="10">
        <f>IF(COUNTA(B167:I167,K167:N167)=0,"",IF(Q167="","등록번호 없음",IF(LEFT(R167,1)="⚠","모병원명 미등록",IF(S167="","파견병원 입력",IF(LEFT(S167,1)="⚠","파견병원명 미등록",IF(LEFT(U167,1)="⚠","파견과목 미등록",IF(OR(T167="",LEFT(T167,1)="⚠"),"파견근거 확인",IF(NOT(AND(ISNUMBER(H167),ISNUMBER(I167))),"날짜 형식/누락",IF(I167&lt;H167,"종료일&lt;시작일","")))))))))</f>
        <v/>
      </c>
      <c r="AB167" s="11">
        <f>IF(ISNUMBER(SEARCH("다기관",TRIM(N167&amp;" "&amp;O167))),IFERROR(DATE(VALUE(MID(TRIM(N167&amp;" "&amp;O167),1,4)),VALUE(MID(TRIM(N167&amp;" "&amp;O167),6,2)),VALUE(MID(TRIM(N167&amp;" "&amp;O167),9,2))),IF(ISNUMBER(H167),H167,"")),"")</f>
        <v/>
      </c>
      <c r="AC167" s="11">
        <f>IF(ISNUMBER(SEARCH("다기관",TRIM(N167&amp;" "&amp;O167))),IFERROR(DATE(VALUE(MID(TRIM(N167&amp;" "&amp;O167),12,4)),VALUE(MID(TRIM(N167&amp;" "&amp;O167),17,2)),VALUE(MID(TRIM(N167&amp;" "&amp;O167),20,2))),IF(ISNUMBER(I167),I167,"")),"")</f>
        <v/>
      </c>
      <c r="AD167" s="17">
        <f>IF(AND(ISNUMBER(AB167),ISNUMBER(AC167)),MAX(0,MIN(AC167,EOMONTH(출력_요약!$B$3,0))-MAX(AB167,출력_요약!$B$3)+1),0)</f>
        <v/>
      </c>
      <c r="AE167" s="10">
        <f>IF(AND(Q167&lt;&gt;"",ISNUMBER(AB167)),Q167&amp;"|다기관","")</f>
        <v/>
      </c>
    </row>
    <row r="168">
      <c r="A168" s="15">
        <f>IF(F168="","",ROW()-3)</f>
        <v/>
      </c>
      <c r="B168" s="5" t="n"/>
      <c r="C168" s="15" t="n"/>
      <c r="D168" s="5" t="n"/>
      <c r="E168" s="15" t="n"/>
      <c r="F168" s="5" t="n"/>
      <c r="G168" s="6" t="n"/>
      <c r="H168" s="16" t="n"/>
      <c r="I168" s="16" t="n"/>
      <c r="J168" s="15">
        <f>IF(AND(ISNUMBER(H168),ISNUMBER(I168)),I168-H168+1,"")</f>
        <v/>
      </c>
      <c r="K168" s="5" t="n"/>
      <c r="L168" s="5" t="n"/>
      <c r="M168" s="5" t="n"/>
      <c r="N168" s="5" t="n"/>
      <c r="O168" s="5" t="n"/>
      <c r="Q168" s="10">
        <f>IF(TRIM(G168&amp;"")="","",TRIM(G168&amp;""))</f>
        <v/>
      </c>
      <c r="R168" s="10">
        <f>IF(TRIM(B168&amp;"")="","",IFERROR(INDEX(설정_코드표!$K$2:$K$101,MATCH(TRIM(B168&amp;""),설정_코드표!$J$2:$J$101,0)),"⚠"&amp;TRIM(B168&amp;"")))</f>
        <v/>
      </c>
      <c r="S168" s="10">
        <f>IF(TRIM(K168&amp;"")="","",IFERROR(INDEX(설정_코드표!$K$2:$K$101,MATCH(TRIM(K168&amp;""),설정_코드표!$J$2:$J$101,0)),"⚠"&amp;TRIM(K168&amp;"")))</f>
        <v/>
      </c>
      <c r="T168" s="10">
        <f>IF(TRIM(M168&amp;"")="","",IF(ISNUMBER(MATCH(TRIM(M168&amp;""),설정_코드표!$C$2:$C$11,0)),TRIM(M168&amp;""),"⚠"&amp;TRIM(M168&amp;"")))</f>
        <v/>
      </c>
      <c r="U168" s="10">
        <f>IF(TRIM(L168&amp;"")="","",IFERROR(INDEX(설정_코드표!$G$2:$G$101,MATCH(TRIM(L168&amp;""),설정_코드표!$F$2:$F$101,0)),"⚠"&amp;TRIM(L168&amp;"")))</f>
        <v/>
      </c>
      <c r="V168" s="10">
        <f>IF(AND(ISNUMBER(H168),ISNUMBER(I168)),I168-H168+1,"")</f>
        <v/>
      </c>
      <c r="W168" s="17">
        <f>IF(ISNUMBER(H168),MAX(0,MIN(IF(ISNUMBER(I168),I168,EOMONTH(출력_요약!$B$3,0)),EOMONTH(출력_요약!$B$3,0))-MAX(H168,출력_요약!$B$3)+1),0)</f>
        <v/>
      </c>
      <c r="X168" s="10">
        <f>IF(OR(NOT(ISNUMBER(H168)),Q168=""),"",IF(TODAY()&lt;H168,"파견예정",IF(AND(ISNUMBER(I168),TODAY()&gt;I168),"파견종료","파견중")))</f>
        <v/>
      </c>
      <c r="Y168" s="10">
        <f>IF(OR(Q168="",X168=""),"",Q168&amp;"|"&amp;X168)</f>
        <v/>
      </c>
      <c r="Z168" s="10">
        <f>IF(AND(Q168&lt;&gt;"",W168&gt;0),Q168&amp;"|월","")</f>
        <v/>
      </c>
      <c r="AA168" s="10">
        <f>IF(COUNTA(B168:I168,K168:N168)=0,"",IF(Q168="","등록번호 없음",IF(LEFT(R168,1)="⚠","모병원명 미등록",IF(S168="","파견병원 입력",IF(LEFT(S168,1)="⚠","파견병원명 미등록",IF(LEFT(U168,1)="⚠","파견과목 미등록",IF(OR(T168="",LEFT(T168,1)="⚠"),"파견근거 확인",IF(NOT(AND(ISNUMBER(H168),ISNUMBER(I168))),"날짜 형식/누락",IF(I168&lt;H168,"종료일&lt;시작일","")))))))))</f>
        <v/>
      </c>
      <c r="AB168" s="11">
        <f>IF(ISNUMBER(SEARCH("다기관",TRIM(N168&amp;" "&amp;O168))),IFERROR(DATE(VALUE(MID(TRIM(N168&amp;" "&amp;O168),1,4)),VALUE(MID(TRIM(N168&amp;" "&amp;O168),6,2)),VALUE(MID(TRIM(N168&amp;" "&amp;O168),9,2))),IF(ISNUMBER(H168),H168,"")),"")</f>
        <v/>
      </c>
      <c r="AC168" s="11">
        <f>IF(ISNUMBER(SEARCH("다기관",TRIM(N168&amp;" "&amp;O168))),IFERROR(DATE(VALUE(MID(TRIM(N168&amp;" "&amp;O168),12,4)),VALUE(MID(TRIM(N168&amp;" "&amp;O168),17,2)),VALUE(MID(TRIM(N168&amp;" "&amp;O168),20,2))),IF(ISNUMBER(I168),I168,"")),"")</f>
        <v/>
      </c>
      <c r="AD168" s="17">
        <f>IF(AND(ISNUMBER(AB168),ISNUMBER(AC168)),MAX(0,MIN(AC168,EOMONTH(출력_요약!$B$3,0))-MAX(AB168,출력_요약!$B$3)+1),0)</f>
        <v/>
      </c>
      <c r="AE168" s="10">
        <f>IF(AND(Q168&lt;&gt;"",ISNUMBER(AB168)),Q168&amp;"|다기관","")</f>
        <v/>
      </c>
    </row>
    <row r="169">
      <c r="A169" s="15">
        <f>IF(F169="","",ROW()-3)</f>
        <v/>
      </c>
      <c r="B169" s="5" t="n"/>
      <c r="C169" s="15" t="n"/>
      <c r="D169" s="5" t="n"/>
      <c r="E169" s="15" t="n"/>
      <c r="F169" s="5" t="n"/>
      <c r="G169" s="6" t="n"/>
      <c r="H169" s="16" t="n"/>
      <c r="I169" s="16" t="n"/>
      <c r="J169" s="15">
        <f>IF(AND(ISNUMBER(H169),ISNUMBER(I169)),I169-H169+1,"")</f>
        <v/>
      </c>
      <c r="K169" s="5" t="n"/>
      <c r="L169" s="5" t="n"/>
      <c r="M169" s="5" t="n"/>
      <c r="N169" s="5" t="n"/>
      <c r="O169" s="5" t="n"/>
      <c r="Q169" s="10">
        <f>IF(TRIM(G169&amp;"")="","",TRIM(G169&amp;""))</f>
        <v/>
      </c>
      <c r="R169" s="10">
        <f>IF(TRIM(B169&amp;"")="","",IFERROR(INDEX(설정_코드표!$K$2:$K$101,MATCH(TRIM(B169&amp;""),설정_코드표!$J$2:$J$101,0)),"⚠"&amp;TRIM(B169&amp;"")))</f>
        <v/>
      </c>
      <c r="S169" s="10">
        <f>IF(TRIM(K169&amp;"")="","",IFERROR(INDEX(설정_코드표!$K$2:$K$101,MATCH(TRIM(K169&amp;""),설정_코드표!$J$2:$J$101,0)),"⚠"&amp;TRIM(K169&amp;"")))</f>
        <v/>
      </c>
      <c r="T169" s="10">
        <f>IF(TRIM(M169&amp;"")="","",IF(ISNUMBER(MATCH(TRIM(M169&amp;""),설정_코드표!$C$2:$C$11,0)),TRIM(M169&amp;""),"⚠"&amp;TRIM(M169&amp;"")))</f>
        <v/>
      </c>
      <c r="U169" s="10">
        <f>IF(TRIM(L169&amp;"")="","",IFERROR(INDEX(설정_코드표!$G$2:$G$101,MATCH(TRIM(L169&amp;""),설정_코드표!$F$2:$F$101,0)),"⚠"&amp;TRIM(L169&amp;"")))</f>
        <v/>
      </c>
      <c r="V169" s="10">
        <f>IF(AND(ISNUMBER(H169),ISNUMBER(I169)),I169-H169+1,"")</f>
        <v/>
      </c>
      <c r="W169" s="17">
        <f>IF(ISNUMBER(H169),MAX(0,MIN(IF(ISNUMBER(I169),I169,EOMONTH(출력_요약!$B$3,0)),EOMONTH(출력_요약!$B$3,0))-MAX(H169,출력_요약!$B$3)+1),0)</f>
        <v/>
      </c>
      <c r="X169" s="10">
        <f>IF(OR(NOT(ISNUMBER(H169)),Q169=""),"",IF(TODAY()&lt;H169,"파견예정",IF(AND(ISNUMBER(I169),TODAY()&gt;I169),"파견종료","파견중")))</f>
        <v/>
      </c>
      <c r="Y169" s="10">
        <f>IF(OR(Q169="",X169=""),"",Q169&amp;"|"&amp;X169)</f>
        <v/>
      </c>
      <c r="Z169" s="10">
        <f>IF(AND(Q169&lt;&gt;"",W169&gt;0),Q169&amp;"|월","")</f>
        <v/>
      </c>
      <c r="AA169" s="10">
        <f>IF(COUNTA(B169:I169,K169:N169)=0,"",IF(Q169="","등록번호 없음",IF(LEFT(R169,1)="⚠","모병원명 미등록",IF(S169="","파견병원 입력",IF(LEFT(S169,1)="⚠","파견병원명 미등록",IF(LEFT(U169,1)="⚠","파견과목 미등록",IF(OR(T169="",LEFT(T169,1)="⚠"),"파견근거 확인",IF(NOT(AND(ISNUMBER(H169),ISNUMBER(I169))),"날짜 형식/누락",IF(I169&lt;H169,"종료일&lt;시작일","")))))))))</f>
        <v/>
      </c>
      <c r="AB169" s="11">
        <f>IF(ISNUMBER(SEARCH("다기관",TRIM(N169&amp;" "&amp;O169))),IFERROR(DATE(VALUE(MID(TRIM(N169&amp;" "&amp;O169),1,4)),VALUE(MID(TRIM(N169&amp;" "&amp;O169),6,2)),VALUE(MID(TRIM(N169&amp;" "&amp;O169),9,2))),IF(ISNUMBER(H169),H169,"")),"")</f>
        <v/>
      </c>
      <c r="AC169" s="11">
        <f>IF(ISNUMBER(SEARCH("다기관",TRIM(N169&amp;" "&amp;O169))),IFERROR(DATE(VALUE(MID(TRIM(N169&amp;" "&amp;O169),12,4)),VALUE(MID(TRIM(N169&amp;" "&amp;O169),17,2)),VALUE(MID(TRIM(N169&amp;" "&amp;O169),20,2))),IF(ISNUMBER(I169),I169,"")),"")</f>
        <v/>
      </c>
      <c r="AD169" s="17">
        <f>IF(AND(ISNUMBER(AB169),ISNUMBER(AC169)),MAX(0,MIN(AC169,EOMONTH(출력_요약!$B$3,0))-MAX(AB169,출력_요약!$B$3)+1),0)</f>
        <v/>
      </c>
      <c r="AE169" s="10">
        <f>IF(AND(Q169&lt;&gt;"",ISNUMBER(AB169)),Q169&amp;"|다기관","")</f>
        <v/>
      </c>
    </row>
    <row r="170">
      <c r="A170" s="15">
        <f>IF(F170="","",ROW()-3)</f>
        <v/>
      </c>
      <c r="B170" s="5" t="n"/>
      <c r="C170" s="15" t="n"/>
      <c r="D170" s="5" t="n"/>
      <c r="E170" s="15" t="n"/>
      <c r="F170" s="5" t="n"/>
      <c r="G170" s="6" t="n"/>
      <c r="H170" s="16" t="n"/>
      <c r="I170" s="16" t="n"/>
      <c r="J170" s="15">
        <f>IF(AND(ISNUMBER(H170),ISNUMBER(I170)),I170-H170+1,"")</f>
        <v/>
      </c>
      <c r="K170" s="5" t="n"/>
      <c r="L170" s="5" t="n"/>
      <c r="M170" s="5" t="n"/>
      <c r="N170" s="5" t="n"/>
      <c r="O170" s="5" t="n"/>
      <c r="Q170" s="10">
        <f>IF(TRIM(G170&amp;"")="","",TRIM(G170&amp;""))</f>
        <v/>
      </c>
      <c r="R170" s="10">
        <f>IF(TRIM(B170&amp;"")="","",IFERROR(INDEX(설정_코드표!$K$2:$K$101,MATCH(TRIM(B170&amp;""),설정_코드표!$J$2:$J$101,0)),"⚠"&amp;TRIM(B170&amp;"")))</f>
        <v/>
      </c>
      <c r="S170" s="10">
        <f>IF(TRIM(K170&amp;"")="","",IFERROR(INDEX(설정_코드표!$K$2:$K$101,MATCH(TRIM(K170&amp;""),설정_코드표!$J$2:$J$101,0)),"⚠"&amp;TRIM(K170&amp;"")))</f>
        <v/>
      </c>
      <c r="T170" s="10">
        <f>IF(TRIM(M170&amp;"")="","",IF(ISNUMBER(MATCH(TRIM(M170&amp;""),설정_코드표!$C$2:$C$11,0)),TRIM(M170&amp;""),"⚠"&amp;TRIM(M170&amp;"")))</f>
        <v/>
      </c>
      <c r="U170" s="10">
        <f>IF(TRIM(L170&amp;"")="","",IFERROR(INDEX(설정_코드표!$G$2:$G$101,MATCH(TRIM(L170&amp;""),설정_코드표!$F$2:$F$101,0)),"⚠"&amp;TRIM(L170&amp;"")))</f>
        <v/>
      </c>
      <c r="V170" s="10">
        <f>IF(AND(ISNUMBER(H170),ISNUMBER(I170)),I170-H170+1,"")</f>
        <v/>
      </c>
      <c r="W170" s="17">
        <f>IF(ISNUMBER(H170),MAX(0,MIN(IF(ISNUMBER(I170),I170,EOMONTH(출력_요약!$B$3,0)),EOMONTH(출력_요약!$B$3,0))-MAX(H170,출력_요약!$B$3)+1),0)</f>
        <v/>
      </c>
      <c r="X170" s="10">
        <f>IF(OR(NOT(ISNUMBER(H170)),Q170=""),"",IF(TODAY()&lt;H170,"파견예정",IF(AND(ISNUMBER(I170),TODAY()&gt;I170),"파견종료","파견중")))</f>
        <v/>
      </c>
      <c r="Y170" s="10">
        <f>IF(OR(Q170="",X170=""),"",Q170&amp;"|"&amp;X170)</f>
        <v/>
      </c>
      <c r="Z170" s="10">
        <f>IF(AND(Q170&lt;&gt;"",W170&gt;0),Q170&amp;"|월","")</f>
        <v/>
      </c>
      <c r="AA170" s="10">
        <f>IF(COUNTA(B170:I170,K170:N170)=0,"",IF(Q170="","등록번호 없음",IF(LEFT(R170,1)="⚠","모병원명 미등록",IF(S170="","파견병원 입력",IF(LEFT(S170,1)="⚠","파견병원명 미등록",IF(LEFT(U170,1)="⚠","파견과목 미등록",IF(OR(T170="",LEFT(T170,1)="⚠"),"파견근거 확인",IF(NOT(AND(ISNUMBER(H170),ISNUMBER(I170))),"날짜 형식/누락",IF(I170&lt;H170,"종료일&lt;시작일","")))))))))</f>
        <v/>
      </c>
      <c r="AB170" s="11">
        <f>IF(ISNUMBER(SEARCH("다기관",TRIM(N170&amp;" "&amp;O170))),IFERROR(DATE(VALUE(MID(TRIM(N170&amp;" "&amp;O170),1,4)),VALUE(MID(TRIM(N170&amp;" "&amp;O170),6,2)),VALUE(MID(TRIM(N170&amp;" "&amp;O170),9,2))),IF(ISNUMBER(H170),H170,"")),"")</f>
        <v/>
      </c>
      <c r="AC170" s="11">
        <f>IF(ISNUMBER(SEARCH("다기관",TRIM(N170&amp;" "&amp;O170))),IFERROR(DATE(VALUE(MID(TRIM(N170&amp;" "&amp;O170),12,4)),VALUE(MID(TRIM(N170&amp;" "&amp;O170),17,2)),VALUE(MID(TRIM(N170&amp;" "&amp;O170),20,2))),IF(ISNUMBER(I170),I170,"")),"")</f>
        <v/>
      </c>
      <c r="AD170" s="17">
        <f>IF(AND(ISNUMBER(AB170),ISNUMBER(AC170)),MAX(0,MIN(AC170,EOMONTH(출력_요약!$B$3,0))-MAX(AB170,출력_요약!$B$3)+1),0)</f>
        <v/>
      </c>
      <c r="AE170" s="10">
        <f>IF(AND(Q170&lt;&gt;"",ISNUMBER(AB170)),Q170&amp;"|다기관","")</f>
        <v/>
      </c>
    </row>
    <row r="171">
      <c r="A171" s="15">
        <f>IF(F171="","",ROW()-3)</f>
        <v/>
      </c>
      <c r="B171" s="5" t="n"/>
      <c r="C171" s="15" t="n"/>
      <c r="D171" s="5" t="n"/>
      <c r="E171" s="15" t="n"/>
      <c r="F171" s="5" t="n"/>
      <c r="G171" s="6" t="n"/>
      <c r="H171" s="16" t="n"/>
      <c r="I171" s="16" t="n"/>
      <c r="J171" s="15">
        <f>IF(AND(ISNUMBER(H171),ISNUMBER(I171)),I171-H171+1,"")</f>
        <v/>
      </c>
      <c r="K171" s="5" t="n"/>
      <c r="L171" s="5" t="n"/>
      <c r="M171" s="5" t="n"/>
      <c r="N171" s="5" t="n"/>
      <c r="O171" s="5" t="n"/>
      <c r="Q171" s="10">
        <f>IF(TRIM(G171&amp;"")="","",TRIM(G171&amp;""))</f>
        <v/>
      </c>
      <c r="R171" s="10">
        <f>IF(TRIM(B171&amp;"")="","",IFERROR(INDEX(설정_코드표!$K$2:$K$101,MATCH(TRIM(B171&amp;""),설정_코드표!$J$2:$J$101,0)),"⚠"&amp;TRIM(B171&amp;"")))</f>
        <v/>
      </c>
      <c r="S171" s="10">
        <f>IF(TRIM(K171&amp;"")="","",IFERROR(INDEX(설정_코드표!$K$2:$K$101,MATCH(TRIM(K171&amp;""),설정_코드표!$J$2:$J$101,0)),"⚠"&amp;TRIM(K171&amp;"")))</f>
        <v/>
      </c>
      <c r="T171" s="10">
        <f>IF(TRIM(M171&amp;"")="","",IF(ISNUMBER(MATCH(TRIM(M171&amp;""),설정_코드표!$C$2:$C$11,0)),TRIM(M171&amp;""),"⚠"&amp;TRIM(M171&amp;"")))</f>
        <v/>
      </c>
      <c r="U171" s="10">
        <f>IF(TRIM(L171&amp;"")="","",IFERROR(INDEX(설정_코드표!$G$2:$G$101,MATCH(TRIM(L171&amp;""),설정_코드표!$F$2:$F$101,0)),"⚠"&amp;TRIM(L171&amp;"")))</f>
        <v/>
      </c>
      <c r="V171" s="10">
        <f>IF(AND(ISNUMBER(H171),ISNUMBER(I171)),I171-H171+1,"")</f>
        <v/>
      </c>
      <c r="W171" s="17">
        <f>IF(ISNUMBER(H171),MAX(0,MIN(IF(ISNUMBER(I171),I171,EOMONTH(출력_요약!$B$3,0)),EOMONTH(출력_요약!$B$3,0))-MAX(H171,출력_요약!$B$3)+1),0)</f>
        <v/>
      </c>
      <c r="X171" s="10">
        <f>IF(OR(NOT(ISNUMBER(H171)),Q171=""),"",IF(TODAY()&lt;H171,"파견예정",IF(AND(ISNUMBER(I171),TODAY()&gt;I171),"파견종료","파견중")))</f>
        <v/>
      </c>
      <c r="Y171" s="10">
        <f>IF(OR(Q171="",X171=""),"",Q171&amp;"|"&amp;X171)</f>
        <v/>
      </c>
      <c r="Z171" s="10">
        <f>IF(AND(Q171&lt;&gt;"",W171&gt;0),Q171&amp;"|월","")</f>
        <v/>
      </c>
      <c r="AA171" s="10">
        <f>IF(COUNTA(B171:I171,K171:N171)=0,"",IF(Q171="","등록번호 없음",IF(LEFT(R171,1)="⚠","모병원명 미등록",IF(S171="","파견병원 입력",IF(LEFT(S171,1)="⚠","파견병원명 미등록",IF(LEFT(U171,1)="⚠","파견과목 미등록",IF(OR(T171="",LEFT(T171,1)="⚠"),"파견근거 확인",IF(NOT(AND(ISNUMBER(H171),ISNUMBER(I171))),"날짜 형식/누락",IF(I171&lt;H171,"종료일&lt;시작일","")))))))))</f>
        <v/>
      </c>
      <c r="AB171" s="11">
        <f>IF(ISNUMBER(SEARCH("다기관",TRIM(N171&amp;" "&amp;O171))),IFERROR(DATE(VALUE(MID(TRIM(N171&amp;" "&amp;O171),1,4)),VALUE(MID(TRIM(N171&amp;" "&amp;O171),6,2)),VALUE(MID(TRIM(N171&amp;" "&amp;O171),9,2))),IF(ISNUMBER(H171),H171,"")),"")</f>
        <v/>
      </c>
      <c r="AC171" s="11">
        <f>IF(ISNUMBER(SEARCH("다기관",TRIM(N171&amp;" "&amp;O171))),IFERROR(DATE(VALUE(MID(TRIM(N171&amp;" "&amp;O171),12,4)),VALUE(MID(TRIM(N171&amp;" "&amp;O171),17,2)),VALUE(MID(TRIM(N171&amp;" "&amp;O171),20,2))),IF(ISNUMBER(I171),I171,"")),"")</f>
        <v/>
      </c>
      <c r="AD171" s="17">
        <f>IF(AND(ISNUMBER(AB171),ISNUMBER(AC171)),MAX(0,MIN(AC171,EOMONTH(출력_요약!$B$3,0))-MAX(AB171,출력_요약!$B$3)+1),0)</f>
        <v/>
      </c>
      <c r="AE171" s="10">
        <f>IF(AND(Q171&lt;&gt;"",ISNUMBER(AB171)),Q171&amp;"|다기관","")</f>
        <v/>
      </c>
    </row>
    <row r="172">
      <c r="A172" s="15">
        <f>IF(F172="","",ROW()-3)</f>
        <v/>
      </c>
      <c r="B172" s="5" t="n"/>
      <c r="C172" s="15" t="n"/>
      <c r="D172" s="5" t="n"/>
      <c r="E172" s="15" t="n"/>
      <c r="F172" s="5" t="n"/>
      <c r="G172" s="6" t="n"/>
      <c r="H172" s="16" t="n"/>
      <c r="I172" s="16" t="n"/>
      <c r="J172" s="15">
        <f>IF(AND(ISNUMBER(H172),ISNUMBER(I172)),I172-H172+1,"")</f>
        <v/>
      </c>
      <c r="K172" s="5" t="n"/>
      <c r="L172" s="5" t="n"/>
      <c r="M172" s="5" t="n"/>
      <c r="N172" s="5" t="n"/>
      <c r="O172" s="5" t="n"/>
      <c r="Q172" s="10">
        <f>IF(TRIM(G172&amp;"")="","",TRIM(G172&amp;""))</f>
        <v/>
      </c>
      <c r="R172" s="10">
        <f>IF(TRIM(B172&amp;"")="","",IFERROR(INDEX(설정_코드표!$K$2:$K$101,MATCH(TRIM(B172&amp;""),설정_코드표!$J$2:$J$101,0)),"⚠"&amp;TRIM(B172&amp;"")))</f>
        <v/>
      </c>
      <c r="S172" s="10">
        <f>IF(TRIM(K172&amp;"")="","",IFERROR(INDEX(설정_코드표!$K$2:$K$101,MATCH(TRIM(K172&amp;""),설정_코드표!$J$2:$J$101,0)),"⚠"&amp;TRIM(K172&amp;"")))</f>
        <v/>
      </c>
      <c r="T172" s="10">
        <f>IF(TRIM(M172&amp;"")="","",IF(ISNUMBER(MATCH(TRIM(M172&amp;""),설정_코드표!$C$2:$C$11,0)),TRIM(M172&amp;""),"⚠"&amp;TRIM(M172&amp;"")))</f>
        <v/>
      </c>
      <c r="U172" s="10">
        <f>IF(TRIM(L172&amp;"")="","",IFERROR(INDEX(설정_코드표!$G$2:$G$101,MATCH(TRIM(L172&amp;""),설정_코드표!$F$2:$F$101,0)),"⚠"&amp;TRIM(L172&amp;"")))</f>
        <v/>
      </c>
      <c r="V172" s="10">
        <f>IF(AND(ISNUMBER(H172),ISNUMBER(I172)),I172-H172+1,"")</f>
        <v/>
      </c>
      <c r="W172" s="17">
        <f>IF(ISNUMBER(H172),MAX(0,MIN(IF(ISNUMBER(I172),I172,EOMONTH(출력_요약!$B$3,0)),EOMONTH(출력_요약!$B$3,0))-MAX(H172,출력_요약!$B$3)+1),0)</f>
        <v/>
      </c>
      <c r="X172" s="10">
        <f>IF(OR(NOT(ISNUMBER(H172)),Q172=""),"",IF(TODAY()&lt;H172,"파견예정",IF(AND(ISNUMBER(I172),TODAY()&gt;I172),"파견종료","파견중")))</f>
        <v/>
      </c>
      <c r="Y172" s="10">
        <f>IF(OR(Q172="",X172=""),"",Q172&amp;"|"&amp;X172)</f>
        <v/>
      </c>
      <c r="Z172" s="10">
        <f>IF(AND(Q172&lt;&gt;"",W172&gt;0),Q172&amp;"|월","")</f>
        <v/>
      </c>
      <c r="AA172" s="10">
        <f>IF(COUNTA(B172:I172,K172:N172)=0,"",IF(Q172="","등록번호 없음",IF(LEFT(R172,1)="⚠","모병원명 미등록",IF(S172="","파견병원 입력",IF(LEFT(S172,1)="⚠","파견병원명 미등록",IF(LEFT(U172,1)="⚠","파견과목 미등록",IF(OR(T172="",LEFT(T172,1)="⚠"),"파견근거 확인",IF(NOT(AND(ISNUMBER(H172),ISNUMBER(I172))),"날짜 형식/누락",IF(I172&lt;H172,"종료일&lt;시작일","")))))))))</f>
        <v/>
      </c>
      <c r="AB172" s="11">
        <f>IF(ISNUMBER(SEARCH("다기관",TRIM(N172&amp;" "&amp;O172))),IFERROR(DATE(VALUE(MID(TRIM(N172&amp;" "&amp;O172),1,4)),VALUE(MID(TRIM(N172&amp;" "&amp;O172),6,2)),VALUE(MID(TRIM(N172&amp;" "&amp;O172),9,2))),IF(ISNUMBER(H172),H172,"")),"")</f>
        <v/>
      </c>
      <c r="AC172" s="11">
        <f>IF(ISNUMBER(SEARCH("다기관",TRIM(N172&amp;" "&amp;O172))),IFERROR(DATE(VALUE(MID(TRIM(N172&amp;" "&amp;O172),12,4)),VALUE(MID(TRIM(N172&amp;" "&amp;O172),17,2)),VALUE(MID(TRIM(N172&amp;" "&amp;O172),20,2))),IF(ISNUMBER(I172),I172,"")),"")</f>
        <v/>
      </c>
      <c r="AD172" s="17">
        <f>IF(AND(ISNUMBER(AB172),ISNUMBER(AC172)),MAX(0,MIN(AC172,EOMONTH(출력_요약!$B$3,0))-MAX(AB172,출력_요약!$B$3)+1),0)</f>
        <v/>
      </c>
      <c r="AE172" s="10">
        <f>IF(AND(Q172&lt;&gt;"",ISNUMBER(AB172)),Q172&amp;"|다기관","")</f>
        <v/>
      </c>
    </row>
    <row r="173">
      <c r="A173" s="15">
        <f>IF(F173="","",ROW()-3)</f>
        <v/>
      </c>
      <c r="B173" s="5" t="n"/>
      <c r="C173" s="15" t="n"/>
      <c r="D173" s="5" t="n"/>
      <c r="E173" s="15" t="n"/>
      <c r="F173" s="5" t="n"/>
      <c r="G173" s="6" t="n"/>
      <c r="H173" s="16" t="n"/>
      <c r="I173" s="16" t="n"/>
      <c r="J173" s="15">
        <f>IF(AND(ISNUMBER(H173),ISNUMBER(I173)),I173-H173+1,"")</f>
        <v/>
      </c>
      <c r="K173" s="5" t="n"/>
      <c r="L173" s="5" t="n"/>
      <c r="M173" s="5" t="n"/>
      <c r="N173" s="5" t="n"/>
      <c r="O173" s="5" t="n"/>
      <c r="Q173" s="10">
        <f>IF(TRIM(G173&amp;"")="","",TRIM(G173&amp;""))</f>
        <v/>
      </c>
      <c r="R173" s="10">
        <f>IF(TRIM(B173&amp;"")="","",IFERROR(INDEX(설정_코드표!$K$2:$K$101,MATCH(TRIM(B173&amp;""),설정_코드표!$J$2:$J$101,0)),"⚠"&amp;TRIM(B173&amp;"")))</f>
        <v/>
      </c>
      <c r="S173" s="10">
        <f>IF(TRIM(K173&amp;"")="","",IFERROR(INDEX(설정_코드표!$K$2:$K$101,MATCH(TRIM(K173&amp;""),설정_코드표!$J$2:$J$101,0)),"⚠"&amp;TRIM(K173&amp;"")))</f>
        <v/>
      </c>
      <c r="T173" s="10">
        <f>IF(TRIM(M173&amp;"")="","",IF(ISNUMBER(MATCH(TRIM(M173&amp;""),설정_코드표!$C$2:$C$11,0)),TRIM(M173&amp;""),"⚠"&amp;TRIM(M173&amp;"")))</f>
        <v/>
      </c>
      <c r="U173" s="10">
        <f>IF(TRIM(L173&amp;"")="","",IFERROR(INDEX(설정_코드표!$G$2:$G$101,MATCH(TRIM(L173&amp;""),설정_코드표!$F$2:$F$101,0)),"⚠"&amp;TRIM(L173&amp;"")))</f>
        <v/>
      </c>
      <c r="V173" s="10">
        <f>IF(AND(ISNUMBER(H173),ISNUMBER(I173)),I173-H173+1,"")</f>
        <v/>
      </c>
      <c r="W173" s="17">
        <f>IF(ISNUMBER(H173),MAX(0,MIN(IF(ISNUMBER(I173),I173,EOMONTH(출력_요약!$B$3,0)),EOMONTH(출력_요약!$B$3,0))-MAX(H173,출력_요약!$B$3)+1),0)</f>
        <v/>
      </c>
      <c r="X173" s="10">
        <f>IF(OR(NOT(ISNUMBER(H173)),Q173=""),"",IF(TODAY()&lt;H173,"파견예정",IF(AND(ISNUMBER(I173),TODAY()&gt;I173),"파견종료","파견중")))</f>
        <v/>
      </c>
      <c r="Y173" s="10">
        <f>IF(OR(Q173="",X173=""),"",Q173&amp;"|"&amp;X173)</f>
        <v/>
      </c>
      <c r="Z173" s="10">
        <f>IF(AND(Q173&lt;&gt;"",W173&gt;0),Q173&amp;"|월","")</f>
        <v/>
      </c>
      <c r="AA173" s="10">
        <f>IF(COUNTA(B173:I173,K173:N173)=0,"",IF(Q173="","등록번호 없음",IF(LEFT(R173,1)="⚠","모병원명 미등록",IF(S173="","파견병원 입력",IF(LEFT(S173,1)="⚠","파견병원명 미등록",IF(LEFT(U173,1)="⚠","파견과목 미등록",IF(OR(T173="",LEFT(T173,1)="⚠"),"파견근거 확인",IF(NOT(AND(ISNUMBER(H173),ISNUMBER(I173))),"날짜 형식/누락",IF(I173&lt;H173,"종료일&lt;시작일","")))))))))</f>
        <v/>
      </c>
      <c r="AB173" s="11">
        <f>IF(ISNUMBER(SEARCH("다기관",TRIM(N173&amp;" "&amp;O173))),IFERROR(DATE(VALUE(MID(TRIM(N173&amp;" "&amp;O173),1,4)),VALUE(MID(TRIM(N173&amp;" "&amp;O173),6,2)),VALUE(MID(TRIM(N173&amp;" "&amp;O173),9,2))),IF(ISNUMBER(H173),H173,"")),"")</f>
        <v/>
      </c>
      <c r="AC173" s="11">
        <f>IF(ISNUMBER(SEARCH("다기관",TRIM(N173&amp;" "&amp;O173))),IFERROR(DATE(VALUE(MID(TRIM(N173&amp;" "&amp;O173),12,4)),VALUE(MID(TRIM(N173&amp;" "&amp;O173),17,2)),VALUE(MID(TRIM(N173&amp;" "&amp;O173),20,2))),IF(ISNUMBER(I173),I173,"")),"")</f>
        <v/>
      </c>
      <c r="AD173" s="17">
        <f>IF(AND(ISNUMBER(AB173),ISNUMBER(AC173)),MAX(0,MIN(AC173,EOMONTH(출력_요약!$B$3,0))-MAX(AB173,출력_요약!$B$3)+1),0)</f>
        <v/>
      </c>
      <c r="AE173" s="10">
        <f>IF(AND(Q173&lt;&gt;"",ISNUMBER(AB173)),Q173&amp;"|다기관","")</f>
        <v/>
      </c>
    </row>
    <row r="174">
      <c r="A174" s="15">
        <f>IF(F174="","",ROW()-3)</f>
        <v/>
      </c>
      <c r="B174" s="5" t="n"/>
      <c r="C174" s="15" t="n"/>
      <c r="D174" s="5" t="n"/>
      <c r="E174" s="15" t="n"/>
      <c r="F174" s="5" t="n"/>
      <c r="G174" s="6" t="n"/>
      <c r="H174" s="16" t="n"/>
      <c r="I174" s="16" t="n"/>
      <c r="J174" s="15">
        <f>IF(AND(ISNUMBER(H174),ISNUMBER(I174)),I174-H174+1,"")</f>
        <v/>
      </c>
      <c r="K174" s="5" t="n"/>
      <c r="L174" s="5" t="n"/>
      <c r="M174" s="5" t="n"/>
      <c r="N174" s="5" t="n"/>
      <c r="O174" s="5" t="n"/>
      <c r="Q174" s="10">
        <f>IF(TRIM(G174&amp;"")="","",TRIM(G174&amp;""))</f>
        <v/>
      </c>
      <c r="R174" s="10">
        <f>IF(TRIM(B174&amp;"")="","",IFERROR(INDEX(설정_코드표!$K$2:$K$101,MATCH(TRIM(B174&amp;""),설정_코드표!$J$2:$J$101,0)),"⚠"&amp;TRIM(B174&amp;"")))</f>
        <v/>
      </c>
      <c r="S174" s="10">
        <f>IF(TRIM(K174&amp;"")="","",IFERROR(INDEX(설정_코드표!$K$2:$K$101,MATCH(TRIM(K174&amp;""),설정_코드표!$J$2:$J$101,0)),"⚠"&amp;TRIM(K174&amp;"")))</f>
        <v/>
      </c>
      <c r="T174" s="10">
        <f>IF(TRIM(M174&amp;"")="","",IF(ISNUMBER(MATCH(TRIM(M174&amp;""),설정_코드표!$C$2:$C$11,0)),TRIM(M174&amp;""),"⚠"&amp;TRIM(M174&amp;"")))</f>
        <v/>
      </c>
      <c r="U174" s="10">
        <f>IF(TRIM(L174&amp;"")="","",IFERROR(INDEX(설정_코드표!$G$2:$G$101,MATCH(TRIM(L174&amp;""),설정_코드표!$F$2:$F$101,0)),"⚠"&amp;TRIM(L174&amp;"")))</f>
        <v/>
      </c>
      <c r="V174" s="10">
        <f>IF(AND(ISNUMBER(H174),ISNUMBER(I174)),I174-H174+1,"")</f>
        <v/>
      </c>
      <c r="W174" s="17">
        <f>IF(ISNUMBER(H174),MAX(0,MIN(IF(ISNUMBER(I174),I174,EOMONTH(출력_요약!$B$3,0)),EOMONTH(출력_요약!$B$3,0))-MAX(H174,출력_요약!$B$3)+1),0)</f>
        <v/>
      </c>
      <c r="X174" s="10">
        <f>IF(OR(NOT(ISNUMBER(H174)),Q174=""),"",IF(TODAY()&lt;H174,"파견예정",IF(AND(ISNUMBER(I174),TODAY()&gt;I174),"파견종료","파견중")))</f>
        <v/>
      </c>
      <c r="Y174" s="10">
        <f>IF(OR(Q174="",X174=""),"",Q174&amp;"|"&amp;X174)</f>
        <v/>
      </c>
      <c r="Z174" s="10">
        <f>IF(AND(Q174&lt;&gt;"",W174&gt;0),Q174&amp;"|월","")</f>
        <v/>
      </c>
      <c r="AA174" s="10">
        <f>IF(COUNTA(B174:I174,K174:N174)=0,"",IF(Q174="","등록번호 없음",IF(LEFT(R174,1)="⚠","모병원명 미등록",IF(S174="","파견병원 입력",IF(LEFT(S174,1)="⚠","파견병원명 미등록",IF(LEFT(U174,1)="⚠","파견과목 미등록",IF(OR(T174="",LEFT(T174,1)="⚠"),"파견근거 확인",IF(NOT(AND(ISNUMBER(H174),ISNUMBER(I174))),"날짜 형식/누락",IF(I174&lt;H174,"종료일&lt;시작일","")))))))))</f>
        <v/>
      </c>
      <c r="AB174" s="11">
        <f>IF(ISNUMBER(SEARCH("다기관",TRIM(N174&amp;" "&amp;O174))),IFERROR(DATE(VALUE(MID(TRIM(N174&amp;" "&amp;O174),1,4)),VALUE(MID(TRIM(N174&amp;" "&amp;O174),6,2)),VALUE(MID(TRIM(N174&amp;" "&amp;O174),9,2))),IF(ISNUMBER(H174),H174,"")),"")</f>
        <v/>
      </c>
      <c r="AC174" s="11">
        <f>IF(ISNUMBER(SEARCH("다기관",TRIM(N174&amp;" "&amp;O174))),IFERROR(DATE(VALUE(MID(TRIM(N174&amp;" "&amp;O174),12,4)),VALUE(MID(TRIM(N174&amp;" "&amp;O174),17,2)),VALUE(MID(TRIM(N174&amp;" "&amp;O174),20,2))),IF(ISNUMBER(I174),I174,"")),"")</f>
        <v/>
      </c>
      <c r="AD174" s="17">
        <f>IF(AND(ISNUMBER(AB174),ISNUMBER(AC174)),MAX(0,MIN(AC174,EOMONTH(출력_요약!$B$3,0))-MAX(AB174,출력_요약!$B$3)+1),0)</f>
        <v/>
      </c>
      <c r="AE174" s="10">
        <f>IF(AND(Q174&lt;&gt;"",ISNUMBER(AB174)),Q174&amp;"|다기관","")</f>
        <v/>
      </c>
    </row>
    <row r="175">
      <c r="A175" s="15">
        <f>IF(F175="","",ROW()-3)</f>
        <v/>
      </c>
      <c r="B175" s="5" t="n"/>
      <c r="C175" s="15" t="n"/>
      <c r="D175" s="5" t="n"/>
      <c r="E175" s="15" t="n"/>
      <c r="F175" s="5" t="n"/>
      <c r="G175" s="6" t="n"/>
      <c r="H175" s="16" t="n"/>
      <c r="I175" s="16" t="n"/>
      <c r="J175" s="15">
        <f>IF(AND(ISNUMBER(H175),ISNUMBER(I175)),I175-H175+1,"")</f>
        <v/>
      </c>
      <c r="K175" s="5" t="n"/>
      <c r="L175" s="5" t="n"/>
      <c r="M175" s="5" t="n"/>
      <c r="N175" s="5" t="n"/>
      <c r="O175" s="5" t="n"/>
      <c r="Q175" s="10">
        <f>IF(TRIM(G175&amp;"")="","",TRIM(G175&amp;""))</f>
        <v/>
      </c>
      <c r="R175" s="10">
        <f>IF(TRIM(B175&amp;"")="","",IFERROR(INDEX(설정_코드표!$K$2:$K$101,MATCH(TRIM(B175&amp;""),설정_코드표!$J$2:$J$101,0)),"⚠"&amp;TRIM(B175&amp;"")))</f>
        <v/>
      </c>
      <c r="S175" s="10">
        <f>IF(TRIM(K175&amp;"")="","",IFERROR(INDEX(설정_코드표!$K$2:$K$101,MATCH(TRIM(K175&amp;""),설정_코드표!$J$2:$J$101,0)),"⚠"&amp;TRIM(K175&amp;"")))</f>
        <v/>
      </c>
      <c r="T175" s="10">
        <f>IF(TRIM(M175&amp;"")="","",IF(ISNUMBER(MATCH(TRIM(M175&amp;""),설정_코드표!$C$2:$C$11,0)),TRIM(M175&amp;""),"⚠"&amp;TRIM(M175&amp;"")))</f>
        <v/>
      </c>
      <c r="U175" s="10">
        <f>IF(TRIM(L175&amp;"")="","",IFERROR(INDEX(설정_코드표!$G$2:$G$101,MATCH(TRIM(L175&amp;""),설정_코드표!$F$2:$F$101,0)),"⚠"&amp;TRIM(L175&amp;"")))</f>
        <v/>
      </c>
      <c r="V175" s="10">
        <f>IF(AND(ISNUMBER(H175),ISNUMBER(I175)),I175-H175+1,"")</f>
        <v/>
      </c>
      <c r="W175" s="17">
        <f>IF(ISNUMBER(H175),MAX(0,MIN(IF(ISNUMBER(I175),I175,EOMONTH(출력_요약!$B$3,0)),EOMONTH(출력_요약!$B$3,0))-MAX(H175,출력_요약!$B$3)+1),0)</f>
        <v/>
      </c>
      <c r="X175" s="10">
        <f>IF(OR(NOT(ISNUMBER(H175)),Q175=""),"",IF(TODAY()&lt;H175,"파견예정",IF(AND(ISNUMBER(I175),TODAY()&gt;I175),"파견종료","파견중")))</f>
        <v/>
      </c>
      <c r="Y175" s="10">
        <f>IF(OR(Q175="",X175=""),"",Q175&amp;"|"&amp;X175)</f>
        <v/>
      </c>
      <c r="Z175" s="10">
        <f>IF(AND(Q175&lt;&gt;"",W175&gt;0),Q175&amp;"|월","")</f>
        <v/>
      </c>
      <c r="AA175" s="10">
        <f>IF(COUNTA(B175:I175,K175:N175)=0,"",IF(Q175="","등록번호 없음",IF(LEFT(R175,1)="⚠","모병원명 미등록",IF(S175="","파견병원 입력",IF(LEFT(S175,1)="⚠","파견병원명 미등록",IF(LEFT(U175,1)="⚠","파견과목 미등록",IF(OR(T175="",LEFT(T175,1)="⚠"),"파견근거 확인",IF(NOT(AND(ISNUMBER(H175),ISNUMBER(I175))),"날짜 형식/누락",IF(I175&lt;H175,"종료일&lt;시작일","")))))))))</f>
        <v/>
      </c>
      <c r="AB175" s="11">
        <f>IF(ISNUMBER(SEARCH("다기관",TRIM(N175&amp;" "&amp;O175))),IFERROR(DATE(VALUE(MID(TRIM(N175&amp;" "&amp;O175),1,4)),VALUE(MID(TRIM(N175&amp;" "&amp;O175),6,2)),VALUE(MID(TRIM(N175&amp;" "&amp;O175),9,2))),IF(ISNUMBER(H175),H175,"")),"")</f>
        <v/>
      </c>
      <c r="AC175" s="11">
        <f>IF(ISNUMBER(SEARCH("다기관",TRIM(N175&amp;" "&amp;O175))),IFERROR(DATE(VALUE(MID(TRIM(N175&amp;" "&amp;O175),12,4)),VALUE(MID(TRIM(N175&amp;" "&amp;O175),17,2)),VALUE(MID(TRIM(N175&amp;" "&amp;O175),20,2))),IF(ISNUMBER(I175),I175,"")),"")</f>
        <v/>
      </c>
      <c r="AD175" s="17">
        <f>IF(AND(ISNUMBER(AB175),ISNUMBER(AC175)),MAX(0,MIN(AC175,EOMONTH(출력_요약!$B$3,0))-MAX(AB175,출력_요약!$B$3)+1),0)</f>
        <v/>
      </c>
      <c r="AE175" s="10">
        <f>IF(AND(Q175&lt;&gt;"",ISNUMBER(AB175)),Q175&amp;"|다기관","")</f>
        <v/>
      </c>
    </row>
    <row r="176">
      <c r="A176" s="15">
        <f>IF(F176="","",ROW()-3)</f>
        <v/>
      </c>
      <c r="B176" s="5" t="n"/>
      <c r="C176" s="15" t="n"/>
      <c r="D176" s="5" t="n"/>
      <c r="E176" s="15" t="n"/>
      <c r="F176" s="5" t="n"/>
      <c r="G176" s="6" t="n"/>
      <c r="H176" s="16" t="n"/>
      <c r="I176" s="16" t="n"/>
      <c r="J176" s="15">
        <f>IF(AND(ISNUMBER(H176),ISNUMBER(I176)),I176-H176+1,"")</f>
        <v/>
      </c>
      <c r="K176" s="5" t="n"/>
      <c r="L176" s="5" t="n"/>
      <c r="M176" s="5" t="n"/>
      <c r="N176" s="5" t="n"/>
      <c r="O176" s="5" t="n"/>
      <c r="Q176" s="10">
        <f>IF(TRIM(G176&amp;"")="","",TRIM(G176&amp;""))</f>
        <v/>
      </c>
      <c r="R176" s="10">
        <f>IF(TRIM(B176&amp;"")="","",IFERROR(INDEX(설정_코드표!$K$2:$K$101,MATCH(TRIM(B176&amp;""),설정_코드표!$J$2:$J$101,0)),"⚠"&amp;TRIM(B176&amp;"")))</f>
        <v/>
      </c>
      <c r="S176" s="10">
        <f>IF(TRIM(K176&amp;"")="","",IFERROR(INDEX(설정_코드표!$K$2:$K$101,MATCH(TRIM(K176&amp;""),설정_코드표!$J$2:$J$101,0)),"⚠"&amp;TRIM(K176&amp;"")))</f>
        <v/>
      </c>
      <c r="T176" s="10">
        <f>IF(TRIM(M176&amp;"")="","",IF(ISNUMBER(MATCH(TRIM(M176&amp;""),설정_코드표!$C$2:$C$11,0)),TRIM(M176&amp;""),"⚠"&amp;TRIM(M176&amp;"")))</f>
        <v/>
      </c>
      <c r="U176" s="10">
        <f>IF(TRIM(L176&amp;"")="","",IFERROR(INDEX(설정_코드표!$G$2:$G$101,MATCH(TRIM(L176&amp;""),설정_코드표!$F$2:$F$101,0)),"⚠"&amp;TRIM(L176&amp;"")))</f>
        <v/>
      </c>
      <c r="V176" s="10">
        <f>IF(AND(ISNUMBER(H176),ISNUMBER(I176)),I176-H176+1,"")</f>
        <v/>
      </c>
      <c r="W176" s="17">
        <f>IF(ISNUMBER(H176),MAX(0,MIN(IF(ISNUMBER(I176),I176,EOMONTH(출력_요약!$B$3,0)),EOMONTH(출력_요약!$B$3,0))-MAX(H176,출력_요약!$B$3)+1),0)</f>
        <v/>
      </c>
      <c r="X176" s="10">
        <f>IF(OR(NOT(ISNUMBER(H176)),Q176=""),"",IF(TODAY()&lt;H176,"파견예정",IF(AND(ISNUMBER(I176),TODAY()&gt;I176),"파견종료","파견중")))</f>
        <v/>
      </c>
      <c r="Y176" s="10">
        <f>IF(OR(Q176="",X176=""),"",Q176&amp;"|"&amp;X176)</f>
        <v/>
      </c>
      <c r="Z176" s="10">
        <f>IF(AND(Q176&lt;&gt;"",W176&gt;0),Q176&amp;"|월","")</f>
        <v/>
      </c>
      <c r="AA176" s="10">
        <f>IF(COUNTA(B176:I176,K176:N176)=0,"",IF(Q176="","등록번호 없음",IF(LEFT(R176,1)="⚠","모병원명 미등록",IF(S176="","파견병원 입력",IF(LEFT(S176,1)="⚠","파견병원명 미등록",IF(LEFT(U176,1)="⚠","파견과목 미등록",IF(OR(T176="",LEFT(T176,1)="⚠"),"파견근거 확인",IF(NOT(AND(ISNUMBER(H176),ISNUMBER(I176))),"날짜 형식/누락",IF(I176&lt;H176,"종료일&lt;시작일","")))))))))</f>
        <v/>
      </c>
      <c r="AB176" s="11">
        <f>IF(ISNUMBER(SEARCH("다기관",TRIM(N176&amp;" "&amp;O176))),IFERROR(DATE(VALUE(MID(TRIM(N176&amp;" "&amp;O176),1,4)),VALUE(MID(TRIM(N176&amp;" "&amp;O176),6,2)),VALUE(MID(TRIM(N176&amp;" "&amp;O176),9,2))),IF(ISNUMBER(H176),H176,"")),"")</f>
        <v/>
      </c>
      <c r="AC176" s="11">
        <f>IF(ISNUMBER(SEARCH("다기관",TRIM(N176&amp;" "&amp;O176))),IFERROR(DATE(VALUE(MID(TRIM(N176&amp;" "&amp;O176),12,4)),VALUE(MID(TRIM(N176&amp;" "&amp;O176),17,2)),VALUE(MID(TRIM(N176&amp;" "&amp;O176),20,2))),IF(ISNUMBER(I176),I176,"")),"")</f>
        <v/>
      </c>
      <c r="AD176" s="17">
        <f>IF(AND(ISNUMBER(AB176),ISNUMBER(AC176)),MAX(0,MIN(AC176,EOMONTH(출력_요약!$B$3,0))-MAX(AB176,출력_요약!$B$3)+1),0)</f>
        <v/>
      </c>
      <c r="AE176" s="10">
        <f>IF(AND(Q176&lt;&gt;"",ISNUMBER(AB176)),Q176&amp;"|다기관","")</f>
        <v/>
      </c>
    </row>
    <row r="177">
      <c r="A177" s="15">
        <f>IF(F177="","",ROW()-3)</f>
        <v/>
      </c>
      <c r="B177" s="5" t="n"/>
      <c r="C177" s="15" t="n"/>
      <c r="D177" s="5" t="n"/>
      <c r="E177" s="15" t="n"/>
      <c r="F177" s="5" t="n"/>
      <c r="G177" s="6" t="n"/>
      <c r="H177" s="16" t="n"/>
      <c r="I177" s="16" t="n"/>
      <c r="J177" s="15">
        <f>IF(AND(ISNUMBER(H177),ISNUMBER(I177)),I177-H177+1,"")</f>
        <v/>
      </c>
      <c r="K177" s="5" t="n"/>
      <c r="L177" s="5" t="n"/>
      <c r="M177" s="5" t="n"/>
      <c r="N177" s="5" t="n"/>
      <c r="O177" s="5" t="n"/>
      <c r="Q177" s="10">
        <f>IF(TRIM(G177&amp;"")="","",TRIM(G177&amp;""))</f>
        <v/>
      </c>
      <c r="R177" s="10">
        <f>IF(TRIM(B177&amp;"")="","",IFERROR(INDEX(설정_코드표!$K$2:$K$101,MATCH(TRIM(B177&amp;""),설정_코드표!$J$2:$J$101,0)),"⚠"&amp;TRIM(B177&amp;"")))</f>
        <v/>
      </c>
      <c r="S177" s="10">
        <f>IF(TRIM(K177&amp;"")="","",IFERROR(INDEX(설정_코드표!$K$2:$K$101,MATCH(TRIM(K177&amp;""),설정_코드표!$J$2:$J$101,0)),"⚠"&amp;TRIM(K177&amp;"")))</f>
        <v/>
      </c>
      <c r="T177" s="10">
        <f>IF(TRIM(M177&amp;"")="","",IF(ISNUMBER(MATCH(TRIM(M177&amp;""),설정_코드표!$C$2:$C$11,0)),TRIM(M177&amp;""),"⚠"&amp;TRIM(M177&amp;"")))</f>
        <v/>
      </c>
      <c r="U177" s="10">
        <f>IF(TRIM(L177&amp;"")="","",IFERROR(INDEX(설정_코드표!$G$2:$G$101,MATCH(TRIM(L177&amp;""),설정_코드표!$F$2:$F$101,0)),"⚠"&amp;TRIM(L177&amp;"")))</f>
        <v/>
      </c>
      <c r="V177" s="10">
        <f>IF(AND(ISNUMBER(H177),ISNUMBER(I177)),I177-H177+1,"")</f>
        <v/>
      </c>
      <c r="W177" s="17">
        <f>IF(ISNUMBER(H177),MAX(0,MIN(IF(ISNUMBER(I177),I177,EOMONTH(출력_요약!$B$3,0)),EOMONTH(출력_요약!$B$3,0))-MAX(H177,출력_요약!$B$3)+1),0)</f>
        <v/>
      </c>
      <c r="X177" s="10">
        <f>IF(OR(NOT(ISNUMBER(H177)),Q177=""),"",IF(TODAY()&lt;H177,"파견예정",IF(AND(ISNUMBER(I177),TODAY()&gt;I177),"파견종료","파견중")))</f>
        <v/>
      </c>
      <c r="Y177" s="10">
        <f>IF(OR(Q177="",X177=""),"",Q177&amp;"|"&amp;X177)</f>
        <v/>
      </c>
      <c r="Z177" s="10">
        <f>IF(AND(Q177&lt;&gt;"",W177&gt;0),Q177&amp;"|월","")</f>
        <v/>
      </c>
      <c r="AA177" s="10">
        <f>IF(COUNTA(B177:I177,K177:N177)=0,"",IF(Q177="","등록번호 없음",IF(LEFT(R177,1)="⚠","모병원명 미등록",IF(S177="","파견병원 입력",IF(LEFT(S177,1)="⚠","파견병원명 미등록",IF(LEFT(U177,1)="⚠","파견과목 미등록",IF(OR(T177="",LEFT(T177,1)="⚠"),"파견근거 확인",IF(NOT(AND(ISNUMBER(H177),ISNUMBER(I177))),"날짜 형식/누락",IF(I177&lt;H177,"종료일&lt;시작일","")))))))))</f>
        <v/>
      </c>
      <c r="AB177" s="11">
        <f>IF(ISNUMBER(SEARCH("다기관",TRIM(N177&amp;" "&amp;O177))),IFERROR(DATE(VALUE(MID(TRIM(N177&amp;" "&amp;O177),1,4)),VALUE(MID(TRIM(N177&amp;" "&amp;O177),6,2)),VALUE(MID(TRIM(N177&amp;" "&amp;O177),9,2))),IF(ISNUMBER(H177),H177,"")),"")</f>
        <v/>
      </c>
      <c r="AC177" s="11">
        <f>IF(ISNUMBER(SEARCH("다기관",TRIM(N177&amp;" "&amp;O177))),IFERROR(DATE(VALUE(MID(TRIM(N177&amp;" "&amp;O177),12,4)),VALUE(MID(TRIM(N177&amp;" "&amp;O177),17,2)),VALUE(MID(TRIM(N177&amp;" "&amp;O177),20,2))),IF(ISNUMBER(I177),I177,"")),"")</f>
        <v/>
      </c>
      <c r="AD177" s="17">
        <f>IF(AND(ISNUMBER(AB177),ISNUMBER(AC177)),MAX(0,MIN(AC177,EOMONTH(출력_요약!$B$3,0))-MAX(AB177,출력_요약!$B$3)+1),0)</f>
        <v/>
      </c>
      <c r="AE177" s="10">
        <f>IF(AND(Q177&lt;&gt;"",ISNUMBER(AB177)),Q177&amp;"|다기관","")</f>
        <v/>
      </c>
    </row>
    <row r="178">
      <c r="A178" s="15">
        <f>IF(F178="","",ROW()-3)</f>
        <v/>
      </c>
      <c r="B178" s="5" t="n"/>
      <c r="C178" s="15" t="n"/>
      <c r="D178" s="5" t="n"/>
      <c r="E178" s="15" t="n"/>
      <c r="F178" s="5" t="n"/>
      <c r="G178" s="6" t="n"/>
      <c r="H178" s="16" t="n"/>
      <c r="I178" s="16" t="n"/>
      <c r="J178" s="15">
        <f>IF(AND(ISNUMBER(H178),ISNUMBER(I178)),I178-H178+1,"")</f>
        <v/>
      </c>
      <c r="K178" s="5" t="n"/>
      <c r="L178" s="5" t="n"/>
      <c r="M178" s="5" t="n"/>
      <c r="N178" s="5" t="n"/>
      <c r="O178" s="5" t="n"/>
      <c r="Q178" s="10">
        <f>IF(TRIM(G178&amp;"")="","",TRIM(G178&amp;""))</f>
        <v/>
      </c>
      <c r="R178" s="10">
        <f>IF(TRIM(B178&amp;"")="","",IFERROR(INDEX(설정_코드표!$K$2:$K$101,MATCH(TRIM(B178&amp;""),설정_코드표!$J$2:$J$101,0)),"⚠"&amp;TRIM(B178&amp;"")))</f>
        <v/>
      </c>
      <c r="S178" s="10">
        <f>IF(TRIM(K178&amp;"")="","",IFERROR(INDEX(설정_코드표!$K$2:$K$101,MATCH(TRIM(K178&amp;""),설정_코드표!$J$2:$J$101,0)),"⚠"&amp;TRIM(K178&amp;"")))</f>
        <v/>
      </c>
      <c r="T178" s="10">
        <f>IF(TRIM(M178&amp;"")="","",IF(ISNUMBER(MATCH(TRIM(M178&amp;""),설정_코드표!$C$2:$C$11,0)),TRIM(M178&amp;""),"⚠"&amp;TRIM(M178&amp;"")))</f>
        <v/>
      </c>
      <c r="U178" s="10">
        <f>IF(TRIM(L178&amp;"")="","",IFERROR(INDEX(설정_코드표!$G$2:$G$101,MATCH(TRIM(L178&amp;""),설정_코드표!$F$2:$F$101,0)),"⚠"&amp;TRIM(L178&amp;"")))</f>
        <v/>
      </c>
      <c r="V178" s="10">
        <f>IF(AND(ISNUMBER(H178),ISNUMBER(I178)),I178-H178+1,"")</f>
        <v/>
      </c>
      <c r="W178" s="17">
        <f>IF(ISNUMBER(H178),MAX(0,MIN(IF(ISNUMBER(I178),I178,EOMONTH(출력_요약!$B$3,0)),EOMONTH(출력_요약!$B$3,0))-MAX(H178,출력_요약!$B$3)+1),0)</f>
        <v/>
      </c>
      <c r="X178" s="10">
        <f>IF(OR(NOT(ISNUMBER(H178)),Q178=""),"",IF(TODAY()&lt;H178,"파견예정",IF(AND(ISNUMBER(I178),TODAY()&gt;I178),"파견종료","파견중")))</f>
        <v/>
      </c>
      <c r="Y178" s="10">
        <f>IF(OR(Q178="",X178=""),"",Q178&amp;"|"&amp;X178)</f>
        <v/>
      </c>
      <c r="Z178" s="10">
        <f>IF(AND(Q178&lt;&gt;"",W178&gt;0),Q178&amp;"|월","")</f>
        <v/>
      </c>
      <c r="AA178" s="10">
        <f>IF(COUNTA(B178:I178,K178:N178)=0,"",IF(Q178="","등록번호 없음",IF(LEFT(R178,1)="⚠","모병원명 미등록",IF(S178="","파견병원 입력",IF(LEFT(S178,1)="⚠","파견병원명 미등록",IF(LEFT(U178,1)="⚠","파견과목 미등록",IF(OR(T178="",LEFT(T178,1)="⚠"),"파견근거 확인",IF(NOT(AND(ISNUMBER(H178),ISNUMBER(I178))),"날짜 형식/누락",IF(I178&lt;H178,"종료일&lt;시작일","")))))))))</f>
        <v/>
      </c>
      <c r="AB178" s="11">
        <f>IF(ISNUMBER(SEARCH("다기관",TRIM(N178&amp;" "&amp;O178))),IFERROR(DATE(VALUE(MID(TRIM(N178&amp;" "&amp;O178),1,4)),VALUE(MID(TRIM(N178&amp;" "&amp;O178),6,2)),VALUE(MID(TRIM(N178&amp;" "&amp;O178),9,2))),IF(ISNUMBER(H178),H178,"")),"")</f>
        <v/>
      </c>
      <c r="AC178" s="11">
        <f>IF(ISNUMBER(SEARCH("다기관",TRIM(N178&amp;" "&amp;O178))),IFERROR(DATE(VALUE(MID(TRIM(N178&amp;" "&amp;O178),12,4)),VALUE(MID(TRIM(N178&amp;" "&amp;O178),17,2)),VALUE(MID(TRIM(N178&amp;" "&amp;O178),20,2))),IF(ISNUMBER(I178),I178,"")),"")</f>
        <v/>
      </c>
      <c r="AD178" s="17">
        <f>IF(AND(ISNUMBER(AB178),ISNUMBER(AC178)),MAX(0,MIN(AC178,EOMONTH(출력_요약!$B$3,0))-MAX(AB178,출력_요약!$B$3)+1),0)</f>
        <v/>
      </c>
      <c r="AE178" s="10">
        <f>IF(AND(Q178&lt;&gt;"",ISNUMBER(AB178)),Q178&amp;"|다기관","")</f>
        <v/>
      </c>
    </row>
    <row r="179">
      <c r="A179" s="15">
        <f>IF(F179="","",ROW()-3)</f>
        <v/>
      </c>
      <c r="B179" s="5" t="n"/>
      <c r="C179" s="15" t="n"/>
      <c r="D179" s="5" t="n"/>
      <c r="E179" s="15" t="n"/>
      <c r="F179" s="5" t="n"/>
      <c r="G179" s="6" t="n"/>
      <c r="H179" s="16" t="n"/>
      <c r="I179" s="16" t="n"/>
      <c r="J179" s="15">
        <f>IF(AND(ISNUMBER(H179),ISNUMBER(I179)),I179-H179+1,"")</f>
        <v/>
      </c>
      <c r="K179" s="5" t="n"/>
      <c r="L179" s="5" t="n"/>
      <c r="M179" s="5" t="n"/>
      <c r="N179" s="5" t="n"/>
      <c r="O179" s="5" t="n"/>
      <c r="Q179" s="10">
        <f>IF(TRIM(G179&amp;"")="","",TRIM(G179&amp;""))</f>
        <v/>
      </c>
      <c r="R179" s="10">
        <f>IF(TRIM(B179&amp;"")="","",IFERROR(INDEX(설정_코드표!$K$2:$K$101,MATCH(TRIM(B179&amp;""),설정_코드표!$J$2:$J$101,0)),"⚠"&amp;TRIM(B179&amp;"")))</f>
        <v/>
      </c>
      <c r="S179" s="10">
        <f>IF(TRIM(K179&amp;"")="","",IFERROR(INDEX(설정_코드표!$K$2:$K$101,MATCH(TRIM(K179&amp;""),설정_코드표!$J$2:$J$101,0)),"⚠"&amp;TRIM(K179&amp;"")))</f>
        <v/>
      </c>
      <c r="T179" s="10">
        <f>IF(TRIM(M179&amp;"")="","",IF(ISNUMBER(MATCH(TRIM(M179&amp;""),설정_코드표!$C$2:$C$11,0)),TRIM(M179&amp;""),"⚠"&amp;TRIM(M179&amp;"")))</f>
        <v/>
      </c>
      <c r="U179" s="10">
        <f>IF(TRIM(L179&amp;"")="","",IFERROR(INDEX(설정_코드표!$G$2:$G$101,MATCH(TRIM(L179&amp;""),설정_코드표!$F$2:$F$101,0)),"⚠"&amp;TRIM(L179&amp;"")))</f>
        <v/>
      </c>
      <c r="V179" s="10">
        <f>IF(AND(ISNUMBER(H179),ISNUMBER(I179)),I179-H179+1,"")</f>
        <v/>
      </c>
      <c r="W179" s="17">
        <f>IF(ISNUMBER(H179),MAX(0,MIN(IF(ISNUMBER(I179),I179,EOMONTH(출력_요약!$B$3,0)),EOMONTH(출력_요약!$B$3,0))-MAX(H179,출력_요약!$B$3)+1),0)</f>
        <v/>
      </c>
      <c r="X179" s="10">
        <f>IF(OR(NOT(ISNUMBER(H179)),Q179=""),"",IF(TODAY()&lt;H179,"파견예정",IF(AND(ISNUMBER(I179),TODAY()&gt;I179),"파견종료","파견중")))</f>
        <v/>
      </c>
      <c r="Y179" s="10">
        <f>IF(OR(Q179="",X179=""),"",Q179&amp;"|"&amp;X179)</f>
        <v/>
      </c>
      <c r="Z179" s="10">
        <f>IF(AND(Q179&lt;&gt;"",W179&gt;0),Q179&amp;"|월","")</f>
        <v/>
      </c>
      <c r="AA179" s="10">
        <f>IF(COUNTA(B179:I179,K179:N179)=0,"",IF(Q179="","등록번호 없음",IF(LEFT(R179,1)="⚠","모병원명 미등록",IF(S179="","파견병원 입력",IF(LEFT(S179,1)="⚠","파견병원명 미등록",IF(LEFT(U179,1)="⚠","파견과목 미등록",IF(OR(T179="",LEFT(T179,1)="⚠"),"파견근거 확인",IF(NOT(AND(ISNUMBER(H179),ISNUMBER(I179))),"날짜 형식/누락",IF(I179&lt;H179,"종료일&lt;시작일","")))))))))</f>
        <v/>
      </c>
      <c r="AB179" s="11">
        <f>IF(ISNUMBER(SEARCH("다기관",TRIM(N179&amp;" "&amp;O179))),IFERROR(DATE(VALUE(MID(TRIM(N179&amp;" "&amp;O179),1,4)),VALUE(MID(TRIM(N179&amp;" "&amp;O179),6,2)),VALUE(MID(TRIM(N179&amp;" "&amp;O179),9,2))),IF(ISNUMBER(H179),H179,"")),"")</f>
        <v/>
      </c>
      <c r="AC179" s="11">
        <f>IF(ISNUMBER(SEARCH("다기관",TRIM(N179&amp;" "&amp;O179))),IFERROR(DATE(VALUE(MID(TRIM(N179&amp;" "&amp;O179),12,4)),VALUE(MID(TRIM(N179&amp;" "&amp;O179),17,2)),VALUE(MID(TRIM(N179&amp;" "&amp;O179),20,2))),IF(ISNUMBER(I179),I179,"")),"")</f>
        <v/>
      </c>
      <c r="AD179" s="17">
        <f>IF(AND(ISNUMBER(AB179),ISNUMBER(AC179)),MAX(0,MIN(AC179,EOMONTH(출력_요약!$B$3,0))-MAX(AB179,출력_요약!$B$3)+1),0)</f>
        <v/>
      </c>
      <c r="AE179" s="10">
        <f>IF(AND(Q179&lt;&gt;"",ISNUMBER(AB179)),Q179&amp;"|다기관","")</f>
        <v/>
      </c>
    </row>
    <row r="180">
      <c r="A180" s="15">
        <f>IF(F180="","",ROW()-3)</f>
        <v/>
      </c>
      <c r="B180" s="5" t="n"/>
      <c r="C180" s="15" t="n"/>
      <c r="D180" s="5" t="n"/>
      <c r="E180" s="15" t="n"/>
      <c r="F180" s="5" t="n"/>
      <c r="G180" s="6" t="n"/>
      <c r="H180" s="16" t="n"/>
      <c r="I180" s="16" t="n"/>
      <c r="J180" s="15">
        <f>IF(AND(ISNUMBER(H180),ISNUMBER(I180)),I180-H180+1,"")</f>
        <v/>
      </c>
      <c r="K180" s="5" t="n"/>
      <c r="L180" s="5" t="n"/>
      <c r="M180" s="5" t="n"/>
      <c r="N180" s="5" t="n"/>
      <c r="O180" s="5" t="n"/>
      <c r="Q180" s="10">
        <f>IF(TRIM(G180&amp;"")="","",TRIM(G180&amp;""))</f>
        <v/>
      </c>
      <c r="R180" s="10">
        <f>IF(TRIM(B180&amp;"")="","",IFERROR(INDEX(설정_코드표!$K$2:$K$101,MATCH(TRIM(B180&amp;""),설정_코드표!$J$2:$J$101,0)),"⚠"&amp;TRIM(B180&amp;"")))</f>
        <v/>
      </c>
      <c r="S180" s="10">
        <f>IF(TRIM(K180&amp;"")="","",IFERROR(INDEX(설정_코드표!$K$2:$K$101,MATCH(TRIM(K180&amp;""),설정_코드표!$J$2:$J$101,0)),"⚠"&amp;TRIM(K180&amp;"")))</f>
        <v/>
      </c>
      <c r="T180" s="10">
        <f>IF(TRIM(M180&amp;"")="","",IF(ISNUMBER(MATCH(TRIM(M180&amp;""),설정_코드표!$C$2:$C$11,0)),TRIM(M180&amp;""),"⚠"&amp;TRIM(M180&amp;"")))</f>
        <v/>
      </c>
      <c r="U180" s="10">
        <f>IF(TRIM(L180&amp;"")="","",IFERROR(INDEX(설정_코드표!$G$2:$G$101,MATCH(TRIM(L180&amp;""),설정_코드표!$F$2:$F$101,0)),"⚠"&amp;TRIM(L180&amp;"")))</f>
        <v/>
      </c>
      <c r="V180" s="10">
        <f>IF(AND(ISNUMBER(H180),ISNUMBER(I180)),I180-H180+1,"")</f>
        <v/>
      </c>
      <c r="W180" s="17">
        <f>IF(ISNUMBER(H180),MAX(0,MIN(IF(ISNUMBER(I180),I180,EOMONTH(출력_요약!$B$3,0)),EOMONTH(출력_요약!$B$3,0))-MAX(H180,출력_요약!$B$3)+1),0)</f>
        <v/>
      </c>
      <c r="X180" s="10">
        <f>IF(OR(NOT(ISNUMBER(H180)),Q180=""),"",IF(TODAY()&lt;H180,"파견예정",IF(AND(ISNUMBER(I180),TODAY()&gt;I180),"파견종료","파견중")))</f>
        <v/>
      </c>
      <c r="Y180" s="10">
        <f>IF(OR(Q180="",X180=""),"",Q180&amp;"|"&amp;X180)</f>
        <v/>
      </c>
      <c r="Z180" s="10">
        <f>IF(AND(Q180&lt;&gt;"",W180&gt;0),Q180&amp;"|월","")</f>
        <v/>
      </c>
      <c r="AA180" s="10">
        <f>IF(COUNTA(B180:I180,K180:N180)=0,"",IF(Q180="","등록번호 없음",IF(LEFT(R180,1)="⚠","모병원명 미등록",IF(S180="","파견병원 입력",IF(LEFT(S180,1)="⚠","파견병원명 미등록",IF(LEFT(U180,1)="⚠","파견과목 미등록",IF(OR(T180="",LEFT(T180,1)="⚠"),"파견근거 확인",IF(NOT(AND(ISNUMBER(H180),ISNUMBER(I180))),"날짜 형식/누락",IF(I180&lt;H180,"종료일&lt;시작일","")))))))))</f>
        <v/>
      </c>
      <c r="AB180" s="11">
        <f>IF(ISNUMBER(SEARCH("다기관",TRIM(N180&amp;" "&amp;O180))),IFERROR(DATE(VALUE(MID(TRIM(N180&amp;" "&amp;O180),1,4)),VALUE(MID(TRIM(N180&amp;" "&amp;O180),6,2)),VALUE(MID(TRIM(N180&amp;" "&amp;O180),9,2))),IF(ISNUMBER(H180),H180,"")),"")</f>
        <v/>
      </c>
      <c r="AC180" s="11">
        <f>IF(ISNUMBER(SEARCH("다기관",TRIM(N180&amp;" "&amp;O180))),IFERROR(DATE(VALUE(MID(TRIM(N180&amp;" "&amp;O180),12,4)),VALUE(MID(TRIM(N180&amp;" "&amp;O180),17,2)),VALUE(MID(TRIM(N180&amp;" "&amp;O180),20,2))),IF(ISNUMBER(I180),I180,"")),"")</f>
        <v/>
      </c>
      <c r="AD180" s="17">
        <f>IF(AND(ISNUMBER(AB180),ISNUMBER(AC180)),MAX(0,MIN(AC180,EOMONTH(출력_요약!$B$3,0))-MAX(AB180,출력_요약!$B$3)+1),0)</f>
        <v/>
      </c>
      <c r="AE180" s="10">
        <f>IF(AND(Q180&lt;&gt;"",ISNUMBER(AB180)),Q180&amp;"|다기관","")</f>
        <v/>
      </c>
    </row>
    <row r="181">
      <c r="A181" s="15">
        <f>IF(F181="","",ROW()-3)</f>
        <v/>
      </c>
      <c r="B181" s="5" t="n"/>
      <c r="C181" s="15" t="n"/>
      <c r="D181" s="5" t="n"/>
      <c r="E181" s="15" t="n"/>
      <c r="F181" s="5" t="n"/>
      <c r="G181" s="6" t="n"/>
      <c r="H181" s="16" t="n"/>
      <c r="I181" s="16" t="n"/>
      <c r="J181" s="15">
        <f>IF(AND(ISNUMBER(H181),ISNUMBER(I181)),I181-H181+1,"")</f>
        <v/>
      </c>
      <c r="K181" s="5" t="n"/>
      <c r="L181" s="5" t="n"/>
      <c r="M181" s="5" t="n"/>
      <c r="N181" s="5" t="n"/>
      <c r="O181" s="5" t="n"/>
      <c r="Q181" s="10">
        <f>IF(TRIM(G181&amp;"")="","",TRIM(G181&amp;""))</f>
        <v/>
      </c>
      <c r="R181" s="10">
        <f>IF(TRIM(B181&amp;"")="","",IFERROR(INDEX(설정_코드표!$K$2:$K$101,MATCH(TRIM(B181&amp;""),설정_코드표!$J$2:$J$101,0)),"⚠"&amp;TRIM(B181&amp;"")))</f>
        <v/>
      </c>
      <c r="S181" s="10">
        <f>IF(TRIM(K181&amp;"")="","",IFERROR(INDEX(설정_코드표!$K$2:$K$101,MATCH(TRIM(K181&amp;""),설정_코드표!$J$2:$J$101,0)),"⚠"&amp;TRIM(K181&amp;"")))</f>
        <v/>
      </c>
      <c r="T181" s="10">
        <f>IF(TRIM(M181&amp;"")="","",IF(ISNUMBER(MATCH(TRIM(M181&amp;""),설정_코드표!$C$2:$C$11,0)),TRIM(M181&amp;""),"⚠"&amp;TRIM(M181&amp;"")))</f>
        <v/>
      </c>
      <c r="U181" s="10">
        <f>IF(TRIM(L181&amp;"")="","",IFERROR(INDEX(설정_코드표!$G$2:$G$101,MATCH(TRIM(L181&amp;""),설정_코드표!$F$2:$F$101,0)),"⚠"&amp;TRIM(L181&amp;"")))</f>
        <v/>
      </c>
      <c r="V181" s="10">
        <f>IF(AND(ISNUMBER(H181),ISNUMBER(I181)),I181-H181+1,"")</f>
        <v/>
      </c>
      <c r="W181" s="17">
        <f>IF(ISNUMBER(H181),MAX(0,MIN(IF(ISNUMBER(I181),I181,EOMONTH(출력_요약!$B$3,0)),EOMONTH(출력_요약!$B$3,0))-MAX(H181,출력_요약!$B$3)+1),0)</f>
        <v/>
      </c>
      <c r="X181" s="10">
        <f>IF(OR(NOT(ISNUMBER(H181)),Q181=""),"",IF(TODAY()&lt;H181,"파견예정",IF(AND(ISNUMBER(I181),TODAY()&gt;I181),"파견종료","파견중")))</f>
        <v/>
      </c>
      <c r="Y181" s="10">
        <f>IF(OR(Q181="",X181=""),"",Q181&amp;"|"&amp;X181)</f>
        <v/>
      </c>
      <c r="Z181" s="10">
        <f>IF(AND(Q181&lt;&gt;"",W181&gt;0),Q181&amp;"|월","")</f>
        <v/>
      </c>
      <c r="AA181" s="10">
        <f>IF(COUNTA(B181:I181,K181:N181)=0,"",IF(Q181="","등록번호 없음",IF(LEFT(R181,1)="⚠","모병원명 미등록",IF(S181="","파견병원 입력",IF(LEFT(S181,1)="⚠","파견병원명 미등록",IF(LEFT(U181,1)="⚠","파견과목 미등록",IF(OR(T181="",LEFT(T181,1)="⚠"),"파견근거 확인",IF(NOT(AND(ISNUMBER(H181),ISNUMBER(I181))),"날짜 형식/누락",IF(I181&lt;H181,"종료일&lt;시작일","")))))))))</f>
        <v/>
      </c>
      <c r="AB181" s="11">
        <f>IF(ISNUMBER(SEARCH("다기관",TRIM(N181&amp;" "&amp;O181))),IFERROR(DATE(VALUE(MID(TRIM(N181&amp;" "&amp;O181),1,4)),VALUE(MID(TRIM(N181&amp;" "&amp;O181),6,2)),VALUE(MID(TRIM(N181&amp;" "&amp;O181),9,2))),IF(ISNUMBER(H181),H181,"")),"")</f>
        <v/>
      </c>
      <c r="AC181" s="11">
        <f>IF(ISNUMBER(SEARCH("다기관",TRIM(N181&amp;" "&amp;O181))),IFERROR(DATE(VALUE(MID(TRIM(N181&amp;" "&amp;O181),12,4)),VALUE(MID(TRIM(N181&amp;" "&amp;O181),17,2)),VALUE(MID(TRIM(N181&amp;" "&amp;O181),20,2))),IF(ISNUMBER(I181),I181,"")),"")</f>
        <v/>
      </c>
      <c r="AD181" s="17">
        <f>IF(AND(ISNUMBER(AB181),ISNUMBER(AC181)),MAX(0,MIN(AC181,EOMONTH(출력_요약!$B$3,0))-MAX(AB181,출력_요약!$B$3)+1),0)</f>
        <v/>
      </c>
      <c r="AE181" s="10">
        <f>IF(AND(Q181&lt;&gt;"",ISNUMBER(AB181)),Q181&amp;"|다기관","")</f>
        <v/>
      </c>
    </row>
    <row r="182">
      <c r="A182" s="15">
        <f>IF(F182="","",ROW()-3)</f>
        <v/>
      </c>
      <c r="B182" s="5" t="n"/>
      <c r="C182" s="15" t="n"/>
      <c r="D182" s="5" t="n"/>
      <c r="E182" s="15" t="n"/>
      <c r="F182" s="5" t="n"/>
      <c r="G182" s="6" t="n"/>
      <c r="H182" s="16" t="n"/>
      <c r="I182" s="16" t="n"/>
      <c r="J182" s="15">
        <f>IF(AND(ISNUMBER(H182),ISNUMBER(I182)),I182-H182+1,"")</f>
        <v/>
      </c>
      <c r="K182" s="5" t="n"/>
      <c r="L182" s="5" t="n"/>
      <c r="M182" s="5" t="n"/>
      <c r="N182" s="5" t="n"/>
      <c r="O182" s="5" t="n"/>
      <c r="Q182" s="10">
        <f>IF(TRIM(G182&amp;"")="","",TRIM(G182&amp;""))</f>
        <v/>
      </c>
      <c r="R182" s="10">
        <f>IF(TRIM(B182&amp;"")="","",IFERROR(INDEX(설정_코드표!$K$2:$K$101,MATCH(TRIM(B182&amp;""),설정_코드표!$J$2:$J$101,0)),"⚠"&amp;TRIM(B182&amp;"")))</f>
        <v/>
      </c>
      <c r="S182" s="10">
        <f>IF(TRIM(K182&amp;"")="","",IFERROR(INDEX(설정_코드표!$K$2:$K$101,MATCH(TRIM(K182&amp;""),설정_코드표!$J$2:$J$101,0)),"⚠"&amp;TRIM(K182&amp;"")))</f>
        <v/>
      </c>
      <c r="T182" s="10">
        <f>IF(TRIM(M182&amp;"")="","",IF(ISNUMBER(MATCH(TRIM(M182&amp;""),설정_코드표!$C$2:$C$11,0)),TRIM(M182&amp;""),"⚠"&amp;TRIM(M182&amp;"")))</f>
        <v/>
      </c>
      <c r="U182" s="10">
        <f>IF(TRIM(L182&amp;"")="","",IFERROR(INDEX(설정_코드표!$G$2:$G$101,MATCH(TRIM(L182&amp;""),설정_코드표!$F$2:$F$101,0)),"⚠"&amp;TRIM(L182&amp;"")))</f>
        <v/>
      </c>
      <c r="V182" s="10">
        <f>IF(AND(ISNUMBER(H182),ISNUMBER(I182)),I182-H182+1,"")</f>
        <v/>
      </c>
      <c r="W182" s="17">
        <f>IF(ISNUMBER(H182),MAX(0,MIN(IF(ISNUMBER(I182),I182,EOMONTH(출력_요약!$B$3,0)),EOMONTH(출력_요약!$B$3,0))-MAX(H182,출력_요약!$B$3)+1),0)</f>
        <v/>
      </c>
      <c r="X182" s="10">
        <f>IF(OR(NOT(ISNUMBER(H182)),Q182=""),"",IF(TODAY()&lt;H182,"파견예정",IF(AND(ISNUMBER(I182),TODAY()&gt;I182),"파견종료","파견중")))</f>
        <v/>
      </c>
      <c r="Y182" s="10">
        <f>IF(OR(Q182="",X182=""),"",Q182&amp;"|"&amp;X182)</f>
        <v/>
      </c>
      <c r="Z182" s="10">
        <f>IF(AND(Q182&lt;&gt;"",W182&gt;0),Q182&amp;"|월","")</f>
        <v/>
      </c>
      <c r="AA182" s="10">
        <f>IF(COUNTA(B182:I182,K182:N182)=0,"",IF(Q182="","등록번호 없음",IF(LEFT(R182,1)="⚠","모병원명 미등록",IF(S182="","파견병원 입력",IF(LEFT(S182,1)="⚠","파견병원명 미등록",IF(LEFT(U182,1)="⚠","파견과목 미등록",IF(OR(T182="",LEFT(T182,1)="⚠"),"파견근거 확인",IF(NOT(AND(ISNUMBER(H182),ISNUMBER(I182))),"날짜 형식/누락",IF(I182&lt;H182,"종료일&lt;시작일","")))))))))</f>
        <v/>
      </c>
      <c r="AB182" s="11">
        <f>IF(ISNUMBER(SEARCH("다기관",TRIM(N182&amp;" "&amp;O182))),IFERROR(DATE(VALUE(MID(TRIM(N182&amp;" "&amp;O182),1,4)),VALUE(MID(TRIM(N182&amp;" "&amp;O182),6,2)),VALUE(MID(TRIM(N182&amp;" "&amp;O182),9,2))),IF(ISNUMBER(H182),H182,"")),"")</f>
        <v/>
      </c>
      <c r="AC182" s="11">
        <f>IF(ISNUMBER(SEARCH("다기관",TRIM(N182&amp;" "&amp;O182))),IFERROR(DATE(VALUE(MID(TRIM(N182&amp;" "&amp;O182),12,4)),VALUE(MID(TRIM(N182&amp;" "&amp;O182),17,2)),VALUE(MID(TRIM(N182&amp;" "&amp;O182),20,2))),IF(ISNUMBER(I182),I182,"")),"")</f>
        <v/>
      </c>
      <c r="AD182" s="17">
        <f>IF(AND(ISNUMBER(AB182),ISNUMBER(AC182)),MAX(0,MIN(AC182,EOMONTH(출력_요약!$B$3,0))-MAX(AB182,출력_요약!$B$3)+1),0)</f>
        <v/>
      </c>
      <c r="AE182" s="10">
        <f>IF(AND(Q182&lt;&gt;"",ISNUMBER(AB182)),Q182&amp;"|다기관","")</f>
        <v/>
      </c>
    </row>
    <row r="183">
      <c r="A183" s="15">
        <f>IF(F183="","",ROW()-3)</f>
        <v/>
      </c>
      <c r="B183" s="5" t="n"/>
      <c r="C183" s="15" t="n"/>
      <c r="D183" s="5" t="n"/>
      <c r="E183" s="15" t="n"/>
      <c r="F183" s="5" t="n"/>
      <c r="G183" s="6" t="n"/>
      <c r="H183" s="16" t="n"/>
      <c r="I183" s="16" t="n"/>
      <c r="J183" s="15">
        <f>IF(AND(ISNUMBER(H183),ISNUMBER(I183)),I183-H183+1,"")</f>
        <v/>
      </c>
      <c r="K183" s="5" t="n"/>
      <c r="L183" s="5" t="n"/>
      <c r="M183" s="5" t="n"/>
      <c r="N183" s="5" t="n"/>
      <c r="O183" s="5" t="n"/>
      <c r="Q183" s="10">
        <f>IF(TRIM(G183&amp;"")="","",TRIM(G183&amp;""))</f>
        <v/>
      </c>
      <c r="R183" s="10">
        <f>IF(TRIM(B183&amp;"")="","",IFERROR(INDEX(설정_코드표!$K$2:$K$101,MATCH(TRIM(B183&amp;""),설정_코드표!$J$2:$J$101,0)),"⚠"&amp;TRIM(B183&amp;"")))</f>
        <v/>
      </c>
      <c r="S183" s="10">
        <f>IF(TRIM(K183&amp;"")="","",IFERROR(INDEX(설정_코드표!$K$2:$K$101,MATCH(TRIM(K183&amp;""),설정_코드표!$J$2:$J$101,0)),"⚠"&amp;TRIM(K183&amp;"")))</f>
        <v/>
      </c>
      <c r="T183" s="10">
        <f>IF(TRIM(M183&amp;"")="","",IF(ISNUMBER(MATCH(TRIM(M183&amp;""),설정_코드표!$C$2:$C$11,0)),TRIM(M183&amp;""),"⚠"&amp;TRIM(M183&amp;"")))</f>
        <v/>
      </c>
      <c r="U183" s="10">
        <f>IF(TRIM(L183&amp;"")="","",IFERROR(INDEX(설정_코드표!$G$2:$G$101,MATCH(TRIM(L183&amp;""),설정_코드표!$F$2:$F$101,0)),"⚠"&amp;TRIM(L183&amp;"")))</f>
        <v/>
      </c>
      <c r="V183" s="10">
        <f>IF(AND(ISNUMBER(H183),ISNUMBER(I183)),I183-H183+1,"")</f>
        <v/>
      </c>
      <c r="W183" s="17">
        <f>IF(ISNUMBER(H183),MAX(0,MIN(IF(ISNUMBER(I183),I183,EOMONTH(출력_요약!$B$3,0)),EOMONTH(출력_요약!$B$3,0))-MAX(H183,출력_요약!$B$3)+1),0)</f>
        <v/>
      </c>
      <c r="X183" s="10">
        <f>IF(OR(NOT(ISNUMBER(H183)),Q183=""),"",IF(TODAY()&lt;H183,"파견예정",IF(AND(ISNUMBER(I183),TODAY()&gt;I183),"파견종료","파견중")))</f>
        <v/>
      </c>
      <c r="Y183" s="10">
        <f>IF(OR(Q183="",X183=""),"",Q183&amp;"|"&amp;X183)</f>
        <v/>
      </c>
      <c r="Z183" s="10">
        <f>IF(AND(Q183&lt;&gt;"",W183&gt;0),Q183&amp;"|월","")</f>
        <v/>
      </c>
      <c r="AA183" s="10">
        <f>IF(COUNTA(B183:I183,K183:N183)=0,"",IF(Q183="","등록번호 없음",IF(LEFT(R183,1)="⚠","모병원명 미등록",IF(S183="","파견병원 입력",IF(LEFT(S183,1)="⚠","파견병원명 미등록",IF(LEFT(U183,1)="⚠","파견과목 미등록",IF(OR(T183="",LEFT(T183,1)="⚠"),"파견근거 확인",IF(NOT(AND(ISNUMBER(H183),ISNUMBER(I183))),"날짜 형식/누락",IF(I183&lt;H183,"종료일&lt;시작일","")))))))))</f>
        <v/>
      </c>
      <c r="AB183" s="11">
        <f>IF(ISNUMBER(SEARCH("다기관",TRIM(N183&amp;" "&amp;O183))),IFERROR(DATE(VALUE(MID(TRIM(N183&amp;" "&amp;O183),1,4)),VALUE(MID(TRIM(N183&amp;" "&amp;O183),6,2)),VALUE(MID(TRIM(N183&amp;" "&amp;O183),9,2))),IF(ISNUMBER(H183),H183,"")),"")</f>
        <v/>
      </c>
      <c r="AC183" s="11">
        <f>IF(ISNUMBER(SEARCH("다기관",TRIM(N183&amp;" "&amp;O183))),IFERROR(DATE(VALUE(MID(TRIM(N183&amp;" "&amp;O183),12,4)),VALUE(MID(TRIM(N183&amp;" "&amp;O183),17,2)),VALUE(MID(TRIM(N183&amp;" "&amp;O183),20,2))),IF(ISNUMBER(I183),I183,"")),"")</f>
        <v/>
      </c>
      <c r="AD183" s="17">
        <f>IF(AND(ISNUMBER(AB183),ISNUMBER(AC183)),MAX(0,MIN(AC183,EOMONTH(출력_요약!$B$3,0))-MAX(AB183,출력_요약!$B$3)+1),0)</f>
        <v/>
      </c>
      <c r="AE183" s="10">
        <f>IF(AND(Q183&lt;&gt;"",ISNUMBER(AB183)),Q183&amp;"|다기관","")</f>
        <v/>
      </c>
    </row>
    <row r="184">
      <c r="A184" s="15">
        <f>IF(F184="","",ROW()-3)</f>
        <v/>
      </c>
      <c r="B184" s="5" t="n"/>
      <c r="C184" s="15" t="n"/>
      <c r="D184" s="5" t="n"/>
      <c r="E184" s="15" t="n"/>
      <c r="F184" s="5" t="n"/>
      <c r="G184" s="6" t="n"/>
      <c r="H184" s="16" t="n"/>
      <c r="I184" s="16" t="n"/>
      <c r="J184" s="15">
        <f>IF(AND(ISNUMBER(H184),ISNUMBER(I184)),I184-H184+1,"")</f>
        <v/>
      </c>
      <c r="K184" s="5" t="n"/>
      <c r="L184" s="5" t="n"/>
      <c r="M184" s="5" t="n"/>
      <c r="N184" s="5" t="n"/>
      <c r="O184" s="5" t="n"/>
      <c r="Q184" s="10">
        <f>IF(TRIM(G184&amp;"")="","",TRIM(G184&amp;""))</f>
        <v/>
      </c>
      <c r="R184" s="10">
        <f>IF(TRIM(B184&amp;"")="","",IFERROR(INDEX(설정_코드표!$K$2:$K$101,MATCH(TRIM(B184&amp;""),설정_코드표!$J$2:$J$101,0)),"⚠"&amp;TRIM(B184&amp;"")))</f>
        <v/>
      </c>
      <c r="S184" s="10">
        <f>IF(TRIM(K184&amp;"")="","",IFERROR(INDEX(설정_코드표!$K$2:$K$101,MATCH(TRIM(K184&amp;""),설정_코드표!$J$2:$J$101,0)),"⚠"&amp;TRIM(K184&amp;"")))</f>
        <v/>
      </c>
      <c r="T184" s="10">
        <f>IF(TRIM(M184&amp;"")="","",IF(ISNUMBER(MATCH(TRIM(M184&amp;""),설정_코드표!$C$2:$C$11,0)),TRIM(M184&amp;""),"⚠"&amp;TRIM(M184&amp;"")))</f>
        <v/>
      </c>
      <c r="U184" s="10">
        <f>IF(TRIM(L184&amp;"")="","",IFERROR(INDEX(설정_코드표!$G$2:$G$101,MATCH(TRIM(L184&amp;""),설정_코드표!$F$2:$F$101,0)),"⚠"&amp;TRIM(L184&amp;"")))</f>
        <v/>
      </c>
      <c r="V184" s="10">
        <f>IF(AND(ISNUMBER(H184),ISNUMBER(I184)),I184-H184+1,"")</f>
        <v/>
      </c>
      <c r="W184" s="17">
        <f>IF(ISNUMBER(H184),MAX(0,MIN(IF(ISNUMBER(I184),I184,EOMONTH(출력_요약!$B$3,0)),EOMONTH(출력_요약!$B$3,0))-MAX(H184,출력_요약!$B$3)+1),0)</f>
        <v/>
      </c>
      <c r="X184" s="10">
        <f>IF(OR(NOT(ISNUMBER(H184)),Q184=""),"",IF(TODAY()&lt;H184,"파견예정",IF(AND(ISNUMBER(I184),TODAY()&gt;I184),"파견종료","파견중")))</f>
        <v/>
      </c>
      <c r="Y184" s="10">
        <f>IF(OR(Q184="",X184=""),"",Q184&amp;"|"&amp;X184)</f>
        <v/>
      </c>
      <c r="Z184" s="10">
        <f>IF(AND(Q184&lt;&gt;"",W184&gt;0),Q184&amp;"|월","")</f>
        <v/>
      </c>
      <c r="AA184" s="10">
        <f>IF(COUNTA(B184:I184,K184:N184)=0,"",IF(Q184="","등록번호 없음",IF(LEFT(R184,1)="⚠","모병원명 미등록",IF(S184="","파견병원 입력",IF(LEFT(S184,1)="⚠","파견병원명 미등록",IF(LEFT(U184,1)="⚠","파견과목 미등록",IF(OR(T184="",LEFT(T184,1)="⚠"),"파견근거 확인",IF(NOT(AND(ISNUMBER(H184),ISNUMBER(I184))),"날짜 형식/누락",IF(I184&lt;H184,"종료일&lt;시작일","")))))))))</f>
        <v/>
      </c>
      <c r="AB184" s="11">
        <f>IF(ISNUMBER(SEARCH("다기관",TRIM(N184&amp;" "&amp;O184))),IFERROR(DATE(VALUE(MID(TRIM(N184&amp;" "&amp;O184),1,4)),VALUE(MID(TRIM(N184&amp;" "&amp;O184),6,2)),VALUE(MID(TRIM(N184&amp;" "&amp;O184),9,2))),IF(ISNUMBER(H184),H184,"")),"")</f>
        <v/>
      </c>
      <c r="AC184" s="11">
        <f>IF(ISNUMBER(SEARCH("다기관",TRIM(N184&amp;" "&amp;O184))),IFERROR(DATE(VALUE(MID(TRIM(N184&amp;" "&amp;O184),12,4)),VALUE(MID(TRIM(N184&amp;" "&amp;O184),17,2)),VALUE(MID(TRIM(N184&amp;" "&amp;O184),20,2))),IF(ISNUMBER(I184),I184,"")),"")</f>
        <v/>
      </c>
      <c r="AD184" s="17">
        <f>IF(AND(ISNUMBER(AB184),ISNUMBER(AC184)),MAX(0,MIN(AC184,EOMONTH(출력_요약!$B$3,0))-MAX(AB184,출력_요약!$B$3)+1),0)</f>
        <v/>
      </c>
      <c r="AE184" s="10">
        <f>IF(AND(Q184&lt;&gt;"",ISNUMBER(AB184)),Q184&amp;"|다기관","")</f>
        <v/>
      </c>
    </row>
    <row r="185">
      <c r="A185" s="15">
        <f>IF(F185="","",ROW()-3)</f>
        <v/>
      </c>
      <c r="B185" s="5" t="n"/>
      <c r="C185" s="15" t="n"/>
      <c r="D185" s="5" t="n"/>
      <c r="E185" s="15" t="n"/>
      <c r="F185" s="5" t="n"/>
      <c r="G185" s="6" t="n"/>
      <c r="H185" s="16" t="n"/>
      <c r="I185" s="16" t="n"/>
      <c r="J185" s="15">
        <f>IF(AND(ISNUMBER(H185),ISNUMBER(I185)),I185-H185+1,"")</f>
        <v/>
      </c>
      <c r="K185" s="5" t="n"/>
      <c r="L185" s="5" t="n"/>
      <c r="M185" s="5" t="n"/>
      <c r="N185" s="5" t="n"/>
      <c r="O185" s="5" t="n"/>
      <c r="Q185" s="10">
        <f>IF(TRIM(G185&amp;"")="","",TRIM(G185&amp;""))</f>
        <v/>
      </c>
      <c r="R185" s="10">
        <f>IF(TRIM(B185&amp;"")="","",IFERROR(INDEX(설정_코드표!$K$2:$K$101,MATCH(TRIM(B185&amp;""),설정_코드표!$J$2:$J$101,0)),"⚠"&amp;TRIM(B185&amp;"")))</f>
        <v/>
      </c>
      <c r="S185" s="10">
        <f>IF(TRIM(K185&amp;"")="","",IFERROR(INDEX(설정_코드표!$K$2:$K$101,MATCH(TRIM(K185&amp;""),설정_코드표!$J$2:$J$101,0)),"⚠"&amp;TRIM(K185&amp;"")))</f>
        <v/>
      </c>
      <c r="T185" s="10">
        <f>IF(TRIM(M185&amp;"")="","",IF(ISNUMBER(MATCH(TRIM(M185&amp;""),설정_코드표!$C$2:$C$11,0)),TRIM(M185&amp;""),"⚠"&amp;TRIM(M185&amp;"")))</f>
        <v/>
      </c>
      <c r="U185" s="10">
        <f>IF(TRIM(L185&amp;"")="","",IFERROR(INDEX(설정_코드표!$G$2:$G$101,MATCH(TRIM(L185&amp;""),설정_코드표!$F$2:$F$101,0)),"⚠"&amp;TRIM(L185&amp;"")))</f>
        <v/>
      </c>
      <c r="V185" s="10">
        <f>IF(AND(ISNUMBER(H185),ISNUMBER(I185)),I185-H185+1,"")</f>
        <v/>
      </c>
      <c r="W185" s="17">
        <f>IF(ISNUMBER(H185),MAX(0,MIN(IF(ISNUMBER(I185),I185,EOMONTH(출력_요약!$B$3,0)),EOMONTH(출력_요약!$B$3,0))-MAX(H185,출력_요약!$B$3)+1),0)</f>
        <v/>
      </c>
      <c r="X185" s="10">
        <f>IF(OR(NOT(ISNUMBER(H185)),Q185=""),"",IF(TODAY()&lt;H185,"파견예정",IF(AND(ISNUMBER(I185),TODAY()&gt;I185),"파견종료","파견중")))</f>
        <v/>
      </c>
      <c r="Y185" s="10">
        <f>IF(OR(Q185="",X185=""),"",Q185&amp;"|"&amp;X185)</f>
        <v/>
      </c>
      <c r="Z185" s="10">
        <f>IF(AND(Q185&lt;&gt;"",W185&gt;0),Q185&amp;"|월","")</f>
        <v/>
      </c>
      <c r="AA185" s="10">
        <f>IF(COUNTA(B185:I185,K185:N185)=0,"",IF(Q185="","등록번호 없음",IF(LEFT(R185,1)="⚠","모병원명 미등록",IF(S185="","파견병원 입력",IF(LEFT(S185,1)="⚠","파견병원명 미등록",IF(LEFT(U185,1)="⚠","파견과목 미등록",IF(OR(T185="",LEFT(T185,1)="⚠"),"파견근거 확인",IF(NOT(AND(ISNUMBER(H185),ISNUMBER(I185))),"날짜 형식/누락",IF(I185&lt;H185,"종료일&lt;시작일","")))))))))</f>
        <v/>
      </c>
      <c r="AB185" s="11">
        <f>IF(ISNUMBER(SEARCH("다기관",TRIM(N185&amp;" "&amp;O185))),IFERROR(DATE(VALUE(MID(TRIM(N185&amp;" "&amp;O185),1,4)),VALUE(MID(TRIM(N185&amp;" "&amp;O185),6,2)),VALUE(MID(TRIM(N185&amp;" "&amp;O185),9,2))),IF(ISNUMBER(H185),H185,"")),"")</f>
        <v/>
      </c>
      <c r="AC185" s="11">
        <f>IF(ISNUMBER(SEARCH("다기관",TRIM(N185&amp;" "&amp;O185))),IFERROR(DATE(VALUE(MID(TRIM(N185&amp;" "&amp;O185),12,4)),VALUE(MID(TRIM(N185&amp;" "&amp;O185),17,2)),VALUE(MID(TRIM(N185&amp;" "&amp;O185),20,2))),IF(ISNUMBER(I185),I185,"")),"")</f>
        <v/>
      </c>
      <c r="AD185" s="17">
        <f>IF(AND(ISNUMBER(AB185),ISNUMBER(AC185)),MAX(0,MIN(AC185,EOMONTH(출력_요약!$B$3,0))-MAX(AB185,출력_요약!$B$3)+1),0)</f>
        <v/>
      </c>
      <c r="AE185" s="10">
        <f>IF(AND(Q185&lt;&gt;"",ISNUMBER(AB185)),Q185&amp;"|다기관","")</f>
        <v/>
      </c>
    </row>
    <row r="186">
      <c r="A186" s="15">
        <f>IF(F186="","",ROW()-3)</f>
        <v/>
      </c>
      <c r="B186" s="5" t="n"/>
      <c r="C186" s="15" t="n"/>
      <c r="D186" s="5" t="n"/>
      <c r="E186" s="15" t="n"/>
      <c r="F186" s="5" t="n"/>
      <c r="G186" s="6" t="n"/>
      <c r="H186" s="16" t="n"/>
      <c r="I186" s="16" t="n"/>
      <c r="J186" s="15">
        <f>IF(AND(ISNUMBER(H186),ISNUMBER(I186)),I186-H186+1,"")</f>
        <v/>
      </c>
      <c r="K186" s="5" t="n"/>
      <c r="L186" s="5" t="n"/>
      <c r="M186" s="5" t="n"/>
      <c r="N186" s="5" t="n"/>
      <c r="O186" s="5" t="n"/>
      <c r="Q186" s="10">
        <f>IF(TRIM(G186&amp;"")="","",TRIM(G186&amp;""))</f>
        <v/>
      </c>
      <c r="R186" s="10">
        <f>IF(TRIM(B186&amp;"")="","",IFERROR(INDEX(설정_코드표!$K$2:$K$101,MATCH(TRIM(B186&amp;""),설정_코드표!$J$2:$J$101,0)),"⚠"&amp;TRIM(B186&amp;"")))</f>
        <v/>
      </c>
      <c r="S186" s="10">
        <f>IF(TRIM(K186&amp;"")="","",IFERROR(INDEX(설정_코드표!$K$2:$K$101,MATCH(TRIM(K186&amp;""),설정_코드표!$J$2:$J$101,0)),"⚠"&amp;TRIM(K186&amp;"")))</f>
        <v/>
      </c>
      <c r="T186" s="10">
        <f>IF(TRIM(M186&amp;"")="","",IF(ISNUMBER(MATCH(TRIM(M186&amp;""),설정_코드표!$C$2:$C$11,0)),TRIM(M186&amp;""),"⚠"&amp;TRIM(M186&amp;"")))</f>
        <v/>
      </c>
      <c r="U186" s="10">
        <f>IF(TRIM(L186&amp;"")="","",IFERROR(INDEX(설정_코드표!$G$2:$G$101,MATCH(TRIM(L186&amp;""),설정_코드표!$F$2:$F$101,0)),"⚠"&amp;TRIM(L186&amp;"")))</f>
        <v/>
      </c>
      <c r="V186" s="10">
        <f>IF(AND(ISNUMBER(H186),ISNUMBER(I186)),I186-H186+1,"")</f>
        <v/>
      </c>
      <c r="W186" s="17">
        <f>IF(ISNUMBER(H186),MAX(0,MIN(IF(ISNUMBER(I186),I186,EOMONTH(출력_요약!$B$3,0)),EOMONTH(출력_요약!$B$3,0))-MAX(H186,출력_요약!$B$3)+1),0)</f>
        <v/>
      </c>
      <c r="X186" s="10">
        <f>IF(OR(NOT(ISNUMBER(H186)),Q186=""),"",IF(TODAY()&lt;H186,"파견예정",IF(AND(ISNUMBER(I186),TODAY()&gt;I186),"파견종료","파견중")))</f>
        <v/>
      </c>
      <c r="Y186" s="10">
        <f>IF(OR(Q186="",X186=""),"",Q186&amp;"|"&amp;X186)</f>
        <v/>
      </c>
      <c r="Z186" s="10">
        <f>IF(AND(Q186&lt;&gt;"",W186&gt;0),Q186&amp;"|월","")</f>
        <v/>
      </c>
      <c r="AA186" s="10">
        <f>IF(COUNTA(B186:I186,K186:N186)=0,"",IF(Q186="","등록번호 없음",IF(LEFT(R186,1)="⚠","모병원명 미등록",IF(S186="","파견병원 입력",IF(LEFT(S186,1)="⚠","파견병원명 미등록",IF(LEFT(U186,1)="⚠","파견과목 미등록",IF(OR(T186="",LEFT(T186,1)="⚠"),"파견근거 확인",IF(NOT(AND(ISNUMBER(H186),ISNUMBER(I186))),"날짜 형식/누락",IF(I186&lt;H186,"종료일&lt;시작일","")))))))))</f>
        <v/>
      </c>
      <c r="AB186" s="11">
        <f>IF(ISNUMBER(SEARCH("다기관",TRIM(N186&amp;" "&amp;O186))),IFERROR(DATE(VALUE(MID(TRIM(N186&amp;" "&amp;O186),1,4)),VALUE(MID(TRIM(N186&amp;" "&amp;O186),6,2)),VALUE(MID(TRIM(N186&amp;" "&amp;O186),9,2))),IF(ISNUMBER(H186),H186,"")),"")</f>
        <v/>
      </c>
      <c r="AC186" s="11">
        <f>IF(ISNUMBER(SEARCH("다기관",TRIM(N186&amp;" "&amp;O186))),IFERROR(DATE(VALUE(MID(TRIM(N186&amp;" "&amp;O186),12,4)),VALUE(MID(TRIM(N186&amp;" "&amp;O186),17,2)),VALUE(MID(TRIM(N186&amp;" "&amp;O186),20,2))),IF(ISNUMBER(I186),I186,"")),"")</f>
        <v/>
      </c>
      <c r="AD186" s="17">
        <f>IF(AND(ISNUMBER(AB186),ISNUMBER(AC186)),MAX(0,MIN(AC186,EOMONTH(출력_요약!$B$3,0))-MAX(AB186,출력_요약!$B$3)+1),0)</f>
        <v/>
      </c>
      <c r="AE186" s="10">
        <f>IF(AND(Q186&lt;&gt;"",ISNUMBER(AB186)),Q186&amp;"|다기관","")</f>
        <v/>
      </c>
    </row>
    <row r="187">
      <c r="A187" s="15">
        <f>IF(F187="","",ROW()-3)</f>
        <v/>
      </c>
      <c r="B187" s="5" t="n"/>
      <c r="C187" s="15" t="n"/>
      <c r="D187" s="5" t="n"/>
      <c r="E187" s="15" t="n"/>
      <c r="F187" s="5" t="n"/>
      <c r="G187" s="6" t="n"/>
      <c r="H187" s="16" t="n"/>
      <c r="I187" s="16" t="n"/>
      <c r="J187" s="15">
        <f>IF(AND(ISNUMBER(H187),ISNUMBER(I187)),I187-H187+1,"")</f>
        <v/>
      </c>
      <c r="K187" s="5" t="n"/>
      <c r="L187" s="5" t="n"/>
      <c r="M187" s="5" t="n"/>
      <c r="N187" s="5" t="n"/>
      <c r="O187" s="5" t="n"/>
      <c r="Q187" s="10">
        <f>IF(TRIM(G187&amp;"")="","",TRIM(G187&amp;""))</f>
        <v/>
      </c>
      <c r="R187" s="10">
        <f>IF(TRIM(B187&amp;"")="","",IFERROR(INDEX(설정_코드표!$K$2:$K$101,MATCH(TRIM(B187&amp;""),설정_코드표!$J$2:$J$101,0)),"⚠"&amp;TRIM(B187&amp;"")))</f>
        <v/>
      </c>
      <c r="S187" s="10">
        <f>IF(TRIM(K187&amp;"")="","",IFERROR(INDEX(설정_코드표!$K$2:$K$101,MATCH(TRIM(K187&amp;""),설정_코드표!$J$2:$J$101,0)),"⚠"&amp;TRIM(K187&amp;"")))</f>
        <v/>
      </c>
      <c r="T187" s="10">
        <f>IF(TRIM(M187&amp;"")="","",IF(ISNUMBER(MATCH(TRIM(M187&amp;""),설정_코드표!$C$2:$C$11,0)),TRIM(M187&amp;""),"⚠"&amp;TRIM(M187&amp;"")))</f>
        <v/>
      </c>
      <c r="U187" s="10">
        <f>IF(TRIM(L187&amp;"")="","",IFERROR(INDEX(설정_코드표!$G$2:$G$101,MATCH(TRIM(L187&amp;""),설정_코드표!$F$2:$F$101,0)),"⚠"&amp;TRIM(L187&amp;"")))</f>
        <v/>
      </c>
      <c r="V187" s="10">
        <f>IF(AND(ISNUMBER(H187),ISNUMBER(I187)),I187-H187+1,"")</f>
        <v/>
      </c>
      <c r="W187" s="17">
        <f>IF(ISNUMBER(H187),MAX(0,MIN(IF(ISNUMBER(I187),I187,EOMONTH(출력_요약!$B$3,0)),EOMONTH(출력_요약!$B$3,0))-MAX(H187,출력_요약!$B$3)+1),0)</f>
        <v/>
      </c>
      <c r="X187" s="10">
        <f>IF(OR(NOT(ISNUMBER(H187)),Q187=""),"",IF(TODAY()&lt;H187,"파견예정",IF(AND(ISNUMBER(I187),TODAY()&gt;I187),"파견종료","파견중")))</f>
        <v/>
      </c>
      <c r="Y187" s="10">
        <f>IF(OR(Q187="",X187=""),"",Q187&amp;"|"&amp;X187)</f>
        <v/>
      </c>
      <c r="Z187" s="10">
        <f>IF(AND(Q187&lt;&gt;"",W187&gt;0),Q187&amp;"|월","")</f>
        <v/>
      </c>
      <c r="AA187" s="10">
        <f>IF(COUNTA(B187:I187,K187:N187)=0,"",IF(Q187="","등록번호 없음",IF(LEFT(R187,1)="⚠","모병원명 미등록",IF(S187="","파견병원 입력",IF(LEFT(S187,1)="⚠","파견병원명 미등록",IF(LEFT(U187,1)="⚠","파견과목 미등록",IF(OR(T187="",LEFT(T187,1)="⚠"),"파견근거 확인",IF(NOT(AND(ISNUMBER(H187),ISNUMBER(I187))),"날짜 형식/누락",IF(I187&lt;H187,"종료일&lt;시작일","")))))))))</f>
        <v/>
      </c>
      <c r="AB187" s="11">
        <f>IF(ISNUMBER(SEARCH("다기관",TRIM(N187&amp;" "&amp;O187))),IFERROR(DATE(VALUE(MID(TRIM(N187&amp;" "&amp;O187),1,4)),VALUE(MID(TRIM(N187&amp;" "&amp;O187),6,2)),VALUE(MID(TRIM(N187&amp;" "&amp;O187),9,2))),IF(ISNUMBER(H187),H187,"")),"")</f>
        <v/>
      </c>
      <c r="AC187" s="11">
        <f>IF(ISNUMBER(SEARCH("다기관",TRIM(N187&amp;" "&amp;O187))),IFERROR(DATE(VALUE(MID(TRIM(N187&amp;" "&amp;O187),12,4)),VALUE(MID(TRIM(N187&amp;" "&amp;O187),17,2)),VALUE(MID(TRIM(N187&amp;" "&amp;O187),20,2))),IF(ISNUMBER(I187),I187,"")),"")</f>
        <v/>
      </c>
      <c r="AD187" s="17">
        <f>IF(AND(ISNUMBER(AB187),ISNUMBER(AC187)),MAX(0,MIN(AC187,EOMONTH(출력_요약!$B$3,0))-MAX(AB187,출력_요약!$B$3)+1),0)</f>
        <v/>
      </c>
      <c r="AE187" s="10">
        <f>IF(AND(Q187&lt;&gt;"",ISNUMBER(AB187)),Q187&amp;"|다기관","")</f>
        <v/>
      </c>
    </row>
    <row r="188">
      <c r="A188" s="15">
        <f>IF(F188="","",ROW()-3)</f>
        <v/>
      </c>
      <c r="B188" s="5" t="n"/>
      <c r="C188" s="15" t="n"/>
      <c r="D188" s="5" t="n"/>
      <c r="E188" s="15" t="n"/>
      <c r="F188" s="5" t="n"/>
      <c r="G188" s="6" t="n"/>
      <c r="H188" s="16" t="n"/>
      <c r="I188" s="16" t="n"/>
      <c r="J188" s="15">
        <f>IF(AND(ISNUMBER(H188),ISNUMBER(I188)),I188-H188+1,"")</f>
        <v/>
      </c>
      <c r="K188" s="5" t="n"/>
      <c r="L188" s="5" t="n"/>
      <c r="M188" s="5" t="n"/>
      <c r="N188" s="5" t="n"/>
      <c r="O188" s="5" t="n"/>
      <c r="Q188" s="10">
        <f>IF(TRIM(G188&amp;"")="","",TRIM(G188&amp;""))</f>
        <v/>
      </c>
      <c r="R188" s="10">
        <f>IF(TRIM(B188&amp;"")="","",IFERROR(INDEX(설정_코드표!$K$2:$K$101,MATCH(TRIM(B188&amp;""),설정_코드표!$J$2:$J$101,0)),"⚠"&amp;TRIM(B188&amp;"")))</f>
        <v/>
      </c>
      <c r="S188" s="10">
        <f>IF(TRIM(K188&amp;"")="","",IFERROR(INDEX(설정_코드표!$K$2:$K$101,MATCH(TRIM(K188&amp;""),설정_코드표!$J$2:$J$101,0)),"⚠"&amp;TRIM(K188&amp;"")))</f>
        <v/>
      </c>
      <c r="T188" s="10">
        <f>IF(TRIM(M188&amp;"")="","",IF(ISNUMBER(MATCH(TRIM(M188&amp;""),설정_코드표!$C$2:$C$11,0)),TRIM(M188&amp;""),"⚠"&amp;TRIM(M188&amp;"")))</f>
        <v/>
      </c>
      <c r="U188" s="10">
        <f>IF(TRIM(L188&amp;"")="","",IFERROR(INDEX(설정_코드표!$G$2:$G$101,MATCH(TRIM(L188&amp;""),설정_코드표!$F$2:$F$101,0)),"⚠"&amp;TRIM(L188&amp;"")))</f>
        <v/>
      </c>
      <c r="V188" s="10">
        <f>IF(AND(ISNUMBER(H188),ISNUMBER(I188)),I188-H188+1,"")</f>
        <v/>
      </c>
      <c r="W188" s="17">
        <f>IF(ISNUMBER(H188),MAX(0,MIN(IF(ISNUMBER(I188),I188,EOMONTH(출력_요약!$B$3,0)),EOMONTH(출력_요약!$B$3,0))-MAX(H188,출력_요약!$B$3)+1),0)</f>
        <v/>
      </c>
      <c r="X188" s="10">
        <f>IF(OR(NOT(ISNUMBER(H188)),Q188=""),"",IF(TODAY()&lt;H188,"파견예정",IF(AND(ISNUMBER(I188),TODAY()&gt;I188),"파견종료","파견중")))</f>
        <v/>
      </c>
      <c r="Y188" s="10">
        <f>IF(OR(Q188="",X188=""),"",Q188&amp;"|"&amp;X188)</f>
        <v/>
      </c>
      <c r="Z188" s="10">
        <f>IF(AND(Q188&lt;&gt;"",W188&gt;0),Q188&amp;"|월","")</f>
        <v/>
      </c>
      <c r="AA188" s="10">
        <f>IF(COUNTA(B188:I188,K188:N188)=0,"",IF(Q188="","등록번호 없음",IF(LEFT(R188,1)="⚠","모병원명 미등록",IF(S188="","파견병원 입력",IF(LEFT(S188,1)="⚠","파견병원명 미등록",IF(LEFT(U188,1)="⚠","파견과목 미등록",IF(OR(T188="",LEFT(T188,1)="⚠"),"파견근거 확인",IF(NOT(AND(ISNUMBER(H188),ISNUMBER(I188))),"날짜 형식/누락",IF(I188&lt;H188,"종료일&lt;시작일","")))))))))</f>
        <v/>
      </c>
      <c r="AB188" s="11">
        <f>IF(ISNUMBER(SEARCH("다기관",TRIM(N188&amp;" "&amp;O188))),IFERROR(DATE(VALUE(MID(TRIM(N188&amp;" "&amp;O188),1,4)),VALUE(MID(TRIM(N188&amp;" "&amp;O188),6,2)),VALUE(MID(TRIM(N188&amp;" "&amp;O188),9,2))),IF(ISNUMBER(H188),H188,"")),"")</f>
        <v/>
      </c>
      <c r="AC188" s="11">
        <f>IF(ISNUMBER(SEARCH("다기관",TRIM(N188&amp;" "&amp;O188))),IFERROR(DATE(VALUE(MID(TRIM(N188&amp;" "&amp;O188),12,4)),VALUE(MID(TRIM(N188&amp;" "&amp;O188),17,2)),VALUE(MID(TRIM(N188&amp;" "&amp;O188),20,2))),IF(ISNUMBER(I188),I188,"")),"")</f>
        <v/>
      </c>
      <c r="AD188" s="17">
        <f>IF(AND(ISNUMBER(AB188),ISNUMBER(AC188)),MAX(0,MIN(AC188,EOMONTH(출력_요약!$B$3,0))-MAX(AB188,출력_요약!$B$3)+1),0)</f>
        <v/>
      </c>
      <c r="AE188" s="10">
        <f>IF(AND(Q188&lt;&gt;"",ISNUMBER(AB188)),Q188&amp;"|다기관","")</f>
        <v/>
      </c>
    </row>
    <row r="189">
      <c r="A189" s="15">
        <f>IF(F189="","",ROW()-3)</f>
        <v/>
      </c>
      <c r="B189" s="5" t="n"/>
      <c r="C189" s="15" t="n"/>
      <c r="D189" s="5" t="n"/>
      <c r="E189" s="15" t="n"/>
      <c r="F189" s="5" t="n"/>
      <c r="G189" s="6" t="n"/>
      <c r="H189" s="16" t="n"/>
      <c r="I189" s="16" t="n"/>
      <c r="J189" s="15">
        <f>IF(AND(ISNUMBER(H189),ISNUMBER(I189)),I189-H189+1,"")</f>
        <v/>
      </c>
      <c r="K189" s="5" t="n"/>
      <c r="L189" s="5" t="n"/>
      <c r="M189" s="5" t="n"/>
      <c r="N189" s="5" t="n"/>
      <c r="O189" s="5" t="n"/>
      <c r="Q189" s="10">
        <f>IF(TRIM(G189&amp;"")="","",TRIM(G189&amp;""))</f>
        <v/>
      </c>
      <c r="R189" s="10">
        <f>IF(TRIM(B189&amp;"")="","",IFERROR(INDEX(설정_코드표!$K$2:$K$101,MATCH(TRIM(B189&amp;""),설정_코드표!$J$2:$J$101,0)),"⚠"&amp;TRIM(B189&amp;"")))</f>
        <v/>
      </c>
      <c r="S189" s="10">
        <f>IF(TRIM(K189&amp;"")="","",IFERROR(INDEX(설정_코드표!$K$2:$K$101,MATCH(TRIM(K189&amp;""),설정_코드표!$J$2:$J$101,0)),"⚠"&amp;TRIM(K189&amp;"")))</f>
        <v/>
      </c>
      <c r="T189" s="10">
        <f>IF(TRIM(M189&amp;"")="","",IF(ISNUMBER(MATCH(TRIM(M189&amp;""),설정_코드표!$C$2:$C$11,0)),TRIM(M189&amp;""),"⚠"&amp;TRIM(M189&amp;"")))</f>
        <v/>
      </c>
      <c r="U189" s="10">
        <f>IF(TRIM(L189&amp;"")="","",IFERROR(INDEX(설정_코드표!$G$2:$G$101,MATCH(TRIM(L189&amp;""),설정_코드표!$F$2:$F$101,0)),"⚠"&amp;TRIM(L189&amp;"")))</f>
        <v/>
      </c>
      <c r="V189" s="10">
        <f>IF(AND(ISNUMBER(H189),ISNUMBER(I189)),I189-H189+1,"")</f>
        <v/>
      </c>
      <c r="W189" s="17">
        <f>IF(ISNUMBER(H189),MAX(0,MIN(IF(ISNUMBER(I189),I189,EOMONTH(출력_요약!$B$3,0)),EOMONTH(출력_요약!$B$3,0))-MAX(H189,출력_요약!$B$3)+1),0)</f>
        <v/>
      </c>
      <c r="X189" s="10">
        <f>IF(OR(NOT(ISNUMBER(H189)),Q189=""),"",IF(TODAY()&lt;H189,"파견예정",IF(AND(ISNUMBER(I189),TODAY()&gt;I189),"파견종료","파견중")))</f>
        <v/>
      </c>
      <c r="Y189" s="10">
        <f>IF(OR(Q189="",X189=""),"",Q189&amp;"|"&amp;X189)</f>
        <v/>
      </c>
      <c r="Z189" s="10">
        <f>IF(AND(Q189&lt;&gt;"",W189&gt;0),Q189&amp;"|월","")</f>
        <v/>
      </c>
      <c r="AA189" s="10">
        <f>IF(COUNTA(B189:I189,K189:N189)=0,"",IF(Q189="","등록번호 없음",IF(LEFT(R189,1)="⚠","모병원명 미등록",IF(S189="","파견병원 입력",IF(LEFT(S189,1)="⚠","파견병원명 미등록",IF(LEFT(U189,1)="⚠","파견과목 미등록",IF(OR(T189="",LEFT(T189,1)="⚠"),"파견근거 확인",IF(NOT(AND(ISNUMBER(H189),ISNUMBER(I189))),"날짜 형식/누락",IF(I189&lt;H189,"종료일&lt;시작일","")))))))))</f>
        <v/>
      </c>
      <c r="AB189" s="11">
        <f>IF(ISNUMBER(SEARCH("다기관",TRIM(N189&amp;" "&amp;O189))),IFERROR(DATE(VALUE(MID(TRIM(N189&amp;" "&amp;O189),1,4)),VALUE(MID(TRIM(N189&amp;" "&amp;O189),6,2)),VALUE(MID(TRIM(N189&amp;" "&amp;O189),9,2))),IF(ISNUMBER(H189),H189,"")),"")</f>
        <v/>
      </c>
      <c r="AC189" s="11">
        <f>IF(ISNUMBER(SEARCH("다기관",TRIM(N189&amp;" "&amp;O189))),IFERROR(DATE(VALUE(MID(TRIM(N189&amp;" "&amp;O189),12,4)),VALUE(MID(TRIM(N189&amp;" "&amp;O189),17,2)),VALUE(MID(TRIM(N189&amp;" "&amp;O189),20,2))),IF(ISNUMBER(I189),I189,"")),"")</f>
        <v/>
      </c>
      <c r="AD189" s="17">
        <f>IF(AND(ISNUMBER(AB189),ISNUMBER(AC189)),MAX(0,MIN(AC189,EOMONTH(출력_요약!$B$3,0))-MAX(AB189,출력_요약!$B$3)+1),0)</f>
        <v/>
      </c>
      <c r="AE189" s="10">
        <f>IF(AND(Q189&lt;&gt;"",ISNUMBER(AB189)),Q189&amp;"|다기관","")</f>
        <v/>
      </c>
    </row>
    <row r="190">
      <c r="A190" s="15">
        <f>IF(F190="","",ROW()-3)</f>
        <v/>
      </c>
      <c r="B190" s="5" t="n"/>
      <c r="C190" s="15" t="n"/>
      <c r="D190" s="5" t="n"/>
      <c r="E190" s="15" t="n"/>
      <c r="F190" s="5" t="n"/>
      <c r="G190" s="6" t="n"/>
      <c r="H190" s="16" t="n"/>
      <c r="I190" s="16" t="n"/>
      <c r="J190" s="15">
        <f>IF(AND(ISNUMBER(H190),ISNUMBER(I190)),I190-H190+1,"")</f>
        <v/>
      </c>
      <c r="K190" s="5" t="n"/>
      <c r="L190" s="5" t="n"/>
      <c r="M190" s="5" t="n"/>
      <c r="N190" s="5" t="n"/>
      <c r="O190" s="5" t="n"/>
      <c r="Q190" s="10">
        <f>IF(TRIM(G190&amp;"")="","",TRIM(G190&amp;""))</f>
        <v/>
      </c>
      <c r="R190" s="10">
        <f>IF(TRIM(B190&amp;"")="","",IFERROR(INDEX(설정_코드표!$K$2:$K$101,MATCH(TRIM(B190&amp;""),설정_코드표!$J$2:$J$101,0)),"⚠"&amp;TRIM(B190&amp;"")))</f>
        <v/>
      </c>
      <c r="S190" s="10">
        <f>IF(TRIM(K190&amp;"")="","",IFERROR(INDEX(설정_코드표!$K$2:$K$101,MATCH(TRIM(K190&amp;""),설정_코드표!$J$2:$J$101,0)),"⚠"&amp;TRIM(K190&amp;"")))</f>
        <v/>
      </c>
      <c r="T190" s="10">
        <f>IF(TRIM(M190&amp;"")="","",IF(ISNUMBER(MATCH(TRIM(M190&amp;""),설정_코드표!$C$2:$C$11,0)),TRIM(M190&amp;""),"⚠"&amp;TRIM(M190&amp;"")))</f>
        <v/>
      </c>
      <c r="U190" s="10">
        <f>IF(TRIM(L190&amp;"")="","",IFERROR(INDEX(설정_코드표!$G$2:$G$101,MATCH(TRIM(L190&amp;""),설정_코드표!$F$2:$F$101,0)),"⚠"&amp;TRIM(L190&amp;"")))</f>
        <v/>
      </c>
      <c r="V190" s="10">
        <f>IF(AND(ISNUMBER(H190),ISNUMBER(I190)),I190-H190+1,"")</f>
        <v/>
      </c>
      <c r="W190" s="17">
        <f>IF(ISNUMBER(H190),MAX(0,MIN(IF(ISNUMBER(I190),I190,EOMONTH(출력_요약!$B$3,0)),EOMONTH(출력_요약!$B$3,0))-MAX(H190,출력_요약!$B$3)+1),0)</f>
        <v/>
      </c>
      <c r="X190" s="10">
        <f>IF(OR(NOT(ISNUMBER(H190)),Q190=""),"",IF(TODAY()&lt;H190,"파견예정",IF(AND(ISNUMBER(I190),TODAY()&gt;I190),"파견종료","파견중")))</f>
        <v/>
      </c>
      <c r="Y190" s="10">
        <f>IF(OR(Q190="",X190=""),"",Q190&amp;"|"&amp;X190)</f>
        <v/>
      </c>
      <c r="Z190" s="10">
        <f>IF(AND(Q190&lt;&gt;"",W190&gt;0),Q190&amp;"|월","")</f>
        <v/>
      </c>
      <c r="AA190" s="10">
        <f>IF(COUNTA(B190:I190,K190:N190)=0,"",IF(Q190="","등록번호 없음",IF(LEFT(R190,1)="⚠","모병원명 미등록",IF(S190="","파견병원 입력",IF(LEFT(S190,1)="⚠","파견병원명 미등록",IF(LEFT(U190,1)="⚠","파견과목 미등록",IF(OR(T190="",LEFT(T190,1)="⚠"),"파견근거 확인",IF(NOT(AND(ISNUMBER(H190),ISNUMBER(I190))),"날짜 형식/누락",IF(I190&lt;H190,"종료일&lt;시작일","")))))))))</f>
        <v/>
      </c>
      <c r="AB190" s="11">
        <f>IF(ISNUMBER(SEARCH("다기관",TRIM(N190&amp;" "&amp;O190))),IFERROR(DATE(VALUE(MID(TRIM(N190&amp;" "&amp;O190),1,4)),VALUE(MID(TRIM(N190&amp;" "&amp;O190),6,2)),VALUE(MID(TRIM(N190&amp;" "&amp;O190),9,2))),IF(ISNUMBER(H190),H190,"")),"")</f>
        <v/>
      </c>
      <c r="AC190" s="11">
        <f>IF(ISNUMBER(SEARCH("다기관",TRIM(N190&amp;" "&amp;O190))),IFERROR(DATE(VALUE(MID(TRIM(N190&amp;" "&amp;O190),12,4)),VALUE(MID(TRIM(N190&amp;" "&amp;O190),17,2)),VALUE(MID(TRIM(N190&amp;" "&amp;O190),20,2))),IF(ISNUMBER(I190),I190,"")),"")</f>
        <v/>
      </c>
      <c r="AD190" s="17">
        <f>IF(AND(ISNUMBER(AB190),ISNUMBER(AC190)),MAX(0,MIN(AC190,EOMONTH(출력_요약!$B$3,0))-MAX(AB190,출력_요약!$B$3)+1),0)</f>
        <v/>
      </c>
      <c r="AE190" s="10">
        <f>IF(AND(Q190&lt;&gt;"",ISNUMBER(AB190)),Q190&amp;"|다기관","")</f>
        <v/>
      </c>
    </row>
    <row r="191">
      <c r="A191" s="15">
        <f>IF(F191="","",ROW()-3)</f>
        <v/>
      </c>
      <c r="B191" s="5" t="n"/>
      <c r="C191" s="15" t="n"/>
      <c r="D191" s="5" t="n"/>
      <c r="E191" s="15" t="n"/>
      <c r="F191" s="5" t="n"/>
      <c r="G191" s="6" t="n"/>
      <c r="H191" s="16" t="n"/>
      <c r="I191" s="16" t="n"/>
      <c r="J191" s="15">
        <f>IF(AND(ISNUMBER(H191),ISNUMBER(I191)),I191-H191+1,"")</f>
        <v/>
      </c>
      <c r="K191" s="5" t="n"/>
      <c r="L191" s="5" t="n"/>
      <c r="M191" s="5" t="n"/>
      <c r="N191" s="5" t="n"/>
      <c r="O191" s="5" t="n"/>
      <c r="Q191" s="10">
        <f>IF(TRIM(G191&amp;"")="","",TRIM(G191&amp;""))</f>
        <v/>
      </c>
      <c r="R191" s="10">
        <f>IF(TRIM(B191&amp;"")="","",IFERROR(INDEX(설정_코드표!$K$2:$K$101,MATCH(TRIM(B191&amp;""),설정_코드표!$J$2:$J$101,0)),"⚠"&amp;TRIM(B191&amp;"")))</f>
        <v/>
      </c>
      <c r="S191" s="10">
        <f>IF(TRIM(K191&amp;"")="","",IFERROR(INDEX(설정_코드표!$K$2:$K$101,MATCH(TRIM(K191&amp;""),설정_코드표!$J$2:$J$101,0)),"⚠"&amp;TRIM(K191&amp;"")))</f>
        <v/>
      </c>
      <c r="T191" s="10">
        <f>IF(TRIM(M191&amp;"")="","",IF(ISNUMBER(MATCH(TRIM(M191&amp;""),설정_코드표!$C$2:$C$11,0)),TRIM(M191&amp;""),"⚠"&amp;TRIM(M191&amp;"")))</f>
        <v/>
      </c>
      <c r="U191" s="10">
        <f>IF(TRIM(L191&amp;"")="","",IFERROR(INDEX(설정_코드표!$G$2:$G$101,MATCH(TRIM(L191&amp;""),설정_코드표!$F$2:$F$101,0)),"⚠"&amp;TRIM(L191&amp;"")))</f>
        <v/>
      </c>
      <c r="V191" s="10">
        <f>IF(AND(ISNUMBER(H191),ISNUMBER(I191)),I191-H191+1,"")</f>
        <v/>
      </c>
      <c r="W191" s="17">
        <f>IF(ISNUMBER(H191),MAX(0,MIN(IF(ISNUMBER(I191),I191,EOMONTH(출력_요약!$B$3,0)),EOMONTH(출력_요약!$B$3,0))-MAX(H191,출력_요약!$B$3)+1),0)</f>
        <v/>
      </c>
      <c r="X191" s="10">
        <f>IF(OR(NOT(ISNUMBER(H191)),Q191=""),"",IF(TODAY()&lt;H191,"파견예정",IF(AND(ISNUMBER(I191),TODAY()&gt;I191),"파견종료","파견중")))</f>
        <v/>
      </c>
      <c r="Y191" s="10">
        <f>IF(OR(Q191="",X191=""),"",Q191&amp;"|"&amp;X191)</f>
        <v/>
      </c>
      <c r="Z191" s="10">
        <f>IF(AND(Q191&lt;&gt;"",W191&gt;0),Q191&amp;"|월","")</f>
        <v/>
      </c>
      <c r="AA191" s="10">
        <f>IF(COUNTA(B191:I191,K191:N191)=0,"",IF(Q191="","등록번호 없음",IF(LEFT(R191,1)="⚠","모병원명 미등록",IF(S191="","파견병원 입력",IF(LEFT(S191,1)="⚠","파견병원명 미등록",IF(LEFT(U191,1)="⚠","파견과목 미등록",IF(OR(T191="",LEFT(T191,1)="⚠"),"파견근거 확인",IF(NOT(AND(ISNUMBER(H191),ISNUMBER(I191))),"날짜 형식/누락",IF(I191&lt;H191,"종료일&lt;시작일","")))))))))</f>
        <v/>
      </c>
      <c r="AB191" s="11">
        <f>IF(ISNUMBER(SEARCH("다기관",TRIM(N191&amp;" "&amp;O191))),IFERROR(DATE(VALUE(MID(TRIM(N191&amp;" "&amp;O191),1,4)),VALUE(MID(TRIM(N191&amp;" "&amp;O191),6,2)),VALUE(MID(TRIM(N191&amp;" "&amp;O191),9,2))),IF(ISNUMBER(H191),H191,"")),"")</f>
        <v/>
      </c>
      <c r="AC191" s="11">
        <f>IF(ISNUMBER(SEARCH("다기관",TRIM(N191&amp;" "&amp;O191))),IFERROR(DATE(VALUE(MID(TRIM(N191&amp;" "&amp;O191),12,4)),VALUE(MID(TRIM(N191&amp;" "&amp;O191),17,2)),VALUE(MID(TRIM(N191&amp;" "&amp;O191),20,2))),IF(ISNUMBER(I191),I191,"")),"")</f>
        <v/>
      </c>
      <c r="AD191" s="17">
        <f>IF(AND(ISNUMBER(AB191),ISNUMBER(AC191)),MAX(0,MIN(AC191,EOMONTH(출력_요약!$B$3,0))-MAX(AB191,출력_요약!$B$3)+1),0)</f>
        <v/>
      </c>
      <c r="AE191" s="10">
        <f>IF(AND(Q191&lt;&gt;"",ISNUMBER(AB191)),Q191&amp;"|다기관","")</f>
        <v/>
      </c>
    </row>
    <row r="192">
      <c r="A192" s="15">
        <f>IF(F192="","",ROW()-3)</f>
        <v/>
      </c>
      <c r="B192" s="5" t="n"/>
      <c r="C192" s="15" t="n"/>
      <c r="D192" s="5" t="n"/>
      <c r="E192" s="15" t="n"/>
      <c r="F192" s="5" t="n"/>
      <c r="G192" s="6" t="n"/>
      <c r="H192" s="16" t="n"/>
      <c r="I192" s="16" t="n"/>
      <c r="J192" s="15">
        <f>IF(AND(ISNUMBER(H192),ISNUMBER(I192)),I192-H192+1,"")</f>
        <v/>
      </c>
      <c r="K192" s="5" t="n"/>
      <c r="L192" s="5" t="n"/>
      <c r="M192" s="5" t="n"/>
      <c r="N192" s="5" t="n"/>
      <c r="O192" s="5" t="n"/>
      <c r="Q192" s="10">
        <f>IF(TRIM(G192&amp;"")="","",TRIM(G192&amp;""))</f>
        <v/>
      </c>
      <c r="R192" s="10">
        <f>IF(TRIM(B192&amp;"")="","",IFERROR(INDEX(설정_코드표!$K$2:$K$101,MATCH(TRIM(B192&amp;""),설정_코드표!$J$2:$J$101,0)),"⚠"&amp;TRIM(B192&amp;"")))</f>
        <v/>
      </c>
      <c r="S192" s="10">
        <f>IF(TRIM(K192&amp;"")="","",IFERROR(INDEX(설정_코드표!$K$2:$K$101,MATCH(TRIM(K192&amp;""),설정_코드표!$J$2:$J$101,0)),"⚠"&amp;TRIM(K192&amp;"")))</f>
        <v/>
      </c>
      <c r="T192" s="10">
        <f>IF(TRIM(M192&amp;"")="","",IF(ISNUMBER(MATCH(TRIM(M192&amp;""),설정_코드표!$C$2:$C$11,0)),TRIM(M192&amp;""),"⚠"&amp;TRIM(M192&amp;"")))</f>
        <v/>
      </c>
      <c r="U192" s="10">
        <f>IF(TRIM(L192&amp;"")="","",IFERROR(INDEX(설정_코드표!$G$2:$G$101,MATCH(TRIM(L192&amp;""),설정_코드표!$F$2:$F$101,0)),"⚠"&amp;TRIM(L192&amp;"")))</f>
        <v/>
      </c>
      <c r="V192" s="10">
        <f>IF(AND(ISNUMBER(H192),ISNUMBER(I192)),I192-H192+1,"")</f>
        <v/>
      </c>
      <c r="W192" s="17">
        <f>IF(ISNUMBER(H192),MAX(0,MIN(IF(ISNUMBER(I192),I192,EOMONTH(출력_요약!$B$3,0)),EOMONTH(출력_요약!$B$3,0))-MAX(H192,출력_요약!$B$3)+1),0)</f>
        <v/>
      </c>
      <c r="X192" s="10">
        <f>IF(OR(NOT(ISNUMBER(H192)),Q192=""),"",IF(TODAY()&lt;H192,"파견예정",IF(AND(ISNUMBER(I192),TODAY()&gt;I192),"파견종료","파견중")))</f>
        <v/>
      </c>
      <c r="Y192" s="10">
        <f>IF(OR(Q192="",X192=""),"",Q192&amp;"|"&amp;X192)</f>
        <v/>
      </c>
      <c r="Z192" s="10">
        <f>IF(AND(Q192&lt;&gt;"",W192&gt;0),Q192&amp;"|월","")</f>
        <v/>
      </c>
      <c r="AA192" s="10">
        <f>IF(COUNTA(B192:I192,K192:N192)=0,"",IF(Q192="","등록번호 없음",IF(LEFT(R192,1)="⚠","모병원명 미등록",IF(S192="","파견병원 입력",IF(LEFT(S192,1)="⚠","파견병원명 미등록",IF(LEFT(U192,1)="⚠","파견과목 미등록",IF(OR(T192="",LEFT(T192,1)="⚠"),"파견근거 확인",IF(NOT(AND(ISNUMBER(H192),ISNUMBER(I192))),"날짜 형식/누락",IF(I192&lt;H192,"종료일&lt;시작일","")))))))))</f>
        <v/>
      </c>
      <c r="AB192" s="11">
        <f>IF(ISNUMBER(SEARCH("다기관",TRIM(N192&amp;" "&amp;O192))),IFERROR(DATE(VALUE(MID(TRIM(N192&amp;" "&amp;O192),1,4)),VALUE(MID(TRIM(N192&amp;" "&amp;O192),6,2)),VALUE(MID(TRIM(N192&amp;" "&amp;O192),9,2))),IF(ISNUMBER(H192),H192,"")),"")</f>
        <v/>
      </c>
      <c r="AC192" s="11">
        <f>IF(ISNUMBER(SEARCH("다기관",TRIM(N192&amp;" "&amp;O192))),IFERROR(DATE(VALUE(MID(TRIM(N192&amp;" "&amp;O192),12,4)),VALUE(MID(TRIM(N192&amp;" "&amp;O192),17,2)),VALUE(MID(TRIM(N192&amp;" "&amp;O192),20,2))),IF(ISNUMBER(I192),I192,"")),"")</f>
        <v/>
      </c>
      <c r="AD192" s="17">
        <f>IF(AND(ISNUMBER(AB192),ISNUMBER(AC192)),MAX(0,MIN(AC192,EOMONTH(출력_요약!$B$3,0))-MAX(AB192,출력_요약!$B$3)+1),0)</f>
        <v/>
      </c>
      <c r="AE192" s="10">
        <f>IF(AND(Q192&lt;&gt;"",ISNUMBER(AB192)),Q192&amp;"|다기관","")</f>
        <v/>
      </c>
    </row>
    <row r="193">
      <c r="A193" s="15">
        <f>IF(F193="","",ROW()-3)</f>
        <v/>
      </c>
      <c r="B193" s="5" t="n"/>
      <c r="C193" s="15" t="n"/>
      <c r="D193" s="5" t="n"/>
      <c r="E193" s="15" t="n"/>
      <c r="F193" s="5" t="n"/>
      <c r="G193" s="6" t="n"/>
      <c r="H193" s="16" t="n"/>
      <c r="I193" s="16" t="n"/>
      <c r="J193" s="15">
        <f>IF(AND(ISNUMBER(H193),ISNUMBER(I193)),I193-H193+1,"")</f>
        <v/>
      </c>
      <c r="K193" s="5" t="n"/>
      <c r="L193" s="5" t="n"/>
      <c r="M193" s="5" t="n"/>
      <c r="N193" s="5" t="n"/>
      <c r="O193" s="5" t="n"/>
      <c r="Q193" s="10">
        <f>IF(TRIM(G193&amp;"")="","",TRIM(G193&amp;""))</f>
        <v/>
      </c>
      <c r="R193" s="10">
        <f>IF(TRIM(B193&amp;"")="","",IFERROR(INDEX(설정_코드표!$K$2:$K$101,MATCH(TRIM(B193&amp;""),설정_코드표!$J$2:$J$101,0)),"⚠"&amp;TRIM(B193&amp;"")))</f>
        <v/>
      </c>
      <c r="S193" s="10">
        <f>IF(TRIM(K193&amp;"")="","",IFERROR(INDEX(설정_코드표!$K$2:$K$101,MATCH(TRIM(K193&amp;""),설정_코드표!$J$2:$J$101,0)),"⚠"&amp;TRIM(K193&amp;"")))</f>
        <v/>
      </c>
      <c r="T193" s="10">
        <f>IF(TRIM(M193&amp;"")="","",IF(ISNUMBER(MATCH(TRIM(M193&amp;""),설정_코드표!$C$2:$C$11,0)),TRIM(M193&amp;""),"⚠"&amp;TRIM(M193&amp;"")))</f>
        <v/>
      </c>
      <c r="U193" s="10">
        <f>IF(TRIM(L193&amp;"")="","",IFERROR(INDEX(설정_코드표!$G$2:$G$101,MATCH(TRIM(L193&amp;""),설정_코드표!$F$2:$F$101,0)),"⚠"&amp;TRIM(L193&amp;"")))</f>
        <v/>
      </c>
      <c r="V193" s="10">
        <f>IF(AND(ISNUMBER(H193),ISNUMBER(I193)),I193-H193+1,"")</f>
        <v/>
      </c>
      <c r="W193" s="17">
        <f>IF(ISNUMBER(H193),MAX(0,MIN(IF(ISNUMBER(I193),I193,EOMONTH(출력_요약!$B$3,0)),EOMONTH(출력_요약!$B$3,0))-MAX(H193,출력_요약!$B$3)+1),0)</f>
        <v/>
      </c>
      <c r="X193" s="10">
        <f>IF(OR(NOT(ISNUMBER(H193)),Q193=""),"",IF(TODAY()&lt;H193,"파견예정",IF(AND(ISNUMBER(I193),TODAY()&gt;I193),"파견종료","파견중")))</f>
        <v/>
      </c>
      <c r="Y193" s="10">
        <f>IF(OR(Q193="",X193=""),"",Q193&amp;"|"&amp;X193)</f>
        <v/>
      </c>
      <c r="Z193" s="10">
        <f>IF(AND(Q193&lt;&gt;"",W193&gt;0),Q193&amp;"|월","")</f>
        <v/>
      </c>
      <c r="AA193" s="10">
        <f>IF(COUNTA(B193:I193,K193:N193)=0,"",IF(Q193="","등록번호 없음",IF(LEFT(R193,1)="⚠","모병원명 미등록",IF(S193="","파견병원 입력",IF(LEFT(S193,1)="⚠","파견병원명 미등록",IF(LEFT(U193,1)="⚠","파견과목 미등록",IF(OR(T193="",LEFT(T193,1)="⚠"),"파견근거 확인",IF(NOT(AND(ISNUMBER(H193),ISNUMBER(I193))),"날짜 형식/누락",IF(I193&lt;H193,"종료일&lt;시작일","")))))))))</f>
        <v/>
      </c>
      <c r="AB193" s="11">
        <f>IF(ISNUMBER(SEARCH("다기관",TRIM(N193&amp;" "&amp;O193))),IFERROR(DATE(VALUE(MID(TRIM(N193&amp;" "&amp;O193),1,4)),VALUE(MID(TRIM(N193&amp;" "&amp;O193),6,2)),VALUE(MID(TRIM(N193&amp;" "&amp;O193),9,2))),IF(ISNUMBER(H193),H193,"")),"")</f>
        <v/>
      </c>
      <c r="AC193" s="11">
        <f>IF(ISNUMBER(SEARCH("다기관",TRIM(N193&amp;" "&amp;O193))),IFERROR(DATE(VALUE(MID(TRIM(N193&amp;" "&amp;O193),12,4)),VALUE(MID(TRIM(N193&amp;" "&amp;O193),17,2)),VALUE(MID(TRIM(N193&amp;" "&amp;O193),20,2))),IF(ISNUMBER(I193),I193,"")),"")</f>
        <v/>
      </c>
      <c r="AD193" s="17">
        <f>IF(AND(ISNUMBER(AB193),ISNUMBER(AC193)),MAX(0,MIN(AC193,EOMONTH(출력_요약!$B$3,0))-MAX(AB193,출력_요약!$B$3)+1),0)</f>
        <v/>
      </c>
      <c r="AE193" s="10">
        <f>IF(AND(Q193&lt;&gt;"",ISNUMBER(AB193)),Q193&amp;"|다기관","")</f>
        <v/>
      </c>
    </row>
    <row r="194">
      <c r="A194" s="15">
        <f>IF(F194="","",ROW()-3)</f>
        <v/>
      </c>
      <c r="B194" s="5" t="n"/>
      <c r="C194" s="15" t="n"/>
      <c r="D194" s="5" t="n"/>
      <c r="E194" s="15" t="n"/>
      <c r="F194" s="5" t="n"/>
      <c r="G194" s="6" t="n"/>
      <c r="H194" s="16" t="n"/>
      <c r="I194" s="16" t="n"/>
      <c r="J194" s="15">
        <f>IF(AND(ISNUMBER(H194),ISNUMBER(I194)),I194-H194+1,"")</f>
        <v/>
      </c>
      <c r="K194" s="5" t="n"/>
      <c r="L194" s="5" t="n"/>
      <c r="M194" s="5" t="n"/>
      <c r="N194" s="5" t="n"/>
      <c r="O194" s="5" t="n"/>
      <c r="Q194" s="10">
        <f>IF(TRIM(G194&amp;"")="","",TRIM(G194&amp;""))</f>
        <v/>
      </c>
      <c r="R194" s="10">
        <f>IF(TRIM(B194&amp;"")="","",IFERROR(INDEX(설정_코드표!$K$2:$K$101,MATCH(TRIM(B194&amp;""),설정_코드표!$J$2:$J$101,0)),"⚠"&amp;TRIM(B194&amp;"")))</f>
        <v/>
      </c>
      <c r="S194" s="10">
        <f>IF(TRIM(K194&amp;"")="","",IFERROR(INDEX(설정_코드표!$K$2:$K$101,MATCH(TRIM(K194&amp;""),설정_코드표!$J$2:$J$101,0)),"⚠"&amp;TRIM(K194&amp;"")))</f>
        <v/>
      </c>
      <c r="T194" s="10">
        <f>IF(TRIM(M194&amp;"")="","",IF(ISNUMBER(MATCH(TRIM(M194&amp;""),설정_코드표!$C$2:$C$11,0)),TRIM(M194&amp;""),"⚠"&amp;TRIM(M194&amp;"")))</f>
        <v/>
      </c>
      <c r="U194" s="10">
        <f>IF(TRIM(L194&amp;"")="","",IFERROR(INDEX(설정_코드표!$G$2:$G$101,MATCH(TRIM(L194&amp;""),설정_코드표!$F$2:$F$101,0)),"⚠"&amp;TRIM(L194&amp;"")))</f>
        <v/>
      </c>
      <c r="V194" s="10">
        <f>IF(AND(ISNUMBER(H194),ISNUMBER(I194)),I194-H194+1,"")</f>
        <v/>
      </c>
      <c r="W194" s="17">
        <f>IF(ISNUMBER(H194),MAX(0,MIN(IF(ISNUMBER(I194),I194,EOMONTH(출력_요약!$B$3,0)),EOMONTH(출력_요약!$B$3,0))-MAX(H194,출력_요약!$B$3)+1),0)</f>
        <v/>
      </c>
      <c r="X194" s="10">
        <f>IF(OR(NOT(ISNUMBER(H194)),Q194=""),"",IF(TODAY()&lt;H194,"파견예정",IF(AND(ISNUMBER(I194),TODAY()&gt;I194),"파견종료","파견중")))</f>
        <v/>
      </c>
      <c r="Y194" s="10">
        <f>IF(OR(Q194="",X194=""),"",Q194&amp;"|"&amp;X194)</f>
        <v/>
      </c>
      <c r="Z194" s="10">
        <f>IF(AND(Q194&lt;&gt;"",W194&gt;0),Q194&amp;"|월","")</f>
        <v/>
      </c>
      <c r="AA194" s="10">
        <f>IF(COUNTA(B194:I194,K194:N194)=0,"",IF(Q194="","등록번호 없음",IF(LEFT(R194,1)="⚠","모병원명 미등록",IF(S194="","파견병원 입력",IF(LEFT(S194,1)="⚠","파견병원명 미등록",IF(LEFT(U194,1)="⚠","파견과목 미등록",IF(OR(T194="",LEFT(T194,1)="⚠"),"파견근거 확인",IF(NOT(AND(ISNUMBER(H194),ISNUMBER(I194))),"날짜 형식/누락",IF(I194&lt;H194,"종료일&lt;시작일","")))))))))</f>
        <v/>
      </c>
      <c r="AB194" s="11">
        <f>IF(ISNUMBER(SEARCH("다기관",TRIM(N194&amp;" "&amp;O194))),IFERROR(DATE(VALUE(MID(TRIM(N194&amp;" "&amp;O194),1,4)),VALUE(MID(TRIM(N194&amp;" "&amp;O194),6,2)),VALUE(MID(TRIM(N194&amp;" "&amp;O194),9,2))),IF(ISNUMBER(H194),H194,"")),"")</f>
        <v/>
      </c>
      <c r="AC194" s="11">
        <f>IF(ISNUMBER(SEARCH("다기관",TRIM(N194&amp;" "&amp;O194))),IFERROR(DATE(VALUE(MID(TRIM(N194&amp;" "&amp;O194),12,4)),VALUE(MID(TRIM(N194&amp;" "&amp;O194),17,2)),VALUE(MID(TRIM(N194&amp;" "&amp;O194),20,2))),IF(ISNUMBER(I194),I194,"")),"")</f>
        <v/>
      </c>
      <c r="AD194" s="17">
        <f>IF(AND(ISNUMBER(AB194),ISNUMBER(AC194)),MAX(0,MIN(AC194,EOMONTH(출력_요약!$B$3,0))-MAX(AB194,출력_요약!$B$3)+1),0)</f>
        <v/>
      </c>
      <c r="AE194" s="10">
        <f>IF(AND(Q194&lt;&gt;"",ISNUMBER(AB194)),Q194&amp;"|다기관","")</f>
        <v/>
      </c>
    </row>
    <row r="195">
      <c r="A195" s="15">
        <f>IF(F195="","",ROW()-3)</f>
        <v/>
      </c>
      <c r="B195" s="5" t="n"/>
      <c r="C195" s="15" t="n"/>
      <c r="D195" s="5" t="n"/>
      <c r="E195" s="15" t="n"/>
      <c r="F195" s="5" t="n"/>
      <c r="G195" s="6" t="n"/>
      <c r="H195" s="16" t="n"/>
      <c r="I195" s="16" t="n"/>
      <c r="J195" s="15">
        <f>IF(AND(ISNUMBER(H195),ISNUMBER(I195)),I195-H195+1,"")</f>
        <v/>
      </c>
      <c r="K195" s="5" t="n"/>
      <c r="L195" s="5" t="n"/>
      <c r="M195" s="5" t="n"/>
      <c r="N195" s="5" t="n"/>
      <c r="O195" s="5" t="n"/>
      <c r="Q195" s="10">
        <f>IF(TRIM(G195&amp;"")="","",TRIM(G195&amp;""))</f>
        <v/>
      </c>
      <c r="R195" s="10">
        <f>IF(TRIM(B195&amp;"")="","",IFERROR(INDEX(설정_코드표!$K$2:$K$101,MATCH(TRIM(B195&amp;""),설정_코드표!$J$2:$J$101,0)),"⚠"&amp;TRIM(B195&amp;"")))</f>
        <v/>
      </c>
      <c r="S195" s="10">
        <f>IF(TRIM(K195&amp;"")="","",IFERROR(INDEX(설정_코드표!$K$2:$K$101,MATCH(TRIM(K195&amp;""),설정_코드표!$J$2:$J$101,0)),"⚠"&amp;TRIM(K195&amp;"")))</f>
        <v/>
      </c>
      <c r="T195" s="10">
        <f>IF(TRIM(M195&amp;"")="","",IF(ISNUMBER(MATCH(TRIM(M195&amp;""),설정_코드표!$C$2:$C$11,0)),TRIM(M195&amp;""),"⚠"&amp;TRIM(M195&amp;"")))</f>
        <v/>
      </c>
      <c r="U195" s="10">
        <f>IF(TRIM(L195&amp;"")="","",IFERROR(INDEX(설정_코드표!$G$2:$G$101,MATCH(TRIM(L195&amp;""),설정_코드표!$F$2:$F$101,0)),"⚠"&amp;TRIM(L195&amp;"")))</f>
        <v/>
      </c>
      <c r="V195" s="10">
        <f>IF(AND(ISNUMBER(H195),ISNUMBER(I195)),I195-H195+1,"")</f>
        <v/>
      </c>
      <c r="W195" s="17">
        <f>IF(ISNUMBER(H195),MAX(0,MIN(IF(ISNUMBER(I195),I195,EOMONTH(출력_요약!$B$3,0)),EOMONTH(출력_요약!$B$3,0))-MAX(H195,출력_요약!$B$3)+1),0)</f>
        <v/>
      </c>
      <c r="X195" s="10">
        <f>IF(OR(NOT(ISNUMBER(H195)),Q195=""),"",IF(TODAY()&lt;H195,"파견예정",IF(AND(ISNUMBER(I195),TODAY()&gt;I195),"파견종료","파견중")))</f>
        <v/>
      </c>
      <c r="Y195" s="10">
        <f>IF(OR(Q195="",X195=""),"",Q195&amp;"|"&amp;X195)</f>
        <v/>
      </c>
      <c r="Z195" s="10">
        <f>IF(AND(Q195&lt;&gt;"",W195&gt;0),Q195&amp;"|월","")</f>
        <v/>
      </c>
      <c r="AA195" s="10">
        <f>IF(COUNTA(B195:I195,K195:N195)=0,"",IF(Q195="","등록번호 없음",IF(LEFT(R195,1)="⚠","모병원명 미등록",IF(S195="","파견병원 입력",IF(LEFT(S195,1)="⚠","파견병원명 미등록",IF(LEFT(U195,1)="⚠","파견과목 미등록",IF(OR(T195="",LEFT(T195,1)="⚠"),"파견근거 확인",IF(NOT(AND(ISNUMBER(H195),ISNUMBER(I195))),"날짜 형식/누락",IF(I195&lt;H195,"종료일&lt;시작일","")))))))))</f>
        <v/>
      </c>
      <c r="AB195" s="11">
        <f>IF(ISNUMBER(SEARCH("다기관",TRIM(N195&amp;" "&amp;O195))),IFERROR(DATE(VALUE(MID(TRIM(N195&amp;" "&amp;O195),1,4)),VALUE(MID(TRIM(N195&amp;" "&amp;O195),6,2)),VALUE(MID(TRIM(N195&amp;" "&amp;O195),9,2))),IF(ISNUMBER(H195),H195,"")),"")</f>
        <v/>
      </c>
      <c r="AC195" s="11">
        <f>IF(ISNUMBER(SEARCH("다기관",TRIM(N195&amp;" "&amp;O195))),IFERROR(DATE(VALUE(MID(TRIM(N195&amp;" "&amp;O195),12,4)),VALUE(MID(TRIM(N195&amp;" "&amp;O195),17,2)),VALUE(MID(TRIM(N195&amp;" "&amp;O195),20,2))),IF(ISNUMBER(I195),I195,"")),"")</f>
        <v/>
      </c>
      <c r="AD195" s="17">
        <f>IF(AND(ISNUMBER(AB195),ISNUMBER(AC195)),MAX(0,MIN(AC195,EOMONTH(출력_요약!$B$3,0))-MAX(AB195,출력_요약!$B$3)+1),0)</f>
        <v/>
      </c>
      <c r="AE195" s="10">
        <f>IF(AND(Q195&lt;&gt;"",ISNUMBER(AB195)),Q195&amp;"|다기관","")</f>
        <v/>
      </c>
    </row>
    <row r="196">
      <c r="A196" s="15">
        <f>IF(F196="","",ROW()-3)</f>
        <v/>
      </c>
      <c r="B196" s="5" t="n"/>
      <c r="C196" s="15" t="n"/>
      <c r="D196" s="5" t="n"/>
      <c r="E196" s="15" t="n"/>
      <c r="F196" s="5" t="n"/>
      <c r="G196" s="6" t="n"/>
      <c r="H196" s="16" t="n"/>
      <c r="I196" s="16" t="n"/>
      <c r="J196" s="15">
        <f>IF(AND(ISNUMBER(H196),ISNUMBER(I196)),I196-H196+1,"")</f>
        <v/>
      </c>
      <c r="K196" s="5" t="n"/>
      <c r="L196" s="5" t="n"/>
      <c r="M196" s="5" t="n"/>
      <c r="N196" s="5" t="n"/>
      <c r="O196" s="5" t="n"/>
      <c r="Q196" s="10">
        <f>IF(TRIM(G196&amp;"")="","",TRIM(G196&amp;""))</f>
        <v/>
      </c>
      <c r="R196" s="10">
        <f>IF(TRIM(B196&amp;"")="","",IFERROR(INDEX(설정_코드표!$K$2:$K$101,MATCH(TRIM(B196&amp;""),설정_코드표!$J$2:$J$101,0)),"⚠"&amp;TRIM(B196&amp;"")))</f>
        <v/>
      </c>
      <c r="S196" s="10">
        <f>IF(TRIM(K196&amp;"")="","",IFERROR(INDEX(설정_코드표!$K$2:$K$101,MATCH(TRIM(K196&amp;""),설정_코드표!$J$2:$J$101,0)),"⚠"&amp;TRIM(K196&amp;"")))</f>
        <v/>
      </c>
      <c r="T196" s="10">
        <f>IF(TRIM(M196&amp;"")="","",IF(ISNUMBER(MATCH(TRIM(M196&amp;""),설정_코드표!$C$2:$C$11,0)),TRIM(M196&amp;""),"⚠"&amp;TRIM(M196&amp;"")))</f>
        <v/>
      </c>
      <c r="U196" s="10">
        <f>IF(TRIM(L196&amp;"")="","",IFERROR(INDEX(설정_코드표!$G$2:$G$101,MATCH(TRIM(L196&amp;""),설정_코드표!$F$2:$F$101,0)),"⚠"&amp;TRIM(L196&amp;"")))</f>
        <v/>
      </c>
      <c r="V196" s="10">
        <f>IF(AND(ISNUMBER(H196),ISNUMBER(I196)),I196-H196+1,"")</f>
        <v/>
      </c>
      <c r="W196" s="17">
        <f>IF(ISNUMBER(H196),MAX(0,MIN(IF(ISNUMBER(I196),I196,EOMONTH(출력_요약!$B$3,0)),EOMONTH(출력_요약!$B$3,0))-MAX(H196,출력_요약!$B$3)+1),0)</f>
        <v/>
      </c>
      <c r="X196" s="10">
        <f>IF(OR(NOT(ISNUMBER(H196)),Q196=""),"",IF(TODAY()&lt;H196,"파견예정",IF(AND(ISNUMBER(I196),TODAY()&gt;I196),"파견종료","파견중")))</f>
        <v/>
      </c>
      <c r="Y196" s="10">
        <f>IF(OR(Q196="",X196=""),"",Q196&amp;"|"&amp;X196)</f>
        <v/>
      </c>
      <c r="Z196" s="10">
        <f>IF(AND(Q196&lt;&gt;"",W196&gt;0),Q196&amp;"|월","")</f>
        <v/>
      </c>
      <c r="AA196" s="10">
        <f>IF(COUNTA(B196:I196,K196:N196)=0,"",IF(Q196="","등록번호 없음",IF(LEFT(R196,1)="⚠","모병원명 미등록",IF(S196="","파견병원 입력",IF(LEFT(S196,1)="⚠","파견병원명 미등록",IF(LEFT(U196,1)="⚠","파견과목 미등록",IF(OR(T196="",LEFT(T196,1)="⚠"),"파견근거 확인",IF(NOT(AND(ISNUMBER(H196),ISNUMBER(I196))),"날짜 형식/누락",IF(I196&lt;H196,"종료일&lt;시작일","")))))))))</f>
        <v/>
      </c>
      <c r="AB196" s="11">
        <f>IF(ISNUMBER(SEARCH("다기관",TRIM(N196&amp;" "&amp;O196))),IFERROR(DATE(VALUE(MID(TRIM(N196&amp;" "&amp;O196),1,4)),VALUE(MID(TRIM(N196&amp;" "&amp;O196),6,2)),VALUE(MID(TRIM(N196&amp;" "&amp;O196),9,2))),IF(ISNUMBER(H196),H196,"")),"")</f>
        <v/>
      </c>
      <c r="AC196" s="11">
        <f>IF(ISNUMBER(SEARCH("다기관",TRIM(N196&amp;" "&amp;O196))),IFERROR(DATE(VALUE(MID(TRIM(N196&amp;" "&amp;O196),12,4)),VALUE(MID(TRIM(N196&amp;" "&amp;O196),17,2)),VALUE(MID(TRIM(N196&amp;" "&amp;O196),20,2))),IF(ISNUMBER(I196),I196,"")),"")</f>
        <v/>
      </c>
      <c r="AD196" s="17">
        <f>IF(AND(ISNUMBER(AB196),ISNUMBER(AC196)),MAX(0,MIN(AC196,EOMONTH(출력_요약!$B$3,0))-MAX(AB196,출력_요약!$B$3)+1),0)</f>
        <v/>
      </c>
      <c r="AE196" s="10">
        <f>IF(AND(Q196&lt;&gt;"",ISNUMBER(AB196)),Q196&amp;"|다기관","")</f>
        <v/>
      </c>
    </row>
    <row r="197">
      <c r="A197" s="15">
        <f>IF(F197="","",ROW()-3)</f>
        <v/>
      </c>
      <c r="B197" s="5" t="n"/>
      <c r="C197" s="15" t="n"/>
      <c r="D197" s="5" t="n"/>
      <c r="E197" s="15" t="n"/>
      <c r="F197" s="5" t="n"/>
      <c r="G197" s="6" t="n"/>
      <c r="H197" s="16" t="n"/>
      <c r="I197" s="16" t="n"/>
      <c r="J197" s="15">
        <f>IF(AND(ISNUMBER(H197),ISNUMBER(I197)),I197-H197+1,"")</f>
        <v/>
      </c>
      <c r="K197" s="5" t="n"/>
      <c r="L197" s="5" t="n"/>
      <c r="M197" s="5" t="n"/>
      <c r="N197" s="5" t="n"/>
      <c r="O197" s="5" t="n"/>
      <c r="Q197" s="10">
        <f>IF(TRIM(G197&amp;"")="","",TRIM(G197&amp;""))</f>
        <v/>
      </c>
      <c r="R197" s="10">
        <f>IF(TRIM(B197&amp;"")="","",IFERROR(INDEX(설정_코드표!$K$2:$K$101,MATCH(TRIM(B197&amp;""),설정_코드표!$J$2:$J$101,0)),"⚠"&amp;TRIM(B197&amp;"")))</f>
        <v/>
      </c>
      <c r="S197" s="10">
        <f>IF(TRIM(K197&amp;"")="","",IFERROR(INDEX(설정_코드표!$K$2:$K$101,MATCH(TRIM(K197&amp;""),설정_코드표!$J$2:$J$101,0)),"⚠"&amp;TRIM(K197&amp;"")))</f>
        <v/>
      </c>
      <c r="T197" s="10">
        <f>IF(TRIM(M197&amp;"")="","",IF(ISNUMBER(MATCH(TRIM(M197&amp;""),설정_코드표!$C$2:$C$11,0)),TRIM(M197&amp;""),"⚠"&amp;TRIM(M197&amp;"")))</f>
        <v/>
      </c>
      <c r="U197" s="10">
        <f>IF(TRIM(L197&amp;"")="","",IFERROR(INDEX(설정_코드표!$G$2:$G$101,MATCH(TRIM(L197&amp;""),설정_코드표!$F$2:$F$101,0)),"⚠"&amp;TRIM(L197&amp;"")))</f>
        <v/>
      </c>
      <c r="V197" s="10">
        <f>IF(AND(ISNUMBER(H197),ISNUMBER(I197)),I197-H197+1,"")</f>
        <v/>
      </c>
      <c r="W197" s="17">
        <f>IF(ISNUMBER(H197),MAX(0,MIN(IF(ISNUMBER(I197),I197,EOMONTH(출력_요약!$B$3,0)),EOMONTH(출력_요약!$B$3,0))-MAX(H197,출력_요약!$B$3)+1),0)</f>
        <v/>
      </c>
      <c r="X197" s="10">
        <f>IF(OR(NOT(ISNUMBER(H197)),Q197=""),"",IF(TODAY()&lt;H197,"파견예정",IF(AND(ISNUMBER(I197),TODAY()&gt;I197),"파견종료","파견중")))</f>
        <v/>
      </c>
      <c r="Y197" s="10">
        <f>IF(OR(Q197="",X197=""),"",Q197&amp;"|"&amp;X197)</f>
        <v/>
      </c>
      <c r="Z197" s="10">
        <f>IF(AND(Q197&lt;&gt;"",W197&gt;0),Q197&amp;"|월","")</f>
        <v/>
      </c>
      <c r="AA197" s="10">
        <f>IF(COUNTA(B197:I197,K197:N197)=0,"",IF(Q197="","등록번호 없음",IF(LEFT(R197,1)="⚠","모병원명 미등록",IF(S197="","파견병원 입력",IF(LEFT(S197,1)="⚠","파견병원명 미등록",IF(LEFT(U197,1)="⚠","파견과목 미등록",IF(OR(T197="",LEFT(T197,1)="⚠"),"파견근거 확인",IF(NOT(AND(ISNUMBER(H197),ISNUMBER(I197))),"날짜 형식/누락",IF(I197&lt;H197,"종료일&lt;시작일","")))))))))</f>
        <v/>
      </c>
      <c r="AB197" s="11">
        <f>IF(ISNUMBER(SEARCH("다기관",TRIM(N197&amp;" "&amp;O197))),IFERROR(DATE(VALUE(MID(TRIM(N197&amp;" "&amp;O197),1,4)),VALUE(MID(TRIM(N197&amp;" "&amp;O197),6,2)),VALUE(MID(TRIM(N197&amp;" "&amp;O197),9,2))),IF(ISNUMBER(H197),H197,"")),"")</f>
        <v/>
      </c>
      <c r="AC197" s="11">
        <f>IF(ISNUMBER(SEARCH("다기관",TRIM(N197&amp;" "&amp;O197))),IFERROR(DATE(VALUE(MID(TRIM(N197&amp;" "&amp;O197),12,4)),VALUE(MID(TRIM(N197&amp;" "&amp;O197),17,2)),VALUE(MID(TRIM(N197&amp;" "&amp;O197),20,2))),IF(ISNUMBER(I197),I197,"")),"")</f>
        <v/>
      </c>
      <c r="AD197" s="17">
        <f>IF(AND(ISNUMBER(AB197),ISNUMBER(AC197)),MAX(0,MIN(AC197,EOMONTH(출력_요약!$B$3,0))-MAX(AB197,출력_요약!$B$3)+1),0)</f>
        <v/>
      </c>
      <c r="AE197" s="10">
        <f>IF(AND(Q197&lt;&gt;"",ISNUMBER(AB197)),Q197&amp;"|다기관","")</f>
        <v/>
      </c>
    </row>
    <row r="198">
      <c r="A198" s="15">
        <f>IF(F198="","",ROW()-3)</f>
        <v/>
      </c>
      <c r="B198" s="5" t="n"/>
      <c r="C198" s="15" t="n"/>
      <c r="D198" s="5" t="n"/>
      <c r="E198" s="15" t="n"/>
      <c r="F198" s="5" t="n"/>
      <c r="G198" s="6" t="n"/>
      <c r="H198" s="16" t="n"/>
      <c r="I198" s="16" t="n"/>
      <c r="J198" s="15">
        <f>IF(AND(ISNUMBER(H198),ISNUMBER(I198)),I198-H198+1,"")</f>
        <v/>
      </c>
      <c r="K198" s="5" t="n"/>
      <c r="L198" s="5" t="n"/>
      <c r="M198" s="5" t="n"/>
      <c r="N198" s="5" t="n"/>
      <c r="O198" s="5" t="n"/>
      <c r="Q198" s="10">
        <f>IF(TRIM(G198&amp;"")="","",TRIM(G198&amp;""))</f>
        <v/>
      </c>
      <c r="R198" s="10">
        <f>IF(TRIM(B198&amp;"")="","",IFERROR(INDEX(설정_코드표!$K$2:$K$101,MATCH(TRIM(B198&amp;""),설정_코드표!$J$2:$J$101,0)),"⚠"&amp;TRIM(B198&amp;"")))</f>
        <v/>
      </c>
      <c r="S198" s="10">
        <f>IF(TRIM(K198&amp;"")="","",IFERROR(INDEX(설정_코드표!$K$2:$K$101,MATCH(TRIM(K198&amp;""),설정_코드표!$J$2:$J$101,0)),"⚠"&amp;TRIM(K198&amp;"")))</f>
        <v/>
      </c>
      <c r="T198" s="10">
        <f>IF(TRIM(M198&amp;"")="","",IF(ISNUMBER(MATCH(TRIM(M198&amp;""),설정_코드표!$C$2:$C$11,0)),TRIM(M198&amp;""),"⚠"&amp;TRIM(M198&amp;"")))</f>
        <v/>
      </c>
      <c r="U198" s="10">
        <f>IF(TRIM(L198&amp;"")="","",IFERROR(INDEX(설정_코드표!$G$2:$G$101,MATCH(TRIM(L198&amp;""),설정_코드표!$F$2:$F$101,0)),"⚠"&amp;TRIM(L198&amp;"")))</f>
        <v/>
      </c>
      <c r="V198" s="10">
        <f>IF(AND(ISNUMBER(H198),ISNUMBER(I198)),I198-H198+1,"")</f>
        <v/>
      </c>
      <c r="W198" s="17">
        <f>IF(ISNUMBER(H198),MAX(0,MIN(IF(ISNUMBER(I198),I198,EOMONTH(출력_요약!$B$3,0)),EOMONTH(출력_요약!$B$3,0))-MAX(H198,출력_요약!$B$3)+1),0)</f>
        <v/>
      </c>
      <c r="X198" s="10">
        <f>IF(OR(NOT(ISNUMBER(H198)),Q198=""),"",IF(TODAY()&lt;H198,"파견예정",IF(AND(ISNUMBER(I198),TODAY()&gt;I198),"파견종료","파견중")))</f>
        <v/>
      </c>
      <c r="Y198" s="10">
        <f>IF(OR(Q198="",X198=""),"",Q198&amp;"|"&amp;X198)</f>
        <v/>
      </c>
      <c r="Z198" s="10">
        <f>IF(AND(Q198&lt;&gt;"",W198&gt;0),Q198&amp;"|월","")</f>
        <v/>
      </c>
      <c r="AA198" s="10">
        <f>IF(COUNTA(B198:I198,K198:N198)=0,"",IF(Q198="","등록번호 없음",IF(LEFT(R198,1)="⚠","모병원명 미등록",IF(S198="","파견병원 입력",IF(LEFT(S198,1)="⚠","파견병원명 미등록",IF(LEFT(U198,1)="⚠","파견과목 미등록",IF(OR(T198="",LEFT(T198,1)="⚠"),"파견근거 확인",IF(NOT(AND(ISNUMBER(H198),ISNUMBER(I198))),"날짜 형식/누락",IF(I198&lt;H198,"종료일&lt;시작일","")))))))))</f>
        <v/>
      </c>
      <c r="AB198" s="11">
        <f>IF(ISNUMBER(SEARCH("다기관",TRIM(N198&amp;" "&amp;O198))),IFERROR(DATE(VALUE(MID(TRIM(N198&amp;" "&amp;O198),1,4)),VALUE(MID(TRIM(N198&amp;" "&amp;O198),6,2)),VALUE(MID(TRIM(N198&amp;" "&amp;O198),9,2))),IF(ISNUMBER(H198),H198,"")),"")</f>
        <v/>
      </c>
      <c r="AC198" s="11">
        <f>IF(ISNUMBER(SEARCH("다기관",TRIM(N198&amp;" "&amp;O198))),IFERROR(DATE(VALUE(MID(TRIM(N198&amp;" "&amp;O198),12,4)),VALUE(MID(TRIM(N198&amp;" "&amp;O198),17,2)),VALUE(MID(TRIM(N198&amp;" "&amp;O198),20,2))),IF(ISNUMBER(I198),I198,"")),"")</f>
        <v/>
      </c>
      <c r="AD198" s="17">
        <f>IF(AND(ISNUMBER(AB198),ISNUMBER(AC198)),MAX(0,MIN(AC198,EOMONTH(출력_요약!$B$3,0))-MAX(AB198,출력_요약!$B$3)+1),0)</f>
        <v/>
      </c>
      <c r="AE198" s="10">
        <f>IF(AND(Q198&lt;&gt;"",ISNUMBER(AB198)),Q198&amp;"|다기관","")</f>
        <v/>
      </c>
    </row>
    <row r="199">
      <c r="A199" s="15">
        <f>IF(F199="","",ROW()-3)</f>
        <v/>
      </c>
      <c r="B199" s="5" t="n"/>
      <c r="C199" s="15" t="n"/>
      <c r="D199" s="5" t="n"/>
      <c r="E199" s="15" t="n"/>
      <c r="F199" s="5" t="n"/>
      <c r="G199" s="6" t="n"/>
      <c r="H199" s="16" t="n"/>
      <c r="I199" s="16" t="n"/>
      <c r="J199" s="15">
        <f>IF(AND(ISNUMBER(H199),ISNUMBER(I199)),I199-H199+1,"")</f>
        <v/>
      </c>
      <c r="K199" s="5" t="n"/>
      <c r="L199" s="5" t="n"/>
      <c r="M199" s="5" t="n"/>
      <c r="N199" s="5" t="n"/>
      <c r="O199" s="5" t="n"/>
      <c r="Q199" s="10">
        <f>IF(TRIM(G199&amp;"")="","",TRIM(G199&amp;""))</f>
        <v/>
      </c>
      <c r="R199" s="10">
        <f>IF(TRIM(B199&amp;"")="","",IFERROR(INDEX(설정_코드표!$K$2:$K$101,MATCH(TRIM(B199&amp;""),설정_코드표!$J$2:$J$101,0)),"⚠"&amp;TRIM(B199&amp;"")))</f>
        <v/>
      </c>
      <c r="S199" s="10">
        <f>IF(TRIM(K199&amp;"")="","",IFERROR(INDEX(설정_코드표!$K$2:$K$101,MATCH(TRIM(K199&amp;""),설정_코드표!$J$2:$J$101,0)),"⚠"&amp;TRIM(K199&amp;"")))</f>
        <v/>
      </c>
      <c r="T199" s="10">
        <f>IF(TRIM(M199&amp;"")="","",IF(ISNUMBER(MATCH(TRIM(M199&amp;""),설정_코드표!$C$2:$C$11,0)),TRIM(M199&amp;""),"⚠"&amp;TRIM(M199&amp;"")))</f>
        <v/>
      </c>
      <c r="U199" s="10">
        <f>IF(TRIM(L199&amp;"")="","",IFERROR(INDEX(설정_코드표!$G$2:$G$101,MATCH(TRIM(L199&amp;""),설정_코드표!$F$2:$F$101,0)),"⚠"&amp;TRIM(L199&amp;"")))</f>
        <v/>
      </c>
      <c r="V199" s="10">
        <f>IF(AND(ISNUMBER(H199),ISNUMBER(I199)),I199-H199+1,"")</f>
        <v/>
      </c>
      <c r="W199" s="17">
        <f>IF(ISNUMBER(H199),MAX(0,MIN(IF(ISNUMBER(I199),I199,EOMONTH(출력_요약!$B$3,0)),EOMONTH(출력_요약!$B$3,0))-MAX(H199,출력_요약!$B$3)+1),0)</f>
        <v/>
      </c>
      <c r="X199" s="10">
        <f>IF(OR(NOT(ISNUMBER(H199)),Q199=""),"",IF(TODAY()&lt;H199,"파견예정",IF(AND(ISNUMBER(I199),TODAY()&gt;I199),"파견종료","파견중")))</f>
        <v/>
      </c>
      <c r="Y199" s="10">
        <f>IF(OR(Q199="",X199=""),"",Q199&amp;"|"&amp;X199)</f>
        <v/>
      </c>
      <c r="Z199" s="10">
        <f>IF(AND(Q199&lt;&gt;"",W199&gt;0),Q199&amp;"|월","")</f>
        <v/>
      </c>
      <c r="AA199" s="10">
        <f>IF(COUNTA(B199:I199,K199:N199)=0,"",IF(Q199="","등록번호 없음",IF(LEFT(R199,1)="⚠","모병원명 미등록",IF(S199="","파견병원 입력",IF(LEFT(S199,1)="⚠","파견병원명 미등록",IF(LEFT(U199,1)="⚠","파견과목 미등록",IF(OR(T199="",LEFT(T199,1)="⚠"),"파견근거 확인",IF(NOT(AND(ISNUMBER(H199),ISNUMBER(I199))),"날짜 형식/누락",IF(I199&lt;H199,"종료일&lt;시작일","")))))))))</f>
        <v/>
      </c>
      <c r="AB199" s="11">
        <f>IF(ISNUMBER(SEARCH("다기관",TRIM(N199&amp;" "&amp;O199))),IFERROR(DATE(VALUE(MID(TRIM(N199&amp;" "&amp;O199),1,4)),VALUE(MID(TRIM(N199&amp;" "&amp;O199),6,2)),VALUE(MID(TRIM(N199&amp;" "&amp;O199),9,2))),IF(ISNUMBER(H199),H199,"")),"")</f>
        <v/>
      </c>
      <c r="AC199" s="11">
        <f>IF(ISNUMBER(SEARCH("다기관",TRIM(N199&amp;" "&amp;O199))),IFERROR(DATE(VALUE(MID(TRIM(N199&amp;" "&amp;O199),12,4)),VALUE(MID(TRIM(N199&amp;" "&amp;O199),17,2)),VALUE(MID(TRIM(N199&amp;" "&amp;O199),20,2))),IF(ISNUMBER(I199),I199,"")),"")</f>
        <v/>
      </c>
      <c r="AD199" s="17">
        <f>IF(AND(ISNUMBER(AB199),ISNUMBER(AC199)),MAX(0,MIN(AC199,EOMONTH(출력_요약!$B$3,0))-MAX(AB199,출력_요약!$B$3)+1),0)</f>
        <v/>
      </c>
      <c r="AE199" s="10">
        <f>IF(AND(Q199&lt;&gt;"",ISNUMBER(AB199)),Q199&amp;"|다기관","")</f>
        <v/>
      </c>
    </row>
    <row r="200">
      <c r="A200" s="15">
        <f>IF(F200="","",ROW()-3)</f>
        <v/>
      </c>
      <c r="B200" s="5" t="n"/>
      <c r="C200" s="15" t="n"/>
      <c r="D200" s="5" t="n"/>
      <c r="E200" s="15" t="n"/>
      <c r="F200" s="5" t="n"/>
      <c r="G200" s="6" t="n"/>
      <c r="H200" s="16" t="n"/>
      <c r="I200" s="16" t="n"/>
      <c r="J200" s="15">
        <f>IF(AND(ISNUMBER(H200),ISNUMBER(I200)),I200-H200+1,"")</f>
        <v/>
      </c>
      <c r="K200" s="5" t="n"/>
      <c r="L200" s="5" t="n"/>
      <c r="M200" s="5" t="n"/>
      <c r="N200" s="5" t="n"/>
      <c r="O200" s="5" t="n"/>
      <c r="Q200" s="10">
        <f>IF(TRIM(G200&amp;"")="","",TRIM(G200&amp;""))</f>
        <v/>
      </c>
      <c r="R200" s="10">
        <f>IF(TRIM(B200&amp;"")="","",IFERROR(INDEX(설정_코드표!$K$2:$K$101,MATCH(TRIM(B200&amp;""),설정_코드표!$J$2:$J$101,0)),"⚠"&amp;TRIM(B200&amp;"")))</f>
        <v/>
      </c>
      <c r="S200" s="10">
        <f>IF(TRIM(K200&amp;"")="","",IFERROR(INDEX(설정_코드표!$K$2:$K$101,MATCH(TRIM(K200&amp;""),설정_코드표!$J$2:$J$101,0)),"⚠"&amp;TRIM(K200&amp;"")))</f>
        <v/>
      </c>
      <c r="T200" s="10">
        <f>IF(TRIM(M200&amp;"")="","",IF(ISNUMBER(MATCH(TRIM(M200&amp;""),설정_코드표!$C$2:$C$11,0)),TRIM(M200&amp;""),"⚠"&amp;TRIM(M200&amp;"")))</f>
        <v/>
      </c>
      <c r="U200" s="10">
        <f>IF(TRIM(L200&amp;"")="","",IFERROR(INDEX(설정_코드표!$G$2:$G$101,MATCH(TRIM(L200&amp;""),설정_코드표!$F$2:$F$101,0)),"⚠"&amp;TRIM(L200&amp;"")))</f>
        <v/>
      </c>
      <c r="V200" s="10">
        <f>IF(AND(ISNUMBER(H200),ISNUMBER(I200)),I200-H200+1,"")</f>
        <v/>
      </c>
      <c r="W200" s="17">
        <f>IF(ISNUMBER(H200),MAX(0,MIN(IF(ISNUMBER(I200),I200,EOMONTH(출력_요약!$B$3,0)),EOMONTH(출력_요약!$B$3,0))-MAX(H200,출력_요약!$B$3)+1),0)</f>
        <v/>
      </c>
      <c r="X200" s="10">
        <f>IF(OR(NOT(ISNUMBER(H200)),Q200=""),"",IF(TODAY()&lt;H200,"파견예정",IF(AND(ISNUMBER(I200),TODAY()&gt;I200),"파견종료","파견중")))</f>
        <v/>
      </c>
      <c r="Y200" s="10">
        <f>IF(OR(Q200="",X200=""),"",Q200&amp;"|"&amp;X200)</f>
        <v/>
      </c>
      <c r="Z200" s="10">
        <f>IF(AND(Q200&lt;&gt;"",W200&gt;0),Q200&amp;"|월","")</f>
        <v/>
      </c>
      <c r="AA200" s="10">
        <f>IF(COUNTA(B200:I200,K200:N200)=0,"",IF(Q200="","등록번호 없음",IF(LEFT(R200,1)="⚠","모병원명 미등록",IF(S200="","파견병원 입력",IF(LEFT(S200,1)="⚠","파견병원명 미등록",IF(LEFT(U200,1)="⚠","파견과목 미등록",IF(OR(T200="",LEFT(T200,1)="⚠"),"파견근거 확인",IF(NOT(AND(ISNUMBER(H200),ISNUMBER(I200))),"날짜 형식/누락",IF(I200&lt;H200,"종료일&lt;시작일","")))))))))</f>
        <v/>
      </c>
      <c r="AB200" s="11">
        <f>IF(ISNUMBER(SEARCH("다기관",TRIM(N200&amp;" "&amp;O200))),IFERROR(DATE(VALUE(MID(TRIM(N200&amp;" "&amp;O200),1,4)),VALUE(MID(TRIM(N200&amp;" "&amp;O200),6,2)),VALUE(MID(TRIM(N200&amp;" "&amp;O200),9,2))),IF(ISNUMBER(H200),H200,"")),"")</f>
        <v/>
      </c>
      <c r="AC200" s="11">
        <f>IF(ISNUMBER(SEARCH("다기관",TRIM(N200&amp;" "&amp;O200))),IFERROR(DATE(VALUE(MID(TRIM(N200&amp;" "&amp;O200),12,4)),VALUE(MID(TRIM(N200&amp;" "&amp;O200),17,2)),VALUE(MID(TRIM(N200&amp;" "&amp;O200),20,2))),IF(ISNUMBER(I200),I200,"")),"")</f>
        <v/>
      </c>
      <c r="AD200" s="17">
        <f>IF(AND(ISNUMBER(AB200),ISNUMBER(AC200)),MAX(0,MIN(AC200,EOMONTH(출력_요약!$B$3,0))-MAX(AB200,출력_요약!$B$3)+1),0)</f>
        <v/>
      </c>
      <c r="AE200" s="10">
        <f>IF(AND(Q200&lt;&gt;"",ISNUMBER(AB200)),Q200&amp;"|다기관","")</f>
        <v/>
      </c>
    </row>
    <row r="201">
      <c r="A201" s="15">
        <f>IF(F201="","",ROW()-3)</f>
        <v/>
      </c>
      <c r="B201" s="5" t="n"/>
      <c r="C201" s="15" t="n"/>
      <c r="D201" s="5" t="n"/>
      <c r="E201" s="15" t="n"/>
      <c r="F201" s="5" t="n"/>
      <c r="G201" s="6" t="n"/>
      <c r="H201" s="16" t="n"/>
      <c r="I201" s="16" t="n"/>
      <c r="J201" s="15">
        <f>IF(AND(ISNUMBER(H201),ISNUMBER(I201)),I201-H201+1,"")</f>
        <v/>
      </c>
      <c r="K201" s="5" t="n"/>
      <c r="L201" s="5" t="n"/>
      <c r="M201" s="5" t="n"/>
      <c r="N201" s="5" t="n"/>
      <c r="O201" s="5" t="n"/>
      <c r="Q201" s="10">
        <f>IF(TRIM(G201&amp;"")="","",TRIM(G201&amp;""))</f>
        <v/>
      </c>
      <c r="R201" s="10">
        <f>IF(TRIM(B201&amp;"")="","",IFERROR(INDEX(설정_코드표!$K$2:$K$101,MATCH(TRIM(B201&amp;""),설정_코드표!$J$2:$J$101,0)),"⚠"&amp;TRIM(B201&amp;"")))</f>
        <v/>
      </c>
      <c r="S201" s="10">
        <f>IF(TRIM(K201&amp;"")="","",IFERROR(INDEX(설정_코드표!$K$2:$K$101,MATCH(TRIM(K201&amp;""),설정_코드표!$J$2:$J$101,0)),"⚠"&amp;TRIM(K201&amp;"")))</f>
        <v/>
      </c>
      <c r="T201" s="10">
        <f>IF(TRIM(M201&amp;"")="","",IF(ISNUMBER(MATCH(TRIM(M201&amp;""),설정_코드표!$C$2:$C$11,0)),TRIM(M201&amp;""),"⚠"&amp;TRIM(M201&amp;"")))</f>
        <v/>
      </c>
      <c r="U201" s="10">
        <f>IF(TRIM(L201&amp;"")="","",IFERROR(INDEX(설정_코드표!$G$2:$G$101,MATCH(TRIM(L201&amp;""),설정_코드표!$F$2:$F$101,0)),"⚠"&amp;TRIM(L201&amp;"")))</f>
        <v/>
      </c>
      <c r="V201" s="10">
        <f>IF(AND(ISNUMBER(H201),ISNUMBER(I201)),I201-H201+1,"")</f>
        <v/>
      </c>
      <c r="W201" s="17">
        <f>IF(ISNUMBER(H201),MAX(0,MIN(IF(ISNUMBER(I201),I201,EOMONTH(출력_요약!$B$3,0)),EOMONTH(출력_요약!$B$3,0))-MAX(H201,출력_요약!$B$3)+1),0)</f>
        <v/>
      </c>
      <c r="X201" s="10">
        <f>IF(OR(NOT(ISNUMBER(H201)),Q201=""),"",IF(TODAY()&lt;H201,"파견예정",IF(AND(ISNUMBER(I201),TODAY()&gt;I201),"파견종료","파견중")))</f>
        <v/>
      </c>
      <c r="Y201" s="10">
        <f>IF(OR(Q201="",X201=""),"",Q201&amp;"|"&amp;X201)</f>
        <v/>
      </c>
      <c r="Z201" s="10">
        <f>IF(AND(Q201&lt;&gt;"",W201&gt;0),Q201&amp;"|월","")</f>
        <v/>
      </c>
      <c r="AA201" s="10">
        <f>IF(COUNTA(B201:I201,K201:N201)=0,"",IF(Q201="","등록번호 없음",IF(LEFT(R201,1)="⚠","모병원명 미등록",IF(S201="","파견병원 입력",IF(LEFT(S201,1)="⚠","파견병원명 미등록",IF(LEFT(U201,1)="⚠","파견과목 미등록",IF(OR(T201="",LEFT(T201,1)="⚠"),"파견근거 확인",IF(NOT(AND(ISNUMBER(H201),ISNUMBER(I201))),"날짜 형식/누락",IF(I201&lt;H201,"종료일&lt;시작일","")))))))))</f>
        <v/>
      </c>
      <c r="AB201" s="11">
        <f>IF(ISNUMBER(SEARCH("다기관",TRIM(N201&amp;" "&amp;O201))),IFERROR(DATE(VALUE(MID(TRIM(N201&amp;" "&amp;O201),1,4)),VALUE(MID(TRIM(N201&amp;" "&amp;O201),6,2)),VALUE(MID(TRIM(N201&amp;" "&amp;O201),9,2))),IF(ISNUMBER(H201),H201,"")),"")</f>
        <v/>
      </c>
      <c r="AC201" s="11">
        <f>IF(ISNUMBER(SEARCH("다기관",TRIM(N201&amp;" "&amp;O201))),IFERROR(DATE(VALUE(MID(TRIM(N201&amp;" "&amp;O201),12,4)),VALUE(MID(TRIM(N201&amp;" "&amp;O201),17,2)),VALUE(MID(TRIM(N201&amp;" "&amp;O201),20,2))),IF(ISNUMBER(I201),I201,"")),"")</f>
        <v/>
      </c>
      <c r="AD201" s="17">
        <f>IF(AND(ISNUMBER(AB201),ISNUMBER(AC201)),MAX(0,MIN(AC201,EOMONTH(출력_요약!$B$3,0))-MAX(AB201,출력_요약!$B$3)+1),0)</f>
        <v/>
      </c>
      <c r="AE201" s="10">
        <f>IF(AND(Q201&lt;&gt;"",ISNUMBER(AB201)),Q201&amp;"|다기관","")</f>
        <v/>
      </c>
    </row>
    <row r="202">
      <c r="A202" s="15">
        <f>IF(F202="","",ROW()-3)</f>
        <v/>
      </c>
      <c r="B202" s="5" t="n"/>
      <c r="C202" s="15" t="n"/>
      <c r="D202" s="5" t="n"/>
      <c r="E202" s="15" t="n"/>
      <c r="F202" s="5" t="n"/>
      <c r="G202" s="6" t="n"/>
      <c r="H202" s="16" t="n"/>
      <c r="I202" s="16" t="n"/>
      <c r="J202" s="15">
        <f>IF(AND(ISNUMBER(H202),ISNUMBER(I202)),I202-H202+1,"")</f>
        <v/>
      </c>
      <c r="K202" s="5" t="n"/>
      <c r="L202" s="5" t="n"/>
      <c r="M202" s="5" t="n"/>
      <c r="N202" s="5" t="n"/>
      <c r="O202" s="5" t="n"/>
      <c r="Q202" s="10">
        <f>IF(TRIM(G202&amp;"")="","",TRIM(G202&amp;""))</f>
        <v/>
      </c>
      <c r="R202" s="10">
        <f>IF(TRIM(B202&amp;"")="","",IFERROR(INDEX(설정_코드표!$K$2:$K$101,MATCH(TRIM(B202&amp;""),설정_코드표!$J$2:$J$101,0)),"⚠"&amp;TRIM(B202&amp;"")))</f>
        <v/>
      </c>
      <c r="S202" s="10">
        <f>IF(TRIM(K202&amp;"")="","",IFERROR(INDEX(설정_코드표!$K$2:$K$101,MATCH(TRIM(K202&amp;""),설정_코드표!$J$2:$J$101,0)),"⚠"&amp;TRIM(K202&amp;"")))</f>
        <v/>
      </c>
      <c r="T202" s="10">
        <f>IF(TRIM(M202&amp;"")="","",IF(ISNUMBER(MATCH(TRIM(M202&amp;""),설정_코드표!$C$2:$C$11,0)),TRIM(M202&amp;""),"⚠"&amp;TRIM(M202&amp;"")))</f>
        <v/>
      </c>
      <c r="U202" s="10">
        <f>IF(TRIM(L202&amp;"")="","",IFERROR(INDEX(설정_코드표!$G$2:$G$101,MATCH(TRIM(L202&amp;""),설정_코드표!$F$2:$F$101,0)),"⚠"&amp;TRIM(L202&amp;"")))</f>
        <v/>
      </c>
      <c r="V202" s="10">
        <f>IF(AND(ISNUMBER(H202),ISNUMBER(I202)),I202-H202+1,"")</f>
        <v/>
      </c>
      <c r="W202" s="17">
        <f>IF(ISNUMBER(H202),MAX(0,MIN(IF(ISNUMBER(I202),I202,EOMONTH(출력_요약!$B$3,0)),EOMONTH(출력_요약!$B$3,0))-MAX(H202,출력_요약!$B$3)+1),0)</f>
        <v/>
      </c>
      <c r="X202" s="10">
        <f>IF(OR(NOT(ISNUMBER(H202)),Q202=""),"",IF(TODAY()&lt;H202,"파견예정",IF(AND(ISNUMBER(I202),TODAY()&gt;I202),"파견종료","파견중")))</f>
        <v/>
      </c>
      <c r="Y202" s="10">
        <f>IF(OR(Q202="",X202=""),"",Q202&amp;"|"&amp;X202)</f>
        <v/>
      </c>
      <c r="Z202" s="10">
        <f>IF(AND(Q202&lt;&gt;"",W202&gt;0),Q202&amp;"|월","")</f>
        <v/>
      </c>
      <c r="AA202" s="10">
        <f>IF(COUNTA(B202:I202,K202:N202)=0,"",IF(Q202="","등록번호 없음",IF(LEFT(R202,1)="⚠","모병원명 미등록",IF(S202="","파견병원 입력",IF(LEFT(S202,1)="⚠","파견병원명 미등록",IF(LEFT(U202,1)="⚠","파견과목 미등록",IF(OR(T202="",LEFT(T202,1)="⚠"),"파견근거 확인",IF(NOT(AND(ISNUMBER(H202),ISNUMBER(I202))),"날짜 형식/누락",IF(I202&lt;H202,"종료일&lt;시작일","")))))))))</f>
        <v/>
      </c>
      <c r="AB202" s="11">
        <f>IF(ISNUMBER(SEARCH("다기관",TRIM(N202&amp;" "&amp;O202))),IFERROR(DATE(VALUE(MID(TRIM(N202&amp;" "&amp;O202),1,4)),VALUE(MID(TRIM(N202&amp;" "&amp;O202),6,2)),VALUE(MID(TRIM(N202&amp;" "&amp;O202),9,2))),IF(ISNUMBER(H202),H202,"")),"")</f>
        <v/>
      </c>
      <c r="AC202" s="11">
        <f>IF(ISNUMBER(SEARCH("다기관",TRIM(N202&amp;" "&amp;O202))),IFERROR(DATE(VALUE(MID(TRIM(N202&amp;" "&amp;O202),12,4)),VALUE(MID(TRIM(N202&amp;" "&amp;O202),17,2)),VALUE(MID(TRIM(N202&amp;" "&amp;O202),20,2))),IF(ISNUMBER(I202),I202,"")),"")</f>
        <v/>
      </c>
      <c r="AD202" s="17">
        <f>IF(AND(ISNUMBER(AB202),ISNUMBER(AC202)),MAX(0,MIN(AC202,EOMONTH(출력_요약!$B$3,0))-MAX(AB202,출력_요약!$B$3)+1),0)</f>
        <v/>
      </c>
      <c r="AE202" s="10">
        <f>IF(AND(Q202&lt;&gt;"",ISNUMBER(AB202)),Q202&amp;"|다기관","")</f>
        <v/>
      </c>
    </row>
    <row r="203">
      <c r="A203" s="15">
        <f>IF(F203="","",ROW()-3)</f>
        <v/>
      </c>
      <c r="B203" s="5" t="n"/>
      <c r="C203" s="15" t="n"/>
      <c r="D203" s="5" t="n"/>
      <c r="E203" s="15" t="n"/>
      <c r="F203" s="5" t="n"/>
      <c r="G203" s="6" t="n"/>
      <c r="H203" s="16" t="n"/>
      <c r="I203" s="16" t="n"/>
      <c r="J203" s="15">
        <f>IF(AND(ISNUMBER(H203),ISNUMBER(I203)),I203-H203+1,"")</f>
        <v/>
      </c>
      <c r="K203" s="5" t="n"/>
      <c r="L203" s="5" t="n"/>
      <c r="M203" s="5" t="n"/>
      <c r="N203" s="5" t="n"/>
      <c r="O203" s="5" t="n"/>
      <c r="Q203" s="10">
        <f>IF(TRIM(G203&amp;"")="","",TRIM(G203&amp;""))</f>
        <v/>
      </c>
      <c r="R203" s="10">
        <f>IF(TRIM(B203&amp;"")="","",IFERROR(INDEX(설정_코드표!$K$2:$K$101,MATCH(TRIM(B203&amp;""),설정_코드표!$J$2:$J$101,0)),"⚠"&amp;TRIM(B203&amp;"")))</f>
        <v/>
      </c>
      <c r="S203" s="10">
        <f>IF(TRIM(K203&amp;"")="","",IFERROR(INDEX(설정_코드표!$K$2:$K$101,MATCH(TRIM(K203&amp;""),설정_코드표!$J$2:$J$101,0)),"⚠"&amp;TRIM(K203&amp;"")))</f>
        <v/>
      </c>
      <c r="T203" s="10">
        <f>IF(TRIM(M203&amp;"")="","",IF(ISNUMBER(MATCH(TRIM(M203&amp;""),설정_코드표!$C$2:$C$11,0)),TRIM(M203&amp;""),"⚠"&amp;TRIM(M203&amp;"")))</f>
        <v/>
      </c>
      <c r="U203" s="10">
        <f>IF(TRIM(L203&amp;"")="","",IFERROR(INDEX(설정_코드표!$G$2:$G$101,MATCH(TRIM(L203&amp;""),설정_코드표!$F$2:$F$101,0)),"⚠"&amp;TRIM(L203&amp;"")))</f>
        <v/>
      </c>
      <c r="V203" s="10">
        <f>IF(AND(ISNUMBER(H203),ISNUMBER(I203)),I203-H203+1,"")</f>
        <v/>
      </c>
      <c r="W203" s="17">
        <f>IF(ISNUMBER(H203),MAX(0,MIN(IF(ISNUMBER(I203),I203,EOMONTH(출력_요약!$B$3,0)),EOMONTH(출력_요약!$B$3,0))-MAX(H203,출력_요약!$B$3)+1),0)</f>
        <v/>
      </c>
      <c r="X203" s="10">
        <f>IF(OR(NOT(ISNUMBER(H203)),Q203=""),"",IF(TODAY()&lt;H203,"파견예정",IF(AND(ISNUMBER(I203),TODAY()&gt;I203),"파견종료","파견중")))</f>
        <v/>
      </c>
      <c r="Y203" s="10">
        <f>IF(OR(Q203="",X203=""),"",Q203&amp;"|"&amp;X203)</f>
        <v/>
      </c>
      <c r="Z203" s="10">
        <f>IF(AND(Q203&lt;&gt;"",W203&gt;0),Q203&amp;"|월","")</f>
        <v/>
      </c>
      <c r="AA203" s="10">
        <f>IF(COUNTA(B203:I203,K203:N203)=0,"",IF(Q203="","등록번호 없음",IF(LEFT(R203,1)="⚠","모병원명 미등록",IF(S203="","파견병원 입력",IF(LEFT(S203,1)="⚠","파견병원명 미등록",IF(LEFT(U203,1)="⚠","파견과목 미등록",IF(OR(T203="",LEFT(T203,1)="⚠"),"파견근거 확인",IF(NOT(AND(ISNUMBER(H203),ISNUMBER(I203))),"날짜 형식/누락",IF(I203&lt;H203,"종료일&lt;시작일","")))))))))</f>
        <v/>
      </c>
      <c r="AB203" s="11">
        <f>IF(ISNUMBER(SEARCH("다기관",TRIM(N203&amp;" "&amp;O203))),IFERROR(DATE(VALUE(MID(TRIM(N203&amp;" "&amp;O203),1,4)),VALUE(MID(TRIM(N203&amp;" "&amp;O203),6,2)),VALUE(MID(TRIM(N203&amp;" "&amp;O203),9,2))),IF(ISNUMBER(H203),H203,"")),"")</f>
        <v/>
      </c>
      <c r="AC203" s="11">
        <f>IF(ISNUMBER(SEARCH("다기관",TRIM(N203&amp;" "&amp;O203))),IFERROR(DATE(VALUE(MID(TRIM(N203&amp;" "&amp;O203),12,4)),VALUE(MID(TRIM(N203&amp;" "&amp;O203),17,2)),VALUE(MID(TRIM(N203&amp;" "&amp;O203),20,2))),IF(ISNUMBER(I203),I203,"")),"")</f>
        <v/>
      </c>
      <c r="AD203" s="17">
        <f>IF(AND(ISNUMBER(AB203),ISNUMBER(AC203)),MAX(0,MIN(AC203,EOMONTH(출력_요약!$B$3,0))-MAX(AB203,출력_요약!$B$3)+1),0)</f>
        <v/>
      </c>
      <c r="AE203" s="10">
        <f>IF(AND(Q203&lt;&gt;"",ISNUMBER(AB203)),Q203&amp;"|다기관","")</f>
        <v/>
      </c>
    </row>
    <row r="204">
      <c r="A204" s="15">
        <f>IF(F204="","",ROW()-3)</f>
        <v/>
      </c>
      <c r="B204" s="5" t="n"/>
      <c r="C204" s="15" t="n"/>
      <c r="D204" s="5" t="n"/>
      <c r="E204" s="15" t="n"/>
      <c r="F204" s="5" t="n"/>
      <c r="G204" s="6" t="n"/>
      <c r="H204" s="16" t="n"/>
      <c r="I204" s="16" t="n"/>
      <c r="J204" s="15">
        <f>IF(AND(ISNUMBER(H204),ISNUMBER(I204)),I204-H204+1,"")</f>
        <v/>
      </c>
      <c r="K204" s="5" t="n"/>
      <c r="L204" s="5" t="n"/>
      <c r="M204" s="5" t="n"/>
      <c r="N204" s="5" t="n"/>
      <c r="O204" s="5" t="n"/>
      <c r="Q204" s="10">
        <f>IF(TRIM(G204&amp;"")="","",TRIM(G204&amp;""))</f>
        <v/>
      </c>
      <c r="R204" s="10">
        <f>IF(TRIM(B204&amp;"")="","",IFERROR(INDEX(설정_코드표!$K$2:$K$101,MATCH(TRIM(B204&amp;""),설정_코드표!$J$2:$J$101,0)),"⚠"&amp;TRIM(B204&amp;"")))</f>
        <v/>
      </c>
      <c r="S204" s="10">
        <f>IF(TRIM(K204&amp;"")="","",IFERROR(INDEX(설정_코드표!$K$2:$K$101,MATCH(TRIM(K204&amp;""),설정_코드표!$J$2:$J$101,0)),"⚠"&amp;TRIM(K204&amp;"")))</f>
        <v/>
      </c>
      <c r="T204" s="10">
        <f>IF(TRIM(M204&amp;"")="","",IF(ISNUMBER(MATCH(TRIM(M204&amp;""),설정_코드표!$C$2:$C$11,0)),TRIM(M204&amp;""),"⚠"&amp;TRIM(M204&amp;"")))</f>
        <v/>
      </c>
      <c r="U204" s="10">
        <f>IF(TRIM(L204&amp;"")="","",IFERROR(INDEX(설정_코드표!$G$2:$G$101,MATCH(TRIM(L204&amp;""),설정_코드표!$F$2:$F$101,0)),"⚠"&amp;TRIM(L204&amp;"")))</f>
        <v/>
      </c>
      <c r="V204" s="10">
        <f>IF(AND(ISNUMBER(H204),ISNUMBER(I204)),I204-H204+1,"")</f>
        <v/>
      </c>
      <c r="W204" s="17">
        <f>IF(ISNUMBER(H204),MAX(0,MIN(IF(ISNUMBER(I204),I204,EOMONTH(출력_요약!$B$3,0)),EOMONTH(출력_요약!$B$3,0))-MAX(H204,출력_요약!$B$3)+1),0)</f>
        <v/>
      </c>
      <c r="X204" s="10">
        <f>IF(OR(NOT(ISNUMBER(H204)),Q204=""),"",IF(TODAY()&lt;H204,"파견예정",IF(AND(ISNUMBER(I204),TODAY()&gt;I204),"파견종료","파견중")))</f>
        <v/>
      </c>
      <c r="Y204" s="10">
        <f>IF(OR(Q204="",X204=""),"",Q204&amp;"|"&amp;X204)</f>
        <v/>
      </c>
      <c r="Z204" s="10">
        <f>IF(AND(Q204&lt;&gt;"",W204&gt;0),Q204&amp;"|월","")</f>
        <v/>
      </c>
      <c r="AA204" s="10">
        <f>IF(COUNTA(B204:I204,K204:N204)=0,"",IF(Q204="","등록번호 없음",IF(LEFT(R204,1)="⚠","모병원명 미등록",IF(S204="","파견병원 입력",IF(LEFT(S204,1)="⚠","파견병원명 미등록",IF(LEFT(U204,1)="⚠","파견과목 미등록",IF(OR(T204="",LEFT(T204,1)="⚠"),"파견근거 확인",IF(NOT(AND(ISNUMBER(H204),ISNUMBER(I204))),"날짜 형식/누락",IF(I204&lt;H204,"종료일&lt;시작일","")))))))))</f>
        <v/>
      </c>
      <c r="AB204" s="11">
        <f>IF(ISNUMBER(SEARCH("다기관",TRIM(N204&amp;" "&amp;O204))),IFERROR(DATE(VALUE(MID(TRIM(N204&amp;" "&amp;O204),1,4)),VALUE(MID(TRIM(N204&amp;" "&amp;O204),6,2)),VALUE(MID(TRIM(N204&amp;" "&amp;O204),9,2))),IF(ISNUMBER(H204),H204,"")),"")</f>
        <v/>
      </c>
      <c r="AC204" s="11">
        <f>IF(ISNUMBER(SEARCH("다기관",TRIM(N204&amp;" "&amp;O204))),IFERROR(DATE(VALUE(MID(TRIM(N204&amp;" "&amp;O204),12,4)),VALUE(MID(TRIM(N204&amp;" "&amp;O204),17,2)),VALUE(MID(TRIM(N204&amp;" "&amp;O204),20,2))),IF(ISNUMBER(I204),I204,"")),"")</f>
        <v/>
      </c>
      <c r="AD204" s="17">
        <f>IF(AND(ISNUMBER(AB204),ISNUMBER(AC204)),MAX(0,MIN(AC204,EOMONTH(출력_요약!$B$3,0))-MAX(AB204,출력_요약!$B$3)+1),0)</f>
        <v/>
      </c>
      <c r="AE204" s="10">
        <f>IF(AND(Q204&lt;&gt;"",ISNUMBER(AB204)),Q204&amp;"|다기관","")</f>
        <v/>
      </c>
    </row>
    <row r="205">
      <c r="A205" s="15">
        <f>IF(F205="","",ROW()-3)</f>
        <v/>
      </c>
      <c r="B205" s="5" t="n"/>
      <c r="C205" s="15" t="n"/>
      <c r="D205" s="5" t="n"/>
      <c r="E205" s="15" t="n"/>
      <c r="F205" s="5" t="n"/>
      <c r="G205" s="6" t="n"/>
      <c r="H205" s="16" t="n"/>
      <c r="I205" s="16" t="n"/>
      <c r="J205" s="15">
        <f>IF(AND(ISNUMBER(H205),ISNUMBER(I205)),I205-H205+1,"")</f>
        <v/>
      </c>
      <c r="K205" s="5" t="n"/>
      <c r="L205" s="5" t="n"/>
      <c r="M205" s="5" t="n"/>
      <c r="N205" s="5" t="n"/>
      <c r="O205" s="5" t="n"/>
      <c r="Q205" s="10">
        <f>IF(TRIM(G205&amp;"")="","",TRIM(G205&amp;""))</f>
        <v/>
      </c>
      <c r="R205" s="10">
        <f>IF(TRIM(B205&amp;"")="","",IFERROR(INDEX(설정_코드표!$K$2:$K$101,MATCH(TRIM(B205&amp;""),설정_코드표!$J$2:$J$101,0)),"⚠"&amp;TRIM(B205&amp;"")))</f>
        <v/>
      </c>
      <c r="S205" s="10">
        <f>IF(TRIM(K205&amp;"")="","",IFERROR(INDEX(설정_코드표!$K$2:$K$101,MATCH(TRIM(K205&amp;""),설정_코드표!$J$2:$J$101,0)),"⚠"&amp;TRIM(K205&amp;"")))</f>
        <v/>
      </c>
      <c r="T205" s="10">
        <f>IF(TRIM(M205&amp;"")="","",IF(ISNUMBER(MATCH(TRIM(M205&amp;""),설정_코드표!$C$2:$C$11,0)),TRIM(M205&amp;""),"⚠"&amp;TRIM(M205&amp;"")))</f>
        <v/>
      </c>
      <c r="U205" s="10">
        <f>IF(TRIM(L205&amp;"")="","",IFERROR(INDEX(설정_코드표!$G$2:$G$101,MATCH(TRIM(L205&amp;""),설정_코드표!$F$2:$F$101,0)),"⚠"&amp;TRIM(L205&amp;"")))</f>
        <v/>
      </c>
      <c r="V205" s="10">
        <f>IF(AND(ISNUMBER(H205),ISNUMBER(I205)),I205-H205+1,"")</f>
        <v/>
      </c>
      <c r="W205" s="17">
        <f>IF(ISNUMBER(H205),MAX(0,MIN(IF(ISNUMBER(I205),I205,EOMONTH(출력_요약!$B$3,0)),EOMONTH(출력_요약!$B$3,0))-MAX(H205,출력_요약!$B$3)+1),0)</f>
        <v/>
      </c>
      <c r="X205" s="10">
        <f>IF(OR(NOT(ISNUMBER(H205)),Q205=""),"",IF(TODAY()&lt;H205,"파견예정",IF(AND(ISNUMBER(I205),TODAY()&gt;I205),"파견종료","파견중")))</f>
        <v/>
      </c>
      <c r="Y205" s="10">
        <f>IF(OR(Q205="",X205=""),"",Q205&amp;"|"&amp;X205)</f>
        <v/>
      </c>
      <c r="Z205" s="10">
        <f>IF(AND(Q205&lt;&gt;"",W205&gt;0),Q205&amp;"|월","")</f>
        <v/>
      </c>
      <c r="AA205" s="10">
        <f>IF(COUNTA(B205:I205,K205:N205)=0,"",IF(Q205="","등록번호 없음",IF(LEFT(R205,1)="⚠","모병원명 미등록",IF(S205="","파견병원 입력",IF(LEFT(S205,1)="⚠","파견병원명 미등록",IF(LEFT(U205,1)="⚠","파견과목 미등록",IF(OR(T205="",LEFT(T205,1)="⚠"),"파견근거 확인",IF(NOT(AND(ISNUMBER(H205),ISNUMBER(I205))),"날짜 형식/누락",IF(I205&lt;H205,"종료일&lt;시작일","")))))))))</f>
        <v/>
      </c>
      <c r="AB205" s="11">
        <f>IF(ISNUMBER(SEARCH("다기관",TRIM(N205&amp;" "&amp;O205))),IFERROR(DATE(VALUE(MID(TRIM(N205&amp;" "&amp;O205),1,4)),VALUE(MID(TRIM(N205&amp;" "&amp;O205),6,2)),VALUE(MID(TRIM(N205&amp;" "&amp;O205),9,2))),IF(ISNUMBER(H205),H205,"")),"")</f>
        <v/>
      </c>
      <c r="AC205" s="11">
        <f>IF(ISNUMBER(SEARCH("다기관",TRIM(N205&amp;" "&amp;O205))),IFERROR(DATE(VALUE(MID(TRIM(N205&amp;" "&amp;O205),12,4)),VALUE(MID(TRIM(N205&amp;" "&amp;O205),17,2)),VALUE(MID(TRIM(N205&amp;" "&amp;O205),20,2))),IF(ISNUMBER(I205),I205,"")),"")</f>
        <v/>
      </c>
      <c r="AD205" s="17">
        <f>IF(AND(ISNUMBER(AB205),ISNUMBER(AC205)),MAX(0,MIN(AC205,EOMONTH(출력_요약!$B$3,0))-MAX(AB205,출력_요약!$B$3)+1),0)</f>
        <v/>
      </c>
      <c r="AE205" s="10">
        <f>IF(AND(Q205&lt;&gt;"",ISNUMBER(AB205)),Q205&amp;"|다기관","")</f>
        <v/>
      </c>
    </row>
    <row r="206">
      <c r="A206" s="15">
        <f>IF(F206="","",ROW()-3)</f>
        <v/>
      </c>
      <c r="B206" s="5" t="n"/>
      <c r="C206" s="15" t="n"/>
      <c r="D206" s="5" t="n"/>
      <c r="E206" s="15" t="n"/>
      <c r="F206" s="5" t="n"/>
      <c r="G206" s="6" t="n"/>
      <c r="H206" s="16" t="n"/>
      <c r="I206" s="16" t="n"/>
      <c r="J206" s="15">
        <f>IF(AND(ISNUMBER(H206),ISNUMBER(I206)),I206-H206+1,"")</f>
        <v/>
      </c>
      <c r="K206" s="5" t="n"/>
      <c r="L206" s="5" t="n"/>
      <c r="M206" s="5" t="n"/>
      <c r="N206" s="5" t="n"/>
      <c r="O206" s="5" t="n"/>
      <c r="Q206" s="10">
        <f>IF(TRIM(G206&amp;"")="","",TRIM(G206&amp;""))</f>
        <v/>
      </c>
      <c r="R206" s="10">
        <f>IF(TRIM(B206&amp;"")="","",IFERROR(INDEX(설정_코드표!$K$2:$K$101,MATCH(TRIM(B206&amp;""),설정_코드표!$J$2:$J$101,0)),"⚠"&amp;TRIM(B206&amp;"")))</f>
        <v/>
      </c>
      <c r="S206" s="10">
        <f>IF(TRIM(K206&amp;"")="","",IFERROR(INDEX(설정_코드표!$K$2:$K$101,MATCH(TRIM(K206&amp;""),설정_코드표!$J$2:$J$101,0)),"⚠"&amp;TRIM(K206&amp;"")))</f>
        <v/>
      </c>
      <c r="T206" s="10">
        <f>IF(TRIM(M206&amp;"")="","",IF(ISNUMBER(MATCH(TRIM(M206&amp;""),설정_코드표!$C$2:$C$11,0)),TRIM(M206&amp;""),"⚠"&amp;TRIM(M206&amp;"")))</f>
        <v/>
      </c>
      <c r="U206" s="10">
        <f>IF(TRIM(L206&amp;"")="","",IFERROR(INDEX(설정_코드표!$G$2:$G$101,MATCH(TRIM(L206&amp;""),설정_코드표!$F$2:$F$101,0)),"⚠"&amp;TRIM(L206&amp;"")))</f>
        <v/>
      </c>
      <c r="V206" s="10">
        <f>IF(AND(ISNUMBER(H206),ISNUMBER(I206)),I206-H206+1,"")</f>
        <v/>
      </c>
      <c r="W206" s="17">
        <f>IF(ISNUMBER(H206),MAX(0,MIN(IF(ISNUMBER(I206),I206,EOMONTH(출력_요약!$B$3,0)),EOMONTH(출력_요약!$B$3,0))-MAX(H206,출력_요약!$B$3)+1),0)</f>
        <v/>
      </c>
      <c r="X206" s="10">
        <f>IF(OR(NOT(ISNUMBER(H206)),Q206=""),"",IF(TODAY()&lt;H206,"파견예정",IF(AND(ISNUMBER(I206),TODAY()&gt;I206),"파견종료","파견중")))</f>
        <v/>
      </c>
      <c r="Y206" s="10">
        <f>IF(OR(Q206="",X206=""),"",Q206&amp;"|"&amp;X206)</f>
        <v/>
      </c>
      <c r="Z206" s="10">
        <f>IF(AND(Q206&lt;&gt;"",W206&gt;0),Q206&amp;"|월","")</f>
        <v/>
      </c>
      <c r="AA206" s="10">
        <f>IF(COUNTA(B206:I206,K206:N206)=0,"",IF(Q206="","등록번호 없음",IF(LEFT(R206,1)="⚠","모병원명 미등록",IF(S206="","파견병원 입력",IF(LEFT(S206,1)="⚠","파견병원명 미등록",IF(LEFT(U206,1)="⚠","파견과목 미등록",IF(OR(T206="",LEFT(T206,1)="⚠"),"파견근거 확인",IF(NOT(AND(ISNUMBER(H206),ISNUMBER(I206))),"날짜 형식/누락",IF(I206&lt;H206,"종료일&lt;시작일","")))))))))</f>
        <v/>
      </c>
      <c r="AB206" s="11">
        <f>IF(ISNUMBER(SEARCH("다기관",TRIM(N206&amp;" "&amp;O206))),IFERROR(DATE(VALUE(MID(TRIM(N206&amp;" "&amp;O206),1,4)),VALUE(MID(TRIM(N206&amp;" "&amp;O206),6,2)),VALUE(MID(TRIM(N206&amp;" "&amp;O206),9,2))),IF(ISNUMBER(H206),H206,"")),"")</f>
        <v/>
      </c>
      <c r="AC206" s="11">
        <f>IF(ISNUMBER(SEARCH("다기관",TRIM(N206&amp;" "&amp;O206))),IFERROR(DATE(VALUE(MID(TRIM(N206&amp;" "&amp;O206),12,4)),VALUE(MID(TRIM(N206&amp;" "&amp;O206),17,2)),VALUE(MID(TRIM(N206&amp;" "&amp;O206),20,2))),IF(ISNUMBER(I206),I206,"")),"")</f>
        <v/>
      </c>
      <c r="AD206" s="17">
        <f>IF(AND(ISNUMBER(AB206),ISNUMBER(AC206)),MAX(0,MIN(AC206,EOMONTH(출력_요약!$B$3,0))-MAX(AB206,출력_요약!$B$3)+1),0)</f>
        <v/>
      </c>
      <c r="AE206" s="10">
        <f>IF(AND(Q206&lt;&gt;"",ISNUMBER(AB206)),Q206&amp;"|다기관","")</f>
        <v/>
      </c>
    </row>
    <row r="207">
      <c r="A207" s="15">
        <f>IF(F207="","",ROW()-3)</f>
        <v/>
      </c>
      <c r="B207" s="5" t="n"/>
      <c r="C207" s="15" t="n"/>
      <c r="D207" s="5" t="n"/>
      <c r="E207" s="15" t="n"/>
      <c r="F207" s="5" t="n"/>
      <c r="G207" s="6" t="n"/>
      <c r="H207" s="16" t="n"/>
      <c r="I207" s="16" t="n"/>
      <c r="J207" s="15">
        <f>IF(AND(ISNUMBER(H207),ISNUMBER(I207)),I207-H207+1,"")</f>
        <v/>
      </c>
      <c r="K207" s="5" t="n"/>
      <c r="L207" s="5" t="n"/>
      <c r="M207" s="5" t="n"/>
      <c r="N207" s="5" t="n"/>
      <c r="O207" s="5" t="n"/>
      <c r="Q207" s="10">
        <f>IF(TRIM(G207&amp;"")="","",TRIM(G207&amp;""))</f>
        <v/>
      </c>
      <c r="R207" s="10">
        <f>IF(TRIM(B207&amp;"")="","",IFERROR(INDEX(설정_코드표!$K$2:$K$101,MATCH(TRIM(B207&amp;""),설정_코드표!$J$2:$J$101,0)),"⚠"&amp;TRIM(B207&amp;"")))</f>
        <v/>
      </c>
      <c r="S207" s="10">
        <f>IF(TRIM(K207&amp;"")="","",IFERROR(INDEX(설정_코드표!$K$2:$K$101,MATCH(TRIM(K207&amp;""),설정_코드표!$J$2:$J$101,0)),"⚠"&amp;TRIM(K207&amp;"")))</f>
        <v/>
      </c>
      <c r="T207" s="10">
        <f>IF(TRIM(M207&amp;"")="","",IF(ISNUMBER(MATCH(TRIM(M207&amp;""),설정_코드표!$C$2:$C$11,0)),TRIM(M207&amp;""),"⚠"&amp;TRIM(M207&amp;"")))</f>
        <v/>
      </c>
      <c r="U207" s="10">
        <f>IF(TRIM(L207&amp;"")="","",IFERROR(INDEX(설정_코드표!$G$2:$G$101,MATCH(TRIM(L207&amp;""),설정_코드표!$F$2:$F$101,0)),"⚠"&amp;TRIM(L207&amp;"")))</f>
        <v/>
      </c>
      <c r="V207" s="10">
        <f>IF(AND(ISNUMBER(H207),ISNUMBER(I207)),I207-H207+1,"")</f>
        <v/>
      </c>
      <c r="W207" s="17">
        <f>IF(ISNUMBER(H207),MAX(0,MIN(IF(ISNUMBER(I207),I207,EOMONTH(출력_요약!$B$3,0)),EOMONTH(출력_요약!$B$3,0))-MAX(H207,출력_요약!$B$3)+1),0)</f>
        <v/>
      </c>
      <c r="X207" s="10">
        <f>IF(OR(NOT(ISNUMBER(H207)),Q207=""),"",IF(TODAY()&lt;H207,"파견예정",IF(AND(ISNUMBER(I207),TODAY()&gt;I207),"파견종료","파견중")))</f>
        <v/>
      </c>
      <c r="Y207" s="10">
        <f>IF(OR(Q207="",X207=""),"",Q207&amp;"|"&amp;X207)</f>
        <v/>
      </c>
      <c r="Z207" s="10">
        <f>IF(AND(Q207&lt;&gt;"",W207&gt;0),Q207&amp;"|월","")</f>
        <v/>
      </c>
      <c r="AA207" s="10">
        <f>IF(COUNTA(B207:I207,K207:N207)=0,"",IF(Q207="","등록번호 없음",IF(LEFT(R207,1)="⚠","모병원명 미등록",IF(S207="","파견병원 입력",IF(LEFT(S207,1)="⚠","파견병원명 미등록",IF(LEFT(U207,1)="⚠","파견과목 미등록",IF(OR(T207="",LEFT(T207,1)="⚠"),"파견근거 확인",IF(NOT(AND(ISNUMBER(H207),ISNUMBER(I207))),"날짜 형식/누락",IF(I207&lt;H207,"종료일&lt;시작일","")))))))))</f>
        <v/>
      </c>
      <c r="AB207" s="11">
        <f>IF(ISNUMBER(SEARCH("다기관",TRIM(N207&amp;" "&amp;O207))),IFERROR(DATE(VALUE(MID(TRIM(N207&amp;" "&amp;O207),1,4)),VALUE(MID(TRIM(N207&amp;" "&amp;O207),6,2)),VALUE(MID(TRIM(N207&amp;" "&amp;O207),9,2))),IF(ISNUMBER(H207),H207,"")),"")</f>
        <v/>
      </c>
      <c r="AC207" s="11">
        <f>IF(ISNUMBER(SEARCH("다기관",TRIM(N207&amp;" "&amp;O207))),IFERROR(DATE(VALUE(MID(TRIM(N207&amp;" "&amp;O207),12,4)),VALUE(MID(TRIM(N207&amp;" "&amp;O207),17,2)),VALUE(MID(TRIM(N207&amp;" "&amp;O207),20,2))),IF(ISNUMBER(I207),I207,"")),"")</f>
        <v/>
      </c>
      <c r="AD207" s="17">
        <f>IF(AND(ISNUMBER(AB207),ISNUMBER(AC207)),MAX(0,MIN(AC207,EOMONTH(출력_요약!$B$3,0))-MAX(AB207,출력_요약!$B$3)+1),0)</f>
        <v/>
      </c>
      <c r="AE207" s="10">
        <f>IF(AND(Q207&lt;&gt;"",ISNUMBER(AB207)),Q207&amp;"|다기관","")</f>
        <v/>
      </c>
    </row>
    <row r="208">
      <c r="A208" s="15">
        <f>IF(F208="","",ROW()-3)</f>
        <v/>
      </c>
      <c r="B208" s="5" t="n"/>
      <c r="C208" s="15" t="n"/>
      <c r="D208" s="5" t="n"/>
      <c r="E208" s="15" t="n"/>
      <c r="F208" s="5" t="n"/>
      <c r="G208" s="6" t="n"/>
      <c r="H208" s="16" t="n"/>
      <c r="I208" s="16" t="n"/>
      <c r="J208" s="15">
        <f>IF(AND(ISNUMBER(H208),ISNUMBER(I208)),I208-H208+1,"")</f>
        <v/>
      </c>
      <c r="K208" s="5" t="n"/>
      <c r="L208" s="5" t="n"/>
      <c r="M208" s="5" t="n"/>
      <c r="N208" s="5" t="n"/>
      <c r="O208" s="5" t="n"/>
      <c r="Q208" s="10">
        <f>IF(TRIM(G208&amp;"")="","",TRIM(G208&amp;""))</f>
        <v/>
      </c>
      <c r="R208" s="10">
        <f>IF(TRIM(B208&amp;"")="","",IFERROR(INDEX(설정_코드표!$K$2:$K$101,MATCH(TRIM(B208&amp;""),설정_코드표!$J$2:$J$101,0)),"⚠"&amp;TRIM(B208&amp;"")))</f>
        <v/>
      </c>
      <c r="S208" s="10">
        <f>IF(TRIM(K208&amp;"")="","",IFERROR(INDEX(설정_코드표!$K$2:$K$101,MATCH(TRIM(K208&amp;""),설정_코드표!$J$2:$J$101,0)),"⚠"&amp;TRIM(K208&amp;"")))</f>
        <v/>
      </c>
      <c r="T208" s="10">
        <f>IF(TRIM(M208&amp;"")="","",IF(ISNUMBER(MATCH(TRIM(M208&amp;""),설정_코드표!$C$2:$C$11,0)),TRIM(M208&amp;""),"⚠"&amp;TRIM(M208&amp;"")))</f>
        <v/>
      </c>
      <c r="U208" s="10">
        <f>IF(TRIM(L208&amp;"")="","",IFERROR(INDEX(설정_코드표!$G$2:$G$101,MATCH(TRIM(L208&amp;""),설정_코드표!$F$2:$F$101,0)),"⚠"&amp;TRIM(L208&amp;"")))</f>
        <v/>
      </c>
      <c r="V208" s="10">
        <f>IF(AND(ISNUMBER(H208),ISNUMBER(I208)),I208-H208+1,"")</f>
        <v/>
      </c>
      <c r="W208" s="17">
        <f>IF(ISNUMBER(H208),MAX(0,MIN(IF(ISNUMBER(I208),I208,EOMONTH(출력_요약!$B$3,0)),EOMONTH(출력_요약!$B$3,0))-MAX(H208,출력_요약!$B$3)+1),0)</f>
        <v/>
      </c>
      <c r="X208" s="10">
        <f>IF(OR(NOT(ISNUMBER(H208)),Q208=""),"",IF(TODAY()&lt;H208,"파견예정",IF(AND(ISNUMBER(I208),TODAY()&gt;I208),"파견종료","파견중")))</f>
        <v/>
      </c>
      <c r="Y208" s="10">
        <f>IF(OR(Q208="",X208=""),"",Q208&amp;"|"&amp;X208)</f>
        <v/>
      </c>
      <c r="Z208" s="10">
        <f>IF(AND(Q208&lt;&gt;"",W208&gt;0),Q208&amp;"|월","")</f>
        <v/>
      </c>
      <c r="AA208" s="10">
        <f>IF(COUNTA(B208:I208,K208:N208)=0,"",IF(Q208="","등록번호 없음",IF(LEFT(R208,1)="⚠","모병원명 미등록",IF(S208="","파견병원 입력",IF(LEFT(S208,1)="⚠","파견병원명 미등록",IF(LEFT(U208,1)="⚠","파견과목 미등록",IF(OR(T208="",LEFT(T208,1)="⚠"),"파견근거 확인",IF(NOT(AND(ISNUMBER(H208),ISNUMBER(I208))),"날짜 형식/누락",IF(I208&lt;H208,"종료일&lt;시작일","")))))))))</f>
        <v/>
      </c>
      <c r="AB208" s="11">
        <f>IF(ISNUMBER(SEARCH("다기관",TRIM(N208&amp;" "&amp;O208))),IFERROR(DATE(VALUE(MID(TRIM(N208&amp;" "&amp;O208),1,4)),VALUE(MID(TRIM(N208&amp;" "&amp;O208),6,2)),VALUE(MID(TRIM(N208&amp;" "&amp;O208),9,2))),IF(ISNUMBER(H208),H208,"")),"")</f>
        <v/>
      </c>
      <c r="AC208" s="11">
        <f>IF(ISNUMBER(SEARCH("다기관",TRIM(N208&amp;" "&amp;O208))),IFERROR(DATE(VALUE(MID(TRIM(N208&amp;" "&amp;O208),12,4)),VALUE(MID(TRIM(N208&amp;" "&amp;O208),17,2)),VALUE(MID(TRIM(N208&amp;" "&amp;O208),20,2))),IF(ISNUMBER(I208),I208,"")),"")</f>
        <v/>
      </c>
      <c r="AD208" s="17">
        <f>IF(AND(ISNUMBER(AB208),ISNUMBER(AC208)),MAX(0,MIN(AC208,EOMONTH(출력_요약!$B$3,0))-MAX(AB208,출력_요약!$B$3)+1),0)</f>
        <v/>
      </c>
      <c r="AE208" s="10">
        <f>IF(AND(Q208&lt;&gt;"",ISNUMBER(AB208)),Q208&amp;"|다기관","")</f>
        <v/>
      </c>
    </row>
    <row r="209">
      <c r="A209" s="15">
        <f>IF(F209="","",ROW()-3)</f>
        <v/>
      </c>
      <c r="B209" s="5" t="n"/>
      <c r="C209" s="15" t="n"/>
      <c r="D209" s="5" t="n"/>
      <c r="E209" s="15" t="n"/>
      <c r="F209" s="5" t="n"/>
      <c r="G209" s="6" t="n"/>
      <c r="H209" s="16" t="n"/>
      <c r="I209" s="16" t="n"/>
      <c r="J209" s="15">
        <f>IF(AND(ISNUMBER(H209),ISNUMBER(I209)),I209-H209+1,"")</f>
        <v/>
      </c>
      <c r="K209" s="5" t="n"/>
      <c r="L209" s="5" t="n"/>
      <c r="M209" s="5" t="n"/>
      <c r="N209" s="5" t="n"/>
      <c r="O209" s="5" t="n"/>
      <c r="Q209" s="10">
        <f>IF(TRIM(G209&amp;"")="","",TRIM(G209&amp;""))</f>
        <v/>
      </c>
      <c r="R209" s="10">
        <f>IF(TRIM(B209&amp;"")="","",IFERROR(INDEX(설정_코드표!$K$2:$K$101,MATCH(TRIM(B209&amp;""),설정_코드표!$J$2:$J$101,0)),"⚠"&amp;TRIM(B209&amp;"")))</f>
        <v/>
      </c>
      <c r="S209" s="10">
        <f>IF(TRIM(K209&amp;"")="","",IFERROR(INDEX(설정_코드표!$K$2:$K$101,MATCH(TRIM(K209&amp;""),설정_코드표!$J$2:$J$101,0)),"⚠"&amp;TRIM(K209&amp;"")))</f>
        <v/>
      </c>
      <c r="T209" s="10">
        <f>IF(TRIM(M209&amp;"")="","",IF(ISNUMBER(MATCH(TRIM(M209&amp;""),설정_코드표!$C$2:$C$11,0)),TRIM(M209&amp;""),"⚠"&amp;TRIM(M209&amp;"")))</f>
        <v/>
      </c>
      <c r="U209" s="10">
        <f>IF(TRIM(L209&amp;"")="","",IFERROR(INDEX(설정_코드표!$G$2:$G$101,MATCH(TRIM(L209&amp;""),설정_코드표!$F$2:$F$101,0)),"⚠"&amp;TRIM(L209&amp;"")))</f>
        <v/>
      </c>
      <c r="V209" s="10">
        <f>IF(AND(ISNUMBER(H209),ISNUMBER(I209)),I209-H209+1,"")</f>
        <v/>
      </c>
      <c r="W209" s="17">
        <f>IF(ISNUMBER(H209),MAX(0,MIN(IF(ISNUMBER(I209),I209,EOMONTH(출력_요약!$B$3,0)),EOMONTH(출력_요약!$B$3,0))-MAX(H209,출력_요약!$B$3)+1),0)</f>
        <v/>
      </c>
      <c r="X209" s="10">
        <f>IF(OR(NOT(ISNUMBER(H209)),Q209=""),"",IF(TODAY()&lt;H209,"파견예정",IF(AND(ISNUMBER(I209),TODAY()&gt;I209),"파견종료","파견중")))</f>
        <v/>
      </c>
      <c r="Y209" s="10">
        <f>IF(OR(Q209="",X209=""),"",Q209&amp;"|"&amp;X209)</f>
        <v/>
      </c>
      <c r="Z209" s="10">
        <f>IF(AND(Q209&lt;&gt;"",W209&gt;0),Q209&amp;"|월","")</f>
        <v/>
      </c>
      <c r="AA209" s="10">
        <f>IF(COUNTA(B209:I209,K209:N209)=0,"",IF(Q209="","등록번호 없음",IF(LEFT(R209,1)="⚠","모병원명 미등록",IF(S209="","파견병원 입력",IF(LEFT(S209,1)="⚠","파견병원명 미등록",IF(LEFT(U209,1)="⚠","파견과목 미등록",IF(OR(T209="",LEFT(T209,1)="⚠"),"파견근거 확인",IF(NOT(AND(ISNUMBER(H209),ISNUMBER(I209))),"날짜 형식/누락",IF(I209&lt;H209,"종료일&lt;시작일","")))))))))</f>
        <v/>
      </c>
      <c r="AB209" s="11">
        <f>IF(ISNUMBER(SEARCH("다기관",TRIM(N209&amp;" "&amp;O209))),IFERROR(DATE(VALUE(MID(TRIM(N209&amp;" "&amp;O209),1,4)),VALUE(MID(TRIM(N209&amp;" "&amp;O209),6,2)),VALUE(MID(TRIM(N209&amp;" "&amp;O209),9,2))),IF(ISNUMBER(H209),H209,"")),"")</f>
        <v/>
      </c>
      <c r="AC209" s="11">
        <f>IF(ISNUMBER(SEARCH("다기관",TRIM(N209&amp;" "&amp;O209))),IFERROR(DATE(VALUE(MID(TRIM(N209&amp;" "&amp;O209),12,4)),VALUE(MID(TRIM(N209&amp;" "&amp;O209),17,2)),VALUE(MID(TRIM(N209&amp;" "&amp;O209),20,2))),IF(ISNUMBER(I209),I209,"")),"")</f>
        <v/>
      </c>
      <c r="AD209" s="17">
        <f>IF(AND(ISNUMBER(AB209),ISNUMBER(AC209)),MAX(0,MIN(AC209,EOMONTH(출력_요약!$B$3,0))-MAX(AB209,출력_요약!$B$3)+1),0)</f>
        <v/>
      </c>
      <c r="AE209" s="10">
        <f>IF(AND(Q209&lt;&gt;"",ISNUMBER(AB209)),Q209&amp;"|다기관","")</f>
        <v/>
      </c>
    </row>
    <row r="210">
      <c r="A210" s="15">
        <f>IF(F210="","",ROW()-3)</f>
        <v/>
      </c>
      <c r="B210" s="5" t="n"/>
      <c r="C210" s="15" t="n"/>
      <c r="D210" s="5" t="n"/>
      <c r="E210" s="15" t="n"/>
      <c r="F210" s="5" t="n"/>
      <c r="G210" s="6" t="n"/>
      <c r="H210" s="16" t="n"/>
      <c r="I210" s="16" t="n"/>
      <c r="J210" s="15">
        <f>IF(AND(ISNUMBER(H210),ISNUMBER(I210)),I210-H210+1,"")</f>
        <v/>
      </c>
      <c r="K210" s="5" t="n"/>
      <c r="L210" s="5" t="n"/>
      <c r="M210" s="5" t="n"/>
      <c r="N210" s="5" t="n"/>
      <c r="O210" s="5" t="n"/>
      <c r="Q210" s="10">
        <f>IF(TRIM(G210&amp;"")="","",TRIM(G210&amp;""))</f>
        <v/>
      </c>
      <c r="R210" s="10">
        <f>IF(TRIM(B210&amp;"")="","",IFERROR(INDEX(설정_코드표!$K$2:$K$101,MATCH(TRIM(B210&amp;""),설정_코드표!$J$2:$J$101,0)),"⚠"&amp;TRIM(B210&amp;"")))</f>
        <v/>
      </c>
      <c r="S210" s="10">
        <f>IF(TRIM(K210&amp;"")="","",IFERROR(INDEX(설정_코드표!$K$2:$K$101,MATCH(TRIM(K210&amp;""),설정_코드표!$J$2:$J$101,0)),"⚠"&amp;TRIM(K210&amp;"")))</f>
        <v/>
      </c>
      <c r="T210" s="10">
        <f>IF(TRIM(M210&amp;"")="","",IF(ISNUMBER(MATCH(TRIM(M210&amp;""),설정_코드표!$C$2:$C$11,0)),TRIM(M210&amp;""),"⚠"&amp;TRIM(M210&amp;"")))</f>
        <v/>
      </c>
      <c r="U210" s="10">
        <f>IF(TRIM(L210&amp;"")="","",IFERROR(INDEX(설정_코드표!$G$2:$G$101,MATCH(TRIM(L210&amp;""),설정_코드표!$F$2:$F$101,0)),"⚠"&amp;TRIM(L210&amp;"")))</f>
        <v/>
      </c>
      <c r="V210" s="10">
        <f>IF(AND(ISNUMBER(H210),ISNUMBER(I210)),I210-H210+1,"")</f>
        <v/>
      </c>
      <c r="W210" s="17">
        <f>IF(ISNUMBER(H210),MAX(0,MIN(IF(ISNUMBER(I210),I210,EOMONTH(출력_요약!$B$3,0)),EOMONTH(출력_요약!$B$3,0))-MAX(H210,출력_요약!$B$3)+1),0)</f>
        <v/>
      </c>
      <c r="X210" s="10">
        <f>IF(OR(NOT(ISNUMBER(H210)),Q210=""),"",IF(TODAY()&lt;H210,"파견예정",IF(AND(ISNUMBER(I210),TODAY()&gt;I210),"파견종료","파견중")))</f>
        <v/>
      </c>
      <c r="Y210" s="10">
        <f>IF(OR(Q210="",X210=""),"",Q210&amp;"|"&amp;X210)</f>
        <v/>
      </c>
      <c r="Z210" s="10">
        <f>IF(AND(Q210&lt;&gt;"",W210&gt;0),Q210&amp;"|월","")</f>
        <v/>
      </c>
      <c r="AA210" s="10">
        <f>IF(COUNTA(B210:I210,K210:N210)=0,"",IF(Q210="","등록번호 없음",IF(LEFT(R210,1)="⚠","모병원명 미등록",IF(S210="","파견병원 입력",IF(LEFT(S210,1)="⚠","파견병원명 미등록",IF(LEFT(U210,1)="⚠","파견과목 미등록",IF(OR(T210="",LEFT(T210,1)="⚠"),"파견근거 확인",IF(NOT(AND(ISNUMBER(H210),ISNUMBER(I210))),"날짜 형식/누락",IF(I210&lt;H210,"종료일&lt;시작일","")))))))))</f>
        <v/>
      </c>
      <c r="AB210" s="11">
        <f>IF(ISNUMBER(SEARCH("다기관",TRIM(N210&amp;" "&amp;O210))),IFERROR(DATE(VALUE(MID(TRIM(N210&amp;" "&amp;O210),1,4)),VALUE(MID(TRIM(N210&amp;" "&amp;O210),6,2)),VALUE(MID(TRIM(N210&amp;" "&amp;O210),9,2))),IF(ISNUMBER(H210),H210,"")),"")</f>
        <v/>
      </c>
      <c r="AC210" s="11">
        <f>IF(ISNUMBER(SEARCH("다기관",TRIM(N210&amp;" "&amp;O210))),IFERROR(DATE(VALUE(MID(TRIM(N210&amp;" "&amp;O210),12,4)),VALUE(MID(TRIM(N210&amp;" "&amp;O210),17,2)),VALUE(MID(TRIM(N210&amp;" "&amp;O210),20,2))),IF(ISNUMBER(I210),I210,"")),"")</f>
        <v/>
      </c>
      <c r="AD210" s="17">
        <f>IF(AND(ISNUMBER(AB210),ISNUMBER(AC210)),MAX(0,MIN(AC210,EOMONTH(출력_요약!$B$3,0))-MAX(AB210,출력_요약!$B$3)+1),0)</f>
        <v/>
      </c>
      <c r="AE210" s="10">
        <f>IF(AND(Q210&lt;&gt;"",ISNUMBER(AB210)),Q210&amp;"|다기관","")</f>
        <v/>
      </c>
    </row>
    <row r="211">
      <c r="A211" s="15">
        <f>IF(F211="","",ROW()-3)</f>
        <v/>
      </c>
      <c r="B211" s="5" t="n"/>
      <c r="C211" s="15" t="n"/>
      <c r="D211" s="5" t="n"/>
      <c r="E211" s="15" t="n"/>
      <c r="F211" s="5" t="n"/>
      <c r="G211" s="6" t="n"/>
      <c r="H211" s="16" t="n"/>
      <c r="I211" s="16" t="n"/>
      <c r="J211" s="15">
        <f>IF(AND(ISNUMBER(H211),ISNUMBER(I211)),I211-H211+1,"")</f>
        <v/>
      </c>
      <c r="K211" s="5" t="n"/>
      <c r="L211" s="5" t="n"/>
      <c r="M211" s="5" t="n"/>
      <c r="N211" s="5" t="n"/>
      <c r="O211" s="5" t="n"/>
      <c r="Q211" s="10">
        <f>IF(TRIM(G211&amp;"")="","",TRIM(G211&amp;""))</f>
        <v/>
      </c>
      <c r="R211" s="10">
        <f>IF(TRIM(B211&amp;"")="","",IFERROR(INDEX(설정_코드표!$K$2:$K$101,MATCH(TRIM(B211&amp;""),설정_코드표!$J$2:$J$101,0)),"⚠"&amp;TRIM(B211&amp;"")))</f>
        <v/>
      </c>
      <c r="S211" s="10">
        <f>IF(TRIM(K211&amp;"")="","",IFERROR(INDEX(설정_코드표!$K$2:$K$101,MATCH(TRIM(K211&amp;""),설정_코드표!$J$2:$J$101,0)),"⚠"&amp;TRIM(K211&amp;"")))</f>
        <v/>
      </c>
      <c r="T211" s="10">
        <f>IF(TRIM(M211&amp;"")="","",IF(ISNUMBER(MATCH(TRIM(M211&amp;""),설정_코드표!$C$2:$C$11,0)),TRIM(M211&amp;""),"⚠"&amp;TRIM(M211&amp;"")))</f>
        <v/>
      </c>
      <c r="U211" s="10">
        <f>IF(TRIM(L211&amp;"")="","",IFERROR(INDEX(설정_코드표!$G$2:$G$101,MATCH(TRIM(L211&amp;""),설정_코드표!$F$2:$F$101,0)),"⚠"&amp;TRIM(L211&amp;"")))</f>
        <v/>
      </c>
      <c r="V211" s="10">
        <f>IF(AND(ISNUMBER(H211),ISNUMBER(I211)),I211-H211+1,"")</f>
        <v/>
      </c>
      <c r="W211" s="17">
        <f>IF(ISNUMBER(H211),MAX(0,MIN(IF(ISNUMBER(I211),I211,EOMONTH(출력_요약!$B$3,0)),EOMONTH(출력_요약!$B$3,0))-MAX(H211,출력_요약!$B$3)+1),0)</f>
        <v/>
      </c>
      <c r="X211" s="10">
        <f>IF(OR(NOT(ISNUMBER(H211)),Q211=""),"",IF(TODAY()&lt;H211,"파견예정",IF(AND(ISNUMBER(I211),TODAY()&gt;I211),"파견종료","파견중")))</f>
        <v/>
      </c>
      <c r="Y211" s="10">
        <f>IF(OR(Q211="",X211=""),"",Q211&amp;"|"&amp;X211)</f>
        <v/>
      </c>
      <c r="Z211" s="10">
        <f>IF(AND(Q211&lt;&gt;"",W211&gt;0),Q211&amp;"|월","")</f>
        <v/>
      </c>
      <c r="AA211" s="10">
        <f>IF(COUNTA(B211:I211,K211:N211)=0,"",IF(Q211="","등록번호 없음",IF(LEFT(R211,1)="⚠","모병원명 미등록",IF(S211="","파견병원 입력",IF(LEFT(S211,1)="⚠","파견병원명 미등록",IF(LEFT(U211,1)="⚠","파견과목 미등록",IF(OR(T211="",LEFT(T211,1)="⚠"),"파견근거 확인",IF(NOT(AND(ISNUMBER(H211),ISNUMBER(I211))),"날짜 형식/누락",IF(I211&lt;H211,"종료일&lt;시작일","")))))))))</f>
        <v/>
      </c>
      <c r="AB211" s="11">
        <f>IF(ISNUMBER(SEARCH("다기관",TRIM(N211&amp;" "&amp;O211))),IFERROR(DATE(VALUE(MID(TRIM(N211&amp;" "&amp;O211),1,4)),VALUE(MID(TRIM(N211&amp;" "&amp;O211),6,2)),VALUE(MID(TRIM(N211&amp;" "&amp;O211),9,2))),IF(ISNUMBER(H211),H211,"")),"")</f>
        <v/>
      </c>
      <c r="AC211" s="11">
        <f>IF(ISNUMBER(SEARCH("다기관",TRIM(N211&amp;" "&amp;O211))),IFERROR(DATE(VALUE(MID(TRIM(N211&amp;" "&amp;O211),12,4)),VALUE(MID(TRIM(N211&amp;" "&amp;O211),17,2)),VALUE(MID(TRIM(N211&amp;" "&amp;O211),20,2))),IF(ISNUMBER(I211),I211,"")),"")</f>
        <v/>
      </c>
      <c r="AD211" s="17">
        <f>IF(AND(ISNUMBER(AB211),ISNUMBER(AC211)),MAX(0,MIN(AC211,EOMONTH(출력_요약!$B$3,0))-MAX(AB211,출력_요약!$B$3)+1),0)</f>
        <v/>
      </c>
      <c r="AE211" s="10">
        <f>IF(AND(Q211&lt;&gt;"",ISNUMBER(AB211)),Q211&amp;"|다기관","")</f>
        <v/>
      </c>
    </row>
    <row r="212">
      <c r="A212" s="15">
        <f>IF(F212="","",ROW()-3)</f>
        <v/>
      </c>
      <c r="B212" s="5" t="n"/>
      <c r="C212" s="15" t="n"/>
      <c r="D212" s="5" t="n"/>
      <c r="E212" s="15" t="n"/>
      <c r="F212" s="5" t="n"/>
      <c r="G212" s="6" t="n"/>
      <c r="H212" s="16" t="n"/>
      <c r="I212" s="16" t="n"/>
      <c r="J212" s="15">
        <f>IF(AND(ISNUMBER(H212),ISNUMBER(I212)),I212-H212+1,"")</f>
        <v/>
      </c>
      <c r="K212" s="5" t="n"/>
      <c r="L212" s="5" t="n"/>
      <c r="M212" s="5" t="n"/>
      <c r="N212" s="5" t="n"/>
      <c r="O212" s="5" t="n"/>
      <c r="Q212" s="10">
        <f>IF(TRIM(G212&amp;"")="","",TRIM(G212&amp;""))</f>
        <v/>
      </c>
      <c r="R212" s="10">
        <f>IF(TRIM(B212&amp;"")="","",IFERROR(INDEX(설정_코드표!$K$2:$K$101,MATCH(TRIM(B212&amp;""),설정_코드표!$J$2:$J$101,0)),"⚠"&amp;TRIM(B212&amp;"")))</f>
        <v/>
      </c>
      <c r="S212" s="10">
        <f>IF(TRIM(K212&amp;"")="","",IFERROR(INDEX(설정_코드표!$K$2:$K$101,MATCH(TRIM(K212&amp;""),설정_코드표!$J$2:$J$101,0)),"⚠"&amp;TRIM(K212&amp;"")))</f>
        <v/>
      </c>
      <c r="T212" s="10">
        <f>IF(TRIM(M212&amp;"")="","",IF(ISNUMBER(MATCH(TRIM(M212&amp;""),설정_코드표!$C$2:$C$11,0)),TRIM(M212&amp;""),"⚠"&amp;TRIM(M212&amp;"")))</f>
        <v/>
      </c>
      <c r="U212" s="10">
        <f>IF(TRIM(L212&amp;"")="","",IFERROR(INDEX(설정_코드표!$G$2:$G$101,MATCH(TRIM(L212&amp;""),설정_코드표!$F$2:$F$101,0)),"⚠"&amp;TRIM(L212&amp;"")))</f>
        <v/>
      </c>
      <c r="V212" s="10">
        <f>IF(AND(ISNUMBER(H212),ISNUMBER(I212)),I212-H212+1,"")</f>
        <v/>
      </c>
      <c r="W212" s="17">
        <f>IF(ISNUMBER(H212),MAX(0,MIN(IF(ISNUMBER(I212),I212,EOMONTH(출력_요약!$B$3,0)),EOMONTH(출력_요약!$B$3,0))-MAX(H212,출력_요약!$B$3)+1),0)</f>
        <v/>
      </c>
      <c r="X212" s="10">
        <f>IF(OR(NOT(ISNUMBER(H212)),Q212=""),"",IF(TODAY()&lt;H212,"파견예정",IF(AND(ISNUMBER(I212),TODAY()&gt;I212),"파견종료","파견중")))</f>
        <v/>
      </c>
      <c r="Y212" s="10">
        <f>IF(OR(Q212="",X212=""),"",Q212&amp;"|"&amp;X212)</f>
        <v/>
      </c>
      <c r="Z212" s="10">
        <f>IF(AND(Q212&lt;&gt;"",W212&gt;0),Q212&amp;"|월","")</f>
        <v/>
      </c>
      <c r="AA212" s="10">
        <f>IF(COUNTA(B212:I212,K212:N212)=0,"",IF(Q212="","등록번호 없음",IF(LEFT(R212,1)="⚠","모병원명 미등록",IF(S212="","파견병원 입력",IF(LEFT(S212,1)="⚠","파견병원명 미등록",IF(LEFT(U212,1)="⚠","파견과목 미등록",IF(OR(T212="",LEFT(T212,1)="⚠"),"파견근거 확인",IF(NOT(AND(ISNUMBER(H212),ISNUMBER(I212))),"날짜 형식/누락",IF(I212&lt;H212,"종료일&lt;시작일","")))))))))</f>
        <v/>
      </c>
      <c r="AB212" s="11">
        <f>IF(ISNUMBER(SEARCH("다기관",TRIM(N212&amp;" "&amp;O212))),IFERROR(DATE(VALUE(MID(TRIM(N212&amp;" "&amp;O212),1,4)),VALUE(MID(TRIM(N212&amp;" "&amp;O212),6,2)),VALUE(MID(TRIM(N212&amp;" "&amp;O212),9,2))),IF(ISNUMBER(H212),H212,"")),"")</f>
        <v/>
      </c>
      <c r="AC212" s="11">
        <f>IF(ISNUMBER(SEARCH("다기관",TRIM(N212&amp;" "&amp;O212))),IFERROR(DATE(VALUE(MID(TRIM(N212&amp;" "&amp;O212),12,4)),VALUE(MID(TRIM(N212&amp;" "&amp;O212),17,2)),VALUE(MID(TRIM(N212&amp;" "&amp;O212),20,2))),IF(ISNUMBER(I212),I212,"")),"")</f>
        <v/>
      </c>
      <c r="AD212" s="17">
        <f>IF(AND(ISNUMBER(AB212),ISNUMBER(AC212)),MAX(0,MIN(AC212,EOMONTH(출력_요약!$B$3,0))-MAX(AB212,출력_요약!$B$3)+1),0)</f>
        <v/>
      </c>
      <c r="AE212" s="10">
        <f>IF(AND(Q212&lt;&gt;"",ISNUMBER(AB212)),Q212&amp;"|다기관","")</f>
        <v/>
      </c>
    </row>
    <row r="213">
      <c r="A213" s="15">
        <f>IF(F213="","",ROW()-3)</f>
        <v/>
      </c>
      <c r="B213" s="5" t="n"/>
      <c r="C213" s="15" t="n"/>
      <c r="D213" s="5" t="n"/>
      <c r="E213" s="15" t="n"/>
      <c r="F213" s="5" t="n"/>
      <c r="G213" s="6" t="n"/>
      <c r="H213" s="16" t="n"/>
      <c r="I213" s="16" t="n"/>
      <c r="J213" s="15">
        <f>IF(AND(ISNUMBER(H213),ISNUMBER(I213)),I213-H213+1,"")</f>
        <v/>
      </c>
      <c r="K213" s="5" t="n"/>
      <c r="L213" s="5" t="n"/>
      <c r="M213" s="5" t="n"/>
      <c r="N213" s="5" t="n"/>
      <c r="O213" s="5" t="n"/>
      <c r="Q213" s="10">
        <f>IF(TRIM(G213&amp;"")="","",TRIM(G213&amp;""))</f>
        <v/>
      </c>
      <c r="R213" s="10">
        <f>IF(TRIM(B213&amp;"")="","",IFERROR(INDEX(설정_코드표!$K$2:$K$101,MATCH(TRIM(B213&amp;""),설정_코드표!$J$2:$J$101,0)),"⚠"&amp;TRIM(B213&amp;"")))</f>
        <v/>
      </c>
      <c r="S213" s="10">
        <f>IF(TRIM(K213&amp;"")="","",IFERROR(INDEX(설정_코드표!$K$2:$K$101,MATCH(TRIM(K213&amp;""),설정_코드표!$J$2:$J$101,0)),"⚠"&amp;TRIM(K213&amp;"")))</f>
        <v/>
      </c>
      <c r="T213" s="10">
        <f>IF(TRIM(M213&amp;"")="","",IF(ISNUMBER(MATCH(TRIM(M213&amp;""),설정_코드표!$C$2:$C$11,0)),TRIM(M213&amp;""),"⚠"&amp;TRIM(M213&amp;"")))</f>
        <v/>
      </c>
      <c r="U213" s="10">
        <f>IF(TRIM(L213&amp;"")="","",IFERROR(INDEX(설정_코드표!$G$2:$G$101,MATCH(TRIM(L213&amp;""),설정_코드표!$F$2:$F$101,0)),"⚠"&amp;TRIM(L213&amp;"")))</f>
        <v/>
      </c>
      <c r="V213" s="10">
        <f>IF(AND(ISNUMBER(H213),ISNUMBER(I213)),I213-H213+1,"")</f>
        <v/>
      </c>
      <c r="W213" s="17">
        <f>IF(ISNUMBER(H213),MAX(0,MIN(IF(ISNUMBER(I213),I213,EOMONTH(출력_요약!$B$3,0)),EOMONTH(출력_요약!$B$3,0))-MAX(H213,출력_요약!$B$3)+1),0)</f>
        <v/>
      </c>
      <c r="X213" s="10">
        <f>IF(OR(NOT(ISNUMBER(H213)),Q213=""),"",IF(TODAY()&lt;H213,"파견예정",IF(AND(ISNUMBER(I213),TODAY()&gt;I213),"파견종료","파견중")))</f>
        <v/>
      </c>
      <c r="Y213" s="10">
        <f>IF(OR(Q213="",X213=""),"",Q213&amp;"|"&amp;X213)</f>
        <v/>
      </c>
      <c r="Z213" s="10">
        <f>IF(AND(Q213&lt;&gt;"",W213&gt;0),Q213&amp;"|월","")</f>
        <v/>
      </c>
      <c r="AA213" s="10">
        <f>IF(COUNTA(B213:I213,K213:N213)=0,"",IF(Q213="","등록번호 없음",IF(LEFT(R213,1)="⚠","모병원명 미등록",IF(S213="","파견병원 입력",IF(LEFT(S213,1)="⚠","파견병원명 미등록",IF(LEFT(U213,1)="⚠","파견과목 미등록",IF(OR(T213="",LEFT(T213,1)="⚠"),"파견근거 확인",IF(NOT(AND(ISNUMBER(H213),ISNUMBER(I213))),"날짜 형식/누락",IF(I213&lt;H213,"종료일&lt;시작일","")))))))))</f>
        <v/>
      </c>
      <c r="AB213" s="11">
        <f>IF(ISNUMBER(SEARCH("다기관",TRIM(N213&amp;" "&amp;O213))),IFERROR(DATE(VALUE(MID(TRIM(N213&amp;" "&amp;O213),1,4)),VALUE(MID(TRIM(N213&amp;" "&amp;O213),6,2)),VALUE(MID(TRIM(N213&amp;" "&amp;O213),9,2))),IF(ISNUMBER(H213),H213,"")),"")</f>
        <v/>
      </c>
      <c r="AC213" s="11">
        <f>IF(ISNUMBER(SEARCH("다기관",TRIM(N213&amp;" "&amp;O213))),IFERROR(DATE(VALUE(MID(TRIM(N213&amp;" "&amp;O213),12,4)),VALUE(MID(TRIM(N213&amp;" "&amp;O213),17,2)),VALUE(MID(TRIM(N213&amp;" "&amp;O213),20,2))),IF(ISNUMBER(I213),I213,"")),"")</f>
        <v/>
      </c>
      <c r="AD213" s="17">
        <f>IF(AND(ISNUMBER(AB213),ISNUMBER(AC213)),MAX(0,MIN(AC213,EOMONTH(출력_요약!$B$3,0))-MAX(AB213,출력_요약!$B$3)+1),0)</f>
        <v/>
      </c>
      <c r="AE213" s="10">
        <f>IF(AND(Q213&lt;&gt;"",ISNUMBER(AB213)),Q213&amp;"|다기관","")</f>
        <v/>
      </c>
    </row>
    <row r="214">
      <c r="A214" s="15">
        <f>IF(F214="","",ROW()-3)</f>
        <v/>
      </c>
      <c r="B214" s="5" t="n"/>
      <c r="C214" s="15" t="n"/>
      <c r="D214" s="5" t="n"/>
      <c r="E214" s="15" t="n"/>
      <c r="F214" s="5" t="n"/>
      <c r="G214" s="6" t="n"/>
      <c r="H214" s="16" t="n"/>
      <c r="I214" s="16" t="n"/>
      <c r="J214" s="15">
        <f>IF(AND(ISNUMBER(H214),ISNUMBER(I214)),I214-H214+1,"")</f>
        <v/>
      </c>
      <c r="K214" s="5" t="n"/>
      <c r="L214" s="5" t="n"/>
      <c r="M214" s="5" t="n"/>
      <c r="N214" s="5" t="n"/>
      <c r="O214" s="5" t="n"/>
      <c r="Q214" s="10">
        <f>IF(TRIM(G214&amp;"")="","",TRIM(G214&amp;""))</f>
        <v/>
      </c>
      <c r="R214" s="10">
        <f>IF(TRIM(B214&amp;"")="","",IFERROR(INDEX(설정_코드표!$K$2:$K$101,MATCH(TRIM(B214&amp;""),설정_코드표!$J$2:$J$101,0)),"⚠"&amp;TRIM(B214&amp;"")))</f>
        <v/>
      </c>
      <c r="S214" s="10">
        <f>IF(TRIM(K214&amp;"")="","",IFERROR(INDEX(설정_코드표!$K$2:$K$101,MATCH(TRIM(K214&amp;""),설정_코드표!$J$2:$J$101,0)),"⚠"&amp;TRIM(K214&amp;"")))</f>
        <v/>
      </c>
      <c r="T214" s="10">
        <f>IF(TRIM(M214&amp;"")="","",IF(ISNUMBER(MATCH(TRIM(M214&amp;""),설정_코드표!$C$2:$C$11,0)),TRIM(M214&amp;""),"⚠"&amp;TRIM(M214&amp;"")))</f>
        <v/>
      </c>
      <c r="U214" s="10">
        <f>IF(TRIM(L214&amp;"")="","",IFERROR(INDEX(설정_코드표!$G$2:$G$101,MATCH(TRIM(L214&amp;""),설정_코드표!$F$2:$F$101,0)),"⚠"&amp;TRIM(L214&amp;"")))</f>
        <v/>
      </c>
      <c r="V214" s="10">
        <f>IF(AND(ISNUMBER(H214),ISNUMBER(I214)),I214-H214+1,"")</f>
        <v/>
      </c>
      <c r="W214" s="17">
        <f>IF(ISNUMBER(H214),MAX(0,MIN(IF(ISNUMBER(I214),I214,EOMONTH(출력_요약!$B$3,0)),EOMONTH(출력_요약!$B$3,0))-MAX(H214,출력_요약!$B$3)+1),0)</f>
        <v/>
      </c>
      <c r="X214" s="10">
        <f>IF(OR(NOT(ISNUMBER(H214)),Q214=""),"",IF(TODAY()&lt;H214,"파견예정",IF(AND(ISNUMBER(I214),TODAY()&gt;I214),"파견종료","파견중")))</f>
        <v/>
      </c>
      <c r="Y214" s="10">
        <f>IF(OR(Q214="",X214=""),"",Q214&amp;"|"&amp;X214)</f>
        <v/>
      </c>
      <c r="Z214" s="10">
        <f>IF(AND(Q214&lt;&gt;"",W214&gt;0),Q214&amp;"|월","")</f>
        <v/>
      </c>
      <c r="AA214" s="10">
        <f>IF(COUNTA(B214:I214,K214:N214)=0,"",IF(Q214="","등록번호 없음",IF(LEFT(R214,1)="⚠","모병원명 미등록",IF(S214="","파견병원 입력",IF(LEFT(S214,1)="⚠","파견병원명 미등록",IF(LEFT(U214,1)="⚠","파견과목 미등록",IF(OR(T214="",LEFT(T214,1)="⚠"),"파견근거 확인",IF(NOT(AND(ISNUMBER(H214),ISNUMBER(I214))),"날짜 형식/누락",IF(I214&lt;H214,"종료일&lt;시작일","")))))))))</f>
        <v/>
      </c>
      <c r="AB214" s="11">
        <f>IF(ISNUMBER(SEARCH("다기관",TRIM(N214&amp;" "&amp;O214))),IFERROR(DATE(VALUE(MID(TRIM(N214&amp;" "&amp;O214),1,4)),VALUE(MID(TRIM(N214&amp;" "&amp;O214),6,2)),VALUE(MID(TRIM(N214&amp;" "&amp;O214),9,2))),IF(ISNUMBER(H214),H214,"")),"")</f>
        <v/>
      </c>
      <c r="AC214" s="11">
        <f>IF(ISNUMBER(SEARCH("다기관",TRIM(N214&amp;" "&amp;O214))),IFERROR(DATE(VALUE(MID(TRIM(N214&amp;" "&amp;O214),12,4)),VALUE(MID(TRIM(N214&amp;" "&amp;O214),17,2)),VALUE(MID(TRIM(N214&amp;" "&amp;O214),20,2))),IF(ISNUMBER(I214),I214,"")),"")</f>
        <v/>
      </c>
      <c r="AD214" s="17">
        <f>IF(AND(ISNUMBER(AB214),ISNUMBER(AC214)),MAX(0,MIN(AC214,EOMONTH(출력_요약!$B$3,0))-MAX(AB214,출력_요약!$B$3)+1),0)</f>
        <v/>
      </c>
      <c r="AE214" s="10">
        <f>IF(AND(Q214&lt;&gt;"",ISNUMBER(AB214)),Q214&amp;"|다기관","")</f>
        <v/>
      </c>
    </row>
    <row r="215">
      <c r="A215" s="15">
        <f>IF(F215="","",ROW()-3)</f>
        <v/>
      </c>
      <c r="B215" s="5" t="n"/>
      <c r="C215" s="15" t="n"/>
      <c r="D215" s="5" t="n"/>
      <c r="E215" s="15" t="n"/>
      <c r="F215" s="5" t="n"/>
      <c r="G215" s="6" t="n"/>
      <c r="H215" s="16" t="n"/>
      <c r="I215" s="16" t="n"/>
      <c r="J215" s="15">
        <f>IF(AND(ISNUMBER(H215),ISNUMBER(I215)),I215-H215+1,"")</f>
        <v/>
      </c>
      <c r="K215" s="5" t="n"/>
      <c r="L215" s="5" t="n"/>
      <c r="M215" s="5" t="n"/>
      <c r="N215" s="5" t="n"/>
      <c r="O215" s="5" t="n"/>
      <c r="Q215" s="10">
        <f>IF(TRIM(G215&amp;"")="","",TRIM(G215&amp;""))</f>
        <v/>
      </c>
      <c r="R215" s="10">
        <f>IF(TRIM(B215&amp;"")="","",IFERROR(INDEX(설정_코드표!$K$2:$K$101,MATCH(TRIM(B215&amp;""),설정_코드표!$J$2:$J$101,0)),"⚠"&amp;TRIM(B215&amp;"")))</f>
        <v/>
      </c>
      <c r="S215" s="10">
        <f>IF(TRIM(K215&amp;"")="","",IFERROR(INDEX(설정_코드표!$K$2:$K$101,MATCH(TRIM(K215&amp;""),설정_코드표!$J$2:$J$101,0)),"⚠"&amp;TRIM(K215&amp;"")))</f>
        <v/>
      </c>
      <c r="T215" s="10">
        <f>IF(TRIM(M215&amp;"")="","",IF(ISNUMBER(MATCH(TRIM(M215&amp;""),설정_코드표!$C$2:$C$11,0)),TRIM(M215&amp;""),"⚠"&amp;TRIM(M215&amp;"")))</f>
        <v/>
      </c>
      <c r="U215" s="10">
        <f>IF(TRIM(L215&amp;"")="","",IFERROR(INDEX(설정_코드표!$G$2:$G$101,MATCH(TRIM(L215&amp;""),설정_코드표!$F$2:$F$101,0)),"⚠"&amp;TRIM(L215&amp;"")))</f>
        <v/>
      </c>
      <c r="V215" s="10">
        <f>IF(AND(ISNUMBER(H215),ISNUMBER(I215)),I215-H215+1,"")</f>
        <v/>
      </c>
      <c r="W215" s="17">
        <f>IF(ISNUMBER(H215),MAX(0,MIN(IF(ISNUMBER(I215),I215,EOMONTH(출력_요약!$B$3,0)),EOMONTH(출력_요약!$B$3,0))-MAX(H215,출력_요약!$B$3)+1),0)</f>
        <v/>
      </c>
      <c r="X215" s="10">
        <f>IF(OR(NOT(ISNUMBER(H215)),Q215=""),"",IF(TODAY()&lt;H215,"파견예정",IF(AND(ISNUMBER(I215),TODAY()&gt;I215),"파견종료","파견중")))</f>
        <v/>
      </c>
      <c r="Y215" s="10">
        <f>IF(OR(Q215="",X215=""),"",Q215&amp;"|"&amp;X215)</f>
        <v/>
      </c>
      <c r="Z215" s="10">
        <f>IF(AND(Q215&lt;&gt;"",W215&gt;0),Q215&amp;"|월","")</f>
        <v/>
      </c>
      <c r="AA215" s="10">
        <f>IF(COUNTA(B215:I215,K215:N215)=0,"",IF(Q215="","등록번호 없음",IF(LEFT(R215,1)="⚠","모병원명 미등록",IF(S215="","파견병원 입력",IF(LEFT(S215,1)="⚠","파견병원명 미등록",IF(LEFT(U215,1)="⚠","파견과목 미등록",IF(OR(T215="",LEFT(T215,1)="⚠"),"파견근거 확인",IF(NOT(AND(ISNUMBER(H215),ISNUMBER(I215))),"날짜 형식/누락",IF(I215&lt;H215,"종료일&lt;시작일","")))))))))</f>
        <v/>
      </c>
      <c r="AB215" s="11">
        <f>IF(ISNUMBER(SEARCH("다기관",TRIM(N215&amp;" "&amp;O215))),IFERROR(DATE(VALUE(MID(TRIM(N215&amp;" "&amp;O215),1,4)),VALUE(MID(TRIM(N215&amp;" "&amp;O215),6,2)),VALUE(MID(TRIM(N215&amp;" "&amp;O215),9,2))),IF(ISNUMBER(H215),H215,"")),"")</f>
        <v/>
      </c>
      <c r="AC215" s="11">
        <f>IF(ISNUMBER(SEARCH("다기관",TRIM(N215&amp;" "&amp;O215))),IFERROR(DATE(VALUE(MID(TRIM(N215&amp;" "&amp;O215),12,4)),VALUE(MID(TRIM(N215&amp;" "&amp;O215),17,2)),VALUE(MID(TRIM(N215&amp;" "&amp;O215),20,2))),IF(ISNUMBER(I215),I215,"")),"")</f>
        <v/>
      </c>
      <c r="AD215" s="17">
        <f>IF(AND(ISNUMBER(AB215),ISNUMBER(AC215)),MAX(0,MIN(AC215,EOMONTH(출력_요약!$B$3,0))-MAX(AB215,출력_요약!$B$3)+1),0)</f>
        <v/>
      </c>
      <c r="AE215" s="10">
        <f>IF(AND(Q215&lt;&gt;"",ISNUMBER(AB215)),Q215&amp;"|다기관","")</f>
        <v/>
      </c>
    </row>
    <row r="216">
      <c r="A216" s="15">
        <f>IF(F216="","",ROW()-3)</f>
        <v/>
      </c>
      <c r="B216" s="5" t="n"/>
      <c r="C216" s="15" t="n"/>
      <c r="D216" s="5" t="n"/>
      <c r="E216" s="15" t="n"/>
      <c r="F216" s="5" t="n"/>
      <c r="G216" s="6" t="n"/>
      <c r="H216" s="16" t="n"/>
      <c r="I216" s="16" t="n"/>
      <c r="J216" s="15">
        <f>IF(AND(ISNUMBER(H216),ISNUMBER(I216)),I216-H216+1,"")</f>
        <v/>
      </c>
      <c r="K216" s="5" t="n"/>
      <c r="L216" s="5" t="n"/>
      <c r="M216" s="5" t="n"/>
      <c r="N216" s="5" t="n"/>
      <c r="O216" s="5" t="n"/>
      <c r="Q216" s="10">
        <f>IF(TRIM(G216&amp;"")="","",TRIM(G216&amp;""))</f>
        <v/>
      </c>
      <c r="R216" s="10">
        <f>IF(TRIM(B216&amp;"")="","",IFERROR(INDEX(설정_코드표!$K$2:$K$101,MATCH(TRIM(B216&amp;""),설정_코드표!$J$2:$J$101,0)),"⚠"&amp;TRIM(B216&amp;"")))</f>
        <v/>
      </c>
      <c r="S216" s="10">
        <f>IF(TRIM(K216&amp;"")="","",IFERROR(INDEX(설정_코드표!$K$2:$K$101,MATCH(TRIM(K216&amp;""),설정_코드표!$J$2:$J$101,0)),"⚠"&amp;TRIM(K216&amp;"")))</f>
        <v/>
      </c>
      <c r="T216" s="10">
        <f>IF(TRIM(M216&amp;"")="","",IF(ISNUMBER(MATCH(TRIM(M216&amp;""),설정_코드표!$C$2:$C$11,0)),TRIM(M216&amp;""),"⚠"&amp;TRIM(M216&amp;"")))</f>
        <v/>
      </c>
      <c r="U216" s="10">
        <f>IF(TRIM(L216&amp;"")="","",IFERROR(INDEX(설정_코드표!$G$2:$G$101,MATCH(TRIM(L216&amp;""),설정_코드표!$F$2:$F$101,0)),"⚠"&amp;TRIM(L216&amp;"")))</f>
        <v/>
      </c>
      <c r="V216" s="10">
        <f>IF(AND(ISNUMBER(H216),ISNUMBER(I216)),I216-H216+1,"")</f>
        <v/>
      </c>
      <c r="W216" s="17">
        <f>IF(ISNUMBER(H216),MAX(0,MIN(IF(ISNUMBER(I216),I216,EOMONTH(출력_요약!$B$3,0)),EOMONTH(출력_요약!$B$3,0))-MAX(H216,출력_요약!$B$3)+1),0)</f>
        <v/>
      </c>
      <c r="X216" s="10">
        <f>IF(OR(NOT(ISNUMBER(H216)),Q216=""),"",IF(TODAY()&lt;H216,"파견예정",IF(AND(ISNUMBER(I216),TODAY()&gt;I216),"파견종료","파견중")))</f>
        <v/>
      </c>
      <c r="Y216" s="10">
        <f>IF(OR(Q216="",X216=""),"",Q216&amp;"|"&amp;X216)</f>
        <v/>
      </c>
      <c r="Z216" s="10">
        <f>IF(AND(Q216&lt;&gt;"",W216&gt;0),Q216&amp;"|월","")</f>
        <v/>
      </c>
      <c r="AA216" s="10">
        <f>IF(COUNTA(B216:I216,K216:N216)=0,"",IF(Q216="","등록번호 없음",IF(LEFT(R216,1)="⚠","모병원명 미등록",IF(S216="","파견병원 입력",IF(LEFT(S216,1)="⚠","파견병원명 미등록",IF(LEFT(U216,1)="⚠","파견과목 미등록",IF(OR(T216="",LEFT(T216,1)="⚠"),"파견근거 확인",IF(NOT(AND(ISNUMBER(H216),ISNUMBER(I216))),"날짜 형식/누락",IF(I216&lt;H216,"종료일&lt;시작일","")))))))))</f>
        <v/>
      </c>
      <c r="AB216" s="11">
        <f>IF(ISNUMBER(SEARCH("다기관",TRIM(N216&amp;" "&amp;O216))),IFERROR(DATE(VALUE(MID(TRIM(N216&amp;" "&amp;O216),1,4)),VALUE(MID(TRIM(N216&amp;" "&amp;O216),6,2)),VALUE(MID(TRIM(N216&amp;" "&amp;O216),9,2))),IF(ISNUMBER(H216),H216,"")),"")</f>
        <v/>
      </c>
      <c r="AC216" s="11">
        <f>IF(ISNUMBER(SEARCH("다기관",TRIM(N216&amp;" "&amp;O216))),IFERROR(DATE(VALUE(MID(TRIM(N216&amp;" "&amp;O216),12,4)),VALUE(MID(TRIM(N216&amp;" "&amp;O216),17,2)),VALUE(MID(TRIM(N216&amp;" "&amp;O216),20,2))),IF(ISNUMBER(I216),I216,"")),"")</f>
        <v/>
      </c>
      <c r="AD216" s="17">
        <f>IF(AND(ISNUMBER(AB216),ISNUMBER(AC216)),MAX(0,MIN(AC216,EOMONTH(출력_요약!$B$3,0))-MAX(AB216,출력_요약!$B$3)+1),0)</f>
        <v/>
      </c>
      <c r="AE216" s="10">
        <f>IF(AND(Q216&lt;&gt;"",ISNUMBER(AB216)),Q216&amp;"|다기관","")</f>
        <v/>
      </c>
    </row>
    <row r="217">
      <c r="A217" s="15">
        <f>IF(F217="","",ROW()-3)</f>
        <v/>
      </c>
      <c r="B217" s="5" t="n"/>
      <c r="C217" s="15" t="n"/>
      <c r="D217" s="5" t="n"/>
      <c r="E217" s="15" t="n"/>
      <c r="F217" s="5" t="n"/>
      <c r="G217" s="6" t="n"/>
      <c r="H217" s="16" t="n"/>
      <c r="I217" s="16" t="n"/>
      <c r="J217" s="15">
        <f>IF(AND(ISNUMBER(H217),ISNUMBER(I217)),I217-H217+1,"")</f>
        <v/>
      </c>
      <c r="K217" s="5" t="n"/>
      <c r="L217" s="5" t="n"/>
      <c r="M217" s="5" t="n"/>
      <c r="N217" s="5" t="n"/>
      <c r="O217" s="5" t="n"/>
      <c r="Q217" s="10">
        <f>IF(TRIM(G217&amp;"")="","",TRIM(G217&amp;""))</f>
        <v/>
      </c>
      <c r="R217" s="10">
        <f>IF(TRIM(B217&amp;"")="","",IFERROR(INDEX(설정_코드표!$K$2:$K$101,MATCH(TRIM(B217&amp;""),설정_코드표!$J$2:$J$101,0)),"⚠"&amp;TRIM(B217&amp;"")))</f>
        <v/>
      </c>
      <c r="S217" s="10">
        <f>IF(TRIM(K217&amp;"")="","",IFERROR(INDEX(설정_코드표!$K$2:$K$101,MATCH(TRIM(K217&amp;""),설정_코드표!$J$2:$J$101,0)),"⚠"&amp;TRIM(K217&amp;"")))</f>
        <v/>
      </c>
      <c r="T217" s="10">
        <f>IF(TRIM(M217&amp;"")="","",IF(ISNUMBER(MATCH(TRIM(M217&amp;""),설정_코드표!$C$2:$C$11,0)),TRIM(M217&amp;""),"⚠"&amp;TRIM(M217&amp;"")))</f>
        <v/>
      </c>
      <c r="U217" s="10">
        <f>IF(TRIM(L217&amp;"")="","",IFERROR(INDEX(설정_코드표!$G$2:$G$101,MATCH(TRIM(L217&amp;""),설정_코드표!$F$2:$F$101,0)),"⚠"&amp;TRIM(L217&amp;"")))</f>
        <v/>
      </c>
      <c r="V217" s="10">
        <f>IF(AND(ISNUMBER(H217),ISNUMBER(I217)),I217-H217+1,"")</f>
        <v/>
      </c>
      <c r="W217" s="17">
        <f>IF(ISNUMBER(H217),MAX(0,MIN(IF(ISNUMBER(I217),I217,EOMONTH(출력_요약!$B$3,0)),EOMONTH(출력_요약!$B$3,0))-MAX(H217,출력_요약!$B$3)+1),0)</f>
        <v/>
      </c>
      <c r="X217" s="10">
        <f>IF(OR(NOT(ISNUMBER(H217)),Q217=""),"",IF(TODAY()&lt;H217,"파견예정",IF(AND(ISNUMBER(I217),TODAY()&gt;I217),"파견종료","파견중")))</f>
        <v/>
      </c>
      <c r="Y217" s="10">
        <f>IF(OR(Q217="",X217=""),"",Q217&amp;"|"&amp;X217)</f>
        <v/>
      </c>
      <c r="Z217" s="10">
        <f>IF(AND(Q217&lt;&gt;"",W217&gt;0),Q217&amp;"|월","")</f>
        <v/>
      </c>
      <c r="AA217" s="10">
        <f>IF(COUNTA(B217:I217,K217:N217)=0,"",IF(Q217="","등록번호 없음",IF(LEFT(R217,1)="⚠","모병원명 미등록",IF(S217="","파견병원 입력",IF(LEFT(S217,1)="⚠","파견병원명 미등록",IF(LEFT(U217,1)="⚠","파견과목 미등록",IF(OR(T217="",LEFT(T217,1)="⚠"),"파견근거 확인",IF(NOT(AND(ISNUMBER(H217),ISNUMBER(I217))),"날짜 형식/누락",IF(I217&lt;H217,"종료일&lt;시작일","")))))))))</f>
        <v/>
      </c>
      <c r="AB217" s="11">
        <f>IF(ISNUMBER(SEARCH("다기관",TRIM(N217&amp;" "&amp;O217))),IFERROR(DATE(VALUE(MID(TRIM(N217&amp;" "&amp;O217),1,4)),VALUE(MID(TRIM(N217&amp;" "&amp;O217),6,2)),VALUE(MID(TRIM(N217&amp;" "&amp;O217),9,2))),IF(ISNUMBER(H217),H217,"")),"")</f>
        <v/>
      </c>
      <c r="AC217" s="11">
        <f>IF(ISNUMBER(SEARCH("다기관",TRIM(N217&amp;" "&amp;O217))),IFERROR(DATE(VALUE(MID(TRIM(N217&amp;" "&amp;O217),12,4)),VALUE(MID(TRIM(N217&amp;" "&amp;O217),17,2)),VALUE(MID(TRIM(N217&amp;" "&amp;O217),20,2))),IF(ISNUMBER(I217),I217,"")),"")</f>
        <v/>
      </c>
      <c r="AD217" s="17">
        <f>IF(AND(ISNUMBER(AB217),ISNUMBER(AC217)),MAX(0,MIN(AC217,EOMONTH(출력_요약!$B$3,0))-MAX(AB217,출력_요약!$B$3)+1),0)</f>
        <v/>
      </c>
      <c r="AE217" s="10">
        <f>IF(AND(Q217&lt;&gt;"",ISNUMBER(AB217)),Q217&amp;"|다기관","")</f>
        <v/>
      </c>
    </row>
    <row r="218">
      <c r="A218" s="15">
        <f>IF(F218="","",ROW()-3)</f>
        <v/>
      </c>
      <c r="B218" s="5" t="n"/>
      <c r="C218" s="15" t="n"/>
      <c r="D218" s="5" t="n"/>
      <c r="E218" s="15" t="n"/>
      <c r="F218" s="5" t="n"/>
      <c r="G218" s="6" t="n"/>
      <c r="H218" s="16" t="n"/>
      <c r="I218" s="16" t="n"/>
      <c r="J218" s="15">
        <f>IF(AND(ISNUMBER(H218),ISNUMBER(I218)),I218-H218+1,"")</f>
        <v/>
      </c>
      <c r="K218" s="5" t="n"/>
      <c r="L218" s="5" t="n"/>
      <c r="M218" s="5" t="n"/>
      <c r="N218" s="5" t="n"/>
      <c r="O218" s="5" t="n"/>
      <c r="Q218" s="10">
        <f>IF(TRIM(G218&amp;"")="","",TRIM(G218&amp;""))</f>
        <v/>
      </c>
      <c r="R218" s="10">
        <f>IF(TRIM(B218&amp;"")="","",IFERROR(INDEX(설정_코드표!$K$2:$K$101,MATCH(TRIM(B218&amp;""),설정_코드표!$J$2:$J$101,0)),"⚠"&amp;TRIM(B218&amp;"")))</f>
        <v/>
      </c>
      <c r="S218" s="10">
        <f>IF(TRIM(K218&amp;"")="","",IFERROR(INDEX(설정_코드표!$K$2:$K$101,MATCH(TRIM(K218&amp;""),설정_코드표!$J$2:$J$101,0)),"⚠"&amp;TRIM(K218&amp;"")))</f>
        <v/>
      </c>
      <c r="T218" s="10">
        <f>IF(TRIM(M218&amp;"")="","",IF(ISNUMBER(MATCH(TRIM(M218&amp;""),설정_코드표!$C$2:$C$11,0)),TRIM(M218&amp;""),"⚠"&amp;TRIM(M218&amp;"")))</f>
        <v/>
      </c>
      <c r="U218" s="10">
        <f>IF(TRIM(L218&amp;"")="","",IFERROR(INDEX(설정_코드표!$G$2:$G$101,MATCH(TRIM(L218&amp;""),설정_코드표!$F$2:$F$101,0)),"⚠"&amp;TRIM(L218&amp;"")))</f>
        <v/>
      </c>
      <c r="V218" s="10">
        <f>IF(AND(ISNUMBER(H218),ISNUMBER(I218)),I218-H218+1,"")</f>
        <v/>
      </c>
      <c r="W218" s="17">
        <f>IF(ISNUMBER(H218),MAX(0,MIN(IF(ISNUMBER(I218),I218,EOMONTH(출력_요약!$B$3,0)),EOMONTH(출력_요약!$B$3,0))-MAX(H218,출력_요약!$B$3)+1),0)</f>
        <v/>
      </c>
      <c r="X218" s="10">
        <f>IF(OR(NOT(ISNUMBER(H218)),Q218=""),"",IF(TODAY()&lt;H218,"파견예정",IF(AND(ISNUMBER(I218),TODAY()&gt;I218),"파견종료","파견중")))</f>
        <v/>
      </c>
      <c r="Y218" s="10">
        <f>IF(OR(Q218="",X218=""),"",Q218&amp;"|"&amp;X218)</f>
        <v/>
      </c>
      <c r="Z218" s="10">
        <f>IF(AND(Q218&lt;&gt;"",W218&gt;0),Q218&amp;"|월","")</f>
        <v/>
      </c>
      <c r="AA218" s="10">
        <f>IF(COUNTA(B218:I218,K218:N218)=0,"",IF(Q218="","등록번호 없음",IF(LEFT(R218,1)="⚠","모병원명 미등록",IF(S218="","파견병원 입력",IF(LEFT(S218,1)="⚠","파견병원명 미등록",IF(LEFT(U218,1)="⚠","파견과목 미등록",IF(OR(T218="",LEFT(T218,1)="⚠"),"파견근거 확인",IF(NOT(AND(ISNUMBER(H218),ISNUMBER(I218))),"날짜 형식/누락",IF(I218&lt;H218,"종료일&lt;시작일","")))))))))</f>
        <v/>
      </c>
      <c r="AB218" s="11">
        <f>IF(ISNUMBER(SEARCH("다기관",TRIM(N218&amp;" "&amp;O218))),IFERROR(DATE(VALUE(MID(TRIM(N218&amp;" "&amp;O218),1,4)),VALUE(MID(TRIM(N218&amp;" "&amp;O218),6,2)),VALUE(MID(TRIM(N218&amp;" "&amp;O218),9,2))),IF(ISNUMBER(H218),H218,"")),"")</f>
        <v/>
      </c>
      <c r="AC218" s="11">
        <f>IF(ISNUMBER(SEARCH("다기관",TRIM(N218&amp;" "&amp;O218))),IFERROR(DATE(VALUE(MID(TRIM(N218&amp;" "&amp;O218),12,4)),VALUE(MID(TRIM(N218&amp;" "&amp;O218),17,2)),VALUE(MID(TRIM(N218&amp;" "&amp;O218),20,2))),IF(ISNUMBER(I218),I218,"")),"")</f>
        <v/>
      </c>
      <c r="AD218" s="17">
        <f>IF(AND(ISNUMBER(AB218),ISNUMBER(AC218)),MAX(0,MIN(AC218,EOMONTH(출력_요약!$B$3,0))-MAX(AB218,출력_요약!$B$3)+1),0)</f>
        <v/>
      </c>
      <c r="AE218" s="10">
        <f>IF(AND(Q218&lt;&gt;"",ISNUMBER(AB218)),Q218&amp;"|다기관","")</f>
        <v/>
      </c>
    </row>
    <row r="219">
      <c r="A219" s="15">
        <f>IF(F219="","",ROW()-3)</f>
        <v/>
      </c>
      <c r="B219" s="5" t="n"/>
      <c r="C219" s="15" t="n"/>
      <c r="D219" s="5" t="n"/>
      <c r="E219" s="15" t="n"/>
      <c r="F219" s="5" t="n"/>
      <c r="G219" s="6" t="n"/>
      <c r="H219" s="16" t="n"/>
      <c r="I219" s="16" t="n"/>
      <c r="J219" s="15">
        <f>IF(AND(ISNUMBER(H219),ISNUMBER(I219)),I219-H219+1,"")</f>
        <v/>
      </c>
      <c r="K219" s="5" t="n"/>
      <c r="L219" s="5" t="n"/>
      <c r="M219" s="5" t="n"/>
      <c r="N219" s="5" t="n"/>
      <c r="O219" s="5" t="n"/>
      <c r="Q219" s="10">
        <f>IF(TRIM(G219&amp;"")="","",TRIM(G219&amp;""))</f>
        <v/>
      </c>
      <c r="R219" s="10">
        <f>IF(TRIM(B219&amp;"")="","",IFERROR(INDEX(설정_코드표!$K$2:$K$101,MATCH(TRIM(B219&amp;""),설정_코드표!$J$2:$J$101,0)),"⚠"&amp;TRIM(B219&amp;"")))</f>
        <v/>
      </c>
      <c r="S219" s="10">
        <f>IF(TRIM(K219&amp;"")="","",IFERROR(INDEX(설정_코드표!$K$2:$K$101,MATCH(TRIM(K219&amp;""),설정_코드표!$J$2:$J$101,0)),"⚠"&amp;TRIM(K219&amp;"")))</f>
        <v/>
      </c>
      <c r="T219" s="10">
        <f>IF(TRIM(M219&amp;"")="","",IF(ISNUMBER(MATCH(TRIM(M219&amp;""),설정_코드표!$C$2:$C$11,0)),TRIM(M219&amp;""),"⚠"&amp;TRIM(M219&amp;"")))</f>
        <v/>
      </c>
      <c r="U219" s="10">
        <f>IF(TRIM(L219&amp;"")="","",IFERROR(INDEX(설정_코드표!$G$2:$G$101,MATCH(TRIM(L219&amp;""),설정_코드표!$F$2:$F$101,0)),"⚠"&amp;TRIM(L219&amp;"")))</f>
        <v/>
      </c>
      <c r="V219" s="10">
        <f>IF(AND(ISNUMBER(H219),ISNUMBER(I219)),I219-H219+1,"")</f>
        <v/>
      </c>
      <c r="W219" s="17">
        <f>IF(ISNUMBER(H219),MAX(0,MIN(IF(ISNUMBER(I219),I219,EOMONTH(출력_요약!$B$3,0)),EOMONTH(출력_요약!$B$3,0))-MAX(H219,출력_요약!$B$3)+1),0)</f>
        <v/>
      </c>
      <c r="X219" s="10">
        <f>IF(OR(NOT(ISNUMBER(H219)),Q219=""),"",IF(TODAY()&lt;H219,"파견예정",IF(AND(ISNUMBER(I219),TODAY()&gt;I219),"파견종료","파견중")))</f>
        <v/>
      </c>
      <c r="Y219" s="10">
        <f>IF(OR(Q219="",X219=""),"",Q219&amp;"|"&amp;X219)</f>
        <v/>
      </c>
      <c r="Z219" s="10">
        <f>IF(AND(Q219&lt;&gt;"",W219&gt;0),Q219&amp;"|월","")</f>
        <v/>
      </c>
      <c r="AA219" s="10">
        <f>IF(COUNTA(B219:I219,K219:N219)=0,"",IF(Q219="","등록번호 없음",IF(LEFT(R219,1)="⚠","모병원명 미등록",IF(S219="","파견병원 입력",IF(LEFT(S219,1)="⚠","파견병원명 미등록",IF(LEFT(U219,1)="⚠","파견과목 미등록",IF(OR(T219="",LEFT(T219,1)="⚠"),"파견근거 확인",IF(NOT(AND(ISNUMBER(H219),ISNUMBER(I219))),"날짜 형식/누락",IF(I219&lt;H219,"종료일&lt;시작일","")))))))))</f>
        <v/>
      </c>
      <c r="AB219" s="11">
        <f>IF(ISNUMBER(SEARCH("다기관",TRIM(N219&amp;" "&amp;O219))),IFERROR(DATE(VALUE(MID(TRIM(N219&amp;" "&amp;O219),1,4)),VALUE(MID(TRIM(N219&amp;" "&amp;O219),6,2)),VALUE(MID(TRIM(N219&amp;" "&amp;O219),9,2))),IF(ISNUMBER(H219),H219,"")),"")</f>
        <v/>
      </c>
      <c r="AC219" s="11">
        <f>IF(ISNUMBER(SEARCH("다기관",TRIM(N219&amp;" "&amp;O219))),IFERROR(DATE(VALUE(MID(TRIM(N219&amp;" "&amp;O219),12,4)),VALUE(MID(TRIM(N219&amp;" "&amp;O219),17,2)),VALUE(MID(TRIM(N219&amp;" "&amp;O219),20,2))),IF(ISNUMBER(I219),I219,"")),"")</f>
        <v/>
      </c>
      <c r="AD219" s="17">
        <f>IF(AND(ISNUMBER(AB219),ISNUMBER(AC219)),MAX(0,MIN(AC219,EOMONTH(출력_요약!$B$3,0))-MAX(AB219,출력_요약!$B$3)+1),0)</f>
        <v/>
      </c>
      <c r="AE219" s="10">
        <f>IF(AND(Q219&lt;&gt;"",ISNUMBER(AB219)),Q219&amp;"|다기관","")</f>
        <v/>
      </c>
    </row>
    <row r="220">
      <c r="A220" s="15">
        <f>IF(F220="","",ROW()-3)</f>
        <v/>
      </c>
      <c r="B220" s="5" t="n"/>
      <c r="C220" s="15" t="n"/>
      <c r="D220" s="5" t="n"/>
      <c r="E220" s="15" t="n"/>
      <c r="F220" s="5" t="n"/>
      <c r="G220" s="6" t="n"/>
      <c r="H220" s="16" t="n"/>
      <c r="I220" s="16" t="n"/>
      <c r="J220" s="15">
        <f>IF(AND(ISNUMBER(H220),ISNUMBER(I220)),I220-H220+1,"")</f>
        <v/>
      </c>
      <c r="K220" s="5" t="n"/>
      <c r="L220" s="5" t="n"/>
      <c r="M220" s="5" t="n"/>
      <c r="N220" s="5" t="n"/>
      <c r="O220" s="5" t="n"/>
      <c r="Q220" s="10">
        <f>IF(TRIM(G220&amp;"")="","",TRIM(G220&amp;""))</f>
        <v/>
      </c>
      <c r="R220" s="10">
        <f>IF(TRIM(B220&amp;"")="","",IFERROR(INDEX(설정_코드표!$K$2:$K$101,MATCH(TRIM(B220&amp;""),설정_코드표!$J$2:$J$101,0)),"⚠"&amp;TRIM(B220&amp;"")))</f>
        <v/>
      </c>
      <c r="S220" s="10">
        <f>IF(TRIM(K220&amp;"")="","",IFERROR(INDEX(설정_코드표!$K$2:$K$101,MATCH(TRIM(K220&amp;""),설정_코드표!$J$2:$J$101,0)),"⚠"&amp;TRIM(K220&amp;"")))</f>
        <v/>
      </c>
      <c r="T220" s="10">
        <f>IF(TRIM(M220&amp;"")="","",IF(ISNUMBER(MATCH(TRIM(M220&amp;""),설정_코드표!$C$2:$C$11,0)),TRIM(M220&amp;""),"⚠"&amp;TRIM(M220&amp;"")))</f>
        <v/>
      </c>
      <c r="U220" s="10">
        <f>IF(TRIM(L220&amp;"")="","",IFERROR(INDEX(설정_코드표!$G$2:$G$101,MATCH(TRIM(L220&amp;""),설정_코드표!$F$2:$F$101,0)),"⚠"&amp;TRIM(L220&amp;"")))</f>
        <v/>
      </c>
      <c r="V220" s="10">
        <f>IF(AND(ISNUMBER(H220),ISNUMBER(I220)),I220-H220+1,"")</f>
        <v/>
      </c>
      <c r="W220" s="17">
        <f>IF(ISNUMBER(H220),MAX(0,MIN(IF(ISNUMBER(I220),I220,EOMONTH(출력_요약!$B$3,0)),EOMONTH(출력_요약!$B$3,0))-MAX(H220,출력_요약!$B$3)+1),0)</f>
        <v/>
      </c>
      <c r="X220" s="10">
        <f>IF(OR(NOT(ISNUMBER(H220)),Q220=""),"",IF(TODAY()&lt;H220,"파견예정",IF(AND(ISNUMBER(I220),TODAY()&gt;I220),"파견종료","파견중")))</f>
        <v/>
      </c>
      <c r="Y220" s="10">
        <f>IF(OR(Q220="",X220=""),"",Q220&amp;"|"&amp;X220)</f>
        <v/>
      </c>
      <c r="Z220" s="10">
        <f>IF(AND(Q220&lt;&gt;"",W220&gt;0),Q220&amp;"|월","")</f>
        <v/>
      </c>
      <c r="AA220" s="10">
        <f>IF(COUNTA(B220:I220,K220:N220)=0,"",IF(Q220="","등록번호 없음",IF(LEFT(R220,1)="⚠","모병원명 미등록",IF(S220="","파견병원 입력",IF(LEFT(S220,1)="⚠","파견병원명 미등록",IF(LEFT(U220,1)="⚠","파견과목 미등록",IF(OR(T220="",LEFT(T220,1)="⚠"),"파견근거 확인",IF(NOT(AND(ISNUMBER(H220),ISNUMBER(I220))),"날짜 형식/누락",IF(I220&lt;H220,"종료일&lt;시작일","")))))))))</f>
        <v/>
      </c>
      <c r="AB220" s="11">
        <f>IF(ISNUMBER(SEARCH("다기관",TRIM(N220&amp;" "&amp;O220))),IFERROR(DATE(VALUE(MID(TRIM(N220&amp;" "&amp;O220),1,4)),VALUE(MID(TRIM(N220&amp;" "&amp;O220),6,2)),VALUE(MID(TRIM(N220&amp;" "&amp;O220),9,2))),IF(ISNUMBER(H220),H220,"")),"")</f>
        <v/>
      </c>
      <c r="AC220" s="11">
        <f>IF(ISNUMBER(SEARCH("다기관",TRIM(N220&amp;" "&amp;O220))),IFERROR(DATE(VALUE(MID(TRIM(N220&amp;" "&amp;O220),12,4)),VALUE(MID(TRIM(N220&amp;" "&amp;O220),17,2)),VALUE(MID(TRIM(N220&amp;" "&amp;O220),20,2))),IF(ISNUMBER(I220),I220,"")),"")</f>
        <v/>
      </c>
      <c r="AD220" s="17">
        <f>IF(AND(ISNUMBER(AB220),ISNUMBER(AC220)),MAX(0,MIN(AC220,EOMONTH(출력_요약!$B$3,0))-MAX(AB220,출력_요약!$B$3)+1),0)</f>
        <v/>
      </c>
      <c r="AE220" s="10">
        <f>IF(AND(Q220&lt;&gt;"",ISNUMBER(AB220)),Q220&amp;"|다기관","")</f>
        <v/>
      </c>
    </row>
    <row r="221">
      <c r="A221" s="15">
        <f>IF(F221="","",ROW()-3)</f>
        <v/>
      </c>
      <c r="B221" s="5" t="n"/>
      <c r="C221" s="15" t="n"/>
      <c r="D221" s="5" t="n"/>
      <c r="E221" s="15" t="n"/>
      <c r="F221" s="5" t="n"/>
      <c r="G221" s="6" t="n"/>
      <c r="H221" s="16" t="n"/>
      <c r="I221" s="16" t="n"/>
      <c r="J221" s="15">
        <f>IF(AND(ISNUMBER(H221),ISNUMBER(I221)),I221-H221+1,"")</f>
        <v/>
      </c>
      <c r="K221" s="5" t="n"/>
      <c r="L221" s="5" t="n"/>
      <c r="M221" s="5" t="n"/>
      <c r="N221" s="5" t="n"/>
      <c r="O221" s="5" t="n"/>
      <c r="Q221" s="10">
        <f>IF(TRIM(G221&amp;"")="","",TRIM(G221&amp;""))</f>
        <v/>
      </c>
      <c r="R221" s="10">
        <f>IF(TRIM(B221&amp;"")="","",IFERROR(INDEX(설정_코드표!$K$2:$K$101,MATCH(TRIM(B221&amp;""),설정_코드표!$J$2:$J$101,0)),"⚠"&amp;TRIM(B221&amp;"")))</f>
        <v/>
      </c>
      <c r="S221" s="10">
        <f>IF(TRIM(K221&amp;"")="","",IFERROR(INDEX(설정_코드표!$K$2:$K$101,MATCH(TRIM(K221&amp;""),설정_코드표!$J$2:$J$101,0)),"⚠"&amp;TRIM(K221&amp;"")))</f>
        <v/>
      </c>
      <c r="T221" s="10">
        <f>IF(TRIM(M221&amp;"")="","",IF(ISNUMBER(MATCH(TRIM(M221&amp;""),설정_코드표!$C$2:$C$11,0)),TRIM(M221&amp;""),"⚠"&amp;TRIM(M221&amp;"")))</f>
        <v/>
      </c>
      <c r="U221" s="10">
        <f>IF(TRIM(L221&amp;"")="","",IFERROR(INDEX(설정_코드표!$G$2:$G$101,MATCH(TRIM(L221&amp;""),설정_코드표!$F$2:$F$101,0)),"⚠"&amp;TRIM(L221&amp;"")))</f>
        <v/>
      </c>
      <c r="V221" s="10">
        <f>IF(AND(ISNUMBER(H221),ISNUMBER(I221)),I221-H221+1,"")</f>
        <v/>
      </c>
      <c r="W221" s="17">
        <f>IF(ISNUMBER(H221),MAX(0,MIN(IF(ISNUMBER(I221),I221,EOMONTH(출력_요약!$B$3,0)),EOMONTH(출력_요약!$B$3,0))-MAX(H221,출력_요약!$B$3)+1),0)</f>
        <v/>
      </c>
      <c r="X221" s="10">
        <f>IF(OR(NOT(ISNUMBER(H221)),Q221=""),"",IF(TODAY()&lt;H221,"파견예정",IF(AND(ISNUMBER(I221),TODAY()&gt;I221),"파견종료","파견중")))</f>
        <v/>
      </c>
      <c r="Y221" s="10">
        <f>IF(OR(Q221="",X221=""),"",Q221&amp;"|"&amp;X221)</f>
        <v/>
      </c>
      <c r="Z221" s="10">
        <f>IF(AND(Q221&lt;&gt;"",W221&gt;0),Q221&amp;"|월","")</f>
        <v/>
      </c>
      <c r="AA221" s="10">
        <f>IF(COUNTA(B221:I221,K221:N221)=0,"",IF(Q221="","등록번호 없음",IF(LEFT(R221,1)="⚠","모병원명 미등록",IF(S221="","파견병원 입력",IF(LEFT(S221,1)="⚠","파견병원명 미등록",IF(LEFT(U221,1)="⚠","파견과목 미등록",IF(OR(T221="",LEFT(T221,1)="⚠"),"파견근거 확인",IF(NOT(AND(ISNUMBER(H221),ISNUMBER(I221))),"날짜 형식/누락",IF(I221&lt;H221,"종료일&lt;시작일","")))))))))</f>
        <v/>
      </c>
      <c r="AB221" s="11">
        <f>IF(ISNUMBER(SEARCH("다기관",TRIM(N221&amp;" "&amp;O221))),IFERROR(DATE(VALUE(MID(TRIM(N221&amp;" "&amp;O221),1,4)),VALUE(MID(TRIM(N221&amp;" "&amp;O221),6,2)),VALUE(MID(TRIM(N221&amp;" "&amp;O221),9,2))),IF(ISNUMBER(H221),H221,"")),"")</f>
        <v/>
      </c>
      <c r="AC221" s="11">
        <f>IF(ISNUMBER(SEARCH("다기관",TRIM(N221&amp;" "&amp;O221))),IFERROR(DATE(VALUE(MID(TRIM(N221&amp;" "&amp;O221),12,4)),VALUE(MID(TRIM(N221&amp;" "&amp;O221),17,2)),VALUE(MID(TRIM(N221&amp;" "&amp;O221),20,2))),IF(ISNUMBER(I221),I221,"")),"")</f>
        <v/>
      </c>
      <c r="AD221" s="17">
        <f>IF(AND(ISNUMBER(AB221),ISNUMBER(AC221)),MAX(0,MIN(AC221,EOMONTH(출력_요약!$B$3,0))-MAX(AB221,출력_요약!$B$3)+1),0)</f>
        <v/>
      </c>
      <c r="AE221" s="10">
        <f>IF(AND(Q221&lt;&gt;"",ISNUMBER(AB221)),Q221&amp;"|다기관","")</f>
        <v/>
      </c>
    </row>
    <row r="222">
      <c r="A222" s="15">
        <f>IF(F222="","",ROW()-3)</f>
        <v/>
      </c>
      <c r="B222" s="5" t="n"/>
      <c r="C222" s="15" t="n"/>
      <c r="D222" s="5" t="n"/>
      <c r="E222" s="15" t="n"/>
      <c r="F222" s="5" t="n"/>
      <c r="G222" s="6" t="n"/>
      <c r="H222" s="16" t="n"/>
      <c r="I222" s="16" t="n"/>
      <c r="J222" s="15">
        <f>IF(AND(ISNUMBER(H222),ISNUMBER(I222)),I222-H222+1,"")</f>
        <v/>
      </c>
      <c r="K222" s="5" t="n"/>
      <c r="L222" s="5" t="n"/>
      <c r="M222" s="5" t="n"/>
      <c r="N222" s="5" t="n"/>
      <c r="O222" s="5" t="n"/>
      <c r="Q222" s="10">
        <f>IF(TRIM(G222&amp;"")="","",TRIM(G222&amp;""))</f>
        <v/>
      </c>
      <c r="R222" s="10">
        <f>IF(TRIM(B222&amp;"")="","",IFERROR(INDEX(설정_코드표!$K$2:$K$101,MATCH(TRIM(B222&amp;""),설정_코드표!$J$2:$J$101,0)),"⚠"&amp;TRIM(B222&amp;"")))</f>
        <v/>
      </c>
      <c r="S222" s="10">
        <f>IF(TRIM(K222&amp;"")="","",IFERROR(INDEX(설정_코드표!$K$2:$K$101,MATCH(TRIM(K222&amp;""),설정_코드표!$J$2:$J$101,0)),"⚠"&amp;TRIM(K222&amp;"")))</f>
        <v/>
      </c>
      <c r="T222" s="10">
        <f>IF(TRIM(M222&amp;"")="","",IF(ISNUMBER(MATCH(TRIM(M222&amp;""),설정_코드표!$C$2:$C$11,0)),TRIM(M222&amp;""),"⚠"&amp;TRIM(M222&amp;"")))</f>
        <v/>
      </c>
      <c r="U222" s="10">
        <f>IF(TRIM(L222&amp;"")="","",IFERROR(INDEX(설정_코드표!$G$2:$G$101,MATCH(TRIM(L222&amp;""),설정_코드표!$F$2:$F$101,0)),"⚠"&amp;TRIM(L222&amp;"")))</f>
        <v/>
      </c>
      <c r="V222" s="10">
        <f>IF(AND(ISNUMBER(H222),ISNUMBER(I222)),I222-H222+1,"")</f>
        <v/>
      </c>
      <c r="W222" s="17">
        <f>IF(ISNUMBER(H222),MAX(0,MIN(IF(ISNUMBER(I222),I222,EOMONTH(출력_요약!$B$3,0)),EOMONTH(출력_요약!$B$3,0))-MAX(H222,출력_요약!$B$3)+1),0)</f>
        <v/>
      </c>
      <c r="X222" s="10">
        <f>IF(OR(NOT(ISNUMBER(H222)),Q222=""),"",IF(TODAY()&lt;H222,"파견예정",IF(AND(ISNUMBER(I222),TODAY()&gt;I222),"파견종료","파견중")))</f>
        <v/>
      </c>
      <c r="Y222" s="10">
        <f>IF(OR(Q222="",X222=""),"",Q222&amp;"|"&amp;X222)</f>
        <v/>
      </c>
      <c r="Z222" s="10">
        <f>IF(AND(Q222&lt;&gt;"",W222&gt;0),Q222&amp;"|월","")</f>
        <v/>
      </c>
      <c r="AA222" s="10">
        <f>IF(COUNTA(B222:I222,K222:N222)=0,"",IF(Q222="","등록번호 없음",IF(LEFT(R222,1)="⚠","모병원명 미등록",IF(S222="","파견병원 입력",IF(LEFT(S222,1)="⚠","파견병원명 미등록",IF(LEFT(U222,1)="⚠","파견과목 미등록",IF(OR(T222="",LEFT(T222,1)="⚠"),"파견근거 확인",IF(NOT(AND(ISNUMBER(H222),ISNUMBER(I222))),"날짜 형식/누락",IF(I222&lt;H222,"종료일&lt;시작일","")))))))))</f>
        <v/>
      </c>
      <c r="AB222" s="11">
        <f>IF(ISNUMBER(SEARCH("다기관",TRIM(N222&amp;" "&amp;O222))),IFERROR(DATE(VALUE(MID(TRIM(N222&amp;" "&amp;O222),1,4)),VALUE(MID(TRIM(N222&amp;" "&amp;O222),6,2)),VALUE(MID(TRIM(N222&amp;" "&amp;O222),9,2))),IF(ISNUMBER(H222),H222,"")),"")</f>
        <v/>
      </c>
      <c r="AC222" s="11">
        <f>IF(ISNUMBER(SEARCH("다기관",TRIM(N222&amp;" "&amp;O222))),IFERROR(DATE(VALUE(MID(TRIM(N222&amp;" "&amp;O222),12,4)),VALUE(MID(TRIM(N222&amp;" "&amp;O222),17,2)),VALUE(MID(TRIM(N222&amp;" "&amp;O222),20,2))),IF(ISNUMBER(I222),I222,"")),"")</f>
        <v/>
      </c>
      <c r="AD222" s="17">
        <f>IF(AND(ISNUMBER(AB222),ISNUMBER(AC222)),MAX(0,MIN(AC222,EOMONTH(출력_요약!$B$3,0))-MAX(AB222,출력_요약!$B$3)+1),0)</f>
        <v/>
      </c>
      <c r="AE222" s="10">
        <f>IF(AND(Q222&lt;&gt;"",ISNUMBER(AB222)),Q222&amp;"|다기관","")</f>
        <v/>
      </c>
    </row>
    <row r="223">
      <c r="A223" s="15">
        <f>IF(F223="","",ROW()-3)</f>
        <v/>
      </c>
      <c r="B223" s="5" t="n"/>
      <c r="C223" s="15" t="n"/>
      <c r="D223" s="5" t="n"/>
      <c r="E223" s="15" t="n"/>
      <c r="F223" s="5" t="n"/>
      <c r="G223" s="6" t="n"/>
      <c r="H223" s="16" t="n"/>
      <c r="I223" s="16" t="n"/>
      <c r="J223" s="15">
        <f>IF(AND(ISNUMBER(H223),ISNUMBER(I223)),I223-H223+1,"")</f>
        <v/>
      </c>
      <c r="K223" s="5" t="n"/>
      <c r="L223" s="5" t="n"/>
      <c r="M223" s="5" t="n"/>
      <c r="N223" s="5" t="n"/>
      <c r="O223" s="5" t="n"/>
      <c r="Q223" s="10">
        <f>IF(TRIM(G223&amp;"")="","",TRIM(G223&amp;""))</f>
        <v/>
      </c>
      <c r="R223" s="10">
        <f>IF(TRIM(B223&amp;"")="","",IFERROR(INDEX(설정_코드표!$K$2:$K$101,MATCH(TRIM(B223&amp;""),설정_코드표!$J$2:$J$101,0)),"⚠"&amp;TRIM(B223&amp;"")))</f>
        <v/>
      </c>
      <c r="S223" s="10">
        <f>IF(TRIM(K223&amp;"")="","",IFERROR(INDEX(설정_코드표!$K$2:$K$101,MATCH(TRIM(K223&amp;""),설정_코드표!$J$2:$J$101,0)),"⚠"&amp;TRIM(K223&amp;"")))</f>
        <v/>
      </c>
      <c r="T223" s="10">
        <f>IF(TRIM(M223&amp;"")="","",IF(ISNUMBER(MATCH(TRIM(M223&amp;""),설정_코드표!$C$2:$C$11,0)),TRIM(M223&amp;""),"⚠"&amp;TRIM(M223&amp;"")))</f>
        <v/>
      </c>
      <c r="U223" s="10">
        <f>IF(TRIM(L223&amp;"")="","",IFERROR(INDEX(설정_코드표!$G$2:$G$101,MATCH(TRIM(L223&amp;""),설정_코드표!$F$2:$F$101,0)),"⚠"&amp;TRIM(L223&amp;"")))</f>
        <v/>
      </c>
      <c r="V223" s="10">
        <f>IF(AND(ISNUMBER(H223),ISNUMBER(I223)),I223-H223+1,"")</f>
        <v/>
      </c>
      <c r="W223" s="17">
        <f>IF(ISNUMBER(H223),MAX(0,MIN(IF(ISNUMBER(I223),I223,EOMONTH(출력_요약!$B$3,0)),EOMONTH(출력_요약!$B$3,0))-MAX(H223,출력_요약!$B$3)+1),0)</f>
        <v/>
      </c>
      <c r="X223" s="10">
        <f>IF(OR(NOT(ISNUMBER(H223)),Q223=""),"",IF(TODAY()&lt;H223,"파견예정",IF(AND(ISNUMBER(I223),TODAY()&gt;I223),"파견종료","파견중")))</f>
        <v/>
      </c>
      <c r="Y223" s="10">
        <f>IF(OR(Q223="",X223=""),"",Q223&amp;"|"&amp;X223)</f>
        <v/>
      </c>
      <c r="Z223" s="10">
        <f>IF(AND(Q223&lt;&gt;"",W223&gt;0),Q223&amp;"|월","")</f>
        <v/>
      </c>
      <c r="AA223" s="10">
        <f>IF(COUNTA(B223:I223,K223:N223)=0,"",IF(Q223="","등록번호 없음",IF(LEFT(R223,1)="⚠","모병원명 미등록",IF(S223="","파견병원 입력",IF(LEFT(S223,1)="⚠","파견병원명 미등록",IF(LEFT(U223,1)="⚠","파견과목 미등록",IF(OR(T223="",LEFT(T223,1)="⚠"),"파견근거 확인",IF(NOT(AND(ISNUMBER(H223),ISNUMBER(I223))),"날짜 형식/누락",IF(I223&lt;H223,"종료일&lt;시작일","")))))))))</f>
        <v/>
      </c>
      <c r="AB223" s="11">
        <f>IF(ISNUMBER(SEARCH("다기관",TRIM(N223&amp;" "&amp;O223))),IFERROR(DATE(VALUE(MID(TRIM(N223&amp;" "&amp;O223),1,4)),VALUE(MID(TRIM(N223&amp;" "&amp;O223),6,2)),VALUE(MID(TRIM(N223&amp;" "&amp;O223),9,2))),IF(ISNUMBER(H223),H223,"")),"")</f>
        <v/>
      </c>
      <c r="AC223" s="11">
        <f>IF(ISNUMBER(SEARCH("다기관",TRIM(N223&amp;" "&amp;O223))),IFERROR(DATE(VALUE(MID(TRIM(N223&amp;" "&amp;O223),12,4)),VALUE(MID(TRIM(N223&amp;" "&amp;O223),17,2)),VALUE(MID(TRIM(N223&amp;" "&amp;O223),20,2))),IF(ISNUMBER(I223),I223,"")),"")</f>
        <v/>
      </c>
      <c r="AD223" s="17">
        <f>IF(AND(ISNUMBER(AB223),ISNUMBER(AC223)),MAX(0,MIN(AC223,EOMONTH(출력_요약!$B$3,0))-MAX(AB223,출력_요약!$B$3)+1),0)</f>
        <v/>
      </c>
      <c r="AE223" s="10">
        <f>IF(AND(Q223&lt;&gt;"",ISNUMBER(AB223)),Q223&amp;"|다기관","")</f>
        <v/>
      </c>
    </row>
    <row r="224">
      <c r="A224" s="15">
        <f>IF(F224="","",ROW()-3)</f>
        <v/>
      </c>
      <c r="B224" s="5" t="n"/>
      <c r="C224" s="15" t="n"/>
      <c r="D224" s="5" t="n"/>
      <c r="E224" s="15" t="n"/>
      <c r="F224" s="5" t="n"/>
      <c r="G224" s="6" t="n"/>
      <c r="H224" s="16" t="n"/>
      <c r="I224" s="16" t="n"/>
      <c r="J224" s="15">
        <f>IF(AND(ISNUMBER(H224),ISNUMBER(I224)),I224-H224+1,"")</f>
        <v/>
      </c>
      <c r="K224" s="5" t="n"/>
      <c r="L224" s="5" t="n"/>
      <c r="M224" s="5" t="n"/>
      <c r="N224" s="5" t="n"/>
      <c r="O224" s="5" t="n"/>
      <c r="Q224" s="10">
        <f>IF(TRIM(G224&amp;"")="","",TRIM(G224&amp;""))</f>
        <v/>
      </c>
      <c r="R224" s="10">
        <f>IF(TRIM(B224&amp;"")="","",IFERROR(INDEX(설정_코드표!$K$2:$K$101,MATCH(TRIM(B224&amp;""),설정_코드표!$J$2:$J$101,0)),"⚠"&amp;TRIM(B224&amp;"")))</f>
        <v/>
      </c>
      <c r="S224" s="10">
        <f>IF(TRIM(K224&amp;"")="","",IFERROR(INDEX(설정_코드표!$K$2:$K$101,MATCH(TRIM(K224&amp;""),설정_코드표!$J$2:$J$101,0)),"⚠"&amp;TRIM(K224&amp;"")))</f>
        <v/>
      </c>
      <c r="T224" s="10">
        <f>IF(TRIM(M224&amp;"")="","",IF(ISNUMBER(MATCH(TRIM(M224&amp;""),설정_코드표!$C$2:$C$11,0)),TRIM(M224&amp;""),"⚠"&amp;TRIM(M224&amp;"")))</f>
        <v/>
      </c>
      <c r="U224" s="10">
        <f>IF(TRIM(L224&amp;"")="","",IFERROR(INDEX(설정_코드표!$G$2:$G$101,MATCH(TRIM(L224&amp;""),설정_코드표!$F$2:$F$101,0)),"⚠"&amp;TRIM(L224&amp;"")))</f>
        <v/>
      </c>
      <c r="V224" s="10">
        <f>IF(AND(ISNUMBER(H224),ISNUMBER(I224)),I224-H224+1,"")</f>
        <v/>
      </c>
      <c r="W224" s="17">
        <f>IF(ISNUMBER(H224),MAX(0,MIN(IF(ISNUMBER(I224),I224,EOMONTH(출력_요약!$B$3,0)),EOMONTH(출력_요약!$B$3,0))-MAX(H224,출력_요약!$B$3)+1),0)</f>
        <v/>
      </c>
      <c r="X224" s="10">
        <f>IF(OR(NOT(ISNUMBER(H224)),Q224=""),"",IF(TODAY()&lt;H224,"파견예정",IF(AND(ISNUMBER(I224),TODAY()&gt;I224),"파견종료","파견중")))</f>
        <v/>
      </c>
      <c r="Y224" s="10">
        <f>IF(OR(Q224="",X224=""),"",Q224&amp;"|"&amp;X224)</f>
        <v/>
      </c>
      <c r="Z224" s="10">
        <f>IF(AND(Q224&lt;&gt;"",W224&gt;0),Q224&amp;"|월","")</f>
        <v/>
      </c>
      <c r="AA224" s="10">
        <f>IF(COUNTA(B224:I224,K224:N224)=0,"",IF(Q224="","등록번호 없음",IF(LEFT(R224,1)="⚠","모병원명 미등록",IF(S224="","파견병원 입력",IF(LEFT(S224,1)="⚠","파견병원명 미등록",IF(LEFT(U224,1)="⚠","파견과목 미등록",IF(OR(T224="",LEFT(T224,1)="⚠"),"파견근거 확인",IF(NOT(AND(ISNUMBER(H224),ISNUMBER(I224))),"날짜 형식/누락",IF(I224&lt;H224,"종료일&lt;시작일","")))))))))</f>
        <v/>
      </c>
      <c r="AB224" s="11">
        <f>IF(ISNUMBER(SEARCH("다기관",TRIM(N224&amp;" "&amp;O224))),IFERROR(DATE(VALUE(MID(TRIM(N224&amp;" "&amp;O224),1,4)),VALUE(MID(TRIM(N224&amp;" "&amp;O224),6,2)),VALUE(MID(TRIM(N224&amp;" "&amp;O224),9,2))),IF(ISNUMBER(H224),H224,"")),"")</f>
        <v/>
      </c>
      <c r="AC224" s="11">
        <f>IF(ISNUMBER(SEARCH("다기관",TRIM(N224&amp;" "&amp;O224))),IFERROR(DATE(VALUE(MID(TRIM(N224&amp;" "&amp;O224),12,4)),VALUE(MID(TRIM(N224&amp;" "&amp;O224),17,2)),VALUE(MID(TRIM(N224&amp;" "&amp;O224),20,2))),IF(ISNUMBER(I224),I224,"")),"")</f>
        <v/>
      </c>
      <c r="AD224" s="17">
        <f>IF(AND(ISNUMBER(AB224),ISNUMBER(AC224)),MAX(0,MIN(AC224,EOMONTH(출력_요약!$B$3,0))-MAX(AB224,출력_요약!$B$3)+1),0)</f>
        <v/>
      </c>
      <c r="AE224" s="10">
        <f>IF(AND(Q224&lt;&gt;"",ISNUMBER(AB224)),Q224&amp;"|다기관","")</f>
        <v/>
      </c>
    </row>
    <row r="225">
      <c r="A225" s="15">
        <f>IF(F225="","",ROW()-3)</f>
        <v/>
      </c>
      <c r="B225" s="5" t="n"/>
      <c r="C225" s="15" t="n"/>
      <c r="D225" s="5" t="n"/>
      <c r="E225" s="15" t="n"/>
      <c r="F225" s="5" t="n"/>
      <c r="G225" s="6" t="n"/>
      <c r="H225" s="16" t="n"/>
      <c r="I225" s="16" t="n"/>
      <c r="J225" s="15">
        <f>IF(AND(ISNUMBER(H225),ISNUMBER(I225)),I225-H225+1,"")</f>
        <v/>
      </c>
      <c r="K225" s="5" t="n"/>
      <c r="L225" s="5" t="n"/>
      <c r="M225" s="5" t="n"/>
      <c r="N225" s="5" t="n"/>
      <c r="O225" s="5" t="n"/>
      <c r="Q225" s="10">
        <f>IF(TRIM(G225&amp;"")="","",TRIM(G225&amp;""))</f>
        <v/>
      </c>
      <c r="R225" s="10">
        <f>IF(TRIM(B225&amp;"")="","",IFERROR(INDEX(설정_코드표!$K$2:$K$101,MATCH(TRIM(B225&amp;""),설정_코드표!$J$2:$J$101,0)),"⚠"&amp;TRIM(B225&amp;"")))</f>
        <v/>
      </c>
      <c r="S225" s="10">
        <f>IF(TRIM(K225&amp;"")="","",IFERROR(INDEX(설정_코드표!$K$2:$K$101,MATCH(TRIM(K225&amp;""),설정_코드표!$J$2:$J$101,0)),"⚠"&amp;TRIM(K225&amp;"")))</f>
        <v/>
      </c>
      <c r="T225" s="10">
        <f>IF(TRIM(M225&amp;"")="","",IF(ISNUMBER(MATCH(TRIM(M225&amp;""),설정_코드표!$C$2:$C$11,0)),TRIM(M225&amp;""),"⚠"&amp;TRIM(M225&amp;"")))</f>
        <v/>
      </c>
      <c r="U225" s="10">
        <f>IF(TRIM(L225&amp;"")="","",IFERROR(INDEX(설정_코드표!$G$2:$G$101,MATCH(TRIM(L225&amp;""),설정_코드표!$F$2:$F$101,0)),"⚠"&amp;TRIM(L225&amp;"")))</f>
        <v/>
      </c>
      <c r="V225" s="10">
        <f>IF(AND(ISNUMBER(H225),ISNUMBER(I225)),I225-H225+1,"")</f>
        <v/>
      </c>
      <c r="W225" s="17">
        <f>IF(ISNUMBER(H225),MAX(0,MIN(IF(ISNUMBER(I225),I225,EOMONTH(출력_요약!$B$3,0)),EOMONTH(출력_요약!$B$3,0))-MAX(H225,출력_요약!$B$3)+1),0)</f>
        <v/>
      </c>
      <c r="X225" s="10">
        <f>IF(OR(NOT(ISNUMBER(H225)),Q225=""),"",IF(TODAY()&lt;H225,"파견예정",IF(AND(ISNUMBER(I225),TODAY()&gt;I225),"파견종료","파견중")))</f>
        <v/>
      </c>
      <c r="Y225" s="10">
        <f>IF(OR(Q225="",X225=""),"",Q225&amp;"|"&amp;X225)</f>
        <v/>
      </c>
      <c r="Z225" s="10">
        <f>IF(AND(Q225&lt;&gt;"",W225&gt;0),Q225&amp;"|월","")</f>
        <v/>
      </c>
      <c r="AA225" s="10">
        <f>IF(COUNTA(B225:I225,K225:N225)=0,"",IF(Q225="","등록번호 없음",IF(LEFT(R225,1)="⚠","모병원명 미등록",IF(S225="","파견병원 입력",IF(LEFT(S225,1)="⚠","파견병원명 미등록",IF(LEFT(U225,1)="⚠","파견과목 미등록",IF(OR(T225="",LEFT(T225,1)="⚠"),"파견근거 확인",IF(NOT(AND(ISNUMBER(H225),ISNUMBER(I225))),"날짜 형식/누락",IF(I225&lt;H225,"종료일&lt;시작일","")))))))))</f>
        <v/>
      </c>
      <c r="AB225" s="11">
        <f>IF(ISNUMBER(SEARCH("다기관",TRIM(N225&amp;" "&amp;O225))),IFERROR(DATE(VALUE(MID(TRIM(N225&amp;" "&amp;O225),1,4)),VALUE(MID(TRIM(N225&amp;" "&amp;O225),6,2)),VALUE(MID(TRIM(N225&amp;" "&amp;O225),9,2))),IF(ISNUMBER(H225),H225,"")),"")</f>
        <v/>
      </c>
      <c r="AC225" s="11">
        <f>IF(ISNUMBER(SEARCH("다기관",TRIM(N225&amp;" "&amp;O225))),IFERROR(DATE(VALUE(MID(TRIM(N225&amp;" "&amp;O225),12,4)),VALUE(MID(TRIM(N225&amp;" "&amp;O225),17,2)),VALUE(MID(TRIM(N225&amp;" "&amp;O225),20,2))),IF(ISNUMBER(I225),I225,"")),"")</f>
        <v/>
      </c>
      <c r="AD225" s="17">
        <f>IF(AND(ISNUMBER(AB225),ISNUMBER(AC225)),MAX(0,MIN(AC225,EOMONTH(출력_요약!$B$3,0))-MAX(AB225,출력_요약!$B$3)+1),0)</f>
        <v/>
      </c>
      <c r="AE225" s="10">
        <f>IF(AND(Q225&lt;&gt;"",ISNUMBER(AB225)),Q225&amp;"|다기관","")</f>
        <v/>
      </c>
    </row>
    <row r="226">
      <c r="A226" s="15">
        <f>IF(F226="","",ROW()-3)</f>
        <v/>
      </c>
      <c r="B226" s="5" t="n"/>
      <c r="C226" s="15" t="n"/>
      <c r="D226" s="5" t="n"/>
      <c r="E226" s="15" t="n"/>
      <c r="F226" s="5" t="n"/>
      <c r="G226" s="6" t="n"/>
      <c r="H226" s="16" t="n"/>
      <c r="I226" s="16" t="n"/>
      <c r="J226" s="15">
        <f>IF(AND(ISNUMBER(H226),ISNUMBER(I226)),I226-H226+1,"")</f>
        <v/>
      </c>
      <c r="K226" s="5" t="n"/>
      <c r="L226" s="5" t="n"/>
      <c r="M226" s="5" t="n"/>
      <c r="N226" s="5" t="n"/>
      <c r="O226" s="5" t="n"/>
      <c r="Q226" s="10">
        <f>IF(TRIM(G226&amp;"")="","",TRIM(G226&amp;""))</f>
        <v/>
      </c>
      <c r="R226" s="10">
        <f>IF(TRIM(B226&amp;"")="","",IFERROR(INDEX(설정_코드표!$K$2:$K$101,MATCH(TRIM(B226&amp;""),설정_코드표!$J$2:$J$101,0)),"⚠"&amp;TRIM(B226&amp;"")))</f>
        <v/>
      </c>
      <c r="S226" s="10">
        <f>IF(TRIM(K226&amp;"")="","",IFERROR(INDEX(설정_코드표!$K$2:$K$101,MATCH(TRIM(K226&amp;""),설정_코드표!$J$2:$J$101,0)),"⚠"&amp;TRIM(K226&amp;"")))</f>
        <v/>
      </c>
      <c r="T226" s="10">
        <f>IF(TRIM(M226&amp;"")="","",IF(ISNUMBER(MATCH(TRIM(M226&amp;""),설정_코드표!$C$2:$C$11,0)),TRIM(M226&amp;""),"⚠"&amp;TRIM(M226&amp;"")))</f>
        <v/>
      </c>
      <c r="U226" s="10">
        <f>IF(TRIM(L226&amp;"")="","",IFERROR(INDEX(설정_코드표!$G$2:$G$101,MATCH(TRIM(L226&amp;""),설정_코드표!$F$2:$F$101,0)),"⚠"&amp;TRIM(L226&amp;"")))</f>
        <v/>
      </c>
      <c r="V226" s="10">
        <f>IF(AND(ISNUMBER(H226),ISNUMBER(I226)),I226-H226+1,"")</f>
        <v/>
      </c>
      <c r="W226" s="17">
        <f>IF(ISNUMBER(H226),MAX(0,MIN(IF(ISNUMBER(I226),I226,EOMONTH(출력_요약!$B$3,0)),EOMONTH(출력_요약!$B$3,0))-MAX(H226,출력_요약!$B$3)+1),0)</f>
        <v/>
      </c>
      <c r="X226" s="10">
        <f>IF(OR(NOT(ISNUMBER(H226)),Q226=""),"",IF(TODAY()&lt;H226,"파견예정",IF(AND(ISNUMBER(I226),TODAY()&gt;I226),"파견종료","파견중")))</f>
        <v/>
      </c>
      <c r="Y226" s="10">
        <f>IF(OR(Q226="",X226=""),"",Q226&amp;"|"&amp;X226)</f>
        <v/>
      </c>
      <c r="Z226" s="10">
        <f>IF(AND(Q226&lt;&gt;"",W226&gt;0),Q226&amp;"|월","")</f>
        <v/>
      </c>
      <c r="AA226" s="10">
        <f>IF(COUNTA(B226:I226,K226:N226)=0,"",IF(Q226="","등록번호 없음",IF(LEFT(R226,1)="⚠","모병원명 미등록",IF(S226="","파견병원 입력",IF(LEFT(S226,1)="⚠","파견병원명 미등록",IF(LEFT(U226,1)="⚠","파견과목 미등록",IF(OR(T226="",LEFT(T226,1)="⚠"),"파견근거 확인",IF(NOT(AND(ISNUMBER(H226),ISNUMBER(I226))),"날짜 형식/누락",IF(I226&lt;H226,"종료일&lt;시작일","")))))))))</f>
        <v/>
      </c>
      <c r="AB226" s="11">
        <f>IF(ISNUMBER(SEARCH("다기관",TRIM(N226&amp;" "&amp;O226))),IFERROR(DATE(VALUE(MID(TRIM(N226&amp;" "&amp;O226),1,4)),VALUE(MID(TRIM(N226&amp;" "&amp;O226),6,2)),VALUE(MID(TRIM(N226&amp;" "&amp;O226),9,2))),IF(ISNUMBER(H226),H226,"")),"")</f>
        <v/>
      </c>
      <c r="AC226" s="11">
        <f>IF(ISNUMBER(SEARCH("다기관",TRIM(N226&amp;" "&amp;O226))),IFERROR(DATE(VALUE(MID(TRIM(N226&amp;" "&amp;O226),12,4)),VALUE(MID(TRIM(N226&amp;" "&amp;O226),17,2)),VALUE(MID(TRIM(N226&amp;" "&amp;O226),20,2))),IF(ISNUMBER(I226),I226,"")),"")</f>
        <v/>
      </c>
      <c r="AD226" s="17">
        <f>IF(AND(ISNUMBER(AB226),ISNUMBER(AC226)),MAX(0,MIN(AC226,EOMONTH(출력_요약!$B$3,0))-MAX(AB226,출력_요약!$B$3)+1),0)</f>
        <v/>
      </c>
      <c r="AE226" s="10">
        <f>IF(AND(Q226&lt;&gt;"",ISNUMBER(AB226)),Q226&amp;"|다기관","")</f>
        <v/>
      </c>
    </row>
    <row r="227">
      <c r="A227" s="15">
        <f>IF(F227="","",ROW()-3)</f>
        <v/>
      </c>
      <c r="B227" s="5" t="n"/>
      <c r="C227" s="15" t="n"/>
      <c r="D227" s="5" t="n"/>
      <c r="E227" s="15" t="n"/>
      <c r="F227" s="5" t="n"/>
      <c r="G227" s="6" t="n"/>
      <c r="H227" s="16" t="n"/>
      <c r="I227" s="16" t="n"/>
      <c r="J227" s="15">
        <f>IF(AND(ISNUMBER(H227),ISNUMBER(I227)),I227-H227+1,"")</f>
        <v/>
      </c>
      <c r="K227" s="5" t="n"/>
      <c r="L227" s="5" t="n"/>
      <c r="M227" s="5" t="n"/>
      <c r="N227" s="5" t="n"/>
      <c r="O227" s="5" t="n"/>
      <c r="Q227" s="10">
        <f>IF(TRIM(G227&amp;"")="","",TRIM(G227&amp;""))</f>
        <v/>
      </c>
      <c r="R227" s="10">
        <f>IF(TRIM(B227&amp;"")="","",IFERROR(INDEX(설정_코드표!$K$2:$K$101,MATCH(TRIM(B227&amp;""),설정_코드표!$J$2:$J$101,0)),"⚠"&amp;TRIM(B227&amp;"")))</f>
        <v/>
      </c>
      <c r="S227" s="10">
        <f>IF(TRIM(K227&amp;"")="","",IFERROR(INDEX(설정_코드표!$K$2:$K$101,MATCH(TRIM(K227&amp;""),설정_코드표!$J$2:$J$101,0)),"⚠"&amp;TRIM(K227&amp;"")))</f>
        <v/>
      </c>
      <c r="T227" s="10">
        <f>IF(TRIM(M227&amp;"")="","",IF(ISNUMBER(MATCH(TRIM(M227&amp;""),설정_코드표!$C$2:$C$11,0)),TRIM(M227&amp;""),"⚠"&amp;TRIM(M227&amp;"")))</f>
        <v/>
      </c>
      <c r="U227" s="10">
        <f>IF(TRIM(L227&amp;"")="","",IFERROR(INDEX(설정_코드표!$G$2:$G$101,MATCH(TRIM(L227&amp;""),설정_코드표!$F$2:$F$101,0)),"⚠"&amp;TRIM(L227&amp;"")))</f>
        <v/>
      </c>
      <c r="V227" s="10">
        <f>IF(AND(ISNUMBER(H227),ISNUMBER(I227)),I227-H227+1,"")</f>
        <v/>
      </c>
      <c r="W227" s="17">
        <f>IF(ISNUMBER(H227),MAX(0,MIN(IF(ISNUMBER(I227),I227,EOMONTH(출력_요약!$B$3,0)),EOMONTH(출력_요약!$B$3,0))-MAX(H227,출력_요약!$B$3)+1),0)</f>
        <v/>
      </c>
      <c r="X227" s="10">
        <f>IF(OR(NOT(ISNUMBER(H227)),Q227=""),"",IF(TODAY()&lt;H227,"파견예정",IF(AND(ISNUMBER(I227),TODAY()&gt;I227),"파견종료","파견중")))</f>
        <v/>
      </c>
      <c r="Y227" s="10">
        <f>IF(OR(Q227="",X227=""),"",Q227&amp;"|"&amp;X227)</f>
        <v/>
      </c>
      <c r="Z227" s="10">
        <f>IF(AND(Q227&lt;&gt;"",W227&gt;0),Q227&amp;"|월","")</f>
        <v/>
      </c>
      <c r="AA227" s="10">
        <f>IF(COUNTA(B227:I227,K227:N227)=0,"",IF(Q227="","등록번호 없음",IF(LEFT(R227,1)="⚠","모병원명 미등록",IF(S227="","파견병원 입력",IF(LEFT(S227,1)="⚠","파견병원명 미등록",IF(LEFT(U227,1)="⚠","파견과목 미등록",IF(OR(T227="",LEFT(T227,1)="⚠"),"파견근거 확인",IF(NOT(AND(ISNUMBER(H227),ISNUMBER(I227))),"날짜 형식/누락",IF(I227&lt;H227,"종료일&lt;시작일","")))))))))</f>
        <v/>
      </c>
      <c r="AB227" s="11">
        <f>IF(ISNUMBER(SEARCH("다기관",TRIM(N227&amp;" "&amp;O227))),IFERROR(DATE(VALUE(MID(TRIM(N227&amp;" "&amp;O227),1,4)),VALUE(MID(TRIM(N227&amp;" "&amp;O227),6,2)),VALUE(MID(TRIM(N227&amp;" "&amp;O227),9,2))),IF(ISNUMBER(H227),H227,"")),"")</f>
        <v/>
      </c>
      <c r="AC227" s="11">
        <f>IF(ISNUMBER(SEARCH("다기관",TRIM(N227&amp;" "&amp;O227))),IFERROR(DATE(VALUE(MID(TRIM(N227&amp;" "&amp;O227),12,4)),VALUE(MID(TRIM(N227&amp;" "&amp;O227),17,2)),VALUE(MID(TRIM(N227&amp;" "&amp;O227),20,2))),IF(ISNUMBER(I227),I227,"")),"")</f>
        <v/>
      </c>
      <c r="AD227" s="17">
        <f>IF(AND(ISNUMBER(AB227),ISNUMBER(AC227)),MAX(0,MIN(AC227,EOMONTH(출력_요약!$B$3,0))-MAX(AB227,출력_요약!$B$3)+1),0)</f>
        <v/>
      </c>
      <c r="AE227" s="10">
        <f>IF(AND(Q227&lt;&gt;"",ISNUMBER(AB227)),Q227&amp;"|다기관","")</f>
        <v/>
      </c>
    </row>
    <row r="228">
      <c r="A228" s="15">
        <f>IF(F228="","",ROW()-3)</f>
        <v/>
      </c>
      <c r="B228" s="5" t="n"/>
      <c r="C228" s="15" t="n"/>
      <c r="D228" s="5" t="n"/>
      <c r="E228" s="15" t="n"/>
      <c r="F228" s="5" t="n"/>
      <c r="G228" s="6" t="n"/>
      <c r="H228" s="16" t="n"/>
      <c r="I228" s="16" t="n"/>
      <c r="J228" s="15">
        <f>IF(AND(ISNUMBER(H228),ISNUMBER(I228)),I228-H228+1,"")</f>
        <v/>
      </c>
      <c r="K228" s="5" t="n"/>
      <c r="L228" s="5" t="n"/>
      <c r="M228" s="5" t="n"/>
      <c r="N228" s="5" t="n"/>
      <c r="O228" s="5" t="n"/>
      <c r="Q228" s="10">
        <f>IF(TRIM(G228&amp;"")="","",TRIM(G228&amp;""))</f>
        <v/>
      </c>
      <c r="R228" s="10">
        <f>IF(TRIM(B228&amp;"")="","",IFERROR(INDEX(설정_코드표!$K$2:$K$101,MATCH(TRIM(B228&amp;""),설정_코드표!$J$2:$J$101,0)),"⚠"&amp;TRIM(B228&amp;"")))</f>
        <v/>
      </c>
      <c r="S228" s="10">
        <f>IF(TRIM(K228&amp;"")="","",IFERROR(INDEX(설정_코드표!$K$2:$K$101,MATCH(TRIM(K228&amp;""),설정_코드표!$J$2:$J$101,0)),"⚠"&amp;TRIM(K228&amp;"")))</f>
        <v/>
      </c>
      <c r="T228" s="10">
        <f>IF(TRIM(M228&amp;"")="","",IF(ISNUMBER(MATCH(TRIM(M228&amp;""),설정_코드표!$C$2:$C$11,0)),TRIM(M228&amp;""),"⚠"&amp;TRIM(M228&amp;"")))</f>
        <v/>
      </c>
      <c r="U228" s="10">
        <f>IF(TRIM(L228&amp;"")="","",IFERROR(INDEX(설정_코드표!$G$2:$G$101,MATCH(TRIM(L228&amp;""),설정_코드표!$F$2:$F$101,0)),"⚠"&amp;TRIM(L228&amp;"")))</f>
        <v/>
      </c>
      <c r="V228" s="10">
        <f>IF(AND(ISNUMBER(H228),ISNUMBER(I228)),I228-H228+1,"")</f>
        <v/>
      </c>
      <c r="W228" s="17">
        <f>IF(ISNUMBER(H228),MAX(0,MIN(IF(ISNUMBER(I228),I228,EOMONTH(출력_요약!$B$3,0)),EOMONTH(출력_요약!$B$3,0))-MAX(H228,출력_요약!$B$3)+1),0)</f>
        <v/>
      </c>
      <c r="X228" s="10">
        <f>IF(OR(NOT(ISNUMBER(H228)),Q228=""),"",IF(TODAY()&lt;H228,"파견예정",IF(AND(ISNUMBER(I228),TODAY()&gt;I228),"파견종료","파견중")))</f>
        <v/>
      </c>
      <c r="Y228" s="10">
        <f>IF(OR(Q228="",X228=""),"",Q228&amp;"|"&amp;X228)</f>
        <v/>
      </c>
      <c r="Z228" s="10">
        <f>IF(AND(Q228&lt;&gt;"",W228&gt;0),Q228&amp;"|월","")</f>
        <v/>
      </c>
      <c r="AA228" s="10">
        <f>IF(COUNTA(B228:I228,K228:N228)=0,"",IF(Q228="","등록번호 없음",IF(LEFT(R228,1)="⚠","모병원명 미등록",IF(S228="","파견병원 입력",IF(LEFT(S228,1)="⚠","파견병원명 미등록",IF(LEFT(U228,1)="⚠","파견과목 미등록",IF(OR(T228="",LEFT(T228,1)="⚠"),"파견근거 확인",IF(NOT(AND(ISNUMBER(H228),ISNUMBER(I228))),"날짜 형식/누락",IF(I228&lt;H228,"종료일&lt;시작일","")))))))))</f>
        <v/>
      </c>
      <c r="AB228" s="11">
        <f>IF(ISNUMBER(SEARCH("다기관",TRIM(N228&amp;" "&amp;O228))),IFERROR(DATE(VALUE(MID(TRIM(N228&amp;" "&amp;O228),1,4)),VALUE(MID(TRIM(N228&amp;" "&amp;O228),6,2)),VALUE(MID(TRIM(N228&amp;" "&amp;O228),9,2))),IF(ISNUMBER(H228),H228,"")),"")</f>
        <v/>
      </c>
      <c r="AC228" s="11">
        <f>IF(ISNUMBER(SEARCH("다기관",TRIM(N228&amp;" "&amp;O228))),IFERROR(DATE(VALUE(MID(TRIM(N228&amp;" "&amp;O228),12,4)),VALUE(MID(TRIM(N228&amp;" "&amp;O228),17,2)),VALUE(MID(TRIM(N228&amp;" "&amp;O228),20,2))),IF(ISNUMBER(I228),I228,"")),"")</f>
        <v/>
      </c>
      <c r="AD228" s="17">
        <f>IF(AND(ISNUMBER(AB228),ISNUMBER(AC228)),MAX(0,MIN(AC228,EOMONTH(출력_요약!$B$3,0))-MAX(AB228,출력_요약!$B$3)+1),0)</f>
        <v/>
      </c>
      <c r="AE228" s="10">
        <f>IF(AND(Q228&lt;&gt;"",ISNUMBER(AB228)),Q228&amp;"|다기관","")</f>
        <v/>
      </c>
    </row>
    <row r="229">
      <c r="A229" s="15">
        <f>IF(F229="","",ROW()-3)</f>
        <v/>
      </c>
      <c r="B229" s="5" t="n"/>
      <c r="C229" s="15" t="n"/>
      <c r="D229" s="5" t="n"/>
      <c r="E229" s="15" t="n"/>
      <c r="F229" s="5" t="n"/>
      <c r="G229" s="6" t="n"/>
      <c r="H229" s="16" t="n"/>
      <c r="I229" s="16" t="n"/>
      <c r="J229" s="15">
        <f>IF(AND(ISNUMBER(H229),ISNUMBER(I229)),I229-H229+1,"")</f>
        <v/>
      </c>
      <c r="K229" s="5" t="n"/>
      <c r="L229" s="5" t="n"/>
      <c r="M229" s="5" t="n"/>
      <c r="N229" s="5" t="n"/>
      <c r="O229" s="5" t="n"/>
      <c r="Q229" s="10">
        <f>IF(TRIM(G229&amp;"")="","",TRIM(G229&amp;""))</f>
        <v/>
      </c>
      <c r="R229" s="10">
        <f>IF(TRIM(B229&amp;"")="","",IFERROR(INDEX(설정_코드표!$K$2:$K$101,MATCH(TRIM(B229&amp;""),설정_코드표!$J$2:$J$101,0)),"⚠"&amp;TRIM(B229&amp;"")))</f>
        <v/>
      </c>
      <c r="S229" s="10">
        <f>IF(TRIM(K229&amp;"")="","",IFERROR(INDEX(설정_코드표!$K$2:$K$101,MATCH(TRIM(K229&amp;""),설정_코드표!$J$2:$J$101,0)),"⚠"&amp;TRIM(K229&amp;"")))</f>
        <v/>
      </c>
      <c r="T229" s="10">
        <f>IF(TRIM(M229&amp;"")="","",IF(ISNUMBER(MATCH(TRIM(M229&amp;""),설정_코드표!$C$2:$C$11,0)),TRIM(M229&amp;""),"⚠"&amp;TRIM(M229&amp;"")))</f>
        <v/>
      </c>
      <c r="U229" s="10">
        <f>IF(TRIM(L229&amp;"")="","",IFERROR(INDEX(설정_코드표!$G$2:$G$101,MATCH(TRIM(L229&amp;""),설정_코드표!$F$2:$F$101,0)),"⚠"&amp;TRIM(L229&amp;"")))</f>
        <v/>
      </c>
      <c r="V229" s="10">
        <f>IF(AND(ISNUMBER(H229),ISNUMBER(I229)),I229-H229+1,"")</f>
        <v/>
      </c>
      <c r="W229" s="17">
        <f>IF(ISNUMBER(H229),MAX(0,MIN(IF(ISNUMBER(I229),I229,EOMONTH(출력_요약!$B$3,0)),EOMONTH(출력_요약!$B$3,0))-MAX(H229,출력_요약!$B$3)+1),0)</f>
        <v/>
      </c>
      <c r="X229" s="10">
        <f>IF(OR(NOT(ISNUMBER(H229)),Q229=""),"",IF(TODAY()&lt;H229,"파견예정",IF(AND(ISNUMBER(I229),TODAY()&gt;I229),"파견종료","파견중")))</f>
        <v/>
      </c>
      <c r="Y229" s="10">
        <f>IF(OR(Q229="",X229=""),"",Q229&amp;"|"&amp;X229)</f>
        <v/>
      </c>
      <c r="Z229" s="10">
        <f>IF(AND(Q229&lt;&gt;"",W229&gt;0),Q229&amp;"|월","")</f>
        <v/>
      </c>
      <c r="AA229" s="10">
        <f>IF(COUNTA(B229:I229,K229:N229)=0,"",IF(Q229="","등록번호 없음",IF(LEFT(R229,1)="⚠","모병원명 미등록",IF(S229="","파견병원 입력",IF(LEFT(S229,1)="⚠","파견병원명 미등록",IF(LEFT(U229,1)="⚠","파견과목 미등록",IF(OR(T229="",LEFT(T229,1)="⚠"),"파견근거 확인",IF(NOT(AND(ISNUMBER(H229),ISNUMBER(I229))),"날짜 형식/누락",IF(I229&lt;H229,"종료일&lt;시작일","")))))))))</f>
        <v/>
      </c>
      <c r="AB229" s="11">
        <f>IF(ISNUMBER(SEARCH("다기관",TRIM(N229&amp;" "&amp;O229))),IFERROR(DATE(VALUE(MID(TRIM(N229&amp;" "&amp;O229),1,4)),VALUE(MID(TRIM(N229&amp;" "&amp;O229),6,2)),VALUE(MID(TRIM(N229&amp;" "&amp;O229),9,2))),IF(ISNUMBER(H229),H229,"")),"")</f>
        <v/>
      </c>
      <c r="AC229" s="11">
        <f>IF(ISNUMBER(SEARCH("다기관",TRIM(N229&amp;" "&amp;O229))),IFERROR(DATE(VALUE(MID(TRIM(N229&amp;" "&amp;O229),12,4)),VALUE(MID(TRIM(N229&amp;" "&amp;O229),17,2)),VALUE(MID(TRIM(N229&amp;" "&amp;O229),20,2))),IF(ISNUMBER(I229),I229,"")),"")</f>
        <v/>
      </c>
      <c r="AD229" s="17">
        <f>IF(AND(ISNUMBER(AB229),ISNUMBER(AC229)),MAX(0,MIN(AC229,EOMONTH(출력_요약!$B$3,0))-MAX(AB229,출력_요약!$B$3)+1),0)</f>
        <v/>
      </c>
      <c r="AE229" s="10">
        <f>IF(AND(Q229&lt;&gt;"",ISNUMBER(AB229)),Q229&amp;"|다기관","")</f>
        <v/>
      </c>
    </row>
    <row r="230">
      <c r="A230" s="15">
        <f>IF(F230="","",ROW()-3)</f>
        <v/>
      </c>
      <c r="B230" s="5" t="n"/>
      <c r="C230" s="15" t="n"/>
      <c r="D230" s="5" t="n"/>
      <c r="E230" s="15" t="n"/>
      <c r="F230" s="5" t="n"/>
      <c r="G230" s="6" t="n"/>
      <c r="H230" s="16" t="n"/>
      <c r="I230" s="16" t="n"/>
      <c r="J230" s="15">
        <f>IF(AND(ISNUMBER(H230),ISNUMBER(I230)),I230-H230+1,"")</f>
        <v/>
      </c>
      <c r="K230" s="5" t="n"/>
      <c r="L230" s="5" t="n"/>
      <c r="M230" s="5" t="n"/>
      <c r="N230" s="5" t="n"/>
      <c r="O230" s="5" t="n"/>
      <c r="Q230" s="10">
        <f>IF(TRIM(G230&amp;"")="","",TRIM(G230&amp;""))</f>
        <v/>
      </c>
      <c r="R230" s="10">
        <f>IF(TRIM(B230&amp;"")="","",IFERROR(INDEX(설정_코드표!$K$2:$K$101,MATCH(TRIM(B230&amp;""),설정_코드표!$J$2:$J$101,0)),"⚠"&amp;TRIM(B230&amp;"")))</f>
        <v/>
      </c>
      <c r="S230" s="10">
        <f>IF(TRIM(K230&amp;"")="","",IFERROR(INDEX(설정_코드표!$K$2:$K$101,MATCH(TRIM(K230&amp;""),설정_코드표!$J$2:$J$101,0)),"⚠"&amp;TRIM(K230&amp;"")))</f>
        <v/>
      </c>
      <c r="T230" s="10">
        <f>IF(TRIM(M230&amp;"")="","",IF(ISNUMBER(MATCH(TRIM(M230&amp;""),설정_코드표!$C$2:$C$11,0)),TRIM(M230&amp;""),"⚠"&amp;TRIM(M230&amp;"")))</f>
        <v/>
      </c>
      <c r="U230" s="10">
        <f>IF(TRIM(L230&amp;"")="","",IFERROR(INDEX(설정_코드표!$G$2:$G$101,MATCH(TRIM(L230&amp;""),설정_코드표!$F$2:$F$101,0)),"⚠"&amp;TRIM(L230&amp;"")))</f>
        <v/>
      </c>
      <c r="V230" s="10">
        <f>IF(AND(ISNUMBER(H230),ISNUMBER(I230)),I230-H230+1,"")</f>
        <v/>
      </c>
      <c r="W230" s="17">
        <f>IF(ISNUMBER(H230),MAX(0,MIN(IF(ISNUMBER(I230),I230,EOMONTH(출력_요약!$B$3,0)),EOMONTH(출력_요약!$B$3,0))-MAX(H230,출력_요약!$B$3)+1),0)</f>
        <v/>
      </c>
      <c r="X230" s="10">
        <f>IF(OR(NOT(ISNUMBER(H230)),Q230=""),"",IF(TODAY()&lt;H230,"파견예정",IF(AND(ISNUMBER(I230),TODAY()&gt;I230),"파견종료","파견중")))</f>
        <v/>
      </c>
      <c r="Y230" s="10">
        <f>IF(OR(Q230="",X230=""),"",Q230&amp;"|"&amp;X230)</f>
        <v/>
      </c>
      <c r="Z230" s="10">
        <f>IF(AND(Q230&lt;&gt;"",W230&gt;0),Q230&amp;"|월","")</f>
        <v/>
      </c>
      <c r="AA230" s="10">
        <f>IF(COUNTA(B230:I230,K230:N230)=0,"",IF(Q230="","등록번호 없음",IF(LEFT(R230,1)="⚠","모병원명 미등록",IF(S230="","파견병원 입력",IF(LEFT(S230,1)="⚠","파견병원명 미등록",IF(LEFT(U230,1)="⚠","파견과목 미등록",IF(OR(T230="",LEFT(T230,1)="⚠"),"파견근거 확인",IF(NOT(AND(ISNUMBER(H230),ISNUMBER(I230))),"날짜 형식/누락",IF(I230&lt;H230,"종료일&lt;시작일","")))))))))</f>
        <v/>
      </c>
      <c r="AB230" s="11">
        <f>IF(ISNUMBER(SEARCH("다기관",TRIM(N230&amp;" "&amp;O230))),IFERROR(DATE(VALUE(MID(TRIM(N230&amp;" "&amp;O230),1,4)),VALUE(MID(TRIM(N230&amp;" "&amp;O230),6,2)),VALUE(MID(TRIM(N230&amp;" "&amp;O230),9,2))),IF(ISNUMBER(H230),H230,"")),"")</f>
        <v/>
      </c>
      <c r="AC230" s="11">
        <f>IF(ISNUMBER(SEARCH("다기관",TRIM(N230&amp;" "&amp;O230))),IFERROR(DATE(VALUE(MID(TRIM(N230&amp;" "&amp;O230),12,4)),VALUE(MID(TRIM(N230&amp;" "&amp;O230),17,2)),VALUE(MID(TRIM(N230&amp;" "&amp;O230),20,2))),IF(ISNUMBER(I230),I230,"")),"")</f>
        <v/>
      </c>
      <c r="AD230" s="17">
        <f>IF(AND(ISNUMBER(AB230),ISNUMBER(AC230)),MAX(0,MIN(AC230,EOMONTH(출력_요약!$B$3,0))-MAX(AB230,출력_요약!$B$3)+1),0)</f>
        <v/>
      </c>
      <c r="AE230" s="10">
        <f>IF(AND(Q230&lt;&gt;"",ISNUMBER(AB230)),Q230&amp;"|다기관","")</f>
        <v/>
      </c>
    </row>
    <row r="231">
      <c r="A231" s="15">
        <f>IF(F231="","",ROW()-3)</f>
        <v/>
      </c>
      <c r="B231" s="5" t="n"/>
      <c r="C231" s="15" t="n"/>
      <c r="D231" s="5" t="n"/>
      <c r="E231" s="15" t="n"/>
      <c r="F231" s="5" t="n"/>
      <c r="G231" s="6" t="n"/>
      <c r="H231" s="16" t="n"/>
      <c r="I231" s="16" t="n"/>
      <c r="J231" s="15">
        <f>IF(AND(ISNUMBER(H231),ISNUMBER(I231)),I231-H231+1,"")</f>
        <v/>
      </c>
      <c r="K231" s="5" t="n"/>
      <c r="L231" s="5" t="n"/>
      <c r="M231" s="5" t="n"/>
      <c r="N231" s="5" t="n"/>
      <c r="O231" s="5" t="n"/>
      <c r="Q231" s="10">
        <f>IF(TRIM(G231&amp;"")="","",TRIM(G231&amp;""))</f>
        <v/>
      </c>
      <c r="R231" s="10">
        <f>IF(TRIM(B231&amp;"")="","",IFERROR(INDEX(설정_코드표!$K$2:$K$101,MATCH(TRIM(B231&amp;""),설정_코드표!$J$2:$J$101,0)),"⚠"&amp;TRIM(B231&amp;"")))</f>
        <v/>
      </c>
      <c r="S231" s="10">
        <f>IF(TRIM(K231&amp;"")="","",IFERROR(INDEX(설정_코드표!$K$2:$K$101,MATCH(TRIM(K231&amp;""),설정_코드표!$J$2:$J$101,0)),"⚠"&amp;TRIM(K231&amp;"")))</f>
        <v/>
      </c>
      <c r="T231" s="10">
        <f>IF(TRIM(M231&amp;"")="","",IF(ISNUMBER(MATCH(TRIM(M231&amp;""),설정_코드표!$C$2:$C$11,0)),TRIM(M231&amp;""),"⚠"&amp;TRIM(M231&amp;"")))</f>
        <v/>
      </c>
      <c r="U231" s="10">
        <f>IF(TRIM(L231&amp;"")="","",IFERROR(INDEX(설정_코드표!$G$2:$G$101,MATCH(TRIM(L231&amp;""),설정_코드표!$F$2:$F$101,0)),"⚠"&amp;TRIM(L231&amp;"")))</f>
        <v/>
      </c>
      <c r="V231" s="10">
        <f>IF(AND(ISNUMBER(H231),ISNUMBER(I231)),I231-H231+1,"")</f>
        <v/>
      </c>
      <c r="W231" s="17">
        <f>IF(ISNUMBER(H231),MAX(0,MIN(IF(ISNUMBER(I231),I231,EOMONTH(출력_요약!$B$3,0)),EOMONTH(출력_요약!$B$3,0))-MAX(H231,출력_요약!$B$3)+1),0)</f>
        <v/>
      </c>
      <c r="X231" s="10">
        <f>IF(OR(NOT(ISNUMBER(H231)),Q231=""),"",IF(TODAY()&lt;H231,"파견예정",IF(AND(ISNUMBER(I231),TODAY()&gt;I231),"파견종료","파견중")))</f>
        <v/>
      </c>
      <c r="Y231" s="10">
        <f>IF(OR(Q231="",X231=""),"",Q231&amp;"|"&amp;X231)</f>
        <v/>
      </c>
      <c r="Z231" s="10">
        <f>IF(AND(Q231&lt;&gt;"",W231&gt;0),Q231&amp;"|월","")</f>
        <v/>
      </c>
      <c r="AA231" s="10">
        <f>IF(COUNTA(B231:I231,K231:N231)=0,"",IF(Q231="","등록번호 없음",IF(LEFT(R231,1)="⚠","모병원명 미등록",IF(S231="","파견병원 입력",IF(LEFT(S231,1)="⚠","파견병원명 미등록",IF(LEFT(U231,1)="⚠","파견과목 미등록",IF(OR(T231="",LEFT(T231,1)="⚠"),"파견근거 확인",IF(NOT(AND(ISNUMBER(H231),ISNUMBER(I231))),"날짜 형식/누락",IF(I231&lt;H231,"종료일&lt;시작일","")))))))))</f>
        <v/>
      </c>
      <c r="AB231" s="11">
        <f>IF(ISNUMBER(SEARCH("다기관",TRIM(N231&amp;" "&amp;O231))),IFERROR(DATE(VALUE(MID(TRIM(N231&amp;" "&amp;O231),1,4)),VALUE(MID(TRIM(N231&amp;" "&amp;O231),6,2)),VALUE(MID(TRIM(N231&amp;" "&amp;O231),9,2))),IF(ISNUMBER(H231),H231,"")),"")</f>
        <v/>
      </c>
      <c r="AC231" s="11">
        <f>IF(ISNUMBER(SEARCH("다기관",TRIM(N231&amp;" "&amp;O231))),IFERROR(DATE(VALUE(MID(TRIM(N231&amp;" "&amp;O231),12,4)),VALUE(MID(TRIM(N231&amp;" "&amp;O231),17,2)),VALUE(MID(TRIM(N231&amp;" "&amp;O231),20,2))),IF(ISNUMBER(I231),I231,"")),"")</f>
        <v/>
      </c>
      <c r="AD231" s="17">
        <f>IF(AND(ISNUMBER(AB231),ISNUMBER(AC231)),MAX(0,MIN(AC231,EOMONTH(출력_요약!$B$3,0))-MAX(AB231,출력_요약!$B$3)+1),0)</f>
        <v/>
      </c>
      <c r="AE231" s="10">
        <f>IF(AND(Q231&lt;&gt;"",ISNUMBER(AB231)),Q231&amp;"|다기관","")</f>
        <v/>
      </c>
    </row>
    <row r="232">
      <c r="A232" s="15">
        <f>IF(F232="","",ROW()-3)</f>
        <v/>
      </c>
      <c r="B232" s="5" t="n"/>
      <c r="C232" s="15" t="n"/>
      <c r="D232" s="5" t="n"/>
      <c r="E232" s="15" t="n"/>
      <c r="F232" s="5" t="n"/>
      <c r="G232" s="6" t="n"/>
      <c r="H232" s="16" t="n"/>
      <c r="I232" s="16" t="n"/>
      <c r="J232" s="15">
        <f>IF(AND(ISNUMBER(H232),ISNUMBER(I232)),I232-H232+1,"")</f>
        <v/>
      </c>
      <c r="K232" s="5" t="n"/>
      <c r="L232" s="5" t="n"/>
      <c r="M232" s="5" t="n"/>
      <c r="N232" s="5" t="n"/>
      <c r="O232" s="5" t="n"/>
      <c r="Q232" s="10">
        <f>IF(TRIM(G232&amp;"")="","",TRIM(G232&amp;""))</f>
        <v/>
      </c>
      <c r="R232" s="10">
        <f>IF(TRIM(B232&amp;"")="","",IFERROR(INDEX(설정_코드표!$K$2:$K$101,MATCH(TRIM(B232&amp;""),설정_코드표!$J$2:$J$101,0)),"⚠"&amp;TRIM(B232&amp;"")))</f>
        <v/>
      </c>
      <c r="S232" s="10">
        <f>IF(TRIM(K232&amp;"")="","",IFERROR(INDEX(설정_코드표!$K$2:$K$101,MATCH(TRIM(K232&amp;""),설정_코드표!$J$2:$J$101,0)),"⚠"&amp;TRIM(K232&amp;"")))</f>
        <v/>
      </c>
      <c r="T232" s="10">
        <f>IF(TRIM(M232&amp;"")="","",IF(ISNUMBER(MATCH(TRIM(M232&amp;""),설정_코드표!$C$2:$C$11,0)),TRIM(M232&amp;""),"⚠"&amp;TRIM(M232&amp;"")))</f>
        <v/>
      </c>
      <c r="U232" s="10">
        <f>IF(TRIM(L232&amp;"")="","",IFERROR(INDEX(설정_코드표!$G$2:$G$101,MATCH(TRIM(L232&amp;""),설정_코드표!$F$2:$F$101,0)),"⚠"&amp;TRIM(L232&amp;"")))</f>
        <v/>
      </c>
      <c r="V232" s="10">
        <f>IF(AND(ISNUMBER(H232),ISNUMBER(I232)),I232-H232+1,"")</f>
        <v/>
      </c>
      <c r="W232" s="17">
        <f>IF(ISNUMBER(H232),MAX(0,MIN(IF(ISNUMBER(I232),I232,EOMONTH(출력_요약!$B$3,0)),EOMONTH(출력_요약!$B$3,0))-MAX(H232,출력_요약!$B$3)+1),0)</f>
        <v/>
      </c>
      <c r="X232" s="10">
        <f>IF(OR(NOT(ISNUMBER(H232)),Q232=""),"",IF(TODAY()&lt;H232,"파견예정",IF(AND(ISNUMBER(I232),TODAY()&gt;I232),"파견종료","파견중")))</f>
        <v/>
      </c>
      <c r="Y232" s="10">
        <f>IF(OR(Q232="",X232=""),"",Q232&amp;"|"&amp;X232)</f>
        <v/>
      </c>
      <c r="Z232" s="10">
        <f>IF(AND(Q232&lt;&gt;"",W232&gt;0),Q232&amp;"|월","")</f>
        <v/>
      </c>
      <c r="AA232" s="10">
        <f>IF(COUNTA(B232:I232,K232:N232)=0,"",IF(Q232="","등록번호 없음",IF(LEFT(R232,1)="⚠","모병원명 미등록",IF(S232="","파견병원 입력",IF(LEFT(S232,1)="⚠","파견병원명 미등록",IF(LEFT(U232,1)="⚠","파견과목 미등록",IF(OR(T232="",LEFT(T232,1)="⚠"),"파견근거 확인",IF(NOT(AND(ISNUMBER(H232),ISNUMBER(I232))),"날짜 형식/누락",IF(I232&lt;H232,"종료일&lt;시작일","")))))))))</f>
        <v/>
      </c>
      <c r="AB232" s="11">
        <f>IF(ISNUMBER(SEARCH("다기관",TRIM(N232&amp;" "&amp;O232))),IFERROR(DATE(VALUE(MID(TRIM(N232&amp;" "&amp;O232),1,4)),VALUE(MID(TRIM(N232&amp;" "&amp;O232),6,2)),VALUE(MID(TRIM(N232&amp;" "&amp;O232),9,2))),IF(ISNUMBER(H232),H232,"")),"")</f>
        <v/>
      </c>
      <c r="AC232" s="11">
        <f>IF(ISNUMBER(SEARCH("다기관",TRIM(N232&amp;" "&amp;O232))),IFERROR(DATE(VALUE(MID(TRIM(N232&amp;" "&amp;O232),12,4)),VALUE(MID(TRIM(N232&amp;" "&amp;O232),17,2)),VALUE(MID(TRIM(N232&amp;" "&amp;O232),20,2))),IF(ISNUMBER(I232),I232,"")),"")</f>
        <v/>
      </c>
      <c r="AD232" s="17">
        <f>IF(AND(ISNUMBER(AB232),ISNUMBER(AC232)),MAX(0,MIN(AC232,EOMONTH(출력_요약!$B$3,0))-MAX(AB232,출력_요약!$B$3)+1),0)</f>
        <v/>
      </c>
      <c r="AE232" s="10">
        <f>IF(AND(Q232&lt;&gt;"",ISNUMBER(AB232)),Q232&amp;"|다기관","")</f>
        <v/>
      </c>
    </row>
    <row r="233">
      <c r="A233" s="15">
        <f>IF(F233="","",ROW()-3)</f>
        <v/>
      </c>
      <c r="B233" s="5" t="n"/>
      <c r="C233" s="15" t="n"/>
      <c r="D233" s="5" t="n"/>
      <c r="E233" s="15" t="n"/>
      <c r="F233" s="5" t="n"/>
      <c r="G233" s="6" t="n"/>
      <c r="H233" s="16" t="n"/>
      <c r="I233" s="16" t="n"/>
      <c r="J233" s="15">
        <f>IF(AND(ISNUMBER(H233),ISNUMBER(I233)),I233-H233+1,"")</f>
        <v/>
      </c>
      <c r="K233" s="5" t="n"/>
      <c r="L233" s="5" t="n"/>
      <c r="M233" s="5" t="n"/>
      <c r="N233" s="5" t="n"/>
      <c r="O233" s="5" t="n"/>
      <c r="Q233" s="10">
        <f>IF(TRIM(G233&amp;"")="","",TRIM(G233&amp;""))</f>
        <v/>
      </c>
      <c r="R233" s="10">
        <f>IF(TRIM(B233&amp;"")="","",IFERROR(INDEX(설정_코드표!$K$2:$K$101,MATCH(TRIM(B233&amp;""),설정_코드표!$J$2:$J$101,0)),"⚠"&amp;TRIM(B233&amp;"")))</f>
        <v/>
      </c>
      <c r="S233" s="10">
        <f>IF(TRIM(K233&amp;"")="","",IFERROR(INDEX(설정_코드표!$K$2:$K$101,MATCH(TRIM(K233&amp;""),설정_코드표!$J$2:$J$101,0)),"⚠"&amp;TRIM(K233&amp;"")))</f>
        <v/>
      </c>
      <c r="T233" s="10">
        <f>IF(TRIM(M233&amp;"")="","",IF(ISNUMBER(MATCH(TRIM(M233&amp;""),설정_코드표!$C$2:$C$11,0)),TRIM(M233&amp;""),"⚠"&amp;TRIM(M233&amp;"")))</f>
        <v/>
      </c>
      <c r="U233" s="10">
        <f>IF(TRIM(L233&amp;"")="","",IFERROR(INDEX(설정_코드표!$G$2:$G$101,MATCH(TRIM(L233&amp;""),설정_코드표!$F$2:$F$101,0)),"⚠"&amp;TRIM(L233&amp;"")))</f>
        <v/>
      </c>
      <c r="V233" s="10">
        <f>IF(AND(ISNUMBER(H233),ISNUMBER(I233)),I233-H233+1,"")</f>
        <v/>
      </c>
      <c r="W233" s="17">
        <f>IF(ISNUMBER(H233),MAX(0,MIN(IF(ISNUMBER(I233),I233,EOMONTH(출력_요약!$B$3,0)),EOMONTH(출력_요약!$B$3,0))-MAX(H233,출력_요약!$B$3)+1),0)</f>
        <v/>
      </c>
      <c r="X233" s="10">
        <f>IF(OR(NOT(ISNUMBER(H233)),Q233=""),"",IF(TODAY()&lt;H233,"파견예정",IF(AND(ISNUMBER(I233),TODAY()&gt;I233),"파견종료","파견중")))</f>
        <v/>
      </c>
      <c r="Y233" s="10">
        <f>IF(OR(Q233="",X233=""),"",Q233&amp;"|"&amp;X233)</f>
        <v/>
      </c>
      <c r="Z233" s="10">
        <f>IF(AND(Q233&lt;&gt;"",W233&gt;0),Q233&amp;"|월","")</f>
        <v/>
      </c>
      <c r="AA233" s="10">
        <f>IF(COUNTA(B233:I233,K233:N233)=0,"",IF(Q233="","등록번호 없음",IF(LEFT(R233,1)="⚠","모병원명 미등록",IF(S233="","파견병원 입력",IF(LEFT(S233,1)="⚠","파견병원명 미등록",IF(LEFT(U233,1)="⚠","파견과목 미등록",IF(OR(T233="",LEFT(T233,1)="⚠"),"파견근거 확인",IF(NOT(AND(ISNUMBER(H233),ISNUMBER(I233))),"날짜 형식/누락",IF(I233&lt;H233,"종료일&lt;시작일","")))))))))</f>
        <v/>
      </c>
      <c r="AB233" s="11">
        <f>IF(ISNUMBER(SEARCH("다기관",TRIM(N233&amp;" "&amp;O233))),IFERROR(DATE(VALUE(MID(TRIM(N233&amp;" "&amp;O233),1,4)),VALUE(MID(TRIM(N233&amp;" "&amp;O233),6,2)),VALUE(MID(TRIM(N233&amp;" "&amp;O233),9,2))),IF(ISNUMBER(H233),H233,"")),"")</f>
        <v/>
      </c>
      <c r="AC233" s="11">
        <f>IF(ISNUMBER(SEARCH("다기관",TRIM(N233&amp;" "&amp;O233))),IFERROR(DATE(VALUE(MID(TRIM(N233&amp;" "&amp;O233),12,4)),VALUE(MID(TRIM(N233&amp;" "&amp;O233),17,2)),VALUE(MID(TRIM(N233&amp;" "&amp;O233),20,2))),IF(ISNUMBER(I233),I233,"")),"")</f>
        <v/>
      </c>
      <c r="AD233" s="17">
        <f>IF(AND(ISNUMBER(AB233),ISNUMBER(AC233)),MAX(0,MIN(AC233,EOMONTH(출력_요약!$B$3,0))-MAX(AB233,출력_요약!$B$3)+1),0)</f>
        <v/>
      </c>
      <c r="AE233" s="10">
        <f>IF(AND(Q233&lt;&gt;"",ISNUMBER(AB233)),Q233&amp;"|다기관","")</f>
        <v/>
      </c>
    </row>
    <row r="234">
      <c r="A234" s="15">
        <f>IF(F234="","",ROW()-3)</f>
        <v/>
      </c>
      <c r="B234" s="5" t="n"/>
      <c r="C234" s="15" t="n"/>
      <c r="D234" s="5" t="n"/>
      <c r="E234" s="15" t="n"/>
      <c r="F234" s="5" t="n"/>
      <c r="G234" s="6" t="n"/>
      <c r="H234" s="16" t="n"/>
      <c r="I234" s="16" t="n"/>
      <c r="J234" s="15">
        <f>IF(AND(ISNUMBER(H234),ISNUMBER(I234)),I234-H234+1,"")</f>
        <v/>
      </c>
      <c r="K234" s="5" t="n"/>
      <c r="L234" s="5" t="n"/>
      <c r="M234" s="5" t="n"/>
      <c r="N234" s="5" t="n"/>
      <c r="O234" s="5" t="n"/>
      <c r="Q234" s="10">
        <f>IF(TRIM(G234&amp;"")="","",TRIM(G234&amp;""))</f>
        <v/>
      </c>
      <c r="R234" s="10">
        <f>IF(TRIM(B234&amp;"")="","",IFERROR(INDEX(설정_코드표!$K$2:$K$101,MATCH(TRIM(B234&amp;""),설정_코드표!$J$2:$J$101,0)),"⚠"&amp;TRIM(B234&amp;"")))</f>
        <v/>
      </c>
      <c r="S234" s="10">
        <f>IF(TRIM(K234&amp;"")="","",IFERROR(INDEX(설정_코드표!$K$2:$K$101,MATCH(TRIM(K234&amp;""),설정_코드표!$J$2:$J$101,0)),"⚠"&amp;TRIM(K234&amp;"")))</f>
        <v/>
      </c>
      <c r="T234" s="10">
        <f>IF(TRIM(M234&amp;"")="","",IF(ISNUMBER(MATCH(TRIM(M234&amp;""),설정_코드표!$C$2:$C$11,0)),TRIM(M234&amp;""),"⚠"&amp;TRIM(M234&amp;"")))</f>
        <v/>
      </c>
      <c r="U234" s="10">
        <f>IF(TRIM(L234&amp;"")="","",IFERROR(INDEX(설정_코드표!$G$2:$G$101,MATCH(TRIM(L234&amp;""),설정_코드표!$F$2:$F$101,0)),"⚠"&amp;TRIM(L234&amp;"")))</f>
        <v/>
      </c>
      <c r="V234" s="10">
        <f>IF(AND(ISNUMBER(H234),ISNUMBER(I234)),I234-H234+1,"")</f>
        <v/>
      </c>
      <c r="W234" s="17">
        <f>IF(ISNUMBER(H234),MAX(0,MIN(IF(ISNUMBER(I234),I234,EOMONTH(출력_요약!$B$3,0)),EOMONTH(출력_요약!$B$3,0))-MAX(H234,출력_요약!$B$3)+1),0)</f>
        <v/>
      </c>
      <c r="X234" s="10">
        <f>IF(OR(NOT(ISNUMBER(H234)),Q234=""),"",IF(TODAY()&lt;H234,"파견예정",IF(AND(ISNUMBER(I234),TODAY()&gt;I234),"파견종료","파견중")))</f>
        <v/>
      </c>
      <c r="Y234" s="10">
        <f>IF(OR(Q234="",X234=""),"",Q234&amp;"|"&amp;X234)</f>
        <v/>
      </c>
      <c r="Z234" s="10">
        <f>IF(AND(Q234&lt;&gt;"",W234&gt;0),Q234&amp;"|월","")</f>
        <v/>
      </c>
      <c r="AA234" s="10">
        <f>IF(COUNTA(B234:I234,K234:N234)=0,"",IF(Q234="","등록번호 없음",IF(LEFT(R234,1)="⚠","모병원명 미등록",IF(S234="","파견병원 입력",IF(LEFT(S234,1)="⚠","파견병원명 미등록",IF(LEFT(U234,1)="⚠","파견과목 미등록",IF(OR(T234="",LEFT(T234,1)="⚠"),"파견근거 확인",IF(NOT(AND(ISNUMBER(H234),ISNUMBER(I234))),"날짜 형식/누락",IF(I234&lt;H234,"종료일&lt;시작일","")))))))))</f>
        <v/>
      </c>
      <c r="AB234" s="11">
        <f>IF(ISNUMBER(SEARCH("다기관",TRIM(N234&amp;" "&amp;O234))),IFERROR(DATE(VALUE(MID(TRIM(N234&amp;" "&amp;O234),1,4)),VALUE(MID(TRIM(N234&amp;" "&amp;O234),6,2)),VALUE(MID(TRIM(N234&amp;" "&amp;O234),9,2))),IF(ISNUMBER(H234),H234,"")),"")</f>
        <v/>
      </c>
      <c r="AC234" s="11">
        <f>IF(ISNUMBER(SEARCH("다기관",TRIM(N234&amp;" "&amp;O234))),IFERROR(DATE(VALUE(MID(TRIM(N234&amp;" "&amp;O234),12,4)),VALUE(MID(TRIM(N234&amp;" "&amp;O234),17,2)),VALUE(MID(TRIM(N234&amp;" "&amp;O234),20,2))),IF(ISNUMBER(I234),I234,"")),"")</f>
        <v/>
      </c>
      <c r="AD234" s="17">
        <f>IF(AND(ISNUMBER(AB234),ISNUMBER(AC234)),MAX(0,MIN(AC234,EOMONTH(출력_요약!$B$3,0))-MAX(AB234,출력_요약!$B$3)+1),0)</f>
        <v/>
      </c>
      <c r="AE234" s="10">
        <f>IF(AND(Q234&lt;&gt;"",ISNUMBER(AB234)),Q234&amp;"|다기관","")</f>
        <v/>
      </c>
    </row>
    <row r="235">
      <c r="A235" s="15">
        <f>IF(F235="","",ROW()-3)</f>
        <v/>
      </c>
      <c r="B235" s="5" t="n"/>
      <c r="C235" s="15" t="n"/>
      <c r="D235" s="5" t="n"/>
      <c r="E235" s="15" t="n"/>
      <c r="F235" s="5" t="n"/>
      <c r="G235" s="6" t="n"/>
      <c r="H235" s="16" t="n"/>
      <c r="I235" s="16" t="n"/>
      <c r="J235" s="15">
        <f>IF(AND(ISNUMBER(H235),ISNUMBER(I235)),I235-H235+1,"")</f>
        <v/>
      </c>
      <c r="K235" s="5" t="n"/>
      <c r="L235" s="5" t="n"/>
      <c r="M235" s="5" t="n"/>
      <c r="N235" s="5" t="n"/>
      <c r="O235" s="5" t="n"/>
      <c r="Q235" s="10">
        <f>IF(TRIM(G235&amp;"")="","",TRIM(G235&amp;""))</f>
        <v/>
      </c>
      <c r="R235" s="10">
        <f>IF(TRIM(B235&amp;"")="","",IFERROR(INDEX(설정_코드표!$K$2:$K$101,MATCH(TRIM(B235&amp;""),설정_코드표!$J$2:$J$101,0)),"⚠"&amp;TRIM(B235&amp;"")))</f>
        <v/>
      </c>
      <c r="S235" s="10">
        <f>IF(TRIM(K235&amp;"")="","",IFERROR(INDEX(설정_코드표!$K$2:$K$101,MATCH(TRIM(K235&amp;""),설정_코드표!$J$2:$J$101,0)),"⚠"&amp;TRIM(K235&amp;"")))</f>
        <v/>
      </c>
      <c r="T235" s="10">
        <f>IF(TRIM(M235&amp;"")="","",IF(ISNUMBER(MATCH(TRIM(M235&amp;""),설정_코드표!$C$2:$C$11,0)),TRIM(M235&amp;""),"⚠"&amp;TRIM(M235&amp;"")))</f>
        <v/>
      </c>
      <c r="U235" s="10">
        <f>IF(TRIM(L235&amp;"")="","",IFERROR(INDEX(설정_코드표!$G$2:$G$101,MATCH(TRIM(L235&amp;""),설정_코드표!$F$2:$F$101,0)),"⚠"&amp;TRIM(L235&amp;"")))</f>
        <v/>
      </c>
      <c r="V235" s="10">
        <f>IF(AND(ISNUMBER(H235),ISNUMBER(I235)),I235-H235+1,"")</f>
        <v/>
      </c>
      <c r="W235" s="17">
        <f>IF(ISNUMBER(H235),MAX(0,MIN(IF(ISNUMBER(I235),I235,EOMONTH(출력_요약!$B$3,0)),EOMONTH(출력_요약!$B$3,0))-MAX(H235,출력_요약!$B$3)+1),0)</f>
        <v/>
      </c>
      <c r="X235" s="10">
        <f>IF(OR(NOT(ISNUMBER(H235)),Q235=""),"",IF(TODAY()&lt;H235,"파견예정",IF(AND(ISNUMBER(I235),TODAY()&gt;I235),"파견종료","파견중")))</f>
        <v/>
      </c>
      <c r="Y235" s="10">
        <f>IF(OR(Q235="",X235=""),"",Q235&amp;"|"&amp;X235)</f>
        <v/>
      </c>
      <c r="Z235" s="10">
        <f>IF(AND(Q235&lt;&gt;"",W235&gt;0),Q235&amp;"|월","")</f>
        <v/>
      </c>
      <c r="AA235" s="10">
        <f>IF(COUNTA(B235:I235,K235:N235)=0,"",IF(Q235="","등록번호 없음",IF(LEFT(R235,1)="⚠","모병원명 미등록",IF(S235="","파견병원 입력",IF(LEFT(S235,1)="⚠","파견병원명 미등록",IF(LEFT(U235,1)="⚠","파견과목 미등록",IF(OR(T235="",LEFT(T235,1)="⚠"),"파견근거 확인",IF(NOT(AND(ISNUMBER(H235),ISNUMBER(I235))),"날짜 형식/누락",IF(I235&lt;H235,"종료일&lt;시작일","")))))))))</f>
        <v/>
      </c>
      <c r="AB235" s="11">
        <f>IF(ISNUMBER(SEARCH("다기관",TRIM(N235&amp;" "&amp;O235))),IFERROR(DATE(VALUE(MID(TRIM(N235&amp;" "&amp;O235),1,4)),VALUE(MID(TRIM(N235&amp;" "&amp;O235),6,2)),VALUE(MID(TRIM(N235&amp;" "&amp;O235),9,2))),IF(ISNUMBER(H235),H235,"")),"")</f>
        <v/>
      </c>
      <c r="AC235" s="11">
        <f>IF(ISNUMBER(SEARCH("다기관",TRIM(N235&amp;" "&amp;O235))),IFERROR(DATE(VALUE(MID(TRIM(N235&amp;" "&amp;O235),12,4)),VALUE(MID(TRIM(N235&amp;" "&amp;O235),17,2)),VALUE(MID(TRIM(N235&amp;" "&amp;O235),20,2))),IF(ISNUMBER(I235),I235,"")),"")</f>
        <v/>
      </c>
      <c r="AD235" s="17">
        <f>IF(AND(ISNUMBER(AB235),ISNUMBER(AC235)),MAX(0,MIN(AC235,EOMONTH(출력_요약!$B$3,0))-MAX(AB235,출력_요약!$B$3)+1),0)</f>
        <v/>
      </c>
      <c r="AE235" s="10">
        <f>IF(AND(Q235&lt;&gt;"",ISNUMBER(AB235)),Q235&amp;"|다기관","")</f>
        <v/>
      </c>
    </row>
    <row r="236">
      <c r="A236" s="15">
        <f>IF(F236="","",ROW()-3)</f>
        <v/>
      </c>
      <c r="B236" s="5" t="n"/>
      <c r="C236" s="15" t="n"/>
      <c r="D236" s="5" t="n"/>
      <c r="E236" s="15" t="n"/>
      <c r="F236" s="5" t="n"/>
      <c r="G236" s="6" t="n"/>
      <c r="H236" s="16" t="n"/>
      <c r="I236" s="16" t="n"/>
      <c r="J236" s="15">
        <f>IF(AND(ISNUMBER(H236),ISNUMBER(I236)),I236-H236+1,"")</f>
        <v/>
      </c>
      <c r="K236" s="5" t="n"/>
      <c r="L236" s="5" t="n"/>
      <c r="M236" s="5" t="n"/>
      <c r="N236" s="5" t="n"/>
      <c r="O236" s="5" t="n"/>
      <c r="Q236" s="10">
        <f>IF(TRIM(G236&amp;"")="","",TRIM(G236&amp;""))</f>
        <v/>
      </c>
      <c r="R236" s="10">
        <f>IF(TRIM(B236&amp;"")="","",IFERROR(INDEX(설정_코드표!$K$2:$K$101,MATCH(TRIM(B236&amp;""),설정_코드표!$J$2:$J$101,0)),"⚠"&amp;TRIM(B236&amp;"")))</f>
        <v/>
      </c>
      <c r="S236" s="10">
        <f>IF(TRIM(K236&amp;"")="","",IFERROR(INDEX(설정_코드표!$K$2:$K$101,MATCH(TRIM(K236&amp;""),설정_코드표!$J$2:$J$101,0)),"⚠"&amp;TRIM(K236&amp;"")))</f>
        <v/>
      </c>
      <c r="T236" s="10">
        <f>IF(TRIM(M236&amp;"")="","",IF(ISNUMBER(MATCH(TRIM(M236&amp;""),설정_코드표!$C$2:$C$11,0)),TRIM(M236&amp;""),"⚠"&amp;TRIM(M236&amp;"")))</f>
        <v/>
      </c>
      <c r="U236" s="10">
        <f>IF(TRIM(L236&amp;"")="","",IFERROR(INDEX(설정_코드표!$G$2:$G$101,MATCH(TRIM(L236&amp;""),설정_코드표!$F$2:$F$101,0)),"⚠"&amp;TRIM(L236&amp;"")))</f>
        <v/>
      </c>
      <c r="V236" s="10">
        <f>IF(AND(ISNUMBER(H236),ISNUMBER(I236)),I236-H236+1,"")</f>
        <v/>
      </c>
      <c r="W236" s="17">
        <f>IF(ISNUMBER(H236),MAX(0,MIN(IF(ISNUMBER(I236),I236,EOMONTH(출력_요약!$B$3,0)),EOMONTH(출력_요약!$B$3,0))-MAX(H236,출력_요약!$B$3)+1),0)</f>
        <v/>
      </c>
      <c r="X236" s="10">
        <f>IF(OR(NOT(ISNUMBER(H236)),Q236=""),"",IF(TODAY()&lt;H236,"파견예정",IF(AND(ISNUMBER(I236),TODAY()&gt;I236),"파견종료","파견중")))</f>
        <v/>
      </c>
      <c r="Y236" s="10">
        <f>IF(OR(Q236="",X236=""),"",Q236&amp;"|"&amp;X236)</f>
        <v/>
      </c>
      <c r="Z236" s="10">
        <f>IF(AND(Q236&lt;&gt;"",W236&gt;0),Q236&amp;"|월","")</f>
        <v/>
      </c>
      <c r="AA236" s="10">
        <f>IF(COUNTA(B236:I236,K236:N236)=0,"",IF(Q236="","등록번호 없음",IF(LEFT(R236,1)="⚠","모병원명 미등록",IF(S236="","파견병원 입력",IF(LEFT(S236,1)="⚠","파견병원명 미등록",IF(LEFT(U236,1)="⚠","파견과목 미등록",IF(OR(T236="",LEFT(T236,1)="⚠"),"파견근거 확인",IF(NOT(AND(ISNUMBER(H236),ISNUMBER(I236))),"날짜 형식/누락",IF(I236&lt;H236,"종료일&lt;시작일","")))))))))</f>
        <v/>
      </c>
      <c r="AB236" s="11">
        <f>IF(ISNUMBER(SEARCH("다기관",TRIM(N236&amp;" "&amp;O236))),IFERROR(DATE(VALUE(MID(TRIM(N236&amp;" "&amp;O236),1,4)),VALUE(MID(TRIM(N236&amp;" "&amp;O236),6,2)),VALUE(MID(TRIM(N236&amp;" "&amp;O236),9,2))),IF(ISNUMBER(H236),H236,"")),"")</f>
        <v/>
      </c>
      <c r="AC236" s="11">
        <f>IF(ISNUMBER(SEARCH("다기관",TRIM(N236&amp;" "&amp;O236))),IFERROR(DATE(VALUE(MID(TRIM(N236&amp;" "&amp;O236),12,4)),VALUE(MID(TRIM(N236&amp;" "&amp;O236),17,2)),VALUE(MID(TRIM(N236&amp;" "&amp;O236),20,2))),IF(ISNUMBER(I236),I236,"")),"")</f>
        <v/>
      </c>
      <c r="AD236" s="17">
        <f>IF(AND(ISNUMBER(AB236),ISNUMBER(AC236)),MAX(0,MIN(AC236,EOMONTH(출력_요약!$B$3,0))-MAX(AB236,출력_요약!$B$3)+1),0)</f>
        <v/>
      </c>
      <c r="AE236" s="10">
        <f>IF(AND(Q236&lt;&gt;"",ISNUMBER(AB236)),Q236&amp;"|다기관","")</f>
        <v/>
      </c>
    </row>
    <row r="237">
      <c r="A237" s="15">
        <f>IF(F237="","",ROW()-3)</f>
        <v/>
      </c>
      <c r="B237" s="5" t="n"/>
      <c r="C237" s="15" t="n"/>
      <c r="D237" s="5" t="n"/>
      <c r="E237" s="15" t="n"/>
      <c r="F237" s="5" t="n"/>
      <c r="G237" s="6" t="n"/>
      <c r="H237" s="16" t="n"/>
      <c r="I237" s="16" t="n"/>
      <c r="J237" s="15">
        <f>IF(AND(ISNUMBER(H237),ISNUMBER(I237)),I237-H237+1,"")</f>
        <v/>
      </c>
      <c r="K237" s="5" t="n"/>
      <c r="L237" s="5" t="n"/>
      <c r="M237" s="5" t="n"/>
      <c r="N237" s="5" t="n"/>
      <c r="O237" s="5" t="n"/>
      <c r="Q237" s="10">
        <f>IF(TRIM(G237&amp;"")="","",TRIM(G237&amp;""))</f>
        <v/>
      </c>
      <c r="R237" s="10">
        <f>IF(TRIM(B237&amp;"")="","",IFERROR(INDEX(설정_코드표!$K$2:$K$101,MATCH(TRIM(B237&amp;""),설정_코드표!$J$2:$J$101,0)),"⚠"&amp;TRIM(B237&amp;"")))</f>
        <v/>
      </c>
      <c r="S237" s="10">
        <f>IF(TRIM(K237&amp;"")="","",IFERROR(INDEX(설정_코드표!$K$2:$K$101,MATCH(TRIM(K237&amp;""),설정_코드표!$J$2:$J$101,0)),"⚠"&amp;TRIM(K237&amp;"")))</f>
        <v/>
      </c>
      <c r="T237" s="10">
        <f>IF(TRIM(M237&amp;"")="","",IF(ISNUMBER(MATCH(TRIM(M237&amp;""),설정_코드표!$C$2:$C$11,0)),TRIM(M237&amp;""),"⚠"&amp;TRIM(M237&amp;"")))</f>
        <v/>
      </c>
      <c r="U237" s="10">
        <f>IF(TRIM(L237&amp;"")="","",IFERROR(INDEX(설정_코드표!$G$2:$G$101,MATCH(TRIM(L237&amp;""),설정_코드표!$F$2:$F$101,0)),"⚠"&amp;TRIM(L237&amp;"")))</f>
        <v/>
      </c>
      <c r="V237" s="10">
        <f>IF(AND(ISNUMBER(H237),ISNUMBER(I237)),I237-H237+1,"")</f>
        <v/>
      </c>
      <c r="W237" s="17">
        <f>IF(ISNUMBER(H237),MAX(0,MIN(IF(ISNUMBER(I237),I237,EOMONTH(출력_요약!$B$3,0)),EOMONTH(출력_요약!$B$3,0))-MAX(H237,출력_요약!$B$3)+1),0)</f>
        <v/>
      </c>
      <c r="X237" s="10">
        <f>IF(OR(NOT(ISNUMBER(H237)),Q237=""),"",IF(TODAY()&lt;H237,"파견예정",IF(AND(ISNUMBER(I237),TODAY()&gt;I237),"파견종료","파견중")))</f>
        <v/>
      </c>
      <c r="Y237" s="10">
        <f>IF(OR(Q237="",X237=""),"",Q237&amp;"|"&amp;X237)</f>
        <v/>
      </c>
      <c r="Z237" s="10">
        <f>IF(AND(Q237&lt;&gt;"",W237&gt;0),Q237&amp;"|월","")</f>
        <v/>
      </c>
      <c r="AA237" s="10">
        <f>IF(COUNTA(B237:I237,K237:N237)=0,"",IF(Q237="","등록번호 없음",IF(LEFT(R237,1)="⚠","모병원명 미등록",IF(S237="","파견병원 입력",IF(LEFT(S237,1)="⚠","파견병원명 미등록",IF(LEFT(U237,1)="⚠","파견과목 미등록",IF(OR(T237="",LEFT(T237,1)="⚠"),"파견근거 확인",IF(NOT(AND(ISNUMBER(H237),ISNUMBER(I237))),"날짜 형식/누락",IF(I237&lt;H237,"종료일&lt;시작일","")))))))))</f>
        <v/>
      </c>
      <c r="AB237" s="11">
        <f>IF(ISNUMBER(SEARCH("다기관",TRIM(N237&amp;" "&amp;O237))),IFERROR(DATE(VALUE(MID(TRIM(N237&amp;" "&amp;O237),1,4)),VALUE(MID(TRIM(N237&amp;" "&amp;O237),6,2)),VALUE(MID(TRIM(N237&amp;" "&amp;O237),9,2))),IF(ISNUMBER(H237),H237,"")),"")</f>
        <v/>
      </c>
      <c r="AC237" s="11">
        <f>IF(ISNUMBER(SEARCH("다기관",TRIM(N237&amp;" "&amp;O237))),IFERROR(DATE(VALUE(MID(TRIM(N237&amp;" "&amp;O237),12,4)),VALUE(MID(TRIM(N237&amp;" "&amp;O237),17,2)),VALUE(MID(TRIM(N237&amp;" "&amp;O237),20,2))),IF(ISNUMBER(I237),I237,"")),"")</f>
        <v/>
      </c>
      <c r="AD237" s="17">
        <f>IF(AND(ISNUMBER(AB237),ISNUMBER(AC237)),MAX(0,MIN(AC237,EOMONTH(출력_요약!$B$3,0))-MAX(AB237,출력_요약!$B$3)+1),0)</f>
        <v/>
      </c>
      <c r="AE237" s="10">
        <f>IF(AND(Q237&lt;&gt;"",ISNUMBER(AB237)),Q237&amp;"|다기관","")</f>
        <v/>
      </c>
    </row>
    <row r="238">
      <c r="A238" s="15">
        <f>IF(F238="","",ROW()-3)</f>
        <v/>
      </c>
      <c r="B238" s="5" t="n"/>
      <c r="C238" s="15" t="n"/>
      <c r="D238" s="5" t="n"/>
      <c r="E238" s="15" t="n"/>
      <c r="F238" s="5" t="n"/>
      <c r="G238" s="6" t="n"/>
      <c r="H238" s="16" t="n"/>
      <c r="I238" s="16" t="n"/>
      <c r="J238" s="15">
        <f>IF(AND(ISNUMBER(H238),ISNUMBER(I238)),I238-H238+1,"")</f>
        <v/>
      </c>
      <c r="K238" s="5" t="n"/>
      <c r="L238" s="5" t="n"/>
      <c r="M238" s="5" t="n"/>
      <c r="N238" s="5" t="n"/>
      <c r="O238" s="5" t="n"/>
      <c r="Q238" s="10">
        <f>IF(TRIM(G238&amp;"")="","",TRIM(G238&amp;""))</f>
        <v/>
      </c>
      <c r="R238" s="10">
        <f>IF(TRIM(B238&amp;"")="","",IFERROR(INDEX(설정_코드표!$K$2:$K$101,MATCH(TRIM(B238&amp;""),설정_코드표!$J$2:$J$101,0)),"⚠"&amp;TRIM(B238&amp;"")))</f>
        <v/>
      </c>
      <c r="S238" s="10">
        <f>IF(TRIM(K238&amp;"")="","",IFERROR(INDEX(설정_코드표!$K$2:$K$101,MATCH(TRIM(K238&amp;""),설정_코드표!$J$2:$J$101,0)),"⚠"&amp;TRIM(K238&amp;"")))</f>
        <v/>
      </c>
      <c r="T238" s="10">
        <f>IF(TRIM(M238&amp;"")="","",IF(ISNUMBER(MATCH(TRIM(M238&amp;""),설정_코드표!$C$2:$C$11,0)),TRIM(M238&amp;""),"⚠"&amp;TRIM(M238&amp;"")))</f>
        <v/>
      </c>
      <c r="U238" s="10">
        <f>IF(TRIM(L238&amp;"")="","",IFERROR(INDEX(설정_코드표!$G$2:$G$101,MATCH(TRIM(L238&amp;""),설정_코드표!$F$2:$F$101,0)),"⚠"&amp;TRIM(L238&amp;"")))</f>
        <v/>
      </c>
      <c r="V238" s="10">
        <f>IF(AND(ISNUMBER(H238),ISNUMBER(I238)),I238-H238+1,"")</f>
        <v/>
      </c>
      <c r="W238" s="17">
        <f>IF(ISNUMBER(H238),MAX(0,MIN(IF(ISNUMBER(I238),I238,EOMONTH(출력_요약!$B$3,0)),EOMONTH(출력_요약!$B$3,0))-MAX(H238,출력_요약!$B$3)+1),0)</f>
        <v/>
      </c>
      <c r="X238" s="10">
        <f>IF(OR(NOT(ISNUMBER(H238)),Q238=""),"",IF(TODAY()&lt;H238,"파견예정",IF(AND(ISNUMBER(I238),TODAY()&gt;I238),"파견종료","파견중")))</f>
        <v/>
      </c>
      <c r="Y238" s="10">
        <f>IF(OR(Q238="",X238=""),"",Q238&amp;"|"&amp;X238)</f>
        <v/>
      </c>
      <c r="Z238" s="10">
        <f>IF(AND(Q238&lt;&gt;"",W238&gt;0),Q238&amp;"|월","")</f>
        <v/>
      </c>
      <c r="AA238" s="10">
        <f>IF(COUNTA(B238:I238,K238:N238)=0,"",IF(Q238="","등록번호 없음",IF(LEFT(R238,1)="⚠","모병원명 미등록",IF(S238="","파견병원 입력",IF(LEFT(S238,1)="⚠","파견병원명 미등록",IF(LEFT(U238,1)="⚠","파견과목 미등록",IF(OR(T238="",LEFT(T238,1)="⚠"),"파견근거 확인",IF(NOT(AND(ISNUMBER(H238),ISNUMBER(I238))),"날짜 형식/누락",IF(I238&lt;H238,"종료일&lt;시작일","")))))))))</f>
        <v/>
      </c>
      <c r="AB238" s="11">
        <f>IF(ISNUMBER(SEARCH("다기관",TRIM(N238&amp;" "&amp;O238))),IFERROR(DATE(VALUE(MID(TRIM(N238&amp;" "&amp;O238),1,4)),VALUE(MID(TRIM(N238&amp;" "&amp;O238),6,2)),VALUE(MID(TRIM(N238&amp;" "&amp;O238),9,2))),IF(ISNUMBER(H238),H238,"")),"")</f>
        <v/>
      </c>
      <c r="AC238" s="11">
        <f>IF(ISNUMBER(SEARCH("다기관",TRIM(N238&amp;" "&amp;O238))),IFERROR(DATE(VALUE(MID(TRIM(N238&amp;" "&amp;O238),12,4)),VALUE(MID(TRIM(N238&amp;" "&amp;O238),17,2)),VALUE(MID(TRIM(N238&amp;" "&amp;O238),20,2))),IF(ISNUMBER(I238),I238,"")),"")</f>
        <v/>
      </c>
      <c r="AD238" s="17">
        <f>IF(AND(ISNUMBER(AB238),ISNUMBER(AC238)),MAX(0,MIN(AC238,EOMONTH(출력_요약!$B$3,0))-MAX(AB238,출력_요약!$B$3)+1),0)</f>
        <v/>
      </c>
      <c r="AE238" s="10">
        <f>IF(AND(Q238&lt;&gt;"",ISNUMBER(AB238)),Q238&amp;"|다기관","")</f>
        <v/>
      </c>
    </row>
    <row r="239">
      <c r="A239" s="15">
        <f>IF(F239="","",ROW()-3)</f>
        <v/>
      </c>
      <c r="B239" s="5" t="n"/>
      <c r="C239" s="15" t="n"/>
      <c r="D239" s="5" t="n"/>
      <c r="E239" s="15" t="n"/>
      <c r="F239" s="5" t="n"/>
      <c r="G239" s="6" t="n"/>
      <c r="H239" s="16" t="n"/>
      <c r="I239" s="16" t="n"/>
      <c r="J239" s="15">
        <f>IF(AND(ISNUMBER(H239),ISNUMBER(I239)),I239-H239+1,"")</f>
        <v/>
      </c>
      <c r="K239" s="5" t="n"/>
      <c r="L239" s="5" t="n"/>
      <c r="M239" s="5" t="n"/>
      <c r="N239" s="5" t="n"/>
      <c r="O239" s="5" t="n"/>
      <c r="Q239" s="10">
        <f>IF(TRIM(G239&amp;"")="","",TRIM(G239&amp;""))</f>
        <v/>
      </c>
      <c r="R239" s="10">
        <f>IF(TRIM(B239&amp;"")="","",IFERROR(INDEX(설정_코드표!$K$2:$K$101,MATCH(TRIM(B239&amp;""),설정_코드표!$J$2:$J$101,0)),"⚠"&amp;TRIM(B239&amp;"")))</f>
        <v/>
      </c>
      <c r="S239" s="10">
        <f>IF(TRIM(K239&amp;"")="","",IFERROR(INDEX(설정_코드표!$K$2:$K$101,MATCH(TRIM(K239&amp;""),설정_코드표!$J$2:$J$101,0)),"⚠"&amp;TRIM(K239&amp;"")))</f>
        <v/>
      </c>
      <c r="T239" s="10">
        <f>IF(TRIM(M239&amp;"")="","",IF(ISNUMBER(MATCH(TRIM(M239&amp;""),설정_코드표!$C$2:$C$11,0)),TRIM(M239&amp;""),"⚠"&amp;TRIM(M239&amp;"")))</f>
        <v/>
      </c>
      <c r="U239" s="10">
        <f>IF(TRIM(L239&amp;"")="","",IFERROR(INDEX(설정_코드표!$G$2:$G$101,MATCH(TRIM(L239&amp;""),설정_코드표!$F$2:$F$101,0)),"⚠"&amp;TRIM(L239&amp;"")))</f>
        <v/>
      </c>
      <c r="V239" s="10">
        <f>IF(AND(ISNUMBER(H239),ISNUMBER(I239)),I239-H239+1,"")</f>
        <v/>
      </c>
      <c r="W239" s="17">
        <f>IF(ISNUMBER(H239),MAX(0,MIN(IF(ISNUMBER(I239),I239,EOMONTH(출력_요약!$B$3,0)),EOMONTH(출력_요약!$B$3,0))-MAX(H239,출력_요약!$B$3)+1),0)</f>
        <v/>
      </c>
      <c r="X239" s="10">
        <f>IF(OR(NOT(ISNUMBER(H239)),Q239=""),"",IF(TODAY()&lt;H239,"파견예정",IF(AND(ISNUMBER(I239),TODAY()&gt;I239),"파견종료","파견중")))</f>
        <v/>
      </c>
      <c r="Y239" s="10">
        <f>IF(OR(Q239="",X239=""),"",Q239&amp;"|"&amp;X239)</f>
        <v/>
      </c>
      <c r="Z239" s="10">
        <f>IF(AND(Q239&lt;&gt;"",W239&gt;0),Q239&amp;"|월","")</f>
        <v/>
      </c>
      <c r="AA239" s="10">
        <f>IF(COUNTA(B239:I239,K239:N239)=0,"",IF(Q239="","등록번호 없음",IF(LEFT(R239,1)="⚠","모병원명 미등록",IF(S239="","파견병원 입력",IF(LEFT(S239,1)="⚠","파견병원명 미등록",IF(LEFT(U239,1)="⚠","파견과목 미등록",IF(OR(T239="",LEFT(T239,1)="⚠"),"파견근거 확인",IF(NOT(AND(ISNUMBER(H239),ISNUMBER(I239))),"날짜 형식/누락",IF(I239&lt;H239,"종료일&lt;시작일","")))))))))</f>
        <v/>
      </c>
      <c r="AB239" s="11">
        <f>IF(ISNUMBER(SEARCH("다기관",TRIM(N239&amp;" "&amp;O239))),IFERROR(DATE(VALUE(MID(TRIM(N239&amp;" "&amp;O239),1,4)),VALUE(MID(TRIM(N239&amp;" "&amp;O239),6,2)),VALUE(MID(TRIM(N239&amp;" "&amp;O239),9,2))),IF(ISNUMBER(H239),H239,"")),"")</f>
        <v/>
      </c>
      <c r="AC239" s="11">
        <f>IF(ISNUMBER(SEARCH("다기관",TRIM(N239&amp;" "&amp;O239))),IFERROR(DATE(VALUE(MID(TRIM(N239&amp;" "&amp;O239),12,4)),VALUE(MID(TRIM(N239&amp;" "&amp;O239),17,2)),VALUE(MID(TRIM(N239&amp;" "&amp;O239),20,2))),IF(ISNUMBER(I239),I239,"")),"")</f>
        <v/>
      </c>
      <c r="AD239" s="17">
        <f>IF(AND(ISNUMBER(AB239),ISNUMBER(AC239)),MAX(0,MIN(AC239,EOMONTH(출력_요약!$B$3,0))-MAX(AB239,출력_요약!$B$3)+1),0)</f>
        <v/>
      </c>
      <c r="AE239" s="10">
        <f>IF(AND(Q239&lt;&gt;"",ISNUMBER(AB239)),Q239&amp;"|다기관","")</f>
        <v/>
      </c>
    </row>
    <row r="240">
      <c r="A240" s="15">
        <f>IF(F240="","",ROW()-3)</f>
        <v/>
      </c>
      <c r="B240" s="5" t="n"/>
      <c r="C240" s="15" t="n"/>
      <c r="D240" s="5" t="n"/>
      <c r="E240" s="15" t="n"/>
      <c r="F240" s="5" t="n"/>
      <c r="G240" s="6" t="n"/>
      <c r="H240" s="16" t="n"/>
      <c r="I240" s="16" t="n"/>
      <c r="J240" s="15">
        <f>IF(AND(ISNUMBER(H240),ISNUMBER(I240)),I240-H240+1,"")</f>
        <v/>
      </c>
      <c r="K240" s="5" t="n"/>
      <c r="L240" s="5" t="n"/>
      <c r="M240" s="5" t="n"/>
      <c r="N240" s="5" t="n"/>
      <c r="O240" s="5" t="n"/>
      <c r="Q240" s="10">
        <f>IF(TRIM(G240&amp;"")="","",TRIM(G240&amp;""))</f>
        <v/>
      </c>
      <c r="R240" s="10">
        <f>IF(TRIM(B240&amp;"")="","",IFERROR(INDEX(설정_코드표!$K$2:$K$101,MATCH(TRIM(B240&amp;""),설정_코드표!$J$2:$J$101,0)),"⚠"&amp;TRIM(B240&amp;"")))</f>
        <v/>
      </c>
      <c r="S240" s="10">
        <f>IF(TRIM(K240&amp;"")="","",IFERROR(INDEX(설정_코드표!$K$2:$K$101,MATCH(TRIM(K240&amp;""),설정_코드표!$J$2:$J$101,0)),"⚠"&amp;TRIM(K240&amp;"")))</f>
        <v/>
      </c>
      <c r="T240" s="10">
        <f>IF(TRIM(M240&amp;"")="","",IF(ISNUMBER(MATCH(TRIM(M240&amp;""),설정_코드표!$C$2:$C$11,0)),TRIM(M240&amp;""),"⚠"&amp;TRIM(M240&amp;"")))</f>
        <v/>
      </c>
      <c r="U240" s="10">
        <f>IF(TRIM(L240&amp;"")="","",IFERROR(INDEX(설정_코드표!$G$2:$G$101,MATCH(TRIM(L240&amp;""),설정_코드표!$F$2:$F$101,0)),"⚠"&amp;TRIM(L240&amp;"")))</f>
        <v/>
      </c>
      <c r="V240" s="10">
        <f>IF(AND(ISNUMBER(H240),ISNUMBER(I240)),I240-H240+1,"")</f>
        <v/>
      </c>
      <c r="W240" s="17">
        <f>IF(ISNUMBER(H240),MAX(0,MIN(IF(ISNUMBER(I240),I240,EOMONTH(출력_요약!$B$3,0)),EOMONTH(출력_요약!$B$3,0))-MAX(H240,출력_요약!$B$3)+1),0)</f>
        <v/>
      </c>
      <c r="X240" s="10">
        <f>IF(OR(NOT(ISNUMBER(H240)),Q240=""),"",IF(TODAY()&lt;H240,"파견예정",IF(AND(ISNUMBER(I240),TODAY()&gt;I240),"파견종료","파견중")))</f>
        <v/>
      </c>
      <c r="Y240" s="10">
        <f>IF(OR(Q240="",X240=""),"",Q240&amp;"|"&amp;X240)</f>
        <v/>
      </c>
      <c r="Z240" s="10">
        <f>IF(AND(Q240&lt;&gt;"",W240&gt;0),Q240&amp;"|월","")</f>
        <v/>
      </c>
      <c r="AA240" s="10">
        <f>IF(COUNTA(B240:I240,K240:N240)=0,"",IF(Q240="","등록번호 없음",IF(LEFT(R240,1)="⚠","모병원명 미등록",IF(S240="","파견병원 입력",IF(LEFT(S240,1)="⚠","파견병원명 미등록",IF(LEFT(U240,1)="⚠","파견과목 미등록",IF(OR(T240="",LEFT(T240,1)="⚠"),"파견근거 확인",IF(NOT(AND(ISNUMBER(H240),ISNUMBER(I240))),"날짜 형식/누락",IF(I240&lt;H240,"종료일&lt;시작일","")))))))))</f>
        <v/>
      </c>
      <c r="AB240" s="11">
        <f>IF(ISNUMBER(SEARCH("다기관",TRIM(N240&amp;" "&amp;O240))),IFERROR(DATE(VALUE(MID(TRIM(N240&amp;" "&amp;O240),1,4)),VALUE(MID(TRIM(N240&amp;" "&amp;O240),6,2)),VALUE(MID(TRIM(N240&amp;" "&amp;O240),9,2))),IF(ISNUMBER(H240),H240,"")),"")</f>
        <v/>
      </c>
      <c r="AC240" s="11">
        <f>IF(ISNUMBER(SEARCH("다기관",TRIM(N240&amp;" "&amp;O240))),IFERROR(DATE(VALUE(MID(TRIM(N240&amp;" "&amp;O240),12,4)),VALUE(MID(TRIM(N240&amp;" "&amp;O240),17,2)),VALUE(MID(TRIM(N240&amp;" "&amp;O240),20,2))),IF(ISNUMBER(I240),I240,"")),"")</f>
        <v/>
      </c>
      <c r="AD240" s="17">
        <f>IF(AND(ISNUMBER(AB240),ISNUMBER(AC240)),MAX(0,MIN(AC240,EOMONTH(출력_요약!$B$3,0))-MAX(AB240,출력_요약!$B$3)+1),0)</f>
        <v/>
      </c>
      <c r="AE240" s="10">
        <f>IF(AND(Q240&lt;&gt;"",ISNUMBER(AB240)),Q240&amp;"|다기관","")</f>
        <v/>
      </c>
    </row>
    <row r="241">
      <c r="A241" s="15">
        <f>IF(F241="","",ROW()-3)</f>
        <v/>
      </c>
      <c r="B241" s="5" t="n"/>
      <c r="C241" s="15" t="n"/>
      <c r="D241" s="5" t="n"/>
      <c r="E241" s="15" t="n"/>
      <c r="F241" s="5" t="n"/>
      <c r="G241" s="6" t="n"/>
      <c r="H241" s="16" t="n"/>
      <c r="I241" s="16" t="n"/>
      <c r="J241" s="15">
        <f>IF(AND(ISNUMBER(H241),ISNUMBER(I241)),I241-H241+1,"")</f>
        <v/>
      </c>
      <c r="K241" s="5" t="n"/>
      <c r="L241" s="5" t="n"/>
      <c r="M241" s="5" t="n"/>
      <c r="N241" s="5" t="n"/>
      <c r="O241" s="5" t="n"/>
      <c r="Q241" s="10">
        <f>IF(TRIM(G241&amp;"")="","",TRIM(G241&amp;""))</f>
        <v/>
      </c>
      <c r="R241" s="10">
        <f>IF(TRIM(B241&amp;"")="","",IFERROR(INDEX(설정_코드표!$K$2:$K$101,MATCH(TRIM(B241&amp;""),설정_코드표!$J$2:$J$101,0)),"⚠"&amp;TRIM(B241&amp;"")))</f>
        <v/>
      </c>
      <c r="S241" s="10">
        <f>IF(TRIM(K241&amp;"")="","",IFERROR(INDEX(설정_코드표!$K$2:$K$101,MATCH(TRIM(K241&amp;""),설정_코드표!$J$2:$J$101,0)),"⚠"&amp;TRIM(K241&amp;"")))</f>
        <v/>
      </c>
      <c r="T241" s="10">
        <f>IF(TRIM(M241&amp;"")="","",IF(ISNUMBER(MATCH(TRIM(M241&amp;""),설정_코드표!$C$2:$C$11,0)),TRIM(M241&amp;""),"⚠"&amp;TRIM(M241&amp;"")))</f>
        <v/>
      </c>
      <c r="U241" s="10">
        <f>IF(TRIM(L241&amp;"")="","",IFERROR(INDEX(설정_코드표!$G$2:$G$101,MATCH(TRIM(L241&amp;""),설정_코드표!$F$2:$F$101,0)),"⚠"&amp;TRIM(L241&amp;"")))</f>
        <v/>
      </c>
      <c r="V241" s="10">
        <f>IF(AND(ISNUMBER(H241),ISNUMBER(I241)),I241-H241+1,"")</f>
        <v/>
      </c>
      <c r="W241" s="17">
        <f>IF(ISNUMBER(H241),MAX(0,MIN(IF(ISNUMBER(I241),I241,EOMONTH(출력_요약!$B$3,0)),EOMONTH(출력_요약!$B$3,0))-MAX(H241,출력_요약!$B$3)+1),0)</f>
        <v/>
      </c>
      <c r="X241" s="10">
        <f>IF(OR(NOT(ISNUMBER(H241)),Q241=""),"",IF(TODAY()&lt;H241,"파견예정",IF(AND(ISNUMBER(I241),TODAY()&gt;I241),"파견종료","파견중")))</f>
        <v/>
      </c>
      <c r="Y241" s="10">
        <f>IF(OR(Q241="",X241=""),"",Q241&amp;"|"&amp;X241)</f>
        <v/>
      </c>
      <c r="Z241" s="10">
        <f>IF(AND(Q241&lt;&gt;"",W241&gt;0),Q241&amp;"|월","")</f>
        <v/>
      </c>
      <c r="AA241" s="10">
        <f>IF(COUNTA(B241:I241,K241:N241)=0,"",IF(Q241="","등록번호 없음",IF(LEFT(R241,1)="⚠","모병원명 미등록",IF(S241="","파견병원 입력",IF(LEFT(S241,1)="⚠","파견병원명 미등록",IF(LEFT(U241,1)="⚠","파견과목 미등록",IF(OR(T241="",LEFT(T241,1)="⚠"),"파견근거 확인",IF(NOT(AND(ISNUMBER(H241),ISNUMBER(I241))),"날짜 형식/누락",IF(I241&lt;H241,"종료일&lt;시작일","")))))))))</f>
        <v/>
      </c>
      <c r="AB241" s="11">
        <f>IF(ISNUMBER(SEARCH("다기관",TRIM(N241&amp;" "&amp;O241))),IFERROR(DATE(VALUE(MID(TRIM(N241&amp;" "&amp;O241),1,4)),VALUE(MID(TRIM(N241&amp;" "&amp;O241),6,2)),VALUE(MID(TRIM(N241&amp;" "&amp;O241),9,2))),IF(ISNUMBER(H241),H241,"")),"")</f>
        <v/>
      </c>
      <c r="AC241" s="11">
        <f>IF(ISNUMBER(SEARCH("다기관",TRIM(N241&amp;" "&amp;O241))),IFERROR(DATE(VALUE(MID(TRIM(N241&amp;" "&amp;O241),12,4)),VALUE(MID(TRIM(N241&amp;" "&amp;O241),17,2)),VALUE(MID(TRIM(N241&amp;" "&amp;O241),20,2))),IF(ISNUMBER(I241),I241,"")),"")</f>
        <v/>
      </c>
      <c r="AD241" s="17">
        <f>IF(AND(ISNUMBER(AB241),ISNUMBER(AC241)),MAX(0,MIN(AC241,EOMONTH(출력_요약!$B$3,0))-MAX(AB241,출력_요약!$B$3)+1),0)</f>
        <v/>
      </c>
      <c r="AE241" s="10">
        <f>IF(AND(Q241&lt;&gt;"",ISNUMBER(AB241)),Q241&amp;"|다기관","")</f>
        <v/>
      </c>
    </row>
    <row r="242">
      <c r="A242" s="15">
        <f>IF(F242="","",ROW()-3)</f>
        <v/>
      </c>
      <c r="B242" s="5" t="n"/>
      <c r="C242" s="15" t="n"/>
      <c r="D242" s="5" t="n"/>
      <c r="E242" s="15" t="n"/>
      <c r="F242" s="5" t="n"/>
      <c r="G242" s="6" t="n"/>
      <c r="H242" s="16" t="n"/>
      <c r="I242" s="16" t="n"/>
      <c r="J242" s="15">
        <f>IF(AND(ISNUMBER(H242),ISNUMBER(I242)),I242-H242+1,"")</f>
        <v/>
      </c>
      <c r="K242" s="5" t="n"/>
      <c r="L242" s="5" t="n"/>
      <c r="M242" s="5" t="n"/>
      <c r="N242" s="5" t="n"/>
      <c r="O242" s="5" t="n"/>
      <c r="Q242" s="10">
        <f>IF(TRIM(G242&amp;"")="","",TRIM(G242&amp;""))</f>
        <v/>
      </c>
      <c r="R242" s="10">
        <f>IF(TRIM(B242&amp;"")="","",IFERROR(INDEX(설정_코드표!$K$2:$K$101,MATCH(TRIM(B242&amp;""),설정_코드표!$J$2:$J$101,0)),"⚠"&amp;TRIM(B242&amp;"")))</f>
        <v/>
      </c>
      <c r="S242" s="10">
        <f>IF(TRIM(K242&amp;"")="","",IFERROR(INDEX(설정_코드표!$K$2:$K$101,MATCH(TRIM(K242&amp;""),설정_코드표!$J$2:$J$101,0)),"⚠"&amp;TRIM(K242&amp;"")))</f>
        <v/>
      </c>
      <c r="T242" s="10">
        <f>IF(TRIM(M242&amp;"")="","",IF(ISNUMBER(MATCH(TRIM(M242&amp;""),설정_코드표!$C$2:$C$11,0)),TRIM(M242&amp;""),"⚠"&amp;TRIM(M242&amp;"")))</f>
        <v/>
      </c>
      <c r="U242" s="10">
        <f>IF(TRIM(L242&amp;"")="","",IFERROR(INDEX(설정_코드표!$G$2:$G$101,MATCH(TRIM(L242&amp;""),설정_코드표!$F$2:$F$101,0)),"⚠"&amp;TRIM(L242&amp;"")))</f>
        <v/>
      </c>
      <c r="V242" s="10">
        <f>IF(AND(ISNUMBER(H242),ISNUMBER(I242)),I242-H242+1,"")</f>
        <v/>
      </c>
      <c r="W242" s="17">
        <f>IF(ISNUMBER(H242),MAX(0,MIN(IF(ISNUMBER(I242),I242,EOMONTH(출력_요약!$B$3,0)),EOMONTH(출력_요약!$B$3,0))-MAX(H242,출력_요약!$B$3)+1),0)</f>
        <v/>
      </c>
      <c r="X242" s="10">
        <f>IF(OR(NOT(ISNUMBER(H242)),Q242=""),"",IF(TODAY()&lt;H242,"파견예정",IF(AND(ISNUMBER(I242),TODAY()&gt;I242),"파견종료","파견중")))</f>
        <v/>
      </c>
      <c r="Y242" s="10">
        <f>IF(OR(Q242="",X242=""),"",Q242&amp;"|"&amp;X242)</f>
        <v/>
      </c>
      <c r="Z242" s="10">
        <f>IF(AND(Q242&lt;&gt;"",W242&gt;0),Q242&amp;"|월","")</f>
        <v/>
      </c>
      <c r="AA242" s="10">
        <f>IF(COUNTA(B242:I242,K242:N242)=0,"",IF(Q242="","등록번호 없음",IF(LEFT(R242,1)="⚠","모병원명 미등록",IF(S242="","파견병원 입력",IF(LEFT(S242,1)="⚠","파견병원명 미등록",IF(LEFT(U242,1)="⚠","파견과목 미등록",IF(OR(T242="",LEFT(T242,1)="⚠"),"파견근거 확인",IF(NOT(AND(ISNUMBER(H242),ISNUMBER(I242))),"날짜 형식/누락",IF(I242&lt;H242,"종료일&lt;시작일","")))))))))</f>
        <v/>
      </c>
      <c r="AB242" s="11">
        <f>IF(ISNUMBER(SEARCH("다기관",TRIM(N242&amp;" "&amp;O242))),IFERROR(DATE(VALUE(MID(TRIM(N242&amp;" "&amp;O242),1,4)),VALUE(MID(TRIM(N242&amp;" "&amp;O242),6,2)),VALUE(MID(TRIM(N242&amp;" "&amp;O242),9,2))),IF(ISNUMBER(H242),H242,"")),"")</f>
        <v/>
      </c>
      <c r="AC242" s="11">
        <f>IF(ISNUMBER(SEARCH("다기관",TRIM(N242&amp;" "&amp;O242))),IFERROR(DATE(VALUE(MID(TRIM(N242&amp;" "&amp;O242),12,4)),VALUE(MID(TRIM(N242&amp;" "&amp;O242),17,2)),VALUE(MID(TRIM(N242&amp;" "&amp;O242),20,2))),IF(ISNUMBER(I242),I242,"")),"")</f>
        <v/>
      </c>
      <c r="AD242" s="17">
        <f>IF(AND(ISNUMBER(AB242),ISNUMBER(AC242)),MAX(0,MIN(AC242,EOMONTH(출력_요약!$B$3,0))-MAX(AB242,출력_요약!$B$3)+1),0)</f>
        <v/>
      </c>
      <c r="AE242" s="10">
        <f>IF(AND(Q242&lt;&gt;"",ISNUMBER(AB242)),Q242&amp;"|다기관","")</f>
        <v/>
      </c>
    </row>
    <row r="243">
      <c r="A243" s="15">
        <f>IF(F243="","",ROW()-3)</f>
        <v/>
      </c>
      <c r="B243" s="5" t="n"/>
      <c r="C243" s="15" t="n"/>
      <c r="D243" s="5" t="n"/>
      <c r="E243" s="15" t="n"/>
      <c r="F243" s="5" t="n"/>
      <c r="G243" s="6" t="n"/>
      <c r="H243" s="16" t="n"/>
      <c r="I243" s="16" t="n"/>
      <c r="J243" s="15">
        <f>IF(AND(ISNUMBER(H243),ISNUMBER(I243)),I243-H243+1,"")</f>
        <v/>
      </c>
      <c r="K243" s="5" t="n"/>
      <c r="L243" s="5" t="n"/>
      <c r="M243" s="5" t="n"/>
      <c r="N243" s="5" t="n"/>
      <c r="O243" s="5" t="n"/>
      <c r="Q243" s="10">
        <f>IF(TRIM(G243&amp;"")="","",TRIM(G243&amp;""))</f>
        <v/>
      </c>
      <c r="R243" s="10">
        <f>IF(TRIM(B243&amp;"")="","",IFERROR(INDEX(설정_코드표!$K$2:$K$101,MATCH(TRIM(B243&amp;""),설정_코드표!$J$2:$J$101,0)),"⚠"&amp;TRIM(B243&amp;"")))</f>
        <v/>
      </c>
      <c r="S243" s="10">
        <f>IF(TRIM(K243&amp;"")="","",IFERROR(INDEX(설정_코드표!$K$2:$K$101,MATCH(TRIM(K243&amp;""),설정_코드표!$J$2:$J$101,0)),"⚠"&amp;TRIM(K243&amp;"")))</f>
        <v/>
      </c>
      <c r="T243" s="10">
        <f>IF(TRIM(M243&amp;"")="","",IF(ISNUMBER(MATCH(TRIM(M243&amp;""),설정_코드표!$C$2:$C$11,0)),TRIM(M243&amp;""),"⚠"&amp;TRIM(M243&amp;"")))</f>
        <v/>
      </c>
      <c r="U243" s="10">
        <f>IF(TRIM(L243&amp;"")="","",IFERROR(INDEX(설정_코드표!$G$2:$G$101,MATCH(TRIM(L243&amp;""),설정_코드표!$F$2:$F$101,0)),"⚠"&amp;TRIM(L243&amp;"")))</f>
        <v/>
      </c>
      <c r="V243" s="10">
        <f>IF(AND(ISNUMBER(H243),ISNUMBER(I243)),I243-H243+1,"")</f>
        <v/>
      </c>
      <c r="W243" s="17">
        <f>IF(ISNUMBER(H243),MAX(0,MIN(IF(ISNUMBER(I243),I243,EOMONTH(출력_요약!$B$3,0)),EOMONTH(출력_요약!$B$3,0))-MAX(H243,출력_요약!$B$3)+1),0)</f>
        <v/>
      </c>
      <c r="X243" s="10">
        <f>IF(OR(NOT(ISNUMBER(H243)),Q243=""),"",IF(TODAY()&lt;H243,"파견예정",IF(AND(ISNUMBER(I243),TODAY()&gt;I243),"파견종료","파견중")))</f>
        <v/>
      </c>
      <c r="Y243" s="10">
        <f>IF(OR(Q243="",X243=""),"",Q243&amp;"|"&amp;X243)</f>
        <v/>
      </c>
      <c r="Z243" s="10">
        <f>IF(AND(Q243&lt;&gt;"",W243&gt;0),Q243&amp;"|월","")</f>
        <v/>
      </c>
      <c r="AA243" s="10">
        <f>IF(COUNTA(B243:I243,K243:N243)=0,"",IF(Q243="","등록번호 없음",IF(LEFT(R243,1)="⚠","모병원명 미등록",IF(S243="","파견병원 입력",IF(LEFT(S243,1)="⚠","파견병원명 미등록",IF(LEFT(U243,1)="⚠","파견과목 미등록",IF(OR(T243="",LEFT(T243,1)="⚠"),"파견근거 확인",IF(NOT(AND(ISNUMBER(H243),ISNUMBER(I243))),"날짜 형식/누락",IF(I243&lt;H243,"종료일&lt;시작일","")))))))))</f>
        <v/>
      </c>
      <c r="AB243" s="11">
        <f>IF(ISNUMBER(SEARCH("다기관",TRIM(N243&amp;" "&amp;O243))),IFERROR(DATE(VALUE(MID(TRIM(N243&amp;" "&amp;O243),1,4)),VALUE(MID(TRIM(N243&amp;" "&amp;O243),6,2)),VALUE(MID(TRIM(N243&amp;" "&amp;O243),9,2))),IF(ISNUMBER(H243),H243,"")),"")</f>
        <v/>
      </c>
      <c r="AC243" s="11">
        <f>IF(ISNUMBER(SEARCH("다기관",TRIM(N243&amp;" "&amp;O243))),IFERROR(DATE(VALUE(MID(TRIM(N243&amp;" "&amp;O243),12,4)),VALUE(MID(TRIM(N243&amp;" "&amp;O243),17,2)),VALUE(MID(TRIM(N243&amp;" "&amp;O243),20,2))),IF(ISNUMBER(I243),I243,"")),"")</f>
        <v/>
      </c>
      <c r="AD243" s="17">
        <f>IF(AND(ISNUMBER(AB243),ISNUMBER(AC243)),MAX(0,MIN(AC243,EOMONTH(출력_요약!$B$3,0))-MAX(AB243,출력_요약!$B$3)+1),0)</f>
        <v/>
      </c>
      <c r="AE243" s="10">
        <f>IF(AND(Q243&lt;&gt;"",ISNUMBER(AB243)),Q243&amp;"|다기관","")</f>
        <v/>
      </c>
    </row>
    <row r="244">
      <c r="A244" s="15">
        <f>IF(F244="","",ROW()-3)</f>
        <v/>
      </c>
      <c r="B244" s="5" t="n"/>
      <c r="C244" s="15" t="n"/>
      <c r="D244" s="5" t="n"/>
      <c r="E244" s="15" t="n"/>
      <c r="F244" s="5" t="n"/>
      <c r="G244" s="6" t="n"/>
      <c r="H244" s="16" t="n"/>
      <c r="I244" s="16" t="n"/>
      <c r="J244" s="15">
        <f>IF(AND(ISNUMBER(H244),ISNUMBER(I244)),I244-H244+1,"")</f>
        <v/>
      </c>
      <c r="K244" s="5" t="n"/>
      <c r="L244" s="5" t="n"/>
      <c r="M244" s="5" t="n"/>
      <c r="N244" s="5" t="n"/>
      <c r="O244" s="5" t="n"/>
      <c r="Q244" s="10">
        <f>IF(TRIM(G244&amp;"")="","",TRIM(G244&amp;""))</f>
        <v/>
      </c>
      <c r="R244" s="10">
        <f>IF(TRIM(B244&amp;"")="","",IFERROR(INDEX(설정_코드표!$K$2:$K$101,MATCH(TRIM(B244&amp;""),설정_코드표!$J$2:$J$101,0)),"⚠"&amp;TRIM(B244&amp;"")))</f>
        <v/>
      </c>
      <c r="S244" s="10">
        <f>IF(TRIM(K244&amp;"")="","",IFERROR(INDEX(설정_코드표!$K$2:$K$101,MATCH(TRIM(K244&amp;""),설정_코드표!$J$2:$J$101,0)),"⚠"&amp;TRIM(K244&amp;"")))</f>
        <v/>
      </c>
      <c r="T244" s="10">
        <f>IF(TRIM(M244&amp;"")="","",IF(ISNUMBER(MATCH(TRIM(M244&amp;""),설정_코드표!$C$2:$C$11,0)),TRIM(M244&amp;""),"⚠"&amp;TRIM(M244&amp;"")))</f>
        <v/>
      </c>
      <c r="U244" s="10">
        <f>IF(TRIM(L244&amp;"")="","",IFERROR(INDEX(설정_코드표!$G$2:$G$101,MATCH(TRIM(L244&amp;""),설정_코드표!$F$2:$F$101,0)),"⚠"&amp;TRIM(L244&amp;"")))</f>
        <v/>
      </c>
      <c r="V244" s="10">
        <f>IF(AND(ISNUMBER(H244),ISNUMBER(I244)),I244-H244+1,"")</f>
        <v/>
      </c>
      <c r="W244" s="17">
        <f>IF(ISNUMBER(H244),MAX(0,MIN(IF(ISNUMBER(I244),I244,EOMONTH(출력_요약!$B$3,0)),EOMONTH(출력_요약!$B$3,0))-MAX(H244,출력_요약!$B$3)+1),0)</f>
        <v/>
      </c>
      <c r="X244" s="10">
        <f>IF(OR(NOT(ISNUMBER(H244)),Q244=""),"",IF(TODAY()&lt;H244,"파견예정",IF(AND(ISNUMBER(I244),TODAY()&gt;I244),"파견종료","파견중")))</f>
        <v/>
      </c>
      <c r="Y244" s="10">
        <f>IF(OR(Q244="",X244=""),"",Q244&amp;"|"&amp;X244)</f>
        <v/>
      </c>
      <c r="Z244" s="10">
        <f>IF(AND(Q244&lt;&gt;"",W244&gt;0),Q244&amp;"|월","")</f>
        <v/>
      </c>
      <c r="AA244" s="10">
        <f>IF(COUNTA(B244:I244,K244:N244)=0,"",IF(Q244="","등록번호 없음",IF(LEFT(R244,1)="⚠","모병원명 미등록",IF(S244="","파견병원 입력",IF(LEFT(S244,1)="⚠","파견병원명 미등록",IF(LEFT(U244,1)="⚠","파견과목 미등록",IF(OR(T244="",LEFT(T244,1)="⚠"),"파견근거 확인",IF(NOT(AND(ISNUMBER(H244),ISNUMBER(I244))),"날짜 형식/누락",IF(I244&lt;H244,"종료일&lt;시작일","")))))))))</f>
        <v/>
      </c>
      <c r="AB244" s="11">
        <f>IF(ISNUMBER(SEARCH("다기관",TRIM(N244&amp;" "&amp;O244))),IFERROR(DATE(VALUE(MID(TRIM(N244&amp;" "&amp;O244),1,4)),VALUE(MID(TRIM(N244&amp;" "&amp;O244),6,2)),VALUE(MID(TRIM(N244&amp;" "&amp;O244),9,2))),IF(ISNUMBER(H244),H244,"")),"")</f>
        <v/>
      </c>
      <c r="AC244" s="11">
        <f>IF(ISNUMBER(SEARCH("다기관",TRIM(N244&amp;" "&amp;O244))),IFERROR(DATE(VALUE(MID(TRIM(N244&amp;" "&amp;O244),12,4)),VALUE(MID(TRIM(N244&amp;" "&amp;O244),17,2)),VALUE(MID(TRIM(N244&amp;" "&amp;O244),20,2))),IF(ISNUMBER(I244),I244,"")),"")</f>
        <v/>
      </c>
      <c r="AD244" s="17">
        <f>IF(AND(ISNUMBER(AB244),ISNUMBER(AC244)),MAX(0,MIN(AC244,EOMONTH(출력_요약!$B$3,0))-MAX(AB244,출력_요약!$B$3)+1),0)</f>
        <v/>
      </c>
      <c r="AE244" s="10">
        <f>IF(AND(Q244&lt;&gt;"",ISNUMBER(AB244)),Q244&amp;"|다기관","")</f>
        <v/>
      </c>
    </row>
    <row r="245">
      <c r="A245" s="15">
        <f>IF(F245="","",ROW()-3)</f>
        <v/>
      </c>
      <c r="B245" s="5" t="n"/>
      <c r="C245" s="15" t="n"/>
      <c r="D245" s="5" t="n"/>
      <c r="E245" s="15" t="n"/>
      <c r="F245" s="5" t="n"/>
      <c r="G245" s="6" t="n"/>
      <c r="H245" s="16" t="n"/>
      <c r="I245" s="16" t="n"/>
      <c r="J245" s="15">
        <f>IF(AND(ISNUMBER(H245),ISNUMBER(I245)),I245-H245+1,"")</f>
        <v/>
      </c>
      <c r="K245" s="5" t="n"/>
      <c r="L245" s="5" t="n"/>
      <c r="M245" s="5" t="n"/>
      <c r="N245" s="5" t="n"/>
      <c r="O245" s="5" t="n"/>
      <c r="Q245" s="10">
        <f>IF(TRIM(G245&amp;"")="","",TRIM(G245&amp;""))</f>
        <v/>
      </c>
      <c r="R245" s="10">
        <f>IF(TRIM(B245&amp;"")="","",IFERROR(INDEX(설정_코드표!$K$2:$K$101,MATCH(TRIM(B245&amp;""),설정_코드표!$J$2:$J$101,0)),"⚠"&amp;TRIM(B245&amp;"")))</f>
        <v/>
      </c>
      <c r="S245" s="10">
        <f>IF(TRIM(K245&amp;"")="","",IFERROR(INDEX(설정_코드표!$K$2:$K$101,MATCH(TRIM(K245&amp;""),설정_코드표!$J$2:$J$101,0)),"⚠"&amp;TRIM(K245&amp;"")))</f>
        <v/>
      </c>
      <c r="T245" s="10">
        <f>IF(TRIM(M245&amp;"")="","",IF(ISNUMBER(MATCH(TRIM(M245&amp;""),설정_코드표!$C$2:$C$11,0)),TRIM(M245&amp;""),"⚠"&amp;TRIM(M245&amp;"")))</f>
        <v/>
      </c>
      <c r="U245" s="10">
        <f>IF(TRIM(L245&amp;"")="","",IFERROR(INDEX(설정_코드표!$G$2:$G$101,MATCH(TRIM(L245&amp;""),설정_코드표!$F$2:$F$101,0)),"⚠"&amp;TRIM(L245&amp;"")))</f>
        <v/>
      </c>
      <c r="V245" s="10">
        <f>IF(AND(ISNUMBER(H245),ISNUMBER(I245)),I245-H245+1,"")</f>
        <v/>
      </c>
      <c r="W245" s="17">
        <f>IF(ISNUMBER(H245),MAX(0,MIN(IF(ISNUMBER(I245),I245,EOMONTH(출력_요약!$B$3,0)),EOMONTH(출력_요약!$B$3,0))-MAX(H245,출력_요약!$B$3)+1),0)</f>
        <v/>
      </c>
      <c r="X245" s="10">
        <f>IF(OR(NOT(ISNUMBER(H245)),Q245=""),"",IF(TODAY()&lt;H245,"파견예정",IF(AND(ISNUMBER(I245),TODAY()&gt;I245),"파견종료","파견중")))</f>
        <v/>
      </c>
      <c r="Y245" s="10">
        <f>IF(OR(Q245="",X245=""),"",Q245&amp;"|"&amp;X245)</f>
        <v/>
      </c>
      <c r="Z245" s="10">
        <f>IF(AND(Q245&lt;&gt;"",W245&gt;0),Q245&amp;"|월","")</f>
        <v/>
      </c>
      <c r="AA245" s="10">
        <f>IF(COUNTA(B245:I245,K245:N245)=0,"",IF(Q245="","등록번호 없음",IF(LEFT(R245,1)="⚠","모병원명 미등록",IF(S245="","파견병원 입력",IF(LEFT(S245,1)="⚠","파견병원명 미등록",IF(LEFT(U245,1)="⚠","파견과목 미등록",IF(OR(T245="",LEFT(T245,1)="⚠"),"파견근거 확인",IF(NOT(AND(ISNUMBER(H245),ISNUMBER(I245))),"날짜 형식/누락",IF(I245&lt;H245,"종료일&lt;시작일","")))))))))</f>
        <v/>
      </c>
      <c r="AB245" s="11">
        <f>IF(ISNUMBER(SEARCH("다기관",TRIM(N245&amp;" "&amp;O245))),IFERROR(DATE(VALUE(MID(TRIM(N245&amp;" "&amp;O245),1,4)),VALUE(MID(TRIM(N245&amp;" "&amp;O245),6,2)),VALUE(MID(TRIM(N245&amp;" "&amp;O245),9,2))),IF(ISNUMBER(H245),H245,"")),"")</f>
        <v/>
      </c>
      <c r="AC245" s="11">
        <f>IF(ISNUMBER(SEARCH("다기관",TRIM(N245&amp;" "&amp;O245))),IFERROR(DATE(VALUE(MID(TRIM(N245&amp;" "&amp;O245),12,4)),VALUE(MID(TRIM(N245&amp;" "&amp;O245),17,2)),VALUE(MID(TRIM(N245&amp;" "&amp;O245),20,2))),IF(ISNUMBER(I245),I245,"")),"")</f>
        <v/>
      </c>
      <c r="AD245" s="17">
        <f>IF(AND(ISNUMBER(AB245),ISNUMBER(AC245)),MAX(0,MIN(AC245,EOMONTH(출력_요약!$B$3,0))-MAX(AB245,출력_요약!$B$3)+1),0)</f>
        <v/>
      </c>
      <c r="AE245" s="10">
        <f>IF(AND(Q245&lt;&gt;"",ISNUMBER(AB245)),Q245&amp;"|다기관","")</f>
        <v/>
      </c>
    </row>
    <row r="246">
      <c r="A246" s="15">
        <f>IF(F246="","",ROW()-3)</f>
        <v/>
      </c>
      <c r="B246" s="5" t="n"/>
      <c r="C246" s="15" t="n"/>
      <c r="D246" s="5" t="n"/>
      <c r="E246" s="15" t="n"/>
      <c r="F246" s="5" t="n"/>
      <c r="G246" s="6" t="n"/>
      <c r="H246" s="16" t="n"/>
      <c r="I246" s="16" t="n"/>
      <c r="J246" s="15">
        <f>IF(AND(ISNUMBER(H246),ISNUMBER(I246)),I246-H246+1,"")</f>
        <v/>
      </c>
      <c r="K246" s="5" t="n"/>
      <c r="L246" s="5" t="n"/>
      <c r="M246" s="5" t="n"/>
      <c r="N246" s="5" t="n"/>
      <c r="O246" s="5" t="n"/>
      <c r="Q246" s="10">
        <f>IF(TRIM(G246&amp;"")="","",TRIM(G246&amp;""))</f>
        <v/>
      </c>
      <c r="R246" s="10">
        <f>IF(TRIM(B246&amp;"")="","",IFERROR(INDEX(설정_코드표!$K$2:$K$101,MATCH(TRIM(B246&amp;""),설정_코드표!$J$2:$J$101,0)),"⚠"&amp;TRIM(B246&amp;"")))</f>
        <v/>
      </c>
      <c r="S246" s="10">
        <f>IF(TRIM(K246&amp;"")="","",IFERROR(INDEX(설정_코드표!$K$2:$K$101,MATCH(TRIM(K246&amp;""),설정_코드표!$J$2:$J$101,0)),"⚠"&amp;TRIM(K246&amp;"")))</f>
        <v/>
      </c>
      <c r="T246" s="10">
        <f>IF(TRIM(M246&amp;"")="","",IF(ISNUMBER(MATCH(TRIM(M246&amp;""),설정_코드표!$C$2:$C$11,0)),TRIM(M246&amp;""),"⚠"&amp;TRIM(M246&amp;"")))</f>
        <v/>
      </c>
      <c r="U246" s="10">
        <f>IF(TRIM(L246&amp;"")="","",IFERROR(INDEX(설정_코드표!$G$2:$G$101,MATCH(TRIM(L246&amp;""),설정_코드표!$F$2:$F$101,0)),"⚠"&amp;TRIM(L246&amp;"")))</f>
        <v/>
      </c>
      <c r="V246" s="10">
        <f>IF(AND(ISNUMBER(H246),ISNUMBER(I246)),I246-H246+1,"")</f>
        <v/>
      </c>
      <c r="W246" s="17">
        <f>IF(ISNUMBER(H246),MAX(0,MIN(IF(ISNUMBER(I246),I246,EOMONTH(출력_요약!$B$3,0)),EOMONTH(출력_요약!$B$3,0))-MAX(H246,출력_요약!$B$3)+1),0)</f>
        <v/>
      </c>
      <c r="X246" s="10">
        <f>IF(OR(NOT(ISNUMBER(H246)),Q246=""),"",IF(TODAY()&lt;H246,"파견예정",IF(AND(ISNUMBER(I246),TODAY()&gt;I246),"파견종료","파견중")))</f>
        <v/>
      </c>
      <c r="Y246" s="10">
        <f>IF(OR(Q246="",X246=""),"",Q246&amp;"|"&amp;X246)</f>
        <v/>
      </c>
      <c r="Z246" s="10">
        <f>IF(AND(Q246&lt;&gt;"",W246&gt;0),Q246&amp;"|월","")</f>
        <v/>
      </c>
      <c r="AA246" s="10">
        <f>IF(COUNTA(B246:I246,K246:N246)=0,"",IF(Q246="","등록번호 없음",IF(LEFT(R246,1)="⚠","모병원명 미등록",IF(S246="","파견병원 입력",IF(LEFT(S246,1)="⚠","파견병원명 미등록",IF(LEFT(U246,1)="⚠","파견과목 미등록",IF(OR(T246="",LEFT(T246,1)="⚠"),"파견근거 확인",IF(NOT(AND(ISNUMBER(H246),ISNUMBER(I246))),"날짜 형식/누락",IF(I246&lt;H246,"종료일&lt;시작일","")))))))))</f>
        <v/>
      </c>
      <c r="AB246" s="11">
        <f>IF(ISNUMBER(SEARCH("다기관",TRIM(N246&amp;" "&amp;O246))),IFERROR(DATE(VALUE(MID(TRIM(N246&amp;" "&amp;O246),1,4)),VALUE(MID(TRIM(N246&amp;" "&amp;O246),6,2)),VALUE(MID(TRIM(N246&amp;" "&amp;O246),9,2))),IF(ISNUMBER(H246),H246,"")),"")</f>
        <v/>
      </c>
      <c r="AC246" s="11">
        <f>IF(ISNUMBER(SEARCH("다기관",TRIM(N246&amp;" "&amp;O246))),IFERROR(DATE(VALUE(MID(TRIM(N246&amp;" "&amp;O246),12,4)),VALUE(MID(TRIM(N246&amp;" "&amp;O246),17,2)),VALUE(MID(TRIM(N246&amp;" "&amp;O246),20,2))),IF(ISNUMBER(I246),I246,"")),"")</f>
        <v/>
      </c>
      <c r="AD246" s="17">
        <f>IF(AND(ISNUMBER(AB246),ISNUMBER(AC246)),MAX(0,MIN(AC246,EOMONTH(출력_요약!$B$3,0))-MAX(AB246,출력_요약!$B$3)+1),0)</f>
        <v/>
      </c>
      <c r="AE246" s="10">
        <f>IF(AND(Q246&lt;&gt;"",ISNUMBER(AB246)),Q246&amp;"|다기관","")</f>
        <v/>
      </c>
    </row>
    <row r="247">
      <c r="A247" s="15">
        <f>IF(F247="","",ROW()-3)</f>
        <v/>
      </c>
      <c r="B247" s="5" t="n"/>
      <c r="C247" s="15" t="n"/>
      <c r="D247" s="5" t="n"/>
      <c r="E247" s="15" t="n"/>
      <c r="F247" s="5" t="n"/>
      <c r="G247" s="6" t="n"/>
      <c r="H247" s="16" t="n"/>
      <c r="I247" s="16" t="n"/>
      <c r="J247" s="15">
        <f>IF(AND(ISNUMBER(H247),ISNUMBER(I247)),I247-H247+1,"")</f>
        <v/>
      </c>
      <c r="K247" s="5" t="n"/>
      <c r="L247" s="5" t="n"/>
      <c r="M247" s="5" t="n"/>
      <c r="N247" s="5" t="n"/>
      <c r="O247" s="5" t="n"/>
      <c r="Q247" s="10">
        <f>IF(TRIM(G247&amp;"")="","",TRIM(G247&amp;""))</f>
        <v/>
      </c>
      <c r="R247" s="10">
        <f>IF(TRIM(B247&amp;"")="","",IFERROR(INDEX(설정_코드표!$K$2:$K$101,MATCH(TRIM(B247&amp;""),설정_코드표!$J$2:$J$101,0)),"⚠"&amp;TRIM(B247&amp;"")))</f>
        <v/>
      </c>
      <c r="S247" s="10">
        <f>IF(TRIM(K247&amp;"")="","",IFERROR(INDEX(설정_코드표!$K$2:$K$101,MATCH(TRIM(K247&amp;""),설정_코드표!$J$2:$J$101,0)),"⚠"&amp;TRIM(K247&amp;"")))</f>
        <v/>
      </c>
      <c r="T247" s="10">
        <f>IF(TRIM(M247&amp;"")="","",IF(ISNUMBER(MATCH(TRIM(M247&amp;""),설정_코드표!$C$2:$C$11,0)),TRIM(M247&amp;""),"⚠"&amp;TRIM(M247&amp;"")))</f>
        <v/>
      </c>
      <c r="U247" s="10">
        <f>IF(TRIM(L247&amp;"")="","",IFERROR(INDEX(설정_코드표!$G$2:$G$101,MATCH(TRIM(L247&amp;""),설정_코드표!$F$2:$F$101,0)),"⚠"&amp;TRIM(L247&amp;"")))</f>
        <v/>
      </c>
      <c r="V247" s="10">
        <f>IF(AND(ISNUMBER(H247),ISNUMBER(I247)),I247-H247+1,"")</f>
        <v/>
      </c>
      <c r="W247" s="17">
        <f>IF(ISNUMBER(H247),MAX(0,MIN(IF(ISNUMBER(I247),I247,EOMONTH(출력_요약!$B$3,0)),EOMONTH(출력_요약!$B$3,0))-MAX(H247,출력_요약!$B$3)+1),0)</f>
        <v/>
      </c>
      <c r="X247" s="10">
        <f>IF(OR(NOT(ISNUMBER(H247)),Q247=""),"",IF(TODAY()&lt;H247,"파견예정",IF(AND(ISNUMBER(I247),TODAY()&gt;I247),"파견종료","파견중")))</f>
        <v/>
      </c>
      <c r="Y247" s="10">
        <f>IF(OR(Q247="",X247=""),"",Q247&amp;"|"&amp;X247)</f>
        <v/>
      </c>
      <c r="Z247" s="10">
        <f>IF(AND(Q247&lt;&gt;"",W247&gt;0),Q247&amp;"|월","")</f>
        <v/>
      </c>
      <c r="AA247" s="10">
        <f>IF(COUNTA(B247:I247,K247:N247)=0,"",IF(Q247="","등록번호 없음",IF(LEFT(R247,1)="⚠","모병원명 미등록",IF(S247="","파견병원 입력",IF(LEFT(S247,1)="⚠","파견병원명 미등록",IF(LEFT(U247,1)="⚠","파견과목 미등록",IF(OR(T247="",LEFT(T247,1)="⚠"),"파견근거 확인",IF(NOT(AND(ISNUMBER(H247),ISNUMBER(I247))),"날짜 형식/누락",IF(I247&lt;H247,"종료일&lt;시작일","")))))))))</f>
        <v/>
      </c>
      <c r="AB247" s="11">
        <f>IF(ISNUMBER(SEARCH("다기관",TRIM(N247&amp;" "&amp;O247))),IFERROR(DATE(VALUE(MID(TRIM(N247&amp;" "&amp;O247),1,4)),VALUE(MID(TRIM(N247&amp;" "&amp;O247),6,2)),VALUE(MID(TRIM(N247&amp;" "&amp;O247),9,2))),IF(ISNUMBER(H247),H247,"")),"")</f>
        <v/>
      </c>
      <c r="AC247" s="11">
        <f>IF(ISNUMBER(SEARCH("다기관",TRIM(N247&amp;" "&amp;O247))),IFERROR(DATE(VALUE(MID(TRIM(N247&amp;" "&amp;O247),12,4)),VALUE(MID(TRIM(N247&amp;" "&amp;O247),17,2)),VALUE(MID(TRIM(N247&amp;" "&amp;O247),20,2))),IF(ISNUMBER(I247),I247,"")),"")</f>
        <v/>
      </c>
      <c r="AD247" s="17">
        <f>IF(AND(ISNUMBER(AB247),ISNUMBER(AC247)),MAX(0,MIN(AC247,EOMONTH(출력_요약!$B$3,0))-MAX(AB247,출력_요약!$B$3)+1),0)</f>
        <v/>
      </c>
      <c r="AE247" s="10">
        <f>IF(AND(Q247&lt;&gt;"",ISNUMBER(AB247)),Q247&amp;"|다기관","")</f>
        <v/>
      </c>
    </row>
    <row r="248">
      <c r="A248" s="15">
        <f>IF(F248="","",ROW()-3)</f>
        <v/>
      </c>
      <c r="B248" s="5" t="n"/>
      <c r="C248" s="15" t="n"/>
      <c r="D248" s="5" t="n"/>
      <c r="E248" s="15" t="n"/>
      <c r="F248" s="5" t="n"/>
      <c r="G248" s="6" t="n"/>
      <c r="H248" s="16" t="n"/>
      <c r="I248" s="16" t="n"/>
      <c r="J248" s="15">
        <f>IF(AND(ISNUMBER(H248),ISNUMBER(I248)),I248-H248+1,"")</f>
        <v/>
      </c>
      <c r="K248" s="5" t="n"/>
      <c r="L248" s="5" t="n"/>
      <c r="M248" s="5" t="n"/>
      <c r="N248" s="5" t="n"/>
      <c r="O248" s="5" t="n"/>
      <c r="Q248" s="10">
        <f>IF(TRIM(G248&amp;"")="","",TRIM(G248&amp;""))</f>
        <v/>
      </c>
      <c r="R248" s="10">
        <f>IF(TRIM(B248&amp;"")="","",IFERROR(INDEX(설정_코드표!$K$2:$K$101,MATCH(TRIM(B248&amp;""),설정_코드표!$J$2:$J$101,0)),"⚠"&amp;TRIM(B248&amp;"")))</f>
        <v/>
      </c>
      <c r="S248" s="10">
        <f>IF(TRIM(K248&amp;"")="","",IFERROR(INDEX(설정_코드표!$K$2:$K$101,MATCH(TRIM(K248&amp;""),설정_코드표!$J$2:$J$101,0)),"⚠"&amp;TRIM(K248&amp;"")))</f>
        <v/>
      </c>
      <c r="T248" s="10">
        <f>IF(TRIM(M248&amp;"")="","",IF(ISNUMBER(MATCH(TRIM(M248&amp;""),설정_코드표!$C$2:$C$11,0)),TRIM(M248&amp;""),"⚠"&amp;TRIM(M248&amp;"")))</f>
        <v/>
      </c>
      <c r="U248" s="10">
        <f>IF(TRIM(L248&amp;"")="","",IFERROR(INDEX(설정_코드표!$G$2:$G$101,MATCH(TRIM(L248&amp;""),설정_코드표!$F$2:$F$101,0)),"⚠"&amp;TRIM(L248&amp;"")))</f>
        <v/>
      </c>
      <c r="V248" s="10">
        <f>IF(AND(ISNUMBER(H248),ISNUMBER(I248)),I248-H248+1,"")</f>
        <v/>
      </c>
      <c r="W248" s="17">
        <f>IF(ISNUMBER(H248),MAX(0,MIN(IF(ISNUMBER(I248),I248,EOMONTH(출력_요약!$B$3,0)),EOMONTH(출력_요약!$B$3,0))-MAX(H248,출력_요약!$B$3)+1),0)</f>
        <v/>
      </c>
      <c r="X248" s="10">
        <f>IF(OR(NOT(ISNUMBER(H248)),Q248=""),"",IF(TODAY()&lt;H248,"파견예정",IF(AND(ISNUMBER(I248),TODAY()&gt;I248),"파견종료","파견중")))</f>
        <v/>
      </c>
      <c r="Y248" s="10">
        <f>IF(OR(Q248="",X248=""),"",Q248&amp;"|"&amp;X248)</f>
        <v/>
      </c>
      <c r="Z248" s="10">
        <f>IF(AND(Q248&lt;&gt;"",W248&gt;0),Q248&amp;"|월","")</f>
        <v/>
      </c>
      <c r="AA248" s="10">
        <f>IF(COUNTA(B248:I248,K248:N248)=0,"",IF(Q248="","등록번호 없음",IF(LEFT(R248,1)="⚠","모병원명 미등록",IF(S248="","파견병원 입력",IF(LEFT(S248,1)="⚠","파견병원명 미등록",IF(LEFT(U248,1)="⚠","파견과목 미등록",IF(OR(T248="",LEFT(T248,1)="⚠"),"파견근거 확인",IF(NOT(AND(ISNUMBER(H248),ISNUMBER(I248))),"날짜 형식/누락",IF(I248&lt;H248,"종료일&lt;시작일","")))))))))</f>
        <v/>
      </c>
      <c r="AB248" s="11">
        <f>IF(ISNUMBER(SEARCH("다기관",TRIM(N248&amp;" "&amp;O248))),IFERROR(DATE(VALUE(MID(TRIM(N248&amp;" "&amp;O248),1,4)),VALUE(MID(TRIM(N248&amp;" "&amp;O248),6,2)),VALUE(MID(TRIM(N248&amp;" "&amp;O248),9,2))),IF(ISNUMBER(H248),H248,"")),"")</f>
        <v/>
      </c>
      <c r="AC248" s="11">
        <f>IF(ISNUMBER(SEARCH("다기관",TRIM(N248&amp;" "&amp;O248))),IFERROR(DATE(VALUE(MID(TRIM(N248&amp;" "&amp;O248),12,4)),VALUE(MID(TRIM(N248&amp;" "&amp;O248),17,2)),VALUE(MID(TRIM(N248&amp;" "&amp;O248),20,2))),IF(ISNUMBER(I248),I248,"")),"")</f>
        <v/>
      </c>
      <c r="AD248" s="17">
        <f>IF(AND(ISNUMBER(AB248),ISNUMBER(AC248)),MAX(0,MIN(AC248,EOMONTH(출력_요약!$B$3,0))-MAX(AB248,출력_요약!$B$3)+1),0)</f>
        <v/>
      </c>
      <c r="AE248" s="10">
        <f>IF(AND(Q248&lt;&gt;"",ISNUMBER(AB248)),Q248&amp;"|다기관","")</f>
        <v/>
      </c>
    </row>
    <row r="249">
      <c r="A249" s="15">
        <f>IF(F249="","",ROW()-3)</f>
        <v/>
      </c>
      <c r="B249" s="5" t="n"/>
      <c r="C249" s="15" t="n"/>
      <c r="D249" s="5" t="n"/>
      <c r="E249" s="15" t="n"/>
      <c r="F249" s="5" t="n"/>
      <c r="G249" s="6" t="n"/>
      <c r="H249" s="16" t="n"/>
      <c r="I249" s="16" t="n"/>
      <c r="J249" s="15">
        <f>IF(AND(ISNUMBER(H249),ISNUMBER(I249)),I249-H249+1,"")</f>
        <v/>
      </c>
      <c r="K249" s="5" t="n"/>
      <c r="L249" s="5" t="n"/>
      <c r="M249" s="5" t="n"/>
      <c r="N249" s="5" t="n"/>
      <c r="O249" s="5" t="n"/>
      <c r="Q249" s="10">
        <f>IF(TRIM(G249&amp;"")="","",TRIM(G249&amp;""))</f>
        <v/>
      </c>
      <c r="R249" s="10">
        <f>IF(TRIM(B249&amp;"")="","",IFERROR(INDEX(설정_코드표!$K$2:$K$101,MATCH(TRIM(B249&amp;""),설정_코드표!$J$2:$J$101,0)),"⚠"&amp;TRIM(B249&amp;"")))</f>
        <v/>
      </c>
      <c r="S249" s="10">
        <f>IF(TRIM(K249&amp;"")="","",IFERROR(INDEX(설정_코드표!$K$2:$K$101,MATCH(TRIM(K249&amp;""),설정_코드표!$J$2:$J$101,0)),"⚠"&amp;TRIM(K249&amp;"")))</f>
        <v/>
      </c>
      <c r="T249" s="10">
        <f>IF(TRIM(M249&amp;"")="","",IF(ISNUMBER(MATCH(TRIM(M249&amp;""),설정_코드표!$C$2:$C$11,0)),TRIM(M249&amp;""),"⚠"&amp;TRIM(M249&amp;"")))</f>
        <v/>
      </c>
      <c r="U249" s="10">
        <f>IF(TRIM(L249&amp;"")="","",IFERROR(INDEX(설정_코드표!$G$2:$G$101,MATCH(TRIM(L249&amp;""),설정_코드표!$F$2:$F$101,0)),"⚠"&amp;TRIM(L249&amp;"")))</f>
        <v/>
      </c>
      <c r="V249" s="10">
        <f>IF(AND(ISNUMBER(H249),ISNUMBER(I249)),I249-H249+1,"")</f>
        <v/>
      </c>
      <c r="W249" s="17">
        <f>IF(ISNUMBER(H249),MAX(0,MIN(IF(ISNUMBER(I249),I249,EOMONTH(출력_요약!$B$3,0)),EOMONTH(출력_요약!$B$3,0))-MAX(H249,출력_요약!$B$3)+1),0)</f>
        <v/>
      </c>
      <c r="X249" s="10">
        <f>IF(OR(NOT(ISNUMBER(H249)),Q249=""),"",IF(TODAY()&lt;H249,"파견예정",IF(AND(ISNUMBER(I249),TODAY()&gt;I249),"파견종료","파견중")))</f>
        <v/>
      </c>
      <c r="Y249" s="10">
        <f>IF(OR(Q249="",X249=""),"",Q249&amp;"|"&amp;X249)</f>
        <v/>
      </c>
      <c r="Z249" s="10">
        <f>IF(AND(Q249&lt;&gt;"",W249&gt;0),Q249&amp;"|월","")</f>
        <v/>
      </c>
      <c r="AA249" s="10">
        <f>IF(COUNTA(B249:I249,K249:N249)=0,"",IF(Q249="","등록번호 없음",IF(LEFT(R249,1)="⚠","모병원명 미등록",IF(S249="","파견병원 입력",IF(LEFT(S249,1)="⚠","파견병원명 미등록",IF(LEFT(U249,1)="⚠","파견과목 미등록",IF(OR(T249="",LEFT(T249,1)="⚠"),"파견근거 확인",IF(NOT(AND(ISNUMBER(H249),ISNUMBER(I249))),"날짜 형식/누락",IF(I249&lt;H249,"종료일&lt;시작일","")))))))))</f>
        <v/>
      </c>
      <c r="AB249" s="11">
        <f>IF(ISNUMBER(SEARCH("다기관",TRIM(N249&amp;" "&amp;O249))),IFERROR(DATE(VALUE(MID(TRIM(N249&amp;" "&amp;O249),1,4)),VALUE(MID(TRIM(N249&amp;" "&amp;O249),6,2)),VALUE(MID(TRIM(N249&amp;" "&amp;O249),9,2))),IF(ISNUMBER(H249),H249,"")),"")</f>
        <v/>
      </c>
      <c r="AC249" s="11">
        <f>IF(ISNUMBER(SEARCH("다기관",TRIM(N249&amp;" "&amp;O249))),IFERROR(DATE(VALUE(MID(TRIM(N249&amp;" "&amp;O249),12,4)),VALUE(MID(TRIM(N249&amp;" "&amp;O249),17,2)),VALUE(MID(TRIM(N249&amp;" "&amp;O249),20,2))),IF(ISNUMBER(I249),I249,"")),"")</f>
        <v/>
      </c>
      <c r="AD249" s="17">
        <f>IF(AND(ISNUMBER(AB249),ISNUMBER(AC249)),MAX(0,MIN(AC249,EOMONTH(출력_요약!$B$3,0))-MAX(AB249,출력_요약!$B$3)+1),0)</f>
        <v/>
      </c>
      <c r="AE249" s="10">
        <f>IF(AND(Q249&lt;&gt;"",ISNUMBER(AB249)),Q249&amp;"|다기관","")</f>
        <v/>
      </c>
    </row>
    <row r="250">
      <c r="A250" s="15">
        <f>IF(F250="","",ROW()-3)</f>
        <v/>
      </c>
      <c r="B250" s="5" t="n"/>
      <c r="C250" s="15" t="n"/>
      <c r="D250" s="5" t="n"/>
      <c r="E250" s="15" t="n"/>
      <c r="F250" s="5" t="n"/>
      <c r="G250" s="6" t="n"/>
      <c r="H250" s="16" t="n"/>
      <c r="I250" s="16" t="n"/>
      <c r="J250" s="15">
        <f>IF(AND(ISNUMBER(H250),ISNUMBER(I250)),I250-H250+1,"")</f>
        <v/>
      </c>
      <c r="K250" s="5" t="n"/>
      <c r="L250" s="5" t="n"/>
      <c r="M250" s="5" t="n"/>
      <c r="N250" s="5" t="n"/>
      <c r="O250" s="5" t="n"/>
      <c r="Q250" s="10">
        <f>IF(TRIM(G250&amp;"")="","",TRIM(G250&amp;""))</f>
        <v/>
      </c>
      <c r="R250" s="10">
        <f>IF(TRIM(B250&amp;"")="","",IFERROR(INDEX(설정_코드표!$K$2:$K$101,MATCH(TRIM(B250&amp;""),설정_코드표!$J$2:$J$101,0)),"⚠"&amp;TRIM(B250&amp;"")))</f>
        <v/>
      </c>
      <c r="S250" s="10">
        <f>IF(TRIM(K250&amp;"")="","",IFERROR(INDEX(설정_코드표!$K$2:$K$101,MATCH(TRIM(K250&amp;""),설정_코드표!$J$2:$J$101,0)),"⚠"&amp;TRIM(K250&amp;"")))</f>
        <v/>
      </c>
      <c r="T250" s="10">
        <f>IF(TRIM(M250&amp;"")="","",IF(ISNUMBER(MATCH(TRIM(M250&amp;""),설정_코드표!$C$2:$C$11,0)),TRIM(M250&amp;""),"⚠"&amp;TRIM(M250&amp;"")))</f>
        <v/>
      </c>
      <c r="U250" s="10">
        <f>IF(TRIM(L250&amp;"")="","",IFERROR(INDEX(설정_코드표!$G$2:$G$101,MATCH(TRIM(L250&amp;""),설정_코드표!$F$2:$F$101,0)),"⚠"&amp;TRIM(L250&amp;"")))</f>
        <v/>
      </c>
      <c r="V250" s="10">
        <f>IF(AND(ISNUMBER(H250),ISNUMBER(I250)),I250-H250+1,"")</f>
        <v/>
      </c>
      <c r="W250" s="17">
        <f>IF(ISNUMBER(H250),MAX(0,MIN(IF(ISNUMBER(I250),I250,EOMONTH(출력_요약!$B$3,0)),EOMONTH(출력_요약!$B$3,0))-MAX(H250,출력_요약!$B$3)+1),0)</f>
        <v/>
      </c>
      <c r="X250" s="10">
        <f>IF(OR(NOT(ISNUMBER(H250)),Q250=""),"",IF(TODAY()&lt;H250,"파견예정",IF(AND(ISNUMBER(I250),TODAY()&gt;I250),"파견종료","파견중")))</f>
        <v/>
      </c>
      <c r="Y250" s="10">
        <f>IF(OR(Q250="",X250=""),"",Q250&amp;"|"&amp;X250)</f>
        <v/>
      </c>
      <c r="Z250" s="10">
        <f>IF(AND(Q250&lt;&gt;"",W250&gt;0),Q250&amp;"|월","")</f>
        <v/>
      </c>
      <c r="AA250" s="10">
        <f>IF(COUNTA(B250:I250,K250:N250)=0,"",IF(Q250="","등록번호 없음",IF(LEFT(R250,1)="⚠","모병원명 미등록",IF(S250="","파견병원 입력",IF(LEFT(S250,1)="⚠","파견병원명 미등록",IF(LEFT(U250,1)="⚠","파견과목 미등록",IF(OR(T250="",LEFT(T250,1)="⚠"),"파견근거 확인",IF(NOT(AND(ISNUMBER(H250),ISNUMBER(I250))),"날짜 형식/누락",IF(I250&lt;H250,"종료일&lt;시작일","")))))))))</f>
        <v/>
      </c>
      <c r="AB250" s="11">
        <f>IF(ISNUMBER(SEARCH("다기관",TRIM(N250&amp;" "&amp;O250))),IFERROR(DATE(VALUE(MID(TRIM(N250&amp;" "&amp;O250),1,4)),VALUE(MID(TRIM(N250&amp;" "&amp;O250),6,2)),VALUE(MID(TRIM(N250&amp;" "&amp;O250),9,2))),IF(ISNUMBER(H250),H250,"")),"")</f>
        <v/>
      </c>
      <c r="AC250" s="11">
        <f>IF(ISNUMBER(SEARCH("다기관",TRIM(N250&amp;" "&amp;O250))),IFERROR(DATE(VALUE(MID(TRIM(N250&amp;" "&amp;O250),12,4)),VALUE(MID(TRIM(N250&amp;" "&amp;O250),17,2)),VALUE(MID(TRIM(N250&amp;" "&amp;O250),20,2))),IF(ISNUMBER(I250),I250,"")),"")</f>
        <v/>
      </c>
      <c r="AD250" s="17">
        <f>IF(AND(ISNUMBER(AB250),ISNUMBER(AC250)),MAX(0,MIN(AC250,EOMONTH(출력_요약!$B$3,0))-MAX(AB250,출력_요약!$B$3)+1),0)</f>
        <v/>
      </c>
      <c r="AE250" s="10">
        <f>IF(AND(Q250&lt;&gt;"",ISNUMBER(AB250)),Q250&amp;"|다기관","")</f>
        <v/>
      </c>
    </row>
    <row r="251">
      <c r="A251" s="15">
        <f>IF(F251="","",ROW()-3)</f>
        <v/>
      </c>
      <c r="B251" s="5" t="n"/>
      <c r="C251" s="15" t="n"/>
      <c r="D251" s="5" t="n"/>
      <c r="E251" s="15" t="n"/>
      <c r="F251" s="5" t="n"/>
      <c r="G251" s="6" t="n"/>
      <c r="H251" s="16" t="n"/>
      <c r="I251" s="16" t="n"/>
      <c r="J251" s="15">
        <f>IF(AND(ISNUMBER(H251),ISNUMBER(I251)),I251-H251+1,"")</f>
        <v/>
      </c>
      <c r="K251" s="5" t="n"/>
      <c r="L251" s="5" t="n"/>
      <c r="M251" s="5" t="n"/>
      <c r="N251" s="5" t="n"/>
      <c r="O251" s="5" t="n"/>
      <c r="Q251" s="10">
        <f>IF(TRIM(G251&amp;"")="","",TRIM(G251&amp;""))</f>
        <v/>
      </c>
      <c r="R251" s="10">
        <f>IF(TRIM(B251&amp;"")="","",IFERROR(INDEX(설정_코드표!$K$2:$K$101,MATCH(TRIM(B251&amp;""),설정_코드표!$J$2:$J$101,0)),"⚠"&amp;TRIM(B251&amp;"")))</f>
        <v/>
      </c>
      <c r="S251" s="10">
        <f>IF(TRIM(K251&amp;"")="","",IFERROR(INDEX(설정_코드표!$K$2:$K$101,MATCH(TRIM(K251&amp;""),설정_코드표!$J$2:$J$101,0)),"⚠"&amp;TRIM(K251&amp;"")))</f>
        <v/>
      </c>
      <c r="T251" s="10">
        <f>IF(TRIM(M251&amp;"")="","",IF(ISNUMBER(MATCH(TRIM(M251&amp;""),설정_코드표!$C$2:$C$11,0)),TRIM(M251&amp;""),"⚠"&amp;TRIM(M251&amp;"")))</f>
        <v/>
      </c>
      <c r="U251" s="10">
        <f>IF(TRIM(L251&amp;"")="","",IFERROR(INDEX(설정_코드표!$G$2:$G$101,MATCH(TRIM(L251&amp;""),설정_코드표!$F$2:$F$101,0)),"⚠"&amp;TRIM(L251&amp;"")))</f>
        <v/>
      </c>
      <c r="V251" s="10">
        <f>IF(AND(ISNUMBER(H251),ISNUMBER(I251)),I251-H251+1,"")</f>
        <v/>
      </c>
      <c r="W251" s="17">
        <f>IF(ISNUMBER(H251),MAX(0,MIN(IF(ISNUMBER(I251),I251,EOMONTH(출력_요약!$B$3,0)),EOMONTH(출력_요약!$B$3,0))-MAX(H251,출력_요약!$B$3)+1),0)</f>
        <v/>
      </c>
      <c r="X251" s="10">
        <f>IF(OR(NOT(ISNUMBER(H251)),Q251=""),"",IF(TODAY()&lt;H251,"파견예정",IF(AND(ISNUMBER(I251),TODAY()&gt;I251),"파견종료","파견중")))</f>
        <v/>
      </c>
      <c r="Y251" s="10">
        <f>IF(OR(Q251="",X251=""),"",Q251&amp;"|"&amp;X251)</f>
        <v/>
      </c>
      <c r="Z251" s="10">
        <f>IF(AND(Q251&lt;&gt;"",W251&gt;0),Q251&amp;"|월","")</f>
        <v/>
      </c>
      <c r="AA251" s="10">
        <f>IF(COUNTA(B251:I251,K251:N251)=0,"",IF(Q251="","등록번호 없음",IF(LEFT(R251,1)="⚠","모병원명 미등록",IF(S251="","파견병원 입력",IF(LEFT(S251,1)="⚠","파견병원명 미등록",IF(LEFT(U251,1)="⚠","파견과목 미등록",IF(OR(T251="",LEFT(T251,1)="⚠"),"파견근거 확인",IF(NOT(AND(ISNUMBER(H251),ISNUMBER(I251))),"날짜 형식/누락",IF(I251&lt;H251,"종료일&lt;시작일","")))))))))</f>
        <v/>
      </c>
      <c r="AB251" s="11">
        <f>IF(ISNUMBER(SEARCH("다기관",TRIM(N251&amp;" "&amp;O251))),IFERROR(DATE(VALUE(MID(TRIM(N251&amp;" "&amp;O251),1,4)),VALUE(MID(TRIM(N251&amp;" "&amp;O251),6,2)),VALUE(MID(TRIM(N251&amp;" "&amp;O251),9,2))),IF(ISNUMBER(H251),H251,"")),"")</f>
        <v/>
      </c>
      <c r="AC251" s="11">
        <f>IF(ISNUMBER(SEARCH("다기관",TRIM(N251&amp;" "&amp;O251))),IFERROR(DATE(VALUE(MID(TRIM(N251&amp;" "&amp;O251),12,4)),VALUE(MID(TRIM(N251&amp;" "&amp;O251),17,2)),VALUE(MID(TRIM(N251&amp;" "&amp;O251),20,2))),IF(ISNUMBER(I251),I251,"")),"")</f>
        <v/>
      </c>
      <c r="AD251" s="17">
        <f>IF(AND(ISNUMBER(AB251),ISNUMBER(AC251)),MAX(0,MIN(AC251,EOMONTH(출력_요약!$B$3,0))-MAX(AB251,출력_요약!$B$3)+1),0)</f>
        <v/>
      </c>
      <c r="AE251" s="10">
        <f>IF(AND(Q251&lt;&gt;"",ISNUMBER(AB251)),Q251&amp;"|다기관","")</f>
        <v/>
      </c>
    </row>
    <row r="252">
      <c r="A252" s="15">
        <f>IF(F252="","",ROW()-3)</f>
        <v/>
      </c>
      <c r="B252" s="5" t="n"/>
      <c r="C252" s="15" t="n"/>
      <c r="D252" s="5" t="n"/>
      <c r="E252" s="15" t="n"/>
      <c r="F252" s="5" t="n"/>
      <c r="G252" s="6" t="n"/>
      <c r="H252" s="16" t="n"/>
      <c r="I252" s="16" t="n"/>
      <c r="J252" s="15">
        <f>IF(AND(ISNUMBER(H252),ISNUMBER(I252)),I252-H252+1,"")</f>
        <v/>
      </c>
      <c r="K252" s="5" t="n"/>
      <c r="L252" s="5" t="n"/>
      <c r="M252" s="5" t="n"/>
      <c r="N252" s="5" t="n"/>
      <c r="O252" s="5" t="n"/>
      <c r="Q252" s="10">
        <f>IF(TRIM(G252&amp;"")="","",TRIM(G252&amp;""))</f>
        <v/>
      </c>
      <c r="R252" s="10">
        <f>IF(TRIM(B252&amp;"")="","",IFERROR(INDEX(설정_코드표!$K$2:$K$101,MATCH(TRIM(B252&amp;""),설정_코드표!$J$2:$J$101,0)),"⚠"&amp;TRIM(B252&amp;"")))</f>
        <v/>
      </c>
      <c r="S252" s="10">
        <f>IF(TRIM(K252&amp;"")="","",IFERROR(INDEX(설정_코드표!$K$2:$K$101,MATCH(TRIM(K252&amp;""),설정_코드표!$J$2:$J$101,0)),"⚠"&amp;TRIM(K252&amp;"")))</f>
        <v/>
      </c>
      <c r="T252" s="10">
        <f>IF(TRIM(M252&amp;"")="","",IF(ISNUMBER(MATCH(TRIM(M252&amp;""),설정_코드표!$C$2:$C$11,0)),TRIM(M252&amp;""),"⚠"&amp;TRIM(M252&amp;"")))</f>
        <v/>
      </c>
      <c r="U252" s="10">
        <f>IF(TRIM(L252&amp;"")="","",IFERROR(INDEX(설정_코드표!$G$2:$G$101,MATCH(TRIM(L252&amp;""),설정_코드표!$F$2:$F$101,0)),"⚠"&amp;TRIM(L252&amp;"")))</f>
        <v/>
      </c>
      <c r="V252" s="10">
        <f>IF(AND(ISNUMBER(H252),ISNUMBER(I252)),I252-H252+1,"")</f>
        <v/>
      </c>
      <c r="W252" s="17">
        <f>IF(ISNUMBER(H252),MAX(0,MIN(IF(ISNUMBER(I252),I252,EOMONTH(출력_요약!$B$3,0)),EOMONTH(출력_요약!$B$3,0))-MAX(H252,출력_요약!$B$3)+1),0)</f>
        <v/>
      </c>
      <c r="X252" s="10">
        <f>IF(OR(NOT(ISNUMBER(H252)),Q252=""),"",IF(TODAY()&lt;H252,"파견예정",IF(AND(ISNUMBER(I252),TODAY()&gt;I252),"파견종료","파견중")))</f>
        <v/>
      </c>
      <c r="Y252" s="10">
        <f>IF(OR(Q252="",X252=""),"",Q252&amp;"|"&amp;X252)</f>
        <v/>
      </c>
      <c r="Z252" s="10">
        <f>IF(AND(Q252&lt;&gt;"",W252&gt;0),Q252&amp;"|월","")</f>
        <v/>
      </c>
      <c r="AA252" s="10">
        <f>IF(COUNTA(B252:I252,K252:N252)=0,"",IF(Q252="","등록번호 없음",IF(LEFT(R252,1)="⚠","모병원명 미등록",IF(S252="","파견병원 입력",IF(LEFT(S252,1)="⚠","파견병원명 미등록",IF(LEFT(U252,1)="⚠","파견과목 미등록",IF(OR(T252="",LEFT(T252,1)="⚠"),"파견근거 확인",IF(NOT(AND(ISNUMBER(H252),ISNUMBER(I252))),"날짜 형식/누락",IF(I252&lt;H252,"종료일&lt;시작일","")))))))))</f>
        <v/>
      </c>
      <c r="AB252" s="11">
        <f>IF(ISNUMBER(SEARCH("다기관",TRIM(N252&amp;" "&amp;O252))),IFERROR(DATE(VALUE(MID(TRIM(N252&amp;" "&amp;O252),1,4)),VALUE(MID(TRIM(N252&amp;" "&amp;O252),6,2)),VALUE(MID(TRIM(N252&amp;" "&amp;O252),9,2))),IF(ISNUMBER(H252),H252,"")),"")</f>
        <v/>
      </c>
      <c r="AC252" s="11">
        <f>IF(ISNUMBER(SEARCH("다기관",TRIM(N252&amp;" "&amp;O252))),IFERROR(DATE(VALUE(MID(TRIM(N252&amp;" "&amp;O252),12,4)),VALUE(MID(TRIM(N252&amp;" "&amp;O252),17,2)),VALUE(MID(TRIM(N252&amp;" "&amp;O252),20,2))),IF(ISNUMBER(I252),I252,"")),"")</f>
        <v/>
      </c>
      <c r="AD252" s="17">
        <f>IF(AND(ISNUMBER(AB252),ISNUMBER(AC252)),MAX(0,MIN(AC252,EOMONTH(출력_요약!$B$3,0))-MAX(AB252,출력_요약!$B$3)+1),0)</f>
        <v/>
      </c>
      <c r="AE252" s="10">
        <f>IF(AND(Q252&lt;&gt;"",ISNUMBER(AB252)),Q252&amp;"|다기관","")</f>
        <v/>
      </c>
    </row>
    <row r="253">
      <c r="A253" s="15">
        <f>IF(F253="","",ROW()-3)</f>
        <v/>
      </c>
      <c r="B253" s="5" t="n"/>
      <c r="C253" s="15" t="n"/>
      <c r="D253" s="5" t="n"/>
      <c r="E253" s="15" t="n"/>
      <c r="F253" s="5" t="n"/>
      <c r="G253" s="6" t="n"/>
      <c r="H253" s="16" t="n"/>
      <c r="I253" s="16" t="n"/>
      <c r="J253" s="15">
        <f>IF(AND(ISNUMBER(H253),ISNUMBER(I253)),I253-H253+1,"")</f>
        <v/>
      </c>
      <c r="K253" s="5" t="n"/>
      <c r="L253" s="5" t="n"/>
      <c r="M253" s="5" t="n"/>
      <c r="N253" s="5" t="n"/>
      <c r="O253" s="5" t="n"/>
      <c r="Q253" s="10">
        <f>IF(TRIM(G253&amp;"")="","",TRIM(G253&amp;""))</f>
        <v/>
      </c>
      <c r="R253" s="10">
        <f>IF(TRIM(B253&amp;"")="","",IFERROR(INDEX(설정_코드표!$K$2:$K$101,MATCH(TRIM(B253&amp;""),설정_코드표!$J$2:$J$101,0)),"⚠"&amp;TRIM(B253&amp;"")))</f>
        <v/>
      </c>
      <c r="S253" s="10">
        <f>IF(TRIM(K253&amp;"")="","",IFERROR(INDEX(설정_코드표!$K$2:$K$101,MATCH(TRIM(K253&amp;""),설정_코드표!$J$2:$J$101,0)),"⚠"&amp;TRIM(K253&amp;"")))</f>
        <v/>
      </c>
      <c r="T253" s="10">
        <f>IF(TRIM(M253&amp;"")="","",IF(ISNUMBER(MATCH(TRIM(M253&amp;""),설정_코드표!$C$2:$C$11,0)),TRIM(M253&amp;""),"⚠"&amp;TRIM(M253&amp;"")))</f>
        <v/>
      </c>
      <c r="U253" s="10">
        <f>IF(TRIM(L253&amp;"")="","",IFERROR(INDEX(설정_코드표!$G$2:$G$101,MATCH(TRIM(L253&amp;""),설정_코드표!$F$2:$F$101,0)),"⚠"&amp;TRIM(L253&amp;"")))</f>
        <v/>
      </c>
      <c r="V253" s="10">
        <f>IF(AND(ISNUMBER(H253),ISNUMBER(I253)),I253-H253+1,"")</f>
        <v/>
      </c>
      <c r="W253" s="17">
        <f>IF(ISNUMBER(H253),MAX(0,MIN(IF(ISNUMBER(I253),I253,EOMONTH(출력_요약!$B$3,0)),EOMONTH(출력_요약!$B$3,0))-MAX(H253,출력_요약!$B$3)+1),0)</f>
        <v/>
      </c>
      <c r="X253" s="10">
        <f>IF(OR(NOT(ISNUMBER(H253)),Q253=""),"",IF(TODAY()&lt;H253,"파견예정",IF(AND(ISNUMBER(I253),TODAY()&gt;I253),"파견종료","파견중")))</f>
        <v/>
      </c>
      <c r="Y253" s="10">
        <f>IF(OR(Q253="",X253=""),"",Q253&amp;"|"&amp;X253)</f>
        <v/>
      </c>
      <c r="Z253" s="10">
        <f>IF(AND(Q253&lt;&gt;"",W253&gt;0),Q253&amp;"|월","")</f>
        <v/>
      </c>
      <c r="AA253" s="10">
        <f>IF(COUNTA(B253:I253,K253:N253)=0,"",IF(Q253="","등록번호 없음",IF(LEFT(R253,1)="⚠","모병원명 미등록",IF(S253="","파견병원 입력",IF(LEFT(S253,1)="⚠","파견병원명 미등록",IF(LEFT(U253,1)="⚠","파견과목 미등록",IF(OR(T253="",LEFT(T253,1)="⚠"),"파견근거 확인",IF(NOT(AND(ISNUMBER(H253),ISNUMBER(I253))),"날짜 형식/누락",IF(I253&lt;H253,"종료일&lt;시작일","")))))))))</f>
        <v/>
      </c>
      <c r="AB253" s="11">
        <f>IF(ISNUMBER(SEARCH("다기관",TRIM(N253&amp;" "&amp;O253))),IFERROR(DATE(VALUE(MID(TRIM(N253&amp;" "&amp;O253),1,4)),VALUE(MID(TRIM(N253&amp;" "&amp;O253),6,2)),VALUE(MID(TRIM(N253&amp;" "&amp;O253),9,2))),IF(ISNUMBER(H253),H253,"")),"")</f>
        <v/>
      </c>
      <c r="AC253" s="11">
        <f>IF(ISNUMBER(SEARCH("다기관",TRIM(N253&amp;" "&amp;O253))),IFERROR(DATE(VALUE(MID(TRIM(N253&amp;" "&amp;O253),12,4)),VALUE(MID(TRIM(N253&amp;" "&amp;O253),17,2)),VALUE(MID(TRIM(N253&amp;" "&amp;O253),20,2))),IF(ISNUMBER(I253),I253,"")),"")</f>
        <v/>
      </c>
      <c r="AD253" s="17">
        <f>IF(AND(ISNUMBER(AB253),ISNUMBER(AC253)),MAX(0,MIN(AC253,EOMONTH(출력_요약!$B$3,0))-MAX(AB253,출력_요약!$B$3)+1),0)</f>
        <v/>
      </c>
      <c r="AE253" s="10">
        <f>IF(AND(Q253&lt;&gt;"",ISNUMBER(AB253)),Q253&amp;"|다기관","")</f>
        <v/>
      </c>
    </row>
    <row r="254">
      <c r="A254" s="15">
        <f>IF(F254="","",ROW()-3)</f>
        <v/>
      </c>
      <c r="B254" s="5" t="n"/>
      <c r="C254" s="15" t="n"/>
      <c r="D254" s="5" t="n"/>
      <c r="E254" s="15" t="n"/>
      <c r="F254" s="5" t="n"/>
      <c r="G254" s="6" t="n"/>
      <c r="H254" s="16" t="n"/>
      <c r="I254" s="16" t="n"/>
      <c r="J254" s="15">
        <f>IF(AND(ISNUMBER(H254),ISNUMBER(I254)),I254-H254+1,"")</f>
        <v/>
      </c>
      <c r="K254" s="5" t="n"/>
      <c r="L254" s="5" t="n"/>
      <c r="M254" s="5" t="n"/>
      <c r="N254" s="5" t="n"/>
      <c r="O254" s="5" t="n"/>
      <c r="Q254" s="10">
        <f>IF(TRIM(G254&amp;"")="","",TRIM(G254&amp;""))</f>
        <v/>
      </c>
      <c r="R254" s="10">
        <f>IF(TRIM(B254&amp;"")="","",IFERROR(INDEX(설정_코드표!$K$2:$K$101,MATCH(TRIM(B254&amp;""),설정_코드표!$J$2:$J$101,0)),"⚠"&amp;TRIM(B254&amp;"")))</f>
        <v/>
      </c>
      <c r="S254" s="10">
        <f>IF(TRIM(K254&amp;"")="","",IFERROR(INDEX(설정_코드표!$K$2:$K$101,MATCH(TRIM(K254&amp;""),설정_코드표!$J$2:$J$101,0)),"⚠"&amp;TRIM(K254&amp;"")))</f>
        <v/>
      </c>
      <c r="T254" s="10">
        <f>IF(TRIM(M254&amp;"")="","",IF(ISNUMBER(MATCH(TRIM(M254&amp;""),설정_코드표!$C$2:$C$11,0)),TRIM(M254&amp;""),"⚠"&amp;TRIM(M254&amp;"")))</f>
        <v/>
      </c>
      <c r="U254" s="10">
        <f>IF(TRIM(L254&amp;"")="","",IFERROR(INDEX(설정_코드표!$G$2:$G$101,MATCH(TRIM(L254&amp;""),설정_코드표!$F$2:$F$101,0)),"⚠"&amp;TRIM(L254&amp;"")))</f>
        <v/>
      </c>
      <c r="V254" s="10">
        <f>IF(AND(ISNUMBER(H254),ISNUMBER(I254)),I254-H254+1,"")</f>
        <v/>
      </c>
      <c r="W254" s="17">
        <f>IF(ISNUMBER(H254),MAX(0,MIN(IF(ISNUMBER(I254),I254,EOMONTH(출력_요약!$B$3,0)),EOMONTH(출력_요약!$B$3,0))-MAX(H254,출력_요약!$B$3)+1),0)</f>
        <v/>
      </c>
      <c r="X254" s="10">
        <f>IF(OR(NOT(ISNUMBER(H254)),Q254=""),"",IF(TODAY()&lt;H254,"파견예정",IF(AND(ISNUMBER(I254),TODAY()&gt;I254),"파견종료","파견중")))</f>
        <v/>
      </c>
      <c r="Y254" s="10">
        <f>IF(OR(Q254="",X254=""),"",Q254&amp;"|"&amp;X254)</f>
        <v/>
      </c>
      <c r="Z254" s="10">
        <f>IF(AND(Q254&lt;&gt;"",W254&gt;0),Q254&amp;"|월","")</f>
        <v/>
      </c>
      <c r="AA254" s="10">
        <f>IF(COUNTA(B254:I254,K254:N254)=0,"",IF(Q254="","등록번호 없음",IF(LEFT(R254,1)="⚠","모병원명 미등록",IF(S254="","파견병원 입력",IF(LEFT(S254,1)="⚠","파견병원명 미등록",IF(LEFT(U254,1)="⚠","파견과목 미등록",IF(OR(T254="",LEFT(T254,1)="⚠"),"파견근거 확인",IF(NOT(AND(ISNUMBER(H254),ISNUMBER(I254))),"날짜 형식/누락",IF(I254&lt;H254,"종료일&lt;시작일","")))))))))</f>
        <v/>
      </c>
      <c r="AB254" s="11">
        <f>IF(ISNUMBER(SEARCH("다기관",TRIM(N254&amp;" "&amp;O254))),IFERROR(DATE(VALUE(MID(TRIM(N254&amp;" "&amp;O254),1,4)),VALUE(MID(TRIM(N254&amp;" "&amp;O254),6,2)),VALUE(MID(TRIM(N254&amp;" "&amp;O254),9,2))),IF(ISNUMBER(H254),H254,"")),"")</f>
        <v/>
      </c>
      <c r="AC254" s="11">
        <f>IF(ISNUMBER(SEARCH("다기관",TRIM(N254&amp;" "&amp;O254))),IFERROR(DATE(VALUE(MID(TRIM(N254&amp;" "&amp;O254),12,4)),VALUE(MID(TRIM(N254&amp;" "&amp;O254),17,2)),VALUE(MID(TRIM(N254&amp;" "&amp;O254),20,2))),IF(ISNUMBER(I254),I254,"")),"")</f>
        <v/>
      </c>
      <c r="AD254" s="17">
        <f>IF(AND(ISNUMBER(AB254),ISNUMBER(AC254)),MAX(0,MIN(AC254,EOMONTH(출력_요약!$B$3,0))-MAX(AB254,출력_요약!$B$3)+1),0)</f>
        <v/>
      </c>
      <c r="AE254" s="10">
        <f>IF(AND(Q254&lt;&gt;"",ISNUMBER(AB254)),Q254&amp;"|다기관","")</f>
        <v/>
      </c>
    </row>
    <row r="255">
      <c r="A255" s="15">
        <f>IF(F255="","",ROW()-3)</f>
        <v/>
      </c>
      <c r="B255" s="5" t="n"/>
      <c r="C255" s="15" t="n"/>
      <c r="D255" s="5" t="n"/>
      <c r="E255" s="15" t="n"/>
      <c r="F255" s="5" t="n"/>
      <c r="G255" s="6" t="n"/>
      <c r="H255" s="16" t="n"/>
      <c r="I255" s="16" t="n"/>
      <c r="J255" s="15">
        <f>IF(AND(ISNUMBER(H255),ISNUMBER(I255)),I255-H255+1,"")</f>
        <v/>
      </c>
      <c r="K255" s="5" t="n"/>
      <c r="L255" s="5" t="n"/>
      <c r="M255" s="5" t="n"/>
      <c r="N255" s="5" t="n"/>
      <c r="O255" s="5" t="n"/>
      <c r="Q255" s="10">
        <f>IF(TRIM(G255&amp;"")="","",TRIM(G255&amp;""))</f>
        <v/>
      </c>
      <c r="R255" s="10">
        <f>IF(TRIM(B255&amp;"")="","",IFERROR(INDEX(설정_코드표!$K$2:$K$101,MATCH(TRIM(B255&amp;""),설정_코드표!$J$2:$J$101,0)),"⚠"&amp;TRIM(B255&amp;"")))</f>
        <v/>
      </c>
      <c r="S255" s="10">
        <f>IF(TRIM(K255&amp;"")="","",IFERROR(INDEX(설정_코드표!$K$2:$K$101,MATCH(TRIM(K255&amp;""),설정_코드표!$J$2:$J$101,0)),"⚠"&amp;TRIM(K255&amp;"")))</f>
        <v/>
      </c>
      <c r="T255" s="10">
        <f>IF(TRIM(M255&amp;"")="","",IF(ISNUMBER(MATCH(TRIM(M255&amp;""),설정_코드표!$C$2:$C$11,0)),TRIM(M255&amp;""),"⚠"&amp;TRIM(M255&amp;"")))</f>
        <v/>
      </c>
      <c r="U255" s="10">
        <f>IF(TRIM(L255&amp;"")="","",IFERROR(INDEX(설정_코드표!$G$2:$G$101,MATCH(TRIM(L255&amp;""),설정_코드표!$F$2:$F$101,0)),"⚠"&amp;TRIM(L255&amp;"")))</f>
        <v/>
      </c>
      <c r="V255" s="10">
        <f>IF(AND(ISNUMBER(H255),ISNUMBER(I255)),I255-H255+1,"")</f>
        <v/>
      </c>
      <c r="W255" s="17">
        <f>IF(ISNUMBER(H255),MAX(0,MIN(IF(ISNUMBER(I255),I255,EOMONTH(출력_요약!$B$3,0)),EOMONTH(출력_요약!$B$3,0))-MAX(H255,출력_요약!$B$3)+1),0)</f>
        <v/>
      </c>
      <c r="X255" s="10">
        <f>IF(OR(NOT(ISNUMBER(H255)),Q255=""),"",IF(TODAY()&lt;H255,"파견예정",IF(AND(ISNUMBER(I255),TODAY()&gt;I255),"파견종료","파견중")))</f>
        <v/>
      </c>
      <c r="Y255" s="10">
        <f>IF(OR(Q255="",X255=""),"",Q255&amp;"|"&amp;X255)</f>
        <v/>
      </c>
      <c r="Z255" s="10">
        <f>IF(AND(Q255&lt;&gt;"",W255&gt;0),Q255&amp;"|월","")</f>
        <v/>
      </c>
      <c r="AA255" s="10">
        <f>IF(COUNTA(B255:I255,K255:N255)=0,"",IF(Q255="","등록번호 없음",IF(LEFT(R255,1)="⚠","모병원명 미등록",IF(S255="","파견병원 입력",IF(LEFT(S255,1)="⚠","파견병원명 미등록",IF(LEFT(U255,1)="⚠","파견과목 미등록",IF(OR(T255="",LEFT(T255,1)="⚠"),"파견근거 확인",IF(NOT(AND(ISNUMBER(H255),ISNUMBER(I255))),"날짜 형식/누락",IF(I255&lt;H255,"종료일&lt;시작일","")))))))))</f>
        <v/>
      </c>
      <c r="AB255" s="11">
        <f>IF(ISNUMBER(SEARCH("다기관",TRIM(N255&amp;" "&amp;O255))),IFERROR(DATE(VALUE(MID(TRIM(N255&amp;" "&amp;O255),1,4)),VALUE(MID(TRIM(N255&amp;" "&amp;O255),6,2)),VALUE(MID(TRIM(N255&amp;" "&amp;O255),9,2))),IF(ISNUMBER(H255),H255,"")),"")</f>
        <v/>
      </c>
      <c r="AC255" s="11">
        <f>IF(ISNUMBER(SEARCH("다기관",TRIM(N255&amp;" "&amp;O255))),IFERROR(DATE(VALUE(MID(TRIM(N255&amp;" "&amp;O255),12,4)),VALUE(MID(TRIM(N255&amp;" "&amp;O255),17,2)),VALUE(MID(TRIM(N255&amp;" "&amp;O255),20,2))),IF(ISNUMBER(I255),I255,"")),"")</f>
        <v/>
      </c>
      <c r="AD255" s="17">
        <f>IF(AND(ISNUMBER(AB255),ISNUMBER(AC255)),MAX(0,MIN(AC255,EOMONTH(출력_요약!$B$3,0))-MAX(AB255,출력_요약!$B$3)+1),0)</f>
        <v/>
      </c>
      <c r="AE255" s="10">
        <f>IF(AND(Q255&lt;&gt;"",ISNUMBER(AB255)),Q255&amp;"|다기관","")</f>
        <v/>
      </c>
    </row>
    <row r="256">
      <c r="A256" s="15">
        <f>IF(F256="","",ROW()-3)</f>
        <v/>
      </c>
      <c r="B256" s="5" t="n"/>
      <c r="C256" s="15" t="n"/>
      <c r="D256" s="5" t="n"/>
      <c r="E256" s="15" t="n"/>
      <c r="F256" s="5" t="n"/>
      <c r="G256" s="6" t="n"/>
      <c r="H256" s="16" t="n"/>
      <c r="I256" s="16" t="n"/>
      <c r="J256" s="15">
        <f>IF(AND(ISNUMBER(H256),ISNUMBER(I256)),I256-H256+1,"")</f>
        <v/>
      </c>
      <c r="K256" s="5" t="n"/>
      <c r="L256" s="5" t="n"/>
      <c r="M256" s="5" t="n"/>
      <c r="N256" s="5" t="n"/>
      <c r="O256" s="5" t="n"/>
      <c r="Q256" s="10">
        <f>IF(TRIM(G256&amp;"")="","",TRIM(G256&amp;""))</f>
        <v/>
      </c>
      <c r="R256" s="10">
        <f>IF(TRIM(B256&amp;"")="","",IFERROR(INDEX(설정_코드표!$K$2:$K$101,MATCH(TRIM(B256&amp;""),설정_코드표!$J$2:$J$101,0)),"⚠"&amp;TRIM(B256&amp;"")))</f>
        <v/>
      </c>
      <c r="S256" s="10">
        <f>IF(TRIM(K256&amp;"")="","",IFERROR(INDEX(설정_코드표!$K$2:$K$101,MATCH(TRIM(K256&amp;""),설정_코드표!$J$2:$J$101,0)),"⚠"&amp;TRIM(K256&amp;"")))</f>
        <v/>
      </c>
      <c r="T256" s="10">
        <f>IF(TRIM(M256&amp;"")="","",IF(ISNUMBER(MATCH(TRIM(M256&amp;""),설정_코드표!$C$2:$C$11,0)),TRIM(M256&amp;""),"⚠"&amp;TRIM(M256&amp;"")))</f>
        <v/>
      </c>
      <c r="U256" s="10">
        <f>IF(TRIM(L256&amp;"")="","",IFERROR(INDEX(설정_코드표!$G$2:$G$101,MATCH(TRIM(L256&amp;""),설정_코드표!$F$2:$F$101,0)),"⚠"&amp;TRIM(L256&amp;"")))</f>
        <v/>
      </c>
      <c r="V256" s="10">
        <f>IF(AND(ISNUMBER(H256),ISNUMBER(I256)),I256-H256+1,"")</f>
        <v/>
      </c>
      <c r="W256" s="17">
        <f>IF(ISNUMBER(H256),MAX(0,MIN(IF(ISNUMBER(I256),I256,EOMONTH(출력_요약!$B$3,0)),EOMONTH(출력_요약!$B$3,0))-MAX(H256,출력_요약!$B$3)+1),0)</f>
        <v/>
      </c>
      <c r="X256" s="10">
        <f>IF(OR(NOT(ISNUMBER(H256)),Q256=""),"",IF(TODAY()&lt;H256,"파견예정",IF(AND(ISNUMBER(I256),TODAY()&gt;I256),"파견종료","파견중")))</f>
        <v/>
      </c>
      <c r="Y256" s="10">
        <f>IF(OR(Q256="",X256=""),"",Q256&amp;"|"&amp;X256)</f>
        <v/>
      </c>
      <c r="Z256" s="10">
        <f>IF(AND(Q256&lt;&gt;"",W256&gt;0),Q256&amp;"|월","")</f>
        <v/>
      </c>
      <c r="AA256" s="10">
        <f>IF(COUNTA(B256:I256,K256:N256)=0,"",IF(Q256="","등록번호 없음",IF(LEFT(R256,1)="⚠","모병원명 미등록",IF(S256="","파견병원 입력",IF(LEFT(S256,1)="⚠","파견병원명 미등록",IF(LEFT(U256,1)="⚠","파견과목 미등록",IF(OR(T256="",LEFT(T256,1)="⚠"),"파견근거 확인",IF(NOT(AND(ISNUMBER(H256),ISNUMBER(I256))),"날짜 형식/누락",IF(I256&lt;H256,"종료일&lt;시작일","")))))))))</f>
        <v/>
      </c>
      <c r="AB256" s="11">
        <f>IF(ISNUMBER(SEARCH("다기관",TRIM(N256&amp;" "&amp;O256))),IFERROR(DATE(VALUE(MID(TRIM(N256&amp;" "&amp;O256),1,4)),VALUE(MID(TRIM(N256&amp;" "&amp;O256),6,2)),VALUE(MID(TRIM(N256&amp;" "&amp;O256),9,2))),IF(ISNUMBER(H256),H256,"")),"")</f>
        <v/>
      </c>
      <c r="AC256" s="11">
        <f>IF(ISNUMBER(SEARCH("다기관",TRIM(N256&amp;" "&amp;O256))),IFERROR(DATE(VALUE(MID(TRIM(N256&amp;" "&amp;O256),12,4)),VALUE(MID(TRIM(N256&amp;" "&amp;O256),17,2)),VALUE(MID(TRIM(N256&amp;" "&amp;O256),20,2))),IF(ISNUMBER(I256),I256,"")),"")</f>
        <v/>
      </c>
      <c r="AD256" s="17">
        <f>IF(AND(ISNUMBER(AB256),ISNUMBER(AC256)),MAX(0,MIN(AC256,EOMONTH(출력_요약!$B$3,0))-MAX(AB256,출력_요약!$B$3)+1),0)</f>
        <v/>
      </c>
      <c r="AE256" s="10">
        <f>IF(AND(Q256&lt;&gt;"",ISNUMBER(AB256)),Q256&amp;"|다기관","")</f>
        <v/>
      </c>
    </row>
    <row r="257">
      <c r="A257" s="15">
        <f>IF(F257="","",ROW()-3)</f>
        <v/>
      </c>
      <c r="B257" s="5" t="n"/>
      <c r="C257" s="15" t="n"/>
      <c r="D257" s="5" t="n"/>
      <c r="E257" s="15" t="n"/>
      <c r="F257" s="5" t="n"/>
      <c r="G257" s="6" t="n"/>
      <c r="H257" s="16" t="n"/>
      <c r="I257" s="16" t="n"/>
      <c r="J257" s="15">
        <f>IF(AND(ISNUMBER(H257),ISNUMBER(I257)),I257-H257+1,"")</f>
        <v/>
      </c>
      <c r="K257" s="5" t="n"/>
      <c r="L257" s="5" t="n"/>
      <c r="M257" s="5" t="n"/>
      <c r="N257" s="5" t="n"/>
      <c r="O257" s="5" t="n"/>
      <c r="Q257" s="10">
        <f>IF(TRIM(G257&amp;"")="","",TRIM(G257&amp;""))</f>
        <v/>
      </c>
      <c r="R257" s="10">
        <f>IF(TRIM(B257&amp;"")="","",IFERROR(INDEX(설정_코드표!$K$2:$K$101,MATCH(TRIM(B257&amp;""),설정_코드표!$J$2:$J$101,0)),"⚠"&amp;TRIM(B257&amp;"")))</f>
        <v/>
      </c>
      <c r="S257" s="10">
        <f>IF(TRIM(K257&amp;"")="","",IFERROR(INDEX(설정_코드표!$K$2:$K$101,MATCH(TRIM(K257&amp;""),설정_코드표!$J$2:$J$101,0)),"⚠"&amp;TRIM(K257&amp;"")))</f>
        <v/>
      </c>
      <c r="T257" s="10">
        <f>IF(TRIM(M257&amp;"")="","",IF(ISNUMBER(MATCH(TRIM(M257&amp;""),설정_코드표!$C$2:$C$11,0)),TRIM(M257&amp;""),"⚠"&amp;TRIM(M257&amp;"")))</f>
        <v/>
      </c>
      <c r="U257" s="10">
        <f>IF(TRIM(L257&amp;"")="","",IFERROR(INDEX(설정_코드표!$G$2:$G$101,MATCH(TRIM(L257&amp;""),설정_코드표!$F$2:$F$101,0)),"⚠"&amp;TRIM(L257&amp;"")))</f>
        <v/>
      </c>
      <c r="V257" s="10">
        <f>IF(AND(ISNUMBER(H257),ISNUMBER(I257)),I257-H257+1,"")</f>
        <v/>
      </c>
      <c r="W257" s="17">
        <f>IF(ISNUMBER(H257),MAX(0,MIN(IF(ISNUMBER(I257),I257,EOMONTH(출력_요약!$B$3,0)),EOMONTH(출력_요약!$B$3,0))-MAX(H257,출력_요약!$B$3)+1),0)</f>
        <v/>
      </c>
      <c r="X257" s="10">
        <f>IF(OR(NOT(ISNUMBER(H257)),Q257=""),"",IF(TODAY()&lt;H257,"파견예정",IF(AND(ISNUMBER(I257),TODAY()&gt;I257),"파견종료","파견중")))</f>
        <v/>
      </c>
      <c r="Y257" s="10">
        <f>IF(OR(Q257="",X257=""),"",Q257&amp;"|"&amp;X257)</f>
        <v/>
      </c>
      <c r="Z257" s="10">
        <f>IF(AND(Q257&lt;&gt;"",W257&gt;0),Q257&amp;"|월","")</f>
        <v/>
      </c>
      <c r="AA257" s="10">
        <f>IF(COUNTA(B257:I257,K257:N257)=0,"",IF(Q257="","등록번호 없음",IF(LEFT(R257,1)="⚠","모병원명 미등록",IF(S257="","파견병원 입력",IF(LEFT(S257,1)="⚠","파견병원명 미등록",IF(LEFT(U257,1)="⚠","파견과목 미등록",IF(OR(T257="",LEFT(T257,1)="⚠"),"파견근거 확인",IF(NOT(AND(ISNUMBER(H257),ISNUMBER(I257))),"날짜 형식/누락",IF(I257&lt;H257,"종료일&lt;시작일","")))))))))</f>
        <v/>
      </c>
      <c r="AB257" s="11">
        <f>IF(ISNUMBER(SEARCH("다기관",TRIM(N257&amp;" "&amp;O257))),IFERROR(DATE(VALUE(MID(TRIM(N257&amp;" "&amp;O257),1,4)),VALUE(MID(TRIM(N257&amp;" "&amp;O257),6,2)),VALUE(MID(TRIM(N257&amp;" "&amp;O257),9,2))),IF(ISNUMBER(H257),H257,"")),"")</f>
        <v/>
      </c>
      <c r="AC257" s="11">
        <f>IF(ISNUMBER(SEARCH("다기관",TRIM(N257&amp;" "&amp;O257))),IFERROR(DATE(VALUE(MID(TRIM(N257&amp;" "&amp;O257),12,4)),VALUE(MID(TRIM(N257&amp;" "&amp;O257),17,2)),VALUE(MID(TRIM(N257&amp;" "&amp;O257),20,2))),IF(ISNUMBER(I257),I257,"")),"")</f>
        <v/>
      </c>
      <c r="AD257" s="17">
        <f>IF(AND(ISNUMBER(AB257),ISNUMBER(AC257)),MAX(0,MIN(AC257,EOMONTH(출력_요약!$B$3,0))-MAX(AB257,출력_요약!$B$3)+1),0)</f>
        <v/>
      </c>
      <c r="AE257" s="10">
        <f>IF(AND(Q257&lt;&gt;"",ISNUMBER(AB257)),Q257&amp;"|다기관","")</f>
        <v/>
      </c>
    </row>
    <row r="258">
      <c r="A258" s="15">
        <f>IF(F258="","",ROW()-3)</f>
        <v/>
      </c>
      <c r="B258" s="5" t="n"/>
      <c r="C258" s="15" t="n"/>
      <c r="D258" s="5" t="n"/>
      <c r="E258" s="15" t="n"/>
      <c r="F258" s="5" t="n"/>
      <c r="G258" s="6" t="n"/>
      <c r="H258" s="16" t="n"/>
      <c r="I258" s="16" t="n"/>
      <c r="J258" s="15">
        <f>IF(AND(ISNUMBER(H258),ISNUMBER(I258)),I258-H258+1,"")</f>
        <v/>
      </c>
      <c r="K258" s="5" t="n"/>
      <c r="L258" s="5" t="n"/>
      <c r="M258" s="5" t="n"/>
      <c r="N258" s="5" t="n"/>
      <c r="O258" s="5" t="n"/>
      <c r="Q258" s="10">
        <f>IF(TRIM(G258&amp;"")="","",TRIM(G258&amp;""))</f>
        <v/>
      </c>
      <c r="R258" s="10">
        <f>IF(TRIM(B258&amp;"")="","",IFERROR(INDEX(설정_코드표!$K$2:$K$101,MATCH(TRIM(B258&amp;""),설정_코드표!$J$2:$J$101,0)),"⚠"&amp;TRIM(B258&amp;"")))</f>
        <v/>
      </c>
      <c r="S258" s="10">
        <f>IF(TRIM(K258&amp;"")="","",IFERROR(INDEX(설정_코드표!$K$2:$K$101,MATCH(TRIM(K258&amp;""),설정_코드표!$J$2:$J$101,0)),"⚠"&amp;TRIM(K258&amp;"")))</f>
        <v/>
      </c>
      <c r="T258" s="10">
        <f>IF(TRIM(M258&amp;"")="","",IF(ISNUMBER(MATCH(TRIM(M258&amp;""),설정_코드표!$C$2:$C$11,0)),TRIM(M258&amp;""),"⚠"&amp;TRIM(M258&amp;"")))</f>
        <v/>
      </c>
      <c r="U258" s="10">
        <f>IF(TRIM(L258&amp;"")="","",IFERROR(INDEX(설정_코드표!$G$2:$G$101,MATCH(TRIM(L258&amp;""),설정_코드표!$F$2:$F$101,0)),"⚠"&amp;TRIM(L258&amp;"")))</f>
        <v/>
      </c>
      <c r="V258" s="10">
        <f>IF(AND(ISNUMBER(H258),ISNUMBER(I258)),I258-H258+1,"")</f>
        <v/>
      </c>
      <c r="W258" s="17">
        <f>IF(ISNUMBER(H258),MAX(0,MIN(IF(ISNUMBER(I258),I258,EOMONTH(출력_요약!$B$3,0)),EOMONTH(출력_요약!$B$3,0))-MAX(H258,출력_요약!$B$3)+1),0)</f>
        <v/>
      </c>
      <c r="X258" s="10">
        <f>IF(OR(NOT(ISNUMBER(H258)),Q258=""),"",IF(TODAY()&lt;H258,"파견예정",IF(AND(ISNUMBER(I258),TODAY()&gt;I258),"파견종료","파견중")))</f>
        <v/>
      </c>
      <c r="Y258" s="10">
        <f>IF(OR(Q258="",X258=""),"",Q258&amp;"|"&amp;X258)</f>
        <v/>
      </c>
      <c r="Z258" s="10">
        <f>IF(AND(Q258&lt;&gt;"",W258&gt;0),Q258&amp;"|월","")</f>
        <v/>
      </c>
      <c r="AA258" s="10">
        <f>IF(COUNTA(B258:I258,K258:N258)=0,"",IF(Q258="","등록번호 없음",IF(LEFT(R258,1)="⚠","모병원명 미등록",IF(S258="","파견병원 입력",IF(LEFT(S258,1)="⚠","파견병원명 미등록",IF(LEFT(U258,1)="⚠","파견과목 미등록",IF(OR(T258="",LEFT(T258,1)="⚠"),"파견근거 확인",IF(NOT(AND(ISNUMBER(H258),ISNUMBER(I258))),"날짜 형식/누락",IF(I258&lt;H258,"종료일&lt;시작일","")))))))))</f>
        <v/>
      </c>
      <c r="AB258" s="11">
        <f>IF(ISNUMBER(SEARCH("다기관",TRIM(N258&amp;" "&amp;O258))),IFERROR(DATE(VALUE(MID(TRIM(N258&amp;" "&amp;O258),1,4)),VALUE(MID(TRIM(N258&amp;" "&amp;O258),6,2)),VALUE(MID(TRIM(N258&amp;" "&amp;O258),9,2))),IF(ISNUMBER(H258),H258,"")),"")</f>
        <v/>
      </c>
      <c r="AC258" s="11">
        <f>IF(ISNUMBER(SEARCH("다기관",TRIM(N258&amp;" "&amp;O258))),IFERROR(DATE(VALUE(MID(TRIM(N258&amp;" "&amp;O258),12,4)),VALUE(MID(TRIM(N258&amp;" "&amp;O258),17,2)),VALUE(MID(TRIM(N258&amp;" "&amp;O258),20,2))),IF(ISNUMBER(I258),I258,"")),"")</f>
        <v/>
      </c>
      <c r="AD258" s="17">
        <f>IF(AND(ISNUMBER(AB258),ISNUMBER(AC258)),MAX(0,MIN(AC258,EOMONTH(출력_요약!$B$3,0))-MAX(AB258,출력_요약!$B$3)+1),0)</f>
        <v/>
      </c>
      <c r="AE258" s="10">
        <f>IF(AND(Q258&lt;&gt;"",ISNUMBER(AB258)),Q258&amp;"|다기관","")</f>
        <v/>
      </c>
    </row>
    <row r="259">
      <c r="A259" s="15">
        <f>IF(F259="","",ROW()-3)</f>
        <v/>
      </c>
      <c r="B259" s="5" t="n"/>
      <c r="C259" s="15" t="n"/>
      <c r="D259" s="5" t="n"/>
      <c r="E259" s="15" t="n"/>
      <c r="F259" s="5" t="n"/>
      <c r="G259" s="6" t="n"/>
      <c r="H259" s="16" t="n"/>
      <c r="I259" s="16" t="n"/>
      <c r="J259" s="15">
        <f>IF(AND(ISNUMBER(H259),ISNUMBER(I259)),I259-H259+1,"")</f>
        <v/>
      </c>
      <c r="K259" s="5" t="n"/>
      <c r="L259" s="5" t="n"/>
      <c r="M259" s="5" t="n"/>
      <c r="N259" s="5" t="n"/>
      <c r="O259" s="5" t="n"/>
      <c r="Q259" s="10">
        <f>IF(TRIM(G259&amp;"")="","",TRIM(G259&amp;""))</f>
        <v/>
      </c>
      <c r="R259" s="10">
        <f>IF(TRIM(B259&amp;"")="","",IFERROR(INDEX(설정_코드표!$K$2:$K$101,MATCH(TRIM(B259&amp;""),설정_코드표!$J$2:$J$101,0)),"⚠"&amp;TRIM(B259&amp;"")))</f>
        <v/>
      </c>
      <c r="S259" s="10">
        <f>IF(TRIM(K259&amp;"")="","",IFERROR(INDEX(설정_코드표!$K$2:$K$101,MATCH(TRIM(K259&amp;""),설정_코드표!$J$2:$J$101,0)),"⚠"&amp;TRIM(K259&amp;"")))</f>
        <v/>
      </c>
      <c r="T259" s="10">
        <f>IF(TRIM(M259&amp;"")="","",IF(ISNUMBER(MATCH(TRIM(M259&amp;""),설정_코드표!$C$2:$C$11,0)),TRIM(M259&amp;""),"⚠"&amp;TRIM(M259&amp;"")))</f>
        <v/>
      </c>
      <c r="U259" s="10">
        <f>IF(TRIM(L259&amp;"")="","",IFERROR(INDEX(설정_코드표!$G$2:$G$101,MATCH(TRIM(L259&amp;""),설정_코드표!$F$2:$F$101,0)),"⚠"&amp;TRIM(L259&amp;"")))</f>
        <v/>
      </c>
      <c r="V259" s="10">
        <f>IF(AND(ISNUMBER(H259),ISNUMBER(I259)),I259-H259+1,"")</f>
        <v/>
      </c>
      <c r="W259" s="17">
        <f>IF(ISNUMBER(H259),MAX(0,MIN(IF(ISNUMBER(I259),I259,EOMONTH(출력_요약!$B$3,0)),EOMONTH(출력_요약!$B$3,0))-MAX(H259,출력_요약!$B$3)+1),0)</f>
        <v/>
      </c>
      <c r="X259" s="10">
        <f>IF(OR(NOT(ISNUMBER(H259)),Q259=""),"",IF(TODAY()&lt;H259,"파견예정",IF(AND(ISNUMBER(I259),TODAY()&gt;I259),"파견종료","파견중")))</f>
        <v/>
      </c>
      <c r="Y259" s="10">
        <f>IF(OR(Q259="",X259=""),"",Q259&amp;"|"&amp;X259)</f>
        <v/>
      </c>
      <c r="Z259" s="10">
        <f>IF(AND(Q259&lt;&gt;"",W259&gt;0),Q259&amp;"|월","")</f>
        <v/>
      </c>
      <c r="AA259" s="10">
        <f>IF(COUNTA(B259:I259,K259:N259)=0,"",IF(Q259="","등록번호 없음",IF(LEFT(R259,1)="⚠","모병원명 미등록",IF(S259="","파견병원 입력",IF(LEFT(S259,1)="⚠","파견병원명 미등록",IF(LEFT(U259,1)="⚠","파견과목 미등록",IF(OR(T259="",LEFT(T259,1)="⚠"),"파견근거 확인",IF(NOT(AND(ISNUMBER(H259),ISNUMBER(I259))),"날짜 형식/누락",IF(I259&lt;H259,"종료일&lt;시작일","")))))))))</f>
        <v/>
      </c>
      <c r="AB259" s="11">
        <f>IF(ISNUMBER(SEARCH("다기관",TRIM(N259&amp;" "&amp;O259))),IFERROR(DATE(VALUE(MID(TRIM(N259&amp;" "&amp;O259),1,4)),VALUE(MID(TRIM(N259&amp;" "&amp;O259),6,2)),VALUE(MID(TRIM(N259&amp;" "&amp;O259),9,2))),IF(ISNUMBER(H259),H259,"")),"")</f>
        <v/>
      </c>
      <c r="AC259" s="11">
        <f>IF(ISNUMBER(SEARCH("다기관",TRIM(N259&amp;" "&amp;O259))),IFERROR(DATE(VALUE(MID(TRIM(N259&amp;" "&amp;O259),12,4)),VALUE(MID(TRIM(N259&amp;" "&amp;O259),17,2)),VALUE(MID(TRIM(N259&amp;" "&amp;O259),20,2))),IF(ISNUMBER(I259),I259,"")),"")</f>
        <v/>
      </c>
      <c r="AD259" s="17">
        <f>IF(AND(ISNUMBER(AB259),ISNUMBER(AC259)),MAX(0,MIN(AC259,EOMONTH(출력_요약!$B$3,0))-MAX(AB259,출력_요약!$B$3)+1),0)</f>
        <v/>
      </c>
      <c r="AE259" s="10">
        <f>IF(AND(Q259&lt;&gt;"",ISNUMBER(AB259)),Q259&amp;"|다기관","")</f>
        <v/>
      </c>
    </row>
    <row r="260">
      <c r="A260" s="15">
        <f>IF(F260="","",ROW()-3)</f>
        <v/>
      </c>
      <c r="B260" s="5" t="n"/>
      <c r="C260" s="15" t="n"/>
      <c r="D260" s="5" t="n"/>
      <c r="E260" s="15" t="n"/>
      <c r="F260" s="5" t="n"/>
      <c r="G260" s="6" t="n"/>
      <c r="H260" s="16" t="n"/>
      <c r="I260" s="16" t="n"/>
      <c r="J260" s="15">
        <f>IF(AND(ISNUMBER(H260),ISNUMBER(I260)),I260-H260+1,"")</f>
        <v/>
      </c>
      <c r="K260" s="5" t="n"/>
      <c r="L260" s="5" t="n"/>
      <c r="M260" s="5" t="n"/>
      <c r="N260" s="5" t="n"/>
      <c r="O260" s="5" t="n"/>
      <c r="Q260" s="10">
        <f>IF(TRIM(G260&amp;"")="","",TRIM(G260&amp;""))</f>
        <v/>
      </c>
      <c r="R260" s="10">
        <f>IF(TRIM(B260&amp;"")="","",IFERROR(INDEX(설정_코드표!$K$2:$K$101,MATCH(TRIM(B260&amp;""),설정_코드표!$J$2:$J$101,0)),"⚠"&amp;TRIM(B260&amp;"")))</f>
        <v/>
      </c>
      <c r="S260" s="10">
        <f>IF(TRIM(K260&amp;"")="","",IFERROR(INDEX(설정_코드표!$K$2:$K$101,MATCH(TRIM(K260&amp;""),설정_코드표!$J$2:$J$101,0)),"⚠"&amp;TRIM(K260&amp;"")))</f>
        <v/>
      </c>
      <c r="T260" s="10">
        <f>IF(TRIM(M260&amp;"")="","",IF(ISNUMBER(MATCH(TRIM(M260&amp;""),설정_코드표!$C$2:$C$11,0)),TRIM(M260&amp;""),"⚠"&amp;TRIM(M260&amp;"")))</f>
        <v/>
      </c>
      <c r="U260" s="10">
        <f>IF(TRIM(L260&amp;"")="","",IFERROR(INDEX(설정_코드표!$G$2:$G$101,MATCH(TRIM(L260&amp;""),설정_코드표!$F$2:$F$101,0)),"⚠"&amp;TRIM(L260&amp;"")))</f>
        <v/>
      </c>
      <c r="V260" s="10">
        <f>IF(AND(ISNUMBER(H260),ISNUMBER(I260)),I260-H260+1,"")</f>
        <v/>
      </c>
      <c r="W260" s="17">
        <f>IF(ISNUMBER(H260),MAX(0,MIN(IF(ISNUMBER(I260),I260,EOMONTH(출력_요약!$B$3,0)),EOMONTH(출력_요약!$B$3,0))-MAX(H260,출력_요약!$B$3)+1),0)</f>
        <v/>
      </c>
      <c r="X260" s="10">
        <f>IF(OR(NOT(ISNUMBER(H260)),Q260=""),"",IF(TODAY()&lt;H260,"파견예정",IF(AND(ISNUMBER(I260),TODAY()&gt;I260),"파견종료","파견중")))</f>
        <v/>
      </c>
      <c r="Y260" s="10">
        <f>IF(OR(Q260="",X260=""),"",Q260&amp;"|"&amp;X260)</f>
        <v/>
      </c>
      <c r="Z260" s="10">
        <f>IF(AND(Q260&lt;&gt;"",W260&gt;0),Q260&amp;"|월","")</f>
        <v/>
      </c>
      <c r="AA260" s="10">
        <f>IF(COUNTA(B260:I260,K260:N260)=0,"",IF(Q260="","등록번호 없음",IF(LEFT(R260,1)="⚠","모병원명 미등록",IF(S260="","파견병원 입력",IF(LEFT(S260,1)="⚠","파견병원명 미등록",IF(LEFT(U260,1)="⚠","파견과목 미등록",IF(OR(T260="",LEFT(T260,1)="⚠"),"파견근거 확인",IF(NOT(AND(ISNUMBER(H260),ISNUMBER(I260))),"날짜 형식/누락",IF(I260&lt;H260,"종료일&lt;시작일","")))))))))</f>
        <v/>
      </c>
      <c r="AB260" s="11">
        <f>IF(ISNUMBER(SEARCH("다기관",TRIM(N260&amp;" "&amp;O260))),IFERROR(DATE(VALUE(MID(TRIM(N260&amp;" "&amp;O260),1,4)),VALUE(MID(TRIM(N260&amp;" "&amp;O260),6,2)),VALUE(MID(TRIM(N260&amp;" "&amp;O260),9,2))),IF(ISNUMBER(H260),H260,"")),"")</f>
        <v/>
      </c>
      <c r="AC260" s="11">
        <f>IF(ISNUMBER(SEARCH("다기관",TRIM(N260&amp;" "&amp;O260))),IFERROR(DATE(VALUE(MID(TRIM(N260&amp;" "&amp;O260),12,4)),VALUE(MID(TRIM(N260&amp;" "&amp;O260),17,2)),VALUE(MID(TRIM(N260&amp;" "&amp;O260),20,2))),IF(ISNUMBER(I260),I260,"")),"")</f>
        <v/>
      </c>
      <c r="AD260" s="17">
        <f>IF(AND(ISNUMBER(AB260),ISNUMBER(AC260)),MAX(0,MIN(AC260,EOMONTH(출력_요약!$B$3,0))-MAX(AB260,출력_요약!$B$3)+1),0)</f>
        <v/>
      </c>
      <c r="AE260" s="10">
        <f>IF(AND(Q260&lt;&gt;"",ISNUMBER(AB260)),Q260&amp;"|다기관","")</f>
        <v/>
      </c>
    </row>
    <row r="261">
      <c r="A261" s="15">
        <f>IF(F261="","",ROW()-3)</f>
        <v/>
      </c>
      <c r="B261" s="5" t="n"/>
      <c r="C261" s="15" t="n"/>
      <c r="D261" s="5" t="n"/>
      <c r="E261" s="15" t="n"/>
      <c r="F261" s="5" t="n"/>
      <c r="G261" s="6" t="n"/>
      <c r="H261" s="16" t="n"/>
      <c r="I261" s="16" t="n"/>
      <c r="J261" s="15">
        <f>IF(AND(ISNUMBER(H261),ISNUMBER(I261)),I261-H261+1,"")</f>
        <v/>
      </c>
      <c r="K261" s="5" t="n"/>
      <c r="L261" s="5" t="n"/>
      <c r="M261" s="5" t="n"/>
      <c r="N261" s="5" t="n"/>
      <c r="O261" s="5" t="n"/>
      <c r="Q261" s="10">
        <f>IF(TRIM(G261&amp;"")="","",TRIM(G261&amp;""))</f>
        <v/>
      </c>
      <c r="R261" s="10">
        <f>IF(TRIM(B261&amp;"")="","",IFERROR(INDEX(설정_코드표!$K$2:$K$101,MATCH(TRIM(B261&amp;""),설정_코드표!$J$2:$J$101,0)),"⚠"&amp;TRIM(B261&amp;"")))</f>
        <v/>
      </c>
      <c r="S261" s="10">
        <f>IF(TRIM(K261&amp;"")="","",IFERROR(INDEX(설정_코드표!$K$2:$K$101,MATCH(TRIM(K261&amp;""),설정_코드표!$J$2:$J$101,0)),"⚠"&amp;TRIM(K261&amp;"")))</f>
        <v/>
      </c>
      <c r="T261" s="10">
        <f>IF(TRIM(M261&amp;"")="","",IF(ISNUMBER(MATCH(TRIM(M261&amp;""),설정_코드표!$C$2:$C$11,0)),TRIM(M261&amp;""),"⚠"&amp;TRIM(M261&amp;"")))</f>
        <v/>
      </c>
      <c r="U261" s="10">
        <f>IF(TRIM(L261&amp;"")="","",IFERROR(INDEX(설정_코드표!$G$2:$G$101,MATCH(TRIM(L261&amp;""),설정_코드표!$F$2:$F$101,0)),"⚠"&amp;TRIM(L261&amp;"")))</f>
        <v/>
      </c>
      <c r="V261" s="10">
        <f>IF(AND(ISNUMBER(H261),ISNUMBER(I261)),I261-H261+1,"")</f>
        <v/>
      </c>
      <c r="W261" s="17">
        <f>IF(ISNUMBER(H261),MAX(0,MIN(IF(ISNUMBER(I261),I261,EOMONTH(출력_요약!$B$3,0)),EOMONTH(출력_요약!$B$3,0))-MAX(H261,출력_요약!$B$3)+1),0)</f>
        <v/>
      </c>
      <c r="X261" s="10">
        <f>IF(OR(NOT(ISNUMBER(H261)),Q261=""),"",IF(TODAY()&lt;H261,"파견예정",IF(AND(ISNUMBER(I261),TODAY()&gt;I261),"파견종료","파견중")))</f>
        <v/>
      </c>
      <c r="Y261" s="10">
        <f>IF(OR(Q261="",X261=""),"",Q261&amp;"|"&amp;X261)</f>
        <v/>
      </c>
      <c r="Z261" s="10">
        <f>IF(AND(Q261&lt;&gt;"",W261&gt;0),Q261&amp;"|월","")</f>
        <v/>
      </c>
      <c r="AA261" s="10">
        <f>IF(COUNTA(B261:I261,K261:N261)=0,"",IF(Q261="","등록번호 없음",IF(LEFT(R261,1)="⚠","모병원명 미등록",IF(S261="","파견병원 입력",IF(LEFT(S261,1)="⚠","파견병원명 미등록",IF(LEFT(U261,1)="⚠","파견과목 미등록",IF(OR(T261="",LEFT(T261,1)="⚠"),"파견근거 확인",IF(NOT(AND(ISNUMBER(H261),ISNUMBER(I261))),"날짜 형식/누락",IF(I261&lt;H261,"종료일&lt;시작일","")))))))))</f>
        <v/>
      </c>
      <c r="AB261" s="11">
        <f>IF(ISNUMBER(SEARCH("다기관",TRIM(N261&amp;" "&amp;O261))),IFERROR(DATE(VALUE(MID(TRIM(N261&amp;" "&amp;O261),1,4)),VALUE(MID(TRIM(N261&amp;" "&amp;O261),6,2)),VALUE(MID(TRIM(N261&amp;" "&amp;O261),9,2))),IF(ISNUMBER(H261),H261,"")),"")</f>
        <v/>
      </c>
      <c r="AC261" s="11">
        <f>IF(ISNUMBER(SEARCH("다기관",TRIM(N261&amp;" "&amp;O261))),IFERROR(DATE(VALUE(MID(TRIM(N261&amp;" "&amp;O261),12,4)),VALUE(MID(TRIM(N261&amp;" "&amp;O261),17,2)),VALUE(MID(TRIM(N261&amp;" "&amp;O261),20,2))),IF(ISNUMBER(I261),I261,"")),"")</f>
        <v/>
      </c>
      <c r="AD261" s="17">
        <f>IF(AND(ISNUMBER(AB261),ISNUMBER(AC261)),MAX(0,MIN(AC261,EOMONTH(출력_요약!$B$3,0))-MAX(AB261,출력_요약!$B$3)+1),0)</f>
        <v/>
      </c>
      <c r="AE261" s="10">
        <f>IF(AND(Q261&lt;&gt;"",ISNUMBER(AB261)),Q261&amp;"|다기관","")</f>
        <v/>
      </c>
    </row>
    <row r="262">
      <c r="A262" s="15">
        <f>IF(F262="","",ROW()-3)</f>
        <v/>
      </c>
      <c r="B262" s="5" t="n"/>
      <c r="C262" s="15" t="n"/>
      <c r="D262" s="5" t="n"/>
      <c r="E262" s="15" t="n"/>
      <c r="F262" s="5" t="n"/>
      <c r="G262" s="6" t="n"/>
      <c r="H262" s="16" t="n"/>
      <c r="I262" s="16" t="n"/>
      <c r="J262" s="15">
        <f>IF(AND(ISNUMBER(H262),ISNUMBER(I262)),I262-H262+1,"")</f>
        <v/>
      </c>
      <c r="K262" s="5" t="n"/>
      <c r="L262" s="5" t="n"/>
      <c r="M262" s="5" t="n"/>
      <c r="N262" s="5" t="n"/>
      <c r="O262" s="5" t="n"/>
      <c r="Q262" s="10">
        <f>IF(TRIM(G262&amp;"")="","",TRIM(G262&amp;""))</f>
        <v/>
      </c>
      <c r="R262" s="10">
        <f>IF(TRIM(B262&amp;"")="","",IFERROR(INDEX(설정_코드표!$K$2:$K$101,MATCH(TRIM(B262&amp;""),설정_코드표!$J$2:$J$101,0)),"⚠"&amp;TRIM(B262&amp;"")))</f>
        <v/>
      </c>
      <c r="S262" s="10">
        <f>IF(TRIM(K262&amp;"")="","",IFERROR(INDEX(설정_코드표!$K$2:$K$101,MATCH(TRIM(K262&amp;""),설정_코드표!$J$2:$J$101,0)),"⚠"&amp;TRIM(K262&amp;"")))</f>
        <v/>
      </c>
      <c r="T262" s="10">
        <f>IF(TRIM(M262&amp;"")="","",IF(ISNUMBER(MATCH(TRIM(M262&amp;""),설정_코드표!$C$2:$C$11,0)),TRIM(M262&amp;""),"⚠"&amp;TRIM(M262&amp;"")))</f>
        <v/>
      </c>
      <c r="U262" s="10">
        <f>IF(TRIM(L262&amp;"")="","",IFERROR(INDEX(설정_코드표!$G$2:$G$101,MATCH(TRIM(L262&amp;""),설정_코드표!$F$2:$F$101,0)),"⚠"&amp;TRIM(L262&amp;"")))</f>
        <v/>
      </c>
      <c r="V262" s="10">
        <f>IF(AND(ISNUMBER(H262),ISNUMBER(I262)),I262-H262+1,"")</f>
        <v/>
      </c>
      <c r="W262" s="17">
        <f>IF(ISNUMBER(H262),MAX(0,MIN(IF(ISNUMBER(I262),I262,EOMONTH(출력_요약!$B$3,0)),EOMONTH(출력_요약!$B$3,0))-MAX(H262,출력_요약!$B$3)+1),0)</f>
        <v/>
      </c>
      <c r="X262" s="10">
        <f>IF(OR(NOT(ISNUMBER(H262)),Q262=""),"",IF(TODAY()&lt;H262,"파견예정",IF(AND(ISNUMBER(I262),TODAY()&gt;I262),"파견종료","파견중")))</f>
        <v/>
      </c>
      <c r="Y262" s="10">
        <f>IF(OR(Q262="",X262=""),"",Q262&amp;"|"&amp;X262)</f>
        <v/>
      </c>
      <c r="Z262" s="10">
        <f>IF(AND(Q262&lt;&gt;"",W262&gt;0),Q262&amp;"|월","")</f>
        <v/>
      </c>
      <c r="AA262" s="10">
        <f>IF(COUNTA(B262:I262,K262:N262)=0,"",IF(Q262="","등록번호 없음",IF(LEFT(R262,1)="⚠","모병원명 미등록",IF(S262="","파견병원 입력",IF(LEFT(S262,1)="⚠","파견병원명 미등록",IF(LEFT(U262,1)="⚠","파견과목 미등록",IF(OR(T262="",LEFT(T262,1)="⚠"),"파견근거 확인",IF(NOT(AND(ISNUMBER(H262),ISNUMBER(I262))),"날짜 형식/누락",IF(I262&lt;H262,"종료일&lt;시작일","")))))))))</f>
        <v/>
      </c>
      <c r="AB262" s="11">
        <f>IF(ISNUMBER(SEARCH("다기관",TRIM(N262&amp;" "&amp;O262))),IFERROR(DATE(VALUE(MID(TRIM(N262&amp;" "&amp;O262),1,4)),VALUE(MID(TRIM(N262&amp;" "&amp;O262),6,2)),VALUE(MID(TRIM(N262&amp;" "&amp;O262),9,2))),IF(ISNUMBER(H262),H262,"")),"")</f>
        <v/>
      </c>
      <c r="AC262" s="11">
        <f>IF(ISNUMBER(SEARCH("다기관",TRIM(N262&amp;" "&amp;O262))),IFERROR(DATE(VALUE(MID(TRIM(N262&amp;" "&amp;O262),12,4)),VALUE(MID(TRIM(N262&amp;" "&amp;O262),17,2)),VALUE(MID(TRIM(N262&amp;" "&amp;O262),20,2))),IF(ISNUMBER(I262),I262,"")),"")</f>
        <v/>
      </c>
      <c r="AD262" s="17">
        <f>IF(AND(ISNUMBER(AB262),ISNUMBER(AC262)),MAX(0,MIN(AC262,EOMONTH(출력_요약!$B$3,0))-MAX(AB262,출력_요약!$B$3)+1),0)</f>
        <v/>
      </c>
      <c r="AE262" s="10">
        <f>IF(AND(Q262&lt;&gt;"",ISNUMBER(AB262)),Q262&amp;"|다기관","")</f>
        <v/>
      </c>
    </row>
    <row r="263">
      <c r="A263" s="15">
        <f>IF(F263="","",ROW()-3)</f>
        <v/>
      </c>
      <c r="B263" s="5" t="n"/>
      <c r="C263" s="15" t="n"/>
      <c r="D263" s="5" t="n"/>
      <c r="E263" s="15" t="n"/>
      <c r="F263" s="5" t="n"/>
      <c r="G263" s="6" t="n"/>
      <c r="H263" s="16" t="n"/>
      <c r="I263" s="16" t="n"/>
      <c r="J263" s="15">
        <f>IF(AND(ISNUMBER(H263),ISNUMBER(I263)),I263-H263+1,"")</f>
        <v/>
      </c>
      <c r="K263" s="5" t="n"/>
      <c r="L263" s="5" t="n"/>
      <c r="M263" s="5" t="n"/>
      <c r="N263" s="5" t="n"/>
      <c r="O263" s="5" t="n"/>
      <c r="Q263" s="10">
        <f>IF(TRIM(G263&amp;"")="","",TRIM(G263&amp;""))</f>
        <v/>
      </c>
      <c r="R263" s="10">
        <f>IF(TRIM(B263&amp;"")="","",IFERROR(INDEX(설정_코드표!$K$2:$K$101,MATCH(TRIM(B263&amp;""),설정_코드표!$J$2:$J$101,0)),"⚠"&amp;TRIM(B263&amp;"")))</f>
        <v/>
      </c>
      <c r="S263" s="10">
        <f>IF(TRIM(K263&amp;"")="","",IFERROR(INDEX(설정_코드표!$K$2:$K$101,MATCH(TRIM(K263&amp;""),설정_코드표!$J$2:$J$101,0)),"⚠"&amp;TRIM(K263&amp;"")))</f>
        <v/>
      </c>
      <c r="T263" s="10">
        <f>IF(TRIM(M263&amp;"")="","",IF(ISNUMBER(MATCH(TRIM(M263&amp;""),설정_코드표!$C$2:$C$11,0)),TRIM(M263&amp;""),"⚠"&amp;TRIM(M263&amp;"")))</f>
        <v/>
      </c>
      <c r="U263" s="10">
        <f>IF(TRIM(L263&amp;"")="","",IFERROR(INDEX(설정_코드표!$G$2:$G$101,MATCH(TRIM(L263&amp;""),설정_코드표!$F$2:$F$101,0)),"⚠"&amp;TRIM(L263&amp;"")))</f>
        <v/>
      </c>
      <c r="V263" s="10">
        <f>IF(AND(ISNUMBER(H263),ISNUMBER(I263)),I263-H263+1,"")</f>
        <v/>
      </c>
      <c r="W263" s="17">
        <f>IF(ISNUMBER(H263),MAX(0,MIN(IF(ISNUMBER(I263),I263,EOMONTH(출력_요약!$B$3,0)),EOMONTH(출력_요약!$B$3,0))-MAX(H263,출력_요약!$B$3)+1),0)</f>
        <v/>
      </c>
      <c r="X263" s="10">
        <f>IF(OR(NOT(ISNUMBER(H263)),Q263=""),"",IF(TODAY()&lt;H263,"파견예정",IF(AND(ISNUMBER(I263),TODAY()&gt;I263),"파견종료","파견중")))</f>
        <v/>
      </c>
      <c r="Y263" s="10">
        <f>IF(OR(Q263="",X263=""),"",Q263&amp;"|"&amp;X263)</f>
        <v/>
      </c>
      <c r="Z263" s="10">
        <f>IF(AND(Q263&lt;&gt;"",W263&gt;0),Q263&amp;"|월","")</f>
        <v/>
      </c>
      <c r="AA263" s="10">
        <f>IF(COUNTA(B263:I263,K263:N263)=0,"",IF(Q263="","등록번호 없음",IF(LEFT(R263,1)="⚠","모병원명 미등록",IF(S263="","파견병원 입력",IF(LEFT(S263,1)="⚠","파견병원명 미등록",IF(LEFT(U263,1)="⚠","파견과목 미등록",IF(OR(T263="",LEFT(T263,1)="⚠"),"파견근거 확인",IF(NOT(AND(ISNUMBER(H263),ISNUMBER(I263))),"날짜 형식/누락",IF(I263&lt;H263,"종료일&lt;시작일","")))))))))</f>
        <v/>
      </c>
      <c r="AB263" s="11">
        <f>IF(ISNUMBER(SEARCH("다기관",TRIM(N263&amp;" "&amp;O263))),IFERROR(DATE(VALUE(MID(TRIM(N263&amp;" "&amp;O263),1,4)),VALUE(MID(TRIM(N263&amp;" "&amp;O263),6,2)),VALUE(MID(TRIM(N263&amp;" "&amp;O263),9,2))),IF(ISNUMBER(H263),H263,"")),"")</f>
        <v/>
      </c>
      <c r="AC263" s="11">
        <f>IF(ISNUMBER(SEARCH("다기관",TRIM(N263&amp;" "&amp;O263))),IFERROR(DATE(VALUE(MID(TRIM(N263&amp;" "&amp;O263),12,4)),VALUE(MID(TRIM(N263&amp;" "&amp;O263),17,2)),VALUE(MID(TRIM(N263&amp;" "&amp;O263),20,2))),IF(ISNUMBER(I263),I263,"")),"")</f>
        <v/>
      </c>
      <c r="AD263" s="17">
        <f>IF(AND(ISNUMBER(AB263),ISNUMBER(AC263)),MAX(0,MIN(AC263,EOMONTH(출력_요약!$B$3,0))-MAX(AB263,출력_요약!$B$3)+1),0)</f>
        <v/>
      </c>
      <c r="AE263" s="10">
        <f>IF(AND(Q263&lt;&gt;"",ISNUMBER(AB263)),Q263&amp;"|다기관","")</f>
        <v/>
      </c>
    </row>
    <row r="264">
      <c r="A264" s="15">
        <f>IF(F264="","",ROW()-3)</f>
        <v/>
      </c>
      <c r="B264" s="5" t="n"/>
      <c r="C264" s="15" t="n"/>
      <c r="D264" s="5" t="n"/>
      <c r="E264" s="15" t="n"/>
      <c r="F264" s="5" t="n"/>
      <c r="G264" s="6" t="n"/>
      <c r="H264" s="16" t="n"/>
      <c r="I264" s="16" t="n"/>
      <c r="J264" s="15">
        <f>IF(AND(ISNUMBER(H264),ISNUMBER(I264)),I264-H264+1,"")</f>
        <v/>
      </c>
      <c r="K264" s="5" t="n"/>
      <c r="L264" s="5" t="n"/>
      <c r="M264" s="5" t="n"/>
      <c r="N264" s="5" t="n"/>
      <c r="O264" s="5" t="n"/>
      <c r="Q264" s="10">
        <f>IF(TRIM(G264&amp;"")="","",TRIM(G264&amp;""))</f>
        <v/>
      </c>
      <c r="R264" s="10">
        <f>IF(TRIM(B264&amp;"")="","",IFERROR(INDEX(설정_코드표!$K$2:$K$101,MATCH(TRIM(B264&amp;""),설정_코드표!$J$2:$J$101,0)),"⚠"&amp;TRIM(B264&amp;"")))</f>
        <v/>
      </c>
      <c r="S264" s="10">
        <f>IF(TRIM(K264&amp;"")="","",IFERROR(INDEX(설정_코드표!$K$2:$K$101,MATCH(TRIM(K264&amp;""),설정_코드표!$J$2:$J$101,0)),"⚠"&amp;TRIM(K264&amp;"")))</f>
        <v/>
      </c>
      <c r="T264" s="10">
        <f>IF(TRIM(M264&amp;"")="","",IF(ISNUMBER(MATCH(TRIM(M264&amp;""),설정_코드표!$C$2:$C$11,0)),TRIM(M264&amp;""),"⚠"&amp;TRIM(M264&amp;"")))</f>
        <v/>
      </c>
      <c r="U264" s="10">
        <f>IF(TRIM(L264&amp;"")="","",IFERROR(INDEX(설정_코드표!$G$2:$G$101,MATCH(TRIM(L264&amp;""),설정_코드표!$F$2:$F$101,0)),"⚠"&amp;TRIM(L264&amp;"")))</f>
        <v/>
      </c>
      <c r="V264" s="10">
        <f>IF(AND(ISNUMBER(H264),ISNUMBER(I264)),I264-H264+1,"")</f>
        <v/>
      </c>
      <c r="W264" s="17">
        <f>IF(ISNUMBER(H264),MAX(0,MIN(IF(ISNUMBER(I264),I264,EOMONTH(출력_요약!$B$3,0)),EOMONTH(출력_요약!$B$3,0))-MAX(H264,출력_요약!$B$3)+1),0)</f>
        <v/>
      </c>
      <c r="X264" s="10">
        <f>IF(OR(NOT(ISNUMBER(H264)),Q264=""),"",IF(TODAY()&lt;H264,"파견예정",IF(AND(ISNUMBER(I264),TODAY()&gt;I264),"파견종료","파견중")))</f>
        <v/>
      </c>
      <c r="Y264" s="10">
        <f>IF(OR(Q264="",X264=""),"",Q264&amp;"|"&amp;X264)</f>
        <v/>
      </c>
      <c r="Z264" s="10">
        <f>IF(AND(Q264&lt;&gt;"",W264&gt;0),Q264&amp;"|월","")</f>
        <v/>
      </c>
      <c r="AA264" s="10">
        <f>IF(COUNTA(B264:I264,K264:N264)=0,"",IF(Q264="","등록번호 없음",IF(LEFT(R264,1)="⚠","모병원명 미등록",IF(S264="","파견병원 입력",IF(LEFT(S264,1)="⚠","파견병원명 미등록",IF(LEFT(U264,1)="⚠","파견과목 미등록",IF(OR(T264="",LEFT(T264,1)="⚠"),"파견근거 확인",IF(NOT(AND(ISNUMBER(H264),ISNUMBER(I264))),"날짜 형식/누락",IF(I264&lt;H264,"종료일&lt;시작일","")))))))))</f>
        <v/>
      </c>
      <c r="AB264" s="11">
        <f>IF(ISNUMBER(SEARCH("다기관",TRIM(N264&amp;" "&amp;O264))),IFERROR(DATE(VALUE(MID(TRIM(N264&amp;" "&amp;O264),1,4)),VALUE(MID(TRIM(N264&amp;" "&amp;O264),6,2)),VALUE(MID(TRIM(N264&amp;" "&amp;O264),9,2))),IF(ISNUMBER(H264),H264,"")),"")</f>
        <v/>
      </c>
      <c r="AC264" s="11">
        <f>IF(ISNUMBER(SEARCH("다기관",TRIM(N264&amp;" "&amp;O264))),IFERROR(DATE(VALUE(MID(TRIM(N264&amp;" "&amp;O264),12,4)),VALUE(MID(TRIM(N264&amp;" "&amp;O264),17,2)),VALUE(MID(TRIM(N264&amp;" "&amp;O264),20,2))),IF(ISNUMBER(I264),I264,"")),"")</f>
        <v/>
      </c>
      <c r="AD264" s="17">
        <f>IF(AND(ISNUMBER(AB264),ISNUMBER(AC264)),MAX(0,MIN(AC264,EOMONTH(출력_요약!$B$3,0))-MAX(AB264,출력_요약!$B$3)+1),0)</f>
        <v/>
      </c>
      <c r="AE264" s="10">
        <f>IF(AND(Q264&lt;&gt;"",ISNUMBER(AB264)),Q264&amp;"|다기관","")</f>
        <v/>
      </c>
    </row>
    <row r="265">
      <c r="A265" s="15">
        <f>IF(F265="","",ROW()-3)</f>
        <v/>
      </c>
      <c r="B265" s="5" t="n"/>
      <c r="C265" s="15" t="n"/>
      <c r="D265" s="5" t="n"/>
      <c r="E265" s="15" t="n"/>
      <c r="F265" s="5" t="n"/>
      <c r="G265" s="6" t="n"/>
      <c r="H265" s="16" t="n"/>
      <c r="I265" s="16" t="n"/>
      <c r="J265" s="15">
        <f>IF(AND(ISNUMBER(H265),ISNUMBER(I265)),I265-H265+1,"")</f>
        <v/>
      </c>
      <c r="K265" s="5" t="n"/>
      <c r="L265" s="5" t="n"/>
      <c r="M265" s="5" t="n"/>
      <c r="N265" s="5" t="n"/>
      <c r="O265" s="5" t="n"/>
      <c r="Q265" s="10">
        <f>IF(TRIM(G265&amp;"")="","",TRIM(G265&amp;""))</f>
        <v/>
      </c>
      <c r="R265" s="10">
        <f>IF(TRIM(B265&amp;"")="","",IFERROR(INDEX(설정_코드표!$K$2:$K$101,MATCH(TRIM(B265&amp;""),설정_코드표!$J$2:$J$101,0)),"⚠"&amp;TRIM(B265&amp;"")))</f>
        <v/>
      </c>
      <c r="S265" s="10">
        <f>IF(TRIM(K265&amp;"")="","",IFERROR(INDEX(설정_코드표!$K$2:$K$101,MATCH(TRIM(K265&amp;""),설정_코드표!$J$2:$J$101,0)),"⚠"&amp;TRIM(K265&amp;"")))</f>
        <v/>
      </c>
      <c r="T265" s="10">
        <f>IF(TRIM(M265&amp;"")="","",IF(ISNUMBER(MATCH(TRIM(M265&amp;""),설정_코드표!$C$2:$C$11,0)),TRIM(M265&amp;""),"⚠"&amp;TRIM(M265&amp;"")))</f>
        <v/>
      </c>
      <c r="U265" s="10">
        <f>IF(TRIM(L265&amp;"")="","",IFERROR(INDEX(설정_코드표!$G$2:$G$101,MATCH(TRIM(L265&amp;""),설정_코드표!$F$2:$F$101,0)),"⚠"&amp;TRIM(L265&amp;"")))</f>
        <v/>
      </c>
      <c r="V265" s="10">
        <f>IF(AND(ISNUMBER(H265),ISNUMBER(I265)),I265-H265+1,"")</f>
        <v/>
      </c>
      <c r="W265" s="17">
        <f>IF(ISNUMBER(H265),MAX(0,MIN(IF(ISNUMBER(I265),I265,EOMONTH(출력_요약!$B$3,0)),EOMONTH(출력_요약!$B$3,0))-MAX(H265,출력_요약!$B$3)+1),0)</f>
        <v/>
      </c>
      <c r="X265" s="10">
        <f>IF(OR(NOT(ISNUMBER(H265)),Q265=""),"",IF(TODAY()&lt;H265,"파견예정",IF(AND(ISNUMBER(I265),TODAY()&gt;I265),"파견종료","파견중")))</f>
        <v/>
      </c>
      <c r="Y265" s="10">
        <f>IF(OR(Q265="",X265=""),"",Q265&amp;"|"&amp;X265)</f>
        <v/>
      </c>
      <c r="Z265" s="10">
        <f>IF(AND(Q265&lt;&gt;"",W265&gt;0),Q265&amp;"|월","")</f>
        <v/>
      </c>
      <c r="AA265" s="10">
        <f>IF(COUNTA(B265:I265,K265:N265)=0,"",IF(Q265="","등록번호 없음",IF(LEFT(R265,1)="⚠","모병원명 미등록",IF(S265="","파견병원 입력",IF(LEFT(S265,1)="⚠","파견병원명 미등록",IF(LEFT(U265,1)="⚠","파견과목 미등록",IF(OR(T265="",LEFT(T265,1)="⚠"),"파견근거 확인",IF(NOT(AND(ISNUMBER(H265),ISNUMBER(I265))),"날짜 형식/누락",IF(I265&lt;H265,"종료일&lt;시작일","")))))))))</f>
        <v/>
      </c>
      <c r="AB265" s="11">
        <f>IF(ISNUMBER(SEARCH("다기관",TRIM(N265&amp;" "&amp;O265))),IFERROR(DATE(VALUE(MID(TRIM(N265&amp;" "&amp;O265),1,4)),VALUE(MID(TRIM(N265&amp;" "&amp;O265),6,2)),VALUE(MID(TRIM(N265&amp;" "&amp;O265),9,2))),IF(ISNUMBER(H265),H265,"")),"")</f>
        <v/>
      </c>
      <c r="AC265" s="11">
        <f>IF(ISNUMBER(SEARCH("다기관",TRIM(N265&amp;" "&amp;O265))),IFERROR(DATE(VALUE(MID(TRIM(N265&amp;" "&amp;O265),12,4)),VALUE(MID(TRIM(N265&amp;" "&amp;O265),17,2)),VALUE(MID(TRIM(N265&amp;" "&amp;O265),20,2))),IF(ISNUMBER(I265),I265,"")),"")</f>
        <v/>
      </c>
      <c r="AD265" s="17">
        <f>IF(AND(ISNUMBER(AB265),ISNUMBER(AC265)),MAX(0,MIN(AC265,EOMONTH(출력_요약!$B$3,0))-MAX(AB265,출력_요약!$B$3)+1),0)</f>
        <v/>
      </c>
      <c r="AE265" s="10">
        <f>IF(AND(Q265&lt;&gt;"",ISNUMBER(AB265)),Q265&amp;"|다기관","")</f>
        <v/>
      </c>
    </row>
    <row r="266">
      <c r="A266" s="15">
        <f>IF(F266="","",ROW()-3)</f>
        <v/>
      </c>
      <c r="B266" s="5" t="n"/>
      <c r="C266" s="15" t="n"/>
      <c r="D266" s="5" t="n"/>
      <c r="E266" s="15" t="n"/>
      <c r="F266" s="5" t="n"/>
      <c r="G266" s="6" t="n"/>
      <c r="H266" s="16" t="n"/>
      <c r="I266" s="16" t="n"/>
      <c r="J266" s="15">
        <f>IF(AND(ISNUMBER(H266),ISNUMBER(I266)),I266-H266+1,"")</f>
        <v/>
      </c>
      <c r="K266" s="5" t="n"/>
      <c r="L266" s="5" t="n"/>
      <c r="M266" s="5" t="n"/>
      <c r="N266" s="5" t="n"/>
      <c r="O266" s="5" t="n"/>
      <c r="Q266" s="10">
        <f>IF(TRIM(G266&amp;"")="","",TRIM(G266&amp;""))</f>
        <v/>
      </c>
      <c r="R266" s="10">
        <f>IF(TRIM(B266&amp;"")="","",IFERROR(INDEX(설정_코드표!$K$2:$K$101,MATCH(TRIM(B266&amp;""),설정_코드표!$J$2:$J$101,0)),"⚠"&amp;TRIM(B266&amp;"")))</f>
        <v/>
      </c>
      <c r="S266" s="10">
        <f>IF(TRIM(K266&amp;"")="","",IFERROR(INDEX(설정_코드표!$K$2:$K$101,MATCH(TRIM(K266&amp;""),설정_코드표!$J$2:$J$101,0)),"⚠"&amp;TRIM(K266&amp;"")))</f>
        <v/>
      </c>
      <c r="T266" s="10">
        <f>IF(TRIM(M266&amp;"")="","",IF(ISNUMBER(MATCH(TRIM(M266&amp;""),설정_코드표!$C$2:$C$11,0)),TRIM(M266&amp;""),"⚠"&amp;TRIM(M266&amp;"")))</f>
        <v/>
      </c>
      <c r="U266" s="10">
        <f>IF(TRIM(L266&amp;"")="","",IFERROR(INDEX(설정_코드표!$G$2:$G$101,MATCH(TRIM(L266&amp;""),설정_코드표!$F$2:$F$101,0)),"⚠"&amp;TRIM(L266&amp;"")))</f>
        <v/>
      </c>
      <c r="V266" s="10">
        <f>IF(AND(ISNUMBER(H266),ISNUMBER(I266)),I266-H266+1,"")</f>
        <v/>
      </c>
      <c r="W266" s="17">
        <f>IF(ISNUMBER(H266),MAX(0,MIN(IF(ISNUMBER(I266),I266,EOMONTH(출력_요약!$B$3,0)),EOMONTH(출력_요약!$B$3,0))-MAX(H266,출력_요약!$B$3)+1),0)</f>
        <v/>
      </c>
      <c r="X266" s="10">
        <f>IF(OR(NOT(ISNUMBER(H266)),Q266=""),"",IF(TODAY()&lt;H266,"파견예정",IF(AND(ISNUMBER(I266),TODAY()&gt;I266),"파견종료","파견중")))</f>
        <v/>
      </c>
      <c r="Y266" s="10">
        <f>IF(OR(Q266="",X266=""),"",Q266&amp;"|"&amp;X266)</f>
        <v/>
      </c>
      <c r="Z266" s="10">
        <f>IF(AND(Q266&lt;&gt;"",W266&gt;0),Q266&amp;"|월","")</f>
        <v/>
      </c>
      <c r="AA266" s="10">
        <f>IF(COUNTA(B266:I266,K266:N266)=0,"",IF(Q266="","등록번호 없음",IF(LEFT(R266,1)="⚠","모병원명 미등록",IF(S266="","파견병원 입력",IF(LEFT(S266,1)="⚠","파견병원명 미등록",IF(LEFT(U266,1)="⚠","파견과목 미등록",IF(OR(T266="",LEFT(T266,1)="⚠"),"파견근거 확인",IF(NOT(AND(ISNUMBER(H266),ISNUMBER(I266))),"날짜 형식/누락",IF(I266&lt;H266,"종료일&lt;시작일","")))))))))</f>
        <v/>
      </c>
      <c r="AB266" s="11">
        <f>IF(ISNUMBER(SEARCH("다기관",TRIM(N266&amp;" "&amp;O266))),IFERROR(DATE(VALUE(MID(TRIM(N266&amp;" "&amp;O266),1,4)),VALUE(MID(TRIM(N266&amp;" "&amp;O266),6,2)),VALUE(MID(TRIM(N266&amp;" "&amp;O266),9,2))),IF(ISNUMBER(H266),H266,"")),"")</f>
        <v/>
      </c>
      <c r="AC266" s="11">
        <f>IF(ISNUMBER(SEARCH("다기관",TRIM(N266&amp;" "&amp;O266))),IFERROR(DATE(VALUE(MID(TRIM(N266&amp;" "&amp;O266),12,4)),VALUE(MID(TRIM(N266&amp;" "&amp;O266),17,2)),VALUE(MID(TRIM(N266&amp;" "&amp;O266),20,2))),IF(ISNUMBER(I266),I266,"")),"")</f>
        <v/>
      </c>
      <c r="AD266" s="17">
        <f>IF(AND(ISNUMBER(AB266),ISNUMBER(AC266)),MAX(0,MIN(AC266,EOMONTH(출력_요약!$B$3,0))-MAX(AB266,출력_요약!$B$3)+1),0)</f>
        <v/>
      </c>
      <c r="AE266" s="10">
        <f>IF(AND(Q266&lt;&gt;"",ISNUMBER(AB266)),Q266&amp;"|다기관","")</f>
        <v/>
      </c>
    </row>
    <row r="267">
      <c r="A267" s="15">
        <f>IF(F267="","",ROW()-3)</f>
        <v/>
      </c>
      <c r="B267" s="5" t="n"/>
      <c r="C267" s="15" t="n"/>
      <c r="D267" s="5" t="n"/>
      <c r="E267" s="15" t="n"/>
      <c r="F267" s="5" t="n"/>
      <c r="G267" s="6" t="n"/>
      <c r="H267" s="16" t="n"/>
      <c r="I267" s="16" t="n"/>
      <c r="J267" s="15">
        <f>IF(AND(ISNUMBER(H267),ISNUMBER(I267)),I267-H267+1,"")</f>
        <v/>
      </c>
      <c r="K267" s="5" t="n"/>
      <c r="L267" s="5" t="n"/>
      <c r="M267" s="5" t="n"/>
      <c r="N267" s="5" t="n"/>
      <c r="O267" s="5" t="n"/>
      <c r="Q267" s="10">
        <f>IF(TRIM(G267&amp;"")="","",TRIM(G267&amp;""))</f>
        <v/>
      </c>
      <c r="R267" s="10">
        <f>IF(TRIM(B267&amp;"")="","",IFERROR(INDEX(설정_코드표!$K$2:$K$101,MATCH(TRIM(B267&amp;""),설정_코드표!$J$2:$J$101,0)),"⚠"&amp;TRIM(B267&amp;"")))</f>
        <v/>
      </c>
      <c r="S267" s="10">
        <f>IF(TRIM(K267&amp;"")="","",IFERROR(INDEX(설정_코드표!$K$2:$K$101,MATCH(TRIM(K267&amp;""),설정_코드표!$J$2:$J$101,0)),"⚠"&amp;TRIM(K267&amp;"")))</f>
        <v/>
      </c>
      <c r="T267" s="10">
        <f>IF(TRIM(M267&amp;"")="","",IF(ISNUMBER(MATCH(TRIM(M267&amp;""),설정_코드표!$C$2:$C$11,0)),TRIM(M267&amp;""),"⚠"&amp;TRIM(M267&amp;"")))</f>
        <v/>
      </c>
      <c r="U267" s="10">
        <f>IF(TRIM(L267&amp;"")="","",IFERROR(INDEX(설정_코드표!$G$2:$G$101,MATCH(TRIM(L267&amp;""),설정_코드표!$F$2:$F$101,0)),"⚠"&amp;TRIM(L267&amp;"")))</f>
        <v/>
      </c>
      <c r="V267" s="10">
        <f>IF(AND(ISNUMBER(H267),ISNUMBER(I267)),I267-H267+1,"")</f>
        <v/>
      </c>
      <c r="W267" s="17">
        <f>IF(ISNUMBER(H267),MAX(0,MIN(IF(ISNUMBER(I267),I267,EOMONTH(출력_요약!$B$3,0)),EOMONTH(출력_요약!$B$3,0))-MAX(H267,출력_요약!$B$3)+1),0)</f>
        <v/>
      </c>
      <c r="X267" s="10">
        <f>IF(OR(NOT(ISNUMBER(H267)),Q267=""),"",IF(TODAY()&lt;H267,"파견예정",IF(AND(ISNUMBER(I267),TODAY()&gt;I267),"파견종료","파견중")))</f>
        <v/>
      </c>
      <c r="Y267" s="10">
        <f>IF(OR(Q267="",X267=""),"",Q267&amp;"|"&amp;X267)</f>
        <v/>
      </c>
      <c r="Z267" s="10">
        <f>IF(AND(Q267&lt;&gt;"",W267&gt;0),Q267&amp;"|월","")</f>
        <v/>
      </c>
      <c r="AA267" s="10">
        <f>IF(COUNTA(B267:I267,K267:N267)=0,"",IF(Q267="","등록번호 없음",IF(LEFT(R267,1)="⚠","모병원명 미등록",IF(S267="","파견병원 입력",IF(LEFT(S267,1)="⚠","파견병원명 미등록",IF(LEFT(U267,1)="⚠","파견과목 미등록",IF(OR(T267="",LEFT(T267,1)="⚠"),"파견근거 확인",IF(NOT(AND(ISNUMBER(H267),ISNUMBER(I267))),"날짜 형식/누락",IF(I267&lt;H267,"종료일&lt;시작일","")))))))))</f>
        <v/>
      </c>
      <c r="AB267" s="11">
        <f>IF(ISNUMBER(SEARCH("다기관",TRIM(N267&amp;" "&amp;O267))),IFERROR(DATE(VALUE(MID(TRIM(N267&amp;" "&amp;O267),1,4)),VALUE(MID(TRIM(N267&amp;" "&amp;O267),6,2)),VALUE(MID(TRIM(N267&amp;" "&amp;O267),9,2))),IF(ISNUMBER(H267),H267,"")),"")</f>
        <v/>
      </c>
      <c r="AC267" s="11">
        <f>IF(ISNUMBER(SEARCH("다기관",TRIM(N267&amp;" "&amp;O267))),IFERROR(DATE(VALUE(MID(TRIM(N267&amp;" "&amp;O267),12,4)),VALUE(MID(TRIM(N267&amp;" "&amp;O267),17,2)),VALUE(MID(TRIM(N267&amp;" "&amp;O267),20,2))),IF(ISNUMBER(I267),I267,"")),"")</f>
        <v/>
      </c>
      <c r="AD267" s="17">
        <f>IF(AND(ISNUMBER(AB267),ISNUMBER(AC267)),MAX(0,MIN(AC267,EOMONTH(출력_요약!$B$3,0))-MAX(AB267,출력_요약!$B$3)+1),0)</f>
        <v/>
      </c>
      <c r="AE267" s="10">
        <f>IF(AND(Q267&lt;&gt;"",ISNUMBER(AB267)),Q267&amp;"|다기관","")</f>
        <v/>
      </c>
    </row>
    <row r="268">
      <c r="A268" s="15">
        <f>IF(F268="","",ROW()-3)</f>
        <v/>
      </c>
      <c r="B268" s="5" t="n"/>
      <c r="C268" s="15" t="n"/>
      <c r="D268" s="5" t="n"/>
      <c r="E268" s="15" t="n"/>
      <c r="F268" s="5" t="n"/>
      <c r="G268" s="6" t="n"/>
      <c r="H268" s="16" t="n"/>
      <c r="I268" s="16" t="n"/>
      <c r="J268" s="15">
        <f>IF(AND(ISNUMBER(H268),ISNUMBER(I268)),I268-H268+1,"")</f>
        <v/>
      </c>
      <c r="K268" s="5" t="n"/>
      <c r="L268" s="5" t="n"/>
      <c r="M268" s="5" t="n"/>
      <c r="N268" s="5" t="n"/>
      <c r="O268" s="5" t="n"/>
      <c r="Q268" s="10">
        <f>IF(TRIM(G268&amp;"")="","",TRIM(G268&amp;""))</f>
        <v/>
      </c>
      <c r="R268" s="10">
        <f>IF(TRIM(B268&amp;"")="","",IFERROR(INDEX(설정_코드표!$K$2:$K$101,MATCH(TRIM(B268&amp;""),설정_코드표!$J$2:$J$101,0)),"⚠"&amp;TRIM(B268&amp;"")))</f>
        <v/>
      </c>
      <c r="S268" s="10">
        <f>IF(TRIM(K268&amp;"")="","",IFERROR(INDEX(설정_코드표!$K$2:$K$101,MATCH(TRIM(K268&amp;""),설정_코드표!$J$2:$J$101,0)),"⚠"&amp;TRIM(K268&amp;"")))</f>
        <v/>
      </c>
      <c r="T268" s="10">
        <f>IF(TRIM(M268&amp;"")="","",IF(ISNUMBER(MATCH(TRIM(M268&amp;""),설정_코드표!$C$2:$C$11,0)),TRIM(M268&amp;""),"⚠"&amp;TRIM(M268&amp;"")))</f>
        <v/>
      </c>
      <c r="U268" s="10">
        <f>IF(TRIM(L268&amp;"")="","",IFERROR(INDEX(설정_코드표!$G$2:$G$101,MATCH(TRIM(L268&amp;""),설정_코드표!$F$2:$F$101,0)),"⚠"&amp;TRIM(L268&amp;"")))</f>
        <v/>
      </c>
      <c r="V268" s="10">
        <f>IF(AND(ISNUMBER(H268),ISNUMBER(I268)),I268-H268+1,"")</f>
        <v/>
      </c>
      <c r="W268" s="17">
        <f>IF(ISNUMBER(H268),MAX(0,MIN(IF(ISNUMBER(I268),I268,EOMONTH(출력_요약!$B$3,0)),EOMONTH(출력_요약!$B$3,0))-MAX(H268,출력_요약!$B$3)+1),0)</f>
        <v/>
      </c>
      <c r="X268" s="10">
        <f>IF(OR(NOT(ISNUMBER(H268)),Q268=""),"",IF(TODAY()&lt;H268,"파견예정",IF(AND(ISNUMBER(I268),TODAY()&gt;I268),"파견종료","파견중")))</f>
        <v/>
      </c>
      <c r="Y268" s="10">
        <f>IF(OR(Q268="",X268=""),"",Q268&amp;"|"&amp;X268)</f>
        <v/>
      </c>
      <c r="Z268" s="10">
        <f>IF(AND(Q268&lt;&gt;"",W268&gt;0),Q268&amp;"|월","")</f>
        <v/>
      </c>
      <c r="AA268" s="10">
        <f>IF(COUNTA(B268:I268,K268:N268)=0,"",IF(Q268="","등록번호 없음",IF(LEFT(R268,1)="⚠","모병원명 미등록",IF(S268="","파견병원 입력",IF(LEFT(S268,1)="⚠","파견병원명 미등록",IF(LEFT(U268,1)="⚠","파견과목 미등록",IF(OR(T268="",LEFT(T268,1)="⚠"),"파견근거 확인",IF(NOT(AND(ISNUMBER(H268),ISNUMBER(I268))),"날짜 형식/누락",IF(I268&lt;H268,"종료일&lt;시작일","")))))))))</f>
        <v/>
      </c>
      <c r="AB268" s="11">
        <f>IF(ISNUMBER(SEARCH("다기관",TRIM(N268&amp;" "&amp;O268))),IFERROR(DATE(VALUE(MID(TRIM(N268&amp;" "&amp;O268),1,4)),VALUE(MID(TRIM(N268&amp;" "&amp;O268),6,2)),VALUE(MID(TRIM(N268&amp;" "&amp;O268),9,2))),IF(ISNUMBER(H268),H268,"")),"")</f>
        <v/>
      </c>
      <c r="AC268" s="11">
        <f>IF(ISNUMBER(SEARCH("다기관",TRIM(N268&amp;" "&amp;O268))),IFERROR(DATE(VALUE(MID(TRIM(N268&amp;" "&amp;O268),12,4)),VALUE(MID(TRIM(N268&amp;" "&amp;O268),17,2)),VALUE(MID(TRIM(N268&amp;" "&amp;O268),20,2))),IF(ISNUMBER(I268),I268,"")),"")</f>
        <v/>
      </c>
      <c r="AD268" s="17">
        <f>IF(AND(ISNUMBER(AB268),ISNUMBER(AC268)),MAX(0,MIN(AC268,EOMONTH(출력_요약!$B$3,0))-MAX(AB268,출력_요약!$B$3)+1),0)</f>
        <v/>
      </c>
      <c r="AE268" s="10">
        <f>IF(AND(Q268&lt;&gt;"",ISNUMBER(AB268)),Q268&amp;"|다기관","")</f>
        <v/>
      </c>
    </row>
    <row r="269">
      <c r="A269" s="15">
        <f>IF(F269="","",ROW()-3)</f>
        <v/>
      </c>
      <c r="B269" s="5" t="n"/>
      <c r="C269" s="15" t="n"/>
      <c r="D269" s="5" t="n"/>
      <c r="E269" s="15" t="n"/>
      <c r="F269" s="5" t="n"/>
      <c r="G269" s="6" t="n"/>
      <c r="H269" s="16" t="n"/>
      <c r="I269" s="16" t="n"/>
      <c r="J269" s="15">
        <f>IF(AND(ISNUMBER(H269),ISNUMBER(I269)),I269-H269+1,"")</f>
        <v/>
      </c>
      <c r="K269" s="5" t="n"/>
      <c r="L269" s="5" t="n"/>
      <c r="M269" s="5" t="n"/>
      <c r="N269" s="5" t="n"/>
      <c r="O269" s="5" t="n"/>
      <c r="Q269" s="10">
        <f>IF(TRIM(G269&amp;"")="","",TRIM(G269&amp;""))</f>
        <v/>
      </c>
      <c r="R269" s="10">
        <f>IF(TRIM(B269&amp;"")="","",IFERROR(INDEX(설정_코드표!$K$2:$K$101,MATCH(TRIM(B269&amp;""),설정_코드표!$J$2:$J$101,0)),"⚠"&amp;TRIM(B269&amp;"")))</f>
        <v/>
      </c>
      <c r="S269" s="10">
        <f>IF(TRIM(K269&amp;"")="","",IFERROR(INDEX(설정_코드표!$K$2:$K$101,MATCH(TRIM(K269&amp;""),설정_코드표!$J$2:$J$101,0)),"⚠"&amp;TRIM(K269&amp;"")))</f>
        <v/>
      </c>
      <c r="T269" s="10">
        <f>IF(TRIM(M269&amp;"")="","",IF(ISNUMBER(MATCH(TRIM(M269&amp;""),설정_코드표!$C$2:$C$11,0)),TRIM(M269&amp;""),"⚠"&amp;TRIM(M269&amp;"")))</f>
        <v/>
      </c>
      <c r="U269" s="10">
        <f>IF(TRIM(L269&amp;"")="","",IFERROR(INDEX(설정_코드표!$G$2:$G$101,MATCH(TRIM(L269&amp;""),설정_코드표!$F$2:$F$101,0)),"⚠"&amp;TRIM(L269&amp;"")))</f>
        <v/>
      </c>
      <c r="V269" s="10">
        <f>IF(AND(ISNUMBER(H269),ISNUMBER(I269)),I269-H269+1,"")</f>
        <v/>
      </c>
      <c r="W269" s="17">
        <f>IF(ISNUMBER(H269),MAX(0,MIN(IF(ISNUMBER(I269),I269,EOMONTH(출력_요약!$B$3,0)),EOMONTH(출력_요약!$B$3,0))-MAX(H269,출력_요약!$B$3)+1),0)</f>
        <v/>
      </c>
      <c r="X269" s="10">
        <f>IF(OR(NOT(ISNUMBER(H269)),Q269=""),"",IF(TODAY()&lt;H269,"파견예정",IF(AND(ISNUMBER(I269),TODAY()&gt;I269),"파견종료","파견중")))</f>
        <v/>
      </c>
      <c r="Y269" s="10">
        <f>IF(OR(Q269="",X269=""),"",Q269&amp;"|"&amp;X269)</f>
        <v/>
      </c>
      <c r="Z269" s="10">
        <f>IF(AND(Q269&lt;&gt;"",W269&gt;0),Q269&amp;"|월","")</f>
        <v/>
      </c>
      <c r="AA269" s="10">
        <f>IF(COUNTA(B269:I269,K269:N269)=0,"",IF(Q269="","등록번호 없음",IF(LEFT(R269,1)="⚠","모병원명 미등록",IF(S269="","파견병원 입력",IF(LEFT(S269,1)="⚠","파견병원명 미등록",IF(LEFT(U269,1)="⚠","파견과목 미등록",IF(OR(T269="",LEFT(T269,1)="⚠"),"파견근거 확인",IF(NOT(AND(ISNUMBER(H269),ISNUMBER(I269))),"날짜 형식/누락",IF(I269&lt;H269,"종료일&lt;시작일","")))))))))</f>
        <v/>
      </c>
      <c r="AB269" s="11">
        <f>IF(ISNUMBER(SEARCH("다기관",TRIM(N269&amp;" "&amp;O269))),IFERROR(DATE(VALUE(MID(TRIM(N269&amp;" "&amp;O269),1,4)),VALUE(MID(TRIM(N269&amp;" "&amp;O269),6,2)),VALUE(MID(TRIM(N269&amp;" "&amp;O269),9,2))),IF(ISNUMBER(H269),H269,"")),"")</f>
        <v/>
      </c>
      <c r="AC269" s="11">
        <f>IF(ISNUMBER(SEARCH("다기관",TRIM(N269&amp;" "&amp;O269))),IFERROR(DATE(VALUE(MID(TRIM(N269&amp;" "&amp;O269),12,4)),VALUE(MID(TRIM(N269&amp;" "&amp;O269),17,2)),VALUE(MID(TRIM(N269&amp;" "&amp;O269),20,2))),IF(ISNUMBER(I269),I269,"")),"")</f>
        <v/>
      </c>
      <c r="AD269" s="17">
        <f>IF(AND(ISNUMBER(AB269),ISNUMBER(AC269)),MAX(0,MIN(AC269,EOMONTH(출력_요약!$B$3,0))-MAX(AB269,출력_요약!$B$3)+1),0)</f>
        <v/>
      </c>
      <c r="AE269" s="10">
        <f>IF(AND(Q269&lt;&gt;"",ISNUMBER(AB269)),Q269&amp;"|다기관","")</f>
        <v/>
      </c>
    </row>
    <row r="270">
      <c r="A270" s="15">
        <f>IF(F270="","",ROW()-3)</f>
        <v/>
      </c>
      <c r="B270" s="5" t="n"/>
      <c r="C270" s="15" t="n"/>
      <c r="D270" s="5" t="n"/>
      <c r="E270" s="15" t="n"/>
      <c r="F270" s="5" t="n"/>
      <c r="G270" s="6" t="n"/>
      <c r="H270" s="16" t="n"/>
      <c r="I270" s="16" t="n"/>
      <c r="J270" s="15">
        <f>IF(AND(ISNUMBER(H270),ISNUMBER(I270)),I270-H270+1,"")</f>
        <v/>
      </c>
      <c r="K270" s="5" t="n"/>
      <c r="L270" s="5" t="n"/>
      <c r="M270" s="5" t="n"/>
      <c r="N270" s="5" t="n"/>
      <c r="O270" s="5" t="n"/>
      <c r="Q270" s="10">
        <f>IF(TRIM(G270&amp;"")="","",TRIM(G270&amp;""))</f>
        <v/>
      </c>
      <c r="R270" s="10">
        <f>IF(TRIM(B270&amp;"")="","",IFERROR(INDEX(설정_코드표!$K$2:$K$101,MATCH(TRIM(B270&amp;""),설정_코드표!$J$2:$J$101,0)),"⚠"&amp;TRIM(B270&amp;"")))</f>
        <v/>
      </c>
      <c r="S270" s="10">
        <f>IF(TRIM(K270&amp;"")="","",IFERROR(INDEX(설정_코드표!$K$2:$K$101,MATCH(TRIM(K270&amp;""),설정_코드표!$J$2:$J$101,0)),"⚠"&amp;TRIM(K270&amp;"")))</f>
        <v/>
      </c>
      <c r="T270" s="10">
        <f>IF(TRIM(M270&amp;"")="","",IF(ISNUMBER(MATCH(TRIM(M270&amp;""),설정_코드표!$C$2:$C$11,0)),TRIM(M270&amp;""),"⚠"&amp;TRIM(M270&amp;"")))</f>
        <v/>
      </c>
      <c r="U270" s="10">
        <f>IF(TRIM(L270&amp;"")="","",IFERROR(INDEX(설정_코드표!$G$2:$G$101,MATCH(TRIM(L270&amp;""),설정_코드표!$F$2:$F$101,0)),"⚠"&amp;TRIM(L270&amp;"")))</f>
        <v/>
      </c>
      <c r="V270" s="10">
        <f>IF(AND(ISNUMBER(H270),ISNUMBER(I270)),I270-H270+1,"")</f>
        <v/>
      </c>
      <c r="W270" s="17">
        <f>IF(ISNUMBER(H270),MAX(0,MIN(IF(ISNUMBER(I270),I270,EOMONTH(출력_요약!$B$3,0)),EOMONTH(출력_요약!$B$3,0))-MAX(H270,출력_요약!$B$3)+1),0)</f>
        <v/>
      </c>
      <c r="X270" s="10">
        <f>IF(OR(NOT(ISNUMBER(H270)),Q270=""),"",IF(TODAY()&lt;H270,"파견예정",IF(AND(ISNUMBER(I270),TODAY()&gt;I270),"파견종료","파견중")))</f>
        <v/>
      </c>
      <c r="Y270" s="10">
        <f>IF(OR(Q270="",X270=""),"",Q270&amp;"|"&amp;X270)</f>
        <v/>
      </c>
      <c r="Z270" s="10">
        <f>IF(AND(Q270&lt;&gt;"",W270&gt;0),Q270&amp;"|월","")</f>
        <v/>
      </c>
      <c r="AA270" s="10">
        <f>IF(COUNTA(B270:I270,K270:N270)=0,"",IF(Q270="","등록번호 없음",IF(LEFT(R270,1)="⚠","모병원명 미등록",IF(S270="","파견병원 입력",IF(LEFT(S270,1)="⚠","파견병원명 미등록",IF(LEFT(U270,1)="⚠","파견과목 미등록",IF(OR(T270="",LEFT(T270,1)="⚠"),"파견근거 확인",IF(NOT(AND(ISNUMBER(H270),ISNUMBER(I270))),"날짜 형식/누락",IF(I270&lt;H270,"종료일&lt;시작일","")))))))))</f>
        <v/>
      </c>
      <c r="AB270" s="11">
        <f>IF(ISNUMBER(SEARCH("다기관",TRIM(N270&amp;" "&amp;O270))),IFERROR(DATE(VALUE(MID(TRIM(N270&amp;" "&amp;O270),1,4)),VALUE(MID(TRIM(N270&amp;" "&amp;O270),6,2)),VALUE(MID(TRIM(N270&amp;" "&amp;O270),9,2))),IF(ISNUMBER(H270),H270,"")),"")</f>
        <v/>
      </c>
      <c r="AC270" s="11">
        <f>IF(ISNUMBER(SEARCH("다기관",TRIM(N270&amp;" "&amp;O270))),IFERROR(DATE(VALUE(MID(TRIM(N270&amp;" "&amp;O270),12,4)),VALUE(MID(TRIM(N270&amp;" "&amp;O270),17,2)),VALUE(MID(TRIM(N270&amp;" "&amp;O270),20,2))),IF(ISNUMBER(I270),I270,"")),"")</f>
        <v/>
      </c>
      <c r="AD270" s="17">
        <f>IF(AND(ISNUMBER(AB270),ISNUMBER(AC270)),MAX(0,MIN(AC270,EOMONTH(출력_요약!$B$3,0))-MAX(AB270,출력_요약!$B$3)+1),0)</f>
        <v/>
      </c>
      <c r="AE270" s="10">
        <f>IF(AND(Q270&lt;&gt;"",ISNUMBER(AB270)),Q270&amp;"|다기관","")</f>
        <v/>
      </c>
    </row>
    <row r="271">
      <c r="A271" s="15">
        <f>IF(F271="","",ROW()-3)</f>
        <v/>
      </c>
      <c r="B271" s="5" t="n"/>
      <c r="C271" s="15" t="n"/>
      <c r="D271" s="5" t="n"/>
      <c r="E271" s="15" t="n"/>
      <c r="F271" s="5" t="n"/>
      <c r="G271" s="6" t="n"/>
      <c r="H271" s="16" t="n"/>
      <c r="I271" s="16" t="n"/>
      <c r="J271" s="15">
        <f>IF(AND(ISNUMBER(H271),ISNUMBER(I271)),I271-H271+1,"")</f>
        <v/>
      </c>
      <c r="K271" s="5" t="n"/>
      <c r="L271" s="5" t="n"/>
      <c r="M271" s="5" t="n"/>
      <c r="N271" s="5" t="n"/>
      <c r="O271" s="5" t="n"/>
      <c r="Q271" s="10">
        <f>IF(TRIM(G271&amp;"")="","",TRIM(G271&amp;""))</f>
        <v/>
      </c>
      <c r="R271" s="10">
        <f>IF(TRIM(B271&amp;"")="","",IFERROR(INDEX(설정_코드표!$K$2:$K$101,MATCH(TRIM(B271&amp;""),설정_코드표!$J$2:$J$101,0)),"⚠"&amp;TRIM(B271&amp;"")))</f>
        <v/>
      </c>
      <c r="S271" s="10">
        <f>IF(TRIM(K271&amp;"")="","",IFERROR(INDEX(설정_코드표!$K$2:$K$101,MATCH(TRIM(K271&amp;""),설정_코드표!$J$2:$J$101,0)),"⚠"&amp;TRIM(K271&amp;"")))</f>
        <v/>
      </c>
      <c r="T271" s="10">
        <f>IF(TRIM(M271&amp;"")="","",IF(ISNUMBER(MATCH(TRIM(M271&amp;""),설정_코드표!$C$2:$C$11,0)),TRIM(M271&amp;""),"⚠"&amp;TRIM(M271&amp;"")))</f>
        <v/>
      </c>
      <c r="U271" s="10">
        <f>IF(TRIM(L271&amp;"")="","",IFERROR(INDEX(설정_코드표!$G$2:$G$101,MATCH(TRIM(L271&amp;""),설정_코드표!$F$2:$F$101,0)),"⚠"&amp;TRIM(L271&amp;"")))</f>
        <v/>
      </c>
      <c r="V271" s="10">
        <f>IF(AND(ISNUMBER(H271),ISNUMBER(I271)),I271-H271+1,"")</f>
        <v/>
      </c>
      <c r="W271" s="17">
        <f>IF(ISNUMBER(H271),MAX(0,MIN(IF(ISNUMBER(I271),I271,EOMONTH(출력_요약!$B$3,0)),EOMONTH(출력_요약!$B$3,0))-MAX(H271,출력_요약!$B$3)+1),0)</f>
        <v/>
      </c>
      <c r="X271" s="10">
        <f>IF(OR(NOT(ISNUMBER(H271)),Q271=""),"",IF(TODAY()&lt;H271,"파견예정",IF(AND(ISNUMBER(I271),TODAY()&gt;I271),"파견종료","파견중")))</f>
        <v/>
      </c>
      <c r="Y271" s="10">
        <f>IF(OR(Q271="",X271=""),"",Q271&amp;"|"&amp;X271)</f>
        <v/>
      </c>
      <c r="Z271" s="10">
        <f>IF(AND(Q271&lt;&gt;"",W271&gt;0),Q271&amp;"|월","")</f>
        <v/>
      </c>
      <c r="AA271" s="10">
        <f>IF(COUNTA(B271:I271,K271:N271)=0,"",IF(Q271="","등록번호 없음",IF(LEFT(R271,1)="⚠","모병원명 미등록",IF(S271="","파견병원 입력",IF(LEFT(S271,1)="⚠","파견병원명 미등록",IF(LEFT(U271,1)="⚠","파견과목 미등록",IF(OR(T271="",LEFT(T271,1)="⚠"),"파견근거 확인",IF(NOT(AND(ISNUMBER(H271),ISNUMBER(I271))),"날짜 형식/누락",IF(I271&lt;H271,"종료일&lt;시작일","")))))))))</f>
        <v/>
      </c>
      <c r="AB271" s="11">
        <f>IF(ISNUMBER(SEARCH("다기관",TRIM(N271&amp;" "&amp;O271))),IFERROR(DATE(VALUE(MID(TRIM(N271&amp;" "&amp;O271),1,4)),VALUE(MID(TRIM(N271&amp;" "&amp;O271),6,2)),VALUE(MID(TRIM(N271&amp;" "&amp;O271),9,2))),IF(ISNUMBER(H271),H271,"")),"")</f>
        <v/>
      </c>
      <c r="AC271" s="11">
        <f>IF(ISNUMBER(SEARCH("다기관",TRIM(N271&amp;" "&amp;O271))),IFERROR(DATE(VALUE(MID(TRIM(N271&amp;" "&amp;O271),12,4)),VALUE(MID(TRIM(N271&amp;" "&amp;O271),17,2)),VALUE(MID(TRIM(N271&amp;" "&amp;O271),20,2))),IF(ISNUMBER(I271),I271,"")),"")</f>
        <v/>
      </c>
      <c r="AD271" s="17">
        <f>IF(AND(ISNUMBER(AB271),ISNUMBER(AC271)),MAX(0,MIN(AC271,EOMONTH(출력_요약!$B$3,0))-MAX(AB271,출력_요약!$B$3)+1),0)</f>
        <v/>
      </c>
      <c r="AE271" s="10">
        <f>IF(AND(Q271&lt;&gt;"",ISNUMBER(AB271)),Q271&amp;"|다기관","")</f>
        <v/>
      </c>
    </row>
    <row r="272">
      <c r="A272" s="15">
        <f>IF(F272="","",ROW()-3)</f>
        <v/>
      </c>
      <c r="B272" s="5" t="n"/>
      <c r="C272" s="15" t="n"/>
      <c r="D272" s="5" t="n"/>
      <c r="E272" s="15" t="n"/>
      <c r="F272" s="5" t="n"/>
      <c r="G272" s="6" t="n"/>
      <c r="H272" s="16" t="n"/>
      <c r="I272" s="16" t="n"/>
      <c r="J272" s="15">
        <f>IF(AND(ISNUMBER(H272),ISNUMBER(I272)),I272-H272+1,"")</f>
        <v/>
      </c>
      <c r="K272" s="5" t="n"/>
      <c r="L272" s="5" t="n"/>
      <c r="M272" s="5" t="n"/>
      <c r="N272" s="5" t="n"/>
      <c r="O272" s="5" t="n"/>
      <c r="Q272" s="10">
        <f>IF(TRIM(G272&amp;"")="","",TRIM(G272&amp;""))</f>
        <v/>
      </c>
      <c r="R272" s="10">
        <f>IF(TRIM(B272&amp;"")="","",IFERROR(INDEX(설정_코드표!$K$2:$K$101,MATCH(TRIM(B272&amp;""),설정_코드표!$J$2:$J$101,0)),"⚠"&amp;TRIM(B272&amp;"")))</f>
        <v/>
      </c>
      <c r="S272" s="10">
        <f>IF(TRIM(K272&amp;"")="","",IFERROR(INDEX(설정_코드표!$K$2:$K$101,MATCH(TRIM(K272&amp;""),설정_코드표!$J$2:$J$101,0)),"⚠"&amp;TRIM(K272&amp;"")))</f>
        <v/>
      </c>
      <c r="T272" s="10">
        <f>IF(TRIM(M272&amp;"")="","",IF(ISNUMBER(MATCH(TRIM(M272&amp;""),설정_코드표!$C$2:$C$11,0)),TRIM(M272&amp;""),"⚠"&amp;TRIM(M272&amp;"")))</f>
        <v/>
      </c>
      <c r="U272" s="10">
        <f>IF(TRIM(L272&amp;"")="","",IFERROR(INDEX(설정_코드표!$G$2:$G$101,MATCH(TRIM(L272&amp;""),설정_코드표!$F$2:$F$101,0)),"⚠"&amp;TRIM(L272&amp;"")))</f>
        <v/>
      </c>
      <c r="V272" s="10">
        <f>IF(AND(ISNUMBER(H272),ISNUMBER(I272)),I272-H272+1,"")</f>
        <v/>
      </c>
      <c r="W272" s="17">
        <f>IF(ISNUMBER(H272),MAX(0,MIN(IF(ISNUMBER(I272),I272,EOMONTH(출력_요약!$B$3,0)),EOMONTH(출력_요약!$B$3,0))-MAX(H272,출력_요약!$B$3)+1),0)</f>
        <v/>
      </c>
      <c r="X272" s="10">
        <f>IF(OR(NOT(ISNUMBER(H272)),Q272=""),"",IF(TODAY()&lt;H272,"파견예정",IF(AND(ISNUMBER(I272),TODAY()&gt;I272),"파견종료","파견중")))</f>
        <v/>
      </c>
      <c r="Y272" s="10">
        <f>IF(OR(Q272="",X272=""),"",Q272&amp;"|"&amp;X272)</f>
        <v/>
      </c>
      <c r="Z272" s="10">
        <f>IF(AND(Q272&lt;&gt;"",W272&gt;0),Q272&amp;"|월","")</f>
        <v/>
      </c>
      <c r="AA272" s="10">
        <f>IF(COUNTA(B272:I272,K272:N272)=0,"",IF(Q272="","등록번호 없음",IF(LEFT(R272,1)="⚠","모병원명 미등록",IF(S272="","파견병원 입력",IF(LEFT(S272,1)="⚠","파견병원명 미등록",IF(LEFT(U272,1)="⚠","파견과목 미등록",IF(OR(T272="",LEFT(T272,1)="⚠"),"파견근거 확인",IF(NOT(AND(ISNUMBER(H272),ISNUMBER(I272))),"날짜 형식/누락",IF(I272&lt;H272,"종료일&lt;시작일","")))))))))</f>
        <v/>
      </c>
      <c r="AB272" s="11">
        <f>IF(ISNUMBER(SEARCH("다기관",TRIM(N272&amp;" "&amp;O272))),IFERROR(DATE(VALUE(MID(TRIM(N272&amp;" "&amp;O272),1,4)),VALUE(MID(TRIM(N272&amp;" "&amp;O272),6,2)),VALUE(MID(TRIM(N272&amp;" "&amp;O272),9,2))),IF(ISNUMBER(H272),H272,"")),"")</f>
        <v/>
      </c>
      <c r="AC272" s="11">
        <f>IF(ISNUMBER(SEARCH("다기관",TRIM(N272&amp;" "&amp;O272))),IFERROR(DATE(VALUE(MID(TRIM(N272&amp;" "&amp;O272),12,4)),VALUE(MID(TRIM(N272&amp;" "&amp;O272),17,2)),VALUE(MID(TRIM(N272&amp;" "&amp;O272),20,2))),IF(ISNUMBER(I272),I272,"")),"")</f>
        <v/>
      </c>
      <c r="AD272" s="17">
        <f>IF(AND(ISNUMBER(AB272),ISNUMBER(AC272)),MAX(0,MIN(AC272,EOMONTH(출력_요약!$B$3,0))-MAX(AB272,출력_요약!$B$3)+1),0)</f>
        <v/>
      </c>
      <c r="AE272" s="10">
        <f>IF(AND(Q272&lt;&gt;"",ISNUMBER(AB272)),Q272&amp;"|다기관","")</f>
        <v/>
      </c>
    </row>
    <row r="273">
      <c r="A273" s="15">
        <f>IF(F273="","",ROW()-3)</f>
        <v/>
      </c>
      <c r="B273" s="5" t="n"/>
      <c r="C273" s="15" t="n"/>
      <c r="D273" s="5" t="n"/>
      <c r="E273" s="15" t="n"/>
      <c r="F273" s="5" t="n"/>
      <c r="G273" s="6" t="n"/>
      <c r="H273" s="16" t="n"/>
      <c r="I273" s="16" t="n"/>
      <c r="J273" s="15">
        <f>IF(AND(ISNUMBER(H273),ISNUMBER(I273)),I273-H273+1,"")</f>
        <v/>
      </c>
      <c r="K273" s="5" t="n"/>
      <c r="L273" s="5" t="n"/>
      <c r="M273" s="5" t="n"/>
      <c r="N273" s="5" t="n"/>
      <c r="O273" s="5" t="n"/>
      <c r="Q273" s="10">
        <f>IF(TRIM(G273&amp;"")="","",TRIM(G273&amp;""))</f>
        <v/>
      </c>
      <c r="R273" s="10">
        <f>IF(TRIM(B273&amp;"")="","",IFERROR(INDEX(설정_코드표!$K$2:$K$101,MATCH(TRIM(B273&amp;""),설정_코드표!$J$2:$J$101,0)),"⚠"&amp;TRIM(B273&amp;"")))</f>
        <v/>
      </c>
      <c r="S273" s="10">
        <f>IF(TRIM(K273&amp;"")="","",IFERROR(INDEX(설정_코드표!$K$2:$K$101,MATCH(TRIM(K273&amp;""),설정_코드표!$J$2:$J$101,0)),"⚠"&amp;TRIM(K273&amp;"")))</f>
        <v/>
      </c>
      <c r="T273" s="10">
        <f>IF(TRIM(M273&amp;"")="","",IF(ISNUMBER(MATCH(TRIM(M273&amp;""),설정_코드표!$C$2:$C$11,0)),TRIM(M273&amp;""),"⚠"&amp;TRIM(M273&amp;"")))</f>
        <v/>
      </c>
      <c r="U273" s="10">
        <f>IF(TRIM(L273&amp;"")="","",IFERROR(INDEX(설정_코드표!$G$2:$G$101,MATCH(TRIM(L273&amp;""),설정_코드표!$F$2:$F$101,0)),"⚠"&amp;TRIM(L273&amp;"")))</f>
        <v/>
      </c>
      <c r="V273" s="10">
        <f>IF(AND(ISNUMBER(H273),ISNUMBER(I273)),I273-H273+1,"")</f>
        <v/>
      </c>
      <c r="W273" s="17">
        <f>IF(ISNUMBER(H273),MAX(0,MIN(IF(ISNUMBER(I273),I273,EOMONTH(출력_요약!$B$3,0)),EOMONTH(출력_요약!$B$3,0))-MAX(H273,출력_요약!$B$3)+1),0)</f>
        <v/>
      </c>
      <c r="X273" s="10">
        <f>IF(OR(NOT(ISNUMBER(H273)),Q273=""),"",IF(TODAY()&lt;H273,"파견예정",IF(AND(ISNUMBER(I273),TODAY()&gt;I273),"파견종료","파견중")))</f>
        <v/>
      </c>
      <c r="Y273" s="10">
        <f>IF(OR(Q273="",X273=""),"",Q273&amp;"|"&amp;X273)</f>
        <v/>
      </c>
      <c r="Z273" s="10">
        <f>IF(AND(Q273&lt;&gt;"",W273&gt;0),Q273&amp;"|월","")</f>
        <v/>
      </c>
      <c r="AA273" s="10">
        <f>IF(COUNTA(B273:I273,K273:N273)=0,"",IF(Q273="","등록번호 없음",IF(LEFT(R273,1)="⚠","모병원명 미등록",IF(S273="","파견병원 입력",IF(LEFT(S273,1)="⚠","파견병원명 미등록",IF(LEFT(U273,1)="⚠","파견과목 미등록",IF(OR(T273="",LEFT(T273,1)="⚠"),"파견근거 확인",IF(NOT(AND(ISNUMBER(H273),ISNUMBER(I273))),"날짜 형식/누락",IF(I273&lt;H273,"종료일&lt;시작일","")))))))))</f>
        <v/>
      </c>
      <c r="AB273" s="11">
        <f>IF(ISNUMBER(SEARCH("다기관",TRIM(N273&amp;" "&amp;O273))),IFERROR(DATE(VALUE(MID(TRIM(N273&amp;" "&amp;O273),1,4)),VALUE(MID(TRIM(N273&amp;" "&amp;O273),6,2)),VALUE(MID(TRIM(N273&amp;" "&amp;O273),9,2))),IF(ISNUMBER(H273),H273,"")),"")</f>
        <v/>
      </c>
      <c r="AC273" s="11">
        <f>IF(ISNUMBER(SEARCH("다기관",TRIM(N273&amp;" "&amp;O273))),IFERROR(DATE(VALUE(MID(TRIM(N273&amp;" "&amp;O273),12,4)),VALUE(MID(TRIM(N273&amp;" "&amp;O273),17,2)),VALUE(MID(TRIM(N273&amp;" "&amp;O273),20,2))),IF(ISNUMBER(I273),I273,"")),"")</f>
        <v/>
      </c>
      <c r="AD273" s="17">
        <f>IF(AND(ISNUMBER(AB273),ISNUMBER(AC273)),MAX(0,MIN(AC273,EOMONTH(출력_요약!$B$3,0))-MAX(AB273,출력_요약!$B$3)+1),0)</f>
        <v/>
      </c>
      <c r="AE273" s="10">
        <f>IF(AND(Q273&lt;&gt;"",ISNUMBER(AB273)),Q273&amp;"|다기관","")</f>
        <v/>
      </c>
    </row>
    <row r="274">
      <c r="A274" s="15">
        <f>IF(F274="","",ROW()-3)</f>
        <v/>
      </c>
      <c r="B274" s="5" t="n"/>
      <c r="C274" s="15" t="n"/>
      <c r="D274" s="5" t="n"/>
      <c r="E274" s="15" t="n"/>
      <c r="F274" s="5" t="n"/>
      <c r="G274" s="6" t="n"/>
      <c r="H274" s="16" t="n"/>
      <c r="I274" s="16" t="n"/>
      <c r="J274" s="15">
        <f>IF(AND(ISNUMBER(H274),ISNUMBER(I274)),I274-H274+1,"")</f>
        <v/>
      </c>
      <c r="K274" s="5" t="n"/>
      <c r="L274" s="5" t="n"/>
      <c r="M274" s="5" t="n"/>
      <c r="N274" s="5" t="n"/>
      <c r="O274" s="5" t="n"/>
      <c r="Q274" s="10">
        <f>IF(TRIM(G274&amp;"")="","",TRIM(G274&amp;""))</f>
        <v/>
      </c>
      <c r="R274" s="10">
        <f>IF(TRIM(B274&amp;"")="","",IFERROR(INDEX(설정_코드표!$K$2:$K$101,MATCH(TRIM(B274&amp;""),설정_코드표!$J$2:$J$101,0)),"⚠"&amp;TRIM(B274&amp;"")))</f>
        <v/>
      </c>
      <c r="S274" s="10">
        <f>IF(TRIM(K274&amp;"")="","",IFERROR(INDEX(설정_코드표!$K$2:$K$101,MATCH(TRIM(K274&amp;""),설정_코드표!$J$2:$J$101,0)),"⚠"&amp;TRIM(K274&amp;"")))</f>
        <v/>
      </c>
      <c r="T274" s="10">
        <f>IF(TRIM(M274&amp;"")="","",IF(ISNUMBER(MATCH(TRIM(M274&amp;""),설정_코드표!$C$2:$C$11,0)),TRIM(M274&amp;""),"⚠"&amp;TRIM(M274&amp;"")))</f>
        <v/>
      </c>
      <c r="U274" s="10">
        <f>IF(TRIM(L274&amp;"")="","",IFERROR(INDEX(설정_코드표!$G$2:$G$101,MATCH(TRIM(L274&amp;""),설정_코드표!$F$2:$F$101,0)),"⚠"&amp;TRIM(L274&amp;"")))</f>
        <v/>
      </c>
      <c r="V274" s="10">
        <f>IF(AND(ISNUMBER(H274),ISNUMBER(I274)),I274-H274+1,"")</f>
        <v/>
      </c>
      <c r="W274" s="17">
        <f>IF(ISNUMBER(H274),MAX(0,MIN(IF(ISNUMBER(I274),I274,EOMONTH(출력_요약!$B$3,0)),EOMONTH(출력_요약!$B$3,0))-MAX(H274,출력_요약!$B$3)+1),0)</f>
        <v/>
      </c>
      <c r="X274" s="10">
        <f>IF(OR(NOT(ISNUMBER(H274)),Q274=""),"",IF(TODAY()&lt;H274,"파견예정",IF(AND(ISNUMBER(I274),TODAY()&gt;I274),"파견종료","파견중")))</f>
        <v/>
      </c>
      <c r="Y274" s="10">
        <f>IF(OR(Q274="",X274=""),"",Q274&amp;"|"&amp;X274)</f>
        <v/>
      </c>
      <c r="Z274" s="10">
        <f>IF(AND(Q274&lt;&gt;"",W274&gt;0),Q274&amp;"|월","")</f>
        <v/>
      </c>
      <c r="AA274" s="10">
        <f>IF(COUNTA(B274:I274,K274:N274)=0,"",IF(Q274="","등록번호 없음",IF(LEFT(R274,1)="⚠","모병원명 미등록",IF(S274="","파견병원 입력",IF(LEFT(S274,1)="⚠","파견병원명 미등록",IF(LEFT(U274,1)="⚠","파견과목 미등록",IF(OR(T274="",LEFT(T274,1)="⚠"),"파견근거 확인",IF(NOT(AND(ISNUMBER(H274),ISNUMBER(I274))),"날짜 형식/누락",IF(I274&lt;H274,"종료일&lt;시작일","")))))))))</f>
        <v/>
      </c>
      <c r="AB274" s="11">
        <f>IF(ISNUMBER(SEARCH("다기관",TRIM(N274&amp;" "&amp;O274))),IFERROR(DATE(VALUE(MID(TRIM(N274&amp;" "&amp;O274),1,4)),VALUE(MID(TRIM(N274&amp;" "&amp;O274),6,2)),VALUE(MID(TRIM(N274&amp;" "&amp;O274),9,2))),IF(ISNUMBER(H274),H274,"")),"")</f>
        <v/>
      </c>
      <c r="AC274" s="11">
        <f>IF(ISNUMBER(SEARCH("다기관",TRIM(N274&amp;" "&amp;O274))),IFERROR(DATE(VALUE(MID(TRIM(N274&amp;" "&amp;O274),12,4)),VALUE(MID(TRIM(N274&amp;" "&amp;O274),17,2)),VALUE(MID(TRIM(N274&amp;" "&amp;O274),20,2))),IF(ISNUMBER(I274),I274,"")),"")</f>
        <v/>
      </c>
      <c r="AD274" s="17">
        <f>IF(AND(ISNUMBER(AB274),ISNUMBER(AC274)),MAX(0,MIN(AC274,EOMONTH(출력_요약!$B$3,0))-MAX(AB274,출력_요약!$B$3)+1),0)</f>
        <v/>
      </c>
      <c r="AE274" s="10">
        <f>IF(AND(Q274&lt;&gt;"",ISNUMBER(AB274)),Q274&amp;"|다기관","")</f>
        <v/>
      </c>
    </row>
    <row r="275">
      <c r="A275" s="15">
        <f>IF(F275="","",ROW()-3)</f>
        <v/>
      </c>
      <c r="B275" s="5" t="n"/>
      <c r="C275" s="15" t="n"/>
      <c r="D275" s="5" t="n"/>
      <c r="E275" s="15" t="n"/>
      <c r="F275" s="5" t="n"/>
      <c r="G275" s="6" t="n"/>
      <c r="H275" s="16" t="n"/>
      <c r="I275" s="16" t="n"/>
      <c r="J275" s="15">
        <f>IF(AND(ISNUMBER(H275),ISNUMBER(I275)),I275-H275+1,"")</f>
        <v/>
      </c>
      <c r="K275" s="5" t="n"/>
      <c r="L275" s="5" t="n"/>
      <c r="M275" s="5" t="n"/>
      <c r="N275" s="5" t="n"/>
      <c r="O275" s="5" t="n"/>
      <c r="Q275" s="10">
        <f>IF(TRIM(G275&amp;"")="","",TRIM(G275&amp;""))</f>
        <v/>
      </c>
      <c r="R275" s="10">
        <f>IF(TRIM(B275&amp;"")="","",IFERROR(INDEX(설정_코드표!$K$2:$K$101,MATCH(TRIM(B275&amp;""),설정_코드표!$J$2:$J$101,0)),"⚠"&amp;TRIM(B275&amp;"")))</f>
        <v/>
      </c>
      <c r="S275" s="10">
        <f>IF(TRIM(K275&amp;"")="","",IFERROR(INDEX(설정_코드표!$K$2:$K$101,MATCH(TRIM(K275&amp;""),설정_코드표!$J$2:$J$101,0)),"⚠"&amp;TRIM(K275&amp;"")))</f>
        <v/>
      </c>
      <c r="T275" s="10">
        <f>IF(TRIM(M275&amp;"")="","",IF(ISNUMBER(MATCH(TRIM(M275&amp;""),설정_코드표!$C$2:$C$11,0)),TRIM(M275&amp;""),"⚠"&amp;TRIM(M275&amp;"")))</f>
        <v/>
      </c>
      <c r="U275" s="10">
        <f>IF(TRIM(L275&amp;"")="","",IFERROR(INDEX(설정_코드표!$G$2:$G$101,MATCH(TRIM(L275&amp;""),설정_코드표!$F$2:$F$101,0)),"⚠"&amp;TRIM(L275&amp;"")))</f>
        <v/>
      </c>
      <c r="V275" s="10">
        <f>IF(AND(ISNUMBER(H275),ISNUMBER(I275)),I275-H275+1,"")</f>
        <v/>
      </c>
      <c r="W275" s="17">
        <f>IF(ISNUMBER(H275),MAX(0,MIN(IF(ISNUMBER(I275),I275,EOMONTH(출력_요약!$B$3,0)),EOMONTH(출력_요약!$B$3,0))-MAX(H275,출력_요약!$B$3)+1),0)</f>
        <v/>
      </c>
      <c r="X275" s="10">
        <f>IF(OR(NOT(ISNUMBER(H275)),Q275=""),"",IF(TODAY()&lt;H275,"파견예정",IF(AND(ISNUMBER(I275),TODAY()&gt;I275),"파견종료","파견중")))</f>
        <v/>
      </c>
      <c r="Y275" s="10">
        <f>IF(OR(Q275="",X275=""),"",Q275&amp;"|"&amp;X275)</f>
        <v/>
      </c>
      <c r="Z275" s="10">
        <f>IF(AND(Q275&lt;&gt;"",W275&gt;0),Q275&amp;"|월","")</f>
        <v/>
      </c>
      <c r="AA275" s="10">
        <f>IF(COUNTA(B275:I275,K275:N275)=0,"",IF(Q275="","등록번호 없음",IF(LEFT(R275,1)="⚠","모병원명 미등록",IF(S275="","파견병원 입력",IF(LEFT(S275,1)="⚠","파견병원명 미등록",IF(LEFT(U275,1)="⚠","파견과목 미등록",IF(OR(T275="",LEFT(T275,1)="⚠"),"파견근거 확인",IF(NOT(AND(ISNUMBER(H275),ISNUMBER(I275))),"날짜 형식/누락",IF(I275&lt;H275,"종료일&lt;시작일","")))))))))</f>
        <v/>
      </c>
      <c r="AB275" s="11">
        <f>IF(ISNUMBER(SEARCH("다기관",TRIM(N275&amp;" "&amp;O275))),IFERROR(DATE(VALUE(MID(TRIM(N275&amp;" "&amp;O275),1,4)),VALUE(MID(TRIM(N275&amp;" "&amp;O275),6,2)),VALUE(MID(TRIM(N275&amp;" "&amp;O275),9,2))),IF(ISNUMBER(H275),H275,"")),"")</f>
        <v/>
      </c>
      <c r="AC275" s="11">
        <f>IF(ISNUMBER(SEARCH("다기관",TRIM(N275&amp;" "&amp;O275))),IFERROR(DATE(VALUE(MID(TRIM(N275&amp;" "&amp;O275),12,4)),VALUE(MID(TRIM(N275&amp;" "&amp;O275),17,2)),VALUE(MID(TRIM(N275&amp;" "&amp;O275),20,2))),IF(ISNUMBER(I275),I275,"")),"")</f>
        <v/>
      </c>
      <c r="AD275" s="17">
        <f>IF(AND(ISNUMBER(AB275),ISNUMBER(AC275)),MAX(0,MIN(AC275,EOMONTH(출력_요약!$B$3,0))-MAX(AB275,출력_요약!$B$3)+1),0)</f>
        <v/>
      </c>
      <c r="AE275" s="10">
        <f>IF(AND(Q275&lt;&gt;"",ISNUMBER(AB275)),Q275&amp;"|다기관","")</f>
        <v/>
      </c>
    </row>
    <row r="276">
      <c r="A276" s="15">
        <f>IF(F276="","",ROW()-3)</f>
        <v/>
      </c>
      <c r="B276" s="5" t="n"/>
      <c r="C276" s="15" t="n"/>
      <c r="D276" s="5" t="n"/>
      <c r="E276" s="15" t="n"/>
      <c r="F276" s="5" t="n"/>
      <c r="G276" s="6" t="n"/>
      <c r="H276" s="16" t="n"/>
      <c r="I276" s="16" t="n"/>
      <c r="J276" s="15">
        <f>IF(AND(ISNUMBER(H276),ISNUMBER(I276)),I276-H276+1,"")</f>
        <v/>
      </c>
      <c r="K276" s="5" t="n"/>
      <c r="L276" s="5" t="n"/>
      <c r="M276" s="5" t="n"/>
      <c r="N276" s="5" t="n"/>
      <c r="O276" s="5" t="n"/>
      <c r="Q276" s="10">
        <f>IF(TRIM(G276&amp;"")="","",TRIM(G276&amp;""))</f>
        <v/>
      </c>
      <c r="R276" s="10">
        <f>IF(TRIM(B276&amp;"")="","",IFERROR(INDEX(설정_코드표!$K$2:$K$101,MATCH(TRIM(B276&amp;""),설정_코드표!$J$2:$J$101,0)),"⚠"&amp;TRIM(B276&amp;"")))</f>
        <v/>
      </c>
      <c r="S276" s="10">
        <f>IF(TRIM(K276&amp;"")="","",IFERROR(INDEX(설정_코드표!$K$2:$K$101,MATCH(TRIM(K276&amp;""),설정_코드표!$J$2:$J$101,0)),"⚠"&amp;TRIM(K276&amp;"")))</f>
        <v/>
      </c>
      <c r="T276" s="10">
        <f>IF(TRIM(M276&amp;"")="","",IF(ISNUMBER(MATCH(TRIM(M276&amp;""),설정_코드표!$C$2:$C$11,0)),TRIM(M276&amp;""),"⚠"&amp;TRIM(M276&amp;"")))</f>
        <v/>
      </c>
      <c r="U276" s="10">
        <f>IF(TRIM(L276&amp;"")="","",IFERROR(INDEX(설정_코드표!$G$2:$G$101,MATCH(TRIM(L276&amp;""),설정_코드표!$F$2:$F$101,0)),"⚠"&amp;TRIM(L276&amp;"")))</f>
        <v/>
      </c>
      <c r="V276" s="10">
        <f>IF(AND(ISNUMBER(H276),ISNUMBER(I276)),I276-H276+1,"")</f>
        <v/>
      </c>
      <c r="W276" s="17">
        <f>IF(ISNUMBER(H276),MAX(0,MIN(IF(ISNUMBER(I276),I276,EOMONTH(출력_요약!$B$3,0)),EOMONTH(출력_요약!$B$3,0))-MAX(H276,출력_요약!$B$3)+1),0)</f>
        <v/>
      </c>
      <c r="X276" s="10">
        <f>IF(OR(NOT(ISNUMBER(H276)),Q276=""),"",IF(TODAY()&lt;H276,"파견예정",IF(AND(ISNUMBER(I276),TODAY()&gt;I276),"파견종료","파견중")))</f>
        <v/>
      </c>
      <c r="Y276" s="10">
        <f>IF(OR(Q276="",X276=""),"",Q276&amp;"|"&amp;X276)</f>
        <v/>
      </c>
      <c r="Z276" s="10">
        <f>IF(AND(Q276&lt;&gt;"",W276&gt;0),Q276&amp;"|월","")</f>
        <v/>
      </c>
      <c r="AA276" s="10">
        <f>IF(COUNTA(B276:I276,K276:N276)=0,"",IF(Q276="","등록번호 없음",IF(LEFT(R276,1)="⚠","모병원명 미등록",IF(S276="","파견병원 입력",IF(LEFT(S276,1)="⚠","파견병원명 미등록",IF(LEFT(U276,1)="⚠","파견과목 미등록",IF(OR(T276="",LEFT(T276,1)="⚠"),"파견근거 확인",IF(NOT(AND(ISNUMBER(H276),ISNUMBER(I276))),"날짜 형식/누락",IF(I276&lt;H276,"종료일&lt;시작일","")))))))))</f>
        <v/>
      </c>
      <c r="AB276" s="11">
        <f>IF(ISNUMBER(SEARCH("다기관",TRIM(N276&amp;" "&amp;O276))),IFERROR(DATE(VALUE(MID(TRIM(N276&amp;" "&amp;O276),1,4)),VALUE(MID(TRIM(N276&amp;" "&amp;O276),6,2)),VALUE(MID(TRIM(N276&amp;" "&amp;O276),9,2))),IF(ISNUMBER(H276),H276,"")),"")</f>
        <v/>
      </c>
      <c r="AC276" s="11">
        <f>IF(ISNUMBER(SEARCH("다기관",TRIM(N276&amp;" "&amp;O276))),IFERROR(DATE(VALUE(MID(TRIM(N276&amp;" "&amp;O276),12,4)),VALUE(MID(TRIM(N276&amp;" "&amp;O276),17,2)),VALUE(MID(TRIM(N276&amp;" "&amp;O276),20,2))),IF(ISNUMBER(I276),I276,"")),"")</f>
        <v/>
      </c>
      <c r="AD276" s="17">
        <f>IF(AND(ISNUMBER(AB276),ISNUMBER(AC276)),MAX(0,MIN(AC276,EOMONTH(출력_요약!$B$3,0))-MAX(AB276,출력_요약!$B$3)+1),0)</f>
        <v/>
      </c>
      <c r="AE276" s="10">
        <f>IF(AND(Q276&lt;&gt;"",ISNUMBER(AB276)),Q276&amp;"|다기관","")</f>
        <v/>
      </c>
    </row>
    <row r="277">
      <c r="A277" s="15">
        <f>IF(F277="","",ROW()-3)</f>
        <v/>
      </c>
      <c r="B277" s="5" t="n"/>
      <c r="C277" s="15" t="n"/>
      <c r="D277" s="5" t="n"/>
      <c r="E277" s="15" t="n"/>
      <c r="F277" s="5" t="n"/>
      <c r="G277" s="6" t="n"/>
      <c r="H277" s="16" t="n"/>
      <c r="I277" s="16" t="n"/>
      <c r="J277" s="15">
        <f>IF(AND(ISNUMBER(H277),ISNUMBER(I277)),I277-H277+1,"")</f>
        <v/>
      </c>
      <c r="K277" s="5" t="n"/>
      <c r="L277" s="5" t="n"/>
      <c r="M277" s="5" t="n"/>
      <c r="N277" s="5" t="n"/>
      <c r="O277" s="5" t="n"/>
      <c r="Q277" s="10">
        <f>IF(TRIM(G277&amp;"")="","",TRIM(G277&amp;""))</f>
        <v/>
      </c>
      <c r="R277" s="10">
        <f>IF(TRIM(B277&amp;"")="","",IFERROR(INDEX(설정_코드표!$K$2:$K$101,MATCH(TRIM(B277&amp;""),설정_코드표!$J$2:$J$101,0)),"⚠"&amp;TRIM(B277&amp;"")))</f>
        <v/>
      </c>
      <c r="S277" s="10">
        <f>IF(TRIM(K277&amp;"")="","",IFERROR(INDEX(설정_코드표!$K$2:$K$101,MATCH(TRIM(K277&amp;""),설정_코드표!$J$2:$J$101,0)),"⚠"&amp;TRIM(K277&amp;"")))</f>
        <v/>
      </c>
      <c r="T277" s="10">
        <f>IF(TRIM(M277&amp;"")="","",IF(ISNUMBER(MATCH(TRIM(M277&amp;""),설정_코드표!$C$2:$C$11,0)),TRIM(M277&amp;""),"⚠"&amp;TRIM(M277&amp;"")))</f>
        <v/>
      </c>
      <c r="U277" s="10">
        <f>IF(TRIM(L277&amp;"")="","",IFERROR(INDEX(설정_코드표!$G$2:$G$101,MATCH(TRIM(L277&amp;""),설정_코드표!$F$2:$F$101,0)),"⚠"&amp;TRIM(L277&amp;"")))</f>
        <v/>
      </c>
      <c r="V277" s="10">
        <f>IF(AND(ISNUMBER(H277),ISNUMBER(I277)),I277-H277+1,"")</f>
        <v/>
      </c>
      <c r="W277" s="17">
        <f>IF(ISNUMBER(H277),MAX(0,MIN(IF(ISNUMBER(I277),I277,EOMONTH(출력_요약!$B$3,0)),EOMONTH(출력_요약!$B$3,0))-MAX(H277,출력_요약!$B$3)+1),0)</f>
        <v/>
      </c>
      <c r="X277" s="10">
        <f>IF(OR(NOT(ISNUMBER(H277)),Q277=""),"",IF(TODAY()&lt;H277,"파견예정",IF(AND(ISNUMBER(I277),TODAY()&gt;I277),"파견종료","파견중")))</f>
        <v/>
      </c>
      <c r="Y277" s="10">
        <f>IF(OR(Q277="",X277=""),"",Q277&amp;"|"&amp;X277)</f>
        <v/>
      </c>
      <c r="Z277" s="10">
        <f>IF(AND(Q277&lt;&gt;"",W277&gt;0),Q277&amp;"|월","")</f>
        <v/>
      </c>
      <c r="AA277" s="10">
        <f>IF(COUNTA(B277:I277,K277:N277)=0,"",IF(Q277="","등록번호 없음",IF(LEFT(R277,1)="⚠","모병원명 미등록",IF(S277="","파견병원 입력",IF(LEFT(S277,1)="⚠","파견병원명 미등록",IF(LEFT(U277,1)="⚠","파견과목 미등록",IF(OR(T277="",LEFT(T277,1)="⚠"),"파견근거 확인",IF(NOT(AND(ISNUMBER(H277),ISNUMBER(I277))),"날짜 형식/누락",IF(I277&lt;H277,"종료일&lt;시작일","")))))))))</f>
        <v/>
      </c>
      <c r="AB277" s="11">
        <f>IF(ISNUMBER(SEARCH("다기관",TRIM(N277&amp;" "&amp;O277))),IFERROR(DATE(VALUE(MID(TRIM(N277&amp;" "&amp;O277),1,4)),VALUE(MID(TRIM(N277&amp;" "&amp;O277),6,2)),VALUE(MID(TRIM(N277&amp;" "&amp;O277),9,2))),IF(ISNUMBER(H277),H277,"")),"")</f>
        <v/>
      </c>
      <c r="AC277" s="11">
        <f>IF(ISNUMBER(SEARCH("다기관",TRIM(N277&amp;" "&amp;O277))),IFERROR(DATE(VALUE(MID(TRIM(N277&amp;" "&amp;O277),12,4)),VALUE(MID(TRIM(N277&amp;" "&amp;O277),17,2)),VALUE(MID(TRIM(N277&amp;" "&amp;O277),20,2))),IF(ISNUMBER(I277),I277,"")),"")</f>
        <v/>
      </c>
      <c r="AD277" s="17">
        <f>IF(AND(ISNUMBER(AB277),ISNUMBER(AC277)),MAX(0,MIN(AC277,EOMONTH(출력_요약!$B$3,0))-MAX(AB277,출력_요약!$B$3)+1),0)</f>
        <v/>
      </c>
      <c r="AE277" s="10">
        <f>IF(AND(Q277&lt;&gt;"",ISNUMBER(AB277)),Q277&amp;"|다기관","")</f>
        <v/>
      </c>
    </row>
    <row r="278">
      <c r="A278" s="15">
        <f>IF(F278="","",ROW()-3)</f>
        <v/>
      </c>
      <c r="B278" s="5" t="n"/>
      <c r="C278" s="15" t="n"/>
      <c r="D278" s="5" t="n"/>
      <c r="E278" s="15" t="n"/>
      <c r="F278" s="5" t="n"/>
      <c r="G278" s="6" t="n"/>
      <c r="H278" s="16" t="n"/>
      <c r="I278" s="16" t="n"/>
      <c r="J278" s="15">
        <f>IF(AND(ISNUMBER(H278),ISNUMBER(I278)),I278-H278+1,"")</f>
        <v/>
      </c>
      <c r="K278" s="5" t="n"/>
      <c r="L278" s="5" t="n"/>
      <c r="M278" s="5" t="n"/>
      <c r="N278" s="5" t="n"/>
      <c r="O278" s="5" t="n"/>
      <c r="Q278" s="10">
        <f>IF(TRIM(G278&amp;"")="","",TRIM(G278&amp;""))</f>
        <v/>
      </c>
      <c r="R278" s="10">
        <f>IF(TRIM(B278&amp;"")="","",IFERROR(INDEX(설정_코드표!$K$2:$K$101,MATCH(TRIM(B278&amp;""),설정_코드표!$J$2:$J$101,0)),"⚠"&amp;TRIM(B278&amp;"")))</f>
        <v/>
      </c>
      <c r="S278" s="10">
        <f>IF(TRIM(K278&amp;"")="","",IFERROR(INDEX(설정_코드표!$K$2:$K$101,MATCH(TRIM(K278&amp;""),설정_코드표!$J$2:$J$101,0)),"⚠"&amp;TRIM(K278&amp;"")))</f>
        <v/>
      </c>
      <c r="T278" s="10">
        <f>IF(TRIM(M278&amp;"")="","",IF(ISNUMBER(MATCH(TRIM(M278&amp;""),설정_코드표!$C$2:$C$11,0)),TRIM(M278&amp;""),"⚠"&amp;TRIM(M278&amp;"")))</f>
        <v/>
      </c>
      <c r="U278" s="10">
        <f>IF(TRIM(L278&amp;"")="","",IFERROR(INDEX(설정_코드표!$G$2:$G$101,MATCH(TRIM(L278&amp;""),설정_코드표!$F$2:$F$101,0)),"⚠"&amp;TRIM(L278&amp;"")))</f>
        <v/>
      </c>
      <c r="V278" s="10">
        <f>IF(AND(ISNUMBER(H278),ISNUMBER(I278)),I278-H278+1,"")</f>
        <v/>
      </c>
      <c r="W278" s="17">
        <f>IF(ISNUMBER(H278),MAX(0,MIN(IF(ISNUMBER(I278),I278,EOMONTH(출력_요약!$B$3,0)),EOMONTH(출력_요약!$B$3,0))-MAX(H278,출력_요약!$B$3)+1),0)</f>
        <v/>
      </c>
      <c r="X278" s="10">
        <f>IF(OR(NOT(ISNUMBER(H278)),Q278=""),"",IF(TODAY()&lt;H278,"파견예정",IF(AND(ISNUMBER(I278),TODAY()&gt;I278),"파견종료","파견중")))</f>
        <v/>
      </c>
      <c r="Y278" s="10">
        <f>IF(OR(Q278="",X278=""),"",Q278&amp;"|"&amp;X278)</f>
        <v/>
      </c>
      <c r="Z278" s="10">
        <f>IF(AND(Q278&lt;&gt;"",W278&gt;0),Q278&amp;"|월","")</f>
        <v/>
      </c>
      <c r="AA278" s="10">
        <f>IF(COUNTA(B278:I278,K278:N278)=0,"",IF(Q278="","등록번호 없음",IF(LEFT(R278,1)="⚠","모병원명 미등록",IF(S278="","파견병원 입력",IF(LEFT(S278,1)="⚠","파견병원명 미등록",IF(LEFT(U278,1)="⚠","파견과목 미등록",IF(OR(T278="",LEFT(T278,1)="⚠"),"파견근거 확인",IF(NOT(AND(ISNUMBER(H278),ISNUMBER(I278))),"날짜 형식/누락",IF(I278&lt;H278,"종료일&lt;시작일","")))))))))</f>
        <v/>
      </c>
      <c r="AB278" s="11">
        <f>IF(ISNUMBER(SEARCH("다기관",TRIM(N278&amp;" "&amp;O278))),IFERROR(DATE(VALUE(MID(TRIM(N278&amp;" "&amp;O278),1,4)),VALUE(MID(TRIM(N278&amp;" "&amp;O278),6,2)),VALUE(MID(TRIM(N278&amp;" "&amp;O278),9,2))),IF(ISNUMBER(H278),H278,"")),"")</f>
        <v/>
      </c>
      <c r="AC278" s="11">
        <f>IF(ISNUMBER(SEARCH("다기관",TRIM(N278&amp;" "&amp;O278))),IFERROR(DATE(VALUE(MID(TRIM(N278&amp;" "&amp;O278),12,4)),VALUE(MID(TRIM(N278&amp;" "&amp;O278),17,2)),VALUE(MID(TRIM(N278&amp;" "&amp;O278),20,2))),IF(ISNUMBER(I278),I278,"")),"")</f>
        <v/>
      </c>
      <c r="AD278" s="17">
        <f>IF(AND(ISNUMBER(AB278),ISNUMBER(AC278)),MAX(0,MIN(AC278,EOMONTH(출력_요약!$B$3,0))-MAX(AB278,출력_요약!$B$3)+1),0)</f>
        <v/>
      </c>
      <c r="AE278" s="10">
        <f>IF(AND(Q278&lt;&gt;"",ISNUMBER(AB278)),Q278&amp;"|다기관","")</f>
        <v/>
      </c>
    </row>
    <row r="279">
      <c r="A279" s="15">
        <f>IF(F279="","",ROW()-3)</f>
        <v/>
      </c>
      <c r="B279" s="5" t="n"/>
      <c r="C279" s="15" t="n"/>
      <c r="D279" s="5" t="n"/>
      <c r="E279" s="15" t="n"/>
      <c r="F279" s="5" t="n"/>
      <c r="G279" s="6" t="n"/>
      <c r="H279" s="16" t="n"/>
      <c r="I279" s="16" t="n"/>
      <c r="J279" s="15">
        <f>IF(AND(ISNUMBER(H279),ISNUMBER(I279)),I279-H279+1,"")</f>
        <v/>
      </c>
      <c r="K279" s="5" t="n"/>
      <c r="L279" s="5" t="n"/>
      <c r="M279" s="5" t="n"/>
      <c r="N279" s="5" t="n"/>
      <c r="O279" s="5" t="n"/>
      <c r="Q279" s="10">
        <f>IF(TRIM(G279&amp;"")="","",TRIM(G279&amp;""))</f>
        <v/>
      </c>
      <c r="R279" s="10">
        <f>IF(TRIM(B279&amp;"")="","",IFERROR(INDEX(설정_코드표!$K$2:$K$101,MATCH(TRIM(B279&amp;""),설정_코드표!$J$2:$J$101,0)),"⚠"&amp;TRIM(B279&amp;"")))</f>
        <v/>
      </c>
      <c r="S279" s="10">
        <f>IF(TRIM(K279&amp;"")="","",IFERROR(INDEX(설정_코드표!$K$2:$K$101,MATCH(TRIM(K279&amp;""),설정_코드표!$J$2:$J$101,0)),"⚠"&amp;TRIM(K279&amp;"")))</f>
        <v/>
      </c>
      <c r="T279" s="10">
        <f>IF(TRIM(M279&amp;"")="","",IF(ISNUMBER(MATCH(TRIM(M279&amp;""),설정_코드표!$C$2:$C$11,0)),TRIM(M279&amp;""),"⚠"&amp;TRIM(M279&amp;"")))</f>
        <v/>
      </c>
      <c r="U279" s="10">
        <f>IF(TRIM(L279&amp;"")="","",IFERROR(INDEX(설정_코드표!$G$2:$G$101,MATCH(TRIM(L279&amp;""),설정_코드표!$F$2:$F$101,0)),"⚠"&amp;TRIM(L279&amp;"")))</f>
        <v/>
      </c>
      <c r="V279" s="10">
        <f>IF(AND(ISNUMBER(H279),ISNUMBER(I279)),I279-H279+1,"")</f>
        <v/>
      </c>
      <c r="W279" s="17">
        <f>IF(ISNUMBER(H279),MAX(0,MIN(IF(ISNUMBER(I279),I279,EOMONTH(출력_요약!$B$3,0)),EOMONTH(출력_요약!$B$3,0))-MAX(H279,출력_요약!$B$3)+1),0)</f>
        <v/>
      </c>
      <c r="X279" s="10">
        <f>IF(OR(NOT(ISNUMBER(H279)),Q279=""),"",IF(TODAY()&lt;H279,"파견예정",IF(AND(ISNUMBER(I279),TODAY()&gt;I279),"파견종료","파견중")))</f>
        <v/>
      </c>
      <c r="Y279" s="10">
        <f>IF(OR(Q279="",X279=""),"",Q279&amp;"|"&amp;X279)</f>
        <v/>
      </c>
      <c r="Z279" s="10">
        <f>IF(AND(Q279&lt;&gt;"",W279&gt;0),Q279&amp;"|월","")</f>
        <v/>
      </c>
      <c r="AA279" s="10">
        <f>IF(COUNTA(B279:I279,K279:N279)=0,"",IF(Q279="","등록번호 없음",IF(LEFT(R279,1)="⚠","모병원명 미등록",IF(S279="","파견병원 입력",IF(LEFT(S279,1)="⚠","파견병원명 미등록",IF(LEFT(U279,1)="⚠","파견과목 미등록",IF(OR(T279="",LEFT(T279,1)="⚠"),"파견근거 확인",IF(NOT(AND(ISNUMBER(H279),ISNUMBER(I279))),"날짜 형식/누락",IF(I279&lt;H279,"종료일&lt;시작일","")))))))))</f>
        <v/>
      </c>
      <c r="AB279" s="11">
        <f>IF(ISNUMBER(SEARCH("다기관",TRIM(N279&amp;" "&amp;O279))),IFERROR(DATE(VALUE(MID(TRIM(N279&amp;" "&amp;O279),1,4)),VALUE(MID(TRIM(N279&amp;" "&amp;O279),6,2)),VALUE(MID(TRIM(N279&amp;" "&amp;O279),9,2))),IF(ISNUMBER(H279),H279,"")),"")</f>
        <v/>
      </c>
      <c r="AC279" s="11">
        <f>IF(ISNUMBER(SEARCH("다기관",TRIM(N279&amp;" "&amp;O279))),IFERROR(DATE(VALUE(MID(TRIM(N279&amp;" "&amp;O279),12,4)),VALUE(MID(TRIM(N279&amp;" "&amp;O279),17,2)),VALUE(MID(TRIM(N279&amp;" "&amp;O279),20,2))),IF(ISNUMBER(I279),I279,"")),"")</f>
        <v/>
      </c>
      <c r="AD279" s="17">
        <f>IF(AND(ISNUMBER(AB279),ISNUMBER(AC279)),MAX(0,MIN(AC279,EOMONTH(출력_요약!$B$3,0))-MAX(AB279,출력_요약!$B$3)+1),0)</f>
        <v/>
      </c>
      <c r="AE279" s="10">
        <f>IF(AND(Q279&lt;&gt;"",ISNUMBER(AB279)),Q279&amp;"|다기관","")</f>
        <v/>
      </c>
    </row>
    <row r="280">
      <c r="A280" s="15">
        <f>IF(F280="","",ROW()-3)</f>
        <v/>
      </c>
      <c r="B280" s="5" t="n"/>
      <c r="C280" s="15" t="n"/>
      <c r="D280" s="5" t="n"/>
      <c r="E280" s="15" t="n"/>
      <c r="F280" s="5" t="n"/>
      <c r="G280" s="6" t="n"/>
      <c r="H280" s="16" t="n"/>
      <c r="I280" s="16" t="n"/>
      <c r="J280" s="15">
        <f>IF(AND(ISNUMBER(H280),ISNUMBER(I280)),I280-H280+1,"")</f>
        <v/>
      </c>
      <c r="K280" s="5" t="n"/>
      <c r="L280" s="5" t="n"/>
      <c r="M280" s="5" t="n"/>
      <c r="N280" s="5" t="n"/>
      <c r="O280" s="5" t="n"/>
      <c r="Q280" s="10">
        <f>IF(TRIM(G280&amp;"")="","",TRIM(G280&amp;""))</f>
        <v/>
      </c>
      <c r="R280" s="10">
        <f>IF(TRIM(B280&amp;"")="","",IFERROR(INDEX(설정_코드표!$K$2:$K$101,MATCH(TRIM(B280&amp;""),설정_코드표!$J$2:$J$101,0)),"⚠"&amp;TRIM(B280&amp;"")))</f>
        <v/>
      </c>
      <c r="S280" s="10">
        <f>IF(TRIM(K280&amp;"")="","",IFERROR(INDEX(설정_코드표!$K$2:$K$101,MATCH(TRIM(K280&amp;""),설정_코드표!$J$2:$J$101,0)),"⚠"&amp;TRIM(K280&amp;"")))</f>
        <v/>
      </c>
      <c r="T280" s="10">
        <f>IF(TRIM(M280&amp;"")="","",IF(ISNUMBER(MATCH(TRIM(M280&amp;""),설정_코드표!$C$2:$C$11,0)),TRIM(M280&amp;""),"⚠"&amp;TRIM(M280&amp;"")))</f>
        <v/>
      </c>
      <c r="U280" s="10">
        <f>IF(TRIM(L280&amp;"")="","",IFERROR(INDEX(설정_코드표!$G$2:$G$101,MATCH(TRIM(L280&amp;""),설정_코드표!$F$2:$F$101,0)),"⚠"&amp;TRIM(L280&amp;"")))</f>
        <v/>
      </c>
      <c r="V280" s="10">
        <f>IF(AND(ISNUMBER(H280),ISNUMBER(I280)),I280-H280+1,"")</f>
        <v/>
      </c>
      <c r="W280" s="17">
        <f>IF(ISNUMBER(H280),MAX(0,MIN(IF(ISNUMBER(I280),I280,EOMONTH(출력_요약!$B$3,0)),EOMONTH(출력_요약!$B$3,0))-MAX(H280,출력_요약!$B$3)+1),0)</f>
        <v/>
      </c>
      <c r="X280" s="10">
        <f>IF(OR(NOT(ISNUMBER(H280)),Q280=""),"",IF(TODAY()&lt;H280,"파견예정",IF(AND(ISNUMBER(I280),TODAY()&gt;I280),"파견종료","파견중")))</f>
        <v/>
      </c>
      <c r="Y280" s="10">
        <f>IF(OR(Q280="",X280=""),"",Q280&amp;"|"&amp;X280)</f>
        <v/>
      </c>
      <c r="Z280" s="10">
        <f>IF(AND(Q280&lt;&gt;"",W280&gt;0),Q280&amp;"|월","")</f>
        <v/>
      </c>
      <c r="AA280" s="10">
        <f>IF(COUNTA(B280:I280,K280:N280)=0,"",IF(Q280="","등록번호 없음",IF(LEFT(R280,1)="⚠","모병원명 미등록",IF(S280="","파견병원 입력",IF(LEFT(S280,1)="⚠","파견병원명 미등록",IF(LEFT(U280,1)="⚠","파견과목 미등록",IF(OR(T280="",LEFT(T280,1)="⚠"),"파견근거 확인",IF(NOT(AND(ISNUMBER(H280),ISNUMBER(I280))),"날짜 형식/누락",IF(I280&lt;H280,"종료일&lt;시작일","")))))))))</f>
        <v/>
      </c>
      <c r="AB280" s="11">
        <f>IF(ISNUMBER(SEARCH("다기관",TRIM(N280&amp;" "&amp;O280))),IFERROR(DATE(VALUE(MID(TRIM(N280&amp;" "&amp;O280),1,4)),VALUE(MID(TRIM(N280&amp;" "&amp;O280),6,2)),VALUE(MID(TRIM(N280&amp;" "&amp;O280),9,2))),IF(ISNUMBER(H280),H280,"")),"")</f>
        <v/>
      </c>
      <c r="AC280" s="11">
        <f>IF(ISNUMBER(SEARCH("다기관",TRIM(N280&amp;" "&amp;O280))),IFERROR(DATE(VALUE(MID(TRIM(N280&amp;" "&amp;O280),12,4)),VALUE(MID(TRIM(N280&amp;" "&amp;O280),17,2)),VALUE(MID(TRIM(N280&amp;" "&amp;O280),20,2))),IF(ISNUMBER(I280),I280,"")),"")</f>
        <v/>
      </c>
      <c r="AD280" s="17">
        <f>IF(AND(ISNUMBER(AB280),ISNUMBER(AC280)),MAX(0,MIN(AC280,EOMONTH(출력_요약!$B$3,0))-MAX(AB280,출력_요약!$B$3)+1),0)</f>
        <v/>
      </c>
      <c r="AE280" s="10">
        <f>IF(AND(Q280&lt;&gt;"",ISNUMBER(AB280)),Q280&amp;"|다기관","")</f>
        <v/>
      </c>
    </row>
    <row r="281">
      <c r="A281" s="15">
        <f>IF(F281="","",ROW()-3)</f>
        <v/>
      </c>
      <c r="B281" s="5" t="n"/>
      <c r="C281" s="15" t="n"/>
      <c r="D281" s="5" t="n"/>
      <c r="E281" s="15" t="n"/>
      <c r="F281" s="5" t="n"/>
      <c r="G281" s="6" t="n"/>
      <c r="H281" s="16" t="n"/>
      <c r="I281" s="16" t="n"/>
      <c r="J281" s="15">
        <f>IF(AND(ISNUMBER(H281),ISNUMBER(I281)),I281-H281+1,"")</f>
        <v/>
      </c>
      <c r="K281" s="5" t="n"/>
      <c r="L281" s="5" t="n"/>
      <c r="M281" s="5" t="n"/>
      <c r="N281" s="5" t="n"/>
      <c r="O281" s="5" t="n"/>
      <c r="Q281" s="10">
        <f>IF(TRIM(G281&amp;"")="","",TRIM(G281&amp;""))</f>
        <v/>
      </c>
      <c r="R281" s="10">
        <f>IF(TRIM(B281&amp;"")="","",IFERROR(INDEX(설정_코드표!$K$2:$K$101,MATCH(TRIM(B281&amp;""),설정_코드표!$J$2:$J$101,0)),"⚠"&amp;TRIM(B281&amp;"")))</f>
        <v/>
      </c>
      <c r="S281" s="10">
        <f>IF(TRIM(K281&amp;"")="","",IFERROR(INDEX(설정_코드표!$K$2:$K$101,MATCH(TRIM(K281&amp;""),설정_코드표!$J$2:$J$101,0)),"⚠"&amp;TRIM(K281&amp;"")))</f>
        <v/>
      </c>
      <c r="T281" s="10">
        <f>IF(TRIM(M281&amp;"")="","",IF(ISNUMBER(MATCH(TRIM(M281&amp;""),설정_코드표!$C$2:$C$11,0)),TRIM(M281&amp;""),"⚠"&amp;TRIM(M281&amp;"")))</f>
        <v/>
      </c>
      <c r="U281" s="10">
        <f>IF(TRIM(L281&amp;"")="","",IFERROR(INDEX(설정_코드표!$G$2:$G$101,MATCH(TRIM(L281&amp;""),설정_코드표!$F$2:$F$101,0)),"⚠"&amp;TRIM(L281&amp;"")))</f>
        <v/>
      </c>
      <c r="V281" s="10">
        <f>IF(AND(ISNUMBER(H281),ISNUMBER(I281)),I281-H281+1,"")</f>
        <v/>
      </c>
      <c r="W281" s="17">
        <f>IF(ISNUMBER(H281),MAX(0,MIN(IF(ISNUMBER(I281),I281,EOMONTH(출력_요약!$B$3,0)),EOMONTH(출력_요약!$B$3,0))-MAX(H281,출력_요약!$B$3)+1),0)</f>
        <v/>
      </c>
      <c r="X281" s="10">
        <f>IF(OR(NOT(ISNUMBER(H281)),Q281=""),"",IF(TODAY()&lt;H281,"파견예정",IF(AND(ISNUMBER(I281),TODAY()&gt;I281),"파견종료","파견중")))</f>
        <v/>
      </c>
      <c r="Y281" s="10">
        <f>IF(OR(Q281="",X281=""),"",Q281&amp;"|"&amp;X281)</f>
        <v/>
      </c>
      <c r="Z281" s="10">
        <f>IF(AND(Q281&lt;&gt;"",W281&gt;0),Q281&amp;"|월","")</f>
        <v/>
      </c>
      <c r="AA281" s="10">
        <f>IF(COUNTA(B281:I281,K281:N281)=0,"",IF(Q281="","등록번호 없음",IF(LEFT(R281,1)="⚠","모병원명 미등록",IF(S281="","파견병원 입력",IF(LEFT(S281,1)="⚠","파견병원명 미등록",IF(LEFT(U281,1)="⚠","파견과목 미등록",IF(OR(T281="",LEFT(T281,1)="⚠"),"파견근거 확인",IF(NOT(AND(ISNUMBER(H281),ISNUMBER(I281))),"날짜 형식/누락",IF(I281&lt;H281,"종료일&lt;시작일","")))))))))</f>
        <v/>
      </c>
      <c r="AB281" s="11">
        <f>IF(ISNUMBER(SEARCH("다기관",TRIM(N281&amp;" "&amp;O281))),IFERROR(DATE(VALUE(MID(TRIM(N281&amp;" "&amp;O281),1,4)),VALUE(MID(TRIM(N281&amp;" "&amp;O281),6,2)),VALUE(MID(TRIM(N281&amp;" "&amp;O281),9,2))),IF(ISNUMBER(H281),H281,"")),"")</f>
        <v/>
      </c>
      <c r="AC281" s="11">
        <f>IF(ISNUMBER(SEARCH("다기관",TRIM(N281&amp;" "&amp;O281))),IFERROR(DATE(VALUE(MID(TRIM(N281&amp;" "&amp;O281),12,4)),VALUE(MID(TRIM(N281&amp;" "&amp;O281),17,2)),VALUE(MID(TRIM(N281&amp;" "&amp;O281),20,2))),IF(ISNUMBER(I281),I281,"")),"")</f>
        <v/>
      </c>
      <c r="AD281" s="17">
        <f>IF(AND(ISNUMBER(AB281),ISNUMBER(AC281)),MAX(0,MIN(AC281,EOMONTH(출력_요약!$B$3,0))-MAX(AB281,출력_요약!$B$3)+1),0)</f>
        <v/>
      </c>
      <c r="AE281" s="10">
        <f>IF(AND(Q281&lt;&gt;"",ISNUMBER(AB281)),Q281&amp;"|다기관","")</f>
        <v/>
      </c>
    </row>
    <row r="282">
      <c r="A282" s="15">
        <f>IF(F282="","",ROW()-3)</f>
        <v/>
      </c>
      <c r="B282" s="5" t="n"/>
      <c r="C282" s="15" t="n"/>
      <c r="D282" s="5" t="n"/>
      <c r="E282" s="15" t="n"/>
      <c r="F282" s="5" t="n"/>
      <c r="G282" s="6" t="n"/>
      <c r="H282" s="16" t="n"/>
      <c r="I282" s="16" t="n"/>
      <c r="J282" s="15">
        <f>IF(AND(ISNUMBER(H282),ISNUMBER(I282)),I282-H282+1,"")</f>
        <v/>
      </c>
      <c r="K282" s="5" t="n"/>
      <c r="L282" s="5" t="n"/>
      <c r="M282" s="5" t="n"/>
      <c r="N282" s="5" t="n"/>
      <c r="O282" s="5" t="n"/>
      <c r="Q282" s="10">
        <f>IF(TRIM(G282&amp;"")="","",TRIM(G282&amp;""))</f>
        <v/>
      </c>
      <c r="R282" s="10">
        <f>IF(TRIM(B282&amp;"")="","",IFERROR(INDEX(설정_코드표!$K$2:$K$101,MATCH(TRIM(B282&amp;""),설정_코드표!$J$2:$J$101,0)),"⚠"&amp;TRIM(B282&amp;"")))</f>
        <v/>
      </c>
      <c r="S282" s="10">
        <f>IF(TRIM(K282&amp;"")="","",IFERROR(INDEX(설정_코드표!$K$2:$K$101,MATCH(TRIM(K282&amp;""),설정_코드표!$J$2:$J$101,0)),"⚠"&amp;TRIM(K282&amp;"")))</f>
        <v/>
      </c>
      <c r="T282" s="10">
        <f>IF(TRIM(M282&amp;"")="","",IF(ISNUMBER(MATCH(TRIM(M282&amp;""),설정_코드표!$C$2:$C$11,0)),TRIM(M282&amp;""),"⚠"&amp;TRIM(M282&amp;"")))</f>
        <v/>
      </c>
      <c r="U282" s="10">
        <f>IF(TRIM(L282&amp;"")="","",IFERROR(INDEX(설정_코드표!$G$2:$G$101,MATCH(TRIM(L282&amp;""),설정_코드표!$F$2:$F$101,0)),"⚠"&amp;TRIM(L282&amp;"")))</f>
        <v/>
      </c>
      <c r="V282" s="10">
        <f>IF(AND(ISNUMBER(H282),ISNUMBER(I282)),I282-H282+1,"")</f>
        <v/>
      </c>
      <c r="W282" s="17">
        <f>IF(ISNUMBER(H282),MAX(0,MIN(IF(ISNUMBER(I282),I282,EOMONTH(출력_요약!$B$3,0)),EOMONTH(출력_요약!$B$3,0))-MAX(H282,출력_요약!$B$3)+1),0)</f>
        <v/>
      </c>
      <c r="X282" s="10">
        <f>IF(OR(NOT(ISNUMBER(H282)),Q282=""),"",IF(TODAY()&lt;H282,"파견예정",IF(AND(ISNUMBER(I282),TODAY()&gt;I282),"파견종료","파견중")))</f>
        <v/>
      </c>
      <c r="Y282" s="10">
        <f>IF(OR(Q282="",X282=""),"",Q282&amp;"|"&amp;X282)</f>
        <v/>
      </c>
      <c r="Z282" s="10">
        <f>IF(AND(Q282&lt;&gt;"",W282&gt;0),Q282&amp;"|월","")</f>
        <v/>
      </c>
      <c r="AA282" s="10">
        <f>IF(COUNTA(B282:I282,K282:N282)=0,"",IF(Q282="","등록번호 없음",IF(LEFT(R282,1)="⚠","모병원명 미등록",IF(S282="","파견병원 입력",IF(LEFT(S282,1)="⚠","파견병원명 미등록",IF(LEFT(U282,1)="⚠","파견과목 미등록",IF(OR(T282="",LEFT(T282,1)="⚠"),"파견근거 확인",IF(NOT(AND(ISNUMBER(H282),ISNUMBER(I282))),"날짜 형식/누락",IF(I282&lt;H282,"종료일&lt;시작일","")))))))))</f>
        <v/>
      </c>
      <c r="AB282" s="11">
        <f>IF(ISNUMBER(SEARCH("다기관",TRIM(N282&amp;" "&amp;O282))),IFERROR(DATE(VALUE(MID(TRIM(N282&amp;" "&amp;O282),1,4)),VALUE(MID(TRIM(N282&amp;" "&amp;O282),6,2)),VALUE(MID(TRIM(N282&amp;" "&amp;O282),9,2))),IF(ISNUMBER(H282),H282,"")),"")</f>
        <v/>
      </c>
      <c r="AC282" s="11">
        <f>IF(ISNUMBER(SEARCH("다기관",TRIM(N282&amp;" "&amp;O282))),IFERROR(DATE(VALUE(MID(TRIM(N282&amp;" "&amp;O282),12,4)),VALUE(MID(TRIM(N282&amp;" "&amp;O282),17,2)),VALUE(MID(TRIM(N282&amp;" "&amp;O282),20,2))),IF(ISNUMBER(I282),I282,"")),"")</f>
        <v/>
      </c>
      <c r="AD282" s="17">
        <f>IF(AND(ISNUMBER(AB282),ISNUMBER(AC282)),MAX(0,MIN(AC282,EOMONTH(출력_요약!$B$3,0))-MAX(AB282,출력_요약!$B$3)+1),0)</f>
        <v/>
      </c>
      <c r="AE282" s="10">
        <f>IF(AND(Q282&lt;&gt;"",ISNUMBER(AB282)),Q282&amp;"|다기관","")</f>
        <v/>
      </c>
    </row>
    <row r="283">
      <c r="A283" s="15">
        <f>IF(F283="","",ROW()-3)</f>
        <v/>
      </c>
      <c r="B283" s="5" t="n"/>
      <c r="C283" s="15" t="n"/>
      <c r="D283" s="5" t="n"/>
      <c r="E283" s="15" t="n"/>
      <c r="F283" s="5" t="n"/>
      <c r="G283" s="6" t="n"/>
      <c r="H283" s="16" t="n"/>
      <c r="I283" s="16" t="n"/>
      <c r="J283" s="15">
        <f>IF(AND(ISNUMBER(H283),ISNUMBER(I283)),I283-H283+1,"")</f>
        <v/>
      </c>
      <c r="K283" s="5" t="n"/>
      <c r="L283" s="5" t="n"/>
      <c r="M283" s="5" t="n"/>
      <c r="N283" s="5" t="n"/>
      <c r="O283" s="5" t="n"/>
      <c r="Q283" s="10">
        <f>IF(TRIM(G283&amp;"")="","",TRIM(G283&amp;""))</f>
        <v/>
      </c>
      <c r="R283" s="10">
        <f>IF(TRIM(B283&amp;"")="","",IFERROR(INDEX(설정_코드표!$K$2:$K$101,MATCH(TRIM(B283&amp;""),설정_코드표!$J$2:$J$101,0)),"⚠"&amp;TRIM(B283&amp;"")))</f>
        <v/>
      </c>
      <c r="S283" s="10">
        <f>IF(TRIM(K283&amp;"")="","",IFERROR(INDEX(설정_코드표!$K$2:$K$101,MATCH(TRIM(K283&amp;""),설정_코드표!$J$2:$J$101,0)),"⚠"&amp;TRIM(K283&amp;"")))</f>
        <v/>
      </c>
      <c r="T283" s="10">
        <f>IF(TRIM(M283&amp;"")="","",IF(ISNUMBER(MATCH(TRIM(M283&amp;""),설정_코드표!$C$2:$C$11,0)),TRIM(M283&amp;""),"⚠"&amp;TRIM(M283&amp;"")))</f>
        <v/>
      </c>
      <c r="U283" s="10">
        <f>IF(TRIM(L283&amp;"")="","",IFERROR(INDEX(설정_코드표!$G$2:$G$101,MATCH(TRIM(L283&amp;""),설정_코드표!$F$2:$F$101,0)),"⚠"&amp;TRIM(L283&amp;"")))</f>
        <v/>
      </c>
      <c r="V283" s="10">
        <f>IF(AND(ISNUMBER(H283),ISNUMBER(I283)),I283-H283+1,"")</f>
        <v/>
      </c>
      <c r="W283" s="17">
        <f>IF(ISNUMBER(H283),MAX(0,MIN(IF(ISNUMBER(I283),I283,EOMONTH(출력_요약!$B$3,0)),EOMONTH(출력_요약!$B$3,0))-MAX(H283,출력_요약!$B$3)+1),0)</f>
        <v/>
      </c>
      <c r="X283" s="10">
        <f>IF(OR(NOT(ISNUMBER(H283)),Q283=""),"",IF(TODAY()&lt;H283,"파견예정",IF(AND(ISNUMBER(I283),TODAY()&gt;I283),"파견종료","파견중")))</f>
        <v/>
      </c>
      <c r="Y283" s="10">
        <f>IF(OR(Q283="",X283=""),"",Q283&amp;"|"&amp;X283)</f>
        <v/>
      </c>
      <c r="Z283" s="10">
        <f>IF(AND(Q283&lt;&gt;"",W283&gt;0),Q283&amp;"|월","")</f>
        <v/>
      </c>
      <c r="AA283" s="10">
        <f>IF(COUNTA(B283:I283,K283:N283)=0,"",IF(Q283="","등록번호 없음",IF(LEFT(R283,1)="⚠","모병원명 미등록",IF(S283="","파견병원 입력",IF(LEFT(S283,1)="⚠","파견병원명 미등록",IF(LEFT(U283,1)="⚠","파견과목 미등록",IF(OR(T283="",LEFT(T283,1)="⚠"),"파견근거 확인",IF(NOT(AND(ISNUMBER(H283),ISNUMBER(I283))),"날짜 형식/누락",IF(I283&lt;H283,"종료일&lt;시작일","")))))))))</f>
        <v/>
      </c>
      <c r="AB283" s="11">
        <f>IF(ISNUMBER(SEARCH("다기관",TRIM(N283&amp;" "&amp;O283))),IFERROR(DATE(VALUE(MID(TRIM(N283&amp;" "&amp;O283),1,4)),VALUE(MID(TRIM(N283&amp;" "&amp;O283),6,2)),VALUE(MID(TRIM(N283&amp;" "&amp;O283),9,2))),IF(ISNUMBER(H283),H283,"")),"")</f>
        <v/>
      </c>
      <c r="AC283" s="11">
        <f>IF(ISNUMBER(SEARCH("다기관",TRIM(N283&amp;" "&amp;O283))),IFERROR(DATE(VALUE(MID(TRIM(N283&amp;" "&amp;O283),12,4)),VALUE(MID(TRIM(N283&amp;" "&amp;O283),17,2)),VALUE(MID(TRIM(N283&amp;" "&amp;O283),20,2))),IF(ISNUMBER(I283),I283,"")),"")</f>
        <v/>
      </c>
      <c r="AD283" s="17">
        <f>IF(AND(ISNUMBER(AB283),ISNUMBER(AC283)),MAX(0,MIN(AC283,EOMONTH(출력_요약!$B$3,0))-MAX(AB283,출력_요약!$B$3)+1),0)</f>
        <v/>
      </c>
      <c r="AE283" s="10">
        <f>IF(AND(Q283&lt;&gt;"",ISNUMBER(AB283)),Q283&amp;"|다기관","")</f>
        <v/>
      </c>
    </row>
    <row r="284">
      <c r="A284" s="15">
        <f>IF(F284="","",ROW()-3)</f>
        <v/>
      </c>
      <c r="B284" s="5" t="n"/>
      <c r="C284" s="15" t="n"/>
      <c r="D284" s="5" t="n"/>
      <c r="E284" s="15" t="n"/>
      <c r="F284" s="5" t="n"/>
      <c r="G284" s="6" t="n"/>
      <c r="H284" s="16" t="n"/>
      <c r="I284" s="16" t="n"/>
      <c r="J284" s="15">
        <f>IF(AND(ISNUMBER(H284),ISNUMBER(I284)),I284-H284+1,"")</f>
        <v/>
      </c>
      <c r="K284" s="5" t="n"/>
      <c r="L284" s="5" t="n"/>
      <c r="M284" s="5" t="n"/>
      <c r="N284" s="5" t="n"/>
      <c r="O284" s="5" t="n"/>
      <c r="Q284" s="10">
        <f>IF(TRIM(G284&amp;"")="","",TRIM(G284&amp;""))</f>
        <v/>
      </c>
      <c r="R284" s="10">
        <f>IF(TRIM(B284&amp;"")="","",IFERROR(INDEX(설정_코드표!$K$2:$K$101,MATCH(TRIM(B284&amp;""),설정_코드표!$J$2:$J$101,0)),"⚠"&amp;TRIM(B284&amp;"")))</f>
        <v/>
      </c>
      <c r="S284" s="10">
        <f>IF(TRIM(K284&amp;"")="","",IFERROR(INDEX(설정_코드표!$K$2:$K$101,MATCH(TRIM(K284&amp;""),설정_코드표!$J$2:$J$101,0)),"⚠"&amp;TRIM(K284&amp;"")))</f>
        <v/>
      </c>
      <c r="T284" s="10">
        <f>IF(TRIM(M284&amp;"")="","",IF(ISNUMBER(MATCH(TRIM(M284&amp;""),설정_코드표!$C$2:$C$11,0)),TRIM(M284&amp;""),"⚠"&amp;TRIM(M284&amp;"")))</f>
        <v/>
      </c>
      <c r="U284" s="10">
        <f>IF(TRIM(L284&amp;"")="","",IFERROR(INDEX(설정_코드표!$G$2:$G$101,MATCH(TRIM(L284&amp;""),설정_코드표!$F$2:$F$101,0)),"⚠"&amp;TRIM(L284&amp;"")))</f>
        <v/>
      </c>
      <c r="V284" s="10">
        <f>IF(AND(ISNUMBER(H284),ISNUMBER(I284)),I284-H284+1,"")</f>
        <v/>
      </c>
      <c r="W284" s="17">
        <f>IF(ISNUMBER(H284),MAX(0,MIN(IF(ISNUMBER(I284),I284,EOMONTH(출력_요약!$B$3,0)),EOMONTH(출력_요약!$B$3,0))-MAX(H284,출력_요약!$B$3)+1),0)</f>
        <v/>
      </c>
      <c r="X284" s="10">
        <f>IF(OR(NOT(ISNUMBER(H284)),Q284=""),"",IF(TODAY()&lt;H284,"파견예정",IF(AND(ISNUMBER(I284),TODAY()&gt;I284),"파견종료","파견중")))</f>
        <v/>
      </c>
      <c r="Y284" s="10">
        <f>IF(OR(Q284="",X284=""),"",Q284&amp;"|"&amp;X284)</f>
        <v/>
      </c>
      <c r="Z284" s="10">
        <f>IF(AND(Q284&lt;&gt;"",W284&gt;0),Q284&amp;"|월","")</f>
        <v/>
      </c>
      <c r="AA284" s="10">
        <f>IF(COUNTA(B284:I284,K284:N284)=0,"",IF(Q284="","등록번호 없음",IF(LEFT(R284,1)="⚠","모병원명 미등록",IF(S284="","파견병원 입력",IF(LEFT(S284,1)="⚠","파견병원명 미등록",IF(LEFT(U284,1)="⚠","파견과목 미등록",IF(OR(T284="",LEFT(T284,1)="⚠"),"파견근거 확인",IF(NOT(AND(ISNUMBER(H284),ISNUMBER(I284))),"날짜 형식/누락",IF(I284&lt;H284,"종료일&lt;시작일","")))))))))</f>
        <v/>
      </c>
      <c r="AB284" s="11">
        <f>IF(ISNUMBER(SEARCH("다기관",TRIM(N284&amp;" "&amp;O284))),IFERROR(DATE(VALUE(MID(TRIM(N284&amp;" "&amp;O284),1,4)),VALUE(MID(TRIM(N284&amp;" "&amp;O284),6,2)),VALUE(MID(TRIM(N284&amp;" "&amp;O284),9,2))),IF(ISNUMBER(H284),H284,"")),"")</f>
        <v/>
      </c>
      <c r="AC284" s="11">
        <f>IF(ISNUMBER(SEARCH("다기관",TRIM(N284&amp;" "&amp;O284))),IFERROR(DATE(VALUE(MID(TRIM(N284&amp;" "&amp;O284),12,4)),VALUE(MID(TRIM(N284&amp;" "&amp;O284),17,2)),VALUE(MID(TRIM(N284&amp;" "&amp;O284),20,2))),IF(ISNUMBER(I284),I284,"")),"")</f>
        <v/>
      </c>
      <c r="AD284" s="17">
        <f>IF(AND(ISNUMBER(AB284),ISNUMBER(AC284)),MAX(0,MIN(AC284,EOMONTH(출력_요약!$B$3,0))-MAX(AB284,출력_요약!$B$3)+1),0)</f>
        <v/>
      </c>
      <c r="AE284" s="10">
        <f>IF(AND(Q284&lt;&gt;"",ISNUMBER(AB284)),Q284&amp;"|다기관","")</f>
        <v/>
      </c>
    </row>
    <row r="285">
      <c r="A285" s="15">
        <f>IF(F285="","",ROW()-3)</f>
        <v/>
      </c>
      <c r="B285" s="5" t="n"/>
      <c r="C285" s="15" t="n"/>
      <c r="D285" s="5" t="n"/>
      <c r="E285" s="15" t="n"/>
      <c r="F285" s="5" t="n"/>
      <c r="G285" s="6" t="n"/>
      <c r="H285" s="16" t="n"/>
      <c r="I285" s="16" t="n"/>
      <c r="J285" s="15">
        <f>IF(AND(ISNUMBER(H285),ISNUMBER(I285)),I285-H285+1,"")</f>
        <v/>
      </c>
      <c r="K285" s="5" t="n"/>
      <c r="L285" s="5" t="n"/>
      <c r="M285" s="5" t="n"/>
      <c r="N285" s="5" t="n"/>
      <c r="O285" s="5" t="n"/>
      <c r="Q285" s="10">
        <f>IF(TRIM(G285&amp;"")="","",TRIM(G285&amp;""))</f>
        <v/>
      </c>
      <c r="R285" s="10">
        <f>IF(TRIM(B285&amp;"")="","",IFERROR(INDEX(설정_코드표!$K$2:$K$101,MATCH(TRIM(B285&amp;""),설정_코드표!$J$2:$J$101,0)),"⚠"&amp;TRIM(B285&amp;"")))</f>
        <v/>
      </c>
      <c r="S285" s="10">
        <f>IF(TRIM(K285&amp;"")="","",IFERROR(INDEX(설정_코드표!$K$2:$K$101,MATCH(TRIM(K285&amp;""),설정_코드표!$J$2:$J$101,0)),"⚠"&amp;TRIM(K285&amp;"")))</f>
        <v/>
      </c>
      <c r="T285" s="10">
        <f>IF(TRIM(M285&amp;"")="","",IF(ISNUMBER(MATCH(TRIM(M285&amp;""),설정_코드표!$C$2:$C$11,0)),TRIM(M285&amp;""),"⚠"&amp;TRIM(M285&amp;"")))</f>
        <v/>
      </c>
      <c r="U285" s="10">
        <f>IF(TRIM(L285&amp;"")="","",IFERROR(INDEX(설정_코드표!$G$2:$G$101,MATCH(TRIM(L285&amp;""),설정_코드표!$F$2:$F$101,0)),"⚠"&amp;TRIM(L285&amp;"")))</f>
        <v/>
      </c>
      <c r="V285" s="10">
        <f>IF(AND(ISNUMBER(H285),ISNUMBER(I285)),I285-H285+1,"")</f>
        <v/>
      </c>
      <c r="W285" s="17">
        <f>IF(ISNUMBER(H285),MAX(0,MIN(IF(ISNUMBER(I285),I285,EOMONTH(출력_요약!$B$3,0)),EOMONTH(출력_요약!$B$3,0))-MAX(H285,출력_요약!$B$3)+1),0)</f>
        <v/>
      </c>
      <c r="X285" s="10">
        <f>IF(OR(NOT(ISNUMBER(H285)),Q285=""),"",IF(TODAY()&lt;H285,"파견예정",IF(AND(ISNUMBER(I285),TODAY()&gt;I285),"파견종료","파견중")))</f>
        <v/>
      </c>
      <c r="Y285" s="10">
        <f>IF(OR(Q285="",X285=""),"",Q285&amp;"|"&amp;X285)</f>
        <v/>
      </c>
      <c r="Z285" s="10">
        <f>IF(AND(Q285&lt;&gt;"",W285&gt;0),Q285&amp;"|월","")</f>
        <v/>
      </c>
      <c r="AA285" s="10">
        <f>IF(COUNTA(B285:I285,K285:N285)=0,"",IF(Q285="","등록번호 없음",IF(LEFT(R285,1)="⚠","모병원명 미등록",IF(S285="","파견병원 입력",IF(LEFT(S285,1)="⚠","파견병원명 미등록",IF(LEFT(U285,1)="⚠","파견과목 미등록",IF(OR(T285="",LEFT(T285,1)="⚠"),"파견근거 확인",IF(NOT(AND(ISNUMBER(H285),ISNUMBER(I285))),"날짜 형식/누락",IF(I285&lt;H285,"종료일&lt;시작일","")))))))))</f>
        <v/>
      </c>
      <c r="AB285" s="11">
        <f>IF(ISNUMBER(SEARCH("다기관",TRIM(N285&amp;" "&amp;O285))),IFERROR(DATE(VALUE(MID(TRIM(N285&amp;" "&amp;O285),1,4)),VALUE(MID(TRIM(N285&amp;" "&amp;O285),6,2)),VALUE(MID(TRIM(N285&amp;" "&amp;O285),9,2))),IF(ISNUMBER(H285),H285,"")),"")</f>
        <v/>
      </c>
      <c r="AC285" s="11">
        <f>IF(ISNUMBER(SEARCH("다기관",TRIM(N285&amp;" "&amp;O285))),IFERROR(DATE(VALUE(MID(TRIM(N285&amp;" "&amp;O285),12,4)),VALUE(MID(TRIM(N285&amp;" "&amp;O285),17,2)),VALUE(MID(TRIM(N285&amp;" "&amp;O285),20,2))),IF(ISNUMBER(I285),I285,"")),"")</f>
        <v/>
      </c>
      <c r="AD285" s="17">
        <f>IF(AND(ISNUMBER(AB285),ISNUMBER(AC285)),MAX(0,MIN(AC285,EOMONTH(출력_요약!$B$3,0))-MAX(AB285,출력_요약!$B$3)+1),0)</f>
        <v/>
      </c>
      <c r="AE285" s="10">
        <f>IF(AND(Q285&lt;&gt;"",ISNUMBER(AB285)),Q285&amp;"|다기관","")</f>
        <v/>
      </c>
    </row>
    <row r="286">
      <c r="A286" s="15">
        <f>IF(F286="","",ROW()-3)</f>
        <v/>
      </c>
      <c r="B286" s="5" t="n"/>
      <c r="C286" s="15" t="n"/>
      <c r="D286" s="5" t="n"/>
      <c r="E286" s="15" t="n"/>
      <c r="F286" s="5" t="n"/>
      <c r="G286" s="6" t="n"/>
      <c r="H286" s="16" t="n"/>
      <c r="I286" s="16" t="n"/>
      <c r="J286" s="15">
        <f>IF(AND(ISNUMBER(H286),ISNUMBER(I286)),I286-H286+1,"")</f>
        <v/>
      </c>
      <c r="K286" s="5" t="n"/>
      <c r="L286" s="5" t="n"/>
      <c r="M286" s="5" t="n"/>
      <c r="N286" s="5" t="n"/>
      <c r="O286" s="5" t="n"/>
      <c r="Q286" s="10">
        <f>IF(TRIM(G286&amp;"")="","",TRIM(G286&amp;""))</f>
        <v/>
      </c>
      <c r="R286" s="10">
        <f>IF(TRIM(B286&amp;"")="","",IFERROR(INDEX(설정_코드표!$K$2:$K$101,MATCH(TRIM(B286&amp;""),설정_코드표!$J$2:$J$101,0)),"⚠"&amp;TRIM(B286&amp;"")))</f>
        <v/>
      </c>
      <c r="S286" s="10">
        <f>IF(TRIM(K286&amp;"")="","",IFERROR(INDEX(설정_코드표!$K$2:$K$101,MATCH(TRIM(K286&amp;""),설정_코드표!$J$2:$J$101,0)),"⚠"&amp;TRIM(K286&amp;"")))</f>
        <v/>
      </c>
      <c r="T286" s="10">
        <f>IF(TRIM(M286&amp;"")="","",IF(ISNUMBER(MATCH(TRIM(M286&amp;""),설정_코드표!$C$2:$C$11,0)),TRIM(M286&amp;""),"⚠"&amp;TRIM(M286&amp;"")))</f>
        <v/>
      </c>
      <c r="U286" s="10">
        <f>IF(TRIM(L286&amp;"")="","",IFERROR(INDEX(설정_코드표!$G$2:$G$101,MATCH(TRIM(L286&amp;""),설정_코드표!$F$2:$F$101,0)),"⚠"&amp;TRIM(L286&amp;"")))</f>
        <v/>
      </c>
      <c r="V286" s="10">
        <f>IF(AND(ISNUMBER(H286),ISNUMBER(I286)),I286-H286+1,"")</f>
        <v/>
      </c>
      <c r="W286" s="17">
        <f>IF(ISNUMBER(H286),MAX(0,MIN(IF(ISNUMBER(I286),I286,EOMONTH(출력_요약!$B$3,0)),EOMONTH(출력_요약!$B$3,0))-MAX(H286,출력_요약!$B$3)+1),0)</f>
        <v/>
      </c>
      <c r="X286" s="10">
        <f>IF(OR(NOT(ISNUMBER(H286)),Q286=""),"",IF(TODAY()&lt;H286,"파견예정",IF(AND(ISNUMBER(I286),TODAY()&gt;I286),"파견종료","파견중")))</f>
        <v/>
      </c>
      <c r="Y286" s="10">
        <f>IF(OR(Q286="",X286=""),"",Q286&amp;"|"&amp;X286)</f>
        <v/>
      </c>
      <c r="Z286" s="10">
        <f>IF(AND(Q286&lt;&gt;"",W286&gt;0),Q286&amp;"|월","")</f>
        <v/>
      </c>
      <c r="AA286" s="10">
        <f>IF(COUNTA(B286:I286,K286:N286)=0,"",IF(Q286="","등록번호 없음",IF(LEFT(R286,1)="⚠","모병원명 미등록",IF(S286="","파견병원 입력",IF(LEFT(S286,1)="⚠","파견병원명 미등록",IF(LEFT(U286,1)="⚠","파견과목 미등록",IF(OR(T286="",LEFT(T286,1)="⚠"),"파견근거 확인",IF(NOT(AND(ISNUMBER(H286),ISNUMBER(I286))),"날짜 형식/누락",IF(I286&lt;H286,"종료일&lt;시작일","")))))))))</f>
        <v/>
      </c>
      <c r="AB286" s="11">
        <f>IF(ISNUMBER(SEARCH("다기관",TRIM(N286&amp;" "&amp;O286))),IFERROR(DATE(VALUE(MID(TRIM(N286&amp;" "&amp;O286),1,4)),VALUE(MID(TRIM(N286&amp;" "&amp;O286),6,2)),VALUE(MID(TRIM(N286&amp;" "&amp;O286),9,2))),IF(ISNUMBER(H286),H286,"")),"")</f>
        <v/>
      </c>
      <c r="AC286" s="11">
        <f>IF(ISNUMBER(SEARCH("다기관",TRIM(N286&amp;" "&amp;O286))),IFERROR(DATE(VALUE(MID(TRIM(N286&amp;" "&amp;O286),12,4)),VALUE(MID(TRIM(N286&amp;" "&amp;O286),17,2)),VALUE(MID(TRIM(N286&amp;" "&amp;O286),20,2))),IF(ISNUMBER(I286),I286,"")),"")</f>
        <v/>
      </c>
      <c r="AD286" s="17">
        <f>IF(AND(ISNUMBER(AB286),ISNUMBER(AC286)),MAX(0,MIN(AC286,EOMONTH(출력_요약!$B$3,0))-MAX(AB286,출력_요약!$B$3)+1),0)</f>
        <v/>
      </c>
      <c r="AE286" s="10">
        <f>IF(AND(Q286&lt;&gt;"",ISNUMBER(AB286)),Q286&amp;"|다기관","")</f>
        <v/>
      </c>
    </row>
    <row r="287">
      <c r="A287" s="15">
        <f>IF(F287="","",ROW()-3)</f>
        <v/>
      </c>
      <c r="B287" s="5" t="n"/>
      <c r="C287" s="15" t="n"/>
      <c r="D287" s="5" t="n"/>
      <c r="E287" s="15" t="n"/>
      <c r="F287" s="5" t="n"/>
      <c r="G287" s="6" t="n"/>
      <c r="H287" s="16" t="n"/>
      <c r="I287" s="16" t="n"/>
      <c r="J287" s="15">
        <f>IF(AND(ISNUMBER(H287),ISNUMBER(I287)),I287-H287+1,"")</f>
        <v/>
      </c>
      <c r="K287" s="5" t="n"/>
      <c r="L287" s="5" t="n"/>
      <c r="M287" s="5" t="n"/>
      <c r="N287" s="5" t="n"/>
      <c r="O287" s="5" t="n"/>
      <c r="Q287" s="10">
        <f>IF(TRIM(G287&amp;"")="","",TRIM(G287&amp;""))</f>
        <v/>
      </c>
      <c r="R287" s="10">
        <f>IF(TRIM(B287&amp;"")="","",IFERROR(INDEX(설정_코드표!$K$2:$K$101,MATCH(TRIM(B287&amp;""),설정_코드표!$J$2:$J$101,0)),"⚠"&amp;TRIM(B287&amp;"")))</f>
        <v/>
      </c>
      <c r="S287" s="10">
        <f>IF(TRIM(K287&amp;"")="","",IFERROR(INDEX(설정_코드표!$K$2:$K$101,MATCH(TRIM(K287&amp;""),설정_코드표!$J$2:$J$101,0)),"⚠"&amp;TRIM(K287&amp;"")))</f>
        <v/>
      </c>
      <c r="T287" s="10">
        <f>IF(TRIM(M287&amp;"")="","",IF(ISNUMBER(MATCH(TRIM(M287&amp;""),설정_코드표!$C$2:$C$11,0)),TRIM(M287&amp;""),"⚠"&amp;TRIM(M287&amp;"")))</f>
        <v/>
      </c>
      <c r="U287" s="10">
        <f>IF(TRIM(L287&amp;"")="","",IFERROR(INDEX(설정_코드표!$G$2:$G$101,MATCH(TRIM(L287&amp;""),설정_코드표!$F$2:$F$101,0)),"⚠"&amp;TRIM(L287&amp;"")))</f>
        <v/>
      </c>
      <c r="V287" s="10">
        <f>IF(AND(ISNUMBER(H287),ISNUMBER(I287)),I287-H287+1,"")</f>
        <v/>
      </c>
      <c r="W287" s="17">
        <f>IF(ISNUMBER(H287),MAX(0,MIN(IF(ISNUMBER(I287),I287,EOMONTH(출력_요약!$B$3,0)),EOMONTH(출력_요약!$B$3,0))-MAX(H287,출력_요약!$B$3)+1),0)</f>
        <v/>
      </c>
      <c r="X287" s="10">
        <f>IF(OR(NOT(ISNUMBER(H287)),Q287=""),"",IF(TODAY()&lt;H287,"파견예정",IF(AND(ISNUMBER(I287),TODAY()&gt;I287),"파견종료","파견중")))</f>
        <v/>
      </c>
      <c r="Y287" s="10">
        <f>IF(OR(Q287="",X287=""),"",Q287&amp;"|"&amp;X287)</f>
        <v/>
      </c>
      <c r="Z287" s="10">
        <f>IF(AND(Q287&lt;&gt;"",W287&gt;0),Q287&amp;"|월","")</f>
        <v/>
      </c>
      <c r="AA287" s="10">
        <f>IF(COUNTA(B287:I287,K287:N287)=0,"",IF(Q287="","등록번호 없음",IF(LEFT(R287,1)="⚠","모병원명 미등록",IF(S287="","파견병원 입력",IF(LEFT(S287,1)="⚠","파견병원명 미등록",IF(LEFT(U287,1)="⚠","파견과목 미등록",IF(OR(T287="",LEFT(T287,1)="⚠"),"파견근거 확인",IF(NOT(AND(ISNUMBER(H287),ISNUMBER(I287))),"날짜 형식/누락",IF(I287&lt;H287,"종료일&lt;시작일","")))))))))</f>
        <v/>
      </c>
      <c r="AB287" s="11">
        <f>IF(ISNUMBER(SEARCH("다기관",TRIM(N287&amp;" "&amp;O287))),IFERROR(DATE(VALUE(MID(TRIM(N287&amp;" "&amp;O287),1,4)),VALUE(MID(TRIM(N287&amp;" "&amp;O287),6,2)),VALUE(MID(TRIM(N287&amp;" "&amp;O287),9,2))),IF(ISNUMBER(H287),H287,"")),"")</f>
        <v/>
      </c>
      <c r="AC287" s="11">
        <f>IF(ISNUMBER(SEARCH("다기관",TRIM(N287&amp;" "&amp;O287))),IFERROR(DATE(VALUE(MID(TRIM(N287&amp;" "&amp;O287),12,4)),VALUE(MID(TRIM(N287&amp;" "&amp;O287),17,2)),VALUE(MID(TRIM(N287&amp;" "&amp;O287),20,2))),IF(ISNUMBER(I287),I287,"")),"")</f>
        <v/>
      </c>
      <c r="AD287" s="17">
        <f>IF(AND(ISNUMBER(AB287),ISNUMBER(AC287)),MAX(0,MIN(AC287,EOMONTH(출력_요약!$B$3,0))-MAX(AB287,출력_요약!$B$3)+1),0)</f>
        <v/>
      </c>
      <c r="AE287" s="10">
        <f>IF(AND(Q287&lt;&gt;"",ISNUMBER(AB287)),Q287&amp;"|다기관","")</f>
        <v/>
      </c>
    </row>
    <row r="288">
      <c r="A288" s="15">
        <f>IF(F288="","",ROW()-3)</f>
        <v/>
      </c>
      <c r="B288" s="5" t="n"/>
      <c r="C288" s="15" t="n"/>
      <c r="D288" s="5" t="n"/>
      <c r="E288" s="15" t="n"/>
      <c r="F288" s="5" t="n"/>
      <c r="G288" s="6" t="n"/>
      <c r="H288" s="16" t="n"/>
      <c r="I288" s="16" t="n"/>
      <c r="J288" s="15">
        <f>IF(AND(ISNUMBER(H288),ISNUMBER(I288)),I288-H288+1,"")</f>
        <v/>
      </c>
      <c r="K288" s="5" t="n"/>
      <c r="L288" s="5" t="n"/>
      <c r="M288" s="5" t="n"/>
      <c r="N288" s="5" t="n"/>
      <c r="O288" s="5" t="n"/>
      <c r="Q288" s="10">
        <f>IF(TRIM(G288&amp;"")="","",TRIM(G288&amp;""))</f>
        <v/>
      </c>
      <c r="R288" s="10">
        <f>IF(TRIM(B288&amp;"")="","",IFERROR(INDEX(설정_코드표!$K$2:$K$101,MATCH(TRIM(B288&amp;""),설정_코드표!$J$2:$J$101,0)),"⚠"&amp;TRIM(B288&amp;"")))</f>
        <v/>
      </c>
      <c r="S288" s="10">
        <f>IF(TRIM(K288&amp;"")="","",IFERROR(INDEX(설정_코드표!$K$2:$K$101,MATCH(TRIM(K288&amp;""),설정_코드표!$J$2:$J$101,0)),"⚠"&amp;TRIM(K288&amp;"")))</f>
        <v/>
      </c>
      <c r="T288" s="10">
        <f>IF(TRIM(M288&amp;"")="","",IF(ISNUMBER(MATCH(TRIM(M288&amp;""),설정_코드표!$C$2:$C$11,0)),TRIM(M288&amp;""),"⚠"&amp;TRIM(M288&amp;"")))</f>
        <v/>
      </c>
      <c r="U288" s="10">
        <f>IF(TRIM(L288&amp;"")="","",IFERROR(INDEX(설정_코드표!$G$2:$G$101,MATCH(TRIM(L288&amp;""),설정_코드표!$F$2:$F$101,0)),"⚠"&amp;TRIM(L288&amp;"")))</f>
        <v/>
      </c>
      <c r="V288" s="10">
        <f>IF(AND(ISNUMBER(H288),ISNUMBER(I288)),I288-H288+1,"")</f>
        <v/>
      </c>
      <c r="W288" s="17">
        <f>IF(ISNUMBER(H288),MAX(0,MIN(IF(ISNUMBER(I288),I288,EOMONTH(출력_요약!$B$3,0)),EOMONTH(출력_요약!$B$3,0))-MAX(H288,출력_요약!$B$3)+1),0)</f>
        <v/>
      </c>
      <c r="X288" s="10">
        <f>IF(OR(NOT(ISNUMBER(H288)),Q288=""),"",IF(TODAY()&lt;H288,"파견예정",IF(AND(ISNUMBER(I288),TODAY()&gt;I288),"파견종료","파견중")))</f>
        <v/>
      </c>
      <c r="Y288" s="10">
        <f>IF(OR(Q288="",X288=""),"",Q288&amp;"|"&amp;X288)</f>
        <v/>
      </c>
      <c r="Z288" s="10">
        <f>IF(AND(Q288&lt;&gt;"",W288&gt;0),Q288&amp;"|월","")</f>
        <v/>
      </c>
      <c r="AA288" s="10">
        <f>IF(COUNTA(B288:I288,K288:N288)=0,"",IF(Q288="","등록번호 없음",IF(LEFT(R288,1)="⚠","모병원명 미등록",IF(S288="","파견병원 입력",IF(LEFT(S288,1)="⚠","파견병원명 미등록",IF(LEFT(U288,1)="⚠","파견과목 미등록",IF(OR(T288="",LEFT(T288,1)="⚠"),"파견근거 확인",IF(NOT(AND(ISNUMBER(H288),ISNUMBER(I288))),"날짜 형식/누락",IF(I288&lt;H288,"종료일&lt;시작일","")))))))))</f>
        <v/>
      </c>
      <c r="AB288" s="11">
        <f>IF(ISNUMBER(SEARCH("다기관",TRIM(N288&amp;" "&amp;O288))),IFERROR(DATE(VALUE(MID(TRIM(N288&amp;" "&amp;O288),1,4)),VALUE(MID(TRIM(N288&amp;" "&amp;O288),6,2)),VALUE(MID(TRIM(N288&amp;" "&amp;O288),9,2))),IF(ISNUMBER(H288),H288,"")),"")</f>
        <v/>
      </c>
      <c r="AC288" s="11">
        <f>IF(ISNUMBER(SEARCH("다기관",TRIM(N288&amp;" "&amp;O288))),IFERROR(DATE(VALUE(MID(TRIM(N288&amp;" "&amp;O288),12,4)),VALUE(MID(TRIM(N288&amp;" "&amp;O288),17,2)),VALUE(MID(TRIM(N288&amp;" "&amp;O288),20,2))),IF(ISNUMBER(I288),I288,"")),"")</f>
        <v/>
      </c>
      <c r="AD288" s="17">
        <f>IF(AND(ISNUMBER(AB288),ISNUMBER(AC288)),MAX(0,MIN(AC288,EOMONTH(출력_요약!$B$3,0))-MAX(AB288,출력_요약!$B$3)+1),0)</f>
        <v/>
      </c>
      <c r="AE288" s="10">
        <f>IF(AND(Q288&lt;&gt;"",ISNUMBER(AB288)),Q288&amp;"|다기관","")</f>
        <v/>
      </c>
    </row>
    <row r="289">
      <c r="A289" s="15">
        <f>IF(F289="","",ROW()-3)</f>
        <v/>
      </c>
      <c r="B289" s="5" t="n"/>
      <c r="C289" s="15" t="n"/>
      <c r="D289" s="5" t="n"/>
      <c r="E289" s="15" t="n"/>
      <c r="F289" s="5" t="n"/>
      <c r="G289" s="6" t="n"/>
      <c r="H289" s="16" t="n"/>
      <c r="I289" s="16" t="n"/>
      <c r="J289" s="15">
        <f>IF(AND(ISNUMBER(H289),ISNUMBER(I289)),I289-H289+1,"")</f>
        <v/>
      </c>
      <c r="K289" s="5" t="n"/>
      <c r="L289" s="5" t="n"/>
      <c r="M289" s="5" t="n"/>
      <c r="N289" s="5" t="n"/>
      <c r="O289" s="5" t="n"/>
      <c r="Q289" s="10">
        <f>IF(TRIM(G289&amp;"")="","",TRIM(G289&amp;""))</f>
        <v/>
      </c>
      <c r="R289" s="10">
        <f>IF(TRIM(B289&amp;"")="","",IFERROR(INDEX(설정_코드표!$K$2:$K$101,MATCH(TRIM(B289&amp;""),설정_코드표!$J$2:$J$101,0)),"⚠"&amp;TRIM(B289&amp;"")))</f>
        <v/>
      </c>
      <c r="S289" s="10">
        <f>IF(TRIM(K289&amp;"")="","",IFERROR(INDEX(설정_코드표!$K$2:$K$101,MATCH(TRIM(K289&amp;""),설정_코드표!$J$2:$J$101,0)),"⚠"&amp;TRIM(K289&amp;"")))</f>
        <v/>
      </c>
      <c r="T289" s="10">
        <f>IF(TRIM(M289&amp;"")="","",IF(ISNUMBER(MATCH(TRIM(M289&amp;""),설정_코드표!$C$2:$C$11,0)),TRIM(M289&amp;""),"⚠"&amp;TRIM(M289&amp;"")))</f>
        <v/>
      </c>
      <c r="U289" s="10">
        <f>IF(TRIM(L289&amp;"")="","",IFERROR(INDEX(설정_코드표!$G$2:$G$101,MATCH(TRIM(L289&amp;""),설정_코드표!$F$2:$F$101,0)),"⚠"&amp;TRIM(L289&amp;"")))</f>
        <v/>
      </c>
      <c r="V289" s="10">
        <f>IF(AND(ISNUMBER(H289),ISNUMBER(I289)),I289-H289+1,"")</f>
        <v/>
      </c>
      <c r="W289" s="17">
        <f>IF(ISNUMBER(H289),MAX(0,MIN(IF(ISNUMBER(I289),I289,EOMONTH(출력_요약!$B$3,0)),EOMONTH(출력_요약!$B$3,0))-MAX(H289,출력_요약!$B$3)+1),0)</f>
        <v/>
      </c>
      <c r="X289" s="10">
        <f>IF(OR(NOT(ISNUMBER(H289)),Q289=""),"",IF(TODAY()&lt;H289,"파견예정",IF(AND(ISNUMBER(I289),TODAY()&gt;I289),"파견종료","파견중")))</f>
        <v/>
      </c>
      <c r="Y289" s="10">
        <f>IF(OR(Q289="",X289=""),"",Q289&amp;"|"&amp;X289)</f>
        <v/>
      </c>
      <c r="Z289" s="10">
        <f>IF(AND(Q289&lt;&gt;"",W289&gt;0),Q289&amp;"|월","")</f>
        <v/>
      </c>
      <c r="AA289" s="10">
        <f>IF(COUNTA(B289:I289,K289:N289)=0,"",IF(Q289="","등록번호 없음",IF(LEFT(R289,1)="⚠","모병원명 미등록",IF(S289="","파견병원 입력",IF(LEFT(S289,1)="⚠","파견병원명 미등록",IF(LEFT(U289,1)="⚠","파견과목 미등록",IF(OR(T289="",LEFT(T289,1)="⚠"),"파견근거 확인",IF(NOT(AND(ISNUMBER(H289),ISNUMBER(I289))),"날짜 형식/누락",IF(I289&lt;H289,"종료일&lt;시작일","")))))))))</f>
        <v/>
      </c>
      <c r="AB289" s="11">
        <f>IF(ISNUMBER(SEARCH("다기관",TRIM(N289&amp;" "&amp;O289))),IFERROR(DATE(VALUE(MID(TRIM(N289&amp;" "&amp;O289),1,4)),VALUE(MID(TRIM(N289&amp;" "&amp;O289),6,2)),VALUE(MID(TRIM(N289&amp;" "&amp;O289),9,2))),IF(ISNUMBER(H289),H289,"")),"")</f>
        <v/>
      </c>
      <c r="AC289" s="11">
        <f>IF(ISNUMBER(SEARCH("다기관",TRIM(N289&amp;" "&amp;O289))),IFERROR(DATE(VALUE(MID(TRIM(N289&amp;" "&amp;O289),12,4)),VALUE(MID(TRIM(N289&amp;" "&amp;O289),17,2)),VALUE(MID(TRIM(N289&amp;" "&amp;O289),20,2))),IF(ISNUMBER(I289),I289,"")),"")</f>
        <v/>
      </c>
      <c r="AD289" s="17">
        <f>IF(AND(ISNUMBER(AB289),ISNUMBER(AC289)),MAX(0,MIN(AC289,EOMONTH(출력_요약!$B$3,0))-MAX(AB289,출력_요약!$B$3)+1),0)</f>
        <v/>
      </c>
      <c r="AE289" s="10">
        <f>IF(AND(Q289&lt;&gt;"",ISNUMBER(AB289)),Q289&amp;"|다기관","")</f>
        <v/>
      </c>
    </row>
    <row r="290">
      <c r="A290" s="15">
        <f>IF(F290="","",ROW()-3)</f>
        <v/>
      </c>
      <c r="B290" s="5" t="n"/>
      <c r="C290" s="15" t="n"/>
      <c r="D290" s="5" t="n"/>
      <c r="E290" s="15" t="n"/>
      <c r="F290" s="5" t="n"/>
      <c r="G290" s="6" t="n"/>
      <c r="H290" s="16" t="n"/>
      <c r="I290" s="16" t="n"/>
      <c r="J290" s="15">
        <f>IF(AND(ISNUMBER(H290),ISNUMBER(I290)),I290-H290+1,"")</f>
        <v/>
      </c>
      <c r="K290" s="5" t="n"/>
      <c r="L290" s="5" t="n"/>
      <c r="M290" s="5" t="n"/>
      <c r="N290" s="5" t="n"/>
      <c r="O290" s="5" t="n"/>
      <c r="Q290" s="10">
        <f>IF(TRIM(G290&amp;"")="","",TRIM(G290&amp;""))</f>
        <v/>
      </c>
      <c r="R290" s="10">
        <f>IF(TRIM(B290&amp;"")="","",IFERROR(INDEX(설정_코드표!$K$2:$K$101,MATCH(TRIM(B290&amp;""),설정_코드표!$J$2:$J$101,0)),"⚠"&amp;TRIM(B290&amp;"")))</f>
        <v/>
      </c>
      <c r="S290" s="10">
        <f>IF(TRIM(K290&amp;"")="","",IFERROR(INDEX(설정_코드표!$K$2:$K$101,MATCH(TRIM(K290&amp;""),설정_코드표!$J$2:$J$101,0)),"⚠"&amp;TRIM(K290&amp;"")))</f>
        <v/>
      </c>
      <c r="T290" s="10">
        <f>IF(TRIM(M290&amp;"")="","",IF(ISNUMBER(MATCH(TRIM(M290&amp;""),설정_코드표!$C$2:$C$11,0)),TRIM(M290&amp;""),"⚠"&amp;TRIM(M290&amp;"")))</f>
        <v/>
      </c>
      <c r="U290" s="10">
        <f>IF(TRIM(L290&amp;"")="","",IFERROR(INDEX(설정_코드표!$G$2:$G$101,MATCH(TRIM(L290&amp;""),설정_코드표!$F$2:$F$101,0)),"⚠"&amp;TRIM(L290&amp;"")))</f>
        <v/>
      </c>
      <c r="V290" s="10">
        <f>IF(AND(ISNUMBER(H290),ISNUMBER(I290)),I290-H290+1,"")</f>
        <v/>
      </c>
      <c r="W290" s="17">
        <f>IF(ISNUMBER(H290),MAX(0,MIN(IF(ISNUMBER(I290),I290,EOMONTH(출력_요약!$B$3,0)),EOMONTH(출력_요약!$B$3,0))-MAX(H290,출력_요약!$B$3)+1),0)</f>
        <v/>
      </c>
      <c r="X290" s="10">
        <f>IF(OR(NOT(ISNUMBER(H290)),Q290=""),"",IF(TODAY()&lt;H290,"파견예정",IF(AND(ISNUMBER(I290),TODAY()&gt;I290),"파견종료","파견중")))</f>
        <v/>
      </c>
      <c r="Y290" s="10">
        <f>IF(OR(Q290="",X290=""),"",Q290&amp;"|"&amp;X290)</f>
        <v/>
      </c>
      <c r="Z290" s="10">
        <f>IF(AND(Q290&lt;&gt;"",W290&gt;0),Q290&amp;"|월","")</f>
        <v/>
      </c>
      <c r="AA290" s="10">
        <f>IF(COUNTA(B290:I290,K290:N290)=0,"",IF(Q290="","등록번호 없음",IF(LEFT(R290,1)="⚠","모병원명 미등록",IF(S290="","파견병원 입력",IF(LEFT(S290,1)="⚠","파견병원명 미등록",IF(LEFT(U290,1)="⚠","파견과목 미등록",IF(OR(T290="",LEFT(T290,1)="⚠"),"파견근거 확인",IF(NOT(AND(ISNUMBER(H290),ISNUMBER(I290))),"날짜 형식/누락",IF(I290&lt;H290,"종료일&lt;시작일","")))))))))</f>
        <v/>
      </c>
      <c r="AB290" s="11">
        <f>IF(ISNUMBER(SEARCH("다기관",TRIM(N290&amp;" "&amp;O290))),IFERROR(DATE(VALUE(MID(TRIM(N290&amp;" "&amp;O290),1,4)),VALUE(MID(TRIM(N290&amp;" "&amp;O290),6,2)),VALUE(MID(TRIM(N290&amp;" "&amp;O290),9,2))),IF(ISNUMBER(H290),H290,"")),"")</f>
        <v/>
      </c>
      <c r="AC290" s="11">
        <f>IF(ISNUMBER(SEARCH("다기관",TRIM(N290&amp;" "&amp;O290))),IFERROR(DATE(VALUE(MID(TRIM(N290&amp;" "&amp;O290),12,4)),VALUE(MID(TRIM(N290&amp;" "&amp;O290),17,2)),VALUE(MID(TRIM(N290&amp;" "&amp;O290),20,2))),IF(ISNUMBER(I290),I290,"")),"")</f>
        <v/>
      </c>
      <c r="AD290" s="17">
        <f>IF(AND(ISNUMBER(AB290),ISNUMBER(AC290)),MAX(0,MIN(AC290,EOMONTH(출력_요약!$B$3,0))-MAX(AB290,출력_요약!$B$3)+1),0)</f>
        <v/>
      </c>
      <c r="AE290" s="10">
        <f>IF(AND(Q290&lt;&gt;"",ISNUMBER(AB290)),Q290&amp;"|다기관","")</f>
        <v/>
      </c>
    </row>
    <row r="291">
      <c r="A291" s="15">
        <f>IF(F291="","",ROW()-3)</f>
        <v/>
      </c>
      <c r="B291" s="5" t="n"/>
      <c r="C291" s="15" t="n"/>
      <c r="D291" s="5" t="n"/>
      <c r="E291" s="15" t="n"/>
      <c r="F291" s="5" t="n"/>
      <c r="G291" s="6" t="n"/>
      <c r="H291" s="16" t="n"/>
      <c r="I291" s="16" t="n"/>
      <c r="J291" s="15">
        <f>IF(AND(ISNUMBER(H291),ISNUMBER(I291)),I291-H291+1,"")</f>
        <v/>
      </c>
      <c r="K291" s="5" t="n"/>
      <c r="L291" s="5" t="n"/>
      <c r="M291" s="5" t="n"/>
      <c r="N291" s="5" t="n"/>
      <c r="O291" s="5" t="n"/>
      <c r="Q291" s="10">
        <f>IF(TRIM(G291&amp;"")="","",TRIM(G291&amp;""))</f>
        <v/>
      </c>
      <c r="R291" s="10">
        <f>IF(TRIM(B291&amp;"")="","",IFERROR(INDEX(설정_코드표!$K$2:$K$101,MATCH(TRIM(B291&amp;""),설정_코드표!$J$2:$J$101,0)),"⚠"&amp;TRIM(B291&amp;"")))</f>
        <v/>
      </c>
      <c r="S291" s="10">
        <f>IF(TRIM(K291&amp;"")="","",IFERROR(INDEX(설정_코드표!$K$2:$K$101,MATCH(TRIM(K291&amp;""),설정_코드표!$J$2:$J$101,0)),"⚠"&amp;TRIM(K291&amp;"")))</f>
        <v/>
      </c>
      <c r="T291" s="10">
        <f>IF(TRIM(M291&amp;"")="","",IF(ISNUMBER(MATCH(TRIM(M291&amp;""),설정_코드표!$C$2:$C$11,0)),TRIM(M291&amp;""),"⚠"&amp;TRIM(M291&amp;"")))</f>
        <v/>
      </c>
      <c r="U291" s="10">
        <f>IF(TRIM(L291&amp;"")="","",IFERROR(INDEX(설정_코드표!$G$2:$G$101,MATCH(TRIM(L291&amp;""),설정_코드표!$F$2:$F$101,0)),"⚠"&amp;TRIM(L291&amp;"")))</f>
        <v/>
      </c>
      <c r="V291" s="10">
        <f>IF(AND(ISNUMBER(H291),ISNUMBER(I291)),I291-H291+1,"")</f>
        <v/>
      </c>
      <c r="W291" s="17">
        <f>IF(ISNUMBER(H291),MAX(0,MIN(IF(ISNUMBER(I291),I291,EOMONTH(출력_요약!$B$3,0)),EOMONTH(출력_요약!$B$3,0))-MAX(H291,출력_요약!$B$3)+1),0)</f>
        <v/>
      </c>
      <c r="X291" s="10">
        <f>IF(OR(NOT(ISNUMBER(H291)),Q291=""),"",IF(TODAY()&lt;H291,"파견예정",IF(AND(ISNUMBER(I291),TODAY()&gt;I291),"파견종료","파견중")))</f>
        <v/>
      </c>
      <c r="Y291" s="10">
        <f>IF(OR(Q291="",X291=""),"",Q291&amp;"|"&amp;X291)</f>
        <v/>
      </c>
      <c r="Z291" s="10">
        <f>IF(AND(Q291&lt;&gt;"",W291&gt;0),Q291&amp;"|월","")</f>
        <v/>
      </c>
      <c r="AA291" s="10">
        <f>IF(COUNTA(B291:I291,K291:N291)=0,"",IF(Q291="","등록번호 없음",IF(LEFT(R291,1)="⚠","모병원명 미등록",IF(S291="","파견병원 입력",IF(LEFT(S291,1)="⚠","파견병원명 미등록",IF(LEFT(U291,1)="⚠","파견과목 미등록",IF(OR(T291="",LEFT(T291,1)="⚠"),"파견근거 확인",IF(NOT(AND(ISNUMBER(H291),ISNUMBER(I291))),"날짜 형식/누락",IF(I291&lt;H291,"종료일&lt;시작일","")))))))))</f>
        <v/>
      </c>
      <c r="AB291" s="11">
        <f>IF(ISNUMBER(SEARCH("다기관",TRIM(N291&amp;" "&amp;O291))),IFERROR(DATE(VALUE(MID(TRIM(N291&amp;" "&amp;O291),1,4)),VALUE(MID(TRIM(N291&amp;" "&amp;O291),6,2)),VALUE(MID(TRIM(N291&amp;" "&amp;O291),9,2))),IF(ISNUMBER(H291),H291,"")),"")</f>
        <v/>
      </c>
      <c r="AC291" s="11">
        <f>IF(ISNUMBER(SEARCH("다기관",TRIM(N291&amp;" "&amp;O291))),IFERROR(DATE(VALUE(MID(TRIM(N291&amp;" "&amp;O291),12,4)),VALUE(MID(TRIM(N291&amp;" "&amp;O291),17,2)),VALUE(MID(TRIM(N291&amp;" "&amp;O291),20,2))),IF(ISNUMBER(I291),I291,"")),"")</f>
        <v/>
      </c>
      <c r="AD291" s="17">
        <f>IF(AND(ISNUMBER(AB291),ISNUMBER(AC291)),MAX(0,MIN(AC291,EOMONTH(출력_요약!$B$3,0))-MAX(AB291,출력_요약!$B$3)+1),0)</f>
        <v/>
      </c>
      <c r="AE291" s="10">
        <f>IF(AND(Q291&lt;&gt;"",ISNUMBER(AB291)),Q291&amp;"|다기관","")</f>
        <v/>
      </c>
    </row>
    <row r="292">
      <c r="A292" s="15">
        <f>IF(F292="","",ROW()-3)</f>
        <v/>
      </c>
      <c r="B292" s="5" t="n"/>
      <c r="C292" s="15" t="n"/>
      <c r="D292" s="5" t="n"/>
      <c r="E292" s="15" t="n"/>
      <c r="F292" s="5" t="n"/>
      <c r="G292" s="6" t="n"/>
      <c r="H292" s="16" t="n"/>
      <c r="I292" s="16" t="n"/>
      <c r="J292" s="15">
        <f>IF(AND(ISNUMBER(H292),ISNUMBER(I292)),I292-H292+1,"")</f>
        <v/>
      </c>
      <c r="K292" s="5" t="n"/>
      <c r="L292" s="5" t="n"/>
      <c r="M292" s="5" t="n"/>
      <c r="N292" s="5" t="n"/>
      <c r="O292" s="5" t="n"/>
      <c r="Q292" s="10">
        <f>IF(TRIM(G292&amp;"")="","",TRIM(G292&amp;""))</f>
        <v/>
      </c>
      <c r="R292" s="10">
        <f>IF(TRIM(B292&amp;"")="","",IFERROR(INDEX(설정_코드표!$K$2:$K$101,MATCH(TRIM(B292&amp;""),설정_코드표!$J$2:$J$101,0)),"⚠"&amp;TRIM(B292&amp;"")))</f>
        <v/>
      </c>
      <c r="S292" s="10">
        <f>IF(TRIM(K292&amp;"")="","",IFERROR(INDEX(설정_코드표!$K$2:$K$101,MATCH(TRIM(K292&amp;""),설정_코드표!$J$2:$J$101,0)),"⚠"&amp;TRIM(K292&amp;"")))</f>
        <v/>
      </c>
      <c r="T292" s="10">
        <f>IF(TRIM(M292&amp;"")="","",IF(ISNUMBER(MATCH(TRIM(M292&amp;""),설정_코드표!$C$2:$C$11,0)),TRIM(M292&amp;""),"⚠"&amp;TRIM(M292&amp;"")))</f>
        <v/>
      </c>
      <c r="U292" s="10">
        <f>IF(TRIM(L292&amp;"")="","",IFERROR(INDEX(설정_코드표!$G$2:$G$101,MATCH(TRIM(L292&amp;""),설정_코드표!$F$2:$F$101,0)),"⚠"&amp;TRIM(L292&amp;"")))</f>
        <v/>
      </c>
      <c r="V292" s="10">
        <f>IF(AND(ISNUMBER(H292),ISNUMBER(I292)),I292-H292+1,"")</f>
        <v/>
      </c>
      <c r="W292" s="17">
        <f>IF(ISNUMBER(H292),MAX(0,MIN(IF(ISNUMBER(I292),I292,EOMONTH(출력_요약!$B$3,0)),EOMONTH(출력_요약!$B$3,0))-MAX(H292,출력_요약!$B$3)+1),0)</f>
        <v/>
      </c>
      <c r="X292" s="10">
        <f>IF(OR(NOT(ISNUMBER(H292)),Q292=""),"",IF(TODAY()&lt;H292,"파견예정",IF(AND(ISNUMBER(I292),TODAY()&gt;I292),"파견종료","파견중")))</f>
        <v/>
      </c>
      <c r="Y292" s="10">
        <f>IF(OR(Q292="",X292=""),"",Q292&amp;"|"&amp;X292)</f>
        <v/>
      </c>
      <c r="Z292" s="10">
        <f>IF(AND(Q292&lt;&gt;"",W292&gt;0),Q292&amp;"|월","")</f>
        <v/>
      </c>
      <c r="AA292" s="10">
        <f>IF(COUNTA(B292:I292,K292:N292)=0,"",IF(Q292="","등록번호 없음",IF(LEFT(R292,1)="⚠","모병원명 미등록",IF(S292="","파견병원 입력",IF(LEFT(S292,1)="⚠","파견병원명 미등록",IF(LEFT(U292,1)="⚠","파견과목 미등록",IF(OR(T292="",LEFT(T292,1)="⚠"),"파견근거 확인",IF(NOT(AND(ISNUMBER(H292),ISNUMBER(I292))),"날짜 형식/누락",IF(I292&lt;H292,"종료일&lt;시작일","")))))))))</f>
        <v/>
      </c>
      <c r="AB292" s="11">
        <f>IF(ISNUMBER(SEARCH("다기관",TRIM(N292&amp;" "&amp;O292))),IFERROR(DATE(VALUE(MID(TRIM(N292&amp;" "&amp;O292),1,4)),VALUE(MID(TRIM(N292&amp;" "&amp;O292),6,2)),VALUE(MID(TRIM(N292&amp;" "&amp;O292),9,2))),IF(ISNUMBER(H292),H292,"")),"")</f>
        <v/>
      </c>
      <c r="AC292" s="11">
        <f>IF(ISNUMBER(SEARCH("다기관",TRIM(N292&amp;" "&amp;O292))),IFERROR(DATE(VALUE(MID(TRIM(N292&amp;" "&amp;O292),12,4)),VALUE(MID(TRIM(N292&amp;" "&amp;O292),17,2)),VALUE(MID(TRIM(N292&amp;" "&amp;O292),20,2))),IF(ISNUMBER(I292),I292,"")),"")</f>
        <v/>
      </c>
      <c r="AD292" s="17">
        <f>IF(AND(ISNUMBER(AB292),ISNUMBER(AC292)),MAX(0,MIN(AC292,EOMONTH(출력_요약!$B$3,0))-MAX(AB292,출력_요약!$B$3)+1),0)</f>
        <v/>
      </c>
      <c r="AE292" s="10">
        <f>IF(AND(Q292&lt;&gt;"",ISNUMBER(AB292)),Q292&amp;"|다기관","")</f>
        <v/>
      </c>
    </row>
    <row r="293">
      <c r="A293" s="15">
        <f>IF(F293="","",ROW()-3)</f>
        <v/>
      </c>
      <c r="B293" s="5" t="n"/>
      <c r="C293" s="15" t="n"/>
      <c r="D293" s="5" t="n"/>
      <c r="E293" s="15" t="n"/>
      <c r="F293" s="5" t="n"/>
      <c r="G293" s="6" t="n"/>
      <c r="H293" s="16" t="n"/>
      <c r="I293" s="16" t="n"/>
      <c r="J293" s="15">
        <f>IF(AND(ISNUMBER(H293),ISNUMBER(I293)),I293-H293+1,"")</f>
        <v/>
      </c>
      <c r="K293" s="5" t="n"/>
      <c r="L293" s="5" t="n"/>
      <c r="M293" s="5" t="n"/>
      <c r="N293" s="5" t="n"/>
      <c r="O293" s="5" t="n"/>
      <c r="Q293" s="10">
        <f>IF(TRIM(G293&amp;"")="","",TRIM(G293&amp;""))</f>
        <v/>
      </c>
      <c r="R293" s="10">
        <f>IF(TRIM(B293&amp;"")="","",IFERROR(INDEX(설정_코드표!$K$2:$K$101,MATCH(TRIM(B293&amp;""),설정_코드표!$J$2:$J$101,0)),"⚠"&amp;TRIM(B293&amp;"")))</f>
        <v/>
      </c>
      <c r="S293" s="10">
        <f>IF(TRIM(K293&amp;"")="","",IFERROR(INDEX(설정_코드표!$K$2:$K$101,MATCH(TRIM(K293&amp;""),설정_코드표!$J$2:$J$101,0)),"⚠"&amp;TRIM(K293&amp;"")))</f>
        <v/>
      </c>
      <c r="T293" s="10">
        <f>IF(TRIM(M293&amp;"")="","",IF(ISNUMBER(MATCH(TRIM(M293&amp;""),설정_코드표!$C$2:$C$11,0)),TRIM(M293&amp;""),"⚠"&amp;TRIM(M293&amp;"")))</f>
        <v/>
      </c>
      <c r="U293" s="10">
        <f>IF(TRIM(L293&amp;"")="","",IFERROR(INDEX(설정_코드표!$G$2:$G$101,MATCH(TRIM(L293&amp;""),설정_코드표!$F$2:$F$101,0)),"⚠"&amp;TRIM(L293&amp;"")))</f>
        <v/>
      </c>
      <c r="V293" s="10">
        <f>IF(AND(ISNUMBER(H293),ISNUMBER(I293)),I293-H293+1,"")</f>
        <v/>
      </c>
      <c r="W293" s="17">
        <f>IF(ISNUMBER(H293),MAX(0,MIN(IF(ISNUMBER(I293),I293,EOMONTH(출력_요약!$B$3,0)),EOMONTH(출력_요약!$B$3,0))-MAX(H293,출력_요약!$B$3)+1),0)</f>
        <v/>
      </c>
      <c r="X293" s="10">
        <f>IF(OR(NOT(ISNUMBER(H293)),Q293=""),"",IF(TODAY()&lt;H293,"파견예정",IF(AND(ISNUMBER(I293),TODAY()&gt;I293),"파견종료","파견중")))</f>
        <v/>
      </c>
      <c r="Y293" s="10">
        <f>IF(OR(Q293="",X293=""),"",Q293&amp;"|"&amp;X293)</f>
        <v/>
      </c>
      <c r="Z293" s="10">
        <f>IF(AND(Q293&lt;&gt;"",W293&gt;0),Q293&amp;"|월","")</f>
        <v/>
      </c>
      <c r="AA293" s="10">
        <f>IF(COUNTA(B293:I293,K293:N293)=0,"",IF(Q293="","등록번호 없음",IF(LEFT(R293,1)="⚠","모병원명 미등록",IF(S293="","파견병원 입력",IF(LEFT(S293,1)="⚠","파견병원명 미등록",IF(LEFT(U293,1)="⚠","파견과목 미등록",IF(OR(T293="",LEFT(T293,1)="⚠"),"파견근거 확인",IF(NOT(AND(ISNUMBER(H293),ISNUMBER(I293))),"날짜 형식/누락",IF(I293&lt;H293,"종료일&lt;시작일","")))))))))</f>
        <v/>
      </c>
      <c r="AB293" s="11">
        <f>IF(ISNUMBER(SEARCH("다기관",TRIM(N293&amp;" "&amp;O293))),IFERROR(DATE(VALUE(MID(TRIM(N293&amp;" "&amp;O293),1,4)),VALUE(MID(TRIM(N293&amp;" "&amp;O293),6,2)),VALUE(MID(TRIM(N293&amp;" "&amp;O293),9,2))),IF(ISNUMBER(H293),H293,"")),"")</f>
        <v/>
      </c>
      <c r="AC293" s="11">
        <f>IF(ISNUMBER(SEARCH("다기관",TRIM(N293&amp;" "&amp;O293))),IFERROR(DATE(VALUE(MID(TRIM(N293&amp;" "&amp;O293),12,4)),VALUE(MID(TRIM(N293&amp;" "&amp;O293),17,2)),VALUE(MID(TRIM(N293&amp;" "&amp;O293),20,2))),IF(ISNUMBER(I293),I293,"")),"")</f>
        <v/>
      </c>
      <c r="AD293" s="17">
        <f>IF(AND(ISNUMBER(AB293),ISNUMBER(AC293)),MAX(0,MIN(AC293,EOMONTH(출력_요약!$B$3,0))-MAX(AB293,출력_요약!$B$3)+1),0)</f>
        <v/>
      </c>
      <c r="AE293" s="10">
        <f>IF(AND(Q293&lt;&gt;"",ISNUMBER(AB293)),Q293&amp;"|다기관","")</f>
        <v/>
      </c>
    </row>
    <row r="294">
      <c r="A294" s="15">
        <f>IF(F294="","",ROW()-3)</f>
        <v/>
      </c>
      <c r="B294" s="5" t="n"/>
      <c r="C294" s="15" t="n"/>
      <c r="D294" s="5" t="n"/>
      <c r="E294" s="15" t="n"/>
      <c r="F294" s="5" t="n"/>
      <c r="G294" s="6" t="n"/>
      <c r="H294" s="16" t="n"/>
      <c r="I294" s="16" t="n"/>
      <c r="J294" s="15">
        <f>IF(AND(ISNUMBER(H294),ISNUMBER(I294)),I294-H294+1,"")</f>
        <v/>
      </c>
      <c r="K294" s="5" t="n"/>
      <c r="L294" s="5" t="n"/>
      <c r="M294" s="5" t="n"/>
      <c r="N294" s="5" t="n"/>
      <c r="O294" s="5" t="n"/>
      <c r="Q294" s="10">
        <f>IF(TRIM(G294&amp;"")="","",TRIM(G294&amp;""))</f>
        <v/>
      </c>
      <c r="R294" s="10">
        <f>IF(TRIM(B294&amp;"")="","",IFERROR(INDEX(설정_코드표!$K$2:$K$101,MATCH(TRIM(B294&amp;""),설정_코드표!$J$2:$J$101,0)),"⚠"&amp;TRIM(B294&amp;"")))</f>
        <v/>
      </c>
      <c r="S294" s="10">
        <f>IF(TRIM(K294&amp;"")="","",IFERROR(INDEX(설정_코드표!$K$2:$K$101,MATCH(TRIM(K294&amp;""),설정_코드표!$J$2:$J$101,0)),"⚠"&amp;TRIM(K294&amp;"")))</f>
        <v/>
      </c>
      <c r="T294" s="10">
        <f>IF(TRIM(M294&amp;"")="","",IF(ISNUMBER(MATCH(TRIM(M294&amp;""),설정_코드표!$C$2:$C$11,0)),TRIM(M294&amp;""),"⚠"&amp;TRIM(M294&amp;"")))</f>
        <v/>
      </c>
      <c r="U294" s="10">
        <f>IF(TRIM(L294&amp;"")="","",IFERROR(INDEX(설정_코드표!$G$2:$G$101,MATCH(TRIM(L294&amp;""),설정_코드표!$F$2:$F$101,0)),"⚠"&amp;TRIM(L294&amp;"")))</f>
        <v/>
      </c>
      <c r="V294" s="10">
        <f>IF(AND(ISNUMBER(H294),ISNUMBER(I294)),I294-H294+1,"")</f>
        <v/>
      </c>
      <c r="W294" s="17">
        <f>IF(ISNUMBER(H294),MAX(0,MIN(IF(ISNUMBER(I294),I294,EOMONTH(출력_요약!$B$3,0)),EOMONTH(출력_요약!$B$3,0))-MAX(H294,출력_요약!$B$3)+1),0)</f>
        <v/>
      </c>
      <c r="X294" s="10">
        <f>IF(OR(NOT(ISNUMBER(H294)),Q294=""),"",IF(TODAY()&lt;H294,"파견예정",IF(AND(ISNUMBER(I294),TODAY()&gt;I294),"파견종료","파견중")))</f>
        <v/>
      </c>
      <c r="Y294" s="10">
        <f>IF(OR(Q294="",X294=""),"",Q294&amp;"|"&amp;X294)</f>
        <v/>
      </c>
      <c r="Z294" s="10">
        <f>IF(AND(Q294&lt;&gt;"",W294&gt;0),Q294&amp;"|월","")</f>
        <v/>
      </c>
      <c r="AA294" s="10">
        <f>IF(COUNTA(B294:I294,K294:N294)=0,"",IF(Q294="","등록번호 없음",IF(LEFT(R294,1)="⚠","모병원명 미등록",IF(S294="","파견병원 입력",IF(LEFT(S294,1)="⚠","파견병원명 미등록",IF(LEFT(U294,1)="⚠","파견과목 미등록",IF(OR(T294="",LEFT(T294,1)="⚠"),"파견근거 확인",IF(NOT(AND(ISNUMBER(H294),ISNUMBER(I294))),"날짜 형식/누락",IF(I294&lt;H294,"종료일&lt;시작일","")))))))))</f>
        <v/>
      </c>
      <c r="AB294" s="11">
        <f>IF(ISNUMBER(SEARCH("다기관",TRIM(N294&amp;" "&amp;O294))),IFERROR(DATE(VALUE(MID(TRIM(N294&amp;" "&amp;O294),1,4)),VALUE(MID(TRIM(N294&amp;" "&amp;O294),6,2)),VALUE(MID(TRIM(N294&amp;" "&amp;O294),9,2))),IF(ISNUMBER(H294),H294,"")),"")</f>
        <v/>
      </c>
      <c r="AC294" s="11">
        <f>IF(ISNUMBER(SEARCH("다기관",TRIM(N294&amp;" "&amp;O294))),IFERROR(DATE(VALUE(MID(TRIM(N294&amp;" "&amp;O294),12,4)),VALUE(MID(TRIM(N294&amp;" "&amp;O294),17,2)),VALUE(MID(TRIM(N294&amp;" "&amp;O294),20,2))),IF(ISNUMBER(I294),I294,"")),"")</f>
        <v/>
      </c>
      <c r="AD294" s="17">
        <f>IF(AND(ISNUMBER(AB294),ISNUMBER(AC294)),MAX(0,MIN(AC294,EOMONTH(출력_요약!$B$3,0))-MAX(AB294,출력_요약!$B$3)+1),0)</f>
        <v/>
      </c>
      <c r="AE294" s="10">
        <f>IF(AND(Q294&lt;&gt;"",ISNUMBER(AB294)),Q294&amp;"|다기관","")</f>
        <v/>
      </c>
    </row>
    <row r="295">
      <c r="A295" s="15">
        <f>IF(F295="","",ROW()-3)</f>
        <v/>
      </c>
      <c r="B295" s="5" t="n"/>
      <c r="C295" s="15" t="n"/>
      <c r="D295" s="5" t="n"/>
      <c r="E295" s="15" t="n"/>
      <c r="F295" s="5" t="n"/>
      <c r="G295" s="6" t="n"/>
      <c r="H295" s="16" t="n"/>
      <c r="I295" s="16" t="n"/>
      <c r="J295" s="15">
        <f>IF(AND(ISNUMBER(H295),ISNUMBER(I295)),I295-H295+1,"")</f>
        <v/>
      </c>
      <c r="K295" s="5" t="n"/>
      <c r="L295" s="5" t="n"/>
      <c r="M295" s="5" t="n"/>
      <c r="N295" s="5" t="n"/>
      <c r="O295" s="5" t="n"/>
      <c r="Q295" s="10">
        <f>IF(TRIM(G295&amp;"")="","",TRIM(G295&amp;""))</f>
        <v/>
      </c>
      <c r="R295" s="10">
        <f>IF(TRIM(B295&amp;"")="","",IFERROR(INDEX(설정_코드표!$K$2:$K$101,MATCH(TRIM(B295&amp;""),설정_코드표!$J$2:$J$101,0)),"⚠"&amp;TRIM(B295&amp;"")))</f>
        <v/>
      </c>
      <c r="S295" s="10">
        <f>IF(TRIM(K295&amp;"")="","",IFERROR(INDEX(설정_코드표!$K$2:$K$101,MATCH(TRIM(K295&amp;""),설정_코드표!$J$2:$J$101,0)),"⚠"&amp;TRIM(K295&amp;"")))</f>
        <v/>
      </c>
      <c r="T295" s="10">
        <f>IF(TRIM(M295&amp;"")="","",IF(ISNUMBER(MATCH(TRIM(M295&amp;""),설정_코드표!$C$2:$C$11,0)),TRIM(M295&amp;""),"⚠"&amp;TRIM(M295&amp;"")))</f>
        <v/>
      </c>
      <c r="U295" s="10">
        <f>IF(TRIM(L295&amp;"")="","",IFERROR(INDEX(설정_코드표!$G$2:$G$101,MATCH(TRIM(L295&amp;""),설정_코드표!$F$2:$F$101,0)),"⚠"&amp;TRIM(L295&amp;"")))</f>
        <v/>
      </c>
      <c r="V295" s="10">
        <f>IF(AND(ISNUMBER(H295),ISNUMBER(I295)),I295-H295+1,"")</f>
        <v/>
      </c>
      <c r="W295" s="17">
        <f>IF(ISNUMBER(H295),MAX(0,MIN(IF(ISNUMBER(I295),I295,EOMONTH(출력_요약!$B$3,0)),EOMONTH(출력_요약!$B$3,0))-MAX(H295,출력_요약!$B$3)+1),0)</f>
        <v/>
      </c>
      <c r="X295" s="10">
        <f>IF(OR(NOT(ISNUMBER(H295)),Q295=""),"",IF(TODAY()&lt;H295,"파견예정",IF(AND(ISNUMBER(I295),TODAY()&gt;I295),"파견종료","파견중")))</f>
        <v/>
      </c>
      <c r="Y295" s="10">
        <f>IF(OR(Q295="",X295=""),"",Q295&amp;"|"&amp;X295)</f>
        <v/>
      </c>
      <c r="Z295" s="10">
        <f>IF(AND(Q295&lt;&gt;"",W295&gt;0),Q295&amp;"|월","")</f>
        <v/>
      </c>
      <c r="AA295" s="10">
        <f>IF(COUNTA(B295:I295,K295:N295)=0,"",IF(Q295="","등록번호 없음",IF(LEFT(R295,1)="⚠","모병원명 미등록",IF(S295="","파견병원 입력",IF(LEFT(S295,1)="⚠","파견병원명 미등록",IF(LEFT(U295,1)="⚠","파견과목 미등록",IF(OR(T295="",LEFT(T295,1)="⚠"),"파견근거 확인",IF(NOT(AND(ISNUMBER(H295),ISNUMBER(I295))),"날짜 형식/누락",IF(I295&lt;H295,"종료일&lt;시작일","")))))))))</f>
        <v/>
      </c>
      <c r="AB295" s="11">
        <f>IF(ISNUMBER(SEARCH("다기관",TRIM(N295&amp;" "&amp;O295))),IFERROR(DATE(VALUE(MID(TRIM(N295&amp;" "&amp;O295),1,4)),VALUE(MID(TRIM(N295&amp;" "&amp;O295),6,2)),VALUE(MID(TRIM(N295&amp;" "&amp;O295),9,2))),IF(ISNUMBER(H295),H295,"")),"")</f>
        <v/>
      </c>
      <c r="AC295" s="11">
        <f>IF(ISNUMBER(SEARCH("다기관",TRIM(N295&amp;" "&amp;O295))),IFERROR(DATE(VALUE(MID(TRIM(N295&amp;" "&amp;O295),12,4)),VALUE(MID(TRIM(N295&amp;" "&amp;O295),17,2)),VALUE(MID(TRIM(N295&amp;" "&amp;O295),20,2))),IF(ISNUMBER(I295),I295,"")),"")</f>
        <v/>
      </c>
      <c r="AD295" s="17">
        <f>IF(AND(ISNUMBER(AB295),ISNUMBER(AC295)),MAX(0,MIN(AC295,EOMONTH(출력_요약!$B$3,0))-MAX(AB295,출력_요약!$B$3)+1),0)</f>
        <v/>
      </c>
      <c r="AE295" s="10">
        <f>IF(AND(Q295&lt;&gt;"",ISNUMBER(AB295)),Q295&amp;"|다기관","")</f>
        <v/>
      </c>
    </row>
    <row r="296">
      <c r="A296" s="15">
        <f>IF(F296="","",ROW()-3)</f>
        <v/>
      </c>
      <c r="B296" s="5" t="n"/>
      <c r="C296" s="15" t="n"/>
      <c r="D296" s="5" t="n"/>
      <c r="E296" s="15" t="n"/>
      <c r="F296" s="5" t="n"/>
      <c r="G296" s="6" t="n"/>
      <c r="H296" s="16" t="n"/>
      <c r="I296" s="16" t="n"/>
      <c r="J296" s="15">
        <f>IF(AND(ISNUMBER(H296),ISNUMBER(I296)),I296-H296+1,"")</f>
        <v/>
      </c>
      <c r="K296" s="5" t="n"/>
      <c r="L296" s="5" t="n"/>
      <c r="M296" s="5" t="n"/>
      <c r="N296" s="5" t="n"/>
      <c r="O296" s="5" t="n"/>
      <c r="Q296" s="10">
        <f>IF(TRIM(G296&amp;"")="","",TRIM(G296&amp;""))</f>
        <v/>
      </c>
      <c r="R296" s="10">
        <f>IF(TRIM(B296&amp;"")="","",IFERROR(INDEX(설정_코드표!$K$2:$K$101,MATCH(TRIM(B296&amp;""),설정_코드표!$J$2:$J$101,0)),"⚠"&amp;TRIM(B296&amp;"")))</f>
        <v/>
      </c>
      <c r="S296" s="10">
        <f>IF(TRIM(K296&amp;"")="","",IFERROR(INDEX(설정_코드표!$K$2:$K$101,MATCH(TRIM(K296&amp;""),설정_코드표!$J$2:$J$101,0)),"⚠"&amp;TRIM(K296&amp;"")))</f>
        <v/>
      </c>
      <c r="T296" s="10">
        <f>IF(TRIM(M296&amp;"")="","",IF(ISNUMBER(MATCH(TRIM(M296&amp;""),설정_코드표!$C$2:$C$11,0)),TRIM(M296&amp;""),"⚠"&amp;TRIM(M296&amp;"")))</f>
        <v/>
      </c>
      <c r="U296" s="10">
        <f>IF(TRIM(L296&amp;"")="","",IFERROR(INDEX(설정_코드표!$G$2:$G$101,MATCH(TRIM(L296&amp;""),설정_코드표!$F$2:$F$101,0)),"⚠"&amp;TRIM(L296&amp;"")))</f>
        <v/>
      </c>
      <c r="V296" s="10">
        <f>IF(AND(ISNUMBER(H296),ISNUMBER(I296)),I296-H296+1,"")</f>
        <v/>
      </c>
      <c r="W296" s="17">
        <f>IF(ISNUMBER(H296),MAX(0,MIN(IF(ISNUMBER(I296),I296,EOMONTH(출력_요약!$B$3,0)),EOMONTH(출력_요약!$B$3,0))-MAX(H296,출력_요약!$B$3)+1),0)</f>
        <v/>
      </c>
      <c r="X296" s="10">
        <f>IF(OR(NOT(ISNUMBER(H296)),Q296=""),"",IF(TODAY()&lt;H296,"파견예정",IF(AND(ISNUMBER(I296),TODAY()&gt;I296),"파견종료","파견중")))</f>
        <v/>
      </c>
      <c r="Y296" s="10">
        <f>IF(OR(Q296="",X296=""),"",Q296&amp;"|"&amp;X296)</f>
        <v/>
      </c>
      <c r="Z296" s="10">
        <f>IF(AND(Q296&lt;&gt;"",W296&gt;0),Q296&amp;"|월","")</f>
        <v/>
      </c>
      <c r="AA296" s="10">
        <f>IF(COUNTA(B296:I296,K296:N296)=0,"",IF(Q296="","등록번호 없음",IF(LEFT(R296,1)="⚠","모병원명 미등록",IF(S296="","파견병원 입력",IF(LEFT(S296,1)="⚠","파견병원명 미등록",IF(LEFT(U296,1)="⚠","파견과목 미등록",IF(OR(T296="",LEFT(T296,1)="⚠"),"파견근거 확인",IF(NOT(AND(ISNUMBER(H296),ISNUMBER(I296))),"날짜 형식/누락",IF(I296&lt;H296,"종료일&lt;시작일","")))))))))</f>
        <v/>
      </c>
      <c r="AB296" s="11">
        <f>IF(ISNUMBER(SEARCH("다기관",TRIM(N296&amp;" "&amp;O296))),IFERROR(DATE(VALUE(MID(TRIM(N296&amp;" "&amp;O296),1,4)),VALUE(MID(TRIM(N296&amp;" "&amp;O296),6,2)),VALUE(MID(TRIM(N296&amp;" "&amp;O296),9,2))),IF(ISNUMBER(H296),H296,"")),"")</f>
        <v/>
      </c>
      <c r="AC296" s="11">
        <f>IF(ISNUMBER(SEARCH("다기관",TRIM(N296&amp;" "&amp;O296))),IFERROR(DATE(VALUE(MID(TRIM(N296&amp;" "&amp;O296),12,4)),VALUE(MID(TRIM(N296&amp;" "&amp;O296),17,2)),VALUE(MID(TRIM(N296&amp;" "&amp;O296),20,2))),IF(ISNUMBER(I296),I296,"")),"")</f>
        <v/>
      </c>
      <c r="AD296" s="17">
        <f>IF(AND(ISNUMBER(AB296),ISNUMBER(AC296)),MAX(0,MIN(AC296,EOMONTH(출력_요약!$B$3,0))-MAX(AB296,출력_요약!$B$3)+1),0)</f>
        <v/>
      </c>
      <c r="AE296" s="10">
        <f>IF(AND(Q296&lt;&gt;"",ISNUMBER(AB296)),Q296&amp;"|다기관","")</f>
        <v/>
      </c>
    </row>
    <row r="297">
      <c r="A297" s="15">
        <f>IF(F297="","",ROW()-3)</f>
        <v/>
      </c>
      <c r="B297" s="5" t="n"/>
      <c r="C297" s="15" t="n"/>
      <c r="D297" s="5" t="n"/>
      <c r="E297" s="15" t="n"/>
      <c r="F297" s="5" t="n"/>
      <c r="G297" s="6" t="n"/>
      <c r="H297" s="16" t="n"/>
      <c r="I297" s="16" t="n"/>
      <c r="J297" s="15">
        <f>IF(AND(ISNUMBER(H297),ISNUMBER(I297)),I297-H297+1,"")</f>
        <v/>
      </c>
      <c r="K297" s="5" t="n"/>
      <c r="L297" s="5" t="n"/>
      <c r="M297" s="5" t="n"/>
      <c r="N297" s="5" t="n"/>
      <c r="O297" s="5" t="n"/>
      <c r="Q297" s="10">
        <f>IF(TRIM(G297&amp;"")="","",TRIM(G297&amp;""))</f>
        <v/>
      </c>
      <c r="R297" s="10">
        <f>IF(TRIM(B297&amp;"")="","",IFERROR(INDEX(설정_코드표!$K$2:$K$101,MATCH(TRIM(B297&amp;""),설정_코드표!$J$2:$J$101,0)),"⚠"&amp;TRIM(B297&amp;"")))</f>
        <v/>
      </c>
      <c r="S297" s="10">
        <f>IF(TRIM(K297&amp;"")="","",IFERROR(INDEX(설정_코드표!$K$2:$K$101,MATCH(TRIM(K297&amp;""),설정_코드표!$J$2:$J$101,0)),"⚠"&amp;TRIM(K297&amp;"")))</f>
        <v/>
      </c>
      <c r="T297" s="10">
        <f>IF(TRIM(M297&amp;"")="","",IF(ISNUMBER(MATCH(TRIM(M297&amp;""),설정_코드표!$C$2:$C$11,0)),TRIM(M297&amp;""),"⚠"&amp;TRIM(M297&amp;"")))</f>
        <v/>
      </c>
      <c r="U297" s="10">
        <f>IF(TRIM(L297&amp;"")="","",IFERROR(INDEX(설정_코드표!$G$2:$G$101,MATCH(TRIM(L297&amp;""),설정_코드표!$F$2:$F$101,0)),"⚠"&amp;TRIM(L297&amp;"")))</f>
        <v/>
      </c>
      <c r="V297" s="10">
        <f>IF(AND(ISNUMBER(H297),ISNUMBER(I297)),I297-H297+1,"")</f>
        <v/>
      </c>
      <c r="W297" s="17">
        <f>IF(ISNUMBER(H297),MAX(0,MIN(IF(ISNUMBER(I297),I297,EOMONTH(출력_요약!$B$3,0)),EOMONTH(출력_요약!$B$3,0))-MAX(H297,출력_요약!$B$3)+1),0)</f>
        <v/>
      </c>
      <c r="X297" s="10">
        <f>IF(OR(NOT(ISNUMBER(H297)),Q297=""),"",IF(TODAY()&lt;H297,"파견예정",IF(AND(ISNUMBER(I297),TODAY()&gt;I297),"파견종료","파견중")))</f>
        <v/>
      </c>
      <c r="Y297" s="10">
        <f>IF(OR(Q297="",X297=""),"",Q297&amp;"|"&amp;X297)</f>
        <v/>
      </c>
      <c r="Z297" s="10">
        <f>IF(AND(Q297&lt;&gt;"",W297&gt;0),Q297&amp;"|월","")</f>
        <v/>
      </c>
      <c r="AA297" s="10">
        <f>IF(COUNTA(B297:I297,K297:N297)=0,"",IF(Q297="","등록번호 없음",IF(LEFT(R297,1)="⚠","모병원명 미등록",IF(S297="","파견병원 입력",IF(LEFT(S297,1)="⚠","파견병원명 미등록",IF(LEFT(U297,1)="⚠","파견과목 미등록",IF(OR(T297="",LEFT(T297,1)="⚠"),"파견근거 확인",IF(NOT(AND(ISNUMBER(H297),ISNUMBER(I297))),"날짜 형식/누락",IF(I297&lt;H297,"종료일&lt;시작일","")))))))))</f>
        <v/>
      </c>
      <c r="AB297" s="11">
        <f>IF(ISNUMBER(SEARCH("다기관",TRIM(N297&amp;" "&amp;O297))),IFERROR(DATE(VALUE(MID(TRIM(N297&amp;" "&amp;O297),1,4)),VALUE(MID(TRIM(N297&amp;" "&amp;O297),6,2)),VALUE(MID(TRIM(N297&amp;" "&amp;O297),9,2))),IF(ISNUMBER(H297),H297,"")),"")</f>
        <v/>
      </c>
      <c r="AC297" s="11">
        <f>IF(ISNUMBER(SEARCH("다기관",TRIM(N297&amp;" "&amp;O297))),IFERROR(DATE(VALUE(MID(TRIM(N297&amp;" "&amp;O297),12,4)),VALUE(MID(TRIM(N297&amp;" "&amp;O297),17,2)),VALUE(MID(TRIM(N297&amp;" "&amp;O297),20,2))),IF(ISNUMBER(I297),I297,"")),"")</f>
        <v/>
      </c>
      <c r="AD297" s="17">
        <f>IF(AND(ISNUMBER(AB297),ISNUMBER(AC297)),MAX(0,MIN(AC297,EOMONTH(출력_요약!$B$3,0))-MAX(AB297,출력_요약!$B$3)+1),0)</f>
        <v/>
      </c>
      <c r="AE297" s="10">
        <f>IF(AND(Q297&lt;&gt;"",ISNUMBER(AB297)),Q297&amp;"|다기관","")</f>
        <v/>
      </c>
    </row>
    <row r="298">
      <c r="A298" s="15">
        <f>IF(F298="","",ROW()-3)</f>
        <v/>
      </c>
      <c r="B298" s="5" t="n"/>
      <c r="C298" s="15" t="n"/>
      <c r="D298" s="5" t="n"/>
      <c r="E298" s="15" t="n"/>
      <c r="F298" s="5" t="n"/>
      <c r="G298" s="6" t="n"/>
      <c r="H298" s="16" t="n"/>
      <c r="I298" s="16" t="n"/>
      <c r="J298" s="15">
        <f>IF(AND(ISNUMBER(H298),ISNUMBER(I298)),I298-H298+1,"")</f>
        <v/>
      </c>
      <c r="K298" s="5" t="n"/>
      <c r="L298" s="5" t="n"/>
      <c r="M298" s="5" t="n"/>
      <c r="N298" s="5" t="n"/>
      <c r="O298" s="5" t="n"/>
      <c r="Q298" s="10">
        <f>IF(TRIM(G298&amp;"")="","",TRIM(G298&amp;""))</f>
        <v/>
      </c>
      <c r="R298" s="10">
        <f>IF(TRIM(B298&amp;"")="","",IFERROR(INDEX(설정_코드표!$K$2:$K$101,MATCH(TRIM(B298&amp;""),설정_코드표!$J$2:$J$101,0)),"⚠"&amp;TRIM(B298&amp;"")))</f>
        <v/>
      </c>
      <c r="S298" s="10">
        <f>IF(TRIM(K298&amp;"")="","",IFERROR(INDEX(설정_코드표!$K$2:$K$101,MATCH(TRIM(K298&amp;""),설정_코드표!$J$2:$J$101,0)),"⚠"&amp;TRIM(K298&amp;"")))</f>
        <v/>
      </c>
      <c r="T298" s="10">
        <f>IF(TRIM(M298&amp;"")="","",IF(ISNUMBER(MATCH(TRIM(M298&amp;""),설정_코드표!$C$2:$C$11,0)),TRIM(M298&amp;""),"⚠"&amp;TRIM(M298&amp;"")))</f>
        <v/>
      </c>
      <c r="U298" s="10">
        <f>IF(TRIM(L298&amp;"")="","",IFERROR(INDEX(설정_코드표!$G$2:$G$101,MATCH(TRIM(L298&amp;""),설정_코드표!$F$2:$F$101,0)),"⚠"&amp;TRIM(L298&amp;"")))</f>
        <v/>
      </c>
      <c r="V298" s="10">
        <f>IF(AND(ISNUMBER(H298),ISNUMBER(I298)),I298-H298+1,"")</f>
        <v/>
      </c>
      <c r="W298" s="17">
        <f>IF(ISNUMBER(H298),MAX(0,MIN(IF(ISNUMBER(I298),I298,EOMONTH(출력_요약!$B$3,0)),EOMONTH(출력_요약!$B$3,0))-MAX(H298,출력_요약!$B$3)+1),0)</f>
        <v/>
      </c>
      <c r="X298" s="10">
        <f>IF(OR(NOT(ISNUMBER(H298)),Q298=""),"",IF(TODAY()&lt;H298,"파견예정",IF(AND(ISNUMBER(I298),TODAY()&gt;I298),"파견종료","파견중")))</f>
        <v/>
      </c>
      <c r="Y298" s="10">
        <f>IF(OR(Q298="",X298=""),"",Q298&amp;"|"&amp;X298)</f>
        <v/>
      </c>
      <c r="Z298" s="10">
        <f>IF(AND(Q298&lt;&gt;"",W298&gt;0),Q298&amp;"|월","")</f>
        <v/>
      </c>
      <c r="AA298" s="10">
        <f>IF(COUNTA(B298:I298,K298:N298)=0,"",IF(Q298="","등록번호 없음",IF(LEFT(R298,1)="⚠","모병원명 미등록",IF(S298="","파견병원 입력",IF(LEFT(S298,1)="⚠","파견병원명 미등록",IF(LEFT(U298,1)="⚠","파견과목 미등록",IF(OR(T298="",LEFT(T298,1)="⚠"),"파견근거 확인",IF(NOT(AND(ISNUMBER(H298),ISNUMBER(I298))),"날짜 형식/누락",IF(I298&lt;H298,"종료일&lt;시작일","")))))))))</f>
        <v/>
      </c>
      <c r="AB298" s="11">
        <f>IF(ISNUMBER(SEARCH("다기관",TRIM(N298&amp;" "&amp;O298))),IFERROR(DATE(VALUE(MID(TRIM(N298&amp;" "&amp;O298),1,4)),VALUE(MID(TRIM(N298&amp;" "&amp;O298),6,2)),VALUE(MID(TRIM(N298&amp;" "&amp;O298),9,2))),IF(ISNUMBER(H298),H298,"")),"")</f>
        <v/>
      </c>
      <c r="AC298" s="11">
        <f>IF(ISNUMBER(SEARCH("다기관",TRIM(N298&amp;" "&amp;O298))),IFERROR(DATE(VALUE(MID(TRIM(N298&amp;" "&amp;O298),12,4)),VALUE(MID(TRIM(N298&amp;" "&amp;O298),17,2)),VALUE(MID(TRIM(N298&amp;" "&amp;O298),20,2))),IF(ISNUMBER(I298),I298,"")),"")</f>
        <v/>
      </c>
      <c r="AD298" s="17">
        <f>IF(AND(ISNUMBER(AB298),ISNUMBER(AC298)),MAX(0,MIN(AC298,EOMONTH(출력_요약!$B$3,0))-MAX(AB298,출력_요약!$B$3)+1),0)</f>
        <v/>
      </c>
      <c r="AE298" s="10">
        <f>IF(AND(Q298&lt;&gt;"",ISNUMBER(AB298)),Q298&amp;"|다기관","")</f>
        <v/>
      </c>
    </row>
    <row r="299">
      <c r="A299" s="15">
        <f>IF(F299="","",ROW()-3)</f>
        <v/>
      </c>
      <c r="B299" s="5" t="n"/>
      <c r="C299" s="15" t="n"/>
      <c r="D299" s="5" t="n"/>
      <c r="E299" s="15" t="n"/>
      <c r="F299" s="5" t="n"/>
      <c r="G299" s="6" t="n"/>
      <c r="H299" s="16" t="n"/>
      <c r="I299" s="16" t="n"/>
      <c r="J299" s="15">
        <f>IF(AND(ISNUMBER(H299),ISNUMBER(I299)),I299-H299+1,"")</f>
        <v/>
      </c>
      <c r="K299" s="5" t="n"/>
      <c r="L299" s="5" t="n"/>
      <c r="M299" s="5" t="n"/>
      <c r="N299" s="5" t="n"/>
      <c r="O299" s="5" t="n"/>
      <c r="Q299" s="10">
        <f>IF(TRIM(G299&amp;"")="","",TRIM(G299&amp;""))</f>
        <v/>
      </c>
      <c r="R299" s="10">
        <f>IF(TRIM(B299&amp;"")="","",IFERROR(INDEX(설정_코드표!$K$2:$K$101,MATCH(TRIM(B299&amp;""),설정_코드표!$J$2:$J$101,0)),"⚠"&amp;TRIM(B299&amp;"")))</f>
        <v/>
      </c>
      <c r="S299" s="10">
        <f>IF(TRIM(K299&amp;"")="","",IFERROR(INDEX(설정_코드표!$K$2:$K$101,MATCH(TRIM(K299&amp;""),설정_코드표!$J$2:$J$101,0)),"⚠"&amp;TRIM(K299&amp;"")))</f>
        <v/>
      </c>
      <c r="T299" s="10">
        <f>IF(TRIM(M299&amp;"")="","",IF(ISNUMBER(MATCH(TRIM(M299&amp;""),설정_코드표!$C$2:$C$11,0)),TRIM(M299&amp;""),"⚠"&amp;TRIM(M299&amp;"")))</f>
        <v/>
      </c>
      <c r="U299" s="10">
        <f>IF(TRIM(L299&amp;"")="","",IFERROR(INDEX(설정_코드표!$G$2:$G$101,MATCH(TRIM(L299&amp;""),설정_코드표!$F$2:$F$101,0)),"⚠"&amp;TRIM(L299&amp;"")))</f>
        <v/>
      </c>
      <c r="V299" s="10">
        <f>IF(AND(ISNUMBER(H299),ISNUMBER(I299)),I299-H299+1,"")</f>
        <v/>
      </c>
      <c r="W299" s="17">
        <f>IF(ISNUMBER(H299),MAX(0,MIN(IF(ISNUMBER(I299),I299,EOMONTH(출력_요약!$B$3,0)),EOMONTH(출력_요약!$B$3,0))-MAX(H299,출력_요약!$B$3)+1),0)</f>
        <v/>
      </c>
      <c r="X299" s="10">
        <f>IF(OR(NOT(ISNUMBER(H299)),Q299=""),"",IF(TODAY()&lt;H299,"파견예정",IF(AND(ISNUMBER(I299),TODAY()&gt;I299),"파견종료","파견중")))</f>
        <v/>
      </c>
      <c r="Y299" s="10">
        <f>IF(OR(Q299="",X299=""),"",Q299&amp;"|"&amp;X299)</f>
        <v/>
      </c>
      <c r="Z299" s="10">
        <f>IF(AND(Q299&lt;&gt;"",W299&gt;0),Q299&amp;"|월","")</f>
        <v/>
      </c>
      <c r="AA299" s="10">
        <f>IF(COUNTA(B299:I299,K299:N299)=0,"",IF(Q299="","등록번호 없음",IF(LEFT(R299,1)="⚠","모병원명 미등록",IF(S299="","파견병원 입력",IF(LEFT(S299,1)="⚠","파견병원명 미등록",IF(LEFT(U299,1)="⚠","파견과목 미등록",IF(OR(T299="",LEFT(T299,1)="⚠"),"파견근거 확인",IF(NOT(AND(ISNUMBER(H299),ISNUMBER(I299))),"날짜 형식/누락",IF(I299&lt;H299,"종료일&lt;시작일","")))))))))</f>
        <v/>
      </c>
      <c r="AB299" s="11">
        <f>IF(ISNUMBER(SEARCH("다기관",TRIM(N299&amp;" "&amp;O299))),IFERROR(DATE(VALUE(MID(TRIM(N299&amp;" "&amp;O299),1,4)),VALUE(MID(TRIM(N299&amp;" "&amp;O299),6,2)),VALUE(MID(TRIM(N299&amp;" "&amp;O299),9,2))),IF(ISNUMBER(H299),H299,"")),"")</f>
        <v/>
      </c>
      <c r="AC299" s="11">
        <f>IF(ISNUMBER(SEARCH("다기관",TRIM(N299&amp;" "&amp;O299))),IFERROR(DATE(VALUE(MID(TRIM(N299&amp;" "&amp;O299),12,4)),VALUE(MID(TRIM(N299&amp;" "&amp;O299),17,2)),VALUE(MID(TRIM(N299&amp;" "&amp;O299),20,2))),IF(ISNUMBER(I299),I299,"")),"")</f>
        <v/>
      </c>
      <c r="AD299" s="17">
        <f>IF(AND(ISNUMBER(AB299),ISNUMBER(AC299)),MAX(0,MIN(AC299,EOMONTH(출력_요약!$B$3,0))-MAX(AB299,출력_요약!$B$3)+1),0)</f>
        <v/>
      </c>
      <c r="AE299" s="10">
        <f>IF(AND(Q299&lt;&gt;"",ISNUMBER(AB299)),Q299&amp;"|다기관","")</f>
        <v/>
      </c>
    </row>
    <row r="300">
      <c r="A300" s="15">
        <f>IF(F300="","",ROW()-3)</f>
        <v/>
      </c>
      <c r="B300" s="5" t="n"/>
      <c r="C300" s="15" t="n"/>
      <c r="D300" s="5" t="n"/>
      <c r="E300" s="15" t="n"/>
      <c r="F300" s="5" t="n"/>
      <c r="G300" s="6" t="n"/>
      <c r="H300" s="16" t="n"/>
      <c r="I300" s="16" t="n"/>
      <c r="J300" s="15">
        <f>IF(AND(ISNUMBER(H300),ISNUMBER(I300)),I300-H300+1,"")</f>
        <v/>
      </c>
      <c r="K300" s="5" t="n"/>
      <c r="L300" s="5" t="n"/>
      <c r="M300" s="5" t="n"/>
      <c r="N300" s="5" t="n"/>
      <c r="O300" s="5" t="n"/>
      <c r="Q300" s="10">
        <f>IF(TRIM(G300&amp;"")="","",TRIM(G300&amp;""))</f>
        <v/>
      </c>
      <c r="R300" s="10">
        <f>IF(TRIM(B300&amp;"")="","",IFERROR(INDEX(설정_코드표!$K$2:$K$101,MATCH(TRIM(B300&amp;""),설정_코드표!$J$2:$J$101,0)),"⚠"&amp;TRIM(B300&amp;"")))</f>
        <v/>
      </c>
      <c r="S300" s="10">
        <f>IF(TRIM(K300&amp;"")="","",IFERROR(INDEX(설정_코드표!$K$2:$K$101,MATCH(TRIM(K300&amp;""),설정_코드표!$J$2:$J$101,0)),"⚠"&amp;TRIM(K300&amp;"")))</f>
        <v/>
      </c>
      <c r="T300" s="10">
        <f>IF(TRIM(M300&amp;"")="","",IF(ISNUMBER(MATCH(TRIM(M300&amp;""),설정_코드표!$C$2:$C$11,0)),TRIM(M300&amp;""),"⚠"&amp;TRIM(M300&amp;"")))</f>
        <v/>
      </c>
      <c r="U300" s="10">
        <f>IF(TRIM(L300&amp;"")="","",IFERROR(INDEX(설정_코드표!$G$2:$G$101,MATCH(TRIM(L300&amp;""),설정_코드표!$F$2:$F$101,0)),"⚠"&amp;TRIM(L300&amp;"")))</f>
        <v/>
      </c>
      <c r="V300" s="10">
        <f>IF(AND(ISNUMBER(H300),ISNUMBER(I300)),I300-H300+1,"")</f>
        <v/>
      </c>
      <c r="W300" s="17">
        <f>IF(ISNUMBER(H300),MAX(0,MIN(IF(ISNUMBER(I300),I300,EOMONTH(출력_요약!$B$3,0)),EOMONTH(출력_요약!$B$3,0))-MAX(H300,출력_요약!$B$3)+1),0)</f>
        <v/>
      </c>
      <c r="X300" s="10">
        <f>IF(OR(NOT(ISNUMBER(H300)),Q300=""),"",IF(TODAY()&lt;H300,"파견예정",IF(AND(ISNUMBER(I300),TODAY()&gt;I300),"파견종료","파견중")))</f>
        <v/>
      </c>
      <c r="Y300" s="10">
        <f>IF(OR(Q300="",X300=""),"",Q300&amp;"|"&amp;X300)</f>
        <v/>
      </c>
      <c r="Z300" s="10">
        <f>IF(AND(Q300&lt;&gt;"",W300&gt;0),Q300&amp;"|월","")</f>
        <v/>
      </c>
      <c r="AA300" s="10">
        <f>IF(COUNTA(B300:I300,K300:N300)=0,"",IF(Q300="","등록번호 없음",IF(LEFT(R300,1)="⚠","모병원명 미등록",IF(S300="","파견병원 입력",IF(LEFT(S300,1)="⚠","파견병원명 미등록",IF(LEFT(U300,1)="⚠","파견과목 미등록",IF(OR(T300="",LEFT(T300,1)="⚠"),"파견근거 확인",IF(NOT(AND(ISNUMBER(H300),ISNUMBER(I300))),"날짜 형식/누락",IF(I300&lt;H300,"종료일&lt;시작일","")))))))))</f>
        <v/>
      </c>
      <c r="AB300" s="11">
        <f>IF(ISNUMBER(SEARCH("다기관",TRIM(N300&amp;" "&amp;O300))),IFERROR(DATE(VALUE(MID(TRIM(N300&amp;" "&amp;O300),1,4)),VALUE(MID(TRIM(N300&amp;" "&amp;O300),6,2)),VALUE(MID(TRIM(N300&amp;" "&amp;O300),9,2))),IF(ISNUMBER(H300),H300,"")),"")</f>
        <v/>
      </c>
      <c r="AC300" s="11">
        <f>IF(ISNUMBER(SEARCH("다기관",TRIM(N300&amp;" "&amp;O300))),IFERROR(DATE(VALUE(MID(TRIM(N300&amp;" "&amp;O300),12,4)),VALUE(MID(TRIM(N300&amp;" "&amp;O300),17,2)),VALUE(MID(TRIM(N300&amp;" "&amp;O300),20,2))),IF(ISNUMBER(I300),I300,"")),"")</f>
        <v/>
      </c>
      <c r="AD300" s="17">
        <f>IF(AND(ISNUMBER(AB300),ISNUMBER(AC300)),MAX(0,MIN(AC300,EOMONTH(출력_요약!$B$3,0))-MAX(AB300,출력_요약!$B$3)+1),0)</f>
        <v/>
      </c>
      <c r="AE300" s="10">
        <f>IF(AND(Q300&lt;&gt;"",ISNUMBER(AB300)),Q300&amp;"|다기관","")</f>
        <v/>
      </c>
    </row>
    <row r="301">
      <c r="A301" s="15">
        <f>IF(F301="","",ROW()-3)</f>
        <v/>
      </c>
      <c r="B301" s="5" t="n"/>
      <c r="C301" s="15" t="n"/>
      <c r="D301" s="5" t="n"/>
      <c r="E301" s="15" t="n"/>
      <c r="F301" s="5" t="n"/>
      <c r="G301" s="6" t="n"/>
      <c r="H301" s="16" t="n"/>
      <c r="I301" s="16" t="n"/>
      <c r="J301" s="15">
        <f>IF(AND(ISNUMBER(H301),ISNUMBER(I301)),I301-H301+1,"")</f>
        <v/>
      </c>
      <c r="K301" s="5" t="n"/>
      <c r="L301" s="5" t="n"/>
      <c r="M301" s="5" t="n"/>
      <c r="N301" s="5" t="n"/>
      <c r="O301" s="5" t="n"/>
      <c r="Q301" s="10">
        <f>IF(TRIM(G301&amp;"")="","",TRIM(G301&amp;""))</f>
        <v/>
      </c>
      <c r="R301" s="10">
        <f>IF(TRIM(B301&amp;"")="","",IFERROR(INDEX(설정_코드표!$K$2:$K$101,MATCH(TRIM(B301&amp;""),설정_코드표!$J$2:$J$101,0)),"⚠"&amp;TRIM(B301&amp;"")))</f>
        <v/>
      </c>
      <c r="S301" s="10">
        <f>IF(TRIM(K301&amp;"")="","",IFERROR(INDEX(설정_코드표!$K$2:$K$101,MATCH(TRIM(K301&amp;""),설정_코드표!$J$2:$J$101,0)),"⚠"&amp;TRIM(K301&amp;"")))</f>
        <v/>
      </c>
      <c r="T301" s="10">
        <f>IF(TRIM(M301&amp;"")="","",IF(ISNUMBER(MATCH(TRIM(M301&amp;""),설정_코드표!$C$2:$C$11,0)),TRIM(M301&amp;""),"⚠"&amp;TRIM(M301&amp;"")))</f>
        <v/>
      </c>
      <c r="U301" s="10">
        <f>IF(TRIM(L301&amp;"")="","",IFERROR(INDEX(설정_코드표!$G$2:$G$101,MATCH(TRIM(L301&amp;""),설정_코드표!$F$2:$F$101,0)),"⚠"&amp;TRIM(L301&amp;"")))</f>
        <v/>
      </c>
      <c r="V301" s="10">
        <f>IF(AND(ISNUMBER(H301),ISNUMBER(I301)),I301-H301+1,"")</f>
        <v/>
      </c>
      <c r="W301" s="17">
        <f>IF(ISNUMBER(H301),MAX(0,MIN(IF(ISNUMBER(I301),I301,EOMONTH(출력_요약!$B$3,0)),EOMONTH(출력_요약!$B$3,0))-MAX(H301,출력_요약!$B$3)+1),0)</f>
        <v/>
      </c>
      <c r="X301" s="10">
        <f>IF(OR(NOT(ISNUMBER(H301)),Q301=""),"",IF(TODAY()&lt;H301,"파견예정",IF(AND(ISNUMBER(I301),TODAY()&gt;I301),"파견종료","파견중")))</f>
        <v/>
      </c>
      <c r="Y301" s="10">
        <f>IF(OR(Q301="",X301=""),"",Q301&amp;"|"&amp;X301)</f>
        <v/>
      </c>
      <c r="Z301" s="10">
        <f>IF(AND(Q301&lt;&gt;"",W301&gt;0),Q301&amp;"|월","")</f>
        <v/>
      </c>
      <c r="AA301" s="10">
        <f>IF(COUNTA(B301:I301,K301:N301)=0,"",IF(Q301="","등록번호 없음",IF(LEFT(R301,1)="⚠","모병원명 미등록",IF(S301="","파견병원 입력",IF(LEFT(S301,1)="⚠","파견병원명 미등록",IF(LEFT(U301,1)="⚠","파견과목 미등록",IF(OR(T301="",LEFT(T301,1)="⚠"),"파견근거 확인",IF(NOT(AND(ISNUMBER(H301),ISNUMBER(I301))),"날짜 형식/누락",IF(I301&lt;H301,"종료일&lt;시작일","")))))))))</f>
        <v/>
      </c>
      <c r="AB301" s="11">
        <f>IF(ISNUMBER(SEARCH("다기관",TRIM(N301&amp;" "&amp;O301))),IFERROR(DATE(VALUE(MID(TRIM(N301&amp;" "&amp;O301),1,4)),VALUE(MID(TRIM(N301&amp;" "&amp;O301),6,2)),VALUE(MID(TRIM(N301&amp;" "&amp;O301),9,2))),IF(ISNUMBER(H301),H301,"")),"")</f>
        <v/>
      </c>
      <c r="AC301" s="11">
        <f>IF(ISNUMBER(SEARCH("다기관",TRIM(N301&amp;" "&amp;O301))),IFERROR(DATE(VALUE(MID(TRIM(N301&amp;" "&amp;O301),12,4)),VALUE(MID(TRIM(N301&amp;" "&amp;O301),17,2)),VALUE(MID(TRIM(N301&amp;" "&amp;O301),20,2))),IF(ISNUMBER(I301),I301,"")),"")</f>
        <v/>
      </c>
      <c r="AD301" s="17">
        <f>IF(AND(ISNUMBER(AB301),ISNUMBER(AC301)),MAX(0,MIN(AC301,EOMONTH(출력_요약!$B$3,0))-MAX(AB301,출력_요약!$B$3)+1),0)</f>
        <v/>
      </c>
      <c r="AE301" s="10">
        <f>IF(AND(Q301&lt;&gt;"",ISNUMBER(AB301)),Q301&amp;"|다기관","")</f>
        <v/>
      </c>
    </row>
    <row r="302">
      <c r="A302" s="15">
        <f>IF(F302="","",ROW()-3)</f>
        <v/>
      </c>
      <c r="B302" s="5" t="n"/>
      <c r="C302" s="15" t="n"/>
      <c r="D302" s="5" t="n"/>
      <c r="E302" s="15" t="n"/>
      <c r="F302" s="5" t="n"/>
      <c r="G302" s="6" t="n"/>
      <c r="H302" s="16" t="n"/>
      <c r="I302" s="16" t="n"/>
      <c r="J302" s="15">
        <f>IF(AND(ISNUMBER(H302),ISNUMBER(I302)),I302-H302+1,"")</f>
        <v/>
      </c>
      <c r="K302" s="5" t="n"/>
      <c r="L302" s="5" t="n"/>
      <c r="M302" s="5" t="n"/>
      <c r="N302" s="5" t="n"/>
      <c r="O302" s="5" t="n"/>
      <c r="Q302" s="10">
        <f>IF(TRIM(G302&amp;"")="","",TRIM(G302&amp;""))</f>
        <v/>
      </c>
      <c r="R302" s="10">
        <f>IF(TRIM(B302&amp;"")="","",IFERROR(INDEX(설정_코드표!$K$2:$K$101,MATCH(TRIM(B302&amp;""),설정_코드표!$J$2:$J$101,0)),"⚠"&amp;TRIM(B302&amp;"")))</f>
        <v/>
      </c>
      <c r="S302" s="10">
        <f>IF(TRIM(K302&amp;"")="","",IFERROR(INDEX(설정_코드표!$K$2:$K$101,MATCH(TRIM(K302&amp;""),설정_코드표!$J$2:$J$101,0)),"⚠"&amp;TRIM(K302&amp;"")))</f>
        <v/>
      </c>
      <c r="T302" s="10">
        <f>IF(TRIM(M302&amp;"")="","",IF(ISNUMBER(MATCH(TRIM(M302&amp;""),설정_코드표!$C$2:$C$11,0)),TRIM(M302&amp;""),"⚠"&amp;TRIM(M302&amp;"")))</f>
        <v/>
      </c>
      <c r="U302" s="10">
        <f>IF(TRIM(L302&amp;"")="","",IFERROR(INDEX(설정_코드표!$G$2:$G$101,MATCH(TRIM(L302&amp;""),설정_코드표!$F$2:$F$101,0)),"⚠"&amp;TRIM(L302&amp;"")))</f>
        <v/>
      </c>
      <c r="V302" s="10">
        <f>IF(AND(ISNUMBER(H302),ISNUMBER(I302)),I302-H302+1,"")</f>
        <v/>
      </c>
      <c r="W302" s="17">
        <f>IF(ISNUMBER(H302),MAX(0,MIN(IF(ISNUMBER(I302),I302,EOMONTH(출력_요약!$B$3,0)),EOMONTH(출력_요약!$B$3,0))-MAX(H302,출력_요약!$B$3)+1),0)</f>
        <v/>
      </c>
      <c r="X302" s="10">
        <f>IF(OR(NOT(ISNUMBER(H302)),Q302=""),"",IF(TODAY()&lt;H302,"파견예정",IF(AND(ISNUMBER(I302),TODAY()&gt;I302),"파견종료","파견중")))</f>
        <v/>
      </c>
      <c r="Y302" s="10">
        <f>IF(OR(Q302="",X302=""),"",Q302&amp;"|"&amp;X302)</f>
        <v/>
      </c>
      <c r="Z302" s="10">
        <f>IF(AND(Q302&lt;&gt;"",W302&gt;0),Q302&amp;"|월","")</f>
        <v/>
      </c>
      <c r="AA302" s="10">
        <f>IF(COUNTA(B302:I302,K302:N302)=0,"",IF(Q302="","등록번호 없음",IF(LEFT(R302,1)="⚠","모병원명 미등록",IF(S302="","파견병원 입력",IF(LEFT(S302,1)="⚠","파견병원명 미등록",IF(LEFT(U302,1)="⚠","파견과목 미등록",IF(OR(T302="",LEFT(T302,1)="⚠"),"파견근거 확인",IF(NOT(AND(ISNUMBER(H302),ISNUMBER(I302))),"날짜 형식/누락",IF(I302&lt;H302,"종료일&lt;시작일","")))))))))</f>
        <v/>
      </c>
      <c r="AB302" s="11">
        <f>IF(ISNUMBER(SEARCH("다기관",TRIM(N302&amp;" "&amp;O302))),IFERROR(DATE(VALUE(MID(TRIM(N302&amp;" "&amp;O302),1,4)),VALUE(MID(TRIM(N302&amp;" "&amp;O302),6,2)),VALUE(MID(TRIM(N302&amp;" "&amp;O302),9,2))),IF(ISNUMBER(H302),H302,"")),"")</f>
        <v/>
      </c>
      <c r="AC302" s="11">
        <f>IF(ISNUMBER(SEARCH("다기관",TRIM(N302&amp;" "&amp;O302))),IFERROR(DATE(VALUE(MID(TRIM(N302&amp;" "&amp;O302),12,4)),VALUE(MID(TRIM(N302&amp;" "&amp;O302),17,2)),VALUE(MID(TRIM(N302&amp;" "&amp;O302),20,2))),IF(ISNUMBER(I302),I302,"")),"")</f>
        <v/>
      </c>
      <c r="AD302" s="17">
        <f>IF(AND(ISNUMBER(AB302),ISNUMBER(AC302)),MAX(0,MIN(AC302,EOMONTH(출력_요약!$B$3,0))-MAX(AB302,출력_요약!$B$3)+1),0)</f>
        <v/>
      </c>
      <c r="AE302" s="10">
        <f>IF(AND(Q302&lt;&gt;"",ISNUMBER(AB302)),Q302&amp;"|다기관","")</f>
        <v/>
      </c>
    </row>
    <row r="303">
      <c r="A303" s="15">
        <f>IF(F303="","",ROW()-3)</f>
        <v/>
      </c>
      <c r="B303" s="5" t="n"/>
      <c r="C303" s="15" t="n"/>
      <c r="D303" s="5" t="n"/>
      <c r="E303" s="15" t="n"/>
      <c r="F303" s="5" t="n"/>
      <c r="G303" s="6" t="n"/>
      <c r="H303" s="16" t="n"/>
      <c r="I303" s="16" t="n"/>
      <c r="J303" s="15">
        <f>IF(AND(ISNUMBER(H303),ISNUMBER(I303)),I303-H303+1,"")</f>
        <v/>
      </c>
      <c r="K303" s="5" t="n"/>
      <c r="L303" s="5" t="n"/>
      <c r="M303" s="5" t="n"/>
      <c r="N303" s="5" t="n"/>
      <c r="O303" s="5" t="n"/>
      <c r="Q303" s="10">
        <f>IF(TRIM(G303&amp;"")="","",TRIM(G303&amp;""))</f>
        <v/>
      </c>
      <c r="R303" s="10">
        <f>IF(TRIM(B303&amp;"")="","",IFERROR(INDEX(설정_코드표!$K$2:$K$101,MATCH(TRIM(B303&amp;""),설정_코드표!$J$2:$J$101,0)),"⚠"&amp;TRIM(B303&amp;"")))</f>
        <v/>
      </c>
      <c r="S303" s="10">
        <f>IF(TRIM(K303&amp;"")="","",IFERROR(INDEX(설정_코드표!$K$2:$K$101,MATCH(TRIM(K303&amp;""),설정_코드표!$J$2:$J$101,0)),"⚠"&amp;TRIM(K303&amp;"")))</f>
        <v/>
      </c>
      <c r="T303" s="10">
        <f>IF(TRIM(M303&amp;"")="","",IF(ISNUMBER(MATCH(TRIM(M303&amp;""),설정_코드표!$C$2:$C$11,0)),TRIM(M303&amp;""),"⚠"&amp;TRIM(M303&amp;"")))</f>
        <v/>
      </c>
      <c r="U303" s="10">
        <f>IF(TRIM(L303&amp;"")="","",IFERROR(INDEX(설정_코드표!$G$2:$G$101,MATCH(TRIM(L303&amp;""),설정_코드표!$F$2:$F$101,0)),"⚠"&amp;TRIM(L303&amp;"")))</f>
        <v/>
      </c>
      <c r="V303" s="10">
        <f>IF(AND(ISNUMBER(H303),ISNUMBER(I303)),I303-H303+1,"")</f>
        <v/>
      </c>
      <c r="W303" s="17">
        <f>IF(ISNUMBER(H303),MAX(0,MIN(IF(ISNUMBER(I303),I303,EOMONTH(출력_요약!$B$3,0)),EOMONTH(출력_요약!$B$3,0))-MAX(H303,출력_요약!$B$3)+1),0)</f>
        <v/>
      </c>
      <c r="X303" s="10">
        <f>IF(OR(NOT(ISNUMBER(H303)),Q303=""),"",IF(TODAY()&lt;H303,"파견예정",IF(AND(ISNUMBER(I303),TODAY()&gt;I303),"파견종료","파견중")))</f>
        <v/>
      </c>
      <c r="Y303" s="10">
        <f>IF(OR(Q303="",X303=""),"",Q303&amp;"|"&amp;X303)</f>
        <v/>
      </c>
      <c r="Z303" s="10">
        <f>IF(AND(Q303&lt;&gt;"",W303&gt;0),Q303&amp;"|월","")</f>
        <v/>
      </c>
      <c r="AA303" s="10">
        <f>IF(COUNTA(B303:I303,K303:N303)=0,"",IF(Q303="","등록번호 없음",IF(LEFT(R303,1)="⚠","모병원명 미등록",IF(S303="","파견병원 입력",IF(LEFT(S303,1)="⚠","파견병원명 미등록",IF(LEFT(U303,1)="⚠","파견과목 미등록",IF(OR(T303="",LEFT(T303,1)="⚠"),"파견근거 확인",IF(NOT(AND(ISNUMBER(H303),ISNUMBER(I303))),"날짜 형식/누락",IF(I303&lt;H303,"종료일&lt;시작일","")))))))))</f>
        <v/>
      </c>
      <c r="AB303" s="11">
        <f>IF(ISNUMBER(SEARCH("다기관",TRIM(N303&amp;" "&amp;O303))),IFERROR(DATE(VALUE(MID(TRIM(N303&amp;" "&amp;O303),1,4)),VALUE(MID(TRIM(N303&amp;" "&amp;O303),6,2)),VALUE(MID(TRIM(N303&amp;" "&amp;O303),9,2))),IF(ISNUMBER(H303),H303,"")),"")</f>
        <v/>
      </c>
      <c r="AC303" s="11">
        <f>IF(ISNUMBER(SEARCH("다기관",TRIM(N303&amp;" "&amp;O303))),IFERROR(DATE(VALUE(MID(TRIM(N303&amp;" "&amp;O303),12,4)),VALUE(MID(TRIM(N303&amp;" "&amp;O303),17,2)),VALUE(MID(TRIM(N303&amp;" "&amp;O303),20,2))),IF(ISNUMBER(I303),I303,"")),"")</f>
        <v/>
      </c>
      <c r="AD303" s="17">
        <f>IF(AND(ISNUMBER(AB303),ISNUMBER(AC303)),MAX(0,MIN(AC303,EOMONTH(출력_요약!$B$3,0))-MAX(AB303,출력_요약!$B$3)+1),0)</f>
        <v/>
      </c>
      <c r="AE303" s="10">
        <f>IF(AND(Q303&lt;&gt;"",ISNUMBER(AB303)),Q303&amp;"|다기관","")</f>
        <v/>
      </c>
    </row>
    <row r="304">
      <c r="A304" s="15">
        <f>IF(F304="","",ROW()-3)</f>
        <v/>
      </c>
      <c r="B304" s="5" t="n"/>
      <c r="C304" s="15" t="n"/>
      <c r="D304" s="5" t="n"/>
      <c r="E304" s="15" t="n"/>
      <c r="F304" s="5" t="n"/>
      <c r="G304" s="6" t="n"/>
      <c r="H304" s="16" t="n"/>
      <c r="I304" s="16" t="n"/>
      <c r="J304" s="15">
        <f>IF(AND(ISNUMBER(H304),ISNUMBER(I304)),I304-H304+1,"")</f>
        <v/>
      </c>
      <c r="K304" s="5" t="n"/>
      <c r="L304" s="5" t="n"/>
      <c r="M304" s="5" t="n"/>
      <c r="N304" s="5" t="n"/>
      <c r="O304" s="5" t="n"/>
      <c r="Q304" s="10">
        <f>IF(TRIM(G304&amp;"")="","",TRIM(G304&amp;""))</f>
        <v/>
      </c>
      <c r="R304" s="10">
        <f>IF(TRIM(B304&amp;"")="","",IFERROR(INDEX(설정_코드표!$K$2:$K$101,MATCH(TRIM(B304&amp;""),설정_코드표!$J$2:$J$101,0)),"⚠"&amp;TRIM(B304&amp;"")))</f>
        <v/>
      </c>
      <c r="S304" s="10">
        <f>IF(TRIM(K304&amp;"")="","",IFERROR(INDEX(설정_코드표!$K$2:$K$101,MATCH(TRIM(K304&amp;""),설정_코드표!$J$2:$J$101,0)),"⚠"&amp;TRIM(K304&amp;"")))</f>
        <v/>
      </c>
      <c r="T304" s="10">
        <f>IF(TRIM(M304&amp;"")="","",IF(ISNUMBER(MATCH(TRIM(M304&amp;""),설정_코드표!$C$2:$C$11,0)),TRIM(M304&amp;""),"⚠"&amp;TRIM(M304&amp;"")))</f>
        <v/>
      </c>
      <c r="U304" s="10">
        <f>IF(TRIM(L304&amp;"")="","",IFERROR(INDEX(설정_코드표!$G$2:$G$101,MATCH(TRIM(L304&amp;""),설정_코드표!$F$2:$F$101,0)),"⚠"&amp;TRIM(L304&amp;"")))</f>
        <v/>
      </c>
      <c r="V304" s="10">
        <f>IF(AND(ISNUMBER(H304),ISNUMBER(I304)),I304-H304+1,"")</f>
        <v/>
      </c>
      <c r="W304" s="17">
        <f>IF(ISNUMBER(H304),MAX(0,MIN(IF(ISNUMBER(I304),I304,EOMONTH(출력_요약!$B$3,0)),EOMONTH(출력_요약!$B$3,0))-MAX(H304,출력_요약!$B$3)+1),0)</f>
        <v/>
      </c>
      <c r="X304" s="10">
        <f>IF(OR(NOT(ISNUMBER(H304)),Q304=""),"",IF(TODAY()&lt;H304,"파견예정",IF(AND(ISNUMBER(I304),TODAY()&gt;I304),"파견종료","파견중")))</f>
        <v/>
      </c>
      <c r="Y304" s="10">
        <f>IF(OR(Q304="",X304=""),"",Q304&amp;"|"&amp;X304)</f>
        <v/>
      </c>
      <c r="Z304" s="10">
        <f>IF(AND(Q304&lt;&gt;"",W304&gt;0),Q304&amp;"|월","")</f>
        <v/>
      </c>
      <c r="AA304" s="10">
        <f>IF(COUNTA(B304:I304,K304:N304)=0,"",IF(Q304="","등록번호 없음",IF(LEFT(R304,1)="⚠","모병원명 미등록",IF(S304="","파견병원 입력",IF(LEFT(S304,1)="⚠","파견병원명 미등록",IF(LEFT(U304,1)="⚠","파견과목 미등록",IF(OR(T304="",LEFT(T304,1)="⚠"),"파견근거 확인",IF(NOT(AND(ISNUMBER(H304),ISNUMBER(I304))),"날짜 형식/누락",IF(I304&lt;H304,"종료일&lt;시작일","")))))))))</f>
        <v/>
      </c>
      <c r="AB304" s="11">
        <f>IF(ISNUMBER(SEARCH("다기관",TRIM(N304&amp;" "&amp;O304))),IFERROR(DATE(VALUE(MID(TRIM(N304&amp;" "&amp;O304),1,4)),VALUE(MID(TRIM(N304&amp;" "&amp;O304),6,2)),VALUE(MID(TRIM(N304&amp;" "&amp;O304),9,2))),IF(ISNUMBER(H304),H304,"")),"")</f>
        <v/>
      </c>
      <c r="AC304" s="11">
        <f>IF(ISNUMBER(SEARCH("다기관",TRIM(N304&amp;" "&amp;O304))),IFERROR(DATE(VALUE(MID(TRIM(N304&amp;" "&amp;O304),12,4)),VALUE(MID(TRIM(N304&amp;" "&amp;O304),17,2)),VALUE(MID(TRIM(N304&amp;" "&amp;O304),20,2))),IF(ISNUMBER(I304),I304,"")),"")</f>
        <v/>
      </c>
      <c r="AD304" s="17">
        <f>IF(AND(ISNUMBER(AB304),ISNUMBER(AC304)),MAX(0,MIN(AC304,EOMONTH(출력_요약!$B$3,0))-MAX(AB304,출력_요약!$B$3)+1),0)</f>
        <v/>
      </c>
      <c r="AE304" s="10">
        <f>IF(AND(Q304&lt;&gt;"",ISNUMBER(AB304)),Q304&amp;"|다기관","")</f>
        <v/>
      </c>
    </row>
    <row r="305">
      <c r="A305" s="15">
        <f>IF(F305="","",ROW()-3)</f>
        <v/>
      </c>
      <c r="B305" s="5" t="n"/>
      <c r="C305" s="15" t="n"/>
      <c r="D305" s="5" t="n"/>
      <c r="E305" s="15" t="n"/>
      <c r="F305" s="5" t="n"/>
      <c r="G305" s="6" t="n"/>
      <c r="H305" s="16" t="n"/>
      <c r="I305" s="16" t="n"/>
      <c r="J305" s="15">
        <f>IF(AND(ISNUMBER(H305),ISNUMBER(I305)),I305-H305+1,"")</f>
        <v/>
      </c>
      <c r="K305" s="5" t="n"/>
      <c r="L305" s="5" t="n"/>
      <c r="M305" s="5" t="n"/>
      <c r="N305" s="5" t="n"/>
      <c r="O305" s="5" t="n"/>
      <c r="Q305" s="10">
        <f>IF(TRIM(G305&amp;"")="","",TRIM(G305&amp;""))</f>
        <v/>
      </c>
      <c r="R305" s="10">
        <f>IF(TRIM(B305&amp;"")="","",IFERROR(INDEX(설정_코드표!$K$2:$K$101,MATCH(TRIM(B305&amp;""),설정_코드표!$J$2:$J$101,0)),"⚠"&amp;TRIM(B305&amp;"")))</f>
        <v/>
      </c>
      <c r="S305" s="10">
        <f>IF(TRIM(K305&amp;"")="","",IFERROR(INDEX(설정_코드표!$K$2:$K$101,MATCH(TRIM(K305&amp;""),설정_코드표!$J$2:$J$101,0)),"⚠"&amp;TRIM(K305&amp;"")))</f>
        <v/>
      </c>
      <c r="T305" s="10">
        <f>IF(TRIM(M305&amp;"")="","",IF(ISNUMBER(MATCH(TRIM(M305&amp;""),설정_코드표!$C$2:$C$11,0)),TRIM(M305&amp;""),"⚠"&amp;TRIM(M305&amp;"")))</f>
        <v/>
      </c>
      <c r="U305" s="10">
        <f>IF(TRIM(L305&amp;"")="","",IFERROR(INDEX(설정_코드표!$G$2:$G$101,MATCH(TRIM(L305&amp;""),설정_코드표!$F$2:$F$101,0)),"⚠"&amp;TRIM(L305&amp;"")))</f>
        <v/>
      </c>
      <c r="V305" s="10">
        <f>IF(AND(ISNUMBER(H305),ISNUMBER(I305)),I305-H305+1,"")</f>
        <v/>
      </c>
      <c r="W305" s="17">
        <f>IF(ISNUMBER(H305),MAX(0,MIN(IF(ISNUMBER(I305),I305,EOMONTH(출력_요약!$B$3,0)),EOMONTH(출력_요약!$B$3,0))-MAX(H305,출력_요약!$B$3)+1),0)</f>
        <v/>
      </c>
      <c r="X305" s="10">
        <f>IF(OR(NOT(ISNUMBER(H305)),Q305=""),"",IF(TODAY()&lt;H305,"파견예정",IF(AND(ISNUMBER(I305),TODAY()&gt;I305),"파견종료","파견중")))</f>
        <v/>
      </c>
      <c r="Y305" s="10">
        <f>IF(OR(Q305="",X305=""),"",Q305&amp;"|"&amp;X305)</f>
        <v/>
      </c>
      <c r="Z305" s="10">
        <f>IF(AND(Q305&lt;&gt;"",W305&gt;0),Q305&amp;"|월","")</f>
        <v/>
      </c>
      <c r="AA305" s="10">
        <f>IF(COUNTA(B305:I305,K305:N305)=0,"",IF(Q305="","등록번호 없음",IF(LEFT(R305,1)="⚠","모병원명 미등록",IF(S305="","파견병원 입력",IF(LEFT(S305,1)="⚠","파견병원명 미등록",IF(LEFT(U305,1)="⚠","파견과목 미등록",IF(OR(T305="",LEFT(T305,1)="⚠"),"파견근거 확인",IF(NOT(AND(ISNUMBER(H305),ISNUMBER(I305))),"날짜 형식/누락",IF(I305&lt;H305,"종료일&lt;시작일","")))))))))</f>
        <v/>
      </c>
      <c r="AB305" s="11">
        <f>IF(ISNUMBER(SEARCH("다기관",TRIM(N305&amp;" "&amp;O305))),IFERROR(DATE(VALUE(MID(TRIM(N305&amp;" "&amp;O305),1,4)),VALUE(MID(TRIM(N305&amp;" "&amp;O305),6,2)),VALUE(MID(TRIM(N305&amp;" "&amp;O305),9,2))),IF(ISNUMBER(H305),H305,"")),"")</f>
        <v/>
      </c>
      <c r="AC305" s="11">
        <f>IF(ISNUMBER(SEARCH("다기관",TRIM(N305&amp;" "&amp;O305))),IFERROR(DATE(VALUE(MID(TRIM(N305&amp;" "&amp;O305),12,4)),VALUE(MID(TRIM(N305&amp;" "&amp;O305),17,2)),VALUE(MID(TRIM(N305&amp;" "&amp;O305),20,2))),IF(ISNUMBER(I305),I305,"")),"")</f>
        <v/>
      </c>
      <c r="AD305" s="17">
        <f>IF(AND(ISNUMBER(AB305),ISNUMBER(AC305)),MAX(0,MIN(AC305,EOMONTH(출력_요약!$B$3,0))-MAX(AB305,출력_요약!$B$3)+1),0)</f>
        <v/>
      </c>
      <c r="AE305" s="10">
        <f>IF(AND(Q305&lt;&gt;"",ISNUMBER(AB305)),Q305&amp;"|다기관","")</f>
        <v/>
      </c>
    </row>
    <row r="306">
      <c r="A306" s="15">
        <f>IF(F306="","",ROW()-3)</f>
        <v/>
      </c>
      <c r="B306" s="5" t="n"/>
      <c r="C306" s="15" t="n"/>
      <c r="D306" s="5" t="n"/>
      <c r="E306" s="15" t="n"/>
      <c r="F306" s="5" t="n"/>
      <c r="G306" s="6" t="n"/>
      <c r="H306" s="16" t="n"/>
      <c r="I306" s="16" t="n"/>
      <c r="J306" s="15">
        <f>IF(AND(ISNUMBER(H306),ISNUMBER(I306)),I306-H306+1,"")</f>
        <v/>
      </c>
      <c r="K306" s="5" t="n"/>
      <c r="L306" s="5" t="n"/>
      <c r="M306" s="5" t="n"/>
      <c r="N306" s="5" t="n"/>
      <c r="O306" s="5" t="n"/>
      <c r="Q306" s="10">
        <f>IF(TRIM(G306&amp;"")="","",TRIM(G306&amp;""))</f>
        <v/>
      </c>
      <c r="R306" s="10">
        <f>IF(TRIM(B306&amp;"")="","",IFERROR(INDEX(설정_코드표!$K$2:$K$101,MATCH(TRIM(B306&amp;""),설정_코드표!$J$2:$J$101,0)),"⚠"&amp;TRIM(B306&amp;"")))</f>
        <v/>
      </c>
      <c r="S306" s="10">
        <f>IF(TRIM(K306&amp;"")="","",IFERROR(INDEX(설정_코드표!$K$2:$K$101,MATCH(TRIM(K306&amp;""),설정_코드표!$J$2:$J$101,0)),"⚠"&amp;TRIM(K306&amp;"")))</f>
        <v/>
      </c>
      <c r="T306" s="10">
        <f>IF(TRIM(M306&amp;"")="","",IF(ISNUMBER(MATCH(TRIM(M306&amp;""),설정_코드표!$C$2:$C$11,0)),TRIM(M306&amp;""),"⚠"&amp;TRIM(M306&amp;"")))</f>
        <v/>
      </c>
      <c r="U306" s="10">
        <f>IF(TRIM(L306&amp;"")="","",IFERROR(INDEX(설정_코드표!$G$2:$G$101,MATCH(TRIM(L306&amp;""),설정_코드표!$F$2:$F$101,0)),"⚠"&amp;TRIM(L306&amp;"")))</f>
        <v/>
      </c>
      <c r="V306" s="10">
        <f>IF(AND(ISNUMBER(H306),ISNUMBER(I306)),I306-H306+1,"")</f>
        <v/>
      </c>
      <c r="W306" s="17">
        <f>IF(ISNUMBER(H306),MAX(0,MIN(IF(ISNUMBER(I306),I306,EOMONTH(출력_요약!$B$3,0)),EOMONTH(출력_요약!$B$3,0))-MAX(H306,출력_요약!$B$3)+1),0)</f>
        <v/>
      </c>
      <c r="X306" s="10">
        <f>IF(OR(NOT(ISNUMBER(H306)),Q306=""),"",IF(TODAY()&lt;H306,"파견예정",IF(AND(ISNUMBER(I306),TODAY()&gt;I306),"파견종료","파견중")))</f>
        <v/>
      </c>
      <c r="Y306" s="10">
        <f>IF(OR(Q306="",X306=""),"",Q306&amp;"|"&amp;X306)</f>
        <v/>
      </c>
      <c r="Z306" s="10">
        <f>IF(AND(Q306&lt;&gt;"",W306&gt;0),Q306&amp;"|월","")</f>
        <v/>
      </c>
      <c r="AA306" s="10">
        <f>IF(COUNTA(B306:I306,K306:N306)=0,"",IF(Q306="","등록번호 없음",IF(LEFT(R306,1)="⚠","모병원명 미등록",IF(S306="","파견병원 입력",IF(LEFT(S306,1)="⚠","파견병원명 미등록",IF(LEFT(U306,1)="⚠","파견과목 미등록",IF(OR(T306="",LEFT(T306,1)="⚠"),"파견근거 확인",IF(NOT(AND(ISNUMBER(H306),ISNUMBER(I306))),"날짜 형식/누락",IF(I306&lt;H306,"종료일&lt;시작일","")))))))))</f>
        <v/>
      </c>
      <c r="AB306" s="11">
        <f>IF(ISNUMBER(SEARCH("다기관",TRIM(N306&amp;" "&amp;O306))),IFERROR(DATE(VALUE(MID(TRIM(N306&amp;" "&amp;O306),1,4)),VALUE(MID(TRIM(N306&amp;" "&amp;O306),6,2)),VALUE(MID(TRIM(N306&amp;" "&amp;O306),9,2))),IF(ISNUMBER(H306),H306,"")),"")</f>
        <v/>
      </c>
      <c r="AC306" s="11">
        <f>IF(ISNUMBER(SEARCH("다기관",TRIM(N306&amp;" "&amp;O306))),IFERROR(DATE(VALUE(MID(TRIM(N306&amp;" "&amp;O306),12,4)),VALUE(MID(TRIM(N306&amp;" "&amp;O306),17,2)),VALUE(MID(TRIM(N306&amp;" "&amp;O306),20,2))),IF(ISNUMBER(I306),I306,"")),"")</f>
        <v/>
      </c>
      <c r="AD306" s="17">
        <f>IF(AND(ISNUMBER(AB306),ISNUMBER(AC306)),MAX(0,MIN(AC306,EOMONTH(출력_요약!$B$3,0))-MAX(AB306,출력_요약!$B$3)+1),0)</f>
        <v/>
      </c>
      <c r="AE306" s="10">
        <f>IF(AND(Q306&lt;&gt;"",ISNUMBER(AB306)),Q306&amp;"|다기관","")</f>
        <v/>
      </c>
    </row>
    <row r="307">
      <c r="A307" s="15">
        <f>IF(F307="","",ROW()-3)</f>
        <v/>
      </c>
      <c r="B307" s="5" t="n"/>
      <c r="C307" s="15" t="n"/>
      <c r="D307" s="5" t="n"/>
      <c r="E307" s="15" t="n"/>
      <c r="F307" s="5" t="n"/>
      <c r="G307" s="6" t="n"/>
      <c r="H307" s="16" t="n"/>
      <c r="I307" s="16" t="n"/>
      <c r="J307" s="15">
        <f>IF(AND(ISNUMBER(H307),ISNUMBER(I307)),I307-H307+1,"")</f>
        <v/>
      </c>
      <c r="K307" s="5" t="n"/>
      <c r="L307" s="5" t="n"/>
      <c r="M307" s="5" t="n"/>
      <c r="N307" s="5" t="n"/>
      <c r="O307" s="5" t="n"/>
      <c r="Q307" s="10">
        <f>IF(TRIM(G307&amp;"")="","",TRIM(G307&amp;""))</f>
        <v/>
      </c>
      <c r="R307" s="10">
        <f>IF(TRIM(B307&amp;"")="","",IFERROR(INDEX(설정_코드표!$K$2:$K$101,MATCH(TRIM(B307&amp;""),설정_코드표!$J$2:$J$101,0)),"⚠"&amp;TRIM(B307&amp;"")))</f>
        <v/>
      </c>
      <c r="S307" s="10">
        <f>IF(TRIM(K307&amp;"")="","",IFERROR(INDEX(설정_코드표!$K$2:$K$101,MATCH(TRIM(K307&amp;""),설정_코드표!$J$2:$J$101,0)),"⚠"&amp;TRIM(K307&amp;"")))</f>
        <v/>
      </c>
      <c r="T307" s="10">
        <f>IF(TRIM(M307&amp;"")="","",IF(ISNUMBER(MATCH(TRIM(M307&amp;""),설정_코드표!$C$2:$C$11,0)),TRIM(M307&amp;""),"⚠"&amp;TRIM(M307&amp;"")))</f>
        <v/>
      </c>
      <c r="U307" s="10">
        <f>IF(TRIM(L307&amp;"")="","",IFERROR(INDEX(설정_코드표!$G$2:$G$101,MATCH(TRIM(L307&amp;""),설정_코드표!$F$2:$F$101,0)),"⚠"&amp;TRIM(L307&amp;"")))</f>
        <v/>
      </c>
      <c r="V307" s="10">
        <f>IF(AND(ISNUMBER(H307),ISNUMBER(I307)),I307-H307+1,"")</f>
        <v/>
      </c>
      <c r="W307" s="17">
        <f>IF(ISNUMBER(H307),MAX(0,MIN(IF(ISNUMBER(I307),I307,EOMONTH(출력_요약!$B$3,0)),EOMONTH(출력_요약!$B$3,0))-MAX(H307,출력_요약!$B$3)+1),0)</f>
        <v/>
      </c>
      <c r="X307" s="10">
        <f>IF(OR(NOT(ISNUMBER(H307)),Q307=""),"",IF(TODAY()&lt;H307,"파견예정",IF(AND(ISNUMBER(I307),TODAY()&gt;I307),"파견종료","파견중")))</f>
        <v/>
      </c>
      <c r="Y307" s="10">
        <f>IF(OR(Q307="",X307=""),"",Q307&amp;"|"&amp;X307)</f>
        <v/>
      </c>
      <c r="Z307" s="10">
        <f>IF(AND(Q307&lt;&gt;"",W307&gt;0),Q307&amp;"|월","")</f>
        <v/>
      </c>
      <c r="AA307" s="10">
        <f>IF(COUNTA(B307:I307,K307:N307)=0,"",IF(Q307="","등록번호 없음",IF(LEFT(R307,1)="⚠","모병원명 미등록",IF(S307="","파견병원 입력",IF(LEFT(S307,1)="⚠","파견병원명 미등록",IF(LEFT(U307,1)="⚠","파견과목 미등록",IF(OR(T307="",LEFT(T307,1)="⚠"),"파견근거 확인",IF(NOT(AND(ISNUMBER(H307),ISNUMBER(I307))),"날짜 형식/누락",IF(I307&lt;H307,"종료일&lt;시작일","")))))))))</f>
        <v/>
      </c>
      <c r="AB307" s="11">
        <f>IF(ISNUMBER(SEARCH("다기관",TRIM(N307&amp;" "&amp;O307))),IFERROR(DATE(VALUE(MID(TRIM(N307&amp;" "&amp;O307),1,4)),VALUE(MID(TRIM(N307&amp;" "&amp;O307),6,2)),VALUE(MID(TRIM(N307&amp;" "&amp;O307),9,2))),IF(ISNUMBER(H307),H307,"")),"")</f>
        <v/>
      </c>
      <c r="AC307" s="11">
        <f>IF(ISNUMBER(SEARCH("다기관",TRIM(N307&amp;" "&amp;O307))),IFERROR(DATE(VALUE(MID(TRIM(N307&amp;" "&amp;O307),12,4)),VALUE(MID(TRIM(N307&amp;" "&amp;O307),17,2)),VALUE(MID(TRIM(N307&amp;" "&amp;O307),20,2))),IF(ISNUMBER(I307),I307,"")),"")</f>
        <v/>
      </c>
      <c r="AD307" s="17">
        <f>IF(AND(ISNUMBER(AB307),ISNUMBER(AC307)),MAX(0,MIN(AC307,EOMONTH(출력_요약!$B$3,0))-MAX(AB307,출력_요약!$B$3)+1),0)</f>
        <v/>
      </c>
      <c r="AE307" s="10">
        <f>IF(AND(Q307&lt;&gt;"",ISNUMBER(AB307)),Q307&amp;"|다기관","")</f>
        <v/>
      </c>
    </row>
    <row r="308">
      <c r="A308" s="15">
        <f>IF(F308="","",ROW()-3)</f>
        <v/>
      </c>
      <c r="B308" s="5" t="n"/>
      <c r="C308" s="15" t="n"/>
      <c r="D308" s="5" t="n"/>
      <c r="E308" s="15" t="n"/>
      <c r="F308" s="5" t="n"/>
      <c r="G308" s="6" t="n"/>
      <c r="H308" s="16" t="n"/>
      <c r="I308" s="16" t="n"/>
      <c r="J308" s="15">
        <f>IF(AND(ISNUMBER(H308),ISNUMBER(I308)),I308-H308+1,"")</f>
        <v/>
      </c>
      <c r="K308" s="5" t="n"/>
      <c r="L308" s="5" t="n"/>
      <c r="M308" s="5" t="n"/>
      <c r="N308" s="5" t="n"/>
      <c r="O308" s="5" t="n"/>
      <c r="Q308" s="10">
        <f>IF(TRIM(G308&amp;"")="","",TRIM(G308&amp;""))</f>
        <v/>
      </c>
      <c r="R308" s="10">
        <f>IF(TRIM(B308&amp;"")="","",IFERROR(INDEX(설정_코드표!$K$2:$K$101,MATCH(TRIM(B308&amp;""),설정_코드표!$J$2:$J$101,0)),"⚠"&amp;TRIM(B308&amp;"")))</f>
        <v/>
      </c>
      <c r="S308" s="10">
        <f>IF(TRIM(K308&amp;"")="","",IFERROR(INDEX(설정_코드표!$K$2:$K$101,MATCH(TRIM(K308&amp;""),설정_코드표!$J$2:$J$101,0)),"⚠"&amp;TRIM(K308&amp;"")))</f>
        <v/>
      </c>
      <c r="T308" s="10">
        <f>IF(TRIM(M308&amp;"")="","",IF(ISNUMBER(MATCH(TRIM(M308&amp;""),설정_코드표!$C$2:$C$11,0)),TRIM(M308&amp;""),"⚠"&amp;TRIM(M308&amp;"")))</f>
        <v/>
      </c>
      <c r="U308" s="10">
        <f>IF(TRIM(L308&amp;"")="","",IFERROR(INDEX(설정_코드표!$G$2:$G$101,MATCH(TRIM(L308&amp;""),설정_코드표!$F$2:$F$101,0)),"⚠"&amp;TRIM(L308&amp;"")))</f>
        <v/>
      </c>
      <c r="V308" s="10">
        <f>IF(AND(ISNUMBER(H308),ISNUMBER(I308)),I308-H308+1,"")</f>
        <v/>
      </c>
      <c r="W308" s="17">
        <f>IF(ISNUMBER(H308),MAX(0,MIN(IF(ISNUMBER(I308),I308,EOMONTH(출력_요약!$B$3,0)),EOMONTH(출력_요약!$B$3,0))-MAX(H308,출력_요약!$B$3)+1),0)</f>
        <v/>
      </c>
      <c r="X308" s="10">
        <f>IF(OR(NOT(ISNUMBER(H308)),Q308=""),"",IF(TODAY()&lt;H308,"파견예정",IF(AND(ISNUMBER(I308),TODAY()&gt;I308),"파견종료","파견중")))</f>
        <v/>
      </c>
      <c r="Y308" s="10">
        <f>IF(OR(Q308="",X308=""),"",Q308&amp;"|"&amp;X308)</f>
        <v/>
      </c>
      <c r="Z308" s="10">
        <f>IF(AND(Q308&lt;&gt;"",W308&gt;0),Q308&amp;"|월","")</f>
        <v/>
      </c>
      <c r="AA308" s="10">
        <f>IF(COUNTA(B308:I308,K308:N308)=0,"",IF(Q308="","등록번호 없음",IF(LEFT(R308,1)="⚠","모병원명 미등록",IF(S308="","파견병원 입력",IF(LEFT(S308,1)="⚠","파견병원명 미등록",IF(LEFT(U308,1)="⚠","파견과목 미등록",IF(OR(T308="",LEFT(T308,1)="⚠"),"파견근거 확인",IF(NOT(AND(ISNUMBER(H308),ISNUMBER(I308))),"날짜 형식/누락",IF(I308&lt;H308,"종료일&lt;시작일","")))))))))</f>
        <v/>
      </c>
      <c r="AB308" s="11">
        <f>IF(ISNUMBER(SEARCH("다기관",TRIM(N308&amp;" "&amp;O308))),IFERROR(DATE(VALUE(MID(TRIM(N308&amp;" "&amp;O308),1,4)),VALUE(MID(TRIM(N308&amp;" "&amp;O308),6,2)),VALUE(MID(TRIM(N308&amp;" "&amp;O308),9,2))),IF(ISNUMBER(H308),H308,"")),"")</f>
        <v/>
      </c>
      <c r="AC308" s="11">
        <f>IF(ISNUMBER(SEARCH("다기관",TRIM(N308&amp;" "&amp;O308))),IFERROR(DATE(VALUE(MID(TRIM(N308&amp;" "&amp;O308),12,4)),VALUE(MID(TRIM(N308&amp;" "&amp;O308),17,2)),VALUE(MID(TRIM(N308&amp;" "&amp;O308),20,2))),IF(ISNUMBER(I308),I308,"")),"")</f>
        <v/>
      </c>
      <c r="AD308" s="17">
        <f>IF(AND(ISNUMBER(AB308),ISNUMBER(AC308)),MAX(0,MIN(AC308,EOMONTH(출력_요약!$B$3,0))-MAX(AB308,출력_요약!$B$3)+1),0)</f>
        <v/>
      </c>
      <c r="AE308" s="10">
        <f>IF(AND(Q308&lt;&gt;"",ISNUMBER(AB308)),Q308&amp;"|다기관","")</f>
        <v/>
      </c>
    </row>
    <row r="309">
      <c r="A309" s="15">
        <f>IF(F309="","",ROW()-3)</f>
        <v/>
      </c>
      <c r="B309" s="5" t="n"/>
      <c r="C309" s="15" t="n"/>
      <c r="D309" s="5" t="n"/>
      <c r="E309" s="15" t="n"/>
      <c r="F309" s="5" t="n"/>
      <c r="G309" s="6" t="n"/>
      <c r="H309" s="16" t="n"/>
      <c r="I309" s="16" t="n"/>
      <c r="J309" s="15">
        <f>IF(AND(ISNUMBER(H309),ISNUMBER(I309)),I309-H309+1,"")</f>
        <v/>
      </c>
      <c r="K309" s="5" t="n"/>
      <c r="L309" s="5" t="n"/>
      <c r="M309" s="5" t="n"/>
      <c r="N309" s="5" t="n"/>
      <c r="O309" s="5" t="n"/>
      <c r="Q309" s="10">
        <f>IF(TRIM(G309&amp;"")="","",TRIM(G309&amp;""))</f>
        <v/>
      </c>
      <c r="R309" s="10">
        <f>IF(TRIM(B309&amp;"")="","",IFERROR(INDEX(설정_코드표!$K$2:$K$101,MATCH(TRIM(B309&amp;""),설정_코드표!$J$2:$J$101,0)),"⚠"&amp;TRIM(B309&amp;"")))</f>
        <v/>
      </c>
      <c r="S309" s="10">
        <f>IF(TRIM(K309&amp;"")="","",IFERROR(INDEX(설정_코드표!$K$2:$K$101,MATCH(TRIM(K309&amp;""),설정_코드표!$J$2:$J$101,0)),"⚠"&amp;TRIM(K309&amp;"")))</f>
        <v/>
      </c>
      <c r="T309" s="10">
        <f>IF(TRIM(M309&amp;"")="","",IF(ISNUMBER(MATCH(TRIM(M309&amp;""),설정_코드표!$C$2:$C$11,0)),TRIM(M309&amp;""),"⚠"&amp;TRIM(M309&amp;"")))</f>
        <v/>
      </c>
      <c r="U309" s="10">
        <f>IF(TRIM(L309&amp;"")="","",IFERROR(INDEX(설정_코드표!$G$2:$G$101,MATCH(TRIM(L309&amp;""),설정_코드표!$F$2:$F$101,0)),"⚠"&amp;TRIM(L309&amp;"")))</f>
        <v/>
      </c>
      <c r="V309" s="10">
        <f>IF(AND(ISNUMBER(H309),ISNUMBER(I309)),I309-H309+1,"")</f>
        <v/>
      </c>
      <c r="W309" s="17">
        <f>IF(ISNUMBER(H309),MAX(0,MIN(IF(ISNUMBER(I309),I309,EOMONTH(출력_요약!$B$3,0)),EOMONTH(출력_요약!$B$3,0))-MAX(H309,출력_요약!$B$3)+1),0)</f>
        <v/>
      </c>
      <c r="X309" s="10">
        <f>IF(OR(NOT(ISNUMBER(H309)),Q309=""),"",IF(TODAY()&lt;H309,"파견예정",IF(AND(ISNUMBER(I309),TODAY()&gt;I309),"파견종료","파견중")))</f>
        <v/>
      </c>
      <c r="Y309" s="10">
        <f>IF(OR(Q309="",X309=""),"",Q309&amp;"|"&amp;X309)</f>
        <v/>
      </c>
      <c r="Z309" s="10">
        <f>IF(AND(Q309&lt;&gt;"",W309&gt;0),Q309&amp;"|월","")</f>
        <v/>
      </c>
      <c r="AA309" s="10">
        <f>IF(COUNTA(B309:I309,K309:N309)=0,"",IF(Q309="","등록번호 없음",IF(LEFT(R309,1)="⚠","모병원명 미등록",IF(S309="","파견병원 입력",IF(LEFT(S309,1)="⚠","파견병원명 미등록",IF(LEFT(U309,1)="⚠","파견과목 미등록",IF(OR(T309="",LEFT(T309,1)="⚠"),"파견근거 확인",IF(NOT(AND(ISNUMBER(H309),ISNUMBER(I309))),"날짜 형식/누락",IF(I309&lt;H309,"종료일&lt;시작일","")))))))))</f>
        <v/>
      </c>
      <c r="AB309" s="11">
        <f>IF(ISNUMBER(SEARCH("다기관",TRIM(N309&amp;" "&amp;O309))),IFERROR(DATE(VALUE(MID(TRIM(N309&amp;" "&amp;O309),1,4)),VALUE(MID(TRIM(N309&amp;" "&amp;O309),6,2)),VALUE(MID(TRIM(N309&amp;" "&amp;O309),9,2))),IF(ISNUMBER(H309),H309,"")),"")</f>
        <v/>
      </c>
      <c r="AC309" s="11">
        <f>IF(ISNUMBER(SEARCH("다기관",TRIM(N309&amp;" "&amp;O309))),IFERROR(DATE(VALUE(MID(TRIM(N309&amp;" "&amp;O309),12,4)),VALUE(MID(TRIM(N309&amp;" "&amp;O309),17,2)),VALUE(MID(TRIM(N309&amp;" "&amp;O309),20,2))),IF(ISNUMBER(I309),I309,"")),"")</f>
        <v/>
      </c>
      <c r="AD309" s="17">
        <f>IF(AND(ISNUMBER(AB309),ISNUMBER(AC309)),MAX(0,MIN(AC309,EOMONTH(출력_요약!$B$3,0))-MAX(AB309,출력_요약!$B$3)+1),0)</f>
        <v/>
      </c>
      <c r="AE309" s="10">
        <f>IF(AND(Q309&lt;&gt;"",ISNUMBER(AB309)),Q309&amp;"|다기관","")</f>
        <v/>
      </c>
    </row>
    <row r="310">
      <c r="A310" s="15">
        <f>IF(F310="","",ROW()-3)</f>
        <v/>
      </c>
      <c r="B310" s="5" t="n"/>
      <c r="C310" s="15" t="n"/>
      <c r="D310" s="5" t="n"/>
      <c r="E310" s="15" t="n"/>
      <c r="F310" s="5" t="n"/>
      <c r="G310" s="6" t="n"/>
      <c r="H310" s="16" t="n"/>
      <c r="I310" s="16" t="n"/>
      <c r="J310" s="15">
        <f>IF(AND(ISNUMBER(H310),ISNUMBER(I310)),I310-H310+1,"")</f>
        <v/>
      </c>
      <c r="K310" s="5" t="n"/>
      <c r="L310" s="5" t="n"/>
      <c r="M310" s="5" t="n"/>
      <c r="N310" s="5" t="n"/>
      <c r="O310" s="5" t="n"/>
      <c r="Q310" s="10">
        <f>IF(TRIM(G310&amp;"")="","",TRIM(G310&amp;""))</f>
        <v/>
      </c>
      <c r="R310" s="10">
        <f>IF(TRIM(B310&amp;"")="","",IFERROR(INDEX(설정_코드표!$K$2:$K$101,MATCH(TRIM(B310&amp;""),설정_코드표!$J$2:$J$101,0)),"⚠"&amp;TRIM(B310&amp;"")))</f>
        <v/>
      </c>
      <c r="S310" s="10">
        <f>IF(TRIM(K310&amp;"")="","",IFERROR(INDEX(설정_코드표!$K$2:$K$101,MATCH(TRIM(K310&amp;""),설정_코드표!$J$2:$J$101,0)),"⚠"&amp;TRIM(K310&amp;"")))</f>
        <v/>
      </c>
      <c r="T310" s="10">
        <f>IF(TRIM(M310&amp;"")="","",IF(ISNUMBER(MATCH(TRIM(M310&amp;""),설정_코드표!$C$2:$C$11,0)),TRIM(M310&amp;""),"⚠"&amp;TRIM(M310&amp;"")))</f>
        <v/>
      </c>
      <c r="U310" s="10">
        <f>IF(TRIM(L310&amp;"")="","",IFERROR(INDEX(설정_코드표!$G$2:$G$101,MATCH(TRIM(L310&amp;""),설정_코드표!$F$2:$F$101,0)),"⚠"&amp;TRIM(L310&amp;"")))</f>
        <v/>
      </c>
      <c r="V310" s="10">
        <f>IF(AND(ISNUMBER(H310),ISNUMBER(I310)),I310-H310+1,"")</f>
        <v/>
      </c>
      <c r="W310" s="17">
        <f>IF(ISNUMBER(H310),MAX(0,MIN(IF(ISNUMBER(I310),I310,EOMONTH(출력_요약!$B$3,0)),EOMONTH(출력_요약!$B$3,0))-MAX(H310,출력_요약!$B$3)+1),0)</f>
        <v/>
      </c>
      <c r="X310" s="10">
        <f>IF(OR(NOT(ISNUMBER(H310)),Q310=""),"",IF(TODAY()&lt;H310,"파견예정",IF(AND(ISNUMBER(I310),TODAY()&gt;I310),"파견종료","파견중")))</f>
        <v/>
      </c>
      <c r="Y310" s="10">
        <f>IF(OR(Q310="",X310=""),"",Q310&amp;"|"&amp;X310)</f>
        <v/>
      </c>
      <c r="Z310" s="10">
        <f>IF(AND(Q310&lt;&gt;"",W310&gt;0),Q310&amp;"|월","")</f>
        <v/>
      </c>
      <c r="AA310" s="10">
        <f>IF(COUNTA(B310:I310,K310:N310)=0,"",IF(Q310="","등록번호 없음",IF(LEFT(R310,1)="⚠","모병원명 미등록",IF(S310="","파견병원 입력",IF(LEFT(S310,1)="⚠","파견병원명 미등록",IF(LEFT(U310,1)="⚠","파견과목 미등록",IF(OR(T310="",LEFT(T310,1)="⚠"),"파견근거 확인",IF(NOT(AND(ISNUMBER(H310),ISNUMBER(I310))),"날짜 형식/누락",IF(I310&lt;H310,"종료일&lt;시작일","")))))))))</f>
        <v/>
      </c>
      <c r="AB310" s="11">
        <f>IF(ISNUMBER(SEARCH("다기관",TRIM(N310&amp;" "&amp;O310))),IFERROR(DATE(VALUE(MID(TRIM(N310&amp;" "&amp;O310),1,4)),VALUE(MID(TRIM(N310&amp;" "&amp;O310),6,2)),VALUE(MID(TRIM(N310&amp;" "&amp;O310),9,2))),IF(ISNUMBER(H310),H310,"")),"")</f>
        <v/>
      </c>
      <c r="AC310" s="11">
        <f>IF(ISNUMBER(SEARCH("다기관",TRIM(N310&amp;" "&amp;O310))),IFERROR(DATE(VALUE(MID(TRIM(N310&amp;" "&amp;O310),12,4)),VALUE(MID(TRIM(N310&amp;" "&amp;O310),17,2)),VALUE(MID(TRIM(N310&amp;" "&amp;O310),20,2))),IF(ISNUMBER(I310),I310,"")),"")</f>
        <v/>
      </c>
      <c r="AD310" s="17">
        <f>IF(AND(ISNUMBER(AB310),ISNUMBER(AC310)),MAX(0,MIN(AC310,EOMONTH(출력_요약!$B$3,0))-MAX(AB310,출력_요약!$B$3)+1),0)</f>
        <v/>
      </c>
      <c r="AE310" s="10">
        <f>IF(AND(Q310&lt;&gt;"",ISNUMBER(AB310)),Q310&amp;"|다기관","")</f>
        <v/>
      </c>
    </row>
    <row r="311">
      <c r="A311" s="15">
        <f>IF(F311="","",ROW()-3)</f>
        <v/>
      </c>
      <c r="B311" s="5" t="n"/>
      <c r="C311" s="15" t="n"/>
      <c r="D311" s="5" t="n"/>
      <c r="E311" s="15" t="n"/>
      <c r="F311" s="5" t="n"/>
      <c r="G311" s="6" t="n"/>
      <c r="H311" s="16" t="n"/>
      <c r="I311" s="16" t="n"/>
      <c r="J311" s="15">
        <f>IF(AND(ISNUMBER(H311),ISNUMBER(I311)),I311-H311+1,"")</f>
        <v/>
      </c>
      <c r="K311" s="5" t="n"/>
      <c r="L311" s="5" t="n"/>
      <c r="M311" s="5" t="n"/>
      <c r="N311" s="5" t="n"/>
      <c r="O311" s="5" t="n"/>
      <c r="Q311" s="10">
        <f>IF(TRIM(G311&amp;"")="","",TRIM(G311&amp;""))</f>
        <v/>
      </c>
      <c r="R311" s="10">
        <f>IF(TRIM(B311&amp;"")="","",IFERROR(INDEX(설정_코드표!$K$2:$K$101,MATCH(TRIM(B311&amp;""),설정_코드표!$J$2:$J$101,0)),"⚠"&amp;TRIM(B311&amp;"")))</f>
        <v/>
      </c>
      <c r="S311" s="10">
        <f>IF(TRIM(K311&amp;"")="","",IFERROR(INDEX(설정_코드표!$K$2:$K$101,MATCH(TRIM(K311&amp;""),설정_코드표!$J$2:$J$101,0)),"⚠"&amp;TRIM(K311&amp;"")))</f>
        <v/>
      </c>
      <c r="T311" s="10">
        <f>IF(TRIM(M311&amp;"")="","",IF(ISNUMBER(MATCH(TRIM(M311&amp;""),설정_코드표!$C$2:$C$11,0)),TRIM(M311&amp;""),"⚠"&amp;TRIM(M311&amp;"")))</f>
        <v/>
      </c>
      <c r="U311" s="10">
        <f>IF(TRIM(L311&amp;"")="","",IFERROR(INDEX(설정_코드표!$G$2:$G$101,MATCH(TRIM(L311&amp;""),설정_코드표!$F$2:$F$101,0)),"⚠"&amp;TRIM(L311&amp;"")))</f>
        <v/>
      </c>
      <c r="V311" s="10">
        <f>IF(AND(ISNUMBER(H311),ISNUMBER(I311)),I311-H311+1,"")</f>
        <v/>
      </c>
      <c r="W311" s="17">
        <f>IF(ISNUMBER(H311),MAX(0,MIN(IF(ISNUMBER(I311),I311,EOMONTH(출력_요약!$B$3,0)),EOMONTH(출력_요약!$B$3,0))-MAX(H311,출력_요약!$B$3)+1),0)</f>
        <v/>
      </c>
      <c r="X311" s="10">
        <f>IF(OR(NOT(ISNUMBER(H311)),Q311=""),"",IF(TODAY()&lt;H311,"파견예정",IF(AND(ISNUMBER(I311),TODAY()&gt;I311),"파견종료","파견중")))</f>
        <v/>
      </c>
      <c r="Y311" s="10">
        <f>IF(OR(Q311="",X311=""),"",Q311&amp;"|"&amp;X311)</f>
        <v/>
      </c>
      <c r="Z311" s="10">
        <f>IF(AND(Q311&lt;&gt;"",W311&gt;0),Q311&amp;"|월","")</f>
        <v/>
      </c>
      <c r="AA311" s="10">
        <f>IF(COUNTA(B311:I311,K311:N311)=0,"",IF(Q311="","등록번호 없음",IF(LEFT(R311,1)="⚠","모병원명 미등록",IF(S311="","파견병원 입력",IF(LEFT(S311,1)="⚠","파견병원명 미등록",IF(LEFT(U311,1)="⚠","파견과목 미등록",IF(OR(T311="",LEFT(T311,1)="⚠"),"파견근거 확인",IF(NOT(AND(ISNUMBER(H311),ISNUMBER(I311))),"날짜 형식/누락",IF(I311&lt;H311,"종료일&lt;시작일","")))))))))</f>
        <v/>
      </c>
      <c r="AB311" s="11">
        <f>IF(ISNUMBER(SEARCH("다기관",TRIM(N311&amp;" "&amp;O311))),IFERROR(DATE(VALUE(MID(TRIM(N311&amp;" "&amp;O311),1,4)),VALUE(MID(TRIM(N311&amp;" "&amp;O311),6,2)),VALUE(MID(TRIM(N311&amp;" "&amp;O311),9,2))),IF(ISNUMBER(H311),H311,"")),"")</f>
        <v/>
      </c>
      <c r="AC311" s="11">
        <f>IF(ISNUMBER(SEARCH("다기관",TRIM(N311&amp;" "&amp;O311))),IFERROR(DATE(VALUE(MID(TRIM(N311&amp;" "&amp;O311),12,4)),VALUE(MID(TRIM(N311&amp;" "&amp;O311),17,2)),VALUE(MID(TRIM(N311&amp;" "&amp;O311),20,2))),IF(ISNUMBER(I311),I311,"")),"")</f>
        <v/>
      </c>
      <c r="AD311" s="17">
        <f>IF(AND(ISNUMBER(AB311),ISNUMBER(AC311)),MAX(0,MIN(AC311,EOMONTH(출력_요약!$B$3,0))-MAX(AB311,출력_요약!$B$3)+1),0)</f>
        <v/>
      </c>
      <c r="AE311" s="10">
        <f>IF(AND(Q311&lt;&gt;"",ISNUMBER(AB311)),Q311&amp;"|다기관","")</f>
        <v/>
      </c>
    </row>
    <row r="312">
      <c r="A312" s="15">
        <f>IF(F312="","",ROW()-3)</f>
        <v/>
      </c>
      <c r="B312" s="5" t="n"/>
      <c r="C312" s="15" t="n"/>
      <c r="D312" s="5" t="n"/>
      <c r="E312" s="15" t="n"/>
      <c r="F312" s="5" t="n"/>
      <c r="G312" s="6" t="n"/>
      <c r="H312" s="16" t="n"/>
      <c r="I312" s="16" t="n"/>
      <c r="J312" s="15">
        <f>IF(AND(ISNUMBER(H312),ISNUMBER(I312)),I312-H312+1,"")</f>
        <v/>
      </c>
      <c r="K312" s="5" t="n"/>
      <c r="L312" s="5" t="n"/>
      <c r="M312" s="5" t="n"/>
      <c r="N312" s="5" t="n"/>
      <c r="O312" s="5" t="n"/>
      <c r="Q312" s="10">
        <f>IF(TRIM(G312&amp;"")="","",TRIM(G312&amp;""))</f>
        <v/>
      </c>
      <c r="R312" s="10">
        <f>IF(TRIM(B312&amp;"")="","",IFERROR(INDEX(설정_코드표!$K$2:$K$101,MATCH(TRIM(B312&amp;""),설정_코드표!$J$2:$J$101,0)),"⚠"&amp;TRIM(B312&amp;"")))</f>
        <v/>
      </c>
      <c r="S312" s="10">
        <f>IF(TRIM(K312&amp;"")="","",IFERROR(INDEX(설정_코드표!$K$2:$K$101,MATCH(TRIM(K312&amp;""),설정_코드표!$J$2:$J$101,0)),"⚠"&amp;TRIM(K312&amp;"")))</f>
        <v/>
      </c>
      <c r="T312" s="10">
        <f>IF(TRIM(M312&amp;"")="","",IF(ISNUMBER(MATCH(TRIM(M312&amp;""),설정_코드표!$C$2:$C$11,0)),TRIM(M312&amp;""),"⚠"&amp;TRIM(M312&amp;"")))</f>
        <v/>
      </c>
      <c r="U312" s="10">
        <f>IF(TRIM(L312&amp;"")="","",IFERROR(INDEX(설정_코드표!$G$2:$G$101,MATCH(TRIM(L312&amp;""),설정_코드표!$F$2:$F$101,0)),"⚠"&amp;TRIM(L312&amp;"")))</f>
        <v/>
      </c>
      <c r="V312" s="10">
        <f>IF(AND(ISNUMBER(H312),ISNUMBER(I312)),I312-H312+1,"")</f>
        <v/>
      </c>
      <c r="W312" s="17">
        <f>IF(ISNUMBER(H312),MAX(0,MIN(IF(ISNUMBER(I312),I312,EOMONTH(출력_요약!$B$3,0)),EOMONTH(출력_요약!$B$3,0))-MAX(H312,출력_요약!$B$3)+1),0)</f>
        <v/>
      </c>
      <c r="X312" s="10">
        <f>IF(OR(NOT(ISNUMBER(H312)),Q312=""),"",IF(TODAY()&lt;H312,"파견예정",IF(AND(ISNUMBER(I312),TODAY()&gt;I312),"파견종료","파견중")))</f>
        <v/>
      </c>
      <c r="Y312" s="10">
        <f>IF(OR(Q312="",X312=""),"",Q312&amp;"|"&amp;X312)</f>
        <v/>
      </c>
      <c r="Z312" s="10">
        <f>IF(AND(Q312&lt;&gt;"",W312&gt;0),Q312&amp;"|월","")</f>
        <v/>
      </c>
      <c r="AA312" s="10">
        <f>IF(COUNTA(B312:I312,K312:N312)=0,"",IF(Q312="","등록번호 없음",IF(LEFT(R312,1)="⚠","모병원명 미등록",IF(S312="","파견병원 입력",IF(LEFT(S312,1)="⚠","파견병원명 미등록",IF(LEFT(U312,1)="⚠","파견과목 미등록",IF(OR(T312="",LEFT(T312,1)="⚠"),"파견근거 확인",IF(NOT(AND(ISNUMBER(H312),ISNUMBER(I312))),"날짜 형식/누락",IF(I312&lt;H312,"종료일&lt;시작일","")))))))))</f>
        <v/>
      </c>
      <c r="AB312" s="11">
        <f>IF(ISNUMBER(SEARCH("다기관",TRIM(N312&amp;" "&amp;O312))),IFERROR(DATE(VALUE(MID(TRIM(N312&amp;" "&amp;O312),1,4)),VALUE(MID(TRIM(N312&amp;" "&amp;O312),6,2)),VALUE(MID(TRIM(N312&amp;" "&amp;O312),9,2))),IF(ISNUMBER(H312),H312,"")),"")</f>
        <v/>
      </c>
      <c r="AC312" s="11">
        <f>IF(ISNUMBER(SEARCH("다기관",TRIM(N312&amp;" "&amp;O312))),IFERROR(DATE(VALUE(MID(TRIM(N312&amp;" "&amp;O312),12,4)),VALUE(MID(TRIM(N312&amp;" "&amp;O312),17,2)),VALUE(MID(TRIM(N312&amp;" "&amp;O312),20,2))),IF(ISNUMBER(I312),I312,"")),"")</f>
        <v/>
      </c>
      <c r="AD312" s="17">
        <f>IF(AND(ISNUMBER(AB312),ISNUMBER(AC312)),MAX(0,MIN(AC312,EOMONTH(출력_요약!$B$3,0))-MAX(AB312,출력_요약!$B$3)+1),0)</f>
        <v/>
      </c>
      <c r="AE312" s="10">
        <f>IF(AND(Q312&lt;&gt;"",ISNUMBER(AB312)),Q312&amp;"|다기관","")</f>
        <v/>
      </c>
    </row>
    <row r="313">
      <c r="A313" s="15">
        <f>IF(F313="","",ROW()-3)</f>
        <v/>
      </c>
      <c r="B313" s="5" t="n"/>
      <c r="C313" s="15" t="n"/>
      <c r="D313" s="5" t="n"/>
      <c r="E313" s="15" t="n"/>
      <c r="F313" s="5" t="n"/>
      <c r="G313" s="6" t="n"/>
      <c r="H313" s="16" t="n"/>
      <c r="I313" s="16" t="n"/>
      <c r="J313" s="15">
        <f>IF(AND(ISNUMBER(H313),ISNUMBER(I313)),I313-H313+1,"")</f>
        <v/>
      </c>
      <c r="K313" s="5" t="n"/>
      <c r="L313" s="5" t="n"/>
      <c r="M313" s="5" t="n"/>
      <c r="N313" s="5" t="n"/>
      <c r="O313" s="5" t="n"/>
      <c r="Q313" s="10">
        <f>IF(TRIM(G313&amp;"")="","",TRIM(G313&amp;""))</f>
        <v/>
      </c>
      <c r="R313" s="10">
        <f>IF(TRIM(B313&amp;"")="","",IFERROR(INDEX(설정_코드표!$K$2:$K$101,MATCH(TRIM(B313&amp;""),설정_코드표!$J$2:$J$101,0)),"⚠"&amp;TRIM(B313&amp;"")))</f>
        <v/>
      </c>
      <c r="S313" s="10">
        <f>IF(TRIM(K313&amp;"")="","",IFERROR(INDEX(설정_코드표!$K$2:$K$101,MATCH(TRIM(K313&amp;""),설정_코드표!$J$2:$J$101,0)),"⚠"&amp;TRIM(K313&amp;"")))</f>
        <v/>
      </c>
      <c r="T313" s="10">
        <f>IF(TRIM(M313&amp;"")="","",IF(ISNUMBER(MATCH(TRIM(M313&amp;""),설정_코드표!$C$2:$C$11,0)),TRIM(M313&amp;""),"⚠"&amp;TRIM(M313&amp;"")))</f>
        <v/>
      </c>
      <c r="U313" s="10">
        <f>IF(TRIM(L313&amp;"")="","",IFERROR(INDEX(설정_코드표!$G$2:$G$101,MATCH(TRIM(L313&amp;""),설정_코드표!$F$2:$F$101,0)),"⚠"&amp;TRIM(L313&amp;"")))</f>
        <v/>
      </c>
      <c r="V313" s="10">
        <f>IF(AND(ISNUMBER(H313),ISNUMBER(I313)),I313-H313+1,"")</f>
        <v/>
      </c>
      <c r="W313" s="17">
        <f>IF(ISNUMBER(H313),MAX(0,MIN(IF(ISNUMBER(I313),I313,EOMONTH(출력_요약!$B$3,0)),EOMONTH(출력_요약!$B$3,0))-MAX(H313,출력_요약!$B$3)+1),0)</f>
        <v/>
      </c>
      <c r="X313" s="10">
        <f>IF(OR(NOT(ISNUMBER(H313)),Q313=""),"",IF(TODAY()&lt;H313,"파견예정",IF(AND(ISNUMBER(I313),TODAY()&gt;I313),"파견종료","파견중")))</f>
        <v/>
      </c>
      <c r="Y313" s="10">
        <f>IF(OR(Q313="",X313=""),"",Q313&amp;"|"&amp;X313)</f>
        <v/>
      </c>
      <c r="Z313" s="10">
        <f>IF(AND(Q313&lt;&gt;"",W313&gt;0),Q313&amp;"|월","")</f>
        <v/>
      </c>
      <c r="AA313" s="10">
        <f>IF(COUNTA(B313:I313,K313:N313)=0,"",IF(Q313="","등록번호 없음",IF(LEFT(R313,1)="⚠","모병원명 미등록",IF(S313="","파견병원 입력",IF(LEFT(S313,1)="⚠","파견병원명 미등록",IF(LEFT(U313,1)="⚠","파견과목 미등록",IF(OR(T313="",LEFT(T313,1)="⚠"),"파견근거 확인",IF(NOT(AND(ISNUMBER(H313),ISNUMBER(I313))),"날짜 형식/누락",IF(I313&lt;H313,"종료일&lt;시작일","")))))))))</f>
        <v/>
      </c>
      <c r="AB313" s="11">
        <f>IF(ISNUMBER(SEARCH("다기관",TRIM(N313&amp;" "&amp;O313))),IFERROR(DATE(VALUE(MID(TRIM(N313&amp;" "&amp;O313),1,4)),VALUE(MID(TRIM(N313&amp;" "&amp;O313),6,2)),VALUE(MID(TRIM(N313&amp;" "&amp;O313),9,2))),IF(ISNUMBER(H313),H313,"")),"")</f>
        <v/>
      </c>
      <c r="AC313" s="11">
        <f>IF(ISNUMBER(SEARCH("다기관",TRIM(N313&amp;" "&amp;O313))),IFERROR(DATE(VALUE(MID(TRIM(N313&amp;" "&amp;O313),12,4)),VALUE(MID(TRIM(N313&amp;" "&amp;O313),17,2)),VALUE(MID(TRIM(N313&amp;" "&amp;O313),20,2))),IF(ISNUMBER(I313),I313,"")),"")</f>
        <v/>
      </c>
      <c r="AD313" s="17">
        <f>IF(AND(ISNUMBER(AB313),ISNUMBER(AC313)),MAX(0,MIN(AC313,EOMONTH(출력_요약!$B$3,0))-MAX(AB313,출력_요약!$B$3)+1),0)</f>
        <v/>
      </c>
      <c r="AE313" s="10">
        <f>IF(AND(Q313&lt;&gt;"",ISNUMBER(AB313)),Q313&amp;"|다기관","")</f>
        <v/>
      </c>
    </row>
    <row r="314">
      <c r="A314" s="15">
        <f>IF(F314="","",ROW()-3)</f>
        <v/>
      </c>
      <c r="B314" s="5" t="n"/>
      <c r="C314" s="15" t="n"/>
      <c r="D314" s="5" t="n"/>
      <c r="E314" s="15" t="n"/>
      <c r="F314" s="5" t="n"/>
      <c r="G314" s="6" t="n"/>
      <c r="H314" s="16" t="n"/>
      <c r="I314" s="16" t="n"/>
      <c r="J314" s="15">
        <f>IF(AND(ISNUMBER(H314),ISNUMBER(I314)),I314-H314+1,"")</f>
        <v/>
      </c>
      <c r="K314" s="5" t="n"/>
      <c r="L314" s="5" t="n"/>
      <c r="M314" s="5" t="n"/>
      <c r="N314" s="5" t="n"/>
      <c r="O314" s="5" t="n"/>
      <c r="Q314" s="10">
        <f>IF(TRIM(G314&amp;"")="","",TRIM(G314&amp;""))</f>
        <v/>
      </c>
      <c r="R314" s="10">
        <f>IF(TRIM(B314&amp;"")="","",IFERROR(INDEX(설정_코드표!$K$2:$K$101,MATCH(TRIM(B314&amp;""),설정_코드표!$J$2:$J$101,0)),"⚠"&amp;TRIM(B314&amp;"")))</f>
        <v/>
      </c>
      <c r="S314" s="10">
        <f>IF(TRIM(K314&amp;"")="","",IFERROR(INDEX(설정_코드표!$K$2:$K$101,MATCH(TRIM(K314&amp;""),설정_코드표!$J$2:$J$101,0)),"⚠"&amp;TRIM(K314&amp;"")))</f>
        <v/>
      </c>
      <c r="T314" s="10">
        <f>IF(TRIM(M314&amp;"")="","",IF(ISNUMBER(MATCH(TRIM(M314&amp;""),설정_코드표!$C$2:$C$11,0)),TRIM(M314&amp;""),"⚠"&amp;TRIM(M314&amp;"")))</f>
        <v/>
      </c>
      <c r="U314" s="10">
        <f>IF(TRIM(L314&amp;"")="","",IFERROR(INDEX(설정_코드표!$G$2:$G$101,MATCH(TRIM(L314&amp;""),설정_코드표!$F$2:$F$101,0)),"⚠"&amp;TRIM(L314&amp;"")))</f>
        <v/>
      </c>
      <c r="V314" s="10">
        <f>IF(AND(ISNUMBER(H314),ISNUMBER(I314)),I314-H314+1,"")</f>
        <v/>
      </c>
      <c r="W314" s="17">
        <f>IF(ISNUMBER(H314),MAX(0,MIN(IF(ISNUMBER(I314),I314,EOMONTH(출력_요약!$B$3,0)),EOMONTH(출력_요약!$B$3,0))-MAX(H314,출력_요약!$B$3)+1),0)</f>
        <v/>
      </c>
      <c r="X314" s="10">
        <f>IF(OR(NOT(ISNUMBER(H314)),Q314=""),"",IF(TODAY()&lt;H314,"파견예정",IF(AND(ISNUMBER(I314),TODAY()&gt;I314),"파견종료","파견중")))</f>
        <v/>
      </c>
      <c r="Y314" s="10">
        <f>IF(OR(Q314="",X314=""),"",Q314&amp;"|"&amp;X314)</f>
        <v/>
      </c>
      <c r="Z314" s="10">
        <f>IF(AND(Q314&lt;&gt;"",W314&gt;0),Q314&amp;"|월","")</f>
        <v/>
      </c>
      <c r="AA314" s="10">
        <f>IF(COUNTA(B314:I314,K314:N314)=0,"",IF(Q314="","등록번호 없음",IF(LEFT(R314,1)="⚠","모병원명 미등록",IF(S314="","파견병원 입력",IF(LEFT(S314,1)="⚠","파견병원명 미등록",IF(LEFT(U314,1)="⚠","파견과목 미등록",IF(OR(T314="",LEFT(T314,1)="⚠"),"파견근거 확인",IF(NOT(AND(ISNUMBER(H314),ISNUMBER(I314))),"날짜 형식/누락",IF(I314&lt;H314,"종료일&lt;시작일","")))))))))</f>
        <v/>
      </c>
      <c r="AB314" s="11">
        <f>IF(ISNUMBER(SEARCH("다기관",TRIM(N314&amp;" "&amp;O314))),IFERROR(DATE(VALUE(MID(TRIM(N314&amp;" "&amp;O314),1,4)),VALUE(MID(TRIM(N314&amp;" "&amp;O314),6,2)),VALUE(MID(TRIM(N314&amp;" "&amp;O314),9,2))),IF(ISNUMBER(H314),H314,"")),"")</f>
        <v/>
      </c>
      <c r="AC314" s="11">
        <f>IF(ISNUMBER(SEARCH("다기관",TRIM(N314&amp;" "&amp;O314))),IFERROR(DATE(VALUE(MID(TRIM(N314&amp;" "&amp;O314),12,4)),VALUE(MID(TRIM(N314&amp;" "&amp;O314),17,2)),VALUE(MID(TRIM(N314&amp;" "&amp;O314),20,2))),IF(ISNUMBER(I314),I314,"")),"")</f>
        <v/>
      </c>
      <c r="AD314" s="17">
        <f>IF(AND(ISNUMBER(AB314),ISNUMBER(AC314)),MAX(0,MIN(AC314,EOMONTH(출력_요약!$B$3,0))-MAX(AB314,출력_요약!$B$3)+1),0)</f>
        <v/>
      </c>
      <c r="AE314" s="10">
        <f>IF(AND(Q314&lt;&gt;"",ISNUMBER(AB314)),Q314&amp;"|다기관","")</f>
        <v/>
      </c>
    </row>
    <row r="315">
      <c r="A315" s="15">
        <f>IF(F315="","",ROW()-3)</f>
        <v/>
      </c>
      <c r="B315" s="5" t="n"/>
      <c r="C315" s="15" t="n"/>
      <c r="D315" s="5" t="n"/>
      <c r="E315" s="15" t="n"/>
      <c r="F315" s="5" t="n"/>
      <c r="G315" s="6" t="n"/>
      <c r="H315" s="16" t="n"/>
      <c r="I315" s="16" t="n"/>
      <c r="J315" s="15">
        <f>IF(AND(ISNUMBER(H315),ISNUMBER(I315)),I315-H315+1,"")</f>
        <v/>
      </c>
      <c r="K315" s="5" t="n"/>
      <c r="L315" s="5" t="n"/>
      <c r="M315" s="5" t="n"/>
      <c r="N315" s="5" t="n"/>
      <c r="O315" s="5" t="n"/>
      <c r="Q315" s="10">
        <f>IF(TRIM(G315&amp;"")="","",TRIM(G315&amp;""))</f>
        <v/>
      </c>
      <c r="R315" s="10">
        <f>IF(TRIM(B315&amp;"")="","",IFERROR(INDEX(설정_코드표!$K$2:$K$101,MATCH(TRIM(B315&amp;""),설정_코드표!$J$2:$J$101,0)),"⚠"&amp;TRIM(B315&amp;"")))</f>
        <v/>
      </c>
      <c r="S315" s="10">
        <f>IF(TRIM(K315&amp;"")="","",IFERROR(INDEX(설정_코드표!$K$2:$K$101,MATCH(TRIM(K315&amp;""),설정_코드표!$J$2:$J$101,0)),"⚠"&amp;TRIM(K315&amp;"")))</f>
        <v/>
      </c>
      <c r="T315" s="10">
        <f>IF(TRIM(M315&amp;"")="","",IF(ISNUMBER(MATCH(TRIM(M315&amp;""),설정_코드표!$C$2:$C$11,0)),TRIM(M315&amp;""),"⚠"&amp;TRIM(M315&amp;"")))</f>
        <v/>
      </c>
      <c r="U315" s="10">
        <f>IF(TRIM(L315&amp;"")="","",IFERROR(INDEX(설정_코드표!$G$2:$G$101,MATCH(TRIM(L315&amp;""),설정_코드표!$F$2:$F$101,0)),"⚠"&amp;TRIM(L315&amp;"")))</f>
        <v/>
      </c>
      <c r="V315" s="10">
        <f>IF(AND(ISNUMBER(H315),ISNUMBER(I315)),I315-H315+1,"")</f>
        <v/>
      </c>
      <c r="W315" s="17">
        <f>IF(ISNUMBER(H315),MAX(0,MIN(IF(ISNUMBER(I315),I315,EOMONTH(출력_요약!$B$3,0)),EOMONTH(출력_요약!$B$3,0))-MAX(H315,출력_요약!$B$3)+1),0)</f>
        <v/>
      </c>
      <c r="X315" s="10">
        <f>IF(OR(NOT(ISNUMBER(H315)),Q315=""),"",IF(TODAY()&lt;H315,"파견예정",IF(AND(ISNUMBER(I315),TODAY()&gt;I315),"파견종료","파견중")))</f>
        <v/>
      </c>
      <c r="Y315" s="10">
        <f>IF(OR(Q315="",X315=""),"",Q315&amp;"|"&amp;X315)</f>
        <v/>
      </c>
      <c r="Z315" s="10">
        <f>IF(AND(Q315&lt;&gt;"",W315&gt;0),Q315&amp;"|월","")</f>
        <v/>
      </c>
      <c r="AA315" s="10">
        <f>IF(COUNTA(B315:I315,K315:N315)=0,"",IF(Q315="","등록번호 없음",IF(LEFT(R315,1)="⚠","모병원명 미등록",IF(S315="","파견병원 입력",IF(LEFT(S315,1)="⚠","파견병원명 미등록",IF(LEFT(U315,1)="⚠","파견과목 미등록",IF(OR(T315="",LEFT(T315,1)="⚠"),"파견근거 확인",IF(NOT(AND(ISNUMBER(H315),ISNUMBER(I315))),"날짜 형식/누락",IF(I315&lt;H315,"종료일&lt;시작일","")))))))))</f>
        <v/>
      </c>
      <c r="AB315" s="11">
        <f>IF(ISNUMBER(SEARCH("다기관",TRIM(N315&amp;" "&amp;O315))),IFERROR(DATE(VALUE(MID(TRIM(N315&amp;" "&amp;O315),1,4)),VALUE(MID(TRIM(N315&amp;" "&amp;O315),6,2)),VALUE(MID(TRIM(N315&amp;" "&amp;O315),9,2))),IF(ISNUMBER(H315),H315,"")),"")</f>
        <v/>
      </c>
      <c r="AC315" s="11">
        <f>IF(ISNUMBER(SEARCH("다기관",TRIM(N315&amp;" "&amp;O315))),IFERROR(DATE(VALUE(MID(TRIM(N315&amp;" "&amp;O315),12,4)),VALUE(MID(TRIM(N315&amp;" "&amp;O315),17,2)),VALUE(MID(TRIM(N315&amp;" "&amp;O315),20,2))),IF(ISNUMBER(I315),I315,"")),"")</f>
        <v/>
      </c>
      <c r="AD315" s="17">
        <f>IF(AND(ISNUMBER(AB315),ISNUMBER(AC315)),MAX(0,MIN(AC315,EOMONTH(출력_요약!$B$3,0))-MAX(AB315,출력_요약!$B$3)+1),0)</f>
        <v/>
      </c>
      <c r="AE315" s="10">
        <f>IF(AND(Q315&lt;&gt;"",ISNUMBER(AB315)),Q315&amp;"|다기관","")</f>
        <v/>
      </c>
    </row>
    <row r="316">
      <c r="A316" s="15">
        <f>IF(F316="","",ROW()-3)</f>
        <v/>
      </c>
      <c r="B316" s="5" t="n"/>
      <c r="C316" s="15" t="n"/>
      <c r="D316" s="5" t="n"/>
      <c r="E316" s="15" t="n"/>
      <c r="F316" s="5" t="n"/>
      <c r="G316" s="6" t="n"/>
      <c r="H316" s="16" t="n"/>
      <c r="I316" s="16" t="n"/>
      <c r="J316" s="15">
        <f>IF(AND(ISNUMBER(H316),ISNUMBER(I316)),I316-H316+1,"")</f>
        <v/>
      </c>
      <c r="K316" s="5" t="n"/>
      <c r="L316" s="5" t="n"/>
      <c r="M316" s="5" t="n"/>
      <c r="N316" s="5" t="n"/>
      <c r="O316" s="5" t="n"/>
      <c r="Q316" s="10">
        <f>IF(TRIM(G316&amp;"")="","",TRIM(G316&amp;""))</f>
        <v/>
      </c>
      <c r="R316" s="10">
        <f>IF(TRIM(B316&amp;"")="","",IFERROR(INDEX(설정_코드표!$K$2:$K$101,MATCH(TRIM(B316&amp;""),설정_코드표!$J$2:$J$101,0)),"⚠"&amp;TRIM(B316&amp;"")))</f>
        <v/>
      </c>
      <c r="S316" s="10">
        <f>IF(TRIM(K316&amp;"")="","",IFERROR(INDEX(설정_코드표!$K$2:$K$101,MATCH(TRIM(K316&amp;""),설정_코드표!$J$2:$J$101,0)),"⚠"&amp;TRIM(K316&amp;"")))</f>
        <v/>
      </c>
      <c r="T316" s="10">
        <f>IF(TRIM(M316&amp;"")="","",IF(ISNUMBER(MATCH(TRIM(M316&amp;""),설정_코드표!$C$2:$C$11,0)),TRIM(M316&amp;""),"⚠"&amp;TRIM(M316&amp;"")))</f>
        <v/>
      </c>
      <c r="U316" s="10">
        <f>IF(TRIM(L316&amp;"")="","",IFERROR(INDEX(설정_코드표!$G$2:$G$101,MATCH(TRIM(L316&amp;""),설정_코드표!$F$2:$F$101,0)),"⚠"&amp;TRIM(L316&amp;"")))</f>
        <v/>
      </c>
      <c r="V316" s="10">
        <f>IF(AND(ISNUMBER(H316),ISNUMBER(I316)),I316-H316+1,"")</f>
        <v/>
      </c>
      <c r="W316" s="17">
        <f>IF(ISNUMBER(H316),MAX(0,MIN(IF(ISNUMBER(I316),I316,EOMONTH(출력_요약!$B$3,0)),EOMONTH(출력_요약!$B$3,0))-MAX(H316,출력_요약!$B$3)+1),0)</f>
        <v/>
      </c>
      <c r="X316" s="10">
        <f>IF(OR(NOT(ISNUMBER(H316)),Q316=""),"",IF(TODAY()&lt;H316,"파견예정",IF(AND(ISNUMBER(I316),TODAY()&gt;I316),"파견종료","파견중")))</f>
        <v/>
      </c>
      <c r="Y316" s="10">
        <f>IF(OR(Q316="",X316=""),"",Q316&amp;"|"&amp;X316)</f>
        <v/>
      </c>
      <c r="Z316" s="10">
        <f>IF(AND(Q316&lt;&gt;"",W316&gt;0),Q316&amp;"|월","")</f>
        <v/>
      </c>
      <c r="AA316" s="10">
        <f>IF(COUNTA(B316:I316,K316:N316)=0,"",IF(Q316="","등록번호 없음",IF(LEFT(R316,1)="⚠","모병원명 미등록",IF(S316="","파견병원 입력",IF(LEFT(S316,1)="⚠","파견병원명 미등록",IF(LEFT(U316,1)="⚠","파견과목 미등록",IF(OR(T316="",LEFT(T316,1)="⚠"),"파견근거 확인",IF(NOT(AND(ISNUMBER(H316),ISNUMBER(I316))),"날짜 형식/누락",IF(I316&lt;H316,"종료일&lt;시작일","")))))))))</f>
        <v/>
      </c>
      <c r="AB316" s="11">
        <f>IF(ISNUMBER(SEARCH("다기관",TRIM(N316&amp;" "&amp;O316))),IFERROR(DATE(VALUE(MID(TRIM(N316&amp;" "&amp;O316),1,4)),VALUE(MID(TRIM(N316&amp;" "&amp;O316),6,2)),VALUE(MID(TRIM(N316&amp;" "&amp;O316),9,2))),IF(ISNUMBER(H316),H316,"")),"")</f>
        <v/>
      </c>
      <c r="AC316" s="11">
        <f>IF(ISNUMBER(SEARCH("다기관",TRIM(N316&amp;" "&amp;O316))),IFERROR(DATE(VALUE(MID(TRIM(N316&amp;" "&amp;O316),12,4)),VALUE(MID(TRIM(N316&amp;" "&amp;O316),17,2)),VALUE(MID(TRIM(N316&amp;" "&amp;O316),20,2))),IF(ISNUMBER(I316),I316,"")),"")</f>
        <v/>
      </c>
      <c r="AD316" s="17">
        <f>IF(AND(ISNUMBER(AB316),ISNUMBER(AC316)),MAX(0,MIN(AC316,EOMONTH(출력_요약!$B$3,0))-MAX(AB316,출력_요약!$B$3)+1),0)</f>
        <v/>
      </c>
      <c r="AE316" s="10">
        <f>IF(AND(Q316&lt;&gt;"",ISNUMBER(AB316)),Q316&amp;"|다기관","")</f>
        <v/>
      </c>
    </row>
    <row r="317">
      <c r="A317" s="15">
        <f>IF(F317="","",ROW()-3)</f>
        <v/>
      </c>
      <c r="B317" s="5" t="n"/>
      <c r="C317" s="15" t="n"/>
      <c r="D317" s="5" t="n"/>
      <c r="E317" s="15" t="n"/>
      <c r="F317" s="5" t="n"/>
      <c r="G317" s="6" t="n"/>
      <c r="H317" s="16" t="n"/>
      <c r="I317" s="16" t="n"/>
      <c r="J317" s="15">
        <f>IF(AND(ISNUMBER(H317),ISNUMBER(I317)),I317-H317+1,"")</f>
        <v/>
      </c>
      <c r="K317" s="5" t="n"/>
      <c r="L317" s="5" t="n"/>
      <c r="M317" s="5" t="n"/>
      <c r="N317" s="5" t="n"/>
      <c r="O317" s="5" t="n"/>
      <c r="Q317" s="10">
        <f>IF(TRIM(G317&amp;"")="","",TRIM(G317&amp;""))</f>
        <v/>
      </c>
      <c r="R317" s="10">
        <f>IF(TRIM(B317&amp;"")="","",IFERROR(INDEX(설정_코드표!$K$2:$K$101,MATCH(TRIM(B317&amp;""),설정_코드표!$J$2:$J$101,0)),"⚠"&amp;TRIM(B317&amp;"")))</f>
        <v/>
      </c>
      <c r="S317" s="10">
        <f>IF(TRIM(K317&amp;"")="","",IFERROR(INDEX(설정_코드표!$K$2:$K$101,MATCH(TRIM(K317&amp;""),설정_코드표!$J$2:$J$101,0)),"⚠"&amp;TRIM(K317&amp;"")))</f>
        <v/>
      </c>
      <c r="T317" s="10">
        <f>IF(TRIM(M317&amp;"")="","",IF(ISNUMBER(MATCH(TRIM(M317&amp;""),설정_코드표!$C$2:$C$11,0)),TRIM(M317&amp;""),"⚠"&amp;TRIM(M317&amp;"")))</f>
        <v/>
      </c>
      <c r="U317" s="10">
        <f>IF(TRIM(L317&amp;"")="","",IFERROR(INDEX(설정_코드표!$G$2:$G$101,MATCH(TRIM(L317&amp;""),설정_코드표!$F$2:$F$101,0)),"⚠"&amp;TRIM(L317&amp;"")))</f>
        <v/>
      </c>
      <c r="V317" s="10">
        <f>IF(AND(ISNUMBER(H317),ISNUMBER(I317)),I317-H317+1,"")</f>
        <v/>
      </c>
      <c r="W317" s="17">
        <f>IF(ISNUMBER(H317),MAX(0,MIN(IF(ISNUMBER(I317),I317,EOMONTH(출력_요약!$B$3,0)),EOMONTH(출력_요약!$B$3,0))-MAX(H317,출력_요약!$B$3)+1),0)</f>
        <v/>
      </c>
      <c r="X317" s="10">
        <f>IF(OR(NOT(ISNUMBER(H317)),Q317=""),"",IF(TODAY()&lt;H317,"파견예정",IF(AND(ISNUMBER(I317),TODAY()&gt;I317),"파견종료","파견중")))</f>
        <v/>
      </c>
      <c r="Y317" s="10">
        <f>IF(OR(Q317="",X317=""),"",Q317&amp;"|"&amp;X317)</f>
        <v/>
      </c>
      <c r="Z317" s="10">
        <f>IF(AND(Q317&lt;&gt;"",W317&gt;0),Q317&amp;"|월","")</f>
        <v/>
      </c>
      <c r="AA317" s="10">
        <f>IF(COUNTA(B317:I317,K317:N317)=0,"",IF(Q317="","등록번호 없음",IF(LEFT(R317,1)="⚠","모병원명 미등록",IF(S317="","파견병원 입력",IF(LEFT(S317,1)="⚠","파견병원명 미등록",IF(LEFT(U317,1)="⚠","파견과목 미등록",IF(OR(T317="",LEFT(T317,1)="⚠"),"파견근거 확인",IF(NOT(AND(ISNUMBER(H317),ISNUMBER(I317))),"날짜 형식/누락",IF(I317&lt;H317,"종료일&lt;시작일","")))))))))</f>
        <v/>
      </c>
      <c r="AB317" s="11">
        <f>IF(ISNUMBER(SEARCH("다기관",TRIM(N317&amp;" "&amp;O317))),IFERROR(DATE(VALUE(MID(TRIM(N317&amp;" "&amp;O317),1,4)),VALUE(MID(TRIM(N317&amp;" "&amp;O317),6,2)),VALUE(MID(TRIM(N317&amp;" "&amp;O317),9,2))),IF(ISNUMBER(H317),H317,"")),"")</f>
        <v/>
      </c>
      <c r="AC317" s="11">
        <f>IF(ISNUMBER(SEARCH("다기관",TRIM(N317&amp;" "&amp;O317))),IFERROR(DATE(VALUE(MID(TRIM(N317&amp;" "&amp;O317),12,4)),VALUE(MID(TRIM(N317&amp;" "&amp;O317),17,2)),VALUE(MID(TRIM(N317&amp;" "&amp;O317),20,2))),IF(ISNUMBER(I317),I317,"")),"")</f>
        <v/>
      </c>
      <c r="AD317" s="17">
        <f>IF(AND(ISNUMBER(AB317),ISNUMBER(AC317)),MAX(0,MIN(AC317,EOMONTH(출력_요약!$B$3,0))-MAX(AB317,출력_요약!$B$3)+1),0)</f>
        <v/>
      </c>
      <c r="AE317" s="10">
        <f>IF(AND(Q317&lt;&gt;"",ISNUMBER(AB317)),Q317&amp;"|다기관","")</f>
        <v/>
      </c>
    </row>
    <row r="318">
      <c r="A318" s="15">
        <f>IF(F318="","",ROW()-3)</f>
        <v/>
      </c>
      <c r="B318" s="5" t="n"/>
      <c r="C318" s="15" t="n"/>
      <c r="D318" s="5" t="n"/>
      <c r="E318" s="15" t="n"/>
      <c r="F318" s="5" t="n"/>
      <c r="G318" s="6" t="n"/>
      <c r="H318" s="16" t="n"/>
      <c r="I318" s="16" t="n"/>
      <c r="J318" s="15">
        <f>IF(AND(ISNUMBER(H318),ISNUMBER(I318)),I318-H318+1,"")</f>
        <v/>
      </c>
      <c r="K318" s="5" t="n"/>
      <c r="L318" s="5" t="n"/>
      <c r="M318" s="5" t="n"/>
      <c r="N318" s="5" t="n"/>
      <c r="O318" s="5" t="n"/>
      <c r="Q318" s="10">
        <f>IF(TRIM(G318&amp;"")="","",TRIM(G318&amp;""))</f>
        <v/>
      </c>
      <c r="R318" s="10">
        <f>IF(TRIM(B318&amp;"")="","",IFERROR(INDEX(설정_코드표!$K$2:$K$101,MATCH(TRIM(B318&amp;""),설정_코드표!$J$2:$J$101,0)),"⚠"&amp;TRIM(B318&amp;"")))</f>
        <v/>
      </c>
      <c r="S318" s="10">
        <f>IF(TRIM(K318&amp;"")="","",IFERROR(INDEX(설정_코드표!$K$2:$K$101,MATCH(TRIM(K318&amp;""),설정_코드표!$J$2:$J$101,0)),"⚠"&amp;TRIM(K318&amp;"")))</f>
        <v/>
      </c>
      <c r="T318" s="10">
        <f>IF(TRIM(M318&amp;"")="","",IF(ISNUMBER(MATCH(TRIM(M318&amp;""),설정_코드표!$C$2:$C$11,0)),TRIM(M318&amp;""),"⚠"&amp;TRIM(M318&amp;"")))</f>
        <v/>
      </c>
      <c r="U318" s="10">
        <f>IF(TRIM(L318&amp;"")="","",IFERROR(INDEX(설정_코드표!$G$2:$G$101,MATCH(TRIM(L318&amp;""),설정_코드표!$F$2:$F$101,0)),"⚠"&amp;TRIM(L318&amp;"")))</f>
        <v/>
      </c>
      <c r="V318" s="10">
        <f>IF(AND(ISNUMBER(H318),ISNUMBER(I318)),I318-H318+1,"")</f>
        <v/>
      </c>
      <c r="W318" s="17">
        <f>IF(ISNUMBER(H318),MAX(0,MIN(IF(ISNUMBER(I318),I318,EOMONTH(출력_요약!$B$3,0)),EOMONTH(출력_요약!$B$3,0))-MAX(H318,출력_요약!$B$3)+1),0)</f>
        <v/>
      </c>
      <c r="X318" s="10">
        <f>IF(OR(NOT(ISNUMBER(H318)),Q318=""),"",IF(TODAY()&lt;H318,"파견예정",IF(AND(ISNUMBER(I318),TODAY()&gt;I318),"파견종료","파견중")))</f>
        <v/>
      </c>
      <c r="Y318" s="10">
        <f>IF(OR(Q318="",X318=""),"",Q318&amp;"|"&amp;X318)</f>
        <v/>
      </c>
      <c r="Z318" s="10">
        <f>IF(AND(Q318&lt;&gt;"",W318&gt;0),Q318&amp;"|월","")</f>
        <v/>
      </c>
      <c r="AA318" s="10">
        <f>IF(COUNTA(B318:I318,K318:N318)=0,"",IF(Q318="","등록번호 없음",IF(LEFT(R318,1)="⚠","모병원명 미등록",IF(S318="","파견병원 입력",IF(LEFT(S318,1)="⚠","파견병원명 미등록",IF(LEFT(U318,1)="⚠","파견과목 미등록",IF(OR(T318="",LEFT(T318,1)="⚠"),"파견근거 확인",IF(NOT(AND(ISNUMBER(H318),ISNUMBER(I318))),"날짜 형식/누락",IF(I318&lt;H318,"종료일&lt;시작일","")))))))))</f>
        <v/>
      </c>
      <c r="AB318" s="11">
        <f>IF(ISNUMBER(SEARCH("다기관",TRIM(N318&amp;" "&amp;O318))),IFERROR(DATE(VALUE(MID(TRIM(N318&amp;" "&amp;O318),1,4)),VALUE(MID(TRIM(N318&amp;" "&amp;O318),6,2)),VALUE(MID(TRIM(N318&amp;" "&amp;O318),9,2))),IF(ISNUMBER(H318),H318,"")),"")</f>
        <v/>
      </c>
      <c r="AC318" s="11">
        <f>IF(ISNUMBER(SEARCH("다기관",TRIM(N318&amp;" "&amp;O318))),IFERROR(DATE(VALUE(MID(TRIM(N318&amp;" "&amp;O318),12,4)),VALUE(MID(TRIM(N318&amp;" "&amp;O318),17,2)),VALUE(MID(TRIM(N318&amp;" "&amp;O318),20,2))),IF(ISNUMBER(I318),I318,"")),"")</f>
        <v/>
      </c>
      <c r="AD318" s="17">
        <f>IF(AND(ISNUMBER(AB318),ISNUMBER(AC318)),MAX(0,MIN(AC318,EOMONTH(출력_요약!$B$3,0))-MAX(AB318,출력_요약!$B$3)+1),0)</f>
        <v/>
      </c>
      <c r="AE318" s="10">
        <f>IF(AND(Q318&lt;&gt;"",ISNUMBER(AB318)),Q318&amp;"|다기관","")</f>
        <v/>
      </c>
    </row>
    <row r="319">
      <c r="A319" s="15">
        <f>IF(F319="","",ROW()-3)</f>
        <v/>
      </c>
      <c r="B319" s="5" t="n"/>
      <c r="C319" s="15" t="n"/>
      <c r="D319" s="5" t="n"/>
      <c r="E319" s="15" t="n"/>
      <c r="F319" s="5" t="n"/>
      <c r="G319" s="6" t="n"/>
      <c r="H319" s="16" t="n"/>
      <c r="I319" s="16" t="n"/>
      <c r="J319" s="15">
        <f>IF(AND(ISNUMBER(H319),ISNUMBER(I319)),I319-H319+1,"")</f>
        <v/>
      </c>
      <c r="K319" s="5" t="n"/>
      <c r="L319" s="5" t="n"/>
      <c r="M319" s="5" t="n"/>
      <c r="N319" s="5" t="n"/>
      <c r="O319" s="5" t="n"/>
      <c r="Q319" s="10">
        <f>IF(TRIM(G319&amp;"")="","",TRIM(G319&amp;""))</f>
        <v/>
      </c>
      <c r="R319" s="10">
        <f>IF(TRIM(B319&amp;"")="","",IFERROR(INDEX(설정_코드표!$K$2:$K$101,MATCH(TRIM(B319&amp;""),설정_코드표!$J$2:$J$101,0)),"⚠"&amp;TRIM(B319&amp;"")))</f>
        <v/>
      </c>
      <c r="S319" s="10">
        <f>IF(TRIM(K319&amp;"")="","",IFERROR(INDEX(설정_코드표!$K$2:$K$101,MATCH(TRIM(K319&amp;""),설정_코드표!$J$2:$J$101,0)),"⚠"&amp;TRIM(K319&amp;"")))</f>
        <v/>
      </c>
      <c r="T319" s="10">
        <f>IF(TRIM(M319&amp;"")="","",IF(ISNUMBER(MATCH(TRIM(M319&amp;""),설정_코드표!$C$2:$C$11,0)),TRIM(M319&amp;""),"⚠"&amp;TRIM(M319&amp;"")))</f>
        <v/>
      </c>
      <c r="U319" s="10">
        <f>IF(TRIM(L319&amp;"")="","",IFERROR(INDEX(설정_코드표!$G$2:$G$101,MATCH(TRIM(L319&amp;""),설정_코드표!$F$2:$F$101,0)),"⚠"&amp;TRIM(L319&amp;"")))</f>
        <v/>
      </c>
      <c r="V319" s="10">
        <f>IF(AND(ISNUMBER(H319),ISNUMBER(I319)),I319-H319+1,"")</f>
        <v/>
      </c>
      <c r="W319" s="17">
        <f>IF(ISNUMBER(H319),MAX(0,MIN(IF(ISNUMBER(I319),I319,EOMONTH(출력_요약!$B$3,0)),EOMONTH(출력_요약!$B$3,0))-MAX(H319,출력_요약!$B$3)+1),0)</f>
        <v/>
      </c>
      <c r="X319" s="10">
        <f>IF(OR(NOT(ISNUMBER(H319)),Q319=""),"",IF(TODAY()&lt;H319,"파견예정",IF(AND(ISNUMBER(I319),TODAY()&gt;I319),"파견종료","파견중")))</f>
        <v/>
      </c>
      <c r="Y319" s="10">
        <f>IF(OR(Q319="",X319=""),"",Q319&amp;"|"&amp;X319)</f>
        <v/>
      </c>
      <c r="Z319" s="10">
        <f>IF(AND(Q319&lt;&gt;"",W319&gt;0),Q319&amp;"|월","")</f>
        <v/>
      </c>
      <c r="AA319" s="10">
        <f>IF(COUNTA(B319:I319,K319:N319)=0,"",IF(Q319="","등록번호 없음",IF(LEFT(R319,1)="⚠","모병원명 미등록",IF(S319="","파견병원 입력",IF(LEFT(S319,1)="⚠","파견병원명 미등록",IF(LEFT(U319,1)="⚠","파견과목 미등록",IF(OR(T319="",LEFT(T319,1)="⚠"),"파견근거 확인",IF(NOT(AND(ISNUMBER(H319),ISNUMBER(I319))),"날짜 형식/누락",IF(I319&lt;H319,"종료일&lt;시작일","")))))))))</f>
        <v/>
      </c>
      <c r="AB319" s="11">
        <f>IF(ISNUMBER(SEARCH("다기관",TRIM(N319&amp;" "&amp;O319))),IFERROR(DATE(VALUE(MID(TRIM(N319&amp;" "&amp;O319),1,4)),VALUE(MID(TRIM(N319&amp;" "&amp;O319),6,2)),VALUE(MID(TRIM(N319&amp;" "&amp;O319),9,2))),IF(ISNUMBER(H319),H319,"")),"")</f>
        <v/>
      </c>
      <c r="AC319" s="11">
        <f>IF(ISNUMBER(SEARCH("다기관",TRIM(N319&amp;" "&amp;O319))),IFERROR(DATE(VALUE(MID(TRIM(N319&amp;" "&amp;O319),12,4)),VALUE(MID(TRIM(N319&amp;" "&amp;O319),17,2)),VALUE(MID(TRIM(N319&amp;" "&amp;O319),20,2))),IF(ISNUMBER(I319),I319,"")),"")</f>
        <v/>
      </c>
      <c r="AD319" s="17">
        <f>IF(AND(ISNUMBER(AB319),ISNUMBER(AC319)),MAX(0,MIN(AC319,EOMONTH(출력_요약!$B$3,0))-MAX(AB319,출력_요약!$B$3)+1),0)</f>
        <v/>
      </c>
      <c r="AE319" s="10">
        <f>IF(AND(Q319&lt;&gt;"",ISNUMBER(AB319)),Q319&amp;"|다기관","")</f>
        <v/>
      </c>
    </row>
    <row r="320">
      <c r="A320" s="15">
        <f>IF(F320="","",ROW()-3)</f>
        <v/>
      </c>
      <c r="B320" s="5" t="n"/>
      <c r="C320" s="15" t="n"/>
      <c r="D320" s="5" t="n"/>
      <c r="E320" s="15" t="n"/>
      <c r="F320" s="5" t="n"/>
      <c r="G320" s="6" t="n"/>
      <c r="H320" s="16" t="n"/>
      <c r="I320" s="16" t="n"/>
      <c r="J320" s="15">
        <f>IF(AND(ISNUMBER(H320),ISNUMBER(I320)),I320-H320+1,"")</f>
        <v/>
      </c>
      <c r="K320" s="5" t="n"/>
      <c r="L320" s="5" t="n"/>
      <c r="M320" s="5" t="n"/>
      <c r="N320" s="5" t="n"/>
      <c r="O320" s="5" t="n"/>
      <c r="Q320" s="10">
        <f>IF(TRIM(G320&amp;"")="","",TRIM(G320&amp;""))</f>
        <v/>
      </c>
      <c r="R320" s="10">
        <f>IF(TRIM(B320&amp;"")="","",IFERROR(INDEX(설정_코드표!$K$2:$K$101,MATCH(TRIM(B320&amp;""),설정_코드표!$J$2:$J$101,0)),"⚠"&amp;TRIM(B320&amp;"")))</f>
        <v/>
      </c>
      <c r="S320" s="10">
        <f>IF(TRIM(K320&amp;"")="","",IFERROR(INDEX(설정_코드표!$K$2:$K$101,MATCH(TRIM(K320&amp;""),설정_코드표!$J$2:$J$101,0)),"⚠"&amp;TRIM(K320&amp;"")))</f>
        <v/>
      </c>
      <c r="T320" s="10">
        <f>IF(TRIM(M320&amp;"")="","",IF(ISNUMBER(MATCH(TRIM(M320&amp;""),설정_코드표!$C$2:$C$11,0)),TRIM(M320&amp;""),"⚠"&amp;TRIM(M320&amp;"")))</f>
        <v/>
      </c>
      <c r="U320" s="10">
        <f>IF(TRIM(L320&amp;"")="","",IFERROR(INDEX(설정_코드표!$G$2:$G$101,MATCH(TRIM(L320&amp;""),설정_코드표!$F$2:$F$101,0)),"⚠"&amp;TRIM(L320&amp;"")))</f>
        <v/>
      </c>
      <c r="V320" s="10">
        <f>IF(AND(ISNUMBER(H320),ISNUMBER(I320)),I320-H320+1,"")</f>
        <v/>
      </c>
      <c r="W320" s="17">
        <f>IF(ISNUMBER(H320),MAX(0,MIN(IF(ISNUMBER(I320),I320,EOMONTH(출력_요약!$B$3,0)),EOMONTH(출력_요약!$B$3,0))-MAX(H320,출력_요약!$B$3)+1),0)</f>
        <v/>
      </c>
      <c r="X320" s="10">
        <f>IF(OR(NOT(ISNUMBER(H320)),Q320=""),"",IF(TODAY()&lt;H320,"파견예정",IF(AND(ISNUMBER(I320),TODAY()&gt;I320),"파견종료","파견중")))</f>
        <v/>
      </c>
      <c r="Y320" s="10">
        <f>IF(OR(Q320="",X320=""),"",Q320&amp;"|"&amp;X320)</f>
        <v/>
      </c>
      <c r="Z320" s="10">
        <f>IF(AND(Q320&lt;&gt;"",W320&gt;0),Q320&amp;"|월","")</f>
        <v/>
      </c>
      <c r="AA320" s="10">
        <f>IF(COUNTA(B320:I320,K320:N320)=0,"",IF(Q320="","등록번호 없음",IF(LEFT(R320,1)="⚠","모병원명 미등록",IF(S320="","파견병원 입력",IF(LEFT(S320,1)="⚠","파견병원명 미등록",IF(LEFT(U320,1)="⚠","파견과목 미등록",IF(OR(T320="",LEFT(T320,1)="⚠"),"파견근거 확인",IF(NOT(AND(ISNUMBER(H320),ISNUMBER(I320))),"날짜 형식/누락",IF(I320&lt;H320,"종료일&lt;시작일","")))))))))</f>
        <v/>
      </c>
      <c r="AB320" s="11">
        <f>IF(ISNUMBER(SEARCH("다기관",TRIM(N320&amp;" "&amp;O320))),IFERROR(DATE(VALUE(MID(TRIM(N320&amp;" "&amp;O320),1,4)),VALUE(MID(TRIM(N320&amp;" "&amp;O320),6,2)),VALUE(MID(TRIM(N320&amp;" "&amp;O320),9,2))),IF(ISNUMBER(H320),H320,"")),"")</f>
        <v/>
      </c>
      <c r="AC320" s="11">
        <f>IF(ISNUMBER(SEARCH("다기관",TRIM(N320&amp;" "&amp;O320))),IFERROR(DATE(VALUE(MID(TRIM(N320&amp;" "&amp;O320),12,4)),VALUE(MID(TRIM(N320&amp;" "&amp;O320),17,2)),VALUE(MID(TRIM(N320&amp;" "&amp;O320),20,2))),IF(ISNUMBER(I320),I320,"")),"")</f>
        <v/>
      </c>
      <c r="AD320" s="17">
        <f>IF(AND(ISNUMBER(AB320),ISNUMBER(AC320)),MAX(0,MIN(AC320,EOMONTH(출력_요약!$B$3,0))-MAX(AB320,출력_요약!$B$3)+1),0)</f>
        <v/>
      </c>
      <c r="AE320" s="10">
        <f>IF(AND(Q320&lt;&gt;"",ISNUMBER(AB320)),Q320&amp;"|다기관","")</f>
        <v/>
      </c>
    </row>
    <row r="321">
      <c r="A321" s="15">
        <f>IF(F321="","",ROW()-3)</f>
        <v/>
      </c>
      <c r="B321" s="5" t="n"/>
      <c r="C321" s="15" t="n"/>
      <c r="D321" s="5" t="n"/>
      <c r="E321" s="15" t="n"/>
      <c r="F321" s="5" t="n"/>
      <c r="G321" s="6" t="n"/>
      <c r="H321" s="16" t="n"/>
      <c r="I321" s="16" t="n"/>
      <c r="J321" s="15">
        <f>IF(AND(ISNUMBER(H321),ISNUMBER(I321)),I321-H321+1,"")</f>
        <v/>
      </c>
      <c r="K321" s="5" t="n"/>
      <c r="L321" s="5" t="n"/>
      <c r="M321" s="5" t="n"/>
      <c r="N321" s="5" t="n"/>
      <c r="O321" s="5" t="n"/>
      <c r="Q321" s="10">
        <f>IF(TRIM(G321&amp;"")="","",TRIM(G321&amp;""))</f>
        <v/>
      </c>
      <c r="R321" s="10">
        <f>IF(TRIM(B321&amp;"")="","",IFERROR(INDEX(설정_코드표!$K$2:$K$101,MATCH(TRIM(B321&amp;""),설정_코드표!$J$2:$J$101,0)),"⚠"&amp;TRIM(B321&amp;"")))</f>
        <v/>
      </c>
      <c r="S321" s="10">
        <f>IF(TRIM(K321&amp;"")="","",IFERROR(INDEX(설정_코드표!$K$2:$K$101,MATCH(TRIM(K321&amp;""),설정_코드표!$J$2:$J$101,0)),"⚠"&amp;TRIM(K321&amp;"")))</f>
        <v/>
      </c>
      <c r="T321" s="10">
        <f>IF(TRIM(M321&amp;"")="","",IF(ISNUMBER(MATCH(TRIM(M321&amp;""),설정_코드표!$C$2:$C$11,0)),TRIM(M321&amp;""),"⚠"&amp;TRIM(M321&amp;"")))</f>
        <v/>
      </c>
      <c r="U321" s="10">
        <f>IF(TRIM(L321&amp;"")="","",IFERROR(INDEX(설정_코드표!$G$2:$G$101,MATCH(TRIM(L321&amp;""),설정_코드표!$F$2:$F$101,0)),"⚠"&amp;TRIM(L321&amp;"")))</f>
        <v/>
      </c>
      <c r="V321" s="10">
        <f>IF(AND(ISNUMBER(H321),ISNUMBER(I321)),I321-H321+1,"")</f>
        <v/>
      </c>
      <c r="W321" s="17">
        <f>IF(ISNUMBER(H321),MAX(0,MIN(IF(ISNUMBER(I321),I321,EOMONTH(출력_요약!$B$3,0)),EOMONTH(출력_요약!$B$3,0))-MAX(H321,출력_요약!$B$3)+1),0)</f>
        <v/>
      </c>
      <c r="X321" s="10">
        <f>IF(OR(NOT(ISNUMBER(H321)),Q321=""),"",IF(TODAY()&lt;H321,"파견예정",IF(AND(ISNUMBER(I321),TODAY()&gt;I321),"파견종료","파견중")))</f>
        <v/>
      </c>
      <c r="Y321" s="10">
        <f>IF(OR(Q321="",X321=""),"",Q321&amp;"|"&amp;X321)</f>
        <v/>
      </c>
      <c r="Z321" s="10">
        <f>IF(AND(Q321&lt;&gt;"",W321&gt;0),Q321&amp;"|월","")</f>
        <v/>
      </c>
      <c r="AA321" s="10">
        <f>IF(COUNTA(B321:I321,K321:N321)=0,"",IF(Q321="","등록번호 없음",IF(LEFT(R321,1)="⚠","모병원명 미등록",IF(S321="","파견병원 입력",IF(LEFT(S321,1)="⚠","파견병원명 미등록",IF(LEFT(U321,1)="⚠","파견과목 미등록",IF(OR(T321="",LEFT(T321,1)="⚠"),"파견근거 확인",IF(NOT(AND(ISNUMBER(H321),ISNUMBER(I321))),"날짜 형식/누락",IF(I321&lt;H321,"종료일&lt;시작일","")))))))))</f>
        <v/>
      </c>
      <c r="AB321" s="11">
        <f>IF(ISNUMBER(SEARCH("다기관",TRIM(N321&amp;" "&amp;O321))),IFERROR(DATE(VALUE(MID(TRIM(N321&amp;" "&amp;O321),1,4)),VALUE(MID(TRIM(N321&amp;" "&amp;O321),6,2)),VALUE(MID(TRIM(N321&amp;" "&amp;O321),9,2))),IF(ISNUMBER(H321),H321,"")),"")</f>
        <v/>
      </c>
      <c r="AC321" s="11">
        <f>IF(ISNUMBER(SEARCH("다기관",TRIM(N321&amp;" "&amp;O321))),IFERROR(DATE(VALUE(MID(TRIM(N321&amp;" "&amp;O321),12,4)),VALUE(MID(TRIM(N321&amp;" "&amp;O321),17,2)),VALUE(MID(TRIM(N321&amp;" "&amp;O321),20,2))),IF(ISNUMBER(I321),I321,"")),"")</f>
        <v/>
      </c>
      <c r="AD321" s="17">
        <f>IF(AND(ISNUMBER(AB321),ISNUMBER(AC321)),MAX(0,MIN(AC321,EOMONTH(출력_요약!$B$3,0))-MAX(AB321,출력_요약!$B$3)+1),0)</f>
        <v/>
      </c>
      <c r="AE321" s="10">
        <f>IF(AND(Q321&lt;&gt;"",ISNUMBER(AB321)),Q321&amp;"|다기관","")</f>
        <v/>
      </c>
    </row>
    <row r="322">
      <c r="A322" s="15">
        <f>IF(F322="","",ROW()-3)</f>
        <v/>
      </c>
      <c r="B322" s="5" t="n"/>
      <c r="C322" s="15" t="n"/>
      <c r="D322" s="5" t="n"/>
      <c r="E322" s="15" t="n"/>
      <c r="F322" s="5" t="n"/>
      <c r="G322" s="6" t="n"/>
      <c r="H322" s="16" t="n"/>
      <c r="I322" s="16" t="n"/>
      <c r="J322" s="15">
        <f>IF(AND(ISNUMBER(H322),ISNUMBER(I322)),I322-H322+1,"")</f>
        <v/>
      </c>
      <c r="K322" s="5" t="n"/>
      <c r="L322" s="5" t="n"/>
      <c r="M322" s="5" t="n"/>
      <c r="N322" s="5" t="n"/>
      <c r="O322" s="5" t="n"/>
      <c r="Q322" s="10">
        <f>IF(TRIM(G322&amp;"")="","",TRIM(G322&amp;""))</f>
        <v/>
      </c>
      <c r="R322" s="10">
        <f>IF(TRIM(B322&amp;"")="","",IFERROR(INDEX(설정_코드표!$K$2:$K$101,MATCH(TRIM(B322&amp;""),설정_코드표!$J$2:$J$101,0)),"⚠"&amp;TRIM(B322&amp;"")))</f>
        <v/>
      </c>
      <c r="S322" s="10">
        <f>IF(TRIM(K322&amp;"")="","",IFERROR(INDEX(설정_코드표!$K$2:$K$101,MATCH(TRIM(K322&amp;""),설정_코드표!$J$2:$J$101,0)),"⚠"&amp;TRIM(K322&amp;"")))</f>
        <v/>
      </c>
      <c r="T322" s="10">
        <f>IF(TRIM(M322&amp;"")="","",IF(ISNUMBER(MATCH(TRIM(M322&amp;""),설정_코드표!$C$2:$C$11,0)),TRIM(M322&amp;""),"⚠"&amp;TRIM(M322&amp;"")))</f>
        <v/>
      </c>
      <c r="U322" s="10">
        <f>IF(TRIM(L322&amp;"")="","",IFERROR(INDEX(설정_코드표!$G$2:$G$101,MATCH(TRIM(L322&amp;""),설정_코드표!$F$2:$F$101,0)),"⚠"&amp;TRIM(L322&amp;"")))</f>
        <v/>
      </c>
      <c r="V322" s="10">
        <f>IF(AND(ISNUMBER(H322),ISNUMBER(I322)),I322-H322+1,"")</f>
        <v/>
      </c>
      <c r="W322" s="17">
        <f>IF(ISNUMBER(H322),MAX(0,MIN(IF(ISNUMBER(I322),I322,EOMONTH(출력_요약!$B$3,0)),EOMONTH(출력_요약!$B$3,0))-MAX(H322,출력_요약!$B$3)+1),0)</f>
        <v/>
      </c>
      <c r="X322" s="10">
        <f>IF(OR(NOT(ISNUMBER(H322)),Q322=""),"",IF(TODAY()&lt;H322,"파견예정",IF(AND(ISNUMBER(I322),TODAY()&gt;I322),"파견종료","파견중")))</f>
        <v/>
      </c>
      <c r="Y322" s="10">
        <f>IF(OR(Q322="",X322=""),"",Q322&amp;"|"&amp;X322)</f>
        <v/>
      </c>
      <c r="Z322" s="10">
        <f>IF(AND(Q322&lt;&gt;"",W322&gt;0),Q322&amp;"|월","")</f>
        <v/>
      </c>
      <c r="AA322" s="10">
        <f>IF(COUNTA(B322:I322,K322:N322)=0,"",IF(Q322="","등록번호 없음",IF(LEFT(R322,1)="⚠","모병원명 미등록",IF(S322="","파견병원 입력",IF(LEFT(S322,1)="⚠","파견병원명 미등록",IF(LEFT(U322,1)="⚠","파견과목 미등록",IF(OR(T322="",LEFT(T322,1)="⚠"),"파견근거 확인",IF(NOT(AND(ISNUMBER(H322),ISNUMBER(I322))),"날짜 형식/누락",IF(I322&lt;H322,"종료일&lt;시작일","")))))))))</f>
        <v/>
      </c>
      <c r="AB322" s="11">
        <f>IF(ISNUMBER(SEARCH("다기관",TRIM(N322&amp;" "&amp;O322))),IFERROR(DATE(VALUE(MID(TRIM(N322&amp;" "&amp;O322),1,4)),VALUE(MID(TRIM(N322&amp;" "&amp;O322),6,2)),VALUE(MID(TRIM(N322&amp;" "&amp;O322),9,2))),IF(ISNUMBER(H322),H322,"")),"")</f>
        <v/>
      </c>
      <c r="AC322" s="11">
        <f>IF(ISNUMBER(SEARCH("다기관",TRIM(N322&amp;" "&amp;O322))),IFERROR(DATE(VALUE(MID(TRIM(N322&amp;" "&amp;O322),12,4)),VALUE(MID(TRIM(N322&amp;" "&amp;O322),17,2)),VALUE(MID(TRIM(N322&amp;" "&amp;O322),20,2))),IF(ISNUMBER(I322),I322,"")),"")</f>
        <v/>
      </c>
      <c r="AD322" s="17">
        <f>IF(AND(ISNUMBER(AB322),ISNUMBER(AC322)),MAX(0,MIN(AC322,EOMONTH(출력_요약!$B$3,0))-MAX(AB322,출력_요약!$B$3)+1),0)</f>
        <v/>
      </c>
      <c r="AE322" s="10">
        <f>IF(AND(Q322&lt;&gt;"",ISNUMBER(AB322)),Q322&amp;"|다기관","")</f>
        <v/>
      </c>
    </row>
    <row r="323">
      <c r="A323" s="15">
        <f>IF(F323="","",ROW()-3)</f>
        <v/>
      </c>
      <c r="B323" s="5" t="n"/>
      <c r="C323" s="15" t="n"/>
      <c r="D323" s="5" t="n"/>
      <c r="E323" s="15" t="n"/>
      <c r="F323" s="5" t="n"/>
      <c r="G323" s="6" t="n"/>
      <c r="H323" s="16" t="n"/>
      <c r="I323" s="16" t="n"/>
      <c r="J323" s="15">
        <f>IF(AND(ISNUMBER(H323),ISNUMBER(I323)),I323-H323+1,"")</f>
        <v/>
      </c>
      <c r="K323" s="5" t="n"/>
      <c r="L323" s="5" t="n"/>
      <c r="M323" s="5" t="n"/>
      <c r="N323" s="5" t="n"/>
      <c r="O323" s="5" t="n"/>
      <c r="Q323" s="10">
        <f>IF(TRIM(G323&amp;"")="","",TRIM(G323&amp;""))</f>
        <v/>
      </c>
      <c r="R323" s="10">
        <f>IF(TRIM(B323&amp;"")="","",IFERROR(INDEX(설정_코드표!$K$2:$K$101,MATCH(TRIM(B323&amp;""),설정_코드표!$J$2:$J$101,0)),"⚠"&amp;TRIM(B323&amp;"")))</f>
        <v/>
      </c>
      <c r="S323" s="10">
        <f>IF(TRIM(K323&amp;"")="","",IFERROR(INDEX(설정_코드표!$K$2:$K$101,MATCH(TRIM(K323&amp;""),설정_코드표!$J$2:$J$101,0)),"⚠"&amp;TRIM(K323&amp;"")))</f>
        <v/>
      </c>
      <c r="T323" s="10">
        <f>IF(TRIM(M323&amp;"")="","",IF(ISNUMBER(MATCH(TRIM(M323&amp;""),설정_코드표!$C$2:$C$11,0)),TRIM(M323&amp;""),"⚠"&amp;TRIM(M323&amp;"")))</f>
        <v/>
      </c>
      <c r="U323" s="10">
        <f>IF(TRIM(L323&amp;"")="","",IFERROR(INDEX(설정_코드표!$G$2:$G$101,MATCH(TRIM(L323&amp;""),설정_코드표!$F$2:$F$101,0)),"⚠"&amp;TRIM(L323&amp;"")))</f>
        <v/>
      </c>
      <c r="V323" s="10">
        <f>IF(AND(ISNUMBER(H323),ISNUMBER(I323)),I323-H323+1,"")</f>
        <v/>
      </c>
      <c r="W323" s="17">
        <f>IF(ISNUMBER(H323),MAX(0,MIN(IF(ISNUMBER(I323),I323,EOMONTH(출력_요약!$B$3,0)),EOMONTH(출력_요약!$B$3,0))-MAX(H323,출력_요약!$B$3)+1),0)</f>
        <v/>
      </c>
      <c r="X323" s="10">
        <f>IF(OR(NOT(ISNUMBER(H323)),Q323=""),"",IF(TODAY()&lt;H323,"파견예정",IF(AND(ISNUMBER(I323),TODAY()&gt;I323),"파견종료","파견중")))</f>
        <v/>
      </c>
      <c r="Y323" s="10">
        <f>IF(OR(Q323="",X323=""),"",Q323&amp;"|"&amp;X323)</f>
        <v/>
      </c>
      <c r="Z323" s="10">
        <f>IF(AND(Q323&lt;&gt;"",W323&gt;0),Q323&amp;"|월","")</f>
        <v/>
      </c>
      <c r="AA323" s="10">
        <f>IF(COUNTA(B323:I323,K323:N323)=0,"",IF(Q323="","등록번호 없음",IF(LEFT(R323,1)="⚠","모병원명 미등록",IF(S323="","파견병원 입력",IF(LEFT(S323,1)="⚠","파견병원명 미등록",IF(LEFT(U323,1)="⚠","파견과목 미등록",IF(OR(T323="",LEFT(T323,1)="⚠"),"파견근거 확인",IF(NOT(AND(ISNUMBER(H323),ISNUMBER(I323))),"날짜 형식/누락",IF(I323&lt;H323,"종료일&lt;시작일","")))))))))</f>
        <v/>
      </c>
      <c r="AB323" s="11">
        <f>IF(ISNUMBER(SEARCH("다기관",TRIM(N323&amp;" "&amp;O323))),IFERROR(DATE(VALUE(MID(TRIM(N323&amp;" "&amp;O323),1,4)),VALUE(MID(TRIM(N323&amp;" "&amp;O323),6,2)),VALUE(MID(TRIM(N323&amp;" "&amp;O323),9,2))),IF(ISNUMBER(H323),H323,"")),"")</f>
        <v/>
      </c>
      <c r="AC323" s="11">
        <f>IF(ISNUMBER(SEARCH("다기관",TRIM(N323&amp;" "&amp;O323))),IFERROR(DATE(VALUE(MID(TRIM(N323&amp;" "&amp;O323),12,4)),VALUE(MID(TRIM(N323&amp;" "&amp;O323),17,2)),VALUE(MID(TRIM(N323&amp;" "&amp;O323),20,2))),IF(ISNUMBER(I323),I323,"")),"")</f>
        <v/>
      </c>
      <c r="AD323" s="17">
        <f>IF(AND(ISNUMBER(AB323),ISNUMBER(AC323)),MAX(0,MIN(AC323,EOMONTH(출력_요약!$B$3,0))-MAX(AB323,출력_요약!$B$3)+1),0)</f>
        <v/>
      </c>
      <c r="AE323" s="10">
        <f>IF(AND(Q323&lt;&gt;"",ISNUMBER(AB323)),Q323&amp;"|다기관","")</f>
        <v/>
      </c>
    </row>
    <row r="324">
      <c r="A324" s="15">
        <f>IF(F324="","",ROW()-3)</f>
        <v/>
      </c>
      <c r="B324" s="5" t="n"/>
      <c r="C324" s="15" t="n"/>
      <c r="D324" s="5" t="n"/>
      <c r="E324" s="15" t="n"/>
      <c r="F324" s="5" t="n"/>
      <c r="G324" s="6" t="n"/>
      <c r="H324" s="16" t="n"/>
      <c r="I324" s="16" t="n"/>
      <c r="J324" s="15">
        <f>IF(AND(ISNUMBER(H324),ISNUMBER(I324)),I324-H324+1,"")</f>
        <v/>
      </c>
      <c r="K324" s="5" t="n"/>
      <c r="L324" s="5" t="n"/>
      <c r="M324" s="5" t="n"/>
      <c r="N324" s="5" t="n"/>
      <c r="O324" s="5" t="n"/>
      <c r="Q324" s="10">
        <f>IF(TRIM(G324&amp;"")="","",TRIM(G324&amp;""))</f>
        <v/>
      </c>
      <c r="R324" s="10">
        <f>IF(TRIM(B324&amp;"")="","",IFERROR(INDEX(설정_코드표!$K$2:$K$101,MATCH(TRIM(B324&amp;""),설정_코드표!$J$2:$J$101,0)),"⚠"&amp;TRIM(B324&amp;"")))</f>
        <v/>
      </c>
      <c r="S324" s="10">
        <f>IF(TRIM(K324&amp;"")="","",IFERROR(INDEX(설정_코드표!$K$2:$K$101,MATCH(TRIM(K324&amp;""),설정_코드표!$J$2:$J$101,0)),"⚠"&amp;TRIM(K324&amp;"")))</f>
        <v/>
      </c>
      <c r="T324" s="10">
        <f>IF(TRIM(M324&amp;"")="","",IF(ISNUMBER(MATCH(TRIM(M324&amp;""),설정_코드표!$C$2:$C$11,0)),TRIM(M324&amp;""),"⚠"&amp;TRIM(M324&amp;"")))</f>
        <v/>
      </c>
      <c r="U324" s="10">
        <f>IF(TRIM(L324&amp;"")="","",IFERROR(INDEX(설정_코드표!$G$2:$G$101,MATCH(TRIM(L324&amp;""),설정_코드표!$F$2:$F$101,0)),"⚠"&amp;TRIM(L324&amp;"")))</f>
        <v/>
      </c>
      <c r="V324" s="10">
        <f>IF(AND(ISNUMBER(H324),ISNUMBER(I324)),I324-H324+1,"")</f>
        <v/>
      </c>
      <c r="W324" s="17">
        <f>IF(ISNUMBER(H324),MAX(0,MIN(IF(ISNUMBER(I324),I324,EOMONTH(출력_요약!$B$3,0)),EOMONTH(출력_요약!$B$3,0))-MAX(H324,출력_요약!$B$3)+1),0)</f>
        <v/>
      </c>
      <c r="X324" s="10">
        <f>IF(OR(NOT(ISNUMBER(H324)),Q324=""),"",IF(TODAY()&lt;H324,"파견예정",IF(AND(ISNUMBER(I324),TODAY()&gt;I324),"파견종료","파견중")))</f>
        <v/>
      </c>
      <c r="Y324" s="10">
        <f>IF(OR(Q324="",X324=""),"",Q324&amp;"|"&amp;X324)</f>
        <v/>
      </c>
      <c r="Z324" s="10">
        <f>IF(AND(Q324&lt;&gt;"",W324&gt;0),Q324&amp;"|월","")</f>
        <v/>
      </c>
      <c r="AA324" s="10">
        <f>IF(COUNTA(B324:I324,K324:N324)=0,"",IF(Q324="","등록번호 없음",IF(LEFT(R324,1)="⚠","모병원명 미등록",IF(S324="","파견병원 입력",IF(LEFT(S324,1)="⚠","파견병원명 미등록",IF(LEFT(U324,1)="⚠","파견과목 미등록",IF(OR(T324="",LEFT(T324,1)="⚠"),"파견근거 확인",IF(NOT(AND(ISNUMBER(H324),ISNUMBER(I324))),"날짜 형식/누락",IF(I324&lt;H324,"종료일&lt;시작일","")))))))))</f>
        <v/>
      </c>
      <c r="AB324" s="11">
        <f>IF(ISNUMBER(SEARCH("다기관",TRIM(N324&amp;" "&amp;O324))),IFERROR(DATE(VALUE(MID(TRIM(N324&amp;" "&amp;O324),1,4)),VALUE(MID(TRIM(N324&amp;" "&amp;O324),6,2)),VALUE(MID(TRIM(N324&amp;" "&amp;O324),9,2))),IF(ISNUMBER(H324),H324,"")),"")</f>
        <v/>
      </c>
      <c r="AC324" s="11">
        <f>IF(ISNUMBER(SEARCH("다기관",TRIM(N324&amp;" "&amp;O324))),IFERROR(DATE(VALUE(MID(TRIM(N324&amp;" "&amp;O324),12,4)),VALUE(MID(TRIM(N324&amp;" "&amp;O324),17,2)),VALUE(MID(TRIM(N324&amp;" "&amp;O324),20,2))),IF(ISNUMBER(I324),I324,"")),"")</f>
        <v/>
      </c>
      <c r="AD324" s="17">
        <f>IF(AND(ISNUMBER(AB324),ISNUMBER(AC324)),MAX(0,MIN(AC324,EOMONTH(출력_요약!$B$3,0))-MAX(AB324,출력_요약!$B$3)+1),0)</f>
        <v/>
      </c>
      <c r="AE324" s="10">
        <f>IF(AND(Q324&lt;&gt;"",ISNUMBER(AB324)),Q324&amp;"|다기관","")</f>
        <v/>
      </c>
    </row>
    <row r="325">
      <c r="A325" s="15">
        <f>IF(F325="","",ROW()-3)</f>
        <v/>
      </c>
      <c r="B325" s="5" t="n"/>
      <c r="C325" s="15" t="n"/>
      <c r="D325" s="5" t="n"/>
      <c r="E325" s="15" t="n"/>
      <c r="F325" s="5" t="n"/>
      <c r="G325" s="6" t="n"/>
      <c r="H325" s="16" t="n"/>
      <c r="I325" s="16" t="n"/>
      <c r="J325" s="15">
        <f>IF(AND(ISNUMBER(H325),ISNUMBER(I325)),I325-H325+1,"")</f>
        <v/>
      </c>
      <c r="K325" s="5" t="n"/>
      <c r="L325" s="5" t="n"/>
      <c r="M325" s="5" t="n"/>
      <c r="N325" s="5" t="n"/>
      <c r="O325" s="5" t="n"/>
      <c r="Q325" s="10">
        <f>IF(TRIM(G325&amp;"")="","",TRIM(G325&amp;""))</f>
        <v/>
      </c>
      <c r="R325" s="10">
        <f>IF(TRIM(B325&amp;"")="","",IFERROR(INDEX(설정_코드표!$K$2:$K$101,MATCH(TRIM(B325&amp;""),설정_코드표!$J$2:$J$101,0)),"⚠"&amp;TRIM(B325&amp;"")))</f>
        <v/>
      </c>
      <c r="S325" s="10">
        <f>IF(TRIM(K325&amp;"")="","",IFERROR(INDEX(설정_코드표!$K$2:$K$101,MATCH(TRIM(K325&amp;""),설정_코드표!$J$2:$J$101,0)),"⚠"&amp;TRIM(K325&amp;"")))</f>
        <v/>
      </c>
      <c r="T325" s="10">
        <f>IF(TRIM(M325&amp;"")="","",IF(ISNUMBER(MATCH(TRIM(M325&amp;""),설정_코드표!$C$2:$C$11,0)),TRIM(M325&amp;""),"⚠"&amp;TRIM(M325&amp;"")))</f>
        <v/>
      </c>
      <c r="U325" s="10">
        <f>IF(TRIM(L325&amp;"")="","",IFERROR(INDEX(설정_코드표!$G$2:$G$101,MATCH(TRIM(L325&amp;""),설정_코드표!$F$2:$F$101,0)),"⚠"&amp;TRIM(L325&amp;"")))</f>
        <v/>
      </c>
      <c r="V325" s="10">
        <f>IF(AND(ISNUMBER(H325),ISNUMBER(I325)),I325-H325+1,"")</f>
        <v/>
      </c>
      <c r="W325" s="17">
        <f>IF(ISNUMBER(H325),MAX(0,MIN(IF(ISNUMBER(I325),I325,EOMONTH(출력_요약!$B$3,0)),EOMONTH(출력_요약!$B$3,0))-MAX(H325,출력_요약!$B$3)+1),0)</f>
        <v/>
      </c>
      <c r="X325" s="10">
        <f>IF(OR(NOT(ISNUMBER(H325)),Q325=""),"",IF(TODAY()&lt;H325,"파견예정",IF(AND(ISNUMBER(I325),TODAY()&gt;I325),"파견종료","파견중")))</f>
        <v/>
      </c>
      <c r="Y325" s="10">
        <f>IF(OR(Q325="",X325=""),"",Q325&amp;"|"&amp;X325)</f>
        <v/>
      </c>
      <c r="Z325" s="10">
        <f>IF(AND(Q325&lt;&gt;"",W325&gt;0),Q325&amp;"|월","")</f>
        <v/>
      </c>
      <c r="AA325" s="10">
        <f>IF(COUNTA(B325:I325,K325:N325)=0,"",IF(Q325="","등록번호 없음",IF(LEFT(R325,1)="⚠","모병원명 미등록",IF(S325="","파견병원 입력",IF(LEFT(S325,1)="⚠","파견병원명 미등록",IF(LEFT(U325,1)="⚠","파견과목 미등록",IF(OR(T325="",LEFT(T325,1)="⚠"),"파견근거 확인",IF(NOT(AND(ISNUMBER(H325),ISNUMBER(I325))),"날짜 형식/누락",IF(I325&lt;H325,"종료일&lt;시작일","")))))))))</f>
        <v/>
      </c>
      <c r="AB325" s="11">
        <f>IF(ISNUMBER(SEARCH("다기관",TRIM(N325&amp;" "&amp;O325))),IFERROR(DATE(VALUE(MID(TRIM(N325&amp;" "&amp;O325),1,4)),VALUE(MID(TRIM(N325&amp;" "&amp;O325),6,2)),VALUE(MID(TRIM(N325&amp;" "&amp;O325),9,2))),IF(ISNUMBER(H325),H325,"")),"")</f>
        <v/>
      </c>
      <c r="AC325" s="11">
        <f>IF(ISNUMBER(SEARCH("다기관",TRIM(N325&amp;" "&amp;O325))),IFERROR(DATE(VALUE(MID(TRIM(N325&amp;" "&amp;O325),12,4)),VALUE(MID(TRIM(N325&amp;" "&amp;O325),17,2)),VALUE(MID(TRIM(N325&amp;" "&amp;O325),20,2))),IF(ISNUMBER(I325),I325,"")),"")</f>
        <v/>
      </c>
      <c r="AD325" s="17">
        <f>IF(AND(ISNUMBER(AB325),ISNUMBER(AC325)),MAX(0,MIN(AC325,EOMONTH(출력_요약!$B$3,0))-MAX(AB325,출력_요약!$B$3)+1),0)</f>
        <v/>
      </c>
      <c r="AE325" s="10">
        <f>IF(AND(Q325&lt;&gt;"",ISNUMBER(AB325)),Q325&amp;"|다기관","")</f>
        <v/>
      </c>
    </row>
    <row r="326">
      <c r="A326" s="15">
        <f>IF(F326="","",ROW()-3)</f>
        <v/>
      </c>
      <c r="B326" s="5" t="n"/>
      <c r="C326" s="15" t="n"/>
      <c r="D326" s="5" t="n"/>
      <c r="E326" s="15" t="n"/>
      <c r="F326" s="5" t="n"/>
      <c r="G326" s="6" t="n"/>
      <c r="H326" s="16" t="n"/>
      <c r="I326" s="16" t="n"/>
      <c r="J326" s="15">
        <f>IF(AND(ISNUMBER(H326),ISNUMBER(I326)),I326-H326+1,"")</f>
        <v/>
      </c>
      <c r="K326" s="5" t="n"/>
      <c r="L326" s="5" t="n"/>
      <c r="M326" s="5" t="n"/>
      <c r="N326" s="5" t="n"/>
      <c r="O326" s="5" t="n"/>
      <c r="Q326" s="10">
        <f>IF(TRIM(G326&amp;"")="","",TRIM(G326&amp;""))</f>
        <v/>
      </c>
      <c r="R326" s="10">
        <f>IF(TRIM(B326&amp;"")="","",IFERROR(INDEX(설정_코드표!$K$2:$K$101,MATCH(TRIM(B326&amp;""),설정_코드표!$J$2:$J$101,0)),"⚠"&amp;TRIM(B326&amp;"")))</f>
        <v/>
      </c>
      <c r="S326" s="10">
        <f>IF(TRIM(K326&amp;"")="","",IFERROR(INDEX(설정_코드표!$K$2:$K$101,MATCH(TRIM(K326&amp;""),설정_코드표!$J$2:$J$101,0)),"⚠"&amp;TRIM(K326&amp;"")))</f>
        <v/>
      </c>
      <c r="T326" s="10">
        <f>IF(TRIM(M326&amp;"")="","",IF(ISNUMBER(MATCH(TRIM(M326&amp;""),설정_코드표!$C$2:$C$11,0)),TRIM(M326&amp;""),"⚠"&amp;TRIM(M326&amp;"")))</f>
        <v/>
      </c>
      <c r="U326" s="10">
        <f>IF(TRIM(L326&amp;"")="","",IFERROR(INDEX(설정_코드표!$G$2:$G$101,MATCH(TRIM(L326&amp;""),설정_코드표!$F$2:$F$101,0)),"⚠"&amp;TRIM(L326&amp;"")))</f>
        <v/>
      </c>
      <c r="V326" s="10">
        <f>IF(AND(ISNUMBER(H326),ISNUMBER(I326)),I326-H326+1,"")</f>
        <v/>
      </c>
      <c r="W326" s="17">
        <f>IF(ISNUMBER(H326),MAX(0,MIN(IF(ISNUMBER(I326),I326,EOMONTH(출력_요약!$B$3,0)),EOMONTH(출력_요약!$B$3,0))-MAX(H326,출력_요약!$B$3)+1),0)</f>
        <v/>
      </c>
      <c r="X326" s="10">
        <f>IF(OR(NOT(ISNUMBER(H326)),Q326=""),"",IF(TODAY()&lt;H326,"파견예정",IF(AND(ISNUMBER(I326),TODAY()&gt;I326),"파견종료","파견중")))</f>
        <v/>
      </c>
      <c r="Y326" s="10">
        <f>IF(OR(Q326="",X326=""),"",Q326&amp;"|"&amp;X326)</f>
        <v/>
      </c>
      <c r="Z326" s="10">
        <f>IF(AND(Q326&lt;&gt;"",W326&gt;0),Q326&amp;"|월","")</f>
        <v/>
      </c>
      <c r="AA326" s="10">
        <f>IF(COUNTA(B326:I326,K326:N326)=0,"",IF(Q326="","등록번호 없음",IF(LEFT(R326,1)="⚠","모병원명 미등록",IF(S326="","파견병원 입력",IF(LEFT(S326,1)="⚠","파견병원명 미등록",IF(LEFT(U326,1)="⚠","파견과목 미등록",IF(OR(T326="",LEFT(T326,1)="⚠"),"파견근거 확인",IF(NOT(AND(ISNUMBER(H326),ISNUMBER(I326))),"날짜 형식/누락",IF(I326&lt;H326,"종료일&lt;시작일","")))))))))</f>
        <v/>
      </c>
      <c r="AB326" s="11">
        <f>IF(ISNUMBER(SEARCH("다기관",TRIM(N326&amp;" "&amp;O326))),IFERROR(DATE(VALUE(MID(TRIM(N326&amp;" "&amp;O326),1,4)),VALUE(MID(TRIM(N326&amp;" "&amp;O326),6,2)),VALUE(MID(TRIM(N326&amp;" "&amp;O326),9,2))),IF(ISNUMBER(H326),H326,"")),"")</f>
        <v/>
      </c>
      <c r="AC326" s="11">
        <f>IF(ISNUMBER(SEARCH("다기관",TRIM(N326&amp;" "&amp;O326))),IFERROR(DATE(VALUE(MID(TRIM(N326&amp;" "&amp;O326),12,4)),VALUE(MID(TRIM(N326&amp;" "&amp;O326),17,2)),VALUE(MID(TRIM(N326&amp;" "&amp;O326),20,2))),IF(ISNUMBER(I326),I326,"")),"")</f>
        <v/>
      </c>
      <c r="AD326" s="17">
        <f>IF(AND(ISNUMBER(AB326),ISNUMBER(AC326)),MAX(0,MIN(AC326,EOMONTH(출력_요약!$B$3,0))-MAX(AB326,출력_요약!$B$3)+1),0)</f>
        <v/>
      </c>
      <c r="AE326" s="10">
        <f>IF(AND(Q326&lt;&gt;"",ISNUMBER(AB326)),Q326&amp;"|다기관","")</f>
        <v/>
      </c>
    </row>
    <row r="327">
      <c r="A327" s="15">
        <f>IF(F327="","",ROW()-3)</f>
        <v/>
      </c>
      <c r="B327" s="5" t="n"/>
      <c r="C327" s="15" t="n"/>
      <c r="D327" s="5" t="n"/>
      <c r="E327" s="15" t="n"/>
      <c r="F327" s="5" t="n"/>
      <c r="G327" s="6" t="n"/>
      <c r="H327" s="16" t="n"/>
      <c r="I327" s="16" t="n"/>
      <c r="J327" s="15">
        <f>IF(AND(ISNUMBER(H327),ISNUMBER(I327)),I327-H327+1,"")</f>
        <v/>
      </c>
      <c r="K327" s="5" t="n"/>
      <c r="L327" s="5" t="n"/>
      <c r="M327" s="5" t="n"/>
      <c r="N327" s="5" t="n"/>
      <c r="O327" s="5" t="n"/>
      <c r="Q327" s="10">
        <f>IF(TRIM(G327&amp;"")="","",TRIM(G327&amp;""))</f>
        <v/>
      </c>
      <c r="R327" s="10">
        <f>IF(TRIM(B327&amp;"")="","",IFERROR(INDEX(설정_코드표!$K$2:$K$101,MATCH(TRIM(B327&amp;""),설정_코드표!$J$2:$J$101,0)),"⚠"&amp;TRIM(B327&amp;"")))</f>
        <v/>
      </c>
      <c r="S327" s="10">
        <f>IF(TRIM(K327&amp;"")="","",IFERROR(INDEX(설정_코드표!$K$2:$K$101,MATCH(TRIM(K327&amp;""),설정_코드표!$J$2:$J$101,0)),"⚠"&amp;TRIM(K327&amp;"")))</f>
        <v/>
      </c>
      <c r="T327" s="10">
        <f>IF(TRIM(M327&amp;"")="","",IF(ISNUMBER(MATCH(TRIM(M327&amp;""),설정_코드표!$C$2:$C$11,0)),TRIM(M327&amp;""),"⚠"&amp;TRIM(M327&amp;"")))</f>
        <v/>
      </c>
      <c r="U327" s="10">
        <f>IF(TRIM(L327&amp;"")="","",IFERROR(INDEX(설정_코드표!$G$2:$G$101,MATCH(TRIM(L327&amp;""),설정_코드표!$F$2:$F$101,0)),"⚠"&amp;TRIM(L327&amp;"")))</f>
        <v/>
      </c>
      <c r="V327" s="10">
        <f>IF(AND(ISNUMBER(H327),ISNUMBER(I327)),I327-H327+1,"")</f>
        <v/>
      </c>
      <c r="W327" s="17">
        <f>IF(ISNUMBER(H327),MAX(0,MIN(IF(ISNUMBER(I327),I327,EOMONTH(출력_요약!$B$3,0)),EOMONTH(출력_요약!$B$3,0))-MAX(H327,출력_요약!$B$3)+1),0)</f>
        <v/>
      </c>
      <c r="X327" s="10">
        <f>IF(OR(NOT(ISNUMBER(H327)),Q327=""),"",IF(TODAY()&lt;H327,"파견예정",IF(AND(ISNUMBER(I327),TODAY()&gt;I327),"파견종료","파견중")))</f>
        <v/>
      </c>
      <c r="Y327" s="10">
        <f>IF(OR(Q327="",X327=""),"",Q327&amp;"|"&amp;X327)</f>
        <v/>
      </c>
      <c r="Z327" s="10">
        <f>IF(AND(Q327&lt;&gt;"",W327&gt;0),Q327&amp;"|월","")</f>
        <v/>
      </c>
      <c r="AA327" s="10">
        <f>IF(COUNTA(B327:I327,K327:N327)=0,"",IF(Q327="","등록번호 없음",IF(LEFT(R327,1)="⚠","모병원명 미등록",IF(S327="","파견병원 입력",IF(LEFT(S327,1)="⚠","파견병원명 미등록",IF(LEFT(U327,1)="⚠","파견과목 미등록",IF(OR(T327="",LEFT(T327,1)="⚠"),"파견근거 확인",IF(NOT(AND(ISNUMBER(H327),ISNUMBER(I327))),"날짜 형식/누락",IF(I327&lt;H327,"종료일&lt;시작일","")))))))))</f>
        <v/>
      </c>
      <c r="AB327" s="11">
        <f>IF(ISNUMBER(SEARCH("다기관",TRIM(N327&amp;" "&amp;O327))),IFERROR(DATE(VALUE(MID(TRIM(N327&amp;" "&amp;O327),1,4)),VALUE(MID(TRIM(N327&amp;" "&amp;O327),6,2)),VALUE(MID(TRIM(N327&amp;" "&amp;O327),9,2))),IF(ISNUMBER(H327),H327,"")),"")</f>
        <v/>
      </c>
      <c r="AC327" s="11">
        <f>IF(ISNUMBER(SEARCH("다기관",TRIM(N327&amp;" "&amp;O327))),IFERROR(DATE(VALUE(MID(TRIM(N327&amp;" "&amp;O327),12,4)),VALUE(MID(TRIM(N327&amp;" "&amp;O327),17,2)),VALUE(MID(TRIM(N327&amp;" "&amp;O327),20,2))),IF(ISNUMBER(I327),I327,"")),"")</f>
        <v/>
      </c>
      <c r="AD327" s="17">
        <f>IF(AND(ISNUMBER(AB327),ISNUMBER(AC327)),MAX(0,MIN(AC327,EOMONTH(출력_요약!$B$3,0))-MAX(AB327,출력_요약!$B$3)+1),0)</f>
        <v/>
      </c>
      <c r="AE327" s="10">
        <f>IF(AND(Q327&lt;&gt;"",ISNUMBER(AB327)),Q327&amp;"|다기관","")</f>
        <v/>
      </c>
    </row>
    <row r="328">
      <c r="A328" s="15">
        <f>IF(F328="","",ROW()-3)</f>
        <v/>
      </c>
      <c r="B328" s="5" t="n"/>
      <c r="C328" s="15" t="n"/>
      <c r="D328" s="5" t="n"/>
      <c r="E328" s="15" t="n"/>
      <c r="F328" s="5" t="n"/>
      <c r="G328" s="6" t="n"/>
      <c r="H328" s="16" t="n"/>
      <c r="I328" s="16" t="n"/>
      <c r="J328" s="15">
        <f>IF(AND(ISNUMBER(H328),ISNUMBER(I328)),I328-H328+1,"")</f>
        <v/>
      </c>
      <c r="K328" s="5" t="n"/>
      <c r="L328" s="5" t="n"/>
      <c r="M328" s="5" t="n"/>
      <c r="N328" s="5" t="n"/>
      <c r="O328" s="5" t="n"/>
      <c r="Q328" s="10">
        <f>IF(TRIM(G328&amp;"")="","",TRIM(G328&amp;""))</f>
        <v/>
      </c>
      <c r="R328" s="10">
        <f>IF(TRIM(B328&amp;"")="","",IFERROR(INDEX(설정_코드표!$K$2:$K$101,MATCH(TRIM(B328&amp;""),설정_코드표!$J$2:$J$101,0)),"⚠"&amp;TRIM(B328&amp;"")))</f>
        <v/>
      </c>
      <c r="S328" s="10">
        <f>IF(TRIM(K328&amp;"")="","",IFERROR(INDEX(설정_코드표!$K$2:$K$101,MATCH(TRIM(K328&amp;""),설정_코드표!$J$2:$J$101,0)),"⚠"&amp;TRIM(K328&amp;"")))</f>
        <v/>
      </c>
      <c r="T328" s="10">
        <f>IF(TRIM(M328&amp;"")="","",IF(ISNUMBER(MATCH(TRIM(M328&amp;""),설정_코드표!$C$2:$C$11,0)),TRIM(M328&amp;""),"⚠"&amp;TRIM(M328&amp;"")))</f>
        <v/>
      </c>
      <c r="U328" s="10">
        <f>IF(TRIM(L328&amp;"")="","",IFERROR(INDEX(설정_코드표!$G$2:$G$101,MATCH(TRIM(L328&amp;""),설정_코드표!$F$2:$F$101,0)),"⚠"&amp;TRIM(L328&amp;"")))</f>
        <v/>
      </c>
      <c r="V328" s="10">
        <f>IF(AND(ISNUMBER(H328),ISNUMBER(I328)),I328-H328+1,"")</f>
        <v/>
      </c>
      <c r="W328" s="17">
        <f>IF(ISNUMBER(H328),MAX(0,MIN(IF(ISNUMBER(I328),I328,EOMONTH(출력_요약!$B$3,0)),EOMONTH(출력_요약!$B$3,0))-MAX(H328,출력_요약!$B$3)+1),0)</f>
        <v/>
      </c>
      <c r="X328" s="10">
        <f>IF(OR(NOT(ISNUMBER(H328)),Q328=""),"",IF(TODAY()&lt;H328,"파견예정",IF(AND(ISNUMBER(I328),TODAY()&gt;I328),"파견종료","파견중")))</f>
        <v/>
      </c>
      <c r="Y328" s="10">
        <f>IF(OR(Q328="",X328=""),"",Q328&amp;"|"&amp;X328)</f>
        <v/>
      </c>
      <c r="Z328" s="10">
        <f>IF(AND(Q328&lt;&gt;"",W328&gt;0),Q328&amp;"|월","")</f>
        <v/>
      </c>
      <c r="AA328" s="10">
        <f>IF(COUNTA(B328:I328,K328:N328)=0,"",IF(Q328="","등록번호 없음",IF(LEFT(R328,1)="⚠","모병원명 미등록",IF(S328="","파견병원 입력",IF(LEFT(S328,1)="⚠","파견병원명 미등록",IF(LEFT(U328,1)="⚠","파견과목 미등록",IF(OR(T328="",LEFT(T328,1)="⚠"),"파견근거 확인",IF(NOT(AND(ISNUMBER(H328),ISNUMBER(I328))),"날짜 형식/누락",IF(I328&lt;H328,"종료일&lt;시작일","")))))))))</f>
        <v/>
      </c>
      <c r="AB328" s="11">
        <f>IF(ISNUMBER(SEARCH("다기관",TRIM(N328&amp;" "&amp;O328))),IFERROR(DATE(VALUE(MID(TRIM(N328&amp;" "&amp;O328),1,4)),VALUE(MID(TRIM(N328&amp;" "&amp;O328),6,2)),VALUE(MID(TRIM(N328&amp;" "&amp;O328),9,2))),IF(ISNUMBER(H328),H328,"")),"")</f>
        <v/>
      </c>
      <c r="AC328" s="11">
        <f>IF(ISNUMBER(SEARCH("다기관",TRIM(N328&amp;" "&amp;O328))),IFERROR(DATE(VALUE(MID(TRIM(N328&amp;" "&amp;O328),12,4)),VALUE(MID(TRIM(N328&amp;" "&amp;O328),17,2)),VALUE(MID(TRIM(N328&amp;" "&amp;O328),20,2))),IF(ISNUMBER(I328),I328,"")),"")</f>
        <v/>
      </c>
      <c r="AD328" s="17">
        <f>IF(AND(ISNUMBER(AB328),ISNUMBER(AC328)),MAX(0,MIN(AC328,EOMONTH(출력_요약!$B$3,0))-MAX(AB328,출력_요약!$B$3)+1),0)</f>
        <v/>
      </c>
      <c r="AE328" s="10">
        <f>IF(AND(Q328&lt;&gt;"",ISNUMBER(AB328)),Q328&amp;"|다기관","")</f>
        <v/>
      </c>
    </row>
    <row r="329">
      <c r="A329" s="15">
        <f>IF(F329="","",ROW()-3)</f>
        <v/>
      </c>
      <c r="B329" s="5" t="n"/>
      <c r="C329" s="15" t="n"/>
      <c r="D329" s="5" t="n"/>
      <c r="E329" s="15" t="n"/>
      <c r="F329" s="5" t="n"/>
      <c r="G329" s="6" t="n"/>
      <c r="H329" s="16" t="n"/>
      <c r="I329" s="16" t="n"/>
      <c r="J329" s="15">
        <f>IF(AND(ISNUMBER(H329),ISNUMBER(I329)),I329-H329+1,"")</f>
        <v/>
      </c>
      <c r="K329" s="5" t="n"/>
      <c r="L329" s="5" t="n"/>
      <c r="M329" s="5" t="n"/>
      <c r="N329" s="5" t="n"/>
      <c r="O329" s="5" t="n"/>
      <c r="Q329" s="10">
        <f>IF(TRIM(G329&amp;"")="","",TRIM(G329&amp;""))</f>
        <v/>
      </c>
      <c r="R329" s="10">
        <f>IF(TRIM(B329&amp;"")="","",IFERROR(INDEX(설정_코드표!$K$2:$K$101,MATCH(TRIM(B329&amp;""),설정_코드표!$J$2:$J$101,0)),"⚠"&amp;TRIM(B329&amp;"")))</f>
        <v/>
      </c>
      <c r="S329" s="10">
        <f>IF(TRIM(K329&amp;"")="","",IFERROR(INDEX(설정_코드표!$K$2:$K$101,MATCH(TRIM(K329&amp;""),설정_코드표!$J$2:$J$101,0)),"⚠"&amp;TRIM(K329&amp;"")))</f>
        <v/>
      </c>
      <c r="T329" s="10">
        <f>IF(TRIM(M329&amp;"")="","",IF(ISNUMBER(MATCH(TRIM(M329&amp;""),설정_코드표!$C$2:$C$11,0)),TRIM(M329&amp;""),"⚠"&amp;TRIM(M329&amp;"")))</f>
        <v/>
      </c>
      <c r="U329" s="10">
        <f>IF(TRIM(L329&amp;"")="","",IFERROR(INDEX(설정_코드표!$G$2:$G$101,MATCH(TRIM(L329&amp;""),설정_코드표!$F$2:$F$101,0)),"⚠"&amp;TRIM(L329&amp;"")))</f>
        <v/>
      </c>
      <c r="V329" s="10">
        <f>IF(AND(ISNUMBER(H329),ISNUMBER(I329)),I329-H329+1,"")</f>
        <v/>
      </c>
      <c r="W329" s="17">
        <f>IF(ISNUMBER(H329),MAX(0,MIN(IF(ISNUMBER(I329),I329,EOMONTH(출력_요약!$B$3,0)),EOMONTH(출력_요약!$B$3,0))-MAX(H329,출력_요약!$B$3)+1),0)</f>
        <v/>
      </c>
      <c r="X329" s="10">
        <f>IF(OR(NOT(ISNUMBER(H329)),Q329=""),"",IF(TODAY()&lt;H329,"파견예정",IF(AND(ISNUMBER(I329),TODAY()&gt;I329),"파견종료","파견중")))</f>
        <v/>
      </c>
      <c r="Y329" s="10">
        <f>IF(OR(Q329="",X329=""),"",Q329&amp;"|"&amp;X329)</f>
        <v/>
      </c>
      <c r="Z329" s="10">
        <f>IF(AND(Q329&lt;&gt;"",W329&gt;0),Q329&amp;"|월","")</f>
        <v/>
      </c>
      <c r="AA329" s="10">
        <f>IF(COUNTA(B329:I329,K329:N329)=0,"",IF(Q329="","등록번호 없음",IF(LEFT(R329,1)="⚠","모병원명 미등록",IF(S329="","파견병원 입력",IF(LEFT(S329,1)="⚠","파견병원명 미등록",IF(LEFT(U329,1)="⚠","파견과목 미등록",IF(OR(T329="",LEFT(T329,1)="⚠"),"파견근거 확인",IF(NOT(AND(ISNUMBER(H329),ISNUMBER(I329))),"날짜 형식/누락",IF(I329&lt;H329,"종료일&lt;시작일","")))))))))</f>
        <v/>
      </c>
      <c r="AB329" s="11">
        <f>IF(ISNUMBER(SEARCH("다기관",TRIM(N329&amp;" "&amp;O329))),IFERROR(DATE(VALUE(MID(TRIM(N329&amp;" "&amp;O329),1,4)),VALUE(MID(TRIM(N329&amp;" "&amp;O329),6,2)),VALUE(MID(TRIM(N329&amp;" "&amp;O329),9,2))),IF(ISNUMBER(H329),H329,"")),"")</f>
        <v/>
      </c>
      <c r="AC329" s="11">
        <f>IF(ISNUMBER(SEARCH("다기관",TRIM(N329&amp;" "&amp;O329))),IFERROR(DATE(VALUE(MID(TRIM(N329&amp;" "&amp;O329),12,4)),VALUE(MID(TRIM(N329&amp;" "&amp;O329),17,2)),VALUE(MID(TRIM(N329&amp;" "&amp;O329),20,2))),IF(ISNUMBER(I329),I329,"")),"")</f>
        <v/>
      </c>
      <c r="AD329" s="17">
        <f>IF(AND(ISNUMBER(AB329),ISNUMBER(AC329)),MAX(0,MIN(AC329,EOMONTH(출력_요약!$B$3,0))-MAX(AB329,출력_요약!$B$3)+1),0)</f>
        <v/>
      </c>
      <c r="AE329" s="10">
        <f>IF(AND(Q329&lt;&gt;"",ISNUMBER(AB329)),Q329&amp;"|다기관","")</f>
        <v/>
      </c>
    </row>
    <row r="330">
      <c r="A330" s="15">
        <f>IF(F330="","",ROW()-3)</f>
        <v/>
      </c>
      <c r="B330" s="5" t="n"/>
      <c r="C330" s="15" t="n"/>
      <c r="D330" s="5" t="n"/>
      <c r="E330" s="15" t="n"/>
      <c r="F330" s="5" t="n"/>
      <c r="G330" s="6" t="n"/>
      <c r="H330" s="16" t="n"/>
      <c r="I330" s="16" t="n"/>
      <c r="J330" s="15">
        <f>IF(AND(ISNUMBER(H330),ISNUMBER(I330)),I330-H330+1,"")</f>
        <v/>
      </c>
      <c r="K330" s="5" t="n"/>
      <c r="L330" s="5" t="n"/>
      <c r="M330" s="5" t="n"/>
      <c r="N330" s="5" t="n"/>
      <c r="O330" s="5" t="n"/>
      <c r="Q330" s="10">
        <f>IF(TRIM(G330&amp;"")="","",TRIM(G330&amp;""))</f>
        <v/>
      </c>
      <c r="R330" s="10">
        <f>IF(TRIM(B330&amp;"")="","",IFERROR(INDEX(설정_코드표!$K$2:$K$101,MATCH(TRIM(B330&amp;""),설정_코드표!$J$2:$J$101,0)),"⚠"&amp;TRIM(B330&amp;"")))</f>
        <v/>
      </c>
      <c r="S330" s="10">
        <f>IF(TRIM(K330&amp;"")="","",IFERROR(INDEX(설정_코드표!$K$2:$K$101,MATCH(TRIM(K330&amp;""),설정_코드표!$J$2:$J$101,0)),"⚠"&amp;TRIM(K330&amp;"")))</f>
        <v/>
      </c>
      <c r="T330" s="10">
        <f>IF(TRIM(M330&amp;"")="","",IF(ISNUMBER(MATCH(TRIM(M330&amp;""),설정_코드표!$C$2:$C$11,0)),TRIM(M330&amp;""),"⚠"&amp;TRIM(M330&amp;"")))</f>
        <v/>
      </c>
      <c r="U330" s="10">
        <f>IF(TRIM(L330&amp;"")="","",IFERROR(INDEX(설정_코드표!$G$2:$G$101,MATCH(TRIM(L330&amp;""),설정_코드표!$F$2:$F$101,0)),"⚠"&amp;TRIM(L330&amp;"")))</f>
        <v/>
      </c>
      <c r="V330" s="10">
        <f>IF(AND(ISNUMBER(H330),ISNUMBER(I330)),I330-H330+1,"")</f>
        <v/>
      </c>
      <c r="W330" s="17">
        <f>IF(ISNUMBER(H330),MAX(0,MIN(IF(ISNUMBER(I330),I330,EOMONTH(출력_요약!$B$3,0)),EOMONTH(출력_요약!$B$3,0))-MAX(H330,출력_요약!$B$3)+1),0)</f>
        <v/>
      </c>
      <c r="X330" s="10">
        <f>IF(OR(NOT(ISNUMBER(H330)),Q330=""),"",IF(TODAY()&lt;H330,"파견예정",IF(AND(ISNUMBER(I330),TODAY()&gt;I330),"파견종료","파견중")))</f>
        <v/>
      </c>
      <c r="Y330" s="10">
        <f>IF(OR(Q330="",X330=""),"",Q330&amp;"|"&amp;X330)</f>
        <v/>
      </c>
      <c r="Z330" s="10">
        <f>IF(AND(Q330&lt;&gt;"",W330&gt;0),Q330&amp;"|월","")</f>
        <v/>
      </c>
      <c r="AA330" s="10">
        <f>IF(COUNTA(B330:I330,K330:N330)=0,"",IF(Q330="","등록번호 없음",IF(LEFT(R330,1)="⚠","모병원명 미등록",IF(S330="","파견병원 입력",IF(LEFT(S330,1)="⚠","파견병원명 미등록",IF(LEFT(U330,1)="⚠","파견과목 미등록",IF(OR(T330="",LEFT(T330,1)="⚠"),"파견근거 확인",IF(NOT(AND(ISNUMBER(H330),ISNUMBER(I330))),"날짜 형식/누락",IF(I330&lt;H330,"종료일&lt;시작일","")))))))))</f>
        <v/>
      </c>
      <c r="AB330" s="11">
        <f>IF(ISNUMBER(SEARCH("다기관",TRIM(N330&amp;" "&amp;O330))),IFERROR(DATE(VALUE(MID(TRIM(N330&amp;" "&amp;O330),1,4)),VALUE(MID(TRIM(N330&amp;" "&amp;O330),6,2)),VALUE(MID(TRIM(N330&amp;" "&amp;O330),9,2))),IF(ISNUMBER(H330),H330,"")),"")</f>
        <v/>
      </c>
      <c r="AC330" s="11">
        <f>IF(ISNUMBER(SEARCH("다기관",TRIM(N330&amp;" "&amp;O330))),IFERROR(DATE(VALUE(MID(TRIM(N330&amp;" "&amp;O330),12,4)),VALUE(MID(TRIM(N330&amp;" "&amp;O330),17,2)),VALUE(MID(TRIM(N330&amp;" "&amp;O330),20,2))),IF(ISNUMBER(I330),I330,"")),"")</f>
        <v/>
      </c>
      <c r="AD330" s="17">
        <f>IF(AND(ISNUMBER(AB330),ISNUMBER(AC330)),MAX(0,MIN(AC330,EOMONTH(출력_요약!$B$3,0))-MAX(AB330,출력_요약!$B$3)+1),0)</f>
        <v/>
      </c>
      <c r="AE330" s="10">
        <f>IF(AND(Q330&lt;&gt;"",ISNUMBER(AB330)),Q330&amp;"|다기관","")</f>
        <v/>
      </c>
    </row>
    <row r="331">
      <c r="A331" s="15">
        <f>IF(F331="","",ROW()-3)</f>
        <v/>
      </c>
      <c r="B331" s="5" t="n"/>
      <c r="C331" s="15" t="n"/>
      <c r="D331" s="5" t="n"/>
      <c r="E331" s="15" t="n"/>
      <c r="F331" s="5" t="n"/>
      <c r="G331" s="6" t="n"/>
      <c r="H331" s="16" t="n"/>
      <c r="I331" s="16" t="n"/>
      <c r="J331" s="15">
        <f>IF(AND(ISNUMBER(H331),ISNUMBER(I331)),I331-H331+1,"")</f>
        <v/>
      </c>
      <c r="K331" s="5" t="n"/>
      <c r="L331" s="5" t="n"/>
      <c r="M331" s="5" t="n"/>
      <c r="N331" s="5" t="n"/>
      <c r="O331" s="5" t="n"/>
      <c r="Q331" s="10">
        <f>IF(TRIM(G331&amp;"")="","",TRIM(G331&amp;""))</f>
        <v/>
      </c>
      <c r="R331" s="10">
        <f>IF(TRIM(B331&amp;"")="","",IFERROR(INDEX(설정_코드표!$K$2:$K$101,MATCH(TRIM(B331&amp;""),설정_코드표!$J$2:$J$101,0)),"⚠"&amp;TRIM(B331&amp;"")))</f>
        <v/>
      </c>
      <c r="S331" s="10">
        <f>IF(TRIM(K331&amp;"")="","",IFERROR(INDEX(설정_코드표!$K$2:$K$101,MATCH(TRIM(K331&amp;""),설정_코드표!$J$2:$J$101,0)),"⚠"&amp;TRIM(K331&amp;"")))</f>
        <v/>
      </c>
      <c r="T331" s="10">
        <f>IF(TRIM(M331&amp;"")="","",IF(ISNUMBER(MATCH(TRIM(M331&amp;""),설정_코드표!$C$2:$C$11,0)),TRIM(M331&amp;""),"⚠"&amp;TRIM(M331&amp;"")))</f>
        <v/>
      </c>
      <c r="U331" s="10">
        <f>IF(TRIM(L331&amp;"")="","",IFERROR(INDEX(설정_코드표!$G$2:$G$101,MATCH(TRIM(L331&amp;""),설정_코드표!$F$2:$F$101,0)),"⚠"&amp;TRIM(L331&amp;"")))</f>
        <v/>
      </c>
      <c r="V331" s="10">
        <f>IF(AND(ISNUMBER(H331),ISNUMBER(I331)),I331-H331+1,"")</f>
        <v/>
      </c>
      <c r="W331" s="17">
        <f>IF(ISNUMBER(H331),MAX(0,MIN(IF(ISNUMBER(I331),I331,EOMONTH(출력_요약!$B$3,0)),EOMONTH(출력_요약!$B$3,0))-MAX(H331,출력_요약!$B$3)+1),0)</f>
        <v/>
      </c>
      <c r="X331" s="10">
        <f>IF(OR(NOT(ISNUMBER(H331)),Q331=""),"",IF(TODAY()&lt;H331,"파견예정",IF(AND(ISNUMBER(I331),TODAY()&gt;I331),"파견종료","파견중")))</f>
        <v/>
      </c>
      <c r="Y331" s="10">
        <f>IF(OR(Q331="",X331=""),"",Q331&amp;"|"&amp;X331)</f>
        <v/>
      </c>
      <c r="Z331" s="10">
        <f>IF(AND(Q331&lt;&gt;"",W331&gt;0),Q331&amp;"|월","")</f>
        <v/>
      </c>
      <c r="AA331" s="10">
        <f>IF(COUNTA(B331:I331,K331:N331)=0,"",IF(Q331="","등록번호 없음",IF(LEFT(R331,1)="⚠","모병원명 미등록",IF(S331="","파견병원 입력",IF(LEFT(S331,1)="⚠","파견병원명 미등록",IF(LEFT(U331,1)="⚠","파견과목 미등록",IF(OR(T331="",LEFT(T331,1)="⚠"),"파견근거 확인",IF(NOT(AND(ISNUMBER(H331),ISNUMBER(I331))),"날짜 형식/누락",IF(I331&lt;H331,"종료일&lt;시작일","")))))))))</f>
        <v/>
      </c>
      <c r="AB331" s="11">
        <f>IF(ISNUMBER(SEARCH("다기관",TRIM(N331&amp;" "&amp;O331))),IFERROR(DATE(VALUE(MID(TRIM(N331&amp;" "&amp;O331),1,4)),VALUE(MID(TRIM(N331&amp;" "&amp;O331),6,2)),VALUE(MID(TRIM(N331&amp;" "&amp;O331),9,2))),IF(ISNUMBER(H331),H331,"")),"")</f>
        <v/>
      </c>
      <c r="AC331" s="11">
        <f>IF(ISNUMBER(SEARCH("다기관",TRIM(N331&amp;" "&amp;O331))),IFERROR(DATE(VALUE(MID(TRIM(N331&amp;" "&amp;O331),12,4)),VALUE(MID(TRIM(N331&amp;" "&amp;O331),17,2)),VALUE(MID(TRIM(N331&amp;" "&amp;O331),20,2))),IF(ISNUMBER(I331),I331,"")),"")</f>
        <v/>
      </c>
      <c r="AD331" s="17">
        <f>IF(AND(ISNUMBER(AB331),ISNUMBER(AC331)),MAX(0,MIN(AC331,EOMONTH(출력_요약!$B$3,0))-MAX(AB331,출력_요약!$B$3)+1),0)</f>
        <v/>
      </c>
      <c r="AE331" s="10">
        <f>IF(AND(Q331&lt;&gt;"",ISNUMBER(AB331)),Q331&amp;"|다기관","")</f>
        <v/>
      </c>
    </row>
    <row r="332">
      <c r="A332" s="15">
        <f>IF(F332="","",ROW()-3)</f>
        <v/>
      </c>
      <c r="B332" s="5" t="n"/>
      <c r="C332" s="15" t="n"/>
      <c r="D332" s="5" t="n"/>
      <c r="E332" s="15" t="n"/>
      <c r="F332" s="5" t="n"/>
      <c r="G332" s="6" t="n"/>
      <c r="H332" s="16" t="n"/>
      <c r="I332" s="16" t="n"/>
      <c r="J332" s="15">
        <f>IF(AND(ISNUMBER(H332),ISNUMBER(I332)),I332-H332+1,"")</f>
        <v/>
      </c>
      <c r="K332" s="5" t="n"/>
      <c r="L332" s="5" t="n"/>
      <c r="M332" s="5" t="n"/>
      <c r="N332" s="5" t="n"/>
      <c r="O332" s="5" t="n"/>
      <c r="Q332" s="10">
        <f>IF(TRIM(G332&amp;"")="","",TRIM(G332&amp;""))</f>
        <v/>
      </c>
      <c r="R332" s="10">
        <f>IF(TRIM(B332&amp;"")="","",IFERROR(INDEX(설정_코드표!$K$2:$K$101,MATCH(TRIM(B332&amp;""),설정_코드표!$J$2:$J$101,0)),"⚠"&amp;TRIM(B332&amp;"")))</f>
        <v/>
      </c>
      <c r="S332" s="10">
        <f>IF(TRIM(K332&amp;"")="","",IFERROR(INDEX(설정_코드표!$K$2:$K$101,MATCH(TRIM(K332&amp;""),설정_코드표!$J$2:$J$101,0)),"⚠"&amp;TRIM(K332&amp;"")))</f>
        <v/>
      </c>
      <c r="T332" s="10">
        <f>IF(TRIM(M332&amp;"")="","",IF(ISNUMBER(MATCH(TRIM(M332&amp;""),설정_코드표!$C$2:$C$11,0)),TRIM(M332&amp;""),"⚠"&amp;TRIM(M332&amp;"")))</f>
        <v/>
      </c>
      <c r="U332" s="10">
        <f>IF(TRIM(L332&amp;"")="","",IFERROR(INDEX(설정_코드표!$G$2:$G$101,MATCH(TRIM(L332&amp;""),설정_코드표!$F$2:$F$101,0)),"⚠"&amp;TRIM(L332&amp;"")))</f>
        <v/>
      </c>
      <c r="V332" s="10">
        <f>IF(AND(ISNUMBER(H332),ISNUMBER(I332)),I332-H332+1,"")</f>
        <v/>
      </c>
      <c r="W332" s="17">
        <f>IF(ISNUMBER(H332),MAX(0,MIN(IF(ISNUMBER(I332),I332,EOMONTH(출력_요약!$B$3,0)),EOMONTH(출력_요약!$B$3,0))-MAX(H332,출력_요약!$B$3)+1),0)</f>
        <v/>
      </c>
      <c r="X332" s="10">
        <f>IF(OR(NOT(ISNUMBER(H332)),Q332=""),"",IF(TODAY()&lt;H332,"파견예정",IF(AND(ISNUMBER(I332),TODAY()&gt;I332),"파견종료","파견중")))</f>
        <v/>
      </c>
      <c r="Y332" s="10">
        <f>IF(OR(Q332="",X332=""),"",Q332&amp;"|"&amp;X332)</f>
        <v/>
      </c>
      <c r="Z332" s="10">
        <f>IF(AND(Q332&lt;&gt;"",W332&gt;0),Q332&amp;"|월","")</f>
        <v/>
      </c>
      <c r="AA332" s="10">
        <f>IF(COUNTA(B332:I332,K332:N332)=0,"",IF(Q332="","등록번호 없음",IF(LEFT(R332,1)="⚠","모병원명 미등록",IF(S332="","파견병원 입력",IF(LEFT(S332,1)="⚠","파견병원명 미등록",IF(LEFT(U332,1)="⚠","파견과목 미등록",IF(OR(T332="",LEFT(T332,1)="⚠"),"파견근거 확인",IF(NOT(AND(ISNUMBER(H332),ISNUMBER(I332))),"날짜 형식/누락",IF(I332&lt;H332,"종료일&lt;시작일","")))))))))</f>
        <v/>
      </c>
      <c r="AB332" s="11">
        <f>IF(ISNUMBER(SEARCH("다기관",TRIM(N332&amp;" "&amp;O332))),IFERROR(DATE(VALUE(MID(TRIM(N332&amp;" "&amp;O332),1,4)),VALUE(MID(TRIM(N332&amp;" "&amp;O332),6,2)),VALUE(MID(TRIM(N332&amp;" "&amp;O332),9,2))),IF(ISNUMBER(H332),H332,"")),"")</f>
        <v/>
      </c>
      <c r="AC332" s="11">
        <f>IF(ISNUMBER(SEARCH("다기관",TRIM(N332&amp;" "&amp;O332))),IFERROR(DATE(VALUE(MID(TRIM(N332&amp;" "&amp;O332),12,4)),VALUE(MID(TRIM(N332&amp;" "&amp;O332),17,2)),VALUE(MID(TRIM(N332&amp;" "&amp;O332),20,2))),IF(ISNUMBER(I332),I332,"")),"")</f>
        <v/>
      </c>
      <c r="AD332" s="17">
        <f>IF(AND(ISNUMBER(AB332),ISNUMBER(AC332)),MAX(0,MIN(AC332,EOMONTH(출력_요약!$B$3,0))-MAX(AB332,출력_요약!$B$3)+1),0)</f>
        <v/>
      </c>
      <c r="AE332" s="10">
        <f>IF(AND(Q332&lt;&gt;"",ISNUMBER(AB332)),Q332&amp;"|다기관","")</f>
        <v/>
      </c>
    </row>
    <row r="333">
      <c r="A333" s="15">
        <f>IF(F333="","",ROW()-3)</f>
        <v/>
      </c>
      <c r="B333" s="5" t="n"/>
      <c r="C333" s="15" t="n"/>
      <c r="D333" s="5" t="n"/>
      <c r="E333" s="15" t="n"/>
      <c r="F333" s="5" t="n"/>
      <c r="G333" s="6" t="n"/>
      <c r="H333" s="16" t="n"/>
      <c r="I333" s="16" t="n"/>
      <c r="J333" s="15">
        <f>IF(AND(ISNUMBER(H333),ISNUMBER(I333)),I333-H333+1,"")</f>
        <v/>
      </c>
      <c r="K333" s="5" t="n"/>
      <c r="L333" s="5" t="n"/>
      <c r="M333" s="5" t="n"/>
      <c r="N333" s="5" t="n"/>
      <c r="O333" s="5" t="n"/>
      <c r="Q333" s="10">
        <f>IF(TRIM(G333&amp;"")="","",TRIM(G333&amp;""))</f>
        <v/>
      </c>
      <c r="R333" s="10">
        <f>IF(TRIM(B333&amp;"")="","",IFERROR(INDEX(설정_코드표!$K$2:$K$101,MATCH(TRIM(B333&amp;""),설정_코드표!$J$2:$J$101,0)),"⚠"&amp;TRIM(B333&amp;"")))</f>
        <v/>
      </c>
      <c r="S333" s="10">
        <f>IF(TRIM(K333&amp;"")="","",IFERROR(INDEX(설정_코드표!$K$2:$K$101,MATCH(TRIM(K333&amp;""),설정_코드표!$J$2:$J$101,0)),"⚠"&amp;TRIM(K333&amp;"")))</f>
        <v/>
      </c>
      <c r="T333" s="10">
        <f>IF(TRIM(M333&amp;"")="","",IF(ISNUMBER(MATCH(TRIM(M333&amp;""),설정_코드표!$C$2:$C$11,0)),TRIM(M333&amp;""),"⚠"&amp;TRIM(M333&amp;"")))</f>
        <v/>
      </c>
      <c r="U333" s="10">
        <f>IF(TRIM(L333&amp;"")="","",IFERROR(INDEX(설정_코드표!$G$2:$G$101,MATCH(TRIM(L333&amp;""),설정_코드표!$F$2:$F$101,0)),"⚠"&amp;TRIM(L333&amp;"")))</f>
        <v/>
      </c>
      <c r="V333" s="10">
        <f>IF(AND(ISNUMBER(H333),ISNUMBER(I333)),I333-H333+1,"")</f>
        <v/>
      </c>
      <c r="W333" s="17">
        <f>IF(ISNUMBER(H333),MAX(0,MIN(IF(ISNUMBER(I333),I333,EOMONTH(출력_요약!$B$3,0)),EOMONTH(출력_요약!$B$3,0))-MAX(H333,출력_요약!$B$3)+1),0)</f>
        <v/>
      </c>
      <c r="X333" s="10">
        <f>IF(OR(NOT(ISNUMBER(H333)),Q333=""),"",IF(TODAY()&lt;H333,"파견예정",IF(AND(ISNUMBER(I333),TODAY()&gt;I333),"파견종료","파견중")))</f>
        <v/>
      </c>
      <c r="Y333" s="10">
        <f>IF(OR(Q333="",X333=""),"",Q333&amp;"|"&amp;X333)</f>
        <v/>
      </c>
      <c r="Z333" s="10">
        <f>IF(AND(Q333&lt;&gt;"",W333&gt;0),Q333&amp;"|월","")</f>
        <v/>
      </c>
      <c r="AA333" s="10">
        <f>IF(COUNTA(B333:I333,K333:N333)=0,"",IF(Q333="","등록번호 없음",IF(LEFT(R333,1)="⚠","모병원명 미등록",IF(S333="","파견병원 입력",IF(LEFT(S333,1)="⚠","파견병원명 미등록",IF(LEFT(U333,1)="⚠","파견과목 미등록",IF(OR(T333="",LEFT(T333,1)="⚠"),"파견근거 확인",IF(NOT(AND(ISNUMBER(H333),ISNUMBER(I333))),"날짜 형식/누락",IF(I333&lt;H333,"종료일&lt;시작일","")))))))))</f>
        <v/>
      </c>
      <c r="AB333" s="11">
        <f>IF(ISNUMBER(SEARCH("다기관",TRIM(N333&amp;" "&amp;O333))),IFERROR(DATE(VALUE(MID(TRIM(N333&amp;" "&amp;O333),1,4)),VALUE(MID(TRIM(N333&amp;" "&amp;O333),6,2)),VALUE(MID(TRIM(N333&amp;" "&amp;O333),9,2))),IF(ISNUMBER(H333),H333,"")),"")</f>
        <v/>
      </c>
      <c r="AC333" s="11">
        <f>IF(ISNUMBER(SEARCH("다기관",TRIM(N333&amp;" "&amp;O333))),IFERROR(DATE(VALUE(MID(TRIM(N333&amp;" "&amp;O333),12,4)),VALUE(MID(TRIM(N333&amp;" "&amp;O333),17,2)),VALUE(MID(TRIM(N333&amp;" "&amp;O333),20,2))),IF(ISNUMBER(I333),I333,"")),"")</f>
        <v/>
      </c>
      <c r="AD333" s="17">
        <f>IF(AND(ISNUMBER(AB333),ISNUMBER(AC333)),MAX(0,MIN(AC333,EOMONTH(출력_요약!$B$3,0))-MAX(AB333,출력_요약!$B$3)+1),0)</f>
        <v/>
      </c>
      <c r="AE333" s="10">
        <f>IF(AND(Q333&lt;&gt;"",ISNUMBER(AB333)),Q333&amp;"|다기관","")</f>
        <v/>
      </c>
    </row>
    <row r="334">
      <c r="A334" s="15">
        <f>IF(F334="","",ROW()-3)</f>
        <v/>
      </c>
      <c r="B334" s="5" t="n"/>
      <c r="C334" s="15" t="n"/>
      <c r="D334" s="5" t="n"/>
      <c r="E334" s="15" t="n"/>
      <c r="F334" s="5" t="n"/>
      <c r="G334" s="6" t="n"/>
      <c r="H334" s="16" t="n"/>
      <c r="I334" s="16" t="n"/>
      <c r="J334" s="15">
        <f>IF(AND(ISNUMBER(H334),ISNUMBER(I334)),I334-H334+1,"")</f>
        <v/>
      </c>
      <c r="K334" s="5" t="n"/>
      <c r="L334" s="5" t="n"/>
      <c r="M334" s="5" t="n"/>
      <c r="N334" s="5" t="n"/>
      <c r="O334" s="5" t="n"/>
      <c r="Q334" s="10">
        <f>IF(TRIM(G334&amp;"")="","",TRIM(G334&amp;""))</f>
        <v/>
      </c>
      <c r="R334" s="10">
        <f>IF(TRIM(B334&amp;"")="","",IFERROR(INDEX(설정_코드표!$K$2:$K$101,MATCH(TRIM(B334&amp;""),설정_코드표!$J$2:$J$101,0)),"⚠"&amp;TRIM(B334&amp;"")))</f>
        <v/>
      </c>
      <c r="S334" s="10">
        <f>IF(TRIM(K334&amp;"")="","",IFERROR(INDEX(설정_코드표!$K$2:$K$101,MATCH(TRIM(K334&amp;""),설정_코드표!$J$2:$J$101,0)),"⚠"&amp;TRIM(K334&amp;"")))</f>
        <v/>
      </c>
      <c r="T334" s="10">
        <f>IF(TRIM(M334&amp;"")="","",IF(ISNUMBER(MATCH(TRIM(M334&amp;""),설정_코드표!$C$2:$C$11,0)),TRIM(M334&amp;""),"⚠"&amp;TRIM(M334&amp;"")))</f>
        <v/>
      </c>
      <c r="U334" s="10">
        <f>IF(TRIM(L334&amp;"")="","",IFERROR(INDEX(설정_코드표!$G$2:$G$101,MATCH(TRIM(L334&amp;""),설정_코드표!$F$2:$F$101,0)),"⚠"&amp;TRIM(L334&amp;"")))</f>
        <v/>
      </c>
      <c r="V334" s="10">
        <f>IF(AND(ISNUMBER(H334),ISNUMBER(I334)),I334-H334+1,"")</f>
        <v/>
      </c>
      <c r="W334" s="17">
        <f>IF(ISNUMBER(H334),MAX(0,MIN(IF(ISNUMBER(I334),I334,EOMONTH(출력_요약!$B$3,0)),EOMONTH(출력_요약!$B$3,0))-MAX(H334,출력_요약!$B$3)+1),0)</f>
        <v/>
      </c>
      <c r="X334" s="10">
        <f>IF(OR(NOT(ISNUMBER(H334)),Q334=""),"",IF(TODAY()&lt;H334,"파견예정",IF(AND(ISNUMBER(I334),TODAY()&gt;I334),"파견종료","파견중")))</f>
        <v/>
      </c>
      <c r="Y334" s="10">
        <f>IF(OR(Q334="",X334=""),"",Q334&amp;"|"&amp;X334)</f>
        <v/>
      </c>
      <c r="Z334" s="10">
        <f>IF(AND(Q334&lt;&gt;"",W334&gt;0),Q334&amp;"|월","")</f>
        <v/>
      </c>
      <c r="AA334" s="10">
        <f>IF(COUNTA(B334:I334,K334:N334)=0,"",IF(Q334="","등록번호 없음",IF(LEFT(R334,1)="⚠","모병원명 미등록",IF(S334="","파견병원 입력",IF(LEFT(S334,1)="⚠","파견병원명 미등록",IF(LEFT(U334,1)="⚠","파견과목 미등록",IF(OR(T334="",LEFT(T334,1)="⚠"),"파견근거 확인",IF(NOT(AND(ISNUMBER(H334),ISNUMBER(I334))),"날짜 형식/누락",IF(I334&lt;H334,"종료일&lt;시작일","")))))))))</f>
        <v/>
      </c>
      <c r="AB334" s="11">
        <f>IF(ISNUMBER(SEARCH("다기관",TRIM(N334&amp;" "&amp;O334))),IFERROR(DATE(VALUE(MID(TRIM(N334&amp;" "&amp;O334),1,4)),VALUE(MID(TRIM(N334&amp;" "&amp;O334),6,2)),VALUE(MID(TRIM(N334&amp;" "&amp;O334),9,2))),IF(ISNUMBER(H334),H334,"")),"")</f>
        <v/>
      </c>
      <c r="AC334" s="11">
        <f>IF(ISNUMBER(SEARCH("다기관",TRIM(N334&amp;" "&amp;O334))),IFERROR(DATE(VALUE(MID(TRIM(N334&amp;" "&amp;O334),12,4)),VALUE(MID(TRIM(N334&amp;" "&amp;O334),17,2)),VALUE(MID(TRIM(N334&amp;" "&amp;O334),20,2))),IF(ISNUMBER(I334),I334,"")),"")</f>
        <v/>
      </c>
      <c r="AD334" s="17">
        <f>IF(AND(ISNUMBER(AB334),ISNUMBER(AC334)),MAX(0,MIN(AC334,EOMONTH(출력_요약!$B$3,0))-MAX(AB334,출력_요약!$B$3)+1),0)</f>
        <v/>
      </c>
      <c r="AE334" s="10">
        <f>IF(AND(Q334&lt;&gt;"",ISNUMBER(AB334)),Q334&amp;"|다기관","")</f>
        <v/>
      </c>
    </row>
    <row r="335">
      <c r="A335" s="15">
        <f>IF(F335="","",ROW()-3)</f>
        <v/>
      </c>
      <c r="B335" s="5" t="n"/>
      <c r="C335" s="15" t="n"/>
      <c r="D335" s="5" t="n"/>
      <c r="E335" s="15" t="n"/>
      <c r="F335" s="5" t="n"/>
      <c r="G335" s="6" t="n"/>
      <c r="H335" s="16" t="n"/>
      <c r="I335" s="16" t="n"/>
      <c r="J335" s="15">
        <f>IF(AND(ISNUMBER(H335),ISNUMBER(I335)),I335-H335+1,"")</f>
        <v/>
      </c>
      <c r="K335" s="5" t="n"/>
      <c r="L335" s="5" t="n"/>
      <c r="M335" s="5" t="n"/>
      <c r="N335" s="5" t="n"/>
      <c r="O335" s="5" t="n"/>
      <c r="Q335" s="10">
        <f>IF(TRIM(G335&amp;"")="","",TRIM(G335&amp;""))</f>
        <v/>
      </c>
      <c r="R335" s="10">
        <f>IF(TRIM(B335&amp;"")="","",IFERROR(INDEX(설정_코드표!$K$2:$K$101,MATCH(TRIM(B335&amp;""),설정_코드표!$J$2:$J$101,0)),"⚠"&amp;TRIM(B335&amp;"")))</f>
        <v/>
      </c>
      <c r="S335" s="10">
        <f>IF(TRIM(K335&amp;"")="","",IFERROR(INDEX(설정_코드표!$K$2:$K$101,MATCH(TRIM(K335&amp;""),설정_코드표!$J$2:$J$101,0)),"⚠"&amp;TRIM(K335&amp;"")))</f>
        <v/>
      </c>
      <c r="T335" s="10">
        <f>IF(TRIM(M335&amp;"")="","",IF(ISNUMBER(MATCH(TRIM(M335&amp;""),설정_코드표!$C$2:$C$11,0)),TRIM(M335&amp;""),"⚠"&amp;TRIM(M335&amp;"")))</f>
        <v/>
      </c>
      <c r="U335" s="10">
        <f>IF(TRIM(L335&amp;"")="","",IFERROR(INDEX(설정_코드표!$G$2:$G$101,MATCH(TRIM(L335&amp;""),설정_코드표!$F$2:$F$101,0)),"⚠"&amp;TRIM(L335&amp;"")))</f>
        <v/>
      </c>
      <c r="V335" s="10">
        <f>IF(AND(ISNUMBER(H335),ISNUMBER(I335)),I335-H335+1,"")</f>
        <v/>
      </c>
      <c r="W335" s="17">
        <f>IF(ISNUMBER(H335),MAX(0,MIN(IF(ISNUMBER(I335),I335,EOMONTH(출력_요약!$B$3,0)),EOMONTH(출력_요약!$B$3,0))-MAX(H335,출력_요약!$B$3)+1),0)</f>
        <v/>
      </c>
      <c r="X335" s="10">
        <f>IF(OR(NOT(ISNUMBER(H335)),Q335=""),"",IF(TODAY()&lt;H335,"파견예정",IF(AND(ISNUMBER(I335),TODAY()&gt;I335),"파견종료","파견중")))</f>
        <v/>
      </c>
      <c r="Y335" s="10">
        <f>IF(OR(Q335="",X335=""),"",Q335&amp;"|"&amp;X335)</f>
        <v/>
      </c>
      <c r="Z335" s="10">
        <f>IF(AND(Q335&lt;&gt;"",W335&gt;0),Q335&amp;"|월","")</f>
        <v/>
      </c>
      <c r="AA335" s="10">
        <f>IF(COUNTA(B335:I335,K335:N335)=0,"",IF(Q335="","등록번호 없음",IF(LEFT(R335,1)="⚠","모병원명 미등록",IF(S335="","파견병원 입력",IF(LEFT(S335,1)="⚠","파견병원명 미등록",IF(LEFT(U335,1)="⚠","파견과목 미등록",IF(OR(T335="",LEFT(T335,1)="⚠"),"파견근거 확인",IF(NOT(AND(ISNUMBER(H335),ISNUMBER(I335))),"날짜 형식/누락",IF(I335&lt;H335,"종료일&lt;시작일","")))))))))</f>
        <v/>
      </c>
      <c r="AB335" s="11">
        <f>IF(ISNUMBER(SEARCH("다기관",TRIM(N335&amp;" "&amp;O335))),IFERROR(DATE(VALUE(MID(TRIM(N335&amp;" "&amp;O335),1,4)),VALUE(MID(TRIM(N335&amp;" "&amp;O335),6,2)),VALUE(MID(TRIM(N335&amp;" "&amp;O335),9,2))),IF(ISNUMBER(H335),H335,"")),"")</f>
        <v/>
      </c>
      <c r="AC335" s="11">
        <f>IF(ISNUMBER(SEARCH("다기관",TRIM(N335&amp;" "&amp;O335))),IFERROR(DATE(VALUE(MID(TRIM(N335&amp;" "&amp;O335),12,4)),VALUE(MID(TRIM(N335&amp;" "&amp;O335),17,2)),VALUE(MID(TRIM(N335&amp;" "&amp;O335),20,2))),IF(ISNUMBER(I335),I335,"")),"")</f>
        <v/>
      </c>
      <c r="AD335" s="17">
        <f>IF(AND(ISNUMBER(AB335),ISNUMBER(AC335)),MAX(0,MIN(AC335,EOMONTH(출력_요약!$B$3,0))-MAX(AB335,출력_요약!$B$3)+1),0)</f>
        <v/>
      </c>
      <c r="AE335" s="10">
        <f>IF(AND(Q335&lt;&gt;"",ISNUMBER(AB335)),Q335&amp;"|다기관","")</f>
        <v/>
      </c>
    </row>
    <row r="336">
      <c r="A336" s="15">
        <f>IF(F336="","",ROW()-3)</f>
        <v/>
      </c>
      <c r="B336" s="5" t="n"/>
      <c r="C336" s="15" t="n"/>
      <c r="D336" s="5" t="n"/>
      <c r="E336" s="15" t="n"/>
      <c r="F336" s="5" t="n"/>
      <c r="G336" s="6" t="n"/>
      <c r="H336" s="16" t="n"/>
      <c r="I336" s="16" t="n"/>
      <c r="J336" s="15">
        <f>IF(AND(ISNUMBER(H336),ISNUMBER(I336)),I336-H336+1,"")</f>
        <v/>
      </c>
      <c r="K336" s="5" t="n"/>
      <c r="L336" s="5" t="n"/>
      <c r="M336" s="5" t="n"/>
      <c r="N336" s="5" t="n"/>
      <c r="O336" s="5" t="n"/>
      <c r="Q336" s="10">
        <f>IF(TRIM(G336&amp;"")="","",TRIM(G336&amp;""))</f>
        <v/>
      </c>
      <c r="R336" s="10">
        <f>IF(TRIM(B336&amp;"")="","",IFERROR(INDEX(설정_코드표!$K$2:$K$101,MATCH(TRIM(B336&amp;""),설정_코드표!$J$2:$J$101,0)),"⚠"&amp;TRIM(B336&amp;"")))</f>
        <v/>
      </c>
      <c r="S336" s="10">
        <f>IF(TRIM(K336&amp;"")="","",IFERROR(INDEX(설정_코드표!$K$2:$K$101,MATCH(TRIM(K336&amp;""),설정_코드표!$J$2:$J$101,0)),"⚠"&amp;TRIM(K336&amp;"")))</f>
        <v/>
      </c>
      <c r="T336" s="10">
        <f>IF(TRIM(M336&amp;"")="","",IF(ISNUMBER(MATCH(TRIM(M336&amp;""),설정_코드표!$C$2:$C$11,0)),TRIM(M336&amp;""),"⚠"&amp;TRIM(M336&amp;"")))</f>
        <v/>
      </c>
      <c r="U336" s="10">
        <f>IF(TRIM(L336&amp;"")="","",IFERROR(INDEX(설정_코드표!$G$2:$G$101,MATCH(TRIM(L336&amp;""),설정_코드표!$F$2:$F$101,0)),"⚠"&amp;TRIM(L336&amp;"")))</f>
        <v/>
      </c>
      <c r="V336" s="10">
        <f>IF(AND(ISNUMBER(H336),ISNUMBER(I336)),I336-H336+1,"")</f>
        <v/>
      </c>
      <c r="W336" s="17">
        <f>IF(ISNUMBER(H336),MAX(0,MIN(IF(ISNUMBER(I336),I336,EOMONTH(출력_요약!$B$3,0)),EOMONTH(출력_요약!$B$3,0))-MAX(H336,출력_요약!$B$3)+1),0)</f>
        <v/>
      </c>
      <c r="X336" s="10">
        <f>IF(OR(NOT(ISNUMBER(H336)),Q336=""),"",IF(TODAY()&lt;H336,"파견예정",IF(AND(ISNUMBER(I336),TODAY()&gt;I336),"파견종료","파견중")))</f>
        <v/>
      </c>
      <c r="Y336" s="10">
        <f>IF(OR(Q336="",X336=""),"",Q336&amp;"|"&amp;X336)</f>
        <v/>
      </c>
      <c r="Z336" s="10">
        <f>IF(AND(Q336&lt;&gt;"",W336&gt;0),Q336&amp;"|월","")</f>
        <v/>
      </c>
      <c r="AA336" s="10">
        <f>IF(COUNTA(B336:I336,K336:N336)=0,"",IF(Q336="","등록번호 없음",IF(LEFT(R336,1)="⚠","모병원명 미등록",IF(S336="","파견병원 입력",IF(LEFT(S336,1)="⚠","파견병원명 미등록",IF(LEFT(U336,1)="⚠","파견과목 미등록",IF(OR(T336="",LEFT(T336,1)="⚠"),"파견근거 확인",IF(NOT(AND(ISNUMBER(H336),ISNUMBER(I336))),"날짜 형식/누락",IF(I336&lt;H336,"종료일&lt;시작일","")))))))))</f>
        <v/>
      </c>
      <c r="AB336" s="11">
        <f>IF(ISNUMBER(SEARCH("다기관",TRIM(N336&amp;" "&amp;O336))),IFERROR(DATE(VALUE(MID(TRIM(N336&amp;" "&amp;O336),1,4)),VALUE(MID(TRIM(N336&amp;" "&amp;O336),6,2)),VALUE(MID(TRIM(N336&amp;" "&amp;O336),9,2))),IF(ISNUMBER(H336),H336,"")),"")</f>
        <v/>
      </c>
      <c r="AC336" s="11">
        <f>IF(ISNUMBER(SEARCH("다기관",TRIM(N336&amp;" "&amp;O336))),IFERROR(DATE(VALUE(MID(TRIM(N336&amp;" "&amp;O336),12,4)),VALUE(MID(TRIM(N336&amp;" "&amp;O336),17,2)),VALUE(MID(TRIM(N336&amp;" "&amp;O336),20,2))),IF(ISNUMBER(I336),I336,"")),"")</f>
        <v/>
      </c>
      <c r="AD336" s="17">
        <f>IF(AND(ISNUMBER(AB336),ISNUMBER(AC336)),MAX(0,MIN(AC336,EOMONTH(출력_요약!$B$3,0))-MAX(AB336,출력_요약!$B$3)+1),0)</f>
        <v/>
      </c>
      <c r="AE336" s="10">
        <f>IF(AND(Q336&lt;&gt;"",ISNUMBER(AB336)),Q336&amp;"|다기관","")</f>
        <v/>
      </c>
    </row>
    <row r="337">
      <c r="A337" s="15">
        <f>IF(F337="","",ROW()-3)</f>
        <v/>
      </c>
      <c r="B337" s="5" t="n"/>
      <c r="C337" s="15" t="n"/>
      <c r="D337" s="5" t="n"/>
      <c r="E337" s="15" t="n"/>
      <c r="F337" s="5" t="n"/>
      <c r="G337" s="6" t="n"/>
      <c r="H337" s="16" t="n"/>
      <c r="I337" s="16" t="n"/>
      <c r="J337" s="15">
        <f>IF(AND(ISNUMBER(H337),ISNUMBER(I337)),I337-H337+1,"")</f>
        <v/>
      </c>
      <c r="K337" s="5" t="n"/>
      <c r="L337" s="5" t="n"/>
      <c r="M337" s="5" t="n"/>
      <c r="N337" s="5" t="n"/>
      <c r="O337" s="5" t="n"/>
      <c r="Q337" s="10">
        <f>IF(TRIM(G337&amp;"")="","",TRIM(G337&amp;""))</f>
        <v/>
      </c>
      <c r="R337" s="10">
        <f>IF(TRIM(B337&amp;"")="","",IFERROR(INDEX(설정_코드표!$K$2:$K$101,MATCH(TRIM(B337&amp;""),설정_코드표!$J$2:$J$101,0)),"⚠"&amp;TRIM(B337&amp;"")))</f>
        <v/>
      </c>
      <c r="S337" s="10">
        <f>IF(TRIM(K337&amp;"")="","",IFERROR(INDEX(설정_코드표!$K$2:$K$101,MATCH(TRIM(K337&amp;""),설정_코드표!$J$2:$J$101,0)),"⚠"&amp;TRIM(K337&amp;"")))</f>
        <v/>
      </c>
      <c r="T337" s="10">
        <f>IF(TRIM(M337&amp;"")="","",IF(ISNUMBER(MATCH(TRIM(M337&amp;""),설정_코드표!$C$2:$C$11,0)),TRIM(M337&amp;""),"⚠"&amp;TRIM(M337&amp;"")))</f>
        <v/>
      </c>
      <c r="U337" s="10">
        <f>IF(TRIM(L337&amp;"")="","",IFERROR(INDEX(설정_코드표!$G$2:$G$101,MATCH(TRIM(L337&amp;""),설정_코드표!$F$2:$F$101,0)),"⚠"&amp;TRIM(L337&amp;"")))</f>
        <v/>
      </c>
      <c r="V337" s="10">
        <f>IF(AND(ISNUMBER(H337),ISNUMBER(I337)),I337-H337+1,"")</f>
        <v/>
      </c>
      <c r="W337" s="17">
        <f>IF(ISNUMBER(H337),MAX(0,MIN(IF(ISNUMBER(I337),I337,EOMONTH(출력_요약!$B$3,0)),EOMONTH(출력_요약!$B$3,0))-MAX(H337,출력_요약!$B$3)+1),0)</f>
        <v/>
      </c>
      <c r="X337" s="10">
        <f>IF(OR(NOT(ISNUMBER(H337)),Q337=""),"",IF(TODAY()&lt;H337,"파견예정",IF(AND(ISNUMBER(I337),TODAY()&gt;I337),"파견종료","파견중")))</f>
        <v/>
      </c>
      <c r="Y337" s="10">
        <f>IF(OR(Q337="",X337=""),"",Q337&amp;"|"&amp;X337)</f>
        <v/>
      </c>
      <c r="Z337" s="10">
        <f>IF(AND(Q337&lt;&gt;"",W337&gt;0),Q337&amp;"|월","")</f>
        <v/>
      </c>
      <c r="AA337" s="10">
        <f>IF(COUNTA(B337:I337,K337:N337)=0,"",IF(Q337="","등록번호 없음",IF(LEFT(R337,1)="⚠","모병원명 미등록",IF(S337="","파견병원 입력",IF(LEFT(S337,1)="⚠","파견병원명 미등록",IF(LEFT(U337,1)="⚠","파견과목 미등록",IF(OR(T337="",LEFT(T337,1)="⚠"),"파견근거 확인",IF(NOT(AND(ISNUMBER(H337),ISNUMBER(I337))),"날짜 형식/누락",IF(I337&lt;H337,"종료일&lt;시작일","")))))))))</f>
        <v/>
      </c>
      <c r="AB337" s="11">
        <f>IF(ISNUMBER(SEARCH("다기관",TRIM(N337&amp;" "&amp;O337))),IFERROR(DATE(VALUE(MID(TRIM(N337&amp;" "&amp;O337),1,4)),VALUE(MID(TRIM(N337&amp;" "&amp;O337),6,2)),VALUE(MID(TRIM(N337&amp;" "&amp;O337),9,2))),IF(ISNUMBER(H337),H337,"")),"")</f>
        <v/>
      </c>
      <c r="AC337" s="11">
        <f>IF(ISNUMBER(SEARCH("다기관",TRIM(N337&amp;" "&amp;O337))),IFERROR(DATE(VALUE(MID(TRIM(N337&amp;" "&amp;O337),12,4)),VALUE(MID(TRIM(N337&amp;" "&amp;O337),17,2)),VALUE(MID(TRIM(N337&amp;" "&amp;O337),20,2))),IF(ISNUMBER(I337),I337,"")),"")</f>
        <v/>
      </c>
      <c r="AD337" s="17">
        <f>IF(AND(ISNUMBER(AB337),ISNUMBER(AC337)),MAX(0,MIN(AC337,EOMONTH(출력_요약!$B$3,0))-MAX(AB337,출력_요약!$B$3)+1),0)</f>
        <v/>
      </c>
      <c r="AE337" s="10">
        <f>IF(AND(Q337&lt;&gt;"",ISNUMBER(AB337)),Q337&amp;"|다기관","")</f>
        <v/>
      </c>
    </row>
    <row r="338">
      <c r="A338" s="15">
        <f>IF(F338="","",ROW()-3)</f>
        <v/>
      </c>
      <c r="B338" s="5" t="n"/>
      <c r="C338" s="15" t="n"/>
      <c r="D338" s="5" t="n"/>
      <c r="E338" s="15" t="n"/>
      <c r="F338" s="5" t="n"/>
      <c r="G338" s="6" t="n"/>
      <c r="H338" s="16" t="n"/>
      <c r="I338" s="16" t="n"/>
      <c r="J338" s="15">
        <f>IF(AND(ISNUMBER(H338),ISNUMBER(I338)),I338-H338+1,"")</f>
        <v/>
      </c>
      <c r="K338" s="5" t="n"/>
      <c r="L338" s="5" t="n"/>
      <c r="M338" s="5" t="n"/>
      <c r="N338" s="5" t="n"/>
      <c r="O338" s="5" t="n"/>
      <c r="Q338" s="10">
        <f>IF(TRIM(G338&amp;"")="","",TRIM(G338&amp;""))</f>
        <v/>
      </c>
      <c r="R338" s="10">
        <f>IF(TRIM(B338&amp;"")="","",IFERROR(INDEX(설정_코드표!$K$2:$K$101,MATCH(TRIM(B338&amp;""),설정_코드표!$J$2:$J$101,0)),"⚠"&amp;TRIM(B338&amp;"")))</f>
        <v/>
      </c>
      <c r="S338" s="10">
        <f>IF(TRIM(K338&amp;"")="","",IFERROR(INDEX(설정_코드표!$K$2:$K$101,MATCH(TRIM(K338&amp;""),설정_코드표!$J$2:$J$101,0)),"⚠"&amp;TRIM(K338&amp;"")))</f>
        <v/>
      </c>
      <c r="T338" s="10">
        <f>IF(TRIM(M338&amp;"")="","",IF(ISNUMBER(MATCH(TRIM(M338&amp;""),설정_코드표!$C$2:$C$11,0)),TRIM(M338&amp;""),"⚠"&amp;TRIM(M338&amp;"")))</f>
        <v/>
      </c>
      <c r="U338" s="10">
        <f>IF(TRIM(L338&amp;"")="","",IFERROR(INDEX(설정_코드표!$G$2:$G$101,MATCH(TRIM(L338&amp;""),설정_코드표!$F$2:$F$101,0)),"⚠"&amp;TRIM(L338&amp;"")))</f>
        <v/>
      </c>
      <c r="V338" s="10">
        <f>IF(AND(ISNUMBER(H338),ISNUMBER(I338)),I338-H338+1,"")</f>
        <v/>
      </c>
      <c r="W338" s="17">
        <f>IF(ISNUMBER(H338),MAX(0,MIN(IF(ISNUMBER(I338),I338,EOMONTH(출력_요약!$B$3,0)),EOMONTH(출력_요약!$B$3,0))-MAX(H338,출력_요약!$B$3)+1),0)</f>
        <v/>
      </c>
      <c r="X338" s="10">
        <f>IF(OR(NOT(ISNUMBER(H338)),Q338=""),"",IF(TODAY()&lt;H338,"파견예정",IF(AND(ISNUMBER(I338),TODAY()&gt;I338),"파견종료","파견중")))</f>
        <v/>
      </c>
      <c r="Y338" s="10">
        <f>IF(OR(Q338="",X338=""),"",Q338&amp;"|"&amp;X338)</f>
        <v/>
      </c>
      <c r="Z338" s="10">
        <f>IF(AND(Q338&lt;&gt;"",W338&gt;0),Q338&amp;"|월","")</f>
        <v/>
      </c>
      <c r="AA338" s="10">
        <f>IF(COUNTA(B338:I338,K338:N338)=0,"",IF(Q338="","등록번호 없음",IF(LEFT(R338,1)="⚠","모병원명 미등록",IF(S338="","파견병원 입력",IF(LEFT(S338,1)="⚠","파견병원명 미등록",IF(LEFT(U338,1)="⚠","파견과목 미등록",IF(OR(T338="",LEFT(T338,1)="⚠"),"파견근거 확인",IF(NOT(AND(ISNUMBER(H338),ISNUMBER(I338))),"날짜 형식/누락",IF(I338&lt;H338,"종료일&lt;시작일","")))))))))</f>
        <v/>
      </c>
      <c r="AB338" s="11">
        <f>IF(ISNUMBER(SEARCH("다기관",TRIM(N338&amp;" "&amp;O338))),IFERROR(DATE(VALUE(MID(TRIM(N338&amp;" "&amp;O338),1,4)),VALUE(MID(TRIM(N338&amp;" "&amp;O338),6,2)),VALUE(MID(TRIM(N338&amp;" "&amp;O338),9,2))),IF(ISNUMBER(H338),H338,"")),"")</f>
        <v/>
      </c>
      <c r="AC338" s="11">
        <f>IF(ISNUMBER(SEARCH("다기관",TRIM(N338&amp;" "&amp;O338))),IFERROR(DATE(VALUE(MID(TRIM(N338&amp;" "&amp;O338),12,4)),VALUE(MID(TRIM(N338&amp;" "&amp;O338),17,2)),VALUE(MID(TRIM(N338&amp;" "&amp;O338),20,2))),IF(ISNUMBER(I338),I338,"")),"")</f>
        <v/>
      </c>
      <c r="AD338" s="17">
        <f>IF(AND(ISNUMBER(AB338),ISNUMBER(AC338)),MAX(0,MIN(AC338,EOMONTH(출력_요약!$B$3,0))-MAX(AB338,출력_요약!$B$3)+1),0)</f>
        <v/>
      </c>
      <c r="AE338" s="10">
        <f>IF(AND(Q338&lt;&gt;"",ISNUMBER(AB338)),Q338&amp;"|다기관","")</f>
        <v/>
      </c>
    </row>
    <row r="339">
      <c r="A339" s="15">
        <f>IF(F339="","",ROW()-3)</f>
        <v/>
      </c>
      <c r="B339" s="5" t="n"/>
      <c r="C339" s="15" t="n"/>
      <c r="D339" s="5" t="n"/>
      <c r="E339" s="15" t="n"/>
      <c r="F339" s="5" t="n"/>
      <c r="G339" s="6" t="n"/>
      <c r="H339" s="16" t="n"/>
      <c r="I339" s="16" t="n"/>
      <c r="J339" s="15">
        <f>IF(AND(ISNUMBER(H339),ISNUMBER(I339)),I339-H339+1,"")</f>
        <v/>
      </c>
      <c r="K339" s="5" t="n"/>
      <c r="L339" s="5" t="n"/>
      <c r="M339" s="5" t="n"/>
      <c r="N339" s="5" t="n"/>
      <c r="O339" s="5" t="n"/>
      <c r="Q339" s="10">
        <f>IF(TRIM(G339&amp;"")="","",TRIM(G339&amp;""))</f>
        <v/>
      </c>
      <c r="R339" s="10">
        <f>IF(TRIM(B339&amp;"")="","",IFERROR(INDEX(설정_코드표!$K$2:$K$101,MATCH(TRIM(B339&amp;""),설정_코드표!$J$2:$J$101,0)),"⚠"&amp;TRIM(B339&amp;"")))</f>
        <v/>
      </c>
      <c r="S339" s="10">
        <f>IF(TRIM(K339&amp;"")="","",IFERROR(INDEX(설정_코드표!$K$2:$K$101,MATCH(TRIM(K339&amp;""),설정_코드표!$J$2:$J$101,0)),"⚠"&amp;TRIM(K339&amp;"")))</f>
        <v/>
      </c>
      <c r="T339" s="10">
        <f>IF(TRIM(M339&amp;"")="","",IF(ISNUMBER(MATCH(TRIM(M339&amp;""),설정_코드표!$C$2:$C$11,0)),TRIM(M339&amp;""),"⚠"&amp;TRIM(M339&amp;"")))</f>
        <v/>
      </c>
      <c r="U339" s="10">
        <f>IF(TRIM(L339&amp;"")="","",IFERROR(INDEX(설정_코드표!$G$2:$G$101,MATCH(TRIM(L339&amp;""),설정_코드표!$F$2:$F$101,0)),"⚠"&amp;TRIM(L339&amp;"")))</f>
        <v/>
      </c>
      <c r="V339" s="10">
        <f>IF(AND(ISNUMBER(H339),ISNUMBER(I339)),I339-H339+1,"")</f>
        <v/>
      </c>
      <c r="W339" s="17">
        <f>IF(ISNUMBER(H339),MAX(0,MIN(IF(ISNUMBER(I339),I339,EOMONTH(출력_요약!$B$3,0)),EOMONTH(출력_요약!$B$3,0))-MAX(H339,출력_요약!$B$3)+1),0)</f>
        <v/>
      </c>
      <c r="X339" s="10">
        <f>IF(OR(NOT(ISNUMBER(H339)),Q339=""),"",IF(TODAY()&lt;H339,"파견예정",IF(AND(ISNUMBER(I339),TODAY()&gt;I339),"파견종료","파견중")))</f>
        <v/>
      </c>
      <c r="Y339" s="10">
        <f>IF(OR(Q339="",X339=""),"",Q339&amp;"|"&amp;X339)</f>
        <v/>
      </c>
      <c r="Z339" s="10">
        <f>IF(AND(Q339&lt;&gt;"",W339&gt;0),Q339&amp;"|월","")</f>
        <v/>
      </c>
      <c r="AA339" s="10">
        <f>IF(COUNTA(B339:I339,K339:N339)=0,"",IF(Q339="","등록번호 없음",IF(LEFT(R339,1)="⚠","모병원명 미등록",IF(S339="","파견병원 입력",IF(LEFT(S339,1)="⚠","파견병원명 미등록",IF(LEFT(U339,1)="⚠","파견과목 미등록",IF(OR(T339="",LEFT(T339,1)="⚠"),"파견근거 확인",IF(NOT(AND(ISNUMBER(H339),ISNUMBER(I339))),"날짜 형식/누락",IF(I339&lt;H339,"종료일&lt;시작일","")))))))))</f>
        <v/>
      </c>
      <c r="AB339" s="11">
        <f>IF(ISNUMBER(SEARCH("다기관",TRIM(N339&amp;" "&amp;O339))),IFERROR(DATE(VALUE(MID(TRIM(N339&amp;" "&amp;O339),1,4)),VALUE(MID(TRIM(N339&amp;" "&amp;O339),6,2)),VALUE(MID(TRIM(N339&amp;" "&amp;O339),9,2))),IF(ISNUMBER(H339),H339,"")),"")</f>
        <v/>
      </c>
      <c r="AC339" s="11">
        <f>IF(ISNUMBER(SEARCH("다기관",TRIM(N339&amp;" "&amp;O339))),IFERROR(DATE(VALUE(MID(TRIM(N339&amp;" "&amp;O339),12,4)),VALUE(MID(TRIM(N339&amp;" "&amp;O339),17,2)),VALUE(MID(TRIM(N339&amp;" "&amp;O339),20,2))),IF(ISNUMBER(I339),I339,"")),"")</f>
        <v/>
      </c>
      <c r="AD339" s="17">
        <f>IF(AND(ISNUMBER(AB339),ISNUMBER(AC339)),MAX(0,MIN(AC339,EOMONTH(출력_요약!$B$3,0))-MAX(AB339,출력_요약!$B$3)+1),0)</f>
        <v/>
      </c>
      <c r="AE339" s="10">
        <f>IF(AND(Q339&lt;&gt;"",ISNUMBER(AB339)),Q339&amp;"|다기관","")</f>
        <v/>
      </c>
    </row>
    <row r="340">
      <c r="A340" s="15">
        <f>IF(F340="","",ROW()-3)</f>
        <v/>
      </c>
      <c r="B340" s="5" t="n"/>
      <c r="C340" s="15" t="n"/>
      <c r="D340" s="5" t="n"/>
      <c r="E340" s="15" t="n"/>
      <c r="F340" s="5" t="n"/>
      <c r="G340" s="6" t="n"/>
      <c r="H340" s="16" t="n"/>
      <c r="I340" s="16" t="n"/>
      <c r="J340" s="15">
        <f>IF(AND(ISNUMBER(H340),ISNUMBER(I340)),I340-H340+1,"")</f>
        <v/>
      </c>
      <c r="K340" s="5" t="n"/>
      <c r="L340" s="5" t="n"/>
      <c r="M340" s="5" t="n"/>
      <c r="N340" s="5" t="n"/>
      <c r="O340" s="5" t="n"/>
      <c r="Q340" s="10">
        <f>IF(TRIM(G340&amp;"")="","",TRIM(G340&amp;""))</f>
        <v/>
      </c>
      <c r="R340" s="10">
        <f>IF(TRIM(B340&amp;"")="","",IFERROR(INDEX(설정_코드표!$K$2:$K$101,MATCH(TRIM(B340&amp;""),설정_코드표!$J$2:$J$101,0)),"⚠"&amp;TRIM(B340&amp;"")))</f>
        <v/>
      </c>
      <c r="S340" s="10">
        <f>IF(TRIM(K340&amp;"")="","",IFERROR(INDEX(설정_코드표!$K$2:$K$101,MATCH(TRIM(K340&amp;""),설정_코드표!$J$2:$J$101,0)),"⚠"&amp;TRIM(K340&amp;"")))</f>
        <v/>
      </c>
      <c r="T340" s="10">
        <f>IF(TRIM(M340&amp;"")="","",IF(ISNUMBER(MATCH(TRIM(M340&amp;""),설정_코드표!$C$2:$C$11,0)),TRIM(M340&amp;""),"⚠"&amp;TRIM(M340&amp;"")))</f>
        <v/>
      </c>
      <c r="U340" s="10">
        <f>IF(TRIM(L340&amp;"")="","",IFERROR(INDEX(설정_코드표!$G$2:$G$101,MATCH(TRIM(L340&amp;""),설정_코드표!$F$2:$F$101,0)),"⚠"&amp;TRIM(L340&amp;"")))</f>
        <v/>
      </c>
      <c r="V340" s="10">
        <f>IF(AND(ISNUMBER(H340),ISNUMBER(I340)),I340-H340+1,"")</f>
        <v/>
      </c>
      <c r="W340" s="17">
        <f>IF(ISNUMBER(H340),MAX(0,MIN(IF(ISNUMBER(I340),I340,EOMONTH(출력_요약!$B$3,0)),EOMONTH(출력_요약!$B$3,0))-MAX(H340,출력_요약!$B$3)+1),0)</f>
        <v/>
      </c>
      <c r="X340" s="10">
        <f>IF(OR(NOT(ISNUMBER(H340)),Q340=""),"",IF(TODAY()&lt;H340,"파견예정",IF(AND(ISNUMBER(I340),TODAY()&gt;I340),"파견종료","파견중")))</f>
        <v/>
      </c>
      <c r="Y340" s="10">
        <f>IF(OR(Q340="",X340=""),"",Q340&amp;"|"&amp;X340)</f>
        <v/>
      </c>
      <c r="Z340" s="10">
        <f>IF(AND(Q340&lt;&gt;"",W340&gt;0),Q340&amp;"|월","")</f>
        <v/>
      </c>
      <c r="AA340" s="10">
        <f>IF(COUNTA(B340:I340,K340:N340)=0,"",IF(Q340="","등록번호 없음",IF(LEFT(R340,1)="⚠","모병원명 미등록",IF(S340="","파견병원 입력",IF(LEFT(S340,1)="⚠","파견병원명 미등록",IF(LEFT(U340,1)="⚠","파견과목 미등록",IF(OR(T340="",LEFT(T340,1)="⚠"),"파견근거 확인",IF(NOT(AND(ISNUMBER(H340),ISNUMBER(I340))),"날짜 형식/누락",IF(I340&lt;H340,"종료일&lt;시작일","")))))))))</f>
        <v/>
      </c>
      <c r="AB340" s="11">
        <f>IF(ISNUMBER(SEARCH("다기관",TRIM(N340&amp;" "&amp;O340))),IFERROR(DATE(VALUE(MID(TRIM(N340&amp;" "&amp;O340),1,4)),VALUE(MID(TRIM(N340&amp;" "&amp;O340),6,2)),VALUE(MID(TRIM(N340&amp;" "&amp;O340),9,2))),IF(ISNUMBER(H340),H340,"")),"")</f>
        <v/>
      </c>
      <c r="AC340" s="11">
        <f>IF(ISNUMBER(SEARCH("다기관",TRIM(N340&amp;" "&amp;O340))),IFERROR(DATE(VALUE(MID(TRIM(N340&amp;" "&amp;O340),12,4)),VALUE(MID(TRIM(N340&amp;" "&amp;O340),17,2)),VALUE(MID(TRIM(N340&amp;" "&amp;O340),20,2))),IF(ISNUMBER(I340),I340,"")),"")</f>
        <v/>
      </c>
      <c r="AD340" s="17">
        <f>IF(AND(ISNUMBER(AB340),ISNUMBER(AC340)),MAX(0,MIN(AC340,EOMONTH(출력_요약!$B$3,0))-MAX(AB340,출력_요약!$B$3)+1),0)</f>
        <v/>
      </c>
      <c r="AE340" s="10">
        <f>IF(AND(Q340&lt;&gt;"",ISNUMBER(AB340)),Q340&amp;"|다기관","")</f>
        <v/>
      </c>
    </row>
    <row r="341">
      <c r="A341" s="15">
        <f>IF(F341="","",ROW()-3)</f>
        <v/>
      </c>
      <c r="B341" s="5" t="n"/>
      <c r="C341" s="15" t="n"/>
      <c r="D341" s="5" t="n"/>
      <c r="E341" s="15" t="n"/>
      <c r="F341" s="5" t="n"/>
      <c r="G341" s="6" t="n"/>
      <c r="H341" s="16" t="n"/>
      <c r="I341" s="16" t="n"/>
      <c r="J341" s="15">
        <f>IF(AND(ISNUMBER(H341),ISNUMBER(I341)),I341-H341+1,"")</f>
        <v/>
      </c>
      <c r="K341" s="5" t="n"/>
      <c r="L341" s="5" t="n"/>
      <c r="M341" s="5" t="n"/>
      <c r="N341" s="5" t="n"/>
      <c r="O341" s="5" t="n"/>
      <c r="Q341" s="10">
        <f>IF(TRIM(G341&amp;"")="","",TRIM(G341&amp;""))</f>
        <v/>
      </c>
      <c r="R341" s="10">
        <f>IF(TRIM(B341&amp;"")="","",IFERROR(INDEX(설정_코드표!$K$2:$K$101,MATCH(TRIM(B341&amp;""),설정_코드표!$J$2:$J$101,0)),"⚠"&amp;TRIM(B341&amp;"")))</f>
        <v/>
      </c>
      <c r="S341" s="10">
        <f>IF(TRIM(K341&amp;"")="","",IFERROR(INDEX(설정_코드표!$K$2:$K$101,MATCH(TRIM(K341&amp;""),설정_코드표!$J$2:$J$101,0)),"⚠"&amp;TRIM(K341&amp;"")))</f>
        <v/>
      </c>
      <c r="T341" s="10">
        <f>IF(TRIM(M341&amp;"")="","",IF(ISNUMBER(MATCH(TRIM(M341&amp;""),설정_코드표!$C$2:$C$11,0)),TRIM(M341&amp;""),"⚠"&amp;TRIM(M341&amp;"")))</f>
        <v/>
      </c>
      <c r="U341" s="10">
        <f>IF(TRIM(L341&amp;"")="","",IFERROR(INDEX(설정_코드표!$G$2:$G$101,MATCH(TRIM(L341&amp;""),설정_코드표!$F$2:$F$101,0)),"⚠"&amp;TRIM(L341&amp;"")))</f>
        <v/>
      </c>
      <c r="V341" s="10">
        <f>IF(AND(ISNUMBER(H341),ISNUMBER(I341)),I341-H341+1,"")</f>
        <v/>
      </c>
      <c r="W341" s="17">
        <f>IF(ISNUMBER(H341),MAX(0,MIN(IF(ISNUMBER(I341),I341,EOMONTH(출력_요약!$B$3,0)),EOMONTH(출력_요약!$B$3,0))-MAX(H341,출력_요약!$B$3)+1),0)</f>
        <v/>
      </c>
      <c r="X341" s="10">
        <f>IF(OR(NOT(ISNUMBER(H341)),Q341=""),"",IF(TODAY()&lt;H341,"파견예정",IF(AND(ISNUMBER(I341),TODAY()&gt;I341),"파견종료","파견중")))</f>
        <v/>
      </c>
      <c r="Y341" s="10">
        <f>IF(OR(Q341="",X341=""),"",Q341&amp;"|"&amp;X341)</f>
        <v/>
      </c>
      <c r="Z341" s="10">
        <f>IF(AND(Q341&lt;&gt;"",W341&gt;0),Q341&amp;"|월","")</f>
        <v/>
      </c>
      <c r="AA341" s="10">
        <f>IF(COUNTA(B341:I341,K341:N341)=0,"",IF(Q341="","등록번호 없음",IF(LEFT(R341,1)="⚠","모병원명 미등록",IF(S341="","파견병원 입력",IF(LEFT(S341,1)="⚠","파견병원명 미등록",IF(LEFT(U341,1)="⚠","파견과목 미등록",IF(OR(T341="",LEFT(T341,1)="⚠"),"파견근거 확인",IF(NOT(AND(ISNUMBER(H341),ISNUMBER(I341))),"날짜 형식/누락",IF(I341&lt;H341,"종료일&lt;시작일","")))))))))</f>
        <v/>
      </c>
      <c r="AB341" s="11">
        <f>IF(ISNUMBER(SEARCH("다기관",TRIM(N341&amp;" "&amp;O341))),IFERROR(DATE(VALUE(MID(TRIM(N341&amp;" "&amp;O341),1,4)),VALUE(MID(TRIM(N341&amp;" "&amp;O341),6,2)),VALUE(MID(TRIM(N341&amp;" "&amp;O341),9,2))),IF(ISNUMBER(H341),H341,"")),"")</f>
        <v/>
      </c>
      <c r="AC341" s="11">
        <f>IF(ISNUMBER(SEARCH("다기관",TRIM(N341&amp;" "&amp;O341))),IFERROR(DATE(VALUE(MID(TRIM(N341&amp;" "&amp;O341),12,4)),VALUE(MID(TRIM(N341&amp;" "&amp;O341),17,2)),VALUE(MID(TRIM(N341&amp;" "&amp;O341),20,2))),IF(ISNUMBER(I341),I341,"")),"")</f>
        <v/>
      </c>
      <c r="AD341" s="17">
        <f>IF(AND(ISNUMBER(AB341),ISNUMBER(AC341)),MAX(0,MIN(AC341,EOMONTH(출력_요약!$B$3,0))-MAX(AB341,출력_요약!$B$3)+1),0)</f>
        <v/>
      </c>
      <c r="AE341" s="10">
        <f>IF(AND(Q341&lt;&gt;"",ISNUMBER(AB341)),Q341&amp;"|다기관","")</f>
        <v/>
      </c>
    </row>
    <row r="342">
      <c r="A342" s="15">
        <f>IF(F342="","",ROW()-3)</f>
        <v/>
      </c>
      <c r="B342" s="5" t="n"/>
      <c r="C342" s="15" t="n"/>
      <c r="D342" s="5" t="n"/>
      <c r="E342" s="15" t="n"/>
      <c r="F342" s="5" t="n"/>
      <c r="G342" s="6" t="n"/>
      <c r="H342" s="16" t="n"/>
      <c r="I342" s="16" t="n"/>
      <c r="J342" s="15">
        <f>IF(AND(ISNUMBER(H342),ISNUMBER(I342)),I342-H342+1,"")</f>
        <v/>
      </c>
      <c r="K342" s="5" t="n"/>
      <c r="L342" s="5" t="n"/>
      <c r="M342" s="5" t="n"/>
      <c r="N342" s="5" t="n"/>
      <c r="O342" s="5" t="n"/>
      <c r="Q342" s="10">
        <f>IF(TRIM(G342&amp;"")="","",TRIM(G342&amp;""))</f>
        <v/>
      </c>
      <c r="R342" s="10">
        <f>IF(TRIM(B342&amp;"")="","",IFERROR(INDEX(설정_코드표!$K$2:$K$101,MATCH(TRIM(B342&amp;""),설정_코드표!$J$2:$J$101,0)),"⚠"&amp;TRIM(B342&amp;"")))</f>
        <v/>
      </c>
      <c r="S342" s="10">
        <f>IF(TRIM(K342&amp;"")="","",IFERROR(INDEX(설정_코드표!$K$2:$K$101,MATCH(TRIM(K342&amp;""),설정_코드표!$J$2:$J$101,0)),"⚠"&amp;TRIM(K342&amp;"")))</f>
        <v/>
      </c>
      <c r="T342" s="10">
        <f>IF(TRIM(M342&amp;"")="","",IF(ISNUMBER(MATCH(TRIM(M342&amp;""),설정_코드표!$C$2:$C$11,0)),TRIM(M342&amp;""),"⚠"&amp;TRIM(M342&amp;"")))</f>
        <v/>
      </c>
      <c r="U342" s="10">
        <f>IF(TRIM(L342&amp;"")="","",IFERROR(INDEX(설정_코드표!$G$2:$G$101,MATCH(TRIM(L342&amp;""),설정_코드표!$F$2:$F$101,0)),"⚠"&amp;TRIM(L342&amp;"")))</f>
        <v/>
      </c>
      <c r="V342" s="10">
        <f>IF(AND(ISNUMBER(H342),ISNUMBER(I342)),I342-H342+1,"")</f>
        <v/>
      </c>
      <c r="W342" s="17">
        <f>IF(ISNUMBER(H342),MAX(0,MIN(IF(ISNUMBER(I342),I342,EOMONTH(출력_요약!$B$3,0)),EOMONTH(출력_요약!$B$3,0))-MAX(H342,출력_요약!$B$3)+1),0)</f>
        <v/>
      </c>
      <c r="X342" s="10">
        <f>IF(OR(NOT(ISNUMBER(H342)),Q342=""),"",IF(TODAY()&lt;H342,"파견예정",IF(AND(ISNUMBER(I342),TODAY()&gt;I342),"파견종료","파견중")))</f>
        <v/>
      </c>
      <c r="Y342" s="10">
        <f>IF(OR(Q342="",X342=""),"",Q342&amp;"|"&amp;X342)</f>
        <v/>
      </c>
      <c r="Z342" s="10">
        <f>IF(AND(Q342&lt;&gt;"",W342&gt;0),Q342&amp;"|월","")</f>
        <v/>
      </c>
      <c r="AA342" s="10">
        <f>IF(COUNTA(B342:I342,K342:N342)=0,"",IF(Q342="","등록번호 없음",IF(LEFT(R342,1)="⚠","모병원명 미등록",IF(S342="","파견병원 입력",IF(LEFT(S342,1)="⚠","파견병원명 미등록",IF(LEFT(U342,1)="⚠","파견과목 미등록",IF(OR(T342="",LEFT(T342,1)="⚠"),"파견근거 확인",IF(NOT(AND(ISNUMBER(H342),ISNUMBER(I342))),"날짜 형식/누락",IF(I342&lt;H342,"종료일&lt;시작일","")))))))))</f>
        <v/>
      </c>
      <c r="AB342" s="11">
        <f>IF(ISNUMBER(SEARCH("다기관",TRIM(N342&amp;" "&amp;O342))),IFERROR(DATE(VALUE(MID(TRIM(N342&amp;" "&amp;O342),1,4)),VALUE(MID(TRIM(N342&amp;" "&amp;O342),6,2)),VALUE(MID(TRIM(N342&amp;" "&amp;O342),9,2))),IF(ISNUMBER(H342),H342,"")),"")</f>
        <v/>
      </c>
      <c r="AC342" s="11">
        <f>IF(ISNUMBER(SEARCH("다기관",TRIM(N342&amp;" "&amp;O342))),IFERROR(DATE(VALUE(MID(TRIM(N342&amp;" "&amp;O342),12,4)),VALUE(MID(TRIM(N342&amp;" "&amp;O342),17,2)),VALUE(MID(TRIM(N342&amp;" "&amp;O342),20,2))),IF(ISNUMBER(I342),I342,"")),"")</f>
        <v/>
      </c>
      <c r="AD342" s="17">
        <f>IF(AND(ISNUMBER(AB342),ISNUMBER(AC342)),MAX(0,MIN(AC342,EOMONTH(출력_요약!$B$3,0))-MAX(AB342,출력_요약!$B$3)+1),0)</f>
        <v/>
      </c>
      <c r="AE342" s="10">
        <f>IF(AND(Q342&lt;&gt;"",ISNUMBER(AB342)),Q342&amp;"|다기관","")</f>
        <v/>
      </c>
    </row>
    <row r="343">
      <c r="A343" s="15">
        <f>IF(F343="","",ROW()-3)</f>
        <v/>
      </c>
      <c r="B343" s="5" t="n"/>
      <c r="C343" s="15" t="n"/>
      <c r="D343" s="5" t="n"/>
      <c r="E343" s="15" t="n"/>
      <c r="F343" s="5" t="n"/>
      <c r="G343" s="6" t="n"/>
      <c r="H343" s="16" t="n"/>
      <c r="I343" s="16" t="n"/>
      <c r="J343" s="15">
        <f>IF(AND(ISNUMBER(H343),ISNUMBER(I343)),I343-H343+1,"")</f>
        <v/>
      </c>
      <c r="K343" s="5" t="n"/>
      <c r="L343" s="5" t="n"/>
      <c r="M343" s="5" t="n"/>
      <c r="N343" s="5" t="n"/>
      <c r="O343" s="5" t="n"/>
      <c r="Q343" s="10">
        <f>IF(TRIM(G343&amp;"")="","",TRIM(G343&amp;""))</f>
        <v/>
      </c>
      <c r="R343" s="10">
        <f>IF(TRIM(B343&amp;"")="","",IFERROR(INDEX(설정_코드표!$K$2:$K$101,MATCH(TRIM(B343&amp;""),설정_코드표!$J$2:$J$101,0)),"⚠"&amp;TRIM(B343&amp;"")))</f>
        <v/>
      </c>
      <c r="S343" s="10">
        <f>IF(TRIM(K343&amp;"")="","",IFERROR(INDEX(설정_코드표!$K$2:$K$101,MATCH(TRIM(K343&amp;""),설정_코드표!$J$2:$J$101,0)),"⚠"&amp;TRIM(K343&amp;"")))</f>
        <v/>
      </c>
      <c r="T343" s="10">
        <f>IF(TRIM(M343&amp;"")="","",IF(ISNUMBER(MATCH(TRIM(M343&amp;""),설정_코드표!$C$2:$C$11,0)),TRIM(M343&amp;""),"⚠"&amp;TRIM(M343&amp;"")))</f>
        <v/>
      </c>
      <c r="U343" s="10">
        <f>IF(TRIM(L343&amp;"")="","",IFERROR(INDEX(설정_코드표!$G$2:$G$101,MATCH(TRIM(L343&amp;""),설정_코드표!$F$2:$F$101,0)),"⚠"&amp;TRIM(L343&amp;"")))</f>
        <v/>
      </c>
      <c r="V343" s="10">
        <f>IF(AND(ISNUMBER(H343),ISNUMBER(I343)),I343-H343+1,"")</f>
        <v/>
      </c>
      <c r="W343" s="17">
        <f>IF(ISNUMBER(H343),MAX(0,MIN(IF(ISNUMBER(I343),I343,EOMONTH(출력_요약!$B$3,0)),EOMONTH(출력_요약!$B$3,0))-MAX(H343,출력_요약!$B$3)+1),0)</f>
        <v/>
      </c>
      <c r="X343" s="10">
        <f>IF(OR(NOT(ISNUMBER(H343)),Q343=""),"",IF(TODAY()&lt;H343,"파견예정",IF(AND(ISNUMBER(I343),TODAY()&gt;I343),"파견종료","파견중")))</f>
        <v/>
      </c>
      <c r="Y343" s="10">
        <f>IF(OR(Q343="",X343=""),"",Q343&amp;"|"&amp;X343)</f>
        <v/>
      </c>
      <c r="Z343" s="10">
        <f>IF(AND(Q343&lt;&gt;"",W343&gt;0),Q343&amp;"|월","")</f>
        <v/>
      </c>
      <c r="AA343" s="10">
        <f>IF(COUNTA(B343:I343,K343:N343)=0,"",IF(Q343="","등록번호 없음",IF(LEFT(R343,1)="⚠","모병원명 미등록",IF(S343="","파견병원 입력",IF(LEFT(S343,1)="⚠","파견병원명 미등록",IF(LEFT(U343,1)="⚠","파견과목 미등록",IF(OR(T343="",LEFT(T343,1)="⚠"),"파견근거 확인",IF(NOT(AND(ISNUMBER(H343),ISNUMBER(I343))),"날짜 형식/누락",IF(I343&lt;H343,"종료일&lt;시작일","")))))))))</f>
        <v/>
      </c>
      <c r="AB343" s="11">
        <f>IF(ISNUMBER(SEARCH("다기관",TRIM(N343&amp;" "&amp;O343))),IFERROR(DATE(VALUE(MID(TRIM(N343&amp;" "&amp;O343),1,4)),VALUE(MID(TRIM(N343&amp;" "&amp;O343),6,2)),VALUE(MID(TRIM(N343&amp;" "&amp;O343),9,2))),IF(ISNUMBER(H343),H343,"")),"")</f>
        <v/>
      </c>
      <c r="AC343" s="11">
        <f>IF(ISNUMBER(SEARCH("다기관",TRIM(N343&amp;" "&amp;O343))),IFERROR(DATE(VALUE(MID(TRIM(N343&amp;" "&amp;O343),12,4)),VALUE(MID(TRIM(N343&amp;" "&amp;O343),17,2)),VALUE(MID(TRIM(N343&amp;" "&amp;O343),20,2))),IF(ISNUMBER(I343),I343,"")),"")</f>
        <v/>
      </c>
      <c r="AD343" s="17">
        <f>IF(AND(ISNUMBER(AB343),ISNUMBER(AC343)),MAX(0,MIN(AC343,EOMONTH(출력_요약!$B$3,0))-MAX(AB343,출력_요약!$B$3)+1),0)</f>
        <v/>
      </c>
      <c r="AE343" s="10">
        <f>IF(AND(Q343&lt;&gt;"",ISNUMBER(AB343)),Q343&amp;"|다기관","")</f>
        <v/>
      </c>
    </row>
    <row r="344">
      <c r="A344" s="15">
        <f>IF(F344="","",ROW()-3)</f>
        <v/>
      </c>
      <c r="B344" s="5" t="n"/>
      <c r="C344" s="15" t="n"/>
      <c r="D344" s="5" t="n"/>
      <c r="E344" s="15" t="n"/>
      <c r="F344" s="5" t="n"/>
      <c r="G344" s="6" t="n"/>
      <c r="H344" s="16" t="n"/>
      <c r="I344" s="16" t="n"/>
      <c r="J344" s="15">
        <f>IF(AND(ISNUMBER(H344),ISNUMBER(I344)),I344-H344+1,"")</f>
        <v/>
      </c>
      <c r="K344" s="5" t="n"/>
      <c r="L344" s="5" t="n"/>
      <c r="M344" s="5" t="n"/>
      <c r="N344" s="5" t="n"/>
      <c r="O344" s="5" t="n"/>
      <c r="Q344" s="10">
        <f>IF(TRIM(G344&amp;"")="","",TRIM(G344&amp;""))</f>
        <v/>
      </c>
      <c r="R344" s="10">
        <f>IF(TRIM(B344&amp;"")="","",IFERROR(INDEX(설정_코드표!$K$2:$K$101,MATCH(TRIM(B344&amp;""),설정_코드표!$J$2:$J$101,0)),"⚠"&amp;TRIM(B344&amp;"")))</f>
        <v/>
      </c>
      <c r="S344" s="10">
        <f>IF(TRIM(K344&amp;"")="","",IFERROR(INDEX(설정_코드표!$K$2:$K$101,MATCH(TRIM(K344&amp;""),설정_코드표!$J$2:$J$101,0)),"⚠"&amp;TRIM(K344&amp;"")))</f>
        <v/>
      </c>
      <c r="T344" s="10">
        <f>IF(TRIM(M344&amp;"")="","",IF(ISNUMBER(MATCH(TRIM(M344&amp;""),설정_코드표!$C$2:$C$11,0)),TRIM(M344&amp;""),"⚠"&amp;TRIM(M344&amp;"")))</f>
        <v/>
      </c>
      <c r="U344" s="10">
        <f>IF(TRIM(L344&amp;"")="","",IFERROR(INDEX(설정_코드표!$G$2:$G$101,MATCH(TRIM(L344&amp;""),설정_코드표!$F$2:$F$101,0)),"⚠"&amp;TRIM(L344&amp;"")))</f>
        <v/>
      </c>
      <c r="V344" s="10">
        <f>IF(AND(ISNUMBER(H344),ISNUMBER(I344)),I344-H344+1,"")</f>
        <v/>
      </c>
      <c r="W344" s="17">
        <f>IF(ISNUMBER(H344),MAX(0,MIN(IF(ISNUMBER(I344),I344,EOMONTH(출력_요약!$B$3,0)),EOMONTH(출력_요약!$B$3,0))-MAX(H344,출력_요약!$B$3)+1),0)</f>
        <v/>
      </c>
      <c r="X344" s="10">
        <f>IF(OR(NOT(ISNUMBER(H344)),Q344=""),"",IF(TODAY()&lt;H344,"파견예정",IF(AND(ISNUMBER(I344),TODAY()&gt;I344),"파견종료","파견중")))</f>
        <v/>
      </c>
      <c r="Y344" s="10">
        <f>IF(OR(Q344="",X344=""),"",Q344&amp;"|"&amp;X344)</f>
        <v/>
      </c>
      <c r="Z344" s="10">
        <f>IF(AND(Q344&lt;&gt;"",W344&gt;0),Q344&amp;"|월","")</f>
        <v/>
      </c>
      <c r="AA344" s="10">
        <f>IF(COUNTA(B344:I344,K344:N344)=0,"",IF(Q344="","등록번호 없음",IF(LEFT(R344,1)="⚠","모병원명 미등록",IF(S344="","파견병원 입력",IF(LEFT(S344,1)="⚠","파견병원명 미등록",IF(LEFT(U344,1)="⚠","파견과목 미등록",IF(OR(T344="",LEFT(T344,1)="⚠"),"파견근거 확인",IF(NOT(AND(ISNUMBER(H344),ISNUMBER(I344))),"날짜 형식/누락",IF(I344&lt;H344,"종료일&lt;시작일","")))))))))</f>
        <v/>
      </c>
      <c r="AB344" s="11">
        <f>IF(ISNUMBER(SEARCH("다기관",TRIM(N344&amp;" "&amp;O344))),IFERROR(DATE(VALUE(MID(TRIM(N344&amp;" "&amp;O344),1,4)),VALUE(MID(TRIM(N344&amp;" "&amp;O344),6,2)),VALUE(MID(TRIM(N344&amp;" "&amp;O344),9,2))),IF(ISNUMBER(H344),H344,"")),"")</f>
        <v/>
      </c>
      <c r="AC344" s="11">
        <f>IF(ISNUMBER(SEARCH("다기관",TRIM(N344&amp;" "&amp;O344))),IFERROR(DATE(VALUE(MID(TRIM(N344&amp;" "&amp;O344),12,4)),VALUE(MID(TRIM(N344&amp;" "&amp;O344),17,2)),VALUE(MID(TRIM(N344&amp;" "&amp;O344),20,2))),IF(ISNUMBER(I344),I344,"")),"")</f>
        <v/>
      </c>
      <c r="AD344" s="17">
        <f>IF(AND(ISNUMBER(AB344),ISNUMBER(AC344)),MAX(0,MIN(AC344,EOMONTH(출력_요약!$B$3,0))-MAX(AB344,출력_요약!$B$3)+1),0)</f>
        <v/>
      </c>
      <c r="AE344" s="10">
        <f>IF(AND(Q344&lt;&gt;"",ISNUMBER(AB344)),Q344&amp;"|다기관","")</f>
        <v/>
      </c>
    </row>
    <row r="345">
      <c r="A345" s="15">
        <f>IF(F345="","",ROW()-3)</f>
        <v/>
      </c>
      <c r="B345" s="5" t="n"/>
      <c r="C345" s="15" t="n"/>
      <c r="D345" s="5" t="n"/>
      <c r="E345" s="15" t="n"/>
      <c r="F345" s="5" t="n"/>
      <c r="G345" s="6" t="n"/>
      <c r="H345" s="16" t="n"/>
      <c r="I345" s="16" t="n"/>
      <c r="J345" s="15">
        <f>IF(AND(ISNUMBER(H345),ISNUMBER(I345)),I345-H345+1,"")</f>
        <v/>
      </c>
      <c r="K345" s="5" t="n"/>
      <c r="L345" s="5" t="n"/>
      <c r="M345" s="5" t="n"/>
      <c r="N345" s="5" t="n"/>
      <c r="O345" s="5" t="n"/>
      <c r="Q345" s="10">
        <f>IF(TRIM(G345&amp;"")="","",TRIM(G345&amp;""))</f>
        <v/>
      </c>
      <c r="R345" s="10">
        <f>IF(TRIM(B345&amp;"")="","",IFERROR(INDEX(설정_코드표!$K$2:$K$101,MATCH(TRIM(B345&amp;""),설정_코드표!$J$2:$J$101,0)),"⚠"&amp;TRIM(B345&amp;"")))</f>
        <v/>
      </c>
      <c r="S345" s="10">
        <f>IF(TRIM(K345&amp;"")="","",IFERROR(INDEX(설정_코드표!$K$2:$K$101,MATCH(TRIM(K345&amp;""),설정_코드표!$J$2:$J$101,0)),"⚠"&amp;TRIM(K345&amp;"")))</f>
        <v/>
      </c>
      <c r="T345" s="10">
        <f>IF(TRIM(M345&amp;"")="","",IF(ISNUMBER(MATCH(TRIM(M345&amp;""),설정_코드표!$C$2:$C$11,0)),TRIM(M345&amp;""),"⚠"&amp;TRIM(M345&amp;"")))</f>
        <v/>
      </c>
      <c r="U345" s="10">
        <f>IF(TRIM(L345&amp;"")="","",IFERROR(INDEX(설정_코드표!$G$2:$G$101,MATCH(TRIM(L345&amp;""),설정_코드표!$F$2:$F$101,0)),"⚠"&amp;TRIM(L345&amp;"")))</f>
        <v/>
      </c>
      <c r="V345" s="10">
        <f>IF(AND(ISNUMBER(H345),ISNUMBER(I345)),I345-H345+1,"")</f>
        <v/>
      </c>
      <c r="W345" s="17">
        <f>IF(ISNUMBER(H345),MAX(0,MIN(IF(ISNUMBER(I345),I345,EOMONTH(출력_요약!$B$3,0)),EOMONTH(출력_요약!$B$3,0))-MAX(H345,출력_요약!$B$3)+1),0)</f>
        <v/>
      </c>
      <c r="X345" s="10">
        <f>IF(OR(NOT(ISNUMBER(H345)),Q345=""),"",IF(TODAY()&lt;H345,"파견예정",IF(AND(ISNUMBER(I345),TODAY()&gt;I345),"파견종료","파견중")))</f>
        <v/>
      </c>
      <c r="Y345" s="10">
        <f>IF(OR(Q345="",X345=""),"",Q345&amp;"|"&amp;X345)</f>
        <v/>
      </c>
      <c r="Z345" s="10">
        <f>IF(AND(Q345&lt;&gt;"",W345&gt;0),Q345&amp;"|월","")</f>
        <v/>
      </c>
      <c r="AA345" s="10">
        <f>IF(COUNTA(B345:I345,K345:N345)=0,"",IF(Q345="","등록번호 없음",IF(LEFT(R345,1)="⚠","모병원명 미등록",IF(S345="","파견병원 입력",IF(LEFT(S345,1)="⚠","파견병원명 미등록",IF(LEFT(U345,1)="⚠","파견과목 미등록",IF(OR(T345="",LEFT(T345,1)="⚠"),"파견근거 확인",IF(NOT(AND(ISNUMBER(H345),ISNUMBER(I345))),"날짜 형식/누락",IF(I345&lt;H345,"종료일&lt;시작일","")))))))))</f>
        <v/>
      </c>
      <c r="AB345" s="11">
        <f>IF(ISNUMBER(SEARCH("다기관",TRIM(N345&amp;" "&amp;O345))),IFERROR(DATE(VALUE(MID(TRIM(N345&amp;" "&amp;O345),1,4)),VALUE(MID(TRIM(N345&amp;" "&amp;O345),6,2)),VALUE(MID(TRIM(N345&amp;" "&amp;O345),9,2))),IF(ISNUMBER(H345),H345,"")),"")</f>
        <v/>
      </c>
      <c r="AC345" s="11">
        <f>IF(ISNUMBER(SEARCH("다기관",TRIM(N345&amp;" "&amp;O345))),IFERROR(DATE(VALUE(MID(TRIM(N345&amp;" "&amp;O345),12,4)),VALUE(MID(TRIM(N345&amp;" "&amp;O345),17,2)),VALUE(MID(TRIM(N345&amp;" "&amp;O345),20,2))),IF(ISNUMBER(I345),I345,"")),"")</f>
        <v/>
      </c>
      <c r="AD345" s="17">
        <f>IF(AND(ISNUMBER(AB345),ISNUMBER(AC345)),MAX(0,MIN(AC345,EOMONTH(출력_요약!$B$3,0))-MAX(AB345,출력_요약!$B$3)+1),0)</f>
        <v/>
      </c>
      <c r="AE345" s="10">
        <f>IF(AND(Q345&lt;&gt;"",ISNUMBER(AB345)),Q345&amp;"|다기관","")</f>
        <v/>
      </c>
    </row>
    <row r="346">
      <c r="A346" s="15">
        <f>IF(F346="","",ROW()-3)</f>
        <v/>
      </c>
      <c r="B346" s="5" t="n"/>
      <c r="C346" s="15" t="n"/>
      <c r="D346" s="5" t="n"/>
      <c r="E346" s="15" t="n"/>
      <c r="F346" s="5" t="n"/>
      <c r="G346" s="6" t="n"/>
      <c r="H346" s="16" t="n"/>
      <c r="I346" s="16" t="n"/>
      <c r="J346" s="15">
        <f>IF(AND(ISNUMBER(H346),ISNUMBER(I346)),I346-H346+1,"")</f>
        <v/>
      </c>
      <c r="K346" s="5" t="n"/>
      <c r="L346" s="5" t="n"/>
      <c r="M346" s="5" t="n"/>
      <c r="N346" s="5" t="n"/>
      <c r="O346" s="5" t="n"/>
      <c r="Q346" s="10">
        <f>IF(TRIM(G346&amp;"")="","",TRIM(G346&amp;""))</f>
        <v/>
      </c>
      <c r="R346" s="10">
        <f>IF(TRIM(B346&amp;"")="","",IFERROR(INDEX(설정_코드표!$K$2:$K$101,MATCH(TRIM(B346&amp;""),설정_코드표!$J$2:$J$101,0)),"⚠"&amp;TRIM(B346&amp;"")))</f>
        <v/>
      </c>
      <c r="S346" s="10">
        <f>IF(TRIM(K346&amp;"")="","",IFERROR(INDEX(설정_코드표!$K$2:$K$101,MATCH(TRIM(K346&amp;""),설정_코드표!$J$2:$J$101,0)),"⚠"&amp;TRIM(K346&amp;"")))</f>
        <v/>
      </c>
      <c r="T346" s="10">
        <f>IF(TRIM(M346&amp;"")="","",IF(ISNUMBER(MATCH(TRIM(M346&amp;""),설정_코드표!$C$2:$C$11,0)),TRIM(M346&amp;""),"⚠"&amp;TRIM(M346&amp;"")))</f>
        <v/>
      </c>
      <c r="U346" s="10">
        <f>IF(TRIM(L346&amp;"")="","",IFERROR(INDEX(설정_코드표!$G$2:$G$101,MATCH(TRIM(L346&amp;""),설정_코드표!$F$2:$F$101,0)),"⚠"&amp;TRIM(L346&amp;"")))</f>
        <v/>
      </c>
      <c r="V346" s="10">
        <f>IF(AND(ISNUMBER(H346),ISNUMBER(I346)),I346-H346+1,"")</f>
        <v/>
      </c>
      <c r="W346" s="17">
        <f>IF(ISNUMBER(H346),MAX(0,MIN(IF(ISNUMBER(I346),I346,EOMONTH(출력_요약!$B$3,0)),EOMONTH(출력_요약!$B$3,0))-MAX(H346,출력_요약!$B$3)+1),0)</f>
        <v/>
      </c>
      <c r="X346" s="10">
        <f>IF(OR(NOT(ISNUMBER(H346)),Q346=""),"",IF(TODAY()&lt;H346,"파견예정",IF(AND(ISNUMBER(I346),TODAY()&gt;I346),"파견종료","파견중")))</f>
        <v/>
      </c>
      <c r="Y346" s="10">
        <f>IF(OR(Q346="",X346=""),"",Q346&amp;"|"&amp;X346)</f>
        <v/>
      </c>
      <c r="Z346" s="10">
        <f>IF(AND(Q346&lt;&gt;"",W346&gt;0),Q346&amp;"|월","")</f>
        <v/>
      </c>
      <c r="AA346" s="10">
        <f>IF(COUNTA(B346:I346,K346:N346)=0,"",IF(Q346="","등록번호 없음",IF(LEFT(R346,1)="⚠","모병원명 미등록",IF(S346="","파견병원 입력",IF(LEFT(S346,1)="⚠","파견병원명 미등록",IF(LEFT(U346,1)="⚠","파견과목 미등록",IF(OR(T346="",LEFT(T346,1)="⚠"),"파견근거 확인",IF(NOT(AND(ISNUMBER(H346),ISNUMBER(I346))),"날짜 형식/누락",IF(I346&lt;H346,"종료일&lt;시작일","")))))))))</f>
        <v/>
      </c>
      <c r="AB346" s="11">
        <f>IF(ISNUMBER(SEARCH("다기관",TRIM(N346&amp;" "&amp;O346))),IFERROR(DATE(VALUE(MID(TRIM(N346&amp;" "&amp;O346),1,4)),VALUE(MID(TRIM(N346&amp;" "&amp;O346),6,2)),VALUE(MID(TRIM(N346&amp;" "&amp;O346),9,2))),IF(ISNUMBER(H346),H346,"")),"")</f>
        <v/>
      </c>
      <c r="AC346" s="11">
        <f>IF(ISNUMBER(SEARCH("다기관",TRIM(N346&amp;" "&amp;O346))),IFERROR(DATE(VALUE(MID(TRIM(N346&amp;" "&amp;O346),12,4)),VALUE(MID(TRIM(N346&amp;" "&amp;O346),17,2)),VALUE(MID(TRIM(N346&amp;" "&amp;O346),20,2))),IF(ISNUMBER(I346),I346,"")),"")</f>
        <v/>
      </c>
      <c r="AD346" s="17">
        <f>IF(AND(ISNUMBER(AB346),ISNUMBER(AC346)),MAX(0,MIN(AC346,EOMONTH(출력_요약!$B$3,0))-MAX(AB346,출력_요약!$B$3)+1),0)</f>
        <v/>
      </c>
      <c r="AE346" s="10">
        <f>IF(AND(Q346&lt;&gt;"",ISNUMBER(AB346)),Q346&amp;"|다기관","")</f>
        <v/>
      </c>
    </row>
    <row r="347">
      <c r="A347" s="15">
        <f>IF(F347="","",ROW()-3)</f>
        <v/>
      </c>
      <c r="B347" s="5" t="n"/>
      <c r="C347" s="15" t="n"/>
      <c r="D347" s="5" t="n"/>
      <c r="E347" s="15" t="n"/>
      <c r="F347" s="5" t="n"/>
      <c r="G347" s="6" t="n"/>
      <c r="H347" s="16" t="n"/>
      <c r="I347" s="16" t="n"/>
      <c r="J347" s="15">
        <f>IF(AND(ISNUMBER(H347),ISNUMBER(I347)),I347-H347+1,"")</f>
        <v/>
      </c>
      <c r="K347" s="5" t="n"/>
      <c r="L347" s="5" t="n"/>
      <c r="M347" s="5" t="n"/>
      <c r="N347" s="5" t="n"/>
      <c r="O347" s="5" t="n"/>
      <c r="Q347" s="10">
        <f>IF(TRIM(G347&amp;"")="","",TRIM(G347&amp;""))</f>
        <v/>
      </c>
      <c r="R347" s="10">
        <f>IF(TRIM(B347&amp;"")="","",IFERROR(INDEX(설정_코드표!$K$2:$K$101,MATCH(TRIM(B347&amp;""),설정_코드표!$J$2:$J$101,0)),"⚠"&amp;TRIM(B347&amp;"")))</f>
        <v/>
      </c>
      <c r="S347" s="10">
        <f>IF(TRIM(K347&amp;"")="","",IFERROR(INDEX(설정_코드표!$K$2:$K$101,MATCH(TRIM(K347&amp;""),설정_코드표!$J$2:$J$101,0)),"⚠"&amp;TRIM(K347&amp;"")))</f>
        <v/>
      </c>
      <c r="T347" s="10">
        <f>IF(TRIM(M347&amp;"")="","",IF(ISNUMBER(MATCH(TRIM(M347&amp;""),설정_코드표!$C$2:$C$11,0)),TRIM(M347&amp;""),"⚠"&amp;TRIM(M347&amp;"")))</f>
        <v/>
      </c>
      <c r="U347" s="10">
        <f>IF(TRIM(L347&amp;"")="","",IFERROR(INDEX(설정_코드표!$G$2:$G$101,MATCH(TRIM(L347&amp;""),설정_코드표!$F$2:$F$101,0)),"⚠"&amp;TRIM(L347&amp;"")))</f>
        <v/>
      </c>
      <c r="V347" s="10">
        <f>IF(AND(ISNUMBER(H347),ISNUMBER(I347)),I347-H347+1,"")</f>
        <v/>
      </c>
      <c r="W347" s="17">
        <f>IF(ISNUMBER(H347),MAX(0,MIN(IF(ISNUMBER(I347),I347,EOMONTH(출력_요약!$B$3,0)),EOMONTH(출력_요약!$B$3,0))-MAX(H347,출력_요약!$B$3)+1),0)</f>
        <v/>
      </c>
      <c r="X347" s="10">
        <f>IF(OR(NOT(ISNUMBER(H347)),Q347=""),"",IF(TODAY()&lt;H347,"파견예정",IF(AND(ISNUMBER(I347),TODAY()&gt;I347),"파견종료","파견중")))</f>
        <v/>
      </c>
      <c r="Y347" s="10">
        <f>IF(OR(Q347="",X347=""),"",Q347&amp;"|"&amp;X347)</f>
        <v/>
      </c>
      <c r="Z347" s="10">
        <f>IF(AND(Q347&lt;&gt;"",W347&gt;0),Q347&amp;"|월","")</f>
        <v/>
      </c>
      <c r="AA347" s="10">
        <f>IF(COUNTA(B347:I347,K347:N347)=0,"",IF(Q347="","등록번호 없음",IF(LEFT(R347,1)="⚠","모병원명 미등록",IF(S347="","파견병원 입력",IF(LEFT(S347,1)="⚠","파견병원명 미등록",IF(LEFT(U347,1)="⚠","파견과목 미등록",IF(OR(T347="",LEFT(T347,1)="⚠"),"파견근거 확인",IF(NOT(AND(ISNUMBER(H347),ISNUMBER(I347))),"날짜 형식/누락",IF(I347&lt;H347,"종료일&lt;시작일","")))))))))</f>
        <v/>
      </c>
      <c r="AB347" s="11">
        <f>IF(ISNUMBER(SEARCH("다기관",TRIM(N347&amp;" "&amp;O347))),IFERROR(DATE(VALUE(MID(TRIM(N347&amp;" "&amp;O347),1,4)),VALUE(MID(TRIM(N347&amp;" "&amp;O347),6,2)),VALUE(MID(TRIM(N347&amp;" "&amp;O347),9,2))),IF(ISNUMBER(H347),H347,"")),"")</f>
        <v/>
      </c>
      <c r="AC347" s="11">
        <f>IF(ISNUMBER(SEARCH("다기관",TRIM(N347&amp;" "&amp;O347))),IFERROR(DATE(VALUE(MID(TRIM(N347&amp;" "&amp;O347),12,4)),VALUE(MID(TRIM(N347&amp;" "&amp;O347),17,2)),VALUE(MID(TRIM(N347&amp;" "&amp;O347),20,2))),IF(ISNUMBER(I347),I347,"")),"")</f>
        <v/>
      </c>
      <c r="AD347" s="17">
        <f>IF(AND(ISNUMBER(AB347),ISNUMBER(AC347)),MAX(0,MIN(AC347,EOMONTH(출력_요약!$B$3,0))-MAX(AB347,출력_요약!$B$3)+1),0)</f>
        <v/>
      </c>
      <c r="AE347" s="10">
        <f>IF(AND(Q347&lt;&gt;"",ISNUMBER(AB347)),Q347&amp;"|다기관","")</f>
        <v/>
      </c>
    </row>
    <row r="348">
      <c r="A348" s="15">
        <f>IF(F348="","",ROW()-3)</f>
        <v/>
      </c>
      <c r="B348" s="5" t="n"/>
      <c r="C348" s="15" t="n"/>
      <c r="D348" s="5" t="n"/>
      <c r="E348" s="15" t="n"/>
      <c r="F348" s="5" t="n"/>
      <c r="G348" s="6" t="n"/>
      <c r="H348" s="16" t="n"/>
      <c r="I348" s="16" t="n"/>
      <c r="J348" s="15">
        <f>IF(AND(ISNUMBER(H348),ISNUMBER(I348)),I348-H348+1,"")</f>
        <v/>
      </c>
      <c r="K348" s="5" t="n"/>
      <c r="L348" s="5" t="n"/>
      <c r="M348" s="5" t="n"/>
      <c r="N348" s="5" t="n"/>
      <c r="O348" s="5" t="n"/>
      <c r="Q348" s="10">
        <f>IF(TRIM(G348&amp;"")="","",TRIM(G348&amp;""))</f>
        <v/>
      </c>
      <c r="R348" s="10">
        <f>IF(TRIM(B348&amp;"")="","",IFERROR(INDEX(설정_코드표!$K$2:$K$101,MATCH(TRIM(B348&amp;""),설정_코드표!$J$2:$J$101,0)),"⚠"&amp;TRIM(B348&amp;"")))</f>
        <v/>
      </c>
      <c r="S348" s="10">
        <f>IF(TRIM(K348&amp;"")="","",IFERROR(INDEX(설정_코드표!$K$2:$K$101,MATCH(TRIM(K348&amp;""),설정_코드표!$J$2:$J$101,0)),"⚠"&amp;TRIM(K348&amp;"")))</f>
        <v/>
      </c>
      <c r="T348" s="10">
        <f>IF(TRIM(M348&amp;"")="","",IF(ISNUMBER(MATCH(TRIM(M348&amp;""),설정_코드표!$C$2:$C$11,0)),TRIM(M348&amp;""),"⚠"&amp;TRIM(M348&amp;"")))</f>
        <v/>
      </c>
      <c r="U348" s="10">
        <f>IF(TRIM(L348&amp;"")="","",IFERROR(INDEX(설정_코드표!$G$2:$G$101,MATCH(TRIM(L348&amp;""),설정_코드표!$F$2:$F$101,0)),"⚠"&amp;TRIM(L348&amp;"")))</f>
        <v/>
      </c>
      <c r="V348" s="10">
        <f>IF(AND(ISNUMBER(H348),ISNUMBER(I348)),I348-H348+1,"")</f>
        <v/>
      </c>
      <c r="W348" s="17">
        <f>IF(ISNUMBER(H348),MAX(0,MIN(IF(ISNUMBER(I348),I348,EOMONTH(출력_요약!$B$3,0)),EOMONTH(출력_요약!$B$3,0))-MAX(H348,출력_요약!$B$3)+1),0)</f>
        <v/>
      </c>
      <c r="X348" s="10">
        <f>IF(OR(NOT(ISNUMBER(H348)),Q348=""),"",IF(TODAY()&lt;H348,"파견예정",IF(AND(ISNUMBER(I348),TODAY()&gt;I348),"파견종료","파견중")))</f>
        <v/>
      </c>
      <c r="Y348" s="10">
        <f>IF(OR(Q348="",X348=""),"",Q348&amp;"|"&amp;X348)</f>
        <v/>
      </c>
      <c r="Z348" s="10">
        <f>IF(AND(Q348&lt;&gt;"",W348&gt;0),Q348&amp;"|월","")</f>
        <v/>
      </c>
      <c r="AA348" s="10">
        <f>IF(COUNTA(B348:I348,K348:N348)=0,"",IF(Q348="","등록번호 없음",IF(LEFT(R348,1)="⚠","모병원명 미등록",IF(S348="","파견병원 입력",IF(LEFT(S348,1)="⚠","파견병원명 미등록",IF(LEFT(U348,1)="⚠","파견과목 미등록",IF(OR(T348="",LEFT(T348,1)="⚠"),"파견근거 확인",IF(NOT(AND(ISNUMBER(H348),ISNUMBER(I348))),"날짜 형식/누락",IF(I348&lt;H348,"종료일&lt;시작일","")))))))))</f>
        <v/>
      </c>
      <c r="AB348" s="11">
        <f>IF(ISNUMBER(SEARCH("다기관",TRIM(N348&amp;" "&amp;O348))),IFERROR(DATE(VALUE(MID(TRIM(N348&amp;" "&amp;O348),1,4)),VALUE(MID(TRIM(N348&amp;" "&amp;O348),6,2)),VALUE(MID(TRIM(N348&amp;" "&amp;O348),9,2))),IF(ISNUMBER(H348),H348,"")),"")</f>
        <v/>
      </c>
      <c r="AC348" s="11">
        <f>IF(ISNUMBER(SEARCH("다기관",TRIM(N348&amp;" "&amp;O348))),IFERROR(DATE(VALUE(MID(TRIM(N348&amp;" "&amp;O348),12,4)),VALUE(MID(TRIM(N348&amp;" "&amp;O348),17,2)),VALUE(MID(TRIM(N348&amp;" "&amp;O348),20,2))),IF(ISNUMBER(I348),I348,"")),"")</f>
        <v/>
      </c>
      <c r="AD348" s="17">
        <f>IF(AND(ISNUMBER(AB348),ISNUMBER(AC348)),MAX(0,MIN(AC348,EOMONTH(출력_요약!$B$3,0))-MAX(AB348,출력_요약!$B$3)+1),0)</f>
        <v/>
      </c>
      <c r="AE348" s="10">
        <f>IF(AND(Q348&lt;&gt;"",ISNUMBER(AB348)),Q348&amp;"|다기관","")</f>
        <v/>
      </c>
    </row>
    <row r="349">
      <c r="A349" s="15">
        <f>IF(F349="","",ROW()-3)</f>
        <v/>
      </c>
      <c r="B349" s="5" t="n"/>
      <c r="C349" s="15" t="n"/>
      <c r="D349" s="5" t="n"/>
      <c r="E349" s="15" t="n"/>
      <c r="F349" s="5" t="n"/>
      <c r="G349" s="6" t="n"/>
      <c r="H349" s="16" t="n"/>
      <c r="I349" s="16" t="n"/>
      <c r="J349" s="15">
        <f>IF(AND(ISNUMBER(H349),ISNUMBER(I349)),I349-H349+1,"")</f>
        <v/>
      </c>
      <c r="K349" s="5" t="n"/>
      <c r="L349" s="5" t="n"/>
      <c r="M349" s="5" t="n"/>
      <c r="N349" s="5" t="n"/>
      <c r="O349" s="5" t="n"/>
      <c r="Q349" s="10">
        <f>IF(TRIM(G349&amp;"")="","",TRIM(G349&amp;""))</f>
        <v/>
      </c>
      <c r="R349" s="10">
        <f>IF(TRIM(B349&amp;"")="","",IFERROR(INDEX(설정_코드표!$K$2:$K$101,MATCH(TRIM(B349&amp;""),설정_코드표!$J$2:$J$101,0)),"⚠"&amp;TRIM(B349&amp;"")))</f>
        <v/>
      </c>
      <c r="S349" s="10">
        <f>IF(TRIM(K349&amp;"")="","",IFERROR(INDEX(설정_코드표!$K$2:$K$101,MATCH(TRIM(K349&amp;""),설정_코드표!$J$2:$J$101,0)),"⚠"&amp;TRIM(K349&amp;"")))</f>
        <v/>
      </c>
      <c r="T349" s="10">
        <f>IF(TRIM(M349&amp;"")="","",IF(ISNUMBER(MATCH(TRIM(M349&amp;""),설정_코드표!$C$2:$C$11,0)),TRIM(M349&amp;""),"⚠"&amp;TRIM(M349&amp;"")))</f>
        <v/>
      </c>
      <c r="U349" s="10">
        <f>IF(TRIM(L349&amp;"")="","",IFERROR(INDEX(설정_코드표!$G$2:$G$101,MATCH(TRIM(L349&amp;""),설정_코드표!$F$2:$F$101,0)),"⚠"&amp;TRIM(L349&amp;"")))</f>
        <v/>
      </c>
      <c r="V349" s="10">
        <f>IF(AND(ISNUMBER(H349),ISNUMBER(I349)),I349-H349+1,"")</f>
        <v/>
      </c>
      <c r="W349" s="17">
        <f>IF(ISNUMBER(H349),MAX(0,MIN(IF(ISNUMBER(I349),I349,EOMONTH(출력_요약!$B$3,0)),EOMONTH(출력_요약!$B$3,0))-MAX(H349,출력_요약!$B$3)+1),0)</f>
        <v/>
      </c>
      <c r="X349" s="10">
        <f>IF(OR(NOT(ISNUMBER(H349)),Q349=""),"",IF(TODAY()&lt;H349,"파견예정",IF(AND(ISNUMBER(I349),TODAY()&gt;I349),"파견종료","파견중")))</f>
        <v/>
      </c>
      <c r="Y349" s="10">
        <f>IF(OR(Q349="",X349=""),"",Q349&amp;"|"&amp;X349)</f>
        <v/>
      </c>
      <c r="Z349" s="10">
        <f>IF(AND(Q349&lt;&gt;"",W349&gt;0),Q349&amp;"|월","")</f>
        <v/>
      </c>
      <c r="AA349" s="10">
        <f>IF(COUNTA(B349:I349,K349:N349)=0,"",IF(Q349="","등록번호 없음",IF(LEFT(R349,1)="⚠","모병원명 미등록",IF(S349="","파견병원 입력",IF(LEFT(S349,1)="⚠","파견병원명 미등록",IF(LEFT(U349,1)="⚠","파견과목 미등록",IF(OR(T349="",LEFT(T349,1)="⚠"),"파견근거 확인",IF(NOT(AND(ISNUMBER(H349),ISNUMBER(I349))),"날짜 형식/누락",IF(I349&lt;H349,"종료일&lt;시작일","")))))))))</f>
        <v/>
      </c>
      <c r="AB349" s="11">
        <f>IF(ISNUMBER(SEARCH("다기관",TRIM(N349&amp;" "&amp;O349))),IFERROR(DATE(VALUE(MID(TRIM(N349&amp;" "&amp;O349),1,4)),VALUE(MID(TRIM(N349&amp;" "&amp;O349),6,2)),VALUE(MID(TRIM(N349&amp;" "&amp;O349),9,2))),IF(ISNUMBER(H349),H349,"")),"")</f>
        <v/>
      </c>
      <c r="AC349" s="11">
        <f>IF(ISNUMBER(SEARCH("다기관",TRIM(N349&amp;" "&amp;O349))),IFERROR(DATE(VALUE(MID(TRIM(N349&amp;" "&amp;O349),12,4)),VALUE(MID(TRIM(N349&amp;" "&amp;O349),17,2)),VALUE(MID(TRIM(N349&amp;" "&amp;O349),20,2))),IF(ISNUMBER(I349),I349,"")),"")</f>
        <v/>
      </c>
      <c r="AD349" s="17">
        <f>IF(AND(ISNUMBER(AB349),ISNUMBER(AC349)),MAX(0,MIN(AC349,EOMONTH(출력_요약!$B$3,0))-MAX(AB349,출력_요약!$B$3)+1),0)</f>
        <v/>
      </c>
      <c r="AE349" s="10">
        <f>IF(AND(Q349&lt;&gt;"",ISNUMBER(AB349)),Q349&amp;"|다기관","")</f>
        <v/>
      </c>
    </row>
    <row r="350">
      <c r="A350" s="15">
        <f>IF(F350="","",ROW()-3)</f>
        <v/>
      </c>
      <c r="B350" s="5" t="n"/>
      <c r="C350" s="15" t="n"/>
      <c r="D350" s="5" t="n"/>
      <c r="E350" s="15" t="n"/>
      <c r="F350" s="5" t="n"/>
      <c r="G350" s="6" t="n"/>
      <c r="H350" s="16" t="n"/>
      <c r="I350" s="16" t="n"/>
      <c r="J350" s="15">
        <f>IF(AND(ISNUMBER(H350),ISNUMBER(I350)),I350-H350+1,"")</f>
        <v/>
      </c>
      <c r="K350" s="5" t="n"/>
      <c r="L350" s="5" t="n"/>
      <c r="M350" s="5" t="n"/>
      <c r="N350" s="5" t="n"/>
      <c r="O350" s="5" t="n"/>
      <c r="Q350" s="10">
        <f>IF(TRIM(G350&amp;"")="","",TRIM(G350&amp;""))</f>
        <v/>
      </c>
      <c r="R350" s="10">
        <f>IF(TRIM(B350&amp;"")="","",IFERROR(INDEX(설정_코드표!$K$2:$K$101,MATCH(TRIM(B350&amp;""),설정_코드표!$J$2:$J$101,0)),"⚠"&amp;TRIM(B350&amp;"")))</f>
        <v/>
      </c>
      <c r="S350" s="10">
        <f>IF(TRIM(K350&amp;"")="","",IFERROR(INDEX(설정_코드표!$K$2:$K$101,MATCH(TRIM(K350&amp;""),설정_코드표!$J$2:$J$101,0)),"⚠"&amp;TRIM(K350&amp;"")))</f>
        <v/>
      </c>
      <c r="T350" s="10">
        <f>IF(TRIM(M350&amp;"")="","",IF(ISNUMBER(MATCH(TRIM(M350&amp;""),설정_코드표!$C$2:$C$11,0)),TRIM(M350&amp;""),"⚠"&amp;TRIM(M350&amp;"")))</f>
        <v/>
      </c>
      <c r="U350" s="10">
        <f>IF(TRIM(L350&amp;"")="","",IFERROR(INDEX(설정_코드표!$G$2:$G$101,MATCH(TRIM(L350&amp;""),설정_코드표!$F$2:$F$101,0)),"⚠"&amp;TRIM(L350&amp;"")))</f>
        <v/>
      </c>
      <c r="V350" s="10">
        <f>IF(AND(ISNUMBER(H350),ISNUMBER(I350)),I350-H350+1,"")</f>
        <v/>
      </c>
      <c r="W350" s="17">
        <f>IF(ISNUMBER(H350),MAX(0,MIN(IF(ISNUMBER(I350),I350,EOMONTH(출력_요약!$B$3,0)),EOMONTH(출력_요약!$B$3,0))-MAX(H350,출력_요약!$B$3)+1),0)</f>
        <v/>
      </c>
      <c r="X350" s="10">
        <f>IF(OR(NOT(ISNUMBER(H350)),Q350=""),"",IF(TODAY()&lt;H350,"파견예정",IF(AND(ISNUMBER(I350),TODAY()&gt;I350),"파견종료","파견중")))</f>
        <v/>
      </c>
      <c r="Y350" s="10">
        <f>IF(OR(Q350="",X350=""),"",Q350&amp;"|"&amp;X350)</f>
        <v/>
      </c>
      <c r="Z350" s="10">
        <f>IF(AND(Q350&lt;&gt;"",W350&gt;0),Q350&amp;"|월","")</f>
        <v/>
      </c>
      <c r="AA350" s="10">
        <f>IF(COUNTA(B350:I350,K350:N350)=0,"",IF(Q350="","등록번호 없음",IF(LEFT(R350,1)="⚠","모병원명 미등록",IF(S350="","파견병원 입력",IF(LEFT(S350,1)="⚠","파견병원명 미등록",IF(LEFT(U350,1)="⚠","파견과목 미등록",IF(OR(T350="",LEFT(T350,1)="⚠"),"파견근거 확인",IF(NOT(AND(ISNUMBER(H350),ISNUMBER(I350))),"날짜 형식/누락",IF(I350&lt;H350,"종료일&lt;시작일","")))))))))</f>
        <v/>
      </c>
      <c r="AB350" s="11">
        <f>IF(ISNUMBER(SEARCH("다기관",TRIM(N350&amp;" "&amp;O350))),IFERROR(DATE(VALUE(MID(TRIM(N350&amp;" "&amp;O350),1,4)),VALUE(MID(TRIM(N350&amp;" "&amp;O350),6,2)),VALUE(MID(TRIM(N350&amp;" "&amp;O350),9,2))),IF(ISNUMBER(H350),H350,"")),"")</f>
        <v/>
      </c>
      <c r="AC350" s="11">
        <f>IF(ISNUMBER(SEARCH("다기관",TRIM(N350&amp;" "&amp;O350))),IFERROR(DATE(VALUE(MID(TRIM(N350&amp;" "&amp;O350),12,4)),VALUE(MID(TRIM(N350&amp;" "&amp;O350),17,2)),VALUE(MID(TRIM(N350&amp;" "&amp;O350),20,2))),IF(ISNUMBER(I350),I350,"")),"")</f>
        <v/>
      </c>
      <c r="AD350" s="17">
        <f>IF(AND(ISNUMBER(AB350),ISNUMBER(AC350)),MAX(0,MIN(AC350,EOMONTH(출력_요약!$B$3,0))-MAX(AB350,출력_요약!$B$3)+1),0)</f>
        <v/>
      </c>
      <c r="AE350" s="10">
        <f>IF(AND(Q350&lt;&gt;"",ISNUMBER(AB350)),Q350&amp;"|다기관","")</f>
        <v/>
      </c>
    </row>
    <row r="351">
      <c r="A351" s="15">
        <f>IF(F351="","",ROW()-3)</f>
        <v/>
      </c>
      <c r="B351" s="5" t="n"/>
      <c r="C351" s="15" t="n"/>
      <c r="D351" s="5" t="n"/>
      <c r="E351" s="15" t="n"/>
      <c r="F351" s="5" t="n"/>
      <c r="G351" s="6" t="n"/>
      <c r="H351" s="16" t="n"/>
      <c r="I351" s="16" t="n"/>
      <c r="J351" s="15">
        <f>IF(AND(ISNUMBER(H351),ISNUMBER(I351)),I351-H351+1,"")</f>
        <v/>
      </c>
      <c r="K351" s="5" t="n"/>
      <c r="L351" s="5" t="n"/>
      <c r="M351" s="5" t="n"/>
      <c r="N351" s="5" t="n"/>
      <c r="O351" s="5" t="n"/>
      <c r="Q351" s="10">
        <f>IF(TRIM(G351&amp;"")="","",TRIM(G351&amp;""))</f>
        <v/>
      </c>
      <c r="R351" s="10">
        <f>IF(TRIM(B351&amp;"")="","",IFERROR(INDEX(설정_코드표!$K$2:$K$101,MATCH(TRIM(B351&amp;""),설정_코드표!$J$2:$J$101,0)),"⚠"&amp;TRIM(B351&amp;"")))</f>
        <v/>
      </c>
      <c r="S351" s="10">
        <f>IF(TRIM(K351&amp;"")="","",IFERROR(INDEX(설정_코드표!$K$2:$K$101,MATCH(TRIM(K351&amp;""),설정_코드표!$J$2:$J$101,0)),"⚠"&amp;TRIM(K351&amp;"")))</f>
        <v/>
      </c>
      <c r="T351" s="10">
        <f>IF(TRIM(M351&amp;"")="","",IF(ISNUMBER(MATCH(TRIM(M351&amp;""),설정_코드표!$C$2:$C$11,0)),TRIM(M351&amp;""),"⚠"&amp;TRIM(M351&amp;"")))</f>
        <v/>
      </c>
      <c r="U351" s="10">
        <f>IF(TRIM(L351&amp;"")="","",IFERROR(INDEX(설정_코드표!$G$2:$G$101,MATCH(TRIM(L351&amp;""),설정_코드표!$F$2:$F$101,0)),"⚠"&amp;TRIM(L351&amp;"")))</f>
        <v/>
      </c>
      <c r="V351" s="10">
        <f>IF(AND(ISNUMBER(H351),ISNUMBER(I351)),I351-H351+1,"")</f>
        <v/>
      </c>
      <c r="W351" s="17">
        <f>IF(ISNUMBER(H351),MAX(0,MIN(IF(ISNUMBER(I351),I351,EOMONTH(출력_요약!$B$3,0)),EOMONTH(출력_요약!$B$3,0))-MAX(H351,출력_요약!$B$3)+1),0)</f>
        <v/>
      </c>
      <c r="X351" s="10">
        <f>IF(OR(NOT(ISNUMBER(H351)),Q351=""),"",IF(TODAY()&lt;H351,"파견예정",IF(AND(ISNUMBER(I351),TODAY()&gt;I351),"파견종료","파견중")))</f>
        <v/>
      </c>
      <c r="Y351" s="10">
        <f>IF(OR(Q351="",X351=""),"",Q351&amp;"|"&amp;X351)</f>
        <v/>
      </c>
      <c r="Z351" s="10">
        <f>IF(AND(Q351&lt;&gt;"",W351&gt;0),Q351&amp;"|월","")</f>
        <v/>
      </c>
      <c r="AA351" s="10">
        <f>IF(COUNTA(B351:I351,K351:N351)=0,"",IF(Q351="","등록번호 없음",IF(LEFT(R351,1)="⚠","모병원명 미등록",IF(S351="","파견병원 입력",IF(LEFT(S351,1)="⚠","파견병원명 미등록",IF(LEFT(U351,1)="⚠","파견과목 미등록",IF(OR(T351="",LEFT(T351,1)="⚠"),"파견근거 확인",IF(NOT(AND(ISNUMBER(H351),ISNUMBER(I351))),"날짜 형식/누락",IF(I351&lt;H351,"종료일&lt;시작일","")))))))))</f>
        <v/>
      </c>
      <c r="AB351" s="11">
        <f>IF(ISNUMBER(SEARCH("다기관",TRIM(N351&amp;" "&amp;O351))),IFERROR(DATE(VALUE(MID(TRIM(N351&amp;" "&amp;O351),1,4)),VALUE(MID(TRIM(N351&amp;" "&amp;O351),6,2)),VALUE(MID(TRIM(N351&amp;" "&amp;O351),9,2))),IF(ISNUMBER(H351),H351,"")),"")</f>
        <v/>
      </c>
      <c r="AC351" s="11">
        <f>IF(ISNUMBER(SEARCH("다기관",TRIM(N351&amp;" "&amp;O351))),IFERROR(DATE(VALUE(MID(TRIM(N351&amp;" "&amp;O351),12,4)),VALUE(MID(TRIM(N351&amp;" "&amp;O351),17,2)),VALUE(MID(TRIM(N351&amp;" "&amp;O351),20,2))),IF(ISNUMBER(I351),I351,"")),"")</f>
        <v/>
      </c>
      <c r="AD351" s="17">
        <f>IF(AND(ISNUMBER(AB351),ISNUMBER(AC351)),MAX(0,MIN(AC351,EOMONTH(출력_요약!$B$3,0))-MAX(AB351,출력_요약!$B$3)+1),0)</f>
        <v/>
      </c>
      <c r="AE351" s="10">
        <f>IF(AND(Q351&lt;&gt;"",ISNUMBER(AB351)),Q351&amp;"|다기관","")</f>
        <v/>
      </c>
    </row>
    <row r="352">
      <c r="A352" s="15">
        <f>IF(F352="","",ROW()-3)</f>
        <v/>
      </c>
      <c r="B352" s="5" t="n"/>
      <c r="C352" s="15" t="n"/>
      <c r="D352" s="5" t="n"/>
      <c r="E352" s="15" t="n"/>
      <c r="F352" s="5" t="n"/>
      <c r="G352" s="6" t="n"/>
      <c r="H352" s="16" t="n"/>
      <c r="I352" s="16" t="n"/>
      <c r="J352" s="15">
        <f>IF(AND(ISNUMBER(H352),ISNUMBER(I352)),I352-H352+1,"")</f>
        <v/>
      </c>
      <c r="K352" s="5" t="n"/>
      <c r="L352" s="5" t="n"/>
      <c r="M352" s="5" t="n"/>
      <c r="N352" s="5" t="n"/>
      <c r="O352" s="5" t="n"/>
      <c r="Q352" s="10">
        <f>IF(TRIM(G352&amp;"")="","",TRIM(G352&amp;""))</f>
        <v/>
      </c>
      <c r="R352" s="10">
        <f>IF(TRIM(B352&amp;"")="","",IFERROR(INDEX(설정_코드표!$K$2:$K$101,MATCH(TRIM(B352&amp;""),설정_코드표!$J$2:$J$101,0)),"⚠"&amp;TRIM(B352&amp;"")))</f>
        <v/>
      </c>
      <c r="S352" s="10">
        <f>IF(TRIM(K352&amp;"")="","",IFERROR(INDEX(설정_코드표!$K$2:$K$101,MATCH(TRIM(K352&amp;""),설정_코드표!$J$2:$J$101,0)),"⚠"&amp;TRIM(K352&amp;"")))</f>
        <v/>
      </c>
      <c r="T352" s="10">
        <f>IF(TRIM(M352&amp;"")="","",IF(ISNUMBER(MATCH(TRIM(M352&amp;""),설정_코드표!$C$2:$C$11,0)),TRIM(M352&amp;""),"⚠"&amp;TRIM(M352&amp;"")))</f>
        <v/>
      </c>
      <c r="U352" s="10">
        <f>IF(TRIM(L352&amp;"")="","",IFERROR(INDEX(설정_코드표!$G$2:$G$101,MATCH(TRIM(L352&amp;""),설정_코드표!$F$2:$F$101,0)),"⚠"&amp;TRIM(L352&amp;"")))</f>
        <v/>
      </c>
      <c r="V352" s="10">
        <f>IF(AND(ISNUMBER(H352),ISNUMBER(I352)),I352-H352+1,"")</f>
        <v/>
      </c>
      <c r="W352" s="17">
        <f>IF(ISNUMBER(H352),MAX(0,MIN(IF(ISNUMBER(I352),I352,EOMONTH(출력_요약!$B$3,0)),EOMONTH(출력_요약!$B$3,0))-MAX(H352,출력_요약!$B$3)+1),0)</f>
        <v/>
      </c>
      <c r="X352" s="10">
        <f>IF(OR(NOT(ISNUMBER(H352)),Q352=""),"",IF(TODAY()&lt;H352,"파견예정",IF(AND(ISNUMBER(I352),TODAY()&gt;I352),"파견종료","파견중")))</f>
        <v/>
      </c>
      <c r="Y352" s="10">
        <f>IF(OR(Q352="",X352=""),"",Q352&amp;"|"&amp;X352)</f>
        <v/>
      </c>
      <c r="Z352" s="10">
        <f>IF(AND(Q352&lt;&gt;"",W352&gt;0),Q352&amp;"|월","")</f>
        <v/>
      </c>
      <c r="AA352" s="10">
        <f>IF(COUNTA(B352:I352,K352:N352)=0,"",IF(Q352="","등록번호 없음",IF(LEFT(R352,1)="⚠","모병원명 미등록",IF(S352="","파견병원 입력",IF(LEFT(S352,1)="⚠","파견병원명 미등록",IF(LEFT(U352,1)="⚠","파견과목 미등록",IF(OR(T352="",LEFT(T352,1)="⚠"),"파견근거 확인",IF(NOT(AND(ISNUMBER(H352),ISNUMBER(I352))),"날짜 형식/누락",IF(I352&lt;H352,"종료일&lt;시작일","")))))))))</f>
        <v/>
      </c>
      <c r="AB352" s="11">
        <f>IF(ISNUMBER(SEARCH("다기관",TRIM(N352&amp;" "&amp;O352))),IFERROR(DATE(VALUE(MID(TRIM(N352&amp;" "&amp;O352),1,4)),VALUE(MID(TRIM(N352&amp;" "&amp;O352),6,2)),VALUE(MID(TRIM(N352&amp;" "&amp;O352),9,2))),IF(ISNUMBER(H352),H352,"")),"")</f>
        <v/>
      </c>
      <c r="AC352" s="11">
        <f>IF(ISNUMBER(SEARCH("다기관",TRIM(N352&amp;" "&amp;O352))),IFERROR(DATE(VALUE(MID(TRIM(N352&amp;" "&amp;O352),12,4)),VALUE(MID(TRIM(N352&amp;" "&amp;O352),17,2)),VALUE(MID(TRIM(N352&amp;" "&amp;O352),20,2))),IF(ISNUMBER(I352),I352,"")),"")</f>
        <v/>
      </c>
      <c r="AD352" s="17">
        <f>IF(AND(ISNUMBER(AB352),ISNUMBER(AC352)),MAX(0,MIN(AC352,EOMONTH(출력_요약!$B$3,0))-MAX(AB352,출력_요약!$B$3)+1),0)</f>
        <v/>
      </c>
      <c r="AE352" s="10">
        <f>IF(AND(Q352&lt;&gt;"",ISNUMBER(AB352)),Q352&amp;"|다기관","")</f>
        <v/>
      </c>
    </row>
    <row r="353">
      <c r="A353" s="15">
        <f>IF(F353="","",ROW()-3)</f>
        <v/>
      </c>
      <c r="B353" s="5" t="n"/>
      <c r="C353" s="15" t="n"/>
      <c r="D353" s="5" t="n"/>
      <c r="E353" s="15" t="n"/>
      <c r="F353" s="5" t="n"/>
      <c r="G353" s="6" t="n"/>
      <c r="H353" s="16" t="n"/>
      <c r="I353" s="16" t="n"/>
      <c r="J353" s="15">
        <f>IF(AND(ISNUMBER(H353),ISNUMBER(I353)),I353-H353+1,"")</f>
        <v/>
      </c>
      <c r="K353" s="5" t="n"/>
      <c r="L353" s="5" t="n"/>
      <c r="M353" s="5" t="n"/>
      <c r="N353" s="5" t="n"/>
      <c r="O353" s="5" t="n"/>
      <c r="Q353" s="10">
        <f>IF(TRIM(G353&amp;"")="","",TRIM(G353&amp;""))</f>
        <v/>
      </c>
      <c r="R353" s="10">
        <f>IF(TRIM(B353&amp;"")="","",IFERROR(INDEX(설정_코드표!$K$2:$K$101,MATCH(TRIM(B353&amp;""),설정_코드표!$J$2:$J$101,0)),"⚠"&amp;TRIM(B353&amp;"")))</f>
        <v/>
      </c>
      <c r="S353" s="10">
        <f>IF(TRIM(K353&amp;"")="","",IFERROR(INDEX(설정_코드표!$K$2:$K$101,MATCH(TRIM(K353&amp;""),설정_코드표!$J$2:$J$101,0)),"⚠"&amp;TRIM(K353&amp;"")))</f>
        <v/>
      </c>
      <c r="T353" s="10">
        <f>IF(TRIM(M353&amp;"")="","",IF(ISNUMBER(MATCH(TRIM(M353&amp;""),설정_코드표!$C$2:$C$11,0)),TRIM(M353&amp;""),"⚠"&amp;TRIM(M353&amp;"")))</f>
        <v/>
      </c>
      <c r="U353" s="10">
        <f>IF(TRIM(L353&amp;"")="","",IFERROR(INDEX(설정_코드표!$G$2:$G$101,MATCH(TRIM(L353&amp;""),설정_코드표!$F$2:$F$101,0)),"⚠"&amp;TRIM(L353&amp;"")))</f>
        <v/>
      </c>
      <c r="V353" s="10">
        <f>IF(AND(ISNUMBER(H353),ISNUMBER(I353)),I353-H353+1,"")</f>
        <v/>
      </c>
      <c r="W353" s="17">
        <f>IF(ISNUMBER(H353),MAX(0,MIN(IF(ISNUMBER(I353),I353,EOMONTH(출력_요약!$B$3,0)),EOMONTH(출력_요약!$B$3,0))-MAX(H353,출력_요약!$B$3)+1),0)</f>
        <v/>
      </c>
      <c r="X353" s="10">
        <f>IF(OR(NOT(ISNUMBER(H353)),Q353=""),"",IF(TODAY()&lt;H353,"파견예정",IF(AND(ISNUMBER(I353),TODAY()&gt;I353),"파견종료","파견중")))</f>
        <v/>
      </c>
      <c r="Y353" s="10">
        <f>IF(OR(Q353="",X353=""),"",Q353&amp;"|"&amp;X353)</f>
        <v/>
      </c>
      <c r="Z353" s="10">
        <f>IF(AND(Q353&lt;&gt;"",W353&gt;0),Q353&amp;"|월","")</f>
        <v/>
      </c>
      <c r="AA353" s="10">
        <f>IF(COUNTA(B353:I353,K353:N353)=0,"",IF(Q353="","등록번호 없음",IF(LEFT(R353,1)="⚠","모병원명 미등록",IF(S353="","파견병원 입력",IF(LEFT(S353,1)="⚠","파견병원명 미등록",IF(LEFT(U353,1)="⚠","파견과목 미등록",IF(OR(T353="",LEFT(T353,1)="⚠"),"파견근거 확인",IF(NOT(AND(ISNUMBER(H353),ISNUMBER(I353))),"날짜 형식/누락",IF(I353&lt;H353,"종료일&lt;시작일","")))))))))</f>
        <v/>
      </c>
      <c r="AB353" s="11">
        <f>IF(ISNUMBER(SEARCH("다기관",TRIM(N353&amp;" "&amp;O353))),IFERROR(DATE(VALUE(MID(TRIM(N353&amp;" "&amp;O353),1,4)),VALUE(MID(TRIM(N353&amp;" "&amp;O353),6,2)),VALUE(MID(TRIM(N353&amp;" "&amp;O353),9,2))),IF(ISNUMBER(H353),H353,"")),"")</f>
        <v/>
      </c>
      <c r="AC353" s="11">
        <f>IF(ISNUMBER(SEARCH("다기관",TRIM(N353&amp;" "&amp;O353))),IFERROR(DATE(VALUE(MID(TRIM(N353&amp;" "&amp;O353),12,4)),VALUE(MID(TRIM(N353&amp;" "&amp;O353),17,2)),VALUE(MID(TRIM(N353&amp;" "&amp;O353),20,2))),IF(ISNUMBER(I353),I353,"")),"")</f>
        <v/>
      </c>
      <c r="AD353" s="17">
        <f>IF(AND(ISNUMBER(AB353),ISNUMBER(AC353)),MAX(0,MIN(AC353,EOMONTH(출력_요약!$B$3,0))-MAX(AB353,출력_요약!$B$3)+1),0)</f>
        <v/>
      </c>
      <c r="AE353" s="10">
        <f>IF(AND(Q353&lt;&gt;"",ISNUMBER(AB353)),Q353&amp;"|다기관","")</f>
        <v/>
      </c>
    </row>
    <row r="354">
      <c r="A354" s="15">
        <f>IF(F354="","",ROW()-3)</f>
        <v/>
      </c>
      <c r="B354" s="5" t="n"/>
      <c r="C354" s="15" t="n"/>
      <c r="D354" s="5" t="n"/>
      <c r="E354" s="15" t="n"/>
      <c r="F354" s="5" t="n"/>
      <c r="G354" s="6" t="n"/>
      <c r="H354" s="16" t="n"/>
      <c r="I354" s="16" t="n"/>
      <c r="J354" s="15">
        <f>IF(AND(ISNUMBER(H354),ISNUMBER(I354)),I354-H354+1,"")</f>
        <v/>
      </c>
      <c r="K354" s="5" t="n"/>
      <c r="L354" s="5" t="n"/>
      <c r="M354" s="5" t="n"/>
      <c r="N354" s="5" t="n"/>
      <c r="O354" s="5" t="n"/>
      <c r="Q354" s="10">
        <f>IF(TRIM(G354&amp;"")="","",TRIM(G354&amp;""))</f>
        <v/>
      </c>
      <c r="R354" s="10">
        <f>IF(TRIM(B354&amp;"")="","",IFERROR(INDEX(설정_코드표!$K$2:$K$101,MATCH(TRIM(B354&amp;""),설정_코드표!$J$2:$J$101,0)),"⚠"&amp;TRIM(B354&amp;"")))</f>
        <v/>
      </c>
      <c r="S354" s="10">
        <f>IF(TRIM(K354&amp;"")="","",IFERROR(INDEX(설정_코드표!$K$2:$K$101,MATCH(TRIM(K354&amp;""),설정_코드표!$J$2:$J$101,0)),"⚠"&amp;TRIM(K354&amp;"")))</f>
        <v/>
      </c>
      <c r="T354" s="10">
        <f>IF(TRIM(M354&amp;"")="","",IF(ISNUMBER(MATCH(TRIM(M354&amp;""),설정_코드표!$C$2:$C$11,0)),TRIM(M354&amp;""),"⚠"&amp;TRIM(M354&amp;"")))</f>
        <v/>
      </c>
      <c r="U354" s="10">
        <f>IF(TRIM(L354&amp;"")="","",IFERROR(INDEX(설정_코드표!$G$2:$G$101,MATCH(TRIM(L354&amp;""),설정_코드표!$F$2:$F$101,0)),"⚠"&amp;TRIM(L354&amp;"")))</f>
        <v/>
      </c>
      <c r="V354" s="10">
        <f>IF(AND(ISNUMBER(H354),ISNUMBER(I354)),I354-H354+1,"")</f>
        <v/>
      </c>
      <c r="W354" s="17">
        <f>IF(ISNUMBER(H354),MAX(0,MIN(IF(ISNUMBER(I354),I354,EOMONTH(출력_요약!$B$3,0)),EOMONTH(출력_요약!$B$3,0))-MAX(H354,출력_요약!$B$3)+1),0)</f>
        <v/>
      </c>
      <c r="X354" s="10">
        <f>IF(OR(NOT(ISNUMBER(H354)),Q354=""),"",IF(TODAY()&lt;H354,"파견예정",IF(AND(ISNUMBER(I354),TODAY()&gt;I354),"파견종료","파견중")))</f>
        <v/>
      </c>
      <c r="Y354" s="10">
        <f>IF(OR(Q354="",X354=""),"",Q354&amp;"|"&amp;X354)</f>
        <v/>
      </c>
      <c r="Z354" s="10">
        <f>IF(AND(Q354&lt;&gt;"",W354&gt;0),Q354&amp;"|월","")</f>
        <v/>
      </c>
      <c r="AA354" s="10">
        <f>IF(COUNTA(B354:I354,K354:N354)=0,"",IF(Q354="","등록번호 없음",IF(LEFT(R354,1)="⚠","모병원명 미등록",IF(S354="","파견병원 입력",IF(LEFT(S354,1)="⚠","파견병원명 미등록",IF(LEFT(U354,1)="⚠","파견과목 미등록",IF(OR(T354="",LEFT(T354,1)="⚠"),"파견근거 확인",IF(NOT(AND(ISNUMBER(H354),ISNUMBER(I354))),"날짜 형식/누락",IF(I354&lt;H354,"종료일&lt;시작일","")))))))))</f>
        <v/>
      </c>
      <c r="AB354" s="11">
        <f>IF(ISNUMBER(SEARCH("다기관",TRIM(N354&amp;" "&amp;O354))),IFERROR(DATE(VALUE(MID(TRIM(N354&amp;" "&amp;O354),1,4)),VALUE(MID(TRIM(N354&amp;" "&amp;O354),6,2)),VALUE(MID(TRIM(N354&amp;" "&amp;O354),9,2))),IF(ISNUMBER(H354),H354,"")),"")</f>
        <v/>
      </c>
      <c r="AC354" s="11">
        <f>IF(ISNUMBER(SEARCH("다기관",TRIM(N354&amp;" "&amp;O354))),IFERROR(DATE(VALUE(MID(TRIM(N354&amp;" "&amp;O354),12,4)),VALUE(MID(TRIM(N354&amp;" "&amp;O354),17,2)),VALUE(MID(TRIM(N354&amp;" "&amp;O354),20,2))),IF(ISNUMBER(I354),I354,"")),"")</f>
        <v/>
      </c>
      <c r="AD354" s="17">
        <f>IF(AND(ISNUMBER(AB354),ISNUMBER(AC354)),MAX(0,MIN(AC354,EOMONTH(출력_요약!$B$3,0))-MAX(AB354,출력_요약!$B$3)+1),0)</f>
        <v/>
      </c>
      <c r="AE354" s="10">
        <f>IF(AND(Q354&lt;&gt;"",ISNUMBER(AB354)),Q354&amp;"|다기관","")</f>
        <v/>
      </c>
    </row>
    <row r="355">
      <c r="A355" s="15">
        <f>IF(F355="","",ROW()-3)</f>
        <v/>
      </c>
      <c r="B355" s="5" t="n"/>
      <c r="C355" s="15" t="n"/>
      <c r="D355" s="5" t="n"/>
      <c r="E355" s="15" t="n"/>
      <c r="F355" s="5" t="n"/>
      <c r="G355" s="6" t="n"/>
      <c r="H355" s="16" t="n"/>
      <c r="I355" s="16" t="n"/>
      <c r="J355" s="15">
        <f>IF(AND(ISNUMBER(H355),ISNUMBER(I355)),I355-H355+1,"")</f>
        <v/>
      </c>
      <c r="K355" s="5" t="n"/>
      <c r="L355" s="5" t="n"/>
      <c r="M355" s="5" t="n"/>
      <c r="N355" s="5" t="n"/>
      <c r="O355" s="5" t="n"/>
      <c r="Q355" s="10">
        <f>IF(TRIM(G355&amp;"")="","",TRIM(G355&amp;""))</f>
        <v/>
      </c>
      <c r="R355" s="10">
        <f>IF(TRIM(B355&amp;"")="","",IFERROR(INDEX(설정_코드표!$K$2:$K$101,MATCH(TRIM(B355&amp;""),설정_코드표!$J$2:$J$101,0)),"⚠"&amp;TRIM(B355&amp;"")))</f>
        <v/>
      </c>
      <c r="S355" s="10">
        <f>IF(TRIM(K355&amp;"")="","",IFERROR(INDEX(설정_코드표!$K$2:$K$101,MATCH(TRIM(K355&amp;""),설정_코드표!$J$2:$J$101,0)),"⚠"&amp;TRIM(K355&amp;"")))</f>
        <v/>
      </c>
      <c r="T355" s="10">
        <f>IF(TRIM(M355&amp;"")="","",IF(ISNUMBER(MATCH(TRIM(M355&amp;""),설정_코드표!$C$2:$C$11,0)),TRIM(M355&amp;""),"⚠"&amp;TRIM(M355&amp;"")))</f>
        <v/>
      </c>
      <c r="U355" s="10">
        <f>IF(TRIM(L355&amp;"")="","",IFERROR(INDEX(설정_코드표!$G$2:$G$101,MATCH(TRIM(L355&amp;""),설정_코드표!$F$2:$F$101,0)),"⚠"&amp;TRIM(L355&amp;"")))</f>
        <v/>
      </c>
      <c r="V355" s="10">
        <f>IF(AND(ISNUMBER(H355),ISNUMBER(I355)),I355-H355+1,"")</f>
        <v/>
      </c>
      <c r="W355" s="17">
        <f>IF(ISNUMBER(H355),MAX(0,MIN(IF(ISNUMBER(I355),I355,EOMONTH(출력_요약!$B$3,0)),EOMONTH(출력_요약!$B$3,0))-MAX(H355,출력_요약!$B$3)+1),0)</f>
        <v/>
      </c>
      <c r="X355" s="10">
        <f>IF(OR(NOT(ISNUMBER(H355)),Q355=""),"",IF(TODAY()&lt;H355,"파견예정",IF(AND(ISNUMBER(I355),TODAY()&gt;I355),"파견종료","파견중")))</f>
        <v/>
      </c>
      <c r="Y355" s="10">
        <f>IF(OR(Q355="",X355=""),"",Q355&amp;"|"&amp;X355)</f>
        <v/>
      </c>
      <c r="Z355" s="10">
        <f>IF(AND(Q355&lt;&gt;"",W355&gt;0),Q355&amp;"|월","")</f>
        <v/>
      </c>
      <c r="AA355" s="10">
        <f>IF(COUNTA(B355:I355,K355:N355)=0,"",IF(Q355="","등록번호 없음",IF(LEFT(R355,1)="⚠","모병원명 미등록",IF(S355="","파견병원 입력",IF(LEFT(S355,1)="⚠","파견병원명 미등록",IF(LEFT(U355,1)="⚠","파견과목 미등록",IF(OR(T355="",LEFT(T355,1)="⚠"),"파견근거 확인",IF(NOT(AND(ISNUMBER(H355),ISNUMBER(I355))),"날짜 형식/누락",IF(I355&lt;H355,"종료일&lt;시작일","")))))))))</f>
        <v/>
      </c>
      <c r="AB355" s="11">
        <f>IF(ISNUMBER(SEARCH("다기관",TRIM(N355&amp;" "&amp;O355))),IFERROR(DATE(VALUE(MID(TRIM(N355&amp;" "&amp;O355),1,4)),VALUE(MID(TRIM(N355&amp;" "&amp;O355),6,2)),VALUE(MID(TRIM(N355&amp;" "&amp;O355),9,2))),IF(ISNUMBER(H355),H355,"")),"")</f>
        <v/>
      </c>
      <c r="AC355" s="11">
        <f>IF(ISNUMBER(SEARCH("다기관",TRIM(N355&amp;" "&amp;O355))),IFERROR(DATE(VALUE(MID(TRIM(N355&amp;" "&amp;O355),12,4)),VALUE(MID(TRIM(N355&amp;" "&amp;O355),17,2)),VALUE(MID(TRIM(N355&amp;" "&amp;O355),20,2))),IF(ISNUMBER(I355),I355,"")),"")</f>
        <v/>
      </c>
      <c r="AD355" s="17">
        <f>IF(AND(ISNUMBER(AB355),ISNUMBER(AC355)),MAX(0,MIN(AC355,EOMONTH(출력_요약!$B$3,0))-MAX(AB355,출력_요약!$B$3)+1),0)</f>
        <v/>
      </c>
      <c r="AE355" s="10">
        <f>IF(AND(Q355&lt;&gt;"",ISNUMBER(AB355)),Q355&amp;"|다기관","")</f>
        <v/>
      </c>
    </row>
    <row r="356">
      <c r="A356" s="15">
        <f>IF(F356="","",ROW()-3)</f>
        <v/>
      </c>
      <c r="B356" s="5" t="n"/>
      <c r="C356" s="15" t="n"/>
      <c r="D356" s="5" t="n"/>
      <c r="E356" s="15" t="n"/>
      <c r="F356" s="5" t="n"/>
      <c r="G356" s="6" t="n"/>
      <c r="H356" s="16" t="n"/>
      <c r="I356" s="16" t="n"/>
      <c r="J356" s="15">
        <f>IF(AND(ISNUMBER(H356),ISNUMBER(I356)),I356-H356+1,"")</f>
        <v/>
      </c>
      <c r="K356" s="5" t="n"/>
      <c r="L356" s="5" t="n"/>
      <c r="M356" s="5" t="n"/>
      <c r="N356" s="5" t="n"/>
      <c r="O356" s="5" t="n"/>
      <c r="Q356" s="10">
        <f>IF(TRIM(G356&amp;"")="","",TRIM(G356&amp;""))</f>
        <v/>
      </c>
      <c r="R356" s="10">
        <f>IF(TRIM(B356&amp;"")="","",IFERROR(INDEX(설정_코드표!$K$2:$K$101,MATCH(TRIM(B356&amp;""),설정_코드표!$J$2:$J$101,0)),"⚠"&amp;TRIM(B356&amp;"")))</f>
        <v/>
      </c>
      <c r="S356" s="10">
        <f>IF(TRIM(K356&amp;"")="","",IFERROR(INDEX(설정_코드표!$K$2:$K$101,MATCH(TRIM(K356&amp;""),설정_코드표!$J$2:$J$101,0)),"⚠"&amp;TRIM(K356&amp;"")))</f>
        <v/>
      </c>
      <c r="T356" s="10">
        <f>IF(TRIM(M356&amp;"")="","",IF(ISNUMBER(MATCH(TRIM(M356&amp;""),설정_코드표!$C$2:$C$11,0)),TRIM(M356&amp;""),"⚠"&amp;TRIM(M356&amp;"")))</f>
        <v/>
      </c>
      <c r="U356" s="10">
        <f>IF(TRIM(L356&amp;"")="","",IFERROR(INDEX(설정_코드표!$G$2:$G$101,MATCH(TRIM(L356&amp;""),설정_코드표!$F$2:$F$101,0)),"⚠"&amp;TRIM(L356&amp;"")))</f>
        <v/>
      </c>
      <c r="V356" s="10">
        <f>IF(AND(ISNUMBER(H356),ISNUMBER(I356)),I356-H356+1,"")</f>
        <v/>
      </c>
      <c r="W356" s="17">
        <f>IF(ISNUMBER(H356),MAX(0,MIN(IF(ISNUMBER(I356),I356,EOMONTH(출력_요약!$B$3,0)),EOMONTH(출력_요약!$B$3,0))-MAX(H356,출력_요약!$B$3)+1),0)</f>
        <v/>
      </c>
      <c r="X356" s="10">
        <f>IF(OR(NOT(ISNUMBER(H356)),Q356=""),"",IF(TODAY()&lt;H356,"파견예정",IF(AND(ISNUMBER(I356),TODAY()&gt;I356),"파견종료","파견중")))</f>
        <v/>
      </c>
      <c r="Y356" s="10">
        <f>IF(OR(Q356="",X356=""),"",Q356&amp;"|"&amp;X356)</f>
        <v/>
      </c>
      <c r="Z356" s="10">
        <f>IF(AND(Q356&lt;&gt;"",W356&gt;0),Q356&amp;"|월","")</f>
        <v/>
      </c>
      <c r="AA356" s="10">
        <f>IF(COUNTA(B356:I356,K356:N356)=0,"",IF(Q356="","등록번호 없음",IF(LEFT(R356,1)="⚠","모병원명 미등록",IF(S356="","파견병원 입력",IF(LEFT(S356,1)="⚠","파견병원명 미등록",IF(LEFT(U356,1)="⚠","파견과목 미등록",IF(OR(T356="",LEFT(T356,1)="⚠"),"파견근거 확인",IF(NOT(AND(ISNUMBER(H356),ISNUMBER(I356))),"날짜 형식/누락",IF(I356&lt;H356,"종료일&lt;시작일","")))))))))</f>
        <v/>
      </c>
      <c r="AB356" s="11">
        <f>IF(ISNUMBER(SEARCH("다기관",TRIM(N356&amp;" "&amp;O356))),IFERROR(DATE(VALUE(MID(TRIM(N356&amp;" "&amp;O356),1,4)),VALUE(MID(TRIM(N356&amp;" "&amp;O356),6,2)),VALUE(MID(TRIM(N356&amp;" "&amp;O356),9,2))),IF(ISNUMBER(H356),H356,"")),"")</f>
        <v/>
      </c>
      <c r="AC356" s="11">
        <f>IF(ISNUMBER(SEARCH("다기관",TRIM(N356&amp;" "&amp;O356))),IFERROR(DATE(VALUE(MID(TRIM(N356&amp;" "&amp;O356),12,4)),VALUE(MID(TRIM(N356&amp;" "&amp;O356),17,2)),VALUE(MID(TRIM(N356&amp;" "&amp;O356),20,2))),IF(ISNUMBER(I356),I356,"")),"")</f>
        <v/>
      </c>
      <c r="AD356" s="17">
        <f>IF(AND(ISNUMBER(AB356),ISNUMBER(AC356)),MAX(0,MIN(AC356,EOMONTH(출력_요약!$B$3,0))-MAX(AB356,출력_요약!$B$3)+1),0)</f>
        <v/>
      </c>
      <c r="AE356" s="10">
        <f>IF(AND(Q356&lt;&gt;"",ISNUMBER(AB356)),Q356&amp;"|다기관","")</f>
        <v/>
      </c>
    </row>
    <row r="357">
      <c r="A357" s="15">
        <f>IF(F357="","",ROW()-3)</f>
        <v/>
      </c>
      <c r="B357" s="5" t="n"/>
      <c r="C357" s="15" t="n"/>
      <c r="D357" s="5" t="n"/>
      <c r="E357" s="15" t="n"/>
      <c r="F357" s="5" t="n"/>
      <c r="G357" s="6" t="n"/>
      <c r="H357" s="16" t="n"/>
      <c r="I357" s="16" t="n"/>
      <c r="J357" s="15">
        <f>IF(AND(ISNUMBER(H357),ISNUMBER(I357)),I357-H357+1,"")</f>
        <v/>
      </c>
      <c r="K357" s="5" t="n"/>
      <c r="L357" s="5" t="n"/>
      <c r="M357" s="5" t="n"/>
      <c r="N357" s="5" t="n"/>
      <c r="O357" s="5" t="n"/>
      <c r="Q357" s="10">
        <f>IF(TRIM(G357&amp;"")="","",TRIM(G357&amp;""))</f>
        <v/>
      </c>
      <c r="R357" s="10">
        <f>IF(TRIM(B357&amp;"")="","",IFERROR(INDEX(설정_코드표!$K$2:$K$101,MATCH(TRIM(B357&amp;""),설정_코드표!$J$2:$J$101,0)),"⚠"&amp;TRIM(B357&amp;"")))</f>
        <v/>
      </c>
      <c r="S357" s="10">
        <f>IF(TRIM(K357&amp;"")="","",IFERROR(INDEX(설정_코드표!$K$2:$K$101,MATCH(TRIM(K357&amp;""),설정_코드표!$J$2:$J$101,0)),"⚠"&amp;TRIM(K357&amp;"")))</f>
        <v/>
      </c>
      <c r="T357" s="10">
        <f>IF(TRIM(M357&amp;"")="","",IF(ISNUMBER(MATCH(TRIM(M357&amp;""),설정_코드표!$C$2:$C$11,0)),TRIM(M357&amp;""),"⚠"&amp;TRIM(M357&amp;"")))</f>
        <v/>
      </c>
      <c r="U357" s="10">
        <f>IF(TRIM(L357&amp;"")="","",IFERROR(INDEX(설정_코드표!$G$2:$G$101,MATCH(TRIM(L357&amp;""),설정_코드표!$F$2:$F$101,0)),"⚠"&amp;TRIM(L357&amp;"")))</f>
        <v/>
      </c>
      <c r="V357" s="10">
        <f>IF(AND(ISNUMBER(H357),ISNUMBER(I357)),I357-H357+1,"")</f>
        <v/>
      </c>
      <c r="W357" s="17">
        <f>IF(ISNUMBER(H357),MAX(0,MIN(IF(ISNUMBER(I357),I357,EOMONTH(출력_요약!$B$3,0)),EOMONTH(출력_요약!$B$3,0))-MAX(H357,출력_요약!$B$3)+1),0)</f>
        <v/>
      </c>
      <c r="X357" s="10">
        <f>IF(OR(NOT(ISNUMBER(H357)),Q357=""),"",IF(TODAY()&lt;H357,"파견예정",IF(AND(ISNUMBER(I357),TODAY()&gt;I357),"파견종료","파견중")))</f>
        <v/>
      </c>
      <c r="Y357" s="10">
        <f>IF(OR(Q357="",X357=""),"",Q357&amp;"|"&amp;X357)</f>
        <v/>
      </c>
      <c r="Z357" s="10">
        <f>IF(AND(Q357&lt;&gt;"",W357&gt;0),Q357&amp;"|월","")</f>
        <v/>
      </c>
      <c r="AA357" s="10">
        <f>IF(COUNTA(B357:I357,K357:N357)=0,"",IF(Q357="","등록번호 없음",IF(LEFT(R357,1)="⚠","모병원명 미등록",IF(S357="","파견병원 입력",IF(LEFT(S357,1)="⚠","파견병원명 미등록",IF(LEFT(U357,1)="⚠","파견과목 미등록",IF(OR(T357="",LEFT(T357,1)="⚠"),"파견근거 확인",IF(NOT(AND(ISNUMBER(H357),ISNUMBER(I357))),"날짜 형식/누락",IF(I357&lt;H357,"종료일&lt;시작일","")))))))))</f>
        <v/>
      </c>
      <c r="AB357" s="11">
        <f>IF(ISNUMBER(SEARCH("다기관",TRIM(N357&amp;" "&amp;O357))),IFERROR(DATE(VALUE(MID(TRIM(N357&amp;" "&amp;O357),1,4)),VALUE(MID(TRIM(N357&amp;" "&amp;O357),6,2)),VALUE(MID(TRIM(N357&amp;" "&amp;O357),9,2))),IF(ISNUMBER(H357),H357,"")),"")</f>
        <v/>
      </c>
      <c r="AC357" s="11">
        <f>IF(ISNUMBER(SEARCH("다기관",TRIM(N357&amp;" "&amp;O357))),IFERROR(DATE(VALUE(MID(TRIM(N357&amp;" "&amp;O357),12,4)),VALUE(MID(TRIM(N357&amp;" "&amp;O357),17,2)),VALUE(MID(TRIM(N357&amp;" "&amp;O357),20,2))),IF(ISNUMBER(I357),I357,"")),"")</f>
        <v/>
      </c>
      <c r="AD357" s="17">
        <f>IF(AND(ISNUMBER(AB357),ISNUMBER(AC357)),MAX(0,MIN(AC357,EOMONTH(출력_요약!$B$3,0))-MAX(AB357,출력_요약!$B$3)+1),0)</f>
        <v/>
      </c>
      <c r="AE357" s="10">
        <f>IF(AND(Q357&lt;&gt;"",ISNUMBER(AB357)),Q357&amp;"|다기관","")</f>
        <v/>
      </c>
    </row>
    <row r="358">
      <c r="A358" s="15">
        <f>IF(F358="","",ROW()-3)</f>
        <v/>
      </c>
      <c r="B358" s="5" t="n"/>
      <c r="C358" s="15" t="n"/>
      <c r="D358" s="5" t="n"/>
      <c r="E358" s="15" t="n"/>
      <c r="F358" s="5" t="n"/>
      <c r="G358" s="6" t="n"/>
      <c r="H358" s="16" t="n"/>
      <c r="I358" s="16" t="n"/>
      <c r="J358" s="15">
        <f>IF(AND(ISNUMBER(H358),ISNUMBER(I358)),I358-H358+1,"")</f>
        <v/>
      </c>
      <c r="K358" s="5" t="n"/>
      <c r="L358" s="5" t="n"/>
      <c r="M358" s="5" t="n"/>
      <c r="N358" s="5" t="n"/>
      <c r="O358" s="5" t="n"/>
      <c r="Q358" s="10">
        <f>IF(TRIM(G358&amp;"")="","",TRIM(G358&amp;""))</f>
        <v/>
      </c>
      <c r="R358" s="10">
        <f>IF(TRIM(B358&amp;"")="","",IFERROR(INDEX(설정_코드표!$K$2:$K$101,MATCH(TRIM(B358&amp;""),설정_코드표!$J$2:$J$101,0)),"⚠"&amp;TRIM(B358&amp;"")))</f>
        <v/>
      </c>
      <c r="S358" s="10">
        <f>IF(TRIM(K358&amp;"")="","",IFERROR(INDEX(설정_코드표!$K$2:$K$101,MATCH(TRIM(K358&amp;""),설정_코드표!$J$2:$J$101,0)),"⚠"&amp;TRIM(K358&amp;"")))</f>
        <v/>
      </c>
      <c r="T358" s="10">
        <f>IF(TRIM(M358&amp;"")="","",IF(ISNUMBER(MATCH(TRIM(M358&amp;""),설정_코드표!$C$2:$C$11,0)),TRIM(M358&amp;""),"⚠"&amp;TRIM(M358&amp;"")))</f>
        <v/>
      </c>
      <c r="U358" s="10">
        <f>IF(TRIM(L358&amp;"")="","",IFERROR(INDEX(설정_코드표!$G$2:$G$101,MATCH(TRIM(L358&amp;""),설정_코드표!$F$2:$F$101,0)),"⚠"&amp;TRIM(L358&amp;"")))</f>
        <v/>
      </c>
      <c r="V358" s="10">
        <f>IF(AND(ISNUMBER(H358),ISNUMBER(I358)),I358-H358+1,"")</f>
        <v/>
      </c>
      <c r="W358" s="17">
        <f>IF(ISNUMBER(H358),MAX(0,MIN(IF(ISNUMBER(I358),I358,EOMONTH(출력_요약!$B$3,0)),EOMONTH(출력_요약!$B$3,0))-MAX(H358,출력_요약!$B$3)+1),0)</f>
        <v/>
      </c>
      <c r="X358" s="10">
        <f>IF(OR(NOT(ISNUMBER(H358)),Q358=""),"",IF(TODAY()&lt;H358,"파견예정",IF(AND(ISNUMBER(I358),TODAY()&gt;I358),"파견종료","파견중")))</f>
        <v/>
      </c>
      <c r="Y358" s="10">
        <f>IF(OR(Q358="",X358=""),"",Q358&amp;"|"&amp;X358)</f>
        <v/>
      </c>
      <c r="Z358" s="10">
        <f>IF(AND(Q358&lt;&gt;"",W358&gt;0),Q358&amp;"|월","")</f>
        <v/>
      </c>
      <c r="AA358" s="10">
        <f>IF(COUNTA(B358:I358,K358:N358)=0,"",IF(Q358="","등록번호 없음",IF(LEFT(R358,1)="⚠","모병원명 미등록",IF(S358="","파견병원 입력",IF(LEFT(S358,1)="⚠","파견병원명 미등록",IF(LEFT(U358,1)="⚠","파견과목 미등록",IF(OR(T358="",LEFT(T358,1)="⚠"),"파견근거 확인",IF(NOT(AND(ISNUMBER(H358),ISNUMBER(I358))),"날짜 형식/누락",IF(I358&lt;H358,"종료일&lt;시작일","")))))))))</f>
        <v/>
      </c>
      <c r="AB358" s="11">
        <f>IF(ISNUMBER(SEARCH("다기관",TRIM(N358&amp;" "&amp;O358))),IFERROR(DATE(VALUE(MID(TRIM(N358&amp;" "&amp;O358),1,4)),VALUE(MID(TRIM(N358&amp;" "&amp;O358),6,2)),VALUE(MID(TRIM(N358&amp;" "&amp;O358),9,2))),IF(ISNUMBER(H358),H358,"")),"")</f>
        <v/>
      </c>
      <c r="AC358" s="11">
        <f>IF(ISNUMBER(SEARCH("다기관",TRIM(N358&amp;" "&amp;O358))),IFERROR(DATE(VALUE(MID(TRIM(N358&amp;" "&amp;O358),12,4)),VALUE(MID(TRIM(N358&amp;" "&amp;O358),17,2)),VALUE(MID(TRIM(N358&amp;" "&amp;O358),20,2))),IF(ISNUMBER(I358),I358,"")),"")</f>
        <v/>
      </c>
      <c r="AD358" s="17">
        <f>IF(AND(ISNUMBER(AB358),ISNUMBER(AC358)),MAX(0,MIN(AC358,EOMONTH(출력_요약!$B$3,0))-MAX(AB358,출력_요약!$B$3)+1),0)</f>
        <v/>
      </c>
      <c r="AE358" s="10">
        <f>IF(AND(Q358&lt;&gt;"",ISNUMBER(AB358)),Q358&amp;"|다기관","")</f>
        <v/>
      </c>
    </row>
    <row r="359">
      <c r="A359" s="15">
        <f>IF(F359="","",ROW()-3)</f>
        <v/>
      </c>
      <c r="B359" s="5" t="n"/>
      <c r="C359" s="15" t="n"/>
      <c r="D359" s="5" t="n"/>
      <c r="E359" s="15" t="n"/>
      <c r="F359" s="5" t="n"/>
      <c r="G359" s="6" t="n"/>
      <c r="H359" s="16" t="n"/>
      <c r="I359" s="16" t="n"/>
      <c r="J359" s="15">
        <f>IF(AND(ISNUMBER(H359),ISNUMBER(I359)),I359-H359+1,"")</f>
        <v/>
      </c>
      <c r="K359" s="5" t="n"/>
      <c r="L359" s="5" t="n"/>
      <c r="M359" s="5" t="n"/>
      <c r="N359" s="5" t="n"/>
      <c r="O359" s="5" t="n"/>
      <c r="Q359" s="10">
        <f>IF(TRIM(G359&amp;"")="","",TRIM(G359&amp;""))</f>
        <v/>
      </c>
      <c r="R359" s="10">
        <f>IF(TRIM(B359&amp;"")="","",IFERROR(INDEX(설정_코드표!$K$2:$K$101,MATCH(TRIM(B359&amp;""),설정_코드표!$J$2:$J$101,0)),"⚠"&amp;TRIM(B359&amp;"")))</f>
        <v/>
      </c>
      <c r="S359" s="10">
        <f>IF(TRIM(K359&amp;"")="","",IFERROR(INDEX(설정_코드표!$K$2:$K$101,MATCH(TRIM(K359&amp;""),설정_코드표!$J$2:$J$101,0)),"⚠"&amp;TRIM(K359&amp;"")))</f>
        <v/>
      </c>
      <c r="T359" s="10">
        <f>IF(TRIM(M359&amp;"")="","",IF(ISNUMBER(MATCH(TRIM(M359&amp;""),설정_코드표!$C$2:$C$11,0)),TRIM(M359&amp;""),"⚠"&amp;TRIM(M359&amp;"")))</f>
        <v/>
      </c>
      <c r="U359" s="10">
        <f>IF(TRIM(L359&amp;"")="","",IFERROR(INDEX(설정_코드표!$G$2:$G$101,MATCH(TRIM(L359&amp;""),설정_코드표!$F$2:$F$101,0)),"⚠"&amp;TRIM(L359&amp;"")))</f>
        <v/>
      </c>
      <c r="V359" s="10">
        <f>IF(AND(ISNUMBER(H359),ISNUMBER(I359)),I359-H359+1,"")</f>
        <v/>
      </c>
      <c r="W359" s="17">
        <f>IF(ISNUMBER(H359),MAX(0,MIN(IF(ISNUMBER(I359),I359,EOMONTH(출력_요약!$B$3,0)),EOMONTH(출력_요약!$B$3,0))-MAX(H359,출력_요약!$B$3)+1),0)</f>
        <v/>
      </c>
      <c r="X359" s="10">
        <f>IF(OR(NOT(ISNUMBER(H359)),Q359=""),"",IF(TODAY()&lt;H359,"파견예정",IF(AND(ISNUMBER(I359),TODAY()&gt;I359),"파견종료","파견중")))</f>
        <v/>
      </c>
      <c r="Y359" s="10">
        <f>IF(OR(Q359="",X359=""),"",Q359&amp;"|"&amp;X359)</f>
        <v/>
      </c>
      <c r="Z359" s="10">
        <f>IF(AND(Q359&lt;&gt;"",W359&gt;0),Q359&amp;"|월","")</f>
        <v/>
      </c>
      <c r="AA359" s="10">
        <f>IF(COUNTA(B359:I359,K359:N359)=0,"",IF(Q359="","등록번호 없음",IF(LEFT(R359,1)="⚠","모병원명 미등록",IF(S359="","파견병원 입력",IF(LEFT(S359,1)="⚠","파견병원명 미등록",IF(LEFT(U359,1)="⚠","파견과목 미등록",IF(OR(T359="",LEFT(T359,1)="⚠"),"파견근거 확인",IF(NOT(AND(ISNUMBER(H359),ISNUMBER(I359))),"날짜 형식/누락",IF(I359&lt;H359,"종료일&lt;시작일","")))))))))</f>
        <v/>
      </c>
      <c r="AB359" s="11">
        <f>IF(ISNUMBER(SEARCH("다기관",TRIM(N359&amp;" "&amp;O359))),IFERROR(DATE(VALUE(MID(TRIM(N359&amp;" "&amp;O359),1,4)),VALUE(MID(TRIM(N359&amp;" "&amp;O359),6,2)),VALUE(MID(TRIM(N359&amp;" "&amp;O359),9,2))),IF(ISNUMBER(H359),H359,"")),"")</f>
        <v/>
      </c>
      <c r="AC359" s="11">
        <f>IF(ISNUMBER(SEARCH("다기관",TRIM(N359&amp;" "&amp;O359))),IFERROR(DATE(VALUE(MID(TRIM(N359&amp;" "&amp;O359),12,4)),VALUE(MID(TRIM(N359&amp;" "&amp;O359),17,2)),VALUE(MID(TRIM(N359&amp;" "&amp;O359),20,2))),IF(ISNUMBER(I359),I359,"")),"")</f>
        <v/>
      </c>
      <c r="AD359" s="17">
        <f>IF(AND(ISNUMBER(AB359),ISNUMBER(AC359)),MAX(0,MIN(AC359,EOMONTH(출력_요약!$B$3,0))-MAX(AB359,출력_요약!$B$3)+1),0)</f>
        <v/>
      </c>
      <c r="AE359" s="10">
        <f>IF(AND(Q359&lt;&gt;"",ISNUMBER(AB359)),Q359&amp;"|다기관","")</f>
        <v/>
      </c>
    </row>
    <row r="360">
      <c r="A360" s="15">
        <f>IF(F360="","",ROW()-3)</f>
        <v/>
      </c>
      <c r="B360" s="5" t="n"/>
      <c r="C360" s="15" t="n"/>
      <c r="D360" s="5" t="n"/>
      <c r="E360" s="15" t="n"/>
      <c r="F360" s="5" t="n"/>
      <c r="G360" s="6" t="n"/>
      <c r="H360" s="16" t="n"/>
      <c r="I360" s="16" t="n"/>
      <c r="J360" s="15">
        <f>IF(AND(ISNUMBER(H360),ISNUMBER(I360)),I360-H360+1,"")</f>
        <v/>
      </c>
      <c r="K360" s="5" t="n"/>
      <c r="L360" s="5" t="n"/>
      <c r="M360" s="5" t="n"/>
      <c r="N360" s="5" t="n"/>
      <c r="O360" s="5" t="n"/>
      <c r="Q360" s="10">
        <f>IF(TRIM(G360&amp;"")="","",TRIM(G360&amp;""))</f>
        <v/>
      </c>
      <c r="R360" s="10">
        <f>IF(TRIM(B360&amp;"")="","",IFERROR(INDEX(설정_코드표!$K$2:$K$101,MATCH(TRIM(B360&amp;""),설정_코드표!$J$2:$J$101,0)),"⚠"&amp;TRIM(B360&amp;"")))</f>
        <v/>
      </c>
      <c r="S360" s="10">
        <f>IF(TRIM(K360&amp;"")="","",IFERROR(INDEX(설정_코드표!$K$2:$K$101,MATCH(TRIM(K360&amp;""),설정_코드표!$J$2:$J$101,0)),"⚠"&amp;TRIM(K360&amp;"")))</f>
        <v/>
      </c>
      <c r="T360" s="10">
        <f>IF(TRIM(M360&amp;"")="","",IF(ISNUMBER(MATCH(TRIM(M360&amp;""),설정_코드표!$C$2:$C$11,0)),TRIM(M360&amp;""),"⚠"&amp;TRIM(M360&amp;"")))</f>
        <v/>
      </c>
      <c r="U360" s="10">
        <f>IF(TRIM(L360&amp;"")="","",IFERROR(INDEX(설정_코드표!$G$2:$G$101,MATCH(TRIM(L360&amp;""),설정_코드표!$F$2:$F$101,0)),"⚠"&amp;TRIM(L360&amp;"")))</f>
        <v/>
      </c>
      <c r="V360" s="10">
        <f>IF(AND(ISNUMBER(H360),ISNUMBER(I360)),I360-H360+1,"")</f>
        <v/>
      </c>
      <c r="W360" s="17">
        <f>IF(ISNUMBER(H360),MAX(0,MIN(IF(ISNUMBER(I360),I360,EOMONTH(출력_요약!$B$3,0)),EOMONTH(출력_요약!$B$3,0))-MAX(H360,출력_요약!$B$3)+1),0)</f>
        <v/>
      </c>
      <c r="X360" s="10">
        <f>IF(OR(NOT(ISNUMBER(H360)),Q360=""),"",IF(TODAY()&lt;H360,"파견예정",IF(AND(ISNUMBER(I360),TODAY()&gt;I360),"파견종료","파견중")))</f>
        <v/>
      </c>
      <c r="Y360" s="10">
        <f>IF(OR(Q360="",X360=""),"",Q360&amp;"|"&amp;X360)</f>
        <v/>
      </c>
      <c r="Z360" s="10">
        <f>IF(AND(Q360&lt;&gt;"",W360&gt;0),Q360&amp;"|월","")</f>
        <v/>
      </c>
      <c r="AA360" s="10">
        <f>IF(COUNTA(B360:I360,K360:N360)=0,"",IF(Q360="","등록번호 없음",IF(LEFT(R360,1)="⚠","모병원명 미등록",IF(S360="","파견병원 입력",IF(LEFT(S360,1)="⚠","파견병원명 미등록",IF(LEFT(U360,1)="⚠","파견과목 미등록",IF(OR(T360="",LEFT(T360,1)="⚠"),"파견근거 확인",IF(NOT(AND(ISNUMBER(H360),ISNUMBER(I360))),"날짜 형식/누락",IF(I360&lt;H360,"종료일&lt;시작일","")))))))))</f>
        <v/>
      </c>
      <c r="AB360" s="11">
        <f>IF(ISNUMBER(SEARCH("다기관",TRIM(N360&amp;" "&amp;O360))),IFERROR(DATE(VALUE(MID(TRIM(N360&amp;" "&amp;O360),1,4)),VALUE(MID(TRIM(N360&amp;" "&amp;O360),6,2)),VALUE(MID(TRIM(N360&amp;" "&amp;O360),9,2))),IF(ISNUMBER(H360),H360,"")),"")</f>
        <v/>
      </c>
      <c r="AC360" s="11">
        <f>IF(ISNUMBER(SEARCH("다기관",TRIM(N360&amp;" "&amp;O360))),IFERROR(DATE(VALUE(MID(TRIM(N360&amp;" "&amp;O360),12,4)),VALUE(MID(TRIM(N360&amp;" "&amp;O360),17,2)),VALUE(MID(TRIM(N360&amp;" "&amp;O360),20,2))),IF(ISNUMBER(I360),I360,"")),"")</f>
        <v/>
      </c>
      <c r="AD360" s="17">
        <f>IF(AND(ISNUMBER(AB360),ISNUMBER(AC360)),MAX(0,MIN(AC360,EOMONTH(출력_요약!$B$3,0))-MAX(AB360,출력_요약!$B$3)+1),0)</f>
        <v/>
      </c>
      <c r="AE360" s="10">
        <f>IF(AND(Q360&lt;&gt;"",ISNUMBER(AB360)),Q360&amp;"|다기관","")</f>
        <v/>
      </c>
    </row>
    <row r="361">
      <c r="A361" s="15">
        <f>IF(F361="","",ROW()-3)</f>
        <v/>
      </c>
      <c r="B361" s="5" t="n"/>
      <c r="C361" s="15" t="n"/>
      <c r="D361" s="5" t="n"/>
      <c r="E361" s="15" t="n"/>
      <c r="F361" s="5" t="n"/>
      <c r="G361" s="6" t="n"/>
      <c r="H361" s="16" t="n"/>
      <c r="I361" s="16" t="n"/>
      <c r="J361" s="15">
        <f>IF(AND(ISNUMBER(H361),ISNUMBER(I361)),I361-H361+1,"")</f>
        <v/>
      </c>
      <c r="K361" s="5" t="n"/>
      <c r="L361" s="5" t="n"/>
      <c r="M361" s="5" t="n"/>
      <c r="N361" s="5" t="n"/>
      <c r="O361" s="5" t="n"/>
      <c r="Q361" s="10">
        <f>IF(TRIM(G361&amp;"")="","",TRIM(G361&amp;""))</f>
        <v/>
      </c>
      <c r="R361" s="10">
        <f>IF(TRIM(B361&amp;"")="","",IFERROR(INDEX(설정_코드표!$K$2:$K$101,MATCH(TRIM(B361&amp;""),설정_코드표!$J$2:$J$101,0)),"⚠"&amp;TRIM(B361&amp;"")))</f>
        <v/>
      </c>
      <c r="S361" s="10">
        <f>IF(TRIM(K361&amp;"")="","",IFERROR(INDEX(설정_코드표!$K$2:$K$101,MATCH(TRIM(K361&amp;""),설정_코드표!$J$2:$J$101,0)),"⚠"&amp;TRIM(K361&amp;"")))</f>
        <v/>
      </c>
      <c r="T361" s="10">
        <f>IF(TRIM(M361&amp;"")="","",IF(ISNUMBER(MATCH(TRIM(M361&amp;""),설정_코드표!$C$2:$C$11,0)),TRIM(M361&amp;""),"⚠"&amp;TRIM(M361&amp;"")))</f>
        <v/>
      </c>
      <c r="U361" s="10">
        <f>IF(TRIM(L361&amp;"")="","",IFERROR(INDEX(설정_코드표!$G$2:$G$101,MATCH(TRIM(L361&amp;""),설정_코드표!$F$2:$F$101,0)),"⚠"&amp;TRIM(L361&amp;"")))</f>
        <v/>
      </c>
      <c r="V361" s="10">
        <f>IF(AND(ISNUMBER(H361),ISNUMBER(I361)),I361-H361+1,"")</f>
        <v/>
      </c>
      <c r="W361" s="17">
        <f>IF(ISNUMBER(H361),MAX(0,MIN(IF(ISNUMBER(I361),I361,EOMONTH(출력_요약!$B$3,0)),EOMONTH(출력_요약!$B$3,0))-MAX(H361,출력_요약!$B$3)+1),0)</f>
        <v/>
      </c>
      <c r="X361" s="10">
        <f>IF(OR(NOT(ISNUMBER(H361)),Q361=""),"",IF(TODAY()&lt;H361,"파견예정",IF(AND(ISNUMBER(I361),TODAY()&gt;I361),"파견종료","파견중")))</f>
        <v/>
      </c>
      <c r="Y361" s="10">
        <f>IF(OR(Q361="",X361=""),"",Q361&amp;"|"&amp;X361)</f>
        <v/>
      </c>
      <c r="Z361" s="10">
        <f>IF(AND(Q361&lt;&gt;"",W361&gt;0),Q361&amp;"|월","")</f>
        <v/>
      </c>
      <c r="AA361" s="10">
        <f>IF(COUNTA(B361:I361,K361:N361)=0,"",IF(Q361="","등록번호 없음",IF(LEFT(R361,1)="⚠","모병원명 미등록",IF(S361="","파견병원 입력",IF(LEFT(S361,1)="⚠","파견병원명 미등록",IF(LEFT(U361,1)="⚠","파견과목 미등록",IF(OR(T361="",LEFT(T361,1)="⚠"),"파견근거 확인",IF(NOT(AND(ISNUMBER(H361),ISNUMBER(I361))),"날짜 형식/누락",IF(I361&lt;H361,"종료일&lt;시작일","")))))))))</f>
        <v/>
      </c>
      <c r="AB361" s="11">
        <f>IF(ISNUMBER(SEARCH("다기관",TRIM(N361&amp;" "&amp;O361))),IFERROR(DATE(VALUE(MID(TRIM(N361&amp;" "&amp;O361),1,4)),VALUE(MID(TRIM(N361&amp;" "&amp;O361),6,2)),VALUE(MID(TRIM(N361&amp;" "&amp;O361),9,2))),IF(ISNUMBER(H361),H361,"")),"")</f>
        <v/>
      </c>
      <c r="AC361" s="11">
        <f>IF(ISNUMBER(SEARCH("다기관",TRIM(N361&amp;" "&amp;O361))),IFERROR(DATE(VALUE(MID(TRIM(N361&amp;" "&amp;O361),12,4)),VALUE(MID(TRIM(N361&amp;" "&amp;O361),17,2)),VALUE(MID(TRIM(N361&amp;" "&amp;O361),20,2))),IF(ISNUMBER(I361),I361,"")),"")</f>
        <v/>
      </c>
      <c r="AD361" s="17">
        <f>IF(AND(ISNUMBER(AB361),ISNUMBER(AC361)),MAX(0,MIN(AC361,EOMONTH(출력_요약!$B$3,0))-MAX(AB361,출력_요약!$B$3)+1),0)</f>
        <v/>
      </c>
      <c r="AE361" s="10">
        <f>IF(AND(Q361&lt;&gt;"",ISNUMBER(AB361)),Q361&amp;"|다기관","")</f>
        <v/>
      </c>
    </row>
    <row r="362">
      <c r="A362" s="15">
        <f>IF(F362="","",ROW()-3)</f>
        <v/>
      </c>
      <c r="B362" s="5" t="n"/>
      <c r="C362" s="15" t="n"/>
      <c r="D362" s="5" t="n"/>
      <c r="E362" s="15" t="n"/>
      <c r="F362" s="5" t="n"/>
      <c r="G362" s="6" t="n"/>
      <c r="H362" s="16" t="n"/>
      <c r="I362" s="16" t="n"/>
      <c r="J362" s="15">
        <f>IF(AND(ISNUMBER(H362),ISNUMBER(I362)),I362-H362+1,"")</f>
        <v/>
      </c>
      <c r="K362" s="5" t="n"/>
      <c r="L362" s="5" t="n"/>
      <c r="M362" s="5" t="n"/>
      <c r="N362" s="5" t="n"/>
      <c r="O362" s="5" t="n"/>
      <c r="Q362" s="10">
        <f>IF(TRIM(G362&amp;"")="","",TRIM(G362&amp;""))</f>
        <v/>
      </c>
      <c r="R362" s="10">
        <f>IF(TRIM(B362&amp;"")="","",IFERROR(INDEX(설정_코드표!$K$2:$K$101,MATCH(TRIM(B362&amp;""),설정_코드표!$J$2:$J$101,0)),"⚠"&amp;TRIM(B362&amp;"")))</f>
        <v/>
      </c>
      <c r="S362" s="10">
        <f>IF(TRIM(K362&amp;"")="","",IFERROR(INDEX(설정_코드표!$K$2:$K$101,MATCH(TRIM(K362&amp;""),설정_코드표!$J$2:$J$101,0)),"⚠"&amp;TRIM(K362&amp;"")))</f>
        <v/>
      </c>
      <c r="T362" s="10">
        <f>IF(TRIM(M362&amp;"")="","",IF(ISNUMBER(MATCH(TRIM(M362&amp;""),설정_코드표!$C$2:$C$11,0)),TRIM(M362&amp;""),"⚠"&amp;TRIM(M362&amp;"")))</f>
        <v/>
      </c>
      <c r="U362" s="10">
        <f>IF(TRIM(L362&amp;"")="","",IFERROR(INDEX(설정_코드표!$G$2:$G$101,MATCH(TRIM(L362&amp;""),설정_코드표!$F$2:$F$101,0)),"⚠"&amp;TRIM(L362&amp;"")))</f>
        <v/>
      </c>
      <c r="V362" s="10">
        <f>IF(AND(ISNUMBER(H362),ISNUMBER(I362)),I362-H362+1,"")</f>
        <v/>
      </c>
      <c r="W362" s="17">
        <f>IF(ISNUMBER(H362),MAX(0,MIN(IF(ISNUMBER(I362),I362,EOMONTH(출력_요약!$B$3,0)),EOMONTH(출력_요약!$B$3,0))-MAX(H362,출력_요약!$B$3)+1),0)</f>
        <v/>
      </c>
      <c r="X362" s="10">
        <f>IF(OR(NOT(ISNUMBER(H362)),Q362=""),"",IF(TODAY()&lt;H362,"파견예정",IF(AND(ISNUMBER(I362),TODAY()&gt;I362),"파견종료","파견중")))</f>
        <v/>
      </c>
      <c r="Y362" s="10">
        <f>IF(OR(Q362="",X362=""),"",Q362&amp;"|"&amp;X362)</f>
        <v/>
      </c>
      <c r="Z362" s="10">
        <f>IF(AND(Q362&lt;&gt;"",W362&gt;0),Q362&amp;"|월","")</f>
        <v/>
      </c>
      <c r="AA362" s="10">
        <f>IF(COUNTA(B362:I362,K362:N362)=0,"",IF(Q362="","등록번호 없음",IF(LEFT(R362,1)="⚠","모병원명 미등록",IF(S362="","파견병원 입력",IF(LEFT(S362,1)="⚠","파견병원명 미등록",IF(LEFT(U362,1)="⚠","파견과목 미등록",IF(OR(T362="",LEFT(T362,1)="⚠"),"파견근거 확인",IF(NOT(AND(ISNUMBER(H362),ISNUMBER(I362))),"날짜 형식/누락",IF(I362&lt;H362,"종료일&lt;시작일","")))))))))</f>
        <v/>
      </c>
      <c r="AB362" s="11">
        <f>IF(ISNUMBER(SEARCH("다기관",TRIM(N362&amp;" "&amp;O362))),IFERROR(DATE(VALUE(MID(TRIM(N362&amp;" "&amp;O362),1,4)),VALUE(MID(TRIM(N362&amp;" "&amp;O362),6,2)),VALUE(MID(TRIM(N362&amp;" "&amp;O362),9,2))),IF(ISNUMBER(H362),H362,"")),"")</f>
        <v/>
      </c>
      <c r="AC362" s="11">
        <f>IF(ISNUMBER(SEARCH("다기관",TRIM(N362&amp;" "&amp;O362))),IFERROR(DATE(VALUE(MID(TRIM(N362&amp;" "&amp;O362),12,4)),VALUE(MID(TRIM(N362&amp;" "&amp;O362),17,2)),VALUE(MID(TRIM(N362&amp;" "&amp;O362),20,2))),IF(ISNUMBER(I362),I362,"")),"")</f>
        <v/>
      </c>
      <c r="AD362" s="17">
        <f>IF(AND(ISNUMBER(AB362),ISNUMBER(AC362)),MAX(0,MIN(AC362,EOMONTH(출력_요약!$B$3,0))-MAX(AB362,출력_요약!$B$3)+1),0)</f>
        <v/>
      </c>
      <c r="AE362" s="10">
        <f>IF(AND(Q362&lt;&gt;"",ISNUMBER(AB362)),Q362&amp;"|다기관","")</f>
        <v/>
      </c>
    </row>
    <row r="363">
      <c r="A363" s="15">
        <f>IF(F363="","",ROW()-3)</f>
        <v/>
      </c>
      <c r="B363" s="5" t="n"/>
      <c r="C363" s="15" t="n"/>
      <c r="D363" s="5" t="n"/>
      <c r="E363" s="15" t="n"/>
      <c r="F363" s="5" t="n"/>
      <c r="G363" s="6" t="n"/>
      <c r="H363" s="16" t="n"/>
      <c r="I363" s="16" t="n"/>
      <c r="J363" s="15">
        <f>IF(AND(ISNUMBER(H363),ISNUMBER(I363)),I363-H363+1,"")</f>
        <v/>
      </c>
      <c r="K363" s="5" t="n"/>
      <c r="L363" s="5" t="n"/>
      <c r="M363" s="5" t="n"/>
      <c r="N363" s="5" t="n"/>
      <c r="O363" s="5" t="n"/>
      <c r="Q363" s="10">
        <f>IF(TRIM(G363&amp;"")="","",TRIM(G363&amp;""))</f>
        <v/>
      </c>
      <c r="R363" s="10">
        <f>IF(TRIM(B363&amp;"")="","",IFERROR(INDEX(설정_코드표!$K$2:$K$101,MATCH(TRIM(B363&amp;""),설정_코드표!$J$2:$J$101,0)),"⚠"&amp;TRIM(B363&amp;"")))</f>
        <v/>
      </c>
      <c r="S363" s="10">
        <f>IF(TRIM(K363&amp;"")="","",IFERROR(INDEX(설정_코드표!$K$2:$K$101,MATCH(TRIM(K363&amp;""),설정_코드표!$J$2:$J$101,0)),"⚠"&amp;TRIM(K363&amp;"")))</f>
        <v/>
      </c>
      <c r="T363" s="10">
        <f>IF(TRIM(M363&amp;"")="","",IF(ISNUMBER(MATCH(TRIM(M363&amp;""),설정_코드표!$C$2:$C$11,0)),TRIM(M363&amp;""),"⚠"&amp;TRIM(M363&amp;"")))</f>
        <v/>
      </c>
      <c r="U363" s="10">
        <f>IF(TRIM(L363&amp;"")="","",IFERROR(INDEX(설정_코드표!$G$2:$G$101,MATCH(TRIM(L363&amp;""),설정_코드표!$F$2:$F$101,0)),"⚠"&amp;TRIM(L363&amp;"")))</f>
        <v/>
      </c>
      <c r="V363" s="10">
        <f>IF(AND(ISNUMBER(H363),ISNUMBER(I363)),I363-H363+1,"")</f>
        <v/>
      </c>
      <c r="W363" s="17">
        <f>IF(ISNUMBER(H363),MAX(0,MIN(IF(ISNUMBER(I363),I363,EOMONTH(출력_요약!$B$3,0)),EOMONTH(출력_요약!$B$3,0))-MAX(H363,출력_요약!$B$3)+1),0)</f>
        <v/>
      </c>
      <c r="X363" s="10">
        <f>IF(OR(NOT(ISNUMBER(H363)),Q363=""),"",IF(TODAY()&lt;H363,"파견예정",IF(AND(ISNUMBER(I363),TODAY()&gt;I363),"파견종료","파견중")))</f>
        <v/>
      </c>
      <c r="Y363" s="10">
        <f>IF(OR(Q363="",X363=""),"",Q363&amp;"|"&amp;X363)</f>
        <v/>
      </c>
      <c r="Z363" s="10">
        <f>IF(AND(Q363&lt;&gt;"",W363&gt;0),Q363&amp;"|월","")</f>
        <v/>
      </c>
      <c r="AA363" s="10">
        <f>IF(COUNTA(B363:I363,K363:N363)=0,"",IF(Q363="","등록번호 없음",IF(LEFT(R363,1)="⚠","모병원명 미등록",IF(S363="","파견병원 입력",IF(LEFT(S363,1)="⚠","파견병원명 미등록",IF(LEFT(U363,1)="⚠","파견과목 미등록",IF(OR(T363="",LEFT(T363,1)="⚠"),"파견근거 확인",IF(NOT(AND(ISNUMBER(H363),ISNUMBER(I363))),"날짜 형식/누락",IF(I363&lt;H363,"종료일&lt;시작일","")))))))))</f>
        <v/>
      </c>
      <c r="AB363" s="11">
        <f>IF(ISNUMBER(SEARCH("다기관",TRIM(N363&amp;" "&amp;O363))),IFERROR(DATE(VALUE(MID(TRIM(N363&amp;" "&amp;O363),1,4)),VALUE(MID(TRIM(N363&amp;" "&amp;O363),6,2)),VALUE(MID(TRIM(N363&amp;" "&amp;O363),9,2))),IF(ISNUMBER(H363),H363,"")),"")</f>
        <v/>
      </c>
      <c r="AC363" s="11">
        <f>IF(ISNUMBER(SEARCH("다기관",TRIM(N363&amp;" "&amp;O363))),IFERROR(DATE(VALUE(MID(TRIM(N363&amp;" "&amp;O363),12,4)),VALUE(MID(TRIM(N363&amp;" "&amp;O363),17,2)),VALUE(MID(TRIM(N363&amp;" "&amp;O363),20,2))),IF(ISNUMBER(I363),I363,"")),"")</f>
        <v/>
      </c>
      <c r="AD363" s="17">
        <f>IF(AND(ISNUMBER(AB363),ISNUMBER(AC363)),MAX(0,MIN(AC363,EOMONTH(출력_요약!$B$3,0))-MAX(AB363,출력_요약!$B$3)+1),0)</f>
        <v/>
      </c>
      <c r="AE363" s="10">
        <f>IF(AND(Q363&lt;&gt;"",ISNUMBER(AB363)),Q363&amp;"|다기관","")</f>
        <v/>
      </c>
    </row>
    <row r="364">
      <c r="A364" s="15">
        <f>IF(F364="","",ROW()-3)</f>
        <v/>
      </c>
      <c r="B364" s="5" t="n"/>
      <c r="C364" s="15" t="n"/>
      <c r="D364" s="5" t="n"/>
      <c r="E364" s="15" t="n"/>
      <c r="F364" s="5" t="n"/>
      <c r="G364" s="6" t="n"/>
      <c r="H364" s="16" t="n"/>
      <c r="I364" s="16" t="n"/>
      <c r="J364" s="15">
        <f>IF(AND(ISNUMBER(H364),ISNUMBER(I364)),I364-H364+1,"")</f>
        <v/>
      </c>
      <c r="K364" s="5" t="n"/>
      <c r="L364" s="5" t="n"/>
      <c r="M364" s="5" t="n"/>
      <c r="N364" s="5" t="n"/>
      <c r="O364" s="5" t="n"/>
      <c r="Q364" s="10">
        <f>IF(TRIM(G364&amp;"")="","",TRIM(G364&amp;""))</f>
        <v/>
      </c>
      <c r="R364" s="10">
        <f>IF(TRIM(B364&amp;"")="","",IFERROR(INDEX(설정_코드표!$K$2:$K$101,MATCH(TRIM(B364&amp;""),설정_코드표!$J$2:$J$101,0)),"⚠"&amp;TRIM(B364&amp;"")))</f>
        <v/>
      </c>
      <c r="S364" s="10">
        <f>IF(TRIM(K364&amp;"")="","",IFERROR(INDEX(설정_코드표!$K$2:$K$101,MATCH(TRIM(K364&amp;""),설정_코드표!$J$2:$J$101,0)),"⚠"&amp;TRIM(K364&amp;"")))</f>
        <v/>
      </c>
      <c r="T364" s="10">
        <f>IF(TRIM(M364&amp;"")="","",IF(ISNUMBER(MATCH(TRIM(M364&amp;""),설정_코드표!$C$2:$C$11,0)),TRIM(M364&amp;""),"⚠"&amp;TRIM(M364&amp;"")))</f>
        <v/>
      </c>
      <c r="U364" s="10">
        <f>IF(TRIM(L364&amp;"")="","",IFERROR(INDEX(설정_코드표!$G$2:$G$101,MATCH(TRIM(L364&amp;""),설정_코드표!$F$2:$F$101,0)),"⚠"&amp;TRIM(L364&amp;"")))</f>
        <v/>
      </c>
      <c r="V364" s="10">
        <f>IF(AND(ISNUMBER(H364),ISNUMBER(I364)),I364-H364+1,"")</f>
        <v/>
      </c>
      <c r="W364" s="17">
        <f>IF(ISNUMBER(H364),MAX(0,MIN(IF(ISNUMBER(I364),I364,EOMONTH(출력_요약!$B$3,0)),EOMONTH(출력_요약!$B$3,0))-MAX(H364,출력_요약!$B$3)+1),0)</f>
        <v/>
      </c>
      <c r="X364" s="10">
        <f>IF(OR(NOT(ISNUMBER(H364)),Q364=""),"",IF(TODAY()&lt;H364,"파견예정",IF(AND(ISNUMBER(I364),TODAY()&gt;I364),"파견종료","파견중")))</f>
        <v/>
      </c>
      <c r="Y364" s="10">
        <f>IF(OR(Q364="",X364=""),"",Q364&amp;"|"&amp;X364)</f>
        <v/>
      </c>
      <c r="Z364" s="10">
        <f>IF(AND(Q364&lt;&gt;"",W364&gt;0),Q364&amp;"|월","")</f>
        <v/>
      </c>
      <c r="AA364" s="10">
        <f>IF(COUNTA(B364:I364,K364:N364)=0,"",IF(Q364="","등록번호 없음",IF(LEFT(R364,1)="⚠","모병원명 미등록",IF(S364="","파견병원 입력",IF(LEFT(S364,1)="⚠","파견병원명 미등록",IF(LEFT(U364,1)="⚠","파견과목 미등록",IF(OR(T364="",LEFT(T364,1)="⚠"),"파견근거 확인",IF(NOT(AND(ISNUMBER(H364),ISNUMBER(I364))),"날짜 형식/누락",IF(I364&lt;H364,"종료일&lt;시작일","")))))))))</f>
        <v/>
      </c>
      <c r="AB364" s="11">
        <f>IF(ISNUMBER(SEARCH("다기관",TRIM(N364&amp;" "&amp;O364))),IFERROR(DATE(VALUE(MID(TRIM(N364&amp;" "&amp;O364),1,4)),VALUE(MID(TRIM(N364&amp;" "&amp;O364),6,2)),VALUE(MID(TRIM(N364&amp;" "&amp;O364),9,2))),IF(ISNUMBER(H364),H364,"")),"")</f>
        <v/>
      </c>
      <c r="AC364" s="11">
        <f>IF(ISNUMBER(SEARCH("다기관",TRIM(N364&amp;" "&amp;O364))),IFERROR(DATE(VALUE(MID(TRIM(N364&amp;" "&amp;O364),12,4)),VALUE(MID(TRIM(N364&amp;" "&amp;O364),17,2)),VALUE(MID(TRIM(N364&amp;" "&amp;O364),20,2))),IF(ISNUMBER(I364),I364,"")),"")</f>
        <v/>
      </c>
      <c r="AD364" s="17">
        <f>IF(AND(ISNUMBER(AB364),ISNUMBER(AC364)),MAX(0,MIN(AC364,EOMONTH(출력_요약!$B$3,0))-MAX(AB364,출력_요약!$B$3)+1),0)</f>
        <v/>
      </c>
      <c r="AE364" s="10">
        <f>IF(AND(Q364&lt;&gt;"",ISNUMBER(AB364)),Q364&amp;"|다기관","")</f>
        <v/>
      </c>
    </row>
    <row r="365">
      <c r="A365" s="15">
        <f>IF(F365="","",ROW()-3)</f>
        <v/>
      </c>
      <c r="B365" s="5" t="n"/>
      <c r="C365" s="15" t="n"/>
      <c r="D365" s="5" t="n"/>
      <c r="E365" s="15" t="n"/>
      <c r="F365" s="5" t="n"/>
      <c r="G365" s="6" t="n"/>
      <c r="H365" s="16" t="n"/>
      <c r="I365" s="16" t="n"/>
      <c r="J365" s="15">
        <f>IF(AND(ISNUMBER(H365),ISNUMBER(I365)),I365-H365+1,"")</f>
        <v/>
      </c>
      <c r="K365" s="5" t="n"/>
      <c r="L365" s="5" t="n"/>
      <c r="M365" s="5" t="n"/>
      <c r="N365" s="5" t="n"/>
      <c r="O365" s="5" t="n"/>
      <c r="Q365" s="10">
        <f>IF(TRIM(G365&amp;"")="","",TRIM(G365&amp;""))</f>
        <v/>
      </c>
      <c r="R365" s="10">
        <f>IF(TRIM(B365&amp;"")="","",IFERROR(INDEX(설정_코드표!$K$2:$K$101,MATCH(TRIM(B365&amp;""),설정_코드표!$J$2:$J$101,0)),"⚠"&amp;TRIM(B365&amp;"")))</f>
        <v/>
      </c>
      <c r="S365" s="10">
        <f>IF(TRIM(K365&amp;"")="","",IFERROR(INDEX(설정_코드표!$K$2:$K$101,MATCH(TRIM(K365&amp;""),설정_코드표!$J$2:$J$101,0)),"⚠"&amp;TRIM(K365&amp;"")))</f>
        <v/>
      </c>
      <c r="T365" s="10">
        <f>IF(TRIM(M365&amp;"")="","",IF(ISNUMBER(MATCH(TRIM(M365&amp;""),설정_코드표!$C$2:$C$11,0)),TRIM(M365&amp;""),"⚠"&amp;TRIM(M365&amp;"")))</f>
        <v/>
      </c>
      <c r="U365" s="10">
        <f>IF(TRIM(L365&amp;"")="","",IFERROR(INDEX(설정_코드표!$G$2:$G$101,MATCH(TRIM(L365&amp;""),설정_코드표!$F$2:$F$101,0)),"⚠"&amp;TRIM(L365&amp;"")))</f>
        <v/>
      </c>
      <c r="V365" s="10">
        <f>IF(AND(ISNUMBER(H365),ISNUMBER(I365)),I365-H365+1,"")</f>
        <v/>
      </c>
      <c r="W365" s="17">
        <f>IF(ISNUMBER(H365),MAX(0,MIN(IF(ISNUMBER(I365),I365,EOMONTH(출력_요약!$B$3,0)),EOMONTH(출력_요약!$B$3,0))-MAX(H365,출력_요약!$B$3)+1),0)</f>
        <v/>
      </c>
      <c r="X365" s="10">
        <f>IF(OR(NOT(ISNUMBER(H365)),Q365=""),"",IF(TODAY()&lt;H365,"파견예정",IF(AND(ISNUMBER(I365),TODAY()&gt;I365),"파견종료","파견중")))</f>
        <v/>
      </c>
      <c r="Y365" s="10">
        <f>IF(OR(Q365="",X365=""),"",Q365&amp;"|"&amp;X365)</f>
        <v/>
      </c>
      <c r="Z365" s="10">
        <f>IF(AND(Q365&lt;&gt;"",W365&gt;0),Q365&amp;"|월","")</f>
        <v/>
      </c>
      <c r="AA365" s="10">
        <f>IF(COUNTA(B365:I365,K365:N365)=0,"",IF(Q365="","등록번호 없음",IF(LEFT(R365,1)="⚠","모병원명 미등록",IF(S365="","파견병원 입력",IF(LEFT(S365,1)="⚠","파견병원명 미등록",IF(LEFT(U365,1)="⚠","파견과목 미등록",IF(OR(T365="",LEFT(T365,1)="⚠"),"파견근거 확인",IF(NOT(AND(ISNUMBER(H365),ISNUMBER(I365))),"날짜 형식/누락",IF(I365&lt;H365,"종료일&lt;시작일","")))))))))</f>
        <v/>
      </c>
      <c r="AB365" s="11">
        <f>IF(ISNUMBER(SEARCH("다기관",TRIM(N365&amp;" "&amp;O365))),IFERROR(DATE(VALUE(MID(TRIM(N365&amp;" "&amp;O365),1,4)),VALUE(MID(TRIM(N365&amp;" "&amp;O365),6,2)),VALUE(MID(TRIM(N365&amp;" "&amp;O365),9,2))),IF(ISNUMBER(H365),H365,"")),"")</f>
        <v/>
      </c>
      <c r="AC365" s="11">
        <f>IF(ISNUMBER(SEARCH("다기관",TRIM(N365&amp;" "&amp;O365))),IFERROR(DATE(VALUE(MID(TRIM(N365&amp;" "&amp;O365),12,4)),VALUE(MID(TRIM(N365&amp;" "&amp;O365),17,2)),VALUE(MID(TRIM(N365&amp;" "&amp;O365),20,2))),IF(ISNUMBER(I365),I365,"")),"")</f>
        <v/>
      </c>
      <c r="AD365" s="17">
        <f>IF(AND(ISNUMBER(AB365),ISNUMBER(AC365)),MAX(0,MIN(AC365,EOMONTH(출력_요약!$B$3,0))-MAX(AB365,출력_요약!$B$3)+1),0)</f>
        <v/>
      </c>
      <c r="AE365" s="10">
        <f>IF(AND(Q365&lt;&gt;"",ISNUMBER(AB365)),Q365&amp;"|다기관","")</f>
        <v/>
      </c>
    </row>
    <row r="366">
      <c r="A366" s="15">
        <f>IF(F366="","",ROW()-3)</f>
        <v/>
      </c>
      <c r="B366" s="5" t="n"/>
      <c r="C366" s="15" t="n"/>
      <c r="D366" s="5" t="n"/>
      <c r="E366" s="15" t="n"/>
      <c r="F366" s="5" t="n"/>
      <c r="G366" s="6" t="n"/>
      <c r="H366" s="16" t="n"/>
      <c r="I366" s="16" t="n"/>
      <c r="J366" s="15">
        <f>IF(AND(ISNUMBER(H366),ISNUMBER(I366)),I366-H366+1,"")</f>
        <v/>
      </c>
      <c r="K366" s="5" t="n"/>
      <c r="L366" s="5" t="n"/>
      <c r="M366" s="5" t="n"/>
      <c r="N366" s="5" t="n"/>
      <c r="O366" s="5" t="n"/>
      <c r="Q366" s="10">
        <f>IF(TRIM(G366&amp;"")="","",TRIM(G366&amp;""))</f>
        <v/>
      </c>
      <c r="R366" s="10">
        <f>IF(TRIM(B366&amp;"")="","",IFERROR(INDEX(설정_코드표!$K$2:$K$101,MATCH(TRIM(B366&amp;""),설정_코드표!$J$2:$J$101,0)),"⚠"&amp;TRIM(B366&amp;"")))</f>
        <v/>
      </c>
      <c r="S366" s="10">
        <f>IF(TRIM(K366&amp;"")="","",IFERROR(INDEX(설정_코드표!$K$2:$K$101,MATCH(TRIM(K366&amp;""),설정_코드표!$J$2:$J$101,0)),"⚠"&amp;TRIM(K366&amp;"")))</f>
        <v/>
      </c>
      <c r="T366" s="10">
        <f>IF(TRIM(M366&amp;"")="","",IF(ISNUMBER(MATCH(TRIM(M366&amp;""),설정_코드표!$C$2:$C$11,0)),TRIM(M366&amp;""),"⚠"&amp;TRIM(M366&amp;"")))</f>
        <v/>
      </c>
      <c r="U366" s="10">
        <f>IF(TRIM(L366&amp;"")="","",IFERROR(INDEX(설정_코드표!$G$2:$G$101,MATCH(TRIM(L366&amp;""),설정_코드표!$F$2:$F$101,0)),"⚠"&amp;TRIM(L366&amp;"")))</f>
        <v/>
      </c>
      <c r="V366" s="10">
        <f>IF(AND(ISNUMBER(H366),ISNUMBER(I366)),I366-H366+1,"")</f>
        <v/>
      </c>
      <c r="W366" s="17">
        <f>IF(ISNUMBER(H366),MAX(0,MIN(IF(ISNUMBER(I366),I366,EOMONTH(출력_요약!$B$3,0)),EOMONTH(출력_요약!$B$3,0))-MAX(H366,출력_요약!$B$3)+1),0)</f>
        <v/>
      </c>
      <c r="X366" s="10">
        <f>IF(OR(NOT(ISNUMBER(H366)),Q366=""),"",IF(TODAY()&lt;H366,"파견예정",IF(AND(ISNUMBER(I366),TODAY()&gt;I366),"파견종료","파견중")))</f>
        <v/>
      </c>
      <c r="Y366" s="10">
        <f>IF(OR(Q366="",X366=""),"",Q366&amp;"|"&amp;X366)</f>
        <v/>
      </c>
      <c r="Z366" s="10">
        <f>IF(AND(Q366&lt;&gt;"",W366&gt;0),Q366&amp;"|월","")</f>
        <v/>
      </c>
      <c r="AA366" s="10">
        <f>IF(COUNTA(B366:I366,K366:N366)=0,"",IF(Q366="","등록번호 없음",IF(LEFT(R366,1)="⚠","모병원명 미등록",IF(S366="","파견병원 입력",IF(LEFT(S366,1)="⚠","파견병원명 미등록",IF(LEFT(U366,1)="⚠","파견과목 미등록",IF(OR(T366="",LEFT(T366,1)="⚠"),"파견근거 확인",IF(NOT(AND(ISNUMBER(H366),ISNUMBER(I366))),"날짜 형식/누락",IF(I366&lt;H366,"종료일&lt;시작일","")))))))))</f>
        <v/>
      </c>
      <c r="AB366" s="11">
        <f>IF(ISNUMBER(SEARCH("다기관",TRIM(N366&amp;" "&amp;O366))),IFERROR(DATE(VALUE(MID(TRIM(N366&amp;" "&amp;O366),1,4)),VALUE(MID(TRIM(N366&amp;" "&amp;O366),6,2)),VALUE(MID(TRIM(N366&amp;" "&amp;O366),9,2))),IF(ISNUMBER(H366),H366,"")),"")</f>
        <v/>
      </c>
      <c r="AC366" s="11">
        <f>IF(ISNUMBER(SEARCH("다기관",TRIM(N366&amp;" "&amp;O366))),IFERROR(DATE(VALUE(MID(TRIM(N366&amp;" "&amp;O366),12,4)),VALUE(MID(TRIM(N366&amp;" "&amp;O366),17,2)),VALUE(MID(TRIM(N366&amp;" "&amp;O366),20,2))),IF(ISNUMBER(I366),I366,"")),"")</f>
        <v/>
      </c>
      <c r="AD366" s="17">
        <f>IF(AND(ISNUMBER(AB366),ISNUMBER(AC366)),MAX(0,MIN(AC366,EOMONTH(출력_요약!$B$3,0))-MAX(AB366,출력_요약!$B$3)+1),0)</f>
        <v/>
      </c>
      <c r="AE366" s="10">
        <f>IF(AND(Q366&lt;&gt;"",ISNUMBER(AB366)),Q366&amp;"|다기관","")</f>
        <v/>
      </c>
    </row>
    <row r="367">
      <c r="A367" s="15">
        <f>IF(F367="","",ROW()-3)</f>
        <v/>
      </c>
      <c r="B367" s="5" t="n"/>
      <c r="C367" s="15" t="n"/>
      <c r="D367" s="5" t="n"/>
      <c r="E367" s="15" t="n"/>
      <c r="F367" s="5" t="n"/>
      <c r="G367" s="6" t="n"/>
      <c r="H367" s="16" t="n"/>
      <c r="I367" s="16" t="n"/>
      <c r="J367" s="15">
        <f>IF(AND(ISNUMBER(H367),ISNUMBER(I367)),I367-H367+1,"")</f>
        <v/>
      </c>
      <c r="K367" s="5" t="n"/>
      <c r="L367" s="5" t="n"/>
      <c r="M367" s="5" t="n"/>
      <c r="N367" s="5" t="n"/>
      <c r="O367" s="5" t="n"/>
      <c r="Q367" s="10">
        <f>IF(TRIM(G367&amp;"")="","",TRIM(G367&amp;""))</f>
        <v/>
      </c>
      <c r="R367" s="10">
        <f>IF(TRIM(B367&amp;"")="","",IFERROR(INDEX(설정_코드표!$K$2:$K$101,MATCH(TRIM(B367&amp;""),설정_코드표!$J$2:$J$101,0)),"⚠"&amp;TRIM(B367&amp;"")))</f>
        <v/>
      </c>
      <c r="S367" s="10">
        <f>IF(TRIM(K367&amp;"")="","",IFERROR(INDEX(설정_코드표!$K$2:$K$101,MATCH(TRIM(K367&amp;""),설정_코드표!$J$2:$J$101,0)),"⚠"&amp;TRIM(K367&amp;"")))</f>
        <v/>
      </c>
      <c r="T367" s="10">
        <f>IF(TRIM(M367&amp;"")="","",IF(ISNUMBER(MATCH(TRIM(M367&amp;""),설정_코드표!$C$2:$C$11,0)),TRIM(M367&amp;""),"⚠"&amp;TRIM(M367&amp;"")))</f>
        <v/>
      </c>
      <c r="U367" s="10">
        <f>IF(TRIM(L367&amp;"")="","",IFERROR(INDEX(설정_코드표!$G$2:$G$101,MATCH(TRIM(L367&amp;""),설정_코드표!$F$2:$F$101,0)),"⚠"&amp;TRIM(L367&amp;"")))</f>
        <v/>
      </c>
      <c r="V367" s="10">
        <f>IF(AND(ISNUMBER(H367),ISNUMBER(I367)),I367-H367+1,"")</f>
        <v/>
      </c>
      <c r="W367" s="17">
        <f>IF(ISNUMBER(H367),MAX(0,MIN(IF(ISNUMBER(I367),I367,EOMONTH(출력_요약!$B$3,0)),EOMONTH(출력_요약!$B$3,0))-MAX(H367,출력_요약!$B$3)+1),0)</f>
        <v/>
      </c>
      <c r="X367" s="10">
        <f>IF(OR(NOT(ISNUMBER(H367)),Q367=""),"",IF(TODAY()&lt;H367,"파견예정",IF(AND(ISNUMBER(I367),TODAY()&gt;I367),"파견종료","파견중")))</f>
        <v/>
      </c>
      <c r="Y367" s="10">
        <f>IF(OR(Q367="",X367=""),"",Q367&amp;"|"&amp;X367)</f>
        <v/>
      </c>
      <c r="Z367" s="10">
        <f>IF(AND(Q367&lt;&gt;"",W367&gt;0),Q367&amp;"|월","")</f>
        <v/>
      </c>
      <c r="AA367" s="10">
        <f>IF(COUNTA(B367:I367,K367:N367)=0,"",IF(Q367="","등록번호 없음",IF(LEFT(R367,1)="⚠","모병원명 미등록",IF(S367="","파견병원 입력",IF(LEFT(S367,1)="⚠","파견병원명 미등록",IF(LEFT(U367,1)="⚠","파견과목 미등록",IF(OR(T367="",LEFT(T367,1)="⚠"),"파견근거 확인",IF(NOT(AND(ISNUMBER(H367),ISNUMBER(I367))),"날짜 형식/누락",IF(I367&lt;H367,"종료일&lt;시작일","")))))))))</f>
        <v/>
      </c>
      <c r="AB367" s="11">
        <f>IF(ISNUMBER(SEARCH("다기관",TRIM(N367&amp;" "&amp;O367))),IFERROR(DATE(VALUE(MID(TRIM(N367&amp;" "&amp;O367),1,4)),VALUE(MID(TRIM(N367&amp;" "&amp;O367),6,2)),VALUE(MID(TRIM(N367&amp;" "&amp;O367),9,2))),IF(ISNUMBER(H367),H367,"")),"")</f>
        <v/>
      </c>
      <c r="AC367" s="11">
        <f>IF(ISNUMBER(SEARCH("다기관",TRIM(N367&amp;" "&amp;O367))),IFERROR(DATE(VALUE(MID(TRIM(N367&amp;" "&amp;O367),12,4)),VALUE(MID(TRIM(N367&amp;" "&amp;O367),17,2)),VALUE(MID(TRIM(N367&amp;" "&amp;O367),20,2))),IF(ISNUMBER(I367),I367,"")),"")</f>
        <v/>
      </c>
      <c r="AD367" s="17">
        <f>IF(AND(ISNUMBER(AB367),ISNUMBER(AC367)),MAX(0,MIN(AC367,EOMONTH(출력_요약!$B$3,0))-MAX(AB367,출력_요약!$B$3)+1),0)</f>
        <v/>
      </c>
      <c r="AE367" s="10">
        <f>IF(AND(Q367&lt;&gt;"",ISNUMBER(AB367)),Q367&amp;"|다기관","")</f>
        <v/>
      </c>
    </row>
    <row r="368">
      <c r="A368" s="15">
        <f>IF(F368="","",ROW()-3)</f>
        <v/>
      </c>
      <c r="B368" s="5" t="n"/>
      <c r="C368" s="15" t="n"/>
      <c r="D368" s="5" t="n"/>
      <c r="E368" s="15" t="n"/>
      <c r="F368" s="5" t="n"/>
      <c r="G368" s="6" t="n"/>
      <c r="H368" s="16" t="n"/>
      <c r="I368" s="16" t="n"/>
      <c r="J368" s="15">
        <f>IF(AND(ISNUMBER(H368),ISNUMBER(I368)),I368-H368+1,"")</f>
        <v/>
      </c>
      <c r="K368" s="5" t="n"/>
      <c r="L368" s="5" t="n"/>
      <c r="M368" s="5" t="n"/>
      <c r="N368" s="5" t="n"/>
      <c r="O368" s="5" t="n"/>
      <c r="Q368" s="10">
        <f>IF(TRIM(G368&amp;"")="","",TRIM(G368&amp;""))</f>
        <v/>
      </c>
      <c r="R368" s="10">
        <f>IF(TRIM(B368&amp;"")="","",IFERROR(INDEX(설정_코드표!$K$2:$K$101,MATCH(TRIM(B368&amp;""),설정_코드표!$J$2:$J$101,0)),"⚠"&amp;TRIM(B368&amp;"")))</f>
        <v/>
      </c>
      <c r="S368" s="10">
        <f>IF(TRIM(K368&amp;"")="","",IFERROR(INDEX(설정_코드표!$K$2:$K$101,MATCH(TRIM(K368&amp;""),설정_코드표!$J$2:$J$101,0)),"⚠"&amp;TRIM(K368&amp;"")))</f>
        <v/>
      </c>
      <c r="T368" s="10">
        <f>IF(TRIM(M368&amp;"")="","",IF(ISNUMBER(MATCH(TRIM(M368&amp;""),설정_코드표!$C$2:$C$11,0)),TRIM(M368&amp;""),"⚠"&amp;TRIM(M368&amp;"")))</f>
        <v/>
      </c>
      <c r="U368" s="10">
        <f>IF(TRIM(L368&amp;"")="","",IFERROR(INDEX(설정_코드표!$G$2:$G$101,MATCH(TRIM(L368&amp;""),설정_코드표!$F$2:$F$101,0)),"⚠"&amp;TRIM(L368&amp;"")))</f>
        <v/>
      </c>
      <c r="V368" s="10">
        <f>IF(AND(ISNUMBER(H368),ISNUMBER(I368)),I368-H368+1,"")</f>
        <v/>
      </c>
      <c r="W368" s="17">
        <f>IF(ISNUMBER(H368),MAX(0,MIN(IF(ISNUMBER(I368),I368,EOMONTH(출력_요약!$B$3,0)),EOMONTH(출력_요약!$B$3,0))-MAX(H368,출력_요약!$B$3)+1),0)</f>
        <v/>
      </c>
      <c r="X368" s="10">
        <f>IF(OR(NOT(ISNUMBER(H368)),Q368=""),"",IF(TODAY()&lt;H368,"파견예정",IF(AND(ISNUMBER(I368),TODAY()&gt;I368),"파견종료","파견중")))</f>
        <v/>
      </c>
      <c r="Y368" s="10">
        <f>IF(OR(Q368="",X368=""),"",Q368&amp;"|"&amp;X368)</f>
        <v/>
      </c>
      <c r="Z368" s="10">
        <f>IF(AND(Q368&lt;&gt;"",W368&gt;0),Q368&amp;"|월","")</f>
        <v/>
      </c>
      <c r="AA368" s="10">
        <f>IF(COUNTA(B368:I368,K368:N368)=0,"",IF(Q368="","등록번호 없음",IF(LEFT(R368,1)="⚠","모병원명 미등록",IF(S368="","파견병원 입력",IF(LEFT(S368,1)="⚠","파견병원명 미등록",IF(LEFT(U368,1)="⚠","파견과목 미등록",IF(OR(T368="",LEFT(T368,1)="⚠"),"파견근거 확인",IF(NOT(AND(ISNUMBER(H368),ISNUMBER(I368))),"날짜 형식/누락",IF(I368&lt;H368,"종료일&lt;시작일","")))))))))</f>
        <v/>
      </c>
      <c r="AB368" s="11">
        <f>IF(ISNUMBER(SEARCH("다기관",TRIM(N368&amp;" "&amp;O368))),IFERROR(DATE(VALUE(MID(TRIM(N368&amp;" "&amp;O368),1,4)),VALUE(MID(TRIM(N368&amp;" "&amp;O368),6,2)),VALUE(MID(TRIM(N368&amp;" "&amp;O368),9,2))),IF(ISNUMBER(H368),H368,"")),"")</f>
        <v/>
      </c>
      <c r="AC368" s="11">
        <f>IF(ISNUMBER(SEARCH("다기관",TRIM(N368&amp;" "&amp;O368))),IFERROR(DATE(VALUE(MID(TRIM(N368&amp;" "&amp;O368),12,4)),VALUE(MID(TRIM(N368&amp;" "&amp;O368),17,2)),VALUE(MID(TRIM(N368&amp;" "&amp;O368),20,2))),IF(ISNUMBER(I368),I368,"")),"")</f>
        <v/>
      </c>
      <c r="AD368" s="17">
        <f>IF(AND(ISNUMBER(AB368),ISNUMBER(AC368)),MAX(0,MIN(AC368,EOMONTH(출력_요약!$B$3,0))-MAX(AB368,출력_요약!$B$3)+1),0)</f>
        <v/>
      </c>
      <c r="AE368" s="10">
        <f>IF(AND(Q368&lt;&gt;"",ISNUMBER(AB368)),Q368&amp;"|다기관","")</f>
        <v/>
      </c>
    </row>
    <row r="369">
      <c r="A369" s="15">
        <f>IF(F369="","",ROW()-3)</f>
        <v/>
      </c>
      <c r="B369" s="5" t="n"/>
      <c r="C369" s="15" t="n"/>
      <c r="D369" s="5" t="n"/>
      <c r="E369" s="15" t="n"/>
      <c r="F369" s="5" t="n"/>
      <c r="G369" s="6" t="n"/>
      <c r="H369" s="16" t="n"/>
      <c r="I369" s="16" t="n"/>
      <c r="J369" s="15">
        <f>IF(AND(ISNUMBER(H369),ISNUMBER(I369)),I369-H369+1,"")</f>
        <v/>
      </c>
      <c r="K369" s="5" t="n"/>
      <c r="L369" s="5" t="n"/>
      <c r="M369" s="5" t="n"/>
      <c r="N369" s="5" t="n"/>
      <c r="O369" s="5" t="n"/>
      <c r="Q369" s="10">
        <f>IF(TRIM(G369&amp;"")="","",TRIM(G369&amp;""))</f>
        <v/>
      </c>
      <c r="R369" s="10">
        <f>IF(TRIM(B369&amp;"")="","",IFERROR(INDEX(설정_코드표!$K$2:$K$101,MATCH(TRIM(B369&amp;""),설정_코드표!$J$2:$J$101,0)),"⚠"&amp;TRIM(B369&amp;"")))</f>
        <v/>
      </c>
      <c r="S369" s="10">
        <f>IF(TRIM(K369&amp;"")="","",IFERROR(INDEX(설정_코드표!$K$2:$K$101,MATCH(TRIM(K369&amp;""),설정_코드표!$J$2:$J$101,0)),"⚠"&amp;TRIM(K369&amp;"")))</f>
        <v/>
      </c>
      <c r="T369" s="10">
        <f>IF(TRIM(M369&amp;"")="","",IF(ISNUMBER(MATCH(TRIM(M369&amp;""),설정_코드표!$C$2:$C$11,0)),TRIM(M369&amp;""),"⚠"&amp;TRIM(M369&amp;"")))</f>
        <v/>
      </c>
      <c r="U369" s="10">
        <f>IF(TRIM(L369&amp;"")="","",IFERROR(INDEX(설정_코드표!$G$2:$G$101,MATCH(TRIM(L369&amp;""),설정_코드표!$F$2:$F$101,0)),"⚠"&amp;TRIM(L369&amp;"")))</f>
        <v/>
      </c>
      <c r="V369" s="10">
        <f>IF(AND(ISNUMBER(H369),ISNUMBER(I369)),I369-H369+1,"")</f>
        <v/>
      </c>
      <c r="W369" s="17">
        <f>IF(ISNUMBER(H369),MAX(0,MIN(IF(ISNUMBER(I369),I369,EOMONTH(출력_요약!$B$3,0)),EOMONTH(출력_요약!$B$3,0))-MAX(H369,출력_요약!$B$3)+1),0)</f>
        <v/>
      </c>
      <c r="X369" s="10">
        <f>IF(OR(NOT(ISNUMBER(H369)),Q369=""),"",IF(TODAY()&lt;H369,"파견예정",IF(AND(ISNUMBER(I369),TODAY()&gt;I369),"파견종료","파견중")))</f>
        <v/>
      </c>
      <c r="Y369" s="10">
        <f>IF(OR(Q369="",X369=""),"",Q369&amp;"|"&amp;X369)</f>
        <v/>
      </c>
      <c r="Z369" s="10">
        <f>IF(AND(Q369&lt;&gt;"",W369&gt;0),Q369&amp;"|월","")</f>
        <v/>
      </c>
      <c r="AA369" s="10">
        <f>IF(COUNTA(B369:I369,K369:N369)=0,"",IF(Q369="","등록번호 없음",IF(LEFT(R369,1)="⚠","모병원명 미등록",IF(S369="","파견병원 입력",IF(LEFT(S369,1)="⚠","파견병원명 미등록",IF(LEFT(U369,1)="⚠","파견과목 미등록",IF(OR(T369="",LEFT(T369,1)="⚠"),"파견근거 확인",IF(NOT(AND(ISNUMBER(H369),ISNUMBER(I369))),"날짜 형식/누락",IF(I369&lt;H369,"종료일&lt;시작일","")))))))))</f>
        <v/>
      </c>
      <c r="AB369" s="11">
        <f>IF(ISNUMBER(SEARCH("다기관",TRIM(N369&amp;" "&amp;O369))),IFERROR(DATE(VALUE(MID(TRIM(N369&amp;" "&amp;O369),1,4)),VALUE(MID(TRIM(N369&amp;" "&amp;O369),6,2)),VALUE(MID(TRIM(N369&amp;" "&amp;O369),9,2))),IF(ISNUMBER(H369),H369,"")),"")</f>
        <v/>
      </c>
      <c r="AC369" s="11">
        <f>IF(ISNUMBER(SEARCH("다기관",TRIM(N369&amp;" "&amp;O369))),IFERROR(DATE(VALUE(MID(TRIM(N369&amp;" "&amp;O369),12,4)),VALUE(MID(TRIM(N369&amp;" "&amp;O369),17,2)),VALUE(MID(TRIM(N369&amp;" "&amp;O369),20,2))),IF(ISNUMBER(I369),I369,"")),"")</f>
        <v/>
      </c>
      <c r="AD369" s="17">
        <f>IF(AND(ISNUMBER(AB369),ISNUMBER(AC369)),MAX(0,MIN(AC369,EOMONTH(출력_요약!$B$3,0))-MAX(AB369,출력_요약!$B$3)+1),0)</f>
        <v/>
      </c>
      <c r="AE369" s="10">
        <f>IF(AND(Q369&lt;&gt;"",ISNUMBER(AB369)),Q369&amp;"|다기관","")</f>
        <v/>
      </c>
    </row>
    <row r="370">
      <c r="A370" s="15">
        <f>IF(F370="","",ROW()-3)</f>
        <v/>
      </c>
      <c r="B370" s="5" t="n"/>
      <c r="C370" s="15" t="n"/>
      <c r="D370" s="5" t="n"/>
      <c r="E370" s="15" t="n"/>
      <c r="F370" s="5" t="n"/>
      <c r="G370" s="6" t="n"/>
      <c r="H370" s="16" t="n"/>
      <c r="I370" s="16" t="n"/>
      <c r="J370" s="15">
        <f>IF(AND(ISNUMBER(H370),ISNUMBER(I370)),I370-H370+1,"")</f>
        <v/>
      </c>
      <c r="K370" s="5" t="n"/>
      <c r="L370" s="5" t="n"/>
      <c r="M370" s="5" t="n"/>
      <c r="N370" s="5" t="n"/>
      <c r="O370" s="5" t="n"/>
      <c r="Q370" s="10">
        <f>IF(TRIM(G370&amp;"")="","",TRIM(G370&amp;""))</f>
        <v/>
      </c>
      <c r="R370" s="10">
        <f>IF(TRIM(B370&amp;"")="","",IFERROR(INDEX(설정_코드표!$K$2:$K$101,MATCH(TRIM(B370&amp;""),설정_코드표!$J$2:$J$101,0)),"⚠"&amp;TRIM(B370&amp;"")))</f>
        <v/>
      </c>
      <c r="S370" s="10">
        <f>IF(TRIM(K370&amp;"")="","",IFERROR(INDEX(설정_코드표!$K$2:$K$101,MATCH(TRIM(K370&amp;""),설정_코드표!$J$2:$J$101,0)),"⚠"&amp;TRIM(K370&amp;"")))</f>
        <v/>
      </c>
      <c r="T370" s="10">
        <f>IF(TRIM(M370&amp;"")="","",IF(ISNUMBER(MATCH(TRIM(M370&amp;""),설정_코드표!$C$2:$C$11,0)),TRIM(M370&amp;""),"⚠"&amp;TRIM(M370&amp;"")))</f>
        <v/>
      </c>
      <c r="U370" s="10">
        <f>IF(TRIM(L370&amp;"")="","",IFERROR(INDEX(설정_코드표!$G$2:$G$101,MATCH(TRIM(L370&amp;""),설정_코드표!$F$2:$F$101,0)),"⚠"&amp;TRIM(L370&amp;"")))</f>
        <v/>
      </c>
      <c r="V370" s="10">
        <f>IF(AND(ISNUMBER(H370),ISNUMBER(I370)),I370-H370+1,"")</f>
        <v/>
      </c>
      <c r="W370" s="17">
        <f>IF(ISNUMBER(H370),MAX(0,MIN(IF(ISNUMBER(I370),I370,EOMONTH(출력_요약!$B$3,0)),EOMONTH(출력_요약!$B$3,0))-MAX(H370,출력_요약!$B$3)+1),0)</f>
        <v/>
      </c>
      <c r="X370" s="10">
        <f>IF(OR(NOT(ISNUMBER(H370)),Q370=""),"",IF(TODAY()&lt;H370,"파견예정",IF(AND(ISNUMBER(I370),TODAY()&gt;I370),"파견종료","파견중")))</f>
        <v/>
      </c>
      <c r="Y370" s="10">
        <f>IF(OR(Q370="",X370=""),"",Q370&amp;"|"&amp;X370)</f>
        <v/>
      </c>
      <c r="Z370" s="10">
        <f>IF(AND(Q370&lt;&gt;"",W370&gt;0),Q370&amp;"|월","")</f>
        <v/>
      </c>
      <c r="AA370" s="10">
        <f>IF(COUNTA(B370:I370,K370:N370)=0,"",IF(Q370="","등록번호 없음",IF(LEFT(R370,1)="⚠","모병원명 미등록",IF(S370="","파견병원 입력",IF(LEFT(S370,1)="⚠","파견병원명 미등록",IF(LEFT(U370,1)="⚠","파견과목 미등록",IF(OR(T370="",LEFT(T370,1)="⚠"),"파견근거 확인",IF(NOT(AND(ISNUMBER(H370),ISNUMBER(I370))),"날짜 형식/누락",IF(I370&lt;H370,"종료일&lt;시작일","")))))))))</f>
        <v/>
      </c>
      <c r="AB370" s="11">
        <f>IF(ISNUMBER(SEARCH("다기관",TRIM(N370&amp;" "&amp;O370))),IFERROR(DATE(VALUE(MID(TRIM(N370&amp;" "&amp;O370),1,4)),VALUE(MID(TRIM(N370&amp;" "&amp;O370),6,2)),VALUE(MID(TRIM(N370&amp;" "&amp;O370),9,2))),IF(ISNUMBER(H370),H370,"")),"")</f>
        <v/>
      </c>
      <c r="AC370" s="11">
        <f>IF(ISNUMBER(SEARCH("다기관",TRIM(N370&amp;" "&amp;O370))),IFERROR(DATE(VALUE(MID(TRIM(N370&amp;" "&amp;O370),12,4)),VALUE(MID(TRIM(N370&amp;" "&amp;O370),17,2)),VALUE(MID(TRIM(N370&amp;" "&amp;O370),20,2))),IF(ISNUMBER(I370),I370,"")),"")</f>
        <v/>
      </c>
      <c r="AD370" s="17">
        <f>IF(AND(ISNUMBER(AB370),ISNUMBER(AC370)),MAX(0,MIN(AC370,EOMONTH(출력_요약!$B$3,0))-MAX(AB370,출력_요약!$B$3)+1),0)</f>
        <v/>
      </c>
      <c r="AE370" s="10">
        <f>IF(AND(Q370&lt;&gt;"",ISNUMBER(AB370)),Q370&amp;"|다기관","")</f>
        <v/>
      </c>
    </row>
    <row r="371">
      <c r="A371" s="15">
        <f>IF(F371="","",ROW()-3)</f>
        <v/>
      </c>
      <c r="B371" s="5" t="n"/>
      <c r="C371" s="15" t="n"/>
      <c r="D371" s="5" t="n"/>
      <c r="E371" s="15" t="n"/>
      <c r="F371" s="5" t="n"/>
      <c r="G371" s="6" t="n"/>
      <c r="H371" s="16" t="n"/>
      <c r="I371" s="16" t="n"/>
      <c r="J371" s="15">
        <f>IF(AND(ISNUMBER(H371),ISNUMBER(I371)),I371-H371+1,"")</f>
        <v/>
      </c>
      <c r="K371" s="5" t="n"/>
      <c r="L371" s="5" t="n"/>
      <c r="M371" s="5" t="n"/>
      <c r="N371" s="5" t="n"/>
      <c r="O371" s="5" t="n"/>
      <c r="Q371" s="10">
        <f>IF(TRIM(G371&amp;"")="","",TRIM(G371&amp;""))</f>
        <v/>
      </c>
      <c r="R371" s="10">
        <f>IF(TRIM(B371&amp;"")="","",IFERROR(INDEX(설정_코드표!$K$2:$K$101,MATCH(TRIM(B371&amp;""),설정_코드표!$J$2:$J$101,0)),"⚠"&amp;TRIM(B371&amp;"")))</f>
        <v/>
      </c>
      <c r="S371" s="10">
        <f>IF(TRIM(K371&amp;"")="","",IFERROR(INDEX(설정_코드표!$K$2:$K$101,MATCH(TRIM(K371&amp;""),설정_코드표!$J$2:$J$101,0)),"⚠"&amp;TRIM(K371&amp;"")))</f>
        <v/>
      </c>
      <c r="T371" s="10">
        <f>IF(TRIM(M371&amp;"")="","",IF(ISNUMBER(MATCH(TRIM(M371&amp;""),설정_코드표!$C$2:$C$11,0)),TRIM(M371&amp;""),"⚠"&amp;TRIM(M371&amp;"")))</f>
        <v/>
      </c>
      <c r="U371" s="10">
        <f>IF(TRIM(L371&amp;"")="","",IFERROR(INDEX(설정_코드표!$G$2:$G$101,MATCH(TRIM(L371&amp;""),설정_코드표!$F$2:$F$101,0)),"⚠"&amp;TRIM(L371&amp;"")))</f>
        <v/>
      </c>
      <c r="V371" s="10">
        <f>IF(AND(ISNUMBER(H371),ISNUMBER(I371)),I371-H371+1,"")</f>
        <v/>
      </c>
      <c r="W371" s="17">
        <f>IF(ISNUMBER(H371),MAX(0,MIN(IF(ISNUMBER(I371),I371,EOMONTH(출력_요약!$B$3,0)),EOMONTH(출력_요약!$B$3,0))-MAX(H371,출력_요약!$B$3)+1),0)</f>
        <v/>
      </c>
      <c r="X371" s="10">
        <f>IF(OR(NOT(ISNUMBER(H371)),Q371=""),"",IF(TODAY()&lt;H371,"파견예정",IF(AND(ISNUMBER(I371),TODAY()&gt;I371),"파견종료","파견중")))</f>
        <v/>
      </c>
      <c r="Y371" s="10">
        <f>IF(OR(Q371="",X371=""),"",Q371&amp;"|"&amp;X371)</f>
        <v/>
      </c>
      <c r="Z371" s="10">
        <f>IF(AND(Q371&lt;&gt;"",W371&gt;0),Q371&amp;"|월","")</f>
        <v/>
      </c>
      <c r="AA371" s="10">
        <f>IF(COUNTA(B371:I371,K371:N371)=0,"",IF(Q371="","등록번호 없음",IF(LEFT(R371,1)="⚠","모병원명 미등록",IF(S371="","파견병원 입력",IF(LEFT(S371,1)="⚠","파견병원명 미등록",IF(LEFT(U371,1)="⚠","파견과목 미등록",IF(OR(T371="",LEFT(T371,1)="⚠"),"파견근거 확인",IF(NOT(AND(ISNUMBER(H371),ISNUMBER(I371))),"날짜 형식/누락",IF(I371&lt;H371,"종료일&lt;시작일","")))))))))</f>
        <v/>
      </c>
      <c r="AB371" s="11">
        <f>IF(ISNUMBER(SEARCH("다기관",TRIM(N371&amp;" "&amp;O371))),IFERROR(DATE(VALUE(MID(TRIM(N371&amp;" "&amp;O371),1,4)),VALUE(MID(TRIM(N371&amp;" "&amp;O371),6,2)),VALUE(MID(TRIM(N371&amp;" "&amp;O371),9,2))),IF(ISNUMBER(H371),H371,"")),"")</f>
        <v/>
      </c>
      <c r="AC371" s="11">
        <f>IF(ISNUMBER(SEARCH("다기관",TRIM(N371&amp;" "&amp;O371))),IFERROR(DATE(VALUE(MID(TRIM(N371&amp;" "&amp;O371),12,4)),VALUE(MID(TRIM(N371&amp;" "&amp;O371),17,2)),VALUE(MID(TRIM(N371&amp;" "&amp;O371),20,2))),IF(ISNUMBER(I371),I371,"")),"")</f>
        <v/>
      </c>
      <c r="AD371" s="17">
        <f>IF(AND(ISNUMBER(AB371),ISNUMBER(AC371)),MAX(0,MIN(AC371,EOMONTH(출력_요약!$B$3,0))-MAX(AB371,출력_요약!$B$3)+1),0)</f>
        <v/>
      </c>
      <c r="AE371" s="10">
        <f>IF(AND(Q371&lt;&gt;"",ISNUMBER(AB371)),Q371&amp;"|다기관","")</f>
        <v/>
      </c>
    </row>
    <row r="372">
      <c r="A372" s="15">
        <f>IF(F372="","",ROW()-3)</f>
        <v/>
      </c>
      <c r="B372" s="5" t="n"/>
      <c r="C372" s="15" t="n"/>
      <c r="D372" s="5" t="n"/>
      <c r="E372" s="15" t="n"/>
      <c r="F372" s="5" t="n"/>
      <c r="G372" s="6" t="n"/>
      <c r="H372" s="16" t="n"/>
      <c r="I372" s="16" t="n"/>
      <c r="J372" s="15">
        <f>IF(AND(ISNUMBER(H372),ISNUMBER(I372)),I372-H372+1,"")</f>
        <v/>
      </c>
      <c r="K372" s="5" t="n"/>
      <c r="L372" s="5" t="n"/>
      <c r="M372" s="5" t="n"/>
      <c r="N372" s="5" t="n"/>
      <c r="O372" s="5" t="n"/>
      <c r="Q372" s="10">
        <f>IF(TRIM(G372&amp;"")="","",TRIM(G372&amp;""))</f>
        <v/>
      </c>
      <c r="R372" s="10">
        <f>IF(TRIM(B372&amp;"")="","",IFERROR(INDEX(설정_코드표!$K$2:$K$101,MATCH(TRIM(B372&amp;""),설정_코드표!$J$2:$J$101,0)),"⚠"&amp;TRIM(B372&amp;"")))</f>
        <v/>
      </c>
      <c r="S372" s="10">
        <f>IF(TRIM(K372&amp;"")="","",IFERROR(INDEX(설정_코드표!$K$2:$K$101,MATCH(TRIM(K372&amp;""),설정_코드표!$J$2:$J$101,0)),"⚠"&amp;TRIM(K372&amp;"")))</f>
        <v/>
      </c>
      <c r="T372" s="10">
        <f>IF(TRIM(M372&amp;"")="","",IF(ISNUMBER(MATCH(TRIM(M372&amp;""),설정_코드표!$C$2:$C$11,0)),TRIM(M372&amp;""),"⚠"&amp;TRIM(M372&amp;"")))</f>
        <v/>
      </c>
      <c r="U372" s="10">
        <f>IF(TRIM(L372&amp;"")="","",IFERROR(INDEX(설정_코드표!$G$2:$G$101,MATCH(TRIM(L372&amp;""),설정_코드표!$F$2:$F$101,0)),"⚠"&amp;TRIM(L372&amp;"")))</f>
        <v/>
      </c>
      <c r="V372" s="10">
        <f>IF(AND(ISNUMBER(H372),ISNUMBER(I372)),I372-H372+1,"")</f>
        <v/>
      </c>
      <c r="W372" s="17">
        <f>IF(ISNUMBER(H372),MAX(0,MIN(IF(ISNUMBER(I372),I372,EOMONTH(출력_요약!$B$3,0)),EOMONTH(출력_요약!$B$3,0))-MAX(H372,출력_요약!$B$3)+1),0)</f>
        <v/>
      </c>
      <c r="X372" s="10">
        <f>IF(OR(NOT(ISNUMBER(H372)),Q372=""),"",IF(TODAY()&lt;H372,"파견예정",IF(AND(ISNUMBER(I372),TODAY()&gt;I372),"파견종료","파견중")))</f>
        <v/>
      </c>
      <c r="Y372" s="10">
        <f>IF(OR(Q372="",X372=""),"",Q372&amp;"|"&amp;X372)</f>
        <v/>
      </c>
      <c r="Z372" s="10">
        <f>IF(AND(Q372&lt;&gt;"",W372&gt;0),Q372&amp;"|월","")</f>
        <v/>
      </c>
      <c r="AA372" s="10">
        <f>IF(COUNTA(B372:I372,K372:N372)=0,"",IF(Q372="","등록번호 없음",IF(LEFT(R372,1)="⚠","모병원명 미등록",IF(S372="","파견병원 입력",IF(LEFT(S372,1)="⚠","파견병원명 미등록",IF(LEFT(U372,1)="⚠","파견과목 미등록",IF(OR(T372="",LEFT(T372,1)="⚠"),"파견근거 확인",IF(NOT(AND(ISNUMBER(H372),ISNUMBER(I372))),"날짜 형식/누락",IF(I372&lt;H372,"종료일&lt;시작일","")))))))))</f>
        <v/>
      </c>
      <c r="AB372" s="11">
        <f>IF(ISNUMBER(SEARCH("다기관",TRIM(N372&amp;" "&amp;O372))),IFERROR(DATE(VALUE(MID(TRIM(N372&amp;" "&amp;O372),1,4)),VALUE(MID(TRIM(N372&amp;" "&amp;O372),6,2)),VALUE(MID(TRIM(N372&amp;" "&amp;O372),9,2))),IF(ISNUMBER(H372),H372,"")),"")</f>
        <v/>
      </c>
      <c r="AC372" s="11">
        <f>IF(ISNUMBER(SEARCH("다기관",TRIM(N372&amp;" "&amp;O372))),IFERROR(DATE(VALUE(MID(TRIM(N372&amp;" "&amp;O372),12,4)),VALUE(MID(TRIM(N372&amp;" "&amp;O372),17,2)),VALUE(MID(TRIM(N372&amp;" "&amp;O372),20,2))),IF(ISNUMBER(I372),I372,"")),"")</f>
        <v/>
      </c>
      <c r="AD372" s="17">
        <f>IF(AND(ISNUMBER(AB372),ISNUMBER(AC372)),MAX(0,MIN(AC372,EOMONTH(출력_요약!$B$3,0))-MAX(AB372,출력_요약!$B$3)+1),0)</f>
        <v/>
      </c>
      <c r="AE372" s="10">
        <f>IF(AND(Q372&lt;&gt;"",ISNUMBER(AB372)),Q372&amp;"|다기관","")</f>
        <v/>
      </c>
    </row>
    <row r="373">
      <c r="A373" s="15">
        <f>IF(F373="","",ROW()-3)</f>
        <v/>
      </c>
      <c r="B373" s="5" t="n"/>
      <c r="C373" s="15" t="n"/>
      <c r="D373" s="5" t="n"/>
      <c r="E373" s="15" t="n"/>
      <c r="F373" s="5" t="n"/>
      <c r="G373" s="6" t="n"/>
      <c r="H373" s="16" t="n"/>
      <c r="I373" s="16" t="n"/>
      <c r="J373" s="15">
        <f>IF(AND(ISNUMBER(H373),ISNUMBER(I373)),I373-H373+1,"")</f>
        <v/>
      </c>
      <c r="K373" s="5" t="n"/>
      <c r="L373" s="5" t="n"/>
      <c r="M373" s="5" t="n"/>
      <c r="N373" s="5" t="n"/>
      <c r="O373" s="5" t="n"/>
      <c r="Q373" s="10">
        <f>IF(TRIM(G373&amp;"")="","",TRIM(G373&amp;""))</f>
        <v/>
      </c>
      <c r="R373" s="10">
        <f>IF(TRIM(B373&amp;"")="","",IFERROR(INDEX(설정_코드표!$K$2:$K$101,MATCH(TRIM(B373&amp;""),설정_코드표!$J$2:$J$101,0)),"⚠"&amp;TRIM(B373&amp;"")))</f>
        <v/>
      </c>
      <c r="S373" s="10">
        <f>IF(TRIM(K373&amp;"")="","",IFERROR(INDEX(설정_코드표!$K$2:$K$101,MATCH(TRIM(K373&amp;""),설정_코드표!$J$2:$J$101,0)),"⚠"&amp;TRIM(K373&amp;"")))</f>
        <v/>
      </c>
      <c r="T373" s="10">
        <f>IF(TRIM(M373&amp;"")="","",IF(ISNUMBER(MATCH(TRIM(M373&amp;""),설정_코드표!$C$2:$C$11,0)),TRIM(M373&amp;""),"⚠"&amp;TRIM(M373&amp;"")))</f>
        <v/>
      </c>
      <c r="U373" s="10">
        <f>IF(TRIM(L373&amp;"")="","",IFERROR(INDEX(설정_코드표!$G$2:$G$101,MATCH(TRIM(L373&amp;""),설정_코드표!$F$2:$F$101,0)),"⚠"&amp;TRIM(L373&amp;"")))</f>
        <v/>
      </c>
      <c r="V373" s="10">
        <f>IF(AND(ISNUMBER(H373),ISNUMBER(I373)),I373-H373+1,"")</f>
        <v/>
      </c>
      <c r="W373" s="17">
        <f>IF(ISNUMBER(H373),MAX(0,MIN(IF(ISNUMBER(I373),I373,EOMONTH(출력_요약!$B$3,0)),EOMONTH(출력_요약!$B$3,0))-MAX(H373,출력_요약!$B$3)+1),0)</f>
        <v/>
      </c>
      <c r="X373" s="10">
        <f>IF(OR(NOT(ISNUMBER(H373)),Q373=""),"",IF(TODAY()&lt;H373,"파견예정",IF(AND(ISNUMBER(I373),TODAY()&gt;I373),"파견종료","파견중")))</f>
        <v/>
      </c>
      <c r="Y373" s="10">
        <f>IF(OR(Q373="",X373=""),"",Q373&amp;"|"&amp;X373)</f>
        <v/>
      </c>
      <c r="Z373" s="10">
        <f>IF(AND(Q373&lt;&gt;"",W373&gt;0),Q373&amp;"|월","")</f>
        <v/>
      </c>
      <c r="AA373" s="10">
        <f>IF(COUNTA(B373:I373,K373:N373)=0,"",IF(Q373="","등록번호 없음",IF(LEFT(R373,1)="⚠","모병원명 미등록",IF(S373="","파견병원 입력",IF(LEFT(S373,1)="⚠","파견병원명 미등록",IF(LEFT(U373,1)="⚠","파견과목 미등록",IF(OR(T373="",LEFT(T373,1)="⚠"),"파견근거 확인",IF(NOT(AND(ISNUMBER(H373),ISNUMBER(I373))),"날짜 형식/누락",IF(I373&lt;H373,"종료일&lt;시작일","")))))))))</f>
        <v/>
      </c>
      <c r="AB373" s="11">
        <f>IF(ISNUMBER(SEARCH("다기관",TRIM(N373&amp;" "&amp;O373))),IFERROR(DATE(VALUE(MID(TRIM(N373&amp;" "&amp;O373),1,4)),VALUE(MID(TRIM(N373&amp;" "&amp;O373),6,2)),VALUE(MID(TRIM(N373&amp;" "&amp;O373),9,2))),IF(ISNUMBER(H373),H373,"")),"")</f>
        <v/>
      </c>
      <c r="AC373" s="11">
        <f>IF(ISNUMBER(SEARCH("다기관",TRIM(N373&amp;" "&amp;O373))),IFERROR(DATE(VALUE(MID(TRIM(N373&amp;" "&amp;O373),12,4)),VALUE(MID(TRIM(N373&amp;" "&amp;O373),17,2)),VALUE(MID(TRIM(N373&amp;" "&amp;O373),20,2))),IF(ISNUMBER(I373),I373,"")),"")</f>
        <v/>
      </c>
      <c r="AD373" s="17">
        <f>IF(AND(ISNUMBER(AB373),ISNUMBER(AC373)),MAX(0,MIN(AC373,EOMONTH(출력_요약!$B$3,0))-MAX(AB373,출력_요약!$B$3)+1),0)</f>
        <v/>
      </c>
      <c r="AE373" s="10">
        <f>IF(AND(Q373&lt;&gt;"",ISNUMBER(AB373)),Q373&amp;"|다기관","")</f>
        <v/>
      </c>
    </row>
    <row r="374">
      <c r="A374" s="15">
        <f>IF(F374="","",ROW()-3)</f>
        <v/>
      </c>
      <c r="B374" s="5" t="n"/>
      <c r="C374" s="15" t="n"/>
      <c r="D374" s="5" t="n"/>
      <c r="E374" s="15" t="n"/>
      <c r="F374" s="5" t="n"/>
      <c r="G374" s="6" t="n"/>
      <c r="H374" s="16" t="n"/>
      <c r="I374" s="16" t="n"/>
      <c r="J374" s="15">
        <f>IF(AND(ISNUMBER(H374),ISNUMBER(I374)),I374-H374+1,"")</f>
        <v/>
      </c>
      <c r="K374" s="5" t="n"/>
      <c r="L374" s="5" t="n"/>
      <c r="M374" s="5" t="n"/>
      <c r="N374" s="5" t="n"/>
      <c r="O374" s="5" t="n"/>
      <c r="Q374" s="10">
        <f>IF(TRIM(G374&amp;"")="","",TRIM(G374&amp;""))</f>
        <v/>
      </c>
      <c r="R374" s="10">
        <f>IF(TRIM(B374&amp;"")="","",IFERROR(INDEX(설정_코드표!$K$2:$K$101,MATCH(TRIM(B374&amp;""),설정_코드표!$J$2:$J$101,0)),"⚠"&amp;TRIM(B374&amp;"")))</f>
        <v/>
      </c>
      <c r="S374" s="10">
        <f>IF(TRIM(K374&amp;"")="","",IFERROR(INDEX(설정_코드표!$K$2:$K$101,MATCH(TRIM(K374&amp;""),설정_코드표!$J$2:$J$101,0)),"⚠"&amp;TRIM(K374&amp;"")))</f>
        <v/>
      </c>
      <c r="T374" s="10">
        <f>IF(TRIM(M374&amp;"")="","",IF(ISNUMBER(MATCH(TRIM(M374&amp;""),설정_코드표!$C$2:$C$11,0)),TRIM(M374&amp;""),"⚠"&amp;TRIM(M374&amp;"")))</f>
        <v/>
      </c>
      <c r="U374" s="10">
        <f>IF(TRIM(L374&amp;"")="","",IFERROR(INDEX(설정_코드표!$G$2:$G$101,MATCH(TRIM(L374&amp;""),설정_코드표!$F$2:$F$101,0)),"⚠"&amp;TRIM(L374&amp;"")))</f>
        <v/>
      </c>
      <c r="V374" s="10">
        <f>IF(AND(ISNUMBER(H374),ISNUMBER(I374)),I374-H374+1,"")</f>
        <v/>
      </c>
      <c r="W374" s="17">
        <f>IF(ISNUMBER(H374),MAX(0,MIN(IF(ISNUMBER(I374),I374,EOMONTH(출력_요약!$B$3,0)),EOMONTH(출력_요약!$B$3,0))-MAX(H374,출력_요약!$B$3)+1),0)</f>
        <v/>
      </c>
      <c r="X374" s="10">
        <f>IF(OR(NOT(ISNUMBER(H374)),Q374=""),"",IF(TODAY()&lt;H374,"파견예정",IF(AND(ISNUMBER(I374),TODAY()&gt;I374),"파견종료","파견중")))</f>
        <v/>
      </c>
      <c r="Y374" s="10">
        <f>IF(OR(Q374="",X374=""),"",Q374&amp;"|"&amp;X374)</f>
        <v/>
      </c>
      <c r="Z374" s="10">
        <f>IF(AND(Q374&lt;&gt;"",W374&gt;0),Q374&amp;"|월","")</f>
        <v/>
      </c>
      <c r="AA374" s="10">
        <f>IF(COUNTA(B374:I374,K374:N374)=0,"",IF(Q374="","등록번호 없음",IF(LEFT(R374,1)="⚠","모병원명 미등록",IF(S374="","파견병원 입력",IF(LEFT(S374,1)="⚠","파견병원명 미등록",IF(LEFT(U374,1)="⚠","파견과목 미등록",IF(OR(T374="",LEFT(T374,1)="⚠"),"파견근거 확인",IF(NOT(AND(ISNUMBER(H374),ISNUMBER(I374))),"날짜 형식/누락",IF(I374&lt;H374,"종료일&lt;시작일","")))))))))</f>
        <v/>
      </c>
      <c r="AB374" s="11">
        <f>IF(ISNUMBER(SEARCH("다기관",TRIM(N374&amp;" "&amp;O374))),IFERROR(DATE(VALUE(MID(TRIM(N374&amp;" "&amp;O374),1,4)),VALUE(MID(TRIM(N374&amp;" "&amp;O374),6,2)),VALUE(MID(TRIM(N374&amp;" "&amp;O374),9,2))),IF(ISNUMBER(H374),H374,"")),"")</f>
        <v/>
      </c>
      <c r="AC374" s="11">
        <f>IF(ISNUMBER(SEARCH("다기관",TRIM(N374&amp;" "&amp;O374))),IFERROR(DATE(VALUE(MID(TRIM(N374&amp;" "&amp;O374),12,4)),VALUE(MID(TRIM(N374&amp;" "&amp;O374),17,2)),VALUE(MID(TRIM(N374&amp;" "&amp;O374),20,2))),IF(ISNUMBER(I374),I374,"")),"")</f>
        <v/>
      </c>
      <c r="AD374" s="17">
        <f>IF(AND(ISNUMBER(AB374),ISNUMBER(AC374)),MAX(0,MIN(AC374,EOMONTH(출력_요약!$B$3,0))-MAX(AB374,출력_요약!$B$3)+1),0)</f>
        <v/>
      </c>
      <c r="AE374" s="10">
        <f>IF(AND(Q374&lt;&gt;"",ISNUMBER(AB374)),Q374&amp;"|다기관","")</f>
        <v/>
      </c>
    </row>
    <row r="375">
      <c r="A375" s="15">
        <f>IF(F375="","",ROW()-3)</f>
        <v/>
      </c>
      <c r="B375" s="5" t="n"/>
      <c r="C375" s="15" t="n"/>
      <c r="D375" s="5" t="n"/>
      <c r="E375" s="15" t="n"/>
      <c r="F375" s="5" t="n"/>
      <c r="G375" s="6" t="n"/>
      <c r="H375" s="16" t="n"/>
      <c r="I375" s="16" t="n"/>
      <c r="J375" s="15">
        <f>IF(AND(ISNUMBER(H375),ISNUMBER(I375)),I375-H375+1,"")</f>
        <v/>
      </c>
      <c r="K375" s="5" t="n"/>
      <c r="L375" s="5" t="n"/>
      <c r="M375" s="5" t="n"/>
      <c r="N375" s="5" t="n"/>
      <c r="O375" s="5" t="n"/>
      <c r="Q375" s="10">
        <f>IF(TRIM(G375&amp;"")="","",TRIM(G375&amp;""))</f>
        <v/>
      </c>
      <c r="R375" s="10">
        <f>IF(TRIM(B375&amp;"")="","",IFERROR(INDEX(설정_코드표!$K$2:$K$101,MATCH(TRIM(B375&amp;""),설정_코드표!$J$2:$J$101,0)),"⚠"&amp;TRIM(B375&amp;"")))</f>
        <v/>
      </c>
      <c r="S375" s="10">
        <f>IF(TRIM(K375&amp;"")="","",IFERROR(INDEX(설정_코드표!$K$2:$K$101,MATCH(TRIM(K375&amp;""),설정_코드표!$J$2:$J$101,0)),"⚠"&amp;TRIM(K375&amp;"")))</f>
        <v/>
      </c>
      <c r="T375" s="10">
        <f>IF(TRIM(M375&amp;"")="","",IF(ISNUMBER(MATCH(TRIM(M375&amp;""),설정_코드표!$C$2:$C$11,0)),TRIM(M375&amp;""),"⚠"&amp;TRIM(M375&amp;"")))</f>
        <v/>
      </c>
      <c r="U375" s="10">
        <f>IF(TRIM(L375&amp;"")="","",IFERROR(INDEX(설정_코드표!$G$2:$G$101,MATCH(TRIM(L375&amp;""),설정_코드표!$F$2:$F$101,0)),"⚠"&amp;TRIM(L375&amp;"")))</f>
        <v/>
      </c>
      <c r="V375" s="10">
        <f>IF(AND(ISNUMBER(H375),ISNUMBER(I375)),I375-H375+1,"")</f>
        <v/>
      </c>
      <c r="W375" s="17">
        <f>IF(ISNUMBER(H375),MAX(0,MIN(IF(ISNUMBER(I375),I375,EOMONTH(출력_요약!$B$3,0)),EOMONTH(출력_요약!$B$3,0))-MAX(H375,출력_요약!$B$3)+1),0)</f>
        <v/>
      </c>
      <c r="X375" s="10">
        <f>IF(OR(NOT(ISNUMBER(H375)),Q375=""),"",IF(TODAY()&lt;H375,"파견예정",IF(AND(ISNUMBER(I375),TODAY()&gt;I375),"파견종료","파견중")))</f>
        <v/>
      </c>
      <c r="Y375" s="10">
        <f>IF(OR(Q375="",X375=""),"",Q375&amp;"|"&amp;X375)</f>
        <v/>
      </c>
      <c r="Z375" s="10">
        <f>IF(AND(Q375&lt;&gt;"",W375&gt;0),Q375&amp;"|월","")</f>
        <v/>
      </c>
      <c r="AA375" s="10">
        <f>IF(COUNTA(B375:I375,K375:N375)=0,"",IF(Q375="","등록번호 없음",IF(LEFT(R375,1)="⚠","모병원명 미등록",IF(S375="","파견병원 입력",IF(LEFT(S375,1)="⚠","파견병원명 미등록",IF(LEFT(U375,1)="⚠","파견과목 미등록",IF(OR(T375="",LEFT(T375,1)="⚠"),"파견근거 확인",IF(NOT(AND(ISNUMBER(H375),ISNUMBER(I375))),"날짜 형식/누락",IF(I375&lt;H375,"종료일&lt;시작일","")))))))))</f>
        <v/>
      </c>
      <c r="AB375" s="11">
        <f>IF(ISNUMBER(SEARCH("다기관",TRIM(N375&amp;" "&amp;O375))),IFERROR(DATE(VALUE(MID(TRIM(N375&amp;" "&amp;O375),1,4)),VALUE(MID(TRIM(N375&amp;" "&amp;O375),6,2)),VALUE(MID(TRIM(N375&amp;" "&amp;O375),9,2))),IF(ISNUMBER(H375),H375,"")),"")</f>
        <v/>
      </c>
      <c r="AC375" s="11">
        <f>IF(ISNUMBER(SEARCH("다기관",TRIM(N375&amp;" "&amp;O375))),IFERROR(DATE(VALUE(MID(TRIM(N375&amp;" "&amp;O375),12,4)),VALUE(MID(TRIM(N375&amp;" "&amp;O375),17,2)),VALUE(MID(TRIM(N375&amp;" "&amp;O375),20,2))),IF(ISNUMBER(I375),I375,"")),"")</f>
        <v/>
      </c>
      <c r="AD375" s="17">
        <f>IF(AND(ISNUMBER(AB375),ISNUMBER(AC375)),MAX(0,MIN(AC375,EOMONTH(출력_요약!$B$3,0))-MAX(AB375,출력_요약!$B$3)+1),0)</f>
        <v/>
      </c>
      <c r="AE375" s="10">
        <f>IF(AND(Q375&lt;&gt;"",ISNUMBER(AB375)),Q375&amp;"|다기관","")</f>
        <v/>
      </c>
    </row>
    <row r="376">
      <c r="A376" s="15">
        <f>IF(F376="","",ROW()-3)</f>
        <v/>
      </c>
      <c r="B376" s="5" t="n"/>
      <c r="C376" s="15" t="n"/>
      <c r="D376" s="5" t="n"/>
      <c r="E376" s="15" t="n"/>
      <c r="F376" s="5" t="n"/>
      <c r="G376" s="6" t="n"/>
      <c r="H376" s="16" t="n"/>
      <c r="I376" s="16" t="n"/>
      <c r="J376" s="15">
        <f>IF(AND(ISNUMBER(H376),ISNUMBER(I376)),I376-H376+1,"")</f>
        <v/>
      </c>
      <c r="K376" s="5" t="n"/>
      <c r="L376" s="5" t="n"/>
      <c r="M376" s="5" t="n"/>
      <c r="N376" s="5" t="n"/>
      <c r="O376" s="5" t="n"/>
      <c r="Q376" s="10">
        <f>IF(TRIM(G376&amp;"")="","",TRIM(G376&amp;""))</f>
        <v/>
      </c>
      <c r="R376" s="10">
        <f>IF(TRIM(B376&amp;"")="","",IFERROR(INDEX(설정_코드표!$K$2:$K$101,MATCH(TRIM(B376&amp;""),설정_코드표!$J$2:$J$101,0)),"⚠"&amp;TRIM(B376&amp;"")))</f>
        <v/>
      </c>
      <c r="S376" s="10">
        <f>IF(TRIM(K376&amp;"")="","",IFERROR(INDEX(설정_코드표!$K$2:$K$101,MATCH(TRIM(K376&amp;""),설정_코드표!$J$2:$J$101,0)),"⚠"&amp;TRIM(K376&amp;"")))</f>
        <v/>
      </c>
      <c r="T376" s="10">
        <f>IF(TRIM(M376&amp;"")="","",IF(ISNUMBER(MATCH(TRIM(M376&amp;""),설정_코드표!$C$2:$C$11,0)),TRIM(M376&amp;""),"⚠"&amp;TRIM(M376&amp;"")))</f>
        <v/>
      </c>
      <c r="U376" s="10">
        <f>IF(TRIM(L376&amp;"")="","",IFERROR(INDEX(설정_코드표!$G$2:$G$101,MATCH(TRIM(L376&amp;""),설정_코드표!$F$2:$F$101,0)),"⚠"&amp;TRIM(L376&amp;"")))</f>
        <v/>
      </c>
      <c r="V376" s="10">
        <f>IF(AND(ISNUMBER(H376),ISNUMBER(I376)),I376-H376+1,"")</f>
        <v/>
      </c>
      <c r="W376" s="17">
        <f>IF(ISNUMBER(H376),MAX(0,MIN(IF(ISNUMBER(I376),I376,EOMONTH(출력_요약!$B$3,0)),EOMONTH(출력_요약!$B$3,0))-MAX(H376,출력_요약!$B$3)+1),0)</f>
        <v/>
      </c>
      <c r="X376" s="10">
        <f>IF(OR(NOT(ISNUMBER(H376)),Q376=""),"",IF(TODAY()&lt;H376,"파견예정",IF(AND(ISNUMBER(I376),TODAY()&gt;I376),"파견종료","파견중")))</f>
        <v/>
      </c>
      <c r="Y376" s="10">
        <f>IF(OR(Q376="",X376=""),"",Q376&amp;"|"&amp;X376)</f>
        <v/>
      </c>
      <c r="Z376" s="10">
        <f>IF(AND(Q376&lt;&gt;"",W376&gt;0),Q376&amp;"|월","")</f>
        <v/>
      </c>
      <c r="AA376" s="10">
        <f>IF(COUNTA(B376:I376,K376:N376)=0,"",IF(Q376="","등록번호 없음",IF(LEFT(R376,1)="⚠","모병원명 미등록",IF(S376="","파견병원 입력",IF(LEFT(S376,1)="⚠","파견병원명 미등록",IF(LEFT(U376,1)="⚠","파견과목 미등록",IF(OR(T376="",LEFT(T376,1)="⚠"),"파견근거 확인",IF(NOT(AND(ISNUMBER(H376),ISNUMBER(I376))),"날짜 형식/누락",IF(I376&lt;H376,"종료일&lt;시작일","")))))))))</f>
        <v/>
      </c>
      <c r="AB376" s="11">
        <f>IF(ISNUMBER(SEARCH("다기관",TRIM(N376&amp;" "&amp;O376))),IFERROR(DATE(VALUE(MID(TRIM(N376&amp;" "&amp;O376),1,4)),VALUE(MID(TRIM(N376&amp;" "&amp;O376),6,2)),VALUE(MID(TRIM(N376&amp;" "&amp;O376),9,2))),IF(ISNUMBER(H376),H376,"")),"")</f>
        <v/>
      </c>
      <c r="AC376" s="11">
        <f>IF(ISNUMBER(SEARCH("다기관",TRIM(N376&amp;" "&amp;O376))),IFERROR(DATE(VALUE(MID(TRIM(N376&amp;" "&amp;O376),12,4)),VALUE(MID(TRIM(N376&amp;" "&amp;O376),17,2)),VALUE(MID(TRIM(N376&amp;" "&amp;O376),20,2))),IF(ISNUMBER(I376),I376,"")),"")</f>
        <v/>
      </c>
      <c r="AD376" s="17">
        <f>IF(AND(ISNUMBER(AB376),ISNUMBER(AC376)),MAX(0,MIN(AC376,EOMONTH(출력_요약!$B$3,0))-MAX(AB376,출력_요약!$B$3)+1),0)</f>
        <v/>
      </c>
      <c r="AE376" s="10">
        <f>IF(AND(Q376&lt;&gt;"",ISNUMBER(AB376)),Q376&amp;"|다기관","")</f>
        <v/>
      </c>
    </row>
    <row r="377">
      <c r="A377" s="15">
        <f>IF(F377="","",ROW()-3)</f>
        <v/>
      </c>
      <c r="B377" s="5" t="n"/>
      <c r="C377" s="15" t="n"/>
      <c r="D377" s="5" t="n"/>
      <c r="E377" s="15" t="n"/>
      <c r="F377" s="5" t="n"/>
      <c r="G377" s="6" t="n"/>
      <c r="H377" s="16" t="n"/>
      <c r="I377" s="16" t="n"/>
      <c r="J377" s="15">
        <f>IF(AND(ISNUMBER(H377),ISNUMBER(I377)),I377-H377+1,"")</f>
        <v/>
      </c>
      <c r="K377" s="5" t="n"/>
      <c r="L377" s="5" t="n"/>
      <c r="M377" s="5" t="n"/>
      <c r="N377" s="5" t="n"/>
      <c r="O377" s="5" t="n"/>
      <c r="Q377" s="10">
        <f>IF(TRIM(G377&amp;"")="","",TRIM(G377&amp;""))</f>
        <v/>
      </c>
      <c r="R377" s="10">
        <f>IF(TRIM(B377&amp;"")="","",IFERROR(INDEX(설정_코드표!$K$2:$K$101,MATCH(TRIM(B377&amp;""),설정_코드표!$J$2:$J$101,0)),"⚠"&amp;TRIM(B377&amp;"")))</f>
        <v/>
      </c>
      <c r="S377" s="10">
        <f>IF(TRIM(K377&amp;"")="","",IFERROR(INDEX(설정_코드표!$K$2:$K$101,MATCH(TRIM(K377&amp;""),설정_코드표!$J$2:$J$101,0)),"⚠"&amp;TRIM(K377&amp;"")))</f>
        <v/>
      </c>
      <c r="T377" s="10">
        <f>IF(TRIM(M377&amp;"")="","",IF(ISNUMBER(MATCH(TRIM(M377&amp;""),설정_코드표!$C$2:$C$11,0)),TRIM(M377&amp;""),"⚠"&amp;TRIM(M377&amp;"")))</f>
        <v/>
      </c>
      <c r="U377" s="10">
        <f>IF(TRIM(L377&amp;"")="","",IFERROR(INDEX(설정_코드표!$G$2:$G$101,MATCH(TRIM(L377&amp;""),설정_코드표!$F$2:$F$101,0)),"⚠"&amp;TRIM(L377&amp;"")))</f>
        <v/>
      </c>
      <c r="V377" s="10">
        <f>IF(AND(ISNUMBER(H377),ISNUMBER(I377)),I377-H377+1,"")</f>
        <v/>
      </c>
      <c r="W377" s="17">
        <f>IF(ISNUMBER(H377),MAX(0,MIN(IF(ISNUMBER(I377),I377,EOMONTH(출력_요약!$B$3,0)),EOMONTH(출력_요약!$B$3,0))-MAX(H377,출력_요약!$B$3)+1),0)</f>
        <v/>
      </c>
      <c r="X377" s="10">
        <f>IF(OR(NOT(ISNUMBER(H377)),Q377=""),"",IF(TODAY()&lt;H377,"파견예정",IF(AND(ISNUMBER(I377),TODAY()&gt;I377),"파견종료","파견중")))</f>
        <v/>
      </c>
      <c r="Y377" s="10">
        <f>IF(OR(Q377="",X377=""),"",Q377&amp;"|"&amp;X377)</f>
        <v/>
      </c>
      <c r="Z377" s="10">
        <f>IF(AND(Q377&lt;&gt;"",W377&gt;0),Q377&amp;"|월","")</f>
        <v/>
      </c>
      <c r="AA377" s="10">
        <f>IF(COUNTA(B377:I377,K377:N377)=0,"",IF(Q377="","등록번호 없음",IF(LEFT(R377,1)="⚠","모병원명 미등록",IF(S377="","파견병원 입력",IF(LEFT(S377,1)="⚠","파견병원명 미등록",IF(LEFT(U377,1)="⚠","파견과목 미등록",IF(OR(T377="",LEFT(T377,1)="⚠"),"파견근거 확인",IF(NOT(AND(ISNUMBER(H377),ISNUMBER(I377))),"날짜 형식/누락",IF(I377&lt;H377,"종료일&lt;시작일","")))))))))</f>
        <v/>
      </c>
      <c r="AB377" s="11">
        <f>IF(ISNUMBER(SEARCH("다기관",TRIM(N377&amp;" "&amp;O377))),IFERROR(DATE(VALUE(MID(TRIM(N377&amp;" "&amp;O377),1,4)),VALUE(MID(TRIM(N377&amp;" "&amp;O377),6,2)),VALUE(MID(TRIM(N377&amp;" "&amp;O377),9,2))),IF(ISNUMBER(H377),H377,"")),"")</f>
        <v/>
      </c>
      <c r="AC377" s="11">
        <f>IF(ISNUMBER(SEARCH("다기관",TRIM(N377&amp;" "&amp;O377))),IFERROR(DATE(VALUE(MID(TRIM(N377&amp;" "&amp;O377),12,4)),VALUE(MID(TRIM(N377&amp;" "&amp;O377),17,2)),VALUE(MID(TRIM(N377&amp;" "&amp;O377),20,2))),IF(ISNUMBER(I377),I377,"")),"")</f>
        <v/>
      </c>
      <c r="AD377" s="17">
        <f>IF(AND(ISNUMBER(AB377),ISNUMBER(AC377)),MAX(0,MIN(AC377,EOMONTH(출력_요약!$B$3,0))-MAX(AB377,출력_요약!$B$3)+1),0)</f>
        <v/>
      </c>
      <c r="AE377" s="10">
        <f>IF(AND(Q377&lt;&gt;"",ISNUMBER(AB377)),Q377&amp;"|다기관","")</f>
        <v/>
      </c>
    </row>
    <row r="378">
      <c r="A378" s="15">
        <f>IF(F378="","",ROW()-3)</f>
        <v/>
      </c>
      <c r="B378" s="5" t="n"/>
      <c r="C378" s="15" t="n"/>
      <c r="D378" s="5" t="n"/>
      <c r="E378" s="15" t="n"/>
      <c r="F378" s="5" t="n"/>
      <c r="G378" s="6" t="n"/>
      <c r="H378" s="16" t="n"/>
      <c r="I378" s="16" t="n"/>
      <c r="J378" s="15">
        <f>IF(AND(ISNUMBER(H378),ISNUMBER(I378)),I378-H378+1,"")</f>
        <v/>
      </c>
      <c r="K378" s="5" t="n"/>
      <c r="L378" s="5" t="n"/>
      <c r="M378" s="5" t="n"/>
      <c r="N378" s="5" t="n"/>
      <c r="O378" s="5" t="n"/>
      <c r="Q378" s="10">
        <f>IF(TRIM(G378&amp;"")="","",TRIM(G378&amp;""))</f>
        <v/>
      </c>
      <c r="R378" s="10">
        <f>IF(TRIM(B378&amp;"")="","",IFERROR(INDEX(설정_코드표!$K$2:$K$101,MATCH(TRIM(B378&amp;""),설정_코드표!$J$2:$J$101,0)),"⚠"&amp;TRIM(B378&amp;"")))</f>
        <v/>
      </c>
      <c r="S378" s="10">
        <f>IF(TRIM(K378&amp;"")="","",IFERROR(INDEX(설정_코드표!$K$2:$K$101,MATCH(TRIM(K378&amp;""),설정_코드표!$J$2:$J$101,0)),"⚠"&amp;TRIM(K378&amp;"")))</f>
        <v/>
      </c>
      <c r="T378" s="10">
        <f>IF(TRIM(M378&amp;"")="","",IF(ISNUMBER(MATCH(TRIM(M378&amp;""),설정_코드표!$C$2:$C$11,0)),TRIM(M378&amp;""),"⚠"&amp;TRIM(M378&amp;"")))</f>
        <v/>
      </c>
      <c r="U378" s="10">
        <f>IF(TRIM(L378&amp;"")="","",IFERROR(INDEX(설정_코드표!$G$2:$G$101,MATCH(TRIM(L378&amp;""),설정_코드표!$F$2:$F$101,0)),"⚠"&amp;TRIM(L378&amp;"")))</f>
        <v/>
      </c>
      <c r="V378" s="10">
        <f>IF(AND(ISNUMBER(H378),ISNUMBER(I378)),I378-H378+1,"")</f>
        <v/>
      </c>
      <c r="W378" s="17">
        <f>IF(ISNUMBER(H378),MAX(0,MIN(IF(ISNUMBER(I378),I378,EOMONTH(출력_요약!$B$3,0)),EOMONTH(출력_요약!$B$3,0))-MAX(H378,출력_요약!$B$3)+1),0)</f>
        <v/>
      </c>
      <c r="X378" s="10">
        <f>IF(OR(NOT(ISNUMBER(H378)),Q378=""),"",IF(TODAY()&lt;H378,"파견예정",IF(AND(ISNUMBER(I378),TODAY()&gt;I378),"파견종료","파견중")))</f>
        <v/>
      </c>
      <c r="Y378" s="10">
        <f>IF(OR(Q378="",X378=""),"",Q378&amp;"|"&amp;X378)</f>
        <v/>
      </c>
      <c r="Z378" s="10">
        <f>IF(AND(Q378&lt;&gt;"",W378&gt;0),Q378&amp;"|월","")</f>
        <v/>
      </c>
      <c r="AA378" s="10">
        <f>IF(COUNTA(B378:I378,K378:N378)=0,"",IF(Q378="","등록번호 없음",IF(LEFT(R378,1)="⚠","모병원명 미등록",IF(S378="","파견병원 입력",IF(LEFT(S378,1)="⚠","파견병원명 미등록",IF(LEFT(U378,1)="⚠","파견과목 미등록",IF(OR(T378="",LEFT(T378,1)="⚠"),"파견근거 확인",IF(NOT(AND(ISNUMBER(H378),ISNUMBER(I378))),"날짜 형식/누락",IF(I378&lt;H378,"종료일&lt;시작일","")))))))))</f>
        <v/>
      </c>
      <c r="AB378" s="11">
        <f>IF(ISNUMBER(SEARCH("다기관",TRIM(N378&amp;" "&amp;O378))),IFERROR(DATE(VALUE(MID(TRIM(N378&amp;" "&amp;O378),1,4)),VALUE(MID(TRIM(N378&amp;" "&amp;O378),6,2)),VALUE(MID(TRIM(N378&amp;" "&amp;O378),9,2))),IF(ISNUMBER(H378),H378,"")),"")</f>
        <v/>
      </c>
      <c r="AC378" s="11">
        <f>IF(ISNUMBER(SEARCH("다기관",TRIM(N378&amp;" "&amp;O378))),IFERROR(DATE(VALUE(MID(TRIM(N378&amp;" "&amp;O378),12,4)),VALUE(MID(TRIM(N378&amp;" "&amp;O378),17,2)),VALUE(MID(TRIM(N378&amp;" "&amp;O378),20,2))),IF(ISNUMBER(I378),I378,"")),"")</f>
        <v/>
      </c>
      <c r="AD378" s="17">
        <f>IF(AND(ISNUMBER(AB378),ISNUMBER(AC378)),MAX(0,MIN(AC378,EOMONTH(출력_요약!$B$3,0))-MAX(AB378,출력_요약!$B$3)+1),0)</f>
        <v/>
      </c>
      <c r="AE378" s="10">
        <f>IF(AND(Q378&lt;&gt;"",ISNUMBER(AB378)),Q378&amp;"|다기관","")</f>
        <v/>
      </c>
    </row>
    <row r="379">
      <c r="A379" s="15">
        <f>IF(F379="","",ROW()-3)</f>
        <v/>
      </c>
      <c r="B379" s="5" t="n"/>
      <c r="C379" s="15" t="n"/>
      <c r="D379" s="5" t="n"/>
      <c r="E379" s="15" t="n"/>
      <c r="F379" s="5" t="n"/>
      <c r="G379" s="6" t="n"/>
      <c r="H379" s="16" t="n"/>
      <c r="I379" s="16" t="n"/>
      <c r="J379" s="15">
        <f>IF(AND(ISNUMBER(H379),ISNUMBER(I379)),I379-H379+1,"")</f>
        <v/>
      </c>
      <c r="K379" s="5" t="n"/>
      <c r="L379" s="5" t="n"/>
      <c r="M379" s="5" t="n"/>
      <c r="N379" s="5" t="n"/>
      <c r="O379" s="5" t="n"/>
      <c r="Q379" s="10">
        <f>IF(TRIM(G379&amp;"")="","",TRIM(G379&amp;""))</f>
        <v/>
      </c>
      <c r="R379" s="10">
        <f>IF(TRIM(B379&amp;"")="","",IFERROR(INDEX(설정_코드표!$K$2:$K$101,MATCH(TRIM(B379&amp;""),설정_코드표!$J$2:$J$101,0)),"⚠"&amp;TRIM(B379&amp;"")))</f>
        <v/>
      </c>
      <c r="S379" s="10">
        <f>IF(TRIM(K379&amp;"")="","",IFERROR(INDEX(설정_코드표!$K$2:$K$101,MATCH(TRIM(K379&amp;""),설정_코드표!$J$2:$J$101,0)),"⚠"&amp;TRIM(K379&amp;"")))</f>
        <v/>
      </c>
      <c r="T379" s="10">
        <f>IF(TRIM(M379&amp;"")="","",IF(ISNUMBER(MATCH(TRIM(M379&amp;""),설정_코드표!$C$2:$C$11,0)),TRIM(M379&amp;""),"⚠"&amp;TRIM(M379&amp;"")))</f>
        <v/>
      </c>
      <c r="U379" s="10">
        <f>IF(TRIM(L379&amp;"")="","",IFERROR(INDEX(설정_코드표!$G$2:$G$101,MATCH(TRIM(L379&amp;""),설정_코드표!$F$2:$F$101,0)),"⚠"&amp;TRIM(L379&amp;"")))</f>
        <v/>
      </c>
      <c r="V379" s="10">
        <f>IF(AND(ISNUMBER(H379),ISNUMBER(I379)),I379-H379+1,"")</f>
        <v/>
      </c>
      <c r="W379" s="17">
        <f>IF(ISNUMBER(H379),MAX(0,MIN(IF(ISNUMBER(I379),I379,EOMONTH(출력_요약!$B$3,0)),EOMONTH(출력_요약!$B$3,0))-MAX(H379,출력_요약!$B$3)+1),0)</f>
        <v/>
      </c>
      <c r="X379" s="10">
        <f>IF(OR(NOT(ISNUMBER(H379)),Q379=""),"",IF(TODAY()&lt;H379,"파견예정",IF(AND(ISNUMBER(I379),TODAY()&gt;I379),"파견종료","파견중")))</f>
        <v/>
      </c>
      <c r="Y379" s="10">
        <f>IF(OR(Q379="",X379=""),"",Q379&amp;"|"&amp;X379)</f>
        <v/>
      </c>
      <c r="Z379" s="10">
        <f>IF(AND(Q379&lt;&gt;"",W379&gt;0),Q379&amp;"|월","")</f>
        <v/>
      </c>
      <c r="AA379" s="10">
        <f>IF(COUNTA(B379:I379,K379:N379)=0,"",IF(Q379="","등록번호 없음",IF(LEFT(R379,1)="⚠","모병원명 미등록",IF(S379="","파견병원 입력",IF(LEFT(S379,1)="⚠","파견병원명 미등록",IF(LEFT(U379,1)="⚠","파견과목 미등록",IF(OR(T379="",LEFT(T379,1)="⚠"),"파견근거 확인",IF(NOT(AND(ISNUMBER(H379),ISNUMBER(I379))),"날짜 형식/누락",IF(I379&lt;H379,"종료일&lt;시작일","")))))))))</f>
        <v/>
      </c>
      <c r="AB379" s="11">
        <f>IF(ISNUMBER(SEARCH("다기관",TRIM(N379&amp;" "&amp;O379))),IFERROR(DATE(VALUE(MID(TRIM(N379&amp;" "&amp;O379),1,4)),VALUE(MID(TRIM(N379&amp;" "&amp;O379),6,2)),VALUE(MID(TRIM(N379&amp;" "&amp;O379),9,2))),IF(ISNUMBER(H379),H379,"")),"")</f>
        <v/>
      </c>
      <c r="AC379" s="11">
        <f>IF(ISNUMBER(SEARCH("다기관",TRIM(N379&amp;" "&amp;O379))),IFERROR(DATE(VALUE(MID(TRIM(N379&amp;" "&amp;O379),12,4)),VALUE(MID(TRIM(N379&amp;" "&amp;O379),17,2)),VALUE(MID(TRIM(N379&amp;" "&amp;O379),20,2))),IF(ISNUMBER(I379),I379,"")),"")</f>
        <v/>
      </c>
      <c r="AD379" s="17">
        <f>IF(AND(ISNUMBER(AB379),ISNUMBER(AC379)),MAX(0,MIN(AC379,EOMONTH(출력_요약!$B$3,0))-MAX(AB379,출력_요약!$B$3)+1),0)</f>
        <v/>
      </c>
      <c r="AE379" s="10">
        <f>IF(AND(Q379&lt;&gt;"",ISNUMBER(AB379)),Q379&amp;"|다기관","")</f>
        <v/>
      </c>
    </row>
    <row r="380">
      <c r="A380" s="15">
        <f>IF(F380="","",ROW()-3)</f>
        <v/>
      </c>
      <c r="B380" s="5" t="n"/>
      <c r="C380" s="15" t="n"/>
      <c r="D380" s="5" t="n"/>
      <c r="E380" s="15" t="n"/>
      <c r="F380" s="5" t="n"/>
      <c r="G380" s="6" t="n"/>
      <c r="H380" s="16" t="n"/>
      <c r="I380" s="16" t="n"/>
      <c r="J380" s="15">
        <f>IF(AND(ISNUMBER(H380),ISNUMBER(I380)),I380-H380+1,"")</f>
        <v/>
      </c>
      <c r="K380" s="5" t="n"/>
      <c r="L380" s="5" t="n"/>
      <c r="M380" s="5" t="n"/>
      <c r="N380" s="5" t="n"/>
      <c r="O380" s="5" t="n"/>
      <c r="Q380" s="10">
        <f>IF(TRIM(G380&amp;"")="","",TRIM(G380&amp;""))</f>
        <v/>
      </c>
      <c r="R380" s="10">
        <f>IF(TRIM(B380&amp;"")="","",IFERROR(INDEX(설정_코드표!$K$2:$K$101,MATCH(TRIM(B380&amp;""),설정_코드표!$J$2:$J$101,0)),"⚠"&amp;TRIM(B380&amp;"")))</f>
        <v/>
      </c>
      <c r="S380" s="10">
        <f>IF(TRIM(K380&amp;"")="","",IFERROR(INDEX(설정_코드표!$K$2:$K$101,MATCH(TRIM(K380&amp;""),설정_코드표!$J$2:$J$101,0)),"⚠"&amp;TRIM(K380&amp;"")))</f>
        <v/>
      </c>
      <c r="T380" s="10">
        <f>IF(TRIM(M380&amp;"")="","",IF(ISNUMBER(MATCH(TRIM(M380&amp;""),설정_코드표!$C$2:$C$11,0)),TRIM(M380&amp;""),"⚠"&amp;TRIM(M380&amp;"")))</f>
        <v/>
      </c>
      <c r="U380" s="10">
        <f>IF(TRIM(L380&amp;"")="","",IFERROR(INDEX(설정_코드표!$G$2:$G$101,MATCH(TRIM(L380&amp;""),설정_코드표!$F$2:$F$101,0)),"⚠"&amp;TRIM(L380&amp;"")))</f>
        <v/>
      </c>
      <c r="V380" s="10">
        <f>IF(AND(ISNUMBER(H380),ISNUMBER(I380)),I380-H380+1,"")</f>
        <v/>
      </c>
      <c r="W380" s="17">
        <f>IF(ISNUMBER(H380),MAX(0,MIN(IF(ISNUMBER(I380),I380,EOMONTH(출력_요약!$B$3,0)),EOMONTH(출력_요약!$B$3,0))-MAX(H380,출력_요약!$B$3)+1),0)</f>
        <v/>
      </c>
      <c r="X380" s="10">
        <f>IF(OR(NOT(ISNUMBER(H380)),Q380=""),"",IF(TODAY()&lt;H380,"파견예정",IF(AND(ISNUMBER(I380),TODAY()&gt;I380),"파견종료","파견중")))</f>
        <v/>
      </c>
      <c r="Y380" s="10">
        <f>IF(OR(Q380="",X380=""),"",Q380&amp;"|"&amp;X380)</f>
        <v/>
      </c>
      <c r="Z380" s="10">
        <f>IF(AND(Q380&lt;&gt;"",W380&gt;0),Q380&amp;"|월","")</f>
        <v/>
      </c>
      <c r="AA380" s="10">
        <f>IF(COUNTA(B380:I380,K380:N380)=0,"",IF(Q380="","등록번호 없음",IF(LEFT(R380,1)="⚠","모병원명 미등록",IF(S380="","파견병원 입력",IF(LEFT(S380,1)="⚠","파견병원명 미등록",IF(LEFT(U380,1)="⚠","파견과목 미등록",IF(OR(T380="",LEFT(T380,1)="⚠"),"파견근거 확인",IF(NOT(AND(ISNUMBER(H380),ISNUMBER(I380))),"날짜 형식/누락",IF(I380&lt;H380,"종료일&lt;시작일","")))))))))</f>
        <v/>
      </c>
      <c r="AB380" s="11">
        <f>IF(ISNUMBER(SEARCH("다기관",TRIM(N380&amp;" "&amp;O380))),IFERROR(DATE(VALUE(MID(TRIM(N380&amp;" "&amp;O380),1,4)),VALUE(MID(TRIM(N380&amp;" "&amp;O380),6,2)),VALUE(MID(TRIM(N380&amp;" "&amp;O380),9,2))),IF(ISNUMBER(H380),H380,"")),"")</f>
        <v/>
      </c>
      <c r="AC380" s="11">
        <f>IF(ISNUMBER(SEARCH("다기관",TRIM(N380&amp;" "&amp;O380))),IFERROR(DATE(VALUE(MID(TRIM(N380&amp;" "&amp;O380),12,4)),VALUE(MID(TRIM(N380&amp;" "&amp;O380),17,2)),VALUE(MID(TRIM(N380&amp;" "&amp;O380),20,2))),IF(ISNUMBER(I380),I380,"")),"")</f>
        <v/>
      </c>
      <c r="AD380" s="17">
        <f>IF(AND(ISNUMBER(AB380),ISNUMBER(AC380)),MAX(0,MIN(AC380,EOMONTH(출력_요약!$B$3,0))-MAX(AB380,출력_요약!$B$3)+1),0)</f>
        <v/>
      </c>
      <c r="AE380" s="10">
        <f>IF(AND(Q380&lt;&gt;"",ISNUMBER(AB380)),Q380&amp;"|다기관","")</f>
        <v/>
      </c>
    </row>
    <row r="381">
      <c r="A381" s="15">
        <f>IF(F381="","",ROW()-3)</f>
        <v/>
      </c>
      <c r="B381" s="5" t="n"/>
      <c r="C381" s="15" t="n"/>
      <c r="D381" s="5" t="n"/>
      <c r="E381" s="15" t="n"/>
      <c r="F381" s="5" t="n"/>
      <c r="G381" s="6" t="n"/>
      <c r="H381" s="16" t="n"/>
      <c r="I381" s="16" t="n"/>
      <c r="J381" s="15">
        <f>IF(AND(ISNUMBER(H381),ISNUMBER(I381)),I381-H381+1,"")</f>
        <v/>
      </c>
      <c r="K381" s="5" t="n"/>
      <c r="L381" s="5" t="n"/>
      <c r="M381" s="5" t="n"/>
      <c r="N381" s="5" t="n"/>
      <c r="O381" s="5" t="n"/>
      <c r="Q381" s="10">
        <f>IF(TRIM(G381&amp;"")="","",TRIM(G381&amp;""))</f>
        <v/>
      </c>
      <c r="R381" s="10">
        <f>IF(TRIM(B381&amp;"")="","",IFERROR(INDEX(설정_코드표!$K$2:$K$101,MATCH(TRIM(B381&amp;""),설정_코드표!$J$2:$J$101,0)),"⚠"&amp;TRIM(B381&amp;"")))</f>
        <v/>
      </c>
      <c r="S381" s="10">
        <f>IF(TRIM(K381&amp;"")="","",IFERROR(INDEX(설정_코드표!$K$2:$K$101,MATCH(TRIM(K381&amp;""),설정_코드표!$J$2:$J$101,0)),"⚠"&amp;TRIM(K381&amp;"")))</f>
        <v/>
      </c>
      <c r="T381" s="10">
        <f>IF(TRIM(M381&amp;"")="","",IF(ISNUMBER(MATCH(TRIM(M381&amp;""),설정_코드표!$C$2:$C$11,0)),TRIM(M381&amp;""),"⚠"&amp;TRIM(M381&amp;"")))</f>
        <v/>
      </c>
      <c r="U381" s="10">
        <f>IF(TRIM(L381&amp;"")="","",IFERROR(INDEX(설정_코드표!$G$2:$G$101,MATCH(TRIM(L381&amp;""),설정_코드표!$F$2:$F$101,0)),"⚠"&amp;TRIM(L381&amp;"")))</f>
        <v/>
      </c>
      <c r="V381" s="10">
        <f>IF(AND(ISNUMBER(H381),ISNUMBER(I381)),I381-H381+1,"")</f>
        <v/>
      </c>
      <c r="W381" s="17">
        <f>IF(ISNUMBER(H381),MAX(0,MIN(IF(ISNUMBER(I381),I381,EOMONTH(출력_요약!$B$3,0)),EOMONTH(출력_요약!$B$3,0))-MAX(H381,출력_요약!$B$3)+1),0)</f>
        <v/>
      </c>
      <c r="X381" s="10">
        <f>IF(OR(NOT(ISNUMBER(H381)),Q381=""),"",IF(TODAY()&lt;H381,"파견예정",IF(AND(ISNUMBER(I381),TODAY()&gt;I381),"파견종료","파견중")))</f>
        <v/>
      </c>
      <c r="Y381" s="10">
        <f>IF(OR(Q381="",X381=""),"",Q381&amp;"|"&amp;X381)</f>
        <v/>
      </c>
      <c r="Z381" s="10">
        <f>IF(AND(Q381&lt;&gt;"",W381&gt;0),Q381&amp;"|월","")</f>
        <v/>
      </c>
      <c r="AA381" s="10">
        <f>IF(COUNTA(B381:I381,K381:N381)=0,"",IF(Q381="","등록번호 없음",IF(LEFT(R381,1)="⚠","모병원명 미등록",IF(S381="","파견병원 입력",IF(LEFT(S381,1)="⚠","파견병원명 미등록",IF(LEFT(U381,1)="⚠","파견과목 미등록",IF(OR(T381="",LEFT(T381,1)="⚠"),"파견근거 확인",IF(NOT(AND(ISNUMBER(H381),ISNUMBER(I381))),"날짜 형식/누락",IF(I381&lt;H381,"종료일&lt;시작일","")))))))))</f>
        <v/>
      </c>
      <c r="AB381" s="11">
        <f>IF(ISNUMBER(SEARCH("다기관",TRIM(N381&amp;" "&amp;O381))),IFERROR(DATE(VALUE(MID(TRIM(N381&amp;" "&amp;O381),1,4)),VALUE(MID(TRIM(N381&amp;" "&amp;O381),6,2)),VALUE(MID(TRIM(N381&amp;" "&amp;O381),9,2))),IF(ISNUMBER(H381),H381,"")),"")</f>
        <v/>
      </c>
      <c r="AC381" s="11">
        <f>IF(ISNUMBER(SEARCH("다기관",TRIM(N381&amp;" "&amp;O381))),IFERROR(DATE(VALUE(MID(TRIM(N381&amp;" "&amp;O381),12,4)),VALUE(MID(TRIM(N381&amp;" "&amp;O381),17,2)),VALUE(MID(TRIM(N381&amp;" "&amp;O381),20,2))),IF(ISNUMBER(I381),I381,"")),"")</f>
        <v/>
      </c>
      <c r="AD381" s="17">
        <f>IF(AND(ISNUMBER(AB381),ISNUMBER(AC381)),MAX(0,MIN(AC381,EOMONTH(출력_요약!$B$3,0))-MAX(AB381,출력_요약!$B$3)+1),0)</f>
        <v/>
      </c>
      <c r="AE381" s="10">
        <f>IF(AND(Q381&lt;&gt;"",ISNUMBER(AB381)),Q381&amp;"|다기관","")</f>
        <v/>
      </c>
    </row>
    <row r="382">
      <c r="A382" s="15">
        <f>IF(F382="","",ROW()-3)</f>
        <v/>
      </c>
      <c r="B382" s="5" t="n"/>
      <c r="C382" s="15" t="n"/>
      <c r="D382" s="5" t="n"/>
      <c r="E382" s="15" t="n"/>
      <c r="F382" s="5" t="n"/>
      <c r="G382" s="6" t="n"/>
      <c r="H382" s="16" t="n"/>
      <c r="I382" s="16" t="n"/>
      <c r="J382" s="15">
        <f>IF(AND(ISNUMBER(H382),ISNUMBER(I382)),I382-H382+1,"")</f>
        <v/>
      </c>
      <c r="K382" s="5" t="n"/>
      <c r="L382" s="5" t="n"/>
      <c r="M382" s="5" t="n"/>
      <c r="N382" s="5" t="n"/>
      <c r="O382" s="5" t="n"/>
      <c r="Q382" s="10">
        <f>IF(TRIM(G382&amp;"")="","",TRIM(G382&amp;""))</f>
        <v/>
      </c>
      <c r="R382" s="10">
        <f>IF(TRIM(B382&amp;"")="","",IFERROR(INDEX(설정_코드표!$K$2:$K$101,MATCH(TRIM(B382&amp;""),설정_코드표!$J$2:$J$101,0)),"⚠"&amp;TRIM(B382&amp;"")))</f>
        <v/>
      </c>
      <c r="S382" s="10">
        <f>IF(TRIM(K382&amp;"")="","",IFERROR(INDEX(설정_코드표!$K$2:$K$101,MATCH(TRIM(K382&amp;""),설정_코드표!$J$2:$J$101,0)),"⚠"&amp;TRIM(K382&amp;"")))</f>
        <v/>
      </c>
      <c r="T382" s="10">
        <f>IF(TRIM(M382&amp;"")="","",IF(ISNUMBER(MATCH(TRIM(M382&amp;""),설정_코드표!$C$2:$C$11,0)),TRIM(M382&amp;""),"⚠"&amp;TRIM(M382&amp;"")))</f>
        <v/>
      </c>
      <c r="U382" s="10">
        <f>IF(TRIM(L382&amp;"")="","",IFERROR(INDEX(설정_코드표!$G$2:$G$101,MATCH(TRIM(L382&amp;""),설정_코드표!$F$2:$F$101,0)),"⚠"&amp;TRIM(L382&amp;"")))</f>
        <v/>
      </c>
      <c r="V382" s="10">
        <f>IF(AND(ISNUMBER(H382),ISNUMBER(I382)),I382-H382+1,"")</f>
        <v/>
      </c>
      <c r="W382" s="17">
        <f>IF(ISNUMBER(H382),MAX(0,MIN(IF(ISNUMBER(I382),I382,EOMONTH(출력_요약!$B$3,0)),EOMONTH(출력_요약!$B$3,0))-MAX(H382,출력_요약!$B$3)+1),0)</f>
        <v/>
      </c>
      <c r="X382" s="10">
        <f>IF(OR(NOT(ISNUMBER(H382)),Q382=""),"",IF(TODAY()&lt;H382,"파견예정",IF(AND(ISNUMBER(I382),TODAY()&gt;I382),"파견종료","파견중")))</f>
        <v/>
      </c>
      <c r="Y382" s="10">
        <f>IF(OR(Q382="",X382=""),"",Q382&amp;"|"&amp;X382)</f>
        <v/>
      </c>
      <c r="Z382" s="10">
        <f>IF(AND(Q382&lt;&gt;"",W382&gt;0),Q382&amp;"|월","")</f>
        <v/>
      </c>
      <c r="AA382" s="10">
        <f>IF(COUNTA(B382:I382,K382:N382)=0,"",IF(Q382="","등록번호 없음",IF(LEFT(R382,1)="⚠","모병원명 미등록",IF(S382="","파견병원 입력",IF(LEFT(S382,1)="⚠","파견병원명 미등록",IF(LEFT(U382,1)="⚠","파견과목 미등록",IF(OR(T382="",LEFT(T382,1)="⚠"),"파견근거 확인",IF(NOT(AND(ISNUMBER(H382),ISNUMBER(I382))),"날짜 형식/누락",IF(I382&lt;H382,"종료일&lt;시작일","")))))))))</f>
        <v/>
      </c>
      <c r="AB382" s="11">
        <f>IF(ISNUMBER(SEARCH("다기관",TRIM(N382&amp;" "&amp;O382))),IFERROR(DATE(VALUE(MID(TRIM(N382&amp;" "&amp;O382),1,4)),VALUE(MID(TRIM(N382&amp;" "&amp;O382),6,2)),VALUE(MID(TRIM(N382&amp;" "&amp;O382),9,2))),IF(ISNUMBER(H382),H382,"")),"")</f>
        <v/>
      </c>
      <c r="AC382" s="11">
        <f>IF(ISNUMBER(SEARCH("다기관",TRIM(N382&amp;" "&amp;O382))),IFERROR(DATE(VALUE(MID(TRIM(N382&amp;" "&amp;O382),12,4)),VALUE(MID(TRIM(N382&amp;" "&amp;O382),17,2)),VALUE(MID(TRIM(N382&amp;" "&amp;O382),20,2))),IF(ISNUMBER(I382),I382,"")),"")</f>
        <v/>
      </c>
      <c r="AD382" s="17">
        <f>IF(AND(ISNUMBER(AB382),ISNUMBER(AC382)),MAX(0,MIN(AC382,EOMONTH(출력_요약!$B$3,0))-MAX(AB382,출력_요약!$B$3)+1),0)</f>
        <v/>
      </c>
      <c r="AE382" s="10">
        <f>IF(AND(Q382&lt;&gt;"",ISNUMBER(AB382)),Q382&amp;"|다기관","")</f>
        <v/>
      </c>
    </row>
    <row r="383">
      <c r="A383" s="15">
        <f>IF(F383="","",ROW()-3)</f>
        <v/>
      </c>
      <c r="B383" s="5" t="n"/>
      <c r="C383" s="15" t="n"/>
      <c r="D383" s="5" t="n"/>
      <c r="E383" s="15" t="n"/>
      <c r="F383" s="5" t="n"/>
      <c r="G383" s="6" t="n"/>
      <c r="H383" s="16" t="n"/>
      <c r="I383" s="16" t="n"/>
      <c r="J383" s="15">
        <f>IF(AND(ISNUMBER(H383),ISNUMBER(I383)),I383-H383+1,"")</f>
        <v/>
      </c>
      <c r="K383" s="5" t="n"/>
      <c r="L383" s="5" t="n"/>
      <c r="M383" s="5" t="n"/>
      <c r="N383" s="5" t="n"/>
      <c r="O383" s="5" t="n"/>
      <c r="Q383" s="10">
        <f>IF(TRIM(G383&amp;"")="","",TRIM(G383&amp;""))</f>
        <v/>
      </c>
      <c r="R383" s="10">
        <f>IF(TRIM(B383&amp;"")="","",IFERROR(INDEX(설정_코드표!$K$2:$K$101,MATCH(TRIM(B383&amp;""),설정_코드표!$J$2:$J$101,0)),"⚠"&amp;TRIM(B383&amp;"")))</f>
        <v/>
      </c>
      <c r="S383" s="10">
        <f>IF(TRIM(K383&amp;"")="","",IFERROR(INDEX(설정_코드표!$K$2:$K$101,MATCH(TRIM(K383&amp;""),설정_코드표!$J$2:$J$101,0)),"⚠"&amp;TRIM(K383&amp;"")))</f>
        <v/>
      </c>
      <c r="T383" s="10">
        <f>IF(TRIM(M383&amp;"")="","",IF(ISNUMBER(MATCH(TRIM(M383&amp;""),설정_코드표!$C$2:$C$11,0)),TRIM(M383&amp;""),"⚠"&amp;TRIM(M383&amp;"")))</f>
        <v/>
      </c>
      <c r="U383" s="10">
        <f>IF(TRIM(L383&amp;"")="","",IFERROR(INDEX(설정_코드표!$G$2:$G$101,MATCH(TRIM(L383&amp;""),설정_코드표!$F$2:$F$101,0)),"⚠"&amp;TRIM(L383&amp;"")))</f>
        <v/>
      </c>
      <c r="V383" s="10">
        <f>IF(AND(ISNUMBER(H383),ISNUMBER(I383)),I383-H383+1,"")</f>
        <v/>
      </c>
      <c r="W383" s="17">
        <f>IF(ISNUMBER(H383),MAX(0,MIN(IF(ISNUMBER(I383),I383,EOMONTH(출력_요약!$B$3,0)),EOMONTH(출력_요약!$B$3,0))-MAX(H383,출력_요약!$B$3)+1),0)</f>
        <v/>
      </c>
      <c r="X383" s="10">
        <f>IF(OR(NOT(ISNUMBER(H383)),Q383=""),"",IF(TODAY()&lt;H383,"파견예정",IF(AND(ISNUMBER(I383),TODAY()&gt;I383),"파견종료","파견중")))</f>
        <v/>
      </c>
      <c r="Y383" s="10">
        <f>IF(OR(Q383="",X383=""),"",Q383&amp;"|"&amp;X383)</f>
        <v/>
      </c>
      <c r="Z383" s="10">
        <f>IF(AND(Q383&lt;&gt;"",W383&gt;0),Q383&amp;"|월","")</f>
        <v/>
      </c>
      <c r="AA383" s="10">
        <f>IF(COUNTA(B383:I383,K383:N383)=0,"",IF(Q383="","등록번호 없음",IF(LEFT(R383,1)="⚠","모병원명 미등록",IF(S383="","파견병원 입력",IF(LEFT(S383,1)="⚠","파견병원명 미등록",IF(LEFT(U383,1)="⚠","파견과목 미등록",IF(OR(T383="",LEFT(T383,1)="⚠"),"파견근거 확인",IF(NOT(AND(ISNUMBER(H383),ISNUMBER(I383))),"날짜 형식/누락",IF(I383&lt;H383,"종료일&lt;시작일","")))))))))</f>
        <v/>
      </c>
      <c r="AB383" s="11">
        <f>IF(ISNUMBER(SEARCH("다기관",TRIM(N383&amp;" "&amp;O383))),IFERROR(DATE(VALUE(MID(TRIM(N383&amp;" "&amp;O383),1,4)),VALUE(MID(TRIM(N383&amp;" "&amp;O383),6,2)),VALUE(MID(TRIM(N383&amp;" "&amp;O383),9,2))),IF(ISNUMBER(H383),H383,"")),"")</f>
        <v/>
      </c>
      <c r="AC383" s="11">
        <f>IF(ISNUMBER(SEARCH("다기관",TRIM(N383&amp;" "&amp;O383))),IFERROR(DATE(VALUE(MID(TRIM(N383&amp;" "&amp;O383),12,4)),VALUE(MID(TRIM(N383&amp;" "&amp;O383),17,2)),VALUE(MID(TRIM(N383&amp;" "&amp;O383),20,2))),IF(ISNUMBER(I383),I383,"")),"")</f>
        <v/>
      </c>
      <c r="AD383" s="17">
        <f>IF(AND(ISNUMBER(AB383),ISNUMBER(AC383)),MAX(0,MIN(AC383,EOMONTH(출력_요약!$B$3,0))-MAX(AB383,출력_요약!$B$3)+1),0)</f>
        <v/>
      </c>
      <c r="AE383" s="10">
        <f>IF(AND(Q383&lt;&gt;"",ISNUMBER(AB383)),Q383&amp;"|다기관","")</f>
        <v/>
      </c>
    </row>
    <row r="384">
      <c r="A384" s="15">
        <f>IF(F384="","",ROW()-3)</f>
        <v/>
      </c>
      <c r="B384" s="5" t="n"/>
      <c r="C384" s="15" t="n"/>
      <c r="D384" s="5" t="n"/>
      <c r="E384" s="15" t="n"/>
      <c r="F384" s="5" t="n"/>
      <c r="G384" s="6" t="n"/>
      <c r="H384" s="16" t="n"/>
      <c r="I384" s="16" t="n"/>
      <c r="J384" s="15">
        <f>IF(AND(ISNUMBER(H384),ISNUMBER(I384)),I384-H384+1,"")</f>
        <v/>
      </c>
      <c r="K384" s="5" t="n"/>
      <c r="L384" s="5" t="n"/>
      <c r="M384" s="5" t="n"/>
      <c r="N384" s="5" t="n"/>
      <c r="O384" s="5" t="n"/>
      <c r="Q384" s="10">
        <f>IF(TRIM(G384&amp;"")="","",TRIM(G384&amp;""))</f>
        <v/>
      </c>
      <c r="R384" s="10">
        <f>IF(TRIM(B384&amp;"")="","",IFERROR(INDEX(설정_코드표!$K$2:$K$101,MATCH(TRIM(B384&amp;""),설정_코드표!$J$2:$J$101,0)),"⚠"&amp;TRIM(B384&amp;"")))</f>
        <v/>
      </c>
      <c r="S384" s="10">
        <f>IF(TRIM(K384&amp;"")="","",IFERROR(INDEX(설정_코드표!$K$2:$K$101,MATCH(TRIM(K384&amp;""),설정_코드표!$J$2:$J$101,0)),"⚠"&amp;TRIM(K384&amp;"")))</f>
        <v/>
      </c>
      <c r="T384" s="10">
        <f>IF(TRIM(M384&amp;"")="","",IF(ISNUMBER(MATCH(TRIM(M384&amp;""),설정_코드표!$C$2:$C$11,0)),TRIM(M384&amp;""),"⚠"&amp;TRIM(M384&amp;"")))</f>
        <v/>
      </c>
      <c r="U384" s="10">
        <f>IF(TRIM(L384&amp;"")="","",IFERROR(INDEX(설정_코드표!$G$2:$G$101,MATCH(TRIM(L384&amp;""),설정_코드표!$F$2:$F$101,0)),"⚠"&amp;TRIM(L384&amp;"")))</f>
        <v/>
      </c>
      <c r="V384" s="10">
        <f>IF(AND(ISNUMBER(H384),ISNUMBER(I384)),I384-H384+1,"")</f>
        <v/>
      </c>
      <c r="W384" s="17">
        <f>IF(ISNUMBER(H384),MAX(0,MIN(IF(ISNUMBER(I384),I384,EOMONTH(출력_요약!$B$3,0)),EOMONTH(출력_요약!$B$3,0))-MAX(H384,출력_요약!$B$3)+1),0)</f>
        <v/>
      </c>
      <c r="X384" s="10">
        <f>IF(OR(NOT(ISNUMBER(H384)),Q384=""),"",IF(TODAY()&lt;H384,"파견예정",IF(AND(ISNUMBER(I384),TODAY()&gt;I384),"파견종료","파견중")))</f>
        <v/>
      </c>
      <c r="Y384" s="10">
        <f>IF(OR(Q384="",X384=""),"",Q384&amp;"|"&amp;X384)</f>
        <v/>
      </c>
      <c r="Z384" s="10">
        <f>IF(AND(Q384&lt;&gt;"",W384&gt;0),Q384&amp;"|월","")</f>
        <v/>
      </c>
      <c r="AA384" s="10">
        <f>IF(COUNTA(B384:I384,K384:N384)=0,"",IF(Q384="","등록번호 없음",IF(LEFT(R384,1)="⚠","모병원명 미등록",IF(S384="","파견병원 입력",IF(LEFT(S384,1)="⚠","파견병원명 미등록",IF(LEFT(U384,1)="⚠","파견과목 미등록",IF(OR(T384="",LEFT(T384,1)="⚠"),"파견근거 확인",IF(NOT(AND(ISNUMBER(H384),ISNUMBER(I384))),"날짜 형식/누락",IF(I384&lt;H384,"종료일&lt;시작일","")))))))))</f>
        <v/>
      </c>
      <c r="AB384" s="11">
        <f>IF(ISNUMBER(SEARCH("다기관",TRIM(N384&amp;" "&amp;O384))),IFERROR(DATE(VALUE(MID(TRIM(N384&amp;" "&amp;O384),1,4)),VALUE(MID(TRIM(N384&amp;" "&amp;O384),6,2)),VALUE(MID(TRIM(N384&amp;" "&amp;O384),9,2))),IF(ISNUMBER(H384),H384,"")),"")</f>
        <v/>
      </c>
      <c r="AC384" s="11">
        <f>IF(ISNUMBER(SEARCH("다기관",TRIM(N384&amp;" "&amp;O384))),IFERROR(DATE(VALUE(MID(TRIM(N384&amp;" "&amp;O384),12,4)),VALUE(MID(TRIM(N384&amp;" "&amp;O384),17,2)),VALUE(MID(TRIM(N384&amp;" "&amp;O384),20,2))),IF(ISNUMBER(I384),I384,"")),"")</f>
        <v/>
      </c>
      <c r="AD384" s="17">
        <f>IF(AND(ISNUMBER(AB384),ISNUMBER(AC384)),MAX(0,MIN(AC384,EOMONTH(출력_요약!$B$3,0))-MAX(AB384,출력_요약!$B$3)+1),0)</f>
        <v/>
      </c>
      <c r="AE384" s="10">
        <f>IF(AND(Q384&lt;&gt;"",ISNUMBER(AB384)),Q384&amp;"|다기관","")</f>
        <v/>
      </c>
    </row>
    <row r="385">
      <c r="A385" s="15">
        <f>IF(F385="","",ROW()-3)</f>
        <v/>
      </c>
      <c r="B385" s="5" t="n"/>
      <c r="C385" s="15" t="n"/>
      <c r="D385" s="5" t="n"/>
      <c r="E385" s="15" t="n"/>
      <c r="F385" s="5" t="n"/>
      <c r="G385" s="6" t="n"/>
      <c r="H385" s="16" t="n"/>
      <c r="I385" s="16" t="n"/>
      <c r="J385" s="15">
        <f>IF(AND(ISNUMBER(H385),ISNUMBER(I385)),I385-H385+1,"")</f>
        <v/>
      </c>
      <c r="K385" s="5" t="n"/>
      <c r="L385" s="5" t="n"/>
      <c r="M385" s="5" t="n"/>
      <c r="N385" s="5" t="n"/>
      <c r="O385" s="5" t="n"/>
      <c r="Q385" s="10">
        <f>IF(TRIM(G385&amp;"")="","",TRIM(G385&amp;""))</f>
        <v/>
      </c>
      <c r="R385" s="10">
        <f>IF(TRIM(B385&amp;"")="","",IFERROR(INDEX(설정_코드표!$K$2:$K$101,MATCH(TRIM(B385&amp;""),설정_코드표!$J$2:$J$101,0)),"⚠"&amp;TRIM(B385&amp;"")))</f>
        <v/>
      </c>
      <c r="S385" s="10">
        <f>IF(TRIM(K385&amp;"")="","",IFERROR(INDEX(설정_코드표!$K$2:$K$101,MATCH(TRIM(K385&amp;""),설정_코드표!$J$2:$J$101,0)),"⚠"&amp;TRIM(K385&amp;"")))</f>
        <v/>
      </c>
      <c r="T385" s="10">
        <f>IF(TRIM(M385&amp;"")="","",IF(ISNUMBER(MATCH(TRIM(M385&amp;""),설정_코드표!$C$2:$C$11,0)),TRIM(M385&amp;""),"⚠"&amp;TRIM(M385&amp;"")))</f>
        <v/>
      </c>
      <c r="U385" s="10">
        <f>IF(TRIM(L385&amp;"")="","",IFERROR(INDEX(설정_코드표!$G$2:$G$101,MATCH(TRIM(L385&amp;""),설정_코드표!$F$2:$F$101,0)),"⚠"&amp;TRIM(L385&amp;"")))</f>
        <v/>
      </c>
      <c r="V385" s="10">
        <f>IF(AND(ISNUMBER(H385),ISNUMBER(I385)),I385-H385+1,"")</f>
        <v/>
      </c>
      <c r="W385" s="17">
        <f>IF(ISNUMBER(H385),MAX(0,MIN(IF(ISNUMBER(I385),I385,EOMONTH(출력_요약!$B$3,0)),EOMONTH(출력_요약!$B$3,0))-MAX(H385,출력_요약!$B$3)+1),0)</f>
        <v/>
      </c>
      <c r="X385" s="10">
        <f>IF(OR(NOT(ISNUMBER(H385)),Q385=""),"",IF(TODAY()&lt;H385,"파견예정",IF(AND(ISNUMBER(I385),TODAY()&gt;I385),"파견종료","파견중")))</f>
        <v/>
      </c>
      <c r="Y385" s="10">
        <f>IF(OR(Q385="",X385=""),"",Q385&amp;"|"&amp;X385)</f>
        <v/>
      </c>
      <c r="Z385" s="10">
        <f>IF(AND(Q385&lt;&gt;"",W385&gt;0),Q385&amp;"|월","")</f>
        <v/>
      </c>
      <c r="AA385" s="10">
        <f>IF(COUNTA(B385:I385,K385:N385)=0,"",IF(Q385="","등록번호 없음",IF(LEFT(R385,1)="⚠","모병원명 미등록",IF(S385="","파견병원 입력",IF(LEFT(S385,1)="⚠","파견병원명 미등록",IF(LEFT(U385,1)="⚠","파견과목 미등록",IF(OR(T385="",LEFT(T385,1)="⚠"),"파견근거 확인",IF(NOT(AND(ISNUMBER(H385),ISNUMBER(I385))),"날짜 형식/누락",IF(I385&lt;H385,"종료일&lt;시작일","")))))))))</f>
        <v/>
      </c>
      <c r="AB385" s="11">
        <f>IF(ISNUMBER(SEARCH("다기관",TRIM(N385&amp;" "&amp;O385))),IFERROR(DATE(VALUE(MID(TRIM(N385&amp;" "&amp;O385),1,4)),VALUE(MID(TRIM(N385&amp;" "&amp;O385),6,2)),VALUE(MID(TRIM(N385&amp;" "&amp;O385),9,2))),IF(ISNUMBER(H385),H385,"")),"")</f>
        <v/>
      </c>
      <c r="AC385" s="11">
        <f>IF(ISNUMBER(SEARCH("다기관",TRIM(N385&amp;" "&amp;O385))),IFERROR(DATE(VALUE(MID(TRIM(N385&amp;" "&amp;O385),12,4)),VALUE(MID(TRIM(N385&amp;" "&amp;O385),17,2)),VALUE(MID(TRIM(N385&amp;" "&amp;O385),20,2))),IF(ISNUMBER(I385),I385,"")),"")</f>
        <v/>
      </c>
      <c r="AD385" s="17">
        <f>IF(AND(ISNUMBER(AB385),ISNUMBER(AC385)),MAX(0,MIN(AC385,EOMONTH(출력_요약!$B$3,0))-MAX(AB385,출력_요약!$B$3)+1),0)</f>
        <v/>
      </c>
      <c r="AE385" s="10">
        <f>IF(AND(Q385&lt;&gt;"",ISNUMBER(AB385)),Q385&amp;"|다기관","")</f>
        <v/>
      </c>
    </row>
    <row r="386">
      <c r="A386" s="15">
        <f>IF(F386="","",ROW()-3)</f>
        <v/>
      </c>
      <c r="B386" s="5" t="n"/>
      <c r="C386" s="15" t="n"/>
      <c r="D386" s="5" t="n"/>
      <c r="E386" s="15" t="n"/>
      <c r="F386" s="5" t="n"/>
      <c r="G386" s="6" t="n"/>
      <c r="H386" s="16" t="n"/>
      <c r="I386" s="16" t="n"/>
      <c r="J386" s="15">
        <f>IF(AND(ISNUMBER(H386),ISNUMBER(I386)),I386-H386+1,"")</f>
        <v/>
      </c>
      <c r="K386" s="5" t="n"/>
      <c r="L386" s="5" t="n"/>
      <c r="M386" s="5" t="n"/>
      <c r="N386" s="5" t="n"/>
      <c r="O386" s="5" t="n"/>
      <c r="Q386" s="10">
        <f>IF(TRIM(G386&amp;"")="","",TRIM(G386&amp;""))</f>
        <v/>
      </c>
      <c r="R386" s="10">
        <f>IF(TRIM(B386&amp;"")="","",IFERROR(INDEX(설정_코드표!$K$2:$K$101,MATCH(TRIM(B386&amp;""),설정_코드표!$J$2:$J$101,0)),"⚠"&amp;TRIM(B386&amp;"")))</f>
        <v/>
      </c>
      <c r="S386" s="10">
        <f>IF(TRIM(K386&amp;"")="","",IFERROR(INDEX(설정_코드표!$K$2:$K$101,MATCH(TRIM(K386&amp;""),설정_코드표!$J$2:$J$101,0)),"⚠"&amp;TRIM(K386&amp;"")))</f>
        <v/>
      </c>
      <c r="T386" s="10">
        <f>IF(TRIM(M386&amp;"")="","",IF(ISNUMBER(MATCH(TRIM(M386&amp;""),설정_코드표!$C$2:$C$11,0)),TRIM(M386&amp;""),"⚠"&amp;TRIM(M386&amp;"")))</f>
        <v/>
      </c>
      <c r="U386" s="10">
        <f>IF(TRIM(L386&amp;"")="","",IFERROR(INDEX(설정_코드표!$G$2:$G$101,MATCH(TRIM(L386&amp;""),설정_코드표!$F$2:$F$101,0)),"⚠"&amp;TRIM(L386&amp;"")))</f>
        <v/>
      </c>
      <c r="V386" s="10">
        <f>IF(AND(ISNUMBER(H386),ISNUMBER(I386)),I386-H386+1,"")</f>
        <v/>
      </c>
      <c r="W386" s="17">
        <f>IF(ISNUMBER(H386),MAX(0,MIN(IF(ISNUMBER(I386),I386,EOMONTH(출력_요약!$B$3,0)),EOMONTH(출력_요약!$B$3,0))-MAX(H386,출력_요약!$B$3)+1),0)</f>
        <v/>
      </c>
      <c r="X386" s="10">
        <f>IF(OR(NOT(ISNUMBER(H386)),Q386=""),"",IF(TODAY()&lt;H386,"파견예정",IF(AND(ISNUMBER(I386),TODAY()&gt;I386),"파견종료","파견중")))</f>
        <v/>
      </c>
      <c r="Y386" s="10">
        <f>IF(OR(Q386="",X386=""),"",Q386&amp;"|"&amp;X386)</f>
        <v/>
      </c>
      <c r="Z386" s="10">
        <f>IF(AND(Q386&lt;&gt;"",W386&gt;0),Q386&amp;"|월","")</f>
        <v/>
      </c>
      <c r="AA386" s="10">
        <f>IF(COUNTA(B386:I386,K386:N386)=0,"",IF(Q386="","등록번호 없음",IF(LEFT(R386,1)="⚠","모병원명 미등록",IF(S386="","파견병원 입력",IF(LEFT(S386,1)="⚠","파견병원명 미등록",IF(LEFT(U386,1)="⚠","파견과목 미등록",IF(OR(T386="",LEFT(T386,1)="⚠"),"파견근거 확인",IF(NOT(AND(ISNUMBER(H386),ISNUMBER(I386))),"날짜 형식/누락",IF(I386&lt;H386,"종료일&lt;시작일","")))))))))</f>
        <v/>
      </c>
      <c r="AB386" s="11">
        <f>IF(ISNUMBER(SEARCH("다기관",TRIM(N386&amp;" "&amp;O386))),IFERROR(DATE(VALUE(MID(TRIM(N386&amp;" "&amp;O386),1,4)),VALUE(MID(TRIM(N386&amp;" "&amp;O386),6,2)),VALUE(MID(TRIM(N386&amp;" "&amp;O386),9,2))),IF(ISNUMBER(H386),H386,"")),"")</f>
        <v/>
      </c>
      <c r="AC386" s="11">
        <f>IF(ISNUMBER(SEARCH("다기관",TRIM(N386&amp;" "&amp;O386))),IFERROR(DATE(VALUE(MID(TRIM(N386&amp;" "&amp;O386),12,4)),VALUE(MID(TRIM(N386&amp;" "&amp;O386),17,2)),VALUE(MID(TRIM(N386&amp;" "&amp;O386),20,2))),IF(ISNUMBER(I386),I386,"")),"")</f>
        <v/>
      </c>
      <c r="AD386" s="17">
        <f>IF(AND(ISNUMBER(AB386),ISNUMBER(AC386)),MAX(0,MIN(AC386,EOMONTH(출력_요약!$B$3,0))-MAX(AB386,출력_요약!$B$3)+1),0)</f>
        <v/>
      </c>
      <c r="AE386" s="10">
        <f>IF(AND(Q386&lt;&gt;"",ISNUMBER(AB386)),Q386&amp;"|다기관","")</f>
        <v/>
      </c>
    </row>
    <row r="387">
      <c r="A387" s="15">
        <f>IF(F387="","",ROW()-3)</f>
        <v/>
      </c>
      <c r="B387" s="5" t="n"/>
      <c r="C387" s="15" t="n"/>
      <c r="D387" s="5" t="n"/>
      <c r="E387" s="15" t="n"/>
      <c r="F387" s="5" t="n"/>
      <c r="G387" s="6" t="n"/>
      <c r="H387" s="16" t="n"/>
      <c r="I387" s="16" t="n"/>
      <c r="J387" s="15">
        <f>IF(AND(ISNUMBER(H387),ISNUMBER(I387)),I387-H387+1,"")</f>
        <v/>
      </c>
      <c r="K387" s="5" t="n"/>
      <c r="L387" s="5" t="n"/>
      <c r="M387" s="5" t="n"/>
      <c r="N387" s="5" t="n"/>
      <c r="O387" s="5" t="n"/>
      <c r="Q387" s="10">
        <f>IF(TRIM(G387&amp;"")="","",TRIM(G387&amp;""))</f>
        <v/>
      </c>
      <c r="R387" s="10">
        <f>IF(TRIM(B387&amp;"")="","",IFERROR(INDEX(설정_코드표!$K$2:$K$101,MATCH(TRIM(B387&amp;""),설정_코드표!$J$2:$J$101,0)),"⚠"&amp;TRIM(B387&amp;"")))</f>
        <v/>
      </c>
      <c r="S387" s="10">
        <f>IF(TRIM(K387&amp;"")="","",IFERROR(INDEX(설정_코드표!$K$2:$K$101,MATCH(TRIM(K387&amp;""),설정_코드표!$J$2:$J$101,0)),"⚠"&amp;TRIM(K387&amp;"")))</f>
        <v/>
      </c>
      <c r="T387" s="10">
        <f>IF(TRIM(M387&amp;"")="","",IF(ISNUMBER(MATCH(TRIM(M387&amp;""),설정_코드표!$C$2:$C$11,0)),TRIM(M387&amp;""),"⚠"&amp;TRIM(M387&amp;"")))</f>
        <v/>
      </c>
      <c r="U387" s="10">
        <f>IF(TRIM(L387&amp;"")="","",IFERROR(INDEX(설정_코드표!$G$2:$G$101,MATCH(TRIM(L387&amp;""),설정_코드표!$F$2:$F$101,0)),"⚠"&amp;TRIM(L387&amp;"")))</f>
        <v/>
      </c>
      <c r="V387" s="10">
        <f>IF(AND(ISNUMBER(H387),ISNUMBER(I387)),I387-H387+1,"")</f>
        <v/>
      </c>
      <c r="W387" s="17">
        <f>IF(ISNUMBER(H387),MAX(0,MIN(IF(ISNUMBER(I387),I387,EOMONTH(출력_요약!$B$3,0)),EOMONTH(출력_요약!$B$3,0))-MAX(H387,출력_요약!$B$3)+1),0)</f>
        <v/>
      </c>
      <c r="X387" s="10">
        <f>IF(OR(NOT(ISNUMBER(H387)),Q387=""),"",IF(TODAY()&lt;H387,"파견예정",IF(AND(ISNUMBER(I387),TODAY()&gt;I387),"파견종료","파견중")))</f>
        <v/>
      </c>
      <c r="Y387" s="10">
        <f>IF(OR(Q387="",X387=""),"",Q387&amp;"|"&amp;X387)</f>
        <v/>
      </c>
      <c r="Z387" s="10">
        <f>IF(AND(Q387&lt;&gt;"",W387&gt;0),Q387&amp;"|월","")</f>
        <v/>
      </c>
      <c r="AA387" s="10">
        <f>IF(COUNTA(B387:I387,K387:N387)=0,"",IF(Q387="","등록번호 없음",IF(LEFT(R387,1)="⚠","모병원명 미등록",IF(S387="","파견병원 입력",IF(LEFT(S387,1)="⚠","파견병원명 미등록",IF(LEFT(U387,1)="⚠","파견과목 미등록",IF(OR(T387="",LEFT(T387,1)="⚠"),"파견근거 확인",IF(NOT(AND(ISNUMBER(H387),ISNUMBER(I387))),"날짜 형식/누락",IF(I387&lt;H387,"종료일&lt;시작일","")))))))))</f>
        <v/>
      </c>
      <c r="AB387" s="11">
        <f>IF(ISNUMBER(SEARCH("다기관",TRIM(N387&amp;" "&amp;O387))),IFERROR(DATE(VALUE(MID(TRIM(N387&amp;" "&amp;O387),1,4)),VALUE(MID(TRIM(N387&amp;" "&amp;O387),6,2)),VALUE(MID(TRIM(N387&amp;" "&amp;O387),9,2))),IF(ISNUMBER(H387),H387,"")),"")</f>
        <v/>
      </c>
      <c r="AC387" s="11">
        <f>IF(ISNUMBER(SEARCH("다기관",TRIM(N387&amp;" "&amp;O387))),IFERROR(DATE(VALUE(MID(TRIM(N387&amp;" "&amp;O387),12,4)),VALUE(MID(TRIM(N387&amp;" "&amp;O387),17,2)),VALUE(MID(TRIM(N387&amp;" "&amp;O387),20,2))),IF(ISNUMBER(I387),I387,"")),"")</f>
        <v/>
      </c>
      <c r="AD387" s="17">
        <f>IF(AND(ISNUMBER(AB387),ISNUMBER(AC387)),MAX(0,MIN(AC387,EOMONTH(출력_요약!$B$3,0))-MAX(AB387,출력_요약!$B$3)+1),0)</f>
        <v/>
      </c>
      <c r="AE387" s="10">
        <f>IF(AND(Q387&lt;&gt;"",ISNUMBER(AB387)),Q387&amp;"|다기관","")</f>
        <v/>
      </c>
    </row>
    <row r="388">
      <c r="A388" s="15">
        <f>IF(F388="","",ROW()-3)</f>
        <v/>
      </c>
      <c r="B388" s="5" t="n"/>
      <c r="C388" s="15" t="n"/>
      <c r="D388" s="5" t="n"/>
      <c r="E388" s="15" t="n"/>
      <c r="F388" s="5" t="n"/>
      <c r="G388" s="6" t="n"/>
      <c r="H388" s="16" t="n"/>
      <c r="I388" s="16" t="n"/>
      <c r="J388" s="15">
        <f>IF(AND(ISNUMBER(H388),ISNUMBER(I388)),I388-H388+1,"")</f>
        <v/>
      </c>
      <c r="K388" s="5" t="n"/>
      <c r="L388" s="5" t="n"/>
      <c r="M388" s="5" t="n"/>
      <c r="N388" s="5" t="n"/>
      <c r="O388" s="5" t="n"/>
      <c r="Q388" s="10">
        <f>IF(TRIM(G388&amp;"")="","",TRIM(G388&amp;""))</f>
        <v/>
      </c>
      <c r="R388" s="10">
        <f>IF(TRIM(B388&amp;"")="","",IFERROR(INDEX(설정_코드표!$K$2:$K$101,MATCH(TRIM(B388&amp;""),설정_코드표!$J$2:$J$101,0)),"⚠"&amp;TRIM(B388&amp;"")))</f>
        <v/>
      </c>
      <c r="S388" s="10">
        <f>IF(TRIM(K388&amp;"")="","",IFERROR(INDEX(설정_코드표!$K$2:$K$101,MATCH(TRIM(K388&amp;""),설정_코드표!$J$2:$J$101,0)),"⚠"&amp;TRIM(K388&amp;"")))</f>
        <v/>
      </c>
      <c r="T388" s="10">
        <f>IF(TRIM(M388&amp;"")="","",IF(ISNUMBER(MATCH(TRIM(M388&amp;""),설정_코드표!$C$2:$C$11,0)),TRIM(M388&amp;""),"⚠"&amp;TRIM(M388&amp;"")))</f>
        <v/>
      </c>
      <c r="U388" s="10">
        <f>IF(TRIM(L388&amp;"")="","",IFERROR(INDEX(설정_코드표!$G$2:$G$101,MATCH(TRIM(L388&amp;""),설정_코드표!$F$2:$F$101,0)),"⚠"&amp;TRIM(L388&amp;"")))</f>
        <v/>
      </c>
      <c r="V388" s="10">
        <f>IF(AND(ISNUMBER(H388),ISNUMBER(I388)),I388-H388+1,"")</f>
        <v/>
      </c>
      <c r="W388" s="17">
        <f>IF(ISNUMBER(H388),MAX(0,MIN(IF(ISNUMBER(I388),I388,EOMONTH(출력_요약!$B$3,0)),EOMONTH(출력_요약!$B$3,0))-MAX(H388,출력_요약!$B$3)+1),0)</f>
        <v/>
      </c>
      <c r="X388" s="10">
        <f>IF(OR(NOT(ISNUMBER(H388)),Q388=""),"",IF(TODAY()&lt;H388,"파견예정",IF(AND(ISNUMBER(I388),TODAY()&gt;I388),"파견종료","파견중")))</f>
        <v/>
      </c>
      <c r="Y388" s="10">
        <f>IF(OR(Q388="",X388=""),"",Q388&amp;"|"&amp;X388)</f>
        <v/>
      </c>
      <c r="Z388" s="10">
        <f>IF(AND(Q388&lt;&gt;"",W388&gt;0),Q388&amp;"|월","")</f>
        <v/>
      </c>
      <c r="AA388" s="10">
        <f>IF(COUNTA(B388:I388,K388:N388)=0,"",IF(Q388="","등록번호 없음",IF(LEFT(R388,1)="⚠","모병원명 미등록",IF(S388="","파견병원 입력",IF(LEFT(S388,1)="⚠","파견병원명 미등록",IF(LEFT(U388,1)="⚠","파견과목 미등록",IF(OR(T388="",LEFT(T388,1)="⚠"),"파견근거 확인",IF(NOT(AND(ISNUMBER(H388),ISNUMBER(I388))),"날짜 형식/누락",IF(I388&lt;H388,"종료일&lt;시작일","")))))))))</f>
        <v/>
      </c>
      <c r="AB388" s="11">
        <f>IF(ISNUMBER(SEARCH("다기관",TRIM(N388&amp;" "&amp;O388))),IFERROR(DATE(VALUE(MID(TRIM(N388&amp;" "&amp;O388),1,4)),VALUE(MID(TRIM(N388&amp;" "&amp;O388),6,2)),VALUE(MID(TRIM(N388&amp;" "&amp;O388),9,2))),IF(ISNUMBER(H388),H388,"")),"")</f>
        <v/>
      </c>
      <c r="AC388" s="11">
        <f>IF(ISNUMBER(SEARCH("다기관",TRIM(N388&amp;" "&amp;O388))),IFERROR(DATE(VALUE(MID(TRIM(N388&amp;" "&amp;O388),12,4)),VALUE(MID(TRIM(N388&amp;" "&amp;O388),17,2)),VALUE(MID(TRIM(N388&amp;" "&amp;O388),20,2))),IF(ISNUMBER(I388),I388,"")),"")</f>
        <v/>
      </c>
      <c r="AD388" s="17">
        <f>IF(AND(ISNUMBER(AB388),ISNUMBER(AC388)),MAX(0,MIN(AC388,EOMONTH(출력_요약!$B$3,0))-MAX(AB388,출력_요약!$B$3)+1),0)</f>
        <v/>
      </c>
      <c r="AE388" s="10">
        <f>IF(AND(Q388&lt;&gt;"",ISNUMBER(AB388)),Q388&amp;"|다기관","")</f>
        <v/>
      </c>
    </row>
    <row r="389">
      <c r="A389" s="15">
        <f>IF(F389="","",ROW()-3)</f>
        <v/>
      </c>
      <c r="B389" s="5" t="n"/>
      <c r="C389" s="15" t="n"/>
      <c r="D389" s="5" t="n"/>
      <c r="E389" s="15" t="n"/>
      <c r="F389" s="5" t="n"/>
      <c r="G389" s="6" t="n"/>
      <c r="H389" s="16" t="n"/>
      <c r="I389" s="16" t="n"/>
      <c r="J389" s="15">
        <f>IF(AND(ISNUMBER(H389),ISNUMBER(I389)),I389-H389+1,"")</f>
        <v/>
      </c>
      <c r="K389" s="5" t="n"/>
      <c r="L389" s="5" t="n"/>
      <c r="M389" s="5" t="n"/>
      <c r="N389" s="5" t="n"/>
      <c r="O389" s="5" t="n"/>
      <c r="Q389" s="10">
        <f>IF(TRIM(G389&amp;"")="","",TRIM(G389&amp;""))</f>
        <v/>
      </c>
      <c r="R389" s="10">
        <f>IF(TRIM(B389&amp;"")="","",IFERROR(INDEX(설정_코드표!$K$2:$K$101,MATCH(TRIM(B389&amp;""),설정_코드표!$J$2:$J$101,0)),"⚠"&amp;TRIM(B389&amp;"")))</f>
        <v/>
      </c>
      <c r="S389" s="10">
        <f>IF(TRIM(K389&amp;"")="","",IFERROR(INDEX(설정_코드표!$K$2:$K$101,MATCH(TRIM(K389&amp;""),설정_코드표!$J$2:$J$101,0)),"⚠"&amp;TRIM(K389&amp;"")))</f>
        <v/>
      </c>
      <c r="T389" s="10">
        <f>IF(TRIM(M389&amp;"")="","",IF(ISNUMBER(MATCH(TRIM(M389&amp;""),설정_코드표!$C$2:$C$11,0)),TRIM(M389&amp;""),"⚠"&amp;TRIM(M389&amp;"")))</f>
        <v/>
      </c>
      <c r="U389" s="10">
        <f>IF(TRIM(L389&amp;"")="","",IFERROR(INDEX(설정_코드표!$G$2:$G$101,MATCH(TRIM(L389&amp;""),설정_코드표!$F$2:$F$101,0)),"⚠"&amp;TRIM(L389&amp;"")))</f>
        <v/>
      </c>
      <c r="V389" s="10">
        <f>IF(AND(ISNUMBER(H389),ISNUMBER(I389)),I389-H389+1,"")</f>
        <v/>
      </c>
      <c r="W389" s="17">
        <f>IF(ISNUMBER(H389),MAX(0,MIN(IF(ISNUMBER(I389),I389,EOMONTH(출력_요약!$B$3,0)),EOMONTH(출력_요약!$B$3,0))-MAX(H389,출력_요약!$B$3)+1),0)</f>
        <v/>
      </c>
      <c r="X389" s="10">
        <f>IF(OR(NOT(ISNUMBER(H389)),Q389=""),"",IF(TODAY()&lt;H389,"파견예정",IF(AND(ISNUMBER(I389),TODAY()&gt;I389),"파견종료","파견중")))</f>
        <v/>
      </c>
      <c r="Y389" s="10">
        <f>IF(OR(Q389="",X389=""),"",Q389&amp;"|"&amp;X389)</f>
        <v/>
      </c>
      <c r="Z389" s="10">
        <f>IF(AND(Q389&lt;&gt;"",W389&gt;0),Q389&amp;"|월","")</f>
        <v/>
      </c>
      <c r="AA389" s="10">
        <f>IF(COUNTA(B389:I389,K389:N389)=0,"",IF(Q389="","등록번호 없음",IF(LEFT(R389,1)="⚠","모병원명 미등록",IF(S389="","파견병원 입력",IF(LEFT(S389,1)="⚠","파견병원명 미등록",IF(LEFT(U389,1)="⚠","파견과목 미등록",IF(OR(T389="",LEFT(T389,1)="⚠"),"파견근거 확인",IF(NOT(AND(ISNUMBER(H389),ISNUMBER(I389))),"날짜 형식/누락",IF(I389&lt;H389,"종료일&lt;시작일","")))))))))</f>
        <v/>
      </c>
      <c r="AB389" s="11">
        <f>IF(ISNUMBER(SEARCH("다기관",TRIM(N389&amp;" "&amp;O389))),IFERROR(DATE(VALUE(MID(TRIM(N389&amp;" "&amp;O389),1,4)),VALUE(MID(TRIM(N389&amp;" "&amp;O389),6,2)),VALUE(MID(TRIM(N389&amp;" "&amp;O389),9,2))),IF(ISNUMBER(H389),H389,"")),"")</f>
        <v/>
      </c>
      <c r="AC389" s="11">
        <f>IF(ISNUMBER(SEARCH("다기관",TRIM(N389&amp;" "&amp;O389))),IFERROR(DATE(VALUE(MID(TRIM(N389&amp;" "&amp;O389),12,4)),VALUE(MID(TRIM(N389&amp;" "&amp;O389),17,2)),VALUE(MID(TRIM(N389&amp;" "&amp;O389),20,2))),IF(ISNUMBER(I389),I389,"")),"")</f>
        <v/>
      </c>
      <c r="AD389" s="17">
        <f>IF(AND(ISNUMBER(AB389),ISNUMBER(AC389)),MAX(0,MIN(AC389,EOMONTH(출력_요약!$B$3,0))-MAX(AB389,출력_요약!$B$3)+1),0)</f>
        <v/>
      </c>
      <c r="AE389" s="10">
        <f>IF(AND(Q389&lt;&gt;"",ISNUMBER(AB389)),Q389&amp;"|다기관","")</f>
        <v/>
      </c>
    </row>
    <row r="390">
      <c r="A390" s="15">
        <f>IF(F390="","",ROW()-3)</f>
        <v/>
      </c>
      <c r="B390" s="5" t="n"/>
      <c r="C390" s="15" t="n"/>
      <c r="D390" s="5" t="n"/>
      <c r="E390" s="15" t="n"/>
      <c r="F390" s="5" t="n"/>
      <c r="G390" s="6" t="n"/>
      <c r="H390" s="16" t="n"/>
      <c r="I390" s="16" t="n"/>
      <c r="J390" s="15">
        <f>IF(AND(ISNUMBER(H390),ISNUMBER(I390)),I390-H390+1,"")</f>
        <v/>
      </c>
      <c r="K390" s="5" t="n"/>
      <c r="L390" s="5" t="n"/>
      <c r="M390" s="5" t="n"/>
      <c r="N390" s="5" t="n"/>
      <c r="O390" s="5" t="n"/>
      <c r="Q390" s="10">
        <f>IF(TRIM(G390&amp;"")="","",TRIM(G390&amp;""))</f>
        <v/>
      </c>
      <c r="R390" s="10">
        <f>IF(TRIM(B390&amp;"")="","",IFERROR(INDEX(설정_코드표!$K$2:$K$101,MATCH(TRIM(B390&amp;""),설정_코드표!$J$2:$J$101,0)),"⚠"&amp;TRIM(B390&amp;"")))</f>
        <v/>
      </c>
      <c r="S390" s="10">
        <f>IF(TRIM(K390&amp;"")="","",IFERROR(INDEX(설정_코드표!$K$2:$K$101,MATCH(TRIM(K390&amp;""),설정_코드표!$J$2:$J$101,0)),"⚠"&amp;TRIM(K390&amp;"")))</f>
        <v/>
      </c>
      <c r="T390" s="10">
        <f>IF(TRIM(M390&amp;"")="","",IF(ISNUMBER(MATCH(TRIM(M390&amp;""),설정_코드표!$C$2:$C$11,0)),TRIM(M390&amp;""),"⚠"&amp;TRIM(M390&amp;"")))</f>
        <v/>
      </c>
      <c r="U390" s="10">
        <f>IF(TRIM(L390&amp;"")="","",IFERROR(INDEX(설정_코드표!$G$2:$G$101,MATCH(TRIM(L390&amp;""),설정_코드표!$F$2:$F$101,0)),"⚠"&amp;TRIM(L390&amp;"")))</f>
        <v/>
      </c>
      <c r="V390" s="10">
        <f>IF(AND(ISNUMBER(H390),ISNUMBER(I390)),I390-H390+1,"")</f>
        <v/>
      </c>
      <c r="W390" s="17">
        <f>IF(ISNUMBER(H390),MAX(0,MIN(IF(ISNUMBER(I390),I390,EOMONTH(출력_요약!$B$3,0)),EOMONTH(출력_요약!$B$3,0))-MAX(H390,출력_요약!$B$3)+1),0)</f>
        <v/>
      </c>
      <c r="X390" s="10">
        <f>IF(OR(NOT(ISNUMBER(H390)),Q390=""),"",IF(TODAY()&lt;H390,"파견예정",IF(AND(ISNUMBER(I390),TODAY()&gt;I390),"파견종료","파견중")))</f>
        <v/>
      </c>
      <c r="Y390" s="10">
        <f>IF(OR(Q390="",X390=""),"",Q390&amp;"|"&amp;X390)</f>
        <v/>
      </c>
      <c r="Z390" s="10">
        <f>IF(AND(Q390&lt;&gt;"",W390&gt;0),Q390&amp;"|월","")</f>
        <v/>
      </c>
      <c r="AA390" s="10">
        <f>IF(COUNTA(B390:I390,K390:N390)=0,"",IF(Q390="","등록번호 없음",IF(LEFT(R390,1)="⚠","모병원명 미등록",IF(S390="","파견병원 입력",IF(LEFT(S390,1)="⚠","파견병원명 미등록",IF(LEFT(U390,1)="⚠","파견과목 미등록",IF(OR(T390="",LEFT(T390,1)="⚠"),"파견근거 확인",IF(NOT(AND(ISNUMBER(H390),ISNUMBER(I390))),"날짜 형식/누락",IF(I390&lt;H390,"종료일&lt;시작일","")))))))))</f>
        <v/>
      </c>
      <c r="AB390" s="11">
        <f>IF(ISNUMBER(SEARCH("다기관",TRIM(N390&amp;" "&amp;O390))),IFERROR(DATE(VALUE(MID(TRIM(N390&amp;" "&amp;O390),1,4)),VALUE(MID(TRIM(N390&amp;" "&amp;O390),6,2)),VALUE(MID(TRIM(N390&amp;" "&amp;O390),9,2))),IF(ISNUMBER(H390),H390,"")),"")</f>
        <v/>
      </c>
      <c r="AC390" s="11">
        <f>IF(ISNUMBER(SEARCH("다기관",TRIM(N390&amp;" "&amp;O390))),IFERROR(DATE(VALUE(MID(TRIM(N390&amp;" "&amp;O390),12,4)),VALUE(MID(TRIM(N390&amp;" "&amp;O390),17,2)),VALUE(MID(TRIM(N390&amp;" "&amp;O390),20,2))),IF(ISNUMBER(I390),I390,"")),"")</f>
        <v/>
      </c>
      <c r="AD390" s="17">
        <f>IF(AND(ISNUMBER(AB390),ISNUMBER(AC390)),MAX(0,MIN(AC390,EOMONTH(출력_요약!$B$3,0))-MAX(AB390,출력_요약!$B$3)+1),0)</f>
        <v/>
      </c>
      <c r="AE390" s="10">
        <f>IF(AND(Q390&lt;&gt;"",ISNUMBER(AB390)),Q390&amp;"|다기관","")</f>
        <v/>
      </c>
    </row>
    <row r="391">
      <c r="A391" s="15">
        <f>IF(F391="","",ROW()-3)</f>
        <v/>
      </c>
      <c r="B391" s="5" t="n"/>
      <c r="C391" s="15" t="n"/>
      <c r="D391" s="5" t="n"/>
      <c r="E391" s="15" t="n"/>
      <c r="F391" s="5" t="n"/>
      <c r="G391" s="6" t="n"/>
      <c r="H391" s="16" t="n"/>
      <c r="I391" s="16" t="n"/>
      <c r="J391" s="15">
        <f>IF(AND(ISNUMBER(H391),ISNUMBER(I391)),I391-H391+1,"")</f>
        <v/>
      </c>
      <c r="K391" s="5" t="n"/>
      <c r="L391" s="5" t="n"/>
      <c r="M391" s="5" t="n"/>
      <c r="N391" s="5" t="n"/>
      <c r="O391" s="5" t="n"/>
      <c r="Q391" s="10">
        <f>IF(TRIM(G391&amp;"")="","",TRIM(G391&amp;""))</f>
        <v/>
      </c>
      <c r="R391" s="10">
        <f>IF(TRIM(B391&amp;"")="","",IFERROR(INDEX(설정_코드표!$K$2:$K$101,MATCH(TRIM(B391&amp;""),설정_코드표!$J$2:$J$101,0)),"⚠"&amp;TRIM(B391&amp;"")))</f>
        <v/>
      </c>
      <c r="S391" s="10">
        <f>IF(TRIM(K391&amp;"")="","",IFERROR(INDEX(설정_코드표!$K$2:$K$101,MATCH(TRIM(K391&amp;""),설정_코드표!$J$2:$J$101,0)),"⚠"&amp;TRIM(K391&amp;"")))</f>
        <v/>
      </c>
      <c r="T391" s="10">
        <f>IF(TRIM(M391&amp;"")="","",IF(ISNUMBER(MATCH(TRIM(M391&amp;""),설정_코드표!$C$2:$C$11,0)),TRIM(M391&amp;""),"⚠"&amp;TRIM(M391&amp;"")))</f>
        <v/>
      </c>
      <c r="U391" s="10">
        <f>IF(TRIM(L391&amp;"")="","",IFERROR(INDEX(설정_코드표!$G$2:$G$101,MATCH(TRIM(L391&amp;""),설정_코드표!$F$2:$F$101,0)),"⚠"&amp;TRIM(L391&amp;"")))</f>
        <v/>
      </c>
      <c r="V391" s="10">
        <f>IF(AND(ISNUMBER(H391),ISNUMBER(I391)),I391-H391+1,"")</f>
        <v/>
      </c>
      <c r="W391" s="17">
        <f>IF(ISNUMBER(H391),MAX(0,MIN(IF(ISNUMBER(I391),I391,EOMONTH(출력_요약!$B$3,0)),EOMONTH(출력_요약!$B$3,0))-MAX(H391,출력_요약!$B$3)+1),0)</f>
        <v/>
      </c>
      <c r="X391" s="10">
        <f>IF(OR(NOT(ISNUMBER(H391)),Q391=""),"",IF(TODAY()&lt;H391,"파견예정",IF(AND(ISNUMBER(I391),TODAY()&gt;I391),"파견종료","파견중")))</f>
        <v/>
      </c>
      <c r="Y391" s="10">
        <f>IF(OR(Q391="",X391=""),"",Q391&amp;"|"&amp;X391)</f>
        <v/>
      </c>
      <c r="Z391" s="10">
        <f>IF(AND(Q391&lt;&gt;"",W391&gt;0),Q391&amp;"|월","")</f>
        <v/>
      </c>
      <c r="AA391" s="10">
        <f>IF(COUNTA(B391:I391,K391:N391)=0,"",IF(Q391="","등록번호 없음",IF(LEFT(R391,1)="⚠","모병원명 미등록",IF(S391="","파견병원 입력",IF(LEFT(S391,1)="⚠","파견병원명 미등록",IF(LEFT(U391,1)="⚠","파견과목 미등록",IF(OR(T391="",LEFT(T391,1)="⚠"),"파견근거 확인",IF(NOT(AND(ISNUMBER(H391),ISNUMBER(I391))),"날짜 형식/누락",IF(I391&lt;H391,"종료일&lt;시작일","")))))))))</f>
        <v/>
      </c>
      <c r="AB391" s="11">
        <f>IF(ISNUMBER(SEARCH("다기관",TRIM(N391&amp;" "&amp;O391))),IFERROR(DATE(VALUE(MID(TRIM(N391&amp;" "&amp;O391),1,4)),VALUE(MID(TRIM(N391&amp;" "&amp;O391),6,2)),VALUE(MID(TRIM(N391&amp;" "&amp;O391),9,2))),IF(ISNUMBER(H391),H391,"")),"")</f>
        <v/>
      </c>
      <c r="AC391" s="11">
        <f>IF(ISNUMBER(SEARCH("다기관",TRIM(N391&amp;" "&amp;O391))),IFERROR(DATE(VALUE(MID(TRIM(N391&amp;" "&amp;O391),12,4)),VALUE(MID(TRIM(N391&amp;" "&amp;O391),17,2)),VALUE(MID(TRIM(N391&amp;" "&amp;O391),20,2))),IF(ISNUMBER(I391),I391,"")),"")</f>
        <v/>
      </c>
      <c r="AD391" s="17">
        <f>IF(AND(ISNUMBER(AB391),ISNUMBER(AC391)),MAX(0,MIN(AC391,EOMONTH(출력_요약!$B$3,0))-MAX(AB391,출력_요약!$B$3)+1),0)</f>
        <v/>
      </c>
      <c r="AE391" s="10">
        <f>IF(AND(Q391&lt;&gt;"",ISNUMBER(AB391)),Q391&amp;"|다기관","")</f>
        <v/>
      </c>
    </row>
    <row r="392">
      <c r="A392" s="15">
        <f>IF(F392="","",ROW()-3)</f>
        <v/>
      </c>
      <c r="B392" s="5" t="n"/>
      <c r="C392" s="15" t="n"/>
      <c r="D392" s="5" t="n"/>
      <c r="E392" s="15" t="n"/>
      <c r="F392" s="5" t="n"/>
      <c r="G392" s="6" t="n"/>
      <c r="H392" s="16" t="n"/>
      <c r="I392" s="16" t="n"/>
      <c r="J392" s="15">
        <f>IF(AND(ISNUMBER(H392),ISNUMBER(I392)),I392-H392+1,"")</f>
        <v/>
      </c>
      <c r="K392" s="5" t="n"/>
      <c r="L392" s="5" t="n"/>
      <c r="M392" s="5" t="n"/>
      <c r="N392" s="5" t="n"/>
      <c r="O392" s="5" t="n"/>
      <c r="Q392" s="10">
        <f>IF(TRIM(G392&amp;"")="","",TRIM(G392&amp;""))</f>
        <v/>
      </c>
      <c r="R392" s="10">
        <f>IF(TRIM(B392&amp;"")="","",IFERROR(INDEX(설정_코드표!$K$2:$K$101,MATCH(TRIM(B392&amp;""),설정_코드표!$J$2:$J$101,0)),"⚠"&amp;TRIM(B392&amp;"")))</f>
        <v/>
      </c>
      <c r="S392" s="10">
        <f>IF(TRIM(K392&amp;"")="","",IFERROR(INDEX(설정_코드표!$K$2:$K$101,MATCH(TRIM(K392&amp;""),설정_코드표!$J$2:$J$101,0)),"⚠"&amp;TRIM(K392&amp;"")))</f>
        <v/>
      </c>
      <c r="T392" s="10">
        <f>IF(TRIM(M392&amp;"")="","",IF(ISNUMBER(MATCH(TRIM(M392&amp;""),설정_코드표!$C$2:$C$11,0)),TRIM(M392&amp;""),"⚠"&amp;TRIM(M392&amp;"")))</f>
        <v/>
      </c>
      <c r="U392" s="10">
        <f>IF(TRIM(L392&amp;"")="","",IFERROR(INDEX(설정_코드표!$G$2:$G$101,MATCH(TRIM(L392&amp;""),설정_코드표!$F$2:$F$101,0)),"⚠"&amp;TRIM(L392&amp;"")))</f>
        <v/>
      </c>
      <c r="V392" s="10">
        <f>IF(AND(ISNUMBER(H392),ISNUMBER(I392)),I392-H392+1,"")</f>
        <v/>
      </c>
      <c r="W392" s="17">
        <f>IF(ISNUMBER(H392),MAX(0,MIN(IF(ISNUMBER(I392),I392,EOMONTH(출력_요약!$B$3,0)),EOMONTH(출력_요약!$B$3,0))-MAX(H392,출력_요약!$B$3)+1),0)</f>
        <v/>
      </c>
      <c r="X392" s="10">
        <f>IF(OR(NOT(ISNUMBER(H392)),Q392=""),"",IF(TODAY()&lt;H392,"파견예정",IF(AND(ISNUMBER(I392),TODAY()&gt;I392),"파견종료","파견중")))</f>
        <v/>
      </c>
      <c r="Y392" s="10">
        <f>IF(OR(Q392="",X392=""),"",Q392&amp;"|"&amp;X392)</f>
        <v/>
      </c>
      <c r="Z392" s="10">
        <f>IF(AND(Q392&lt;&gt;"",W392&gt;0),Q392&amp;"|월","")</f>
        <v/>
      </c>
      <c r="AA392" s="10">
        <f>IF(COUNTA(B392:I392,K392:N392)=0,"",IF(Q392="","등록번호 없음",IF(LEFT(R392,1)="⚠","모병원명 미등록",IF(S392="","파견병원 입력",IF(LEFT(S392,1)="⚠","파견병원명 미등록",IF(LEFT(U392,1)="⚠","파견과목 미등록",IF(OR(T392="",LEFT(T392,1)="⚠"),"파견근거 확인",IF(NOT(AND(ISNUMBER(H392),ISNUMBER(I392))),"날짜 형식/누락",IF(I392&lt;H392,"종료일&lt;시작일","")))))))))</f>
        <v/>
      </c>
      <c r="AB392" s="11">
        <f>IF(ISNUMBER(SEARCH("다기관",TRIM(N392&amp;" "&amp;O392))),IFERROR(DATE(VALUE(MID(TRIM(N392&amp;" "&amp;O392),1,4)),VALUE(MID(TRIM(N392&amp;" "&amp;O392),6,2)),VALUE(MID(TRIM(N392&amp;" "&amp;O392),9,2))),IF(ISNUMBER(H392),H392,"")),"")</f>
        <v/>
      </c>
      <c r="AC392" s="11">
        <f>IF(ISNUMBER(SEARCH("다기관",TRIM(N392&amp;" "&amp;O392))),IFERROR(DATE(VALUE(MID(TRIM(N392&amp;" "&amp;O392),12,4)),VALUE(MID(TRIM(N392&amp;" "&amp;O392),17,2)),VALUE(MID(TRIM(N392&amp;" "&amp;O392),20,2))),IF(ISNUMBER(I392),I392,"")),"")</f>
        <v/>
      </c>
      <c r="AD392" s="17">
        <f>IF(AND(ISNUMBER(AB392),ISNUMBER(AC392)),MAX(0,MIN(AC392,EOMONTH(출력_요약!$B$3,0))-MAX(AB392,출력_요약!$B$3)+1),0)</f>
        <v/>
      </c>
      <c r="AE392" s="10">
        <f>IF(AND(Q392&lt;&gt;"",ISNUMBER(AB392)),Q392&amp;"|다기관","")</f>
        <v/>
      </c>
    </row>
    <row r="393">
      <c r="A393" s="15">
        <f>IF(F393="","",ROW()-3)</f>
        <v/>
      </c>
      <c r="B393" s="5" t="n"/>
      <c r="C393" s="15" t="n"/>
      <c r="D393" s="5" t="n"/>
      <c r="E393" s="15" t="n"/>
      <c r="F393" s="5" t="n"/>
      <c r="G393" s="6" t="n"/>
      <c r="H393" s="16" t="n"/>
      <c r="I393" s="16" t="n"/>
      <c r="J393" s="15">
        <f>IF(AND(ISNUMBER(H393),ISNUMBER(I393)),I393-H393+1,"")</f>
        <v/>
      </c>
      <c r="K393" s="5" t="n"/>
      <c r="L393" s="5" t="n"/>
      <c r="M393" s="5" t="n"/>
      <c r="N393" s="5" t="n"/>
      <c r="O393" s="5" t="n"/>
      <c r="Q393" s="10">
        <f>IF(TRIM(G393&amp;"")="","",TRIM(G393&amp;""))</f>
        <v/>
      </c>
      <c r="R393" s="10">
        <f>IF(TRIM(B393&amp;"")="","",IFERROR(INDEX(설정_코드표!$K$2:$K$101,MATCH(TRIM(B393&amp;""),설정_코드표!$J$2:$J$101,0)),"⚠"&amp;TRIM(B393&amp;"")))</f>
        <v/>
      </c>
      <c r="S393" s="10">
        <f>IF(TRIM(K393&amp;"")="","",IFERROR(INDEX(설정_코드표!$K$2:$K$101,MATCH(TRIM(K393&amp;""),설정_코드표!$J$2:$J$101,0)),"⚠"&amp;TRIM(K393&amp;"")))</f>
        <v/>
      </c>
      <c r="T393" s="10">
        <f>IF(TRIM(M393&amp;"")="","",IF(ISNUMBER(MATCH(TRIM(M393&amp;""),설정_코드표!$C$2:$C$11,0)),TRIM(M393&amp;""),"⚠"&amp;TRIM(M393&amp;"")))</f>
        <v/>
      </c>
      <c r="U393" s="10">
        <f>IF(TRIM(L393&amp;"")="","",IFERROR(INDEX(설정_코드표!$G$2:$G$101,MATCH(TRIM(L393&amp;""),설정_코드표!$F$2:$F$101,0)),"⚠"&amp;TRIM(L393&amp;"")))</f>
        <v/>
      </c>
      <c r="V393" s="10">
        <f>IF(AND(ISNUMBER(H393),ISNUMBER(I393)),I393-H393+1,"")</f>
        <v/>
      </c>
      <c r="W393" s="17">
        <f>IF(ISNUMBER(H393),MAX(0,MIN(IF(ISNUMBER(I393),I393,EOMONTH(출력_요약!$B$3,0)),EOMONTH(출력_요약!$B$3,0))-MAX(H393,출력_요약!$B$3)+1),0)</f>
        <v/>
      </c>
      <c r="X393" s="10">
        <f>IF(OR(NOT(ISNUMBER(H393)),Q393=""),"",IF(TODAY()&lt;H393,"파견예정",IF(AND(ISNUMBER(I393),TODAY()&gt;I393),"파견종료","파견중")))</f>
        <v/>
      </c>
      <c r="Y393" s="10">
        <f>IF(OR(Q393="",X393=""),"",Q393&amp;"|"&amp;X393)</f>
        <v/>
      </c>
      <c r="Z393" s="10">
        <f>IF(AND(Q393&lt;&gt;"",W393&gt;0),Q393&amp;"|월","")</f>
        <v/>
      </c>
      <c r="AA393" s="10">
        <f>IF(COUNTA(B393:I393,K393:N393)=0,"",IF(Q393="","등록번호 없음",IF(LEFT(R393,1)="⚠","모병원명 미등록",IF(S393="","파견병원 입력",IF(LEFT(S393,1)="⚠","파견병원명 미등록",IF(LEFT(U393,1)="⚠","파견과목 미등록",IF(OR(T393="",LEFT(T393,1)="⚠"),"파견근거 확인",IF(NOT(AND(ISNUMBER(H393),ISNUMBER(I393))),"날짜 형식/누락",IF(I393&lt;H393,"종료일&lt;시작일","")))))))))</f>
        <v/>
      </c>
      <c r="AB393" s="11">
        <f>IF(ISNUMBER(SEARCH("다기관",TRIM(N393&amp;" "&amp;O393))),IFERROR(DATE(VALUE(MID(TRIM(N393&amp;" "&amp;O393),1,4)),VALUE(MID(TRIM(N393&amp;" "&amp;O393),6,2)),VALUE(MID(TRIM(N393&amp;" "&amp;O393),9,2))),IF(ISNUMBER(H393),H393,"")),"")</f>
        <v/>
      </c>
      <c r="AC393" s="11">
        <f>IF(ISNUMBER(SEARCH("다기관",TRIM(N393&amp;" "&amp;O393))),IFERROR(DATE(VALUE(MID(TRIM(N393&amp;" "&amp;O393),12,4)),VALUE(MID(TRIM(N393&amp;" "&amp;O393),17,2)),VALUE(MID(TRIM(N393&amp;" "&amp;O393),20,2))),IF(ISNUMBER(I393),I393,"")),"")</f>
        <v/>
      </c>
      <c r="AD393" s="17">
        <f>IF(AND(ISNUMBER(AB393),ISNUMBER(AC393)),MAX(0,MIN(AC393,EOMONTH(출력_요약!$B$3,0))-MAX(AB393,출력_요약!$B$3)+1),0)</f>
        <v/>
      </c>
      <c r="AE393" s="10">
        <f>IF(AND(Q393&lt;&gt;"",ISNUMBER(AB393)),Q393&amp;"|다기관","")</f>
        <v/>
      </c>
    </row>
    <row r="394">
      <c r="A394" s="15">
        <f>IF(F394="","",ROW()-3)</f>
        <v/>
      </c>
      <c r="B394" s="5" t="n"/>
      <c r="C394" s="15" t="n"/>
      <c r="D394" s="5" t="n"/>
      <c r="E394" s="15" t="n"/>
      <c r="F394" s="5" t="n"/>
      <c r="G394" s="6" t="n"/>
      <c r="H394" s="16" t="n"/>
      <c r="I394" s="16" t="n"/>
      <c r="J394" s="15">
        <f>IF(AND(ISNUMBER(H394),ISNUMBER(I394)),I394-H394+1,"")</f>
        <v/>
      </c>
      <c r="K394" s="5" t="n"/>
      <c r="L394" s="5" t="n"/>
      <c r="M394" s="5" t="n"/>
      <c r="N394" s="5" t="n"/>
      <c r="O394" s="5" t="n"/>
      <c r="Q394" s="10">
        <f>IF(TRIM(G394&amp;"")="","",TRIM(G394&amp;""))</f>
        <v/>
      </c>
      <c r="R394" s="10">
        <f>IF(TRIM(B394&amp;"")="","",IFERROR(INDEX(설정_코드표!$K$2:$K$101,MATCH(TRIM(B394&amp;""),설정_코드표!$J$2:$J$101,0)),"⚠"&amp;TRIM(B394&amp;"")))</f>
        <v/>
      </c>
      <c r="S394" s="10">
        <f>IF(TRIM(K394&amp;"")="","",IFERROR(INDEX(설정_코드표!$K$2:$K$101,MATCH(TRIM(K394&amp;""),설정_코드표!$J$2:$J$101,0)),"⚠"&amp;TRIM(K394&amp;"")))</f>
        <v/>
      </c>
      <c r="T394" s="10">
        <f>IF(TRIM(M394&amp;"")="","",IF(ISNUMBER(MATCH(TRIM(M394&amp;""),설정_코드표!$C$2:$C$11,0)),TRIM(M394&amp;""),"⚠"&amp;TRIM(M394&amp;"")))</f>
        <v/>
      </c>
      <c r="U394" s="10">
        <f>IF(TRIM(L394&amp;"")="","",IFERROR(INDEX(설정_코드표!$G$2:$G$101,MATCH(TRIM(L394&amp;""),설정_코드표!$F$2:$F$101,0)),"⚠"&amp;TRIM(L394&amp;"")))</f>
        <v/>
      </c>
      <c r="V394" s="10">
        <f>IF(AND(ISNUMBER(H394),ISNUMBER(I394)),I394-H394+1,"")</f>
        <v/>
      </c>
      <c r="W394" s="17">
        <f>IF(ISNUMBER(H394),MAX(0,MIN(IF(ISNUMBER(I394),I394,EOMONTH(출력_요약!$B$3,0)),EOMONTH(출력_요약!$B$3,0))-MAX(H394,출력_요약!$B$3)+1),0)</f>
        <v/>
      </c>
      <c r="X394" s="10">
        <f>IF(OR(NOT(ISNUMBER(H394)),Q394=""),"",IF(TODAY()&lt;H394,"파견예정",IF(AND(ISNUMBER(I394),TODAY()&gt;I394),"파견종료","파견중")))</f>
        <v/>
      </c>
      <c r="Y394" s="10">
        <f>IF(OR(Q394="",X394=""),"",Q394&amp;"|"&amp;X394)</f>
        <v/>
      </c>
      <c r="Z394" s="10">
        <f>IF(AND(Q394&lt;&gt;"",W394&gt;0),Q394&amp;"|월","")</f>
        <v/>
      </c>
      <c r="AA394" s="10">
        <f>IF(COUNTA(B394:I394,K394:N394)=0,"",IF(Q394="","등록번호 없음",IF(LEFT(R394,1)="⚠","모병원명 미등록",IF(S394="","파견병원 입력",IF(LEFT(S394,1)="⚠","파견병원명 미등록",IF(LEFT(U394,1)="⚠","파견과목 미등록",IF(OR(T394="",LEFT(T394,1)="⚠"),"파견근거 확인",IF(NOT(AND(ISNUMBER(H394),ISNUMBER(I394))),"날짜 형식/누락",IF(I394&lt;H394,"종료일&lt;시작일","")))))))))</f>
        <v/>
      </c>
      <c r="AB394" s="11">
        <f>IF(ISNUMBER(SEARCH("다기관",TRIM(N394&amp;" "&amp;O394))),IFERROR(DATE(VALUE(MID(TRIM(N394&amp;" "&amp;O394),1,4)),VALUE(MID(TRIM(N394&amp;" "&amp;O394),6,2)),VALUE(MID(TRIM(N394&amp;" "&amp;O394),9,2))),IF(ISNUMBER(H394),H394,"")),"")</f>
        <v/>
      </c>
      <c r="AC394" s="11">
        <f>IF(ISNUMBER(SEARCH("다기관",TRIM(N394&amp;" "&amp;O394))),IFERROR(DATE(VALUE(MID(TRIM(N394&amp;" "&amp;O394),12,4)),VALUE(MID(TRIM(N394&amp;" "&amp;O394),17,2)),VALUE(MID(TRIM(N394&amp;" "&amp;O394),20,2))),IF(ISNUMBER(I394),I394,"")),"")</f>
        <v/>
      </c>
      <c r="AD394" s="17">
        <f>IF(AND(ISNUMBER(AB394),ISNUMBER(AC394)),MAX(0,MIN(AC394,EOMONTH(출력_요약!$B$3,0))-MAX(AB394,출력_요약!$B$3)+1),0)</f>
        <v/>
      </c>
      <c r="AE394" s="10">
        <f>IF(AND(Q394&lt;&gt;"",ISNUMBER(AB394)),Q394&amp;"|다기관","")</f>
        <v/>
      </c>
    </row>
    <row r="395">
      <c r="A395" s="15">
        <f>IF(F395="","",ROW()-3)</f>
        <v/>
      </c>
      <c r="B395" s="5" t="n"/>
      <c r="C395" s="15" t="n"/>
      <c r="D395" s="5" t="n"/>
      <c r="E395" s="15" t="n"/>
      <c r="F395" s="5" t="n"/>
      <c r="G395" s="6" t="n"/>
      <c r="H395" s="16" t="n"/>
      <c r="I395" s="16" t="n"/>
      <c r="J395" s="15">
        <f>IF(AND(ISNUMBER(H395),ISNUMBER(I395)),I395-H395+1,"")</f>
        <v/>
      </c>
      <c r="K395" s="5" t="n"/>
      <c r="L395" s="5" t="n"/>
      <c r="M395" s="5" t="n"/>
      <c r="N395" s="5" t="n"/>
      <c r="O395" s="5" t="n"/>
      <c r="Q395" s="10">
        <f>IF(TRIM(G395&amp;"")="","",TRIM(G395&amp;""))</f>
        <v/>
      </c>
      <c r="R395" s="10">
        <f>IF(TRIM(B395&amp;"")="","",IFERROR(INDEX(설정_코드표!$K$2:$K$101,MATCH(TRIM(B395&amp;""),설정_코드표!$J$2:$J$101,0)),"⚠"&amp;TRIM(B395&amp;"")))</f>
        <v/>
      </c>
      <c r="S395" s="10">
        <f>IF(TRIM(K395&amp;"")="","",IFERROR(INDEX(설정_코드표!$K$2:$K$101,MATCH(TRIM(K395&amp;""),설정_코드표!$J$2:$J$101,0)),"⚠"&amp;TRIM(K395&amp;"")))</f>
        <v/>
      </c>
      <c r="T395" s="10">
        <f>IF(TRIM(M395&amp;"")="","",IF(ISNUMBER(MATCH(TRIM(M395&amp;""),설정_코드표!$C$2:$C$11,0)),TRIM(M395&amp;""),"⚠"&amp;TRIM(M395&amp;"")))</f>
        <v/>
      </c>
      <c r="U395" s="10">
        <f>IF(TRIM(L395&amp;"")="","",IFERROR(INDEX(설정_코드표!$G$2:$G$101,MATCH(TRIM(L395&amp;""),설정_코드표!$F$2:$F$101,0)),"⚠"&amp;TRIM(L395&amp;"")))</f>
        <v/>
      </c>
      <c r="V395" s="10">
        <f>IF(AND(ISNUMBER(H395),ISNUMBER(I395)),I395-H395+1,"")</f>
        <v/>
      </c>
      <c r="W395" s="17">
        <f>IF(ISNUMBER(H395),MAX(0,MIN(IF(ISNUMBER(I395),I395,EOMONTH(출력_요약!$B$3,0)),EOMONTH(출력_요약!$B$3,0))-MAX(H395,출력_요약!$B$3)+1),0)</f>
        <v/>
      </c>
      <c r="X395" s="10">
        <f>IF(OR(NOT(ISNUMBER(H395)),Q395=""),"",IF(TODAY()&lt;H395,"파견예정",IF(AND(ISNUMBER(I395),TODAY()&gt;I395),"파견종료","파견중")))</f>
        <v/>
      </c>
      <c r="Y395" s="10">
        <f>IF(OR(Q395="",X395=""),"",Q395&amp;"|"&amp;X395)</f>
        <v/>
      </c>
      <c r="Z395" s="10">
        <f>IF(AND(Q395&lt;&gt;"",W395&gt;0),Q395&amp;"|월","")</f>
        <v/>
      </c>
      <c r="AA395" s="10">
        <f>IF(COUNTA(B395:I395,K395:N395)=0,"",IF(Q395="","등록번호 없음",IF(LEFT(R395,1)="⚠","모병원명 미등록",IF(S395="","파견병원 입력",IF(LEFT(S395,1)="⚠","파견병원명 미등록",IF(LEFT(U395,1)="⚠","파견과목 미등록",IF(OR(T395="",LEFT(T395,1)="⚠"),"파견근거 확인",IF(NOT(AND(ISNUMBER(H395),ISNUMBER(I395))),"날짜 형식/누락",IF(I395&lt;H395,"종료일&lt;시작일","")))))))))</f>
        <v/>
      </c>
      <c r="AB395" s="11">
        <f>IF(ISNUMBER(SEARCH("다기관",TRIM(N395&amp;" "&amp;O395))),IFERROR(DATE(VALUE(MID(TRIM(N395&amp;" "&amp;O395),1,4)),VALUE(MID(TRIM(N395&amp;" "&amp;O395),6,2)),VALUE(MID(TRIM(N395&amp;" "&amp;O395),9,2))),IF(ISNUMBER(H395),H395,"")),"")</f>
        <v/>
      </c>
      <c r="AC395" s="11">
        <f>IF(ISNUMBER(SEARCH("다기관",TRIM(N395&amp;" "&amp;O395))),IFERROR(DATE(VALUE(MID(TRIM(N395&amp;" "&amp;O395),12,4)),VALUE(MID(TRIM(N395&amp;" "&amp;O395),17,2)),VALUE(MID(TRIM(N395&amp;" "&amp;O395),20,2))),IF(ISNUMBER(I395),I395,"")),"")</f>
        <v/>
      </c>
      <c r="AD395" s="17">
        <f>IF(AND(ISNUMBER(AB395),ISNUMBER(AC395)),MAX(0,MIN(AC395,EOMONTH(출력_요약!$B$3,0))-MAX(AB395,출력_요약!$B$3)+1),0)</f>
        <v/>
      </c>
      <c r="AE395" s="10">
        <f>IF(AND(Q395&lt;&gt;"",ISNUMBER(AB395)),Q395&amp;"|다기관","")</f>
        <v/>
      </c>
    </row>
    <row r="396">
      <c r="A396" s="15">
        <f>IF(F396="","",ROW()-3)</f>
        <v/>
      </c>
      <c r="B396" s="5" t="n"/>
      <c r="C396" s="15" t="n"/>
      <c r="D396" s="5" t="n"/>
      <c r="E396" s="15" t="n"/>
      <c r="F396" s="5" t="n"/>
      <c r="G396" s="6" t="n"/>
      <c r="H396" s="16" t="n"/>
      <c r="I396" s="16" t="n"/>
      <c r="J396" s="15">
        <f>IF(AND(ISNUMBER(H396),ISNUMBER(I396)),I396-H396+1,"")</f>
        <v/>
      </c>
      <c r="K396" s="5" t="n"/>
      <c r="L396" s="5" t="n"/>
      <c r="M396" s="5" t="n"/>
      <c r="N396" s="5" t="n"/>
      <c r="O396" s="5" t="n"/>
      <c r="Q396" s="10">
        <f>IF(TRIM(G396&amp;"")="","",TRIM(G396&amp;""))</f>
        <v/>
      </c>
      <c r="R396" s="10">
        <f>IF(TRIM(B396&amp;"")="","",IFERROR(INDEX(설정_코드표!$K$2:$K$101,MATCH(TRIM(B396&amp;""),설정_코드표!$J$2:$J$101,0)),"⚠"&amp;TRIM(B396&amp;"")))</f>
        <v/>
      </c>
      <c r="S396" s="10">
        <f>IF(TRIM(K396&amp;"")="","",IFERROR(INDEX(설정_코드표!$K$2:$K$101,MATCH(TRIM(K396&amp;""),설정_코드표!$J$2:$J$101,0)),"⚠"&amp;TRIM(K396&amp;"")))</f>
        <v/>
      </c>
      <c r="T396" s="10">
        <f>IF(TRIM(M396&amp;"")="","",IF(ISNUMBER(MATCH(TRIM(M396&amp;""),설정_코드표!$C$2:$C$11,0)),TRIM(M396&amp;""),"⚠"&amp;TRIM(M396&amp;"")))</f>
        <v/>
      </c>
      <c r="U396" s="10">
        <f>IF(TRIM(L396&amp;"")="","",IFERROR(INDEX(설정_코드표!$G$2:$G$101,MATCH(TRIM(L396&amp;""),설정_코드표!$F$2:$F$101,0)),"⚠"&amp;TRIM(L396&amp;"")))</f>
        <v/>
      </c>
      <c r="V396" s="10">
        <f>IF(AND(ISNUMBER(H396),ISNUMBER(I396)),I396-H396+1,"")</f>
        <v/>
      </c>
      <c r="W396" s="17">
        <f>IF(ISNUMBER(H396),MAX(0,MIN(IF(ISNUMBER(I396),I396,EOMONTH(출력_요약!$B$3,0)),EOMONTH(출력_요약!$B$3,0))-MAX(H396,출력_요약!$B$3)+1),0)</f>
        <v/>
      </c>
      <c r="X396" s="10">
        <f>IF(OR(NOT(ISNUMBER(H396)),Q396=""),"",IF(TODAY()&lt;H396,"파견예정",IF(AND(ISNUMBER(I396),TODAY()&gt;I396),"파견종료","파견중")))</f>
        <v/>
      </c>
      <c r="Y396" s="10">
        <f>IF(OR(Q396="",X396=""),"",Q396&amp;"|"&amp;X396)</f>
        <v/>
      </c>
      <c r="Z396" s="10">
        <f>IF(AND(Q396&lt;&gt;"",W396&gt;0),Q396&amp;"|월","")</f>
        <v/>
      </c>
      <c r="AA396" s="10">
        <f>IF(COUNTA(B396:I396,K396:N396)=0,"",IF(Q396="","등록번호 없음",IF(LEFT(R396,1)="⚠","모병원명 미등록",IF(S396="","파견병원 입력",IF(LEFT(S396,1)="⚠","파견병원명 미등록",IF(LEFT(U396,1)="⚠","파견과목 미등록",IF(OR(T396="",LEFT(T396,1)="⚠"),"파견근거 확인",IF(NOT(AND(ISNUMBER(H396),ISNUMBER(I396))),"날짜 형식/누락",IF(I396&lt;H396,"종료일&lt;시작일","")))))))))</f>
        <v/>
      </c>
      <c r="AB396" s="11">
        <f>IF(ISNUMBER(SEARCH("다기관",TRIM(N396&amp;" "&amp;O396))),IFERROR(DATE(VALUE(MID(TRIM(N396&amp;" "&amp;O396),1,4)),VALUE(MID(TRIM(N396&amp;" "&amp;O396),6,2)),VALUE(MID(TRIM(N396&amp;" "&amp;O396),9,2))),IF(ISNUMBER(H396),H396,"")),"")</f>
        <v/>
      </c>
      <c r="AC396" s="11">
        <f>IF(ISNUMBER(SEARCH("다기관",TRIM(N396&amp;" "&amp;O396))),IFERROR(DATE(VALUE(MID(TRIM(N396&amp;" "&amp;O396),12,4)),VALUE(MID(TRIM(N396&amp;" "&amp;O396),17,2)),VALUE(MID(TRIM(N396&amp;" "&amp;O396),20,2))),IF(ISNUMBER(I396),I396,"")),"")</f>
        <v/>
      </c>
      <c r="AD396" s="17">
        <f>IF(AND(ISNUMBER(AB396),ISNUMBER(AC396)),MAX(0,MIN(AC396,EOMONTH(출력_요약!$B$3,0))-MAX(AB396,출력_요약!$B$3)+1),0)</f>
        <v/>
      </c>
      <c r="AE396" s="10">
        <f>IF(AND(Q396&lt;&gt;"",ISNUMBER(AB396)),Q396&amp;"|다기관","")</f>
        <v/>
      </c>
    </row>
    <row r="397">
      <c r="A397" s="15">
        <f>IF(F397="","",ROW()-3)</f>
        <v/>
      </c>
      <c r="B397" s="5" t="n"/>
      <c r="C397" s="15" t="n"/>
      <c r="D397" s="5" t="n"/>
      <c r="E397" s="15" t="n"/>
      <c r="F397" s="5" t="n"/>
      <c r="G397" s="6" t="n"/>
      <c r="H397" s="16" t="n"/>
      <c r="I397" s="16" t="n"/>
      <c r="J397" s="15">
        <f>IF(AND(ISNUMBER(H397),ISNUMBER(I397)),I397-H397+1,"")</f>
        <v/>
      </c>
      <c r="K397" s="5" t="n"/>
      <c r="L397" s="5" t="n"/>
      <c r="M397" s="5" t="n"/>
      <c r="N397" s="5" t="n"/>
      <c r="O397" s="5" t="n"/>
      <c r="Q397" s="10">
        <f>IF(TRIM(G397&amp;"")="","",TRIM(G397&amp;""))</f>
        <v/>
      </c>
      <c r="R397" s="10">
        <f>IF(TRIM(B397&amp;"")="","",IFERROR(INDEX(설정_코드표!$K$2:$K$101,MATCH(TRIM(B397&amp;""),설정_코드표!$J$2:$J$101,0)),"⚠"&amp;TRIM(B397&amp;"")))</f>
        <v/>
      </c>
      <c r="S397" s="10">
        <f>IF(TRIM(K397&amp;"")="","",IFERROR(INDEX(설정_코드표!$K$2:$K$101,MATCH(TRIM(K397&amp;""),설정_코드표!$J$2:$J$101,0)),"⚠"&amp;TRIM(K397&amp;"")))</f>
        <v/>
      </c>
      <c r="T397" s="10">
        <f>IF(TRIM(M397&amp;"")="","",IF(ISNUMBER(MATCH(TRIM(M397&amp;""),설정_코드표!$C$2:$C$11,0)),TRIM(M397&amp;""),"⚠"&amp;TRIM(M397&amp;"")))</f>
        <v/>
      </c>
      <c r="U397" s="10">
        <f>IF(TRIM(L397&amp;"")="","",IFERROR(INDEX(설정_코드표!$G$2:$G$101,MATCH(TRIM(L397&amp;""),설정_코드표!$F$2:$F$101,0)),"⚠"&amp;TRIM(L397&amp;"")))</f>
        <v/>
      </c>
      <c r="V397" s="10">
        <f>IF(AND(ISNUMBER(H397),ISNUMBER(I397)),I397-H397+1,"")</f>
        <v/>
      </c>
      <c r="W397" s="17">
        <f>IF(ISNUMBER(H397),MAX(0,MIN(IF(ISNUMBER(I397),I397,EOMONTH(출력_요약!$B$3,0)),EOMONTH(출력_요약!$B$3,0))-MAX(H397,출력_요약!$B$3)+1),0)</f>
        <v/>
      </c>
      <c r="X397" s="10">
        <f>IF(OR(NOT(ISNUMBER(H397)),Q397=""),"",IF(TODAY()&lt;H397,"파견예정",IF(AND(ISNUMBER(I397),TODAY()&gt;I397),"파견종료","파견중")))</f>
        <v/>
      </c>
      <c r="Y397" s="10">
        <f>IF(OR(Q397="",X397=""),"",Q397&amp;"|"&amp;X397)</f>
        <v/>
      </c>
      <c r="Z397" s="10">
        <f>IF(AND(Q397&lt;&gt;"",W397&gt;0),Q397&amp;"|월","")</f>
        <v/>
      </c>
      <c r="AA397" s="10">
        <f>IF(COUNTA(B397:I397,K397:N397)=0,"",IF(Q397="","등록번호 없음",IF(LEFT(R397,1)="⚠","모병원명 미등록",IF(S397="","파견병원 입력",IF(LEFT(S397,1)="⚠","파견병원명 미등록",IF(LEFT(U397,1)="⚠","파견과목 미등록",IF(OR(T397="",LEFT(T397,1)="⚠"),"파견근거 확인",IF(NOT(AND(ISNUMBER(H397),ISNUMBER(I397))),"날짜 형식/누락",IF(I397&lt;H397,"종료일&lt;시작일","")))))))))</f>
        <v/>
      </c>
      <c r="AB397" s="11">
        <f>IF(ISNUMBER(SEARCH("다기관",TRIM(N397&amp;" "&amp;O397))),IFERROR(DATE(VALUE(MID(TRIM(N397&amp;" "&amp;O397),1,4)),VALUE(MID(TRIM(N397&amp;" "&amp;O397),6,2)),VALUE(MID(TRIM(N397&amp;" "&amp;O397),9,2))),IF(ISNUMBER(H397),H397,"")),"")</f>
        <v/>
      </c>
      <c r="AC397" s="11">
        <f>IF(ISNUMBER(SEARCH("다기관",TRIM(N397&amp;" "&amp;O397))),IFERROR(DATE(VALUE(MID(TRIM(N397&amp;" "&amp;O397),12,4)),VALUE(MID(TRIM(N397&amp;" "&amp;O397),17,2)),VALUE(MID(TRIM(N397&amp;" "&amp;O397),20,2))),IF(ISNUMBER(I397),I397,"")),"")</f>
        <v/>
      </c>
      <c r="AD397" s="17">
        <f>IF(AND(ISNUMBER(AB397),ISNUMBER(AC397)),MAX(0,MIN(AC397,EOMONTH(출력_요약!$B$3,0))-MAX(AB397,출력_요약!$B$3)+1),0)</f>
        <v/>
      </c>
      <c r="AE397" s="10">
        <f>IF(AND(Q397&lt;&gt;"",ISNUMBER(AB397)),Q397&amp;"|다기관","")</f>
        <v/>
      </c>
    </row>
    <row r="398">
      <c r="A398" s="15">
        <f>IF(F398="","",ROW()-3)</f>
        <v/>
      </c>
      <c r="B398" s="5" t="n"/>
      <c r="C398" s="15" t="n"/>
      <c r="D398" s="5" t="n"/>
      <c r="E398" s="15" t="n"/>
      <c r="F398" s="5" t="n"/>
      <c r="G398" s="6" t="n"/>
      <c r="H398" s="16" t="n"/>
      <c r="I398" s="16" t="n"/>
      <c r="J398" s="15">
        <f>IF(AND(ISNUMBER(H398),ISNUMBER(I398)),I398-H398+1,"")</f>
        <v/>
      </c>
      <c r="K398" s="5" t="n"/>
      <c r="L398" s="5" t="n"/>
      <c r="M398" s="5" t="n"/>
      <c r="N398" s="5" t="n"/>
      <c r="O398" s="5" t="n"/>
      <c r="Q398" s="10">
        <f>IF(TRIM(G398&amp;"")="","",TRIM(G398&amp;""))</f>
        <v/>
      </c>
      <c r="R398" s="10">
        <f>IF(TRIM(B398&amp;"")="","",IFERROR(INDEX(설정_코드표!$K$2:$K$101,MATCH(TRIM(B398&amp;""),설정_코드표!$J$2:$J$101,0)),"⚠"&amp;TRIM(B398&amp;"")))</f>
        <v/>
      </c>
      <c r="S398" s="10">
        <f>IF(TRIM(K398&amp;"")="","",IFERROR(INDEX(설정_코드표!$K$2:$K$101,MATCH(TRIM(K398&amp;""),설정_코드표!$J$2:$J$101,0)),"⚠"&amp;TRIM(K398&amp;"")))</f>
        <v/>
      </c>
      <c r="T398" s="10">
        <f>IF(TRIM(M398&amp;"")="","",IF(ISNUMBER(MATCH(TRIM(M398&amp;""),설정_코드표!$C$2:$C$11,0)),TRIM(M398&amp;""),"⚠"&amp;TRIM(M398&amp;"")))</f>
        <v/>
      </c>
      <c r="U398" s="10">
        <f>IF(TRIM(L398&amp;"")="","",IFERROR(INDEX(설정_코드표!$G$2:$G$101,MATCH(TRIM(L398&amp;""),설정_코드표!$F$2:$F$101,0)),"⚠"&amp;TRIM(L398&amp;"")))</f>
        <v/>
      </c>
      <c r="V398" s="10">
        <f>IF(AND(ISNUMBER(H398),ISNUMBER(I398)),I398-H398+1,"")</f>
        <v/>
      </c>
      <c r="W398" s="17">
        <f>IF(ISNUMBER(H398),MAX(0,MIN(IF(ISNUMBER(I398),I398,EOMONTH(출력_요약!$B$3,0)),EOMONTH(출력_요약!$B$3,0))-MAX(H398,출력_요약!$B$3)+1),0)</f>
        <v/>
      </c>
      <c r="X398" s="10">
        <f>IF(OR(NOT(ISNUMBER(H398)),Q398=""),"",IF(TODAY()&lt;H398,"파견예정",IF(AND(ISNUMBER(I398),TODAY()&gt;I398),"파견종료","파견중")))</f>
        <v/>
      </c>
      <c r="Y398" s="10">
        <f>IF(OR(Q398="",X398=""),"",Q398&amp;"|"&amp;X398)</f>
        <v/>
      </c>
      <c r="Z398" s="10">
        <f>IF(AND(Q398&lt;&gt;"",W398&gt;0),Q398&amp;"|월","")</f>
        <v/>
      </c>
      <c r="AA398" s="10">
        <f>IF(COUNTA(B398:I398,K398:N398)=0,"",IF(Q398="","등록번호 없음",IF(LEFT(R398,1)="⚠","모병원명 미등록",IF(S398="","파견병원 입력",IF(LEFT(S398,1)="⚠","파견병원명 미등록",IF(LEFT(U398,1)="⚠","파견과목 미등록",IF(OR(T398="",LEFT(T398,1)="⚠"),"파견근거 확인",IF(NOT(AND(ISNUMBER(H398),ISNUMBER(I398))),"날짜 형식/누락",IF(I398&lt;H398,"종료일&lt;시작일","")))))))))</f>
        <v/>
      </c>
      <c r="AB398" s="11">
        <f>IF(ISNUMBER(SEARCH("다기관",TRIM(N398&amp;" "&amp;O398))),IFERROR(DATE(VALUE(MID(TRIM(N398&amp;" "&amp;O398),1,4)),VALUE(MID(TRIM(N398&amp;" "&amp;O398),6,2)),VALUE(MID(TRIM(N398&amp;" "&amp;O398),9,2))),IF(ISNUMBER(H398),H398,"")),"")</f>
        <v/>
      </c>
      <c r="AC398" s="11">
        <f>IF(ISNUMBER(SEARCH("다기관",TRIM(N398&amp;" "&amp;O398))),IFERROR(DATE(VALUE(MID(TRIM(N398&amp;" "&amp;O398),12,4)),VALUE(MID(TRIM(N398&amp;" "&amp;O398),17,2)),VALUE(MID(TRIM(N398&amp;" "&amp;O398),20,2))),IF(ISNUMBER(I398),I398,"")),"")</f>
        <v/>
      </c>
      <c r="AD398" s="17">
        <f>IF(AND(ISNUMBER(AB398),ISNUMBER(AC398)),MAX(0,MIN(AC398,EOMONTH(출력_요약!$B$3,0))-MAX(AB398,출력_요약!$B$3)+1),0)</f>
        <v/>
      </c>
      <c r="AE398" s="10">
        <f>IF(AND(Q398&lt;&gt;"",ISNUMBER(AB398)),Q398&amp;"|다기관","")</f>
        <v/>
      </c>
    </row>
    <row r="399">
      <c r="A399" s="15">
        <f>IF(F399="","",ROW()-3)</f>
        <v/>
      </c>
      <c r="B399" s="5" t="n"/>
      <c r="C399" s="15" t="n"/>
      <c r="D399" s="5" t="n"/>
      <c r="E399" s="15" t="n"/>
      <c r="F399" s="5" t="n"/>
      <c r="G399" s="6" t="n"/>
      <c r="H399" s="16" t="n"/>
      <c r="I399" s="16" t="n"/>
      <c r="J399" s="15">
        <f>IF(AND(ISNUMBER(H399),ISNUMBER(I399)),I399-H399+1,"")</f>
        <v/>
      </c>
      <c r="K399" s="5" t="n"/>
      <c r="L399" s="5" t="n"/>
      <c r="M399" s="5" t="n"/>
      <c r="N399" s="5" t="n"/>
      <c r="O399" s="5" t="n"/>
      <c r="Q399" s="10">
        <f>IF(TRIM(G399&amp;"")="","",TRIM(G399&amp;""))</f>
        <v/>
      </c>
      <c r="R399" s="10">
        <f>IF(TRIM(B399&amp;"")="","",IFERROR(INDEX(설정_코드표!$K$2:$K$101,MATCH(TRIM(B399&amp;""),설정_코드표!$J$2:$J$101,0)),"⚠"&amp;TRIM(B399&amp;"")))</f>
        <v/>
      </c>
      <c r="S399" s="10">
        <f>IF(TRIM(K399&amp;"")="","",IFERROR(INDEX(설정_코드표!$K$2:$K$101,MATCH(TRIM(K399&amp;""),설정_코드표!$J$2:$J$101,0)),"⚠"&amp;TRIM(K399&amp;"")))</f>
        <v/>
      </c>
      <c r="T399" s="10">
        <f>IF(TRIM(M399&amp;"")="","",IF(ISNUMBER(MATCH(TRIM(M399&amp;""),설정_코드표!$C$2:$C$11,0)),TRIM(M399&amp;""),"⚠"&amp;TRIM(M399&amp;"")))</f>
        <v/>
      </c>
      <c r="U399" s="10">
        <f>IF(TRIM(L399&amp;"")="","",IFERROR(INDEX(설정_코드표!$G$2:$G$101,MATCH(TRIM(L399&amp;""),설정_코드표!$F$2:$F$101,0)),"⚠"&amp;TRIM(L399&amp;"")))</f>
        <v/>
      </c>
      <c r="V399" s="10">
        <f>IF(AND(ISNUMBER(H399),ISNUMBER(I399)),I399-H399+1,"")</f>
        <v/>
      </c>
      <c r="W399" s="17">
        <f>IF(ISNUMBER(H399),MAX(0,MIN(IF(ISNUMBER(I399),I399,EOMONTH(출력_요약!$B$3,0)),EOMONTH(출력_요약!$B$3,0))-MAX(H399,출력_요약!$B$3)+1),0)</f>
        <v/>
      </c>
      <c r="X399" s="10">
        <f>IF(OR(NOT(ISNUMBER(H399)),Q399=""),"",IF(TODAY()&lt;H399,"파견예정",IF(AND(ISNUMBER(I399),TODAY()&gt;I399),"파견종료","파견중")))</f>
        <v/>
      </c>
      <c r="Y399" s="10">
        <f>IF(OR(Q399="",X399=""),"",Q399&amp;"|"&amp;X399)</f>
        <v/>
      </c>
      <c r="Z399" s="10">
        <f>IF(AND(Q399&lt;&gt;"",W399&gt;0),Q399&amp;"|월","")</f>
        <v/>
      </c>
      <c r="AA399" s="10">
        <f>IF(COUNTA(B399:I399,K399:N399)=0,"",IF(Q399="","등록번호 없음",IF(LEFT(R399,1)="⚠","모병원명 미등록",IF(S399="","파견병원 입력",IF(LEFT(S399,1)="⚠","파견병원명 미등록",IF(LEFT(U399,1)="⚠","파견과목 미등록",IF(OR(T399="",LEFT(T399,1)="⚠"),"파견근거 확인",IF(NOT(AND(ISNUMBER(H399),ISNUMBER(I399))),"날짜 형식/누락",IF(I399&lt;H399,"종료일&lt;시작일","")))))))))</f>
        <v/>
      </c>
      <c r="AB399" s="11">
        <f>IF(ISNUMBER(SEARCH("다기관",TRIM(N399&amp;" "&amp;O399))),IFERROR(DATE(VALUE(MID(TRIM(N399&amp;" "&amp;O399),1,4)),VALUE(MID(TRIM(N399&amp;" "&amp;O399),6,2)),VALUE(MID(TRIM(N399&amp;" "&amp;O399),9,2))),IF(ISNUMBER(H399),H399,"")),"")</f>
        <v/>
      </c>
      <c r="AC399" s="11">
        <f>IF(ISNUMBER(SEARCH("다기관",TRIM(N399&amp;" "&amp;O399))),IFERROR(DATE(VALUE(MID(TRIM(N399&amp;" "&amp;O399),12,4)),VALUE(MID(TRIM(N399&amp;" "&amp;O399),17,2)),VALUE(MID(TRIM(N399&amp;" "&amp;O399),20,2))),IF(ISNUMBER(I399),I399,"")),"")</f>
        <v/>
      </c>
      <c r="AD399" s="17">
        <f>IF(AND(ISNUMBER(AB399),ISNUMBER(AC399)),MAX(0,MIN(AC399,EOMONTH(출력_요약!$B$3,0))-MAX(AB399,출력_요약!$B$3)+1),0)</f>
        <v/>
      </c>
      <c r="AE399" s="10">
        <f>IF(AND(Q399&lt;&gt;"",ISNUMBER(AB399)),Q399&amp;"|다기관","")</f>
        <v/>
      </c>
    </row>
    <row r="400">
      <c r="A400" s="15">
        <f>IF(F400="","",ROW()-3)</f>
        <v/>
      </c>
      <c r="B400" s="5" t="n"/>
      <c r="C400" s="15" t="n"/>
      <c r="D400" s="5" t="n"/>
      <c r="E400" s="15" t="n"/>
      <c r="F400" s="5" t="n"/>
      <c r="G400" s="6" t="n"/>
      <c r="H400" s="16" t="n"/>
      <c r="I400" s="16" t="n"/>
      <c r="J400" s="15">
        <f>IF(AND(ISNUMBER(H400),ISNUMBER(I400)),I400-H400+1,"")</f>
        <v/>
      </c>
      <c r="K400" s="5" t="n"/>
      <c r="L400" s="5" t="n"/>
      <c r="M400" s="5" t="n"/>
      <c r="N400" s="5" t="n"/>
      <c r="O400" s="5" t="n"/>
      <c r="Q400" s="10">
        <f>IF(TRIM(G400&amp;"")="","",TRIM(G400&amp;""))</f>
        <v/>
      </c>
      <c r="R400" s="10">
        <f>IF(TRIM(B400&amp;"")="","",IFERROR(INDEX(설정_코드표!$K$2:$K$101,MATCH(TRIM(B400&amp;""),설정_코드표!$J$2:$J$101,0)),"⚠"&amp;TRIM(B400&amp;"")))</f>
        <v/>
      </c>
      <c r="S400" s="10">
        <f>IF(TRIM(K400&amp;"")="","",IFERROR(INDEX(설정_코드표!$K$2:$K$101,MATCH(TRIM(K400&amp;""),설정_코드표!$J$2:$J$101,0)),"⚠"&amp;TRIM(K400&amp;"")))</f>
        <v/>
      </c>
      <c r="T400" s="10">
        <f>IF(TRIM(M400&amp;"")="","",IF(ISNUMBER(MATCH(TRIM(M400&amp;""),설정_코드표!$C$2:$C$11,0)),TRIM(M400&amp;""),"⚠"&amp;TRIM(M400&amp;"")))</f>
        <v/>
      </c>
      <c r="U400" s="10">
        <f>IF(TRIM(L400&amp;"")="","",IFERROR(INDEX(설정_코드표!$G$2:$G$101,MATCH(TRIM(L400&amp;""),설정_코드표!$F$2:$F$101,0)),"⚠"&amp;TRIM(L400&amp;"")))</f>
        <v/>
      </c>
      <c r="V400" s="10">
        <f>IF(AND(ISNUMBER(H400),ISNUMBER(I400)),I400-H400+1,"")</f>
        <v/>
      </c>
      <c r="W400" s="17">
        <f>IF(ISNUMBER(H400),MAX(0,MIN(IF(ISNUMBER(I400),I400,EOMONTH(출력_요약!$B$3,0)),EOMONTH(출력_요약!$B$3,0))-MAX(H400,출력_요약!$B$3)+1),0)</f>
        <v/>
      </c>
      <c r="X400" s="10">
        <f>IF(OR(NOT(ISNUMBER(H400)),Q400=""),"",IF(TODAY()&lt;H400,"파견예정",IF(AND(ISNUMBER(I400),TODAY()&gt;I400),"파견종료","파견중")))</f>
        <v/>
      </c>
      <c r="Y400" s="10">
        <f>IF(OR(Q400="",X400=""),"",Q400&amp;"|"&amp;X400)</f>
        <v/>
      </c>
      <c r="Z400" s="10">
        <f>IF(AND(Q400&lt;&gt;"",W400&gt;0),Q400&amp;"|월","")</f>
        <v/>
      </c>
      <c r="AA400" s="10">
        <f>IF(COUNTA(B400:I400,K400:N400)=0,"",IF(Q400="","등록번호 없음",IF(LEFT(R400,1)="⚠","모병원명 미등록",IF(S400="","파견병원 입력",IF(LEFT(S400,1)="⚠","파견병원명 미등록",IF(LEFT(U400,1)="⚠","파견과목 미등록",IF(OR(T400="",LEFT(T400,1)="⚠"),"파견근거 확인",IF(NOT(AND(ISNUMBER(H400),ISNUMBER(I400))),"날짜 형식/누락",IF(I400&lt;H400,"종료일&lt;시작일","")))))))))</f>
        <v/>
      </c>
      <c r="AB400" s="11">
        <f>IF(ISNUMBER(SEARCH("다기관",TRIM(N400&amp;" "&amp;O400))),IFERROR(DATE(VALUE(MID(TRIM(N400&amp;" "&amp;O400),1,4)),VALUE(MID(TRIM(N400&amp;" "&amp;O400),6,2)),VALUE(MID(TRIM(N400&amp;" "&amp;O400),9,2))),IF(ISNUMBER(H400),H400,"")),"")</f>
        <v/>
      </c>
      <c r="AC400" s="11">
        <f>IF(ISNUMBER(SEARCH("다기관",TRIM(N400&amp;" "&amp;O400))),IFERROR(DATE(VALUE(MID(TRIM(N400&amp;" "&amp;O400),12,4)),VALUE(MID(TRIM(N400&amp;" "&amp;O400),17,2)),VALUE(MID(TRIM(N400&amp;" "&amp;O400),20,2))),IF(ISNUMBER(I400),I400,"")),"")</f>
        <v/>
      </c>
      <c r="AD400" s="17">
        <f>IF(AND(ISNUMBER(AB400),ISNUMBER(AC400)),MAX(0,MIN(AC400,EOMONTH(출력_요약!$B$3,0))-MAX(AB400,출력_요약!$B$3)+1),0)</f>
        <v/>
      </c>
      <c r="AE400" s="10">
        <f>IF(AND(Q400&lt;&gt;"",ISNUMBER(AB400)),Q400&amp;"|다기관","")</f>
        <v/>
      </c>
    </row>
    <row r="401">
      <c r="A401" s="15">
        <f>IF(F401="","",ROW()-3)</f>
        <v/>
      </c>
      <c r="B401" s="5" t="n"/>
      <c r="C401" s="15" t="n"/>
      <c r="D401" s="5" t="n"/>
      <c r="E401" s="15" t="n"/>
      <c r="F401" s="5" t="n"/>
      <c r="G401" s="6" t="n"/>
      <c r="H401" s="16" t="n"/>
      <c r="I401" s="16" t="n"/>
      <c r="J401" s="15">
        <f>IF(AND(ISNUMBER(H401),ISNUMBER(I401)),I401-H401+1,"")</f>
        <v/>
      </c>
      <c r="K401" s="5" t="n"/>
      <c r="L401" s="5" t="n"/>
      <c r="M401" s="5" t="n"/>
      <c r="N401" s="5" t="n"/>
      <c r="O401" s="5" t="n"/>
      <c r="Q401" s="10">
        <f>IF(TRIM(G401&amp;"")="","",TRIM(G401&amp;""))</f>
        <v/>
      </c>
      <c r="R401" s="10">
        <f>IF(TRIM(B401&amp;"")="","",IFERROR(INDEX(설정_코드표!$K$2:$K$101,MATCH(TRIM(B401&amp;""),설정_코드표!$J$2:$J$101,0)),"⚠"&amp;TRIM(B401&amp;"")))</f>
        <v/>
      </c>
      <c r="S401" s="10">
        <f>IF(TRIM(K401&amp;"")="","",IFERROR(INDEX(설정_코드표!$K$2:$K$101,MATCH(TRIM(K401&amp;""),설정_코드표!$J$2:$J$101,0)),"⚠"&amp;TRIM(K401&amp;"")))</f>
        <v/>
      </c>
      <c r="T401" s="10">
        <f>IF(TRIM(M401&amp;"")="","",IF(ISNUMBER(MATCH(TRIM(M401&amp;""),설정_코드표!$C$2:$C$11,0)),TRIM(M401&amp;""),"⚠"&amp;TRIM(M401&amp;"")))</f>
        <v/>
      </c>
      <c r="U401" s="10">
        <f>IF(TRIM(L401&amp;"")="","",IFERROR(INDEX(설정_코드표!$G$2:$G$101,MATCH(TRIM(L401&amp;""),설정_코드표!$F$2:$F$101,0)),"⚠"&amp;TRIM(L401&amp;"")))</f>
        <v/>
      </c>
      <c r="V401" s="10">
        <f>IF(AND(ISNUMBER(H401),ISNUMBER(I401)),I401-H401+1,"")</f>
        <v/>
      </c>
      <c r="W401" s="17">
        <f>IF(ISNUMBER(H401),MAX(0,MIN(IF(ISNUMBER(I401),I401,EOMONTH(출력_요약!$B$3,0)),EOMONTH(출력_요약!$B$3,0))-MAX(H401,출력_요약!$B$3)+1),0)</f>
        <v/>
      </c>
      <c r="X401" s="10">
        <f>IF(OR(NOT(ISNUMBER(H401)),Q401=""),"",IF(TODAY()&lt;H401,"파견예정",IF(AND(ISNUMBER(I401),TODAY()&gt;I401),"파견종료","파견중")))</f>
        <v/>
      </c>
      <c r="Y401" s="10">
        <f>IF(OR(Q401="",X401=""),"",Q401&amp;"|"&amp;X401)</f>
        <v/>
      </c>
      <c r="Z401" s="10">
        <f>IF(AND(Q401&lt;&gt;"",W401&gt;0),Q401&amp;"|월","")</f>
        <v/>
      </c>
      <c r="AA401" s="10">
        <f>IF(COUNTA(B401:I401,K401:N401)=0,"",IF(Q401="","등록번호 없음",IF(LEFT(R401,1)="⚠","모병원명 미등록",IF(S401="","파견병원 입력",IF(LEFT(S401,1)="⚠","파견병원명 미등록",IF(LEFT(U401,1)="⚠","파견과목 미등록",IF(OR(T401="",LEFT(T401,1)="⚠"),"파견근거 확인",IF(NOT(AND(ISNUMBER(H401),ISNUMBER(I401))),"날짜 형식/누락",IF(I401&lt;H401,"종료일&lt;시작일","")))))))))</f>
        <v/>
      </c>
      <c r="AB401" s="11">
        <f>IF(ISNUMBER(SEARCH("다기관",TRIM(N401&amp;" "&amp;O401))),IFERROR(DATE(VALUE(MID(TRIM(N401&amp;" "&amp;O401),1,4)),VALUE(MID(TRIM(N401&amp;" "&amp;O401),6,2)),VALUE(MID(TRIM(N401&amp;" "&amp;O401),9,2))),IF(ISNUMBER(H401),H401,"")),"")</f>
        <v/>
      </c>
      <c r="AC401" s="11">
        <f>IF(ISNUMBER(SEARCH("다기관",TRIM(N401&amp;" "&amp;O401))),IFERROR(DATE(VALUE(MID(TRIM(N401&amp;" "&amp;O401),12,4)),VALUE(MID(TRIM(N401&amp;" "&amp;O401),17,2)),VALUE(MID(TRIM(N401&amp;" "&amp;O401),20,2))),IF(ISNUMBER(I401),I401,"")),"")</f>
        <v/>
      </c>
      <c r="AD401" s="17">
        <f>IF(AND(ISNUMBER(AB401),ISNUMBER(AC401)),MAX(0,MIN(AC401,EOMONTH(출력_요약!$B$3,0))-MAX(AB401,출력_요약!$B$3)+1),0)</f>
        <v/>
      </c>
      <c r="AE401" s="10">
        <f>IF(AND(Q401&lt;&gt;"",ISNUMBER(AB401)),Q401&amp;"|다기관","")</f>
        <v/>
      </c>
    </row>
    <row r="402">
      <c r="A402" s="15">
        <f>IF(F402="","",ROW()-3)</f>
        <v/>
      </c>
      <c r="B402" s="5" t="n"/>
      <c r="C402" s="15" t="n"/>
      <c r="D402" s="5" t="n"/>
      <c r="E402" s="15" t="n"/>
      <c r="F402" s="5" t="n"/>
      <c r="G402" s="6" t="n"/>
      <c r="H402" s="16" t="n"/>
      <c r="I402" s="16" t="n"/>
      <c r="J402" s="15">
        <f>IF(AND(ISNUMBER(H402),ISNUMBER(I402)),I402-H402+1,"")</f>
        <v/>
      </c>
      <c r="K402" s="5" t="n"/>
      <c r="L402" s="5" t="n"/>
      <c r="M402" s="5" t="n"/>
      <c r="N402" s="5" t="n"/>
      <c r="O402" s="5" t="n"/>
      <c r="Q402" s="10">
        <f>IF(TRIM(G402&amp;"")="","",TRIM(G402&amp;""))</f>
        <v/>
      </c>
      <c r="R402" s="10">
        <f>IF(TRIM(B402&amp;"")="","",IFERROR(INDEX(설정_코드표!$K$2:$K$101,MATCH(TRIM(B402&amp;""),설정_코드표!$J$2:$J$101,0)),"⚠"&amp;TRIM(B402&amp;"")))</f>
        <v/>
      </c>
      <c r="S402" s="10">
        <f>IF(TRIM(K402&amp;"")="","",IFERROR(INDEX(설정_코드표!$K$2:$K$101,MATCH(TRIM(K402&amp;""),설정_코드표!$J$2:$J$101,0)),"⚠"&amp;TRIM(K402&amp;"")))</f>
        <v/>
      </c>
      <c r="T402" s="10">
        <f>IF(TRIM(M402&amp;"")="","",IF(ISNUMBER(MATCH(TRIM(M402&amp;""),설정_코드표!$C$2:$C$11,0)),TRIM(M402&amp;""),"⚠"&amp;TRIM(M402&amp;"")))</f>
        <v/>
      </c>
      <c r="U402" s="10">
        <f>IF(TRIM(L402&amp;"")="","",IFERROR(INDEX(설정_코드표!$G$2:$G$101,MATCH(TRIM(L402&amp;""),설정_코드표!$F$2:$F$101,0)),"⚠"&amp;TRIM(L402&amp;"")))</f>
        <v/>
      </c>
      <c r="V402" s="10">
        <f>IF(AND(ISNUMBER(H402),ISNUMBER(I402)),I402-H402+1,"")</f>
        <v/>
      </c>
      <c r="W402" s="17">
        <f>IF(ISNUMBER(H402),MAX(0,MIN(IF(ISNUMBER(I402),I402,EOMONTH(출력_요약!$B$3,0)),EOMONTH(출력_요약!$B$3,0))-MAX(H402,출력_요약!$B$3)+1),0)</f>
        <v/>
      </c>
      <c r="X402" s="10">
        <f>IF(OR(NOT(ISNUMBER(H402)),Q402=""),"",IF(TODAY()&lt;H402,"파견예정",IF(AND(ISNUMBER(I402),TODAY()&gt;I402),"파견종료","파견중")))</f>
        <v/>
      </c>
      <c r="Y402" s="10">
        <f>IF(OR(Q402="",X402=""),"",Q402&amp;"|"&amp;X402)</f>
        <v/>
      </c>
      <c r="Z402" s="10">
        <f>IF(AND(Q402&lt;&gt;"",W402&gt;0),Q402&amp;"|월","")</f>
        <v/>
      </c>
      <c r="AA402" s="10">
        <f>IF(COUNTA(B402:I402,K402:N402)=0,"",IF(Q402="","등록번호 없음",IF(LEFT(R402,1)="⚠","모병원명 미등록",IF(S402="","파견병원 입력",IF(LEFT(S402,1)="⚠","파견병원명 미등록",IF(LEFT(U402,1)="⚠","파견과목 미등록",IF(OR(T402="",LEFT(T402,1)="⚠"),"파견근거 확인",IF(NOT(AND(ISNUMBER(H402),ISNUMBER(I402))),"날짜 형식/누락",IF(I402&lt;H402,"종료일&lt;시작일","")))))))))</f>
        <v/>
      </c>
      <c r="AB402" s="11">
        <f>IF(ISNUMBER(SEARCH("다기관",TRIM(N402&amp;" "&amp;O402))),IFERROR(DATE(VALUE(MID(TRIM(N402&amp;" "&amp;O402),1,4)),VALUE(MID(TRIM(N402&amp;" "&amp;O402),6,2)),VALUE(MID(TRIM(N402&amp;" "&amp;O402),9,2))),IF(ISNUMBER(H402),H402,"")),"")</f>
        <v/>
      </c>
      <c r="AC402" s="11">
        <f>IF(ISNUMBER(SEARCH("다기관",TRIM(N402&amp;" "&amp;O402))),IFERROR(DATE(VALUE(MID(TRIM(N402&amp;" "&amp;O402),12,4)),VALUE(MID(TRIM(N402&amp;" "&amp;O402),17,2)),VALUE(MID(TRIM(N402&amp;" "&amp;O402),20,2))),IF(ISNUMBER(I402),I402,"")),"")</f>
        <v/>
      </c>
      <c r="AD402" s="17">
        <f>IF(AND(ISNUMBER(AB402),ISNUMBER(AC402)),MAX(0,MIN(AC402,EOMONTH(출력_요약!$B$3,0))-MAX(AB402,출력_요약!$B$3)+1),0)</f>
        <v/>
      </c>
      <c r="AE402" s="10">
        <f>IF(AND(Q402&lt;&gt;"",ISNUMBER(AB402)),Q402&amp;"|다기관","")</f>
        <v/>
      </c>
    </row>
    <row r="403">
      <c r="A403" s="15">
        <f>IF(F403="","",ROW()-3)</f>
        <v/>
      </c>
      <c r="B403" s="5" t="n"/>
      <c r="C403" s="15" t="n"/>
      <c r="D403" s="5" t="n"/>
      <c r="E403" s="15" t="n"/>
      <c r="F403" s="5" t="n"/>
      <c r="G403" s="6" t="n"/>
      <c r="H403" s="16" t="n"/>
      <c r="I403" s="16" t="n"/>
      <c r="J403" s="15">
        <f>IF(AND(ISNUMBER(H403),ISNUMBER(I403)),I403-H403+1,"")</f>
        <v/>
      </c>
      <c r="K403" s="5" t="n"/>
      <c r="L403" s="5" t="n"/>
      <c r="M403" s="5" t="n"/>
      <c r="N403" s="5" t="n"/>
      <c r="O403" s="5" t="n"/>
      <c r="Q403" s="10">
        <f>IF(TRIM(G403&amp;"")="","",TRIM(G403&amp;""))</f>
        <v/>
      </c>
      <c r="R403" s="10">
        <f>IF(TRIM(B403&amp;"")="","",IFERROR(INDEX(설정_코드표!$K$2:$K$101,MATCH(TRIM(B403&amp;""),설정_코드표!$J$2:$J$101,0)),"⚠"&amp;TRIM(B403&amp;"")))</f>
        <v/>
      </c>
      <c r="S403" s="10">
        <f>IF(TRIM(K403&amp;"")="","",IFERROR(INDEX(설정_코드표!$K$2:$K$101,MATCH(TRIM(K403&amp;""),설정_코드표!$J$2:$J$101,0)),"⚠"&amp;TRIM(K403&amp;"")))</f>
        <v/>
      </c>
      <c r="T403" s="10">
        <f>IF(TRIM(M403&amp;"")="","",IF(ISNUMBER(MATCH(TRIM(M403&amp;""),설정_코드표!$C$2:$C$11,0)),TRIM(M403&amp;""),"⚠"&amp;TRIM(M403&amp;"")))</f>
        <v/>
      </c>
      <c r="U403" s="10">
        <f>IF(TRIM(L403&amp;"")="","",IFERROR(INDEX(설정_코드표!$G$2:$G$101,MATCH(TRIM(L403&amp;""),설정_코드표!$F$2:$F$101,0)),"⚠"&amp;TRIM(L403&amp;"")))</f>
        <v/>
      </c>
      <c r="V403" s="10">
        <f>IF(AND(ISNUMBER(H403),ISNUMBER(I403)),I403-H403+1,"")</f>
        <v/>
      </c>
      <c r="W403" s="17">
        <f>IF(ISNUMBER(H403),MAX(0,MIN(IF(ISNUMBER(I403),I403,EOMONTH(출력_요약!$B$3,0)),EOMONTH(출력_요약!$B$3,0))-MAX(H403,출력_요약!$B$3)+1),0)</f>
        <v/>
      </c>
      <c r="X403" s="10">
        <f>IF(OR(NOT(ISNUMBER(H403)),Q403=""),"",IF(TODAY()&lt;H403,"파견예정",IF(AND(ISNUMBER(I403),TODAY()&gt;I403),"파견종료","파견중")))</f>
        <v/>
      </c>
      <c r="Y403" s="10">
        <f>IF(OR(Q403="",X403=""),"",Q403&amp;"|"&amp;X403)</f>
        <v/>
      </c>
      <c r="Z403" s="10">
        <f>IF(AND(Q403&lt;&gt;"",W403&gt;0),Q403&amp;"|월","")</f>
        <v/>
      </c>
      <c r="AA403" s="10">
        <f>IF(COUNTA(B403:I403,K403:N403)=0,"",IF(Q403="","등록번호 없음",IF(LEFT(R403,1)="⚠","모병원명 미등록",IF(S403="","파견병원 입력",IF(LEFT(S403,1)="⚠","파견병원명 미등록",IF(LEFT(U403,1)="⚠","파견과목 미등록",IF(OR(T403="",LEFT(T403,1)="⚠"),"파견근거 확인",IF(NOT(AND(ISNUMBER(H403),ISNUMBER(I403))),"날짜 형식/누락",IF(I403&lt;H403,"종료일&lt;시작일","")))))))))</f>
        <v/>
      </c>
      <c r="AB403" s="11">
        <f>IF(ISNUMBER(SEARCH("다기관",TRIM(N403&amp;" "&amp;O403))),IFERROR(DATE(VALUE(MID(TRIM(N403&amp;" "&amp;O403),1,4)),VALUE(MID(TRIM(N403&amp;" "&amp;O403),6,2)),VALUE(MID(TRIM(N403&amp;" "&amp;O403),9,2))),IF(ISNUMBER(H403),H403,"")),"")</f>
        <v/>
      </c>
      <c r="AC403" s="11">
        <f>IF(ISNUMBER(SEARCH("다기관",TRIM(N403&amp;" "&amp;O403))),IFERROR(DATE(VALUE(MID(TRIM(N403&amp;" "&amp;O403),12,4)),VALUE(MID(TRIM(N403&amp;" "&amp;O403),17,2)),VALUE(MID(TRIM(N403&amp;" "&amp;O403),20,2))),IF(ISNUMBER(I403),I403,"")),"")</f>
        <v/>
      </c>
      <c r="AD403" s="17">
        <f>IF(AND(ISNUMBER(AB403),ISNUMBER(AC403)),MAX(0,MIN(AC403,EOMONTH(출력_요약!$B$3,0))-MAX(AB403,출력_요약!$B$3)+1),0)</f>
        <v/>
      </c>
      <c r="AE403" s="10">
        <f>IF(AND(Q403&lt;&gt;"",ISNUMBER(AB403)),Q403&amp;"|다기관","")</f>
        <v/>
      </c>
    </row>
    <row r="404">
      <c r="A404" s="15">
        <f>IF(F404="","",ROW()-3)</f>
        <v/>
      </c>
      <c r="B404" s="5" t="n"/>
      <c r="C404" s="15" t="n"/>
      <c r="D404" s="5" t="n"/>
      <c r="E404" s="15" t="n"/>
      <c r="F404" s="5" t="n"/>
      <c r="G404" s="6" t="n"/>
      <c r="H404" s="16" t="n"/>
      <c r="I404" s="16" t="n"/>
      <c r="J404" s="15">
        <f>IF(AND(ISNUMBER(H404),ISNUMBER(I404)),I404-H404+1,"")</f>
        <v/>
      </c>
      <c r="K404" s="5" t="n"/>
      <c r="L404" s="5" t="n"/>
      <c r="M404" s="5" t="n"/>
      <c r="N404" s="5" t="n"/>
      <c r="O404" s="5" t="n"/>
      <c r="Q404" s="10">
        <f>IF(TRIM(G404&amp;"")="","",TRIM(G404&amp;""))</f>
        <v/>
      </c>
      <c r="R404" s="10">
        <f>IF(TRIM(B404&amp;"")="","",IFERROR(INDEX(설정_코드표!$K$2:$K$101,MATCH(TRIM(B404&amp;""),설정_코드표!$J$2:$J$101,0)),"⚠"&amp;TRIM(B404&amp;"")))</f>
        <v/>
      </c>
      <c r="S404" s="10">
        <f>IF(TRIM(K404&amp;"")="","",IFERROR(INDEX(설정_코드표!$K$2:$K$101,MATCH(TRIM(K404&amp;""),설정_코드표!$J$2:$J$101,0)),"⚠"&amp;TRIM(K404&amp;"")))</f>
        <v/>
      </c>
      <c r="T404" s="10">
        <f>IF(TRIM(M404&amp;"")="","",IF(ISNUMBER(MATCH(TRIM(M404&amp;""),설정_코드표!$C$2:$C$11,0)),TRIM(M404&amp;""),"⚠"&amp;TRIM(M404&amp;"")))</f>
        <v/>
      </c>
      <c r="U404" s="10">
        <f>IF(TRIM(L404&amp;"")="","",IFERROR(INDEX(설정_코드표!$G$2:$G$101,MATCH(TRIM(L404&amp;""),설정_코드표!$F$2:$F$101,0)),"⚠"&amp;TRIM(L404&amp;"")))</f>
        <v/>
      </c>
      <c r="V404" s="10">
        <f>IF(AND(ISNUMBER(H404),ISNUMBER(I404)),I404-H404+1,"")</f>
        <v/>
      </c>
      <c r="W404" s="17">
        <f>IF(ISNUMBER(H404),MAX(0,MIN(IF(ISNUMBER(I404),I404,EOMONTH(출력_요약!$B$3,0)),EOMONTH(출력_요약!$B$3,0))-MAX(H404,출력_요약!$B$3)+1),0)</f>
        <v/>
      </c>
      <c r="X404" s="10">
        <f>IF(OR(NOT(ISNUMBER(H404)),Q404=""),"",IF(TODAY()&lt;H404,"파견예정",IF(AND(ISNUMBER(I404),TODAY()&gt;I404),"파견종료","파견중")))</f>
        <v/>
      </c>
      <c r="Y404" s="10">
        <f>IF(OR(Q404="",X404=""),"",Q404&amp;"|"&amp;X404)</f>
        <v/>
      </c>
      <c r="Z404" s="10">
        <f>IF(AND(Q404&lt;&gt;"",W404&gt;0),Q404&amp;"|월","")</f>
        <v/>
      </c>
      <c r="AA404" s="10">
        <f>IF(COUNTA(B404:I404,K404:N404)=0,"",IF(Q404="","등록번호 없음",IF(LEFT(R404,1)="⚠","모병원명 미등록",IF(S404="","파견병원 입력",IF(LEFT(S404,1)="⚠","파견병원명 미등록",IF(LEFT(U404,1)="⚠","파견과목 미등록",IF(OR(T404="",LEFT(T404,1)="⚠"),"파견근거 확인",IF(NOT(AND(ISNUMBER(H404),ISNUMBER(I404))),"날짜 형식/누락",IF(I404&lt;H404,"종료일&lt;시작일","")))))))))</f>
        <v/>
      </c>
      <c r="AB404" s="11">
        <f>IF(ISNUMBER(SEARCH("다기관",TRIM(N404&amp;" "&amp;O404))),IFERROR(DATE(VALUE(MID(TRIM(N404&amp;" "&amp;O404),1,4)),VALUE(MID(TRIM(N404&amp;" "&amp;O404),6,2)),VALUE(MID(TRIM(N404&amp;" "&amp;O404),9,2))),IF(ISNUMBER(H404),H404,"")),"")</f>
        <v/>
      </c>
      <c r="AC404" s="11">
        <f>IF(ISNUMBER(SEARCH("다기관",TRIM(N404&amp;" "&amp;O404))),IFERROR(DATE(VALUE(MID(TRIM(N404&amp;" "&amp;O404),12,4)),VALUE(MID(TRIM(N404&amp;" "&amp;O404),17,2)),VALUE(MID(TRIM(N404&amp;" "&amp;O404),20,2))),IF(ISNUMBER(I404),I404,"")),"")</f>
        <v/>
      </c>
      <c r="AD404" s="17">
        <f>IF(AND(ISNUMBER(AB404),ISNUMBER(AC404)),MAX(0,MIN(AC404,EOMONTH(출력_요약!$B$3,0))-MAX(AB404,출력_요약!$B$3)+1),0)</f>
        <v/>
      </c>
      <c r="AE404" s="10">
        <f>IF(AND(Q404&lt;&gt;"",ISNUMBER(AB404)),Q404&amp;"|다기관","")</f>
        <v/>
      </c>
    </row>
    <row r="405">
      <c r="A405" s="15">
        <f>IF(F405="","",ROW()-3)</f>
        <v/>
      </c>
      <c r="B405" s="5" t="n"/>
      <c r="C405" s="15" t="n"/>
      <c r="D405" s="5" t="n"/>
      <c r="E405" s="15" t="n"/>
      <c r="F405" s="5" t="n"/>
      <c r="G405" s="6" t="n"/>
      <c r="H405" s="16" t="n"/>
      <c r="I405" s="16" t="n"/>
      <c r="J405" s="15">
        <f>IF(AND(ISNUMBER(H405),ISNUMBER(I405)),I405-H405+1,"")</f>
        <v/>
      </c>
      <c r="K405" s="5" t="n"/>
      <c r="L405" s="5" t="n"/>
      <c r="M405" s="5" t="n"/>
      <c r="N405" s="5" t="n"/>
      <c r="O405" s="5" t="n"/>
      <c r="Q405" s="10">
        <f>IF(TRIM(G405&amp;"")="","",TRIM(G405&amp;""))</f>
        <v/>
      </c>
      <c r="R405" s="10">
        <f>IF(TRIM(B405&amp;"")="","",IFERROR(INDEX(설정_코드표!$K$2:$K$101,MATCH(TRIM(B405&amp;""),설정_코드표!$J$2:$J$101,0)),"⚠"&amp;TRIM(B405&amp;"")))</f>
        <v/>
      </c>
      <c r="S405" s="10">
        <f>IF(TRIM(K405&amp;"")="","",IFERROR(INDEX(설정_코드표!$K$2:$K$101,MATCH(TRIM(K405&amp;""),설정_코드표!$J$2:$J$101,0)),"⚠"&amp;TRIM(K405&amp;"")))</f>
        <v/>
      </c>
      <c r="T405" s="10">
        <f>IF(TRIM(M405&amp;"")="","",IF(ISNUMBER(MATCH(TRIM(M405&amp;""),설정_코드표!$C$2:$C$11,0)),TRIM(M405&amp;""),"⚠"&amp;TRIM(M405&amp;"")))</f>
        <v/>
      </c>
      <c r="U405" s="10">
        <f>IF(TRIM(L405&amp;"")="","",IFERROR(INDEX(설정_코드표!$G$2:$G$101,MATCH(TRIM(L405&amp;""),설정_코드표!$F$2:$F$101,0)),"⚠"&amp;TRIM(L405&amp;"")))</f>
        <v/>
      </c>
      <c r="V405" s="10">
        <f>IF(AND(ISNUMBER(H405),ISNUMBER(I405)),I405-H405+1,"")</f>
        <v/>
      </c>
      <c r="W405" s="17">
        <f>IF(ISNUMBER(H405),MAX(0,MIN(IF(ISNUMBER(I405),I405,EOMONTH(출력_요약!$B$3,0)),EOMONTH(출력_요약!$B$3,0))-MAX(H405,출력_요약!$B$3)+1),0)</f>
        <v/>
      </c>
      <c r="X405" s="10">
        <f>IF(OR(NOT(ISNUMBER(H405)),Q405=""),"",IF(TODAY()&lt;H405,"파견예정",IF(AND(ISNUMBER(I405),TODAY()&gt;I405),"파견종료","파견중")))</f>
        <v/>
      </c>
      <c r="Y405" s="10">
        <f>IF(OR(Q405="",X405=""),"",Q405&amp;"|"&amp;X405)</f>
        <v/>
      </c>
      <c r="Z405" s="10">
        <f>IF(AND(Q405&lt;&gt;"",W405&gt;0),Q405&amp;"|월","")</f>
        <v/>
      </c>
      <c r="AA405" s="10">
        <f>IF(COUNTA(B405:I405,K405:N405)=0,"",IF(Q405="","등록번호 없음",IF(LEFT(R405,1)="⚠","모병원명 미등록",IF(S405="","파견병원 입력",IF(LEFT(S405,1)="⚠","파견병원명 미등록",IF(LEFT(U405,1)="⚠","파견과목 미등록",IF(OR(T405="",LEFT(T405,1)="⚠"),"파견근거 확인",IF(NOT(AND(ISNUMBER(H405),ISNUMBER(I405))),"날짜 형식/누락",IF(I405&lt;H405,"종료일&lt;시작일","")))))))))</f>
        <v/>
      </c>
      <c r="AB405" s="11">
        <f>IF(ISNUMBER(SEARCH("다기관",TRIM(N405&amp;" "&amp;O405))),IFERROR(DATE(VALUE(MID(TRIM(N405&amp;" "&amp;O405),1,4)),VALUE(MID(TRIM(N405&amp;" "&amp;O405),6,2)),VALUE(MID(TRIM(N405&amp;" "&amp;O405),9,2))),IF(ISNUMBER(H405),H405,"")),"")</f>
        <v/>
      </c>
      <c r="AC405" s="11">
        <f>IF(ISNUMBER(SEARCH("다기관",TRIM(N405&amp;" "&amp;O405))),IFERROR(DATE(VALUE(MID(TRIM(N405&amp;" "&amp;O405),12,4)),VALUE(MID(TRIM(N405&amp;" "&amp;O405),17,2)),VALUE(MID(TRIM(N405&amp;" "&amp;O405),20,2))),IF(ISNUMBER(I405),I405,"")),"")</f>
        <v/>
      </c>
      <c r="AD405" s="17">
        <f>IF(AND(ISNUMBER(AB405),ISNUMBER(AC405)),MAX(0,MIN(AC405,EOMONTH(출력_요약!$B$3,0))-MAX(AB405,출력_요약!$B$3)+1),0)</f>
        <v/>
      </c>
      <c r="AE405" s="10">
        <f>IF(AND(Q405&lt;&gt;"",ISNUMBER(AB405)),Q405&amp;"|다기관","")</f>
        <v/>
      </c>
    </row>
    <row r="406">
      <c r="A406" s="15">
        <f>IF(F406="","",ROW()-3)</f>
        <v/>
      </c>
      <c r="B406" s="5" t="n"/>
      <c r="C406" s="15" t="n"/>
      <c r="D406" s="5" t="n"/>
      <c r="E406" s="15" t="n"/>
      <c r="F406" s="5" t="n"/>
      <c r="G406" s="6" t="n"/>
      <c r="H406" s="16" t="n"/>
      <c r="I406" s="16" t="n"/>
      <c r="J406" s="15">
        <f>IF(AND(ISNUMBER(H406),ISNUMBER(I406)),I406-H406+1,"")</f>
        <v/>
      </c>
      <c r="K406" s="5" t="n"/>
      <c r="L406" s="5" t="n"/>
      <c r="M406" s="5" t="n"/>
      <c r="N406" s="5" t="n"/>
      <c r="O406" s="5" t="n"/>
      <c r="Q406" s="10">
        <f>IF(TRIM(G406&amp;"")="","",TRIM(G406&amp;""))</f>
        <v/>
      </c>
      <c r="R406" s="10">
        <f>IF(TRIM(B406&amp;"")="","",IFERROR(INDEX(설정_코드표!$K$2:$K$101,MATCH(TRIM(B406&amp;""),설정_코드표!$J$2:$J$101,0)),"⚠"&amp;TRIM(B406&amp;"")))</f>
        <v/>
      </c>
      <c r="S406" s="10">
        <f>IF(TRIM(K406&amp;"")="","",IFERROR(INDEX(설정_코드표!$K$2:$K$101,MATCH(TRIM(K406&amp;""),설정_코드표!$J$2:$J$101,0)),"⚠"&amp;TRIM(K406&amp;"")))</f>
        <v/>
      </c>
      <c r="T406" s="10">
        <f>IF(TRIM(M406&amp;"")="","",IF(ISNUMBER(MATCH(TRIM(M406&amp;""),설정_코드표!$C$2:$C$11,0)),TRIM(M406&amp;""),"⚠"&amp;TRIM(M406&amp;"")))</f>
        <v/>
      </c>
      <c r="U406" s="10">
        <f>IF(TRIM(L406&amp;"")="","",IFERROR(INDEX(설정_코드표!$G$2:$G$101,MATCH(TRIM(L406&amp;""),설정_코드표!$F$2:$F$101,0)),"⚠"&amp;TRIM(L406&amp;"")))</f>
        <v/>
      </c>
      <c r="V406" s="10">
        <f>IF(AND(ISNUMBER(H406),ISNUMBER(I406)),I406-H406+1,"")</f>
        <v/>
      </c>
      <c r="W406" s="17">
        <f>IF(ISNUMBER(H406),MAX(0,MIN(IF(ISNUMBER(I406),I406,EOMONTH(출력_요약!$B$3,0)),EOMONTH(출력_요약!$B$3,0))-MAX(H406,출력_요약!$B$3)+1),0)</f>
        <v/>
      </c>
      <c r="X406" s="10">
        <f>IF(OR(NOT(ISNUMBER(H406)),Q406=""),"",IF(TODAY()&lt;H406,"파견예정",IF(AND(ISNUMBER(I406),TODAY()&gt;I406),"파견종료","파견중")))</f>
        <v/>
      </c>
      <c r="Y406" s="10">
        <f>IF(OR(Q406="",X406=""),"",Q406&amp;"|"&amp;X406)</f>
        <v/>
      </c>
      <c r="Z406" s="10">
        <f>IF(AND(Q406&lt;&gt;"",W406&gt;0),Q406&amp;"|월","")</f>
        <v/>
      </c>
      <c r="AA406" s="10">
        <f>IF(COUNTA(B406:I406,K406:N406)=0,"",IF(Q406="","등록번호 없음",IF(LEFT(R406,1)="⚠","모병원명 미등록",IF(S406="","파견병원 입력",IF(LEFT(S406,1)="⚠","파견병원명 미등록",IF(LEFT(U406,1)="⚠","파견과목 미등록",IF(OR(T406="",LEFT(T406,1)="⚠"),"파견근거 확인",IF(NOT(AND(ISNUMBER(H406),ISNUMBER(I406))),"날짜 형식/누락",IF(I406&lt;H406,"종료일&lt;시작일","")))))))))</f>
        <v/>
      </c>
      <c r="AB406" s="11">
        <f>IF(ISNUMBER(SEARCH("다기관",TRIM(N406&amp;" "&amp;O406))),IFERROR(DATE(VALUE(MID(TRIM(N406&amp;" "&amp;O406),1,4)),VALUE(MID(TRIM(N406&amp;" "&amp;O406),6,2)),VALUE(MID(TRIM(N406&amp;" "&amp;O406),9,2))),IF(ISNUMBER(H406),H406,"")),"")</f>
        <v/>
      </c>
      <c r="AC406" s="11">
        <f>IF(ISNUMBER(SEARCH("다기관",TRIM(N406&amp;" "&amp;O406))),IFERROR(DATE(VALUE(MID(TRIM(N406&amp;" "&amp;O406),12,4)),VALUE(MID(TRIM(N406&amp;" "&amp;O406),17,2)),VALUE(MID(TRIM(N406&amp;" "&amp;O406),20,2))),IF(ISNUMBER(I406),I406,"")),"")</f>
        <v/>
      </c>
      <c r="AD406" s="17">
        <f>IF(AND(ISNUMBER(AB406),ISNUMBER(AC406)),MAX(0,MIN(AC406,EOMONTH(출력_요약!$B$3,0))-MAX(AB406,출력_요약!$B$3)+1),0)</f>
        <v/>
      </c>
      <c r="AE406" s="10">
        <f>IF(AND(Q406&lt;&gt;"",ISNUMBER(AB406)),Q406&amp;"|다기관","")</f>
        <v/>
      </c>
    </row>
    <row r="407">
      <c r="A407" s="15">
        <f>IF(F407="","",ROW()-3)</f>
        <v/>
      </c>
      <c r="B407" s="5" t="n"/>
      <c r="C407" s="15" t="n"/>
      <c r="D407" s="5" t="n"/>
      <c r="E407" s="15" t="n"/>
      <c r="F407" s="5" t="n"/>
      <c r="G407" s="6" t="n"/>
      <c r="H407" s="16" t="n"/>
      <c r="I407" s="16" t="n"/>
      <c r="J407" s="15">
        <f>IF(AND(ISNUMBER(H407),ISNUMBER(I407)),I407-H407+1,"")</f>
        <v/>
      </c>
      <c r="K407" s="5" t="n"/>
      <c r="L407" s="5" t="n"/>
      <c r="M407" s="5" t="n"/>
      <c r="N407" s="5" t="n"/>
      <c r="O407" s="5" t="n"/>
      <c r="Q407" s="10">
        <f>IF(TRIM(G407&amp;"")="","",TRIM(G407&amp;""))</f>
        <v/>
      </c>
      <c r="R407" s="10">
        <f>IF(TRIM(B407&amp;"")="","",IFERROR(INDEX(설정_코드표!$K$2:$K$101,MATCH(TRIM(B407&amp;""),설정_코드표!$J$2:$J$101,0)),"⚠"&amp;TRIM(B407&amp;"")))</f>
        <v/>
      </c>
      <c r="S407" s="10">
        <f>IF(TRIM(K407&amp;"")="","",IFERROR(INDEX(설정_코드표!$K$2:$K$101,MATCH(TRIM(K407&amp;""),설정_코드표!$J$2:$J$101,0)),"⚠"&amp;TRIM(K407&amp;"")))</f>
        <v/>
      </c>
      <c r="T407" s="10">
        <f>IF(TRIM(M407&amp;"")="","",IF(ISNUMBER(MATCH(TRIM(M407&amp;""),설정_코드표!$C$2:$C$11,0)),TRIM(M407&amp;""),"⚠"&amp;TRIM(M407&amp;"")))</f>
        <v/>
      </c>
      <c r="U407" s="10">
        <f>IF(TRIM(L407&amp;"")="","",IFERROR(INDEX(설정_코드표!$G$2:$G$101,MATCH(TRIM(L407&amp;""),설정_코드표!$F$2:$F$101,0)),"⚠"&amp;TRIM(L407&amp;"")))</f>
        <v/>
      </c>
      <c r="V407" s="10">
        <f>IF(AND(ISNUMBER(H407),ISNUMBER(I407)),I407-H407+1,"")</f>
        <v/>
      </c>
      <c r="W407" s="17">
        <f>IF(ISNUMBER(H407),MAX(0,MIN(IF(ISNUMBER(I407),I407,EOMONTH(출력_요약!$B$3,0)),EOMONTH(출력_요약!$B$3,0))-MAX(H407,출력_요약!$B$3)+1),0)</f>
        <v/>
      </c>
      <c r="X407" s="10">
        <f>IF(OR(NOT(ISNUMBER(H407)),Q407=""),"",IF(TODAY()&lt;H407,"파견예정",IF(AND(ISNUMBER(I407),TODAY()&gt;I407),"파견종료","파견중")))</f>
        <v/>
      </c>
      <c r="Y407" s="10">
        <f>IF(OR(Q407="",X407=""),"",Q407&amp;"|"&amp;X407)</f>
        <v/>
      </c>
      <c r="Z407" s="10">
        <f>IF(AND(Q407&lt;&gt;"",W407&gt;0),Q407&amp;"|월","")</f>
        <v/>
      </c>
      <c r="AA407" s="10">
        <f>IF(COUNTA(B407:I407,K407:N407)=0,"",IF(Q407="","등록번호 없음",IF(LEFT(R407,1)="⚠","모병원명 미등록",IF(S407="","파견병원 입력",IF(LEFT(S407,1)="⚠","파견병원명 미등록",IF(LEFT(U407,1)="⚠","파견과목 미등록",IF(OR(T407="",LEFT(T407,1)="⚠"),"파견근거 확인",IF(NOT(AND(ISNUMBER(H407),ISNUMBER(I407))),"날짜 형식/누락",IF(I407&lt;H407,"종료일&lt;시작일","")))))))))</f>
        <v/>
      </c>
      <c r="AB407" s="11">
        <f>IF(ISNUMBER(SEARCH("다기관",TRIM(N407&amp;" "&amp;O407))),IFERROR(DATE(VALUE(MID(TRIM(N407&amp;" "&amp;O407),1,4)),VALUE(MID(TRIM(N407&amp;" "&amp;O407),6,2)),VALUE(MID(TRIM(N407&amp;" "&amp;O407),9,2))),IF(ISNUMBER(H407),H407,"")),"")</f>
        <v/>
      </c>
      <c r="AC407" s="11">
        <f>IF(ISNUMBER(SEARCH("다기관",TRIM(N407&amp;" "&amp;O407))),IFERROR(DATE(VALUE(MID(TRIM(N407&amp;" "&amp;O407),12,4)),VALUE(MID(TRIM(N407&amp;" "&amp;O407),17,2)),VALUE(MID(TRIM(N407&amp;" "&amp;O407),20,2))),IF(ISNUMBER(I407),I407,"")),"")</f>
        <v/>
      </c>
      <c r="AD407" s="17">
        <f>IF(AND(ISNUMBER(AB407),ISNUMBER(AC407)),MAX(0,MIN(AC407,EOMONTH(출력_요약!$B$3,0))-MAX(AB407,출력_요약!$B$3)+1),0)</f>
        <v/>
      </c>
      <c r="AE407" s="10">
        <f>IF(AND(Q407&lt;&gt;"",ISNUMBER(AB407)),Q407&amp;"|다기관","")</f>
        <v/>
      </c>
    </row>
    <row r="408">
      <c r="A408" s="15">
        <f>IF(F408="","",ROW()-3)</f>
        <v/>
      </c>
      <c r="B408" s="5" t="n"/>
      <c r="C408" s="15" t="n"/>
      <c r="D408" s="5" t="n"/>
      <c r="E408" s="15" t="n"/>
      <c r="F408" s="5" t="n"/>
      <c r="G408" s="6" t="n"/>
      <c r="H408" s="16" t="n"/>
      <c r="I408" s="16" t="n"/>
      <c r="J408" s="15">
        <f>IF(AND(ISNUMBER(H408),ISNUMBER(I408)),I408-H408+1,"")</f>
        <v/>
      </c>
      <c r="K408" s="5" t="n"/>
      <c r="L408" s="5" t="n"/>
      <c r="M408" s="5" t="n"/>
      <c r="N408" s="5" t="n"/>
      <c r="O408" s="5" t="n"/>
      <c r="Q408" s="10">
        <f>IF(TRIM(G408&amp;"")="","",TRIM(G408&amp;""))</f>
        <v/>
      </c>
      <c r="R408" s="10">
        <f>IF(TRIM(B408&amp;"")="","",IFERROR(INDEX(설정_코드표!$K$2:$K$101,MATCH(TRIM(B408&amp;""),설정_코드표!$J$2:$J$101,0)),"⚠"&amp;TRIM(B408&amp;"")))</f>
        <v/>
      </c>
      <c r="S408" s="10">
        <f>IF(TRIM(K408&amp;"")="","",IFERROR(INDEX(설정_코드표!$K$2:$K$101,MATCH(TRIM(K408&amp;""),설정_코드표!$J$2:$J$101,0)),"⚠"&amp;TRIM(K408&amp;"")))</f>
        <v/>
      </c>
      <c r="T408" s="10">
        <f>IF(TRIM(M408&amp;"")="","",IF(ISNUMBER(MATCH(TRIM(M408&amp;""),설정_코드표!$C$2:$C$11,0)),TRIM(M408&amp;""),"⚠"&amp;TRIM(M408&amp;"")))</f>
        <v/>
      </c>
      <c r="U408" s="10">
        <f>IF(TRIM(L408&amp;"")="","",IFERROR(INDEX(설정_코드표!$G$2:$G$101,MATCH(TRIM(L408&amp;""),설정_코드표!$F$2:$F$101,0)),"⚠"&amp;TRIM(L408&amp;"")))</f>
        <v/>
      </c>
      <c r="V408" s="10">
        <f>IF(AND(ISNUMBER(H408),ISNUMBER(I408)),I408-H408+1,"")</f>
        <v/>
      </c>
      <c r="W408" s="17">
        <f>IF(ISNUMBER(H408),MAX(0,MIN(IF(ISNUMBER(I408),I408,EOMONTH(출력_요약!$B$3,0)),EOMONTH(출력_요약!$B$3,0))-MAX(H408,출력_요약!$B$3)+1),0)</f>
        <v/>
      </c>
      <c r="X408" s="10">
        <f>IF(OR(NOT(ISNUMBER(H408)),Q408=""),"",IF(TODAY()&lt;H408,"파견예정",IF(AND(ISNUMBER(I408),TODAY()&gt;I408),"파견종료","파견중")))</f>
        <v/>
      </c>
      <c r="Y408" s="10">
        <f>IF(OR(Q408="",X408=""),"",Q408&amp;"|"&amp;X408)</f>
        <v/>
      </c>
      <c r="Z408" s="10">
        <f>IF(AND(Q408&lt;&gt;"",W408&gt;0),Q408&amp;"|월","")</f>
        <v/>
      </c>
      <c r="AA408" s="10">
        <f>IF(COUNTA(B408:I408,K408:N408)=0,"",IF(Q408="","등록번호 없음",IF(LEFT(R408,1)="⚠","모병원명 미등록",IF(S408="","파견병원 입력",IF(LEFT(S408,1)="⚠","파견병원명 미등록",IF(LEFT(U408,1)="⚠","파견과목 미등록",IF(OR(T408="",LEFT(T408,1)="⚠"),"파견근거 확인",IF(NOT(AND(ISNUMBER(H408),ISNUMBER(I408))),"날짜 형식/누락",IF(I408&lt;H408,"종료일&lt;시작일","")))))))))</f>
        <v/>
      </c>
      <c r="AB408" s="11">
        <f>IF(ISNUMBER(SEARCH("다기관",TRIM(N408&amp;" "&amp;O408))),IFERROR(DATE(VALUE(MID(TRIM(N408&amp;" "&amp;O408),1,4)),VALUE(MID(TRIM(N408&amp;" "&amp;O408),6,2)),VALUE(MID(TRIM(N408&amp;" "&amp;O408),9,2))),IF(ISNUMBER(H408),H408,"")),"")</f>
        <v/>
      </c>
      <c r="AC408" s="11">
        <f>IF(ISNUMBER(SEARCH("다기관",TRIM(N408&amp;" "&amp;O408))),IFERROR(DATE(VALUE(MID(TRIM(N408&amp;" "&amp;O408),12,4)),VALUE(MID(TRIM(N408&amp;" "&amp;O408),17,2)),VALUE(MID(TRIM(N408&amp;" "&amp;O408),20,2))),IF(ISNUMBER(I408),I408,"")),"")</f>
        <v/>
      </c>
      <c r="AD408" s="17">
        <f>IF(AND(ISNUMBER(AB408),ISNUMBER(AC408)),MAX(0,MIN(AC408,EOMONTH(출력_요약!$B$3,0))-MAX(AB408,출력_요약!$B$3)+1),0)</f>
        <v/>
      </c>
      <c r="AE408" s="10">
        <f>IF(AND(Q408&lt;&gt;"",ISNUMBER(AB408)),Q408&amp;"|다기관","")</f>
        <v/>
      </c>
    </row>
    <row r="409">
      <c r="A409" s="15">
        <f>IF(F409="","",ROW()-3)</f>
        <v/>
      </c>
      <c r="B409" s="5" t="n"/>
      <c r="C409" s="15" t="n"/>
      <c r="D409" s="5" t="n"/>
      <c r="E409" s="15" t="n"/>
      <c r="F409" s="5" t="n"/>
      <c r="G409" s="6" t="n"/>
      <c r="H409" s="16" t="n"/>
      <c r="I409" s="16" t="n"/>
      <c r="J409" s="15">
        <f>IF(AND(ISNUMBER(H409),ISNUMBER(I409)),I409-H409+1,"")</f>
        <v/>
      </c>
      <c r="K409" s="5" t="n"/>
      <c r="L409" s="5" t="n"/>
      <c r="M409" s="5" t="n"/>
      <c r="N409" s="5" t="n"/>
      <c r="O409" s="5" t="n"/>
      <c r="Q409" s="10">
        <f>IF(TRIM(G409&amp;"")="","",TRIM(G409&amp;""))</f>
        <v/>
      </c>
      <c r="R409" s="10">
        <f>IF(TRIM(B409&amp;"")="","",IFERROR(INDEX(설정_코드표!$K$2:$K$101,MATCH(TRIM(B409&amp;""),설정_코드표!$J$2:$J$101,0)),"⚠"&amp;TRIM(B409&amp;"")))</f>
        <v/>
      </c>
      <c r="S409" s="10">
        <f>IF(TRIM(K409&amp;"")="","",IFERROR(INDEX(설정_코드표!$K$2:$K$101,MATCH(TRIM(K409&amp;""),설정_코드표!$J$2:$J$101,0)),"⚠"&amp;TRIM(K409&amp;"")))</f>
        <v/>
      </c>
      <c r="T409" s="10">
        <f>IF(TRIM(M409&amp;"")="","",IF(ISNUMBER(MATCH(TRIM(M409&amp;""),설정_코드표!$C$2:$C$11,0)),TRIM(M409&amp;""),"⚠"&amp;TRIM(M409&amp;"")))</f>
        <v/>
      </c>
      <c r="U409" s="10">
        <f>IF(TRIM(L409&amp;"")="","",IFERROR(INDEX(설정_코드표!$G$2:$G$101,MATCH(TRIM(L409&amp;""),설정_코드표!$F$2:$F$101,0)),"⚠"&amp;TRIM(L409&amp;"")))</f>
        <v/>
      </c>
      <c r="V409" s="10">
        <f>IF(AND(ISNUMBER(H409),ISNUMBER(I409)),I409-H409+1,"")</f>
        <v/>
      </c>
      <c r="W409" s="17">
        <f>IF(ISNUMBER(H409),MAX(0,MIN(IF(ISNUMBER(I409),I409,EOMONTH(출력_요약!$B$3,0)),EOMONTH(출력_요약!$B$3,0))-MAX(H409,출력_요약!$B$3)+1),0)</f>
        <v/>
      </c>
      <c r="X409" s="10">
        <f>IF(OR(NOT(ISNUMBER(H409)),Q409=""),"",IF(TODAY()&lt;H409,"파견예정",IF(AND(ISNUMBER(I409),TODAY()&gt;I409),"파견종료","파견중")))</f>
        <v/>
      </c>
      <c r="Y409" s="10">
        <f>IF(OR(Q409="",X409=""),"",Q409&amp;"|"&amp;X409)</f>
        <v/>
      </c>
      <c r="Z409" s="10">
        <f>IF(AND(Q409&lt;&gt;"",W409&gt;0),Q409&amp;"|월","")</f>
        <v/>
      </c>
      <c r="AA409" s="10">
        <f>IF(COUNTA(B409:I409,K409:N409)=0,"",IF(Q409="","등록번호 없음",IF(LEFT(R409,1)="⚠","모병원명 미등록",IF(S409="","파견병원 입력",IF(LEFT(S409,1)="⚠","파견병원명 미등록",IF(LEFT(U409,1)="⚠","파견과목 미등록",IF(OR(T409="",LEFT(T409,1)="⚠"),"파견근거 확인",IF(NOT(AND(ISNUMBER(H409),ISNUMBER(I409))),"날짜 형식/누락",IF(I409&lt;H409,"종료일&lt;시작일","")))))))))</f>
        <v/>
      </c>
      <c r="AB409" s="11">
        <f>IF(ISNUMBER(SEARCH("다기관",TRIM(N409&amp;" "&amp;O409))),IFERROR(DATE(VALUE(MID(TRIM(N409&amp;" "&amp;O409),1,4)),VALUE(MID(TRIM(N409&amp;" "&amp;O409),6,2)),VALUE(MID(TRIM(N409&amp;" "&amp;O409),9,2))),IF(ISNUMBER(H409),H409,"")),"")</f>
        <v/>
      </c>
      <c r="AC409" s="11">
        <f>IF(ISNUMBER(SEARCH("다기관",TRIM(N409&amp;" "&amp;O409))),IFERROR(DATE(VALUE(MID(TRIM(N409&amp;" "&amp;O409),12,4)),VALUE(MID(TRIM(N409&amp;" "&amp;O409),17,2)),VALUE(MID(TRIM(N409&amp;" "&amp;O409),20,2))),IF(ISNUMBER(I409),I409,"")),"")</f>
        <v/>
      </c>
      <c r="AD409" s="17">
        <f>IF(AND(ISNUMBER(AB409),ISNUMBER(AC409)),MAX(0,MIN(AC409,EOMONTH(출력_요약!$B$3,0))-MAX(AB409,출력_요약!$B$3)+1),0)</f>
        <v/>
      </c>
      <c r="AE409" s="10">
        <f>IF(AND(Q409&lt;&gt;"",ISNUMBER(AB409)),Q409&amp;"|다기관","")</f>
        <v/>
      </c>
    </row>
    <row r="410">
      <c r="A410" s="15">
        <f>IF(F410="","",ROW()-3)</f>
        <v/>
      </c>
      <c r="B410" s="5" t="n"/>
      <c r="C410" s="15" t="n"/>
      <c r="D410" s="5" t="n"/>
      <c r="E410" s="15" t="n"/>
      <c r="F410" s="5" t="n"/>
      <c r="G410" s="6" t="n"/>
      <c r="H410" s="16" t="n"/>
      <c r="I410" s="16" t="n"/>
      <c r="J410" s="15">
        <f>IF(AND(ISNUMBER(H410),ISNUMBER(I410)),I410-H410+1,"")</f>
        <v/>
      </c>
      <c r="K410" s="5" t="n"/>
      <c r="L410" s="5" t="n"/>
      <c r="M410" s="5" t="n"/>
      <c r="N410" s="5" t="n"/>
      <c r="O410" s="5" t="n"/>
      <c r="Q410" s="10">
        <f>IF(TRIM(G410&amp;"")="","",TRIM(G410&amp;""))</f>
        <v/>
      </c>
      <c r="R410" s="10">
        <f>IF(TRIM(B410&amp;"")="","",IFERROR(INDEX(설정_코드표!$K$2:$K$101,MATCH(TRIM(B410&amp;""),설정_코드표!$J$2:$J$101,0)),"⚠"&amp;TRIM(B410&amp;"")))</f>
        <v/>
      </c>
      <c r="S410" s="10">
        <f>IF(TRIM(K410&amp;"")="","",IFERROR(INDEX(설정_코드표!$K$2:$K$101,MATCH(TRIM(K410&amp;""),설정_코드표!$J$2:$J$101,0)),"⚠"&amp;TRIM(K410&amp;"")))</f>
        <v/>
      </c>
      <c r="T410" s="10">
        <f>IF(TRIM(M410&amp;"")="","",IF(ISNUMBER(MATCH(TRIM(M410&amp;""),설정_코드표!$C$2:$C$11,0)),TRIM(M410&amp;""),"⚠"&amp;TRIM(M410&amp;"")))</f>
        <v/>
      </c>
      <c r="U410" s="10">
        <f>IF(TRIM(L410&amp;"")="","",IFERROR(INDEX(설정_코드표!$G$2:$G$101,MATCH(TRIM(L410&amp;""),설정_코드표!$F$2:$F$101,0)),"⚠"&amp;TRIM(L410&amp;"")))</f>
        <v/>
      </c>
      <c r="V410" s="10">
        <f>IF(AND(ISNUMBER(H410),ISNUMBER(I410)),I410-H410+1,"")</f>
        <v/>
      </c>
      <c r="W410" s="17">
        <f>IF(ISNUMBER(H410),MAX(0,MIN(IF(ISNUMBER(I410),I410,EOMONTH(출력_요약!$B$3,0)),EOMONTH(출력_요약!$B$3,0))-MAX(H410,출력_요약!$B$3)+1),0)</f>
        <v/>
      </c>
      <c r="X410" s="10">
        <f>IF(OR(NOT(ISNUMBER(H410)),Q410=""),"",IF(TODAY()&lt;H410,"파견예정",IF(AND(ISNUMBER(I410),TODAY()&gt;I410),"파견종료","파견중")))</f>
        <v/>
      </c>
      <c r="Y410" s="10">
        <f>IF(OR(Q410="",X410=""),"",Q410&amp;"|"&amp;X410)</f>
        <v/>
      </c>
      <c r="Z410" s="10">
        <f>IF(AND(Q410&lt;&gt;"",W410&gt;0),Q410&amp;"|월","")</f>
        <v/>
      </c>
      <c r="AA410" s="10">
        <f>IF(COUNTA(B410:I410,K410:N410)=0,"",IF(Q410="","등록번호 없음",IF(LEFT(R410,1)="⚠","모병원명 미등록",IF(S410="","파견병원 입력",IF(LEFT(S410,1)="⚠","파견병원명 미등록",IF(LEFT(U410,1)="⚠","파견과목 미등록",IF(OR(T410="",LEFT(T410,1)="⚠"),"파견근거 확인",IF(NOT(AND(ISNUMBER(H410),ISNUMBER(I410))),"날짜 형식/누락",IF(I410&lt;H410,"종료일&lt;시작일","")))))))))</f>
        <v/>
      </c>
      <c r="AB410" s="11">
        <f>IF(ISNUMBER(SEARCH("다기관",TRIM(N410&amp;" "&amp;O410))),IFERROR(DATE(VALUE(MID(TRIM(N410&amp;" "&amp;O410),1,4)),VALUE(MID(TRIM(N410&amp;" "&amp;O410),6,2)),VALUE(MID(TRIM(N410&amp;" "&amp;O410),9,2))),IF(ISNUMBER(H410),H410,"")),"")</f>
        <v/>
      </c>
      <c r="AC410" s="11">
        <f>IF(ISNUMBER(SEARCH("다기관",TRIM(N410&amp;" "&amp;O410))),IFERROR(DATE(VALUE(MID(TRIM(N410&amp;" "&amp;O410),12,4)),VALUE(MID(TRIM(N410&amp;" "&amp;O410),17,2)),VALUE(MID(TRIM(N410&amp;" "&amp;O410),20,2))),IF(ISNUMBER(I410),I410,"")),"")</f>
        <v/>
      </c>
      <c r="AD410" s="17">
        <f>IF(AND(ISNUMBER(AB410),ISNUMBER(AC410)),MAX(0,MIN(AC410,EOMONTH(출력_요약!$B$3,0))-MAX(AB410,출력_요약!$B$3)+1),0)</f>
        <v/>
      </c>
      <c r="AE410" s="10">
        <f>IF(AND(Q410&lt;&gt;"",ISNUMBER(AB410)),Q410&amp;"|다기관","")</f>
        <v/>
      </c>
    </row>
    <row r="411">
      <c r="A411" s="15">
        <f>IF(F411="","",ROW()-3)</f>
        <v/>
      </c>
      <c r="B411" s="5" t="n"/>
      <c r="C411" s="15" t="n"/>
      <c r="D411" s="5" t="n"/>
      <c r="E411" s="15" t="n"/>
      <c r="F411" s="5" t="n"/>
      <c r="G411" s="6" t="n"/>
      <c r="H411" s="16" t="n"/>
      <c r="I411" s="16" t="n"/>
      <c r="J411" s="15">
        <f>IF(AND(ISNUMBER(H411),ISNUMBER(I411)),I411-H411+1,"")</f>
        <v/>
      </c>
      <c r="K411" s="5" t="n"/>
      <c r="L411" s="5" t="n"/>
      <c r="M411" s="5" t="n"/>
      <c r="N411" s="5" t="n"/>
      <c r="O411" s="5" t="n"/>
      <c r="Q411" s="10">
        <f>IF(TRIM(G411&amp;"")="","",TRIM(G411&amp;""))</f>
        <v/>
      </c>
      <c r="R411" s="10">
        <f>IF(TRIM(B411&amp;"")="","",IFERROR(INDEX(설정_코드표!$K$2:$K$101,MATCH(TRIM(B411&amp;""),설정_코드표!$J$2:$J$101,0)),"⚠"&amp;TRIM(B411&amp;"")))</f>
        <v/>
      </c>
      <c r="S411" s="10">
        <f>IF(TRIM(K411&amp;"")="","",IFERROR(INDEX(설정_코드표!$K$2:$K$101,MATCH(TRIM(K411&amp;""),설정_코드표!$J$2:$J$101,0)),"⚠"&amp;TRIM(K411&amp;"")))</f>
        <v/>
      </c>
      <c r="T411" s="10">
        <f>IF(TRIM(M411&amp;"")="","",IF(ISNUMBER(MATCH(TRIM(M411&amp;""),설정_코드표!$C$2:$C$11,0)),TRIM(M411&amp;""),"⚠"&amp;TRIM(M411&amp;"")))</f>
        <v/>
      </c>
      <c r="U411" s="10">
        <f>IF(TRIM(L411&amp;"")="","",IFERROR(INDEX(설정_코드표!$G$2:$G$101,MATCH(TRIM(L411&amp;""),설정_코드표!$F$2:$F$101,0)),"⚠"&amp;TRIM(L411&amp;"")))</f>
        <v/>
      </c>
      <c r="V411" s="10">
        <f>IF(AND(ISNUMBER(H411),ISNUMBER(I411)),I411-H411+1,"")</f>
        <v/>
      </c>
      <c r="W411" s="17">
        <f>IF(ISNUMBER(H411),MAX(0,MIN(IF(ISNUMBER(I411),I411,EOMONTH(출력_요약!$B$3,0)),EOMONTH(출력_요약!$B$3,0))-MAX(H411,출력_요약!$B$3)+1),0)</f>
        <v/>
      </c>
      <c r="X411" s="10">
        <f>IF(OR(NOT(ISNUMBER(H411)),Q411=""),"",IF(TODAY()&lt;H411,"파견예정",IF(AND(ISNUMBER(I411),TODAY()&gt;I411),"파견종료","파견중")))</f>
        <v/>
      </c>
      <c r="Y411" s="10">
        <f>IF(OR(Q411="",X411=""),"",Q411&amp;"|"&amp;X411)</f>
        <v/>
      </c>
      <c r="Z411" s="10">
        <f>IF(AND(Q411&lt;&gt;"",W411&gt;0),Q411&amp;"|월","")</f>
        <v/>
      </c>
      <c r="AA411" s="10">
        <f>IF(COUNTA(B411:I411,K411:N411)=0,"",IF(Q411="","등록번호 없음",IF(LEFT(R411,1)="⚠","모병원명 미등록",IF(S411="","파견병원 입력",IF(LEFT(S411,1)="⚠","파견병원명 미등록",IF(LEFT(U411,1)="⚠","파견과목 미등록",IF(OR(T411="",LEFT(T411,1)="⚠"),"파견근거 확인",IF(NOT(AND(ISNUMBER(H411),ISNUMBER(I411))),"날짜 형식/누락",IF(I411&lt;H411,"종료일&lt;시작일","")))))))))</f>
        <v/>
      </c>
      <c r="AB411" s="11">
        <f>IF(ISNUMBER(SEARCH("다기관",TRIM(N411&amp;" "&amp;O411))),IFERROR(DATE(VALUE(MID(TRIM(N411&amp;" "&amp;O411),1,4)),VALUE(MID(TRIM(N411&amp;" "&amp;O411),6,2)),VALUE(MID(TRIM(N411&amp;" "&amp;O411),9,2))),IF(ISNUMBER(H411),H411,"")),"")</f>
        <v/>
      </c>
      <c r="AC411" s="11">
        <f>IF(ISNUMBER(SEARCH("다기관",TRIM(N411&amp;" "&amp;O411))),IFERROR(DATE(VALUE(MID(TRIM(N411&amp;" "&amp;O411),12,4)),VALUE(MID(TRIM(N411&amp;" "&amp;O411),17,2)),VALUE(MID(TRIM(N411&amp;" "&amp;O411),20,2))),IF(ISNUMBER(I411),I411,"")),"")</f>
        <v/>
      </c>
      <c r="AD411" s="17">
        <f>IF(AND(ISNUMBER(AB411),ISNUMBER(AC411)),MAX(0,MIN(AC411,EOMONTH(출력_요약!$B$3,0))-MAX(AB411,출력_요약!$B$3)+1),0)</f>
        <v/>
      </c>
      <c r="AE411" s="10">
        <f>IF(AND(Q411&lt;&gt;"",ISNUMBER(AB411)),Q411&amp;"|다기관","")</f>
        <v/>
      </c>
    </row>
    <row r="412">
      <c r="A412" s="15">
        <f>IF(F412="","",ROW()-3)</f>
        <v/>
      </c>
      <c r="B412" s="5" t="n"/>
      <c r="C412" s="15" t="n"/>
      <c r="D412" s="5" t="n"/>
      <c r="E412" s="15" t="n"/>
      <c r="F412" s="5" t="n"/>
      <c r="G412" s="6" t="n"/>
      <c r="H412" s="16" t="n"/>
      <c r="I412" s="16" t="n"/>
      <c r="J412" s="15">
        <f>IF(AND(ISNUMBER(H412),ISNUMBER(I412)),I412-H412+1,"")</f>
        <v/>
      </c>
      <c r="K412" s="5" t="n"/>
      <c r="L412" s="5" t="n"/>
      <c r="M412" s="5" t="n"/>
      <c r="N412" s="5" t="n"/>
      <c r="O412" s="5" t="n"/>
      <c r="Q412" s="10">
        <f>IF(TRIM(G412&amp;"")="","",TRIM(G412&amp;""))</f>
        <v/>
      </c>
      <c r="R412" s="10">
        <f>IF(TRIM(B412&amp;"")="","",IFERROR(INDEX(설정_코드표!$K$2:$K$101,MATCH(TRIM(B412&amp;""),설정_코드표!$J$2:$J$101,0)),"⚠"&amp;TRIM(B412&amp;"")))</f>
        <v/>
      </c>
      <c r="S412" s="10">
        <f>IF(TRIM(K412&amp;"")="","",IFERROR(INDEX(설정_코드표!$K$2:$K$101,MATCH(TRIM(K412&amp;""),설정_코드표!$J$2:$J$101,0)),"⚠"&amp;TRIM(K412&amp;"")))</f>
        <v/>
      </c>
      <c r="T412" s="10">
        <f>IF(TRIM(M412&amp;"")="","",IF(ISNUMBER(MATCH(TRIM(M412&amp;""),설정_코드표!$C$2:$C$11,0)),TRIM(M412&amp;""),"⚠"&amp;TRIM(M412&amp;"")))</f>
        <v/>
      </c>
      <c r="U412" s="10">
        <f>IF(TRIM(L412&amp;"")="","",IFERROR(INDEX(설정_코드표!$G$2:$G$101,MATCH(TRIM(L412&amp;""),설정_코드표!$F$2:$F$101,0)),"⚠"&amp;TRIM(L412&amp;"")))</f>
        <v/>
      </c>
      <c r="V412" s="10">
        <f>IF(AND(ISNUMBER(H412),ISNUMBER(I412)),I412-H412+1,"")</f>
        <v/>
      </c>
      <c r="W412" s="17">
        <f>IF(ISNUMBER(H412),MAX(0,MIN(IF(ISNUMBER(I412),I412,EOMONTH(출력_요약!$B$3,0)),EOMONTH(출력_요약!$B$3,0))-MAX(H412,출력_요약!$B$3)+1),0)</f>
        <v/>
      </c>
      <c r="X412" s="10">
        <f>IF(OR(NOT(ISNUMBER(H412)),Q412=""),"",IF(TODAY()&lt;H412,"파견예정",IF(AND(ISNUMBER(I412),TODAY()&gt;I412),"파견종료","파견중")))</f>
        <v/>
      </c>
      <c r="Y412" s="10">
        <f>IF(OR(Q412="",X412=""),"",Q412&amp;"|"&amp;X412)</f>
        <v/>
      </c>
      <c r="Z412" s="10">
        <f>IF(AND(Q412&lt;&gt;"",W412&gt;0),Q412&amp;"|월","")</f>
        <v/>
      </c>
      <c r="AA412" s="10">
        <f>IF(COUNTA(B412:I412,K412:N412)=0,"",IF(Q412="","등록번호 없음",IF(LEFT(R412,1)="⚠","모병원명 미등록",IF(S412="","파견병원 입력",IF(LEFT(S412,1)="⚠","파견병원명 미등록",IF(LEFT(U412,1)="⚠","파견과목 미등록",IF(OR(T412="",LEFT(T412,1)="⚠"),"파견근거 확인",IF(NOT(AND(ISNUMBER(H412),ISNUMBER(I412))),"날짜 형식/누락",IF(I412&lt;H412,"종료일&lt;시작일","")))))))))</f>
        <v/>
      </c>
      <c r="AB412" s="11">
        <f>IF(ISNUMBER(SEARCH("다기관",TRIM(N412&amp;" "&amp;O412))),IFERROR(DATE(VALUE(MID(TRIM(N412&amp;" "&amp;O412),1,4)),VALUE(MID(TRIM(N412&amp;" "&amp;O412),6,2)),VALUE(MID(TRIM(N412&amp;" "&amp;O412),9,2))),IF(ISNUMBER(H412),H412,"")),"")</f>
        <v/>
      </c>
      <c r="AC412" s="11">
        <f>IF(ISNUMBER(SEARCH("다기관",TRIM(N412&amp;" "&amp;O412))),IFERROR(DATE(VALUE(MID(TRIM(N412&amp;" "&amp;O412),12,4)),VALUE(MID(TRIM(N412&amp;" "&amp;O412),17,2)),VALUE(MID(TRIM(N412&amp;" "&amp;O412),20,2))),IF(ISNUMBER(I412),I412,"")),"")</f>
        <v/>
      </c>
      <c r="AD412" s="17">
        <f>IF(AND(ISNUMBER(AB412),ISNUMBER(AC412)),MAX(0,MIN(AC412,EOMONTH(출력_요약!$B$3,0))-MAX(AB412,출력_요약!$B$3)+1),0)</f>
        <v/>
      </c>
      <c r="AE412" s="10">
        <f>IF(AND(Q412&lt;&gt;"",ISNUMBER(AB412)),Q412&amp;"|다기관","")</f>
        <v/>
      </c>
    </row>
    <row r="413">
      <c r="A413" s="15">
        <f>IF(F413="","",ROW()-3)</f>
        <v/>
      </c>
      <c r="B413" s="5" t="n"/>
      <c r="C413" s="15" t="n"/>
      <c r="D413" s="5" t="n"/>
      <c r="E413" s="15" t="n"/>
      <c r="F413" s="5" t="n"/>
      <c r="G413" s="6" t="n"/>
      <c r="H413" s="16" t="n"/>
      <c r="I413" s="16" t="n"/>
      <c r="J413" s="15">
        <f>IF(AND(ISNUMBER(H413),ISNUMBER(I413)),I413-H413+1,"")</f>
        <v/>
      </c>
      <c r="K413" s="5" t="n"/>
      <c r="L413" s="5" t="n"/>
      <c r="M413" s="5" t="n"/>
      <c r="N413" s="5" t="n"/>
      <c r="O413" s="5" t="n"/>
      <c r="Q413" s="10">
        <f>IF(TRIM(G413&amp;"")="","",TRIM(G413&amp;""))</f>
        <v/>
      </c>
      <c r="R413" s="10">
        <f>IF(TRIM(B413&amp;"")="","",IFERROR(INDEX(설정_코드표!$K$2:$K$101,MATCH(TRIM(B413&amp;""),설정_코드표!$J$2:$J$101,0)),"⚠"&amp;TRIM(B413&amp;"")))</f>
        <v/>
      </c>
      <c r="S413" s="10">
        <f>IF(TRIM(K413&amp;"")="","",IFERROR(INDEX(설정_코드표!$K$2:$K$101,MATCH(TRIM(K413&amp;""),설정_코드표!$J$2:$J$101,0)),"⚠"&amp;TRIM(K413&amp;"")))</f>
        <v/>
      </c>
      <c r="T413" s="10">
        <f>IF(TRIM(M413&amp;"")="","",IF(ISNUMBER(MATCH(TRIM(M413&amp;""),설정_코드표!$C$2:$C$11,0)),TRIM(M413&amp;""),"⚠"&amp;TRIM(M413&amp;"")))</f>
        <v/>
      </c>
      <c r="U413" s="10">
        <f>IF(TRIM(L413&amp;"")="","",IFERROR(INDEX(설정_코드표!$G$2:$G$101,MATCH(TRIM(L413&amp;""),설정_코드표!$F$2:$F$101,0)),"⚠"&amp;TRIM(L413&amp;"")))</f>
        <v/>
      </c>
      <c r="V413" s="10">
        <f>IF(AND(ISNUMBER(H413),ISNUMBER(I413)),I413-H413+1,"")</f>
        <v/>
      </c>
      <c r="W413" s="17">
        <f>IF(ISNUMBER(H413),MAX(0,MIN(IF(ISNUMBER(I413),I413,EOMONTH(출력_요약!$B$3,0)),EOMONTH(출력_요약!$B$3,0))-MAX(H413,출력_요약!$B$3)+1),0)</f>
        <v/>
      </c>
      <c r="X413" s="10">
        <f>IF(OR(NOT(ISNUMBER(H413)),Q413=""),"",IF(TODAY()&lt;H413,"파견예정",IF(AND(ISNUMBER(I413),TODAY()&gt;I413),"파견종료","파견중")))</f>
        <v/>
      </c>
      <c r="Y413" s="10">
        <f>IF(OR(Q413="",X413=""),"",Q413&amp;"|"&amp;X413)</f>
        <v/>
      </c>
      <c r="Z413" s="10">
        <f>IF(AND(Q413&lt;&gt;"",W413&gt;0),Q413&amp;"|월","")</f>
        <v/>
      </c>
      <c r="AA413" s="10">
        <f>IF(COUNTA(B413:I413,K413:N413)=0,"",IF(Q413="","등록번호 없음",IF(LEFT(R413,1)="⚠","모병원명 미등록",IF(S413="","파견병원 입력",IF(LEFT(S413,1)="⚠","파견병원명 미등록",IF(LEFT(U413,1)="⚠","파견과목 미등록",IF(OR(T413="",LEFT(T413,1)="⚠"),"파견근거 확인",IF(NOT(AND(ISNUMBER(H413),ISNUMBER(I413))),"날짜 형식/누락",IF(I413&lt;H413,"종료일&lt;시작일","")))))))))</f>
        <v/>
      </c>
      <c r="AB413" s="11">
        <f>IF(ISNUMBER(SEARCH("다기관",TRIM(N413&amp;" "&amp;O413))),IFERROR(DATE(VALUE(MID(TRIM(N413&amp;" "&amp;O413),1,4)),VALUE(MID(TRIM(N413&amp;" "&amp;O413),6,2)),VALUE(MID(TRIM(N413&amp;" "&amp;O413),9,2))),IF(ISNUMBER(H413),H413,"")),"")</f>
        <v/>
      </c>
      <c r="AC413" s="11">
        <f>IF(ISNUMBER(SEARCH("다기관",TRIM(N413&amp;" "&amp;O413))),IFERROR(DATE(VALUE(MID(TRIM(N413&amp;" "&amp;O413),12,4)),VALUE(MID(TRIM(N413&amp;" "&amp;O413),17,2)),VALUE(MID(TRIM(N413&amp;" "&amp;O413),20,2))),IF(ISNUMBER(I413),I413,"")),"")</f>
        <v/>
      </c>
      <c r="AD413" s="17">
        <f>IF(AND(ISNUMBER(AB413),ISNUMBER(AC413)),MAX(0,MIN(AC413,EOMONTH(출력_요약!$B$3,0))-MAX(AB413,출력_요약!$B$3)+1),0)</f>
        <v/>
      </c>
      <c r="AE413" s="10">
        <f>IF(AND(Q413&lt;&gt;"",ISNUMBER(AB413)),Q413&amp;"|다기관","")</f>
        <v/>
      </c>
    </row>
    <row r="414">
      <c r="A414" s="15">
        <f>IF(F414="","",ROW()-3)</f>
        <v/>
      </c>
      <c r="B414" s="5" t="n"/>
      <c r="C414" s="15" t="n"/>
      <c r="D414" s="5" t="n"/>
      <c r="E414" s="15" t="n"/>
      <c r="F414" s="5" t="n"/>
      <c r="G414" s="6" t="n"/>
      <c r="H414" s="16" t="n"/>
      <c r="I414" s="16" t="n"/>
      <c r="J414" s="15">
        <f>IF(AND(ISNUMBER(H414),ISNUMBER(I414)),I414-H414+1,"")</f>
        <v/>
      </c>
      <c r="K414" s="5" t="n"/>
      <c r="L414" s="5" t="n"/>
      <c r="M414" s="5" t="n"/>
      <c r="N414" s="5" t="n"/>
      <c r="O414" s="5" t="n"/>
      <c r="Q414" s="10">
        <f>IF(TRIM(G414&amp;"")="","",TRIM(G414&amp;""))</f>
        <v/>
      </c>
      <c r="R414" s="10">
        <f>IF(TRIM(B414&amp;"")="","",IFERROR(INDEX(설정_코드표!$K$2:$K$101,MATCH(TRIM(B414&amp;""),설정_코드표!$J$2:$J$101,0)),"⚠"&amp;TRIM(B414&amp;"")))</f>
        <v/>
      </c>
      <c r="S414" s="10">
        <f>IF(TRIM(K414&amp;"")="","",IFERROR(INDEX(설정_코드표!$K$2:$K$101,MATCH(TRIM(K414&amp;""),설정_코드표!$J$2:$J$101,0)),"⚠"&amp;TRIM(K414&amp;"")))</f>
        <v/>
      </c>
      <c r="T414" s="10">
        <f>IF(TRIM(M414&amp;"")="","",IF(ISNUMBER(MATCH(TRIM(M414&amp;""),설정_코드표!$C$2:$C$11,0)),TRIM(M414&amp;""),"⚠"&amp;TRIM(M414&amp;"")))</f>
        <v/>
      </c>
      <c r="U414" s="10">
        <f>IF(TRIM(L414&amp;"")="","",IFERROR(INDEX(설정_코드표!$G$2:$G$101,MATCH(TRIM(L414&amp;""),설정_코드표!$F$2:$F$101,0)),"⚠"&amp;TRIM(L414&amp;"")))</f>
        <v/>
      </c>
      <c r="V414" s="10">
        <f>IF(AND(ISNUMBER(H414),ISNUMBER(I414)),I414-H414+1,"")</f>
        <v/>
      </c>
      <c r="W414" s="17">
        <f>IF(ISNUMBER(H414),MAX(0,MIN(IF(ISNUMBER(I414),I414,EOMONTH(출력_요약!$B$3,0)),EOMONTH(출력_요약!$B$3,0))-MAX(H414,출력_요약!$B$3)+1),0)</f>
        <v/>
      </c>
      <c r="X414" s="10">
        <f>IF(OR(NOT(ISNUMBER(H414)),Q414=""),"",IF(TODAY()&lt;H414,"파견예정",IF(AND(ISNUMBER(I414),TODAY()&gt;I414),"파견종료","파견중")))</f>
        <v/>
      </c>
      <c r="Y414" s="10">
        <f>IF(OR(Q414="",X414=""),"",Q414&amp;"|"&amp;X414)</f>
        <v/>
      </c>
      <c r="Z414" s="10">
        <f>IF(AND(Q414&lt;&gt;"",W414&gt;0),Q414&amp;"|월","")</f>
        <v/>
      </c>
      <c r="AA414" s="10">
        <f>IF(COUNTA(B414:I414,K414:N414)=0,"",IF(Q414="","등록번호 없음",IF(LEFT(R414,1)="⚠","모병원명 미등록",IF(S414="","파견병원 입력",IF(LEFT(S414,1)="⚠","파견병원명 미등록",IF(LEFT(U414,1)="⚠","파견과목 미등록",IF(OR(T414="",LEFT(T414,1)="⚠"),"파견근거 확인",IF(NOT(AND(ISNUMBER(H414),ISNUMBER(I414))),"날짜 형식/누락",IF(I414&lt;H414,"종료일&lt;시작일","")))))))))</f>
        <v/>
      </c>
      <c r="AB414" s="11">
        <f>IF(ISNUMBER(SEARCH("다기관",TRIM(N414&amp;" "&amp;O414))),IFERROR(DATE(VALUE(MID(TRIM(N414&amp;" "&amp;O414),1,4)),VALUE(MID(TRIM(N414&amp;" "&amp;O414),6,2)),VALUE(MID(TRIM(N414&amp;" "&amp;O414),9,2))),IF(ISNUMBER(H414),H414,"")),"")</f>
        <v/>
      </c>
      <c r="AC414" s="11">
        <f>IF(ISNUMBER(SEARCH("다기관",TRIM(N414&amp;" "&amp;O414))),IFERROR(DATE(VALUE(MID(TRIM(N414&amp;" "&amp;O414),12,4)),VALUE(MID(TRIM(N414&amp;" "&amp;O414),17,2)),VALUE(MID(TRIM(N414&amp;" "&amp;O414),20,2))),IF(ISNUMBER(I414),I414,"")),"")</f>
        <v/>
      </c>
      <c r="AD414" s="17">
        <f>IF(AND(ISNUMBER(AB414),ISNUMBER(AC414)),MAX(0,MIN(AC414,EOMONTH(출력_요약!$B$3,0))-MAX(AB414,출력_요약!$B$3)+1),0)</f>
        <v/>
      </c>
      <c r="AE414" s="10">
        <f>IF(AND(Q414&lt;&gt;"",ISNUMBER(AB414)),Q414&amp;"|다기관","")</f>
        <v/>
      </c>
    </row>
    <row r="415">
      <c r="A415" s="15">
        <f>IF(F415="","",ROW()-3)</f>
        <v/>
      </c>
      <c r="B415" s="5" t="n"/>
      <c r="C415" s="15" t="n"/>
      <c r="D415" s="5" t="n"/>
      <c r="E415" s="15" t="n"/>
      <c r="F415" s="5" t="n"/>
      <c r="G415" s="6" t="n"/>
      <c r="H415" s="16" t="n"/>
      <c r="I415" s="16" t="n"/>
      <c r="J415" s="15">
        <f>IF(AND(ISNUMBER(H415),ISNUMBER(I415)),I415-H415+1,"")</f>
        <v/>
      </c>
      <c r="K415" s="5" t="n"/>
      <c r="L415" s="5" t="n"/>
      <c r="M415" s="5" t="n"/>
      <c r="N415" s="5" t="n"/>
      <c r="O415" s="5" t="n"/>
      <c r="Q415" s="10">
        <f>IF(TRIM(G415&amp;"")="","",TRIM(G415&amp;""))</f>
        <v/>
      </c>
      <c r="R415" s="10">
        <f>IF(TRIM(B415&amp;"")="","",IFERROR(INDEX(설정_코드표!$K$2:$K$101,MATCH(TRIM(B415&amp;""),설정_코드표!$J$2:$J$101,0)),"⚠"&amp;TRIM(B415&amp;"")))</f>
        <v/>
      </c>
      <c r="S415" s="10">
        <f>IF(TRIM(K415&amp;"")="","",IFERROR(INDEX(설정_코드표!$K$2:$K$101,MATCH(TRIM(K415&amp;""),설정_코드표!$J$2:$J$101,0)),"⚠"&amp;TRIM(K415&amp;"")))</f>
        <v/>
      </c>
      <c r="T415" s="10">
        <f>IF(TRIM(M415&amp;"")="","",IF(ISNUMBER(MATCH(TRIM(M415&amp;""),설정_코드표!$C$2:$C$11,0)),TRIM(M415&amp;""),"⚠"&amp;TRIM(M415&amp;"")))</f>
        <v/>
      </c>
      <c r="U415" s="10">
        <f>IF(TRIM(L415&amp;"")="","",IFERROR(INDEX(설정_코드표!$G$2:$G$101,MATCH(TRIM(L415&amp;""),설정_코드표!$F$2:$F$101,0)),"⚠"&amp;TRIM(L415&amp;"")))</f>
        <v/>
      </c>
      <c r="V415" s="10">
        <f>IF(AND(ISNUMBER(H415),ISNUMBER(I415)),I415-H415+1,"")</f>
        <v/>
      </c>
      <c r="W415" s="17">
        <f>IF(ISNUMBER(H415),MAX(0,MIN(IF(ISNUMBER(I415),I415,EOMONTH(출력_요약!$B$3,0)),EOMONTH(출력_요약!$B$3,0))-MAX(H415,출력_요약!$B$3)+1),0)</f>
        <v/>
      </c>
      <c r="X415" s="10">
        <f>IF(OR(NOT(ISNUMBER(H415)),Q415=""),"",IF(TODAY()&lt;H415,"파견예정",IF(AND(ISNUMBER(I415),TODAY()&gt;I415),"파견종료","파견중")))</f>
        <v/>
      </c>
      <c r="Y415" s="10">
        <f>IF(OR(Q415="",X415=""),"",Q415&amp;"|"&amp;X415)</f>
        <v/>
      </c>
      <c r="Z415" s="10">
        <f>IF(AND(Q415&lt;&gt;"",W415&gt;0),Q415&amp;"|월","")</f>
        <v/>
      </c>
      <c r="AA415" s="10">
        <f>IF(COUNTA(B415:I415,K415:N415)=0,"",IF(Q415="","등록번호 없음",IF(LEFT(R415,1)="⚠","모병원명 미등록",IF(S415="","파견병원 입력",IF(LEFT(S415,1)="⚠","파견병원명 미등록",IF(LEFT(U415,1)="⚠","파견과목 미등록",IF(OR(T415="",LEFT(T415,1)="⚠"),"파견근거 확인",IF(NOT(AND(ISNUMBER(H415),ISNUMBER(I415))),"날짜 형식/누락",IF(I415&lt;H415,"종료일&lt;시작일","")))))))))</f>
        <v/>
      </c>
      <c r="AB415" s="11">
        <f>IF(ISNUMBER(SEARCH("다기관",TRIM(N415&amp;" "&amp;O415))),IFERROR(DATE(VALUE(MID(TRIM(N415&amp;" "&amp;O415),1,4)),VALUE(MID(TRIM(N415&amp;" "&amp;O415),6,2)),VALUE(MID(TRIM(N415&amp;" "&amp;O415),9,2))),IF(ISNUMBER(H415),H415,"")),"")</f>
        <v/>
      </c>
      <c r="AC415" s="11">
        <f>IF(ISNUMBER(SEARCH("다기관",TRIM(N415&amp;" "&amp;O415))),IFERROR(DATE(VALUE(MID(TRIM(N415&amp;" "&amp;O415),12,4)),VALUE(MID(TRIM(N415&amp;" "&amp;O415),17,2)),VALUE(MID(TRIM(N415&amp;" "&amp;O415),20,2))),IF(ISNUMBER(I415),I415,"")),"")</f>
        <v/>
      </c>
      <c r="AD415" s="17">
        <f>IF(AND(ISNUMBER(AB415),ISNUMBER(AC415)),MAX(0,MIN(AC415,EOMONTH(출력_요약!$B$3,0))-MAX(AB415,출력_요약!$B$3)+1),0)</f>
        <v/>
      </c>
      <c r="AE415" s="10">
        <f>IF(AND(Q415&lt;&gt;"",ISNUMBER(AB415)),Q415&amp;"|다기관","")</f>
        <v/>
      </c>
    </row>
    <row r="416">
      <c r="A416" s="15">
        <f>IF(F416="","",ROW()-3)</f>
        <v/>
      </c>
      <c r="B416" s="5" t="n"/>
      <c r="C416" s="15" t="n"/>
      <c r="D416" s="5" t="n"/>
      <c r="E416" s="15" t="n"/>
      <c r="F416" s="5" t="n"/>
      <c r="G416" s="6" t="n"/>
      <c r="H416" s="16" t="n"/>
      <c r="I416" s="16" t="n"/>
      <c r="J416" s="15">
        <f>IF(AND(ISNUMBER(H416),ISNUMBER(I416)),I416-H416+1,"")</f>
        <v/>
      </c>
      <c r="K416" s="5" t="n"/>
      <c r="L416" s="5" t="n"/>
      <c r="M416" s="5" t="n"/>
      <c r="N416" s="5" t="n"/>
      <c r="O416" s="5" t="n"/>
      <c r="Q416" s="10">
        <f>IF(TRIM(G416&amp;"")="","",TRIM(G416&amp;""))</f>
        <v/>
      </c>
      <c r="R416" s="10">
        <f>IF(TRIM(B416&amp;"")="","",IFERROR(INDEX(설정_코드표!$K$2:$K$101,MATCH(TRIM(B416&amp;""),설정_코드표!$J$2:$J$101,0)),"⚠"&amp;TRIM(B416&amp;"")))</f>
        <v/>
      </c>
      <c r="S416" s="10">
        <f>IF(TRIM(K416&amp;"")="","",IFERROR(INDEX(설정_코드표!$K$2:$K$101,MATCH(TRIM(K416&amp;""),설정_코드표!$J$2:$J$101,0)),"⚠"&amp;TRIM(K416&amp;"")))</f>
        <v/>
      </c>
      <c r="T416" s="10">
        <f>IF(TRIM(M416&amp;"")="","",IF(ISNUMBER(MATCH(TRIM(M416&amp;""),설정_코드표!$C$2:$C$11,0)),TRIM(M416&amp;""),"⚠"&amp;TRIM(M416&amp;"")))</f>
        <v/>
      </c>
      <c r="U416" s="10">
        <f>IF(TRIM(L416&amp;"")="","",IFERROR(INDEX(설정_코드표!$G$2:$G$101,MATCH(TRIM(L416&amp;""),설정_코드표!$F$2:$F$101,0)),"⚠"&amp;TRIM(L416&amp;"")))</f>
        <v/>
      </c>
      <c r="V416" s="10">
        <f>IF(AND(ISNUMBER(H416),ISNUMBER(I416)),I416-H416+1,"")</f>
        <v/>
      </c>
      <c r="W416" s="17">
        <f>IF(ISNUMBER(H416),MAX(0,MIN(IF(ISNUMBER(I416),I416,EOMONTH(출력_요약!$B$3,0)),EOMONTH(출력_요약!$B$3,0))-MAX(H416,출력_요약!$B$3)+1),0)</f>
        <v/>
      </c>
      <c r="X416" s="10">
        <f>IF(OR(NOT(ISNUMBER(H416)),Q416=""),"",IF(TODAY()&lt;H416,"파견예정",IF(AND(ISNUMBER(I416),TODAY()&gt;I416),"파견종료","파견중")))</f>
        <v/>
      </c>
      <c r="Y416" s="10">
        <f>IF(OR(Q416="",X416=""),"",Q416&amp;"|"&amp;X416)</f>
        <v/>
      </c>
      <c r="Z416" s="10">
        <f>IF(AND(Q416&lt;&gt;"",W416&gt;0),Q416&amp;"|월","")</f>
        <v/>
      </c>
      <c r="AA416" s="10">
        <f>IF(COUNTA(B416:I416,K416:N416)=0,"",IF(Q416="","등록번호 없음",IF(LEFT(R416,1)="⚠","모병원명 미등록",IF(S416="","파견병원 입력",IF(LEFT(S416,1)="⚠","파견병원명 미등록",IF(LEFT(U416,1)="⚠","파견과목 미등록",IF(OR(T416="",LEFT(T416,1)="⚠"),"파견근거 확인",IF(NOT(AND(ISNUMBER(H416),ISNUMBER(I416))),"날짜 형식/누락",IF(I416&lt;H416,"종료일&lt;시작일","")))))))))</f>
        <v/>
      </c>
      <c r="AB416" s="11">
        <f>IF(ISNUMBER(SEARCH("다기관",TRIM(N416&amp;" "&amp;O416))),IFERROR(DATE(VALUE(MID(TRIM(N416&amp;" "&amp;O416),1,4)),VALUE(MID(TRIM(N416&amp;" "&amp;O416),6,2)),VALUE(MID(TRIM(N416&amp;" "&amp;O416),9,2))),IF(ISNUMBER(H416),H416,"")),"")</f>
        <v/>
      </c>
      <c r="AC416" s="11">
        <f>IF(ISNUMBER(SEARCH("다기관",TRIM(N416&amp;" "&amp;O416))),IFERROR(DATE(VALUE(MID(TRIM(N416&amp;" "&amp;O416),12,4)),VALUE(MID(TRIM(N416&amp;" "&amp;O416),17,2)),VALUE(MID(TRIM(N416&amp;" "&amp;O416),20,2))),IF(ISNUMBER(I416),I416,"")),"")</f>
        <v/>
      </c>
      <c r="AD416" s="17">
        <f>IF(AND(ISNUMBER(AB416),ISNUMBER(AC416)),MAX(0,MIN(AC416,EOMONTH(출력_요약!$B$3,0))-MAX(AB416,출력_요약!$B$3)+1),0)</f>
        <v/>
      </c>
      <c r="AE416" s="10">
        <f>IF(AND(Q416&lt;&gt;"",ISNUMBER(AB416)),Q416&amp;"|다기관","")</f>
        <v/>
      </c>
    </row>
    <row r="417">
      <c r="A417" s="15">
        <f>IF(F417="","",ROW()-3)</f>
        <v/>
      </c>
      <c r="B417" s="5" t="n"/>
      <c r="C417" s="15" t="n"/>
      <c r="D417" s="5" t="n"/>
      <c r="E417" s="15" t="n"/>
      <c r="F417" s="5" t="n"/>
      <c r="G417" s="6" t="n"/>
      <c r="H417" s="16" t="n"/>
      <c r="I417" s="16" t="n"/>
      <c r="J417" s="15">
        <f>IF(AND(ISNUMBER(H417),ISNUMBER(I417)),I417-H417+1,"")</f>
        <v/>
      </c>
      <c r="K417" s="5" t="n"/>
      <c r="L417" s="5" t="n"/>
      <c r="M417" s="5" t="n"/>
      <c r="N417" s="5" t="n"/>
      <c r="O417" s="5" t="n"/>
      <c r="Q417" s="10">
        <f>IF(TRIM(G417&amp;"")="","",TRIM(G417&amp;""))</f>
        <v/>
      </c>
      <c r="R417" s="10">
        <f>IF(TRIM(B417&amp;"")="","",IFERROR(INDEX(설정_코드표!$K$2:$K$101,MATCH(TRIM(B417&amp;""),설정_코드표!$J$2:$J$101,0)),"⚠"&amp;TRIM(B417&amp;"")))</f>
        <v/>
      </c>
      <c r="S417" s="10">
        <f>IF(TRIM(K417&amp;"")="","",IFERROR(INDEX(설정_코드표!$K$2:$K$101,MATCH(TRIM(K417&amp;""),설정_코드표!$J$2:$J$101,0)),"⚠"&amp;TRIM(K417&amp;"")))</f>
        <v/>
      </c>
      <c r="T417" s="10">
        <f>IF(TRIM(M417&amp;"")="","",IF(ISNUMBER(MATCH(TRIM(M417&amp;""),설정_코드표!$C$2:$C$11,0)),TRIM(M417&amp;""),"⚠"&amp;TRIM(M417&amp;"")))</f>
        <v/>
      </c>
      <c r="U417" s="10">
        <f>IF(TRIM(L417&amp;"")="","",IFERROR(INDEX(설정_코드표!$G$2:$G$101,MATCH(TRIM(L417&amp;""),설정_코드표!$F$2:$F$101,0)),"⚠"&amp;TRIM(L417&amp;"")))</f>
        <v/>
      </c>
      <c r="V417" s="10">
        <f>IF(AND(ISNUMBER(H417),ISNUMBER(I417)),I417-H417+1,"")</f>
        <v/>
      </c>
      <c r="W417" s="17">
        <f>IF(ISNUMBER(H417),MAX(0,MIN(IF(ISNUMBER(I417),I417,EOMONTH(출력_요약!$B$3,0)),EOMONTH(출력_요약!$B$3,0))-MAX(H417,출력_요약!$B$3)+1),0)</f>
        <v/>
      </c>
      <c r="X417" s="10">
        <f>IF(OR(NOT(ISNUMBER(H417)),Q417=""),"",IF(TODAY()&lt;H417,"파견예정",IF(AND(ISNUMBER(I417),TODAY()&gt;I417),"파견종료","파견중")))</f>
        <v/>
      </c>
      <c r="Y417" s="10">
        <f>IF(OR(Q417="",X417=""),"",Q417&amp;"|"&amp;X417)</f>
        <v/>
      </c>
      <c r="Z417" s="10">
        <f>IF(AND(Q417&lt;&gt;"",W417&gt;0),Q417&amp;"|월","")</f>
        <v/>
      </c>
      <c r="AA417" s="10">
        <f>IF(COUNTA(B417:I417,K417:N417)=0,"",IF(Q417="","등록번호 없음",IF(LEFT(R417,1)="⚠","모병원명 미등록",IF(S417="","파견병원 입력",IF(LEFT(S417,1)="⚠","파견병원명 미등록",IF(LEFT(U417,1)="⚠","파견과목 미등록",IF(OR(T417="",LEFT(T417,1)="⚠"),"파견근거 확인",IF(NOT(AND(ISNUMBER(H417),ISNUMBER(I417))),"날짜 형식/누락",IF(I417&lt;H417,"종료일&lt;시작일","")))))))))</f>
        <v/>
      </c>
      <c r="AB417" s="11">
        <f>IF(ISNUMBER(SEARCH("다기관",TRIM(N417&amp;" "&amp;O417))),IFERROR(DATE(VALUE(MID(TRIM(N417&amp;" "&amp;O417),1,4)),VALUE(MID(TRIM(N417&amp;" "&amp;O417),6,2)),VALUE(MID(TRIM(N417&amp;" "&amp;O417),9,2))),IF(ISNUMBER(H417),H417,"")),"")</f>
        <v/>
      </c>
      <c r="AC417" s="11">
        <f>IF(ISNUMBER(SEARCH("다기관",TRIM(N417&amp;" "&amp;O417))),IFERROR(DATE(VALUE(MID(TRIM(N417&amp;" "&amp;O417),12,4)),VALUE(MID(TRIM(N417&amp;" "&amp;O417),17,2)),VALUE(MID(TRIM(N417&amp;" "&amp;O417),20,2))),IF(ISNUMBER(I417),I417,"")),"")</f>
        <v/>
      </c>
      <c r="AD417" s="17">
        <f>IF(AND(ISNUMBER(AB417),ISNUMBER(AC417)),MAX(0,MIN(AC417,EOMONTH(출력_요약!$B$3,0))-MAX(AB417,출력_요약!$B$3)+1),0)</f>
        <v/>
      </c>
      <c r="AE417" s="10">
        <f>IF(AND(Q417&lt;&gt;"",ISNUMBER(AB417)),Q417&amp;"|다기관","")</f>
        <v/>
      </c>
    </row>
    <row r="418">
      <c r="A418" s="15">
        <f>IF(F418="","",ROW()-3)</f>
        <v/>
      </c>
      <c r="B418" s="5" t="n"/>
      <c r="C418" s="15" t="n"/>
      <c r="D418" s="5" t="n"/>
      <c r="E418" s="15" t="n"/>
      <c r="F418" s="5" t="n"/>
      <c r="G418" s="6" t="n"/>
      <c r="H418" s="16" t="n"/>
      <c r="I418" s="16" t="n"/>
      <c r="J418" s="15">
        <f>IF(AND(ISNUMBER(H418),ISNUMBER(I418)),I418-H418+1,"")</f>
        <v/>
      </c>
      <c r="K418" s="5" t="n"/>
      <c r="L418" s="5" t="n"/>
      <c r="M418" s="5" t="n"/>
      <c r="N418" s="5" t="n"/>
      <c r="O418" s="5" t="n"/>
      <c r="Q418" s="10">
        <f>IF(TRIM(G418&amp;"")="","",TRIM(G418&amp;""))</f>
        <v/>
      </c>
      <c r="R418" s="10">
        <f>IF(TRIM(B418&amp;"")="","",IFERROR(INDEX(설정_코드표!$K$2:$K$101,MATCH(TRIM(B418&amp;""),설정_코드표!$J$2:$J$101,0)),"⚠"&amp;TRIM(B418&amp;"")))</f>
        <v/>
      </c>
      <c r="S418" s="10">
        <f>IF(TRIM(K418&amp;"")="","",IFERROR(INDEX(설정_코드표!$K$2:$K$101,MATCH(TRIM(K418&amp;""),설정_코드표!$J$2:$J$101,0)),"⚠"&amp;TRIM(K418&amp;"")))</f>
        <v/>
      </c>
      <c r="T418" s="10">
        <f>IF(TRIM(M418&amp;"")="","",IF(ISNUMBER(MATCH(TRIM(M418&amp;""),설정_코드표!$C$2:$C$11,0)),TRIM(M418&amp;""),"⚠"&amp;TRIM(M418&amp;"")))</f>
        <v/>
      </c>
      <c r="U418" s="10">
        <f>IF(TRIM(L418&amp;"")="","",IFERROR(INDEX(설정_코드표!$G$2:$G$101,MATCH(TRIM(L418&amp;""),설정_코드표!$F$2:$F$101,0)),"⚠"&amp;TRIM(L418&amp;"")))</f>
        <v/>
      </c>
      <c r="V418" s="10">
        <f>IF(AND(ISNUMBER(H418),ISNUMBER(I418)),I418-H418+1,"")</f>
        <v/>
      </c>
      <c r="W418" s="17">
        <f>IF(ISNUMBER(H418),MAX(0,MIN(IF(ISNUMBER(I418),I418,EOMONTH(출력_요약!$B$3,0)),EOMONTH(출력_요약!$B$3,0))-MAX(H418,출력_요약!$B$3)+1),0)</f>
        <v/>
      </c>
      <c r="X418" s="10">
        <f>IF(OR(NOT(ISNUMBER(H418)),Q418=""),"",IF(TODAY()&lt;H418,"파견예정",IF(AND(ISNUMBER(I418),TODAY()&gt;I418),"파견종료","파견중")))</f>
        <v/>
      </c>
      <c r="Y418" s="10">
        <f>IF(OR(Q418="",X418=""),"",Q418&amp;"|"&amp;X418)</f>
        <v/>
      </c>
      <c r="Z418" s="10">
        <f>IF(AND(Q418&lt;&gt;"",W418&gt;0),Q418&amp;"|월","")</f>
        <v/>
      </c>
      <c r="AA418" s="10">
        <f>IF(COUNTA(B418:I418,K418:N418)=0,"",IF(Q418="","등록번호 없음",IF(LEFT(R418,1)="⚠","모병원명 미등록",IF(S418="","파견병원 입력",IF(LEFT(S418,1)="⚠","파견병원명 미등록",IF(LEFT(U418,1)="⚠","파견과목 미등록",IF(OR(T418="",LEFT(T418,1)="⚠"),"파견근거 확인",IF(NOT(AND(ISNUMBER(H418),ISNUMBER(I418))),"날짜 형식/누락",IF(I418&lt;H418,"종료일&lt;시작일","")))))))))</f>
        <v/>
      </c>
      <c r="AB418" s="11">
        <f>IF(ISNUMBER(SEARCH("다기관",TRIM(N418&amp;" "&amp;O418))),IFERROR(DATE(VALUE(MID(TRIM(N418&amp;" "&amp;O418),1,4)),VALUE(MID(TRIM(N418&amp;" "&amp;O418),6,2)),VALUE(MID(TRIM(N418&amp;" "&amp;O418),9,2))),IF(ISNUMBER(H418),H418,"")),"")</f>
        <v/>
      </c>
      <c r="AC418" s="11">
        <f>IF(ISNUMBER(SEARCH("다기관",TRIM(N418&amp;" "&amp;O418))),IFERROR(DATE(VALUE(MID(TRIM(N418&amp;" "&amp;O418),12,4)),VALUE(MID(TRIM(N418&amp;" "&amp;O418),17,2)),VALUE(MID(TRIM(N418&amp;" "&amp;O418),20,2))),IF(ISNUMBER(I418),I418,"")),"")</f>
        <v/>
      </c>
      <c r="AD418" s="17">
        <f>IF(AND(ISNUMBER(AB418),ISNUMBER(AC418)),MAX(0,MIN(AC418,EOMONTH(출력_요약!$B$3,0))-MAX(AB418,출력_요약!$B$3)+1),0)</f>
        <v/>
      </c>
      <c r="AE418" s="10">
        <f>IF(AND(Q418&lt;&gt;"",ISNUMBER(AB418)),Q418&amp;"|다기관","")</f>
        <v/>
      </c>
    </row>
    <row r="419">
      <c r="A419" s="15">
        <f>IF(F419="","",ROW()-3)</f>
        <v/>
      </c>
      <c r="B419" s="5" t="n"/>
      <c r="C419" s="15" t="n"/>
      <c r="D419" s="5" t="n"/>
      <c r="E419" s="15" t="n"/>
      <c r="F419" s="5" t="n"/>
      <c r="G419" s="6" t="n"/>
      <c r="H419" s="16" t="n"/>
      <c r="I419" s="16" t="n"/>
      <c r="J419" s="15">
        <f>IF(AND(ISNUMBER(H419),ISNUMBER(I419)),I419-H419+1,"")</f>
        <v/>
      </c>
      <c r="K419" s="5" t="n"/>
      <c r="L419" s="5" t="n"/>
      <c r="M419" s="5" t="n"/>
      <c r="N419" s="5" t="n"/>
      <c r="O419" s="5" t="n"/>
      <c r="Q419" s="10">
        <f>IF(TRIM(G419&amp;"")="","",TRIM(G419&amp;""))</f>
        <v/>
      </c>
      <c r="R419" s="10">
        <f>IF(TRIM(B419&amp;"")="","",IFERROR(INDEX(설정_코드표!$K$2:$K$101,MATCH(TRIM(B419&amp;""),설정_코드표!$J$2:$J$101,0)),"⚠"&amp;TRIM(B419&amp;"")))</f>
        <v/>
      </c>
      <c r="S419" s="10">
        <f>IF(TRIM(K419&amp;"")="","",IFERROR(INDEX(설정_코드표!$K$2:$K$101,MATCH(TRIM(K419&amp;""),설정_코드표!$J$2:$J$101,0)),"⚠"&amp;TRIM(K419&amp;"")))</f>
        <v/>
      </c>
      <c r="T419" s="10">
        <f>IF(TRIM(M419&amp;"")="","",IF(ISNUMBER(MATCH(TRIM(M419&amp;""),설정_코드표!$C$2:$C$11,0)),TRIM(M419&amp;""),"⚠"&amp;TRIM(M419&amp;"")))</f>
        <v/>
      </c>
      <c r="U419" s="10">
        <f>IF(TRIM(L419&amp;"")="","",IFERROR(INDEX(설정_코드표!$G$2:$G$101,MATCH(TRIM(L419&amp;""),설정_코드표!$F$2:$F$101,0)),"⚠"&amp;TRIM(L419&amp;"")))</f>
        <v/>
      </c>
      <c r="V419" s="10">
        <f>IF(AND(ISNUMBER(H419),ISNUMBER(I419)),I419-H419+1,"")</f>
        <v/>
      </c>
      <c r="W419" s="17">
        <f>IF(ISNUMBER(H419),MAX(0,MIN(IF(ISNUMBER(I419),I419,EOMONTH(출력_요약!$B$3,0)),EOMONTH(출력_요약!$B$3,0))-MAX(H419,출력_요약!$B$3)+1),0)</f>
        <v/>
      </c>
      <c r="X419" s="10">
        <f>IF(OR(NOT(ISNUMBER(H419)),Q419=""),"",IF(TODAY()&lt;H419,"파견예정",IF(AND(ISNUMBER(I419),TODAY()&gt;I419),"파견종료","파견중")))</f>
        <v/>
      </c>
      <c r="Y419" s="10">
        <f>IF(OR(Q419="",X419=""),"",Q419&amp;"|"&amp;X419)</f>
        <v/>
      </c>
      <c r="Z419" s="10">
        <f>IF(AND(Q419&lt;&gt;"",W419&gt;0),Q419&amp;"|월","")</f>
        <v/>
      </c>
      <c r="AA419" s="10">
        <f>IF(COUNTA(B419:I419,K419:N419)=0,"",IF(Q419="","등록번호 없음",IF(LEFT(R419,1)="⚠","모병원명 미등록",IF(S419="","파견병원 입력",IF(LEFT(S419,1)="⚠","파견병원명 미등록",IF(LEFT(U419,1)="⚠","파견과목 미등록",IF(OR(T419="",LEFT(T419,1)="⚠"),"파견근거 확인",IF(NOT(AND(ISNUMBER(H419),ISNUMBER(I419))),"날짜 형식/누락",IF(I419&lt;H419,"종료일&lt;시작일","")))))))))</f>
        <v/>
      </c>
      <c r="AB419" s="11">
        <f>IF(ISNUMBER(SEARCH("다기관",TRIM(N419&amp;" "&amp;O419))),IFERROR(DATE(VALUE(MID(TRIM(N419&amp;" "&amp;O419),1,4)),VALUE(MID(TRIM(N419&amp;" "&amp;O419),6,2)),VALUE(MID(TRIM(N419&amp;" "&amp;O419),9,2))),IF(ISNUMBER(H419),H419,"")),"")</f>
        <v/>
      </c>
      <c r="AC419" s="11">
        <f>IF(ISNUMBER(SEARCH("다기관",TRIM(N419&amp;" "&amp;O419))),IFERROR(DATE(VALUE(MID(TRIM(N419&amp;" "&amp;O419),12,4)),VALUE(MID(TRIM(N419&amp;" "&amp;O419),17,2)),VALUE(MID(TRIM(N419&amp;" "&amp;O419),20,2))),IF(ISNUMBER(I419),I419,"")),"")</f>
        <v/>
      </c>
      <c r="AD419" s="17">
        <f>IF(AND(ISNUMBER(AB419),ISNUMBER(AC419)),MAX(0,MIN(AC419,EOMONTH(출력_요약!$B$3,0))-MAX(AB419,출력_요약!$B$3)+1),0)</f>
        <v/>
      </c>
      <c r="AE419" s="10">
        <f>IF(AND(Q419&lt;&gt;"",ISNUMBER(AB419)),Q419&amp;"|다기관","")</f>
        <v/>
      </c>
    </row>
    <row r="420">
      <c r="A420" s="15">
        <f>IF(F420="","",ROW()-3)</f>
        <v/>
      </c>
      <c r="B420" s="5" t="n"/>
      <c r="C420" s="15" t="n"/>
      <c r="D420" s="5" t="n"/>
      <c r="E420" s="15" t="n"/>
      <c r="F420" s="5" t="n"/>
      <c r="G420" s="6" t="n"/>
      <c r="H420" s="16" t="n"/>
      <c r="I420" s="16" t="n"/>
      <c r="J420" s="15">
        <f>IF(AND(ISNUMBER(H420),ISNUMBER(I420)),I420-H420+1,"")</f>
        <v/>
      </c>
      <c r="K420" s="5" t="n"/>
      <c r="L420" s="5" t="n"/>
      <c r="M420" s="5" t="n"/>
      <c r="N420" s="5" t="n"/>
      <c r="O420" s="5" t="n"/>
      <c r="Q420" s="10">
        <f>IF(TRIM(G420&amp;"")="","",TRIM(G420&amp;""))</f>
        <v/>
      </c>
      <c r="R420" s="10">
        <f>IF(TRIM(B420&amp;"")="","",IFERROR(INDEX(설정_코드표!$K$2:$K$101,MATCH(TRIM(B420&amp;""),설정_코드표!$J$2:$J$101,0)),"⚠"&amp;TRIM(B420&amp;"")))</f>
        <v/>
      </c>
      <c r="S420" s="10">
        <f>IF(TRIM(K420&amp;"")="","",IFERROR(INDEX(설정_코드표!$K$2:$K$101,MATCH(TRIM(K420&amp;""),설정_코드표!$J$2:$J$101,0)),"⚠"&amp;TRIM(K420&amp;"")))</f>
        <v/>
      </c>
      <c r="T420" s="10">
        <f>IF(TRIM(M420&amp;"")="","",IF(ISNUMBER(MATCH(TRIM(M420&amp;""),설정_코드표!$C$2:$C$11,0)),TRIM(M420&amp;""),"⚠"&amp;TRIM(M420&amp;"")))</f>
        <v/>
      </c>
      <c r="U420" s="10">
        <f>IF(TRIM(L420&amp;"")="","",IFERROR(INDEX(설정_코드표!$G$2:$G$101,MATCH(TRIM(L420&amp;""),설정_코드표!$F$2:$F$101,0)),"⚠"&amp;TRIM(L420&amp;"")))</f>
        <v/>
      </c>
      <c r="V420" s="10">
        <f>IF(AND(ISNUMBER(H420),ISNUMBER(I420)),I420-H420+1,"")</f>
        <v/>
      </c>
      <c r="W420" s="17">
        <f>IF(ISNUMBER(H420),MAX(0,MIN(IF(ISNUMBER(I420),I420,EOMONTH(출력_요약!$B$3,0)),EOMONTH(출력_요약!$B$3,0))-MAX(H420,출력_요약!$B$3)+1),0)</f>
        <v/>
      </c>
      <c r="X420" s="10">
        <f>IF(OR(NOT(ISNUMBER(H420)),Q420=""),"",IF(TODAY()&lt;H420,"파견예정",IF(AND(ISNUMBER(I420),TODAY()&gt;I420),"파견종료","파견중")))</f>
        <v/>
      </c>
      <c r="Y420" s="10">
        <f>IF(OR(Q420="",X420=""),"",Q420&amp;"|"&amp;X420)</f>
        <v/>
      </c>
      <c r="Z420" s="10">
        <f>IF(AND(Q420&lt;&gt;"",W420&gt;0),Q420&amp;"|월","")</f>
        <v/>
      </c>
      <c r="AA420" s="10">
        <f>IF(COUNTA(B420:I420,K420:N420)=0,"",IF(Q420="","등록번호 없음",IF(LEFT(R420,1)="⚠","모병원명 미등록",IF(S420="","파견병원 입력",IF(LEFT(S420,1)="⚠","파견병원명 미등록",IF(LEFT(U420,1)="⚠","파견과목 미등록",IF(OR(T420="",LEFT(T420,1)="⚠"),"파견근거 확인",IF(NOT(AND(ISNUMBER(H420),ISNUMBER(I420))),"날짜 형식/누락",IF(I420&lt;H420,"종료일&lt;시작일","")))))))))</f>
        <v/>
      </c>
      <c r="AB420" s="11">
        <f>IF(ISNUMBER(SEARCH("다기관",TRIM(N420&amp;" "&amp;O420))),IFERROR(DATE(VALUE(MID(TRIM(N420&amp;" "&amp;O420),1,4)),VALUE(MID(TRIM(N420&amp;" "&amp;O420),6,2)),VALUE(MID(TRIM(N420&amp;" "&amp;O420),9,2))),IF(ISNUMBER(H420),H420,"")),"")</f>
        <v/>
      </c>
      <c r="AC420" s="11">
        <f>IF(ISNUMBER(SEARCH("다기관",TRIM(N420&amp;" "&amp;O420))),IFERROR(DATE(VALUE(MID(TRIM(N420&amp;" "&amp;O420),12,4)),VALUE(MID(TRIM(N420&amp;" "&amp;O420),17,2)),VALUE(MID(TRIM(N420&amp;" "&amp;O420),20,2))),IF(ISNUMBER(I420),I420,"")),"")</f>
        <v/>
      </c>
      <c r="AD420" s="17">
        <f>IF(AND(ISNUMBER(AB420),ISNUMBER(AC420)),MAX(0,MIN(AC420,EOMONTH(출력_요약!$B$3,0))-MAX(AB420,출력_요약!$B$3)+1),0)</f>
        <v/>
      </c>
      <c r="AE420" s="10">
        <f>IF(AND(Q420&lt;&gt;"",ISNUMBER(AB420)),Q420&amp;"|다기관","")</f>
        <v/>
      </c>
    </row>
    <row r="421">
      <c r="A421" s="15">
        <f>IF(F421="","",ROW()-3)</f>
        <v/>
      </c>
      <c r="B421" s="5" t="n"/>
      <c r="C421" s="15" t="n"/>
      <c r="D421" s="5" t="n"/>
      <c r="E421" s="15" t="n"/>
      <c r="F421" s="5" t="n"/>
      <c r="G421" s="6" t="n"/>
      <c r="H421" s="16" t="n"/>
      <c r="I421" s="16" t="n"/>
      <c r="J421" s="15">
        <f>IF(AND(ISNUMBER(H421),ISNUMBER(I421)),I421-H421+1,"")</f>
        <v/>
      </c>
      <c r="K421" s="5" t="n"/>
      <c r="L421" s="5" t="n"/>
      <c r="M421" s="5" t="n"/>
      <c r="N421" s="5" t="n"/>
      <c r="O421" s="5" t="n"/>
      <c r="Q421" s="10">
        <f>IF(TRIM(G421&amp;"")="","",TRIM(G421&amp;""))</f>
        <v/>
      </c>
      <c r="R421" s="10">
        <f>IF(TRIM(B421&amp;"")="","",IFERROR(INDEX(설정_코드표!$K$2:$K$101,MATCH(TRIM(B421&amp;""),설정_코드표!$J$2:$J$101,0)),"⚠"&amp;TRIM(B421&amp;"")))</f>
        <v/>
      </c>
      <c r="S421" s="10">
        <f>IF(TRIM(K421&amp;"")="","",IFERROR(INDEX(설정_코드표!$K$2:$K$101,MATCH(TRIM(K421&amp;""),설정_코드표!$J$2:$J$101,0)),"⚠"&amp;TRIM(K421&amp;"")))</f>
        <v/>
      </c>
      <c r="T421" s="10">
        <f>IF(TRIM(M421&amp;"")="","",IF(ISNUMBER(MATCH(TRIM(M421&amp;""),설정_코드표!$C$2:$C$11,0)),TRIM(M421&amp;""),"⚠"&amp;TRIM(M421&amp;"")))</f>
        <v/>
      </c>
      <c r="U421" s="10">
        <f>IF(TRIM(L421&amp;"")="","",IFERROR(INDEX(설정_코드표!$G$2:$G$101,MATCH(TRIM(L421&amp;""),설정_코드표!$F$2:$F$101,0)),"⚠"&amp;TRIM(L421&amp;"")))</f>
        <v/>
      </c>
      <c r="V421" s="10">
        <f>IF(AND(ISNUMBER(H421),ISNUMBER(I421)),I421-H421+1,"")</f>
        <v/>
      </c>
      <c r="W421" s="17">
        <f>IF(ISNUMBER(H421),MAX(0,MIN(IF(ISNUMBER(I421),I421,EOMONTH(출력_요약!$B$3,0)),EOMONTH(출력_요약!$B$3,0))-MAX(H421,출력_요약!$B$3)+1),0)</f>
        <v/>
      </c>
      <c r="X421" s="10">
        <f>IF(OR(NOT(ISNUMBER(H421)),Q421=""),"",IF(TODAY()&lt;H421,"파견예정",IF(AND(ISNUMBER(I421),TODAY()&gt;I421),"파견종료","파견중")))</f>
        <v/>
      </c>
      <c r="Y421" s="10">
        <f>IF(OR(Q421="",X421=""),"",Q421&amp;"|"&amp;X421)</f>
        <v/>
      </c>
      <c r="Z421" s="10">
        <f>IF(AND(Q421&lt;&gt;"",W421&gt;0),Q421&amp;"|월","")</f>
        <v/>
      </c>
      <c r="AA421" s="10">
        <f>IF(COUNTA(B421:I421,K421:N421)=0,"",IF(Q421="","등록번호 없음",IF(LEFT(R421,1)="⚠","모병원명 미등록",IF(S421="","파견병원 입력",IF(LEFT(S421,1)="⚠","파견병원명 미등록",IF(LEFT(U421,1)="⚠","파견과목 미등록",IF(OR(T421="",LEFT(T421,1)="⚠"),"파견근거 확인",IF(NOT(AND(ISNUMBER(H421),ISNUMBER(I421))),"날짜 형식/누락",IF(I421&lt;H421,"종료일&lt;시작일","")))))))))</f>
        <v/>
      </c>
      <c r="AB421" s="11">
        <f>IF(ISNUMBER(SEARCH("다기관",TRIM(N421&amp;" "&amp;O421))),IFERROR(DATE(VALUE(MID(TRIM(N421&amp;" "&amp;O421),1,4)),VALUE(MID(TRIM(N421&amp;" "&amp;O421),6,2)),VALUE(MID(TRIM(N421&amp;" "&amp;O421),9,2))),IF(ISNUMBER(H421),H421,"")),"")</f>
        <v/>
      </c>
      <c r="AC421" s="11">
        <f>IF(ISNUMBER(SEARCH("다기관",TRIM(N421&amp;" "&amp;O421))),IFERROR(DATE(VALUE(MID(TRIM(N421&amp;" "&amp;O421),12,4)),VALUE(MID(TRIM(N421&amp;" "&amp;O421),17,2)),VALUE(MID(TRIM(N421&amp;" "&amp;O421),20,2))),IF(ISNUMBER(I421),I421,"")),"")</f>
        <v/>
      </c>
      <c r="AD421" s="17">
        <f>IF(AND(ISNUMBER(AB421),ISNUMBER(AC421)),MAX(0,MIN(AC421,EOMONTH(출력_요약!$B$3,0))-MAX(AB421,출력_요약!$B$3)+1),0)</f>
        <v/>
      </c>
      <c r="AE421" s="10">
        <f>IF(AND(Q421&lt;&gt;"",ISNUMBER(AB421)),Q421&amp;"|다기관","")</f>
        <v/>
      </c>
    </row>
    <row r="422">
      <c r="A422" s="15">
        <f>IF(F422="","",ROW()-3)</f>
        <v/>
      </c>
      <c r="B422" s="5" t="n"/>
      <c r="C422" s="15" t="n"/>
      <c r="D422" s="5" t="n"/>
      <c r="E422" s="15" t="n"/>
      <c r="F422" s="5" t="n"/>
      <c r="G422" s="6" t="n"/>
      <c r="H422" s="16" t="n"/>
      <c r="I422" s="16" t="n"/>
      <c r="J422" s="15">
        <f>IF(AND(ISNUMBER(H422),ISNUMBER(I422)),I422-H422+1,"")</f>
        <v/>
      </c>
      <c r="K422" s="5" t="n"/>
      <c r="L422" s="5" t="n"/>
      <c r="M422" s="5" t="n"/>
      <c r="N422" s="5" t="n"/>
      <c r="O422" s="5" t="n"/>
      <c r="Q422" s="10">
        <f>IF(TRIM(G422&amp;"")="","",TRIM(G422&amp;""))</f>
        <v/>
      </c>
      <c r="R422" s="10">
        <f>IF(TRIM(B422&amp;"")="","",IFERROR(INDEX(설정_코드표!$K$2:$K$101,MATCH(TRIM(B422&amp;""),설정_코드표!$J$2:$J$101,0)),"⚠"&amp;TRIM(B422&amp;"")))</f>
        <v/>
      </c>
      <c r="S422" s="10">
        <f>IF(TRIM(K422&amp;"")="","",IFERROR(INDEX(설정_코드표!$K$2:$K$101,MATCH(TRIM(K422&amp;""),설정_코드표!$J$2:$J$101,0)),"⚠"&amp;TRIM(K422&amp;"")))</f>
        <v/>
      </c>
      <c r="T422" s="10">
        <f>IF(TRIM(M422&amp;"")="","",IF(ISNUMBER(MATCH(TRIM(M422&amp;""),설정_코드표!$C$2:$C$11,0)),TRIM(M422&amp;""),"⚠"&amp;TRIM(M422&amp;"")))</f>
        <v/>
      </c>
      <c r="U422" s="10">
        <f>IF(TRIM(L422&amp;"")="","",IFERROR(INDEX(설정_코드표!$G$2:$G$101,MATCH(TRIM(L422&amp;""),설정_코드표!$F$2:$F$101,0)),"⚠"&amp;TRIM(L422&amp;"")))</f>
        <v/>
      </c>
      <c r="V422" s="10">
        <f>IF(AND(ISNUMBER(H422),ISNUMBER(I422)),I422-H422+1,"")</f>
        <v/>
      </c>
      <c r="W422" s="17">
        <f>IF(ISNUMBER(H422),MAX(0,MIN(IF(ISNUMBER(I422),I422,EOMONTH(출력_요약!$B$3,0)),EOMONTH(출력_요약!$B$3,0))-MAX(H422,출력_요약!$B$3)+1),0)</f>
        <v/>
      </c>
      <c r="X422" s="10">
        <f>IF(OR(NOT(ISNUMBER(H422)),Q422=""),"",IF(TODAY()&lt;H422,"파견예정",IF(AND(ISNUMBER(I422),TODAY()&gt;I422),"파견종료","파견중")))</f>
        <v/>
      </c>
      <c r="Y422" s="10">
        <f>IF(OR(Q422="",X422=""),"",Q422&amp;"|"&amp;X422)</f>
        <v/>
      </c>
      <c r="Z422" s="10">
        <f>IF(AND(Q422&lt;&gt;"",W422&gt;0),Q422&amp;"|월","")</f>
        <v/>
      </c>
      <c r="AA422" s="10">
        <f>IF(COUNTA(B422:I422,K422:N422)=0,"",IF(Q422="","등록번호 없음",IF(LEFT(R422,1)="⚠","모병원명 미등록",IF(S422="","파견병원 입력",IF(LEFT(S422,1)="⚠","파견병원명 미등록",IF(LEFT(U422,1)="⚠","파견과목 미등록",IF(OR(T422="",LEFT(T422,1)="⚠"),"파견근거 확인",IF(NOT(AND(ISNUMBER(H422),ISNUMBER(I422))),"날짜 형식/누락",IF(I422&lt;H422,"종료일&lt;시작일","")))))))))</f>
        <v/>
      </c>
      <c r="AB422" s="11">
        <f>IF(ISNUMBER(SEARCH("다기관",TRIM(N422&amp;" "&amp;O422))),IFERROR(DATE(VALUE(MID(TRIM(N422&amp;" "&amp;O422),1,4)),VALUE(MID(TRIM(N422&amp;" "&amp;O422),6,2)),VALUE(MID(TRIM(N422&amp;" "&amp;O422),9,2))),IF(ISNUMBER(H422),H422,"")),"")</f>
        <v/>
      </c>
      <c r="AC422" s="11">
        <f>IF(ISNUMBER(SEARCH("다기관",TRIM(N422&amp;" "&amp;O422))),IFERROR(DATE(VALUE(MID(TRIM(N422&amp;" "&amp;O422),12,4)),VALUE(MID(TRIM(N422&amp;" "&amp;O422),17,2)),VALUE(MID(TRIM(N422&amp;" "&amp;O422),20,2))),IF(ISNUMBER(I422),I422,"")),"")</f>
        <v/>
      </c>
      <c r="AD422" s="17">
        <f>IF(AND(ISNUMBER(AB422),ISNUMBER(AC422)),MAX(0,MIN(AC422,EOMONTH(출력_요약!$B$3,0))-MAX(AB422,출력_요약!$B$3)+1),0)</f>
        <v/>
      </c>
      <c r="AE422" s="10">
        <f>IF(AND(Q422&lt;&gt;"",ISNUMBER(AB422)),Q422&amp;"|다기관","")</f>
        <v/>
      </c>
    </row>
    <row r="423">
      <c r="A423" s="15">
        <f>IF(F423="","",ROW()-3)</f>
        <v/>
      </c>
      <c r="B423" s="5" t="n"/>
      <c r="C423" s="15" t="n"/>
      <c r="D423" s="5" t="n"/>
      <c r="E423" s="15" t="n"/>
      <c r="F423" s="5" t="n"/>
      <c r="G423" s="6" t="n"/>
      <c r="H423" s="16" t="n"/>
      <c r="I423" s="16" t="n"/>
      <c r="J423" s="15">
        <f>IF(AND(ISNUMBER(H423),ISNUMBER(I423)),I423-H423+1,"")</f>
        <v/>
      </c>
      <c r="K423" s="5" t="n"/>
      <c r="L423" s="5" t="n"/>
      <c r="M423" s="5" t="n"/>
      <c r="N423" s="5" t="n"/>
      <c r="O423" s="5" t="n"/>
      <c r="Q423" s="10">
        <f>IF(TRIM(G423&amp;"")="","",TRIM(G423&amp;""))</f>
        <v/>
      </c>
      <c r="R423" s="10">
        <f>IF(TRIM(B423&amp;"")="","",IFERROR(INDEX(설정_코드표!$K$2:$K$101,MATCH(TRIM(B423&amp;""),설정_코드표!$J$2:$J$101,0)),"⚠"&amp;TRIM(B423&amp;"")))</f>
        <v/>
      </c>
      <c r="S423" s="10">
        <f>IF(TRIM(K423&amp;"")="","",IFERROR(INDEX(설정_코드표!$K$2:$K$101,MATCH(TRIM(K423&amp;""),설정_코드표!$J$2:$J$101,0)),"⚠"&amp;TRIM(K423&amp;"")))</f>
        <v/>
      </c>
      <c r="T423" s="10">
        <f>IF(TRIM(M423&amp;"")="","",IF(ISNUMBER(MATCH(TRIM(M423&amp;""),설정_코드표!$C$2:$C$11,0)),TRIM(M423&amp;""),"⚠"&amp;TRIM(M423&amp;"")))</f>
        <v/>
      </c>
      <c r="U423" s="10">
        <f>IF(TRIM(L423&amp;"")="","",IFERROR(INDEX(설정_코드표!$G$2:$G$101,MATCH(TRIM(L423&amp;""),설정_코드표!$F$2:$F$101,0)),"⚠"&amp;TRIM(L423&amp;"")))</f>
        <v/>
      </c>
      <c r="V423" s="10">
        <f>IF(AND(ISNUMBER(H423),ISNUMBER(I423)),I423-H423+1,"")</f>
        <v/>
      </c>
      <c r="W423" s="17">
        <f>IF(ISNUMBER(H423),MAX(0,MIN(IF(ISNUMBER(I423),I423,EOMONTH(출력_요약!$B$3,0)),EOMONTH(출력_요약!$B$3,0))-MAX(H423,출력_요약!$B$3)+1),0)</f>
        <v/>
      </c>
      <c r="X423" s="10">
        <f>IF(OR(NOT(ISNUMBER(H423)),Q423=""),"",IF(TODAY()&lt;H423,"파견예정",IF(AND(ISNUMBER(I423),TODAY()&gt;I423),"파견종료","파견중")))</f>
        <v/>
      </c>
      <c r="Y423" s="10">
        <f>IF(OR(Q423="",X423=""),"",Q423&amp;"|"&amp;X423)</f>
        <v/>
      </c>
      <c r="Z423" s="10">
        <f>IF(AND(Q423&lt;&gt;"",W423&gt;0),Q423&amp;"|월","")</f>
        <v/>
      </c>
      <c r="AA423" s="10">
        <f>IF(COUNTA(B423:I423,K423:N423)=0,"",IF(Q423="","등록번호 없음",IF(LEFT(R423,1)="⚠","모병원명 미등록",IF(S423="","파견병원 입력",IF(LEFT(S423,1)="⚠","파견병원명 미등록",IF(LEFT(U423,1)="⚠","파견과목 미등록",IF(OR(T423="",LEFT(T423,1)="⚠"),"파견근거 확인",IF(NOT(AND(ISNUMBER(H423),ISNUMBER(I423))),"날짜 형식/누락",IF(I423&lt;H423,"종료일&lt;시작일","")))))))))</f>
        <v/>
      </c>
      <c r="AB423" s="11">
        <f>IF(ISNUMBER(SEARCH("다기관",TRIM(N423&amp;" "&amp;O423))),IFERROR(DATE(VALUE(MID(TRIM(N423&amp;" "&amp;O423),1,4)),VALUE(MID(TRIM(N423&amp;" "&amp;O423),6,2)),VALUE(MID(TRIM(N423&amp;" "&amp;O423),9,2))),IF(ISNUMBER(H423),H423,"")),"")</f>
        <v/>
      </c>
      <c r="AC423" s="11">
        <f>IF(ISNUMBER(SEARCH("다기관",TRIM(N423&amp;" "&amp;O423))),IFERROR(DATE(VALUE(MID(TRIM(N423&amp;" "&amp;O423),12,4)),VALUE(MID(TRIM(N423&amp;" "&amp;O423),17,2)),VALUE(MID(TRIM(N423&amp;" "&amp;O423),20,2))),IF(ISNUMBER(I423),I423,"")),"")</f>
        <v/>
      </c>
      <c r="AD423" s="17">
        <f>IF(AND(ISNUMBER(AB423),ISNUMBER(AC423)),MAX(0,MIN(AC423,EOMONTH(출력_요약!$B$3,0))-MAX(AB423,출력_요약!$B$3)+1),0)</f>
        <v/>
      </c>
      <c r="AE423" s="10">
        <f>IF(AND(Q423&lt;&gt;"",ISNUMBER(AB423)),Q423&amp;"|다기관","")</f>
        <v/>
      </c>
    </row>
    <row r="424">
      <c r="A424" s="15">
        <f>IF(F424="","",ROW()-3)</f>
        <v/>
      </c>
      <c r="B424" s="5" t="n"/>
      <c r="C424" s="15" t="n"/>
      <c r="D424" s="5" t="n"/>
      <c r="E424" s="15" t="n"/>
      <c r="F424" s="5" t="n"/>
      <c r="G424" s="6" t="n"/>
      <c r="H424" s="16" t="n"/>
      <c r="I424" s="16" t="n"/>
      <c r="J424" s="15">
        <f>IF(AND(ISNUMBER(H424),ISNUMBER(I424)),I424-H424+1,"")</f>
        <v/>
      </c>
      <c r="K424" s="5" t="n"/>
      <c r="L424" s="5" t="n"/>
      <c r="M424" s="5" t="n"/>
      <c r="N424" s="5" t="n"/>
      <c r="O424" s="5" t="n"/>
      <c r="Q424" s="10">
        <f>IF(TRIM(G424&amp;"")="","",TRIM(G424&amp;""))</f>
        <v/>
      </c>
      <c r="R424" s="10">
        <f>IF(TRIM(B424&amp;"")="","",IFERROR(INDEX(설정_코드표!$K$2:$K$101,MATCH(TRIM(B424&amp;""),설정_코드표!$J$2:$J$101,0)),"⚠"&amp;TRIM(B424&amp;"")))</f>
        <v/>
      </c>
      <c r="S424" s="10">
        <f>IF(TRIM(K424&amp;"")="","",IFERROR(INDEX(설정_코드표!$K$2:$K$101,MATCH(TRIM(K424&amp;""),설정_코드표!$J$2:$J$101,0)),"⚠"&amp;TRIM(K424&amp;"")))</f>
        <v/>
      </c>
      <c r="T424" s="10">
        <f>IF(TRIM(M424&amp;"")="","",IF(ISNUMBER(MATCH(TRIM(M424&amp;""),설정_코드표!$C$2:$C$11,0)),TRIM(M424&amp;""),"⚠"&amp;TRIM(M424&amp;"")))</f>
        <v/>
      </c>
      <c r="U424" s="10">
        <f>IF(TRIM(L424&amp;"")="","",IFERROR(INDEX(설정_코드표!$G$2:$G$101,MATCH(TRIM(L424&amp;""),설정_코드표!$F$2:$F$101,0)),"⚠"&amp;TRIM(L424&amp;"")))</f>
        <v/>
      </c>
      <c r="V424" s="10">
        <f>IF(AND(ISNUMBER(H424),ISNUMBER(I424)),I424-H424+1,"")</f>
        <v/>
      </c>
      <c r="W424" s="17">
        <f>IF(ISNUMBER(H424),MAX(0,MIN(IF(ISNUMBER(I424),I424,EOMONTH(출력_요약!$B$3,0)),EOMONTH(출력_요약!$B$3,0))-MAX(H424,출력_요약!$B$3)+1),0)</f>
        <v/>
      </c>
      <c r="X424" s="10">
        <f>IF(OR(NOT(ISNUMBER(H424)),Q424=""),"",IF(TODAY()&lt;H424,"파견예정",IF(AND(ISNUMBER(I424),TODAY()&gt;I424),"파견종료","파견중")))</f>
        <v/>
      </c>
      <c r="Y424" s="10">
        <f>IF(OR(Q424="",X424=""),"",Q424&amp;"|"&amp;X424)</f>
        <v/>
      </c>
      <c r="Z424" s="10">
        <f>IF(AND(Q424&lt;&gt;"",W424&gt;0),Q424&amp;"|월","")</f>
        <v/>
      </c>
      <c r="AA424" s="10">
        <f>IF(COUNTA(B424:I424,K424:N424)=0,"",IF(Q424="","등록번호 없음",IF(LEFT(R424,1)="⚠","모병원명 미등록",IF(S424="","파견병원 입력",IF(LEFT(S424,1)="⚠","파견병원명 미등록",IF(LEFT(U424,1)="⚠","파견과목 미등록",IF(OR(T424="",LEFT(T424,1)="⚠"),"파견근거 확인",IF(NOT(AND(ISNUMBER(H424),ISNUMBER(I424))),"날짜 형식/누락",IF(I424&lt;H424,"종료일&lt;시작일","")))))))))</f>
        <v/>
      </c>
      <c r="AB424" s="11">
        <f>IF(ISNUMBER(SEARCH("다기관",TRIM(N424&amp;" "&amp;O424))),IFERROR(DATE(VALUE(MID(TRIM(N424&amp;" "&amp;O424),1,4)),VALUE(MID(TRIM(N424&amp;" "&amp;O424),6,2)),VALUE(MID(TRIM(N424&amp;" "&amp;O424),9,2))),IF(ISNUMBER(H424),H424,"")),"")</f>
        <v/>
      </c>
      <c r="AC424" s="11">
        <f>IF(ISNUMBER(SEARCH("다기관",TRIM(N424&amp;" "&amp;O424))),IFERROR(DATE(VALUE(MID(TRIM(N424&amp;" "&amp;O424),12,4)),VALUE(MID(TRIM(N424&amp;" "&amp;O424),17,2)),VALUE(MID(TRIM(N424&amp;" "&amp;O424),20,2))),IF(ISNUMBER(I424),I424,"")),"")</f>
        <v/>
      </c>
      <c r="AD424" s="17">
        <f>IF(AND(ISNUMBER(AB424),ISNUMBER(AC424)),MAX(0,MIN(AC424,EOMONTH(출력_요약!$B$3,0))-MAX(AB424,출력_요약!$B$3)+1),0)</f>
        <v/>
      </c>
      <c r="AE424" s="10">
        <f>IF(AND(Q424&lt;&gt;"",ISNUMBER(AB424)),Q424&amp;"|다기관","")</f>
        <v/>
      </c>
    </row>
    <row r="425">
      <c r="A425" s="15">
        <f>IF(F425="","",ROW()-3)</f>
        <v/>
      </c>
      <c r="B425" s="5" t="n"/>
      <c r="C425" s="15" t="n"/>
      <c r="D425" s="5" t="n"/>
      <c r="E425" s="15" t="n"/>
      <c r="F425" s="5" t="n"/>
      <c r="G425" s="6" t="n"/>
      <c r="H425" s="16" t="n"/>
      <c r="I425" s="16" t="n"/>
      <c r="J425" s="15">
        <f>IF(AND(ISNUMBER(H425),ISNUMBER(I425)),I425-H425+1,"")</f>
        <v/>
      </c>
      <c r="K425" s="5" t="n"/>
      <c r="L425" s="5" t="n"/>
      <c r="M425" s="5" t="n"/>
      <c r="N425" s="5" t="n"/>
      <c r="O425" s="5" t="n"/>
      <c r="Q425" s="10">
        <f>IF(TRIM(G425&amp;"")="","",TRIM(G425&amp;""))</f>
        <v/>
      </c>
      <c r="R425" s="10">
        <f>IF(TRIM(B425&amp;"")="","",IFERROR(INDEX(설정_코드표!$K$2:$K$101,MATCH(TRIM(B425&amp;""),설정_코드표!$J$2:$J$101,0)),"⚠"&amp;TRIM(B425&amp;"")))</f>
        <v/>
      </c>
      <c r="S425" s="10">
        <f>IF(TRIM(K425&amp;"")="","",IFERROR(INDEX(설정_코드표!$K$2:$K$101,MATCH(TRIM(K425&amp;""),설정_코드표!$J$2:$J$101,0)),"⚠"&amp;TRIM(K425&amp;"")))</f>
        <v/>
      </c>
      <c r="T425" s="10">
        <f>IF(TRIM(M425&amp;"")="","",IF(ISNUMBER(MATCH(TRIM(M425&amp;""),설정_코드표!$C$2:$C$11,0)),TRIM(M425&amp;""),"⚠"&amp;TRIM(M425&amp;"")))</f>
        <v/>
      </c>
      <c r="U425" s="10">
        <f>IF(TRIM(L425&amp;"")="","",IFERROR(INDEX(설정_코드표!$G$2:$G$101,MATCH(TRIM(L425&amp;""),설정_코드표!$F$2:$F$101,0)),"⚠"&amp;TRIM(L425&amp;"")))</f>
        <v/>
      </c>
      <c r="V425" s="10">
        <f>IF(AND(ISNUMBER(H425),ISNUMBER(I425)),I425-H425+1,"")</f>
        <v/>
      </c>
      <c r="W425" s="17">
        <f>IF(ISNUMBER(H425),MAX(0,MIN(IF(ISNUMBER(I425),I425,EOMONTH(출력_요약!$B$3,0)),EOMONTH(출력_요약!$B$3,0))-MAX(H425,출력_요약!$B$3)+1),0)</f>
        <v/>
      </c>
      <c r="X425" s="10">
        <f>IF(OR(NOT(ISNUMBER(H425)),Q425=""),"",IF(TODAY()&lt;H425,"파견예정",IF(AND(ISNUMBER(I425),TODAY()&gt;I425),"파견종료","파견중")))</f>
        <v/>
      </c>
      <c r="Y425" s="10">
        <f>IF(OR(Q425="",X425=""),"",Q425&amp;"|"&amp;X425)</f>
        <v/>
      </c>
      <c r="Z425" s="10">
        <f>IF(AND(Q425&lt;&gt;"",W425&gt;0),Q425&amp;"|월","")</f>
        <v/>
      </c>
      <c r="AA425" s="10">
        <f>IF(COUNTA(B425:I425,K425:N425)=0,"",IF(Q425="","등록번호 없음",IF(LEFT(R425,1)="⚠","모병원명 미등록",IF(S425="","파견병원 입력",IF(LEFT(S425,1)="⚠","파견병원명 미등록",IF(LEFT(U425,1)="⚠","파견과목 미등록",IF(OR(T425="",LEFT(T425,1)="⚠"),"파견근거 확인",IF(NOT(AND(ISNUMBER(H425),ISNUMBER(I425))),"날짜 형식/누락",IF(I425&lt;H425,"종료일&lt;시작일","")))))))))</f>
        <v/>
      </c>
      <c r="AB425" s="11">
        <f>IF(ISNUMBER(SEARCH("다기관",TRIM(N425&amp;" "&amp;O425))),IFERROR(DATE(VALUE(MID(TRIM(N425&amp;" "&amp;O425),1,4)),VALUE(MID(TRIM(N425&amp;" "&amp;O425),6,2)),VALUE(MID(TRIM(N425&amp;" "&amp;O425),9,2))),IF(ISNUMBER(H425),H425,"")),"")</f>
        <v/>
      </c>
      <c r="AC425" s="11">
        <f>IF(ISNUMBER(SEARCH("다기관",TRIM(N425&amp;" "&amp;O425))),IFERROR(DATE(VALUE(MID(TRIM(N425&amp;" "&amp;O425),12,4)),VALUE(MID(TRIM(N425&amp;" "&amp;O425),17,2)),VALUE(MID(TRIM(N425&amp;" "&amp;O425),20,2))),IF(ISNUMBER(I425),I425,"")),"")</f>
        <v/>
      </c>
      <c r="AD425" s="17">
        <f>IF(AND(ISNUMBER(AB425),ISNUMBER(AC425)),MAX(0,MIN(AC425,EOMONTH(출력_요약!$B$3,0))-MAX(AB425,출력_요약!$B$3)+1),0)</f>
        <v/>
      </c>
      <c r="AE425" s="10">
        <f>IF(AND(Q425&lt;&gt;"",ISNUMBER(AB425)),Q425&amp;"|다기관","")</f>
        <v/>
      </c>
    </row>
    <row r="426">
      <c r="A426" s="15">
        <f>IF(F426="","",ROW()-3)</f>
        <v/>
      </c>
      <c r="B426" s="5" t="n"/>
      <c r="C426" s="15" t="n"/>
      <c r="D426" s="5" t="n"/>
      <c r="E426" s="15" t="n"/>
      <c r="F426" s="5" t="n"/>
      <c r="G426" s="6" t="n"/>
      <c r="H426" s="16" t="n"/>
      <c r="I426" s="16" t="n"/>
      <c r="J426" s="15">
        <f>IF(AND(ISNUMBER(H426),ISNUMBER(I426)),I426-H426+1,"")</f>
        <v/>
      </c>
      <c r="K426" s="5" t="n"/>
      <c r="L426" s="5" t="n"/>
      <c r="M426" s="5" t="n"/>
      <c r="N426" s="5" t="n"/>
      <c r="O426" s="5" t="n"/>
      <c r="Q426" s="10">
        <f>IF(TRIM(G426&amp;"")="","",TRIM(G426&amp;""))</f>
        <v/>
      </c>
      <c r="R426" s="10">
        <f>IF(TRIM(B426&amp;"")="","",IFERROR(INDEX(설정_코드표!$K$2:$K$101,MATCH(TRIM(B426&amp;""),설정_코드표!$J$2:$J$101,0)),"⚠"&amp;TRIM(B426&amp;"")))</f>
        <v/>
      </c>
      <c r="S426" s="10">
        <f>IF(TRIM(K426&amp;"")="","",IFERROR(INDEX(설정_코드표!$K$2:$K$101,MATCH(TRIM(K426&amp;""),설정_코드표!$J$2:$J$101,0)),"⚠"&amp;TRIM(K426&amp;"")))</f>
        <v/>
      </c>
      <c r="T426" s="10">
        <f>IF(TRIM(M426&amp;"")="","",IF(ISNUMBER(MATCH(TRIM(M426&amp;""),설정_코드표!$C$2:$C$11,0)),TRIM(M426&amp;""),"⚠"&amp;TRIM(M426&amp;"")))</f>
        <v/>
      </c>
      <c r="U426" s="10">
        <f>IF(TRIM(L426&amp;"")="","",IFERROR(INDEX(설정_코드표!$G$2:$G$101,MATCH(TRIM(L426&amp;""),설정_코드표!$F$2:$F$101,0)),"⚠"&amp;TRIM(L426&amp;"")))</f>
        <v/>
      </c>
      <c r="V426" s="10">
        <f>IF(AND(ISNUMBER(H426),ISNUMBER(I426)),I426-H426+1,"")</f>
        <v/>
      </c>
      <c r="W426" s="17">
        <f>IF(ISNUMBER(H426),MAX(0,MIN(IF(ISNUMBER(I426),I426,EOMONTH(출력_요약!$B$3,0)),EOMONTH(출력_요약!$B$3,0))-MAX(H426,출력_요약!$B$3)+1),0)</f>
        <v/>
      </c>
      <c r="X426" s="10">
        <f>IF(OR(NOT(ISNUMBER(H426)),Q426=""),"",IF(TODAY()&lt;H426,"파견예정",IF(AND(ISNUMBER(I426),TODAY()&gt;I426),"파견종료","파견중")))</f>
        <v/>
      </c>
      <c r="Y426" s="10">
        <f>IF(OR(Q426="",X426=""),"",Q426&amp;"|"&amp;X426)</f>
        <v/>
      </c>
      <c r="Z426" s="10">
        <f>IF(AND(Q426&lt;&gt;"",W426&gt;0),Q426&amp;"|월","")</f>
        <v/>
      </c>
      <c r="AA426" s="10">
        <f>IF(COUNTA(B426:I426,K426:N426)=0,"",IF(Q426="","등록번호 없음",IF(LEFT(R426,1)="⚠","모병원명 미등록",IF(S426="","파견병원 입력",IF(LEFT(S426,1)="⚠","파견병원명 미등록",IF(LEFT(U426,1)="⚠","파견과목 미등록",IF(OR(T426="",LEFT(T426,1)="⚠"),"파견근거 확인",IF(NOT(AND(ISNUMBER(H426),ISNUMBER(I426))),"날짜 형식/누락",IF(I426&lt;H426,"종료일&lt;시작일","")))))))))</f>
        <v/>
      </c>
      <c r="AB426" s="11">
        <f>IF(ISNUMBER(SEARCH("다기관",TRIM(N426&amp;" "&amp;O426))),IFERROR(DATE(VALUE(MID(TRIM(N426&amp;" "&amp;O426),1,4)),VALUE(MID(TRIM(N426&amp;" "&amp;O426),6,2)),VALUE(MID(TRIM(N426&amp;" "&amp;O426),9,2))),IF(ISNUMBER(H426),H426,"")),"")</f>
        <v/>
      </c>
      <c r="AC426" s="11">
        <f>IF(ISNUMBER(SEARCH("다기관",TRIM(N426&amp;" "&amp;O426))),IFERROR(DATE(VALUE(MID(TRIM(N426&amp;" "&amp;O426),12,4)),VALUE(MID(TRIM(N426&amp;" "&amp;O426),17,2)),VALUE(MID(TRIM(N426&amp;" "&amp;O426),20,2))),IF(ISNUMBER(I426),I426,"")),"")</f>
        <v/>
      </c>
      <c r="AD426" s="17">
        <f>IF(AND(ISNUMBER(AB426),ISNUMBER(AC426)),MAX(0,MIN(AC426,EOMONTH(출력_요약!$B$3,0))-MAX(AB426,출력_요약!$B$3)+1),0)</f>
        <v/>
      </c>
      <c r="AE426" s="10">
        <f>IF(AND(Q426&lt;&gt;"",ISNUMBER(AB426)),Q426&amp;"|다기관","")</f>
        <v/>
      </c>
    </row>
    <row r="427">
      <c r="A427" s="15">
        <f>IF(F427="","",ROW()-3)</f>
        <v/>
      </c>
      <c r="B427" s="5" t="n"/>
      <c r="C427" s="15" t="n"/>
      <c r="D427" s="5" t="n"/>
      <c r="E427" s="15" t="n"/>
      <c r="F427" s="5" t="n"/>
      <c r="G427" s="6" t="n"/>
      <c r="H427" s="16" t="n"/>
      <c r="I427" s="16" t="n"/>
      <c r="J427" s="15">
        <f>IF(AND(ISNUMBER(H427),ISNUMBER(I427)),I427-H427+1,"")</f>
        <v/>
      </c>
      <c r="K427" s="5" t="n"/>
      <c r="L427" s="5" t="n"/>
      <c r="M427" s="5" t="n"/>
      <c r="N427" s="5" t="n"/>
      <c r="O427" s="5" t="n"/>
      <c r="Q427" s="10">
        <f>IF(TRIM(G427&amp;"")="","",TRIM(G427&amp;""))</f>
        <v/>
      </c>
      <c r="R427" s="10">
        <f>IF(TRIM(B427&amp;"")="","",IFERROR(INDEX(설정_코드표!$K$2:$K$101,MATCH(TRIM(B427&amp;""),설정_코드표!$J$2:$J$101,0)),"⚠"&amp;TRIM(B427&amp;"")))</f>
        <v/>
      </c>
      <c r="S427" s="10">
        <f>IF(TRIM(K427&amp;"")="","",IFERROR(INDEX(설정_코드표!$K$2:$K$101,MATCH(TRIM(K427&amp;""),설정_코드표!$J$2:$J$101,0)),"⚠"&amp;TRIM(K427&amp;"")))</f>
        <v/>
      </c>
      <c r="T427" s="10">
        <f>IF(TRIM(M427&amp;"")="","",IF(ISNUMBER(MATCH(TRIM(M427&amp;""),설정_코드표!$C$2:$C$11,0)),TRIM(M427&amp;""),"⚠"&amp;TRIM(M427&amp;"")))</f>
        <v/>
      </c>
      <c r="U427" s="10">
        <f>IF(TRIM(L427&amp;"")="","",IFERROR(INDEX(설정_코드표!$G$2:$G$101,MATCH(TRIM(L427&amp;""),설정_코드표!$F$2:$F$101,0)),"⚠"&amp;TRIM(L427&amp;"")))</f>
        <v/>
      </c>
      <c r="V427" s="10">
        <f>IF(AND(ISNUMBER(H427),ISNUMBER(I427)),I427-H427+1,"")</f>
        <v/>
      </c>
      <c r="W427" s="17">
        <f>IF(ISNUMBER(H427),MAX(0,MIN(IF(ISNUMBER(I427),I427,EOMONTH(출력_요약!$B$3,0)),EOMONTH(출력_요약!$B$3,0))-MAX(H427,출력_요약!$B$3)+1),0)</f>
        <v/>
      </c>
      <c r="X427" s="10">
        <f>IF(OR(NOT(ISNUMBER(H427)),Q427=""),"",IF(TODAY()&lt;H427,"파견예정",IF(AND(ISNUMBER(I427),TODAY()&gt;I427),"파견종료","파견중")))</f>
        <v/>
      </c>
      <c r="Y427" s="10">
        <f>IF(OR(Q427="",X427=""),"",Q427&amp;"|"&amp;X427)</f>
        <v/>
      </c>
      <c r="Z427" s="10">
        <f>IF(AND(Q427&lt;&gt;"",W427&gt;0),Q427&amp;"|월","")</f>
        <v/>
      </c>
      <c r="AA427" s="10">
        <f>IF(COUNTA(B427:I427,K427:N427)=0,"",IF(Q427="","등록번호 없음",IF(LEFT(R427,1)="⚠","모병원명 미등록",IF(S427="","파견병원 입력",IF(LEFT(S427,1)="⚠","파견병원명 미등록",IF(LEFT(U427,1)="⚠","파견과목 미등록",IF(OR(T427="",LEFT(T427,1)="⚠"),"파견근거 확인",IF(NOT(AND(ISNUMBER(H427),ISNUMBER(I427))),"날짜 형식/누락",IF(I427&lt;H427,"종료일&lt;시작일","")))))))))</f>
        <v/>
      </c>
      <c r="AB427" s="11">
        <f>IF(ISNUMBER(SEARCH("다기관",TRIM(N427&amp;" "&amp;O427))),IFERROR(DATE(VALUE(MID(TRIM(N427&amp;" "&amp;O427),1,4)),VALUE(MID(TRIM(N427&amp;" "&amp;O427),6,2)),VALUE(MID(TRIM(N427&amp;" "&amp;O427),9,2))),IF(ISNUMBER(H427),H427,"")),"")</f>
        <v/>
      </c>
      <c r="AC427" s="11">
        <f>IF(ISNUMBER(SEARCH("다기관",TRIM(N427&amp;" "&amp;O427))),IFERROR(DATE(VALUE(MID(TRIM(N427&amp;" "&amp;O427),12,4)),VALUE(MID(TRIM(N427&amp;" "&amp;O427),17,2)),VALUE(MID(TRIM(N427&amp;" "&amp;O427),20,2))),IF(ISNUMBER(I427),I427,"")),"")</f>
        <v/>
      </c>
      <c r="AD427" s="17">
        <f>IF(AND(ISNUMBER(AB427),ISNUMBER(AC427)),MAX(0,MIN(AC427,EOMONTH(출력_요약!$B$3,0))-MAX(AB427,출력_요약!$B$3)+1),0)</f>
        <v/>
      </c>
      <c r="AE427" s="10">
        <f>IF(AND(Q427&lt;&gt;"",ISNUMBER(AB427)),Q427&amp;"|다기관","")</f>
        <v/>
      </c>
    </row>
    <row r="428">
      <c r="A428" s="15">
        <f>IF(F428="","",ROW()-3)</f>
        <v/>
      </c>
      <c r="B428" s="5" t="n"/>
      <c r="C428" s="15" t="n"/>
      <c r="D428" s="5" t="n"/>
      <c r="E428" s="15" t="n"/>
      <c r="F428" s="5" t="n"/>
      <c r="G428" s="6" t="n"/>
      <c r="H428" s="16" t="n"/>
      <c r="I428" s="16" t="n"/>
      <c r="J428" s="15">
        <f>IF(AND(ISNUMBER(H428),ISNUMBER(I428)),I428-H428+1,"")</f>
        <v/>
      </c>
      <c r="K428" s="5" t="n"/>
      <c r="L428" s="5" t="n"/>
      <c r="M428" s="5" t="n"/>
      <c r="N428" s="5" t="n"/>
      <c r="O428" s="5" t="n"/>
      <c r="Q428" s="10">
        <f>IF(TRIM(G428&amp;"")="","",TRIM(G428&amp;""))</f>
        <v/>
      </c>
      <c r="R428" s="10">
        <f>IF(TRIM(B428&amp;"")="","",IFERROR(INDEX(설정_코드표!$K$2:$K$101,MATCH(TRIM(B428&amp;""),설정_코드표!$J$2:$J$101,0)),"⚠"&amp;TRIM(B428&amp;"")))</f>
        <v/>
      </c>
      <c r="S428" s="10">
        <f>IF(TRIM(K428&amp;"")="","",IFERROR(INDEX(설정_코드표!$K$2:$K$101,MATCH(TRIM(K428&amp;""),설정_코드표!$J$2:$J$101,0)),"⚠"&amp;TRIM(K428&amp;"")))</f>
        <v/>
      </c>
      <c r="T428" s="10">
        <f>IF(TRIM(M428&amp;"")="","",IF(ISNUMBER(MATCH(TRIM(M428&amp;""),설정_코드표!$C$2:$C$11,0)),TRIM(M428&amp;""),"⚠"&amp;TRIM(M428&amp;"")))</f>
        <v/>
      </c>
      <c r="U428" s="10">
        <f>IF(TRIM(L428&amp;"")="","",IFERROR(INDEX(설정_코드표!$G$2:$G$101,MATCH(TRIM(L428&amp;""),설정_코드표!$F$2:$F$101,0)),"⚠"&amp;TRIM(L428&amp;"")))</f>
        <v/>
      </c>
      <c r="V428" s="10">
        <f>IF(AND(ISNUMBER(H428),ISNUMBER(I428)),I428-H428+1,"")</f>
        <v/>
      </c>
      <c r="W428" s="17">
        <f>IF(ISNUMBER(H428),MAX(0,MIN(IF(ISNUMBER(I428),I428,EOMONTH(출력_요약!$B$3,0)),EOMONTH(출력_요약!$B$3,0))-MAX(H428,출력_요약!$B$3)+1),0)</f>
        <v/>
      </c>
      <c r="X428" s="10">
        <f>IF(OR(NOT(ISNUMBER(H428)),Q428=""),"",IF(TODAY()&lt;H428,"파견예정",IF(AND(ISNUMBER(I428),TODAY()&gt;I428),"파견종료","파견중")))</f>
        <v/>
      </c>
      <c r="Y428" s="10">
        <f>IF(OR(Q428="",X428=""),"",Q428&amp;"|"&amp;X428)</f>
        <v/>
      </c>
      <c r="Z428" s="10">
        <f>IF(AND(Q428&lt;&gt;"",W428&gt;0),Q428&amp;"|월","")</f>
        <v/>
      </c>
      <c r="AA428" s="10">
        <f>IF(COUNTA(B428:I428,K428:N428)=0,"",IF(Q428="","등록번호 없음",IF(LEFT(R428,1)="⚠","모병원명 미등록",IF(S428="","파견병원 입력",IF(LEFT(S428,1)="⚠","파견병원명 미등록",IF(LEFT(U428,1)="⚠","파견과목 미등록",IF(OR(T428="",LEFT(T428,1)="⚠"),"파견근거 확인",IF(NOT(AND(ISNUMBER(H428),ISNUMBER(I428))),"날짜 형식/누락",IF(I428&lt;H428,"종료일&lt;시작일","")))))))))</f>
        <v/>
      </c>
      <c r="AB428" s="11">
        <f>IF(ISNUMBER(SEARCH("다기관",TRIM(N428&amp;" "&amp;O428))),IFERROR(DATE(VALUE(MID(TRIM(N428&amp;" "&amp;O428),1,4)),VALUE(MID(TRIM(N428&amp;" "&amp;O428),6,2)),VALUE(MID(TRIM(N428&amp;" "&amp;O428),9,2))),IF(ISNUMBER(H428),H428,"")),"")</f>
        <v/>
      </c>
      <c r="AC428" s="11">
        <f>IF(ISNUMBER(SEARCH("다기관",TRIM(N428&amp;" "&amp;O428))),IFERROR(DATE(VALUE(MID(TRIM(N428&amp;" "&amp;O428),12,4)),VALUE(MID(TRIM(N428&amp;" "&amp;O428),17,2)),VALUE(MID(TRIM(N428&amp;" "&amp;O428),20,2))),IF(ISNUMBER(I428),I428,"")),"")</f>
        <v/>
      </c>
      <c r="AD428" s="17">
        <f>IF(AND(ISNUMBER(AB428),ISNUMBER(AC428)),MAX(0,MIN(AC428,EOMONTH(출력_요약!$B$3,0))-MAX(AB428,출력_요약!$B$3)+1),0)</f>
        <v/>
      </c>
      <c r="AE428" s="10">
        <f>IF(AND(Q428&lt;&gt;"",ISNUMBER(AB428)),Q428&amp;"|다기관","")</f>
        <v/>
      </c>
    </row>
    <row r="429">
      <c r="A429" s="15">
        <f>IF(F429="","",ROW()-3)</f>
        <v/>
      </c>
      <c r="B429" s="5" t="n"/>
      <c r="C429" s="15" t="n"/>
      <c r="D429" s="5" t="n"/>
      <c r="E429" s="15" t="n"/>
      <c r="F429" s="5" t="n"/>
      <c r="G429" s="6" t="n"/>
      <c r="H429" s="16" t="n"/>
      <c r="I429" s="16" t="n"/>
      <c r="J429" s="15">
        <f>IF(AND(ISNUMBER(H429),ISNUMBER(I429)),I429-H429+1,"")</f>
        <v/>
      </c>
      <c r="K429" s="5" t="n"/>
      <c r="L429" s="5" t="n"/>
      <c r="M429" s="5" t="n"/>
      <c r="N429" s="5" t="n"/>
      <c r="O429" s="5" t="n"/>
      <c r="Q429" s="10">
        <f>IF(TRIM(G429&amp;"")="","",TRIM(G429&amp;""))</f>
        <v/>
      </c>
      <c r="R429" s="10">
        <f>IF(TRIM(B429&amp;"")="","",IFERROR(INDEX(설정_코드표!$K$2:$K$101,MATCH(TRIM(B429&amp;""),설정_코드표!$J$2:$J$101,0)),"⚠"&amp;TRIM(B429&amp;"")))</f>
        <v/>
      </c>
      <c r="S429" s="10">
        <f>IF(TRIM(K429&amp;"")="","",IFERROR(INDEX(설정_코드표!$K$2:$K$101,MATCH(TRIM(K429&amp;""),설정_코드표!$J$2:$J$101,0)),"⚠"&amp;TRIM(K429&amp;"")))</f>
        <v/>
      </c>
      <c r="T429" s="10">
        <f>IF(TRIM(M429&amp;"")="","",IF(ISNUMBER(MATCH(TRIM(M429&amp;""),설정_코드표!$C$2:$C$11,0)),TRIM(M429&amp;""),"⚠"&amp;TRIM(M429&amp;"")))</f>
        <v/>
      </c>
      <c r="U429" s="10">
        <f>IF(TRIM(L429&amp;"")="","",IFERROR(INDEX(설정_코드표!$G$2:$G$101,MATCH(TRIM(L429&amp;""),설정_코드표!$F$2:$F$101,0)),"⚠"&amp;TRIM(L429&amp;"")))</f>
        <v/>
      </c>
      <c r="V429" s="10">
        <f>IF(AND(ISNUMBER(H429),ISNUMBER(I429)),I429-H429+1,"")</f>
        <v/>
      </c>
      <c r="W429" s="17">
        <f>IF(ISNUMBER(H429),MAX(0,MIN(IF(ISNUMBER(I429),I429,EOMONTH(출력_요약!$B$3,0)),EOMONTH(출력_요약!$B$3,0))-MAX(H429,출력_요약!$B$3)+1),0)</f>
        <v/>
      </c>
      <c r="X429" s="10">
        <f>IF(OR(NOT(ISNUMBER(H429)),Q429=""),"",IF(TODAY()&lt;H429,"파견예정",IF(AND(ISNUMBER(I429),TODAY()&gt;I429),"파견종료","파견중")))</f>
        <v/>
      </c>
      <c r="Y429" s="10">
        <f>IF(OR(Q429="",X429=""),"",Q429&amp;"|"&amp;X429)</f>
        <v/>
      </c>
      <c r="Z429" s="10">
        <f>IF(AND(Q429&lt;&gt;"",W429&gt;0),Q429&amp;"|월","")</f>
        <v/>
      </c>
      <c r="AA429" s="10">
        <f>IF(COUNTA(B429:I429,K429:N429)=0,"",IF(Q429="","등록번호 없음",IF(LEFT(R429,1)="⚠","모병원명 미등록",IF(S429="","파견병원 입력",IF(LEFT(S429,1)="⚠","파견병원명 미등록",IF(LEFT(U429,1)="⚠","파견과목 미등록",IF(OR(T429="",LEFT(T429,1)="⚠"),"파견근거 확인",IF(NOT(AND(ISNUMBER(H429),ISNUMBER(I429))),"날짜 형식/누락",IF(I429&lt;H429,"종료일&lt;시작일","")))))))))</f>
        <v/>
      </c>
      <c r="AB429" s="11">
        <f>IF(ISNUMBER(SEARCH("다기관",TRIM(N429&amp;" "&amp;O429))),IFERROR(DATE(VALUE(MID(TRIM(N429&amp;" "&amp;O429),1,4)),VALUE(MID(TRIM(N429&amp;" "&amp;O429),6,2)),VALUE(MID(TRIM(N429&amp;" "&amp;O429),9,2))),IF(ISNUMBER(H429),H429,"")),"")</f>
        <v/>
      </c>
      <c r="AC429" s="11">
        <f>IF(ISNUMBER(SEARCH("다기관",TRIM(N429&amp;" "&amp;O429))),IFERROR(DATE(VALUE(MID(TRIM(N429&amp;" "&amp;O429),12,4)),VALUE(MID(TRIM(N429&amp;" "&amp;O429),17,2)),VALUE(MID(TRIM(N429&amp;" "&amp;O429),20,2))),IF(ISNUMBER(I429),I429,"")),"")</f>
        <v/>
      </c>
      <c r="AD429" s="17">
        <f>IF(AND(ISNUMBER(AB429),ISNUMBER(AC429)),MAX(0,MIN(AC429,EOMONTH(출력_요약!$B$3,0))-MAX(AB429,출력_요약!$B$3)+1),0)</f>
        <v/>
      </c>
      <c r="AE429" s="10">
        <f>IF(AND(Q429&lt;&gt;"",ISNUMBER(AB429)),Q429&amp;"|다기관","")</f>
        <v/>
      </c>
    </row>
    <row r="430">
      <c r="A430" s="15">
        <f>IF(F430="","",ROW()-3)</f>
        <v/>
      </c>
      <c r="B430" s="5" t="n"/>
      <c r="C430" s="15" t="n"/>
      <c r="D430" s="5" t="n"/>
      <c r="E430" s="15" t="n"/>
      <c r="F430" s="5" t="n"/>
      <c r="G430" s="6" t="n"/>
      <c r="H430" s="16" t="n"/>
      <c r="I430" s="16" t="n"/>
      <c r="J430" s="15">
        <f>IF(AND(ISNUMBER(H430),ISNUMBER(I430)),I430-H430+1,"")</f>
        <v/>
      </c>
      <c r="K430" s="5" t="n"/>
      <c r="L430" s="5" t="n"/>
      <c r="M430" s="5" t="n"/>
      <c r="N430" s="5" t="n"/>
      <c r="O430" s="5" t="n"/>
      <c r="Q430" s="10">
        <f>IF(TRIM(G430&amp;"")="","",TRIM(G430&amp;""))</f>
        <v/>
      </c>
      <c r="R430" s="10">
        <f>IF(TRIM(B430&amp;"")="","",IFERROR(INDEX(설정_코드표!$K$2:$K$101,MATCH(TRIM(B430&amp;""),설정_코드표!$J$2:$J$101,0)),"⚠"&amp;TRIM(B430&amp;"")))</f>
        <v/>
      </c>
      <c r="S430" s="10">
        <f>IF(TRIM(K430&amp;"")="","",IFERROR(INDEX(설정_코드표!$K$2:$K$101,MATCH(TRIM(K430&amp;""),설정_코드표!$J$2:$J$101,0)),"⚠"&amp;TRIM(K430&amp;"")))</f>
        <v/>
      </c>
      <c r="T430" s="10">
        <f>IF(TRIM(M430&amp;"")="","",IF(ISNUMBER(MATCH(TRIM(M430&amp;""),설정_코드표!$C$2:$C$11,0)),TRIM(M430&amp;""),"⚠"&amp;TRIM(M430&amp;"")))</f>
        <v/>
      </c>
      <c r="U430" s="10">
        <f>IF(TRIM(L430&amp;"")="","",IFERROR(INDEX(설정_코드표!$G$2:$G$101,MATCH(TRIM(L430&amp;""),설정_코드표!$F$2:$F$101,0)),"⚠"&amp;TRIM(L430&amp;"")))</f>
        <v/>
      </c>
      <c r="V430" s="10">
        <f>IF(AND(ISNUMBER(H430),ISNUMBER(I430)),I430-H430+1,"")</f>
        <v/>
      </c>
      <c r="W430" s="17">
        <f>IF(ISNUMBER(H430),MAX(0,MIN(IF(ISNUMBER(I430),I430,EOMONTH(출력_요약!$B$3,0)),EOMONTH(출력_요약!$B$3,0))-MAX(H430,출력_요약!$B$3)+1),0)</f>
        <v/>
      </c>
      <c r="X430" s="10">
        <f>IF(OR(NOT(ISNUMBER(H430)),Q430=""),"",IF(TODAY()&lt;H430,"파견예정",IF(AND(ISNUMBER(I430),TODAY()&gt;I430),"파견종료","파견중")))</f>
        <v/>
      </c>
      <c r="Y430" s="10">
        <f>IF(OR(Q430="",X430=""),"",Q430&amp;"|"&amp;X430)</f>
        <v/>
      </c>
      <c r="Z430" s="10">
        <f>IF(AND(Q430&lt;&gt;"",W430&gt;0),Q430&amp;"|월","")</f>
        <v/>
      </c>
      <c r="AA430" s="10">
        <f>IF(COUNTA(B430:I430,K430:N430)=0,"",IF(Q430="","등록번호 없음",IF(LEFT(R430,1)="⚠","모병원명 미등록",IF(S430="","파견병원 입력",IF(LEFT(S430,1)="⚠","파견병원명 미등록",IF(LEFT(U430,1)="⚠","파견과목 미등록",IF(OR(T430="",LEFT(T430,1)="⚠"),"파견근거 확인",IF(NOT(AND(ISNUMBER(H430),ISNUMBER(I430))),"날짜 형식/누락",IF(I430&lt;H430,"종료일&lt;시작일","")))))))))</f>
        <v/>
      </c>
      <c r="AB430" s="11">
        <f>IF(ISNUMBER(SEARCH("다기관",TRIM(N430&amp;" "&amp;O430))),IFERROR(DATE(VALUE(MID(TRIM(N430&amp;" "&amp;O430),1,4)),VALUE(MID(TRIM(N430&amp;" "&amp;O430),6,2)),VALUE(MID(TRIM(N430&amp;" "&amp;O430),9,2))),IF(ISNUMBER(H430),H430,"")),"")</f>
        <v/>
      </c>
      <c r="AC430" s="11">
        <f>IF(ISNUMBER(SEARCH("다기관",TRIM(N430&amp;" "&amp;O430))),IFERROR(DATE(VALUE(MID(TRIM(N430&amp;" "&amp;O430),12,4)),VALUE(MID(TRIM(N430&amp;" "&amp;O430),17,2)),VALUE(MID(TRIM(N430&amp;" "&amp;O430),20,2))),IF(ISNUMBER(I430),I430,"")),"")</f>
        <v/>
      </c>
      <c r="AD430" s="17">
        <f>IF(AND(ISNUMBER(AB430),ISNUMBER(AC430)),MAX(0,MIN(AC430,EOMONTH(출력_요약!$B$3,0))-MAX(AB430,출력_요약!$B$3)+1),0)</f>
        <v/>
      </c>
      <c r="AE430" s="10">
        <f>IF(AND(Q430&lt;&gt;"",ISNUMBER(AB430)),Q430&amp;"|다기관","")</f>
        <v/>
      </c>
    </row>
    <row r="431">
      <c r="A431" s="15">
        <f>IF(F431="","",ROW()-3)</f>
        <v/>
      </c>
      <c r="B431" s="5" t="n"/>
      <c r="C431" s="15" t="n"/>
      <c r="D431" s="5" t="n"/>
      <c r="E431" s="15" t="n"/>
      <c r="F431" s="5" t="n"/>
      <c r="G431" s="6" t="n"/>
      <c r="H431" s="16" t="n"/>
      <c r="I431" s="16" t="n"/>
      <c r="J431" s="15">
        <f>IF(AND(ISNUMBER(H431),ISNUMBER(I431)),I431-H431+1,"")</f>
        <v/>
      </c>
      <c r="K431" s="5" t="n"/>
      <c r="L431" s="5" t="n"/>
      <c r="M431" s="5" t="n"/>
      <c r="N431" s="5" t="n"/>
      <c r="O431" s="5" t="n"/>
      <c r="Q431" s="10">
        <f>IF(TRIM(G431&amp;"")="","",TRIM(G431&amp;""))</f>
        <v/>
      </c>
      <c r="R431" s="10">
        <f>IF(TRIM(B431&amp;"")="","",IFERROR(INDEX(설정_코드표!$K$2:$K$101,MATCH(TRIM(B431&amp;""),설정_코드표!$J$2:$J$101,0)),"⚠"&amp;TRIM(B431&amp;"")))</f>
        <v/>
      </c>
      <c r="S431" s="10">
        <f>IF(TRIM(K431&amp;"")="","",IFERROR(INDEX(설정_코드표!$K$2:$K$101,MATCH(TRIM(K431&amp;""),설정_코드표!$J$2:$J$101,0)),"⚠"&amp;TRIM(K431&amp;"")))</f>
        <v/>
      </c>
      <c r="T431" s="10">
        <f>IF(TRIM(M431&amp;"")="","",IF(ISNUMBER(MATCH(TRIM(M431&amp;""),설정_코드표!$C$2:$C$11,0)),TRIM(M431&amp;""),"⚠"&amp;TRIM(M431&amp;"")))</f>
        <v/>
      </c>
      <c r="U431" s="10">
        <f>IF(TRIM(L431&amp;"")="","",IFERROR(INDEX(설정_코드표!$G$2:$G$101,MATCH(TRIM(L431&amp;""),설정_코드표!$F$2:$F$101,0)),"⚠"&amp;TRIM(L431&amp;"")))</f>
        <v/>
      </c>
      <c r="V431" s="10">
        <f>IF(AND(ISNUMBER(H431),ISNUMBER(I431)),I431-H431+1,"")</f>
        <v/>
      </c>
      <c r="W431" s="17">
        <f>IF(ISNUMBER(H431),MAX(0,MIN(IF(ISNUMBER(I431),I431,EOMONTH(출력_요약!$B$3,0)),EOMONTH(출력_요약!$B$3,0))-MAX(H431,출력_요약!$B$3)+1),0)</f>
        <v/>
      </c>
      <c r="X431" s="10">
        <f>IF(OR(NOT(ISNUMBER(H431)),Q431=""),"",IF(TODAY()&lt;H431,"파견예정",IF(AND(ISNUMBER(I431),TODAY()&gt;I431),"파견종료","파견중")))</f>
        <v/>
      </c>
      <c r="Y431" s="10">
        <f>IF(OR(Q431="",X431=""),"",Q431&amp;"|"&amp;X431)</f>
        <v/>
      </c>
      <c r="Z431" s="10">
        <f>IF(AND(Q431&lt;&gt;"",W431&gt;0),Q431&amp;"|월","")</f>
        <v/>
      </c>
      <c r="AA431" s="10">
        <f>IF(COUNTA(B431:I431,K431:N431)=0,"",IF(Q431="","등록번호 없음",IF(LEFT(R431,1)="⚠","모병원명 미등록",IF(S431="","파견병원 입력",IF(LEFT(S431,1)="⚠","파견병원명 미등록",IF(LEFT(U431,1)="⚠","파견과목 미등록",IF(OR(T431="",LEFT(T431,1)="⚠"),"파견근거 확인",IF(NOT(AND(ISNUMBER(H431),ISNUMBER(I431))),"날짜 형식/누락",IF(I431&lt;H431,"종료일&lt;시작일","")))))))))</f>
        <v/>
      </c>
      <c r="AB431" s="11">
        <f>IF(ISNUMBER(SEARCH("다기관",TRIM(N431&amp;" "&amp;O431))),IFERROR(DATE(VALUE(MID(TRIM(N431&amp;" "&amp;O431),1,4)),VALUE(MID(TRIM(N431&amp;" "&amp;O431),6,2)),VALUE(MID(TRIM(N431&amp;" "&amp;O431),9,2))),IF(ISNUMBER(H431),H431,"")),"")</f>
        <v/>
      </c>
      <c r="AC431" s="11">
        <f>IF(ISNUMBER(SEARCH("다기관",TRIM(N431&amp;" "&amp;O431))),IFERROR(DATE(VALUE(MID(TRIM(N431&amp;" "&amp;O431),12,4)),VALUE(MID(TRIM(N431&amp;" "&amp;O431),17,2)),VALUE(MID(TRIM(N431&amp;" "&amp;O431),20,2))),IF(ISNUMBER(I431),I431,"")),"")</f>
        <v/>
      </c>
      <c r="AD431" s="17">
        <f>IF(AND(ISNUMBER(AB431),ISNUMBER(AC431)),MAX(0,MIN(AC431,EOMONTH(출력_요약!$B$3,0))-MAX(AB431,출력_요약!$B$3)+1),0)</f>
        <v/>
      </c>
      <c r="AE431" s="10">
        <f>IF(AND(Q431&lt;&gt;"",ISNUMBER(AB431)),Q431&amp;"|다기관","")</f>
        <v/>
      </c>
    </row>
    <row r="432">
      <c r="A432" s="15">
        <f>IF(F432="","",ROW()-3)</f>
        <v/>
      </c>
      <c r="B432" s="5" t="n"/>
      <c r="C432" s="15" t="n"/>
      <c r="D432" s="5" t="n"/>
      <c r="E432" s="15" t="n"/>
      <c r="F432" s="5" t="n"/>
      <c r="G432" s="6" t="n"/>
      <c r="H432" s="16" t="n"/>
      <c r="I432" s="16" t="n"/>
      <c r="J432" s="15">
        <f>IF(AND(ISNUMBER(H432),ISNUMBER(I432)),I432-H432+1,"")</f>
        <v/>
      </c>
      <c r="K432" s="5" t="n"/>
      <c r="L432" s="5" t="n"/>
      <c r="M432" s="5" t="n"/>
      <c r="N432" s="5" t="n"/>
      <c r="O432" s="5" t="n"/>
      <c r="Q432" s="10">
        <f>IF(TRIM(G432&amp;"")="","",TRIM(G432&amp;""))</f>
        <v/>
      </c>
      <c r="R432" s="10">
        <f>IF(TRIM(B432&amp;"")="","",IFERROR(INDEX(설정_코드표!$K$2:$K$101,MATCH(TRIM(B432&amp;""),설정_코드표!$J$2:$J$101,0)),"⚠"&amp;TRIM(B432&amp;"")))</f>
        <v/>
      </c>
      <c r="S432" s="10">
        <f>IF(TRIM(K432&amp;"")="","",IFERROR(INDEX(설정_코드표!$K$2:$K$101,MATCH(TRIM(K432&amp;""),설정_코드표!$J$2:$J$101,0)),"⚠"&amp;TRIM(K432&amp;"")))</f>
        <v/>
      </c>
      <c r="T432" s="10">
        <f>IF(TRIM(M432&amp;"")="","",IF(ISNUMBER(MATCH(TRIM(M432&amp;""),설정_코드표!$C$2:$C$11,0)),TRIM(M432&amp;""),"⚠"&amp;TRIM(M432&amp;"")))</f>
        <v/>
      </c>
      <c r="U432" s="10">
        <f>IF(TRIM(L432&amp;"")="","",IFERROR(INDEX(설정_코드표!$G$2:$G$101,MATCH(TRIM(L432&amp;""),설정_코드표!$F$2:$F$101,0)),"⚠"&amp;TRIM(L432&amp;"")))</f>
        <v/>
      </c>
      <c r="V432" s="10">
        <f>IF(AND(ISNUMBER(H432),ISNUMBER(I432)),I432-H432+1,"")</f>
        <v/>
      </c>
      <c r="W432" s="17">
        <f>IF(ISNUMBER(H432),MAX(0,MIN(IF(ISNUMBER(I432),I432,EOMONTH(출력_요약!$B$3,0)),EOMONTH(출력_요약!$B$3,0))-MAX(H432,출력_요약!$B$3)+1),0)</f>
        <v/>
      </c>
      <c r="X432" s="10">
        <f>IF(OR(NOT(ISNUMBER(H432)),Q432=""),"",IF(TODAY()&lt;H432,"파견예정",IF(AND(ISNUMBER(I432),TODAY()&gt;I432),"파견종료","파견중")))</f>
        <v/>
      </c>
      <c r="Y432" s="10">
        <f>IF(OR(Q432="",X432=""),"",Q432&amp;"|"&amp;X432)</f>
        <v/>
      </c>
      <c r="Z432" s="10">
        <f>IF(AND(Q432&lt;&gt;"",W432&gt;0),Q432&amp;"|월","")</f>
        <v/>
      </c>
      <c r="AA432" s="10">
        <f>IF(COUNTA(B432:I432,K432:N432)=0,"",IF(Q432="","등록번호 없음",IF(LEFT(R432,1)="⚠","모병원명 미등록",IF(S432="","파견병원 입력",IF(LEFT(S432,1)="⚠","파견병원명 미등록",IF(LEFT(U432,1)="⚠","파견과목 미등록",IF(OR(T432="",LEFT(T432,1)="⚠"),"파견근거 확인",IF(NOT(AND(ISNUMBER(H432),ISNUMBER(I432))),"날짜 형식/누락",IF(I432&lt;H432,"종료일&lt;시작일","")))))))))</f>
        <v/>
      </c>
      <c r="AB432" s="11">
        <f>IF(ISNUMBER(SEARCH("다기관",TRIM(N432&amp;" "&amp;O432))),IFERROR(DATE(VALUE(MID(TRIM(N432&amp;" "&amp;O432),1,4)),VALUE(MID(TRIM(N432&amp;" "&amp;O432),6,2)),VALUE(MID(TRIM(N432&amp;" "&amp;O432),9,2))),IF(ISNUMBER(H432),H432,"")),"")</f>
        <v/>
      </c>
      <c r="AC432" s="11">
        <f>IF(ISNUMBER(SEARCH("다기관",TRIM(N432&amp;" "&amp;O432))),IFERROR(DATE(VALUE(MID(TRIM(N432&amp;" "&amp;O432),12,4)),VALUE(MID(TRIM(N432&amp;" "&amp;O432),17,2)),VALUE(MID(TRIM(N432&amp;" "&amp;O432),20,2))),IF(ISNUMBER(I432),I432,"")),"")</f>
        <v/>
      </c>
      <c r="AD432" s="17">
        <f>IF(AND(ISNUMBER(AB432),ISNUMBER(AC432)),MAX(0,MIN(AC432,EOMONTH(출력_요약!$B$3,0))-MAX(AB432,출력_요약!$B$3)+1),0)</f>
        <v/>
      </c>
      <c r="AE432" s="10">
        <f>IF(AND(Q432&lt;&gt;"",ISNUMBER(AB432)),Q432&amp;"|다기관","")</f>
        <v/>
      </c>
    </row>
    <row r="433">
      <c r="A433" s="15">
        <f>IF(F433="","",ROW()-3)</f>
        <v/>
      </c>
      <c r="B433" s="5" t="n"/>
      <c r="C433" s="15" t="n"/>
      <c r="D433" s="5" t="n"/>
      <c r="E433" s="15" t="n"/>
      <c r="F433" s="5" t="n"/>
      <c r="G433" s="6" t="n"/>
      <c r="H433" s="16" t="n"/>
      <c r="I433" s="16" t="n"/>
      <c r="J433" s="15">
        <f>IF(AND(ISNUMBER(H433),ISNUMBER(I433)),I433-H433+1,"")</f>
        <v/>
      </c>
      <c r="K433" s="5" t="n"/>
      <c r="L433" s="5" t="n"/>
      <c r="M433" s="5" t="n"/>
      <c r="N433" s="5" t="n"/>
      <c r="O433" s="5" t="n"/>
      <c r="Q433" s="10">
        <f>IF(TRIM(G433&amp;"")="","",TRIM(G433&amp;""))</f>
        <v/>
      </c>
      <c r="R433" s="10">
        <f>IF(TRIM(B433&amp;"")="","",IFERROR(INDEX(설정_코드표!$K$2:$K$101,MATCH(TRIM(B433&amp;""),설정_코드표!$J$2:$J$101,0)),"⚠"&amp;TRIM(B433&amp;"")))</f>
        <v/>
      </c>
      <c r="S433" s="10">
        <f>IF(TRIM(K433&amp;"")="","",IFERROR(INDEX(설정_코드표!$K$2:$K$101,MATCH(TRIM(K433&amp;""),설정_코드표!$J$2:$J$101,0)),"⚠"&amp;TRIM(K433&amp;"")))</f>
        <v/>
      </c>
      <c r="T433" s="10">
        <f>IF(TRIM(M433&amp;"")="","",IF(ISNUMBER(MATCH(TRIM(M433&amp;""),설정_코드표!$C$2:$C$11,0)),TRIM(M433&amp;""),"⚠"&amp;TRIM(M433&amp;"")))</f>
        <v/>
      </c>
      <c r="U433" s="10">
        <f>IF(TRIM(L433&amp;"")="","",IFERROR(INDEX(설정_코드표!$G$2:$G$101,MATCH(TRIM(L433&amp;""),설정_코드표!$F$2:$F$101,0)),"⚠"&amp;TRIM(L433&amp;"")))</f>
        <v/>
      </c>
      <c r="V433" s="10">
        <f>IF(AND(ISNUMBER(H433),ISNUMBER(I433)),I433-H433+1,"")</f>
        <v/>
      </c>
      <c r="W433" s="17">
        <f>IF(ISNUMBER(H433),MAX(0,MIN(IF(ISNUMBER(I433),I433,EOMONTH(출력_요약!$B$3,0)),EOMONTH(출력_요약!$B$3,0))-MAX(H433,출력_요약!$B$3)+1),0)</f>
        <v/>
      </c>
      <c r="X433" s="10">
        <f>IF(OR(NOT(ISNUMBER(H433)),Q433=""),"",IF(TODAY()&lt;H433,"파견예정",IF(AND(ISNUMBER(I433),TODAY()&gt;I433),"파견종료","파견중")))</f>
        <v/>
      </c>
      <c r="Y433" s="10">
        <f>IF(OR(Q433="",X433=""),"",Q433&amp;"|"&amp;X433)</f>
        <v/>
      </c>
      <c r="Z433" s="10">
        <f>IF(AND(Q433&lt;&gt;"",W433&gt;0),Q433&amp;"|월","")</f>
        <v/>
      </c>
      <c r="AA433" s="10">
        <f>IF(COUNTA(B433:I433,K433:N433)=0,"",IF(Q433="","등록번호 없음",IF(LEFT(R433,1)="⚠","모병원명 미등록",IF(S433="","파견병원 입력",IF(LEFT(S433,1)="⚠","파견병원명 미등록",IF(LEFT(U433,1)="⚠","파견과목 미등록",IF(OR(T433="",LEFT(T433,1)="⚠"),"파견근거 확인",IF(NOT(AND(ISNUMBER(H433),ISNUMBER(I433))),"날짜 형식/누락",IF(I433&lt;H433,"종료일&lt;시작일","")))))))))</f>
        <v/>
      </c>
      <c r="AB433" s="11">
        <f>IF(ISNUMBER(SEARCH("다기관",TRIM(N433&amp;" "&amp;O433))),IFERROR(DATE(VALUE(MID(TRIM(N433&amp;" "&amp;O433),1,4)),VALUE(MID(TRIM(N433&amp;" "&amp;O433),6,2)),VALUE(MID(TRIM(N433&amp;" "&amp;O433),9,2))),IF(ISNUMBER(H433),H433,"")),"")</f>
        <v/>
      </c>
      <c r="AC433" s="11">
        <f>IF(ISNUMBER(SEARCH("다기관",TRIM(N433&amp;" "&amp;O433))),IFERROR(DATE(VALUE(MID(TRIM(N433&amp;" "&amp;O433),12,4)),VALUE(MID(TRIM(N433&amp;" "&amp;O433),17,2)),VALUE(MID(TRIM(N433&amp;" "&amp;O433),20,2))),IF(ISNUMBER(I433),I433,"")),"")</f>
        <v/>
      </c>
      <c r="AD433" s="17">
        <f>IF(AND(ISNUMBER(AB433),ISNUMBER(AC433)),MAX(0,MIN(AC433,EOMONTH(출력_요약!$B$3,0))-MAX(AB433,출력_요약!$B$3)+1),0)</f>
        <v/>
      </c>
      <c r="AE433" s="10">
        <f>IF(AND(Q433&lt;&gt;"",ISNUMBER(AB433)),Q433&amp;"|다기관","")</f>
        <v/>
      </c>
    </row>
    <row r="434">
      <c r="A434" s="15">
        <f>IF(F434="","",ROW()-3)</f>
        <v/>
      </c>
      <c r="B434" s="5" t="n"/>
      <c r="C434" s="15" t="n"/>
      <c r="D434" s="5" t="n"/>
      <c r="E434" s="15" t="n"/>
      <c r="F434" s="5" t="n"/>
      <c r="G434" s="6" t="n"/>
      <c r="H434" s="16" t="n"/>
      <c r="I434" s="16" t="n"/>
      <c r="J434" s="15">
        <f>IF(AND(ISNUMBER(H434),ISNUMBER(I434)),I434-H434+1,"")</f>
        <v/>
      </c>
      <c r="K434" s="5" t="n"/>
      <c r="L434" s="5" t="n"/>
      <c r="M434" s="5" t="n"/>
      <c r="N434" s="5" t="n"/>
      <c r="O434" s="5" t="n"/>
      <c r="Q434" s="10">
        <f>IF(TRIM(G434&amp;"")="","",TRIM(G434&amp;""))</f>
        <v/>
      </c>
      <c r="R434" s="10">
        <f>IF(TRIM(B434&amp;"")="","",IFERROR(INDEX(설정_코드표!$K$2:$K$101,MATCH(TRIM(B434&amp;""),설정_코드표!$J$2:$J$101,0)),"⚠"&amp;TRIM(B434&amp;"")))</f>
        <v/>
      </c>
      <c r="S434" s="10">
        <f>IF(TRIM(K434&amp;"")="","",IFERROR(INDEX(설정_코드표!$K$2:$K$101,MATCH(TRIM(K434&amp;""),설정_코드표!$J$2:$J$101,0)),"⚠"&amp;TRIM(K434&amp;"")))</f>
        <v/>
      </c>
      <c r="T434" s="10">
        <f>IF(TRIM(M434&amp;"")="","",IF(ISNUMBER(MATCH(TRIM(M434&amp;""),설정_코드표!$C$2:$C$11,0)),TRIM(M434&amp;""),"⚠"&amp;TRIM(M434&amp;"")))</f>
        <v/>
      </c>
      <c r="U434" s="10">
        <f>IF(TRIM(L434&amp;"")="","",IFERROR(INDEX(설정_코드표!$G$2:$G$101,MATCH(TRIM(L434&amp;""),설정_코드표!$F$2:$F$101,0)),"⚠"&amp;TRIM(L434&amp;"")))</f>
        <v/>
      </c>
      <c r="V434" s="10">
        <f>IF(AND(ISNUMBER(H434),ISNUMBER(I434)),I434-H434+1,"")</f>
        <v/>
      </c>
      <c r="W434" s="17">
        <f>IF(ISNUMBER(H434),MAX(0,MIN(IF(ISNUMBER(I434),I434,EOMONTH(출력_요약!$B$3,0)),EOMONTH(출력_요약!$B$3,0))-MAX(H434,출력_요약!$B$3)+1),0)</f>
        <v/>
      </c>
      <c r="X434" s="10">
        <f>IF(OR(NOT(ISNUMBER(H434)),Q434=""),"",IF(TODAY()&lt;H434,"파견예정",IF(AND(ISNUMBER(I434),TODAY()&gt;I434),"파견종료","파견중")))</f>
        <v/>
      </c>
      <c r="Y434" s="10">
        <f>IF(OR(Q434="",X434=""),"",Q434&amp;"|"&amp;X434)</f>
        <v/>
      </c>
      <c r="Z434" s="10">
        <f>IF(AND(Q434&lt;&gt;"",W434&gt;0),Q434&amp;"|월","")</f>
        <v/>
      </c>
      <c r="AA434" s="10">
        <f>IF(COUNTA(B434:I434,K434:N434)=0,"",IF(Q434="","등록번호 없음",IF(LEFT(R434,1)="⚠","모병원명 미등록",IF(S434="","파견병원 입력",IF(LEFT(S434,1)="⚠","파견병원명 미등록",IF(LEFT(U434,1)="⚠","파견과목 미등록",IF(OR(T434="",LEFT(T434,1)="⚠"),"파견근거 확인",IF(NOT(AND(ISNUMBER(H434),ISNUMBER(I434))),"날짜 형식/누락",IF(I434&lt;H434,"종료일&lt;시작일","")))))))))</f>
        <v/>
      </c>
      <c r="AB434" s="11">
        <f>IF(ISNUMBER(SEARCH("다기관",TRIM(N434&amp;" "&amp;O434))),IFERROR(DATE(VALUE(MID(TRIM(N434&amp;" "&amp;O434),1,4)),VALUE(MID(TRIM(N434&amp;" "&amp;O434),6,2)),VALUE(MID(TRIM(N434&amp;" "&amp;O434),9,2))),IF(ISNUMBER(H434),H434,"")),"")</f>
        <v/>
      </c>
      <c r="AC434" s="11">
        <f>IF(ISNUMBER(SEARCH("다기관",TRIM(N434&amp;" "&amp;O434))),IFERROR(DATE(VALUE(MID(TRIM(N434&amp;" "&amp;O434),12,4)),VALUE(MID(TRIM(N434&amp;" "&amp;O434),17,2)),VALUE(MID(TRIM(N434&amp;" "&amp;O434),20,2))),IF(ISNUMBER(I434),I434,"")),"")</f>
        <v/>
      </c>
      <c r="AD434" s="17">
        <f>IF(AND(ISNUMBER(AB434),ISNUMBER(AC434)),MAX(0,MIN(AC434,EOMONTH(출력_요약!$B$3,0))-MAX(AB434,출력_요약!$B$3)+1),0)</f>
        <v/>
      </c>
      <c r="AE434" s="10">
        <f>IF(AND(Q434&lt;&gt;"",ISNUMBER(AB434)),Q434&amp;"|다기관","")</f>
        <v/>
      </c>
    </row>
    <row r="435">
      <c r="A435" s="15">
        <f>IF(F435="","",ROW()-3)</f>
        <v/>
      </c>
      <c r="B435" s="5" t="n"/>
      <c r="C435" s="15" t="n"/>
      <c r="D435" s="5" t="n"/>
      <c r="E435" s="15" t="n"/>
      <c r="F435" s="5" t="n"/>
      <c r="G435" s="6" t="n"/>
      <c r="H435" s="16" t="n"/>
      <c r="I435" s="16" t="n"/>
      <c r="J435" s="15">
        <f>IF(AND(ISNUMBER(H435),ISNUMBER(I435)),I435-H435+1,"")</f>
        <v/>
      </c>
      <c r="K435" s="5" t="n"/>
      <c r="L435" s="5" t="n"/>
      <c r="M435" s="5" t="n"/>
      <c r="N435" s="5" t="n"/>
      <c r="O435" s="5" t="n"/>
      <c r="Q435" s="10">
        <f>IF(TRIM(G435&amp;"")="","",TRIM(G435&amp;""))</f>
        <v/>
      </c>
      <c r="R435" s="10">
        <f>IF(TRIM(B435&amp;"")="","",IFERROR(INDEX(설정_코드표!$K$2:$K$101,MATCH(TRIM(B435&amp;""),설정_코드표!$J$2:$J$101,0)),"⚠"&amp;TRIM(B435&amp;"")))</f>
        <v/>
      </c>
      <c r="S435" s="10">
        <f>IF(TRIM(K435&amp;"")="","",IFERROR(INDEX(설정_코드표!$K$2:$K$101,MATCH(TRIM(K435&amp;""),설정_코드표!$J$2:$J$101,0)),"⚠"&amp;TRIM(K435&amp;"")))</f>
        <v/>
      </c>
      <c r="T435" s="10">
        <f>IF(TRIM(M435&amp;"")="","",IF(ISNUMBER(MATCH(TRIM(M435&amp;""),설정_코드표!$C$2:$C$11,0)),TRIM(M435&amp;""),"⚠"&amp;TRIM(M435&amp;"")))</f>
        <v/>
      </c>
      <c r="U435" s="10">
        <f>IF(TRIM(L435&amp;"")="","",IFERROR(INDEX(설정_코드표!$G$2:$G$101,MATCH(TRIM(L435&amp;""),설정_코드표!$F$2:$F$101,0)),"⚠"&amp;TRIM(L435&amp;"")))</f>
        <v/>
      </c>
      <c r="V435" s="10">
        <f>IF(AND(ISNUMBER(H435),ISNUMBER(I435)),I435-H435+1,"")</f>
        <v/>
      </c>
      <c r="W435" s="17">
        <f>IF(ISNUMBER(H435),MAX(0,MIN(IF(ISNUMBER(I435),I435,EOMONTH(출력_요약!$B$3,0)),EOMONTH(출력_요약!$B$3,0))-MAX(H435,출력_요약!$B$3)+1),0)</f>
        <v/>
      </c>
      <c r="X435" s="10">
        <f>IF(OR(NOT(ISNUMBER(H435)),Q435=""),"",IF(TODAY()&lt;H435,"파견예정",IF(AND(ISNUMBER(I435),TODAY()&gt;I435),"파견종료","파견중")))</f>
        <v/>
      </c>
      <c r="Y435" s="10">
        <f>IF(OR(Q435="",X435=""),"",Q435&amp;"|"&amp;X435)</f>
        <v/>
      </c>
      <c r="Z435" s="10">
        <f>IF(AND(Q435&lt;&gt;"",W435&gt;0),Q435&amp;"|월","")</f>
        <v/>
      </c>
      <c r="AA435" s="10">
        <f>IF(COUNTA(B435:I435,K435:N435)=0,"",IF(Q435="","등록번호 없음",IF(LEFT(R435,1)="⚠","모병원명 미등록",IF(S435="","파견병원 입력",IF(LEFT(S435,1)="⚠","파견병원명 미등록",IF(LEFT(U435,1)="⚠","파견과목 미등록",IF(OR(T435="",LEFT(T435,1)="⚠"),"파견근거 확인",IF(NOT(AND(ISNUMBER(H435),ISNUMBER(I435))),"날짜 형식/누락",IF(I435&lt;H435,"종료일&lt;시작일","")))))))))</f>
        <v/>
      </c>
      <c r="AB435" s="11">
        <f>IF(ISNUMBER(SEARCH("다기관",TRIM(N435&amp;" "&amp;O435))),IFERROR(DATE(VALUE(MID(TRIM(N435&amp;" "&amp;O435),1,4)),VALUE(MID(TRIM(N435&amp;" "&amp;O435),6,2)),VALUE(MID(TRIM(N435&amp;" "&amp;O435),9,2))),IF(ISNUMBER(H435),H435,"")),"")</f>
        <v/>
      </c>
      <c r="AC435" s="11">
        <f>IF(ISNUMBER(SEARCH("다기관",TRIM(N435&amp;" "&amp;O435))),IFERROR(DATE(VALUE(MID(TRIM(N435&amp;" "&amp;O435),12,4)),VALUE(MID(TRIM(N435&amp;" "&amp;O435),17,2)),VALUE(MID(TRIM(N435&amp;" "&amp;O435),20,2))),IF(ISNUMBER(I435),I435,"")),"")</f>
        <v/>
      </c>
      <c r="AD435" s="17">
        <f>IF(AND(ISNUMBER(AB435),ISNUMBER(AC435)),MAX(0,MIN(AC435,EOMONTH(출력_요약!$B$3,0))-MAX(AB435,출력_요약!$B$3)+1),0)</f>
        <v/>
      </c>
      <c r="AE435" s="10">
        <f>IF(AND(Q435&lt;&gt;"",ISNUMBER(AB435)),Q435&amp;"|다기관","")</f>
        <v/>
      </c>
    </row>
    <row r="436">
      <c r="A436" s="15">
        <f>IF(F436="","",ROW()-3)</f>
        <v/>
      </c>
      <c r="B436" s="5" t="n"/>
      <c r="C436" s="15" t="n"/>
      <c r="D436" s="5" t="n"/>
      <c r="E436" s="15" t="n"/>
      <c r="F436" s="5" t="n"/>
      <c r="G436" s="6" t="n"/>
      <c r="H436" s="16" t="n"/>
      <c r="I436" s="16" t="n"/>
      <c r="J436" s="15">
        <f>IF(AND(ISNUMBER(H436),ISNUMBER(I436)),I436-H436+1,"")</f>
        <v/>
      </c>
      <c r="K436" s="5" t="n"/>
      <c r="L436" s="5" t="n"/>
      <c r="M436" s="5" t="n"/>
      <c r="N436" s="5" t="n"/>
      <c r="O436" s="5" t="n"/>
      <c r="Q436" s="10">
        <f>IF(TRIM(G436&amp;"")="","",TRIM(G436&amp;""))</f>
        <v/>
      </c>
      <c r="R436" s="10">
        <f>IF(TRIM(B436&amp;"")="","",IFERROR(INDEX(설정_코드표!$K$2:$K$101,MATCH(TRIM(B436&amp;""),설정_코드표!$J$2:$J$101,0)),"⚠"&amp;TRIM(B436&amp;"")))</f>
        <v/>
      </c>
      <c r="S436" s="10">
        <f>IF(TRIM(K436&amp;"")="","",IFERROR(INDEX(설정_코드표!$K$2:$K$101,MATCH(TRIM(K436&amp;""),설정_코드표!$J$2:$J$101,0)),"⚠"&amp;TRIM(K436&amp;"")))</f>
        <v/>
      </c>
      <c r="T436" s="10">
        <f>IF(TRIM(M436&amp;"")="","",IF(ISNUMBER(MATCH(TRIM(M436&amp;""),설정_코드표!$C$2:$C$11,0)),TRIM(M436&amp;""),"⚠"&amp;TRIM(M436&amp;"")))</f>
        <v/>
      </c>
      <c r="U436" s="10">
        <f>IF(TRIM(L436&amp;"")="","",IFERROR(INDEX(설정_코드표!$G$2:$G$101,MATCH(TRIM(L436&amp;""),설정_코드표!$F$2:$F$101,0)),"⚠"&amp;TRIM(L436&amp;"")))</f>
        <v/>
      </c>
      <c r="V436" s="10">
        <f>IF(AND(ISNUMBER(H436),ISNUMBER(I436)),I436-H436+1,"")</f>
        <v/>
      </c>
      <c r="W436" s="17">
        <f>IF(ISNUMBER(H436),MAX(0,MIN(IF(ISNUMBER(I436),I436,EOMONTH(출력_요약!$B$3,0)),EOMONTH(출력_요약!$B$3,0))-MAX(H436,출력_요약!$B$3)+1),0)</f>
        <v/>
      </c>
      <c r="X436" s="10">
        <f>IF(OR(NOT(ISNUMBER(H436)),Q436=""),"",IF(TODAY()&lt;H436,"파견예정",IF(AND(ISNUMBER(I436),TODAY()&gt;I436),"파견종료","파견중")))</f>
        <v/>
      </c>
      <c r="Y436" s="10">
        <f>IF(OR(Q436="",X436=""),"",Q436&amp;"|"&amp;X436)</f>
        <v/>
      </c>
      <c r="Z436" s="10">
        <f>IF(AND(Q436&lt;&gt;"",W436&gt;0),Q436&amp;"|월","")</f>
        <v/>
      </c>
      <c r="AA436" s="10">
        <f>IF(COUNTA(B436:I436,K436:N436)=0,"",IF(Q436="","등록번호 없음",IF(LEFT(R436,1)="⚠","모병원명 미등록",IF(S436="","파견병원 입력",IF(LEFT(S436,1)="⚠","파견병원명 미등록",IF(LEFT(U436,1)="⚠","파견과목 미등록",IF(OR(T436="",LEFT(T436,1)="⚠"),"파견근거 확인",IF(NOT(AND(ISNUMBER(H436),ISNUMBER(I436))),"날짜 형식/누락",IF(I436&lt;H436,"종료일&lt;시작일","")))))))))</f>
        <v/>
      </c>
      <c r="AB436" s="11">
        <f>IF(ISNUMBER(SEARCH("다기관",TRIM(N436&amp;" "&amp;O436))),IFERROR(DATE(VALUE(MID(TRIM(N436&amp;" "&amp;O436),1,4)),VALUE(MID(TRIM(N436&amp;" "&amp;O436),6,2)),VALUE(MID(TRIM(N436&amp;" "&amp;O436),9,2))),IF(ISNUMBER(H436),H436,"")),"")</f>
        <v/>
      </c>
      <c r="AC436" s="11">
        <f>IF(ISNUMBER(SEARCH("다기관",TRIM(N436&amp;" "&amp;O436))),IFERROR(DATE(VALUE(MID(TRIM(N436&amp;" "&amp;O436),12,4)),VALUE(MID(TRIM(N436&amp;" "&amp;O436),17,2)),VALUE(MID(TRIM(N436&amp;" "&amp;O436),20,2))),IF(ISNUMBER(I436),I436,"")),"")</f>
        <v/>
      </c>
      <c r="AD436" s="17">
        <f>IF(AND(ISNUMBER(AB436),ISNUMBER(AC436)),MAX(0,MIN(AC436,EOMONTH(출력_요약!$B$3,0))-MAX(AB436,출력_요약!$B$3)+1),0)</f>
        <v/>
      </c>
      <c r="AE436" s="10">
        <f>IF(AND(Q436&lt;&gt;"",ISNUMBER(AB436)),Q436&amp;"|다기관","")</f>
        <v/>
      </c>
    </row>
    <row r="437">
      <c r="A437" s="15">
        <f>IF(F437="","",ROW()-3)</f>
        <v/>
      </c>
      <c r="B437" s="5" t="n"/>
      <c r="C437" s="15" t="n"/>
      <c r="D437" s="5" t="n"/>
      <c r="E437" s="15" t="n"/>
      <c r="F437" s="5" t="n"/>
      <c r="G437" s="6" t="n"/>
      <c r="H437" s="16" t="n"/>
      <c r="I437" s="16" t="n"/>
      <c r="J437" s="15">
        <f>IF(AND(ISNUMBER(H437),ISNUMBER(I437)),I437-H437+1,"")</f>
        <v/>
      </c>
      <c r="K437" s="5" t="n"/>
      <c r="L437" s="5" t="n"/>
      <c r="M437" s="5" t="n"/>
      <c r="N437" s="5" t="n"/>
      <c r="O437" s="5" t="n"/>
      <c r="Q437" s="10">
        <f>IF(TRIM(G437&amp;"")="","",TRIM(G437&amp;""))</f>
        <v/>
      </c>
      <c r="R437" s="10">
        <f>IF(TRIM(B437&amp;"")="","",IFERROR(INDEX(설정_코드표!$K$2:$K$101,MATCH(TRIM(B437&amp;""),설정_코드표!$J$2:$J$101,0)),"⚠"&amp;TRIM(B437&amp;"")))</f>
        <v/>
      </c>
      <c r="S437" s="10">
        <f>IF(TRIM(K437&amp;"")="","",IFERROR(INDEX(설정_코드표!$K$2:$K$101,MATCH(TRIM(K437&amp;""),설정_코드표!$J$2:$J$101,0)),"⚠"&amp;TRIM(K437&amp;"")))</f>
        <v/>
      </c>
      <c r="T437" s="10">
        <f>IF(TRIM(M437&amp;"")="","",IF(ISNUMBER(MATCH(TRIM(M437&amp;""),설정_코드표!$C$2:$C$11,0)),TRIM(M437&amp;""),"⚠"&amp;TRIM(M437&amp;"")))</f>
        <v/>
      </c>
      <c r="U437" s="10">
        <f>IF(TRIM(L437&amp;"")="","",IFERROR(INDEX(설정_코드표!$G$2:$G$101,MATCH(TRIM(L437&amp;""),설정_코드표!$F$2:$F$101,0)),"⚠"&amp;TRIM(L437&amp;"")))</f>
        <v/>
      </c>
      <c r="V437" s="10">
        <f>IF(AND(ISNUMBER(H437),ISNUMBER(I437)),I437-H437+1,"")</f>
        <v/>
      </c>
      <c r="W437" s="17">
        <f>IF(ISNUMBER(H437),MAX(0,MIN(IF(ISNUMBER(I437),I437,EOMONTH(출력_요약!$B$3,0)),EOMONTH(출력_요약!$B$3,0))-MAX(H437,출력_요약!$B$3)+1),0)</f>
        <v/>
      </c>
      <c r="X437" s="10">
        <f>IF(OR(NOT(ISNUMBER(H437)),Q437=""),"",IF(TODAY()&lt;H437,"파견예정",IF(AND(ISNUMBER(I437),TODAY()&gt;I437),"파견종료","파견중")))</f>
        <v/>
      </c>
      <c r="Y437" s="10">
        <f>IF(OR(Q437="",X437=""),"",Q437&amp;"|"&amp;X437)</f>
        <v/>
      </c>
      <c r="Z437" s="10">
        <f>IF(AND(Q437&lt;&gt;"",W437&gt;0),Q437&amp;"|월","")</f>
        <v/>
      </c>
      <c r="AA437" s="10">
        <f>IF(COUNTA(B437:I437,K437:N437)=0,"",IF(Q437="","등록번호 없음",IF(LEFT(R437,1)="⚠","모병원명 미등록",IF(S437="","파견병원 입력",IF(LEFT(S437,1)="⚠","파견병원명 미등록",IF(LEFT(U437,1)="⚠","파견과목 미등록",IF(OR(T437="",LEFT(T437,1)="⚠"),"파견근거 확인",IF(NOT(AND(ISNUMBER(H437),ISNUMBER(I437))),"날짜 형식/누락",IF(I437&lt;H437,"종료일&lt;시작일","")))))))))</f>
        <v/>
      </c>
      <c r="AB437" s="11">
        <f>IF(ISNUMBER(SEARCH("다기관",TRIM(N437&amp;" "&amp;O437))),IFERROR(DATE(VALUE(MID(TRIM(N437&amp;" "&amp;O437),1,4)),VALUE(MID(TRIM(N437&amp;" "&amp;O437),6,2)),VALUE(MID(TRIM(N437&amp;" "&amp;O437),9,2))),IF(ISNUMBER(H437),H437,"")),"")</f>
        <v/>
      </c>
      <c r="AC437" s="11">
        <f>IF(ISNUMBER(SEARCH("다기관",TRIM(N437&amp;" "&amp;O437))),IFERROR(DATE(VALUE(MID(TRIM(N437&amp;" "&amp;O437),12,4)),VALUE(MID(TRIM(N437&amp;" "&amp;O437),17,2)),VALUE(MID(TRIM(N437&amp;" "&amp;O437),20,2))),IF(ISNUMBER(I437),I437,"")),"")</f>
        <v/>
      </c>
      <c r="AD437" s="17">
        <f>IF(AND(ISNUMBER(AB437),ISNUMBER(AC437)),MAX(0,MIN(AC437,EOMONTH(출력_요약!$B$3,0))-MAX(AB437,출력_요약!$B$3)+1),0)</f>
        <v/>
      </c>
      <c r="AE437" s="10">
        <f>IF(AND(Q437&lt;&gt;"",ISNUMBER(AB437)),Q437&amp;"|다기관","")</f>
        <v/>
      </c>
    </row>
    <row r="438">
      <c r="A438" s="15">
        <f>IF(F438="","",ROW()-3)</f>
        <v/>
      </c>
      <c r="B438" s="5" t="n"/>
      <c r="C438" s="15" t="n"/>
      <c r="D438" s="5" t="n"/>
      <c r="E438" s="15" t="n"/>
      <c r="F438" s="5" t="n"/>
      <c r="G438" s="6" t="n"/>
      <c r="H438" s="16" t="n"/>
      <c r="I438" s="16" t="n"/>
      <c r="J438" s="15">
        <f>IF(AND(ISNUMBER(H438),ISNUMBER(I438)),I438-H438+1,"")</f>
        <v/>
      </c>
      <c r="K438" s="5" t="n"/>
      <c r="L438" s="5" t="n"/>
      <c r="M438" s="5" t="n"/>
      <c r="N438" s="5" t="n"/>
      <c r="O438" s="5" t="n"/>
      <c r="Q438" s="10">
        <f>IF(TRIM(G438&amp;"")="","",TRIM(G438&amp;""))</f>
        <v/>
      </c>
      <c r="R438" s="10">
        <f>IF(TRIM(B438&amp;"")="","",IFERROR(INDEX(설정_코드표!$K$2:$K$101,MATCH(TRIM(B438&amp;""),설정_코드표!$J$2:$J$101,0)),"⚠"&amp;TRIM(B438&amp;"")))</f>
        <v/>
      </c>
      <c r="S438" s="10">
        <f>IF(TRIM(K438&amp;"")="","",IFERROR(INDEX(설정_코드표!$K$2:$K$101,MATCH(TRIM(K438&amp;""),설정_코드표!$J$2:$J$101,0)),"⚠"&amp;TRIM(K438&amp;"")))</f>
        <v/>
      </c>
      <c r="T438" s="10">
        <f>IF(TRIM(M438&amp;"")="","",IF(ISNUMBER(MATCH(TRIM(M438&amp;""),설정_코드표!$C$2:$C$11,0)),TRIM(M438&amp;""),"⚠"&amp;TRIM(M438&amp;"")))</f>
        <v/>
      </c>
      <c r="U438" s="10">
        <f>IF(TRIM(L438&amp;"")="","",IFERROR(INDEX(설정_코드표!$G$2:$G$101,MATCH(TRIM(L438&amp;""),설정_코드표!$F$2:$F$101,0)),"⚠"&amp;TRIM(L438&amp;"")))</f>
        <v/>
      </c>
      <c r="V438" s="10">
        <f>IF(AND(ISNUMBER(H438),ISNUMBER(I438)),I438-H438+1,"")</f>
        <v/>
      </c>
      <c r="W438" s="17">
        <f>IF(ISNUMBER(H438),MAX(0,MIN(IF(ISNUMBER(I438),I438,EOMONTH(출력_요약!$B$3,0)),EOMONTH(출력_요약!$B$3,0))-MAX(H438,출력_요약!$B$3)+1),0)</f>
        <v/>
      </c>
      <c r="X438" s="10">
        <f>IF(OR(NOT(ISNUMBER(H438)),Q438=""),"",IF(TODAY()&lt;H438,"파견예정",IF(AND(ISNUMBER(I438),TODAY()&gt;I438),"파견종료","파견중")))</f>
        <v/>
      </c>
      <c r="Y438" s="10">
        <f>IF(OR(Q438="",X438=""),"",Q438&amp;"|"&amp;X438)</f>
        <v/>
      </c>
      <c r="Z438" s="10">
        <f>IF(AND(Q438&lt;&gt;"",W438&gt;0),Q438&amp;"|월","")</f>
        <v/>
      </c>
      <c r="AA438" s="10">
        <f>IF(COUNTA(B438:I438,K438:N438)=0,"",IF(Q438="","등록번호 없음",IF(LEFT(R438,1)="⚠","모병원명 미등록",IF(S438="","파견병원 입력",IF(LEFT(S438,1)="⚠","파견병원명 미등록",IF(LEFT(U438,1)="⚠","파견과목 미등록",IF(OR(T438="",LEFT(T438,1)="⚠"),"파견근거 확인",IF(NOT(AND(ISNUMBER(H438),ISNUMBER(I438))),"날짜 형식/누락",IF(I438&lt;H438,"종료일&lt;시작일","")))))))))</f>
        <v/>
      </c>
      <c r="AB438" s="11">
        <f>IF(ISNUMBER(SEARCH("다기관",TRIM(N438&amp;" "&amp;O438))),IFERROR(DATE(VALUE(MID(TRIM(N438&amp;" "&amp;O438),1,4)),VALUE(MID(TRIM(N438&amp;" "&amp;O438),6,2)),VALUE(MID(TRIM(N438&amp;" "&amp;O438),9,2))),IF(ISNUMBER(H438),H438,"")),"")</f>
        <v/>
      </c>
      <c r="AC438" s="11">
        <f>IF(ISNUMBER(SEARCH("다기관",TRIM(N438&amp;" "&amp;O438))),IFERROR(DATE(VALUE(MID(TRIM(N438&amp;" "&amp;O438),12,4)),VALUE(MID(TRIM(N438&amp;" "&amp;O438),17,2)),VALUE(MID(TRIM(N438&amp;" "&amp;O438),20,2))),IF(ISNUMBER(I438),I438,"")),"")</f>
        <v/>
      </c>
      <c r="AD438" s="17">
        <f>IF(AND(ISNUMBER(AB438),ISNUMBER(AC438)),MAX(0,MIN(AC438,EOMONTH(출력_요약!$B$3,0))-MAX(AB438,출력_요약!$B$3)+1),0)</f>
        <v/>
      </c>
      <c r="AE438" s="10">
        <f>IF(AND(Q438&lt;&gt;"",ISNUMBER(AB438)),Q438&amp;"|다기관","")</f>
        <v/>
      </c>
    </row>
    <row r="439">
      <c r="A439" s="15">
        <f>IF(F439="","",ROW()-3)</f>
        <v/>
      </c>
      <c r="B439" s="5" t="n"/>
      <c r="C439" s="15" t="n"/>
      <c r="D439" s="5" t="n"/>
      <c r="E439" s="15" t="n"/>
      <c r="F439" s="5" t="n"/>
      <c r="G439" s="6" t="n"/>
      <c r="H439" s="16" t="n"/>
      <c r="I439" s="16" t="n"/>
      <c r="J439" s="15">
        <f>IF(AND(ISNUMBER(H439),ISNUMBER(I439)),I439-H439+1,"")</f>
        <v/>
      </c>
      <c r="K439" s="5" t="n"/>
      <c r="L439" s="5" t="n"/>
      <c r="M439" s="5" t="n"/>
      <c r="N439" s="5" t="n"/>
      <c r="O439" s="5" t="n"/>
      <c r="Q439" s="10">
        <f>IF(TRIM(G439&amp;"")="","",TRIM(G439&amp;""))</f>
        <v/>
      </c>
      <c r="R439" s="10">
        <f>IF(TRIM(B439&amp;"")="","",IFERROR(INDEX(설정_코드표!$K$2:$K$101,MATCH(TRIM(B439&amp;""),설정_코드표!$J$2:$J$101,0)),"⚠"&amp;TRIM(B439&amp;"")))</f>
        <v/>
      </c>
      <c r="S439" s="10">
        <f>IF(TRIM(K439&amp;"")="","",IFERROR(INDEX(설정_코드표!$K$2:$K$101,MATCH(TRIM(K439&amp;""),설정_코드표!$J$2:$J$101,0)),"⚠"&amp;TRIM(K439&amp;"")))</f>
        <v/>
      </c>
      <c r="T439" s="10">
        <f>IF(TRIM(M439&amp;"")="","",IF(ISNUMBER(MATCH(TRIM(M439&amp;""),설정_코드표!$C$2:$C$11,0)),TRIM(M439&amp;""),"⚠"&amp;TRIM(M439&amp;"")))</f>
        <v/>
      </c>
      <c r="U439" s="10">
        <f>IF(TRIM(L439&amp;"")="","",IFERROR(INDEX(설정_코드표!$G$2:$G$101,MATCH(TRIM(L439&amp;""),설정_코드표!$F$2:$F$101,0)),"⚠"&amp;TRIM(L439&amp;"")))</f>
        <v/>
      </c>
      <c r="V439" s="10">
        <f>IF(AND(ISNUMBER(H439),ISNUMBER(I439)),I439-H439+1,"")</f>
        <v/>
      </c>
      <c r="W439" s="17">
        <f>IF(ISNUMBER(H439),MAX(0,MIN(IF(ISNUMBER(I439),I439,EOMONTH(출력_요약!$B$3,0)),EOMONTH(출력_요약!$B$3,0))-MAX(H439,출력_요약!$B$3)+1),0)</f>
        <v/>
      </c>
      <c r="X439" s="10">
        <f>IF(OR(NOT(ISNUMBER(H439)),Q439=""),"",IF(TODAY()&lt;H439,"파견예정",IF(AND(ISNUMBER(I439),TODAY()&gt;I439),"파견종료","파견중")))</f>
        <v/>
      </c>
      <c r="Y439" s="10">
        <f>IF(OR(Q439="",X439=""),"",Q439&amp;"|"&amp;X439)</f>
        <v/>
      </c>
      <c r="Z439" s="10">
        <f>IF(AND(Q439&lt;&gt;"",W439&gt;0),Q439&amp;"|월","")</f>
        <v/>
      </c>
      <c r="AA439" s="10">
        <f>IF(COUNTA(B439:I439,K439:N439)=0,"",IF(Q439="","등록번호 없음",IF(LEFT(R439,1)="⚠","모병원명 미등록",IF(S439="","파견병원 입력",IF(LEFT(S439,1)="⚠","파견병원명 미등록",IF(LEFT(U439,1)="⚠","파견과목 미등록",IF(OR(T439="",LEFT(T439,1)="⚠"),"파견근거 확인",IF(NOT(AND(ISNUMBER(H439),ISNUMBER(I439))),"날짜 형식/누락",IF(I439&lt;H439,"종료일&lt;시작일","")))))))))</f>
        <v/>
      </c>
      <c r="AB439" s="11">
        <f>IF(ISNUMBER(SEARCH("다기관",TRIM(N439&amp;" "&amp;O439))),IFERROR(DATE(VALUE(MID(TRIM(N439&amp;" "&amp;O439),1,4)),VALUE(MID(TRIM(N439&amp;" "&amp;O439),6,2)),VALUE(MID(TRIM(N439&amp;" "&amp;O439),9,2))),IF(ISNUMBER(H439),H439,"")),"")</f>
        <v/>
      </c>
      <c r="AC439" s="11">
        <f>IF(ISNUMBER(SEARCH("다기관",TRIM(N439&amp;" "&amp;O439))),IFERROR(DATE(VALUE(MID(TRIM(N439&amp;" "&amp;O439),12,4)),VALUE(MID(TRIM(N439&amp;" "&amp;O439),17,2)),VALUE(MID(TRIM(N439&amp;" "&amp;O439),20,2))),IF(ISNUMBER(I439),I439,"")),"")</f>
        <v/>
      </c>
      <c r="AD439" s="17">
        <f>IF(AND(ISNUMBER(AB439),ISNUMBER(AC439)),MAX(0,MIN(AC439,EOMONTH(출력_요약!$B$3,0))-MAX(AB439,출력_요약!$B$3)+1),0)</f>
        <v/>
      </c>
      <c r="AE439" s="10">
        <f>IF(AND(Q439&lt;&gt;"",ISNUMBER(AB439)),Q439&amp;"|다기관","")</f>
        <v/>
      </c>
    </row>
    <row r="440">
      <c r="A440" s="15">
        <f>IF(F440="","",ROW()-3)</f>
        <v/>
      </c>
      <c r="B440" s="5" t="n"/>
      <c r="C440" s="15" t="n"/>
      <c r="D440" s="5" t="n"/>
      <c r="E440" s="15" t="n"/>
      <c r="F440" s="5" t="n"/>
      <c r="G440" s="6" t="n"/>
      <c r="H440" s="16" t="n"/>
      <c r="I440" s="16" t="n"/>
      <c r="J440" s="15">
        <f>IF(AND(ISNUMBER(H440),ISNUMBER(I440)),I440-H440+1,"")</f>
        <v/>
      </c>
      <c r="K440" s="5" t="n"/>
      <c r="L440" s="5" t="n"/>
      <c r="M440" s="5" t="n"/>
      <c r="N440" s="5" t="n"/>
      <c r="O440" s="5" t="n"/>
      <c r="Q440" s="10">
        <f>IF(TRIM(G440&amp;"")="","",TRIM(G440&amp;""))</f>
        <v/>
      </c>
      <c r="R440" s="10">
        <f>IF(TRIM(B440&amp;"")="","",IFERROR(INDEX(설정_코드표!$K$2:$K$101,MATCH(TRIM(B440&amp;""),설정_코드표!$J$2:$J$101,0)),"⚠"&amp;TRIM(B440&amp;"")))</f>
        <v/>
      </c>
      <c r="S440" s="10">
        <f>IF(TRIM(K440&amp;"")="","",IFERROR(INDEX(설정_코드표!$K$2:$K$101,MATCH(TRIM(K440&amp;""),설정_코드표!$J$2:$J$101,0)),"⚠"&amp;TRIM(K440&amp;"")))</f>
        <v/>
      </c>
      <c r="T440" s="10">
        <f>IF(TRIM(M440&amp;"")="","",IF(ISNUMBER(MATCH(TRIM(M440&amp;""),설정_코드표!$C$2:$C$11,0)),TRIM(M440&amp;""),"⚠"&amp;TRIM(M440&amp;"")))</f>
        <v/>
      </c>
      <c r="U440" s="10">
        <f>IF(TRIM(L440&amp;"")="","",IFERROR(INDEX(설정_코드표!$G$2:$G$101,MATCH(TRIM(L440&amp;""),설정_코드표!$F$2:$F$101,0)),"⚠"&amp;TRIM(L440&amp;"")))</f>
        <v/>
      </c>
      <c r="V440" s="10">
        <f>IF(AND(ISNUMBER(H440),ISNUMBER(I440)),I440-H440+1,"")</f>
        <v/>
      </c>
      <c r="W440" s="17">
        <f>IF(ISNUMBER(H440),MAX(0,MIN(IF(ISNUMBER(I440),I440,EOMONTH(출력_요약!$B$3,0)),EOMONTH(출력_요약!$B$3,0))-MAX(H440,출력_요약!$B$3)+1),0)</f>
        <v/>
      </c>
      <c r="X440" s="10">
        <f>IF(OR(NOT(ISNUMBER(H440)),Q440=""),"",IF(TODAY()&lt;H440,"파견예정",IF(AND(ISNUMBER(I440),TODAY()&gt;I440),"파견종료","파견중")))</f>
        <v/>
      </c>
      <c r="Y440" s="10">
        <f>IF(OR(Q440="",X440=""),"",Q440&amp;"|"&amp;X440)</f>
        <v/>
      </c>
      <c r="Z440" s="10">
        <f>IF(AND(Q440&lt;&gt;"",W440&gt;0),Q440&amp;"|월","")</f>
        <v/>
      </c>
      <c r="AA440" s="10">
        <f>IF(COUNTA(B440:I440,K440:N440)=0,"",IF(Q440="","등록번호 없음",IF(LEFT(R440,1)="⚠","모병원명 미등록",IF(S440="","파견병원 입력",IF(LEFT(S440,1)="⚠","파견병원명 미등록",IF(LEFT(U440,1)="⚠","파견과목 미등록",IF(OR(T440="",LEFT(T440,1)="⚠"),"파견근거 확인",IF(NOT(AND(ISNUMBER(H440),ISNUMBER(I440))),"날짜 형식/누락",IF(I440&lt;H440,"종료일&lt;시작일","")))))))))</f>
        <v/>
      </c>
      <c r="AB440" s="11">
        <f>IF(ISNUMBER(SEARCH("다기관",TRIM(N440&amp;" "&amp;O440))),IFERROR(DATE(VALUE(MID(TRIM(N440&amp;" "&amp;O440),1,4)),VALUE(MID(TRIM(N440&amp;" "&amp;O440),6,2)),VALUE(MID(TRIM(N440&amp;" "&amp;O440),9,2))),IF(ISNUMBER(H440),H440,"")),"")</f>
        <v/>
      </c>
      <c r="AC440" s="11">
        <f>IF(ISNUMBER(SEARCH("다기관",TRIM(N440&amp;" "&amp;O440))),IFERROR(DATE(VALUE(MID(TRIM(N440&amp;" "&amp;O440),12,4)),VALUE(MID(TRIM(N440&amp;" "&amp;O440),17,2)),VALUE(MID(TRIM(N440&amp;" "&amp;O440),20,2))),IF(ISNUMBER(I440),I440,"")),"")</f>
        <v/>
      </c>
      <c r="AD440" s="17">
        <f>IF(AND(ISNUMBER(AB440),ISNUMBER(AC440)),MAX(0,MIN(AC440,EOMONTH(출력_요약!$B$3,0))-MAX(AB440,출력_요약!$B$3)+1),0)</f>
        <v/>
      </c>
      <c r="AE440" s="10">
        <f>IF(AND(Q440&lt;&gt;"",ISNUMBER(AB440)),Q440&amp;"|다기관","")</f>
        <v/>
      </c>
    </row>
    <row r="441">
      <c r="A441" s="15">
        <f>IF(F441="","",ROW()-3)</f>
        <v/>
      </c>
      <c r="B441" s="5" t="n"/>
      <c r="C441" s="15" t="n"/>
      <c r="D441" s="5" t="n"/>
      <c r="E441" s="15" t="n"/>
      <c r="F441" s="5" t="n"/>
      <c r="G441" s="6" t="n"/>
      <c r="H441" s="16" t="n"/>
      <c r="I441" s="16" t="n"/>
      <c r="J441" s="15">
        <f>IF(AND(ISNUMBER(H441),ISNUMBER(I441)),I441-H441+1,"")</f>
        <v/>
      </c>
      <c r="K441" s="5" t="n"/>
      <c r="L441" s="5" t="n"/>
      <c r="M441" s="5" t="n"/>
      <c r="N441" s="5" t="n"/>
      <c r="O441" s="5" t="n"/>
      <c r="Q441" s="10">
        <f>IF(TRIM(G441&amp;"")="","",TRIM(G441&amp;""))</f>
        <v/>
      </c>
      <c r="R441" s="10">
        <f>IF(TRIM(B441&amp;"")="","",IFERROR(INDEX(설정_코드표!$K$2:$K$101,MATCH(TRIM(B441&amp;""),설정_코드표!$J$2:$J$101,0)),"⚠"&amp;TRIM(B441&amp;"")))</f>
        <v/>
      </c>
      <c r="S441" s="10">
        <f>IF(TRIM(K441&amp;"")="","",IFERROR(INDEX(설정_코드표!$K$2:$K$101,MATCH(TRIM(K441&amp;""),설정_코드표!$J$2:$J$101,0)),"⚠"&amp;TRIM(K441&amp;"")))</f>
        <v/>
      </c>
      <c r="T441" s="10">
        <f>IF(TRIM(M441&amp;"")="","",IF(ISNUMBER(MATCH(TRIM(M441&amp;""),설정_코드표!$C$2:$C$11,0)),TRIM(M441&amp;""),"⚠"&amp;TRIM(M441&amp;"")))</f>
        <v/>
      </c>
      <c r="U441" s="10">
        <f>IF(TRIM(L441&amp;"")="","",IFERROR(INDEX(설정_코드표!$G$2:$G$101,MATCH(TRIM(L441&amp;""),설정_코드표!$F$2:$F$101,0)),"⚠"&amp;TRIM(L441&amp;"")))</f>
        <v/>
      </c>
      <c r="V441" s="10">
        <f>IF(AND(ISNUMBER(H441),ISNUMBER(I441)),I441-H441+1,"")</f>
        <v/>
      </c>
      <c r="W441" s="17">
        <f>IF(ISNUMBER(H441),MAX(0,MIN(IF(ISNUMBER(I441),I441,EOMONTH(출력_요약!$B$3,0)),EOMONTH(출력_요약!$B$3,0))-MAX(H441,출력_요약!$B$3)+1),0)</f>
        <v/>
      </c>
      <c r="X441" s="10">
        <f>IF(OR(NOT(ISNUMBER(H441)),Q441=""),"",IF(TODAY()&lt;H441,"파견예정",IF(AND(ISNUMBER(I441),TODAY()&gt;I441),"파견종료","파견중")))</f>
        <v/>
      </c>
      <c r="Y441" s="10">
        <f>IF(OR(Q441="",X441=""),"",Q441&amp;"|"&amp;X441)</f>
        <v/>
      </c>
      <c r="Z441" s="10">
        <f>IF(AND(Q441&lt;&gt;"",W441&gt;0),Q441&amp;"|월","")</f>
        <v/>
      </c>
      <c r="AA441" s="10">
        <f>IF(COUNTA(B441:I441,K441:N441)=0,"",IF(Q441="","등록번호 없음",IF(LEFT(R441,1)="⚠","모병원명 미등록",IF(S441="","파견병원 입력",IF(LEFT(S441,1)="⚠","파견병원명 미등록",IF(LEFT(U441,1)="⚠","파견과목 미등록",IF(OR(T441="",LEFT(T441,1)="⚠"),"파견근거 확인",IF(NOT(AND(ISNUMBER(H441),ISNUMBER(I441))),"날짜 형식/누락",IF(I441&lt;H441,"종료일&lt;시작일","")))))))))</f>
        <v/>
      </c>
      <c r="AB441" s="11">
        <f>IF(ISNUMBER(SEARCH("다기관",TRIM(N441&amp;" "&amp;O441))),IFERROR(DATE(VALUE(MID(TRIM(N441&amp;" "&amp;O441),1,4)),VALUE(MID(TRIM(N441&amp;" "&amp;O441),6,2)),VALUE(MID(TRIM(N441&amp;" "&amp;O441),9,2))),IF(ISNUMBER(H441),H441,"")),"")</f>
        <v/>
      </c>
      <c r="AC441" s="11">
        <f>IF(ISNUMBER(SEARCH("다기관",TRIM(N441&amp;" "&amp;O441))),IFERROR(DATE(VALUE(MID(TRIM(N441&amp;" "&amp;O441),12,4)),VALUE(MID(TRIM(N441&amp;" "&amp;O441),17,2)),VALUE(MID(TRIM(N441&amp;" "&amp;O441),20,2))),IF(ISNUMBER(I441),I441,"")),"")</f>
        <v/>
      </c>
      <c r="AD441" s="17">
        <f>IF(AND(ISNUMBER(AB441),ISNUMBER(AC441)),MAX(0,MIN(AC441,EOMONTH(출력_요약!$B$3,0))-MAX(AB441,출력_요약!$B$3)+1),0)</f>
        <v/>
      </c>
      <c r="AE441" s="10">
        <f>IF(AND(Q441&lt;&gt;"",ISNUMBER(AB441)),Q441&amp;"|다기관","")</f>
        <v/>
      </c>
    </row>
    <row r="442">
      <c r="A442" s="15">
        <f>IF(F442="","",ROW()-3)</f>
        <v/>
      </c>
      <c r="B442" s="5" t="n"/>
      <c r="C442" s="15" t="n"/>
      <c r="D442" s="5" t="n"/>
      <c r="E442" s="15" t="n"/>
      <c r="F442" s="5" t="n"/>
      <c r="G442" s="6" t="n"/>
      <c r="H442" s="16" t="n"/>
      <c r="I442" s="16" t="n"/>
      <c r="J442" s="15">
        <f>IF(AND(ISNUMBER(H442),ISNUMBER(I442)),I442-H442+1,"")</f>
        <v/>
      </c>
      <c r="K442" s="5" t="n"/>
      <c r="L442" s="5" t="n"/>
      <c r="M442" s="5" t="n"/>
      <c r="N442" s="5" t="n"/>
      <c r="O442" s="5" t="n"/>
      <c r="Q442" s="10">
        <f>IF(TRIM(G442&amp;"")="","",TRIM(G442&amp;""))</f>
        <v/>
      </c>
      <c r="R442" s="10">
        <f>IF(TRIM(B442&amp;"")="","",IFERROR(INDEX(설정_코드표!$K$2:$K$101,MATCH(TRIM(B442&amp;""),설정_코드표!$J$2:$J$101,0)),"⚠"&amp;TRIM(B442&amp;"")))</f>
        <v/>
      </c>
      <c r="S442" s="10">
        <f>IF(TRIM(K442&amp;"")="","",IFERROR(INDEX(설정_코드표!$K$2:$K$101,MATCH(TRIM(K442&amp;""),설정_코드표!$J$2:$J$101,0)),"⚠"&amp;TRIM(K442&amp;"")))</f>
        <v/>
      </c>
      <c r="T442" s="10">
        <f>IF(TRIM(M442&amp;"")="","",IF(ISNUMBER(MATCH(TRIM(M442&amp;""),설정_코드표!$C$2:$C$11,0)),TRIM(M442&amp;""),"⚠"&amp;TRIM(M442&amp;"")))</f>
        <v/>
      </c>
      <c r="U442" s="10">
        <f>IF(TRIM(L442&amp;"")="","",IFERROR(INDEX(설정_코드표!$G$2:$G$101,MATCH(TRIM(L442&amp;""),설정_코드표!$F$2:$F$101,0)),"⚠"&amp;TRIM(L442&amp;"")))</f>
        <v/>
      </c>
      <c r="V442" s="10">
        <f>IF(AND(ISNUMBER(H442),ISNUMBER(I442)),I442-H442+1,"")</f>
        <v/>
      </c>
      <c r="W442" s="17">
        <f>IF(ISNUMBER(H442),MAX(0,MIN(IF(ISNUMBER(I442),I442,EOMONTH(출력_요약!$B$3,0)),EOMONTH(출력_요약!$B$3,0))-MAX(H442,출력_요약!$B$3)+1),0)</f>
        <v/>
      </c>
      <c r="X442" s="10">
        <f>IF(OR(NOT(ISNUMBER(H442)),Q442=""),"",IF(TODAY()&lt;H442,"파견예정",IF(AND(ISNUMBER(I442),TODAY()&gt;I442),"파견종료","파견중")))</f>
        <v/>
      </c>
      <c r="Y442" s="10">
        <f>IF(OR(Q442="",X442=""),"",Q442&amp;"|"&amp;X442)</f>
        <v/>
      </c>
      <c r="Z442" s="10">
        <f>IF(AND(Q442&lt;&gt;"",W442&gt;0),Q442&amp;"|월","")</f>
        <v/>
      </c>
      <c r="AA442" s="10">
        <f>IF(COUNTA(B442:I442,K442:N442)=0,"",IF(Q442="","등록번호 없음",IF(LEFT(R442,1)="⚠","모병원명 미등록",IF(S442="","파견병원 입력",IF(LEFT(S442,1)="⚠","파견병원명 미등록",IF(LEFT(U442,1)="⚠","파견과목 미등록",IF(OR(T442="",LEFT(T442,1)="⚠"),"파견근거 확인",IF(NOT(AND(ISNUMBER(H442),ISNUMBER(I442))),"날짜 형식/누락",IF(I442&lt;H442,"종료일&lt;시작일","")))))))))</f>
        <v/>
      </c>
      <c r="AB442" s="11">
        <f>IF(ISNUMBER(SEARCH("다기관",TRIM(N442&amp;" "&amp;O442))),IFERROR(DATE(VALUE(MID(TRIM(N442&amp;" "&amp;O442),1,4)),VALUE(MID(TRIM(N442&amp;" "&amp;O442),6,2)),VALUE(MID(TRIM(N442&amp;" "&amp;O442),9,2))),IF(ISNUMBER(H442),H442,"")),"")</f>
        <v/>
      </c>
      <c r="AC442" s="11">
        <f>IF(ISNUMBER(SEARCH("다기관",TRIM(N442&amp;" "&amp;O442))),IFERROR(DATE(VALUE(MID(TRIM(N442&amp;" "&amp;O442),12,4)),VALUE(MID(TRIM(N442&amp;" "&amp;O442),17,2)),VALUE(MID(TRIM(N442&amp;" "&amp;O442),20,2))),IF(ISNUMBER(I442),I442,"")),"")</f>
        <v/>
      </c>
      <c r="AD442" s="17">
        <f>IF(AND(ISNUMBER(AB442),ISNUMBER(AC442)),MAX(0,MIN(AC442,EOMONTH(출력_요약!$B$3,0))-MAX(AB442,출력_요약!$B$3)+1),0)</f>
        <v/>
      </c>
      <c r="AE442" s="10">
        <f>IF(AND(Q442&lt;&gt;"",ISNUMBER(AB442)),Q442&amp;"|다기관","")</f>
        <v/>
      </c>
    </row>
    <row r="443">
      <c r="A443" s="15">
        <f>IF(F443="","",ROW()-3)</f>
        <v/>
      </c>
      <c r="B443" s="5" t="n"/>
      <c r="C443" s="15" t="n"/>
      <c r="D443" s="5" t="n"/>
      <c r="E443" s="15" t="n"/>
      <c r="F443" s="5" t="n"/>
      <c r="G443" s="6" t="n"/>
      <c r="H443" s="16" t="n"/>
      <c r="I443" s="16" t="n"/>
      <c r="J443" s="15">
        <f>IF(AND(ISNUMBER(H443),ISNUMBER(I443)),I443-H443+1,"")</f>
        <v/>
      </c>
      <c r="K443" s="5" t="n"/>
      <c r="L443" s="5" t="n"/>
      <c r="M443" s="5" t="n"/>
      <c r="N443" s="5" t="n"/>
      <c r="O443" s="5" t="n"/>
      <c r="Q443" s="10">
        <f>IF(TRIM(G443&amp;"")="","",TRIM(G443&amp;""))</f>
        <v/>
      </c>
      <c r="R443" s="10">
        <f>IF(TRIM(B443&amp;"")="","",IFERROR(INDEX(설정_코드표!$K$2:$K$101,MATCH(TRIM(B443&amp;""),설정_코드표!$J$2:$J$101,0)),"⚠"&amp;TRIM(B443&amp;"")))</f>
        <v/>
      </c>
      <c r="S443" s="10">
        <f>IF(TRIM(K443&amp;"")="","",IFERROR(INDEX(설정_코드표!$K$2:$K$101,MATCH(TRIM(K443&amp;""),설정_코드표!$J$2:$J$101,0)),"⚠"&amp;TRIM(K443&amp;"")))</f>
        <v/>
      </c>
      <c r="T443" s="10">
        <f>IF(TRIM(M443&amp;"")="","",IF(ISNUMBER(MATCH(TRIM(M443&amp;""),설정_코드표!$C$2:$C$11,0)),TRIM(M443&amp;""),"⚠"&amp;TRIM(M443&amp;"")))</f>
        <v/>
      </c>
      <c r="U443" s="10">
        <f>IF(TRIM(L443&amp;"")="","",IFERROR(INDEX(설정_코드표!$G$2:$G$101,MATCH(TRIM(L443&amp;""),설정_코드표!$F$2:$F$101,0)),"⚠"&amp;TRIM(L443&amp;"")))</f>
        <v/>
      </c>
      <c r="V443" s="10">
        <f>IF(AND(ISNUMBER(H443),ISNUMBER(I443)),I443-H443+1,"")</f>
        <v/>
      </c>
      <c r="W443" s="17">
        <f>IF(ISNUMBER(H443),MAX(0,MIN(IF(ISNUMBER(I443),I443,EOMONTH(출력_요약!$B$3,0)),EOMONTH(출력_요약!$B$3,0))-MAX(H443,출력_요약!$B$3)+1),0)</f>
        <v/>
      </c>
      <c r="X443" s="10">
        <f>IF(OR(NOT(ISNUMBER(H443)),Q443=""),"",IF(TODAY()&lt;H443,"파견예정",IF(AND(ISNUMBER(I443),TODAY()&gt;I443),"파견종료","파견중")))</f>
        <v/>
      </c>
      <c r="Y443" s="10">
        <f>IF(OR(Q443="",X443=""),"",Q443&amp;"|"&amp;X443)</f>
        <v/>
      </c>
      <c r="Z443" s="10">
        <f>IF(AND(Q443&lt;&gt;"",W443&gt;0),Q443&amp;"|월","")</f>
        <v/>
      </c>
      <c r="AA443" s="10">
        <f>IF(COUNTA(B443:I443,K443:N443)=0,"",IF(Q443="","등록번호 없음",IF(LEFT(R443,1)="⚠","모병원명 미등록",IF(S443="","파견병원 입력",IF(LEFT(S443,1)="⚠","파견병원명 미등록",IF(LEFT(U443,1)="⚠","파견과목 미등록",IF(OR(T443="",LEFT(T443,1)="⚠"),"파견근거 확인",IF(NOT(AND(ISNUMBER(H443),ISNUMBER(I443))),"날짜 형식/누락",IF(I443&lt;H443,"종료일&lt;시작일","")))))))))</f>
        <v/>
      </c>
      <c r="AB443" s="11">
        <f>IF(ISNUMBER(SEARCH("다기관",TRIM(N443&amp;" "&amp;O443))),IFERROR(DATE(VALUE(MID(TRIM(N443&amp;" "&amp;O443),1,4)),VALUE(MID(TRIM(N443&amp;" "&amp;O443),6,2)),VALUE(MID(TRIM(N443&amp;" "&amp;O443),9,2))),IF(ISNUMBER(H443),H443,"")),"")</f>
        <v/>
      </c>
      <c r="AC443" s="11">
        <f>IF(ISNUMBER(SEARCH("다기관",TRIM(N443&amp;" "&amp;O443))),IFERROR(DATE(VALUE(MID(TRIM(N443&amp;" "&amp;O443),12,4)),VALUE(MID(TRIM(N443&amp;" "&amp;O443),17,2)),VALUE(MID(TRIM(N443&amp;" "&amp;O443),20,2))),IF(ISNUMBER(I443),I443,"")),"")</f>
        <v/>
      </c>
      <c r="AD443" s="17">
        <f>IF(AND(ISNUMBER(AB443),ISNUMBER(AC443)),MAX(0,MIN(AC443,EOMONTH(출력_요약!$B$3,0))-MAX(AB443,출력_요약!$B$3)+1),0)</f>
        <v/>
      </c>
      <c r="AE443" s="10">
        <f>IF(AND(Q443&lt;&gt;"",ISNUMBER(AB443)),Q443&amp;"|다기관","")</f>
        <v/>
      </c>
    </row>
    <row r="444">
      <c r="A444" s="15">
        <f>IF(F444="","",ROW()-3)</f>
        <v/>
      </c>
      <c r="B444" s="5" t="n"/>
      <c r="C444" s="15" t="n"/>
      <c r="D444" s="5" t="n"/>
      <c r="E444" s="15" t="n"/>
      <c r="F444" s="5" t="n"/>
      <c r="G444" s="6" t="n"/>
      <c r="H444" s="16" t="n"/>
      <c r="I444" s="16" t="n"/>
      <c r="J444" s="15">
        <f>IF(AND(ISNUMBER(H444),ISNUMBER(I444)),I444-H444+1,"")</f>
        <v/>
      </c>
      <c r="K444" s="5" t="n"/>
      <c r="L444" s="5" t="n"/>
      <c r="M444" s="5" t="n"/>
      <c r="N444" s="5" t="n"/>
      <c r="O444" s="5" t="n"/>
      <c r="Q444" s="10">
        <f>IF(TRIM(G444&amp;"")="","",TRIM(G444&amp;""))</f>
        <v/>
      </c>
      <c r="R444" s="10">
        <f>IF(TRIM(B444&amp;"")="","",IFERROR(INDEX(설정_코드표!$K$2:$K$101,MATCH(TRIM(B444&amp;""),설정_코드표!$J$2:$J$101,0)),"⚠"&amp;TRIM(B444&amp;"")))</f>
        <v/>
      </c>
      <c r="S444" s="10">
        <f>IF(TRIM(K444&amp;"")="","",IFERROR(INDEX(설정_코드표!$K$2:$K$101,MATCH(TRIM(K444&amp;""),설정_코드표!$J$2:$J$101,0)),"⚠"&amp;TRIM(K444&amp;"")))</f>
        <v/>
      </c>
      <c r="T444" s="10">
        <f>IF(TRIM(M444&amp;"")="","",IF(ISNUMBER(MATCH(TRIM(M444&amp;""),설정_코드표!$C$2:$C$11,0)),TRIM(M444&amp;""),"⚠"&amp;TRIM(M444&amp;"")))</f>
        <v/>
      </c>
      <c r="U444" s="10">
        <f>IF(TRIM(L444&amp;"")="","",IFERROR(INDEX(설정_코드표!$G$2:$G$101,MATCH(TRIM(L444&amp;""),설정_코드표!$F$2:$F$101,0)),"⚠"&amp;TRIM(L444&amp;"")))</f>
        <v/>
      </c>
      <c r="V444" s="10">
        <f>IF(AND(ISNUMBER(H444),ISNUMBER(I444)),I444-H444+1,"")</f>
        <v/>
      </c>
      <c r="W444" s="17">
        <f>IF(ISNUMBER(H444),MAX(0,MIN(IF(ISNUMBER(I444),I444,EOMONTH(출력_요약!$B$3,0)),EOMONTH(출력_요약!$B$3,0))-MAX(H444,출력_요약!$B$3)+1),0)</f>
        <v/>
      </c>
      <c r="X444" s="10">
        <f>IF(OR(NOT(ISNUMBER(H444)),Q444=""),"",IF(TODAY()&lt;H444,"파견예정",IF(AND(ISNUMBER(I444),TODAY()&gt;I444),"파견종료","파견중")))</f>
        <v/>
      </c>
      <c r="Y444" s="10">
        <f>IF(OR(Q444="",X444=""),"",Q444&amp;"|"&amp;X444)</f>
        <v/>
      </c>
      <c r="Z444" s="10">
        <f>IF(AND(Q444&lt;&gt;"",W444&gt;0),Q444&amp;"|월","")</f>
        <v/>
      </c>
      <c r="AA444" s="10">
        <f>IF(COUNTA(B444:I444,K444:N444)=0,"",IF(Q444="","등록번호 없음",IF(LEFT(R444,1)="⚠","모병원명 미등록",IF(S444="","파견병원 입력",IF(LEFT(S444,1)="⚠","파견병원명 미등록",IF(LEFT(U444,1)="⚠","파견과목 미등록",IF(OR(T444="",LEFT(T444,1)="⚠"),"파견근거 확인",IF(NOT(AND(ISNUMBER(H444),ISNUMBER(I444))),"날짜 형식/누락",IF(I444&lt;H444,"종료일&lt;시작일","")))))))))</f>
        <v/>
      </c>
      <c r="AB444" s="11">
        <f>IF(ISNUMBER(SEARCH("다기관",TRIM(N444&amp;" "&amp;O444))),IFERROR(DATE(VALUE(MID(TRIM(N444&amp;" "&amp;O444),1,4)),VALUE(MID(TRIM(N444&amp;" "&amp;O444),6,2)),VALUE(MID(TRIM(N444&amp;" "&amp;O444),9,2))),IF(ISNUMBER(H444),H444,"")),"")</f>
        <v/>
      </c>
      <c r="AC444" s="11">
        <f>IF(ISNUMBER(SEARCH("다기관",TRIM(N444&amp;" "&amp;O444))),IFERROR(DATE(VALUE(MID(TRIM(N444&amp;" "&amp;O444),12,4)),VALUE(MID(TRIM(N444&amp;" "&amp;O444),17,2)),VALUE(MID(TRIM(N444&amp;" "&amp;O444),20,2))),IF(ISNUMBER(I444),I444,"")),"")</f>
        <v/>
      </c>
      <c r="AD444" s="17">
        <f>IF(AND(ISNUMBER(AB444),ISNUMBER(AC444)),MAX(0,MIN(AC444,EOMONTH(출력_요약!$B$3,0))-MAX(AB444,출력_요약!$B$3)+1),0)</f>
        <v/>
      </c>
      <c r="AE444" s="10">
        <f>IF(AND(Q444&lt;&gt;"",ISNUMBER(AB444)),Q444&amp;"|다기관","")</f>
        <v/>
      </c>
    </row>
    <row r="445">
      <c r="A445" s="15">
        <f>IF(F445="","",ROW()-3)</f>
        <v/>
      </c>
      <c r="B445" s="5" t="n"/>
      <c r="C445" s="15" t="n"/>
      <c r="D445" s="5" t="n"/>
      <c r="E445" s="15" t="n"/>
      <c r="F445" s="5" t="n"/>
      <c r="G445" s="6" t="n"/>
      <c r="H445" s="16" t="n"/>
      <c r="I445" s="16" t="n"/>
      <c r="J445" s="15">
        <f>IF(AND(ISNUMBER(H445),ISNUMBER(I445)),I445-H445+1,"")</f>
        <v/>
      </c>
      <c r="K445" s="5" t="n"/>
      <c r="L445" s="5" t="n"/>
      <c r="M445" s="5" t="n"/>
      <c r="N445" s="5" t="n"/>
      <c r="O445" s="5" t="n"/>
      <c r="Q445" s="10">
        <f>IF(TRIM(G445&amp;"")="","",TRIM(G445&amp;""))</f>
        <v/>
      </c>
      <c r="R445" s="10">
        <f>IF(TRIM(B445&amp;"")="","",IFERROR(INDEX(설정_코드표!$K$2:$K$101,MATCH(TRIM(B445&amp;""),설정_코드표!$J$2:$J$101,0)),"⚠"&amp;TRIM(B445&amp;"")))</f>
        <v/>
      </c>
      <c r="S445" s="10">
        <f>IF(TRIM(K445&amp;"")="","",IFERROR(INDEX(설정_코드표!$K$2:$K$101,MATCH(TRIM(K445&amp;""),설정_코드표!$J$2:$J$101,0)),"⚠"&amp;TRIM(K445&amp;"")))</f>
        <v/>
      </c>
      <c r="T445" s="10">
        <f>IF(TRIM(M445&amp;"")="","",IF(ISNUMBER(MATCH(TRIM(M445&amp;""),설정_코드표!$C$2:$C$11,0)),TRIM(M445&amp;""),"⚠"&amp;TRIM(M445&amp;"")))</f>
        <v/>
      </c>
      <c r="U445" s="10">
        <f>IF(TRIM(L445&amp;"")="","",IFERROR(INDEX(설정_코드표!$G$2:$G$101,MATCH(TRIM(L445&amp;""),설정_코드표!$F$2:$F$101,0)),"⚠"&amp;TRIM(L445&amp;"")))</f>
        <v/>
      </c>
      <c r="V445" s="10">
        <f>IF(AND(ISNUMBER(H445),ISNUMBER(I445)),I445-H445+1,"")</f>
        <v/>
      </c>
      <c r="W445" s="17">
        <f>IF(ISNUMBER(H445),MAX(0,MIN(IF(ISNUMBER(I445),I445,EOMONTH(출력_요약!$B$3,0)),EOMONTH(출력_요약!$B$3,0))-MAX(H445,출력_요약!$B$3)+1),0)</f>
        <v/>
      </c>
      <c r="X445" s="10">
        <f>IF(OR(NOT(ISNUMBER(H445)),Q445=""),"",IF(TODAY()&lt;H445,"파견예정",IF(AND(ISNUMBER(I445),TODAY()&gt;I445),"파견종료","파견중")))</f>
        <v/>
      </c>
      <c r="Y445" s="10">
        <f>IF(OR(Q445="",X445=""),"",Q445&amp;"|"&amp;X445)</f>
        <v/>
      </c>
      <c r="Z445" s="10">
        <f>IF(AND(Q445&lt;&gt;"",W445&gt;0),Q445&amp;"|월","")</f>
        <v/>
      </c>
      <c r="AA445" s="10">
        <f>IF(COUNTA(B445:I445,K445:N445)=0,"",IF(Q445="","등록번호 없음",IF(LEFT(R445,1)="⚠","모병원명 미등록",IF(S445="","파견병원 입력",IF(LEFT(S445,1)="⚠","파견병원명 미등록",IF(LEFT(U445,1)="⚠","파견과목 미등록",IF(OR(T445="",LEFT(T445,1)="⚠"),"파견근거 확인",IF(NOT(AND(ISNUMBER(H445),ISNUMBER(I445))),"날짜 형식/누락",IF(I445&lt;H445,"종료일&lt;시작일","")))))))))</f>
        <v/>
      </c>
      <c r="AB445" s="11">
        <f>IF(ISNUMBER(SEARCH("다기관",TRIM(N445&amp;" "&amp;O445))),IFERROR(DATE(VALUE(MID(TRIM(N445&amp;" "&amp;O445),1,4)),VALUE(MID(TRIM(N445&amp;" "&amp;O445),6,2)),VALUE(MID(TRIM(N445&amp;" "&amp;O445),9,2))),IF(ISNUMBER(H445),H445,"")),"")</f>
        <v/>
      </c>
      <c r="AC445" s="11">
        <f>IF(ISNUMBER(SEARCH("다기관",TRIM(N445&amp;" "&amp;O445))),IFERROR(DATE(VALUE(MID(TRIM(N445&amp;" "&amp;O445),12,4)),VALUE(MID(TRIM(N445&amp;" "&amp;O445),17,2)),VALUE(MID(TRIM(N445&amp;" "&amp;O445),20,2))),IF(ISNUMBER(I445),I445,"")),"")</f>
        <v/>
      </c>
      <c r="AD445" s="17">
        <f>IF(AND(ISNUMBER(AB445),ISNUMBER(AC445)),MAX(0,MIN(AC445,EOMONTH(출력_요약!$B$3,0))-MAX(AB445,출력_요약!$B$3)+1),0)</f>
        <v/>
      </c>
      <c r="AE445" s="10">
        <f>IF(AND(Q445&lt;&gt;"",ISNUMBER(AB445)),Q445&amp;"|다기관","")</f>
        <v/>
      </c>
    </row>
    <row r="446">
      <c r="A446" s="15">
        <f>IF(F446="","",ROW()-3)</f>
        <v/>
      </c>
      <c r="B446" s="5" t="n"/>
      <c r="C446" s="15" t="n"/>
      <c r="D446" s="5" t="n"/>
      <c r="E446" s="15" t="n"/>
      <c r="F446" s="5" t="n"/>
      <c r="G446" s="6" t="n"/>
      <c r="H446" s="16" t="n"/>
      <c r="I446" s="16" t="n"/>
      <c r="J446" s="15">
        <f>IF(AND(ISNUMBER(H446),ISNUMBER(I446)),I446-H446+1,"")</f>
        <v/>
      </c>
      <c r="K446" s="5" t="n"/>
      <c r="L446" s="5" t="n"/>
      <c r="M446" s="5" t="n"/>
      <c r="N446" s="5" t="n"/>
      <c r="O446" s="5" t="n"/>
      <c r="Q446" s="10">
        <f>IF(TRIM(G446&amp;"")="","",TRIM(G446&amp;""))</f>
        <v/>
      </c>
      <c r="R446" s="10">
        <f>IF(TRIM(B446&amp;"")="","",IFERROR(INDEX(설정_코드표!$K$2:$K$101,MATCH(TRIM(B446&amp;""),설정_코드표!$J$2:$J$101,0)),"⚠"&amp;TRIM(B446&amp;"")))</f>
        <v/>
      </c>
      <c r="S446" s="10">
        <f>IF(TRIM(K446&amp;"")="","",IFERROR(INDEX(설정_코드표!$K$2:$K$101,MATCH(TRIM(K446&amp;""),설정_코드표!$J$2:$J$101,0)),"⚠"&amp;TRIM(K446&amp;"")))</f>
        <v/>
      </c>
      <c r="T446" s="10">
        <f>IF(TRIM(M446&amp;"")="","",IF(ISNUMBER(MATCH(TRIM(M446&amp;""),설정_코드표!$C$2:$C$11,0)),TRIM(M446&amp;""),"⚠"&amp;TRIM(M446&amp;"")))</f>
        <v/>
      </c>
      <c r="U446" s="10">
        <f>IF(TRIM(L446&amp;"")="","",IFERROR(INDEX(설정_코드표!$G$2:$G$101,MATCH(TRIM(L446&amp;""),설정_코드표!$F$2:$F$101,0)),"⚠"&amp;TRIM(L446&amp;"")))</f>
        <v/>
      </c>
      <c r="V446" s="10">
        <f>IF(AND(ISNUMBER(H446),ISNUMBER(I446)),I446-H446+1,"")</f>
        <v/>
      </c>
      <c r="W446" s="17">
        <f>IF(ISNUMBER(H446),MAX(0,MIN(IF(ISNUMBER(I446),I446,EOMONTH(출력_요약!$B$3,0)),EOMONTH(출력_요약!$B$3,0))-MAX(H446,출력_요약!$B$3)+1),0)</f>
        <v/>
      </c>
      <c r="X446" s="10">
        <f>IF(OR(NOT(ISNUMBER(H446)),Q446=""),"",IF(TODAY()&lt;H446,"파견예정",IF(AND(ISNUMBER(I446),TODAY()&gt;I446),"파견종료","파견중")))</f>
        <v/>
      </c>
      <c r="Y446" s="10">
        <f>IF(OR(Q446="",X446=""),"",Q446&amp;"|"&amp;X446)</f>
        <v/>
      </c>
      <c r="Z446" s="10">
        <f>IF(AND(Q446&lt;&gt;"",W446&gt;0),Q446&amp;"|월","")</f>
        <v/>
      </c>
      <c r="AA446" s="10">
        <f>IF(COUNTA(B446:I446,K446:N446)=0,"",IF(Q446="","등록번호 없음",IF(LEFT(R446,1)="⚠","모병원명 미등록",IF(S446="","파견병원 입력",IF(LEFT(S446,1)="⚠","파견병원명 미등록",IF(LEFT(U446,1)="⚠","파견과목 미등록",IF(OR(T446="",LEFT(T446,1)="⚠"),"파견근거 확인",IF(NOT(AND(ISNUMBER(H446),ISNUMBER(I446))),"날짜 형식/누락",IF(I446&lt;H446,"종료일&lt;시작일","")))))))))</f>
        <v/>
      </c>
      <c r="AB446" s="11">
        <f>IF(ISNUMBER(SEARCH("다기관",TRIM(N446&amp;" "&amp;O446))),IFERROR(DATE(VALUE(MID(TRIM(N446&amp;" "&amp;O446),1,4)),VALUE(MID(TRIM(N446&amp;" "&amp;O446),6,2)),VALUE(MID(TRIM(N446&amp;" "&amp;O446),9,2))),IF(ISNUMBER(H446),H446,"")),"")</f>
        <v/>
      </c>
      <c r="AC446" s="11">
        <f>IF(ISNUMBER(SEARCH("다기관",TRIM(N446&amp;" "&amp;O446))),IFERROR(DATE(VALUE(MID(TRIM(N446&amp;" "&amp;O446),12,4)),VALUE(MID(TRIM(N446&amp;" "&amp;O446),17,2)),VALUE(MID(TRIM(N446&amp;" "&amp;O446),20,2))),IF(ISNUMBER(I446),I446,"")),"")</f>
        <v/>
      </c>
      <c r="AD446" s="17">
        <f>IF(AND(ISNUMBER(AB446),ISNUMBER(AC446)),MAX(0,MIN(AC446,EOMONTH(출력_요약!$B$3,0))-MAX(AB446,출력_요약!$B$3)+1),0)</f>
        <v/>
      </c>
      <c r="AE446" s="10">
        <f>IF(AND(Q446&lt;&gt;"",ISNUMBER(AB446)),Q446&amp;"|다기관","")</f>
        <v/>
      </c>
    </row>
    <row r="447">
      <c r="A447" s="15">
        <f>IF(F447="","",ROW()-3)</f>
        <v/>
      </c>
      <c r="B447" s="5" t="n"/>
      <c r="C447" s="15" t="n"/>
      <c r="D447" s="5" t="n"/>
      <c r="E447" s="15" t="n"/>
      <c r="F447" s="5" t="n"/>
      <c r="G447" s="6" t="n"/>
      <c r="H447" s="16" t="n"/>
      <c r="I447" s="16" t="n"/>
      <c r="J447" s="15">
        <f>IF(AND(ISNUMBER(H447),ISNUMBER(I447)),I447-H447+1,"")</f>
        <v/>
      </c>
      <c r="K447" s="5" t="n"/>
      <c r="L447" s="5" t="n"/>
      <c r="M447" s="5" t="n"/>
      <c r="N447" s="5" t="n"/>
      <c r="O447" s="5" t="n"/>
      <c r="Q447" s="10">
        <f>IF(TRIM(G447&amp;"")="","",TRIM(G447&amp;""))</f>
        <v/>
      </c>
      <c r="R447" s="10">
        <f>IF(TRIM(B447&amp;"")="","",IFERROR(INDEX(설정_코드표!$K$2:$K$101,MATCH(TRIM(B447&amp;""),설정_코드표!$J$2:$J$101,0)),"⚠"&amp;TRIM(B447&amp;"")))</f>
        <v/>
      </c>
      <c r="S447" s="10">
        <f>IF(TRIM(K447&amp;"")="","",IFERROR(INDEX(설정_코드표!$K$2:$K$101,MATCH(TRIM(K447&amp;""),설정_코드표!$J$2:$J$101,0)),"⚠"&amp;TRIM(K447&amp;"")))</f>
        <v/>
      </c>
      <c r="T447" s="10">
        <f>IF(TRIM(M447&amp;"")="","",IF(ISNUMBER(MATCH(TRIM(M447&amp;""),설정_코드표!$C$2:$C$11,0)),TRIM(M447&amp;""),"⚠"&amp;TRIM(M447&amp;"")))</f>
        <v/>
      </c>
      <c r="U447" s="10">
        <f>IF(TRIM(L447&amp;"")="","",IFERROR(INDEX(설정_코드표!$G$2:$G$101,MATCH(TRIM(L447&amp;""),설정_코드표!$F$2:$F$101,0)),"⚠"&amp;TRIM(L447&amp;"")))</f>
        <v/>
      </c>
      <c r="V447" s="10">
        <f>IF(AND(ISNUMBER(H447),ISNUMBER(I447)),I447-H447+1,"")</f>
        <v/>
      </c>
      <c r="W447" s="17">
        <f>IF(ISNUMBER(H447),MAX(0,MIN(IF(ISNUMBER(I447),I447,EOMONTH(출력_요약!$B$3,0)),EOMONTH(출력_요약!$B$3,0))-MAX(H447,출력_요약!$B$3)+1),0)</f>
        <v/>
      </c>
      <c r="X447" s="10">
        <f>IF(OR(NOT(ISNUMBER(H447)),Q447=""),"",IF(TODAY()&lt;H447,"파견예정",IF(AND(ISNUMBER(I447),TODAY()&gt;I447),"파견종료","파견중")))</f>
        <v/>
      </c>
      <c r="Y447" s="10">
        <f>IF(OR(Q447="",X447=""),"",Q447&amp;"|"&amp;X447)</f>
        <v/>
      </c>
      <c r="Z447" s="10">
        <f>IF(AND(Q447&lt;&gt;"",W447&gt;0),Q447&amp;"|월","")</f>
        <v/>
      </c>
      <c r="AA447" s="10">
        <f>IF(COUNTA(B447:I447,K447:N447)=0,"",IF(Q447="","등록번호 없음",IF(LEFT(R447,1)="⚠","모병원명 미등록",IF(S447="","파견병원 입력",IF(LEFT(S447,1)="⚠","파견병원명 미등록",IF(LEFT(U447,1)="⚠","파견과목 미등록",IF(OR(T447="",LEFT(T447,1)="⚠"),"파견근거 확인",IF(NOT(AND(ISNUMBER(H447),ISNUMBER(I447))),"날짜 형식/누락",IF(I447&lt;H447,"종료일&lt;시작일","")))))))))</f>
        <v/>
      </c>
      <c r="AB447" s="11">
        <f>IF(ISNUMBER(SEARCH("다기관",TRIM(N447&amp;" "&amp;O447))),IFERROR(DATE(VALUE(MID(TRIM(N447&amp;" "&amp;O447),1,4)),VALUE(MID(TRIM(N447&amp;" "&amp;O447),6,2)),VALUE(MID(TRIM(N447&amp;" "&amp;O447),9,2))),IF(ISNUMBER(H447),H447,"")),"")</f>
        <v/>
      </c>
      <c r="AC447" s="11">
        <f>IF(ISNUMBER(SEARCH("다기관",TRIM(N447&amp;" "&amp;O447))),IFERROR(DATE(VALUE(MID(TRIM(N447&amp;" "&amp;O447),12,4)),VALUE(MID(TRIM(N447&amp;" "&amp;O447),17,2)),VALUE(MID(TRIM(N447&amp;" "&amp;O447),20,2))),IF(ISNUMBER(I447),I447,"")),"")</f>
        <v/>
      </c>
      <c r="AD447" s="17">
        <f>IF(AND(ISNUMBER(AB447),ISNUMBER(AC447)),MAX(0,MIN(AC447,EOMONTH(출력_요약!$B$3,0))-MAX(AB447,출력_요약!$B$3)+1),0)</f>
        <v/>
      </c>
      <c r="AE447" s="10">
        <f>IF(AND(Q447&lt;&gt;"",ISNUMBER(AB447)),Q447&amp;"|다기관","")</f>
        <v/>
      </c>
    </row>
    <row r="448">
      <c r="A448" s="15">
        <f>IF(F448="","",ROW()-3)</f>
        <v/>
      </c>
      <c r="B448" s="5" t="n"/>
      <c r="C448" s="15" t="n"/>
      <c r="D448" s="5" t="n"/>
      <c r="E448" s="15" t="n"/>
      <c r="F448" s="5" t="n"/>
      <c r="G448" s="6" t="n"/>
      <c r="H448" s="16" t="n"/>
      <c r="I448" s="16" t="n"/>
      <c r="J448" s="15">
        <f>IF(AND(ISNUMBER(H448),ISNUMBER(I448)),I448-H448+1,"")</f>
        <v/>
      </c>
      <c r="K448" s="5" t="n"/>
      <c r="L448" s="5" t="n"/>
      <c r="M448" s="5" t="n"/>
      <c r="N448" s="5" t="n"/>
      <c r="O448" s="5" t="n"/>
      <c r="Q448" s="10">
        <f>IF(TRIM(G448&amp;"")="","",TRIM(G448&amp;""))</f>
        <v/>
      </c>
      <c r="R448" s="10">
        <f>IF(TRIM(B448&amp;"")="","",IFERROR(INDEX(설정_코드표!$K$2:$K$101,MATCH(TRIM(B448&amp;""),설정_코드표!$J$2:$J$101,0)),"⚠"&amp;TRIM(B448&amp;"")))</f>
        <v/>
      </c>
      <c r="S448" s="10">
        <f>IF(TRIM(K448&amp;"")="","",IFERROR(INDEX(설정_코드표!$K$2:$K$101,MATCH(TRIM(K448&amp;""),설정_코드표!$J$2:$J$101,0)),"⚠"&amp;TRIM(K448&amp;"")))</f>
        <v/>
      </c>
      <c r="T448" s="10">
        <f>IF(TRIM(M448&amp;"")="","",IF(ISNUMBER(MATCH(TRIM(M448&amp;""),설정_코드표!$C$2:$C$11,0)),TRIM(M448&amp;""),"⚠"&amp;TRIM(M448&amp;"")))</f>
        <v/>
      </c>
      <c r="U448" s="10">
        <f>IF(TRIM(L448&amp;"")="","",IFERROR(INDEX(설정_코드표!$G$2:$G$101,MATCH(TRIM(L448&amp;""),설정_코드표!$F$2:$F$101,0)),"⚠"&amp;TRIM(L448&amp;"")))</f>
        <v/>
      </c>
      <c r="V448" s="10">
        <f>IF(AND(ISNUMBER(H448),ISNUMBER(I448)),I448-H448+1,"")</f>
        <v/>
      </c>
      <c r="W448" s="17">
        <f>IF(ISNUMBER(H448),MAX(0,MIN(IF(ISNUMBER(I448),I448,EOMONTH(출력_요약!$B$3,0)),EOMONTH(출력_요약!$B$3,0))-MAX(H448,출력_요약!$B$3)+1),0)</f>
        <v/>
      </c>
      <c r="X448" s="10">
        <f>IF(OR(NOT(ISNUMBER(H448)),Q448=""),"",IF(TODAY()&lt;H448,"파견예정",IF(AND(ISNUMBER(I448),TODAY()&gt;I448),"파견종료","파견중")))</f>
        <v/>
      </c>
      <c r="Y448" s="10">
        <f>IF(OR(Q448="",X448=""),"",Q448&amp;"|"&amp;X448)</f>
        <v/>
      </c>
      <c r="Z448" s="10">
        <f>IF(AND(Q448&lt;&gt;"",W448&gt;0),Q448&amp;"|월","")</f>
        <v/>
      </c>
      <c r="AA448" s="10">
        <f>IF(COUNTA(B448:I448,K448:N448)=0,"",IF(Q448="","등록번호 없음",IF(LEFT(R448,1)="⚠","모병원명 미등록",IF(S448="","파견병원 입력",IF(LEFT(S448,1)="⚠","파견병원명 미등록",IF(LEFT(U448,1)="⚠","파견과목 미등록",IF(OR(T448="",LEFT(T448,1)="⚠"),"파견근거 확인",IF(NOT(AND(ISNUMBER(H448),ISNUMBER(I448))),"날짜 형식/누락",IF(I448&lt;H448,"종료일&lt;시작일","")))))))))</f>
        <v/>
      </c>
      <c r="AB448" s="11">
        <f>IF(ISNUMBER(SEARCH("다기관",TRIM(N448&amp;" "&amp;O448))),IFERROR(DATE(VALUE(MID(TRIM(N448&amp;" "&amp;O448),1,4)),VALUE(MID(TRIM(N448&amp;" "&amp;O448),6,2)),VALUE(MID(TRIM(N448&amp;" "&amp;O448),9,2))),IF(ISNUMBER(H448),H448,"")),"")</f>
        <v/>
      </c>
      <c r="AC448" s="11">
        <f>IF(ISNUMBER(SEARCH("다기관",TRIM(N448&amp;" "&amp;O448))),IFERROR(DATE(VALUE(MID(TRIM(N448&amp;" "&amp;O448),12,4)),VALUE(MID(TRIM(N448&amp;" "&amp;O448),17,2)),VALUE(MID(TRIM(N448&amp;" "&amp;O448),20,2))),IF(ISNUMBER(I448),I448,"")),"")</f>
        <v/>
      </c>
      <c r="AD448" s="17">
        <f>IF(AND(ISNUMBER(AB448),ISNUMBER(AC448)),MAX(0,MIN(AC448,EOMONTH(출력_요약!$B$3,0))-MAX(AB448,출력_요약!$B$3)+1),0)</f>
        <v/>
      </c>
      <c r="AE448" s="10">
        <f>IF(AND(Q448&lt;&gt;"",ISNUMBER(AB448)),Q448&amp;"|다기관","")</f>
        <v/>
      </c>
    </row>
    <row r="449">
      <c r="A449" s="15">
        <f>IF(F449="","",ROW()-3)</f>
        <v/>
      </c>
      <c r="B449" s="5" t="n"/>
      <c r="C449" s="15" t="n"/>
      <c r="D449" s="5" t="n"/>
      <c r="E449" s="15" t="n"/>
      <c r="F449" s="5" t="n"/>
      <c r="G449" s="6" t="n"/>
      <c r="H449" s="16" t="n"/>
      <c r="I449" s="16" t="n"/>
      <c r="J449" s="15">
        <f>IF(AND(ISNUMBER(H449),ISNUMBER(I449)),I449-H449+1,"")</f>
        <v/>
      </c>
      <c r="K449" s="5" t="n"/>
      <c r="L449" s="5" t="n"/>
      <c r="M449" s="5" t="n"/>
      <c r="N449" s="5" t="n"/>
      <c r="O449" s="5" t="n"/>
      <c r="Q449" s="10">
        <f>IF(TRIM(G449&amp;"")="","",TRIM(G449&amp;""))</f>
        <v/>
      </c>
      <c r="R449" s="10">
        <f>IF(TRIM(B449&amp;"")="","",IFERROR(INDEX(설정_코드표!$K$2:$K$101,MATCH(TRIM(B449&amp;""),설정_코드표!$J$2:$J$101,0)),"⚠"&amp;TRIM(B449&amp;"")))</f>
        <v/>
      </c>
      <c r="S449" s="10">
        <f>IF(TRIM(K449&amp;"")="","",IFERROR(INDEX(설정_코드표!$K$2:$K$101,MATCH(TRIM(K449&amp;""),설정_코드표!$J$2:$J$101,0)),"⚠"&amp;TRIM(K449&amp;"")))</f>
        <v/>
      </c>
      <c r="T449" s="10">
        <f>IF(TRIM(M449&amp;"")="","",IF(ISNUMBER(MATCH(TRIM(M449&amp;""),설정_코드표!$C$2:$C$11,0)),TRIM(M449&amp;""),"⚠"&amp;TRIM(M449&amp;"")))</f>
        <v/>
      </c>
      <c r="U449" s="10">
        <f>IF(TRIM(L449&amp;"")="","",IFERROR(INDEX(설정_코드표!$G$2:$G$101,MATCH(TRIM(L449&amp;""),설정_코드표!$F$2:$F$101,0)),"⚠"&amp;TRIM(L449&amp;"")))</f>
        <v/>
      </c>
      <c r="V449" s="10">
        <f>IF(AND(ISNUMBER(H449),ISNUMBER(I449)),I449-H449+1,"")</f>
        <v/>
      </c>
      <c r="W449" s="17">
        <f>IF(ISNUMBER(H449),MAX(0,MIN(IF(ISNUMBER(I449),I449,EOMONTH(출력_요약!$B$3,0)),EOMONTH(출력_요약!$B$3,0))-MAX(H449,출력_요약!$B$3)+1),0)</f>
        <v/>
      </c>
      <c r="X449" s="10">
        <f>IF(OR(NOT(ISNUMBER(H449)),Q449=""),"",IF(TODAY()&lt;H449,"파견예정",IF(AND(ISNUMBER(I449),TODAY()&gt;I449),"파견종료","파견중")))</f>
        <v/>
      </c>
      <c r="Y449" s="10">
        <f>IF(OR(Q449="",X449=""),"",Q449&amp;"|"&amp;X449)</f>
        <v/>
      </c>
      <c r="Z449" s="10">
        <f>IF(AND(Q449&lt;&gt;"",W449&gt;0),Q449&amp;"|월","")</f>
        <v/>
      </c>
      <c r="AA449" s="10">
        <f>IF(COUNTA(B449:I449,K449:N449)=0,"",IF(Q449="","등록번호 없음",IF(LEFT(R449,1)="⚠","모병원명 미등록",IF(S449="","파견병원 입력",IF(LEFT(S449,1)="⚠","파견병원명 미등록",IF(LEFT(U449,1)="⚠","파견과목 미등록",IF(OR(T449="",LEFT(T449,1)="⚠"),"파견근거 확인",IF(NOT(AND(ISNUMBER(H449),ISNUMBER(I449))),"날짜 형식/누락",IF(I449&lt;H449,"종료일&lt;시작일","")))))))))</f>
        <v/>
      </c>
      <c r="AB449" s="11">
        <f>IF(ISNUMBER(SEARCH("다기관",TRIM(N449&amp;" "&amp;O449))),IFERROR(DATE(VALUE(MID(TRIM(N449&amp;" "&amp;O449),1,4)),VALUE(MID(TRIM(N449&amp;" "&amp;O449),6,2)),VALUE(MID(TRIM(N449&amp;" "&amp;O449),9,2))),IF(ISNUMBER(H449),H449,"")),"")</f>
        <v/>
      </c>
      <c r="AC449" s="11">
        <f>IF(ISNUMBER(SEARCH("다기관",TRIM(N449&amp;" "&amp;O449))),IFERROR(DATE(VALUE(MID(TRIM(N449&amp;" "&amp;O449),12,4)),VALUE(MID(TRIM(N449&amp;" "&amp;O449),17,2)),VALUE(MID(TRIM(N449&amp;" "&amp;O449),20,2))),IF(ISNUMBER(I449),I449,"")),"")</f>
        <v/>
      </c>
      <c r="AD449" s="17">
        <f>IF(AND(ISNUMBER(AB449),ISNUMBER(AC449)),MAX(0,MIN(AC449,EOMONTH(출력_요약!$B$3,0))-MAX(AB449,출력_요약!$B$3)+1),0)</f>
        <v/>
      </c>
      <c r="AE449" s="10">
        <f>IF(AND(Q449&lt;&gt;"",ISNUMBER(AB449)),Q449&amp;"|다기관","")</f>
        <v/>
      </c>
    </row>
    <row r="450">
      <c r="A450" s="15">
        <f>IF(F450="","",ROW()-3)</f>
        <v/>
      </c>
      <c r="B450" s="5" t="n"/>
      <c r="C450" s="15" t="n"/>
      <c r="D450" s="5" t="n"/>
      <c r="E450" s="15" t="n"/>
      <c r="F450" s="5" t="n"/>
      <c r="G450" s="6" t="n"/>
      <c r="H450" s="16" t="n"/>
      <c r="I450" s="16" t="n"/>
      <c r="J450" s="15">
        <f>IF(AND(ISNUMBER(H450),ISNUMBER(I450)),I450-H450+1,"")</f>
        <v/>
      </c>
      <c r="K450" s="5" t="n"/>
      <c r="L450" s="5" t="n"/>
      <c r="M450" s="5" t="n"/>
      <c r="N450" s="5" t="n"/>
      <c r="O450" s="5" t="n"/>
      <c r="Q450" s="10">
        <f>IF(TRIM(G450&amp;"")="","",TRIM(G450&amp;""))</f>
        <v/>
      </c>
      <c r="R450" s="10">
        <f>IF(TRIM(B450&amp;"")="","",IFERROR(INDEX(설정_코드표!$K$2:$K$101,MATCH(TRIM(B450&amp;""),설정_코드표!$J$2:$J$101,0)),"⚠"&amp;TRIM(B450&amp;"")))</f>
        <v/>
      </c>
      <c r="S450" s="10">
        <f>IF(TRIM(K450&amp;"")="","",IFERROR(INDEX(설정_코드표!$K$2:$K$101,MATCH(TRIM(K450&amp;""),설정_코드표!$J$2:$J$101,0)),"⚠"&amp;TRIM(K450&amp;"")))</f>
        <v/>
      </c>
      <c r="T450" s="10">
        <f>IF(TRIM(M450&amp;"")="","",IF(ISNUMBER(MATCH(TRIM(M450&amp;""),설정_코드표!$C$2:$C$11,0)),TRIM(M450&amp;""),"⚠"&amp;TRIM(M450&amp;"")))</f>
        <v/>
      </c>
      <c r="U450" s="10">
        <f>IF(TRIM(L450&amp;"")="","",IFERROR(INDEX(설정_코드표!$G$2:$G$101,MATCH(TRIM(L450&amp;""),설정_코드표!$F$2:$F$101,0)),"⚠"&amp;TRIM(L450&amp;"")))</f>
        <v/>
      </c>
      <c r="V450" s="10">
        <f>IF(AND(ISNUMBER(H450),ISNUMBER(I450)),I450-H450+1,"")</f>
        <v/>
      </c>
      <c r="W450" s="17">
        <f>IF(ISNUMBER(H450),MAX(0,MIN(IF(ISNUMBER(I450),I450,EOMONTH(출력_요약!$B$3,0)),EOMONTH(출력_요약!$B$3,0))-MAX(H450,출력_요약!$B$3)+1),0)</f>
        <v/>
      </c>
      <c r="X450" s="10">
        <f>IF(OR(NOT(ISNUMBER(H450)),Q450=""),"",IF(TODAY()&lt;H450,"파견예정",IF(AND(ISNUMBER(I450),TODAY()&gt;I450),"파견종료","파견중")))</f>
        <v/>
      </c>
      <c r="Y450" s="10">
        <f>IF(OR(Q450="",X450=""),"",Q450&amp;"|"&amp;X450)</f>
        <v/>
      </c>
      <c r="Z450" s="10">
        <f>IF(AND(Q450&lt;&gt;"",W450&gt;0),Q450&amp;"|월","")</f>
        <v/>
      </c>
      <c r="AA450" s="10">
        <f>IF(COUNTA(B450:I450,K450:N450)=0,"",IF(Q450="","등록번호 없음",IF(LEFT(R450,1)="⚠","모병원명 미등록",IF(S450="","파견병원 입력",IF(LEFT(S450,1)="⚠","파견병원명 미등록",IF(LEFT(U450,1)="⚠","파견과목 미등록",IF(OR(T450="",LEFT(T450,1)="⚠"),"파견근거 확인",IF(NOT(AND(ISNUMBER(H450),ISNUMBER(I450))),"날짜 형식/누락",IF(I450&lt;H450,"종료일&lt;시작일","")))))))))</f>
        <v/>
      </c>
      <c r="AB450" s="11">
        <f>IF(ISNUMBER(SEARCH("다기관",TRIM(N450&amp;" "&amp;O450))),IFERROR(DATE(VALUE(MID(TRIM(N450&amp;" "&amp;O450),1,4)),VALUE(MID(TRIM(N450&amp;" "&amp;O450),6,2)),VALUE(MID(TRIM(N450&amp;" "&amp;O450),9,2))),IF(ISNUMBER(H450),H450,"")),"")</f>
        <v/>
      </c>
      <c r="AC450" s="11">
        <f>IF(ISNUMBER(SEARCH("다기관",TRIM(N450&amp;" "&amp;O450))),IFERROR(DATE(VALUE(MID(TRIM(N450&amp;" "&amp;O450),12,4)),VALUE(MID(TRIM(N450&amp;" "&amp;O450),17,2)),VALUE(MID(TRIM(N450&amp;" "&amp;O450),20,2))),IF(ISNUMBER(I450),I450,"")),"")</f>
        <v/>
      </c>
      <c r="AD450" s="17">
        <f>IF(AND(ISNUMBER(AB450),ISNUMBER(AC450)),MAX(0,MIN(AC450,EOMONTH(출력_요약!$B$3,0))-MAX(AB450,출력_요약!$B$3)+1),0)</f>
        <v/>
      </c>
      <c r="AE450" s="10">
        <f>IF(AND(Q450&lt;&gt;"",ISNUMBER(AB450)),Q450&amp;"|다기관","")</f>
        <v/>
      </c>
    </row>
    <row r="451">
      <c r="A451" s="15">
        <f>IF(F451="","",ROW()-3)</f>
        <v/>
      </c>
      <c r="B451" s="5" t="n"/>
      <c r="C451" s="15" t="n"/>
      <c r="D451" s="5" t="n"/>
      <c r="E451" s="15" t="n"/>
      <c r="F451" s="5" t="n"/>
      <c r="G451" s="6" t="n"/>
      <c r="H451" s="16" t="n"/>
      <c r="I451" s="16" t="n"/>
      <c r="J451" s="15">
        <f>IF(AND(ISNUMBER(H451),ISNUMBER(I451)),I451-H451+1,"")</f>
        <v/>
      </c>
      <c r="K451" s="5" t="n"/>
      <c r="L451" s="5" t="n"/>
      <c r="M451" s="5" t="n"/>
      <c r="N451" s="5" t="n"/>
      <c r="O451" s="5" t="n"/>
      <c r="Q451" s="10">
        <f>IF(TRIM(G451&amp;"")="","",TRIM(G451&amp;""))</f>
        <v/>
      </c>
      <c r="R451" s="10">
        <f>IF(TRIM(B451&amp;"")="","",IFERROR(INDEX(설정_코드표!$K$2:$K$101,MATCH(TRIM(B451&amp;""),설정_코드표!$J$2:$J$101,0)),"⚠"&amp;TRIM(B451&amp;"")))</f>
        <v/>
      </c>
      <c r="S451" s="10">
        <f>IF(TRIM(K451&amp;"")="","",IFERROR(INDEX(설정_코드표!$K$2:$K$101,MATCH(TRIM(K451&amp;""),설정_코드표!$J$2:$J$101,0)),"⚠"&amp;TRIM(K451&amp;"")))</f>
        <v/>
      </c>
      <c r="T451" s="10">
        <f>IF(TRIM(M451&amp;"")="","",IF(ISNUMBER(MATCH(TRIM(M451&amp;""),설정_코드표!$C$2:$C$11,0)),TRIM(M451&amp;""),"⚠"&amp;TRIM(M451&amp;"")))</f>
        <v/>
      </c>
      <c r="U451" s="10">
        <f>IF(TRIM(L451&amp;"")="","",IFERROR(INDEX(설정_코드표!$G$2:$G$101,MATCH(TRIM(L451&amp;""),설정_코드표!$F$2:$F$101,0)),"⚠"&amp;TRIM(L451&amp;"")))</f>
        <v/>
      </c>
      <c r="V451" s="10">
        <f>IF(AND(ISNUMBER(H451),ISNUMBER(I451)),I451-H451+1,"")</f>
        <v/>
      </c>
      <c r="W451" s="17">
        <f>IF(ISNUMBER(H451),MAX(0,MIN(IF(ISNUMBER(I451),I451,EOMONTH(출력_요약!$B$3,0)),EOMONTH(출력_요약!$B$3,0))-MAX(H451,출력_요약!$B$3)+1),0)</f>
        <v/>
      </c>
      <c r="X451" s="10">
        <f>IF(OR(NOT(ISNUMBER(H451)),Q451=""),"",IF(TODAY()&lt;H451,"파견예정",IF(AND(ISNUMBER(I451),TODAY()&gt;I451),"파견종료","파견중")))</f>
        <v/>
      </c>
      <c r="Y451" s="10">
        <f>IF(OR(Q451="",X451=""),"",Q451&amp;"|"&amp;X451)</f>
        <v/>
      </c>
      <c r="Z451" s="10">
        <f>IF(AND(Q451&lt;&gt;"",W451&gt;0),Q451&amp;"|월","")</f>
        <v/>
      </c>
      <c r="AA451" s="10">
        <f>IF(COUNTA(B451:I451,K451:N451)=0,"",IF(Q451="","등록번호 없음",IF(LEFT(R451,1)="⚠","모병원명 미등록",IF(S451="","파견병원 입력",IF(LEFT(S451,1)="⚠","파견병원명 미등록",IF(LEFT(U451,1)="⚠","파견과목 미등록",IF(OR(T451="",LEFT(T451,1)="⚠"),"파견근거 확인",IF(NOT(AND(ISNUMBER(H451),ISNUMBER(I451))),"날짜 형식/누락",IF(I451&lt;H451,"종료일&lt;시작일","")))))))))</f>
        <v/>
      </c>
      <c r="AB451" s="11">
        <f>IF(ISNUMBER(SEARCH("다기관",TRIM(N451&amp;" "&amp;O451))),IFERROR(DATE(VALUE(MID(TRIM(N451&amp;" "&amp;O451),1,4)),VALUE(MID(TRIM(N451&amp;" "&amp;O451),6,2)),VALUE(MID(TRIM(N451&amp;" "&amp;O451),9,2))),IF(ISNUMBER(H451),H451,"")),"")</f>
        <v/>
      </c>
      <c r="AC451" s="11">
        <f>IF(ISNUMBER(SEARCH("다기관",TRIM(N451&amp;" "&amp;O451))),IFERROR(DATE(VALUE(MID(TRIM(N451&amp;" "&amp;O451),12,4)),VALUE(MID(TRIM(N451&amp;" "&amp;O451),17,2)),VALUE(MID(TRIM(N451&amp;" "&amp;O451),20,2))),IF(ISNUMBER(I451),I451,"")),"")</f>
        <v/>
      </c>
      <c r="AD451" s="17">
        <f>IF(AND(ISNUMBER(AB451),ISNUMBER(AC451)),MAX(0,MIN(AC451,EOMONTH(출력_요약!$B$3,0))-MAX(AB451,출력_요약!$B$3)+1),0)</f>
        <v/>
      </c>
      <c r="AE451" s="10">
        <f>IF(AND(Q451&lt;&gt;"",ISNUMBER(AB451)),Q451&amp;"|다기관","")</f>
        <v/>
      </c>
    </row>
    <row r="452">
      <c r="A452" s="15">
        <f>IF(F452="","",ROW()-3)</f>
        <v/>
      </c>
      <c r="B452" s="5" t="n"/>
      <c r="C452" s="15" t="n"/>
      <c r="D452" s="5" t="n"/>
      <c r="E452" s="15" t="n"/>
      <c r="F452" s="5" t="n"/>
      <c r="G452" s="6" t="n"/>
      <c r="H452" s="16" t="n"/>
      <c r="I452" s="16" t="n"/>
      <c r="J452" s="15">
        <f>IF(AND(ISNUMBER(H452),ISNUMBER(I452)),I452-H452+1,"")</f>
        <v/>
      </c>
      <c r="K452" s="5" t="n"/>
      <c r="L452" s="5" t="n"/>
      <c r="M452" s="5" t="n"/>
      <c r="N452" s="5" t="n"/>
      <c r="O452" s="5" t="n"/>
      <c r="Q452" s="10">
        <f>IF(TRIM(G452&amp;"")="","",TRIM(G452&amp;""))</f>
        <v/>
      </c>
      <c r="R452" s="10">
        <f>IF(TRIM(B452&amp;"")="","",IFERROR(INDEX(설정_코드표!$K$2:$K$101,MATCH(TRIM(B452&amp;""),설정_코드표!$J$2:$J$101,0)),"⚠"&amp;TRIM(B452&amp;"")))</f>
        <v/>
      </c>
      <c r="S452" s="10">
        <f>IF(TRIM(K452&amp;"")="","",IFERROR(INDEX(설정_코드표!$K$2:$K$101,MATCH(TRIM(K452&amp;""),설정_코드표!$J$2:$J$101,0)),"⚠"&amp;TRIM(K452&amp;"")))</f>
        <v/>
      </c>
      <c r="T452" s="10">
        <f>IF(TRIM(M452&amp;"")="","",IF(ISNUMBER(MATCH(TRIM(M452&amp;""),설정_코드표!$C$2:$C$11,0)),TRIM(M452&amp;""),"⚠"&amp;TRIM(M452&amp;"")))</f>
        <v/>
      </c>
      <c r="U452" s="10">
        <f>IF(TRIM(L452&amp;"")="","",IFERROR(INDEX(설정_코드표!$G$2:$G$101,MATCH(TRIM(L452&amp;""),설정_코드표!$F$2:$F$101,0)),"⚠"&amp;TRIM(L452&amp;"")))</f>
        <v/>
      </c>
      <c r="V452" s="10">
        <f>IF(AND(ISNUMBER(H452),ISNUMBER(I452)),I452-H452+1,"")</f>
        <v/>
      </c>
      <c r="W452" s="17">
        <f>IF(ISNUMBER(H452),MAX(0,MIN(IF(ISNUMBER(I452),I452,EOMONTH(출력_요약!$B$3,0)),EOMONTH(출력_요약!$B$3,0))-MAX(H452,출력_요약!$B$3)+1),0)</f>
        <v/>
      </c>
      <c r="X452" s="10">
        <f>IF(OR(NOT(ISNUMBER(H452)),Q452=""),"",IF(TODAY()&lt;H452,"파견예정",IF(AND(ISNUMBER(I452),TODAY()&gt;I452),"파견종료","파견중")))</f>
        <v/>
      </c>
      <c r="Y452" s="10">
        <f>IF(OR(Q452="",X452=""),"",Q452&amp;"|"&amp;X452)</f>
        <v/>
      </c>
      <c r="Z452" s="10">
        <f>IF(AND(Q452&lt;&gt;"",W452&gt;0),Q452&amp;"|월","")</f>
        <v/>
      </c>
      <c r="AA452" s="10">
        <f>IF(COUNTA(B452:I452,K452:N452)=0,"",IF(Q452="","등록번호 없음",IF(LEFT(R452,1)="⚠","모병원명 미등록",IF(S452="","파견병원 입력",IF(LEFT(S452,1)="⚠","파견병원명 미등록",IF(LEFT(U452,1)="⚠","파견과목 미등록",IF(OR(T452="",LEFT(T452,1)="⚠"),"파견근거 확인",IF(NOT(AND(ISNUMBER(H452),ISNUMBER(I452))),"날짜 형식/누락",IF(I452&lt;H452,"종료일&lt;시작일","")))))))))</f>
        <v/>
      </c>
      <c r="AB452" s="11">
        <f>IF(ISNUMBER(SEARCH("다기관",TRIM(N452&amp;" "&amp;O452))),IFERROR(DATE(VALUE(MID(TRIM(N452&amp;" "&amp;O452),1,4)),VALUE(MID(TRIM(N452&amp;" "&amp;O452),6,2)),VALUE(MID(TRIM(N452&amp;" "&amp;O452),9,2))),IF(ISNUMBER(H452),H452,"")),"")</f>
        <v/>
      </c>
      <c r="AC452" s="11">
        <f>IF(ISNUMBER(SEARCH("다기관",TRIM(N452&amp;" "&amp;O452))),IFERROR(DATE(VALUE(MID(TRIM(N452&amp;" "&amp;O452),12,4)),VALUE(MID(TRIM(N452&amp;" "&amp;O452),17,2)),VALUE(MID(TRIM(N452&amp;" "&amp;O452),20,2))),IF(ISNUMBER(I452),I452,"")),"")</f>
        <v/>
      </c>
      <c r="AD452" s="17">
        <f>IF(AND(ISNUMBER(AB452),ISNUMBER(AC452)),MAX(0,MIN(AC452,EOMONTH(출력_요약!$B$3,0))-MAX(AB452,출력_요약!$B$3)+1),0)</f>
        <v/>
      </c>
      <c r="AE452" s="10">
        <f>IF(AND(Q452&lt;&gt;"",ISNUMBER(AB452)),Q452&amp;"|다기관","")</f>
        <v/>
      </c>
    </row>
    <row r="453">
      <c r="A453" s="15">
        <f>IF(F453="","",ROW()-3)</f>
        <v/>
      </c>
      <c r="B453" s="5" t="n"/>
      <c r="C453" s="15" t="n"/>
      <c r="D453" s="5" t="n"/>
      <c r="E453" s="15" t="n"/>
      <c r="F453" s="5" t="n"/>
      <c r="G453" s="6" t="n"/>
      <c r="H453" s="16" t="n"/>
      <c r="I453" s="16" t="n"/>
      <c r="J453" s="15">
        <f>IF(AND(ISNUMBER(H453),ISNUMBER(I453)),I453-H453+1,"")</f>
        <v/>
      </c>
      <c r="K453" s="5" t="n"/>
      <c r="L453" s="5" t="n"/>
      <c r="M453" s="5" t="n"/>
      <c r="N453" s="5" t="n"/>
      <c r="O453" s="5" t="n"/>
      <c r="Q453" s="10">
        <f>IF(TRIM(G453&amp;"")="","",TRIM(G453&amp;""))</f>
        <v/>
      </c>
      <c r="R453" s="10">
        <f>IF(TRIM(B453&amp;"")="","",IFERROR(INDEX(설정_코드표!$K$2:$K$101,MATCH(TRIM(B453&amp;""),설정_코드표!$J$2:$J$101,0)),"⚠"&amp;TRIM(B453&amp;"")))</f>
        <v/>
      </c>
      <c r="S453" s="10">
        <f>IF(TRIM(K453&amp;"")="","",IFERROR(INDEX(설정_코드표!$K$2:$K$101,MATCH(TRIM(K453&amp;""),설정_코드표!$J$2:$J$101,0)),"⚠"&amp;TRIM(K453&amp;"")))</f>
        <v/>
      </c>
      <c r="T453" s="10">
        <f>IF(TRIM(M453&amp;"")="","",IF(ISNUMBER(MATCH(TRIM(M453&amp;""),설정_코드표!$C$2:$C$11,0)),TRIM(M453&amp;""),"⚠"&amp;TRIM(M453&amp;"")))</f>
        <v/>
      </c>
      <c r="U453" s="10">
        <f>IF(TRIM(L453&amp;"")="","",IFERROR(INDEX(설정_코드표!$G$2:$G$101,MATCH(TRIM(L453&amp;""),설정_코드표!$F$2:$F$101,0)),"⚠"&amp;TRIM(L453&amp;"")))</f>
        <v/>
      </c>
      <c r="V453" s="10">
        <f>IF(AND(ISNUMBER(H453),ISNUMBER(I453)),I453-H453+1,"")</f>
        <v/>
      </c>
      <c r="W453" s="17">
        <f>IF(ISNUMBER(H453),MAX(0,MIN(IF(ISNUMBER(I453),I453,EOMONTH(출력_요약!$B$3,0)),EOMONTH(출력_요약!$B$3,0))-MAX(H453,출력_요약!$B$3)+1),0)</f>
        <v/>
      </c>
      <c r="X453" s="10">
        <f>IF(OR(NOT(ISNUMBER(H453)),Q453=""),"",IF(TODAY()&lt;H453,"파견예정",IF(AND(ISNUMBER(I453),TODAY()&gt;I453),"파견종료","파견중")))</f>
        <v/>
      </c>
      <c r="Y453" s="10">
        <f>IF(OR(Q453="",X453=""),"",Q453&amp;"|"&amp;X453)</f>
        <v/>
      </c>
      <c r="Z453" s="10">
        <f>IF(AND(Q453&lt;&gt;"",W453&gt;0),Q453&amp;"|월","")</f>
        <v/>
      </c>
      <c r="AA453" s="10">
        <f>IF(COUNTA(B453:I453,K453:N453)=0,"",IF(Q453="","등록번호 없음",IF(LEFT(R453,1)="⚠","모병원명 미등록",IF(S453="","파견병원 입력",IF(LEFT(S453,1)="⚠","파견병원명 미등록",IF(LEFT(U453,1)="⚠","파견과목 미등록",IF(OR(T453="",LEFT(T453,1)="⚠"),"파견근거 확인",IF(NOT(AND(ISNUMBER(H453),ISNUMBER(I453))),"날짜 형식/누락",IF(I453&lt;H453,"종료일&lt;시작일","")))))))))</f>
        <v/>
      </c>
      <c r="AB453" s="11">
        <f>IF(ISNUMBER(SEARCH("다기관",TRIM(N453&amp;" "&amp;O453))),IFERROR(DATE(VALUE(MID(TRIM(N453&amp;" "&amp;O453),1,4)),VALUE(MID(TRIM(N453&amp;" "&amp;O453),6,2)),VALUE(MID(TRIM(N453&amp;" "&amp;O453),9,2))),IF(ISNUMBER(H453),H453,"")),"")</f>
        <v/>
      </c>
      <c r="AC453" s="11">
        <f>IF(ISNUMBER(SEARCH("다기관",TRIM(N453&amp;" "&amp;O453))),IFERROR(DATE(VALUE(MID(TRIM(N453&amp;" "&amp;O453),12,4)),VALUE(MID(TRIM(N453&amp;" "&amp;O453),17,2)),VALUE(MID(TRIM(N453&amp;" "&amp;O453),20,2))),IF(ISNUMBER(I453),I453,"")),"")</f>
        <v/>
      </c>
      <c r="AD453" s="17">
        <f>IF(AND(ISNUMBER(AB453),ISNUMBER(AC453)),MAX(0,MIN(AC453,EOMONTH(출력_요약!$B$3,0))-MAX(AB453,출력_요약!$B$3)+1),0)</f>
        <v/>
      </c>
      <c r="AE453" s="10">
        <f>IF(AND(Q453&lt;&gt;"",ISNUMBER(AB453)),Q453&amp;"|다기관","")</f>
        <v/>
      </c>
    </row>
    <row r="454">
      <c r="A454" s="15">
        <f>IF(F454="","",ROW()-3)</f>
        <v/>
      </c>
      <c r="B454" s="5" t="n"/>
      <c r="C454" s="15" t="n"/>
      <c r="D454" s="5" t="n"/>
      <c r="E454" s="15" t="n"/>
      <c r="F454" s="5" t="n"/>
      <c r="G454" s="6" t="n"/>
      <c r="H454" s="16" t="n"/>
      <c r="I454" s="16" t="n"/>
      <c r="J454" s="15">
        <f>IF(AND(ISNUMBER(H454),ISNUMBER(I454)),I454-H454+1,"")</f>
        <v/>
      </c>
      <c r="K454" s="5" t="n"/>
      <c r="L454" s="5" t="n"/>
      <c r="M454" s="5" t="n"/>
      <c r="N454" s="5" t="n"/>
      <c r="O454" s="5" t="n"/>
      <c r="Q454" s="10">
        <f>IF(TRIM(G454&amp;"")="","",TRIM(G454&amp;""))</f>
        <v/>
      </c>
      <c r="R454" s="10">
        <f>IF(TRIM(B454&amp;"")="","",IFERROR(INDEX(설정_코드표!$K$2:$K$101,MATCH(TRIM(B454&amp;""),설정_코드표!$J$2:$J$101,0)),"⚠"&amp;TRIM(B454&amp;"")))</f>
        <v/>
      </c>
      <c r="S454" s="10">
        <f>IF(TRIM(K454&amp;"")="","",IFERROR(INDEX(설정_코드표!$K$2:$K$101,MATCH(TRIM(K454&amp;""),설정_코드표!$J$2:$J$101,0)),"⚠"&amp;TRIM(K454&amp;"")))</f>
        <v/>
      </c>
      <c r="T454" s="10">
        <f>IF(TRIM(M454&amp;"")="","",IF(ISNUMBER(MATCH(TRIM(M454&amp;""),설정_코드표!$C$2:$C$11,0)),TRIM(M454&amp;""),"⚠"&amp;TRIM(M454&amp;"")))</f>
        <v/>
      </c>
      <c r="U454" s="10">
        <f>IF(TRIM(L454&amp;"")="","",IFERROR(INDEX(설정_코드표!$G$2:$G$101,MATCH(TRIM(L454&amp;""),설정_코드표!$F$2:$F$101,0)),"⚠"&amp;TRIM(L454&amp;"")))</f>
        <v/>
      </c>
      <c r="V454" s="10">
        <f>IF(AND(ISNUMBER(H454),ISNUMBER(I454)),I454-H454+1,"")</f>
        <v/>
      </c>
      <c r="W454" s="17">
        <f>IF(ISNUMBER(H454),MAX(0,MIN(IF(ISNUMBER(I454),I454,EOMONTH(출력_요약!$B$3,0)),EOMONTH(출력_요약!$B$3,0))-MAX(H454,출력_요약!$B$3)+1),0)</f>
        <v/>
      </c>
      <c r="X454" s="10">
        <f>IF(OR(NOT(ISNUMBER(H454)),Q454=""),"",IF(TODAY()&lt;H454,"파견예정",IF(AND(ISNUMBER(I454),TODAY()&gt;I454),"파견종료","파견중")))</f>
        <v/>
      </c>
      <c r="Y454" s="10">
        <f>IF(OR(Q454="",X454=""),"",Q454&amp;"|"&amp;X454)</f>
        <v/>
      </c>
      <c r="Z454" s="10">
        <f>IF(AND(Q454&lt;&gt;"",W454&gt;0),Q454&amp;"|월","")</f>
        <v/>
      </c>
      <c r="AA454" s="10">
        <f>IF(COUNTA(B454:I454,K454:N454)=0,"",IF(Q454="","등록번호 없음",IF(LEFT(R454,1)="⚠","모병원명 미등록",IF(S454="","파견병원 입력",IF(LEFT(S454,1)="⚠","파견병원명 미등록",IF(LEFT(U454,1)="⚠","파견과목 미등록",IF(OR(T454="",LEFT(T454,1)="⚠"),"파견근거 확인",IF(NOT(AND(ISNUMBER(H454),ISNUMBER(I454))),"날짜 형식/누락",IF(I454&lt;H454,"종료일&lt;시작일","")))))))))</f>
        <v/>
      </c>
      <c r="AB454" s="11">
        <f>IF(ISNUMBER(SEARCH("다기관",TRIM(N454&amp;" "&amp;O454))),IFERROR(DATE(VALUE(MID(TRIM(N454&amp;" "&amp;O454),1,4)),VALUE(MID(TRIM(N454&amp;" "&amp;O454),6,2)),VALUE(MID(TRIM(N454&amp;" "&amp;O454),9,2))),IF(ISNUMBER(H454),H454,"")),"")</f>
        <v/>
      </c>
      <c r="AC454" s="11">
        <f>IF(ISNUMBER(SEARCH("다기관",TRIM(N454&amp;" "&amp;O454))),IFERROR(DATE(VALUE(MID(TRIM(N454&amp;" "&amp;O454),12,4)),VALUE(MID(TRIM(N454&amp;" "&amp;O454),17,2)),VALUE(MID(TRIM(N454&amp;" "&amp;O454),20,2))),IF(ISNUMBER(I454),I454,"")),"")</f>
        <v/>
      </c>
      <c r="AD454" s="17">
        <f>IF(AND(ISNUMBER(AB454),ISNUMBER(AC454)),MAX(0,MIN(AC454,EOMONTH(출력_요약!$B$3,0))-MAX(AB454,출력_요약!$B$3)+1),0)</f>
        <v/>
      </c>
      <c r="AE454" s="10">
        <f>IF(AND(Q454&lt;&gt;"",ISNUMBER(AB454)),Q454&amp;"|다기관","")</f>
        <v/>
      </c>
    </row>
    <row r="455">
      <c r="A455" s="15">
        <f>IF(F455="","",ROW()-3)</f>
        <v/>
      </c>
      <c r="B455" s="5" t="n"/>
      <c r="C455" s="15" t="n"/>
      <c r="D455" s="5" t="n"/>
      <c r="E455" s="15" t="n"/>
      <c r="F455" s="5" t="n"/>
      <c r="G455" s="6" t="n"/>
      <c r="H455" s="16" t="n"/>
      <c r="I455" s="16" t="n"/>
      <c r="J455" s="15">
        <f>IF(AND(ISNUMBER(H455),ISNUMBER(I455)),I455-H455+1,"")</f>
        <v/>
      </c>
      <c r="K455" s="5" t="n"/>
      <c r="L455" s="5" t="n"/>
      <c r="M455" s="5" t="n"/>
      <c r="N455" s="5" t="n"/>
      <c r="O455" s="5" t="n"/>
      <c r="Q455" s="10">
        <f>IF(TRIM(G455&amp;"")="","",TRIM(G455&amp;""))</f>
        <v/>
      </c>
      <c r="R455" s="10">
        <f>IF(TRIM(B455&amp;"")="","",IFERROR(INDEX(설정_코드표!$K$2:$K$101,MATCH(TRIM(B455&amp;""),설정_코드표!$J$2:$J$101,0)),"⚠"&amp;TRIM(B455&amp;"")))</f>
        <v/>
      </c>
      <c r="S455" s="10">
        <f>IF(TRIM(K455&amp;"")="","",IFERROR(INDEX(설정_코드표!$K$2:$K$101,MATCH(TRIM(K455&amp;""),설정_코드표!$J$2:$J$101,0)),"⚠"&amp;TRIM(K455&amp;"")))</f>
        <v/>
      </c>
      <c r="T455" s="10">
        <f>IF(TRIM(M455&amp;"")="","",IF(ISNUMBER(MATCH(TRIM(M455&amp;""),설정_코드표!$C$2:$C$11,0)),TRIM(M455&amp;""),"⚠"&amp;TRIM(M455&amp;"")))</f>
        <v/>
      </c>
      <c r="U455" s="10">
        <f>IF(TRIM(L455&amp;"")="","",IFERROR(INDEX(설정_코드표!$G$2:$G$101,MATCH(TRIM(L455&amp;""),설정_코드표!$F$2:$F$101,0)),"⚠"&amp;TRIM(L455&amp;"")))</f>
        <v/>
      </c>
      <c r="V455" s="10">
        <f>IF(AND(ISNUMBER(H455),ISNUMBER(I455)),I455-H455+1,"")</f>
        <v/>
      </c>
      <c r="W455" s="17">
        <f>IF(ISNUMBER(H455),MAX(0,MIN(IF(ISNUMBER(I455),I455,EOMONTH(출력_요약!$B$3,0)),EOMONTH(출력_요약!$B$3,0))-MAX(H455,출력_요약!$B$3)+1),0)</f>
        <v/>
      </c>
      <c r="X455" s="10">
        <f>IF(OR(NOT(ISNUMBER(H455)),Q455=""),"",IF(TODAY()&lt;H455,"파견예정",IF(AND(ISNUMBER(I455),TODAY()&gt;I455),"파견종료","파견중")))</f>
        <v/>
      </c>
      <c r="Y455" s="10">
        <f>IF(OR(Q455="",X455=""),"",Q455&amp;"|"&amp;X455)</f>
        <v/>
      </c>
      <c r="Z455" s="10">
        <f>IF(AND(Q455&lt;&gt;"",W455&gt;0),Q455&amp;"|월","")</f>
        <v/>
      </c>
      <c r="AA455" s="10">
        <f>IF(COUNTA(B455:I455,K455:N455)=0,"",IF(Q455="","등록번호 없음",IF(LEFT(R455,1)="⚠","모병원명 미등록",IF(S455="","파견병원 입력",IF(LEFT(S455,1)="⚠","파견병원명 미등록",IF(LEFT(U455,1)="⚠","파견과목 미등록",IF(OR(T455="",LEFT(T455,1)="⚠"),"파견근거 확인",IF(NOT(AND(ISNUMBER(H455),ISNUMBER(I455))),"날짜 형식/누락",IF(I455&lt;H455,"종료일&lt;시작일","")))))))))</f>
        <v/>
      </c>
      <c r="AB455" s="11">
        <f>IF(ISNUMBER(SEARCH("다기관",TRIM(N455&amp;" "&amp;O455))),IFERROR(DATE(VALUE(MID(TRIM(N455&amp;" "&amp;O455),1,4)),VALUE(MID(TRIM(N455&amp;" "&amp;O455),6,2)),VALUE(MID(TRIM(N455&amp;" "&amp;O455),9,2))),IF(ISNUMBER(H455),H455,"")),"")</f>
        <v/>
      </c>
      <c r="AC455" s="11">
        <f>IF(ISNUMBER(SEARCH("다기관",TRIM(N455&amp;" "&amp;O455))),IFERROR(DATE(VALUE(MID(TRIM(N455&amp;" "&amp;O455),12,4)),VALUE(MID(TRIM(N455&amp;" "&amp;O455),17,2)),VALUE(MID(TRIM(N455&amp;" "&amp;O455),20,2))),IF(ISNUMBER(I455),I455,"")),"")</f>
        <v/>
      </c>
      <c r="AD455" s="17">
        <f>IF(AND(ISNUMBER(AB455),ISNUMBER(AC455)),MAX(0,MIN(AC455,EOMONTH(출력_요약!$B$3,0))-MAX(AB455,출력_요약!$B$3)+1),0)</f>
        <v/>
      </c>
      <c r="AE455" s="10">
        <f>IF(AND(Q455&lt;&gt;"",ISNUMBER(AB455)),Q455&amp;"|다기관","")</f>
        <v/>
      </c>
    </row>
    <row r="456">
      <c r="A456" s="15">
        <f>IF(F456="","",ROW()-3)</f>
        <v/>
      </c>
      <c r="B456" s="5" t="n"/>
      <c r="C456" s="15" t="n"/>
      <c r="D456" s="5" t="n"/>
      <c r="E456" s="15" t="n"/>
      <c r="F456" s="5" t="n"/>
      <c r="G456" s="6" t="n"/>
      <c r="H456" s="16" t="n"/>
      <c r="I456" s="16" t="n"/>
      <c r="J456" s="15">
        <f>IF(AND(ISNUMBER(H456),ISNUMBER(I456)),I456-H456+1,"")</f>
        <v/>
      </c>
      <c r="K456" s="5" t="n"/>
      <c r="L456" s="5" t="n"/>
      <c r="M456" s="5" t="n"/>
      <c r="N456" s="5" t="n"/>
      <c r="O456" s="5" t="n"/>
      <c r="Q456" s="10">
        <f>IF(TRIM(G456&amp;"")="","",TRIM(G456&amp;""))</f>
        <v/>
      </c>
      <c r="R456" s="10">
        <f>IF(TRIM(B456&amp;"")="","",IFERROR(INDEX(설정_코드표!$K$2:$K$101,MATCH(TRIM(B456&amp;""),설정_코드표!$J$2:$J$101,0)),"⚠"&amp;TRIM(B456&amp;"")))</f>
        <v/>
      </c>
      <c r="S456" s="10">
        <f>IF(TRIM(K456&amp;"")="","",IFERROR(INDEX(설정_코드표!$K$2:$K$101,MATCH(TRIM(K456&amp;""),설정_코드표!$J$2:$J$101,0)),"⚠"&amp;TRIM(K456&amp;"")))</f>
        <v/>
      </c>
      <c r="T456" s="10">
        <f>IF(TRIM(M456&amp;"")="","",IF(ISNUMBER(MATCH(TRIM(M456&amp;""),설정_코드표!$C$2:$C$11,0)),TRIM(M456&amp;""),"⚠"&amp;TRIM(M456&amp;"")))</f>
        <v/>
      </c>
      <c r="U456" s="10">
        <f>IF(TRIM(L456&amp;"")="","",IFERROR(INDEX(설정_코드표!$G$2:$G$101,MATCH(TRIM(L456&amp;""),설정_코드표!$F$2:$F$101,0)),"⚠"&amp;TRIM(L456&amp;"")))</f>
        <v/>
      </c>
      <c r="V456" s="10">
        <f>IF(AND(ISNUMBER(H456),ISNUMBER(I456)),I456-H456+1,"")</f>
        <v/>
      </c>
      <c r="W456" s="17">
        <f>IF(ISNUMBER(H456),MAX(0,MIN(IF(ISNUMBER(I456),I456,EOMONTH(출력_요약!$B$3,0)),EOMONTH(출력_요약!$B$3,0))-MAX(H456,출력_요약!$B$3)+1),0)</f>
        <v/>
      </c>
      <c r="X456" s="10">
        <f>IF(OR(NOT(ISNUMBER(H456)),Q456=""),"",IF(TODAY()&lt;H456,"파견예정",IF(AND(ISNUMBER(I456),TODAY()&gt;I456),"파견종료","파견중")))</f>
        <v/>
      </c>
      <c r="Y456" s="10">
        <f>IF(OR(Q456="",X456=""),"",Q456&amp;"|"&amp;X456)</f>
        <v/>
      </c>
      <c r="Z456" s="10">
        <f>IF(AND(Q456&lt;&gt;"",W456&gt;0),Q456&amp;"|월","")</f>
        <v/>
      </c>
      <c r="AA456" s="10">
        <f>IF(COUNTA(B456:I456,K456:N456)=0,"",IF(Q456="","등록번호 없음",IF(LEFT(R456,1)="⚠","모병원명 미등록",IF(S456="","파견병원 입력",IF(LEFT(S456,1)="⚠","파견병원명 미등록",IF(LEFT(U456,1)="⚠","파견과목 미등록",IF(OR(T456="",LEFT(T456,1)="⚠"),"파견근거 확인",IF(NOT(AND(ISNUMBER(H456),ISNUMBER(I456))),"날짜 형식/누락",IF(I456&lt;H456,"종료일&lt;시작일","")))))))))</f>
        <v/>
      </c>
      <c r="AB456" s="11">
        <f>IF(ISNUMBER(SEARCH("다기관",TRIM(N456&amp;" "&amp;O456))),IFERROR(DATE(VALUE(MID(TRIM(N456&amp;" "&amp;O456),1,4)),VALUE(MID(TRIM(N456&amp;" "&amp;O456),6,2)),VALUE(MID(TRIM(N456&amp;" "&amp;O456),9,2))),IF(ISNUMBER(H456),H456,"")),"")</f>
        <v/>
      </c>
      <c r="AC456" s="11">
        <f>IF(ISNUMBER(SEARCH("다기관",TRIM(N456&amp;" "&amp;O456))),IFERROR(DATE(VALUE(MID(TRIM(N456&amp;" "&amp;O456),12,4)),VALUE(MID(TRIM(N456&amp;" "&amp;O456),17,2)),VALUE(MID(TRIM(N456&amp;" "&amp;O456),20,2))),IF(ISNUMBER(I456),I456,"")),"")</f>
        <v/>
      </c>
      <c r="AD456" s="17">
        <f>IF(AND(ISNUMBER(AB456),ISNUMBER(AC456)),MAX(0,MIN(AC456,EOMONTH(출력_요약!$B$3,0))-MAX(AB456,출력_요약!$B$3)+1),0)</f>
        <v/>
      </c>
      <c r="AE456" s="10">
        <f>IF(AND(Q456&lt;&gt;"",ISNUMBER(AB456)),Q456&amp;"|다기관","")</f>
        <v/>
      </c>
    </row>
    <row r="457">
      <c r="A457" s="15">
        <f>IF(F457="","",ROW()-3)</f>
        <v/>
      </c>
      <c r="B457" s="5" t="n"/>
      <c r="C457" s="15" t="n"/>
      <c r="D457" s="5" t="n"/>
      <c r="E457" s="15" t="n"/>
      <c r="F457" s="5" t="n"/>
      <c r="G457" s="6" t="n"/>
      <c r="H457" s="16" t="n"/>
      <c r="I457" s="16" t="n"/>
      <c r="J457" s="15">
        <f>IF(AND(ISNUMBER(H457),ISNUMBER(I457)),I457-H457+1,"")</f>
        <v/>
      </c>
      <c r="K457" s="5" t="n"/>
      <c r="L457" s="5" t="n"/>
      <c r="M457" s="5" t="n"/>
      <c r="N457" s="5" t="n"/>
      <c r="O457" s="5" t="n"/>
      <c r="Q457" s="10">
        <f>IF(TRIM(G457&amp;"")="","",TRIM(G457&amp;""))</f>
        <v/>
      </c>
      <c r="R457" s="10">
        <f>IF(TRIM(B457&amp;"")="","",IFERROR(INDEX(설정_코드표!$K$2:$K$101,MATCH(TRIM(B457&amp;""),설정_코드표!$J$2:$J$101,0)),"⚠"&amp;TRIM(B457&amp;"")))</f>
        <v/>
      </c>
      <c r="S457" s="10">
        <f>IF(TRIM(K457&amp;"")="","",IFERROR(INDEX(설정_코드표!$K$2:$K$101,MATCH(TRIM(K457&amp;""),설정_코드표!$J$2:$J$101,0)),"⚠"&amp;TRIM(K457&amp;"")))</f>
        <v/>
      </c>
      <c r="T457" s="10">
        <f>IF(TRIM(M457&amp;"")="","",IF(ISNUMBER(MATCH(TRIM(M457&amp;""),설정_코드표!$C$2:$C$11,0)),TRIM(M457&amp;""),"⚠"&amp;TRIM(M457&amp;"")))</f>
        <v/>
      </c>
      <c r="U457" s="10">
        <f>IF(TRIM(L457&amp;"")="","",IFERROR(INDEX(설정_코드표!$G$2:$G$101,MATCH(TRIM(L457&amp;""),설정_코드표!$F$2:$F$101,0)),"⚠"&amp;TRIM(L457&amp;"")))</f>
        <v/>
      </c>
      <c r="V457" s="10">
        <f>IF(AND(ISNUMBER(H457),ISNUMBER(I457)),I457-H457+1,"")</f>
        <v/>
      </c>
      <c r="W457" s="17">
        <f>IF(ISNUMBER(H457),MAX(0,MIN(IF(ISNUMBER(I457),I457,EOMONTH(출력_요약!$B$3,0)),EOMONTH(출력_요약!$B$3,0))-MAX(H457,출력_요약!$B$3)+1),0)</f>
        <v/>
      </c>
      <c r="X457" s="10">
        <f>IF(OR(NOT(ISNUMBER(H457)),Q457=""),"",IF(TODAY()&lt;H457,"파견예정",IF(AND(ISNUMBER(I457),TODAY()&gt;I457),"파견종료","파견중")))</f>
        <v/>
      </c>
      <c r="Y457" s="10">
        <f>IF(OR(Q457="",X457=""),"",Q457&amp;"|"&amp;X457)</f>
        <v/>
      </c>
      <c r="Z457" s="10">
        <f>IF(AND(Q457&lt;&gt;"",W457&gt;0),Q457&amp;"|월","")</f>
        <v/>
      </c>
      <c r="AA457" s="10">
        <f>IF(COUNTA(B457:I457,K457:N457)=0,"",IF(Q457="","등록번호 없음",IF(LEFT(R457,1)="⚠","모병원명 미등록",IF(S457="","파견병원 입력",IF(LEFT(S457,1)="⚠","파견병원명 미등록",IF(LEFT(U457,1)="⚠","파견과목 미등록",IF(OR(T457="",LEFT(T457,1)="⚠"),"파견근거 확인",IF(NOT(AND(ISNUMBER(H457),ISNUMBER(I457))),"날짜 형식/누락",IF(I457&lt;H457,"종료일&lt;시작일","")))))))))</f>
        <v/>
      </c>
      <c r="AB457" s="11">
        <f>IF(ISNUMBER(SEARCH("다기관",TRIM(N457&amp;" "&amp;O457))),IFERROR(DATE(VALUE(MID(TRIM(N457&amp;" "&amp;O457),1,4)),VALUE(MID(TRIM(N457&amp;" "&amp;O457),6,2)),VALUE(MID(TRIM(N457&amp;" "&amp;O457),9,2))),IF(ISNUMBER(H457),H457,"")),"")</f>
        <v/>
      </c>
      <c r="AC457" s="11">
        <f>IF(ISNUMBER(SEARCH("다기관",TRIM(N457&amp;" "&amp;O457))),IFERROR(DATE(VALUE(MID(TRIM(N457&amp;" "&amp;O457),12,4)),VALUE(MID(TRIM(N457&amp;" "&amp;O457),17,2)),VALUE(MID(TRIM(N457&amp;" "&amp;O457),20,2))),IF(ISNUMBER(I457),I457,"")),"")</f>
        <v/>
      </c>
      <c r="AD457" s="17">
        <f>IF(AND(ISNUMBER(AB457),ISNUMBER(AC457)),MAX(0,MIN(AC457,EOMONTH(출력_요약!$B$3,0))-MAX(AB457,출력_요약!$B$3)+1),0)</f>
        <v/>
      </c>
      <c r="AE457" s="10">
        <f>IF(AND(Q457&lt;&gt;"",ISNUMBER(AB457)),Q457&amp;"|다기관","")</f>
        <v/>
      </c>
    </row>
    <row r="458">
      <c r="A458" s="15">
        <f>IF(F458="","",ROW()-3)</f>
        <v/>
      </c>
      <c r="B458" s="5" t="n"/>
      <c r="C458" s="15" t="n"/>
      <c r="D458" s="5" t="n"/>
      <c r="E458" s="15" t="n"/>
      <c r="F458" s="5" t="n"/>
      <c r="G458" s="6" t="n"/>
      <c r="H458" s="16" t="n"/>
      <c r="I458" s="16" t="n"/>
      <c r="J458" s="15">
        <f>IF(AND(ISNUMBER(H458),ISNUMBER(I458)),I458-H458+1,"")</f>
        <v/>
      </c>
      <c r="K458" s="5" t="n"/>
      <c r="L458" s="5" t="n"/>
      <c r="M458" s="5" t="n"/>
      <c r="N458" s="5" t="n"/>
      <c r="O458" s="5" t="n"/>
      <c r="Q458" s="10">
        <f>IF(TRIM(G458&amp;"")="","",TRIM(G458&amp;""))</f>
        <v/>
      </c>
      <c r="R458" s="10">
        <f>IF(TRIM(B458&amp;"")="","",IFERROR(INDEX(설정_코드표!$K$2:$K$101,MATCH(TRIM(B458&amp;""),설정_코드표!$J$2:$J$101,0)),"⚠"&amp;TRIM(B458&amp;"")))</f>
        <v/>
      </c>
      <c r="S458" s="10">
        <f>IF(TRIM(K458&amp;"")="","",IFERROR(INDEX(설정_코드표!$K$2:$K$101,MATCH(TRIM(K458&amp;""),설정_코드표!$J$2:$J$101,0)),"⚠"&amp;TRIM(K458&amp;"")))</f>
        <v/>
      </c>
      <c r="T458" s="10">
        <f>IF(TRIM(M458&amp;"")="","",IF(ISNUMBER(MATCH(TRIM(M458&amp;""),설정_코드표!$C$2:$C$11,0)),TRIM(M458&amp;""),"⚠"&amp;TRIM(M458&amp;"")))</f>
        <v/>
      </c>
      <c r="U458" s="10">
        <f>IF(TRIM(L458&amp;"")="","",IFERROR(INDEX(설정_코드표!$G$2:$G$101,MATCH(TRIM(L458&amp;""),설정_코드표!$F$2:$F$101,0)),"⚠"&amp;TRIM(L458&amp;"")))</f>
        <v/>
      </c>
      <c r="V458" s="10">
        <f>IF(AND(ISNUMBER(H458),ISNUMBER(I458)),I458-H458+1,"")</f>
        <v/>
      </c>
      <c r="W458" s="17">
        <f>IF(ISNUMBER(H458),MAX(0,MIN(IF(ISNUMBER(I458),I458,EOMONTH(출력_요약!$B$3,0)),EOMONTH(출력_요약!$B$3,0))-MAX(H458,출력_요약!$B$3)+1),0)</f>
        <v/>
      </c>
      <c r="X458" s="10">
        <f>IF(OR(NOT(ISNUMBER(H458)),Q458=""),"",IF(TODAY()&lt;H458,"파견예정",IF(AND(ISNUMBER(I458),TODAY()&gt;I458),"파견종료","파견중")))</f>
        <v/>
      </c>
      <c r="Y458" s="10">
        <f>IF(OR(Q458="",X458=""),"",Q458&amp;"|"&amp;X458)</f>
        <v/>
      </c>
      <c r="Z458" s="10">
        <f>IF(AND(Q458&lt;&gt;"",W458&gt;0),Q458&amp;"|월","")</f>
        <v/>
      </c>
      <c r="AA458" s="10">
        <f>IF(COUNTA(B458:I458,K458:N458)=0,"",IF(Q458="","등록번호 없음",IF(LEFT(R458,1)="⚠","모병원명 미등록",IF(S458="","파견병원 입력",IF(LEFT(S458,1)="⚠","파견병원명 미등록",IF(LEFT(U458,1)="⚠","파견과목 미등록",IF(OR(T458="",LEFT(T458,1)="⚠"),"파견근거 확인",IF(NOT(AND(ISNUMBER(H458),ISNUMBER(I458))),"날짜 형식/누락",IF(I458&lt;H458,"종료일&lt;시작일","")))))))))</f>
        <v/>
      </c>
      <c r="AB458" s="11">
        <f>IF(ISNUMBER(SEARCH("다기관",TRIM(N458&amp;" "&amp;O458))),IFERROR(DATE(VALUE(MID(TRIM(N458&amp;" "&amp;O458),1,4)),VALUE(MID(TRIM(N458&amp;" "&amp;O458),6,2)),VALUE(MID(TRIM(N458&amp;" "&amp;O458),9,2))),IF(ISNUMBER(H458),H458,"")),"")</f>
        <v/>
      </c>
      <c r="AC458" s="11">
        <f>IF(ISNUMBER(SEARCH("다기관",TRIM(N458&amp;" "&amp;O458))),IFERROR(DATE(VALUE(MID(TRIM(N458&amp;" "&amp;O458),12,4)),VALUE(MID(TRIM(N458&amp;" "&amp;O458),17,2)),VALUE(MID(TRIM(N458&amp;" "&amp;O458),20,2))),IF(ISNUMBER(I458),I458,"")),"")</f>
        <v/>
      </c>
      <c r="AD458" s="17">
        <f>IF(AND(ISNUMBER(AB458),ISNUMBER(AC458)),MAX(0,MIN(AC458,EOMONTH(출력_요약!$B$3,0))-MAX(AB458,출력_요약!$B$3)+1),0)</f>
        <v/>
      </c>
      <c r="AE458" s="10">
        <f>IF(AND(Q458&lt;&gt;"",ISNUMBER(AB458)),Q458&amp;"|다기관","")</f>
        <v/>
      </c>
    </row>
    <row r="459">
      <c r="A459" s="15">
        <f>IF(F459="","",ROW()-3)</f>
        <v/>
      </c>
      <c r="B459" s="5" t="n"/>
      <c r="C459" s="15" t="n"/>
      <c r="D459" s="5" t="n"/>
      <c r="E459" s="15" t="n"/>
      <c r="F459" s="5" t="n"/>
      <c r="G459" s="6" t="n"/>
      <c r="H459" s="16" t="n"/>
      <c r="I459" s="16" t="n"/>
      <c r="J459" s="15">
        <f>IF(AND(ISNUMBER(H459),ISNUMBER(I459)),I459-H459+1,"")</f>
        <v/>
      </c>
      <c r="K459" s="5" t="n"/>
      <c r="L459" s="5" t="n"/>
      <c r="M459" s="5" t="n"/>
      <c r="N459" s="5" t="n"/>
      <c r="O459" s="5" t="n"/>
      <c r="Q459" s="10">
        <f>IF(TRIM(G459&amp;"")="","",TRIM(G459&amp;""))</f>
        <v/>
      </c>
      <c r="R459" s="10">
        <f>IF(TRIM(B459&amp;"")="","",IFERROR(INDEX(설정_코드표!$K$2:$K$101,MATCH(TRIM(B459&amp;""),설정_코드표!$J$2:$J$101,0)),"⚠"&amp;TRIM(B459&amp;"")))</f>
        <v/>
      </c>
      <c r="S459" s="10">
        <f>IF(TRIM(K459&amp;"")="","",IFERROR(INDEX(설정_코드표!$K$2:$K$101,MATCH(TRIM(K459&amp;""),설정_코드표!$J$2:$J$101,0)),"⚠"&amp;TRIM(K459&amp;"")))</f>
        <v/>
      </c>
      <c r="T459" s="10">
        <f>IF(TRIM(M459&amp;"")="","",IF(ISNUMBER(MATCH(TRIM(M459&amp;""),설정_코드표!$C$2:$C$11,0)),TRIM(M459&amp;""),"⚠"&amp;TRIM(M459&amp;"")))</f>
        <v/>
      </c>
      <c r="U459" s="10">
        <f>IF(TRIM(L459&amp;"")="","",IFERROR(INDEX(설정_코드표!$G$2:$G$101,MATCH(TRIM(L459&amp;""),설정_코드표!$F$2:$F$101,0)),"⚠"&amp;TRIM(L459&amp;"")))</f>
        <v/>
      </c>
      <c r="V459" s="10">
        <f>IF(AND(ISNUMBER(H459),ISNUMBER(I459)),I459-H459+1,"")</f>
        <v/>
      </c>
      <c r="W459" s="17">
        <f>IF(ISNUMBER(H459),MAX(0,MIN(IF(ISNUMBER(I459),I459,EOMONTH(출력_요약!$B$3,0)),EOMONTH(출력_요약!$B$3,0))-MAX(H459,출력_요약!$B$3)+1),0)</f>
        <v/>
      </c>
      <c r="X459" s="10">
        <f>IF(OR(NOT(ISNUMBER(H459)),Q459=""),"",IF(TODAY()&lt;H459,"파견예정",IF(AND(ISNUMBER(I459),TODAY()&gt;I459),"파견종료","파견중")))</f>
        <v/>
      </c>
      <c r="Y459" s="10">
        <f>IF(OR(Q459="",X459=""),"",Q459&amp;"|"&amp;X459)</f>
        <v/>
      </c>
      <c r="Z459" s="10">
        <f>IF(AND(Q459&lt;&gt;"",W459&gt;0),Q459&amp;"|월","")</f>
        <v/>
      </c>
      <c r="AA459" s="10">
        <f>IF(COUNTA(B459:I459,K459:N459)=0,"",IF(Q459="","등록번호 없음",IF(LEFT(R459,1)="⚠","모병원명 미등록",IF(S459="","파견병원 입력",IF(LEFT(S459,1)="⚠","파견병원명 미등록",IF(LEFT(U459,1)="⚠","파견과목 미등록",IF(OR(T459="",LEFT(T459,1)="⚠"),"파견근거 확인",IF(NOT(AND(ISNUMBER(H459),ISNUMBER(I459))),"날짜 형식/누락",IF(I459&lt;H459,"종료일&lt;시작일","")))))))))</f>
        <v/>
      </c>
      <c r="AB459" s="11">
        <f>IF(ISNUMBER(SEARCH("다기관",TRIM(N459&amp;" "&amp;O459))),IFERROR(DATE(VALUE(MID(TRIM(N459&amp;" "&amp;O459),1,4)),VALUE(MID(TRIM(N459&amp;" "&amp;O459),6,2)),VALUE(MID(TRIM(N459&amp;" "&amp;O459),9,2))),IF(ISNUMBER(H459),H459,"")),"")</f>
        <v/>
      </c>
      <c r="AC459" s="11">
        <f>IF(ISNUMBER(SEARCH("다기관",TRIM(N459&amp;" "&amp;O459))),IFERROR(DATE(VALUE(MID(TRIM(N459&amp;" "&amp;O459),12,4)),VALUE(MID(TRIM(N459&amp;" "&amp;O459),17,2)),VALUE(MID(TRIM(N459&amp;" "&amp;O459),20,2))),IF(ISNUMBER(I459),I459,"")),"")</f>
        <v/>
      </c>
      <c r="AD459" s="17">
        <f>IF(AND(ISNUMBER(AB459),ISNUMBER(AC459)),MAX(0,MIN(AC459,EOMONTH(출력_요약!$B$3,0))-MAX(AB459,출력_요약!$B$3)+1),0)</f>
        <v/>
      </c>
      <c r="AE459" s="10">
        <f>IF(AND(Q459&lt;&gt;"",ISNUMBER(AB459)),Q459&amp;"|다기관","")</f>
        <v/>
      </c>
    </row>
    <row r="460">
      <c r="A460" s="15">
        <f>IF(F460="","",ROW()-3)</f>
        <v/>
      </c>
      <c r="B460" s="5" t="n"/>
      <c r="C460" s="15" t="n"/>
      <c r="D460" s="5" t="n"/>
      <c r="E460" s="15" t="n"/>
      <c r="F460" s="5" t="n"/>
      <c r="G460" s="6" t="n"/>
      <c r="H460" s="16" t="n"/>
      <c r="I460" s="16" t="n"/>
      <c r="J460" s="15">
        <f>IF(AND(ISNUMBER(H460),ISNUMBER(I460)),I460-H460+1,"")</f>
        <v/>
      </c>
      <c r="K460" s="5" t="n"/>
      <c r="L460" s="5" t="n"/>
      <c r="M460" s="5" t="n"/>
      <c r="N460" s="5" t="n"/>
      <c r="O460" s="5" t="n"/>
      <c r="Q460" s="10">
        <f>IF(TRIM(G460&amp;"")="","",TRIM(G460&amp;""))</f>
        <v/>
      </c>
      <c r="R460" s="10">
        <f>IF(TRIM(B460&amp;"")="","",IFERROR(INDEX(설정_코드표!$K$2:$K$101,MATCH(TRIM(B460&amp;""),설정_코드표!$J$2:$J$101,0)),"⚠"&amp;TRIM(B460&amp;"")))</f>
        <v/>
      </c>
      <c r="S460" s="10">
        <f>IF(TRIM(K460&amp;"")="","",IFERROR(INDEX(설정_코드표!$K$2:$K$101,MATCH(TRIM(K460&amp;""),설정_코드표!$J$2:$J$101,0)),"⚠"&amp;TRIM(K460&amp;"")))</f>
        <v/>
      </c>
      <c r="T460" s="10">
        <f>IF(TRIM(M460&amp;"")="","",IF(ISNUMBER(MATCH(TRIM(M460&amp;""),설정_코드표!$C$2:$C$11,0)),TRIM(M460&amp;""),"⚠"&amp;TRIM(M460&amp;"")))</f>
        <v/>
      </c>
      <c r="U460" s="10">
        <f>IF(TRIM(L460&amp;"")="","",IFERROR(INDEX(설정_코드표!$G$2:$G$101,MATCH(TRIM(L460&amp;""),설정_코드표!$F$2:$F$101,0)),"⚠"&amp;TRIM(L460&amp;"")))</f>
        <v/>
      </c>
      <c r="V460" s="10">
        <f>IF(AND(ISNUMBER(H460),ISNUMBER(I460)),I460-H460+1,"")</f>
        <v/>
      </c>
      <c r="W460" s="17">
        <f>IF(ISNUMBER(H460),MAX(0,MIN(IF(ISNUMBER(I460),I460,EOMONTH(출력_요약!$B$3,0)),EOMONTH(출력_요약!$B$3,0))-MAX(H460,출력_요약!$B$3)+1),0)</f>
        <v/>
      </c>
      <c r="X460" s="10">
        <f>IF(OR(NOT(ISNUMBER(H460)),Q460=""),"",IF(TODAY()&lt;H460,"파견예정",IF(AND(ISNUMBER(I460),TODAY()&gt;I460),"파견종료","파견중")))</f>
        <v/>
      </c>
      <c r="Y460" s="10">
        <f>IF(OR(Q460="",X460=""),"",Q460&amp;"|"&amp;X460)</f>
        <v/>
      </c>
      <c r="Z460" s="10">
        <f>IF(AND(Q460&lt;&gt;"",W460&gt;0),Q460&amp;"|월","")</f>
        <v/>
      </c>
      <c r="AA460" s="10">
        <f>IF(COUNTA(B460:I460,K460:N460)=0,"",IF(Q460="","등록번호 없음",IF(LEFT(R460,1)="⚠","모병원명 미등록",IF(S460="","파견병원 입력",IF(LEFT(S460,1)="⚠","파견병원명 미등록",IF(LEFT(U460,1)="⚠","파견과목 미등록",IF(OR(T460="",LEFT(T460,1)="⚠"),"파견근거 확인",IF(NOT(AND(ISNUMBER(H460),ISNUMBER(I460))),"날짜 형식/누락",IF(I460&lt;H460,"종료일&lt;시작일","")))))))))</f>
        <v/>
      </c>
      <c r="AB460" s="11">
        <f>IF(ISNUMBER(SEARCH("다기관",TRIM(N460&amp;" "&amp;O460))),IFERROR(DATE(VALUE(MID(TRIM(N460&amp;" "&amp;O460),1,4)),VALUE(MID(TRIM(N460&amp;" "&amp;O460),6,2)),VALUE(MID(TRIM(N460&amp;" "&amp;O460),9,2))),IF(ISNUMBER(H460),H460,"")),"")</f>
        <v/>
      </c>
      <c r="AC460" s="11">
        <f>IF(ISNUMBER(SEARCH("다기관",TRIM(N460&amp;" "&amp;O460))),IFERROR(DATE(VALUE(MID(TRIM(N460&amp;" "&amp;O460),12,4)),VALUE(MID(TRIM(N460&amp;" "&amp;O460),17,2)),VALUE(MID(TRIM(N460&amp;" "&amp;O460),20,2))),IF(ISNUMBER(I460),I460,"")),"")</f>
        <v/>
      </c>
      <c r="AD460" s="17">
        <f>IF(AND(ISNUMBER(AB460),ISNUMBER(AC460)),MAX(0,MIN(AC460,EOMONTH(출력_요약!$B$3,0))-MAX(AB460,출력_요약!$B$3)+1),0)</f>
        <v/>
      </c>
      <c r="AE460" s="10">
        <f>IF(AND(Q460&lt;&gt;"",ISNUMBER(AB460)),Q460&amp;"|다기관","")</f>
        <v/>
      </c>
    </row>
    <row r="461">
      <c r="A461" s="15">
        <f>IF(F461="","",ROW()-3)</f>
        <v/>
      </c>
      <c r="B461" s="5" t="n"/>
      <c r="C461" s="15" t="n"/>
      <c r="D461" s="5" t="n"/>
      <c r="E461" s="15" t="n"/>
      <c r="F461" s="5" t="n"/>
      <c r="G461" s="6" t="n"/>
      <c r="H461" s="16" t="n"/>
      <c r="I461" s="16" t="n"/>
      <c r="J461" s="15">
        <f>IF(AND(ISNUMBER(H461),ISNUMBER(I461)),I461-H461+1,"")</f>
        <v/>
      </c>
      <c r="K461" s="5" t="n"/>
      <c r="L461" s="5" t="n"/>
      <c r="M461" s="5" t="n"/>
      <c r="N461" s="5" t="n"/>
      <c r="O461" s="5" t="n"/>
      <c r="Q461" s="10">
        <f>IF(TRIM(G461&amp;"")="","",TRIM(G461&amp;""))</f>
        <v/>
      </c>
      <c r="R461" s="10">
        <f>IF(TRIM(B461&amp;"")="","",IFERROR(INDEX(설정_코드표!$K$2:$K$101,MATCH(TRIM(B461&amp;""),설정_코드표!$J$2:$J$101,0)),"⚠"&amp;TRIM(B461&amp;"")))</f>
        <v/>
      </c>
      <c r="S461" s="10">
        <f>IF(TRIM(K461&amp;"")="","",IFERROR(INDEX(설정_코드표!$K$2:$K$101,MATCH(TRIM(K461&amp;""),설정_코드표!$J$2:$J$101,0)),"⚠"&amp;TRIM(K461&amp;"")))</f>
        <v/>
      </c>
      <c r="T461" s="10">
        <f>IF(TRIM(M461&amp;"")="","",IF(ISNUMBER(MATCH(TRIM(M461&amp;""),설정_코드표!$C$2:$C$11,0)),TRIM(M461&amp;""),"⚠"&amp;TRIM(M461&amp;"")))</f>
        <v/>
      </c>
      <c r="U461" s="10">
        <f>IF(TRIM(L461&amp;"")="","",IFERROR(INDEX(설정_코드표!$G$2:$G$101,MATCH(TRIM(L461&amp;""),설정_코드표!$F$2:$F$101,0)),"⚠"&amp;TRIM(L461&amp;"")))</f>
        <v/>
      </c>
      <c r="V461" s="10">
        <f>IF(AND(ISNUMBER(H461),ISNUMBER(I461)),I461-H461+1,"")</f>
        <v/>
      </c>
      <c r="W461" s="17">
        <f>IF(ISNUMBER(H461),MAX(0,MIN(IF(ISNUMBER(I461),I461,EOMONTH(출력_요약!$B$3,0)),EOMONTH(출력_요약!$B$3,0))-MAX(H461,출력_요약!$B$3)+1),0)</f>
        <v/>
      </c>
      <c r="X461" s="10">
        <f>IF(OR(NOT(ISNUMBER(H461)),Q461=""),"",IF(TODAY()&lt;H461,"파견예정",IF(AND(ISNUMBER(I461),TODAY()&gt;I461),"파견종료","파견중")))</f>
        <v/>
      </c>
      <c r="Y461" s="10">
        <f>IF(OR(Q461="",X461=""),"",Q461&amp;"|"&amp;X461)</f>
        <v/>
      </c>
      <c r="Z461" s="10">
        <f>IF(AND(Q461&lt;&gt;"",W461&gt;0),Q461&amp;"|월","")</f>
        <v/>
      </c>
      <c r="AA461" s="10">
        <f>IF(COUNTA(B461:I461,K461:N461)=0,"",IF(Q461="","등록번호 없음",IF(LEFT(R461,1)="⚠","모병원명 미등록",IF(S461="","파견병원 입력",IF(LEFT(S461,1)="⚠","파견병원명 미등록",IF(LEFT(U461,1)="⚠","파견과목 미등록",IF(OR(T461="",LEFT(T461,1)="⚠"),"파견근거 확인",IF(NOT(AND(ISNUMBER(H461),ISNUMBER(I461))),"날짜 형식/누락",IF(I461&lt;H461,"종료일&lt;시작일","")))))))))</f>
        <v/>
      </c>
      <c r="AB461" s="11">
        <f>IF(ISNUMBER(SEARCH("다기관",TRIM(N461&amp;" "&amp;O461))),IFERROR(DATE(VALUE(MID(TRIM(N461&amp;" "&amp;O461),1,4)),VALUE(MID(TRIM(N461&amp;" "&amp;O461),6,2)),VALUE(MID(TRIM(N461&amp;" "&amp;O461),9,2))),IF(ISNUMBER(H461),H461,"")),"")</f>
        <v/>
      </c>
      <c r="AC461" s="11">
        <f>IF(ISNUMBER(SEARCH("다기관",TRIM(N461&amp;" "&amp;O461))),IFERROR(DATE(VALUE(MID(TRIM(N461&amp;" "&amp;O461),12,4)),VALUE(MID(TRIM(N461&amp;" "&amp;O461),17,2)),VALUE(MID(TRIM(N461&amp;" "&amp;O461),20,2))),IF(ISNUMBER(I461),I461,"")),"")</f>
        <v/>
      </c>
      <c r="AD461" s="17">
        <f>IF(AND(ISNUMBER(AB461),ISNUMBER(AC461)),MAX(0,MIN(AC461,EOMONTH(출력_요약!$B$3,0))-MAX(AB461,출력_요약!$B$3)+1),0)</f>
        <v/>
      </c>
      <c r="AE461" s="10">
        <f>IF(AND(Q461&lt;&gt;"",ISNUMBER(AB461)),Q461&amp;"|다기관","")</f>
        <v/>
      </c>
    </row>
    <row r="462">
      <c r="A462" s="15">
        <f>IF(F462="","",ROW()-3)</f>
        <v/>
      </c>
      <c r="B462" s="5" t="n"/>
      <c r="C462" s="15" t="n"/>
      <c r="D462" s="5" t="n"/>
      <c r="E462" s="15" t="n"/>
      <c r="F462" s="5" t="n"/>
      <c r="G462" s="6" t="n"/>
      <c r="H462" s="16" t="n"/>
      <c r="I462" s="16" t="n"/>
      <c r="J462" s="15">
        <f>IF(AND(ISNUMBER(H462),ISNUMBER(I462)),I462-H462+1,"")</f>
        <v/>
      </c>
      <c r="K462" s="5" t="n"/>
      <c r="L462" s="5" t="n"/>
      <c r="M462" s="5" t="n"/>
      <c r="N462" s="5" t="n"/>
      <c r="O462" s="5" t="n"/>
      <c r="Q462" s="10">
        <f>IF(TRIM(G462&amp;"")="","",TRIM(G462&amp;""))</f>
        <v/>
      </c>
      <c r="R462" s="10">
        <f>IF(TRIM(B462&amp;"")="","",IFERROR(INDEX(설정_코드표!$K$2:$K$101,MATCH(TRIM(B462&amp;""),설정_코드표!$J$2:$J$101,0)),"⚠"&amp;TRIM(B462&amp;"")))</f>
        <v/>
      </c>
      <c r="S462" s="10">
        <f>IF(TRIM(K462&amp;"")="","",IFERROR(INDEX(설정_코드표!$K$2:$K$101,MATCH(TRIM(K462&amp;""),설정_코드표!$J$2:$J$101,0)),"⚠"&amp;TRIM(K462&amp;"")))</f>
        <v/>
      </c>
      <c r="T462" s="10">
        <f>IF(TRIM(M462&amp;"")="","",IF(ISNUMBER(MATCH(TRIM(M462&amp;""),설정_코드표!$C$2:$C$11,0)),TRIM(M462&amp;""),"⚠"&amp;TRIM(M462&amp;"")))</f>
        <v/>
      </c>
      <c r="U462" s="10">
        <f>IF(TRIM(L462&amp;"")="","",IFERROR(INDEX(설정_코드표!$G$2:$G$101,MATCH(TRIM(L462&amp;""),설정_코드표!$F$2:$F$101,0)),"⚠"&amp;TRIM(L462&amp;"")))</f>
        <v/>
      </c>
      <c r="V462" s="10">
        <f>IF(AND(ISNUMBER(H462),ISNUMBER(I462)),I462-H462+1,"")</f>
        <v/>
      </c>
      <c r="W462" s="17">
        <f>IF(ISNUMBER(H462),MAX(0,MIN(IF(ISNUMBER(I462),I462,EOMONTH(출력_요약!$B$3,0)),EOMONTH(출력_요약!$B$3,0))-MAX(H462,출력_요약!$B$3)+1),0)</f>
        <v/>
      </c>
      <c r="X462" s="10">
        <f>IF(OR(NOT(ISNUMBER(H462)),Q462=""),"",IF(TODAY()&lt;H462,"파견예정",IF(AND(ISNUMBER(I462),TODAY()&gt;I462),"파견종료","파견중")))</f>
        <v/>
      </c>
      <c r="Y462" s="10">
        <f>IF(OR(Q462="",X462=""),"",Q462&amp;"|"&amp;X462)</f>
        <v/>
      </c>
      <c r="Z462" s="10">
        <f>IF(AND(Q462&lt;&gt;"",W462&gt;0),Q462&amp;"|월","")</f>
        <v/>
      </c>
      <c r="AA462" s="10">
        <f>IF(COUNTA(B462:I462,K462:N462)=0,"",IF(Q462="","등록번호 없음",IF(LEFT(R462,1)="⚠","모병원명 미등록",IF(S462="","파견병원 입력",IF(LEFT(S462,1)="⚠","파견병원명 미등록",IF(LEFT(U462,1)="⚠","파견과목 미등록",IF(OR(T462="",LEFT(T462,1)="⚠"),"파견근거 확인",IF(NOT(AND(ISNUMBER(H462),ISNUMBER(I462))),"날짜 형식/누락",IF(I462&lt;H462,"종료일&lt;시작일","")))))))))</f>
        <v/>
      </c>
      <c r="AB462" s="11">
        <f>IF(ISNUMBER(SEARCH("다기관",TRIM(N462&amp;" "&amp;O462))),IFERROR(DATE(VALUE(MID(TRIM(N462&amp;" "&amp;O462),1,4)),VALUE(MID(TRIM(N462&amp;" "&amp;O462),6,2)),VALUE(MID(TRIM(N462&amp;" "&amp;O462),9,2))),IF(ISNUMBER(H462),H462,"")),"")</f>
        <v/>
      </c>
      <c r="AC462" s="11">
        <f>IF(ISNUMBER(SEARCH("다기관",TRIM(N462&amp;" "&amp;O462))),IFERROR(DATE(VALUE(MID(TRIM(N462&amp;" "&amp;O462),12,4)),VALUE(MID(TRIM(N462&amp;" "&amp;O462),17,2)),VALUE(MID(TRIM(N462&amp;" "&amp;O462),20,2))),IF(ISNUMBER(I462),I462,"")),"")</f>
        <v/>
      </c>
      <c r="AD462" s="17">
        <f>IF(AND(ISNUMBER(AB462),ISNUMBER(AC462)),MAX(0,MIN(AC462,EOMONTH(출력_요약!$B$3,0))-MAX(AB462,출력_요약!$B$3)+1),0)</f>
        <v/>
      </c>
      <c r="AE462" s="10">
        <f>IF(AND(Q462&lt;&gt;"",ISNUMBER(AB462)),Q462&amp;"|다기관","")</f>
        <v/>
      </c>
    </row>
    <row r="463">
      <c r="A463" s="15">
        <f>IF(F463="","",ROW()-3)</f>
        <v/>
      </c>
      <c r="B463" s="5" t="n"/>
      <c r="C463" s="15" t="n"/>
      <c r="D463" s="5" t="n"/>
      <c r="E463" s="15" t="n"/>
      <c r="F463" s="5" t="n"/>
      <c r="G463" s="6" t="n"/>
      <c r="H463" s="16" t="n"/>
      <c r="I463" s="16" t="n"/>
      <c r="J463" s="15">
        <f>IF(AND(ISNUMBER(H463),ISNUMBER(I463)),I463-H463+1,"")</f>
        <v/>
      </c>
      <c r="K463" s="5" t="n"/>
      <c r="L463" s="5" t="n"/>
      <c r="M463" s="5" t="n"/>
      <c r="N463" s="5" t="n"/>
      <c r="O463" s="5" t="n"/>
      <c r="Q463" s="10">
        <f>IF(TRIM(G463&amp;"")="","",TRIM(G463&amp;""))</f>
        <v/>
      </c>
      <c r="R463" s="10">
        <f>IF(TRIM(B463&amp;"")="","",IFERROR(INDEX(설정_코드표!$K$2:$K$101,MATCH(TRIM(B463&amp;""),설정_코드표!$J$2:$J$101,0)),"⚠"&amp;TRIM(B463&amp;"")))</f>
        <v/>
      </c>
      <c r="S463" s="10">
        <f>IF(TRIM(K463&amp;"")="","",IFERROR(INDEX(설정_코드표!$K$2:$K$101,MATCH(TRIM(K463&amp;""),설정_코드표!$J$2:$J$101,0)),"⚠"&amp;TRIM(K463&amp;"")))</f>
        <v/>
      </c>
      <c r="T463" s="10">
        <f>IF(TRIM(M463&amp;"")="","",IF(ISNUMBER(MATCH(TRIM(M463&amp;""),설정_코드표!$C$2:$C$11,0)),TRIM(M463&amp;""),"⚠"&amp;TRIM(M463&amp;"")))</f>
        <v/>
      </c>
      <c r="U463" s="10">
        <f>IF(TRIM(L463&amp;"")="","",IFERROR(INDEX(설정_코드표!$G$2:$G$101,MATCH(TRIM(L463&amp;""),설정_코드표!$F$2:$F$101,0)),"⚠"&amp;TRIM(L463&amp;"")))</f>
        <v/>
      </c>
      <c r="V463" s="10">
        <f>IF(AND(ISNUMBER(H463),ISNUMBER(I463)),I463-H463+1,"")</f>
        <v/>
      </c>
      <c r="W463" s="17">
        <f>IF(ISNUMBER(H463),MAX(0,MIN(IF(ISNUMBER(I463),I463,EOMONTH(출력_요약!$B$3,0)),EOMONTH(출력_요약!$B$3,0))-MAX(H463,출력_요약!$B$3)+1),0)</f>
        <v/>
      </c>
      <c r="X463" s="10">
        <f>IF(OR(NOT(ISNUMBER(H463)),Q463=""),"",IF(TODAY()&lt;H463,"파견예정",IF(AND(ISNUMBER(I463),TODAY()&gt;I463),"파견종료","파견중")))</f>
        <v/>
      </c>
      <c r="Y463" s="10">
        <f>IF(OR(Q463="",X463=""),"",Q463&amp;"|"&amp;X463)</f>
        <v/>
      </c>
      <c r="Z463" s="10">
        <f>IF(AND(Q463&lt;&gt;"",W463&gt;0),Q463&amp;"|월","")</f>
        <v/>
      </c>
      <c r="AA463" s="10">
        <f>IF(COUNTA(B463:I463,K463:N463)=0,"",IF(Q463="","등록번호 없음",IF(LEFT(R463,1)="⚠","모병원명 미등록",IF(S463="","파견병원 입력",IF(LEFT(S463,1)="⚠","파견병원명 미등록",IF(LEFT(U463,1)="⚠","파견과목 미등록",IF(OR(T463="",LEFT(T463,1)="⚠"),"파견근거 확인",IF(NOT(AND(ISNUMBER(H463),ISNUMBER(I463))),"날짜 형식/누락",IF(I463&lt;H463,"종료일&lt;시작일","")))))))))</f>
        <v/>
      </c>
      <c r="AB463" s="11">
        <f>IF(ISNUMBER(SEARCH("다기관",TRIM(N463&amp;" "&amp;O463))),IFERROR(DATE(VALUE(MID(TRIM(N463&amp;" "&amp;O463),1,4)),VALUE(MID(TRIM(N463&amp;" "&amp;O463),6,2)),VALUE(MID(TRIM(N463&amp;" "&amp;O463),9,2))),IF(ISNUMBER(H463),H463,"")),"")</f>
        <v/>
      </c>
      <c r="AC463" s="11">
        <f>IF(ISNUMBER(SEARCH("다기관",TRIM(N463&amp;" "&amp;O463))),IFERROR(DATE(VALUE(MID(TRIM(N463&amp;" "&amp;O463),12,4)),VALUE(MID(TRIM(N463&amp;" "&amp;O463),17,2)),VALUE(MID(TRIM(N463&amp;" "&amp;O463),20,2))),IF(ISNUMBER(I463),I463,"")),"")</f>
        <v/>
      </c>
      <c r="AD463" s="17">
        <f>IF(AND(ISNUMBER(AB463),ISNUMBER(AC463)),MAX(0,MIN(AC463,EOMONTH(출력_요약!$B$3,0))-MAX(AB463,출력_요약!$B$3)+1),0)</f>
        <v/>
      </c>
      <c r="AE463" s="10">
        <f>IF(AND(Q463&lt;&gt;"",ISNUMBER(AB463)),Q463&amp;"|다기관","")</f>
        <v/>
      </c>
    </row>
    <row r="464">
      <c r="A464" s="15">
        <f>IF(F464="","",ROW()-3)</f>
        <v/>
      </c>
      <c r="B464" s="5" t="n"/>
      <c r="C464" s="15" t="n"/>
      <c r="D464" s="5" t="n"/>
      <c r="E464" s="15" t="n"/>
      <c r="F464" s="5" t="n"/>
      <c r="G464" s="6" t="n"/>
      <c r="H464" s="16" t="n"/>
      <c r="I464" s="16" t="n"/>
      <c r="J464" s="15">
        <f>IF(AND(ISNUMBER(H464),ISNUMBER(I464)),I464-H464+1,"")</f>
        <v/>
      </c>
      <c r="K464" s="5" t="n"/>
      <c r="L464" s="5" t="n"/>
      <c r="M464" s="5" t="n"/>
      <c r="N464" s="5" t="n"/>
      <c r="O464" s="5" t="n"/>
      <c r="Q464" s="10">
        <f>IF(TRIM(G464&amp;"")="","",TRIM(G464&amp;""))</f>
        <v/>
      </c>
      <c r="R464" s="10">
        <f>IF(TRIM(B464&amp;"")="","",IFERROR(INDEX(설정_코드표!$K$2:$K$101,MATCH(TRIM(B464&amp;""),설정_코드표!$J$2:$J$101,0)),"⚠"&amp;TRIM(B464&amp;"")))</f>
        <v/>
      </c>
      <c r="S464" s="10">
        <f>IF(TRIM(K464&amp;"")="","",IFERROR(INDEX(설정_코드표!$K$2:$K$101,MATCH(TRIM(K464&amp;""),설정_코드표!$J$2:$J$101,0)),"⚠"&amp;TRIM(K464&amp;"")))</f>
        <v/>
      </c>
      <c r="T464" s="10">
        <f>IF(TRIM(M464&amp;"")="","",IF(ISNUMBER(MATCH(TRIM(M464&amp;""),설정_코드표!$C$2:$C$11,0)),TRIM(M464&amp;""),"⚠"&amp;TRIM(M464&amp;"")))</f>
        <v/>
      </c>
      <c r="U464" s="10">
        <f>IF(TRIM(L464&amp;"")="","",IFERROR(INDEX(설정_코드표!$G$2:$G$101,MATCH(TRIM(L464&amp;""),설정_코드표!$F$2:$F$101,0)),"⚠"&amp;TRIM(L464&amp;"")))</f>
        <v/>
      </c>
      <c r="V464" s="10">
        <f>IF(AND(ISNUMBER(H464),ISNUMBER(I464)),I464-H464+1,"")</f>
        <v/>
      </c>
      <c r="W464" s="17">
        <f>IF(ISNUMBER(H464),MAX(0,MIN(IF(ISNUMBER(I464),I464,EOMONTH(출력_요약!$B$3,0)),EOMONTH(출력_요약!$B$3,0))-MAX(H464,출력_요약!$B$3)+1),0)</f>
        <v/>
      </c>
      <c r="X464" s="10">
        <f>IF(OR(NOT(ISNUMBER(H464)),Q464=""),"",IF(TODAY()&lt;H464,"파견예정",IF(AND(ISNUMBER(I464),TODAY()&gt;I464),"파견종료","파견중")))</f>
        <v/>
      </c>
      <c r="Y464" s="10">
        <f>IF(OR(Q464="",X464=""),"",Q464&amp;"|"&amp;X464)</f>
        <v/>
      </c>
      <c r="Z464" s="10">
        <f>IF(AND(Q464&lt;&gt;"",W464&gt;0),Q464&amp;"|월","")</f>
        <v/>
      </c>
      <c r="AA464" s="10">
        <f>IF(COUNTA(B464:I464,K464:N464)=0,"",IF(Q464="","등록번호 없음",IF(LEFT(R464,1)="⚠","모병원명 미등록",IF(S464="","파견병원 입력",IF(LEFT(S464,1)="⚠","파견병원명 미등록",IF(LEFT(U464,1)="⚠","파견과목 미등록",IF(OR(T464="",LEFT(T464,1)="⚠"),"파견근거 확인",IF(NOT(AND(ISNUMBER(H464),ISNUMBER(I464))),"날짜 형식/누락",IF(I464&lt;H464,"종료일&lt;시작일","")))))))))</f>
        <v/>
      </c>
      <c r="AB464" s="11">
        <f>IF(ISNUMBER(SEARCH("다기관",TRIM(N464&amp;" "&amp;O464))),IFERROR(DATE(VALUE(MID(TRIM(N464&amp;" "&amp;O464),1,4)),VALUE(MID(TRIM(N464&amp;" "&amp;O464),6,2)),VALUE(MID(TRIM(N464&amp;" "&amp;O464),9,2))),IF(ISNUMBER(H464),H464,"")),"")</f>
        <v/>
      </c>
      <c r="AC464" s="11">
        <f>IF(ISNUMBER(SEARCH("다기관",TRIM(N464&amp;" "&amp;O464))),IFERROR(DATE(VALUE(MID(TRIM(N464&amp;" "&amp;O464),12,4)),VALUE(MID(TRIM(N464&amp;" "&amp;O464),17,2)),VALUE(MID(TRIM(N464&amp;" "&amp;O464),20,2))),IF(ISNUMBER(I464),I464,"")),"")</f>
        <v/>
      </c>
      <c r="AD464" s="17">
        <f>IF(AND(ISNUMBER(AB464),ISNUMBER(AC464)),MAX(0,MIN(AC464,EOMONTH(출력_요약!$B$3,0))-MAX(AB464,출력_요약!$B$3)+1),0)</f>
        <v/>
      </c>
      <c r="AE464" s="10">
        <f>IF(AND(Q464&lt;&gt;"",ISNUMBER(AB464)),Q464&amp;"|다기관","")</f>
        <v/>
      </c>
    </row>
    <row r="465">
      <c r="A465" s="15">
        <f>IF(F465="","",ROW()-3)</f>
        <v/>
      </c>
      <c r="B465" s="5" t="n"/>
      <c r="C465" s="15" t="n"/>
      <c r="D465" s="5" t="n"/>
      <c r="E465" s="15" t="n"/>
      <c r="F465" s="5" t="n"/>
      <c r="G465" s="6" t="n"/>
      <c r="H465" s="16" t="n"/>
      <c r="I465" s="16" t="n"/>
      <c r="J465" s="15">
        <f>IF(AND(ISNUMBER(H465),ISNUMBER(I465)),I465-H465+1,"")</f>
        <v/>
      </c>
      <c r="K465" s="5" t="n"/>
      <c r="L465" s="5" t="n"/>
      <c r="M465" s="5" t="n"/>
      <c r="N465" s="5" t="n"/>
      <c r="O465" s="5" t="n"/>
      <c r="Q465" s="10">
        <f>IF(TRIM(G465&amp;"")="","",TRIM(G465&amp;""))</f>
        <v/>
      </c>
      <c r="R465" s="10">
        <f>IF(TRIM(B465&amp;"")="","",IFERROR(INDEX(설정_코드표!$K$2:$K$101,MATCH(TRIM(B465&amp;""),설정_코드표!$J$2:$J$101,0)),"⚠"&amp;TRIM(B465&amp;"")))</f>
        <v/>
      </c>
      <c r="S465" s="10">
        <f>IF(TRIM(K465&amp;"")="","",IFERROR(INDEX(설정_코드표!$K$2:$K$101,MATCH(TRIM(K465&amp;""),설정_코드표!$J$2:$J$101,0)),"⚠"&amp;TRIM(K465&amp;"")))</f>
        <v/>
      </c>
      <c r="T465" s="10">
        <f>IF(TRIM(M465&amp;"")="","",IF(ISNUMBER(MATCH(TRIM(M465&amp;""),설정_코드표!$C$2:$C$11,0)),TRIM(M465&amp;""),"⚠"&amp;TRIM(M465&amp;"")))</f>
        <v/>
      </c>
      <c r="U465" s="10">
        <f>IF(TRIM(L465&amp;"")="","",IFERROR(INDEX(설정_코드표!$G$2:$G$101,MATCH(TRIM(L465&amp;""),설정_코드표!$F$2:$F$101,0)),"⚠"&amp;TRIM(L465&amp;"")))</f>
        <v/>
      </c>
      <c r="V465" s="10">
        <f>IF(AND(ISNUMBER(H465),ISNUMBER(I465)),I465-H465+1,"")</f>
        <v/>
      </c>
      <c r="W465" s="17">
        <f>IF(ISNUMBER(H465),MAX(0,MIN(IF(ISNUMBER(I465),I465,EOMONTH(출력_요약!$B$3,0)),EOMONTH(출력_요약!$B$3,0))-MAX(H465,출력_요약!$B$3)+1),0)</f>
        <v/>
      </c>
      <c r="X465" s="10">
        <f>IF(OR(NOT(ISNUMBER(H465)),Q465=""),"",IF(TODAY()&lt;H465,"파견예정",IF(AND(ISNUMBER(I465),TODAY()&gt;I465),"파견종료","파견중")))</f>
        <v/>
      </c>
      <c r="Y465" s="10">
        <f>IF(OR(Q465="",X465=""),"",Q465&amp;"|"&amp;X465)</f>
        <v/>
      </c>
      <c r="Z465" s="10">
        <f>IF(AND(Q465&lt;&gt;"",W465&gt;0),Q465&amp;"|월","")</f>
        <v/>
      </c>
      <c r="AA465" s="10">
        <f>IF(COUNTA(B465:I465,K465:N465)=0,"",IF(Q465="","등록번호 없음",IF(LEFT(R465,1)="⚠","모병원명 미등록",IF(S465="","파견병원 입력",IF(LEFT(S465,1)="⚠","파견병원명 미등록",IF(LEFT(U465,1)="⚠","파견과목 미등록",IF(OR(T465="",LEFT(T465,1)="⚠"),"파견근거 확인",IF(NOT(AND(ISNUMBER(H465),ISNUMBER(I465))),"날짜 형식/누락",IF(I465&lt;H465,"종료일&lt;시작일","")))))))))</f>
        <v/>
      </c>
      <c r="AB465" s="11">
        <f>IF(ISNUMBER(SEARCH("다기관",TRIM(N465&amp;" "&amp;O465))),IFERROR(DATE(VALUE(MID(TRIM(N465&amp;" "&amp;O465),1,4)),VALUE(MID(TRIM(N465&amp;" "&amp;O465),6,2)),VALUE(MID(TRIM(N465&amp;" "&amp;O465),9,2))),IF(ISNUMBER(H465),H465,"")),"")</f>
        <v/>
      </c>
      <c r="AC465" s="11">
        <f>IF(ISNUMBER(SEARCH("다기관",TRIM(N465&amp;" "&amp;O465))),IFERROR(DATE(VALUE(MID(TRIM(N465&amp;" "&amp;O465),12,4)),VALUE(MID(TRIM(N465&amp;" "&amp;O465),17,2)),VALUE(MID(TRIM(N465&amp;" "&amp;O465),20,2))),IF(ISNUMBER(I465),I465,"")),"")</f>
        <v/>
      </c>
      <c r="AD465" s="17">
        <f>IF(AND(ISNUMBER(AB465),ISNUMBER(AC465)),MAX(0,MIN(AC465,EOMONTH(출력_요약!$B$3,0))-MAX(AB465,출력_요약!$B$3)+1),0)</f>
        <v/>
      </c>
      <c r="AE465" s="10">
        <f>IF(AND(Q465&lt;&gt;"",ISNUMBER(AB465)),Q465&amp;"|다기관","")</f>
        <v/>
      </c>
    </row>
    <row r="466">
      <c r="A466" s="15">
        <f>IF(F466="","",ROW()-3)</f>
        <v/>
      </c>
      <c r="B466" s="5" t="n"/>
      <c r="C466" s="15" t="n"/>
      <c r="D466" s="5" t="n"/>
      <c r="E466" s="15" t="n"/>
      <c r="F466" s="5" t="n"/>
      <c r="G466" s="6" t="n"/>
      <c r="H466" s="16" t="n"/>
      <c r="I466" s="16" t="n"/>
      <c r="J466" s="15">
        <f>IF(AND(ISNUMBER(H466),ISNUMBER(I466)),I466-H466+1,"")</f>
        <v/>
      </c>
      <c r="K466" s="5" t="n"/>
      <c r="L466" s="5" t="n"/>
      <c r="M466" s="5" t="n"/>
      <c r="N466" s="5" t="n"/>
      <c r="O466" s="5" t="n"/>
      <c r="Q466" s="10">
        <f>IF(TRIM(G466&amp;"")="","",TRIM(G466&amp;""))</f>
        <v/>
      </c>
      <c r="R466" s="10">
        <f>IF(TRIM(B466&amp;"")="","",IFERROR(INDEX(설정_코드표!$K$2:$K$101,MATCH(TRIM(B466&amp;""),설정_코드표!$J$2:$J$101,0)),"⚠"&amp;TRIM(B466&amp;"")))</f>
        <v/>
      </c>
      <c r="S466" s="10">
        <f>IF(TRIM(K466&amp;"")="","",IFERROR(INDEX(설정_코드표!$K$2:$K$101,MATCH(TRIM(K466&amp;""),설정_코드표!$J$2:$J$101,0)),"⚠"&amp;TRIM(K466&amp;"")))</f>
        <v/>
      </c>
      <c r="T466" s="10">
        <f>IF(TRIM(M466&amp;"")="","",IF(ISNUMBER(MATCH(TRIM(M466&amp;""),설정_코드표!$C$2:$C$11,0)),TRIM(M466&amp;""),"⚠"&amp;TRIM(M466&amp;"")))</f>
        <v/>
      </c>
      <c r="U466" s="10">
        <f>IF(TRIM(L466&amp;"")="","",IFERROR(INDEX(설정_코드표!$G$2:$G$101,MATCH(TRIM(L466&amp;""),설정_코드표!$F$2:$F$101,0)),"⚠"&amp;TRIM(L466&amp;"")))</f>
        <v/>
      </c>
      <c r="V466" s="10">
        <f>IF(AND(ISNUMBER(H466),ISNUMBER(I466)),I466-H466+1,"")</f>
        <v/>
      </c>
      <c r="W466" s="17">
        <f>IF(ISNUMBER(H466),MAX(0,MIN(IF(ISNUMBER(I466),I466,EOMONTH(출력_요약!$B$3,0)),EOMONTH(출력_요약!$B$3,0))-MAX(H466,출력_요약!$B$3)+1),0)</f>
        <v/>
      </c>
      <c r="X466" s="10">
        <f>IF(OR(NOT(ISNUMBER(H466)),Q466=""),"",IF(TODAY()&lt;H466,"파견예정",IF(AND(ISNUMBER(I466),TODAY()&gt;I466),"파견종료","파견중")))</f>
        <v/>
      </c>
      <c r="Y466" s="10">
        <f>IF(OR(Q466="",X466=""),"",Q466&amp;"|"&amp;X466)</f>
        <v/>
      </c>
      <c r="Z466" s="10">
        <f>IF(AND(Q466&lt;&gt;"",W466&gt;0),Q466&amp;"|월","")</f>
        <v/>
      </c>
      <c r="AA466" s="10">
        <f>IF(COUNTA(B466:I466,K466:N466)=0,"",IF(Q466="","등록번호 없음",IF(LEFT(R466,1)="⚠","모병원명 미등록",IF(S466="","파견병원 입력",IF(LEFT(S466,1)="⚠","파견병원명 미등록",IF(LEFT(U466,1)="⚠","파견과목 미등록",IF(OR(T466="",LEFT(T466,1)="⚠"),"파견근거 확인",IF(NOT(AND(ISNUMBER(H466),ISNUMBER(I466))),"날짜 형식/누락",IF(I466&lt;H466,"종료일&lt;시작일","")))))))))</f>
        <v/>
      </c>
      <c r="AB466" s="11">
        <f>IF(ISNUMBER(SEARCH("다기관",TRIM(N466&amp;" "&amp;O466))),IFERROR(DATE(VALUE(MID(TRIM(N466&amp;" "&amp;O466),1,4)),VALUE(MID(TRIM(N466&amp;" "&amp;O466),6,2)),VALUE(MID(TRIM(N466&amp;" "&amp;O466),9,2))),IF(ISNUMBER(H466),H466,"")),"")</f>
        <v/>
      </c>
      <c r="AC466" s="11">
        <f>IF(ISNUMBER(SEARCH("다기관",TRIM(N466&amp;" "&amp;O466))),IFERROR(DATE(VALUE(MID(TRIM(N466&amp;" "&amp;O466),12,4)),VALUE(MID(TRIM(N466&amp;" "&amp;O466),17,2)),VALUE(MID(TRIM(N466&amp;" "&amp;O466),20,2))),IF(ISNUMBER(I466),I466,"")),"")</f>
        <v/>
      </c>
      <c r="AD466" s="17">
        <f>IF(AND(ISNUMBER(AB466),ISNUMBER(AC466)),MAX(0,MIN(AC466,EOMONTH(출력_요약!$B$3,0))-MAX(AB466,출력_요약!$B$3)+1),0)</f>
        <v/>
      </c>
      <c r="AE466" s="10">
        <f>IF(AND(Q466&lt;&gt;"",ISNUMBER(AB466)),Q466&amp;"|다기관","")</f>
        <v/>
      </c>
    </row>
    <row r="467">
      <c r="A467" s="15">
        <f>IF(F467="","",ROW()-3)</f>
        <v/>
      </c>
      <c r="B467" s="5" t="n"/>
      <c r="C467" s="15" t="n"/>
      <c r="D467" s="5" t="n"/>
      <c r="E467" s="15" t="n"/>
      <c r="F467" s="5" t="n"/>
      <c r="G467" s="6" t="n"/>
      <c r="H467" s="16" t="n"/>
      <c r="I467" s="16" t="n"/>
      <c r="J467" s="15">
        <f>IF(AND(ISNUMBER(H467),ISNUMBER(I467)),I467-H467+1,"")</f>
        <v/>
      </c>
      <c r="K467" s="5" t="n"/>
      <c r="L467" s="5" t="n"/>
      <c r="M467" s="5" t="n"/>
      <c r="N467" s="5" t="n"/>
      <c r="O467" s="5" t="n"/>
      <c r="Q467" s="10">
        <f>IF(TRIM(G467&amp;"")="","",TRIM(G467&amp;""))</f>
        <v/>
      </c>
      <c r="R467" s="10">
        <f>IF(TRIM(B467&amp;"")="","",IFERROR(INDEX(설정_코드표!$K$2:$K$101,MATCH(TRIM(B467&amp;""),설정_코드표!$J$2:$J$101,0)),"⚠"&amp;TRIM(B467&amp;"")))</f>
        <v/>
      </c>
      <c r="S467" s="10">
        <f>IF(TRIM(K467&amp;"")="","",IFERROR(INDEX(설정_코드표!$K$2:$K$101,MATCH(TRIM(K467&amp;""),설정_코드표!$J$2:$J$101,0)),"⚠"&amp;TRIM(K467&amp;"")))</f>
        <v/>
      </c>
      <c r="T467" s="10">
        <f>IF(TRIM(M467&amp;"")="","",IF(ISNUMBER(MATCH(TRIM(M467&amp;""),설정_코드표!$C$2:$C$11,0)),TRIM(M467&amp;""),"⚠"&amp;TRIM(M467&amp;"")))</f>
        <v/>
      </c>
      <c r="U467" s="10">
        <f>IF(TRIM(L467&amp;"")="","",IFERROR(INDEX(설정_코드표!$G$2:$G$101,MATCH(TRIM(L467&amp;""),설정_코드표!$F$2:$F$101,0)),"⚠"&amp;TRIM(L467&amp;"")))</f>
        <v/>
      </c>
      <c r="V467" s="10">
        <f>IF(AND(ISNUMBER(H467),ISNUMBER(I467)),I467-H467+1,"")</f>
        <v/>
      </c>
      <c r="W467" s="17">
        <f>IF(ISNUMBER(H467),MAX(0,MIN(IF(ISNUMBER(I467),I467,EOMONTH(출력_요약!$B$3,0)),EOMONTH(출력_요약!$B$3,0))-MAX(H467,출력_요약!$B$3)+1),0)</f>
        <v/>
      </c>
      <c r="X467" s="10">
        <f>IF(OR(NOT(ISNUMBER(H467)),Q467=""),"",IF(TODAY()&lt;H467,"파견예정",IF(AND(ISNUMBER(I467),TODAY()&gt;I467),"파견종료","파견중")))</f>
        <v/>
      </c>
      <c r="Y467" s="10">
        <f>IF(OR(Q467="",X467=""),"",Q467&amp;"|"&amp;X467)</f>
        <v/>
      </c>
      <c r="Z467" s="10">
        <f>IF(AND(Q467&lt;&gt;"",W467&gt;0),Q467&amp;"|월","")</f>
        <v/>
      </c>
      <c r="AA467" s="10">
        <f>IF(COUNTA(B467:I467,K467:N467)=0,"",IF(Q467="","등록번호 없음",IF(LEFT(R467,1)="⚠","모병원명 미등록",IF(S467="","파견병원 입력",IF(LEFT(S467,1)="⚠","파견병원명 미등록",IF(LEFT(U467,1)="⚠","파견과목 미등록",IF(OR(T467="",LEFT(T467,1)="⚠"),"파견근거 확인",IF(NOT(AND(ISNUMBER(H467),ISNUMBER(I467))),"날짜 형식/누락",IF(I467&lt;H467,"종료일&lt;시작일","")))))))))</f>
        <v/>
      </c>
      <c r="AB467" s="11">
        <f>IF(ISNUMBER(SEARCH("다기관",TRIM(N467&amp;" "&amp;O467))),IFERROR(DATE(VALUE(MID(TRIM(N467&amp;" "&amp;O467),1,4)),VALUE(MID(TRIM(N467&amp;" "&amp;O467),6,2)),VALUE(MID(TRIM(N467&amp;" "&amp;O467),9,2))),IF(ISNUMBER(H467),H467,"")),"")</f>
        <v/>
      </c>
      <c r="AC467" s="11">
        <f>IF(ISNUMBER(SEARCH("다기관",TRIM(N467&amp;" "&amp;O467))),IFERROR(DATE(VALUE(MID(TRIM(N467&amp;" "&amp;O467),12,4)),VALUE(MID(TRIM(N467&amp;" "&amp;O467),17,2)),VALUE(MID(TRIM(N467&amp;" "&amp;O467),20,2))),IF(ISNUMBER(I467),I467,"")),"")</f>
        <v/>
      </c>
      <c r="AD467" s="17">
        <f>IF(AND(ISNUMBER(AB467),ISNUMBER(AC467)),MAX(0,MIN(AC467,EOMONTH(출력_요약!$B$3,0))-MAX(AB467,출력_요약!$B$3)+1),0)</f>
        <v/>
      </c>
      <c r="AE467" s="10">
        <f>IF(AND(Q467&lt;&gt;"",ISNUMBER(AB467)),Q467&amp;"|다기관","")</f>
        <v/>
      </c>
    </row>
    <row r="468">
      <c r="A468" s="15">
        <f>IF(F468="","",ROW()-3)</f>
        <v/>
      </c>
      <c r="B468" s="5" t="n"/>
      <c r="C468" s="15" t="n"/>
      <c r="D468" s="5" t="n"/>
      <c r="E468" s="15" t="n"/>
      <c r="F468" s="5" t="n"/>
      <c r="G468" s="6" t="n"/>
      <c r="H468" s="16" t="n"/>
      <c r="I468" s="16" t="n"/>
      <c r="J468" s="15">
        <f>IF(AND(ISNUMBER(H468),ISNUMBER(I468)),I468-H468+1,"")</f>
        <v/>
      </c>
      <c r="K468" s="5" t="n"/>
      <c r="L468" s="5" t="n"/>
      <c r="M468" s="5" t="n"/>
      <c r="N468" s="5" t="n"/>
      <c r="O468" s="5" t="n"/>
      <c r="Q468" s="10">
        <f>IF(TRIM(G468&amp;"")="","",TRIM(G468&amp;""))</f>
        <v/>
      </c>
      <c r="R468" s="10">
        <f>IF(TRIM(B468&amp;"")="","",IFERROR(INDEX(설정_코드표!$K$2:$K$101,MATCH(TRIM(B468&amp;""),설정_코드표!$J$2:$J$101,0)),"⚠"&amp;TRIM(B468&amp;"")))</f>
        <v/>
      </c>
      <c r="S468" s="10">
        <f>IF(TRIM(K468&amp;"")="","",IFERROR(INDEX(설정_코드표!$K$2:$K$101,MATCH(TRIM(K468&amp;""),설정_코드표!$J$2:$J$101,0)),"⚠"&amp;TRIM(K468&amp;"")))</f>
        <v/>
      </c>
      <c r="T468" s="10">
        <f>IF(TRIM(M468&amp;"")="","",IF(ISNUMBER(MATCH(TRIM(M468&amp;""),설정_코드표!$C$2:$C$11,0)),TRIM(M468&amp;""),"⚠"&amp;TRIM(M468&amp;"")))</f>
        <v/>
      </c>
      <c r="U468" s="10">
        <f>IF(TRIM(L468&amp;"")="","",IFERROR(INDEX(설정_코드표!$G$2:$G$101,MATCH(TRIM(L468&amp;""),설정_코드표!$F$2:$F$101,0)),"⚠"&amp;TRIM(L468&amp;"")))</f>
        <v/>
      </c>
      <c r="V468" s="10">
        <f>IF(AND(ISNUMBER(H468),ISNUMBER(I468)),I468-H468+1,"")</f>
        <v/>
      </c>
      <c r="W468" s="17">
        <f>IF(ISNUMBER(H468),MAX(0,MIN(IF(ISNUMBER(I468),I468,EOMONTH(출력_요약!$B$3,0)),EOMONTH(출력_요약!$B$3,0))-MAX(H468,출력_요약!$B$3)+1),0)</f>
        <v/>
      </c>
      <c r="X468" s="10">
        <f>IF(OR(NOT(ISNUMBER(H468)),Q468=""),"",IF(TODAY()&lt;H468,"파견예정",IF(AND(ISNUMBER(I468),TODAY()&gt;I468),"파견종료","파견중")))</f>
        <v/>
      </c>
      <c r="Y468" s="10">
        <f>IF(OR(Q468="",X468=""),"",Q468&amp;"|"&amp;X468)</f>
        <v/>
      </c>
      <c r="Z468" s="10">
        <f>IF(AND(Q468&lt;&gt;"",W468&gt;0),Q468&amp;"|월","")</f>
        <v/>
      </c>
      <c r="AA468" s="10">
        <f>IF(COUNTA(B468:I468,K468:N468)=0,"",IF(Q468="","등록번호 없음",IF(LEFT(R468,1)="⚠","모병원명 미등록",IF(S468="","파견병원 입력",IF(LEFT(S468,1)="⚠","파견병원명 미등록",IF(LEFT(U468,1)="⚠","파견과목 미등록",IF(OR(T468="",LEFT(T468,1)="⚠"),"파견근거 확인",IF(NOT(AND(ISNUMBER(H468),ISNUMBER(I468))),"날짜 형식/누락",IF(I468&lt;H468,"종료일&lt;시작일","")))))))))</f>
        <v/>
      </c>
      <c r="AB468" s="11">
        <f>IF(ISNUMBER(SEARCH("다기관",TRIM(N468&amp;" "&amp;O468))),IFERROR(DATE(VALUE(MID(TRIM(N468&amp;" "&amp;O468),1,4)),VALUE(MID(TRIM(N468&amp;" "&amp;O468),6,2)),VALUE(MID(TRIM(N468&amp;" "&amp;O468),9,2))),IF(ISNUMBER(H468),H468,"")),"")</f>
        <v/>
      </c>
      <c r="AC468" s="11">
        <f>IF(ISNUMBER(SEARCH("다기관",TRIM(N468&amp;" "&amp;O468))),IFERROR(DATE(VALUE(MID(TRIM(N468&amp;" "&amp;O468),12,4)),VALUE(MID(TRIM(N468&amp;" "&amp;O468),17,2)),VALUE(MID(TRIM(N468&amp;" "&amp;O468),20,2))),IF(ISNUMBER(I468),I468,"")),"")</f>
        <v/>
      </c>
      <c r="AD468" s="17">
        <f>IF(AND(ISNUMBER(AB468),ISNUMBER(AC468)),MAX(0,MIN(AC468,EOMONTH(출력_요약!$B$3,0))-MAX(AB468,출력_요약!$B$3)+1),0)</f>
        <v/>
      </c>
      <c r="AE468" s="10">
        <f>IF(AND(Q468&lt;&gt;"",ISNUMBER(AB468)),Q468&amp;"|다기관","")</f>
        <v/>
      </c>
    </row>
    <row r="469">
      <c r="A469" s="15">
        <f>IF(F469="","",ROW()-3)</f>
        <v/>
      </c>
      <c r="B469" s="5" t="n"/>
      <c r="C469" s="15" t="n"/>
      <c r="D469" s="5" t="n"/>
      <c r="E469" s="15" t="n"/>
      <c r="F469" s="5" t="n"/>
      <c r="G469" s="6" t="n"/>
      <c r="H469" s="16" t="n"/>
      <c r="I469" s="16" t="n"/>
      <c r="J469" s="15">
        <f>IF(AND(ISNUMBER(H469),ISNUMBER(I469)),I469-H469+1,"")</f>
        <v/>
      </c>
      <c r="K469" s="5" t="n"/>
      <c r="L469" s="5" t="n"/>
      <c r="M469" s="5" t="n"/>
      <c r="N469" s="5" t="n"/>
      <c r="O469" s="5" t="n"/>
      <c r="Q469" s="10">
        <f>IF(TRIM(G469&amp;"")="","",TRIM(G469&amp;""))</f>
        <v/>
      </c>
      <c r="R469" s="10">
        <f>IF(TRIM(B469&amp;"")="","",IFERROR(INDEX(설정_코드표!$K$2:$K$101,MATCH(TRIM(B469&amp;""),설정_코드표!$J$2:$J$101,0)),"⚠"&amp;TRIM(B469&amp;"")))</f>
        <v/>
      </c>
      <c r="S469" s="10">
        <f>IF(TRIM(K469&amp;"")="","",IFERROR(INDEX(설정_코드표!$K$2:$K$101,MATCH(TRIM(K469&amp;""),설정_코드표!$J$2:$J$101,0)),"⚠"&amp;TRIM(K469&amp;"")))</f>
        <v/>
      </c>
      <c r="T469" s="10">
        <f>IF(TRIM(M469&amp;"")="","",IF(ISNUMBER(MATCH(TRIM(M469&amp;""),설정_코드표!$C$2:$C$11,0)),TRIM(M469&amp;""),"⚠"&amp;TRIM(M469&amp;"")))</f>
        <v/>
      </c>
      <c r="U469" s="10">
        <f>IF(TRIM(L469&amp;"")="","",IFERROR(INDEX(설정_코드표!$G$2:$G$101,MATCH(TRIM(L469&amp;""),설정_코드표!$F$2:$F$101,0)),"⚠"&amp;TRIM(L469&amp;"")))</f>
        <v/>
      </c>
      <c r="V469" s="10">
        <f>IF(AND(ISNUMBER(H469),ISNUMBER(I469)),I469-H469+1,"")</f>
        <v/>
      </c>
      <c r="W469" s="17">
        <f>IF(ISNUMBER(H469),MAX(0,MIN(IF(ISNUMBER(I469),I469,EOMONTH(출력_요약!$B$3,0)),EOMONTH(출력_요약!$B$3,0))-MAX(H469,출력_요약!$B$3)+1),0)</f>
        <v/>
      </c>
      <c r="X469" s="10">
        <f>IF(OR(NOT(ISNUMBER(H469)),Q469=""),"",IF(TODAY()&lt;H469,"파견예정",IF(AND(ISNUMBER(I469),TODAY()&gt;I469),"파견종료","파견중")))</f>
        <v/>
      </c>
      <c r="Y469" s="10">
        <f>IF(OR(Q469="",X469=""),"",Q469&amp;"|"&amp;X469)</f>
        <v/>
      </c>
      <c r="Z469" s="10">
        <f>IF(AND(Q469&lt;&gt;"",W469&gt;0),Q469&amp;"|월","")</f>
        <v/>
      </c>
      <c r="AA469" s="10">
        <f>IF(COUNTA(B469:I469,K469:N469)=0,"",IF(Q469="","등록번호 없음",IF(LEFT(R469,1)="⚠","모병원명 미등록",IF(S469="","파견병원 입력",IF(LEFT(S469,1)="⚠","파견병원명 미등록",IF(LEFT(U469,1)="⚠","파견과목 미등록",IF(OR(T469="",LEFT(T469,1)="⚠"),"파견근거 확인",IF(NOT(AND(ISNUMBER(H469),ISNUMBER(I469))),"날짜 형식/누락",IF(I469&lt;H469,"종료일&lt;시작일","")))))))))</f>
        <v/>
      </c>
      <c r="AB469" s="11">
        <f>IF(ISNUMBER(SEARCH("다기관",TRIM(N469&amp;" "&amp;O469))),IFERROR(DATE(VALUE(MID(TRIM(N469&amp;" "&amp;O469),1,4)),VALUE(MID(TRIM(N469&amp;" "&amp;O469),6,2)),VALUE(MID(TRIM(N469&amp;" "&amp;O469),9,2))),IF(ISNUMBER(H469),H469,"")),"")</f>
        <v/>
      </c>
      <c r="AC469" s="11">
        <f>IF(ISNUMBER(SEARCH("다기관",TRIM(N469&amp;" "&amp;O469))),IFERROR(DATE(VALUE(MID(TRIM(N469&amp;" "&amp;O469),12,4)),VALUE(MID(TRIM(N469&amp;" "&amp;O469),17,2)),VALUE(MID(TRIM(N469&amp;" "&amp;O469),20,2))),IF(ISNUMBER(I469),I469,"")),"")</f>
        <v/>
      </c>
      <c r="AD469" s="17">
        <f>IF(AND(ISNUMBER(AB469),ISNUMBER(AC469)),MAX(0,MIN(AC469,EOMONTH(출력_요약!$B$3,0))-MAX(AB469,출력_요약!$B$3)+1),0)</f>
        <v/>
      </c>
      <c r="AE469" s="10">
        <f>IF(AND(Q469&lt;&gt;"",ISNUMBER(AB469)),Q469&amp;"|다기관","")</f>
        <v/>
      </c>
    </row>
    <row r="470">
      <c r="A470" s="15">
        <f>IF(F470="","",ROW()-3)</f>
        <v/>
      </c>
      <c r="B470" s="5" t="n"/>
      <c r="C470" s="15" t="n"/>
      <c r="D470" s="5" t="n"/>
      <c r="E470" s="15" t="n"/>
      <c r="F470" s="5" t="n"/>
      <c r="G470" s="6" t="n"/>
      <c r="H470" s="16" t="n"/>
      <c r="I470" s="16" t="n"/>
      <c r="J470" s="15">
        <f>IF(AND(ISNUMBER(H470),ISNUMBER(I470)),I470-H470+1,"")</f>
        <v/>
      </c>
      <c r="K470" s="5" t="n"/>
      <c r="L470" s="5" t="n"/>
      <c r="M470" s="5" t="n"/>
      <c r="N470" s="5" t="n"/>
      <c r="O470" s="5" t="n"/>
      <c r="Q470" s="10">
        <f>IF(TRIM(G470&amp;"")="","",TRIM(G470&amp;""))</f>
        <v/>
      </c>
      <c r="R470" s="10">
        <f>IF(TRIM(B470&amp;"")="","",IFERROR(INDEX(설정_코드표!$K$2:$K$101,MATCH(TRIM(B470&amp;""),설정_코드표!$J$2:$J$101,0)),"⚠"&amp;TRIM(B470&amp;"")))</f>
        <v/>
      </c>
      <c r="S470" s="10">
        <f>IF(TRIM(K470&amp;"")="","",IFERROR(INDEX(설정_코드표!$K$2:$K$101,MATCH(TRIM(K470&amp;""),설정_코드표!$J$2:$J$101,0)),"⚠"&amp;TRIM(K470&amp;"")))</f>
        <v/>
      </c>
      <c r="T470" s="10">
        <f>IF(TRIM(M470&amp;"")="","",IF(ISNUMBER(MATCH(TRIM(M470&amp;""),설정_코드표!$C$2:$C$11,0)),TRIM(M470&amp;""),"⚠"&amp;TRIM(M470&amp;"")))</f>
        <v/>
      </c>
      <c r="U470" s="10">
        <f>IF(TRIM(L470&amp;"")="","",IFERROR(INDEX(설정_코드표!$G$2:$G$101,MATCH(TRIM(L470&amp;""),설정_코드표!$F$2:$F$101,0)),"⚠"&amp;TRIM(L470&amp;"")))</f>
        <v/>
      </c>
      <c r="V470" s="10">
        <f>IF(AND(ISNUMBER(H470),ISNUMBER(I470)),I470-H470+1,"")</f>
        <v/>
      </c>
      <c r="W470" s="17">
        <f>IF(ISNUMBER(H470),MAX(0,MIN(IF(ISNUMBER(I470),I470,EOMONTH(출력_요약!$B$3,0)),EOMONTH(출력_요약!$B$3,0))-MAX(H470,출력_요약!$B$3)+1),0)</f>
        <v/>
      </c>
      <c r="X470" s="10">
        <f>IF(OR(NOT(ISNUMBER(H470)),Q470=""),"",IF(TODAY()&lt;H470,"파견예정",IF(AND(ISNUMBER(I470),TODAY()&gt;I470),"파견종료","파견중")))</f>
        <v/>
      </c>
      <c r="Y470" s="10">
        <f>IF(OR(Q470="",X470=""),"",Q470&amp;"|"&amp;X470)</f>
        <v/>
      </c>
      <c r="Z470" s="10">
        <f>IF(AND(Q470&lt;&gt;"",W470&gt;0),Q470&amp;"|월","")</f>
        <v/>
      </c>
      <c r="AA470" s="10">
        <f>IF(COUNTA(B470:I470,K470:N470)=0,"",IF(Q470="","등록번호 없음",IF(LEFT(R470,1)="⚠","모병원명 미등록",IF(S470="","파견병원 입력",IF(LEFT(S470,1)="⚠","파견병원명 미등록",IF(LEFT(U470,1)="⚠","파견과목 미등록",IF(OR(T470="",LEFT(T470,1)="⚠"),"파견근거 확인",IF(NOT(AND(ISNUMBER(H470),ISNUMBER(I470))),"날짜 형식/누락",IF(I470&lt;H470,"종료일&lt;시작일","")))))))))</f>
        <v/>
      </c>
      <c r="AB470" s="11">
        <f>IF(ISNUMBER(SEARCH("다기관",TRIM(N470&amp;" "&amp;O470))),IFERROR(DATE(VALUE(MID(TRIM(N470&amp;" "&amp;O470),1,4)),VALUE(MID(TRIM(N470&amp;" "&amp;O470),6,2)),VALUE(MID(TRIM(N470&amp;" "&amp;O470),9,2))),IF(ISNUMBER(H470),H470,"")),"")</f>
        <v/>
      </c>
      <c r="AC470" s="11">
        <f>IF(ISNUMBER(SEARCH("다기관",TRIM(N470&amp;" "&amp;O470))),IFERROR(DATE(VALUE(MID(TRIM(N470&amp;" "&amp;O470),12,4)),VALUE(MID(TRIM(N470&amp;" "&amp;O470),17,2)),VALUE(MID(TRIM(N470&amp;" "&amp;O470),20,2))),IF(ISNUMBER(I470),I470,"")),"")</f>
        <v/>
      </c>
      <c r="AD470" s="17">
        <f>IF(AND(ISNUMBER(AB470),ISNUMBER(AC470)),MAX(0,MIN(AC470,EOMONTH(출력_요약!$B$3,0))-MAX(AB470,출력_요약!$B$3)+1),0)</f>
        <v/>
      </c>
      <c r="AE470" s="10">
        <f>IF(AND(Q470&lt;&gt;"",ISNUMBER(AB470)),Q470&amp;"|다기관","")</f>
        <v/>
      </c>
    </row>
    <row r="471">
      <c r="A471" s="15">
        <f>IF(F471="","",ROW()-3)</f>
        <v/>
      </c>
      <c r="B471" s="5" t="n"/>
      <c r="C471" s="15" t="n"/>
      <c r="D471" s="5" t="n"/>
      <c r="E471" s="15" t="n"/>
      <c r="F471" s="5" t="n"/>
      <c r="G471" s="6" t="n"/>
      <c r="H471" s="16" t="n"/>
      <c r="I471" s="16" t="n"/>
      <c r="J471" s="15">
        <f>IF(AND(ISNUMBER(H471),ISNUMBER(I471)),I471-H471+1,"")</f>
        <v/>
      </c>
      <c r="K471" s="5" t="n"/>
      <c r="L471" s="5" t="n"/>
      <c r="M471" s="5" t="n"/>
      <c r="N471" s="5" t="n"/>
      <c r="O471" s="5" t="n"/>
      <c r="Q471" s="10">
        <f>IF(TRIM(G471&amp;"")="","",TRIM(G471&amp;""))</f>
        <v/>
      </c>
      <c r="R471" s="10">
        <f>IF(TRIM(B471&amp;"")="","",IFERROR(INDEX(설정_코드표!$K$2:$K$101,MATCH(TRIM(B471&amp;""),설정_코드표!$J$2:$J$101,0)),"⚠"&amp;TRIM(B471&amp;"")))</f>
        <v/>
      </c>
      <c r="S471" s="10">
        <f>IF(TRIM(K471&amp;"")="","",IFERROR(INDEX(설정_코드표!$K$2:$K$101,MATCH(TRIM(K471&amp;""),설정_코드표!$J$2:$J$101,0)),"⚠"&amp;TRIM(K471&amp;"")))</f>
        <v/>
      </c>
      <c r="T471" s="10">
        <f>IF(TRIM(M471&amp;"")="","",IF(ISNUMBER(MATCH(TRIM(M471&amp;""),설정_코드표!$C$2:$C$11,0)),TRIM(M471&amp;""),"⚠"&amp;TRIM(M471&amp;"")))</f>
        <v/>
      </c>
      <c r="U471" s="10">
        <f>IF(TRIM(L471&amp;"")="","",IFERROR(INDEX(설정_코드표!$G$2:$G$101,MATCH(TRIM(L471&amp;""),설정_코드표!$F$2:$F$101,0)),"⚠"&amp;TRIM(L471&amp;"")))</f>
        <v/>
      </c>
      <c r="V471" s="10">
        <f>IF(AND(ISNUMBER(H471),ISNUMBER(I471)),I471-H471+1,"")</f>
        <v/>
      </c>
      <c r="W471" s="17">
        <f>IF(ISNUMBER(H471),MAX(0,MIN(IF(ISNUMBER(I471),I471,EOMONTH(출력_요약!$B$3,0)),EOMONTH(출력_요약!$B$3,0))-MAX(H471,출력_요약!$B$3)+1),0)</f>
        <v/>
      </c>
      <c r="X471" s="10">
        <f>IF(OR(NOT(ISNUMBER(H471)),Q471=""),"",IF(TODAY()&lt;H471,"파견예정",IF(AND(ISNUMBER(I471),TODAY()&gt;I471),"파견종료","파견중")))</f>
        <v/>
      </c>
      <c r="Y471" s="10">
        <f>IF(OR(Q471="",X471=""),"",Q471&amp;"|"&amp;X471)</f>
        <v/>
      </c>
      <c r="Z471" s="10">
        <f>IF(AND(Q471&lt;&gt;"",W471&gt;0),Q471&amp;"|월","")</f>
        <v/>
      </c>
      <c r="AA471" s="10">
        <f>IF(COUNTA(B471:I471,K471:N471)=0,"",IF(Q471="","등록번호 없음",IF(LEFT(R471,1)="⚠","모병원명 미등록",IF(S471="","파견병원 입력",IF(LEFT(S471,1)="⚠","파견병원명 미등록",IF(LEFT(U471,1)="⚠","파견과목 미등록",IF(OR(T471="",LEFT(T471,1)="⚠"),"파견근거 확인",IF(NOT(AND(ISNUMBER(H471),ISNUMBER(I471))),"날짜 형식/누락",IF(I471&lt;H471,"종료일&lt;시작일","")))))))))</f>
        <v/>
      </c>
      <c r="AB471" s="11">
        <f>IF(ISNUMBER(SEARCH("다기관",TRIM(N471&amp;" "&amp;O471))),IFERROR(DATE(VALUE(MID(TRIM(N471&amp;" "&amp;O471),1,4)),VALUE(MID(TRIM(N471&amp;" "&amp;O471),6,2)),VALUE(MID(TRIM(N471&amp;" "&amp;O471),9,2))),IF(ISNUMBER(H471),H471,"")),"")</f>
        <v/>
      </c>
      <c r="AC471" s="11">
        <f>IF(ISNUMBER(SEARCH("다기관",TRIM(N471&amp;" "&amp;O471))),IFERROR(DATE(VALUE(MID(TRIM(N471&amp;" "&amp;O471),12,4)),VALUE(MID(TRIM(N471&amp;" "&amp;O471),17,2)),VALUE(MID(TRIM(N471&amp;" "&amp;O471),20,2))),IF(ISNUMBER(I471),I471,"")),"")</f>
        <v/>
      </c>
      <c r="AD471" s="17">
        <f>IF(AND(ISNUMBER(AB471),ISNUMBER(AC471)),MAX(0,MIN(AC471,EOMONTH(출력_요약!$B$3,0))-MAX(AB471,출력_요약!$B$3)+1),0)</f>
        <v/>
      </c>
      <c r="AE471" s="10">
        <f>IF(AND(Q471&lt;&gt;"",ISNUMBER(AB471)),Q471&amp;"|다기관","")</f>
        <v/>
      </c>
    </row>
    <row r="472">
      <c r="A472" s="15">
        <f>IF(F472="","",ROW()-3)</f>
        <v/>
      </c>
      <c r="B472" s="5" t="n"/>
      <c r="C472" s="15" t="n"/>
      <c r="D472" s="5" t="n"/>
      <c r="E472" s="15" t="n"/>
      <c r="F472" s="5" t="n"/>
      <c r="G472" s="6" t="n"/>
      <c r="H472" s="16" t="n"/>
      <c r="I472" s="16" t="n"/>
      <c r="J472" s="15">
        <f>IF(AND(ISNUMBER(H472),ISNUMBER(I472)),I472-H472+1,"")</f>
        <v/>
      </c>
      <c r="K472" s="5" t="n"/>
      <c r="L472" s="5" t="n"/>
      <c r="M472" s="5" t="n"/>
      <c r="N472" s="5" t="n"/>
      <c r="O472" s="5" t="n"/>
      <c r="Q472" s="10">
        <f>IF(TRIM(G472&amp;"")="","",TRIM(G472&amp;""))</f>
        <v/>
      </c>
      <c r="R472" s="10">
        <f>IF(TRIM(B472&amp;"")="","",IFERROR(INDEX(설정_코드표!$K$2:$K$101,MATCH(TRIM(B472&amp;""),설정_코드표!$J$2:$J$101,0)),"⚠"&amp;TRIM(B472&amp;"")))</f>
        <v/>
      </c>
      <c r="S472" s="10">
        <f>IF(TRIM(K472&amp;"")="","",IFERROR(INDEX(설정_코드표!$K$2:$K$101,MATCH(TRIM(K472&amp;""),설정_코드표!$J$2:$J$101,0)),"⚠"&amp;TRIM(K472&amp;"")))</f>
        <v/>
      </c>
      <c r="T472" s="10">
        <f>IF(TRIM(M472&amp;"")="","",IF(ISNUMBER(MATCH(TRIM(M472&amp;""),설정_코드표!$C$2:$C$11,0)),TRIM(M472&amp;""),"⚠"&amp;TRIM(M472&amp;"")))</f>
        <v/>
      </c>
      <c r="U472" s="10">
        <f>IF(TRIM(L472&amp;"")="","",IFERROR(INDEX(설정_코드표!$G$2:$G$101,MATCH(TRIM(L472&amp;""),설정_코드표!$F$2:$F$101,0)),"⚠"&amp;TRIM(L472&amp;"")))</f>
        <v/>
      </c>
      <c r="V472" s="10">
        <f>IF(AND(ISNUMBER(H472),ISNUMBER(I472)),I472-H472+1,"")</f>
        <v/>
      </c>
      <c r="W472" s="17">
        <f>IF(ISNUMBER(H472),MAX(0,MIN(IF(ISNUMBER(I472),I472,EOMONTH(출력_요약!$B$3,0)),EOMONTH(출력_요약!$B$3,0))-MAX(H472,출력_요약!$B$3)+1),0)</f>
        <v/>
      </c>
      <c r="X472" s="10">
        <f>IF(OR(NOT(ISNUMBER(H472)),Q472=""),"",IF(TODAY()&lt;H472,"파견예정",IF(AND(ISNUMBER(I472),TODAY()&gt;I472),"파견종료","파견중")))</f>
        <v/>
      </c>
      <c r="Y472" s="10">
        <f>IF(OR(Q472="",X472=""),"",Q472&amp;"|"&amp;X472)</f>
        <v/>
      </c>
      <c r="Z472" s="10">
        <f>IF(AND(Q472&lt;&gt;"",W472&gt;0),Q472&amp;"|월","")</f>
        <v/>
      </c>
      <c r="AA472" s="10">
        <f>IF(COUNTA(B472:I472,K472:N472)=0,"",IF(Q472="","등록번호 없음",IF(LEFT(R472,1)="⚠","모병원명 미등록",IF(S472="","파견병원 입력",IF(LEFT(S472,1)="⚠","파견병원명 미등록",IF(LEFT(U472,1)="⚠","파견과목 미등록",IF(OR(T472="",LEFT(T472,1)="⚠"),"파견근거 확인",IF(NOT(AND(ISNUMBER(H472),ISNUMBER(I472))),"날짜 형식/누락",IF(I472&lt;H472,"종료일&lt;시작일","")))))))))</f>
        <v/>
      </c>
      <c r="AB472" s="11">
        <f>IF(ISNUMBER(SEARCH("다기관",TRIM(N472&amp;" "&amp;O472))),IFERROR(DATE(VALUE(MID(TRIM(N472&amp;" "&amp;O472),1,4)),VALUE(MID(TRIM(N472&amp;" "&amp;O472),6,2)),VALUE(MID(TRIM(N472&amp;" "&amp;O472),9,2))),IF(ISNUMBER(H472),H472,"")),"")</f>
        <v/>
      </c>
      <c r="AC472" s="11">
        <f>IF(ISNUMBER(SEARCH("다기관",TRIM(N472&amp;" "&amp;O472))),IFERROR(DATE(VALUE(MID(TRIM(N472&amp;" "&amp;O472),12,4)),VALUE(MID(TRIM(N472&amp;" "&amp;O472),17,2)),VALUE(MID(TRIM(N472&amp;" "&amp;O472),20,2))),IF(ISNUMBER(I472),I472,"")),"")</f>
        <v/>
      </c>
      <c r="AD472" s="17">
        <f>IF(AND(ISNUMBER(AB472),ISNUMBER(AC472)),MAX(0,MIN(AC472,EOMONTH(출력_요약!$B$3,0))-MAX(AB472,출력_요약!$B$3)+1),0)</f>
        <v/>
      </c>
      <c r="AE472" s="10">
        <f>IF(AND(Q472&lt;&gt;"",ISNUMBER(AB472)),Q472&amp;"|다기관","")</f>
        <v/>
      </c>
    </row>
    <row r="473">
      <c r="A473" s="15">
        <f>IF(F473="","",ROW()-3)</f>
        <v/>
      </c>
      <c r="B473" s="5" t="n"/>
      <c r="C473" s="15" t="n"/>
      <c r="D473" s="5" t="n"/>
      <c r="E473" s="15" t="n"/>
      <c r="F473" s="5" t="n"/>
      <c r="G473" s="6" t="n"/>
      <c r="H473" s="16" t="n"/>
      <c r="I473" s="16" t="n"/>
      <c r="J473" s="15">
        <f>IF(AND(ISNUMBER(H473),ISNUMBER(I473)),I473-H473+1,"")</f>
        <v/>
      </c>
      <c r="K473" s="5" t="n"/>
      <c r="L473" s="5" t="n"/>
      <c r="M473" s="5" t="n"/>
      <c r="N473" s="5" t="n"/>
      <c r="O473" s="5" t="n"/>
      <c r="Q473" s="10">
        <f>IF(TRIM(G473&amp;"")="","",TRIM(G473&amp;""))</f>
        <v/>
      </c>
      <c r="R473" s="10">
        <f>IF(TRIM(B473&amp;"")="","",IFERROR(INDEX(설정_코드표!$K$2:$K$101,MATCH(TRIM(B473&amp;""),설정_코드표!$J$2:$J$101,0)),"⚠"&amp;TRIM(B473&amp;"")))</f>
        <v/>
      </c>
      <c r="S473" s="10">
        <f>IF(TRIM(K473&amp;"")="","",IFERROR(INDEX(설정_코드표!$K$2:$K$101,MATCH(TRIM(K473&amp;""),설정_코드표!$J$2:$J$101,0)),"⚠"&amp;TRIM(K473&amp;"")))</f>
        <v/>
      </c>
      <c r="T473" s="10">
        <f>IF(TRIM(M473&amp;"")="","",IF(ISNUMBER(MATCH(TRIM(M473&amp;""),설정_코드표!$C$2:$C$11,0)),TRIM(M473&amp;""),"⚠"&amp;TRIM(M473&amp;"")))</f>
        <v/>
      </c>
      <c r="U473" s="10">
        <f>IF(TRIM(L473&amp;"")="","",IFERROR(INDEX(설정_코드표!$G$2:$G$101,MATCH(TRIM(L473&amp;""),설정_코드표!$F$2:$F$101,0)),"⚠"&amp;TRIM(L473&amp;"")))</f>
        <v/>
      </c>
      <c r="V473" s="10">
        <f>IF(AND(ISNUMBER(H473),ISNUMBER(I473)),I473-H473+1,"")</f>
        <v/>
      </c>
      <c r="W473" s="17">
        <f>IF(ISNUMBER(H473),MAX(0,MIN(IF(ISNUMBER(I473),I473,EOMONTH(출력_요약!$B$3,0)),EOMONTH(출력_요약!$B$3,0))-MAX(H473,출력_요약!$B$3)+1),0)</f>
        <v/>
      </c>
      <c r="X473" s="10">
        <f>IF(OR(NOT(ISNUMBER(H473)),Q473=""),"",IF(TODAY()&lt;H473,"파견예정",IF(AND(ISNUMBER(I473),TODAY()&gt;I473),"파견종료","파견중")))</f>
        <v/>
      </c>
      <c r="Y473" s="10">
        <f>IF(OR(Q473="",X473=""),"",Q473&amp;"|"&amp;X473)</f>
        <v/>
      </c>
      <c r="Z473" s="10">
        <f>IF(AND(Q473&lt;&gt;"",W473&gt;0),Q473&amp;"|월","")</f>
        <v/>
      </c>
      <c r="AA473" s="10">
        <f>IF(COUNTA(B473:I473,K473:N473)=0,"",IF(Q473="","등록번호 없음",IF(LEFT(R473,1)="⚠","모병원명 미등록",IF(S473="","파견병원 입력",IF(LEFT(S473,1)="⚠","파견병원명 미등록",IF(LEFT(U473,1)="⚠","파견과목 미등록",IF(OR(T473="",LEFT(T473,1)="⚠"),"파견근거 확인",IF(NOT(AND(ISNUMBER(H473),ISNUMBER(I473))),"날짜 형식/누락",IF(I473&lt;H473,"종료일&lt;시작일","")))))))))</f>
        <v/>
      </c>
      <c r="AB473" s="11">
        <f>IF(ISNUMBER(SEARCH("다기관",TRIM(N473&amp;" "&amp;O473))),IFERROR(DATE(VALUE(MID(TRIM(N473&amp;" "&amp;O473),1,4)),VALUE(MID(TRIM(N473&amp;" "&amp;O473),6,2)),VALUE(MID(TRIM(N473&amp;" "&amp;O473),9,2))),IF(ISNUMBER(H473),H473,"")),"")</f>
        <v/>
      </c>
      <c r="AC473" s="11">
        <f>IF(ISNUMBER(SEARCH("다기관",TRIM(N473&amp;" "&amp;O473))),IFERROR(DATE(VALUE(MID(TRIM(N473&amp;" "&amp;O473),12,4)),VALUE(MID(TRIM(N473&amp;" "&amp;O473),17,2)),VALUE(MID(TRIM(N473&amp;" "&amp;O473),20,2))),IF(ISNUMBER(I473),I473,"")),"")</f>
        <v/>
      </c>
      <c r="AD473" s="17">
        <f>IF(AND(ISNUMBER(AB473),ISNUMBER(AC473)),MAX(0,MIN(AC473,EOMONTH(출력_요약!$B$3,0))-MAX(AB473,출력_요약!$B$3)+1),0)</f>
        <v/>
      </c>
      <c r="AE473" s="10">
        <f>IF(AND(Q473&lt;&gt;"",ISNUMBER(AB473)),Q473&amp;"|다기관","")</f>
        <v/>
      </c>
    </row>
    <row r="474">
      <c r="A474" s="15">
        <f>IF(F474="","",ROW()-3)</f>
        <v/>
      </c>
      <c r="B474" s="5" t="n"/>
      <c r="C474" s="15" t="n"/>
      <c r="D474" s="5" t="n"/>
      <c r="E474" s="15" t="n"/>
      <c r="F474" s="5" t="n"/>
      <c r="G474" s="6" t="n"/>
      <c r="H474" s="16" t="n"/>
      <c r="I474" s="16" t="n"/>
      <c r="J474" s="15">
        <f>IF(AND(ISNUMBER(H474),ISNUMBER(I474)),I474-H474+1,"")</f>
        <v/>
      </c>
      <c r="K474" s="5" t="n"/>
      <c r="L474" s="5" t="n"/>
      <c r="M474" s="5" t="n"/>
      <c r="N474" s="5" t="n"/>
      <c r="O474" s="5" t="n"/>
      <c r="Q474" s="10">
        <f>IF(TRIM(G474&amp;"")="","",TRIM(G474&amp;""))</f>
        <v/>
      </c>
      <c r="R474" s="10">
        <f>IF(TRIM(B474&amp;"")="","",IFERROR(INDEX(설정_코드표!$K$2:$K$101,MATCH(TRIM(B474&amp;""),설정_코드표!$J$2:$J$101,0)),"⚠"&amp;TRIM(B474&amp;"")))</f>
        <v/>
      </c>
      <c r="S474" s="10">
        <f>IF(TRIM(K474&amp;"")="","",IFERROR(INDEX(설정_코드표!$K$2:$K$101,MATCH(TRIM(K474&amp;""),설정_코드표!$J$2:$J$101,0)),"⚠"&amp;TRIM(K474&amp;"")))</f>
        <v/>
      </c>
      <c r="T474" s="10">
        <f>IF(TRIM(M474&amp;"")="","",IF(ISNUMBER(MATCH(TRIM(M474&amp;""),설정_코드표!$C$2:$C$11,0)),TRIM(M474&amp;""),"⚠"&amp;TRIM(M474&amp;"")))</f>
        <v/>
      </c>
      <c r="U474" s="10">
        <f>IF(TRIM(L474&amp;"")="","",IFERROR(INDEX(설정_코드표!$G$2:$G$101,MATCH(TRIM(L474&amp;""),설정_코드표!$F$2:$F$101,0)),"⚠"&amp;TRIM(L474&amp;"")))</f>
        <v/>
      </c>
      <c r="V474" s="10">
        <f>IF(AND(ISNUMBER(H474),ISNUMBER(I474)),I474-H474+1,"")</f>
        <v/>
      </c>
      <c r="W474" s="17">
        <f>IF(ISNUMBER(H474),MAX(0,MIN(IF(ISNUMBER(I474),I474,EOMONTH(출력_요약!$B$3,0)),EOMONTH(출력_요약!$B$3,0))-MAX(H474,출력_요약!$B$3)+1),0)</f>
        <v/>
      </c>
      <c r="X474" s="10">
        <f>IF(OR(NOT(ISNUMBER(H474)),Q474=""),"",IF(TODAY()&lt;H474,"파견예정",IF(AND(ISNUMBER(I474),TODAY()&gt;I474),"파견종료","파견중")))</f>
        <v/>
      </c>
      <c r="Y474" s="10">
        <f>IF(OR(Q474="",X474=""),"",Q474&amp;"|"&amp;X474)</f>
        <v/>
      </c>
      <c r="Z474" s="10">
        <f>IF(AND(Q474&lt;&gt;"",W474&gt;0),Q474&amp;"|월","")</f>
        <v/>
      </c>
      <c r="AA474" s="10">
        <f>IF(COUNTA(B474:I474,K474:N474)=0,"",IF(Q474="","등록번호 없음",IF(LEFT(R474,1)="⚠","모병원명 미등록",IF(S474="","파견병원 입력",IF(LEFT(S474,1)="⚠","파견병원명 미등록",IF(LEFT(U474,1)="⚠","파견과목 미등록",IF(OR(T474="",LEFT(T474,1)="⚠"),"파견근거 확인",IF(NOT(AND(ISNUMBER(H474),ISNUMBER(I474))),"날짜 형식/누락",IF(I474&lt;H474,"종료일&lt;시작일","")))))))))</f>
        <v/>
      </c>
      <c r="AB474" s="11">
        <f>IF(ISNUMBER(SEARCH("다기관",TRIM(N474&amp;" "&amp;O474))),IFERROR(DATE(VALUE(MID(TRIM(N474&amp;" "&amp;O474),1,4)),VALUE(MID(TRIM(N474&amp;" "&amp;O474),6,2)),VALUE(MID(TRIM(N474&amp;" "&amp;O474),9,2))),IF(ISNUMBER(H474),H474,"")),"")</f>
        <v/>
      </c>
      <c r="AC474" s="11">
        <f>IF(ISNUMBER(SEARCH("다기관",TRIM(N474&amp;" "&amp;O474))),IFERROR(DATE(VALUE(MID(TRIM(N474&amp;" "&amp;O474),12,4)),VALUE(MID(TRIM(N474&amp;" "&amp;O474),17,2)),VALUE(MID(TRIM(N474&amp;" "&amp;O474),20,2))),IF(ISNUMBER(I474),I474,"")),"")</f>
        <v/>
      </c>
      <c r="AD474" s="17">
        <f>IF(AND(ISNUMBER(AB474),ISNUMBER(AC474)),MAX(0,MIN(AC474,EOMONTH(출력_요약!$B$3,0))-MAX(AB474,출력_요약!$B$3)+1),0)</f>
        <v/>
      </c>
      <c r="AE474" s="10">
        <f>IF(AND(Q474&lt;&gt;"",ISNUMBER(AB474)),Q474&amp;"|다기관","")</f>
        <v/>
      </c>
    </row>
    <row r="475">
      <c r="A475" s="15">
        <f>IF(F475="","",ROW()-3)</f>
        <v/>
      </c>
      <c r="B475" s="5" t="n"/>
      <c r="C475" s="15" t="n"/>
      <c r="D475" s="5" t="n"/>
      <c r="E475" s="15" t="n"/>
      <c r="F475" s="5" t="n"/>
      <c r="G475" s="6" t="n"/>
      <c r="H475" s="16" t="n"/>
      <c r="I475" s="16" t="n"/>
      <c r="J475" s="15">
        <f>IF(AND(ISNUMBER(H475),ISNUMBER(I475)),I475-H475+1,"")</f>
        <v/>
      </c>
      <c r="K475" s="5" t="n"/>
      <c r="L475" s="5" t="n"/>
      <c r="M475" s="5" t="n"/>
      <c r="N475" s="5" t="n"/>
      <c r="O475" s="5" t="n"/>
      <c r="Q475" s="10">
        <f>IF(TRIM(G475&amp;"")="","",TRIM(G475&amp;""))</f>
        <v/>
      </c>
      <c r="R475" s="10">
        <f>IF(TRIM(B475&amp;"")="","",IFERROR(INDEX(설정_코드표!$K$2:$K$101,MATCH(TRIM(B475&amp;""),설정_코드표!$J$2:$J$101,0)),"⚠"&amp;TRIM(B475&amp;"")))</f>
        <v/>
      </c>
      <c r="S475" s="10">
        <f>IF(TRIM(K475&amp;"")="","",IFERROR(INDEX(설정_코드표!$K$2:$K$101,MATCH(TRIM(K475&amp;""),설정_코드표!$J$2:$J$101,0)),"⚠"&amp;TRIM(K475&amp;"")))</f>
        <v/>
      </c>
      <c r="T475" s="10">
        <f>IF(TRIM(M475&amp;"")="","",IF(ISNUMBER(MATCH(TRIM(M475&amp;""),설정_코드표!$C$2:$C$11,0)),TRIM(M475&amp;""),"⚠"&amp;TRIM(M475&amp;"")))</f>
        <v/>
      </c>
      <c r="U475" s="10">
        <f>IF(TRIM(L475&amp;"")="","",IFERROR(INDEX(설정_코드표!$G$2:$G$101,MATCH(TRIM(L475&amp;""),설정_코드표!$F$2:$F$101,0)),"⚠"&amp;TRIM(L475&amp;"")))</f>
        <v/>
      </c>
      <c r="V475" s="10">
        <f>IF(AND(ISNUMBER(H475),ISNUMBER(I475)),I475-H475+1,"")</f>
        <v/>
      </c>
      <c r="W475" s="17">
        <f>IF(ISNUMBER(H475),MAX(0,MIN(IF(ISNUMBER(I475),I475,EOMONTH(출력_요약!$B$3,0)),EOMONTH(출력_요약!$B$3,0))-MAX(H475,출력_요약!$B$3)+1),0)</f>
        <v/>
      </c>
      <c r="X475" s="10">
        <f>IF(OR(NOT(ISNUMBER(H475)),Q475=""),"",IF(TODAY()&lt;H475,"파견예정",IF(AND(ISNUMBER(I475),TODAY()&gt;I475),"파견종료","파견중")))</f>
        <v/>
      </c>
      <c r="Y475" s="10">
        <f>IF(OR(Q475="",X475=""),"",Q475&amp;"|"&amp;X475)</f>
        <v/>
      </c>
      <c r="Z475" s="10">
        <f>IF(AND(Q475&lt;&gt;"",W475&gt;0),Q475&amp;"|월","")</f>
        <v/>
      </c>
      <c r="AA475" s="10">
        <f>IF(COUNTA(B475:I475,K475:N475)=0,"",IF(Q475="","등록번호 없음",IF(LEFT(R475,1)="⚠","모병원명 미등록",IF(S475="","파견병원 입력",IF(LEFT(S475,1)="⚠","파견병원명 미등록",IF(LEFT(U475,1)="⚠","파견과목 미등록",IF(OR(T475="",LEFT(T475,1)="⚠"),"파견근거 확인",IF(NOT(AND(ISNUMBER(H475),ISNUMBER(I475))),"날짜 형식/누락",IF(I475&lt;H475,"종료일&lt;시작일","")))))))))</f>
        <v/>
      </c>
      <c r="AB475" s="11">
        <f>IF(ISNUMBER(SEARCH("다기관",TRIM(N475&amp;" "&amp;O475))),IFERROR(DATE(VALUE(MID(TRIM(N475&amp;" "&amp;O475),1,4)),VALUE(MID(TRIM(N475&amp;" "&amp;O475),6,2)),VALUE(MID(TRIM(N475&amp;" "&amp;O475),9,2))),IF(ISNUMBER(H475),H475,"")),"")</f>
        <v/>
      </c>
      <c r="AC475" s="11">
        <f>IF(ISNUMBER(SEARCH("다기관",TRIM(N475&amp;" "&amp;O475))),IFERROR(DATE(VALUE(MID(TRIM(N475&amp;" "&amp;O475),12,4)),VALUE(MID(TRIM(N475&amp;" "&amp;O475),17,2)),VALUE(MID(TRIM(N475&amp;" "&amp;O475),20,2))),IF(ISNUMBER(I475),I475,"")),"")</f>
        <v/>
      </c>
      <c r="AD475" s="17">
        <f>IF(AND(ISNUMBER(AB475),ISNUMBER(AC475)),MAX(0,MIN(AC475,EOMONTH(출력_요약!$B$3,0))-MAX(AB475,출력_요약!$B$3)+1),0)</f>
        <v/>
      </c>
      <c r="AE475" s="10">
        <f>IF(AND(Q475&lt;&gt;"",ISNUMBER(AB475)),Q475&amp;"|다기관","")</f>
        <v/>
      </c>
    </row>
    <row r="476">
      <c r="A476" s="15">
        <f>IF(F476="","",ROW()-3)</f>
        <v/>
      </c>
      <c r="B476" s="5" t="n"/>
      <c r="C476" s="15" t="n"/>
      <c r="D476" s="5" t="n"/>
      <c r="E476" s="15" t="n"/>
      <c r="F476" s="5" t="n"/>
      <c r="G476" s="6" t="n"/>
      <c r="H476" s="16" t="n"/>
      <c r="I476" s="16" t="n"/>
      <c r="J476" s="15">
        <f>IF(AND(ISNUMBER(H476),ISNUMBER(I476)),I476-H476+1,"")</f>
        <v/>
      </c>
      <c r="K476" s="5" t="n"/>
      <c r="L476" s="5" t="n"/>
      <c r="M476" s="5" t="n"/>
      <c r="N476" s="5" t="n"/>
      <c r="O476" s="5" t="n"/>
      <c r="Q476" s="10">
        <f>IF(TRIM(G476&amp;"")="","",TRIM(G476&amp;""))</f>
        <v/>
      </c>
      <c r="R476" s="10">
        <f>IF(TRIM(B476&amp;"")="","",IFERROR(INDEX(설정_코드표!$K$2:$K$101,MATCH(TRIM(B476&amp;""),설정_코드표!$J$2:$J$101,0)),"⚠"&amp;TRIM(B476&amp;"")))</f>
        <v/>
      </c>
      <c r="S476" s="10">
        <f>IF(TRIM(K476&amp;"")="","",IFERROR(INDEX(설정_코드표!$K$2:$K$101,MATCH(TRIM(K476&amp;""),설정_코드표!$J$2:$J$101,0)),"⚠"&amp;TRIM(K476&amp;"")))</f>
        <v/>
      </c>
      <c r="T476" s="10">
        <f>IF(TRIM(M476&amp;"")="","",IF(ISNUMBER(MATCH(TRIM(M476&amp;""),설정_코드표!$C$2:$C$11,0)),TRIM(M476&amp;""),"⚠"&amp;TRIM(M476&amp;"")))</f>
        <v/>
      </c>
      <c r="U476" s="10">
        <f>IF(TRIM(L476&amp;"")="","",IFERROR(INDEX(설정_코드표!$G$2:$G$101,MATCH(TRIM(L476&amp;""),설정_코드표!$F$2:$F$101,0)),"⚠"&amp;TRIM(L476&amp;"")))</f>
        <v/>
      </c>
      <c r="V476" s="10">
        <f>IF(AND(ISNUMBER(H476),ISNUMBER(I476)),I476-H476+1,"")</f>
        <v/>
      </c>
      <c r="W476" s="17">
        <f>IF(ISNUMBER(H476),MAX(0,MIN(IF(ISNUMBER(I476),I476,EOMONTH(출력_요약!$B$3,0)),EOMONTH(출력_요약!$B$3,0))-MAX(H476,출력_요약!$B$3)+1),0)</f>
        <v/>
      </c>
      <c r="X476" s="10">
        <f>IF(OR(NOT(ISNUMBER(H476)),Q476=""),"",IF(TODAY()&lt;H476,"파견예정",IF(AND(ISNUMBER(I476),TODAY()&gt;I476),"파견종료","파견중")))</f>
        <v/>
      </c>
      <c r="Y476" s="10">
        <f>IF(OR(Q476="",X476=""),"",Q476&amp;"|"&amp;X476)</f>
        <v/>
      </c>
      <c r="Z476" s="10">
        <f>IF(AND(Q476&lt;&gt;"",W476&gt;0),Q476&amp;"|월","")</f>
        <v/>
      </c>
      <c r="AA476" s="10">
        <f>IF(COUNTA(B476:I476,K476:N476)=0,"",IF(Q476="","등록번호 없음",IF(LEFT(R476,1)="⚠","모병원명 미등록",IF(S476="","파견병원 입력",IF(LEFT(S476,1)="⚠","파견병원명 미등록",IF(LEFT(U476,1)="⚠","파견과목 미등록",IF(OR(T476="",LEFT(T476,1)="⚠"),"파견근거 확인",IF(NOT(AND(ISNUMBER(H476),ISNUMBER(I476))),"날짜 형식/누락",IF(I476&lt;H476,"종료일&lt;시작일","")))))))))</f>
        <v/>
      </c>
      <c r="AB476" s="11">
        <f>IF(ISNUMBER(SEARCH("다기관",TRIM(N476&amp;" "&amp;O476))),IFERROR(DATE(VALUE(MID(TRIM(N476&amp;" "&amp;O476),1,4)),VALUE(MID(TRIM(N476&amp;" "&amp;O476),6,2)),VALUE(MID(TRIM(N476&amp;" "&amp;O476),9,2))),IF(ISNUMBER(H476),H476,"")),"")</f>
        <v/>
      </c>
      <c r="AC476" s="11">
        <f>IF(ISNUMBER(SEARCH("다기관",TRIM(N476&amp;" "&amp;O476))),IFERROR(DATE(VALUE(MID(TRIM(N476&amp;" "&amp;O476),12,4)),VALUE(MID(TRIM(N476&amp;" "&amp;O476),17,2)),VALUE(MID(TRIM(N476&amp;" "&amp;O476),20,2))),IF(ISNUMBER(I476),I476,"")),"")</f>
        <v/>
      </c>
      <c r="AD476" s="17">
        <f>IF(AND(ISNUMBER(AB476),ISNUMBER(AC476)),MAX(0,MIN(AC476,EOMONTH(출력_요약!$B$3,0))-MAX(AB476,출력_요약!$B$3)+1),0)</f>
        <v/>
      </c>
      <c r="AE476" s="10">
        <f>IF(AND(Q476&lt;&gt;"",ISNUMBER(AB476)),Q476&amp;"|다기관","")</f>
        <v/>
      </c>
    </row>
    <row r="477">
      <c r="A477" s="15">
        <f>IF(F477="","",ROW()-3)</f>
        <v/>
      </c>
      <c r="B477" s="5" t="n"/>
      <c r="C477" s="15" t="n"/>
      <c r="D477" s="5" t="n"/>
      <c r="E477" s="15" t="n"/>
      <c r="F477" s="5" t="n"/>
      <c r="G477" s="6" t="n"/>
      <c r="H477" s="16" t="n"/>
      <c r="I477" s="16" t="n"/>
      <c r="J477" s="15">
        <f>IF(AND(ISNUMBER(H477),ISNUMBER(I477)),I477-H477+1,"")</f>
        <v/>
      </c>
      <c r="K477" s="5" t="n"/>
      <c r="L477" s="5" t="n"/>
      <c r="M477" s="5" t="n"/>
      <c r="N477" s="5" t="n"/>
      <c r="O477" s="5" t="n"/>
      <c r="Q477" s="10">
        <f>IF(TRIM(G477&amp;"")="","",TRIM(G477&amp;""))</f>
        <v/>
      </c>
      <c r="R477" s="10">
        <f>IF(TRIM(B477&amp;"")="","",IFERROR(INDEX(설정_코드표!$K$2:$K$101,MATCH(TRIM(B477&amp;""),설정_코드표!$J$2:$J$101,0)),"⚠"&amp;TRIM(B477&amp;"")))</f>
        <v/>
      </c>
      <c r="S477" s="10">
        <f>IF(TRIM(K477&amp;"")="","",IFERROR(INDEX(설정_코드표!$K$2:$K$101,MATCH(TRIM(K477&amp;""),설정_코드표!$J$2:$J$101,0)),"⚠"&amp;TRIM(K477&amp;"")))</f>
        <v/>
      </c>
      <c r="T477" s="10">
        <f>IF(TRIM(M477&amp;"")="","",IF(ISNUMBER(MATCH(TRIM(M477&amp;""),설정_코드표!$C$2:$C$11,0)),TRIM(M477&amp;""),"⚠"&amp;TRIM(M477&amp;"")))</f>
        <v/>
      </c>
      <c r="U477" s="10">
        <f>IF(TRIM(L477&amp;"")="","",IFERROR(INDEX(설정_코드표!$G$2:$G$101,MATCH(TRIM(L477&amp;""),설정_코드표!$F$2:$F$101,0)),"⚠"&amp;TRIM(L477&amp;"")))</f>
        <v/>
      </c>
      <c r="V477" s="10">
        <f>IF(AND(ISNUMBER(H477),ISNUMBER(I477)),I477-H477+1,"")</f>
        <v/>
      </c>
      <c r="W477" s="17">
        <f>IF(ISNUMBER(H477),MAX(0,MIN(IF(ISNUMBER(I477),I477,EOMONTH(출력_요약!$B$3,0)),EOMONTH(출력_요약!$B$3,0))-MAX(H477,출력_요약!$B$3)+1),0)</f>
        <v/>
      </c>
      <c r="X477" s="10">
        <f>IF(OR(NOT(ISNUMBER(H477)),Q477=""),"",IF(TODAY()&lt;H477,"파견예정",IF(AND(ISNUMBER(I477),TODAY()&gt;I477),"파견종료","파견중")))</f>
        <v/>
      </c>
      <c r="Y477" s="10">
        <f>IF(OR(Q477="",X477=""),"",Q477&amp;"|"&amp;X477)</f>
        <v/>
      </c>
      <c r="Z477" s="10">
        <f>IF(AND(Q477&lt;&gt;"",W477&gt;0),Q477&amp;"|월","")</f>
        <v/>
      </c>
      <c r="AA477" s="10">
        <f>IF(COUNTA(B477:I477,K477:N477)=0,"",IF(Q477="","등록번호 없음",IF(LEFT(R477,1)="⚠","모병원명 미등록",IF(S477="","파견병원 입력",IF(LEFT(S477,1)="⚠","파견병원명 미등록",IF(LEFT(U477,1)="⚠","파견과목 미등록",IF(OR(T477="",LEFT(T477,1)="⚠"),"파견근거 확인",IF(NOT(AND(ISNUMBER(H477),ISNUMBER(I477))),"날짜 형식/누락",IF(I477&lt;H477,"종료일&lt;시작일","")))))))))</f>
        <v/>
      </c>
      <c r="AB477" s="11">
        <f>IF(ISNUMBER(SEARCH("다기관",TRIM(N477&amp;" "&amp;O477))),IFERROR(DATE(VALUE(MID(TRIM(N477&amp;" "&amp;O477),1,4)),VALUE(MID(TRIM(N477&amp;" "&amp;O477),6,2)),VALUE(MID(TRIM(N477&amp;" "&amp;O477),9,2))),IF(ISNUMBER(H477),H477,"")),"")</f>
        <v/>
      </c>
      <c r="AC477" s="11">
        <f>IF(ISNUMBER(SEARCH("다기관",TRIM(N477&amp;" "&amp;O477))),IFERROR(DATE(VALUE(MID(TRIM(N477&amp;" "&amp;O477),12,4)),VALUE(MID(TRIM(N477&amp;" "&amp;O477),17,2)),VALUE(MID(TRIM(N477&amp;" "&amp;O477),20,2))),IF(ISNUMBER(I477),I477,"")),"")</f>
        <v/>
      </c>
      <c r="AD477" s="17">
        <f>IF(AND(ISNUMBER(AB477),ISNUMBER(AC477)),MAX(0,MIN(AC477,EOMONTH(출력_요약!$B$3,0))-MAX(AB477,출력_요약!$B$3)+1),0)</f>
        <v/>
      </c>
      <c r="AE477" s="10">
        <f>IF(AND(Q477&lt;&gt;"",ISNUMBER(AB477)),Q477&amp;"|다기관","")</f>
        <v/>
      </c>
    </row>
    <row r="478">
      <c r="A478" s="15">
        <f>IF(F478="","",ROW()-3)</f>
        <v/>
      </c>
      <c r="B478" s="5" t="n"/>
      <c r="C478" s="15" t="n"/>
      <c r="D478" s="5" t="n"/>
      <c r="E478" s="15" t="n"/>
      <c r="F478" s="5" t="n"/>
      <c r="G478" s="6" t="n"/>
      <c r="H478" s="16" t="n"/>
      <c r="I478" s="16" t="n"/>
      <c r="J478" s="15">
        <f>IF(AND(ISNUMBER(H478),ISNUMBER(I478)),I478-H478+1,"")</f>
        <v/>
      </c>
      <c r="K478" s="5" t="n"/>
      <c r="L478" s="5" t="n"/>
      <c r="M478" s="5" t="n"/>
      <c r="N478" s="5" t="n"/>
      <c r="O478" s="5" t="n"/>
      <c r="Q478" s="10">
        <f>IF(TRIM(G478&amp;"")="","",TRIM(G478&amp;""))</f>
        <v/>
      </c>
      <c r="R478" s="10">
        <f>IF(TRIM(B478&amp;"")="","",IFERROR(INDEX(설정_코드표!$K$2:$K$101,MATCH(TRIM(B478&amp;""),설정_코드표!$J$2:$J$101,0)),"⚠"&amp;TRIM(B478&amp;"")))</f>
        <v/>
      </c>
      <c r="S478" s="10">
        <f>IF(TRIM(K478&amp;"")="","",IFERROR(INDEX(설정_코드표!$K$2:$K$101,MATCH(TRIM(K478&amp;""),설정_코드표!$J$2:$J$101,0)),"⚠"&amp;TRIM(K478&amp;"")))</f>
        <v/>
      </c>
      <c r="T478" s="10">
        <f>IF(TRIM(M478&amp;"")="","",IF(ISNUMBER(MATCH(TRIM(M478&amp;""),설정_코드표!$C$2:$C$11,0)),TRIM(M478&amp;""),"⚠"&amp;TRIM(M478&amp;"")))</f>
        <v/>
      </c>
      <c r="U478" s="10">
        <f>IF(TRIM(L478&amp;"")="","",IFERROR(INDEX(설정_코드표!$G$2:$G$101,MATCH(TRIM(L478&amp;""),설정_코드표!$F$2:$F$101,0)),"⚠"&amp;TRIM(L478&amp;"")))</f>
        <v/>
      </c>
      <c r="V478" s="10">
        <f>IF(AND(ISNUMBER(H478),ISNUMBER(I478)),I478-H478+1,"")</f>
        <v/>
      </c>
      <c r="W478" s="17">
        <f>IF(ISNUMBER(H478),MAX(0,MIN(IF(ISNUMBER(I478),I478,EOMONTH(출력_요약!$B$3,0)),EOMONTH(출력_요약!$B$3,0))-MAX(H478,출력_요약!$B$3)+1),0)</f>
        <v/>
      </c>
      <c r="X478" s="10">
        <f>IF(OR(NOT(ISNUMBER(H478)),Q478=""),"",IF(TODAY()&lt;H478,"파견예정",IF(AND(ISNUMBER(I478),TODAY()&gt;I478),"파견종료","파견중")))</f>
        <v/>
      </c>
      <c r="Y478" s="10">
        <f>IF(OR(Q478="",X478=""),"",Q478&amp;"|"&amp;X478)</f>
        <v/>
      </c>
      <c r="Z478" s="10">
        <f>IF(AND(Q478&lt;&gt;"",W478&gt;0),Q478&amp;"|월","")</f>
        <v/>
      </c>
      <c r="AA478" s="10">
        <f>IF(COUNTA(B478:I478,K478:N478)=0,"",IF(Q478="","등록번호 없음",IF(LEFT(R478,1)="⚠","모병원명 미등록",IF(S478="","파견병원 입력",IF(LEFT(S478,1)="⚠","파견병원명 미등록",IF(LEFT(U478,1)="⚠","파견과목 미등록",IF(OR(T478="",LEFT(T478,1)="⚠"),"파견근거 확인",IF(NOT(AND(ISNUMBER(H478),ISNUMBER(I478))),"날짜 형식/누락",IF(I478&lt;H478,"종료일&lt;시작일","")))))))))</f>
        <v/>
      </c>
      <c r="AB478" s="11">
        <f>IF(ISNUMBER(SEARCH("다기관",TRIM(N478&amp;" "&amp;O478))),IFERROR(DATE(VALUE(MID(TRIM(N478&amp;" "&amp;O478),1,4)),VALUE(MID(TRIM(N478&amp;" "&amp;O478),6,2)),VALUE(MID(TRIM(N478&amp;" "&amp;O478),9,2))),IF(ISNUMBER(H478),H478,"")),"")</f>
        <v/>
      </c>
      <c r="AC478" s="11">
        <f>IF(ISNUMBER(SEARCH("다기관",TRIM(N478&amp;" "&amp;O478))),IFERROR(DATE(VALUE(MID(TRIM(N478&amp;" "&amp;O478),12,4)),VALUE(MID(TRIM(N478&amp;" "&amp;O478),17,2)),VALUE(MID(TRIM(N478&amp;" "&amp;O478),20,2))),IF(ISNUMBER(I478),I478,"")),"")</f>
        <v/>
      </c>
      <c r="AD478" s="17">
        <f>IF(AND(ISNUMBER(AB478),ISNUMBER(AC478)),MAX(0,MIN(AC478,EOMONTH(출력_요약!$B$3,0))-MAX(AB478,출력_요약!$B$3)+1),0)</f>
        <v/>
      </c>
      <c r="AE478" s="10">
        <f>IF(AND(Q478&lt;&gt;"",ISNUMBER(AB478)),Q478&amp;"|다기관","")</f>
        <v/>
      </c>
    </row>
    <row r="479">
      <c r="A479" s="15">
        <f>IF(F479="","",ROW()-3)</f>
        <v/>
      </c>
      <c r="B479" s="5" t="n"/>
      <c r="C479" s="15" t="n"/>
      <c r="D479" s="5" t="n"/>
      <c r="E479" s="15" t="n"/>
      <c r="F479" s="5" t="n"/>
      <c r="G479" s="6" t="n"/>
      <c r="H479" s="16" t="n"/>
      <c r="I479" s="16" t="n"/>
      <c r="J479" s="15">
        <f>IF(AND(ISNUMBER(H479),ISNUMBER(I479)),I479-H479+1,"")</f>
        <v/>
      </c>
      <c r="K479" s="5" t="n"/>
      <c r="L479" s="5" t="n"/>
      <c r="M479" s="5" t="n"/>
      <c r="N479" s="5" t="n"/>
      <c r="O479" s="5" t="n"/>
      <c r="Q479" s="10">
        <f>IF(TRIM(G479&amp;"")="","",TRIM(G479&amp;""))</f>
        <v/>
      </c>
      <c r="R479" s="10">
        <f>IF(TRIM(B479&amp;"")="","",IFERROR(INDEX(설정_코드표!$K$2:$K$101,MATCH(TRIM(B479&amp;""),설정_코드표!$J$2:$J$101,0)),"⚠"&amp;TRIM(B479&amp;"")))</f>
        <v/>
      </c>
      <c r="S479" s="10">
        <f>IF(TRIM(K479&amp;"")="","",IFERROR(INDEX(설정_코드표!$K$2:$K$101,MATCH(TRIM(K479&amp;""),설정_코드표!$J$2:$J$101,0)),"⚠"&amp;TRIM(K479&amp;"")))</f>
        <v/>
      </c>
      <c r="T479" s="10">
        <f>IF(TRIM(M479&amp;"")="","",IF(ISNUMBER(MATCH(TRIM(M479&amp;""),설정_코드표!$C$2:$C$11,0)),TRIM(M479&amp;""),"⚠"&amp;TRIM(M479&amp;"")))</f>
        <v/>
      </c>
      <c r="U479" s="10">
        <f>IF(TRIM(L479&amp;"")="","",IFERROR(INDEX(설정_코드표!$G$2:$G$101,MATCH(TRIM(L479&amp;""),설정_코드표!$F$2:$F$101,0)),"⚠"&amp;TRIM(L479&amp;"")))</f>
        <v/>
      </c>
      <c r="V479" s="10">
        <f>IF(AND(ISNUMBER(H479),ISNUMBER(I479)),I479-H479+1,"")</f>
        <v/>
      </c>
      <c r="W479" s="17">
        <f>IF(ISNUMBER(H479),MAX(0,MIN(IF(ISNUMBER(I479),I479,EOMONTH(출력_요약!$B$3,0)),EOMONTH(출력_요약!$B$3,0))-MAX(H479,출력_요약!$B$3)+1),0)</f>
        <v/>
      </c>
      <c r="X479" s="10">
        <f>IF(OR(NOT(ISNUMBER(H479)),Q479=""),"",IF(TODAY()&lt;H479,"파견예정",IF(AND(ISNUMBER(I479),TODAY()&gt;I479),"파견종료","파견중")))</f>
        <v/>
      </c>
      <c r="Y479" s="10">
        <f>IF(OR(Q479="",X479=""),"",Q479&amp;"|"&amp;X479)</f>
        <v/>
      </c>
      <c r="Z479" s="10">
        <f>IF(AND(Q479&lt;&gt;"",W479&gt;0),Q479&amp;"|월","")</f>
        <v/>
      </c>
      <c r="AA479" s="10">
        <f>IF(COUNTA(B479:I479,K479:N479)=0,"",IF(Q479="","등록번호 없음",IF(LEFT(R479,1)="⚠","모병원명 미등록",IF(S479="","파견병원 입력",IF(LEFT(S479,1)="⚠","파견병원명 미등록",IF(LEFT(U479,1)="⚠","파견과목 미등록",IF(OR(T479="",LEFT(T479,1)="⚠"),"파견근거 확인",IF(NOT(AND(ISNUMBER(H479),ISNUMBER(I479))),"날짜 형식/누락",IF(I479&lt;H479,"종료일&lt;시작일","")))))))))</f>
        <v/>
      </c>
      <c r="AB479" s="11">
        <f>IF(ISNUMBER(SEARCH("다기관",TRIM(N479&amp;" "&amp;O479))),IFERROR(DATE(VALUE(MID(TRIM(N479&amp;" "&amp;O479),1,4)),VALUE(MID(TRIM(N479&amp;" "&amp;O479),6,2)),VALUE(MID(TRIM(N479&amp;" "&amp;O479),9,2))),IF(ISNUMBER(H479),H479,"")),"")</f>
        <v/>
      </c>
      <c r="AC479" s="11">
        <f>IF(ISNUMBER(SEARCH("다기관",TRIM(N479&amp;" "&amp;O479))),IFERROR(DATE(VALUE(MID(TRIM(N479&amp;" "&amp;O479),12,4)),VALUE(MID(TRIM(N479&amp;" "&amp;O479),17,2)),VALUE(MID(TRIM(N479&amp;" "&amp;O479),20,2))),IF(ISNUMBER(I479),I479,"")),"")</f>
        <v/>
      </c>
      <c r="AD479" s="17">
        <f>IF(AND(ISNUMBER(AB479),ISNUMBER(AC479)),MAX(0,MIN(AC479,EOMONTH(출력_요약!$B$3,0))-MAX(AB479,출력_요약!$B$3)+1),0)</f>
        <v/>
      </c>
      <c r="AE479" s="10">
        <f>IF(AND(Q479&lt;&gt;"",ISNUMBER(AB479)),Q479&amp;"|다기관","")</f>
        <v/>
      </c>
    </row>
    <row r="480">
      <c r="A480" s="15">
        <f>IF(F480="","",ROW()-3)</f>
        <v/>
      </c>
      <c r="B480" s="5" t="n"/>
      <c r="C480" s="15" t="n"/>
      <c r="D480" s="5" t="n"/>
      <c r="E480" s="15" t="n"/>
      <c r="F480" s="5" t="n"/>
      <c r="G480" s="6" t="n"/>
      <c r="H480" s="16" t="n"/>
      <c r="I480" s="16" t="n"/>
      <c r="J480" s="15">
        <f>IF(AND(ISNUMBER(H480),ISNUMBER(I480)),I480-H480+1,"")</f>
        <v/>
      </c>
      <c r="K480" s="5" t="n"/>
      <c r="L480" s="5" t="n"/>
      <c r="M480" s="5" t="n"/>
      <c r="N480" s="5" t="n"/>
      <c r="O480" s="5" t="n"/>
      <c r="Q480" s="10">
        <f>IF(TRIM(G480&amp;"")="","",TRIM(G480&amp;""))</f>
        <v/>
      </c>
      <c r="R480" s="10">
        <f>IF(TRIM(B480&amp;"")="","",IFERROR(INDEX(설정_코드표!$K$2:$K$101,MATCH(TRIM(B480&amp;""),설정_코드표!$J$2:$J$101,0)),"⚠"&amp;TRIM(B480&amp;"")))</f>
        <v/>
      </c>
      <c r="S480" s="10">
        <f>IF(TRIM(K480&amp;"")="","",IFERROR(INDEX(설정_코드표!$K$2:$K$101,MATCH(TRIM(K480&amp;""),설정_코드표!$J$2:$J$101,0)),"⚠"&amp;TRIM(K480&amp;"")))</f>
        <v/>
      </c>
      <c r="T480" s="10">
        <f>IF(TRIM(M480&amp;"")="","",IF(ISNUMBER(MATCH(TRIM(M480&amp;""),설정_코드표!$C$2:$C$11,0)),TRIM(M480&amp;""),"⚠"&amp;TRIM(M480&amp;"")))</f>
        <v/>
      </c>
      <c r="U480" s="10">
        <f>IF(TRIM(L480&amp;"")="","",IFERROR(INDEX(설정_코드표!$G$2:$G$101,MATCH(TRIM(L480&amp;""),설정_코드표!$F$2:$F$101,0)),"⚠"&amp;TRIM(L480&amp;"")))</f>
        <v/>
      </c>
      <c r="V480" s="10">
        <f>IF(AND(ISNUMBER(H480),ISNUMBER(I480)),I480-H480+1,"")</f>
        <v/>
      </c>
      <c r="W480" s="17">
        <f>IF(ISNUMBER(H480),MAX(0,MIN(IF(ISNUMBER(I480),I480,EOMONTH(출력_요약!$B$3,0)),EOMONTH(출력_요약!$B$3,0))-MAX(H480,출력_요약!$B$3)+1),0)</f>
        <v/>
      </c>
      <c r="X480" s="10">
        <f>IF(OR(NOT(ISNUMBER(H480)),Q480=""),"",IF(TODAY()&lt;H480,"파견예정",IF(AND(ISNUMBER(I480),TODAY()&gt;I480),"파견종료","파견중")))</f>
        <v/>
      </c>
      <c r="Y480" s="10">
        <f>IF(OR(Q480="",X480=""),"",Q480&amp;"|"&amp;X480)</f>
        <v/>
      </c>
      <c r="Z480" s="10">
        <f>IF(AND(Q480&lt;&gt;"",W480&gt;0),Q480&amp;"|월","")</f>
        <v/>
      </c>
      <c r="AA480" s="10">
        <f>IF(COUNTA(B480:I480,K480:N480)=0,"",IF(Q480="","등록번호 없음",IF(LEFT(R480,1)="⚠","모병원명 미등록",IF(S480="","파견병원 입력",IF(LEFT(S480,1)="⚠","파견병원명 미등록",IF(LEFT(U480,1)="⚠","파견과목 미등록",IF(OR(T480="",LEFT(T480,1)="⚠"),"파견근거 확인",IF(NOT(AND(ISNUMBER(H480),ISNUMBER(I480))),"날짜 형식/누락",IF(I480&lt;H480,"종료일&lt;시작일","")))))))))</f>
        <v/>
      </c>
      <c r="AB480" s="11">
        <f>IF(ISNUMBER(SEARCH("다기관",TRIM(N480&amp;" "&amp;O480))),IFERROR(DATE(VALUE(MID(TRIM(N480&amp;" "&amp;O480),1,4)),VALUE(MID(TRIM(N480&amp;" "&amp;O480),6,2)),VALUE(MID(TRIM(N480&amp;" "&amp;O480),9,2))),IF(ISNUMBER(H480),H480,"")),"")</f>
        <v/>
      </c>
      <c r="AC480" s="11">
        <f>IF(ISNUMBER(SEARCH("다기관",TRIM(N480&amp;" "&amp;O480))),IFERROR(DATE(VALUE(MID(TRIM(N480&amp;" "&amp;O480),12,4)),VALUE(MID(TRIM(N480&amp;" "&amp;O480),17,2)),VALUE(MID(TRIM(N480&amp;" "&amp;O480),20,2))),IF(ISNUMBER(I480),I480,"")),"")</f>
        <v/>
      </c>
      <c r="AD480" s="17">
        <f>IF(AND(ISNUMBER(AB480),ISNUMBER(AC480)),MAX(0,MIN(AC480,EOMONTH(출력_요약!$B$3,0))-MAX(AB480,출력_요약!$B$3)+1),0)</f>
        <v/>
      </c>
      <c r="AE480" s="10">
        <f>IF(AND(Q480&lt;&gt;"",ISNUMBER(AB480)),Q480&amp;"|다기관","")</f>
        <v/>
      </c>
    </row>
    <row r="481">
      <c r="A481" s="15">
        <f>IF(F481="","",ROW()-3)</f>
        <v/>
      </c>
      <c r="B481" s="5" t="n"/>
      <c r="C481" s="15" t="n"/>
      <c r="D481" s="5" t="n"/>
      <c r="E481" s="15" t="n"/>
      <c r="F481" s="5" t="n"/>
      <c r="G481" s="6" t="n"/>
      <c r="H481" s="16" t="n"/>
      <c r="I481" s="16" t="n"/>
      <c r="J481" s="15">
        <f>IF(AND(ISNUMBER(H481),ISNUMBER(I481)),I481-H481+1,"")</f>
        <v/>
      </c>
      <c r="K481" s="5" t="n"/>
      <c r="L481" s="5" t="n"/>
      <c r="M481" s="5" t="n"/>
      <c r="N481" s="5" t="n"/>
      <c r="O481" s="5" t="n"/>
      <c r="Q481" s="10">
        <f>IF(TRIM(G481&amp;"")="","",TRIM(G481&amp;""))</f>
        <v/>
      </c>
      <c r="R481" s="10">
        <f>IF(TRIM(B481&amp;"")="","",IFERROR(INDEX(설정_코드표!$K$2:$K$101,MATCH(TRIM(B481&amp;""),설정_코드표!$J$2:$J$101,0)),"⚠"&amp;TRIM(B481&amp;"")))</f>
        <v/>
      </c>
      <c r="S481" s="10">
        <f>IF(TRIM(K481&amp;"")="","",IFERROR(INDEX(설정_코드표!$K$2:$K$101,MATCH(TRIM(K481&amp;""),설정_코드표!$J$2:$J$101,0)),"⚠"&amp;TRIM(K481&amp;"")))</f>
        <v/>
      </c>
      <c r="T481" s="10">
        <f>IF(TRIM(M481&amp;"")="","",IF(ISNUMBER(MATCH(TRIM(M481&amp;""),설정_코드표!$C$2:$C$11,0)),TRIM(M481&amp;""),"⚠"&amp;TRIM(M481&amp;"")))</f>
        <v/>
      </c>
      <c r="U481" s="10">
        <f>IF(TRIM(L481&amp;"")="","",IFERROR(INDEX(설정_코드표!$G$2:$G$101,MATCH(TRIM(L481&amp;""),설정_코드표!$F$2:$F$101,0)),"⚠"&amp;TRIM(L481&amp;"")))</f>
        <v/>
      </c>
      <c r="V481" s="10">
        <f>IF(AND(ISNUMBER(H481),ISNUMBER(I481)),I481-H481+1,"")</f>
        <v/>
      </c>
      <c r="W481" s="17">
        <f>IF(ISNUMBER(H481),MAX(0,MIN(IF(ISNUMBER(I481),I481,EOMONTH(출력_요약!$B$3,0)),EOMONTH(출력_요약!$B$3,0))-MAX(H481,출력_요약!$B$3)+1),0)</f>
        <v/>
      </c>
      <c r="X481" s="10">
        <f>IF(OR(NOT(ISNUMBER(H481)),Q481=""),"",IF(TODAY()&lt;H481,"파견예정",IF(AND(ISNUMBER(I481),TODAY()&gt;I481),"파견종료","파견중")))</f>
        <v/>
      </c>
      <c r="Y481" s="10">
        <f>IF(OR(Q481="",X481=""),"",Q481&amp;"|"&amp;X481)</f>
        <v/>
      </c>
      <c r="Z481" s="10">
        <f>IF(AND(Q481&lt;&gt;"",W481&gt;0),Q481&amp;"|월","")</f>
        <v/>
      </c>
      <c r="AA481" s="10">
        <f>IF(COUNTA(B481:I481,K481:N481)=0,"",IF(Q481="","등록번호 없음",IF(LEFT(R481,1)="⚠","모병원명 미등록",IF(S481="","파견병원 입력",IF(LEFT(S481,1)="⚠","파견병원명 미등록",IF(LEFT(U481,1)="⚠","파견과목 미등록",IF(OR(T481="",LEFT(T481,1)="⚠"),"파견근거 확인",IF(NOT(AND(ISNUMBER(H481),ISNUMBER(I481))),"날짜 형식/누락",IF(I481&lt;H481,"종료일&lt;시작일","")))))))))</f>
        <v/>
      </c>
      <c r="AB481" s="11">
        <f>IF(ISNUMBER(SEARCH("다기관",TRIM(N481&amp;" "&amp;O481))),IFERROR(DATE(VALUE(MID(TRIM(N481&amp;" "&amp;O481),1,4)),VALUE(MID(TRIM(N481&amp;" "&amp;O481),6,2)),VALUE(MID(TRIM(N481&amp;" "&amp;O481),9,2))),IF(ISNUMBER(H481),H481,"")),"")</f>
        <v/>
      </c>
      <c r="AC481" s="11">
        <f>IF(ISNUMBER(SEARCH("다기관",TRIM(N481&amp;" "&amp;O481))),IFERROR(DATE(VALUE(MID(TRIM(N481&amp;" "&amp;O481),12,4)),VALUE(MID(TRIM(N481&amp;" "&amp;O481),17,2)),VALUE(MID(TRIM(N481&amp;" "&amp;O481),20,2))),IF(ISNUMBER(I481),I481,"")),"")</f>
        <v/>
      </c>
      <c r="AD481" s="17">
        <f>IF(AND(ISNUMBER(AB481),ISNUMBER(AC481)),MAX(0,MIN(AC481,EOMONTH(출력_요약!$B$3,0))-MAX(AB481,출력_요약!$B$3)+1),0)</f>
        <v/>
      </c>
      <c r="AE481" s="10">
        <f>IF(AND(Q481&lt;&gt;"",ISNUMBER(AB481)),Q481&amp;"|다기관","")</f>
        <v/>
      </c>
    </row>
    <row r="482">
      <c r="A482" s="15">
        <f>IF(F482="","",ROW()-3)</f>
        <v/>
      </c>
      <c r="B482" s="5" t="n"/>
      <c r="C482" s="15" t="n"/>
      <c r="D482" s="5" t="n"/>
      <c r="E482" s="15" t="n"/>
      <c r="F482" s="5" t="n"/>
      <c r="G482" s="6" t="n"/>
      <c r="H482" s="16" t="n"/>
      <c r="I482" s="16" t="n"/>
      <c r="J482" s="15">
        <f>IF(AND(ISNUMBER(H482),ISNUMBER(I482)),I482-H482+1,"")</f>
        <v/>
      </c>
      <c r="K482" s="5" t="n"/>
      <c r="L482" s="5" t="n"/>
      <c r="M482" s="5" t="n"/>
      <c r="N482" s="5" t="n"/>
      <c r="O482" s="5" t="n"/>
      <c r="Q482" s="10">
        <f>IF(TRIM(G482&amp;"")="","",TRIM(G482&amp;""))</f>
        <v/>
      </c>
      <c r="R482" s="10">
        <f>IF(TRIM(B482&amp;"")="","",IFERROR(INDEX(설정_코드표!$K$2:$K$101,MATCH(TRIM(B482&amp;""),설정_코드표!$J$2:$J$101,0)),"⚠"&amp;TRIM(B482&amp;"")))</f>
        <v/>
      </c>
      <c r="S482" s="10">
        <f>IF(TRIM(K482&amp;"")="","",IFERROR(INDEX(설정_코드표!$K$2:$K$101,MATCH(TRIM(K482&amp;""),설정_코드표!$J$2:$J$101,0)),"⚠"&amp;TRIM(K482&amp;"")))</f>
        <v/>
      </c>
      <c r="T482" s="10">
        <f>IF(TRIM(M482&amp;"")="","",IF(ISNUMBER(MATCH(TRIM(M482&amp;""),설정_코드표!$C$2:$C$11,0)),TRIM(M482&amp;""),"⚠"&amp;TRIM(M482&amp;"")))</f>
        <v/>
      </c>
      <c r="U482" s="10">
        <f>IF(TRIM(L482&amp;"")="","",IFERROR(INDEX(설정_코드표!$G$2:$G$101,MATCH(TRIM(L482&amp;""),설정_코드표!$F$2:$F$101,0)),"⚠"&amp;TRIM(L482&amp;"")))</f>
        <v/>
      </c>
      <c r="V482" s="10">
        <f>IF(AND(ISNUMBER(H482),ISNUMBER(I482)),I482-H482+1,"")</f>
        <v/>
      </c>
      <c r="W482" s="17">
        <f>IF(ISNUMBER(H482),MAX(0,MIN(IF(ISNUMBER(I482),I482,EOMONTH(출력_요약!$B$3,0)),EOMONTH(출력_요약!$B$3,0))-MAX(H482,출력_요약!$B$3)+1),0)</f>
        <v/>
      </c>
      <c r="X482" s="10">
        <f>IF(OR(NOT(ISNUMBER(H482)),Q482=""),"",IF(TODAY()&lt;H482,"파견예정",IF(AND(ISNUMBER(I482),TODAY()&gt;I482),"파견종료","파견중")))</f>
        <v/>
      </c>
      <c r="Y482" s="10">
        <f>IF(OR(Q482="",X482=""),"",Q482&amp;"|"&amp;X482)</f>
        <v/>
      </c>
      <c r="Z482" s="10">
        <f>IF(AND(Q482&lt;&gt;"",W482&gt;0),Q482&amp;"|월","")</f>
        <v/>
      </c>
      <c r="AA482" s="10">
        <f>IF(COUNTA(B482:I482,K482:N482)=0,"",IF(Q482="","등록번호 없음",IF(LEFT(R482,1)="⚠","모병원명 미등록",IF(S482="","파견병원 입력",IF(LEFT(S482,1)="⚠","파견병원명 미등록",IF(LEFT(U482,1)="⚠","파견과목 미등록",IF(OR(T482="",LEFT(T482,1)="⚠"),"파견근거 확인",IF(NOT(AND(ISNUMBER(H482),ISNUMBER(I482))),"날짜 형식/누락",IF(I482&lt;H482,"종료일&lt;시작일","")))))))))</f>
        <v/>
      </c>
      <c r="AB482" s="11">
        <f>IF(ISNUMBER(SEARCH("다기관",TRIM(N482&amp;" "&amp;O482))),IFERROR(DATE(VALUE(MID(TRIM(N482&amp;" "&amp;O482),1,4)),VALUE(MID(TRIM(N482&amp;" "&amp;O482),6,2)),VALUE(MID(TRIM(N482&amp;" "&amp;O482),9,2))),IF(ISNUMBER(H482),H482,"")),"")</f>
        <v/>
      </c>
      <c r="AC482" s="11">
        <f>IF(ISNUMBER(SEARCH("다기관",TRIM(N482&amp;" "&amp;O482))),IFERROR(DATE(VALUE(MID(TRIM(N482&amp;" "&amp;O482),12,4)),VALUE(MID(TRIM(N482&amp;" "&amp;O482),17,2)),VALUE(MID(TRIM(N482&amp;" "&amp;O482),20,2))),IF(ISNUMBER(I482),I482,"")),"")</f>
        <v/>
      </c>
      <c r="AD482" s="17">
        <f>IF(AND(ISNUMBER(AB482),ISNUMBER(AC482)),MAX(0,MIN(AC482,EOMONTH(출력_요약!$B$3,0))-MAX(AB482,출력_요약!$B$3)+1),0)</f>
        <v/>
      </c>
      <c r="AE482" s="10">
        <f>IF(AND(Q482&lt;&gt;"",ISNUMBER(AB482)),Q482&amp;"|다기관","")</f>
        <v/>
      </c>
    </row>
    <row r="483">
      <c r="A483" s="15">
        <f>IF(F483="","",ROW()-3)</f>
        <v/>
      </c>
      <c r="B483" s="5" t="n"/>
      <c r="C483" s="15" t="n"/>
      <c r="D483" s="5" t="n"/>
      <c r="E483" s="15" t="n"/>
      <c r="F483" s="5" t="n"/>
      <c r="G483" s="6" t="n"/>
      <c r="H483" s="16" t="n"/>
      <c r="I483" s="16" t="n"/>
      <c r="J483" s="15">
        <f>IF(AND(ISNUMBER(H483),ISNUMBER(I483)),I483-H483+1,"")</f>
        <v/>
      </c>
      <c r="K483" s="5" t="n"/>
      <c r="L483" s="5" t="n"/>
      <c r="M483" s="5" t="n"/>
      <c r="N483" s="5" t="n"/>
      <c r="O483" s="5" t="n"/>
      <c r="Q483" s="10">
        <f>IF(TRIM(G483&amp;"")="","",TRIM(G483&amp;""))</f>
        <v/>
      </c>
      <c r="R483" s="10">
        <f>IF(TRIM(B483&amp;"")="","",IFERROR(INDEX(설정_코드표!$K$2:$K$101,MATCH(TRIM(B483&amp;""),설정_코드표!$J$2:$J$101,0)),"⚠"&amp;TRIM(B483&amp;"")))</f>
        <v/>
      </c>
      <c r="S483" s="10">
        <f>IF(TRIM(K483&amp;"")="","",IFERROR(INDEX(설정_코드표!$K$2:$K$101,MATCH(TRIM(K483&amp;""),설정_코드표!$J$2:$J$101,0)),"⚠"&amp;TRIM(K483&amp;"")))</f>
        <v/>
      </c>
      <c r="T483" s="10">
        <f>IF(TRIM(M483&amp;"")="","",IF(ISNUMBER(MATCH(TRIM(M483&amp;""),설정_코드표!$C$2:$C$11,0)),TRIM(M483&amp;""),"⚠"&amp;TRIM(M483&amp;"")))</f>
        <v/>
      </c>
      <c r="U483" s="10">
        <f>IF(TRIM(L483&amp;"")="","",IFERROR(INDEX(설정_코드표!$G$2:$G$101,MATCH(TRIM(L483&amp;""),설정_코드표!$F$2:$F$101,0)),"⚠"&amp;TRIM(L483&amp;"")))</f>
        <v/>
      </c>
      <c r="V483" s="10">
        <f>IF(AND(ISNUMBER(H483),ISNUMBER(I483)),I483-H483+1,"")</f>
        <v/>
      </c>
      <c r="W483" s="17">
        <f>IF(ISNUMBER(H483),MAX(0,MIN(IF(ISNUMBER(I483),I483,EOMONTH(출력_요약!$B$3,0)),EOMONTH(출력_요약!$B$3,0))-MAX(H483,출력_요약!$B$3)+1),0)</f>
        <v/>
      </c>
      <c r="X483" s="10">
        <f>IF(OR(NOT(ISNUMBER(H483)),Q483=""),"",IF(TODAY()&lt;H483,"파견예정",IF(AND(ISNUMBER(I483),TODAY()&gt;I483),"파견종료","파견중")))</f>
        <v/>
      </c>
      <c r="Y483" s="10">
        <f>IF(OR(Q483="",X483=""),"",Q483&amp;"|"&amp;X483)</f>
        <v/>
      </c>
      <c r="Z483" s="10">
        <f>IF(AND(Q483&lt;&gt;"",W483&gt;0),Q483&amp;"|월","")</f>
        <v/>
      </c>
      <c r="AA483" s="10">
        <f>IF(COUNTA(B483:I483,K483:N483)=0,"",IF(Q483="","등록번호 없음",IF(LEFT(R483,1)="⚠","모병원명 미등록",IF(S483="","파견병원 입력",IF(LEFT(S483,1)="⚠","파견병원명 미등록",IF(LEFT(U483,1)="⚠","파견과목 미등록",IF(OR(T483="",LEFT(T483,1)="⚠"),"파견근거 확인",IF(NOT(AND(ISNUMBER(H483),ISNUMBER(I483))),"날짜 형식/누락",IF(I483&lt;H483,"종료일&lt;시작일","")))))))))</f>
        <v/>
      </c>
      <c r="AB483" s="11">
        <f>IF(ISNUMBER(SEARCH("다기관",TRIM(N483&amp;" "&amp;O483))),IFERROR(DATE(VALUE(MID(TRIM(N483&amp;" "&amp;O483),1,4)),VALUE(MID(TRIM(N483&amp;" "&amp;O483),6,2)),VALUE(MID(TRIM(N483&amp;" "&amp;O483),9,2))),IF(ISNUMBER(H483),H483,"")),"")</f>
        <v/>
      </c>
      <c r="AC483" s="11">
        <f>IF(ISNUMBER(SEARCH("다기관",TRIM(N483&amp;" "&amp;O483))),IFERROR(DATE(VALUE(MID(TRIM(N483&amp;" "&amp;O483),12,4)),VALUE(MID(TRIM(N483&amp;" "&amp;O483),17,2)),VALUE(MID(TRIM(N483&amp;" "&amp;O483),20,2))),IF(ISNUMBER(I483),I483,"")),"")</f>
        <v/>
      </c>
      <c r="AD483" s="17">
        <f>IF(AND(ISNUMBER(AB483),ISNUMBER(AC483)),MAX(0,MIN(AC483,EOMONTH(출력_요약!$B$3,0))-MAX(AB483,출력_요약!$B$3)+1),0)</f>
        <v/>
      </c>
      <c r="AE483" s="10">
        <f>IF(AND(Q483&lt;&gt;"",ISNUMBER(AB483)),Q483&amp;"|다기관","")</f>
        <v/>
      </c>
    </row>
    <row r="484">
      <c r="A484" s="15">
        <f>IF(F484="","",ROW()-3)</f>
        <v/>
      </c>
      <c r="B484" s="5" t="n"/>
      <c r="C484" s="15" t="n"/>
      <c r="D484" s="5" t="n"/>
      <c r="E484" s="15" t="n"/>
      <c r="F484" s="5" t="n"/>
      <c r="G484" s="6" t="n"/>
      <c r="H484" s="16" t="n"/>
      <c r="I484" s="16" t="n"/>
      <c r="J484" s="15">
        <f>IF(AND(ISNUMBER(H484),ISNUMBER(I484)),I484-H484+1,"")</f>
        <v/>
      </c>
      <c r="K484" s="5" t="n"/>
      <c r="L484" s="5" t="n"/>
      <c r="M484" s="5" t="n"/>
      <c r="N484" s="5" t="n"/>
      <c r="O484" s="5" t="n"/>
      <c r="Q484" s="10">
        <f>IF(TRIM(G484&amp;"")="","",TRIM(G484&amp;""))</f>
        <v/>
      </c>
      <c r="R484" s="10">
        <f>IF(TRIM(B484&amp;"")="","",IFERROR(INDEX(설정_코드표!$K$2:$K$101,MATCH(TRIM(B484&amp;""),설정_코드표!$J$2:$J$101,0)),"⚠"&amp;TRIM(B484&amp;"")))</f>
        <v/>
      </c>
      <c r="S484" s="10">
        <f>IF(TRIM(K484&amp;"")="","",IFERROR(INDEX(설정_코드표!$K$2:$K$101,MATCH(TRIM(K484&amp;""),설정_코드표!$J$2:$J$101,0)),"⚠"&amp;TRIM(K484&amp;"")))</f>
        <v/>
      </c>
      <c r="T484" s="10">
        <f>IF(TRIM(M484&amp;"")="","",IF(ISNUMBER(MATCH(TRIM(M484&amp;""),설정_코드표!$C$2:$C$11,0)),TRIM(M484&amp;""),"⚠"&amp;TRIM(M484&amp;"")))</f>
        <v/>
      </c>
      <c r="U484" s="10">
        <f>IF(TRIM(L484&amp;"")="","",IFERROR(INDEX(설정_코드표!$G$2:$G$101,MATCH(TRIM(L484&amp;""),설정_코드표!$F$2:$F$101,0)),"⚠"&amp;TRIM(L484&amp;"")))</f>
        <v/>
      </c>
      <c r="V484" s="10">
        <f>IF(AND(ISNUMBER(H484),ISNUMBER(I484)),I484-H484+1,"")</f>
        <v/>
      </c>
      <c r="W484" s="17">
        <f>IF(ISNUMBER(H484),MAX(0,MIN(IF(ISNUMBER(I484),I484,EOMONTH(출력_요약!$B$3,0)),EOMONTH(출력_요약!$B$3,0))-MAX(H484,출력_요약!$B$3)+1),0)</f>
        <v/>
      </c>
      <c r="X484" s="10">
        <f>IF(OR(NOT(ISNUMBER(H484)),Q484=""),"",IF(TODAY()&lt;H484,"파견예정",IF(AND(ISNUMBER(I484),TODAY()&gt;I484),"파견종료","파견중")))</f>
        <v/>
      </c>
      <c r="Y484" s="10">
        <f>IF(OR(Q484="",X484=""),"",Q484&amp;"|"&amp;X484)</f>
        <v/>
      </c>
      <c r="Z484" s="10">
        <f>IF(AND(Q484&lt;&gt;"",W484&gt;0),Q484&amp;"|월","")</f>
        <v/>
      </c>
      <c r="AA484" s="10">
        <f>IF(COUNTA(B484:I484,K484:N484)=0,"",IF(Q484="","등록번호 없음",IF(LEFT(R484,1)="⚠","모병원명 미등록",IF(S484="","파견병원 입력",IF(LEFT(S484,1)="⚠","파견병원명 미등록",IF(LEFT(U484,1)="⚠","파견과목 미등록",IF(OR(T484="",LEFT(T484,1)="⚠"),"파견근거 확인",IF(NOT(AND(ISNUMBER(H484),ISNUMBER(I484))),"날짜 형식/누락",IF(I484&lt;H484,"종료일&lt;시작일","")))))))))</f>
        <v/>
      </c>
      <c r="AB484" s="11">
        <f>IF(ISNUMBER(SEARCH("다기관",TRIM(N484&amp;" "&amp;O484))),IFERROR(DATE(VALUE(MID(TRIM(N484&amp;" "&amp;O484),1,4)),VALUE(MID(TRIM(N484&amp;" "&amp;O484),6,2)),VALUE(MID(TRIM(N484&amp;" "&amp;O484),9,2))),IF(ISNUMBER(H484),H484,"")),"")</f>
        <v/>
      </c>
      <c r="AC484" s="11">
        <f>IF(ISNUMBER(SEARCH("다기관",TRIM(N484&amp;" "&amp;O484))),IFERROR(DATE(VALUE(MID(TRIM(N484&amp;" "&amp;O484),12,4)),VALUE(MID(TRIM(N484&amp;" "&amp;O484),17,2)),VALUE(MID(TRIM(N484&amp;" "&amp;O484),20,2))),IF(ISNUMBER(I484),I484,"")),"")</f>
        <v/>
      </c>
      <c r="AD484" s="17">
        <f>IF(AND(ISNUMBER(AB484),ISNUMBER(AC484)),MAX(0,MIN(AC484,EOMONTH(출력_요약!$B$3,0))-MAX(AB484,출력_요약!$B$3)+1),0)</f>
        <v/>
      </c>
      <c r="AE484" s="10">
        <f>IF(AND(Q484&lt;&gt;"",ISNUMBER(AB484)),Q484&amp;"|다기관","")</f>
        <v/>
      </c>
    </row>
    <row r="485">
      <c r="A485" s="15">
        <f>IF(F485="","",ROW()-3)</f>
        <v/>
      </c>
      <c r="B485" s="5" t="n"/>
      <c r="C485" s="15" t="n"/>
      <c r="D485" s="5" t="n"/>
      <c r="E485" s="15" t="n"/>
      <c r="F485" s="5" t="n"/>
      <c r="G485" s="6" t="n"/>
      <c r="H485" s="16" t="n"/>
      <c r="I485" s="16" t="n"/>
      <c r="J485" s="15">
        <f>IF(AND(ISNUMBER(H485),ISNUMBER(I485)),I485-H485+1,"")</f>
        <v/>
      </c>
      <c r="K485" s="5" t="n"/>
      <c r="L485" s="5" t="n"/>
      <c r="M485" s="5" t="n"/>
      <c r="N485" s="5" t="n"/>
      <c r="O485" s="5" t="n"/>
      <c r="Q485" s="10">
        <f>IF(TRIM(G485&amp;"")="","",TRIM(G485&amp;""))</f>
        <v/>
      </c>
      <c r="R485" s="10">
        <f>IF(TRIM(B485&amp;"")="","",IFERROR(INDEX(설정_코드표!$K$2:$K$101,MATCH(TRIM(B485&amp;""),설정_코드표!$J$2:$J$101,0)),"⚠"&amp;TRIM(B485&amp;"")))</f>
        <v/>
      </c>
      <c r="S485" s="10">
        <f>IF(TRIM(K485&amp;"")="","",IFERROR(INDEX(설정_코드표!$K$2:$K$101,MATCH(TRIM(K485&amp;""),설정_코드표!$J$2:$J$101,0)),"⚠"&amp;TRIM(K485&amp;"")))</f>
        <v/>
      </c>
      <c r="T485" s="10">
        <f>IF(TRIM(M485&amp;"")="","",IF(ISNUMBER(MATCH(TRIM(M485&amp;""),설정_코드표!$C$2:$C$11,0)),TRIM(M485&amp;""),"⚠"&amp;TRIM(M485&amp;"")))</f>
        <v/>
      </c>
      <c r="U485" s="10">
        <f>IF(TRIM(L485&amp;"")="","",IFERROR(INDEX(설정_코드표!$G$2:$G$101,MATCH(TRIM(L485&amp;""),설정_코드표!$F$2:$F$101,0)),"⚠"&amp;TRIM(L485&amp;"")))</f>
        <v/>
      </c>
      <c r="V485" s="10">
        <f>IF(AND(ISNUMBER(H485),ISNUMBER(I485)),I485-H485+1,"")</f>
        <v/>
      </c>
      <c r="W485" s="17">
        <f>IF(ISNUMBER(H485),MAX(0,MIN(IF(ISNUMBER(I485),I485,EOMONTH(출력_요약!$B$3,0)),EOMONTH(출력_요약!$B$3,0))-MAX(H485,출력_요약!$B$3)+1),0)</f>
        <v/>
      </c>
      <c r="X485" s="10">
        <f>IF(OR(NOT(ISNUMBER(H485)),Q485=""),"",IF(TODAY()&lt;H485,"파견예정",IF(AND(ISNUMBER(I485),TODAY()&gt;I485),"파견종료","파견중")))</f>
        <v/>
      </c>
      <c r="Y485" s="10">
        <f>IF(OR(Q485="",X485=""),"",Q485&amp;"|"&amp;X485)</f>
        <v/>
      </c>
      <c r="Z485" s="10">
        <f>IF(AND(Q485&lt;&gt;"",W485&gt;0),Q485&amp;"|월","")</f>
        <v/>
      </c>
      <c r="AA485" s="10">
        <f>IF(COUNTA(B485:I485,K485:N485)=0,"",IF(Q485="","등록번호 없음",IF(LEFT(R485,1)="⚠","모병원명 미등록",IF(S485="","파견병원 입력",IF(LEFT(S485,1)="⚠","파견병원명 미등록",IF(LEFT(U485,1)="⚠","파견과목 미등록",IF(OR(T485="",LEFT(T485,1)="⚠"),"파견근거 확인",IF(NOT(AND(ISNUMBER(H485),ISNUMBER(I485))),"날짜 형식/누락",IF(I485&lt;H485,"종료일&lt;시작일","")))))))))</f>
        <v/>
      </c>
      <c r="AB485" s="11">
        <f>IF(ISNUMBER(SEARCH("다기관",TRIM(N485&amp;" "&amp;O485))),IFERROR(DATE(VALUE(MID(TRIM(N485&amp;" "&amp;O485),1,4)),VALUE(MID(TRIM(N485&amp;" "&amp;O485),6,2)),VALUE(MID(TRIM(N485&amp;" "&amp;O485),9,2))),IF(ISNUMBER(H485),H485,"")),"")</f>
        <v/>
      </c>
      <c r="AC485" s="11">
        <f>IF(ISNUMBER(SEARCH("다기관",TRIM(N485&amp;" "&amp;O485))),IFERROR(DATE(VALUE(MID(TRIM(N485&amp;" "&amp;O485),12,4)),VALUE(MID(TRIM(N485&amp;" "&amp;O485),17,2)),VALUE(MID(TRIM(N485&amp;" "&amp;O485),20,2))),IF(ISNUMBER(I485),I485,"")),"")</f>
        <v/>
      </c>
      <c r="AD485" s="17">
        <f>IF(AND(ISNUMBER(AB485),ISNUMBER(AC485)),MAX(0,MIN(AC485,EOMONTH(출력_요약!$B$3,0))-MAX(AB485,출력_요약!$B$3)+1),0)</f>
        <v/>
      </c>
      <c r="AE485" s="10">
        <f>IF(AND(Q485&lt;&gt;"",ISNUMBER(AB485)),Q485&amp;"|다기관","")</f>
        <v/>
      </c>
    </row>
    <row r="486">
      <c r="A486" s="15">
        <f>IF(F486="","",ROW()-3)</f>
        <v/>
      </c>
      <c r="B486" s="5" t="n"/>
      <c r="C486" s="15" t="n"/>
      <c r="D486" s="5" t="n"/>
      <c r="E486" s="15" t="n"/>
      <c r="F486" s="5" t="n"/>
      <c r="G486" s="6" t="n"/>
      <c r="H486" s="16" t="n"/>
      <c r="I486" s="16" t="n"/>
      <c r="J486" s="15">
        <f>IF(AND(ISNUMBER(H486),ISNUMBER(I486)),I486-H486+1,"")</f>
        <v/>
      </c>
      <c r="K486" s="5" t="n"/>
      <c r="L486" s="5" t="n"/>
      <c r="M486" s="5" t="n"/>
      <c r="N486" s="5" t="n"/>
      <c r="O486" s="5" t="n"/>
      <c r="Q486" s="10">
        <f>IF(TRIM(G486&amp;"")="","",TRIM(G486&amp;""))</f>
        <v/>
      </c>
      <c r="R486" s="10">
        <f>IF(TRIM(B486&amp;"")="","",IFERROR(INDEX(설정_코드표!$K$2:$K$101,MATCH(TRIM(B486&amp;""),설정_코드표!$J$2:$J$101,0)),"⚠"&amp;TRIM(B486&amp;"")))</f>
        <v/>
      </c>
      <c r="S486" s="10">
        <f>IF(TRIM(K486&amp;"")="","",IFERROR(INDEX(설정_코드표!$K$2:$K$101,MATCH(TRIM(K486&amp;""),설정_코드표!$J$2:$J$101,0)),"⚠"&amp;TRIM(K486&amp;"")))</f>
        <v/>
      </c>
      <c r="T486" s="10">
        <f>IF(TRIM(M486&amp;"")="","",IF(ISNUMBER(MATCH(TRIM(M486&amp;""),설정_코드표!$C$2:$C$11,0)),TRIM(M486&amp;""),"⚠"&amp;TRIM(M486&amp;"")))</f>
        <v/>
      </c>
      <c r="U486" s="10">
        <f>IF(TRIM(L486&amp;"")="","",IFERROR(INDEX(설정_코드표!$G$2:$G$101,MATCH(TRIM(L486&amp;""),설정_코드표!$F$2:$F$101,0)),"⚠"&amp;TRIM(L486&amp;"")))</f>
        <v/>
      </c>
      <c r="V486" s="10">
        <f>IF(AND(ISNUMBER(H486),ISNUMBER(I486)),I486-H486+1,"")</f>
        <v/>
      </c>
      <c r="W486" s="17">
        <f>IF(ISNUMBER(H486),MAX(0,MIN(IF(ISNUMBER(I486),I486,EOMONTH(출력_요약!$B$3,0)),EOMONTH(출력_요약!$B$3,0))-MAX(H486,출력_요약!$B$3)+1),0)</f>
        <v/>
      </c>
      <c r="X486" s="10">
        <f>IF(OR(NOT(ISNUMBER(H486)),Q486=""),"",IF(TODAY()&lt;H486,"파견예정",IF(AND(ISNUMBER(I486),TODAY()&gt;I486),"파견종료","파견중")))</f>
        <v/>
      </c>
      <c r="Y486" s="10">
        <f>IF(OR(Q486="",X486=""),"",Q486&amp;"|"&amp;X486)</f>
        <v/>
      </c>
      <c r="Z486" s="10">
        <f>IF(AND(Q486&lt;&gt;"",W486&gt;0),Q486&amp;"|월","")</f>
        <v/>
      </c>
      <c r="AA486" s="10">
        <f>IF(COUNTA(B486:I486,K486:N486)=0,"",IF(Q486="","등록번호 없음",IF(LEFT(R486,1)="⚠","모병원명 미등록",IF(S486="","파견병원 입력",IF(LEFT(S486,1)="⚠","파견병원명 미등록",IF(LEFT(U486,1)="⚠","파견과목 미등록",IF(OR(T486="",LEFT(T486,1)="⚠"),"파견근거 확인",IF(NOT(AND(ISNUMBER(H486),ISNUMBER(I486))),"날짜 형식/누락",IF(I486&lt;H486,"종료일&lt;시작일","")))))))))</f>
        <v/>
      </c>
      <c r="AB486" s="11">
        <f>IF(ISNUMBER(SEARCH("다기관",TRIM(N486&amp;" "&amp;O486))),IFERROR(DATE(VALUE(MID(TRIM(N486&amp;" "&amp;O486),1,4)),VALUE(MID(TRIM(N486&amp;" "&amp;O486),6,2)),VALUE(MID(TRIM(N486&amp;" "&amp;O486),9,2))),IF(ISNUMBER(H486),H486,"")),"")</f>
        <v/>
      </c>
      <c r="AC486" s="11">
        <f>IF(ISNUMBER(SEARCH("다기관",TRIM(N486&amp;" "&amp;O486))),IFERROR(DATE(VALUE(MID(TRIM(N486&amp;" "&amp;O486),12,4)),VALUE(MID(TRIM(N486&amp;" "&amp;O486),17,2)),VALUE(MID(TRIM(N486&amp;" "&amp;O486),20,2))),IF(ISNUMBER(I486),I486,"")),"")</f>
        <v/>
      </c>
      <c r="AD486" s="17">
        <f>IF(AND(ISNUMBER(AB486),ISNUMBER(AC486)),MAX(0,MIN(AC486,EOMONTH(출력_요약!$B$3,0))-MAX(AB486,출력_요약!$B$3)+1),0)</f>
        <v/>
      </c>
      <c r="AE486" s="10">
        <f>IF(AND(Q486&lt;&gt;"",ISNUMBER(AB486)),Q486&amp;"|다기관","")</f>
        <v/>
      </c>
    </row>
    <row r="487">
      <c r="A487" s="15">
        <f>IF(F487="","",ROW()-3)</f>
        <v/>
      </c>
      <c r="B487" s="5" t="n"/>
      <c r="C487" s="15" t="n"/>
      <c r="D487" s="5" t="n"/>
      <c r="E487" s="15" t="n"/>
      <c r="F487" s="5" t="n"/>
      <c r="G487" s="6" t="n"/>
      <c r="H487" s="16" t="n"/>
      <c r="I487" s="16" t="n"/>
      <c r="J487" s="15">
        <f>IF(AND(ISNUMBER(H487),ISNUMBER(I487)),I487-H487+1,"")</f>
        <v/>
      </c>
      <c r="K487" s="5" t="n"/>
      <c r="L487" s="5" t="n"/>
      <c r="M487" s="5" t="n"/>
      <c r="N487" s="5" t="n"/>
      <c r="O487" s="5" t="n"/>
      <c r="Q487" s="10">
        <f>IF(TRIM(G487&amp;"")="","",TRIM(G487&amp;""))</f>
        <v/>
      </c>
      <c r="R487" s="10">
        <f>IF(TRIM(B487&amp;"")="","",IFERROR(INDEX(설정_코드표!$K$2:$K$101,MATCH(TRIM(B487&amp;""),설정_코드표!$J$2:$J$101,0)),"⚠"&amp;TRIM(B487&amp;"")))</f>
        <v/>
      </c>
      <c r="S487" s="10">
        <f>IF(TRIM(K487&amp;"")="","",IFERROR(INDEX(설정_코드표!$K$2:$K$101,MATCH(TRIM(K487&amp;""),설정_코드표!$J$2:$J$101,0)),"⚠"&amp;TRIM(K487&amp;"")))</f>
        <v/>
      </c>
      <c r="T487" s="10">
        <f>IF(TRIM(M487&amp;"")="","",IF(ISNUMBER(MATCH(TRIM(M487&amp;""),설정_코드표!$C$2:$C$11,0)),TRIM(M487&amp;""),"⚠"&amp;TRIM(M487&amp;"")))</f>
        <v/>
      </c>
      <c r="U487" s="10">
        <f>IF(TRIM(L487&amp;"")="","",IFERROR(INDEX(설정_코드표!$G$2:$G$101,MATCH(TRIM(L487&amp;""),설정_코드표!$F$2:$F$101,0)),"⚠"&amp;TRIM(L487&amp;"")))</f>
        <v/>
      </c>
      <c r="V487" s="10">
        <f>IF(AND(ISNUMBER(H487),ISNUMBER(I487)),I487-H487+1,"")</f>
        <v/>
      </c>
      <c r="W487" s="17">
        <f>IF(ISNUMBER(H487),MAX(0,MIN(IF(ISNUMBER(I487),I487,EOMONTH(출력_요약!$B$3,0)),EOMONTH(출력_요약!$B$3,0))-MAX(H487,출력_요약!$B$3)+1),0)</f>
        <v/>
      </c>
      <c r="X487" s="10">
        <f>IF(OR(NOT(ISNUMBER(H487)),Q487=""),"",IF(TODAY()&lt;H487,"파견예정",IF(AND(ISNUMBER(I487),TODAY()&gt;I487),"파견종료","파견중")))</f>
        <v/>
      </c>
      <c r="Y487" s="10">
        <f>IF(OR(Q487="",X487=""),"",Q487&amp;"|"&amp;X487)</f>
        <v/>
      </c>
      <c r="Z487" s="10">
        <f>IF(AND(Q487&lt;&gt;"",W487&gt;0),Q487&amp;"|월","")</f>
        <v/>
      </c>
      <c r="AA487" s="10">
        <f>IF(COUNTA(B487:I487,K487:N487)=0,"",IF(Q487="","등록번호 없음",IF(LEFT(R487,1)="⚠","모병원명 미등록",IF(S487="","파견병원 입력",IF(LEFT(S487,1)="⚠","파견병원명 미등록",IF(LEFT(U487,1)="⚠","파견과목 미등록",IF(OR(T487="",LEFT(T487,1)="⚠"),"파견근거 확인",IF(NOT(AND(ISNUMBER(H487),ISNUMBER(I487))),"날짜 형식/누락",IF(I487&lt;H487,"종료일&lt;시작일","")))))))))</f>
        <v/>
      </c>
      <c r="AB487" s="11">
        <f>IF(ISNUMBER(SEARCH("다기관",TRIM(N487&amp;" "&amp;O487))),IFERROR(DATE(VALUE(MID(TRIM(N487&amp;" "&amp;O487),1,4)),VALUE(MID(TRIM(N487&amp;" "&amp;O487),6,2)),VALUE(MID(TRIM(N487&amp;" "&amp;O487),9,2))),IF(ISNUMBER(H487),H487,"")),"")</f>
        <v/>
      </c>
      <c r="AC487" s="11">
        <f>IF(ISNUMBER(SEARCH("다기관",TRIM(N487&amp;" "&amp;O487))),IFERROR(DATE(VALUE(MID(TRIM(N487&amp;" "&amp;O487),12,4)),VALUE(MID(TRIM(N487&amp;" "&amp;O487),17,2)),VALUE(MID(TRIM(N487&amp;" "&amp;O487),20,2))),IF(ISNUMBER(I487),I487,"")),"")</f>
        <v/>
      </c>
      <c r="AD487" s="17">
        <f>IF(AND(ISNUMBER(AB487),ISNUMBER(AC487)),MAX(0,MIN(AC487,EOMONTH(출력_요약!$B$3,0))-MAX(AB487,출력_요약!$B$3)+1),0)</f>
        <v/>
      </c>
      <c r="AE487" s="10">
        <f>IF(AND(Q487&lt;&gt;"",ISNUMBER(AB487)),Q487&amp;"|다기관","")</f>
        <v/>
      </c>
    </row>
    <row r="488">
      <c r="A488" s="15">
        <f>IF(F488="","",ROW()-3)</f>
        <v/>
      </c>
      <c r="B488" s="5" t="n"/>
      <c r="C488" s="15" t="n"/>
      <c r="D488" s="5" t="n"/>
      <c r="E488" s="15" t="n"/>
      <c r="F488" s="5" t="n"/>
      <c r="G488" s="6" t="n"/>
      <c r="H488" s="16" t="n"/>
      <c r="I488" s="16" t="n"/>
      <c r="J488" s="15">
        <f>IF(AND(ISNUMBER(H488),ISNUMBER(I488)),I488-H488+1,"")</f>
        <v/>
      </c>
      <c r="K488" s="5" t="n"/>
      <c r="L488" s="5" t="n"/>
      <c r="M488" s="5" t="n"/>
      <c r="N488" s="5" t="n"/>
      <c r="O488" s="5" t="n"/>
      <c r="Q488" s="10">
        <f>IF(TRIM(G488&amp;"")="","",TRIM(G488&amp;""))</f>
        <v/>
      </c>
      <c r="R488" s="10">
        <f>IF(TRIM(B488&amp;"")="","",IFERROR(INDEX(설정_코드표!$K$2:$K$101,MATCH(TRIM(B488&amp;""),설정_코드표!$J$2:$J$101,0)),"⚠"&amp;TRIM(B488&amp;"")))</f>
        <v/>
      </c>
      <c r="S488" s="10">
        <f>IF(TRIM(K488&amp;"")="","",IFERROR(INDEX(설정_코드표!$K$2:$K$101,MATCH(TRIM(K488&amp;""),설정_코드표!$J$2:$J$101,0)),"⚠"&amp;TRIM(K488&amp;"")))</f>
        <v/>
      </c>
      <c r="T488" s="10">
        <f>IF(TRIM(M488&amp;"")="","",IF(ISNUMBER(MATCH(TRIM(M488&amp;""),설정_코드표!$C$2:$C$11,0)),TRIM(M488&amp;""),"⚠"&amp;TRIM(M488&amp;"")))</f>
        <v/>
      </c>
      <c r="U488" s="10">
        <f>IF(TRIM(L488&amp;"")="","",IFERROR(INDEX(설정_코드표!$G$2:$G$101,MATCH(TRIM(L488&amp;""),설정_코드표!$F$2:$F$101,0)),"⚠"&amp;TRIM(L488&amp;"")))</f>
        <v/>
      </c>
      <c r="V488" s="10">
        <f>IF(AND(ISNUMBER(H488),ISNUMBER(I488)),I488-H488+1,"")</f>
        <v/>
      </c>
      <c r="W488" s="17">
        <f>IF(ISNUMBER(H488),MAX(0,MIN(IF(ISNUMBER(I488),I488,EOMONTH(출력_요약!$B$3,0)),EOMONTH(출력_요약!$B$3,0))-MAX(H488,출력_요약!$B$3)+1),0)</f>
        <v/>
      </c>
      <c r="X488" s="10">
        <f>IF(OR(NOT(ISNUMBER(H488)),Q488=""),"",IF(TODAY()&lt;H488,"파견예정",IF(AND(ISNUMBER(I488),TODAY()&gt;I488),"파견종료","파견중")))</f>
        <v/>
      </c>
      <c r="Y488" s="10">
        <f>IF(OR(Q488="",X488=""),"",Q488&amp;"|"&amp;X488)</f>
        <v/>
      </c>
      <c r="Z488" s="10">
        <f>IF(AND(Q488&lt;&gt;"",W488&gt;0),Q488&amp;"|월","")</f>
        <v/>
      </c>
      <c r="AA488" s="10">
        <f>IF(COUNTA(B488:I488,K488:N488)=0,"",IF(Q488="","등록번호 없음",IF(LEFT(R488,1)="⚠","모병원명 미등록",IF(S488="","파견병원 입력",IF(LEFT(S488,1)="⚠","파견병원명 미등록",IF(LEFT(U488,1)="⚠","파견과목 미등록",IF(OR(T488="",LEFT(T488,1)="⚠"),"파견근거 확인",IF(NOT(AND(ISNUMBER(H488),ISNUMBER(I488))),"날짜 형식/누락",IF(I488&lt;H488,"종료일&lt;시작일","")))))))))</f>
        <v/>
      </c>
      <c r="AB488" s="11">
        <f>IF(ISNUMBER(SEARCH("다기관",TRIM(N488&amp;" "&amp;O488))),IFERROR(DATE(VALUE(MID(TRIM(N488&amp;" "&amp;O488),1,4)),VALUE(MID(TRIM(N488&amp;" "&amp;O488),6,2)),VALUE(MID(TRIM(N488&amp;" "&amp;O488),9,2))),IF(ISNUMBER(H488),H488,"")),"")</f>
        <v/>
      </c>
      <c r="AC488" s="11">
        <f>IF(ISNUMBER(SEARCH("다기관",TRIM(N488&amp;" "&amp;O488))),IFERROR(DATE(VALUE(MID(TRIM(N488&amp;" "&amp;O488),12,4)),VALUE(MID(TRIM(N488&amp;" "&amp;O488),17,2)),VALUE(MID(TRIM(N488&amp;" "&amp;O488),20,2))),IF(ISNUMBER(I488),I488,"")),"")</f>
        <v/>
      </c>
      <c r="AD488" s="17">
        <f>IF(AND(ISNUMBER(AB488),ISNUMBER(AC488)),MAX(0,MIN(AC488,EOMONTH(출력_요약!$B$3,0))-MAX(AB488,출력_요약!$B$3)+1),0)</f>
        <v/>
      </c>
      <c r="AE488" s="10">
        <f>IF(AND(Q488&lt;&gt;"",ISNUMBER(AB488)),Q488&amp;"|다기관","")</f>
        <v/>
      </c>
    </row>
    <row r="489">
      <c r="A489" s="15">
        <f>IF(F489="","",ROW()-3)</f>
        <v/>
      </c>
      <c r="B489" s="5" t="n"/>
      <c r="C489" s="15" t="n"/>
      <c r="D489" s="5" t="n"/>
      <c r="E489" s="15" t="n"/>
      <c r="F489" s="5" t="n"/>
      <c r="G489" s="6" t="n"/>
      <c r="H489" s="16" t="n"/>
      <c r="I489" s="16" t="n"/>
      <c r="J489" s="15">
        <f>IF(AND(ISNUMBER(H489),ISNUMBER(I489)),I489-H489+1,"")</f>
        <v/>
      </c>
      <c r="K489" s="5" t="n"/>
      <c r="L489" s="5" t="n"/>
      <c r="M489" s="5" t="n"/>
      <c r="N489" s="5" t="n"/>
      <c r="O489" s="5" t="n"/>
      <c r="Q489" s="10">
        <f>IF(TRIM(G489&amp;"")="","",TRIM(G489&amp;""))</f>
        <v/>
      </c>
      <c r="R489" s="10">
        <f>IF(TRIM(B489&amp;"")="","",IFERROR(INDEX(설정_코드표!$K$2:$K$101,MATCH(TRIM(B489&amp;""),설정_코드표!$J$2:$J$101,0)),"⚠"&amp;TRIM(B489&amp;"")))</f>
        <v/>
      </c>
      <c r="S489" s="10">
        <f>IF(TRIM(K489&amp;"")="","",IFERROR(INDEX(설정_코드표!$K$2:$K$101,MATCH(TRIM(K489&amp;""),설정_코드표!$J$2:$J$101,0)),"⚠"&amp;TRIM(K489&amp;"")))</f>
        <v/>
      </c>
      <c r="T489" s="10">
        <f>IF(TRIM(M489&amp;"")="","",IF(ISNUMBER(MATCH(TRIM(M489&amp;""),설정_코드표!$C$2:$C$11,0)),TRIM(M489&amp;""),"⚠"&amp;TRIM(M489&amp;"")))</f>
        <v/>
      </c>
      <c r="U489" s="10">
        <f>IF(TRIM(L489&amp;"")="","",IFERROR(INDEX(설정_코드표!$G$2:$G$101,MATCH(TRIM(L489&amp;""),설정_코드표!$F$2:$F$101,0)),"⚠"&amp;TRIM(L489&amp;"")))</f>
        <v/>
      </c>
      <c r="V489" s="10">
        <f>IF(AND(ISNUMBER(H489),ISNUMBER(I489)),I489-H489+1,"")</f>
        <v/>
      </c>
      <c r="W489" s="17">
        <f>IF(ISNUMBER(H489),MAX(0,MIN(IF(ISNUMBER(I489),I489,EOMONTH(출력_요약!$B$3,0)),EOMONTH(출력_요약!$B$3,0))-MAX(H489,출력_요약!$B$3)+1),0)</f>
        <v/>
      </c>
      <c r="X489" s="10">
        <f>IF(OR(NOT(ISNUMBER(H489)),Q489=""),"",IF(TODAY()&lt;H489,"파견예정",IF(AND(ISNUMBER(I489),TODAY()&gt;I489),"파견종료","파견중")))</f>
        <v/>
      </c>
      <c r="Y489" s="10">
        <f>IF(OR(Q489="",X489=""),"",Q489&amp;"|"&amp;X489)</f>
        <v/>
      </c>
      <c r="Z489" s="10">
        <f>IF(AND(Q489&lt;&gt;"",W489&gt;0),Q489&amp;"|월","")</f>
        <v/>
      </c>
      <c r="AA489" s="10">
        <f>IF(COUNTA(B489:I489,K489:N489)=0,"",IF(Q489="","등록번호 없음",IF(LEFT(R489,1)="⚠","모병원명 미등록",IF(S489="","파견병원 입력",IF(LEFT(S489,1)="⚠","파견병원명 미등록",IF(LEFT(U489,1)="⚠","파견과목 미등록",IF(OR(T489="",LEFT(T489,1)="⚠"),"파견근거 확인",IF(NOT(AND(ISNUMBER(H489),ISNUMBER(I489))),"날짜 형식/누락",IF(I489&lt;H489,"종료일&lt;시작일","")))))))))</f>
        <v/>
      </c>
      <c r="AB489" s="11">
        <f>IF(ISNUMBER(SEARCH("다기관",TRIM(N489&amp;" "&amp;O489))),IFERROR(DATE(VALUE(MID(TRIM(N489&amp;" "&amp;O489),1,4)),VALUE(MID(TRIM(N489&amp;" "&amp;O489),6,2)),VALUE(MID(TRIM(N489&amp;" "&amp;O489),9,2))),IF(ISNUMBER(H489),H489,"")),"")</f>
        <v/>
      </c>
      <c r="AC489" s="11">
        <f>IF(ISNUMBER(SEARCH("다기관",TRIM(N489&amp;" "&amp;O489))),IFERROR(DATE(VALUE(MID(TRIM(N489&amp;" "&amp;O489),12,4)),VALUE(MID(TRIM(N489&amp;" "&amp;O489),17,2)),VALUE(MID(TRIM(N489&amp;" "&amp;O489),20,2))),IF(ISNUMBER(I489),I489,"")),"")</f>
        <v/>
      </c>
      <c r="AD489" s="17">
        <f>IF(AND(ISNUMBER(AB489),ISNUMBER(AC489)),MAX(0,MIN(AC489,EOMONTH(출력_요약!$B$3,0))-MAX(AB489,출력_요약!$B$3)+1),0)</f>
        <v/>
      </c>
      <c r="AE489" s="10">
        <f>IF(AND(Q489&lt;&gt;"",ISNUMBER(AB489)),Q489&amp;"|다기관","")</f>
        <v/>
      </c>
    </row>
    <row r="490">
      <c r="A490" s="15">
        <f>IF(F490="","",ROW()-3)</f>
        <v/>
      </c>
      <c r="B490" s="5" t="n"/>
      <c r="C490" s="15" t="n"/>
      <c r="D490" s="5" t="n"/>
      <c r="E490" s="15" t="n"/>
      <c r="F490" s="5" t="n"/>
      <c r="G490" s="6" t="n"/>
      <c r="H490" s="16" t="n"/>
      <c r="I490" s="16" t="n"/>
      <c r="J490" s="15">
        <f>IF(AND(ISNUMBER(H490),ISNUMBER(I490)),I490-H490+1,"")</f>
        <v/>
      </c>
      <c r="K490" s="5" t="n"/>
      <c r="L490" s="5" t="n"/>
      <c r="M490" s="5" t="n"/>
      <c r="N490" s="5" t="n"/>
      <c r="O490" s="5" t="n"/>
      <c r="Q490" s="10">
        <f>IF(TRIM(G490&amp;"")="","",TRIM(G490&amp;""))</f>
        <v/>
      </c>
      <c r="R490" s="10">
        <f>IF(TRIM(B490&amp;"")="","",IFERROR(INDEX(설정_코드표!$K$2:$K$101,MATCH(TRIM(B490&amp;""),설정_코드표!$J$2:$J$101,0)),"⚠"&amp;TRIM(B490&amp;"")))</f>
        <v/>
      </c>
      <c r="S490" s="10">
        <f>IF(TRIM(K490&amp;"")="","",IFERROR(INDEX(설정_코드표!$K$2:$K$101,MATCH(TRIM(K490&amp;""),설정_코드표!$J$2:$J$101,0)),"⚠"&amp;TRIM(K490&amp;"")))</f>
        <v/>
      </c>
      <c r="T490" s="10">
        <f>IF(TRIM(M490&amp;"")="","",IF(ISNUMBER(MATCH(TRIM(M490&amp;""),설정_코드표!$C$2:$C$11,0)),TRIM(M490&amp;""),"⚠"&amp;TRIM(M490&amp;"")))</f>
        <v/>
      </c>
      <c r="U490" s="10">
        <f>IF(TRIM(L490&amp;"")="","",IFERROR(INDEX(설정_코드표!$G$2:$G$101,MATCH(TRIM(L490&amp;""),설정_코드표!$F$2:$F$101,0)),"⚠"&amp;TRIM(L490&amp;"")))</f>
        <v/>
      </c>
      <c r="V490" s="10">
        <f>IF(AND(ISNUMBER(H490),ISNUMBER(I490)),I490-H490+1,"")</f>
        <v/>
      </c>
      <c r="W490" s="17">
        <f>IF(ISNUMBER(H490),MAX(0,MIN(IF(ISNUMBER(I490),I490,EOMONTH(출력_요약!$B$3,0)),EOMONTH(출력_요약!$B$3,0))-MAX(H490,출력_요약!$B$3)+1),0)</f>
        <v/>
      </c>
      <c r="X490" s="10">
        <f>IF(OR(NOT(ISNUMBER(H490)),Q490=""),"",IF(TODAY()&lt;H490,"파견예정",IF(AND(ISNUMBER(I490),TODAY()&gt;I490),"파견종료","파견중")))</f>
        <v/>
      </c>
      <c r="Y490" s="10">
        <f>IF(OR(Q490="",X490=""),"",Q490&amp;"|"&amp;X490)</f>
        <v/>
      </c>
      <c r="Z490" s="10">
        <f>IF(AND(Q490&lt;&gt;"",W490&gt;0),Q490&amp;"|월","")</f>
        <v/>
      </c>
      <c r="AA490" s="10">
        <f>IF(COUNTA(B490:I490,K490:N490)=0,"",IF(Q490="","등록번호 없음",IF(LEFT(R490,1)="⚠","모병원명 미등록",IF(S490="","파견병원 입력",IF(LEFT(S490,1)="⚠","파견병원명 미등록",IF(LEFT(U490,1)="⚠","파견과목 미등록",IF(OR(T490="",LEFT(T490,1)="⚠"),"파견근거 확인",IF(NOT(AND(ISNUMBER(H490),ISNUMBER(I490))),"날짜 형식/누락",IF(I490&lt;H490,"종료일&lt;시작일","")))))))))</f>
        <v/>
      </c>
      <c r="AB490" s="11">
        <f>IF(ISNUMBER(SEARCH("다기관",TRIM(N490&amp;" "&amp;O490))),IFERROR(DATE(VALUE(MID(TRIM(N490&amp;" "&amp;O490),1,4)),VALUE(MID(TRIM(N490&amp;" "&amp;O490),6,2)),VALUE(MID(TRIM(N490&amp;" "&amp;O490),9,2))),IF(ISNUMBER(H490),H490,"")),"")</f>
        <v/>
      </c>
      <c r="AC490" s="11">
        <f>IF(ISNUMBER(SEARCH("다기관",TRIM(N490&amp;" "&amp;O490))),IFERROR(DATE(VALUE(MID(TRIM(N490&amp;" "&amp;O490),12,4)),VALUE(MID(TRIM(N490&amp;" "&amp;O490),17,2)),VALUE(MID(TRIM(N490&amp;" "&amp;O490),20,2))),IF(ISNUMBER(I490),I490,"")),"")</f>
        <v/>
      </c>
      <c r="AD490" s="17">
        <f>IF(AND(ISNUMBER(AB490),ISNUMBER(AC490)),MAX(0,MIN(AC490,EOMONTH(출력_요약!$B$3,0))-MAX(AB490,출력_요약!$B$3)+1),0)</f>
        <v/>
      </c>
      <c r="AE490" s="10">
        <f>IF(AND(Q490&lt;&gt;"",ISNUMBER(AB490)),Q490&amp;"|다기관","")</f>
        <v/>
      </c>
    </row>
    <row r="491">
      <c r="A491" s="15">
        <f>IF(F491="","",ROW()-3)</f>
        <v/>
      </c>
      <c r="B491" s="5" t="n"/>
      <c r="C491" s="15" t="n"/>
      <c r="D491" s="5" t="n"/>
      <c r="E491" s="15" t="n"/>
      <c r="F491" s="5" t="n"/>
      <c r="G491" s="6" t="n"/>
      <c r="H491" s="16" t="n"/>
      <c r="I491" s="16" t="n"/>
      <c r="J491" s="15">
        <f>IF(AND(ISNUMBER(H491),ISNUMBER(I491)),I491-H491+1,"")</f>
        <v/>
      </c>
      <c r="K491" s="5" t="n"/>
      <c r="L491" s="5" t="n"/>
      <c r="M491" s="5" t="n"/>
      <c r="N491" s="5" t="n"/>
      <c r="O491" s="5" t="n"/>
      <c r="Q491" s="10">
        <f>IF(TRIM(G491&amp;"")="","",TRIM(G491&amp;""))</f>
        <v/>
      </c>
      <c r="R491" s="10">
        <f>IF(TRIM(B491&amp;"")="","",IFERROR(INDEX(설정_코드표!$K$2:$K$101,MATCH(TRIM(B491&amp;""),설정_코드표!$J$2:$J$101,0)),"⚠"&amp;TRIM(B491&amp;"")))</f>
        <v/>
      </c>
      <c r="S491" s="10">
        <f>IF(TRIM(K491&amp;"")="","",IFERROR(INDEX(설정_코드표!$K$2:$K$101,MATCH(TRIM(K491&amp;""),설정_코드표!$J$2:$J$101,0)),"⚠"&amp;TRIM(K491&amp;"")))</f>
        <v/>
      </c>
      <c r="T491" s="10">
        <f>IF(TRIM(M491&amp;"")="","",IF(ISNUMBER(MATCH(TRIM(M491&amp;""),설정_코드표!$C$2:$C$11,0)),TRIM(M491&amp;""),"⚠"&amp;TRIM(M491&amp;"")))</f>
        <v/>
      </c>
      <c r="U491" s="10">
        <f>IF(TRIM(L491&amp;"")="","",IFERROR(INDEX(설정_코드표!$G$2:$G$101,MATCH(TRIM(L491&amp;""),설정_코드표!$F$2:$F$101,0)),"⚠"&amp;TRIM(L491&amp;"")))</f>
        <v/>
      </c>
      <c r="V491" s="10">
        <f>IF(AND(ISNUMBER(H491),ISNUMBER(I491)),I491-H491+1,"")</f>
        <v/>
      </c>
      <c r="W491" s="17">
        <f>IF(ISNUMBER(H491),MAX(0,MIN(IF(ISNUMBER(I491),I491,EOMONTH(출력_요약!$B$3,0)),EOMONTH(출력_요약!$B$3,0))-MAX(H491,출력_요약!$B$3)+1),0)</f>
        <v/>
      </c>
      <c r="X491" s="10">
        <f>IF(OR(NOT(ISNUMBER(H491)),Q491=""),"",IF(TODAY()&lt;H491,"파견예정",IF(AND(ISNUMBER(I491),TODAY()&gt;I491),"파견종료","파견중")))</f>
        <v/>
      </c>
      <c r="Y491" s="10">
        <f>IF(OR(Q491="",X491=""),"",Q491&amp;"|"&amp;X491)</f>
        <v/>
      </c>
      <c r="Z491" s="10">
        <f>IF(AND(Q491&lt;&gt;"",W491&gt;0),Q491&amp;"|월","")</f>
        <v/>
      </c>
      <c r="AA491" s="10">
        <f>IF(COUNTA(B491:I491,K491:N491)=0,"",IF(Q491="","등록번호 없음",IF(LEFT(R491,1)="⚠","모병원명 미등록",IF(S491="","파견병원 입력",IF(LEFT(S491,1)="⚠","파견병원명 미등록",IF(LEFT(U491,1)="⚠","파견과목 미등록",IF(OR(T491="",LEFT(T491,1)="⚠"),"파견근거 확인",IF(NOT(AND(ISNUMBER(H491),ISNUMBER(I491))),"날짜 형식/누락",IF(I491&lt;H491,"종료일&lt;시작일","")))))))))</f>
        <v/>
      </c>
      <c r="AB491" s="11">
        <f>IF(ISNUMBER(SEARCH("다기관",TRIM(N491&amp;" "&amp;O491))),IFERROR(DATE(VALUE(MID(TRIM(N491&amp;" "&amp;O491),1,4)),VALUE(MID(TRIM(N491&amp;" "&amp;O491),6,2)),VALUE(MID(TRIM(N491&amp;" "&amp;O491),9,2))),IF(ISNUMBER(H491),H491,"")),"")</f>
        <v/>
      </c>
      <c r="AC491" s="11">
        <f>IF(ISNUMBER(SEARCH("다기관",TRIM(N491&amp;" "&amp;O491))),IFERROR(DATE(VALUE(MID(TRIM(N491&amp;" "&amp;O491),12,4)),VALUE(MID(TRIM(N491&amp;" "&amp;O491),17,2)),VALUE(MID(TRIM(N491&amp;" "&amp;O491),20,2))),IF(ISNUMBER(I491),I491,"")),"")</f>
        <v/>
      </c>
      <c r="AD491" s="17">
        <f>IF(AND(ISNUMBER(AB491),ISNUMBER(AC491)),MAX(0,MIN(AC491,EOMONTH(출력_요약!$B$3,0))-MAX(AB491,출력_요약!$B$3)+1),0)</f>
        <v/>
      </c>
      <c r="AE491" s="10">
        <f>IF(AND(Q491&lt;&gt;"",ISNUMBER(AB491)),Q491&amp;"|다기관","")</f>
        <v/>
      </c>
    </row>
    <row r="492">
      <c r="A492" s="15">
        <f>IF(F492="","",ROW()-3)</f>
        <v/>
      </c>
      <c r="B492" s="5" t="n"/>
      <c r="C492" s="15" t="n"/>
      <c r="D492" s="5" t="n"/>
      <c r="E492" s="15" t="n"/>
      <c r="F492" s="5" t="n"/>
      <c r="G492" s="6" t="n"/>
      <c r="H492" s="16" t="n"/>
      <c r="I492" s="16" t="n"/>
      <c r="J492" s="15">
        <f>IF(AND(ISNUMBER(H492),ISNUMBER(I492)),I492-H492+1,"")</f>
        <v/>
      </c>
      <c r="K492" s="5" t="n"/>
      <c r="L492" s="5" t="n"/>
      <c r="M492" s="5" t="n"/>
      <c r="N492" s="5" t="n"/>
      <c r="O492" s="5" t="n"/>
      <c r="Q492" s="10">
        <f>IF(TRIM(G492&amp;"")="","",TRIM(G492&amp;""))</f>
        <v/>
      </c>
      <c r="R492" s="10">
        <f>IF(TRIM(B492&amp;"")="","",IFERROR(INDEX(설정_코드표!$K$2:$K$101,MATCH(TRIM(B492&amp;""),설정_코드표!$J$2:$J$101,0)),"⚠"&amp;TRIM(B492&amp;"")))</f>
        <v/>
      </c>
      <c r="S492" s="10">
        <f>IF(TRIM(K492&amp;"")="","",IFERROR(INDEX(설정_코드표!$K$2:$K$101,MATCH(TRIM(K492&amp;""),설정_코드표!$J$2:$J$101,0)),"⚠"&amp;TRIM(K492&amp;"")))</f>
        <v/>
      </c>
      <c r="T492" s="10">
        <f>IF(TRIM(M492&amp;"")="","",IF(ISNUMBER(MATCH(TRIM(M492&amp;""),설정_코드표!$C$2:$C$11,0)),TRIM(M492&amp;""),"⚠"&amp;TRIM(M492&amp;"")))</f>
        <v/>
      </c>
      <c r="U492" s="10">
        <f>IF(TRIM(L492&amp;"")="","",IFERROR(INDEX(설정_코드표!$G$2:$G$101,MATCH(TRIM(L492&amp;""),설정_코드표!$F$2:$F$101,0)),"⚠"&amp;TRIM(L492&amp;"")))</f>
        <v/>
      </c>
      <c r="V492" s="10">
        <f>IF(AND(ISNUMBER(H492),ISNUMBER(I492)),I492-H492+1,"")</f>
        <v/>
      </c>
      <c r="W492" s="17">
        <f>IF(ISNUMBER(H492),MAX(0,MIN(IF(ISNUMBER(I492),I492,EOMONTH(출력_요약!$B$3,0)),EOMONTH(출력_요약!$B$3,0))-MAX(H492,출력_요약!$B$3)+1),0)</f>
        <v/>
      </c>
      <c r="X492" s="10">
        <f>IF(OR(NOT(ISNUMBER(H492)),Q492=""),"",IF(TODAY()&lt;H492,"파견예정",IF(AND(ISNUMBER(I492),TODAY()&gt;I492),"파견종료","파견중")))</f>
        <v/>
      </c>
      <c r="Y492" s="10">
        <f>IF(OR(Q492="",X492=""),"",Q492&amp;"|"&amp;X492)</f>
        <v/>
      </c>
      <c r="Z492" s="10">
        <f>IF(AND(Q492&lt;&gt;"",W492&gt;0),Q492&amp;"|월","")</f>
        <v/>
      </c>
      <c r="AA492" s="10">
        <f>IF(COUNTA(B492:I492,K492:N492)=0,"",IF(Q492="","등록번호 없음",IF(LEFT(R492,1)="⚠","모병원명 미등록",IF(S492="","파견병원 입력",IF(LEFT(S492,1)="⚠","파견병원명 미등록",IF(LEFT(U492,1)="⚠","파견과목 미등록",IF(OR(T492="",LEFT(T492,1)="⚠"),"파견근거 확인",IF(NOT(AND(ISNUMBER(H492),ISNUMBER(I492))),"날짜 형식/누락",IF(I492&lt;H492,"종료일&lt;시작일","")))))))))</f>
        <v/>
      </c>
      <c r="AB492" s="11">
        <f>IF(ISNUMBER(SEARCH("다기관",TRIM(N492&amp;" "&amp;O492))),IFERROR(DATE(VALUE(MID(TRIM(N492&amp;" "&amp;O492),1,4)),VALUE(MID(TRIM(N492&amp;" "&amp;O492),6,2)),VALUE(MID(TRIM(N492&amp;" "&amp;O492),9,2))),IF(ISNUMBER(H492),H492,"")),"")</f>
        <v/>
      </c>
      <c r="AC492" s="11">
        <f>IF(ISNUMBER(SEARCH("다기관",TRIM(N492&amp;" "&amp;O492))),IFERROR(DATE(VALUE(MID(TRIM(N492&amp;" "&amp;O492),12,4)),VALUE(MID(TRIM(N492&amp;" "&amp;O492),17,2)),VALUE(MID(TRIM(N492&amp;" "&amp;O492),20,2))),IF(ISNUMBER(I492),I492,"")),"")</f>
        <v/>
      </c>
      <c r="AD492" s="17">
        <f>IF(AND(ISNUMBER(AB492),ISNUMBER(AC492)),MAX(0,MIN(AC492,EOMONTH(출력_요약!$B$3,0))-MAX(AB492,출력_요약!$B$3)+1),0)</f>
        <v/>
      </c>
      <c r="AE492" s="10">
        <f>IF(AND(Q492&lt;&gt;"",ISNUMBER(AB492)),Q492&amp;"|다기관","")</f>
        <v/>
      </c>
    </row>
    <row r="493">
      <c r="A493" s="15">
        <f>IF(F493="","",ROW()-3)</f>
        <v/>
      </c>
      <c r="B493" s="5" t="n"/>
      <c r="C493" s="15" t="n"/>
      <c r="D493" s="5" t="n"/>
      <c r="E493" s="15" t="n"/>
      <c r="F493" s="5" t="n"/>
      <c r="G493" s="6" t="n"/>
      <c r="H493" s="16" t="n"/>
      <c r="I493" s="16" t="n"/>
      <c r="J493" s="15">
        <f>IF(AND(ISNUMBER(H493),ISNUMBER(I493)),I493-H493+1,"")</f>
        <v/>
      </c>
      <c r="K493" s="5" t="n"/>
      <c r="L493" s="5" t="n"/>
      <c r="M493" s="5" t="n"/>
      <c r="N493" s="5" t="n"/>
      <c r="O493" s="5" t="n"/>
      <c r="Q493" s="10">
        <f>IF(TRIM(G493&amp;"")="","",TRIM(G493&amp;""))</f>
        <v/>
      </c>
      <c r="R493" s="10">
        <f>IF(TRIM(B493&amp;"")="","",IFERROR(INDEX(설정_코드표!$K$2:$K$101,MATCH(TRIM(B493&amp;""),설정_코드표!$J$2:$J$101,0)),"⚠"&amp;TRIM(B493&amp;"")))</f>
        <v/>
      </c>
      <c r="S493" s="10">
        <f>IF(TRIM(K493&amp;"")="","",IFERROR(INDEX(설정_코드표!$K$2:$K$101,MATCH(TRIM(K493&amp;""),설정_코드표!$J$2:$J$101,0)),"⚠"&amp;TRIM(K493&amp;"")))</f>
        <v/>
      </c>
      <c r="T493" s="10">
        <f>IF(TRIM(M493&amp;"")="","",IF(ISNUMBER(MATCH(TRIM(M493&amp;""),설정_코드표!$C$2:$C$11,0)),TRIM(M493&amp;""),"⚠"&amp;TRIM(M493&amp;"")))</f>
        <v/>
      </c>
      <c r="U493" s="10">
        <f>IF(TRIM(L493&amp;"")="","",IFERROR(INDEX(설정_코드표!$G$2:$G$101,MATCH(TRIM(L493&amp;""),설정_코드표!$F$2:$F$101,0)),"⚠"&amp;TRIM(L493&amp;"")))</f>
        <v/>
      </c>
      <c r="V493" s="10">
        <f>IF(AND(ISNUMBER(H493),ISNUMBER(I493)),I493-H493+1,"")</f>
        <v/>
      </c>
      <c r="W493" s="17">
        <f>IF(ISNUMBER(H493),MAX(0,MIN(IF(ISNUMBER(I493),I493,EOMONTH(출력_요약!$B$3,0)),EOMONTH(출력_요약!$B$3,0))-MAX(H493,출력_요약!$B$3)+1),0)</f>
        <v/>
      </c>
      <c r="X493" s="10">
        <f>IF(OR(NOT(ISNUMBER(H493)),Q493=""),"",IF(TODAY()&lt;H493,"파견예정",IF(AND(ISNUMBER(I493),TODAY()&gt;I493),"파견종료","파견중")))</f>
        <v/>
      </c>
      <c r="Y493" s="10">
        <f>IF(OR(Q493="",X493=""),"",Q493&amp;"|"&amp;X493)</f>
        <v/>
      </c>
      <c r="Z493" s="10">
        <f>IF(AND(Q493&lt;&gt;"",W493&gt;0),Q493&amp;"|월","")</f>
        <v/>
      </c>
      <c r="AA493" s="10">
        <f>IF(COUNTA(B493:I493,K493:N493)=0,"",IF(Q493="","등록번호 없음",IF(LEFT(R493,1)="⚠","모병원명 미등록",IF(S493="","파견병원 입력",IF(LEFT(S493,1)="⚠","파견병원명 미등록",IF(LEFT(U493,1)="⚠","파견과목 미등록",IF(OR(T493="",LEFT(T493,1)="⚠"),"파견근거 확인",IF(NOT(AND(ISNUMBER(H493),ISNUMBER(I493))),"날짜 형식/누락",IF(I493&lt;H493,"종료일&lt;시작일","")))))))))</f>
        <v/>
      </c>
      <c r="AB493" s="11">
        <f>IF(ISNUMBER(SEARCH("다기관",TRIM(N493&amp;" "&amp;O493))),IFERROR(DATE(VALUE(MID(TRIM(N493&amp;" "&amp;O493),1,4)),VALUE(MID(TRIM(N493&amp;" "&amp;O493),6,2)),VALUE(MID(TRIM(N493&amp;" "&amp;O493),9,2))),IF(ISNUMBER(H493),H493,"")),"")</f>
        <v/>
      </c>
      <c r="AC493" s="11">
        <f>IF(ISNUMBER(SEARCH("다기관",TRIM(N493&amp;" "&amp;O493))),IFERROR(DATE(VALUE(MID(TRIM(N493&amp;" "&amp;O493),12,4)),VALUE(MID(TRIM(N493&amp;" "&amp;O493),17,2)),VALUE(MID(TRIM(N493&amp;" "&amp;O493),20,2))),IF(ISNUMBER(I493),I493,"")),"")</f>
        <v/>
      </c>
      <c r="AD493" s="17">
        <f>IF(AND(ISNUMBER(AB493),ISNUMBER(AC493)),MAX(0,MIN(AC493,EOMONTH(출력_요약!$B$3,0))-MAX(AB493,출력_요약!$B$3)+1),0)</f>
        <v/>
      </c>
      <c r="AE493" s="10">
        <f>IF(AND(Q493&lt;&gt;"",ISNUMBER(AB493)),Q493&amp;"|다기관","")</f>
        <v/>
      </c>
    </row>
    <row r="494">
      <c r="A494" s="15">
        <f>IF(F494="","",ROW()-3)</f>
        <v/>
      </c>
      <c r="B494" s="5" t="n"/>
      <c r="C494" s="15" t="n"/>
      <c r="D494" s="5" t="n"/>
      <c r="E494" s="15" t="n"/>
      <c r="F494" s="5" t="n"/>
      <c r="G494" s="6" t="n"/>
      <c r="H494" s="16" t="n"/>
      <c r="I494" s="16" t="n"/>
      <c r="J494" s="15">
        <f>IF(AND(ISNUMBER(H494),ISNUMBER(I494)),I494-H494+1,"")</f>
        <v/>
      </c>
      <c r="K494" s="5" t="n"/>
      <c r="L494" s="5" t="n"/>
      <c r="M494" s="5" t="n"/>
      <c r="N494" s="5" t="n"/>
      <c r="O494" s="5" t="n"/>
      <c r="Q494" s="10">
        <f>IF(TRIM(G494&amp;"")="","",TRIM(G494&amp;""))</f>
        <v/>
      </c>
      <c r="R494" s="10">
        <f>IF(TRIM(B494&amp;"")="","",IFERROR(INDEX(설정_코드표!$K$2:$K$101,MATCH(TRIM(B494&amp;""),설정_코드표!$J$2:$J$101,0)),"⚠"&amp;TRIM(B494&amp;"")))</f>
        <v/>
      </c>
      <c r="S494" s="10">
        <f>IF(TRIM(K494&amp;"")="","",IFERROR(INDEX(설정_코드표!$K$2:$K$101,MATCH(TRIM(K494&amp;""),설정_코드표!$J$2:$J$101,0)),"⚠"&amp;TRIM(K494&amp;"")))</f>
        <v/>
      </c>
      <c r="T494" s="10">
        <f>IF(TRIM(M494&amp;"")="","",IF(ISNUMBER(MATCH(TRIM(M494&amp;""),설정_코드표!$C$2:$C$11,0)),TRIM(M494&amp;""),"⚠"&amp;TRIM(M494&amp;"")))</f>
        <v/>
      </c>
      <c r="U494" s="10">
        <f>IF(TRIM(L494&amp;"")="","",IFERROR(INDEX(설정_코드표!$G$2:$G$101,MATCH(TRIM(L494&amp;""),설정_코드표!$F$2:$F$101,0)),"⚠"&amp;TRIM(L494&amp;"")))</f>
        <v/>
      </c>
      <c r="V494" s="10">
        <f>IF(AND(ISNUMBER(H494),ISNUMBER(I494)),I494-H494+1,"")</f>
        <v/>
      </c>
      <c r="W494" s="17">
        <f>IF(ISNUMBER(H494),MAX(0,MIN(IF(ISNUMBER(I494),I494,EOMONTH(출력_요약!$B$3,0)),EOMONTH(출력_요약!$B$3,0))-MAX(H494,출력_요약!$B$3)+1),0)</f>
        <v/>
      </c>
      <c r="X494" s="10">
        <f>IF(OR(NOT(ISNUMBER(H494)),Q494=""),"",IF(TODAY()&lt;H494,"파견예정",IF(AND(ISNUMBER(I494),TODAY()&gt;I494),"파견종료","파견중")))</f>
        <v/>
      </c>
      <c r="Y494" s="10">
        <f>IF(OR(Q494="",X494=""),"",Q494&amp;"|"&amp;X494)</f>
        <v/>
      </c>
      <c r="Z494" s="10">
        <f>IF(AND(Q494&lt;&gt;"",W494&gt;0),Q494&amp;"|월","")</f>
        <v/>
      </c>
      <c r="AA494" s="10">
        <f>IF(COUNTA(B494:I494,K494:N494)=0,"",IF(Q494="","등록번호 없음",IF(LEFT(R494,1)="⚠","모병원명 미등록",IF(S494="","파견병원 입력",IF(LEFT(S494,1)="⚠","파견병원명 미등록",IF(LEFT(U494,1)="⚠","파견과목 미등록",IF(OR(T494="",LEFT(T494,1)="⚠"),"파견근거 확인",IF(NOT(AND(ISNUMBER(H494),ISNUMBER(I494))),"날짜 형식/누락",IF(I494&lt;H494,"종료일&lt;시작일","")))))))))</f>
        <v/>
      </c>
      <c r="AB494" s="11">
        <f>IF(ISNUMBER(SEARCH("다기관",TRIM(N494&amp;" "&amp;O494))),IFERROR(DATE(VALUE(MID(TRIM(N494&amp;" "&amp;O494),1,4)),VALUE(MID(TRIM(N494&amp;" "&amp;O494),6,2)),VALUE(MID(TRIM(N494&amp;" "&amp;O494),9,2))),IF(ISNUMBER(H494),H494,"")),"")</f>
        <v/>
      </c>
      <c r="AC494" s="11">
        <f>IF(ISNUMBER(SEARCH("다기관",TRIM(N494&amp;" "&amp;O494))),IFERROR(DATE(VALUE(MID(TRIM(N494&amp;" "&amp;O494),12,4)),VALUE(MID(TRIM(N494&amp;" "&amp;O494),17,2)),VALUE(MID(TRIM(N494&amp;" "&amp;O494),20,2))),IF(ISNUMBER(I494),I494,"")),"")</f>
        <v/>
      </c>
      <c r="AD494" s="17">
        <f>IF(AND(ISNUMBER(AB494),ISNUMBER(AC494)),MAX(0,MIN(AC494,EOMONTH(출력_요약!$B$3,0))-MAX(AB494,출력_요약!$B$3)+1),0)</f>
        <v/>
      </c>
      <c r="AE494" s="10">
        <f>IF(AND(Q494&lt;&gt;"",ISNUMBER(AB494)),Q494&amp;"|다기관","")</f>
        <v/>
      </c>
    </row>
    <row r="495">
      <c r="A495" s="15">
        <f>IF(F495="","",ROW()-3)</f>
        <v/>
      </c>
      <c r="B495" s="5" t="n"/>
      <c r="C495" s="15" t="n"/>
      <c r="D495" s="5" t="n"/>
      <c r="E495" s="15" t="n"/>
      <c r="F495" s="5" t="n"/>
      <c r="G495" s="6" t="n"/>
      <c r="H495" s="16" t="n"/>
      <c r="I495" s="16" t="n"/>
      <c r="J495" s="15">
        <f>IF(AND(ISNUMBER(H495),ISNUMBER(I495)),I495-H495+1,"")</f>
        <v/>
      </c>
      <c r="K495" s="5" t="n"/>
      <c r="L495" s="5" t="n"/>
      <c r="M495" s="5" t="n"/>
      <c r="N495" s="5" t="n"/>
      <c r="O495" s="5" t="n"/>
      <c r="Q495" s="10">
        <f>IF(TRIM(G495&amp;"")="","",TRIM(G495&amp;""))</f>
        <v/>
      </c>
      <c r="R495" s="10">
        <f>IF(TRIM(B495&amp;"")="","",IFERROR(INDEX(설정_코드표!$K$2:$K$101,MATCH(TRIM(B495&amp;""),설정_코드표!$J$2:$J$101,0)),"⚠"&amp;TRIM(B495&amp;"")))</f>
        <v/>
      </c>
      <c r="S495" s="10">
        <f>IF(TRIM(K495&amp;"")="","",IFERROR(INDEX(설정_코드표!$K$2:$K$101,MATCH(TRIM(K495&amp;""),설정_코드표!$J$2:$J$101,0)),"⚠"&amp;TRIM(K495&amp;"")))</f>
        <v/>
      </c>
      <c r="T495" s="10">
        <f>IF(TRIM(M495&amp;"")="","",IF(ISNUMBER(MATCH(TRIM(M495&amp;""),설정_코드표!$C$2:$C$11,0)),TRIM(M495&amp;""),"⚠"&amp;TRIM(M495&amp;"")))</f>
        <v/>
      </c>
      <c r="U495" s="10">
        <f>IF(TRIM(L495&amp;"")="","",IFERROR(INDEX(설정_코드표!$G$2:$G$101,MATCH(TRIM(L495&amp;""),설정_코드표!$F$2:$F$101,0)),"⚠"&amp;TRIM(L495&amp;"")))</f>
        <v/>
      </c>
      <c r="V495" s="10">
        <f>IF(AND(ISNUMBER(H495),ISNUMBER(I495)),I495-H495+1,"")</f>
        <v/>
      </c>
      <c r="W495" s="17">
        <f>IF(ISNUMBER(H495),MAX(0,MIN(IF(ISNUMBER(I495),I495,EOMONTH(출력_요약!$B$3,0)),EOMONTH(출력_요약!$B$3,0))-MAX(H495,출력_요약!$B$3)+1),0)</f>
        <v/>
      </c>
      <c r="X495" s="10">
        <f>IF(OR(NOT(ISNUMBER(H495)),Q495=""),"",IF(TODAY()&lt;H495,"파견예정",IF(AND(ISNUMBER(I495),TODAY()&gt;I495),"파견종료","파견중")))</f>
        <v/>
      </c>
      <c r="Y495" s="10">
        <f>IF(OR(Q495="",X495=""),"",Q495&amp;"|"&amp;X495)</f>
        <v/>
      </c>
      <c r="Z495" s="10">
        <f>IF(AND(Q495&lt;&gt;"",W495&gt;0),Q495&amp;"|월","")</f>
        <v/>
      </c>
      <c r="AA495" s="10">
        <f>IF(COUNTA(B495:I495,K495:N495)=0,"",IF(Q495="","등록번호 없음",IF(LEFT(R495,1)="⚠","모병원명 미등록",IF(S495="","파견병원 입력",IF(LEFT(S495,1)="⚠","파견병원명 미등록",IF(LEFT(U495,1)="⚠","파견과목 미등록",IF(OR(T495="",LEFT(T495,1)="⚠"),"파견근거 확인",IF(NOT(AND(ISNUMBER(H495),ISNUMBER(I495))),"날짜 형식/누락",IF(I495&lt;H495,"종료일&lt;시작일","")))))))))</f>
        <v/>
      </c>
      <c r="AB495" s="11">
        <f>IF(ISNUMBER(SEARCH("다기관",TRIM(N495&amp;" "&amp;O495))),IFERROR(DATE(VALUE(MID(TRIM(N495&amp;" "&amp;O495),1,4)),VALUE(MID(TRIM(N495&amp;" "&amp;O495),6,2)),VALUE(MID(TRIM(N495&amp;" "&amp;O495),9,2))),IF(ISNUMBER(H495),H495,"")),"")</f>
        <v/>
      </c>
      <c r="AC495" s="11">
        <f>IF(ISNUMBER(SEARCH("다기관",TRIM(N495&amp;" "&amp;O495))),IFERROR(DATE(VALUE(MID(TRIM(N495&amp;" "&amp;O495),12,4)),VALUE(MID(TRIM(N495&amp;" "&amp;O495),17,2)),VALUE(MID(TRIM(N495&amp;" "&amp;O495),20,2))),IF(ISNUMBER(I495),I495,"")),"")</f>
        <v/>
      </c>
      <c r="AD495" s="17">
        <f>IF(AND(ISNUMBER(AB495),ISNUMBER(AC495)),MAX(0,MIN(AC495,EOMONTH(출력_요약!$B$3,0))-MAX(AB495,출력_요약!$B$3)+1),0)</f>
        <v/>
      </c>
      <c r="AE495" s="10">
        <f>IF(AND(Q495&lt;&gt;"",ISNUMBER(AB495)),Q495&amp;"|다기관","")</f>
        <v/>
      </c>
    </row>
    <row r="496">
      <c r="A496" s="15">
        <f>IF(F496="","",ROW()-3)</f>
        <v/>
      </c>
      <c r="B496" s="5" t="n"/>
      <c r="C496" s="15" t="n"/>
      <c r="D496" s="5" t="n"/>
      <c r="E496" s="15" t="n"/>
      <c r="F496" s="5" t="n"/>
      <c r="G496" s="6" t="n"/>
      <c r="H496" s="16" t="n"/>
      <c r="I496" s="16" t="n"/>
      <c r="J496" s="15">
        <f>IF(AND(ISNUMBER(H496),ISNUMBER(I496)),I496-H496+1,"")</f>
        <v/>
      </c>
      <c r="K496" s="5" t="n"/>
      <c r="L496" s="5" t="n"/>
      <c r="M496" s="5" t="n"/>
      <c r="N496" s="5" t="n"/>
      <c r="O496" s="5" t="n"/>
      <c r="Q496" s="10">
        <f>IF(TRIM(G496&amp;"")="","",TRIM(G496&amp;""))</f>
        <v/>
      </c>
      <c r="R496" s="10">
        <f>IF(TRIM(B496&amp;"")="","",IFERROR(INDEX(설정_코드표!$K$2:$K$101,MATCH(TRIM(B496&amp;""),설정_코드표!$J$2:$J$101,0)),"⚠"&amp;TRIM(B496&amp;"")))</f>
        <v/>
      </c>
      <c r="S496" s="10">
        <f>IF(TRIM(K496&amp;"")="","",IFERROR(INDEX(설정_코드표!$K$2:$K$101,MATCH(TRIM(K496&amp;""),설정_코드표!$J$2:$J$101,0)),"⚠"&amp;TRIM(K496&amp;"")))</f>
        <v/>
      </c>
      <c r="T496" s="10">
        <f>IF(TRIM(M496&amp;"")="","",IF(ISNUMBER(MATCH(TRIM(M496&amp;""),설정_코드표!$C$2:$C$11,0)),TRIM(M496&amp;""),"⚠"&amp;TRIM(M496&amp;"")))</f>
        <v/>
      </c>
      <c r="U496" s="10">
        <f>IF(TRIM(L496&amp;"")="","",IFERROR(INDEX(설정_코드표!$G$2:$G$101,MATCH(TRIM(L496&amp;""),설정_코드표!$F$2:$F$101,0)),"⚠"&amp;TRIM(L496&amp;"")))</f>
        <v/>
      </c>
      <c r="V496" s="10">
        <f>IF(AND(ISNUMBER(H496),ISNUMBER(I496)),I496-H496+1,"")</f>
        <v/>
      </c>
      <c r="W496" s="17">
        <f>IF(ISNUMBER(H496),MAX(0,MIN(IF(ISNUMBER(I496),I496,EOMONTH(출력_요약!$B$3,0)),EOMONTH(출력_요약!$B$3,0))-MAX(H496,출력_요약!$B$3)+1),0)</f>
        <v/>
      </c>
      <c r="X496" s="10">
        <f>IF(OR(NOT(ISNUMBER(H496)),Q496=""),"",IF(TODAY()&lt;H496,"파견예정",IF(AND(ISNUMBER(I496),TODAY()&gt;I496),"파견종료","파견중")))</f>
        <v/>
      </c>
      <c r="Y496" s="10">
        <f>IF(OR(Q496="",X496=""),"",Q496&amp;"|"&amp;X496)</f>
        <v/>
      </c>
      <c r="Z496" s="10">
        <f>IF(AND(Q496&lt;&gt;"",W496&gt;0),Q496&amp;"|월","")</f>
        <v/>
      </c>
      <c r="AA496" s="10">
        <f>IF(COUNTA(B496:I496,K496:N496)=0,"",IF(Q496="","등록번호 없음",IF(LEFT(R496,1)="⚠","모병원명 미등록",IF(S496="","파견병원 입력",IF(LEFT(S496,1)="⚠","파견병원명 미등록",IF(LEFT(U496,1)="⚠","파견과목 미등록",IF(OR(T496="",LEFT(T496,1)="⚠"),"파견근거 확인",IF(NOT(AND(ISNUMBER(H496),ISNUMBER(I496))),"날짜 형식/누락",IF(I496&lt;H496,"종료일&lt;시작일","")))))))))</f>
        <v/>
      </c>
      <c r="AB496" s="11">
        <f>IF(ISNUMBER(SEARCH("다기관",TRIM(N496&amp;" "&amp;O496))),IFERROR(DATE(VALUE(MID(TRIM(N496&amp;" "&amp;O496),1,4)),VALUE(MID(TRIM(N496&amp;" "&amp;O496),6,2)),VALUE(MID(TRIM(N496&amp;" "&amp;O496),9,2))),IF(ISNUMBER(H496),H496,"")),"")</f>
        <v/>
      </c>
      <c r="AC496" s="11">
        <f>IF(ISNUMBER(SEARCH("다기관",TRIM(N496&amp;" "&amp;O496))),IFERROR(DATE(VALUE(MID(TRIM(N496&amp;" "&amp;O496),12,4)),VALUE(MID(TRIM(N496&amp;" "&amp;O496),17,2)),VALUE(MID(TRIM(N496&amp;" "&amp;O496),20,2))),IF(ISNUMBER(I496),I496,"")),"")</f>
        <v/>
      </c>
      <c r="AD496" s="17">
        <f>IF(AND(ISNUMBER(AB496),ISNUMBER(AC496)),MAX(0,MIN(AC496,EOMONTH(출력_요약!$B$3,0))-MAX(AB496,출력_요약!$B$3)+1),0)</f>
        <v/>
      </c>
      <c r="AE496" s="10">
        <f>IF(AND(Q496&lt;&gt;"",ISNUMBER(AB496)),Q496&amp;"|다기관","")</f>
        <v/>
      </c>
    </row>
    <row r="497">
      <c r="A497" s="15">
        <f>IF(F497="","",ROW()-3)</f>
        <v/>
      </c>
      <c r="B497" s="5" t="n"/>
      <c r="C497" s="15" t="n"/>
      <c r="D497" s="5" t="n"/>
      <c r="E497" s="15" t="n"/>
      <c r="F497" s="5" t="n"/>
      <c r="G497" s="6" t="n"/>
      <c r="H497" s="16" t="n"/>
      <c r="I497" s="16" t="n"/>
      <c r="J497" s="15">
        <f>IF(AND(ISNUMBER(H497),ISNUMBER(I497)),I497-H497+1,"")</f>
        <v/>
      </c>
      <c r="K497" s="5" t="n"/>
      <c r="L497" s="5" t="n"/>
      <c r="M497" s="5" t="n"/>
      <c r="N497" s="5" t="n"/>
      <c r="O497" s="5" t="n"/>
      <c r="Q497" s="10">
        <f>IF(TRIM(G497&amp;"")="","",TRIM(G497&amp;""))</f>
        <v/>
      </c>
      <c r="R497" s="10">
        <f>IF(TRIM(B497&amp;"")="","",IFERROR(INDEX(설정_코드표!$K$2:$K$101,MATCH(TRIM(B497&amp;""),설정_코드표!$J$2:$J$101,0)),"⚠"&amp;TRIM(B497&amp;"")))</f>
        <v/>
      </c>
      <c r="S497" s="10">
        <f>IF(TRIM(K497&amp;"")="","",IFERROR(INDEX(설정_코드표!$K$2:$K$101,MATCH(TRIM(K497&amp;""),설정_코드표!$J$2:$J$101,0)),"⚠"&amp;TRIM(K497&amp;"")))</f>
        <v/>
      </c>
      <c r="T497" s="10">
        <f>IF(TRIM(M497&amp;"")="","",IF(ISNUMBER(MATCH(TRIM(M497&amp;""),설정_코드표!$C$2:$C$11,0)),TRIM(M497&amp;""),"⚠"&amp;TRIM(M497&amp;"")))</f>
        <v/>
      </c>
      <c r="U497" s="10">
        <f>IF(TRIM(L497&amp;"")="","",IFERROR(INDEX(설정_코드표!$G$2:$G$101,MATCH(TRIM(L497&amp;""),설정_코드표!$F$2:$F$101,0)),"⚠"&amp;TRIM(L497&amp;"")))</f>
        <v/>
      </c>
      <c r="V497" s="10">
        <f>IF(AND(ISNUMBER(H497),ISNUMBER(I497)),I497-H497+1,"")</f>
        <v/>
      </c>
      <c r="W497" s="17">
        <f>IF(ISNUMBER(H497),MAX(0,MIN(IF(ISNUMBER(I497),I497,EOMONTH(출력_요약!$B$3,0)),EOMONTH(출력_요약!$B$3,0))-MAX(H497,출력_요약!$B$3)+1),0)</f>
        <v/>
      </c>
      <c r="X497" s="10">
        <f>IF(OR(NOT(ISNUMBER(H497)),Q497=""),"",IF(TODAY()&lt;H497,"파견예정",IF(AND(ISNUMBER(I497),TODAY()&gt;I497),"파견종료","파견중")))</f>
        <v/>
      </c>
      <c r="Y497" s="10">
        <f>IF(OR(Q497="",X497=""),"",Q497&amp;"|"&amp;X497)</f>
        <v/>
      </c>
      <c r="Z497" s="10">
        <f>IF(AND(Q497&lt;&gt;"",W497&gt;0),Q497&amp;"|월","")</f>
        <v/>
      </c>
      <c r="AA497" s="10">
        <f>IF(COUNTA(B497:I497,K497:N497)=0,"",IF(Q497="","등록번호 없음",IF(LEFT(R497,1)="⚠","모병원명 미등록",IF(S497="","파견병원 입력",IF(LEFT(S497,1)="⚠","파견병원명 미등록",IF(LEFT(U497,1)="⚠","파견과목 미등록",IF(OR(T497="",LEFT(T497,1)="⚠"),"파견근거 확인",IF(NOT(AND(ISNUMBER(H497),ISNUMBER(I497))),"날짜 형식/누락",IF(I497&lt;H497,"종료일&lt;시작일","")))))))))</f>
        <v/>
      </c>
      <c r="AB497" s="11">
        <f>IF(ISNUMBER(SEARCH("다기관",TRIM(N497&amp;" "&amp;O497))),IFERROR(DATE(VALUE(MID(TRIM(N497&amp;" "&amp;O497),1,4)),VALUE(MID(TRIM(N497&amp;" "&amp;O497),6,2)),VALUE(MID(TRIM(N497&amp;" "&amp;O497),9,2))),IF(ISNUMBER(H497),H497,"")),"")</f>
        <v/>
      </c>
      <c r="AC497" s="11">
        <f>IF(ISNUMBER(SEARCH("다기관",TRIM(N497&amp;" "&amp;O497))),IFERROR(DATE(VALUE(MID(TRIM(N497&amp;" "&amp;O497),12,4)),VALUE(MID(TRIM(N497&amp;" "&amp;O497),17,2)),VALUE(MID(TRIM(N497&amp;" "&amp;O497),20,2))),IF(ISNUMBER(I497),I497,"")),"")</f>
        <v/>
      </c>
      <c r="AD497" s="17">
        <f>IF(AND(ISNUMBER(AB497),ISNUMBER(AC497)),MAX(0,MIN(AC497,EOMONTH(출력_요약!$B$3,0))-MAX(AB497,출력_요약!$B$3)+1),0)</f>
        <v/>
      </c>
      <c r="AE497" s="10">
        <f>IF(AND(Q497&lt;&gt;"",ISNUMBER(AB497)),Q497&amp;"|다기관","")</f>
        <v/>
      </c>
    </row>
    <row r="498">
      <c r="A498" s="15">
        <f>IF(F498="","",ROW()-3)</f>
        <v/>
      </c>
      <c r="B498" s="5" t="n"/>
      <c r="C498" s="15" t="n"/>
      <c r="D498" s="5" t="n"/>
      <c r="E498" s="15" t="n"/>
      <c r="F498" s="5" t="n"/>
      <c r="G498" s="6" t="n"/>
      <c r="H498" s="16" t="n"/>
      <c r="I498" s="16" t="n"/>
      <c r="J498" s="15">
        <f>IF(AND(ISNUMBER(H498),ISNUMBER(I498)),I498-H498+1,"")</f>
        <v/>
      </c>
      <c r="K498" s="5" t="n"/>
      <c r="L498" s="5" t="n"/>
      <c r="M498" s="5" t="n"/>
      <c r="N498" s="5" t="n"/>
      <c r="O498" s="5" t="n"/>
      <c r="Q498" s="10">
        <f>IF(TRIM(G498&amp;"")="","",TRIM(G498&amp;""))</f>
        <v/>
      </c>
      <c r="R498" s="10">
        <f>IF(TRIM(B498&amp;"")="","",IFERROR(INDEX(설정_코드표!$K$2:$K$101,MATCH(TRIM(B498&amp;""),설정_코드표!$J$2:$J$101,0)),"⚠"&amp;TRIM(B498&amp;"")))</f>
        <v/>
      </c>
      <c r="S498" s="10">
        <f>IF(TRIM(K498&amp;"")="","",IFERROR(INDEX(설정_코드표!$K$2:$K$101,MATCH(TRIM(K498&amp;""),설정_코드표!$J$2:$J$101,0)),"⚠"&amp;TRIM(K498&amp;"")))</f>
        <v/>
      </c>
      <c r="T498" s="10">
        <f>IF(TRIM(M498&amp;"")="","",IF(ISNUMBER(MATCH(TRIM(M498&amp;""),설정_코드표!$C$2:$C$11,0)),TRIM(M498&amp;""),"⚠"&amp;TRIM(M498&amp;"")))</f>
        <v/>
      </c>
      <c r="U498" s="10">
        <f>IF(TRIM(L498&amp;"")="","",IFERROR(INDEX(설정_코드표!$G$2:$G$101,MATCH(TRIM(L498&amp;""),설정_코드표!$F$2:$F$101,0)),"⚠"&amp;TRIM(L498&amp;"")))</f>
        <v/>
      </c>
      <c r="V498" s="10">
        <f>IF(AND(ISNUMBER(H498),ISNUMBER(I498)),I498-H498+1,"")</f>
        <v/>
      </c>
      <c r="W498" s="17">
        <f>IF(ISNUMBER(H498),MAX(0,MIN(IF(ISNUMBER(I498),I498,EOMONTH(출력_요약!$B$3,0)),EOMONTH(출력_요약!$B$3,0))-MAX(H498,출력_요약!$B$3)+1),0)</f>
        <v/>
      </c>
      <c r="X498" s="10">
        <f>IF(OR(NOT(ISNUMBER(H498)),Q498=""),"",IF(TODAY()&lt;H498,"파견예정",IF(AND(ISNUMBER(I498),TODAY()&gt;I498),"파견종료","파견중")))</f>
        <v/>
      </c>
      <c r="Y498" s="10">
        <f>IF(OR(Q498="",X498=""),"",Q498&amp;"|"&amp;X498)</f>
        <v/>
      </c>
      <c r="Z498" s="10">
        <f>IF(AND(Q498&lt;&gt;"",W498&gt;0),Q498&amp;"|월","")</f>
        <v/>
      </c>
      <c r="AA498" s="10">
        <f>IF(COUNTA(B498:I498,K498:N498)=0,"",IF(Q498="","등록번호 없음",IF(LEFT(R498,1)="⚠","모병원명 미등록",IF(S498="","파견병원 입력",IF(LEFT(S498,1)="⚠","파견병원명 미등록",IF(LEFT(U498,1)="⚠","파견과목 미등록",IF(OR(T498="",LEFT(T498,1)="⚠"),"파견근거 확인",IF(NOT(AND(ISNUMBER(H498),ISNUMBER(I498))),"날짜 형식/누락",IF(I498&lt;H498,"종료일&lt;시작일","")))))))))</f>
        <v/>
      </c>
      <c r="AB498" s="11">
        <f>IF(ISNUMBER(SEARCH("다기관",TRIM(N498&amp;" "&amp;O498))),IFERROR(DATE(VALUE(MID(TRIM(N498&amp;" "&amp;O498),1,4)),VALUE(MID(TRIM(N498&amp;" "&amp;O498),6,2)),VALUE(MID(TRIM(N498&amp;" "&amp;O498),9,2))),IF(ISNUMBER(H498),H498,"")),"")</f>
        <v/>
      </c>
      <c r="AC498" s="11">
        <f>IF(ISNUMBER(SEARCH("다기관",TRIM(N498&amp;" "&amp;O498))),IFERROR(DATE(VALUE(MID(TRIM(N498&amp;" "&amp;O498),12,4)),VALUE(MID(TRIM(N498&amp;" "&amp;O498),17,2)),VALUE(MID(TRIM(N498&amp;" "&amp;O498),20,2))),IF(ISNUMBER(I498),I498,"")),"")</f>
        <v/>
      </c>
      <c r="AD498" s="17">
        <f>IF(AND(ISNUMBER(AB498),ISNUMBER(AC498)),MAX(0,MIN(AC498,EOMONTH(출력_요약!$B$3,0))-MAX(AB498,출력_요약!$B$3)+1),0)</f>
        <v/>
      </c>
      <c r="AE498" s="10">
        <f>IF(AND(Q498&lt;&gt;"",ISNUMBER(AB498)),Q498&amp;"|다기관","")</f>
        <v/>
      </c>
    </row>
    <row r="499">
      <c r="A499" s="15">
        <f>IF(F499="","",ROW()-3)</f>
        <v/>
      </c>
      <c r="B499" s="5" t="n"/>
      <c r="C499" s="15" t="n"/>
      <c r="D499" s="5" t="n"/>
      <c r="E499" s="15" t="n"/>
      <c r="F499" s="5" t="n"/>
      <c r="G499" s="6" t="n"/>
      <c r="H499" s="16" t="n"/>
      <c r="I499" s="16" t="n"/>
      <c r="J499" s="15">
        <f>IF(AND(ISNUMBER(H499),ISNUMBER(I499)),I499-H499+1,"")</f>
        <v/>
      </c>
      <c r="K499" s="5" t="n"/>
      <c r="L499" s="5" t="n"/>
      <c r="M499" s="5" t="n"/>
      <c r="N499" s="5" t="n"/>
      <c r="O499" s="5" t="n"/>
      <c r="Q499" s="10">
        <f>IF(TRIM(G499&amp;"")="","",TRIM(G499&amp;""))</f>
        <v/>
      </c>
      <c r="R499" s="10">
        <f>IF(TRIM(B499&amp;"")="","",IFERROR(INDEX(설정_코드표!$K$2:$K$101,MATCH(TRIM(B499&amp;""),설정_코드표!$J$2:$J$101,0)),"⚠"&amp;TRIM(B499&amp;"")))</f>
        <v/>
      </c>
      <c r="S499" s="10">
        <f>IF(TRIM(K499&amp;"")="","",IFERROR(INDEX(설정_코드표!$K$2:$K$101,MATCH(TRIM(K499&amp;""),설정_코드표!$J$2:$J$101,0)),"⚠"&amp;TRIM(K499&amp;"")))</f>
        <v/>
      </c>
      <c r="T499" s="10">
        <f>IF(TRIM(M499&amp;"")="","",IF(ISNUMBER(MATCH(TRIM(M499&amp;""),설정_코드표!$C$2:$C$11,0)),TRIM(M499&amp;""),"⚠"&amp;TRIM(M499&amp;"")))</f>
        <v/>
      </c>
      <c r="U499" s="10">
        <f>IF(TRIM(L499&amp;"")="","",IFERROR(INDEX(설정_코드표!$G$2:$G$101,MATCH(TRIM(L499&amp;""),설정_코드표!$F$2:$F$101,0)),"⚠"&amp;TRIM(L499&amp;"")))</f>
        <v/>
      </c>
      <c r="V499" s="10">
        <f>IF(AND(ISNUMBER(H499),ISNUMBER(I499)),I499-H499+1,"")</f>
        <v/>
      </c>
      <c r="W499" s="17">
        <f>IF(ISNUMBER(H499),MAX(0,MIN(IF(ISNUMBER(I499),I499,EOMONTH(출력_요약!$B$3,0)),EOMONTH(출력_요약!$B$3,0))-MAX(H499,출력_요약!$B$3)+1),0)</f>
        <v/>
      </c>
      <c r="X499" s="10">
        <f>IF(OR(NOT(ISNUMBER(H499)),Q499=""),"",IF(TODAY()&lt;H499,"파견예정",IF(AND(ISNUMBER(I499),TODAY()&gt;I499),"파견종료","파견중")))</f>
        <v/>
      </c>
      <c r="Y499" s="10">
        <f>IF(OR(Q499="",X499=""),"",Q499&amp;"|"&amp;X499)</f>
        <v/>
      </c>
      <c r="Z499" s="10">
        <f>IF(AND(Q499&lt;&gt;"",W499&gt;0),Q499&amp;"|월","")</f>
        <v/>
      </c>
      <c r="AA499" s="10">
        <f>IF(COUNTA(B499:I499,K499:N499)=0,"",IF(Q499="","등록번호 없음",IF(LEFT(R499,1)="⚠","모병원명 미등록",IF(S499="","파견병원 입력",IF(LEFT(S499,1)="⚠","파견병원명 미등록",IF(LEFT(U499,1)="⚠","파견과목 미등록",IF(OR(T499="",LEFT(T499,1)="⚠"),"파견근거 확인",IF(NOT(AND(ISNUMBER(H499),ISNUMBER(I499))),"날짜 형식/누락",IF(I499&lt;H499,"종료일&lt;시작일","")))))))))</f>
        <v/>
      </c>
      <c r="AB499" s="11">
        <f>IF(ISNUMBER(SEARCH("다기관",TRIM(N499&amp;" "&amp;O499))),IFERROR(DATE(VALUE(MID(TRIM(N499&amp;" "&amp;O499),1,4)),VALUE(MID(TRIM(N499&amp;" "&amp;O499),6,2)),VALUE(MID(TRIM(N499&amp;" "&amp;O499),9,2))),IF(ISNUMBER(H499),H499,"")),"")</f>
        <v/>
      </c>
      <c r="AC499" s="11">
        <f>IF(ISNUMBER(SEARCH("다기관",TRIM(N499&amp;" "&amp;O499))),IFERROR(DATE(VALUE(MID(TRIM(N499&amp;" "&amp;O499),12,4)),VALUE(MID(TRIM(N499&amp;" "&amp;O499),17,2)),VALUE(MID(TRIM(N499&amp;" "&amp;O499),20,2))),IF(ISNUMBER(I499),I499,"")),"")</f>
        <v/>
      </c>
      <c r="AD499" s="17">
        <f>IF(AND(ISNUMBER(AB499),ISNUMBER(AC499)),MAX(0,MIN(AC499,EOMONTH(출력_요약!$B$3,0))-MAX(AB499,출력_요약!$B$3)+1),0)</f>
        <v/>
      </c>
      <c r="AE499" s="10">
        <f>IF(AND(Q499&lt;&gt;"",ISNUMBER(AB499)),Q499&amp;"|다기관","")</f>
        <v/>
      </c>
    </row>
    <row r="500">
      <c r="A500" s="15">
        <f>IF(F500="","",ROW()-3)</f>
        <v/>
      </c>
      <c r="B500" s="5" t="n"/>
      <c r="C500" s="15" t="n"/>
      <c r="D500" s="5" t="n"/>
      <c r="E500" s="15" t="n"/>
      <c r="F500" s="5" t="n"/>
      <c r="G500" s="6" t="n"/>
      <c r="H500" s="16" t="n"/>
      <c r="I500" s="16" t="n"/>
      <c r="J500" s="15">
        <f>IF(AND(ISNUMBER(H500),ISNUMBER(I500)),I500-H500+1,"")</f>
        <v/>
      </c>
      <c r="K500" s="5" t="n"/>
      <c r="L500" s="5" t="n"/>
      <c r="M500" s="5" t="n"/>
      <c r="N500" s="5" t="n"/>
      <c r="O500" s="5" t="n"/>
      <c r="Q500" s="10">
        <f>IF(TRIM(G500&amp;"")="","",TRIM(G500&amp;""))</f>
        <v/>
      </c>
      <c r="R500" s="10">
        <f>IF(TRIM(B500&amp;"")="","",IFERROR(INDEX(설정_코드표!$K$2:$K$101,MATCH(TRIM(B500&amp;""),설정_코드표!$J$2:$J$101,0)),"⚠"&amp;TRIM(B500&amp;"")))</f>
        <v/>
      </c>
      <c r="S500" s="10">
        <f>IF(TRIM(K500&amp;"")="","",IFERROR(INDEX(설정_코드표!$K$2:$K$101,MATCH(TRIM(K500&amp;""),설정_코드표!$J$2:$J$101,0)),"⚠"&amp;TRIM(K500&amp;"")))</f>
        <v/>
      </c>
      <c r="T500" s="10">
        <f>IF(TRIM(M500&amp;"")="","",IF(ISNUMBER(MATCH(TRIM(M500&amp;""),설정_코드표!$C$2:$C$11,0)),TRIM(M500&amp;""),"⚠"&amp;TRIM(M500&amp;"")))</f>
        <v/>
      </c>
      <c r="U500" s="10">
        <f>IF(TRIM(L500&amp;"")="","",IFERROR(INDEX(설정_코드표!$G$2:$G$101,MATCH(TRIM(L500&amp;""),설정_코드표!$F$2:$F$101,0)),"⚠"&amp;TRIM(L500&amp;"")))</f>
        <v/>
      </c>
      <c r="V500" s="10">
        <f>IF(AND(ISNUMBER(H500),ISNUMBER(I500)),I500-H500+1,"")</f>
        <v/>
      </c>
      <c r="W500" s="17">
        <f>IF(ISNUMBER(H500),MAX(0,MIN(IF(ISNUMBER(I500),I500,EOMONTH(출력_요약!$B$3,0)),EOMONTH(출력_요약!$B$3,0))-MAX(H500,출력_요약!$B$3)+1),0)</f>
        <v/>
      </c>
      <c r="X500" s="10">
        <f>IF(OR(NOT(ISNUMBER(H500)),Q500=""),"",IF(TODAY()&lt;H500,"파견예정",IF(AND(ISNUMBER(I500),TODAY()&gt;I500),"파견종료","파견중")))</f>
        <v/>
      </c>
      <c r="Y500" s="10">
        <f>IF(OR(Q500="",X500=""),"",Q500&amp;"|"&amp;X500)</f>
        <v/>
      </c>
      <c r="Z500" s="10">
        <f>IF(AND(Q500&lt;&gt;"",W500&gt;0),Q500&amp;"|월","")</f>
        <v/>
      </c>
      <c r="AA500" s="10">
        <f>IF(COUNTA(B500:I500,K500:N500)=0,"",IF(Q500="","등록번호 없음",IF(LEFT(R500,1)="⚠","모병원명 미등록",IF(S500="","파견병원 입력",IF(LEFT(S500,1)="⚠","파견병원명 미등록",IF(LEFT(U500,1)="⚠","파견과목 미등록",IF(OR(T500="",LEFT(T500,1)="⚠"),"파견근거 확인",IF(NOT(AND(ISNUMBER(H500),ISNUMBER(I500))),"날짜 형식/누락",IF(I500&lt;H500,"종료일&lt;시작일","")))))))))</f>
        <v/>
      </c>
      <c r="AB500" s="11">
        <f>IF(ISNUMBER(SEARCH("다기관",TRIM(N500&amp;" "&amp;O500))),IFERROR(DATE(VALUE(MID(TRIM(N500&amp;" "&amp;O500),1,4)),VALUE(MID(TRIM(N500&amp;" "&amp;O500),6,2)),VALUE(MID(TRIM(N500&amp;" "&amp;O500),9,2))),IF(ISNUMBER(H500),H500,"")),"")</f>
        <v/>
      </c>
      <c r="AC500" s="11">
        <f>IF(ISNUMBER(SEARCH("다기관",TRIM(N500&amp;" "&amp;O500))),IFERROR(DATE(VALUE(MID(TRIM(N500&amp;" "&amp;O500),12,4)),VALUE(MID(TRIM(N500&amp;" "&amp;O500),17,2)),VALUE(MID(TRIM(N500&amp;" "&amp;O500),20,2))),IF(ISNUMBER(I500),I500,"")),"")</f>
        <v/>
      </c>
      <c r="AD500" s="17">
        <f>IF(AND(ISNUMBER(AB500),ISNUMBER(AC500)),MAX(0,MIN(AC500,EOMONTH(출력_요약!$B$3,0))-MAX(AB500,출력_요약!$B$3)+1),0)</f>
        <v/>
      </c>
      <c r="AE500" s="10">
        <f>IF(AND(Q500&lt;&gt;"",ISNUMBER(AB500)),Q500&amp;"|다기관","")</f>
        <v/>
      </c>
    </row>
    <row r="501">
      <c r="A501" s="15">
        <f>IF(F501="","",ROW()-3)</f>
        <v/>
      </c>
      <c r="B501" s="5" t="n"/>
      <c r="C501" s="15" t="n"/>
      <c r="D501" s="5" t="n"/>
      <c r="E501" s="15" t="n"/>
      <c r="F501" s="5" t="n"/>
      <c r="G501" s="6" t="n"/>
      <c r="H501" s="16" t="n"/>
      <c r="I501" s="16" t="n"/>
      <c r="J501" s="15">
        <f>IF(AND(ISNUMBER(H501),ISNUMBER(I501)),I501-H501+1,"")</f>
        <v/>
      </c>
      <c r="K501" s="5" t="n"/>
      <c r="L501" s="5" t="n"/>
      <c r="M501" s="5" t="n"/>
      <c r="N501" s="5" t="n"/>
      <c r="O501" s="5" t="n"/>
      <c r="Q501" s="10">
        <f>IF(TRIM(G501&amp;"")="","",TRIM(G501&amp;""))</f>
        <v/>
      </c>
      <c r="R501" s="10">
        <f>IF(TRIM(B501&amp;"")="","",IFERROR(INDEX(설정_코드표!$K$2:$K$101,MATCH(TRIM(B501&amp;""),설정_코드표!$J$2:$J$101,0)),"⚠"&amp;TRIM(B501&amp;"")))</f>
        <v/>
      </c>
      <c r="S501" s="10">
        <f>IF(TRIM(K501&amp;"")="","",IFERROR(INDEX(설정_코드표!$K$2:$K$101,MATCH(TRIM(K501&amp;""),설정_코드표!$J$2:$J$101,0)),"⚠"&amp;TRIM(K501&amp;"")))</f>
        <v/>
      </c>
      <c r="T501" s="10">
        <f>IF(TRIM(M501&amp;"")="","",IF(ISNUMBER(MATCH(TRIM(M501&amp;""),설정_코드표!$C$2:$C$11,0)),TRIM(M501&amp;""),"⚠"&amp;TRIM(M501&amp;"")))</f>
        <v/>
      </c>
      <c r="U501" s="10">
        <f>IF(TRIM(L501&amp;"")="","",IFERROR(INDEX(설정_코드표!$G$2:$G$101,MATCH(TRIM(L501&amp;""),설정_코드표!$F$2:$F$101,0)),"⚠"&amp;TRIM(L501&amp;"")))</f>
        <v/>
      </c>
      <c r="V501" s="10">
        <f>IF(AND(ISNUMBER(H501),ISNUMBER(I501)),I501-H501+1,"")</f>
        <v/>
      </c>
      <c r="W501" s="17">
        <f>IF(ISNUMBER(H501),MAX(0,MIN(IF(ISNUMBER(I501),I501,EOMONTH(출력_요약!$B$3,0)),EOMONTH(출력_요약!$B$3,0))-MAX(H501,출력_요약!$B$3)+1),0)</f>
        <v/>
      </c>
      <c r="X501" s="10">
        <f>IF(OR(NOT(ISNUMBER(H501)),Q501=""),"",IF(TODAY()&lt;H501,"파견예정",IF(AND(ISNUMBER(I501),TODAY()&gt;I501),"파견종료","파견중")))</f>
        <v/>
      </c>
      <c r="Y501" s="10">
        <f>IF(OR(Q501="",X501=""),"",Q501&amp;"|"&amp;X501)</f>
        <v/>
      </c>
      <c r="Z501" s="10">
        <f>IF(AND(Q501&lt;&gt;"",W501&gt;0),Q501&amp;"|월","")</f>
        <v/>
      </c>
      <c r="AA501" s="10">
        <f>IF(COUNTA(B501:I501,K501:N501)=0,"",IF(Q501="","등록번호 없음",IF(LEFT(R501,1)="⚠","모병원명 미등록",IF(S501="","파견병원 입력",IF(LEFT(S501,1)="⚠","파견병원명 미등록",IF(LEFT(U501,1)="⚠","파견과목 미등록",IF(OR(T501="",LEFT(T501,1)="⚠"),"파견근거 확인",IF(NOT(AND(ISNUMBER(H501),ISNUMBER(I501))),"날짜 형식/누락",IF(I501&lt;H501,"종료일&lt;시작일","")))))))))</f>
        <v/>
      </c>
      <c r="AB501" s="11">
        <f>IF(ISNUMBER(SEARCH("다기관",TRIM(N501&amp;" "&amp;O501))),IFERROR(DATE(VALUE(MID(TRIM(N501&amp;" "&amp;O501),1,4)),VALUE(MID(TRIM(N501&amp;" "&amp;O501),6,2)),VALUE(MID(TRIM(N501&amp;" "&amp;O501),9,2))),IF(ISNUMBER(H501),H501,"")),"")</f>
        <v/>
      </c>
      <c r="AC501" s="11">
        <f>IF(ISNUMBER(SEARCH("다기관",TRIM(N501&amp;" "&amp;O501))),IFERROR(DATE(VALUE(MID(TRIM(N501&amp;" "&amp;O501),12,4)),VALUE(MID(TRIM(N501&amp;" "&amp;O501),17,2)),VALUE(MID(TRIM(N501&amp;" "&amp;O501),20,2))),IF(ISNUMBER(I501),I501,"")),"")</f>
        <v/>
      </c>
      <c r="AD501" s="17">
        <f>IF(AND(ISNUMBER(AB501),ISNUMBER(AC501)),MAX(0,MIN(AC501,EOMONTH(출력_요약!$B$3,0))-MAX(AB501,출력_요약!$B$3)+1),0)</f>
        <v/>
      </c>
      <c r="AE501" s="10">
        <f>IF(AND(Q501&lt;&gt;"",ISNUMBER(AB501)),Q501&amp;"|다기관","")</f>
        <v/>
      </c>
    </row>
    <row r="502">
      <c r="A502" s="15">
        <f>IF(F502="","",ROW()-3)</f>
        <v/>
      </c>
      <c r="B502" s="5" t="n"/>
      <c r="C502" s="15" t="n"/>
      <c r="D502" s="5" t="n"/>
      <c r="E502" s="15" t="n"/>
      <c r="F502" s="5" t="n"/>
      <c r="G502" s="6" t="n"/>
      <c r="H502" s="16" t="n"/>
      <c r="I502" s="16" t="n"/>
      <c r="J502" s="15">
        <f>IF(AND(ISNUMBER(H502),ISNUMBER(I502)),I502-H502+1,"")</f>
        <v/>
      </c>
      <c r="K502" s="5" t="n"/>
      <c r="L502" s="5" t="n"/>
      <c r="M502" s="5" t="n"/>
      <c r="N502" s="5" t="n"/>
      <c r="O502" s="5" t="n"/>
      <c r="Q502" s="10">
        <f>IF(TRIM(G502&amp;"")="","",TRIM(G502&amp;""))</f>
        <v/>
      </c>
      <c r="R502" s="10">
        <f>IF(TRIM(B502&amp;"")="","",IFERROR(INDEX(설정_코드표!$K$2:$K$101,MATCH(TRIM(B502&amp;""),설정_코드표!$J$2:$J$101,0)),"⚠"&amp;TRIM(B502&amp;"")))</f>
        <v/>
      </c>
      <c r="S502" s="10">
        <f>IF(TRIM(K502&amp;"")="","",IFERROR(INDEX(설정_코드표!$K$2:$K$101,MATCH(TRIM(K502&amp;""),설정_코드표!$J$2:$J$101,0)),"⚠"&amp;TRIM(K502&amp;"")))</f>
        <v/>
      </c>
      <c r="T502" s="10">
        <f>IF(TRIM(M502&amp;"")="","",IF(ISNUMBER(MATCH(TRIM(M502&amp;""),설정_코드표!$C$2:$C$11,0)),TRIM(M502&amp;""),"⚠"&amp;TRIM(M502&amp;"")))</f>
        <v/>
      </c>
      <c r="U502" s="10">
        <f>IF(TRIM(L502&amp;"")="","",IFERROR(INDEX(설정_코드표!$G$2:$G$101,MATCH(TRIM(L502&amp;""),설정_코드표!$F$2:$F$101,0)),"⚠"&amp;TRIM(L502&amp;"")))</f>
        <v/>
      </c>
      <c r="V502" s="10">
        <f>IF(AND(ISNUMBER(H502),ISNUMBER(I502)),I502-H502+1,"")</f>
        <v/>
      </c>
      <c r="W502" s="17">
        <f>IF(ISNUMBER(H502),MAX(0,MIN(IF(ISNUMBER(I502),I502,EOMONTH(출력_요약!$B$3,0)),EOMONTH(출력_요약!$B$3,0))-MAX(H502,출력_요약!$B$3)+1),0)</f>
        <v/>
      </c>
      <c r="X502" s="10">
        <f>IF(OR(NOT(ISNUMBER(H502)),Q502=""),"",IF(TODAY()&lt;H502,"파견예정",IF(AND(ISNUMBER(I502),TODAY()&gt;I502),"파견종료","파견중")))</f>
        <v/>
      </c>
      <c r="Y502" s="10">
        <f>IF(OR(Q502="",X502=""),"",Q502&amp;"|"&amp;X502)</f>
        <v/>
      </c>
      <c r="Z502" s="10">
        <f>IF(AND(Q502&lt;&gt;"",W502&gt;0),Q502&amp;"|월","")</f>
        <v/>
      </c>
      <c r="AA502" s="10">
        <f>IF(COUNTA(B502:I502,K502:N502)=0,"",IF(Q502="","등록번호 없음",IF(LEFT(R502,1)="⚠","모병원명 미등록",IF(S502="","파견병원 입력",IF(LEFT(S502,1)="⚠","파견병원명 미등록",IF(LEFT(U502,1)="⚠","파견과목 미등록",IF(OR(T502="",LEFT(T502,1)="⚠"),"파견근거 확인",IF(NOT(AND(ISNUMBER(H502),ISNUMBER(I502))),"날짜 형식/누락",IF(I502&lt;H502,"종료일&lt;시작일","")))))))))</f>
        <v/>
      </c>
      <c r="AB502" s="11">
        <f>IF(ISNUMBER(SEARCH("다기관",TRIM(N502&amp;" "&amp;O502))),IFERROR(DATE(VALUE(MID(TRIM(N502&amp;" "&amp;O502),1,4)),VALUE(MID(TRIM(N502&amp;" "&amp;O502),6,2)),VALUE(MID(TRIM(N502&amp;" "&amp;O502),9,2))),IF(ISNUMBER(H502),H502,"")),"")</f>
        <v/>
      </c>
      <c r="AC502" s="11">
        <f>IF(ISNUMBER(SEARCH("다기관",TRIM(N502&amp;" "&amp;O502))),IFERROR(DATE(VALUE(MID(TRIM(N502&amp;" "&amp;O502),12,4)),VALUE(MID(TRIM(N502&amp;" "&amp;O502),17,2)),VALUE(MID(TRIM(N502&amp;" "&amp;O502),20,2))),IF(ISNUMBER(I502),I502,"")),"")</f>
        <v/>
      </c>
      <c r="AD502" s="17">
        <f>IF(AND(ISNUMBER(AB502),ISNUMBER(AC502)),MAX(0,MIN(AC502,EOMONTH(출력_요약!$B$3,0))-MAX(AB502,출력_요약!$B$3)+1),0)</f>
        <v/>
      </c>
      <c r="AE502" s="10">
        <f>IF(AND(Q502&lt;&gt;"",ISNUMBER(AB502)),Q502&amp;"|다기관","")</f>
        <v/>
      </c>
    </row>
    <row r="503">
      <c r="A503" s="15">
        <f>IF(F503="","",ROW()-3)</f>
        <v/>
      </c>
      <c r="B503" s="5" t="n"/>
      <c r="C503" s="15" t="n"/>
      <c r="D503" s="5" t="n"/>
      <c r="E503" s="15" t="n"/>
      <c r="F503" s="5" t="n"/>
      <c r="G503" s="6" t="n"/>
      <c r="H503" s="16" t="n"/>
      <c r="I503" s="16" t="n"/>
      <c r="J503" s="15">
        <f>IF(AND(ISNUMBER(H503),ISNUMBER(I503)),I503-H503+1,"")</f>
        <v/>
      </c>
      <c r="K503" s="5" t="n"/>
      <c r="L503" s="5" t="n"/>
      <c r="M503" s="5" t="n"/>
      <c r="N503" s="5" t="n"/>
      <c r="O503" s="5" t="n"/>
      <c r="Q503" s="10">
        <f>IF(TRIM(G503&amp;"")="","",TRIM(G503&amp;""))</f>
        <v/>
      </c>
      <c r="R503" s="10">
        <f>IF(TRIM(B503&amp;"")="","",IFERROR(INDEX(설정_코드표!$K$2:$K$101,MATCH(TRIM(B503&amp;""),설정_코드표!$J$2:$J$101,0)),"⚠"&amp;TRIM(B503&amp;"")))</f>
        <v/>
      </c>
      <c r="S503" s="10">
        <f>IF(TRIM(K503&amp;"")="","",IFERROR(INDEX(설정_코드표!$K$2:$K$101,MATCH(TRIM(K503&amp;""),설정_코드표!$J$2:$J$101,0)),"⚠"&amp;TRIM(K503&amp;"")))</f>
        <v/>
      </c>
      <c r="T503" s="10">
        <f>IF(TRIM(M503&amp;"")="","",IF(ISNUMBER(MATCH(TRIM(M503&amp;""),설정_코드표!$C$2:$C$11,0)),TRIM(M503&amp;""),"⚠"&amp;TRIM(M503&amp;"")))</f>
        <v/>
      </c>
      <c r="U503" s="10">
        <f>IF(TRIM(L503&amp;"")="","",IFERROR(INDEX(설정_코드표!$G$2:$G$101,MATCH(TRIM(L503&amp;""),설정_코드표!$F$2:$F$101,0)),"⚠"&amp;TRIM(L503&amp;"")))</f>
        <v/>
      </c>
      <c r="V503" s="10">
        <f>IF(AND(ISNUMBER(H503),ISNUMBER(I503)),I503-H503+1,"")</f>
        <v/>
      </c>
      <c r="W503" s="17">
        <f>IF(ISNUMBER(H503),MAX(0,MIN(IF(ISNUMBER(I503),I503,EOMONTH(출력_요약!$B$3,0)),EOMONTH(출력_요약!$B$3,0))-MAX(H503,출력_요약!$B$3)+1),0)</f>
        <v/>
      </c>
      <c r="X503" s="10">
        <f>IF(OR(NOT(ISNUMBER(H503)),Q503=""),"",IF(TODAY()&lt;H503,"파견예정",IF(AND(ISNUMBER(I503),TODAY()&gt;I503),"파견종료","파견중")))</f>
        <v/>
      </c>
      <c r="Y503" s="10">
        <f>IF(OR(Q503="",X503=""),"",Q503&amp;"|"&amp;X503)</f>
        <v/>
      </c>
      <c r="Z503" s="10">
        <f>IF(AND(Q503&lt;&gt;"",W503&gt;0),Q503&amp;"|월","")</f>
        <v/>
      </c>
      <c r="AA503" s="10">
        <f>IF(COUNTA(B503:I503,K503:N503)=0,"",IF(Q503="","등록번호 없음",IF(LEFT(R503,1)="⚠","모병원명 미등록",IF(S503="","파견병원 입력",IF(LEFT(S503,1)="⚠","파견병원명 미등록",IF(LEFT(U503,1)="⚠","파견과목 미등록",IF(OR(T503="",LEFT(T503,1)="⚠"),"파견근거 확인",IF(NOT(AND(ISNUMBER(H503),ISNUMBER(I503))),"날짜 형식/누락",IF(I503&lt;H503,"종료일&lt;시작일","")))))))))</f>
        <v/>
      </c>
      <c r="AB503" s="11">
        <f>IF(ISNUMBER(SEARCH("다기관",TRIM(N503&amp;" "&amp;O503))),IFERROR(DATE(VALUE(MID(TRIM(N503&amp;" "&amp;O503),1,4)),VALUE(MID(TRIM(N503&amp;" "&amp;O503),6,2)),VALUE(MID(TRIM(N503&amp;" "&amp;O503),9,2))),IF(ISNUMBER(H503),H503,"")),"")</f>
        <v/>
      </c>
      <c r="AC503" s="11">
        <f>IF(ISNUMBER(SEARCH("다기관",TRIM(N503&amp;" "&amp;O503))),IFERROR(DATE(VALUE(MID(TRIM(N503&amp;" "&amp;O503),12,4)),VALUE(MID(TRIM(N503&amp;" "&amp;O503),17,2)),VALUE(MID(TRIM(N503&amp;" "&amp;O503),20,2))),IF(ISNUMBER(I503),I503,"")),"")</f>
        <v/>
      </c>
      <c r="AD503" s="17">
        <f>IF(AND(ISNUMBER(AB503),ISNUMBER(AC503)),MAX(0,MIN(AC503,EOMONTH(출력_요약!$B$3,0))-MAX(AB503,출력_요약!$B$3)+1),0)</f>
        <v/>
      </c>
      <c r="AE503" s="10">
        <f>IF(AND(Q503&lt;&gt;"",ISNUMBER(AB503)),Q503&amp;"|다기관","")</f>
        <v/>
      </c>
    </row>
    <row r="504">
      <c r="A504" s="15">
        <f>IF(F504="","",ROW()-3)</f>
        <v/>
      </c>
      <c r="B504" s="5" t="n"/>
      <c r="C504" s="15" t="n"/>
      <c r="D504" s="5" t="n"/>
      <c r="E504" s="15" t="n"/>
      <c r="F504" s="5" t="n"/>
      <c r="G504" s="6" t="n"/>
      <c r="H504" s="16" t="n"/>
      <c r="I504" s="16" t="n"/>
      <c r="J504" s="15">
        <f>IF(AND(ISNUMBER(H504),ISNUMBER(I504)),I504-H504+1,"")</f>
        <v/>
      </c>
      <c r="K504" s="5" t="n"/>
      <c r="L504" s="5" t="n"/>
      <c r="M504" s="5" t="n"/>
      <c r="N504" s="5" t="n"/>
      <c r="O504" s="5" t="n"/>
      <c r="Q504" s="10">
        <f>IF(TRIM(G504&amp;"")="","",TRIM(G504&amp;""))</f>
        <v/>
      </c>
      <c r="R504" s="10">
        <f>IF(TRIM(B504&amp;"")="","",IFERROR(INDEX(설정_코드표!$K$2:$K$101,MATCH(TRIM(B504&amp;""),설정_코드표!$J$2:$J$101,0)),"⚠"&amp;TRIM(B504&amp;"")))</f>
        <v/>
      </c>
      <c r="S504" s="10">
        <f>IF(TRIM(K504&amp;"")="","",IFERROR(INDEX(설정_코드표!$K$2:$K$101,MATCH(TRIM(K504&amp;""),설정_코드표!$J$2:$J$101,0)),"⚠"&amp;TRIM(K504&amp;"")))</f>
        <v/>
      </c>
      <c r="T504" s="10">
        <f>IF(TRIM(M504&amp;"")="","",IF(ISNUMBER(MATCH(TRIM(M504&amp;""),설정_코드표!$C$2:$C$11,0)),TRIM(M504&amp;""),"⚠"&amp;TRIM(M504&amp;"")))</f>
        <v/>
      </c>
      <c r="U504" s="10">
        <f>IF(TRIM(L504&amp;"")="","",IFERROR(INDEX(설정_코드표!$G$2:$G$101,MATCH(TRIM(L504&amp;""),설정_코드표!$F$2:$F$101,0)),"⚠"&amp;TRIM(L504&amp;"")))</f>
        <v/>
      </c>
      <c r="V504" s="10">
        <f>IF(AND(ISNUMBER(H504),ISNUMBER(I504)),I504-H504+1,"")</f>
        <v/>
      </c>
      <c r="W504" s="17">
        <f>IF(ISNUMBER(H504),MAX(0,MIN(IF(ISNUMBER(I504),I504,EOMONTH(출력_요약!$B$3,0)),EOMONTH(출력_요약!$B$3,0))-MAX(H504,출력_요약!$B$3)+1),0)</f>
        <v/>
      </c>
      <c r="X504" s="10">
        <f>IF(OR(NOT(ISNUMBER(H504)),Q504=""),"",IF(TODAY()&lt;H504,"파견예정",IF(AND(ISNUMBER(I504),TODAY()&gt;I504),"파견종료","파견중")))</f>
        <v/>
      </c>
      <c r="Y504" s="10">
        <f>IF(OR(Q504="",X504=""),"",Q504&amp;"|"&amp;X504)</f>
        <v/>
      </c>
      <c r="Z504" s="10">
        <f>IF(AND(Q504&lt;&gt;"",W504&gt;0),Q504&amp;"|월","")</f>
        <v/>
      </c>
      <c r="AA504" s="10">
        <f>IF(COUNTA(B504:I504,K504:N504)=0,"",IF(Q504="","등록번호 없음",IF(LEFT(R504,1)="⚠","모병원명 미등록",IF(S504="","파견병원 입력",IF(LEFT(S504,1)="⚠","파견병원명 미등록",IF(LEFT(U504,1)="⚠","파견과목 미등록",IF(OR(T504="",LEFT(T504,1)="⚠"),"파견근거 확인",IF(NOT(AND(ISNUMBER(H504),ISNUMBER(I504))),"날짜 형식/누락",IF(I504&lt;H504,"종료일&lt;시작일","")))))))))</f>
        <v/>
      </c>
      <c r="AB504" s="11">
        <f>IF(ISNUMBER(SEARCH("다기관",TRIM(N504&amp;" "&amp;O504))),IFERROR(DATE(VALUE(MID(TRIM(N504&amp;" "&amp;O504),1,4)),VALUE(MID(TRIM(N504&amp;" "&amp;O504),6,2)),VALUE(MID(TRIM(N504&amp;" "&amp;O504),9,2))),IF(ISNUMBER(H504),H504,"")),"")</f>
        <v/>
      </c>
      <c r="AC504" s="11">
        <f>IF(ISNUMBER(SEARCH("다기관",TRIM(N504&amp;" "&amp;O504))),IFERROR(DATE(VALUE(MID(TRIM(N504&amp;" "&amp;O504),12,4)),VALUE(MID(TRIM(N504&amp;" "&amp;O504),17,2)),VALUE(MID(TRIM(N504&amp;" "&amp;O504),20,2))),IF(ISNUMBER(I504),I504,"")),"")</f>
        <v/>
      </c>
      <c r="AD504" s="17">
        <f>IF(AND(ISNUMBER(AB504),ISNUMBER(AC504)),MAX(0,MIN(AC504,EOMONTH(출력_요약!$B$3,0))-MAX(AB504,출력_요약!$B$3)+1),0)</f>
        <v/>
      </c>
      <c r="AE504" s="10">
        <f>IF(AND(Q504&lt;&gt;"",ISNUMBER(AB504)),Q504&amp;"|다기관","")</f>
        <v/>
      </c>
    </row>
    <row r="505">
      <c r="A505" s="15">
        <f>IF(F505="","",ROW()-3)</f>
        <v/>
      </c>
      <c r="B505" s="5" t="n"/>
      <c r="C505" s="15" t="n"/>
      <c r="D505" s="5" t="n"/>
      <c r="E505" s="15" t="n"/>
      <c r="F505" s="5" t="n"/>
      <c r="G505" s="6" t="n"/>
      <c r="H505" s="16" t="n"/>
      <c r="I505" s="16" t="n"/>
      <c r="J505" s="15">
        <f>IF(AND(ISNUMBER(H505),ISNUMBER(I505)),I505-H505+1,"")</f>
        <v/>
      </c>
      <c r="K505" s="5" t="n"/>
      <c r="L505" s="5" t="n"/>
      <c r="M505" s="5" t="n"/>
      <c r="N505" s="5" t="n"/>
      <c r="O505" s="5" t="n"/>
      <c r="Q505" s="10">
        <f>IF(TRIM(G505&amp;"")="","",TRIM(G505&amp;""))</f>
        <v/>
      </c>
      <c r="R505" s="10">
        <f>IF(TRIM(B505&amp;"")="","",IFERROR(INDEX(설정_코드표!$K$2:$K$101,MATCH(TRIM(B505&amp;""),설정_코드표!$J$2:$J$101,0)),"⚠"&amp;TRIM(B505&amp;"")))</f>
        <v/>
      </c>
      <c r="S505" s="10">
        <f>IF(TRIM(K505&amp;"")="","",IFERROR(INDEX(설정_코드표!$K$2:$K$101,MATCH(TRIM(K505&amp;""),설정_코드표!$J$2:$J$101,0)),"⚠"&amp;TRIM(K505&amp;"")))</f>
        <v/>
      </c>
      <c r="T505" s="10">
        <f>IF(TRIM(M505&amp;"")="","",IF(ISNUMBER(MATCH(TRIM(M505&amp;""),설정_코드표!$C$2:$C$11,0)),TRIM(M505&amp;""),"⚠"&amp;TRIM(M505&amp;"")))</f>
        <v/>
      </c>
      <c r="U505" s="10">
        <f>IF(TRIM(L505&amp;"")="","",IFERROR(INDEX(설정_코드표!$G$2:$G$101,MATCH(TRIM(L505&amp;""),설정_코드표!$F$2:$F$101,0)),"⚠"&amp;TRIM(L505&amp;"")))</f>
        <v/>
      </c>
      <c r="V505" s="10">
        <f>IF(AND(ISNUMBER(H505),ISNUMBER(I505)),I505-H505+1,"")</f>
        <v/>
      </c>
      <c r="W505" s="17">
        <f>IF(ISNUMBER(H505),MAX(0,MIN(IF(ISNUMBER(I505),I505,EOMONTH(출력_요약!$B$3,0)),EOMONTH(출력_요약!$B$3,0))-MAX(H505,출력_요약!$B$3)+1),0)</f>
        <v/>
      </c>
      <c r="X505" s="10">
        <f>IF(OR(NOT(ISNUMBER(H505)),Q505=""),"",IF(TODAY()&lt;H505,"파견예정",IF(AND(ISNUMBER(I505),TODAY()&gt;I505),"파견종료","파견중")))</f>
        <v/>
      </c>
      <c r="Y505" s="10">
        <f>IF(OR(Q505="",X505=""),"",Q505&amp;"|"&amp;X505)</f>
        <v/>
      </c>
      <c r="Z505" s="10">
        <f>IF(AND(Q505&lt;&gt;"",W505&gt;0),Q505&amp;"|월","")</f>
        <v/>
      </c>
      <c r="AA505" s="10">
        <f>IF(COUNTA(B505:I505,K505:N505)=0,"",IF(Q505="","등록번호 없음",IF(LEFT(R505,1)="⚠","모병원명 미등록",IF(S505="","파견병원 입력",IF(LEFT(S505,1)="⚠","파견병원명 미등록",IF(LEFT(U505,1)="⚠","파견과목 미등록",IF(OR(T505="",LEFT(T505,1)="⚠"),"파견근거 확인",IF(NOT(AND(ISNUMBER(H505),ISNUMBER(I505))),"날짜 형식/누락",IF(I505&lt;H505,"종료일&lt;시작일","")))))))))</f>
        <v/>
      </c>
      <c r="AB505" s="11">
        <f>IF(ISNUMBER(SEARCH("다기관",TRIM(N505&amp;" "&amp;O505))),IFERROR(DATE(VALUE(MID(TRIM(N505&amp;" "&amp;O505),1,4)),VALUE(MID(TRIM(N505&amp;" "&amp;O505),6,2)),VALUE(MID(TRIM(N505&amp;" "&amp;O505),9,2))),IF(ISNUMBER(H505),H505,"")),"")</f>
        <v/>
      </c>
      <c r="AC505" s="11">
        <f>IF(ISNUMBER(SEARCH("다기관",TRIM(N505&amp;" "&amp;O505))),IFERROR(DATE(VALUE(MID(TRIM(N505&amp;" "&amp;O505),12,4)),VALUE(MID(TRIM(N505&amp;" "&amp;O505),17,2)),VALUE(MID(TRIM(N505&amp;" "&amp;O505),20,2))),IF(ISNUMBER(I505),I505,"")),"")</f>
        <v/>
      </c>
      <c r="AD505" s="17">
        <f>IF(AND(ISNUMBER(AB505),ISNUMBER(AC505)),MAX(0,MIN(AC505,EOMONTH(출력_요약!$B$3,0))-MAX(AB505,출력_요약!$B$3)+1),0)</f>
        <v/>
      </c>
      <c r="AE505" s="10">
        <f>IF(AND(Q505&lt;&gt;"",ISNUMBER(AB505)),Q505&amp;"|다기관","")</f>
        <v/>
      </c>
    </row>
    <row r="506">
      <c r="A506" s="15">
        <f>IF(F506="","",ROW()-3)</f>
        <v/>
      </c>
      <c r="B506" s="5" t="n"/>
      <c r="C506" s="15" t="n"/>
      <c r="D506" s="5" t="n"/>
      <c r="E506" s="15" t="n"/>
      <c r="F506" s="5" t="n"/>
      <c r="G506" s="6" t="n"/>
      <c r="H506" s="16" t="n"/>
      <c r="I506" s="16" t="n"/>
      <c r="J506" s="15">
        <f>IF(AND(ISNUMBER(H506),ISNUMBER(I506)),I506-H506+1,"")</f>
        <v/>
      </c>
      <c r="K506" s="5" t="n"/>
      <c r="L506" s="5" t="n"/>
      <c r="M506" s="5" t="n"/>
      <c r="N506" s="5" t="n"/>
      <c r="O506" s="5" t="n"/>
      <c r="Q506" s="10">
        <f>IF(TRIM(G506&amp;"")="","",TRIM(G506&amp;""))</f>
        <v/>
      </c>
      <c r="R506" s="10">
        <f>IF(TRIM(B506&amp;"")="","",IFERROR(INDEX(설정_코드표!$K$2:$K$101,MATCH(TRIM(B506&amp;""),설정_코드표!$J$2:$J$101,0)),"⚠"&amp;TRIM(B506&amp;"")))</f>
        <v/>
      </c>
      <c r="S506" s="10">
        <f>IF(TRIM(K506&amp;"")="","",IFERROR(INDEX(설정_코드표!$K$2:$K$101,MATCH(TRIM(K506&amp;""),설정_코드표!$J$2:$J$101,0)),"⚠"&amp;TRIM(K506&amp;"")))</f>
        <v/>
      </c>
      <c r="T506" s="10">
        <f>IF(TRIM(M506&amp;"")="","",IF(ISNUMBER(MATCH(TRIM(M506&amp;""),설정_코드표!$C$2:$C$11,0)),TRIM(M506&amp;""),"⚠"&amp;TRIM(M506&amp;"")))</f>
        <v/>
      </c>
      <c r="U506" s="10">
        <f>IF(TRIM(L506&amp;"")="","",IFERROR(INDEX(설정_코드표!$G$2:$G$101,MATCH(TRIM(L506&amp;""),설정_코드표!$F$2:$F$101,0)),"⚠"&amp;TRIM(L506&amp;"")))</f>
        <v/>
      </c>
      <c r="V506" s="10">
        <f>IF(AND(ISNUMBER(H506),ISNUMBER(I506)),I506-H506+1,"")</f>
        <v/>
      </c>
      <c r="W506" s="17">
        <f>IF(ISNUMBER(H506),MAX(0,MIN(IF(ISNUMBER(I506),I506,EOMONTH(출력_요약!$B$3,0)),EOMONTH(출력_요약!$B$3,0))-MAX(H506,출력_요약!$B$3)+1),0)</f>
        <v/>
      </c>
      <c r="X506" s="10">
        <f>IF(OR(NOT(ISNUMBER(H506)),Q506=""),"",IF(TODAY()&lt;H506,"파견예정",IF(AND(ISNUMBER(I506),TODAY()&gt;I506),"파견종료","파견중")))</f>
        <v/>
      </c>
      <c r="Y506" s="10">
        <f>IF(OR(Q506="",X506=""),"",Q506&amp;"|"&amp;X506)</f>
        <v/>
      </c>
      <c r="Z506" s="10">
        <f>IF(AND(Q506&lt;&gt;"",W506&gt;0),Q506&amp;"|월","")</f>
        <v/>
      </c>
      <c r="AA506" s="10">
        <f>IF(COUNTA(B506:I506,K506:N506)=0,"",IF(Q506="","등록번호 없음",IF(LEFT(R506,1)="⚠","모병원명 미등록",IF(S506="","파견병원 입력",IF(LEFT(S506,1)="⚠","파견병원명 미등록",IF(LEFT(U506,1)="⚠","파견과목 미등록",IF(OR(T506="",LEFT(T506,1)="⚠"),"파견근거 확인",IF(NOT(AND(ISNUMBER(H506),ISNUMBER(I506))),"날짜 형식/누락",IF(I506&lt;H506,"종료일&lt;시작일","")))))))))</f>
        <v/>
      </c>
      <c r="AB506" s="11">
        <f>IF(ISNUMBER(SEARCH("다기관",TRIM(N506&amp;" "&amp;O506))),IFERROR(DATE(VALUE(MID(TRIM(N506&amp;" "&amp;O506),1,4)),VALUE(MID(TRIM(N506&amp;" "&amp;O506),6,2)),VALUE(MID(TRIM(N506&amp;" "&amp;O506),9,2))),IF(ISNUMBER(H506),H506,"")),"")</f>
        <v/>
      </c>
      <c r="AC506" s="11">
        <f>IF(ISNUMBER(SEARCH("다기관",TRIM(N506&amp;" "&amp;O506))),IFERROR(DATE(VALUE(MID(TRIM(N506&amp;" "&amp;O506),12,4)),VALUE(MID(TRIM(N506&amp;" "&amp;O506),17,2)),VALUE(MID(TRIM(N506&amp;" "&amp;O506),20,2))),IF(ISNUMBER(I506),I506,"")),"")</f>
        <v/>
      </c>
      <c r="AD506" s="17">
        <f>IF(AND(ISNUMBER(AB506),ISNUMBER(AC506)),MAX(0,MIN(AC506,EOMONTH(출력_요약!$B$3,0))-MAX(AB506,출력_요약!$B$3)+1),0)</f>
        <v/>
      </c>
      <c r="AE506" s="10">
        <f>IF(AND(Q506&lt;&gt;"",ISNUMBER(AB506)),Q506&amp;"|다기관","")</f>
        <v/>
      </c>
    </row>
    <row r="507">
      <c r="A507" s="15">
        <f>IF(F507="","",ROW()-3)</f>
        <v/>
      </c>
      <c r="B507" s="5" t="n"/>
      <c r="C507" s="15" t="n"/>
      <c r="D507" s="5" t="n"/>
      <c r="E507" s="15" t="n"/>
      <c r="F507" s="5" t="n"/>
      <c r="G507" s="6" t="n"/>
      <c r="H507" s="16" t="n"/>
      <c r="I507" s="16" t="n"/>
      <c r="J507" s="15">
        <f>IF(AND(ISNUMBER(H507),ISNUMBER(I507)),I507-H507+1,"")</f>
        <v/>
      </c>
      <c r="K507" s="5" t="n"/>
      <c r="L507" s="5" t="n"/>
      <c r="M507" s="5" t="n"/>
      <c r="N507" s="5" t="n"/>
      <c r="O507" s="5" t="n"/>
      <c r="Q507" s="10">
        <f>IF(TRIM(G507&amp;"")="","",TRIM(G507&amp;""))</f>
        <v/>
      </c>
      <c r="R507" s="10">
        <f>IF(TRIM(B507&amp;"")="","",IFERROR(INDEX(설정_코드표!$K$2:$K$101,MATCH(TRIM(B507&amp;""),설정_코드표!$J$2:$J$101,0)),"⚠"&amp;TRIM(B507&amp;"")))</f>
        <v/>
      </c>
      <c r="S507" s="10">
        <f>IF(TRIM(K507&amp;"")="","",IFERROR(INDEX(설정_코드표!$K$2:$K$101,MATCH(TRIM(K507&amp;""),설정_코드표!$J$2:$J$101,0)),"⚠"&amp;TRIM(K507&amp;"")))</f>
        <v/>
      </c>
      <c r="T507" s="10">
        <f>IF(TRIM(M507&amp;"")="","",IF(ISNUMBER(MATCH(TRIM(M507&amp;""),설정_코드표!$C$2:$C$11,0)),TRIM(M507&amp;""),"⚠"&amp;TRIM(M507&amp;"")))</f>
        <v/>
      </c>
      <c r="U507" s="10">
        <f>IF(TRIM(L507&amp;"")="","",IFERROR(INDEX(설정_코드표!$G$2:$G$101,MATCH(TRIM(L507&amp;""),설정_코드표!$F$2:$F$101,0)),"⚠"&amp;TRIM(L507&amp;"")))</f>
        <v/>
      </c>
      <c r="V507" s="10">
        <f>IF(AND(ISNUMBER(H507),ISNUMBER(I507)),I507-H507+1,"")</f>
        <v/>
      </c>
      <c r="W507" s="17">
        <f>IF(ISNUMBER(H507),MAX(0,MIN(IF(ISNUMBER(I507),I507,EOMONTH(출력_요약!$B$3,0)),EOMONTH(출력_요약!$B$3,0))-MAX(H507,출력_요약!$B$3)+1),0)</f>
        <v/>
      </c>
      <c r="X507" s="10">
        <f>IF(OR(NOT(ISNUMBER(H507)),Q507=""),"",IF(TODAY()&lt;H507,"파견예정",IF(AND(ISNUMBER(I507),TODAY()&gt;I507),"파견종료","파견중")))</f>
        <v/>
      </c>
      <c r="Y507" s="10">
        <f>IF(OR(Q507="",X507=""),"",Q507&amp;"|"&amp;X507)</f>
        <v/>
      </c>
      <c r="Z507" s="10">
        <f>IF(AND(Q507&lt;&gt;"",W507&gt;0),Q507&amp;"|월","")</f>
        <v/>
      </c>
      <c r="AA507" s="10">
        <f>IF(COUNTA(B507:I507,K507:N507)=0,"",IF(Q507="","등록번호 없음",IF(LEFT(R507,1)="⚠","모병원명 미등록",IF(S507="","파견병원 입력",IF(LEFT(S507,1)="⚠","파견병원명 미등록",IF(LEFT(U507,1)="⚠","파견과목 미등록",IF(OR(T507="",LEFT(T507,1)="⚠"),"파견근거 확인",IF(NOT(AND(ISNUMBER(H507),ISNUMBER(I507))),"날짜 형식/누락",IF(I507&lt;H507,"종료일&lt;시작일","")))))))))</f>
        <v/>
      </c>
      <c r="AB507" s="11">
        <f>IF(ISNUMBER(SEARCH("다기관",TRIM(N507&amp;" "&amp;O507))),IFERROR(DATE(VALUE(MID(TRIM(N507&amp;" "&amp;O507),1,4)),VALUE(MID(TRIM(N507&amp;" "&amp;O507),6,2)),VALUE(MID(TRIM(N507&amp;" "&amp;O507),9,2))),IF(ISNUMBER(H507),H507,"")),"")</f>
        <v/>
      </c>
      <c r="AC507" s="11">
        <f>IF(ISNUMBER(SEARCH("다기관",TRIM(N507&amp;" "&amp;O507))),IFERROR(DATE(VALUE(MID(TRIM(N507&amp;" "&amp;O507),12,4)),VALUE(MID(TRIM(N507&amp;" "&amp;O507),17,2)),VALUE(MID(TRIM(N507&amp;" "&amp;O507),20,2))),IF(ISNUMBER(I507),I507,"")),"")</f>
        <v/>
      </c>
      <c r="AD507" s="17">
        <f>IF(AND(ISNUMBER(AB507),ISNUMBER(AC507)),MAX(0,MIN(AC507,EOMONTH(출력_요약!$B$3,0))-MAX(AB507,출력_요약!$B$3)+1),0)</f>
        <v/>
      </c>
      <c r="AE507" s="10">
        <f>IF(AND(Q507&lt;&gt;"",ISNUMBER(AB507)),Q507&amp;"|다기관","")</f>
        <v/>
      </c>
    </row>
    <row r="508">
      <c r="A508" s="15">
        <f>IF(F508="","",ROW()-3)</f>
        <v/>
      </c>
      <c r="B508" s="5" t="n"/>
      <c r="C508" s="15" t="n"/>
      <c r="D508" s="5" t="n"/>
      <c r="E508" s="15" t="n"/>
      <c r="F508" s="5" t="n"/>
      <c r="G508" s="6" t="n"/>
      <c r="H508" s="16" t="n"/>
      <c r="I508" s="16" t="n"/>
      <c r="J508" s="15">
        <f>IF(AND(ISNUMBER(H508),ISNUMBER(I508)),I508-H508+1,"")</f>
        <v/>
      </c>
      <c r="K508" s="5" t="n"/>
      <c r="L508" s="5" t="n"/>
      <c r="M508" s="5" t="n"/>
      <c r="N508" s="5" t="n"/>
      <c r="O508" s="5" t="n"/>
      <c r="Q508" s="10">
        <f>IF(TRIM(G508&amp;"")="","",TRIM(G508&amp;""))</f>
        <v/>
      </c>
      <c r="R508" s="10">
        <f>IF(TRIM(B508&amp;"")="","",IFERROR(INDEX(설정_코드표!$K$2:$K$101,MATCH(TRIM(B508&amp;""),설정_코드표!$J$2:$J$101,0)),"⚠"&amp;TRIM(B508&amp;"")))</f>
        <v/>
      </c>
      <c r="S508" s="10">
        <f>IF(TRIM(K508&amp;"")="","",IFERROR(INDEX(설정_코드표!$K$2:$K$101,MATCH(TRIM(K508&amp;""),설정_코드표!$J$2:$J$101,0)),"⚠"&amp;TRIM(K508&amp;"")))</f>
        <v/>
      </c>
      <c r="T508" s="10">
        <f>IF(TRIM(M508&amp;"")="","",IF(ISNUMBER(MATCH(TRIM(M508&amp;""),설정_코드표!$C$2:$C$11,0)),TRIM(M508&amp;""),"⚠"&amp;TRIM(M508&amp;"")))</f>
        <v/>
      </c>
      <c r="U508" s="10">
        <f>IF(TRIM(L508&amp;"")="","",IFERROR(INDEX(설정_코드표!$G$2:$G$101,MATCH(TRIM(L508&amp;""),설정_코드표!$F$2:$F$101,0)),"⚠"&amp;TRIM(L508&amp;"")))</f>
        <v/>
      </c>
      <c r="V508" s="10">
        <f>IF(AND(ISNUMBER(H508),ISNUMBER(I508)),I508-H508+1,"")</f>
        <v/>
      </c>
      <c r="W508" s="17">
        <f>IF(ISNUMBER(H508),MAX(0,MIN(IF(ISNUMBER(I508),I508,EOMONTH(출력_요약!$B$3,0)),EOMONTH(출력_요약!$B$3,0))-MAX(H508,출력_요약!$B$3)+1),0)</f>
        <v/>
      </c>
      <c r="X508" s="10">
        <f>IF(OR(NOT(ISNUMBER(H508)),Q508=""),"",IF(TODAY()&lt;H508,"파견예정",IF(AND(ISNUMBER(I508),TODAY()&gt;I508),"파견종료","파견중")))</f>
        <v/>
      </c>
      <c r="Y508" s="10">
        <f>IF(OR(Q508="",X508=""),"",Q508&amp;"|"&amp;X508)</f>
        <v/>
      </c>
      <c r="Z508" s="10">
        <f>IF(AND(Q508&lt;&gt;"",W508&gt;0),Q508&amp;"|월","")</f>
        <v/>
      </c>
      <c r="AA508" s="10">
        <f>IF(COUNTA(B508:I508,K508:N508)=0,"",IF(Q508="","등록번호 없음",IF(LEFT(R508,1)="⚠","모병원명 미등록",IF(S508="","파견병원 입력",IF(LEFT(S508,1)="⚠","파견병원명 미등록",IF(LEFT(U508,1)="⚠","파견과목 미등록",IF(OR(T508="",LEFT(T508,1)="⚠"),"파견근거 확인",IF(NOT(AND(ISNUMBER(H508),ISNUMBER(I508))),"날짜 형식/누락",IF(I508&lt;H508,"종료일&lt;시작일","")))))))))</f>
        <v/>
      </c>
      <c r="AB508" s="11">
        <f>IF(ISNUMBER(SEARCH("다기관",TRIM(N508&amp;" "&amp;O508))),IFERROR(DATE(VALUE(MID(TRIM(N508&amp;" "&amp;O508),1,4)),VALUE(MID(TRIM(N508&amp;" "&amp;O508),6,2)),VALUE(MID(TRIM(N508&amp;" "&amp;O508),9,2))),IF(ISNUMBER(H508),H508,"")),"")</f>
        <v/>
      </c>
      <c r="AC508" s="11">
        <f>IF(ISNUMBER(SEARCH("다기관",TRIM(N508&amp;" "&amp;O508))),IFERROR(DATE(VALUE(MID(TRIM(N508&amp;" "&amp;O508),12,4)),VALUE(MID(TRIM(N508&amp;" "&amp;O508),17,2)),VALUE(MID(TRIM(N508&amp;" "&amp;O508),20,2))),IF(ISNUMBER(I508),I508,"")),"")</f>
        <v/>
      </c>
      <c r="AD508" s="17">
        <f>IF(AND(ISNUMBER(AB508),ISNUMBER(AC508)),MAX(0,MIN(AC508,EOMONTH(출력_요약!$B$3,0))-MAX(AB508,출력_요약!$B$3)+1),0)</f>
        <v/>
      </c>
      <c r="AE508" s="10">
        <f>IF(AND(Q508&lt;&gt;"",ISNUMBER(AB508)),Q508&amp;"|다기관","")</f>
        <v/>
      </c>
    </row>
    <row r="509">
      <c r="A509" s="15">
        <f>IF(F509="","",ROW()-3)</f>
        <v/>
      </c>
      <c r="B509" s="5" t="n"/>
      <c r="C509" s="15" t="n"/>
      <c r="D509" s="5" t="n"/>
      <c r="E509" s="15" t="n"/>
      <c r="F509" s="5" t="n"/>
      <c r="G509" s="6" t="n"/>
      <c r="H509" s="16" t="n"/>
      <c r="I509" s="16" t="n"/>
      <c r="J509" s="15">
        <f>IF(AND(ISNUMBER(H509),ISNUMBER(I509)),I509-H509+1,"")</f>
        <v/>
      </c>
      <c r="K509" s="5" t="n"/>
      <c r="L509" s="5" t="n"/>
      <c r="M509" s="5" t="n"/>
      <c r="N509" s="5" t="n"/>
      <c r="O509" s="5" t="n"/>
      <c r="Q509" s="10">
        <f>IF(TRIM(G509&amp;"")="","",TRIM(G509&amp;""))</f>
        <v/>
      </c>
      <c r="R509" s="10">
        <f>IF(TRIM(B509&amp;"")="","",IFERROR(INDEX(설정_코드표!$K$2:$K$101,MATCH(TRIM(B509&amp;""),설정_코드표!$J$2:$J$101,0)),"⚠"&amp;TRIM(B509&amp;"")))</f>
        <v/>
      </c>
      <c r="S509" s="10">
        <f>IF(TRIM(K509&amp;"")="","",IFERROR(INDEX(설정_코드표!$K$2:$K$101,MATCH(TRIM(K509&amp;""),설정_코드표!$J$2:$J$101,0)),"⚠"&amp;TRIM(K509&amp;"")))</f>
        <v/>
      </c>
      <c r="T509" s="10">
        <f>IF(TRIM(M509&amp;"")="","",IF(ISNUMBER(MATCH(TRIM(M509&amp;""),설정_코드표!$C$2:$C$11,0)),TRIM(M509&amp;""),"⚠"&amp;TRIM(M509&amp;"")))</f>
        <v/>
      </c>
      <c r="U509" s="10">
        <f>IF(TRIM(L509&amp;"")="","",IFERROR(INDEX(설정_코드표!$G$2:$G$101,MATCH(TRIM(L509&amp;""),설정_코드표!$F$2:$F$101,0)),"⚠"&amp;TRIM(L509&amp;"")))</f>
        <v/>
      </c>
      <c r="V509" s="10">
        <f>IF(AND(ISNUMBER(H509),ISNUMBER(I509)),I509-H509+1,"")</f>
        <v/>
      </c>
      <c r="W509" s="17">
        <f>IF(ISNUMBER(H509),MAX(0,MIN(IF(ISNUMBER(I509),I509,EOMONTH(출력_요약!$B$3,0)),EOMONTH(출력_요약!$B$3,0))-MAX(H509,출력_요약!$B$3)+1),0)</f>
        <v/>
      </c>
      <c r="X509" s="10">
        <f>IF(OR(NOT(ISNUMBER(H509)),Q509=""),"",IF(TODAY()&lt;H509,"파견예정",IF(AND(ISNUMBER(I509),TODAY()&gt;I509),"파견종료","파견중")))</f>
        <v/>
      </c>
      <c r="Y509" s="10">
        <f>IF(OR(Q509="",X509=""),"",Q509&amp;"|"&amp;X509)</f>
        <v/>
      </c>
      <c r="Z509" s="10">
        <f>IF(AND(Q509&lt;&gt;"",W509&gt;0),Q509&amp;"|월","")</f>
        <v/>
      </c>
      <c r="AA509" s="10">
        <f>IF(COUNTA(B509:I509,K509:N509)=0,"",IF(Q509="","등록번호 없음",IF(LEFT(R509,1)="⚠","모병원명 미등록",IF(S509="","파견병원 입력",IF(LEFT(S509,1)="⚠","파견병원명 미등록",IF(LEFT(U509,1)="⚠","파견과목 미등록",IF(OR(T509="",LEFT(T509,1)="⚠"),"파견근거 확인",IF(NOT(AND(ISNUMBER(H509),ISNUMBER(I509))),"날짜 형식/누락",IF(I509&lt;H509,"종료일&lt;시작일","")))))))))</f>
        <v/>
      </c>
      <c r="AB509" s="11">
        <f>IF(ISNUMBER(SEARCH("다기관",TRIM(N509&amp;" "&amp;O509))),IFERROR(DATE(VALUE(MID(TRIM(N509&amp;" "&amp;O509),1,4)),VALUE(MID(TRIM(N509&amp;" "&amp;O509),6,2)),VALUE(MID(TRIM(N509&amp;" "&amp;O509),9,2))),IF(ISNUMBER(H509),H509,"")),"")</f>
        <v/>
      </c>
      <c r="AC509" s="11">
        <f>IF(ISNUMBER(SEARCH("다기관",TRIM(N509&amp;" "&amp;O509))),IFERROR(DATE(VALUE(MID(TRIM(N509&amp;" "&amp;O509),12,4)),VALUE(MID(TRIM(N509&amp;" "&amp;O509),17,2)),VALUE(MID(TRIM(N509&amp;" "&amp;O509),20,2))),IF(ISNUMBER(I509),I509,"")),"")</f>
        <v/>
      </c>
      <c r="AD509" s="17">
        <f>IF(AND(ISNUMBER(AB509),ISNUMBER(AC509)),MAX(0,MIN(AC509,EOMONTH(출력_요약!$B$3,0))-MAX(AB509,출력_요약!$B$3)+1),0)</f>
        <v/>
      </c>
      <c r="AE509" s="10">
        <f>IF(AND(Q509&lt;&gt;"",ISNUMBER(AB509)),Q509&amp;"|다기관","")</f>
        <v/>
      </c>
    </row>
    <row r="510">
      <c r="A510" s="15">
        <f>IF(F510="","",ROW()-3)</f>
        <v/>
      </c>
      <c r="B510" s="5" t="n"/>
      <c r="C510" s="15" t="n"/>
      <c r="D510" s="5" t="n"/>
      <c r="E510" s="15" t="n"/>
      <c r="F510" s="5" t="n"/>
      <c r="G510" s="6" t="n"/>
      <c r="H510" s="16" t="n"/>
      <c r="I510" s="16" t="n"/>
      <c r="J510" s="15">
        <f>IF(AND(ISNUMBER(H510),ISNUMBER(I510)),I510-H510+1,"")</f>
        <v/>
      </c>
      <c r="K510" s="5" t="n"/>
      <c r="L510" s="5" t="n"/>
      <c r="M510" s="5" t="n"/>
      <c r="N510" s="5" t="n"/>
      <c r="O510" s="5" t="n"/>
      <c r="Q510" s="10">
        <f>IF(TRIM(G510&amp;"")="","",TRIM(G510&amp;""))</f>
        <v/>
      </c>
      <c r="R510" s="10">
        <f>IF(TRIM(B510&amp;"")="","",IFERROR(INDEX(설정_코드표!$K$2:$K$101,MATCH(TRIM(B510&amp;""),설정_코드표!$J$2:$J$101,0)),"⚠"&amp;TRIM(B510&amp;"")))</f>
        <v/>
      </c>
      <c r="S510" s="10">
        <f>IF(TRIM(K510&amp;"")="","",IFERROR(INDEX(설정_코드표!$K$2:$K$101,MATCH(TRIM(K510&amp;""),설정_코드표!$J$2:$J$101,0)),"⚠"&amp;TRIM(K510&amp;"")))</f>
        <v/>
      </c>
      <c r="T510" s="10">
        <f>IF(TRIM(M510&amp;"")="","",IF(ISNUMBER(MATCH(TRIM(M510&amp;""),설정_코드표!$C$2:$C$11,0)),TRIM(M510&amp;""),"⚠"&amp;TRIM(M510&amp;"")))</f>
        <v/>
      </c>
      <c r="U510" s="10">
        <f>IF(TRIM(L510&amp;"")="","",IFERROR(INDEX(설정_코드표!$G$2:$G$101,MATCH(TRIM(L510&amp;""),설정_코드표!$F$2:$F$101,0)),"⚠"&amp;TRIM(L510&amp;"")))</f>
        <v/>
      </c>
      <c r="V510" s="10">
        <f>IF(AND(ISNUMBER(H510),ISNUMBER(I510)),I510-H510+1,"")</f>
        <v/>
      </c>
      <c r="W510" s="17">
        <f>IF(ISNUMBER(H510),MAX(0,MIN(IF(ISNUMBER(I510),I510,EOMONTH(출력_요약!$B$3,0)),EOMONTH(출력_요약!$B$3,0))-MAX(H510,출력_요약!$B$3)+1),0)</f>
        <v/>
      </c>
      <c r="X510" s="10">
        <f>IF(OR(NOT(ISNUMBER(H510)),Q510=""),"",IF(TODAY()&lt;H510,"파견예정",IF(AND(ISNUMBER(I510),TODAY()&gt;I510),"파견종료","파견중")))</f>
        <v/>
      </c>
      <c r="Y510" s="10">
        <f>IF(OR(Q510="",X510=""),"",Q510&amp;"|"&amp;X510)</f>
        <v/>
      </c>
      <c r="Z510" s="10">
        <f>IF(AND(Q510&lt;&gt;"",W510&gt;0),Q510&amp;"|월","")</f>
        <v/>
      </c>
      <c r="AA510" s="10">
        <f>IF(COUNTA(B510:I510,K510:N510)=0,"",IF(Q510="","등록번호 없음",IF(LEFT(R510,1)="⚠","모병원명 미등록",IF(S510="","파견병원 입력",IF(LEFT(S510,1)="⚠","파견병원명 미등록",IF(LEFT(U510,1)="⚠","파견과목 미등록",IF(OR(T510="",LEFT(T510,1)="⚠"),"파견근거 확인",IF(NOT(AND(ISNUMBER(H510),ISNUMBER(I510))),"날짜 형식/누락",IF(I510&lt;H510,"종료일&lt;시작일","")))))))))</f>
        <v/>
      </c>
      <c r="AB510" s="11">
        <f>IF(ISNUMBER(SEARCH("다기관",TRIM(N510&amp;" "&amp;O510))),IFERROR(DATE(VALUE(MID(TRIM(N510&amp;" "&amp;O510),1,4)),VALUE(MID(TRIM(N510&amp;" "&amp;O510),6,2)),VALUE(MID(TRIM(N510&amp;" "&amp;O510),9,2))),IF(ISNUMBER(H510),H510,"")),"")</f>
        <v/>
      </c>
      <c r="AC510" s="11">
        <f>IF(ISNUMBER(SEARCH("다기관",TRIM(N510&amp;" "&amp;O510))),IFERROR(DATE(VALUE(MID(TRIM(N510&amp;" "&amp;O510),12,4)),VALUE(MID(TRIM(N510&amp;" "&amp;O510),17,2)),VALUE(MID(TRIM(N510&amp;" "&amp;O510),20,2))),IF(ISNUMBER(I510),I510,"")),"")</f>
        <v/>
      </c>
      <c r="AD510" s="17">
        <f>IF(AND(ISNUMBER(AB510),ISNUMBER(AC510)),MAX(0,MIN(AC510,EOMONTH(출력_요약!$B$3,0))-MAX(AB510,출력_요약!$B$3)+1),0)</f>
        <v/>
      </c>
      <c r="AE510" s="10">
        <f>IF(AND(Q510&lt;&gt;"",ISNUMBER(AB510)),Q510&amp;"|다기관","")</f>
        <v/>
      </c>
    </row>
    <row r="511">
      <c r="A511" s="15">
        <f>IF(F511="","",ROW()-3)</f>
        <v/>
      </c>
      <c r="B511" s="5" t="n"/>
      <c r="C511" s="15" t="n"/>
      <c r="D511" s="5" t="n"/>
      <c r="E511" s="15" t="n"/>
      <c r="F511" s="5" t="n"/>
      <c r="G511" s="6" t="n"/>
      <c r="H511" s="16" t="n"/>
      <c r="I511" s="16" t="n"/>
      <c r="J511" s="15">
        <f>IF(AND(ISNUMBER(H511),ISNUMBER(I511)),I511-H511+1,"")</f>
        <v/>
      </c>
      <c r="K511" s="5" t="n"/>
      <c r="L511" s="5" t="n"/>
      <c r="M511" s="5" t="n"/>
      <c r="N511" s="5" t="n"/>
      <c r="O511" s="5" t="n"/>
      <c r="Q511" s="10">
        <f>IF(TRIM(G511&amp;"")="","",TRIM(G511&amp;""))</f>
        <v/>
      </c>
      <c r="R511" s="10">
        <f>IF(TRIM(B511&amp;"")="","",IFERROR(INDEX(설정_코드표!$K$2:$K$101,MATCH(TRIM(B511&amp;""),설정_코드표!$J$2:$J$101,0)),"⚠"&amp;TRIM(B511&amp;"")))</f>
        <v/>
      </c>
      <c r="S511" s="10">
        <f>IF(TRIM(K511&amp;"")="","",IFERROR(INDEX(설정_코드표!$K$2:$K$101,MATCH(TRIM(K511&amp;""),설정_코드표!$J$2:$J$101,0)),"⚠"&amp;TRIM(K511&amp;"")))</f>
        <v/>
      </c>
      <c r="T511" s="10">
        <f>IF(TRIM(M511&amp;"")="","",IF(ISNUMBER(MATCH(TRIM(M511&amp;""),설정_코드표!$C$2:$C$11,0)),TRIM(M511&amp;""),"⚠"&amp;TRIM(M511&amp;"")))</f>
        <v/>
      </c>
      <c r="U511" s="10">
        <f>IF(TRIM(L511&amp;"")="","",IFERROR(INDEX(설정_코드표!$G$2:$G$101,MATCH(TRIM(L511&amp;""),설정_코드표!$F$2:$F$101,0)),"⚠"&amp;TRIM(L511&amp;"")))</f>
        <v/>
      </c>
      <c r="V511" s="10">
        <f>IF(AND(ISNUMBER(H511),ISNUMBER(I511)),I511-H511+1,"")</f>
        <v/>
      </c>
      <c r="W511" s="17">
        <f>IF(ISNUMBER(H511),MAX(0,MIN(IF(ISNUMBER(I511),I511,EOMONTH(출력_요약!$B$3,0)),EOMONTH(출력_요약!$B$3,0))-MAX(H511,출력_요약!$B$3)+1),0)</f>
        <v/>
      </c>
      <c r="X511" s="10">
        <f>IF(OR(NOT(ISNUMBER(H511)),Q511=""),"",IF(TODAY()&lt;H511,"파견예정",IF(AND(ISNUMBER(I511),TODAY()&gt;I511),"파견종료","파견중")))</f>
        <v/>
      </c>
      <c r="Y511" s="10">
        <f>IF(OR(Q511="",X511=""),"",Q511&amp;"|"&amp;X511)</f>
        <v/>
      </c>
      <c r="Z511" s="10">
        <f>IF(AND(Q511&lt;&gt;"",W511&gt;0),Q511&amp;"|월","")</f>
        <v/>
      </c>
      <c r="AA511" s="10">
        <f>IF(COUNTA(B511:I511,K511:N511)=0,"",IF(Q511="","등록번호 없음",IF(LEFT(R511,1)="⚠","모병원명 미등록",IF(S511="","파견병원 입력",IF(LEFT(S511,1)="⚠","파견병원명 미등록",IF(LEFT(U511,1)="⚠","파견과목 미등록",IF(OR(T511="",LEFT(T511,1)="⚠"),"파견근거 확인",IF(NOT(AND(ISNUMBER(H511),ISNUMBER(I511))),"날짜 형식/누락",IF(I511&lt;H511,"종료일&lt;시작일","")))))))))</f>
        <v/>
      </c>
      <c r="AB511" s="11">
        <f>IF(ISNUMBER(SEARCH("다기관",TRIM(N511&amp;" "&amp;O511))),IFERROR(DATE(VALUE(MID(TRIM(N511&amp;" "&amp;O511),1,4)),VALUE(MID(TRIM(N511&amp;" "&amp;O511),6,2)),VALUE(MID(TRIM(N511&amp;" "&amp;O511),9,2))),IF(ISNUMBER(H511),H511,"")),"")</f>
        <v/>
      </c>
      <c r="AC511" s="11">
        <f>IF(ISNUMBER(SEARCH("다기관",TRIM(N511&amp;" "&amp;O511))),IFERROR(DATE(VALUE(MID(TRIM(N511&amp;" "&amp;O511),12,4)),VALUE(MID(TRIM(N511&amp;" "&amp;O511),17,2)),VALUE(MID(TRIM(N511&amp;" "&amp;O511),20,2))),IF(ISNUMBER(I511),I511,"")),"")</f>
        <v/>
      </c>
      <c r="AD511" s="17">
        <f>IF(AND(ISNUMBER(AB511),ISNUMBER(AC511)),MAX(0,MIN(AC511,EOMONTH(출력_요약!$B$3,0))-MAX(AB511,출력_요약!$B$3)+1),0)</f>
        <v/>
      </c>
      <c r="AE511" s="10">
        <f>IF(AND(Q511&lt;&gt;"",ISNUMBER(AB511)),Q511&amp;"|다기관","")</f>
        <v/>
      </c>
    </row>
    <row r="512">
      <c r="A512" s="15">
        <f>IF(F512="","",ROW()-3)</f>
        <v/>
      </c>
      <c r="B512" s="5" t="n"/>
      <c r="C512" s="15" t="n"/>
      <c r="D512" s="5" t="n"/>
      <c r="E512" s="15" t="n"/>
      <c r="F512" s="5" t="n"/>
      <c r="G512" s="6" t="n"/>
      <c r="H512" s="16" t="n"/>
      <c r="I512" s="16" t="n"/>
      <c r="J512" s="15">
        <f>IF(AND(ISNUMBER(H512),ISNUMBER(I512)),I512-H512+1,"")</f>
        <v/>
      </c>
      <c r="K512" s="5" t="n"/>
      <c r="L512" s="5" t="n"/>
      <c r="M512" s="5" t="n"/>
      <c r="N512" s="5" t="n"/>
      <c r="O512" s="5" t="n"/>
      <c r="Q512" s="10">
        <f>IF(TRIM(G512&amp;"")="","",TRIM(G512&amp;""))</f>
        <v/>
      </c>
      <c r="R512" s="10">
        <f>IF(TRIM(B512&amp;"")="","",IFERROR(INDEX(설정_코드표!$K$2:$K$101,MATCH(TRIM(B512&amp;""),설정_코드표!$J$2:$J$101,0)),"⚠"&amp;TRIM(B512&amp;"")))</f>
        <v/>
      </c>
      <c r="S512" s="10">
        <f>IF(TRIM(K512&amp;"")="","",IFERROR(INDEX(설정_코드표!$K$2:$K$101,MATCH(TRIM(K512&amp;""),설정_코드표!$J$2:$J$101,0)),"⚠"&amp;TRIM(K512&amp;"")))</f>
        <v/>
      </c>
      <c r="T512" s="10">
        <f>IF(TRIM(M512&amp;"")="","",IF(ISNUMBER(MATCH(TRIM(M512&amp;""),설정_코드표!$C$2:$C$11,0)),TRIM(M512&amp;""),"⚠"&amp;TRIM(M512&amp;"")))</f>
        <v/>
      </c>
      <c r="U512" s="10">
        <f>IF(TRIM(L512&amp;"")="","",IFERROR(INDEX(설정_코드표!$G$2:$G$101,MATCH(TRIM(L512&amp;""),설정_코드표!$F$2:$F$101,0)),"⚠"&amp;TRIM(L512&amp;"")))</f>
        <v/>
      </c>
      <c r="V512" s="10">
        <f>IF(AND(ISNUMBER(H512),ISNUMBER(I512)),I512-H512+1,"")</f>
        <v/>
      </c>
      <c r="W512" s="17">
        <f>IF(ISNUMBER(H512),MAX(0,MIN(IF(ISNUMBER(I512),I512,EOMONTH(출력_요약!$B$3,0)),EOMONTH(출력_요약!$B$3,0))-MAX(H512,출력_요약!$B$3)+1),0)</f>
        <v/>
      </c>
      <c r="X512" s="10">
        <f>IF(OR(NOT(ISNUMBER(H512)),Q512=""),"",IF(TODAY()&lt;H512,"파견예정",IF(AND(ISNUMBER(I512),TODAY()&gt;I512),"파견종료","파견중")))</f>
        <v/>
      </c>
      <c r="Y512" s="10">
        <f>IF(OR(Q512="",X512=""),"",Q512&amp;"|"&amp;X512)</f>
        <v/>
      </c>
      <c r="Z512" s="10">
        <f>IF(AND(Q512&lt;&gt;"",W512&gt;0),Q512&amp;"|월","")</f>
        <v/>
      </c>
      <c r="AA512" s="10">
        <f>IF(COUNTA(B512:I512,K512:N512)=0,"",IF(Q512="","등록번호 없음",IF(LEFT(R512,1)="⚠","모병원명 미등록",IF(S512="","파견병원 입력",IF(LEFT(S512,1)="⚠","파견병원명 미등록",IF(LEFT(U512,1)="⚠","파견과목 미등록",IF(OR(T512="",LEFT(T512,1)="⚠"),"파견근거 확인",IF(NOT(AND(ISNUMBER(H512),ISNUMBER(I512))),"날짜 형식/누락",IF(I512&lt;H512,"종료일&lt;시작일","")))))))))</f>
        <v/>
      </c>
      <c r="AB512" s="11">
        <f>IF(ISNUMBER(SEARCH("다기관",TRIM(N512&amp;" "&amp;O512))),IFERROR(DATE(VALUE(MID(TRIM(N512&amp;" "&amp;O512),1,4)),VALUE(MID(TRIM(N512&amp;" "&amp;O512),6,2)),VALUE(MID(TRIM(N512&amp;" "&amp;O512),9,2))),IF(ISNUMBER(H512),H512,"")),"")</f>
        <v/>
      </c>
      <c r="AC512" s="11">
        <f>IF(ISNUMBER(SEARCH("다기관",TRIM(N512&amp;" "&amp;O512))),IFERROR(DATE(VALUE(MID(TRIM(N512&amp;" "&amp;O512),12,4)),VALUE(MID(TRIM(N512&amp;" "&amp;O512),17,2)),VALUE(MID(TRIM(N512&amp;" "&amp;O512),20,2))),IF(ISNUMBER(I512),I512,"")),"")</f>
        <v/>
      </c>
      <c r="AD512" s="17">
        <f>IF(AND(ISNUMBER(AB512),ISNUMBER(AC512)),MAX(0,MIN(AC512,EOMONTH(출력_요약!$B$3,0))-MAX(AB512,출력_요약!$B$3)+1),0)</f>
        <v/>
      </c>
      <c r="AE512" s="10">
        <f>IF(AND(Q512&lt;&gt;"",ISNUMBER(AB512)),Q512&amp;"|다기관","")</f>
        <v/>
      </c>
    </row>
    <row r="513">
      <c r="A513" s="15">
        <f>IF(F513="","",ROW()-3)</f>
        <v/>
      </c>
      <c r="B513" s="5" t="n"/>
      <c r="C513" s="15" t="n"/>
      <c r="D513" s="5" t="n"/>
      <c r="E513" s="15" t="n"/>
      <c r="F513" s="5" t="n"/>
      <c r="G513" s="6" t="n"/>
      <c r="H513" s="16" t="n"/>
      <c r="I513" s="16" t="n"/>
      <c r="J513" s="15">
        <f>IF(AND(ISNUMBER(H513),ISNUMBER(I513)),I513-H513+1,"")</f>
        <v/>
      </c>
      <c r="K513" s="5" t="n"/>
      <c r="L513" s="5" t="n"/>
      <c r="M513" s="5" t="n"/>
      <c r="N513" s="5" t="n"/>
      <c r="O513" s="5" t="n"/>
      <c r="Q513" s="10">
        <f>IF(TRIM(G513&amp;"")="","",TRIM(G513&amp;""))</f>
        <v/>
      </c>
      <c r="R513" s="10">
        <f>IF(TRIM(B513&amp;"")="","",IFERROR(INDEX(설정_코드표!$K$2:$K$101,MATCH(TRIM(B513&amp;""),설정_코드표!$J$2:$J$101,0)),"⚠"&amp;TRIM(B513&amp;"")))</f>
        <v/>
      </c>
      <c r="S513" s="10">
        <f>IF(TRIM(K513&amp;"")="","",IFERROR(INDEX(설정_코드표!$K$2:$K$101,MATCH(TRIM(K513&amp;""),설정_코드표!$J$2:$J$101,0)),"⚠"&amp;TRIM(K513&amp;"")))</f>
        <v/>
      </c>
      <c r="T513" s="10">
        <f>IF(TRIM(M513&amp;"")="","",IF(ISNUMBER(MATCH(TRIM(M513&amp;""),설정_코드표!$C$2:$C$11,0)),TRIM(M513&amp;""),"⚠"&amp;TRIM(M513&amp;"")))</f>
        <v/>
      </c>
      <c r="U513" s="10">
        <f>IF(TRIM(L513&amp;"")="","",IFERROR(INDEX(설정_코드표!$G$2:$G$101,MATCH(TRIM(L513&amp;""),설정_코드표!$F$2:$F$101,0)),"⚠"&amp;TRIM(L513&amp;"")))</f>
        <v/>
      </c>
      <c r="V513" s="10">
        <f>IF(AND(ISNUMBER(H513),ISNUMBER(I513)),I513-H513+1,"")</f>
        <v/>
      </c>
      <c r="W513" s="17">
        <f>IF(ISNUMBER(H513),MAX(0,MIN(IF(ISNUMBER(I513),I513,EOMONTH(출력_요약!$B$3,0)),EOMONTH(출력_요약!$B$3,0))-MAX(H513,출력_요약!$B$3)+1),0)</f>
        <v/>
      </c>
      <c r="X513" s="10">
        <f>IF(OR(NOT(ISNUMBER(H513)),Q513=""),"",IF(TODAY()&lt;H513,"파견예정",IF(AND(ISNUMBER(I513),TODAY()&gt;I513),"파견종료","파견중")))</f>
        <v/>
      </c>
      <c r="Y513" s="10">
        <f>IF(OR(Q513="",X513=""),"",Q513&amp;"|"&amp;X513)</f>
        <v/>
      </c>
      <c r="Z513" s="10">
        <f>IF(AND(Q513&lt;&gt;"",W513&gt;0),Q513&amp;"|월","")</f>
        <v/>
      </c>
      <c r="AA513" s="10">
        <f>IF(COUNTA(B513:I513,K513:N513)=0,"",IF(Q513="","등록번호 없음",IF(LEFT(R513,1)="⚠","모병원명 미등록",IF(S513="","파견병원 입력",IF(LEFT(S513,1)="⚠","파견병원명 미등록",IF(LEFT(U513,1)="⚠","파견과목 미등록",IF(OR(T513="",LEFT(T513,1)="⚠"),"파견근거 확인",IF(NOT(AND(ISNUMBER(H513),ISNUMBER(I513))),"날짜 형식/누락",IF(I513&lt;H513,"종료일&lt;시작일","")))))))))</f>
        <v/>
      </c>
      <c r="AB513" s="11">
        <f>IF(ISNUMBER(SEARCH("다기관",TRIM(N513&amp;" "&amp;O513))),IFERROR(DATE(VALUE(MID(TRIM(N513&amp;" "&amp;O513),1,4)),VALUE(MID(TRIM(N513&amp;" "&amp;O513),6,2)),VALUE(MID(TRIM(N513&amp;" "&amp;O513),9,2))),IF(ISNUMBER(H513),H513,"")),"")</f>
        <v/>
      </c>
      <c r="AC513" s="11">
        <f>IF(ISNUMBER(SEARCH("다기관",TRIM(N513&amp;" "&amp;O513))),IFERROR(DATE(VALUE(MID(TRIM(N513&amp;" "&amp;O513),12,4)),VALUE(MID(TRIM(N513&amp;" "&amp;O513),17,2)),VALUE(MID(TRIM(N513&amp;" "&amp;O513),20,2))),IF(ISNUMBER(I513),I513,"")),"")</f>
        <v/>
      </c>
      <c r="AD513" s="17">
        <f>IF(AND(ISNUMBER(AB513),ISNUMBER(AC513)),MAX(0,MIN(AC513,EOMONTH(출력_요약!$B$3,0))-MAX(AB513,출력_요약!$B$3)+1),0)</f>
        <v/>
      </c>
      <c r="AE513" s="10">
        <f>IF(AND(Q513&lt;&gt;"",ISNUMBER(AB513)),Q513&amp;"|다기관","")</f>
        <v/>
      </c>
    </row>
    <row r="514">
      <c r="A514" s="15">
        <f>IF(F514="","",ROW()-3)</f>
        <v/>
      </c>
      <c r="B514" s="5" t="n"/>
      <c r="C514" s="15" t="n"/>
      <c r="D514" s="5" t="n"/>
      <c r="E514" s="15" t="n"/>
      <c r="F514" s="5" t="n"/>
      <c r="G514" s="6" t="n"/>
      <c r="H514" s="16" t="n"/>
      <c r="I514" s="16" t="n"/>
      <c r="J514" s="15">
        <f>IF(AND(ISNUMBER(H514),ISNUMBER(I514)),I514-H514+1,"")</f>
        <v/>
      </c>
      <c r="K514" s="5" t="n"/>
      <c r="L514" s="5" t="n"/>
      <c r="M514" s="5" t="n"/>
      <c r="N514" s="5" t="n"/>
      <c r="O514" s="5" t="n"/>
      <c r="Q514" s="10">
        <f>IF(TRIM(G514&amp;"")="","",TRIM(G514&amp;""))</f>
        <v/>
      </c>
      <c r="R514" s="10">
        <f>IF(TRIM(B514&amp;"")="","",IFERROR(INDEX(설정_코드표!$K$2:$K$101,MATCH(TRIM(B514&amp;""),설정_코드표!$J$2:$J$101,0)),"⚠"&amp;TRIM(B514&amp;"")))</f>
        <v/>
      </c>
      <c r="S514" s="10">
        <f>IF(TRIM(K514&amp;"")="","",IFERROR(INDEX(설정_코드표!$K$2:$K$101,MATCH(TRIM(K514&amp;""),설정_코드표!$J$2:$J$101,0)),"⚠"&amp;TRIM(K514&amp;"")))</f>
        <v/>
      </c>
      <c r="T514" s="10">
        <f>IF(TRIM(M514&amp;"")="","",IF(ISNUMBER(MATCH(TRIM(M514&amp;""),설정_코드표!$C$2:$C$11,0)),TRIM(M514&amp;""),"⚠"&amp;TRIM(M514&amp;"")))</f>
        <v/>
      </c>
      <c r="U514" s="10">
        <f>IF(TRIM(L514&amp;"")="","",IFERROR(INDEX(설정_코드표!$G$2:$G$101,MATCH(TRIM(L514&amp;""),설정_코드표!$F$2:$F$101,0)),"⚠"&amp;TRIM(L514&amp;"")))</f>
        <v/>
      </c>
      <c r="V514" s="10">
        <f>IF(AND(ISNUMBER(H514),ISNUMBER(I514)),I514-H514+1,"")</f>
        <v/>
      </c>
      <c r="W514" s="17">
        <f>IF(ISNUMBER(H514),MAX(0,MIN(IF(ISNUMBER(I514),I514,EOMONTH(출력_요약!$B$3,0)),EOMONTH(출력_요약!$B$3,0))-MAX(H514,출력_요약!$B$3)+1),0)</f>
        <v/>
      </c>
      <c r="X514" s="10">
        <f>IF(OR(NOT(ISNUMBER(H514)),Q514=""),"",IF(TODAY()&lt;H514,"파견예정",IF(AND(ISNUMBER(I514),TODAY()&gt;I514),"파견종료","파견중")))</f>
        <v/>
      </c>
      <c r="Y514" s="10">
        <f>IF(OR(Q514="",X514=""),"",Q514&amp;"|"&amp;X514)</f>
        <v/>
      </c>
      <c r="Z514" s="10">
        <f>IF(AND(Q514&lt;&gt;"",W514&gt;0),Q514&amp;"|월","")</f>
        <v/>
      </c>
      <c r="AA514" s="10">
        <f>IF(COUNTA(B514:I514,K514:N514)=0,"",IF(Q514="","등록번호 없음",IF(LEFT(R514,1)="⚠","모병원명 미등록",IF(S514="","파견병원 입력",IF(LEFT(S514,1)="⚠","파견병원명 미등록",IF(LEFT(U514,1)="⚠","파견과목 미등록",IF(OR(T514="",LEFT(T514,1)="⚠"),"파견근거 확인",IF(NOT(AND(ISNUMBER(H514),ISNUMBER(I514))),"날짜 형식/누락",IF(I514&lt;H514,"종료일&lt;시작일","")))))))))</f>
        <v/>
      </c>
      <c r="AB514" s="11">
        <f>IF(ISNUMBER(SEARCH("다기관",TRIM(N514&amp;" "&amp;O514))),IFERROR(DATE(VALUE(MID(TRIM(N514&amp;" "&amp;O514),1,4)),VALUE(MID(TRIM(N514&amp;" "&amp;O514),6,2)),VALUE(MID(TRIM(N514&amp;" "&amp;O514),9,2))),IF(ISNUMBER(H514),H514,"")),"")</f>
        <v/>
      </c>
      <c r="AC514" s="11">
        <f>IF(ISNUMBER(SEARCH("다기관",TRIM(N514&amp;" "&amp;O514))),IFERROR(DATE(VALUE(MID(TRIM(N514&amp;" "&amp;O514),12,4)),VALUE(MID(TRIM(N514&amp;" "&amp;O514),17,2)),VALUE(MID(TRIM(N514&amp;" "&amp;O514),20,2))),IF(ISNUMBER(I514),I514,"")),"")</f>
        <v/>
      </c>
      <c r="AD514" s="17">
        <f>IF(AND(ISNUMBER(AB514),ISNUMBER(AC514)),MAX(0,MIN(AC514,EOMONTH(출력_요약!$B$3,0))-MAX(AB514,출력_요약!$B$3)+1),0)</f>
        <v/>
      </c>
      <c r="AE514" s="10">
        <f>IF(AND(Q514&lt;&gt;"",ISNUMBER(AB514)),Q514&amp;"|다기관","")</f>
        <v/>
      </c>
    </row>
    <row r="515">
      <c r="A515" s="15">
        <f>IF(F515="","",ROW()-3)</f>
        <v/>
      </c>
      <c r="B515" s="5" t="n"/>
      <c r="C515" s="15" t="n"/>
      <c r="D515" s="5" t="n"/>
      <c r="E515" s="15" t="n"/>
      <c r="F515" s="5" t="n"/>
      <c r="G515" s="6" t="n"/>
      <c r="H515" s="16" t="n"/>
      <c r="I515" s="16" t="n"/>
      <c r="J515" s="15">
        <f>IF(AND(ISNUMBER(H515),ISNUMBER(I515)),I515-H515+1,"")</f>
        <v/>
      </c>
      <c r="K515" s="5" t="n"/>
      <c r="L515" s="5" t="n"/>
      <c r="M515" s="5" t="n"/>
      <c r="N515" s="5" t="n"/>
      <c r="O515" s="5" t="n"/>
      <c r="Q515" s="10">
        <f>IF(TRIM(G515&amp;"")="","",TRIM(G515&amp;""))</f>
        <v/>
      </c>
      <c r="R515" s="10">
        <f>IF(TRIM(B515&amp;"")="","",IFERROR(INDEX(설정_코드표!$K$2:$K$101,MATCH(TRIM(B515&amp;""),설정_코드표!$J$2:$J$101,0)),"⚠"&amp;TRIM(B515&amp;"")))</f>
        <v/>
      </c>
      <c r="S515" s="10">
        <f>IF(TRIM(K515&amp;"")="","",IFERROR(INDEX(설정_코드표!$K$2:$K$101,MATCH(TRIM(K515&amp;""),설정_코드표!$J$2:$J$101,0)),"⚠"&amp;TRIM(K515&amp;"")))</f>
        <v/>
      </c>
      <c r="T515" s="10">
        <f>IF(TRIM(M515&amp;"")="","",IF(ISNUMBER(MATCH(TRIM(M515&amp;""),설정_코드표!$C$2:$C$11,0)),TRIM(M515&amp;""),"⚠"&amp;TRIM(M515&amp;"")))</f>
        <v/>
      </c>
      <c r="U515" s="10">
        <f>IF(TRIM(L515&amp;"")="","",IFERROR(INDEX(설정_코드표!$G$2:$G$101,MATCH(TRIM(L515&amp;""),설정_코드표!$F$2:$F$101,0)),"⚠"&amp;TRIM(L515&amp;"")))</f>
        <v/>
      </c>
      <c r="V515" s="10">
        <f>IF(AND(ISNUMBER(H515),ISNUMBER(I515)),I515-H515+1,"")</f>
        <v/>
      </c>
      <c r="W515" s="17">
        <f>IF(ISNUMBER(H515),MAX(0,MIN(IF(ISNUMBER(I515),I515,EOMONTH(출력_요약!$B$3,0)),EOMONTH(출력_요약!$B$3,0))-MAX(H515,출력_요약!$B$3)+1),0)</f>
        <v/>
      </c>
      <c r="X515" s="10">
        <f>IF(OR(NOT(ISNUMBER(H515)),Q515=""),"",IF(TODAY()&lt;H515,"파견예정",IF(AND(ISNUMBER(I515),TODAY()&gt;I515),"파견종료","파견중")))</f>
        <v/>
      </c>
      <c r="Y515" s="10">
        <f>IF(OR(Q515="",X515=""),"",Q515&amp;"|"&amp;X515)</f>
        <v/>
      </c>
      <c r="Z515" s="10">
        <f>IF(AND(Q515&lt;&gt;"",W515&gt;0),Q515&amp;"|월","")</f>
        <v/>
      </c>
      <c r="AA515" s="10">
        <f>IF(COUNTA(B515:I515,K515:N515)=0,"",IF(Q515="","등록번호 없음",IF(LEFT(R515,1)="⚠","모병원명 미등록",IF(S515="","파견병원 입력",IF(LEFT(S515,1)="⚠","파견병원명 미등록",IF(LEFT(U515,1)="⚠","파견과목 미등록",IF(OR(T515="",LEFT(T515,1)="⚠"),"파견근거 확인",IF(NOT(AND(ISNUMBER(H515),ISNUMBER(I515))),"날짜 형식/누락",IF(I515&lt;H515,"종료일&lt;시작일","")))))))))</f>
        <v/>
      </c>
      <c r="AB515" s="11">
        <f>IF(ISNUMBER(SEARCH("다기관",TRIM(N515&amp;" "&amp;O515))),IFERROR(DATE(VALUE(MID(TRIM(N515&amp;" "&amp;O515),1,4)),VALUE(MID(TRIM(N515&amp;" "&amp;O515),6,2)),VALUE(MID(TRIM(N515&amp;" "&amp;O515),9,2))),IF(ISNUMBER(H515),H515,"")),"")</f>
        <v/>
      </c>
      <c r="AC515" s="11">
        <f>IF(ISNUMBER(SEARCH("다기관",TRIM(N515&amp;" "&amp;O515))),IFERROR(DATE(VALUE(MID(TRIM(N515&amp;" "&amp;O515),12,4)),VALUE(MID(TRIM(N515&amp;" "&amp;O515),17,2)),VALUE(MID(TRIM(N515&amp;" "&amp;O515),20,2))),IF(ISNUMBER(I515),I515,"")),"")</f>
        <v/>
      </c>
      <c r="AD515" s="17">
        <f>IF(AND(ISNUMBER(AB515),ISNUMBER(AC515)),MAX(0,MIN(AC515,EOMONTH(출력_요약!$B$3,0))-MAX(AB515,출력_요약!$B$3)+1),0)</f>
        <v/>
      </c>
      <c r="AE515" s="10">
        <f>IF(AND(Q515&lt;&gt;"",ISNUMBER(AB515)),Q515&amp;"|다기관","")</f>
        <v/>
      </c>
    </row>
    <row r="516">
      <c r="A516" s="15">
        <f>IF(F516="","",ROW()-3)</f>
        <v/>
      </c>
      <c r="B516" s="5" t="n"/>
      <c r="C516" s="15" t="n"/>
      <c r="D516" s="5" t="n"/>
      <c r="E516" s="15" t="n"/>
      <c r="F516" s="5" t="n"/>
      <c r="G516" s="6" t="n"/>
      <c r="H516" s="16" t="n"/>
      <c r="I516" s="16" t="n"/>
      <c r="J516" s="15">
        <f>IF(AND(ISNUMBER(H516),ISNUMBER(I516)),I516-H516+1,"")</f>
        <v/>
      </c>
      <c r="K516" s="5" t="n"/>
      <c r="L516" s="5" t="n"/>
      <c r="M516" s="5" t="n"/>
      <c r="N516" s="5" t="n"/>
      <c r="O516" s="5" t="n"/>
      <c r="Q516" s="10">
        <f>IF(TRIM(G516&amp;"")="","",TRIM(G516&amp;""))</f>
        <v/>
      </c>
      <c r="R516" s="10">
        <f>IF(TRIM(B516&amp;"")="","",IFERROR(INDEX(설정_코드표!$K$2:$K$101,MATCH(TRIM(B516&amp;""),설정_코드표!$J$2:$J$101,0)),"⚠"&amp;TRIM(B516&amp;"")))</f>
        <v/>
      </c>
      <c r="S516" s="10">
        <f>IF(TRIM(K516&amp;"")="","",IFERROR(INDEX(설정_코드표!$K$2:$K$101,MATCH(TRIM(K516&amp;""),설정_코드표!$J$2:$J$101,0)),"⚠"&amp;TRIM(K516&amp;"")))</f>
        <v/>
      </c>
      <c r="T516" s="10">
        <f>IF(TRIM(M516&amp;"")="","",IF(ISNUMBER(MATCH(TRIM(M516&amp;""),설정_코드표!$C$2:$C$11,0)),TRIM(M516&amp;""),"⚠"&amp;TRIM(M516&amp;"")))</f>
        <v/>
      </c>
      <c r="U516" s="10">
        <f>IF(TRIM(L516&amp;"")="","",IFERROR(INDEX(설정_코드표!$G$2:$G$101,MATCH(TRIM(L516&amp;""),설정_코드표!$F$2:$F$101,0)),"⚠"&amp;TRIM(L516&amp;"")))</f>
        <v/>
      </c>
      <c r="V516" s="10">
        <f>IF(AND(ISNUMBER(H516),ISNUMBER(I516)),I516-H516+1,"")</f>
        <v/>
      </c>
      <c r="W516" s="17">
        <f>IF(ISNUMBER(H516),MAX(0,MIN(IF(ISNUMBER(I516),I516,EOMONTH(출력_요약!$B$3,0)),EOMONTH(출력_요약!$B$3,0))-MAX(H516,출력_요약!$B$3)+1),0)</f>
        <v/>
      </c>
      <c r="X516" s="10">
        <f>IF(OR(NOT(ISNUMBER(H516)),Q516=""),"",IF(TODAY()&lt;H516,"파견예정",IF(AND(ISNUMBER(I516),TODAY()&gt;I516),"파견종료","파견중")))</f>
        <v/>
      </c>
      <c r="Y516" s="10">
        <f>IF(OR(Q516="",X516=""),"",Q516&amp;"|"&amp;X516)</f>
        <v/>
      </c>
      <c r="Z516" s="10">
        <f>IF(AND(Q516&lt;&gt;"",W516&gt;0),Q516&amp;"|월","")</f>
        <v/>
      </c>
      <c r="AA516" s="10">
        <f>IF(COUNTA(B516:I516,K516:N516)=0,"",IF(Q516="","등록번호 없음",IF(LEFT(R516,1)="⚠","모병원명 미등록",IF(S516="","파견병원 입력",IF(LEFT(S516,1)="⚠","파견병원명 미등록",IF(LEFT(U516,1)="⚠","파견과목 미등록",IF(OR(T516="",LEFT(T516,1)="⚠"),"파견근거 확인",IF(NOT(AND(ISNUMBER(H516),ISNUMBER(I516))),"날짜 형식/누락",IF(I516&lt;H516,"종료일&lt;시작일","")))))))))</f>
        <v/>
      </c>
      <c r="AB516" s="11">
        <f>IF(ISNUMBER(SEARCH("다기관",TRIM(N516&amp;" "&amp;O516))),IFERROR(DATE(VALUE(MID(TRIM(N516&amp;" "&amp;O516),1,4)),VALUE(MID(TRIM(N516&amp;" "&amp;O516),6,2)),VALUE(MID(TRIM(N516&amp;" "&amp;O516),9,2))),IF(ISNUMBER(H516),H516,"")),"")</f>
        <v/>
      </c>
      <c r="AC516" s="11">
        <f>IF(ISNUMBER(SEARCH("다기관",TRIM(N516&amp;" "&amp;O516))),IFERROR(DATE(VALUE(MID(TRIM(N516&amp;" "&amp;O516),12,4)),VALUE(MID(TRIM(N516&amp;" "&amp;O516),17,2)),VALUE(MID(TRIM(N516&amp;" "&amp;O516),20,2))),IF(ISNUMBER(I516),I516,"")),"")</f>
        <v/>
      </c>
      <c r="AD516" s="17">
        <f>IF(AND(ISNUMBER(AB516),ISNUMBER(AC516)),MAX(0,MIN(AC516,EOMONTH(출력_요약!$B$3,0))-MAX(AB516,출력_요약!$B$3)+1),0)</f>
        <v/>
      </c>
      <c r="AE516" s="10">
        <f>IF(AND(Q516&lt;&gt;"",ISNUMBER(AB516)),Q516&amp;"|다기관","")</f>
        <v/>
      </c>
    </row>
    <row r="517">
      <c r="A517" s="15">
        <f>IF(F517="","",ROW()-3)</f>
        <v/>
      </c>
      <c r="B517" s="5" t="n"/>
      <c r="C517" s="15" t="n"/>
      <c r="D517" s="5" t="n"/>
      <c r="E517" s="15" t="n"/>
      <c r="F517" s="5" t="n"/>
      <c r="G517" s="6" t="n"/>
      <c r="H517" s="16" t="n"/>
      <c r="I517" s="16" t="n"/>
      <c r="J517" s="15">
        <f>IF(AND(ISNUMBER(H517),ISNUMBER(I517)),I517-H517+1,"")</f>
        <v/>
      </c>
      <c r="K517" s="5" t="n"/>
      <c r="L517" s="5" t="n"/>
      <c r="M517" s="5" t="n"/>
      <c r="N517" s="5" t="n"/>
      <c r="O517" s="5" t="n"/>
      <c r="Q517" s="10">
        <f>IF(TRIM(G517&amp;"")="","",TRIM(G517&amp;""))</f>
        <v/>
      </c>
      <c r="R517" s="10">
        <f>IF(TRIM(B517&amp;"")="","",IFERROR(INDEX(설정_코드표!$K$2:$K$101,MATCH(TRIM(B517&amp;""),설정_코드표!$J$2:$J$101,0)),"⚠"&amp;TRIM(B517&amp;"")))</f>
        <v/>
      </c>
      <c r="S517" s="10">
        <f>IF(TRIM(K517&amp;"")="","",IFERROR(INDEX(설정_코드표!$K$2:$K$101,MATCH(TRIM(K517&amp;""),설정_코드표!$J$2:$J$101,0)),"⚠"&amp;TRIM(K517&amp;"")))</f>
        <v/>
      </c>
      <c r="T517" s="10">
        <f>IF(TRIM(M517&amp;"")="","",IF(ISNUMBER(MATCH(TRIM(M517&amp;""),설정_코드표!$C$2:$C$11,0)),TRIM(M517&amp;""),"⚠"&amp;TRIM(M517&amp;"")))</f>
        <v/>
      </c>
      <c r="U517" s="10">
        <f>IF(TRIM(L517&amp;"")="","",IFERROR(INDEX(설정_코드표!$G$2:$G$101,MATCH(TRIM(L517&amp;""),설정_코드표!$F$2:$F$101,0)),"⚠"&amp;TRIM(L517&amp;"")))</f>
        <v/>
      </c>
      <c r="V517" s="10">
        <f>IF(AND(ISNUMBER(H517),ISNUMBER(I517)),I517-H517+1,"")</f>
        <v/>
      </c>
      <c r="W517" s="17">
        <f>IF(ISNUMBER(H517),MAX(0,MIN(IF(ISNUMBER(I517),I517,EOMONTH(출력_요약!$B$3,0)),EOMONTH(출력_요약!$B$3,0))-MAX(H517,출력_요약!$B$3)+1),0)</f>
        <v/>
      </c>
      <c r="X517" s="10">
        <f>IF(OR(NOT(ISNUMBER(H517)),Q517=""),"",IF(TODAY()&lt;H517,"파견예정",IF(AND(ISNUMBER(I517),TODAY()&gt;I517),"파견종료","파견중")))</f>
        <v/>
      </c>
      <c r="Y517" s="10">
        <f>IF(OR(Q517="",X517=""),"",Q517&amp;"|"&amp;X517)</f>
        <v/>
      </c>
      <c r="Z517" s="10">
        <f>IF(AND(Q517&lt;&gt;"",W517&gt;0),Q517&amp;"|월","")</f>
        <v/>
      </c>
      <c r="AA517" s="10">
        <f>IF(COUNTA(B517:I517,K517:N517)=0,"",IF(Q517="","등록번호 없음",IF(LEFT(R517,1)="⚠","모병원명 미등록",IF(S517="","파견병원 입력",IF(LEFT(S517,1)="⚠","파견병원명 미등록",IF(LEFT(U517,1)="⚠","파견과목 미등록",IF(OR(T517="",LEFT(T517,1)="⚠"),"파견근거 확인",IF(NOT(AND(ISNUMBER(H517),ISNUMBER(I517))),"날짜 형식/누락",IF(I517&lt;H517,"종료일&lt;시작일","")))))))))</f>
        <v/>
      </c>
      <c r="AB517" s="11">
        <f>IF(ISNUMBER(SEARCH("다기관",TRIM(N517&amp;" "&amp;O517))),IFERROR(DATE(VALUE(MID(TRIM(N517&amp;" "&amp;O517),1,4)),VALUE(MID(TRIM(N517&amp;" "&amp;O517),6,2)),VALUE(MID(TRIM(N517&amp;" "&amp;O517),9,2))),IF(ISNUMBER(H517),H517,"")),"")</f>
        <v/>
      </c>
      <c r="AC517" s="11">
        <f>IF(ISNUMBER(SEARCH("다기관",TRIM(N517&amp;" "&amp;O517))),IFERROR(DATE(VALUE(MID(TRIM(N517&amp;" "&amp;O517),12,4)),VALUE(MID(TRIM(N517&amp;" "&amp;O517),17,2)),VALUE(MID(TRIM(N517&amp;" "&amp;O517),20,2))),IF(ISNUMBER(I517),I517,"")),"")</f>
        <v/>
      </c>
      <c r="AD517" s="17">
        <f>IF(AND(ISNUMBER(AB517),ISNUMBER(AC517)),MAX(0,MIN(AC517,EOMONTH(출력_요약!$B$3,0))-MAX(AB517,출력_요약!$B$3)+1),0)</f>
        <v/>
      </c>
      <c r="AE517" s="10">
        <f>IF(AND(Q517&lt;&gt;"",ISNUMBER(AB517)),Q517&amp;"|다기관","")</f>
        <v/>
      </c>
    </row>
    <row r="518">
      <c r="A518" s="15">
        <f>IF(F518="","",ROW()-3)</f>
        <v/>
      </c>
      <c r="B518" s="5" t="n"/>
      <c r="C518" s="15" t="n"/>
      <c r="D518" s="5" t="n"/>
      <c r="E518" s="15" t="n"/>
      <c r="F518" s="5" t="n"/>
      <c r="G518" s="6" t="n"/>
      <c r="H518" s="16" t="n"/>
      <c r="I518" s="16" t="n"/>
      <c r="J518" s="15">
        <f>IF(AND(ISNUMBER(H518),ISNUMBER(I518)),I518-H518+1,"")</f>
        <v/>
      </c>
      <c r="K518" s="5" t="n"/>
      <c r="L518" s="5" t="n"/>
      <c r="M518" s="5" t="n"/>
      <c r="N518" s="5" t="n"/>
      <c r="O518" s="5" t="n"/>
      <c r="Q518" s="10">
        <f>IF(TRIM(G518&amp;"")="","",TRIM(G518&amp;""))</f>
        <v/>
      </c>
      <c r="R518" s="10">
        <f>IF(TRIM(B518&amp;"")="","",IFERROR(INDEX(설정_코드표!$K$2:$K$101,MATCH(TRIM(B518&amp;""),설정_코드표!$J$2:$J$101,0)),"⚠"&amp;TRIM(B518&amp;"")))</f>
        <v/>
      </c>
      <c r="S518" s="10">
        <f>IF(TRIM(K518&amp;"")="","",IFERROR(INDEX(설정_코드표!$K$2:$K$101,MATCH(TRIM(K518&amp;""),설정_코드표!$J$2:$J$101,0)),"⚠"&amp;TRIM(K518&amp;"")))</f>
        <v/>
      </c>
      <c r="T518" s="10">
        <f>IF(TRIM(M518&amp;"")="","",IF(ISNUMBER(MATCH(TRIM(M518&amp;""),설정_코드표!$C$2:$C$11,0)),TRIM(M518&amp;""),"⚠"&amp;TRIM(M518&amp;"")))</f>
        <v/>
      </c>
      <c r="U518" s="10">
        <f>IF(TRIM(L518&amp;"")="","",IFERROR(INDEX(설정_코드표!$G$2:$G$101,MATCH(TRIM(L518&amp;""),설정_코드표!$F$2:$F$101,0)),"⚠"&amp;TRIM(L518&amp;"")))</f>
        <v/>
      </c>
      <c r="V518" s="10">
        <f>IF(AND(ISNUMBER(H518),ISNUMBER(I518)),I518-H518+1,"")</f>
        <v/>
      </c>
      <c r="W518" s="17">
        <f>IF(ISNUMBER(H518),MAX(0,MIN(IF(ISNUMBER(I518),I518,EOMONTH(출력_요약!$B$3,0)),EOMONTH(출력_요약!$B$3,0))-MAX(H518,출력_요약!$B$3)+1),0)</f>
        <v/>
      </c>
      <c r="X518" s="10">
        <f>IF(OR(NOT(ISNUMBER(H518)),Q518=""),"",IF(TODAY()&lt;H518,"파견예정",IF(AND(ISNUMBER(I518),TODAY()&gt;I518),"파견종료","파견중")))</f>
        <v/>
      </c>
      <c r="Y518" s="10">
        <f>IF(OR(Q518="",X518=""),"",Q518&amp;"|"&amp;X518)</f>
        <v/>
      </c>
      <c r="Z518" s="10">
        <f>IF(AND(Q518&lt;&gt;"",W518&gt;0),Q518&amp;"|월","")</f>
        <v/>
      </c>
      <c r="AA518" s="10">
        <f>IF(COUNTA(B518:I518,K518:N518)=0,"",IF(Q518="","등록번호 없음",IF(LEFT(R518,1)="⚠","모병원명 미등록",IF(S518="","파견병원 입력",IF(LEFT(S518,1)="⚠","파견병원명 미등록",IF(LEFT(U518,1)="⚠","파견과목 미등록",IF(OR(T518="",LEFT(T518,1)="⚠"),"파견근거 확인",IF(NOT(AND(ISNUMBER(H518),ISNUMBER(I518))),"날짜 형식/누락",IF(I518&lt;H518,"종료일&lt;시작일","")))))))))</f>
        <v/>
      </c>
      <c r="AB518" s="11">
        <f>IF(ISNUMBER(SEARCH("다기관",TRIM(N518&amp;" "&amp;O518))),IFERROR(DATE(VALUE(MID(TRIM(N518&amp;" "&amp;O518),1,4)),VALUE(MID(TRIM(N518&amp;" "&amp;O518),6,2)),VALUE(MID(TRIM(N518&amp;" "&amp;O518),9,2))),IF(ISNUMBER(H518),H518,"")),"")</f>
        <v/>
      </c>
      <c r="AC518" s="11">
        <f>IF(ISNUMBER(SEARCH("다기관",TRIM(N518&amp;" "&amp;O518))),IFERROR(DATE(VALUE(MID(TRIM(N518&amp;" "&amp;O518),12,4)),VALUE(MID(TRIM(N518&amp;" "&amp;O518),17,2)),VALUE(MID(TRIM(N518&amp;" "&amp;O518),20,2))),IF(ISNUMBER(I518),I518,"")),"")</f>
        <v/>
      </c>
      <c r="AD518" s="17">
        <f>IF(AND(ISNUMBER(AB518),ISNUMBER(AC518)),MAX(0,MIN(AC518,EOMONTH(출력_요약!$B$3,0))-MAX(AB518,출력_요약!$B$3)+1),0)</f>
        <v/>
      </c>
      <c r="AE518" s="10">
        <f>IF(AND(Q518&lt;&gt;"",ISNUMBER(AB518)),Q518&amp;"|다기관","")</f>
        <v/>
      </c>
    </row>
    <row r="519">
      <c r="A519" s="15">
        <f>IF(F519="","",ROW()-3)</f>
        <v/>
      </c>
      <c r="B519" s="5" t="n"/>
      <c r="C519" s="15" t="n"/>
      <c r="D519" s="5" t="n"/>
      <c r="E519" s="15" t="n"/>
      <c r="F519" s="5" t="n"/>
      <c r="G519" s="6" t="n"/>
      <c r="H519" s="16" t="n"/>
      <c r="I519" s="16" t="n"/>
      <c r="J519" s="15">
        <f>IF(AND(ISNUMBER(H519),ISNUMBER(I519)),I519-H519+1,"")</f>
        <v/>
      </c>
      <c r="K519" s="5" t="n"/>
      <c r="L519" s="5" t="n"/>
      <c r="M519" s="5" t="n"/>
      <c r="N519" s="5" t="n"/>
      <c r="O519" s="5" t="n"/>
      <c r="Q519" s="10">
        <f>IF(TRIM(G519&amp;"")="","",TRIM(G519&amp;""))</f>
        <v/>
      </c>
      <c r="R519" s="10">
        <f>IF(TRIM(B519&amp;"")="","",IFERROR(INDEX(설정_코드표!$K$2:$K$101,MATCH(TRIM(B519&amp;""),설정_코드표!$J$2:$J$101,0)),"⚠"&amp;TRIM(B519&amp;"")))</f>
        <v/>
      </c>
      <c r="S519" s="10">
        <f>IF(TRIM(K519&amp;"")="","",IFERROR(INDEX(설정_코드표!$K$2:$K$101,MATCH(TRIM(K519&amp;""),설정_코드표!$J$2:$J$101,0)),"⚠"&amp;TRIM(K519&amp;"")))</f>
        <v/>
      </c>
      <c r="T519" s="10">
        <f>IF(TRIM(M519&amp;"")="","",IF(ISNUMBER(MATCH(TRIM(M519&amp;""),설정_코드표!$C$2:$C$11,0)),TRIM(M519&amp;""),"⚠"&amp;TRIM(M519&amp;"")))</f>
        <v/>
      </c>
      <c r="U519" s="10">
        <f>IF(TRIM(L519&amp;"")="","",IFERROR(INDEX(설정_코드표!$G$2:$G$101,MATCH(TRIM(L519&amp;""),설정_코드표!$F$2:$F$101,0)),"⚠"&amp;TRIM(L519&amp;"")))</f>
        <v/>
      </c>
      <c r="V519" s="10">
        <f>IF(AND(ISNUMBER(H519),ISNUMBER(I519)),I519-H519+1,"")</f>
        <v/>
      </c>
      <c r="W519" s="17">
        <f>IF(ISNUMBER(H519),MAX(0,MIN(IF(ISNUMBER(I519),I519,EOMONTH(출력_요약!$B$3,0)),EOMONTH(출력_요약!$B$3,0))-MAX(H519,출력_요약!$B$3)+1),0)</f>
        <v/>
      </c>
      <c r="X519" s="10">
        <f>IF(OR(NOT(ISNUMBER(H519)),Q519=""),"",IF(TODAY()&lt;H519,"파견예정",IF(AND(ISNUMBER(I519),TODAY()&gt;I519),"파견종료","파견중")))</f>
        <v/>
      </c>
      <c r="Y519" s="10">
        <f>IF(OR(Q519="",X519=""),"",Q519&amp;"|"&amp;X519)</f>
        <v/>
      </c>
      <c r="Z519" s="10">
        <f>IF(AND(Q519&lt;&gt;"",W519&gt;0),Q519&amp;"|월","")</f>
        <v/>
      </c>
      <c r="AA519" s="10">
        <f>IF(COUNTA(B519:I519,K519:N519)=0,"",IF(Q519="","등록번호 없음",IF(LEFT(R519,1)="⚠","모병원명 미등록",IF(S519="","파견병원 입력",IF(LEFT(S519,1)="⚠","파견병원명 미등록",IF(LEFT(U519,1)="⚠","파견과목 미등록",IF(OR(T519="",LEFT(T519,1)="⚠"),"파견근거 확인",IF(NOT(AND(ISNUMBER(H519),ISNUMBER(I519))),"날짜 형식/누락",IF(I519&lt;H519,"종료일&lt;시작일","")))))))))</f>
        <v/>
      </c>
      <c r="AB519" s="11">
        <f>IF(ISNUMBER(SEARCH("다기관",TRIM(N519&amp;" "&amp;O519))),IFERROR(DATE(VALUE(MID(TRIM(N519&amp;" "&amp;O519),1,4)),VALUE(MID(TRIM(N519&amp;" "&amp;O519),6,2)),VALUE(MID(TRIM(N519&amp;" "&amp;O519),9,2))),IF(ISNUMBER(H519),H519,"")),"")</f>
        <v/>
      </c>
      <c r="AC519" s="11">
        <f>IF(ISNUMBER(SEARCH("다기관",TRIM(N519&amp;" "&amp;O519))),IFERROR(DATE(VALUE(MID(TRIM(N519&amp;" "&amp;O519),12,4)),VALUE(MID(TRIM(N519&amp;" "&amp;O519),17,2)),VALUE(MID(TRIM(N519&amp;" "&amp;O519),20,2))),IF(ISNUMBER(I519),I519,"")),"")</f>
        <v/>
      </c>
      <c r="AD519" s="17">
        <f>IF(AND(ISNUMBER(AB519),ISNUMBER(AC519)),MAX(0,MIN(AC519,EOMONTH(출력_요약!$B$3,0))-MAX(AB519,출력_요약!$B$3)+1),0)</f>
        <v/>
      </c>
      <c r="AE519" s="10">
        <f>IF(AND(Q519&lt;&gt;"",ISNUMBER(AB519)),Q519&amp;"|다기관","")</f>
        <v/>
      </c>
    </row>
    <row r="520">
      <c r="A520" s="15">
        <f>IF(F520="","",ROW()-3)</f>
        <v/>
      </c>
      <c r="B520" s="5" t="n"/>
      <c r="C520" s="15" t="n"/>
      <c r="D520" s="5" t="n"/>
      <c r="E520" s="15" t="n"/>
      <c r="F520" s="5" t="n"/>
      <c r="G520" s="6" t="n"/>
      <c r="H520" s="16" t="n"/>
      <c r="I520" s="16" t="n"/>
      <c r="J520" s="15">
        <f>IF(AND(ISNUMBER(H520),ISNUMBER(I520)),I520-H520+1,"")</f>
        <v/>
      </c>
      <c r="K520" s="5" t="n"/>
      <c r="L520" s="5" t="n"/>
      <c r="M520" s="5" t="n"/>
      <c r="N520" s="5" t="n"/>
      <c r="O520" s="5" t="n"/>
      <c r="Q520" s="10">
        <f>IF(TRIM(G520&amp;"")="","",TRIM(G520&amp;""))</f>
        <v/>
      </c>
      <c r="R520" s="10">
        <f>IF(TRIM(B520&amp;"")="","",IFERROR(INDEX(설정_코드표!$K$2:$K$101,MATCH(TRIM(B520&amp;""),설정_코드표!$J$2:$J$101,0)),"⚠"&amp;TRIM(B520&amp;"")))</f>
        <v/>
      </c>
      <c r="S520" s="10">
        <f>IF(TRIM(K520&amp;"")="","",IFERROR(INDEX(설정_코드표!$K$2:$K$101,MATCH(TRIM(K520&amp;""),설정_코드표!$J$2:$J$101,0)),"⚠"&amp;TRIM(K520&amp;"")))</f>
        <v/>
      </c>
      <c r="T520" s="10">
        <f>IF(TRIM(M520&amp;"")="","",IF(ISNUMBER(MATCH(TRIM(M520&amp;""),설정_코드표!$C$2:$C$11,0)),TRIM(M520&amp;""),"⚠"&amp;TRIM(M520&amp;"")))</f>
        <v/>
      </c>
      <c r="U520" s="10">
        <f>IF(TRIM(L520&amp;"")="","",IFERROR(INDEX(설정_코드표!$G$2:$G$101,MATCH(TRIM(L520&amp;""),설정_코드표!$F$2:$F$101,0)),"⚠"&amp;TRIM(L520&amp;"")))</f>
        <v/>
      </c>
      <c r="V520" s="10">
        <f>IF(AND(ISNUMBER(H520),ISNUMBER(I520)),I520-H520+1,"")</f>
        <v/>
      </c>
      <c r="W520" s="17">
        <f>IF(ISNUMBER(H520),MAX(0,MIN(IF(ISNUMBER(I520),I520,EOMONTH(출력_요약!$B$3,0)),EOMONTH(출력_요약!$B$3,0))-MAX(H520,출력_요약!$B$3)+1),0)</f>
        <v/>
      </c>
      <c r="X520" s="10">
        <f>IF(OR(NOT(ISNUMBER(H520)),Q520=""),"",IF(TODAY()&lt;H520,"파견예정",IF(AND(ISNUMBER(I520),TODAY()&gt;I520),"파견종료","파견중")))</f>
        <v/>
      </c>
      <c r="Y520" s="10">
        <f>IF(OR(Q520="",X520=""),"",Q520&amp;"|"&amp;X520)</f>
        <v/>
      </c>
      <c r="Z520" s="10">
        <f>IF(AND(Q520&lt;&gt;"",W520&gt;0),Q520&amp;"|월","")</f>
        <v/>
      </c>
      <c r="AA520" s="10">
        <f>IF(COUNTA(B520:I520,K520:N520)=0,"",IF(Q520="","등록번호 없음",IF(LEFT(R520,1)="⚠","모병원명 미등록",IF(S520="","파견병원 입력",IF(LEFT(S520,1)="⚠","파견병원명 미등록",IF(LEFT(U520,1)="⚠","파견과목 미등록",IF(OR(T520="",LEFT(T520,1)="⚠"),"파견근거 확인",IF(NOT(AND(ISNUMBER(H520),ISNUMBER(I520))),"날짜 형식/누락",IF(I520&lt;H520,"종료일&lt;시작일","")))))))))</f>
        <v/>
      </c>
      <c r="AB520" s="11">
        <f>IF(ISNUMBER(SEARCH("다기관",TRIM(N520&amp;" "&amp;O520))),IFERROR(DATE(VALUE(MID(TRIM(N520&amp;" "&amp;O520),1,4)),VALUE(MID(TRIM(N520&amp;" "&amp;O520),6,2)),VALUE(MID(TRIM(N520&amp;" "&amp;O520),9,2))),IF(ISNUMBER(H520),H520,"")),"")</f>
        <v/>
      </c>
      <c r="AC520" s="11">
        <f>IF(ISNUMBER(SEARCH("다기관",TRIM(N520&amp;" "&amp;O520))),IFERROR(DATE(VALUE(MID(TRIM(N520&amp;" "&amp;O520),12,4)),VALUE(MID(TRIM(N520&amp;" "&amp;O520),17,2)),VALUE(MID(TRIM(N520&amp;" "&amp;O520),20,2))),IF(ISNUMBER(I520),I520,"")),"")</f>
        <v/>
      </c>
      <c r="AD520" s="17">
        <f>IF(AND(ISNUMBER(AB520),ISNUMBER(AC520)),MAX(0,MIN(AC520,EOMONTH(출력_요약!$B$3,0))-MAX(AB520,출력_요약!$B$3)+1),0)</f>
        <v/>
      </c>
      <c r="AE520" s="10">
        <f>IF(AND(Q520&lt;&gt;"",ISNUMBER(AB520)),Q520&amp;"|다기관","")</f>
        <v/>
      </c>
    </row>
    <row r="521">
      <c r="A521" s="15">
        <f>IF(F521="","",ROW()-3)</f>
        <v/>
      </c>
      <c r="B521" s="5" t="n"/>
      <c r="C521" s="15" t="n"/>
      <c r="D521" s="5" t="n"/>
      <c r="E521" s="15" t="n"/>
      <c r="F521" s="5" t="n"/>
      <c r="G521" s="6" t="n"/>
      <c r="H521" s="16" t="n"/>
      <c r="I521" s="16" t="n"/>
      <c r="J521" s="15">
        <f>IF(AND(ISNUMBER(H521),ISNUMBER(I521)),I521-H521+1,"")</f>
        <v/>
      </c>
      <c r="K521" s="5" t="n"/>
      <c r="L521" s="5" t="n"/>
      <c r="M521" s="5" t="n"/>
      <c r="N521" s="5" t="n"/>
      <c r="O521" s="5" t="n"/>
      <c r="Q521" s="10">
        <f>IF(TRIM(G521&amp;"")="","",TRIM(G521&amp;""))</f>
        <v/>
      </c>
      <c r="R521" s="10">
        <f>IF(TRIM(B521&amp;"")="","",IFERROR(INDEX(설정_코드표!$K$2:$K$101,MATCH(TRIM(B521&amp;""),설정_코드표!$J$2:$J$101,0)),"⚠"&amp;TRIM(B521&amp;"")))</f>
        <v/>
      </c>
      <c r="S521" s="10">
        <f>IF(TRIM(K521&amp;"")="","",IFERROR(INDEX(설정_코드표!$K$2:$K$101,MATCH(TRIM(K521&amp;""),설정_코드표!$J$2:$J$101,0)),"⚠"&amp;TRIM(K521&amp;"")))</f>
        <v/>
      </c>
      <c r="T521" s="10">
        <f>IF(TRIM(M521&amp;"")="","",IF(ISNUMBER(MATCH(TRIM(M521&amp;""),설정_코드표!$C$2:$C$11,0)),TRIM(M521&amp;""),"⚠"&amp;TRIM(M521&amp;"")))</f>
        <v/>
      </c>
      <c r="U521" s="10">
        <f>IF(TRIM(L521&amp;"")="","",IFERROR(INDEX(설정_코드표!$G$2:$G$101,MATCH(TRIM(L521&amp;""),설정_코드표!$F$2:$F$101,0)),"⚠"&amp;TRIM(L521&amp;"")))</f>
        <v/>
      </c>
      <c r="V521" s="10">
        <f>IF(AND(ISNUMBER(H521),ISNUMBER(I521)),I521-H521+1,"")</f>
        <v/>
      </c>
      <c r="W521" s="17">
        <f>IF(ISNUMBER(H521),MAX(0,MIN(IF(ISNUMBER(I521),I521,EOMONTH(출력_요약!$B$3,0)),EOMONTH(출력_요약!$B$3,0))-MAX(H521,출력_요약!$B$3)+1),0)</f>
        <v/>
      </c>
      <c r="X521" s="10">
        <f>IF(OR(NOT(ISNUMBER(H521)),Q521=""),"",IF(TODAY()&lt;H521,"파견예정",IF(AND(ISNUMBER(I521),TODAY()&gt;I521),"파견종료","파견중")))</f>
        <v/>
      </c>
      <c r="Y521" s="10">
        <f>IF(OR(Q521="",X521=""),"",Q521&amp;"|"&amp;X521)</f>
        <v/>
      </c>
      <c r="Z521" s="10">
        <f>IF(AND(Q521&lt;&gt;"",W521&gt;0),Q521&amp;"|월","")</f>
        <v/>
      </c>
      <c r="AA521" s="10">
        <f>IF(COUNTA(B521:I521,K521:N521)=0,"",IF(Q521="","등록번호 없음",IF(LEFT(R521,1)="⚠","모병원명 미등록",IF(S521="","파견병원 입력",IF(LEFT(S521,1)="⚠","파견병원명 미등록",IF(LEFT(U521,1)="⚠","파견과목 미등록",IF(OR(T521="",LEFT(T521,1)="⚠"),"파견근거 확인",IF(NOT(AND(ISNUMBER(H521),ISNUMBER(I521))),"날짜 형식/누락",IF(I521&lt;H521,"종료일&lt;시작일","")))))))))</f>
        <v/>
      </c>
      <c r="AB521" s="11">
        <f>IF(ISNUMBER(SEARCH("다기관",TRIM(N521&amp;" "&amp;O521))),IFERROR(DATE(VALUE(MID(TRIM(N521&amp;" "&amp;O521),1,4)),VALUE(MID(TRIM(N521&amp;" "&amp;O521),6,2)),VALUE(MID(TRIM(N521&amp;" "&amp;O521),9,2))),IF(ISNUMBER(H521),H521,"")),"")</f>
        <v/>
      </c>
      <c r="AC521" s="11">
        <f>IF(ISNUMBER(SEARCH("다기관",TRIM(N521&amp;" "&amp;O521))),IFERROR(DATE(VALUE(MID(TRIM(N521&amp;" "&amp;O521),12,4)),VALUE(MID(TRIM(N521&amp;" "&amp;O521),17,2)),VALUE(MID(TRIM(N521&amp;" "&amp;O521),20,2))),IF(ISNUMBER(I521),I521,"")),"")</f>
        <v/>
      </c>
      <c r="AD521" s="17">
        <f>IF(AND(ISNUMBER(AB521),ISNUMBER(AC521)),MAX(0,MIN(AC521,EOMONTH(출력_요약!$B$3,0))-MAX(AB521,출력_요약!$B$3)+1),0)</f>
        <v/>
      </c>
      <c r="AE521" s="10">
        <f>IF(AND(Q521&lt;&gt;"",ISNUMBER(AB521)),Q521&amp;"|다기관","")</f>
        <v/>
      </c>
    </row>
    <row r="522">
      <c r="A522" s="15">
        <f>IF(F522="","",ROW()-3)</f>
        <v/>
      </c>
      <c r="B522" s="5" t="n"/>
      <c r="C522" s="15" t="n"/>
      <c r="D522" s="5" t="n"/>
      <c r="E522" s="15" t="n"/>
      <c r="F522" s="5" t="n"/>
      <c r="G522" s="6" t="n"/>
      <c r="H522" s="16" t="n"/>
      <c r="I522" s="16" t="n"/>
      <c r="J522" s="15">
        <f>IF(AND(ISNUMBER(H522),ISNUMBER(I522)),I522-H522+1,"")</f>
        <v/>
      </c>
      <c r="K522" s="5" t="n"/>
      <c r="L522" s="5" t="n"/>
      <c r="M522" s="5" t="n"/>
      <c r="N522" s="5" t="n"/>
      <c r="O522" s="5" t="n"/>
      <c r="Q522" s="10">
        <f>IF(TRIM(G522&amp;"")="","",TRIM(G522&amp;""))</f>
        <v/>
      </c>
      <c r="R522" s="10">
        <f>IF(TRIM(B522&amp;"")="","",IFERROR(INDEX(설정_코드표!$K$2:$K$101,MATCH(TRIM(B522&amp;""),설정_코드표!$J$2:$J$101,0)),"⚠"&amp;TRIM(B522&amp;"")))</f>
        <v/>
      </c>
      <c r="S522" s="10">
        <f>IF(TRIM(K522&amp;"")="","",IFERROR(INDEX(설정_코드표!$K$2:$K$101,MATCH(TRIM(K522&amp;""),설정_코드표!$J$2:$J$101,0)),"⚠"&amp;TRIM(K522&amp;"")))</f>
        <v/>
      </c>
      <c r="T522" s="10">
        <f>IF(TRIM(M522&amp;"")="","",IF(ISNUMBER(MATCH(TRIM(M522&amp;""),설정_코드표!$C$2:$C$11,0)),TRIM(M522&amp;""),"⚠"&amp;TRIM(M522&amp;"")))</f>
        <v/>
      </c>
      <c r="U522" s="10">
        <f>IF(TRIM(L522&amp;"")="","",IFERROR(INDEX(설정_코드표!$G$2:$G$101,MATCH(TRIM(L522&amp;""),설정_코드표!$F$2:$F$101,0)),"⚠"&amp;TRIM(L522&amp;"")))</f>
        <v/>
      </c>
      <c r="V522" s="10">
        <f>IF(AND(ISNUMBER(H522),ISNUMBER(I522)),I522-H522+1,"")</f>
        <v/>
      </c>
      <c r="W522" s="17">
        <f>IF(ISNUMBER(H522),MAX(0,MIN(IF(ISNUMBER(I522),I522,EOMONTH(출력_요약!$B$3,0)),EOMONTH(출력_요약!$B$3,0))-MAX(H522,출력_요약!$B$3)+1),0)</f>
        <v/>
      </c>
      <c r="X522" s="10">
        <f>IF(OR(NOT(ISNUMBER(H522)),Q522=""),"",IF(TODAY()&lt;H522,"파견예정",IF(AND(ISNUMBER(I522),TODAY()&gt;I522),"파견종료","파견중")))</f>
        <v/>
      </c>
      <c r="Y522" s="10">
        <f>IF(OR(Q522="",X522=""),"",Q522&amp;"|"&amp;X522)</f>
        <v/>
      </c>
      <c r="Z522" s="10">
        <f>IF(AND(Q522&lt;&gt;"",W522&gt;0),Q522&amp;"|월","")</f>
        <v/>
      </c>
      <c r="AA522" s="10">
        <f>IF(COUNTA(B522:I522,K522:N522)=0,"",IF(Q522="","등록번호 없음",IF(LEFT(R522,1)="⚠","모병원명 미등록",IF(S522="","파견병원 입력",IF(LEFT(S522,1)="⚠","파견병원명 미등록",IF(LEFT(U522,1)="⚠","파견과목 미등록",IF(OR(T522="",LEFT(T522,1)="⚠"),"파견근거 확인",IF(NOT(AND(ISNUMBER(H522),ISNUMBER(I522))),"날짜 형식/누락",IF(I522&lt;H522,"종료일&lt;시작일","")))))))))</f>
        <v/>
      </c>
      <c r="AB522" s="11">
        <f>IF(ISNUMBER(SEARCH("다기관",TRIM(N522&amp;" "&amp;O522))),IFERROR(DATE(VALUE(MID(TRIM(N522&amp;" "&amp;O522),1,4)),VALUE(MID(TRIM(N522&amp;" "&amp;O522),6,2)),VALUE(MID(TRIM(N522&amp;" "&amp;O522),9,2))),IF(ISNUMBER(H522),H522,"")),"")</f>
        <v/>
      </c>
      <c r="AC522" s="11">
        <f>IF(ISNUMBER(SEARCH("다기관",TRIM(N522&amp;" "&amp;O522))),IFERROR(DATE(VALUE(MID(TRIM(N522&amp;" "&amp;O522),12,4)),VALUE(MID(TRIM(N522&amp;" "&amp;O522),17,2)),VALUE(MID(TRIM(N522&amp;" "&amp;O522),20,2))),IF(ISNUMBER(I522),I522,"")),"")</f>
        <v/>
      </c>
      <c r="AD522" s="17">
        <f>IF(AND(ISNUMBER(AB522),ISNUMBER(AC522)),MAX(0,MIN(AC522,EOMONTH(출력_요약!$B$3,0))-MAX(AB522,출력_요약!$B$3)+1),0)</f>
        <v/>
      </c>
      <c r="AE522" s="10">
        <f>IF(AND(Q522&lt;&gt;"",ISNUMBER(AB522)),Q522&amp;"|다기관","")</f>
        <v/>
      </c>
    </row>
    <row r="523">
      <c r="A523" s="15">
        <f>IF(F523="","",ROW()-3)</f>
        <v/>
      </c>
      <c r="B523" s="5" t="n"/>
      <c r="C523" s="15" t="n"/>
      <c r="D523" s="5" t="n"/>
      <c r="E523" s="15" t="n"/>
      <c r="F523" s="5" t="n"/>
      <c r="G523" s="6" t="n"/>
      <c r="H523" s="16" t="n"/>
      <c r="I523" s="16" t="n"/>
      <c r="J523" s="15">
        <f>IF(AND(ISNUMBER(H523),ISNUMBER(I523)),I523-H523+1,"")</f>
        <v/>
      </c>
      <c r="K523" s="5" t="n"/>
      <c r="L523" s="5" t="n"/>
      <c r="M523" s="5" t="n"/>
      <c r="N523" s="5" t="n"/>
      <c r="O523" s="5" t="n"/>
      <c r="Q523" s="10">
        <f>IF(TRIM(G523&amp;"")="","",TRIM(G523&amp;""))</f>
        <v/>
      </c>
      <c r="R523" s="10">
        <f>IF(TRIM(B523&amp;"")="","",IFERROR(INDEX(설정_코드표!$K$2:$K$101,MATCH(TRIM(B523&amp;""),설정_코드표!$J$2:$J$101,0)),"⚠"&amp;TRIM(B523&amp;"")))</f>
        <v/>
      </c>
      <c r="S523" s="10">
        <f>IF(TRIM(K523&amp;"")="","",IFERROR(INDEX(설정_코드표!$K$2:$K$101,MATCH(TRIM(K523&amp;""),설정_코드표!$J$2:$J$101,0)),"⚠"&amp;TRIM(K523&amp;"")))</f>
        <v/>
      </c>
      <c r="T523" s="10">
        <f>IF(TRIM(M523&amp;"")="","",IF(ISNUMBER(MATCH(TRIM(M523&amp;""),설정_코드표!$C$2:$C$11,0)),TRIM(M523&amp;""),"⚠"&amp;TRIM(M523&amp;"")))</f>
        <v/>
      </c>
      <c r="U523" s="10">
        <f>IF(TRIM(L523&amp;"")="","",IFERROR(INDEX(설정_코드표!$G$2:$G$101,MATCH(TRIM(L523&amp;""),설정_코드표!$F$2:$F$101,0)),"⚠"&amp;TRIM(L523&amp;"")))</f>
        <v/>
      </c>
      <c r="V523" s="10">
        <f>IF(AND(ISNUMBER(H523),ISNUMBER(I523)),I523-H523+1,"")</f>
        <v/>
      </c>
      <c r="W523" s="17">
        <f>IF(ISNUMBER(H523),MAX(0,MIN(IF(ISNUMBER(I523),I523,EOMONTH(출력_요약!$B$3,0)),EOMONTH(출력_요약!$B$3,0))-MAX(H523,출력_요약!$B$3)+1),0)</f>
        <v/>
      </c>
      <c r="X523" s="10">
        <f>IF(OR(NOT(ISNUMBER(H523)),Q523=""),"",IF(TODAY()&lt;H523,"파견예정",IF(AND(ISNUMBER(I523),TODAY()&gt;I523),"파견종료","파견중")))</f>
        <v/>
      </c>
      <c r="Y523" s="10">
        <f>IF(OR(Q523="",X523=""),"",Q523&amp;"|"&amp;X523)</f>
        <v/>
      </c>
      <c r="Z523" s="10">
        <f>IF(AND(Q523&lt;&gt;"",W523&gt;0),Q523&amp;"|월","")</f>
        <v/>
      </c>
      <c r="AA523" s="10">
        <f>IF(COUNTA(B523:I523,K523:N523)=0,"",IF(Q523="","등록번호 없음",IF(LEFT(R523,1)="⚠","모병원명 미등록",IF(S523="","파견병원 입력",IF(LEFT(S523,1)="⚠","파견병원명 미등록",IF(LEFT(U523,1)="⚠","파견과목 미등록",IF(OR(T523="",LEFT(T523,1)="⚠"),"파견근거 확인",IF(NOT(AND(ISNUMBER(H523),ISNUMBER(I523))),"날짜 형식/누락",IF(I523&lt;H523,"종료일&lt;시작일","")))))))))</f>
        <v/>
      </c>
      <c r="AB523" s="11">
        <f>IF(ISNUMBER(SEARCH("다기관",TRIM(N523&amp;" "&amp;O523))),IFERROR(DATE(VALUE(MID(TRIM(N523&amp;" "&amp;O523),1,4)),VALUE(MID(TRIM(N523&amp;" "&amp;O523),6,2)),VALUE(MID(TRIM(N523&amp;" "&amp;O523),9,2))),IF(ISNUMBER(H523),H523,"")),"")</f>
        <v/>
      </c>
      <c r="AC523" s="11">
        <f>IF(ISNUMBER(SEARCH("다기관",TRIM(N523&amp;" "&amp;O523))),IFERROR(DATE(VALUE(MID(TRIM(N523&amp;" "&amp;O523),12,4)),VALUE(MID(TRIM(N523&amp;" "&amp;O523),17,2)),VALUE(MID(TRIM(N523&amp;" "&amp;O523),20,2))),IF(ISNUMBER(I523),I523,"")),"")</f>
        <v/>
      </c>
      <c r="AD523" s="17">
        <f>IF(AND(ISNUMBER(AB523),ISNUMBER(AC523)),MAX(0,MIN(AC523,EOMONTH(출력_요약!$B$3,0))-MAX(AB523,출력_요약!$B$3)+1),0)</f>
        <v/>
      </c>
      <c r="AE523" s="10">
        <f>IF(AND(Q523&lt;&gt;"",ISNUMBER(AB523)),Q523&amp;"|다기관","")</f>
        <v/>
      </c>
    </row>
    <row r="524">
      <c r="A524" s="15">
        <f>IF(F524="","",ROW()-3)</f>
        <v/>
      </c>
      <c r="B524" s="5" t="n"/>
      <c r="C524" s="15" t="n"/>
      <c r="D524" s="5" t="n"/>
      <c r="E524" s="15" t="n"/>
      <c r="F524" s="5" t="n"/>
      <c r="G524" s="6" t="n"/>
      <c r="H524" s="16" t="n"/>
      <c r="I524" s="16" t="n"/>
      <c r="J524" s="15">
        <f>IF(AND(ISNUMBER(H524),ISNUMBER(I524)),I524-H524+1,"")</f>
        <v/>
      </c>
      <c r="K524" s="5" t="n"/>
      <c r="L524" s="5" t="n"/>
      <c r="M524" s="5" t="n"/>
      <c r="N524" s="5" t="n"/>
      <c r="O524" s="5" t="n"/>
      <c r="Q524" s="10">
        <f>IF(TRIM(G524&amp;"")="","",TRIM(G524&amp;""))</f>
        <v/>
      </c>
      <c r="R524" s="10">
        <f>IF(TRIM(B524&amp;"")="","",IFERROR(INDEX(설정_코드표!$K$2:$K$101,MATCH(TRIM(B524&amp;""),설정_코드표!$J$2:$J$101,0)),"⚠"&amp;TRIM(B524&amp;"")))</f>
        <v/>
      </c>
      <c r="S524" s="10">
        <f>IF(TRIM(K524&amp;"")="","",IFERROR(INDEX(설정_코드표!$K$2:$K$101,MATCH(TRIM(K524&amp;""),설정_코드표!$J$2:$J$101,0)),"⚠"&amp;TRIM(K524&amp;"")))</f>
        <v/>
      </c>
      <c r="T524" s="10">
        <f>IF(TRIM(M524&amp;"")="","",IF(ISNUMBER(MATCH(TRIM(M524&amp;""),설정_코드표!$C$2:$C$11,0)),TRIM(M524&amp;""),"⚠"&amp;TRIM(M524&amp;"")))</f>
        <v/>
      </c>
      <c r="U524" s="10">
        <f>IF(TRIM(L524&amp;"")="","",IFERROR(INDEX(설정_코드표!$G$2:$G$101,MATCH(TRIM(L524&amp;""),설정_코드표!$F$2:$F$101,0)),"⚠"&amp;TRIM(L524&amp;"")))</f>
        <v/>
      </c>
      <c r="V524" s="10">
        <f>IF(AND(ISNUMBER(H524),ISNUMBER(I524)),I524-H524+1,"")</f>
        <v/>
      </c>
      <c r="W524" s="17">
        <f>IF(ISNUMBER(H524),MAX(0,MIN(IF(ISNUMBER(I524),I524,EOMONTH(출력_요약!$B$3,0)),EOMONTH(출력_요약!$B$3,0))-MAX(H524,출력_요약!$B$3)+1),0)</f>
        <v/>
      </c>
      <c r="X524" s="10">
        <f>IF(OR(NOT(ISNUMBER(H524)),Q524=""),"",IF(TODAY()&lt;H524,"파견예정",IF(AND(ISNUMBER(I524),TODAY()&gt;I524),"파견종료","파견중")))</f>
        <v/>
      </c>
      <c r="Y524" s="10">
        <f>IF(OR(Q524="",X524=""),"",Q524&amp;"|"&amp;X524)</f>
        <v/>
      </c>
      <c r="Z524" s="10">
        <f>IF(AND(Q524&lt;&gt;"",W524&gt;0),Q524&amp;"|월","")</f>
        <v/>
      </c>
      <c r="AA524" s="10">
        <f>IF(COUNTA(B524:I524,K524:N524)=0,"",IF(Q524="","등록번호 없음",IF(LEFT(R524,1)="⚠","모병원명 미등록",IF(S524="","파견병원 입력",IF(LEFT(S524,1)="⚠","파견병원명 미등록",IF(LEFT(U524,1)="⚠","파견과목 미등록",IF(OR(T524="",LEFT(T524,1)="⚠"),"파견근거 확인",IF(NOT(AND(ISNUMBER(H524),ISNUMBER(I524))),"날짜 형식/누락",IF(I524&lt;H524,"종료일&lt;시작일","")))))))))</f>
        <v/>
      </c>
      <c r="AB524" s="11">
        <f>IF(ISNUMBER(SEARCH("다기관",TRIM(N524&amp;" "&amp;O524))),IFERROR(DATE(VALUE(MID(TRIM(N524&amp;" "&amp;O524),1,4)),VALUE(MID(TRIM(N524&amp;" "&amp;O524),6,2)),VALUE(MID(TRIM(N524&amp;" "&amp;O524),9,2))),IF(ISNUMBER(H524),H524,"")),"")</f>
        <v/>
      </c>
      <c r="AC524" s="11">
        <f>IF(ISNUMBER(SEARCH("다기관",TRIM(N524&amp;" "&amp;O524))),IFERROR(DATE(VALUE(MID(TRIM(N524&amp;" "&amp;O524),12,4)),VALUE(MID(TRIM(N524&amp;" "&amp;O524),17,2)),VALUE(MID(TRIM(N524&amp;" "&amp;O524),20,2))),IF(ISNUMBER(I524),I524,"")),"")</f>
        <v/>
      </c>
      <c r="AD524" s="17">
        <f>IF(AND(ISNUMBER(AB524),ISNUMBER(AC524)),MAX(0,MIN(AC524,EOMONTH(출력_요약!$B$3,0))-MAX(AB524,출력_요약!$B$3)+1),0)</f>
        <v/>
      </c>
      <c r="AE524" s="10">
        <f>IF(AND(Q524&lt;&gt;"",ISNUMBER(AB524)),Q524&amp;"|다기관","")</f>
        <v/>
      </c>
    </row>
    <row r="525">
      <c r="A525" s="15">
        <f>IF(F525="","",ROW()-3)</f>
        <v/>
      </c>
      <c r="B525" s="5" t="n"/>
      <c r="C525" s="15" t="n"/>
      <c r="D525" s="5" t="n"/>
      <c r="E525" s="15" t="n"/>
      <c r="F525" s="5" t="n"/>
      <c r="G525" s="6" t="n"/>
      <c r="H525" s="16" t="n"/>
      <c r="I525" s="16" t="n"/>
      <c r="J525" s="15">
        <f>IF(AND(ISNUMBER(H525),ISNUMBER(I525)),I525-H525+1,"")</f>
        <v/>
      </c>
      <c r="K525" s="5" t="n"/>
      <c r="L525" s="5" t="n"/>
      <c r="M525" s="5" t="n"/>
      <c r="N525" s="5" t="n"/>
      <c r="O525" s="5" t="n"/>
      <c r="Q525" s="10">
        <f>IF(TRIM(G525&amp;"")="","",TRIM(G525&amp;""))</f>
        <v/>
      </c>
      <c r="R525" s="10">
        <f>IF(TRIM(B525&amp;"")="","",IFERROR(INDEX(설정_코드표!$K$2:$K$101,MATCH(TRIM(B525&amp;""),설정_코드표!$J$2:$J$101,0)),"⚠"&amp;TRIM(B525&amp;"")))</f>
        <v/>
      </c>
      <c r="S525" s="10">
        <f>IF(TRIM(K525&amp;"")="","",IFERROR(INDEX(설정_코드표!$K$2:$K$101,MATCH(TRIM(K525&amp;""),설정_코드표!$J$2:$J$101,0)),"⚠"&amp;TRIM(K525&amp;"")))</f>
        <v/>
      </c>
      <c r="T525" s="10">
        <f>IF(TRIM(M525&amp;"")="","",IF(ISNUMBER(MATCH(TRIM(M525&amp;""),설정_코드표!$C$2:$C$11,0)),TRIM(M525&amp;""),"⚠"&amp;TRIM(M525&amp;"")))</f>
        <v/>
      </c>
      <c r="U525" s="10">
        <f>IF(TRIM(L525&amp;"")="","",IFERROR(INDEX(설정_코드표!$G$2:$G$101,MATCH(TRIM(L525&amp;""),설정_코드표!$F$2:$F$101,0)),"⚠"&amp;TRIM(L525&amp;"")))</f>
        <v/>
      </c>
      <c r="V525" s="10">
        <f>IF(AND(ISNUMBER(H525),ISNUMBER(I525)),I525-H525+1,"")</f>
        <v/>
      </c>
      <c r="W525" s="17">
        <f>IF(ISNUMBER(H525),MAX(0,MIN(IF(ISNUMBER(I525),I525,EOMONTH(출력_요약!$B$3,0)),EOMONTH(출력_요약!$B$3,0))-MAX(H525,출력_요약!$B$3)+1),0)</f>
        <v/>
      </c>
      <c r="X525" s="10">
        <f>IF(OR(NOT(ISNUMBER(H525)),Q525=""),"",IF(TODAY()&lt;H525,"파견예정",IF(AND(ISNUMBER(I525),TODAY()&gt;I525),"파견종료","파견중")))</f>
        <v/>
      </c>
      <c r="Y525" s="10">
        <f>IF(OR(Q525="",X525=""),"",Q525&amp;"|"&amp;X525)</f>
        <v/>
      </c>
      <c r="Z525" s="10">
        <f>IF(AND(Q525&lt;&gt;"",W525&gt;0),Q525&amp;"|월","")</f>
        <v/>
      </c>
      <c r="AA525" s="10">
        <f>IF(COUNTA(B525:I525,K525:N525)=0,"",IF(Q525="","등록번호 없음",IF(LEFT(R525,1)="⚠","모병원명 미등록",IF(S525="","파견병원 입력",IF(LEFT(S525,1)="⚠","파견병원명 미등록",IF(LEFT(U525,1)="⚠","파견과목 미등록",IF(OR(T525="",LEFT(T525,1)="⚠"),"파견근거 확인",IF(NOT(AND(ISNUMBER(H525),ISNUMBER(I525))),"날짜 형식/누락",IF(I525&lt;H525,"종료일&lt;시작일","")))))))))</f>
        <v/>
      </c>
      <c r="AB525" s="11">
        <f>IF(ISNUMBER(SEARCH("다기관",TRIM(N525&amp;" "&amp;O525))),IFERROR(DATE(VALUE(MID(TRIM(N525&amp;" "&amp;O525),1,4)),VALUE(MID(TRIM(N525&amp;" "&amp;O525),6,2)),VALUE(MID(TRIM(N525&amp;" "&amp;O525),9,2))),IF(ISNUMBER(H525),H525,"")),"")</f>
        <v/>
      </c>
      <c r="AC525" s="11">
        <f>IF(ISNUMBER(SEARCH("다기관",TRIM(N525&amp;" "&amp;O525))),IFERROR(DATE(VALUE(MID(TRIM(N525&amp;" "&amp;O525),12,4)),VALUE(MID(TRIM(N525&amp;" "&amp;O525),17,2)),VALUE(MID(TRIM(N525&amp;" "&amp;O525),20,2))),IF(ISNUMBER(I525),I525,"")),"")</f>
        <v/>
      </c>
      <c r="AD525" s="17">
        <f>IF(AND(ISNUMBER(AB525),ISNUMBER(AC525)),MAX(0,MIN(AC525,EOMONTH(출력_요약!$B$3,0))-MAX(AB525,출력_요약!$B$3)+1),0)</f>
        <v/>
      </c>
      <c r="AE525" s="10">
        <f>IF(AND(Q525&lt;&gt;"",ISNUMBER(AB525)),Q525&amp;"|다기관","")</f>
        <v/>
      </c>
    </row>
    <row r="526">
      <c r="A526" s="15">
        <f>IF(F526="","",ROW()-3)</f>
        <v/>
      </c>
      <c r="B526" s="5" t="n"/>
      <c r="C526" s="15" t="n"/>
      <c r="D526" s="5" t="n"/>
      <c r="E526" s="15" t="n"/>
      <c r="F526" s="5" t="n"/>
      <c r="G526" s="6" t="n"/>
      <c r="H526" s="16" t="n"/>
      <c r="I526" s="16" t="n"/>
      <c r="J526" s="15">
        <f>IF(AND(ISNUMBER(H526),ISNUMBER(I526)),I526-H526+1,"")</f>
        <v/>
      </c>
      <c r="K526" s="5" t="n"/>
      <c r="L526" s="5" t="n"/>
      <c r="M526" s="5" t="n"/>
      <c r="N526" s="5" t="n"/>
      <c r="O526" s="5" t="n"/>
      <c r="Q526" s="10">
        <f>IF(TRIM(G526&amp;"")="","",TRIM(G526&amp;""))</f>
        <v/>
      </c>
      <c r="R526" s="10">
        <f>IF(TRIM(B526&amp;"")="","",IFERROR(INDEX(설정_코드표!$K$2:$K$101,MATCH(TRIM(B526&amp;""),설정_코드표!$J$2:$J$101,0)),"⚠"&amp;TRIM(B526&amp;"")))</f>
        <v/>
      </c>
      <c r="S526" s="10">
        <f>IF(TRIM(K526&amp;"")="","",IFERROR(INDEX(설정_코드표!$K$2:$K$101,MATCH(TRIM(K526&amp;""),설정_코드표!$J$2:$J$101,0)),"⚠"&amp;TRIM(K526&amp;"")))</f>
        <v/>
      </c>
      <c r="T526" s="10">
        <f>IF(TRIM(M526&amp;"")="","",IF(ISNUMBER(MATCH(TRIM(M526&amp;""),설정_코드표!$C$2:$C$11,0)),TRIM(M526&amp;""),"⚠"&amp;TRIM(M526&amp;"")))</f>
        <v/>
      </c>
      <c r="U526" s="10">
        <f>IF(TRIM(L526&amp;"")="","",IFERROR(INDEX(설정_코드표!$G$2:$G$101,MATCH(TRIM(L526&amp;""),설정_코드표!$F$2:$F$101,0)),"⚠"&amp;TRIM(L526&amp;"")))</f>
        <v/>
      </c>
      <c r="V526" s="10">
        <f>IF(AND(ISNUMBER(H526),ISNUMBER(I526)),I526-H526+1,"")</f>
        <v/>
      </c>
      <c r="W526" s="17">
        <f>IF(ISNUMBER(H526),MAX(0,MIN(IF(ISNUMBER(I526),I526,EOMONTH(출력_요약!$B$3,0)),EOMONTH(출력_요약!$B$3,0))-MAX(H526,출력_요약!$B$3)+1),0)</f>
        <v/>
      </c>
      <c r="X526" s="10">
        <f>IF(OR(NOT(ISNUMBER(H526)),Q526=""),"",IF(TODAY()&lt;H526,"파견예정",IF(AND(ISNUMBER(I526),TODAY()&gt;I526),"파견종료","파견중")))</f>
        <v/>
      </c>
      <c r="Y526" s="10">
        <f>IF(OR(Q526="",X526=""),"",Q526&amp;"|"&amp;X526)</f>
        <v/>
      </c>
      <c r="Z526" s="10">
        <f>IF(AND(Q526&lt;&gt;"",W526&gt;0),Q526&amp;"|월","")</f>
        <v/>
      </c>
      <c r="AA526" s="10">
        <f>IF(COUNTA(B526:I526,K526:N526)=0,"",IF(Q526="","등록번호 없음",IF(LEFT(R526,1)="⚠","모병원명 미등록",IF(S526="","파견병원 입력",IF(LEFT(S526,1)="⚠","파견병원명 미등록",IF(LEFT(U526,1)="⚠","파견과목 미등록",IF(OR(T526="",LEFT(T526,1)="⚠"),"파견근거 확인",IF(NOT(AND(ISNUMBER(H526),ISNUMBER(I526))),"날짜 형식/누락",IF(I526&lt;H526,"종료일&lt;시작일","")))))))))</f>
        <v/>
      </c>
      <c r="AB526" s="11">
        <f>IF(ISNUMBER(SEARCH("다기관",TRIM(N526&amp;" "&amp;O526))),IFERROR(DATE(VALUE(MID(TRIM(N526&amp;" "&amp;O526),1,4)),VALUE(MID(TRIM(N526&amp;" "&amp;O526),6,2)),VALUE(MID(TRIM(N526&amp;" "&amp;O526),9,2))),IF(ISNUMBER(H526),H526,"")),"")</f>
        <v/>
      </c>
      <c r="AC526" s="11">
        <f>IF(ISNUMBER(SEARCH("다기관",TRIM(N526&amp;" "&amp;O526))),IFERROR(DATE(VALUE(MID(TRIM(N526&amp;" "&amp;O526),12,4)),VALUE(MID(TRIM(N526&amp;" "&amp;O526),17,2)),VALUE(MID(TRIM(N526&amp;" "&amp;O526),20,2))),IF(ISNUMBER(I526),I526,"")),"")</f>
        <v/>
      </c>
      <c r="AD526" s="17">
        <f>IF(AND(ISNUMBER(AB526),ISNUMBER(AC526)),MAX(0,MIN(AC526,EOMONTH(출력_요약!$B$3,0))-MAX(AB526,출력_요약!$B$3)+1),0)</f>
        <v/>
      </c>
      <c r="AE526" s="10">
        <f>IF(AND(Q526&lt;&gt;"",ISNUMBER(AB526)),Q526&amp;"|다기관","")</f>
        <v/>
      </c>
    </row>
    <row r="527">
      <c r="A527" s="15">
        <f>IF(F527="","",ROW()-3)</f>
        <v/>
      </c>
      <c r="B527" s="5" t="n"/>
      <c r="C527" s="15" t="n"/>
      <c r="D527" s="5" t="n"/>
      <c r="E527" s="15" t="n"/>
      <c r="F527" s="5" t="n"/>
      <c r="G527" s="6" t="n"/>
      <c r="H527" s="16" t="n"/>
      <c r="I527" s="16" t="n"/>
      <c r="J527" s="15">
        <f>IF(AND(ISNUMBER(H527),ISNUMBER(I527)),I527-H527+1,"")</f>
        <v/>
      </c>
      <c r="K527" s="5" t="n"/>
      <c r="L527" s="5" t="n"/>
      <c r="M527" s="5" t="n"/>
      <c r="N527" s="5" t="n"/>
      <c r="O527" s="5" t="n"/>
      <c r="Q527" s="10">
        <f>IF(TRIM(G527&amp;"")="","",TRIM(G527&amp;""))</f>
        <v/>
      </c>
      <c r="R527" s="10">
        <f>IF(TRIM(B527&amp;"")="","",IFERROR(INDEX(설정_코드표!$K$2:$K$101,MATCH(TRIM(B527&amp;""),설정_코드표!$J$2:$J$101,0)),"⚠"&amp;TRIM(B527&amp;"")))</f>
        <v/>
      </c>
      <c r="S527" s="10">
        <f>IF(TRIM(K527&amp;"")="","",IFERROR(INDEX(설정_코드표!$K$2:$K$101,MATCH(TRIM(K527&amp;""),설정_코드표!$J$2:$J$101,0)),"⚠"&amp;TRIM(K527&amp;"")))</f>
        <v/>
      </c>
      <c r="T527" s="10">
        <f>IF(TRIM(M527&amp;"")="","",IF(ISNUMBER(MATCH(TRIM(M527&amp;""),설정_코드표!$C$2:$C$11,0)),TRIM(M527&amp;""),"⚠"&amp;TRIM(M527&amp;"")))</f>
        <v/>
      </c>
      <c r="U527" s="10">
        <f>IF(TRIM(L527&amp;"")="","",IFERROR(INDEX(설정_코드표!$G$2:$G$101,MATCH(TRIM(L527&amp;""),설정_코드표!$F$2:$F$101,0)),"⚠"&amp;TRIM(L527&amp;"")))</f>
        <v/>
      </c>
      <c r="V527" s="10">
        <f>IF(AND(ISNUMBER(H527),ISNUMBER(I527)),I527-H527+1,"")</f>
        <v/>
      </c>
      <c r="W527" s="17">
        <f>IF(ISNUMBER(H527),MAX(0,MIN(IF(ISNUMBER(I527),I527,EOMONTH(출력_요약!$B$3,0)),EOMONTH(출력_요약!$B$3,0))-MAX(H527,출력_요약!$B$3)+1),0)</f>
        <v/>
      </c>
      <c r="X527" s="10">
        <f>IF(OR(NOT(ISNUMBER(H527)),Q527=""),"",IF(TODAY()&lt;H527,"파견예정",IF(AND(ISNUMBER(I527),TODAY()&gt;I527),"파견종료","파견중")))</f>
        <v/>
      </c>
      <c r="Y527" s="10">
        <f>IF(OR(Q527="",X527=""),"",Q527&amp;"|"&amp;X527)</f>
        <v/>
      </c>
      <c r="Z527" s="10">
        <f>IF(AND(Q527&lt;&gt;"",W527&gt;0),Q527&amp;"|월","")</f>
        <v/>
      </c>
      <c r="AA527" s="10">
        <f>IF(COUNTA(B527:I527,K527:N527)=0,"",IF(Q527="","등록번호 없음",IF(LEFT(R527,1)="⚠","모병원명 미등록",IF(S527="","파견병원 입력",IF(LEFT(S527,1)="⚠","파견병원명 미등록",IF(LEFT(U527,1)="⚠","파견과목 미등록",IF(OR(T527="",LEFT(T527,1)="⚠"),"파견근거 확인",IF(NOT(AND(ISNUMBER(H527),ISNUMBER(I527))),"날짜 형식/누락",IF(I527&lt;H527,"종료일&lt;시작일","")))))))))</f>
        <v/>
      </c>
      <c r="AB527" s="11">
        <f>IF(ISNUMBER(SEARCH("다기관",TRIM(N527&amp;" "&amp;O527))),IFERROR(DATE(VALUE(MID(TRIM(N527&amp;" "&amp;O527),1,4)),VALUE(MID(TRIM(N527&amp;" "&amp;O527),6,2)),VALUE(MID(TRIM(N527&amp;" "&amp;O527),9,2))),IF(ISNUMBER(H527),H527,"")),"")</f>
        <v/>
      </c>
      <c r="AC527" s="11">
        <f>IF(ISNUMBER(SEARCH("다기관",TRIM(N527&amp;" "&amp;O527))),IFERROR(DATE(VALUE(MID(TRIM(N527&amp;" "&amp;O527),12,4)),VALUE(MID(TRIM(N527&amp;" "&amp;O527),17,2)),VALUE(MID(TRIM(N527&amp;" "&amp;O527),20,2))),IF(ISNUMBER(I527),I527,"")),"")</f>
        <v/>
      </c>
      <c r="AD527" s="17">
        <f>IF(AND(ISNUMBER(AB527),ISNUMBER(AC527)),MAX(0,MIN(AC527,EOMONTH(출력_요약!$B$3,0))-MAX(AB527,출력_요약!$B$3)+1),0)</f>
        <v/>
      </c>
      <c r="AE527" s="10">
        <f>IF(AND(Q527&lt;&gt;"",ISNUMBER(AB527)),Q527&amp;"|다기관","")</f>
        <v/>
      </c>
    </row>
    <row r="528">
      <c r="A528" s="15">
        <f>IF(F528="","",ROW()-3)</f>
        <v/>
      </c>
      <c r="B528" s="5" t="n"/>
      <c r="C528" s="15" t="n"/>
      <c r="D528" s="5" t="n"/>
      <c r="E528" s="15" t="n"/>
      <c r="F528" s="5" t="n"/>
      <c r="G528" s="6" t="n"/>
      <c r="H528" s="16" t="n"/>
      <c r="I528" s="16" t="n"/>
      <c r="J528" s="15">
        <f>IF(AND(ISNUMBER(H528),ISNUMBER(I528)),I528-H528+1,"")</f>
        <v/>
      </c>
      <c r="K528" s="5" t="n"/>
      <c r="L528" s="5" t="n"/>
      <c r="M528" s="5" t="n"/>
      <c r="N528" s="5" t="n"/>
      <c r="O528" s="5" t="n"/>
      <c r="Q528" s="10">
        <f>IF(TRIM(G528&amp;"")="","",TRIM(G528&amp;""))</f>
        <v/>
      </c>
      <c r="R528" s="10">
        <f>IF(TRIM(B528&amp;"")="","",IFERROR(INDEX(설정_코드표!$K$2:$K$101,MATCH(TRIM(B528&amp;""),설정_코드표!$J$2:$J$101,0)),"⚠"&amp;TRIM(B528&amp;"")))</f>
        <v/>
      </c>
      <c r="S528" s="10">
        <f>IF(TRIM(K528&amp;"")="","",IFERROR(INDEX(설정_코드표!$K$2:$K$101,MATCH(TRIM(K528&amp;""),설정_코드표!$J$2:$J$101,0)),"⚠"&amp;TRIM(K528&amp;"")))</f>
        <v/>
      </c>
      <c r="T528" s="10">
        <f>IF(TRIM(M528&amp;"")="","",IF(ISNUMBER(MATCH(TRIM(M528&amp;""),설정_코드표!$C$2:$C$11,0)),TRIM(M528&amp;""),"⚠"&amp;TRIM(M528&amp;"")))</f>
        <v/>
      </c>
      <c r="U528" s="10">
        <f>IF(TRIM(L528&amp;"")="","",IFERROR(INDEX(설정_코드표!$G$2:$G$101,MATCH(TRIM(L528&amp;""),설정_코드표!$F$2:$F$101,0)),"⚠"&amp;TRIM(L528&amp;"")))</f>
        <v/>
      </c>
      <c r="V528" s="10">
        <f>IF(AND(ISNUMBER(H528),ISNUMBER(I528)),I528-H528+1,"")</f>
        <v/>
      </c>
      <c r="W528" s="17">
        <f>IF(ISNUMBER(H528),MAX(0,MIN(IF(ISNUMBER(I528),I528,EOMONTH(출력_요약!$B$3,0)),EOMONTH(출력_요약!$B$3,0))-MAX(H528,출력_요약!$B$3)+1),0)</f>
        <v/>
      </c>
      <c r="X528" s="10">
        <f>IF(OR(NOT(ISNUMBER(H528)),Q528=""),"",IF(TODAY()&lt;H528,"파견예정",IF(AND(ISNUMBER(I528),TODAY()&gt;I528),"파견종료","파견중")))</f>
        <v/>
      </c>
      <c r="Y528" s="10">
        <f>IF(OR(Q528="",X528=""),"",Q528&amp;"|"&amp;X528)</f>
        <v/>
      </c>
      <c r="Z528" s="10">
        <f>IF(AND(Q528&lt;&gt;"",W528&gt;0),Q528&amp;"|월","")</f>
        <v/>
      </c>
      <c r="AA528" s="10">
        <f>IF(COUNTA(B528:I528,K528:N528)=0,"",IF(Q528="","등록번호 없음",IF(LEFT(R528,1)="⚠","모병원명 미등록",IF(S528="","파견병원 입력",IF(LEFT(S528,1)="⚠","파견병원명 미등록",IF(LEFT(U528,1)="⚠","파견과목 미등록",IF(OR(T528="",LEFT(T528,1)="⚠"),"파견근거 확인",IF(NOT(AND(ISNUMBER(H528),ISNUMBER(I528))),"날짜 형식/누락",IF(I528&lt;H528,"종료일&lt;시작일","")))))))))</f>
        <v/>
      </c>
      <c r="AB528" s="11">
        <f>IF(ISNUMBER(SEARCH("다기관",TRIM(N528&amp;" "&amp;O528))),IFERROR(DATE(VALUE(MID(TRIM(N528&amp;" "&amp;O528),1,4)),VALUE(MID(TRIM(N528&amp;" "&amp;O528),6,2)),VALUE(MID(TRIM(N528&amp;" "&amp;O528),9,2))),IF(ISNUMBER(H528),H528,"")),"")</f>
        <v/>
      </c>
      <c r="AC528" s="11">
        <f>IF(ISNUMBER(SEARCH("다기관",TRIM(N528&amp;" "&amp;O528))),IFERROR(DATE(VALUE(MID(TRIM(N528&amp;" "&amp;O528),12,4)),VALUE(MID(TRIM(N528&amp;" "&amp;O528),17,2)),VALUE(MID(TRIM(N528&amp;" "&amp;O528),20,2))),IF(ISNUMBER(I528),I528,"")),"")</f>
        <v/>
      </c>
      <c r="AD528" s="17">
        <f>IF(AND(ISNUMBER(AB528),ISNUMBER(AC528)),MAX(0,MIN(AC528,EOMONTH(출력_요약!$B$3,0))-MAX(AB528,출력_요약!$B$3)+1),0)</f>
        <v/>
      </c>
      <c r="AE528" s="10">
        <f>IF(AND(Q528&lt;&gt;"",ISNUMBER(AB528)),Q528&amp;"|다기관","")</f>
        <v/>
      </c>
    </row>
    <row r="529">
      <c r="A529" s="15">
        <f>IF(F529="","",ROW()-3)</f>
        <v/>
      </c>
      <c r="B529" s="5" t="n"/>
      <c r="C529" s="15" t="n"/>
      <c r="D529" s="5" t="n"/>
      <c r="E529" s="15" t="n"/>
      <c r="F529" s="5" t="n"/>
      <c r="G529" s="6" t="n"/>
      <c r="H529" s="16" t="n"/>
      <c r="I529" s="16" t="n"/>
      <c r="J529" s="15">
        <f>IF(AND(ISNUMBER(H529),ISNUMBER(I529)),I529-H529+1,"")</f>
        <v/>
      </c>
      <c r="K529" s="5" t="n"/>
      <c r="L529" s="5" t="n"/>
      <c r="M529" s="5" t="n"/>
      <c r="N529" s="5" t="n"/>
      <c r="O529" s="5" t="n"/>
      <c r="Q529" s="10">
        <f>IF(TRIM(G529&amp;"")="","",TRIM(G529&amp;""))</f>
        <v/>
      </c>
      <c r="R529" s="10">
        <f>IF(TRIM(B529&amp;"")="","",IFERROR(INDEX(설정_코드표!$K$2:$K$101,MATCH(TRIM(B529&amp;""),설정_코드표!$J$2:$J$101,0)),"⚠"&amp;TRIM(B529&amp;"")))</f>
        <v/>
      </c>
      <c r="S529" s="10">
        <f>IF(TRIM(K529&amp;"")="","",IFERROR(INDEX(설정_코드표!$K$2:$K$101,MATCH(TRIM(K529&amp;""),설정_코드표!$J$2:$J$101,0)),"⚠"&amp;TRIM(K529&amp;"")))</f>
        <v/>
      </c>
      <c r="T529" s="10">
        <f>IF(TRIM(M529&amp;"")="","",IF(ISNUMBER(MATCH(TRIM(M529&amp;""),설정_코드표!$C$2:$C$11,0)),TRIM(M529&amp;""),"⚠"&amp;TRIM(M529&amp;"")))</f>
        <v/>
      </c>
      <c r="U529" s="10">
        <f>IF(TRIM(L529&amp;"")="","",IFERROR(INDEX(설정_코드표!$G$2:$G$101,MATCH(TRIM(L529&amp;""),설정_코드표!$F$2:$F$101,0)),"⚠"&amp;TRIM(L529&amp;"")))</f>
        <v/>
      </c>
      <c r="V529" s="10">
        <f>IF(AND(ISNUMBER(H529),ISNUMBER(I529)),I529-H529+1,"")</f>
        <v/>
      </c>
      <c r="W529" s="17">
        <f>IF(ISNUMBER(H529),MAX(0,MIN(IF(ISNUMBER(I529),I529,EOMONTH(출력_요약!$B$3,0)),EOMONTH(출력_요약!$B$3,0))-MAX(H529,출력_요약!$B$3)+1),0)</f>
        <v/>
      </c>
      <c r="X529" s="10">
        <f>IF(OR(NOT(ISNUMBER(H529)),Q529=""),"",IF(TODAY()&lt;H529,"파견예정",IF(AND(ISNUMBER(I529),TODAY()&gt;I529),"파견종료","파견중")))</f>
        <v/>
      </c>
      <c r="Y529" s="10">
        <f>IF(OR(Q529="",X529=""),"",Q529&amp;"|"&amp;X529)</f>
        <v/>
      </c>
      <c r="Z529" s="10">
        <f>IF(AND(Q529&lt;&gt;"",W529&gt;0),Q529&amp;"|월","")</f>
        <v/>
      </c>
      <c r="AA529" s="10">
        <f>IF(COUNTA(B529:I529,K529:N529)=0,"",IF(Q529="","등록번호 없음",IF(LEFT(R529,1)="⚠","모병원명 미등록",IF(S529="","파견병원 입력",IF(LEFT(S529,1)="⚠","파견병원명 미등록",IF(LEFT(U529,1)="⚠","파견과목 미등록",IF(OR(T529="",LEFT(T529,1)="⚠"),"파견근거 확인",IF(NOT(AND(ISNUMBER(H529),ISNUMBER(I529))),"날짜 형식/누락",IF(I529&lt;H529,"종료일&lt;시작일","")))))))))</f>
        <v/>
      </c>
      <c r="AB529" s="11">
        <f>IF(ISNUMBER(SEARCH("다기관",TRIM(N529&amp;" "&amp;O529))),IFERROR(DATE(VALUE(MID(TRIM(N529&amp;" "&amp;O529),1,4)),VALUE(MID(TRIM(N529&amp;" "&amp;O529),6,2)),VALUE(MID(TRIM(N529&amp;" "&amp;O529),9,2))),IF(ISNUMBER(H529),H529,"")),"")</f>
        <v/>
      </c>
      <c r="AC529" s="11">
        <f>IF(ISNUMBER(SEARCH("다기관",TRIM(N529&amp;" "&amp;O529))),IFERROR(DATE(VALUE(MID(TRIM(N529&amp;" "&amp;O529),12,4)),VALUE(MID(TRIM(N529&amp;" "&amp;O529),17,2)),VALUE(MID(TRIM(N529&amp;" "&amp;O529),20,2))),IF(ISNUMBER(I529),I529,"")),"")</f>
        <v/>
      </c>
      <c r="AD529" s="17">
        <f>IF(AND(ISNUMBER(AB529),ISNUMBER(AC529)),MAX(0,MIN(AC529,EOMONTH(출력_요약!$B$3,0))-MAX(AB529,출력_요약!$B$3)+1),0)</f>
        <v/>
      </c>
      <c r="AE529" s="10">
        <f>IF(AND(Q529&lt;&gt;"",ISNUMBER(AB529)),Q529&amp;"|다기관","")</f>
        <v/>
      </c>
    </row>
    <row r="530">
      <c r="A530" s="15">
        <f>IF(F530="","",ROW()-3)</f>
        <v/>
      </c>
      <c r="B530" s="5" t="n"/>
      <c r="C530" s="15" t="n"/>
      <c r="D530" s="5" t="n"/>
      <c r="E530" s="15" t="n"/>
      <c r="F530" s="5" t="n"/>
      <c r="G530" s="6" t="n"/>
      <c r="H530" s="16" t="n"/>
      <c r="I530" s="16" t="n"/>
      <c r="J530" s="15">
        <f>IF(AND(ISNUMBER(H530),ISNUMBER(I530)),I530-H530+1,"")</f>
        <v/>
      </c>
      <c r="K530" s="5" t="n"/>
      <c r="L530" s="5" t="n"/>
      <c r="M530" s="5" t="n"/>
      <c r="N530" s="5" t="n"/>
      <c r="O530" s="5" t="n"/>
      <c r="Q530" s="10">
        <f>IF(TRIM(G530&amp;"")="","",TRIM(G530&amp;""))</f>
        <v/>
      </c>
      <c r="R530" s="10">
        <f>IF(TRIM(B530&amp;"")="","",IFERROR(INDEX(설정_코드표!$K$2:$K$101,MATCH(TRIM(B530&amp;""),설정_코드표!$J$2:$J$101,0)),"⚠"&amp;TRIM(B530&amp;"")))</f>
        <v/>
      </c>
      <c r="S530" s="10">
        <f>IF(TRIM(K530&amp;"")="","",IFERROR(INDEX(설정_코드표!$K$2:$K$101,MATCH(TRIM(K530&amp;""),설정_코드표!$J$2:$J$101,0)),"⚠"&amp;TRIM(K530&amp;"")))</f>
        <v/>
      </c>
      <c r="T530" s="10">
        <f>IF(TRIM(M530&amp;"")="","",IF(ISNUMBER(MATCH(TRIM(M530&amp;""),설정_코드표!$C$2:$C$11,0)),TRIM(M530&amp;""),"⚠"&amp;TRIM(M530&amp;"")))</f>
        <v/>
      </c>
      <c r="U530" s="10">
        <f>IF(TRIM(L530&amp;"")="","",IFERROR(INDEX(설정_코드표!$G$2:$G$101,MATCH(TRIM(L530&amp;""),설정_코드표!$F$2:$F$101,0)),"⚠"&amp;TRIM(L530&amp;"")))</f>
        <v/>
      </c>
      <c r="V530" s="10">
        <f>IF(AND(ISNUMBER(H530),ISNUMBER(I530)),I530-H530+1,"")</f>
        <v/>
      </c>
      <c r="W530" s="17">
        <f>IF(ISNUMBER(H530),MAX(0,MIN(IF(ISNUMBER(I530),I530,EOMONTH(출력_요약!$B$3,0)),EOMONTH(출력_요약!$B$3,0))-MAX(H530,출력_요약!$B$3)+1),0)</f>
        <v/>
      </c>
      <c r="X530" s="10">
        <f>IF(OR(NOT(ISNUMBER(H530)),Q530=""),"",IF(TODAY()&lt;H530,"파견예정",IF(AND(ISNUMBER(I530),TODAY()&gt;I530),"파견종료","파견중")))</f>
        <v/>
      </c>
      <c r="Y530" s="10">
        <f>IF(OR(Q530="",X530=""),"",Q530&amp;"|"&amp;X530)</f>
        <v/>
      </c>
      <c r="Z530" s="10">
        <f>IF(AND(Q530&lt;&gt;"",W530&gt;0),Q530&amp;"|월","")</f>
        <v/>
      </c>
      <c r="AA530" s="10">
        <f>IF(COUNTA(B530:I530,K530:N530)=0,"",IF(Q530="","등록번호 없음",IF(LEFT(R530,1)="⚠","모병원명 미등록",IF(S530="","파견병원 입력",IF(LEFT(S530,1)="⚠","파견병원명 미등록",IF(LEFT(U530,1)="⚠","파견과목 미등록",IF(OR(T530="",LEFT(T530,1)="⚠"),"파견근거 확인",IF(NOT(AND(ISNUMBER(H530),ISNUMBER(I530))),"날짜 형식/누락",IF(I530&lt;H530,"종료일&lt;시작일","")))))))))</f>
        <v/>
      </c>
      <c r="AB530" s="11">
        <f>IF(ISNUMBER(SEARCH("다기관",TRIM(N530&amp;" "&amp;O530))),IFERROR(DATE(VALUE(MID(TRIM(N530&amp;" "&amp;O530),1,4)),VALUE(MID(TRIM(N530&amp;" "&amp;O530),6,2)),VALUE(MID(TRIM(N530&amp;" "&amp;O530),9,2))),IF(ISNUMBER(H530),H530,"")),"")</f>
        <v/>
      </c>
      <c r="AC530" s="11">
        <f>IF(ISNUMBER(SEARCH("다기관",TRIM(N530&amp;" "&amp;O530))),IFERROR(DATE(VALUE(MID(TRIM(N530&amp;" "&amp;O530),12,4)),VALUE(MID(TRIM(N530&amp;" "&amp;O530),17,2)),VALUE(MID(TRIM(N530&amp;" "&amp;O530),20,2))),IF(ISNUMBER(I530),I530,"")),"")</f>
        <v/>
      </c>
      <c r="AD530" s="17">
        <f>IF(AND(ISNUMBER(AB530),ISNUMBER(AC530)),MAX(0,MIN(AC530,EOMONTH(출력_요약!$B$3,0))-MAX(AB530,출력_요약!$B$3)+1),0)</f>
        <v/>
      </c>
      <c r="AE530" s="10">
        <f>IF(AND(Q530&lt;&gt;"",ISNUMBER(AB530)),Q530&amp;"|다기관","")</f>
        <v/>
      </c>
    </row>
    <row r="531">
      <c r="A531" s="15">
        <f>IF(F531="","",ROW()-3)</f>
        <v/>
      </c>
      <c r="B531" s="5" t="n"/>
      <c r="C531" s="15" t="n"/>
      <c r="D531" s="5" t="n"/>
      <c r="E531" s="15" t="n"/>
      <c r="F531" s="5" t="n"/>
      <c r="G531" s="6" t="n"/>
      <c r="H531" s="16" t="n"/>
      <c r="I531" s="16" t="n"/>
      <c r="J531" s="15">
        <f>IF(AND(ISNUMBER(H531),ISNUMBER(I531)),I531-H531+1,"")</f>
        <v/>
      </c>
      <c r="K531" s="5" t="n"/>
      <c r="L531" s="5" t="n"/>
      <c r="M531" s="5" t="n"/>
      <c r="N531" s="5" t="n"/>
      <c r="O531" s="5" t="n"/>
      <c r="Q531" s="10">
        <f>IF(TRIM(G531&amp;"")="","",TRIM(G531&amp;""))</f>
        <v/>
      </c>
      <c r="R531" s="10">
        <f>IF(TRIM(B531&amp;"")="","",IFERROR(INDEX(설정_코드표!$K$2:$K$101,MATCH(TRIM(B531&amp;""),설정_코드표!$J$2:$J$101,0)),"⚠"&amp;TRIM(B531&amp;"")))</f>
        <v/>
      </c>
      <c r="S531" s="10">
        <f>IF(TRIM(K531&amp;"")="","",IFERROR(INDEX(설정_코드표!$K$2:$K$101,MATCH(TRIM(K531&amp;""),설정_코드표!$J$2:$J$101,0)),"⚠"&amp;TRIM(K531&amp;"")))</f>
        <v/>
      </c>
      <c r="T531" s="10">
        <f>IF(TRIM(M531&amp;"")="","",IF(ISNUMBER(MATCH(TRIM(M531&amp;""),설정_코드표!$C$2:$C$11,0)),TRIM(M531&amp;""),"⚠"&amp;TRIM(M531&amp;"")))</f>
        <v/>
      </c>
      <c r="U531" s="10">
        <f>IF(TRIM(L531&amp;"")="","",IFERROR(INDEX(설정_코드표!$G$2:$G$101,MATCH(TRIM(L531&amp;""),설정_코드표!$F$2:$F$101,0)),"⚠"&amp;TRIM(L531&amp;"")))</f>
        <v/>
      </c>
      <c r="V531" s="10">
        <f>IF(AND(ISNUMBER(H531),ISNUMBER(I531)),I531-H531+1,"")</f>
        <v/>
      </c>
      <c r="W531" s="17">
        <f>IF(ISNUMBER(H531),MAX(0,MIN(IF(ISNUMBER(I531),I531,EOMONTH(출력_요약!$B$3,0)),EOMONTH(출력_요약!$B$3,0))-MAX(H531,출력_요약!$B$3)+1),0)</f>
        <v/>
      </c>
      <c r="X531" s="10">
        <f>IF(OR(NOT(ISNUMBER(H531)),Q531=""),"",IF(TODAY()&lt;H531,"파견예정",IF(AND(ISNUMBER(I531),TODAY()&gt;I531),"파견종료","파견중")))</f>
        <v/>
      </c>
      <c r="Y531" s="10">
        <f>IF(OR(Q531="",X531=""),"",Q531&amp;"|"&amp;X531)</f>
        <v/>
      </c>
      <c r="Z531" s="10">
        <f>IF(AND(Q531&lt;&gt;"",W531&gt;0),Q531&amp;"|월","")</f>
        <v/>
      </c>
      <c r="AA531" s="10">
        <f>IF(COUNTA(B531:I531,K531:N531)=0,"",IF(Q531="","등록번호 없음",IF(LEFT(R531,1)="⚠","모병원명 미등록",IF(S531="","파견병원 입력",IF(LEFT(S531,1)="⚠","파견병원명 미등록",IF(LEFT(U531,1)="⚠","파견과목 미등록",IF(OR(T531="",LEFT(T531,1)="⚠"),"파견근거 확인",IF(NOT(AND(ISNUMBER(H531),ISNUMBER(I531))),"날짜 형식/누락",IF(I531&lt;H531,"종료일&lt;시작일","")))))))))</f>
        <v/>
      </c>
      <c r="AB531" s="11">
        <f>IF(ISNUMBER(SEARCH("다기관",TRIM(N531&amp;" "&amp;O531))),IFERROR(DATE(VALUE(MID(TRIM(N531&amp;" "&amp;O531),1,4)),VALUE(MID(TRIM(N531&amp;" "&amp;O531),6,2)),VALUE(MID(TRIM(N531&amp;" "&amp;O531),9,2))),IF(ISNUMBER(H531),H531,"")),"")</f>
        <v/>
      </c>
      <c r="AC531" s="11">
        <f>IF(ISNUMBER(SEARCH("다기관",TRIM(N531&amp;" "&amp;O531))),IFERROR(DATE(VALUE(MID(TRIM(N531&amp;" "&amp;O531),12,4)),VALUE(MID(TRIM(N531&amp;" "&amp;O531),17,2)),VALUE(MID(TRIM(N531&amp;" "&amp;O531),20,2))),IF(ISNUMBER(I531),I531,"")),"")</f>
        <v/>
      </c>
      <c r="AD531" s="17">
        <f>IF(AND(ISNUMBER(AB531),ISNUMBER(AC531)),MAX(0,MIN(AC531,EOMONTH(출력_요약!$B$3,0))-MAX(AB531,출력_요약!$B$3)+1),0)</f>
        <v/>
      </c>
      <c r="AE531" s="10">
        <f>IF(AND(Q531&lt;&gt;"",ISNUMBER(AB531)),Q531&amp;"|다기관","")</f>
        <v/>
      </c>
    </row>
    <row r="532">
      <c r="A532" s="15">
        <f>IF(F532="","",ROW()-3)</f>
        <v/>
      </c>
      <c r="B532" s="5" t="n"/>
      <c r="C532" s="15" t="n"/>
      <c r="D532" s="5" t="n"/>
      <c r="E532" s="15" t="n"/>
      <c r="F532" s="5" t="n"/>
      <c r="G532" s="6" t="n"/>
      <c r="H532" s="16" t="n"/>
      <c r="I532" s="16" t="n"/>
      <c r="J532" s="15">
        <f>IF(AND(ISNUMBER(H532),ISNUMBER(I532)),I532-H532+1,"")</f>
        <v/>
      </c>
      <c r="K532" s="5" t="n"/>
      <c r="L532" s="5" t="n"/>
      <c r="M532" s="5" t="n"/>
      <c r="N532" s="5" t="n"/>
      <c r="O532" s="5" t="n"/>
      <c r="Q532" s="10">
        <f>IF(TRIM(G532&amp;"")="","",TRIM(G532&amp;""))</f>
        <v/>
      </c>
      <c r="R532" s="10">
        <f>IF(TRIM(B532&amp;"")="","",IFERROR(INDEX(설정_코드표!$K$2:$K$101,MATCH(TRIM(B532&amp;""),설정_코드표!$J$2:$J$101,0)),"⚠"&amp;TRIM(B532&amp;"")))</f>
        <v/>
      </c>
      <c r="S532" s="10">
        <f>IF(TRIM(K532&amp;"")="","",IFERROR(INDEX(설정_코드표!$K$2:$K$101,MATCH(TRIM(K532&amp;""),설정_코드표!$J$2:$J$101,0)),"⚠"&amp;TRIM(K532&amp;"")))</f>
        <v/>
      </c>
      <c r="T532" s="10">
        <f>IF(TRIM(M532&amp;"")="","",IF(ISNUMBER(MATCH(TRIM(M532&amp;""),설정_코드표!$C$2:$C$11,0)),TRIM(M532&amp;""),"⚠"&amp;TRIM(M532&amp;"")))</f>
        <v/>
      </c>
      <c r="U532" s="10">
        <f>IF(TRIM(L532&amp;"")="","",IFERROR(INDEX(설정_코드표!$G$2:$G$101,MATCH(TRIM(L532&amp;""),설정_코드표!$F$2:$F$101,0)),"⚠"&amp;TRIM(L532&amp;"")))</f>
        <v/>
      </c>
      <c r="V532" s="10">
        <f>IF(AND(ISNUMBER(H532),ISNUMBER(I532)),I532-H532+1,"")</f>
        <v/>
      </c>
      <c r="W532" s="17">
        <f>IF(ISNUMBER(H532),MAX(0,MIN(IF(ISNUMBER(I532),I532,EOMONTH(출력_요약!$B$3,0)),EOMONTH(출력_요약!$B$3,0))-MAX(H532,출력_요약!$B$3)+1),0)</f>
        <v/>
      </c>
      <c r="X532" s="10">
        <f>IF(OR(NOT(ISNUMBER(H532)),Q532=""),"",IF(TODAY()&lt;H532,"파견예정",IF(AND(ISNUMBER(I532),TODAY()&gt;I532),"파견종료","파견중")))</f>
        <v/>
      </c>
      <c r="Y532" s="10">
        <f>IF(OR(Q532="",X532=""),"",Q532&amp;"|"&amp;X532)</f>
        <v/>
      </c>
      <c r="Z532" s="10">
        <f>IF(AND(Q532&lt;&gt;"",W532&gt;0),Q532&amp;"|월","")</f>
        <v/>
      </c>
      <c r="AA532" s="10">
        <f>IF(COUNTA(B532:I532,K532:N532)=0,"",IF(Q532="","등록번호 없음",IF(LEFT(R532,1)="⚠","모병원명 미등록",IF(S532="","파견병원 입력",IF(LEFT(S532,1)="⚠","파견병원명 미등록",IF(LEFT(U532,1)="⚠","파견과목 미등록",IF(OR(T532="",LEFT(T532,1)="⚠"),"파견근거 확인",IF(NOT(AND(ISNUMBER(H532),ISNUMBER(I532))),"날짜 형식/누락",IF(I532&lt;H532,"종료일&lt;시작일","")))))))))</f>
        <v/>
      </c>
      <c r="AB532" s="11">
        <f>IF(ISNUMBER(SEARCH("다기관",TRIM(N532&amp;" "&amp;O532))),IFERROR(DATE(VALUE(MID(TRIM(N532&amp;" "&amp;O532),1,4)),VALUE(MID(TRIM(N532&amp;" "&amp;O532),6,2)),VALUE(MID(TRIM(N532&amp;" "&amp;O532),9,2))),IF(ISNUMBER(H532),H532,"")),"")</f>
        <v/>
      </c>
      <c r="AC532" s="11">
        <f>IF(ISNUMBER(SEARCH("다기관",TRIM(N532&amp;" "&amp;O532))),IFERROR(DATE(VALUE(MID(TRIM(N532&amp;" "&amp;O532),12,4)),VALUE(MID(TRIM(N532&amp;" "&amp;O532),17,2)),VALUE(MID(TRIM(N532&amp;" "&amp;O532),20,2))),IF(ISNUMBER(I532),I532,"")),"")</f>
        <v/>
      </c>
      <c r="AD532" s="17">
        <f>IF(AND(ISNUMBER(AB532),ISNUMBER(AC532)),MAX(0,MIN(AC532,EOMONTH(출력_요약!$B$3,0))-MAX(AB532,출력_요약!$B$3)+1),0)</f>
        <v/>
      </c>
      <c r="AE532" s="10">
        <f>IF(AND(Q532&lt;&gt;"",ISNUMBER(AB532)),Q532&amp;"|다기관","")</f>
        <v/>
      </c>
    </row>
    <row r="533">
      <c r="A533" s="15">
        <f>IF(F533="","",ROW()-3)</f>
        <v/>
      </c>
      <c r="B533" s="5" t="n"/>
      <c r="C533" s="15" t="n"/>
      <c r="D533" s="5" t="n"/>
      <c r="E533" s="15" t="n"/>
      <c r="F533" s="5" t="n"/>
      <c r="G533" s="6" t="n"/>
      <c r="H533" s="16" t="n"/>
      <c r="I533" s="16" t="n"/>
      <c r="J533" s="15">
        <f>IF(AND(ISNUMBER(H533),ISNUMBER(I533)),I533-H533+1,"")</f>
        <v/>
      </c>
      <c r="K533" s="5" t="n"/>
      <c r="L533" s="5" t="n"/>
      <c r="M533" s="5" t="n"/>
      <c r="N533" s="5" t="n"/>
      <c r="O533" s="5" t="n"/>
      <c r="Q533" s="10">
        <f>IF(TRIM(G533&amp;"")="","",TRIM(G533&amp;""))</f>
        <v/>
      </c>
      <c r="R533" s="10">
        <f>IF(TRIM(B533&amp;"")="","",IFERROR(INDEX(설정_코드표!$K$2:$K$101,MATCH(TRIM(B533&amp;""),설정_코드표!$J$2:$J$101,0)),"⚠"&amp;TRIM(B533&amp;"")))</f>
        <v/>
      </c>
      <c r="S533" s="10">
        <f>IF(TRIM(K533&amp;"")="","",IFERROR(INDEX(설정_코드표!$K$2:$K$101,MATCH(TRIM(K533&amp;""),설정_코드표!$J$2:$J$101,0)),"⚠"&amp;TRIM(K533&amp;"")))</f>
        <v/>
      </c>
      <c r="T533" s="10">
        <f>IF(TRIM(M533&amp;"")="","",IF(ISNUMBER(MATCH(TRIM(M533&amp;""),설정_코드표!$C$2:$C$11,0)),TRIM(M533&amp;""),"⚠"&amp;TRIM(M533&amp;"")))</f>
        <v/>
      </c>
      <c r="U533" s="10">
        <f>IF(TRIM(L533&amp;"")="","",IFERROR(INDEX(설정_코드표!$G$2:$G$101,MATCH(TRIM(L533&amp;""),설정_코드표!$F$2:$F$101,0)),"⚠"&amp;TRIM(L533&amp;"")))</f>
        <v/>
      </c>
      <c r="V533" s="10">
        <f>IF(AND(ISNUMBER(H533),ISNUMBER(I533)),I533-H533+1,"")</f>
        <v/>
      </c>
      <c r="W533" s="17">
        <f>IF(ISNUMBER(H533),MAX(0,MIN(IF(ISNUMBER(I533),I533,EOMONTH(출력_요약!$B$3,0)),EOMONTH(출력_요약!$B$3,0))-MAX(H533,출력_요약!$B$3)+1),0)</f>
        <v/>
      </c>
      <c r="X533" s="10">
        <f>IF(OR(NOT(ISNUMBER(H533)),Q533=""),"",IF(TODAY()&lt;H533,"파견예정",IF(AND(ISNUMBER(I533),TODAY()&gt;I533),"파견종료","파견중")))</f>
        <v/>
      </c>
      <c r="Y533" s="10">
        <f>IF(OR(Q533="",X533=""),"",Q533&amp;"|"&amp;X533)</f>
        <v/>
      </c>
      <c r="Z533" s="10">
        <f>IF(AND(Q533&lt;&gt;"",W533&gt;0),Q533&amp;"|월","")</f>
        <v/>
      </c>
      <c r="AA533" s="10">
        <f>IF(COUNTA(B533:I533,K533:N533)=0,"",IF(Q533="","등록번호 없음",IF(LEFT(R533,1)="⚠","모병원명 미등록",IF(S533="","파견병원 입력",IF(LEFT(S533,1)="⚠","파견병원명 미등록",IF(LEFT(U533,1)="⚠","파견과목 미등록",IF(OR(T533="",LEFT(T533,1)="⚠"),"파견근거 확인",IF(NOT(AND(ISNUMBER(H533),ISNUMBER(I533))),"날짜 형식/누락",IF(I533&lt;H533,"종료일&lt;시작일","")))))))))</f>
        <v/>
      </c>
      <c r="AB533" s="11">
        <f>IF(ISNUMBER(SEARCH("다기관",TRIM(N533&amp;" "&amp;O533))),IFERROR(DATE(VALUE(MID(TRIM(N533&amp;" "&amp;O533),1,4)),VALUE(MID(TRIM(N533&amp;" "&amp;O533),6,2)),VALUE(MID(TRIM(N533&amp;" "&amp;O533),9,2))),IF(ISNUMBER(H533),H533,"")),"")</f>
        <v/>
      </c>
      <c r="AC533" s="11">
        <f>IF(ISNUMBER(SEARCH("다기관",TRIM(N533&amp;" "&amp;O533))),IFERROR(DATE(VALUE(MID(TRIM(N533&amp;" "&amp;O533),12,4)),VALUE(MID(TRIM(N533&amp;" "&amp;O533),17,2)),VALUE(MID(TRIM(N533&amp;" "&amp;O533),20,2))),IF(ISNUMBER(I533),I533,"")),"")</f>
        <v/>
      </c>
      <c r="AD533" s="17">
        <f>IF(AND(ISNUMBER(AB533),ISNUMBER(AC533)),MAX(0,MIN(AC533,EOMONTH(출력_요약!$B$3,0))-MAX(AB533,출력_요약!$B$3)+1),0)</f>
        <v/>
      </c>
      <c r="AE533" s="10">
        <f>IF(AND(Q533&lt;&gt;"",ISNUMBER(AB533)),Q533&amp;"|다기관","")</f>
        <v/>
      </c>
    </row>
    <row r="534">
      <c r="A534" s="15">
        <f>IF(F534="","",ROW()-3)</f>
        <v/>
      </c>
      <c r="B534" s="5" t="n"/>
      <c r="C534" s="15" t="n"/>
      <c r="D534" s="5" t="n"/>
      <c r="E534" s="15" t="n"/>
      <c r="F534" s="5" t="n"/>
      <c r="G534" s="6" t="n"/>
      <c r="H534" s="16" t="n"/>
      <c r="I534" s="16" t="n"/>
      <c r="J534" s="15">
        <f>IF(AND(ISNUMBER(H534),ISNUMBER(I534)),I534-H534+1,"")</f>
        <v/>
      </c>
      <c r="K534" s="5" t="n"/>
      <c r="L534" s="5" t="n"/>
      <c r="M534" s="5" t="n"/>
      <c r="N534" s="5" t="n"/>
      <c r="O534" s="5" t="n"/>
      <c r="Q534" s="10">
        <f>IF(TRIM(G534&amp;"")="","",TRIM(G534&amp;""))</f>
        <v/>
      </c>
      <c r="R534" s="10">
        <f>IF(TRIM(B534&amp;"")="","",IFERROR(INDEX(설정_코드표!$K$2:$K$101,MATCH(TRIM(B534&amp;""),설정_코드표!$J$2:$J$101,0)),"⚠"&amp;TRIM(B534&amp;"")))</f>
        <v/>
      </c>
      <c r="S534" s="10">
        <f>IF(TRIM(K534&amp;"")="","",IFERROR(INDEX(설정_코드표!$K$2:$K$101,MATCH(TRIM(K534&amp;""),설정_코드표!$J$2:$J$101,0)),"⚠"&amp;TRIM(K534&amp;"")))</f>
        <v/>
      </c>
      <c r="T534" s="10">
        <f>IF(TRIM(M534&amp;"")="","",IF(ISNUMBER(MATCH(TRIM(M534&amp;""),설정_코드표!$C$2:$C$11,0)),TRIM(M534&amp;""),"⚠"&amp;TRIM(M534&amp;"")))</f>
        <v/>
      </c>
      <c r="U534" s="10">
        <f>IF(TRIM(L534&amp;"")="","",IFERROR(INDEX(설정_코드표!$G$2:$G$101,MATCH(TRIM(L534&amp;""),설정_코드표!$F$2:$F$101,0)),"⚠"&amp;TRIM(L534&amp;"")))</f>
        <v/>
      </c>
      <c r="V534" s="10">
        <f>IF(AND(ISNUMBER(H534),ISNUMBER(I534)),I534-H534+1,"")</f>
        <v/>
      </c>
      <c r="W534" s="17">
        <f>IF(ISNUMBER(H534),MAX(0,MIN(IF(ISNUMBER(I534),I534,EOMONTH(출력_요약!$B$3,0)),EOMONTH(출력_요약!$B$3,0))-MAX(H534,출력_요약!$B$3)+1),0)</f>
        <v/>
      </c>
      <c r="X534" s="10">
        <f>IF(OR(NOT(ISNUMBER(H534)),Q534=""),"",IF(TODAY()&lt;H534,"파견예정",IF(AND(ISNUMBER(I534),TODAY()&gt;I534),"파견종료","파견중")))</f>
        <v/>
      </c>
      <c r="Y534" s="10">
        <f>IF(OR(Q534="",X534=""),"",Q534&amp;"|"&amp;X534)</f>
        <v/>
      </c>
      <c r="Z534" s="10">
        <f>IF(AND(Q534&lt;&gt;"",W534&gt;0),Q534&amp;"|월","")</f>
        <v/>
      </c>
      <c r="AA534" s="10">
        <f>IF(COUNTA(B534:I534,K534:N534)=0,"",IF(Q534="","등록번호 없음",IF(LEFT(R534,1)="⚠","모병원명 미등록",IF(S534="","파견병원 입력",IF(LEFT(S534,1)="⚠","파견병원명 미등록",IF(LEFT(U534,1)="⚠","파견과목 미등록",IF(OR(T534="",LEFT(T534,1)="⚠"),"파견근거 확인",IF(NOT(AND(ISNUMBER(H534),ISNUMBER(I534))),"날짜 형식/누락",IF(I534&lt;H534,"종료일&lt;시작일","")))))))))</f>
        <v/>
      </c>
      <c r="AB534" s="11">
        <f>IF(ISNUMBER(SEARCH("다기관",TRIM(N534&amp;" "&amp;O534))),IFERROR(DATE(VALUE(MID(TRIM(N534&amp;" "&amp;O534),1,4)),VALUE(MID(TRIM(N534&amp;" "&amp;O534),6,2)),VALUE(MID(TRIM(N534&amp;" "&amp;O534),9,2))),IF(ISNUMBER(H534),H534,"")),"")</f>
        <v/>
      </c>
      <c r="AC534" s="11">
        <f>IF(ISNUMBER(SEARCH("다기관",TRIM(N534&amp;" "&amp;O534))),IFERROR(DATE(VALUE(MID(TRIM(N534&amp;" "&amp;O534),12,4)),VALUE(MID(TRIM(N534&amp;" "&amp;O534),17,2)),VALUE(MID(TRIM(N534&amp;" "&amp;O534),20,2))),IF(ISNUMBER(I534),I534,"")),"")</f>
        <v/>
      </c>
      <c r="AD534" s="17">
        <f>IF(AND(ISNUMBER(AB534),ISNUMBER(AC534)),MAX(0,MIN(AC534,EOMONTH(출력_요약!$B$3,0))-MAX(AB534,출력_요약!$B$3)+1),0)</f>
        <v/>
      </c>
      <c r="AE534" s="10">
        <f>IF(AND(Q534&lt;&gt;"",ISNUMBER(AB534)),Q534&amp;"|다기관","")</f>
        <v/>
      </c>
    </row>
    <row r="535">
      <c r="A535" s="15">
        <f>IF(F535="","",ROW()-3)</f>
        <v/>
      </c>
      <c r="B535" s="5" t="n"/>
      <c r="C535" s="15" t="n"/>
      <c r="D535" s="5" t="n"/>
      <c r="E535" s="15" t="n"/>
      <c r="F535" s="5" t="n"/>
      <c r="G535" s="6" t="n"/>
      <c r="H535" s="16" t="n"/>
      <c r="I535" s="16" t="n"/>
      <c r="J535" s="15">
        <f>IF(AND(ISNUMBER(H535),ISNUMBER(I535)),I535-H535+1,"")</f>
        <v/>
      </c>
      <c r="K535" s="5" t="n"/>
      <c r="L535" s="5" t="n"/>
      <c r="M535" s="5" t="n"/>
      <c r="N535" s="5" t="n"/>
      <c r="O535" s="5" t="n"/>
      <c r="Q535" s="10">
        <f>IF(TRIM(G535&amp;"")="","",TRIM(G535&amp;""))</f>
        <v/>
      </c>
      <c r="R535" s="10">
        <f>IF(TRIM(B535&amp;"")="","",IFERROR(INDEX(설정_코드표!$K$2:$K$101,MATCH(TRIM(B535&amp;""),설정_코드표!$J$2:$J$101,0)),"⚠"&amp;TRIM(B535&amp;"")))</f>
        <v/>
      </c>
      <c r="S535" s="10">
        <f>IF(TRIM(K535&amp;"")="","",IFERROR(INDEX(설정_코드표!$K$2:$K$101,MATCH(TRIM(K535&amp;""),설정_코드표!$J$2:$J$101,0)),"⚠"&amp;TRIM(K535&amp;"")))</f>
        <v/>
      </c>
      <c r="T535" s="10">
        <f>IF(TRIM(M535&amp;"")="","",IF(ISNUMBER(MATCH(TRIM(M535&amp;""),설정_코드표!$C$2:$C$11,0)),TRIM(M535&amp;""),"⚠"&amp;TRIM(M535&amp;"")))</f>
        <v/>
      </c>
      <c r="U535" s="10">
        <f>IF(TRIM(L535&amp;"")="","",IFERROR(INDEX(설정_코드표!$G$2:$G$101,MATCH(TRIM(L535&amp;""),설정_코드표!$F$2:$F$101,0)),"⚠"&amp;TRIM(L535&amp;"")))</f>
        <v/>
      </c>
      <c r="V535" s="10">
        <f>IF(AND(ISNUMBER(H535),ISNUMBER(I535)),I535-H535+1,"")</f>
        <v/>
      </c>
      <c r="W535" s="17">
        <f>IF(ISNUMBER(H535),MAX(0,MIN(IF(ISNUMBER(I535),I535,EOMONTH(출력_요약!$B$3,0)),EOMONTH(출력_요약!$B$3,0))-MAX(H535,출력_요약!$B$3)+1),0)</f>
        <v/>
      </c>
      <c r="X535" s="10">
        <f>IF(OR(NOT(ISNUMBER(H535)),Q535=""),"",IF(TODAY()&lt;H535,"파견예정",IF(AND(ISNUMBER(I535),TODAY()&gt;I535),"파견종료","파견중")))</f>
        <v/>
      </c>
      <c r="Y535" s="10">
        <f>IF(OR(Q535="",X535=""),"",Q535&amp;"|"&amp;X535)</f>
        <v/>
      </c>
      <c r="Z535" s="10">
        <f>IF(AND(Q535&lt;&gt;"",W535&gt;0),Q535&amp;"|월","")</f>
        <v/>
      </c>
      <c r="AA535" s="10">
        <f>IF(COUNTA(B535:I535,K535:N535)=0,"",IF(Q535="","등록번호 없음",IF(LEFT(R535,1)="⚠","모병원명 미등록",IF(S535="","파견병원 입력",IF(LEFT(S535,1)="⚠","파견병원명 미등록",IF(LEFT(U535,1)="⚠","파견과목 미등록",IF(OR(T535="",LEFT(T535,1)="⚠"),"파견근거 확인",IF(NOT(AND(ISNUMBER(H535),ISNUMBER(I535))),"날짜 형식/누락",IF(I535&lt;H535,"종료일&lt;시작일","")))))))))</f>
        <v/>
      </c>
      <c r="AB535" s="11">
        <f>IF(ISNUMBER(SEARCH("다기관",TRIM(N535&amp;" "&amp;O535))),IFERROR(DATE(VALUE(MID(TRIM(N535&amp;" "&amp;O535),1,4)),VALUE(MID(TRIM(N535&amp;" "&amp;O535),6,2)),VALUE(MID(TRIM(N535&amp;" "&amp;O535),9,2))),IF(ISNUMBER(H535),H535,"")),"")</f>
        <v/>
      </c>
      <c r="AC535" s="11">
        <f>IF(ISNUMBER(SEARCH("다기관",TRIM(N535&amp;" "&amp;O535))),IFERROR(DATE(VALUE(MID(TRIM(N535&amp;" "&amp;O535),12,4)),VALUE(MID(TRIM(N535&amp;" "&amp;O535),17,2)),VALUE(MID(TRIM(N535&amp;" "&amp;O535),20,2))),IF(ISNUMBER(I535),I535,"")),"")</f>
        <v/>
      </c>
      <c r="AD535" s="17">
        <f>IF(AND(ISNUMBER(AB535),ISNUMBER(AC535)),MAX(0,MIN(AC535,EOMONTH(출력_요약!$B$3,0))-MAX(AB535,출력_요약!$B$3)+1),0)</f>
        <v/>
      </c>
      <c r="AE535" s="10">
        <f>IF(AND(Q535&lt;&gt;"",ISNUMBER(AB535)),Q535&amp;"|다기관","")</f>
        <v/>
      </c>
    </row>
    <row r="536">
      <c r="A536" s="15">
        <f>IF(F536="","",ROW()-3)</f>
        <v/>
      </c>
      <c r="B536" s="5" t="n"/>
      <c r="C536" s="15" t="n"/>
      <c r="D536" s="5" t="n"/>
      <c r="E536" s="15" t="n"/>
      <c r="F536" s="5" t="n"/>
      <c r="G536" s="6" t="n"/>
      <c r="H536" s="16" t="n"/>
      <c r="I536" s="16" t="n"/>
      <c r="J536" s="15">
        <f>IF(AND(ISNUMBER(H536),ISNUMBER(I536)),I536-H536+1,"")</f>
        <v/>
      </c>
      <c r="K536" s="5" t="n"/>
      <c r="L536" s="5" t="n"/>
      <c r="M536" s="5" t="n"/>
      <c r="N536" s="5" t="n"/>
      <c r="O536" s="5" t="n"/>
      <c r="Q536" s="10">
        <f>IF(TRIM(G536&amp;"")="","",TRIM(G536&amp;""))</f>
        <v/>
      </c>
      <c r="R536" s="10">
        <f>IF(TRIM(B536&amp;"")="","",IFERROR(INDEX(설정_코드표!$K$2:$K$101,MATCH(TRIM(B536&amp;""),설정_코드표!$J$2:$J$101,0)),"⚠"&amp;TRIM(B536&amp;"")))</f>
        <v/>
      </c>
      <c r="S536" s="10">
        <f>IF(TRIM(K536&amp;"")="","",IFERROR(INDEX(설정_코드표!$K$2:$K$101,MATCH(TRIM(K536&amp;""),설정_코드표!$J$2:$J$101,0)),"⚠"&amp;TRIM(K536&amp;"")))</f>
        <v/>
      </c>
      <c r="T536" s="10">
        <f>IF(TRIM(M536&amp;"")="","",IF(ISNUMBER(MATCH(TRIM(M536&amp;""),설정_코드표!$C$2:$C$11,0)),TRIM(M536&amp;""),"⚠"&amp;TRIM(M536&amp;"")))</f>
        <v/>
      </c>
      <c r="U536" s="10">
        <f>IF(TRIM(L536&amp;"")="","",IFERROR(INDEX(설정_코드표!$G$2:$G$101,MATCH(TRIM(L536&amp;""),설정_코드표!$F$2:$F$101,0)),"⚠"&amp;TRIM(L536&amp;"")))</f>
        <v/>
      </c>
      <c r="V536" s="10">
        <f>IF(AND(ISNUMBER(H536),ISNUMBER(I536)),I536-H536+1,"")</f>
        <v/>
      </c>
      <c r="W536" s="17">
        <f>IF(ISNUMBER(H536),MAX(0,MIN(IF(ISNUMBER(I536),I536,EOMONTH(출력_요약!$B$3,0)),EOMONTH(출력_요약!$B$3,0))-MAX(H536,출력_요약!$B$3)+1),0)</f>
        <v/>
      </c>
      <c r="X536" s="10">
        <f>IF(OR(NOT(ISNUMBER(H536)),Q536=""),"",IF(TODAY()&lt;H536,"파견예정",IF(AND(ISNUMBER(I536),TODAY()&gt;I536),"파견종료","파견중")))</f>
        <v/>
      </c>
      <c r="Y536" s="10">
        <f>IF(OR(Q536="",X536=""),"",Q536&amp;"|"&amp;X536)</f>
        <v/>
      </c>
      <c r="Z536" s="10">
        <f>IF(AND(Q536&lt;&gt;"",W536&gt;0),Q536&amp;"|월","")</f>
        <v/>
      </c>
      <c r="AA536" s="10">
        <f>IF(COUNTA(B536:I536,K536:N536)=0,"",IF(Q536="","등록번호 없음",IF(LEFT(R536,1)="⚠","모병원명 미등록",IF(S536="","파견병원 입력",IF(LEFT(S536,1)="⚠","파견병원명 미등록",IF(LEFT(U536,1)="⚠","파견과목 미등록",IF(OR(T536="",LEFT(T536,1)="⚠"),"파견근거 확인",IF(NOT(AND(ISNUMBER(H536),ISNUMBER(I536))),"날짜 형식/누락",IF(I536&lt;H536,"종료일&lt;시작일","")))))))))</f>
        <v/>
      </c>
      <c r="AB536" s="11">
        <f>IF(ISNUMBER(SEARCH("다기관",TRIM(N536&amp;" "&amp;O536))),IFERROR(DATE(VALUE(MID(TRIM(N536&amp;" "&amp;O536),1,4)),VALUE(MID(TRIM(N536&amp;" "&amp;O536),6,2)),VALUE(MID(TRIM(N536&amp;" "&amp;O536),9,2))),IF(ISNUMBER(H536),H536,"")),"")</f>
        <v/>
      </c>
      <c r="AC536" s="11">
        <f>IF(ISNUMBER(SEARCH("다기관",TRIM(N536&amp;" "&amp;O536))),IFERROR(DATE(VALUE(MID(TRIM(N536&amp;" "&amp;O536),12,4)),VALUE(MID(TRIM(N536&amp;" "&amp;O536),17,2)),VALUE(MID(TRIM(N536&amp;" "&amp;O536),20,2))),IF(ISNUMBER(I536),I536,"")),"")</f>
        <v/>
      </c>
      <c r="AD536" s="17">
        <f>IF(AND(ISNUMBER(AB536),ISNUMBER(AC536)),MAX(0,MIN(AC536,EOMONTH(출력_요약!$B$3,0))-MAX(AB536,출력_요약!$B$3)+1),0)</f>
        <v/>
      </c>
      <c r="AE536" s="10">
        <f>IF(AND(Q536&lt;&gt;"",ISNUMBER(AB536)),Q536&amp;"|다기관","")</f>
        <v/>
      </c>
    </row>
    <row r="537">
      <c r="A537" s="15">
        <f>IF(F537="","",ROW()-3)</f>
        <v/>
      </c>
      <c r="B537" s="5" t="n"/>
      <c r="C537" s="15" t="n"/>
      <c r="D537" s="5" t="n"/>
      <c r="E537" s="15" t="n"/>
      <c r="F537" s="5" t="n"/>
      <c r="G537" s="6" t="n"/>
      <c r="H537" s="16" t="n"/>
      <c r="I537" s="16" t="n"/>
      <c r="J537" s="15">
        <f>IF(AND(ISNUMBER(H537),ISNUMBER(I537)),I537-H537+1,"")</f>
        <v/>
      </c>
      <c r="K537" s="5" t="n"/>
      <c r="L537" s="5" t="n"/>
      <c r="M537" s="5" t="n"/>
      <c r="N537" s="5" t="n"/>
      <c r="O537" s="5" t="n"/>
      <c r="Q537" s="10">
        <f>IF(TRIM(G537&amp;"")="","",TRIM(G537&amp;""))</f>
        <v/>
      </c>
      <c r="R537" s="10">
        <f>IF(TRIM(B537&amp;"")="","",IFERROR(INDEX(설정_코드표!$K$2:$K$101,MATCH(TRIM(B537&amp;""),설정_코드표!$J$2:$J$101,0)),"⚠"&amp;TRIM(B537&amp;"")))</f>
        <v/>
      </c>
      <c r="S537" s="10">
        <f>IF(TRIM(K537&amp;"")="","",IFERROR(INDEX(설정_코드표!$K$2:$K$101,MATCH(TRIM(K537&amp;""),설정_코드표!$J$2:$J$101,0)),"⚠"&amp;TRIM(K537&amp;"")))</f>
        <v/>
      </c>
      <c r="T537" s="10">
        <f>IF(TRIM(M537&amp;"")="","",IF(ISNUMBER(MATCH(TRIM(M537&amp;""),설정_코드표!$C$2:$C$11,0)),TRIM(M537&amp;""),"⚠"&amp;TRIM(M537&amp;"")))</f>
        <v/>
      </c>
      <c r="U537" s="10">
        <f>IF(TRIM(L537&amp;"")="","",IFERROR(INDEX(설정_코드표!$G$2:$G$101,MATCH(TRIM(L537&amp;""),설정_코드표!$F$2:$F$101,0)),"⚠"&amp;TRIM(L537&amp;"")))</f>
        <v/>
      </c>
      <c r="V537" s="10">
        <f>IF(AND(ISNUMBER(H537),ISNUMBER(I537)),I537-H537+1,"")</f>
        <v/>
      </c>
      <c r="W537" s="17">
        <f>IF(ISNUMBER(H537),MAX(0,MIN(IF(ISNUMBER(I537),I537,EOMONTH(출력_요약!$B$3,0)),EOMONTH(출력_요약!$B$3,0))-MAX(H537,출력_요약!$B$3)+1),0)</f>
        <v/>
      </c>
      <c r="X537" s="10">
        <f>IF(OR(NOT(ISNUMBER(H537)),Q537=""),"",IF(TODAY()&lt;H537,"파견예정",IF(AND(ISNUMBER(I537),TODAY()&gt;I537),"파견종료","파견중")))</f>
        <v/>
      </c>
      <c r="Y537" s="10">
        <f>IF(OR(Q537="",X537=""),"",Q537&amp;"|"&amp;X537)</f>
        <v/>
      </c>
      <c r="Z537" s="10">
        <f>IF(AND(Q537&lt;&gt;"",W537&gt;0),Q537&amp;"|월","")</f>
        <v/>
      </c>
      <c r="AA537" s="10">
        <f>IF(COUNTA(B537:I537,K537:N537)=0,"",IF(Q537="","등록번호 없음",IF(LEFT(R537,1)="⚠","모병원명 미등록",IF(S537="","파견병원 입력",IF(LEFT(S537,1)="⚠","파견병원명 미등록",IF(LEFT(U537,1)="⚠","파견과목 미등록",IF(OR(T537="",LEFT(T537,1)="⚠"),"파견근거 확인",IF(NOT(AND(ISNUMBER(H537),ISNUMBER(I537))),"날짜 형식/누락",IF(I537&lt;H537,"종료일&lt;시작일","")))))))))</f>
        <v/>
      </c>
      <c r="AB537" s="11">
        <f>IF(ISNUMBER(SEARCH("다기관",TRIM(N537&amp;" "&amp;O537))),IFERROR(DATE(VALUE(MID(TRIM(N537&amp;" "&amp;O537),1,4)),VALUE(MID(TRIM(N537&amp;" "&amp;O537),6,2)),VALUE(MID(TRIM(N537&amp;" "&amp;O537),9,2))),IF(ISNUMBER(H537),H537,"")),"")</f>
        <v/>
      </c>
      <c r="AC537" s="11">
        <f>IF(ISNUMBER(SEARCH("다기관",TRIM(N537&amp;" "&amp;O537))),IFERROR(DATE(VALUE(MID(TRIM(N537&amp;" "&amp;O537),12,4)),VALUE(MID(TRIM(N537&amp;" "&amp;O537),17,2)),VALUE(MID(TRIM(N537&amp;" "&amp;O537),20,2))),IF(ISNUMBER(I537),I537,"")),"")</f>
        <v/>
      </c>
      <c r="AD537" s="17">
        <f>IF(AND(ISNUMBER(AB537),ISNUMBER(AC537)),MAX(0,MIN(AC537,EOMONTH(출력_요약!$B$3,0))-MAX(AB537,출력_요약!$B$3)+1),0)</f>
        <v/>
      </c>
      <c r="AE537" s="10">
        <f>IF(AND(Q537&lt;&gt;"",ISNUMBER(AB537)),Q537&amp;"|다기관","")</f>
        <v/>
      </c>
    </row>
    <row r="538">
      <c r="A538" s="15">
        <f>IF(F538="","",ROW()-3)</f>
        <v/>
      </c>
      <c r="B538" s="5" t="n"/>
      <c r="C538" s="15" t="n"/>
      <c r="D538" s="5" t="n"/>
      <c r="E538" s="15" t="n"/>
      <c r="F538" s="5" t="n"/>
      <c r="G538" s="6" t="n"/>
      <c r="H538" s="16" t="n"/>
      <c r="I538" s="16" t="n"/>
      <c r="J538" s="15">
        <f>IF(AND(ISNUMBER(H538),ISNUMBER(I538)),I538-H538+1,"")</f>
        <v/>
      </c>
      <c r="K538" s="5" t="n"/>
      <c r="L538" s="5" t="n"/>
      <c r="M538" s="5" t="n"/>
      <c r="N538" s="5" t="n"/>
      <c r="O538" s="5" t="n"/>
      <c r="Q538" s="10">
        <f>IF(TRIM(G538&amp;"")="","",TRIM(G538&amp;""))</f>
        <v/>
      </c>
      <c r="R538" s="10">
        <f>IF(TRIM(B538&amp;"")="","",IFERROR(INDEX(설정_코드표!$K$2:$K$101,MATCH(TRIM(B538&amp;""),설정_코드표!$J$2:$J$101,0)),"⚠"&amp;TRIM(B538&amp;"")))</f>
        <v/>
      </c>
      <c r="S538" s="10">
        <f>IF(TRIM(K538&amp;"")="","",IFERROR(INDEX(설정_코드표!$K$2:$K$101,MATCH(TRIM(K538&amp;""),설정_코드표!$J$2:$J$101,0)),"⚠"&amp;TRIM(K538&amp;"")))</f>
        <v/>
      </c>
      <c r="T538" s="10">
        <f>IF(TRIM(M538&amp;"")="","",IF(ISNUMBER(MATCH(TRIM(M538&amp;""),설정_코드표!$C$2:$C$11,0)),TRIM(M538&amp;""),"⚠"&amp;TRIM(M538&amp;"")))</f>
        <v/>
      </c>
      <c r="U538" s="10">
        <f>IF(TRIM(L538&amp;"")="","",IFERROR(INDEX(설정_코드표!$G$2:$G$101,MATCH(TRIM(L538&amp;""),설정_코드표!$F$2:$F$101,0)),"⚠"&amp;TRIM(L538&amp;"")))</f>
        <v/>
      </c>
      <c r="V538" s="10">
        <f>IF(AND(ISNUMBER(H538),ISNUMBER(I538)),I538-H538+1,"")</f>
        <v/>
      </c>
      <c r="W538" s="17">
        <f>IF(ISNUMBER(H538),MAX(0,MIN(IF(ISNUMBER(I538),I538,EOMONTH(출력_요약!$B$3,0)),EOMONTH(출력_요약!$B$3,0))-MAX(H538,출력_요약!$B$3)+1),0)</f>
        <v/>
      </c>
      <c r="X538" s="10">
        <f>IF(OR(NOT(ISNUMBER(H538)),Q538=""),"",IF(TODAY()&lt;H538,"파견예정",IF(AND(ISNUMBER(I538),TODAY()&gt;I538),"파견종료","파견중")))</f>
        <v/>
      </c>
      <c r="Y538" s="10">
        <f>IF(OR(Q538="",X538=""),"",Q538&amp;"|"&amp;X538)</f>
        <v/>
      </c>
      <c r="Z538" s="10">
        <f>IF(AND(Q538&lt;&gt;"",W538&gt;0),Q538&amp;"|월","")</f>
        <v/>
      </c>
      <c r="AA538" s="10">
        <f>IF(COUNTA(B538:I538,K538:N538)=0,"",IF(Q538="","등록번호 없음",IF(LEFT(R538,1)="⚠","모병원명 미등록",IF(S538="","파견병원 입력",IF(LEFT(S538,1)="⚠","파견병원명 미등록",IF(LEFT(U538,1)="⚠","파견과목 미등록",IF(OR(T538="",LEFT(T538,1)="⚠"),"파견근거 확인",IF(NOT(AND(ISNUMBER(H538),ISNUMBER(I538))),"날짜 형식/누락",IF(I538&lt;H538,"종료일&lt;시작일","")))))))))</f>
        <v/>
      </c>
      <c r="AB538" s="11">
        <f>IF(ISNUMBER(SEARCH("다기관",TRIM(N538&amp;" "&amp;O538))),IFERROR(DATE(VALUE(MID(TRIM(N538&amp;" "&amp;O538),1,4)),VALUE(MID(TRIM(N538&amp;" "&amp;O538),6,2)),VALUE(MID(TRIM(N538&amp;" "&amp;O538),9,2))),IF(ISNUMBER(H538),H538,"")),"")</f>
        <v/>
      </c>
      <c r="AC538" s="11">
        <f>IF(ISNUMBER(SEARCH("다기관",TRIM(N538&amp;" "&amp;O538))),IFERROR(DATE(VALUE(MID(TRIM(N538&amp;" "&amp;O538),12,4)),VALUE(MID(TRIM(N538&amp;" "&amp;O538),17,2)),VALUE(MID(TRIM(N538&amp;" "&amp;O538),20,2))),IF(ISNUMBER(I538),I538,"")),"")</f>
        <v/>
      </c>
      <c r="AD538" s="17">
        <f>IF(AND(ISNUMBER(AB538),ISNUMBER(AC538)),MAX(0,MIN(AC538,EOMONTH(출력_요약!$B$3,0))-MAX(AB538,출력_요약!$B$3)+1),0)</f>
        <v/>
      </c>
      <c r="AE538" s="10">
        <f>IF(AND(Q538&lt;&gt;"",ISNUMBER(AB538)),Q538&amp;"|다기관","")</f>
        <v/>
      </c>
    </row>
    <row r="539">
      <c r="A539" s="15">
        <f>IF(F539="","",ROW()-3)</f>
        <v/>
      </c>
      <c r="B539" s="5" t="n"/>
      <c r="C539" s="15" t="n"/>
      <c r="D539" s="5" t="n"/>
      <c r="E539" s="15" t="n"/>
      <c r="F539" s="5" t="n"/>
      <c r="G539" s="6" t="n"/>
      <c r="H539" s="16" t="n"/>
      <c r="I539" s="16" t="n"/>
      <c r="J539" s="15">
        <f>IF(AND(ISNUMBER(H539),ISNUMBER(I539)),I539-H539+1,"")</f>
        <v/>
      </c>
      <c r="K539" s="5" t="n"/>
      <c r="L539" s="5" t="n"/>
      <c r="M539" s="5" t="n"/>
      <c r="N539" s="5" t="n"/>
      <c r="O539" s="5" t="n"/>
      <c r="Q539" s="10">
        <f>IF(TRIM(G539&amp;"")="","",TRIM(G539&amp;""))</f>
        <v/>
      </c>
      <c r="R539" s="10">
        <f>IF(TRIM(B539&amp;"")="","",IFERROR(INDEX(설정_코드표!$K$2:$K$101,MATCH(TRIM(B539&amp;""),설정_코드표!$J$2:$J$101,0)),"⚠"&amp;TRIM(B539&amp;"")))</f>
        <v/>
      </c>
      <c r="S539" s="10">
        <f>IF(TRIM(K539&amp;"")="","",IFERROR(INDEX(설정_코드표!$K$2:$K$101,MATCH(TRIM(K539&amp;""),설정_코드표!$J$2:$J$101,0)),"⚠"&amp;TRIM(K539&amp;"")))</f>
        <v/>
      </c>
      <c r="T539" s="10">
        <f>IF(TRIM(M539&amp;"")="","",IF(ISNUMBER(MATCH(TRIM(M539&amp;""),설정_코드표!$C$2:$C$11,0)),TRIM(M539&amp;""),"⚠"&amp;TRIM(M539&amp;"")))</f>
        <v/>
      </c>
      <c r="U539" s="10">
        <f>IF(TRIM(L539&amp;"")="","",IFERROR(INDEX(설정_코드표!$G$2:$G$101,MATCH(TRIM(L539&amp;""),설정_코드표!$F$2:$F$101,0)),"⚠"&amp;TRIM(L539&amp;"")))</f>
        <v/>
      </c>
      <c r="V539" s="10">
        <f>IF(AND(ISNUMBER(H539),ISNUMBER(I539)),I539-H539+1,"")</f>
        <v/>
      </c>
      <c r="W539" s="17">
        <f>IF(ISNUMBER(H539),MAX(0,MIN(IF(ISNUMBER(I539),I539,EOMONTH(출력_요약!$B$3,0)),EOMONTH(출력_요약!$B$3,0))-MAX(H539,출력_요약!$B$3)+1),0)</f>
        <v/>
      </c>
      <c r="X539" s="10">
        <f>IF(OR(NOT(ISNUMBER(H539)),Q539=""),"",IF(TODAY()&lt;H539,"파견예정",IF(AND(ISNUMBER(I539),TODAY()&gt;I539),"파견종료","파견중")))</f>
        <v/>
      </c>
      <c r="Y539" s="10">
        <f>IF(OR(Q539="",X539=""),"",Q539&amp;"|"&amp;X539)</f>
        <v/>
      </c>
      <c r="Z539" s="10">
        <f>IF(AND(Q539&lt;&gt;"",W539&gt;0),Q539&amp;"|월","")</f>
        <v/>
      </c>
      <c r="AA539" s="10">
        <f>IF(COUNTA(B539:I539,K539:N539)=0,"",IF(Q539="","등록번호 없음",IF(LEFT(R539,1)="⚠","모병원명 미등록",IF(S539="","파견병원 입력",IF(LEFT(S539,1)="⚠","파견병원명 미등록",IF(LEFT(U539,1)="⚠","파견과목 미등록",IF(OR(T539="",LEFT(T539,1)="⚠"),"파견근거 확인",IF(NOT(AND(ISNUMBER(H539),ISNUMBER(I539))),"날짜 형식/누락",IF(I539&lt;H539,"종료일&lt;시작일","")))))))))</f>
        <v/>
      </c>
      <c r="AB539" s="11">
        <f>IF(ISNUMBER(SEARCH("다기관",TRIM(N539&amp;" "&amp;O539))),IFERROR(DATE(VALUE(MID(TRIM(N539&amp;" "&amp;O539),1,4)),VALUE(MID(TRIM(N539&amp;" "&amp;O539),6,2)),VALUE(MID(TRIM(N539&amp;" "&amp;O539),9,2))),IF(ISNUMBER(H539),H539,"")),"")</f>
        <v/>
      </c>
      <c r="AC539" s="11">
        <f>IF(ISNUMBER(SEARCH("다기관",TRIM(N539&amp;" "&amp;O539))),IFERROR(DATE(VALUE(MID(TRIM(N539&amp;" "&amp;O539),12,4)),VALUE(MID(TRIM(N539&amp;" "&amp;O539),17,2)),VALUE(MID(TRIM(N539&amp;" "&amp;O539),20,2))),IF(ISNUMBER(I539),I539,"")),"")</f>
        <v/>
      </c>
      <c r="AD539" s="17">
        <f>IF(AND(ISNUMBER(AB539),ISNUMBER(AC539)),MAX(0,MIN(AC539,EOMONTH(출력_요약!$B$3,0))-MAX(AB539,출력_요약!$B$3)+1),0)</f>
        <v/>
      </c>
      <c r="AE539" s="10">
        <f>IF(AND(Q539&lt;&gt;"",ISNUMBER(AB539)),Q539&amp;"|다기관","")</f>
        <v/>
      </c>
    </row>
    <row r="540">
      <c r="A540" s="15">
        <f>IF(F540="","",ROW()-3)</f>
        <v/>
      </c>
      <c r="B540" s="5" t="n"/>
      <c r="C540" s="15" t="n"/>
      <c r="D540" s="5" t="n"/>
      <c r="E540" s="15" t="n"/>
      <c r="F540" s="5" t="n"/>
      <c r="G540" s="6" t="n"/>
      <c r="H540" s="16" t="n"/>
      <c r="I540" s="16" t="n"/>
      <c r="J540" s="15">
        <f>IF(AND(ISNUMBER(H540),ISNUMBER(I540)),I540-H540+1,"")</f>
        <v/>
      </c>
      <c r="K540" s="5" t="n"/>
      <c r="L540" s="5" t="n"/>
      <c r="M540" s="5" t="n"/>
      <c r="N540" s="5" t="n"/>
      <c r="O540" s="5" t="n"/>
      <c r="Q540" s="10">
        <f>IF(TRIM(G540&amp;"")="","",TRIM(G540&amp;""))</f>
        <v/>
      </c>
      <c r="R540" s="10">
        <f>IF(TRIM(B540&amp;"")="","",IFERROR(INDEX(설정_코드표!$K$2:$K$101,MATCH(TRIM(B540&amp;""),설정_코드표!$J$2:$J$101,0)),"⚠"&amp;TRIM(B540&amp;"")))</f>
        <v/>
      </c>
      <c r="S540" s="10">
        <f>IF(TRIM(K540&amp;"")="","",IFERROR(INDEX(설정_코드표!$K$2:$K$101,MATCH(TRIM(K540&amp;""),설정_코드표!$J$2:$J$101,0)),"⚠"&amp;TRIM(K540&amp;"")))</f>
        <v/>
      </c>
      <c r="T540" s="10">
        <f>IF(TRIM(M540&amp;"")="","",IF(ISNUMBER(MATCH(TRIM(M540&amp;""),설정_코드표!$C$2:$C$11,0)),TRIM(M540&amp;""),"⚠"&amp;TRIM(M540&amp;"")))</f>
        <v/>
      </c>
      <c r="U540" s="10">
        <f>IF(TRIM(L540&amp;"")="","",IFERROR(INDEX(설정_코드표!$G$2:$G$101,MATCH(TRIM(L540&amp;""),설정_코드표!$F$2:$F$101,0)),"⚠"&amp;TRIM(L540&amp;"")))</f>
        <v/>
      </c>
      <c r="V540" s="10">
        <f>IF(AND(ISNUMBER(H540),ISNUMBER(I540)),I540-H540+1,"")</f>
        <v/>
      </c>
      <c r="W540" s="17">
        <f>IF(ISNUMBER(H540),MAX(0,MIN(IF(ISNUMBER(I540),I540,EOMONTH(출력_요약!$B$3,0)),EOMONTH(출력_요약!$B$3,0))-MAX(H540,출력_요약!$B$3)+1),0)</f>
        <v/>
      </c>
      <c r="X540" s="10">
        <f>IF(OR(NOT(ISNUMBER(H540)),Q540=""),"",IF(TODAY()&lt;H540,"파견예정",IF(AND(ISNUMBER(I540),TODAY()&gt;I540),"파견종료","파견중")))</f>
        <v/>
      </c>
      <c r="Y540" s="10">
        <f>IF(OR(Q540="",X540=""),"",Q540&amp;"|"&amp;X540)</f>
        <v/>
      </c>
      <c r="Z540" s="10">
        <f>IF(AND(Q540&lt;&gt;"",W540&gt;0),Q540&amp;"|월","")</f>
        <v/>
      </c>
      <c r="AA540" s="10">
        <f>IF(COUNTA(B540:I540,K540:N540)=0,"",IF(Q540="","등록번호 없음",IF(LEFT(R540,1)="⚠","모병원명 미등록",IF(S540="","파견병원 입력",IF(LEFT(S540,1)="⚠","파견병원명 미등록",IF(LEFT(U540,1)="⚠","파견과목 미등록",IF(OR(T540="",LEFT(T540,1)="⚠"),"파견근거 확인",IF(NOT(AND(ISNUMBER(H540),ISNUMBER(I540))),"날짜 형식/누락",IF(I540&lt;H540,"종료일&lt;시작일","")))))))))</f>
        <v/>
      </c>
      <c r="AB540" s="11">
        <f>IF(ISNUMBER(SEARCH("다기관",TRIM(N540&amp;" "&amp;O540))),IFERROR(DATE(VALUE(MID(TRIM(N540&amp;" "&amp;O540),1,4)),VALUE(MID(TRIM(N540&amp;" "&amp;O540),6,2)),VALUE(MID(TRIM(N540&amp;" "&amp;O540),9,2))),IF(ISNUMBER(H540),H540,"")),"")</f>
        <v/>
      </c>
      <c r="AC540" s="11">
        <f>IF(ISNUMBER(SEARCH("다기관",TRIM(N540&amp;" "&amp;O540))),IFERROR(DATE(VALUE(MID(TRIM(N540&amp;" "&amp;O540),12,4)),VALUE(MID(TRIM(N540&amp;" "&amp;O540),17,2)),VALUE(MID(TRIM(N540&amp;" "&amp;O540),20,2))),IF(ISNUMBER(I540),I540,"")),"")</f>
        <v/>
      </c>
      <c r="AD540" s="17">
        <f>IF(AND(ISNUMBER(AB540),ISNUMBER(AC540)),MAX(0,MIN(AC540,EOMONTH(출력_요약!$B$3,0))-MAX(AB540,출력_요약!$B$3)+1),0)</f>
        <v/>
      </c>
      <c r="AE540" s="10">
        <f>IF(AND(Q540&lt;&gt;"",ISNUMBER(AB540)),Q540&amp;"|다기관","")</f>
        <v/>
      </c>
    </row>
    <row r="541">
      <c r="A541" s="15">
        <f>IF(F541="","",ROW()-3)</f>
        <v/>
      </c>
      <c r="B541" s="5" t="n"/>
      <c r="C541" s="15" t="n"/>
      <c r="D541" s="5" t="n"/>
      <c r="E541" s="15" t="n"/>
      <c r="F541" s="5" t="n"/>
      <c r="G541" s="6" t="n"/>
      <c r="H541" s="16" t="n"/>
      <c r="I541" s="16" t="n"/>
      <c r="J541" s="15">
        <f>IF(AND(ISNUMBER(H541),ISNUMBER(I541)),I541-H541+1,"")</f>
        <v/>
      </c>
      <c r="K541" s="5" t="n"/>
      <c r="L541" s="5" t="n"/>
      <c r="M541" s="5" t="n"/>
      <c r="N541" s="5" t="n"/>
      <c r="O541" s="5" t="n"/>
      <c r="Q541" s="10">
        <f>IF(TRIM(G541&amp;"")="","",TRIM(G541&amp;""))</f>
        <v/>
      </c>
      <c r="R541" s="10">
        <f>IF(TRIM(B541&amp;"")="","",IFERROR(INDEX(설정_코드표!$K$2:$K$101,MATCH(TRIM(B541&amp;""),설정_코드표!$J$2:$J$101,0)),"⚠"&amp;TRIM(B541&amp;"")))</f>
        <v/>
      </c>
      <c r="S541" s="10">
        <f>IF(TRIM(K541&amp;"")="","",IFERROR(INDEX(설정_코드표!$K$2:$K$101,MATCH(TRIM(K541&amp;""),설정_코드표!$J$2:$J$101,0)),"⚠"&amp;TRIM(K541&amp;"")))</f>
        <v/>
      </c>
      <c r="T541" s="10">
        <f>IF(TRIM(M541&amp;"")="","",IF(ISNUMBER(MATCH(TRIM(M541&amp;""),설정_코드표!$C$2:$C$11,0)),TRIM(M541&amp;""),"⚠"&amp;TRIM(M541&amp;"")))</f>
        <v/>
      </c>
      <c r="U541" s="10">
        <f>IF(TRIM(L541&amp;"")="","",IFERROR(INDEX(설정_코드표!$G$2:$G$101,MATCH(TRIM(L541&amp;""),설정_코드표!$F$2:$F$101,0)),"⚠"&amp;TRIM(L541&amp;"")))</f>
        <v/>
      </c>
      <c r="V541" s="10">
        <f>IF(AND(ISNUMBER(H541),ISNUMBER(I541)),I541-H541+1,"")</f>
        <v/>
      </c>
      <c r="W541" s="17">
        <f>IF(ISNUMBER(H541),MAX(0,MIN(IF(ISNUMBER(I541),I541,EOMONTH(출력_요약!$B$3,0)),EOMONTH(출력_요약!$B$3,0))-MAX(H541,출력_요약!$B$3)+1),0)</f>
        <v/>
      </c>
      <c r="X541" s="10">
        <f>IF(OR(NOT(ISNUMBER(H541)),Q541=""),"",IF(TODAY()&lt;H541,"파견예정",IF(AND(ISNUMBER(I541),TODAY()&gt;I541),"파견종료","파견중")))</f>
        <v/>
      </c>
      <c r="Y541" s="10">
        <f>IF(OR(Q541="",X541=""),"",Q541&amp;"|"&amp;X541)</f>
        <v/>
      </c>
      <c r="Z541" s="10">
        <f>IF(AND(Q541&lt;&gt;"",W541&gt;0),Q541&amp;"|월","")</f>
        <v/>
      </c>
      <c r="AA541" s="10">
        <f>IF(COUNTA(B541:I541,K541:N541)=0,"",IF(Q541="","등록번호 없음",IF(LEFT(R541,1)="⚠","모병원명 미등록",IF(S541="","파견병원 입력",IF(LEFT(S541,1)="⚠","파견병원명 미등록",IF(LEFT(U541,1)="⚠","파견과목 미등록",IF(OR(T541="",LEFT(T541,1)="⚠"),"파견근거 확인",IF(NOT(AND(ISNUMBER(H541),ISNUMBER(I541))),"날짜 형식/누락",IF(I541&lt;H541,"종료일&lt;시작일","")))))))))</f>
        <v/>
      </c>
      <c r="AB541" s="11">
        <f>IF(ISNUMBER(SEARCH("다기관",TRIM(N541&amp;" "&amp;O541))),IFERROR(DATE(VALUE(MID(TRIM(N541&amp;" "&amp;O541),1,4)),VALUE(MID(TRIM(N541&amp;" "&amp;O541),6,2)),VALUE(MID(TRIM(N541&amp;" "&amp;O541),9,2))),IF(ISNUMBER(H541),H541,"")),"")</f>
        <v/>
      </c>
      <c r="AC541" s="11">
        <f>IF(ISNUMBER(SEARCH("다기관",TRIM(N541&amp;" "&amp;O541))),IFERROR(DATE(VALUE(MID(TRIM(N541&amp;" "&amp;O541),12,4)),VALUE(MID(TRIM(N541&amp;" "&amp;O541),17,2)),VALUE(MID(TRIM(N541&amp;" "&amp;O541),20,2))),IF(ISNUMBER(I541),I541,"")),"")</f>
        <v/>
      </c>
      <c r="AD541" s="17">
        <f>IF(AND(ISNUMBER(AB541),ISNUMBER(AC541)),MAX(0,MIN(AC541,EOMONTH(출력_요약!$B$3,0))-MAX(AB541,출력_요약!$B$3)+1),0)</f>
        <v/>
      </c>
      <c r="AE541" s="10">
        <f>IF(AND(Q541&lt;&gt;"",ISNUMBER(AB541)),Q541&amp;"|다기관","")</f>
        <v/>
      </c>
    </row>
    <row r="542">
      <c r="A542" s="15">
        <f>IF(F542="","",ROW()-3)</f>
        <v/>
      </c>
      <c r="B542" s="5" t="n"/>
      <c r="C542" s="15" t="n"/>
      <c r="D542" s="5" t="n"/>
      <c r="E542" s="15" t="n"/>
      <c r="F542" s="5" t="n"/>
      <c r="G542" s="6" t="n"/>
      <c r="H542" s="16" t="n"/>
      <c r="I542" s="16" t="n"/>
      <c r="J542" s="15">
        <f>IF(AND(ISNUMBER(H542),ISNUMBER(I542)),I542-H542+1,"")</f>
        <v/>
      </c>
      <c r="K542" s="5" t="n"/>
      <c r="L542" s="5" t="n"/>
      <c r="M542" s="5" t="n"/>
      <c r="N542" s="5" t="n"/>
      <c r="O542" s="5" t="n"/>
      <c r="Q542" s="10">
        <f>IF(TRIM(G542&amp;"")="","",TRIM(G542&amp;""))</f>
        <v/>
      </c>
      <c r="R542" s="10">
        <f>IF(TRIM(B542&amp;"")="","",IFERROR(INDEX(설정_코드표!$K$2:$K$101,MATCH(TRIM(B542&amp;""),설정_코드표!$J$2:$J$101,0)),"⚠"&amp;TRIM(B542&amp;"")))</f>
        <v/>
      </c>
      <c r="S542" s="10">
        <f>IF(TRIM(K542&amp;"")="","",IFERROR(INDEX(설정_코드표!$K$2:$K$101,MATCH(TRIM(K542&amp;""),설정_코드표!$J$2:$J$101,0)),"⚠"&amp;TRIM(K542&amp;"")))</f>
        <v/>
      </c>
      <c r="T542" s="10">
        <f>IF(TRIM(M542&amp;"")="","",IF(ISNUMBER(MATCH(TRIM(M542&amp;""),설정_코드표!$C$2:$C$11,0)),TRIM(M542&amp;""),"⚠"&amp;TRIM(M542&amp;"")))</f>
        <v/>
      </c>
      <c r="U542" s="10">
        <f>IF(TRIM(L542&amp;"")="","",IFERROR(INDEX(설정_코드표!$G$2:$G$101,MATCH(TRIM(L542&amp;""),설정_코드표!$F$2:$F$101,0)),"⚠"&amp;TRIM(L542&amp;"")))</f>
        <v/>
      </c>
      <c r="V542" s="10">
        <f>IF(AND(ISNUMBER(H542),ISNUMBER(I542)),I542-H542+1,"")</f>
        <v/>
      </c>
      <c r="W542" s="17">
        <f>IF(ISNUMBER(H542),MAX(0,MIN(IF(ISNUMBER(I542),I542,EOMONTH(출력_요약!$B$3,0)),EOMONTH(출력_요약!$B$3,0))-MAX(H542,출력_요약!$B$3)+1),0)</f>
        <v/>
      </c>
      <c r="X542" s="10">
        <f>IF(OR(NOT(ISNUMBER(H542)),Q542=""),"",IF(TODAY()&lt;H542,"파견예정",IF(AND(ISNUMBER(I542),TODAY()&gt;I542),"파견종료","파견중")))</f>
        <v/>
      </c>
      <c r="Y542" s="10">
        <f>IF(OR(Q542="",X542=""),"",Q542&amp;"|"&amp;X542)</f>
        <v/>
      </c>
      <c r="Z542" s="10">
        <f>IF(AND(Q542&lt;&gt;"",W542&gt;0),Q542&amp;"|월","")</f>
        <v/>
      </c>
      <c r="AA542" s="10">
        <f>IF(COUNTA(B542:I542,K542:N542)=0,"",IF(Q542="","등록번호 없음",IF(LEFT(R542,1)="⚠","모병원명 미등록",IF(S542="","파견병원 입력",IF(LEFT(S542,1)="⚠","파견병원명 미등록",IF(LEFT(U542,1)="⚠","파견과목 미등록",IF(OR(T542="",LEFT(T542,1)="⚠"),"파견근거 확인",IF(NOT(AND(ISNUMBER(H542),ISNUMBER(I542))),"날짜 형식/누락",IF(I542&lt;H542,"종료일&lt;시작일","")))))))))</f>
        <v/>
      </c>
      <c r="AB542" s="11">
        <f>IF(ISNUMBER(SEARCH("다기관",TRIM(N542&amp;" "&amp;O542))),IFERROR(DATE(VALUE(MID(TRIM(N542&amp;" "&amp;O542),1,4)),VALUE(MID(TRIM(N542&amp;" "&amp;O542),6,2)),VALUE(MID(TRIM(N542&amp;" "&amp;O542),9,2))),IF(ISNUMBER(H542),H542,"")),"")</f>
        <v/>
      </c>
      <c r="AC542" s="11">
        <f>IF(ISNUMBER(SEARCH("다기관",TRIM(N542&amp;" "&amp;O542))),IFERROR(DATE(VALUE(MID(TRIM(N542&amp;" "&amp;O542),12,4)),VALUE(MID(TRIM(N542&amp;" "&amp;O542),17,2)),VALUE(MID(TRIM(N542&amp;" "&amp;O542),20,2))),IF(ISNUMBER(I542),I542,"")),"")</f>
        <v/>
      </c>
      <c r="AD542" s="17">
        <f>IF(AND(ISNUMBER(AB542),ISNUMBER(AC542)),MAX(0,MIN(AC542,EOMONTH(출력_요약!$B$3,0))-MAX(AB542,출력_요약!$B$3)+1),0)</f>
        <v/>
      </c>
      <c r="AE542" s="10">
        <f>IF(AND(Q542&lt;&gt;"",ISNUMBER(AB542)),Q542&amp;"|다기관","")</f>
        <v/>
      </c>
    </row>
    <row r="543">
      <c r="A543" s="15">
        <f>IF(F543="","",ROW()-3)</f>
        <v/>
      </c>
      <c r="B543" s="5" t="n"/>
      <c r="C543" s="15" t="n"/>
      <c r="D543" s="5" t="n"/>
      <c r="E543" s="15" t="n"/>
      <c r="F543" s="5" t="n"/>
      <c r="G543" s="6" t="n"/>
      <c r="H543" s="16" t="n"/>
      <c r="I543" s="16" t="n"/>
      <c r="J543" s="15">
        <f>IF(AND(ISNUMBER(H543),ISNUMBER(I543)),I543-H543+1,"")</f>
        <v/>
      </c>
      <c r="K543" s="5" t="n"/>
      <c r="L543" s="5" t="n"/>
      <c r="M543" s="5" t="n"/>
      <c r="N543" s="5" t="n"/>
      <c r="O543" s="5" t="n"/>
      <c r="Q543" s="10">
        <f>IF(TRIM(G543&amp;"")="","",TRIM(G543&amp;""))</f>
        <v/>
      </c>
      <c r="R543" s="10">
        <f>IF(TRIM(B543&amp;"")="","",IFERROR(INDEX(설정_코드표!$K$2:$K$101,MATCH(TRIM(B543&amp;""),설정_코드표!$J$2:$J$101,0)),"⚠"&amp;TRIM(B543&amp;"")))</f>
        <v/>
      </c>
      <c r="S543" s="10">
        <f>IF(TRIM(K543&amp;"")="","",IFERROR(INDEX(설정_코드표!$K$2:$K$101,MATCH(TRIM(K543&amp;""),설정_코드표!$J$2:$J$101,0)),"⚠"&amp;TRIM(K543&amp;"")))</f>
        <v/>
      </c>
      <c r="T543" s="10">
        <f>IF(TRIM(M543&amp;"")="","",IF(ISNUMBER(MATCH(TRIM(M543&amp;""),설정_코드표!$C$2:$C$11,0)),TRIM(M543&amp;""),"⚠"&amp;TRIM(M543&amp;"")))</f>
        <v/>
      </c>
      <c r="U543" s="10">
        <f>IF(TRIM(L543&amp;"")="","",IFERROR(INDEX(설정_코드표!$G$2:$G$101,MATCH(TRIM(L543&amp;""),설정_코드표!$F$2:$F$101,0)),"⚠"&amp;TRIM(L543&amp;"")))</f>
        <v/>
      </c>
      <c r="V543" s="10">
        <f>IF(AND(ISNUMBER(H543),ISNUMBER(I543)),I543-H543+1,"")</f>
        <v/>
      </c>
      <c r="W543" s="17">
        <f>IF(ISNUMBER(H543),MAX(0,MIN(IF(ISNUMBER(I543),I543,EOMONTH(출력_요약!$B$3,0)),EOMONTH(출력_요약!$B$3,0))-MAX(H543,출력_요약!$B$3)+1),0)</f>
        <v/>
      </c>
      <c r="X543" s="10">
        <f>IF(OR(NOT(ISNUMBER(H543)),Q543=""),"",IF(TODAY()&lt;H543,"파견예정",IF(AND(ISNUMBER(I543),TODAY()&gt;I543),"파견종료","파견중")))</f>
        <v/>
      </c>
      <c r="Y543" s="10">
        <f>IF(OR(Q543="",X543=""),"",Q543&amp;"|"&amp;X543)</f>
        <v/>
      </c>
      <c r="Z543" s="10">
        <f>IF(AND(Q543&lt;&gt;"",W543&gt;0),Q543&amp;"|월","")</f>
        <v/>
      </c>
      <c r="AA543" s="10">
        <f>IF(COUNTA(B543:I543,K543:N543)=0,"",IF(Q543="","등록번호 없음",IF(LEFT(R543,1)="⚠","모병원명 미등록",IF(S543="","파견병원 입력",IF(LEFT(S543,1)="⚠","파견병원명 미등록",IF(LEFT(U543,1)="⚠","파견과목 미등록",IF(OR(T543="",LEFT(T543,1)="⚠"),"파견근거 확인",IF(NOT(AND(ISNUMBER(H543),ISNUMBER(I543))),"날짜 형식/누락",IF(I543&lt;H543,"종료일&lt;시작일","")))))))))</f>
        <v/>
      </c>
      <c r="AB543" s="11">
        <f>IF(ISNUMBER(SEARCH("다기관",TRIM(N543&amp;" "&amp;O543))),IFERROR(DATE(VALUE(MID(TRIM(N543&amp;" "&amp;O543),1,4)),VALUE(MID(TRIM(N543&amp;" "&amp;O543),6,2)),VALUE(MID(TRIM(N543&amp;" "&amp;O543),9,2))),IF(ISNUMBER(H543),H543,"")),"")</f>
        <v/>
      </c>
      <c r="AC543" s="11">
        <f>IF(ISNUMBER(SEARCH("다기관",TRIM(N543&amp;" "&amp;O543))),IFERROR(DATE(VALUE(MID(TRIM(N543&amp;" "&amp;O543),12,4)),VALUE(MID(TRIM(N543&amp;" "&amp;O543),17,2)),VALUE(MID(TRIM(N543&amp;" "&amp;O543),20,2))),IF(ISNUMBER(I543),I543,"")),"")</f>
        <v/>
      </c>
      <c r="AD543" s="17">
        <f>IF(AND(ISNUMBER(AB543),ISNUMBER(AC543)),MAX(0,MIN(AC543,EOMONTH(출력_요약!$B$3,0))-MAX(AB543,출력_요약!$B$3)+1),0)</f>
        <v/>
      </c>
      <c r="AE543" s="10">
        <f>IF(AND(Q543&lt;&gt;"",ISNUMBER(AB543)),Q543&amp;"|다기관","")</f>
        <v/>
      </c>
    </row>
    <row r="544">
      <c r="A544" s="15">
        <f>IF(F544="","",ROW()-3)</f>
        <v/>
      </c>
      <c r="B544" s="5" t="n"/>
      <c r="C544" s="15" t="n"/>
      <c r="D544" s="5" t="n"/>
      <c r="E544" s="15" t="n"/>
      <c r="F544" s="5" t="n"/>
      <c r="G544" s="6" t="n"/>
      <c r="H544" s="16" t="n"/>
      <c r="I544" s="16" t="n"/>
      <c r="J544" s="15">
        <f>IF(AND(ISNUMBER(H544),ISNUMBER(I544)),I544-H544+1,"")</f>
        <v/>
      </c>
      <c r="K544" s="5" t="n"/>
      <c r="L544" s="5" t="n"/>
      <c r="M544" s="5" t="n"/>
      <c r="N544" s="5" t="n"/>
      <c r="O544" s="5" t="n"/>
      <c r="Q544" s="10">
        <f>IF(TRIM(G544&amp;"")="","",TRIM(G544&amp;""))</f>
        <v/>
      </c>
      <c r="R544" s="10">
        <f>IF(TRIM(B544&amp;"")="","",IFERROR(INDEX(설정_코드표!$K$2:$K$101,MATCH(TRIM(B544&amp;""),설정_코드표!$J$2:$J$101,0)),"⚠"&amp;TRIM(B544&amp;"")))</f>
        <v/>
      </c>
      <c r="S544" s="10">
        <f>IF(TRIM(K544&amp;"")="","",IFERROR(INDEX(설정_코드표!$K$2:$K$101,MATCH(TRIM(K544&amp;""),설정_코드표!$J$2:$J$101,0)),"⚠"&amp;TRIM(K544&amp;"")))</f>
        <v/>
      </c>
      <c r="T544" s="10">
        <f>IF(TRIM(M544&amp;"")="","",IF(ISNUMBER(MATCH(TRIM(M544&amp;""),설정_코드표!$C$2:$C$11,0)),TRIM(M544&amp;""),"⚠"&amp;TRIM(M544&amp;"")))</f>
        <v/>
      </c>
      <c r="U544" s="10">
        <f>IF(TRIM(L544&amp;"")="","",IFERROR(INDEX(설정_코드표!$G$2:$G$101,MATCH(TRIM(L544&amp;""),설정_코드표!$F$2:$F$101,0)),"⚠"&amp;TRIM(L544&amp;"")))</f>
        <v/>
      </c>
      <c r="V544" s="10">
        <f>IF(AND(ISNUMBER(H544),ISNUMBER(I544)),I544-H544+1,"")</f>
        <v/>
      </c>
      <c r="W544" s="17">
        <f>IF(ISNUMBER(H544),MAX(0,MIN(IF(ISNUMBER(I544),I544,EOMONTH(출력_요약!$B$3,0)),EOMONTH(출력_요약!$B$3,0))-MAX(H544,출력_요약!$B$3)+1),0)</f>
        <v/>
      </c>
      <c r="X544" s="10">
        <f>IF(OR(NOT(ISNUMBER(H544)),Q544=""),"",IF(TODAY()&lt;H544,"파견예정",IF(AND(ISNUMBER(I544),TODAY()&gt;I544),"파견종료","파견중")))</f>
        <v/>
      </c>
      <c r="Y544" s="10">
        <f>IF(OR(Q544="",X544=""),"",Q544&amp;"|"&amp;X544)</f>
        <v/>
      </c>
      <c r="Z544" s="10">
        <f>IF(AND(Q544&lt;&gt;"",W544&gt;0),Q544&amp;"|월","")</f>
        <v/>
      </c>
      <c r="AA544" s="10">
        <f>IF(COUNTA(B544:I544,K544:N544)=0,"",IF(Q544="","등록번호 없음",IF(LEFT(R544,1)="⚠","모병원명 미등록",IF(S544="","파견병원 입력",IF(LEFT(S544,1)="⚠","파견병원명 미등록",IF(LEFT(U544,1)="⚠","파견과목 미등록",IF(OR(T544="",LEFT(T544,1)="⚠"),"파견근거 확인",IF(NOT(AND(ISNUMBER(H544),ISNUMBER(I544))),"날짜 형식/누락",IF(I544&lt;H544,"종료일&lt;시작일","")))))))))</f>
        <v/>
      </c>
      <c r="AB544" s="11">
        <f>IF(ISNUMBER(SEARCH("다기관",TRIM(N544&amp;" "&amp;O544))),IFERROR(DATE(VALUE(MID(TRIM(N544&amp;" "&amp;O544),1,4)),VALUE(MID(TRIM(N544&amp;" "&amp;O544),6,2)),VALUE(MID(TRIM(N544&amp;" "&amp;O544),9,2))),IF(ISNUMBER(H544),H544,"")),"")</f>
        <v/>
      </c>
      <c r="AC544" s="11">
        <f>IF(ISNUMBER(SEARCH("다기관",TRIM(N544&amp;" "&amp;O544))),IFERROR(DATE(VALUE(MID(TRIM(N544&amp;" "&amp;O544),12,4)),VALUE(MID(TRIM(N544&amp;" "&amp;O544),17,2)),VALUE(MID(TRIM(N544&amp;" "&amp;O544),20,2))),IF(ISNUMBER(I544),I544,"")),"")</f>
        <v/>
      </c>
      <c r="AD544" s="17">
        <f>IF(AND(ISNUMBER(AB544),ISNUMBER(AC544)),MAX(0,MIN(AC544,EOMONTH(출력_요약!$B$3,0))-MAX(AB544,출력_요약!$B$3)+1),0)</f>
        <v/>
      </c>
      <c r="AE544" s="10">
        <f>IF(AND(Q544&lt;&gt;"",ISNUMBER(AB544)),Q544&amp;"|다기관","")</f>
        <v/>
      </c>
    </row>
    <row r="545">
      <c r="A545" s="15">
        <f>IF(F545="","",ROW()-3)</f>
        <v/>
      </c>
      <c r="B545" s="5" t="n"/>
      <c r="C545" s="15" t="n"/>
      <c r="D545" s="5" t="n"/>
      <c r="E545" s="15" t="n"/>
      <c r="F545" s="5" t="n"/>
      <c r="G545" s="6" t="n"/>
      <c r="H545" s="16" t="n"/>
      <c r="I545" s="16" t="n"/>
      <c r="J545" s="15">
        <f>IF(AND(ISNUMBER(H545),ISNUMBER(I545)),I545-H545+1,"")</f>
        <v/>
      </c>
      <c r="K545" s="5" t="n"/>
      <c r="L545" s="5" t="n"/>
      <c r="M545" s="5" t="n"/>
      <c r="N545" s="5" t="n"/>
      <c r="O545" s="5" t="n"/>
      <c r="Q545" s="10">
        <f>IF(TRIM(G545&amp;"")="","",TRIM(G545&amp;""))</f>
        <v/>
      </c>
      <c r="R545" s="10">
        <f>IF(TRIM(B545&amp;"")="","",IFERROR(INDEX(설정_코드표!$K$2:$K$101,MATCH(TRIM(B545&amp;""),설정_코드표!$J$2:$J$101,0)),"⚠"&amp;TRIM(B545&amp;"")))</f>
        <v/>
      </c>
      <c r="S545" s="10">
        <f>IF(TRIM(K545&amp;"")="","",IFERROR(INDEX(설정_코드표!$K$2:$K$101,MATCH(TRIM(K545&amp;""),설정_코드표!$J$2:$J$101,0)),"⚠"&amp;TRIM(K545&amp;"")))</f>
        <v/>
      </c>
      <c r="T545" s="10">
        <f>IF(TRIM(M545&amp;"")="","",IF(ISNUMBER(MATCH(TRIM(M545&amp;""),설정_코드표!$C$2:$C$11,0)),TRIM(M545&amp;""),"⚠"&amp;TRIM(M545&amp;"")))</f>
        <v/>
      </c>
      <c r="U545" s="10">
        <f>IF(TRIM(L545&amp;"")="","",IFERROR(INDEX(설정_코드표!$G$2:$G$101,MATCH(TRIM(L545&amp;""),설정_코드표!$F$2:$F$101,0)),"⚠"&amp;TRIM(L545&amp;"")))</f>
        <v/>
      </c>
      <c r="V545" s="10">
        <f>IF(AND(ISNUMBER(H545),ISNUMBER(I545)),I545-H545+1,"")</f>
        <v/>
      </c>
      <c r="W545" s="17">
        <f>IF(ISNUMBER(H545),MAX(0,MIN(IF(ISNUMBER(I545),I545,EOMONTH(출력_요약!$B$3,0)),EOMONTH(출력_요약!$B$3,0))-MAX(H545,출력_요약!$B$3)+1),0)</f>
        <v/>
      </c>
      <c r="X545" s="10">
        <f>IF(OR(NOT(ISNUMBER(H545)),Q545=""),"",IF(TODAY()&lt;H545,"파견예정",IF(AND(ISNUMBER(I545),TODAY()&gt;I545),"파견종료","파견중")))</f>
        <v/>
      </c>
      <c r="Y545" s="10">
        <f>IF(OR(Q545="",X545=""),"",Q545&amp;"|"&amp;X545)</f>
        <v/>
      </c>
      <c r="Z545" s="10">
        <f>IF(AND(Q545&lt;&gt;"",W545&gt;0),Q545&amp;"|월","")</f>
        <v/>
      </c>
      <c r="AA545" s="10">
        <f>IF(COUNTA(B545:I545,K545:N545)=0,"",IF(Q545="","등록번호 없음",IF(LEFT(R545,1)="⚠","모병원명 미등록",IF(S545="","파견병원 입력",IF(LEFT(S545,1)="⚠","파견병원명 미등록",IF(LEFT(U545,1)="⚠","파견과목 미등록",IF(OR(T545="",LEFT(T545,1)="⚠"),"파견근거 확인",IF(NOT(AND(ISNUMBER(H545),ISNUMBER(I545))),"날짜 형식/누락",IF(I545&lt;H545,"종료일&lt;시작일","")))))))))</f>
        <v/>
      </c>
      <c r="AB545" s="11">
        <f>IF(ISNUMBER(SEARCH("다기관",TRIM(N545&amp;" "&amp;O545))),IFERROR(DATE(VALUE(MID(TRIM(N545&amp;" "&amp;O545),1,4)),VALUE(MID(TRIM(N545&amp;" "&amp;O545),6,2)),VALUE(MID(TRIM(N545&amp;" "&amp;O545),9,2))),IF(ISNUMBER(H545),H545,"")),"")</f>
        <v/>
      </c>
      <c r="AC545" s="11">
        <f>IF(ISNUMBER(SEARCH("다기관",TRIM(N545&amp;" "&amp;O545))),IFERROR(DATE(VALUE(MID(TRIM(N545&amp;" "&amp;O545),12,4)),VALUE(MID(TRIM(N545&amp;" "&amp;O545),17,2)),VALUE(MID(TRIM(N545&amp;" "&amp;O545),20,2))),IF(ISNUMBER(I545),I545,"")),"")</f>
        <v/>
      </c>
      <c r="AD545" s="17">
        <f>IF(AND(ISNUMBER(AB545),ISNUMBER(AC545)),MAX(0,MIN(AC545,EOMONTH(출력_요약!$B$3,0))-MAX(AB545,출력_요약!$B$3)+1),0)</f>
        <v/>
      </c>
      <c r="AE545" s="10">
        <f>IF(AND(Q545&lt;&gt;"",ISNUMBER(AB545)),Q545&amp;"|다기관","")</f>
        <v/>
      </c>
    </row>
    <row r="546">
      <c r="A546" s="15">
        <f>IF(F546="","",ROW()-3)</f>
        <v/>
      </c>
      <c r="B546" s="5" t="n"/>
      <c r="C546" s="15" t="n"/>
      <c r="D546" s="5" t="n"/>
      <c r="E546" s="15" t="n"/>
      <c r="F546" s="5" t="n"/>
      <c r="G546" s="6" t="n"/>
      <c r="H546" s="16" t="n"/>
      <c r="I546" s="16" t="n"/>
      <c r="J546" s="15">
        <f>IF(AND(ISNUMBER(H546),ISNUMBER(I546)),I546-H546+1,"")</f>
        <v/>
      </c>
      <c r="K546" s="5" t="n"/>
      <c r="L546" s="5" t="n"/>
      <c r="M546" s="5" t="n"/>
      <c r="N546" s="5" t="n"/>
      <c r="O546" s="5" t="n"/>
      <c r="Q546" s="10">
        <f>IF(TRIM(G546&amp;"")="","",TRIM(G546&amp;""))</f>
        <v/>
      </c>
      <c r="R546" s="10">
        <f>IF(TRIM(B546&amp;"")="","",IFERROR(INDEX(설정_코드표!$K$2:$K$101,MATCH(TRIM(B546&amp;""),설정_코드표!$J$2:$J$101,0)),"⚠"&amp;TRIM(B546&amp;"")))</f>
        <v/>
      </c>
      <c r="S546" s="10">
        <f>IF(TRIM(K546&amp;"")="","",IFERROR(INDEX(설정_코드표!$K$2:$K$101,MATCH(TRIM(K546&amp;""),설정_코드표!$J$2:$J$101,0)),"⚠"&amp;TRIM(K546&amp;"")))</f>
        <v/>
      </c>
      <c r="T546" s="10">
        <f>IF(TRIM(M546&amp;"")="","",IF(ISNUMBER(MATCH(TRIM(M546&amp;""),설정_코드표!$C$2:$C$11,0)),TRIM(M546&amp;""),"⚠"&amp;TRIM(M546&amp;"")))</f>
        <v/>
      </c>
      <c r="U546" s="10">
        <f>IF(TRIM(L546&amp;"")="","",IFERROR(INDEX(설정_코드표!$G$2:$G$101,MATCH(TRIM(L546&amp;""),설정_코드표!$F$2:$F$101,0)),"⚠"&amp;TRIM(L546&amp;"")))</f>
        <v/>
      </c>
      <c r="V546" s="10">
        <f>IF(AND(ISNUMBER(H546),ISNUMBER(I546)),I546-H546+1,"")</f>
        <v/>
      </c>
      <c r="W546" s="17">
        <f>IF(ISNUMBER(H546),MAX(0,MIN(IF(ISNUMBER(I546),I546,EOMONTH(출력_요약!$B$3,0)),EOMONTH(출력_요약!$B$3,0))-MAX(H546,출력_요약!$B$3)+1),0)</f>
        <v/>
      </c>
      <c r="X546" s="10">
        <f>IF(OR(NOT(ISNUMBER(H546)),Q546=""),"",IF(TODAY()&lt;H546,"파견예정",IF(AND(ISNUMBER(I546),TODAY()&gt;I546),"파견종료","파견중")))</f>
        <v/>
      </c>
      <c r="Y546" s="10">
        <f>IF(OR(Q546="",X546=""),"",Q546&amp;"|"&amp;X546)</f>
        <v/>
      </c>
      <c r="Z546" s="10">
        <f>IF(AND(Q546&lt;&gt;"",W546&gt;0),Q546&amp;"|월","")</f>
        <v/>
      </c>
      <c r="AA546" s="10">
        <f>IF(COUNTA(B546:I546,K546:N546)=0,"",IF(Q546="","등록번호 없음",IF(LEFT(R546,1)="⚠","모병원명 미등록",IF(S546="","파견병원 입력",IF(LEFT(S546,1)="⚠","파견병원명 미등록",IF(LEFT(U546,1)="⚠","파견과목 미등록",IF(OR(T546="",LEFT(T546,1)="⚠"),"파견근거 확인",IF(NOT(AND(ISNUMBER(H546),ISNUMBER(I546))),"날짜 형식/누락",IF(I546&lt;H546,"종료일&lt;시작일","")))))))))</f>
        <v/>
      </c>
      <c r="AB546" s="11">
        <f>IF(ISNUMBER(SEARCH("다기관",TRIM(N546&amp;" "&amp;O546))),IFERROR(DATE(VALUE(MID(TRIM(N546&amp;" "&amp;O546),1,4)),VALUE(MID(TRIM(N546&amp;" "&amp;O546),6,2)),VALUE(MID(TRIM(N546&amp;" "&amp;O546),9,2))),IF(ISNUMBER(H546),H546,"")),"")</f>
        <v/>
      </c>
      <c r="AC546" s="11">
        <f>IF(ISNUMBER(SEARCH("다기관",TRIM(N546&amp;" "&amp;O546))),IFERROR(DATE(VALUE(MID(TRIM(N546&amp;" "&amp;O546),12,4)),VALUE(MID(TRIM(N546&amp;" "&amp;O546),17,2)),VALUE(MID(TRIM(N546&amp;" "&amp;O546),20,2))),IF(ISNUMBER(I546),I546,"")),"")</f>
        <v/>
      </c>
      <c r="AD546" s="17">
        <f>IF(AND(ISNUMBER(AB546),ISNUMBER(AC546)),MAX(0,MIN(AC546,EOMONTH(출력_요약!$B$3,0))-MAX(AB546,출력_요약!$B$3)+1),0)</f>
        <v/>
      </c>
      <c r="AE546" s="10">
        <f>IF(AND(Q546&lt;&gt;"",ISNUMBER(AB546)),Q546&amp;"|다기관","")</f>
        <v/>
      </c>
    </row>
    <row r="547">
      <c r="A547" s="15">
        <f>IF(F547="","",ROW()-3)</f>
        <v/>
      </c>
      <c r="B547" s="5" t="n"/>
      <c r="C547" s="15" t="n"/>
      <c r="D547" s="5" t="n"/>
      <c r="E547" s="15" t="n"/>
      <c r="F547" s="5" t="n"/>
      <c r="G547" s="6" t="n"/>
      <c r="H547" s="16" t="n"/>
      <c r="I547" s="16" t="n"/>
      <c r="J547" s="15">
        <f>IF(AND(ISNUMBER(H547),ISNUMBER(I547)),I547-H547+1,"")</f>
        <v/>
      </c>
      <c r="K547" s="5" t="n"/>
      <c r="L547" s="5" t="n"/>
      <c r="M547" s="5" t="n"/>
      <c r="N547" s="5" t="n"/>
      <c r="O547" s="5" t="n"/>
      <c r="Q547" s="10">
        <f>IF(TRIM(G547&amp;"")="","",TRIM(G547&amp;""))</f>
        <v/>
      </c>
      <c r="R547" s="10">
        <f>IF(TRIM(B547&amp;"")="","",IFERROR(INDEX(설정_코드표!$K$2:$K$101,MATCH(TRIM(B547&amp;""),설정_코드표!$J$2:$J$101,0)),"⚠"&amp;TRIM(B547&amp;"")))</f>
        <v/>
      </c>
      <c r="S547" s="10">
        <f>IF(TRIM(K547&amp;"")="","",IFERROR(INDEX(설정_코드표!$K$2:$K$101,MATCH(TRIM(K547&amp;""),설정_코드표!$J$2:$J$101,0)),"⚠"&amp;TRIM(K547&amp;"")))</f>
        <v/>
      </c>
      <c r="T547" s="10">
        <f>IF(TRIM(M547&amp;"")="","",IF(ISNUMBER(MATCH(TRIM(M547&amp;""),설정_코드표!$C$2:$C$11,0)),TRIM(M547&amp;""),"⚠"&amp;TRIM(M547&amp;"")))</f>
        <v/>
      </c>
      <c r="U547" s="10">
        <f>IF(TRIM(L547&amp;"")="","",IFERROR(INDEX(설정_코드표!$G$2:$G$101,MATCH(TRIM(L547&amp;""),설정_코드표!$F$2:$F$101,0)),"⚠"&amp;TRIM(L547&amp;"")))</f>
        <v/>
      </c>
      <c r="V547" s="10">
        <f>IF(AND(ISNUMBER(H547),ISNUMBER(I547)),I547-H547+1,"")</f>
        <v/>
      </c>
      <c r="W547" s="17">
        <f>IF(ISNUMBER(H547),MAX(0,MIN(IF(ISNUMBER(I547),I547,EOMONTH(출력_요약!$B$3,0)),EOMONTH(출력_요약!$B$3,0))-MAX(H547,출력_요약!$B$3)+1),0)</f>
        <v/>
      </c>
      <c r="X547" s="10">
        <f>IF(OR(NOT(ISNUMBER(H547)),Q547=""),"",IF(TODAY()&lt;H547,"파견예정",IF(AND(ISNUMBER(I547),TODAY()&gt;I547),"파견종료","파견중")))</f>
        <v/>
      </c>
      <c r="Y547" s="10">
        <f>IF(OR(Q547="",X547=""),"",Q547&amp;"|"&amp;X547)</f>
        <v/>
      </c>
      <c r="Z547" s="10">
        <f>IF(AND(Q547&lt;&gt;"",W547&gt;0),Q547&amp;"|월","")</f>
        <v/>
      </c>
      <c r="AA547" s="10">
        <f>IF(COUNTA(B547:I547,K547:N547)=0,"",IF(Q547="","등록번호 없음",IF(LEFT(R547,1)="⚠","모병원명 미등록",IF(S547="","파견병원 입력",IF(LEFT(S547,1)="⚠","파견병원명 미등록",IF(LEFT(U547,1)="⚠","파견과목 미등록",IF(OR(T547="",LEFT(T547,1)="⚠"),"파견근거 확인",IF(NOT(AND(ISNUMBER(H547),ISNUMBER(I547))),"날짜 형식/누락",IF(I547&lt;H547,"종료일&lt;시작일","")))))))))</f>
        <v/>
      </c>
      <c r="AB547" s="11">
        <f>IF(ISNUMBER(SEARCH("다기관",TRIM(N547&amp;" "&amp;O547))),IFERROR(DATE(VALUE(MID(TRIM(N547&amp;" "&amp;O547),1,4)),VALUE(MID(TRIM(N547&amp;" "&amp;O547),6,2)),VALUE(MID(TRIM(N547&amp;" "&amp;O547),9,2))),IF(ISNUMBER(H547),H547,"")),"")</f>
        <v/>
      </c>
      <c r="AC547" s="11">
        <f>IF(ISNUMBER(SEARCH("다기관",TRIM(N547&amp;" "&amp;O547))),IFERROR(DATE(VALUE(MID(TRIM(N547&amp;" "&amp;O547),12,4)),VALUE(MID(TRIM(N547&amp;" "&amp;O547),17,2)),VALUE(MID(TRIM(N547&amp;" "&amp;O547),20,2))),IF(ISNUMBER(I547),I547,"")),"")</f>
        <v/>
      </c>
      <c r="AD547" s="17">
        <f>IF(AND(ISNUMBER(AB547),ISNUMBER(AC547)),MAX(0,MIN(AC547,EOMONTH(출력_요약!$B$3,0))-MAX(AB547,출력_요약!$B$3)+1),0)</f>
        <v/>
      </c>
      <c r="AE547" s="10">
        <f>IF(AND(Q547&lt;&gt;"",ISNUMBER(AB547)),Q547&amp;"|다기관","")</f>
        <v/>
      </c>
    </row>
    <row r="548">
      <c r="A548" s="15">
        <f>IF(F548="","",ROW()-3)</f>
        <v/>
      </c>
      <c r="B548" s="5" t="n"/>
      <c r="C548" s="15" t="n"/>
      <c r="D548" s="5" t="n"/>
      <c r="E548" s="15" t="n"/>
      <c r="F548" s="5" t="n"/>
      <c r="G548" s="6" t="n"/>
      <c r="H548" s="16" t="n"/>
      <c r="I548" s="16" t="n"/>
      <c r="J548" s="15">
        <f>IF(AND(ISNUMBER(H548),ISNUMBER(I548)),I548-H548+1,"")</f>
        <v/>
      </c>
      <c r="K548" s="5" t="n"/>
      <c r="L548" s="5" t="n"/>
      <c r="M548" s="5" t="n"/>
      <c r="N548" s="5" t="n"/>
      <c r="O548" s="5" t="n"/>
      <c r="Q548" s="10">
        <f>IF(TRIM(G548&amp;"")="","",TRIM(G548&amp;""))</f>
        <v/>
      </c>
      <c r="R548" s="10">
        <f>IF(TRIM(B548&amp;"")="","",IFERROR(INDEX(설정_코드표!$K$2:$K$101,MATCH(TRIM(B548&amp;""),설정_코드표!$J$2:$J$101,0)),"⚠"&amp;TRIM(B548&amp;"")))</f>
        <v/>
      </c>
      <c r="S548" s="10">
        <f>IF(TRIM(K548&amp;"")="","",IFERROR(INDEX(설정_코드표!$K$2:$K$101,MATCH(TRIM(K548&amp;""),설정_코드표!$J$2:$J$101,0)),"⚠"&amp;TRIM(K548&amp;"")))</f>
        <v/>
      </c>
      <c r="T548" s="10">
        <f>IF(TRIM(M548&amp;"")="","",IF(ISNUMBER(MATCH(TRIM(M548&amp;""),설정_코드표!$C$2:$C$11,0)),TRIM(M548&amp;""),"⚠"&amp;TRIM(M548&amp;"")))</f>
        <v/>
      </c>
      <c r="U548" s="10">
        <f>IF(TRIM(L548&amp;"")="","",IFERROR(INDEX(설정_코드표!$G$2:$G$101,MATCH(TRIM(L548&amp;""),설정_코드표!$F$2:$F$101,0)),"⚠"&amp;TRIM(L548&amp;"")))</f>
        <v/>
      </c>
      <c r="V548" s="10">
        <f>IF(AND(ISNUMBER(H548),ISNUMBER(I548)),I548-H548+1,"")</f>
        <v/>
      </c>
      <c r="W548" s="17">
        <f>IF(ISNUMBER(H548),MAX(0,MIN(IF(ISNUMBER(I548),I548,EOMONTH(출력_요약!$B$3,0)),EOMONTH(출력_요약!$B$3,0))-MAX(H548,출력_요약!$B$3)+1),0)</f>
        <v/>
      </c>
      <c r="X548" s="10">
        <f>IF(OR(NOT(ISNUMBER(H548)),Q548=""),"",IF(TODAY()&lt;H548,"파견예정",IF(AND(ISNUMBER(I548),TODAY()&gt;I548),"파견종료","파견중")))</f>
        <v/>
      </c>
      <c r="Y548" s="10">
        <f>IF(OR(Q548="",X548=""),"",Q548&amp;"|"&amp;X548)</f>
        <v/>
      </c>
      <c r="Z548" s="10">
        <f>IF(AND(Q548&lt;&gt;"",W548&gt;0),Q548&amp;"|월","")</f>
        <v/>
      </c>
      <c r="AA548" s="10">
        <f>IF(COUNTA(B548:I548,K548:N548)=0,"",IF(Q548="","등록번호 없음",IF(LEFT(R548,1)="⚠","모병원명 미등록",IF(S548="","파견병원 입력",IF(LEFT(S548,1)="⚠","파견병원명 미등록",IF(LEFT(U548,1)="⚠","파견과목 미등록",IF(OR(T548="",LEFT(T548,1)="⚠"),"파견근거 확인",IF(NOT(AND(ISNUMBER(H548),ISNUMBER(I548))),"날짜 형식/누락",IF(I548&lt;H548,"종료일&lt;시작일","")))))))))</f>
        <v/>
      </c>
      <c r="AB548" s="11">
        <f>IF(ISNUMBER(SEARCH("다기관",TRIM(N548&amp;" "&amp;O548))),IFERROR(DATE(VALUE(MID(TRIM(N548&amp;" "&amp;O548),1,4)),VALUE(MID(TRIM(N548&amp;" "&amp;O548),6,2)),VALUE(MID(TRIM(N548&amp;" "&amp;O548),9,2))),IF(ISNUMBER(H548),H548,"")),"")</f>
        <v/>
      </c>
      <c r="AC548" s="11">
        <f>IF(ISNUMBER(SEARCH("다기관",TRIM(N548&amp;" "&amp;O548))),IFERROR(DATE(VALUE(MID(TRIM(N548&amp;" "&amp;O548),12,4)),VALUE(MID(TRIM(N548&amp;" "&amp;O548),17,2)),VALUE(MID(TRIM(N548&amp;" "&amp;O548),20,2))),IF(ISNUMBER(I548),I548,"")),"")</f>
        <v/>
      </c>
      <c r="AD548" s="17">
        <f>IF(AND(ISNUMBER(AB548),ISNUMBER(AC548)),MAX(0,MIN(AC548,EOMONTH(출력_요약!$B$3,0))-MAX(AB548,출력_요약!$B$3)+1),0)</f>
        <v/>
      </c>
      <c r="AE548" s="10">
        <f>IF(AND(Q548&lt;&gt;"",ISNUMBER(AB548)),Q548&amp;"|다기관","")</f>
        <v/>
      </c>
    </row>
    <row r="549">
      <c r="A549" s="15">
        <f>IF(F549="","",ROW()-3)</f>
        <v/>
      </c>
      <c r="B549" s="5" t="n"/>
      <c r="C549" s="15" t="n"/>
      <c r="D549" s="5" t="n"/>
      <c r="E549" s="15" t="n"/>
      <c r="F549" s="5" t="n"/>
      <c r="G549" s="6" t="n"/>
      <c r="H549" s="16" t="n"/>
      <c r="I549" s="16" t="n"/>
      <c r="J549" s="15">
        <f>IF(AND(ISNUMBER(H549),ISNUMBER(I549)),I549-H549+1,"")</f>
        <v/>
      </c>
      <c r="K549" s="5" t="n"/>
      <c r="L549" s="5" t="n"/>
      <c r="M549" s="5" t="n"/>
      <c r="N549" s="5" t="n"/>
      <c r="O549" s="5" t="n"/>
      <c r="Q549" s="10">
        <f>IF(TRIM(G549&amp;"")="","",TRIM(G549&amp;""))</f>
        <v/>
      </c>
      <c r="R549" s="10">
        <f>IF(TRIM(B549&amp;"")="","",IFERROR(INDEX(설정_코드표!$K$2:$K$101,MATCH(TRIM(B549&amp;""),설정_코드표!$J$2:$J$101,0)),"⚠"&amp;TRIM(B549&amp;"")))</f>
        <v/>
      </c>
      <c r="S549" s="10">
        <f>IF(TRIM(K549&amp;"")="","",IFERROR(INDEX(설정_코드표!$K$2:$K$101,MATCH(TRIM(K549&amp;""),설정_코드표!$J$2:$J$101,0)),"⚠"&amp;TRIM(K549&amp;"")))</f>
        <v/>
      </c>
      <c r="T549" s="10">
        <f>IF(TRIM(M549&amp;"")="","",IF(ISNUMBER(MATCH(TRIM(M549&amp;""),설정_코드표!$C$2:$C$11,0)),TRIM(M549&amp;""),"⚠"&amp;TRIM(M549&amp;"")))</f>
        <v/>
      </c>
      <c r="U549" s="10">
        <f>IF(TRIM(L549&amp;"")="","",IFERROR(INDEX(설정_코드표!$G$2:$G$101,MATCH(TRIM(L549&amp;""),설정_코드표!$F$2:$F$101,0)),"⚠"&amp;TRIM(L549&amp;"")))</f>
        <v/>
      </c>
      <c r="V549" s="10">
        <f>IF(AND(ISNUMBER(H549),ISNUMBER(I549)),I549-H549+1,"")</f>
        <v/>
      </c>
      <c r="W549" s="17">
        <f>IF(ISNUMBER(H549),MAX(0,MIN(IF(ISNUMBER(I549),I549,EOMONTH(출력_요약!$B$3,0)),EOMONTH(출력_요약!$B$3,0))-MAX(H549,출력_요약!$B$3)+1),0)</f>
        <v/>
      </c>
      <c r="X549" s="10">
        <f>IF(OR(NOT(ISNUMBER(H549)),Q549=""),"",IF(TODAY()&lt;H549,"파견예정",IF(AND(ISNUMBER(I549),TODAY()&gt;I549),"파견종료","파견중")))</f>
        <v/>
      </c>
      <c r="Y549" s="10">
        <f>IF(OR(Q549="",X549=""),"",Q549&amp;"|"&amp;X549)</f>
        <v/>
      </c>
      <c r="Z549" s="10">
        <f>IF(AND(Q549&lt;&gt;"",W549&gt;0),Q549&amp;"|월","")</f>
        <v/>
      </c>
      <c r="AA549" s="10">
        <f>IF(COUNTA(B549:I549,K549:N549)=0,"",IF(Q549="","등록번호 없음",IF(LEFT(R549,1)="⚠","모병원명 미등록",IF(S549="","파견병원 입력",IF(LEFT(S549,1)="⚠","파견병원명 미등록",IF(LEFT(U549,1)="⚠","파견과목 미등록",IF(OR(T549="",LEFT(T549,1)="⚠"),"파견근거 확인",IF(NOT(AND(ISNUMBER(H549),ISNUMBER(I549))),"날짜 형식/누락",IF(I549&lt;H549,"종료일&lt;시작일","")))))))))</f>
        <v/>
      </c>
      <c r="AB549" s="11">
        <f>IF(ISNUMBER(SEARCH("다기관",TRIM(N549&amp;" "&amp;O549))),IFERROR(DATE(VALUE(MID(TRIM(N549&amp;" "&amp;O549),1,4)),VALUE(MID(TRIM(N549&amp;" "&amp;O549),6,2)),VALUE(MID(TRIM(N549&amp;" "&amp;O549),9,2))),IF(ISNUMBER(H549),H549,"")),"")</f>
        <v/>
      </c>
      <c r="AC549" s="11">
        <f>IF(ISNUMBER(SEARCH("다기관",TRIM(N549&amp;" "&amp;O549))),IFERROR(DATE(VALUE(MID(TRIM(N549&amp;" "&amp;O549),12,4)),VALUE(MID(TRIM(N549&amp;" "&amp;O549),17,2)),VALUE(MID(TRIM(N549&amp;" "&amp;O549),20,2))),IF(ISNUMBER(I549),I549,"")),"")</f>
        <v/>
      </c>
      <c r="AD549" s="17">
        <f>IF(AND(ISNUMBER(AB549),ISNUMBER(AC549)),MAX(0,MIN(AC549,EOMONTH(출력_요약!$B$3,0))-MAX(AB549,출력_요약!$B$3)+1),0)</f>
        <v/>
      </c>
      <c r="AE549" s="10">
        <f>IF(AND(Q549&lt;&gt;"",ISNUMBER(AB549)),Q549&amp;"|다기관","")</f>
        <v/>
      </c>
    </row>
    <row r="550">
      <c r="A550" s="15">
        <f>IF(F550="","",ROW()-3)</f>
        <v/>
      </c>
      <c r="B550" s="5" t="n"/>
      <c r="C550" s="15" t="n"/>
      <c r="D550" s="5" t="n"/>
      <c r="E550" s="15" t="n"/>
      <c r="F550" s="5" t="n"/>
      <c r="G550" s="6" t="n"/>
      <c r="H550" s="16" t="n"/>
      <c r="I550" s="16" t="n"/>
      <c r="J550" s="15">
        <f>IF(AND(ISNUMBER(H550),ISNUMBER(I550)),I550-H550+1,"")</f>
        <v/>
      </c>
      <c r="K550" s="5" t="n"/>
      <c r="L550" s="5" t="n"/>
      <c r="M550" s="5" t="n"/>
      <c r="N550" s="5" t="n"/>
      <c r="O550" s="5" t="n"/>
      <c r="Q550" s="10">
        <f>IF(TRIM(G550&amp;"")="","",TRIM(G550&amp;""))</f>
        <v/>
      </c>
      <c r="R550" s="10">
        <f>IF(TRIM(B550&amp;"")="","",IFERROR(INDEX(설정_코드표!$K$2:$K$101,MATCH(TRIM(B550&amp;""),설정_코드표!$J$2:$J$101,0)),"⚠"&amp;TRIM(B550&amp;"")))</f>
        <v/>
      </c>
      <c r="S550" s="10">
        <f>IF(TRIM(K550&amp;"")="","",IFERROR(INDEX(설정_코드표!$K$2:$K$101,MATCH(TRIM(K550&amp;""),설정_코드표!$J$2:$J$101,0)),"⚠"&amp;TRIM(K550&amp;"")))</f>
        <v/>
      </c>
      <c r="T550" s="10">
        <f>IF(TRIM(M550&amp;"")="","",IF(ISNUMBER(MATCH(TRIM(M550&amp;""),설정_코드표!$C$2:$C$11,0)),TRIM(M550&amp;""),"⚠"&amp;TRIM(M550&amp;"")))</f>
        <v/>
      </c>
      <c r="U550" s="10">
        <f>IF(TRIM(L550&amp;"")="","",IFERROR(INDEX(설정_코드표!$G$2:$G$101,MATCH(TRIM(L550&amp;""),설정_코드표!$F$2:$F$101,0)),"⚠"&amp;TRIM(L550&amp;"")))</f>
        <v/>
      </c>
      <c r="V550" s="10">
        <f>IF(AND(ISNUMBER(H550),ISNUMBER(I550)),I550-H550+1,"")</f>
        <v/>
      </c>
      <c r="W550" s="17">
        <f>IF(ISNUMBER(H550),MAX(0,MIN(IF(ISNUMBER(I550),I550,EOMONTH(출력_요약!$B$3,0)),EOMONTH(출력_요약!$B$3,0))-MAX(H550,출력_요약!$B$3)+1),0)</f>
        <v/>
      </c>
      <c r="X550" s="10">
        <f>IF(OR(NOT(ISNUMBER(H550)),Q550=""),"",IF(TODAY()&lt;H550,"파견예정",IF(AND(ISNUMBER(I550),TODAY()&gt;I550),"파견종료","파견중")))</f>
        <v/>
      </c>
      <c r="Y550" s="10">
        <f>IF(OR(Q550="",X550=""),"",Q550&amp;"|"&amp;X550)</f>
        <v/>
      </c>
      <c r="Z550" s="10">
        <f>IF(AND(Q550&lt;&gt;"",W550&gt;0),Q550&amp;"|월","")</f>
        <v/>
      </c>
      <c r="AA550" s="10">
        <f>IF(COUNTA(B550:I550,K550:N550)=0,"",IF(Q550="","등록번호 없음",IF(LEFT(R550,1)="⚠","모병원명 미등록",IF(S550="","파견병원 입력",IF(LEFT(S550,1)="⚠","파견병원명 미등록",IF(LEFT(U550,1)="⚠","파견과목 미등록",IF(OR(T550="",LEFT(T550,1)="⚠"),"파견근거 확인",IF(NOT(AND(ISNUMBER(H550),ISNUMBER(I550))),"날짜 형식/누락",IF(I550&lt;H550,"종료일&lt;시작일","")))))))))</f>
        <v/>
      </c>
      <c r="AB550" s="11">
        <f>IF(ISNUMBER(SEARCH("다기관",TRIM(N550&amp;" "&amp;O550))),IFERROR(DATE(VALUE(MID(TRIM(N550&amp;" "&amp;O550),1,4)),VALUE(MID(TRIM(N550&amp;" "&amp;O550),6,2)),VALUE(MID(TRIM(N550&amp;" "&amp;O550),9,2))),IF(ISNUMBER(H550),H550,"")),"")</f>
        <v/>
      </c>
      <c r="AC550" s="11">
        <f>IF(ISNUMBER(SEARCH("다기관",TRIM(N550&amp;" "&amp;O550))),IFERROR(DATE(VALUE(MID(TRIM(N550&amp;" "&amp;O550),12,4)),VALUE(MID(TRIM(N550&amp;" "&amp;O550),17,2)),VALUE(MID(TRIM(N550&amp;" "&amp;O550),20,2))),IF(ISNUMBER(I550),I550,"")),"")</f>
        <v/>
      </c>
      <c r="AD550" s="17">
        <f>IF(AND(ISNUMBER(AB550),ISNUMBER(AC550)),MAX(0,MIN(AC550,EOMONTH(출력_요약!$B$3,0))-MAX(AB550,출력_요약!$B$3)+1),0)</f>
        <v/>
      </c>
      <c r="AE550" s="10">
        <f>IF(AND(Q550&lt;&gt;"",ISNUMBER(AB550)),Q550&amp;"|다기관","")</f>
        <v/>
      </c>
    </row>
    <row r="551">
      <c r="A551" s="15">
        <f>IF(F551="","",ROW()-3)</f>
        <v/>
      </c>
      <c r="B551" s="5" t="n"/>
      <c r="C551" s="15" t="n"/>
      <c r="D551" s="5" t="n"/>
      <c r="E551" s="15" t="n"/>
      <c r="F551" s="5" t="n"/>
      <c r="G551" s="6" t="n"/>
      <c r="H551" s="16" t="n"/>
      <c r="I551" s="16" t="n"/>
      <c r="J551" s="15">
        <f>IF(AND(ISNUMBER(H551),ISNUMBER(I551)),I551-H551+1,"")</f>
        <v/>
      </c>
      <c r="K551" s="5" t="n"/>
      <c r="L551" s="5" t="n"/>
      <c r="M551" s="5" t="n"/>
      <c r="N551" s="5" t="n"/>
      <c r="O551" s="5" t="n"/>
      <c r="Q551" s="10">
        <f>IF(TRIM(G551&amp;"")="","",TRIM(G551&amp;""))</f>
        <v/>
      </c>
      <c r="R551" s="10">
        <f>IF(TRIM(B551&amp;"")="","",IFERROR(INDEX(설정_코드표!$K$2:$K$101,MATCH(TRIM(B551&amp;""),설정_코드표!$J$2:$J$101,0)),"⚠"&amp;TRIM(B551&amp;"")))</f>
        <v/>
      </c>
      <c r="S551" s="10">
        <f>IF(TRIM(K551&amp;"")="","",IFERROR(INDEX(설정_코드표!$K$2:$K$101,MATCH(TRIM(K551&amp;""),설정_코드표!$J$2:$J$101,0)),"⚠"&amp;TRIM(K551&amp;"")))</f>
        <v/>
      </c>
      <c r="T551" s="10">
        <f>IF(TRIM(M551&amp;"")="","",IF(ISNUMBER(MATCH(TRIM(M551&amp;""),설정_코드표!$C$2:$C$11,0)),TRIM(M551&amp;""),"⚠"&amp;TRIM(M551&amp;"")))</f>
        <v/>
      </c>
      <c r="U551" s="10">
        <f>IF(TRIM(L551&amp;"")="","",IFERROR(INDEX(설정_코드표!$G$2:$G$101,MATCH(TRIM(L551&amp;""),설정_코드표!$F$2:$F$101,0)),"⚠"&amp;TRIM(L551&amp;"")))</f>
        <v/>
      </c>
      <c r="V551" s="10">
        <f>IF(AND(ISNUMBER(H551),ISNUMBER(I551)),I551-H551+1,"")</f>
        <v/>
      </c>
      <c r="W551" s="17">
        <f>IF(ISNUMBER(H551),MAX(0,MIN(IF(ISNUMBER(I551),I551,EOMONTH(출력_요약!$B$3,0)),EOMONTH(출력_요약!$B$3,0))-MAX(H551,출력_요약!$B$3)+1),0)</f>
        <v/>
      </c>
      <c r="X551" s="10">
        <f>IF(OR(NOT(ISNUMBER(H551)),Q551=""),"",IF(TODAY()&lt;H551,"파견예정",IF(AND(ISNUMBER(I551),TODAY()&gt;I551),"파견종료","파견중")))</f>
        <v/>
      </c>
      <c r="Y551" s="10">
        <f>IF(OR(Q551="",X551=""),"",Q551&amp;"|"&amp;X551)</f>
        <v/>
      </c>
      <c r="Z551" s="10">
        <f>IF(AND(Q551&lt;&gt;"",W551&gt;0),Q551&amp;"|월","")</f>
        <v/>
      </c>
      <c r="AA551" s="10">
        <f>IF(COUNTA(B551:I551,K551:N551)=0,"",IF(Q551="","등록번호 없음",IF(LEFT(R551,1)="⚠","모병원명 미등록",IF(S551="","파견병원 입력",IF(LEFT(S551,1)="⚠","파견병원명 미등록",IF(LEFT(U551,1)="⚠","파견과목 미등록",IF(OR(T551="",LEFT(T551,1)="⚠"),"파견근거 확인",IF(NOT(AND(ISNUMBER(H551),ISNUMBER(I551))),"날짜 형식/누락",IF(I551&lt;H551,"종료일&lt;시작일","")))))))))</f>
        <v/>
      </c>
      <c r="AB551" s="11">
        <f>IF(ISNUMBER(SEARCH("다기관",TRIM(N551&amp;" "&amp;O551))),IFERROR(DATE(VALUE(MID(TRIM(N551&amp;" "&amp;O551),1,4)),VALUE(MID(TRIM(N551&amp;" "&amp;O551),6,2)),VALUE(MID(TRIM(N551&amp;" "&amp;O551),9,2))),IF(ISNUMBER(H551),H551,"")),"")</f>
        <v/>
      </c>
      <c r="AC551" s="11">
        <f>IF(ISNUMBER(SEARCH("다기관",TRIM(N551&amp;" "&amp;O551))),IFERROR(DATE(VALUE(MID(TRIM(N551&amp;" "&amp;O551),12,4)),VALUE(MID(TRIM(N551&amp;" "&amp;O551),17,2)),VALUE(MID(TRIM(N551&amp;" "&amp;O551),20,2))),IF(ISNUMBER(I551),I551,"")),"")</f>
        <v/>
      </c>
      <c r="AD551" s="17">
        <f>IF(AND(ISNUMBER(AB551),ISNUMBER(AC551)),MAX(0,MIN(AC551,EOMONTH(출력_요약!$B$3,0))-MAX(AB551,출력_요약!$B$3)+1),0)</f>
        <v/>
      </c>
      <c r="AE551" s="10">
        <f>IF(AND(Q551&lt;&gt;"",ISNUMBER(AB551)),Q551&amp;"|다기관","")</f>
        <v/>
      </c>
    </row>
    <row r="552">
      <c r="A552" s="15">
        <f>IF(F552="","",ROW()-3)</f>
        <v/>
      </c>
      <c r="B552" s="5" t="n"/>
      <c r="C552" s="15" t="n"/>
      <c r="D552" s="5" t="n"/>
      <c r="E552" s="15" t="n"/>
      <c r="F552" s="5" t="n"/>
      <c r="G552" s="6" t="n"/>
      <c r="H552" s="16" t="n"/>
      <c r="I552" s="16" t="n"/>
      <c r="J552" s="15">
        <f>IF(AND(ISNUMBER(H552),ISNUMBER(I552)),I552-H552+1,"")</f>
        <v/>
      </c>
      <c r="K552" s="5" t="n"/>
      <c r="L552" s="5" t="n"/>
      <c r="M552" s="5" t="n"/>
      <c r="N552" s="5" t="n"/>
      <c r="O552" s="5" t="n"/>
      <c r="Q552" s="10">
        <f>IF(TRIM(G552&amp;"")="","",TRIM(G552&amp;""))</f>
        <v/>
      </c>
      <c r="R552" s="10">
        <f>IF(TRIM(B552&amp;"")="","",IFERROR(INDEX(설정_코드표!$K$2:$K$101,MATCH(TRIM(B552&amp;""),설정_코드표!$J$2:$J$101,0)),"⚠"&amp;TRIM(B552&amp;"")))</f>
        <v/>
      </c>
      <c r="S552" s="10">
        <f>IF(TRIM(K552&amp;"")="","",IFERROR(INDEX(설정_코드표!$K$2:$K$101,MATCH(TRIM(K552&amp;""),설정_코드표!$J$2:$J$101,0)),"⚠"&amp;TRIM(K552&amp;"")))</f>
        <v/>
      </c>
      <c r="T552" s="10">
        <f>IF(TRIM(M552&amp;"")="","",IF(ISNUMBER(MATCH(TRIM(M552&amp;""),설정_코드표!$C$2:$C$11,0)),TRIM(M552&amp;""),"⚠"&amp;TRIM(M552&amp;"")))</f>
        <v/>
      </c>
      <c r="U552" s="10">
        <f>IF(TRIM(L552&amp;"")="","",IFERROR(INDEX(설정_코드표!$G$2:$G$101,MATCH(TRIM(L552&amp;""),설정_코드표!$F$2:$F$101,0)),"⚠"&amp;TRIM(L552&amp;"")))</f>
        <v/>
      </c>
      <c r="V552" s="10">
        <f>IF(AND(ISNUMBER(H552),ISNUMBER(I552)),I552-H552+1,"")</f>
        <v/>
      </c>
      <c r="W552" s="17">
        <f>IF(ISNUMBER(H552),MAX(0,MIN(IF(ISNUMBER(I552),I552,EOMONTH(출력_요약!$B$3,0)),EOMONTH(출력_요약!$B$3,0))-MAX(H552,출력_요약!$B$3)+1),0)</f>
        <v/>
      </c>
      <c r="X552" s="10">
        <f>IF(OR(NOT(ISNUMBER(H552)),Q552=""),"",IF(TODAY()&lt;H552,"파견예정",IF(AND(ISNUMBER(I552),TODAY()&gt;I552),"파견종료","파견중")))</f>
        <v/>
      </c>
      <c r="Y552" s="10">
        <f>IF(OR(Q552="",X552=""),"",Q552&amp;"|"&amp;X552)</f>
        <v/>
      </c>
      <c r="Z552" s="10">
        <f>IF(AND(Q552&lt;&gt;"",W552&gt;0),Q552&amp;"|월","")</f>
        <v/>
      </c>
      <c r="AA552" s="10">
        <f>IF(COUNTA(B552:I552,K552:N552)=0,"",IF(Q552="","등록번호 없음",IF(LEFT(R552,1)="⚠","모병원명 미등록",IF(S552="","파견병원 입력",IF(LEFT(S552,1)="⚠","파견병원명 미등록",IF(LEFT(U552,1)="⚠","파견과목 미등록",IF(OR(T552="",LEFT(T552,1)="⚠"),"파견근거 확인",IF(NOT(AND(ISNUMBER(H552),ISNUMBER(I552))),"날짜 형식/누락",IF(I552&lt;H552,"종료일&lt;시작일","")))))))))</f>
        <v/>
      </c>
      <c r="AB552" s="11">
        <f>IF(ISNUMBER(SEARCH("다기관",TRIM(N552&amp;" "&amp;O552))),IFERROR(DATE(VALUE(MID(TRIM(N552&amp;" "&amp;O552),1,4)),VALUE(MID(TRIM(N552&amp;" "&amp;O552),6,2)),VALUE(MID(TRIM(N552&amp;" "&amp;O552),9,2))),IF(ISNUMBER(H552),H552,"")),"")</f>
        <v/>
      </c>
      <c r="AC552" s="11">
        <f>IF(ISNUMBER(SEARCH("다기관",TRIM(N552&amp;" "&amp;O552))),IFERROR(DATE(VALUE(MID(TRIM(N552&amp;" "&amp;O552),12,4)),VALUE(MID(TRIM(N552&amp;" "&amp;O552),17,2)),VALUE(MID(TRIM(N552&amp;" "&amp;O552),20,2))),IF(ISNUMBER(I552),I552,"")),"")</f>
        <v/>
      </c>
      <c r="AD552" s="17">
        <f>IF(AND(ISNUMBER(AB552),ISNUMBER(AC552)),MAX(0,MIN(AC552,EOMONTH(출력_요약!$B$3,0))-MAX(AB552,출력_요약!$B$3)+1),0)</f>
        <v/>
      </c>
      <c r="AE552" s="10">
        <f>IF(AND(Q552&lt;&gt;"",ISNUMBER(AB552)),Q552&amp;"|다기관","")</f>
        <v/>
      </c>
    </row>
    <row r="553">
      <c r="A553" s="15">
        <f>IF(F553="","",ROW()-3)</f>
        <v/>
      </c>
      <c r="B553" s="5" t="n"/>
      <c r="C553" s="15" t="n"/>
      <c r="D553" s="5" t="n"/>
      <c r="E553" s="15" t="n"/>
      <c r="F553" s="5" t="n"/>
      <c r="G553" s="6" t="n"/>
      <c r="H553" s="16" t="n"/>
      <c r="I553" s="16" t="n"/>
      <c r="J553" s="15">
        <f>IF(AND(ISNUMBER(H553),ISNUMBER(I553)),I553-H553+1,"")</f>
        <v/>
      </c>
      <c r="K553" s="5" t="n"/>
      <c r="L553" s="5" t="n"/>
      <c r="M553" s="5" t="n"/>
      <c r="N553" s="5" t="n"/>
      <c r="O553" s="5" t="n"/>
      <c r="Q553" s="10">
        <f>IF(TRIM(G553&amp;"")="","",TRIM(G553&amp;""))</f>
        <v/>
      </c>
      <c r="R553" s="10">
        <f>IF(TRIM(B553&amp;"")="","",IFERROR(INDEX(설정_코드표!$K$2:$K$101,MATCH(TRIM(B553&amp;""),설정_코드표!$J$2:$J$101,0)),"⚠"&amp;TRIM(B553&amp;"")))</f>
        <v/>
      </c>
      <c r="S553" s="10">
        <f>IF(TRIM(K553&amp;"")="","",IFERROR(INDEX(설정_코드표!$K$2:$K$101,MATCH(TRIM(K553&amp;""),설정_코드표!$J$2:$J$101,0)),"⚠"&amp;TRIM(K553&amp;"")))</f>
        <v/>
      </c>
      <c r="T553" s="10">
        <f>IF(TRIM(M553&amp;"")="","",IF(ISNUMBER(MATCH(TRIM(M553&amp;""),설정_코드표!$C$2:$C$11,0)),TRIM(M553&amp;""),"⚠"&amp;TRIM(M553&amp;"")))</f>
        <v/>
      </c>
      <c r="U553" s="10">
        <f>IF(TRIM(L553&amp;"")="","",IFERROR(INDEX(설정_코드표!$G$2:$G$101,MATCH(TRIM(L553&amp;""),설정_코드표!$F$2:$F$101,0)),"⚠"&amp;TRIM(L553&amp;"")))</f>
        <v/>
      </c>
      <c r="V553" s="10">
        <f>IF(AND(ISNUMBER(H553),ISNUMBER(I553)),I553-H553+1,"")</f>
        <v/>
      </c>
      <c r="W553" s="17">
        <f>IF(ISNUMBER(H553),MAX(0,MIN(IF(ISNUMBER(I553),I553,EOMONTH(출력_요약!$B$3,0)),EOMONTH(출력_요약!$B$3,0))-MAX(H553,출력_요약!$B$3)+1),0)</f>
        <v/>
      </c>
      <c r="X553" s="10">
        <f>IF(OR(NOT(ISNUMBER(H553)),Q553=""),"",IF(TODAY()&lt;H553,"파견예정",IF(AND(ISNUMBER(I553),TODAY()&gt;I553),"파견종료","파견중")))</f>
        <v/>
      </c>
      <c r="Y553" s="10">
        <f>IF(OR(Q553="",X553=""),"",Q553&amp;"|"&amp;X553)</f>
        <v/>
      </c>
      <c r="Z553" s="10">
        <f>IF(AND(Q553&lt;&gt;"",W553&gt;0),Q553&amp;"|월","")</f>
        <v/>
      </c>
      <c r="AA553" s="10">
        <f>IF(COUNTA(B553:I553,K553:N553)=0,"",IF(Q553="","등록번호 없음",IF(LEFT(R553,1)="⚠","모병원명 미등록",IF(S553="","파견병원 입력",IF(LEFT(S553,1)="⚠","파견병원명 미등록",IF(LEFT(U553,1)="⚠","파견과목 미등록",IF(OR(T553="",LEFT(T553,1)="⚠"),"파견근거 확인",IF(NOT(AND(ISNUMBER(H553),ISNUMBER(I553))),"날짜 형식/누락",IF(I553&lt;H553,"종료일&lt;시작일","")))))))))</f>
        <v/>
      </c>
      <c r="AB553" s="11">
        <f>IF(ISNUMBER(SEARCH("다기관",TRIM(N553&amp;" "&amp;O553))),IFERROR(DATE(VALUE(MID(TRIM(N553&amp;" "&amp;O553),1,4)),VALUE(MID(TRIM(N553&amp;" "&amp;O553),6,2)),VALUE(MID(TRIM(N553&amp;" "&amp;O553),9,2))),IF(ISNUMBER(H553),H553,"")),"")</f>
        <v/>
      </c>
      <c r="AC553" s="11">
        <f>IF(ISNUMBER(SEARCH("다기관",TRIM(N553&amp;" "&amp;O553))),IFERROR(DATE(VALUE(MID(TRIM(N553&amp;" "&amp;O553),12,4)),VALUE(MID(TRIM(N553&amp;" "&amp;O553),17,2)),VALUE(MID(TRIM(N553&amp;" "&amp;O553),20,2))),IF(ISNUMBER(I553),I553,"")),"")</f>
        <v/>
      </c>
      <c r="AD553" s="17">
        <f>IF(AND(ISNUMBER(AB553),ISNUMBER(AC553)),MAX(0,MIN(AC553,EOMONTH(출력_요약!$B$3,0))-MAX(AB553,출력_요약!$B$3)+1),0)</f>
        <v/>
      </c>
      <c r="AE553" s="10">
        <f>IF(AND(Q553&lt;&gt;"",ISNUMBER(AB553)),Q553&amp;"|다기관","")</f>
        <v/>
      </c>
    </row>
    <row r="554">
      <c r="A554" s="15">
        <f>IF(F554="","",ROW()-3)</f>
        <v/>
      </c>
      <c r="B554" s="5" t="n"/>
      <c r="C554" s="15" t="n"/>
      <c r="D554" s="5" t="n"/>
      <c r="E554" s="15" t="n"/>
      <c r="F554" s="5" t="n"/>
      <c r="G554" s="6" t="n"/>
      <c r="H554" s="16" t="n"/>
      <c r="I554" s="16" t="n"/>
      <c r="J554" s="15">
        <f>IF(AND(ISNUMBER(H554),ISNUMBER(I554)),I554-H554+1,"")</f>
        <v/>
      </c>
      <c r="K554" s="5" t="n"/>
      <c r="L554" s="5" t="n"/>
      <c r="M554" s="5" t="n"/>
      <c r="N554" s="5" t="n"/>
      <c r="O554" s="5" t="n"/>
      <c r="Q554" s="10">
        <f>IF(TRIM(G554&amp;"")="","",TRIM(G554&amp;""))</f>
        <v/>
      </c>
      <c r="R554" s="10">
        <f>IF(TRIM(B554&amp;"")="","",IFERROR(INDEX(설정_코드표!$K$2:$K$101,MATCH(TRIM(B554&amp;""),설정_코드표!$J$2:$J$101,0)),"⚠"&amp;TRIM(B554&amp;"")))</f>
        <v/>
      </c>
      <c r="S554" s="10">
        <f>IF(TRIM(K554&amp;"")="","",IFERROR(INDEX(설정_코드표!$K$2:$K$101,MATCH(TRIM(K554&amp;""),설정_코드표!$J$2:$J$101,0)),"⚠"&amp;TRIM(K554&amp;"")))</f>
        <v/>
      </c>
      <c r="T554" s="10">
        <f>IF(TRIM(M554&amp;"")="","",IF(ISNUMBER(MATCH(TRIM(M554&amp;""),설정_코드표!$C$2:$C$11,0)),TRIM(M554&amp;""),"⚠"&amp;TRIM(M554&amp;"")))</f>
        <v/>
      </c>
      <c r="U554" s="10">
        <f>IF(TRIM(L554&amp;"")="","",IFERROR(INDEX(설정_코드표!$G$2:$G$101,MATCH(TRIM(L554&amp;""),설정_코드표!$F$2:$F$101,0)),"⚠"&amp;TRIM(L554&amp;"")))</f>
        <v/>
      </c>
      <c r="V554" s="10">
        <f>IF(AND(ISNUMBER(H554),ISNUMBER(I554)),I554-H554+1,"")</f>
        <v/>
      </c>
      <c r="W554" s="17">
        <f>IF(ISNUMBER(H554),MAX(0,MIN(IF(ISNUMBER(I554),I554,EOMONTH(출력_요약!$B$3,0)),EOMONTH(출력_요약!$B$3,0))-MAX(H554,출력_요약!$B$3)+1),0)</f>
        <v/>
      </c>
      <c r="X554" s="10">
        <f>IF(OR(NOT(ISNUMBER(H554)),Q554=""),"",IF(TODAY()&lt;H554,"파견예정",IF(AND(ISNUMBER(I554),TODAY()&gt;I554),"파견종료","파견중")))</f>
        <v/>
      </c>
      <c r="Y554" s="10">
        <f>IF(OR(Q554="",X554=""),"",Q554&amp;"|"&amp;X554)</f>
        <v/>
      </c>
      <c r="Z554" s="10">
        <f>IF(AND(Q554&lt;&gt;"",W554&gt;0),Q554&amp;"|월","")</f>
        <v/>
      </c>
      <c r="AA554" s="10">
        <f>IF(COUNTA(B554:I554,K554:N554)=0,"",IF(Q554="","등록번호 없음",IF(LEFT(R554,1)="⚠","모병원명 미등록",IF(S554="","파견병원 입력",IF(LEFT(S554,1)="⚠","파견병원명 미등록",IF(LEFT(U554,1)="⚠","파견과목 미등록",IF(OR(T554="",LEFT(T554,1)="⚠"),"파견근거 확인",IF(NOT(AND(ISNUMBER(H554),ISNUMBER(I554))),"날짜 형식/누락",IF(I554&lt;H554,"종료일&lt;시작일","")))))))))</f>
        <v/>
      </c>
      <c r="AB554" s="11">
        <f>IF(ISNUMBER(SEARCH("다기관",TRIM(N554&amp;" "&amp;O554))),IFERROR(DATE(VALUE(MID(TRIM(N554&amp;" "&amp;O554),1,4)),VALUE(MID(TRIM(N554&amp;" "&amp;O554),6,2)),VALUE(MID(TRIM(N554&amp;" "&amp;O554),9,2))),IF(ISNUMBER(H554),H554,"")),"")</f>
        <v/>
      </c>
      <c r="AC554" s="11">
        <f>IF(ISNUMBER(SEARCH("다기관",TRIM(N554&amp;" "&amp;O554))),IFERROR(DATE(VALUE(MID(TRIM(N554&amp;" "&amp;O554),12,4)),VALUE(MID(TRIM(N554&amp;" "&amp;O554),17,2)),VALUE(MID(TRIM(N554&amp;" "&amp;O554),20,2))),IF(ISNUMBER(I554),I554,"")),"")</f>
        <v/>
      </c>
      <c r="AD554" s="17">
        <f>IF(AND(ISNUMBER(AB554),ISNUMBER(AC554)),MAX(0,MIN(AC554,EOMONTH(출력_요약!$B$3,0))-MAX(AB554,출력_요약!$B$3)+1),0)</f>
        <v/>
      </c>
      <c r="AE554" s="10">
        <f>IF(AND(Q554&lt;&gt;"",ISNUMBER(AB554)),Q554&amp;"|다기관","")</f>
        <v/>
      </c>
    </row>
    <row r="555">
      <c r="A555" s="15">
        <f>IF(F555="","",ROW()-3)</f>
        <v/>
      </c>
      <c r="B555" s="5" t="n"/>
      <c r="C555" s="15" t="n"/>
      <c r="D555" s="5" t="n"/>
      <c r="E555" s="15" t="n"/>
      <c r="F555" s="5" t="n"/>
      <c r="G555" s="6" t="n"/>
      <c r="H555" s="16" t="n"/>
      <c r="I555" s="16" t="n"/>
      <c r="J555" s="15">
        <f>IF(AND(ISNUMBER(H555),ISNUMBER(I555)),I555-H555+1,"")</f>
        <v/>
      </c>
      <c r="K555" s="5" t="n"/>
      <c r="L555" s="5" t="n"/>
      <c r="M555" s="5" t="n"/>
      <c r="N555" s="5" t="n"/>
      <c r="O555" s="5" t="n"/>
      <c r="Q555" s="10">
        <f>IF(TRIM(G555&amp;"")="","",TRIM(G555&amp;""))</f>
        <v/>
      </c>
      <c r="R555" s="10">
        <f>IF(TRIM(B555&amp;"")="","",IFERROR(INDEX(설정_코드표!$K$2:$K$101,MATCH(TRIM(B555&amp;""),설정_코드표!$J$2:$J$101,0)),"⚠"&amp;TRIM(B555&amp;"")))</f>
        <v/>
      </c>
      <c r="S555" s="10">
        <f>IF(TRIM(K555&amp;"")="","",IFERROR(INDEX(설정_코드표!$K$2:$K$101,MATCH(TRIM(K555&amp;""),설정_코드표!$J$2:$J$101,0)),"⚠"&amp;TRIM(K555&amp;"")))</f>
        <v/>
      </c>
      <c r="T555" s="10">
        <f>IF(TRIM(M555&amp;"")="","",IF(ISNUMBER(MATCH(TRIM(M555&amp;""),설정_코드표!$C$2:$C$11,0)),TRIM(M555&amp;""),"⚠"&amp;TRIM(M555&amp;"")))</f>
        <v/>
      </c>
      <c r="U555" s="10">
        <f>IF(TRIM(L555&amp;"")="","",IFERROR(INDEX(설정_코드표!$G$2:$G$101,MATCH(TRIM(L555&amp;""),설정_코드표!$F$2:$F$101,0)),"⚠"&amp;TRIM(L555&amp;"")))</f>
        <v/>
      </c>
      <c r="V555" s="10">
        <f>IF(AND(ISNUMBER(H555),ISNUMBER(I555)),I555-H555+1,"")</f>
        <v/>
      </c>
      <c r="W555" s="17">
        <f>IF(ISNUMBER(H555),MAX(0,MIN(IF(ISNUMBER(I555),I555,EOMONTH(출력_요약!$B$3,0)),EOMONTH(출력_요약!$B$3,0))-MAX(H555,출력_요약!$B$3)+1),0)</f>
        <v/>
      </c>
      <c r="X555" s="10">
        <f>IF(OR(NOT(ISNUMBER(H555)),Q555=""),"",IF(TODAY()&lt;H555,"파견예정",IF(AND(ISNUMBER(I555),TODAY()&gt;I555),"파견종료","파견중")))</f>
        <v/>
      </c>
      <c r="Y555" s="10">
        <f>IF(OR(Q555="",X555=""),"",Q555&amp;"|"&amp;X555)</f>
        <v/>
      </c>
      <c r="Z555" s="10">
        <f>IF(AND(Q555&lt;&gt;"",W555&gt;0),Q555&amp;"|월","")</f>
        <v/>
      </c>
      <c r="AA555" s="10">
        <f>IF(COUNTA(B555:I555,K555:N555)=0,"",IF(Q555="","등록번호 없음",IF(LEFT(R555,1)="⚠","모병원명 미등록",IF(S555="","파견병원 입력",IF(LEFT(S555,1)="⚠","파견병원명 미등록",IF(LEFT(U555,1)="⚠","파견과목 미등록",IF(OR(T555="",LEFT(T555,1)="⚠"),"파견근거 확인",IF(NOT(AND(ISNUMBER(H555),ISNUMBER(I555))),"날짜 형식/누락",IF(I555&lt;H555,"종료일&lt;시작일","")))))))))</f>
        <v/>
      </c>
      <c r="AB555" s="11">
        <f>IF(ISNUMBER(SEARCH("다기관",TRIM(N555&amp;" "&amp;O555))),IFERROR(DATE(VALUE(MID(TRIM(N555&amp;" "&amp;O555),1,4)),VALUE(MID(TRIM(N555&amp;" "&amp;O555),6,2)),VALUE(MID(TRIM(N555&amp;" "&amp;O555),9,2))),IF(ISNUMBER(H555),H555,"")),"")</f>
        <v/>
      </c>
      <c r="AC555" s="11">
        <f>IF(ISNUMBER(SEARCH("다기관",TRIM(N555&amp;" "&amp;O555))),IFERROR(DATE(VALUE(MID(TRIM(N555&amp;" "&amp;O555),12,4)),VALUE(MID(TRIM(N555&amp;" "&amp;O555),17,2)),VALUE(MID(TRIM(N555&amp;" "&amp;O555),20,2))),IF(ISNUMBER(I555),I555,"")),"")</f>
        <v/>
      </c>
      <c r="AD555" s="17">
        <f>IF(AND(ISNUMBER(AB555),ISNUMBER(AC555)),MAX(0,MIN(AC555,EOMONTH(출력_요약!$B$3,0))-MAX(AB555,출력_요약!$B$3)+1),0)</f>
        <v/>
      </c>
      <c r="AE555" s="10">
        <f>IF(AND(Q555&lt;&gt;"",ISNUMBER(AB555)),Q555&amp;"|다기관","")</f>
        <v/>
      </c>
    </row>
    <row r="556">
      <c r="A556" s="15">
        <f>IF(F556="","",ROW()-3)</f>
        <v/>
      </c>
      <c r="B556" s="5" t="n"/>
      <c r="C556" s="15" t="n"/>
      <c r="D556" s="5" t="n"/>
      <c r="E556" s="15" t="n"/>
      <c r="F556" s="5" t="n"/>
      <c r="G556" s="6" t="n"/>
      <c r="H556" s="16" t="n"/>
      <c r="I556" s="16" t="n"/>
      <c r="J556" s="15">
        <f>IF(AND(ISNUMBER(H556),ISNUMBER(I556)),I556-H556+1,"")</f>
        <v/>
      </c>
      <c r="K556" s="5" t="n"/>
      <c r="L556" s="5" t="n"/>
      <c r="M556" s="5" t="n"/>
      <c r="N556" s="5" t="n"/>
      <c r="O556" s="5" t="n"/>
      <c r="Q556" s="10">
        <f>IF(TRIM(G556&amp;"")="","",TRIM(G556&amp;""))</f>
        <v/>
      </c>
      <c r="R556" s="10">
        <f>IF(TRIM(B556&amp;"")="","",IFERROR(INDEX(설정_코드표!$K$2:$K$101,MATCH(TRIM(B556&amp;""),설정_코드표!$J$2:$J$101,0)),"⚠"&amp;TRIM(B556&amp;"")))</f>
        <v/>
      </c>
      <c r="S556" s="10">
        <f>IF(TRIM(K556&amp;"")="","",IFERROR(INDEX(설정_코드표!$K$2:$K$101,MATCH(TRIM(K556&amp;""),설정_코드표!$J$2:$J$101,0)),"⚠"&amp;TRIM(K556&amp;"")))</f>
        <v/>
      </c>
      <c r="T556" s="10">
        <f>IF(TRIM(M556&amp;"")="","",IF(ISNUMBER(MATCH(TRIM(M556&amp;""),설정_코드표!$C$2:$C$11,0)),TRIM(M556&amp;""),"⚠"&amp;TRIM(M556&amp;"")))</f>
        <v/>
      </c>
      <c r="U556" s="10">
        <f>IF(TRIM(L556&amp;"")="","",IFERROR(INDEX(설정_코드표!$G$2:$G$101,MATCH(TRIM(L556&amp;""),설정_코드표!$F$2:$F$101,0)),"⚠"&amp;TRIM(L556&amp;"")))</f>
        <v/>
      </c>
      <c r="V556" s="10">
        <f>IF(AND(ISNUMBER(H556),ISNUMBER(I556)),I556-H556+1,"")</f>
        <v/>
      </c>
      <c r="W556" s="17">
        <f>IF(ISNUMBER(H556),MAX(0,MIN(IF(ISNUMBER(I556),I556,EOMONTH(출력_요약!$B$3,0)),EOMONTH(출력_요약!$B$3,0))-MAX(H556,출력_요약!$B$3)+1),0)</f>
        <v/>
      </c>
      <c r="X556" s="10">
        <f>IF(OR(NOT(ISNUMBER(H556)),Q556=""),"",IF(TODAY()&lt;H556,"파견예정",IF(AND(ISNUMBER(I556),TODAY()&gt;I556),"파견종료","파견중")))</f>
        <v/>
      </c>
      <c r="Y556" s="10">
        <f>IF(OR(Q556="",X556=""),"",Q556&amp;"|"&amp;X556)</f>
        <v/>
      </c>
      <c r="Z556" s="10">
        <f>IF(AND(Q556&lt;&gt;"",W556&gt;0),Q556&amp;"|월","")</f>
        <v/>
      </c>
      <c r="AA556" s="10">
        <f>IF(COUNTA(B556:I556,K556:N556)=0,"",IF(Q556="","등록번호 없음",IF(LEFT(R556,1)="⚠","모병원명 미등록",IF(S556="","파견병원 입력",IF(LEFT(S556,1)="⚠","파견병원명 미등록",IF(LEFT(U556,1)="⚠","파견과목 미등록",IF(OR(T556="",LEFT(T556,1)="⚠"),"파견근거 확인",IF(NOT(AND(ISNUMBER(H556),ISNUMBER(I556))),"날짜 형식/누락",IF(I556&lt;H556,"종료일&lt;시작일","")))))))))</f>
        <v/>
      </c>
      <c r="AB556" s="11">
        <f>IF(ISNUMBER(SEARCH("다기관",TRIM(N556&amp;" "&amp;O556))),IFERROR(DATE(VALUE(MID(TRIM(N556&amp;" "&amp;O556),1,4)),VALUE(MID(TRIM(N556&amp;" "&amp;O556),6,2)),VALUE(MID(TRIM(N556&amp;" "&amp;O556),9,2))),IF(ISNUMBER(H556),H556,"")),"")</f>
        <v/>
      </c>
      <c r="AC556" s="11">
        <f>IF(ISNUMBER(SEARCH("다기관",TRIM(N556&amp;" "&amp;O556))),IFERROR(DATE(VALUE(MID(TRIM(N556&amp;" "&amp;O556),12,4)),VALUE(MID(TRIM(N556&amp;" "&amp;O556),17,2)),VALUE(MID(TRIM(N556&amp;" "&amp;O556),20,2))),IF(ISNUMBER(I556),I556,"")),"")</f>
        <v/>
      </c>
      <c r="AD556" s="17">
        <f>IF(AND(ISNUMBER(AB556),ISNUMBER(AC556)),MAX(0,MIN(AC556,EOMONTH(출력_요약!$B$3,0))-MAX(AB556,출력_요약!$B$3)+1),0)</f>
        <v/>
      </c>
      <c r="AE556" s="10">
        <f>IF(AND(Q556&lt;&gt;"",ISNUMBER(AB556)),Q556&amp;"|다기관","")</f>
        <v/>
      </c>
    </row>
    <row r="557">
      <c r="A557" s="15">
        <f>IF(F557="","",ROW()-3)</f>
        <v/>
      </c>
      <c r="B557" s="5" t="n"/>
      <c r="C557" s="15" t="n"/>
      <c r="D557" s="5" t="n"/>
      <c r="E557" s="15" t="n"/>
      <c r="F557" s="5" t="n"/>
      <c r="G557" s="6" t="n"/>
      <c r="H557" s="16" t="n"/>
      <c r="I557" s="16" t="n"/>
      <c r="J557" s="15">
        <f>IF(AND(ISNUMBER(H557),ISNUMBER(I557)),I557-H557+1,"")</f>
        <v/>
      </c>
      <c r="K557" s="5" t="n"/>
      <c r="L557" s="5" t="n"/>
      <c r="M557" s="5" t="n"/>
      <c r="N557" s="5" t="n"/>
      <c r="O557" s="5" t="n"/>
      <c r="Q557" s="10">
        <f>IF(TRIM(G557&amp;"")="","",TRIM(G557&amp;""))</f>
        <v/>
      </c>
      <c r="R557" s="10">
        <f>IF(TRIM(B557&amp;"")="","",IFERROR(INDEX(설정_코드표!$K$2:$K$101,MATCH(TRIM(B557&amp;""),설정_코드표!$J$2:$J$101,0)),"⚠"&amp;TRIM(B557&amp;"")))</f>
        <v/>
      </c>
      <c r="S557" s="10">
        <f>IF(TRIM(K557&amp;"")="","",IFERROR(INDEX(설정_코드표!$K$2:$K$101,MATCH(TRIM(K557&amp;""),설정_코드표!$J$2:$J$101,0)),"⚠"&amp;TRIM(K557&amp;"")))</f>
        <v/>
      </c>
      <c r="T557" s="10">
        <f>IF(TRIM(M557&amp;"")="","",IF(ISNUMBER(MATCH(TRIM(M557&amp;""),설정_코드표!$C$2:$C$11,0)),TRIM(M557&amp;""),"⚠"&amp;TRIM(M557&amp;"")))</f>
        <v/>
      </c>
      <c r="U557" s="10">
        <f>IF(TRIM(L557&amp;"")="","",IFERROR(INDEX(설정_코드표!$G$2:$G$101,MATCH(TRIM(L557&amp;""),설정_코드표!$F$2:$F$101,0)),"⚠"&amp;TRIM(L557&amp;"")))</f>
        <v/>
      </c>
      <c r="V557" s="10">
        <f>IF(AND(ISNUMBER(H557),ISNUMBER(I557)),I557-H557+1,"")</f>
        <v/>
      </c>
      <c r="W557" s="17">
        <f>IF(ISNUMBER(H557),MAX(0,MIN(IF(ISNUMBER(I557),I557,EOMONTH(출력_요약!$B$3,0)),EOMONTH(출력_요약!$B$3,0))-MAX(H557,출력_요약!$B$3)+1),0)</f>
        <v/>
      </c>
      <c r="X557" s="10">
        <f>IF(OR(NOT(ISNUMBER(H557)),Q557=""),"",IF(TODAY()&lt;H557,"파견예정",IF(AND(ISNUMBER(I557),TODAY()&gt;I557),"파견종료","파견중")))</f>
        <v/>
      </c>
      <c r="Y557" s="10">
        <f>IF(OR(Q557="",X557=""),"",Q557&amp;"|"&amp;X557)</f>
        <v/>
      </c>
      <c r="Z557" s="10">
        <f>IF(AND(Q557&lt;&gt;"",W557&gt;0),Q557&amp;"|월","")</f>
        <v/>
      </c>
      <c r="AA557" s="10">
        <f>IF(COUNTA(B557:I557,K557:N557)=0,"",IF(Q557="","등록번호 없음",IF(LEFT(R557,1)="⚠","모병원명 미등록",IF(S557="","파견병원 입력",IF(LEFT(S557,1)="⚠","파견병원명 미등록",IF(LEFT(U557,1)="⚠","파견과목 미등록",IF(OR(T557="",LEFT(T557,1)="⚠"),"파견근거 확인",IF(NOT(AND(ISNUMBER(H557),ISNUMBER(I557))),"날짜 형식/누락",IF(I557&lt;H557,"종료일&lt;시작일","")))))))))</f>
        <v/>
      </c>
      <c r="AB557" s="11">
        <f>IF(ISNUMBER(SEARCH("다기관",TRIM(N557&amp;" "&amp;O557))),IFERROR(DATE(VALUE(MID(TRIM(N557&amp;" "&amp;O557),1,4)),VALUE(MID(TRIM(N557&amp;" "&amp;O557),6,2)),VALUE(MID(TRIM(N557&amp;" "&amp;O557),9,2))),IF(ISNUMBER(H557),H557,"")),"")</f>
        <v/>
      </c>
      <c r="AC557" s="11">
        <f>IF(ISNUMBER(SEARCH("다기관",TRIM(N557&amp;" "&amp;O557))),IFERROR(DATE(VALUE(MID(TRIM(N557&amp;" "&amp;O557),12,4)),VALUE(MID(TRIM(N557&amp;" "&amp;O557),17,2)),VALUE(MID(TRIM(N557&amp;" "&amp;O557),20,2))),IF(ISNUMBER(I557),I557,"")),"")</f>
        <v/>
      </c>
      <c r="AD557" s="17">
        <f>IF(AND(ISNUMBER(AB557),ISNUMBER(AC557)),MAX(0,MIN(AC557,EOMONTH(출력_요약!$B$3,0))-MAX(AB557,출력_요약!$B$3)+1),0)</f>
        <v/>
      </c>
      <c r="AE557" s="10">
        <f>IF(AND(Q557&lt;&gt;"",ISNUMBER(AB557)),Q557&amp;"|다기관","")</f>
        <v/>
      </c>
    </row>
    <row r="558">
      <c r="A558" s="15">
        <f>IF(F558="","",ROW()-3)</f>
        <v/>
      </c>
      <c r="B558" s="5" t="n"/>
      <c r="C558" s="15" t="n"/>
      <c r="D558" s="5" t="n"/>
      <c r="E558" s="15" t="n"/>
      <c r="F558" s="5" t="n"/>
      <c r="G558" s="6" t="n"/>
      <c r="H558" s="16" t="n"/>
      <c r="I558" s="16" t="n"/>
      <c r="J558" s="15">
        <f>IF(AND(ISNUMBER(H558),ISNUMBER(I558)),I558-H558+1,"")</f>
        <v/>
      </c>
      <c r="K558" s="5" t="n"/>
      <c r="L558" s="5" t="n"/>
      <c r="M558" s="5" t="n"/>
      <c r="N558" s="5" t="n"/>
      <c r="O558" s="5" t="n"/>
      <c r="Q558" s="10">
        <f>IF(TRIM(G558&amp;"")="","",TRIM(G558&amp;""))</f>
        <v/>
      </c>
      <c r="R558" s="10">
        <f>IF(TRIM(B558&amp;"")="","",IFERROR(INDEX(설정_코드표!$K$2:$K$101,MATCH(TRIM(B558&amp;""),설정_코드표!$J$2:$J$101,0)),"⚠"&amp;TRIM(B558&amp;"")))</f>
        <v/>
      </c>
      <c r="S558" s="10">
        <f>IF(TRIM(K558&amp;"")="","",IFERROR(INDEX(설정_코드표!$K$2:$K$101,MATCH(TRIM(K558&amp;""),설정_코드표!$J$2:$J$101,0)),"⚠"&amp;TRIM(K558&amp;"")))</f>
        <v/>
      </c>
      <c r="T558" s="10">
        <f>IF(TRIM(M558&amp;"")="","",IF(ISNUMBER(MATCH(TRIM(M558&amp;""),설정_코드표!$C$2:$C$11,0)),TRIM(M558&amp;""),"⚠"&amp;TRIM(M558&amp;"")))</f>
        <v/>
      </c>
      <c r="U558" s="10">
        <f>IF(TRIM(L558&amp;"")="","",IFERROR(INDEX(설정_코드표!$G$2:$G$101,MATCH(TRIM(L558&amp;""),설정_코드표!$F$2:$F$101,0)),"⚠"&amp;TRIM(L558&amp;"")))</f>
        <v/>
      </c>
      <c r="V558" s="10">
        <f>IF(AND(ISNUMBER(H558),ISNUMBER(I558)),I558-H558+1,"")</f>
        <v/>
      </c>
      <c r="W558" s="17">
        <f>IF(ISNUMBER(H558),MAX(0,MIN(IF(ISNUMBER(I558),I558,EOMONTH(출력_요약!$B$3,0)),EOMONTH(출력_요약!$B$3,0))-MAX(H558,출력_요약!$B$3)+1),0)</f>
        <v/>
      </c>
      <c r="X558" s="10">
        <f>IF(OR(NOT(ISNUMBER(H558)),Q558=""),"",IF(TODAY()&lt;H558,"파견예정",IF(AND(ISNUMBER(I558),TODAY()&gt;I558),"파견종료","파견중")))</f>
        <v/>
      </c>
      <c r="Y558" s="10">
        <f>IF(OR(Q558="",X558=""),"",Q558&amp;"|"&amp;X558)</f>
        <v/>
      </c>
      <c r="Z558" s="10">
        <f>IF(AND(Q558&lt;&gt;"",W558&gt;0),Q558&amp;"|월","")</f>
        <v/>
      </c>
      <c r="AA558" s="10">
        <f>IF(COUNTA(B558:I558,K558:N558)=0,"",IF(Q558="","등록번호 없음",IF(LEFT(R558,1)="⚠","모병원명 미등록",IF(S558="","파견병원 입력",IF(LEFT(S558,1)="⚠","파견병원명 미등록",IF(LEFT(U558,1)="⚠","파견과목 미등록",IF(OR(T558="",LEFT(T558,1)="⚠"),"파견근거 확인",IF(NOT(AND(ISNUMBER(H558),ISNUMBER(I558))),"날짜 형식/누락",IF(I558&lt;H558,"종료일&lt;시작일","")))))))))</f>
        <v/>
      </c>
      <c r="AB558" s="11">
        <f>IF(ISNUMBER(SEARCH("다기관",TRIM(N558&amp;" "&amp;O558))),IFERROR(DATE(VALUE(MID(TRIM(N558&amp;" "&amp;O558),1,4)),VALUE(MID(TRIM(N558&amp;" "&amp;O558),6,2)),VALUE(MID(TRIM(N558&amp;" "&amp;O558),9,2))),IF(ISNUMBER(H558),H558,"")),"")</f>
        <v/>
      </c>
      <c r="AC558" s="11">
        <f>IF(ISNUMBER(SEARCH("다기관",TRIM(N558&amp;" "&amp;O558))),IFERROR(DATE(VALUE(MID(TRIM(N558&amp;" "&amp;O558),12,4)),VALUE(MID(TRIM(N558&amp;" "&amp;O558),17,2)),VALUE(MID(TRIM(N558&amp;" "&amp;O558),20,2))),IF(ISNUMBER(I558),I558,"")),"")</f>
        <v/>
      </c>
      <c r="AD558" s="17">
        <f>IF(AND(ISNUMBER(AB558),ISNUMBER(AC558)),MAX(0,MIN(AC558,EOMONTH(출력_요약!$B$3,0))-MAX(AB558,출력_요약!$B$3)+1),0)</f>
        <v/>
      </c>
      <c r="AE558" s="10">
        <f>IF(AND(Q558&lt;&gt;"",ISNUMBER(AB558)),Q558&amp;"|다기관","")</f>
        <v/>
      </c>
    </row>
    <row r="559">
      <c r="A559" s="15">
        <f>IF(F559="","",ROW()-3)</f>
        <v/>
      </c>
      <c r="B559" s="5" t="n"/>
      <c r="C559" s="15" t="n"/>
      <c r="D559" s="5" t="n"/>
      <c r="E559" s="15" t="n"/>
      <c r="F559" s="5" t="n"/>
      <c r="G559" s="6" t="n"/>
      <c r="H559" s="16" t="n"/>
      <c r="I559" s="16" t="n"/>
      <c r="J559" s="15">
        <f>IF(AND(ISNUMBER(H559),ISNUMBER(I559)),I559-H559+1,"")</f>
        <v/>
      </c>
      <c r="K559" s="5" t="n"/>
      <c r="L559" s="5" t="n"/>
      <c r="M559" s="5" t="n"/>
      <c r="N559" s="5" t="n"/>
      <c r="O559" s="5" t="n"/>
      <c r="Q559" s="10">
        <f>IF(TRIM(G559&amp;"")="","",TRIM(G559&amp;""))</f>
        <v/>
      </c>
      <c r="R559" s="10">
        <f>IF(TRIM(B559&amp;"")="","",IFERROR(INDEX(설정_코드표!$K$2:$K$101,MATCH(TRIM(B559&amp;""),설정_코드표!$J$2:$J$101,0)),"⚠"&amp;TRIM(B559&amp;"")))</f>
        <v/>
      </c>
      <c r="S559" s="10">
        <f>IF(TRIM(K559&amp;"")="","",IFERROR(INDEX(설정_코드표!$K$2:$K$101,MATCH(TRIM(K559&amp;""),설정_코드표!$J$2:$J$101,0)),"⚠"&amp;TRIM(K559&amp;"")))</f>
        <v/>
      </c>
      <c r="T559" s="10">
        <f>IF(TRIM(M559&amp;"")="","",IF(ISNUMBER(MATCH(TRIM(M559&amp;""),설정_코드표!$C$2:$C$11,0)),TRIM(M559&amp;""),"⚠"&amp;TRIM(M559&amp;"")))</f>
        <v/>
      </c>
      <c r="U559" s="10">
        <f>IF(TRIM(L559&amp;"")="","",IFERROR(INDEX(설정_코드표!$G$2:$G$101,MATCH(TRIM(L559&amp;""),설정_코드표!$F$2:$F$101,0)),"⚠"&amp;TRIM(L559&amp;"")))</f>
        <v/>
      </c>
      <c r="V559" s="10">
        <f>IF(AND(ISNUMBER(H559),ISNUMBER(I559)),I559-H559+1,"")</f>
        <v/>
      </c>
      <c r="W559" s="17">
        <f>IF(ISNUMBER(H559),MAX(0,MIN(IF(ISNUMBER(I559),I559,EOMONTH(출력_요약!$B$3,0)),EOMONTH(출력_요약!$B$3,0))-MAX(H559,출력_요약!$B$3)+1),0)</f>
        <v/>
      </c>
      <c r="X559" s="10">
        <f>IF(OR(NOT(ISNUMBER(H559)),Q559=""),"",IF(TODAY()&lt;H559,"파견예정",IF(AND(ISNUMBER(I559),TODAY()&gt;I559),"파견종료","파견중")))</f>
        <v/>
      </c>
      <c r="Y559" s="10">
        <f>IF(OR(Q559="",X559=""),"",Q559&amp;"|"&amp;X559)</f>
        <v/>
      </c>
      <c r="Z559" s="10">
        <f>IF(AND(Q559&lt;&gt;"",W559&gt;0),Q559&amp;"|월","")</f>
        <v/>
      </c>
      <c r="AA559" s="10">
        <f>IF(COUNTA(B559:I559,K559:N559)=0,"",IF(Q559="","등록번호 없음",IF(LEFT(R559,1)="⚠","모병원명 미등록",IF(S559="","파견병원 입력",IF(LEFT(S559,1)="⚠","파견병원명 미등록",IF(LEFT(U559,1)="⚠","파견과목 미등록",IF(OR(T559="",LEFT(T559,1)="⚠"),"파견근거 확인",IF(NOT(AND(ISNUMBER(H559),ISNUMBER(I559))),"날짜 형식/누락",IF(I559&lt;H559,"종료일&lt;시작일","")))))))))</f>
        <v/>
      </c>
      <c r="AB559" s="11">
        <f>IF(ISNUMBER(SEARCH("다기관",TRIM(N559&amp;" "&amp;O559))),IFERROR(DATE(VALUE(MID(TRIM(N559&amp;" "&amp;O559),1,4)),VALUE(MID(TRIM(N559&amp;" "&amp;O559),6,2)),VALUE(MID(TRIM(N559&amp;" "&amp;O559),9,2))),IF(ISNUMBER(H559),H559,"")),"")</f>
        <v/>
      </c>
      <c r="AC559" s="11">
        <f>IF(ISNUMBER(SEARCH("다기관",TRIM(N559&amp;" "&amp;O559))),IFERROR(DATE(VALUE(MID(TRIM(N559&amp;" "&amp;O559),12,4)),VALUE(MID(TRIM(N559&amp;" "&amp;O559),17,2)),VALUE(MID(TRIM(N559&amp;" "&amp;O559),20,2))),IF(ISNUMBER(I559),I559,"")),"")</f>
        <v/>
      </c>
      <c r="AD559" s="17">
        <f>IF(AND(ISNUMBER(AB559),ISNUMBER(AC559)),MAX(0,MIN(AC559,EOMONTH(출력_요약!$B$3,0))-MAX(AB559,출력_요약!$B$3)+1),0)</f>
        <v/>
      </c>
      <c r="AE559" s="10">
        <f>IF(AND(Q559&lt;&gt;"",ISNUMBER(AB559)),Q559&amp;"|다기관","")</f>
        <v/>
      </c>
    </row>
    <row r="560">
      <c r="A560" s="15">
        <f>IF(F560="","",ROW()-3)</f>
        <v/>
      </c>
      <c r="B560" s="5" t="n"/>
      <c r="C560" s="15" t="n"/>
      <c r="D560" s="5" t="n"/>
      <c r="E560" s="15" t="n"/>
      <c r="F560" s="5" t="n"/>
      <c r="G560" s="6" t="n"/>
      <c r="H560" s="16" t="n"/>
      <c r="I560" s="16" t="n"/>
      <c r="J560" s="15">
        <f>IF(AND(ISNUMBER(H560),ISNUMBER(I560)),I560-H560+1,"")</f>
        <v/>
      </c>
      <c r="K560" s="5" t="n"/>
      <c r="L560" s="5" t="n"/>
      <c r="M560" s="5" t="n"/>
      <c r="N560" s="5" t="n"/>
      <c r="O560" s="5" t="n"/>
      <c r="Q560" s="10">
        <f>IF(TRIM(G560&amp;"")="","",TRIM(G560&amp;""))</f>
        <v/>
      </c>
      <c r="R560" s="10">
        <f>IF(TRIM(B560&amp;"")="","",IFERROR(INDEX(설정_코드표!$K$2:$K$101,MATCH(TRIM(B560&amp;""),설정_코드표!$J$2:$J$101,0)),"⚠"&amp;TRIM(B560&amp;"")))</f>
        <v/>
      </c>
      <c r="S560" s="10">
        <f>IF(TRIM(K560&amp;"")="","",IFERROR(INDEX(설정_코드표!$K$2:$K$101,MATCH(TRIM(K560&amp;""),설정_코드표!$J$2:$J$101,0)),"⚠"&amp;TRIM(K560&amp;"")))</f>
        <v/>
      </c>
      <c r="T560" s="10">
        <f>IF(TRIM(M560&amp;"")="","",IF(ISNUMBER(MATCH(TRIM(M560&amp;""),설정_코드표!$C$2:$C$11,0)),TRIM(M560&amp;""),"⚠"&amp;TRIM(M560&amp;"")))</f>
        <v/>
      </c>
      <c r="U560" s="10">
        <f>IF(TRIM(L560&amp;"")="","",IFERROR(INDEX(설정_코드표!$G$2:$G$101,MATCH(TRIM(L560&amp;""),설정_코드표!$F$2:$F$101,0)),"⚠"&amp;TRIM(L560&amp;"")))</f>
        <v/>
      </c>
      <c r="V560" s="10">
        <f>IF(AND(ISNUMBER(H560),ISNUMBER(I560)),I560-H560+1,"")</f>
        <v/>
      </c>
      <c r="W560" s="17">
        <f>IF(ISNUMBER(H560),MAX(0,MIN(IF(ISNUMBER(I560),I560,EOMONTH(출력_요약!$B$3,0)),EOMONTH(출력_요약!$B$3,0))-MAX(H560,출력_요약!$B$3)+1),0)</f>
        <v/>
      </c>
      <c r="X560" s="10">
        <f>IF(OR(NOT(ISNUMBER(H560)),Q560=""),"",IF(TODAY()&lt;H560,"파견예정",IF(AND(ISNUMBER(I560),TODAY()&gt;I560),"파견종료","파견중")))</f>
        <v/>
      </c>
      <c r="Y560" s="10">
        <f>IF(OR(Q560="",X560=""),"",Q560&amp;"|"&amp;X560)</f>
        <v/>
      </c>
      <c r="Z560" s="10">
        <f>IF(AND(Q560&lt;&gt;"",W560&gt;0),Q560&amp;"|월","")</f>
        <v/>
      </c>
      <c r="AA560" s="10">
        <f>IF(COUNTA(B560:I560,K560:N560)=0,"",IF(Q560="","등록번호 없음",IF(LEFT(R560,1)="⚠","모병원명 미등록",IF(S560="","파견병원 입력",IF(LEFT(S560,1)="⚠","파견병원명 미등록",IF(LEFT(U560,1)="⚠","파견과목 미등록",IF(OR(T560="",LEFT(T560,1)="⚠"),"파견근거 확인",IF(NOT(AND(ISNUMBER(H560),ISNUMBER(I560))),"날짜 형식/누락",IF(I560&lt;H560,"종료일&lt;시작일","")))))))))</f>
        <v/>
      </c>
      <c r="AB560" s="11">
        <f>IF(ISNUMBER(SEARCH("다기관",TRIM(N560&amp;" "&amp;O560))),IFERROR(DATE(VALUE(MID(TRIM(N560&amp;" "&amp;O560),1,4)),VALUE(MID(TRIM(N560&amp;" "&amp;O560),6,2)),VALUE(MID(TRIM(N560&amp;" "&amp;O560),9,2))),IF(ISNUMBER(H560),H560,"")),"")</f>
        <v/>
      </c>
      <c r="AC560" s="11">
        <f>IF(ISNUMBER(SEARCH("다기관",TRIM(N560&amp;" "&amp;O560))),IFERROR(DATE(VALUE(MID(TRIM(N560&amp;" "&amp;O560),12,4)),VALUE(MID(TRIM(N560&amp;" "&amp;O560),17,2)),VALUE(MID(TRIM(N560&amp;" "&amp;O560),20,2))),IF(ISNUMBER(I560),I560,"")),"")</f>
        <v/>
      </c>
      <c r="AD560" s="17">
        <f>IF(AND(ISNUMBER(AB560),ISNUMBER(AC560)),MAX(0,MIN(AC560,EOMONTH(출력_요약!$B$3,0))-MAX(AB560,출력_요약!$B$3)+1),0)</f>
        <v/>
      </c>
      <c r="AE560" s="10">
        <f>IF(AND(Q560&lt;&gt;"",ISNUMBER(AB560)),Q560&amp;"|다기관","")</f>
        <v/>
      </c>
    </row>
    <row r="561">
      <c r="A561" s="15">
        <f>IF(F561="","",ROW()-3)</f>
        <v/>
      </c>
      <c r="B561" s="5" t="n"/>
      <c r="C561" s="15" t="n"/>
      <c r="D561" s="5" t="n"/>
      <c r="E561" s="15" t="n"/>
      <c r="F561" s="5" t="n"/>
      <c r="G561" s="6" t="n"/>
      <c r="H561" s="16" t="n"/>
      <c r="I561" s="16" t="n"/>
      <c r="J561" s="15">
        <f>IF(AND(ISNUMBER(H561),ISNUMBER(I561)),I561-H561+1,"")</f>
        <v/>
      </c>
      <c r="K561" s="5" t="n"/>
      <c r="L561" s="5" t="n"/>
      <c r="M561" s="5" t="n"/>
      <c r="N561" s="5" t="n"/>
      <c r="O561" s="5" t="n"/>
      <c r="Q561" s="10">
        <f>IF(TRIM(G561&amp;"")="","",TRIM(G561&amp;""))</f>
        <v/>
      </c>
      <c r="R561" s="10">
        <f>IF(TRIM(B561&amp;"")="","",IFERROR(INDEX(설정_코드표!$K$2:$K$101,MATCH(TRIM(B561&amp;""),설정_코드표!$J$2:$J$101,0)),"⚠"&amp;TRIM(B561&amp;"")))</f>
        <v/>
      </c>
      <c r="S561" s="10">
        <f>IF(TRIM(K561&amp;"")="","",IFERROR(INDEX(설정_코드표!$K$2:$K$101,MATCH(TRIM(K561&amp;""),설정_코드표!$J$2:$J$101,0)),"⚠"&amp;TRIM(K561&amp;"")))</f>
        <v/>
      </c>
      <c r="T561" s="10">
        <f>IF(TRIM(M561&amp;"")="","",IF(ISNUMBER(MATCH(TRIM(M561&amp;""),설정_코드표!$C$2:$C$11,0)),TRIM(M561&amp;""),"⚠"&amp;TRIM(M561&amp;"")))</f>
        <v/>
      </c>
      <c r="U561" s="10">
        <f>IF(TRIM(L561&amp;"")="","",IFERROR(INDEX(설정_코드표!$G$2:$G$101,MATCH(TRIM(L561&amp;""),설정_코드표!$F$2:$F$101,0)),"⚠"&amp;TRIM(L561&amp;"")))</f>
        <v/>
      </c>
      <c r="V561" s="10">
        <f>IF(AND(ISNUMBER(H561),ISNUMBER(I561)),I561-H561+1,"")</f>
        <v/>
      </c>
      <c r="W561" s="17">
        <f>IF(ISNUMBER(H561),MAX(0,MIN(IF(ISNUMBER(I561),I561,EOMONTH(출력_요약!$B$3,0)),EOMONTH(출력_요약!$B$3,0))-MAX(H561,출력_요약!$B$3)+1),0)</f>
        <v/>
      </c>
      <c r="X561" s="10">
        <f>IF(OR(NOT(ISNUMBER(H561)),Q561=""),"",IF(TODAY()&lt;H561,"파견예정",IF(AND(ISNUMBER(I561),TODAY()&gt;I561),"파견종료","파견중")))</f>
        <v/>
      </c>
      <c r="Y561" s="10">
        <f>IF(OR(Q561="",X561=""),"",Q561&amp;"|"&amp;X561)</f>
        <v/>
      </c>
      <c r="Z561" s="10">
        <f>IF(AND(Q561&lt;&gt;"",W561&gt;0),Q561&amp;"|월","")</f>
        <v/>
      </c>
      <c r="AA561" s="10">
        <f>IF(COUNTA(B561:I561,K561:N561)=0,"",IF(Q561="","등록번호 없음",IF(LEFT(R561,1)="⚠","모병원명 미등록",IF(S561="","파견병원 입력",IF(LEFT(S561,1)="⚠","파견병원명 미등록",IF(LEFT(U561,1)="⚠","파견과목 미등록",IF(OR(T561="",LEFT(T561,1)="⚠"),"파견근거 확인",IF(NOT(AND(ISNUMBER(H561),ISNUMBER(I561))),"날짜 형식/누락",IF(I561&lt;H561,"종료일&lt;시작일","")))))))))</f>
        <v/>
      </c>
      <c r="AB561" s="11">
        <f>IF(ISNUMBER(SEARCH("다기관",TRIM(N561&amp;" "&amp;O561))),IFERROR(DATE(VALUE(MID(TRIM(N561&amp;" "&amp;O561),1,4)),VALUE(MID(TRIM(N561&amp;" "&amp;O561),6,2)),VALUE(MID(TRIM(N561&amp;" "&amp;O561),9,2))),IF(ISNUMBER(H561),H561,"")),"")</f>
        <v/>
      </c>
      <c r="AC561" s="11">
        <f>IF(ISNUMBER(SEARCH("다기관",TRIM(N561&amp;" "&amp;O561))),IFERROR(DATE(VALUE(MID(TRIM(N561&amp;" "&amp;O561),12,4)),VALUE(MID(TRIM(N561&amp;" "&amp;O561),17,2)),VALUE(MID(TRIM(N561&amp;" "&amp;O561),20,2))),IF(ISNUMBER(I561),I561,"")),"")</f>
        <v/>
      </c>
      <c r="AD561" s="17">
        <f>IF(AND(ISNUMBER(AB561),ISNUMBER(AC561)),MAX(0,MIN(AC561,EOMONTH(출력_요약!$B$3,0))-MAX(AB561,출력_요약!$B$3)+1),0)</f>
        <v/>
      </c>
      <c r="AE561" s="10">
        <f>IF(AND(Q561&lt;&gt;"",ISNUMBER(AB561)),Q561&amp;"|다기관","")</f>
        <v/>
      </c>
    </row>
    <row r="562">
      <c r="A562" s="15">
        <f>IF(F562="","",ROW()-3)</f>
        <v/>
      </c>
      <c r="B562" s="5" t="n"/>
      <c r="C562" s="15" t="n"/>
      <c r="D562" s="5" t="n"/>
      <c r="E562" s="15" t="n"/>
      <c r="F562" s="5" t="n"/>
      <c r="G562" s="6" t="n"/>
      <c r="H562" s="16" t="n"/>
      <c r="I562" s="16" t="n"/>
      <c r="J562" s="15">
        <f>IF(AND(ISNUMBER(H562),ISNUMBER(I562)),I562-H562+1,"")</f>
        <v/>
      </c>
      <c r="K562" s="5" t="n"/>
      <c r="L562" s="5" t="n"/>
      <c r="M562" s="5" t="n"/>
      <c r="N562" s="5" t="n"/>
      <c r="O562" s="5" t="n"/>
      <c r="Q562" s="10">
        <f>IF(TRIM(G562&amp;"")="","",TRIM(G562&amp;""))</f>
        <v/>
      </c>
      <c r="R562" s="10">
        <f>IF(TRIM(B562&amp;"")="","",IFERROR(INDEX(설정_코드표!$K$2:$K$101,MATCH(TRIM(B562&amp;""),설정_코드표!$J$2:$J$101,0)),"⚠"&amp;TRIM(B562&amp;"")))</f>
        <v/>
      </c>
      <c r="S562" s="10">
        <f>IF(TRIM(K562&amp;"")="","",IFERROR(INDEX(설정_코드표!$K$2:$K$101,MATCH(TRIM(K562&amp;""),설정_코드표!$J$2:$J$101,0)),"⚠"&amp;TRIM(K562&amp;"")))</f>
        <v/>
      </c>
      <c r="T562" s="10">
        <f>IF(TRIM(M562&amp;"")="","",IF(ISNUMBER(MATCH(TRIM(M562&amp;""),설정_코드표!$C$2:$C$11,0)),TRIM(M562&amp;""),"⚠"&amp;TRIM(M562&amp;"")))</f>
        <v/>
      </c>
      <c r="U562" s="10">
        <f>IF(TRIM(L562&amp;"")="","",IFERROR(INDEX(설정_코드표!$G$2:$G$101,MATCH(TRIM(L562&amp;""),설정_코드표!$F$2:$F$101,0)),"⚠"&amp;TRIM(L562&amp;"")))</f>
        <v/>
      </c>
      <c r="V562" s="10">
        <f>IF(AND(ISNUMBER(H562),ISNUMBER(I562)),I562-H562+1,"")</f>
        <v/>
      </c>
      <c r="W562" s="17">
        <f>IF(ISNUMBER(H562),MAX(0,MIN(IF(ISNUMBER(I562),I562,EOMONTH(출력_요약!$B$3,0)),EOMONTH(출력_요약!$B$3,0))-MAX(H562,출력_요약!$B$3)+1),0)</f>
        <v/>
      </c>
      <c r="X562" s="10">
        <f>IF(OR(NOT(ISNUMBER(H562)),Q562=""),"",IF(TODAY()&lt;H562,"파견예정",IF(AND(ISNUMBER(I562),TODAY()&gt;I562),"파견종료","파견중")))</f>
        <v/>
      </c>
      <c r="Y562" s="10">
        <f>IF(OR(Q562="",X562=""),"",Q562&amp;"|"&amp;X562)</f>
        <v/>
      </c>
      <c r="Z562" s="10">
        <f>IF(AND(Q562&lt;&gt;"",W562&gt;0),Q562&amp;"|월","")</f>
        <v/>
      </c>
      <c r="AA562" s="10">
        <f>IF(COUNTA(B562:I562,K562:N562)=0,"",IF(Q562="","등록번호 없음",IF(LEFT(R562,1)="⚠","모병원명 미등록",IF(S562="","파견병원 입력",IF(LEFT(S562,1)="⚠","파견병원명 미등록",IF(LEFT(U562,1)="⚠","파견과목 미등록",IF(OR(T562="",LEFT(T562,1)="⚠"),"파견근거 확인",IF(NOT(AND(ISNUMBER(H562),ISNUMBER(I562))),"날짜 형식/누락",IF(I562&lt;H562,"종료일&lt;시작일","")))))))))</f>
        <v/>
      </c>
      <c r="AB562" s="11">
        <f>IF(ISNUMBER(SEARCH("다기관",TRIM(N562&amp;" "&amp;O562))),IFERROR(DATE(VALUE(MID(TRIM(N562&amp;" "&amp;O562),1,4)),VALUE(MID(TRIM(N562&amp;" "&amp;O562),6,2)),VALUE(MID(TRIM(N562&amp;" "&amp;O562),9,2))),IF(ISNUMBER(H562),H562,"")),"")</f>
        <v/>
      </c>
      <c r="AC562" s="11">
        <f>IF(ISNUMBER(SEARCH("다기관",TRIM(N562&amp;" "&amp;O562))),IFERROR(DATE(VALUE(MID(TRIM(N562&amp;" "&amp;O562),12,4)),VALUE(MID(TRIM(N562&amp;" "&amp;O562),17,2)),VALUE(MID(TRIM(N562&amp;" "&amp;O562),20,2))),IF(ISNUMBER(I562),I562,"")),"")</f>
        <v/>
      </c>
      <c r="AD562" s="17">
        <f>IF(AND(ISNUMBER(AB562),ISNUMBER(AC562)),MAX(0,MIN(AC562,EOMONTH(출력_요약!$B$3,0))-MAX(AB562,출력_요약!$B$3)+1),0)</f>
        <v/>
      </c>
      <c r="AE562" s="10">
        <f>IF(AND(Q562&lt;&gt;"",ISNUMBER(AB562)),Q562&amp;"|다기관","")</f>
        <v/>
      </c>
    </row>
    <row r="563">
      <c r="A563" s="15">
        <f>IF(F563="","",ROW()-3)</f>
        <v/>
      </c>
      <c r="B563" s="5" t="n"/>
      <c r="C563" s="15" t="n"/>
      <c r="D563" s="5" t="n"/>
      <c r="E563" s="15" t="n"/>
      <c r="F563" s="5" t="n"/>
      <c r="G563" s="6" t="n"/>
      <c r="H563" s="16" t="n"/>
      <c r="I563" s="16" t="n"/>
      <c r="J563" s="15">
        <f>IF(AND(ISNUMBER(H563),ISNUMBER(I563)),I563-H563+1,"")</f>
        <v/>
      </c>
      <c r="K563" s="5" t="n"/>
      <c r="L563" s="5" t="n"/>
      <c r="M563" s="5" t="n"/>
      <c r="N563" s="5" t="n"/>
      <c r="O563" s="5" t="n"/>
      <c r="Q563" s="10">
        <f>IF(TRIM(G563&amp;"")="","",TRIM(G563&amp;""))</f>
        <v/>
      </c>
      <c r="R563" s="10">
        <f>IF(TRIM(B563&amp;"")="","",IFERROR(INDEX(설정_코드표!$K$2:$K$101,MATCH(TRIM(B563&amp;""),설정_코드표!$J$2:$J$101,0)),"⚠"&amp;TRIM(B563&amp;"")))</f>
        <v/>
      </c>
      <c r="S563" s="10">
        <f>IF(TRIM(K563&amp;"")="","",IFERROR(INDEX(설정_코드표!$K$2:$K$101,MATCH(TRIM(K563&amp;""),설정_코드표!$J$2:$J$101,0)),"⚠"&amp;TRIM(K563&amp;"")))</f>
        <v/>
      </c>
      <c r="T563" s="10">
        <f>IF(TRIM(M563&amp;"")="","",IF(ISNUMBER(MATCH(TRIM(M563&amp;""),설정_코드표!$C$2:$C$11,0)),TRIM(M563&amp;""),"⚠"&amp;TRIM(M563&amp;"")))</f>
        <v/>
      </c>
      <c r="U563" s="10">
        <f>IF(TRIM(L563&amp;"")="","",IFERROR(INDEX(설정_코드표!$G$2:$G$101,MATCH(TRIM(L563&amp;""),설정_코드표!$F$2:$F$101,0)),"⚠"&amp;TRIM(L563&amp;"")))</f>
        <v/>
      </c>
      <c r="V563" s="10">
        <f>IF(AND(ISNUMBER(H563),ISNUMBER(I563)),I563-H563+1,"")</f>
        <v/>
      </c>
      <c r="W563" s="17">
        <f>IF(ISNUMBER(H563),MAX(0,MIN(IF(ISNUMBER(I563),I563,EOMONTH(출력_요약!$B$3,0)),EOMONTH(출력_요약!$B$3,0))-MAX(H563,출력_요약!$B$3)+1),0)</f>
        <v/>
      </c>
      <c r="X563" s="10">
        <f>IF(OR(NOT(ISNUMBER(H563)),Q563=""),"",IF(TODAY()&lt;H563,"파견예정",IF(AND(ISNUMBER(I563),TODAY()&gt;I563),"파견종료","파견중")))</f>
        <v/>
      </c>
      <c r="Y563" s="10">
        <f>IF(OR(Q563="",X563=""),"",Q563&amp;"|"&amp;X563)</f>
        <v/>
      </c>
      <c r="Z563" s="10">
        <f>IF(AND(Q563&lt;&gt;"",W563&gt;0),Q563&amp;"|월","")</f>
        <v/>
      </c>
      <c r="AA563" s="10">
        <f>IF(COUNTA(B563:I563,K563:N563)=0,"",IF(Q563="","등록번호 없음",IF(LEFT(R563,1)="⚠","모병원명 미등록",IF(S563="","파견병원 입력",IF(LEFT(S563,1)="⚠","파견병원명 미등록",IF(LEFT(U563,1)="⚠","파견과목 미등록",IF(OR(T563="",LEFT(T563,1)="⚠"),"파견근거 확인",IF(NOT(AND(ISNUMBER(H563),ISNUMBER(I563))),"날짜 형식/누락",IF(I563&lt;H563,"종료일&lt;시작일","")))))))))</f>
        <v/>
      </c>
      <c r="AB563" s="11">
        <f>IF(ISNUMBER(SEARCH("다기관",TRIM(N563&amp;" "&amp;O563))),IFERROR(DATE(VALUE(MID(TRIM(N563&amp;" "&amp;O563),1,4)),VALUE(MID(TRIM(N563&amp;" "&amp;O563),6,2)),VALUE(MID(TRIM(N563&amp;" "&amp;O563),9,2))),IF(ISNUMBER(H563),H563,"")),"")</f>
        <v/>
      </c>
      <c r="AC563" s="11">
        <f>IF(ISNUMBER(SEARCH("다기관",TRIM(N563&amp;" "&amp;O563))),IFERROR(DATE(VALUE(MID(TRIM(N563&amp;" "&amp;O563),12,4)),VALUE(MID(TRIM(N563&amp;" "&amp;O563),17,2)),VALUE(MID(TRIM(N563&amp;" "&amp;O563),20,2))),IF(ISNUMBER(I563),I563,"")),"")</f>
        <v/>
      </c>
      <c r="AD563" s="17">
        <f>IF(AND(ISNUMBER(AB563),ISNUMBER(AC563)),MAX(0,MIN(AC563,EOMONTH(출력_요약!$B$3,0))-MAX(AB563,출력_요약!$B$3)+1),0)</f>
        <v/>
      </c>
      <c r="AE563" s="10">
        <f>IF(AND(Q563&lt;&gt;"",ISNUMBER(AB563)),Q563&amp;"|다기관","")</f>
        <v/>
      </c>
    </row>
    <row r="564">
      <c r="A564" s="15">
        <f>IF(F564="","",ROW()-3)</f>
        <v/>
      </c>
      <c r="B564" s="5" t="n"/>
      <c r="C564" s="15" t="n"/>
      <c r="D564" s="5" t="n"/>
      <c r="E564" s="15" t="n"/>
      <c r="F564" s="5" t="n"/>
      <c r="G564" s="6" t="n"/>
      <c r="H564" s="16" t="n"/>
      <c r="I564" s="16" t="n"/>
      <c r="J564" s="15">
        <f>IF(AND(ISNUMBER(H564),ISNUMBER(I564)),I564-H564+1,"")</f>
        <v/>
      </c>
      <c r="K564" s="5" t="n"/>
      <c r="L564" s="5" t="n"/>
      <c r="M564" s="5" t="n"/>
      <c r="N564" s="5" t="n"/>
      <c r="O564" s="5" t="n"/>
      <c r="Q564" s="10">
        <f>IF(TRIM(G564&amp;"")="","",TRIM(G564&amp;""))</f>
        <v/>
      </c>
      <c r="R564" s="10">
        <f>IF(TRIM(B564&amp;"")="","",IFERROR(INDEX(설정_코드표!$K$2:$K$101,MATCH(TRIM(B564&amp;""),설정_코드표!$J$2:$J$101,0)),"⚠"&amp;TRIM(B564&amp;"")))</f>
        <v/>
      </c>
      <c r="S564" s="10">
        <f>IF(TRIM(K564&amp;"")="","",IFERROR(INDEX(설정_코드표!$K$2:$K$101,MATCH(TRIM(K564&amp;""),설정_코드표!$J$2:$J$101,0)),"⚠"&amp;TRIM(K564&amp;"")))</f>
        <v/>
      </c>
      <c r="T564" s="10">
        <f>IF(TRIM(M564&amp;"")="","",IF(ISNUMBER(MATCH(TRIM(M564&amp;""),설정_코드표!$C$2:$C$11,0)),TRIM(M564&amp;""),"⚠"&amp;TRIM(M564&amp;"")))</f>
        <v/>
      </c>
      <c r="U564" s="10">
        <f>IF(TRIM(L564&amp;"")="","",IFERROR(INDEX(설정_코드표!$G$2:$G$101,MATCH(TRIM(L564&amp;""),설정_코드표!$F$2:$F$101,0)),"⚠"&amp;TRIM(L564&amp;"")))</f>
        <v/>
      </c>
      <c r="V564" s="10">
        <f>IF(AND(ISNUMBER(H564),ISNUMBER(I564)),I564-H564+1,"")</f>
        <v/>
      </c>
      <c r="W564" s="17">
        <f>IF(ISNUMBER(H564),MAX(0,MIN(IF(ISNUMBER(I564),I564,EOMONTH(출력_요약!$B$3,0)),EOMONTH(출력_요약!$B$3,0))-MAX(H564,출력_요약!$B$3)+1),0)</f>
        <v/>
      </c>
      <c r="X564" s="10">
        <f>IF(OR(NOT(ISNUMBER(H564)),Q564=""),"",IF(TODAY()&lt;H564,"파견예정",IF(AND(ISNUMBER(I564),TODAY()&gt;I564),"파견종료","파견중")))</f>
        <v/>
      </c>
      <c r="Y564" s="10">
        <f>IF(OR(Q564="",X564=""),"",Q564&amp;"|"&amp;X564)</f>
        <v/>
      </c>
      <c r="Z564" s="10">
        <f>IF(AND(Q564&lt;&gt;"",W564&gt;0),Q564&amp;"|월","")</f>
        <v/>
      </c>
      <c r="AA564" s="10">
        <f>IF(COUNTA(B564:I564,K564:N564)=0,"",IF(Q564="","등록번호 없음",IF(LEFT(R564,1)="⚠","모병원명 미등록",IF(S564="","파견병원 입력",IF(LEFT(S564,1)="⚠","파견병원명 미등록",IF(LEFT(U564,1)="⚠","파견과목 미등록",IF(OR(T564="",LEFT(T564,1)="⚠"),"파견근거 확인",IF(NOT(AND(ISNUMBER(H564),ISNUMBER(I564))),"날짜 형식/누락",IF(I564&lt;H564,"종료일&lt;시작일","")))))))))</f>
        <v/>
      </c>
      <c r="AB564" s="11">
        <f>IF(ISNUMBER(SEARCH("다기관",TRIM(N564&amp;" "&amp;O564))),IFERROR(DATE(VALUE(MID(TRIM(N564&amp;" "&amp;O564),1,4)),VALUE(MID(TRIM(N564&amp;" "&amp;O564),6,2)),VALUE(MID(TRIM(N564&amp;" "&amp;O564),9,2))),IF(ISNUMBER(H564),H564,"")),"")</f>
        <v/>
      </c>
      <c r="AC564" s="11">
        <f>IF(ISNUMBER(SEARCH("다기관",TRIM(N564&amp;" "&amp;O564))),IFERROR(DATE(VALUE(MID(TRIM(N564&amp;" "&amp;O564),12,4)),VALUE(MID(TRIM(N564&amp;" "&amp;O564),17,2)),VALUE(MID(TRIM(N564&amp;" "&amp;O564),20,2))),IF(ISNUMBER(I564),I564,"")),"")</f>
        <v/>
      </c>
      <c r="AD564" s="17">
        <f>IF(AND(ISNUMBER(AB564),ISNUMBER(AC564)),MAX(0,MIN(AC564,EOMONTH(출력_요약!$B$3,0))-MAX(AB564,출력_요약!$B$3)+1),0)</f>
        <v/>
      </c>
      <c r="AE564" s="10">
        <f>IF(AND(Q564&lt;&gt;"",ISNUMBER(AB564)),Q564&amp;"|다기관","")</f>
        <v/>
      </c>
    </row>
    <row r="565">
      <c r="A565" s="15">
        <f>IF(F565="","",ROW()-3)</f>
        <v/>
      </c>
      <c r="B565" s="5" t="n"/>
      <c r="C565" s="15" t="n"/>
      <c r="D565" s="5" t="n"/>
      <c r="E565" s="15" t="n"/>
      <c r="F565" s="5" t="n"/>
      <c r="G565" s="6" t="n"/>
      <c r="H565" s="16" t="n"/>
      <c r="I565" s="16" t="n"/>
      <c r="J565" s="15">
        <f>IF(AND(ISNUMBER(H565),ISNUMBER(I565)),I565-H565+1,"")</f>
        <v/>
      </c>
      <c r="K565" s="5" t="n"/>
      <c r="L565" s="5" t="n"/>
      <c r="M565" s="5" t="n"/>
      <c r="N565" s="5" t="n"/>
      <c r="O565" s="5" t="n"/>
      <c r="Q565" s="10">
        <f>IF(TRIM(G565&amp;"")="","",TRIM(G565&amp;""))</f>
        <v/>
      </c>
      <c r="R565" s="10">
        <f>IF(TRIM(B565&amp;"")="","",IFERROR(INDEX(설정_코드표!$K$2:$K$101,MATCH(TRIM(B565&amp;""),설정_코드표!$J$2:$J$101,0)),"⚠"&amp;TRIM(B565&amp;"")))</f>
        <v/>
      </c>
      <c r="S565" s="10">
        <f>IF(TRIM(K565&amp;"")="","",IFERROR(INDEX(설정_코드표!$K$2:$K$101,MATCH(TRIM(K565&amp;""),설정_코드표!$J$2:$J$101,0)),"⚠"&amp;TRIM(K565&amp;"")))</f>
        <v/>
      </c>
      <c r="T565" s="10">
        <f>IF(TRIM(M565&amp;"")="","",IF(ISNUMBER(MATCH(TRIM(M565&amp;""),설정_코드표!$C$2:$C$11,0)),TRIM(M565&amp;""),"⚠"&amp;TRIM(M565&amp;"")))</f>
        <v/>
      </c>
      <c r="U565" s="10">
        <f>IF(TRIM(L565&amp;"")="","",IFERROR(INDEX(설정_코드표!$G$2:$G$101,MATCH(TRIM(L565&amp;""),설정_코드표!$F$2:$F$101,0)),"⚠"&amp;TRIM(L565&amp;"")))</f>
        <v/>
      </c>
      <c r="V565" s="10">
        <f>IF(AND(ISNUMBER(H565),ISNUMBER(I565)),I565-H565+1,"")</f>
        <v/>
      </c>
      <c r="W565" s="17">
        <f>IF(ISNUMBER(H565),MAX(0,MIN(IF(ISNUMBER(I565),I565,EOMONTH(출력_요약!$B$3,0)),EOMONTH(출력_요약!$B$3,0))-MAX(H565,출력_요약!$B$3)+1),0)</f>
        <v/>
      </c>
      <c r="X565" s="10">
        <f>IF(OR(NOT(ISNUMBER(H565)),Q565=""),"",IF(TODAY()&lt;H565,"파견예정",IF(AND(ISNUMBER(I565),TODAY()&gt;I565),"파견종료","파견중")))</f>
        <v/>
      </c>
      <c r="Y565" s="10">
        <f>IF(OR(Q565="",X565=""),"",Q565&amp;"|"&amp;X565)</f>
        <v/>
      </c>
      <c r="Z565" s="10">
        <f>IF(AND(Q565&lt;&gt;"",W565&gt;0),Q565&amp;"|월","")</f>
        <v/>
      </c>
      <c r="AA565" s="10">
        <f>IF(COUNTA(B565:I565,K565:N565)=0,"",IF(Q565="","등록번호 없음",IF(LEFT(R565,1)="⚠","모병원명 미등록",IF(S565="","파견병원 입력",IF(LEFT(S565,1)="⚠","파견병원명 미등록",IF(LEFT(U565,1)="⚠","파견과목 미등록",IF(OR(T565="",LEFT(T565,1)="⚠"),"파견근거 확인",IF(NOT(AND(ISNUMBER(H565),ISNUMBER(I565))),"날짜 형식/누락",IF(I565&lt;H565,"종료일&lt;시작일","")))))))))</f>
        <v/>
      </c>
      <c r="AB565" s="11">
        <f>IF(ISNUMBER(SEARCH("다기관",TRIM(N565&amp;" "&amp;O565))),IFERROR(DATE(VALUE(MID(TRIM(N565&amp;" "&amp;O565),1,4)),VALUE(MID(TRIM(N565&amp;" "&amp;O565),6,2)),VALUE(MID(TRIM(N565&amp;" "&amp;O565),9,2))),IF(ISNUMBER(H565),H565,"")),"")</f>
        <v/>
      </c>
      <c r="AC565" s="11">
        <f>IF(ISNUMBER(SEARCH("다기관",TRIM(N565&amp;" "&amp;O565))),IFERROR(DATE(VALUE(MID(TRIM(N565&amp;" "&amp;O565),12,4)),VALUE(MID(TRIM(N565&amp;" "&amp;O565),17,2)),VALUE(MID(TRIM(N565&amp;" "&amp;O565),20,2))),IF(ISNUMBER(I565),I565,"")),"")</f>
        <v/>
      </c>
      <c r="AD565" s="17">
        <f>IF(AND(ISNUMBER(AB565),ISNUMBER(AC565)),MAX(0,MIN(AC565,EOMONTH(출력_요약!$B$3,0))-MAX(AB565,출력_요약!$B$3)+1),0)</f>
        <v/>
      </c>
      <c r="AE565" s="10">
        <f>IF(AND(Q565&lt;&gt;"",ISNUMBER(AB565)),Q565&amp;"|다기관","")</f>
        <v/>
      </c>
    </row>
    <row r="566">
      <c r="A566" s="15">
        <f>IF(F566="","",ROW()-3)</f>
        <v/>
      </c>
      <c r="B566" s="5" t="n"/>
      <c r="C566" s="15" t="n"/>
      <c r="D566" s="5" t="n"/>
      <c r="E566" s="15" t="n"/>
      <c r="F566" s="5" t="n"/>
      <c r="G566" s="6" t="n"/>
      <c r="H566" s="16" t="n"/>
      <c r="I566" s="16" t="n"/>
      <c r="J566" s="15">
        <f>IF(AND(ISNUMBER(H566),ISNUMBER(I566)),I566-H566+1,"")</f>
        <v/>
      </c>
      <c r="K566" s="5" t="n"/>
      <c r="L566" s="5" t="n"/>
      <c r="M566" s="5" t="n"/>
      <c r="N566" s="5" t="n"/>
      <c r="O566" s="5" t="n"/>
      <c r="Q566" s="10">
        <f>IF(TRIM(G566&amp;"")="","",TRIM(G566&amp;""))</f>
        <v/>
      </c>
      <c r="R566" s="10">
        <f>IF(TRIM(B566&amp;"")="","",IFERROR(INDEX(설정_코드표!$K$2:$K$101,MATCH(TRIM(B566&amp;""),설정_코드표!$J$2:$J$101,0)),"⚠"&amp;TRIM(B566&amp;"")))</f>
        <v/>
      </c>
      <c r="S566" s="10">
        <f>IF(TRIM(K566&amp;"")="","",IFERROR(INDEX(설정_코드표!$K$2:$K$101,MATCH(TRIM(K566&amp;""),설정_코드표!$J$2:$J$101,0)),"⚠"&amp;TRIM(K566&amp;"")))</f>
        <v/>
      </c>
      <c r="T566" s="10">
        <f>IF(TRIM(M566&amp;"")="","",IF(ISNUMBER(MATCH(TRIM(M566&amp;""),설정_코드표!$C$2:$C$11,0)),TRIM(M566&amp;""),"⚠"&amp;TRIM(M566&amp;"")))</f>
        <v/>
      </c>
      <c r="U566" s="10">
        <f>IF(TRIM(L566&amp;"")="","",IFERROR(INDEX(설정_코드표!$G$2:$G$101,MATCH(TRIM(L566&amp;""),설정_코드표!$F$2:$F$101,0)),"⚠"&amp;TRIM(L566&amp;"")))</f>
        <v/>
      </c>
      <c r="V566" s="10">
        <f>IF(AND(ISNUMBER(H566),ISNUMBER(I566)),I566-H566+1,"")</f>
        <v/>
      </c>
      <c r="W566" s="17">
        <f>IF(ISNUMBER(H566),MAX(0,MIN(IF(ISNUMBER(I566),I566,EOMONTH(출력_요약!$B$3,0)),EOMONTH(출력_요약!$B$3,0))-MAX(H566,출력_요약!$B$3)+1),0)</f>
        <v/>
      </c>
      <c r="X566" s="10">
        <f>IF(OR(NOT(ISNUMBER(H566)),Q566=""),"",IF(TODAY()&lt;H566,"파견예정",IF(AND(ISNUMBER(I566),TODAY()&gt;I566),"파견종료","파견중")))</f>
        <v/>
      </c>
      <c r="Y566" s="10">
        <f>IF(OR(Q566="",X566=""),"",Q566&amp;"|"&amp;X566)</f>
        <v/>
      </c>
      <c r="Z566" s="10">
        <f>IF(AND(Q566&lt;&gt;"",W566&gt;0),Q566&amp;"|월","")</f>
        <v/>
      </c>
      <c r="AA566" s="10">
        <f>IF(COUNTA(B566:I566,K566:N566)=0,"",IF(Q566="","등록번호 없음",IF(LEFT(R566,1)="⚠","모병원명 미등록",IF(S566="","파견병원 입력",IF(LEFT(S566,1)="⚠","파견병원명 미등록",IF(LEFT(U566,1)="⚠","파견과목 미등록",IF(OR(T566="",LEFT(T566,1)="⚠"),"파견근거 확인",IF(NOT(AND(ISNUMBER(H566),ISNUMBER(I566))),"날짜 형식/누락",IF(I566&lt;H566,"종료일&lt;시작일","")))))))))</f>
        <v/>
      </c>
      <c r="AB566" s="11">
        <f>IF(ISNUMBER(SEARCH("다기관",TRIM(N566&amp;" "&amp;O566))),IFERROR(DATE(VALUE(MID(TRIM(N566&amp;" "&amp;O566),1,4)),VALUE(MID(TRIM(N566&amp;" "&amp;O566),6,2)),VALUE(MID(TRIM(N566&amp;" "&amp;O566),9,2))),IF(ISNUMBER(H566),H566,"")),"")</f>
        <v/>
      </c>
      <c r="AC566" s="11">
        <f>IF(ISNUMBER(SEARCH("다기관",TRIM(N566&amp;" "&amp;O566))),IFERROR(DATE(VALUE(MID(TRIM(N566&amp;" "&amp;O566),12,4)),VALUE(MID(TRIM(N566&amp;" "&amp;O566),17,2)),VALUE(MID(TRIM(N566&amp;" "&amp;O566),20,2))),IF(ISNUMBER(I566),I566,"")),"")</f>
        <v/>
      </c>
      <c r="AD566" s="17">
        <f>IF(AND(ISNUMBER(AB566),ISNUMBER(AC566)),MAX(0,MIN(AC566,EOMONTH(출력_요약!$B$3,0))-MAX(AB566,출력_요약!$B$3)+1),0)</f>
        <v/>
      </c>
      <c r="AE566" s="10">
        <f>IF(AND(Q566&lt;&gt;"",ISNUMBER(AB566)),Q566&amp;"|다기관","")</f>
        <v/>
      </c>
    </row>
    <row r="567">
      <c r="A567" s="15">
        <f>IF(F567="","",ROW()-3)</f>
        <v/>
      </c>
      <c r="B567" s="5" t="n"/>
      <c r="C567" s="15" t="n"/>
      <c r="D567" s="5" t="n"/>
      <c r="E567" s="15" t="n"/>
      <c r="F567" s="5" t="n"/>
      <c r="G567" s="6" t="n"/>
      <c r="H567" s="16" t="n"/>
      <c r="I567" s="16" t="n"/>
      <c r="J567" s="15">
        <f>IF(AND(ISNUMBER(H567),ISNUMBER(I567)),I567-H567+1,"")</f>
        <v/>
      </c>
      <c r="K567" s="5" t="n"/>
      <c r="L567" s="5" t="n"/>
      <c r="M567" s="5" t="n"/>
      <c r="N567" s="5" t="n"/>
      <c r="O567" s="5" t="n"/>
      <c r="Q567" s="10">
        <f>IF(TRIM(G567&amp;"")="","",TRIM(G567&amp;""))</f>
        <v/>
      </c>
      <c r="R567" s="10">
        <f>IF(TRIM(B567&amp;"")="","",IFERROR(INDEX(설정_코드표!$K$2:$K$101,MATCH(TRIM(B567&amp;""),설정_코드표!$J$2:$J$101,0)),"⚠"&amp;TRIM(B567&amp;"")))</f>
        <v/>
      </c>
      <c r="S567" s="10">
        <f>IF(TRIM(K567&amp;"")="","",IFERROR(INDEX(설정_코드표!$K$2:$K$101,MATCH(TRIM(K567&amp;""),설정_코드표!$J$2:$J$101,0)),"⚠"&amp;TRIM(K567&amp;"")))</f>
        <v/>
      </c>
      <c r="T567" s="10">
        <f>IF(TRIM(M567&amp;"")="","",IF(ISNUMBER(MATCH(TRIM(M567&amp;""),설정_코드표!$C$2:$C$11,0)),TRIM(M567&amp;""),"⚠"&amp;TRIM(M567&amp;"")))</f>
        <v/>
      </c>
      <c r="U567" s="10">
        <f>IF(TRIM(L567&amp;"")="","",IFERROR(INDEX(설정_코드표!$G$2:$G$101,MATCH(TRIM(L567&amp;""),설정_코드표!$F$2:$F$101,0)),"⚠"&amp;TRIM(L567&amp;"")))</f>
        <v/>
      </c>
      <c r="V567" s="10">
        <f>IF(AND(ISNUMBER(H567),ISNUMBER(I567)),I567-H567+1,"")</f>
        <v/>
      </c>
      <c r="W567" s="17">
        <f>IF(ISNUMBER(H567),MAX(0,MIN(IF(ISNUMBER(I567),I567,EOMONTH(출력_요약!$B$3,0)),EOMONTH(출력_요약!$B$3,0))-MAX(H567,출력_요약!$B$3)+1),0)</f>
        <v/>
      </c>
      <c r="X567" s="10">
        <f>IF(OR(NOT(ISNUMBER(H567)),Q567=""),"",IF(TODAY()&lt;H567,"파견예정",IF(AND(ISNUMBER(I567),TODAY()&gt;I567),"파견종료","파견중")))</f>
        <v/>
      </c>
      <c r="Y567" s="10">
        <f>IF(OR(Q567="",X567=""),"",Q567&amp;"|"&amp;X567)</f>
        <v/>
      </c>
      <c r="Z567" s="10">
        <f>IF(AND(Q567&lt;&gt;"",W567&gt;0),Q567&amp;"|월","")</f>
        <v/>
      </c>
      <c r="AA567" s="10">
        <f>IF(COUNTA(B567:I567,K567:N567)=0,"",IF(Q567="","등록번호 없음",IF(LEFT(R567,1)="⚠","모병원명 미등록",IF(S567="","파견병원 입력",IF(LEFT(S567,1)="⚠","파견병원명 미등록",IF(LEFT(U567,1)="⚠","파견과목 미등록",IF(OR(T567="",LEFT(T567,1)="⚠"),"파견근거 확인",IF(NOT(AND(ISNUMBER(H567),ISNUMBER(I567))),"날짜 형식/누락",IF(I567&lt;H567,"종료일&lt;시작일","")))))))))</f>
        <v/>
      </c>
      <c r="AB567" s="11">
        <f>IF(ISNUMBER(SEARCH("다기관",TRIM(N567&amp;" "&amp;O567))),IFERROR(DATE(VALUE(MID(TRIM(N567&amp;" "&amp;O567),1,4)),VALUE(MID(TRIM(N567&amp;" "&amp;O567),6,2)),VALUE(MID(TRIM(N567&amp;" "&amp;O567),9,2))),IF(ISNUMBER(H567),H567,"")),"")</f>
        <v/>
      </c>
      <c r="AC567" s="11">
        <f>IF(ISNUMBER(SEARCH("다기관",TRIM(N567&amp;" "&amp;O567))),IFERROR(DATE(VALUE(MID(TRIM(N567&amp;" "&amp;O567),12,4)),VALUE(MID(TRIM(N567&amp;" "&amp;O567),17,2)),VALUE(MID(TRIM(N567&amp;" "&amp;O567),20,2))),IF(ISNUMBER(I567),I567,"")),"")</f>
        <v/>
      </c>
      <c r="AD567" s="17">
        <f>IF(AND(ISNUMBER(AB567),ISNUMBER(AC567)),MAX(0,MIN(AC567,EOMONTH(출력_요약!$B$3,0))-MAX(AB567,출력_요약!$B$3)+1),0)</f>
        <v/>
      </c>
      <c r="AE567" s="10">
        <f>IF(AND(Q567&lt;&gt;"",ISNUMBER(AB567)),Q567&amp;"|다기관","")</f>
        <v/>
      </c>
    </row>
    <row r="568">
      <c r="A568" s="15">
        <f>IF(F568="","",ROW()-3)</f>
        <v/>
      </c>
      <c r="B568" s="5" t="n"/>
      <c r="C568" s="15" t="n"/>
      <c r="D568" s="5" t="n"/>
      <c r="E568" s="15" t="n"/>
      <c r="F568" s="5" t="n"/>
      <c r="G568" s="6" t="n"/>
      <c r="H568" s="16" t="n"/>
      <c r="I568" s="16" t="n"/>
      <c r="J568" s="15">
        <f>IF(AND(ISNUMBER(H568),ISNUMBER(I568)),I568-H568+1,"")</f>
        <v/>
      </c>
      <c r="K568" s="5" t="n"/>
      <c r="L568" s="5" t="n"/>
      <c r="M568" s="5" t="n"/>
      <c r="N568" s="5" t="n"/>
      <c r="O568" s="5" t="n"/>
      <c r="Q568" s="10">
        <f>IF(TRIM(G568&amp;"")="","",TRIM(G568&amp;""))</f>
        <v/>
      </c>
      <c r="R568" s="10">
        <f>IF(TRIM(B568&amp;"")="","",IFERROR(INDEX(설정_코드표!$K$2:$K$101,MATCH(TRIM(B568&amp;""),설정_코드표!$J$2:$J$101,0)),"⚠"&amp;TRIM(B568&amp;"")))</f>
        <v/>
      </c>
      <c r="S568" s="10">
        <f>IF(TRIM(K568&amp;"")="","",IFERROR(INDEX(설정_코드표!$K$2:$K$101,MATCH(TRIM(K568&amp;""),설정_코드표!$J$2:$J$101,0)),"⚠"&amp;TRIM(K568&amp;"")))</f>
        <v/>
      </c>
      <c r="T568" s="10">
        <f>IF(TRIM(M568&amp;"")="","",IF(ISNUMBER(MATCH(TRIM(M568&amp;""),설정_코드표!$C$2:$C$11,0)),TRIM(M568&amp;""),"⚠"&amp;TRIM(M568&amp;"")))</f>
        <v/>
      </c>
      <c r="U568" s="10">
        <f>IF(TRIM(L568&amp;"")="","",IFERROR(INDEX(설정_코드표!$G$2:$G$101,MATCH(TRIM(L568&amp;""),설정_코드표!$F$2:$F$101,0)),"⚠"&amp;TRIM(L568&amp;"")))</f>
        <v/>
      </c>
      <c r="V568" s="10">
        <f>IF(AND(ISNUMBER(H568),ISNUMBER(I568)),I568-H568+1,"")</f>
        <v/>
      </c>
      <c r="W568" s="17">
        <f>IF(ISNUMBER(H568),MAX(0,MIN(IF(ISNUMBER(I568),I568,EOMONTH(출력_요약!$B$3,0)),EOMONTH(출력_요약!$B$3,0))-MAX(H568,출력_요약!$B$3)+1),0)</f>
        <v/>
      </c>
      <c r="X568" s="10">
        <f>IF(OR(NOT(ISNUMBER(H568)),Q568=""),"",IF(TODAY()&lt;H568,"파견예정",IF(AND(ISNUMBER(I568),TODAY()&gt;I568),"파견종료","파견중")))</f>
        <v/>
      </c>
      <c r="Y568" s="10">
        <f>IF(OR(Q568="",X568=""),"",Q568&amp;"|"&amp;X568)</f>
        <v/>
      </c>
      <c r="Z568" s="10">
        <f>IF(AND(Q568&lt;&gt;"",W568&gt;0),Q568&amp;"|월","")</f>
        <v/>
      </c>
      <c r="AA568" s="10">
        <f>IF(COUNTA(B568:I568,K568:N568)=0,"",IF(Q568="","등록번호 없음",IF(LEFT(R568,1)="⚠","모병원명 미등록",IF(S568="","파견병원 입력",IF(LEFT(S568,1)="⚠","파견병원명 미등록",IF(LEFT(U568,1)="⚠","파견과목 미등록",IF(OR(T568="",LEFT(T568,1)="⚠"),"파견근거 확인",IF(NOT(AND(ISNUMBER(H568),ISNUMBER(I568))),"날짜 형식/누락",IF(I568&lt;H568,"종료일&lt;시작일","")))))))))</f>
        <v/>
      </c>
      <c r="AB568" s="11">
        <f>IF(ISNUMBER(SEARCH("다기관",TRIM(N568&amp;" "&amp;O568))),IFERROR(DATE(VALUE(MID(TRIM(N568&amp;" "&amp;O568),1,4)),VALUE(MID(TRIM(N568&amp;" "&amp;O568),6,2)),VALUE(MID(TRIM(N568&amp;" "&amp;O568),9,2))),IF(ISNUMBER(H568),H568,"")),"")</f>
        <v/>
      </c>
      <c r="AC568" s="11">
        <f>IF(ISNUMBER(SEARCH("다기관",TRIM(N568&amp;" "&amp;O568))),IFERROR(DATE(VALUE(MID(TRIM(N568&amp;" "&amp;O568),12,4)),VALUE(MID(TRIM(N568&amp;" "&amp;O568),17,2)),VALUE(MID(TRIM(N568&amp;" "&amp;O568),20,2))),IF(ISNUMBER(I568),I568,"")),"")</f>
        <v/>
      </c>
      <c r="AD568" s="17">
        <f>IF(AND(ISNUMBER(AB568),ISNUMBER(AC568)),MAX(0,MIN(AC568,EOMONTH(출력_요약!$B$3,0))-MAX(AB568,출력_요약!$B$3)+1),0)</f>
        <v/>
      </c>
      <c r="AE568" s="10">
        <f>IF(AND(Q568&lt;&gt;"",ISNUMBER(AB568)),Q568&amp;"|다기관","")</f>
        <v/>
      </c>
    </row>
    <row r="569">
      <c r="A569" s="15">
        <f>IF(F569="","",ROW()-3)</f>
        <v/>
      </c>
      <c r="B569" s="5" t="n"/>
      <c r="C569" s="15" t="n"/>
      <c r="D569" s="5" t="n"/>
      <c r="E569" s="15" t="n"/>
      <c r="F569" s="5" t="n"/>
      <c r="G569" s="6" t="n"/>
      <c r="H569" s="16" t="n"/>
      <c r="I569" s="16" t="n"/>
      <c r="J569" s="15">
        <f>IF(AND(ISNUMBER(H569),ISNUMBER(I569)),I569-H569+1,"")</f>
        <v/>
      </c>
      <c r="K569" s="5" t="n"/>
      <c r="L569" s="5" t="n"/>
      <c r="M569" s="5" t="n"/>
      <c r="N569" s="5" t="n"/>
      <c r="O569" s="5" t="n"/>
      <c r="Q569" s="10">
        <f>IF(TRIM(G569&amp;"")="","",TRIM(G569&amp;""))</f>
        <v/>
      </c>
      <c r="R569" s="10">
        <f>IF(TRIM(B569&amp;"")="","",IFERROR(INDEX(설정_코드표!$K$2:$K$101,MATCH(TRIM(B569&amp;""),설정_코드표!$J$2:$J$101,0)),"⚠"&amp;TRIM(B569&amp;"")))</f>
        <v/>
      </c>
      <c r="S569" s="10">
        <f>IF(TRIM(K569&amp;"")="","",IFERROR(INDEX(설정_코드표!$K$2:$K$101,MATCH(TRIM(K569&amp;""),설정_코드표!$J$2:$J$101,0)),"⚠"&amp;TRIM(K569&amp;"")))</f>
        <v/>
      </c>
      <c r="T569" s="10">
        <f>IF(TRIM(M569&amp;"")="","",IF(ISNUMBER(MATCH(TRIM(M569&amp;""),설정_코드표!$C$2:$C$11,0)),TRIM(M569&amp;""),"⚠"&amp;TRIM(M569&amp;"")))</f>
        <v/>
      </c>
      <c r="U569" s="10">
        <f>IF(TRIM(L569&amp;"")="","",IFERROR(INDEX(설정_코드표!$G$2:$G$101,MATCH(TRIM(L569&amp;""),설정_코드표!$F$2:$F$101,0)),"⚠"&amp;TRIM(L569&amp;"")))</f>
        <v/>
      </c>
      <c r="V569" s="10">
        <f>IF(AND(ISNUMBER(H569),ISNUMBER(I569)),I569-H569+1,"")</f>
        <v/>
      </c>
      <c r="W569" s="17">
        <f>IF(ISNUMBER(H569),MAX(0,MIN(IF(ISNUMBER(I569),I569,EOMONTH(출력_요약!$B$3,0)),EOMONTH(출력_요약!$B$3,0))-MAX(H569,출력_요약!$B$3)+1),0)</f>
        <v/>
      </c>
      <c r="X569" s="10">
        <f>IF(OR(NOT(ISNUMBER(H569)),Q569=""),"",IF(TODAY()&lt;H569,"파견예정",IF(AND(ISNUMBER(I569),TODAY()&gt;I569),"파견종료","파견중")))</f>
        <v/>
      </c>
      <c r="Y569" s="10">
        <f>IF(OR(Q569="",X569=""),"",Q569&amp;"|"&amp;X569)</f>
        <v/>
      </c>
      <c r="Z569" s="10">
        <f>IF(AND(Q569&lt;&gt;"",W569&gt;0),Q569&amp;"|월","")</f>
        <v/>
      </c>
      <c r="AA569" s="10">
        <f>IF(COUNTA(B569:I569,K569:N569)=0,"",IF(Q569="","등록번호 없음",IF(LEFT(R569,1)="⚠","모병원명 미등록",IF(S569="","파견병원 입력",IF(LEFT(S569,1)="⚠","파견병원명 미등록",IF(LEFT(U569,1)="⚠","파견과목 미등록",IF(OR(T569="",LEFT(T569,1)="⚠"),"파견근거 확인",IF(NOT(AND(ISNUMBER(H569),ISNUMBER(I569))),"날짜 형식/누락",IF(I569&lt;H569,"종료일&lt;시작일","")))))))))</f>
        <v/>
      </c>
      <c r="AB569" s="11">
        <f>IF(ISNUMBER(SEARCH("다기관",TRIM(N569&amp;" "&amp;O569))),IFERROR(DATE(VALUE(MID(TRIM(N569&amp;" "&amp;O569),1,4)),VALUE(MID(TRIM(N569&amp;" "&amp;O569),6,2)),VALUE(MID(TRIM(N569&amp;" "&amp;O569),9,2))),IF(ISNUMBER(H569),H569,"")),"")</f>
        <v/>
      </c>
      <c r="AC569" s="11">
        <f>IF(ISNUMBER(SEARCH("다기관",TRIM(N569&amp;" "&amp;O569))),IFERROR(DATE(VALUE(MID(TRIM(N569&amp;" "&amp;O569),12,4)),VALUE(MID(TRIM(N569&amp;" "&amp;O569),17,2)),VALUE(MID(TRIM(N569&amp;" "&amp;O569),20,2))),IF(ISNUMBER(I569),I569,"")),"")</f>
        <v/>
      </c>
      <c r="AD569" s="17">
        <f>IF(AND(ISNUMBER(AB569),ISNUMBER(AC569)),MAX(0,MIN(AC569,EOMONTH(출력_요약!$B$3,0))-MAX(AB569,출력_요약!$B$3)+1),0)</f>
        <v/>
      </c>
      <c r="AE569" s="10">
        <f>IF(AND(Q569&lt;&gt;"",ISNUMBER(AB569)),Q569&amp;"|다기관","")</f>
        <v/>
      </c>
    </row>
    <row r="570">
      <c r="A570" s="15">
        <f>IF(F570="","",ROW()-3)</f>
        <v/>
      </c>
      <c r="B570" s="5" t="n"/>
      <c r="C570" s="15" t="n"/>
      <c r="D570" s="5" t="n"/>
      <c r="E570" s="15" t="n"/>
      <c r="F570" s="5" t="n"/>
      <c r="G570" s="6" t="n"/>
      <c r="H570" s="16" t="n"/>
      <c r="I570" s="16" t="n"/>
      <c r="J570" s="15">
        <f>IF(AND(ISNUMBER(H570),ISNUMBER(I570)),I570-H570+1,"")</f>
        <v/>
      </c>
      <c r="K570" s="5" t="n"/>
      <c r="L570" s="5" t="n"/>
      <c r="M570" s="5" t="n"/>
      <c r="N570" s="5" t="n"/>
      <c r="O570" s="5" t="n"/>
      <c r="Q570" s="10">
        <f>IF(TRIM(G570&amp;"")="","",TRIM(G570&amp;""))</f>
        <v/>
      </c>
      <c r="R570" s="10">
        <f>IF(TRIM(B570&amp;"")="","",IFERROR(INDEX(설정_코드표!$K$2:$K$101,MATCH(TRIM(B570&amp;""),설정_코드표!$J$2:$J$101,0)),"⚠"&amp;TRIM(B570&amp;"")))</f>
        <v/>
      </c>
      <c r="S570" s="10">
        <f>IF(TRIM(K570&amp;"")="","",IFERROR(INDEX(설정_코드표!$K$2:$K$101,MATCH(TRIM(K570&amp;""),설정_코드표!$J$2:$J$101,0)),"⚠"&amp;TRIM(K570&amp;"")))</f>
        <v/>
      </c>
      <c r="T570" s="10">
        <f>IF(TRIM(M570&amp;"")="","",IF(ISNUMBER(MATCH(TRIM(M570&amp;""),설정_코드표!$C$2:$C$11,0)),TRIM(M570&amp;""),"⚠"&amp;TRIM(M570&amp;"")))</f>
        <v/>
      </c>
      <c r="U570" s="10">
        <f>IF(TRIM(L570&amp;"")="","",IFERROR(INDEX(설정_코드표!$G$2:$G$101,MATCH(TRIM(L570&amp;""),설정_코드표!$F$2:$F$101,0)),"⚠"&amp;TRIM(L570&amp;"")))</f>
        <v/>
      </c>
      <c r="V570" s="10">
        <f>IF(AND(ISNUMBER(H570),ISNUMBER(I570)),I570-H570+1,"")</f>
        <v/>
      </c>
      <c r="W570" s="17">
        <f>IF(ISNUMBER(H570),MAX(0,MIN(IF(ISNUMBER(I570),I570,EOMONTH(출력_요약!$B$3,0)),EOMONTH(출력_요약!$B$3,0))-MAX(H570,출력_요약!$B$3)+1),0)</f>
        <v/>
      </c>
      <c r="X570" s="10">
        <f>IF(OR(NOT(ISNUMBER(H570)),Q570=""),"",IF(TODAY()&lt;H570,"파견예정",IF(AND(ISNUMBER(I570),TODAY()&gt;I570),"파견종료","파견중")))</f>
        <v/>
      </c>
      <c r="Y570" s="10">
        <f>IF(OR(Q570="",X570=""),"",Q570&amp;"|"&amp;X570)</f>
        <v/>
      </c>
      <c r="Z570" s="10">
        <f>IF(AND(Q570&lt;&gt;"",W570&gt;0),Q570&amp;"|월","")</f>
        <v/>
      </c>
      <c r="AA570" s="10">
        <f>IF(COUNTA(B570:I570,K570:N570)=0,"",IF(Q570="","등록번호 없음",IF(LEFT(R570,1)="⚠","모병원명 미등록",IF(S570="","파견병원 입력",IF(LEFT(S570,1)="⚠","파견병원명 미등록",IF(LEFT(U570,1)="⚠","파견과목 미등록",IF(OR(T570="",LEFT(T570,1)="⚠"),"파견근거 확인",IF(NOT(AND(ISNUMBER(H570),ISNUMBER(I570))),"날짜 형식/누락",IF(I570&lt;H570,"종료일&lt;시작일","")))))))))</f>
        <v/>
      </c>
      <c r="AB570" s="11">
        <f>IF(ISNUMBER(SEARCH("다기관",TRIM(N570&amp;" "&amp;O570))),IFERROR(DATE(VALUE(MID(TRIM(N570&amp;" "&amp;O570),1,4)),VALUE(MID(TRIM(N570&amp;" "&amp;O570),6,2)),VALUE(MID(TRIM(N570&amp;" "&amp;O570),9,2))),IF(ISNUMBER(H570),H570,"")),"")</f>
        <v/>
      </c>
      <c r="AC570" s="11">
        <f>IF(ISNUMBER(SEARCH("다기관",TRIM(N570&amp;" "&amp;O570))),IFERROR(DATE(VALUE(MID(TRIM(N570&amp;" "&amp;O570),12,4)),VALUE(MID(TRIM(N570&amp;" "&amp;O570),17,2)),VALUE(MID(TRIM(N570&amp;" "&amp;O570),20,2))),IF(ISNUMBER(I570),I570,"")),"")</f>
        <v/>
      </c>
      <c r="AD570" s="17">
        <f>IF(AND(ISNUMBER(AB570),ISNUMBER(AC570)),MAX(0,MIN(AC570,EOMONTH(출력_요약!$B$3,0))-MAX(AB570,출력_요약!$B$3)+1),0)</f>
        <v/>
      </c>
      <c r="AE570" s="10">
        <f>IF(AND(Q570&lt;&gt;"",ISNUMBER(AB570)),Q570&amp;"|다기관","")</f>
        <v/>
      </c>
    </row>
    <row r="571">
      <c r="A571" s="15">
        <f>IF(F571="","",ROW()-3)</f>
        <v/>
      </c>
      <c r="B571" s="5" t="n"/>
      <c r="C571" s="15" t="n"/>
      <c r="D571" s="5" t="n"/>
      <c r="E571" s="15" t="n"/>
      <c r="F571" s="5" t="n"/>
      <c r="G571" s="6" t="n"/>
      <c r="H571" s="16" t="n"/>
      <c r="I571" s="16" t="n"/>
      <c r="J571" s="15">
        <f>IF(AND(ISNUMBER(H571),ISNUMBER(I571)),I571-H571+1,"")</f>
        <v/>
      </c>
      <c r="K571" s="5" t="n"/>
      <c r="L571" s="5" t="n"/>
      <c r="M571" s="5" t="n"/>
      <c r="N571" s="5" t="n"/>
      <c r="O571" s="5" t="n"/>
      <c r="Q571" s="10">
        <f>IF(TRIM(G571&amp;"")="","",TRIM(G571&amp;""))</f>
        <v/>
      </c>
      <c r="R571" s="10">
        <f>IF(TRIM(B571&amp;"")="","",IFERROR(INDEX(설정_코드표!$K$2:$K$101,MATCH(TRIM(B571&amp;""),설정_코드표!$J$2:$J$101,0)),"⚠"&amp;TRIM(B571&amp;"")))</f>
        <v/>
      </c>
      <c r="S571" s="10">
        <f>IF(TRIM(K571&amp;"")="","",IFERROR(INDEX(설정_코드표!$K$2:$K$101,MATCH(TRIM(K571&amp;""),설정_코드표!$J$2:$J$101,0)),"⚠"&amp;TRIM(K571&amp;"")))</f>
        <v/>
      </c>
      <c r="T571" s="10">
        <f>IF(TRIM(M571&amp;"")="","",IF(ISNUMBER(MATCH(TRIM(M571&amp;""),설정_코드표!$C$2:$C$11,0)),TRIM(M571&amp;""),"⚠"&amp;TRIM(M571&amp;"")))</f>
        <v/>
      </c>
      <c r="U571" s="10">
        <f>IF(TRIM(L571&amp;"")="","",IFERROR(INDEX(설정_코드표!$G$2:$G$101,MATCH(TRIM(L571&amp;""),설정_코드표!$F$2:$F$101,0)),"⚠"&amp;TRIM(L571&amp;"")))</f>
        <v/>
      </c>
      <c r="V571" s="10">
        <f>IF(AND(ISNUMBER(H571),ISNUMBER(I571)),I571-H571+1,"")</f>
        <v/>
      </c>
      <c r="W571" s="17">
        <f>IF(ISNUMBER(H571),MAX(0,MIN(IF(ISNUMBER(I571),I571,EOMONTH(출력_요약!$B$3,0)),EOMONTH(출력_요약!$B$3,0))-MAX(H571,출력_요약!$B$3)+1),0)</f>
        <v/>
      </c>
      <c r="X571" s="10">
        <f>IF(OR(NOT(ISNUMBER(H571)),Q571=""),"",IF(TODAY()&lt;H571,"파견예정",IF(AND(ISNUMBER(I571),TODAY()&gt;I571),"파견종료","파견중")))</f>
        <v/>
      </c>
      <c r="Y571" s="10">
        <f>IF(OR(Q571="",X571=""),"",Q571&amp;"|"&amp;X571)</f>
        <v/>
      </c>
      <c r="Z571" s="10">
        <f>IF(AND(Q571&lt;&gt;"",W571&gt;0),Q571&amp;"|월","")</f>
        <v/>
      </c>
      <c r="AA571" s="10">
        <f>IF(COUNTA(B571:I571,K571:N571)=0,"",IF(Q571="","등록번호 없음",IF(LEFT(R571,1)="⚠","모병원명 미등록",IF(S571="","파견병원 입력",IF(LEFT(S571,1)="⚠","파견병원명 미등록",IF(LEFT(U571,1)="⚠","파견과목 미등록",IF(OR(T571="",LEFT(T571,1)="⚠"),"파견근거 확인",IF(NOT(AND(ISNUMBER(H571),ISNUMBER(I571))),"날짜 형식/누락",IF(I571&lt;H571,"종료일&lt;시작일","")))))))))</f>
        <v/>
      </c>
      <c r="AB571" s="11">
        <f>IF(ISNUMBER(SEARCH("다기관",TRIM(N571&amp;" "&amp;O571))),IFERROR(DATE(VALUE(MID(TRIM(N571&amp;" "&amp;O571),1,4)),VALUE(MID(TRIM(N571&amp;" "&amp;O571),6,2)),VALUE(MID(TRIM(N571&amp;" "&amp;O571),9,2))),IF(ISNUMBER(H571),H571,"")),"")</f>
        <v/>
      </c>
      <c r="AC571" s="11">
        <f>IF(ISNUMBER(SEARCH("다기관",TRIM(N571&amp;" "&amp;O571))),IFERROR(DATE(VALUE(MID(TRIM(N571&amp;" "&amp;O571),12,4)),VALUE(MID(TRIM(N571&amp;" "&amp;O571),17,2)),VALUE(MID(TRIM(N571&amp;" "&amp;O571),20,2))),IF(ISNUMBER(I571),I571,"")),"")</f>
        <v/>
      </c>
      <c r="AD571" s="17">
        <f>IF(AND(ISNUMBER(AB571),ISNUMBER(AC571)),MAX(0,MIN(AC571,EOMONTH(출력_요약!$B$3,0))-MAX(AB571,출력_요약!$B$3)+1),0)</f>
        <v/>
      </c>
      <c r="AE571" s="10">
        <f>IF(AND(Q571&lt;&gt;"",ISNUMBER(AB571)),Q571&amp;"|다기관","")</f>
        <v/>
      </c>
    </row>
    <row r="572">
      <c r="A572" s="15">
        <f>IF(F572="","",ROW()-3)</f>
        <v/>
      </c>
      <c r="B572" s="5" t="n"/>
      <c r="C572" s="15" t="n"/>
      <c r="D572" s="5" t="n"/>
      <c r="E572" s="15" t="n"/>
      <c r="F572" s="5" t="n"/>
      <c r="G572" s="6" t="n"/>
      <c r="H572" s="16" t="n"/>
      <c r="I572" s="16" t="n"/>
      <c r="J572" s="15">
        <f>IF(AND(ISNUMBER(H572),ISNUMBER(I572)),I572-H572+1,"")</f>
        <v/>
      </c>
      <c r="K572" s="5" t="n"/>
      <c r="L572" s="5" t="n"/>
      <c r="M572" s="5" t="n"/>
      <c r="N572" s="5" t="n"/>
      <c r="O572" s="5" t="n"/>
      <c r="Q572" s="10">
        <f>IF(TRIM(G572&amp;"")="","",TRIM(G572&amp;""))</f>
        <v/>
      </c>
      <c r="R572" s="10">
        <f>IF(TRIM(B572&amp;"")="","",IFERROR(INDEX(설정_코드표!$K$2:$K$101,MATCH(TRIM(B572&amp;""),설정_코드표!$J$2:$J$101,0)),"⚠"&amp;TRIM(B572&amp;"")))</f>
        <v/>
      </c>
      <c r="S572" s="10">
        <f>IF(TRIM(K572&amp;"")="","",IFERROR(INDEX(설정_코드표!$K$2:$K$101,MATCH(TRIM(K572&amp;""),설정_코드표!$J$2:$J$101,0)),"⚠"&amp;TRIM(K572&amp;"")))</f>
        <v/>
      </c>
      <c r="T572" s="10">
        <f>IF(TRIM(M572&amp;"")="","",IF(ISNUMBER(MATCH(TRIM(M572&amp;""),설정_코드표!$C$2:$C$11,0)),TRIM(M572&amp;""),"⚠"&amp;TRIM(M572&amp;"")))</f>
        <v/>
      </c>
      <c r="U572" s="10">
        <f>IF(TRIM(L572&amp;"")="","",IFERROR(INDEX(설정_코드표!$G$2:$G$101,MATCH(TRIM(L572&amp;""),설정_코드표!$F$2:$F$101,0)),"⚠"&amp;TRIM(L572&amp;"")))</f>
        <v/>
      </c>
      <c r="V572" s="10">
        <f>IF(AND(ISNUMBER(H572),ISNUMBER(I572)),I572-H572+1,"")</f>
        <v/>
      </c>
      <c r="W572" s="17">
        <f>IF(ISNUMBER(H572),MAX(0,MIN(IF(ISNUMBER(I572),I572,EOMONTH(출력_요약!$B$3,0)),EOMONTH(출력_요약!$B$3,0))-MAX(H572,출력_요약!$B$3)+1),0)</f>
        <v/>
      </c>
      <c r="X572" s="10">
        <f>IF(OR(NOT(ISNUMBER(H572)),Q572=""),"",IF(TODAY()&lt;H572,"파견예정",IF(AND(ISNUMBER(I572),TODAY()&gt;I572),"파견종료","파견중")))</f>
        <v/>
      </c>
      <c r="Y572" s="10">
        <f>IF(OR(Q572="",X572=""),"",Q572&amp;"|"&amp;X572)</f>
        <v/>
      </c>
      <c r="Z572" s="10">
        <f>IF(AND(Q572&lt;&gt;"",W572&gt;0),Q572&amp;"|월","")</f>
        <v/>
      </c>
      <c r="AA572" s="10">
        <f>IF(COUNTA(B572:I572,K572:N572)=0,"",IF(Q572="","등록번호 없음",IF(LEFT(R572,1)="⚠","모병원명 미등록",IF(S572="","파견병원 입력",IF(LEFT(S572,1)="⚠","파견병원명 미등록",IF(LEFT(U572,1)="⚠","파견과목 미등록",IF(OR(T572="",LEFT(T572,1)="⚠"),"파견근거 확인",IF(NOT(AND(ISNUMBER(H572),ISNUMBER(I572))),"날짜 형식/누락",IF(I572&lt;H572,"종료일&lt;시작일","")))))))))</f>
        <v/>
      </c>
      <c r="AB572" s="11">
        <f>IF(ISNUMBER(SEARCH("다기관",TRIM(N572&amp;" "&amp;O572))),IFERROR(DATE(VALUE(MID(TRIM(N572&amp;" "&amp;O572),1,4)),VALUE(MID(TRIM(N572&amp;" "&amp;O572),6,2)),VALUE(MID(TRIM(N572&amp;" "&amp;O572),9,2))),IF(ISNUMBER(H572),H572,"")),"")</f>
        <v/>
      </c>
      <c r="AC572" s="11">
        <f>IF(ISNUMBER(SEARCH("다기관",TRIM(N572&amp;" "&amp;O572))),IFERROR(DATE(VALUE(MID(TRIM(N572&amp;" "&amp;O572),12,4)),VALUE(MID(TRIM(N572&amp;" "&amp;O572),17,2)),VALUE(MID(TRIM(N572&amp;" "&amp;O572),20,2))),IF(ISNUMBER(I572),I572,"")),"")</f>
        <v/>
      </c>
      <c r="AD572" s="17">
        <f>IF(AND(ISNUMBER(AB572),ISNUMBER(AC572)),MAX(0,MIN(AC572,EOMONTH(출력_요약!$B$3,0))-MAX(AB572,출력_요약!$B$3)+1),0)</f>
        <v/>
      </c>
      <c r="AE572" s="10">
        <f>IF(AND(Q572&lt;&gt;"",ISNUMBER(AB572)),Q572&amp;"|다기관","")</f>
        <v/>
      </c>
    </row>
    <row r="573">
      <c r="A573" s="15">
        <f>IF(F573="","",ROW()-3)</f>
        <v/>
      </c>
      <c r="B573" s="5" t="n"/>
      <c r="C573" s="15" t="n"/>
      <c r="D573" s="5" t="n"/>
      <c r="E573" s="15" t="n"/>
      <c r="F573" s="5" t="n"/>
      <c r="G573" s="6" t="n"/>
      <c r="H573" s="16" t="n"/>
      <c r="I573" s="16" t="n"/>
      <c r="J573" s="15">
        <f>IF(AND(ISNUMBER(H573),ISNUMBER(I573)),I573-H573+1,"")</f>
        <v/>
      </c>
      <c r="K573" s="5" t="n"/>
      <c r="L573" s="5" t="n"/>
      <c r="M573" s="5" t="n"/>
      <c r="N573" s="5" t="n"/>
      <c r="O573" s="5" t="n"/>
      <c r="Q573" s="10">
        <f>IF(TRIM(G573&amp;"")="","",TRIM(G573&amp;""))</f>
        <v/>
      </c>
      <c r="R573" s="10">
        <f>IF(TRIM(B573&amp;"")="","",IFERROR(INDEX(설정_코드표!$K$2:$K$101,MATCH(TRIM(B573&amp;""),설정_코드표!$J$2:$J$101,0)),"⚠"&amp;TRIM(B573&amp;"")))</f>
        <v/>
      </c>
      <c r="S573" s="10">
        <f>IF(TRIM(K573&amp;"")="","",IFERROR(INDEX(설정_코드표!$K$2:$K$101,MATCH(TRIM(K573&amp;""),설정_코드표!$J$2:$J$101,0)),"⚠"&amp;TRIM(K573&amp;"")))</f>
        <v/>
      </c>
      <c r="T573" s="10">
        <f>IF(TRIM(M573&amp;"")="","",IF(ISNUMBER(MATCH(TRIM(M573&amp;""),설정_코드표!$C$2:$C$11,0)),TRIM(M573&amp;""),"⚠"&amp;TRIM(M573&amp;"")))</f>
        <v/>
      </c>
      <c r="U573" s="10">
        <f>IF(TRIM(L573&amp;"")="","",IFERROR(INDEX(설정_코드표!$G$2:$G$101,MATCH(TRIM(L573&amp;""),설정_코드표!$F$2:$F$101,0)),"⚠"&amp;TRIM(L573&amp;"")))</f>
        <v/>
      </c>
      <c r="V573" s="10">
        <f>IF(AND(ISNUMBER(H573),ISNUMBER(I573)),I573-H573+1,"")</f>
        <v/>
      </c>
      <c r="W573" s="17">
        <f>IF(ISNUMBER(H573),MAX(0,MIN(IF(ISNUMBER(I573),I573,EOMONTH(출력_요약!$B$3,0)),EOMONTH(출력_요약!$B$3,0))-MAX(H573,출력_요약!$B$3)+1),0)</f>
        <v/>
      </c>
      <c r="X573" s="10">
        <f>IF(OR(NOT(ISNUMBER(H573)),Q573=""),"",IF(TODAY()&lt;H573,"파견예정",IF(AND(ISNUMBER(I573),TODAY()&gt;I573),"파견종료","파견중")))</f>
        <v/>
      </c>
      <c r="Y573" s="10">
        <f>IF(OR(Q573="",X573=""),"",Q573&amp;"|"&amp;X573)</f>
        <v/>
      </c>
      <c r="Z573" s="10">
        <f>IF(AND(Q573&lt;&gt;"",W573&gt;0),Q573&amp;"|월","")</f>
        <v/>
      </c>
      <c r="AA573" s="10">
        <f>IF(COUNTA(B573:I573,K573:N573)=0,"",IF(Q573="","등록번호 없음",IF(LEFT(R573,1)="⚠","모병원명 미등록",IF(S573="","파견병원 입력",IF(LEFT(S573,1)="⚠","파견병원명 미등록",IF(LEFT(U573,1)="⚠","파견과목 미등록",IF(OR(T573="",LEFT(T573,1)="⚠"),"파견근거 확인",IF(NOT(AND(ISNUMBER(H573),ISNUMBER(I573))),"날짜 형식/누락",IF(I573&lt;H573,"종료일&lt;시작일","")))))))))</f>
        <v/>
      </c>
      <c r="AB573" s="11">
        <f>IF(ISNUMBER(SEARCH("다기관",TRIM(N573&amp;" "&amp;O573))),IFERROR(DATE(VALUE(MID(TRIM(N573&amp;" "&amp;O573),1,4)),VALUE(MID(TRIM(N573&amp;" "&amp;O573),6,2)),VALUE(MID(TRIM(N573&amp;" "&amp;O573),9,2))),IF(ISNUMBER(H573),H573,"")),"")</f>
        <v/>
      </c>
      <c r="AC573" s="11">
        <f>IF(ISNUMBER(SEARCH("다기관",TRIM(N573&amp;" "&amp;O573))),IFERROR(DATE(VALUE(MID(TRIM(N573&amp;" "&amp;O573),12,4)),VALUE(MID(TRIM(N573&amp;" "&amp;O573),17,2)),VALUE(MID(TRIM(N573&amp;" "&amp;O573),20,2))),IF(ISNUMBER(I573),I573,"")),"")</f>
        <v/>
      </c>
      <c r="AD573" s="17">
        <f>IF(AND(ISNUMBER(AB573),ISNUMBER(AC573)),MAX(0,MIN(AC573,EOMONTH(출력_요약!$B$3,0))-MAX(AB573,출력_요약!$B$3)+1),0)</f>
        <v/>
      </c>
      <c r="AE573" s="10">
        <f>IF(AND(Q573&lt;&gt;"",ISNUMBER(AB573)),Q573&amp;"|다기관","")</f>
        <v/>
      </c>
    </row>
    <row r="574">
      <c r="A574" s="15">
        <f>IF(F574="","",ROW()-3)</f>
        <v/>
      </c>
      <c r="B574" s="5" t="n"/>
      <c r="C574" s="15" t="n"/>
      <c r="D574" s="5" t="n"/>
      <c r="E574" s="15" t="n"/>
      <c r="F574" s="5" t="n"/>
      <c r="G574" s="6" t="n"/>
      <c r="H574" s="16" t="n"/>
      <c r="I574" s="16" t="n"/>
      <c r="J574" s="15">
        <f>IF(AND(ISNUMBER(H574),ISNUMBER(I574)),I574-H574+1,"")</f>
        <v/>
      </c>
      <c r="K574" s="5" t="n"/>
      <c r="L574" s="5" t="n"/>
      <c r="M574" s="5" t="n"/>
      <c r="N574" s="5" t="n"/>
      <c r="O574" s="5" t="n"/>
      <c r="Q574" s="10">
        <f>IF(TRIM(G574&amp;"")="","",TRIM(G574&amp;""))</f>
        <v/>
      </c>
      <c r="R574" s="10">
        <f>IF(TRIM(B574&amp;"")="","",IFERROR(INDEX(설정_코드표!$K$2:$K$101,MATCH(TRIM(B574&amp;""),설정_코드표!$J$2:$J$101,0)),"⚠"&amp;TRIM(B574&amp;"")))</f>
        <v/>
      </c>
      <c r="S574" s="10">
        <f>IF(TRIM(K574&amp;"")="","",IFERROR(INDEX(설정_코드표!$K$2:$K$101,MATCH(TRIM(K574&amp;""),설정_코드표!$J$2:$J$101,0)),"⚠"&amp;TRIM(K574&amp;"")))</f>
        <v/>
      </c>
      <c r="T574" s="10">
        <f>IF(TRIM(M574&amp;"")="","",IF(ISNUMBER(MATCH(TRIM(M574&amp;""),설정_코드표!$C$2:$C$11,0)),TRIM(M574&amp;""),"⚠"&amp;TRIM(M574&amp;"")))</f>
        <v/>
      </c>
      <c r="U574" s="10">
        <f>IF(TRIM(L574&amp;"")="","",IFERROR(INDEX(설정_코드표!$G$2:$G$101,MATCH(TRIM(L574&amp;""),설정_코드표!$F$2:$F$101,0)),"⚠"&amp;TRIM(L574&amp;"")))</f>
        <v/>
      </c>
      <c r="V574" s="10">
        <f>IF(AND(ISNUMBER(H574),ISNUMBER(I574)),I574-H574+1,"")</f>
        <v/>
      </c>
      <c r="W574" s="17">
        <f>IF(ISNUMBER(H574),MAX(0,MIN(IF(ISNUMBER(I574),I574,EOMONTH(출력_요약!$B$3,0)),EOMONTH(출력_요약!$B$3,0))-MAX(H574,출력_요약!$B$3)+1),0)</f>
        <v/>
      </c>
      <c r="X574" s="10">
        <f>IF(OR(NOT(ISNUMBER(H574)),Q574=""),"",IF(TODAY()&lt;H574,"파견예정",IF(AND(ISNUMBER(I574),TODAY()&gt;I574),"파견종료","파견중")))</f>
        <v/>
      </c>
      <c r="Y574" s="10">
        <f>IF(OR(Q574="",X574=""),"",Q574&amp;"|"&amp;X574)</f>
        <v/>
      </c>
      <c r="Z574" s="10">
        <f>IF(AND(Q574&lt;&gt;"",W574&gt;0),Q574&amp;"|월","")</f>
        <v/>
      </c>
      <c r="AA574" s="10">
        <f>IF(COUNTA(B574:I574,K574:N574)=0,"",IF(Q574="","등록번호 없음",IF(LEFT(R574,1)="⚠","모병원명 미등록",IF(S574="","파견병원 입력",IF(LEFT(S574,1)="⚠","파견병원명 미등록",IF(LEFT(U574,1)="⚠","파견과목 미등록",IF(OR(T574="",LEFT(T574,1)="⚠"),"파견근거 확인",IF(NOT(AND(ISNUMBER(H574),ISNUMBER(I574))),"날짜 형식/누락",IF(I574&lt;H574,"종료일&lt;시작일","")))))))))</f>
        <v/>
      </c>
      <c r="AB574" s="11">
        <f>IF(ISNUMBER(SEARCH("다기관",TRIM(N574&amp;" "&amp;O574))),IFERROR(DATE(VALUE(MID(TRIM(N574&amp;" "&amp;O574),1,4)),VALUE(MID(TRIM(N574&amp;" "&amp;O574),6,2)),VALUE(MID(TRIM(N574&amp;" "&amp;O574),9,2))),IF(ISNUMBER(H574),H574,"")),"")</f>
        <v/>
      </c>
      <c r="AC574" s="11">
        <f>IF(ISNUMBER(SEARCH("다기관",TRIM(N574&amp;" "&amp;O574))),IFERROR(DATE(VALUE(MID(TRIM(N574&amp;" "&amp;O574),12,4)),VALUE(MID(TRIM(N574&amp;" "&amp;O574),17,2)),VALUE(MID(TRIM(N574&amp;" "&amp;O574),20,2))),IF(ISNUMBER(I574),I574,"")),"")</f>
        <v/>
      </c>
      <c r="AD574" s="17">
        <f>IF(AND(ISNUMBER(AB574),ISNUMBER(AC574)),MAX(0,MIN(AC574,EOMONTH(출력_요약!$B$3,0))-MAX(AB574,출력_요약!$B$3)+1),0)</f>
        <v/>
      </c>
      <c r="AE574" s="10">
        <f>IF(AND(Q574&lt;&gt;"",ISNUMBER(AB574)),Q574&amp;"|다기관","")</f>
        <v/>
      </c>
    </row>
    <row r="575">
      <c r="A575" s="15">
        <f>IF(F575="","",ROW()-3)</f>
        <v/>
      </c>
      <c r="B575" s="5" t="n"/>
      <c r="C575" s="15" t="n"/>
      <c r="D575" s="5" t="n"/>
      <c r="E575" s="15" t="n"/>
      <c r="F575" s="5" t="n"/>
      <c r="G575" s="6" t="n"/>
      <c r="H575" s="16" t="n"/>
      <c r="I575" s="16" t="n"/>
      <c r="J575" s="15">
        <f>IF(AND(ISNUMBER(H575),ISNUMBER(I575)),I575-H575+1,"")</f>
        <v/>
      </c>
      <c r="K575" s="5" t="n"/>
      <c r="L575" s="5" t="n"/>
      <c r="M575" s="5" t="n"/>
      <c r="N575" s="5" t="n"/>
      <c r="O575" s="5" t="n"/>
      <c r="Q575" s="10">
        <f>IF(TRIM(G575&amp;"")="","",TRIM(G575&amp;""))</f>
        <v/>
      </c>
      <c r="R575" s="10">
        <f>IF(TRIM(B575&amp;"")="","",IFERROR(INDEX(설정_코드표!$K$2:$K$101,MATCH(TRIM(B575&amp;""),설정_코드표!$J$2:$J$101,0)),"⚠"&amp;TRIM(B575&amp;"")))</f>
        <v/>
      </c>
      <c r="S575" s="10">
        <f>IF(TRIM(K575&amp;"")="","",IFERROR(INDEX(설정_코드표!$K$2:$K$101,MATCH(TRIM(K575&amp;""),설정_코드표!$J$2:$J$101,0)),"⚠"&amp;TRIM(K575&amp;"")))</f>
        <v/>
      </c>
      <c r="T575" s="10">
        <f>IF(TRIM(M575&amp;"")="","",IF(ISNUMBER(MATCH(TRIM(M575&amp;""),설정_코드표!$C$2:$C$11,0)),TRIM(M575&amp;""),"⚠"&amp;TRIM(M575&amp;"")))</f>
        <v/>
      </c>
      <c r="U575" s="10">
        <f>IF(TRIM(L575&amp;"")="","",IFERROR(INDEX(설정_코드표!$G$2:$G$101,MATCH(TRIM(L575&amp;""),설정_코드표!$F$2:$F$101,0)),"⚠"&amp;TRIM(L575&amp;"")))</f>
        <v/>
      </c>
      <c r="V575" s="10">
        <f>IF(AND(ISNUMBER(H575),ISNUMBER(I575)),I575-H575+1,"")</f>
        <v/>
      </c>
      <c r="W575" s="17">
        <f>IF(ISNUMBER(H575),MAX(0,MIN(IF(ISNUMBER(I575),I575,EOMONTH(출력_요약!$B$3,0)),EOMONTH(출력_요약!$B$3,0))-MAX(H575,출력_요약!$B$3)+1),0)</f>
        <v/>
      </c>
      <c r="X575" s="10">
        <f>IF(OR(NOT(ISNUMBER(H575)),Q575=""),"",IF(TODAY()&lt;H575,"파견예정",IF(AND(ISNUMBER(I575),TODAY()&gt;I575),"파견종료","파견중")))</f>
        <v/>
      </c>
      <c r="Y575" s="10">
        <f>IF(OR(Q575="",X575=""),"",Q575&amp;"|"&amp;X575)</f>
        <v/>
      </c>
      <c r="Z575" s="10">
        <f>IF(AND(Q575&lt;&gt;"",W575&gt;0),Q575&amp;"|월","")</f>
        <v/>
      </c>
      <c r="AA575" s="10">
        <f>IF(COUNTA(B575:I575,K575:N575)=0,"",IF(Q575="","등록번호 없음",IF(LEFT(R575,1)="⚠","모병원명 미등록",IF(S575="","파견병원 입력",IF(LEFT(S575,1)="⚠","파견병원명 미등록",IF(LEFT(U575,1)="⚠","파견과목 미등록",IF(OR(T575="",LEFT(T575,1)="⚠"),"파견근거 확인",IF(NOT(AND(ISNUMBER(H575),ISNUMBER(I575))),"날짜 형식/누락",IF(I575&lt;H575,"종료일&lt;시작일","")))))))))</f>
        <v/>
      </c>
      <c r="AB575" s="11">
        <f>IF(ISNUMBER(SEARCH("다기관",TRIM(N575&amp;" "&amp;O575))),IFERROR(DATE(VALUE(MID(TRIM(N575&amp;" "&amp;O575),1,4)),VALUE(MID(TRIM(N575&amp;" "&amp;O575),6,2)),VALUE(MID(TRIM(N575&amp;" "&amp;O575),9,2))),IF(ISNUMBER(H575),H575,"")),"")</f>
        <v/>
      </c>
      <c r="AC575" s="11">
        <f>IF(ISNUMBER(SEARCH("다기관",TRIM(N575&amp;" "&amp;O575))),IFERROR(DATE(VALUE(MID(TRIM(N575&amp;" "&amp;O575),12,4)),VALUE(MID(TRIM(N575&amp;" "&amp;O575),17,2)),VALUE(MID(TRIM(N575&amp;" "&amp;O575),20,2))),IF(ISNUMBER(I575),I575,"")),"")</f>
        <v/>
      </c>
      <c r="AD575" s="17">
        <f>IF(AND(ISNUMBER(AB575),ISNUMBER(AC575)),MAX(0,MIN(AC575,EOMONTH(출력_요약!$B$3,0))-MAX(AB575,출력_요약!$B$3)+1),0)</f>
        <v/>
      </c>
      <c r="AE575" s="10">
        <f>IF(AND(Q575&lt;&gt;"",ISNUMBER(AB575)),Q575&amp;"|다기관","")</f>
        <v/>
      </c>
    </row>
    <row r="576">
      <c r="A576" s="15">
        <f>IF(F576="","",ROW()-3)</f>
        <v/>
      </c>
      <c r="B576" s="5" t="n"/>
      <c r="C576" s="15" t="n"/>
      <c r="D576" s="5" t="n"/>
      <c r="E576" s="15" t="n"/>
      <c r="F576" s="5" t="n"/>
      <c r="G576" s="6" t="n"/>
      <c r="H576" s="16" t="n"/>
      <c r="I576" s="16" t="n"/>
      <c r="J576" s="15">
        <f>IF(AND(ISNUMBER(H576),ISNUMBER(I576)),I576-H576+1,"")</f>
        <v/>
      </c>
      <c r="K576" s="5" t="n"/>
      <c r="L576" s="5" t="n"/>
      <c r="M576" s="5" t="n"/>
      <c r="N576" s="5" t="n"/>
      <c r="O576" s="5" t="n"/>
      <c r="Q576" s="10">
        <f>IF(TRIM(G576&amp;"")="","",TRIM(G576&amp;""))</f>
        <v/>
      </c>
      <c r="R576" s="10">
        <f>IF(TRIM(B576&amp;"")="","",IFERROR(INDEX(설정_코드표!$K$2:$K$101,MATCH(TRIM(B576&amp;""),설정_코드표!$J$2:$J$101,0)),"⚠"&amp;TRIM(B576&amp;"")))</f>
        <v/>
      </c>
      <c r="S576" s="10">
        <f>IF(TRIM(K576&amp;"")="","",IFERROR(INDEX(설정_코드표!$K$2:$K$101,MATCH(TRIM(K576&amp;""),설정_코드표!$J$2:$J$101,0)),"⚠"&amp;TRIM(K576&amp;"")))</f>
        <v/>
      </c>
      <c r="T576" s="10">
        <f>IF(TRIM(M576&amp;"")="","",IF(ISNUMBER(MATCH(TRIM(M576&amp;""),설정_코드표!$C$2:$C$11,0)),TRIM(M576&amp;""),"⚠"&amp;TRIM(M576&amp;"")))</f>
        <v/>
      </c>
      <c r="U576" s="10">
        <f>IF(TRIM(L576&amp;"")="","",IFERROR(INDEX(설정_코드표!$G$2:$G$101,MATCH(TRIM(L576&amp;""),설정_코드표!$F$2:$F$101,0)),"⚠"&amp;TRIM(L576&amp;"")))</f>
        <v/>
      </c>
      <c r="V576" s="10">
        <f>IF(AND(ISNUMBER(H576),ISNUMBER(I576)),I576-H576+1,"")</f>
        <v/>
      </c>
      <c r="W576" s="17">
        <f>IF(ISNUMBER(H576),MAX(0,MIN(IF(ISNUMBER(I576),I576,EOMONTH(출력_요약!$B$3,0)),EOMONTH(출력_요약!$B$3,0))-MAX(H576,출력_요약!$B$3)+1),0)</f>
        <v/>
      </c>
      <c r="X576" s="10">
        <f>IF(OR(NOT(ISNUMBER(H576)),Q576=""),"",IF(TODAY()&lt;H576,"파견예정",IF(AND(ISNUMBER(I576),TODAY()&gt;I576),"파견종료","파견중")))</f>
        <v/>
      </c>
      <c r="Y576" s="10">
        <f>IF(OR(Q576="",X576=""),"",Q576&amp;"|"&amp;X576)</f>
        <v/>
      </c>
      <c r="Z576" s="10">
        <f>IF(AND(Q576&lt;&gt;"",W576&gt;0),Q576&amp;"|월","")</f>
        <v/>
      </c>
      <c r="AA576" s="10">
        <f>IF(COUNTA(B576:I576,K576:N576)=0,"",IF(Q576="","등록번호 없음",IF(LEFT(R576,1)="⚠","모병원명 미등록",IF(S576="","파견병원 입력",IF(LEFT(S576,1)="⚠","파견병원명 미등록",IF(LEFT(U576,1)="⚠","파견과목 미등록",IF(OR(T576="",LEFT(T576,1)="⚠"),"파견근거 확인",IF(NOT(AND(ISNUMBER(H576),ISNUMBER(I576))),"날짜 형식/누락",IF(I576&lt;H576,"종료일&lt;시작일","")))))))))</f>
        <v/>
      </c>
      <c r="AB576" s="11">
        <f>IF(ISNUMBER(SEARCH("다기관",TRIM(N576&amp;" "&amp;O576))),IFERROR(DATE(VALUE(MID(TRIM(N576&amp;" "&amp;O576),1,4)),VALUE(MID(TRIM(N576&amp;" "&amp;O576),6,2)),VALUE(MID(TRIM(N576&amp;" "&amp;O576),9,2))),IF(ISNUMBER(H576),H576,"")),"")</f>
        <v/>
      </c>
      <c r="AC576" s="11">
        <f>IF(ISNUMBER(SEARCH("다기관",TRIM(N576&amp;" "&amp;O576))),IFERROR(DATE(VALUE(MID(TRIM(N576&amp;" "&amp;O576),12,4)),VALUE(MID(TRIM(N576&amp;" "&amp;O576),17,2)),VALUE(MID(TRIM(N576&amp;" "&amp;O576),20,2))),IF(ISNUMBER(I576),I576,"")),"")</f>
        <v/>
      </c>
      <c r="AD576" s="17">
        <f>IF(AND(ISNUMBER(AB576),ISNUMBER(AC576)),MAX(0,MIN(AC576,EOMONTH(출력_요약!$B$3,0))-MAX(AB576,출력_요약!$B$3)+1),0)</f>
        <v/>
      </c>
      <c r="AE576" s="10">
        <f>IF(AND(Q576&lt;&gt;"",ISNUMBER(AB576)),Q576&amp;"|다기관","")</f>
        <v/>
      </c>
    </row>
    <row r="577">
      <c r="A577" s="15">
        <f>IF(F577="","",ROW()-3)</f>
        <v/>
      </c>
      <c r="B577" s="5" t="n"/>
      <c r="C577" s="15" t="n"/>
      <c r="D577" s="5" t="n"/>
      <c r="E577" s="15" t="n"/>
      <c r="F577" s="5" t="n"/>
      <c r="G577" s="6" t="n"/>
      <c r="H577" s="16" t="n"/>
      <c r="I577" s="16" t="n"/>
      <c r="J577" s="15">
        <f>IF(AND(ISNUMBER(H577),ISNUMBER(I577)),I577-H577+1,"")</f>
        <v/>
      </c>
      <c r="K577" s="5" t="n"/>
      <c r="L577" s="5" t="n"/>
      <c r="M577" s="5" t="n"/>
      <c r="N577" s="5" t="n"/>
      <c r="O577" s="5" t="n"/>
      <c r="Q577" s="10">
        <f>IF(TRIM(G577&amp;"")="","",TRIM(G577&amp;""))</f>
        <v/>
      </c>
      <c r="R577" s="10">
        <f>IF(TRIM(B577&amp;"")="","",IFERROR(INDEX(설정_코드표!$K$2:$K$101,MATCH(TRIM(B577&amp;""),설정_코드표!$J$2:$J$101,0)),"⚠"&amp;TRIM(B577&amp;"")))</f>
        <v/>
      </c>
      <c r="S577" s="10">
        <f>IF(TRIM(K577&amp;"")="","",IFERROR(INDEX(설정_코드표!$K$2:$K$101,MATCH(TRIM(K577&amp;""),설정_코드표!$J$2:$J$101,0)),"⚠"&amp;TRIM(K577&amp;"")))</f>
        <v/>
      </c>
      <c r="T577" s="10">
        <f>IF(TRIM(M577&amp;"")="","",IF(ISNUMBER(MATCH(TRIM(M577&amp;""),설정_코드표!$C$2:$C$11,0)),TRIM(M577&amp;""),"⚠"&amp;TRIM(M577&amp;"")))</f>
        <v/>
      </c>
      <c r="U577" s="10">
        <f>IF(TRIM(L577&amp;"")="","",IFERROR(INDEX(설정_코드표!$G$2:$G$101,MATCH(TRIM(L577&amp;""),설정_코드표!$F$2:$F$101,0)),"⚠"&amp;TRIM(L577&amp;"")))</f>
        <v/>
      </c>
      <c r="V577" s="10">
        <f>IF(AND(ISNUMBER(H577),ISNUMBER(I577)),I577-H577+1,"")</f>
        <v/>
      </c>
      <c r="W577" s="17">
        <f>IF(ISNUMBER(H577),MAX(0,MIN(IF(ISNUMBER(I577),I577,EOMONTH(출력_요약!$B$3,0)),EOMONTH(출력_요약!$B$3,0))-MAX(H577,출력_요약!$B$3)+1),0)</f>
        <v/>
      </c>
      <c r="X577" s="10">
        <f>IF(OR(NOT(ISNUMBER(H577)),Q577=""),"",IF(TODAY()&lt;H577,"파견예정",IF(AND(ISNUMBER(I577),TODAY()&gt;I577),"파견종료","파견중")))</f>
        <v/>
      </c>
      <c r="Y577" s="10">
        <f>IF(OR(Q577="",X577=""),"",Q577&amp;"|"&amp;X577)</f>
        <v/>
      </c>
      <c r="Z577" s="10">
        <f>IF(AND(Q577&lt;&gt;"",W577&gt;0),Q577&amp;"|월","")</f>
        <v/>
      </c>
      <c r="AA577" s="10">
        <f>IF(COUNTA(B577:I577,K577:N577)=0,"",IF(Q577="","등록번호 없음",IF(LEFT(R577,1)="⚠","모병원명 미등록",IF(S577="","파견병원 입력",IF(LEFT(S577,1)="⚠","파견병원명 미등록",IF(LEFT(U577,1)="⚠","파견과목 미등록",IF(OR(T577="",LEFT(T577,1)="⚠"),"파견근거 확인",IF(NOT(AND(ISNUMBER(H577),ISNUMBER(I577))),"날짜 형식/누락",IF(I577&lt;H577,"종료일&lt;시작일","")))))))))</f>
        <v/>
      </c>
      <c r="AB577" s="11">
        <f>IF(ISNUMBER(SEARCH("다기관",TRIM(N577&amp;" "&amp;O577))),IFERROR(DATE(VALUE(MID(TRIM(N577&amp;" "&amp;O577),1,4)),VALUE(MID(TRIM(N577&amp;" "&amp;O577),6,2)),VALUE(MID(TRIM(N577&amp;" "&amp;O577),9,2))),IF(ISNUMBER(H577),H577,"")),"")</f>
        <v/>
      </c>
      <c r="AC577" s="11">
        <f>IF(ISNUMBER(SEARCH("다기관",TRIM(N577&amp;" "&amp;O577))),IFERROR(DATE(VALUE(MID(TRIM(N577&amp;" "&amp;O577),12,4)),VALUE(MID(TRIM(N577&amp;" "&amp;O577),17,2)),VALUE(MID(TRIM(N577&amp;" "&amp;O577),20,2))),IF(ISNUMBER(I577),I577,"")),"")</f>
        <v/>
      </c>
      <c r="AD577" s="17">
        <f>IF(AND(ISNUMBER(AB577),ISNUMBER(AC577)),MAX(0,MIN(AC577,EOMONTH(출력_요약!$B$3,0))-MAX(AB577,출력_요약!$B$3)+1),0)</f>
        <v/>
      </c>
      <c r="AE577" s="10">
        <f>IF(AND(Q577&lt;&gt;"",ISNUMBER(AB577)),Q577&amp;"|다기관","")</f>
        <v/>
      </c>
    </row>
    <row r="578">
      <c r="A578" s="15">
        <f>IF(F578="","",ROW()-3)</f>
        <v/>
      </c>
      <c r="B578" s="5" t="n"/>
      <c r="C578" s="15" t="n"/>
      <c r="D578" s="5" t="n"/>
      <c r="E578" s="15" t="n"/>
      <c r="F578" s="5" t="n"/>
      <c r="G578" s="6" t="n"/>
      <c r="H578" s="16" t="n"/>
      <c r="I578" s="16" t="n"/>
      <c r="J578" s="15">
        <f>IF(AND(ISNUMBER(H578),ISNUMBER(I578)),I578-H578+1,"")</f>
        <v/>
      </c>
      <c r="K578" s="5" t="n"/>
      <c r="L578" s="5" t="n"/>
      <c r="M578" s="5" t="n"/>
      <c r="N578" s="5" t="n"/>
      <c r="O578" s="5" t="n"/>
      <c r="Q578" s="10">
        <f>IF(TRIM(G578&amp;"")="","",TRIM(G578&amp;""))</f>
        <v/>
      </c>
      <c r="R578" s="10">
        <f>IF(TRIM(B578&amp;"")="","",IFERROR(INDEX(설정_코드표!$K$2:$K$101,MATCH(TRIM(B578&amp;""),설정_코드표!$J$2:$J$101,0)),"⚠"&amp;TRIM(B578&amp;"")))</f>
        <v/>
      </c>
      <c r="S578" s="10">
        <f>IF(TRIM(K578&amp;"")="","",IFERROR(INDEX(설정_코드표!$K$2:$K$101,MATCH(TRIM(K578&amp;""),설정_코드표!$J$2:$J$101,0)),"⚠"&amp;TRIM(K578&amp;"")))</f>
        <v/>
      </c>
      <c r="T578" s="10">
        <f>IF(TRIM(M578&amp;"")="","",IF(ISNUMBER(MATCH(TRIM(M578&amp;""),설정_코드표!$C$2:$C$11,0)),TRIM(M578&amp;""),"⚠"&amp;TRIM(M578&amp;"")))</f>
        <v/>
      </c>
      <c r="U578" s="10">
        <f>IF(TRIM(L578&amp;"")="","",IFERROR(INDEX(설정_코드표!$G$2:$G$101,MATCH(TRIM(L578&amp;""),설정_코드표!$F$2:$F$101,0)),"⚠"&amp;TRIM(L578&amp;"")))</f>
        <v/>
      </c>
      <c r="V578" s="10">
        <f>IF(AND(ISNUMBER(H578),ISNUMBER(I578)),I578-H578+1,"")</f>
        <v/>
      </c>
      <c r="W578" s="17">
        <f>IF(ISNUMBER(H578),MAX(0,MIN(IF(ISNUMBER(I578),I578,EOMONTH(출력_요약!$B$3,0)),EOMONTH(출력_요약!$B$3,0))-MAX(H578,출력_요약!$B$3)+1),0)</f>
        <v/>
      </c>
      <c r="X578" s="10">
        <f>IF(OR(NOT(ISNUMBER(H578)),Q578=""),"",IF(TODAY()&lt;H578,"파견예정",IF(AND(ISNUMBER(I578),TODAY()&gt;I578),"파견종료","파견중")))</f>
        <v/>
      </c>
      <c r="Y578" s="10">
        <f>IF(OR(Q578="",X578=""),"",Q578&amp;"|"&amp;X578)</f>
        <v/>
      </c>
      <c r="Z578" s="10">
        <f>IF(AND(Q578&lt;&gt;"",W578&gt;0),Q578&amp;"|월","")</f>
        <v/>
      </c>
      <c r="AA578" s="10">
        <f>IF(COUNTA(B578:I578,K578:N578)=0,"",IF(Q578="","등록번호 없음",IF(LEFT(R578,1)="⚠","모병원명 미등록",IF(S578="","파견병원 입력",IF(LEFT(S578,1)="⚠","파견병원명 미등록",IF(LEFT(U578,1)="⚠","파견과목 미등록",IF(OR(T578="",LEFT(T578,1)="⚠"),"파견근거 확인",IF(NOT(AND(ISNUMBER(H578),ISNUMBER(I578))),"날짜 형식/누락",IF(I578&lt;H578,"종료일&lt;시작일","")))))))))</f>
        <v/>
      </c>
      <c r="AB578" s="11">
        <f>IF(ISNUMBER(SEARCH("다기관",TRIM(N578&amp;" "&amp;O578))),IFERROR(DATE(VALUE(MID(TRIM(N578&amp;" "&amp;O578),1,4)),VALUE(MID(TRIM(N578&amp;" "&amp;O578),6,2)),VALUE(MID(TRIM(N578&amp;" "&amp;O578),9,2))),IF(ISNUMBER(H578),H578,"")),"")</f>
        <v/>
      </c>
      <c r="AC578" s="11">
        <f>IF(ISNUMBER(SEARCH("다기관",TRIM(N578&amp;" "&amp;O578))),IFERROR(DATE(VALUE(MID(TRIM(N578&amp;" "&amp;O578),12,4)),VALUE(MID(TRIM(N578&amp;" "&amp;O578),17,2)),VALUE(MID(TRIM(N578&amp;" "&amp;O578),20,2))),IF(ISNUMBER(I578),I578,"")),"")</f>
        <v/>
      </c>
      <c r="AD578" s="17">
        <f>IF(AND(ISNUMBER(AB578),ISNUMBER(AC578)),MAX(0,MIN(AC578,EOMONTH(출력_요약!$B$3,0))-MAX(AB578,출력_요약!$B$3)+1),0)</f>
        <v/>
      </c>
      <c r="AE578" s="10">
        <f>IF(AND(Q578&lt;&gt;"",ISNUMBER(AB578)),Q578&amp;"|다기관","")</f>
        <v/>
      </c>
    </row>
    <row r="579">
      <c r="A579" s="15">
        <f>IF(F579="","",ROW()-3)</f>
        <v/>
      </c>
      <c r="B579" s="5" t="n"/>
      <c r="C579" s="15" t="n"/>
      <c r="D579" s="5" t="n"/>
      <c r="E579" s="15" t="n"/>
      <c r="F579" s="5" t="n"/>
      <c r="G579" s="6" t="n"/>
      <c r="H579" s="16" t="n"/>
      <c r="I579" s="16" t="n"/>
      <c r="J579" s="15">
        <f>IF(AND(ISNUMBER(H579),ISNUMBER(I579)),I579-H579+1,"")</f>
        <v/>
      </c>
      <c r="K579" s="5" t="n"/>
      <c r="L579" s="5" t="n"/>
      <c r="M579" s="5" t="n"/>
      <c r="N579" s="5" t="n"/>
      <c r="O579" s="5" t="n"/>
      <c r="Q579" s="10">
        <f>IF(TRIM(G579&amp;"")="","",TRIM(G579&amp;""))</f>
        <v/>
      </c>
      <c r="R579" s="10">
        <f>IF(TRIM(B579&amp;"")="","",IFERROR(INDEX(설정_코드표!$K$2:$K$101,MATCH(TRIM(B579&amp;""),설정_코드표!$J$2:$J$101,0)),"⚠"&amp;TRIM(B579&amp;"")))</f>
        <v/>
      </c>
      <c r="S579" s="10">
        <f>IF(TRIM(K579&amp;"")="","",IFERROR(INDEX(설정_코드표!$K$2:$K$101,MATCH(TRIM(K579&amp;""),설정_코드표!$J$2:$J$101,0)),"⚠"&amp;TRIM(K579&amp;"")))</f>
        <v/>
      </c>
      <c r="T579" s="10">
        <f>IF(TRIM(M579&amp;"")="","",IF(ISNUMBER(MATCH(TRIM(M579&amp;""),설정_코드표!$C$2:$C$11,0)),TRIM(M579&amp;""),"⚠"&amp;TRIM(M579&amp;"")))</f>
        <v/>
      </c>
      <c r="U579" s="10">
        <f>IF(TRIM(L579&amp;"")="","",IFERROR(INDEX(설정_코드표!$G$2:$G$101,MATCH(TRIM(L579&amp;""),설정_코드표!$F$2:$F$101,0)),"⚠"&amp;TRIM(L579&amp;"")))</f>
        <v/>
      </c>
      <c r="V579" s="10">
        <f>IF(AND(ISNUMBER(H579),ISNUMBER(I579)),I579-H579+1,"")</f>
        <v/>
      </c>
      <c r="W579" s="17">
        <f>IF(ISNUMBER(H579),MAX(0,MIN(IF(ISNUMBER(I579),I579,EOMONTH(출력_요약!$B$3,0)),EOMONTH(출력_요약!$B$3,0))-MAX(H579,출력_요약!$B$3)+1),0)</f>
        <v/>
      </c>
      <c r="X579" s="10">
        <f>IF(OR(NOT(ISNUMBER(H579)),Q579=""),"",IF(TODAY()&lt;H579,"파견예정",IF(AND(ISNUMBER(I579),TODAY()&gt;I579),"파견종료","파견중")))</f>
        <v/>
      </c>
      <c r="Y579" s="10">
        <f>IF(OR(Q579="",X579=""),"",Q579&amp;"|"&amp;X579)</f>
        <v/>
      </c>
      <c r="Z579" s="10">
        <f>IF(AND(Q579&lt;&gt;"",W579&gt;0),Q579&amp;"|월","")</f>
        <v/>
      </c>
      <c r="AA579" s="10">
        <f>IF(COUNTA(B579:I579,K579:N579)=0,"",IF(Q579="","등록번호 없음",IF(LEFT(R579,1)="⚠","모병원명 미등록",IF(S579="","파견병원 입력",IF(LEFT(S579,1)="⚠","파견병원명 미등록",IF(LEFT(U579,1)="⚠","파견과목 미등록",IF(OR(T579="",LEFT(T579,1)="⚠"),"파견근거 확인",IF(NOT(AND(ISNUMBER(H579),ISNUMBER(I579))),"날짜 형식/누락",IF(I579&lt;H579,"종료일&lt;시작일","")))))))))</f>
        <v/>
      </c>
      <c r="AB579" s="11">
        <f>IF(ISNUMBER(SEARCH("다기관",TRIM(N579&amp;" "&amp;O579))),IFERROR(DATE(VALUE(MID(TRIM(N579&amp;" "&amp;O579),1,4)),VALUE(MID(TRIM(N579&amp;" "&amp;O579),6,2)),VALUE(MID(TRIM(N579&amp;" "&amp;O579),9,2))),IF(ISNUMBER(H579),H579,"")),"")</f>
        <v/>
      </c>
      <c r="AC579" s="11">
        <f>IF(ISNUMBER(SEARCH("다기관",TRIM(N579&amp;" "&amp;O579))),IFERROR(DATE(VALUE(MID(TRIM(N579&amp;" "&amp;O579),12,4)),VALUE(MID(TRIM(N579&amp;" "&amp;O579),17,2)),VALUE(MID(TRIM(N579&amp;" "&amp;O579),20,2))),IF(ISNUMBER(I579),I579,"")),"")</f>
        <v/>
      </c>
      <c r="AD579" s="17">
        <f>IF(AND(ISNUMBER(AB579),ISNUMBER(AC579)),MAX(0,MIN(AC579,EOMONTH(출력_요약!$B$3,0))-MAX(AB579,출력_요약!$B$3)+1),0)</f>
        <v/>
      </c>
      <c r="AE579" s="10">
        <f>IF(AND(Q579&lt;&gt;"",ISNUMBER(AB579)),Q579&amp;"|다기관","")</f>
        <v/>
      </c>
    </row>
    <row r="580">
      <c r="A580" s="15">
        <f>IF(F580="","",ROW()-3)</f>
        <v/>
      </c>
      <c r="B580" s="5" t="n"/>
      <c r="C580" s="15" t="n"/>
      <c r="D580" s="5" t="n"/>
      <c r="E580" s="15" t="n"/>
      <c r="F580" s="5" t="n"/>
      <c r="G580" s="6" t="n"/>
      <c r="H580" s="16" t="n"/>
      <c r="I580" s="16" t="n"/>
      <c r="J580" s="15">
        <f>IF(AND(ISNUMBER(H580),ISNUMBER(I580)),I580-H580+1,"")</f>
        <v/>
      </c>
      <c r="K580" s="5" t="n"/>
      <c r="L580" s="5" t="n"/>
      <c r="M580" s="5" t="n"/>
      <c r="N580" s="5" t="n"/>
      <c r="O580" s="5" t="n"/>
      <c r="Q580" s="10">
        <f>IF(TRIM(G580&amp;"")="","",TRIM(G580&amp;""))</f>
        <v/>
      </c>
      <c r="R580" s="10">
        <f>IF(TRIM(B580&amp;"")="","",IFERROR(INDEX(설정_코드표!$K$2:$K$101,MATCH(TRIM(B580&amp;""),설정_코드표!$J$2:$J$101,0)),"⚠"&amp;TRIM(B580&amp;"")))</f>
        <v/>
      </c>
      <c r="S580" s="10">
        <f>IF(TRIM(K580&amp;"")="","",IFERROR(INDEX(설정_코드표!$K$2:$K$101,MATCH(TRIM(K580&amp;""),설정_코드표!$J$2:$J$101,0)),"⚠"&amp;TRIM(K580&amp;"")))</f>
        <v/>
      </c>
      <c r="T580" s="10">
        <f>IF(TRIM(M580&amp;"")="","",IF(ISNUMBER(MATCH(TRIM(M580&amp;""),설정_코드표!$C$2:$C$11,0)),TRIM(M580&amp;""),"⚠"&amp;TRIM(M580&amp;"")))</f>
        <v/>
      </c>
      <c r="U580" s="10">
        <f>IF(TRIM(L580&amp;"")="","",IFERROR(INDEX(설정_코드표!$G$2:$G$101,MATCH(TRIM(L580&amp;""),설정_코드표!$F$2:$F$101,0)),"⚠"&amp;TRIM(L580&amp;"")))</f>
        <v/>
      </c>
      <c r="V580" s="10">
        <f>IF(AND(ISNUMBER(H580),ISNUMBER(I580)),I580-H580+1,"")</f>
        <v/>
      </c>
      <c r="W580" s="17">
        <f>IF(ISNUMBER(H580),MAX(0,MIN(IF(ISNUMBER(I580),I580,EOMONTH(출력_요약!$B$3,0)),EOMONTH(출력_요약!$B$3,0))-MAX(H580,출력_요약!$B$3)+1),0)</f>
        <v/>
      </c>
      <c r="X580" s="10">
        <f>IF(OR(NOT(ISNUMBER(H580)),Q580=""),"",IF(TODAY()&lt;H580,"파견예정",IF(AND(ISNUMBER(I580),TODAY()&gt;I580),"파견종료","파견중")))</f>
        <v/>
      </c>
      <c r="Y580" s="10">
        <f>IF(OR(Q580="",X580=""),"",Q580&amp;"|"&amp;X580)</f>
        <v/>
      </c>
      <c r="Z580" s="10">
        <f>IF(AND(Q580&lt;&gt;"",W580&gt;0),Q580&amp;"|월","")</f>
        <v/>
      </c>
      <c r="AA580" s="10">
        <f>IF(COUNTA(B580:I580,K580:N580)=0,"",IF(Q580="","등록번호 없음",IF(LEFT(R580,1)="⚠","모병원명 미등록",IF(S580="","파견병원 입력",IF(LEFT(S580,1)="⚠","파견병원명 미등록",IF(LEFT(U580,1)="⚠","파견과목 미등록",IF(OR(T580="",LEFT(T580,1)="⚠"),"파견근거 확인",IF(NOT(AND(ISNUMBER(H580),ISNUMBER(I580))),"날짜 형식/누락",IF(I580&lt;H580,"종료일&lt;시작일","")))))))))</f>
        <v/>
      </c>
      <c r="AB580" s="11">
        <f>IF(ISNUMBER(SEARCH("다기관",TRIM(N580&amp;" "&amp;O580))),IFERROR(DATE(VALUE(MID(TRIM(N580&amp;" "&amp;O580),1,4)),VALUE(MID(TRIM(N580&amp;" "&amp;O580),6,2)),VALUE(MID(TRIM(N580&amp;" "&amp;O580),9,2))),IF(ISNUMBER(H580),H580,"")),"")</f>
        <v/>
      </c>
      <c r="AC580" s="11">
        <f>IF(ISNUMBER(SEARCH("다기관",TRIM(N580&amp;" "&amp;O580))),IFERROR(DATE(VALUE(MID(TRIM(N580&amp;" "&amp;O580),12,4)),VALUE(MID(TRIM(N580&amp;" "&amp;O580),17,2)),VALUE(MID(TRIM(N580&amp;" "&amp;O580),20,2))),IF(ISNUMBER(I580),I580,"")),"")</f>
        <v/>
      </c>
      <c r="AD580" s="17">
        <f>IF(AND(ISNUMBER(AB580),ISNUMBER(AC580)),MAX(0,MIN(AC580,EOMONTH(출력_요약!$B$3,0))-MAX(AB580,출력_요약!$B$3)+1),0)</f>
        <v/>
      </c>
      <c r="AE580" s="10">
        <f>IF(AND(Q580&lt;&gt;"",ISNUMBER(AB580)),Q580&amp;"|다기관","")</f>
        <v/>
      </c>
    </row>
    <row r="581">
      <c r="A581" s="15">
        <f>IF(F581="","",ROW()-3)</f>
        <v/>
      </c>
      <c r="B581" s="5" t="n"/>
      <c r="C581" s="15" t="n"/>
      <c r="D581" s="5" t="n"/>
      <c r="E581" s="15" t="n"/>
      <c r="F581" s="5" t="n"/>
      <c r="G581" s="6" t="n"/>
      <c r="H581" s="16" t="n"/>
      <c r="I581" s="16" t="n"/>
      <c r="J581" s="15">
        <f>IF(AND(ISNUMBER(H581),ISNUMBER(I581)),I581-H581+1,"")</f>
        <v/>
      </c>
      <c r="K581" s="5" t="n"/>
      <c r="L581" s="5" t="n"/>
      <c r="M581" s="5" t="n"/>
      <c r="N581" s="5" t="n"/>
      <c r="O581" s="5" t="n"/>
      <c r="Q581" s="10">
        <f>IF(TRIM(G581&amp;"")="","",TRIM(G581&amp;""))</f>
        <v/>
      </c>
      <c r="R581" s="10">
        <f>IF(TRIM(B581&amp;"")="","",IFERROR(INDEX(설정_코드표!$K$2:$K$101,MATCH(TRIM(B581&amp;""),설정_코드표!$J$2:$J$101,0)),"⚠"&amp;TRIM(B581&amp;"")))</f>
        <v/>
      </c>
      <c r="S581" s="10">
        <f>IF(TRIM(K581&amp;"")="","",IFERROR(INDEX(설정_코드표!$K$2:$K$101,MATCH(TRIM(K581&amp;""),설정_코드표!$J$2:$J$101,0)),"⚠"&amp;TRIM(K581&amp;"")))</f>
        <v/>
      </c>
      <c r="T581" s="10">
        <f>IF(TRIM(M581&amp;"")="","",IF(ISNUMBER(MATCH(TRIM(M581&amp;""),설정_코드표!$C$2:$C$11,0)),TRIM(M581&amp;""),"⚠"&amp;TRIM(M581&amp;"")))</f>
        <v/>
      </c>
      <c r="U581" s="10">
        <f>IF(TRIM(L581&amp;"")="","",IFERROR(INDEX(설정_코드표!$G$2:$G$101,MATCH(TRIM(L581&amp;""),설정_코드표!$F$2:$F$101,0)),"⚠"&amp;TRIM(L581&amp;"")))</f>
        <v/>
      </c>
      <c r="V581" s="10">
        <f>IF(AND(ISNUMBER(H581),ISNUMBER(I581)),I581-H581+1,"")</f>
        <v/>
      </c>
      <c r="W581" s="17">
        <f>IF(ISNUMBER(H581),MAX(0,MIN(IF(ISNUMBER(I581),I581,EOMONTH(출력_요약!$B$3,0)),EOMONTH(출력_요약!$B$3,0))-MAX(H581,출력_요약!$B$3)+1),0)</f>
        <v/>
      </c>
      <c r="X581" s="10">
        <f>IF(OR(NOT(ISNUMBER(H581)),Q581=""),"",IF(TODAY()&lt;H581,"파견예정",IF(AND(ISNUMBER(I581),TODAY()&gt;I581),"파견종료","파견중")))</f>
        <v/>
      </c>
      <c r="Y581" s="10">
        <f>IF(OR(Q581="",X581=""),"",Q581&amp;"|"&amp;X581)</f>
        <v/>
      </c>
      <c r="Z581" s="10">
        <f>IF(AND(Q581&lt;&gt;"",W581&gt;0),Q581&amp;"|월","")</f>
        <v/>
      </c>
      <c r="AA581" s="10">
        <f>IF(COUNTA(B581:I581,K581:N581)=0,"",IF(Q581="","등록번호 없음",IF(LEFT(R581,1)="⚠","모병원명 미등록",IF(S581="","파견병원 입력",IF(LEFT(S581,1)="⚠","파견병원명 미등록",IF(LEFT(U581,1)="⚠","파견과목 미등록",IF(OR(T581="",LEFT(T581,1)="⚠"),"파견근거 확인",IF(NOT(AND(ISNUMBER(H581),ISNUMBER(I581))),"날짜 형식/누락",IF(I581&lt;H581,"종료일&lt;시작일","")))))))))</f>
        <v/>
      </c>
      <c r="AB581" s="11">
        <f>IF(ISNUMBER(SEARCH("다기관",TRIM(N581&amp;" "&amp;O581))),IFERROR(DATE(VALUE(MID(TRIM(N581&amp;" "&amp;O581),1,4)),VALUE(MID(TRIM(N581&amp;" "&amp;O581),6,2)),VALUE(MID(TRIM(N581&amp;" "&amp;O581),9,2))),IF(ISNUMBER(H581),H581,"")),"")</f>
        <v/>
      </c>
      <c r="AC581" s="11">
        <f>IF(ISNUMBER(SEARCH("다기관",TRIM(N581&amp;" "&amp;O581))),IFERROR(DATE(VALUE(MID(TRIM(N581&amp;" "&amp;O581),12,4)),VALUE(MID(TRIM(N581&amp;" "&amp;O581),17,2)),VALUE(MID(TRIM(N581&amp;" "&amp;O581),20,2))),IF(ISNUMBER(I581),I581,"")),"")</f>
        <v/>
      </c>
      <c r="AD581" s="17">
        <f>IF(AND(ISNUMBER(AB581),ISNUMBER(AC581)),MAX(0,MIN(AC581,EOMONTH(출력_요약!$B$3,0))-MAX(AB581,출력_요약!$B$3)+1),0)</f>
        <v/>
      </c>
      <c r="AE581" s="10">
        <f>IF(AND(Q581&lt;&gt;"",ISNUMBER(AB581)),Q581&amp;"|다기관","")</f>
        <v/>
      </c>
    </row>
    <row r="582">
      <c r="A582" s="15">
        <f>IF(F582="","",ROW()-3)</f>
        <v/>
      </c>
      <c r="B582" s="5" t="n"/>
      <c r="C582" s="15" t="n"/>
      <c r="D582" s="5" t="n"/>
      <c r="E582" s="15" t="n"/>
      <c r="F582" s="5" t="n"/>
      <c r="G582" s="6" t="n"/>
      <c r="H582" s="16" t="n"/>
      <c r="I582" s="16" t="n"/>
      <c r="J582" s="15">
        <f>IF(AND(ISNUMBER(H582),ISNUMBER(I582)),I582-H582+1,"")</f>
        <v/>
      </c>
      <c r="K582" s="5" t="n"/>
      <c r="L582" s="5" t="n"/>
      <c r="M582" s="5" t="n"/>
      <c r="N582" s="5" t="n"/>
      <c r="O582" s="5" t="n"/>
      <c r="Q582" s="10">
        <f>IF(TRIM(G582&amp;"")="","",TRIM(G582&amp;""))</f>
        <v/>
      </c>
      <c r="R582" s="10">
        <f>IF(TRIM(B582&amp;"")="","",IFERROR(INDEX(설정_코드표!$K$2:$K$101,MATCH(TRIM(B582&amp;""),설정_코드표!$J$2:$J$101,0)),"⚠"&amp;TRIM(B582&amp;"")))</f>
        <v/>
      </c>
      <c r="S582" s="10">
        <f>IF(TRIM(K582&amp;"")="","",IFERROR(INDEX(설정_코드표!$K$2:$K$101,MATCH(TRIM(K582&amp;""),설정_코드표!$J$2:$J$101,0)),"⚠"&amp;TRIM(K582&amp;"")))</f>
        <v/>
      </c>
      <c r="T582" s="10">
        <f>IF(TRIM(M582&amp;"")="","",IF(ISNUMBER(MATCH(TRIM(M582&amp;""),설정_코드표!$C$2:$C$11,0)),TRIM(M582&amp;""),"⚠"&amp;TRIM(M582&amp;"")))</f>
        <v/>
      </c>
      <c r="U582" s="10">
        <f>IF(TRIM(L582&amp;"")="","",IFERROR(INDEX(설정_코드표!$G$2:$G$101,MATCH(TRIM(L582&amp;""),설정_코드표!$F$2:$F$101,0)),"⚠"&amp;TRIM(L582&amp;"")))</f>
        <v/>
      </c>
      <c r="V582" s="10">
        <f>IF(AND(ISNUMBER(H582),ISNUMBER(I582)),I582-H582+1,"")</f>
        <v/>
      </c>
      <c r="W582" s="17">
        <f>IF(ISNUMBER(H582),MAX(0,MIN(IF(ISNUMBER(I582),I582,EOMONTH(출력_요약!$B$3,0)),EOMONTH(출력_요약!$B$3,0))-MAX(H582,출력_요약!$B$3)+1),0)</f>
        <v/>
      </c>
      <c r="X582" s="10">
        <f>IF(OR(NOT(ISNUMBER(H582)),Q582=""),"",IF(TODAY()&lt;H582,"파견예정",IF(AND(ISNUMBER(I582),TODAY()&gt;I582),"파견종료","파견중")))</f>
        <v/>
      </c>
      <c r="Y582" s="10">
        <f>IF(OR(Q582="",X582=""),"",Q582&amp;"|"&amp;X582)</f>
        <v/>
      </c>
      <c r="Z582" s="10">
        <f>IF(AND(Q582&lt;&gt;"",W582&gt;0),Q582&amp;"|월","")</f>
        <v/>
      </c>
      <c r="AA582" s="10">
        <f>IF(COUNTA(B582:I582,K582:N582)=0,"",IF(Q582="","등록번호 없음",IF(LEFT(R582,1)="⚠","모병원명 미등록",IF(S582="","파견병원 입력",IF(LEFT(S582,1)="⚠","파견병원명 미등록",IF(LEFT(U582,1)="⚠","파견과목 미등록",IF(OR(T582="",LEFT(T582,1)="⚠"),"파견근거 확인",IF(NOT(AND(ISNUMBER(H582),ISNUMBER(I582))),"날짜 형식/누락",IF(I582&lt;H582,"종료일&lt;시작일","")))))))))</f>
        <v/>
      </c>
      <c r="AB582" s="11">
        <f>IF(ISNUMBER(SEARCH("다기관",TRIM(N582&amp;" "&amp;O582))),IFERROR(DATE(VALUE(MID(TRIM(N582&amp;" "&amp;O582),1,4)),VALUE(MID(TRIM(N582&amp;" "&amp;O582),6,2)),VALUE(MID(TRIM(N582&amp;" "&amp;O582),9,2))),IF(ISNUMBER(H582),H582,"")),"")</f>
        <v/>
      </c>
      <c r="AC582" s="11">
        <f>IF(ISNUMBER(SEARCH("다기관",TRIM(N582&amp;" "&amp;O582))),IFERROR(DATE(VALUE(MID(TRIM(N582&amp;" "&amp;O582),12,4)),VALUE(MID(TRIM(N582&amp;" "&amp;O582),17,2)),VALUE(MID(TRIM(N582&amp;" "&amp;O582),20,2))),IF(ISNUMBER(I582),I582,"")),"")</f>
        <v/>
      </c>
      <c r="AD582" s="17">
        <f>IF(AND(ISNUMBER(AB582),ISNUMBER(AC582)),MAX(0,MIN(AC582,EOMONTH(출력_요약!$B$3,0))-MAX(AB582,출력_요약!$B$3)+1),0)</f>
        <v/>
      </c>
      <c r="AE582" s="10">
        <f>IF(AND(Q582&lt;&gt;"",ISNUMBER(AB582)),Q582&amp;"|다기관","")</f>
        <v/>
      </c>
    </row>
    <row r="583">
      <c r="A583" s="15">
        <f>IF(F583="","",ROW()-3)</f>
        <v/>
      </c>
      <c r="B583" s="5" t="n"/>
      <c r="C583" s="15" t="n"/>
      <c r="D583" s="5" t="n"/>
      <c r="E583" s="15" t="n"/>
      <c r="F583" s="5" t="n"/>
      <c r="G583" s="6" t="n"/>
      <c r="H583" s="16" t="n"/>
      <c r="I583" s="16" t="n"/>
      <c r="J583" s="15">
        <f>IF(AND(ISNUMBER(H583),ISNUMBER(I583)),I583-H583+1,"")</f>
        <v/>
      </c>
      <c r="K583" s="5" t="n"/>
      <c r="L583" s="5" t="n"/>
      <c r="M583" s="5" t="n"/>
      <c r="N583" s="5" t="n"/>
      <c r="O583" s="5" t="n"/>
      <c r="Q583" s="10">
        <f>IF(TRIM(G583&amp;"")="","",TRIM(G583&amp;""))</f>
        <v/>
      </c>
      <c r="R583" s="10">
        <f>IF(TRIM(B583&amp;"")="","",IFERROR(INDEX(설정_코드표!$K$2:$K$101,MATCH(TRIM(B583&amp;""),설정_코드표!$J$2:$J$101,0)),"⚠"&amp;TRIM(B583&amp;"")))</f>
        <v/>
      </c>
      <c r="S583" s="10">
        <f>IF(TRIM(K583&amp;"")="","",IFERROR(INDEX(설정_코드표!$K$2:$K$101,MATCH(TRIM(K583&amp;""),설정_코드표!$J$2:$J$101,0)),"⚠"&amp;TRIM(K583&amp;"")))</f>
        <v/>
      </c>
      <c r="T583" s="10">
        <f>IF(TRIM(M583&amp;"")="","",IF(ISNUMBER(MATCH(TRIM(M583&amp;""),설정_코드표!$C$2:$C$11,0)),TRIM(M583&amp;""),"⚠"&amp;TRIM(M583&amp;"")))</f>
        <v/>
      </c>
      <c r="U583" s="10">
        <f>IF(TRIM(L583&amp;"")="","",IFERROR(INDEX(설정_코드표!$G$2:$G$101,MATCH(TRIM(L583&amp;""),설정_코드표!$F$2:$F$101,0)),"⚠"&amp;TRIM(L583&amp;"")))</f>
        <v/>
      </c>
      <c r="V583" s="10">
        <f>IF(AND(ISNUMBER(H583),ISNUMBER(I583)),I583-H583+1,"")</f>
        <v/>
      </c>
      <c r="W583" s="17">
        <f>IF(ISNUMBER(H583),MAX(0,MIN(IF(ISNUMBER(I583),I583,EOMONTH(출력_요약!$B$3,0)),EOMONTH(출력_요약!$B$3,0))-MAX(H583,출력_요약!$B$3)+1),0)</f>
        <v/>
      </c>
      <c r="X583" s="10">
        <f>IF(OR(NOT(ISNUMBER(H583)),Q583=""),"",IF(TODAY()&lt;H583,"파견예정",IF(AND(ISNUMBER(I583),TODAY()&gt;I583),"파견종료","파견중")))</f>
        <v/>
      </c>
      <c r="Y583" s="10">
        <f>IF(OR(Q583="",X583=""),"",Q583&amp;"|"&amp;X583)</f>
        <v/>
      </c>
      <c r="Z583" s="10">
        <f>IF(AND(Q583&lt;&gt;"",W583&gt;0),Q583&amp;"|월","")</f>
        <v/>
      </c>
      <c r="AA583" s="10">
        <f>IF(COUNTA(B583:I583,K583:N583)=0,"",IF(Q583="","등록번호 없음",IF(LEFT(R583,1)="⚠","모병원명 미등록",IF(S583="","파견병원 입력",IF(LEFT(S583,1)="⚠","파견병원명 미등록",IF(LEFT(U583,1)="⚠","파견과목 미등록",IF(OR(T583="",LEFT(T583,1)="⚠"),"파견근거 확인",IF(NOT(AND(ISNUMBER(H583),ISNUMBER(I583))),"날짜 형식/누락",IF(I583&lt;H583,"종료일&lt;시작일","")))))))))</f>
        <v/>
      </c>
      <c r="AB583" s="11">
        <f>IF(ISNUMBER(SEARCH("다기관",TRIM(N583&amp;" "&amp;O583))),IFERROR(DATE(VALUE(MID(TRIM(N583&amp;" "&amp;O583),1,4)),VALUE(MID(TRIM(N583&amp;" "&amp;O583),6,2)),VALUE(MID(TRIM(N583&amp;" "&amp;O583),9,2))),IF(ISNUMBER(H583),H583,"")),"")</f>
        <v/>
      </c>
      <c r="AC583" s="11">
        <f>IF(ISNUMBER(SEARCH("다기관",TRIM(N583&amp;" "&amp;O583))),IFERROR(DATE(VALUE(MID(TRIM(N583&amp;" "&amp;O583),12,4)),VALUE(MID(TRIM(N583&amp;" "&amp;O583),17,2)),VALUE(MID(TRIM(N583&amp;" "&amp;O583),20,2))),IF(ISNUMBER(I583),I583,"")),"")</f>
        <v/>
      </c>
      <c r="AD583" s="17">
        <f>IF(AND(ISNUMBER(AB583),ISNUMBER(AC583)),MAX(0,MIN(AC583,EOMONTH(출력_요약!$B$3,0))-MAX(AB583,출력_요약!$B$3)+1),0)</f>
        <v/>
      </c>
      <c r="AE583" s="10">
        <f>IF(AND(Q583&lt;&gt;"",ISNUMBER(AB583)),Q583&amp;"|다기관","")</f>
        <v/>
      </c>
    </row>
    <row r="584">
      <c r="A584" s="15">
        <f>IF(F584="","",ROW()-3)</f>
        <v/>
      </c>
      <c r="B584" s="5" t="n"/>
      <c r="C584" s="15" t="n"/>
      <c r="D584" s="5" t="n"/>
      <c r="E584" s="15" t="n"/>
      <c r="F584" s="5" t="n"/>
      <c r="G584" s="6" t="n"/>
      <c r="H584" s="16" t="n"/>
      <c r="I584" s="16" t="n"/>
      <c r="J584" s="15">
        <f>IF(AND(ISNUMBER(H584),ISNUMBER(I584)),I584-H584+1,"")</f>
        <v/>
      </c>
      <c r="K584" s="5" t="n"/>
      <c r="L584" s="5" t="n"/>
      <c r="M584" s="5" t="n"/>
      <c r="N584" s="5" t="n"/>
      <c r="O584" s="5" t="n"/>
      <c r="Q584" s="10">
        <f>IF(TRIM(G584&amp;"")="","",TRIM(G584&amp;""))</f>
        <v/>
      </c>
      <c r="R584" s="10">
        <f>IF(TRIM(B584&amp;"")="","",IFERROR(INDEX(설정_코드표!$K$2:$K$101,MATCH(TRIM(B584&amp;""),설정_코드표!$J$2:$J$101,0)),"⚠"&amp;TRIM(B584&amp;"")))</f>
        <v/>
      </c>
      <c r="S584" s="10">
        <f>IF(TRIM(K584&amp;"")="","",IFERROR(INDEX(설정_코드표!$K$2:$K$101,MATCH(TRIM(K584&amp;""),설정_코드표!$J$2:$J$101,0)),"⚠"&amp;TRIM(K584&amp;"")))</f>
        <v/>
      </c>
      <c r="T584" s="10">
        <f>IF(TRIM(M584&amp;"")="","",IF(ISNUMBER(MATCH(TRIM(M584&amp;""),설정_코드표!$C$2:$C$11,0)),TRIM(M584&amp;""),"⚠"&amp;TRIM(M584&amp;"")))</f>
        <v/>
      </c>
      <c r="U584" s="10">
        <f>IF(TRIM(L584&amp;"")="","",IFERROR(INDEX(설정_코드표!$G$2:$G$101,MATCH(TRIM(L584&amp;""),설정_코드표!$F$2:$F$101,0)),"⚠"&amp;TRIM(L584&amp;"")))</f>
        <v/>
      </c>
      <c r="V584" s="10">
        <f>IF(AND(ISNUMBER(H584),ISNUMBER(I584)),I584-H584+1,"")</f>
        <v/>
      </c>
      <c r="W584" s="17">
        <f>IF(ISNUMBER(H584),MAX(0,MIN(IF(ISNUMBER(I584),I584,EOMONTH(출력_요약!$B$3,0)),EOMONTH(출력_요약!$B$3,0))-MAX(H584,출력_요약!$B$3)+1),0)</f>
        <v/>
      </c>
      <c r="X584" s="10">
        <f>IF(OR(NOT(ISNUMBER(H584)),Q584=""),"",IF(TODAY()&lt;H584,"파견예정",IF(AND(ISNUMBER(I584),TODAY()&gt;I584),"파견종료","파견중")))</f>
        <v/>
      </c>
      <c r="Y584" s="10">
        <f>IF(OR(Q584="",X584=""),"",Q584&amp;"|"&amp;X584)</f>
        <v/>
      </c>
      <c r="Z584" s="10">
        <f>IF(AND(Q584&lt;&gt;"",W584&gt;0),Q584&amp;"|월","")</f>
        <v/>
      </c>
      <c r="AA584" s="10">
        <f>IF(COUNTA(B584:I584,K584:N584)=0,"",IF(Q584="","등록번호 없음",IF(LEFT(R584,1)="⚠","모병원명 미등록",IF(S584="","파견병원 입력",IF(LEFT(S584,1)="⚠","파견병원명 미등록",IF(LEFT(U584,1)="⚠","파견과목 미등록",IF(OR(T584="",LEFT(T584,1)="⚠"),"파견근거 확인",IF(NOT(AND(ISNUMBER(H584),ISNUMBER(I584))),"날짜 형식/누락",IF(I584&lt;H584,"종료일&lt;시작일","")))))))))</f>
        <v/>
      </c>
      <c r="AB584" s="11">
        <f>IF(ISNUMBER(SEARCH("다기관",TRIM(N584&amp;" "&amp;O584))),IFERROR(DATE(VALUE(MID(TRIM(N584&amp;" "&amp;O584),1,4)),VALUE(MID(TRIM(N584&amp;" "&amp;O584),6,2)),VALUE(MID(TRIM(N584&amp;" "&amp;O584),9,2))),IF(ISNUMBER(H584),H584,"")),"")</f>
        <v/>
      </c>
      <c r="AC584" s="11">
        <f>IF(ISNUMBER(SEARCH("다기관",TRIM(N584&amp;" "&amp;O584))),IFERROR(DATE(VALUE(MID(TRIM(N584&amp;" "&amp;O584),12,4)),VALUE(MID(TRIM(N584&amp;" "&amp;O584),17,2)),VALUE(MID(TRIM(N584&amp;" "&amp;O584),20,2))),IF(ISNUMBER(I584),I584,"")),"")</f>
        <v/>
      </c>
      <c r="AD584" s="17">
        <f>IF(AND(ISNUMBER(AB584),ISNUMBER(AC584)),MAX(0,MIN(AC584,EOMONTH(출력_요약!$B$3,0))-MAX(AB584,출력_요약!$B$3)+1),0)</f>
        <v/>
      </c>
      <c r="AE584" s="10">
        <f>IF(AND(Q584&lt;&gt;"",ISNUMBER(AB584)),Q584&amp;"|다기관","")</f>
        <v/>
      </c>
    </row>
    <row r="585">
      <c r="A585" s="15">
        <f>IF(F585="","",ROW()-3)</f>
        <v/>
      </c>
      <c r="B585" s="5" t="n"/>
      <c r="C585" s="15" t="n"/>
      <c r="D585" s="5" t="n"/>
      <c r="E585" s="15" t="n"/>
      <c r="F585" s="5" t="n"/>
      <c r="G585" s="6" t="n"/>
      <c r="H585" s="16" t="n"/>
      <c r="I585" s="16" t="n"/>
      <c r="J585" s="15">
        <f>IF(AND(ISNUMBER(H585),ISNUMBER(I585)),I585-H585+1,"")</f>
        <v/>
      </c>
      <c r="K585" s="5" t="n"/>
      <c r="L585" s="5" t="n"/>
      <c r="M585" s="5" t="n"/>
      <c r="N585" s="5" t="n"/>
      <c r="O585" s="5" t="n"/>
      <c r="Q585" s="10">
        <f>IF(TRIM(G585&amp;"")="","",TRIM(G585&amp;""))</f>
        <v/>
      </c>
      <c r="R585" s="10">
        <f>IF(TRIM(B585&amp;"")="","",IFERROR(INDEX(설정_코드표!$K$2:$K$101,MATCH(TRIM(B585&amp;""),설정_코드표!$J$2:$J$101,0)),"⚠"&amp;TRIM(B585&amp;"")))</f>
        <v/>
      </c>
      <c r="S585" s="10">
        <f>IF(TRIM(K585&amp;"")="","",IFERROR(INDEX(설정_코드표!$K$2:$K$101,MATCH(TRIM(K585&amp;""),설정_코드표!$J$2:$J$101,0)),"⚠"&amp;TRIM(K585&amp;"")))</f>
        <v/>
      </c>
      <c r="T585" s="10">
        <f>IF(TRIM(M585&amp;"")="","",IF(ISNUMBER(MATCH(TRIM(M585&amp;""),설정_코드표!$C$2:$C$11,0)),TRIM(M585&amp;""),"⚠"&amp;TRIM(M585&amp;"")))</f>
        <v/>
      </c>
      <c r="U585" s="10">
        <f>IF(TRIM(L585&amp;"")="","",IFERROR(INDEX(설정_코드표!$G$2:$G$101,MATCH(TRIM(L585&amp;""),설정_코드표!$F$2:$F$101,0)),"⚠"&amp;TRIM(L585&amp;"")))</f>
        <v/>
      </c>
      <c r="V585" s="10">
        <f>IF(AND(ISNUMBER(H585),ISNUMBER(I585)),I585-H585+1,"")</f>
        <v/>
      </c>
      <c r="W585" s="17">
        <f>IF(ISNUMBER(H585),MAX(0,MIN(IF(ISNUMBER(I585),I585,EOMONTH(출력_요약!$B$3,0)),EOMONTH(출력_요약!$B$3,0))-MAX(H585,출력_요약!$B$3)+1),0)</f>
        <v/>
      </c>
      <c r="X585" s="10">
        <f>IF(OR(NOT(ISNUMBER(H585)),Q585=""),"",IF(TODAY()&lt;H585,"파견예정",IF(AND(ISNUMBER(I585),TODAY()&gt;I585),"파견종료","파견중")))</f>
        <v/>
      </c>
      <c r="Y585" s="10">
        <f>IF(OR(Q585="",X585=""),"",Q585&amp;"|"&amp;X585)</f>
        <v/>
      </c>
      <c r="Z585" s="10">
        <f>IF(AND(Q585&lt;&gt;"",W585&gt;0),Q585&amp;"|월","")</f>
        <v/>
      </c>
      <c r="AA585" s="10">
        <f>IF(COUNTA(B585:I585,K585:N585)=0,"",IF(Q585="","등록번호 없음",IF(LEFT(R585,1)="⚠","모병원명 미등록",IF(S585="","파견병원 입력",IF(LEFT(S585,1)="⚠","파견병원명 미등록",IF(LEFT(U585,1)="⚠","파견과목 미등록",IF(OR(T585="",LEFT(T585,1)="⚠"),"파견근거 확인",IF(NOT(AND(ISNUMBER(H585),ISNUMBER(I585))),"날짜 형식/누락",IF(I585&lt;H585,"종료일&lt;시작일","")))))))))</f>
        <v/>
      </c>
      <c r="AB585" s="11">
        <f>IF(ISNUMBER(SEARCH("다기관",TRIM(N585&amp;" "&amp;O585))),IFERROR(DATE(VALUE(MID(TRIM(N585&amp;" "&amp;O585),1,4)),VALUE(MID(TRIM(N585&amp;" "&amp;O585),6,2)),VALUE(MID(TRIM(N585&amp;" "&amp;O585),9,2))),IF(ISNUMBER(H585),H585,"")),"")</f>
        <v/>
      </c>
      <c r="AC585" s="11">
        <f>IF(ISNUMBER(SEARCH("다기관",TRIM(N585&amp;" "&amp;O585))),IFERROR(DATE(VALUE(MID(TRIM(N585&amp;" "&amp;O585),12,4)),VALUE(MID(TRIM(N585&amp;" "&amp;O585),17,2)),VALUE(MID(TRIM(N585&amp;" "&amp;O585),20,2))),IF(ISNUMBER(I585),I585,"")),"")</f>
        <v/>
      </c>
      <c r="AD585" s="17">
        <f>IF(AND(ISNUMBER(AB585),ISNUMBER(AC585)),MAX(0,MIN(AC585,EOMONTH(출력_요약!$B$3,0))-MAX(AB585,출력_요약!$B$3)+1),0)</f>
        <v/>
      </c>
      <c r="AE585" s="10">
        <f>IF(AND(Q585&lt;&gt;"",ISNUMBER(AB585)),Q585&amp;"|다기관","")</f>
        <v/>
      </c>
    </row>
    <row r="586">
      <c r="A586" s="15">
        <f>IF(F586="","",ROW()-3)</f>
        <v/>
      </c>
      <c r="B586" s="5" t="n"/>
      <c r="C586" s="15" t="n"/>
      <c r="D586" s="5" t="n"/>
      <c r="E586" s="15" t="n"/>
      <c r="F586" s="5" t="n"/>
      <c r="G586" s="6" t="n"/>
      <c r="H586" s="16" t="n"/>
      <c r="I586" s="16" t="n"/>
      <c r="J586" s="15">
        <f>IF(AND(ISNUMBER(H586),ISNUMBER(I586)),I586-H586+1,"")</f>
        <v/>
      </c>
      <c r="K586" s="5" t="n"/>
      <c r="L586" s="5" t="n"/>
      <c r="M586" s="5" t="n"/>
      <c r="N586" s="5" t="n"/>
      <c r="O586" s="5" t="n"/>
      <c r="Q586" s="10">
        <f>IF(TRIM(G586&amp;"")="","",TRIM(G586&amp;""))</f>
        <v/>
      </c>
      <c r="R586" s="10">
        <f>IF(TRIM(B586&amp;"")="","",IFERROR(INDEX(설정_코드표!$K$2:$K$101,MATCH(TRIM(B586&amp;""),설정_코드표!$J$2:$J$101,0)),"⚠"&amp;TRIM(B586&amp;"")))</f>
        <v/>
      </c>
      <c r="S586" s="10">
        <f>IF(TRIM(K586&amp;"")="","",IFERROR(INDEX(설정_코드표!$K$2:$K$101,MATCH(TRIM(K586&amp;""),설정_코드표!$J$2:$J$101,0)),"⚠"&amp;TRIM(K586&amp;"")))</f>
        <v/>
      </c>
      <c r="T586" s="10">
        <f>IF(TRIM(M586&amp;"")="","",IF(ISNUMBER(MATCH(TRIM(M586&amp;""),설정_코드표!$C$2:$C$11,0)),TRIM(M586&amp;""),"⚠"&amp;TRIM(M586&amp;"")))</f>
        <v/>
      </c>
      <c r="U586" s="10">
        <f>IF(TRIM(L586&amp;"")="","",IFERROR(INDEX(설정_코드표!$G$2:$G$101,MATCH(TRIM(L586&amp;""),설정_코드표!$F$2:$F$101,0)),"⚠"&amp;TRIM(L586&amp;"")))</f>
        <v/>
      </c>
      <c r="V586" s="10">
        <f>IF(AND(ISNUMBER(H586),ISNUMBER(I586)),I586-H586+1,"")</f>
        <v/>
      </c>
      <c r="W586" s="17">
        <f>IF(ISNUMBER(H586),MAX(0,MIN(IF(ISNUMBER(I586),I586,EOMONTH(출력_요약!$B$3,0)),EOMONTH(출력_요약!$B$3,0))-MAX(H586,출력_요약!$B$3)+1),0)</f>
        <v/>
      </c>
      <c r="X586" s="10">
        <f>IF(OR(NOT(ISNUMBER(H586)),Q586=""),"",IF(TODAY()&lt;H586,"파견예정",IF(AND(ISNUMBER(I586),TODAY()&gt;I586),"파견종료","파견중")))</f>
        <v/>
      </c>
      <c r="Y586" s="10">
        <f>IF(OR(Q586="",X586=""),"",Q586&amp;"|"&amp;X586)</f>
        <v/>
      </c>
      <c r="Z586" s="10">
        <f>IF(AND(Q586&lt;&gt;"",W586&gt;0),Q586&amp;"|월","")</f>
        <v/>
      </c>
      <c r="AA586" s="10">
        <f>IF(COUNTA(B586:I586,K586:N586)=0,"",IF(Q586="","등록번호 없음",IF(LEFT(R586,1)="⚠","모병원명 미등록",IF(S586="","파견병원 입력",IF(LEFT(S586,1)="⚠","파견병원명 미등록",IF(LEFT(U586,1)="⚠","파견과목 미등록",IF(OR(T586="",LEFT(T586,1)="⚠"),"파견근거 확인",IF(NOT(AND(ISNUMBER(H586),ISNUMBER(I586))),"날짜 형식/누락",IF(I586&lt;H586,"종료일&lt;시작일","")))))))))</f>
        <v/>
      </c>
      <c r="AB586" s="11">
        <f>IF(ISNUMBER(SEARCH("다기관",TRIM(N586&amp;" "&amp;O586))),IFERROR(DATE(VALUE(MID(TRIM(N586&amp;" "&amp;O586),1,4)),VALUE(MID(TRIM(N586&amp;" "&amp;O586),6,2)),VALUE(MID(TRIM(N586&amp;" "&amp;O586),9,2))),IF(ISNUMBER(H586),H586,"")),"")</f>
        <v/>
      </c>
      <c r="AC586" s="11">
        <f>IF(ISNUMBER(SEARCH("다기관",TRIM(N586&amp;" "&amp;O586))),IFERROR(DATE(VALUE(MID(TRIM(N586&amp;" "&amp;O586),12,4)),VALUE(MID(TRIM(N586&amp;" "&amp;O586),17,2)),VALUE(MID(TRIM(N586&amp;" "&amp;O586),20,2))),IF(ISNUMBER(I586),I586,"")),"")</f>
        <v/>
      </c>
      <c r="AD586" s="17">
        <f>IF(AND(ISNUMBER(AB586),ISNUMBER(AC586)),MAX(0,MIN(AC586,EOMONTH(출력_요약!$B$3,0))-MAX(AB586,출력_요약!$B$3)+1),0)</f>
        <v/>
      </c>
      <c r="AE586" s="10">
        <f>IF(AND(Q586&lt;&gt;"",ISNUMBER(AB586)),Q586&amp;"|다기관","")</f>
        <v/>
      </c>
    </row>
    <row r="587">
      <c r="A587" s="15">
        <f>IF(F587="","",ROW()-3)</f>
        <v/>
      </c>
      <c r="B587" s="5" t="n"/>
      <c r="C587" s="15" t="n"/>
      <c r="D587" s="5" t="n"/>
      <c r="E587" s="15" t="n"/>
      <c r="F587" s="5" t="n"/>
      <c r="G587" s="6" t="n"/>
      <c r="H587" s="16" t="n"/>
      <c r="I587" s="16" t="n"/>
      <c r="J587" s="15">
        <f>IF(AND(ISNUMBER(H587),ISNUMBER(I587)),I587-H587+1,"")</f>
        <v/>
      </c>
      <c r="K587" s="5" t="n"/>
      <c r="L587" s="5" t="n"/>
      <c r="M587" s="5" t="n"/>
      <c r="N587" s="5" t="n"/>
      <c r="O587" s="5" t="n"/>
      <c r="Q587" s="10">
        <f>IF(TRIM(G587&amp;"")="","",TRIM(G587&amp;""))</f>
        <v/>
      </c>
      <c r="R587" s="10">
        <f>IF(TRIM(B587&amp;"")="","",IFERROR(INDEX(설정_코드표!$K$2:$K$101,MATCH(TRIM(B587&amp;""),설정_코드표!$J$2:$J$101,0)),"⚠"&amp;TRIM(B587&amp;"")))</f>
        <v/>
      </c>
      <c r="S587" s="10">
        <f>IF(TRIM(K587&amp;"")="","",IFERROR(INDEX(설정_코드표!$K$2:$K$101,MATCH(TRIM(K587&amp;""),설정_코드표!$J$2:$J$101,0)),"⚠"&amp;TRIM(K587&amp;"")))</f>
        <v/>
      </c>
      <c r="T587" s="10">
        <f>IF(TRIM(M587&amp;"")="","",IF(ISNUMBER(MATCH(TRIM(M587&amp;""),설정_코드표!$C$2:$C$11,0)),TRIM(M587&amp;""),"⚠"&amp;TRIM(M587&amp;"")))</f>
        <v/>
      </c>
      <c r="U587" s="10">
        <f>IF(TRIM(L587&amp;"")="","",IFERROR(INDEX(설정_코드표!$G$2:$G$101,MATCH(TRIM(L587&amp;""),설정_코드표!$F$2:$F$101,0)),"⚠"&amp;TRIM(L587&amp;"")))</f>
        <v/>
      </c>
      <c r="V587" s="10">
        <f>IF(AND(ISNUMBER(H587),ISNUMBER(I587)),I587-H587+1,"")</f>
        <v/>
      </c>
      <c r="W587" s="17">
        <f>IF(ISNUMBER(H587),MAX(0,MIN(IF(ISNUMBER(I587),I587,EOMONTH(출력_요약!$B$3,0)),EOMONTH(출력_요약!$B$3,0))-MAX(H587,출력_요약!$B$3)+1),0)</f>
        <v/>
      </c>
      <c r="X587" s="10">
        <f>IF(OR(NOT(ISNUMBER(H587)),Q587=""),"",IF(TODAY()&lt;H587,"파견예정",IF(AND(ISNUMBER(I587),TODAY()&gt;I587),"파견종료","파견중")))</f>
        <v/>
      </c>
      <c r="Y587" s="10">
        <f>IF(OR(Q587="",X587=""),"",Q587&amp;"|"&amp;X587)</f>
        <v/>
      </c>
      <c r="Z587" s="10">
        <f>IF(AND(Q587&lt;&gt;"",W587&gt;0),Q587&amp;"|월","")</f>
        <v/>
      </c>
      <c r="AA587" s="10">
        <f>IF(COUNTA(B587:I587,K587:N587)=0,"",IF(Q587="","등록번호 없음",IF(LEFT(R587,1)="⚠","모병원명 미등록",IF(S587="","파견병원 입력",IF(LEFT(S587,1)="⚠","파견병원명 미등록",IF(LEFT(U587,1)="⚠","파견과목 미등록",IF(OR(T587="",LEFT(T587,1)="⚠"),"파견근거 확인",IF(NOT(AND(ISNUMBER(H587),ISNUMBER(I587))),"날짜 형식/누락",IF(I587&lt;H587,"종료일&lt;시작일","")))))))))</f>
        <v/>
      </c>
      <c r="AB587" s="11">
        <f>IF(ISNUMBER(SEARCH("다기관",TRIM(N587&amp;" "&amp;O587))),IFERROR(DATE(VALUE(MID(TRIM(N587&amp;" "&amp;O587),1,4)),VALUE(MID(TRIM(N587&amp;" "&amp;O587),6,2)),VALUE(MID(TRIM(N587&amp;" "&amp;O587),9,2))),IF(ISNUMBER(H587),H587,"")),"")</f>
        <v/>
      </c>
      <c r="AC587" s="11">
        <f>IF(ISNUMBER(SEARCH("다기관",TRIM(N587&amp;" "&amp;O587))),IFERROR(DATE(VALUE(MID(TRIM(N587&amp;" "&amp;O587),12,4)),VALUE(MID(TRIM(N587&amp;" "&amp;O587),17,2)),VALUE(MID(TRIM(N587&amp;" "&amp;O587),20,2))),IF(ISNUMBER(I587),I587,"")),"")</f>
        <v/>
      </c>
      <c r="AD587" s="17">
        <f>IF(AND(ISNUMBER(AB587),ISNUMBER(AC587)),MAX(0,MIN(AC587,EOMONTH(출력_요약!$B$3,0))-MAX(AB587,출력_요약!$B$3)+1),0)</f>
        <v/>
      </c>
      <c r="AE587" s="10">
        <f>IF(AND(Q587&lt;&gt;"",ISNUMBER(AB587)),Q587&amp;"|다기관","")</f>
        <v/>
      </c>
    </row>
    <row r="588">
      <c r="A588" s="15">
        <f>IF(F588="","",ROW()-3)</f>
        <v/>
      </c>
      <c r="B588" s="5" t="n"/>
      <c r="C588" s="15" t="n"/>
      <c r="D588" s="5" t="n"/>
      <c r="E588" s="15" t="n"/>
      <c r="F588" s="5" t="n"/>
      <c r="G588" s="6" t="n"/>
      <c r="H588" s="16" t="n"/>
      <c r="I588" s="16" t="n"/>
      <c r="J588" s="15">
        <f>IF(AND(ISNUMBER(H588),ISNUMBER(I588)),I588-H588+1,"")</f>
        <v/>
      </c>
      <c r="K588" s="5" t="n"/>
      <c r="L588" s="5" t="n"/>
      <c r="M588" s="5" t="n"/>
      <c r="N588" s="5" t="n"/>
      <c r="O588" s="5" t="n"/>
      <c r="Q588" s="10">
        <f>IF(TRIM(G588&amp;"")="","",TRIM(G588&amp;""))</f>
        <v/>
      </c>
      <c r="R588" s="10">
        <f>IF(TRIM(B588&amp;"")="","",IFERROR(INDEX(설정_코드표!$K$2:$K$101,MATCH(TRIM(B588&amp;""),설정_코드표!$J$2:$J$101,0)),"⚠"&amp;TRIM(B588&amp;"")))</f>
        <v/>
      </c>
      <c r="S588" s="10">
        <f>IF(TRIM(K588&amp;"")="","",IFERROR(INDEX(설정_코드표!$K$2:$K$101,MATCH(TRIM(K588&amp;""),설정_코드표!$J$2:$J$101,0)),"⚠"&amp;TRIM(K588&amp;"")))</f>
        <v/>
      </c>
      <c r="T588" s="10">
        <f>IF(TRIM(M588&amp;"")="","",IF(ISNUMBER(MATCH(TRIM(M588&amp;""),설정_코드표!$C$2:$C$11,0)),TRIM(M588&amp;""),"⚠"&amp;TRIM(M588&amp;"")))</f>
        <v/>
      </c>
      <c r="U588" s="10">
        <f>IF(TRIM(L588&amp;"")="","",IFERROR(INDEX(설정_코드표!$G$2:$G$101,MATCH(TRIM(L588&amp;""),설정_코드표!$F$2:$F$101,0)),"⚠"&amp;TRIM(L588&amp;"")))</f>
        <v/>
      </c>
      <c r="V588" s="10">
        <f>IF(AND(ISNUMBER(H588),ISNUMBER(I588)),I588-H588+1,"")</f>
        <v/>
      </c>
      <c r="W588" s="17">
        <f>IF(ISNUMBER(H588),MAX(0,MIN(IF(ISNUMBER(I588),I588,EOMONTH(출력_요약!$B$3,0)),EOMONTH(출력_요약!$B$3,0))-MAX(H588,출력_요약!$B$3)+1),0)</f>
        <v/>
      </c>
      <c r="X588" s="10">
        <f>IF(OR(NOT(ISNUMBER(H588)),Q588=""),"",IF(TODAY()&lt;H588,"파견예정",IF(AND(ISNUMBER(I588),TODAY()&gt;I588),"파견종료","파견중")))</f>
        <v/>
      </c>
      <c r="Y588" s="10">
        <f>IF(OR(Q588="",X588=""),"",Q588&amp;"|"&amp;X588)</f>
        <v/>
      </c>
      <c r="Z588" s="10">
        <f>IF(AND(Q588&lt;&gt;"",W588&gt;0),Q588&amp;"|월","")</f>
        <v/>
      </c>
      <c r="AA588" s="10">
        <f>IF(COUNTA(B588:I588,K588:N588)=0,"",IF(Q588="","등록번호 없음",IF(LEFT(R588,1)="⚠","모병원명 미등록",IF(S588="","파견병원 입력",IF(LEFT(S588,1)="⚠","파견병원명 미등록",IF(LEFT(U588,1)="⚠","파견과목 미등록",IF(OR(T588="",LEFT(T588,1)="⚠"),"파견근거 확인",IF(NOT(AND(ISNUMBER(H588),ISNUMBER(I588))),"날짜 형식/누락",IF(I588&lt;H588,"종료일&lt;시작일","")))))))))</f>
        <v/>
      </c>
      <c r="AB588" s="11">
        <f>IF(ISNUMBER(SEARCH("다기관",TRIM(N588&amp;" "&amp;O588))),IFERROR(DATE(VALUE(MID(TRIM(N588&amp;" "&amp;O588),1,4)),VALUE(MID(TRIM(N588&amp;" "&amp;O588),6,2)),VALUE(MID(TRIM(N588&amp;" "&amp;O588),9,2))),IF(ISNUMBER(H588),H588,"")),"")</f>
        <v/>
      </c>
      <c r="AC588" s="11">
        <f>IF(ISNUMBER(SEARCH("다기관",TRIM(N588&amp;" "&amp;O588))),IFERROR(DATE(VALUE(MID(TRIM(N588&amp;" "&amp;O588),12,4)),VALUE(MID(TRIM(N588&amp;" "&amp;O588),17,2)),VALUE(MID(TRIM(N588&amp;" "&amp;O588),20,2))),IF(ISNUMBER(I588),I588,"")),"")</f>
        <v/>
      </c>
      <c r="AD588" s="17">
        <f>IF(AND(ISNUMBER(AB588),ISNUMBER(AC588)),MAX(0,MIN(AC588,EOMONTH(출력_요약!$B$3,0))-MAX(AB588,출력_요약!$B$3)+1),0)</f>
        <v/>
      </c>
      <c r="AE588" s="10">
        <f>IF(AND(Q588&lt;&gt;"",ISNUMBER(AB588)),Q588&amp;"|다기관","")</f>
        <v/>
      </c>
    </row>
    <row r="589">
      <c r="A589" s="15">
        <f>IF(F589="","",ROW()-3)</f>
        <v/>
      </c>
      <c r="B589" s="5" t="n"/>
      <c r="C589" s="15" t="n"/>
      <c r="D589" s="5" t="n"/>
      <c r="E589" s="15" t="n"/>
      <c r="F589" s="5" t="n"/>
      <c r="G589" s="6" t="n"/>
      <c r="H589" s="16" t="n"/>
      <c r="I589" s="16" t="n"/>
      <c r="J589" s="15">
        <f>IF(AND(ISNUMBER(H589),ISNUMBER(I589)),I589-H589+1,"")</f>
        <v/>
      </c>
      <c r="K589" s="5" t="n"/>
      <c r="L589" s="5" t="n"/>
      <c r="M589" s="5" t="n"/>
      <c r="N589" s="5" t="n"/>
      <c r="O589" s="5" t="n"/>
      <c r="Q589" s="10">
        <f>IF(TRIM(G589&amp;"")="","",TRIM(G589&amp;""))</f>
        <v/>
      </c>
      <c r="R589" s="10">
        <f>IF(TRIM(B589&amp;"")="","",IFERROR(INDEX(설정_코드표!$K$2:$K$101,MATCH(TRIM(B589&amp;""),설정_코드표!$J$2:$J$101,0)),"⚠"&amp;TRIM(B589&amp;"")))</f>
        <v/>
      </c>
      <c r="S589" s="10">
        <f>IF(TRIM(K589&amp;"")="","",IFERROR(INDEX(설정_코드표!$K$2:$K$101,MATCH(TRIM(K589&amp;""),설정_코드표!$J$2:$J$101,0)),"⚠"&amp;TRIM(K589&amp;"")))</f>
        <v/>
      </c>
      <c r="T589" s="10">
        <f>IF(TRIM(M589&amp;"")="","",IF(ISNUMBER(MATCH(TRIM(M589&amp;""),설정_코드표!$C$2:$C$11,0)),TRIM(M589&amp;""),"⚠"&amp;TRIM(M589&amp;"")))</f>
        <v/>
      </c>
      <c r="U589" s="10">
        <f>IF(TRIM(L589&amp;"")="","",IFERROR(INDEX(설정_코드표!$G$2:$G$101,MATCH(TRIM(L589&amp;""),설정_코드표!$F$2:$F$101,0)),"⚠"&amp;TRIM(L589&amp;"")))</f>
        <v/>
      </c>
      <c r="V589" s="10">
        <f>IF(AND(ISNUMBER(H589),ISNUMBER(I589)),I589-H589+1,"")</f>
        <v/>
      </c>
      <c r="W589" s="17">
        <f>IF(ISNUMBER(H589),MAX(0,MIN(IF(ISNUMBER(I589),I589,EOMONTH(출력_요약!$B$3,0)),EOMONTH(출력_요약!$B$3,0))-MAX(H589,출력_요약!$B$3)+1),0)</f>
        <v/>
      </c>
      <c r="X589" s="10">
        <f>IF(OR(NOT(ISNUMBER(H589)),Q589=""),"",IF(TODAY()&lt;H589,"파견예정",IF(AND(ISNUMBER(I589),TODAY()&gt;I589),"파견종료","파견중")))</f>
        <v/>
      </c>
      <c r="Y589" s="10">
        <f>IF(OR(Q589="",X589=""),"",Q589&amp;"|"&amp;X589)</f>
        <v/>
      </c>
      <c r="Z589" s="10">
        <f>IF(AND(Q589&lt;&gt;"",W589&gt;0),Q589&amp;"|월","")</f>
        <v/>
      </c>
      <c r="AA589" s="10">
        <f>IF(COUNTA(B589:I589,K589:N589)=0,"",IF(Q589="","등록번호 없음",IF(LEFT(R589,1)="⚠","모병원명 미등록",IF(S589="","파견병원 입력",IF(LEFT(S589,1)="⚠","파견병원명 미등록",IF(LEFT(U589,1)="⚠","파견과목 미등록",IF(OR(T589="",LEFT(T589,1)="⚠"),"파견근거 확인",IF(NOT(AND(ISNUMBER(H589),ISNUMBER(I589))),"날짜 형식/누락",IF(I589&lt;H589,"종료일&lt;시작일","")))))))))</f>
        <v/>
      </c>
      <c r="AB589" s="11">
        <f>IF(ISNUMBER(SEARCH("다기관",TRIM(N589&amp;" "&amp;O589))),IFERROR(DATE(VALUE(MID(TRIM(N589&amp;" "&amp;O589),1,4)),VALUE(MID(TRIM(N589&amp;" "&amp;O589),6,2)),VALUE(MID(TRIM(N589&amp;" "&amp;O589),9,2))),IF(ISNUMBER(H589),H589,"")),"")</f>
        <v/>
      </c>
      <c r="AC589" s="11">
        <f>IF(ISNUMBER(SEARCH("다기관",TRIM(N589&amp;" "&amp;O589))),IFERROR(DATE(VALUE(MID(TRIM(N589&amp;" "&amp;O589),12,4)),VALUE(MID(TRIM(N589&amp;" "&amp;O589),17,2)),VALUE(MID(TRIM(N589&amp;" "&amp;O589),20,2))),IF(ISNUMBER(I589),I589,"")),"")</f>
        <v/>
      </c>
      <c r="AD589" s="17">
        <f>IF(AND(ISNUMBER(AB589),ISNUMBER(AC589)),MAX(0,MIN(AC589,EOMONTH(출력_요약!$B$3,0))-MAX(AB589,출력_요약!$B$3)+1),0)</f>
        <v/>
      </c>
      <c r="AE589" s="10">
        <f>IF(AND(Q589&lt;&gt;"",ISNUMBER(AB589)),Q589&amp;"|다기관","")</f>
        <v/>
      </c>
    </row>
    <row r="590">
      <c r="A590" s="15">
        <f>IF(F590="","",ROW()-3)</f>
        <v/>
      </c>
      <c r="B590" s="5" t="n"/>
      <c r="C590" s="15" t="n"/>
      <c r="D590" s="5" t="n"/>
      <c r="E590" s="15" t="n"/>
      <c r="F590" s="5" t="n"/>
      <c r="G590" s="6" t="n"/>
      <c r="H590" s="16" t="n"/>
      <c r="I590" s="16" t="n"/>
      <c r="J590" s="15">
        <f>IF(AND(ISNUMBER(H590),ISNUMBER(I590)),I590-H590+1,"")</f>
        <v/>
      </c>
      <c r="K590" s="5" t="n"/>
      <c r="L590" s="5" t="n"/>
      <c r="M590" s="5" t="n"/>
      <c r="N590" s="5" t="n"/>
      <c r="O590" s="5" t="n"/>
      <c r="Q590" s="10">
        <f>IF(TRIM(G590&amp;"")="","",TRIM(G590&amp;""))</f>
        <v/>
      </c>
      <c r="R590" s="10">
        <f>IF(TRIM(B590&amp;"")="","",IFERROR(INDEX(설정_코드표!$K$2:$K$101,MATCH(TRIM(B590&amp;""),설정_코드표!$J$2:$J$101,0)),"⚠"&amp;TRIM(B590&amp;"")))</f>
        <v/>
      </c>
      <c r="S590" s="10">
        <f>IF(TRIM(K590&amp;"")="","",IFERROR(INDEX(설정_코드표!$K$2:$K$101,MATCH(TRIM(K590&amp;""),설정_코드표!$J$2:$J$101,0)),"⚠"&amp;TRIM(K590&amp;"")))</f>
        <v/>
      </c>
      <c r="T590" s="10">
        <f>IF(TRIM(M590&amp;"")="","",IF(ISNUMBER(MATCH(TRIM(M590&amp;""),설정_코드표!$C$2:$C$11,0)),TRIM(M590&amp;""),"⚠"&amp;TRIM(M590&amp;"")))</f>
        <v/>
      </c>
      <c r="U590" s="10">
        <f>IF(TRIM(L590&amp;"")="","",IFERROR(INDEX(설정_코드표!$G$2:$G$101,MATCH(TRIM(L590&amp;""),설정_코드표!$F$2:$F$101,0)),"⚠"&amp;TRIM(L590&amp;"")))</f>
        <v/>
      </c>
      <c r="V590" s="10">
        <f>IF(AND(ISNUMBER(H590),ISNUMBER(I590)),I590-H590+1,"")</f>
        <v/>
      </c>
      <c r="W590" s="17">
        <f>IF(ISNUMBER(H590),MAX(0,MIN(IF(ISNUMBER(I590),I590,EOMONTH(출력_요약!$B$3,0)),EOMONTH(출력_요약!$B$3,0))-MAX(H590,출력_요약!$B$3)+1),0)</f>
        <v/>
      </c>
      <c r="X590" s="10">
        <f>IF(OR(NOT(ISNUMBER(H590)),Q590=""),"",IF(TODAY()&lt;H590,"파견예정",IF(AND(ISNUMBER(I590),TODAY()&gt;I590),"파견종료","파견중")))</f>
        <v/>
      </c>
      <c r="Y590" s="10">
        <f>IF(OR(Q590="",X590=""),"",Q590&amp;"|"&amp;X590)</f>
        <v/>
      </c>
      <c r="Z590" s="10">
        <f>IF(AND(Q590&lt;&gt;"",W590&gt;0),Q590&amp;"|월","")</f>
        <v/>
      </c>
      <c r="AA590" s="10">
        <f>IF(COUNTA(B590:I590,K590:N590)=0,"",IF(Q590="","등록번호 없음",IF(LEFT(R590,1)="⚠","모병원명 미등록",IF(S590="","파견병원 입력",IF(LEFT(S590,1)="⚠","파견병원명 미등록",IF(LEFT(U590,1)="⚠","파견과목 미등록",IF(OR(T590="",LEFT(T590,1)="⚠"),"파견근거 확인",IF(NOT(AND(ISNUMBER(H590),ISNUMBER(I590))),"날짜 형식/누락",IF(I590&lt;H590,"종료일&lt;시작일","")))))))))</f>
        <v/>
      </c>
      <c r="AB590" s="11">
        <f>IF(ISNUMBER(SEARCH("다기관",TRIM(N590&amp;" "&amp;O590))),IFERROR(DATE(VALUE(MID(TRIM(N590&amp;" "&amp;O590),1,4)),VALUE(MID(TRIM(N590&amp;" "&amp;O590),6,2)),VALUE(MID(TRIM(N590&amp;" "&amp;O590),9,2))),IF(ISNUMBER(H590),H590,"")),"")</f>
        <v/>
      </c>
      <c r="AC590" s="11">
        <f>IF(ISNUMBER(SEARCH("다기관",TRIM(N590&amp;" "&amp;O590))),IFERROR(DATE(VALUE(MID(TRIM(N590&amp;" "&amp;O590),12,4)),VALUE(MID(TRIM(N590&amp;" "&amp;O590),17,2)),VALUE(MID(TRIM(N590&amp;" "&amp;O590),20,2))),IF(ISNUMBER(I590),I590,"")),"")</f>
        <v/>
      </c>
      <c r="AD590" s="17">
        <f>IF(AND(ISNUMBER(AB590),ISNUMBER(AC590)),MAX(0,MIN(AC590,EOMONTH(출력_요약!$B$3,0))-MAX(AB590,출력_요약!$B$3)+1),0)</f>
        <v/>
      </c>
      <c r="AE590" s="10">
        <f>IF(AND(Q590&lt;&gt;"",ISNUMBER(AB590)),Q590&amp;"|다기관","")</f>
        <v/>
      </c>
    </row>
    <row r="591">
      <c r="A591" s="15">
        <f>IF(F591="","",ROW()-3)</f>
        <v/>
      </c>
      <c r="B591" s="5" t="n"/>
      <c r="C591" s="15" t="n"/>
      <c r="D591" s="5" t="n"/>
      <c r="E591" s="15" t="n"/>
      <c r="F591" s="5" t="n"/>
      <c r="G591" s="6" t="n"/>
      <c r="H591" s="16" t="n"/>
      <c r="I591" s="16" t="n"/>
      <c r="J591" s="15">
        <f>IF(AND(ISNUMBER(H591),ISNUMBER(I591)),I591-H591+1,"")</f>
        <v/>
      </c>
      <c r="K591" s="5" t="n"/>
      <c r="L591" s="5" t="n"/>
      <c r="M591" s="5" t="n"/>
      <c r="N591" s="5" t="n"/>
      <c r="O591" s="5" t="n"/>
      <c r="Q591" s="10">
        <f>IF(TRIM(G591&amp;"")="","",TRIM(G591&amp;""))</f>
        <v/>
      </c>
      <c r="R591" s="10">
        <f>IF(TRIM(B591&amp;"")="","",IFERROR(INDEX(설정_코드표!$K$2:$K$101,MATCH(TRIM(B591&amp;""),설정_코드표!$J$2:$J$101,0)),"⚠"&amp;TRIM(B591&amp;"")))</f>
        <v/>
      </c>
      <c r="S591" s="10">
        <f>IF(TRIM(K591&amp;"")="","",IFERROR(INDEX(설정_코드표!$K$2:$K$101,MATCH(TRIM(K591&amp;""),설정_코드표!$J$2:$J$101,0)),"⚠"&amp;TRIM(K591&amp;"")))</f>
        <v/>
      </c>
      <c r="T591" s="10">
        <f>IF(TRIM(M591&amp;"")="","",IF(ISNUMBER(MATCH(TRIM(M591&amp;""),설정_코드표!$C$2:$C$11,0)),TRIM(M591&amp;""),"⚠"&amp;TRIM(M591&amp;"")))</f>
        <v/>
      </c>
      <c r="U591" s="10">
        <f>IF(TRIM(L591&amp;"")="","",IFERROR(INDEX(설정_코드표!$G$2:$G$101,MATCH(TRIM(L591&amp;""),설정_코드표!$F$2:$F$101,0)),"⚠"&amp;TRIM(L591&amp;"")))</f>
        <v/>
      </c>
      <c r="V591" s="10">
        <f>IF(AND(ISNUMBER(H591),ISNUMBER(I591)),I591-H591+1,"")</f>
        <v/>
      </c>
      <c r="W591" s="17">
        <f>IF(ISNUMBER(H591),MAX(0,MIN(IF(ISNUMBER(I591),I591,EOMONTH(출력_요약!$B$3,0)),EOMONTH(출력_요약!$B$3,0))-MAX(H591,출력_요약!$B$3)+1),0)</f>
        <v/>
      </c>
      <c r="X591" s="10">
        <f>IF(OR(NOT(ISNUMBER(H591)),Q591=""),"",IF(TODAY()&lt;H591,"파견예정",IF(AND(ISNUMBER(I591),TODAY()&gt;I591),"파견종료","파견중")))</f>
        <v/>
      </c>
      <c r="Y591" s="10">
        <f>IF(OR(Q591="",X591=""),"",Q591&amp;"|"&amp;X591)</f>
        <v/>
      </c>
      <c r="Z591" s="10">
        <f>IF(AND(Q591&lt;&gt;"",W591&gt;0),Q591&amp;"|월","")</f>
        <v/>
      </c>
      <c r="AA591" s="10">
        <f>IF(COUNTA(B591:I591,K591:N591)=0,"",IF(Q591="","등록번호 없음",IF(LEFT(R591,1)="⚠","모병원명 미등록",IF(S591="","파견병원 입력",IF(LEFT(S591,1)="⚠","파견병원명 미등록",IF(LEFT(U591,1)="⚠","파견과목 미등록",IF(OR(T591="",LEFT(T591,1)="⚠"),"파견근거 확인",IF(NOT(AND(ISNUMBER(H591),ISNUMBER(I591))),"날짜 형식/누락",IF(I591&lt;H591,"종료일&lt;시작일","")))))))))</f>
        <v/>
      </c>
      <c r="AB591" s="11">
        <f>IF(ISNUMBER(SEARCH("다기관",TRIM(N591&amp;" "&amp;O591))),IFERROR(DATE(VALUE(MID(TRIM(N591&amp;" "&amp;O591),1,4)),VALUE(MID(TRIM(N591&amp;" "&amp;O591),6,2)),VALUE(MID(TRIM(N591&amp;" "&amp;O591),9,2))),IF(ISNUMBER(H591),H591,"")),"")</f>
        <v/>
      </c>
      <c r="AC591" s="11">
        <f>IF(ISNUMBER(SEARCH("다기관",TRIM(N591&amp;" "&amp;O591))),IFERROR(DATE(VALUE(MID(TRIM(N591&amp;" "&amp;O591),12,4)),VALUE(MID(TRIM(N591&amp;" "&amp;O591),17,2)),VALUE(MID(TRIM(N591&amp;" "&amp;O591),20,2))),IF(ISNUMBER(I591),I591,"")),"")</f>
        <v/>
      </c>
      <c r="AD591" s="17">
        <f>IF(AND(ISNUMBER(AB591),ISNUMBER(AC591)),MAX(0,MIN(AC591,EOMONTH(출력_요약!$B$3,0))-MAX(AB591,출력_요약!$B$3)+1),0)</f>
        <v/>
      </c>
      <c r="AE591" s="10">
        <f>IF(AND(Q591&lt;&gt;"",ISNUMBER(AB591)),Q591&amp;"|다기관","")</f>
        <v/>
      </c>
    </row>
    <row r="592">
      <c r="A592" s="15">
        <f>IF(F592="","",ROW()-3)</f>
        <v/>
      </c>
      <c r="B592" s="5" t="n"/>
      <c r="C592" s="15" t="n"/>
      <c r="D592" s="5" t="n"/>
      <c r="E592" s="15" t="n"/>
      <c r="F592" s="5" t="n"/>
      <c r="G592" s="6" t="n"/>
      <c r="H592" s="16" t="n"/>
      <c r="I592" s="16" t="n"/>
      <c r="J592" s="15">
        <f>IF(AND(ISNUMBER(H592),ISNUMBER(I592)),I592-H592+1,"")</f>
        <v/>
      </c>
      <c r="K592" s="5" t="n"/>
      <c r="L592" s="5" t="n"/>
      <c r="M592" s="5" t="n"/>
      <c r="N592" s="5" t="n"/>
      <c r="O592" s="5" t="n"/>
      <c r="Q592" s="10">
        <f>IF(TRIM(G592&amp;"")="","",TRIM(G592&amp;""))</f>
        <v/>
      </c>
      <c r="R592" s="10">
        <f>IF(TRIM(B592&amp;"")="","",IFERROR(INDEX(설정_코드표!$K$2:$K$101,MATCH(TRIM(B592&amp;""),설정_코드표!$J$2:$J$101,0)),"⚠"&amp;TRIM(B592&amp;"")))</f>
        <v/>
      </c>
      <c r="S592" s="10">
        <f>IF(TRIM(K592&amp;"")="","",IFERROR(INDEX(설정_코드표!$K$2:$K$101,MATCH(TRIM(K592&amp;""),설정_코드표!$J$2:$J$101,0)),"⚠"&amp;TRIM(K592&amp;"")))</f>
        <v/>
      </c>
      <c r="T592" s="10">
        <f>IF(TRIM(M592&amp;"")="","",IF(ISNUMBER(MATCH(TRIM(M592&amp;""),설정_코드표!$C$2:$C$11,0)),TRIM(M592&amp;""),"⚠"&amp;TRIM(M592&amp;"")))</f>
        <v/>
      </c>
      <c r="U592" s="10">
        <f>IF(TRIM(L592&amp;"")="","",IFERROR(INDEX(설정_코드표!$G$2:$G$101,MATCH(TRIM(L592&amp;""),설정_코드표!$F$2:$F$101,0)),"⚠"&amp;TRIM(L592&amp;"")))</f>
        <v/>
      </c>
      <c r="V592" s="10">
        <f>IF(AND(ISNUMBER(H592),ISNUMBER(I592)),I592-H592+1,"")</f>
        <v/>
      </c>
      <c r="W592" s="17">
        <f>IF(ISNUMBER(H592),MAX(0,MIN(IF(ISNUMBER(I592),I592,EOMONTH(출력_요약!$B$3,0)),EOMONTH(출력_요약!$B$3,0))-MAX(H592,출력_요약!$B$3)+1),0)</f>
        <v/>
      </c>
      <c r="X592" s="10">
        <f>IF(OR(NOT(ISNUMBER(H592)),Q592=""),"",IF(TODAY()&lt;H592,"파견예정",IF(AND(ISNUMBER(I592),TODAY()&gt;I592),"파견종료","파견중")))</f>
        <v/>
      </c>
      <c r="Y592" s="10">
        <f>IF(OR(Q592="",X592=""),"",Q592&amp;"|"&amp;X592)</f>
        <v/>
      </c>
      <c r="Z592" s="10">
        <f>IF(AND(Q592&lt;&gt;"",W592&gt;0),Q592&amp;"|월","")</f>
        <v/>
      </c>
      <c r="AA592" s="10">
        <f>IF(COUNTA(B592:I592,K592:N592)=0,"",IF(Q592="","등록번호 없음",IF(LEFT(R592,1)="⚠","모병원명 미등록",IF(S592="","파견병원 입력",IF(LEFT(S592,1)="⚠","파견병원명 미등록",IF(LEFT(U592,1)="⚠","파견과목 미등록",IF(OR(T592="",LEFT(T592,1)="⚠"),"파견근거 확인",IF(NOT(AND(ISNUMBER(H592),ISNUMBER(I592))),"날짜 형식/누락",IF(I592&lt;H592,"종료일&lt;시작일","")))))))))</f>
        <v/>
      </c>
      <c r="AB592" s="11">
        <f>IF(ISNUMBER(SEARCH("다기관",TRIM(N592&amp;" "&amp;O592))),IFERROR(DATE(VALUE(MID(TRIM(N592&amp;" "&amp;O592),1,4)),VALUE(MID(TRIM(N592&amp;" "&amp;O592),6,2)),VALUE(MID(TRIM(N592&amp;" "&amp;O592),9,2))),IF(ISNUMBER(H592),H592,"")),"")</f>
        <v/>
      </c>
      <c r="AC592" s="11">
        <f>IF(ISNUMBER(SEARCH("다기관",TRIM(N592&amp;" "&amp;O592))),IFERROR(DATE(VALUE(MID(TRIM(N592&amp;" "&amp;O592),12,4)),VALUE(MID(TRIM(N592&amp;" "&amp;O592),17,2)),VALUE(MID(TRIM(N592&amp;" "&amp;O592),20,2))),IF(ISNUMBER(I592),I592,"")),"")</f>
        <v/>
      </c>
      <c r="AD592" s="17">
        <f>IF(AND(ISNUMBER(AB592),ISNUMBER(AC592)),MAX(0,MIN(AC592,EOMONTH(출력_요약!$B$3,0))-MAX(AB592,출력_요약!$B$3)+1),0)</f>
        <v/>
      </c>
      <c r="AE592" s="10">
        <f>IF(AND(Q592&lt;&gt;"",ISNUMBER(AB592)),Q592&amp;"|다기관","")</f>
        <v/>
      </c>
    </row>
    <row r="593">
      <c r="A593" s="15">
        <f>IF(F593="","",ROW()-3)</f>
        <v/>
      </c>
      <c r="B593" s="5" t="n"/>
      <c r="C593" s="15" t="n"/>
      <c r="D593" s="5" t="n"/>
      <c r="E593" s="15" t="n"/>
      <c r="F593" s="5" t="n"/>
      <c r="G593" s="6" t="n"/>
      <c r="H593" s="16" t="n"/>
      <c r="I593" s="16" t="n"/>
      <c r="J593" s="15">
        <f>IF(AND(ISNUMBER(H593),ISNUMBER(I593)),I593-H593+1,"")</f>
        <v/>
      </c>
      <c r="K593" s="5" t="n"/>
      <c r="L593" s="5" t="n"/>
      <c r="M593" s="5" t="n"/>
      <c r="N593" s="5" t="n"/>
      <c r="O593" s="5" t="n"/>
      <c r="Q593" s="10">
        <f>IF(TRIM(G593&amp;"")="","",TRIM(G593&amp;""))</f>
        <v/>
      </c>
      <c r="R593" s="10">
        <f>IF(TRIM(B593&amp;"")="","",IFERROR(INDEX(설정_코드표!$K$2:$K$101,MATCH(TRIM(B593&amp;""),설정_코드표!$J$2:$J$101,0)),"⚠"&amp;TRIM(B593&amp;"")))</f>
        <v/>
      </c>
      <c r="S593" s="10">
        <f>IF(TRIM(K593&amp;"")="","",IFERROR(INDEX(설정_코드표!$K$2:$K$101,MATCH(TRIM(K593&amp;""),설정_코드표!$J$2:$J$101,0)),"⚠"&amp;TRIM(K593&amp;"")))</f>
        <v/>
      </c>
      <c r="T593" s="10">
        <f>IF(TRIM(M593&amp;"")="","",IF(ISNUMBER(MATCH(TRIM(M593&amp;""),설정_코드표!$C$2:$C$11,0)),TRIM(M593&amp;""),"⚠"&amp;TRIM(M593&amp;"")))</f>
        <v/>
      </c>
      <c r="U593" s="10">
        <f>IF(TRIM(L593&amp;"")="","",IFERROR(INDEX(설정_코드표!$G$2:$G$101,MATCH(TRIM(L593&amp;""),설정_코드표!$F$2:$F$101,0)),"⚠"&amp;TRIM(L593&amp;"")))</f>
        <v/>
      </c>
      <c r="V593" s="10">
        <f>IF(AND(ISNUMBER(H593),ISNUMBER(I593)),I593-H593+1,"")</f>
        <v/>
      </c>
      <c r="W593" s="17">
        <f>IF(ISNUMBER(H593),MAX(0,MIN(IF(ISNUMBER(I593),I593,EOMONTH(출력_요약!$B$3,0)),EOMONTH(출력_요약!$B$3,0))-MAX(H593,출력_요약!$B$3)+1),0)</f>
        <v/>
      </c>
      <c r="X593" s="10">
        <f>IF(OR(NOT(ISNUMBER(H593)),Q593=""),"",IF(TODAY()&lt;H593,"파견예정",IF(AND(ISNUMBER(I593),TODAY()&gt;I593),"파견종료","파견중")))</f>
        <v/>
      </c>
      <c r="Y593" s="10">
        <f>IF(OR(Q593="",X593=""),"",Q593&amp;"|"&amp;X593)</f>
        <v/>
      </c>
      <c r="Z593" s="10">
        <f>IF(AND(Q593&lt;&gt;"",W593&gt;0),Q593&amp;"|월","")</f>
        <v/>
      </c>
      <c r="AA593" s="10">
        <f>IF(COUNTA(B593:I593,K593:N593)=0,"",IF(Q593="","등록번호 없음",IF(LEFT(R593,1)="⚠","모병원명 미등록",IF(S593="","파견병원 입력",IF(LEFT(S593,1)="⚠","파견병원명 미등록",IF(LEFT(U593,1)="⚠","파견과목 미등록",IF(OR(T593="",LEFT(T593,1)="⚠"),"파견근거 확인",IF(NOT(AND(ISNUMBER(H593),ISNUMBER(I593))),"날짜 형식/누락",IF(I593&lt;H593,"종료일&lt;시작일","")))))))))</f>
        <v/>
      </c>
      <c r="AB593" s="11">
        <f>IF(ISNUMBER(SEARCH("다기관",TRIM(N593&amp;" "&amp;O593))),IFERROR(DATE(VALUE(MID(TRIM(N593&amp;" "&amp;O593),1,4)),VALUE(MID(TRIM(N593&amp;" "&amp;O593),6,2)),VALUE(MID(TRIM(N593&amp;" "&amp;O593),9,2))),IF(ISNUMBER(H593),H593,"")),"")</f>
        <v/>
      </c>
      <c r="AC593" s="11">
        <f>IF(ISNUMBER(SEARCH("다기관",TRIM(N593&amp;" "&amp;O593))),IFERROR(DATE(VALUE(MID(TRIM(N593&amp;" "&amp;O593),12,4)),VALUE(MID(TRIM(N593&amp;" "&amp;O593),17,2)),VALUE(MID(TRIM(N593&amp;" "&amp;O593),20,2))),IF(ISNUMBER(I593),I593,"")),"")</f>
        <v/>
      </c>
      <c r="AD593" s="17">
        <f>IF(AND(ISNUMBER(AB593),ISNUMBER(AC593)),MAX(0,MIN(AC593,EOMONTH(출력_요약!$B$3,0))-MAX(AB593,출력_요약!$B$3)+1),0)</f>
        <v/>
      </c>
      <c r="AE593" s="10">
        <f>IF(AND(Q593&lt;&gt;"",ISNUMBER(AB593)),Q593&amp;"|다기관","")</f>
        <v/>
      </c>
    </row>
    <row r="594">
      <c r="A594" s="15">
        <f>IF(F594="","",ROW()-3)</f>
        <v/>
      </c>
      <c r="B594" s="5" t="n"/>
      <c r="C594" s="15" t="n"/>
      <c r="D594" s="5" t="n"/>
      <c r="E594" s="15" t="n"/>
      <c r="F594" s="5" t="n"/>
      <c r="G594" s="6" t="n"/>
      <c r="H594" s="16" t="n"/>
      <c r="I594" s="16" t="n"/>
      <c r="J594" s="15">
        <f>IF(AND(ISNUMBER(H594),ISNUMBER(I594)),I594-H594+1,"")</f>
        <v/>
      </c>
      <c r="K594" s="5" t="n"/>
      <c r="L594" s="5" t="n"/>
      <c r="M594" s="5" t="n"/>
      <c r="N594" s="5" t="n"/>
      <c r="O594" s="5" t="n"/>
      <c r="Q594" s="10">
        <f>IF(TRIM(G594&amp;"")="","",TRIM(G594&amp;""))</f>
        <v/>
      </c>
      <c r="R594" s="10">
        <f>IF(TRIM(B594&amp;"")="","",IFERROR(INDEX(설정_코드표!$K$2:$K$101,MATCH(TRIM(B594&amp;""),설정_코드표!$J$2:$J$101,0)),"⚠"&amp;TRIM(B594&amp;"")))</f>
        <v/>
      </c>
      <c r="S594" s="10">
        <f>IF(TRIM(K594&amp;"")="","",IFERROR(INDEX(설정_코드표!$K$2:$K$101,MATCH(TRIM(K594&amp;""),설정_코드표!$J$2:$J$101,0)),"⚠"&amp;TRIM(K594&amp;"")))</f>
        <v/>
      </c>
      <c r="T594" s="10">
        <f>IF(TRIM(M594&amp;"")="","",IF(ISNUMBER(MATCH(TRIM(M594&amp;""),설정_코드표!$C$2:$C$11,0)),TRIM(M594&amp;""),"⚠"&amp;TRIM(M594&amp;"")))</f>
        <v/>
      </c>
      <c r="U594" s="10">
        <f>IF(TRIM(L594&amp;"")="","",IFERROR(INDEX(설정_코드표!$G$2:$G$101,MATCH(TRIM(L594&amp;""),설정_코드표!$F$2:$F$101,0)),"⚠"&amp;TRIM(L594&amp;"")))</f>
        <v/>
      </c>
      <c r="V594" s="10">
        <f>IF(AND(ISNUMBER(H594),ISNUMBER(I594)),I594-H594+1,"")</f>
        <v/>
      </c>
      <c r="W594" s="17">
        <f>IF(ISNUMBER(H594),MAX(0,MIN(IF(ISNUMBER(I594),I594,EOMONTH(출력_요약!$B$3,0)),EOMONTH(출력_요약!$B$3,0))-MAX(H594,출력_요약!$B$3)+1),0)</f>
        <v/>
      </c>
      <c r="X594" s="10">
        <f>IF(OR(NOT(ISNUMBER(H594)),Q594=""),"",IF(TODAY()&lt;H594,"파견예정",IF(AND(ISNUMBER(I594),TODAY()&gt;I594),"파견종료","파견중")))</f>
        <v/>
      </c>
      <c r="Y594" s="10">
        <f>IF(OR(Q594="",X594=""),"",Q594&amp;"|"&amp;X594)</f>
        <v/>
      </c>
      <c r="Z594" s="10">
        <f>IF(AND(Q594&lt;&gt;"",W594&gt;0),Q594&amp;"|월","")</f>
        <v/>
      </c>
      <c r="AA594" s="10">
        <f>IF(COUNTA(B594:I594,K594:N594)=0,"",IF(Q594="","등록번호 없음",IF(LEFT(R594,1)="⚠","모병원명 미등록",IF(S594="","파견병원 입력",IF(LEFT(S594,1)="⚠","파견병원명 미등록",IF(LEFT(U594,1)="⚠","파견과목 미등록",IF(OR(T594="",LEFT(T594,1)="⚠"),"파견근거 확인",IF(NOT(AND(ISNUMBER(H594),ISNUMBER(I594))),"날짜 형식/누락",IF(I594&lt;H594,"종료일&lt;시작일","")))))))))</f>
        <v/>
      </c>
      <c r="AB594" s="11">
        <f>IF(ISNUMBER(SEARCH("다기관",TRIM(N594&amp;" "&amp;O594))),IFERROR(DATE(VALUE(MID(TRIM(N594&amp;" "&amp;O594),1,4)),VALUE(MID(TRIM(N594&amp;" "&amp;O594),6,2)),VALUE(MID(TRIM(N594&amp;" "&amp;O594),9,2))),IF(ISNUMBER(H594),H594,"")),"")</f>
        <v/>
      </c>
      <c r="AC594" s="11">
        <f>IF(ISNUMBER(SEARCH("다기관",TRIM(N594&amp;" "&amp;O594))),IFERROR(DATE(VALUE(MID(TRIM(N594&amp;" "&amp;O594),12,4)),VALUE(MID(TRIM(N594&amp;" "&amp;O594),17,2)),VALUE(MID(TRIM(N594&amp;" "&amp;O594),20,2))),IF(ISNUMBER(I594),I594,"")),"")</f>
        <v/>
      </c>
      <c r="AD594" s="17">
        <f>IF(AND(ISNUMBER(AB594),ISNUMBER(AC594)),MAX(0,MIN(AC594,EOMONTH(출력_요약!$B$3,0))-MAX(AB594,출력_요약!$B$3)+1),0)</f>
        <v/>
      </c>
      <c r="AE594" s="10">
        <f>IF(AND(Q594&lt;&gt;"",ISNUMBER(AB594)),Q594&amp;"|다기관","")</f>
        <v/>
      </c>
    </row>
    <row r="595">
      <c r="A595" s="15">
        <f>IF(F595="","",ROW()-3)</f>
        <v/>
      </c>
      <c r="B595" s="5" t="n"/>
      <c r="C595" s="15" t="n"/>
      <c r="D595" s="5" t="n"/>
      <c r="E595" s="15" t="n"/>
      <c r="F595" s="5" t="n"/>
      <c r="G595" s="6" t="n"/>
      <c r="H595" s="16" t="n"/>
      <c r="I595" s="16" t="n"/>
      <c r="J595" s="15">
        <f>IF(AND(ISNUMBER(H595),ISNUMBER(I595)),I595-H595+1,"")</f>
        <v/>
      </c>
      <c r="K595" s="5" t="n"/>
      <c r="L595" s="5" t="n"/>
      <c r="M595" s="5" t="n"/>
      <c r="N595" s="5" t="n"/>
      <c r="O595" s="5" t="n"/>
      <c r="Q595" s="10">
        <f>IF(TRIM(G595&amp;"")="","",TRIM(G595&amp;""))</f>
        <v/>
      </c>
      <c r="R595" s="10">
        <f>IF(TRIM(B595&amp;"")="","",IFERROR(INDEX(설정_코드표!$K$2:$K$101,MATCH(TRIM(B595&amp;""),설정_코드표!$J$2:$J$101,0)),"⚠"&amp;TRIM(B595&amp;"")))</f>
        <v/>
      </c>
      <c r="S595" s="10">
        <f>IF(TRIM(K595&amp;"")="","",IFERROR(INDEX(설정_코드표!$K$2:$K$101,MATCH(TRIM(K595&amp;""),설정_코드표!$J$2:$J$101,0)),"⚠"&amp;TRIM(K595&amp;"")))</f>
        <v/>
      </c>
      <c r="T595" s="10">
        <f>IF(TRIM(M595&amp;"")="","",IF(ISNUMBER(MATCH(TRIM(M595&amp;""),설정_코드표!$C$2:$C$11,0)),TRIM(M595&amp;""),"⚠"&amp;TRIM(M595&amp;"")))</f>
        <v/>
      </c>
      <c r="U595" s="10">
        <f>IF(TRIM(L595&amp;"")="","",IFERROR(INDEX(설정_코드표!$G$2:$G$101,MATCH(TRIM(L595&amp;""),설정_코드표!$F$2:$F$101,0)),"⚠"&amp;TRIM(L595&amp;"")))</f>
        <v/>
      </c>
      <c r="V595" s="10">
        <f>IF(AND(ISNUMBER(H595),ISNUMBER(I595)),I595-H595+1,"")</f>
        <v/>
      </c>
      <c r="W595" s="17">
        <f>IF(ISNUMBER(H595),MAX(0,MIN(IF(ISNUMBER(I595),I595,EOMONTH(출력_요약!$B$3,0)),EOMONTH(출력_요약!$B$3,0))-MAX(H595,출력_요약!$B$3)+1),0)</f>
        <v/>
      </c>
      <c r="X595" s="10">
        <f>IF(OR(NOT(ISNUMBER(H595)),Q595=""),"",IF(TODAY()&lt;H595,"파견예정",IF(AND(ISNUMBER(I595),TODAY()&gt;I595),"파견종료","파견중")))</f>
        <v/>
      </c>
      <c r="Y595" s="10">
        <f>IF(OR(Q595="",X595=""),"",Q595&amp;"|"&amp;X595)</f>
        <v/>
      </c>
      <c r="Z595" s="10">
        <f>IF(AND(Q595&lt;&gt;"",W595&gt;0),Q595&amp;"|월","")</f>
        <v/>
      </c>
      <c r="AA595" s="10">
        <f>IF(COUNTA(B595:I595,K595:N595)=0,"",IF(Q595="","등록번호 없음",IF(LEFT(R595,1)="⚠","모병원명 미등록",IF(S595="","파견병원 입력",IF(LEFT(S595,1)="⚠","파견병원명 미등록",IF(LEFT(U595,1)="⚠","파견과목 미등록",IF(OR(T595="",LEFT(T595,1)="⚠"),"파견근거 확인",IF(NOT(AND(ISNUMBER(H595),ISNUMBER(I595))),"날짜 형식/누락",IF(I595&lt;H595,"종료일&lt;시작일","")))))))))</f>
        <v/>
      </c>
      <c r="AB595" s="11">
        <f>IF(ISNUMBER(SEARCH("다기관",TRIM(N595&amp;" "&amp;O595))),IFERROR(DATE(VALUE(MID(TRIM(N595&amp;" "&amp;O595),1,4)),VALUE(MID(TRIM(N595&amp;" "&amp;O595),6,2)),VALUE(MID(TRIM(N595&amp;" "&amp;O595),9,2))),IF(ISNUMBER(H595),H595,"")),"")</f>
        <v/>
      </c>
      <c r="AC595" s="11">
        <f>IF(ISNUMBER(SEARCH("다기관",TRIM(N595&amp;" "&amp;O595))),IFERROR(DATE(VALUE(MID(TRIM(N595&amp;" "&amp;O595),12,4)),VALUE(MID(TRIM(N595&amp;" "&amp;O595),17,2)),VALUE(MID(TRIM(N595&amp;" "&amp;O595),20,2))),IF(ISNUMBER(I595),I595,"")),"")</f>
        <v/>
      </c>
      <c r="AD595" s="17">
        <f>IF(AND(ISNUMBER(AB595),ISNUMBER(AC595)),MAX(0,MIN(AC595,EOMONTH(출력_요약!$B$3,0))-MAX(AB595,출력_요약!$B$3)+1),0)</f>
        <v/>
      </c>
      <c r="AE595" s="10">
        <f>IF(AND(Q595&lt;&gt;"",ISNUMBER(AB595)),Q595&amp;"|다기관","")</f>
        <v/>
      </c>
    </row>
    <row r="596">
      <c r="A596" s="15">
        <f>IF(F596="","",ROW()-3)</f>
        <v/>
      </c>
      <c r="B596" s="5" t="n"/>
      <c r="C596" s="15" t="n"/>
      <c r="D596" s="5" t="n"/>
      <c r="E596" s="15" t="n"/>
      <c r="F596" s="5" t="n"/>
      <c r="G596" s="6" t="n"/>
      <c r="H596" s="16" t="n"/>
      <c r="I596" s="16" t="n"/>
      <c r="J596" s="15">
        <f>IF(AND(ISNUMBER(H596),ISNUMBER(I596)),I596-H596+1,"")</f>
        <v/>
      </c>
      <c r="K596" s="5" t="n"/>
      <c r="L596" s="5" t="n"/>
      <c r="M596" s="5" t="n"/>
      <c r="N596" s="5" t="n"/>
      <c r="O596" s="5" t="n"/>
      <c r="Q596" s="10">
        <f>IF(TRIM(G596&amp;"")="","",TRIM(G596&amp;""))</f>
        <v/>
      </c>
      <c r="R596" s="10">
        <f>IF(TRIM(B596&amp;"")="","",IFERROR(INDEX(설정_코드표!$K$2:$K$101,MATCH(TRIM(B596&amp;""),설정_코드표!$J$2:$J$101,0)),"⚠"&amp;TRIM(B596&amp;"")))</f>
        <v/>
      </c>
      <c r="S596" s="10">
        <f>IF(TRIM(K596&amp;"")="","",IFERROR(INDEX(설정_코드표!$K$2:$K$101,MATCH(TRIM(K596&amp;""),설정_코드표!$J$2:$J$101,0)),"⚠"&amp;TRIM(K596&amp;"")))</f>
        <v/>
      </c>
      <c r="T596" s="10">
        <f>IF(TRIM(M596&amp;"")="","",IF(ISNUMBER(MATCH(TRIM(M596&amp;""),설정_코드표!$C$2:$C$11,0)),TRIM(M596&amp;""),"⚠"&amp;TRIM(M596&amp;"")))</f>
        <v/>
      </c>
      <c r="U596" s="10">
        <f>IF(TRIM(L596&amp;"")="","",IFERROR(INDEX(설정_코드표!$G$2:$G$101,MATCH(TRIM(L596&amp;""),설정_코드표!$F$2:$F$101,0)),"⚠"&amp;TRIM(L596&amp;"")))</f>
        <v/>
      </c>
      <c r="V596" s="10">
        <f>IF(AND(ISNUMBER(H596),ISNUMBER(I596)),I596-H596+1,"")</f>
        <v/>
      </c>
      <c r="W596" s="17">
        <f>IF(ISNUMBER(H596),MAX(0,MIN(IF(ISNUMBER(I596),I596,EOMONTH(출력_요약!$B$3,0)),EOMONTH(출력_요약!$B$3,0))-MAX(H596,출력_요약!$B$3)+1),0)</f>
        <v/>
      </c>
      <c r="X596" s="10">
        <f>IF(OR(NOT(ISNUMBER(H596)),Q596=""),"",IF(TODAY()&lt;H596,"파견예정",IF(AND(ISNUMBER(I596),TODAY()&gt;I596),"파견종료","파견중")))</f>
        <v/>
      </c>
      <c r="Y596" s="10">
        <f>IF(OR(Q596="",X596=""),"",Q596&amp;"|"&amp;X596)</f>
        <v/>
      </c>
      <c r="Z596" s="10">
        <f>IF(AND(Q596&lt;&gt;"",W596&gt;0),Q596&amp;"|월","")</f>
        <v/>
      </c>
      <c r="AA596" s="10">
        <f>IF(COUNTA(B596:I596,K596:N596)=0,"",IF(Q596="","등록번호 없음",IF(LEFT(R596,1)="⚠","모병원명 미등록",IF(S596="","파견병원 입력",IF(LEFT(S596,1)="⚠","파견병원명 미등록",IF(LEFT(U596,1)="⚠","파견과목 미등록",IF(OR(T596="",LEFT(T596,1)="⚠"),"파견근거 확인",IF(NOT(AND(ISNUMBER(H596),ISNUMBER(I596))),"날짜 형식/누락",IF(I596&lt;H596,"종료일&lt;시작일","")))))))))</f>
        <v/>
      </c>
      <c r="AB596" s="11">
        <f>IF(ISNUMBER(SEARCH("다기관",TRIM(N596&amp;" "&amp;O596))),IFERROR(DATE(VALUE(MID(TRIM(N596&amp;" "&amp;O596),1,4)),VALUE(MID(TRIM(N596&amp;" "&amp;O596),6,2)),VALUE(MID(TRIM(N596&amp;" "&amp;O596),9,2))),IF(ISNUMBER(H596),H596,"")),"")</f>
        <v/>
      </c>
      <c r="AC596" s="11">
        <f>IF(ISNUMBER(SEARCH("다기관",TRIM(N596&amp;" "&amp;O596))),IFERROR(DATE(VALUE(MID(TRIM(N596&amp;" "&amp;O596),12,4)),VALUE(MID(TRIM(N596&amp;" "&amp;O596),17,2)),VALUE(MID(TRIM(N596&amp;" "&amp;O596),20,2))),IF(ISNUMBER(I596),I596,"")),"")</f>
        <v/>
      </c>
      <c r="AD596" s="17">
        <f>IF(AND(ISNUMBER(AB596),ISNUMBER(AC596)),MAX(0,MIN(AC596,EOMONTH(출력_요약!$B$3,0))-MAX(AB596,출력_요약!$B$3)+1),0)</f>
        <v/>
      </c>
      <c r="AE596" s="10">
        <f>IF(AND(Q596&lt;&gt;"",ISNUMBER(AB596)),Q596&amp;"|다기관","")</f>
        <v/>
      </c>
    </row>
    <row r="597">
      <c r="A597" s="15">
        <f>IF(F597="","",ROW()-3)</f>
        <v/>
      </c>
      <c r="B597" s="5" t="n"/>
      <c r="C597" s="15" t="n"/>
      <c r="D597" s="5" t="n"/>
      <c r="E597" s="15" t="n"/>
      <c r="F597" s="5" t="n"/>
      <c r="G597" s="6" t="n"/>
      <c r="H597" s="16" t="n"/>
      <c r="I597" s="16" t="n"/>
      <c r="J597" s="15">
        <f>IF(AND(ISNUMBER(H597),ISNUMBER(I597)),I597-H597+1,"")</f>
        <v/>
      </c>
      <c r="K597" s="5" t="n"/>
      <c r="L597" s="5" t="n"/>
      <c r="M597" s="5" t="n"/>
      <c r="N597" s="5" t="n"/>
      <c r="O597" s="5" t="n"/>
      <c r="Q597" s="10">
        <f>IF(TRIM(G597&amp;"")="","",TRIM(G597&amp;""))</f>
        <v/>
      </c>
      <c r="R597" s="10">
        <f>IF(TRIM(B597&amp;"")="","",IFERROR(INDEX(설정_코드표!$K$2:$K$101,MATCH(TRIM(B597&amp;""),설정_코드표!$J$2:$J$101,0)),"⚠"&amp;TRIM(B597&amp;"")))</f>
        <v/>
      </c>
      <c r="S597" s="10">
        <f>IF(TRIM(K597&amp;"")="","",IFERROR(INDEX(설정_코드표!$K$2:$K$101,MATCH(TRIM(K597&amp;""),설정_코드표!$J$2:$J$101,0)),"⚠"&amp;TRIM(K597&amp;"")))</f>
        <v/>
      </c>
      <c r="T597" s="10">
        <f>IF(TRIM(M597&amp;"")="","",IF(ISNUMBER(MATCH(TRIM(M597&amp;""),설정_코드표!$C$2:$C$11,0)),TRIM(M597&amp;""),"⚠"&amp;TRIM(M597&amp;"")))</f>
        <v/>
      </c>
      <c r="U597" s="10">
        <f>IF(TRIM(L597&amp;"")="","",IFERROR(INDEX(설정_코드표!$G$2:$G$101,MATCH(TRIM(L597&amp;""),설정_코드표!$F$2:$F$101,0)),"⚠"&amp;TRIM(L597&amp;"")))</f>
        <v/>
      </c>
      <c r="V597" s="10">
        <f>IF(AND(ISNUMBER(H597),ISNUMBER(I597)),I597-H597+1,"")</f>
        <v/>
      </c>
      <c r="W597" s="17">
        <f>IF(ISNUMBER(H597),MAX(0,MIN(IF(ISNUMBER(I597),I597,EOMONTH(출력_요약!$B$3,0)),EOMONTH(출력_요약!$B$3,0))-MAX(H597,출력_요약!$B$3)+1),0)</f>
        <v/>
      </c>
      <c r="X597" s="10">
        <f>IF(OR(NOT(ISNUMBER(H597)),Q597=""),"",IF(TODAY()&lt;H597,"파견예정",IF(AND(ISNUMBER(I597),TODAY()&gt;I597),"파견종료","파견중")))</f>
        <v/>
      </c>
      <c r="Y597" s="10">
        <f>IF(OR(Q597="",X597=""),"",Q597&amp;"|"&amp;X597)</f>
        <v/>
      </c>
      <c r="Z597" s="10">
        <f>IF(AND(Q597&lt;&gt;"",W597&gt;0),Q597&amp;"|월","")</f>
        <v/>
      </c>
      <c r="AA597" s="10">
        <f>IF(COUNTA(B597:I597,K597:N597)=0,"",IF(Q597="","등록번호 없음",IF(LEFT(R597,1)="⚠","모병원명 미등록",IF(S597="","파견병원 입력",IF(LEFT(S597,1)="⚠","파견병원명 미등록",IF(LEFT(U597,1)="⚠","파견과목 미등록",IF(OR(T597="",LEFT(T597,1)="⚠"),"파견근거 확인",IF(NOT(AND(ISNUMBER(H597),ISNUMBER(I597))),"날짜 형식/누락",IF(I597&lt;H597,"종료일&lt;시작일","")))))))))</f>
        <v/>
      </c>
      <c r="AB597" s="11">
        <f>IF(ISNUMBER(SEARCH("다기관",TRIM(N597&amp;" "&amp;O597))),IFERROR(DATE(VALUE(MID(TRIM(N597&amp;" "&amp;O597),1,4)),VALUE(MID(TRIM(N597&amp;" "&amp;O597),6,2)),VALUE(MID(TRIM(N597&amp;" "&amp;O597),9,2))),IF(ISNUMBER(H597),H597,"")),"")</f>
        <v/>
      </c>
      <c r="AC597" s="11">
        <f>IF(ISNUMBER(SEARCH("다기관",TRIM(N597&amp;" "&amp;O597))),IFERROR(DATE(VALUE(MID(TRIM(N597&amp;" "&amp;O597),12,4)),VALUE(MID(TRIM(N597&amp;" "&amp;O597),17,2)),VALUE(MID(TRIM(N597&amp;" "&amp;O597),20,2))),IF(ISNUMBER(I597),I597,"")),"")</f>
        <v/>
      </c>
      <c r="AD597" s="17">
        <f>IF(AND(ISNUMBER(AB597),ISNUMBER(AC597)),MAX(0,MIN(AC597,EOMONTH(출력_요약!$B$3,0))-MAX(AB597,출력_요약!$B$3)+1),0)</f>
        <v/>
      </c>
      <c r="AE597" s="10">
        <f>IF(AND(Q597&lt;&gt;"",ISNUMBER(AB597)),Q597&amp;"|다기관","")</f>
        <v/>
      </c>
    </row>
    <row r="598">
      <c r="A598" s="15">
        <f>IF(F598="","",ROW()-3)</f>
        <v/>
      </c>
      <c r="B598" s="5" t="n"/>
      <c r="C598" s="15" t="n"/>
      <c r="D598" s="5" t="n"/>
      <c r="E598" s="15" t="n"/>
      <c r="F598" s="5" t="n"/>
      <c r="G598" s="6" t="n"/>
      <c r="H598" s="16" t="n"/>
      <c r="I598" s="16" t="n"/>
      <c r="J598" s="15">
        <f>IF(AND(ISNUMBER(H598),ISNUMBER(I598)),I598-H598+1,"")</f>
        <v/>
      </c>
      <c r="K598" s="5" t="n"/>
      <c r="L598" s="5" t="n"/>
      <c r="M598" s="5" t="n"/>
      <c r="N598" s="5" t="n"/>
      <c r="O598" s="5" t="n"/>
      <c r="Q598" s="10">
        <f>IF(TRIM(G598&amp;"")="","",TRIM(G598&amp;""))</f>
        <v/>
      </c>
      <c r="R598" s="10">
        <f>IF(TRIM(B598&amp;"")="","",IFERROR(INDEX(설정_코드표!$K$2:$K$101,MATCH(TRIM(B598&amp;""),설정_코드표!$J$2:$J$101,0)),"⚠"&amp;TRIM(B598&amp;"")))</f>
        <v/>
      </c>
      <c r="S598" s="10">
        <f>IF(TRIM(K598&amp;"")="","",IFERROR(INDEX(설정_코드표!$K$2:$K$101,MATCH(TRIM(K598&amp;""),설정_코드표!$J$2:$J$101,0)),"⚠"&amp;TRIM(K598&amp;"")))</f>
        <v/>
      </c>
      <c r="T598" s="10">
        <f>IF(TRIM(M598&amp;"")="","",IF(ISNUMBER(MATCH(TRIM(M598&amp;""),설정_코드표!$C$2:$C$11,0)),TRIM(M598&amp;""),"⚠"&amp;TRIM(M598&amp;"")))</f>
        <v/>
      </c>
      <c r="U598" s="10">
        <f>IF(TRIM(L598&amp;"")="","",IFERROR(INDEX(설정_코드표!$G$2:$G$101,MATCH(TRIM(L598&amp;""),설정_코드표!$F$2:$F$101,0)),"⚠"&amp;TRIM(L598&amp;"")))</f>
        <v/>
      </c>
      <c r="V598" s="10">
        <f>IF(AND(ISNUMBER(H598),ISNUMBER(I598)),I598-H598+1,"")</f>
        <v/>
      </c>
      <c r="W598" s="17">
        <f>IF(ISNUMBER(H598),MAX(0,MIN(IF(ISNUMBER(I598),I598,EOMONTH(출력_요약!$B$3,0)),EOMONTH(출력_요약!$B$3,0))-MAX(H598,출력_요약!$B$3)+1),0)</f>
        <v/>
      </c>
      <c r="X598" s="10">
        <f>IF(OR(NOT(ISNUMBER(H598)),Q598=""),"",IF(TODAY()&lt;H598,"파견예정",IF(AND(ISNUMBER(I598),TODAY()&gt;I598),"파견종료","파견중")))</f>
        <v/>
      </c>
      <c r="Y598" s="10">
        <f>IF(OR(Q598="",X598=""),"",Q598&amp;"|"&amp;X598)</f>
        <v/>
      </c>
      <c r="Z598" s="10">
        <f>IF(AND(Q598&lt;&gt;"",W598&gt;0),Q598&amp;"|월","")</f>
        <v/>
      </c>
      <c r="AA598" s="10">
        <f>IF(COUNTA(B598:I598,K598:N598)=0,"",IF(Q598="","등록번호 없음",IF(LEFT(R598,1)="⚠","모병원명 미등록",IF(S598="","파견병원 입력",IF(LEFT(S598,1)="⚠","파견병원명 미등록",IF(LEFT(U598,1)="⚠","파견과목 미등록",IF(OR(T598="",LEFT(T598,1)="⚠"),"파견근거 확인",IF(NOT(AND(ISNUMBER(H598),ISNUMBER(I598))),"날짜 형식/누락",IF(I598&lt;H598,"종료일&lt;시작일","")))))))))</f>
        <v/>
      </c>
      <c r="AB598" s="11">
        <f>IF(ISNUMBER(SEARCH("다기관",TRIM(N598&amp;" "&amp;O598))),IFERROR(DATE(VALUE(MID(TRIM(N598&amp;" "&amp;O598),1,4)),VALUE(MID(TRIM(N598&amp;" "&amp;O598),6,2)),VALUE(MID(TRIM(N598&amp;" "&amp;O598),9,2))),IF(ISNUMBER(H598),H598,"")),"")</f>
        <v/>
      </c>
      <c r="AC598" s="11">
        <f>IF(ISNUMBER(SEARCH("다기관",TRIM(N598&amp;" "&amp;O598))),IFERROR(DATE(VALUE(MID(TRIM(N598&amp;" "&amp;O598),12,4)),VALUE(MID(TRIM(N598&amp;" "&amp;O598),17,2)),VALUE(MID(TRIM(N598&amp;" "&amp;O598),20,2))),IF(ISNUMBER(I598),I598,"")),"")</f>
        <v/>
      </c>
      <c r="AD598" s="17">
        <f>IF(AND(ISNUMBER(AB598),ISNUMBER(AC598)),MAX(0,MIN(AC598,EOMONTH(출력_요약!$B$3,0))-MAX(AB598,출력_요약!$B$3)+1),0)</f>
        <v/>
      </c>
      <c r="AE598" s="10">
        <f>IF(AND(Q598&lt;&gt;"",ISNUMBER(AB598)),Q598&amp;"|다기관","")</f>
        <v/>
      </c>
    </row>
    <row r="599">
      <c r="A599" s="15">
        <f>IF(F599="","",ROW()-3)</f>
        <v/>
      </c>
      <c r="B599" s="5" t="n"/>
      <c r="C599" s="15" t="n"/>
      <c r="D599" s="5" t="n"/>
      <c r="E599" s="15" t="n"/>
      <c r="F599" s="5" t="n"/>
      <c r="G599" s="6" t="n"/>
      <c r="H599" s="16" t="n"/>
      <c r="I599" s="16" t="n"/>
      <c r="J599" s="15">
        <f>IF(AND(ISNUMBER(H599),ISNUMBER(I599)),I599-H599+1,"")</f>
        <v/>
      </c>
      <c r="K599" s="5" t="n"/>
      <c r="L599" s="5" t="n"/>
      <c r="M599" s="5" t="n"/>
      <c r="N599" s="5" t="n"/>
      <c r="O599" s="5" t="n"/>
      <c r="Q599" s="10">
        <f>IF(TRIM(G599&amp;"")="","",TRIM(G599&amp;""))</f>
        <v/>
      </c>
      <c r="R599" s="10">
        <f>IF(TRIM(B599&amp;"")="","",IFERROR(INDEX(설정_코드표!$K$2:$K$101,MATCH(TRIM(B599&amp;""),설정_코드표!$J$2:$J$101,0)),"⚠"&amp;TRIM(B599&amp;"")))</f>
        <v/>
      </c>
      <c r="S599" s="10">
        <f>IF(TRIM(K599&amp;"")="","",IFERROR(INDEX(설정_코드표!$K$2:$K$101,MATCH(TRIM(K599&amp;""),설정_코드표!$J$2:$J$101,0)),"⚠"&amp;TRIM(K599&amp;"")))</f>
        <v/>
      </c>
      <c r="T599" s="10">
        <f>IF(TRIM(M599&amp;"")="","",IF(ISNUMBER(MATCH(TRIM(M599&amp;""),설정_코드표!$C$2:$C$11,0)),TRIM(M599&amp;""),"⚠"&amp;TRIM(M599&amp;"")))</f>
        <v/>
      </c>
      <c r="U599" s="10">
        <f>IF(TRIM(L599&amp;"")="","",IFERROR(INDEX(설정_코드표!$G$2:$G$101,MATCH(TRIM(L599&amp;""),설정_코드표!$F$2:$F$101,0)),"⚠"&amp;TRIM(L599&amp;"")))</f>
        <v/>
      </c>
      <c r="V599" s="10">
        <f>IF(AND(ISNUMBER(H599),ISNUMBER(I599)),I599-H599+1,"")</f>
        <v/>
      </c>
      <c r="W599" s="17">
        <f>IF(ISNUMBER(H599),MAX(0,MIN(IF(ISNUMBER(I599),I599,EOMONTH(출력_요약!$B$3,0)),EOMONTH(출력_요약!$B$3,0))-MAX(H599,출력_요약!$B$3)+1),0)</f>
        <v/>
      </c>
      <c r="X599" s="10">
        <f>IF(OR(NOT(ISNUMBER(H599)),Q599=""),"",IF(TODAY()&lt;H599,"파견예정",IF(AND(ISNUMBER(I599),TODAY()&gt;I599),"파견종료","파견중")))</f>
        <v/>
      </c>
      <c r="Y599" s="10">
        <f>IF(OR(Q599="",X599=""),"",Q599&amp;"|"&amp;X599)</f>
        <v/>
      </c>
      <c r="Z599" s="10">
        <f>IF(AND(Q599&lt;&gt;"",W599&gt;0),Q599&amp;"|월","")</f>
        <v/>
      </c>
      <c r="AA599" s="10">
        <f>IF(COUNTA(B599:I599,K599:N599)=0,"",IF(Q599="","등록번호 없음",IF(LEFT(R599,1)="⚠","모병원명 미등록",IF(S599="","파견병원 입력",IF(LEFT(S599,1)="⚠","파견병원명 미등록",IF(LEFT(U599,1)="⚠","파견과목 미등록",IF(OR(T599="",LEFT(T599,1)="⚠"),"파견근거 확인",IF(NOT(AND(ISNUMBER(H599),ISNUMBER(I599))),"날짜 형식/누락",IF(I599&lt;H599,"종료일&lt;시작일","")))))))))</f>
        <v/>
      </c>
      <c r="AB599" s="11">
        <f>IF(ISNUMBER(SEARCH("다기관",TRIM(N599&amp;" "&amp;O599))),IFERROR(DATE(VALUE(MID(TRIM(N599&amp;" "&amp;O599),1,4)),VALUE(MID(TRIM(N599&amp;" "&amp;O599),6,2)),VALUE(MID(TRIM(N599&amp;" "&amp;O599),9,2))),IF(ISNUMBER(H599),H599,"")),"")</f>
        <v/>
      </c>
      <c r="AC599" s="11">
        <f>IF(ISNUMBER(SEARCH("다기관",TRIM(N599&amp;" "&amp;O599))),IFERROR(DATE(VALUE(MID(TRIM(N599&amp;" "&amp;O599),12,4)),VALUE(MID(TRIM(N599&amp;" "&amp;O599),17,2)),VALUE(MID(TRIM(N599&amp;" "&amp;O599),20,2))),IF(ISNUMBER(I599),I599,"")),"")</f>
        <v/>
      </c>
      <c r="AD599" s="17">
        <f>IF(AND(ISNUMBER(AB599),ISNUMBER(AC599)),MAX(0,MIN(AC599,EOMONTH(출력_요약!$B$3,0))-MAX(AB599,출력_요약!$B$3)+1),0)</f>
        <v/>
      </c>
      <c r="AE599" s="10">
        <f>IF(AND(Q599&lt;&gt;"",ISNUMBER(AB599)),Q599&amp;"|다기관","")</f>
        <v/>
      </c>
    </row>
    <row r="600">
      <c r="A600" s="15">
        <f>IF(F600="","",ROW()-3)</f>
        <v/>
      </c>
      <c r="B600" s="5" t="n"/>
      <c r="C600" s="15" t="n"/>
      <c r="D600" s="5" t="n"/>
      <c r="E600" s="15" t="n"/>
      <c r="F600" s="5" t="n"/>
      <c r="G600" s="6" t="n"/>
      <c r="H600" s="16" t="n"/>
      <c r="I600" s="16" t="n"/>
      <c r="J600" s="15">
        <f>IF(AND(ISNUMBER(H600),ISNUMBER(I600)),I600-H600+1,"")</f>
        <v/>
      </c>
      <c r="K600" s="5" t="n"/>
      <c r="L600" s="5" t="n"/>
      <c r="M600" s="5" t="n"/>
      <c r="N600" s="5" t="n"/>
      <c r="O600" s="5" t="n"/>
      <c r="Q600" s="10">
        <f>IF(TRIM(G600&amp;"")="","",TRIM(G600&amp;""))</f>
        <v/>
      </c>
      <c r="R600" s="10">
        <f>IF(TRIM(B600&amp;"")="","",IFERROR(INDEX(설정_코드표!$K$2:$K$101,MATCH(TRIM(B600&amp;""),설정_코드표!$J$2:$J$101,0)),"⚠"&amp;TRIM(B600&amp;"")))</f>
        <v/>
      </c>
      <c r="S600" s="10">
        <f>IF(TRIM(K600&amp;"")="","",IFERROR(INDEX(설정_코드표!$K$2:$K$101,MATCH(TRIM(K600&amp;""),설정_코드표!$J$2:$J$101,0)),"⚠"&amp;TRIM(K600&amp;"")))</f>
        <v/>
      </c>
      <c r="T600" s="10">
        <f>IF(TRIM(M600&amp;"")="","",IF(ISNUMBER(MATCH(TRIM(M600&amp;""),설정_코드표!$C$2:$C$11,0)),TRIM(M600&amp;""),"⚠"&amp;TRIM(M600&amp;"")))</f>
        <v/>
      </c>
      <c r="U600" s="10">
        <f>IF(TRIM(L600&amp;"")="","",IFERROR(INDEX(설정_코드표!$G$2:$G$101,MATCH(TRIM(L600&amp;""),설정_코드표!$F$2:$F$101,0)),"⚠"&amp;TRIM(L600&amp;"")))</f>
        <v/>
      </c>
      <c r="V600" s="10">
        <f>IF(AND(ISNUMBER(H600),ISNUMBER(I600)),I600-H600+1,"")</f>
        <v/>
      </c>
      <c r="W600" s="17">
        <f>IF(ISNUMBER(H600),MAX(0,MIN(IF(ISNUMBER(I600),I600,EOMONTH(출력_요약!$B$3,0)),EOMONTH(출력_요약!$B$3,0))-MAX(H600,출력_요약!$B$3)+1),0)</f>
        <v/>
      </c>
      <c r="X600" s="10">
        <f>IF(OR(NOT(ISNUMBER(H600)),Q600=""),"",IF(TODAY()&lt;H600,"파견예정",IF(AND(ISNUMBER(I600),TODAY()&gt;I600),"파견종료","파견중")))</f>
        <v/>
      </c>
      <c r="Y600" s="10">
        <f>IF(OR(Q600="",X600=""),"",Q600&amp;"|"&amp;X600)</f>
        <v/>
      </c>
      <c r="Z600" s="10">
        <f>IF(AND(Q600&lt;&gt;"",W600&gt;0),Q600&amp;"|월","")</f>
        <v/>
      </c>
      <c r="AA600" s="10">
        <f>IF(COUNTA(B600:I600,K600:N600)=0,"",IF(Q600="","등록번호 없음",IF(LEFT(R600,1)="⚠","모병원명 미등록",IF(S600="","파견병원 입력",IF(LEFT(S600,1)="⚠","파견병원명 미등록",IF(LEFT(U600,1)="⚠","파견과목 미등록",IF(OR(T600="",LEFT(T600,1)="⚠"),"파견근거 확인",IF(NOT(AND(ISNUMBER(H600),ISNUMBER(I600))),"날짜 형식/누락",IF(I600&lt;H600,"종료일&lt;시작일","")))))))))</f>
        <v/>
      </c>
      <c r="AB600" s="11">
        <f>IF(ISNUMBER(SEARCH("다기관",TRIM(N600&amp;" "&amp;O600))),IFERROR(DATE(VALUE(MID(TRIM(N600&amp;" "&amp;O600),1,4)),VALUE(MID(TRIM(N600&amp;" "&amp;O600),6,2)),VALUE(MID(TRIM(N600&amp;" "&amp;O600),9,2))),IF(ISNUMBER(H600),H600,"")),"")</f>
        <v/>
      </c>
      <c r="AC600" s="11">
        <f>IF(ISNUMBER(SEARCH("다기관",TRIM(N600&amp;" "&amp;O600))),IFERROR(DATE(VALUE(MID(TRIM(N600&amp;" "&amp;O600),12,4)),VALUE(MID(TRIM(N600&amp;" "&amp;O600),17,2)),VALUE(MID(TRIM(N600&amp;" "&amp;O600),20,2))),IF(ISNUMBER(I600),I600,"")),"")</f>
        <v/>
      </c>
      <c r="AD600" s="17">
        <f>IF(AND(ISNUMBER(AB600),ISNUMBER(AC600)),MAX(0,MIN(AC600,EOMONTH(출력_요약!$B$3,0))-MAX(AB600,출력_요약!$B$3)+1),0)</f>
        <v/>
      </c>
      <c r="AE600" s="10">
        <f>IF(AND(Q600&lt;&gt;"",ISNUMBER(AB600)),Q600&amp;"|다기관","")</f>
        <v/>
      </c>
    </row>
    <row r="601">
      <c r="A601" s="15">
        <f>IF(F601="","",ROW()-3)</f>
        <v/>
      </c>
      <c r="B601" s="5" t="n"/>
      <c r="C601" s="15" t="n"/>
      <c r="D601" s="5" t="n"/>
      <c r="E601" s="15" t="n"/>
      <c r="F601" s="5" t="n"/>
      <c r="G601" s="6" t="n"/>
      <c r="H601" s="16" t="n"/>
      <c r="I601" s="16" t="n"/>
      <c r="J601" s="15">
        <f>IF(AND(ISNUMBER(H601),ISNUMBER(I601)),I601-H601+1,"")</f>
        <v/>
      </c>
      <c r="K601" s="5" t="n"/>
      <c r="L601" s="5" t="n"/>
      <c r="M601" s="5" t="n"/>
      <c r="N601" s="5" t="n"/>
      <c r="O601" s="5" t="n"/>
      <c r="Q601" s="10">
        <f>IF(TRIM(G601&amp;"")="","",TRIM(G601&amp;""))</f>
        <v/>
      </c>
      <c r="R601" s="10">
        <f>IF(TRIM(B601&amp;"")="","",IFERROR(INDEX(설정_코드표!$K$2:$K$101,MATCH(TRIM(B601&amp;""),설정_코드표!$J$2:$J$101,0)),"⚠"&amp;TRIM(B601&amp;"")))</f>
        <v/>
      </c>
      <c r="S601" s="10">
        <f>IF(TRIM(K601&amp;"")="","",IFERROR(INDEX(설정_코드표!$K$2:$K$101,MATCH(TRIM(K601&amp;""),설정_코드표!$J$2:$J$101,0)),"⚠"&amp;TRIM(K601&amp;"")))</f>
        <v/>
      </c>
      <c r="T601" s="10">
        <f>IF(TRIM(M601&amp;"")="","",IF(ISNUMBER(MATCH(TRIM(M601&amp;""),설정_코드표!$C$2:$C$11,0)),TRIM(M601&amp;""),"⚠"&amp;TRIM(M601&amp;"")))</f>
        <v/>
      </c>
      <c r="U601" s="10">
        <f>IF(TRIM(L601&amp;"")="","",IFERROR(INDEX(설정_코드표!$G$2:$G$101,MATCH(TRIM(L601&amp;""),설정_코드표!$F$2:$F$101,0)),"⚠"&amp;TRIM(L601&amp;"")))</f>
        <v/>
      </c>
      <c r="V601" s="10">
        <f>IF(AND(ISNUMBER(H601),ISNUMBER(I601)),I601-H601+1,"")</f>
        <v/>
      </c>
      <c r="W601" s="17">
        <f>IF(ISNUMBER(H601),MAX(0,MIN(IF(ISNUMBER(I601),I601,EOMONTH(출력_요약!$B$3,0)),EOMONTH(출력_요약!$B$3,0))-MAX(H601,출력_요약!$B$3)+1),0)</f>
        <v/>
      </c>
      <c r="X601" s="10">
        <f>IF(OR(NOT(ISNUMBER(H601)),Q601=""),"",IF(TODAY()&lt;H601,"파견예정",IF(AND(ISNUMBER(I601),TODAY()&gt;I601),"파견종료","파견중")))</f>
        <v/>
      </c>
      <c r="Y601" s="10">
        <f>IF(OR(Q601="",X601=""),"",Q601&amp;"|"&amp;X601)</f>
        <v/>
      </c>
      <c r="Z601" s="10">
        <f>IF(AND(Q601&lt;&gt;"",W601&gt;0),Q601&amp;"|월","")</f>
        <v/>
      </c>
      <c r="AA601" s="10">
        <f>IF(COUNTA(B601:I601,K601:N601)=0,"",IF(Q601="","등록번호 없음",IF(LEFT(R601,1)="⚠","모병원명 미등록",IF(S601="","파견병원 입력",IF(LEFT(S601,1)="⚠","파견병원명 미등록",IF(LEFT(U601,1)="⚠","파견과목 미등록",IF(OR(T601="",LEFT(T601,1)="⚠"),"파견근거 확인",IF(NOT(AND(ISNUMBER(H601),ISNUMBER(I601))),"날짜 형식/누락",IF(I601&lt;H601,"종료일&lt;시작일","")))))))))</f>
        <v/>
      </c>
      <c r="AB601" s="11">
        <f>IF(ISNUMBER(SEARCH("다기관",TRIM(N601&amp;" "&amp;O601))),IFERROR(DATE(VALUE(MID(TRIM(N601&amp;" "&amp;O601),1,4)),VALUE(MID(TRIM(N601&amp;" "&amp;O601),6,2)),VALUE(MID(TRIM(N601&amp;" "&amp;O601),9,2))),IF(ISNUMBER(H601),H601,"")),"")</f>
        <v/>
      </c>
      <c r="AC601" s="11">
        <f>IF(ISNUMBER(SEARCH("다기관",TRIM(N601&amp;" "&amp;O601))),IFERROR(DATE(VALUE(MID(TRIM(N601&amp;" "&amp;O601),12,4)),VALUE(MID(TRIM(N601&amp;" "&amp;O601),17,2)),VALUE(MID(TRIM(N601&amp;" "&amp;O601),20,2))),IF(ISNUMBER(I601),I601,"")),"")</f>
        <v/>
      </c>
      <c r="AD601" s="17">
        <f>IF(AND(ISNUMBER(AB601),ISNUMBER(AC601)),MAX(0,MIN(AC601,EOMONTH(출력_요약!$B$3,0))-MAX(AB601,출력_요약!$B$3)+1),0)</f>
        <v/>
      </c>
      <c r="AE601" s="10">
        <f>IF(AND(Q601&lt;&gt;"",ISNUMBER(AB601)),Q601&amp;"|다기관","")</f>
        <v/>
      </c>
    </row>
    <row r="602">
      <c r="A602" s="15">
        <f>IF(F602="","",ROW()-3)</f>
        <v/>
      </c>
      <c r="B602" s="5" t="n"/>
      <c r="C602" s="15" t="n"/>
      <c r="D602" s="5" t="n"/>
      <c r="E602" s="15" t="n"/>
      <c r="F602" s="5" t="n"/>
      <c r="G602" s="6" t="n"/>
      <c r="H602" s="16" t="n"/>
      <c r="I602" s="16" t="n"/>
      <c r="J602" s="15">
        <f>IF(AND(ISNUMBER(H602),ISNUMBER(I602)),I602-H602+1,"")</f>
        <v/>
      </c>
      <c r="K602" s="5" t="n"/>
      <c r="L602" s="5" t="n"/>
      <c r="M602" s="5" t="n"/>
      <c r="N602" s="5" t="n"/>
      <c r="O602" s="5" t="n"/>
      <c r="Q602" s="10">
        <f>IF(TRIM(G602&amp;"")="","",TRIM(G602&amp;""))</f>
        <v/>
      </c>
      <c r="R602" s="10">
        <f>IF(TRIM(B602&amp;"")="","",IFERROR(INDEX(설정_코드표!$K$2:$K$101,MATCH(TRIM(B602&amp;""),설정_코드표!$J$2:$J$101,0)),"⚠"&amp;TRIM(B602&amp;"")))</f>
        <v/>
      </c>
      <c r="S602" s="10">
        <f>IF(TRIM(K602&amp;"")="","",IFERROR(INDEX(설정_코드표!$K$2:$K$101,MATCH(TRIM(K602&amp;""),설정_코드표!$J$2:$J$101,0)),"⚠"&amp;TRIM(K602&amp;"")))</f>
        <v/>
      </c>
      <c r="T602" s="10">
        <f>IF(TRIM(M602&amp;"")="","",IF(ISNUMBER(MATCH(TRIM(M602&amp;""),설정_코드표!$C$2:$C$11,0)),TRIM(M602&amp;""),"⚠"&amp;TRIM(M602&amp;"")))</f>
        <v/>
      </c>
      <c r="U602" s="10">
        <f>IF(TRIM(L602&amp;"")="","",IFERROR(INDEX(설정_코드표!$G$2:$G$101,MATCH(TRIM(L602&amp;""),설정_코드표!$F$2:$F$101,0)),"⚠"&amp;TRIM(L602&amp;"")))</f>
        <v/>
      </c>
      <c r="V602" s="10">
        <f>IF(AND(ISNUMBER(H602),ISNUMBER(I602)),I602-H602+1,"")</f>
        <v/>
      </c>
      <c r="W602" s="17">
        <f>IF(ISNUMBER(H602),MAX(0,MIN(IF(ISNUMBER(I602),I602,EOMONTH(출력_요약!$B$3,0)),EOMONTH(출력_요약!$B$3,0))-MAX(H602,출력_요약!$B$3)+1),0)</f>
        <v/>
      </c>
      <c r="X602" s="10">
        <f>IF(OR(NOT(ISNUMBER(H602)),Q602=""),"",IF(TODAY()&lt;H602,"파견예정",IF(AND(ISNUMBER(I602),TODAY()&gt;I602),"파견종료","파견중")))</f>
        <v/>
      </c>
      <c r="Y602" s="10">
        <f>IF(OR(Q602="",X602=""),"",Q602&amp;"|"&amp;X602)</f>
        <v/>
      </c>
      <c r="Z602" s="10">
        <f>IF(AND(Q602&lt;&gt;"",W602&gt;0),Q602&amp;"|월","")</f>
        <v/>
      </c>
      <c r="AA602" s="10">
        <f>IF(COUNTA(B602:I602,K602:N602)=0,"",IF(Q602="","등록번호 없음",IF(LEFT(R602,1)="⚠","모병원명 미등록",IF(S602="","파견병원 입력",IF(LEFT(S602,1)="⚠","파견병원명 미등록",IF(LEFT(U602,1)="⚠","파견과목 미등록",IF(OR(T602="",LEFT(T602,1)="⚠"),"파견근거 확인",IF(NOT(AND(ISNUMBER(H602),ISNUMBER(I602))),"날짜 형식/누락",IF(I602&lt;H602,"종료일&lt;시작일","")))))))))</f>
        <v/>
      </c>
      <c r="AB602" s="11">
        <f>IF(ISNUMBER(SEARCH("다기관",TRIM(N602&amp;" "&amp;O602))),IFERROR(DATE(VALUE(MID(TRIM(N602&amp;" "&amp;O602),1,4)),VALUE(MID(TRIM(N602&amp;" "&amp;O602),6,2)),VALUE(MID(TRIM(N602&amp;" "&amp;O602),9,2))),IF(ISNUMBER(H602),H602,"")),"")</f>
        <v/>
      </c>
      <c r="AC602" s="11">
        <f>IF(ISNUMBER(SEARCH("다기관",TRIM(N602&amp;" "&amp;O602))),IFERROR(DATE(VALUE(MID(TRIM(N602&amp;" "&amp;O602),12,4)),VALUE(MID(TRIM(N602&amp;" "&amp;O602),17,2)),VALUE(MID(TRIM(N602&amp;" "&amp;O602),20,2))),IF(ISNUMBER(I602),I602,"")),"")</f>
        <v/>
      </c>
      <c r="AD602" s="17">
        <f>IF(AND(ISNUMBER(AB602),ISNUMBER(AC602)),MAX(0,MIN(AC602,EOMONTH(출력_요약!$B$3,0))-MAX(AB602,출력_요약!$B$3)+1),0)</f>
        <v/>
      </c>
      <c r="AE602" s="10">
        <f>IF(AND(Q602&lt;&gt;"",ISNUMBER(AB602)),Q602&amp;"|다기관","")</f>
        <v/>
      </c>
    </row>
    <row r="603">
      <c r="A603" s="15">
        <f>IF(F603="","",ROW()-3)</f>
        <v/>
      </c>
      <c r="B603" s="5" t="n"/>
      <c r="C603" s="15" t="n"/>
      <c r="D603" s="5" t="n"/>
      <c r="E603" s="15" t="n"/>
      <c r="F603" s="5" t="n"/>
      <c r="G603" s="6" t="n"/>
      <c r="H603" s="16" t="n"/>
      <c r="I603" s="16" t="n"/>
      <c r="J603" s="15">
        <f>IF(AND(ISNUMBER(H603),ISNUMBER(I603)),I603-H603+1,"")</f>
        <v/>
      </c>
      <c r="K603" s="5" t="n"/>
      <c r="L603" s="5" t="n"/>
      <c r="M603" s="5" t="n"/>
      <c r="N603" s="5" t="n"/>
      <c r="O603" s="5" t="n"/>
      <c r="Q603" s="10">
        <f>IF(TRIM(G603&amp;"")="","",TRIM(G603&amp;""))</f>
        <v/>
      </c>
      <c r="R603" s="10">
        <f>IF(TRIM(B603&amp;"")="","",IFERROR(INDEX(설정_코드표!$K$2:$K$101,MATCH(TRIM(B603&amp;""),설정_코드표!$J$2:$J$101,0)),"⚠"&amp;TRIM(B603&amp;"")))</f>
        <v/>
      </c>
      <c r="S603" s="10">
        <f>IF(TRIM(K603&amp;"")="","",IFERROR(INDEX(설정_코드표!$K$2:$K$101,MATCH(TRIM(K603&amp;""),설정_코드표!$J$2:$J$101,0)),"⚠"&amp;TRIM(K603&amp;"")))</f>
        <v/>
      </c>
      <c r="T603" s="10">
        <f>IF(TRIM(M603&amp;"")="","",IF(ISNUMBER(MATCH(TRIM(M603&amp;""),설정_코드표!$C$2:$C$11,0)),TRIM(M603&amp;""),"⚠"&amp;TRIM(M603&amp;"")))</f>
        <v/>
      </c>
      <c r="U603" s="10">
        <f>IF(TRIM(L603&amp;"")="","",IFERROR(INDEX(설정_코드표!$G$2:$G$101,MATCH(TRIM(L603&amp;""),설정_코드표!$F$2:$F$101,0)),"⚠"&amp;TRIM(L603&amp;"")))</f>
        <v/>
      </c>
      <c r="V603" s="10">
        <f>IF(AND(ISNUMBER(H603),ISNUMBER(I603)),I603-H603+1,"")</f>
        <v/>
      </c>
      <c r="W603" s="17">
        <f>IF(ISNUMBER(H603),MAX(0,MIN(IF(ISNUMBER(I603),I603,EOMONTH(출력_요약!$B$3,0)),EOMONTH(출력_요약!$B$3,0))-MAX(H603,출력_요약!$B$3)+1),0)</f>
        <v/>
      </c>
      <c r="X603" s="10">
        <f>IF(OR(NOT(ISNUMBER(H603)),Q603=""),"",IF(TODAY()&lt;H603,"파견예정",IF(AND(ISNUMBER(I603),TODAY()&gt;I603),"파견종료","파견중")))</f>
        <v/>
      </c>
      <c r="Y603" s="10">
        <f>IF(OR(Q603="",X603=""),"",Q603&amp;"|"&amp;X603)</f>
        <v/>
      </c>
      <c r="Z603" s="10">
        <f>IF(AND(Q603&lt;&gt;"",W603&gt;0),Q603&amp;"|월","")</f>
        <v/>
      </c>
      <c r="AA603" s="10">
        <f>IF(COUNTA(B603:I603,K603:N603)=0,"",IF(Q603="","등록번호 없음",IF(LEFT(R603,1)="⚠","모병원명 미등록",IF(S603="","파견병원 입력",IF(LEFT(S603,1)="⚠","파견병원명 미등록",IF(LEFT(U603,1)="⚠","파견과목 미등록",IF(OR(T603="",LEFT(T603,1)="⚠"),"파견근거 확인",IF(NOT(AND(ISNUMBER(H603),ISNUMBER(I603))),"날짜 형식/누락",IF(I603&lt;H603,"종료일&lt;시작일","")))))))))</f>
        <v/>
      </c>
      <c r="AB603" s="11">
        <f>IF(ISNUMBER(SEARCH("다기관",TRIM(N603&amp;" "&amp;O603))),IFERROR(DATE(VALUE(MID(TRIM(N603&amp;" "&amp;O603),1,4)),VALUE(MID(TRIM(N603&amp;" "&amp;O603),6,2)),VALUE(MID(TRIM(N603&amp;" "&amp;O603),9,2))),IF(ISNUMBER(H603),H603,"")),"")</f>
        <v/>
      </c>
      <c r="AC603" s="11">
        <f>IF(ISNUMBER(SEARCH("다기관",TRIM(N603&amp;" "&amp;O603))),IFERROR(DATE(VALUE(MID(TRIM(N603&amp;" "&amp;O603),12,4)),VALUE(MID(TRIM(N603&amp;" "&amp;O603),17,2)),VALUE(MID(TRIM(N603&amp;" "&amp;O603),20,2))),IF(ISNUMBER(I603),I603,"")),"")</f>
        <v/>
      </c>
      <c r="AD603" s="17">
        <f>IF(AND(ISNUMBER(AB603),ISNUMBER(AC603)),MAX(0,MIN(AC603,EOMONTH(출력_요약!$B$3,0))-MAX(AB603,출력_요약!$B$3)+1),0)</f>
        <v/>
      </c>
      <c r="AE603" s="10">
        <f>IF(AND(Q603&lt;&gt;"",ISNUMBER(AB603)),Q603&amp;"|다기관","")</f>
        <v/>
      </c>
    </row>
    <row r="604">
      <c r="A604" s="15">
        <f>IF(F604="","",ROW()-3)</f>
        <v/>
      </c>
      <c r="B604" s="5" t="n"/>
      <c r="C604" s="15" t="n"/>
      <c r="D604" s="5" t="n"/>
      <c r="E604" s="15" t="n"/>
      <c r="F604" s="5" t="n"/>
      <c r="G604" s="6" t="n"/>
      <c r="H604" s="16" t="n"/>
      <c r="I604" s="16" t="n"/>
      <c r="J604" s="15">
        <f>IF(AND(ISNUMBER(H604),ISNUMBER(I604)),I604-H604+1,"")</f>
        <v/>
      </c>
      <c r="K604" s="5" t="n"/>
      <c r="L604" s="5" t="n"/>
      <c r="M604" s="5" t="n"/>
      <c r="N604" s="5" t="n"/>
      <c r="O604" s="5" t="n"/>
      <c r="Q604" s="10">
        <f>IF(TRIM(G604&amp;"")="","",TRIM(G604&amp;""))</f>
        <v/>
      </c>
      <c r="R604" s="10">
        <f>IF(TRIM(B604&amp;"")="","",IFERROR(INDEX(설정_코드표!$K$2:$K$101,MATCH(TRIM(B604&amp;""),설정_코드표!$J$2:$J$101,0)),"⚠"&amp;TRIM(B604&amp;"")))</f>
        <v/>
      </c>
      <c r="S604" s="10">
        <f>IF(TRIM(K604&amp;"")="","",IFERROR(INDEX(설정_코드표!$K$2:$K$101,MATCH(TRIM(K604&amp;""),설정_코드표!$J$2:$J$101,0)),"⚠"&amp;TRIM(K604&amp;"")))</f>
        <v/>
      </c>
      <c r="T604" s="10">
        <f>IF(TRIM(M604&amp;"")="","",IF(ISNUMBER(MATCH(TRIM(M604&amp;""),설정_코드표!$C$2:$C$11,0)),TRIM(M604&amp;""),"⚠"&amp;TRIM(M604&amp;"")))</f>
        <v/>
      </c>
      <c r="U604" s="10">
        <f>IF(TRIM(L604&amp;"")="","",IFERROR(INDEX(설정_코드표!$G$2:$G$101,MATCH(TRIM(L604&amp;""),설정_코드표!$F$2:$F$101,0)),"⚠"&amp;TRIM(L604&amp;"")))</f>
        <v/>
      </c>
      <c r="V604" s="10">
        <f>IF(AND(ISNUMBER(H604),ISNUMBER(I604)),I604-H604+1,"")</f>
        <v/>
      </c>
      <c r="W604" s="17">
        <f>IF(ISNUMBER(H604),MAX(0,MIN(IF(ISNUMBER(I604),I604,EOMONTH(출력_요약!$B$3,0)),EOMONTH(출력_요약!$B$3,0))-MAX(H604,출력_요약!$B$3)+1),0)</f>
        <v/>
      </c>
      <c r="X604" s="10">
        <f>IF(OR(NOT(ISNUMBER(H604)),Q604=""),"",IF(TODAY()&lt;H604,"파견예정",IF(AND(ISNUMBER(I604),TODAY()&gt;I604),"파견종료","파견중")))</f>
        <v/>
      </c>
      <c r="Y604" s="10">
        <f>IF(OR(Q604="",X604=""),"",Q604&amp;"|"&amp;X604)</f>
        <v/>
      </c>
      <c r="Z604" s="10">
        <f>IF(AND(Q604&lt;&gt;"",W604&gt;0),Q604&amp;"|월","")</f>
        <v/>
      </c>
      <c r="AA604" s="10">
        <f>IF(COUNTA(B604:I604,K604:N604)=0,"",IF(Q604="","등록번호 없음",IF(LEFT(R604,1)="⚠","모병원명 미등록",IF(S604="","파견병원 입력",IF(LEFT(S604,1)="⚠","파견병원명 미등록",IF(LEFT(U604,1)="⚠","파견과목 미등록",IF(OR(T604="",LEFT(T604,1)="⚠"),"파견근거 확인",IF(NOT(AND(ISNUMBER(H604),ISNUMBER(I604))),"날짜 형식/누락",IF(I604&lt;H604,"종료일&lt;시작일","")))))))))</f>
        <v/>
      </c>
      <c r="AB604" s="11">
        <f>IF(ISNUMBER(SEARCH("다기관",TRIM(N604&amp;" "&amp;O604))),IFERROR(DATE(VALUE(MID(TRIM(N604&amp;" "&amp;O604),1,4)),VALUE(MID(TRIM(N604&amp;" "&amp;O604),6,2)),VALUE(MID(TRIM(N604&amp;" "&amp;O604),9,2))),IF(ISNUMBER(H604),H604,"")),"")</f>
        <v/>
      </c>
      <c r="AC604" s="11">
        <f>IF(ISNUMBER(SEARCH("다기관",TRIM(N604&amp;" "&amp;O604))),IFERROR(DATE(VALUE(MID(TRIM(N604&amp;" "&amp;O604),12,4)),VALUE(MID(TRIM(N604&amp;" "&amp;O604),17,2)),VALUE(MID(TRIM(N604&amp;" "&amp;O604),20,2))),IF(ISNUMBER(I604),I604,"")),"")</f>
        <v/>
      </c>
      <c r="AD604" s="17">
        <f>IF(AND(ISNUMBER(AB604),ISNUMBER(AC604)),MAX(0,MIN(AC604,EOMONTH(출력_요약!$B$3,0))-MAX(AB604,출력_요약!$B$3)+1),0)</f>
        <v/>
      </c>
      <c r="AE604" s="10">
        <f>IF(AND(Q604&lt;&gt;"",ISNUMBER(AB604)),Q604&amp;"|다기관","")</f>
        <v/>
      </c>
    </row>
    <row r="605">
      <c r="A605" s="15">
        <f>IF(F605="","",ROW()-3)</f>
        <v/>
      </c>
      <c r="B605" s="5" t="n"/>
      <c r="C605" s="15" t="n"/>
      <c r="D605" s="5" t="n"/>
      <c r="E605" s="15" t="n"/>
      <c r="F605" s="5" t="n"/>
      <c r="G605" s="6" t="n"/>
      <c r="H605" s="16" t="n"/>
      <c r="I605" s="16" t="n"/>
      <c r="J605" s="15">
        <f>IF(AND(ISNUMBER(H605),ISNUMBER(I605)),I605-H605+1,"")</f>
        <v/>
      </c>
      <c r="K605" s="5" t="n"/>
      <c r="L605" s="5" t="n"/>
      <c r="M605" s="5" t="n"/>
      <c r="N605" s="5" t="n"/>
      <c r="O605" s="5" t="n"/>
      <c r="Q605" s="10">
        <f>IF(TRIM(G605&amp;"")="","",TRIM(G605&amp;""))</f>
        <v/>
      </c>
      <c r="R605" s="10">
        <f>IF(TRIM(B605&amp;"")="","",IFERROR(INDEX(설정_코드표!$K$2:$K$101,MATCH(TRIM(B605&amp;""),설정_코드표!$J$2:$J$101,0)),"⚠"&amp;TRIM(B605&amp;"")))</f>
        <v/>
      </c>
      <c r="S605" s="10">
        <f>IF(TRIM(K605&amp;"")="","",IFERROR(INDEX(설정_코드표!$K$2:$K$101,MATCH(TRIM(K605&amp;""),설정_코드표!$J$2:$J$101,0)),"⚠"&amp;TRIM(K605&amp;"")))</f>
        <v/>
      </c>
      <c r="T605" s="10">
        <f>IF(TRIM(M605&amp;"")="","",IF(ISNUMBER(MATCH(TRIM(M605&amp;""),설정_코드표!$C$2:$C$11,0)),TRIM(M605&amp;""),"⚠"&amp;TRIM(M605&amp;"")))</f>
        <v/>
      </c>
      <c r="U605" s="10">
        <f>IF(TRIM(L605&amp;"")="","",IFERROR(INDEX(설정_코드표!$G$2:$G$101,MATCH(TRIM(L605&amp;""),설정_코드표!$F$2:$F$101,0)),"⚠"&amp;TRIM(L605&amp;"")))</f>
        <v/>
      </c>
      <c r="V605" s="10">
        <f>IF(AND(ISNUMBER(H605),ISNUMBER(I605)),I605-H605+1,"")</f>
        <v/>
      </c>
      <c r="W605" s="17">
        <f>IF(ISNUMBER(H605),MAX(0,MIN(IF(ISNUMBER(I605),I605,EOMONTH(출력_요약!$B$3,0)),EOMONTH(출력_요약!$B$3,0))-MAX(H605,출력_요약!$B$3)+1),0)</f>
        <v/>
      </c>
      <c r="X605" s="10">
        <f>IF(OR(NOT(ISNUMBER(H605)),Q605=""),"",IF(TODAY()&lt;H605,"파견예정",IF(AND(ISNUMBER(I605),TODAY()&gt;I605),"파견종료","파견중")))</f>
        <v/>
      </c>
      <c r="Y605" s="10">
        <f>IF(OR(Q605="",X605=""),"",Q605&amp;"|"&amp;X605)</f>
        <v/>
      </c>
      <c r="Z605" s="10">
        <f>IF(AND(Q605&lt;&gt;"",W605&gt;0),Q605&amp;"|월","")</f>
        <v/>
      </c>
      <c r="AA605" s="10">
        <f>IF(COUNTA(B605:I605,K605:N605)=0,"",IF(Q605="","등록번호 없음",IF(LEFT(R605,1)="⚠","모병원명 미등록",IF(S605="","파견병원 입력",IF(LEFT(S605,1)="⚠","파견병원명 미등록",IF(LEFT(U605,1)="⚠","파견과목 미등록",IF(OR(T605="",LEFT(T605,1)="⚠"),"파견근거 확인",IF(NOT(AND(ISNUMBER(H605),ISNUMBER(I605))),"날짜 형식/누락",IF(I605&lt;H605,"종료일&lt;시작일","")))))))))</f>
        <v/>
      </c>
      <c r="AB605" s="11">
        <f>IF(ISNUMBER(SEARCH("다기관",TRIM(N605&amp;" "&amp;O605))),IFERROR(DATE(VALUE(MID(TRIM(N605&amp;" "&amp;O605),1,4)),VALUE(MID(TRIM(N605&amp;" "&amp;O605),6,2)),VALUE(MID(TRIM(N605&amp;" "&amp;O605),9,2))),IF(ISNUMBER(H605),H605,"")),"")</f>
        <v/>
      </c>
      <c r="AC605" s="11">
        <f>IF(ISNUMBER(SEARCH("다기관",TRIM(N605&amp;" "&amp;O605))),IFERROR(DATE(VALUE(MID(TRIM(N605&amp;" "&amp;O605),12,4)),VALUE(MID(TRIM(N605&amp;" "&amp;O605),17,2)),VALUE(MID(TRIM(N605&amp;" "&amp;O605),20,2))),IF(ISNUMBER(I605),I605,"")),"")</f>
        <v/>
      </c>
      <c r="AD605" s="17">
        <f>IF(AND(ISNUMBER(AB605),ISNUMBER(AC605)),MAX(0,MIN(AC605,EOMONTH(출력_요약!$B$3,0))-MAX(AB605,출력_요약!$B$3)+1),0)</f>
        <v/>
      </c>
      <c r="AE605" s="10">
        <f>IF(AND(Q605&lt;&gt;"",ISNUMBER(AB605)),Q605&amp;"|다기관","")</f>
        <v/>
      </c>
    </row>
    <row r="606">
      <c r="A606" s="15">
        <f>IF(F606="","",ROW()-3)</f>
        <v/>
      </c>
      <c r="B606" s="5" t="n"/>
      <c r="C606" s="15" t="n"/>
      <c r="D606" s="5" t="n"/>
      <c r="E606" s="15" t="n"/>
      <c r="F606" s="5" t="n"/>
      <c r="G606" s="6" t="n"/>
      <c r="H606" s="16" t="n"/>
      <c r="I606" s="16" t="n"/>
      <c r="J606" s="15">
        <f>IF(AND(ISNUMBER(H606),ISNUMBER(I606)),I606-H606+1,"")</f>
        <v/>
      </c>
      <c r="K606" s="5" t="n"/>
      <c r="L606" s="5" t="n"/>
      <c r="M606" s="5" t="n"/>
      <c r="N606" s="5" t="n"/>
      <c r="O606" s="5" t="n"/>
      <c r="Q606" s="10">
        <f>IF(TRIM(G606&amp;"")="","",TRIM(G606&amp;""))</f>
        <v/>
      </c>
      <c r="R606" s="10">
        <f>IF(TRIM(B606&amp;"")="","",IFERROR(INDEX(설정_코드표!$K$2:$K$101,MATCH(TRIM(B606&amp;""),설정_코드표!$J$2:$J$101,0)),"⚠"&amp;TRIM(B606&amp;"")))</f>
        <v/>
      </c>
      <c r="S606" s="10">
        <f>IF(TRIM(K606&amp;"")="","",IFERROR(INDEX(설정_코드표!$K$2:$K$101,MATCH(TRIM(K606&amp;""),설정_코드표!$J$2:$J$101,0)),"⚠"&amp;TRIM(K606&amp;"")))</f>
        <v/>
      </c>
      <c r="T606" s="10">
        <f>IF(TRIM(M606&amp;"")="","",IF(ISNUMBER(MATCH(TRIM(M606&amp;""),설정_코드표!$C$2:$C$11,0)),TRIM(M606&amp;""),"⚠"&amp;TRIM(M606&amp;"")))</f>
        <v/>
      </c>
      <c r="U606" s="10">
        <f>IF(TRIM(L606&amp;"")="","",IFERROR(INDEX(설정_코드표!$G$2:$G$101,MATCH(TRIM(L606&amp;""),설정_코드표!$F$2:$F$101,0)),"⚠"&amp;TRIM(L606&amp;"")))</f>
        <v/>
      </c>
      <c r="V606" s="10">
        <f>IF(AND(ISNUMBER(H606),ISNUMBER(I606)),I606-H606+1,"")</f>
        <v/>
      </c>
      <c r="W606" s="17">
        <f>IF(ISNUMBER(H606),MAX(0,MIN(IF(ISNUMBER(I606),I606,EOMONTH(출력_요약!$B$3,0)),EOMONTH(출력_요약!$B$3,0))-MAX(H606,출력_요약!$B$3)+1),0)</f>
        <v/>
      </c>
      <c r="X606" s="10">
        <f>IF(OR(NOT(ISNUMBER(H606)),Q606=""),"",IF(TODAY()&lt;H606,"파견예정",IF(AND(ISNUMBER(I606),TODAY()&gt;I606),"파견종료","파견중")))</f>
        <v/>
      </c>
      <c r="Y606" s="10">
        <f>IF(OR(Q606="",X606=""),"",Q606&amp;"|"&amp;X606)</f>
        <v/>
      </c>
      <c r="Z606" s="10">
        <f>IF(AND(Q606&lt;&gt;"",W606&gt;0),Q606&amp;"|월","")</f>
        <v/>
      </c>
      <c r="AA606" s="10">
        <f>IF(COUNTA(B606:I606,K606:N606)=0,"",IF(Q606="","등록번호 없음",IF(LEFT(R606,1)="⚠","모병원명 미등록",IF(S606="","파견병원 입력",IF(LEFT(S606,1)="⚠","파견병원명 미등록",IF(LEFT(U606,1)="⚠","파견과목 미등록",IF(OR(T606="",LEFT(T606,1)="⚠"),"파견근거 확인",IF(NOT(AND(ISNUMBER(H606),ISNUMBER(I606))),"날짜 형식/누락",IF(I606&lt;H606,"종료일&lt;시작일","")))))))))</f>
        <v/>
      </c>
      <c r="AB606" s="11">
        <f>IF(ISNUMBER(SEARCH("다기관",TRIM(N606&amp;" "&amp;O606))),IFERROR(DATE(VALUE(MID(TRIM(N606&amp;" "&amp;O606),1,4)),VALUE(MID(TRIM(N606&amp;" "&amp;O606),6,2)),VALUE(MID(TRIM(N606&amp;" "&amp;O606),9,2))),IF(ISNUMBER(H606),H606,"")),"")</f>
        <v/>
      </c>
      <c r="AC606" s="11">
        <f>IF(ISNUMBER(SEARCH("다기관",TRIM(N606&amp;" "&amp;O606))),IFERROR(DATE(VALUE(MID(TRIM(N606&amp;" "&amp;O606),12,4)),VALUE(MID(TRIM(N606&amp;" "&amp;O606),17,2)),VALUE(MID(TRIM(N606&amp;" "&amp;O606),20,2))),IF(ISNUMBER(I606),I606,"")),"")</f>
        <v/>
      </c>
      <c r="AD606" s="17">
        <f>IF(AND(ISNUMBER(AB606),ISNUMBER(AC606)),MAX(0,MIN(AC606,EOMONTH(출력_요약!$B$3,0))-MAX(AB606,출력_요약!$B$3)+1),0)</f>
        <v/>
      </c>
      <c r="AE606" s="10">
        <f>IF(AND(Q606&lt;&gt;"",ISNUMBER(AB606)),Q606&amp;"|다기관","")</f>
        <v/>
      </c>
    </row>
    <row r="607">
      <c r="A607" s="15">
        <f>IF(F607="","",ROW()-3)</f>
        <v/>
      </c>
      <c r="B607" s="5" t="n"/>
      <c r="C607" s="15" t="n"/>
      <c r="D607" s="5" t="n"/>
      <c r="E607" s="15" t="n"/>
      <c r="F607" s="5" t="n"/>
      <c r="G607" s="6" t="n"/>
      <c r="H607" s="16" t="n"/>
      <c r="I607" s="16" t="n"/>
      <c r="J607" s="15">
        <f>IF(AND(ISNUMBER(H607),ISNUMBER(I607)),I607-H607+1,"")</f>
        <v/>
      </c>
      <c r="K607" s="5" t="n"/>
      <c r="L607" s="5" t="n"/>
      <c r="M607" s="5" t="n"/>
      <c r="N607" s="5" t="n"/>
      <c r="O607" s="5" t="n"/>
      <c r="Q607" s="10">
        <f>IF(TRIM(G607&amp;"")="","",TRIM(G607&amp;""))</f>
        <v/>
      </c>
      <c r="R607" s="10">
        <f>IF(TRIM(B607&amp;"")="","",IFERROR(INDEX(설정_코드표!$K$2:$K$101,MATCH(TRIM(B607&amp;""),설정_코드표!$J$2:$J$101,0)),"⚠"&amp;TRIM(B607&amp;"")))</f>
        <v/>
      </c>
      <c r="S607" s="10">
        <f>IF(TRIM(K607&amp;"")="","",IFERROR(INDEX(설정_코드표!$K$2:$K$101,MATCH(TRIM(K607&amp;""),설정_코드표!$J$2:$J$101,0)),"⚠"&amp;TRIM(K607&amp;"")))</f>
        <v/>
      </c>
      <c r="T607" s="10">
        <f>IF(TRIM(M607&amp;"")="","",IF(ISNUMBER(MATCH(TRIM(M607&amp;""),설정_코드표!$C$2:$C$11,0)),TRIM(M607&amp;""),"⚠"&amp;TRIM(M607&amp;"")))</f>
        <v/>
      </c>
      <c r="U607" s="10">
        <f>IF(TRIM(L607&amp;"")="","",IFERROR(INDEX(설정_코드표!$G$2:$G$101,MATCH(TRIM(L607&amp;""),설정_코드표!$F$2:$F$101,0)),"⚠"&amp;TRIM(L607&amp;"")))</f>
        <v/>
      </c>
      <c r="V607" s="10">
        <f>IF(AND(ISNUMBER(H607),ISNUMBER(I607)),I607-H607+1,"")</f>
        <v/>
      </c>
      <c r="W607" s="17">
        <f>IF(ISNUMBER(H607),MAX(0,MIN(IF(ISNUMBER(I607),I607,EOMONTH(출력_요약!$B$3,0)),EOMONTH(출력_요약!$B$3,0))-MAX(H607,출력_요약!$B$3)+1),0)</f>
        <v/>
      </c>
      <c r="X607" s="10">
        <f>IF(OR(NOT(ISNUMBER(H607)),Q607=""),"",IF(TODAY()&lt;H607,"파견예정",IF(AND(ISNUMBER(I607),TODAY()&gt;I607),"파견종료","파견중")))</f>
        <v/>
      </c>
      <c r="Y607" s="10">
        <f>IF(OR(Q607="",X607=""),"",Q607&amp;"|"&amp;X607)</f>
        <v/>
      </c>
      <c r="Z607" s="10">
        <f>IF(AND(Q607&lt;&gt;"",W607&gt;0),Q607&amp;"|월","")</f>
        <v/>
      </c>
      <c r="AA607" s="10">
        <f>IF(COUNTA(B607:I607,K607:N607)=0,"",IF(Q607="","등록번호 없음",IF(LEFT(R607,1)="⚠","모병원명 미등록",IF(S607="","파견병원 입력",IF(LEFT(S607,1)="⚠","파견병원명 미등록",IF(LEFT(U607,1)="⚠","파견과목 미등록",IF(OR(T607="",LEFT(T607,1)="⚠"),"파견근거 확인",IF(NOT(AND(ISNUMBER(H607),ISNUMBER(I607))),"날짜 형식/누락",IF(I607&lt;H607,"종료일&lt;시작일","")))))))))</f>
        <v/>
      </c>
      <c r="AB607" s="11">
        <f>IF(ISNUMBER(SEARCH("다기관",TRIM(N607&amp;" "&amp;O607))),IFERROR(DATE(VALUE(MID(TRIM(N607&amp;" "&amp;O607),1,4)),VALUE(MID(TRIM(N607&amp;" "&amp;O607),6,2)),VALUE(MID(TRIM(N607&amp;" "&amp;O607),9,2))),IF(ISNUMBER(H607),H607,"")),"")</f>
        <v/>
      </c>
      <c r="AC607" s="11">
        <f>IF(ISNUMBER(SEARCH("다기관",TRIM(N607&amp;" "&amp;O607))),IFERROR(DATE(VALUE(MID(TRIM(N607&amp;" "&amp;O607),12,4)),VALUE(MID(TRIM(N607&amp;" "&amp;O607),17,2)),VALUE(MID(TRIM(N607&amp;" "&amp;O607),20,2))),IF(ISNUMBER(I607),I607,"")),"")</f>
        <v/>
      </c>
      <c r="AD607" s="17">
        <f>IF(AND(ISNUMBER(AB607),ISNUMBER(AC607)),MAX(0,MIN(AC607,EOMONTH(출력_요약!$B$3,0))-MAX(AB607,출력_요약!$B$3)+1),0)</f>
        <v/>
      </c>
      <c r="AE607" s="10">
        <f>IF(AND(Q607&lt;&gt;"",ISNUMBER(AB607)),Q607&amp;"|다기관","")</f>
        <v/>
      </c>
    </row>
    <row r="608">
      <c r="A608" s="15">
        <f>IF(F608="","",ROW()-3)</f>
        <v/>
      </c>
      <c r="B608" s="5" t="n"/>
      <c r="C608" s="15" t="n"/>
      <c r="D608" s="5" t="n"/>
      <c r="E608" s="15" t="n"/>
      <c r="F608" s="5" t="n"/>
      <c r="G608" s="6" t="n"/>
      <c r="H608" s="16" t="n"/>
      <c r="I608" s="16" t="n"/>
      <c r="J608" s="15">
        <f>IF(AND(ISNUMBER(H608),ISNUMBER(I608)),I608-H608+1,"")</f>
        <v/>
      </c>
      <c r="K608" s="5" t="n"/>
      <c r="L608" s="5" t="n"/>
      <c r="M608" s="5" t="n"/>
      <c r="N608" s="5" t="n"/>
      <c r="O608" s="5" t="n"/>
      <c r="Q608" s="10">
        <f>IF(TRIM(G608&amp;"")="","",TRIM(G608&amp;""))</f>
        <v/>
      </c>
      <c r="R608" s="10">
        <f>IF(TRIM(B608&amp;"")="","",IFERROR(INDEX(설정_코드표!$K$2:$K$101,MATCH(TRIM(B608&amp;""),설정_코드표!$J$2:$J$101,0)),"⚠"&amp;TRIM(B608&amp;"")))</f>
        <v/>
      </c>
      <c r="S608" s="10">
        <f>IF(TRIM(K608&amp;"")="","",IFERROR(INDEX(설정_코드표!$K$2:$K$101,MATCH(TRIM(K608&amp;""),설정_코드표!$J$2:$J$101,0)),"⚠"&amp;TRIM(K608&amp;"")))</f>
        <v/>
      </c>
      <c r="T608" s="10">
        <f>IF(TRIM(M608&amp;"")="","",IF(ISNUMBER(MATCH(TRIM(M608&amp;""),설정_코드표!$C$2:$C$11,0)),TRIM(M608&amp;""),"⚠"&amp;TRIM(M608&amp;"")))</f>
        <v/>
      </c>
      <c r="U608" s="10">
        <f>IF(TRIM(L608&amp;"")="","",IFERROR(INDEX(설정_코드표!$G$2:$G$101,MATCH(TRIM(L608&amp;""),설정_코드표!$F$2:$F$101,0)),"⚠"&amp;TRIM(L608&amp;"")))</f>
        <v/>
      </c>
      <c r="V608" s="10">
        <f>IF(AND(ISNUMBER(H608),ISNUMBER(I608)),I608-H608+1,"")</f>
        <v/>
      </c>
      <c r="W608" s="17">
        <f>IF(ISNUMBER(H608),MAX(0,MIN(IF(ISNUMBER(I608),I608,EOMONTH(출력_요약!$B$3,0)),EOMONTH(출력_요약!$B$3,0))-MAX(H608,출력_요약!$B$3)+1),0)</f>
        <v/>
      </c>
      <c r="X608" s="10">
        <f>IF(OR(NOT(ISNUMBER(H608)),Q608=""),"",IF(TODAY()&lt;H608,"파견예정",IF(AND(ISNUMBER(I608),TODAY()&gt;I608),"파견종료","파견중")))</f>
        <v/>
      </c>
      <c r="Y608" s="10">
        <f>IF(OR(Q608="",X608=""),"",Q608&amp;"|"&amp;X608)</f>
        <v/>
      </c>
      <c r="Z608" s="10">
        <f>IF(AND(Q608&lt;&gt;"",W608&gt;0),Q608&amp;"|월","")</f>
        <v/>
      </c>
      <c r="AA608" s="10">
        <f>IF(COUNTA(B608:I608,K608:N608)=0,"",IF(Q608="","등록번호 없음",IF(LEFT(R608,1)="⚠","모병원명 미등록",IF(S608="","파견병원 입력",IF(LEFT(S608,1)="⚠","파견병원명 미등록",IF(LEFT(U608,1)="⚠","파견과목 미등록",IF(OR(T608="",LEFT(T608,1)="⚠"),"파견근거 확인",IF(NOT(AND(ISNUMBER(H608),ISNUMBER(I608))),"날짜 형식/누락",IF(I608&lt;H608,"종료일&lt;시작일","")))))))))</f>
        <v/>
      </c>
      <c r="AB608" s="11">
        <f>IF(ISNUMBER(SEARCH("다기관",TRIM(N608&amp;" "&amp;O608))),IFERROR(DATE(VALUE(MID(TRIM(N608&amp;" "&amp;O608),1,4)),VALUE(MID(TRIM(N608&amp;" "&amp;O608),6,2)),VALUE(MID(TRIM(N608&amp;" "&amp;O608),9,2))),IF(ISNUMBER(H608),H608,"")),"")</f>
        <v/>
      </c>
      <c r="AC608" s="11">
        <f>IF(ISNUMBER(SEARCH("다기관",TRIM(N608&amp;" "&amp;O608))),IFERROR(DATE(VALUE(MID(TRIM(N608&amp;" "&amp;O608),12,4)),VALUE(MID(TRIM(N608&amp;" "&amp;O608),17,2)),VALUE(MID(TRIM(N608&amp;" "&amp;O608),20,2))),IF(ISNUMBER(I608),I608,"")),"")</f>
        <v/>
      </c>
      <c r="AD608" s="17">
        <f>IF(AND(ISNUMBER(AB608),ISNUMBER(AC608)),MAX(0,MIN(AC608,EOMONTH(출력_요약!$B$3,0))-MAX(AB608,출력_요약!$B$3)+1),0)</f>
        <v/>
      </c>
      <c r="AE608" s="10">
        <f>IF(AND(Q608&lt;&gt;"",ISNUMBER(AB608)),Q608&amp;"|다기관","")</f>
        <v/>
      </c>
    </row>
    <row r="609">
      <c r="A609" s="15">
        <f>IF(F609="","",ROW()-3)</f>
        <v/>
      </c>
      <c r="B609" s="5" t="n"/>
      <c r="C609" s="15" t="n"/>
      <c r="D609" s="5" t="n"/>
      <c r="E609" s="15" t="n"/>
      <c r="F609" s="5" t="n"/>
      <c r="G609" s="6" t="n"/>
      <c r="H609" s="16" t="n"/>
      <c r="I609" s="16" t="n"/>
      <c r="J609" s="15">
        <f>IF(AND(ISNUMBER(H609),ISNUMBER(I609)),I609-H609+1,"")</f>
        <v/>
      </c>
      <c r="K609" s="5" t="n"/>
      <c r="L609" s="5" t="n"/>
      <c r="M609" s="5" t="n"/>
      <c r="N609" s="5" t="n"/>
      <c r="O609" s="5" t="n"/>
      <c r="Q609" s="10">
        <f>IF(TRIM(G609&amp;"")="","",TRIM(G609&amp;""))</f>
        <v/>
      </c>
      <c r="R609" s="10">
        <f>IF(TRIM(B609&amp;"")="","",IFERROR(INDEX(설정_코드표!$K$2:$K$101,MATCH(TRIM(B609&amp;""),설정_코드표!$J$2:$J$101,0)),"⚠"&amp;TRIM(B609&amp;"")))</f>
        <v/>
      </c>
      <c r="S609" s="10">
        <f>IF(TRIM(K609&amp;"")="","",IFERROR(INDEX(설정_코드표!$K$2:$K$101,MATCH(TRIM(K609&amp;""),설정_코드표!$J$2:$J$101,0)),"⚠"&amp;TRIM(K609&amp;"")))</f>
        <v/>
      </c>
      <c r="T609" s="10">
        <f>IF(TRIM(M609&amp;"")="","",IF(ISNUMBER(MATCH(TRIM(M609&amp;""),설정_코드표!$C$2:$C$11,0)),TRIM(M609&amp;""),"⚠"&amp;TRIM(M609&amp;"")))</f>
        <v/>
      </c>
      <c r="U609" s="10">
        <f>IF(TRIM(L609&amp;"")="","",IFERROR(INDEX(설정_코드표!$G$2:$G$101,MATCH(TRIM(L609&amp;""),설정_코드표!$F$2:$F$101,0)),"⚠"&amp;TRIM(L609&amp;"")))</f>
        <v/>
      </c>
      <c r="V609" s="10">
        <f>IF(AND(ISNUMBER(H609),ISNUMBER(I609)),I609-H609+1,"")</f>
        <v/>
      </c>
      <c r="W609" s="17">
        <f>IF(ISNUMBER(H609),MAX(0,MIN(IF(ISNUMBER(I609),I609,EOMONTH(출력_요약!$B$3,0)),EOMONTH(출력_요약!$B$3,0))-MAX(H609,출력_요약!$B$3)+1),0)</f>
        <v/>
      </c>
      <c r="X609" s="10">
        <f>IF(OR(NOT(ISNUMBER(H609)),Q609=""),"",IF(TODAY()&lt;H609,"파견예정",IF(AND(ISNUMBER(I609),TODAY()&gt;I609),"파견종료","파견중")))</f>
        <v/>
      </c>
      <c r="Y609" s="10">
        <f>IF(OR(Q609="",X609=""),"",Q609&amp;"|"&amp;X609)</f>
        <v/>
      </c>
      <c r="Z609" s="10">
        <f>IF(AND(Q609&lt;&gt;"",W609&gt;0),Q609&amp;"|월","")</f>
        <v/>
      </c>
      <c r="AA609" s="10">
        <f>IF(COUNTA(B609:I609,K609:N609)=0,"",IF(Q609="","등록번호 없음",IF(LEFT(R609,1)="⚠","모병원명 미등록",IF(S609="","파견병원 입력",IF(LEFT(S609,1)="⚠","파견병원명 미등록",IF(LEFT(U609,1)="⚠","파견과목 미등록",IF(OR(T609="",LEFT(T609,1)="⚠"),"파견근거 확인",IF(NOT(AND(ISNUMBER(H609),ISNUMBER(I609))),"날짜 형식/누락",IF(I609&lt;H609,"종료일&lt;시작일","")))))))))</f>
        <v/>
      </c>
      <c r="AB609" s="11">
        <f>IF(ISNUMBER(SEARCH("다기관",TRIM(N609&amp;" "&amp;O609))),IFERROR(DATE(VALUE(MID(TRIM(N609&amp;" "&amp;O609),1,4)),VALUE(MID(TRIM(N609&amp;" "&amp;O609),6,2)),VALUE(MID(TRIM(N609&amp;" "&amp;O609),9,2))),IF(ISNUMBER(H609),H609,"")),"")</f>
        <v/>
      </c>
      <c r="AC609" s="11">
        <f>IF(ISNUMBER(SEARCH("다기관",TRIM(N609&amp;" "&amp;O609))),IFERROR(DATE(VALUE(MID(TRIM(N609&amp;" "&amp;O609),12,4)),VALUE(MID(TRIM(N609&amp;" "&amp;O609),17,2)),VALUE(MID(TRIM(N609&amp;" "&amp;O609),20,2))),IF(ISNUMBER(I609),I609,"")),"")</f>
        <v/>
      </c>
      <c r="AD609" s="17">
        <f>IF(AND(ISNUMBER(AB609),ISNUMBER(AC609)),MAX(0,MIN(AC609,EOMONTH(출력_요약!$B$3,0))-MAX(AB609,출력_요약!$B$3)+1),0)</f>
        <v/>
      </c>
      <c r="AE609" s="10">
        <f>IF(AND(Q609&lt;&gt;"",ISNUMBER(AB609)),Q609&amp;"|다기관","")</f>
        <v/>
      </c>
    </row>
    <row r="610">
      <c r="A610" s="15">
        <f>IF(F610="","",ROW()-3)</f>
        <v/>
      </c>
      <c r="B610" s="5" t="n"/>
      <c r="C610" s="15" t="n"/>
      <c r="D610" s="5" t="n"/>
      <c r="E610" s="15" t="n"/>
      <c r="F610" s="5" t="n"/>
      <c r="G610" s="6" t="n"/>
      <c r="H610" s="16" t="n"/>
      <c r="I610" s="16" t="n"/>
      <c r="J610" s="15">
        <f>IF(AND(ISNUMBER(H610),ISNUMBER(I610)),I610-H610+1,"")</f>
        <v/>
      </c>
      <c r="K610" s="5" t="n"/>
      <c r="L610" s="5" t="n"/>
      <c r="M610" s="5" t="n"/>
      <c r="N610" s="5" t="n"/>
      <c r="O610" s="5" t="n"/>
      <c r="Q610" s="10">
        <f>IF(TRIM(G610&amp;"")="","",TRIM(G610&amp;""))</f>
        <v/>
      </c>
      <c r="R610" s="10">
        <f>IF(TRIM(B610&amp;"")="","",IFERROR(INDEX(설정_코드표!$K$2:$K$101,MATCH(TRIM(B610&amp;""),설정_코드표!$J$2:$J$101,0)),"⚠"&amp;TRIM(B610&amp;"")))</f>
        <v/>
      </c>
      <c r="S610" s="10">
        <f>IF(TRIM(K610&amp;"")="","",IFERROR(INDEX(설정_코드표!$K$2:$K$101,MATCH(TRIM(K610&amp;""),설정_코드표!$J$2:$J$101,0)),"⚠"&amp;TRIM(K610&amp;"")))</f>
        <v/>
      </c>
      <c r="T610" s="10">
        <f>IF(TRIM(M610&amp;"")="","",IF(ISNUMBER(MATCH(TRIM(M610&amp;""),설정_코드표!$C$2:$C$11,0)),TRIM(M610&amp;""),"⚠"&amp;TRIM(M610&amp;"")))</f>
        <v/>
      </c>
      <c r="U610" s="10">
        <f>IF(TRIM(L610&amp;"")="","",IFERROR(INDEX(설정_코드표!$G$2:$G$101,MATCH(TRIM(L610&amp;""),설정_코드표!$F$2:$F$101,0)),"⚠"&amp;TRIM(L610&amp;"")))</f>
        <v/>
      </c>
      <c r="V610" s="10">
        <f>IF(AND(ISNUMBER(H610),ISNUMBER(I610)),I610-H610+1,"")</f>
        <v/>
      </c>
      <c r="W610" s="17">
        <f>IF(ISNUMBER(H610),MAX(0,MIN(IF(ISNUMBER(I610),I610,EOMONTH(출력_요약!$B$3,0)),EOMONTH(출력_요약!$B$3,0))-MAX(H610,출력_요약!$B$3)+1),0)</f>
        <v/>
      </c>
      <c r="X610" s="10">
        <f>IF(OR(NOT(ISNUMBER(H610)),Q610=""),"",IF(TODAY()&lt;H610,"파견예정",IF(AND(ISNUMBER(I610),TODAY()&gt;I610),"파견종료","파견중")))</f>
        <v/>
      </c>
      <c r="Y610" s="10">
        <f>IF(OR(Q610="",X610=""),"",Q610&amp;"|"&amp;X610)</f>
        <v/>
      </c>
      <c r="Z610" s="10">
        <f>IF(AND(Q610&lt;&gt;"",W610&gt;0),Q610&amp;"|월","")</f>
        <v/>
      </c>
      <c r="AA610" s="10">
        <f>IF(COUNTA(B610:I610,K610:N610)=0,"",IF(Q610="","등록번호 없음",IF(LEFT(R610,1)="⚠","모병원명 미등록",IF(S610="","파견병원 입력",IF(LEFT(S610,1)="⚠","파견병원명 미등록",IF(LEFT(U610,1)="⚠","파견과목 미등록",IF(OR(T610="",LEFT(T610,1)="⚠"),"파견근거 확인",IF(NOT(AND(ISNUMBER(H610),ISNUMBER(I610))),"날짜 형식/누락",IF(I610&lt;H610,"종료일&lt;시작일","")))))))))</f>
        <v/>
      </c>
      <c r="AB610" s="11">
        <f>IF(ISNUMBER(SEARCH("다기관",TRIM(N610&amp;" "&amp;O610))),IFERROR(DATE(VALUE(MID(TRIM(N610&amp;" "&amp;O610),1,4)),VALUE(MID(TRIM(N610&amp;" "&amp;O610),6,2)),VALUE(MID(TRIM(N610&amp;" "&amp;O610),9,2))),IF(ISNUMBER(H610),H610,"")),"")</f>
        <v/>
      </c>
      <c r="AC610" s="11">
        <f>IF(ISNUMBER(SEARCH("다기관",TRIM(N610&amp;" "&amp;O610))),IFERROR(DATE(VALUE(MID(TRIM(N610&amp;" "&amp;O610),12,4)),VALUE(MID(TRIM(N610&amp;" "&amp;O610),17,2)),VALUE(MID(TRIM(N610&amp;" "&amp;O610),20,2))),IF(ISNUMBER(I610),I610,"")),"")</f>
        <v/>
      </c>
      <c r="AD610" s="17">
        <f>IF(AND(ISNUMBER(AB610),ISNUMBER(AC610)),MAX(0,MIN(AC610,EOMONTH(출력_요약!$B$3,0))-MAX(AB610,출력_요약!$B$3)+1),0)</f>
        <v/>
      </c>
      <c r="AE610" s="10">
        <f>IF(AND(Q610&lt;&gt;"",ISNUMBER(AB610)),Q610&amp;"|다기관","")</f>
        <v/>
      </c>
    </row>
    <row r="611">
      <c r="A611" s="15">
        <f>IF(F611="","",ROW()-3)</f>
        <v/>
      </c>
      <c r="B611" s="5" t="n"/>
      <c r="C611" s="15" t="n"/>
      <c r="D611" s="5" t="n"/>
      <c r="E611" s="15" t="n"/>
      <c r="F611" s="5" t="n"/>
      <c r="G611" s="6" t="n"/>
      <c r="H611" s="16" t="n"/>
      <c r="I611" s="16" t="n"/>
      <c r="J611" s="15">
        <f>IF(AND(ISNUMBER(H611),ISNUMBER(I611)),I611-H611+1,"")</f>
        <v/>
      </c>
      <c r="K611" s="5" t="n"/>
      <c r="L611" s="5" t="n"/>
      <c r="M611" s="5" t="n"/>
      <c r="N611" s="5" t="n"/>
      <c r="O611" s="5" t="n"/>
      <c r="Q611" s="10">
        <f>IF(TRIM(G611&amp;"")="","",TRIM(G611&amp;""))</f>
        <v/>
      </c>
      <c r="R611" s="10">
        <f>IF(TRIM(B611&amp;"")="","",IFERROR(INDEX(설정_코드표!$K$2:$K$101,MATCH(TRIM(B611&amp;""),설정_코드표!$J$2:$J$101,0)),"⚠"&amp;TRIM(B611&amp;"")))</f>
        <v/>
      </c>
      <c r="S611" s="10">
        <f>IF(TRIM(K611&amp;"")="","",IFERROR(INDEX(설정_코드표!$K$2:$K$101,MATCH(TRIM(K611&amp;""),설정_코드표!$J$2:$J$101,0)),"⚠"&amp;TRIM(K611&amp;"")))</f>
        <v/>
      </c>
      <c r="T611" s="10">
        <f>IF(TRIM(M611&amp;"")="","",IF(ISNUMBER(MATCH(TRIM(M611&amp;""),설정_코드표!$C$2:$C$11,0)),TRIM(M611&amp;""),"⚠"&amp;TRIM(M611&amp;"")))</f>
        <v/>
      </c>
      <c r="U611" s="10">
        <f>IF(TRIM(L611&amp;"")="","",IFERROR(INDEX(설정_코드표!$G$2:$G$101,MATCH(TRIM(L611&amp;""),설정_코드표!$F$2:$F$101,0)),"⚠"&amp;TRIM(L611&amp;"")))</f>
        <v/>
      </c>
      <c r="V611" s="10">
        <f>IF(AND(ISNUMBER(H611),ISNUMBER(I611)),I611-H611+1,"")</f>
        <v/>
      </c>
      <c r="W611" s="17">
        <f>IF(ISNUMBER(H611),MAX(0,MIN(IF(ISNUMBER(I611),I611,EOMONTH(출력_요약!$B$3,0)),EOMONTH(출력_요약!$B$3,0))-MAX(H611,출력_요약!$B$3)+1),0)</f>
        <v/>
      </c>
      <c r="X611" s="10">
        <f>IF(OR(NOT(ISNUMBER(H611)),Q611=""),"",IF(TODAY()&lt;H611,"파견예정",IF(AND(ISNUMBER(I611),TODAY()&gt;I611),"파견종료","파견중")))</f>
        <v/>
      </c>
      <c r="Y611" s="10">
        <f>IF(OR(Q611="",X611=""),"",Q611&amp;"|"&amp;X611)</f>
        <v/>
      </c>
      <c r="Z611" s="10">
        <f>IF(AND(Q611&lt;&gt;"",W611&gt;0),Q611&amp;"|월","")</f>
        <v/>
      </c>
      <c r="AA611" s="10">
        <f>IF(COUNTA(B611:I611,K611:N611)=0,"",IF(Q611="","등록번호 없음",IF(LEFT(R611,1)="⚠","모병원명 미등록",IF(S611="","파견병원 입력",IF(LEFT(S611,1)="⚠","파견병원명 미등록",IF(LEFT(U611,1)="⚠","파견과목 미등록",IF(OR(T611="",LEFT(T611,1)="⚠"),"파견근거 확인",IF(NOT(AND(ISNUMBER(H611),ISNUMBER(I611))),"날짜 형식/누락",IF(I611&lt;H611,"종료일&lt;시작일","")))))))))</f>
        <v/>
      </c>
      <c r="AB611" s="11">
        <f>IF(ISNUMBER(SEARCH("다기관",TRIM(N611&amp;" "&amp;O611))),IFERROR(DATE(VALUE(MID(TRIM(N611&amp;" "&amp;O611),1,4)),VALUE(MID(TRIM(N611&amp;" "&amp;O611),6,2)),VALUE(MID(TRIM(N611&amp;" "&amp;O611),9,2))),IF(ISNUMBER(H611),H611,"")),"")</f>
        <v/>
      </c>
      <c r="AC611" s="11">
        <f>IF(ISNUMBER(SEARCH("다기관",TRIM(N611&amp;" "&amp;O611))),IFERROR(DATE(VALUE(MID(TRIM(N611&amp;" "&amp;O611),12,4)),VALUE(MID(TRIM(N611&amp;" "&amp;O611),17,2)),VALUE(MID(TRIM(N611&amp;" "&amp;O611),20,2))),IF(ISNUMBER(I611),I611,"")),"")</f>
        <v/>
      </c>
      <c r="AD611" s="17">
        <f>IF(AND(ISNUMBER(AB611),ISNUMBER(AC611)),MAX(0,MIN(AC611,EOMONTH(출력_요약!$B$3,0))-MAX(AB611,출력_요약!$B$3)+1),0)</f>
        <v/>
      </c>
      <c r="AE611" s="10">
        <f>IF(AND(Q611&lt;&gt;"",ISNUMBER(AB611)),Q611&amp;"|다기관","")</f>
        <v/>
      </c>
    </row>
    <row r="612">
      <c r="A612" s="15">
        <f>IF(F612="","",ROW()-3)</f>
        <v/>
      </c>
      <c r="B612" s="5" t="n"/>
      <c r="C612" s="15" t="n"/>
      <c r="D612" s="5" t="n"/>
      <c r="E612" s="15" t="n"/>
      <c r="F612" s="5" t="n"/>
      <c r="G612" s="6" t="n"/>
      <c r="H612" s="16" t="n"/>
      <c r="I612" s="16" t="n"/>
      <c r="J612" s="15">
        <f>IF(AND(ISNUMBER(H612),ISNUMBER(I612)),I612-H612+1,"")</f>
        <v/>
      </c>
      <c r="K612" s="5" t="n"/>
      <c r="L612" s="5" t="n"/>
      <c r="M612" s="5" t="n"/>
      <c r="N612" s="5" t="n"/>
      <c r="O612" s="5" t="n"/>
      <c r="Q612" s="10">
        <f>IF(TRIM(G612&amp;"")="","",TRIM(G612&amp;""))</f>
        <v/>
      </c>
      <c r="R612" s="10">
        <f>IF(TRIM(B612&amp;"")="","",IFERROR(INDEX(설정_코드표!$K$2:$K$101,MATCH(TRIM(B612&amp;""),설정_코드표!$J$2:$J$101,0)),"⚠"&amp;TRIM(B612&amp;"")))</f>
        <v/>
      </c>
      <c r="S612" s="10">
        <f>IF(TRIM(K612&amp;"")="","",IFERROR(INDEX(설정_코드표!$K$2:$K$101,MATCH(TRIM(K612&amp;""),설정_코드표!$J$2:$J$101,0)),"⚠"&amp;TRIM(K612&amp;"")))</f>
        <v/>
      </c>
      <c r="T612" s="10">
        <f>IF(TRIM(M612&amp;"")="","",IF(ISNUMBER(MATCH(TRIM(M612&amp;""),설정_코드표!$C$2:$C$11,0)),TRIM(M612&amp;""),"⚠"&amp;TRIM(M612&amp;"")))</f>
        <v/>
      </c>
      <c r="U612" s="10">
        <f>IF(TRIM(L612&amp;"")="","",IFERROR(INDEX(설정_코드표!$G$2:$G$101,MATCH(TRIM(L612&amp;""),설정_코드표!$F$2:$F$101,0)),"⚠"&amp;TRIM(L612&amp;"")))</f>
        <v/>
      </c>
      <c r="V612" s="10">
        <f>IF(AND(ISNUMBER(H612),ISNUMBER(I612)),I612-H612+1,"")</f>
        <v/>
      </c>
      <c r="W612" s="17">
        <f>IF(ISNUMBER(H612),MAX(0,MIN(IF(ISNUMBER(I612),I612,EOMONTH(출력_요약!$B$3,0)),EOMONTH(출력_요약!$B$3,0))-MAX(H612,출력_요약!$B$3)+1),0)</f>
        <v/>
      </c>
      <c r="X612" s="10">
        <f>IF(OR(NOT(ISNUMBER(H612)),Q612=""),"",IF(TODAY()&lt;H612,"파견예정",IF(AND(ISNUMBER(I612),TODAY()&gt;I612),"파견종료","파견중")))</f>
        <v/>
      </c>
      <c r="Y612" s="10">
        <f>IF(OR(Q612="",X612=""),"",Q612&amp;"|"&amp;X612)</f>
        <v/>
      </c>
      <c r="Z612" s="10">
        <f>IF(AND(Q612&lt;&gt;"",W612&gt;0),Q612&amp;"|월","")</f>
        <v/>
      </c>
      <c r="AA612" s="10">
        <f>IF(COUNTA(B612:I612,K612:N612)=0,"",IF(Q612="","등록번호 없음",IF(LEFT(R612,1)="⚠","모병원명 미등록",IF(S612="","파견병원 입력",IF(LEFT(S612,1)="⚠","파견병원명 미등록",IF(LEFT(U612,1)="⚠","파견과목 미등록",IF(OR(T612="",LEFT(T612,1)="⚠"),"파견근거 확인",IF(NOT(AND(ISNUMBER(H612),ISNUMBER(I612))),"날짜 형식/누락",IF(I612&lt;H612,"종료일&lt;시작일","")))))))))</f>
        <v/>
      </c>
      <c r="AB612" s="11">
        <f>IF(ISNUMBER(SEARCH("다기관",TRIM(N612&amp;" "&amp;O612))),IFERROR(DATE(VALUE(MID(TRIM(N612&amp;" "&amp;O612),1,4)),VALUE(MID(TRIM(N612&amp;" "&amp;O612),6,2)),VALUE(MID(TRIM(N612&amp;" "&amp;O612),9,2))),IF(ISNUMBER(H612),H612,"")),"")</f>
        <v/>
      </c>
      <c r="AC612" s="11">
        <f>IF(ISNUMBER(SEARCH("다기관",TRIM(N612&amp;" "&amp;O612))),IFERROR(DATE(VALUE(MID(TRIM(N612&amp;" "&amp;O612),12,4)),VALUE(MID(TRIM(N612&amp;" "&amp;O612),17,2)),VALUE(MID(TRIM(N612&amp;" "&amp;O612),20,2))),IF(ISNUMBER(I612),I612,"")),"")</f>
        <v/>
      </c>
      <c r="AD612" s="17">
        <f>IF(AND(ISNUMBER(AB612),ISNUMBER(AC612)),MAX(0,MIN(AC612,EOMONTH(출력_요약!$B$3,0))-MAX(AB612,출력_요약!$B$3)+1),0)</f>
        <v/>
      </c>
      <c r="AE612" s="10">
        <f>IF(AND(Q612&lt;&gt;"",ISNUMBER(AB612)),Q612&amp;"|다기관","")</f>
        <v/>
      </c>
    </row>
    <row r="613">
      <c r="A613" s="15">
        <f>IF(F613="","",ROW()-3)</f>
        <v/>
      </c>
      <c r="B613" s="5" t="n"/>
      <c r="C613" s="15" t="n"/>
      <c r="D613" s="5" t="n"/>
      <c r="E613" s="15" t="n"/>
      <c r="F613" s="5" t="n"/>
      <c r="G613" s="6" t="n"/>
      <c r="H613" s="16" t="n"/>
      <c r="I613" s="16" t="n"/>
      <c r="J613" s="15">
        <f>IF(AND(ISNUMBER(H613),ISNUMBER(I613)),I613-H613+1,"")</f>
        <v/>
      </c>
      <c r="K613" s="5" t="n"/>
      <c r="L613" s="5" t="n"/>
      <c r="M613" s="5" t="n"/>
      <c r="N613" s="5" t="n"/>
      <c r="O613" s="5" t="n"/>
      <c r="Q613" s="10">
        <f>IF(TRIM(G613&amp;"")="","",TRIM(G613&amp;""))</f>
        <v/>
      </c>
      <c r="R613" s="10">
        <f>IF(TRIM(B613&amp;"")="","",IFERROR(INDEX(설정_코드표!$K$2:$K$101,MATCH(TRIM(B613&amp;""),설정_코드표!$J$2:$J$101,0)),"⚠"&amp;TRIM(B613&amp;"")))</f>
        <v/>
      </c>
      <c r="S613" s="10">
        <f>IF(TRIM(K613&amp;"")="","",IFERROR(INDEX(설정_코드표!$K$2:$K$101,MATCH(TRIM(K613&amp;""),설정_코드표!$J$2:$J$101,0)),"⚠"&amp;TRIM(K613&amp;"")))</f>
        <v/>
      </c>
      <c r="T613" s="10">
        <f>IF(TRIM(M613&amp;"")="","",IF(ISNUMBER(MATCH(TRIM(M613&amp;""),설정_코드표!$C$2:$C$11,0)),TRIM(M613&amp;""),"⚠"&amp;TRIM(M613&amp;"")))</f>
        <v/>
      </c>
      <c r="U613" s="10">
        <f>IF(TRIM(L613&amp;"")="","",IFERROR(INDEX(설정_코드표!$G$2:$G$101,MATCH(TRIM(L613&amp;""),설정_코드표!$F$2:$F$101,0)),"⚠"&amp;TRIM(L613&amp;"")))</f>
        <v/>
      </c>
      <c r="V613" s="10">
        <f>IF(AND(ISNUMBER(H613),ISNUMBER(I613)),I613-H613+1,"")</f>
        <v/>
      </c>
      <c r="W613" s="17">
        <f>IF(ISNUMBER(H613),MAX(0,MIN(IF(ISNUMBER(I613),I613,EOMONTH(출력_요약!$B$3,0)),EOMONTH(출력_요약!$B$3,0))-MAX(H613,출력_요약!$B$3)+1),0)</f>
        <v/>
      </c>
      <c r="X613" s="10">
        <f>IF(OR(NOT(ISNUMBER(H613)),Q613=""),"",IF(TODAY()&lt;H613,"파견예정",IF(AND(ISNUMBER(I613),TODAY()&gt;I613),"파견종료","파견중")))</f>
        <v/>
      </c>
      <c r="Y613" s="10">
        <f>IF(OR(Q613="",X613=""),"",Q613&amp;"|"&amp;X613)</f>
        <v/>
      </c>
      <c r="Z613" s="10">
        <f>IF(AND(Q613&lt;&gt;"",W613&gt;0),Q613&amp;"|월","")</f>
        <v/>
      </c>
      <c r="AA613" s="10">
        <f>IF(COUNTA(B613:I613,K613:N613)=0,"",IF(Q613="","등록번호 없음",IF(LEFT(R613,1)="⚠","모병원명 미등록",IF(S613="","파견병원 입력",IF(LEFT(S613,1)="⚠","파견병원명 미등록",IF(LEFT(U613,1)="⚠","파견과목 미등록",IF(OR(T613="",LEFT(T613,1)="⚠"),"파견근거 확인",IF(NOT(AND(ISNUMBER(H613),ISNUMBER(I613))),"날짜 형식/누락",IF(I613&lt;H613,"종료일&lt;시작일","")))))))))</f>
        <v/>
      </c>
      <c r="AB613" s="11">
        <f>IF(ISNUMBER(SEARCH("다기관",TRIM(N613&amp;" "&amp;O613))),IFERROR(DATE(VALUE(MID(TRIM(N613&amp;" "&amp;O613),1,4)),VALUE(MID(TRIM(N613&amp;" "&amp;O613),6,2)),VALUE(MID(TRIM(N613&amp;" "&amp;O613),9,2))),IF(ISNUMBER(H613),H613,"")),"")</f>
        <v/>
      </c>
      <c r="AC613" s="11">
        <f>IF(ISNUMBER(SEARCH("다기관",TRIM(N613&amp;" "&amp;O613))),IFERROR(DATE(VALUE(MID(TRIM(N613&amp;" "&amp;O613),12,4)),VALUE(MID(TRIM(N613&amp;" "&amp;O613),17,2)),VALUE(MID(TRIM(N613&amp;" "&amp;O613),20,2))),IF(ISNUMBER(I613),I613,"")),"")</f>
        <v/>
      </c>
      <c r="AD613" s="17">
        <f>IF(AND(ISNUMBER(AB613),ISNUMBER(AC613)),MAX(0,MIN(AC613,EOMONTH(출력_요약!$B$3,0))-MAX(AB613,출력_요약!$B$3)+1),0)</f>
        <v/>
      </c>
      <c r="AE613" s="10">
        <f>IF(AND(Q613&lt;&gt;"",ISNUMBER(AB613)),Q613&amp;"|다기관","")</f>
        <v/>
      </c>
    </row>
    <row r="614">
      <c r="A614" s="15">
        <f>IF(F614="","",ROW()-3)</f>
        <v/>
      </c>
      <c r="B614" s="5" t="n"/>
      <c r="C614" s="15" t="n"/>
      <c r="D614" s="5" t="n"/>
      <c r="E614" s="15" t="n"/>
      <c r="F614" s="5" t="n"/>
      <c r="G614" s="6" t="n"/>
      <c r="H614" s="16" t="n"/>
      <c r="I614" s="16" t="n"/>
      <c r="J614" s="15">
        <f>IF(AND(ISNUMBER(H614),ISNUMBER(I614)),I614-H614+1,"")</f>
        <v/>
      </c>
      <c r="K614" s="5" t="n"/>
      <c r="L614" s="5" t="n"/>
      <c r="M614" s="5" t="n"/>
      <c r="N614" s="5" t="n"/>
      <c r="O614" s="5" t="n"/>
      <c r="Q614" s="10">
        <f>IF(TRIM(G614&amp;"")="","",TRIM(G614&amp;""))</f>
        <v/>
      </c>
      <c r="R614" s="10">
        <f>IF(TRIM(B614&amp;"")="","",IFERROR(INDEX(설정_코드표!$K$2:$K$101,MATCH(TRIM(B614&amp;""),설정_코드표!$J$2:$J$101,0)),"⚠"&amp;TRIM(B614&amp;"")))</f>
        <v/>
      </c>
      <c r="S614" s="10">
        <f>IF(TRIM(K614&amp;"")="","",IFERROR(INDEX(설정_코드표!$K$2:$K$101,MATCH(TRIM(K614&amp;""),설정_코드표!$J$2:$J$101,0)),"⚠"&amp;TRIM(K614&amp;"")))</f>
        <v/>
      </c>
      <c r="T614" s="10">
        <f>IF(TRIM(M614&amp;"")="","",IF(ISNUMBER(MATCH(TRIM(M614&amp;""),설정_코드표!$C$2:$C$11,0)),TRIM(M614&amp;""),"⚠"&amp;TRIM(M614&amp;"")))</f>
        <v/>
      </c>
      <c r="U614" s="10">
        <f>IF(TRIM(L614&amp;"")="","",IFERROR(INDEX(설정_코드표!$G$2:$G$101,MATCH(TRIM(L614&amp;""),설정_코드표!$F$2:$F$101,0)),"⚠"&amp;TRIM(L614&amp;"")))</f>
        <v/>
      </c>
      <c r="V614" s="10">
        <f>IF(AND(ISNUMBER(H614),ISNUMBER(I614)),I614-H614+1,"")</f>
        <v/>
      </c>
      <c r="W614" s="17">
        <f>IF(ISNUMBER(H614),MAX(0,MIN(IF(ISNUMBER(I614),I614,EOMONTH(출력_요약!$B$3,0)),EOMONTH(출력_요약!$B$3,0))-MAX(H614,출력_요약!$B$3)+1),0)</f>
        <v/>
      </c>
      <c r="X614" s="10">
        <f>IF(OR(NOT(ISNUMBER(H614)),Q614=""),"",IF(TODAY()&lt;H614,"파견예정",IF(AND(ISNUMBER(I614),TODAY()&gt;I614),"파견종료","파견중")))</f>
        <v/>
      </c>
      <c r="Y614" s="10">
        <f>IF(OR(Q614="",X614=""),"",Q614&amp;"|"&amp;X614)</f>
        <v/>
      </c>
      <c r="Z614" s="10">
        <f>IF(AND(Q614&lt;&gt;"",W614&gt;0),Q614&amp;"|월","")</f>
        <v/>
      </c>
      <c r="AA614" s="10">
        <f>IF(COUNTA(B614:I614,K614:N614)=0,"",IF(Q614="","등록번호 없음",IF(LEFT(R614,1)="⚠","모병원명 미등록",IF(S614="","파견병원 입력",IF(LEFT(S614,1)="⚠","파견병원명 미등록",IF(LEFT(U614,1)="⚠","파견과목 미등록",IF(OR(T614="",LEFT(T614,1)="⚠"),"파견근거 확인",IF(NOT(AND(ISNUMBER(H614),ISNUMBER(I614))),"날짜 형식/누락",IF(I614&lt;H614,"종료일&lt;시작일","")))))))))</f>
        <v/>
      </c>
      <c r="AB614" s="11">
        <f>IF(ISNUMBER(SEARCH("다기관",TRIM(N614&amp;" "&amp;O614))),IFERROR(DATE(VALUE(MID(TRIM(N614&amp;" "&amp;O614),1,4)),VALUE(MID(TRIM(N614&amp;" "&amp;O614),6,2)),VALUE(MID(TRIM(N614&amp;" "&amp;O614),9,2))),IF(ISNUMBER(H614),H614,"")),"")</f>
        <v/>
      </c>
      <c r="AC614" s="11">
        <f>IF(ISNUMBER(SEARCH("다기관",TRIM(N614&amp;" "&amp;O614))),IFERROR(DATE(VALUE(MID(TRIM(N614&amp;" "&amp;O614),12,4)),VALUE(MID(TRIM(N614&amp;" "&amp;O614),17,2)),VALUE(MID(TRIM(N614&amp;" "&amp;O614),20,2))),IF(ISNUMBER(I614),I614,"")),"")</f>
        <v/>
      </c>
      <c r="AD614" s="17">
        <f>IF(AND(ISNUMBER(AB614),ISNUMBER(AC614)),MAX(0,MIN(AC614,EOMONTH(출력_요약!$B$3,0))-MAX(AB614,출력_요약!$B$3)+1),0)</f>
        <v/>
      </c>
      <c r="AE614" s="10">
        <f>IF(AND(Q614&lt;&gt;"",ISNUMBER(AB614)),Q614&amp;"|다기관","")</f>
        <v/>
      </c>
    </row>
    <row r="615">
      <c r="A615" s="15">
        <f>IF(F615="","",ROW()-3)</f>
        <v/>
      </c>
      <c r="B615" s="5" t="n"/>
      <c r="C615" s="15" t="n"/>
      <c r="D615" s="5" t="n"/>
      <c r="E615" s="15" t="n"/>
      <c r="F615" s="5" t="n"/>
      <c r="G615" s="6" t="n"/>
      <c r="H615" s="16" t="n"/>
      <c r="I615" s="16" t="n"/>
      <c r="J615" s="15">
        <f>IF(AND(ISNUMBER(H615),ISNUMBER(I615)),I615-H615+1,"")</f>
        <v/>
      </c>
      <c r="K615" s="5" t="n"/>
      <c r="L615" s="5" t="n"/>
      <c r="M615" s="5" t="n"/>
      <c r="N615" s="5" t="n"/>
      <c r="O615" s="5" t="n"/>
      <c r="Q615" s="10">
        <f>IF(TRIM(G615&amp;"")="","",TRIM(G615&amp;""))</f>
        <v/>
      </c>
      <c r="R615" s="10">
        <f>IF(TRIM(B615&amp;"")="","",IFERROR(INDEX(설정_코드표!$K$2:$K$101,MATCH(TRIM(B615&amp;""),설정_코드표!$J$2:$J$101,0)),"⚠"&amp;TRIM(B615&amp;"")))</f>
        <v/>
      </c>
      <c r="S615" s="10">
        <f>IF(TRIM(K615&amp;"")="","",IFERROR(INDEX(설정_코드표!$K$2:$K$101,MATCH(TRIM(K615&amp;""),설정_코드표!$J$2:$J$101,0)),"⚠"&amp;TRIM(K615&amp;"")))</f>
        <v/>
      </c>
      <c r="T615" s="10">
        <f>IF(TRIM(M615&amp;"")="","",IF(ISNUMBER(MATCH(TRIM(M615&amp;""),설정_코드표!$C$2:$C$11,0)),TRIM(M615&amp;""),"⚠"&amp;TRIM(M615&amp;"")))</f>
        <v/>
      </c>
      <c r="U615" s="10">
        <f>IF(TRIM(L615&amp;"")="","",IFERROR(INDEX(설정_코드표!$G$2:$G$101,MATCH(TRIM(L615&amp;""),설정_코드표!$F$2:$F$101,0)),"⚠"&amp;TRIM(L615&amp;"")))</f>
        <v/>
      </c>
      <c r="V615" s="10">
        <f>IF(AND(ISNUMBER(H615),ISNUMBER(I615)),I615-H615+1,"")</f>
        <v/>
      </c>
      <c r="W615" s="17">
        <f>IF(ISNUMBER(H615),MAX(0,MIN(IF(ISNUMBER(I615),I615,EOMONTH(출력_요약!$B$3,0)),EOMONTH(출력_요약!$B$3,0))-MAX(H615,출력_요약!$B$3)+1),0)</f>
        <v/>
      </c>
      <c r="X615" s="10">
        <f>IF(OR(NOT(ISNUMBER(H615)),Q615=""),"",IF(TODAY()&lt;H615,"파견예정",IF(AND(ISNUMBER(I615),TODAY()&gt;I615),"파견종료","파견중")))</f>
        <v/>
      </c>
      <c r="Y615" s="10">
        <f>IF(OR(Q615="",X615=""),"",Q615&amp;"|"&amp;X615)</f>
        <v/>
      </c>
      <c r="Z615" s="10">
        <f>IF(AND(Q615&lt;&gt;"",W615&gt;0),Q615&amp;"|월","")</f>
        <v/>
      </c>
      <c r="AA615" s="10">
        <f>IF(COUNTA(B615:I615,K615:N615)=0,"",IF(Q615="","등록번호 없음",IF(LEFT(R615,1)="⚠","모병원명 미등록",IF(S615="","파견병원 입력",IF(LEFT(S615,1)="⚠","파견병원명 미등록",IF(LEFT(U615,1)="⚠","파견과목 미등록",IF(OR(T615="",LEFT(T615,1)="⚠"),"파견근거 확인",IF(NOT(AND(ISNUMBER(H615),ISNUMBER(I615))),"날짜 형식/누락",IF(I615&lt;H615,"종료일&lt;시작일","")))))))))</f>
        <v/>
      </c>
      <c r="AB615" s="11">
        <f>IF(ISNUMBER(SEARCH("다기관",TRIM(N615&amp;" "&amp;O615))),IFERROR(DATE(VALUE(MID(TRIM(N615&amp;" "&amp;O615),1,4)),VALUE(MID(TRIM(N615&amp;" "&amp;O615),6,2)),VALUE(MID(TRIM(N615&amp;" "&amp;O615),9,2))),IF(ISNUMBER(H615),H615,"")),"")</f>
        <v/>
      </c>
      <c r="AC615" s="11">
        <f>IF(ISNUMBER(SEARCH("다기관",TRIM(N615&amp;" "&amp;O615))),IFERROR(DATE(VALUE(MID(TRIM(N615&amp;" "&amp;O615),12,4)),VALUE(MID(TRIM(N615&amp;" "&amp;O615),17,2)),VALUE(MID(TRIM(N615&amp;" "&amp;O615),20,2))),IF(ISNUMBER(I615),I615,"")),"")</f>
        <v/>
      </c>
      <c r="AD615" s="17">
        <f>IF(AND(ISNUMBER(AB615),ISNUMBER(AC615)),MAX(0,MIN(AC615,EOMONTH(출력_요약!$B$3,0))-MAX(AB615,출력_요약!$B$3)+1),0)</f>
        <v/>
      </c>
      <c r="AE615" s="10">
        <f>IF(AND(Q615&lt;&gt;"",ISNUMBER(AB615)),Q615&amp;"|다기관","")</f>
        <v/>
      </c>
    </row>
    <row r="616">
      <c r="A616" s="15">
        <f>IF(F616="","",ROW()-3)</f>
        <v/>
      </c>
      <c r="B616" s="5" t="n"/>
      <c r="C616" s="15" t="n"/>
      <c r="D616" s="5" t="n"/>
      <c r="E616" s="15" t="n"/>
      <c r="F616" s="5" t="n"/>
      <c r="G616" s="6" t="n"/>
      <c r="H616" s="16" t="n"/>
      <c r="I616" s="16" t="n"/>
      <c r="J616" s="15">
        <f>IF(AND(ISNUMBER(H616),ISNUMBER(I616)),I616-H616+1,"")</f>
        <v/>
      </c>
      <c r="K616" s="5" t="n"/>
      <c r="L616" s="5" t="n"/>
      <c r="M616" s="5" t="n"/>
      <c r="N616" s="5" t="n"/>
      <c r="O616" s="5" t="n"/>
      <c r="Q616" s="10">
        <f>IF(TRIM(G616&amp;"")="","",TRIM(G616&amp;""))</f>
        <v/>
      </c>
      <c r="R616" s="10">
        <f>IF(TRIM(B616&amp;"")="","",IFERROR(INDEX(설정_코드표!$K$2:$K$101,MATCH(TRIM(B616&amp;""),설정_코드표!$J$2:$J$101,0)),"⚠"&amp;TRIM(B616&amp;"")))</f>
        <v/>
      </c>
      <c r="S616" s="10">
        <f>IF(TRIM(K616&amp;"")="","",IFERROR(INDEX(설정_코드표!$K$2:$K$101,MATCH(TRIM(K616&amp;""),설정_코드표!$J$2:$J$101,0)),"⚠"&amp;TRIM(K616&amp;"")))</f>
        <v/>
      </c>
      <c r="T616" s="10">
        <f>IF(TRIM(M616&amp;"")="","",IF(ISNUMBER(MATCH(TRIM(M616&amp;""),설정_코드표!$C$2:$C$11,0)),TRIM(M616&amp;""),"⚠"&amp;TRIM(M616&amp;"")))</f>
        <v/>
      </c>
      <c r="U616" s="10">
        <f>IF(TRIM(L616&amp;"")="","",IFERROR(INDEX(설정_코드표!$G$2:$G$101,MATCH(TRIM(L616&amp;""),설정_코드표!$F$2:$F$101,0)),"⚠"&amp;TRIM(L616&amp;"")))</f>
        <v/>
      </c>
      <c r="V616" s="10">
        <f>IF(AND(ISNUMBER(H616),ISNUMBER(I616)),I616-H616+1,"")</f>
        <v/>
      </c>
      <c r="W616" s="17">
        <f>IF(ISNUMBER(H616),MAX(0,MIN(IF(ISNUMBER(I616),I616,EOMONTH(출력_요약!$B$3,0)),EOMONTH(출력_요약!$B$3,0))-MAX(H616,출력_요약!$B$3)+1),0)</f>
        <v/>
      </c>
      <c r="X616" s="10">
        <f>IF(OR(NOT(ISNUMBER(H616)),Q616=""),"",IF(TODAY()&lt;H616,"파견예정",IF(AND(ISNUMBER(I616),TODAY()&gt;I616),"파견종료","파견중")))</f>
        <v/>
      </c>
      <c r="Y616" s="10">
        <f>IF(OR(Q616="",X616=""),"",Q616&amp;"|"&amp;X616)</f>
        <v/>
      </c>
      <c r="Z616" s="10">
        <f>IF(AND(Q616&lt;&gt;"",W616&gt;0),Q616&amp;"|월","")</f>
        <v/>
      </c>
      <c r="AA616" s="10">
        <f>IF(COUNTA(B616:I616,K616:N616)=0,"",IF(Q616="","등록번호 없음",IF(LEFT(R616,1)="⚠","모병원명 미등록",IF(S616="","파견병원 입력",IF(LEFT(S616,1)="⚠","파견병원명 미등록",IF(LEFT(U616,1)="⚠","파견과목 미등록",IF(OR(T616="",LEFT(T616,1)="⚠"),"파견근거 확인",IF(NOT(AND(ISNUMBER(H616),ISNUMBER(I616))),"날짜 형식/누락",IF(I616&lt;H616,"종료일&lt;시작일","")))))))))</f>
        <v/>
      </c>
      <c r="AB616" s="11">
        <f>IF(ISNUMBER(SEARCH("다기관",TRIM(N616&amp;" "&amp;O616))),IFERROR(DATE(VALUE(MID(TRIM(N616&amp;" "&amp;O616),1,4)),VALUE(MID(TRIM(N616&amp;" "&amp;O616),6,2)),VALUE(MID(TRIM(N616&amp;" "&amp;O616),9,2))),IF(ISNUMBER(H616),H616,"")),"")</f>
        <v/>
      </c>
      <c r="AC616" s="11">
        <f>IF(ISNUMBER(SEARCH("다기관",TRIM(N616&amp;" "&amp;O616))),IFERROR(DATE(VALUE(MID(TRIM(N616&amp;" "&amp;O616),12,4)),VALUE(MID(TRIM(N616&amp;" "&amp;O616),17,2)),VALUE(MID(TRIM(N616&amp;" "&amp;O616),20,2))),IF(ISNUMBER(I616),I616,"")),"")</f>
        <v/>
      </c>
      <c r="AD616" s="17">
        <f>IF(AND(ISNUMBER(AB616),ISNUMBER(AC616)),MAX(0,MIN(AC616,EOMONTH(출력_요약!$B$3,0))-MAX(AB616,출력_요약!$B$3)+1),0)</f>
        <v/>
      </c>
      <c r="AE616" s="10">
        <f>IF(AND(Q616&lt;&gt;"",ISNUMBER(AB616)),Q616&amp;"|다기관","")</f>
        <v/>
      </c>
    </row>
    <row r="617">
      <c r="A617" s="15">
        <f>IF(F617="","",ROW()-3)</f>
        <v/>
      </c>
      <c r="B617" s="5" t="n"/>
      <c r="C617" s="15" t="n"/>
      <c r="D617" s="5" t="n"/>
      <c r="E617" s="15" t="n"/>
      <c r="F617" s="5" t="n"/>
      <c r="G617" s="6" t="n"/>
      <c r="H617" s="16" t="n"/>
      <c r="I617" s="16" t="n"/>
      <c r="J617" s="15">
        <f>IF(AND(ISNUMBER(H617),ISNUMBER(I617)),I617-H617+1,"")</f>
        <v/>
      </c>
      <c r="K617" s="5" t="n"/>
      <c r="L617" s="5" t="n"/>
      <c r="M617" s="5" t="n"/>
      <c r="N617" s="5" t="n"/>
      <c r="O617" s="5" t="n"/>
      <c r="Q617" s="10">
        <f>IF(TRIM(G617&amp;"")="","",TRIM(G617&amp;""))</f>
        <v/>
      </c>
      <c r="R617" s="10">
        <f>IF(TRIM(B617&amp;"")="","",IFERROR(INDEX(설정_코드표!$K$2:$K$101,MATCH(TRIM(B617&amp;""),설정_코드표!$J$2:$J$101,0)),"⚠"&amp;TRIM(B617&amp;"")))</f>
        <v/>
      </c>
      <c r="S617" s="10">
        <f>IF(TRIM(K617&amp;"")="","",IFERROR(INDEX(설정_코드표!$K$2:$K$101,MATCH(TRIM(K617&amp;""),설정_코드표!$J$2:$J$101,0)),"⚠"&amp;TRIM(K617&amp;"")))</f>
        <v/>
      </c>
      <c r="T617" s="10">
        <f>IF(TRIM(M617&amp;"")="","",IF(ISNUMBER(MATCH(TRIM(M617&amp;""),설정_코드표!$C$2:$C$11,0)),TRIM(M617&amp;""),"⚠"&amp;TRIM(M617&amp;"")))</f>
        <v/>
      </c>
      <c r="U617" s="10">
        <f>IF(TRIM(L617&amp;"")="","",IFERROR(INDEX(설정_코드표!$G$2:$G$101,MATCH(TRIM(L617&amp;""),설정_코드표!$F$2:$F$101,0)),"⚠"&amp;TRIM(L617&amp;"")))</f>
        <v/>
      </c>
      <c r="V617" s="10">
        <f>IF(AND(ISNUMBER(H617),ISNUMBER(I617)),I617-H617+1,"")</f>
        <v/>
      </c>
      <c r="W617" s="17">
        <f>IF(ISNUMBER(H617),MAX(0,MIN(IF(ISNUMBER(I617),I617,EOMONTH(출력_요약!$B$3,0)),EOMONTH(출력_요약!$B$3,0))-MAX(H617,출력_요약!$B$3)+1),0)</f>
        <v/>
      </c>
      <c r="X617" s="10">
        <f>IF(OR(NOT(ISNUMBER(H617)),Q617=""),"",IF(TODAY()&lt;H617,"파견예정",IF(AND(ISNUMBER(I617),TODAY()&gt;I617),"파견종료","파견중")))</f>
        <v/>
      </c>
      <c r="Y617" s="10">
        <f>IF(OR(Q617="",X617=""),"",Q617&amp;"|"&amp;X617)</f>
        <v/>
      </c>
      <c r="Z617" s="10">
        <f>IF(AND(Q617&lt;&gt;"",W617&gt;0),Q617&amp;"|월","")</f>
        <v/>
      </c>
      <c r="AA617" s="10">
        <f>IF(COUNTA(B617:I617,K617:N617)=0,"",IF(Q617="","등록번호 없음",IF(LEFT(R617,1)="⚠","모병원명 미등록",IF(S617="","파견병원 입력",IF(LEFT(S617,1)="⚠","파견병원명 미등록",IF(LEFT(U617,1)="⚠","파견과목 미등록",IF(OR(T617="",LEFT(T617,1)="⚠"),"파견근거 확인",IF(NOT(AND(ISNUMBER(H617),ISNUMBER(I617))),"날짜 형식/누락",IF(I617&lt;H617,"종료일&lt;시작일","")))))))))</f>
        <v/>
      </c>
      <c r="AB617" s="11">
        <f>IF(ISNUMBER(SEARCH("다기관",TRIM(N617&amp;" "&amp;O617))),IFERROR(DATE(VALUE(MID(TRIM(N617&amp;" "&amp;O617),1,4)),VALUE(MID(TRIM(N617&amp;" "&amp;O617),6,2)),VALUE(MID(TRIM(N617&amp;" "&amp;O617),9,2))),IF(ISNUMBER(H617),H617,"")),"")</f>
        <v/>
      </c>
      <c r="AC617" s="11">
        <f>IF(ISNUMBER(SEARCH("다기관",TRIM(N617&amp;" "&amp;O617))),IFERROR(DATE(VALUE(MID(TRIM(N617&amp;" "&amp;O617),12,4)),VALUE(MID(TRIM(N617&amp;" "&amp;O617),17,2)),VALUE(MID(TRIM(N617&amp;" "&amp;O617),20,2))),IF(ISNUMBER(I617),I617,"")),"")</f>
        <v/>
      </c>
      <c r="AD617" s="17">
        <f>IF(AND(ISNUMBER(AB617),ISNUMBER(AC617)),MAX(0,MIN(AC617,EOMONTH(출력_요약!$B$3,0))-MAX(AB617,출력_요약!$B$3)+1),0)</f>
        <v/>
      </c>
      <c r="AE617" s="10">
        <f>IF(AND(Q617&lt;&gt;"",ISNUMBER(AB617)),Q617&amp;"|다기관","")</f>
        <v/>
      </c>
    </row>
    <row r="618">
      <c r="A618" s="15">
        <f>IF(F618="","",ROW()-3)</f>
        <v/>
      </c>
      <c r="B618" s="5" t="n"/>
      <c r="C618" s="15" t="n"/>
      <c r="D618" s="5" t="n"/>
      <c r="E618" s="15" t="n"/>
      <c r="F618" s="5" t="n"/>
      <c r="G618" s="6" t="n"/>
      <c r="H618" s="16" t="n"/>
      <c r="I618" s="16" t="n"/>
      <c r="J618" s="15">
        <f>IF(AND(ISNUMBER(H618),ISNUMBER(I618)),I618-H618+1,"")</f>
        <v/>
      </c>
      <c r="K618" s="5" t="n"/>
      <c r="L618" s="5" t="n"/>
      <c r="M618" s="5" t="n"/>
      <c r="N618" s="5" t="n"/>
      <c r="O618" s="5" t="n"/>
      <c r="Q618" s="10">
        <f>IF(TRIM(G618&amp;"")="","",TRIM(G618&amp;""))</f>
        <v/>
      </c>
      <c r="R618" s="10">
        <f>IF(TRIM(B618&amp;"")="","",IFERROR(INDEX(설정_코드표!$K$2:$K$101,MATCH(TRIM(B618&amp;""),설정_코드표!$J$2:$J$101,0)),"⚠"&amp;TRIM(B618&amp;"")))</f>
        <v/>
      </c>
      <c r="S618" s="10">
        <f>IF(TRIM(K618&amp;"")="","",IFERROR(INDEX(설정_코드표!$K$2:$K$101,MATCH(TRIM(K618&amp;""),설정_코드표!$J$2:$J$101,0)),"⚠"&amp;TRIM(K618&amp;"")))</f>
        <v/>
      </c>
      <c r="T618" s="10">
        <f>IF(TRIM(M618&amp;"")="","",IF(ISNUMBER(MATCH(TRIM(M618&amp;""),설정_코드표!$C$2:$C$11,0)),TRIM(M618&amp;""),"⚠"&amp;TRIM(M618&amp;"")))</f>
        <v/>
      </c>
      <c r="U618" s="10">
        <f>IF(TRIM(L618&amp;"")="","",IFERROR(INDEX(설정_코드표!$G$2:$G$101,MATCH(TRIM(L618&amp;""),설정_코드표!$F$2:$F$101,0)),"⚠"&amp;TRIM(L618&amp;"")))</f>
        <v/>
      </c>
      <c r="V618" s="10">
        <f>IF(AND(ISNUMBER(H618),ISNUMBER(I618)),I618-H618+1,"")</f>
        <v/>
      </c>
      <c r="W618" s="17">
        <f>IF(ISNUMBER(H618),MAX(0,MIN(IF(ISNUMBER(I618),I618,EOMONTH(출력_요약!$B$3,0)),EOMONTH(출력_요약!$B$3,0))-MAX(H618,출력_요약!$B$3)+1),0)</f>
        <v/>
      </c>
      <c r="X618" s="10">
        <f>IF(OR(NOT(ISNUMBER(H618)),Q618=""),"",IF(TODAY()&lt;H618,"파견예정",IF(AND(ISNUMBER(I618),TODAY()&gt;I618),"파견종료","파견중")))</f>
        <v/>
      </c>
      <c r="Y618" s="10">
        <f>IF(OR(Q618="",X618=""),"",Q618&amp;"|"&amp;X618)</f>
        <v/>
      </c>
      <c r="Z618" s="10">
        <f>IF(AND(Q618&lt;&gt;"",W618&gt;0),Q618&amp;"|월","")</f>
        <v/>
      </c>
      <c r="AA618" s="10">
        <f>IF(COUNTA(B618:I618,K618:N618)=0,"",IF(Q618="","등록번호 없음",IF(LEFT(R618,1)="⚠","모병원명 미등록",IF(S618="","파견병원 입력",IF(LEFT(S618,1)="⚠","파견병원명 미등록",IF(LEFT(U618,1)="⚠","파견과목 미등록",IF(OR(T618="",LEFT(T618,1)="⚠"),"파견근거 확인",IF(NOT(AND(ISNUMBER(H618),ISNUMBER(I618))),"날짜 형식/누락",IF(I618&lt;H618,"종료일&lt;시작일","")))))))))</f>
        <v/>
      </c>
      <c r="AB618" s="11">
        <f>IF(ISNUMBER(SEARCH("다기관",TRIM(N618&amp;" "&amp;O618))),IFERROR(DATE(VALUE(MID(TRIM(N618&amp;" "&amp;O618),1,4)),VALUE(MID(TRIM(N618&amp;" "&amp;O618),6,2)),VALUE(MID(TRIM(N618&amp;" "&amp;O618),9,2))),IF(ISNUMBER(H618),H618,"")),"")</f>
        <v/>
      </c>
      <c r="AC618" s="11">
        <f>IF(ISNUMBER(SEARCH("다기관",TRIM(N618&amp;" "&amp;O618))),IFERROR(DATE(VALUE(MID(TRIM(N618&amp;" "&amp;O618),12,4)),VALUE(MID(TRIM(N618&amp;" "&amp;O618),17,2)),VALUE(MID(TRIM(N618&amp;" "&amp;O618),20,2))),IF(ISNUMBER(I618),I618,"")),"")</f>
        <v/>
      </c>
      <c r="AD618" s="17">
        <f>IF(AND(ISNUMBER(AB618),ISNUMBER(AC618)),MAX(0,MIN(AC618,EOMONTH(출력_요약!$B$3,0))-MAX(AB618,출력_요약!$B$3)+1),0)</f>
        <v/>
      </c>
      <c r="AE618" s="10">
        <f>IF(AND(Q618&lt;&gt;"",ISNUMBER(AB618)),Q618&amp;"|다기관","")</f>
        <v/>
      </c>
    </row>
    <row r="619">
      <c r="A619" s="15">
        <f>IF(F619="","",ROW()-3)</f>
        <v/>
      </c>
      <c r="B619" s="5" t="n"/>
      <c r="C619" s="15" t="n"/>
      <c r="D619" s="5" t="n"/>
      <c r="E619" s="15" t="n"/>
      <c r="F619" s="5" t="n"/>
      <c r="G619" s="6" t="n"/>
      <c r="H619" s="16" t="n"/>
      <c r="I619" s="16" t="n"/>
      <c r="J619" s="15">
        <f>IF(AND(ISNUMBER(H619),ISNUMBER(I619)),I619-H619+1,"")</f>
        <v/>
      </c>
      <c r="K619" s="5" t="n"/>
      <c r="L619" s="5" t="n"/>
      <c r="M619" s="5" t="n"/>
      <c r="N619" s="5" t="n"/>
      <c r="O619" s="5" t="n"/>
      <c r="Q619" s="10">
        <f>IF(TRIM(G619&amp;"")="","",TRIM(G619&amp;""))</f>
        <v/>
      </c>
      <c r="R619" s="10">
        <f>IF(TRIM(B619&amp;"")="","",IFERROR(INDEX(설정_코드표!$K$2:$K$101,MATCH(TRIM(B619&amp;""),설정_코드표!$J$2:$J$101,0)),"⚠"&amp;TRIM(B619&amp;"")))</f>
        <v/>
      </c>
      <c r="S619" s="10">
        <f>IF(TRIM(K619&amp;"")="","",IFERROR(INDEX(설정_코드표!$K$2:$K$101,MATCH(TRIM(K619&amp;""),설정_코드표!$J$2:$J$101,0)),"⚠"&amp;TRIM(K619&amp;"")))</f>
        <v/>
      </c>
      <c r="T619" s="10">
        <f>IF(TRIM(M619&amp;"")="","",IF(ISNUMBER(MATCH(TRIM(M619&amp;""),설정_코드표!$C$2:$C$11,0)),TRIM(M619&amp;""),"⚠"&amp;TRIM(M619&amp;"")))</f>
        <v/>
      </c>
      <c r="U619" s="10">
        <f>IF(TRIM(L619&amp;"")="","",IFERROR(INDEX(설정_코드표!$G$2:$G$101,MATCH(TRIM(L619&amp;""),설정_코드표!$F$2:$F$101,0)),"⚠"&amp;TRIM(L619&amp;"")))</f>
        <v/>
      </c>
      <c r="V619" s="10">
        <f>IF(AND(ISNUMBER(H619),ISNUMBER(I619)),I619-H619+1,"")</f>
        <v/>
      </c>
      <c r="W619" s="17">
        <f>IF(ISNUMBER(H619),MAX(0,MIN(IF(ISNUMBER(I619),I619,EOMONTH(출력_요약!$B$3,0)),EOMONTH(출력_요약!$B$3,0))-MAX(H619,출력_요약!$B$3)+1),0)</f>
        <v/>
      </c>
      <c r="X619" s="10">
        <f>IF(OR(NOT(ISNUMBER(H619)),Q619=""),"",IF(TODAY()&lt;H619,"파견예정",IF(AND(ISNUMBER(I619),TODAY()&gt;I619),"파견종료","파견중")))</f>
        <v/>
      </c>
      <c r="Y619" s="10">
        <f>IF(OR(Q619="",X619=""),"",Q619&amp;"|"&amp;X619)</f>
        <v/>
      </c>
      <c r="Z619" s="10">
        <f>IF(AND(Q619&lt;&gt;"",W619&gt;0),Q619&amp;"|월","")</f>
        <v/>
      </c>
      <c r="AA619" s="10">
        <f>IF(COUNTA(B619:I619,K619:N619)=0,"",IF(Q619="","등록번호 없음",IF(LEFT(R619,1)="⚠","모병원명 미등록",IF(S619="","파견병원 입력",IF(LEFT(S619,1)="⚠","파견병원명 미등록",IF(LEFT(U619,1)="⚠","파견과목 미등록",IF(OR(T619="",LEFT(T619,1)="⚠"),"파견근거 확인",IF(NOT(AND(ISNUMBER(H619),ISNUMBER(I619))),"날짜 형식/누락",IF(I619&lt;H619,"종료일&lt;시작일","")))))))))</f>
        <v/>
      </c>
      <c r="AB619" s="11">
        <f>IF(ISNUMBER(SEARCH("다기관",TRIM(N619&amp;" "&amp;O619))),IFERROR(DATE(VALUE(MID(TRIM(N619&amp;" "&amp;O619),1,4)),VALUE(MID(TRIM(N619&amp;" "&amp;O619),6,2)),VALUE(MID(TRIM(N619&amp;" "&amp;O619),9,2))),IF(ISNUMBER(H619),H619,"")),"")</f>
        <v/>
      </c>
      <c r="AC619" s="11">
        <f>IF(ISNUMBER(SEARCH("다기관",TRIM(N619&amp;" "&amp;O619))),IFERROR(DATE(VALUE(MID(TRIM(N619&amp;" "&amp;O619),12,4)),VALUE(MID(TRIM(N619&amp;" "&amp;O619),17,2)),VALUE(MID(TRIM(N619&amp;" "&amp;O619),20,2))),IF(ISNUMBER(I619),I619,"")),"")</f>
        <v/>
      </c>
      <c r="AD619" s="17">
        <f>IF(AND(ISNUMBER(AB619),ISNUMBER(AC619)),MAX(0,MIN(AC619,EOMONTH(출력_요약!$B$3,0))-MAX(AB619,출력_요약!$B$3)+1),0)</f>
        <v/>
      </c>
      <c r="AE619" s="10">
        <f>IF(AND(Q619&lt;&gt;"",ISNUMBER(AB619)),Q619&amp;"|다기관","")</f>
        <v/>
      </c>
    </row>
    <row r="620">
      <c r="A620" s="15">
        <f>IF(F620="","",ROW()-3)</f>
        <v/>
      </c>
      <c r="B620" s="5" t="n"/>
      <c r="C620" s="15" t="n"/>
      <c r="D620" s="5" t="n"/>
      <c r="E620" s="15" t="n"/>
      <c r="F620" s="5" t="n"/>
      <c r="G620" s="6" t="n"/>
      <c r="H620" s="16" t="n"/>
      <c r="I620" s="16" t="n"/>
      <c r="J620" s="15">
        <f>IF(AND(ISNUMBER(H620),ISNUMBER(I620)),I620-H620+1,"")</f>
        <v/>
      </c>
      <c r="K620" s="5" t="n"/>
      <c r="L620" s="5" t="n"/>
      <c r="M620" s="5" t="n"/>
      <c r="N620" s="5" t="n"/>
      <c r="O620" s="5" t="n"/>
      <c r="Q620" s="10">
        <f>IF(TRIM(G620&amp;"")="","",TRIM(G620&amp;""))</f>
        <v/>
      </c>
      <c r="R620" s="10">
        <f>IF(TRIM(B620&amp;"")="","",IFERROR(INDEX(설정_코드표!$K$2:$K$101,MATCH(TRIM(B620&amp;""),설정_코드표!$J$2:$J$101,0)),"⚠"&amp;TRIM(B620&amp;"")))</f>
        <v/>
      </c>
      <c r="S620" s="10">
        <f>IF(TRIM(K620&amp;"")="","",IFERROR(INDEX(설정_코드표!$K$2:$K$101,MATCH(TRIM(K620&amp;""),설정_코드표!$J$2:$J$101,0)),"⚠"&amp;TRIM(K620&amp;"")))</f>
        <v/>
      </c>
      <c r="T620" s="10">
        <f>IF(TRIM(M620&amp;"")="","",IF(ISNUMBER(MATCH(TRIM(M620&amp;""),설정_코드표!$C$2:$C$11,0)),TRIM(M620&amp;""),"⚠"&amp;TRIM(M620&amp;"")))</f>
        <v/>
      </c>
      <c r="U620" s="10">
        <f>IF(TRIM(L620&amp;"")="","",IFERROR(INDEX(설정_코드표!$G$2:$G$101,MATCH(TRIM(L620&amp;""),설정_코드표!$F$2:$F$101,0)),"⚠"&amp;TRIM(L620&amp;"")))</f>
        <v/>
      </c>
      <c r="V620" s="10">
        <f>IF(AND(ISNUMBER(H620),ISNUMBER(I620)),I620-H620+1,"")</f>
        <v/>
      </c>
      <c r="W620" s="17">
        <f>IF(ISNUMBER(H620),MAX(0,MIN(IF(ISNUMBER(I620),I620,EOMONTH(출력_요약!$B$3,0)),EOMONTH(출력_요약!$B$3,0))-MAX(H620,출력_요약!$B$3)+1),0)</f>
        <v/>
      </c>
      <c r="X620" s="10">
        <f>IF(OR(NOT(ISNUMBER(H620)),Q620=""),"",IF(TODAY()&lt;H620,"파견예정",IF(AND(ISNUMBER(I620),TODAY()&gt;I620),"파견종료","파견중")))</f>
        <v/>
      </c>
      <c r="Y620" s="10">
        <f>IF(OR(Q620="",X620=""),"",Q620&amp;"|"&amp;X620)</f>
        <v/>
      </c>
      <c r="Z620" s="10">
        <f>IF(AND(Q620&lt;&gt;"",W620&gt;0),Q620&amp;"|월","")</f>
        <v/>
      </c>
      <c r="AA620" s="10">
        <f>IF(COUNTA(B620:I620,K620:N620)=0,"",IF(Q620="","등록번호 없음",IF(LEFT(R620,1)="⚠","모병원명 미등록",IF(S620="","파견병원 입력",IF(LEFT(S620,1)="⚠","파견병원명 미등록",IF(LEFT(U620,1)="⚠","파견과목 미등록",IF(OR(T620="",LEFT(T620,1)="⚠"),"파견근거 확인",IF(NOT(AND(ISNUMBER(H620),ISNUMBER(I620))),"날짜 형식/누락",IF(I620&lt;H620,"종료일&lt;시작일","")))))))))</f>
        <v/>
      </c>
      <c r="AB620" s="11">
        <f>IF(ISNUMBER(SEARCH("다기관",TRIM(N620&amp;" "&amp;O620))),IFERROR(DATE(VALUE(MID(TRIM(N620&amp;" "&amp;O620),1,4)),VALUE(MID(TRIM(N620&amp;" "&amp;O620),6,2)),VALUE(MID(TRIM(N620&amp;" "&amp;O620),9,2))),IF(ISNUMBER(H620),H620,"")),"")</f>
        <v/>
      </c>
      <c r="AC620" s="11">
        <f>IF(ISNUMBER(SEARCH("다기관",TRIM(N620&amp;" "&amp;O620))),IFERROR(DATE(VALUE(MID(TRIM(N620&amp;" "&amp;O620),12,4)),VALUE(MID(TRIM(N620&amp;" "&amp;O620),17,2)),VALUE(MID(TRIM(N620&amp;" "&amp;O620),20,2))),IF(ISNUMBER(I620),I620,"")),"")</f>
        <v/>
      </c>
      <c r="AD620" s="17">
        <f>IF(AND(ISNUMBER(AB620),ISNUMBER(AC620)),MAX(0,MIN(AC620,EOMONTH(출력_요약!$B$3,0))-MAX(AB620,출력_요약!$B$3)+1),0)</f>
        <v/>
      </c>
      <c r="AE620" s="10">
        <f>IF(AND(Q620&lt;&gt;"",ISNUMBER(AB620)),Q620&amp;"|다기관","")</f>
        <v/>
      </c>
    </row>
    <row r="621">
      <c r="A621" s="15">
        <f>IF(F621="","",ROW()-3)</f>
        <v/>
      </c>
      <c r="B621" s="5" t="n"/>
      <c r="C621" s="15" t="n"/>
      <c r="D621" s="5" t="n"/>
      <c r="E621" s="15" t="n"/>
      <c r="F621" s="5" t="n"/>
      <c r="G621" s="6" t="n"/>
      <c r="H621" s="16" t="n"/>
      <c r="I621" s="16" t="n"/>
      <c r="J621" s="15">
        <f>IF(AND(ISNUMBER(H621),ISNUMBER(I621)),I621-H621+1,"")</f>
        <v/>
      </c>
      <c r="K621" s="5" t="n"/>
      <c r="L621" s="5" t="n"/>
      <c r="M621" s="5" t="n"/>
      <c r="N621" s="5" t="n"/>
      <c r="O621" s="5" t="n"/>
      <c r="Q621" s="10">
        <f>IF(TRIM(G621&amp;"")="","",TRIM(G621&amp;""))</f>
        <v/>
      </c>
      <c r="R621" s="10">
        <f>IF(TRIM(B621&amp;"")="","",IFERROR(INDEX(설정_코드표!$K$2:$K$101,MATCH(TRIM(B621&amp;""),설정_코드표!$J$2:$J$101,0)),"⚠"&amp;TRIM(B621&amp;"")))</f>
        <v/>
      </c>
      <c r="S621" s="10">
        <f>IF(TRIM(K621&amp;"")="","",IFERROR(INDEX(설정_코드표!$K$2:$K$101,MATCH(TRIM(K621&amp;""),설정_코드표!$J$2:$J$101,0)),"⚠"&amp;TRIM(K621&amp;"")))</f>
        <v/>
      </c>
      <c r="T621" s="10">
        <f>IF(TRIM(M621&amp;"")="","",IF(ISNUMBER(MATCH(TRIM(M621&amp;""),설정_코드표!$C$2:$C$11,0)),TRIM(M621&amp;""),"⚠"&amp;TRIM(M621&amp;"")))</f>
        <v/>
      </c>
      <c r="U621" s="10">
        <f>IF(TRIM(L621&amp;"")="","",IFERROR(INDEX(설정_코드표!$G$2:$G$101,MATCH(TRIM(L621&amp;""),설정_코드표!$F$2:$F$101,0)),"⚠"&amp;TRIM(L621&amp;"")))</f>
        <v/>
      </c>
      <c r="V621" s="10">
        <f>IF(AND(ISNUMBER(H621),ISNUMBER(I621)),I621-H621+1,"")</f>
        <v/>
      </c>
      <c r="W621" s="17">
        <f>IF(ISNUMBER(H621),MAX(0,MIN(IF(ISNUMBER(I621),I621,EOMONTH(출력_요약!$B$3,0)),EOMONTH(출력_요약!$B$3,0))-MAX(H621,출력_요약!$B$3)+1),0)</f>
        <v/>
      </c>
      <c r="X621" s="10">
        <f>IF(OR(NOT(ISNUMBER(H621)),Q621=""),"",IF(TODAY()&lt;H621,"파견예정",IF(AND(ISNUMBER(I621),TODAY()&gt;I621),"파견종료","파견중")))</f>
        <v/>
      </c>
      <c r="Y621" s="10">
        <f>IF(OR(Q621="",X621=""),"",Q621&amp;"|"&amp;X621)</f>
        <v/>
      </c>
      <c r="Z621" s="10">
        <f>IF(AND(Q621&lt;&gt;"",W621&gt;0),Q621&amp;"|월","")</f>
        <v/>
      </c>
      <c r="AA621" s="10">
        <f>IF(COUNTA(B621:I621,K621:N621)=0,"",IF(Q621="","등록번호 없음",IF(LEFT(R621,1)="⚠","모병원명 미등록",IF(S621="","파견병원 입력",IF(LEFT(S621,1)="⚠","파견병원명 미등록",IF(LEFT(U621,1)="⚠","파견과목 미등록",IF(OR(T621="",LEFT(T621,1)="⚠"),"파견근거 확인",IF(NOT(AND(ISNUMBER(H621),ISNUMBER(I621))),"날짜 형식/누락",IF(I621&lt;H621,"종료일&lt;시작일","")))))))))</f>
        <v/>
      </c>
      <c r="AB621" s="11">
        <f>IF(ISNUMBER(SEARCH("다기관",TRIM(N621&amp;" "&amp;O621))),IFERROR(DATE(VALUE(MID(TRIM(N621&amp;" "&amp;O621),1,4)),VALUE(MID(TRIM(N621&amp;" "&amp;O621),6,2)),VALUE(MID(TRIM(N621&amp;" "&amp;O621),9,2))),IF(ISNUMBER(H621),H621,"")),"")</f>
        <v/>
      </c>
      <c r="AC621" s="11">
        <f>IF(ISNUMBER(SEARCH("다기관",TRIM(N621&amp;" "&amp;O621))),IFERROR(DATE(VALUE(MID(TRIM(N621&amp;" "&amp;O621),12,4)),VALUE(MID(TRIM(N621&amp;" "&amp;O621),17,2)),VALUE(MID(TRIM(N621&amp;" "&amp;O621),20,2))),IF(ISNUMBER(I621),I621,"")),"")</f>
        <v/>
      </c>
      <c r="AD621" s="17">
        <f>IF(AND(ISNUMBER(AB621),ISNUMBER(AC621)),MAX(0,MIN(AC621,EOMONTH(출력_요약!$B$3,0))-MAX(AB621,출력_요약!$B$3)+1),0)</f>
        <v/>
      </c>
      <c r="AE621" s="10">
        <f>IF(AND(Q621&lt;&gt;"",ISNUMBER(AB621)),Q621&amp;"|다기관","")</f>
        <v/>
      </c>
    </row>
    <row r="622">
      <c r="A622" s="15">
        <f>IF(F622="","",ROW()-3)</f>
        <v/>
      </c>
      <c r="B622" s="5" t="n"/>
      <c r="C622" s="15" t="n"/>
      <c r="D622" s="5" t="n"/>
      <c r="E622" s="15" t="n"/>
      <c r="F622" s="5" t="n"/>
      <c r="G622" s="6" t="n"/>
      <c r="H622" s="16" t="n"/>
      <c r="I622" s="16" t="n"/>
      <c r="J622" s="15">
        <f>IF(AND(ISNUMBER(H622),ISNUMBER(I622)),I622-H622+1,"")</f>
        <v/>
      </c>
      <c r="K622" s="5" t="n"/>
      <c r="L622" s="5" t="n"/>
      <c r="M622" s="5" t="n"/>
      <c r="N622" s="5" t="n"/>
      <c r="O622" s="5" t="n"/>
      <c r="Q622" s="10">
        <f>IF(TRIM(G622&amp;"")="","",TRIM(G622&amp;""))</f>
        <v/>
      </c>
      <c r="R622" s="10">
        <f>IF(TRIM(B622&amp;"")="","",IFERROR(INDEX(설정_코드표!$K$2:$K$101,MATCH(TRIM(B622&amp;""),설정_코드표!$J$2:$J$101,0)),"⚠"&amp;TRIM(B622&amp;"")))</f>
        <v/>
      </c>
      <c r="S622" s="10">
        <f>IF(TRIM(K622&amp;"")="","",IFERROR(INDEX(설정_코드표!$K$2:$K$101,MATCH(TRIM(K622&amp;""),설정_코드표!$J$2:$J$101,0)),"⚠"&amp;TRIM(K622&amp;"")))</f>
        <v/>
      </c>
      <c r="T622" s="10">
        <f>IF(TRIM(M622&amp;"")="","",IF(ISNUMBER(MATCH(TRIM(M622&amp;""),설정_코드표!$C$2:$C$11,0)),TRIM(M622&amp;""),"⚠"&amp;TRIM(M622&amp;"")))</f>
        <v/>
      </c>
      <c r="U622" s="10">
        <f>IF(TRIM(L622&amp;"")="","",IFERROR(INDEX(설정_코드표!$G$2:$G$101,MATCH(TRIM(L622&amp;""),설정_코드표!$F$2:$F$101,0)),"⚠"&amp;TRIM(L622&amp;"")))</f>
        <v/>
      </c>
      <c r="V622" s="10">
        <f>IF(AND(ISNUMBER(H622),ISNUMBER(I622)),I622-H622+1,"")</f>
        <v/>
      </c>
      <c r="W622" s="17">
        <f>IF(ISNUMBER(H622),MAX(0,MIN(IF(ISNUMBER(I622),I622,EOMONTH(출력_요약!$B$3,0)),EOMONTH(출력_요약!$B$3,0))-MAX(H622,출력_요약!$B$3)+1),0)</f>
        <v/>
      </c>
      <c r="X622" s="10">
        <f>IF(OR(NOT(ISNUMBER(H622)),Q622=""),"",IF(TODAY()&lt;H622,"파견예정",IF(AND(ISNUMBER(I622),TODAY()&gt;I622),"파견종료","파견중")))</f>
        <v/>
      </c>
      <c r="Y622" s="10">
        <f>IF(OR(Q622="",X622=""),"",Q622&amp;"|"&amp;X622)</f>
        <v/>
      </c>
      <c r="Z622" s="10">
        <f>IF(AND(Q622&lt;&gt;"",W622&gt;0),Q622&amp;"|월","")</f>
        <v/>
      </c>
      <c r="AA622" s="10">
        <f>IF(COUNTA(B622:I622,K622:N622)=0,"",IF(Q622="","등록번호 없음",IF(LEFT(R622,1)="⚠","모병원명 미등록",IF(S622="","파견병원 입력",IF(LEFT(S622,1)="⚠","파견병원명 미등록",IF(LEFT(U622,1)="⚠","파견과목 미등록",IF(OR(T622="",LEFT(T622,1)="⚠"),"파견근거 확인",IF(NOT(AND(ISNUMBER(H622),ISNUMBER(I622))),"날짜 형식/누락",IF(I622&lt;H622,"종료일&lt;시작일","")))))))))</f>
        <v/>
      </c>
      <c r="AB622" s="11">
        <f>IF(ISNUMBER(SEARCH("다기관",TRIM(N622&amp;" "&amp;O622))),IFERROR(DATE(VALUE(MID(TRIM(N622&amp;" "&amp;O622),1,4)),VALUE(MID(TRIM(N622&amp;" "&amp;O622),6,2)),VALUE(MID(TRIM(N622&amp;" "&amp;O622),9,2))),IF(ISNUMBER(H622),H622,"")),"")</f>
        <v/>
      </c>
      <c r="AC622" s="11">
        <f>IF(ISNUMBER(SEARCH("다기관",TRIM(N622&amp;" "&amp;O622))),IFERROR(DATE(VALUE(MID(TRIM(N622&amp;" "&amp;O622),12,4)),VALUE(MID(TRIM(N622&amp;" "&amp;O622),17,2)),VALUE(MID(TRIM(N622&amp;" "&amp;O622),20,2))),IF(ISNUMBER(I622),I622,"")),"")</f>
        <v/>
      </c>
      <c r="AD622" s="17">
        <f>IF(AND(ISNUMBER(AB622),ISNUMBER(AC622)),MAX(0,MIN(AC622,EOMONTH(출력_요약!$B$3,0))-MAX(AB622,출력_요약!$B$3)+1),0)</f>
        <v/>
      </c>
      <c r="AE622" s="10">
        <f>IF(AND(Q622&lt;&gt;"",ISNUMBER(AB622)),Q622&amp;"|다기관","")</f>
        <v/>
      </c>
    </row>
    <row r="623">
      <c r="A623" s="15">
        <f>IF(F623="","",ROW()-3)</f>
        <v/>
      </c>
      <c r="B623" s="5" t="n"/>
      <c r="C623" s="15" t="n"/>
      <c r="D623" s="5" t="n"/>
      <c r="E623" s="15" t="n"/>
      <c r="F623" s="5" t="n"/>
      <c r="G623" s="6" t="n"/>
      <c r="H623" s="16" t="n"/>
      <c r="I623" s="16" t="n"/>
      <c r="J623" s="15">
        <f>IF(AND(ISNUMBER(H623),ISNUMBER(I623)),I623-H623+1,"")</f>
        <v/>
      </c>
      <c r="K623" s="5" t="n"/>
      <c r="L623" s="5" t="n"/>
      <c r="M623" s="5" t="n"/>
      <c r="N623" s="5" t="n"/>
      <c r="O623" s="5" t="n"/>
      <c r="Q623" s="10">
        <f>IF(TRIM(G623&amp;"")="","",TRIM(G623&amp;""))</f>
        <v/>
      </c>
      <c r="R623" s="10">
        <f>IF(TRIM(B623&amp;"")="","",IFERROR(INDEX(설정_코드표!$K$2:$K$101,MATCH(TRIM(B623&amp;""),설정_코드표!$J$2:$J$101,0)),"⚠"&amp;TRIM(B623&amp;"")))</f>
        <v/>
      </c>
      <c r="S623" s="10">
        <f>IF(TRIM(K623&amp;"")="","",IFERROR(INDEX(설정_코드표!$K$2:$K$101,MATCH(TRIM(K623&amp;""),설정_코드표!$J$2:$J$101,0)),"⚠"&amp;TRIM(K623&amp;"")))</f>
        <v/>
      </c>
      <c r="T623" s="10">
        <f>IF(TRIM(M623&amp;"")="","",IF(ISNUMBER(MATCH(TRIM(M623&amp;""),설정_코드표!$C$2:$C$11,0)),TRIM(M623&amp;""),"⚠"&amp;TRIM(M623&amp;"")))</f>
        <v/>
      </c>
      <c r="U623" s="10">
        <f>IF(TRIM(L623&amp;"")="","",IFERROR(INDEX(설정_코드표!$G$2:$G$101,MATCH(TRIM(L623&amp;""),설정_코드표!$F$2:$F$101,0)),"⚠"&amp;TRIM(L623&amp;"")))</f>
        <v/>
      </c>
      <c r="V623" s="10">
        <f>IF(AND(ISNUMBER(H623),ISNUMBER(I623)),I623-H623+1,"")</f>
        <v/>
      </c>
      <c r="W623" s="17">
        <f>IF(ISNUMBER(H623),MAX(0,MIN(IF(ISNUMBER(I623),I623,EOMONTH(출력_요약!$B$3,0)),EOMONTH(출력_요약!$B$3,0))-MAX(H623,출력_요약!$B$3)+1),0)</f>
        <v/>
      </c>
      <c r="X623" s="10">
        <f>IF(OR(NOT(ISNUMBER(H623)),Q623=""),"",IF(TODAY()&lt;H623,"파견예정",IF(AND(ISNUMBER(I623),TODAY()&gt;I623),"파견종료","파견중")))</f>
        <v/>
      </c>
      <c r="Y623" s="10">
        <f>IF(OR(Q623="",X623=""),"",Q623&amp;"|"&amp;X623)</f>
        <v/>
      </c>
      <c r="Z623" s="10">
        <f>IF(AND(Q623&lt;&gt;"",W623&gt;0),Q623&amp;"|월","")</f>
        <v/>
      </c>
      <c r="AA623" s="10">
        <f>IF(COUNTA(B623:I623,K623:N623)=0,"",IF(Q623="","등록번호 없음",IF(LEFT(R623,1)="⚠","모병원명 미등록",IF(S623="","파견병원 입력",IF(LEFT(S623,1)="⚠","파견병원명 미등록",IF(LEFT(U623,1)="⚠","파견과목 미등록",IF(OR(T623="",LEFT(T623,1)="⚠"),"파견근거 확인",IF(NOT(AND(ISNUMBER(H623),ISNUMBER(I623))),"날짜 형식/누락",IF(I623&lt;H623,"종료일&lt;시작일","")))))))))</f>
        <v/>
      </c>
      <c r="AB623" s="11">
        <f>IF(ISNUMBER(SEARCH("다기관",TRIM(N623&amp;" "&amp;O623))),IFERROR(DATE(VALUE(MID(TRIM(N623&amp;" "&amp;O623),1,4)),VALUE(MID(TRIM(N623&amp;" "&amp;O623),6,2)),VALUE(MID(TRIM(N623&amp;" "&amp;O623),9,2))),IF(ISNUMBER(H623),H623,"")),"")</f>
        <v/>
      </c>
      <c r="AC623" s="11">
        <f>IF(ISNUMBER(SEARCH("다기관",TRIM(N623&amp;" "&amp;O623))),IFERROR(DATE(VALUE(MID(TRIM(N623&amp;" "&amp;O623),12,4)),VALUE(MID(TRIM(N623&amp;" "&amp;O623),17,2)),VALUE(MID(TRIM(N623&amp;" "&amp;O623),20,2))),IF(ISNUMBER(I623),I623,"")),"")</f>
        <v/>
      </c>
      <c r="AD623" s="17">
        <f>IF(AND(ISNUMBER(AB623),ISNUMBER(AC623)),MAX(0,MIN(AC623,EOMONTH(출력_요약!$B$3,0))-MAX(AB623,출력_요약!$B$3)+1),0)</f>
        <v/>
      </c>
      <c r="AE623" s="10">
        <f>IF(AND(Q623&lt;&gt;"",ISNUMBER(AB623)),Q623&amp;"|다기관","")</f>
        <v/>
      </c>
    </row>
    <row r="624">
      <c r="A624" s="15">
        <f>IF(F624="","",ROW()-3)</f>
        <v/>
      </c>
      <c r="B624" s="5" t="n"/>
      <c r="C624" s="15" t="n"/>
      <c r="D624" s="5" t="n"/>
      <c r="E624" s="15" t="n"/>
      <c r="F624" s="5" t="n"/>
      <c r="G624" s="6" t="n"/>
      <c r="H624" s="16" t="n"/>
      <c r="I624" s="16" t="n"/>
      <c r="J624" s="15">
        <f>IF(AND(ISNUMBER(H624),ISNUMBER(I624)),I624-H624+1,"")</f>
        <v/>
      </c>
      <c r="K624" s="5" t="n"/>
      <c r="L624" s="5" t="n"/>
      <c r="M624" s="5" t="n"/>
      <c r="N624" s="5" t="n"/>
      <c r="O624" s="5" t="n"/>
      <c r="Q624" s="10">
        <f>IF(TRIM(G624&amp;"")="","",TRIM(G624&amp;""))</f>
        <v/>
      </c>
      <c r="R624" s="10">
        <f>IF(TRIM(B624&amp;"")="","",IFERROR(INDEX(설정_코드표!$K$2:$K$101,MATCH(TRIM(B624&amp;""),설정_코드표!$J$2:$J$101,0)),"⚠"&amp;TRIM(B624&amp;"")))</f>
        <v/>
      </c>
      <c r="S624" s="10">
        <f>IF(TRIM(K624&amp;"")="","",IFERROR(INDEX(설정_코드표!$K$2:$K$101,MATCH(TRIM(K624&amp;""),설정_코드표!$J$2:$J$101,0)),"⚠"&amp;TRIM(K624&amp;"")))</f>
        <v/>
      </c>
      <c r="T624" s="10">
        <f>IF(TRIM(M624&amp;"")="","",IF(ISNUMBER(MATCH(TRIM(M624&amp;""),설정_코드표!$C$2:$C$11,0)),TRIM(M624&amp;""),"⚠"&amp;TRIM(M624&amp;"")))</f>
        <v/>
      </c>
      <c r="U624" s="10">
        <f>IF(TRIM(L624&amp;"")="","",IFERROR(INDEX(설정_코드표!$G$2:$G$101,MATCH(TRIM(L624&amp;""),설정_코드표!$F$2:$F$101,0)),"⚠"&amp;TRIM(L624&amp;"")))</f>
        <v/>
      </c>
      <c r="V624" s="10">
        <f>IF(AND(ISNUMBER(H624),ISNUMBER(I624)),I624-H624+1,"")</f>
        <v/>
      </c>
      <c r="W624" s="17">
        <f>IF(ISNUMBER(H624),MAX(0,MIN(IF(ISNUMBER(I624),I624,EOMONTH(출력_요약!$B$3,0)),EOMONTH(출력_요약!$B$3,0))-MAX(H624,출력_요약!$B$3)+1),0)</f>
        <v/>
      </c>
      <c r="X624" s="10">
        <f>IF(OR(NOT(ISNUMBER(H624)),Q624=""),"",IF(TODAY()&lt;H624,"파견예정",IF(AND(ISNUMBER(I624),TODAY()&gt;I624),"파견종료","파견중")))</f>
        <v/>
      </c>
      <c r="Y624" s="10">
        <f>IF(OR(Q624="",X624=""),"",Q624&amp;"|"&amp;X624)</f>
        <v/>
      </c>
      <c r="Z624" s="10">
        <f>IF(AND(Q624&lt;&gt;"",W624&gt;0),Q624&amp;"|월","")</f>
        <v/>
      </c>
      <c r="AA624" s="10">
        <f>IF(COUNTA(B624:I624,K624:N624)=0,"",IF(Q624="","등록번호 없음",IF(LEFT(R624,1)="⚠","모병원명 미등록",IF(S624="","파견병원 입력",IF(LEFT(S624,1)="⚠","파견병원명 미등록",IF(LEFT(U624,1)="⚠","파견과목 미등록",IF(OR(T624="",LEFT(T624,1)="⚠"),"파견근거 확인",IF(NOT(AND(ISNUMBER(H624),ISNUMBER(I624))),"날짜 형식/누락",IF(I624&lt;H624,"종료일&lt;시작일","")))))))))</f>
        <v/>
      </c>
      <c r="AB624" s="11">
        <f>IF(ISNUMBER(SEARCH("다기관",TRIM(N624&amp;" "&amp;O624))),IFERROR(DATE(VALUE(MID(TRIM(N624&amp;" "&amp;O624),1,4)),VALUE(MID(TRIM(N624&amp;" "&amp;O624),6,2)),VALUE(MID(TRIM(N624&amp;" "&amp;O624),9,2))),IF(ISNUMBER(H624),H624,"")),"")</f>
        <v/>
      </c>
      <c r="AC624" s="11">
        <f>IF(ISNUMBER(SEARCH("다기관",TRIM(N624&amp;" "&amp;O624))),IFERROR(DATE(VALUE(MID(TRIM(N624&amp;" "&amp;O624),12,4)),VALUE(MID(TRIM(N624&amp;" "&amp;O624),17,2)),VALUE(MID(TRIM(N624&amp;" "&amp;O624),20,2))),IF(ISNUMBER(I624),I624,"")),"")</f>
        <v/>
      </c>
      <c r="AD624" s="17">
        <f>IF(AND(ISNUMBER(AB624),ISNUMBER(AC624)),MAX(0,MIN(AC624,EOMONTH(출력_요약!$B$3,0))-MAX(AB624,출력_요약!$B$3)+1),0)</f>
        <v/>
      </c>
      <c r="AE624" s="10">
        <f>IF(AND(Q624&lt;&gt;"",ISNUMBER(AB624)),Q624&amp;"|다기관","")</f>
        <v/>
      </c>
    </row>
    <row r="625">
      <c r="A625" s="15">
        <f>IF(F625="","",ROW()-3)</f>
        <v/>
      </c>
      <c r="B625" s="5" t="n"/>
      <c r="C625" s="15" t="n"/>
      <c r="D625" s="5" t="n"/>
      <c r="E625" s="15" t="n"/>
      <c r="F625" s="5" t="n"/>
      <c r="G625" s="6" t="n"/>
      <c r="H625" s="16" t="n"/>
      <c r="I625" s="16" t="n"/>
      <c r="J625" s="15">
        <f>IF(AND(ISNUMBER(H625),ISNUMBER(I625)),I625-H625+1,"")</f>
        <v/>
      </c>
      <c r="K625" s="5" t="n"/>
      <c r="L625" s="5" t="n"/>
      <c r="M625" s="5" t="n"/>
      <c r="N625" s="5" t="n"/>
      <c r="O625" s="5" t="n"/>
      <c r="Q625" s="10">
        <f>IF(TRIM(G625&amp;"")="","",TRIM(G625&amp;""))</f>
        <v/>
      </c>
      <c r="R625" s="10">
        <f>IF(TRIM(B625&amp;"")="","",IFERROR(INDEX(설정_코드표!$K$2:$K$101,MATCH(TRIM(B625&amp;""),설정_코드표!$J$2:$J$101,0)),"⚠"&amp;TRIM(B625&amp;"")))</f>
        <v/>
      </c>
      <c r="S625" s="10">
        <f>IF(TRIM(K625&amp;"")="","",IFERROR(INDEX(설정_코드표!$K$2:$K$101,MATCH(TRIM(K625&amp;""),설정_코드표!$J$2:$J$101,0)),"⚠"&amp;TRIM(K625&amp;"")))</f>
        <v/>
      </c>
      <c r="T625" s="10">
        <f>IF(TRIM(M625&amp;"")="","",IF(ISNUMBER(MATCH(TRIM(M625&amp;""),설정_코드표!$C$2:$C$11,0)),TRIM(M625&amp;""),"⚠"&amp;TRIM(M625&amp;"")))</f>
        <v/>
      </c>
      <c r="U625" s="10">
        <f>IF(TRIM(L625&amp;"")="","",IFERROR(INDEX(설정_코드표!$G$2:$G$101,MATCH(TRIM(L625&amp;""),설정_코드표!$F$2:$F$101,0)),"⚠"&amp;TRIM(L625&amp;"")))</f>
        <v/>
      </c>
      <c r="V625" s="10">
        <f>IF(AND(ISNUMBER(H625),ISNUMBER(I625)),I625-H625+1,"")</f>
        <v/>
      </c>
      <c r="W625" s="17">
        <f>IF(ISNUMBER(H625),MAX(0,MIN(IF(ISNUMBER(I625),I625,EOMONTH(출력_요약!$B$3,0)),EOMONTH(출력_요약!$B$3,0))-MAX(H625,출력_요약!$B$3)+1),0)</f>
        <v/>
      </c>
      <c r="X625" s="10">
        <f>IF(OR(NOT(ISNUMBER(H625)),Q625=""),"",IF(TODAY()&lt;H625,"파견예정",IF(AND(ISNUMBER(I625),TODAY()&gt;I625),"파견종료","파견중")))</f>
        <v/>
      </c>
      <c r="Y625" s="10">
        <f>IF(OR(Q625="",X625=""),"",Q625&amp;"|"&amp;X625)</f>
        <v/>
      </c>
      <c r="Z625" s="10">
        <f>IF(AND(Q625&lt;&gt;"",W625&gt;0),Q625&amp;"|월","")</f>
        <v/>
      </c>
      <c r="AA625" s="10">
        <f>IF(COUNTA(B625:I625,K625:N625)=0,"",IF(Q625="","등록번호 없음",IF(LEFT(R625,1)="⚠","모병원명 미등록",IF(S625="","파견병원 입력",IF(LEFT(S625,1)="⚠","파견병원명 미등록",IF(LEFT(U625,1)="⚠","파견과목 미등록",IF(OR(T625="",LEFT(T625,1)="⚠"),"파견근거 확인",IF(NOT(AND(ISNUMBER(H625),ISNUMBER(I625))),"날짜 형식/누락",IF(I625&lt;H625,"종료일&lt;시작일","")))))))))</f>
        <v/>
      </c>
      <c r="AB625" s="11">
        <f>IF(ISNUMBER(SEARCH("다기관",TRIM(N625&amp;" "&amp;O625))),IFERROR(DATE(VALUE(MID(TRIM(N625&amp;" "&amp;O625),1,4)),VALUE(MID(TRIM(N625&amp;" "&amp;O625),6,2)),VALUE(MID(TRIM(N625&amp;" "&amp;O625),9,2))),IF(ISNUMBER(H625),H625,"")),"")</f>
        <v/>
      </c>
      <c r="AC625" s="11">
        <f>IF(ISNUMBER(SEARCH("다기관",TRIM(N625&amp;" "&amp;O625))),IFERROR(DATE(VALUE(MID(TRIM(N625&amp;" "&amp;O625),12,4)),VALUE(MID(TRIM(N625&amp;" "&amp;O625),17,2)),VALUE(MID(TRIM(N625&amp;" "&amp;O625),20,2))),IF(ISNUMBER(I625),I625,"")),"")</f>
        <v/>
      </c>
      <c r="AD625" s="17">
        <f>IF(AND(ISNUMBER(AB625),ISNUMBER(AC625)),MAX(0,MIN(AC625,EOMONTH(출력_요약!$B$3,0))-MAX(AB625,출력_요약!$B$3)+1),0)</f>
        <v/>
      </c>
      <c r="AE625" s="10">
        <f>IF(AND(Q625&lt;&gt;"",ISNUMBER(AB625)),Q625&amp;"|다기관","")</f>
        <v/>
      </c>
    </row>
    <row r="626">
      <c r="A626" s="15">
        <f>IF(F626="","",ROW()-3)</f>
        <v/>
      </c>
      <c r="B626" s="5" t="n"/>
      <c r="C626" s="15" t="n"/>
      <c r="D626" s="5" t="n"/>
      <c r="E626" s="15" t="n"/>
      <c r="F626" s="5" t="n"/>
      <c r="G626" s="6" t="n"/>
      <c r="H626" s="16" t="n"/>
      <c r="I626" s="16" t="n"/>
      <c r="J626" s="15">
        <f>IF(AND(ISNUMBER(H626),ISNUMBER(I626)),I626-H626+1,"")</f>
        <v/>
      </c>
      <c r="K626" s="5" t="n"/>
      <c r="L626" s="5" t="n"/>
      <c r="M626" s="5" t="n"/>
      <c r="N626" s="5" t="n"/>
      <c r="O626" s="5" t="n"/>
      <c r="Q626" s="10">
        <f>IF(TRIM(G626&amp;"")="","",TRIM(G626&amp;""))</f>
        <v/>
      </c>
      <c r="R626" s="10">
        <f>IF(TRIM(B626&amp;"")="","",IFERROR(INDEX(설정_코드표!$K$2:$K$101,MATCH(TRIM(B626&amp;""),설정_코드표!$J$2:$J$101,0)),"⚠"&amp;TRIM(B626&amp;"")))</f>
        <v/>
      </c>
      <c r="S626" s="10">
        <f>IF(TRIM(K626&amp;"")="","",IFERROR(INDEX(설정_코드표!$K$2:$K$101,MATCH(TRIM(K626&amp;""),설정_코드표!$J$2:$J$101,0)),"⚠"&amp;TRIM(K626&amp;"")))</f>
        <v/>
      </c>
      <c r="T626" s="10">
        <f>IF(TRIM(M626&amp;"")="","",IF(ISNUMBER(MATCH(TRIM(M626&amp;""),설정_코드표!$C$2:$C$11,0)),TRIM(M626&amp;""),"⚠"&amp;TRIM(M626&amp;"")))</f>
        <v/>
      </c>
      <c r="U626" s="10">
        <f>IF(TRIM(L626&amp;"")="","",IFERROR(INDEX(설정_코드표!$G$2:$G$101,MATCH(TRIM(L626&amp;""),설정_코드표!$F$2:$F$101,0)),"⚠"&amp;TRIM(L626&amp;"")))</f>
        <v/>
      </c>
      <c r="V626" s="10">
        <f>IF(AND(ISNUMBER(H626),ISNUMBER(I626)),I626-H626+1,"")</f>
        <v/>
      </c>
      <c r="W626" s="17">
        <f>IF(ISNUMBER(H626),MAX(0,MIN(IF(ISNUMBER(I626),I626,EOMONTH(출력_요약!$B$3,0)),EOMONTH(출력_요약!$B$3,0))-MAX(H626,출력_요약!$B$3)+1),0)</f>
        <v/>
      </c>
      <c r="X626" s="10">
        <f>IF(OR(NOT(ISNUMBER(H626)),Q626=""),"",IF(TODAY()&lt;H626,"파견예정",IF(AND(ISNUMBER(I626),TODAY()&gt;I626),"파견종료","파견중")))</f>
        <v/>
      </c>
      <c r="Y626" s="10">
        <f>IF(OR(Q626="",X626=""),"",Q626&amp;"|"&amp;X626)</f>
        <v/>
      </c>
      <c r="Z626" s="10">
        <f>IF(AND(Q626&lt;&gt;"",W626&gt;0),Q626&amp;"|월","")</f>
        <v/>
      </c>
      <c r="AA626" s="10">
        <f>IF(COUNTA(B626:I626,K626:N626)=0,"",IF(Q626="","등록번호 없음",IF(LEFT(R626,1)="⚠","모병원명 미등록",IF(S626="","파견병원 입력",IF(LEFT(S626,1)="⚠","파견병원명 미등록",IF(LEFT(U626,1)="⚠","파견과목 미등록",IF(OR(T626="",LEFT(T626,1)="⚠"),"파견근거 확인",IF(NOT(AND(ISNUMBER(H626),ISNUMBER(I626))),"날짜 형식/누락",IF(I626&lt;H626,"종료일&lt;시작일","")))))))))</f>
        <v/>
      </c>
      <c r="AB626" s="11">
        <f>IF(ISNUMBER(SEARCH("다기관",TRIM(N626&amp;" "&amp;O626))),IFERROR(DATE(VALUE(MID(TRIM(N626&amp;" "&amp;O626),1,4)),VALUE(MID(TRIM(N626&amp;" "&amp;O626),6,2)),VALUE(MID(TRIM(N626&amp;" "&amp;O626),9,2))),IF(ISNUMBER(H626),H626,"")),"")</f>
        <v/>
      </c>
      <c r="AC626" s="11">
        <f>IF(ISNUMBER(SEARCH("다기관",TRIM(N626&amp;" "&amp;O626))),IFERROR(DATE(VALUE(MID(TRIM(N626&amp;" "&amp;O626),12,4)),VALUE(MID(TRIM(N626&amp;" "&amp;O626),17,2)),VALUE(MID(TRIM(N626&amp;" "&amp;O626),20,2))),IF(ISNUMBER(I626),I626,"")),"")</f>
        <v/>
      </c>
      <c r="AD626" s="17">
        <f>IF(AND(ISNUMBER(AB626),ISNUMBER(AC626)),MAX(0,MIN(AC626,EOMONTH(출력_요약!$B$3,0))-MAX(AB626,출력_요약!$B$3)+1),0)</f>
        <v/>
      </c>
      <c r="AE626" s="10">
        <f>IF(AND(Q626&lt;&gt;"",ISNUMBER(AB626)),Q626&amp;"|다기관","")</f>
        <v/>
      </c>
    </row>
    <row r="627">
      <c r="A627" s="15">
        <f>IF(F627="","",ROW()-3)</f>
        <v/>
      </c>
      <c r="B627" s="5" t="n"/>
      <c r="C627" s="15" t="n"/>
      <c r="D627" s="5" t="n"/>
      <c r="E627" s="15" t="n"/>
      <c r="F627" s="5" t="n"/>
      <c r="G627" s="6" t="n"/>
      <c r="H627" s="16" t="n"/>
      <c r="I627" s="16" t="n"/>
      <c r="J627" s="15">
        <f>IF(AND(ISNUMBER(H627),ISNUMBER(I627)),I627-H627+1,"")</f>
        <v/>
      </c>
      <c r="K627" s="5" t="n"/>
      <c r="L627" s="5" t="n"/>
      <c r="M627" s="5" t="n"/>
      <c r="N627" s="5" t="n"/>
      <c r="O627" s="5" t="n"/>
      <c r="Q627" s="10">
        <f>IF(TRIM(G627&amp;"")="","",TRIM(G627&amp;""))</f>
        <v/>
      </c>
      <c r="R627" s="10">
        <f>IF(TRIM(B627&amp;"")="","",IFERROR(INDEX(설정_코드표!$K$2:$K$101,MATCH(TRIM(B627&amp;""),설정_코드표!$J$2:$J$101,0)),"⚠"&amp;TRIM(B627&amp;"")))</f>
        <v/>
      </c>
      <c r="S627" s="10">
        <f>IF(TRIM(K627&amp;"")="","",IFERROR(INDEX(설정_코드표!$K$2:$K$101,MATCH(TRIM(K627&amp;""),설정_코드표!$J$2:$J$101,0)),"⚠"&amp;TRIM(K627&amp;"")))</f>
        <v/>
      </c>
      <c r="T627" s="10">
        <f>IF(TRIM(M627&amp;"")="","",IF(ISNUMBER(MATCH(TRIM(M627&amp;""),설정_코드표!$C$2:$C$11,0)),TRIM(M627&amp;""),"⚠"&amp;TRIM(M627&amp;"")))</f>
        <v/>
      </c>
      <c r="U627" s="10">
        <f>IF(TRIM(L627&amp;"")="","",IFERROR(INDEX(설정_코드표!$G$2:$G$101,MATCH(TRIM(L627&amp;""),설정_코드표!$F$2:$F$101,0)),"⚠"&amp;TRIM(L627&amp;"")))</f>
        <v/>
      </c>
      <c r="V627" s="10">
        <f>IF(AND(ISNUMBER(H627),ISNUMBER(I627)),I627-H627+1,"")</f>
        <v/>
      </c>
      <c r="W627" s="17">
        <f>IF(ISNUMBER(H627),MAX(0,MIN(IF(ISNUMBER(I627),I627,EOMONTH(출력_요약!$B$3,0)),EOMONTH(출력_요약!$B$3,0))-MAX(H627,출력_요약!$B$3)+1),0)</f>
        <v/>
      </c>
      <c r="X627" s="10">
        <f>IF(OR(NOT(ISNUMBER(H627)),Q627=""),"",IF(TODAY()&lt;H627,"파견예정",IF(AND(ISNUMBER(I627),TODAY()&gt;I627),"파견종료","파견중")))</f>
        <v/>
      </c>
      <c r="Y627" s="10">
        <f>IF(OR(Q627="",X627=""),"",Q627&amp;"|"&amp;X627)</f>
        <v/>
      </c>
      <c r="Z627" s="10">
        <f>IF(AND(Q627&lt;&gt;"",W627&gt;0),Q627&amp;"|월","")</f>
        <v/>
      </c>
      <c r="AA627" s="10">
        <f>IF(COUNTA(B627:I627,K627:N627)=0,"",IF(Q627="","등록번호 없음",IF(LEFT(R627,1)="⚠","모병원명 미등록",IF(S627="","파견병원 입력",IF(LEFT(S627,1)="⚠","파견병원명 미등록",IF(LEFT(U627,1)="⚠","파견과목 미등록",IF(OR(T627="",LEFT(T627,1)="⚠"),"파견근거 확인",IF(NOT(AND(ISNUMBER(H627),ISNUMBER(I627))),"날짜 형식/누락",IF(I627&lt;H627,"종료일&lt;시작일","")))))))))</f>
        <v/>
      </c>
      <c r="AB627" s="11">
        <f>IF(ISNUMBER(SEARCH("다기관",TRIM(N627&amp;" "&amp;O627))),IFERROR(DATE(VALUE(MID(TRIM(N627&amp;" "&amp;O627),1,4)),VALUE(MID(TRIM(N627&amp;" "&amp;O627),6,2)),VALUE(MID(TRIM(N627&amp;" "&amp;O627),9,2))),IF(ISNUMBER(H627),H627,"")),"")</f>
        <v/>
      </c>
      <c r="AC627" s="11">
        <f>IF(ISNUMBER(SEARCH("다기관",TRIM(N627&amp;" "&amp;O627))),IFERROR(DATE(VALUE(MID(TRIM(N627&amp;" "&amp;O627),12,4)),VALUE(MID(TRIM(N627&amp;" "&amp;O627),17,2)),VALUE(MID(TRIM(N627&amp;" "&amp;O627),20,2))),IF(ISNUMBER(I627),I627,"")),"")</f>
        <v/>
      </c>
      <c r="AD627" s="17">
        <f>IF(AND(ISNUMBER(AB627),ISNUMBER(AC627)),MAX(0,MIN(AC627,EOMONTH(출력_요약!$B$3,0))-MAX(AB627,출력_요약!$B$3)+1),0)</f>
        <v/>
      </c>
      <c r="AE627" s="10">
        <f>IF(AND(Q627&lt;&gt;"",ISNUMBER(AB627)),Q627&amp;"|다기관","")</f>
        <v/>
      </c>
    </row>
    <row r="628">
      <c r="A628" s="15">
        <f>IF(F628="","",ROW()-3)</f>
        <v/>
      </c>
      <c r="B628" s="5" t="n"/>
      <c r="C628" s="15" t="n"/>
      <c r="D628" s="5" t="n"/>
      <c r="E628" s="15" t="n"/>
      <c r="F628" s="5" t="n"/>
      <c r="G628" s="6" t="n"/>
      <c r="H628" s="16" t="n"/>
      <c r="I628" s="16" t="n"/>
      <c r="J628" s="15">
        <f>IF(AND(ISNUMBER(H628),ISNUMBER(I628)),I628-H628+1,"")</f>
        <v/>
      </c>
      <c r="K628" s="5" t="n"/>
      <c r="L628" s="5" t="n"/>
      <c r="M628" s="5" t="n"/>
      <c r="N628" s="5" t="n"/>
      <c r="O628" s="5" t="n"/>
      <c r="Q628" s="10">
        <f>IF(TRIM(G628&amp;"")="","",TRIM(G628&amp;""))</f>
        <v/>
      </c>
      <c r="R628" s="10">
        <f>IF(TRIM(B628&amp;"")="","",IFERROR(INDEX(설정_코드표!$K$2:$K$101,MATCH(TRIM(B628&amp;""),설정_코드표!$J$2:$J$101,0)),"⚠"&amp;TRIM(B628&amp;"")))</f>
        <v/>
      </c>
      <c r="S628" s="10">
        <f>IF(TRIM(K628&amp;"")="","",IFERROR(INDEX(설정_코드표!$K$2:$K$101,MATCH(TRIM(K628&amp;""),설정_코드표!$J$2:$J$101,0)),"⚠"&amp;TRIM(K628&amp;"")))</f>
        <v/>
      </c>
      <c r="T628" s="10">
        <f>IF(TRIM(M628&amp;"")="","",IF(ISNUMBER(MATCH(TRIM(M628&amp;""),설정_코드표!$C$2:$C$11,0)),TRIM(M628&amp;""),"⚠"&amp;TRIM(M628&amp;"")))</f>
        <v/>
      </c>
      <c r="U628" s="10">
        <f>IF(TRIM(L628&amp;"")="","",IFERROR(INDEX(설정_코드표!$G$2:$G$101,MATCH(TRIM(L628&amp;""),설정_코드표!$F$2:$F$101,0)),"⚠"&amp;TRIM(L628&amp;"")))</f>
        <v/>
      </c>
      <c r="V628" s="10">
        <f>IF(AND(ISNUMBER(H628),ISNUMBER(I628)),I628-H628+1,"")</f>
        <v/>
      </c>
      <c r="W628" s="17">
        <f>IF(ISNUMBER(H628),MAX(0,MIN(IF(ISNUMBER(I628),I628,EOMONTH(출력_요약!$B$3,0)),EOMONTH(출력_요약!$B$3,0))-MAX(H628,출력_요약!$B$3)+1),0)</f>
        <v/>
      </c>
      <c r="X628" s="10">
        <f>IF(OR(NOT(ISNUMBER(H628)),Q628=""),"",IF(TODAY()&lt;H628,"파견예정",IF(AND(ISNUMBER(I628),TODAY()&gt;I628),"파견종료","파견중")))</f>
        <v/>
      </c>
      <c r="Y628" s="10">
        <f>IF(OR(Q628="",X628=""),"",Q628&amp;"|"&amp;X628)</f>
        <v/>
      </c>
      <c r="Z628" s="10">
        <f>IF(AND(Q628&lt;&gt;"",W628&gt;0),Q628&amp;"|월","")</f>
        <v/>
      </c>
      <c r="AA628" s="10">
        <f>IF(COUNTA(B628:I628,K628:N628)=0,"",IF(Q628="","등록번호 없음",IF(LEFT(R628,1)="⚠","모병원명 미등록",IF(S628="","파견병원 입력",IF(LEFT(S628,1)="⚠","파견병원명 미등록",IF(LEFT(U628,1)="⚠","파견과목 미등록",IF(OR(T628="",LEFT(T628,1)="⚠"),"파견근거 확인",IF(NOT(AND(ISNUMBER(H628),ISNUMBER(I628))),"날짜 형식/누락",IF(I628&lt;H628,"종료일&lt;시작일","")))))))))</f>
        <v/>
      </c>
      <c r="AB628" s="11">
        <f>IF(ISNUMBER(SEARCH("다기관",TRIM(N628&amp;" "&amp;O628))),IFERROR(DATE(VALUE(MID(TRIM(N628&amp;" "&amp;O628),1,4)),VALUE(MID(TRIM(N628&amp;" "&amp;O628),6,2)),VALUE(MID(TRIM(N628&amp;" "&amp;O628),9,2))),IF(ISNUMBER(H628),H628,"")),"")</f>
        <v/>
      </c>
      <c r="AC628" s="11">
        <f>IF(ISNUMBER(SEARCH("다기관",TRIM(N628&amp;" "&amp;O628))),IFERROR(DATE(VALUE(MID(TRIM(N628&amp;" "&amp;O628),12,4)),VALUE(MID(TRIM(N628&amp;" "&amp;O628),17,2)),VALUE(MID(TRIM(N628&amp;" "&amp;O628),20,2))),IF(ISNUMBER(I628),I628,"")),"")</f>
        <v/>
      </c>
      <c r="AD628" s="17">
        <f>IF(AND(ISNUMBER(AB628),ISNUMBER(AC628)),MAX(0,MIN(AC628,EOMONTH(출력_요약!$B$3,0))-MAX(AB628,출력_요약!$B$3)+1),0)</f>
        <v/>
      </c>
      <c r="AE628" s="10">
        <f>IF(AND(Q628&lt;&gt;"",ISNUMBER(AB628)),Q628&amp;"|다기관","")</f>
        <v/>
      </c>
    </row>
    <row r="629">
      <c r="A629" s="15">
        <f>IF(F629="","",ROW()-3)</f>
        <v/>
      </c>
      <c r="B629" s="5" t="n"/>
      <c r="C629" s="15" t="n"/>
      <c r="D629" s="5" t="n"/>
      <c r="E629" s="15" t="n"/>
      <c r="F629" s="5" t="n"/>
      <c r="G629" s="6" t="n"/>
      <c r="H629" s="16" t="n"/>
      <c r="I629" s="16" t="n"/>
      <c r="J629" s="15">
        <f>IF(AND(ISNUMBER(H629),ISNUMBER(I629)),I629-H629+1,"")</f>
        <v/>
      </c>
      <c r="K629" s="5" t="n"/>
      <c r="L629" s="5" t="n"/>
      <c r="M629" s="5" t="n"/>
      <c r="N629" s="5" t="n"/>
      <c r="O629" s="5" t="n"/>
      <c r="Q629" s="10">
        <f>IF(TRIM(G629&amp;"")="","",TRIM(G629&amp;""))</f>
        <v/>
      </c>
      <c r="R629" s="10">
        <f>IF(TRIM(B629&amp;"")="","",IFERROR(INDEX(설정_코드표!$K$2:$K$101,MATCH(TRIM(B629&amp;""),설정_코드표!$J$2:$J$101,0)),"⚠"&amp;TRIM(B629&amp;"")))</f>
        <v/>
      </c>
      <c r="S629" s="10">
        <f>IF(TRIM(K629&amp;"")="","",IFERROR(INDEX(설정_코드표!$K$2:$K$101,MATCH(TRIM(K629&amp;""),설정_코드표!$J$2:$J$101,0)),"⚠"&amp;TRIM(K629&amp;"")))</f>
        <v/>
      </c>
      <c r="T629" s="10">
        <f>IF(TRIM(M629&amp;"")="","",IF(ISNUMBER(MATCH(TRIM(M629&amp;""),설정_코드표!$C$2:$C$11,0)),TRIM(M629&amp;""),"⚠"&amp;TRIM(M629&amp;"")))</f>
        <v/>
      </c>
      <c r="U629" s="10">
        <f>IF(TRIM(L629&amp;"")="","",IFERROR(INDEX(설정_코드표!$G$2:$G$101,MATCH(TRIM(L629&amp;""),설정_코드표!$F$2:$F$101,0)),"⚠"&amp;TRIM(L629&amp;"")))</f>
        <v/>
      </c>
      <c r="V629" s="10">
        <f>IF(AND(ISNUMBER(H629),ISNUMBER(I629)),I629-H629+1,"")</f>
        <v/>
      </c>
      <c r="W629" s="17">
        <f>IF(ISNUMBER(H629),MAX(0,MIN(IF(ISNUMBER(I629),I629,EOMONTH(출력_요약!$B$3,0)),EOMONTH(출력_요약!$B$3,0))-MAX(H629,출력_요약!$B$3)+1),0)</f>
        <v/>
      </c>
      <c r="X629" s="10">
        <f>IF(OR(NOT(ISNUMBER(H629)),Q629=""),"",IF(TODAY()&lt;H629,"파견예정",IF(AND(ISNUMBER(I629),TODAY()&gt;I629),"파견종료","파견중")))</f>
        <v/>
      </c>
      <c r="Y629" s="10">
        <f>IF(OR(Q629="",X629=""),"",Q629&amp;"|"&amp;X629)</f>
        <v/>
      </c>
      <c r="Z629" s="10">
        <f>IF(AND(Q629&lt;&gt;"",W629&gt;0),Q629&amp;"|월","")</f>
        <v/>
      </c>
      <c r="AA629" s="10">
        <f>IF(COUNTA(B629:I629,K629:N629)=0,"",IF(Q629="","등록번호 없음",IF(LEFT(R629,1)="⚠","모병원명 미등록",IF(S629="","파견병원 입력",IF(LEFT(S629,1)="⚠","파견병원명 미등록",IF(LEFT(U629,1)="⚠","파견과목 미등록",IF(OR(T629="",LEFT(T629,1)="⚠"),"파견근거 확인",IF(NOT(AND(ISNUMBER(H629),ISNUMBER(I629))),"날짜 형식/누락",IF(I629&lt;H629,"종료일&lt;시작일","")))))))))</f>
        <v/>
      </c>
      <c r="AB629" s="11">
        <f>IF(ISNUMBER(SEARCH("다기관",TRIM(N629&amp;" "&amp;O629))),IFERROR(DATE(VALUE(MID(TRIM(N629&amp;" "&amp;O629),1,4)),VALUE(MID(TRIM(N629&amp;" "&amp;O629),6,2)),VALUE(MID(TRIM(N629&amp;" "&amp;O629),9,2))),IF(ISNUMBER(H629),H629,"")),"")</f>
        <v/>
      </c>
      <c r="AC629" s="11">
        <f>IF(ISNUMBER(SEARCH("다기관",TRIM(N629&amp;" "&amp;O629))),IFERROR(DATE(VALUE(MID(TRIM(N629&amp;" "&amp;O629),12,4)),VALUE(MID(TRIM(N629&amp;" "&amp;O629),17,2)),VALUE(MID(TRIM(N629&amp;" "&amp;O629),20,2))),IF(ISNUMBER(I629),I629,"")),"")</f>
        <v/>
      </c>
      <c r="AD629" s="17">
        <f>IF(AND(ISNUMBER(AB629),ISNUMBER(AC629)),MAX(0,MIN(AC629,EOMONTH(출력_요약!$B$3,0))-MAX(AB629,출력_요약!$B$3)+1),0)</f>
        <v/>
      </c>
      <c r="AE629" s="10">
        <f>IF(AND(Q629&lt;&gt;"",ISNUMBER(AB629)),Q629&amp;"|다기관","")</f>
        <v/>
      </c>
    </row>
    <row r="630">
      <c r="A630" s="15">
        <f>IF(F630="","",ROW()-3)</f>
        <v/>
      </c>
      <c r="B630" s="5" t="n"/>
      <c r="C630" s="15" t="n"/>
      <c r="D630" s="5" t="n"/>
      <c r="E630" s="15" t="n"/>
      <c r="F630" s="5" t="n"/>
      <c r="G630" s="6" t="n"/>
      <c r="H630" s="16" t="n"/>
      <c r="I630" s="16" t="n"/>
      <c r="J630" s="15">
        <f>IF(AND(ISNUMBER(H630),ISNUMBER(I630)),I630-H630+1,"")</f>
        <v/>
      </c>
      <c r="K630" s="5" t="n"/>
      <c r="L630" s="5" t="n"/>
      <c r="M630" s="5" t="n"/>
      <c r="N630" s="5" t="n"/>
      <c r="O630" s="5" t="n"/>
      <c r="Q630" s="10">
        <f>IF(TRIM(G630&amp;"")="","",TRIM(G630&amp;""))</f>
        <v/>
      </c>
      <c r="R630" s="10">
        <f>IF(TRIM(B630&amp;"")="","",IFERROR(INDEX(설정_코드표!$K$2:$K$101,MATCH(TRIM(B630&amp;""),설정_코드표!$J$2:$J$101,0)),"⚠"&amp;TRIM(B630&amp;"")))</f>
        <v/>
      </c>
      <c r="S630" s="10">
        <f>IF(TRIM(K630&amp;"")="","",IFERROR(INDEX(설정_코드표!$K$2:$K$101,MATCH(TRIM(K630&amp;""),설정_코드표!$J$2:$J$101,0)),"⚠"&amp;TRIM(K630&amp;"")))</f>
        <v/>
      </c>
      <c r="T630" s="10">
        <f>IF(TRIM(M630&amp;"")="","",IF(ISNUMBER(MATCH(TRIM(M630&amp;""),설정_코드표!$C$2:$C$11,0)),TRIM(M630&amp;""),"⚠"&amp;TRIM(M630&amp;"")))</f>
        <v/>
      </c>
      <c r="U630" s="10">
        <f>IF(TRIM(L630&amp;"")="","",IFERROR(INDEX(설정_코드표!$G$2:$G$101,MATCH(TRIM(L630&amp;""),설정_코드표!$F$2:$F$101,0)),"⚠"&amp;TRIM(L630&amp;"")))</f>
        <v/>
      </c>
      <c r="V630" s="10">
        <f>IF(AND(ISNUMBER(H630),ISNUMBER(I630)),I630-H630+1,"")</f>
        <v/>
      </c>
      <c r="W630" s="17">
        <f>IF(ISNUMBER(H630),MAX(0,MIN(IF(ISNUMBER(I630),I630,EOMONTH(출력_요약!$B$3,0)),EOMONTH(출력_요약!$B$3,0))-MAX(H630,출력_요약!$B$3)+1),0)</f>
        <v/>
      </c>
      <c r="X630" s="10">
        <f>IF(OR(NOT(ISNUMBER(H630)),Q630=""),"",IF(TODAY()&lt;H630,"파견예정",IF(AND(ISNUMBER(I630),TODAY()&gt;I630),"파견종료","파견중")))</f>
        <v/>
      </c>
      <c r="Y630" s="10">
        <f>IF(OR(Q630="",X630=""),"",Q630&amp;"|"&amp;X630)</f>
        <v/>
      </c>
      <c r="Z630" s="10">
        <f>IF(AND(Q630&lt;&gt;"",W630&gt;0),Q630&amp;"|월","")</f>
        <v/>
      </c>
      <c r="AA630" s="10">
        <f>IF(COUNTA(B630:I630,K630:N630)=0,"",IF(Q630="","등록번호 없음",IF(LEFT(R630,1)="⚠","모병원명 미등록",IF(S630="","파견병원 입력",IF(LEFT(S630,1)="⚠","파견병원명 미등록",IF(LEFT(U630,1)="⚠","파견과목 미등록",IF(OR(T630="",LEFT(T630,1)="⚠"),"파견근거 확인",IF(NOT(AND(ISNUMBER(H630),ISNUMBER(I630))),"날짜 형식/누락",IF(I630&lt;H630,"종료일&lt;시작일","")))))))))</f>
        <v/>
      </c>
      <c r="AB630" s="11">
        <f>IF(ISNUMBER(SEARCH("다기관",TRIM(N630&amp;" "&amp;O630))),IFERROR(DATE(VALUE(MID(TRIM(N630&amp;" "&amp;O630),1,4)),VALUE(MID(TRIM(N630&amp;" "&amp;O630),6,2)),VALUE(MID(TRIM(N630&amp;" "&amp;O630),9,2))),IF(ISNUMBER(H630),H630,"")),"")</f>
        <v/>
      </c>
      <c r="AC630" s="11">
        <f>IF(ISNUMBER(SEARCH("다기관",TRIM(N630&amp;" "&amp;O630))),IFERROR(DATE(VALUE(MID(TRIM(N630&amp;" "&amp;O630),12,4)),VALUE(MID(TRIM(N630&amp;" "&amp;O630),17,2)),VALUE(MID(TRIM(N630&amp;" "&amp;O630),20,2))),IF(ISNUMBER(I630),I630,"")),"")</f>
        <v/>
      </c>
      <c r="AD630" s="17">
        <f>IF(AND(ISNUMBER(AB630),ISNUMBER(AC630)),MAX(0,MIN(AC630,EOMONTH(출력_요약!$B$3,0))-MAX(AB630,출력_요약!$B$3)+1),0)</f>
        <v/>
      </c>
      <c r="AE630" s="10">
        <f>IF(AND(Q630&lt;&gt;"",ISNUMBER(AB630)),Q630&amp;"|다기관","")</f>
        <v/>
      </c>
    </row>
    <row r="631">
      <c r="A631" s="15">
        <f>IF(F631="","",ROW()-3)</f>
        <v/>
      </c>
      <c r="B631" s="5" t="n"/>
      <c r="C631" s="15" t="n"/>
      <c r="D631" s="5" t="n"/>
      <c r="E631" s="15" t="n"/>
      <c r="F631" s="5" t="n"/>
      <c r="G631" s="6" t="n"/>
      <c r="H631" s="16" t="n"/>
      <c r="I631" s="16" t="n"/>
      <c r="J631" s="15">
        <f>IF(AND(ISNUMBER(H631),ISNUMBER(I631)),I631-H631+1,"")</f>
        <v/>
      </c>
      <c r="K631" s="5" t="n"/>
      <c r="L631" s="5" t="n"/>
      <c r="M631" s="5" t="n"/>
      <c r="N631" s="5" t="n"/>
      <c r="O631" s="5" t="n"/>
      <c r="Q631" s="10">
        <f>IF(TRIM(G631&amp;"")="","",TRIM(G631&amp;""))</f>
        <v/>
      </c>
      <c r="R631" s="10">
        <f>IF(TRIM(B631&amp;"")="","",IFERROR(INDEX(설정_코드표!$K$2:$K$101,MATCH(TRIM(B631&amp;""),설정_코드표!$J$2:$J$101,0)),"⚠"&amp;TRIM(B631&amp;"")))</f>
        <v/>
      </c>
      <c r="S631" s="10">
        <f>IF(TRIM(K631&amp;"")="","",IFERROR(INDEX(설정_코드표!$K$2:$K$101,MATCH(TRIM(K631&amp;""),설정_코드표!$J$2:$J$101,0)),"⚠"&amp;TRIM(K631&amp;"")))</f>
        <v/>
      </c>
      <c r="T631" s="10">
        <f>IF(TRIM(M631&amp;"")="","",IF(ISNUMBER(MATCH(TRIM(M631&amp;""),설정_코드표!$C$2:$C$11,0)),TRIM(M631&amp;""),"⚠"&amp;TRIM(M631&amp;"")))</f>
        <v/>
      </c>
      <c r="U631" s="10">
        <f>IF(TRIM(L631&amp;"")="","",IFERROR(INDEX(설정_코드표!$G$2:$G$101,MATCH(TRIM(L631&amp;""),설정_코드표!$F$2:$F$101,0)),"⚠"&amp;TRIM(L631&amp;"")))</f>
        <v/>
      </c>
      <c r="V631" s="10">
        <f>IF(AND(ISNUMBER(H631),ISNUMBER(I631)),I631-H631+1,"")</f>
        <v/>
      </c>
      <c r="W631" s="17">
        <f>IF(ISNUMBER(H631),MAX(0,MIN(IF(ISNUMBER(I631),I631,EOMONTH(출력_요약!$B$3,0)),EOMONTH(출력_요약!$B$3,0))-MAX(H631,출력_요약!$B$3)+1),0)</f>
        <v/>
      </c>
      <c r="X631" s="10">
        <f>IF(OR(NOT(ISNUMBER(H631)),Q631=""),"",IF(TODAY()&lt;H631,"파견예정",IF(AND(ISNUMBER(I631),TODAY()&gt;I631),"파견종료","파견중")))</f>
        <v/>
      </c>
      <c r="Y631" s="10">
        <f>IF(OR(Q631="",X631=""),"",Q631&amp;"|"&amp;X631)</f>
        <v/>
      </c>
      <c r="Z631" s="10">
        <f>IF(AND(Q631&lt;&gt;"",W631&gt;0),Q631&amp;"|월","")</f>
        <v/>
      </c>
      <c r="AA631" s="10">
        <f>IF(COUNTA(B631:I631,K631:N631)=0,"",IF(Q631="","등록번호 없음",IF(LEFT(R631,1)="⚠","모병원명 미등록",IF(S631="","파견병원 입력",IF(LEFT(S631,1)="⚠","파견병원명 미등록",IF(LEFT(U631,1)="⚠","파견과목 미등록",IF(OR(T631="",LEFT(T631,1)="⚠"),"파견근거 확인",IF(NOT(AND(ISNUMBER(H631),ISNUMBER(I631))),"날짜 형식/누락",IF(I631&lt;H631,"종료일&lt;시작일","")))))))))</f>
        <v/>
      </c>
      <c r="AB631" s="11">
        <f>IF(ISNUMBER(SEARCH("다기관",TRIM(N631&amp;" "&amp;O631))),IFERROR(DATE(VALUE(MID(TRIM(N631&amp;" "&amp;O631),1,4)),VALUE(MID(TRIM(N631&amp;" "&amp;O631),6,2)),VALUE(MID(TRIM(N631&amp;" "&amp;O631),9,2))),IF(ISNUMBER(H631),H631,"")),"")</f>
        <v/>
      </c>
      <c r="AC631" s="11">
        <f>IF(ISNUMBER(SEARCH("다기관",TRIM(N631&amp;" "&amp;O631))),IFERROR(DATE(VALUE(MID(TRIM(N631&amp;" "&amp;O631),12,4)),VALUE(MID(TRIM(N631&amp;" "&amp;O631),17,2)),VALUE(MID(TRIM(N631&amp;" "&amp;O631),20,2))),IF(ISNUMBER(I631),I631,"")),"")</f>
        <v/>
      </c>
      <c r="AD631" s="17">
        <f>IF(AND(ISNUMBER(AB631),ISNUMBER(AC631)),MAX(0,MIN(AC631,EOMONTH(출력_요약!$B$3,0))-MAX(AB631,출력_요약!$B$3)+1),0)</f>
        <v/>
      </c>
      <c r="AE631" s="10">
        <f>IF(AND(Q631&lt;&gt;"",ISNUMBER(AB631)),Q631&amp;"|다기관","")</f>
        <v/>
      </c>
    </row>
    <row r="632">
      <c r="A632" s="15">
        <f>IF(F632="","",ROW()-3)</f>
        <v/>
      </c>
      <c r="B632" s="5" t="n"/>
      <c r="C632" s="15" t="n"/>
      <c r="D632" s="5" t="n"/>
      <c r="E632" s="15" t="n"/>
      <c r="F632" s="5" t="n"/>
      <c r="G632" s="6" t="n"/>
      <c r="H632" s="16" t="n"/>
      <c r="I632" s="16" t="n"/>
      <c r="J632" s="15">
        <f>IF(AND(ISNUMBER(H632),ISNUMBER(I632)),I632-H632+1,"")</f>
        <v/>
      </c>
      <c r="K632" s="5" t="n"/>
      <c r="L632" s="5" t="n"/>
      <c r="M632" s="5" t="n"/>
      <c r="N632" s="5" t="n"/>
      <c r="O632" s="5" t="n"/>
      <c r="Q632" s="10">
        <f>IF(TRIM(G632&amp;"")="","",TRIM(G632&amp;""))</f>
        <v/>
      </c>
      <c r="R632" s="10">
        <f>IF(TRIM(B632&amp;"")="","",IFERROR(INDEX(설정_코드표!$K$2:$K$101,MATCH(TRIM(B632&amp;""),설정_코드표!$J$2:$J$101,0)),"⚠"&amp;TRIM(B632&amp;"")))</f>
        <v/>
      </c>
      <c r="S632" s="10">
        <f>IF(TRIM(K632&amp;"")="","",IFERROR(INDEX(설정_코드표!$K$2:$K$101,MATCH(TRIM(K632&amp;""),설정_코드표!$J$2:$J$101,0)),"⚠"&amp;TRIM(K632&amp;"")))</f>
        <v/>
      </c>
      <c r="T632" s="10">
        <f>IF(TRIM(M632&amp;"")="","",IF(ISNUMBER(MATCH(TRIM(M632&amp;""),설정_코드표!$C$2:$C$11,0)),TRIM(M632&amp;""),"⚠"&amp;TRIM(M632&amp;"")))</f>
        <v/>
      </c>
      <c r="U632" s="10">
        <f>IF(TRIM(L632&amp;"")="","",IFERROR(INDEX(설정_코드표!$G$2:$G$101,MATCH(TRIM(L632&amp;""),설정_코드표!$F$2:$F$101,0)),"⚠"&amp;TRIM(L632&amp;"")))</f>
        <v/>
      </c>
      <c r="V632" s="10">
        <f>IF(AND(ISNUMBER(H632),ISNUMBER(I632)),I632-H632+1,"")</f>
        <v/>
      </c>
      <c r="W632" s="17">
        <f>IF(ISNUMBER(H632),MAX(0,MIN(IF(ISNUMBER(I632),I632,EOMONTH(출력_요약!$B$3,0)),EOMONTH(출력_요약!$B$3,0))-MAX(H632,출력_요약!$B$3)+1),0)</f>
        <v/>
      </c>
      <c r="X632" s="10">
        <f>IF(OR(NOT(ISNUMBER(H632)),Q632=""),"",IF(TODAY()&lt;H632,"파견예정",IF(AND(ISNUMBER(I632),TODAY()&gt;I632),"파견종료","파견중")))</f>
        <v/>
      </c>
      <c r="Y632" s="10">
        <f>IF(OR(Q632="",X632=""),"",Q632&amp;"|"&amp;X632)</f>
        <v/>
      </c>
      <c r="Z632" s="10">
        <f>IF(AND(Q632&lt;&gt;"",W632&gt;0),Q632&amp;"|월","")</f>
        <v/>
      </c>
      <c r="AA632" s="10">
        <f>IF(COUNTA(B632:I632,K632:N632)=0,"",IF(Q632="","등록번호 없음",IF(LEFT(R632,1)="⚠","모병원명 미등록",IF(S632="","파견병원 입력",IF(LEFT(S632,1)="⚠","파견병원명 미등록",IF(LEFT(U632,1)="⚠","파견과목 미등록",IF(OR(T632="",LEFT(T632,1)="⚠"),"파견근거 확인",IF(NOT(AND(ISNUMBER(H632),ISNUMBER(I632))),"날짜 형식/누락",IF(I632&lt;H632,"종료일&lt;시작일","")))))))))</f>
        <v/>
      </c>
      <c r="AB632" s="11">
        <f>IF(ISNUMBER(SEARCH("다기관",TRIM(N632&amp;" "&amp;O632))),IFERROR(DATE(VALUE(MID(TRIM(N632&amp;" "&amp;O632),1,4)),VALUE(MID(TRIM(N632&amp;" "&amp;O632),6,2)),VALUE(MID(TRIM(N632&amp;" "&amp;O632),9,2))),IF(ISNUMBER(H632),H632,"")),"")</f>
        <v/>
      </c>
      <c r="AC632" s="11">
        <f>IF(ISNUMBER(SEARCH("다기관",TRIM(N632&amp;" "&amp;O632))),IFERROR(DATE(VALUE(MID(TRIM(N632&amp;" "&amp;O632),12,4)),VALUE(MID(TRIM(N632&amp;" "&amp;O632),17,2)),VALUE(MID(TRIM(N632&amp;" "&amp;O632),20,2))),IF(ISNUMBER(I632),I632,"")),"")</f>
        <v/>
      </c>
      <c r="AD632" s="17">
        <f>IF(AND(ISNUMBER(AB632),ISNUMBER(AC632)),MAX(0,MIN(AC632,EOMONTH(출력_요약!$B$3,0))-MAX(AB632,출력_요약!$B$3)+1),0)</f>
        <v/>
      </c>
      <c r="AE632" s="10">
        <f>IF(AND(Q632&lt;&gt;"",ISNUMBER(AB632)),Q632&amp;"|다기관","")</f>
        <v/>
      </c>
    </row>
    <row r="633">
      <c r="A633" s="15">
        <f>IF(F633="","",ROW()-3)</f>
        <v/>
      </c>
      <c r="B633" s="5" t="n"/>
      <c r="C633" s="15" t="n"/>
      <c r="D633" s="5" t="n"/>
      <c r="E633" s="15" t="n"/>
      <c r="F633" s="5" t="n"/>
      <c r="G633" s="6" t="n"/>
      <c r="H633" s="16" t="n"/>
      <c r="I633" s="16" t="n"/>
      <c r="J633" s="15">
        <f>IF(AND(ISNUMBER(H633),ISNUMBER(I633)),I633-H633+1,"")</f>
        <v/>
      </c>
      <c r="K633" s="5" t="n"/>
      <c r="L633" s="5" t="n"/>
      <c r="M633" s="5" t="n"/>
      <c r="N633" s="5" t="n"/>
      <c r="O633" s="5" t="n"/>
      <c r="Q633" s="10">
        <f>IF(TRIM(G633&amp;"")="","",TRIM(G633&amp;""))</f>
        <v/>
      </c>
      <c r="R633" s="10">
        <f>IF(TRIM(B633&amp;"")="","",IFERROR(INDEX(설정_코드표!$K$2:$K$101,MATCH(TRIM(B633&amp;""),설정_코드표!$J$2:$J$101,0)),"⚠"&amp;TRIM(B633&amp;"")))</f>
        <v/>
      </c>
      <c r="S633" s="10">
        <f>IF(TRIM(K633&amp;"")="","",IFERROR(INDEX(설정_코드표!$K$2:$K$101,MATCH(TRIM(K633&amp;""),설정_코드표!$J$2:$J$101,0)),"⚠"&amp;TRIM(K633&amp;"")))</f>
        <v/>
      </c>
      <c r="T633" s="10">
        <f>IF(TRIM(M633&amp;"")="","",IF(ISNUMBER(MATCH(TRIM(M633&amp;""),설정_코드표!$C$2:$C$11,0)),TRIM(M633&amp;""),"⚠"&amp;TRIM(M633&amp;"")))</f>
        <v/>
      </c>
      <c r="U633" s="10">
        <f>IF(TRIM(L633&amp;"")="","",IFERROR(INDEX(설정_코드표!$G$2:$G$101,MATCH(TRIM(L633&amp;""),설정_코드표!$F$2:$F$101,0)),"⚠"&amp;TRIM(L633&amp;"")))</f>
        <v/>
      </c>
      <c r="V633" s="10">
        <f>IF(AND(ISNUMBER(H633),ISNUMBER(I633)),I633-H633+1,"")</f>
        <v/>
      </c>
      <c r="W633" s="17">
        <f>IF(ISNUMBER(H633),MAX(0,MIN(IF(ISNUMBER(I633),I633,EOMONTH(출력_요약!$B$3,0)),EOMONTH(출력_요약!$B$3,0))-MAX(H633,출력_요약!$B$3)+1),0)</f>
        <v/>
      </c>
      <c r="X633" s="10">
        <f>IF(OR(NOT(ISNUMBER(H633)),Q633=""),"",IF(TODAY()&lt;H633,"파견예정",IF(AND(ISNUMBER(I633),TODAY()&gt;I633),"파견종료","파견중")))</f>
        <v/>
      </c>
      <c r="Y633" s="10">
        <f>IF(OR(Q633="",X633=""),"",Q633&amp;"|"&amp;X633)</f>
        <v/>
      </c>
      <c r="Z633" s="10">
        <f>IF(AND(Q633&lt;&gt;"",W633&gt;0),Q633&amp;"|월","")</f>
        <v/>
      </c>
      <c r="AA633" s="10">
        <f>IF(COUNTA(B633:I633,K633:N633)=0,"",IF(Q633="","등록번호 없음",IF(LEFT(R633,1)="⚠","모병원명 미등록",IF(S633="","파견병원 입력",IF(LEFT(S633,1)="⚠","파견병원명 미등록",IF(LEFT(U633,1)="⚠","파견과목 미등록",IF(OR(T633="",LEFT(T633,1)="⚠"),"파견근거 확인",IF(NOT(AND(ISNUMBER(H633),ISNUMBER(I633))),"날짜 형식/누락",IF(I633&lt;H633,"종료일&lt;시작일","")))))))))</f>
        <v/>
      </c>
      <c r="AB633" s="11">
        <f>IF(ISNUMBER(SEARCH("다기관",TRIM(N633&amp;" "&amp;O633))),IFERROR(DATE(VALUE(MID(TRIM(N633&amp;" "&amp;O633),1,4)),VALUE(MID(TRIM(N633&amp;" "&amp;O633),6,2)),VALUE(MID(TRIM(N633&amp;" "&amp;O633),9,2))),IF(ISNUMBER(H633),H633,"")),"")</f>
        <v/>
      </c>
      <c r="AC633" s="11">
        <f>IF(ISNUMBER(SEARCH("다기관",TRIM(N633&amp;" "&amp;O633))),IFERROR(DATE(VALUE(MID(TRIM(N633&amp;" "&amp;O633),12,4)),VALUE(MID(TRIM(N633&amp;" "&amp;O633),17,2)),VALUE(MID(TRIM(N633&amp;" "&amp;O633),20,2))),IF(ISNUMBER(I633),I633,"")),"")</f>
        <v/>
      </c>
      <c r="AD633" s="17">
        <f>IF(AND(ISNUMBER(AB633),ISNUMBER(AC633)),MAX(0,MIN(AC633,EOMONTH(출력_요약!$B$3,0))-MAX(AB633,출력_요약!$B$3)+1),0)</f>
        <v/>
      </c>
      <c r="AE633" s="10">
        <f>IF(AND(Q633&lt;&gt;"",ISNUMBER(AB633)),Q633&amp;"|다기관","")</f>
        <v/>
      </c>
    </row>
    <row r="634">
      <c r="A634" s="15">
        <f>IF(F634="","",ROW()-3)</f>
        <v/>
      </c>
      <c r="B634" s="5" t="n"/>
      <c r="C634" s="15" t="n"/>
      <c r="D634" s="5" t="n"/>
      <c r="E634" s="15" t="n"/>
      <c r="F634" s="5" t="n"/>
      <c r="G634" s="6" t="n"/>
      <c r="H634" s="16" t="n"/>
      <c r="I634" s="16" t="n"/>
      <c r="J634" s="15">
        <f>IF(AND(ISNUMBER(H634),ISNUMBER(I634)),I634-H634+1,"")</f>
        <v/>
      </c>
      <c r="K634" s="5" t="n"/>
      <c r="L634" s="5" t="n"/>
      <c r="M634" s="5" t="n"/>
      <c r="N634" s="5" t="n"/>
      <c r="O634" s="5" t="n"/>
      <c r="Q634" s="10">
        <f>IF(TRIM(G634&amp;"")="","",TRIM(G634&amp;""))</f>
        <v/>
      </c>
      <c r="R634" s="10">
        <f>IF(TRIM(B634&amp;"")="","",IFERROR(INDEX(설정_코드표!$K$2:$K$101,MATCH(TRIM(B634&amp;""),설정_코드표!$J$2:$J$101,0)),"⚠"&amp;TRIM(B634&amp;"")))</f>
        <v/>
      </c>
      <c r="S634" s="10">
        <f>IF(TRIM(K634&amp;"")="","",IFERROR(INDEX(설정_코드표!$K$2:$K$101,MATCH(TRIM(K634&amp;""),설정_코드표!$J$2:$J$101,0)),"⚠"&amp;TRIM(K634&amp;"")))</f>
        <v/>
      </c>
      <c r="T634" s="10">
        <f>IF(TRIM(M634&amp;"")="","",IF(ISNUMBER(MATCH(TRIM(M634&amp;""),설정_코드표!$C$2:$C$11,0)),TRIM(M634&amp;""),"⚠"&amp;TRIM(M634&amp;"")))</f>
        <v/>
      </c>
      <c r="U634" s="10">
        <f>IF(TRIM(L634&amp;"")="","",IFERROR(INDEX(설정_코드표!$G$2:$G$101,MATCH(TRIM(L634&amp;""),설정_코드표!$F$2:$F$101,0)),"⚠"&amp;TRIM(L634&amp;"")))</f>
        <v/>
      </c>
      <c r="V634" s="10">
        <f>IF(AND(ISNUMBER(H634),ISNUMBER(I634)),I634-H634+1,"")</f>
        <v/>
      </c>
      <c r="W634" s="17">
        <f>IF(ISNUMBER(H634),MAX(0,MIN(IF(ISNUMBER(I634),I634,EOMONTH(출력_요약!$B$3,0)),EOMONTH(출력_요약!$B$3,0))-MAX(H634,출력_요약!$B$3)+1),0)</f>
        <v/>
      </c>
      <c r="X634" s="10">
        <f>IF(OR(NOT(ISNUMBER(H634)),Q634=""),"",IF(TODAY()&lt;H634,"파견예정",IF(AND(ISNUMBER(I634),TODAY()&gt;I634),"파견종료","파견중")))</f>
        <v/>
      </c>
      <c r="Y634" s="10">
        <f>IF(OR(Q634="",X634=""),"",Q634&amp;"|"&amp;X634)</f>
        <v/>
      </c>
      <c r="Z634" s="10">
        <f>IF(AND(Q634&lt;&gt;"",W634&gt;0),Q634&amp;"|월","")</f>
        <v/>
      </c>
      <c r="AA634" s="10">
        <f>IF(COUNTA(B634:I634,K634:N634)=0,"",IF(Q634="","등록번호 없음",IF(LEFT(R634,1)="⚠","모병원명 미등록",IF(S634="","파견병원 입력",IF(LEFT(S634,1)="⚠","파견병원명 미등록",IF(LEFT(U634,1)="⚠","파견과목 미등록",IF(OR(T634="",LEFT(T634,1)="⚠"),"파견근거 확인",IF(NOT(AND(ISNUMBER(H634),ISNUMBER(I634))),"날짜 형식/누락",IF(I634&lt;H634,"종료일&lt;시작일","")))))))))</f>
        <v/>
      </c>
      <c r="AB634" s="11">
        <f>IF(ISNUMBER(SEARCH("다기관",TRIM(N634&amp;" "&amp;O634))),IFERROR(DATE(VALUE(MID(TRIM(N634&amp;" "&amp;O634),1,4)),VALUE(MID(TRIM(N634&amp;" "&amp;O634),6,2)),VALUE(MID(TRIM(N634&amp;" "&amp;O634),9,2))),IF(ISNUMBER(H634),H634,"")),"")</f>
        <v/>
      </c>
      <c r="AC634" s="11">
        <f>IF(ISNUMBER(SEARCH("다기관",TRIM(N634&amp;" "&amp;O634))),IFERROR(DATE(VALUE(MID(TRIM(N634&amp;" "&amp;O634),12,4)),VALUE(MID(TRIM(N634&amp;" "&amp;O634),17,2)),VALUE(MID(TRIM(N634&amp;" "&amp;O634),20,2))),IF(ISNUMBER(I634),I634,"")),"")</f>
        <v/>
      </c>
      <c r="AD634" s="17">
        <f>IF(AND(ISNUMBER(AB634),ISNUMBER(AC634)),MAX(0,MIN(AC634,EOMONTH(출력_요약!$B$3,0))-MAX(AB634,출력_요약!$B$3)+1),0)</f>
        <v/>
      </c>
      <c r="AE634" s="10">
        <f>IF(AND(Q634&lt;&gt;"",ISNUMBER(AB634)),Q634&amp;"|다기관","")</f>
        <v/>
      </c>
    </row>
    <row r="635">
      <c r="A635" s="15">
        <f>IF(F635="","",ROW()-3)</f>
        <v/>
      </c>
      <c r="B635" s="5" t="n"/>
      <c r="C635" s="15" t="n"/>
      <c r="D635" s="5" t="n"/>
      <c r="E635" s="15" t="n"/>
      <c r="F635" s="5" t="n"/>
      <c r="G635" s="6" t="n"/>
      <c r="H635" s="16" t="n"/>
      <c r="I635" s="16" t="n"/>
      <c r="J635" s="15">
        <f>IF(AND(ISNUMBER(H635),ISNUMBER(I635)),I635-H635+1,"")</f>
        <v/>
      </c>
      <c r="K635" s="5" t="n"/>
      <c r="L635" s="5" t="n"/>
      <c r="M635" s="5" t="n"/>
      <c r="N635" s="5" t="n"/>
      <c r="O635" s="5" t="n"/>
      <c r="Q635" s="10">
        <f>IF(TRIM(G635&amp;"")="","",TRIM(G635&amp;""))</f>
        <v/>
      </c>
      <c r="R635" s="10">
        <f>IF(TRIM(B635&amp;"")="","",IFERROR(INDEX(설정_코드표!$K$2:$K$101,MATCH(TRIM(B635&amp;""),설정_코드표!$J$2:$J$101,0)),"⚠"&amp;TRIM(B635&amp;"")))</f>
        <v/>
      </c>
      <c r="S635" s="10">
        <f>IF(TRIM(K635&amp;"")="","",IFERROR(INDEX(설정_코드표!$K$2:$K$101,MATCH(TRIM(K635&amp;""),설정_코드표!$J$2:$J$101,0)),"⚠"&amp;TRIM(K635&amp;"")))</f>
        <v/>
      </c>
      <c r="T635" s="10">
        <f>IF(TRIM(M635&amp;"")="","",IF(ISNUMBER(MATCH(TRIM(M635&amp;""),설정_코드표!$C$2:$C$11,0)),TRIM(M635&amp;""),"⚠"&amp;TRIM(M635&amp;"")))</f>
        <v/>
      </c>
      <c r="U635" s="10">
        <f>IF(TRIM(L635&amp;"")="","",IFERROR(INDEX(설정_코드표!$G$2:$G$101,MATCH(TRIM(L635&amp;""),설정_코드표!$F$2:$F$101,0)),"⚠"&amp;TRIM(L635&amp;"")))</f>
        <v/>
      </c>
      <c r="V635" s="10">
        <f>IF(AND(ISNUMBER(H635),ISNUMBER(I635)),I635-H635+1,"")</f>
        <v/>
      </c>
      <c r="W635" s="17">
        <f>IF(ISNUMBER(H635),MAX(0,MIN(IF(ISNUMBER(I635),I635,EOMONTH(출력_요약!$B$3,0)),EOMONTH(출력_요약!$B$3,0))-MAX(H635,출력_요약!$B$3)+1),0)</f>
        <v/>
      </c>
      <c r="X635" s="10">
        <f>IF(OR(NOT(ISNUMBER(H635)),Q635=""),"",IF(TODAY()&lt;H635,"파견예정",IF(AND(ISNUMBER(I635),TODAY()&gt;I635),"파견종료","파견중")))</f>
        <v/>
      </c>
      <c r="Y635" s="10">
        <f>IF(OR(Q635="",X635=""),"",Q635&amp;"|"&amp;X635)</f>
        <v/>
      </c>
      <c r="Z635" s="10">
        <f>IF(AND(Q635&lt;&gt;"",W635&gt;0),Q635&amp;"|월","")</f>
        <v/>
      </c>
      <c r="AA635" s="10">
        <f>IF(COUNTA(B635:I635,K635:N635)=0,"",IF(Q635="","등록번호 없음",IF(LEFT(R635,1)="⚠","모병원명 미등록",IF(S635="","파견병원 입력",IF(LEFT(S635,1)="⚠","파견병원명 미등록",IF(LEFT(U635,1)="⚠","파견과목 미등록",IF(OR(T635="",LEFT(T635,1)="⚠"),"파견근거 확인",IF(NOT(AND(ISNUMBER(H635),ISNUMBER(I635))),"날짜 형식/누락",IF(I635&lt;H635,"종료일&lt;시작일","")))))))))</f>
        <v/>
      </c>
      <c r="AB635" s="11">
        <f>IF(ISNUMBER(SEARCH("다기관",TRIM(N635&amp;" "&amp;O635))),IFERROR(DATE(VALUE(MID(TRIM(N635&amp;" "&amp;O635),1,4)),VALUE(MID(TRIM(N635&amp;" "&amp;O635),6,2)),VALUE(MID(TRIM(N635&amp;" "&amp;O635),9,2))),IF(ISNUMBER(H635),H635,"")),"")</f>
        <v/>
      </c>
      <c r="AC635" s="11">
        <f>IF(ISNUMBER(SEARCH("다기관",TRIM(N635&amp;" "&amp;O635))),IFERROR(DATE(VALUE(MID(TRIM(N635&amp;" "&amp;O635),12,4)),VALUE(MID(TRIM(N635&amp;" "&amp;O635),17,2)),VALUE(MID(TRIM(N635&amp;" "&amp;O635),20,2))),IF(ISNUMBER(I635),I635,"")),"")</f>
        <v/>
      </c>
      <c r="AD635" s="17">
        <f>IF(AND(ISNUMBER(AB635),ISNUMBER(AC635)),MAX(0,MIN(AC635,EOMONTH(출력_요약!$B$3,0))-MAX(AB635,출력_요약!$B$3)+1),0)</f>
        <v/>
      </c>
      <c r="AE635" s="10">
        <f>IF(AND(Q635&lt;&gt;"",ISNUMBER(AB635)),Q635&amp;"|다기관","")</f>
        <v/>
      </c>
    </row>
    <row r="636">
      <c r="A636" s="15">
        <f>IF(F636="","",ROW()-3)</f>
        <v/>
      </c>
      <c r="B636" s="5" t="n"/>
      <c r="C636" s="15" t="n"/>
      <c r="D636" s="5" t="n"/>
      <c r="E636" s="15" t="n"/>
      <c r="F636" s="5" t="n"/>
      <c r="G636" s="6" t="n"/>
      <c r="H636" s="16" t="n"/>
      <c r="I636" s="16" t="n"/>
      <c r="J636" s="15">
        <f>IF(AND(ISNUMBER(H636),ISNUMBER(I636)),I636-H636+1,"")</f>
        <v/>
      </c>
      <c r="K636" s="5" t="n"/>
      <c r="L636" s="5" t="n"/>
      <c r="M636" s="5" t="n"/>
      <c r="N636" s="5" t="n"/>
      <c r="O636" s="5" t="n"/>
      <c r="Q636" s="10">
        <f>IF(TRIM(G636&amp;"")="","",TRIM(G636&amp;""))</f>
        <v/>
      </c>
      <c r="R636" s="10">
        <f>IF(TRIM(B636&amp;"")="","",IFERROR(INDEX(설정_코드표!$K$2:$K$101,MATCH(TRIM(B636&amp;""),설정_코드표!$J$2:$J$101,0)),"⚠"&amp;TRIM(B636&amp;"")))</f>
        <v/>
      </c>
      <c r="S636" s="10">
        <f>IF(TRIM(K636&amp;"")="","",IFERROR(INDEX(설정_코드표!$K$2:$K$101,MATCH(TRIM(K636&amp;""),설정_코드표!$J$2:$J$101,0)),"⚠"&amp;TRIM(K636&amp;"")))</f>
        <v/>
      </c>
      <c r="T636" s="10">
        <f>IF(TRIM(M636&amp;"")="","",IF(ISNUMBER(MATCH(TRIM(M636&amp;""),설정_코드표!$C$2:$C$11,0)),TRIM(M636&amp;""),"⚠"&amp;TRIM(M636&amp;"")))</f>
        <v/>
      </c>
      <c r="U636" s="10">
        <f>IF(TRIM(L636&amp;"")="","",IFERROR(INDEX(설정_코드표!$G$2:$G$101,MATCH(TRIM(L636&amp;""),설정_코드표!$F$2:$F$101,0)),"⚠"&amp;TRIM(L636&amp;"")))</f>
        <v/>
      </c>
      <c r="V636" s="10">
        <f>IF(AND(ISNUMBER(H636),ISNUMBER(I636)),I636-H636+1,"")</f>
        <v/>
      </c>
      <c r="W636" s="17">
        <f>IF(ISNUMBER(H636),MAX(0,MIN(IF(ISNUMBER(I636),I636,EOMONTH(출력_요약!$B$3,0)),EOMONTH(출력_요약!$B$3,0))-MAX(H636,출력_요약!$B$3)+1),0)</f>
        <v/>
      </c>
      <c r="X636" s="10">
        <f>IF(OR(NOT(ISNUMBER(H636)),Q636=""),"",IF(TODAY()&lt;H636,"파견예정",IF(AND(ISNUMBER(I636),TODAY()&gt;I636),"파견종료","파견중")))</f>
        <v/>
      </c>
      <c r="Y636" s="10">
        <f>IF(OR(Q636="",X636=""),"",Q636&amp;"|"&amp;X636)</f>
        <v/>
      </c>
      <c r="Z636" s="10">
        <f>IF(AND(Q636&lt;&gt;"",W636&gt;0),Q636&amp;"|월","")</f>
        <v/>
      </c>
      <c r="AA636" s="10">
        <f>IF(COUNTA(B636:I636,K636:N636)=0,"",IF(Q636="","등록번호 없음",IF(LEFT(R636,1)="⚠","모병원명 미등록",IF(S636="","파견병원 입력",IF(LEFT(S636,1)="⚠","파견병원명 미등록",IF(LEFT(U636,1)="⚠","파견과목 미등록",IF(OR(T636="",LEFT(T636,1)="⚠"),"파견근거 확인",IF(NOT(AND(ISNUMBER(H636),ISNUMBER(I636))),"날짜 형식/누락",IF(I636&lt;H636,"종료일&lt;시작일","")))))))))</f>
        <v/>
      </c>
      <c r="AB636" s="11">
        <f>IF(ISNUMBER(SEARCH("다기관",TRIM(N636&amp;" "&amp;O636))),IFERROR(DATE(VALUE(MID(TRIM(N636&amp;" "&amp;O636),1,4)),VALUE(MID(TRIM(N636&amp;" "&amp;O636),6,2)),VALUE(MID(TRIM(N636&amp;" "&amp;O636),9,2))),IF(ISNUMBER(H636),H636,"")),"")</f>
        <v/>
      </c>
      <c r="AC636" s="11">
        <f>IF(ISNUMBER(SEARCH("다기관",TRIM(N636&amp;" "&amp;O636))),IFERROR(DATE(VALUE(MID(TRIM(N636&amp;" "&amp;O636),12,4)),VALUE(MID(TRIM(N636&amp;" "&amp;O636),17,2)),VALUE(MID(TRIM(N636&amp;" "&amp;O636),20,2))),IF(ISNUMBER(I636),I636,"")),"")</f>
        <v/>
      </c>
      <c r="AD636" s="17">
        <f>IF(AND(ISNUMBER(AB636),ISNUMBER(AC636)),MAX(0,MIN(AC636,EOMONTH(출력_요약!$B$3,0))-MAX(AB636,출력_요약!$B$3)+1),0)</f>
        <v/>
      </c>
      <c r="AE636" s="10">
        <f>IF(AND(Q636&lt;&gt;"",ISNUMBER(AB636)),Q636&amp;"|다기관","")</f>
        <v/>
      </c>
    </row>
    <row r="637">
      <c r="A637" s="15">
        <f>IF(F637="","",ROW()-3)</f>
        <v/>
      </c>
      <c r="B637" s="5" t="n"/>
      <c r="C637" s="15" t="n"/>
      <c r="D637" s="5" t="n"/>
      <c r="E637" s="15" t="n"/>
      <c r="F637" s="5" t="n"/>
      <c r="G637" s="6" t="n"/>
      <c r="H637" s="16" t="n"/>
      <c r="I637" s="16" t="n"/>
      <c r="J637" s="15">
        <f>IF(AND(ISNUMBER(H637),ISNUMBER(I637)),I637-H637+1,"")</f>
        <v/>
      </c>
      <c r="K637" s="5" t="n"/>
      <c r="L637" s="5" t="n"/>
      <c r="M637" s="5" t="n"/>
      <c r="N637" s="5" t="n"/>
      <c r="O637" s="5" t="n"/>
      <c r="Q637" s="10">
        <f>IF(TRIM(G637&amp;"")="","",TRIM(G637&amp;""))</f>
        <v/>
      </c>
      <c r="R637" s="10">
        <f>IF(TRIM(B637&amp;"")="","",IFERROR(INDEX(설정_코드표!$K$2:$K$101,MATCH(TRIM(B637&amp;""),설정_코드표!$J$2:$J$101,0)),"⚠"&amp;TRIM(B637&amp;"")))</f>
        <v/>
      </c>
      <c r="S637" s="10">
        <f>IF(TRIM(K637&amp;"")="","",IFERROR(INDEX(설정_코드표!$K$2:$K$101,MATCH(TRIM(K637&amp;""),설정_코드표!$J$2:$J$101,0)),"⚠"&amp;TRIM(K637&amp;"")))</f>
        <v/>
      </c>
      <c r="T637" s="10">
        <f>IF(TRIM(M637&amp;"")="","",IF(ISNUMBER(MATCH(TRIM(M637&amp;""),설정_코드표!$C$2:$C$11,0)),TRIM(M637&amp;""),"⚠"&amp;TRIM(M637&amp;"")))</f>
        <v/>
      </c>
      <c r="U637" s="10">
        <f>IF(TRIM(L637&amp;"")="","",IFERROR(INDEX(설정_코드표!$G$2:$G$101,MATCH(TRIM(L637&amp;""),설정_코드표!$F$2:$F$101,0)),"⚠"&amp;TRIM(L637&amp;"")))</f>
        <v/>
      </c>
      <c r="V637" s="10">
        <f>IF(AND(ISNUMBER(H637),ISNUMBER(I637)),I637-H637+1,"")</f>
        <v/>
      </c>
      <c r="W637" s="17">
        <f>IF(ISNUMBER(H637),MAX(0,MIN(IF(ISNUMBER(I637),I637,EOMONTH(출력_요약!$B$3,0)),EOMONTH(출력_요약!$B$3,0))-MAX(H637,출력_요약!$B$3)+1),0)</f>
        <v/>
      </c>
      <c r="X637" s="10">
        <f>IF(OR(NOT(ISNUMBER(H637)),Q637=""),"",IF(TODAY()&lt;H637,"파견예정",IF(AND(ISNUMBER(I637),TODAY()&gt;I637),"파견종료","파견중")))</f>
        <v/>
      </c>
      <c r="Y637" s="10">
        <f>IF(OR(Q637="",X637=""),"",Q637&amp;"|"&amp;X637)</f>
        <v/>
      </c>
      <c r="Z637" s="10">
        <f>IF(AND(Q637&lt;&gt;"",W637&gt;0),Q637&amp;"|월","")</f>
        <v/>
      </c>
      <c r="AA637" s="10">
        <f>IF(COUNTA(B637:I637,K637:N637)=0,"",IF(Q637="","등록번호 없음",IF(LEFT(R637,1)="⚠","모병원명 미등록",IF(S637="","파견병원 입력",IF(LEFT(S637,1)="⚠","파견병원명 미등록",IF(LEFT(U637,1)="⚠","파견과목 미등록",IF(OR(T637="",LEFT(T637,1)="⚠"),"파견근거 확인",IF(NOT(AND(ISNUMBER(H637),ISNUMBER(I637))),"날짜 형식/누락",IF(I637&lt;H637,"종료일&lt;시작일","")))))))))</f>
        <v/>
      </c>
      <c r="AB637" s="11">
        <f>IF(ISNUMBER(SEARCH("다기관",TRIM(N637&amp;" "&amp;O637))),IFERROR(DATE(VALUE(MID(TRIM(N637&amp;" "&amp;O637),1,4)),VALUE(MID(TRIM(N637&amp;" "&amp;O637),6,2)),VALUE(MID(TRIM(N637&amp;" "&amp;O637),9,2))),IF(ISNUMBER(H637),H637,"")),"")</f>
        <v/>
      </c>
      <c r="AC637" s="11">
        <f>IF(ISNUMBER(SEARCH("다기관",TRIM(N637&amp;" "&amp;O637))),IFERROR(DATE(VALUE(MID(TRIM(N637&amp;" "&amp;O637),12,4)),VALUE(MID(TRIM(N637&amp;" "&amp;O637),17,2)),VALUE(MID(TRIM(N637&amp;" "&amp;O637),20,2))),IF(ISNUMBER(I637),I637,"")),"")</f>
        <v/>
      </c>
      <c r="AD637" s="17">
        <f>IF(AND(ISNUMBER(AB637),ISNUMBER(AC637)),MAX(0,MIN(AC637,EOMONTH(출력_요약!$B$3,0))-MAX(AB637,출력_요약!$B$3)+1),0)</f>
        <v/>
      </c>
      <c r="AE637" s="10">
        <f>IF(AND(Q637&lt;&gt;"",ISNUMBER(AB637)),Q637&amp;"|다기관","")</f>
        <v/>
      </c>
    </row>
    <row r="638">
      <c r="A638" s="15">
        <f>IF(F638="","",ROW()-3)</f>
        <v/>
      </c>
      <c r="B638" s="5" t="n"/>
      <c r="C638" s="15" t="n"/>
      <c r="D638" s="5" t="n"/>
      <c r="E638" s="15" t="n"/>
      <c r="F638" s="5" t="n"/>
      <c r="G638" s="6" t="n"/>
      <c r="H638" s="16" t="n"/>
      <c r="I638" s="16" t="n"/>
      <c r="J638" s="15">
        <f>IF(AND(ISNUMBER(H638),ISNUMBER(I638)),I638-H638+1,"")</f>
        <v/>
      </c>
      <c r="K638" s="5" t="n"/>
      <c r="L638" s="5" t="n"/>
      <c r="M638" s="5" t="n"/>
      <c r="N638" s="5" t="n"/>
      <c r="O638" s="5" t="n"/>
      <c r="Q638" s="10">
        <f>IF(TRIM(G638&amp;"")="","",TRIM(G638&amp;""))</f>
        <v/>
      </c>
      <c r="R638" s="10">
        <f>IF(TRIM(B638&amp;"")="","",IFERROR(INDEX(설정_코드표!$K$2:$K$101,MATCH(TRIM(B638&amp;""),설정_코드표!$J$2:$J$101,0)),"⚠"&amp;TRIM(B638&amp;"")))</f>
        <v/>
      </c>
      <c r="S638" s="10">
        <f>IF(TRIM(K638&amp;"")="","",IFERROR(INDEX(설정_코드표!$K$2:$K$101,MATCH(TRIM(K638&amp;""),설정_코드표!$J$2:$J$101,0)),"⚠"&amp;TRIM(K638&amp;"")))</f>
        <v/>
      </c>
      <c r="T638" s="10">
        <f>IF(TRIM(M638&amp;"")="","",IF(ISNUMBER(MATCH(TRIM(M638&amp;""),설정_코드표!$C$2:$C$11,0)),TRIM(M638&amp;""),"⚠"&amp;TRIM(M638&amp;"")))</f>
        <v/>
      </c>
      <c r="U638" s="10">
        <f>IF(TRIM(L638&amp;"")="","",IFERROR(INDEX(설정_코드표!$G$2:$G$101,MATCH(TRIM(L638&amp;""),설정_코드표!$F$2:$F$101,0)),"⚠"&amp;TRIM(L638&amp;"")))</f>
        <v/>
      </c>
      <c r="V638" s="10">
        <f>IF(AND(ISNUMBER(H638),ISNUMBER(I638)),I638-H638+1,"")</f>
        <v/>
      </c>
      <c r="W638" s="17">
        <f>IF(ISNUMBER(H638),MAX(0,MIN(IF(ISNUMBER(I638),I638,EOMONTH(출력_요약!$B$3,0)),EOMONTH(출력_요약!$B$3,0))-MAX(H638,출력_요약!$B$3)+1),0)</f>
        <v/>
      </c>
      <c r="X638" s="10">
        <f>IF(OR(NOT(ISNUMBER(H638)),Q638=""),"",IF(TODAY()&lt;H638,"파견예정",IF(AND(ISNUMBER(I638),TODAY()&gt;I638),"파견종료","파견중")))</f>
        <v/>
      </c>
      <c r="Y638" s="10">
        <f>IF(OR(Q638="",X638=""),"",Q638&amp;"|"&amp;X638)</f>
        <v/>
      </c>
      <c r="Z638" s="10">
        <f>IF(AND(Q638&lt;&gt;"",W638&gt;0),Q638&amp;"|월","")</f>
        <v/>
      </c>
      <c r="AA638" s="10">
        <f>IF(COUNTA(B638:I638,K638:N638)=0,"",IF(Q638="","등록번호 없음",IF(LEFT(R638,1)="⚠","모병원명 미등록",IF(S638="","파견병원 입력",IF(LEFT(S638,1)="⚠","파견병원명 미등록",IF(LEFT(U638,1)="⚠","파견과목 미등록",IF(OR(T638="",LEFT(T638,1)="⚠"),"파견근거 확인",IF(NOT(AND(ISNUMBER(H638),ISNUMBER(I638))),"날짜 형식/누락",IF(I638&lt;H638,"종료일&lt;시작일","")))))))))</f>
        <v/>
      </c>
      <c r="AB638" s="11">
        <f>IF(ISNUMBER(SEARCH("다기관",TRIM(N638&amp;" "&amp;O638))),IFERROR(DATE(VALUE(MID(TRIM(N638&amp;" "&amp;O638),1,4)),VALUE(MID(TRIM(N638&amp;" "&amp;O638),6,2)),VALUE(MID(TRIM(N638&amp;" "&amp;O638),9,2))),IF(ISNUMBER(H638),H638,"")),"")</f>
        <v/>
      </c>
      <c r="AC638" s="11">
        <f>IF(ISNUMBER(SEARCH("다기관",TRIM(N638&amp;" "&amp;O638))),IFERROR(DATE(VALUE(MID(TRIM(N638&amp;" "&amp;O638),12,4)),VALUE(MID(TRIM(N638&amp;" "&amp;O638),17,2)),VALUE(MID(TRIM(N638&amp;" "&amp;O638),20,2))),IF(ISNUMBER(I638),I638,"")),"")</f>
        <v/>
      </c>
      <c r="AD638" s="17">
        <f>IF(AND(ISNUMBER(AB638),ISNUMBER(AC638)),MAX(0,MIN(AC638,EOMONTH(출력_요약!$B$3,0))-MAX(AB638,출력_요약!$B$3)+1),0)</f>
        <v/>
      </c>
      <c r="AE638" s="10">
        <f>IF(AND(Q638&lt;&gt;"",ISNUMBER(AB638)),Q638&amp;"|다기관","")</f>
        <v/>
      </c>
    </row>
    <row r="639">
      <c r="A639" s="15">
        <f>IF(F639="","",ROW()-3)</f>
        <v/>
      </c>
      <c r="B639" s="5" t="n"/>
      <c r="C639" s="15" t="n"/>
      <c r="D639" s="5" t="n"/>
      <c r="E639" s="15" t="n"/>
      <c r="F639" s="5" t="n"/>
      <c r="G639" s="6" t="n"/>
      <c r="H639" s="16" t="n"/>
      <c r="I639" s="16" t="n"/>
      <c r="J639" s="15">
        <f>IF(AND(ISNUMBER(H639),ISNUMBER(I639)),I639-H639+1,"")</f>
        <v/>
      </c>
      <c r="K639" s="5" t="n"/>
      <c r="L639" s="5" t="n"/>
      <c r="M639" s="5" t="n"/>
      <c r="N639" s="5" t="n"/>
      <c r="O639" s="5" t="n"/>
      <c r="Q639" s="10">
        <f>IF(TRIM(G639&amp;"")="","",TRIM(G639&amp;""))</f>
        <v/>
      </c>
      <c r="R639" s="10">
        <f>IF(TRIM(B639&amp;"")="","",IFERROR(INDEX(설정_코드표!$K$2:$K$101,MATCH(TRIM(B639&amp;""),설정_코드표!$J$2:$J$101,0)),"⚠"&amp;TRIM(B639&amp;"")))</f>
        <v/>
      </c>
      <c r="S639" s="10">
        <f>IF(TRIM(K639&amp;"")="","",IFERROR(INDEX(설정_코드표!$K$2:$K$101,MATCH(TRIM(K639&amp;""),설정_코드표!$J$2:$J$101,0)),"⚠"&amp;TRIM(K639&amp;"")))</f>
        <v/>
      </c>
      <c r="T639" s="10">
        <f>IF(TRIM(M639&amp;"")="","",IF(ISNUMBER(MATCH(TRIM(M639&amp;""),설정_코드표!$C$2:$C$11,0)),TRIM(M639&amp;""),"⚠"&amp;TRIM(M639&amp;"")))</f>
        <v/>
      </c>
      <c r="U639" s="10">
        <f>IF(TRIM(L639&amp;"")="","",IFERROR(INDEX(설정_코드표!$G$2:$G$101,MATCH(TRIM(L639&amp;""),설정_코드표!$F$2:$F$101,0)),"⚠"&amp;TRIM(L639&amp;"")))</f>
        <v/>
      </c>
      <c r="V639" s="10">
        <f>IF(AND(ISNUMBER(H639),ISNUMBER(I639)),I639-H639+1,"")</f>
        <v/>
      </c>
      <c r="W639" s="17">
        <f>IF(ISNUMBER(H639),MAX(0,MIN(IF(ISNUMBER(I639),I639,EOMONTH(출력_요약!$B$3,0)),EOMONTH(출력_요약!$B$3,0))-MAX(H639,출력_요약!$B$3)+1),0)</f>
        <v/>
      </c>
      <c r="X639" s="10">
        <f>IF(OR(NOT(ISNUMBER(H639)),Q639=""),"",IF(TODAY()&lt;H639,"파견예정",IF(AND(ISNUMBER(I639),TODAY()&gt;I639),"파견종료","파견중")))</f>
        <v/>
      </c>
      <c r="Y639" s="10">
        <f>IF(OR(Q639="",X639=""),"",Q639&amp;"|"&amp;X639)</f>
        <v/>
      </c>
      <c r="Z639" s="10">
        <f>IF(AND(Q639&lt;&gt;"",W639&gt;0),Q639&amp;"|월","")</f>
        <v/>
      </c>
      <c r="AA639" s="10">
        <f>IF(COUNTA(B639:I639,K639:N639)=0,"",IF(Q639="","등록번호 없음",IF(LEFT(R639,1)="⚠","모병원명 미등록",IF(S639="","파견병원 입력",IF(LEFT(S639,1)="⚠","파견병원명 미등록",IF(LEFT(U639,1)="⚠","파견과목 미등록",IF(OR(T639="",LEFT(T639,1)="⚠"),"파견근거 확인",IF(NOT(AND(ISNUMBER(H639),ISNUMBER(I639))),"날짜 형식/누락",IF(I639&lt;H639,"종료일&lt;시작일","")))))))))</f>
        <v/>
      </c>
      <c r="AB639" s="11">
        <f>IF(ISNUMBER(SEARCH("다기관",TRIM(N639&amp;" "&amp;O639))),IFERROR(DATE(VALUE(MID(TRIM(N639&amp;" "&amp;O639),1,4)),VALUE(MID(TRIM(N639&amp;" "&amp;O639),6,2)),VALUE(MID(TRIM(N639&amp;" "&amp;O639),9,2))),IF(ISNUMBER(H639),H639,"")),"")</f>
        <v/>
      </c>
      <c r="AC639" s="11">
        <f>IF(ISNUMBER(SEARCH("다기관",TRIM(N639&amp;" "&amp;O639))),IFERROR(DATE(VALUE(MID(TRIM(N639&amp;" "&amp;O639),12,4)),VALUE(MID(TRIM(N639&amp;" "&amp;O639),17,2)),VALUE(MID(TRIM(N639&amp;" "&amp;O639),20,2))),IF(ISNUMBER(I639),I639,"")),"")</f>
        <v/>
      </c>
      <c r="AD639" s="17">
        <f>IF(AND(ISNUMBER(AB639),ISNUMBER(AC639)),MAX(0,MIN(AC639,EOMONTH(출력_요약!$B$3,0))-MAX(AB639,출력_요약!$B$3)+1),0)</f>
        <v/>
      </c>
      <c r="AE639" s="10">
        <f>IF(AND(Q639&lt;&gt;"",ISNUMBER(AB639)),Q639&amp;"|다기관","")</f>
        <v/>
      </c>
    </row>
    <row r="640">
      <c r="A640" s="15">
        <f>IF(F640="","",ROW()-3)</f>
        <v/>
      </c>
      <c r="B640" s="5" t="n"/>
      <c r="C640" s="15" t="n"/>
      <c r="D640" s="5" t="n"/>
      <c r="E640" s="15" t="n"/>
      <c r="F640" s="5" t="n"/>
      <c r="G640" s="6" t="n"/>
      <c r="H640" s="16" t="n"/>
      <c r="I640" s="16" t="n"/>
      <c r="J640" s="15">
        <f>IF(AND(ISNUMBER(H640),ISNUMBER(I640)),I640-H640+1,"")</f>
        <v/>
      </c>
      <c r="K640" s="5" t="n"/>
      <c r="L640" s="5" t="n"/>
      <c r="M640" s="5" t="n"/>
      <c r="N640" s="5" t="n"/>
      <c r="O640" s="5" t="n"/>
      <c r="Q640" s="10">
        <f>IF(TRIM(G640&amp;"")="","",TRIM(G640&amp;""))</f>
        <v/>
      </c>
      <c r="R640" s="10">
        <f>IF(TRIM(B640&amp;"")="","",IFERROR(INDEX(설정_코드표!$K$2:$K$101,MATCH(TRIM(B640&amp;""),설정_코드표!$J$2:$J$101,0)),"⚠"&amp;TRIM(B640&amp;"")))</f>
        <v/>
      </c>
      <c r="S640" s="10">
        <f>IF(TRIM(K640&amp;"")="","",IFERROR(INDEX(설정_코드표!$K$2:$K$101,MATCH(TRIM(K640&amp;""),설정_코드표!$J$2:$J$101,0)),"⚠"&amp;TRIM(K640&amp;"")))</f>
        <v/>
      </c>
      <c r="T640" s="10">
        <f>IF(TRIM(M640&amp;"")="","",IF(ISNUMBER(MATCH(TRIM(M640&amp;""),설정_코드표!$C$2:$C$11,0)),TRIM(M640&amp;""),"⚠"&amp;TRIM(M640&amp;"")))</f>
        <v/>
      </c>
      <c r="U640" s="10">
        <f>IF(TRIM(L640&amp;"")="","",IFERROR(INDEX(설정_코드표!$G$2:$G$101,MATCH(TRIM(L640&amp;""),설정_코드표!$F$2:$F$101,0)),"⚠"&amp;TRIM(L640&amp;"")))</f>
        <v/>
      </c>
      <c r="V640" s="10">
        <f>IF(AND(ISNUMBER(H640),ISNUMBER(I640)),I640-H640+1,"")</f>
        <v/>
      </c>
      <c r="W640" s="17">
        <f>IF(ISNUMBER(H640),MAX(0,MIN(IF(ISNUMBER(I640),I640,EOMONTH(출력_요약!$B$3,0)),EOMONTH(출력_요약!$B$3,0))-MAX(H640,출력_요약!$B$3)+1),0)</f>
        <v/>
      </c>
      <c r="X640" s="10">
        <f>IF(OR(NOT(ISNUMBER(H640)),Q640=""),"",IF(TODAY()&lt;H640,"파견예정",IF(AND(ISNUMBER(I640),TODAY()&gt;I640),"파견종료","파견중")))</f>
        <v/>
      </c>
      <c r="Y640" s="10">
        <f>IF(OR(Q640="",X640=""),"",Q640&amp;"|"&amp;X640)</f>
        <v/>
      </c>
      <c r="Z640" s="10">
        <f>IF(AND(Q640&lt;&gt;"",W640&gt;0),Q640&amp;"|월","")</f>
        <v/>
      </c>
      <c r="AA640" s="10">
        <f>IF(COUNTA(B640:I640,K640:N640)=0,"",IF(Q640="","등록번호 없음",IF(LEFT(R640,1)="⚠","모병원명 미등록",IF(S640="","파견병원 입력",IF(LEFT(S640,1)="⚠","파견병원명 미등록",IF(LEFT(U640,1)="⚠","파견과목 미등록",IF(OR(T640="",LEFT(T640,1)="⚠"),"파견근거 확인",IF(NOT(AND(ISNUMBER(H640),ISNUMBER(I640))),"날짜 형식/누락",IF(I640&lt;H640,"종료일&lt;시작일","")))))))))</f>
        <v/>
      </c>
      <c r="AB640" s="11">
        <f>IF(ISNUMBER(SEARCH("다기관",TRIM(N640&amp;" "&amp;O640))),IFERROR(DATE(VALUE(MID(TRIM(N640&amp;" "&amp;O640),1,4)),VALUE(MID(TRIM(N640&amp;" "&amp;O640),6,2)),VALUE(MID(TRIM(N640&amp;" "&amp;O640),9,2))),IF(ISNUMBER(H640),H640,"")),"")</f>
        <v/>
      </c>
      <c r="AC640" s="11">
        <f>IF(ISNUMBER(SEARCH("다기관",TRIM(N640&amp;" "&amp;O640))),IFERROR(DATE(VALUE(MID(TRIM(N640&amp;" "&amp;O640),12,4)),VALUE(MID(TRIM(N640&amp;" "&amp;O640),17,2)),VALUE(MID(TRIM(N640&amp;" "&amp;O640),20,2))),IF(ISNUMBER(I640),I640,"")),"")</f>
        <v/>
      </c>
      <c r="AD640" s="17">
        <f>IF(AND(ISNUMBER(AB640),ISNUMBER(AC640)),MAX(0,MIN(AC640,EOMONTH(출력_요약!$B$3,0))-MAX(AB640,출력_요약!$B$3)+1),0)</f>
        <v/>
      </c>
      <c r="AE640" s="10">
        <f>IF(AND(Q640&lt;&gt;"",ISNUMBER(AB640)),Q640&amp;"|다기관","")</f>
        <v/>
      </c>
    </row>
    <row r="641">
      <c r="A641" s="15">
        <f>IF(F641="","",ROW()-3)</f>
        <v/>
      </c>
      <c r="B641" s="5" t="n"/>
      <c r="C641" s="15" t="n"/>
      <c r="D641" s="5" t="n"/>
      <c r="E641" s="15" t="n"/>
      <c r="F641" s="5" t="n"/>
      <c r="G641" s="6" t="n"/>
      <c r="H641" s="16" t="n"/>
      <c r="I641" s="16" t="n"/>
      <c r="J641" s="15">
        <f>IF(AND(ISNUMBER(H641),ISNUMBER(I641)),I641-H641+1,"")</f>
        <v/>
      </c>
      <c r="K641" s="5" t="n"/>
      <c r="L641" s="5" t="n"/>
      <c r="M641" s="5" t="n"/>
      <c r="N641" s="5" t="n"/>
      <c r="O641" s="5" t="n"/>
      <c r="Q641" s="10">
        <f>IF(TRIM(G641&amp;"")="","",TRIM(G641&amp;""))</f>
        <v/>
      </c>
      <c r="R641" s="10">
        <f>IF(TRIM(B641&amp;"")="","",IFERROR(INDEX(설정_코드표!$K$2:$K$101,MATCH(TRIM(B641&amp;""),설정_코드표!$J$2:$J$101,0)),"⚠"&amp;TRIM(B641&amp;"")))</f>
        <v/>
      </c>
      <c r="S641" s="10">
        <f>IF(TRIM(K641&amp;"")="","",IFERROR(INDEX(설정_코드표!$K$2:$K$101,MATCH(TRIM(K641&amp;""),설정_코드표!$J$2:$J$101,0)),"⚠"&amp;TRIM(K641&amp;"")))</f>
        <v/>
      </c>
      <c r="T641" s="10">
        <f>IF(TRIM(M641&amp;"")="","",IF(ISNUMBER(MATCH(TRIM(M641&amp;""),설정_코드표!$C$2:$C$11,0)),TRIM(M641&amp;""),"⚠"&amp;TRIM(M641&amp;"")))</f>
        <v/>
      </c>
      <c r="U641" s="10">
        <f>IF(TRIM(L641&amp;"")="","",IFERROR(INDEX(설정_코드표!$G$2:$G$101,MATCH(TRIM(L641&amp;""),설정_코드표!$F$2:$F$101,0)),"⚠"&amp;TRIM(L641&amp;"")))</f>
        <v/>
      </c>
      <c r="V641" s="10">
        <f>IF(AND(ISNUMBER(H641),ISNUMBER(I641)),I641-H641+1,"")</f>
        <v/>
      </c>
      <c r="W641" s="17">
        <f>IF(ISNUMBER(H641),MAX(0,MIN(IF(ISNUMBER(I641),I641,EOMONTH(출력_요약!$B$3,0)),EOMONTH(출력_요약!$B$3,0))-MAX(H641,출력_요약!$B$3)+1),0)</f>
        <v/>
      </c>
      <c r="X641" s="10">
        <f>IF(OR(NOT(ISNUMBER(H641)),Q641=""),"",IF(TODAY()&lt;H641,"파견예정",IF(AND(ISNUMBER(I641),TODAY()&gt;I641),"파견종료","파견중")))</f>
        <v/>
      </c>
      <c r="Y641" s="10">
        <f>IF(OR(Q641="",X641=""),"",Q641&amp;"|"&amp;X641)</f>
        <v/>
      </c>
      <c r="Z641" s="10">
        <f>IF(AND(Q641&lt;&gt;"",W641&gt;0),Q641&amp;"|월","")</f>
        <v/>
      </c>
      <c r="AA641" s="10">
        <f>IF(COUNTA(B641:I641,K641:N641)=0,"",IF(Q641="","등록번호 없음",IF(LEFT(R641,1)="⚠","모병원명 미등록",IF(S641="","파견병원 입력",IF(LEFT(S641,1)="⚠","파견병원명 미등록",IF(LEFT(U641,1)="⚠","파견과목 미등록",IF(OR(T641="",LEFT(T641,1)="⚠"),"파견근거 확인",IF(NOT(AND(ISNUMBER(H641),ISNUMBER(I641))),"날짜 형식/누락",IF(I641&lt;H641,"종료일&lt;시작일","")))))))))</f>
        <v/>
      </c>
      <c r="AB641" s="11">
        <f>IF(ISNUMBER(SEARCH("다기관",TRIM(N641&amp;" "&amp;O641))),IFERROR(DATE(VALUE(MID(TRIM(N641&amp;" "&amp;O641),1,4)),VALUE(MID(TRIM(N641&amp;" "&amp;O641),6,2)),VALUE(MID(TRIM(N641&amp;" "&amp;O641),9,2))),IF(ISNUMBER(H641),H641,"")),"")</f>
        <v/>
      </c>
      <c r="AC641" s="11">
        <f>IF(ISNUMBER(SEARCH("다기관",TRIM(N641&amp;" "&amp;O641))),IFERROR(DATE(VALUE(MID(TRIM(N641&amp;" "&amp;O641),12,4)),VALUE(MID(TRIM(N641&amp;" "&amp;O641),17,2)),VALUE(MID(TRIM(N641&amp;" "&amp;O641),20,2))),IF(ISNUMBER(I641),I641,"")),"")</f>
        <v/>
      </c>
      <c r="AD641" s="17">
        <f>IF(AND(ISNUMBER(AB641),ISNUMBER(AC641)),MAX(0,MIN(AC641,EOMONTH(출력_요약!$B$3,0))-MAX(AB641,출력_요약!$B$3)+1),0)</f>
        <v/>
      </c>
      <c r="AE641" s="10">
        <f>IF(AND(Q641&lt;&gt;"",ISNUMBER(AB641)),Q641&amp;"|다기관","")</f>
        <v/>
      </c>
    </row>
    <row r="642">
      <c r="A642" s="15">
        <f>IF(F642="","",ROW()-3)</f>
        <v/>
      </c>
      <c r="B642" s="5" t="n"/>
      <c r="C642" s="15" t="n"/>
      <c r="D642" s="5" t="n"/>
      <c r="E642" s="15" t="n"/>
      <c r="F642" s="5" t="n"/>
      <c r="G642" s="6" t="n"/>
      <c r="H642" s="16" t="n"/>
      <c r="I642" s="16" t="n"/>
      <c r="J642" s="15">
        <f>IF(AND(ISNUMBER(H642),ISNUMBER(I642)),I642-H642+1,"")</f>
        <v/>
      </c>
      <c r="K642" s="5" t="n"/>
      <c r="L642" s="5" t="n"/>
      <c r="M642" s="5" t="n"/>
      <c r="N642" s="5" t="n"/>
      <c r="O642" s="5" t="n"/>
      <c r="Q642" s="10">
        <f>IF(TRIM(G642&amp;"")="","",TRIM(G642&amp;""))</f>
        <v/>
      </c>
      <c r="R642" s="10">
        <f>IF(TRIM(B642&amp;"")="","",IFERROR(INDEX(설정_코드표!$K$2:$K$101,MATCH(TRIM(B642&amp;""),설정_코드표!$J$2:$J$101,0)),"⚠"&amp;TRIM(B642&amp;"")))</f>
        <v/>
      </c>
      <c r="S642" s="10">
        <f>IF(TRIM(K642&amp;"")="","",IFERROR(INDEX(설정_코드표!$K$2:$K$101,MATCH(TRIM(K642&amp;""),설정_코드표!$J$2:$J$101,0)),"⚠"&amp;TRIM(K642&amp;"")))</f>
        <v/>
      </c>
      <c r="T642" s="10">
        <f>IF(TRIM(M642&amp;"")="","",IF(ISNUMBER(MATCH(TRIM(M642&amp;""),설정_코드표!$C$2:$C$11,0)),TRIM(M642&amp;""),"⚠"&amp;TRIM(M642&amp;"")))</f>
        <v/>
      </c>
      <c r="U642" s="10">
        <f>IF(TRIM(L642&amp;"")="","",IFERROR(INDEX(설정_코드표!$G$2:$G$101,MATCH(TRIM(L642&amp;""),설정_코드표!$F$2:$F$101,0)),"⚠"&amp;TRIM(L642&amp;"")))</f>
        <v/>
      </c>
      <c r="V642" s="10">
        <f>IF(AND(ISNUMBER(H642),ISNUMBER(I642)),I642-H642+1,"")</f>
        <v/>
      </c>
      <c r="W642" s="17">
        <f>IF(ISNUMBER(H642),MAX(0,MIN(IF(ISNUMBER(I642),I642,EOMONTH(출력_요약!$B$3,0)),EOMONTH(출력_요약!$B$3,0))-MAX(H642,출력_요약!$B$3)+1),0)</f>
        <v/>
      </c>
      <c r="X642" s="10">
        <f>IF(OR(NOT(ISNUMBER(H642)),Q642=""),"",IF(TODAY()&lt;H642,"파견예정",IF(AND(ISNUMBER(I642),TODAY()&gt;I642),"파견종료","파견중")))</f>
        <v/>
      </c>
      <c r="Y642" s="10">
        <f>IF(OR(Q642="",X642=""),"",Q642&amp;"|"&amp;X642)</f>
        <v/>
      </c>
      <c r="Z642" s="10">
        <f>IF(AND(Q642&lt;&gt;"",W642&gt;0),Q642&amp;"|월","")</f>
        <v/>
      </c>
      <c r="AA642" s="10">
        <f>IF(COUNTA(B642:I642,K642:N642)=0,"",IF(Q642="","등록번호 없음",IF(LEFT(R642,1)="⚠","모병원명 미등록",IF(S642="","파견병원 입력",IF(LEFT(S642,1)="⚠","파견병원명 미등록",IF(LEFT(U642,1)="⚠","파견과목 미등록",IF(OR(T642="",LEFT(T642,1)="⚠"),"파견근거 확인",IF(NOT(AND(ISNUMBER(H642),ISNUMBER(I642))),"날짜 형식/누락",IF(I642&lt;H642,"종료일&lt;시작일","")))))))))</f>
        <v/>
      </c>
      <c r="AB642" s="11">
        <f>IF(ISNUMBER(SEARCH("다기관",TRIM(N642&amp;" "&amp;O642))),IFERROR(DATE(VALUE(MID(TRIM(N642&amp;" "&amp;O642),1,4)),VALUE(MID(TRIM(N642&amp;" "&amp;O642),6,2)),VALUE(MID(TRIM(N642&amp;" "&amp;O642),9,2))),IF(ISNUMBER(H642),H642,"")),"")</f>
        <v/>
      </c>
      <c r="AC642" s="11">
        <f>IF(ISNUMBER(SEARCH("다기관",TRIM(N642&amp;" "&amp;O642))),IFERROR(DATE(VALUE(MID(TRIM(N642&amp;" "&amp;O642),12,4)),VALUE(MID(TRIM(N642&amp;" "&amp;O642),17,2)),VALUE(MID(TRIM(N642&amp;" "&amp;O642),20,2))),IF(ISNUMBER(I642),I642,"")),"")</f>
        <v/>
      </c>
      <c r="AD642" s="17">
        <f>IF(AND(ISNUMBER(AB642),ISNUMBER(AC642)),MAX(0,MIN(AC642,EOMONTH(출력_요약!$B$3,0))-MAX(AB642,출력_요약!$B$3)+1),0)</f>
        <v/>
      </c>
      <c r="AE642" s="10">
        <f>IF(AND(Q642&lt;&gt;"",ISNUMBER(AB642)),Q642&amp;"|다기관","")</f>
        <v/>
      </c>
    </row>
    <row r="643">
      <c r="A643" s="15">
        <f>IF(F643="","",ROW()-3)</f>
        <v/>
      </c>
      <c r="B643" s="5" t="n"/>
      <c r="C643" s="15" t="n"/>
      <c r="D643" s="5" t="n"/>
      <c r="E643" s="15" t="n"/>
      <c r="F643" s="5" t="n"/>
      <c r="G643" s="6" t="n"/>
      <c r="H643" s="16" t="n"/>
      <c r="I643" s="16" t="n"/>
      <c r="J643" s="15">
        <f>IF(AND(ISNUMBER(H643),ISNUMBER(I643)),I643-H643+1,"")</f>
        <v/>
      </c>
      <c r="K643" s="5" t="n"/>
      <c r="L643" s="5" t="n"/>
      <c r="M643" s="5" t="n"/>
      <c r="N643" s="5" t="n"/>
      <c r="O643" s="5" t="n"/>
      <c r="Q643" s="10">
        <f>IF(TRIM(G643&amp;"")="","",TRIM(G643&amp;""))</f>
        <v/>
      </c>
      <c r="R643" s="10">
        <f>IF(TRIM(B643&amp;"")="","",IFERROR(INDEX(설정_코드표!$K$2:$K$101,MATCH(TRIM(B643&amp;""),설정_코드표!$J$2:$J$101,0)),"⚠"&amp;TRIM(B643&amp;"")))</f>
        <v/>
      </c>
      <c r="S643" s="10">
        <f>IF(TRIM(K643&amp;"")="","",IFERROR(INDEX(설정_코드표!$K$2:$K$101,MATCH(TRIM(K643&amp;""),설정_코드표!$J$2:$J$101,0)),"⚠"&amp;TRIM(K643&amp;"")))</f>
        <v/>
      </c>
      <c r="T643" s="10">
        <f>IF(TRIM(M643&amp;"")="","",IF(ISNUMBER(MATCH(TRIM(M643&amp;""),설정_코드표!$C$2:$C$11,0)),TRIM(M643&amp;""),"⚠"&amp;TRIM(M643&amp;"")))</f>
        <v/>
      </c>
      <c r="U643" s="10">
        <f>IF(TRIM(L643&amp;"")="","",IFERROR(INDEX(설정_코드표!$G$2:$G$101,MATCH(TRIM(L643&amp;""),설정_코드표!$F$2:$F$101,0)),"⚠"&amp;TRIM(L643&amp;"")))</f>
        <v/>
      </c>
      <c r="V643" s="10">
        <f>IF(AND(ISNUMBER(H643),ISNUMBER(I643)),I643-H643+1,"")</f>
        <v/>
      </c>
      <c r="W643" s="17">
        <f>IF(ISNUMBER(H643),MAX(0,MIN(IF(ISNUMBER(I643),I643,EOMONTH(출력_요약!$B$3,0)),EOMONTH(출력_요약!$B$3,0))-MAX(H643,출력_요약!$B$3)+1),0)</f>
        <v/>
      </c>
      <c r="X643" s="10">
        <f>IF(OR(NOT(ISNUMBER(H643)),Q643=""),"",IF(TODAY()&lt;H643,"파견예정",IF(AND(ISNUMBER(I643),TODAY()&gt;I643),"파견종료","파견중")))</f>
        <v/>
      </c>
      <c r="Y643" s="10">
        <f>IF(OR(Q643="",X643=""),"",Q643&amp;"|"&amp;X643)</f>
        <v/>
      </c>
      <c r="Z643" s="10">
        <f>IF(AND(Q643&lt;&gt;"",W643&gt;0),Q643&amp;"|월","")</f>
        <v/>
      </c>
      <c r="AA643" s="10">
        <f>IF(COUNTA(B643:I643,K643:N643)=0,"",IF(Q643="","등록번호 없음",IF(LEFT(R643,1)="⚠","모병원명 미등록",IF(S643="","파견병원 입력",IF(LEFT(S643,1)="⚠","파견병원명 미등록",IF(LEFT(U643,1)="⚠","파견과목 미등록",IF(OR(T643="",LEFT(T643,1)="⚠"),"파견근거 확인",IF(NOT(AND(ISNUMBER(H643),ISNUMBER(I643))),"날짜 형식/누락",IF(I643&lt;H643,"종료일&lt;시작일","")))))))))</f>
        <v/>
      </c>
      <c r="AB643" s="11">
        <f>IF(ISNUMBER(SEARCH("다기관",TRIM(N643&amp;" "&amp;O643))),IFERROR(DATE(VALUE(MID(TRIM(N643&amp;" "&amp;O643),1,4)),VALUE(MID(TRIM(N643&amp;" "&amp;O643),6,2)),VALUE(MID(TRIM(N643&amp;" "&amp;O643),9,2))),IF(ISNUMBER(H643),H643,"")),"")</f>
        <v/>
      </c>
      <c r="AC643" s="11">
        <f>IF(ISNUMBER(SEARCH("다기관",TRIM(N643&amp;" "&amp;O643))),IFERROR(DATE(VALUE(MID(TRIM(N643&amp;" "&amp;O643),12,4)),VALUE(MID(TRIM(N643&amp;" "&amp;O643),17,2)),VALUE(MID(TRIM(N643&amp;" "&amp;O643),20,2))),IF(ISNUMBER(I643),I643,"")),"")</f>
        <v/>
      </c>
      <c r="AD643" s="17">
        <f>IF(AND(ISNUMBER(AB643),ISNUMBER(AC643)),MAX(0,MIN(AC643,EOMONTH(출력_요약!$B$3,0))-MAX(AB643,출력_요약!$B$3)+1),0)</f>
        <v/>
      </c>
      <c r="AE643" s="10">
        <f>IF(AND(Q643&lt;&gt;"",ISNUMBER(AB643)),Q643&amp;"|다기관","")</f>
        <v/>
      </c>
    </row>
    <row r="644">
      <c r="A644" s="15">
        <f>IF(F644="","",ROW()-3)</f>
        <v/>
      </c>
      <c r="B644" s="5" t="n"/>
      <c r="C644" s="15" t="n"/>
      <c r="D644" s="5" t="n"/>
      <c r="E644" s="15" t="n"/>
      <c r="F644" s="5" t="n"/>
      <c r="G644" s="6" t="n"/>
      <c r="H644" s="16" t="n"/>
      <c r="I644" s="16" t="n"/>
      <c r="J644" s="15">
        <f>IF(AND(ISNUMBER(H644),ISNUMBER(I644)),I644-H644+1,"")</f>
        <v/>
      </c>
      <c r="K644" s="5" t="n"/>
      <c r="L644" s="5" t="n"/>
      <c r="M644" s="5" t="n"/>
      <c r="N644" s="5" t="n"/>
      <c r="O644" s="5" t="n"/>
      <c r="Q644" s="10">
        <f>IF(TRIM(G644&amp;"")="","",TRIM(G644&amp;""))</f>
        <v/>
      </c>
      <c r="R644" s="10">
        <f>IF(TRIM(B644&amp;"")="","",IFERROR(INDEX(설정_코드표!$K$2:$K$101,MATCH(TRIM(B644&amp;""),설정_코드표!$J$2:$J$101,0)),"⚠"&amp;TRIM(B644&amp;"")))</f>
        <v/>
      </c>
      <c r="S644" s="10">
        <f>IF(TRIM(K644&amp;"")="","",IFERROR(INDEX(설정_코드표!$K$2:$K$101,MATCH(TRIM(K644&amp;""),설정_코드표!$J$2:$J$101,0)),"⚠"&amp;TRIM(K644&amp;"")))</f>
        <v/>
      </c>
      <c r="T644" s="10">
        <f>IF(TRIM(M644&amp;"")="","",IF(ISNUMBER(MATCH(TRIM(M644&amp;""),설정_코드표!$C$2:$C$11,0)),TRIM(M644&amp;""),"⚠"&amp;TRIM(M644&amp;"")))</f>
        <v/>
      </c>
      <c r="U644" s="10">
        <f>IF(TRIM(L644&amp;"")="","",IFERROR(INDEX(설정_코드표!$G$2:$G$101,MATCH(TRIM(L644&amp;""),설정_코드표!$F$2:$F$101,0)),"⚠"&amp;TRIM(L644&amp;"")))</f>
        <v/>
      </c>
      <c r="V644" s="10">
        <f>IF(AND(ISNUMBER(H644),ISNUMBER(I644)),I644-H644+1,"")</f>
        <v/>
      </c>
      <c r="W644" s="17">
        <f>IF(ISNUMBER(H644),MAX(0,MIN(IF(ISNUMBER(I644),I644,EOMONTH(출력_요약!$B$3,0)),EOMONTH(출력_요약!$B$3,0))-MAX(H644,출력_요약!$B$3)+1),0)</f>
        <v/>
      </c>
      <c r="X644" s="10">
        <f>IF(OR(NOT(ISNUMBER(H644)),Q644=""),"",IF(TODAY()&lt;H644,"파견예정",IF(AND(ISNUMBER(I644),TODAY()&gt;I644),"파견종료","파견중")))</f>
        <v/>
      </c>
      <c r="Y644" s="10">
        <f>IF(OR(Q644="",X644=""),"",Q644&amp;"|"&amp;X644)</f>
        <v/>
      </c>
      <c r="Z644" s="10">
        <f>IF(AND(Q644&lt;&gt;"",W644&gt;0),Q644&amp;"|월","")</f>
        <v/>
      </c>
      <c r="AA644" s="10">
        <f>IF(COUNTA(B644:I644,K644:N644)=0,"",IF(Q644="","등록번호 없음",IF(LEFT(R644,1)="⚠","모병원명 미등록",IF(S644="","파견병원 입력",IF(LEFT(S644,1)="⚠","파견병원명 미등록",IF(LEFT(U644,1)="⚠","파견과목 미등록",IF(OR(T644="",LEFT(T644,1)="⚠"),"파견근거 확인",IF(NOT(AND(ISNUMBER(H644),ISNUMBER(I644))),"날짜 형식/누락",IF(I644&lt;H644,"종료일&lt;시작일","")))))))))</f>
        <v/>
      </c>
      <c r="AB644" s="11">
        <f>IF(ISNUMBER(SEARCH("다기관",TRIM(N644&amp;" "&amp;O644))),IFERROR(DATE(VALUE(MID(TRIM(N644&amp;" "&amp;O644),1,4)),VALUE(MID(TRIM(N644&amp;" "&amp;O644),6,2)),VALUE(MID(TRIM(N644&amp;" "&amp;O644),9,2))),IF(ISNUMBER(H644),H644,"")),"")</f>
        <v/>
      </c>
      <c r="AC644" s="11">
        <f>IF(ISNUMBER(SEARCH("다기관",TRIM(N644&amp;" "&amp;O644))),IFERROR(DATE(VALUE(MID(TRIM(N644&amp;" "&amp;O644),12,4)),VALUE(MID(TRIM(N644&amp;" "&amp;O644),17,2)),VALUE(MID(TRIM(N644&amp;" "&amp;O644),20,2))),IF(ISNUMBER(I644),I644,"")),"")</f>
        <v/>
      </c>
      <c r="AD644" s="17">
        <f>IF(AND(ISNUMBER(AB644),ISNUMBER(AC644)),MAX(0,MIN(AC644,EOMONTH(출력_요약!$B$3,0))-MAX(AB644,출력_요약!$B$3)+1),0)</f>
        <v/>
      </c>
      <c r="AE644" s="10">
        <f>IF(AND(Q644&lt;&gt;"",ISNUMBER(AB644)),Q644&amp;"|다기관","")</f>
        <v/>
      </c>
    </row>
    <row r="645">
      <c r="A645" s="15">
        <f>IF(F645="","",ROW()-3)</f>
        <v/>
      </c>
      <c r="B645" s="5" t="n"/>
      <c r="C645" s="15" t="n"/>
      <c r="D645" s="5" t="n"/>
      <c r="E645" s="15" t="n"/>
      <c r="F645" s="5" t="n"/>
      <c r="G645" s="6" t="n"/>
      <c r="H645" s="16" t="n"/>
      <c r="I645" s="16" t="n"/>
      <c r="J645" s="15">
        <f>IF(AND(ISNUMBER(H645),ISNUMBER(I645)),I645-H645+1,"")</f>
        <v/>
      </c>
      <c r="K645" s="5" t="n"/>
      <c r="L645" s="5" t="n"/>
      <c r="M645" s="5" t="n"/>
      <c r="N645" s="5" t="n"/>
      <c r="O645" s="5" t="n"/>
      <c r="Q645" s="10">
        <f>IF(TRIM(G645&amp;"")="","",TRIM(G645&amp;""))</f>
        <v/>
      </c>
      <c r="R645" s="10">
        <f>IF(TRIM(B645&amp;"")="","",IFERROR(INDEX(설정_코드표!$K$2:$K$101,MATCH(TRIM(B645&amp;""),설정_코드표!$J$2:$J$101,0)),"⚠"&amp;TRIM(B645&amp;"")))</f>
        <v/>
      </c>
      <c r="S645" s="10">
        <f>IF(TRIM(K645&amp;"")="","",IFERROR(INDEX(설정_코드표!$K$2:$K$101,MATCH(TRIM(K645&amp;""),설정_코드표!$J$2:$J$101,0)),"⚠"&amp;TRIM(K645&amp;"")))</f>
        <v/>
      </c>
      <c r="T645" s="10">
        <f>IF(TRIM(M645&amp;"")="","",IF(ISNUMBER(MATCH(TRIM(M645&amp;""),설정_코드표!$C$2:$C$11,0)),TRIM(M645&amp;""),"⚠"&amp;TRIM(M645&amp;"")))</f>
        <v/>
      </c>
      <c r="U645" s="10">
        <f>IF(TRIM(L645&amp;"")="","",IFERROR(INDEX(설정_코드표!$G$2:$G$101,MATCH(TRIM(L645&amp;""),설정_코드표!$F$2:$F$101,0)),"⚠"&amp;TRIM(L645&amp;"")))</f>
        <v/>
      </c>
      <c r="V645" s="10">
        <f>IF(AND(ISNUMBER(H645),ISNUMBER(I645)),I645-H645+1,"")</f>
        <v/>
      </c>
      <c r="W645" s="17">
        <f>IF(ISNUMBER(H645),MAX(0,MIN(IF(ISNUMBER(I645),I645,EOMONTH(출력_요약!$B$3,0)),EOMONTH(출력_요약!$B$3,0))-MAX(H645,출력_요약!$B$3)+1),0)</f>
        <v/>
      </c>
      <c r="X645" s="10">
        <f>IF(OR(NOT(ISNUMBER(H645)),Q645=""),"",IF(TODAY()&lt;H645,"파견예정",IF(AND(ISNUMBER(I645),TODAY()&gt;I645),"파견종료","파견중")))</f>
        <v/>
      </c>
      <c r="Y645" s="10">
        <f>IF(OR(Q645="",X645=""),"",Q645&amp;"|"&amp;X645)</f>
        <v/>
      </c>
      <c r="Z645" s="10">
        <f>IF(AND(Q645&lt;&gt;"",W645&gt;0),Q645&amp;"|월","")</f>
        <v/>
      </c>
      <c r="AA645" s="10">
        <f>IF(COUNTA(B645:I645,K645:N645)=0,"",IF(Q645="","등록번호 없음",IF(LEFT(R645,1)="⚠","모병원명 미등록",IF(S645="","파견병원 입력",IF(LEFT(S645,1)="⚠","파견병원명 미등록",IF(LEFT(U645,1)="⚠","파견과목 미등록",IF(OR(T645="",LEFT(T645,1)="⚠"),"파견근거 확인",IF(NOT(AND(ISNUMBER(H645),ISNUMBER(I645))),"날짜 형식/누락",IF(I645&lt;H645,"종료일&lt;시작일","")))))))))</f>
        <v/>
      </c>
      <c r="AB645" s="11">
        <f>IF(ISNUMBER(SEARCH("다기관",TRIM(N645&amp;" "&amp;O645))),IFERROR(DATE(VALUE(MID(TRIM(N645&amp;" "&amp;O645),1,4)),VALUE(MID(TRIM(N645&amp;" "&amp;O645),6,2)),VALUE(MID(TRIM(N645&amp;" "&amp;O645),9,2))),IF(ISNUMBER(H645),H645,"")),"")</f>
        <v/>
      </c>
      <c r="AC645" s="11">
        <f>IF(ISNUMBER(SEARCH("다기관",TRIM(N645&amp;" "&amp;O645))),IFERROR(DATE(VALUE(MID(TRIM(N645&amp;" "&amp;O645),12,4)),VALUE(MID(TRIM(N645&amp;" "&amp;O645),17,2)),VALUE(MID(TRIM(N645&amp;" "&amp;O645),20,2))),IF(ISNUMBER(I645),I645,"")),"")</f>
        <v/>
      </c>
      <c r="AD645" s="17">
        <f>IF(AND(ISNUMBER(AB645),ISNUMBER(AC645)),MAX(0,MIN(AC645,EOMONTH(출력_요약!$B$3,0))-MAX(AB645,출력_요약!$B$3)+1),0)</f>
        <v/>
      </c>
      <c r="AE645" s="10">
        <f>IF(AND(Q645&lt;&gt;"",ISNUMBER(AB645)),Q645&amp;"|다기관","")</f>
        <v/>
      </c>
    </row>
    <row r="646">
      <c r="A646" s="15">
        <f>IF(F646="","",ROW()-3)</f>
        <v/>
      </c>
      <c r="B646" s="5" t="n"/>
      <c r="C646" s="15" t="n"/>
      <c r="D646" s="5" t="n"/>
      <c r="E646" s="15" t="n"/>
      <c r="F646" s="5" t="n"/>
      <c r="G646" s="6" t="n"/>
      <c r="H646" s="16" t="n"/>
      <c r="I646" s="16" t="n"/>
      <c r="J646" s="15">
        <f>IF(AND(ISNUMBER(H646),ISNUMBER(I646)),I646-H646+1,"")</f>
        <v/>
      </c>
      <c r="K646" s="5" t="n"/>
      <c r="L646" s="5" t="n"/>
      <c r="M646" s="5" t="n"/>
      <c r="N646" s="5" t="n"/>
      <c r="O646" s="5" t="n"/>
      <c r="Q646" s="10">
        <f>IF(TRIM(G646&amp;"")="","",TRIM(G646&amp;""))</f>
        <v/>
      </c>
      <c r="R646" s="10">
        <f>IF(TRIM(B646&amp;"")="","",IFERROR(INDEX(설정_코드표!$K$2:$K$101,MATCH(TRIM(B646&amp;""),설정_코드표!$J$2:$J$101,0)),"⚠"&amp;TRIM(B646&amp;"")))</f>
        <v/>
      </c>
      <c r="S646" s="10">
        <f>IF(TRIM(K646&amp;"")="","",IFERROR(INDEX(설정_코드표!$K$2:$K$101,MATCH(TRIM(K646&amp;""),설정_코드표!$J$2:$J$101,0)),"⚠"&amp;TRIM(K646&amp;"")))</f>
        <v/>
      </c>
      <c r="T646" s="10">
        <f>IF(TRIM(M646&amp;"")="","",IF(ISNUMBER(MATCH(TRIM(M646&amp;""),설정_코드표!$C$2:$C$11,0)),TRIM(M646&amp;""),"⚠"&amp;TRIM(M646&amp;"")))</f>
        <v/>
      </c>
      <c r="U646" s="10">
        <f>IF(TRIM(L646&amp;"")="","",IFERROR(INDEX(설정_코드표!$G$2:$G$101,MATCH(TRIM(L646&amp;""),설정_코드표!$F$2:$F$101,0)),"⚠"&amp;TRIM(L646&amp;"")))</f>
        <v/>
      </c>
      <c r="V646" s="10">
        <f>IF(AND(ISNUMBER(H646),ISNUMBER(I646)),I646-H646+1,"")</f>
        <v/>
      </c>
      <c r="W646" s="17">
        <f>IF(ISNUMBER(H646),MAX(0,MIN(IF(ISNUMBER(I646),I646,EOMONTH(출력_요약!$B$3,0)),EOMONTH(출력_요약!$B$3,0))-MAX(H646,출력_요약!$B$3)+1),0)</f>
        <v/>
      </c>
      <c r="X646" s="10">
        <f>IF(OR(NOT(ISNUMBER(H646)),Q646=""),"",IF(TODAY()&lt;H646,"파견예정",IF(AND(ISNUMBER(I646),TODAY()&gt;I646),"파견종료","파견중")))</f>
        <v/>
      </c>
      <c r="Y646" s="10">
        <f>IF(OR(Q646="",X646=""),"",Q646&amp;"|"&amp;X646)</f>
        <v/>
      </c>
      <c r="Z646" s="10">
        <f>IF(AND(Q646&lt;&gt;"",W646&gt;0),Q646&amp;"|월","")</f>
        <v/>
      </c>
      <c r="AA646" s="10">
        <f>IF(COUNTA(B646:I646,K646:N646)=0,"",IF(Q646="","등록번호 없음",IF(LEFT(R646,1)="⚠","모병원명 미등록",IF(S646="","파견병원 입력",IF(LEFT(S646,1)="⚠","파견병원명 미등록",IF(LEFT(U646,1)="⚠","파견과목 미등록",IF(OR(T646="",LEFT(T646,1)="⚠"),"파견근거 확인",IF(NOT(AND(ISNUMBER(H646),ISNUMBER(I646))),"날짜 형식/누락",IF(I646&lt;H646,"종료일&lt;시작일","")))))))))</f>
        <v/>
      </c>
      <c r="AB646" s="11">
        <f>IF(ISNUMBER(SEARCH("다기관",TRIM(N646&amp;" "&amp;O646))),IFERROR(DATE(VALUE(MID(TRIM(N646&amp;" "&amp;O646),1,4)),VALUE(MID(TRIM(N646&amp;" "&amp;O646),6,2)),VALUE(MID(TRIM(N646&amp;" "&amp;O646),9,2))),IF(ISNUMBER(H646),H646,"")),"")</f>
        <v/>
      </c>
      <c r="AC646" s="11">
        <f>IF(ISNUMBER(SEARCH("다기관",TRIM(N646&amp;" "&amp;O646))),IFERROR(DATE(VALUE(MID(TRIM(N646&amp;" "&amp;O646),12,4)),VALUE(MID(TRIM(N646&amp;" "&amp;O646),17,2)),VALUE(MID(TRIM(N646&amp;" "&amp;O646),20,2))),IF(ISNUMBER(I646),I646,"")),"")</f>
        <v/>
      </c>
      <c r="AD646" s="17">
        <f>IF(AND(ISNUMBER(AB646),ISNUMBER(AC646)),MAX(0,MIN(AC646,EOMONTH(출력_요약!$B$3,0))-MAX(AB646,출력_요약!$B$3)+1),0)</f>
        <v/>
      </c>
      <c r="AE646" s="10">
        <f>IF(AND(Q646&lt;&gt;"",ISNUMBER(AB646)),Q646&amp;"|다기관","")</f>
        <v/>
      </c>
    </row>
    <row r="647">
      <c r="A647" s="15">
        <f>IF(F647="","",ROW()-3)</f>
        <v/>
      </c>
      <c r="B647" s="5" t="n"/>
      <c r="C647" s="15" t="n"/>
      <c r="D647" s="5" t="n"/>
      <c r="E647" s="15" t="n"/>
      <c r="F647" s="5" t="n"/>
      <c r="G647" s="6" t="n"/>
      <c r="H647" s="16" t="n"/>
      <c r="I647" s="16" t="n"/>
      <c r="J647" s="15">
        <f>IF(AND(ISNUMBER(H647),ISNUMBER(I647)),I647-H647+1,"")</f>
        <v/>
      </c>
      <c r="K647" s="5" t="n"/>
      <c r="L647" s="5" t="n"/>
      <c r="M647" s="5" t="n"/>
      <c r="N647" s="5" t="n"/>
      <c r="O647" s="5" t="n"/>
      <c r="Q647" s="10">
        <f>IF(TRIM(G647&amp;"")="","",TRIM(G647&amp;""))</f>
        <v/>
      </c>
      <c r="R647" s="10">
        <f>IF(TRIM(B647&amp;"")="","",IFERROR(INDEX(설정_코드표!$K$2:$K$101,MATCH(TRIM(B647&amp;""),설정_코드표!$J$2:$J$101,0)),"⚠"&amp;TRIM(B647&amp;"")))</f>
        <v/>
      </c>
      <c r="S647" s="10">
        <f>IF(TRIM(K647&amp;"")="","",IFERROR(INDEX(설정_코드표!$K$2:$K$101,MATCH(TRIM(K647&amp;""),설정_코드표!$J$2:$J$101,0)),"⚠"&amp;TRIM(K647&amp;"")))</f>
        <v/>
      </c>
      <c r="T647" s="10">
        <f>IF(TRIM(M647&amp;"")="","",IF(ISNUMBER(MATCH(TRIM(M647&amp;""),설정_코드표!$C$2:$C$11,0)),TRIM(M647&amp;""),"⚠"&amp;TRIM(M647&amp;"")))</f>
        <v/>
      </c>
      <c r="U647" s="10">
        <f>IF(TRIM(L647&amp;"")="","",IFERROR(INDEX(설정_코드표!$G$2:$G$101,MATCH(TRIM(L647&amp;""),설정_코드표!$F$2:$F$101,0)),"⚠"&amp;TRIM(L647&amp;"")))</f>
        <v/>
      </c>
      <c r="V647" s="10">
        <f>IF(AND(ISNUMBER(H647),ISNUMBER(I647)),I647-H647+1,"")</f>
        <v/>
      </c>
      <c r="W647" s="17">
        <f>IF(ISNUMBER(H647),MAX(0,MIN(IF(ISNUMBER(I647),I647,EOMONTH(출력_요약!$B$3,0)),EOMONTH(출력_요약!$B$3,0))-MAX(H647,출력_요약!$B$3)+1),0)</f>
        <v/>
      </c>
      <c r="X647" s="10">
        <f>IF(OR(NOT(ISNUMBER(H647)),Q647=""),"",IF(TODAY()&lt;H647,"파견예정",IF(AND(ISNUMBER(I647),TODAY()&gt;I647),"파견종료","파견중")))</f>
        <v/>
      </c>
      <c r="Y647" s="10">
        <f>IF(OR(Q647="",X647=""),"",Q647&amp;"|"&amp;X647)</f>
        <v/>
      </c>
      <c r="Z647" s="10">
        <f>IF(AND(Q647&lt;&gt;"",W647&gt;0),Q647&amp;"|월","")</f>
        <v/>
      </c>
      <c r="AA647" s="10">
        <f>IF(COUNTA(B647:I647,K647:N647)=0,"",IF(Q647="","등록번호 없음",IF(LEFT(R647,1)="⚠","모병원명 미등록",IF(S647="","파견병원 입력",IF(LEFT(S647,1)="⚠","파견병원명 미등록",IF(LEFT(U647,1)="⚠","파견과목 미등록",IF(OR(T647="",LEFT(T647,1)="⚠"),"파견근거 확인",IF(NOT(AND(ISNUMBER(H647),ISNUMBER(I647))),"날짜 형식/누락",IF(I647&lt;H647,"종료일&lt;시작일","")))))))))</f>
        <v/>
      </c>
      <c r="AB647" s="11">
        <f>IF(ISNUMBER(SEARCH("다기관",TRIM(N647&amp;" "&amp;O647))),IFERROR(DATE(VALUE(MID(TRIM(N647&amp;" "&amp;O647),1,4)),VALUE(MID(TRIM(N647&amp;" "&amp;O647),6,2)),VALUE(MID(TRIM(N647&amp;" "&amp;O647),9,2))),IF(ISNUMBER(H647),H647,"")),"")</f>
        <v/>
      </c>
      <c r="AC647" s="11">
        <f>IF(ISNUMBER(SEARCH("다기관",TRIM(N647&amp;" "&amp;O647))),IFERROR(DATE(VALUE(MID(TRIM(N647&amp;" "&amp;O647),12,4)),VALUE(MID(TRIM(N647&amp;" "&amp;O647),17,2)),VALUE(MID(TRIM(N647&amp;" "&amp;O647),20,2))),IF(ISNUMBER(I647),I647,"")),"")</f>
        <v/>
      </c>
      <c r="AD647" s="17">
        <f>IF(AND(ISNUMBER(AB647),ISNUMBER(AC647)),MAX(0,MIN(AC647,EOMONTH(출력_요약!$B$3,0))-MAX(AB647,출력_요약!$B$3)+1),0)</f>
        <v/>
      </c>
      <c r="AE647" s="10">
        <f>IF(AND(Q647&lt;&gt;"",ISNUMBER(AB647)),Q647&amp;"|다기관","")</f>
        <v/>
      </c>
    </row>
    <row r="648">
      <c r="A648" s="15">
        <f>IF(F648="","",ROW()-3)</f>
        <v/>
      </c>
      <c r="B648" s="5" t="n"/>
      <c r="C648" s="15" t="n"/>
      <c r="D648" s="5" t="n"/>
      <c r="E648" s="15" t="n"/>
      <c r="F648" s="5" t="n"/>
      <c r="G648" s="6" t="n"/>
      <c r="H648" s="16" t="n"/>
      <c r="I648" s="16" t="n"/>
      <c r="J648" s="15">
        <f>IF(AND(ISNUMBER(H648),ISNUMBER(I648)),I648-H648+1,"")</f>
        <v/>
      </c>
      <c r="K648" s="5" t="n"/>
      <c r="L648" s="5" t="n"/>
      <c r="M648" s="5" t="n"/>
      <c r="N648" s="5" t="n"/>
      <c r="O648" s="5" t="n"/>
      <c r="Q648" s="10">
        <f>IF(TRIM(G648&amp;"")="","",TRIM(G648&amp;""))</f>
        <v/>
      </c>
      <c r="R648" s="10">
        <f>IF(TRIM(B648&amp;"")="","",IFERROR(INDEX(설정_코드표!$K$2:$K$101,MATCH(TRIM(B648&amp;""),설정_코드표!$J$2:$J$101,0)),"⚠"&amp;TRIM(B648&amp;"")))</f>
        <v/>
      </c>
      <c r="S648" s="10">
        <f>IF(TRIM(K648&amp;"")="","",IFERROR(INDEX(설정_코드표!$K$2:$K$101,MATCH(TRIM(K648&amp;""),설정_코드표!$J$2:$J$101,0)),"⚠"&amp;TRIM(K648&amp;"")))</f>
        <v/>
      </c>
      <c r="T648" s="10">
        <f>IF(TRIM(M648&amp;"")="","",IF(ISNUMBER(MATCH(TRIM(M648&amp;""),설정_코드표!$C$2:$C$11,0)),TRIM(M648&amp;""),"⚠"&amp;TRIM(M648&amp;"")))</f>
        <v/>
      </c>
      <c r="U648" s="10">
        <f>IF(TRIM(L648&amp;"")="","",IFERROR(INDEX(설정_코드표!$G$2:$G$101,MATCH(TRIM(L648&amp;""),설정_코드표!$F$2:$F$101,0)),"⚠"&amp;TRIM(L648&amp;"")))</f>
        <v/>
      </c>
      <c r="V648" s="10">
        <f>IF(AND(ISNUMBER(H648),ISNUMBER(I648)),I648-H648+1,"")</f>
        <v/>
      </c>
      <c r="W648" s="17">
        <f>IF(ISNUMBER(H648),MAX(0,MIN(IF(ISNUMBER(I648),I648,EOMONTH(출력_요약!$B$3,0)),EOMONTH(출력_요약!$B$3,0))-MAX(H648,출력_요약!$B$3)+1),0)</f>
        <v/>
      </c>
      <c r="X648" s="10">
        <f>IF(OR(NOT(ISNUMBER(H648)),Q648=""),"",IF(TODAY()&lt;H648,"파견예정",IF(AND(ISNUMBER(I648),TODAY()&gt;I648),"파견종료","파견중")))</f>
        <v/>
      </c>
      <c r="Y648" s="10">
        <f>IF(OR(Q648="",X648=""),"",Q648&amp;"|"&amp;X648)</f>
        <v/>
      </c>
      <c r="Z648" s="10">
        <f>IF(AND(Q648&lt;&gt;"",W648&gt;0),Q648&amp;"|월","")</f>
        <v/>
      </c>
      <c r="AA648" s="10">
        <f>IF(COUNTA(B648:I648,K648:N648)=0,"",IF(Q648="","등록번호 없음",IF(LEFT(R648,1)="⚠","모병원명 미등록",IF(S648="","파견병원 입력",IF(LEFT(S648,1)="⚠","파견병원명 미등록",IF(LEFT(U648,1)="⚠","파견과목 미등록",IF(OR(T648="",LEFT(T648,1)="⚠"),"파견근거 확인",IF(NOT(AND(ISNUMBER(H648),ISNUMBER(I648))),"날짜 형식/누락",IF(I648&lt;H648,"종료일&lt;시작일","")))))))))</f>
        <v/>
      </c>
      <c r="AB648" s="11">
        <f>IF(ISNUMBER(SEARCH("다기관",TRIM(N648&amp;" "&amp;O648))),IFERROR(DATE(VALUE(MID(TRIM(N648&amp;" "&amp;O648),1,4)),VALUE(MID(TRIM(N648&amp;" "&amp;O648),6,2)),VALUE(MID(TRIM(N648&amp;" "&amp;O648),9,2))),IF(ISNUMBER(H648),H648,"")),"")</f>
        <v/>
      </c>
      <c r="AC648" s="11">
        <f>IF(ISNUMBER(SEARCH("다기관",TRIM(N648&amp;" "&amp;O648))),IFERROR(DATE(VALUE(MID(TRIM(N648&amp;" "&amp;O648),12,4)),VALUE(MID(TRIM(N648&amp;" "&amp;O648),17,2)),VALUE(MID(TRIM(N648&amp;" "&amp;O648),20,2))),IF(ISNUMBER(I648),I648,"")),"")</f>
        <v/>
      </c>
      <c r="AD648" s="17">
        <f>IF(AND(ISNUMBER(AB648),ISNUMBER(AC648)),MAX(0,MIN(AC648,EOMONTH(출력_요약!$B$3,0))-MAX(AB648,출력_요약!$B$3)+1),0)</f>
        <v/>
      </c>
      <c r="AE648" s="10">
        <f>IF(AND(Q648&lt;&gt;"",ISNUMBER(AB648)),Q648&amp;"|다기관","")</f>
        <v/>
      </c>
    </row>
    <row r="649">
      <c r="A649" s="15">
        <f>IF(F649="","",ROW()-3)</f>
        <v/>
      </c>
      <c r="B649" s="5" t="n"/>
      <c r="C649" s="15" t="n"/>
      <c r="D649" s="5" t="n"/>
      <c r="E649" s="15" t="n"/>
      <c r="F649" s="5" t="n"/>
      <c r="G649" s="6" t="n"/>
      <c r="H649" s="16" t="n"/>
      <c r="I649" s="16" t="n"/>
      <c r="J649" s="15">
        <f>IF(AND(ISNUMBER(H649),ISNUMBER(I649)),I649-H649+1,"")</f>
        <v/>
      </c>
      <c r="K649" s="5" t="n"/>
      <c r="L649" s="5" t="n"/>
      <c r="M649" s="5" t="n"/>
      <c r="N649" s="5" t="n"/>
      <c r="O649" s="5" t="n"/>
      <c r="Q649" s="10">
        <f>IF(TRIM(G649&amp;"")="","",TRIM(G649&amp;""))</f>
        <v/>
      </c>
      <c r="R649" s="10">
        <f>IF(TRIM(B649&amp;"")="","",IFERROR(INDEX(설정_코드표!$K$2:$K$101,MATCH(TRIM(B649&amp;""),설정_코드표!$J$2:$J$101,0)),"⚠"&amp;TRIM(B649&amp;"")))</f>
        <v/>
      </c>
      <c r="S649" s="10">
        <f>IF(TRIM(K649&amp;"")="","",IFERROR(INDEX(설정_코드표!$K$2:$K$101,MATCH(TRIM(K649&amp;""),설정_코드표!$J$2:$J$101,0)),"⚠"&amp;TRIM(K649&amp;"")))</f>
        <v/>
      </c>
      <c r="T649" s="10">
        <f>IF(TRIM(M649&amp;"")="","",IF(ISNUMBER(MATCH(TRIM(M649&amp;""),설정_코드표!$C$2:$C$11,0)),TRIM(M649&amp;""),"⚠"&amp;TRIM(M649&amp;"")))</f>
        <v/>
      </c>
      <c r="U649" s="10">
        <f>IF(TRIM(L649&amp;"")="","",IFERROR(INDEX(설정_코드표!$G$2:$G$101,MATCH(TRIM(L649&amp;""),설정_코드표!$F$2:$F$101,0)),"⚠"&amp;TRIM(L649&amp;"")))</f>
        <v/>
      </c>
      <c r="V649" s="10">
        <f>IF(AND(ISNUMBER(H649),ISNUMBER(I649)),I649-H649+1,"")</f>
        <v/>
      </c>
      <c r="W649" s="17">
        <f>IF(ISNUMBER(H649),MAX(0,MIN(IF(ISNUMBER(I649),I649,EOMONTH(출력_요약!$B$3,0)),EOMONTH(출력_요약!$B$3,0))-MAX(H649,출력_요약!$B$3)+1),0)</f>
        <v/>
      </c>
      <c r="X649" s="10">
        <f>IF(OR(NOT(ISNUMBER(H649)),Q649=""),"",IF(TODAY()&lt;H649,"파견예정",IF(AND(ISNUMBER(I649),TODAY()&gt;I649),"파견종료","파견중")))</f>
        <v/>
      </c>
      <c r="Y649" s="10">
        <f>IF(OR(Q649="",X649=""),"",Q649&amp;"|"&amp;X649)</f>
        <v/>
      </c>
      <c r="Z649" s="10">
        <f>IF(AND(Q649&lt;&gt;"",W649&gt;0),Q649&amp;"|월","")</f>
        <v/>
      </c>
      <c r="AA649" s="10">
        <f>IF(COUNTA(B649:I649,K649:N649)=0,"",IF(Q649="","등록번호 없음",IF(LEFT(R649,1)="⚠","모병원명 미등록",IF(S649="","파견병원 입력",IF(LEFT(S649,1)="⚠","파견병원명 미등록",IF(LEFT(U649,1)="⚠","파견과목 미등록",IF(OR(T649="",LEFT(T649,1)="⚠"),"파견근거 확인",IF(NOT(AND(ISNUMBER(H649),ISNUMBER(I649))),"날짜 형식/누락",IF(I649&lt;H649,"종료일&lt;시작일","")))))))))</f>
        <v/>
      </c>
      <c r="AB649" s="11">
        <f>IF(ISNUMBER(SEARCH("다기관",TRIM(N649&amp;" "&amp;O649))),IFERROR(DATE(VALUE(MID(TRIM(N649&amp;" "&amp;O649),1,4)),VALUE(MID(TRIM(N649&amp;" "&amp;O649),6,2)),VALUE(MID(TRIM(N649&amp;" "&amp;O649),9,2))),IF(ISNUMBER(H649),H649,"")),"")</f>
        <v/>
      </c>
      <c r="AC649" s="11">
        <f>IF(ISNUMBER(SEARCH("다기관",TRIM(N649&amp;" "&amp;O649))),IFERROR(DATE(VALUE(MID(TRIM(N649&amp;" "&amp;O649),12,4)),VALUE(MID(TRIM(N649&amp;" "&amp;O649),17,2)),VALUE(MID(TRIM(N649&amp;" "&amp;O649),20,2))),IF(ISNUMBER(I649),I649,"")),"")</f>
        <v/>
      </c>
      <c r="AD649" s="17">
        <f>IF(AND(ISNUMBER(AB649),ISNUMBER(AC649)),MAX(0,MIN(AC649,EOMONTH(출력_요약!$B$3,0))-MAX(AB649,출력_요약!$B$3)+1),0)</f>
        <v/>
      </c>
      <c r="AE649" s="10">
        <f>IF(AND(Q649&lt;&gt;"",ISNUMBER(AB649)),Q649&amp;"|다기관","")</f>
        <v/>
      </c>
    </row>
    <row r="650">
      <c r="A650" s="15">
        <f>IF(F650="","",ROW()-3)</f>
        <v/>
      </c>
      <c r="B650" s="5" t="n"/>
      <c r="C650" s="15" t="n"/>
      <c r="D650" s="5" t="n"/>
      <c r="E650" s="15" t="n"/>
      <c r="F650" s="5" t="n"/>
      <c r="G650" s="6" t="n"/>
      <c r="H650" s="16" t="n"/>
      <c r="I650" s="16" t="n"/>
      <c r="J650" s="15">
        <f>IF(AND(ISNUMBER(H650),ISNUMBER(I650)),I650-H650+1,"")</f>
        <v/>
      </c>
      <c r="K650" s="5" t="n"/>
      <c r="L650" s="5" t="n"/>
      <c r="M650" s="5" t="n"/>
      <c r="N650" s="5" t="n"/>
      <c r="O650" s="5" t="n"/>
      <c r="Q650" s="10">
        <f>IF(TRIM(G650&amp;"")="","",TRIM(G650&amp;""))</f>
        <v/>
      </c>
      <c r="R650" s="10">
        <f>IF(TRIM(B650&amp;"")="","",IFERROR(INDEX(설정_코드표!$K$2:$K$101,MATCH(TRIM(B650&amp;""),설정_코드표!$J$2:$J$101,0)),"⚠"&amp;TRIM(B650&amp;"")))</f>
        <v/>
      </c>
      <c r="S650" s="10">
        <f>IF(TRIM(K650&amp;"")="","",IFERROR(INDEX(설정_코드표!$K$2:$K$101,MATCH(TRIM(K650&amp;""),설정_코드표!$J$2:$J$101,0)),"⚠"&amp;TRIM(K650&amp;"")))</f>
        <v/>
      </c>
      <c r="T650" s="10">
        <f>IF(TRIM(M650&amp;"")="","",IF(ISNUMBER(MATCH(TRIM(M650&amp;""),설정_코드표!$C$2:$C$11,0)),TRIM(M650&amp;""),"⚠"&amp;TRIM(M650&amp;"")))</f>
        <v/>
      </c>
      <c r="U650" s="10">
        <f>IF(TRIM(L650&amp;"")="","",IFERROR(INDEX(설정_코드표!$G$2:$G$101,MATCH(TRIM(L650&amp;""),설정_코드표!$F$2:$F$101,0)),"⚠"&amp;TRIM(L650&amp;"")))</f>
        <v/>
      </c>
      <c r="V650" s="10">
        <f>IF(AND(ISNUMBER(H650),ISNUMBER(I650)),I650-H650+1,"")</f>
        <v/>
      </c>
      <c r="W650" s="17">
        <f>IF(ISNUMBER(H650),MAX(0,MIN(IF(ISNUMBER(I650),I650,EOMONTH(출력_요약!$B$3,0)),EOMONTH(출력_요약!$B$3,0))-MAX(H650,출력_요약!$B$3)+1),0)</f>
        <v/>
      </c>
      <c r="X650" s="10">
        <f>IF(OR(NOT(ISNUMBER(H650)),Q650=""),"",IF(TODAY()&lt;H650,"파견예정",IF(AND(ISNUMBER(I650),TODAY()&gt;I650),"파견종료","파견중")))</f>
        <v/>
      </c>
      <c r="Y650" s="10">
        <f>IF(OR(Q650="",X650=""),"",Q650&amp;"|"&amp;X650)</f>
        <v/>
      </c>
      <c r="Z650" s="10">
        <f>IF(AND(Q650&lt;&gt;"",W650&gt;0),Q650&amp;"|월","")</f>
        <v/>
      </c>
      <c r="AA650" s="10">
        <f>IF(COUNTA(B650:I650,K650:N650)=0,"",IF(Q650="","등록번호 없음",IF(LEFT(R650,1)="⚠","모병원명 미등록",IF(S650="","파견병원 입력",IF(LEFT(S650,1)="⚠","파견병원명 미등록",IF(LEFT(U650,1)="⚠","파견과목 미등록",IF(OR(T650="",LEFT(T650,1)="⚠"),"파견근거 확인",IF(NOT(AND(ISNUMBER(H650),ISNUMBER(I650))),"날짜 형식/누락",IF(I650&lt;H650,"종료일&lt;시작일","")))))))))</f>
        <v/>
      </c>
      <c r="AB650" s="11">
        <f>IF(ISNUMBER(SEARCH("다기관",TRIM(N650&amp;" "&amp;O650))),IFERROR(DATE(VALUE(MID(TRIM(N650&amp;" "&amp;O650),1,4)),VALUE(MID(TRIM(N650&amp;" "&amp;O650),6,2)),VALUE(MID(TRIM(N650&amp;" "&amp;O650),9,2))),IF(ISNUMBER(H650),H650,"")),"")</f>
        <v/>
      </c>
      <c r="AC650" s="11">
        <f>IF(ISNUMBER(SEARCH("다기관",TRIM(N650&amp;" "&amp;O650))),IFERROR(DATE(VALUE(MID(TRIM(N650&amp;" "&amp;O650),12,4)),VALUE(MID(TRIM(N650&amp;" "&amp;O650),17,2)),VALUE(MID(TRIM(N650&amp;" "&amp;O650),20,2))),IF(ISNUMBER(I650),I650,"")),"")</f>
        <v/>
      </c>
      <c r="AD650" s="17">
        <f>IF(AND(ISNUMBER(AB650),ISNUMBER(AC650)),MAX(0,MIN(AC650,EOMONTH(출력_요약!$B$3,0))-MAX(AB650,출력_요약!$B$3)+1),0)</f>
        <v/>
      </c>
      <c r="AE650" s="10">
        <f>IF(AND(Q650&lt;&gt;"",ISNUMBER(AB650)),Q650&amp;"|다기관","")</f>
        <v/>
      </c>
    </row>
    <row r="651">
      <c r="A651" s="15">
        <f>IF(F651="","",ROW()-3)</f>
        <v/>
      </c>
      <c r="B651" s="5" t="n"/>
      <c r="C651" s="15" t="n"/>
      <c r="D651" s="5" t="n"/>
      <c r="E651" s="15" t="n"/>
      <c r="F651" s="5" t="n"/>
      <c r="G651" s="6" t="n"/>
      <c r="H651" s="16" t="n"/>
      <c r="I651" s="16" t="n"/>
      <c r="J651" s="15">
        <f>IF(AND(ISNUMBER(H651),ISNUMBER(I651)),I651-H651+1,"")</f>
        <v/>
      </c>
      <c r="K651" s="5" t="n"/>
      <c r="L651" s="5" t="n"/>
      <c r="M651" s="5" t="n"/>
      <c r="N651" s="5" t="n"/>
      <c r="O651" s="5" t="n"/>
      <c r="Q651" s="10">
        <f>IF(TRIM(G651&amp;"")="","",TRIM(G651&amp;""))</f>
        <v/>
      </c>
      <c r="R651" s="10">
        <f>IF(TRIM(B651&amp;"")="","",IFERROR(INDEX(설정_코드표!$K$2:$K$101,MATCH(TRIM(B651&amp;""),설정_코드표!$J$2:$J$101,0)),"⚠"&amp;TRIM(B651&amp;"")))</f>
        <v/>
      </c>
      <c r="S651" s="10">
        <f>IF(TRIM(K651&amp;"")="","",IFERROR(INDEX(설정_코드표!$K$2:$K$101,MATCH(TRIM(K651&amp;""),설정_코드표!$J$2:$J$101,0)),"⚠"&amp;TRIM(K651&amp;"")))</f>
        <v/>
      </c>
      <c r="T651" s="10">
        <f>IF(TRIM(M651&amp;"")="","",IF(ISNUMBER(MATCH(TRIM(M651&amp;""),설정_코드표!$C$2:$C$11,0)),TRIM(M651&amp;""),"⚠"&amp;TRIM(M651&amp;"")))</f>
        <v/>
      </c>
      <c r="U651" s="10">
        <f>IF(TRIM(L651&amp;"")="","",IFERROR(INDEX(설정_코드표!$G$2:$G$101,MATCH(TRIM(L651&amp;""),설정_코드표!$F$2:$F$101,0)),"⚠"&amp;TRIM(L651&amp;"")))</f>
        <v/>
      </c>
      <c r="V651" s="10">
        <f>IF(AND(ISNUMBER(H651),ISNUMBER(I651)),I651-H651+1,"")</f>
        <v/>
      </c>
      <c r="W651" s="17">
        <f>IF(ISNUMBER(H651),MAX(0,MIN(IF(ISNUMBER(I651),I651,EOMONTH(출력_요약!$B$3,0)),EOMONTH(출력_요약!$B$3,0))-MAX(H651,출력_요약!$B$3)+1),0)</f>
        <v/>
      </c>
      <c r="X651" s="10">
        <f>IF(OR(NOT(ISNUMBER(H651)),Q651=""),"",IF(TODAY()&lt;H651,"파견예정",IF(AND(ISNUMBER(I651),TODAY()&gt;I651),"파견종료","파견중")))</f>
        <v/>
      </c>
      <c r="Y651" s="10">
        <f>IF(OR(Q651="",X651=""),"",Q651&amp;"|"&amp;X651)</f>
        <v/>
      </c>
      <c r="Z651" s="10">
        <f>IF(AND(Q651&lt;&gt;"",W651&gt;0),Q651&amp;"|월","")</f>
        <v/>
      </c>
      <c r="AA651" s="10">
        <f>IF(COUNTA(B651:I651,K651:N651)=0,"",IF(Q651="","등록번호 없음",IF(LEFT(R651,1)="⚠","모병원명 미등록",IF(S651="","파견병원 입력",IF(LEFT(S651,1)="⚠","파견병원명 미등록",IF(LEFT(U651,1)="⚠","파견과목 미등록",IF(OR(T651="",LEFT(T651,1)="⚠"),"파견근거 확인",IF(NOT(AND(ISNUMBER(H651),ISNUMBER(I651))),"날짜 형식/누락",IF(I651&lt;H651,"종료일&lt;시작일","")))))))))</f>
        <v/>
      </c>
      <c r="AB651" s="11">
        <f>IF(ISNUMBER(SEARCH("다기관",TRIM(N651&amp;" "&amp;O651))),IFERROR(DATE(VALUE(MID(TRIM(N651&amp;" "&amp;O651),1,4)),VALUE(MID(TRIM(N651&amp;" "&amp;O651),6,2)),VALUE(MID(TRIM(N651&amp;" "&amp;O651),9,2))),IF(ISNUMBER(H651),H651,"")),"")</f>
        <v/>
      </c>
      <c r="AC651" s="11">
        <f>IF(ISNUMBER(SEARCH("다기관",TRIM(N651&amp;" "&amp;O651))),IFERROR(DATE(VALUE(MID(TRIM(N651&amp;" "&amp;O651),12,4)),VALUE(MID(TRIM(N651&amp;" "&amp;O651),17,2)),VALUE(MID(TRIM(N651&amp;" "&amp;O651),20,2))),IF(ISNUMBER(I651),I651,"")),"")</f>
        <v/>
      </c>
      <c r="AD651" s="17">
        <f>IF(AND(ISNUMBER(AB651),ISNUMBER(AC651)),MAX(0,MIN(AC651,EOMONTH(출력_요약!$B$3,0))-MAX(AB651,출력_요약!$B$3)+1),0)</f>
        <v/>
      </c>
      <c r="AE651" s="10">
        <f>IF(AND(Q651&lt;&gt;"",ISNUMBER(AB651)),Q651&amp;"|다기관","")</f>
        <v/>
      </c>
    </row>
    <row r="652">
      <c r="A652" s="15">
        <f>IF(F652="","",ROW()-3)</f>
        <v/>
      </c>
      <c r="B652" s="5" t="n"/>
      <c r="C652" s="15" t="n"/>
      <c r="D652" s="5" t="n"/>
      <c r="E652" s="15" t="n"/>
      <c r="F652" s="5" t="n"/>
      <c r="G652" s="6" t="n"/>
      <c r="H652" s="16" t="n"/>
      <c r="I652" s="16" t="n"/>
      <c r="J652" s="15">
        <f>IF(AND(ISNUMBER(H652),ISNUMBER(I652)),I652-H652+1,"")</f>
        <v/>
      </c>
      <c r="K652" s="5" t="n"/>
      <c r="L652" s="5" t="n"/>
      <c r="M652" s="5" t="n"/>
      <c r="N652" s="5" t="n"/>
      <c r="O652" s="5" t="n"/>
      <c r="Q652" s="10">
        <f>IF(TRIM(G652&amp;"")="","",TRIM(G652&amp;""))</f>
        <v/>
      </c>
      <c r="R652" s="10">
        <f>IF(TRIM(B652&amp;"")="","",IFERROR(INDEX(설정_코드표!$K$2:$K$101,MATCH(TRIM(B652&amp;""),설정_코드표!$J$2:$J$101,0)),"⚠"&amp;TRIM(B652&amp;"")))</f>
        <v/>
      </c>
      <c r="S652" s="10">
        <f>IF(TRIM(K652&amp;"")="","",IFERROR(INDEX(설정_코드표!$K$2:$K$101,MATCH(TRIM(K652&amp;""),설정_코드표!$J$2:$J$101,0)),"⚠"&amp;TRIM(K652&amp;"")))</f>
        <v/>
      </c>
      <c r="T652" s="10">
        <f>IF(TRIM(M652&amp;"")="","",IF(ISNUMBER(MATCH(TRIM(M652&amp;""),설정_코드표!$C$2:$C$11,0)),TRIM(M652&amp;""),"⚠"&amp;TRIM(M652&amp;"")))</f>
        <v/>
      </c>
      <c r="U652" s="10">
        <f>IF(TRIM(L652&amp;"")="","",IFERROR(INDEX(설정_코드표!$G$2:$G$101,MATCH(TRIM(L652&amp;""),설정_코드표!$F$2:$F$101,0)),"⚠"&amp;TRIM(L652&amp;"")))</f>
        <v/>
      </c>
      <c r="V652" s="10">
        <f>IF(AND(ISNUMBER(H652),ISNUMBER(I652)),I652-H652+1,"")</f>
        <v/>
      </c>
      <c r="W652" s="17">
        <f>IF(ISNUMBER(H652),MAX(0,MIN(IF(ISNUMBER(I652),I652,EOMONTH(출력_요약!$B$3,0)),EOMONTH(출력_요약!$B$3,0))-MAX(H652,출력_요약!$B$3)+1),0)</f>
        <v/>
      </c>
      <c r="X652" s="10">
        <f>IF(OR(NOT(ISNUMBER(H652)),Q652=""),"",IF(TODAY()&lt;H652,"파견예정",IF(AND(ISNUMBER(I652),TODAY()&gt;I652),"파견종료","파견중")))</f>
        <v/>
      </c>
      <c r="Y652" s="10">
        <f>IF(OR(Q652="",X652=""),"",Q652&amp;"|"&amp;X652)</f>
        <v/>
      </c>
      <c r="Z652" s="10">
        <f>IF(AND(Q652&lt;&gt;"",W652&gt;0),Q652&amp;"|월","")</f>
        <v/>
      </c>
      <c r="AA652" s="10">
        <f>IF(COUNTA(B652:I652,K652:N652)=0,"",IF(Q652="","등록번호 없음",IF(LEFT(R652,1)="⚠","모병원명 미등록",IF(S652="","파견병원 입력",IF(LEFT(S652,1)="⚠","파견병원명 미등록",IF(LEFT(U652,1)="⚠","파견과목 미등록",IF(OR(T652="",LEFT(T652,1)="⚠"),"파견근거 확인",IF(NOT(AND(ISNUMBER(H652),ISNUMBER(I652))),"날짜 형식/누락",IF(I652&lt;H652,"종료일&lt;시작일","")))))))))</f>
        <v/>
      </c>
      <c r="AB652" s="11">
        <f>IF(ISNUMBER(SEARCH("다기관",TRIM(N652&amp;" "&amp;O652))),IFERROR(DATE(VALUE(MID(TRIM(N652&amp;" "&amp;O652),1,4)),VALUE(MID(TRIM(N652&amp;" "&amp;O652),6,2)),VALUE(MID(TRIM(N652&amp;" "&amp;O652),9,2))),IF(ISNUMBER(H652),H652,"")),"")</f>
        <v/>
      </c>
      <c r="AC652" s="11">
        <f>IF(ISNUMBER(SEARCH("다기관",TRIM(N652&amp;" "&amp;O652))),IFERROR(DATE(VALUE(MID(TRIM(N652&amp;" "&amp;O652),12,4)),VALUE(MID(TRIM(N652&amp;" "&amp;O652),17,2)),VALUE(MID(TRIM(N652&amp;" "&amp;O652),20,2))),IF(ISNUMBER(I652),I652,"")),"")</f>
        <v/>
      </c>
      <c r="AD652" s="17">
        <f>IF(AND(ISNUMBER(AB652),ISNUMBER(AC652)),MAX(0,MIN(AC652,EOMONTH(출력_요약!$B$3,0))-MAX(AB652,출력_요약!$B$3)+1),0)</f>
        <v/>
      </c>
      <c r="AE652" s="10">
        <f>IF(AND(Q652&lt;&gt;"",ISNUMBER(AB652)),Q652&amp;"|다기관","")</f>
        <v/>
      </c>
    </row>
    <row r="653">
      <c r="A653" s="15">
        <f>IF(F653="","",ROW()-3)</f>
        <v/>
      </c>
      <c r="B653" s="5" t="n"/>
      <c r="C653" s="15" t="n"/>
      <c r="D653" s="5" t="n"/>
      <c r="E653" s="15" t="n"/>
      <c r="F653" s="5" t="n"/>
      <c r="G653" s="6" t="n"/>
      <c r="H653" s="16" t="n"/>
      <c r="I653" s="16" t="n"/>
      <c r="J653" s="15">
        <f>IF(AND(ISNUMBER(H653),ISNUMBER(I653)),I653-H653+1,"")</f>
        <v/>
      </c>
      <c r="K653" s="5" t="n"/>
      <c r="L653" s="5" t="n"/>
      <c r="M653" s="5" t="n"/>
      <c r="N653" s="5" t="n"/>
      <c r="O653" s="5" t="n"/>
      <c r="Q653" s="10">
        <f>IF(TRIM(G653&amp;"")="","",TRIM(G653&amp;""))</f>
        <v/>
      </c>
      <c r="R653" s="10">
        <f>IF(TRIM(B653&amp;"")="","",IFERROR(INDEX(설정_코드표!$K$2:$K$101,MATCH(TRIM(B653&amp;""),설정_코드표!$J$2:$J$101,0)),"⚠"&amp;TRIM(B653&amp;"")))</f>
        <v/>
      </c>
      <c r="S653" s="10">
        <f>IF(TRIM(K653&amp;"")="","",IFERROR(INDEX(설정_코드표!$K$2:$K$101,MATCH(TRIM(K653&amp;""),설정_코드표!$J$2:$J$101,0)),"⚠"&amp;TRIM(K653&amp;"")))</f>
        <v/>
      </c>
      <c r="T653" s="10">
        <f>IF(TRIM(M653&amp;"")="","",IF(ISNUMBER(MATCH(TRIM(M653&amp;""),설정_코드표!$C$2:$C$11,0)),TRIM(M653&amp;""),"⚠"&amp;TRIM(M653&amp;"")))</f>
        <v/>
      </c>
      <c r="U653" s="10">
        <f>IF(TRIM(L653&amp;"")="","",IFERROR(INDEX(설정_코드표!$G$2:$G$101,MATCH(TRIM(L653&amp;""),설정_코드표!$F$2:$F$101,0)),"⚠"&amp;TRIM(L653&amp;"")))</f>
        <v/>
      </c>
      <c r="V653" s="10">
        <f>IF(AND(ISNUMBER(H653),ISNUMBER(I653)),I653-H653+1,"")</f>
        <v/>
      </c>
      <c r="W653" s="17">
        <f>IF(ISNUMBER(H653),MAX(0,MIN(IF(ISNUMBER(I653),I653,EOMONTH(출력_요약!$B$3,0)),EOMONTH(출력_요약!$B$3,0))-MAX(H653,출력_요약!$B$3)+1),0)</f>
        <v/>
      </c>
      <c r="X653" s="10">
        <f>IF(OR(NOT(ISNUMBER(H653)),Q653=""),"",IF(TODAY()&lt;H653,"파견예정",IF(AND(ISNUMBER(I653),TODAY()&gt;I653),"파견종료","파견중")))</f>
        <v/>
      </c>
      <c r="Y653" s="10">
        <f>IF(OR(Q653="",X653=""),"",Q653&amp;"|"&amp;X653)</f>
        <v/>
      </c>
      <c r="Z653" s="10">
        <f>IF(AND(Q653&lt;&gt;"",W653&gt;0),Q653&amp;"|월","")</f>
        <v/>
      </c>
      <c r="AA653" s="10">
        <f>IF(COUNTA(B653:I653,K653:N653)=0,"",IF(Q653="","등록번호 없음",IF(LEFT(R653,1)="⚠","모병원명 미등록",IF(S653="","파견병원 입력",IF(LEFT(S653,1)="⚠","파견병원명 미등록",IF(LEFT(U653,1)="⚠","파견과목 미등록",IF(OR(T653="",LEFT(T653,1)="⚠"),"파견근거 확인",IF(NOT(AND(ISNUMBER(H653),ISNUMBER(I653))),"날짜 형식/누락",IF(I653&lt;H653,"종료일&lt;시작일","")))))))))</f>
        <v/>
      </c>
      <c r="AB653" s="11">
        <f>IF(ISNUMBER(SEARCH("다기관",TRIM(N653&amp;" "&amp;O653))),IFERROR(DATE(VALUE(MID(TRIM(N653&amp;" "&amp;O653),1,4)),VALUE(MID(TRIM(N653&amp;" "&amp;O653),6,2)),VALUE(MID(TRIM(N653&amp;" "&amp;O653),9,2))),IF(ISNUMBER(H653),H653,"")),"")</f>
        <v/>
      </c>
      <c r="AC653" s="11">
        <f>IF(ISNUMBER(SEARCH("다기관",TRIM(N653&amp;" "&amp;O653))),IFERROR(DATE(VALUE(MID(TRIM(N653&amp;" "&amp;O653),12,4)),VALUE(MID(TRIM(N653&amp;" "&amp;O653),17,2)),VALUE(MID(TRIM(N653&amp;" "&amp;O653),20,2))),IF(ISNUMBER(I653),I653,"")),"")</f>
        <v/>
      </c>
      <c r="AD653" s="17">
        <f>IF(AND(ISNUMBER(AB653),ISNUMBER(AC653)),MAX(0,MIN(AC653,EOMONTH(출력_요약!$B$3,0))-MAX(AB653,출력_요약!$B$3)+1),0)</f>
        <v/>
      </c>
      <c r="AE653" s="10">
        <f>IF(AND(Q653&lt;&gt;"",ISNUMBER(AB653)),Q653&amp;"|다기관","")</f>
        <v/>
      </c>
    </row>
    <row r="654">
      <c r="A654" s="15">
        <f>IF(F654="","",ROW()-3)</f>
        <v/>
      </c>
      <c r="B654" s="5" t="n"/>
      <c r="C654" s="15" t="n"/>
      <c r="D654" s="5" t="n"/>
      <c r="E654" s="15" t="n"/>
      <c r="F654" s="5" t="n"/>
      <c r="G654" s="6" t="n"/>
      <c r="H654" s="16" t="n"/>
      <c r="I654" s="16" t="n"/>
      <c r="J654" s="15">
        <f>IF(AND(ISNUMBER(H654),ISNUMBER(I654)),I654-H654+1,"")</f>
        <v/>
      </c>
      <c r="K654" s="5" t="n"/>
      <c r="L654" s="5" t="n"/>
      <c r="M654" s="5" t="n"/>
      <c r="N654" s="5" t="n"/>
      <c r="O654" s="5" t="n"/>
      <c r="Q654" s="10">
        <f>IF(TRIM(G654&amp;"")="","",TRIM(G654&amp;""))</f>
        <v/>
      </c>
      <c r="R654" s="10">
        <f>IF(TRIM(B654&amp;"")="","",IFERROR(INDEX(설정_코드표!$K$2:$K$101,MATCH(TRIM(B654&amp;""),설정_코드표!$J$2:$J$101,0)),"⚠"&amp;TRIM(B654&amp;"")))</f>
        <v/>
      </c>
      <c r="S654" s="10">
        <f>IF(TRIM(K654&amp;"")="","",IFERROR(INDEX(설정_코드표!$K$2:$K$101,MATCH(TRIM(K654&amp;""),설정_코드표!$J$2:$J$101,0)),"⚠"&amp;TRIM(K654&amp;"")))</f>
        <v/>
      </c>
      <c r="T654" s="10">
        <f>IF(TRIM(M654&amp;"")="","",IF(ISNUMBER(MATCH(TRIM(M654&amp;""),설정_코드표!$C$2:$C$11,0)),TRIM(M654&amp;""),"⚠"&amp;TRIM(M654&amp;"")))</f>
        <v/>
      </c>
      <c r="U654" s="10">
        <f>IF(TRIM(L654&amp;"")="","",IFERROR(INDEX(설정_코드표!$G$2:$G$101,MATCH(TRIM(L654&amp;""),설정_코드표!$F$2:$F$101,0)),"⚠"&amp;TRIM(L654&amp;"")))</f>
        <v/>
      </c>
      <c r="V654" s="10">
        <f>IF(AND(ISNUMBER(H654),ISNUMBER(I654)),I654-H654+1,"")</f>
        <v/>
      </c>
      <c r="W654" s="17">
        <f>IF(ISNUMBER(H654),MAX(0,MIN(IF(ISNUMBER(I654),I654,EOMONTH(출력_요약!$B$3,0)),EOMONTH(출력_요약!$B$3,0))-MAX(H654,출력_요약!$B$3)+1),0)</f>
        <v/>
      </c>
      <c r="X654" s="10">
        <f>IF(OR(NOT(ISNUMBER(H654)),Q654=""),"",IF(TODAY()&lt;H654,"파견예정",IF(AND(ISNUMBER(I654),TODAY()&gt;I654),"파견종료","파견중")))</f>
        <v/>
      </c>
      <c r="Y654" s="10">
        <f>IF(OR(Q654="",X654=""),"",Q654&amp;"|"&amp;X654)</f>
        <v/>
      </c>
      <c r="Z654" s="10">
        <f>IF(AND(Q654&lt;&gt;"",W654&gt;0),Q654&amp;"|월","")</f>
        <v/>
      </c>
      <c r="AA654" s="10">
        <f>IF(COUNTA(B654:I654,K654:N654)=0,"",IF(Q654="","등록번호 없음",IF(LEFT(R654,1)="⚠","모병원명 미등록",IF(S654="","파견병원 입력",IF(LEFT(S654,1)="⚠","파견병원명 미등록",IF(LEFT(U654,1)="⚠","파견과목 미등록",IF(OR(T654="",LEFT(T654,1)="⚠"),"파견근거 확인",IF(NOT(AND(ISNUMBER(H654),ISNUMBER(I654))),"날짜 형식/누락",IF(I654&lt;H654,"종료일&lt;시작일","")))))))))</f>
        <v/>
      </c>
      <c r="AB654" s="11">
        <f>IF(ISNUMBER(SEARCH("다기관",TRIM(N654&amp;" "&amp;O654))),IFERROR(DATE(VALUE(MID(TRIM(N654&amp;" "&amp;O654),1,4)),VALUE(MID(TRIM(N654&amp;" "&amp;O654),6,2)),VALUE(MID(TRIM(N654&amp;" "&amp;O654),9,2))),IF(ISNUMBER(H654),H654,"")),"")</f>
        <v/>
      </c>
      <c r="AC654" s="11">
        <f>IF(ISNUMBER(SEARCH("다기관",TRIM(N654&amp;" "&amp;O654))),IFERROR(DATE(VALUE(MID(TRIM(N654&amp;" "&amp;O654),12,4)),VALUE(MID(TRIM(N654&amp;" "&amp;O654),17,2)),VALUE(MID(TRIM(N654&amp;" "&amp;O654),20,2))),IF(ISNUMBER(I654),I654,"")),"")</f>
        <v/>
      </c>
      <c r="AD654" s="17">
        <f>IF(AND(ISNUMBER(AB654),ISNUMBER(AC654)),MAX(0,MIN(AC654,EOMONTH(출력_요약!$B$3,0))-MAX(AB654,출력_요약!$B$3)+1),0)</f>
        <v/>
      </c>
      <c r="AE654" s="10">
        <f>IF(AND(Q654&lt;&gt;"",ISNUMBER(AB654)),Q654&amp;"|다기관","")</f>
        <v/>
      </c>
    </row>
    <row r="655">
      <c r="A655" s="15">
        <f>IF(F655="","",ROW()-3)</f>
        <v/>
      </c>
      <c r="B655" s="5" t="n"/>
      <c r="C655" s="15" t="n"/>
      <c r="D655" s="5" t="n"/>
      <c r="E655" s="15" t="n"/>
      <c r="F655" s="5" t="n"/>
      <c r="G655" s="6" t="n"/>
      <c r="H655" s="16" t="n"/>
      <c r="I655" s="16" t="n"/>
      <c r="J655" s="15">
        <f>IF(AND(ISNUMBER(H655),ISNUMBER(I655)),I655-H655+1,"")</f>
        <v/>
      </c>
      <c r="K655" s="5" t="n"/>
      <c r="L655" s="5" t="n"/>
      <c r="M655" s="5" t="n"/>
      <c r="N655" s="5" t="n"/>
      <c r="O655" s="5" t="n"/>
      <c r="Q655" s="10">
        <f>IF(TRIM(G655&amp;"")="","",TRIM(G655&amp;""))</f>
        <v/>
      </c>
      <c r="R655" s="10">
        <f>IF(TRIM(B655&amp;"")="","",IFERROR(INDEX(설정_코드표!$K$2:$K$101,MATCH(TRIM(B655&amp;""),설정_코드표!$J$2:$J$101,0)),"⚠"&amp;TRIM(B655&amp;"")))</f>
        <v/>
      </c>
      <c r="S655" s="10">
        <f>IF(TRIM(K655&amp;"")="","",IFERROR(INDEX(설정_코드표!$K$2:$K$101,MATCH(TRIM(K655&amp;""),설정_코드표!$J$2:$J$101,0)),"⚠"&amp;TRIM(K655&amp;"")))</f>
        <v/>
      </c>
      <c r="T655" s="10">
        <f>IF(TRIM(M655&amp;"")="","",IF(ISNUMBER(MATCH(TRIM(M655&amp;""),설정_코드표!$C$2:$C$11,0)),TRIM(M655&amp;""),"⚠"&amp;TRIM(M655&amp;"")))</f>
        <v/>
      </c>
      <c r="U655" s="10">
        <f>IF(TRIM(L655&amp;"")="","",IFERROR(INDEX(설정_코드표!$G$2:$G$101,MATCH(TRIM(L655&amp;""),설정_코드표!$F$2:$F$101,0)),"⚠"&amp;TRIM(L655&amp;"")))</f>
        <v/>
      </c>
      <c r="V655" s="10">
        <f>IF(AND(ISNUMBER(H655),ISNUMBER(I655)),I655-H655+1,"")</f>
        <v/>
      </c>
      <c r="W655" s="17">
        <f>IF(ISNUMBER(H655),MAX(0,MIN(IF(ISNUMBER(I655),I655,EOMONTH(출력_요약!$B$3,0)),EOMONTH(출력_요약!$B$3,0))-MAX(H655,출력_요약!$B$3)+1),0)</f>
        <v/>
      </c>
      <c r="X655" s="10">
        <f>IF(OR(NOT(ISNUMBER(H655)),Q655=""),"",IF(TODAY()&lt;H655,"파견예정",IF(AND(ISNUMBER(I655),TODAY()&gt;I655),"파견종료","파견중")))</f>
        <v/>
      </c>
      <c r="Y655" s="10">
        <f>IF(OR(Q655="",X655=""),"",Q655&amp;"|"&amp;X655)</f>
        <v/>
      </c>
      <c r="Z655" s="10">
        <f>IF(AND(Q655&lt;&gt;"",W655&gt;0),Q655&amp;"|월","")</f>
        <v/>
      </c>
      <c r="AA655" s="10">
        <f>IF(COUNTA(B655:I655,K655:N655)=0,"",IF(Q655="","등록번호 없음",IF(LEFT(R655,1)="⚠","모병원명 미등록",IF(S655="","파견병원 입력",IF(LEFT(S655,1)="⚠","파견병원명 미등록",IF(LEFT(U655,1)="⚠","파견과목 미등록",IF(OR(T655="",LEFT(T655,1)="⚠"),"파견근거 확인",IF(NOT(AND(ISNUMBER(H655),ISNUMBER(I655))),"날짜 형식/누락",IF(I655&lt;H655,"종료일&lt;시작일","")))))))))</f>
        <v/>
      </c>
      <c r="AB655" s="11">
        <f>IF(ISNUMBER(SEARCH("다기관",TRIM(N655&amp;" "&amp;O655))),IFERROR(DATE(VALUE(MID(TRIM(N655&amp;" "&amp;O655),1,4)),VALUE(MID(TRIM(N655&amp;" "&amp;O655),6,2)),VALUE(MID(TRIM(N655&amp;" "&amp;O655),9,2))),IF(ISNUMBER(H655),H655,"")),"")</f>
        <v/>
      </c>
      <c r="AC655" s="11">
        <f>IF(ISNUMBER(SEARCH("다기관",TRIM(N655&amp;" "&amp;O655))),IFERROR(DATE(VALUE(MID(TRIM(N655&amp;" "&amp;O655),12,4)),VALUE(MID(TRIM(N655&amp;" "&amp;O655),17,2)),VALUE(MID(TRIM(N655&amp;" "&amp;O655),20,2))),IF(ISNUMBER(I655),I655,"")),"")</f>
        <v/>
      </c>
      <c r="AD655" s="17">
        <f>IF(AND(ISNUMBER(AB655),ISNUMBER(AC655)),MAX(0,MIN(AC655,EOMONTH(출력_요약!$B$3,0))-MAX(AB655,출력_요약!$B$3)+1),0)</f>
        <v/>
      </c>
      <c r="AE655" s="10">
        <f>IF(AND(Q655&lt;&gt;"",ISNUMBER(AB655)),Q655&amp;"|다기관","")</f>
        <v/>
      </c>
    </row>
    <row r="656">
      <c r="A656" s="15">
        <f>IF(F656="","",ROW()-3)</f>
        <v/>
      </c>
      <c r="B656" s="5" t="n"/>
      <c r="C656" s="15" t="n"/>
      <c r="D656" s="5" t="n"/>
      <c r="E656" s="15" t="n"/>
      <c r="F656" s="5" t="n"/>
      <c r="G656" s="6" t="n"/>
      <c r="H656" s="16" t="n"/>
      <c r="I656" s="16" t="n"/>
      <c r="J656" s="15">
        <f>IF(AND(ISNUMBER(H656),ISNUMBER(I656)),I656-H656+1,"")</f>
        <v/>
      </c>
      <c r="K656" s="5" t="n"/>
      <c r="L656" s="5" t="n"/>
      <c r="M656" s="5" t="n"/>
      <c r="N656" s="5" t="n"/>
      <c r="O656" s="5" t="n"/>
      <c r="Q656" s="10">
        <f>IF(TRIM(G656&amp;"")="","",TRIM(G656&amp;""))</f>
        <v/>
      </c>
      <c r="R656" s="10">
        <f>IF(TRIM(B656&amp;"")="","",IFERROR(INDEX(설정_코드표!$K$2:$K$101,MATCH(TRIM(B656&amp;""),설정_코드표!$J$2:$J$101,0)),"⚠"&amp;TRIM(B656&amp;"")))</f>
        <v/>
      </c>
      <c r="S656" s="10">
        <f>IF(TRIM(K656&amp;"")="","",IFERROR(INDEX(설정_코드표!$K$2:$K$101,MATCH(TRIM(K656&amp;""),설정_코드표!$J$2:$J$101,0)),"⚠"&amp;TRIM(K656&amp;"")))</f>
        <v/>
      </c>
      <c r="T656" s="10">
        <f>IF(TRIM(M656&amp;"")="","",IF(ISNUMBER(MATCH(TRIM(M656&amp;""),설정_코드표!$C$2:$C$11,0)),TRIM(M656&amp;""),"⚠"&amp;TRIM(M656&amp;"")))</f>
        <v/>
      </c>
      <c r="U656" s="10">
        <f>IF(TRIM(L656&amp;"")="","",IFERROR(INDEX(설정_코드표!$G$2:$G$101,MATCH(TRIM(L656&amp;""),설정_코드표!$F$2:$F$101,0)),"⚠"&amp;TRIM(L656&amp;"")))</f>
        <v/>
      </c>
      <c r="V656" s="10">
        <f>IF(AND(ISNUMBER(H656),ISNUMBER(I656)),I656-H656+1,"")</f>
        <v/>
      </c>
      <c r="W656" s="17">
        <f>IF(ISNUMBER(H656),MAX(0,MIN(IF(ISNUMBER(I656),I656,EOMONTH(출력_요약!$B$3,0)),EOMONTH(출력_요약!$B$3,0))-MAX(H656,출력_요약!$B$3)+1),0)</f>
        <v/>
      </c>
      <c r="X656" s="10">
        <f>IF(OR(NOT(ISNUMBER(H656)),Q656=""),"",IF(TODAY()&lt;H656,"파견예정",IF(AND(ISNUMBER(I656),TODAY()&gt;I656),"파견종료","파견중")))</f>
        <v/>
      </c>
      <c r="Y656" s="10">
        <f>IF(OR(Q656="",X656=""),"",Q656&amp;"|"&amp;X656)</f>
        <v/>
      </c>
      <c r="Z656" s="10">
        <f>IF(AND(Q656&lt;&gt;"",W656&gt;0),Q656&amp;"|월","")</f>
        <v/>
      </c>
      <c r="AA656" s="10">
        <f>IF(COUNTA(B656:I656,K656:N656)=0,"",IF(Q656="","등록번호 없음",IF(LEFT(R656,1)="⚠","모병원명 미등록",IF(S656="","파견병원 입력",IF(LEFT(S656,1)="⚠","파견병원명 미등록",IF(LEFT(U656,1)="⚠","파견과목 미등록",IF(OR(T656="",LEFT(T656,1)="⚠"),"파견근거 확인",IF(NOT(AND(ISNUMBER(H656),ISNUMBER(I656))),"날짜 형식/누락",IF(I656&lt;H656,"종료일&lt;시작일","")))))))))</f>
        <v/>
      </c>
      <c r="AB656" s="11">
        <f>IF(ISNUMBER(SEARCH("다기관",TRIM(N656&amp;" "&amp;O656))),IFERROR(DATE(VALUE(MID(TRIM(N656&amp;" "&amp;O656),1,4)),VALUE(MID(TRIM(N656&amp;" "&amp;O656),6,2)),VALUE(MID(TRIM(N656&amp;" "&amp;O656),9,2))),IF(ISNUMBER(H656),H656,"")),"")</f>
        <v/>
      </c>
      <c r="AC656" s="11">
        <f>IF(ISNUMBER(SEARCH("다기관",TRIM(N656&amp;" "&amp;O656))),IFERROR(DATE(VALUE(MID(TRIM(N656&amp;" "&amp;O656),12,4)),VALUE(MID(TRIM(N656&amp;" "&amp;O656),17,2)),VALUE(MID(TRIM(N656&amp;" "&amp;O656),20,2))),IF(ISNUMBER(I656),I656,"")),"")</f>
        <v/>
      </c>
      <c r="AD656" s="17">
        <f>IF(AND(ISNUMBER(AB656),ISNUMBER(AC656)),MAX(0,MIN(AC656,EOMONTH(출력_요약!$B$3,0))-MAX(AB656,출력_요약!$B$3)+1),0)</f>
        <v/>
      </c>
      <c r="AE656" s="10">
        <f>IF(AND(Q656&lt;&gt;"",ISNUMBER(AB656)),Q656&amp;"|다기관","")</f>
        <v/>
      </c>
    </row>
    <row r="657">
      <c r="A657" s="15">
        <f>IF(F657="","",ROW()-3)</f>
        <v/>
      </c>
      <c r="B657" s="5" t="n"/>
      <c r="C657" s="15" t="n"/>
      <c r="D657" s="5" t="n"/>
      <c r="E657" s="15" t="n"/>
      <c r="F657" s="5" t="n"/>
      <c r="G657" s="6" t="n"/>
      <c r="H657" s="16" t="n"/>
      <c r="I657" s="16" t="n"/>
      <c r="J657" s="15">
        <f>IF(AND(ISNUMBER(H657),ISNUMBER(I657)),I657-H657+1,"")</f>
        <v/>
      </c>
      <c r="K657" s="5" t="n"/>
      <c r="L657" s="5" t="n"/>
      <c r="M657" s="5" t="n"/>
      <c r="N657" s="5" t="n"/>
      <c r="O657" s="5" t="n"/>
      <c r="Q657" s="10">
        <f>IF(TRIM(G657&amp;"")="","",TRIM(G657&amp;""))</f>
        <v/>
      </c>
      <c r="R657" s="10">
        <f>IF(TRIM(B657&amp;"")="","",IFERROR(INDEX(설정_코드표!$K$2:$K$101,MATCH(TRIM(B657&amp;""),설정_코드표!$J$2:$J$101,0)),"⚠"&amp;TRIM(B657&amp;"")))</f>
        <v/>
      </c>
      <c r="S657" s="10">
        <f>IF(TRIM(K657&amp;"")="","",IFERROR(INDEX(설정_코드표!$K$2:$K$101,MATCH(TRIM(K657&amp;""),설정_코드표!$J$2:$J$101,0)),"⚠"&amp;TRIM(K657&amp;"")))</f>
        <v/>
      </c>
      <c r="T657" s="10">
        <f>IF(TRIM(M657&amp;"")="","",IF(ISNUMBER(MATCH(TRIM(M657&amp;""),설정_코드표!$C$2:$C$11,0)),TRIM(M657&amp;""),"⚠"&amp;TRIM(M657&amp;"")))</f>
        <v/>
      </c>
      <c r="U657" s="10">
        <f>IF(TRIM(L657&amp;"")="","",IFERROR(INDEX(설정_코드표!$G$2:$G$101,MATCH(TRIM(L657&amp;""),설정_코드표!$F$2:$F$101,0)),"⚠"&amp;TRIM(L657&amp;"")))</f>
        <v/>
      </c>
      <c r="V657" s="10">
        <f>IF(AND(ISNUMBER(H657),ISNUMBER(I657)),I657-H657+1,"")</f>
        <v/>
      </c>
      <c r="W657" s="17">
        <f>IF(ISNUMBER(H657),MAX(0,MIN(IF(ISNUMBER(I657),I657,EOMONTH(출력_요약!$B$3,0)),EOMONTH(출력_요약!$B$3,0))-MAX(H657,출력_요약!$B$3)+1),0)</f>
        <v/>
      </c>
      <c r="X657" s="10">
        <f>IF(OR(NOT(ISNUMBER(H657)),Q657=""),"",IF(TODAY()&lt;H657,"파견예정",IF(AND(ISNUMBER(I657),TODAY()&gt;I657),"파견종료","파견중")))</f>
        <v/>
      </c>
      <c r="Y657" s="10">
        <f>IF(OR(Q657="",X657=""),"",Q657&amp;"|"&amp;X657)</f>
        <v/>
      </c>
      <c r="Z657" s="10">
        <f>IF(AND(Q657&lt;&gt;"",W657&gt;0),Q657&amp;"|월","")</f>
        <v/>
      </c>
      <c r="AA657" s="10">
        <f>IF(COUNTA(B657:I657,K657:N657)=0,"",IF(Q657="","등록번호 없음",IF(LEFT(R657,1)="⚠","모병원명 미등록",IF(S657="","파견병원 입력",IF(LEFT(S657,1)="⚠","파견병원명 미등록",IF(LEFT(U657,1)="⚠","파견과목 미등록",IF(OR(T657="",LEFT(T657,1)="⚠"),"파견근거 확인",IF(NOT(AND(ISNUMBER(H657),ISNUMBER(I657))),"날짜 형식/누락",IF(I657&lt;H657,"종료일&lt;시작일","")))))))))</f>
        <v/>
      </c>
      <c r="AB657" s="11">
        <f>IF(ISNUMBER(SEARCH("다기관",TRIM(N657&amp;" "&amp;O657))),IFERROR(DATE(VALUE(MID(TRIM(N657&amp;" "&amp;O657),1,4)),VALUE(MID(TRIM(N657&amp;" "&amp;O657),6,2)),VALUE(MID(TRIM(N657&amp;" "&amp;O657),9,2))),IF(ISNUMBER(H657),H657,"")),"")</f>
        <v/>
      </c>
      <c r="AC657" s="11">
        <f>IF(ISNUMBER(SEARCH("다기관",TRIM(N657&amp;" "&amp;O657))),IFERROR(DATE(VALUE(MID(TRIM(N657&amp;" "&amp;O657),12,4)),VALUE(MID(TRIM(N657&amp;" "&amp;O657),17,2)),VALUE(MID(TRIM(N657&amp;" "&amp;O657),20,2))),IF(ISNUMBER(I657),I657,"")),"")</f>
        <v/>
      </c>
      <c r="AD657" s="17">
        <f>IF(AND(ISNUMBER(AB657),ISNUMBER(AC657)),MAX(0,MIN(AC657,EOMONTH(출력_요약!$B$3,0))-MAX(AB657,출력_요약!$B$3)+1),0)</f>
        <v/>
      </c>
      <c r="AE657" s="10">
        <f>IF(AND(Q657&lt;&gt;"",ISNUMBER(AB657)),Q657&amp;"|다기관","")</f>
        <v/>
      </c>
    </row>
    <row r="658">
      <c r="A658" s="15">
        <f>IF(F658="","",ROW()-3)</f>
        <v/>
      </c>
      <c r="B658" s="5" t="n"/>
      <c r="C658" s="15" t="n"/>
      <c r="D658" s="5" t="n"/>
      <c r="E658" s="15" t="n"/>
      <c r="F658" s="5" t="n"/>
      <c r="G658" s="6" t="n"/>
      <c r="H658" s="16" t="n"/>
      <c r="I658" s="16" t="n"/>
      <c r="J658" s="15">
        <f>IF(AND(ISNUMBER(H658),ISNUMBER(I658)),I658-H658+1,"")</f>
        <v/>
      </c>
      <c r="K658" s="5" t="n"/>
      <c r="L658" s="5" t="n"/>
      <c r="M658" s="5" t="n"/>
      <c r="N658" s="5" t="n"/>
      <c r="O658" s="5" t="n"/>
      <c r="Q658" s="10">
        <f>IF(TRIM(G658&amp;"")="","",TRIM(G658&amp;""))</f>
        <v/>
      </c>
      <c r="R658" s="10">
        <f>IF(TRIM(B658&amp;"")="","",IFERROR(INDEX(설정_코드표!$K$2:$K$101,MATCH(TRIM(B658&amp;""),설정_코드표!$J$2:$J$101,0)),"⚠"&amp;TRIM(B658&amp;"")))</f>
        <v/>
      </c>
      <c r="S658" s="10">
        <f>IF(TRIM(K658&amp;"")="","",IFERROR(INDEX(설정_코드표!$K$2:$K$101,MATCH(TRIM(K658&amp;""),설정_코드표!$J$2:$J$101,0)),"⚠"&amp;TRIM(K658&amp;"")))</f>
        <v/>
      </c>
      <c r="T658" s="10">
        <f>IF(TRIM(M658&amp;"")="","",IF(ISNUMBER(MATCH(TRIM(M658&amp;""),설정_코드표!$C$2:$C$11,0)),TRIM(M658&amp;""),"⚠"&amp;TRIM(M658&amp;"")))</f>
        <v/>
      </c>
      <c r="U658" s="10">
        <f>IF(TRIM(L658&amp;"")="","",IFERROR(INDEX(설정_코드표!$G$2:$G$101,MATCH(TRIM(L658&amp;""),설정_코드표!$F$2:$F$101,0)),"⚠"&amp;TRIM(L658&amp;"")))</f>
        <v/>
      </c>
      <c r="V658" s="10">
        <f>IF(AND(ISNUMBER(H658),ISNUMBER(I658)),I658-H658+1,"")</f>
        <v/>
      </c>
      <c r="W658" s="17">
        <f>IF(ISNUMBER(H658),MAX(0,MIN(IF(ISNUMBER(I658),I658,EOMONTH(출력_요약!$B$3,0)),EOMONTH(출력_요약!$B$3,0))-MAX(H658,출력_요약!$B$3)+1),0)</f>
        <v/>
      </c>
      <c r="X658" s="10">
        <f>IF(OR(NOT(ISNUMBER(H658)),Q658=""),"",IF(TODAY()&lt;H658,"파견예정",IF(AND(ISNUMBER(I658),TODAY()&gt;I658),"파견종료","파견중")))</f>
        <v/>
      </c>
      <c r="Y658" s="10">
        <f>IF(OR(Q658="",X658=""),"",Q658&amp;"|"&amp;X658)</f>
        <v/>
      </c>
      <c r="Z658" s="10">
        <f>IF(AND(Q658&lt;&gt;"",W658&gt;0),Q658&amp;"|월","")</f>
        <v/>
      </c>
      <c r="AA658" s="10">
        <f>IF(COUNTA(B658:I658,K658:N658)=0,"",IF(Q658="","등록번호 없음",IF(LEFT(R658,1)="⚠","모병원명 미등록",IF(S658="","파견병원 입력",IF(LEFT(S658,1)="⚠","파견병원명 미등록",IF(LEFT(U658,1)="⚠","파견과목 미등록",IF(OR(T658="",LEFT(T658,1)="⚠"),"파견근거 확인",IF(NOT(AND(ISNUMBER(H658),ISNUMBER(I658))),"날짜 형식/누락",IF(I658&lt;H658,"종료일&lt;시작일","")))))))))</f>
        <v/>
      </c>
      <c r="AB658" s="11">
        <f>IF(ISNUMBER(SEARCH("다기관",TRIM(N658&amp;" "&amp;O658))),IFERROR(DATE(VALUE(MID(TRIM(N658&amp;" "&amp;O658),1,4)),VALUE(MID(TRIM(N658&amp;" "&amp;O658),6,2)),VALUE(MID(TRIM(N658&amp;" "&amp;O658),9,2))),IF(ISNUMBER(H658),H658,"")),"")</f>
        <v/>
      </c>
      <c r="AC658" s="11">
        <f>IF(ISNUMBER(SEARCH("다기관",TRIM(N658&amp;" "&amp;O658))),IFERROR(DATE(VALUE(MID(TRIM(N658&amp;" "&amp;O658),12,4)),VALUE(MID(TRIM(N658&amp;" "&amp;O658),17,2)),VALUE(MID(TRIM(N658&amp;" "&amp;O658),20,2))),IF(ISNUMBER(I658),I658,"")),"")</f>
        <v/>
      </c>
      <c r="AD658" s="17">
        <f>IF(AND(ISNUMBER(AB658),ISNUMBER(AC658)),MAX(0,MIN(AC658,EOMONTH(출력_요약!$B$3,0))-MAX(AB658,출력_요약!$B$3)+1),0)</f>
        <v/>
      </c>
      <c r="AE658" s="10">
        <f>IF(AND(Q658&lt;&gt;"",ISNUMBER(AB658)),Q658&amp;"|다기관","")</f>
        <v/>
      </c>
    </row>
    <row r="659">
      <c r="A659" s="15">
        <f>IF(F659="","",ROW()-3)</f>
        <v/>
      </c>
      <c r="B659" s="5" t="n"/>
      <c r="C659" s="15" t="n"/>
      <c r="D659" s="5" t="n"/>
      <c r="E659" s="15" t="n"/>
      <c r="F659" s="5" t="n"/>
      <c r="G659" s="6" t="n"/>
      <c r="H659" s="16" t="n"/>
      <c r="I659" s="16" t="n"/>
      <c r="J659" s="15">
        <f>IF(AND(ISNUMBER(H659),ISNUMBER(I659)),I659-H659+1,"")</f>
        <v/>
      </c>
      <c r="K659" s="5" t="n"/>
      <c r="L659" s="5" t="n"/>
      <c r="M659" s="5" t="n"/>
      <c r="N659" s="5" t="n"/>
      <c r="O659" s="5" t="n"/>
      <c r="Q659" s="10">
        <f>IF(TRIM(G659&amp;"")="","",TRIM(G659&amp;""))</f>
        <v/>
      </c>
      <c r="R659" s="10">
        <f>IF(TRIM(B659&amp;"")="","",IFERROR(INDEX(설정_코드표!$K$2:$K$101,MATCH(TRIM(B659&amp;""),설정_코드표!$J$2:$J$101,0)),"⚠"&amp;TRIM(B659&amp;"")))</f>
        <v/>
      </c>
      <c r="S659" s="10">
        <f>IF(TRIM(K659&amp;"")="","",IFERROR(INDEX(설정_코드표!$K$2:$K$101,MATCH(TRIM(K659&amp;""),설정_코드표!$J$2:$J$101,0)),"⚠"&amp;TRIM(K659&amp;"")))</f>
        <v/>
      </c>
      <c r="T659" s="10">
        <f>IF(TRIM(M659&amp;"")="","",IF(ISNUMBER(MATCH(TRIM(M659&amp;""),설정_코드표!$C$2:$C$11,0)),TRIM(M659&amp;""),"⚠"&amp;TRIM(M659&amp;"")))</f>
        <v/>
      </c>
      <c r="U659" s="10">
        <f>IF(TRIM(L659&amp;"")="","",IFERROR(INDEX(설정_코드표!$G$2:$G$101,MATCH(TRIM(L659&amp;""),설정_코드표!$F$2:$F$101,0)),"⚠"&amp;TRIM(L659&amp;"")))</f>
        <v/>
      </c>
      <c r="V659" s="10">
        <f>IF(AND(ISNUMBER(H659),ISNUMBER(I659)),I659-H659+1,"")</f>
        <v/>
      </c>
      <c r="W659" s="17">
        <f>IF(ISNUMBER(H659),MAX(0,MIN(IF(ISNUMBER(I659),I659,EOMONTH(출력_요약!$B$3,0)),EOMONTH(출력_요약!$B$3,0))-MAX(H659,출력_요약!$B$3)+1),0)</f>
        <v/>
      </c>
      <c r="X659" s="10">
        <f>IF(OR(NOT(ISNUMBER(H659)),Q659=""),"",IF(TODAY()&lt;H659,"파견예정",IF(AND(ISNUMBER(I659),TODAY()&gt;I659),"파견종료","파견중")))</f>
        <v/>
      </c>
      <c r="Y659" s="10">
        <f>IF(OR(Q659="",X659=""),"",Q659&amp;"|"&amp;X659)</f>
        <v/>
      </c>
      <c r="Z659" s="10">
        <f>IF(AND(Q659&lt;&gt;"",W659&gt;0),Q659&amp;"|월","")</f>
        <v/>
      </c>
      <c r="AA659" s="10">
        <f>IF(COUNTA(B659:I659,K659:N659)=0,"",IF(Q659="","등록번호 없음",IF(LEFT(R659,1)="⚠","모병원명 미등록",IF(S659="","파견병원 입력",IF(LEFT(S659,1)="⚠","파견병원명 미등록",IF(LEFT(U659,1)="⚠","파견과목 미등록",IF(OR(T659="",LEFT(T659,1)="⚠"),"파견근거 확인",IF(NOT(AND(ISNUMBER(H659),ISNUMBER(I659))),"날짜 형식/누락",IF(I659&lt;H659,"종료일&lt;시작일","")))))))))</f>
        <v/>
      </c>
      <c r="AB659" s="11">
        <f>IF(ISNUMBER(SEARCH("다기관",TRIM(N659&amp;" "&amp;O659))),IFERROR(DATE(VALUE(MID(TRIM(N659&amp;" "&amp;O659),1,4)),VALUE(MID(TRIM(N659&amp;" "&amp;O659),6,2)),VALUE(MID(TRIM(N659&amp;" "&amp;O659),9,2))),IF(ISNUMBER(H659),H659,"")),"")</f>
        <v/>
      </c>
      <c r="AC659" s="11">
        <f>IF(ISNUMBER(SEARCH("다기관",TRIM(N659&amp;" "&amp;O659))),IFERROR(DATE(VALUE(MID(TRIM(N659&amp;" "&amp;O659),12,4)),VALUE(MID(TRIM(N659&amp;" "&amp;O659),17,2)),VALUE(MID(TRIM(N659&amp;" "&amp;O659),20,2))),IF(ISNUMBER(I659),I659,"")),"")</f>
        <v/>
      </c>
      <c r="AD659" s="17">
        <f>IF(AND(ISNUMBER(AB659),ISNUMBER(AC659)),MAX(0,MIN(AC659,EOMONTH(출력_요약!$B$3,0))-MAX(AB659,출력_요약!$B$3)+1),0)</f>
        <v/>
      </c>
      <c r="AE659" s="10">
        <f>IF(AND(Q659&lt;&gt;"",ISNUMBER(AB659)),Q659&amp;"|다기관","")</f>
        <v/>
      </c>
    </row>
    <row r="660">
      <c r="A660" s="15">
        <f>IF(F660="","",ROW()-3)</f>
        <v/>
      </c>
      <c r="B660" s="5" t="n"/>
      <c r="C660" s="15" t="n"/>
      <c r="D660" s="5" t="n"/>
      <c r="E660" s="15" t="n"/>
      <c r="F660" s="5" t="n"/>
      <c r="G660" s="6" t="n"/>
      <c r="H660" s="16" t="n"/>
      <c r="I660" s="16" t="n"/>
      <c r="J660" s="15">
        <f>IF(AND(ISNUMBER(H660),ISNUMBER(I660)),I660-H660+1,"")</f>
        <v/>
      </c>
      <c r="K660" s="5" t="n"/>
      <c r="L660" s="5" t="n"/>
      <c r="M660" s="5" t="n"/>
      <c r="N660" s="5" t="n"/>
      <c r="O660" s="5" t="n"/>
      <c r="Q660" s="10">
        <f>IF(TRIM(G660&amp;"")="","",TRIM(G660&amp;""))</f>
        <v/>
      </c>
      <c r="R660" s="10">
        <f>IF(TRIM(B660&amp;"")="","",IFERROR(INDEX(설정_코드표!$K$2:$K$101,MATCH(TRIM(B660&amp;""),설정_코드표!$J$2:$J$101,0)),"⚠"&amp;TRIM(B660&amp;"")))</f>
        <v/>
      </c>
      <c r="S660" s="10">
        <f>IF(TRIM(K660&amp;"")="","",IFERROR(INDEX(설정_코드표!$K$2:$K$101,MATCH(TRIM(K660&amp;""),설정_코드표!$J$2:$J$101,0)),"⚠"&amp;TRIM(K660&amp;"")))</f>
        <v/>
      </c>
      <c r="T660" s="10">
        <f>IF(TRIM(M660&amp;"")="","",IF(ISNUMBER(MATCH(TRIM(M660&amp;""),설정_코드표!$C$2:$C$11,0)),TRIM(M660&amp;""),"⚠"&amp;TRIM(M660&amp;"")))</f>
        <v/>
      </c>
      <c r="U660" s="10">
        <f>IF(TRIM(L660&amp;"")="","",IFERROR(INDEX(설정_코드표!$G$2:$G$101,MATCH(TRIM(L660&amp;""),설정_코드표!$F$2:$F$101,0)),"⚠"&amp;TRIM(L660&amp;"")))</f>
        <v/>
      </c>
      <c r="V660" s="10">
        <f>IF(AND(ISNUMBER(H660),ISNUMBER(I660)),I660-H660+1,"")</f>
        <v/>
      </c>
      <c r="W660" s="17">
        <f>IF(ISNUMBER(H660),MAX(0,MIN(IF(ISNUMBER(I660),I660,EOMONTH(출력_요약!$B$3,0)),EOMONTH(출력_요약!$B$3,0))-MAX(H660,출력_요약!$B$3)+1),0)</f>
        <v/>
      </c>
      <c r="X660" s="10">
        <f>IF(OR(NOT(ISNUMBER(H660)),Q660=""),"",IF(TODAY()&lt;H660,"파견예정",IF(AND(ISNUMBER(I660),TODAY()&gt;I660),"파견종료","파견중")))</f>
        <v/>
      </c>
      <c r="Y660" s="10">
        <f>IF(OR(Q660="",X660=""),"",Q660&amp;"|"&amp;X660)</f>
        <v/>
      </c>
      <c r="Z660" s="10">
        <f>IF(AND(Q660&lt;&gt;"",W660&gt;0),Q660&amp;"|월","")</f>
        <v/>
      </c>
      <c r="AA660" s="10">
        <f>IF(COUNTA(B660:I660,K660:N660)=0,"",IF(Q660="","등록번호 없음",IF(LEFT(R660,1)="⚠","모병원명 미등록",IF(S660="","파견병원 입력",IF(LEFT(S660,1)="⚠","파견병원명 미등록",IF(LEFT(U660,1)="⚠","파견과목 미등록",IF(OR(T660="",LEFT(T660,1)="⚠"),"파견근거 확인",IF(NOT(AND(ISNUMBER(H660),ISNUMBER(I660))),"날짜 형식/누락",IF(I660&lt;H660,"종료일&lt;시작일","")))))))))</f>
        <v/>
      </c>
      <c r="AB660" s="11">
        <f>IF(ISNUMBER(SEARCH("다기관",TRIM(N660&amp;" "&amp;O660))),IFERROR(DATE(VALUE(MID(TRIM(N660&amp;" "&amp;O660),1,4)),VALUE(MID(TRIM(N660&amp;" "&amp;O660),6,2)),VALUE(MID(TRIM(N660&amp;" "&amp;O660),9,2))),IF(ISNUMBER(H660),H660,"")),"")</f>
        <v/>
      </c>
      <c r="AC660" s="11">
        <f>IF(ISNUMBER(SEARCH("다기관",TRIM(N660&amp;" "&amp;O660))),IFERROR(DATE(VALUE(MID(TRIM(N660&amp;" "&amp;O660),12,4)),VALUE(MID(TRIM(N660&amp;" "&amp;O660),17,2)),VALUE(MID(TRIM(N660&amp;" "&amp;O660),20,2))),IF(ISNUMBER(I660),I660,"")),"")</f>
        <v/>
      </c>
      <c r="AD660" s="17">
        <f>IF(AND(ISNUMBER(AB660),ISNUMBER(AC660)),MAX(0,MIN(AC660,EOMONTH(출력_요약!$B$3,0))-MAX(AB660,출력_요약!$B$3)+1),0)</f>
        <v/>
      </c>
      <c r="AE660" s="10">
        <f>IF(AND(Q660&lt;&gt;"",ISNUMBER(AB660)),Q660&amp;"|다기관","")</f>
        <v/>
      </c>
    </row>
    <row r="661">
      <c r="A661" s="15">
        <f>IF(F661="","",ROW()-3)</f>
        <v/>
      </c>
      <c r="B661" s="5" t="n"/>
      <c r="C661" s="15" t="n"/>
      <c r="D661" s="5" t="n"/>
      <c r="E661" s="15" t="n"/>
      <c r="F661" s="5" t="n"/>
      <c r="G661" s="6" t="n"/>
      <c r="H661" s="16" t="n"/>
      <c r="I661" s="16" t="n"/>
      <c r="J661" s="15">
        <f>IF(AND(ISNUMBER(H661),ISNUMBER(I661)),I661-H661+1,"")</f>
        <v/>
      </c>
      <c r="K661" s="5" t="n"/>
      <c r="L661" s="5" t="n"/>
      <c r="M661" s="5" t="n"/>
      <c r="N661" s="5" t="n"/>
      <c r="O661" s="5" t="n"/>
      <c r="Q661" s="10">
        <f>IF(TRIM(G661&amp;"")="","",TRIM(G661&amp;""))</f>
        <v/>
      </c>
      <c r="R661" s="10">
        <f>IF(TRIM(B661&amp;"")="","",IFERROR(INDEX(설정_코드표!$K$2:$K$101,MATCH(TRIM(B661&amp;""),설정_코드표!$J$2:$J$101,0)),"⚠"&amp;TRIM(B661&amp;"")))</f>
        <v/>
      </c>
      <c r="S661" s="10">
        <f>IF(TRIM(K661&amp;"")="","",IFERROR(INDEX(설정_코드표!$K$2:$K$101,MATCH(TRIM(K661&amp;""),설정_코드표!$J$2:$J$101,0)),"⚠"&amp;TRIM(K661&amp;"")))</f>
        <v/>
      </c>
      <c r="T661" s="10">
        <f>IF(TRIM(M661&amp;"")="","",IF(ISNUMBER(MATCH(TRIM(M661&amp;""),설정_코드표!$C$2:$C$11,0)),TRIM(M661&amp;""),"⚠"&amp;TRIM(M661&amp;"")))</f>
        <v/>
      </c>
      <c r="U661" s="10">
        <f>IF(TRIM(L661&amp;"")="","",IFERROR(INDEX(설정_코드표!$G$2:$G$101,MATCH(TRIM(L661&amp;""),설정_코드표!$F$2:$F$101,0)),"⚠"&amp;TRIM(L661&amp;"")))</f>
        <v/>
      </c>
      <c r="V661" s="10">
        <f>IF(AND(ISNUMBER(H661),ISNUMBER(I661)),I661-H661+1,"")</f>
        <v/>
      </c>
      <c r="W661" s="17">
        <f>IF(ISNUMBER(H661),MAX(0,MIN(IF(ISNUMBER(I661),I661,EOMONTH(출력_요약!$B$3,0)),EOMONTH(출력_요약!$B$3,0))-MAX(H661,출력_요약!$B$3)+1),0)</f>
        <v/>
      </c>
      <c r="X661" s="10">
        <f>IF(OR(NOT(ISNUMBER(H661)),Q661=""),"",IF(TODAY()&lt;H661,"파견예정",IF(AND(ISNUMBER(I661),TODAY()&gt;I661),"파견종료","파견중")))</f>
        <v/>
      </c>
      <c r="Y661" s="10">
        <f>IF(OR(Q661="",X661=""),"",Q661&amp;"|"&amp;X661)</f>
        <v/>
      </c>
      <c r="Z661" s="10">
        <f>IF(AND(Q661&lt;&gt;"",W661&gt;0),Q661&amp;"|월","")</f>
        <v/>
      </c>
      <c r="AA661" s="10">
        <f>IF(COUNTA(B661:I661,K661:N661)=0,"",IF(Q661="","등록번호 없음",IF(LEFT(R661,1)="⚠","모병원명 미등록",IF(S661="","파견병원 입력",IF(LEFT(S661,1)="⚠","파견병원명 미등록",IF(LEFT(U661,1)="⚠","파견과목 미등록",IF(OR(T661="",LEFT(T661,1)="⚠"),"파견근거 확인",IF(NOT(AND(ISNUMBER(H661),ISNUMBER(I661))),"날짜 형식/누락",IF(I661&lt;H661,"종료일&lt;시작일","")))))))))</f>
        <v/>
      </c>
      <c r="AB661" s="11">
        <f>IF(ISNUMBER(SEARCH("다기관",TRIM(N661&amp;" "&amp;O661))),IFERROR(DATE(VALUE(MID(TRIM(N661&amp;" "&amp;O661),1,4)),VALUE(MID(TRIM(N661&amp;" "&amp;O661),6,2)),VALUE(MID(TRIM(N661&amp;" "&amp;O661),9,2))),IF(ISNUMBER(H661),H661,"")),"")</f>
        <v/>
      </c>
      <c r="AC661" s="11">
        <f>IF(ISNUMBER(SEARCH("다기관",TRIM(N661&amp;" "&amp;O661))),IFERROR(DATE(VALUE(MID(TRIM(N661&amp;" "&amp;O661),12,4)),VALUE(MID(TRIM(N661&amp;" "&amp;O661),17,2)),VALUE(MID(TRIM(N661&amp;" "&amp;O661),20,2))),IF(ISNUMBER(I661),I661,"")),"")</f>
        <v/>
      </c>
      <c r="AD661" s="17">
        <f>IF(AND(ISNUMBER(AB661),ISNUMBER(AC661)),MAX(0,MIN(AC661,EOMONTH(출력_요약!$B$3,0))-MAX(AB661,출력_요약!$B$3)+1),0)</f>
        <v/>
      </c>
      <c r="AE661" s="10">
        <f>IF(AND(Q661&lt;&gt;"",ISNUMBER(AB661)),Q661&amp;"|다기관","")</f>
        <v/>
      </c>
    </row>
    <row r="662">
      <c r="A662" s="15">
        <f>IF(F662="","",ROW()-3)</f>
        <v/>
      </c>
      <c r="B662" s="5" t="n"/>
      <c r="C662" s="15" t="n"/>
      <c r="D662" s="5" t="n"/>
      <c r="E662" s="15" t="n"/>
      <c r="F662" s="5" t="n"/>
      <c r="G662" s="6" t="n"/>
      <c r="H662" s="16" t="n"/>
      <c r="I662" s="16" t="n"/>
      <c r="J662" s="15">
        <f>IF(AND(ISNUMBER(H662),ISNUMBER(I662)),I662-H662+1,"")</f>
        <v/>
      </c>
      <c r="K662" s="5" t="n"/>
      <c r="L662" s="5" t="n"/>
      <c r="M662" s="5" t="n"/>
      <c r="N662" s="5" t="n"/>
      <c r="O662" s="5" t="n"/>
      <c r="Q662" s="10">
        <f>IF(TRIM(G662&amp;"")="","",TRIM(G662&amp;""))</f>
        <v/>
      </c>
      <c r="R662" s="10">
        <f>IF(TRIM(B662&amp;"")="","",IFERROR(INDEX(설정_코드표!$K$2:$K$101,MATCH(TRIM(B662&amp;""),설정_코드표!$J$2:$J$101,0)),"⚠"&amp;TRIM(B662&amp;"")))</f>
        <v/>
      </c>
      <c r="S662" s="10">
        <f>IF(TRIM(K662&amp;"")="","",IFERROR(INDEX(설정_코드표!$K$2:$K$101,MATCH(TRIM(K662&amp;""),설정_코드표!$J$2:$J$101,0)),"⚠"&amp;TRIM(K662&amp;"")))</f>
        <v/>
      </c>
      <c r="T662" s="10">
        <f>IF(TRIM(M662&amp;"")="","",IF(ISNUMBER(MATCH(TRIM(M662&amp;""),설정_코드표!$C$2:$C$11,0)),TRIM(M662&amp;""),"⚠"&amp;TRIM(M662&amp;"")))</f>
        <v/>
      </c>
      <c r="U662" s="10">
        <f>IF(TRIM(L662&amp;"")="","",IFERROR(INDEX(설정_코드표!$G$2:$G$101,MATCH(TRIM(L662&amp;""),설정_코드표!$F$2:$F$101,0)),"⚠"&amp;TRIM(L662&amp;"")))</f>
        <v/>
      </c>
      <c r="V662" s="10">
        <f>IF(AND(ISNUMBER(H662),ISNUMBER(I662)),I662-H662+1,"")</f>
        <v/>
      </c>
      <c r="W662" s="17">
        <f>IF(ISNUMBER(H662),MAX(0,MIN(IF(ISNUMBER(I662),I662,EOMONTH(출력_요약!$B$3,0)),EOMONTH(출력_요약!$B$3,0))-MAX(H662,출력_요약!$B$3)+1),0)</f>
        <v/>
      </c>
      <c r="X662" s="10">
        <f>IF(OR(NOT(ISNUMBER(H662)),Q662=""),"",IF(TODAY()&lt;H662,"파견예정",IF(AND(ISNUMBER(I662),TODAY()&gt;I662),"파견종료","파견중")))</f>
        <v/>
      </c>
      <c r="Y662" s="10">
        <f>IF(OR(Q662="",X662=""),"",Q662&amp;"|"&amp;X662)</f>
        <v/>
      </c>
      <c r="Z662" s="10">
        <f>IF(AND(Q662&lt;&gt;"",W662&gt;0),Q662&amp;"|월","")</f>
        <v/>
      </c>
      <c r="AA662" s="10">
        <f>IF(COUNTA(B662:I662,K662:N662)=0,"",IF(Q662="","등록번호 없음",IF(LEFT(R662,1)="⚠","모병원명 미등록",IF(S662="","파견병원 입력",IF(LEFT(S662,1)="⚠","파견병원명 미등록",IF(LEFT(U662,1)="⚠","파견과목 미등록",IF(OR(T662="",LEFT(T662,1)="⚠"),"파견근거 확인",IF(NOT(AND(ISNUMBER(H662),ISNUMBER(I662))),"날짜 형식/누락",IF(I662&lt;H662,"종료일&lt;시작일","")))))))))</f>
        <v/>
      </c>
      <c r="AB662" s="11">
        <f>IF(ISNUMBER(SEARCH("다기관",TRIM(N662&amp;" "&amp;O662))),IFERROR(DATE(VALUE(MID(TRIM(N662&amp;" "&amp;O662),1,4)),VALUE(MID(TRIM(N662&amp;" "&amp;O662),6,2)),VALUE(MID(TRIM(N662&amp;" "&amp;O662),9,2))),IF(ISNUMBER(H662),H662,"")),"")</f>
        <v/>
      </c>
      <c r="AC662" s="11">
        <f>IF(ISNUMBER(SEARCH("다기관",TRIM(N662&amp;" "&amp;O662))),IFERROR(DATE(VALUE(MID(TRIM(N662&amp;" "&amp;O662),12,4)),VALUE(MID(TRIM(N662&amp;" "&amp;O662),17,2)),VALUE(MID(TRIM(N662&amp;" "&amp;O662),20,2))),IF(ISNUMBER(I662),I662,"")),"")</f>
        <v/>
      </c>
      <c r="AD662" s="17">
        <f>IF(AND(ISNUMBER(AB662),ISNUMBER(AC662)),MAX(0,MIN(AC662,EOMONTH(출력_요약!$B$3,0))-MAX(AB662,출력_요약!$B$3)+1),0)</f>
        <v/>
      </c>
      <c r="AE662" s="10">
        <f>IF(AND(Q662&lt;&gt;"",ISNUMBER(AB662)),Q662&amp;"|다기관","")</f>
        <v/>
      </c>
    </row>
    <row r="663">
      <c r="A663" s="15">
        <f>IF(F663="","",ROW()-3)</f>
        <v/>
      </c>
      <c r="B663" s="5" t="n"/>
      <c r="C663" s="15" t="n"/>
      <c r="D663" s="5" t="n"/>
      <c r="E663" s="15" t="n"/>
      <c r="F663" s="5" t="n"/>
      <c r="G663" s="6" t="n"/>
      <c r="H663" s="16" t="n"/>
      <c r="I663" s="16" t="n"/>
      <c r="J663" s="15">
        <f>IF(AND(ISNUMBER(H663),ISNUMBER(I663)),I663-H663+1,"")</f>
        <v/>
      </c>
      <c r="K663" s="5" t="n"/>
      <c r="L663" s="5" t="n"/>
      <c r="M663" s="5" t="n"/>
      <c r="N663" s="5" t="n"/>
      <c r="O663" s="5" t="n"/>
      <c r="Q663" s="10">
        <f>IF(TRIM(G663&amp;"")="","",TRIM(G663&amp;""))</f>
        <v/>
      </c>
      <c r="R663" s="10">
        <f>IF(TRIM(B663&amp;"")="","",IFERROR(INDEX(설정_코드표!$K$2:$K$101,MATCH(TRIM(B663&amp;""),설정_코드표!$J$2:$J$101,0)),"⚠"&amp;TRIM(B663&amp;"")))</f>
        <v/>
      </c>
      <c r="S663" s="10">
        <f>IF(TRIM(K663&amp;"")="","",IFERROR(INDEX(설정_코드표!$K$2:$K$101,MATCH(TRIM(K663&amp;""),설정_코드표!$J$2:$J$101,0)),"⚠"&amp;TRIM(K663&amp;"")))</f>
        <v/>
      </c>
      <c r="T663" s="10">
        <f>IF(TRIM(M663&amp;"")="","",IF(ISNUMBER(MATCH(TRIM(M663&amp;""),설정_코드표!$C$2:$C$11,0)),TRIM(M663&amp;""),"⚠"&amp;TRIM(M663&amp;"")))</f>
        <v/>
      </c>
      <c r="U663" s="10">
        <f>IF(TRIM(L663&amp;"")="","",IFERROR(INDEX(설정_코드표!$G$2:$G$101,MATCH(TRIM(L663&amp;""),설정_코드표!$F$2:$F$101,0)),"⚠"&amp;TRIM(L663&amp;"")))</f>
        <v/>
      </c>
      <c r="V663" s="10">
        <f>IF(AND(ISNUMBER(H663),ISNUMBER(I663)),I663-H663+1,"")</f>
        <v/>
      </c>
      <c r="W663" s="17">
        <f>IF(ISNUMBER(H663),MAX(0,MIN(IF(ISNUMBER(I663),I663,EOMONTH(출력_요약!$B$3,0)),EOMONTH(출력_요약!$B$3,0))-MAX(H663,출력_요약!$B$3)+1),0)</f>
        <v/>
      </c>
      <c r="X663" s="10">
        <f>IF(OR(NOT(ISNUMBER(H663)),Q663=""),"",IF(TODAY()&lt;H663,"파견예정",IF(AND(ISNUMBER(I663),TODAY()&gt;I663),"파견종료","파견중")))</f>
        <v/>
      </c>
      <c r="Y663" s="10">
        <f>IF(OR(Q663="",X663=""),"",Q663&amp;"|"&amp;X663)</f>
        <v/>
      </c>
      <c r="Z663" s="10">
        <f>IF(AND(Q663&lt;&gt;"",W663&gt;0),Q663&amp;"|월","")</f>
        <v/>
      </c>
      <c r="AA663" s="10">
        <f>IF(COUNTA(B663:I663,K663:N663)=0,"",IF(Q663="","등록번호 없음",IF(LEFT(R663,1)="⚠","모병원명 미등록",IF(S663="","파견병원 입력",IF(LEFT(S663,1)="⚠","파견병원명 미등록",IF(LEFT(U663,1)="⚠","파견과목 미등록",IF(OR(T663="",LEFT(T663,1)="⚠"),"파견근거 확인",IF(NOT(AND(ISNUMBER(H663),ISNUMBER(I663))),"날짜 형식/누락",IF(I663&lt;H663,"종료일&lt;시작일","")))))))))</f>
        <v/>
      </c>
      <c r="AB663" s="11">
        <f>IF(ISNUMBER(SEARCH("다기관",TRIM(N663&amp;" "&amp;O663))),IFERROR(DATE(VALUE(MID(TRIM(N663&amp;" "&amp;O663),1,4)),VALUE(MID(TRIM(N663&amp;" "&amp;O663),6,2)),VALUE(MID(TRIM(N663&amp;" "&amp;O663),9,2))),IF(ISNUMBER(H663),H663,"")),"")</f>
        <v/>
      </c>
      <c r="AC663" s="11">
        <f>IF(ISNUMBER(SEARCH("다기관",TRIM(N663&amp;" "&amp;O663))),IFERROR(DATE(VALUE(MID(TRIM(N663&amp;" "&amp;O663),12,4)),VALUE(MID(TRIM(N663&amp;" "&amp;O663),17,2)),VALUE(MID(TRIM(N663&amp;" "&amp;O663),20,2))),IF(ISNUMBER(I663),I663,"")),"")</f>
        <v/>
      </c>
      <c r="AD663" s="17">
        <f>IF(AND(ISNUMBER(AB663),ISNUMBER(AC663)),MAX(0,MIN(AC663,EOMONTH(출력_요약!$B$3,0))-MAX(AB663,출력_요약!$B$3)+1),0)</f>
        <v/>
      </c>
      <c r="AE663" s="10">
        <f>IF(AND(Q663&lt;&gt;"",ISNUMBER(AB663)),Q663&amp;"|다기관","")</f>
        <v/>
      </c>
    </row>
    <row r="664">
      <c r="A664" s="15">
        <f>IF(F664="","",ROW()-3)</f>
        <v/>
      </c>
      <c r="B664" s="5" t="n"/>
      <c r="C664" s="15" t="n"/>
      <c r="D664" s="5" t="n"/>
      <c r="E664" s="15" t="n"/>
      <c r="F664" s="5" t="n"/>
      <c r="G664" s="6" t="n"/>
      <c r="H664" s="16" t="n"/>
      <c r="I664" s="16" t="n"/>
      <c r="J664" s="15">
        <f>IF(AND(ISNUMBER(H664),ISNUMBER(I664)),I664-H664+1,"")</f>
        <v/>
      </c>
      <c r="K664" s="5" t="n"/>
      <c r="L664" s="5" t="n"/>
      <c r="M664" s="5" t="n"/>
      <c r="N664" s="5" t="n"/>
      <c r="O664" s="5" t="n"/>
      <c r="Q664" s="10">
        <f>IF(TRIM(G664&amp;"")="","",TRIM(G664&amp;""))</f>
        <v/>
      </c>
      <c r="R664" s="10">
        <f>IF(TRIM(B664&amp;"")="","",IFERROR(INDEX(설정_코드표!$K$2:$K$101,MATCH(TRIM(B664&amp;""),설정_코드표!$J$2:$J$101,0)),"⚠"&amp;TRIM(B664&amp;"")))</f>
        <v/>
      </c>
      <c r="S664" s="10">
        <f>IF(TRIM(K664&amp;"")="","",IFERROR(INDEX(설정_코드표!$K$2:$K$101,MATCH(TRIM(K664&amp;""),설정_코드표!$J$2:$J$101,0)),"⚠"&amp;TRIM(K664&amp;"")))</f>
        <v/>
      </c>
      <c r="T664" s="10">
        <f>IF(TRIM(M664&amp;"")="","",IF(ISNUMBER(MATCH(TRIM(M664&amp;""),설정_코드표!$C$2:$C$11,0)),TRIM(M664&amp;""),"⚠"&amp;TRIM(M664&amp;"")))</f>
        <v/>
      </c>
      <c r="U664" s="10">
        <f>IF(TRIM(L664&amp;"")="","",IFERROR(INDEX(설정_코드표!$G$2:$G$101,MATCH(TRIM(L664&amp;""),설정_코드표!$F$2:$F$101,0)),"⚠"&amp;TRIM(L664&amp;"")))</f>
        <v/>
      </c>
      <c r="V664" s="10">
        <f>IF(AND(ISNUMBER(H664),ISNUMBER(I664)),I664-H664+1,"")</f>
        <v/>
      </c>
      <c r="W664" s="17">
        <f>IF(ISNUMBER(H664),MAX(0,MIN(IF(ISNUMBER(I664),I664,EOMONTH(출력_요약!$B$3,0)),EOMONTH(출력_요약!$B$3,0))-MAX(H664,출력_요약!$B$3)+1),0)</f>
        <v/>
      </c>
      <c r="X664" s="10">
        <f>IF(OR(NOT(ISNUMBER(H664)),Q664=""),"",IF(TODAY()&lt;H664,"파견예정",IF(AND(ISNUMBER(I664),TODAY()&gt;I664),"파견종료","파견중")))</f>
        <v/>
      </c>
      <c r="Y664" s="10">
        <f>IF(OR(Q664="",X664=""),"",Q664&amp;"|"&amp;X664)</f>
        <v/>
      </c>
      <c r="Z664" s="10">
        <f>IF(AND(Q664&lt;&gt;"",W664&gt;0),Q664&amp;"|월","")</f>
        <v/>
      </c>
      <c r="AA664" s="10">
        <f>IF(COUNTA(B664:I664,K664:N664)=0,"",IF(Q664="","등록번호 없음",IF(LEFT(R664,1)="⚠","모병원명 미등록",IF(S664="","파견병원 입력",IF(LEFT(S664,1)="⚠","파견병원명 미등록",IF(LEFT(U664,1)="⚠","파견과목 미등록",IF(OR(T664="",LEFT(T664,1)="⚠"),"파견근거 확인",IF(NOT(AND(ISNUMBER(H664),ISNUMBER(I664))),"날짜 형식/누락",IF(I664&lt;H664,"종료일&lt;시작일","")))))))))</f>
        <v/>
      </c>
      <c r="AB664" s="11">
        <f>IF(ISNUMBER(SEARCH("다기관",TRIM(N664&amp;" "&amp;O664))),IFERROR(DATE(VALUE(MID(TRIM(N664&amp;" "&amp;O664),1,4)),VALUE(MID(TRIM(N664&amp;" "&amp;O664),6,2)),VALUE(MID(TRIM(N664&amp;" "&amp;O664),9,2))),IF(ISNUMBER(H664),H664,"")),"")</f>
        <v/>
      </c>
      <c r="AC664" s="11">
        <f>IF(ISNUMBER(SEARCH("다기관",TRIM(N664&amp;" "&amp;O664))),IFERROR(DATE(VALUE(MID(TRIM(N664&amp;" "&amp;O664),12,4)),VALUE(MID(TRIM(N664&amp;" "&amp;O664),17,2)),VALUE(MID(TRIM(N664&amp;" "&amp;O664),20,2))),IF(ISNUMBER(I664),I664,"")),"")</f>
        <v/>
      </c>
      <c r="AD664" s="17">
        <f>IF(AND(ISNUMBER(AB664),ISNUMBER(AC664)),MAX(0,MIN(AC664,EOMONTH(출력_요약!$B$3,0))-MAX(AB664,출력_요약!$B$3)+1),0)</f>
        <v/>
      </c>
      <c r="AE664" s="10">
        <f>IF(AND(Q664&lt;&gt;"",ISNUMBER(AB664)),Q664&amp;"|다기관","")</f>
        <v/>
      </c>
    </row>
    <row r="665">
      <c r="A665" s="15">
        <f>IF(F665="","",ROW()-3)</f>
        <v/>
      </c>
      <c r="B665" s="5" t="n"/>
      <c r="C665" s="15" t="n"/>
      <c r="D665" s="5" t="n"/>
      <c r="E665" s="15" t="n"/>
      <c r="F665" s="5" t="n"/>
      <c r="G665" s="6" t="n"/>
      <c r="H665" s="16" t="n"/>
      <c r="I665" s="16" t="n"/>
      <c r="J665" s="15">
        <f>IF(AND(ISNUMBER(H665),ISNUMBER(I665)),I665-H665+1,"")</f>
        <v/>
      </c>
      <c r="K665" s="5" t="n"/>
      <c r="L665" s="5" t="n"/>
      <c r="M665" s="5" t="n"/>
      <c r="N665" s="5" t="n"/>
      <c r="O665" s="5" t="n"/>
      <c r="Q665" s="10">
        <f>IF(TRIM(G665&amp;"")="","",TRIM(G665&amp;""))</f>
        <v/>
      </c>
      <c r="R665" s="10">
        <f>IF(TRIM(B665&amp;"")="","",IFERROR(INDEX(설정_코드표!$K$2:$K$101,MATCH(TRIM(B665&amp;""),설정_코드표!$J$2:$J$101,0)),"⚠"&amp;TRIM(B665&amp;"")))</f>
        <v/>
      </c>
      <c r="S665" s="10">
        <f>IF(TRIM(K665&amp;"")="","",IFERROR(INDEX(설정_코드표!$K$2:$K$101,MATCH(TRIM(K665&amp;""),설정_코드표!$J$2:$J$101,0)),"⚠"&amp;TRIM(K665&amp;"")))</f>
        <v/>
      </c>
      <c r="T665" s="10">
        <f>IF(TRIM(M665&amp;"")="","",IF(ISNUMBER(MATCH(TRIM(M665&amp;""),설정_코드표!$C$2:$C$11,0)),TRIM(M665&amp;""),"⚠"&amp;TRIM(M665&amp;"")))</f>
        <v/>
      </c>
      <c r="U665" s="10">
        <f>IF(TRIM(L665&amp;"")="","",IFERROR(INDEX(설정_코드표!$G$2:$G$101,MATCH(TRIM(L665&amp;""),설정_코드표!$F$2:$F$101,0)),"⚠"&amp;TRIM(L665&amp;"")))</f>
        <v/>
      </c>
      <c r="V665" s="10">
        <f>IF(AND(ISNUMBER(H665),ISNUMBER(I665)),I665-H665+1,"")</f>
        <v/>
      </c>
      <c r="W665" s="17">
        <f>IF(ISNUMBER(H665),MAX(0,MIN(IF(ISNUMBER(I665),I665,EOMONTH(출력_요약!$B$3,0)),EOMONTH(출력_요약!$B$3,0))-MAX(H665,출력_요약!$B$3)+1),0)</f>
        <v/>
      </c>
      <c r="X665" s="10">
        <f>IF(OR(NOT(ISNUMBER(H665)),Q665=""),"",IF(TODAY()&lt;H665,"파견예정",IF(AND(ISNUMBER(I665),TODAY()&gt;I665),"파견종료","파견중")))</f>
        <v/>
      </c>
      <c r="Y665" s="10">
        <f>IF(OR(Q665="",X665=""),"",Q665&amp;"|"&amp;X665)</f>
        <v/>
      </c>
      <c r="Z665" s="10">
        <f>IF(AND(Q665&lt;&gt;"",W665&gt;0),Q665&amp;"|월","")</f>
        <v/>
      </c>
      <c r="AA665" s="10">
        <f>IF(COUNTA(B665:I665,K665:N665)=0,"",IF(Q665="","등록번호 없음",IF(LEFT(R665,1)="⚠","모병원명 미등록",IF(S665="","파견병원 입력",IF(LEFT(S665,1)="⚠","파견병원명 미등록",IF(LEFT(U665,1)="⚠","파견과목 미등록",IF(OR(T665="",LEFT(T665,1)="⚠"),"파견근거 확인",IF(NOT(AND(ISNUMBER(H665),ISNUMBER(I665))),"날짜 형식/누락",IF(I665&lt;H665,"종료일&lt;시작일","")))))))))</f>
        <v/>
      </c>
      <c r="AB665" s="11">
        <f>IF(ISNUMBER(SEARCH("다기관",TRIM(N665&amp;" "&amp;O665))),IFERROR(DATE(VALUE(MID(TRIM(N665&amp;" "&amp;O665),1,4)),VALUE(MID(TRIM(N665&amp;" "&amp;O665),6,2)),VALUE(MID(TRIM(N665&amp;" "&amp;O665),9,2))),IF(ISNUMBER(H665),H665,"")),"")</f>
        <v/>
      </c>
      <c r="AC665" s="11">
        <f>IF(ISNUMBER(SEARCH("다기관",TRIM(N665&amp;" "&amp;O665))),IFERROR(DATE(VALUE(MID(TRIM(N665&amp;" "&amp;O665),12,4)),VALUE(MID(TRIM(N665&amp;" "&amp;O665),17,2)),VALUE(MID(TRIM(N665&amp;" "&amp;O665),20,2))),IF(ISNUMBER(I665),I665,"")),"")</f>
        <v/>
      </c>
      <c r="AD665" s="17">
        <f>IF(AND(ISNUMBER(AB665),ISNUMBER(AC665)),MAX(0,MIN(AC665,EOMONTH(출력_요약!$B$3,0))-MAX(AB665,출력_요약!$B$3)+1),0)</f>
        <v/>
      </c>
      <c r="AE665" s="10">
        <f>IF(AND(Q665&lt;&gt;"",ISNUMBER(AB665)),Q665&amp;"|다기관","")</f>
        <v/>
      </c>
    </row>
    <row r="666">
      <c r="A666" s="15">
        <f>IF(F666="","",ROW()-3)</f>
        <v/>
      </c>
      <c r="B666" s="5" t="n"/>
      <c r="C666" s="15" t="n"/>
      <c r="D666" s="5" t="n"/>
      <c r="E666" s="15" t="n"/>
      <c r="F666" s="5" t="n"/>
      <c r="G666" s="6" t="n"/>
      <c r="H666" s="16" t="n"/>
      <c r="I666" s="16" t="n"/>
      <c r="J666" s="15">
        <f>IF(AND(ISNUMBER(H666),ISNUMBER(I666)),I666-H666+1,"")</f>
        <v/>
      </c>
      <c r="K666" s="5" t="n"/>
      <c r="L666" s="5" t="n"/>
      <c r="M666" s="5" t="n"/>
      <c r="N666" s="5" t="n"/>
      <c r="O666" s="5" t="n"/>
      <c r="Q666" s="10">
        <f>IF(TRIM(G666&amp;"")="","",TRIM(G666&amp;""))</f>
        <v/>
      </c>
      <c r="R666" s="10">
        <f>IF(TRIM(B666&amp;"")="","",IFERROR(INDEX(설정_코드표!$K$2:$K$101,MATCH(TRIM(B666&amp;""),설정_코드표!$J$2:$J$101,0)),"⚠"&amp;TRIM(B666&amp;"")))</f>
        <v/>
      </c>
      <c r="S666" s="10">
        <f>IF(TRIM(K666&amp;"")="","",IFERROR(INDEX(설정_코드표!$K$2:$K$101,MATCH(TRIM(K666&amp;""),설정_코드표!$J$2:$J$101,0)),"⚠"&amp;TRIM(K666&amp;"")))</f>
        <v/>
      </c>
      <c r="T666" s="10">
        <f>IF(TRIM(M666&amp;"")="","",IF(ISNUMBER(MATCH(TRIM(M666&amp;""),설정_코드표!$C$2:$C$11,0)),TRIM(M666&amp;""),"⚠"&amp;TRIM(M666&amp;"")))</f>
        <v/>
      </c>
      <c r="U666" s="10">
        <f>IF(TRIM(L666&amp;"")="","",IFERROR(INDEX(설정_코드표!$G$2:$G$101,MATCH(TRIM(L666&amp;""),설정_코드표!$F$2:$F$101,0)),"⚠"&amp;TRIM(L666&amp;"")))</f>
        <v/>
      </c>
      <c r="V666" s="10">
        <f>IF(AND(ISNUMBER(H666),ISNUMBER(I666)),I666-H666+1,"")</f>
        <v/>
      </c>
      <c r="W666" s="17">
        <f>IF(ISNUMBER(H666),MAX(0,MIN(IF(ISNUMBER(I666),I666,EOMONTH(출력_요약!$B$3,0)),EOMONTH(출력_요약!$B$3,0))-MAX(H666,출력_요약!$B$3)+1),0)</f>
        <v/>
      </c>
      <c r="X666" s="10">
        <f>IF(OR(NOT(ISNUMBER(H666)),Q666=""),"",IF(TODAY()&lt;H666,"파견예정",IF(AND(ISNUMBER(I666),TODAY()&gt;I666),"파견종료","파견중")))</f>
        <v/>
      </c>
      <c r="Y666" s="10">
        <f>IF(OR(Q666="",X666=""),"",Q666&amp;"|"&amp;X666)</f>
        <v/>
      </c>
      <c r="Z666" s="10">
        <f>IF(AND(Q666&lt;&gt;"",W666&gt;0),Q666&amp;"|월","")</f>
        <v/>
      </c>
      <c r="AA666" s="10">
        <f>IF(COUNTA(B666:I666,K666:N666)=0,"",IF(Q666="","등록번호 없음",IF(LEFT(R666,1)="⚠","모병원명 미등록",IF(S666="","파견병원 입력",IF(LEFT(S666,1)="⚠","파견병원명 미등록",IF(LEFT(U666,1)="⚠","파견과목 미등록",IF(OR(T666="",LEFT(T666,1)="⚠"),"파견근거 확인",IF(NOT(AND(ISNUMBER(H666),ISNUMBER(I666))),"날짜 형식/누락",IF(I666&lt;H666,"종료일&lt;시작일","")))))))))</f>
        <v/>
      </c>
      <c r="AB666" s="11">
        <f>IF(ISNUMBER(SEARCH("다기관",TRIM(N666&amp;" "&amp;O666))),IFERROR(DATE(VALUE(MID(TRIM(N666&amp;" "&amp;O666),1,4)),VALUE(MID(TRIM(N666&amp;" "&amp;O666),6,2)),VALUE(MID(TRIM(N666&amp;" "&amp;O666),9,2))),IF(ISNUMBER(H666),H666,"")),"")</f>
        <v/>
      </c>
      <c r="AC666" s="11">
        <f>IF(ISNUMBER(SEARCH("다기관",TRIM(N666&amp;" "&amp;O666))),IFERROR(DATE(VALUE(MID(TRIM(N666&amp;" "&amp;O666),12,4)),VALUE(MID(TRIM(N666&amp;" "&amp;O666),17,2)),VALUE(MID(TRIM(N666&amp;" "&amp;O666),20,2))),IF(ISNUMBER(I666),I666,"")),"")</f>
        <v/>
      </c>
      <c r="AD666" s="17">
        <f>IF(AND(ISNUMBER(AB666),ISNUMBER(AC666)),MAX(0,MIN(AC666,EOMONTH(출력_요약!$B$3,0))-MAX(AB666,출력_요약!$B$3)+1),0)</f>
        <v/>
      </c>
      <c r="AE666" s="10">
        <f>IF(AND(Q666&lt;&gt;"",ISNUMBER(AB666)),Q666&amp;"|다기관","")</f>
        <v/>
      </c>
    </row>
    <row r="667">
      <c r="A667" s="15">
        <f>IF(F667="","",ROW()-3)</f>
        <v/>
      </c>
      <c r="B667" s="5" t="n"/>
      <c r="C667" s="15" t="n"/>
      <c r="D667" s="5" t="n"/>
      <c r="E667" s="15" t="n"/>
      <c r="F667" s="5" t="n"/>
      <c r="G667" s="6" t="n"/>
      <c r="H667" s="16" t="n"/>
      <c r="I667" s="16" t="n"/>
      <c r="J667" s="15">
        <f>IF(AND(ISNUMBER(H667),ISNUMBER(I667)),I667-H667+1,"")</f>
        <v/>
      </c>
      <c r="K667" s="5" t="n"/>
      <c r="L667" s="5" t="n"/>
      <c r="M667" s="5" t="n"/>
      <c r="N667" s="5" t="n"/>
      <c r="O667" s="5" t="n"/>
      <c r="Q667" s="10">
        <f>IF(TRIM(G667&amp;"")="","",TRIM(G667&amp;""))</f>
        <v/>
      </c>
      <c r="R667" s="10">
        <f>IF(TRIM(B667&amp;"")="","",IFERROR(INDEX(설정_코드표!$K$2:$K$101,MATCH(TRIM(B667&amp;""),설정_코드표!$J$2:$J$101,0)),"⚠"&amp;TRIM(B667&amp;"")))</f>
        <v/>
      </c>
      <c r="S667" s="10">
        <f>IF(TRIM(K667&amp;"")="","",IFERROR(INDEX(설정_코드표!$K$2:$K$101,MATCH(TRIM(K667&amp;""),설정_코드표!$J$2:$J$101,0)),"⚠"&amp;TRIM(K667&amp;"")))</f>
        <v/>
      </c>
      <c r="T667" s="10">
        <f>IF(TRIM(M667&amp;"")="","",IF(ISNUMBER(MATCH(TRIM(M667&amp;""),설정_코드표!$C$2:$C$11,0)),TRIM(M667&amp;""),"⚠"&amp;TRIM(M667&amp;"")))</f>
        <v/>
      </c>
      <c r="U667" s="10">
        <f>IF(TRIM(L667&amp;"")="","",IFERROR(INDEX(설정_코드표!$G$2:$G$101,MATCH(TRIM(L667&amp;""),설정_코드표!$F$2:$F$101,0)),"⚠"&amp;TRIM(L667&amp;"")))</f>
        <v/>
      </c>
      <c r="V667" s="10">
        <f>IF(AND(ISNUMBER(H667),ISNUMBER(I667)),I667-H667+1,"")</f>
        <v/>
      </c>
      <c r="W667" s="17">
        <f>IF(ISNUMBER(H667),MAX(0,MIN(IF(ISNUMBER(I667),I667,EOMONTH(출력_요약!$B$3,0)),EOMONTH(출력_요약!$B$3,0))-MAX(H667,출력_요약!$B$3)+1),0)</f>
        <v/>
      </c>
      <c r="X667" s="10">
        <f>IF(OR(NOT(ISNUMBER(H667)),Q667=""),"",IF(TODAY()&lt;H667,"파견예정",IF(AND(ISNUMBER(I667),TODAY()&gt;I667),"파견종료","파견중")))</f>
        <v/>
      </c>
      <c r="Y667" s="10">
        <f>IF(OR(Q667="",X667=""),"",Q667&amp;"|"&amp;X667)</f>
        <v/>
      </c>
      <c r="Z667" s="10">
        <f>IF(AND(Q667&lt;&gt;"",W667&gt;0),Q667&amp;"|월","")</f>
        <v/>
      </c>
      <c r="AA667" s="10">
        <f>IF(COUNTA(B667:I667,K667:N667)=0,"",IF(Q667="","등록번호 없음",IF(LEFT(R667,1)="⚠","모병원명 미등록",IF(S667="","파견병원 입력",IF(LEFT(S667,1)="⚠","파견병원명 미등록",IF(LEFT(U667,1)="⚠","파견과목 미등록",IF(OR(T667="",LEFT(T667,1)="⚠"),"파견근거 확인",IF(NOT(AND(ISNUMBER(H667),ISNUMBER(I667))),"날짜 형식/누락",IF(I667&lt;H667,"종료일&lt;시작일","")))))))))</f>
        <v/>
      </c>
      <c r="AB667" s="11">
        <f>IF(ISNUMBER(SEARCH("다기관",TRIM(N667&amp;" "&amp;O667))),IFERROR(DATE(VALUE(MID(TRIM(N667&amp;" "&amp;O667),1,4)),VALUE(MID(TRIM(N667&amp;" "&amp;O667),6,2)),VALUE(MID(TRIM(N667&amp;" "&amp;O667),9,2))),IF(ISNUMBER(H667),H667,"")),"")</f>
        <v/>
      </c>
      <c r="AC667" s="11">
        <f>IF(ISNUMBER(SEARCH("다기관",TRIM(N667&amp;" "&amp;O667))),IFERROR(DATE(VALUE(MID(TRIM(N667&amp;" "&amp;O667),12,4)),VALUE(MID(TRIM(N667&amp;" "&amp;O667),17,2)),VALUE(MID(TRIM(N667&amp;" "&amp;O667),20,2))),IF(ISNUMBER(I667),I667,"")),"")</f>
        <v/>
      </c>
      <c r="AD667" s="17">
        <f>IF(AND(ISNUMBER(AB667),ISNUMBER(AC667)),MAX(0,MIN(AC667,EOMONTH(출력_요약!$B$3,0))-MAX(AB667,출력_요약!$B$3)+1),0)</f>
        <v/>
      </c>
      <c r="AE667" s="10">
        <f>IF(AND(Q667&lt;&gt;"",ISNUMBER(AB667)),Q667&amp;"|다기관","")</f>
        <v/>
      </c>
    </row>
    <row r="668">
      <c r="A668" s="15">
        <f>IF(F668="","",ROW()-3)</f>
        <v/>
      </c>
      <c r="B668" s="5" t="n"/>
      <c r="C668" s="15" t="n"/>
      <c r="D668" s="5" t="n"/>
      <c r="E668" s="15" t="n"/>
      <c r="F668" s="5" t="n"/>
      <c r="G668" s="6" t="n"/>
      <c r="H668" s="16" t="n"/>
      <c r="I668" s="16" t="n"/>
      <c r="J668" s="15">
        <f>IF(AND(ISNUMBER(H668),ISNUMBER(I668)),I668-H668+1,"")</f>
        <v/>
      </c>
      <c r="K668" s="5" t="n"/>
      <c r="L668" s="5" t="n"/>
      <c r="M668" s="5" t="n"/>
      <c r="N668" s="5" t="n"/>
      <c r="O668" s="5" t="n"/>
      <c r="Q668" s="10">
        <f>IF(TRIM(G668&amp;"")="","",TRIM(G668&amp;""))</f>
        <v/>
      </c>
      <c r="R668" s="10">
        <f>IF(TRIM(B668&amp;"")="","",IFERROR(INDEX(설정_코드표!$K$2:$K$101,MATCH(TRIM(B668&amp;""),설정_코드표!$J$2:$J$101,0)),"⚠"&amp;TRIM(B668&amp;"")))</f>
        <v/>
      </c>
      <c r="S668" s="10">
        <f>IF(TRIM(K668&amp;"")="","",IFERROR(INDEX(설정_코드표!$K$2:$K$101,MATCH(TRIM(K668&amp;""),설정_코드표!$J$2:$J$101,0)),"⚠"&amp;TRIM(K668&amp;"")))</f>
        <v/>
      </c>
      <c r="T668" s="10">
        <f>IF(TRIM(M668&amp;"")="","",IF(ISNUMBER(MATCH(TRIM(M668&amp;""),설정_코드표!$C$2:$C$11,0)),TRIM(M668&amp;""),"⚠"&amp;TRIM(M668&amp;"")))</f>
        <v/>
      </c>
      <c r="U668" s="10">
        <f>IF(TRIM(L668&amp;"")="","",IFERROR(INDEX(설정_코드표!$G$2:$G$101,MATCH(TRIM(L668&amp;""),설정_코드표!$F$2:$F$101,0)),"⚠"&amp;TRIM(L668&amp;"")))</f>
        <v/>
      </c>
      <c r="V668" s="10">
        <f>IF(AND(ISNUMBER(H668),ISNUMBER(I668)),I668-H668+1,"")</f>
        <v/>
      </c>
      <c r="W668" s="17">
        <f>IF(ISNUMBER(H668),MAX(0,MIN(IF(ISNUMBER(I668),I668,EOMONTH(출력_요약!$B$3,0)),EOMONTH(출력_요약!$B$3,0))-MAX(H668,출력_요약!$B$3)+1),0)</f>
        <v/>
      </c>
      <c r="X668" s="10">
        <f>IF(OR(NOT(ISNUMBER(H668)),Q668=""),"",IF(TODAY()&lt;H668,"파견예정",IF(AND(ISNUMBER(I668),TODAY()&gt;I668),"파견종료","파견중")))</f>
        <v/>
      </c>
      <c r="Y668" s="10">
        <f>IF(OR(Q668="",X668=""),"",Q668&amp;"|"&amp;X668)</f>
        <v/>
      </c>
      <c r="Z668" s="10">
        <f>IF(AND(Q668&lt;&gt;"",W668&gt;0),Q668&amp;"|월","")</f>
        <v/>
      </c>
      <c r="AA668" s="10">
        <f>IF(COUNTA(B668:I668,K668:N668)=0,"",IF(Q668="","등록번호 없음",IF(LEFT(R668,1)="⚠","모병원명 미등록",IF(S668="","파견병원 입력",IF(LEFT(S668,1)="⚠","파견병원명 미등록",IF(LEFT(U668,1)="⚠","파견과목 미등록",IF(OR(T668="",LEFT(T668,1)="⚠"),"파견근거 확인",IF(NOT(AND(ISNUMBER(H668),ISNUMBER(I668))),"날짜 형식/누락",IF(I668&lt;H668,"종료일&lt;시작일","")))))))))</f>
        <v/>
      </c>
      <c r="AB668" s="11">
        <f>IF(ISNUMBER(SEARCH("다기관",TRIM(N668&amp;" "&amp;O668))),IFERROR(DATE(VALUE(MID(TRIM(N668&amp;" "&amp;O668),1,4)),VALUE(MID(TRIM(N668&amp;" "&amp;O668),6,2)),VALUE(MID(TRIM(N668&amp;" "&amp;O668),9,2))),IF(ISNUMBER(H668),H668,"")),"")</f>
        <v/>
      </c>
      <c r="AC668" s="11">
        <f>IF(ISNUMBER(SEARCH("다기관",TRIM(N668&amp;" "&amp;O668))),IFERROR(DATE(VALUE(MID(TRIM(N668&amp;" "&amp;O668),12,4)),VALUE(MID(TRIM(N668&amp;" "&amp;O668),17,2)),VALUE(MID(TRIM(N668&amp;" "&amp;O668),20,2))),IF(ISNUMBER(I668),I668,"")),"")</f>
        <v/>
      </c>
      <c r="AD668" s="17">
        <f>IF(AND(ISNUMBER(AB668),ISNUMBER(AC668)),MAX(0,MIN(AC668,EOMONTH(출력_요약!$B$3,0))-MAX(AB668,출력_요약!$B$3)+1),0)</f>
        <v/>
      </c>
      <c r="AE668" s="10">
        <f>IF(AND(Q668&lt;&gt;"",ISNUMBER(AB668)),Q668&amp;"|다기관","")</f>
        <v/>
      </c>
    </row>
    <row r="669">
      <c r="A669" s="15">
        <f>IF(F669="","",ROW()-3)</f>
        <v/>
      </c>
      <c r="B669" s="5" t="n"/>
      <c r="C669" s="15" t="n"/>
      <c r="D669" s="5" t="n"/>
      <c r="E669" s="15" t="n"/>
      <c r="F669" s="5" t="n"/>
      <c r="G669" s="6" t="n"/>
      <c r="H669" s="16" t="n"/>
      <c r="I669" s="16" t="n"/>
      <c r="J669" s="15">
        <f>IF(AND(ISNUMBER(H669),ISNUMBER(I669)),I669-H669+1,"")</f>
        <v/>
      </c>
      <c r="K669" s="5" t="n"/>
      <c r="L669" s="5" t="n"/>
      <c r="M669" s="5" t="n"/>
      <c r="N669" s="5" t="n"/>
      <c r="O669" s="5" t="n"/>
      <c r="Q669" s="10">
        <f>IF(TRIM(G669&amp;"")="","",TRIM(G669&amp;""))</f>
        <v/>
      </c>
      <c r="R669" s="10">
        <f>IF(TRIM(B669&amp;"")="","",IFERROR(INDEX(설정_코드표!$K$2:$K$101,MATCH(TRIM(B669&amp;""),설정_코드표!$J$2:$J$101,0)),"⚠"&amp;TRIM(B669&amp;"")))</f>
        <v/>
      </c>
      <c r="S669" s="10">
        <f>IF(TRIM(K669&amp;"")="","",IFERROR(INDEX(설정_코드표!$K$2:$K$101,MATCH(TRIM(K669&amp;""),설정_코드표!$J$2:$J$101,0)),"⚠"&amp;TRIM(K669&amp;"")))</f>
        <v/>
      </c>
      <c r="T669" s="10">
        <f>IF(TRIM(M669&amp;"")="","",IF(ISNUMBER(MATCH(TRIM(M669&amp;""),설정_코드표!$C$2:$C$11,0)),TRIM(M669&amp;""),"⚠"&amp;TRIM(M669&amp;"")))</f>
        <v/>
      </c>
      <c r="U669" s="10">
        <f>IF(TRIM(L669&amp;"")="","",IFERROR(INDEX(설정_코드표!$G$2:$G$101,MATCH(TRIM(L669&amp;""),설정_코드표!$F$2:$F$101,0)),"⚠"&amp;TRIM(L669&amp;"")))</f>
        <v/>
      </c>
      <c r="V669" s="10">
        <f>IF(AND(ISNUMBER(H669),ISNUMBER(I669)),I669-H669+1,"")</f>
        <v/>
      </c>
      <c r="W669" s="17">
        <f>IF(ISNUMBER(H669),MAX(0,MIN(IF(ISNUMBER(I669),I669,EOMONTH(출력_요약!$B$3,0)),EOMONTH(출력_요약!$B$3,0))-MAX(H669,출력_요약!$B$3)+1),0)</f>
        <v/>
      </c>
      <c r="X669" s="10">
        <f>IF(OR(NOT(ISNUMBER(H669)),Q669=""),"",IF(TODAY()&lt;H669,"파견예정",IF(AND(ISNUMBER(I669),TODAY()&gt;I669),"파견종료","파견중")))</f>
        <v/>
      </c>
      <c r="Y669" s="10">
        <f>IF(OR(Q669="",X669=""),"",Q669&amp;"|"&amp;X669)</f>
        <v/>
      </c>
      <c r="Z669" s="10">
        <f>IF(AND(Q669&lt;&gt;"",W669&gt;0),Q669&amp;"|월","")</f>
        <v/>
      </c>
      <c r="AA669" s="10">
        <f>IF(COUNTA(B669:I669,K669:N669)=0,"",IF(Q669="","등록번호 없음",IF(LEFT(R669,1)="⚠","모병원명 미등록",IF(S669="","파견병원 입력",IF(LEFT(S669,1)="⚠","파견병원명 미등록",IF(LEFT(U669,1)="⚠","파견과목 미등록",IF(OR(T669="",LEFT(T669,1)="⚠"),"파견근거 확인",IF(NOT(AND(ISNUMBER(H669),ISNUMBER(I669))),"날짜 형식/누락",IF(I669&lt;H669,"종료일&lt;시작일","")))))))))</f>
        <v/>
      </c>
      <c r="AB669" s="11">
        <f>IF(ISNUMBER(SEARCH("다기관",TRIM(N669&amp;" "&amp;O669))),IFERROR(DATE(VALUE(MID(TRIM(N669&amp;" "&amp;O669),1,4)),VALUE(MID(TRIM(N669&amp;" "&amp;O669),6,2)),VALUE(MID(TRIM(N669&amp;" "&amp;O669),9,2))),IF(ISNUMBER(H669),H669,"")),"")</f>
        <v/>
      </c>
      <c r="AC669" s="11">
        <f>IF(ISNUMBER(SEARCH("다기관",TRIM(N669&amp;" "&amp;O669))),IFERROR(DATE(VALUE(MID(TRIM(N669&amp;" "&amp;O669),12,4)),VALUE(MID(TRIM(N669&amp;" "&amp;O669),17,2)),VALUE(MID(TRIM(N669&amp;" "&amp;O669),20,2))),IF(ISNUMBER(I669),I669,"")),"")</f>
        <v/>
      </c>
      <c r="AD669" s="17">
        <f>IF(AND(ISNUMBER(AB669),ISNUMBER(AC669)),MAX(0,MIN(AC669,EOMONTH(출력_요약!$B$3,0))-MAX(AB669,출력_요약!$B$3)+1),0)</f>
        <v/>
      </c>
      <c r="AE669" s="10">
        <f>IF(AND(Q669&lt;&gt;"",ISNUMBER(AB669)),Q669&amp;"|다기관","")</f>
        <v/>
      </c>
    </row>
    <row r="670">
      <c r="A670" s="15">
        <f>IF(F670="","",ROW()-3)</f>
        <v/>
      </c>
      <c r="B670" s="5" t="n"/>
      <c r="C670" s="15" t="n"/>
      <c r="D670" s="5" t="n"/>
      <c r="E670" s="15" t="n"/>
      <c r="F670" s="5" t="n"/>
      <c r="G670" s="6" t="n"/>
      <c r="H670" s="16" t="n"/>
      <c r="I670" s="16" t="n"/>
      <c r="J670" s="15">
        <f>IF(AND(ISNUMBER(H670),ISNUMBER(I670)),I670-H670+1,"")</f>
        <v/>
      </c>
      <c r="K670" s="5" t="n"/>
      <c r="L670" s="5" t="n"/>
      <c r="M670" s="5" t="n"/>
      <c r="N670" s="5" t="n"/>
      <c r="O670" s="5" t="n"/>
      <c r="Q670" s="10">
        <f>IF(TRIM(G670&amp;"")="","",TRIM(G670&amp;""))</f>
        <v/>
      </c>
      <c r="R670" s="10">
        <f>IF(TRIM(B670&amp;"")="","",IFERROR(INDEX(설정_코드표!$K$2:$K$101,MATCH(TRIM(B670&amp;""),설정_코드표!$J$2:$J$101,0)),"⚠"&amp;TRIM(B670&amp;"")))</f>
        <v/>
      </c>
      <c r="S670" s="10">
        <f>IF(TRIM(K670&amp;"")="","",IFERROR(INDEX(설정_코드표!$K$2:$K$101,MATCH(TRIM(K670&amp;""),설정_코드표!$J$2:$J$101,0)),"⚠"&amp;TRIM(K670&amp;"")))</f>
        <v/>
      </c>
      <c r="T670" s="10">
        <f>IF(TRIM(M670&amp;"")="","",IF(ISNUMBER(MATCH(TRIM(M670&amp;""),설정_코드표!$C$2:$C$11,0)),TRIM(M670&amp;""),"⚠"&amp;TRIM(M670&amp;"")))</f>
        <v/>
      </c>
      <c r="U670" s="10">
        <f>IF(TRIM(L670&amp;"")="","",IFERROR(INDEX(설정_코드표!$G$2:$G$101,MATCH(TRIM(L670&amp;""),설정_코드표!$F$2:$F$101,0)),"⚠"&amp;TRIM(L670&amp;"")))</f>
        <v/>
      </c>
      <c r="V670" s="10">
        <f>IF(AND(ISNUMBER(H670),ISNUMBER(I670)),I670-H670+1,"")</f>
        <v/>
      </c>
      <c r="W670" s="17">
        <f>IF(ISNUMBER(H670),MAX(0,MIN(IF(ISNUMBER(I670),I670,EOMONTH(출력_요약!$B$3,0)),EOMONTH(출력_요약!$B$3,0))-MAX(H670,출력_요약!$B$3)+1),0)</f>
        <v/>
      </c>
      <c r="X670" s="10">
        <f>IF(OR(NOT(ISNUMBER(H670)),Q670=""),"",IF(TODAY()&lt;H670,"파견예정",IF(AND(ISNUMBER(I670),TODAY()&gt;I670),"파견종료","파견중")))</f>
        <v/>
      </c>
      <c r="Y670" s="10">
        <f>IF(OR(Q670="",X670=""),"",Q670&amp;"|"&amp;X670)</f>
        <v/>
      </c>
      <c r="Z670" s="10">
        <f>IF(AND(Q670&lt;&gt;"",W670&gt;0),Q670&amp;"|월","")</f>
        <v/>
      </c>
      <c r="AA670" s="10">
        <f>IF(COUNTA(B670:I670,K670:N670)=0,"",IF(Q670="","등록번호 없음",IF(LEFT(R670,1)="⚠","모병원명 미등록",IF(S670="","파견병원 입력",IF(LEFT(S670,1)="⚠","파견병원명 미등록",IF(LEFT(U670,1)="⚠","파견과목 미등록",IF(OR(T670="",LEFT(T670,1)="⚠"),"파견근거 확인",IF(NOT(AND(ISNUMBER(H670),ISNUMBER(I670))),"날짜 형식/누락",IF(I670&lt;H670,"종료일&lt;시작일","")))))))))</f>
        <v/>
      </c>
      <c r="AB670" s="11">
        <f>IF(ISNUMBER(SEARCH("다기관",TRIM(N670&amp;" "&amp;O670))),IFERROR(DATE(VALUE(MID(TRIM(N670&amp;" "&amp;O670),1,4)),VALUE(MID(TRIM(N670&amp;" "&amp;O670),6,2)),VALUE(MID(TRIM(N670&amp;" "&amp;O670),9,2))),IF(ISNUMBER(H670),H670,"")),"")</f>
        <v/>
      </c>
      <c r="AC670" s="11">
        <f>IF(ISNUMBER(SEARCH("다기관",TRIM(N670&amp;" "&amp;O670))),IFERROR(DATE(VALUE(MID(TRIM(N670&amp;" "&amp;O670),12,4)),VALUE(MID(TRIM(N670&amp;" "&amp;O670),17,2)),VALUE(MID(TRIM(N670&amp;" "&amp;O670),20,2))),IF(ISNUMBER(I670),I670,"")),"")</f>
        <v/>
      </c>
      <c r="AD670" s="17">
        <f>IF(AND(ISNUMBER(AB670),ISNUMBER(AC670)),MAX(0,MIN(AC670,EOMONTH(출력_요약!$B$3,0))-MAX(AB670,출력_요약!$B$3)+1),0)</f>
        <v/>
      </c>
      <c r="AE670" s="10">
        <f>IF(AND(Q670&lt;&gt;"",ISNUMBER(AB670)),Q670&amp;"|다기관","")</f>
        <v/>
      </c>
    </row>
    <row r="671">
      <c r="A671" s="15">
        <f>IF(F671="","",ROW()-3)</f>
        <v/>
      </c>
      <c r="B671" s="5" t="n"/>
      <c r="C671" s="15" t="n"/>
      <c r="D671" s="5" t="n"/>
      <c r="E671" s="15" t="n"/>
      <c r="F671" s="5" t="n"/>
      <c r="G671" s="6" t="n"/>
      <c r="H671" s="16" t="n"/>
      <c r="I671" s="16" t="n"/>
      <c r="J671" s="15">
        <f>IF(AND(ISNUMBER(H671),ISNUMBER(I671)),I671-H671+1,"")</f>
        <v/>
      </c>
      <c r="K671" s="5" t="n"/>
      <c r="L671" s="5" t="n"/>
      <c r="M671" s="5" t="n"/>
      <c r="N671" s="5" t="n"/>
      <c r="O671" s="5" t="n"/>
      <c r="Q671" s="10">
        <f>IF(TRIM(G671&amp;"")="","",TRIM(G671&amp;""))</f>
        <v/>
      </c>
      <c r="R671" s="10">
        <f>IF(TRIM(B671&amp;"")="","",IFERROR(INDEX(설정_코드표!$K$2:$K$101,MATCH(TRIM(B671&amp;""),설정_코드표!$J$2:$J$101,0)),"⚠"&amp;TRIM(B671&amp;"")))</f>
        <v/>
      </c>
      <c r="S671" s="10">
        <f>IF(TRIM(K671&amp;"")="","",IFERROR(INDEX(설정_코드표!$K$2:$K$101,MATCH(TRIM(K671&amp;""),설정_코드표!$J$2:$J$101,0)),"⚠"&amp;TRIM(K671&amp;"")))</f>
        <v/>
      </c>
      <c r="T671" s="10">
        <f>IF(TRIM(M671&amp;"")="","",IF(ISNUMBER(MATCH(TRIM(M671&amp;""),설정_코드표!$C$2:$C$11,0)),TRIM(M671&amp;""),"⚠"&amp;TRIM(M671&amp;"")))</f>
        <v/>
      </c>
      <c r="U671" s="10">
        <f>IF(TRIM(L671&amp;"")="","",IFERROR(INDEX(설정_코드표!$G$2:$G$101,MATCH(TRIM(L671&amp;""),설정_코드표!$F$2:$F$101,0)),"⚠"&amp;TRIM(L671&amp;"")))</f>
        <v/>
      </c>
      <c r="V671" s="10">
        <f>IF(AND(ISNUMBER(H671),ISNUMBER(I671)),I671-H671+1,"")</f>
        <v/>
      </c>
      <c r="W671" s="17">
        <f>IF(ISNUMBER(H671),MAX(0,MIN(IF(ISNUMBER(I671),I671,EOMONTH(출력_요약!$B$3,0)),EOMONTH(출력_요약!$B$3,0))-MAX(H671,출력_요약!$B$3)+1),0)</f>
        <v/>
      </c>
      <c r="X671" s="10">
        <f>IF(OR(NOT(ISNUMBER(H671)),Q671=""),"",IF(TODAY()&lt;H671,"파견예정",IF(AND(ISNUMBER(I671),TODAY()&gt;I671),"파견종료","파견중")))</f>
        <v/>
      </c>
      <c r="Y671" s="10">
        <f>IF(OR(Q671="",X671=""),"",Q671&amp;"|"&amp;X671)</f>
        <v/>
      </c>
      <c r="Z671" s="10">
        <f>IF(AND(Q671&lt;&gt;"",W671&gt;0),Q671&amp;"|월","")</f>
        <v/>
      </c>
      <c r="AA671" s="10">
        <f>IF(COUNTA(B671:I671,K671:N671)=0,"",IF(Q671="","등록번호 없음",IF(LEFT(R671,1)="⚠","모병원명 미등록",IF(S671="","파견병원 입력",IF(LEFT(S671,1)="⚠","파견병원명 미등록",IF(LEFT(U671,1)="⚠","파견과목 미등록",IF(OR(T671="",LEFT(T671,1)="⚠"),"파견근거 확인",IF(NOT(AND(ISNUMBER(H671),ISNUMBER(I671))),"날짜 형식/누락",IF(I671&lt;H671,"종료일&lt;시작일","")))))))))</f>
        <v/>
      </c>
      <c r="AB671" s="11">
        <f>IF(ISNUMBER(SEARCH("다기관",TRIM(N671&amp;" "&amp;O671))),IFERROR(DATE(VALUE(MID(TRIM(N671&amp;" "&amp;O671),1,4)),VALUE(MID(TRIM(N671&amp;" "&amp;O671),6,2)),VALUE(MID(TRIM(N671&amp;" "&amp;O671),9,2))),IF(ISNUMBER(H671),H671,"")),"")</f>
        <v/>
      </c>
      <c r="AC671" s="11">
        <f>IF(ISNUMBER(SEARCH("다기관",TRIM(N671&amp;" "&amp;O671))),IFERROR(DATE(VALUE(MID(TRIM(N671&amp;" "&amp;O671),12,4)),VALUE(MID(TRIM(N671&amp;" "&amp;O671),17,2)),VALUE(MID(TRIM(N671&amp;" "&amp;O671),20,2))),IF(ISNUMBER(I671),I671,"")),"")</f>
        <v/>
      </c>
      <c r="AD671" s="17">
        <f>IF(AND(ISNUMBER(AB671),ISNUMBER(AC671)),MAX(0,MIN(AC671,EOMONTH(출력_요약!$B$3,0))-MAX(AB671,출력_요약!$B$3)+1),0)</f>
        <v/>
      </c>
      <c r="AE671" s="10">
        <f>IF(AND(Q671&lt;&gt;"",ISNUMBER(AB671)),Q671&amp;"|다기관","")</f>
        <v/>
      </c>
    </row>
    <row r="672">
      <c r="A672" s="15">
        <f>IF(F672="","",ROW()-3)</f>
        <v/>
      </c>
      <c r="B672" s="5" t="n"/>
      <c r="C672" s="15" t="n"/>
      <c r="D672" s="5" t="n"/>
      <c r="E672" s="15" t="n"/>
      <c r="F672" s="5" t="n"/>
      <c r="G672" s="6" t="n"/>
      <c r="H672" s="16" t="n"/>
      <c r="I672" s="16" t="n"/>
      <c r="J672" s="15">
        <f>IF(AND(ISNUMBER(H672),ISNUMBER(I672)),I672-H672+1,"")</f>
        <v/>
      </c>
      <c r="K672" s="5" t="n"/>
      <c r="L672" s="5" t="n"/>
      <c r="M672" s="5" t="n"/>
      <c r="N672" s="5" t="n"/>
      <c r="O672" s="5" t="n"/>
      <c r="Q672" s="10">
        <f>IF(TRIM(G672&amp;"")="","",TRIM(G672&amp;""))</f>
        <v/>
      </c>
      <c r="R672" s="10">
        <f>IF(TRIM(B672&amp;"")="","",IFERROR(INDEX(설정_코드표!$K$2:$K$101,MATCH(TRIM(B672&amp;""),설정_코드표!$J$2:$J$101,0)),"⚠"&amp;TRIM(B672&amp;"")))</f>
        <v/>
      </c>
      <c r="S672" s="10">
        <f>IF(TRIM(K672&amp;"")="","",IFERROR(INDEX(설정_코드표!$K$2:$K$101,MATCH(TRIM(K672&amp;""),설정_코드표!$J$2:$J$101,0)),"⚠"&amp;TRIM(K672&amp;"")))</f>
        <v/>
      </c>
      <c r="T672" s="10">
        <f>IF(TRIM(M672&amp;"")="","",IF(ISNUMBER(MATCH(TRIM(M672&amp;""),설정_코드표!$C$2:$C$11,0)),TRIM(M672&amp;""),"⚠"&amp;TRIM(M672&amp;"")))</f>
        <v/>
      </c>
      <c r="U672" s="10">
        <f>IF(TRIM(L672&amp;"")="","",IFERROR(INDEX(설정_코드표!$G$2:$G$101,MATCH(TRIM(L672&amp;""),설정_코드표!$F$2:$F$101,0)),"⚠"&amp;TRIM(L672&amp;"")))</f>
        <v/>
      </c>
      <c r="V672" s="10">
        <f>IF(AND(ISNUMBER(H672),ISNUMBER(I672)),I672-H672+1,"")</f>
        <v/>
      </c>
      <c r="W672" s="17">
        <f>IF(ISNUMBER(H672),MAX(0,MIN(IF(ISNUMBER(I672),I672,EOMONTH(출력_요약!$B$3,0)),EOMONTH(출력_요약!$B$3,0))-MAX(H672,출력_요약!$B$3)+1),0)</f>
        <v/>
      </c>
      <c r="X672" s="10">
        <f>IF(OR(NOT(ISNUMBER(H672)),Q672=""),"",IF(TODAY()&lt;H672,"파견예정",IF(AND(ISNUMBER(I672),TODAY()&gt;I672),"파견종료","파견중")))</f>
        <v/>
      </c>
      <c r="Y672" s="10">
        <f>IF(OR(Q672="",X672=""),"",Q672&amp;"|"&amp;X672)</f>
        <v/>
      </c>
      <c r="Z672" s="10">
        <f>IF(AND(Q672&lt;&gt;"",W672&gt;0),Q672&amp;"|월","")</f>
        <v/>
      </c>
      <c r="AA672" s="10">
        <f>IF(COUNTA(B672:I672,K672:N672)=0,"",IF(Q672="","등록번호 없음",IF(LEFT(R672,1)="⚠","모병원명 미등록",IF(S672="","파견병원 입력",IF(LEFT(S672,1)="⚠","파견병원명 미등록",IF(LEFT(U672,1)="⚠","파견과목 미등록",IF(OR(T672="",LEFT(T672,1)="⚠"),"파견근거 확인",IF(NOT(AND(ISNUMBER(H672),ISNUMBER(I672))),"날짜 형식/누락",IF(I672&lt;H672,"종료일&lt;시작일","")))))))))</f>
        <v/>
      </c>
      <c r="AB672" s="11">
        <f>IF(ISNUMBER(SEARCH("다기관",TRIM(N672&amp;" "&amp;O672))),IFERROR(DATE(VALUE(MID(TRIM(N672&amp;" "&amp;O672),1,4)),VALUE(MID(TRIM(N672&amp;" "&amp;O672),6,2)),VALUE(MID(TRIM(N672&amp;" "&amp;O672),9,2))),IF(ISNUMBER(H672),H672,"")),"")</f>
        <v/>
      </c>
      <c r="AC672" s="11">
        <f>IF(ISNUMBER(SEARCH("다기관",TRIM(N672&amp;" "&amp;O672))),IFERROR(DATE(VALUE(MID(TRIM(N672&amp;" "&amp;O672),12,4)),VALUE(MID(TRIM(N672&amp;" "&amp;O672),17,2)),VALUE(MID(TRIM(N672&amp;" "&amp;O672),20,2))),IF(ISNUMBER(I672),I672,"")),"")</f>
        <v/>
      </c>
      <c r="AD672" s="17">
        <f>IF(AND(ISNUMBER(AB672),ISNUMBER(AC672)),MAX(0,MIN(AC672,EOMONTH(출력_요약!$B$3,0))-MAX(AB672,출력_요약!$B$3)+1),0)</f>
        <v/>
      </c>
      <c r="AE672" s="10">
        <f>IF(AND(Q672&lt;&gt;"",ISNUMBER(AB672)),Q672&amp;"|다기관","")</f>
        <v/>
      </c>
    </row>
    <row r="673">
      <c r="A673" s="15">
        <f>IF(F673="","",ROW()-3)</f>
        <v/>
      </c>
      <c r="B673" s="5" t="n"/>
      <c r="C673" s="15" t="n"/>
      <c r="D673" s="5" t="n"/>
      <c r="E673" s="15" t="n"/>
      <c r="F673" s="5" t="n"/>
      <c r="G673" s="6" t="n"/>
      <c r="H673" s="16" t="n"/>
      <c r="I673" s="16" t="n"/>
      <c r="J673" s="15">
        <f>IF(AND(ISNUMBER(H673),ISNUMBER(I673)),I673-H673+1,"")</f>
        <v/>
      </c>
      <c r="K673" s="5" t="n"/>
      <c r="L673" s="5" t="n"/>
      <c r="M673" s="5" t="n"/>
      <c r="N673" s="5" t="n"/>
      <c r="O673" s="5" t="n"/>
      <c r="Q673" s="10">
        <f>IF(TRIM(G673&amp;"")="","",TRIM(G673&amp;""))</f>
        <v/>
      </c>
      <c r="R673" s="10">
        <f>IF(TRIM(B673&amp;"")="","",IFERROR(INDEX(설정_코드표!$K$2:$K$101,MATCH(TRIM(B673&amp;""),설정_코드표!$J$2:$J$101,0)),"⚠"&amp;TRIM(B673&amp;"")))</f>
        <v/>
      </c>
      <c r="S673" s="10">
        <f>IF(TRIM(K673&amp;"")="","",IFERROR(INDEX(설정_코드표!$K$2:$K$101,MATCH(TRIM(K673&amp;""),설정_코드표!$J$2:$J$101,0)),"⚠"&amp;TRIM(K673&amp;"")))</f>
        <v/>
      </c>
      <c r="T673" s="10">
        <f>IF(TRIM(M673&amp;"")="","",IF(ISNUMBER(MATCH(TRIM(M673&amp;""),설정_코드표!$C$2:$C$11,0)),TRIM(M673&amp;""),"⚠"&amp;TRIM(M673&amp;"")))</f>
        <v/>
      </c>
      <c r="U673" s="10">
        <f>IF(TRIM(L673&amp;"")="","",IFERROR(INDEX(설정_코드표!$G$2:$G$101,MATCH(TRIM(L673&amp;""),설정_코드표!$F$2:$F$101,0)),"⚠"&amp;TRIM(L673&amp;"")))</f>
        <v/>
      </c>
      <c r="V673" s="10">
        <f>IF(AND(ISNUMBER(H673),ISNUMBER(I673)),I673-H673+1,"")</f>
        <v/>
      </c>
      <c r="W673" s="17">
        <f>IF(ISNUMBER(H673),MAX(0,MIN(IF(ISNUMBER(I673),I673,EOMONTH(출력_요약!$B$3,0)),EOMONTH(출력_요약!$B$3,0))-MAX(H673,출력_요약!$B$3)+1),0)</f>
        <v/>
      </c>
      <c r="X673" s="10">
        <f>IF(OR(NOT(ISNUMBER(H673)),Q673=""),"",IF(TODAY()&lt;H673,"파견예정",IF(AND(ISNUMBER(I673),TODAY()&gt;I673),"파견종료","파견중")))</f>
        <v/>
      </c>
      <c r="Y673" s="10">
        <f>IF(OR(Q673="",X673=""),"",Q673&amp;"|"&amp;X673)</f>
        <v/>
      </c>
      <c r="Z673" s="10">
        <f>IF(AND(Q673&lt;&gt;"",W673&gt;0),Q673&amp;"|월","")</f>
        <v/>
      </c>
      <c r="AA673" s="10">
        <f>IF(COUNTA(B673:I673,K673:N673)=0,"",IF(Q673="","등록번호 없음",IF(LEFT(R673,1)="⚠","모병원명 미등록",IF(S673="","파견병원 입력",IF(LEFT(S673,1)="⚠","파견병원명 미등록",IF(LEFT(U673,1)="⚠","파견과목 미등록",IF(OR(T673="",LEFT(T673,1)="⚠"),"파견근거 확인",IF(NOT(AND(ISNUMBER(H673),ISNUMBER(I673))),"날짜 형식/누락",IF(I673&lt;H673,"종료일&lt;시작일","")))))))))</f>
        <v/>
      </c>
      <c r="AB673" s="11">
        <f>IF(ISNUMBER(SEARCH("다기관",TRIM(N673&amp;" "&amp;O673))),IFERROR(DATE(VALUE(MID(TRIM(N673&amp;" "&amp;O673),1,4)),VALUE(MID(TRIM(N673&amp;" "&amp;O673),6,2)),VALUE(MID(TRIM(N673&amp;" "&amp;O673),9,2))),IF(ISNUMBER(H673),H673,"")),"")</f>
        <v/>
      </c>
      <c r="AC673" s="11">
        <f>IF(ISNUMBER(SEARCH("다기관",TRIM(N673&amp;" "&amp;O673))),IFERROR(DATE(VALUE(MID(TRIM(N673&amp;" "&amp;O673),12,4)),VALUE(MID(TRIM(N673&amp;" "&amp;O673),17,2)),VALUE(MID(TRIM(N673&amp;" "&amp;O673),20,2))),IF(ISNUMBER(I673),I673,"")),"")</f>
        <v/>
      </c>
      <c r="AD673" s="17">
        <f>IF(AND(ISNUMBER(AB673),ISNUMBER(AC673)),MAX(0,MIN(AC673,EOMONTH(출력_요약!$B$3,0))-MAX(AB673,출력_요약!$B$3)+1),0)</f>
        <v/>
      </c>
      <c r="AE673" s="10">
        <f>IF(AND(Q673&lt;&gt;"",ISNUMBER(AB673)),Q673&amp;"|다기관","")</f>
        <v/>
      </c>
    </row>
    <row r="674">
      <c r="A674" s="15">
        <f>IF(F674="","",ROW()-3)</f>
        <v/>
      </c>
      <c r="B674" s="5" t="n"/>
      <c r="C674" s="15" t="n"/>
      <c r="D674" s="5" t="n"/>
      <c r="E674" s="15" t="n"/>
      <c r="F674" s="5" t="n"/>
      <c r="G674" s="6" t="n"/>
      <c r="H674" s="16" t="n"/>
      <c r="I674" s="16" t="n"/>
      <c r="J674" s="15">
        <f>IF(AND(ISNUMBER(H674),ISNUMBER(I674)),I674-H674+1,"")</f>
        <v/>
      </c>
      <c r="K674" s="5" t="n"/>
      <c r="L674" s="5" t="n"/>
      <c r="M674" s="5" t="n"/>
      <c r="N674" s="5" t="n"/>
      <c r="O674" s="5" t="n"/>
      <c r="Q674" s="10">
        <f>IF(TRIM(G674&amp;"")="","",TRIM(G674&amp;""))</f>
        <v/>
      </c>
      <c r="R674" s="10">
        <f>IF(TRIM(B674&amp;"")="","",IFERROR(INDEX(설정_코드표!$K$2:$K$101,MATCH(TRIM(B674&amp;""),설정_코드표!$J$2:$J$101,0)),"⚠"&amp;TRIM(B674&amp;"")))</f>
        <v/>
      </c>
      <c r="S674" s="10">
        <f>IF(TRIM(K674&amp;"")="","",IFERROR(INDEX(설정_코드표!$K$2:$K$101,MATCH(TRIM(K674&amp;""),설정_코드표!$J$2:$J$101,0)),"⚠"&amp;TRIM(K674&amp;"")))</f>
        <v/>
      </c>
      <c r="T674" s="10">
        <f>IF(TRIM(M674&amp;"")="","",IF(ISNUMBER(MATCH(TRIM(M674&amp;""),설정_코드표!$C$2:$C$11,0)),TRIM(M674&amp;""),"⚠"&amp;TRIM(M674&amp;"")))</f>
        <v/>
      </c>
      <c r="U674" s="10">
        <f>IF(TRIM(L674&amp;"")="","",IFERROR(INDEX(설정_코드표!$G$2:$G$101,MATCH(TRIM(L674&amp;""),설정_코드표!$F$2:$F$101,0)),"⚠"&amp;TRIM(L674&amp;"")))</f>
        <v/>
      </c>
      <c r="V674" s="10">
        <f>IF(AND(ISNUMBER(H674),ISNUMBER(I674)),I674-H674+1,"")</f>
        <v/>
      </c>
      <c r="W674" s="17">
        <f>IF(ISNUMBER(H674),MAX(0,MIN(IF(ISNUMBER(I674),I674,EOMONTH(출력_요약!$B$3,0)),EOMONTH(출력_요약!$B$3,0))-MAX(H674,출력_요약!$B$3)+1),0)</f>
        <v/>
      </c>
      <c r="X674" s="10">
        <f>IF(OR(NOT(ISNUMBER(H674)),Q674=""),"",IF(TODAY()&lt;H674,"파견예정",IF(AND(ISNUMBER(I674),TODAY()&gt;I674),"파견종료","파견중")))</f>
        <v/>
      </c>
      <c r="Y674" s="10">
        <f>IF(OR(Q674="",X674=""),"",Q674&amp;"|"&amp;X674)</f>
        <v/>
      </c>
      <c r="Z674" s="10">
        <f>IF(AND(Q674&lt;&gt;"",W674&gt;0),Q674&amp;"|월","")</f>
        <v/>
      </c>
      <c r="AA674" s="10">
        <f>IF(COUNTA(B674:I674,K674:N674)=0,"",IF(Q674="","등록번호 없음",IF(LEFT(R674,1)="⚠","모병원명 미등록",IF(S674="","파견병원 입력",IF(LEFT(S674,1)="⚠","파견병원명 미등록",IF(LEFT(U674,1)="⚠","파견과목 미등록",IF(OR(T674="",LEFT(T674,1)="⚠"),"파견근거 확인",IF(NOT(AND(ISNUMBER(H674),ISNUMBER(I674))),"날짜 형식/누락",IF(I674&lt;H674,"종료일&lt;시작일","")))))))))</f>
        <v/>
      </c>
      <c r="AB674" s="11">
        <f>IF(ISNUMBER(SEARCH("다기관",TRIM(N674&amp;" "&amp;O674))),IFERROR(DATE(VALUE(MID(TRIM(N674&amp;" "&amp;O674),1,4)),VALUE(MID(TRIM(N674&amp;" "&amp;O674),6,2)),VALUE(MID(TRIM(N674&amp;" "&amp;O674),9,2))),IF(ISNUMBER(H674),H674,"")),"")</f>
        <v/>
      </c>
      <c r="AC674" s="11">
        <f>IF(ISNUMBER(SEARCH("다기관",TRIM(N674&amp;" "&amp;O674))),IFERROR(DATE(VALUE(MID(TRIM(N674&amp;" "&amp;O674),12,4)),VALUE(MID(TRIM(N674&amp;" "&amp;O674),17,2)),VALUE(MID(TRIM(N674&amp;" "&amp;O674),20,2))),IF(ISNUMBER(I674),I674,"")),"")</f>
        <v/>
      </c>
      <c r="AD674" s="17">
        <f>IF(AND(ISNUMBER(AB674),ISNUMBER(AC674)),MAX(0,MIN(AC674,EOMONTH(출력_요약!$B$3,0))-MAX(AB674,출력_요약!$B$3)+1),0)</f>
        <v/>
      </c>
      <c r="AE674" s="10">
        <f>IF(AND(Q674&lt;&gt;"",ISNUMBER(AB674)),Q674&amp;"|다기관","")</f>
        <v/>
      </c>
    </row>
    <row r="675">
      <c r="A675" s="15">
        <f>IF(F675="","",ROW()-3)</f>
        <v/>
      </c>
      <c r="B675" s="5" t="n"/>
      <c r="C675" s="15" t="n"/>
      <c r="D675" s="5" t="n"/>
      <c r="E675" s="15" t="n"/>
      <c r="F675" s="5" t="n"/>
      <c r="G675" s="6" t="n"/>
      <c r="H675" s="16" t="n"/>
      <c r="I675" s="16" t="n"/>
      <c r="J675" s="15">
        <f>IF(AND(ISNUMBER(H675),ISNUMBER(I675)),I675-H675+1,"")</f>
        <v/>
      </c>
      <c r="K675" s="5" t="n"/>
      <c r="L675" s="5" t="n"/>
      <c r="M675" s="5" t="n"/>
      <c r="N675" s="5" t="n"/>
      <c r="O675" s="5" t="n"/>
      <c r="Q675" s="10">
        <f>IF(TRIM(G675&amp;"")="","",TRIM(G675&amp;""))</f>
        <v/>
      </c>
      <c r="R675" s="10">
        <f>IF(TRIM(B675&amp;"")="","",IFERROR(INDEX(설정_코드표!$K$2:$K$101,MATCH(TRIM(B675&amp;""),설정_코드표!$J$2:$J$101,0)),"⚠"&amp;TRIM(B675&amp;"")))</f>
        <v/>
      </c>
      <c r="S675" s="10">
        <f>IF(TRIM(K675&amp;"")="","",IFERROR(INDEX(설정_코드표!$K$2:$K$101,MATCH(TRIM(K675&amp;""),설정_코드표!$J$2:$J$101,0)),"⚠"&amp;TRIM(K675&amp;"")))</f>
        <v/>
      </c>
      <c r="T675" s="10">
        <f>IF(TRIM(M675&amp;"")="","",IF(ISNUMBER(MATCH(TRIM(M675&amp;""),설정_코드표!$C$2:$C$11,0)),TRIM(M675&amp;""),"⚠"&amp;TRIM(M675&amp;"")))</f>
        <v/>
      </c>
      <c r="U675" s="10">
        <f>IF(TRIM(L675&amp;"")="","",IFERROR(INDEX(설정_코드표!$G$2:$G$101,MATCH(TRIM(L675&amp;""),설정_코드표!$F$2:$F$101,0)),"⚠"&amp;TRIM(L675&amp;"")))</f>
        <v/>
      </c>
      <c r="V675" s="10">
        <f>IF(AND(ISNUMBER(H675),ISNUMBER(I675)),I675-H675+1,"")</f>
        <v/>
      </c>
      <c r="W675" s="17">
        <f>IF(ISNUMBER(H675),MAX(0,MIN(IF(ISNUMBER(I675),I675,EOMONTH(출력_요약!$B$3,0)),EOMONTH(출력_요약!$B$3,0))-MAX(H675,출력_요약!$B$3)+1),0)</f>
        <v/>
      </c>
      <c r="X675" s="10">
        <f>IF(OR(NOT(ISNUMBER(H675)),Q675=""),"",IF(TODAY()&lt;H675,"파견예정",IF(AND(ISNUMBER(I675),TODAY()&gt;I675),"파견종료","파견중")))</f>
        <v/>
      </c>
      <c r="Y675" s="10">
        <f>IF(OR(Q675="",X675=""),"",Q675&amp;"|"&amp;X675)</f>
        <v/>
      </c>
      <c r="Z675" s="10">
        <f>IF(AND(Q675&lt;&gt;"",W675&gt;0),Q675&amp;"|월","")</f>
        <v/>
      </c>
      <c r="AA675" s="10">
        <f>IF(COUNTA(B675:I675,K675:N675)=0,"",IF(Q675="","등록번호 없음",IF(LEFT(R675,1)="⚠","모병원명 미등록",IF(S675="","파견병원 입력",IF(LEFT(S675,1)="⚠","파견병원명 미등록",IF(LEFT(U675,1)="⚠","파견과목 미등록",IF(OR(T675="",LEFT(T675,1)="⚠"),"파견근거 확인",IF(NOT(AND(ISNUMBER(H675),ISNUMBER(I675))),"날짜 형식/누락",IF(I675&lt;H675,"종료일&lt;시작일","")))))))))</f>
        <v/>
      </c>
      <c r="AB675" s="11">
        <f>IF(ISNUMBER(SEARCH("다기관",TRIM(N675&amp;" "&amp;O675))),IFERROR(DATE(VALUE(MID(TRIM(N675&amp;" "&amp;O675),1,4)),VALUE(MID(TRIM(N675&amp;" "&amp;O675),6,2)),VALUE(MID(TRIM(N675&amp;" "&amp;O675),9,2))),IF(ISNUMBER(H675),H675,"")),"")</f>
        <v/>
      </c>
      <c r="AC675" s="11">
        <f>IF(ISNUMBER(SEARCH("다기관",TRIM(N675&amp;" "&amp;O675))),IFERROR(DATE(VALUE(MID(TRIM(N675&amp;" "&amp;O675),12,4)),VALUE(MID(TRIM(N675&amp;" "&amp;O675),17,2)),VALUE(MID(TRIM(N675&amp;" "&amp;O675),20,2))),IF(ISNUMBER(I675),I675,"")),"")</f>
        <v/>
      </c>
      <c r="AD675" s="17">
        <f>IF(AND(ISNUMBER(AB675),ISNUMBER(AC675)),MAX(0,MIN(AC675,EOMONTH(출력_요약!$B$3,0))-MAX(AB675,출력_요약!$B$3)+1),0)</f>
        <v/>
      </c>
      <c r="AE675" s="10">
        <f>IF(AND(Q675&lt;&gt;"",ISNUMBER(AB675)),Q675&amp;"|다기관","")</f>
        <v/>
      </c>
    </row>
    <row r="676">
      <c r="A676" s="15">
        <f>IF(F676="","",ROW()-3)</f>
        <v/>
      </c>
      <c r="B676" s="5" t="n"/>
      <c r="C676" s="15" t="n"/>
      <c r="D676" s="5" t="n"/>
      <c r="E676" s="15" t="n"/>
      <c r="F676" s="5" t="n"/>
      <c r="G676" s="6" t="n"/>
      <c r="H676" s="16" t="n"/>
      <c r="I676" s="16" t="n"/>
      <c r="J676" s="15">
        <f>IF(AND(ISNUMBER(H676),ISNUMBER(I676)),I676-H676+1,"")</f>
        <v/>
      </c>
      <c r="K676" s="5" t="n"/>
      <c r="L676" s="5" t="n"/>
      <c r="M676" s="5" t="n"/>
      <c r="N676" s="5" t="n"/>
      <c r="O676" s="5" t="n"/>
      <c r="Q676" s="10">
        <f>IF(TRIM(G676&amp;"")="","",TRIM(G676&amp;""))</f>
        <v/>
      </c>
      <c r="R676" s="10">
        <f>IF(TRIM(B676&amp;"")="","",IFERROR(INDEX(설정_코드표!$K$2:$K$101,MATCH(TRIM(B676&amp;""),설정_코드표!$J$2:$J$101,0)),"⚠"&amp;TRIM(B676&amp;"")))</f>
        <v/>
      </c>
      <c r="S676" s="10">
        <f>IF(TRIM(K676&amp;"")="","",IFERROR(INDEX(설정_코드표!$K$2:$K$101,MATCH(TRIM(K676&amp;""),설정_코드표!$J$2:$J$101,0)),"⚠"&amp;TRIM(K676&amp;"")))</f>
        <v/>
      </c>
      <c r="T676" s="10">
        <f>IF(TRIM(M676&amp;"")="","",IF(ISNUMBER(MATCH(TRIM(M676&amp;""),설정_코드표!$C$2:$C$11,0)),TRIM(M676&amp;""),"⚠"&amp;TRIM(M676&amp;"")))</f>
        <v/>
      </c>
      <c r="U676" s="10">
        <f>IF(TRIM(L676&amp;"")="","",IFERROR(INDEX(설정_코드표!$G$2:$G$101,MATCH(TRIM(L676&amp;""),설정_코드표!$F$2:$F$101,0)),"⚠"&amp;TRIM(L676&amp;"")))</f>
        <v/>
      </c>
      <c r="V676" s="10">
        <f>IF(AND(ISNUMBER(H676),ISNUMBER(I676)),I676-H676+1,"")</f>
        <v/>
      </c>
      <c r="W676" s="17">
        <f>IF(ISNUMBER(H676),MAX(0,MIN(IF(ISNUMBER(I676),I676,EOMONTH(출력_요약!$B$3,0)),EOMONTH(출력_요약!$B$3,0))-MAX(H676,출력_요약!$B$3)+1),0)</f>
        <v/>
      </c>
      <c r="X676" s="10">
        <f>IF(OR(NOT(ISNUMBER(H676)),Q676=""),"",IF(TODAY()&lt;H676,"파견예정",IF(AND(ISNUMBER(I676),TODAY()&gt;I676),"파견종료","파견중")))</f>
        <v/>
      </c>
      <c r="Y676" s="10">
        <f>IF(OR(Q676="",X676=""),"",Q676&amp;"|"&amp;X676)</f>
        <v/>
      </c>
      <c r="Z676" s="10">
        <f>IF(AND(Q676&lt;&gt;"",W676&gt;0),Q676&amp;"|월","")</f>
        <v/>
      </c>
      <c r="AA676" s="10">
        <f>IF(COUNTA(B676:I676,K676:N676)=0,"",IF(Q676="","등록번호 없음",IF(LEFT(R676,1)="⚠","모병원명 미등록",IF(S676="","파견병원 입력",IF(LEFT(S676,1)="⚠","파견병원명 미등록",IF(LEFT(U676,1)="⚠","파견과목 미등록",IF(OR(T676="",LEFT(T676,1)="⚠"),"파견근거 확인",IF(NOT(AND(ISNUMBER(H676),ISNUMBER(I676))),"날짜 형식/누락",IF(I676&lt;H676,"종료일&lt;시작일","")))))))))</f>
        <v/>
      </c>
      <c r="AB676" s="11">
        <f>IF(ISNUMBER(SEARCH("다기관",TRIM(N676&amp;" "&amp;O676))),IFERROR(DATE(VALUE(MID(TRIM(N676&amp;" "&amp;O676),1,4)),VALUE(MID(TRIM(N676&amp;" "&amp;O676),6,2)),VALUE(MID(TRIM(N676&amp;" "&amp;O676),9,2))),IF(ISNUMBER(H676),H676,"")),"")</f>
        <v/>
      </c>
      <c r="AC676" s="11">
        <f>IF(ISNUMBER(SEARCH("다기관",TRIM(N676&amp;" "&amp;O676))),IFERROR(DATE(VALUE(MID(TRIM(N676&amp;" "&amp;O676),12,4)),VALUE(MID(TRIM(N676&amp;" "&amp;O676),17,2)),VALUE(MID(TRIM(N676&amp;" "&amp;O676),20,2))),IF(ISNUMBER(I676),I676,"")),"")</f>
        <v/>
      </c>
      <c r="AD676" s="17">
        <f>IF(AND(ISNUMBER(AB676),ISNUMBER(AC676)),MAX(0,MIN(AC676,EOMONTH(출력_요약!$B$3,0))-MAX(AB676,출력_요약!$B$3)+1),0)</f>
        <v/>
      </c>
      <c r="AE676" s="10">
        <f>IF(AND(Q676&lt;&gt;"",ISNUMBER(AB676)),Q676&amp;"|다기관","")</f>
        <v/>
      </c>
    </row>
    <row r="677">
      <c r="A677" s="15">
        <f>IF(F677="","",ROW()-3)</f>
        <v/>
      </c>
      <c r="B677" s="5" t="n"/>
      <c r="C677" s="15" t="n"/>
      <c r="D677" s="5" t="n"/>
      <c r="E677" s="15" t="n"/>
      <c r="F677" s="5" t="n"/>
      <c r="G677" s="6" t="n"/>
      <c r="H677" s="16" t="n"/>
      <c r="I677" s="16" t="n"/>
      <c r="J677" s="15">
        <f>IF(AND(ISNUMBER(H677),ISNUMBER(I677)),I677-H677+1,"")</f>
        <v/>
      </c>
      <c r="K677" s="5" t="n"/>
      <c r="L677" s="5" t="n"/>
      <c r="M677" s="5" t="n"/>
      <c r="N677" s="5" t="n"/>
      <c r="O677" s="5" t="n"/>
      <c r="Q677" s="10">
        <f>IF(TRIM(G677&amp;"")="","",TRIM(G677&amp;""))</f>
        <v/>
      </c>
      <c r="R677" s="10">
        <f>IF(TRIM(B677&amp;"")="","",IFERROR(INDEX(설정_코드표!$K$2:$K$101,MATCH(TRIM(B677&amp;""),설정_코드표!$J$2:$J$101,0)),"⚠"&amp;TRIM(B677&amp;"")))</f>
        <v/>
      </c>
      <c r="S677" s="10">
        <f>IF(TRIM(K677&amp;"")="","",IFERROR(INDEX(설정_코드표!$K$2:$K$101,MATCH(TRIM(K677&amp;""),설정_코드표!$J$2:$J$101,0)),"⚠"&amp;TRIM(K677&amp;"")))</f>
        <v/>
      </c>
      <c r="T677" s="10">
        <f>IF(TRIM(M677&amp;"")="","",IF(ISNUMBER(MATCH(TRIM(M677&amp;""),설정_코드표!$C$2:$C$11,0)),TRIM(M677&amp;""),"⚠"&amp;TRIM(M677&amp;"")))</f>
        <v/>
      </c>
      <c r="U677" s="10">
        <f>IF(TRIM(L677&amp;"")="","",IFERROR(INDEX(설정_코드표!$G$2:$G$101,MATCH(TRIM(L677&amp;""),설정_코드표!$F$2:$F$101,0)),"⚠"&amp;TRIM(L677&amp;"")))</f>
        <v/>
      </c>
      <c r="V677" s="10">
        <f>IF(AND(ISNUMBER(H677),ISNUMBER(I677)),I677-H677+1,"")</f>
        <v/>
      </c>
      <c r="W677" s="17">
        <f>IF(ISNUMBER(H677),MAX(0,MIN(IF(ISNUMBER(I677),I677,EOMONTH(출력_요약!$B$3,0)),EOMONTH(출력_요약!$B$3,0))-MAX(H677,출력_요약!$B$3)+1),0)</f>
        <v/>
      </c>
      <c r="X677" s="10">
        <f>IF(OR(NOT(ISNUMBER(H677)),Q677=""),"",IF(TODAY()&lt;H677,"파견예정",IF(AND(ISNUMBER(I677),TODAY()&gt;I677),"파견종료","파견중")))</f>
        <v/>
      </c>
      <c r="Y677" s="10">
        <f>IF(OR(Q677="",X677=""),"",Q677&amp;"|"&amp;X677)</f>
        <v/>
      </c>
      <c r="Z677" s="10">
        <f>IF(AND(Q677&lt;&gt;"",W677&gt;0),Q677&amp;"|월","")</f>
        <v/>
      </c>
      <c r="AA677" s="10">
        <f>IF(COUNTA(B677:I677,K677:N677)=0,"",IF(Q677="","등록번호 없음",IF(LEFT(R677,1)="⚠","모병원명 미등록",IF(S677="","파견병원 입력",IF(LEFT(S677,1)="⚠","파견병원명 미등록",IF(LEFT(U677,1)="⚠","파견과목 미등록",IF(OR(T677="",LEFT(T677,1)="⚠"),"파견근거 확인",IF(NOT(AND(ISNUMBER(H677),ISNUMBER(I677))),"날짜 형식/누락",IF(I677&lt;H677,"종료일&lt;시작일","")))))))))</f>
        <v/>
      </c>
      <c r="AB677" s="11">
        <f>IF(ISNUMBER(SEARCH("다기관",TRIM(N677&amp;" "&amp;O677))),IFERROR(DATE(VALUE(MID(TRIM(N677&amp;" "&amp;O677),1,4)),VALUE(MID(TRIM(N677&amp;" "&amp;O677),6,2)),VALUE(MID(TRIM(N677&amp;" "&amp;O677),9,2))),IF(ISNUMBER(H677),H677,"")),"")</f>
        <v/>
      </c>
      <c r="AC677" s="11">
        <f>IF(ISNUMBER(SEARCH("다기관",TRIM(N677&amp;" "&amp;O677))),IFERROR(DATE(VALUE(MID(TRIM(N677&amp;" "&amp;O677),12,4)),VALUE(MID(TRIM(N677&amp;" "&amp;O677),17,2)),VALUE(MID(TRIM(N677&amp;" "&amp;O677),20,2))),IF(ISNUMBER(I677),I677,"")),"")</f>
        <v/>
      </c>
      <c r="AD677" s="17">
        <f>IF(AND(ISNUMBER(AB677),ISNUMBER(AC677)),MAX(0,MIN(AC677,EOMONTH(출력_요약!$B$3,0))-MAX(AB677,출력_요약!$B$3)+1),0)</f>
        <v/>
      </c>
      <c r="AE677" s="10">
        <f>IF(AND(Q677&lt;&gt;"",ISNUMBER(AB677)),Q677&amp;"|다기관","")</f>
        <v/>
      </c>
    </row>
    <row r="678">
      <c r="A678" s="15">
        <f>IF(F678="","",ROW()-3)</f>
        <v/>
      </c>
      <c r="B678" s="5" t="n"/>
      <c r="C678" s="15" t="n"/>
      <c r="D678" s="5" t="n"/>
      <c r="E678" s="15" t="n"/>
      <c r="F678" s="5" t="n"/>
      <c r="G678" s="6" t="n"/>
      <c r="H678" s="16" t="n"/>
      <c r="I678" s="16" t="n"/>
      <c r="J678" s="15">
        <f>IF(AND(ISNUMBER(H678),ISNUMBER(I678)),I678-H678+1,"")</f>
        <v/>
      </c>
      <c r="K678" s="5" t="n"/>
      <c r="L678" s="5" t="n"/>
      <c r="M678" s="5" t="n"/>
      <c r="N678" s="5" t="n"/>
      <c r="O678" s="5" t="n"/>
      <c r="Q678" s="10">
        <f>IF(TRIM(G678&amp;"")="","",TRIM(G678&amp;""))</f>
        <v/>
      </c>
      <c r="R678" s="10">
        <f>IF(TRIM(B678&amp;"")="","",IFERROR(INDEX(설정_코드표!$K$2:$K$101,MATCH(TRIM(B678&amp;""),설정_코드표!$J$2:$J$101,0)),"⚠"&amp;TRIM(B678&amp;"")))</f>
        <v/>
      </c>
      <c r="S678" s="10">
        <f>IF(TRIM(K678&amp;"")="","",IFERROR(INDEX(설정_코드표!$K$2:$K$101,MATCH(TRIM(K678&amp;""),설정_코드표!$J$2:$J$101,0)),"⚠"&amp;TRIM(K678&amp;"")))</f>
        <v/>
      </c>
      <c r="T678" s="10">
        <f>IF(TRIM(M678&amp;"")="","",IF(ISNUMBER(MATCH(TRIM(M678&amp;""),설정_코드표!$C$2:$C$11,0)),TRIM(M678&amp;""),"⚠"&amp;TRIM(M678&amp;"")))</f>
        <v/>
      </c>
      <c r="U678" s="10">
        <f>IF(TRIM(L678&amp;"")="","",IFERROR(INDEX(설정_코드표!$G$2:$G$101,MATCH(TRIM(L678&amp;""),설정_코드표!$F$2:$F$101,0)),"⚠"&amp;TRIM(L678&amp;"")))</f>
        <v/>
      </c>
      <c r="V678" s="10">
        <f>IF(AND(ISNUMBER(H678),ISNUMBER(I678)),I678-H678+1,"")</f>
        <v/>
      </c>
      <c r="W678" s="17">
        <f>IF(ISNUMBER(H678),MAX(0,MIN(IF(ISNUMBER(I678),I678,EOMONTH(출력_요약!$B$3,0)),EOMONTH(출력_요약!$B$3,0))-MAX(H678,출력_요약!$B$3)+1),0)</f>
        <v/>
      </c>
      <c r="X678" s="10">
        <f>IF(OR(NOT(ISNUMBER(H678)),Q678=""),"",IF(TODAY()&lt;H678,"파견예정",IF(AND(ISNUMBER(I678),TODAY()&gt;I678),"파견종료","파견중")))</f>
        <v/>
      </c>
      <c r="Y678" s="10">
        <f>IF(OR(Q678="",X678=""),"",Q678&amp;"|"&amp;X678)</f>
        <v/>
      </c>
      <c r="Z678" s="10">
        <f>IF(AND(Q678&lt;&gt;"",W678&gt;0),Q678&amp;"|월","")</f>
        <v/>
      </c>
      <c r="AA678" s="10">
        <f>IF(COUNTA(B678:I678,K678:N678)=0,"",IF(Q678="","등록번호 없음",IF(LEFT(R678,1)="⚠","모병원명 미등록",IF(S678="","파견병원 입력",IF(LEFT(S678,1)="⚠","파견병원명 미등록",IF(LEFT(U678,1)="⚠","파견과목 미등록",IF(OR(T678="",LEFT(T678,1)="⚠"),"파견근거 확인",IF(NOT(AND(ISNUMBER(H678),ISNUMBER(I678))),"날짜 형식/누락",IF(I678&lt;H678,"종료일&lt;시작일","")))))))))</f>
        <v/>
      </c>
      <c r="AB678" s="11">
        <f>IF(ISNUMBER(SEARCH("다기관",TRIM(N678&amp;" "&amp;O678))),IFERROR(DATE(VALUE(MID(TRIM(N678&amp;" "&amp;O678),1,4)),VALUE(MID(TRIM(N678&amp;" "&amp;O678),6,2)),VALUE(MID(TRIM(N678&amp;" "&amp;O678),9,2))),IF(ISNUMBER(H678),H678,"")),"")</f>
        <v/>
      </c>
      <c r="AC678" s="11">
        <f>IF(ISNUMBER(SEARCH("다기관",TRIM(N678&amp;" "&amp;O678))),IFERROR(DATE(VALUE(MID(TRIM(N678&amp;" "&amp;O678),12,4)),VALUE(MID(TRIM(N678&amp;" "&amp;O678),17,2)),VALUE(MID(TRIM(N678&amp;" "&amp;O678),20,2))),IF(ISNUMBER(I678),I678,"")),"")</f>
        <v/>
      </c>
      <c r="AD678" s="17">
        <f>IF(AND(ISNUMBER(AB678),ISNUMBER(AC678)),MAX(0,MIN(AC678,EOMONTH(출력_요약!$B$3,0))-MAX(AB678,출력_요약!$B$3)+1),0)</f>
        <v/>
      </c>
      <c r="AE678" s="10">
        <f>IF(AND(Q678&lt;&gt;"",ISNUMBER(AB678)),Q678&amp;"|다기관","")</f>
        <v/>
      </c>
    </row>
    <row r="679">
      <c r="A679" s="15">
        <f>IF(F679="","",ROW()-3)</f>
        <v/>
      </c>
      <c r="B679" s="5" t="n"/>
      <c r="C679" s="15" t="n"/>
      <c r="D679" s="5" t="n"/>
      <c r="E679" s="15" t="n"/>
      <c r="F679" s="5" t="n"/>
      <c r="G679" s="6" t="n"/>
      <c r="H679" s="16" t="n"/>
      <c r="I679" s="16" t="n"/>
      <c r="J679" s="15">
        <f>IF(AND(ISNUMBER(H679),ISNUMBER(I679)),I679-H679+1,"")</f>
        <v/>
      </c>
      <c r="K679" s="5" t="n"/>
      <c r="L679" s="5" t="n"/>
      <c r="M679" s="5" t="n"/>
      <c r="N679" s="5" t="n"/>
      <c r="O679" s="5" t="n"/>
      <c r="Q679" s="10">
        <f>IF(TRIM(G679&amp;"")="","",TRIM(G679&amp;""))</f>
        <v/>
      </c>
      <c r="R679" s="10">
        <f>IF(TRIM(B679&amp;"")="","",IFERROR(INDEX(설정_코드표!$K$2:$K$101,MATCH(TRIM(B679&amp;""),설정_코드표!$J$2:$J$101,0)),"⚠"&amp;TRIM(B679&amp;"")))</f>
        <v/>
      </c>
      <c r="S679" s="10">
        <f>IF(TRIM(K679&amp;"")="","",IFERROR(INDEX(설정_코드표!$K$2:$K$101,MATCH(TRIM(K679&amp;""),설정_코드표!$J$2:$J$101,0)),"⚠"&amp;TRIM(K679&amp;"")))</f>
        <v/>
      </c>
      <c r="T679" s="10">
        <f>IF(TRIM(M679&amp;"")="","",IF(ISNUMBER(MATCH(TRIM(M679&amp;""),설정_코드표!$C$2:$C$11,0)),TRIM(M679&amp;""),"⚠"&amp;TRIM(M679&amp;"")))</f>
        <v/>
      </c>
      <c r="U679" s="10">
        <f>IF(TRIM(L679&amp;"")="","",IFERROR(INDEX(설정_코드표!$G$2:$G$101,MATCH(TRIM(L679&amp;""),설정_코드표!$F$2:$F$101,0)),"⚠"&amp;TRIM(L679&amp;"")))</f>
        <v/>
      </c>
      <c r="V679" s="10">
        <f>IF(AND(ISNUMBER(H679),ISNUMBER(I679)),I679-H679+1,"")</f>
        <v/>
      </c>
      <c r="W679" s="17">
        <f>IF(ISNUMBER(H679),MAX(0,MIN(IF(ISNUMBER(I679),I679,EOMONTH(출력_요약!$B$3,0)),EOMONTH(출력_요약!$B$3,0))-MAX(H679,출력_요약!$B$3)+1),0)</f>
        <v/>
      </c>
      <c r="X679" s="10">
        <f>IF(OR(NOT(ISNUMBER(H679)),Q679=""),"",IF(TODAY()&lt;H679,"파견예정",IF(AND(ISNUMBER(I679),TODAY()&gt;I679),"파견종료","파견중")))</f>
        <v/>
      </c>
      <c r="Y679" s="10">
        <f>IF(OR(Q679="",X679=""),"",Q679&amp;"|"&amp;X679)</f>
        <v/>
      </c>
      <c r="Z679" s="10">
        <f>IF(AND(Q679&lt;&gt;"",W679&gt;0),Q679&amp;"|월","")</f>
        <v/>
      </c>
      <c r="AA679" s="10">
        <f>IF(COUNTA(B679:I679,K679:N679)=0,"",IF(Q679="","등록번호 없음",IF(LEFT(R679,1)="⚠","모병원명 미등록",IF(S679="","파견병원 입력",IF(LEFT(S679,1)="⚠","파견병원명 미등록",IF(LEFT(U679,1)="⚠","파견과목 미등록",IF(OR(T679="",LEFT(T679,1)="⚠"),"파견근거 확인",IF(NOT(AND(ISNUMBER(H679),ISNUMBER(I679))),"날짜 형식/누락",IF(I679&lt;H679,"종료일&lt;시작일","")))))))))</f>
        <v/>
      </c>
      <c r="AB679" s="11">
        <f>IF(ISNUMBER(SEARCH("다기관",TRIM(N679&amp;" "&amp;O679))),IFERROR(DATE(VALUE(MID(TRIM(N679&amp;" "&amp;O679),1,4)),VALUE(MID(TRIM(N679&amp;" "&amp;O679),6,2)),VALUE(MID(TRIM(N679&amp;" "&amp;O679),9,2))),IF(ISNUMBER(H679),H679,"")),"")</f>
        <v/>
      </c>
      <c r="AC679" s="11">
        <f>IF(ISNUMBER(SEARCH("다기관",TRIM(N679&amp;" "&amp;O679))),IFERROR(DATE(VALUE(MID(TRIM(N679&amp;" "&amp;O679),12,4)),VALUE(MID(TRIM(N679&amp;" "&amp;O679),17,2)),VALUE(MID(TRIM(N679&amp;" "&amp;O679),20,2))),IF(ISNUMBER(I679),I679,"")),"")</f>
        <v/>
      </c>
      <c r="AD679" s="17">
        <f>IF(AND(ISNUMBER(AB679),ISNUMBER(AC679)),MAX(0,MIN(AC679,EOMONTH(출력_요약!$B$3,0))-MAX(AB679,출력_요약!$B$3)+1),0)</f>
        <v/>
      </c>
      <c r="AE679" s="10">
        <f>IF(AND(Q679&lt;&gt;"",ISNUMBER(AB679)),Q679&amp;"|다기관","")</f>
        <v/>
      </c>
    </row>
    <row r="680">
      <c r="A680" s="15">
        <f>IF(F680="","",ROW()-3)</f>
        <v/>
      </c>
      <c r="B680" s="5" t="n"/>
      <c r="C680" s="15" t="n"/>
      <c r="D680" s="5" t="n"/>
      <c r="E680" s="15" t="n"/>
      <c r="F680" s="5" t="n"/>
      <c r="G680" s="6" t="n"/>
      <c r="H680" s="16" t="n"/>
      <c r="I680" s="16" t="n"/>
      <c r="J680" s="15">
        <f>IF(AND(ISNUMBER(H680),ISNUMBER(I680)),I680-H680+1,"")</f>
        <v/>
      </c>
      <c r="K680" s="5" t="n"/>
      <c r="L680" s="5" t="n"/>
      <c r="M680" s="5" t="n"/>
      <c r="N680" s="5" t="n"/>
      <c r="O680" s="5" t="n"/>
      <c r="Q680" s="10">
        <f>IF(TRIM(G680&amp;"")="","",TRIM(G680&amp;""))</f>
        <v/>
      </c>
      <c r="R680" s="10">
        <f>IF(TRIM(B680&amp;"")="","",IFERROR(INDEX(설정_코드표!$K$2:$K$101,MATCH(TRIM(B680&amp;""),설정_코드표!$J$2:$J$101,0)),"⚠"&amp;TRIM(B680&amp;"")))</f>
        <v/>
      </c>
      <c r="S680" s="10">
        <f>IF(TRIM(K680&amp;"")="","",IFERROR(INDEX(설정_코드표!$K$2:$K$101,MATCH(TRIM(K680&amp;""),설정_코드표!$J$2:$J$101,0)),"⚠"&amp;TRIM(K680&amp;"")))</f>
        <v/>
      </c>
      <c r="T680" s="10">
        <f>IF(TRIM(M680&amp;"")="","",IF(ISNUMBER(MATCH(TRIM(M680&amp;""),설정_코드표!$C$2:$C$11,0)),TRIM(M680&amp;""),"⚠"&amp;TRIM(M680&amp;"")))</f>
        <v/>
      </c>
      <c r="U680" s="10">
        <f>IF(TRIM(L680&amp;"")="","",IFERROR(INDEX(설정_코드표!$G$2:$G$101,MATCH(TRIM(L680&amp;""),설정_코드표!$F$2:$F$101,0)),"⚠"&amp;TRIM(L680&amp;"")))</f>
        <v/>
      </c>
      <c r="V680" s="10">
        <f>IF(AND(ISNUMBER(H680),ISNUMBER(I680)),I680-H680+1,"")</f>
        <v/>
      </c>
      <c r="W680" s="17">
        <f>IF(ISNUMBER(H680),MAX(0,MIN(IF(ISNUMBER(I680),I680,EOMONTH(출력_요약!$B$3,0)),EOMONTH(출력_요약!$B$3,0))-MAX(H680,출력_요약!$B$3)+1),0)</f>
        <v/>
      </c>
      <c r="X680" s="10">
        <f>IF(OR(NOT(ISNUMBER(H680)),Q680=""),"",IF(TODAY()&lt;H680,"파견예정",IF(AND(ISNUMBER(I680),TODAY()&gt;I680),"파견종료","파견중")))</f>
        <v/>
      </c>
      <c r="Y680" s="10">
        <f>IF(OR(Q680="",X680=""),"",Q680&amp;"|"&amp;X680)</f>
        <v/>
      </c>
      <c r="Z680" s="10">
        <f>IF(AND(Q680&lt;&gt;"",W680&gt;0),Q680&amp;"|월","")</f>
        <v/>
      </c>
      <c r="AA680" s="10">
        <f>IF(COUNTA(B680:I680,K680:N680)=0,"",IF(Q680="","등록번호 없음",IF(LEFT(R680,1)="⚠","모병원명 미등록",IF(S680="","파견병원 입력",IF(LEFT(S680,1)="⚠","파견병원명 미등록",IF(LEFT(U680,1)="⚠","파견과목 미등록",IF(OR(T680="",LEFT(T680,1)="⚠"),"파견근거 확인",IF(NOT(AND(ISNUMBER(H680),ISNUMBER(I680))),"날짜 형식/누락",IF(I680&lt;H680,"종료일&lt;시작일","")))))))))</f>
        <v/>
      </c>
      <c r="AB680" s="11">
        <f>IF(ISNUMBER(SEARCH("다기관",TRIM(N680&amp;" "&amp;O680))),IFERROR(DATE(VALUE(MID(TRIM(N680&amp;" "&amp;O680),1,4)),VALUE(MID(TRIM(N680&amp;" "&amp;O680),6,2)),VALUE(MID(TRIM(N680&amp;" "&amp;O680),9,2))),IF(ISNUMBER(H680),H680,"")),"")</f>
        <v/>
      </c>
      <c r="AC680" s="11">
        <f>IF(ISNUMBER(SEARCH("다기관",TRIM(N680&amp;" "&amp;O680))),IFERROR(DATE(VALUE(MID(TRIM(N680&amp;" "&amp;O680),12,4)),VALUE(MID(TRIM(N680&amp;" "&amp;O680),17,2)),VALUE(MID(TRIM(N680&amp;" "&amp;O680),20,2))),IF(ISNUMBER(I680),I680,"")),"")</f>
        <v/>
      </c>
      <c r="AD680" s="17">
        <f>IF(AND(ISNUMBER(AB680),ISNUMBER(AC680)),MAX(0,MIN(AC680,EOMONTH(출력_요약!$B$3,0))-MAX(AB680,출력_요약!$B$3)+1),0)</f>
        <v/>
      </c>
      <c r="AE680" s="10">
        <f>IF(AND(Q680&lt;&gt;"",ISNUMBER(AB680)),Q680&amp;"|다기관","")</f>
        <v/>
      </c>
    </row>
    <row r="681">
      <c r="A681" s="15">
        <f>IF(F681="","",ROW()-3)</f>
        <v/>
      </c>
      <c r="B681" s="5" t="n"/>
      <c r="C681" s="15" t="n"/>
      <c r="D681" s="5" t="n"/>
      <c r="E681" s="15" t="n"/>
      <c r="F681" s="5" t="n"/>
      <c r="G681" s="6" t="n"/>
      <c r="H681" s="16" t="n"/>
      <c r="I681" s="16" t="n"/>
      <c r="J681" s="15">
        <f>IF(AND(ISNUMBER(H681),ISNUMBER(I681)),I681-H681+1,"")</f>
        <v/>
      </c>
      <c r="K681" s="5" t="n"/>
      <c r="L681" s="5" t="n"/>
      <c r="M681" s="5" t="n"/>
      <c r="N681" s="5" t="n"/>
      <c r="O681" s="5" t="n"/>
      <c r="Q681" s="10">
        <f>IF(TRIM(G681&amp;"")="","",TRIM(G681&amp;""))</f>
        <v/>
      </c>
      <c r="R681" s="10">
        <f>IF(TRIM(B681&amp;"")="","",IFERROR(INDEX(설정_코드표!$K$2:$K$101,MATCH(TRIM(B681&amp;""),설정_코드표!$J$2:$J$101,0)),"⚠"&amp;TRIM(B681&amp;"")))</f>
        <v/>
      </c>
      <c r="S681" s="10">
        <f>IF(TRIM(K681&amp;"")="","",IFERROR(INDEX(설정_코드표!$K$2:$K$101,MATCH(TRIM(K681&amp;""),설정_코드표!$J$2:$J$101,0)),"⚠"&amp;TRIM(K681&amp;"")))</f>
        <v/>
      </c>
      <c r="T681" s="10">
        <f>IF(TRIM(M681&amp;"")="","",IF(ISNUMBER(MATCH(TRIM(M681&amp;""),설정_코드표!$C$2:$C$11,0)),TRIM(M681&amp;""),"⚠"&amp;TRIM(M681&amp;"")))</f>
        <v/>
      </c>
      <c r="U681" s="10">
        <f>IF(TRIM(L681&amp;"")="","",IFERROR(INDEX(설정_코드표!$G$2:$G$101,MATCH(TRIM(L681&amp;""),설정_코드표!$F$2:$F$101,0)),"⚠"&amp;TRIM(L681&amp;"")))</f>
        <v/>
      </c>
      <c r="V681" s="10">
        <f>IF(AND(ISNUMBER(H681),ISNUMBER(I681)),I681-H681+1,"")</f>
        <v/>
      </c>
      <c r="W681" s="17">
        <f>IF(ISNUMBER(H681),MAX(0,MIN(IF(ISNUMBER(I681),I681,EOMONTH(출력_요약!$B$3,0)),EOMONTH(출력_요약!$B$3,0))-MAX(H681,출력_요약!$B$3)+1),0)</f>
        <v/>
      </c>
      <c r="X681" s="10">
        <f>IF(OR(NOT(ISNUMBER(H681)),Q681=""),"",IF(TODAY()&lt;H681,"파견예정",IF(AND(ISNUMBER(I681),TODAY()&gt;I681),"파견종료","파견중")))</f>
        <v/>
      </c>
      <c r="Y681" s="10">
        <f>IF(OR(Q681="",X681=""),"",Q681&amp;"|"&amp;X681)</f>
        <v/>
      </c>
      <c r="Z681" s="10">
        <f>IF(AND(Q681&lt;&gt;"",W681&gt;0),Q681&amp;"|월","")</f>
        <v/>
      </c>
      <c r="AA681" s="10">
        <f>IF(COUNTA(B681:I681,K681:N681)=0,"",IF(Q681="","등록번호 없음",IF(LEFT(R681,1)="⚠","모병원명 미등록",IF(S681="","파견병원 입력",IF(LEFT(S681,1)="⚠","파견병원명 미등록",IF(LEFT(U681,1)="⚠","파견과목 미등록",IF(OR(T681="",LEFT(T681,1)="⚠"),"파견근거 확인",IF(NOT(AND(ISNUMBER(H681),ISNUMBER(I681))),"날짜 형식/누락",IF(I681&lt;H681,"종료일&lt;시작일","")))))))))</f>
        <v/>
      </c>
      <c r="AB681" s="11">
        <f>IF(ISNUMBER(SEARCH("다기관",TRIM(N681&amp;" "&amp;O681))),IFERROR(DATE(VALUE(MID(TRIM(N681&amp;" "&amp;O681),1,4)),VALUE(MID(TRIM(N681&amp;" "&amp;O681),6,2)),VALUE(MID(TRIM(N681&amp;" "&amp;O681),9,2))),IF(ISNUMBER(H681),H681,"")),"")</f>
        <v/>
      </c>
      <c r="AC681" s="11">
        <f>IF(ISNUMBER(SEARCH("다기관",TRIM(N681&amp;" "&amp;O681))),IFERROR(DATE(VALUE(MID(TRIM(N681&amp;" "&amp;O681),12,4)),VALUE(MID(TRIM(N681&amp;" "&amp;O681),17,2)),VALUE(MID(TRIM(N681&amp;" "&amp;O681),20,2))),IF(ISNUMBER(I681),I681,"")),"")</f>
        <v/>
      </c>
      <c r="AD681" s="17">
        <f>IF(AND(ISNUMBER(AB681),ISNUMBER(AC681)),MAX(0,MIN(AC681,EOMONTH(출력_요약!$B$3,0))-MAX(AB681,출력_요약!$B$3)+1),0)</f>
        <v/>
      </c>
      <c r="AE681" s="10">
        <f>IF(AND(Q681&lt;&gt;"",ISNUMBER(AB681)),Q681&amp;"|다기관","")</f>
        <v/>
      </c>
    </row>
    <row r="682">
      <c r="A682" s="15">
        <f>IF(F682="","",ROW()-3)</f>
        <v/>
      </c>
      <c r="B682" s="5" t="n"/>
      <c r="C682" s="15" t="n"/>
      <c r="D682" s="5" t="n"/>
      <c r="E682" s="15" t="n"/>
      <c r="F682" s="5" t="n"/>
      <c r="G682" s="6" t="n"/>
      <c r="H682" s="16" t="n"/>
      <c r="I682" s="16" t="n"/>
      <c r="J682" s="15">
        <f>IF(AND(ISNUMBER(H682),ISNUMBER(I682)),I682-H682+1,"")</f>
        <v/>
      </c>
      <c r="K682" s="5" t="n"/>
      <c r="L682" s="5" t="n"/>
      <c r="M682" s="5" t="n"/>
      <c r="N682" s="5" t="n"/>
      <c r="O682" s="5" t="n"/>
      <c r="Q682" s="10">
        <f>IF(TRIM(G682&amp;"")="","",TRIM(G682&amp;""))</f>
        <v/>
      </c>
      <c r="R682" s="10">
        <f>IF(TRIM(B682&amp;"")="","",IFERROR(INDEX(설정_코드표!$K$2:$K$101,MATCH(TRIM(B682&amp;""),설정_코드표!$J$2:$J$101,0)),"⚠"&amp;TRIM(B682&amp;"")))</f>
        <v/>
      </c>
      <c r="S682" s="10">
        <f>IF(TRIM(K682&amp;"")="","",IFERROR(INDEX(설정_코드표!$K$2:$K$101,MATCH(TRIM(K682&amp;""),설정_코드표!$J$2:$J$101,0)),"⚠"&amp;TRIM(K682&amp;"")))</f>
        <v/>
      </c>
      <c r="T682" s="10">
        <f>IF(TRIM(M682&amp;"")="","",IF(ISNUMBER(MATCH(TRIM(M682&amp;""),설정_코드표!$C$2:$C$11,0)),TRIM(M682&amp;""),"⚠"&amp;TRIM(M682&amp;"")))</f>
        <v/>
      </c>
      <c r="U682" s="10">
        <f>IF(TRIM(L682&amp;"")="","",IFERROR(INDEX(설정_코드표!$G$2:$G$101,MATCH(TRIM(L682&amp;""),설정_코드표!$F$2:$F$101,0)),"⚠"&amp;TRIM(L682&amp;"")))</f>
        <v/>
      </c>
      <c r="V682" s="10">
        <f>IF(AND(ISNUMBER(H682),ISNUMBER(I682)),I682-H682+1,"")</f>
        <v/>
      </c>
      <c r="W682" s="17">
        <f>IF(ISNUMBER(H682),MAX(0,MIN(IF(ISNUMBER(I682),I682,EOMONTH(출력_요약!$B$3,0)),EOMONTH(출력_요약!$B$3,0))-MAX(H682,출력_요약!$B$3)+1),0)</f>
        <v/>
      </c>
      <c r="X682" s="10">
        <f>IF(OR(NOT(ISNUMBER(H682)),Q682=""),"",IF(TODAY()&lt;H682,"파견예정",IF(AND(ISNUMBER(I682),TODAY()&gt;I682),"파견종료","파견중")))</f>
        <v/>
      </c>
      <c r="Y682" s="10">
        <f>IF(OR(Q682="",X682=""),"",Q682&amp;"|"&amp;X682)</f>
        <v/>
      </c>
      <c r="Z682" s="10">
        <f>IF(AND(Q682&lt;&gt;"",W682&gt;0),Q682&amp;"|월","")</f>
        <v/>
      </c>
      <c r="AA682" s="10">
        <f>IF(COUNTA(B682:I682,K682:N682)=0,"",IF(Q682="","등록번호 없음",IF(LEFT(R682,1)="⚠","모병원명 미등록",IF(S682="","파견병원 입력",IF(LEFT(S682,1)="⚠","파견병원명 미등록",IF(LEFT(U682,1)="⚠","파견과목 미등록",IF(OR(T682="",LEFT(T682,1)="⚠"),"파견근거 확인",IF(NOT(AND(ISNUMBER(H682),ISNUMBER(I682))),"날짜 형식/누락",IF(I682&lt;H682,"종료일&lt;시작일","")))))))))</f>
        <v/>
      </c>
      <c r="AB682" s="11">
        <f>IF(ISNUMBER(SEARCH("다기관",TRIM(N682&amp;" "&amp;O682))),IFERROR(DATE(VALUE(MID(TRIM(N682&amp;" "&amp;O682),1,4)),VALUE(MID(TRIM(N682&amp;" "&amp;O682),6,2)),VALUE(MID(TRIM(N682&amp;" "&amp;O682),9,2))),IF(ISNUMBER(H682),H682,"")),"")</f>
        <v/>
      </c>
      <c r="AC682" s="11">
        <f>IF(ISNUMBER(SEARCH("다기관",TRIM(N682&amp;" "&amp;O682))),IFERROR(DATE(VALUE(MID(TRIM(N682&amp;" "&amp;O682),12,4)),VALUE(MID(TRIM(N682&amp;" "&amp;O682),17,2)),VALUE(MID(TRIM(N682&amp;" "&amp;O682),20,2))),IF(ISNUMBER(I682),I682,"")),"")</f>
        <v/>
      </c>
      <c r="AD682" s="17">
        <f>IF(AND(ISNUMBER(AB682),ISNUMBER(AC682)),MAX(0,MIN(AC682,EOMONTH(출력_요약!$B$3,0))-MAX(AB682,출력_요약!$B$3)+1),0)</f>
        <v/>
      </c>
      <c r="AE682" s="10">
        <f>IF(AND(Q682&lt;&gt;"",ISNUMBER(AB682)),Q682&amp;"|다기관","")</f>
        <v/>
      </c>
    </row>
    <row r="683">
      <c r="A683" s="15">
        <f>IF(F683="","",ROW()-3)</f>
        <v/>
      </c>
      <c r="B683" s="5" t="n"/>
      <c r="C683" s="15" t="n"/>
      <c r="D683" s="5" t="n"/>
      <c r="E683" s="15" t="n"/>
      <c r="F683" s="5" t="n"/>
      <c r="G683" s="6" t="n"/>
      <c r="H683" s="16" t="n"/>
      <c r="I683" s="16" t="n"/>
      <c r="J683" s="15">
        <f>IF(AND(ISNUMBER(H683),ISNUMBER(I683)),I683-H683+1,"")</f>
        <v/>
      </c>
      <c r="K683" s="5" t="n"/>
      <c r="L683" s="5" t="n"/>
      <c r="M683" s="5" t="n"/>
      <c r="N683" s="5" t="n"/>
      <c r="O683" s="5" t="n"/>
      <c r="Q683" s="10">
        <f>IF(TRIM(G683&amp;"")="","",TRIM(G683&amp;""))</f>
        <v/>
      </c>
      <c r="R683" s="10">
        <f>IF(TRIM(B683&amp;"")="","",IFERROR(INDEX(설정_코드표!$K$2:$K$101,MATCH(TRIM(B683&amp;""),설정_코드표!$J$2:$J$101,0)),"⚠"&amp;TRIM(B683&amp;"")))</f>
        <v/>
      </c>
      <c r="S683" s="10">
        <f>IF(TRIM(K683&amp;"")="","",IFERROR(INDEX(설정_코드표!$K$2:$K$101,MATCH(TRIM(K683&amp;""),설정_코드표!$J$2:$J$101,0)),"⚠"&amp;TRIM(K683&amp;"")))</f>
        <v/>
      </c>
      <c r="T683" s="10">
        <f>IF(TRIM(M683&amp;"")="","",IF(ISNUMBER(MATCH(TRIM(M683&amp;""),설정_코드표!$C$2:$C$11,0)),TRIM(M683&amp;""),"⚠"&amp;TRIM(M683&amp;"")))</f>
        <v/>
      </c>
      <c r="U683" s="10">
        <f>IF(TRIM(L683&amp;"")="","",IFERROR(INDEX(설정_코드표!$G$2:$G$101,MATCH(TRIM(L683&amp;""),설정_코드표!$F$2:$F$101,0)),"⚠"&amp;TRIM(L683&amp;"")))</f>
        <v/>
      </c>
      <c r="V683" s="10">
        <f>IF(AND(ISNUMBER(H683),ISNUMBER(I683)),I683-H683+1,"")</f>
        <v/>
      </c>
      <c r="W683" s="17">
        <f>IF(ISNUMBER(H683),MAX(0,MIN(IF(ISNUMBER(I683),I683,EOMONTH(출력_요약!$B$3,0)),EOMONTH(출력_요약!$B$3,0))-MAX(H683,출력_요약!$B$3)+1),0)</f>
        <v/>
      </c>
      <c r="X683" s="10">
        <f>IF(OR(NOT(ISNUMBER(H683)),Q683=""),"",IF(TODAY()&lt;H683,"파견예정",IF(AND(ISNUMBER(I683),TODAY()&gt;I683),"파견종료","파견중")))</f>
        <v/>
      </c>
      <c r="Y683" s="10">
        <f>IF(OR(Q683="",X683=""),"",Q683&amp;"|"&amp;X683)</f>
        <v/>
      </c>
      <c r="Z683" s="10">
        <f>IF(AND(Q683&lt;&gt;"",W683&gt;0),Q683&amp;"|월","")</f>
        <v/>
      </c>
      <c r="AA683" s="10">
        <f>IF(COUNTA(B683:I683,K683:N683)=0,"",IF(Q683="","등록번호 없음",IF(LEFT(R683,1)="⚠","모병원명 미등록",IF(S683="","파견병원 입력",IF(LEFT(S683,1)="⚠","파견병원명 미등록",IF(LEFT(U683,1)="⚠","파견과목 미등록",IF(OR(T683="",LEFT(T683,1)="⚠"),"파견근거 확인",IF(NOT(AND(ISNUMBER(H683),ISNUMBER(I683))),"날짜 형식/누락",IF(I683&lt;H683,"종료일&lt;시작일","")))))))))</f>
        <v/>
      </c>
      <c r="AB683" s="11">
        <f>IF(ISNUMBER(SEARCH("다기관",TRIM(N683&amp;" "&amp;O683))),IFERROR(DATE(VALUE(MID(TRIM(N683&amp;" "&amp;O683),1,4)),VALUE(MID(TRIM(N683&amp;" "&amp;O683),6,2)),VALUE(MID(TRIM(N683&amp;" "&amp;O683),9,2))),IF(ISNUMBER(H683),H683,"")),"")</f>
        <v/>
      </c>
      <c r="AC683" s="11">
        <f>IF(ISNUMBER(SEARCH("다기관",TRIM(N683&amp;" "&amp;O683))),IFERROR(DATE(VALUE(MID(TRIM(N683&amp;" "&amp;O683),12,4)),VALUE(MID(TRIM(N683&amp;" "&amp;O683),17,2)),VALUE(MID(TRIM(N683&amp;" "&amp;O683),20,2))),IF(ISNUMBER(I683),I683,"")),"")</f>
        <v/>
      </c>
      <c r="AD683" s="17">
        <f>IF(AND(ISNUMBER(AB683),ISNUMBER(AC683)),MAX(0,MIN(AC683,EOMONTH(출력_요약!$B$3,0))-MAX(AB683,출력_요약!$B$3)+1),0)</f>
        <v/>
      </c>
      <c r="AE683" s="10">
        <f>IF(AND(Q683&lt;&gt;"",ISNUMBER(AB683)),Q683&amp;"|다기관","")</f>
        <v/>
      </c>
    </row>
    <row r="684">
      <c r="A684" s="15">
        <f>IF(F684="","",ROW()-3)</f>
        <v/>
      </c>
      <c r="B684" s="5" t="n"/>
      <c r="C684" s="15" t="n"/>
      <c r="D684" s="5" t="n"/>
      <c r="E684" s="15" t="n"/>
      <c r="F684" s="5" t="n"/>
      <c r="G684" s="6" t="n"/>
      <c r="H684" s="16" t="n"/>
      <c r="I684" s="16" t="n"/>
      <c r="J684" s="15">
        <f>IF(AND(ISNUMBER(H684),ISNUMBER(I684)),I684-H684+1,"")</f>
        <v/>
      </c>
      <c r="K684" s="5" t="n"/>
      <c r="L684" s="5" t="n"/>
      <c r="M684" s="5" t="n"/>
      <c r="N684" s="5" t="n"/>
      <c r="O684" s="5" t="n"/>
      <c r="Q684" s="10">
        <f>IF(TRIM(G684&amp;"")="","",TRIM(G684&amp;""))</f>
        <v/>
      </c>
      <c r="R684" s="10">
        <f>IF(TRIM(B684&amp;"")="","",IFERROR(INDEX(설정_코드표!$K$2:$K$101,MATCH(TRIM(B684&amp;""),설정_코드표!$J$2:$J$101,0)),"⚠"&amp;TRIM(B684&amp;"")))</f>
        <v/>
      </c>
      <c r="S684" s="10">
        <f>IF(TRIM(K684&amp;"")="","",IFERROR(INDEX(설정_코드표!$K$2:$K$101,MATCH(TRIM(K684&amp;""),설정_코드표!$J$2:$J$101,0)),"⚠"&amp;TRIM(K684&amp;"")))</f>
        <v/>
      </c>
      <c r="T684" s="10">
        <f>IF(TRIM(M684&amp;"")="","",IF(ISNUMBER(MATCH(TRIM(M684&amp;""),설정_코드표!$C$2:$C$11,0)),TRIM(M684&amp;""),"⚠"&amp;TRIM(M684&amp;"")))</f>
        <v/>
      </c>
      <c r="U684" s="10">
        <f>IF(TRIM(L684&amp;"")="","",IFERROR(INDEX(설정_코드표!$G$2:$G$101,MATCH(TRIM(L684&amp;""),설정_코드표!$F$2:$F$101,0)),"⚠"&amp;TRIM(L684&amp;"")))</f>
        <v/>
      </c>
      <c r="V684" s="10">
        <f>IF(AND(ISNUMBER(H684),ISNUMBER(I684)),I684-H684+1,"")</f>
        <v/>
      </c>
      <c r="W684" s="17">
        <f>IF(ISNUMBER(H684),MAX(0,MIN(IF(ISNUMBER(I684),I684,EOMONTH(출력_요약!$B$3,0)),EOMONTH(출력_요약!$B$3,0))-MAX(H684,출력_요약!$B$3)+1),0)</f>
        <v/>
      </c>
      <c r="X684" s="10">
        <f>IF(OR(NOT(ISNUMBER(H684)),Q684=""),"",IF(TODAY()&lt;H684,"파견예정",IF(AND(ISNUMBER(I684),TODAY()&gt;I684),"파견종료","파견중")))</f>
        <v/>
      </c>
      <c r="Y684" s="10">
        <f>IF(OR(Q684="",X684=""),"",Q684&amp;"|"&amp;X684)</f>
        <v/>
      </c>
      <c r="Z684" s="10">
        <f>IF(AND(Q684&lt;&gt;"",W684&gt;0),Q684&amp;"|월","")</f>
        <v/>
      </c>
      <c r="AA684" s="10">
        <f>IF(COUNTA(B684:I684,K684:N684)=0,"",IF(Q684="","등록번호 없음",IF(LEFT(R684,1)="⚠","모병원명 미등록",IF(S684="","파견병원 입력",IF(LEFT(S684,1)="⚠","파견병원명 미등록",IF(LEFT(U684,1)="⚠","파견과목 미등록",IF(OR(T684="",LEFT(T684,1)="⚠"),"파견근거 확인",IF(NOT(AND(ISNUMBER(H684),ISNUMBER(I684))),"날짜 형식/누락",IF(I684&lt;H684,"종료일&lt;시작일","")))))))))</f>
        <v/>
      </c>
      <c r="AB684" s="11">
        <f>IF(ISNUMBER(SEARCH("다기관",TRIM(N684&amp;" "&amp;O684))),IFERROR(DATE(VALUE(MID(TRIM(N684&amp;" "&amp;O684),1,4)),VALUE(MID(TRIM(N684&amp;" "&amp;O684),6,2)),VALUE(MID(TRIM(N684&amp;" "&amp;O684),9,2))),IF(ISNUMBER(H684),H684,"")),"")</f>
        <v/>
      </c>
      <c r="AC684" s="11">
        <f>IF(ISNUMBER(SEARCH("다기관",TRIM(N684&amp;" "&amp;O684))),IFERROR(DATE(VALUE(MID(TRIM(N684&amp;" "&amp;O684),12,4)),VALUE(MID(TRIM(N684&amp;" "&amp;O684),17,2)),VALUE(MID(TRIM(N684&amp;" "&amp;O684),20,2))),IF(ISNUMBER(I684),I684,"")),"")</f>
        <v/>
      </c>
      <c r="AD684" s="17">
        <f>IF(AND(ISNUMBER(AB684),ISNUMBER(AC684)),MAX(0,MIN(AC684,EOMONTH(출력_요약!$B$3,0))-MAX(AB684,출력_요약!$B$3)+1),0)</f>
        <v/>
      </c>
      <c r="AE684" s="10">
        <f>IF(AND(Q684&lt;&gt;"",ISNUMBER(AB684)),Q684&amp;"|다기관","")</f>
        <v/>
      </c>
    </row>
    <row r="685">
      <c r="A685" s="15">
        <f>IF(F685="","",ROW()-3)</f>
        <v/>
      </c>
      <c r="B685" s="5" t="n"/>
      <c r="C685" s="15" t="n"/>
      <c r="D685" s="5" t="n"/>
      <c r="E685" s="15" t="n"/>
      <c r="F685" s="5" t="n"/>
      <c r="G685" s="6" t="n"/>
      <c r="H685" s="16" t="n"/>
      <c r="I685" s="16" t="n"/>
      <c r="J685" s="15">
        <f>IF(AND(ISNUMBER(H685),ISNUMBER(I685)),I685-H685+1,"")</f>
        <v/>
      </c>
      <c r="K685" s="5" t="n"/>
      <c r="L685" s="5" t="n"/>
      <c r="M685" s="5" t="n"/>
      <c r="N685" s="5" t="n"/>
      <c r="O685" s="5" t="n"/>
      <c r="Q685" s="10">
        <f>IF(TRIM(G685&amp;"")="","",TRIM(G685&amp;""))</f>
        <v/>
      </c>
      <c r="R685" s="10">
        <f>IF(TRIM(B685&amp;"")="","",IFERROR(INDEX(설정_코드표!$K$2:$K$101,MATCH(TRIM(B685&amp;""),설정_코드표!$J$2:$J$101,0)),"⚠"&amp;TRIM(B685&amp;"")))</f>
        <v/>
      </c>
      <c r="S685" s="10">
        <f>IF(TRIM(K685&amp;"")="","",IFERROR(INDEX(설정_코드표!$K$2:$K$101,MATCH(TRIM(K685&amp;""),설정_코드표!$J$2:$J$101,0)),"⚠"&amp;TRIM(K685&amp;"")))</f>
        <v/>
      </c>
      <c r="T685" s="10">
        <f>IF(TRIM(M685&amp;"")="","",IF(ISNUMBER(MATCH(TRIM(M685&amp;""),설정_코드표!$C$2:$C$11,0)),TRIM(M685&amp;""),"⚠"&amp;TRIM(M685&amp;"")))</f>
        <v/>
      </c>
      <c r="U685" s="10">
        <f>IF(TRIM(L685&amp;"")="","",IFERROR(INDEX(설정_코드표!$G$2:$G$101,MATCH(TRIM(L685&amp;""),설정_코드표!$F$2:$F$101,0)),"⚠"&amp;TRIM(L685&amp;"")))</f>
        <v/>
      </c>
      <c r="V685" s="10">
        <f>IF(AND(ISNUMBER(H685),ISNUMBER(I685)),I685-H685+1,"")</f>
        <v/>
      </c>
      <c r="W685" s="17">
        <f>IF(ISNUMBER(H685),MAX(0,MIN(IF(ISNUMBER(I685),I685,EOMONTH(출력_요약!$B$3,0)),EOMONTH(출력_요약!$B$3,0))-MAX(H685,출력_요약!$B$3)+1),0)</f>
        <v/>
      </c>
      <c r="X685" s="10">
        <f>IF(OR(NOT(ISNUMBER(H685)),Q685=""),"",IF(TODAY()&lt;H685,"파견예정",IF(AND(ISNUMBER(I685),TODAY()&gt;I685),"파견종료","파견중")))</f>
        <v/>
      </c>
      <c r="Y685" s="10">
        <f>IF(OR(Q685="",X685=""),"",Q685&amp;"|"&amp;X685)</f>
        <v/>
      </c>
      <c r="Z685" s="10">
        <f>IF(AND(Q685&lt;&gt;"",W685&gt;0),Q685&amp;"|월","")</f>
        <v/>
      </c>
      <c r="AA685" s="10">
        <f>IF(COUNTA(B685:I685,K685:N685)=0,"",IF(Q685="","등록번호 없음",IF(LEFT(R685,1)="⚠","모병원명 미등록",IF(S685="","파견병원 입력",IF(LEFT(S685,1)="⚠","파견병원명 미등록",IF(LEFT(U685,1)="⚠","파견과목 미등록",IF(OR(T685="",LEFT(T685,1)="⚠"),"파견근거 확인",IF(NOT(AND(ISNUMBER(H685),ISNUMBER(I685))),"날짜 형식/누락",IF(I685&lt;H685,"종료일&lt;시작일","")))))))))</f>
        <v/>
      </c>
      <c r="AB685" s="11">
        <f>IF(ISNUMBER(SEARCH("다기관",TRIM(N685&amp;" "&amp;O685))),IFERROR(DATE(VALUE(MID(TRIM(N685&amp;" "&amp;O685),1,4)),VALUE(MID(TRIM(N685&amp;" "&amp;O685),6,2)),VALUE(MID(TRIM(N685&amp;" "&amp;O685),9,2))),IF(ISNUMBER(H685),H685,"")),"")</f>
        <v/>
      </c>
      <c r="AC685" s="11">
        <f>IF(ISNUMBER(SEARCH("다기관",TRIM(N685&amp;" "&amp;O685))),IFERROR(DATE(VALUE(MID(TRIM(N685&amp;" "&amp;O685),12,4)),VALUE(MID(TRIM(N685&amp;" "&amp;O685),17,2)),VALUE(MID(TRIM(N685&amp;" "&amp;O685),20,2))),IF(ISNUMBER(I685),I685,"")),"")</f>
        <v/>
      </c>
      <c r="AD685" s="17">
        <f>IF(AND(ISNUMBER(AB685),ISNUMBER(AC685)),MAX(0,MIN(AC685,EOMONTH(출력_요약!$B$3,0))-MAX(AB685,출력_요약!$B$3)+1),0)</f>
        <v/>
      </c>
      <c r="AE685" s="10">
        <f>IF(AND(Q685&lt;&gt;"",ISNUMBER(AB685)),Q685&amp;"|다기관","")</f>
        <v/>
      </c>
    </row>
    <row r="686">
      <c r="A686" s="15">
        <f>IF(F686="","",ROW()-3)</f>
        <v/>
      </c>
      <c r="B686" s="5" t="n"/>
      <c r="C686" s="15" t="n"/>
      <c r="D686" s="5" t="n"/>
      <c r="E686" s="15" t="n"/>
      <c r="F686" s="5" t="n"/>
      <c r="G686" s="6" t="n"/>
      <c r="H686" s="16" t="n"/>
      <c r="I686" s="16" t="n"/>
      <c r="J686" s="15">
        <f>IF(AND(ISNUMBER(H686),ISNUMBER(I686)),I686-H686+1,"")</f>
        <v/>
      </c>
      <c r="K686" s="5" t="n"/>
      <c r="L686" s="5" t="n"/>
      <c r="M686" s="5" t="n"/>
      <c r="N686" s="5" t="n"/>
      <c r="O686" s="5" t="n"/>
      <c r="Q686" s="10">
        <f>IF(TRIM(G686&amp;"")="","",TRIM(G686&amp;""))</f>
        <v/>
      </c>
      <c r="R686" s="10">
        <f>IF(TRIM(B686&amp;"")="","",IFERROR(INDEX(설정_코드표!$K$2:$K$101,MATCH(TRIM(B686&amp;""),설정_코드표!$J$2:$J$101,0)),"⚠"&amp;TRIM(B686&amp;"")))</f>
        <v/>
      </c>
      <c r="S686" s="10">
        <f>IF(TRIM(K686&amp;"")="","",IFERROR(INDEX(설정_코드표!$K$2:$K$101,MATCH(TRIM(K686&amp;""),설정_코드표!$J$2:$J$101,0)),"⚠"&amp;TRIM(K686&amp;"")))</f>
        <v/>
      </c>
      <c r="T686" s="10">
        <f>IF(TRIM(M686&amp;"")="","",IF(ISNUMBER(MATCH(TRIM(M686&amp;""),설정_코드표!$C$2:$C$11,0)),TRIM(M686&amp;""),"⚠"&amp;TRIM(M686&amp;"")))</f>
        <v/>
      </c>
      <c r="U686" s="10">
        <f>IF(TRIM(L686&amp;"")="","",IFERROR(INDEX(설정_코드표!$G$2:$G$101,MATCH(TRIM(L686&amp;""),설정_코드표!$F$2:$F$101,0)),"⚠"&amp;TRIM(L686&amp;"")))</f>
        <v/>
      </c>
      <c r="V686" s="10">
        <f>IF(AND(ISNUMBER(H686),ISNUMBER(I686)),I686-H686+1,"")</f>
        <v/>
      </c>
      <c r="W686" s="17">
        <f>IF(ISNUMBER(H686),MAX(0,MIN(IF(ISNUMBER(I686),I686,EOMONTH(출력_요약!$B$3,0)),EOMONTH(출력_요약!$B$3,0))-MAX(H686,출력_요약!$B$3)+1),0)</f>
        <v/>
      </c>
      <c r="X686" s="10">
        <f>IF(OR(NOT(ISNUMBER(H686)),Q686=""),"",IF(TODAY()&lt;H686,"파견예정",IF(AND(ISNUMBER(I686),TODAY()&gt;I686),"파견종료","파견중")))</f>
        <v/>
      </c>
      <c r="Y686" s="10">
        <f>IF(OR(Q686="",X686=""),"",Q686&amp;"|"&amp;X686)</f>
        <v/>
      </c>
      <c r="Z686" s="10">
        <f>IF(AND(Q686&lt;&gt;"",W686&gt;0),Q686&amp;"|월","")</f>
        <v/>
      </c>
      <c r="AA686" s="10">
        <f>IF(COUNTA(B686:I686,K686:N686)=0,"",IF(Q686="","등록번호 없음",IF(LEFT(R686,1)="⚠","모병원명 미등록",IF(S686="","파견병원 입력",IF(LEFT(S686,1)="⚠","파견병원명 미등록",IF(LEFT(U686,1)="⚠","파견과목 미등록",IF(OR(T686="",LEFT(T686,1)="⚠"),"파견근거 확인",IF(NOT(AND(ISNUMBER(H686),ISNUMBER(I686))),"날짜 형식/누락",IF(I686&lt;H686,"종료일&lt;시작일","")))))))))</f>
        <v/>
      </c>
      <c r="AB686" s="11">
        <f>IF(ISNUMBER(SEARCH("다기관",TRIM(N686&amp;" "&amp;O686))),IFERROR(DATE(VALUE(MID(TRIM(N686&amp;" "&amp;O686),1,4)),VALUE(MID(TRIM(N686&amp;" "&amp;O686),6,2)),VALUE(MID(TRIM(N686&amp;" "&amp;O686),9,2))),IF(ISNUMBER(H686),H686,"")),"")</f>
        <v/>
      </c>
      <c r="AC686" s="11">
        <f>IF(ISNUMBER(SEARCH("다기관",TRIM(N686&amp;" "&amp;O686))),IFERROR(DATE(VALUE(MID(TRIM(N686&amp;" "&amp;O686),12,4)),VALUE(MID(TRIM(N686&amp;" "&amp;O686),17,2)),VALUE(MID(TRIM(N686&amp;" "&amp;O686),20,2))),IF(ISNUMBER(I686),I686,"")),"")</f>
        <v/>
      </c>
      <c r="AD686" s="17">
        <f>IF(AND(ISNUMBER(AB686),ISNUMBER(AC686)),MAX(0,MIN(AC686,EOMONTH(출력_요약!$B$3,0))-MAX(AB686,출력_요약!$B$3)+1),0)</f>
        <v/>
      </c>
      <c r="AE686" s="10">
        <f>IF(AND(Q686&lt;&gt;"",ISNUMBER(AB686)),Q686&amp;"|다기관","")</f>
        <v/>
      </c>
    </row>
    <row r="687">
      <c r="A687" s="15">
        <f>IF(F687="","",ROW()-3)</f>
        <v/>
      </c>
      <c r="B687" s="5" t="n"/>
      <c r="C687" s="15" t="n"/>
      <c r="D687" s="5" t="n"/>
      <c r="E687" s="15" t="n"/>
      <c r="F687" s="5" t="n"/>
      <c r="G687" s="6" t="n"/>
      <c r="H687" s="16" t="n"/>
      <c r="I687" s="16" t="n"/>
      <c r="J687" s="15">
        <f>IF(AND(ISNUMBER(H687),ISNUMBER(I687)),I687-H687+1,"")</f>
        <v/>
      </c>
      <c r="K687" s="5" t="n"/>
      <c r="L687" s="5" t="n"/>
      <c r="M687" s="5" t="n"/>
      <c r="N687" s="5" t="n"/>
      <c r="O687" s="5" t="n"/>
      <c r="Q687" s="10">
        <f>IF(TRIM(G687&amp;"")="","",TRIM(G687&amp;""))</f>
        <v/>
      </c>
      <c r="R687" s="10">
        <f>IF(TRIM(B687&amp;"")="","",IFERROR(INDEX(설정_코드표!$K$2:$K$101,MATCH(TRIM(B687&amp;""),설정_코드표!$J$2:$J$101,0)),"⚠"&amp;TRIM(B687&amp;"")))</f>
        <v/>
      </c>
      <c r="S687" s="10">
        <f>IF(TRIM(K687&amp;"")="","",IFERROR(INDEX(설정_코드표!$K$2:$K$101,MATCH(TRIM(K687&amp;""),설정_코드표!$J$2:$J$101,0)),"⚠"&amp;TRIM(K687&amp;"")))</f>
        <v/>
      </c>
      <c r="T687" s="10">
        <f>IF(TRIM(M687&amp;"")="","",IF(ISNUMBER(MATCH(TRIM(M687&amp;""),설정_코드표!$C$2:$C$11,0)),TRIM(M687&amp;""),"⚠"&amp;TRIM(M687&amp;"")))</f>
        <v/>
      </c>
      <c r="U687" s="10">
        <f>IF(TRIM(L687&amp;"")="","",IFERROR(INDEX(설정_코드표!$G$2:$G$101,MATCH(TRIM(L687&amp;""),설정_코드표!$F$2:$F$101,0)),"⚠"&amp;TRIM(L687&amp;"")))</f>
        <v/>
      </c>
      <c r="V687" s="10">
        <f>IF(AND(ISNUMBER(H687),ISNUMBER(I687)),I687-H687+1,"")</f>
        <v/>
      </c>
      <c r="W687" s="17">
        <f>IF(ISNUMBER(H687),MAX(0,MIN(IF(ISNUMBER(I687),I687,EOMONTH(출력_요약!$B$3,0)),EOMONTH(출력_요약!$B$3,0))-MAX(H687,출력_요약!$B$3)+1),0)</f>
        <v/>
      </c>
      <c r="X687" s="10">
        <f>IF(OR(NOT(ISNUMBER(H687)),Q687=""),"",IF(TODAY()&lt;H687,"파견예정",IF(AND(ISNUMBER(I687),TODAY()&gt;I687),"파견종료","파견중")))</f>
        <v/>
      </c>
      <c r="Y687" s="10">
        <f>IF(OR(Q687="",X687=""),"",Q687&amp;"|"&amp;X687)</f>
        <v/>
      </c>
      <c r="Z687" s="10">
        <f>IF(AND(Q687&lt;&gt;"",W687&gt;0),Q687&amp;"|월","")</f>
        <v/>
      </c>
      <c r="AA687" s="10">
        <f>IF(COUNTA(B687:I687,K687:N687)=0,"",IF(Q687="","등록번호 없음",IF(LEFT(R687,1)="⚠","모병원명 미등록",IF(S687="","파견병원 입력",IF(LEFT(S687,1)="⚠","파견병원명 미등록",IF(LEFT(U687,1)="⚠","파견과목 미등록",IF(OR(T687="",LEFT(T687,1)="⚠"),"파견근거 확인",IF(NOT(AND(ISNUMBER(H687),ISNUMBER(I687))),"날짜 형식/누락",IF(I687&lt;H687,"종료일&lt;시작일","")))))))))</f>
        <v/>
      </c>
      <c r="AB687" s="11">
        <f>IF(ISNUMBER(SEARCH("다기관",TRIM(N687&amp;" "&amp;O687))),IFERROR(DATE(VALUE(MID(TRIM(N687&amp;" "&amp;O687),1,4)),VALUE(MID(TRIM(N687&amp;" "&amp;O687),6,2)),VALUE(MID(TRIM(N687&amp;" "&amp;O687),9,2))),IF(ISNUMBER(H687),H687,"")),"")</f>
        <v/>
      </c>
      <c r="AC687" s="11">
        <f>IF(ISNUMBER(SEARCH("다기관",TRIM(N687&amp;" "&amp;O687))),IFERROR(DATE(VALUE(MID(TRIM(N687&amp;" "&amp;O687),12,4)),VALUE(MID(TRIM(N687&amp;" "&amp;O687),17,2)),VALUE(MID(TRIM(N687&amp;" "&amp;O687),20,2))),IF(ISNUMBER(I687),I687,"")),"")</f>
        <v/>
      </c>
      <c r="AD687" s="17">
        <f>IF(AND(ISNUMBER(AB687),ISNUMBER(AC687)),MAX(0,MIN(AC687,EOMONTH(출력_요약!$B$3,0))-MAX(AB687,출력_요약!$B$3)+1),0)</f>
        <v/>
      </c>
      <c r="AE687" s="10">
        <f>IF(AND(Q687&lt;&gt;"",ISNUMBER(AB687)),Q687&amp;"|다기관","")</f>
        <v/>
      </c>
    </row>
    <row r="688">
      <c r="A688" s="15">
        <f>IF(F688="","",ROW()-3)</f>
        <v/>
      </c>
      <c r="B688" s="5" t="n"/>
      <c r="C688" s="15" t="n"/>
      <c r="D688" s="5" t="n"/>
      <c r="E688" s="15" t="n"/>
      <c r="F688" s="5" t="n"/>
      <c r="G688" s="6" t="n"/>
      <c r="H688" s="16" t="n"/>
      <c r="I688" s="16" t="n"/>
      <c r="J688" s="15">
        <f>IF(AND(ISNUMBER(H688),ISNUMBER(I688)),I688-H688+1,"")</f>
        <v/>
      </c>
      <c r="K688" s="5" t="n"/>
      <c r="L688" s="5" t="n"/>
      <c r="M688" s="5" t="n"/>
      <c r="N688" s="5" t="n"/>
      <c r="O688" s="5" t="n"/>
      <c r="Q688" s="10">
        <f>IF(TRIM(G688&amp;"")="","",TRIM(G688&amp;""))</f>
        <v/>
      </c>
      <c r="R688" s="10">
        <f>IF(TRIM(B688&amp;"")="","",IFERROR(INDEX(설정_코드표!$K$2:$K$101,MATCH(TRIM(B688&amp;""),설정_코드표!$J$2:$J$101,0)),"⚠"&amp;TRIM(B688&amp;"")))</f>
        <v/>
      </c>
      <c r="S688" s="10">
        <f>IF(TRIM(K688&amp;"")="","",IFERROR(INDEX(설정_코드표!$K$2:$K$101,MATCH(TRIM(K688&amp;""),설정_코드표!$J$2:$J$101,0)),"⚠"&amp;TRIM(K688&amp;"")))</f>
        <v/>
      </c>
      <c r="T688" s="10">
        <f>IF(TRIM(M688&amp;"")="","",IF(ISNUMBER(MATCH(TRIM(M688&amp;""),설정_코드표!$C$2:$C$11,0)),TRIM(M688&amp;""),"⚠"&amp;TRIM(M688&amp;"")))</f>
        <v/>
      </c>
      <c r="U688" s="10">
        <f>IF(TRIM(L688&amp;"")="","",IFERROR(INDEX(설정_코드표!$G$2:$G$101,MATCH(TRIM(L688&amp;""),설정_코드표!$F$2:$F$101,0)),"⚠"&amp;TRIM(L688&amp;"")))</f>
        <v/>
      </c>
      <c r="V688" s="10">
        <f>IF(AND(ISNUMBER(H688),ISNUMBER(I688)),I688-H688+1,"")</f>
        <v/>
      </c>
      <c r="W688" s="17">
        <f>IF(ISNUMBER(H688),MAX(0,MIN(IF(ISNUMBER(I688),I688,EOMONTH(출력_요약!$B$3,0)),EOMONTH(출력_요약!$B$3,0))-MAX(H688,출력_요약!$B$3)+1),0)</f>
        <v/>
      </c>
      <c r="X688" s="10">
        <f>IF(OR(NOT(ISNUMBER(H688)),Q688=""),"",IF(TODAY()&lt;H688,"파견예정",IF(AND(ISNUMBER(I688),TODAY()&gt;I688),"파견종료","파견중")))</f>
        <v/>
      </c>
      <c r="Y688" s="10">
        <f>IF(OR(Q688="",X688=""),"",Q688&amp;"|"&amp;X688)</f>
        <v/>
      </c>
      <c r="Z688" s="10">
        <f>IF(AND(Q688&lt;&gt;"",W688&gt;0),Q688&amp;"|월","")</f>
        <v/>
      </c>
      <c r="AA688" s="10">
        <f>IF(COUNTA(B688:I688,K688:N688)=0,"",IF(Q688="","등록번호 없음",IF(LEFT(R688,1)="⚠","모병원명 미등록",IF(S688="","파견병원 입력",IF(LEFT(S688,1)="⚠","파견병원명 미등록",IF(LEFT(U688,1)="⚠","파견과목 미등록",IF(OR(T688="",LEFT(T688,1)="⚠"),"파견근거 확인",IF(NOT(AND(ISNUMBER(H688),ISNUMBER(I688))),"날짜 형식/누락",IF(I688&lt;H688,"종료일&lt;시작일","")))))))))</f>
        <v/>
      </c>
      <c r="AB688" s="11">
        <f>IF(ISNUMBER(SEARCH("다기관",TRIM(N688&amp;" "&amp;O688))),IFERROR(DATE(VALUE(MID(TRIM(N688&amp;" "&amp;O688),1,4)),VALUE(MID(TRIM(N688&amp;" "&amp;O688),6,2)),VALUE(MID(TRIM(N688&amp;" "&amp;O688),9,2))),IF(ISNUMBER(H688),H688,"")),"")</f>
        <v/>
      </c>
      <c r="AC688" s="11">
        <f>IF(ISNUMBER(SEARCH("다기관",TRIM(N688&amp;" "&amp;O688))),IFERROR(DATE(VALUE(MID(TRIM(N688&amp;" "&amp;O688),12,4)),VALUE(MID(TRIM(N688&amp;" "&amp;O688),17,2)),VALUE(MID(TRIM(N688&amp;" "&amp;O688),20,2))),IF(ISNUMBER(I688),I688,"")),"")</f>
        <v/>
      </c>
      <c r="AD688" s="17">
        <f>IF(AND(ISNUMBER(AB688),ISNUMBER(AC688)),MAX(0,MIN(AC688,EOMONTH(출력_요약!$B$3,0))-MAX(AB688,출력_요약!$B$3)+1),0)</f>
        <v/>
      </c>
      <c r="AE688" s="10">
        <f>IF(AND(Q688&lt;&gt;"",ISNUMBER(AB688)),Q688&amp;"|다기관","")</f>
        <v/>
      </c>
    </row>
    <row r="689">
      <c r="A689" s="15">
        <f>IF(F689="","",ROW()-3)</f>
        <v/>
      </c>
      <c r="B689" s="5" t="n"/>
      <c r="C689" s="15" t="n"/>
      <c r="D689" s="5" t="n"/>
      <c r="E689" s="15" t="n"/>
      <c r="F689" s="5" t="n"/>
      <c r="G689" s="6" t="n"/>
      <c r="H689" s="16" t="n"/>
      <c r="I689" s="16" t="n"/>
      <c r="J689" s="15">
        <f>IF(AND(ISNUMBER(H689),ISNUMBER(I689)),I689-H689+1,"")</f>
        <v/>
      </c>
      <c r="K689" s="5" t="n"/>
      <c r="L689" s="5" t="n"/>
      <c r="M689" s="5" t="n"/>
      <c r="N689" s="5" t="n"/>
      <c r="O689" s="5" t="n"/>
      <c r="Q689" s="10">
        <f>IF(TRIM(G689&amp;"")="","",TRIM(G689&amp;""))</f>
        <v/>
      </c>
      <c r="R689" s="10">
        <f>IF(TRIM(B689&amp;"")="","",IFERROR(INDEX(설정_코드표!$K$2:$K$101,MATCH(TRIM(B689&amp;""),설정_코드표!$J$2:$J$101,0)),"⚠"&amp;TRIM(B689&amp;"")))</f>
        <v/>
      </c>
      <c r="S689" s="10">
        <f>IF(TRIM(K689&amp;"")="","",IFERROR(INDEX(설정_코드표!$K$2:$K$101,MATCH(TRIM(K689&amp;""),설정_코드표!$J$2:$J$101,0)),"⚠"&amp;TRIM(K689&amp;"")))</f>
        <v/>
      </c>
      <c r="T689" s="10">
        <f>IF(TRIM(M689&amp;"")="","",IF(ISNUMBER(MATCH(TRIM(M689&amp;""),설정_코드표!$C$2:$C$11,0)),TRIM(M689&amp;""),"⚠"&amp;TRIM(M689&amp;"")))</f>
        <v/>
      </c>
      <c r="U689" s="10">
        <f>IF(TRIM(L689&amp;"")="","",IFERROR(INDEX(설정_코드표!$G$2:$G$101,MATCH(TRIM(L689&amp;""),설정_코드표!$F$2:$F$101,0)),"⚠"&amp;TRIM(L689&amp;"")))</f>
        <v/>
      </c>
      <c r="V689" s="10">
        <f>IF(AND(ISNUMBER(H689),ISNUMBER(I689)),I689-H689+1,"")</f>
        <v/>
      </c>
      <c r="W689" s="17">
        <f>IF(ISNUMBER(H689),MAX(0,MIN(IF(ISNUMBER(I689),I689,EOMONTH(출력_요약!$B$3,0)),EOMONTH(출력_요약!$B$3,0))-MAX(H689,출력_요약!$B$3)+1),0)</f>
        <v/>
      </c>
      <c r="X689" s="10">
        <f>IF(OR(NOT(ISNUMBER(H689)),Q689=""),"",IF(TODAY()&lt;H689,"파견예정",IF(AND(ISNUMBER(I689),TODAY()&gt;I689),"파견종료","파견중")))</f>
        <v/>
      </c>
      <c r="Y689" s="10">
        <f>IF(OR(Q689="",X689=""),"",Q689&amp;"|"&amp;X689)</f>
        <v/>
      </c>
      <c r="Z689" s="10">
        <f>IF(AND(Q689&lt;&gt;"",W689&gt;0),Q689&amp;"|월","")</f>
        <v/>
      </c>
      <c r="AA689" s="10">
        <f>IF(COUNTA(B689:I689,K689:N689)=0,"",IF(Q689="","등록번호 없음",IF(LEFT(R689,1)="⚠","모병원명 미등록",IF(S689="","파견병원 입력",IF(LEFT(S689,1)="⚠","파견병원명 미등록",IF(LEFT(U689,1)="⚠","파견과목 미등록",IF(OR(T689="",LEFT(T689,1)="⚠"),"파견근거 확인",IF(NOT(AND(ISNUMBER(H689),ISNUMBER(I689))),"날짜 형식/누락",IF(I689&lt;H689,"종료일&lt;시작일","")))))))))</f>
        <v/>
      </c>
      <c r="AB689" s="11">
        <f>IF(ISNUMBER(SEARCH("다기관",TRIM(N689&amp;" "&amp;O689))),IFERROR(DATE(VALUE(MID(TRIM(N689&amp;" "&amp;O689),1,4)),VALUE(MID(TRIM(N689&amp;" "&amp;O689),6,2)),VALUE(MID(TRIM(N689&amp;" "&amp;O689),9,2))),IF(ISNUMBER(H689),H689,"")),"")</f>
        <v/>
      </c>
      <c r="AC689" s="11">
        <f>IF(ISNUMBER(SEARCH("다기관",TRIM(N689&amp;" "&amp;O689))),IFERROR(DATE(VALUE(MID(TRIM(N689&amp;" "&amp;O689),12,4)),VALUE(MID(TRIM(N689&amp;" "&amp;O689),17,2)),VALUE(MID(TRIM(N689&amp;" "&amp;O689),20,2))),IF(ISNUMBER(I689),I689,"")),"")</f>
        <v/>
      </c>
      <c r="AD689" s="17">
        <f>IF(AND(ISNUMBER(AB689),ISNUMBER(AC689)),MAX(0,MIN(AC689,EOMONTH(출력_요약!$B$3,0))-MAX(AB689,출력_요약!$B$3)+1),0)</f>
        <v/>
      </c>
      <c r="AE689" s="10">
        <f>IF(AND(Q689&lt;&gt;"",ISNUMBER(AB689)),Q689&amp;"|다기관","")</f>
        <v/>
      </c>
    </row>
    <row r="690">
      <c r="A690" s="15">
        <f>IF(F690="","",ROW()-3)</f>
        <v/>
      </c>
      <c r="B690" s="5" t="n"/>
      <c r="C690" s="15" t="n"/>
      <c r="D690" s="5" t="n"/>
      <c r="E690" s="15" t="n"/>
      <c r="F690" s="5" t="n"/>
      <c r="G690" s="6" t="n"/>
      <c r="H690" s="16" t="n"/>
      <c r="I690" s="16" t="n"/>
      <c r="J690" s="15">
        <f>IF(AND(ISNUMBER(H690),ISNUMBER(I690)),I690-H690+1,"")</f>
        <v/>
      </c>
      <c r="K690" s="5" t="n"/>
      <c r="L690" s="5" t="n"/>
      <c r="M690" s="5" t="n"/>
      <c r="N690" s="5" t="n"/>
      <c r="O690" s="5" t="n"/>
      <c r="Q690" s="10">
        <f>IF(TRIM(G690&amp;"")="","",TRIM(G690&amp;""))</f>
        <v/>
      </c>
      <c r="R690" s="10">
        <f>IF(TRIM(B690&amp;"")="","",IFERROR(INDEX(설정_코드표!$K$2:$K$101,MATCH(TRIM(B690&amp;""),설정_코드표!$J$2:$J$101,0)),"⚠"&amp;TRIM(B690&amp;"")))</f>
        <v/>
      </c>
      <c r="S690" s="10">
        <f>IF(TRIM(K690&amp;"")="","",IFERROR(INDEX(설정_코드표!$K$2:$K$101,MATCH(TRIM(K690&amp;""),설정_코드표!$J$2:$J$101,0)),"⚠"&amp;TRIM(K690&amp;"")))</f>
        <v/>
      </c>
      <c r="T690" s="10">
        <f>IF(TRIM(M690&amp;"")="","",IF(ISNUMBER(MATCH(TRIM(M690&amp;""),설정_코드표!$C$2:$C$11,0)),TRIM(M690&amp;""),"⚠"&amp;TRIM(M690&amp;"")))</f>
        <v/>
      </c>
      <c r="U690" s="10">
        <f>IF(TRIM(L690&amp;"")="","",IFERROR(INDEX(설정_코드표!$G$2:$G$101,MATCH(TRIM(L690&amp;""),설정_코드표!$F$2:$F$101,0)),"⚠"&amp;TRIM(L690&amp;"")))</f>
        <v/>
      </c>
      <c r="V690" s="10">
        <f>IF(AND(ISNUMBER(H690),ISNUMBER(I690)),I690-H690+1,"")</f>
        <v/>
      </c>
      <c r="W690" s="17">
        <f>IF(ISNUMBER(H690),MAX(0,MIN(IF(ISNUMBER(I690),I690,EOMONTH(출력_요약!$B$3,0)),EOMONTH(출력_요약!$B$3,0))-MAX(H690,출력_요약!$B$3)+1),0)</f>
        <v/>
      </c>
      <c r="X690" s="10">
        <f>IF(OR(NOT(ISNUMBER(H690)),Q690=""),"",IF(TODAY()&lt;H690,"파견예정",IF(AND(ISNUMBER(I690),TODAY()&gt;I690),"파견종료","파견중")))</f>
        <v/>
      </c>
      <c r="Y690" s="10">
        <f>IF(OR(Q690="",X690=""),"",Q690&amp;"|"&amp;X690)</f>
        <v/>
      </c>
      <c r="Z690" s="10">
        <f>IF(AND(Q690&lt;&gt;"",W690&gt;0),Q690&amp;"|월","")</f>
        <v/>
      </c>
      <c r="AA690" s="10">
        <f>IF(COUNTA(B690:I690,K690:N690)=0,"",IF(Q690="","등록번호 없음",IF(LEFT(R690,1)="⚠","모병원명 미등록",IF(S690="","파견병원 입력",IF(LEFT(S690,1)="⚠","파견병원명 미등록",IF(LEFT(U690,1)="⚠","파견과목 미등록",IF(OR(T690="",LEFT(T690,1)="⚠"),"파견근거 확인",IF(NOT(AND(ISNUMBER(H690),ISNUMBER(I690))),"날짜 형식/누락",IF(I690&lt;H690,"종료일&lt;시작일","")))))))))</f>
        <v/>
      </c>
      <c r="AB690" s="11">
        <f>IF(ISNUMBER(SEARCH("다기관",TRIM(N690&amp;" "&amp;O690))),IFERROR(DATE(VALUE(MID(TRIM(N690&amp;" "&amp;O690),1,4)),VALUE(MID(TRIM(N690&amp;" "&amp;O690),6,2)),VALUE(MID(TRIM(N690&amp;" "&amp;O690),9,2))),IF(ISNUMBER(H690),H690,"")),"")</f>
        <v/>
      </c>
      <c r="AC690" s="11">
        <f>IF(ISNUMBER(SEARCH("다기관",TRIM(N690&amp;" "&amp;O690))),IFERROR(DATE(VALUE(MID(TRIM(N690&amp;" "&amp;O690),12,4)),VALUE(MID(TRIM(N690&amp;" "&amp;O690),17,2)),VALUE(MID(TRIM(N690&amp;" "&amp;O690),20,2))),IF(ISNUMBER(I690),I690,"")),"")</f>
        <v/>
      </c>
      <c r="AD690" s="17">
        <f>IF(AND(ISNUMBER(AB690),ISNUMBER(AC690)),MAX(0,MIN(AC690,EOMONTH(출력_요약!$B$3,0))-MAX(AB690,출력_요약!$B$3)+1),0)</f>
        <v/>
      </c>
      <c r="AE690" s="10">
        <f>IF(AND(Q690&lt;&gt;"",ISNUMBER(AB690)),Q690&amp;"|다기관","")</f>
        <v/>
      </c>
    </row>
    <row r="691">
      <c r="A691" s="15">
        <f>IF(F691="","",ROW()-3)</f>
        <v/>
      </c>
      <c r="B691" s="5" t="n"/>
      <c r="C691" s="15" t="n"/>
      <c r="D691" s="5" t="n"/>
      <c r="E691" s="15" t="n"/>
      <c r="F691" s="5" t="n"/>
      <c r="G691" s="6" t="n"/>
      <c r="H691" s="16" t="n"/>
      <c r="I691" s="16" t="n"/>
      <c r="J691" s="15">
        <f>IF(AND(ISNUMBER(H691),ISNUMBER(I691)),I691-H691+1,"")</f>
        <v/>
      </c>
      <c r="K691" s="5" t="n"/>
      <c r="L691" s="5" t="n"/>
      <c r="M691" s="5" t="n"/>
      <c r="N691" s="5" t="n"/>
      <c r="O691" s="5" t="n"/>
      <c r="Q691" s="10">
        <f>IF(TRIM(G691&amp;"")="","",TRIM(G691&amp;""))</f>
        <v/>
      </c>
      <c r="R691" s="10">
        <f>IF(TRIM(B691&amp;"")="","",IFERROR(INDEX(설정_코드표!$K$2:$K$101,MATCH(TRIM(B691&amp;""),설정_코드표!$J$2:$J$101,0)),"⚠"&amp;TRIM(B691&amp;"")))</f>
        <v/>
      </c>
      <c r="S691" s="10">
        <f>IF(TRIM(K691&amp;"")="","",IFERROR(INDEX(설정_코드표!$K$2:$K$101,MATCH(TRIM(K691&amp;""),설정_코드표!$J$2:$J$101,0)),"⚠"&amp;TRIM(K691&amp;"")))</f>
        <v/>
      </c>
      <c r="T691" s="10">
        <f>IF(TRIM(M691&amp;"")="","",IF(ISNUMBER(MATCH(TRIM(M691&amp;""),설정_코드표!$C$2:$C$11,0)),TRIM(M691&amp;""),"⚠"&amp;TRIM(M691&amp;"")))</f>
        <v/>
      </c>
      <c r="U691" s="10">
        <f>IF(TRIM(L691&amp;"")="","",IFERROR(INDEX(설정_코드표!$G$2:$G$101,MATCH(TRIM(L691&amp;""),설정_코드표!$F$2:$F$101,0)),"⚠"&amp;TRIM(L691&amp;"")))</f>
        <v/>
      </c>
      <c r="V691" s="10">
        <f>IF(AND(ISNUMBER(H691),ISNUMBER(I691)),I691-H691+1,"")</f>
        <v/>
      </c>
      <c r="W691" s="17">
        <f>IF(ISNUMBER(H691),MAX(0,MIN(IF(ISNUMBER(I691),I691,EOMONTH(출력_요약!$B$3,0)),EOMONTH(출력_요약!$B$3,0))-MAX(H691,출력_요약!$B$3)+1),0)</f>
        <v/>
      </c>
      <c r="X691" s="10">
        <f>IF(OR(NOT(ISNUMBER(H691)),Q691=""),"",IF(TODAY()&lt;H691,"파견예정",IF(AND(ISNUMBER(I691),TODAY()&gt;I691),"파견종료","파견중")))</f>
        <v/>
      </c>
      <c r="Y691" s="10">
        <f>IF(OR(Q691="",X691=""),"",Q691&amp;"|"&amp;X691)</f>
        <v/>
      </c>
      <c r="Z691" s="10">
        <f>IF(AND(Q691&lt;&gt;"",W691&gt;0),Q691&amp;"|월","")</f>
        <v/>
      </c>
      <c r="AA691" s="10">
        <f>IF(COUNTA(B691:I691,K691:N691)=0,"",IF(Q691="","등록번호 없음",IF(LEFT(R691,1)="⚠","모병원명 미등록",IF(S691="","파견병원 입력",IF(LEFT(S691,1)="⚠","파견병원명 미등록",IF(LEFT(U691,1)="⚠","파견과목 미등록",IF(OR(T691="",LEFT(T691,1)="⚠"),"파견근거 확인",IF(NOT(AND(ISNUMBER(H691),ISNUMBER(I691))),"날짜 형식/누락",IF(I691&lt;H691,"종료일&lt;시작일","")))))))))</f>
        <v/>
      </c>
      <c r="AB691" s="11">
        <f>IF(ISNUMBER(SEARCH("다기관",TRIM(N691&amp;" "&amp;O691))),IFERROR(DATE(VALUE(MID(TRIM(N691&amp;" "&amp;O691),1,4)),VALUE(MID(TRIM(N691&amp;" "&amp;O691),6,2)),VALUE(MID(TRIM(N691&amp;" "&amp;O691),9,2))),IF(ISNUMBER(H691),H691,"")),"")</f>
        <v/>
      </c>
      <c r="AC691" s="11">
        <f>IF(ISNUMBER(SEARCH("다기관",TRIM(N691&amp;" "&amp;O691))),IFERROR(DATE(VALUE(MID(TRIM(N691&amp;" "&amp;O691),12,4)),VALUE(MID(TRIM(N691&amp;" "&amp;O691),17,2)),VALUE(MID(TRIM(N691&amp;" "&amp;O691),20,2))),IF(ISNUMBER(I691),I691,"")),"")</f>
        <v/>
      </c>
      <c r="AD691" s="17">
        <f>IF(AND(ISNUMBER(AB691),ISNUMBER(AC691)),MAX(0,MIN(AC691,EOMONTH(출력_요약!$B$3,0))-MAX(AB691,출력_요약!$B$3)+1),0)</f>
        <v/>
      </c>
      <c r="AE691" s="10">
        <f>IF(AND(Q691&lt;&gt;"",ISNUMBER(AB691)),Q691&amp;"|다기관","")</f>
        <v/>
      </c>
    </row>
    <row r="692">
      <c r="A692" s="15">
        <f>IF(F692="","",ROW()-3)</f>
        <v/>
      </c>
      <c r="B692" s="5" t="n"/>
      <c r="C692" s="15" t="n"/>
      <c r="D692" s="5" t="n"/>
      <c r="E692" s="15" t="n"/>
      <c r="F692" s="5" t="n"/>
      <c r="G692" s="6" t="n"/>
      <c r="H692" s="16" t="n"/>
      <c r="I692" s="16" t="n"/>
      <c r="J692" s="15">
        <f>IF(AND(ISNUMBER(H692),ISNUMBER(I692)),I692-H692+1,"")</f>
        <v/>
      </c>
      <c r="K692" s="5" t="n"/>
      <c r="L692" s="5" t="n"/>
      <c r="M692" s="5" t="n"/>
      <c r="N692" s="5" t="n"/>
      <c r="O692" s="5" t="n"/>
      <c r="Q692" s="10">
        <f>IF(TRIM(G692&amp;"")="","",TRIM(G692&amp;""))</f>
        <v/>
      </c>
      <c r="R692" s="10">
        <f>IF(TRIM(B692&amp;"")="","",IFERROR(INDEX(설정_코드표!$K$2:$K$101,MATCH(TRIM(B692&amp;""),설정_코드표!$J$2:$J$101,0)),"⚠"&amp;TRIM(B692&amp;"")))</f>
        <v/>
      </c>
      <c r="S692" s="10">
        <f>IF(TRIM(K692&amp;"")="","",IFERROR(INDEX(설정_코드표!$K$2:$K$101,MATCH(TRIM(K692&amp;""),설정_코드표!$J$2:$J$101,0)),"⚠"&amp;TRIM(K692&amp;"")))</f>
        <v/>
      </c>
      <c r="T692" s="10">
        <f>IF(TRIM(M692&amp;"")="","",IF(ISNUMBER(MATCH(TRIM(M692&amp;""),설정_코드표!$C$2:$C$11,0)),TRIM(M692&amp;""),"⚠"&amp;TRIM(M692&amp;"")))</f>
        <v/>
      </c>
      <c r="U692" s="10">
        <f>IF(TRIM(L692&amp;"")="","",IFERROR(INDEX(설정_코드표!$G$2:$G$101,MATCH(TRIM(L692&amp;""),설정_코드표!$F$2:$F$101,0)),"⚠"&amp;TRIM(L692&amp;"")))</f>
        <v/>
      </c>
      <c r="V692" s="10">
        <f>IF(AND(ISNUMBER(H692),ISNUMBER(I692)),I692-H692+1,"")</f>
        <v/>
      </c>
      <c r="W692" s="17">
        <f>IF(ISNUMBER(H692),MAX(0,MIN(IF(ISNUMBER(I692),I692,EOMONTH(출력_요약!$B$3,0)),EOMONTH(출력_요약!$B$3,0))-MAX(H692,출력_요약!$B$3)+1),0)</f>
        <v/>
      </c>
      <c r="X692" s="10">
        <f>IF(OR(NOT(ISNUMBER(H692)),Q692=""),"",IF(TODAY()&lt;H692,"파견예정",IF(AND(ISNUMBER(I692),TODAY()&gt;I692),"파견종료","파견중")))</f>
        <v/>
      </c>
      <c r="Y692" s="10">
        <f>IF(OR(Q692="",X692=""),"",Q692&amp;"|"&amp;X692)</f>
        <v/>
      </c>
      <c r="Z692" s="10">
        <f>IF(AND(Q692&lt;&gt;"",W692&gt;0),Q692&amp;"|월","")</f>
        <v/>
      </c>
      <c r="AA692" s="10">
        <f>IF(COUNTA(B692:I692,K692:N692)=0,"",IF(Q692="","등록번호 없음",IF(LEFT(R692,1)="⚠","모병원명 미등록",IF(S692="","파견병원 입력",IF(LEFT(S692,1)="⚠","파견병원명 미등록",IF(LEFT(U692,1)="⚠","파견과목 미등록",IF(OR(T692="",LEFT(T692,1)="⚠"),"파견근거 확인",IF(NOT(AND(ISNUMBER(H692),ISNUMBER(I692))),"날짜 형식/누락",IF(I692&lt;H692,"종료일&lt;시작일","")))))))))</f>
        <v/>
      </c>
      <c r="AB692" s="11">
        <f>IF(ISNUMBER(SEARCH("다기관",TRIM(N692&amp;" "&amp;O692))),IFERROR(DATE(VALUE(MID(TRIM(N692&amp;" "&amp;O692),1,4)),VALUE(MID(TRIM(N692&amp;" "&amp;O692),6,2)),VALUE(MID(TRIM(N692&amp;" "&amp;O692),9,2))),IF(ISNUMBER(H692),H692,"")),"")</f>
        <v/>
      </c>
      <c r="AC692" s="11">
        <f>IF(ISNUMBER(SEARCH("다기관",TRIM(N692&amp;" "&amp;O692))),IFERROR(DATE(VALUE(MID(TRIM(N692&amp;" "&amp;O692),12,4)),VALUE(MID(TRIM(N692&amp;" "&amp;O692),17,2)),VALUE(MID(TRIM(N692&amp;" "&amp;O692),20,2))),IF(ISNUMBER(I692),I692,"")),"")</f>
        <v/>
      </c>
      <c r="AD692" s="17">
        <f>IF(AND(ISNUMBER(AB692),ISNUMBER(AC692)),MAX(0,MIN(AC692,EOMONTH(출력_요약!$B$3,0))-MAX(AB692,출력_요약!$B$3)+1),0)</f>
        <v/>
      </c>
      <c r="AE692" s="10">
        <f>IF(AND(Q692&lt;&gt;"",ISNUMBER(AB692)),Q692&amp;"|다기관","")</f>
        <v/>
      </c>
    </row>
    <row r="693">
      <c r="A693" s="15">
        <f>IF(F693="","",ROW()-3)</f>
        <v/>
      </c>
      <c r="B693" s="5" t="n"/>
      <c r="C693" s="15" t="n"/>
      <c r="D693" s="5" t="n"/>
      <c r="E693" s="15" t="n"/>
      <c r="F693" s="5" t="n"/>
      <c r="G693" s="6" t="n"/>
      <c r="H693" s="16" t="n"/>
      <c r="I693" s="16" t="n"/>
      <c r="J693" s="15">
        <f>IF(AND(ISNUMBER(H693),ISNUMBER(I693)),I693-H693+1,"")</f>
        <v/>
      </c>
      <c r="K693" s="5" t="n"/>
      <c r="L693" s="5" t="n"/>
      <c r="M693" s="5" t="n"/>
      <c r="N693" s="5" t="n"/>
      <c r="O693" s="5" t="n"/>
      <c r="Q693" s="10">
        <f>IF(TRIM(G693&amp;"")="","",TRIM(G693&amp;""))</f>
        <v/>
      </c>
      <c r="R693" s="10">
        <f>IF(TRIM(B693&amp;"")="","",IFERROR(INDEX(설정_코드표!$K$2:$K$101,MATCH(TRIM(B693&amp;""),설정_코드표!$J$2:$J$101,0)),"⚠"&amp;TRIM(B693&amp;"")))</f>
        <v/>
      </c>
      <c r="S693" s="10">
        <f>IF(TRIM(K693&amp;"")="","",IFERROR(INDEX(설정_코드표!$K$2:$K$101,MATCH(TRIM(K693&amp;""),설정_코드표!$J$2:$J$101,0)),"⚠"&amp;TRIM(K693&amp;"")))</f>
        <v/>
      </c>
      <c r="T693" s="10">
        <f>IF(TRIM(M693&amp;"")="","",IF(ISNUMBER(MATCH(TRIM(M693&amp;""),설정_코드표!$C$2:$C$11,0)),TRIM(M693&amp;""),"⚠"&amp;TRIM(M693&amp;"")))</f>
        <v/>
      </c>
      <c r="U693" s="10">
        <f>IF(TRIM(L693&amp;"")="","",IFERROR(INDEX(설정_코드표!$G$2:$G$101,MATCH(TRIM(L693&amp;""),설정_코드표!$F$2:$F$101,0)),"⚠"&amp;TRIM(L693&amp;"")))</f>
        <v/>
      </c>
      <c r="V693" s="10">
        <f>IF(AND(ISNUMBER(H693),ISNUMBER(I693)),I693-H693+1,"")</f>
        <v/>
      </c>
      <c r="W693" s="17">
        <f>IF(ISNUMBER(H693),MAX(0,MIN(IF(ISNUMBER(I693),I693,EOMONTH(출력_요약!$B$3,0)),EOMONTH(출력_요약!$B$3,0))-MAX(H693,출력_요약!$B$3)+1),0)</f>
        <v/>
      </c>
      <c r="X693" s="10">
        <f>IF(OR(NOT(ISNUMBER(H693)),Q693=""),"",IF(TODAY()&lt;H693,"파견예정",IF(AND(ISNUMBER(I693),TODAY()&gt;I693),"파견종료","파견중")))</f>
        <v/>
      </c>
      <c r="Y693" s="10">
        <f>IF(OR(Q693="",X693=""),"",Q693&amp;"|"&amp;X693)</f>
        <v/>
      </c>
      <c r="Z693" s="10">
        <f>IF(AND(Q693&lt;&gt;"",W693&gt;0),Q693&amp;"|월","")</f>
        <v/>
      </c>
      <c r="AA693" s="10">
        <f>IF(COUNTA(B693:I693,K693:N693)=0,"",IF(Q693="","등록번호 없음",IF(LEFT(R693,1)="⚠","모병원명 미등록",IF(S693="","파견병원 입력",IF(LEFT(S693,1)="⚠","파견병원명 미등록",IF(LEFT(U693,1)="⚠","파견과목 미등록",IF(OR(T693="",LEFT(T693,1)="⚠"),"파견근거 확인",IF(NOT(AND(ISNUMBER(H693),ISNUMBER(I693))),"날짜 형식/누락",IF(I693&lt;H693,"종료일&lt;시작일","")))))))))</f>
        <v/>
      </c>
      <c r="AB693" s="11">
        <f>IF(ISNUMBER(SEARCH("다기관",TRIM(N693&amp;" "&amp;O693))),IFERROR(DATE(VALUE(MID(TRIM(N693&amp;" "&amp;O693),1,4)),VALUE(MID(TRIM(N693&amp;" "&amp;O693),6,2)),VALUE(MID(TRIM(N693&amp;" "&amp;O693),9,2))),IF(ISNUMBER(H693),H693,"")),"")</f>
        <v/>
      </c>
      <c r="AC693" s="11">
        <f>IF(ISNUMBER(SEARCH("다기관",TRIM(N693&amp;" "&amp;O693))),IFERROR(DATE(VALUE(MID(TRIM(N693&amp;" "&amp;O693),12,4)),VALUE(MID(TRIM(N693&amp;" "&amp;O693),17,2)),VALUE(MID(TRIM(N693&amp;" "&amp;O693),20,2))),IF(ISNUMBER(I693),I693,"")),"")</f>
        <v/>
      </c>
      <c r="AD693" s="17">
        <f>IF(AND(ISNUMBER(AB693),ISNUMBER(AC693)),MAX(0,MIN(AC693,EOMONTH(출력_요약!$B$3,0))-MAX(AB693,출력_요약!$B$3)+1),0)</f>
        <v/>
      </c>
      <c r="AE693" s="10">
        <f>IF(AND(Q693&lt;&gt;"",ISNUMBER(AB693)),Q693&amp;"|다기관","")</f>
        <v/>
      </c>
    </row>
    <row r="694">
      <c r="A694" s="15">
        <f>IF(F694="","",ROW()-3)</f>
        <v/>
      </c>
      <c r="B694" s="5" t="n"/>
      <c r="C694" s="15" t="n"/>
      <c r="D694" s="5" t="n"/>
      <c r="E694" s="15" t="n"/>
      <c r="F694" s="5" t="n"/>
      <c r="G694" s="6" t="n"/>
      <c r="H694" s="16" t="n"/>
      <c r="I694" s="16" t="n"/>
      <c r="J694" s="15">
        <f>IF(AND(ISNUMBER(H694),ISNUMBER(I694)),I694-H694+1,"")</f>
        <v/>
      </c>
      <c r="K694" s="5" t="n"/>
      <c r="L694" s="5" t="n"/>
      <c r="M694" s="5" t="n"/>
      <c r="N694" s="5" t="n"/>
      <c r="O694" s="5" t="n"/>
      <c r="Q694" s="10">
        <f>IF(TRIM(G694&amp;"")="","",TRIM(G694&amp;""))</f>
        <v/>
      </c>
      <c r="R694" s="10">
        <f>IF(TRIM(B694&amp;"")="","",IFERROR(INDEX(설정_코드표!$K$2:$K$101,MATCH(TRIM(B694&amp;""),설정_코드표!$J$2:$J$101,0)),"⚠"&amp;TRIM(B694&amp;"")))</f>
        <v/>
      </c>
      <c r="S694" s="10">
        <f>IF(TRIM(K694&amp;"")="","",IFERROR(INDEX(설정_코드표!$K$2:$K$101,MATCH(TRIM(K694&amp;""),설정_코드표!$J$2:$J$101,0)),"⚠"&amp;TRIM(K694&amp;"")))</f>
        <v/>
      </c>
      <c r="T694" s="10">
        <f>IF(TRIM(M694&amp;"")="","",IF(ISNUMBER(MATCH(TRIM(M694&amp;""),설정_코드표!$C$2:$C$11,0)),TRIM(M694&amp;""),"⚠"&amp;TRIM(M694&amp;"")))</f>
        <v/>
      </c>
      <c r="U694" s="10">
        <f>IF(TRIM(L694&amp;"")="","",IFERROR(INDEX(설정_코드표!$G$2:$G$101,MATCH(TRIM(L694&amp;""),설정_코드표!$F$2:$F$101,0)),"⚠"&amp;TRIM(L694&amp;"")))</f>
        <v/>
      </c>
      <c r="V694" s="10">
        <f>IF(AND(ISNUMBER(H694),ISNUMBER(I694)),I694-H694+1,"")</f>
        <v/>
      </c>
      <c r="W694" s="17">
        <f>IF(ISNUMBER(H694),MAX(0,MIN(IF(ISNUMBER(I694),I694,EOMONTH(출력_요약!$B$3,0)),EOMONTH(출력_요약!$B$3,0))-MAX(H694,출력_요약!$B$3)+1),0)</f>
        <v/>
      </c>
      <c r="X694" s="10">
        <f>IF(OR(NOT(ISNUMBER(H694)),Q694=""),"",IF(TODAY()&lt;H694,"파견예정",IF(AND(ISNUMBER(I694),TODAY()&gt;I694),"파견종료","파견중")))</f>
        <v/>
      </c>
      <c r="Y694" s="10">
        <f>IF(OR(Q694="",X694=""),"",Q694&amp;"|"&amp;X694)</f>
        <v/>
      </c>
      <c r="Z694" s="10">
        <f>IF(AND(Q694&lt;&gt;"",W694&gt;0),Q694&amp;"|월","")</f>
        <v/>
      </c>
      <c r="AA694" s="10">
        <f>IF(COUNTA(B694:I694,K694:N694)=0,"",IF(Q694="","등록번호 없음",IF(LEFT(R694,1)="⚠","모병원명 미등록",IF(S694="","파견병원 입력",IF(LEFT(S694,1)="⚠","파견병원명 미등록",IF(LEFT(U694,1)="⚠","파견과목 미등록",IF(OR(T694="",LEFT(T694,1)="⚠"),"파견근거 확인",IF(NOT(AND(ISNUMBER(H694),ISNUMBER(I694))),"날짜 형식/누락",IF(I694&lt;H694,"종료일&lt;시작일","")))))))))</f>
        <v/>
      </c>
      <c r="AB694" s="11">
        <f>IF(ISNUMBER(SEARCH("다기관",TRIM(N694&amp;" "&amp;O694))),IFERROR(DATE(VALUE(MID(TRIM(N694&amp;" "&amp;O694),1,4)),VALUE(MID(TRIM(N694&amp;" "&amp;O694),6,2)),VALUE(MID(TRIM(N694&amp;" "&amp;O694),9,2))),IF(ISNUMBER(H694),H694,"")),"")</f>
        <v/>
      </c>
      <c r="AC694" s="11">
        <f>IF(ISNUMBER(SEARCH("다기관",TRIM(N694&amp;" "&amp;O694))),IFERROR(DATE(VALUE(MID(TRIM(N694&amp;" "&amp;O694),12,4)),VALUE(MID(TRIM(N694&amp;" "&amp;O694),17,2)),VALUE(MID(TRIM(N694&amp;" "&amp;O694),20,2))),IF(ISNUMBER(I694),I694,"")),"")</f>
        <v/>
      </c>
      <c r="AD694" s="17">
        <f>IF(AND(ISNUMBER(AB694),ISNUMBER(AC694)),MAX(0,MIN(AC694,EOMONTH(출력_요약!$B$3,0))-MAX(AB694,출력_요약!$B$3)+1),0)</f>
        <v/>
      </c>
      <c r="AE694" s="10">
        <f>IF(AND(Q694&lt;&gt;"",ISNUMBER(AB694)),Q694&amp;"|다기관","")</f>
        <v/>
      </c>
    </row>
    <row r="695">
      <c r="A695" s="15">
        <f>IF(F695="","",ROW()-3)</f>
        <v/>
      </c>
      <c r="B695" s="5" t="n"/>
      <c r="C695" s="15" t="n"/>
      <c r="D695" s="5" t="n"/>
      <c r="E695" s="15" t="n"/>
      <c r="F695" s="5" t="n"/>
      <c r="G695" s="6" t="n"/>
      <c r="H695" s="16" t="n"/>
      <c r="I695" s="16" t="n"/>
      <c r="J695" s="15">
        <f>IF(AND(ISNUMBER(H695),ISNUMBER(I695)),I695-H695+1,"")</f>
        <v/>
      </c>
      <c r="K695" s="5" t="n"/>
      <c r="L695" s="5" t="n"/>
      <c r="M695" s="5" t="n"/>
      <c r="N695" s="5" t="n"/>
      <c r="O695" s="5" t="n"/>
      <c r="Q695" s="10">
        <f>IF(TRIM(G695&amp;"")="","",TRIM(G695&amp;""))</f>
        <v/>
      </c>
      <c r="R695" s="10">
        <f>IF(TRIM(B695&amp;"")="","",IFERROR(INDEX(설정_코드표!$K$2:$K$101,MATCH(TRIM(B695&amp;""),설정_코드표!$J$2:$J$101,0)),"⚠"&amp;TRIM(B695&amp;"")))</f>
        <v/>
      </c>
      <c r="S695" s="10">
        <f>IF(TRIM(K695&amp;"")="","",IFERROR(INDEX(설정_코드표!$K$2:$K$101,MATCH(TRIM(K695&amp;""),설정_코드표!$J$2:$J$101,0)),"⚠"&amp;TRIM(K695&amp;"")))</f>
        <v/>
      </c>
      <c r="T695" s="10">
        <f>IF(TRIM(M695&amp;"")="","",IF(ISNUMBER(MATCH(TRIM(M695&amp;""),설정_코드표!$C$2:$C$11,0)),TRIM(M695&amp;""),"⚠"&amp;TRIM(M695&amp;"")))</f>
        <v/>
      </c>
      <c r="U695" s="10">
        <f>IF(TRIM(L695&amp;"")="","",IFERROR(INDEX(설정_코드표!$G$2:$G$101,MATCH(TRIM(L695&amp;""),설정_코드표!$F$2:$F$101,0)),"⚠"&amp;TRIM(L695&amp;"")))</f>
        <v/>
      </c>
      <c r="V695" s="10">
        <f>IF(AND(ISNUMBER(H695),ISNUMBER(I695)),I695-H695+1,"")</f>
        <v/>
      </c>
      <c r="W695" s="17">
        <f>IF(ISNUMBER(H695),MAX(0,MIN(IF(ISNUMBER(I695),I695,EOMONTH(출력_요약!$B$3,0)),EOMONTH(출력_요약!$B$3,0))-MAX(H695,출력_요약!$B$3)+1),0)</f>
        <v/>
      </c>
      <c r="X695" s="10">
        <f>IF(OR(NOT(ISNUMBER(H695)),Q695=""),"",IF(TODAY()&lt;H695,"파견예정",IF(AND(ISNUMBER(I695),TODAY()&gt;I695),"파견종료","파견중")))</f>
        <v/>
      </c>
      <c r="Y695" s="10">
        <f>IF(OR(Q695="",X695=""),"",Q695&amp;"|"&amp;X695)</f>
        <v/>
      </c>
      <c r="Z695" s="10">
        <f>IF(AND(Q695&lt;&gt;"",W695&gt;0),Q695&amp;"|월","")</f>
        <v/>
      </c>
      <c r="AA695" s="10">
        <f>IF(COUNTA(B695:I695,K695:N695)=0,"",IF(Q695="","등록번호 없음",IF(LEFT(R695,1)="⚠","모병원명 미등록",IF(S695="","파견병원 입력",IF(LEFT(S695,1)="⚠","파견병원명 미등록",IF(LEFT(U695,1)="⚠","파견과목 미등록",IF(OR(T695="",LEFT(T695,1)="⚠"),"파견근거 확인",IF(NOT(AND(ISNUMBER(H695),ISNUMBER(I695))),"날짜 형식/누락",IF(I695&lt;H695,"종료일&lt;시작일","")))))))))</f>
        <v/>
      </c>
      <c r="AB695" s="11">
        <f>IF(ISNUMBER(SEARCH("다기관",TRIM(N695&amp;" "&amp;O695))),IFERROR(DATE(VALUE(MID(TRIM(N695&amp;" "&amp;O695),1,4)),VALUE(MID(TRIM(N695&amp;" "&amp;O695),6,2)),VALUE(MID(TRIM(N695&amp;" "&amp;O695),9,2))),IF(ISNUMBER(H695),H695,"")),"")</f>
        <v/>
      </c>
      <c r="AC695" s="11">
        <f>IF(ISNUMBER(SEARCH("다기관",TRIM(N695&amp;" "&amp;O695))),IFERROR(DATE(VALUE(MID(TRIM(N695&amp;" "&amp;O695),12,4)),VALUE(MID(TRIM(N695&amp;" "&amp;O695),17,2)),VALUE(MID(TRIM(N695&amp;" "&amp;O695),20,2))),IF(ISNUMBER(I695),I695,"")),"")</f>
        <v/>
      </c>
      <c r="AD695" s="17">
        <f>IF(AND(ISNUMBER(AB695),ISNUMBER(AC695)),MAX(0,MIN(AC695,EOMONTH(출력_요약!$B$3,0))-MAX(AB695,출력_요약!$B$3)+1),0)</f>
        <v/>
      </c>
      <c r="AE695" s="10">
        <f>IF(AND(Q695&lt;&gt;"",ISNUMBER(AB695)),Q695&amp;"|다기관","")</f>
        <v/>
      </c>
    </row>
    <row r="696">
      <c r="A696" s="15">
        <f>IF(F696="","",ROW()-3)</f>
        <v/>
      </c>
      <c r="B696" s="5" t="n"/>
      <c r="C696" s="15" t="n"/>
      <c r="D696" s="5" t="n"/>
      <c r="E696" s="15" t="n"/>
      <c r="F696" s="5" t="n"/>
      <c r="G696" s="6" t="n"/>
      <c r="H696" s="16" t="n"/>
      <c r="I696" s="16" t="n"/>
      <c r="J696" s="15">
        <f>IF(AND(ISNUMBER(H696),ISNUMBER(I696)),I696-H696+1,"")</f>
        <v/>
      </c>
      <c r="K696" s="5" t="n"/>
      <c r="L696" s="5" t="n"/>
      <c r="M696" s="5" t="n"/>
      <c r="N696" s="5" t="n"/>
      <c r="O696" s="5" t="n"/>
      <c r="Q696" s="10">
        <f>IF(TRIM(G696&amp;"")="","",TRIM(G696&amp;""))</f>
        <v/>
      </c>
      <c r="R696" s="10">
        <f>IF(TRIM(B696&amp;"")="","",IFERROR(INDEX(설정_코드표!$K$2:$K$101,MATCH(TRIM(B696&amp;""),설정_코드표!$J$2:$J$101,0)),"⚠"&amp;TRIM(B696&amp;"")))</f>
        <v/>
      </c>
      <c r="S696" s="10">
        <f>IF(TRIM(K696&amp;"")="","",IFERROR(INDEX(설정_코드표!$K$2:$K$101,MATCH(TRIM(K696&amp;""),설정_코드표!$J$2:$J$101,0)),"⚠"&amp;TRIM(K696&amp;"")))</f>
        <v/>
      </c>
      <c r="T696" s="10">
        <f>IF(TRIM(M696&amp;"")="","",IF(ISNUMBER(MATCH(TRIM(M696&amp;""),설정_코드표!$C$2:$C$11,0)),TRIM(M696&amp;""),"⚠"&amp;TRIM(M696&amp;"")))</f>
        <v/>
      </c>
      <c r="U696" s="10">
        <f>IF(TRIM(L696&amp;"")="","",IFERROR(INDEX(설정_코드표!$G$2:$G$101,MATCH(TRIM(L696&amp;""),설정_코드표!$F$2:$F$101,0)),"⚠"&amp;TRIM(L696&amp;"")))</f>
        <v/>
      </c>
      <c r="V696" s="10">
        <f>IF(AND(ISNUMBER(H696),ISNUMBER(I696)),I696-H696+1,"")</f>
        <v/>
      </c>
      <c r="W696" s="17">
        <f>IF(ISNUMBER(H696),MAX(0,MIN(IF(ISNUMBER(I696),I696,EOMONTH(출력_요약!$B$3,0)),EOMONTH(출력_요약!$B$3,0))-MAX(H696,출력_요약!$B$3)+1),0)</f>
        <v/>
      </c>
      <c r="X696" s="10">
        <f>IF(OR(NOT(ISNUMBER(H696)),Q696=""),"",IF(TODAY()&lt;H696,"파견예정",IF(AND(ISNUMBER(I696),TODAY()&gt;I696),"파견종료","파견중")))</f>
        <v/>
      </c>
      <c r="Y696" s="10">
        <f>IF(OR(Q696="",X696=""),"",Q696&amp;"|"&amp;X696)</f>
        <v/>
      </c>
      <c r="Z696" s="10">
        <f>IF(AND(Q696&lt;&gt;"",W696&gt;0),Q696&amp;"|월","")</f>
        <v/>
      </c>
      <c r="AA696" s="10">
        <f>IF(COUNTA(B696:I696,K696:N696)=0,"",IF(Q696="","등록번호 없음",IF(LEFT(R696,1)="⚠","모병원명 미등록",IF(S696="","파견병원 입력",IF(LEFT(S696,1)="⚠","파견병원명 미등록",IF(LEFT(U696,1)="⚠","파견과목 미등록",IF(OR(T696="",LEFT(T696,1)="⚠"),"파견근거 확인",IF(NOT(AND(ISNUMBER(H696),ISNUMBER(I696))),"날짜 형식/누락",IF(I696&lt;H696,"종료일&lt;시작일","")))))))))</f>
        <v/>
      </c>
      <c r="AB696" s="11">
        <f>IF(ISNUMBER(SEARCH("다기관",TRIM(N696&amp;" "&amp;O696))),IFERROR(DATE(VALUE(MID(TRIM(N696&amp;" "&amp;O696),1,4)),VALUE(MID(TRIM(N696&amp;" "&amp;O696),6,2)),VALUE(MID(TRIM(N696&amp;" "&amp;O696),9,2))),IF(ISNUMBER(H696),H696,"")),"")</f>
        <v/>
      </c>
      <c r="AC696" s="11">
        <f>IF(ISNUMBER(SEARCH("다기관",TRIM(N696&amp;" "&amp;O696))),IFERROR(DATE(VALUE(MID(TRIM(N696&amp;" "&amp;O696),12,4)),VALUE(MID(TRIM(N696&amp;" "&amp;O696),17,2)),VALUE(MID(TRIM(N696&amp;" "&amp;O696),20,2))),IF(ISNUMBER(I696),I696,"")),"")</f>
        <v/>
      </c>
      <c r="AD696" s="17">
        <f>IF(AND(ISNUMBER(AB696),ISNUMBER(AC696)),MAX(0,MIN(AC696,EOMONTH(출력_요약!$B$3,0))-MAX(AB696,출력_요약!$B$3)+1),0)</f>
        <v/>
      </c>
      <c r="AE696" s="10">
        <f>IF(AND(Q696&lt;&gt;"",ISNUMBER(AB696)),Q696&amp;"|다기관","")</f>
        <v/>
      </c>
    </row>
    <row r="697">
      <c r="A697" s="15">
        <f>IF(F697="","",ROW()-3)</f>
        <v/>
      </c>
      <c r="B697" s="5" t="n"/>
      <c r="C697" s="15" t="n"/>
      <c r="D697" s="5" t="n"/>
      <c r="E697" s="15" t="n"/>
      <c r="F697" s="5" t="n"/>
      <c r="G697" s="6" t="n"/>
      <c r="H697" s="16" t="n"/>
      <c r="I697" s="16" t="n"/>
      <c r="J697" s="15">
        <f>IF(AND(ISNUMBER(H697),ISNUMBER(I697)),I697-H697+1,"")</f>
        <v/>
      </c>
      <c r="K697" s="5" t="n"/>
      <c r="L697" s="5" t="n"/>
      <c r="M697" s="5" t="n"/>
      <c r="N697" s="5" t="n"/>
      <c r="O697" s="5" t="n"/>
      <c r="Q697" s="10">
        <f>IF(TRIM(G697&amp;"")="","",TRIM(G697&amp;""))</f>
        <v/>
      </c>
      <c r="R697" s="10">
        <f>IF(TRIM(B697&amp;"")="","",IFERROR(INDEX(설정_코드표!$K$2:$K$101,MATCH(TRIM(B697&amp;""),설정_코드표!$J$2:$J$101,0)),"⚠"&amp;TRIM(B697&amp;"")))</f>
        <v/>
      </c>
      <c r="S697" s="10">
        <f>IF(TRIM(K697&amp;"")="","",IFERROR(INDEX(설정_코드표!$K$2:$K$101,MATCH(TRIM(K697&amp;""),설정_코드표!$J$2:$J$101,0)),"⚠"&amp;TRIM(K697&amp;"")))</f>
        <v/>
      </c>
      <c r="T697" s="10">
        <f>IF(TRIM(M697&amp;"")="","",IF(ISNUMBER(MATCH(TRIM(M697&amp;""),설정_코드표!$C$2:$C$11,0)),TRIM(M697&amp;""),"⚠"&amp;TRIM(M697&amp;"")))</f>
        <v/>
      </c>
      <c r="U697" s="10">
        <f>IF(TRIM(L697&amp;"")="","",IFERROR(INDEX(설정_코드표!$G$2:$G$101,MATCH(TRIM(L697&amp;""),설정_코드표!$F$2:$F$101,0)),"⚠"&amp;TRIM(L697&amp;"")))</f>
        <v/>
      </c>
      <c r="V697" s="10">
        <f>IF(AND(ISNUMBER(H697),ISNUMBER(I697)),I697-H697+1,"")</f>
        <v/>
      </c>
      <c r="W697" s="17">
        <f>IF(ISNUMBER(H697),MAX(0,MIN(IF(ISNUMBER(I697),I697,EOMONTH(출력_요약!$B$3,0)),EOMONTH(출력_요약!$B$3,0))-MAX(H697,출력_요약!$B$3)+1),0)</f>
        <v/>
      </c>
      <c r="X697" s="10">
        <f>IF(OR(NOT(ISNUMBER(H697)),Q697=""),"",IF(TODAY()&lt;H697,"파견예정",IF(AND(ISNUMBER(I697),TODAY()&gt;I697),"파견종료","파견중")))</f>
        <v/>
      </c>
      <c r="Y697" s="10">
        <f>IF(OR(Q697="",X697=""),"",Q697&amp;"|"&amp;X697)</f>
        <v/>
      </c>
      <c r="Z697" s="10">
        <f>IF(AND(Q697&lt;&gt;"",W697&gt;0),Q697&amp;"|월","")</f>
        <v/>
      </c>
      <c r="AA697" s="10">
        <f>IF(COUNTA(B697:I697,K697:N697)=0,"",IF(Q697="","등록번호 없음",IF(LEFT(R697,1)="⚠","모병원명 미등록",IF(S697="","파견병원 입력",IF(LEFT(S697,1)="⚠","파견병원명 미등록",IF(LEFT(U697,1)="⚠","파견과목 미등록",IF(OR(T697="",LEFT(T697,1)="⚠"),"파견근거 확인",IF(NOT(AND(ISNUMBER(H697),ISNUMBER(I697))),"날짜 형식/누락",IF(I697&lt;H697,"종료일&lt;시작일","")))))))))</f>
        <v/>
      </c>
      <c r="AB697" s="11">
        <f>IF(ISNUMBER(SEARCH("다기관",TRIM(N697&amp;" "&amp;O697))),IFERROR(DATE(VALUE(MID(TRIM(N697&amp;" "&amp;O697),1,4)),VALUE(MID(TRIM(N697&amp;" "&amp;O697),6,2)),VALUE(MID(TRIM(N697&amp;" "&amp;O697),9,2))),IF(ISNUMBER(H697),H697,"")),"")</f>
        <v/>
      </c>
      <c r="AC697" s="11">
        <f>IF(ISNUMBER(SEARCH("다기관",TRIM(N697&amp;" "&amp;O697))),IFERROR(DATE(VALUE(MID(TRIM(N697&amp;" "&amp;O697),12,4)),VALUE(MID(TRIM(N697&amp;" "&amp;O697),17,2)),VALUE(MID(TRIM(N697&amp;" "&amp;O697),20,2))),IF(ISNUMBER(I697),I697,"")),"")</f>
        <v/>
      </c>
      <c r="AD697" s="17">
        <f>IF(AND(ISNUMBER(AB697),ISNUMBER(AC697)),MAX(0,MIN(AC697,EOMONTH(출력_요약!$B$3,0))-MAX(AB697,출력_요약!$B$3)+1),0)</f>
        <v/>
      </c>
      <c r="AE697" s="10">
        <f>IF(AND(Q697&lt;&gt;"",ISNUMBER(AB697)),Q697&amp;"|다기관","")</f>
        <v/>
      </c>
    </row>
    <row r="698">
      <c r="A698" s="15">
        <f>IF(F698="","",ROW()-3)</f>
        <v/>
      </c>
      <c r="B698" s="5" t="n"/>
      <c r="C698" s="15" t="n"/>
      <c r="D698" s="5" t="n"/>
      <c r="E698" s="15" t="n"/>
      <c r="F698" s="5" t="n"/>
      <c r="G698" s="6" t="n"/>
      <c r="H698" s="16" t="n"/>
      <c r="I698" s="16" t="n"/>
      <c r="J698" s="15">
        <f>IF(AND(ISNUMBER(H698),ISNUMBER(I698)),I698-H698+1,"")</f>
        <v/>
      </c>
      <c r="K698" s="5" t="n"/>
      <c r="L698" s="5" t="n"/>
      <c r="M698" s="5" t="n"/>
      <c r="N698" s="5" t="n"/>
      <c r="O698" s="5" t="n"/>
      <c r="Q698" s="10">
        <f>IF(TRIM(G698&amp;"")="","",TRIM(G698&amp;""))</f>
        <v/>
      </c>
      <c r="R698" s="10">
        <f>IF(TRIM(B698&amp;"")="","",IFERROR(INDEX(설정_코드표!$K$2:$K$101,MATCH(TRIM(B698&amp;""),설정_코드표!$J$2:$J$101,0)),"⚠"&amp;TRIM(B698&amp;"")))</f>
        <v/>
      </c>
      <c r="S698" s="10">
        <f>IF(TRIM(K698&amp;"")="","",IFERROR(INDEX(설정_코드표!$K$2:$K$101,MATCH(TRIM(K698&amp;""),설정_코드표!$J$2:$J$101,0)),"⚠"&amp;TRIM(K698&amp;"")))</f>
        <v/>
      </c>
      <c r="T698" s="10">
        <f>IF(TRIM(M698&amp;"")="","",IF(ISNUMBER(MATCH(TRIM(M698&amp;""),설정_코드표!$C$2:$C$11,0)),TRIM(M698&amp;""),"⚠"&amp;TRIM(M698&amp;"")))</f>
        <v/>
      </c>
      <c r="U698" s="10">
        <f>IF(TRIM(L698&amp;"")="","",IFERROR(INDEX(설정_코드표!$G$2:$G$101,MATCH(TRIM(L698&amp;""),설정_코드표!$F$2:$F$101,0)),"⚠"&amp;TRIM(L698&amp;"")))</f>
        <v/>
      </c>
      <c r="V698" s="10">
        <f>IF(AND(ISNUMBER(H698),ISNUMBER(I698)),I698-H698+1,"")</f>
        <v/>
      </c>
      <c r="W698" s="17">
        <f>IF(ISNUMBER(H698),MAX(0,MIN(IF(ISNUMBER(I698),I698,EOMONTH(출력_요약!$B$3,0)),EOMONTH(출력_요약!$B$3,0))-MAX(H698,출력_요약!$B$3)+1),0)</f>
        <v/>
      </c>
      <c r="X698" s="10">
        <f>IF(OR(NOT(ISNUMBER(H698)),Q698=""),"",IF(TODAY()&lt;H698,"파견예정",IF(AND(ISNUMBER(I698),TODAY()&gt;I698),"파견종료","파견중")))</f>
        <v/>
      </c>
      <c r="Y698" s="10">
        <f>IF(OR(Q698="",X698=""),"",Q698&amp;"|"&amp;X698)</f>
        <v/>
      </c>
      <c r="Z698" s="10">
        <f>IF(AND(Q698&lt;&gt;"",W698&gt;0),Q698&amp;"|월","")</f>
        <v/>
      </c>
      <c r="AA698" s="10">
        <f>IF(COUNTA(B698:I698,K698:N698)=0,"",IF(Q698="","등록번호 없음",IF(LEFT(R698,1)="⚠","모병원명 미등록",IF(S698="","파견병원 입력",IF(LEFT(S698,1)="⚠","파견병원명 미등록",IF(LEFT(U698,1)="⚠","파견과목 미등록",IF(OR(T698="",LEFT(T698,1)="⚠"),"파견근거 확인",IF(NOT(AND(ISNUMBER(H698),ISNUMBER(I698))),"날짜 형식/누락",IF(I698&lt;H698,"종료일&lt;시작일","")))))))))</f>
        <v/>
      </c>
      <c r="AB698" s="11">
        <f>IF(ISNUMBER(SEARCH("다기관",TRIM(N698&amp;" "&amp;O698))),IFERROR(DATE(VALUE(MID(TRIM(N698&amp;" "&amp;O698),1,4)),VALUE(MID(TRIM(N698&amp;" "&amp;O698),6,2)),VALUE(MID(TRIM(N698&amp;" "&amp;O698),9,2))),IF(ISNUMBER(H698),H698,"")),"")</f>
        <v/>
      </c>
      <c r="AC698" s="11">
        <f>IF(ISNUMBER(SEARCH("다기관",TRIM(N698&amp;" "&amp;O698))),IFERROR(DATE(VALUE(MID(TRIM(N698&amp;" "&amp;O698),12,4)),VALUE(MID(TRIM(N698&amp;" "&amp;O698),17,2)),VALUE(MID(TRIM(N698&amp;" "&amp;O698),20,2))),IF(ISNUMBER(I698),I698,"")),"")</f>
        <v/>
      </c>
      <c r="AD698" s="17">
        <f>IF(AND(ISNUMBER(AB698),ISNUMBER(AC698)),MAX(0,MIN(AC698,EOMONTH(출력_요약!$B$3,0))-MAX(AB698,출력_요약!$B$3)+1),0)</f>
        <v/>
      </c>
      <c r="AE698" s="10">
        <f>IF(AND(Q698&lt;&gt;"",ISNUMBER(AB698)),Q698&amp;"|다기관","")</f>
        <v/>
      </c>
    </row>
    <row r="699">
      <c r="A699" s="15">
        <f>IF(F699="","",ROW()-3)</f>
        <v/>
      </c>
      <c r="B699" s="5" t="n"/>
      <c r="C699" s="15" t="n"/>
      <c r="D699" s="5" t="n"/>
      <c r="E699" s="15" t="n"/>
      <c r="F699" s="5" t="n"/>
      <c r="G699" s="6" t="n"/>
      <c r="H699" s="16" t="n"/>
      <c r="I699" s="16" t="n"/>
      <c r="J699" s="15">
        <f>IF(AND(ISNUMBER(H699),ISNUMBER(I699)),I699-H699+1,"")</f>
        <v/>
      </c>
      <c r="K699" s="5" t="n"/>
      <c r="L699" s="5" t="n"/>
      <c r="M699" s="5" t="n"/>
      <c r="N699" s="5" t="n"/>
      <c r="O699" s="5" t="n"/>
      <c r="Q699" s="10">
        <f>IF(TRIM(G699&amp;"")="","",TRIM(G699&amp;""))</f>
        <v/>
      </c>
      <c r="R699" s="10">
        <f>IF(TRIM(B699&amp;"")="","",IFERROR(INDEX(설정_코드표!$K$2:$K$101,MATCH(TRIM(B699&amp;""),설정_코드표!$J$2:$J$101,0)),"⚠"&amp;TRIM(B699&amp;"")))</f>
        <v/>
      </c>
      <c r="S699" s="10">
        <f>IF(TRIM(K699&amp;"")="","",IFERROR(INDEX(설정_코드표!$K$2:$K$101,MATCH(TRIM(K699&amp;""),설정_코드표!$J$2:$J$101,0)),"⚠"&amp;TRIM(K699&amp;"")))</f>
        <v/>
      </c>
      <c r="T699" s="10">
        <f>IF(TRIM(M699&amp;"")="","",IF(ISNUMBER(MATCH(TRIM(M699&amp;""),설정_코드표!$C$2:$C$11,0)),TRIM(M699&amp;""),"⚠"&amp;TRIM(M699&amp;"")))</f>
        <v/>
      </c>
      <c r="U699" s="10">
        <f>IF(TRIM(L699&amp;"")="","",IFERROR(INDEX(설정_코드표!$G$2:$G$101,MATCH(TRIM(L699&amp;""),설정_코드표!$F$2:$F$101,0)),"⚠"&amp;TRIM(L699&amp;"")))</f>
        <v/>
      </c>
      <c r="V699" s="10">
        <f>IF(AND(ISNUMBER(H699),ISNUMBER(I699)),I699-H699+1,"")</f>
        <v/>
      </c>
      <c r="W699" s="17">
        <f>IF(ISNUMBER(H699),MAX(0,MIN(IF(ISNUMBER(I699),I699,EOMONTH(출력_요약!$B$3,0)),EOMONTH(출력_요약!$B$3,0))-MAX(H699,출력_요약!$B$3)+1),0)</f>
        <v/>
      </c>
      <c r="X699" s="10">
        <f>IF(OR(NOT(ISNUMBER(H699)),Q699=""),"",IF(TODAY()&lt;H699,"파견예정",IF(AND(ISNUMBER(I699),TODAY()&gt;I699),"파견종료","파견중")))</f>
        <v/>
      </c>
      <c r="Y699" s="10">
        <f>IF(OR(Q699="",X699=""),"",Q699&amp;"|"&amp;X699)</f>
        <v/>
      </c>
      <c r="Z699" s="10">
        <f>IF(AND(Q699&lt;&gt;"",W699&gt;0),Q699&amp;"|월","")</f>
        <v/>
      </c>
      <c r="AA699" s="10">
        <f>IF(COUNTA(B699:I699,K699:N699)=0,"",IF(Q699="","등록번호 없음",IF(LEFT(R699,1)="⚠","모병원명 미등록",IF(S699="","파견병원 입력",IF(LEFT(S699,1)="⚠","파견병원명 미등록",IF(LEFT(U699,1)="⚠","파견과목 미등록",IF(OR(T699="",LEFT(T699,1)="⚠"),"파견근거 확인",IF(NOT(AND(ISNUMBER(H699),ISNUMBER(I699))),"날짜 형식/누락",IF(I699&lt;H699,"종료일&lt;시작일","")))))))))</f>
        <v/>
      </c>
      <c r="AB699" s="11">
        <f>IF(ISNUMBER(SEARCH("다기관",TRIM(N699&amp;" "&amp;O699))),IFERROR(DATE(VALUE(MID(TRIM(N699&amp;" "&amp;O699),1,4)),VALUE(MID(TRIM(N699&amp;" "&amp;O699),6,2)),VALUE(MID(TRIM(N699&amp;" "&amp;O699),9,2))),IF(ISNUMBER(H699),H699,"")),"")</f>
        <v/>
      </c>
      <c r="AC699" s="11">
        <f>IF(ISNUMBER(SEARCH("다기관",TRIM(N699&amp;" "&amp;O699))),IFERROR(DATE(VALUE(MID(TRIM(N699&amp;" "&amp;O699),12,4)),VALUE(MID(TRIM(N699&amp;" "&amp;O699),17,2)),VALUE(MID(TRIM(N699&amp;" "&amp;O699),20,2))),IF(ISNUMBER(I699),I699,"")),"")</f>
        <v/>
      </c>
      <c r="AD699" s="17">
        <f>IF(AND(ISNUMBER(AB699),ISNUMBER(AC699)),MAX(0,MIN(AC699,EOMONTH(출력_요약!$B$3,0))-MAX(AB699,출력_요약!$B$3)+1),0)</f>
        <v/>
      </c>
      <c r="AE699" s="10">
        <f>IF(AND(Q699&lt;&gt;"",ISNUMBER(AB699)),Q699&amp;"|다기관","")</f>
        <v/>
      </c>
    </row>
    <row r="700">
      <c r="A700" s="15">
        <f>IF(F700="","",ROW()-3)</f>
        <v/>
      </c>
      <c r="B700" s="5" t="n"/>
      <c r="C700" s="15" t="n"/>
      <c r="D700" s="5" t="n"/>
      <c r="E700" s="15" t="n"/>
      <c r="F700" s="5" t="n"/>
      <c r="G700" s="6" t="n"/>
      <c r="H700" s="16" t="n"/>
      <c r="I700" s="16" t="n"/>
      <c r="J700" s="15">
        <f>IF(AND(ISNUMBER(H700),ISNUMBER(I700)),I700-H700+1,"")</f>
        <v/>
      </c>
      <c r="K700" s="5" t="n"/>
      <c r="L700" s="5" t="n"/>
      <c r="M700" s="5" t="n"/>
      <c r="N700" s="5" t="n"/>
      <c r="O700" s="5" t="n"/>
      <c r="Q700" s="10">
        <f>IF(TRIM(G700&amp;"")="","",TRIM(G700&amp;""))</f>
        <v/>
      </c>
      <c r="R700" s="10">
        <f>IF(TRIM(B700&amp;"")="","",IFERROR(INDEX(설정_코드표!$K$2:$K$101,MATCH(TRIM(B700&amp;""),설정_코드표!$J$2:$J$101,0)),"⚠"&amp;TRIM(B700&amp;"")))</f>
        <v/>
      </c>
      <c r="S700" s="10">
        <f>IF(TRIM(K700&amp;"")="","",IFERROR(INDEX(설정_코드표!$K$2:$K$101,MATCH(TRIM(K700&amp;""),설정_코드표!$J$2:$J$101,0)),"⚠"&amp;TRIM(K700&amp;"")))</f>
        <v/>
      </c>
      <c r="T700" s="10">
        <f>IF(TRIM(M700&amp;"")="","",IF(ISNUMBER(MATCH(TRIM(M700&amp;""),설정_코드표!$C$2:$C$11,0)),TRIM(M700&amp;""),"⚠"&amp;TRIM(M700&amp;"")))</f>
        <v/>
      </c>
      <c r="U700" s="10">
        <f>IF(TRIM(L700&amp;"")="","",IFERROR(INDEX(설정_코드표!$G$2:$G$101,MATCH(TRIM(L700&amp;""),설정_코드표!$F$2:$F$101,0)),"⚠"&amp;TRIM(L700&amp;"")))</f>
        <v/>
      </c>
      <c r="V700" s="10">
        <f>IF(AND(ISNUMBER(H700),ISNUMBER(I700)),I700-H700+1,"")</f>
        <v/>
      </c>
      <c r="W700" s="17">
        <f>IF(ISNUMBER(H700),MAX(0,MIN(IF(ISNUMBER(I700),I700,EOMONTH(출력_요약!$B$3,0)),EOMONTH(출력_요약!$B$3,0))-MAX(H700,출력_요약!$B$3)+1),0)</f>
        <v/>
      </c>
      <c r="X700" s="10">
        <f>IF(OR(NOT(ISNUMBER(H700)),Q700=""),"",IF(TODAY()&lt;H700,"파견예정",IF(AND(ISNUMBER(I700),TODAY()&gt;I700),"파견종료","파견중")))</f>
        <v/>
      </c>
      <c r="Y700" s="10">
        <f>IF(OR(Q700="",X700=""),"",Q700&amp;"|"&amp;X700)</f>
        <v/>
      </c>
      <c r="Z700" s="10">
        <f>IF(AND(Q700&lt;&gt;"",W700&gt;0),Q700&amp;"|월","")</f>
        <v/>
      </c>
      <c r="AA700" s="10">
        <f>IF(COUNTA(B700:I700,K700:N700)=0,"",IF(Q700="","등록번호 없음",IF(LEFT(R700,1)="⚠","모병원명 미등록",IF(S700="","파견병원 입력",IF(LEFT(S700,1)="⚠","파견병원명 미등록",IF(LEFT(U700,1)="⚠","파견과목 미등록",IF(OR(T700="",LEFT(T700,1)="⚠"),"파견근거 확인",IF(NOT(AND(ISNUMBER(H700),ISNUMBER(I700))),"날짜 형식/누락",IF(I700&lt;H700,"종료일&lt;시작일","")))))))))</f>
        <v/>
      </c>
      <c r="AB700" s="11">
        <f>IF(ISNUMBER(SEARCH("다기관",TRIM(N700&amp;" "&amp;O700))),IFERROR(DATE(VALUE(MID(TRIM(N700&amp;" "&amp;O700),1,4)),VALUE(MID(TRIM(N700&amp;" "&amp;O700),6,2)),VALUE(MID(TRIM(N700&amp;" "&amp;O700),9,2))),IF(ISNUMBER(H700),H700,"")),"")</f>
        <v/>
      </c>
      <c r="AC700" s="11">
        <f>IF(ISNUMBER(SEARCH("다기관",TRIM(N700&amp;" "&amp;O700))),IFERROR(DATE(VALUE(MID(TRIM(N700&amp;" "&amp;O700),12,4)),VALUE(MID(TRIM(N700&amp;" "&amp;O700),17,2)),VALUE(MID(TRIM(N700&amp;" "&amp;O700),20,2))),IF(ISNUMBER(I700),I700,"")),"")</f>
        <v/>
      </c>
      <c r="AD700" s="17">
        <f>IF(AND(ISNUMBER(AB700),ISNUMBER(AC700)),MAX(0,MIN(AC700,EOMONTH(출력_요약!$B$3,0))-MAX(AB700,출력_요약!$B$3)+1),0)</f>
        <v/>
      </c>
      <c r="AE700" s="10">
        <f>IF(AND(Q700&lt;&gt;"",ISNUMBER(AB700)),Q700&amp;"|다기관","")</f>
        <v/>
      </c>
    </row>
    <row r="701">
      <c r="A701" s="15">
        <f>IF(F701="","",ROW()-3)</f>
        <v/>
      </c>
      <c r="B701" s="5" t="n"/>
      <c r="C701" s="15" t="n"/>
      <c r="D701" s="5" t="n"/>
      <c r="E701" s="15" t="n"/>
      <c r="F701" s="5" t="n"/>
      <c r="G701" s="6" t="n"/>
      <c r="H701" s="16" t="n"/>
      <c r="I701" s="16" t="n"/>
      <c r="J701" s="15">
        <f>IF(AND(ISNUMBER(H701),ISNUMBER(I701)),I701-H701+1,"")</f>
        <v/>
      </c>
      <c r="K701" s="5" t="n"/>
      <c r="L701" s="5" t="n"/>
      <c r="M701" s="5" t="n"/>
      <c r="N701" s="5" t="n"/>
      <c r="O701" s="5" t="n"/>
      <c r="Q701" s="10">
        <f>IF(TRIM(G701&amp;"")="","",TRIM(G701&amp;""))</f>
        <v/>
      </c>
      <c r="R701" s="10">
        <f>IF(TRIM(B701&amp;"")="","",IFERROR(INDEX(설정_코드표!$K$2:$K$101,MATCH(TRIM(B701&amp;""),설정_코드표!$J$2:$J$101,0)),"⚠"&amp;TRIM(B701&amp;"")))</f>
        <v/>
      </c>
      <c r="S701" s="10">
        <f>IF(TRIM(K701&amp;"")="","",IFERROR(INDEX(설정_코드표!$K$2:$K$101,MATCH(TRIM(K701&amp;""),설정_코드표!$J$2:$J$101,0)),"⚠"&amp;TRIM(K701&amp;"")))</f>
        <v/>
      </c>
      <c r="T701" s="10">
        <f>IF(TRIM(M701&amp;"")="","",IF(ISNUMBER(MATCH(TRIM(M701&amp;""),설정_코드표!$C$2:$C$11,0)),TRIM(M701&amp;""),"⚠"&amp;TRIM(M701&amp;"")))</f>
        <v/>
      </c>
      <c r="U701" s="10">
        <f>IF(TRIM(L701&amp;"")="","",IFERROR(INDEX(설정_코드표!$G$2:$G$101,MATCH(TRIM(L701&amp;""),설정_코드표!$F$2:$F$101,0)),"⚠"&amp;TRIM(L701&amp;"")))</f>
        <v/>
      </c>
      <c r="V701" s="10">
        <f>IF(AND(ISNUMBER(H701),ISNUMBER(I701)),I701-H701+1,"")</f>
        <v/>
      </c>
      <c r="W701" s="17">
        <f>IF(ISNUMBER(H701),MAX(0,MIN(IF(ISNUMBER(I701),I701,EOMONTH(출력_요약!$B$3,0)),EOMONTH(출력_요약!$B$3,0))-MAX(H701,출력_요약!$B$3)+1),0)</f>
        <v/>
      </c>
      <c r="X701" s="10">
        <f>IF(OR(NOT(ISNUMBER(H701)),Q701=""),"",IF(TODAY()&lt;H701,"파견예정",IF(AND(ISNUMBER(I701),TODAY()&gt;I701),"파견종료","파견중")))</f>
        <v/>
      </c>
      <c r="Y701" s="10">
        <f>IF(OR(Q701="",X701=""),"",Q701&amp;"|"&amp;X701)</f>
        <v/>
      </c>
      <c r="Z701" s="10">
        <f>IF(AND(Q701&lt;&gt;"",W701&gt;0),Q701&amp;"|월","")</f>
        <v/>
      </c>
      <c r="AA701" s="10">
        <f>IF(COUNTA(B701:I701,K701:N701)=0,"",IF(Q701="","등록번호 없음",IF(LEFT(R701,1)="⚠","모병원명 미등록",IF(S701="","파견병원 입력",IF(LEFT(S701,1)="⚠","파견병원명 미등록",IF(LEFT(U701,1)="⚠","파견과목 미등록",IF(OR(T701="",LEFT(T701,1)="⚠"),"파견근거 확인",IF(NOT(AND(ISNUMBER(H701),ISNUMBER(I701))),"날짜 형식/누락",IF(I701&lt;H701,"종료일&lt;시작일","")))))))))</f>
        <v/>
      </c>
      <c r="AB701" s="11">
        <f>IF(ISNUMBER(SEARCH("다기관",TRIM(N701&amp;" "&amp;O701))),IFERROR(DATE(VALUE(MID(TRIM(N701&amp;" "&amp;O701),1,4)),VALUE(MID(TRIM(N701&amp;" "&amp;O701),6,2)),VALUE(MID(TRIM(N701&amp;" "&amp;O701),9,2))),IF(ISNUMBER(H701),H701,"")),"")</f>
        <v/>
      </c>
      <c r="AC701" s="11">
        <f>IF(ISNUMBER(SEARCH("다기관",TRIM(N701&amp;" "&amp;O701))),IFERROR(DATE(VALUE(MID(TRIM(N701&amp;" "&amp;O701),12,4)),VALUE(MID(TRIM(N701&amp;" "&amp;O701),17,2)),VALUE(MID(TRIM(N701&amp;" "&amp;O701),20,2))),IF(ISNUMBER(I701),I701,"")),"")</f>
        <v/>
      </c>
      <c r="AD701" s="17">
        <f>IF(AND(ISNUMBER(AB701),ISNUMBER(AC701)),MAX(0,MIN(AC701,EOMONTH(출력_요약!$B$3,0))-MAX(AB701,출력_요약!$B$3)+1),0)</f>
        <v/>
      </c>
      <c r="AE701" s="10">
        <f>IF(AND(Q701&lt;&gt;"",ISNUMBER(AB701)),Q701&amp;"|다기관","")</f>
        <v/>
      </c>
    </row>
    <row r="702">
      <c r="A702" s="15">
        <f>IF(F702="","",ROW()-3)</f>
        <v/>
      </c>
      <c r="B702" s="5" t="n"/>
      <c r="C702" s="15" t="n"/>
      <c r="D702" s="5" t="n"/>
      <c r="E702" s="15" t="n"/>
      <c r="F702" s="5" t="n"/>
      <c r="G702" s="6" t="n"/>
      <c r="H702" s="16" t="n"/>
      <c r="I702" s="16" t="n"/>
      <c r="J702" s="15">
        <f>IF(AND(ISNUMBER(H702),ISNUMBER(I702)),I702-H702+1,"")</f>
        <v/>
      </c>
      <c r="K702" s="5" t="n"/>
      <c r="L702" s="5" t="n"/>
      <c r="M702" s="5" t="n"/>
      <c r="N702" s="5" t="n"/>
      <c r="O702" s="5" t="n"/>
      <c r="Q702" s="10">
        <f>IF(TRIM(G702&amp;"")="","",TRIM(G702&amp;""))</f>
        <v/>
      </c>
      <c r="R702" s="10">
        <f>IF(TRIM(B702&amp;"")="","",IFERROR(INDEX(설정_코드표!$K$2:$K$101,MATCH(TRIM(B702&amp;""),설정_코드표!$J$2:$J$101,0)),"⚠"&amp;TRIM(B702&amp;"")))</f>
        <v/>
      </c>
      <c r="S702" s="10">
        <f>IF(TRIM(K702&amp;"")="","",IFERROR(INDEX(설정_코드표!$K$2:$K$101,MATCH(TRIM(K702&amp;""),설정_코드표!$J$2:$J$101,0)),"⚠"&amp;TRIM(K702&amp;"")))</f>
        <v/>
      </c>
      <c r="T702" s="10">
        <f>IF(TRIM(M702&amp;"")="","",IF(ISNUMBER(MATCH(TRIM(M702&amp;""),설정_코드표!$C$2:$C$11,0)),TRIM(M702&amp;""),"⚠"&amp;TRIM(M702&amp;"")))</f>
        <v/>
      </c>
      <c r="U702" s="10">
        <f>IF(TRIM(L702&amp;"")="","",IFERROR(INDEX(설정_코드표!$G$2:$G$101,MATCH(TRIM(L702&amp;""),설정_코드표!$F$2:$F$101,0)),"⚠"&amp;TRIM(L702&amp;"")))</f>
        <v/>
      </c>
      <c r="V702" s="10">
        <f>IF(AND(ISNUMBER(H702),ISNUMBER(I702)),I702-H702+1,"")</f>
        <v/>
      </c>
      <c r="W702" s="17">
        <f>IF(ISNUMBER(H702),MAX(0,MIN(IF(ISNUMBER(I702),I702,EOMONTH(출력_요약!$B$3,0)),EOMONTH(출력_요약!$B$3,0))-MAX(H702,출력_요약!$B$3)+1),0)</f>
        <v/>
      </c>
      <c r="X702" s="10">
        <f>IF(OR(NOT(ISNUMBER(H702)),Q702=""),"",IF(TODAY()&lt;H702,"파견예정",IF(AND(ISNUMBER(I702),TODAY()&gt;I702),"파견종료","파견중")))</f>
        <v/>
      </c>
      <c r="Y702" s="10">
        <f>IF(OR(Q702="",X702=""),"",Q702&amp;"|"&amp;X702)</f>
        <v/>
      </c>
      <c r="Z702" s="10">
        <f>IF(AND(Q702&lt;&gt;"",W702&gt;0),Q702&amp;"|월","")</f>
        <v/>
      </c>
      <c r="AA702" s="10">
        <f>IF(COUNTA(B702:I702,K702:N702)=0,"",IF(Q702="","등록번호 없음",IF(LEFT(R702,1)="⚠","모병원명 미등록",IF(S702="","파견병원 입력",IF(LEFT(S702,1)="⚠","파견병원명 미등록",IF(LEFT(U702,1)="⚠","파견과목 미등록",IF(OR(T702="",LEFT(T702,1)="⚠"),"파견근거 확인",IF(NOT(AND(ISNUMBER(H702),ISNUMBER(I702))),"날짜 형식/누락",IF(I702&lt;H702,"종료일&lt;시작일","")))))))))</f>
        <v/>
      </c>
      <c r="AB702" s="11">
        <f>IF(ISNUMBER(SEARCH("다기관",TRIM(N702&amp;" "&amp;O702))),IFERROR(DATE(VALUE(MID(TRIM(N702&amp;" "&amp;O702),1,4)),VALUE(MID(TRIM(N702&amp;" "&amp;O702),6,2)),VALUE(MID(TRIM(N702&amp;" "&amp;O702),9,2))),IF(ISNUMBER(H702),H702,"")),"")</f>
        <v/>
      </c>
      <c r="AC702" s="11">
        <f>IF(ISNUMBER(SEARCH("다기관",TRIM(N702&amp;" "&amp;O702))),IFERROR(DATE(VALUE(MID(TRIM(N702&amp;" "&amp;O702),12,4)),VALUE(MID(TRIM(N702&amp;" "&amp;O702),17,2)),VALUE(MID(TRIM(N702&amp;" "&amp;O702),20,2))),IF(ISNUMBER(I702),I702,"")),"")</f>
        <v/>
      </c>
      <c r="AD702" s="17">
        <f>IF(AND(ISNUMBER(AB702),ISNUMBER(AC702)),MAX(0,MIN(AC702,EOMONTH(출력_요약!$B$3,0))-MAX(AB702,출력_요약!$B$3)+1),0)</f>
        <v/>
      </c>
      <c r="AE702" s="10">
        <f>IF(AND(Q702&lt;&gt;"",ISNUMBER(AB702)),Q702&amp;"|다기관","")</f>
        <v/>
      </c>
    </row>
    <row r="703">
      <c r="A703" s="15">
        <f>IF(F703="","",ROW()-3)</f>
        <v/>
      </c>
      <c r="B703" s="5" t="n"/>
      <c r="C703" s="15" t="n"/>
      <c r="D703" s="5" t="n"/>
      <c r="E703" s="15" t="n"/>
      <c r="F703" s="5" t="n"/>
      <c r="G703" s="6" t="n"/>
      <c r="H703" s="16" t="n"/>
      <c r="I703" s="16" t="n"/>
      <c r="J703" s="15">
        <f>IF(AND(ISNUMBER(H703),ISNUMBER(I703)),I703-H703+1,"")</f>
        <v/>
      </c>
      <c r="K703" s="5" t="n"/>
      <c r="L703" s="5" t="n"/>
      <c r="M703" s="5" t="n"/>
      <c r="N703" s="5" t="n"/>
      <c r="O703" s="5" t="n"/>
      <c r="Q703" s="10">
        <f>IF(TRIM(G703&amp;"")="","",TRIM(G703&amp;""))</f>
        <v/>
      </c>
      <c r="R703" s="10">
        <f>IF(TRIM(B703&amp;"")="","",IFERROR(INDEX(설정_코드표!$K$2:$K$101,MATCH(TRIM(B703&amp;""),설정_코드표!$J$2:$J$101,0)),"⚠"&amp;TRIM(B703&amp;"")))</f>
        <v/>
      </c>
      <c r="S703" s="10">
        <f>IF(TRIM(K703&amp;"")="","",IFERROR(INDEX(설정_코드표!$K$2:$K$101,MATCH(TRIM(K703&amp;""),설정_코드표!$J$2:$J$101,0)),"⚠"&amp;TRIM(K703&amp;"")))</f>
        <v/>
      </c>
      <c r="T703" s="10">
        <f>IF(TRIM(M703&amp;"")="","",IF(ISNUMBER(MATCH(TRIM(M703&amp;""),설정_코드표!$C$2:$C$11,0)),TRIM(M703&amp;""),"⚠"&amp;TRIM(M703&amp;"")))</f>
        <v/>
      </c>
      <c r="U703" s="10">
        <f>IF(TRIM(L703&amp;"")="","",IFERROR(INDEX(설정_코드표!$G$2:$G$101,MATCH(TRIM(L703&amp;""),설정_코드표!$F$2:$F$101,0)),"⚠"&amp;TRIM(L703&amp;"")))</f>
        <v/>
      </c>
      <c r="V703" s="10">
        <f>IF(AND(ISNUMBER(H703),ISNUMBER(I703)),I703-H703+1,"")</f>
        <v/>
      </c>
      <c r="W703" s="17">
        <f>IF(ISNUMBER(H703),MAX(0,MIN(IF(ISNUMBER(I703),I703,EOMONTH(출력_요약!$B$3,0)),EOMONTH(출력_요약!$B$3,0))-MAX(H703,출력_요약!$B$3)+1),0)</f>
        <v/>
      </c>
      <c r="X703" s="10">
        <f>IF(OR(NOT(ISNUMBER(H703)),Q703=""),"",IF(TODAY()&lt;H703,"파견예정",IF(AND(ISNUMBER(I703),TODAY()&gt;I703),"파견종료","파견중")))</f>
        <v/>
      </c>
      <c r="Y703" s="10">
        <f>IF(OR(Q703="",X703=""),"",Q703&amp;"|"&amp;X703)</f>
        <v/>
      </c>
      <c r="Z703" s="10">
        <f>IF(AND(Q703&lt;&gt;"",W703&gt;0),Q703&amp;"|월","")</f>
        <v/>
      </c>
      <c r="AA703" s="10">
        <f>IF(COUNTA(B703:I703,K703:N703)=0,"",IF(Q703="","등록번호 없음",IF(LEFT(R703,1)="⚠","모병원명 미등록",IF(S703="","파견병원 입력",IF(LEFT(S703,1)="⚠","파견병원명 미등록",IF(LEFT(U703,1)="⚠","파견과목 미등록",IF(OR(T703="",LEFT(T703,1)="⚠"),"파견근거 확인",IF(NOT(AND(ISNUMBER(H703),ISNUMBER(I703))),"날짜 형식/누락",IF(I703&lt;H703,"종료일&lt;시작일","")))))))))</f>
        <v/>
      </c>
      <c r="AB703" s="11">
        <f>IF(ISNUMBER(SEARCH("다기관",TRIM(N703&amp;" "&amp;O703))),IFERROR(DATE(VALUE(MID(TRIM(N703&amp;" "&amp;O703),1,4)),VALUE(MID(TRIM(N703&amp;" "&amp;O703),6,2)),VALUE(MID(TRIM(N703&amp;" "&amp;O703),9,2))),IF(ISNUMBER(H703),H703,"")),"")</f>
        <v/>
      </c>
      <c r="AC703" s="11">
        <f>IF(ISNUMBER(SEARCH("다기관",TRIM(N703&amp;" "&amp;O703))),IFERROR(DATE(VALUE(MID(TRIM(N703&amp;" "&amp;O703),12,4)),VALUE(MID(TRIM(N703&amp;" "&amp;O703),17,2)),VALUE(MID(TRIM(N703&amp;" "&amp;O703),20,2))),IF(ISNUMBER(I703),I703,"")),"")</f>
        <v/>
      </c>
      <c r="AD703" s="17">
        <f>IF(AND(ISNUMBER(AB703),ISNUMBER(AC703)),MAX(0,MIN(AC703,EOMONTH(출력_요약!$B$3,0))-MAX(AB703,출력_요약!$B$3)+1),0)</f>
        <v/>
      </c>
      <c r="AE703" s="10">
        <f>IF(AND(Q703&lt;&gt;"",ISNUMBER(AB703)),Q703&amp;"|다기관","")</f>
        <v/>
      </c>
    </row>
    <row r="704">
      <c r="A704" s="15">
        <f>IF(F704="","",ROW()-3)</f>
        <v/>
      </c>
      <c r="B704" s="5" t="n"/>
      <c r="C704" s="15" t="n"/>
      <c r="D704" s="5" t="n"/>
      <c r="E704" s="15" t="n"/>
      <c r="F704" s="5" t="n"/>
      <c r="G704" s="6" t="n"/>
      <c r="H704" s="16" t="n"/>
      <c r="I704" s="16" t="n"/>
      <c r="J704" s="15">
        <f>IF(AND(ISNUMBER(H704),ISNUMBER(I704)),I704-H704+1,"")</f>
        <v/>
      </c>
      <c r="K704" s="5" t="n"/>
      <c r="L704" s="5" t="n"/>
      <c r="M704" s="5" t="n"/>
      <c r="N704" s="5" t="n"/>
      <c r="O704" s="5" t="n"/>
      <c r="Q704" s="10">
        <f>IF(TRIM(G704&amp;"")="","",TRIM(G704&amp;""))</f>
        <v/>
      </c>
      <c r="R704" s="10">
        <f>IF(TRIM(B704&amp;"")="","",IFERROR(INDEX(설정_코드표!$K$2:$K$101,MATCH(TRIM(B704&amp;""),설정_코드표!$J$2:$J$101,0)),"⚠"&amp;TRIM(B704&amp;"")))</f>
        <v/>
      </c>
      <c r="S704" s="10">
        <f>IF(TRIM(K704&amp;"")="","",IFERROR(INDEX(설정_코드표!$K$2:$K$101,MATCH(TRIM(K704&amp;""),설정_코드표!$J$2:$J$101,0)),"⚠"&amp;TRIM(K704&amp;"")))</f>
        <v/>
      </c>
      <c r="T704" s="10">
        <f>IF(TRIM(M704&amp;"")="","",IF(ISNUMBER(MATCH(TRIM(M704&amp;""),설정_코드표!$C$2:$C$11,0)),TRIM(M704&amp;""),"⚠"&amp;TRIM(M704&amp;"")))</f>
        <v/>
      </c>
      <c r="U704" s="10">
        <f>IF(TRIM(L704&amp;"")="","",IFERROR(INDEX(설정_코드표!$G$2:$G$101,MATCH(TRIM(L704&amp;""),설정_코드표!$F$2:$F$101,0)),"⚠"&amp;TRIM(L704&amp;"")))</f>
        <v/>
      </c>
      <c r="V704" s="10">
        <f>IF(AND(ISNUMBER(H704),ISNUMBER(I704)),I704-H704+1,"")</f>
        <v/>
      </c>
      <c r="W704" s="17">
        <f>IF(ISNUMBER(H704),MAX(0,MIN(IF(ISNUMBER(I704),I704,EOMONTH(출력_요약!$B$3,0)),EOMONTH(출력_요약!$B$3,0))-MAX(H704,출력_요약!$B$3)+1),0)</f>
        <v/>
      </c>
      <c r="X704" s="10">
        <f>IF(OR(NOT(ISNUMBER(H704)),Q704=""),"",IF(TODAY()&lt;H704,"파견예정",IF(AND(ISNUMBER(I704),TODAY()&gt;I704),"파견종료","파견중")))</f>
        <v/>
      </c>
      <c r="Y704" s="10">
        <f>IF(OR(Q704="",X704=""),"",Q704&amp;"|"&amp;X704)</f>
        <v/>
      </c>
      <c r="Z704" s="10">
        <f>IF(AND(Q704&lt;&gt;"",W704&gt;0),Q704&amp;"|월","")</f>
        <v/>
      </c>
      <c r="AA704" s="10">
        <f>IF(COUNTA(B704:I704,K704:N704)=0,"",IF(Q704="","등록번호 없음",IF(LEFT(R704,1)="⚠","모병원명 미등록",IF(S704="","파견병원 입력",IF(LEFT(S704,1)="⚠","파견병원명 미등록",IF(LEFT(U704,1)="⚠","파견과목 미등록",IF(OR(T704="",LEFT(T704,1)="⚠"),"파견근거 확인",IF(NOT(AND(ISNUMBER(H704),ISNUMBER(I704))),"날짜 형식/누락",IF(I704&lt;H704,"종료일&lt;시작일","")))))))))</f>
        <v/>
      </c>
      <c r="AB704" s="11">
        <f>IF(ISNUMBER(SEARCH("다기관",TRIM(N704&amp;" "&amp;O704))),IFERROR(DATE(VALUE(MID(TRIM(N704&amp;" "&amp;O704),1,4)),VALUE(MID(TRIM(N704&amp;" "&amp;O704),6,2)),VALUE(MID(TRIM(N704&amp;" "&amp;O704),9,2))),IF(ISNUMBER(H704),H704,"")),"")</f>
        <v/>
      </c>
      <c r="AC704" s="11">
        <f>IF(ISNUMBER(SEARCH("다기관",TRIM(N704&amp;" "&amp;O704))),IFERROR(DATE(VALUE(MID(TRIM(N704&amp;" "&amp;O704),12,4)),VALUE(MID(TRIM(N704&amp;" "&amp;O704),17,2)),VALUE(MID(TRIM(N704&amp;" "&amp;O704),20,2))),IF(ISNUMBER(I704),I704,"")),"")</f>
        <v/>
      </c>
      <c r="AD704" s="17">
        <f>IF(AND(ISNUMBER(AB704),ISNUMBER(AC704)),MAX(0,MIN(AC704,EOMONTH(출력_요약!$B$3,0))-MAX(AB704,출력_요약!$B$3)+1),0)</f>
        <v/>
      </c>
      <c r="AE704" s="10">
        <f>IF(AND(Q704&lt;&gt;"",ISNUMBER(AB704)),Q704&amp;"|다기관","")</f>
        <v/>
      </c>
    </row>
    <row r="705">
      <c r="A705" s="15">
        <f>IF(F705="","",ROW()-3)</f>
        <v/>
      </c>
      <c r="B705" s="5" t="n"/>
      <c r="C705" s="15" t="n"/>
      <c r="D705" s="5" t="n"/>
      <c r="E705" s="15" t="n"/>
      <c r="F705" s="5" t="n"/>
      <c r="G705" s="6" t="n"/>
      <c r="H705" s="16" t="n"/>
      <c r="I705" s="16" t="n"/>
      <c r="J705" s="15">
        <f>IF(AND(ISNUMBER(H705),ISNUMBER(I705)),I705-H705+1,"")</f>
        <v/>
      </c>
      <c r="K705" s="5" t="n"/>
      <c r="L705" s="5" t="n"/>
      <c r="M705" s="5" t="n"/>
      <c r="N705" s="5" t="n"/>
      <c r="O705" s="5" t="n"/>
      <c r="Q705" s="10">
        <f>IF(TRIM(G705&amp;"")="","",TRIM(G705&amp;""))</f>
        <v/>
      </c>
      <c r="R705" s="10">
        <f>IF(TRIM(B705&amp;"")="","",IFERROR(INDEX(설정_코드표!$K$2:$K$101,MATCH(TRIM(B705&amp;""),설정_코드표!$J$2:$J$101,0)),"⚠"&amp;TRIM(B705&amp;"")))</f>
        <v/>
      </c>
      <c r="S705" s="10">
        <f>IF(TRIM(K705&amp;"")="","",IFERROR(INDEX(설정_코드표!$K$2:$K$101,MATCH(TRIM(K705&amp;""),설정_코드표!$J$2:$J$101,0)),"⚠"&amp;TRIM(K705&amp;"")))</f>
        <v/>
      </c>
      <c r="T705" s="10">
        <f>IF(TRIM(M705&amp;"")="","",IF(ISNUMBER(MATCH(TRIM(M705&amp;""),설정_코드표!$C$2:$C$11,0)),TRIM(M705&amp;""),"⚠"&amp;TRIM(M705&amp;"")))</f>
        <v/>
      </c>
      <c r="U705" s="10">
        <f>IF(TRIM(L705&amp;"")="","",IFERROR(INDEX(설정_코드표!$G$2:$G$101,MATCH(TRIM(L705&amp;""),설정_코드표!$F$2:$F$101,0)),"⚠"&amp;TRIM(L705&amp;"")))</f>
        <v/>
      </c>
      <c r="V705" s="10">
        <f>IF(AND(ISNUMBER(H705),ISNUMBER(I705)),I705-H705+1,"")</f>
        <v/>
      </c>
      <c r="W705" s="17">
        <f>IF(ISNUMBER(H705),MAX(0,MIN(IF(ISNUMBER(I705),I705,EOMONTH(출력_요약!$B$3,0)),EOMONTH(출력_요약!$B$3,0))-MAX(H705,출력_요약!$B$3)+1),0)</f>
        <v/>
      </c>
      <c r="X705" s="10">
        <f>IF(OR(NOT(ISNUMBER(H705)),Q705=""),"",IF(TODAY()&lt;H705,"파견예정",IF(AND(ISNUMBER(I705),TODAY()&gt;I705),"파견종료","파견중")))</f>
        <v/>
      </c>
      <c r="Y705" s="10">
        <f>IF(OR(Q705="",X705=""),"",Q705&amp;"|"&amp;X705)</f>
        <v/>
      </c>
      <c r="Z705" s="10">
        <f>IF(AND(Q705&lt;&gt;"",W705&gt;0),Q705&amp;"|월","")</f>
        <v/>
      </c>
      <c r="AA705" s="10">
        <f>IF(COUNTA(B705:I705,K705:N705)=0,"",IF(Q705="","등록번호 없음",IF(LEFT(R705,1)="⚠","모병원명 미등록",IF(S705="","파견병원 입력",IF(LEFT(S705,1)="⚠","파견병원명 미등록",IF(LEFT(U705,1)="⚠","파견과목 미등록",IF(OR(T705="",LEFT(T705,1)="⚠"),"파견근거 확인",IF(NOT(AND(ISNUMBER(H705),ISNUMBER(I705))),"날짜 형식/누락",IF(I705&lt;H705,"종료일&lt;시작일","")))))))))</f>
        <v/>
      </c>
      <c r="AB705" s="11">
        <f>IF(ISNUMBER(SEARCH("다기관",TRIM(N705&amp;" "&amp;O705))),IFERROR(DATE(VALUE(MID(TRIM(N705&amp;" "&amp;O705),1,4)),VALUE(MID(TRIM(N705&amp;" "&amp;O705),6,2)),VALUE(MID(TRIM(N705&amp;" "&amp;O705),9,2))),IF(ISNUMBER(H705),H705,"")),"")</f>
        <v/>
      </c>
      <c r="AC705" s="11">
        <f>IF(ISNUMBER(SEARCH("다기관",TRIM(N705&amp;" "&amp;O705))),IFERROR(DATE(VALUE(MID(TRIM(N705&amp;" "&amp;O705),12,4)),VALUE(MID(TRIM(N705&amp;" "&amp;O705),17,2)),VALUE(MID(TRIM(N705&amp;" "&amp;O705),20,2))),IF(ISNUMBER(I705),I705,"")),"")</f>
        <v/>
      </c>
      <c r="AD705" s="17">
        <f>IF(AND(ISNUMBER(AB705),ISNUMBER(AC705)),MAX(0,MIN(AC705,EOMONTH(출력_요약!$B$3,0))-MAX(AB705,출력_요약!$B$3)+1),0)</f>
        <v/>
      </c>
      <c r="AE705" s="10">
        <f>IF(AND(Q705&lt;&gt;"",ISNUMBER(AB705)),Q705&amp;"|다기관","")</f>
        <v/>
      </c>
    </row>
    <row r="706">
      <c r="A706" s="15">
        <f>IF(F706="","",ROW()-3)</f>
        <v/>
      </c>
      <c r="B706" s="5" t="n"/>
      <c r="C706" s="15" t="n"/>
      <c r="D706" s="5" t="n"/>
      <c r="E706" s="15" t="n"/>
      <c r="F706" s="5" t="n"/>
      <c r="G706" s="6" t="n"/>
      <c r="H706" s="16" t="n"/>
      <c r="I706" s="16" t="n"/>
      <c r="J706" s="15">
        <f>IF(AND(ISNUMBER(H706),ISNUMBER(I706)),I706-H706+1,"")</f>
        <v/>
      </c>
      <c r="K706" s="5" t="n"/>
      <c r="L706" s="5" t="n"/>
      <c r="M706" s="5" t="n"/>
      <c r="N706" s="5" t="n"/>
      <c r="O706" s="5" t="n"/>
      <c r="Q706" s="10">
        <f>IF(TRIM(G706&amp;"")="","",TRIM(G706&amp;""))</f>
        <v/>
      </c>
      <c r="R706" s="10">
        <f>IF(TRIM(B706&amp;"")="","",IFERROR(INDEX(설정_코드표!$K$2:$K$101,MATCH(TRIM(B706&amp;""),설정_코드표!$J$2:$J$101,0)),"⚠"&amp;TRIM(B706&amp;"")))</f>
        <v/>
      </c>
      <c r="S706" s="10">
        <f>IF(TRIM(K706&amp;"")="","",IFERROR(INDEX(설정_코드표!$K$2:$K$101,MATCH(TRIM(K706&amp;""),설정_코드표!$J$2:$J$101,0)),"⚠"&amp;TRIM(K706&amp;"")))</f>
        <v/>
      </c>
      <c r="T706" s="10">
        <f>IF(TRIM(M706&amp;"")="","",IF(ISNUMBER(MATCH(TRIM(M706&amp;""),설정_코드표!$C$2:$C$11,0)),TRIM(M706&amp;""),"⚠"&amp;TRIM(M706&amp;"")))</f>
        <v/>
      </c>
      <c r="U706" s="10">
        <f>IF(TRIM(L706&amp;"")="","",IFERROR(INDEX(설정_코드표!$G$2:$G$101,MATCH(TRIM(L706&amp;""),설정_코드표!$F$2:$F$101,0)),"⚠"&amp;TRIM(L706&amp;"")))</f>
        <v/>
      </c>
      <c r="V706" s="10">
        <f>IF(AND(ISNUMBER(H706),ISNUMBER(I706)),I706-H706+1,"")</f>
        <v/>
      </c>
      <c r="W706" s="17">
        <f>IF(ISNUMBER(H706),MAX(0,MIN(IF(ISNUMBER(I706),I706,EOMONTH(출력_요약!$B$3,0)),EOMONTH(출력_요약!$B$3,0))-MAX(H706,출력_요약!$B$3)+1),0)</f>
        <v/>
      </c>
      <c r="X706" s="10">
        <f>IF(OR(NOT(ISNUMBER(H706)),Q706=""),"",IF(TODAY()&lt;H706,"파견예정",IF(AND(ISNUMBER(I706),TODAY()&gt;I706),"파견종료","파견중")))</f>
        <v/>
      </c>
      <c r="Y706" s="10">
        <f>IF(OR(Q706="",X706=""),"",Q706&amp;"|"&amp;X706)</f>
        <v/>
      </c>
      <c r="Z706" s="10">
        <f>IF(AND(Q706&lt;&gt;"",W706&gt;0),Q706&amp;"|월","")</f>
        <v/>
      </c>
      <c r="AA706" s="10">
        <f>IF(COUNTA(B706:I706,K706:N706)=0,"",IF(Q706="","등록번호 없음",IF(LEFT(R706,1)="⚠","모병원명 미등록",IF(S706="","파견병원 입력",IF(LEFT(S706,1)="⚠","파견병원명 미등록",IF(LEFT(U706,1)="⚠","파견과목 미등록",IF(OR(T706="",LEFT(T706,1)="⚠"),"파견근거 확인",IF(NOT(AND(ISNUMBER(H706),ISNUMBER(I706))),"날짜 형식/누락",IF(I706&lt;H706,"종료일&lt;시작일","")))))))))</f>
        <v/>
      </c>
      <c r="AB706" s="11">
        <f>IF(ISNUMBER(SEARCH("다기관",TRIM(N706&amp;" "&amp;O706))),IFERROR(DATE(VALUE(MID(TRIM(N706&amp;" "&amp;O706),1,4)),VALUE(MID(TRIM(N706&amp;" "&amp;O706),6,2)),VALUE(MID(TRIM(N706&amp;" "&amp;O706),9,2))),IF(ISNUMBER(H706),H706,"")),"")</f>
        <v/>
      </c>
      <c r="AC706" s="11">
        <f>IF(ISNUMBER(SEARCH("다기관",TRIM(N706&amp;" "&amp;O706))),IFERROR(DATE(VALUE(MID(TRIM(N706&amp;" "&amp;O706),12,4)),VALUE(MID(TRIM(N706&amp;" "&amp;O706),17,2)),VALUE(MID(TRIM(N706&amp;" "&amp;O706),20,2))),IF(ISNUMBER(I706),I706,"")),"")</f>
        <v/>
      </c>
      <c r="AD706" s="17">
        <f>IF(AND(ISNUMBER(AB706),ISNUMBER(AC706)),MAX(0,MIN(AC706,EOMONTH(출력_요약!$B$3,0))-MAX(AB706,출력_요약!$B$3)+1),0)</f>
        <v/>
      </c>
      <c r="AE706" s="10">
        <f>IF(AND(Q706&lt;&gt;"",ISNUMBER(AB706)),Q706&amp;"|다기관","")</f>
        <v/>
      </c>
    </row>
    <row r="707">
      <c r="A707" s="15">
        <f>IF(F707="","",ROW()-3)</f>
        <v/>
      </c>
      <c r="B707" s="5" t="n"/>
      <c r="C707" s="15" t="n"/>
      <c r="D707" s="5" t="n"/>
      <c r="E707" s="15" t="n"/>
      <c r="F707" s="5" t="n"/>
      <c r="G707" s="6" t="n"/>
      <c r="H707" s="16" t="n"/>
      <c r="I707" s="16" t="n"/>
      <c r="J707" s="15">
        <f>IF(AND(ISNUMBER(H707),ISNUMBER(I707)),I707-H707+1,"")</f>
        <v/>
      </c>
      <c r="K707" s="5" t="n"/>
      <c r="L707" s="5" t="n"/>
      <c r="M707" s="5" t="n"/>
      <c r="N707" s="5" t="n"/>
      <c r="O707" s="5" t="n"/>
      <c r="Q707" s="10">
        <f>IF(TRIM(G707&amp;"")="","",TRIM(G707&amp;""))</f>
        <v/>
      </c>
      <c r="R707" s="10">
        <f>IF(TRIM(B707&amp;"")="","",IFERROR(INDEX(설정_코드표!$K$2:$K$101,MATCH(TRIM(B707&amp;""),설정_코드표!$J$2:$J$101,0)),"⚠"&amp;TRIM(B707&amp;"")))</f>
        <v/>
      </c>
      <c r="S707" s="10">
        <f>IF(TRIM(K707&amp;"")="","",IFERROR(INDEX(설정_코드표!$K$2:$K$101,MATCH(TRIM(K707&amp;""),설정_코드표!$J$2:$J$101,0)),"⚠"&amp;TRIM(K707&amp;"")))</f>
        <v/>
      </c>
      <c r="T707" s="10">
        <f>IF(TRIM(M707&amp;"")="","",IF(ISNUMBER(MATCH(TRIM(M707&amp;""),설정_코드표!$C$2:$C$11,0)),TRIM(M707&amp;""),"⚠"&amp;TRIM(M707&amp;"")))</f>
        <v/>
      </c>
      <c r="U707" s="10">
        <f>IF(TRIM(L707&amp;"")="","",IFERROR(INDEX(설정_코드표!$G$2:$G$101,MATCH(TRIM(L707&amp;""),설정_코드표!$F$2:$F$101,0)),"⚠"&amp;TRIM(L707&amp;"")))</f>
        <v/>
      </c>
      <c r="V707" s="10">
        <f>IF(AND(ISNUMBER(H707),ISNUMBER(I707)),I707-H707+1,"")</f>
        <v/>
      </c>
      <c r="W707" s="17">
        <f>IF(ISNUMBER(H707),MAX(0,MIN(IF(ISNUMBER(I707),I707,EOMONTH(출력_요약!$B$3,0)),EOMONTH(출력_요약!$B$3,0))-MAX(H707,출력_요약!$B$3)+1),0)</f>
        <v/>
      </c>
      <c r="X707" s="10">
        <f>IF(OR(NOT(ISNUMBER(H707)),Q707=""),"",IF(TODAY()&lt;H707,"파견예정",IF(AND(ISNUMBER(I707),TODAY()&gt;I707),"파견종료","파견중")))</f>
        <v/>
      </c>
      <c r="Y707" s="10">
        <f>IF(OR(Q707="",X707=""),"",Q707&amp;"|"&amp;X707)</f>
        <v/>
      </c>
      <c r="Z707" s="10">
        <f>IF(AND(Q707&lt;&gt;"",W707&gt;0),Q707&amp;"|월","")</f>
        <v/>
      </c>
      <c r="AA707" s="10">
        <f>IF(COUNTA(B707:I707,K707:N707)=0,"",IF(Q707="","등록번호 없음",IF(LEFT(R707,1)="⚠","모병원명 미등록",IF(S707="","파견병원 입력",IF(LEFT(S707,1)="⚠","파견병원명 미등록",IF(LEFT(U707,1)="⚠","파견과목 미등록",IF(OR(T707="",LEFT(T707,1)="⚠"),"파견근거 확인",IF(NOT(AND(ISNUMBER(H707),ISNUMBER(I707))),"날짜 형식/누락",IF(I707&lt;H707,"종료일&lt;시작일","")))))))))</f>
        <v/>
      </c>
      <c r="AB707" s="11">
        <f>IF(ISNUMBER(SEARCH("다기관",TRIM(N707&amp;" "&amp;O707))),IFERROR(DATE(VALUE(MID(TRIM(N707&amp;" "&amp;O707),1,4)),VALUE(MID(TRIM(N707&amp;" "&amp;O707),6,2)),VALUE(MID(TRIM(N707&amp;" "&amp;O707),9,2))),IF(ISNUMBER(H707),H707,"")),"")</f>
        <v/>
      </c>
      <c r="AC707" s="11">
        <f>IF(ISNUMBER(SEARCH("다기관",TRIM(N707&amp;" "&amp;O707))),IFERROR(DATE(VALUE(MID(TRIM(N707&amp;" "&amp;O707),12,4)),VALUE(MID(TRIM(N707&amp;" "&amp;O707),17,2)),VALUE(MID(TRIM(N707&amp;" "&amp;O707),20,2))),IF(ISNUMBER(I707),I707,"")),"")</f>
        <v/>
      </c>
      <c r="AD707" s="17">
        <f>IF(AND(ISNUMBER(AB707),ISNUMBER(AC707)),MAX(0,MIN(AC707,EOMONTH(출력_요약!$B$3,0))-MAX(AB707,출력_요약!$B$3)+1),0)</f>
        <v/>
      </c>
      <c r="AE707" s="10">
        <f>IF(AND(Q707&lt;&gt;"",ISNUMBER(AB707)),Q707&amp;"|다기관","")</f>
        <v/>
      </c>
    </row>
    <row r="708">
      <c r="A708" s="15">
        <f>IF(F708="","",ROW()-3)</f>
        <v/>
      </c>
      <c r="B708" s="5" t="n"/>
      <c r="C708" s="15" t="n"/>
      <c r="D708" s="5" t="n"/>
      <c r="E708" s="15" t="n"/>
      <c r="F708" s="5" t="n"/>
      <c r="G708" s="6" t="n"/>
      <c r="H708" s="16" t="n"/>
      <c r="I708" s="16" t="n"/>
      <c r="J708" s="15">
        <f>IF(AND(ISNUMBER(H708),ISNUMBER(I708)),I708-H708+1,"")</f>
        <v/>
      </c>
      <c r="K708" s="5" t="n"/>
      <c r="L708" s="5" t="n"/>
      <c r="M708" s="5" t="n"/>
      <c r="N708" s="5" t="n"/>
      <c r="O708" s="5" t="n"/>
      <c r="Q708" s="10">
        <f>IF(TRIM(G708&amp;"")="","",TRIM(G708&amp;""))</f>
        <v/>
      </c>
      <c r="R708" s="10">
        <f>IF(TRIM(B708&amp;"")="","",IFERROR(INDEX(설정_코드표!$K$2:$K$101,MATCH(TRIM(B708&amp;""),설정_코드표!$J$2:$J$101,0)),"⚠"&amp;TRIM(B708&amp;"")))</f>
        <v/>
      </c>
      <c r="S708" s="10">
        <f>IF(TRIM(K708&amp;"")="","",IFERROR(INDEX(설정_코드표!$K$2:$K$101,MATCH(TRIM(K708&amp;""),설정_코드표!$J$2:$J$101,0)),"⚠"&amp;TRIM(K708&amp;"")))</f>
        <v/>
      </c>
      <c r="T708" s="10">
        <f>IF(TRIM(M708&amp;"")="","",IF(ISNUMBER(MATCH(TRIM(M708&amp;""),설정_코드표!$C$2:$C$11,0)),TRIM(M708&amp;""),"⚠"&amp;TRIM(M708&amp;"")))</f>
        <v/>
      </c>
      <c r="U708" s="10">
        <f>IF(TRIM(L708&amp;"")="","",IFERROR(INDEX(설정_코드표!$G$2:$G$101,MATCH(TRIM(L708&amp;""),설정_코드표!$F$2:$F$101,0)),"⚠"&amp;TRIM(L708&amp;"")))</f>
        <v/>
      </c>
      <c r="V708" s="10">
        <f>IF(AND(ISNUMBER(H708),ISNUMBER(I708)),I708-H708+1,"")</f>
        <v/>
      </c>
      <c r="W708" s="17">
        <f>IF(ISNUMBER(H708),MAX(0,MIN(IF(ISNUMBER(I708),I708,EOMONTH(출력_요약!$B$3,0)),EOMONTH(출력_요약!$B$3,0))-MAX(H708,출력_요약!$B$3)+1),0)</f>
        <v/>
      </c>
      <c r="X708" s="10">
        <f>IF(OR(NOT(ISNUMBER(H708)),Q708=""),"",IF(TODAY()&lt;H708,"파견예정",IF(AND(ISNUMBER(I708),TODAY()&gt;I708),"파견종료","파견중")))</f>
        <v/>
      </c>
      <c r="Y708" s="10">
        <f>IF(OR(Q708="",X708=""),"",Q708&amp;"|"&amp;X708)</f>
        <v/>
      </c>
      <c r="Z708" s="10">
        <f>IF(AND(Q708&lt;&gt;"",W708&gt;0),Q708&amp;"|월","")</f>
        <v/>
      </c>
      <c r="AA708" s="10">
        <f>IF(COUNTA(B708:I708,K708:N708)=0,"",IF(Q708="","등록번호 없음",IF(LEFT(R708,1)="⚠","모병원명 미등록",IF(S708="","파견병원 입력",IF(LEFT(S708,1)="⚠","파견병원명 미등록",IF(LEFT(U708,1)="⚠","파견과목 미등록",IF(OR(T708="",LEFT(T708,1)="⚠"),"파견근거 확인",IF(NOT(AND(ISNUMBER(H708),ISNUMBER(I708))),"날짜 형식/누락",IF(I708&lt;H708,"종료일&lt;시작일","")))))))))</f>
        <v/>
      </c>
      <c r="AB708" s="11">
        <f>IF(ISNUMBER(SEARCH("다기관",TRIM(N708&amp;" "&amp;O708))),IFERROR(DATE(VALUE(MID(TRIM(N708&amp;" "&amp;O708),1,4)),VALUE(MID(TRIM(N708&amp;" "&amp;O708),6,2)),VALUE(MID(TRIM(N708&amp;" "&amp;O708),9,2))),IF(ISNUMBER(H708),H708,"")),"")</f>
        <v/>
      </c>
      <c r="AC708" s="11">
        <f>IF(ISNUMBER(SEARCH("다기관",TRIM(N708&amp;" "&amp;O708))),IFERROR(DATE(VALUE(MID(TRIM(N708&amp;" "&amp;O708),12,4)),VALUE(MID(TRIM(N708&amp;" "&amp;O708),17,2)),VALUE(MID(TRIM(N708&amp;" "&amp;O708),20,2))),IF(ISNUMBER(I708),I708,"")),"")</f>
        <v/>
      </c>
      <c r="AD708" s="17">
        <f>IF(AND(ISNUMBER(AB708),ISNUMBER(AC708)),MAX(0,MIN(AC708,EOMONTH(출력_요약!$B$3,0))-MAX(AB708,출력_요약!$B$3)+1),0)</f>
        <v/>
      </c>
      <c r="AE708" s="10">
        <f>IF(AND(Q708&lt;&gt;"",ISNUMBER(AB708)),Q708&amp;"|다기관","")</f>
        <v/>
      </c>
    </row>
    <row r="709">
      <c r="A709" s="15">
        <f>IF(F709="","",ROW()-3)</f>
        <v/>
      </c>
      <c r="B709" s="5" t="n"/>
      <c r="C709" s="15" t="n"/>
      <c r="D709" s="5" t="n"/>
      <c r="E709" s="15" t="n"/>
      <c r="F709" s="5" t="n"/>
      <c r="G709" s="6" t="n"/>
      <c r="H709" s="16" t="n"/>
      <c r="I709" s="16" t="n"/>
      <c r="J709" s="15">
        <f>IF(AND(ISNUMBER(H709),ISNUMBER(I709)),I709-H709+1,"")</f>
        <v/>
      </c>
      <c r="K709" s="5" t="n"/>
      <c r="L709" s="5" t="n"/>
      <c r="M709" s="5" t="n"/>
      <c r="N709" s="5" t="n"/>
      <c r="O709" s="5" t="n"/>
      <c r="Q709" s="10">
        <f>IF(TRIM(G709&amp;"")="","",TRIM(G709&amp;""))</f>
        <v/>
      </c>
      <c r="R709" s="10">
        <f>IF(TRIM(B709&amp;"")="","",IFERROR(INDEX(설정_코드표!$K$2:$K$101,MATCH(TRIM(B709&amp;""),설정_코드표!$J$2:$J$101,0)),"⚠"&amp;TRIM(B709&amp;"")))</f>
        <v/>
      </c>
      <c r="S709" s="10">
        <f>IF(TRIM(K709&amp;"")="","",IFERROR(INDEX(설정_코드표!$K$2:$K$101,MATCH(TRIM(K709&amp;""),설정_코드표!$J$2:$J$101,0)),"⚠"&amp;TRIM(K709&amp;"")))</f>
        <v/>
      </c>
      <c r="T709" s="10">
        <f>IF(TRIM(M709&amp;"")="","",IF(ISNUMBER(MATCH(TRIM(M709&amp;""),설정_코드표!$C$2:$C$11,0)),TRIM(M709&amp;""),"⚠"&amp;TRIM(M709&amp;"")))</f>
        <v/>
      </c>
      <c r="U709" s="10">
        <f>IF(TRIM(L709&amp;"")="","",IFERROR(INDEX(설정_코드표!$G$2:$G$101,MATCH(TRIM(L709&amp;""),설정_코드표!$F$2:$F$101,0)),"⚠"&amp;TRIM(L709&amp;"")))</f>
        <v/>
      </c>
      <c r="V709" s="10">
        <f>IF(AND(ISNUMBER(H709),ISNUMBER(I709)),I709-H709+1,"")</f>
        <v/>
      </c>
      <c r="W709" s="17">
        <f>IF(ISNUMBER(H709),MAX(0,MIN(IF(ISNUMBER(I709),I709,EOMONTH(출력_요약!$B$3,0)),EOMONTH(출력_요약!$B$3,0))-MAX(H709,출력_요약!$B$3)+1),0)</f>
        <v/>
      </c>
      <c r="X709" s="10">
        <f>IF(OR(NOT(ISNUMBER(H709)),Q709=""),"",IF(TODAY()&lt;H709,"파견예정",IF(AND(ISNUMBER(I709),TODAY()&gt;I709),"파견종료","파견중")))</f>
        <v/>
      </c>
      <c r="Y709" s="10">
        <f>IF(OR(Q709="",X709=""),"",Q709&amp;"|"&amp;X709)</f>
        <v/>
      </c>
      <c r="Z709" s="10">
        <f>IF(AND(Q709&lt;&gt;"",W709&gt;0),Q709&amp;"|월","")</f>
        <v/>
      </c>
      <c r="AA709" s="10">
        <f>IF(COUNTA(B709:I709,K709:N709)=0,"",IF(Q709="","등록번호 없음",IF(LEFT(R709,1)="⚠","모병원명 미등록",IF(S709="","파견병원 입력",IF(LEFT(S709,1)="⚠","파견병원명 미등록",IF(LEFT(U709,1)="⚠","파견과목 미등록",IF(OR(T709="",LEFT(T709,1)="⚠"),"파견근거 확인",IF(NOT(AND(ISNUMBER(H709),ISNUMBER(I709))),"날짜 형식/누락",IF(I709&lt;H709,"종료일&lt;시작일","")))))))))</f>
        <v/>
      </c>
      <c r="AB709" s="11">
        <f>IF(ISNUMBER(SEARCH("다기관",TRIM(N709&amp;" "&amp;O709))),IFERROR(DATE(VALUE(MID(TRIM(N709&amp;" "&amp;O709),1,4)),VALUE(MID(TRIM(N709&amp;" "&amp;O709),6,2)),VALUE(MID(TRIM(N709&amp;" "&amp;O709),9,2))),IF(ISNUMBER(H709),H709,"")),"")</f>
        <v/>
      </c>
      <c r="AC709" s="11">
        <f>IF(ISNUMBER(SEARCH("다기관",TRIM(N709&amp;" "&amp;O709))),IFERROR(DATE(VALUE(MID(TRIM(N709&amp;" "&amp;O709),12,4)),VALUE(MID(TRIM(N709&amp;" "&amp;O709),17,2)),VALUE(MID(TRIM(N709&amp;" "&amp;O709),20,2))),IF(ISNUMBER(I709),I709,"")),"")</f>
        <v/>
      </c>
      <c r="AD709" s="17">
        <f>IF(AND(ISNUMBER(AB709),ISNUMBER(AC709)),MAX(0,MIN(AC709,EOMONTH(출력_요약!$B$3,0))-MAX(AB709,출력_요약!$B$3)+1),0)</f>
        <v/>
      </c>
      <c r="AE709" s="10">
        <f>IF(AND(Q709&lt;&gt;"",ISNUMBER(AB709)),Q709&amp;"|다기관","")</f>
        <v/>
      </c>
    </row>
    <row r="710">
      <c r="A710" s="15">
        <f>IF(F710="","",ROW()-3)</f>
        <v/>
      </c>
      <c r="B710" s="5" t="n"/>
      <c r="C710" s="15" t="n"/>
      <c r="D710" s="5" t="n"/>
      <c r="E710" s="15" t="n"/>
      <c r="F710" s="5" t="n"/>
      <c r="G710" s="6" t="n"/>
      <c r="H710" s="16" t="n"/>
      <c r="I710" s="16" t="n"/>
      <c r="J710" s="15">
        <f>IF(AND(ISNUMBER(H710),ISNUMBER(I710)),I710-H710+1,"")</f>
        <v/>
      </c>
      <c r="K710" s="5" t="n"/>
      <c r="L710" s="5" t="n"/>
      <c r="M710" s="5" t="n"/>
      <c r="N710" s="5" t="n"/>
      <c r="O710" s="5" t="n"/>
      <c r="Q710" s="10">
        <f>IF(TRIM(G710&amp;"")="","",TRIM(G710&amp;""))</f>
        <v/>
      </c>
      <c r="R710" s="10">
        <f>IF(TRIM(B710&amp;"")="","",IFERROR(INDEX(설정_코드표!$K$2:$K$101,MATCH(TRIM(B710&amp;""),설정_코드표!$J$2:$J$101,0)),"⚠"&amp;TRIM(B710&amp;"")))</f>
        <v/>
      </c>
      <c r="S710" s="10">
        <f>IF(TRIM(K710&amp;"")="","",IFERROR(INDEX(설정_코드표!$K$2:$K$101,MATCH(TRIM(K710&amp;""),설정_코드표!$J$2:$J$101,0)),"⚠"&amp;TRIM(K710&amp;"")))</f>
        <v/>
      </c>
      <c r="T710" s="10">
        <f>IF(TRIM(M710&amp;"")="","",IF(ISNUMBER(MATCH(TRIM(M710&amp;""),설정_코드표!$C$2:$C$11,0)),TRIM(M710&amp;""),"⚠"&amp;TRIM(M710&amp;"")))</f>
        <v/>
      </c>
      <c r="U710" s="10">
        <f>IF(TRIM(L710&amp;"")="","",IFERROR(INDEX(설정_코드표!$G$2:$G$101,MATCH(TRIM(L710&amp;""),설정_코드표!$F$2:$F$101,0)),"⚠"&amp;TRIM(L710&amp;"")))</f>
        <v/>
      </c>
      <c r="V710" s="10">
        <f>IF(AND(ISNUMBER(H710),ISNUMBER(I710)),I710-H710+1,"")</f>
        <v/>
      </c>
      <c r="W710" s="17">
        <f>IF(ISNUMBER(H710),MAX(0,MIN(IF(ISNUMBER(I710),I710,EOMONTH(출력_요약!$B$3,0)),EOMONTH(출력_요약!$B$3,0))-MAX(H710,출력_요약!$B$3)+1),0)</f>
        <v/>
      </c>
      <c r="X710" s="10">
        <f>IF(OR(NOT(ISNUMBER(H710)),Q710=""),"",IF(TODAY()&lt;H710,"파견예정",IF(AND(ISNUMBER(I710),TODAY()&gt;I710),"파견종료","파견중")))</f>
        <v/>
      </c>
      <c r="Y710" s="10">
        <f>IF(OR(Q710="",X710=""),"",Q710&amp;"|"&amp;X710)</f>
        <v/>
      </c>
      <c r="Z710" s="10">
        <f>IF(AND(Q710&lt;&gt;"",W710&gt;0),Q710&amp;"|월","")</f>
        <v/>
      </c>
      <c r="AA710" s="10">
        <f>IF(COUNTA(B710:I710,K710:N710)=0,"",IF(Q710="","등록번호 없음",IF(LEFT(R710,1)="⚠","모병원명 미등록",IF(S710="","파견병원 입력",IF(LEFT(S710,1)="⚠","파견병원명 미등록",IF(LEFT(U710,1)="⚠","파견과목 미등록",IF(OR(T710="",LEFT(T710,1)="⚠"),"파견근거 확인",IF(NOT(AND(ISNUMBER(H710),ISNUMBER(I710))),"날짜 형식/누락",IF(I710&lt;H710,"종료일&lt;시작일","")))))))))</f>
        <v/>
      </c>
      <c r="AB710" s="11">
        <f>IF(ISNUMBER(SEARCH("다기관",TRIM(N710&amp;" "&amp;O710))),IFERROR(DATE(VALUE(MID(TRIM(N710&amp;" "&amp;O710),1,4)),VALUE(MID(TRIM(N710&amp;" "&amp;O710),6,2)),VALUE(MID(TRIM(N710&amp;" "&amp;O710),9,2))),IF(ISNUMBER(H710),H710,"")),"")</f>
        <v/>
      </c>
      <c r="AC710" s="11">
        <f>IF(ISNUMBER(SEARCH("다기관",TRIM(N710&amp;" "&amp;O710))),IFERROR(DATE(VALUE(MID(TRIM(N710&amp;" "&amp;O710),12,4)),VALUE(MID(TRIM(N710&amp;" "&amp;O710),17,2)),VALUE(MID(TRIM(N710&amp;" "&amp;O710),20,2))),IF(ISNUMBER(I710),I710,"")),"")</f>
        <v/>
      </c>
      <c r="AD710" s="17">
        <f>IF(AND(ISNUMBER(AB710),ISNUMBER(AC710)),MAX(0,MIN(AC710,EOMONTH(출력_요약!$B$3,0))-MAX(AB710,출력_요약!$B$3)+1),0)</f>
        <v/>
      </c>
      <c r="AE710" s="10">
        <f>IF(AND(Q710&lt;&gt;"",ISNUMBER(AB710)),Q710&amp;"|다기관","")</f>
        <v/>
      </c>
    </row>
    <row r="711">
      <c r="A711" s="15">
        <f>IF(F711="","",ROW()-3)</f>
        <v/>
      </c>
      <c r="B711" s="5" t="n"/>
      <c r="C711" s="15" t="n"/>
      <c r="D711" s="5" t="n"/>
      <c r="E711" s="15" t="n"/>
      <c r="F711" s="5" t="n"/>
      <c r="G711" s="6" t="n"/>
      <c r="H711" s="16" t="n"/>
      <c r="I711" s="16" t="n"/>
      <c r="J711" s="15">
        <f>IF(AND(ISNUMBER(H711),ISNUMBER(I711)),I711-H711+1,"")</f>
        <v/>
      </c>
      <c r="K711" s="5" t="n"/>
      <c r="L711" s="5" t="n"/>
      <c r="M711" s="5" t="n"/>
      <c r="N711" s="5" t="n"/>
      <c r="O711" s="5" t="n"/>
      <c r="Q711" s="10">
        <f>IF(TRIM(G711&amp;"")="","",TRIM(G711&amp;""))</f>
        <v/>
      </c>
      <c r="R711" s="10">
        <f>IF(TRIM(B711&amp;"")="","",IFERROR(INDEX(설정_코드표!$K$2:$K$101,MATCH(TRIM(B711&amp;""),설정_코드표!$J$2:$J$101,0)),"⚠"&amp;TRIM(B711&amp;"")))</f>
        <v/>
      </c>
      <c r="S711" s="10">
        <f>IF(TRIM(K711&amp;"")="","",IFERROR(INDEX(설정_코드표!$K$2:$K$101,MATCH(TRIM(K711&amp;""),설정_코드표!$J$2:$J$101,0)),"⚠"&amp;TRIM(K711&amp;"")))</f>
        <v/>
      </c>
      <c r="T711" s="10">
        <f>IF(TRIM(M711&amp;"")="","",IF(ISNUMBER(MATCH(TRIM(M711&amp;""),설정_코드표!$C$2:$C$11,0)),TRIM(M711&amp;""),"⚠"&amp;TRIM(M711&amp;"")))</f>
        <v/>
      </c>
      <c r="U711" s="10">
        <f>IF(TRIM(L711&amp;"")="","",IFERROR(INDEX(설정_코드표!$G$2:$G$101,MATCH(TRIM(L711&amp;""),설정_코드표!$F$2:$F$101,0)),"⚠"&amp;TRIM(L711&amp;"")))</f>
        <v/>
      </c>
      <c r="V711" s="10">
        <f>IF(AND(ISNUMBER(H711),ISNUMBER(I711)),I711-H711+1,"")</f>
        <v/>
      </c>
      <c r="W711" s="17">
        <f>IF(ISNUMBER(H711),MAX(0,MIN(IF(ISNUMBER(I711),I711,EOMONTH(출력_요약!$B$3,0)),EOMONTH(출력_요약!$B$3,0))-MAX(H711,출력_요약!$B$3)+1),0)</f>
        <v/>
      </c>
      <c r="X711" s="10">
        <f>IF(OR(NOT(ISNUMBER(H711)),Q711=""),"",IF(TODAY()&lt;H711,"파견예정",IF(AND(ISNUMBER(I711),TODAY()&gt;I711),"파견종료","파견중")))</f>
        <v/>
      </c>
      <c r="Y711" s="10">
        <f>IF(OR(Q711="",X711=""),"",Q711&amp;"|"&amp;X711)</f>
        <v/>
      </c>
      <c r="Z711" s="10">
        <f>IF(AND(Q711&lt;&gt;"",W711&gt;0),Q711&amp;"|월","")</f>
        <v/>
      </c>
      <c r="AA711" s="10">
        <f>IF(COUNTA(B711:I711,K711:N711)=0,"",IF(Q711="","등록번호 없음",IF(LEFT(R711,1)="⚠","모병원명 미등록",IF(S711="","파견병원 입력",IF(LEFT(S711,1)="⚠","파견병원명 미등록",IF(LEFT(U711,1)="⚠","파견과목 미등록",IF(OR(T711="",LEFT(T711,1)="⚠"),"파견근거 확인",IF(NOT(AND(ISNUMBER(H711),ISNUMBER(I711))),"날짜 형식/누락",IF(I711&lt;H711,"종료일&lt;시작일","")))))))))</f>
        <v/>
      </c>
      <c r="AB711" s="11">
        <f>IF(ISNUMBER(SEARCH("다기관",TRIM(N711&amp;" "&amp;O711))),IFERROR(DATE(VALUE(MID(TRIM(N711&amp;" "&amp;O711),1,4)),VALUE(MID(TRIM(N711&amp;" "&amp;O711),6,2)),VALUE(MID(TRIM(N711&amp;" "&amp;O711),9,2))),IF(ISNUMBER(H711),H711,"")),"")</f>
        <v/>
      </c>
      <c r="AC711" s="11">
        <f>IF(ISNUMBER(SEARCH("다기관",TRIM(N711&amp;" "&amp;O711))),IFERROR(DATE(VALUE(MID(TRIM(N711&amp;" "&amp;O711),12,4)),VALUE(MID(TRIM(N711&amp;" "&amp;O711),17,2)),VALUE(MID(TRIM(N711&amp;" "&amp;O711),20,2))),IF(ISNUMBER(I711),I711,"")),"")</f>
        <v/>
      </c>
      <c r="AD711" s="17">
        <f>IF(AND(ISNUMBER(AB711),ISNUMBER(AC711)),MAX(0,MIN(AC711,EOMONTH(출력_요약!$B$3,0))-MAX(AB711,출력_요약!$B$3)+1),0)</f>
        <v/>
      </c>
      <c r="AE711" s="10">
        <f>IF(AND(Q711&lt;&gt;"",ISNUMBER(AB711)),Q711&amp;"|다기관","")</f>
        <v/>
      </c>
    </row>
    <row r="712">
      <c r="A712" s="15">
        <f>IF(F712="","",ROW()-3)</f>
        <v/>
      </c>
      <c r="B712" s="5" t="n"/>
      <c r="C712" s="15" t="n"/>
      <c r="D712" s="5" t="n"/>
      <c r="E712" s="15" t="n"/>
      <c r="F712" s="5" t="n"/>
      <c r="G712" s="6" t="n"/>
      <c r="H712" s="16" t="n"/>
      <c r="I712" s="16" t="n"/>
      <c r="J712" s="15">
        <f>IF(AND(ISNUMBER(H712),ISNUMBER(I712)),I712-H712+1,"")</f>
        <v/>
      </c>
      <c r="K712" s="5" t="n"/>
      <c r="L712" s="5" t="n"/>
      <c r="M712" s="5" t="n"/>
      <c r="N712" s="5" t="n"/>
      <c r="O712" s="5" t="n"/>
      <c r="Q712" s="10">
        <f>IF(TRIM(G712&amp;"")="","",TRIM(G712&amp;""))</f>
        <v/>
      </c>
      <c r="R712" s="10">
        <f>IF(TRIM(B712&amp;"")="","",IFERROR(INDEX(설정_코드표!$K$2:$K$101,MATCH(TRIM(B712&amp;""),설정_코드표!$J$2:$J$101,0)),"⚠"&amp;TRIM(B712&amp;"")))</f>
        <v/>
      </c>
      <c r="S712" s="10">
        <f>IF(TRIM(K712&amp;"")="","",IFERROR(INDEX(설정_코드표!$K$2:$K$101,MATCH(TRIM(K712&amp;""),설정_코드표!$J$2:$J$101,0)),"⚠"&amp;TRIM(K712&amp;"")))</f>
        <v/>
      </c>
      <c r="T712" s="10">
        <f>IF(TRIM(M712&amp;"")="","",IF(ISNUMBER(MATCH(TRIM(M712&amp;""),설정_코드표!$C$2:$C$11,0)),TRIM(M712&amp;""),"⚠"&amp;TRIM(M712&amp;"")))</f>
        <v/>
      </c>
      <c r="U712" s="10">
        <f>IF(TRIM(L712&amp;"")="","",IFERROR(INDEX(설정_코드표!$G$2:$G$101,MATCH(TRIM(L712&amp;""),설정_코드표!$F$2:$F$101,0)),"⚠"&amp;TRIM(L712&amp;"")))</f>
        <v/>
      </c>
      <c r="V712" s="10">
        <f>IF(AND(ISNUMBER(H712),ISNUMBER(I712)),I712-H712+1,"")</f>
        <v/>
      </c>
      <c r="W712" s="17">
        <f>IF(ISNUMBER(H712),MAX(0,MIN(IF(ISNUMBER(I712),I712,EOMONTH(출력_요약!$B$3,0)),EOMONTH(출력_요약!$B$3,0))-MAX(H712,출력_요약!$B$3)+1),0)</f>
        <v/>
      </c>
      <c r="X712" s="10">
        <f>IF(OR(NOT(ISNUMBER(H712)),Q712=""),"",IF(TODAY()&lt;H712,"파견예정",IF(AND(ISNUMBER(I712),TODAY()&gt;I712),"파견종료","파견중")))</f>
        <v/>
      </c>
      <c r="Y712" s="10">
        <f>IF(OR(Q712="",X712=""),"",Q712&amp;"|"&amp;X712)</f>
        <v/>
      </c>
      <c r="Z712" s="10">
        <f>IF(AND(Q712&lt;&gt;"",W712&gt;0),Q712&amp;"|월","")</f>
        <v/>
      </c>
      <c r="AA712" s="10">
        <f>IF(COUNTA(B712:I712,K712:N712)=0,"",IF(Q712="","등록번호 없음",IF(LEFT(R712,1)="⚠","모병원명 미등록",IF(S712="","파견병원 입력",IF(LEFT(S712,1)="⚠","파견병원명 미등록",IF(LEFT(U712,1)="⚠","파견과목 미등록",IF(OR(T712="",LEFT(T712,1)="⚠"),"파견근거 확인",IF(NOT(AND(ISNUMBER(H712),ISNUMBER(I712))),"날짜 형식/누락",IF(I712&lt;H712,"종료일&lt;시작일","")))))))))</f>
        <v/>
      </c>
      <c r="AB712" s="11">
        <f>IF(ISNUMBER(SEARCH("다기관",TRIM(N712&amp;" "&amp;O712))),IFERROR(DATE(VALUE(MID(TRIM(N712&amp;" "&amp;O712),1,4)),VALUE(MID(TRIM(N712&amp;" "&amp;O712),6,2)),VALUE(MID(TRIM(N712&amp;" "&amp;O712),9,2))),IF(ISNUMBER(H712),H712,"")),"")</f>
        <v/>
      </c>
      <c r="AC712" s="11">
        <f>IF(ISNUMBER(SEARCH("다기관",TRIM(N712&amp;" "&amp;O712))),IFERROR(DATE(VALUE(MID(TRIM(N712&amp;" "&amp;O712),12,4)),VALUE(MID(TRIM(N712&amp;" "&amp;O712),17,2)),VALUE(MID(TRIM(N712&amp;" "&amp;O712),20,2))),IF(ISNUMBER(I712),I712,"")),"")</f>
        <v/>
      </c>
      <c r="AD712" s="17">
        <f>IF(AND(ISNUMBER(AB712),ISNUMBER(AC712)),MAX(0,MIN(AC712,EOMONTH(출력_요약!$B$3,0))-MAX(AB712,출력_요약!$B$3)+1),0)</f>
        <v/>
      </c>
      <c r="AE712" s="10">
        <f>IF(AND(Q712&lt;&gt;"",ISNUMBER(AB712)),Q712&amp;"|다기관","")</f>
        <v/>
      </c>
    </row>
    <row r="713">
      <c r="A713" s="15">
        <f>IF(F713="","",ROW()-3)</f>
        <v/>
      </c>
      <c r="B713" s="5" t="n"/>
      <c r="C713" s="15" t="n"/>
      <c r="D713" s="5" t="n"/>
      <c r="E713" s="15" t="n"/>
      <c r="F713" s="5" t="n"/>
      <c r="G713" s="6" t="n"/>
      <c r="H713" s="16" t="n"/>
      <c r="I713" s="16" t="n"/>
      <c r="J713" s="15">
        <f>IF(AND(ISNUMBER(H713),ISNUMBER(I713)),I713-H713+1,"")</f>
        <v/>
      </c>
      <c r="K713" s="5" t="n"/>
      <c r="L713" s="5" t="n"/>
      <c r="M713" s="5" t="n"/>
      <c r="N713" s="5" t="n"/>
      <c r="O713" s="5" t="n"/>
      <c r="Q713" s="10">
        <f>IF(TRIM(G713&amp;"")="","",TRIM(G713&amp;""))</f>
        <v/>
      </c>
      <c r="R713" s="10">
        <f>IF(TRIM(B713&amp;"")="","",IFERROR(INDEX(설정_코드표!$K$2:$K$101,MATCH(TRIM(B713&amp;""),설정_코드표!$J$2:$J$101,0)),"⚠"&amp;TRIM(B713&amp;"")))</f>
        <v/>
      </c>
      <c r="S713" s="10">
        <f>IF(TRIM(K713&amp;"")="","",IFERROR(INDEX(설정_코드표!$K$2:$K$101,MATCH(TRIM(K713&amp;""),설정_코드표!$J$2:$J$101,0)),"⚠"&amp;TRIM(K713&amp;"")))</f>
        <v/>
      </c>
      <c r="T713" s="10">
        <f>IF(TRIM(M713&amp;"")="","",IF(ISNUMBER(MATCH(TRIM(M713&amp;""),설정_코드표!$C$2:$C$11,0)),TRIM(M713&amp;""),"⚠"&amp;TRIM(M713&amp;"")))</f>
        <v/>
      </c>
      <c r="U713" s="10">
        <f>IF(TRIM(L713&amp;"")="","",IFERROR(INDEX(설정_코드표!$G$2:$G$101,MATCH(TRIM(L713&amp;""),설정_코드표!$F$2:$F$101,0)),"⚠"&amp;TRIM(L713&amp;"")))</f>
        <v/>
      </c>
      <c r="V713" s="10">
        <f>IF(AND(ISNUMBER(H713),ISNUMBER(I713)),I713-H713+1,"")</f>
        <v/>
      </c>
      <c r="W713" s="17">
        <f>IF(ISNUMBER(H713),MAX(0,MIN(IF(ISNUMBER(I713),I713,EOMONTH(출력_요약!$B$3,0)),EOMONTH(출력_요약!$B$3,0))-MAX(H713,출력_요약!$B$3)+1),0)</f>
        <v/>
      </c>
      <c r="X713" s="10">
        <f>IF(OR(NOT(ISNUMBER(H713)),Q713=""),"",IF(TODAY()&lt;H713,"파견예정",IF(AND(ISNUMBER(I713),TODAY()&gt;I713),"파견종료","파견중")))</f>
        <v/>
      </c>
      <c r="Y713" s="10">
        <f>IF(OR(Q713="",X713=""),"",Q713&amp;"|"&amp;X713)</f>
        <v/>
      </c>
      <c r="Z713" s="10">
        <f>IF(AND(Q713&lt;&gt;"",W713&gt;0),Q713&amp;"|월","")</f>
        <v/>
      </c>
      <c r="AA713" s="10">
        <f>IF(COUNTA(B713:I713,K713:N713)=0,"",IF(Q713="","등록번호 없음",IF(LEFT(R713,1)="⚠","모병원명 미등록",IF(S713="","파견병원 입력",IF(LEFT(S713,1)="⚠","파견병원명 미등록",IF(LEFT(U713,1)="⚠","파견과목 미등록",IF(OR(T713="",LEFT(T713,1)="⚠"),"파견근거 확인",IF(NOT(AND(ISNUMBER(H713),ISNUMBER(I713))),"날짜 형식/누락",IF(I713&lt;H713,"종료일&lt;시작일","")))))))))</f>
        <v/>
      </c>
      <c r="AB713" s="11">
        <f>IF(ISNUMBER(SEARCH("다기관",TRIM(N713&amp;" "&amp;O713))),IFERROR(DATE(VALUE(MID(TRIM(N713&amp;" "&amp;O713),1,4)),VALUE(MID(TRIM(N713&amp;" "&amp;O713),6,2)),VALUE(MID(TRIM(N713&amp;" "&amp;O713),9,2))),IF(ISNUMBER(H713),H713,"")),"")</f>
        <v/>
      </c>
      <c r="AC713" s="11">
        <f>IF(ISNUMBER(SEARCH("다기관",TRIM(N713&amp;" "&amp;O713))),IFERROR(DATE(VALUE(MID(TRIM(N713&amp;" "&amp;O713),12,4)),VALUE(MID(TRIM(N713&amp;" "&amp;O713),17,2)),VALUE(MID(TRIM(N713&amp;" "&amp;O713),20,2))),IF(ISNUMBER(I713),I713,"")),"")</f>
        <v/>
      </c>
      <c r="AD713" s="17">
        <f>IF(AND(ISNUMBER(AB713),ISNUMBER(AC713)),MAX(0,MIN(AC713,EOMONTH(출력_요약!$B$3,0))-MAX(AB713,출력_요약!$B$3)+1),0)</f>
        <v/>
      </c>
      <c r="AE713" s="10">
        <f>IF(AND(Q713&lt;&gt;"",ISNUMBER(AB713)),Q713&amp;"|다기관","")</f>
        <v/>
      </c>
    </row>
    <row r="714">
      <c r="A714" s="15">
        <f>IF(F714="","",ROW()-3)</f>
        <v/>
      </c>
      <c r="B714" s="5" t="n"/>
      <c r="C714" s="15" t="n"/>
      <c r="D714" s="5" t="n"/>
      <c r="E714" s="15" t="n"/>
      <c r="F714" s="5" t="n"/>
      <c r="G714" s="6" t="n"/>
      <c r="H714" s="16" t="n"/>
      <c r="I714" s="16" t="n"/>
      <c r="J714" s="15">
        <f>IF(AND(ISNUMBER(H714),ISNUMBER(I714)),I714-H714+1,"")</f>
        <v/>
      </c>
      <c r="K714" s="5" t="n"/>
      <c r="L714" s="5" t="n"/>
      <c r="M714" s="5" t="n"/>
      <c r="N714" s="5" t="n"/>
      <c r="O714" s="5" t="n"/>
      <c r="Q714" s="10">
        <f>IF(TRIM(G714&amp;"")="","",TRIM(G714&amp;""))</f>
        <v/>
      </c>
      <c r="R714" s="10">
        <f>IF(TRIM(B714&amp;"")="","",IFERROR(INDEX(설정_코드표!$K$2:$K$101,MATCH(TRIM(B714&amp;""),설정_코드표!$J$2:$J$101,0)),"⚠"&amp;TRIM(B714&amp;"")))</f>
        <v/>
      </c>
      <c r="S714" s="10">
        <f>IF(TRIM(K714&amp;"")="","",IFERROR(INDEX(설정_코드표!$K$2:$K$101,MATCH(TRIM(K714&amp;""),설정_코드표!$J$2:$J$101,0)),"⚠"&amp;TRIM(K714&amp;"")))</f>
        <v/>
      </c>
      <c r="T714" s="10">
        <f>IF(TRIM(M714&amp;"")="","",IF(ISNUMBER(MATCH(TRIM(M714&amp;""),설정_코드표!$C$2:$C$11,0)),TRIM(M714&amp;""),"⚠"&amp;TRIM(M714&amp;"")))</f>
        <v/>
      </c>
      <c r="U714" s="10">
        <f>IF(TRIM(L714&amp;"")="","",IFERROR(INDEX(설정_코드표!$G$2:$G$101,MATCH(TRIM(L714&amp;""),설정_코드표!$F$2:$F$101,0)),"⚠"&amp;TRIM(L714&amp;"")))</f>
        <v/>
      </c>
      <c r="V714" s="10">
        <f>IF(AND(ISNUMBER(H714),ISNUMBER(I714)),I714-H714+1,"")</f>
        <v/>
      </c>
      <c r="W714" s="17">
        <f>IF(ISNUMBER(H714),MAX(0,MIN(IF(ISNUMBER(I714),I714,EOMONTH(출력_요약!$B$3,0)),EOMONTH(출력_요약!$B$3,0))-MAX(H714,출력_요약!$B$3)+1),0)</f>
        <v/>
      </c>
      <c r="X714" s="10">
        <f>IF(OR(NOT(ISNUMBER(H714)),Q714=""),"",IF(TODAY()&lt;H714,"파견예정",IF(AND(ISNUMBER(I714),TODAY()&gt;I714),"파견종료","파견중")))</f>
        <v/>
      </c>
      <c r="Y714" s="10">
        <f>IF(OR(Q714="",X714=""),"",Q714&amp;"|"&amp;X714)</f>
        <v/>
      </c>
      <c r="Z714" s="10">
        <f>IF(AND(Q714&lt;&gt;"",W714&gt;0),Q714&amp;"|월","")</f>
        <v/>
      </c>
      <c r="AA714" s="10">
        <f>IF(COUNTA(B714:I714,K714:N714)=0,"",IF(Q714="","등록번호 없음",IF(LEFT(R714,1)="⚠","모병원명 미등록",IF(S714="","파견병원 입력",IF(LEFT(S714,1)="⚠","파견병원명 미등록",IF(LEFT(U714,1)="⚠","파견과목 미등록",IF(OR(T714="",LEFT(T714,1)="⚠"),"파견근거 확인",IF(NOT(AND(ISNUMBER(H714),ISNUMBER(I714))),"날짜 형식/누락",IF(I714&lt;H714,"종료일&lt;시작일","")))))))))</f>
        <v/>
      </c>
      <c r="AB714" s="11">
        <f>IF(ISNUMBER(SEARCH("다기관",TRIM(N714&amp;" "&amp;O714))),IFERROR(DATE(VALUE(MID(TRIM(N714&amp;" "&amp;O714),1,4)),VALUE(MID(TRIM(N714&amp;" "&amp;O714),6,2)),VALUE(MID(TRIM(N714&amp;" "&amp;O714),9,2))),IF(ISNUMBER(H714),H714,"")),"")</f>
        <v/>
      </c>
      <c r="AC714" s="11">
        <f>IF(ISNUMBER(SEARCH("다기관",TRIM(N714&amp;" "&amp;O714))),IFERROR(DATE(VALUE(MID(TRIM(N714&amp;" "&amp;O714),12,4)),VALUE(MID(TRIM(N714&amp;" "&amp;O714),17,2)),VALUE(MID(TRIM(N714&amp;" "&amp;O714),20,2))),IF(ISNUMBER(I714),I714,"")),"")</f>
        <v/>
      </c>
      <c r="AD714" s="17">
        <f>IF(AND(ISNUMBER(AB714),ISNUMBER(AC714)),MAX(0,MIN(AC714,EOMONTH(출력_요약!$B$3,0))-MAX(AB714,출력_요약!$B$3)+1),0)</f>
        <v/>
      </c>
      <c r="AE714" s="10">
        <f>IF(AND(Q714&lt;&gt;"",ISNUMBER(AB714)),Q714&amp;"|다기관","")</f>
        <v/>
      </c>
    </row>
    <row r="715">
      <c r="A715" s="15">
        <f>IF(F715="","",ROW()-3)</f>
        <v/>
      </c>
      <c r="B715" s="5" t="n"/>
      <c r="C715" s="15" t="n"/>
      <c r="D715" s="5" t="n"/>
      <c r="E715" s="15" t="n"/>
      <c r="F715" s="5" t="n"/>
      <c r="G715" s="6" t="n"/>
      <c r="H715" s="16" t="n"/>
      <c r="I715" s="16" t="n"/>
      <c r="J715" s="15">
        <f>IF(AND(ISNUMBER(H715),ISNUMBER(I715)),I715-H715+1,"")</f>
        <v/>
      </c>
      <c r="K715" s="5" t="n"/>
      <c r="L715" s="5" t="n"/>
      <c r="M715" s="5" t="n"/>
      <c r="N715" s="5" t="n"/>
      <c r="O715" s="5" t="n"/>
      <c r="Q715" s="10">
        <f>IF(TRIM(G715&amp;"")="","",TRIM(G715&amp;""))</f>
        <v/>
      </c>
      <c r="R715" s="10">
        <f>IF(TRIM(B715&amp;"")="","",IFERROR(INDEX(설정_코드표!$K$2:$K$101,MATCH(TRIM(B715&amp;""),설정_코드표!$J$2:$J$101,0)),"⚠"&amp;TRIM(B715&amp;"")))</f>
        <v/>
      </c>
      <c r="S715" s="10">
        <f>IF(TRIM(K715&amp;"")="","",IFERROR(INDEX(설정_코드표!$K$2:$K$101,MATCH(TRIM(K715&amp;""),설정_코드표!$J$2:$J$101,0)),"⚠"&amp;TRIM(K715&amp;"")))</f>
        <v/>
      </c>
      <c r="T715" s="10">
        <f>IF(TRIM(M715&amp;"")="","",IF(ISNUMBER(MATCH(TRIM(M715&amp;""),설정_코드표!$C$2:$C$11,0)),TRIM(M715&amp;""),"⚠"&amp;TRIM(M715&amp;"")))</f>
        <v/>
      </c>
      <c r="U715" s="10">
        <f>IF(TRIM(L715&amp;"")="","",IFERROR(INDEX(설정_코드표!$G$2:$G$101,MATCH(TRIM(L715&amp;""),설정_코드표!$F$2:$F$101,0)),"⚠"&amp;TRIM(L715&amp;"")))</f>
        <v/>
      </c>
      <c r="V715" s="10">
        <f>IF(AND(ISNUMBER(H715),ISNUMBER(I715)),I715-H715+1,"")</f>
        <v/>
      </c>
      <c r="W715" s="17">
        <f>IF(ISNUMBER(H715),MAX(0,MIN(IF(ISNUMBER(I715),I715,EOMONTH(출력_요약!$B$3,0)),EOMONTH(출력_요약!$B$3,0))-MAX(H715,출력_요약!$B$3)+1),0)</f>
        <v/>
      </c>
      <c r="X715" s="10">
        <f>IF(OR(NOT(ISNUMBER(H715)),Q715=""),"",IF(TODAY()&lt;H715,"파견예정",IF(AND(ISNUMBER(I715),TODAY()&gt;I715),"파견종료","파견중")))</f>
        <v/>
      </c>
      <c r="Y715" s="10">
        <f>IF(OR(Q715="",X715=""),"",Q715&amp;"|"&amp;X715)</f>
        <v/>
      </c>
      <c r="Z715" s="10">
        <f>IF(AND(Q715&lt;&gt;"",W715&gt;0),Q715&amp;"|월","")</f>
        <v/>
      </c>
      <c r="AA715" s="10">
        <f>IF(COUNTA(B715:I715,K715:N715)=0,"",IF(Q715="","등록번호 없음",IF(LEFT(R715,1)="⚠","모병원명 미등록",IF(S715="","파견병원 입력",IF(LEFT(S715,1)="⚠","파견병원명 미등록",IF(LEFT(U715,1)="⚠","파견과목 미등록",IF(OR(T715="",LEFT(T715,1)="⚠"),"파견근거 확인",IF(NOT(AND(ISNUMBER(H715),ISNUMBER(I715))),"날짜 형식/누락",IF(I715&lt;H715,"종료일&lt;시작일","")))))))))</f>
        <v/>
      </c>
      <c r="AB715" s="11">
        <f>IF(ISNUMBER(SEARCH("다기관",TRIM(N715&amp;" "&amp;O715))),IFERROR(DATE(VALUE(MID(TRIM(N715&amp;" "&amp;O715),1,4)),VALUE(MID(TRIM(N715&amp;" "&amp;O715),6,2)),VALUE(MID(TRIM(N715&amp;" "&amp;O715),9,2))),IF(ISNUMBER(H715),H715,"")),"")</f>
        <v/>
      </c>
      <c r="AC715" s="11">
        <f>IF(ISNUMBER(SEARCH("다기관",TRIM(N715&amp;" "&amp;O715))),IFERROR(DATE(VALUE(MID(TRIM(N715&amp;" "&amp;O715),12,4)),VALUE(MID(TRIM(N715&amp;" "&amp;O715),17,2)),VALUE(MID(TRIM(N715&amp;" "&amp;O715),20,2))),IF(ISNUMBER(I715),I715,"")),"")</f>
        <v/>
      </c>
      <c r="AD715" s="17">
        <f>IF(AND(ISNUMBER(AB715),ISNUMBER(AC715)),MAX(0,MIN(AC715,EOMONTH(출력_요약!$B$3,0))-MAX(AB715,출력_요약!$B$3)+1),0)</f>
        <v/>
      </c>
      <c r="AE715" s="10">
        <f>IF(AND(Q715&lt;&gt;"",ISNUMBER(AB715)),Q715&amp;"|다기관","")</f>
        <v/>
      </c>
    </row>
    <row r="716">
      <c r="A716" s="15">
        <f>IF(F716="","",ROW()-3)</f>
        <v/>
      </c>
      <c r="B716" s="5" t="n"/>
      <c r="C716" s="15" t="n"/>
      <c r="D716" s="5" t="n"/>
      <c r="E716" s="15" t="n"/>
      <c r="F716" s="5" t="n"/>
      <c r="G716" s="6" t="n"/>
      <c r="H716" s="16" t="n"/>
      <c r="I716" s="16" t="n"/>
      <c r="J716" s="15">
        <f>IF(AND(ISNUMBER(H716),ISNUMBER(I716)),I716-H716+1,"")</f>
        <v/>
      </c>
      <c r="K716" s="5" t="n"/>
      <c r="L716" s="5" t="n"/>
      <c r="M716" s="5" t="n"/>
      <c r="N716" s="5" t="n"/>
      <c r="O716" s="5" t="n"/>
      <c r="Q716" s="10">
        <f>IF(TRIM(G716&amp;"")="","",TRIM(G716&amp;""))</f>
        <v/>
      </c>
      <c r="R716" s="10">
        <f>IF(TRIM(B716&amp;"")="","",IFERROR(INDEX(설정_코드표!$K$2:$K$101,MATCH(TRIM(B716&amp;""),설정_코드표!$J$2:$J$101,0)),"⚠"&amp;TRIM(B716&amp;"")))</f>
        <v/>
      </c>
      <c r="S716" s="10">
        <f>IF(TRIM(K716&amp;"")="","",IFERROR(INDEX(설정_코드표!$K$2:$K$101,MATCH(TRIM(K716&amp;""),설정_코드표!$J$2:$J$101,0)),"⚠"&amp;TRIM(K716&amp;"")))</f>
        <v/>
      </c>
      <c r="T716" s="10">
        <f>IF(TRIM(M716&amp;"")="","",IF(ISNUMBER(MATCH(TRIM(M716&amp;""),설정_코드표!$C$2:$C$11,0)),TRIM(M716&amp;""),"⚠"&amp;TRIM(M716&amp;"")))</f>
        <v/>
      </c>
      <c r="U716" s="10">
        <f>IF(TRIM(L716&amp;"")="","",IFERROR(INDEX(설정_코드표!$G$2:$G$101,MATCH(TRIM(L716&amp;""),설정_코드표!$F$2:$F$101,0)),"⚠"&amp;TRIM(L716&amp;"")))</f>
        <v/>
      </c>
      <c r="V716" s="10">
        <f>IF(AND(ISNUMBER(H716),ISNUMBER(I716)),I716-H716+1,"")</f>
        <v/>
      </c>
      <c r="W716" s="17">
        <f>IF(ISNUMBER(H716),MAX(0,MIN(IF(ISNUMBER(I716),I716,EOMONTH(출력_요약!$B$3,0)),EOMONTH(출력_요약!$B$3,0))-MAX(H716,출력_요약!$B$3)+1),0)</f>
        <v/>
      </c>
      <c r="X716" s="10">
        <f>IF(OR(NOT(ISNUMBER(H716)),Q716=""),"",IF(TODAY()&lt;H716,"파견예정",IF(AND(ISNUMBER(I716),TODAY()&gt;I716),"파견종료","파견중")))</f>
        <v/>
      </c>
      <c r="Y716" s="10">
        <f>IF(OR(Q716="",X716=""),"",Q716&amp;"|"&amp;X716)</f>
        <v/>
      </c>
      <c r="Z716" s="10">
        <f>IF(AND(Q716&lt;&gt;"",W716&gt;0),Q716&amp;"|월","")</f>
        <v/>
      </c>
      <c r="AA716" s="10">
        <f>IF(COUNTA(B716:I716,K716:N716)=0,"",IF(Q716="","등록번호 없음",IF(LEFT(R716,1)="⚠","모병원명 미등록",IF(S716="","파견병원 입력",IF(LEFT(S716,1)="⚠","파견병원명 미등록",IF(LEFT(U716,1)="⚠","파견과목 미등록",IF(OR(T716="",LEFT(T716,1)="⚠"),"파견근거 확인",IF(NOT(AND(ISNUMBER(H716),ISNUMBER(I716))),"날짜 형식/누락",IF(I716&lt;H716,"종료일&lt;시작일","")))))))))</f>
        <v/>
      </c>
      <c r="AB716" s="11">
        <f>IF(ISNUMBER(SEARCH("다기관",TRIM(N716&amp;" "&amp;O716))),IFERROR(DATE(VALUE(MID(TRIM(N716&amp;" "&amp;O716),1,4)),VALUE(MID(TRIM(N716&amp;" "&amp;O716),6,2)),VALUE(MID(TRIM(N716&amp;" "&amp;O716),9,2))),IF(ISNUMBER(H716),H716,"")),"")</f>
        <v/>
      </c>
      <c r="AC716" s="11">
        <f>IF(ISNUMBER(SEARCH("다기관",TRIM(N716&amp;" "&amp;O716))),IFERROR(DATE(VALUE(MID(TRIM(N716&amp;" "&amp;O716),12,4)),VALUE(MID(TRIM(N716&amp;" "&amp;O716),17,2)),VALUE(MID(TRIM(N716&amp;" "&amp;O716),20,2))),IF(ISNUMBER(I716),I716,"")),"")</f>
        <v/>
      </c>
      <c r="AD716" s="17">
        <f>IF(AND(ISNUMBER(AB716),ISNUMBER(AC716)),MAX(0,MIN(AC716,EOMONTH(출력_요약!$B$3,0))-MAX(AB716,출력_요약!$B$3)+1),0)</f>
        <v/>
      </c>
      <c r="AE716" s="10">
        <f>IF(AND(Q716&lt;&gt;"",ISNUMBER(AB716)),Q716&amp;"|다기관","")</f>
        <v/>
      </c>
    </row>
    <row r="717">
      <c r="A717" s="15">
        <f>IF(F717="","",ROW()-3)</f>
        <v/>
      </c>
      <c r="B717" s="5" t="n"/>
      <c r="C717" s="15" t="n"/>
      <c r="D717" s="5" t="n"/>
      <c r="E717" s="15" t="n"/>
      <c r="F717" s="5" t="n"/>
      <c r="G717" s="6" t="n"/>
      <c r="H717" s="16" t="n"/>
      <c r="I717" s="16" t="n"/>
      <c r="J717" s="15">
        <f>IF(AND(ISNUMBER(H717),ISNUMBER(I717)),I717-H717+1,"")</f>
        <v/>
      </c>
      <c r="K717" s="5" t="n"/>
      <c r="L717" s="5" t="n"/>
      <c r="M717" s="5" t="n"/>
      <c r="N717" s="5" t="n"/>
      <c r="O717" s="5" t="n"/>
      <c r="Q717" s="10">
        <f>IF(TRIM(G717&amp;"")="","",TRIM(G717&amp;""))</f>
        <v/>
      </c>
      <c r="R717" s="10">
        <f>IF(TRIM(B717&amp;"")="","",IFERROR(INDEX(설정_코드표!$K$2:$K$101,MATCH(TRIM(B717&amp;""),설정_코드표!$J$2:$J$101,0)),"⚠"&amp;TRIM(B717&amp;"")))</f>
        <v/>
      </c>
      <c r="S717" s="10">
        <f>IF(TRIM(K717&amp;"")="","",IFERROR(INDEX(설정_코드표!$K$2:$K$101,MATCH(TRIM(K717&amp;""),설정_코드표!$J$2:$J$101,0)),"⚠"&amp;TRIM(K717&amp;"")))</f>
        <v/>
      </c>
      <c r="T717" s="10">
        <f>IF(TRIM(M717&amp;"")="","",IF(ISNUMBER(MATCH(TRIM(M717&amp;""),설정_코드표!$C$2:$C$11,0)),TRIM(M717&amp;""),"⚠"&amp;TRIM(M717&amp;"")))</f>
        <v/>
      </c>
      <c r="U717" s="10">
        <f>IF(TRIM(L717&amp;"")="","",IFERROR(INDEX(설정_코드표!$G$2:$G$101,MATCH(TRIM(L717&amp;""),설정_코드표!$F$2:$F$101,0)),"⚠"&amp;TRIM(L717&amp;"")))</f>
        <v/>
      </c>
      <c r="V717" s="10">
        <f>IF(AND(ISNUMBER(H717),ISNUMBER(I717)),I717-H717+1,"")</f>
        <v/>
      </c>
      <c r="W717" s="17">
        <f>IF(ISNUMBER(H717),MAX(0,MIN(IF(ISNUMBER(I717),I717,EOMONTH(출력_요약!$B$3,0)),EOMONTH(출력_요약!$B$3,0))-MAX(H717,출력_요약!$B$3)+1),0)</f>
        <v/>
      </c>
      <c r="X717" s="10">
        <f>IF(OR(NOT(ISNUMBER(H717)),Q717=""),"",IF(TODAY()&lt;H717,"파견예정",IF(AND(ISNUMBER(I717),TODAY()&gt;I717),"파견종료","파견중")))</f>
        <v/>
      </c>
      <c r="Y717" s="10">
        <f>IF(OR(Q717="",X717=""),"",Q717&amp;"|"&amp;X717)</f>
        <v/>
      </c>
      <c r="Z717" s="10">
        <f>IF(AND(Q717&lt;&gt;"",W717&gt;0),Q717&amp;"|월","")</f>
        <v/>
      </c>
      <c r="AA717" s="10">
        <f>IF(COUNTA(B717:I717,K717:N717)=0,"",IF(Q717="","등록번호 없음",IF(LEFT(R717,1)="⚠","모병원명 미등록",IF(S717="","파견병원 입력",IF(LEFT(S717,1)="⚠","파견병원명 미등록",IF(LEFT(U717,1)="⚠","파견과목 미등록",IF(OR(T717="",LEFT(T717,1)="⚠"),"파견근거 확인",IF(NOT(AND(ISNUMBER(H717),ISNUMBER(I717))),"날짜 형식/누락",IF(I717&lt;H717,"종료일&lt;시작일","")))))))))</f>
        <v/>
      </c>
      <c r="AB717" s="11">
        <f>IF(ISNUMBER(SEARCH("다기관",TRIM(N717&amp;" "&amp;O717))),IFERROR(DATE(VALUE(MID(TRIM(N717&amp;" "&amp;O717),1,4)),VALUE(MID(TRIM(N717&amp;" "&amp;O717),6,2)),VALUE(MID(TRIM(N717&amp;" "&amp;O717),9,2))),IF(ISNUMBER(H717),H717,"")),"")</f>
        <v/>
      </c>
      <c r="AC717" s="11">
        <f>IF(ISNUMBER(SEARCH("다기관",TRIM(N717&amp;" "&amp;O717))),IFERROR(DATE(VALUE(MID(TRIM(N717&amp;" "&amp;O717),12,4)),VALUE(MID(TRIM(N717&amp;" "&amp;O717),17,2)),VALUE(MID(TRIM(N717&amp;" "&amp;O717),20,2))),IF(ISNUMBER(I717),I717,"")),"")</f>
        <v/>
      </c>
      <c r="AD717" s="17">
        <f>IF(AND(ISNUMBER(AB717),ISNUMBER(AC717)),MAX(0,MIN(AC717,EOMONTH(출력_요약!$B$3,0))-MAX(AB717,출력_요약!$B$3)+1),0)</f>
        <v/>
      </c>
      <c r="AE717" s="10">
        <f>IF(AND(Q717&lt;&gt;"",ISNUMBER(AB717)),Q717&amp;"|다기관","")</f>
        <v/>
      </c>
    </row>
    <row r="718">
      <c r="A718" s="15">
        <f>IF(F718="","",ROW()-3)</f>
        <v/>
      </c>
      <c r="B718" s="5" t="n"/>
      <c r="C718" s="15" t="n"/>
      <c r="D718" s="5" t="n"/>
      <c r="E718" s="15" t="n"/>
      <c r="F718" s="5" t="n"/>
      <c r="G718" s="6" t="n"/>
      <c r="H718" s="16" t="n"/>
      <c r="I718" s="16" t="n"/>
      <c r="J718" s="15">
        <f>IF(AND(ISNUMBER(H718),ISNUMBER(I718)),I718-H718+1,"")</f>
        <v/>
      </c>
      <c r="K718" s="5" t="n"/>
      <c r="L718" s="5" t="n"/>
      <c r="M718" s="5" t="n"/>
      <c r="N718" s="5" t="n"/>
      <c r="O718" s="5" t="n"/>
      <c r="Q718" s="10">
        <f>IF(TRIM(G718&amp;"")="","",TRIM(G718&amp;""))</f>
        <v/>
      </c>
      <c r="R718" s="10">
        <f>IF(TRIM(B718&amp;"")="","",IFERROR(INDEX(설정_코드표!$K$2:$K$101,MATCH(TRIM(B718&amp;""),설정_코드표!$J$2:$J$101,0)),"⚠"&amp;TRIM(B718&amp;"")))</f>
        <v/>
      </c>
      <c r="S718" s="10">
        <f>IF(TRIM(K718&amp;"")="","",IFERROR(INDEX(설정_코드표!$K$2:$K$101,MATCH(TRIM(K718&amp;""),설정_코드표!$J$2:$J$101,0)),"⚠"&amp;TRIM(K718&amp;"")))</f>
        <v/>
      </c>
      <c r="T718" s="10">
        <f>IF(TRIM(M718&amp;"")="","",IF(ISNUMBER(MATCH(TRIM(M718&amp;""),설정_코드표!$C$2:$C$11,0)),TRIM(M718&amp;""),"⚠"&amp;TRIM(M718&amp;"")))</f>
        <v/>
      </c>
      <c r="U718" s="10">
        <f>IF(TRIM(L718&amp;"")="","",IFERROR(INDEX(설정_코드표!$G$2:$G$101,MATCH(TRIM(L718&amp;""),설정_코드표!$F$2:$F$101,0)),"⚠"&amp;TRIM(L718&amp;"")))</f>
        <v/>
      </c>
      <c r="V718" s="10">
        <f>IF(AND(ISNUMBER(H718),ISNUMBER(I718)),I718-H718+1,"")</f>
        <v/>
      </c>
      <c r="W718" s="17">
        <f>IF(ISNUMBER(H718),MAX(0,MIN(IF(ISNUMBER(I718),I718,EOMONTH(출력_요약!$B$3,0)),EOMONTH(출력_요약!$B$3,0))-MAX(H718,출력_요약!$B$3)+1),0)</f>
        <v/>
      </c>
      <c r="X718" s="10">
        <f>IF(OR(NOT(ISNUMBER(H718)),Q718=""),"",IF(TODAY()&lt;H718,"파견예정",IF(AND(ISNUMBER(I718),TODAY()&gt;I718),"파견종료","파견중")))</f>
        <v/>
      </c>
      <c r="Y718" s="10">
        <f>IF(OR(Q718="",X718=""),"",Q718&amp;"|"&amp;X718)</f>
        <v/>
      </c>
      <c r="Z718" s="10">
        <f>IF(AND(Q718&lt;&gt;"",W718&gt;0),Q718&amp;"|월","")</f>
        <v/>
      </c>
      <c r="AA718" s="10">
        <f>IF(COUNTA(B718:I718,K718:N718)=0,"",IF(Q718="","등록번호 없음",IF(LEFT(R718,1)="⚠","모병원명 미등록",IF(S718="","파견병원 입력",IF(LEFT(S718,1)="⚠","파견병원명 미등록",IF(LEFT(U718,1)="⚠","파견과목 미등록",IF(OR(T718="",LEFT(T718,1)="⚠"),"파견근거 확인",IF(NOT(AND(ISNUMBER(H718),ISNUMBER(I718))),"날짜 형식/누락",IF(I718&lt;H718,"종료일&lt;시작일","")))))))))</f>
        <v/>
      </c>
      <c r="AB718" s="11">
        <f>IF(ISNUMBER(SEARCH("다기관",TRIM(N718&amp;" "&amp;O718))),IFERROR(DATE(VALUE(MID(TRIM(N718&amp;" "&amp;O718),1,4)),VALUE(MID(TRIM(N718&amp;" "&amp;O718),6,2)),VALUE(MID(TRIM(N718&amp;" "&amp;O718),9,2))),IF(ISNUMBER(H718),H718,"")),"")</f>
        <v/>
      </c>
      <c r="AC718" s="11">
        <f>IF(ISNUMBER(SEARCH("다기관",TRIM(N718&amp;" "&amp;O718))),IFERROR(DATE(VALUE(MID(TRIM(N718&amp;" "&amp;O718),12,4)),VALUE(MID(TRIM(N718&amp;" "&amp;O718),17,2)),VALUE(MID(TRIM(N718&amp;" "&amp;O718),20,2))),IF(ISNUMBER(I718),I718,"")),"")</f>
        <v/>
      </c>
      <c r="AD718" s="17">
        <f>IF(AND(ISNUMBER(AB718),ISNUMBER(AC718)),MAX(0,MIN(AC718,EOMONTH(출력_요약!$B$3,0))-MAX(AB718,출력_요약!$B$3)+1),0)</f>
        <v/>
      </c>
      <c r="AE718" s="10">
        <f>IF(AND(Q718&lt;&gt;"",ISNUMBER(AB718)),Q718&amp;"|다기관","")</f>
        <v/>
      </c>
    </row>
    <row r="719">
      <c r="A719" s="15">
        <f>IF(F719="","",ROW()-3)</f>
        <v/>
      </c>
      <c r="B719" s="5" t="n"/>
      <c r="C719" s="15" t="n"/>
      <c r="D719" s="5" t="n"/>
      <c r="E719" s="15" t="n"/>
      <c r="F719" s="5" t="n"/>
      <c r="G719" s="6" t="n"/>
      <c r="H719" s="16" t="n"/>
      <c r="I719" s="16" t="n"/>
      <c r="J719" s="15">
        <f>IF(AND(ISNUMBER(H719),ISNUMBER(I719)),I719-H719+1,"")</f>
        <v/>
      </c>
      <c r="K719" s="5" t="n"/>
      <c r="L719" s="5" t="n"/>
      <c r="M719" s="5" t="n"/>
      <c r="N719" s="5" t="n"/>
      <c r="O719" s="5" t="n"/>
      <c r="Q719" s="10">
        <f>IF(TRIM(G719&amp;"")="","",TRIM(G719&amp;""))</f>
        <v/>
      </c>
      <c r="R719" s="10">
        <f>IF(TRIM(B719&amp;"")="","",IFERROR(INDEX(설정_코드표!$K$2:$K$101,MATCH(TRIM(B719&amp;""),설정_코드표!$J$2:$J$101,0)),"⚠"&amp;TRIM(B719&amp;"")))</f>
        <v/>
      </c>
      <c r="S719" s="10">
        <f>IF(TRIM(K719&amp;"")="","",IFERROR(INDEX(설정_코드표!$K$2:$K$101,MATCH(TRIM(K719&amp;""),설정_코드표!$J$2:$J$101,0)),"⚠"&amp;TRIM(K719&amp;"")))</f>
        <v/>
      </c>
      <c r="T719" s="10">
        <f>IF(TRIM(M719&amp;"")="","",IF(ISNUMBER(MATCH(TRIM(M719&amp;""),설정_코드표!$C$2:$C$11,0)),TRIM(M719&amp;""),"⚠"&amp;TRIM(M719&amp;"")))</f>
        <v/>
      </c>
      <c r="U719" s="10">
        <f>IF(TRIM(L719&amp;"")="","",IFERROR(INDEX(설정_코드표!$G$2:$G$101,MATCH(TRIM(L719&amp;""),설정_코드표!$F$2:$F$101,0)),"⚠"&amp;TRIM(L719&amp;"")))</f>
        <v/>
      </c>
      <c r="V719" s="10">
        <f>IF(AND(ISNUMBER(H719),ISNUMBER(I719)),I719-H719+1,"")</f>
        <v/>
      </c>
      <c r="W719" s="17">
        <f>IF(ISNUMBER(H719),MAX(0,MIN(IF(ISNUMBER(I719),I719,EOMONTH(출력_요약!$B$3,0)),EOMONTH(출력_요약!$B$3,0))-MAX(H719,출력_요약!$B$3)+1),0)</f>
        <v/>
      </c>
      <c r="X719" s="10">
        <f>IF(OR(NOT(ISNUMBER(H719)),Q719=""),"",IF(TODAY()&lt;H719,"파견예정",IF(AND(ISNUMBER(I719),TODAY()&gt;I719),"파견종료","파견중")))</f>
        <v/>
      </c>
      <c r="Y719" s="10">
        <f>IF(OR(Q719="",X719=""),"",Q719&amp;"|"&amp;X719)</f>
        <v/>
      </c>
      <c r="Z719" s="10">
        <f>IF(AND(Q719&lt;&gt;"",W719&gt;0),Q719&amp;"|월","")</f>
        <v/>
      </c>
      <c r="AA719" s="10">
        <f>IF(COUNTA(B719:I719,K719:N719)=0,"",IF(Q719="","등록번호 없음",IF(LEFT(R719,1)="⚠","모병원명 미등록",IF(S719="","파견병원 입력",IF(LEFT(S719,1)="⚠","파견병원명 미등록",IF(LEFT(U719,1)="⚠","파견과목 미등록",IF(OR(T719="",LEFT(T719,1)="⚠"),"파견근거 확인",IF(NOT(AND(ISNUMBER(H719),ISNUMBER(I719))),"날짜 형식/누락",IF(I719&lt;H719,"종료일&lt;시작일","")))))))))</f>
        <v/>
      </c>
      <c r="AB719" s="11">
        <f>IF(ISNUMBER(SEARCH("다기관",TRIM(N719&amp;" "&amp;O719))),IFERROR(DATE(VALUE(MID(TRIM(N719&amp;" "&amp;O719),1,4)),VALUE(MID(TRIM(N719&amp;" "&amp;O719),6,2)),VALUE(MID(TRIM(N719&amp;" "&amp;O719),9,2))),IF(ISNUMBER(H719),H719,"")),"")</f>
        <v/>
      </c>
      <c r="AC719" s="11">
        <f>IF(ISNUMBER(SEARCH("다기관",TRIM(N719&amp;" "&amp;O719))),IFERROR(DATE(VALUE(MID(TRIM(N719&amp;" "&amp;O719),12,4)),VALUE(MID(TRIM(N719&amp;" "&amp;O719),17,2)),VALUE(MID(TRIM(N719&amp;" "&amp;O719),20,2))),IF(ISNUMBER(I719),I719,"")),"")</f>
        <v/>
      </c>
      <c r="AD719" s="17">
        <f>IF(AND(ISNUMBER(AB719),ISNUMBER(AC719)),MAX(0,MIN(AC719,EOMONTH(출력_요약!$B$3,0))-MAX(AB719,출력_요약!$B$3)+1),0)</f>
        <v/>
      </c>
      <c r="AE719" s="10">
        <f>IF(AND(Q719&lt;&gt;"",ISNUMBER(AB719)),Q719&amp;"|다기관","")</f>
        <v/>
      </c>
    </row>
    <row r="720">
      <c r="A720" s="15">
        <f>IF(F720="","",ROW()-3)</f>
        <v/>
      </c>
      <c r="B720" s="5" t="n"/>
      <c r="C720" s="15" t="n"/>
      <c r="D720" s="5" t="n"/>
      <c r="E720" s="15" t="n"/>
      <c r="F720" s="5" t="n"/>
      <c r="G720" s="6" t="n"/>
      <c r="H720" s="16" t="n"/>
      <c r="I720" s="16" t="n"/>
      <c r="J720" s="15">
        <f>IF(AND(ISNUMBER(H720),ISNUMBER(I720)),I720-H720+1,"")</f>
        <v/>
      </c>
      <c r="K720" s="5" t="n"/>
      <c r="L720" s="5" t="n"/>
      <c r="M720" s="5" t="n"/>
      <c r="N720" s="5" t="n"/>
      <c r="O720" s="5" t="n"/>
      <c r="Q720" s="10">
        <f>IF(TRIM(G720&amp;"")="","",TRIM(G720&amp;""))</f>
        <v/>
      </c>
      <c r="R720" s="10">
        <f>IF(TRIM(B720&amp;"")="","",IFERROR(INDEX(설정_코드표!$K$2:$K$101,MATCH(TRIM(B720&amp;""),설정_코드표!$J$2:$J$101,0)),"⚠"&amp;TRIM(B720&amp;"")))</f>
        <v/>
      </c>
      <c r="S720" s="10">
        <f>IF(TRIM(K720&amp;"")="","",IFERROR(INDEX(설정_코드표!$K$2:$K$101,MATCH(TRIM(K720&amp;""),설정_코드표!$J$2:$J$101,0)),"⚠"&amp;TRIM(K720&amp;"")))</f>
        <v/>
      </c>
      <c r="T720" s="10">
        <f>IF(TRIM(M720&amp;"")="","",IF(ISNUMBER(MATCH(TRIM(M720&amp;""),설정_코드표!$C$2:$C$11,0)),TRIM(M720&amp;""),"⚠"&amp;TRIM(M720&amp;"")))</f>
        <v/>
      </c>
      <c r="U720" s="10">
        <f>IF(TRIM(L720&amp;"")="","",IFERROR(INDEX(설정_코드표!$G$2:$G$101,MATCH(TRIM(L720&amp;""),설정_코드표!$F$2:$F$101,0)),"⚠"&amp;TRIM(L720&amp;"")))</f>
        <v/>
      </c>
      <c r="V720" s="10">
        <f>IF(AND(ISNUMBER(H720),ISNUMBER(I720)),I720-H720+1,"")</f>
        <v/>
      </c>
      <c r="W720" s="17">
        <f>IF(ISNUMBER(H720),MAX(0,MIN(IF(ISNUMBER(I720),I720,EOMONTH(출력_요약!$B$3,0)),EOMONTH(출력_요약!$B$3,0))-MAX(H720,출력_요약!$B$3)+1),0)</f>
        <v/>
      </c>
      <c r="X720" s="10">
        <f>IF(OR(NOT(ISNUMBER(H720)),Q720=""),"",IF(TODAY()&lt;H720,"파견예정",IF(AND(ISNUMBER(I720),TODAY()&gt;I720),"파견종료","파견중")))</f>
        <v/>
      </c>
      <c r="Y720" s="10">
        <f>IF(OR(Q720="",X720=""),"",Q720&amp;"|"&amp;X720)</f>
        <v/>
      </c>
      <c r="Z720" s="10">
        <f>IF(AND(Q720&lt;&gt;"",W720&gt;0),Q720&amp;"|월","")</f>
        <v/>
      </c>
      <c r="AA720" s="10">
        <f>IF(COUNTA(B720:I720,K720:N720)=0,"",IF(Q720="","등록번호 없음",IF(LEFT(R720,1)="⚠","모병원명 미등록",IF(S720="","파견병원 입력",IF(LEFT(S720,1)="⚠","파견병원명 미등록",IF(LEFT(U720,1)="⚠","파견과목 미등록",IF(OR(T720="",LEFT(T720,1)="⚠"),"파견근거 확인",IF(NOT(AND(ISNUMBER(H720),ISNUMBER(I720))),"날짜 형식/누락",IF(I720&lt;H720,"종료일&lt;시작일","")))))))))</f>
        <v/>
      </c>
      <c r="AB720" s="11">
        <f>IF(ISNUMBER(SEARCH("다기관",TRIM(N720&amp;" "&amp;O720))),IFERROR(DATE(VALUE(MID(TRIM(N720&amp;" "&amp;O720),1,4)),VALUE(MID(TRIM(N720&amp;" "&amp;O720),6,2)),VALUE(MID(TRIM(N720&amp;" "&amp;O720),9,2))),IF(ISNUMBER(H720),H720,"")),"")</f>
        <v/>
      </c>
      <c r="AC720" s="11">
        <f>IF(ISNUMBER(SEARCH("다기관",TRIM(N720&amp;" "&amp;O720))),IFERROR(DATE(VALUE(MID(TRIM(N720&amp;" "&amp;O720),12,4)),VALUE(MID(TRIM(N720&amp;" "&amp;O720),17,2)),VALUE(MID(TRIM(N720&amp;" "&amp;O720),20,2))),IF(ISNUMBER(I720),I720,"")),"")</f>
        <v/>
      </c>
      <c r="AD720" s="17">
        <f>IF(AND(ISNUMBER(AB720),ISNUMBER(AC720)),MAX(0,MIN(AC720,EOMONTH(출력_요약!$B$3,0))-MAX(AB720,출력_요약!$B$3)+1),0)</f>
        <v/>
      </c>
      <c r="AE720" s="10">
        <f>IF(AND(Q720&lt;&gt;"",ISNUMBER(AB720)),Q720&amp;"|다기관","")</f>
        <v/>
      </c>
    </row>
    <row r="721">
      <c r="A721" s="15">
        <f>IF(F721="","",ROW()-3)</f>
        <v/>
      </c>
      <c r="B721" s="5" t="n"/>
      <c r="C721" s="15" t="n"/>
      <c r="D721" s="5" t="n"/>
      <c r="E721" s="15" t="n"/>
      <c r="F721" s="5" t="n"/>
      <c r="G721" s="6" t="n"/>
      <c r="H721" s="16" t="n"/>
      <c r="I721" s="16" t="n"/>
      <c r="J721" s="15">
        <f>IF(AND(ISNUMBER(H721),ISNUMBER(I721)),I721-H721+1,"")</f>
        <v/>
      </c>
      <c r="K721" s="5" t="n"/>
      <c r="L721" s="5" t="n"/>
      <c r="M721" s="5" t="n"/>
      <c r="N721" s="5" t="n"/>
      <c r="O721" s="5" t="n"/>
      <c r="Q721" s="10">
        <f>IF(TRIM(G721&amp;"")="","",TRIM(G721&amp;""))</f>
        <v/>
      </c>
      <c r="R721" s="10">
        <f>IF(TRIM(B721&amp;"")="","",IFERROR(INDEX(설정_코드표!$K$2:$K$101,MATCH(TRIM(B721&amp;""),설정_코드표!$J$2:$J$101,0)),"⚠"&amp;TRIM(B721&amp;"")))</f>
        <v/>
      </c>
      <c r="S721" s="10">
        <f>IF(TRIM(K721&amp;"")="","",IFERROR(INDEX(설정_코드표!$K$2:$K$101,MATCH(TRIM(K721&amp;""),설정_코드표!$J$2:$J$101,0)),"⚠"&amp;TRIM(K721&amp;"")))</f>
        <v/>
      </c>
      <c r="T721" s="10">
        <f>IF(TRIM(M721&amp;"")="","",IF(ISNUMBER(MATCH(TRIM(M721&amp;""),설정_코드표!$C$2:$C$11,0)),TRIM(M721&amp;""),"⚠"&amp;TRIM(M721&amp;"")))</f>
        <v/>
      </c>
      <c r="U721" s="10">
        <f>IF(TRIM(L721&amp;"")="","",IFERROR(INDEX(설정_코드표!$G$2:$G$101,MATCH(TRIM(L721&amp;""),설정_코드표!$F$2:$F$101,0)),"⚠"&amp;TRIM(L721&amp;"")))</f>
        <v/>
      </c>
      <c r="V721" s="10">
        <f>IF(AND(ISNUMBER(H721),ISNUMBER(I721)),I721-H721+1,"")</f>
        <v/>
      </c>
      <c r="W721" s="17">
        <f>IF(ISNUMBER(H721),MAX(0,MIN(IF(ISNUMBER(I721),I721,EOMONTH(출력_요약!$B$3,0)),EOMONTH(출력_요약!$B$3,0))-MAX(H721,출력_요약!$B$3)+1),0)</f>
        <v/>
      </c>
      <c r="X721" s="10">
        <f>IF(OR(NOT(ISNUMBER(H721)),Q721=""),"",IF(TODAY()&lt;H721,"파견예정",IF(AND(ISNUMBER(I721),TODAY()&gt;I721),"파견종료","파견중")))</f>
        <v/>
      </c>
      <c r="Y721" s="10">
        <f>IF(OR(Q721="",X721=""),"",Q721&amp;"|"&amp;X721)</f>
        <v/>
      </c>
      <c r="Z721" s="10">
        <f>IF(AND(Q721&lt;&gt;"",W721&gt;0),Q721&amp;"|월","")</f>
        <v/>
      </c>
      <c r="AA721" s="10">
        <f>IF(COUNTA(B721:I721,K721:N721)=0,"",IF(Q721="","등록번호 없음",IF(LEFT(R721,1)="⚠","모병원명 미등록",IF(S721="","파견병원 입력",IF(LEFT(S721,1)="⚠","파견병원명 미등록",IF(LEFT(U721,1)="⚠","파견과목 미등록",IF(OR(T721="",LEFT(T721,1)="⚠"),"파견근거 확인",IF(NOT(AND(ISNUMBER(H721),ISNUMBER(I721))),"날짜 형식/누락",IF(I721&lt;H721,"종료일&lt;시작일","")))))))))</f>
        <v/>
      </c>
      <c r="AB721" s="11">
        <f>IF(ISNUMBER(SEARCH("다기관",TRIM(N721&amp;" "&amp;O721))),IFERROR(DATE(VALUE(MID(TRIM(N721&amp;" "&amp;O721),1,4)),VALUE(MID(TRIM(N721&amp;" "&amp;O721),6,2)),VALUE(MID(TRIM(N721&amp;" "&amp;O721),9,2))),IF(ISNUMBER(H721),H721,"")),"")</f>
        <v/>
      </c>
      <c r="AC721" s="11">
        <f>IF(ISNUMBER(SEARCH("다기관",TRIM(N721&amp;" "&amp;O721))),IFERROR(DATE(VALUE(MID(TRIM(N721&amp;" "&amp;O721),12,4)),VALUE(MID(TRIM(N721&amp;" "&amp;O721),17,2)),VALUE(MID(TRIM(N721&amp;" "&amp;O721),20,2))),IF(ISNUMBER(I721),I721,"")),"")</f>
        <v/>
      </c>
      <c r="AD721" s="17">
        <f>IF(AND(ISNUMBER(AB721),ISNUMBER(AC721)),MAX(0,MIN(AC721,EOMONTH(출력_요약!$B$3,0))-MAX(AB721,출력_요약!$B$3)+1),0)</f>
        <v/>
      </c>
      <c r="AE721" s="10">
        <f>IF(AND(Q721&lt;&gt;"",ISNUMBER(AB721)),Q721&amp;"|다기관","")</f>
        <v/>
      </c>
    </row>
    <row r="722">
      <c r="A722" s="15">
        <f>IF(F722="","",ROW()-3)</f>
        <v/>
      </c>
      <c r="B722" s="5" t="n"/>
      <c r="C722" s="15" t="n"/>
      <c r="D722" s="5" t="n"/>
      <c r="E722" s="15" t="n"/>
      <c r="F722" s="5" t="n"/>
      <c r="G722" s="6" t="n"/>
      <c r="H722" s="16" t="n"/>
      <c r="I722" s="16" t="n"/>
      <c r="J722" s="15">
        <f>IF(AND(ISNUMBER(H722),ISNUMBER(I722)),I722-H722+1,"")</f>
        <v/>
      </c>
      <c r="K722" s="5" t="n"/>
      <c r="L722" s="5" t="n"/>
      <c r="M722" s="5" t="n"/>
      <c r="N722" s="5" t="n"/>
      <c r="O722" s="5" t="n"/>
      <c r="Q722" s="10">
        <f>IF(TRIM(G722&amp;"")="","",TRIM(G722&amp;""))</f>
        <v/>
      </c>
      <c r="R722" s="10">
        <f>IF(TRIM(B722&amp;"")="","",IFERROR(INDEX(설정_코드표!$K$2:$K$101,MATCH(TRIM(B722&amp;""),설정_코드표!$J$2:$J$101,0)),"⚠"&amp;TRIM(B722&amp;"")))</f>
        <v/>
      </c>
      <c r="S722" s="10">
        <f>IF(TRIM(K722&amp;"")="","",IFERROR(INDEX(설정_코드표!$K$2:$K$101,MATCH(TRIM(K722&amp;""),설정_코드표!$J$2:$J$101,0)),"⚠"&amp;TRIM(K722&amp;"")))</f>
        <v/>
      </c>
      <c r="T722" s="10">
        <f>IF(TRIM(M722&amp;"")="","",IF(ISNUMBER(MATCH(TRIM(M722&amp;""),설정_코드표!$C$2:$C$11,0)),TRIM(M722&amp;""),"⚠"&amp;TRIM(M722&amp;"")))</f>
        <v/>
      </c>
      <c r="U722" s="10">
        <f>IF(TRIM(L722&amp;"")="","",IFERROR(INDEX(설정_코드표!$G$2:$G$101,MATCH(TRIM(L722&amp;""),설정_코드표!$F$2:$F$101,0)),"⚠"&amp;TRIM(L722&amp;"")))</f>
        <v/>
      </c>
      <c r="V722" s="10">
        <f>IF(AND(ISNUMBER(H722),ISNUMBER(I722)),I722-H722+1,"")</f>
        <v/>
      </c>
      <c r="W722" s="17">
        <f>IF(ISNUMBER(H722),MAX(0,MIN(IF(ISNUMBER(I722),I722,EOMONTH(출력_요약!$B$3,0)),EOMONTH(출력_요약!$B$3,0))-MAX(H722,출력_요약!$B$3)+1),0)</f>
        <v/>
      </c>
      <c r="X722" s="10">
        <f>IF(OR(NOT(ISNUMBER(H722)),Q722=""),"",IF(TODAY()&lt;H722,"파견예정",IF(AND(ISNUMBER(I722),TODAY()&gt;I722),"파견종료","파견중")))</f>
        <v/>
      </c>
      <c r="Y722" s="10">
        <f>IF(OR(Q722="",X722=""),"",Q722&amp;"|"&amp;X722)</f>
        <v/>
      </c>
      <c r="Z722" s="10">
        <f>IF(AND(Q722&lt;&gt;"",W722&gt;0),Q722&amp;"|월","")</f>
        <v/>
      </c>
      <c r="AA722" s="10">
        <f>IF(COUNTA(B722:I722,K722:N722)=0,"",IF(Q722="","등록번호 없음",IF(LEFT(R722,1)="⚠","모병원명 미등록",IF(S722="","파견병원 입력",IF(LEFT(S722,1)="⚠","파견병원명 미등록",IF(LEFT(U722,1)="⚠","파견과목 미등록",IF(OR(T722="",LEFT(T722,1)="⚠"),"파견근거 확인",IF(NOT(AND(ISNUMBER(H722),ISNUMBER(I722))),"날짜 형식/누락",IF(I722&lt;H722,"종료일&lt;시작일","")))))))))</f>
        <v/>
      </c>
      <c r="AB722" s="11">
        <f>IF(ISNUMBER(SEARCH("다기관",TRIM(N722&amp;" "&amp;O722))),IFERROR(DATE(VALUE(MID(TRIM(N722&amp;" "&amp;O722),1,4)),VALUE(MID(TRIM(N722&amp;" "&amp;O722),6,2)),VALUE(MID(TRIM(N722&amp;" "&amp;O722),9,2))),IF(ISNUMBER(H722),H722,"")),"")</f>
        <v/>
      </c>
      <c r="AC722" s="11">
        <f>IF(ISNUMBER(SEARCH("다기관",TRIM(N722&amp;" "&amp;O722))),IFERROR(DATE(VALUE(MID(TRIM(N722&amp;" "&amp;O722),12,4)),VALUE(MID(TRIM(N722&amp;" "&amp;O722),17,2)),VALUE(MID(TRIM(N722&amp;" "&amp;O722),20,2))),IF(ISNUMBER(I722),I722,"")),"")</f>
        <v/>
      </c>
      <c r="AD722" s="17">
        <f>IF(AND(ISNUMBER(AB722),ISNUMBER(AC722)),MAX(0,MIN(AC722,EOMONTH(출력_요약!$B$3,0))-MAX(AB722,출력_요약!$B$3)+1),0)</f>
        <v/>
      </c>
      <c r="AE722" s="10">
        <f>IF(AND(Q722&lt;&gt;"",ISNUMBER(AB722)),Q722&amp;"|다기관","")</f>
        <v/>
      </c>
    </row>
    <row r="723">
      <c r="A723" s="15">
        <f>IF(F723="","",ROW()-3)</f>
        <v/>
      </c>
      <c r="B723" s="5" t="n"/>
      <c r="C723" s="15" t="n"/>
      <c r="D723" s="5" t="n"/>
      <c r="E723" s="15" t="n"/>
      <c r="F723" s="5" t="n"/>
      <c r="G723" s="6" t="n"/>
      <c r="H723" s="16" t="n"/>
      <c r="I723" s="16" t="n"/>
      <c r="J723" s="15">
        <f>IF(AND(ISNUMBER(H723),ISNUMBER(I723)),I723-H723+1,"")</f>
        <v/>
      </c>
      <c r="K723" s="5" t="n"/>
      <c r="L723" s="5" t="n"/>
      <c r="M723" s="5" t="n"/>
      <c r="N723" s="5" t="n"/>
      <c r="O723" s="5" t="n"/>
      <c r="Q723" s="10">
        <f>IF(TRIM(G723&amp;"")="","",TRIM(G723&amp;""))</f>
        <v/>
      </c>
      <c r="R723" s="10">
        <f>IF(TRIM(B723&amp;"")="","",IFERROR(INDEX(설정_코드표!$K$2:$K$101,MATCH(TRIM(B723&amp;""),설정_코드표!$J$2:$J$101,0)),"⚠"&amp;TRIM(B723&amp;"")))</f>
        <v/>
      </c>
      <c r="S723" s="10">
        <f>IF(TRIM(K723&amp;"")="","",IFERROR(INDEX(설정_코드표!$K$2:$K$101,MATCH(TRIM(K723&amp;""),설정_코드표!$J$2:$J$101,0)),"⚠"&amp;TRIM(K723&amp;"")))</f>
        <v/>
      </c>
      <c r="T723" s="10">
        <f>IF(TRIM(M723&amp;"")="","",IF(ISNUMBER(MATCH(TRIM(M723&amp;""),설정_코드표!$C$2:$C$11,0)),TRIM(M723&amp;""),"⚠"&amp;TRIM(M723&amp;"")))</f>
        <v/>
      </c>
      <c r="U723" s="10">
        <f>IF(TRIM(L723&amp;"")="","",IFERROR(INDEX(설정_코드표!$G$2:$G$101,MATCH(TRIM(L723&amp;""),설정_코드표!$F$2:$F$101,0)),"⚠"&amp;TRIM(L723&amp;"")))</f>
        <v/>
      </c>
      <c r="V723" s="10">
        <f>IF(AND(ISNUMBER(H723),ISNUMBER(I723)),I723-H723+1,"")</f>
        <v/>
      </c>
      <c r="W723" s="17">
        <f>IF(ISNUMBER(H723),MAX(0,MIN(IF(ISNUMBER(I723),I723,EOMONTH(출력_요약!$B$3,0)),EOMONTH(출력_요약!$B$3,0))-MAX(H723,출력_요약!$B$3)+1),0)</f>
        <v/>
      </c>
      <c r="X723" s="10">
        <f>IF(OR(NOT(ISNUMBER(H723)),Q723=""),"",IF(TODAY()&lt;H723,"파견예정",IF(AND(ISNUMBER(I723),TODAY()&gt;I723),"파견종료","파견중")))</f>
        <v/>
      </c>
      <c r="Y723" s="10">
        <f>IF(OR(Q723="",X723=""),"",Q723&amp;"|"&amp;X723)</f>
        <v/>
      </c>
      <c r="Z723" s="10">
        <f>IF(AND(Q723&lt;&gt;"",W723&gt;0),Q723&amp;"|월","")</f>
        <v/>
      </c>
      <c r="AA723" s="10">
        <f>IF(COUNTA(B723:I723,K723:N723)=0,"",IF(Q723="","등록번호 없음",IF(LEFT(R723,1)="⚠","모병원명 미등록",IF(S723="","파견병원 입력",IF(LEFT(S723,1)="⚠","파견병원명 미등록",IF(LEFT(U723,1)="⚠","파견과목 미등록",IF(OR(T723="",LEFT(T723,1)="⚠"),"파견근거 확인",IF(NOT(AND(ISNUMBER(H723),ISNUMBER(I723))),"날짜 형식/누락",IF(I723&lt;H723,"종료일&lt;시작일","")))))))))</f>
        <v/>
      </c>
      <c r="AB723" s="11">
        <f>IF(ISNUMBER(SEARCH("다기관",TRIM(N723&amp;" "&amp;O723))),IFERROR(DATE(VALUE(MID(TRIM(N723&amp;" "&amp;O723),1,4)),VALUE(MID(TRIM(N723&amp;" "&amp;O723),6,2)),VALUE(MID(TRIM(N723&amp;" "&amp;O723),9,2))),IF(ISNUMBER(H723),H723,"")),"")</f>
        <v/>
      </c>
      <c r="AC723" s="11">
        <f>IF(ISNUMBER(SEARCH("다기관",TRIM(N723&amp;" "&amp;O723))),IFERROR(DATE(VALUE(MID(TRIM(N723&amp;" "&amp;O723),12,4)),VALUE(MID(TRIM(N723&amp;" "&amp;O723),17,2)),VALUE(MID(TRIM(N723&amp;" "&amp;O723),20,2))),IF(ISNUMBER(I723),I723,"")),"")</f>
        <v/>
      </c>
      <c r="AD723" s="17">
        <f>IF(AND(ISNUMBER(AB723),ISNUMBER(AC723)),MAX(0,MIN(AC723,EOMONTH(출력_요약!$B$3,0))-MAX(AB723,출력_요약!$B$3)+1),0)</f>
        <v/>
      </c>
      <c r="AE723" s="10">
        <f>IF(AND(Q723&lt;&gt;"",ISNUMBER(AB723)),Q723&amp;"|다기관","")</f>
        <v/>
      </c>
    </row>
    <row r="724">
      <c r="A724" s="15">
        <f>IF(F724="","",ROW()-3)</f>
        <v/>
      </c>
      <c r="B724" s="5" t="n"/>
      <c r="C724" s="15" t="n"/>
      <c r="D724" s="5" t="n"/>
      <c r="E724" s="15" t="n"/>
      <c r="F724" s="5" t="n"/>
      <c r="G724" s="6" t="n"/>
      <c r="H724" s="16" t="n"/>
      <c r="I724" s="16" t="n"/>
      <c r="J724" s="15">
        <f>IF(AND(ISNUMBER(H724),ISNUMBER(I724)),I724-H724+1,"")</f>
        <v/>
      </c>
      <c r="K724" s="5" t="n"/>
      <c r="L724" s="5" t="n"/>
      <c r="M724" s="5" t="n"/>
      <c r="N724" s="5" t="n"/>
      <c r="O724" s="5" t="n"/>
      <c r="Q724" s="10">
        <f>IF(TRIM(G724&amp;"")="","",TRIM(G724&amp;""))</f>
        <v/>
      </c>
      <c r="R724" s="10">
        <f>IF(TRIM(B724&amp;"")="","",IFERROR(INDEX(설정_코드표!$K$2:$K$101,MATCH(TRIM(B724&amp;""),설정_코드표!$J$2:$J$101,0)),"⚠"&amp;TRIM(B724&amp;"")))</f>
        <v/>
      </c>
      <c r="S724" s="10">
        <f>IF(TRIM(K724&amp;"")="","",IFERROR(INDEX(설정_코드표!$K$2:$K$101,MATCH(TRIM(K724&amp;""),설정_코드표!$J$2:$J$101,0)),"⚠"&amp;TRIM(K724&amp;"")))</f>
        <v/>
      </c>
      <c r="T724" s="10">
        <f>IF(TRIM(M724&amp;"")="","",IF(ISNUMBER(MATCH(TRIM(M724&amp;""),설정_코드표!$C$2:$C$11,0)),TRIM(M724&amp;""),"⚠"&amp;TRIM(M724&amp;"")))</f>
        <v/>
      </c>
      <c r="U724" s="10">
        <f>IF(TRIM(L724&amp;"")="","",IFERROR(INDEX(설정_코드표!$G$2:$G$101,MATCH(TRIM(L724&amp;""),설정_코드표!$F$2:$F$101,0)),"⚠"&amp;TRIM(L724&amp;"")))</f>
        <v/>
      </c>
      <c r="V724" s="10">
        <f>IF(AND(ISNUMBER(H724),ISNUMBER(I724)),I724-H724+1,"")</f>
        <v/>
      </c>
      <c r="W724" s="17">
        <f>IF(ISNUMBER(H724),MAX(0,MIN(IF(ISNUMBER(I724),I724,EOMONTH(출력_요약!$B$3,0)),EOMONTH(출력_요약!$B$3,0))-MAX(H724,출력_요약!$B$3)+1),0)</f>
        <v/>
      </c>
      <c r="X724" s="10">
        <f>IF(OR(NOT(ISNUMBER(H724)),Q724=""),"",IF(TODAY()&lt;H724,"파견예정",IF(AND(ISNUMBER(I724),TODAY()&gt;I724),"파견종료","파견중")))</f>
        <v/>
      </c>
      <c r="Y724" s="10">
        <f>IF(OR(Q724="",X724=""),"",Q724&amp;"|"&amp;X724)</f>
        <v/>
      </c>
      <c r="Z724" s="10">
        <f>IF(AND(Q724&lt;&gt;"",W724&gt;0),Q724&amp;"|월","")</f>
        <v/>
      </c>
      <c r="AA724" s="10">
        <f>IF(COUNTA(B724:I724,K724:N724)=0,"",IF(Q724="","등록번호 없음",IF(LEFT(R724,1)="⚠","모병원명 미등록",IF(S724="","파견병원 입력",IF(LEFT(S724,1)="⚠","파견병원명 미등록",IF(LEFT(U724,1)="⚠","파견과목 미등록",IF(OR(T724="",LEFT(T724,1)="⚠"),"파견근거 확인",IF(NOT(AND(ISNUMBER(H724),ISNUMBER(I724))),"날짜 형식/누락",IF(I724&lt;H724,"종료일&lt;시작일","")))))))))</f>
        <v/>
      </c>
      <c r="AB724" s="11">
        <f>IF(ISNUMBER(SEARCH("다기관",TRIM(N724&amp;" "&amp;O724))),IFERROR(DATE(VALUE(MID(TRIM(N724&amp;" "&amp;O724),1,4)),VALUE(MID(TRIM(N724&amp;" "&amp;O724),6,2)),VALUE(MID(TRIM(N724&amp;" "&amp;O724),9,2))),IF(ISNUMBER(H724),H724,"")),"")</f>
        <v/>
      </c>
      <c r="AC724" s="11">
        <f>IF(ISNUMBER(SEARCH("다기관",TRIM(N724&amp;" "&amp;O724))),IFERROR(DATE(VALUE(MID(TRIM(N724&amp;" "&amp;O724),12,4)),VALUE(MID(TRIM(N724&amp;" "&amp;O724),17,2)),VALUE(MID(TRIM(N724&amp;" "&amp;O724),20,2))),IF(ISNUMBER(I724),I724,"")),"")</f>
        <v/>
      </c>
      <c r="AD724" s="17">
        <f>IF(AND(ISNUMBER(AB724),ISNUMBER(AC724)),MAX(0,MIN(AC724,EOMONTH(출력_요약!$B$3,0))-MAX(AB724,출력_요약!$B$3)+1),0)</f>
        <v/>
      </c>
      <c r="AE724" s="10">
        <f>IF(AND(Q724&lt;&gt;"",ISNUMBER(AB724)),Q724&amp;"|다기관","")</f>
        <v/>
      </c>
    </row>
    <row r="725">
      <c r="A725" s="15">
        <f>IF(F725="","",ROW()-3)</f>
        <v/>
      </c>
      <c r="B725" s="5" t="n"/>
      <c r="C725" s="15" t="n"/>
      <c r="D725" s="5" t="n"/>
      <c r="E725" s="15" t="n"/>
      <c r="F725" s="5" t="n"/>
      <c r="G725" s="6" t="n"/>
      <c r="H725" s="16" t="n"/>
      <c r="I725" s="16" t="n"/>
      <c r="J725" s="15">
        <f>IF(AND(ISNUMBER(H725),ISNUMBER(I725)),I725-H725+1,"")</f>
        <v/>
      </c>
      <c r="K725" s="5" t="n"/>
      <c r="L725" s="5" t="n"/>
      <c r="M725" s="5" t="n"/>
      <c r="N725" s="5" t="n"/>
      <c r="O725" s="5" t="n"/>
      <c r="Q725" s="10">
        <f>IF(TRIM(G725&amp;"")="","",TRIM(G725&amp;""))</f>
        <v/>
      </c>
      <c r="R725" s="10">
        <f>IF(TRIM(B725&amp;"")="","",IFERROR(INDEX(설정_코드표!$K$2:$K$101,MATCH(TRIM(B725&amp;""),설정_코드표!$J$2:$J$101,0)),"⚠"&amp;TRIM(B725&amp;"")))</f>
        <v/>
      </c>
      <c r="S725" s="10">
        <f>IF(TRIM(K725&amp;"")="","",IFERROR(INDEX(설정_코드표!$K$2:$K$101,MATCH(TRIM(K725&amp;""),설정_코드표!$J$2:$J$101,0)),"⚠"&amp;TRIM(K725&amp;"")))</f>
        <v/>
      </c>
      <c r="T725" s="10">
        <f>IF(TRIM(M725&amp;"")="","",IF(ISNUMBER(MATCH(TRIM(M725&amp;""),설정_코드표!$C$2:$C$11,0)),TRIM(M725&amp;""),"⚠"&amp;TRIM(M725&amp;"")))</f>
        <v/>
      </c>
      <c r="U725" s="10">
        <f>IF(TRIM(L725&amp;"")="","",IFERROR(INDEX(설정_코드표!$G$2:$G$101,MATCH(TRIM(L725&amp;""),설정_코드표!$F$2:$F$101,0)),"⚠"&amp;TRIM(L725&amp;"")))</f>
        <v/>
      </c>
      <c r="V725" s="10">
        <f>IF(AND(ISNUMBER(H725),ISNUMBER(I725)),I725-H725+1,"")</f>
        <v/>
      </c>
      <c r="W725" s="17">
        <f>IF(ISNUMBER(H725),MAX(0,MIN(IF(ISNUMBER(I725),I725,EOMONTH(출력_요약!$B$3,0)),EOMONTH(출력_요약!$B$3,0))-MAX(H725,출력_요약!$B$3)+1),0)</f>
        <v/>
      </c>
      <c r="X725" s="10">
        <f>IF(OR(NOT(ISNUMBER(H725)),Q725=""),"",IF(TODAY()&lt;H725,"파견예정",IF(AND(ISNUMBER(I725),TODAY()&gt;I725),"파견종료","파견중")))</f>
        <v/>
      </c>
      <c r="Y725" s="10">
        <f>IF(OR(Q725="",X725=""),"",Q725&amp;"|"&amp;X725)</f>
        <v/>
      </c>
      <c r="Z725" s="10">
        <f>IF(AND(Q725&lt;&gt;"",W725&gt;0),Q725&amp;"|월","")</f>
        <v/>
      </c>
      <c r="AA725" s="10">
        <f>IF(COUNTA(B725:I725,K725:N725)=0,"",IF(Q725="","등록번호 없음",IF(LEFT(R725,1)="⚠","모병원명 미등록",IF(S725="","파견병원 입력",IF(LEFT(S725,1)="⚠","파견병원명 미등록",IF(LEFT(U725,1)="⚠","파견과목 미등록",IF(OR(T725="",LEFT(T725,1)="⚠"),"파견근거 확인",IF(NOT(AND(ISNUMBER(H725),ISNUMBER(I725))),"날짜 형식/누락",IF(I725&lt;H725,"종료일&lt;시작일","")))))))))</f>
        <v/>
      </c>
      <c r="AB725" s="11">
        <f>IF(ISNUMBER(SEARCH("다기관",TRIM(N725&amp;" "&amp;O725))),IFERROR(DATE(VALUE(MID(TRIM(N725&amp;" "&amp;O725),1,4)),VALUE(MID(TRIM(N725&amp;" "&amp;O725),6,2)),VALUE(MID(TRIM(N725&amp;" "&amp;O725),9,2))),IF(ISNUMBER(H725),H725,"")),"")</f>
        <v/>
      </c>
      <c r="AC725" s="11">
        <f>IF(ISNUMBER(SEARCH("다기관",TRIM(N725&amp;" "&amp;O725))),IFERROR(DATE(VALUE(MID(TRIM(N725&amp;" "&amp;O725),12,4)),VALUE(MID(TRIM(N725&amp;" "&amp;O725),17,2)),VALUE(MID(TRIM(N725&amp;" "&amp;O725),20,2))),IF(ISNUMBER(I725),I725,"")),"")</f>
        <v/>
      </c>
      <c r="AD725" s="17">
        <f>IF(AND(ISNUMBER(AB725),ISNUMBER(AC725)),MAX(0,MIN(AC725,EOMONTH(출력_요약!$B$3,0))-MAX(AB725,출력_요약!$B$3)+1),0)</f>
        <v/>
      </c>
      <c r="AE725" s="10">
        <f>IF(AND(Q725&lt;&gt;"",ISNUMBER(AB725)),Q725&amp;"|다기관","")</f>
        <v/>
      </c>
    </row>
    <row r="726">
      <c r="A726" s="15">
        <f>IF(F726="","",ROW()-3)</f>
        <v/>
      </c>
      <c r="B726" s="5" t="n"/>
      <c r="C726" s="15" t="n"/>
      <c r="D726" s="5" t="n"/>
      <c r="E726" s="15" t="n"/>
      <c r="F726" s="5" t="n"/>
      <c r="G726" s="6" t="n"/>
      <c r="H726" s="16" t="n"/>
      <c r="I726" s="16" t="n"/>
      <c r="J726" s="15">
        <f>IF(AND(ISNUMBER(H726),ISNUMBER(I726)),I726-H726+1,"")</f>
        <v/>
      </c>
      <c r="K726" s="5" t="n"/>
      <c r="L726" s="5" t="n"/>
      <c r="M726" s="5" t="n"/>
      <c r="N726" s="5" t="n"/>
      <c r="O726" s="5" t="n"/>
      <c r="Q726" s="10">
        <f>IF(TRIM(G726&amp;"")="","",TRIM(G726&amp;""))</f>
        <v/>
      </c>
      <c r="R726" s="10">
        <f>IF(TRIM(B726&amp;"")="","",IFERROR(INDEX(설정_코드표!$K$2:$K$101,MATCH(TRIM(B726&amp;""),설정_코드표!$J$2:$J$101,0)),"⚠"&amp;TRIM(B726&amp;"")))</f>
        <v/>
      </c>
      <c r="S726" s="10">
        <f>IF(TRIM(K726&amp;"")="","",IFERROR(INDEX(설정_코드표!$K$2:$K$101,MATCH(TRIM(K726&amp;""),설정_코드표!$J$2:$J$101,0)),"⚠"&amp;TRIM(K726&amp;"")))</f>
        <v/>
      </c>
      <c r="T726" s="10">
        <f>IF(TRIM(M726&amp;"")="","",IF(ISNUMBER(MATCH(TRIM(M726&amp;""),설정_코드표!$C$2:$C$11,0)),TRIM(M726&amp;""),"⚠"&amp;TRIM(M726&amp;"")))</f>
        <v/>
      </c>
      <c r="U726" s="10">
        <f>IF(TRIM(L726&amp;"")="","",IFERROR(INDEX(설정_코드표!$G$2:$G$101,MATCH(TRIM(L726&amp;""),설정_코드표!$F$2:$F$101,0)),"⚠"&amp;TRIM(L726&amp;"")))</f>
        <v/>
      </c>
      <c r="V726" s="10">
        <f>IF(AND(ISNUMBER(H726),ISNUMBER(I726)),I726-H726+1,"")</f>
        <v/>
      </c>
      <c r="W726" s="17">
        <f>IF(ISNUMBER(H726),MAX(0,MIN(IF(ISNUMBER(I726),I726,EOMONTH(출력_요약!$B$3,0)),EOMONTH(출력_요약!$B$3,0))-MAX(H726,출력_요약!$B$3)+1),0)</f>
        <v/>
      </c>
      <c r="X726" s="10">
        <f>IF(OR(NOT(ISNUMBER(H726)),Q726=""),"",IF(TODAY()&lt;H726,"파견예정",IF(AND(ISNUMBER(I726),TODAY()&gt;I726),"파견종료","파견중")))</f>
        <v/>
      </c>
      <c r="Y726" s="10">
        <f>IF(OR(Q726="",X726=""),"",Q726&amp;"|"&amp;X726)</f>
        <v/>
      </c>
      <c r="Z726" s="10">
        <f>IF(AND(Q726&lt;&gt;"",W726&gt;0),Q726&amp;"|월","")</f>
        <v/>
      </c>
      <c r="AA726" s="10">
        <f>IF(COUNTA(B726:I726,K726:N726)=0,"",IF(Q726="","등록번호 없음",IF(LEFT(R726,1)="⚠","모병원명 미등록",IF(S726="","파견병원 입력",IF(LEFT(S726,1)="⚠","파견병원명 미등록",IF(LEFT(U726,1)="⚠","파견과목 미등록",IF(OR(T726="",LEFT(T726,1)="⚠"),"파견근거 확인",IF(NOT(AND(ISNUMBER(H726),ISNUMBER(I726))),"날짜 형식/누락",IF(I726&lt;H726,"종료일&lt;시작일","")))))))))</f>
        <v/>
      </c>
      <c r="AB726" s="11">
        <f>IF(ISNUMBER(SEARCH("다기관",TRIM(N726&amp;" "&amp;O726))),IFERROR(DATE(VALUE(MID(TRIM(N726&amp;" "&amp;O726),1,4)),VALUE(MID(TRIM(N726&amp;" "&amp;O726),6,2)),VALUE(MID(TRIM(N726&amp;" "&amp;O726),9,2))),IF(ISNUMBER(H726),H726,"")),"")</f>
        <v/>
      </c>
      <c r="AC726" s="11">
        <f>IF(ISNUMBER(SEARCH("다기관",TRIM(N726&amp;" "&amp;O726))),IFERROR(DATE(VALUE(MID(TRIM(N726&amp;" "&amp;O726),12,4)),VALUE(MID(TRIM(N726&amp;" "&amp;O726),17,2)),VALUE(MID(TRIM(N726&amp;" "&amp;O726),20,2))),IF(ISNUMBER(I726),I726,"")),"")</f>
        <v/>
      </c>
      <c r="AD726" s="17">
        <f>IF(AND(ISNUMBER(AB726),ISNUMBER(AC726)),MAX(0,MIN(AC726,EOMONTH(출력_요약!$B$3,0))-MAX(AB726,출력_요약!$B$3)+1),0)</f>
        <v/>
      </c>
      <c r="AE726" s="10">
        <f>IF(AND(Q726&lt;&gt;"",ISNUMBER(AB726)),Q726&amp;"|다기관","")</f>
        <v/>
      </c>
    </row>
    <row r="727">
      <c r="A727" s="15">
        <f>IF(F727="","",ROW()-3)</f>
        <v/>
      </c>
      <c r="B727" s="5" t="n"/>
      <c r="C727" s="15" t="n"/>
      <c r="D727" s="5" t="n"/>
      <c r="E727" s="15" t="n"/>
      <c r="F727" s="5" t="n"/>
      <c r="G727" s="6" t="n"/>
      <c r="H727" s="16" t="n"/>
      <c r="I727" s="16" t="n"/>
      <c r="J727" s="15">
        <f>IF(AND(ISNUMBER(H727),ISNUMBER(I727)),I727-H727+1,"")</f>
        <v/>
      </c>
      <c r="K727" s="5" t="n"/>
      <c r="L727" s="5" t="n"/>
      <c r="M727" s="5" t="n"/>
      <c r="N727" s="5" t="n"/>
      <c r="O727" s="5" t="n"/>
      <c r="Q727" s="10">
        <f>IF(TRIM(G727&amp;"")="","",TRIM(G727&amp;""))</f>
        <v/>
      </c>
      <c r="R727" s="10">
        <f>IF(TRIM(B727&amp;"")="","",IFERROR(INDEX(설정_코드표!$K$2:$K$101,MATCH(TRIM(B727&amp;""),설정_코드표!$J$2:$J$101,0)),"⚠"&amp;TRIM(B727&amp;"")))</f>
        <v/>
      </c>
      <c r="S727" s="10">
        <f>IF(TRIM(K727&amp;"")="","",IFERROR(INDEX(설정_코드표!$K$2:$K$101,MATCH(TRIM(K727&amp;""),설정_코드표!$J$2:$J$101,0)),"⚠"&amp;TRIM(K727&amp;"")))</f>
        <v/>
      </c>
      <c r="T727" s="10">
        <f>IF(TRIM(M727&amp;"")="","",IF(ISNUMBER(MATCH(TRIM(M727&amp;""),설정_코드표!$C$2:$C$11,0)),TRIM(M727&amp;""),"⚠"&amp;TRIM(M727&amp;"")))</f>
        <v/>
      </c>
      <c r="U727" s="10">
        <f>IF(TRIM(L727&amp;"")="","",IFERROR(INDEX(설정_코드표!$G$2:$G$101,MATCH(TRIM(L727&amp;""),설정_코드표!$F$2:$F$101,0)),"⚠"&amp;TRIM(L727&amp;"")))</f>
        <v/>
      </c>
      <c r="V727" s="10">
        <f>IF(AND(ISNUMBER(H727),ISNUMBER(I727)),I727-H727+1,"")</f>
        <v/>
      </c>
      <c r="W727" s="17">
        <f>IF(ISNUMBER(H727),MAX(0,MIN(IF(ISNUMBER(I727),I727,EOMONTH(출력_요약!$B$3,0)),EOMONTH(출력_요약!$B$3,0))-MAX(H727,출력_요약!$B$3)+1),0)</f>
        <v/>
      </c>
      <c r="X727" s="10">
        <f>IF(OR(NOT(ISNUMBER(H727)),Q727=""),"",IF(TODAY()&lt;H727,"파견예정",IF(AND(ISNUMBER(I727),TODAY()&gt;I727),"파견종료","파견중")))</f>
        <v/>
      </c>
      <c r="Y727" s="10">
        <f>IF(OR(Q727="",X727=""),"",Q727&amp;"|"&amp;X727)</f>
        <v/>
      </c>
      <c r="Z727" s="10">
        <f>IF(AND(Q727&lt;&gt;"",W727&gt;0),Q727&amp;"|월","")</f>
        <v/>
      </c>
      <c r="AA727" s="10">
        <f>IF(COUNTA(B727:I727,K727:N727)=0,"",IF(Q727="","등록번호 없음",IF(LEFT(R727,1)="⚠","모병원명 미등록",IF(S727="","파견병원 입력",IF(LEFT(S727,1)="⚠","파견병원명 미등록",IF(LEFT(U727,1)="⚠","파견과목 미등록",IF(OR(T727="",LEFT(T727,1)="⚠"),"파견근거 확인",IF(NOT(AND(ISNUMBER(H727),ISNUMBER(I727))),"날짜 형식/누락",IF(I727&lt;H727,"종료일&lt;시작일","")))))))))</f>
        <v/>
      </c>
      <c r="AB727" s="11">
        <f>IF(ISNUMBER(SEARCH("다기관",TRIM(N727&amp;" "&amp;O727))),IFERROR(DATE(VALUE(MID(TRIM(N727&amp;" "&amp;O727),1,4)),VALUE(MID(TRIM(N727&amp;" "&amp;O727),6,2)),VALUE(MID(TRIM(N727&amp;" "&amp;O727),9,2))),IF(ISNUMBER(H727),H727,"")),"")</f>
        <v/>
      </c>
      <c r="AC727" s="11">
        <f>IF(ISNUMBER(SEARCH("다기관",TRIM(N727&amp;" "&amp;O727))),IFERROR(DATE(VALUE(MID(TRIM(N727&amp;" "&amp;O727),12,4)),VALUE(MID(TRIM(N727&amp;" "&amp;O727),17,2)),VALUE(MID(TRIM(N727&amp;" "&amp;O727),20,2))),IF(ISNUMBER(I727),I727,"")),"")</f>
        <v/>
      </c>
      <c r="AD727" s="17">
        <f>IF(AND(ISNUMBER(AB727),ISNUMBER(AC727)),MAX(0,MIN(AC727,EOMONTH(출력_요약!$B$3,0))-MAX(AB727,출력_요약!$B$3)+1),0)</f>
        <v/>
      </c>
      <c r="AE727" s="10">
        <f>IF(AND(Q727&lt;&gt;"",ISNUMBER(AB727)),Q727&amp;"|다기관","")</f>
        <v/>
      </c>
    </row>
    <row r="728">
      <c r="A728" s="15">
        <f>IF(F728="","",ROW()-3)</f>
        <v/>
      </c>
      <c r="B728" s="5" t="n"/>
      <c r="C728" s="15" t="n"/>
      <c r="D728" s="5" t="n"/>
      <c r="E728" s="15" t="n"/>
      <c r="F728" s="5" t="n"/>
      <c r="G728" s="6" t="n"/>
      <c r="H728" s="16" t="n"/>
      <c r="I728" s="16" t="n"/>
      <c r="J728" s="15">
        <f>IF(AND(ISNUMBER(H728),ISNUMBER(I728)),I728-H728+1,"")</f>
        <v/>
      </c>
      <c r="K728" s="5" t="n"/>
      <c r="L728" s="5" t="n"/>
      <c r="M728" s="5" t="n"/>
      <c r="N728" s="5" t="n"/>
      <c r="O728" s="5" t="n"/>
      <c r="Q728" s="10">
        <f>IF(TRIM(G728&amp;"")="","",TRIM(G728&amp;""))</f>
        <v/>
      </c>
      <c r="R728" s="10">
        <f>IF(TRIM(B728&amp;"")="","",IFERROR(INDEX(설정_코드표!$K$2:$K$101,MATCH(TRIM(B728&amp;""),설정_코드표!$J$2:$J$101,0)),"⚠"&amp;TRIM(B728&amp;"")))</f>
        <v/>
      </c>
      <c r="S728" s="10">
        <f>IF(TRIM(K728&amp;"")="","",IFERROR(INDEX(설정_코드표!$K$2:$K$101,MATCH(TRIM(K728&amp;""),설정_코드표!$J$2:$J$101,0)),"⚠"&amp;TRIM(K728&amp;"")))</f>
        <v/>
      </c>
      <c r="T728" s="10">
        <f>IF(TRIM(M728&amp;"")="","",IF(ISNUMBER(MATCH(TRIM(M728&amp;""),설정_코드표!$C$2:$C$11,0)),TRIM(M728&amp;""),"⚠"&amp;TRIM(M728&amp;"")))</f>
        <v/>
      </c>
      <c r="U728" s="10">
        <f>IF(TRIM(L728&amp;"")="","",IFERROR(INDEX(설정_코드표!$G$2:$G$101,MATCH(TRIM(L728&amp;""),설정_코드표!$F$2:$F$101,0)),"⚠"&amp;TRIM(L728&amp;"")))</f>
        <v/>
      </c>
      <c r="V728" s="10">
        <f>IF(AND(ISNUMBER(H728),ISNUMBER(I728)),I728-H728+1,"")</f>
        <v/>
      </c>
      <c r="W728" s="17">
        <f>IF(ISNUMBER(H728),MAX(0,MIN(IF(ISNUMBER(I728),I728,EOMONTH(출력_요약!$B$3,0)),EOMONTH(출력_요약!$B$3,0))-MAX(H728,출력_요약!$B$3)+1),0)</f>
        <v/>
      </c>
      <c r="X728" s="10">
        <f>IF(OR(NOT(ISNUMBER(H728)),Q728=""),"",IF(TODAY()&lt;H728,"파견예정",IF(AND(ISNUMBER(I728),TODAY()&gt;I728),"파견종료","파견중")))</f>
        <v/>
      </c>
      <c r="Y728" s="10">
        <f>IF(OR(Q728="",X728=""),"",Q728&amp;"|"&amp;X728)</f>
        <v/>
      </c>
      <c r="Z728" s="10">
        <f>IF(AND(Q728&lt;&gt;"",W728&gt;0),Q728&amp;"|월","")</f>
        <v/>
      </c>
      <c r="AA728" s="10">
        <f>IF(COUNTA(B728:I728,K728:N728)=0,"",IF(Q728="","등록번호 없음",IF(LEFT(R728,1)="⚠","모병원명 미등록",IF(S728="","파견병원 입력",IF(LEFT(S728,1)="⚠","파견병원명 미등록",IF(LEFT(U728,1)="⚠","파견과목 미등록",IF(OR(T728="",LEFT(T728,1)="⚠"),"파견근거 확인",IF(NOT(AND(ISNUMBER(H728),ISNUMBER(I728))),"날짜 형식/누락",IF(I728&lt;H728,"종료일&lt;시작일","")))))))))</f>
        <v/>
      </c>
      <c r="AB728" s="11">
        <f>IF(ISNUMBER(SEARCH("다기관",TRIM(N728&amp;" "&amp;O728))),IFERROR(DATE(VALUE(MID(TRIM(N728&amp;" "&amp;O728),1,4)),VALUE(MID(TRIM(N728&amp;" "&amp;O728),6,2)),VALUE(MID(TRIM(N728&amp;" "&amp;O728),9,2))),IF(ISNUMBER(H728),H728,"")),"")</f>
        <v/>
      </c>
      <c r="AC728" s="11">
        <f>IF(ISNUMBER(SEARCH("다기관",TRIM(N728&amp;" "&amp;O728))),IFERROR(DATE(VALUE(MID(TRIM(N728&amp;" "&amp;O728),12,4)),VALUE(MID(TRIM(N728&amp;" "&amp;O728),17,2)),VALUE(MID(TRIM(N728&amp;" "&amp;O728),20,2))),IF(ISNUMBER(I728),I728,"")),"")</f>
        <v/>
      </c>
      <c r="AD728" s="17">
        <f>IF(AND(ISNUMBER(AB728),ISNUMBER(AC728)),MAX(0,MIN(AC728,EOMONTH(출력_요약!$B$3,0))-MAX(AB728,출력_요약!$B$3)+1),0)</f>
        <v/>
      </c>
      <c r="AE728" s="10">
        <f>IF(AND(Q728&lt;&gt;"",ISNUMBER(AB728)),Q728&amp;"|다기관","")</f>
        <v/>
      </c>
    </row>
    <row r="729">
      <c r="A729" s="15">
        <f>IF(F729="","",ROW()-3)</f>
        <v/>
      </c>
      <c r="B729" s="5" t="n"/>
      <c r="C729" s="15" t="n"/>
      <c r="D729" s="5" t="n"/>
      <c r="E729" s="15" t="n"/>
      <c r="F729" s="5" t="n"/>
      <c r="G729" s="6" t="n"/>
      <c r="H729" s="16" t="n"/>
      <c r="I729" s="16" t="n"/>
      <c r="J729" s="15">
        <f>IF(AND(ISNUMBER(H729),ISNUMBER(I729)),I729-H729+1,"")</f>
        <v/>
      </c>
      <c r="K729" s="5" t="n"/>
      <c r="L729" s="5" t="n"/>
      <c r="M729" s="5" t="n"/>
      <c r="N729" s="5" t="n"/>
      <c r="O729" s="5" t="n"/>
      <c r="Q729" s="10">
        <f>IF(TRIM(G729&amp;"")="","",TRIM(G729&amp;""))</f>
        <v/>
      </c>
      <c r="R729" s="10">
        <f>IF(TRIM(B729&amp;"")="","",IFERROR(INDEX(설정_코드표!$K$2:$K$101,MATCH(TRIM(B729&amp;""),설정_코드표!$J$2:$J$101,0)),"⚠"&amp;TRIM(B729&amp;"")))</f>
        <v/>
      </c>
      <c r="S729" s="10">
        <f>IF(TRIM(K729&amp;"")="","",IFERROR(INDEX(설정_코드표!$K$2:$K$101,MATCH(TRIM(K729&amp;""),설정_코드표!$J$2:$J$101,0)),"⚠"&amp;TRIM(K729&amp;"")))</f>
        <v/>
      </c>
      <c r="T729" s="10">
        <f>IF(TRIM(M729&amp;"")="","",IF(ISNUMBER(MATCH(TRIM(M729&amp;""),설정_코드표!$C$2:$C$11,0)),TRIM(M729&amp;""),"⚠"&amp;TRIM(M729&amp;"")))</f>
        <v/>
      </c>
      <c r="U729" s="10">
        <f>IF(TRIM(L729&amp;"")="","",IFERROR(INDEX(설정_코드표!$G$2:$G$101,MATCH(TRIM(L729&amp;""),설정_코드표!$F$2:$F$101,0)),"⚠"&amp;TRIM(L729&amp;"")))</f>
        <v/>
      </c>
      <c r="V729" s="10">
        <f>IF(AND(ISNUMBER(H729),ISNUMBER(I729)),I729-H729+1,"")</f>
        <v/>
      </c>
      <c r="W729" s="17">
        <f>IF(ISNUMBER(H729),MAX(0,MIN(IF(ISNUMBER(I729),I729,EOMONTH(출력_요약!$B$3,0)),EOMONTH(출력_요약!$B$3,0))-MAX(H729,출력_요약!$B$3)+1),0)</f>
        <v/>
      </c>
      <c r="X729" s="10">
        <f>IF(OR(NOT(ISNUMBER(H729)),Q729=""),"",IF(TODAY()&lt;H729,"파견예정",IF(AND(ISNUMBER(I729),TODAY()&gt;I729),"파견종료","파견중")))</f>
        <v/>
      </c>
      <c r="Y729" s="10">
        <f>IF(OR(Q729="",X729=""),"",Q729&amp;"|"&amp;X729)</f>
        <v/>
      </c>
      <c r="Z729" s="10">
        <f>IF(AND(Q729&lt;&gt;"",W729&gt;0),Q729&amp;"|월","")</f>
        <v/>
      </c>
      <c r="AA729" s="10">
        <f>IF(COUNTA(B729:I729,K729:N729)=0,"",IF(Q729="","등록번호 없음",IF(LEFT(R729,1)="⚠","모병원명 미등록",IF(S729="","파견병원 입력",IF(LEFT(S729,1)="⚠","파견병원명 미등록",IF(LEFT(U729,1)="⚠","파견과목 미등록",IF(OR(T729="",LEFT(T729,1)="⚠"),"파견근거 확인",IF(NOT(AND(ISNUMBER(H729),ISNUMBER(I729))),"날짜 형식/누락",IF(I729&lt;H729,"종료일&lt;시작일","")))))))))</f>
        <v/>
      </c>
      <c r="AB729" s="11">
        <f>IF(ISNUMBER(SEARCH("다기관",TRIM(N729&amp;" "&amp;O729))),IFERROR(DATE(VALUE(MID(TRIM(N729&amp;" "&amp;O729),1,4)),VALUE(MID(TRIM(N729&amp;" "&amp;O729),6,2)),VALUE(MID(TRIM(N729&amp;" "&amp;O729),9,2))),IF(ISNUMBER(H729),H729,"")),"")</f>
        <v/>
      </c>
      <c r="AC729" s="11">
        <f>IF(ISNUMBER(SEARCH("다기관",TRIM(N729&amp;" "&amp;O729))),IFERROR(DATE(VALUE(MID(TRIM(N729&amp;" "&amp;O729),12,4)),VALUE(MID(TRIM(N729&amp;" "&amp;O729),17,2)),VALUE(MID(TRIM(N729&amp;" "&amp;O729),20,2))),IF(ISNUMBER(I729),I729,"")),"")</f>
        <v/>
      </c>
      <c r="AD729" s="17">
        <f>IF(AND(ISNUMBER(AB729),ISNUMBER(AC729)),MAX(0,MIN(AC729,EOMONTH(출력_요약!$B$3,0))-MAX(AB729,출력_요약!$B$3)+1),0)</f>
        <v/>
      </c>
      <c r="AE729" s="10">
        <f>IF(AND(Q729&lt;&gt;"",ISNUMBER(AB729)),Q729&amp;"|다기관","")</f>
        <v/>
      </c>
    </row>
    <row r="730">
      <c r="A730" s="15">
        <f>IF(F730="","",ROW()-3)</f>
        <v/>
      </c>
      <c r="B730" s="5" t="n"/>
      <c r="C730" s="15" t="n"/>
      <c r="D730" s="5" t="n"/>
      <c r="E730" s="15" t="n"/>
      <c r="F730" s="5" t="n"/>
      <c r="G730" s="6" t="n"/>
      <c r="H730" s="16" t="n"/>
      <c r="I730" s="16" t="n"/>
      <c r="J730" s="15">
        <f>IF(AND(ISNUMBER(H730),ISNUMBER(I730)),I730-H730+1,"")</f>
        <v/>
      </c>
      <c r="K730" s="5" t="n"/>
      <c r="L730" s="5" t="n"/>
      <c r="M730" s="5" t="n"/>
      <c r="N730" s="5" t="n"/>
      <c r="O730" s="5" t="n"/>
      <c r="Q730" s="10">
        <f>IF(TRIM(G730&amp;"")="","",TRIM(G730&amp;""))</f>
        <v/>
      </c>
      <c r="R730" s="10">
        <f>IF(TRIM(B730&amp;"")="","",IFERROR(INDEX(설정_코드표!$K$2:$K$101,MATCH(TRIM(B730&amp;""),설정_코드표!$J$2:$J$101,0)),"⚠"&amp;TRIM(B730&amp;"")))</f>
        <v/>
      </c>
      <c r="S730" s="10">
        <f>IF(TRIM(K730&amp;"")="","",IFERROR(INDEX(설정_코드표!$K$2:$K$101,MATCH(TRIM(K730&amp;""),설정_코드표!$J$2:$J$101,0)),"⚠"&amp;TRIM(K730&amp;"")))</f>
        <v/>
      </c>
      <c r="T730" s="10">
        <f>IF(TRIM(M730&amp;"")="","",IF(ISNUMBER(MATCH(TRIM(M730&amp;""),설정_코드표!$C$2:$C$11,0)),TRIM(M730&amp;""),"⚠"&amp;TRIM(M730&amp;"")))</f>
        <v/>
      </c>
      <c r="U730" s="10">
        <f>IF(TRIM(L730&amp;"")="","",IFERROR(INDEX(설정_코드표!$G$2:$G$101,MATCH(TRIM(L730&amp;""),설정_코드표!$F$2:$F$101,0)),"⚠"&amp;TRIM(L730&amp;"")))</f>
        <v/>
      </c>
      <c r="V730" s="10">
        <f>IF(AND(ISNUMBER(H730),ISNUMBER(I730)),I730-H730+1,"")</f>
        <v/>
      </c>
      <c r="W730" s="17">
        <f>IF(ISNUMBER(H730),MAX(0,MIN(IF(ISNUMBER(I730),I730,EOMONTH(출력_요약!$B$3,0)),EOMONTH(출력_요약!$B$3,0))-MAX(H730,출력_요약!$B$3)+1),0)</f>
        <v/>
      </c>
      <c r="X730" s="10">
        <f>IF(OR(NOT(ISNUMBER(H730)),Q730=""),"",IF(TODAY()&lt;H730,"파견예정",IF(AND(ISNUMBER(I730),TODAY()&gt;I730),"파견종료","파견중")))</f>
        <v/>
      </c>
      <c r="Y730" s="10">
        <f>IF(OR(Q730="",X730=""),"",Q730&amp;"|"&amp;X730)</f>
        <v/>
      </c>
      <c r="Z730" s="10">
        <f>IF(AND(Q730&lt;&gt;"",W730&gt;0),Q730&amp;"|월","")</f>
        <v/>
      </c>
      <c r="AA730" s="10">
        <f>IF(COUNTA(B730:I730,K730:N730)=0,"",IF(Q730="","등록번호 없음",IF(LEFT(R730,1)="⚠","모병원명 미등록",IF(S730="","파견병원 입력",IF(LEFT(S730,1)="⚠","파견병원명 미등록",IF(LEFT(U730,1)="⚠","파견과목 미등록",IF(OR(T730="",LEFT(T730,1)="⚠"),"파견근거 확인",IF(NOT(AND(ISNUMBER(H730),ISNUMBER(I730))),"날짜 형식/누락",IF(I730&lt;H730,"종료일&lt;시작일","")))))))))</f>
        <v/>
      </c>
      <c r="AB730" s="11">
        <f>IF(ISNUMBER(SEARCH("다기관",TRIM(N730&amp;" "&amp;O730))),IFERROR(DATE(VALUE(MID(TRIM(N730&amp;" "&amp;O730),1,4)),VALUE(MID(TRIM(N730&amp;" "&amp;O730),6,2)),VALUE(MID(TRIM(N730&amp;" "&amp;O730),9,2))),IF(ISNUMBER(H730),H730,"")),"")</f>
        <v/>
      </c>
      <c r="AC730" s="11">
        <f>IF(ISNUMBER(SEARCH("다기관",TRIM(N730&amp;" "&amp;O730))),IFERROR(DATE(VALUE(MID(TRIM(N730&amp;" "&amp;O730),12,4)),VALUE(MID(TRIM(N730&amp;" "&amp;O730),17,2)),VALUE(MID(TRIM(N730&amp;" "&amp;O730),20,2))),IF(ISNUMBER(I730),I730,"")),"")</f>
        <v/>
      </c>
      <c r="AD730" s="17">
        <f>IF(AND(ISNUMBER(AB730),ISNUMBER(AC730)),MAX(0,MIN(AC730,EOMONTH(출력_요약!$B$3,0))-MAX(AB730,출력_요약!$B$3)+1),0)</f>
        <v/>
      </c>
      <c r="AE730" s="10">
        <f>IF(AND(Q730&lt;&gt;"",ISNUMBER(AB730)),Q730&amp;"|다기관","")</f>
        <v/>
      </c>
    </row>
    <row r="731">
      <c r="A731" s="15">
        <f>IF(F731="","",ROW()-3)</f>
        <v/>
      </c>
      <c r="B731" s="5" t="n"/>
      <c r="C731" s="15" t="n"/>
      <c r="D731" s="5" t="n"/>
      <c r="E731" s="15" t="n"/>
      <c r="F731" s="5" t="n"/>
      <c r="G731" s="6" t="n"/>
      <c r="H731" s="16" t="n"/>
      <c r="I731" s="16" t="n"/>
      <c r="J731" s="15">
        <f>IF(AND(ISNUMBER(H731),ISNUMBER(I731)),I731-H731+1,"")</f>
        <v/>
      </c>
      <c r="K731" s="5" t="n"/>
      <c r="L731" s="5" t="n"/>
      <c r="M731" s="5" t="n"/>
      <c r="N731" s="5" t="n"/>
      <c r="O731" s="5" t="n"/>
      <c r="Q731" s="10">
        <f>IF(TRIM(G731&amp;"")="","",TRIM(G731&amp;""))</f>
        <v/>
      </c>
      <c r="R731" s="10">
        <f>IF(TRIM(B731&amp;"")="","",IFERROR(INDEX(설정_코드표!$K$2:$K$101,MATCH(TRIM(B731&amp;""),설정_코드표!$J$2:$J$101,0)),"⚠"&amp;TRIM(B731&amp;"")))</f>
        <v/>
      </c>
      <c r="S731" s="10">
        <f>IF(TRIM(K731&amp;"")="","",IFERROR(INDEX(설정_코드표!$K$2:$K$101,MATCH(TRIM(K731&amp;""),설정_코드표!$J$2:$J$101,0)),"⚠"&amp;TRIM(K731&amp;"")))</f>
        <v/>
      </c>
      <c r="T731" s="10">
        <f>IF(TRIM(M731&amp;"")="","",IF(ISNUMBER(MATCH(TRIM(M731&amp;""),설정_코드표!$C$2:$C$11,0)),TRIM(M731&amp;""),"⚠"&amp;TRIM(M731&amp;"")))</f>
        <v/>
      </c>
      <c r="U731" s="10">
        <f>IF(TRIM(L731&amp;"")="","",IFERROR(INDEX(설정_코드표!$G$2:$G$101,MATCH(TRIM(L731&amp;""),설정_코드표!$F$2:$F$101,0)),"⚠"&amp;TRIM(L731&amp;"")))</f>
        <v/>
      </c>
      <c r="V731" s="10">
        <f>IF(AND(ISNUMBER(H731),ISNUMBER(I731)),I731-H731+1,"")</f>
        <v/>
      </c>
      <c r="W731" s="17">
        <f>IF(ISNUMBER(H731),MAX(0,MIN(IF(ISNUMBER(I731),I731,EOMONTH(출력_요약!$B$3,0)),EOMONTH(출력_요약!$B$3,0))-MAX(H731,출력_요약!$B$3)+1),0)</f>
        <v/>
      </c>
      <c r="X731" s="10">
        <f>IF(OR(NOT(ISNUMBER(H731)),Q731=""),"",IF(TODAY()&lt;H731,"파견예정",IF(AND(ISNUMBER(I731),TODAY()&gt;I731),"파견종료","파견중")))</f>
        <v/>
      </c>
      <c r="Y731" s="10">
        <f>IF(OR(Q731="",X731=""),"",Q731&amp;"|"&amp;X731)</f>
        <v/>
      </c>
      <c r="Z731" s="10">
        <f>IF(AND(Q731&lt;&gt;"",W731&gt;0),Q731&amp;"|월","")</f>
        <v/>
      </c>
      <c r="AA731" s="10">
        <f>IF(COUNTA(B731:I731,K731:N731)=0,"",IF(Q731="","등록번호 없음",IF(LEFT(R731,1)="⚠","모병원명 미등록",IF(S731="","파견병원 입력",IF(LEFT(S731,1)="⚠","파견병원명 미등록",IF(LEFT(U731,1)="⚠","파견과목 미등록",IF(OR(T731="",LEFT(T731,1)="⚠"),"파견근거 확인",IF(NOT(AND(ISNUMBER(H731),ISNUMBER(I731))),"날짜 형식/누락",IF(I731&lt;H731,"종료일&lt;시작일","")))))))))</f>
        <v/>
      </c>
      <c r="AB731" s="11">
        <f>IF(ISNUMBER(SEARCH("다기관",TRIM(N731&amp;" "&amp;O731))),IFERROR(DATE(VALUE(MID(TRIM(N731&amp;" "&amp;O731),1,4)),VALUE(MID(TRIM(N731&amp;" "&amp;O731),6,2)),VALUE(MID(TRIM(N731&amp;" "&amp;O731),9,2))),IF(ISNUMBER(H731),H731,"")),"")</f>
        <v/>
      </c>
      <c r="AC731" s="11">
        <f>IF(ISNUMBER(SEARCH("다기관",TRIM(N731&amp;" "&amp;O731))),IFERROR(DATE(VALUE(MID(TRIM(N731&amp;" "&amp;O731),12,4)),VALUE(MID(TRIM(N731&amp;" "&amp;O731),17,2)),VALUE(MID(TRIM(N731&amp;" "&amp;O731),20,2))),IF(ISNUMBER(I731),I731,"")),"")</f>
        <v/>
      </c>
      <c r="AD731" s="17">
        <f>IF(AND(ISNUMBER(AB731),ISNUMBER(AC731)),MAX(0,MIN(AC731,EOMONTH(출력_요약!$B$3,0))-MAX(AB731,출력_요약!$B$3)+1),0)</f>
        <v/>
      </c>
      <c r="AE731" s="10">
        <f>IF(AND(Q731&lt;&gt;"",ISNUMBER(AB731)),Q731&amp;"|다기관","")</f>
        <v/>
      </c>
    </row>
    <row r="732">
      <c r="A732" s="15">
        <f>IF(F732="","",ROW()-3)</f>
        <v/>
      </c>
      <c r="B732" s="5" t="n"/>
      <c r="C732" s="15" t="n"/>
      <c r="D732" s="5" t="n"/>
      <c r="E732" s="15" t="n"/>
      <c r="F732" s="5" t="n"/>
      <c r="G732" s="6" t="n"/>
      <c r="H732" s="16" t="n"/>
      <c r="I732" s="16" t="n"/>
      <c r="J732" s="15">
        <f>IF(AND(ISNUMBER(H732),ISNUMBER(I732)),I732-H732+1,"")</f>
        <v/>
      </c>
      <c r="K732" s="5" t="n"/>
      <c r="L732" s="5" t="n"/>
      <c r="M732" s="5" t="n"/>
      <c r="N732" s="5" t="n"/>
      <c r="O732" s="5" t="n"/>
      <c r="Q732" s="10">
        <f>IF(TRIM(G732&amp;"")="","",TRIM(G732&amp;""))</f>
        <v/>
      </c>
      <c r="R732" s="10">
        <f>IF(TRIM(B732&amp;"")="","",IFERROR(INDEX(설정_코드표!$K$2:$K$101,MATCH(TRIM(B732&amp;""),설정_코드표!$J$2:$J$101,0)),"⚠"&amp;TRIM(B732&amp;"")))</f>
        <v/>
      </c>
      <c r="S732" s="10">
        <f>IF(TRIM(K732&amp;"")="","",IFERROR(INDEX(설정_코드표!$K$2:$K$101,MATCH(TRIM(K732&amp;""),설정_코드표!$J$2:$J$101,0)),"⚠"&amp;TRIM(K732&amp;"")))</f>
        <v/>
      </c>
      <c r="T732" s="10">
        <f>IF(TRIM(M732&amp;"")="","",IF(ISNUMBER(MATCH(TRIM(M732&amp;""),설정_코드표!$C$2:$C$11,0)),TRIM(M732&amp;""),"⚠"&amp;TRIM(M732&amp;"")))</f>
        <v/>
      </c>
      <c r="U732" s="10">
        <f>IF(TRIM(L732&amp;"")="","",IFERROR(INDEX(설정_코드표!$G$2:$G$101,MATCH(TRIM(L732&amp;""),설정_코드표!$F$2:$F$101,0)),"⚠"&amp;TRIM(L732&amp;"")))</f>
        <v/>
      </c>
      <c r="V732" s="10">
        <f>IF(AND(ISNUMBER(H732),ISNUMBER(I732)),I732-H732+1,"")</f>
        <v/>
      </c>
      <c r="W732" s="17">
        <f>IF(ISNUMBER(H732),MAX(0,MIN(IF(ISNUMBER(I732),I732,EOMONTH(출력_요약!$B$3,0)),EOMONTH(출력_요약!$B$3,0))-MAX(H732,출력_요약!$B$3)+1),0)</f>
        <v/>
      </c>
      <c r="X732" s="10">
        <f>IF(OR(NOT(ISNUMBER(H732)),Q732=""),"",IF(TODAY()&lt;H732,"파견예정",IF(AND(ISNUMBER(I732),TODAY()&gt;I732),"파견종료","파견중")))</f>
        <v/>
      </c>
      <c r="Y732" s="10">
        <f>IF(OR(Q732="",X732=""),"",Q732&amp;"|"&amp;X732)</f>
        <v/>
      </c>
      <c r="Z732" s="10">
        <f>IF(AND(Q732&lt;&gt;"",W732&gt;0),Q732&amp;"|월","")</f>
        <v/>
      </c>
      <c r="AA732" s="10">
        <f>IF(COUNTA(B732:I732,K732:N732)=0,"",IF(Q732="","등록번호 없음",IF(LEFT(R732,1)="⚠","모병원명 미등록",IF(S732="","파견병원 입력",IF(LEFT(S732,1)="⚠","파견병원명 미등록",IF(LEFT(U732,1)="⚠","파견과목 미등록",IF(OR(T732="",LEFT(T732,1)="⚠"),"파견근거 확인",IF(NOT(AND(ISNUMBER(H732),ISNUMBER(I732))),"날짜 형식/누락",IF(I732&lt;H732,"종료일&lt;시작일","")))))))))</f>
        <v/>
      </c>
      <c r="AB732" s="11">
        <f>IF(ISNUMBER(SEARCH("다기관",TRIM(N732&amp;" "&amp;O732))),IFERROR(DATE(VALUE(MID(TRIM(N732&amp;" "&amp;O732),1,4)),VALUE(MID(TRIM(N732&amp;" "&amp;O732),6,2)),VALUE(MID(TRIM(N732&amp;" "&amp;O732),9,2))),IF(ISNUMBER(H732),H732,"")),"")</f>
        <v/>
      </c>
      <c r="AC732" s="11">
        <f>IF(ISNUMBER(SEARCH("다기관",TRIM(N732&amp;" "&amp;O732))),IFERROR(DATE(VALUE(MID(TRIM(N732&amp;" "&amp;O732),12,4)),VALUE(MID(TRIM(N732&amp;" "&amp;O732),17,2)),VALUE(MID(TRIM(N732&amp;" "&amp;O732),20,2))),IF(ISNUMBER(I732),I732,"")),"")</f>
        <v/>
      </c>
      <c r="AD732" s="17">
        <f>IF(AND(ISNUMBER(AB732),ISNUMBER(AC732)),MAX(0,MIN(AC732,EOMONTH(출력_요약!$B$3,0))-MAX(AB732,출력_요약!$B$3)+1),0)</f>
        <v/>
      </c>
      <c r="AE732" s="10">
        <f>IF(AND(Q732&lt;&gt;"",ISNUMBER(AB732)),Q732&amp;"|다기관","")</f>
        <v/>
      </c>
    </row>
    <row r="733">
      <c r="A733" s="15">
        <f>IF(F733="","",ROW()-3)</f>
        <v/>
      </c>
      <c r="B733" s="5" t="n"/>
      <c r="C733" s="15" t="n"/>
      <c r="D733" s="5" t="n"/>
      <c r="E733" s="15" t="n"/>
      <c r="F733" s="5" t="n"/>
      <c r="G733" s="6" t="n"/>
      <c r="H733" s="16" t="n"/>
      <c r="I733" s="16" t="n"/>
      <c r="J733" s="15">
        <f>IF(AND(ISNUMBER(H733),ISNUMBER(I733)),I733-H733+1,"")</f>
        <v/>
      </c>
      <c r="K733" s="5" t="n"/>
      <c r="L733" s="5" t="n"/>
      <c r="M733" s="5" t="n"/>
      <c r="N733" s="5" t="n"/>
      <c r="O733" s="5" t="n"/>
      <c r="Q733" s="10">
        <f>IF(TRIM(G733&amp;"")="","",TRIM(G733&amp;""))</f>
        <v/>
      </c>
      <c r="R733" s="10">
        <f>IF(TRIM(B733&amp;"")="","",IFERROR(INDEX(설정_코드표!$K$2:$K$101,MATCH(TRIM(B733&amp;""),설정_코드표!$J$2:$J$101,0)),"⚠"&amp;TRIM(B733&amp;"")))</f>
        <v/>
      </c>
      <c r="S733" s="10">
        <f>IF(TRIM(K733&amp;"")="","",IFERROR(INDEX(설정_코드표!$K$2:$K$101,MATCH(TRIM(K733&amp;""),설정_코드표!$J$2:$J$101,0)),"⚠"&amp;TRIM(K733&amp;"")))</f>
        <v/>
      </c>
      <c r="T733" s="10">
        <f>IF(TRIM(M733&amp;"")="","",IF(ISNUMBER(MATCH(TRIM(M733&amp;""),설정_코드표!$C$2:$C$11,0)),TRIM(M733&amp;""),"⚠"&amp;TRIM(M733&amp;"")))</f>
        <v/>
      </c>
      <c r="U733" s="10">
        <f>IF(TRIM(L733&amp;"")="","",IFERROR(INDEX(설정_코드표!$G$2:$G$101,MATCH(TRIM(L733&amp;""),설정_코드표!$F$2:$F$101,0)),"⚠"&amp;TRIM(L733&amp;"")))</f>
        <v/>
      </c>
      <c r="V733" s="10">
        <f>IF(AND(ISNUMBER(H733),ISNUMBER(I733)),I733-H733+1,"")</f>
        <v/>
      </c>
      <c r="W733" s="17">
        <f>IF(ISNUMBER(H733),MAX(0,MIN(IF(ISNUMBER(I733),I733,EOMONTH(출력_요약!$B$3,0)),EOMONTH(출력_요약!$B$3,0))-MAX(H733,출력_요약!$B$3)+1),0)</f>
        <v/>
      </c>
      <c r="X733" s="10">
        <f>IF(OR(NOT(ISNUMBER(H733)),Q733=""),"",IF(TODAY()&lt;H733,"파견예정",IF(AND(ISNUMBER(I733),TODAY()&gt;I733),"파견종료","파견중")))</f>
        <v/>
      </c>
      <c r="Y733" s="10">
        <f>IF(OR(Q733="",X733=""),"",Q733&amp;"|"&amp;X733)</f>
        <v/>
      </c>
      <c r="Z733" s="10">
        <f>IF(AND(Q733&lt;&gt;"",W733&gt;0),Q733&amp;"|월","")</f>
        <v/>
      </c>
      <c r="AA733" s="10">
        <f>IF(COUNTA(B733:I733,K733:N733)=0,"",IF(Q733="","등록번호 없음",IF(LEFT(R733,1)="⚠","모병원명 미등록",IF(S733="","파견병원 입력",IF(LEFT(S733,1)="⚠","파견병원명 미등록",IF(LEFT(U733,1)="⚠","파견과목 미등록",IF(OR(T733="",LEFT(T733,1)="⚠"),"파견근거 확인",IF(NOT(AND(ISNUMBER(H733),ISNUMBER(I733))),"날짜 형식/누락",IF(I733&lt;H733,"종료일&lt;시작일","")))))))))</f>
        <v/>
      </c>
      <c r="AB733" s="11">
        <f>IF(ISNUMBER(SEARCH("다기관",TRIM(N733&amp;" "&amp;O733))),IFERROR(DATE(VALUE(MID(TRIM(N733&amp;" "&amp;O733),1,4)),VALUE(MID(TRIM(N733&amp;" "&amp;O733),6,2)),VALUE(MID(TRIM(N733&amp;" "&amp;O733),9,2))),IF(ISNUMBER(H733),H733,"")),"")</f>
        <v/>
      </c>
      <c r="AC733" s="11">
        <f>IF(ISNUMBER(SEARCH("다기관",TRIM(N733&amp;" "&amp;O733))),IFERROR(DATE(VALUE(MID(TRIM(N733&amp;" "&amp;O733),12,4)),VALUE(MID(TRIM(N733&amp;" "&amp;O733),17,2)),VALUE(MID(TRIM(N733&amp;" "&amp;O733),20,2))),IF(ISNUMBER(I733),I733,"")),"")</f>
        <v/>
      </c>
      <c r="AD733" s="17">
        <f>IF(AND(ISNUMBER(AB733),ISNUMBER(AC733)),MAX(0,MIN(AC733,EOMONTH(출력_요약!$B$3,0))-MAX(AB733,출력_요약!$B$3)+1),0)</f>
        <v/>
      </c>
      <c r="AE733" s="10">
        <f>IF(AND(Q733&lt;&gt;"",ISNUMBER(AB733)),Q733&amp;"|다기관","")</f>
        <v/>
      </c>
    </row>
    <row r="734">
      <c r="A734" s="15">
        <f>IF(F734="","",ROW()-3)</f>
        <v/>
      </c>
      <c r="B734" s="5" t="n"/>
      <c r="C734" s="15" t="n"/>
      <c r="D734" s="5" t="n"/>
      <c r="E734" s="15" t="n"/>
      <c r="F734" s="5" t="n"/>
      <c r="G734" s="6" t="n"/>
      <c r="H734" s="16" t="n"/>
      <c r="I734" s="16" t="n"/>
      <c r="J734" s="15">
        <f>IF(AND(ISNUMBER(H734),ISNUMBER(I734)),I734-H734+1,"")</f>
        <v/>
      </c>
      <c r="K734" s="5" t="n"/>
      <c r="L734" s="5" t="n"/>
      <c r="M734" s="5" t="n"/>
      <c r="N734" s="5" t="n"/>
      <c r="O734" s="5" t="n"/>
      <c r="Q734" s="10">
        <f>IF(TRIM(G734&amp;"")="","",TRIM(G734&amp;""))</f>
        <v/>
      </c>
      <c r="R734" s="10">
        <f>IF(TRIM(B734&amp;"")="","",IFERROR(INDEX(설정_코드표!$K$2:$K$101,MATCH(TRIM(B734&amp;""),설정_코드표!$J$2:$J$101,0)),"⚠"&amp;TRIM(B734&amp;"")))</f>
        <v/>
      </c>
      <c r="S734" s="10">
        <f>IF(TRIM(K734&amp;"")="","",IFERROR(INDEX(설정_코드표!$K$2:$K$101,MATCH(TRIM(K734&amp;""),설정_코드표!$J$2:$J$101,0)),"⚠"&amp;TRIM(K734&amp;"")))</f>
        <v/>
      </c>
      <c r="T734" s="10">
        <f>IF(TRIM(M734&amp;"")="","",IF(ISNUMBER(MATCH(TRIM(M734&amp;""),설정_코드표!$C$2:$C$11,0)),TRIM(M734&amp;""),"⚠"&amp;TRIM(M734&amp;"")))</f>
        <v/>
      </c>
      <c r="U734" s="10">
        <f>IF(TRIM(L734&amp;"")="","",IFERROR(INDEX(설정_코드표!$G$2:$G$101,MATCH(TRIM(L734&amp;""),설정_코드표!$F$2:$F$101,0)),"⚠"&amp;TRIM(L734&amp;"")))</f>
        <v/>
      </c>
      <c r="V734" s="10">
        <f>IF(AND(ISNUMBER(H734),ISNUMBER(I734)),I734-H734+1,"")</f>
        <v/>
      </c>
      <c r="W734" s="17">
        <f>IF(ISNUMBER(H734),MAX(0,MIN(IF(ISNUMBER(I734),I734,EOMONTH(출력_요약!$B$3,0)),EOMONTH(출력_요약!$B$3,0))-MAX(H734,출력_요약!$B$3)+1),0)</f>
        <v/>
      </c>
      <c r="X734" s="10">
        <f>IF(OR(NOT(ISNUMBER(H734)),Q734=""),"",IF(TODAY()&lt;H734,"파견예정",IF(AND(ISNUMBER(I734),TODAY()&gt;I734),"파견종료","파견중")))</f>
        <v/>
      </c>
      <c r="Y734" s="10">
        <f>IF(OR(Q734="",X734=""),"",Q734&amp;"|"&amp;X734)</f>
        <v/>
      </c>
      <c r="Z734" s="10">
        <f>IF(AND(Q734&lt;&gt;"",W734&gt;0),Q734&amp;"|월","")</f>
        <v/>
      </c>
      <c r="AA734" s="10">
        <f>IF(COUNTA(B734:I734,K734:N734)=0,"",IF(Q734="","등록번호 없음",IF(LEFT(R734,1)="⚠","모병원명 미등록",IF(S734="","파견병원 입력",IF(LEFT(S734,1)="⚠","파견병원명 미등록",IF(LEFT(U734,1)="⚠","파견과목 미등록",IF(OR(T734="",LEFT(T734,1)="⚠"),"파견근거 확인",IF(NOT(AND(ISNUMBER(H734),ISNUMBER(I734))),"날짜 형식/누락",IF(I734&lt;H734,"종료일&lt;시작일","")))))))))</f>
        <v/>
      </c>
      <c r="AB734" s="11">
        <f>IF(ISNUMBER(SEARCH("다기관",TRIM(N734&amp;" "&amp;O734))),IFERROR(DATE(VALUE(MID(TRIM(N734&amp;" "&amp;O734),1,4)),VALUE(MID(TRIM(N734&amp;" "&amp;O734),6,2)),VALUE(MID(TRIM(N734&amp;" "&amp;O734),9,2))),IF(ISNUMBER(H734),H734,"")),"")</f>
        <v/>
      </c>
      <c r="AC734" s="11">
        <f>IF(ISNUMBER(SEARCH("다기관",TRIM(N734&amp;" "&amp;O734))),IFERROR(DATE(VALUE(MID(TRIM(N734&amp;" "&amp;O734),12,4)),VALUE(MID(TRIM(N734&amp;" "&amp;O734),17,2)),VALUE(MID(TRIM(N734&amp;" "&amp;O734),20,2))),IF(ISNUMBER(I734),I734,"")),"")</f>
        <v/>
      </c>
      <c r="AD734" s="17">
        <f>IF(AND(ISNUMBER(AB734),ISNUMBER(AC734)),MAX(0,MIN(AC734,EOMONTH(출력_요약!$B$3,0))-MAX(AB734,출력_요약!$B$3)+1),0)</f>
        <v/>
      </c>
      <c r="AE734" s="10">
        <f>IF(AND(Q734&lt;&gt;"",ISNUMBER(AB734)),Q734&amp;"|다기관","")</f>
        <v/>
      </c>
    </row>
    <row r="735">
      <c r="A735" s="15">
        <f>IF(F735="","",ROW()-3)</f>
        <v/>
      </c>
      <c r="B735" s="5" t="n"/>
      <c r="C735" s="15" t="n"/>
      <c r="D735" s="5" t="n"/>
      <c r="E735" s="15" t="n"/>
      <c r="F735" s="5" t="n"/>
      <c r="G735" s="6" t="n"/>
      <c r="H735" s="16" t="n"/>
      <c r="I735" s="16" t="n"/>
      <c r="J735" s="15">
        <f>IF(AND(ISNUMBER(H735),ISNUMBER(I735)),I735-H735+1,"")</f>
        <v/>
      </c>
      <c r="K735" s="5" t="n"/>
      <c r="L735" s="5" t="n"/>
      <c r="M735" s="5" t="n"/>
      <c r="N735" s="5" t="n"/>
      <c r="O735" s="5" t="n"/>
      <c r="Q735" s="10">
        <f>IF(TRIM(G735&amp;"")="","",TRIM(G735&amp;""))</f>
        <v/>
      </c>
      <c r="R735" s="10">
        <f>IF(TRIM(B735&amp;"")="","",IFERROR(INDEX(설정_코드표!$K$2:$K$101,MATCH(TRIM(B735&amp;""),설정_코드표!$J$2:$J$101,0)),"⚠"&amp;TRIM(B735&amp;"")))</f>
        <v/>
      </c>
      <c r="S735" s="10">
        <f>IF(TRIM(K735&amp;"")="","",IFERROR(INDEX(설정_코드표!$K$2:$K$101,MATCH(TRIM(K735&amp;""),설정_코드표!$J$2:$J$101,0)),"⚠"&amp;TRIM(K735&amp;"")))</f>
        <v/>
      </c>
      <c r="T735" s="10">
        <f>IF(TRIM(M735&amp;"")="","",IF(ISNUMBER(MATCH(TRIM(M735&amp;""),설정_코드표!$C$2:$C$11,0)),TRIM(M735&amp;""),"⚠"&amp;TRIM(M735&amp;"")))</f>
        <v/>
      </c>
      <c r="U735" s="10">
        <f>IF(TRIM(L735&amp;"")="","",IFERROR(INDEX(설정_코드표!$G$2:$G$101,MATCH(TRIM(L735&amp;""),설정_코드표!$F$2:$F$101,0)),"⚠"&amp;TRIM(L735&amp;"")))</f>
        <v/>
      </c>
      <c r="V735" s="10">
        <f>IF(AND(ISNUMBER(H735),ISNUMBER(I735)),I735-H735+1,"")</f>
        <v/>
      </c>
      <c r="W735" s="17">
        <f>IF(ISNUMBER(H735),MAX(0,MIN(IF(ISNUMBER(I735),I735,EOMONTH(출력_요약!$B$3,0)),EOMONTH(출력_요약!$B$3,0))-MAX(H735,출력_요약!$B$3)+1),0)</f>
        <v/>
      </c>
      <c r="X735" s="10">
        <f>IF(OR(NOT(ISNUMBER(H735)),Q735=""),"",IF(TODAY()&lt;H735,"파견예정",IF(AND(ISNUMBER(I735),TODAY()&gt;I735),"파견종료","파견중")))</f>
        <v/>
      </c>
      <c r="Y735" s="10">
        <f>IF(OR(Q735="",X735=""),"",Q735&amp;"|"&amp;X735)</f>
        <v/>
      </c>
      <c r="Z735" s="10">
        <f>IF(AND(Q735&lt;&gt;"",W735&gt;0),Q735&amp;"|월","")</f>
        <v/>
      </c>
      <c r="AA735" s="10">
        <f>IF(COUNTA(B735:I735,K735:N735)=0,"",IF(Q735="","등록번호 없음",IF(LEFT(R735,1)="⚠","모병원명 미등록",IF(S735="","파견병원 입력",IF(LEFT(S735,1)="⚠","파견병원명 미등록",IF(LEFT(U735,1)="⚠","파견과목 미등록",IF(OR(T735="",LEFT(T735,1)="⚠"),"파견근거 확인",IF(NOT(AND(ISNUMBER(H735),ISNUMBER(I735))),"날짜 형식/누락",IF(I735&lt;H735,"종료일&lt;시작일","")))))))))</f>
        <v/>
      </c>
      <c r="AB735" s="11">
        <f>IF(ISNUMBER(SEARCH("다기관",TRIM(N735&amp;" "&amp;O735))),IFERROR(DATE(VALUE(MID(TRIM(N735&amp;" "&amp;O735),1,4)),VALUE(MID(TRIM(N735&amp;" "&amp;O735),6,2)),VALUE(MID(TRIM(N735&amp;" "&amp;O735),9,2))),IF(ISNUMBER(H735),H735,"")),"")</f>
        <v/>
      </c>
      <c r="AC735" s="11">
        <f>IF(ISNUMBER(SEARCH("다기관",TRIM(N735&amp;" "&amp;O735))),IFERROR(DATE(VALUE(MID(TRIM(N735&amp;" "&amp;O735),12,4)),VALUE(MID(TRIM(N735&amp;" "&amp;O735),17,2)),VALUE(MID(TRIM(N735&amp;" "&amp;O735),20,2))),IF(ISNUMBER(I735),I735,"")),"")</f>
        <v/>
      </c>
      <c r="AD735" s="17">
        <f>IF(AND(ISNUMBER(AB735),ISNUMBER(AC735)),MAX(0,MIN(AC735,EOMONTH(출력_요약!$B$3,0))-MAX(AB735,출력_요약!$B$3)+1),0)</f>
        <v/>
      </c>
      <c r="AE735" s="10">
        <f>IF(AND(Q735&lt;&gt;"",ISNUMBER(AB735)),Q735&amp;"|다기관","")</f>
        <v/>
      </c>
    </row>
    <row r="736">
      <c r="A736" s="15">
        <f>IF(F736="","",ROW()-3)</f>
        <v/>
      </c>
      <c r="B736" s="5" t="n"/>
      <c r="C736" s="15" t="n"/>
      <c r="D736" s="5" t="n"/>
      <c r="E736" s="15" t="n"/>
      <c r="F736" s="5" t="n"/>
      <c r="G736" s="6" t="n"/>
      <c r="H736" s="16" t="n"/>
      <c r="I736" s="16" t="n"/>
      <c r="J736" s="15">
        <f>IF(AND(ISNUMBER(H736),ISNUMBER(I736)),I736-H736+1,"")</f>
        <v/>
      </c>
      <c r="K736" s="5" t="n"/>
      <c r="L736" s="5" t="n"/>
      <c r="M736" s="5" t="n"/>
      <c r="N736" s="5" t="n"/>
      <c r="O736" s="5" t="n"/>
      <c r="Q736" s="10">
        <f>IF(TRIM(G736&amp;"")="","",TRIM(G736&amp;""))</f>
        <v/>
      </c>
      <c r="R736" s="10">
        <f>IF(TRIM(B736&amp;"")="","",IFERROR(INDEX(설정_코드표!$K$2:$K$101,MATCH(TRIM(B736&amp;""),설정_코드표!$J$2:$J$101,0)),"⚠"&amp;TRIM(B736&amp;"")))</f>
        <v/>
      </c>
      <c r="S736" s="10">
        <f>IF(TRIM(K736&amp;"")="","",IFERROR(INDEX(설정_코드표!$K$2:$K$101,MATCH(TRIM(K736&amp;""),설정_코드표!$J$2:$J$101,0)),"⚠"&amp;TRIM(K736&amp;"")))</f>
        <v/>
      </c>
      <c r="T736" s="10">
        <f>IF(TRIM(M736&amp;"")="","",IF(ISNUMBER(MATCH(TRIM(M736&amp;""),설정_코드표!$C$2:$C$11,0)),TRIM(M736&amp;""),"⚠"&amp;TRIM(M736&amp;"")))</f>
        <v/>
      </c>
      <c r="U736" s="10">
        <f>IF(TRIM(L736&amp;"")="","",IFERROR(INDEX(설정_코드표!$G$2:$G$101,MATCH(TRIM(L736&amp;""),설정_코드표!$F$2:$F$101,0)),"⚠"&amp;TRIM(L736&amp;"")))</f>
        <v/>
      </c>
      <c r="V736" s="10">
        <f>IF(AND(ISNUMBER(H736),ISNUMBER(I736)),I736-H736+1,"")</f>
        <v/>
      </c>
      <c r="W736" s="17">
        <f>IF(ISNUMBER(H736),MAX(0,MIN(IF(ISNUMBER(I736),I736,EOMONTH(출력_요약!$B$3,0)),EOMONTH(출력_요약!$B$3,0))-MAX(H736,출력_요약!$B$3)+1),0)</f>
        <v/>
      </c>
      <c r="X736" s="10">
        <f>IF(OR(NOT(ISNUMBER(H736)),Q736=""),"",IF(TODAY()&lt;H736,"파견예정",IF(AND(ISNUMBER(I736),TODAY()&gt;I736),"파견종료","파견중")))</f>
        <v/>
      </c>
      <c r="Y736" s="10">
        <f>IF(OR(Q736="",X736=""),"",Q736&amp;"|"&amp;X736)</f>
        <v/>
      </c>
      <c r="Z736" s="10">
        <f>IF(AND(Q736&lt;&gt;"",W736&gt;0),Q736&amp;"|월","")</f>
        <v/>
      </c>
      <c r="AA736" s="10">
        <f>IF(COUNTA(B736:I736,K736:N736)=0,"",IF(Q736="","등록번호 없음",IF(LEFT(R736,1)="⚠","모병원명 미등록",IF(S736="","파견병원 입력",IF(LEFT(S736,1)="⚠","파견병원명 미등록",IF(LEFT(U736,1)="⚠","파견과목 미등록",IF(OR(T736="",LEFT(T736,1)="⚠"),"파견근거 확인",IF(NOT(AND(ISNUMBER(H736),ISNUMBER(I736))),"날짜 형식/누락",IF(I736&lt;H736,"종료일&lt;시작일","")))))))))</f>
        <v/>
      </c>
      <c r="AB736" s="11">
        <f>IF(ISNUMBER(SEARCH("다기관",TRIM(N736&amp;" "&amp;O736))),IFERROR(DATE(VALUE(MID(TRIM(N736&amp;" "&amp;O736),1,4)),VALUE(MID(TRIM(N736&amp;" "&amp;O736),6,2)),VALUE(MID(TRIM(N736&amp;" "&amp;O736),9,2))),IF(ISNUMBER(H736),H736,"")),"")</f>
        <v/>
      </c>
      <c r="AC736" s="11">
        <f>IF(ISNUMBER(SEARCH("다기관",TRIM(N736&amp;" "&amp;O736))),IFERROR(DATE(VALUE(MID(TRIM(N736&amp;" "&amp;O736),12,4)),VALUE(MID(TRIM(N736&amp;" "&amp;O736),17,2)),VALUE(MID(TRIM(N736&amp;" "&amp;O736),20,2))),IF(ISNUMBER(I736),I736,"")),"")</f>
        <v/>
      </c>
      <c r="AD736" s="17">
        <f>IF(AND(ISNUMBER(AB736),ISNUMBER(AC736)),MAX(0,MIN(AC736,EOMONTH(출력_요약!$B$3,0))-MAX(AB736,출력_요약!$B$3)+1),0)</f>
        <v/>
      </c>
      <c r="AE736" s="10">
        <f>IF(AND(Q736&lt;&gt;"",ISNUMBER(AB736)),Q736&amp;"|다기관","")</f>
        <v/>
      </c>
    </row>
    <row r="737">
      <c r="A737" s="15">
        <f>IF(F737="","",ROW()-3)</f>
        <v/>
      </c>
      <c r="B737" s="5" t="n"/>
      <c r="C737" s="15" t="n"/>
      <c r="D737" s="5" t="n"/>
      <c r="E737" s="15" t="n"/>
      <c r="F737" s="5" t="n"/>
      <c r="G737" s="6" t="n"/>
      <c r="H737" s="16" t="n"/>
      <c r="I737" s="16" t="n"/>
      <c r="J737" s="15">
        <f>IF(AND(ISNUMBER(H737),ISNUMBER(I737)),I737-H737+1,"")</f>
        <v/>
      </c>
      <c r="K737" s="5" t="n"/>
      <c r="L737" s="5" t="n"/>
      <c r="M737" s="5" t="n"/>
      <c r="N737" s="5" t="n"/>
      <c r="O737" s="5" t="n"/>
      <c r="Q737" s="10">
        <f>IF(TRIM(G737&amp;"")="","",TRIM(G737&amp;""))</f>
        <v/>
      </c>
      <c r="R737" s="10">
        <f>IF(TRIM(B737&amp;"")="","",IFERROR(INDEX(설정_코드표!$K$2:$K$101,MATCH(TRIM(B737&amp;""),설정_코드표!$J$2:$J$101,0)),"⚠"&amp;TRIM(B737&amp;"")))</f>
        <v/>
      </c>
      <c r="S737" s="10">
        <f>IF(TRIM(K737&amp;"")="","",IFERROR(INDEX(설정_코드표!$K$2:$K$101,MATCH(TRIM(K737&amp;""),설정_코드표!$J$2:$J$101,0)),"⚠"&amp;TRIM(K737&amp;"")))</f>
        <v/>
      </c>
      <c r="T737" s="10">
        <f>IF(TRIM(M737&amp;"")="","",IF(ISNUMBER(MATCH(TRIM(M737&amp;""),설정_코드표!$C$2:$C$11,0)),TRIM(M737&amp;""),"⚠"&amp;TRIM(M737&amp;"")))</f>
        <v/>
      </c>
      <c r="U737" s="10">
        <f>IF(TRIM(L737&amp;"")="","",IFERROR(INDEX(설정_코드표!$G$2:$G$101,MATCH(TRIM(L737&amp;""),설정_코드표!$F$2:$F$101,0)),"⚠"&amp;TRIM(L737&amp;"")))</f>
        <v/>
      </c>
      <c r="V737" s="10">
        <f>IF(AND(ISNUMBER(H737),ISNUMBER(I737)),I737-H737+1,"")</f>
        <v/>
      </c>
      <c r="W737" s="17">
        <f>IF(ISNUMBER(H737),MAX(0,MIN(IF(ISNUMBER(I737),I737,EOMONTH(출력_요약!$B$3,0)),EOMONTH(출력_요약!$B$3,0))-MAX(H737,출력_요약!$B$3)+1),0)</f>
        <v/>
      </c>
      <c r="X737" s="10">
        <f>IF(OR(NOT(ISNUMBER(H737)),Q737=""),"",IF(TODAY()&lt;H737,"파견예정",IF(AND(ISNUMBER(I737),TODAY()&gt;I737),"파견종료","파견중")))</f>
        <v/>
      </c>
      <c r="Y737" s="10">
        <f>IF(OR(Q737="",X737=""),"",Q737&amp;"|"&amp;X737)</f>
        <v/>
      </c>
      <c r="Z737" s="10">
        <f>IF(AND(Q737&lt;&gt;"",W737&gt;0),Q737&amp;"|월","")</f>
        <v/>
      </c>
      <c r="AA737" s="10">
        <f>IF(COUNTA(B737:I737,K737:N737)=0,"",IF(Q737="","등록번호 없음",IF(LEFT(R737,1)="⚠","모병원명 미등록",IF(S737="","파견병원 입력",IF(LEFT(S737,1)="⚠","파견병원명 미등록",IF(LEFT(U737,1)="⚠","파견과목 미등록",IF(OR(T737="",LEFT(T737,1)="⚠"),"파견근거 확인",IF(NOT(AND(ISNUMBER(H737),ISNUMBER(I737))),"날짜 형식/누락",IF(I737&lt;H737,"종료일&lt;시작일","")))))))))</f>
        <v/>
      </c>
      <c r="AB737" s="11">
        <f>IF(ISNUMBER(SEARCH("다기관",TRIM(N737&amp;" "&amp;O737))),IFERROR(DATE(VALUE(MID(TRIM(N737&amp;" "&amp;O737),1,4)),VALUE(MID(TRIM(N737&amp;" "&amp;O737),6,2)),VALUE(MID(TRIM(N737&amp;" "&amp;O737),9,2))),IF(ISNUMBER(H737),H737,"")),"")</f>
        <v/>
      </c>
      <c r="AC737" s="11">
        <f>IF(ISNUMBER(SEARCH("다기관",TRIM(N737&amp;" "&amp;O737))),IFERROR(DATE(VALUE(MID(TRIM(N737&amp;" "&amp;O737),12,4)),VALUE(MID(TRIM(N737&amp;" "&amp;O737),17,2)),VALUE(MID(TRIM(N737&amp;" "&amp;O737),20,2))),IF(ISNUMBER(I737),I737,"")),"")</f>
        <v/>
      </c>
      <c r="AD737" s="17">
        <f>IF(AND(ISNUMBER(AB737),ISNUMBER(AC737)),MAX(0,MIN(AC737,EOMONTH(출력_요약!$B$3,0))-MAX(AB737,출력_요약!$B$3)+1),0)</f>
        <v/>
      </c>
      <c r="AE737" s="10">
        <f>IF(AND(Q737&lt;&gt;"",ISNUMBER(AB737)),Q737&amp;"|다기관","")</f>
        <v/>
      </c>
    </row>
    <row r="738">
      <c r="A738" s="15">
        <f>IF(F738="","",ROW()-3)</f>
        <v/>
      </c>
      <c r="B738" s="5" t="n"/>
      <c r="C738" s="15" t="n"/>
      <c r="D738" s="5" t="n"/>
      <c r="E738" s="15" t="n"/>
      <c r="F738" s="5" t="n"/>
      <c r="G738" s="6" t="n"/>
      <c r="H738" s="16" t="n"/>
      <c r="I738" s="16" t="n"/>
      <c r="J738" s="15">
        <f>IF(AND(ISNUMBER(H738),ISNUMBER(I738)),I738-H738+1,"")</f>
        <v/>
      </c>
      <c r="K738" s="5" t="n"/>
      <c r="L738" s="5" t="n"/>
      <c r="M738" s="5" t="n"/>
      <c r="N738" s="5" t="n"/>
      <c r="O738" s="5" t="n"/>
      <c r="Q738" s="10">
        <f>IF(TRIM(G738&amp;"")="","",TRIM(G738&amp;""))</f>
        <v/>
      </c>
      <c r="R738" s="10">
        <f>IF(TRIM(B738&amp;"")="","",IFERROR(INDEX(설정_코드표!$K$2:$K$101,MATCH(TRIM(B738&amp;""),설정_코드표!$J$2:$J$101,0)),"⚠"&amp;TRIM(B738&amp;"")))</f>
        <v/>
      </c>
      <c r="S738" s="10">
        <f>IF(TRIM(K738&amp;"")="","",IFERROR(INDEX(설정_코드표!$K$2:$K$101,MATCH(TRIM(K738&amp;""),설정_코드표!$J$2:$J$101,0)),"⚠"&amp;TRIM(K738&amp;"")))</f>
        <v/>
      </c>
      <c r="T738" s="10">
        <f>IF(TRIM(M738&amp;"")="","",IF(ISNUMBER(MATCH(TRIM(M738&amp;""),설정_코드표!$C$2:$C$11,0)),TRIM(M738&amp;""),"⚠"&amp;TRIM(M738&amp;"")))</f>
        <v/>
      </c>
      <c r="U738" s="10">
        <f>IF(TRIM(L738&amp;"")="","",IFERROR(INDEX(설정_코드표!$G$2:$G$101,MATCH(TRIM(L738&amp;""),설정_코드표!$F$2:$F$101,0)),"⚠"&amp;TRIM(L738&amp;"")))</f>
        <v/>
      </c>
      <c r="V738" s="10">
        <f>IF(AND(ISNUMBER(H738),ISNUMBER(I738)),I738-H738+1,"")</f>
        <v/>
      </c>
      <c r="W738" s="17">
        <f>IF(ISNUMBER(H738),MAX(0,MIN(IF(ISNUMBER(I738),I738,EOMONTH(출력_요약!$B$3,0)),EOMONTH(출력_요약!$B$3,0))-MAX(H738,출력_요약!$B$3)+1),0)</f>
        <v/>
      </c>
      <c r="X738" s="10">
        <f>IF(OR(NOT(ISNUMBER(H738)),Q738=""),"",IF(TODAY()&lt;H738,"파견예정",IF(AND(ISNUMBER(I738),TODAY()&gt;I738),"파견종료","파견중")))</f>
        <v/>
      </c>
      <c r="Y738" s="10">
        <f>IF(OR(Q738="",X738=""),"",Q738&amp;"|"&amp;X738)</f>
        <v/>
      </c>
      <c r="Z738" s="10">
        <f>IF(AND(Q738&lt;&gt;"",W738&gt;0),Q738&amp;"|월","")</f>
        <v/>
      </c>
      <c r="AA738" s="10">
        <f>IF(COUNTA(B738:I738,K738:N738)=0,"",IF(Q738="","등록번호 없음",IF(LEFT(R738,1)="⚠","모병원명 미등록",IF(S738="","파견병원 입력",IF(LEFT(S738,1)="⚠","파견병원명 미등록",IF(LEFT(U738,1)="⚠","파견과목 미등록",IF(OR(T738="",LEFT(T738,1)="⚠"),"파견근거 확인",IF(NOT(AND(ISNUMBER(H738),ISNUMBER(I738))),"날짜 형식/누락",IF(I738&lt;H738,"종료일&lt;시작일","")))))))))</f>
        <v/>
      </c>
      <c r="AB738" s="11">
        <f>IF(ISNUMBER(SEARCH("다기관",TRIM(N738&amp;" "&amp;O738))),IFERROR(DATE(VALUE(MID(TRIM(N738&amp;" "&amp;O738),1,4)),VALUE(MID(TRIM(N738&amp;" "&amp;O738),6,2)),VALUE(MID(TRIM(N738&amp;" "&amp;O738),9,2))),IF(ISNUMBER(H738),H738,"")),"")</f>
        <v/>
      </c>
      <c r="AC738" s="11">
        <f>IF(ISNUMBER(SEARCH("다기관",TRIM(N738&amp;" "&amp;O738))),IFERROR(DATE(VALUE(MID(TRIM(N738&amp;" "&amp;O738),12,4)),VALUE(MID(TRIM(N738&amp;" "&amp;O738),17,2)),VALUE(MID(TRIM(N738&amp;" "&amp;O738),20,2))),IF(ISNUMBER(I738),I738,"")),"")</f>
        <v/>
      </c>
      <c r="AD738" s="17">
        <f>IF(AND(ISNUMBER(AB738),ISNUMBER(AC738)),MAX(0,MIN(AC738,EOMONTH(출력_요약!$B$3,0))-MAX(AB738,출력_요약!$B$3)+1),0)</f>
        <v/>
      </c>
      <c r="AE738" s="10">
        <f>IF(AND(Q738&lt;&gt;"",ISNUMBER(AB738)),Q738&amp;"|다기관","")</f>
        <v/>
      </c>
    </row>
    <row r="739">
      <c r="A739" s="15">
        <f>IF(F739="","",ROW()-3)</f>
        <v/>
      </c>
      <c r="B739" s="5" t="n"/>
      <c r="C739" s="15" t="n"/>
      <c r="D739" s="5" t="n"/>
      <c r="E739" s="15" t="n"/>
      <c r="F739" s="5" t="n"/>
      <c r="G739" s="6" t="n"/>
      <c r="H739" s="16" t="n"/>
      <c r="I739" s="16" t="n"/>
      <c r="J739" s="15">
        <f>IF(AND(ISNUMBER(H739),ISNUMBER(I739)),I739-H739+1,"")</f>
        <v/>
      </c>
      <c r="K739" s="5" t="n"/>
      <c r="L739" s="5" t="n"/>
      <c r="M739" s="5" t="n"/>
      <c r="N739" s="5" t="n"/>
      <c r="O739" s="5" t="n"/>
      <c r="Q739" s="10">
        <f>IF(TRIM(G739&amp;"")="","",TRIM(G739&amp;""))</f>
        <v/>
      </c>
      <c r="R739" s="10">
        <f>IF(TRIM(B739&amp;"")="","",IFERROR(INDEX(설정_코드표!$K$2:$K$101,MATCH(TRIM(B739&amp;""),설정_코드표!$J$2:$J$101,0)),"⚠"&amp;TRIM(B739&amp;"")))</f>
        <v/>
      </c>
      <c r="S739" s="10">
        <f>IF(TRIM(K739&amp;"")="","",IFERROR(INDEX(설정_코드표!$K$2:$K$101,MATCH(TRIM(K739&amp;""),설정_코드표!$J$2:$J$101,0)),"⚠"&amp;TRIM(K739&amp;"")))</f>
        <v/>
      </c>
      <c r="T739" s="10">
        <f>IF(TRIM(M739&amp;"")="","",IF(ISNUMBER(MATCH(TRIM(M739&amp;""),설정_코드표!$C$2:$C$11,0)),TRIM(M739&amp;""),"⚠"&amp;TRIM(M739&amp;"")))</f>
        <v/>
      </c>
      <c r="U739" s="10">
        <f>IF(TRIM(L739&amp;"")="","",IFERROR(INDEX(설정_코드표!$G$2:$G$101,MATCH(TRIM(L739&amp;""),설정_코드표!$F$2:$F$101,0)),"⚠"&amp;TRIM(L739&amp;"")))</f>
        <v/>
      </c>
      <c r="V739" s="10">
        <f>IF(AND(ISNUMBER(H739),ISNUMBER(I739)),I739-H739+1,"")</f>
        <v/>
      </c>
      <c r="W739" s="17">
        <f>IF(ISNUMBER(H739),MAX(0,MIN(IF(ISNUMBER(I739),I739,EOMONTH(출력_요약!$B$3,0)),EOMONTH(출력_요약!$B$3,0))-MAX(H739,출력_요약!$B$3)+1),0)</f>
        <v/>
      </c>
      <c r="X739" s="10">
        <f>IF(OR(NOT(ISNUMBER(H739)),Q739=""),"",IF(TODAY()&lt;H739,"파견예정",IF(AND(ISNUMBER(I739),TODAY()&gt;I739),"파견종료","파견중")))</f>
        <v/>
      </c>
      <c r="Y739" s="10">
        <f>IF(OR(Q739="",X739=""),"",Q739&amp;"|"&amp;X739)</f>
        <v/>
      </c>
      <c r="Z739" s="10">
        <f>IF(AND(Q739&lt;&gt;"",W739&gt;0),Q739&amp;"|월","")</f>
        <v/>
      </c>
      <c r="AA739" s="10">
        <f>IF(COUNTA(B739:I739,K739:N739)=0,"",IF(Q739="","등록번호 없음",IF(LEFT(R739,1)="⚠","모병원명 미등록",IF(S739="","파견병원 입력",IF(LEFT(S739,1)="⚠","파견병원명 미등록",IF(LEFT(U739,1)="⚠","파견과목 미등록",IF(OR(T739="",LEFT(T739,1)="⚠"),"파견근거 확인",IF(NOT(AND(ISNUMBER(H739),ISNUMBER(I739))),"날짜 형식/누락",IF(I739&lt;H739,"종료일&lt;시작일","")))))))))</f>
        <v/>
      </c>
      <c r="AB739" s="11">
        <f>IF(ISNUMBER(SEARCH("다기관",TRIM(N739&amp;" "&amp;O739))),IFERROR(DATE(VALUE(MID(TRIM(N739&amp;" "&amp;O739),1,4)),VALUE(MID(TRIM(N739&amp;" "&amp;O739),6,2)),VALUE(MID(TRIM(N739&amp;" "&amp;O739),9,2))),IF(ISNUMBER(H739),H739,"")),"")</f>
        <v/>
      </c>
      <c r="AC739" s="11">
        <f>IF(ISNUMBER(SEARCH("다기관",TRIM(N739&amp;" "&amp;O739))),IFERROR(DATE(VALUE(MID(TRIM(N739&amp;" "&amp;O739),12,4)),VALUE(MID(TRIM(N739&amp;" "&amp;O739),17,2)),VALUE(MID(TRIM(N739&amp;" "&amp;O739),20,2))),IF(ISNUMBER(I739),I739,"")),"")</f>
        <v/>
      </c>
      <c r="AD739" s="17">
        <f>IF(AND(ISNUMBER(AB739),ISNUMBER(AC739)),MAX(0,MIN(AC739,EOMONTH(출력_요약!$B$3,0))-MAX(AB739,출력_요약!$B$3)+1),0)</f>
        <v/>
      </c>
      <c r="AE739" s="10">
        <f>IF(AND(Q739&lt;&gt;"",ISNUMBER(AB739)),Q739&amp;"|다기관","")</f>
        <v/>
      </c>
    </row>
    <row r="740">
      <c r="A740" s="15">
        <f>IF(F740="","",ROW()-3)</f>
        <v/>
      </c>
      <c r="B740" s="5" t="n"/>
      <c r="C740" s="15" t="n"/>
      <c r="D740" s="5" t="n"/>
      <c r="E740" s="15" t="n"/>
      <c r="F740" s="5" t="n"/>
      <c r="G740" s="6" t="n"/>
      <c r="H740" s="16" t="n"/>
      <c r="I740" s="16" t="n"/>
      <c r="J740" s="15">
        <f>IF(AND(ISNUMBER(H740),ISNUMBER(I740)),I740-H740+1,"")</f>
        <v/>
      </c>
      <c r="K740" s="5" t="n"/>
      <c r="L740" s="5" t="n"/>
      <c r="M740" s="5" t="n"/>
      <c r="N740" s="5" t="n"/>
      <c r="O740" s="5" t="n"/>
      <c r="Q740" s="10">
        <f>IF(TRIM(G740&amp;"")="","",TRIM(G740&amp;""))</f>
        <v/>
      </c>
      <c r="R740" s="10">
        <f>IF(TRIM(B740&amp;"")="","",IFERROR(INDEX(설정_코드표!$K$2:$K$101,MATCH(TRIM(B740&amp;""),설정_코드표!$J$2:$J$101,0)),"⚠"&amp;TRIM(B740&amp;"")))</f>
        <v/>
      </c>
      <c r="S740" s="10">
        <f>IF(TRIM(K740&amp;"")="","",IFERROR(INDEX(설정_코드표!$K$2:$K$101,MATCH(TRIM(K740&amp;""),설정_코드표!$J$2:$J$101,0)),"⚠"&amp;TRIM(K740&amp;"")))</f>
        <v/>
      </c>
      <c r="T740" s="10">
        <f>IF(TRIM(M740&amp;"")="","",IF(ISNUMBER(MATCH(TRIM(M740&amp;""),설정_코드표!$C$2:$C$11,0)),TRIM(M740&amp;""),"⚠"&amp;TRIM(M740&amp;"")))</f>
        <v/>
      </c>
      <c r="U740" s="10">
        <f>IF(TRIM(L740&amp;"")="","",IFERROR(INDEX(설정_코드표!$G$2:$G$101,MATCH(TRIM(L740&amp;""),설정_코드표!$F$2:$F$101,0)),"⚠"&amp;TRIM(L740&amp;"")))</f>
        <v/>
      </c>
      <c r="V740" s="10">
        <f>IF(AND(ISNUMBER(H740),ISNUMBER(I740)),I740-H740+1,"")</f>
        <v/>
      </c>
      <c r="W740" s="17">
        <f>IF(ISNUMBER(H740),MAX(0,MIN(IF(ISNUMBER(I740),I740,EOMONTH(출력_요약!$B$3,0)),EOMONTH(출력_요약!$B$3,0))-MAX(H740,출력_요약!$B$3)+1),0)</f>
        <v/>
      </c>
      <c r="X740" s="10">
        <f>IF(OR(NOT(ISNUMBER(H740)),Q740=""),"",IF(TODAY()&lt;H740,"파견예정",IF(AND(ISNUMBER(I740),TODAY()&gt;I740),"파견종료","파견중")))</f>
        <v/>
      </c>
      <c r="Y740" s="10">
        <f>IF(OR(Q740="",X740=""),"",Q740&amp;"|"&amp;X740)</f>
        <v/>
      </c>
      <c r="Z740" s="10">
        <f>IF(AND(Q740&lt;&gt;"",W740&gt;0),Q740&amp;"|월","")</f>
        <v/>
      </c>
      <c r="AA740" s="10">
        <f>IF(COUNTA(B740:I740,K740:N740)=0,"",IF(Q740="","등록번호 없음",IF(LEFT(R740,1)="⚠","모병원명 미등록",IF(S740="","파견병원 입력",IF(LEFT(S740,1)="⚠","파견병원명 미등록",IF(LEFT(U740,1)="⚠","파견과목 미등록",IF(OR(T740="",LEFT(T740,1)="⚠"),"파견근거 확인",IF(NOT(AND(ISNUMBER(H740),ISNUMBER(I740))),"날짜 형식/누락",IF(I740&lt;H740,"종료일&lt;시작일","")))))))))</f>
        <v/>
      </c>
      <c r="AB740" s="11">
        <f>IF(ISNUMBER(SEARCH("다기관",TRIM(N740&amp;" "&amp;O740))),IFERROR(DATE(VALUE(MID(TRIM(N740&amp;" "&amp;O740),1,4)),VALUE(MID(TRIM(N740&amp;" "&amp;O740),6,2)),VALUE(MID(TRIM(N740&amp;" "&amp;O740),9,2))),IF(ISNUMBER(H740),H740,"")),"")</f>
        <v/>
      </c>
      <c r="AC740" s="11">
        <f>IF(ISNUMBER(SEARCH("다기관",TRIM(N740&amp;" "&amp;O740))),IFERROR(DATE(VALUE(MID(TRIM(N740&amp;" "&amp;O740),12,4)),VALUE(MID(TRIM(N740&amp;" "&amp;O740),17,2)),VALUE(MID(TRIM(N740&amp;" "&amp;O740),20,2))),IF(ISNUMBER(I740),I740,"")),"")</f>
        <v/>
      </c>
      <c r="AD740" s="17">
        <f>IF(AND(ISNUMBER(AB740),ISNUMBER(AC740)),MAX(0,MIN(AC740,EOMONTH(출력_요약!$B$3,0))-MAX(AB740,출력_요약!$B$3)+1),0)</f>
        <v/>
      </c>
      <c r="AE740" s="10">
        <f>IF(AND(Q740&lt;&gt;"",ISNUMBER(AB740)),Q740&amp;"|다기관","")</f>
        <v/>
      </c>
    </row>
    <row r="741">
      <c r="A741" s="15">
        <f>IF(F741="","",ROW()-3)</f>
        <v/>
      </c>
      <c r="B741" s="5" t="n"/>
      <c r="C741" s="15" t="n"/>
      <c r="D741" s="5" t="n"/>
      <c r="E741" s="15" t="n"/>
      <c r="F741" s="5" t="n"/>
      <c r="G741" s="6" t="n"/>
      <c r="H741" s="16" t="n"/>
      <c r="I741" s="16" t="n"/>
      <c r="J741" s="15">
        <f>IF(AND(ISNUMBER(H741),ISNUMBER(I741)),I741-H741+1,"")</f>
        <v/>
      </c>
      <c r="K741" s="5" t="n"/>
      <c r="L741" s="5" t="n"/>
      <c r="M741" s="5" t="n"/>
      <c r="N741" s="5" t="n"/>
      <c r="O741" s="5" t="n"/>
      <c r="Q741" s="10">
        <f>IF(TRIM(G741&amp;"")="","",TRIM(G741&amp;""))</f>
        <v/>
      </c>
      <c r="R741" s="10">
        <f>IF(TRIM(B741&amp;"")="","",IFERROR(INDEX(설정_코드표!$K$2:$K$101,MATCH(TRIM(B741&amp;""),설정_코드표!$J$2:$J$101,0)),"⚠"&amp;TRIM(B741&amp;"")))</f>
        <v/>
      </c>
      <c r="S741" s="10">
        <f>IF(TRIM(K741&amp;"")="","",IFERROR(INDEX(설정_코드표!$K$2:$K$101,MATCH(TRIM(K741&amp;""),설정_코드표!$J$2:$J$101,0)),"⚠"&amp;TRIM(K741&amp;"")))</f>
        <v/>
      </c>
      <c r="T741" s="10">
        <f>IF(TRIM(M741&amp;"")="","",IF(ISNUMBER(MATCH(TRIM(M741&amp;""),설정_코드표!$C$2:$C$11,0)),TRIM(M741&amp;""),"⚠"&amp;TRIM(M741&amp;"")))</f>
        <v/>
      </c>
      <c r="U741" s="10">
        <f>IF(TRIM(L741&amp;"")="","",IFERROR(INDEX(설정_코드표!$G$2:$G$101,MATCH(TRIM(L741&amp;""),설정_코드표!$F$2:$F$101,0)),"⚠"&amp;TRIM(L741&amp;"")))</f>
        <v/>
      </c>
      <c r="V741" s="10">
        <f>IF(AND(ISNUMBER(H741),ISNUMBER(I741)),I741-H741+1,"")</f>
        <v/>
      </c>
      <c r="W741" s="17">
        <f>IF(ISNUMBER(H741),MAX(0,MIN(IF(ISNUMBER(I741),I741,EOMONTH(출력_요약!$B$3,0)),EOMONTH(출력_요약!$B$3,0))-MAX(H741,출력_요약!$B$3)+1),0)</f>
        <v/>
      </c>
      <c r="X741" s="10">
        <f>IF(OR(NOT(ISNUMBER(H741)),Q741=""),"",IF(TODAY()&lt;H741,"파견예정",IF(AND(ISNUMBER(I741),TODAY()&gt;I741),"파견종료","파견중")))</f>
        <v/>
      </c>
      <c r="Y741" s="10">
        <f>IF(OR(Q741="",X741=""),"",Q741&amp;"|"&amp;X741)</f>
        <v/>
      </c>
      <c r="Z741" s="10">
        <f>IF(AND(Q741&lt;&gt;"",W741&gt;0),Q741&amp;"|월","")</f>
        <v/>
      </c>
      <c r="AA741" s="10">
        <f>IF(COUNTA(B741:I741,K741:N741)=0,"",IF(Q741="","등록번호 없음",IF(LEFT(R741,1)="⚠","모병원명 미등록",IF(S741="","파견병원 입력",IF(LEFT(S741,1)="⚠","파견병원명 미등록",IF(LEFT(U741,1)="⚠","파견과목 미등록",IF(OR(T741="",LEFT(T741,1)="⚠"),"파견근거 확인",IF(NOT(AND(ISNUMBER(H741),ISNUMBER(I741))),"날짜 형식/누락",IF(I741&lt;H741,"종료일&lt;시작일","")))))))))</f>
        <v/>
      </c>
      <c r="AB741" s="11">
        <f>IF(ISNUMBER(SEARCH("다기관",TRIM(N741&amp;" "&amp;O741))),IFERROR(DATE(VALUE(MID(TRIM(N741&amp;" "&amp;O741),1,4)),VALUE(MID(TRIM(N741&amp;" "&amp;O741),6,2)),VALUE(MID(TRIM(N741&amp;" "&amp;O741),9,2))),IF(ISNUMBER(H741),H741,"")),"")</f>
        <v/>
      </c>
      <c r="AC741" s="11">
        <f>IF(ISNUMBER(SEARCH("다기관",TRIM(N741&amp;" "&amp;O741))),IFERROR(DATE(VALUE(MID(TRIM(N741&amp;" "&amp;O741),12,4)),VALUE(MID(TRIM(N741&amp;" "&amp;O741),17,2)),VALUE(MID(TRIM(N741&amp;" "&amp;O741),20,2))),IF(ISNUMBER(I741),I741,"")),"")</f>
        <v/>
      </c>
      <c r="AD741" s="17">
        <f>IF(AND(ISNUMBER(AB741),ISNUMBER(AC741)),MAX(0,MIN(AC741,EOMONTH(출력_요약!$B$3,0))-MAX(AB741,출력_요약!$B$3)+1),0)</f>
        <v/>
      </c>
      <c r="AE741" s="10">
        <f>IF(AND(Q741&lt;&gt;"",ISNUMBER(AB741)),Q741&amp;"|다기관","")</f>
        <v/>
      </c>
    </row>
    <row r="742">
      <c r="A742" s="15">
        <f>IF(F742="","",ROW()-3)</f>
        <v/>
      </c>
      <c r="B742" s="5" t="n"/>
      <c r="C742" s="15" t="n"/>
      <c r="D742" s="5" t="n"/>
      <c r="E742" s="15" t="n"/>
      <c r="F742" s="5" t="n"/>
      <c r="G742" s="6" t="n"/>
      <c r="H742" s="16" t="n"/>
      <c r="I742" s="16" t="n"/>
      <c r="J742" s="15">
        <f>IF(AND(ISNUMBER(H742),ISNUMBER(I742)),I742-H742+1,"")</f>
        <v/>
      </c>
      <c r="K742" s="5" t="n"/>
      <c r="L742" s="5" t="n"/>
      <c r="M742" s="5" t="n"/>
      <c r="N742" s="5" t="n"/>
      <c r="O742" s="5" t="n"/>
      <c r="Q742" s="10">
        <f>IF(TRIM(G742&amp;"")="","",TRIM(G742&amp;""))</f>
        <v/>
      </c>
      <c r="R742" s="10">
        <f>IF(TRIM(B742&amp;"")="","",IFERROR(INDEX(설정_코드표!$K$2:$K$101,MATCH(TRIM(B742&amp;""),설정_코드표!$J$2:$J$101,0)),"⚠"&amp;TRIM(B742&amp;"")))</f>
        <v/>
      </c>
      <c r="S742" s="10">
        <f>IF(TRIM(K742&amp;"")="","",IFERROR(INDEX(설정_코드표!$K$2:$K$101,MATCH(TRIM(K742&amp;""),설정_코드표!$J$2:$J$101,0)),"⚠"&amp;TRIM(K742&amp;"")))</f>
        <v/>
      </c>
      <c r="T742" s="10">
        <f>IF(TRIM(M742&amp;"")="","",IF(ISNUMBER(MATCH(TRIM(M742&amp;""),설정_코드표!$C$2:$C$11,0)),TRIM(M742&amp;""),"⚠"&amp;TRIM(M742&amp;"")))</f>
        <v/>
      </c>
      <c r="U742" s="10">
        <f>IF(TRIM(L742&amp;"")="","",IFERROR(INDEX(설정_코드표!$G$2:$G$101,MATCH(TRIM(L742&amp;""),설정_코드표!$F$2:$F$101,0)),"⚠"&amp;TRIM(L742&amp;"")))</f>
        <v/>
      </c>
      <c r="V742" s="10">
        <f>IF(AND(ISNUMBER(H742),ISNUMBER(I742)),I742-H742+1,"")</f>
        <v/>
      </c>
      <c r="W742" s="17">
        <f>IF(ISNUMBER(H742),MAX(0,MIN(IF(ISNUMBER(I742),I742,EOMONTH(출력_요약!$B$3,0)),EOMONTH(출력_요약!$B$3,0))-MAX(H742,출력_요약!$B$3)+1),0)</f>
        <v/>
      </c>
      <c r="X742" s="10">
        <f>IF(OR(NOT(ISNUMBER(H742)),Q742=""),"",IF(TODAY()&lt;H742,"파견예정",IF(AND(ISNUMBER(I742),TODAY()&gt;I742),"파견종료","파견중")))</f>
        <v/>
      </c>
      <c r="Y742" s="10">
        <f>IF(OR(Q742="",X742=""),"",Q742&amp;"|"&amp;X742)</f>
        <v/>
      </c>
      <c r="Z742" s="10">
        <f>IF(AND(Q742&lt;&gt;"",W742&gt;0),Q742&amp;"|월","")</f>
        <v/>
      </c>
      <c r="AA742" s="10">
        <f>IF(COUNTA(B742:I742,K742:N742)=0,"",IF(Q742="","등록번호 없음",IF(LEFT(R742,1)="⚠","모병원명 미등록",IF(S742="","파견병원 입력",IF(LEFT(S742,1)="⚠","파견병원명 미등록",IF(LEFT(U742,1)="⚠","파견과목 미등록",IF(OR(T742="",LEFT(T742,1)="⚠"),"파견근거 확인",IF(NOT(AND(ISNUMBER(H742),ISNUMBER(I742))),"날짜 형식/누락",IF(I742&lt;H742,"종료일&lt;시작일","")))))))))</f>
        <v/>
      </c>
      <c r="AB742" s="11">
        <f>IF(ISNUMBER(SEARCH("다기관",TRIM(N742&amp;" "&amp;O742))),IFERROR(DATE(VALUE(MID(TRIM(N742&amp;" "&amp;O742),1,4)),VALUE(MID(TRIM(N742&amp;" "&amp;O742),6,2)),VALUE(MID(TRIM(N742&amp;" "&amp;O742),9,2))),IF(ISNUMBER(H742),H742,"")),"")</f>
        <v/>
      </c>
      <c r="AC742" s="11">
        <f>IF(ISNUMBER(SEARCH("다기관",TRIM(N742&amp;" "&amp;O742))),IFERROR(DATE(VALUE(MID(TRIM(N742&amp;" "&amp;O742),12,4)),VALUE(MID(TRIM(N742&amp;" "&amp;O742),17,2)),VALUE(MID(TRIM(N742&amp;" "&amp;O742),20,2))),IF(ISNUMBER(I742),I742,"")),"")</f>
        <v/>
      </c>
      <c r="AD742" s="17">
        <f>IF(AND(ISNUMBER(AB742),ISNUMBER(AC742)),MAX(0,MIN(AC742,EOMONTH(출력_요약!$B$3,0))-MAX(AB742,출력_요약!$B$3)+1),0)</f>
        <v/>
      </c>
      <c r="AE742" s="10">
        <f>IF(AND(Q742&lt;&gt;"",ISNUMBER(AB742)),Q742&amp;"|다기관","")</f>
        <v/>
      </c>
    </row>
    <row r="743">
      <c r="A743" s="15">
        <f>IF(F743="","",ROW()-3)</f>
        <v/>
      </c>
      <c r="B743" s="5" t="n"/>
      <c r="C743" s="15" t="n"/>
      <c r="D743" s="5" t="n"/>
      <c r="E743" s="15" t="n"/>
      <c r="F743" s="5" t="n"/>
      <c r="G743" s="6" t="n"/>
      <c r="H743" s="16" t="n"/>
      <c r="I743" s="16" t="n"/>
      <c r="J743" s="15">
        <f>IF(AND(ISNUMBER(H743),ISNUMBER(I743)),I743-H743+1,"")</f>
        <v/>
      </c>
      <c r="K743" s="5" t="n"/>
      <c r="L743" s="5" t="n"/>
      <c r="M743" s="5" t="n"/>
      <c r="N743" s="5" t="n"/>
      <c r="O743" s="5" t="n"/>
      <c r="Q743" s="10">
        <f>IF(TRIM(G743&amp;"")="","",TRIM(G743&amp;""))</f>
        <v/>
      </c>
      <c r="R743" s="10">
        <f>IF(TRIM(B743&amp;"")="","",IFERROR(INDEX(설정_코드표!$K$2:$K$101,MATCH(TRIM(B743&amp;""),설정_코드표!$J$2:$J$101,0)),"⚠"&amp;TRIM(B743&amp;"")))</f>
        <v/>
      </c>
      <c r="S743" s="10">
        <f>IF(TRIM(K743&amp;"")="","",IFERROR(INDEX(설정_코드표!$K$2:$K$101,MATCH(TRIM(K743&amp;""),설정_코드표!$J$2:$J$101,0)),"⚠"&amp;TRIM(K743&amp;"")))</f>
        <v/>
      </c>
      <c r="T743" s="10">
        <f>IF(TRIM(M743&amp;"")="","",IF(ISNUMBER(MATCH(TRIM(M743&amp;""),설정_코드표!$C$2:$C$11,0)),TRIM(M743&amp;""),"⚠"&amp;TRIM(M743&amp;"")))</f>
        <v/>
      </c>
      <c r="U743" s="10">
        <f>IF(TRIM(L743&amp;"")="","",IFERROR(INDEX(설정_코드표!$G$2:$G$101,MATCH(TRIM(L743&amp;""),설정_코드표!$F$2:$F$101,0)),"⚠"&amp;TRIM(L743&amp;"")))</f>
        <v/>
      </c>
      <c r="V743" s="10">
        <f>IF(AND(ISNUMBER(H743),ISNUMBER(I743)),I743-H743+1,"")</f>
        <v/>
      </c>
      <c r="W743" s="17">
        <f>IF(ISNUMBER(H743),MAX(0,MIN(IF(ISNUMBER(I743),I743,EOMONTH(출력_요약!$B$3,0)),EOMONTH(출력_요약!$B$3,0))-MAX(H743,출력_요약!$B$3)+1),0)</f>
        <v/>
      </c>
      <c r="X743" s="10">
        <f>IF(OR(NOT(ISNUMBER(H743)),Q743=""),"",IF(TODAY()&lt;H743,"파견예정",IF(AND(ISNUMBER(I743),TODAY()&gt;I743),"파견종료","파견중")))</f>
        <v/>
      </c>
      <c r="Y743" s="10">
        <f>IF(OR(Q743="",X743=""),"",Q743&amp;"|"&amp;X743)</f>
        <v/>
      </c>
      <c r="Z743" s="10">
        <f>IF(AND(Q743&lt;&gt;"",W743&gt;0),Q743&amp;"|월","")</f>
        <v/>
      </c>
      <c r="AA743" s="10">
        <f>IF(COUNTA(B743:I743,K743:N743)=0,"",IF(Q743="","등록번호 없음",IF(LEFT(R743,1)="⚠","모병원명 미등록",IF(S743="","파견병원 입력",IF(LEFT(S743,1)="⚠","파견병원명 미등록",IF(LEFT(U743,1)="⚠","파견과목 미등록",IF(OR(T743="",LEFT(T743,1)="⚠"),"파견근거 확인",IF(NOT(AND(ISNUMBER(H743),ISNUMBER(I743))),"날짜 형식/누락",IF(I743&lt;H743,"종료일&lt;시작일","")))))))))</f>
        <v/>
      </c>
      <c r="AB743" s="11">
        <f>IF(ISNUMBER(SEARCH("다기관",TRIM(N743&amp;" "&amp;O743))),IFERROR(DATE(VALUE(MID(TRIM(N743&amp;" "&amp;O743),1,4)),VALUE(MID(TRIM(N743&amp;" "&amp;O743),6,2)),VALUE(MID(TRIM(N743&amp;" "&amp;O743),9,2))),IF(ISNUMBER(H743),H743,"")),"")</f>
        <v/>
      </c>
      <c r="AC743" s="11">
        <f>IF(ISNUMBER(SEARCH("다기관",TRIM(N743&amp;" "&amp;O743))),IFERROR(DATE(VALUE(MID(TRIM(N743&amp;" "&amp;O743),12,4)),VALUE(MID(TRIM(N743&amp;" "&amp;O743),17,2)),VALUE(MID(TRIM(N743&amp;" "&amp;O743),20,2))),IF(ISNUMBER(I743),I743,"")),"")</f>
        <v/>
      </c>
      <c r="AD743" s="17">
        <f>IF(AND(ISNUMBER(AB743),ISNUMBER(AC743)),MAX(0,MIN(AC743,EOMONTH(출력_요약!$B$3,0))-MAX(AB743,출력_요약!$B$3)+1),0)</f>
        <v/>
      </c>
      <c r="AE743" s="10">
        <f>IF(AND(Q743&lt;&gt;"",ISNUMBER(AB743)),Q743&amp;"|다기관","")</f>
        <v/>
      </c>
    </row>
    <row r="744">
      <c r="A744" s="15">
        <f>IF(F744="","",ROW()-3)</f>
        <v/>
      </c>
      <c r="B744" s="5" t="n"/>
      <c r="C744" s="15" t="n"/>
      <c r="D744" s="5" t="n"/>
      <c r="E744" s="15" t="n"/>
      <c r="F744" s="5" t="n"/>
      <c r="G744" s="6" t="n"/>
      <c r="H744" s="16" t="n"/>
      <c r="I744" s="16" t="n"/>
      <c r="J744" s="15">
        <f>IF(AND(ISNUMBER(H744),ISNUMBER(I744)),I744-H744+1,"")</f>
        <v/>
      </c>
      <c r="K744" s="5" t="n"/>
      <c r="L744" s="5" t="n"/>
      <c r="M744" s="5" t="n"/>
      <c r="N744" s="5" t="n"/>
      <c r="O744" s="5" t="n"/>
      <c r="Q744" s="10">
        <f>IF(TRIM(G744&amp;"")="","",TRIM(G744&amp;""))</f>
        <v/>
      </c>
      <c r="R744" s="10">
        <f>IF(TRIM(B744&amp;"")="","",IFERROR(INDEX(설정_코드표!$K$2:$K$101,MATCH(TRIM(B744&amp;""),설정_코드표!$J$2:$J$101,0)),"⚠"&amp;TRIM(B744&amp;"")))</f>
        <v/>
      </c>
      <c r="S744" s="10">
        <f>IF(TRIM(K744&amp;"")="","",IFERROR(INDEX(설정_코드표!$K$2:$K$101,MATCH(TRIM(K744&amp;""),설정_코드표!$J$2:$J$101,0)),"⚠"&amp;TRIM(K744&amp;"")))</f>
        <v/>
      </c>
      <c r="T744" s="10">
        <f>IF(TRIM(M744&amp;"")="","",IF(ISNUMBER(MATCH(TRIM(M744&amp;""),설정_코드표!$C$2:$C$11,0)),TRIM(M744&amp;""),"⚠"&amp;TRIM(M744&amp;"")))</f>
        <v/>
      </c>
      <c r="U744" s="10">
        <f>IF(TRIM(L744&amp;"")="","",IFERROR(INDEX(설정_코드표!$G$2:$G$101,MATCH(TRIM(L744&amp;""),설정_코드표!$F$2:$F$101,0)),"⚠"&amp;TRIM(L744&amp;"")))</f>
        <v/>
      </c>
      <c r="V744" s="10">
        <f>IF(AND(ISNUMBER(H744),ISNUMBER(I744)),I744-H744+1,"")</f>
        <v/>
      </c>
      <c r="W744" s="17">
        <f>IF(ISNUMBER(H744),MAX(0,MIN(IF(ISNUMBER(I744),I744,EOMONTH(출력_요약!$B$3,0)),EOMONTH(출력_요약!$B$3,0))-MAX(H744,출력_요약!$B$3)+1),0)</f>
        <v/>
      </c>
      <c r="X744" s="10">
        <f>IF(OR(NOT(ISNUMBER(H744)),Q744=""),"",IF(TODAY()&lt;H744,"파견예정",IF(AND(ISNUMBER(I744),TODAY()&gt;I744),"파견종료","파견중")))</f>
        <v/>
      </c>
      <c r="Y744" s="10">
        <f>IF(OR(Q744="",X744=""),"",Q744&amp;"|"&amp;X744)</f>
        <v/>
      </c>
      <c r="Z744" s="10">
        <f>IF(AND(Q744&lt;&gt;"",W744&gt;0),Q744&amp;"|월","")</f>
        <v/>
      </c>
      <c r="AA744" s="10">
        <f>IF(COUNTA(B744:I744,K744:N744)=0,"",IF(Q744="","등록번호 없음",IF(LEFT(R744,1)="⚠","모병원명 미등록",IF(S744="","파견병원 입력",IF(LEFT(S744,1)="⚠","파견병원명 미등록",IF(LEFT(U744,1)="⚠","파견과목 미등록",IF(OR(T744="",LEFT(T744,1)="⚠"),"파견근거 확인",IF(NOT(AND(ISNUMBER(H744),ISNUMBER(I744))),"날짜 형식/누락",IF(I744&lt;H744,"종료일&lt;시작일","")))))))))</f>
        <v/>
      </c>
      <c r="AB744" s="11">
        <f>IF(ISNUMBER(SEARCH("다기관",TRIM(N744&amp;" "&amp;O744))),IFERROR(DATE(VALUE(MID(TRIM(N744&amp;" "&amp;O744),1,4)),VALUE(MID(TRIM(N744&amp;" "&amp;O744),6,2)),VALUE(MID(TRIM(N744&amp;" "&amp;O744),9,2))),IF(ISNUMBER(H744),H744,"")),"")</f>
        <v/>
      </c>
      <c r="AC744" s="11">
        <f>IF(ISNUMBER(SEARCH("다기관",TRIM(N744&amp;" "&amp;O744))),IFERROR(DATE(VALUE(MID(TRIM(N744&amp;" "&amp;O744),12,4)),VALUE(MID(TRIM(N744&amp;" "&amp;O744),17,2)),VALUE(MID(TRIM(N744&amp;" "&amp;O744),20,2))),IF(ISNUMBER(I744),I744,"")),"")</f>
        <v/>
      </c>
      <c r="AD744" s="17">
        <f>IF(AND(ISNUMBER(AB744),ISNUMBER(AC744)),MAX(0,MIN(AC744,EOMONTH(출력_요약!$B$3,0))-MAX(AB744,출력_요약!$B$3)+1),0)</f>
        <v/>
      </c>
      <c r="AE744" s="10">
        <f>IF(AND(Q744&lt;&gt;"",ISNUMBER(AB744)),Q744&amp;"|다기관","")</f>
        <v/>
      </c>
    </row>
    <row r="745">
      <c r="A745" s="15">
        <f>IF(F745="","",ROW()-3)</f>
        <v/>
      </c>
      <c r="B745" s="5" t="n"/>
      <c r="C745" s="15" t="n"/>
      <c r="D745" s="5" t="n"/>
      <c r="E745" s="15" t="n"/>
      <c r="F745" s="5" t="n"/>
      <c r="G745" s="6" t="n"/>
      <c r="H745" s="16" t="n"/>
      <c r="I745" s="16" t="n"/>
      <c r="J745" s="15">
        <f>IF(AND(ISNUMBER(H745),ISNUMBER(I745)),I745-H745+1,"")</f>
        <v/>
      </c>
      <c r="K745" s="5" t="n"/>
      <c r="L745" s="5" t="n"/>
      <c r="M745" s="5" t="n"/>
      <c r="N745" s="5" t="n"/>
      <c r="O745" s="5" t="n"/>
      <c r="Q745" s="10">
        <f>IF(TRIM(G745&amp;"")="","",TRIM(G745&amp;""))</f>
        <v/>
      </c>
      <c r="R745" s="10">
        <f>IF(TRIM(B745&amp;"")="","",IFERROR(INDEX(설정_코드표!$K$2:$K$101,MATCH(TRIM(B745&amp;""),설정_코드표!$J$2:$J$101,0)),"⚠"&amp;TRIM(B745&amp;"")))</f>
        <v/>
      </c>
      <c r="S745" s="10">
        <f>IF(TRIM(K745&amp;"")="","",IFERROR(INDEX(설정_코드표!$K$2:$K$101,MATCH(TRIM(K745&amp;""),설정_코드표!$J$2:$J$101,0)),"⚠"&amp;TRIM(K745&amp;"")))</f>
        <v/>
      </c>
      <c r="T745" s="10">
        <f>IF(TRIM(M745&amp;"")="","",IF(ISNUMBER(MATCH(TRIM(M745&amp;""),설정_코드표!$C$2:$C$11,0)),TRIM(M745&amp;""),"⚠"&amp;TRIM(M745&amp;"")))</f>
        <v/>
      </c>
      <c r="U745" s="10">
        <f>IF(TRIM(L745&amp;"")="","",IFERROR(INDEX(설정_코드표!$G$2:$G$101,MATCH(TRIM(L745&amp;""),설정_코드표!$F$2:$F$101,0)),"⚠"&amp;TRIM(L745&amp;"")))</f>
        <v/>
      </c>
      <c r="V745" s="10">
        <f>IF(AND(ISNUMBER(H745),ISNUMBER(I745)),I745-H745+1,"")</f>
        <v/>
      </c>
      <c r="W745" s="17">
        <f>IF(ISNUMBER(H745),MAX(0,MIN(IF(ISNUMBER(I745),I745,EOMONTH(출력_요약!$B$3,0)),EOMONTH(출력_요약!$B$3,0))-MAX(H745,출력_요약!$B$3)+1),0)</f>
        <v/>
      </c>
      <c r="X745" s="10">
        <f>IF(OR(NOT(ISNUMBER(H745)),Q745=""),"",IF(TODAY()&lt;H745,"파견예정",IF(AND(ISNUMBER(I745),TODAY()&gt;I745),"파견종료","파견중")))</f>
        <v/>
      </c>
      <c r="Y745" s="10">
        <f>IF(OR(Q745="",X745=""),"",Q745&amp;"|"&amp;X745)</f>
        <v/>
      </c>
      <c r="Z745" s="10">
        <f>IF(AND(Q745&lt;&gt;"",W745&gt;0),Q745&amp;"|월","")</f>
        <v/>
      </c>
      <c r="AA745" s="10">
        <f>IF(COUNTA(B745:I745,K745:N745)=0,"",IF(Q745="","등록번호 없음",IF(LEFT(R745,1)="⚠","모병원명 미등록",IF(S745="","파견병원 입력",IF(LEFT(S745,1)="⚠","파견병원명 미등록",IF(LEFT(U745,1)="⚠","파견과목 미등록",IF(OR(T745="",LEFT(T745,1)="⚠"),"파견근거 확인",IF(NOT(AND(ISNUMBER(H745),ISNUMBER(I745))),"날짜 형식/누락",IF(I745&lt;H745,"종료일&lt;시작일","")))))))))</f>
        <v/>
      </c>
      <c r="AB745" s="11">
        <f>IF(ISNUMBER(SEARCH("다기관",TRIM(N745&amp;" "&amp;O745))),IFERROR(DATE(VALUE(MID(TRIM(N745&amp;" "&amp;O745),1,4)),VALUE(MID(TRIM(N745&amp;" "&amp;O745),6,2)),VALUE(MID(TRIM(N745&amp;" "&amp;O745),9,2))),IF(ISNUMBER(H745),H745,"")),"")</f>
        <v/>
      </c>
      <c r="AC745" s="11">
        <f>IF(ISNUMBER(SEARCH("다기관",TRIM(N745&amp;" "&amp;O745))),IFERROR(DATE(VALUE(MID(TRIM(N745&amp;" "&amp;O745),12,4)),VALUE(MID(TRIM(N745&amp;" "&amp;O745),17,2)),VALUE(MID(TRIM(N745&amp;" "&amp;O745),20,2))),IF(ISNUMBER(I745),I745,"")),"")</f>
        <v/>
      </c>
      <c r="AD745" s="17">
        <f>IF(AND(ISNUMBER(AB745),ISNUMBER(AC745)),MAX(0,MIN(AC745,EOMONTH(출력_요약!$B$3,0))-MAX(AB745,출력_요약!$B$3)+1),0)</f>
        <v/>
      </c>
      <c r="AE745" s="10">
        <f>IF(AND(Q745&lt;&gt;"",ISNUMBER(AB745)),Q745&amp;"|다기관","")</f>
        <v/>
      </c>
    </row>
    <row r="746">
      <c r="A746" s="15">
        <f>IF(F746="","",ROW()-3)</f>
        <v/>
      </c>
      <c r="B746" s="5" t="n"/>
      <c r="C746" s="15" t="n"/>
      <c r="D746" s="5" t="n"/>
      <c r="E746" s="15" t="n"/>
      <c r="F746" s="5" t="n"/>
      <c r="G746" s="6" t="n"/>
      <c r="H746" s="16" t="n"/>
      <c r="I746" s="16" t="n"/>
      <c r="J746" s="15">
        <f>IF(AND(ISNUMBER(H746),ISNUMBER(I746)),I746-H746+1,"")</f>
        <v/>
      </c>
      <c r="K746" s="5" t="n"/>
      <c r="L746" s="5" t="n"/>
      <c r="M746" s="5" t="n"/>
      <c r="N746" s="5" t="n"/>
      <c r="O746" s="5" t="n"/>
      <c r="Q746" s="10">
        <f>IF(TRIM(G746&amp;"")="","",TRIM(G746&amp;""))</f>
        <v/>
      </c>
      <c r="R746" s="10">
        <f>IF(TRIM(B746&amp;"")="","",IFERROR(INDEX(설정_코드표!$K$2:$K$101,MATCH(TRIM(B746&amp;""),설정_코드표!$J$2:$J$101,0)),"⚠"&amp;TRIM(B746&amp;"")))</f>
        <v/>
      </c>
      <c r="S746" s="10">
        <f>IF(TRIM(K746&amp;"")="","",IFERROR(INDEX(설정_코드표!$K$2:$K$101,MATCH(TRIM(K746&amp;""),설정_코드표!$J$2:$J$101,0)),"⚠"&amp;TRIM(K746&amp;"")))</f>
        <v/>
      </c>
      <c r="T746" s="10">
        <f>IF(TRIM(M746&amp;"")="","",IF(ISNUMBER(MATCH(TRIM(M746&amp;""),설정_코드표!$C$2:$C$11,0)),TRIM(M746&amp;""),"⚠"&amp;TRIM(M746&amp;"")))</f>
        <v/>
      </c>
      <c r="U746" s="10">
        <f>IF(TRIM(L746&amp;"")="","",IFERROR(INDEX(설정_코드표!$G$2:$G$101,MATCH(TRIM(L746&amp;""),설정_코드표!$F$2:$F$101,0)),"⚠"&amp;TRIM(L746&amp;"")))</f>
        <v/>
      </c>
      <c r="V746" s="10">
        <f>IF(AND(ISNUMBER(H746),ISNUMBER(I746)),I746-H746+1,"")</f>
        <v/>
      </c>
      <c r="W746" s="17">
        <f>IF(ISNUMBER(H746),MAX(0,MIN(IF(ISNUMBER(I746),I746,EOMONTH(출력_요약!$B$3,0)),EOMONTH(출력_요약!$B$3,0))-MAX(H746,출력_요약!$B$3)+1),0)</f>
        <v/>
      </c>
      <c r="X746" s="10">
        <f>IF(OR(NOT(ISNUMBER(H746)),Q746=""),"",IF(TODAY()&lt;H746,"파견예정",IF(AND(ISNUMBER(I746),TODAY()&gt;I746),"파견종료","파견중")))</f>
        <v/>
      </c>
      <c r="Y746" s="10">
        <f>IF(OR(Q746="",X746=""),"",Q746&amp;"|"&amp;X746)</f>
        <v/>
      </c>
      <c r="Z746" s="10">
        <f>IF(AND(Q746&lt;&gt;"",W746&gt;0),Q746&amp;"|월","")</f>
        <v/>
      </c>
      <c r="AA746" s="10">
        <f>IF(COUNTA(B746:I746,K746:N746)=0,"",IF(Q746="","등록번호 없음",IF(LEFT(R746,1)="⚠","모병원명 미등록",IF(S746="","파견병원 입력",IF(LEFT(S746,1)="⚠","파견병원명 미등록",IF(LEFT(U746,1)="⚠","파견과목 미등록",IF(OR(T746="",LEFT(T746,1)="⚠"),"파견근거 확인",IF(NOT(AND(ISNUMBER(H746),ISNUMBER(I746))),"날짜 형식/누락",IF(I746&lt;H746,"종료일&lt;시작일","")))))))))</f>
        <v/>
      </c>
      <c r="AB746" s="11">
        <f>IF(ISNUMBER(SEARCH("다기관",TRIM(N746&amp;" "&amp;O746))),IFERROR(DATE(VALUE(MID(TRIM(N746&amp;" "&amp;O746),1,4)),VALUE(MID(TRIM(N746&amp;" "&amp;O746),6,2)),VALUE(MID(TRIM(N746&amp;" "&amp;O746),9,2))),IF(ISNUMBER(H746),H746,"")),"")</f>
        <v/>
      </c>
      <c r="AC746" s="11">
        <f>IF(ISNUMBER(SEARCH("다기관",TRIM(N746&amp;" "&amp;O746))),IFERROR(DATE(VALUE(MID(TRIM(N746&amp;" "&amp;O746),12,4)),VALUE(MID(TRIM(N746&amp;" "&amp;O746),17,2)),VALUE(MID(TRIM(N746&amp;" "&amp;O746),20,2))),IF(ISNUMBER(I746),I746,"")),"")</f>
        <v/>
      </c>
      <c r="AD746" s="17">
        <f>IF(AND(ISNUMBER(AB746),ISNUMBER(AC746)),MAX(0,MIN(AC746,EOMONTH(출력_요약!$B$3,0))-MAX(AB746,출력_요약!$B$3)+1),0)</f>
        <v/>
      </c>
      <c r="AE746" s="10">
        <f>IF(AND(Q746&lt;&gt;"",ISNUMBER(AB746)),Q746&amp;"|다기관","")</f>
        <v/>
      </c>
    </row>
    <row r="747">
      <c r="A747" s="15">
        <f>IF(F747="","",ROW()-3)</f>
        <v/>
      </c>
      <c r="B747" s="5" t="n"/>
      <c r="C747" s="15" t="n"/>
      <c r="D747" s="5" t="n"/>
      <c r="E747" s="15" t="n"/>
      <c r="F747" s="5" t="n"/>
      <c r="G747" s="6" t="n"/>
      <c r="H747" s="16" t="n"/>
      <c r="I747" s="16" t="n"/>
      <c r="J747" s="15">
        <f>IF(AND(ISNUMBER(H747),ISNUMBER(I747)),I747-H747+1,"")</f>
        <v/>
      </c>
      <c r="K747" s="5" t="n"/>
      <c r="L747" s="5" t="n"/>
      <c r="M747" s="5" t="n"/>
      <c r="N747" s="5" t="n"/>
      <c r="O747" s="5" t="n"/>
      <c r="Q747" s="10">
        <f>IF(TRIM(G747&amp;"")="","",TRIM(G747&amp;""))</f>
        <v/>
      </c>
      <c r="R747" s="10">
        <f>IF(TRIM(B747&amp;"")="","",IFERROR(INDEX(설정_코드표!$K$2:$K$101,MATCH(TRIM(B747&amp;""),설정_코드표!$J$2:$J$101,0)),"⚠"&amp;TRIM(B747&amp;"")))</f>
        <v/>
      </c>
      <c r="S747" s="10">
        <f>IF(TRIM(K747&amp;"")="","",IFERROR(INDEX(설정_코드표!$K$2:$K$101,MATCH(TRIM(K747&amp;""),설정_코드표!$J$2:$J$101,0)),"⚠"&amp;TRIM(K747&amp;"")))</f>
        <v/>
      </c>
      <c r="T747" s="10">
        <f>IF(TRIM(M747&amp;"")="","",IF(ISNUMBER(MATCH(TRIM(M747&amp;""),설정_코드표!$C$2:$C$11,0)),TRIM(M747&amp;""),"⚠"&amp;TRIM(M747&amp;"")))</f>
        <v/>
      </c>
      <c r="U747" s="10">
        <f>IF(TRIM(L747&amp;"")="","",IFERROR(INDEX(설정_코드표!$G$2:$G$101,MATCH(TRIM(L747&amp;""),설정_코드표!$F$2:$F$101,0)),"⚠"&amp;TRIM(L747&amp;"")))</f>
        <v/>
      </c>
      <c r="V747" s="10">
        <f>IF(AND(ISNUMBER(H747),ISNUMBER(I747)),I747-H747+1,"")</f>
        <v/>
      </c>
      <c r="W747" s="17">
        <f>IF(ISNUMBER(H747),MAX(0,MIN(IF(ISNUMBER(I747),I747,EOMONTH(출력_요약!$B$3,0)),EOMONTH(출력_요약!$B$3,0))-MAX(H747,출력_요약!$B$3)+1),0)</f>
        <v/>
      </c>
      <c r="X747" s="10">
        <f>IF(OR(NOT(ISNUMBER(H747)),Q747=""),"",IF(TODAY()&lt;H747,"파견예정",IF(AND(ISNUMBER(I747),TODAY()&gt;I747),"파견종료","파견중")))</f>
        <v/>
      </c>
      <c r="Y747" s="10">
        <f>IF(OR(Q747="",X747=""),"",Q747&amp;"|"&amp;X747)</f>
        <v/>
      </c>
      <c r="Z747" s="10">
        <f>IF(AND(Q747&lt;&gt;"",W747&gt;0),Q747&amp;"|월","")</f>
        <v/>
      </c>
      <c r="AA747" s="10">
        <f>IF(COUNTA(B747:I747,K747:N747)=0,"",IF(Q747="","등록번호 없음",IF(LEFT(R747,1)="⚠","모병원명 미등록",IF(S747="","파견병원 입력",IF(LEFT(S747,1)="⚠","파견병원명 미등록",IF(LEFT(U747,1)="⚠","파견과목 미등록",IF(OR(T747="",LEFT(T747,1)="⚠"),"파견근거 확인",IF(NOT(AND(ISNUMBER(H747),ISNUMBER(I747))),"날짜 형식/누락",IF(I747&lt;H747,"종료일&lt;시작일","")))))))))</f>
        <v/>
      </c>
      <c r="AB747" s="11">
        <f>IF(ISNUMBER(SEARCH("다기관",TRIM(N747&amp;" "&amp;O747))),IFERROR(DATE(VALUE(MID(TRIM(N747&amp;" "&amp;O747),1,4)),VALUE(MID(TRIM(N747&amp;" "&amp;O747),6,2)),VALUE(MID(TRIM(N747&amp;" "&amp;O747),9,2))),IF(ISNUMBER(H747),H747,"")),"")</f>
        <v/>
      </c>
      <c r="AC747" s="11">
        <f>IF(ISNUMBER(SEARCH("다기관",TRIM(N747&amp;" "&amp;O747))),IFERROR(DATE(VALUE(MID(TRIM(N747&amp;" "&amp;O747),12,4)),VALUE(MID(TRIM(N747&amp;" "&amp;O747),17,2)),VALUE(MID(TRIM(N747&amp;" "&amp;O747),20,2))),IF(ISNUMBER(I747),I747,"")),"")</f>
        <v/>
      </c>
      <c r="AD747" s="17">
        <f>IF(AND(ISNUMBER(AB747),ISNUMBER(AC747)),MAX(0,MIN(AC747,EOMONTH(출력_요약!$B$3,0))-MAX(AB747,출력_요약!$B$3)+1),0)</f>
        <v/>
      </c>
      <c r="AE747" s="10">
        <f>IF(AND(Q747&lt;&gt;"",ISNUMBER(AB747)),Q747&amp;"|다기관","")</f>
        <v/>
      </c>
    </row>
    <row r="748">
      <c r="A748" s="15">
        <f>IF(F748="","",ROW()-3)</f>
        <v/>
      </c>
      <c r="B748" s="5" t="n"/>
      <c r="C748" s="15" t="n"/>
      <c r="D748" s="5" t="n"/>
      <c r="E748" s="15" t="n"/>
      <c r="F748" s="5" t="n"/>
      <c r="G748" s="6" t="n"/>
      <c r="H748" s="16" t="n"/>
      <c r="I748" s="16" t="n"/>
      <c r="J748" s="15">
        <f>IF(AND(ISNUMBER(H748),ISNUMBER(I748)),I748-H748+1,"")</f>
        <v/>
      </c>
      <c r="K748" s="5" t="n"/>
      <c r="L748" s="5" t="n"/>
      <c r="M748" s="5" t="n"/>
      <c r="N748" s="5" t="n"/>
      <c r="O748" s="5" t="n"/>
      <c r="Q748" s="10">
        <f>IF(TRIM(G748&amp;"")="","",TRIM(G748&amp;""))</f>
        <v/>
      </c>
      <c r="R748" s="10">
        <f>IF(TRIM(B748&amp;"")="","",IFERROR(INDEX(설정_코드표!$K$2:$K$101,MATCH(TRIM(B748&amp;""),설정_코드표!$J$2:$J$101,0)),"⚠"&amp;TRIM(B748&amp;"")))</f>
        <v/>
      </c>
      <c r="S748" s="10">
        <f>IF(TRIM(K748&amp;"")="","",IFERROR(INDEX(설정_코드표!$K$2:$K$101,MATCH(TRIM(K748&amp;""),설정_코드표!$J$2:$J$101,0)),"⚠"&amp;TRIM(K748&amp;"")))</f>
        <v/>
      </c>
      <c r="T748" s="10">
        <f>IF(TRIM(M748&amp;"")="","",IF(ISNUMBER(MATCH(TRIM(M748&amp;""),설정_코드표!$C$2:$C$11,0)),TRIM(M748&amp;""),"⚠"&amp;TRIM(M748&amp;"")))</f>
        <v/>
      </c>
      <c r="U748" s="10">
        <f>IF(TRIM(L748&amp;"")="","",IFERROR(INDEX(설정_코드표!$G$2:$G$101,MATCH(TRIM(L748&amp;""),설정_코드표!$F$2:$F$101,0)),"⚠"&amp;TRIM(L748&amp;"")))</f>
        <v/>
      </c>
      <c r="V748" s="10">
        <f>IF(AND(ISNUMBER(H748),ISNUMBER(I748)),I748-H748+1,"")</f>
        <v/>
      </c>
      <c r="W748" s="17">
        <f>IF(ISNUMBER(H748),MAX(0,MIN(IF(ISNUMBER(I748),I748,EOMONTH(출력_요약!$B$3,0)),EOMONTH(출력_요약!$B$3,0))-MAX(H748,출력_요약!$B$3)+1),0)</f>
        <v/>
      </c>
      <c r="X748" s="10">
        <f>IF(OR(NOT(ISNUMBER(H748)),Q748=""),"",IF(TODAY()&lt;H748,"파견예정",IF(AND(ISNUMBER(I748),TODAY()&gt;I748),"파견종료","파견중")))</f>
        <v/>
      </c>
      <c r="Y748" s="10">
        <f>IF(OR(Q748="",X748=""),"",Q748&amp;"|"&amp;X748)</f>
        <v/>
      </c>
      <c r="Z748" s="10">
        <f>IF(AND(Q748&lt;&gt;"",W748&gt;0),Q748&amp;"|월","")</f>
        <v/>
      </c>
      <c r="AA748" s="10">
        <f>IF(COUNTA(B748:I748,K748:N748)=0,"",IF(Q748="","등록번호 없음",IF(LEFT(R748,1)="⚠","모병원명 미등록",IF(S748="","파견병원 입력",IF(LEFT(S748,1)="⚠","파견병원명 미등록",IF(LEFT(U748,1)="⚠","파견과목 미등록",IF(OR(T748="",LEFT(T748,1)="⚠"),"파견근거 확인",IF(NOT(AND(ISNUMBER(H748),ISNUMBER(I748))),"날짜 형식/누락",IF(I748&lt;H748,"종료일&lt;시작일","")))))))))</f>
        <v/>
      </c>
      <c r="AB748" s="11">
        <f>IF(ISNUMBER(SEARCH("다기관",TRIM(N748&amp;" "&amp;O748))),IFERROR(DATE(VALUE(MID(TRIM(N748&amp;" "&amp;O748),1,4)),VALUE(MID(TRIM(N748&amp;" "&amp;O748),6,2)),VALUE(MID(TRIM(N748&amp;" "&amp;O748),9,2))),IF(ISNUMBER(H748),H748,"")),"")</f>
        <v/>
      </c>
      <c r="AC748" s="11">
        <f>IF(ISNUMBER(SEARCH("다기관",TRIM(N748&amp;" "&amp;O748))),IFERROR(DATE(VALUE(MID(TRIM(N748&amp;" "&amp;O748),12,4)),VALUE(MID(TRIM(N748&amp;" "&amp;O748),17,2)),VALUE(MID(TRIM(N748&amp;" "&amp;O748),20,2))),IF(ISNUMBER(I748),I748,"")),"")</f>
        <v/>
      </c>
      <c r="AD748" s="17">
        <f>IF(AND(ISNUMBER(AB748),ISNUMBER(AC748)),MAX(0,MIN(AC748,EOMONTH(출력_요약!$B$3,0))-MAX(AB748,출력_요약!$B$3)+1),0)</f>
        <v/>
      </c>
      <c r="AE748" s="10">
        <f>IF(AND(Q748&lt;&gt;"",ISNUMBER(AB748)),Q748&amp;"|다기관","")</f>
        <v/>
      </c>
    </row>
    <row r="749">
      <c r="A749" s="15">
        <f>IF(F749="","",ROW()-3)</f>
        <v/>
      </c>
      <c r="B749" s="5" t="n"/>
      <c r="C749" s="15" t="n"/>
      <c r="D749" s="5" t="n"/>
      <c r="E749" s="15" t="n"/>
      <c r="F749" s="5" t="n"/>
      <c r="G749" s="6" t="n"/>
      <c r="H749" s="16" t="n"/>
      <c r="I749" s="16" t="n"/>
      <c r="J749" s="15">
        <f>IF(AND(ISNUMBER(H749),ISNUMBER(I749)),I749-H749+1,"")</f>
        <v/>
      </c>
      <c r="K749" s="5" t="n"/>
      <c r="L749" s="5" t="n"/>
      <c r="M749" s="5" t="n"/>
      <c r="N749" s="5" t="n"/>
      <c r="O749" s="5" t="n"/>
      <c r="Q749" s="10">
        <f>IF(TRIM(G749&amp;"")="","",TRIM(G749&amp;""))</f>
        <v/>
      </c>
      <c r="R749" s="10">
        <f>IF(TRIM(B749&amp;"")="","",IFERROR(INDEX(설정_코드표!$K$2:$K$101,MATCH(TRIM(B749&amp;""),설정_코드표!$J$2:$J$101,0)),"⚠"&amp;TRIM(B749&amp;"")))</f>
        <v/>
      </c>
      <c r="S749" s="10">
        <f>IF(TRIM(K749&amp;"")="","",IFERROR(INDEX(설정_코드표!$K$2:$K$101,MATCH(TRIM(K749&amp;""),설정_코드표!$J$2:$J$101,0)),"⚠"&amp;TRIM(K749&amp;"")))</f>
        <v/>
      </c>
      <c r="T749" s="10">
        <f>IF(TRIM(M749&amp;"")="","",IF(ISNUMBER(MATCH(TRIM(M749&amp;""),설정_코드표!$C$2:$C$11,0)),TRIM(M749&amp;""),"⚠"&amp;TRIM(M749&amp;"")))</f>
        <v/>
      </c>
      <c r="U749" s="10">
        <f>IF(TRIM(L749&amp;"")="","",IFERROR(INDEX(설정_코드표!$G$2:$G$101,MATCH(TRIM(L749&amp;""),설정_코드표!$F$2:$F$101,0)),"⚠"&amp;TRIM(L749&amp;"")))</f>
        <v/>
      </c>
      <c r="V749" s="10">
        <f>IF(AND(ISNUMBER(H749),ISNUMBER(I749)),I749-H749+1,"")</f>
        <v/>
      </c>
      <c r="W749" s="17">
        <f>IF(ISNUMBER(H749),MAX(0,MIN(IF(ISNUMBER(I749),I749,EOMONTH(출력_요약!$B$3,0)),EOMONTH(출력_요약!$B$3,0))-MAX(H749,출력_요약!$B$3)+1),0)</f>
        <v/>
      </c>
      <c r="X749" s="10">
        <f>IF(OR(NOT(ISNUMBER(H749)),Q749=""),"",IF(TODAY()&lt;H749,"파견예정",IF(AND(ISNUMBER(I749),TODAY()&gt;I749),"파견종료","파견중")))</f>
        <v/>
      </c>
      <c r="Y749" s="10">
        <f>IF(OR(Q749="",X749=""),"",Q749&amp;"|"&amp;X749)</f>
        <v/>
      </c>
      <c r="Z749" s="10">
        <f>IF(AND(Q749&lt;&gt;"",W749&gt;0),Q749&amp;"|월","")</f>
        <v/>
      </c>
      <c r="AA749" s="10">
        <f>IF(COUNTA(B749:I749,K749:N749)=0,"",IF(Q749="","등록번호 없음",IF(LEFT(R749,1)="⚠","모병원명 미등록",IF(S749="","파견병원 입력",IF(LEFT(S749,1)="⚠","파견병원명 미등록",IF(LEFT(U749,1)="⚠","파견과목 미등록",IF(OR(T749="",LEFT(T749,1)="⚠"),"파견근거 확인",IF(NOT(AND(ISNUMBER(H749),ISNUMBER(I749))),"날짜 형식/누락",IF(I749&lt;H749,"종료일&lt;시작일","")))))))))</f>
        <v/>
      </c>
      <c r="AB749" s="11">
        <f>IF(ISNUMBER(SEARCH("다기관",TRIM(N749&amp;" "&amp;O749))),IFERROR(DATE(VALUE(MID(TRIM(N749&amp;" "&amp;O749),1,4)),VALUE(MID(TRIM(N749&amp;" "&amp;O749),6,2)),VALUE(MID(TRIM(N749&amp;" "&amp;O749),9,2))),IF(ISNUMBER(H749),H749,"")),"")</f>
        <v/>
      </c>
      <c r="AC749" s="11">
        <f>IF(ISNUMBER(SEARCH("다기관",TRIM(N749&amp;" "&amp;O749))),IFERROR(DATE(VALUE(MID(TRIM(N749&amp;" "&amp;O749),12,4)),VALUE(MID(TRIM(N749&amp;" "&amp;O749),17,2)),VALUE(MID(TRIM(N749&amp;" "&amp;O749),20,2))),IF(ISNUMBER(I749),I749,"")),"")</f>
        <v/>
      </c>
      <c r="AD749" s="17">
        <f>IF(AND(ISNUMBER(AB749),ISNUMBER(AC749)),MAX(0,MIN(AC749,EOMONTH(출력_요약!$B$3,0))-MAX(AB749,출력_요약!$B$3)+1),0)</f>
        <v/>
      </c>
      <c r="AE749" s="10">
        <f>IF(AND(Q749&lt;&gt;"",ISNUMBER(AB749)),Q749&amp;"|다기관","")</f>
        <v/>
      </c>
    </row>
    <row r="750">
      <c r="A750" s="15">
        <f>IF(F750="","",ROW()-3)</f>
        <v/>
      </c>
      <c r="B750" s="5" t="n"/>
      <c r="C750" s="15" t="n"/>
      <c r="D750" s="5" t="n"/>
      <c r="E750" s="15" t="n"/>
      <c r="F750" s="5" t="n"/>
      <c r="G750" s="6" t="n"/>
      <c r="H750" s="16" t="n"/>
      <c r="I750" s="16" t="n"/>
      <c r="J750" s="15">
        <f>IF(AND(ISNUMBER(H750),ISNUMBER(I750)),I750-H750+1,"")</f>
        <v/>
      </c>
      <c r="K750" s="5" t="n"/>
      <c r="L750" s="5" t="n"/>
      <c r="M750" s="5" t="n"/>
      <c r="N750" s="5" t="n"/>
      <c r="O750" s="5" t="n"/>
      <c r="Q750" s="10">
        <f>IF(TRIM(G750&amp;"")="","",TRIM(G750&amp;""))</f>
        <v/>
      </c>
      <c r="R750" s="10">
        <f>IF(TRIM(B750&amp;"")="","",IFERROR(INDEX(설정_코드표!$K$2:$K$101,MATCH(TRIM(B750&amp;""),설정_코드표!$J$2:$J$101,0)),"⚠"&amp;TRIM(B750&amp;"")))</f>
        <v/>
      </c>
      <c r="S750" s="10">
        <f>IF(TRIM(K750&amp;"")="","",IFERROR(INDEX(설정_코드표!$K$2:$K$101,MATCH(TRIM(K750&amp;""),설정_코드표!$J$2:$J$101,0)),"⚠"&amp;TRIM(K750&amp;"")))</f>
        <v/>
      </c>
      <c r="T750" s="10">
        <f>IF(TRIM(M750&amp;"")="","",IF(ISNUMBER(MATCH(TRIM(M750&amp;""),설정_코드표!$C$2:$C$11,0)),TRIM(M750&amp;""),"⚠"&amp;TRIM(M750&amp;"")))</f>
        <v/>
      </c>
      <c r="U750" s="10">
        <f>IF(TRIM(L750&amp;"")="","",IFERROR(INDEX(설정_코드표!$G$2:$G$101,MATCH(TRIM(L750&amp;""),설정_코드표!$F$2:$F$101,0)),"⚠"&amp;TRIM(L750&amp;"")))</f>
        <v/>
      </c>
      <c r="V750" s="10">
        <f>IF(AND(ISNUMBER(H750),ISNUMBER(I750)),I750-H750+1,"")</f>
        <v/>
      </c>
      <c r="W750" s="17">
        <f>IF(ISNUMBER(H750),MAX(0,MIN(IF(ISNUMBER(I750),I750,EOMONTH(출력_요약!$B$3,0)),EOMONTH(출력_요약!$B$3,0))-MAX(H750,출력_요약!$B$3)+1),0)</f>
        <v/>
      </c>
      <c r="X750" s="10">
        <f>IF(OR(NOT(ISNUMBER(H750)),Q750=""),"",IF(TODAY()&lt;H750,"파견예정",IF(AND(ISNUMBER(I750),TODAY()&gt;I750),"파견종료","파견중")))</f>
        <v/>
      </c>
      <c r="Y750" s="10">
        <f>IF(OR(Q750="",X750=""),"",Q750&amp;"|"&amp;X750)</f>
        <v/>
      </c>
      <c r="Z750" s="10">
        <f>IF(AND(Q750&lt;&gt;"",W750&gt;0),Q750&amp;"|월","")</f>
        <v/>
      </c>
      <c r="AA750" s="10">
        <f>IF(COUNTA(B750:I750,K750:N750)=0,"",IF(Q750="","등록번호 없음",IF(LEFT(R750,1)="⚠","모병원명 미등록",IF(S750="","파견병원 입력",IF(LEFT(S750,1)="⚠","파견병원명 미등록",IF(LEFT(U750,1)="⚠","파견과목 미등록",IF(OR(T750="",LEFT(T750,1)="⚠"),"파견근거 확인",IF(NOT(AND(ISNUMBER(H750),ISNUMBER(I750))),"날짜 형식/누락",IF(I750&lt;H750,"종료일&lt;시작일","")))))))))</f>
        <v/>
      </c>
      <c r="AB750" s="11">
        <f>IF(ISNUMBER(SEARCH("다기관",TRIM(N750&amp;" "&amp;O750))),IFERROR(DATE(VALUE(MID(TRIM(N750&amp;" "&amp;O750),1,4)),VALUE(MID(TRIM(N750&amp;" "&amp;O750),6,2)),VALUE(MID(TRIM(N750&amp;" "&amp;O750),9,2))),IF(ISNUMBER(H750),H750,"")),"")</f>
        <v/>
      </c>
      <c r="AC750" s="11">
        <f>IF(ISNUMBER(SEARCH("다기관",TRIM(N750&amp;" "&amp;O750))),IFERROR(DATE(VALUE(MID(TRIM(N750&amp;" "&amp;O750),12,4)),VALUE(MID(TRIM(N750&amp;" "&amp;O750),17,2)),VALUE(MID(TRIM(N750&amp;" "&amp;O750),20,2))),IF(ISNUMBER(I750),I750,"")),"")</f>
        <v/>
      </c>
      <c r="AD750" s="17">
        <f>IF(AND(ISNUMBER(AB750),ISNUMBER(AC750)),MAX(0,MIN(AC750,EOMONTH(출력_요약!$B$3,0))-MAX(AB750,출력_요약!$B$3)+1),0)</f>
        <v/>
      </c>
      <c r="AE750" s="10">
        <f>IF(AND(Q750&lt;&gt;"",ISNUMBER(AB750)),Q750&amp;"|다기관","")</f>
        <v/>
      </c>
    </row>
    <row r="751">
      <c r="A751" s="15">
        <f>IF(F751="","",ROW()-3)</f>
        <v/>
      </c>
      <c r="B751" s="5" t="n"/>
      <c r="C751" s="15" t="n"/>
      <c r="D751" s="5" t="n"/>
      <c r="E751" s="15" t="n"/>
      <c r="F751" s="5" t="n"/>
      <c r="G751" s="6" t="n"/>
      <c r="H751" s="16" t="n"/>
      <c r="I751" s="16" t="n"/>
      <c r="J751" s="15">
        <f>IF(AND(ISNUMBER(H751),ISNUMBER(I751)),I751-H751+1,"")</f>
        <v/>
      </c>
      <c r="K751" s="5" t="n"/>
      <c r="L751" s="5" t="n"/>
      <c r="M751" s="5" t="n"/>
      <c r="N751" s="5" t="n"/>
      <c r="O751" s="5" t="n"/>
      <c r="Q751" s="10">
        <f>IF(TRIM(G751&amp;"")="","",TRIM(G751&amp;""))</f>
        <v/>
      </c>
      <c r="R751" s="10">
        <f>IF(TRIM(B751&amp;"")="","",IFERROR(INDEX(설정_코드표!$K$2:$K$101,MATCH(TRIM(B751&amp;""),설정_코드표!$J$2:$J$101,0)),"⚠"&amp;TRIM(B751&amp;"")))</f>
        <v/>
      </c>
      <c r="S751" s="10">
        <f>IF(TRIM(K751&amp;"")="","",IFERROR(INDEX(설정_코드표!$K$2:$K$101,MATCH(TRIM(K751&amp;""),설정_코드표!$J$2:$J$101,0)),"⚠"&amp;TRIM(K751&amp;"")))</f>
        <v/>
      </c>
      <c r="T751" s="10">
        <f>IF(TRIM(M751&amp;"")="","",IF(ISNUMBER(MATCH(TRIM(M751&amp;""),설정_코드표!$C$2:$C$11,0)),TRIM(M751&amp;""),"⚠"&amp;TRIM(M751&amp;"")))</f>
        <v/>
      </c>
      <c r="U751" s="10">
        <f>IF(TRIM(L751&amp;"")="","",IFERROR(INDEX(설정_코드표!$G$2:$G$101,MATCH(TRIM(L751&amp;""),설정_코드표!$F$2:$F$101,0)),"⚠"&amp;TRIM(L751&amp;"")))</f>
        <v/>
      </c>
      <c r="V751" s="10">
        <f>IF(AND(ISNUMBER(H751),ISNUMBER(I751)),I751-H751+1,"")</f>
        <v/>
      </c>
      <c r="W751" s="17">
        <f>IF(ISNUMBER(H751),MAX(0,MIN(IF(ISNUMBER(I751),I751,EOMONTH(출력_요약!$B$3,0)),EOMONTH(출력_요약!$B$3,0))-MAX(H751,출력_요약!$B$3)+1),0)</f>
        <v/>
      </c>
      <c r="X751" s="10">
        <f>IF(OR(NOT(ISNUMBER(H751)),Q751=""),"",IF(TODAY()&lt;H751,"파견예정",IF(AND(ISNUMBER(I751),TODAY()&gt;I751),"파견종료","파견중")))</f>
        <v/>
      </c>
      <c r="Y751" s="10">
        <f>IF(OR(Q751="",X751=""),"",Q751&amp;"|"&amp;X751)</f>
        <v/>
      </c>
      <c r="Z751" s="10">
        <f>IF(AND(Q751&lt;&gt;"",W751&gt;0),Q751&amp;"|월","")</f>
        <v/>
      </c>
      <c r="AA751" s="10">
        <f>IF(COUNTA(B751:I751,K751:N751)=0,"",IF(Q751="","등록번호 없음",IF(LEFT(R751,1)="⚠","모병원명 미등록",IF(S751="","파견병원 입력",IF(LEFT(S751,1)="⚠","파견병원명 미등록",IF(LEFT(U751,1)="⚠","파견과목 미등록",IF(OR(T751="",LEFT(T751,1)="⚠"),"파견근거 확인",IF(NOT(AND(ISNUMBER(H751),ISNUMBER(I751))),"날짜 형식/누락",IF(I751&lt;H751,"종료일&lt;시작일","")))))))))</f>
        <v/>
      </c>
      <c r="AB751" s="11">
        <f>IF(ISNUMBER(SEARCH("다기관",TRIM(N751&amp;" "&amp;O751))),IFERROR(DATE(VALUE(MID(TRIM(N751&amp;" "&amp;O751),1,4)),VALUE(MID(TRIM(N751&amp;" "&amp;O751),6,2)),VALUE(MID(TRIM(N751&amp;" "&amp;O751),9,2))),IF(ISNUMBER(H751),H751,"")),"")</f>
        <v/>
      </c>
      <c r="AC751" s="11">
        <f>IF(ISNUMBER(SEARCH("다기관",TRIM(N751&amp;" "&amp;O751))),IFERROR(DATE(VALUE(MID(TRIM(N751&amp;" "&amp;O751),12,4)),VALUE(MID(TRIM(N751&amp;" "&amp;O751),17,2)),VALUE(MID(TRIM(N751&amp;" "&amp;O751),20,2))),IF(ISNUMBER(I751),I751,"")),"")</f>
        <v/>
      </c>
      <c r="AD751" s="17">
        <f>IF(AND(ISNUMBER(AB751),ISNUMBER(AC751)),MAX(0,MIN(AC751,EOMONTH(출력_요약!$B$3,0))-MAX(AB751,출력_요약!$B$3)+1),0)</f>
        <v/>
      </c>
      <c r="AE751" s="10">
        <f>IF(AND(Q751&lt;&gt;"",ISNUMBER(AB751)),Q751&amp;"|다기관","")</f>
        <v/>
      </c>
    </row>
    <row r="752">
      <c r="A752" s="15">
        <f>IF(F752="","",ROW()-3)</f>
        <v/>
      </c>
      <c r="B752" s="5" t="n"/>
      <c r="C752" s="15" t="n"/>
      <c r="D752" s="5" t="n"/>
      <c r="E752" s="15" t="n"/>
      <c r="F752" s="5" t="n"/>
      <c r="G752" s="6" t="n"/>
      <c r="H752" s="16" t="n"/>
      <c r="I752" s="16" t="n"/>
      <c r="J752" s="15">
        <f>IF(AND(ISNUMBER(H752),ISNUMBER(I752)),I752-H752+1,"")</f>
        <v/>
      </c>
      <c r="K752" s="5" t="n"/>
      <c r="L752" s="5" t="n"/>
      <c r="M752" s="5" t="n"/>
      <c r="N752" s="5" t="n"/>
      <c r="O752" s="5" t="n"/>
      <c r="Q752" s="10">
        <f>IF(TRIM(G752&amp;"")="","",TRIM(G752&amp;""))</f>
        <v/>
      </c>
      <c r="R752" s="10">
        <f>IF(TRIM(B752&amp;"")="","",IFERROR(INDEX(설정_코드표!$K$2:$K$101,MATCH(TRIM(B752&amp;""),설정_코드표!$J$2:$J$101,0)),"⚠"&amp;TRIM(B752&amp;"")))</f>
        <v/>
      </c>
      <c r="S752" s="10">
        <f>IF(TRIM(K752&amp;"")="","",IFERROR(INDEX(설정_코드표!$K$2:$K$101,MATCH(TRIM(K752&amp;""),설정_코드표!$J$2:$J$101,0)),"⚠"&amp;TRIM(K752&amp;"")))</f>
        <v/>
      </c>
      <c r="T752" s="10">
        <f>IF(TRIM(M752&amp;"")="","",IF(ISNUMBER(MATCH(TRIM(M752&amp;""),설정_코드표!$C$2:$C$11,0)),TRIM(M752&amp;""),"⚠"&amp;TRIM(M752&amp;"")))</f>
        <v/>
      </c>
      <c r="U752" s="10">
        <f>IF(TRIM(L752&amp;"")="","",IFERROR(INDEX(설정_코드표!$G$2:$G$101,MATCH(TRIM(L752&amp;""),설정_코드표!$F$2:$F$101,0)),"⚠"&amp;TRIM(L752&amp;"")))</f>
        <v/>
      </c>
      <c r="V752" s="10">
        <f>IF(AND(ISNUMBER(H752),ISNUMBER(I752)),I752-H752+1,"")</f>
        <v/>
      </c>
      <c r="W752" s="17">
        <f>IF(ISNUMBER(H752),MAX(0,MIN(IF(ISNUMBER(I752),I752,EOMONTH(출력_요약!$B$3,0)),EOMONTH(출력_요약!$B$3,0))-MAX(H752,출력_요약!$B$3)+1),0)</f>
        <v/>
      </c>
      <c r="X752" s="10">
        <f>IF(OR(NOT(ISNUMBER(H752)),Q752=""),"",IF(TODAY()&lt;H752,"파견예정",IF(AND(ISNUMBER(I752),TODAY()&gt;I752),"파견종료","파견중")))</f>
        <v/>
      </c>
      <c r="Y752" s="10">
        <f>IF(OR(Q752="",X752=""),"",Q752&amp;"|"&amp;X752)</f>
        <v/>
      </c>
      <c r="Z752" s="10">
        <f>IF(AND(Q752&lt;&gt;"",W752&gt;0),Q752&amp;"|월","")</f>
        <v/>
      </c>
      <c r="AA752" s="10">
        <f>IF(COUNTA(B752:I752,K752:N752)=0,"",IF(Q752="","등록번호 없음",IF(LEFT(R752,1)="⚠","모병원명 미등록",IF(S752="","파견병원 입력",IF(LEFT(S752,1)="⚠","파견병원명 미등록",IF(LEFT(U752,1)="⚠","파견과목 미등록",IF(OR(T752="",LEFT(T752,1)="⚠"),"파견근거 확인",IF(NOT(AND(ISNUMBER(H752),ISNUMBER(I752))),"날짜 형식/누락",IF(I752&lt;H752,"종료일&lt;시작일","")))))))))</f>
        <v/>
      </c>
      <c r="AB752" s="11">
        <f>IF(ISNUMBER(SEARCH("다기관",TRIM(N752&amp;" "&amp;O752))),IFERROR(DATE(VALUE(MID(TRIM(N752&amp;" "&amp;O752),1,4)),VALUE(MID(TRIM(N752&amp;" "&amp;O752),6,2)),VALUE(MID(TRIM(N752&amp;" "&amp;O752),9,2))),IF(ISNUMBER(H752),H752,"")),"")</f>
        <v/>
      </c>
      <c r="AC752" s="11">
        <f>IF(ISNUMBER(SEARCH("다기관",TRIM(N752&amp;" "&amp;O752))),IFERROR(DATE(VALUE(MID(TRIM(N752&amp;" "&amp;O752),12,4)),VALUE(MID(TRIM(N752&amp;" "&amp;O752),17,2)),VALUE(MID(TRIM(N752&amp;" "&amp;O752),20,2))),IF(ISNUMBER(I752),I752,"")),"")</f>
        <v/>
      </c>
      <c r="AD752" s="17">
        <f>IF(AND(ISNUMBER(AB752),ISNUMBER(AC752)),MAX(0,MIN(AC752,EOMONTH(출력_요약!$B$3,0))-MAX(AB752,출력_요약!$B$3)+1),0)</f>
        <v/>
      </c>
      <c r="AE752" s="10">
        <f>IF(AND(Q752&lt;&gt;"",ISNUMBER(AB752)),Q752&amp;"|다기관","")</f>
        <v/>
      </c>
    </row>
    <row r="753">
      <c r="A753" s="15">
        <f>IF(F753="","",ROW()-3)</f>
        <v/>
      </c>
      <c r="B753" s="5" t="n"/>
      <c r="C753" s="15" t="n"/>
      <c r="D753" s="5" t="n"/>
      <c r="E753" s="15" t="n"/>
      <c r="F753" s="5" t="n"/>
      <c r="G753" s="6" t="n"/>
      <c r="H753" s="16" t="n"/>
      <c r="I753" s="16" t="n"/>
      <c r="J753" s="15">
        <f>IF(AND(ISNUMBER(H753),ISNUMBER(I753)),I753-H753+1,"")</f>
        <v/>
      </c>
      <c r="K753" s="5" t="n"/>
      <c r="L753" s="5" t="n"/>
      <c r="M753" s="5" t="n"/>
      <c r="N753" s="5" t="n"/>
      <c r="O753" s="5" t="n"/>
      <c r="Q753" s="10">
        <f>IF(TRIM(G753&amp;"")="","",TRIM(G753&amp;""))</f>
        <v/>
      </c>
      <c r="R753" s="10">
        <f>IF(TRIM(B753&amp;"")="","",IFERROR(INDEX(설정_코드표!$K$2:$K$101,MATCH(TRIM(B753&amp;""),설정_코드표!$J$2:$J$101,0)),"⚠"&amp;TRIM(B753&amp;"")))</f>
        <v/>
      </c>
      <c r="S753" s="10">
        <f>IF(TRIM(K753&amp;"")="","",IFERROR(INDEX(설정_코드표!$K$2:$K$101,MATCH(TRIM(K753&amp;""),설정_코드표!$J$2:$J$101,0)),"⚠"&amp;TRIM(K753&amp;"")))</f>
        <v/>
      </c>
      <c r="T753" s="10">
        <f>IF(TRIM(M753&amp;"")="","",IF(ISNUMBER(MATCH(TRIM(M753&amp;""),설정_코드표!$C$2:$C$11,0)),TRIM(M753&amp;""),"⚠"&amp;TRIM(M753&amp;"")))</f>
        <v/>
      </c>
      <c r="U753" s="10">
        <f>IF(TRIM(L753&amp;"")="","",IFERROR(INDEX(설정_코드표!$G$2:$G$101,MATCH(TRIM(L753&amp;""),설정_코드표!$F$2:$F$101,0)),"⚠"&amp;TRIM(L753&amp;"")))</f>
        <v/>
      </c>
      <c r="V753" s="10">
        <f>IF(AND(ISNUMBER(H753),ISNUMBER(I753)),I753-H753+1,"")</f>
        <v/>
      </c>
      <c r="W753" s="17">
        <f>IF(ISNUMBER(H753),MAX(0,MIN(IF(ISNUMBER(I753),I753,EOMONTH(출력_요약!$B$3,0)),EOMONTH(출력_요약!$B$3,0))-MAX(H753,출력_요약!$B$3)+1),0)</f>
        <v/>
      </c>
      <c r="X753" s="10">
        <f>IF(OR(NOT(ISNUMBER(H753)),Q753=""),"",IF(TODAY()&lt;H753,"파견예정",IF(AND(ISNUMBER(I753),TODAY()&gt;I753),"파견종료","파견중")))</f>
        <v/>
      </c>
      <c r="Y753" s="10">
        <f>IF(OR(Q753="",X753=""),"",Q753&amp;"|"&amp;X753)</f>
        <v/>
      </c>
      <c r="Z753" s="10">
        <f>IF(AND(Q753&lt;&gt;"",W753&gt;0),Q753&amp;"|월","")</f>
        <v/>
      </c>
      <c r="AA753" s="10">
        <f>IF(COUNTA(B753:I753,K753:N753)=0,"",IF(Q753="","등록번호 없음",IF(LEFT(R753,1)="⚠","모병원명 미등록",IF(S753="","파견병원 입력",IF(LEFT(S753,1)="⚠","파견병원명 미등록",IF(LEFT(U753,1)="⚠","파견과목 미등록",IF(OR(T753="",LEFT(T753,1)="⚠"),"파견근거 확인",IF(NOT(AND(ISNUMBER(H753),ISNUMBER(I753))),"날짜 형식/누락",IF(I753&lt;H753,"종료일&lt;시작일","")))))))))</f>
        <v/>
      </c>
      <c r="AB753" s="11">
        <f>IF(ISNUMBER(SEARCH("다기관",TRIM(N753&amp;" "&amp;O753))),IFERROR(DATE(VALUE(MID(TRIM(N753&amp;" "&amp;O753),1,4)),VALUE(MID(TRIM(N753&amp;" "&amp;O753),6,2)),VALUE(MID(TRIM(N753&amp;" "&amp;O753),9,2))),IF(ISNUMBER(H753),H753,"")),"")</f>
        <v/>
      </c>
      <c r="AC753" s="11">
        <f>IF(ISNUMBER(SEARCH("다기관",TRIM(N753&amp;" "&amp;O753))),IFERROR(DATE(VALUE(MID(TRIM(N753&amp;" "&amp;O753),12,4)),VALUE(MID(TRIM(N753&amp;" "&amp;O753),17,2)),VALUE(MID(TRIM(N753&amp;" "&amp;O753),20,2))),IF(ISNUMBER(I753),I753,"")),"")</f>
        <v/>
      </c>
      <c r="AD753" s="17">
        <f>IF(AND(ISNUMBER(AB753),ISNUMBER(AC753)),MAX(0,MIN(AC753,EOMONTH(출력_요약!$B$3,0))-MAX(AB753,출력_요약!$B$3)+1),0)</f>
        <v/>
      </c>
      <c r="AE753" s="10">
        <f>IF(AND(Q753&lt;&gt;"",ISNUMBER(AB753)),Q753&amp;"|다기관","")</f>
        <v/>
      </c>
    </row>
    <row r="754">
      <c r="A754" s="15">
        <f>IF(F754="","",ROW()-3)</f>
        <v/>
      </c>
      <c r="B754" s="5" t="n"/>
      <c r="C754" s="15" t="n"/>
      <c r="D754" s="5" t="n"/>
      <c r="E754" s="15" t="n"/>
      <c r="F754" s="5" t="n"/>
      <c r="G754" s="6" t="n"/>
      <c r="H754" s="16" t="n"/>
      <c r="I754" s="16" t="n"/>
      <c r="J754" s="15">
        <f>IF(AND(ISNUMBER(H754),ISNUMBER(I754)),I754-H754+1,"")</f>
        <v/>
      </c>
      <c r="K754" s="5" t="n"/>
      <c r="L754" s="5" t="n"/>
      <c r="M754" s="5" t="n"/>
      <c r="N754" s="5" t="n"/>
      <c r="O754" s="5" t="n"/>
      <c r="Q754" s="10">
        <f>IF(TRIM(G754&amp;"")="","",TRIM(G754&amp;""))</f>
        <v/>
      </c>
      <c r="R754" s="10">
        <f>IF(TRIM(B754&amp;"")="","",IFERROR(INDEX(설정_코드표!$K$2:$K$101,MATCH(TRIM(B754&amp;""),설정_코드표!$J$2:$J$101,0)),"⚠"&amp;TRIM(B754&amp;"")))</f>
        <v/>
      </c>
      <c r="S754" s="10">
        <f>IF(TRIM(K754&amp;"")="","",IFERROR(INDEX(설정_코드표!$K$2:$K$101,MATCH(TRIM(K754&amp;""),설정_코드표!$J$2:$J$101,0)),"⚠"&amp;TRIM(K754&amp;"")))</f>
        <v/>
      </c>
      <c r="T754" s="10">
        <f>IF(TRIM(M754&amp;"")="","",IF(ISNUMBER(MATCH(TRIM(M754&amp;""),설정_코드표!$C$2:$C$11,0)),TRIM(M754&amp;""),"⚠"&amp;TRIM(M754&amp;"")))</f>
        <v/>
      </c>
      <c r="U754" s="10">
        <f>IF(TRIM(L754&amp;"")="","",IFERROR(INDEX(설정_코드표!$G$2:$G$101,MATCH(TRIM(L754&amp;""),설정_코드표!$F$2:$F$101,0)),"⚠"&amp;TRIM(L754&amp;"")))</f>
        <v/>
      </c>
      <c r="V754" s="10">
        <f>IF(AND(ISNUMBER(H754),ISNUMBER(I754)),I754-H754+1,"")</f>
        <v/>
      </c>
      <c r="W754" s="17">
        <f>IF(ISNUMBER(H754),MAX(0,MIN(IF(ISNUMBER(I754),I754,EOMONTH(출력_요약!$B$3,0)),EOMONTH(출력_요약!$B$3,0))-MAX(H754,출력_요약!$B$3)+1),0)</f>
        <v/>
      </c>
      <c r="X754" s="10">
        <f>IF(OR(NOT(ISNUMBER(H754)),Q754=""),"",IF(TODAY()&lt;H754,"파견예정",IF(AND(ISNUMBER(I754),TODAY()&gt;I754),"파견종료","파견중")))</f>
        <v/>
      </c>
      <c r="Y754" s="10">
        <f>IF(OR(Q754="",X754=""),"",Q754&amp;"|"&amp;X754)</f>
        <v/>
      </c>
      <c r="Z754" s="10">
        <f>IF(AND(Q754&lt;&gt;"",W754&gt;0),Q754&amp;"|월","")</f>
        <v/>
      </c>
      <c r="AA754" s="10">
        <f>IF(COUNTA(B754:I754,K754:N754)=0,"",IF(Q754="","등록번호 없음",IF(LEFT(R754,1)="⚠","모병원명 미등록",IF(S754="","파견병원 입력",IF(LEFT(S754,1)="⚠","파견병원명 미등록",IF(LEFT(U754,1)="⚠","파견과목 미등록",IF(OR(T754="",LEFT(T754,1)="⚠"),"파견근거 확인",IF(NOT(AND(ISNUMBER(H754),ISNUMBER(I754))),"날짜 형식/누락",IF(I754&lt;H754,"종료일&lt;시작일","")))))))))</f>
        <v/>
      </c>
      <c r="AB754" s="11">
        <f>IF(ISNUMBER(SEARCH("다기관",TRIM(N754&amp;" "&amp;O754))),IFERROR(DATE(VALUE(MID(TRIM(N754&amp;" "&amp;O754),1,4)),VALUE(MID(TRIM(N754&amp;" "&amp;O754),6,2)),VALUE(MID(TRIM(N754&amp;" "&amp;O754),9,2))),IF(ISNUMBER(H754),H754,"")),"")</f>
        <v/>
      </c>
      <c r="AC754" s="11">
        <f>IF(ISNUMBER(SEARCH("다기관",TRIM(N754&amp;" "&amp;O754))),IFERROR(DATE(VALUE(MID(TRIM(N754&amp;" "&amp;O754),12,4)),VALUE(MID(TRIM(N754&amp;" "&amp;O754),17,2)),VALUE(MID(TRIM(N754&amp;" "&amp;O754),20,2))),IF(ISNUMBER(I754),I754,"")),"")</f>
        <v/>
      </c>
      <c r="AD754" s="17">
        <f>IF(AND(ISNUMBER(AB754),ISNUMBER(AC754)),MAX(0,MIN(AC754,EOMONTH(출력_요약!$B$3,0))-MAX(AB754,출력_요약!$B$3)+1),0)</f>
        <v/>
      </c>
      <c r="AE754" s="10">
        <f>IF(AND(Q754&lt;&gt;"",ISNUMBER(AB754)),Q754&amp;"|다기관","")</f>
        <v/>
      </c>
    </row>
    <row r="755">
      <c r="A755" s="15">
        <f>IF(F755="","",ROW()-3)</f>
        <v/>
      </c>
      <c r="B755" s="5" t="n"/>
      <c r="C755" s="15" t="n"/>
      <c r="D755" s="5" t="n"/>
      <c r="E755" s="15" t="n"/>
      <c r="F755" s="5" t="n"/>
      <c r="G755" s="6" t="n"/>
      <c r="H755" s="16" t="n"/>
      <c r="I755" s="16" t="n"/>
      <c r="J755" s="15">
        <f>IF(AND(ISNUMBER(H755),ISNUMBER(I755)),I755-H755+1,"")</f>
        <v/>
      </c>
      <c r="K755" s="5" t="n"/>
      <c r="L755" s="5" t="n"/>
      <c r="M755" s="5" t="n"/>
      <c r="N755" s="5" t="n"/>
      <c r="O755" s="5" t="n"/>
      <c r="Q755" s="10">
        <f>IF(TRIM(G755&amp;"")="","",TRIM(G755&amp;""))</f>
        <v/>
      </c>
      <c r="R755" s="10">
        <f>IF(TRIM(B755&amp;"")="","",IFERROR(INDEX(설정_코드표!$K$2:$K$101,MATCH(TRIM(B755&amp;""),설정_코드표!$J$2:$J$101,0)),"⚠"&amp;TRIM(B755&amp;"")))</f>
        <v/>
      </c>
      <c r="S755" s="10">
        <f>IF(TRIM(K755&amp;"")="","",IFERROR(INDEX(설정_코드표!$K$2:$K$101,MATCH(TRIM(K755&amp;""),설정_코드표!$J$2:$J$101,0)),"⚠"&amp;TRIM(K755&amp;"")))</f>
        <v/>
      </c>
      <c r="T755" s="10">
        <f>IF(TRIM(M755&amp;"")="","",IF(ISNUMBER(MATCH(TRIM(M755&amp;""),설정_코드표!$C$2:$C$11,0)),TRIM(M755&amp;""),"⚠"&amp;TRIM(M755&amp;"")))</f>
        <v/>
      </c>
      <c r="U755" s="10">
        <f>IF(TRIM(L755&amp;"")="","",IFERROR(INDEX(설정_코드표!$G$2:$G$101,MATCH(TRIM(L755&amp;""),설정_코드표!$F$2:$F$101,0)),"⚠"&amp;TRIM(L755&amp;"")))</f>
        <v/>
      </c>
      <c r="V755" s="10">
        <f>IF(AND(ISNUMBER(H755),ISNUMBER(I755)),I755-H755+1,"")</f>
        <v/>
      </c>
      <c r="W755" s="17">
        <f>IF(ISNUMBER(H755),MAX(0,MIN(IF(ISNUMBER(I755),I755,EOMONTH(출력_요약!$B$3,0)),EOMONTH(출력_요약!$B$3,0))-MAX(H755,출력_요약!$B$3)+1),0)</f>
        <v/>
      </c>
      <c r="X755" s="10">
        <f>IF(OR(NOT(ISNUMBER(H755)),Q755=""),"",IF(TODAY()&lt;H755,"파견예정",IF(AND(ISNUMBER(I755),TODAY()&gt;I755),"파견종료","파견중")))</f>
        <v/>
      </c>
      <c r="Y755" s="10">
        <f>IF(OR(Q755="",X755=""),"",Q755&amp;"|"&amp;X755)</f>
        <v/>
      </c>
      <c r="Z755" s="10">
        <f>IF(AND(Q755&lt;&gt;"",W755&gt;0),Q755&amp;"|월","")</f>
        <v/>
      </c>
      <c r="AA755" s="10">
        <f>IF(COUNTA(B755:I755,K755:N755)=0,"",IF(Q755="","등록번호 없음",IF(LEFT(R755,1)="⚠","모병원명 미등록",IF(S755="","파견병원 입력",IF(LEFT(S755,1)="⚠","파견병원명 미등록",IF(LEFT(U755,1)="⚠","파견과목 미등록",IF(OR(T755="",LEFT(T755,1)="⚠"),"파견근거 확인",IF(NOT(AND(ISNUMBER(H755),ISNUMBER(I755))),"날짜 형식/누락",IF(I755&lt;H755,"종료일&lt;시작일","")))))))))</f>
        <v/>
      </c>
      <c r="AB755" s="11">
        <f>IF(ISNUMBER(SEARCH("다기관",TRIM(N755&amp;" "&amp;O755))),IFERROR(DATE(VALUE(MID(TRIM(N755&amp;" "&amp;O755),1,4)),VALUE(MID(TRIM(N755&amp;" "&amp;O755),6,2)),VALUE(MID(TRIM(N755&amp;" "&amp;O755),9,2))),IF(ISNUMBER(H755),H755,"")),"")</f>
        <v/>
      </c>
      <c r="AC755" s="11">
        <f>IF(ISNUMBER(SEARCH("다기관",TRIM(N755&amp;" "&amp;O755))),IFERROR(DATE(VALUE(MID(TRIM(N755&amp;" "&amp;O755),12,4)),VALUE(MID(TRIM(N755&amp;" "&amp;O755),17,2)),VALUE(MID(TRIM(N755&amp;" "&amp;O755),20,2))),IF(ISNUMBER(I755),I755,"")),"")</f>
        <v/>
      </c>
      <c r="AD755" s="17">
        <f>IF(AND(ISNUMBER(AB755),ISNUMBER(AC755)),MAX(0,MIN(AC755,EOMONTH(출력_요약!$B$3,0))-MAX(AB755,출력_요약!$B$3)+1),0)</f>
        <v/>
      </c>
      <c r="AE755" s="10">
        <f>IF(AND(Q755&lt;&gt;"",ISNUMBER(AB755)),Q755&amp;"|다기관","")</f>
        <v/>
      </c>
    </row>
    <row r="756">
      <c r="A756" s="15">
        <f>IF(F756="","",ROW()-3)</f>
        <v/>
      </c>
      <c r="B756" s="5" t="n"/>
      <c r="C756" s="15" t="n"/>
      <c r="D756" s="5" t="n"/>
      <c r="E756" s="15" t="n"/>
      <c r="F756" s="5" t="n"/>
      <c r="G756" s="6" t="n"/>
      <c r="H756" s="16" t="n"/>
      <c r="I756" s="16" t="n"/>
      <c r="J756" s="15">
        <f>IF(AND(ISNUMBER(H756),ISNUMBER(I756)),I756-H756+1,"")</f>
        <v/>
      </c>
      <c r="K756" s="5" t="n"/>
      <c r="L756" s="5" t="n"/>
      <c r="M756" s="5" t="n"/>
      <c r="N756" s="5" t="n"/>
      <c r="O756" s="5" t="n"/>
      <c r="Q756" s="10">
        <f>IF(TRIM(G756&amp;"")="","",TRIM(G756&amp;""))</f>
        <v/>
      </c>
      <c r="R756" s="10">
        <f>IF(TRIM(B756&amp;"")="","",IFERROR(INDEX(설정_코드표!$K$2:$K$101,MATCH(TRIM(B756&amp;""),설정_코드표!$J$2:$J$101,0)),"⚠"&amp;TRIM(B756&amp;"")))</f>
        <v/>
      </c>
      <c r="S756" s="10">
        <f>IF(TRIM(K756&amp;"")="","",IFERROR(INDEX(설정_코드표!$K$2:$K$101,MATCH(TRIM(K756&amp;""),설정_코드표!$J$2:$J$101,0)),"⚠"&amp;TRIM(K756&amp;"")))</f>
        <v/>
      </c>
      <c r="T756" s="10">
        <f>IF(TRIM(M756&amp;"")="","",IF(ISNUMBER(MATCH(TRIM(M756&amp;""),설정_코드표!$C$2:$C$11,0)),TRIM(M756&amp;""),"⚠"&amp;TRIM(M756&amp;"")))</f>
        <v/>
      </c>
      <c r="U756" s="10">
        <f>IF(TRIM(L756&amp;"")="","",IFERROR(INDEX(설정_코드표!$G$2:$G$101,MATCH(TRIM(L756&amp;""),설정_코드표!$F$2:$F$101,0)),"⚠"&amp;TRIM(L756&amp;"")))</f>
        <v/>
      </c>
      <c r="V756" s="10">
        <f>IF(AND(ISNUMBER(H756),ISNUMBER(I756)),I756-H756+1,"")</f>
        <v/>
      </c>
      <c r="W756" s="17">
        <f>IF(ISNUMBER(H756),MAX(0,MIN(IF(ISNUMBER(I756),I756,EOMONTH(출력_요약!$B$3,0)),EOMONTH(출력_요약!$B$3,0))-MAX(H756,출력_요약!$B$3)+1),0)</f>
        <v/>
      </c>
      <c r="X756" s="10">
        <f>IF(OR(NOT(ISNUMBER(H756)),Q756=""),"",IF(TODAY()&lt;H756,"파견예정",IF(AND(ISNUMBER(I756),TODAY()&gt;I756),"파견종료","파견중")))</f>
        <v/>
      </c>
      <c r="Y756" s="10">
        <f>IF(OR(Q756="",X756=""),"",Q756&amp;"|"&amp;X756)</f>
        <v/>
      </c>
      <c r="Z756" s="10">
        <f>IF(AND(Q756&lt;&gt;"",W756&gt;0),Q756&amp;"|월","")</f>
        <v/>
      </c>
      <c r="AA756" s="10">
        <f>IF(COUNTA(B756:I756,K756:N756)=0,"",IF(Q756="","등록번호 없음",IF(LEFT(R756,1)="⚠","모병원명 미등록",IF(S756="","파견병원 입력",IF(LEFT(S756,1)="⚠","파견병원명 미등록",IF(LEFT(U756,1)="⚠","파견과목 미등록",IF(OR(T756="",LEFT(T756,1)="⚠"),"파견근거 확인",IF(NOT(AND(ISNUMBER(H756),ISNUMBER(I756))),"날짜 형식/누락",IF(I756&lt;H756,"종료일&lt;시작일","")))))))))</f>
        <v/>
      </c>
      <c r="AB756" s="11">
        <f>IF(ISNUMBER(SEARCH("다기관",TRIM(N756&amp;" "&amp;O756))),IFERROR(DATE(VALUE(MID(TRIM(N756&amp;" "&amp;O756),1,4)),VALUE(MID(TRIM(N756&amp;" "&amp;O756),6,2)),VALUE(MID(TRIM(N756&amp;" "&amp;O756),9,2))),IF(ISNUMBER(H756),H756,"")),"")</f>
        <v/>
      </c>
      <c r="AC756" s="11">
        <f>IF(ISNUMBER(SEARCH("다기관",TRIM(N756&amp;" "&amp;O756))),IFERROR(DATE(VALUE(MID(TRIM(N756&amp;" "&amp;O756),12,4)),VALUE(MID(TRIM(N756&amp;" "&amp;O756),17,2)),VALUE(MID(TRIM(N756&amp;" "&amp;O756),20,2))),IF(ISNUMBER(I756),I756,"")),"")</f>
        <v/>
      </c>
      <c r="AD756" s="17">
        <f>IF(AND(ISNUMBER(AB756),ISNUMBER(AC756)),MAX(0,MIN(AC756,EOMONTH(출력_요약!$B$3,0))-MAX(AB756,출력_요약!$B$3)+1),0)</f>
        <v/>
      </c>
      <c r="AE756" s="10">
        <f>IF(AND(Q756&lt;&gt;"",ISNUMBER(AB756)),Q756&amp;"|다기관","")</f>
        <v/>
      </c>
    </row>
    <row r="757">
      <c r="A757" s="15">
        <f>IF(F757="","",ROW()-3)</f>
        <v/>
      </c>
      <c r="B757" s="5" t="n"/>
      <c r="C757" s="15" t="n"/>
      <c r="D757" s="5" t="n"/>
      <c r="E757" s="15" t="n"/>
      <c r="F757" s="5" t="n"/>
      <c r="G757" s="6" t="n"/>
      <c r="H757" s="16" t="n"/>
      <c r="I757" s="16" t="n"/>
      <c r="J757" s="15">
        <f>IF(AND(ISNUMBER(H757),ISNUMBER(I757)),I757-H757+1,"")</f>
        <v/>
      </c>
      <c r="K757" s="5" t="n"/>
      <c r="L757" s="5" t="n"/>
      <c r="M757" s="5" t="n"/>
      <c r="N757" s="5" t="n"/>
      <c r="O757" s="5" t="n"/>
      <c r="Q757" s="10">
        <f>IF(TRIM(G757&amp;"")="","",TRIM(G757&amp;""))</f>
        <v/>
      </c>
      <c r="R757" s="10">
        <f>IF(TRIM(B757&amp;"")="","",IFERROR(INDEX(설정_코드표!$K$2:$K$101,MATCH(TRIM(B757&amp;""),설정_코드표!$J$2:$J$101,0)),"⚠"&amp;TRIM(B757&amp;"")))</f>
        <v/>
      </c>
      <c r="S757" s="10">
        <f>IF(TRIM(K757&amp;"")="","",IFERROR(INDEX(설정_코드표!$K$2:$K$101,MATCH(TRIM(K757&amp;""),설정_코드표!$J$2:$J$101,0)),"⚠"&amp;TRIM(K757&amp;"")))</f>
        <v/>
      </c>
      <c r="T757" s="10">
        <f>IF(TRIM(M757&amp;"")="","",IF(ISNUMBER(MATCH(TRIM(M757&amp;""),설정_코드표!$C$2:$C$11,0)),TRIM(M757&amp;""),"⚠"&amp;TRIM(M757&amp;"")))</f>
        <v/>
      </c>
      <c r="U757" s="10">
        <f>IF(TRIM(L757&amp;"")="","",IFERROR(INDEX(설정_코드표!$G$2:$G$101,MATCH(TRIM(L757&amp;""),설정_코드표!$F$2:$F$101,0)),"⚠"&amp;TRIM(L757&amp;"")))</f>
        <v/>
      </c>
      <c r="V757" s="10">
        <f>IF(AND(ISNUMBER(H757),ISNUMBER(I757)),I757-H757+1,"")</f>
        <v/>
      </c>
      <c r="W757" s="17">
        <f>IF(ISNUMBER(H757),MAX(0,MIN(IF(ISNUMBER(I757),I757,EOMONTH(출력_요약!$B$3,0)),EOMONTH(출력_요약!$B$3,0))-MAX(H757,출력_요약!$B$3)+1),0)</f>
        <v/>
      </c>
      <c r="X757" s="10">
        <f>IF(OR(NOT(ISNUMBER(H757)),Q757=""),"",IF(TODAY()&lt;H757,"파견예정",IF(AND(ISNUMBER(I757),TODAY()&gt;I757),"파견종료","파견중")))</f>
        <v/>
      </c>
      <c r="Y757" s="10">
        <f>IF(OR(Q757="",X757=""),"",Q757&amp;"|"&amp;X757)</f>
        <v/>
      </c>
      <c r="Z757" s="10">
        <f>IF(AND(Q757&lt;&gt;"",W757&gt;0),Q757&amp;"|월","")</f>
        <v/>
      </c>
      <c r="AA757" s="10">
        <f>IF(COUNTA(B757:I757,K757:N757)=0,"",IF(Q757="","등록번호 없음",IF(LEFT(R757,1)="⚠","모병원명 미등록",IF(S757="","파견병원 입력",IF(LEFT(S757,1)="⚠","파견병원명 미등록",IF(LEFT(U757,1)="⚠","파견과목 미등록",IF(OR(T757="",LEFT(T757,1)="⚠"),"파견근거 확인",IF(NOT(AND(ISNUMBER(H757),ISNUMBER(I757))),"날짜 형식/누락",IF(I757&lt;H757,"종료일&lt;시작일","")))))))))</f>
        <v/>
      </c>
      <c r="AB757" s="11">
        <f>IF(ISNUMBER(SEARCH("다기관",TRIM(N757&amp;" "&amp;O757))),IFERROR(DATE(VALUE(MID(TRIM(N757&amp;" "&amp;O757),1,4)),VALUE(MID(TRIM(N757&amp;" "&amp;O757),6,2)),VALUE(MID(TRIM(N757&amp;" "&amp;O757),9,2))),IF(ISNUMBER(H757),H757,"")),"")</f>
        <v/>
      </c>
      <c r="AC757" s="11">
        <f>IF(ISNUMBER(SEARCH("다기관",TRIM(N757&amp;" "&amp;O757))),IFERROR(DATE(VALUE(MID(TRIM(N757&amp;" "&amp;O757),12,4)),VALUE(MID(TRIM(N757&amp;" "&amp;O757),17,2)),VALUE(MID(TRIM(N757&amp;" "&amp;O757),20,2))),IF(ISNUMBER(I757),I757,"")),"")</f>
        <v/>
      </c>
      <c r="AD757" s="17">
        <f>IF(AND(ISNUMBER(AB757),ISNUMBER(AC757)),MAX(0,MIN(AC757,EOMONTH(출력_요약!$B$3,0))-MAX(AB757,출력_요약!$B$3)+1),0)</f>
        <v/>
      </c>
      <c r="AE757" s="10">
        <f>IF(AND(Q757&lt;&gt;"",ISNUMBER(AB757)),Q757&amp;"|다기관","")</f>
        <v/>
      </c>
    </row>
    <row r="758">
      <c r="A758" s="15">
        <f>IF(F758="","",ROW()-3)</f>
        <v/>
      </c>
      <c r="B758" s="5" t="n"/>
      <c r="C758" s="15" t="n"/>
      <c r="D758" s="5" t="n"/>
      <c r="E758" s="15" t="n"/>
      <c r="F758" s="5" t="n"/>
      <c r="G758" s="6" t="n"/>
      <c r="H758" s="16" t="n"/>
      <c r="I758" s="16" t="n"/>
      <c r="J758" s="15">
        <f>IF(AND(ISNUMBER(H758),ISNUMBER(I758)),I758-H758+1,"")</f>
        <v/>
      </c>
      <c r="K758" s="5" t="n"/>
      <c r="L758" s="5" t="n"/>
      <c r="M758" s="5" t="n"/>
      <c r="N758" s="5" t="n"/>
      <c r="O758" s="5" t="n"/>
      <c r="Q758" s="10">
        <f>IF(TRIM(G758&amp;"")="","",TRIM(G758&amp;""))</f>
        <v/>
      </c>
      <c r="R758" s="10">
        <f>IF(TRIM(B758&amp;"")="","",IFERROR(INDEX(설정_코드표!$K$2:$K$101,MATCH(TRIM(B758&amp;""),설정_코드표!$J$2:$J$101,0)),"⚠"&amp;TRIM(B758&amp;"")))</f>
        <v/>
      </c>
      <c r="S758" s="10">
        <f>IF(TRIM(K758&amp;"")="","",IFERROR(INDEX(설정_코드표!$K$2:$K$101,MATCH(TRIM(K758&amp;""),설정_코드표!$J$2:$J$101,0)),"⚠"&amp;TRIM(K758&amp;"")))</f>
        <v/>
      </c>
      <c r="T758" s="10">
        <f>IF(TRIM(M758&amp;"")="","",IF(ISNUMBER(MATCH(TRIM(M758&amp;""),설정_코드표!$C$2:$C$11,0)),TRIM(M758&amp;""),"⚠"&amp;TRIM(M758&amp;"")))</f>
        <v/>
      </c>
      <c r="U758" s="10">
        <f>IF(TRIM(L758&amp;"")="","",IFERROR(INDEX(설정_코드표!$G$2:$G$101,MATCH(TRIM(L758&amp;""),설정_코드표!$F$2:$F$101,0)),"⚠"&amp;TRIM(L758&amp;"")))</f>
        <v/>
      </c>
      <c r="V758" s="10">
        <f>IF(AND(ISNUMBER(H758),ISNUMBER(I758)),I758-H758+1,"")</f>
        <v/>
      </c>
      <c r="W758" s="17">
        <f>IF(ISNUMBER(H758),MAX(0,MIN(IF(ISNUMBER(I758),I758,EOMONTH(출력_요약!$B$3,0)),EOMONTH(출력_요약!$B$3,0))-MAX(H758,출력_요약!$B$3)+1),0)</f>
        <v/>
      </c>
      <c r="X758" s="10">
        <f>IF(OR(NOT(ISNUMBER(H758)),Q758=""),"",IF(TODAY()&lt;H758,"파견예정",IF(AND(ISNUMBER(I758),TODAY()&gt;I758),"파견종료","파견중")))</f>
        <v/>
      </c>
      <c r="Y758" s="10">
        <f>IF(OR(Q758="",X758=""),"",Q758&amp;"|"&amp;X758)</f>
        <v/>
      </c>
      <c r="Z758" s="10">
        <f>IF(AND(Q758&lt;&gt;"",W758&gt;0),Q758&amp;"|월","")</f>
        <v/>
      </c>
      <c r="AA758" s="10">
        <f>IF(COUNTA(B758:I758,K758:N758)=0,"",IF(Q758="","등록번호 없음",IF(LEFT(R758,1)="⚠","모병원명 미등록",IF(S758="","파견병원 입력",IF(LEFT(S758,1)="⚠","파견병원명 미등록",IF(LEFT(U758,1)="⚠","파견과목 미등록",IF(OR(T758="",LEFT(T758,1)="⚠"),"파견근거 확인",IF(NOT(AND(ISNUMBER(H758),ISNUMBER(I758))),"날짜 형식/누락",IF(I758&lt;H758,"종료일&lt;시작일","")))))))))</f>
        <v/>
      </c>
      <c r="AB758" s="11">
        <f>IF(ISNUMBER(SEARCH("다기관",TRIM(N758&amp;" "&amp;O758))),IFERROR(DATE(VALUE(MID(TRIM(N758&amp;" "&amp;O758),1,4)),VALUE(MID(TRIM(N758&amp;" "&amp;O758),6,2)),VALUE(MID(TRIM(N758&amp;" "&amp;O758),9,2))),IF(ISNUMBER(H758),H758,"")),"")</f>
        <v/>
      </c>
      <c r="AC758" s="11">
        <f>IF(ISNUMBER(SEARCH("다기관",TRIM(N758&amp;" "&amp;O758))),IFERROR(DATE(VALUE(MID(TRIM(N758&amp;" "&amp;O758),12,4)),VALUE(MID(TRIM(N758&amp;" "&amp;O758),17,2)),VALUE(MID(TRIM(N758&amp;" "&amp;O758),20,2))),IF(ISNUMBER(I758),I758,"")),"")</f>
        <v/>
      </c>
      <c r="AD758" s="17">
        <f>IF(AND(ISNUMBER(AB758),ISNUMBER(AC758)),MAX(0,MIN(AC758,EOMONTH(출력_요약!$B$3,0))-MAX(AB758,출력_요약!$B$3)+1),0)</f>
        <v/>
      </c>
      <c r="AE758" s="10">
        <f>IF(AND(Q758&lt;&gt;"",ISNUMBER(AB758)),Q758&amp;"|다기관","")</f>
        <v/>
      </c>
    </row>
    <row r="759">
      <c r="A759" s="15">
        <f>IF(F759="","",ROW()-3)</f>
        <v/>
      </c>
      <c r="B759" s="5" t="n"/>
      <c r="C759" s="15" t="n"/>
      <c r="D759" s="5" t="n"/>
      <c r="E759" s="15" t="n"/>
      <c r="F759" s="5" t="n"/>
      <c r="G759" s="6" t="n"/>
      <c r="H759" s="16" t="n"/>
      <c r="I759" s="16" t="n"/>
      <c r="J759" s="15">
        <f>IF(AND(ISNUMBER(H759),ISNUMBER(I759)),I759-H759+1,"")</f>
        <v/>
      </c>
      <c r="K759" s="5" t="n"/>
      <c r="L759" s="5" t="n"/>
      <c r="M759" s="5" t="n"/>
      <c r="N759" s="5" t="n"/>
      <c r="O759" s="5" t="n"/>
      <c r="Q759" s="10">
        <f>IF(TRIM(G759&amp;"")="","",TRIM(G759&amp;""))</f>
        <v/>
      </c>
      <c r="R759" s="10">
        <f>IF(TRIM(B759&amp;"")="","",IFERROR(INDEX(설정_코드표!$K$2:$K$101,MATCH(TRIM(B759&amp;""),설정_코드표!$J$2:$J$101,0)),"⚠"&amp;TRIM(B759&amp;"")))</f>
        <v/>
      </c>
      <c r="S759" s="10">
        <f>IF(TRIM(K759&amp;"")="","",IFERROR(INDEX(설정_코드표!$K$2:$K$101,MATCH(TRIM(K759&amp;""),설정_코드표!$J$2:$J$101,0)),"⚠"&amp;TRIM(K759&amp;"")))</f>
        <v/>
      </c>
      <c r="T759" s="10">
        <f>IF(TRIM(M759&amp;"")="","",IF(ISNUMBER(MATCH(TRIM(M759&amp;""),설정_코드표!$C$2:$C$11,0)),TRIM(M759&amp;""),"⚠"&amp;TRIM(M759&amp;"")))</f>
        <v/>
      </c>
      <c r="U759" s="10">
        <f>IF(TRIM(L759&amp;"")="","",IFERROR(INDEX(설정_코드표!$G$2:$G$101,MATCH(TRIM(L759&amp;""),설정_코드표!$F$2:$F$101,0)),"⚠"&amp;TRIM(L759&amp;"")))</f>
        <v/>
      </c>
      <c r="V759" s="10">
        <f>IF(AND(ISNUMBER(H759),ISNUMBER(I759)),I759-H759+1,"")</f>
        <v/>
      </c>
      <c r="W759" s="17">
        <f>IF(ISNUMBER(H759),MAX(0,MIN(IF(ISNUMBER(I759),I759,EOMONTH(출력_요약!$B$3,0)),EOMONTH(출력_요약!$B$3,0))-MAX(H759,출력_요약!$B$3)+1),0)</f>
        <v/>
      </c>
      <c r="X759" s="10">
        <f>IF(OR(NOT(ISNUMBER(H759)),Q759=""),"",IF(TODAY()&lt;H759,"파견예정",IF(AND(ISNUMBER(I759),TODAY()&gt;I759),"파견종료","파견중")))</f>
        <v/>
      </c>
      <c r="Y759" s="10">
        <f>IF(OR(Q759="",X759=""),"",Q759&amp;"|"&amp;X759)</f>
        <v/>
      </c>
      <c r="Z759" s="10">
        <f>IF(AND(Q759&lt;&gt;"",W759&gt;0),Q759&amp;"|월","")</f>
        <v/>
      </c>
      <c r="AA759" s="10">
        <f>IF(COUNTA(B759:I759,K759:N759)=0,"",IF(Q759="","등록번호 없음",IF(LEFT(R759,1)="⚠","모병원명 미등록",IF(S759="","파견병원 입력",IF(LEFT(S759,1)="⚠","파견병원명 미등록",IF(LEFT(U759,1)="⚠","파견과목 미등록",IF(OR(T759="",LEFT(T759,1)="⚠"),"파견근거 확인",IF(NOT(AND(ISNUMBER(H759),ISNUMBER(I759))),"날짜 형식/누락",IF(I759&lt;H759,"종료일&lt;시작일","")))))))))</f>
        <v/>
      </c>
      <c r="AB759" s="11">
        <f>IF(ISNUMBER(SEARCH("다기관",TRIM(N759&amp;" "&amp;O759))),IFERROR(DATE(VALUE(MID(TRIM(N759&amp;" "&amp;O759),1,4)),VALUE(MID(TRIM(N759&amp;" "&amp;O759),6,2)),VALUE(MID(TRIM(N759&amp;" "&amp;O759),9,2))),IF(ISNUMBER(H759),H759,"")),"")</f>
        <v/>
      </c>
      <c r="AC759" s="11">
        <f>IF(ISNUMBER(SEARCH("다기관",TRIM(N759&amp;" "&amp;O759))),IFERROR(DATE(VALUE(MID(TRIM(N759&amp;" "&amp;O759),12,4)),VALUE(MID(TRIM(N759&amp;" "&amp;O759),17,2)),VALUE(MID(TRIM(N759&amp;" "&amp;O759),20,2))),IF(ISNUMBER(I759),I759,"")),"")</f>
        <v/>
      </c>
      <c r="AD759" s="17">
        <f>IF(AND(ISNUMBER(AB759),ISNUMBER(AC759)),MAX(0,MIN(AC759,EOMONTH(출력_요약!$B$3,0))-MAX(AB759,출력_요약!$B$3)+1),0)</f>
        <v/>
      </c>
      <c r="AE759" s="10">
        <f>IF(AND(Q759&lt;&gt;"",ISNUMBER(AB759)),Q759&amp;"|다기관","")</f>
        <v/>
      </c>
    </row>
    <row r="760">
      <c r="A760" s="15">
        <f>IF(F760="","",ROW()-3)</f>
        <v/>
      </c>
      <c r="B760" s="5" t="n"/>
      <c r="C760" s="15" t="n"/>
      <c r="D760" s="5" t="n"/>
      <c r="E760" s="15" t="n"/>
      <c r="F760" s="5" t="n"/>
      <c r="G760" s="6" t="n"/>
      <c r="H760" s="16" t="n"/>
      <c r="I760" s="16" t="n"/>
      <c r="J760" s="15">
        <f>IF(AND(ISNUMBER(H760),ISNUMBER(I760)),I760-H760+1,"")</f>
        <v/>
      </c>
      <c r="K760" s="5" t="n"/>
      <c r="L760" s="5" t="n"/>
      <c r="M760" s="5" t="n"/>
      <c r="N760" s="5" t="n"/>
      <c r="O760" s="5" t="n"/>
      <c r="Q760" s="10">
        <f>IF(TRIM(G760&amp;"")="","",TRIM(G760&amp;""))</f>
        <v/>
      </c>
      <c r="R760" s="10">
        <f>IF(TRIM(B760&amp;"")="","",IFERROR(INDEX(설정_코드표!$K$2:$K$101,MATCH(TRIM(B760&amp;""),설정_코드표!$J$2:$J$101,0)),"⚠"&amp;TRIM(B760&amp;"")))</f>
        <v/>
      </c>
      <c r="S760" s="10">
        <f>IF(TRIM(K760&amp;"")="","",IFERROR(INDEX(설정_코드표!$K$2:$K$101,MATCH(TRIM(K760&amp;""),설정_코드표!$J$2:$J$101,0)),"⚠"&amp;TRIM(K760&amp;"")))</f>
        <v/>
      </c>
      <c r="T760" s="10">
        <f>IF(TRIM(M760&amp;"")="","",IF(ISNUMBER(MATCH(TRIM(M760&amp;""),설정_코드표!$C$2:$C$11,0)),TRIM(M760&amp;""),"⚠"&amp;TRIM(M760&amp;"")))</f>
        <v/>
      </c>
      <c r="U760" s="10">
        <f>IF(TRIM(L760&amp;"")="","",IFERROR(INDEX(설정_코드표!$G$2:$G$101,MATCH(TRIM(L760&amp;""),설정_코드표!$F$2:$F$101,0)),"⚠"&amp;TRIM(L760&amp;"")))</f>
        <v/>
      </c>
      <c r="V760" s="10">
        <f>IF(AND(ISNUMBER(H760),ISNUMBER(I760)),I760-H760+1,"")</f>
        <v/>
      </c>
      <c r="W760" s="17">
        <f>IF(ISNUMBER(H760),MAX(0,MIN(IF(ISNUMBER(I760),I760,EOMONTH(출력_요약!$B$3,0)),EOMONTH(출력_요약!$B$3,0))-MAX(H760,출력_요약!$B$3)+1),0)</f>
        <v/>
      </c>
      <c r="X760" s="10">
        <f>IF(OR(NOT(ISNUMBER(H760)),Q760=""),"",IF(TODAY()&lt;H760,"파견예정",IF(AND(ISNUMBER(I760),TODAY()&gt;I760),"파견종료","파견중")))</f>
        <v/>
      </c>
      <c r="Y760" s="10">
        <f>IF(OR(Q760="",X760=""),"",Q760&amp;"|"&amp;X760)</f>
        <v/>
      </c>
      <c r="Z760" s="10">
        <f>IF(AND(Q760&lt;&gt;"",W760&gt;0),Q760&amp;"|월","")</f>
        <v/>
      </c>
      <c r="AA760" s="10">
        <f>IF(COUNTA(B760:I760,K760:N760)=0,"",IF(Q760="","등록번호 없음",IF(LEFT(R760,1)="⚠","모병원명 미등록",IF(S760="","파견병원 입력",IF(LEFT(S760,1)="⚠","파견병원명 미등록",IF(LEFT(U760,1)="⚠","파견과목 미등록",IF(OR(T760="",LEFT(T760,1)="⚠"),"파견근거 확인",IF(NOT(AND(ISNUMBER(H760),ISNUMBER(I760))),"날짜 형식/누락",IF(I760&lt;H760,"종료일&lt;시작일","")))))))))</f>
        <v/>
      </c>
      <c r="AB760" s="11">
        <f>IF(ISNUMBER(SEARCH("다기관",TRIM(N760&amp;" "&amp;O760))),IFERROR(DATE(VALUE(MID(TRIM(N760&amp;" "&amp;O760),1,4)),VALUE(MID(TRIM(N760&amp;" "&amp;O760),6,2)),VALUE(MID(TRIM(N760&amp;" "&amp;O760),9,2))),IF(ISNUMBER(H760),H760,"")),"")</f>
        <v/>
      </c>
      <c r="AC760" s="11">
        <f>IF(ISNUMBER(SEARCH("다기관",TRIM(N760&amp;" "&amp;O760))),IFERROR(DATE(VALUE(MID(TRIM(N760&amp;" "&amp;O760),12,4)),VALUE(MID(TRIM(N760&amp;" "&amp;O760),17,2)),VALUE(MID(TRIM(N760&amp;" "&amp;O760),20,2))),IF(ISNUMBER(I760),I760,"")),"")</f>
        <v/>
      </c>
      <c r="AD760" s="17">
        <f>IF(AND(ISNUMBER(AB760),ISNUMBER(AC760)),MAX(0,MIN(AC760,EOMONTH(출력_요약!$B$3,0))-MAX(AB760,출력_요약!$B$3)+1),0)</f>
        <v/>
      </c>
      <c r="AE760" s="10">
        <f>IF(AND(Q760&lt;&gt;"",ISNUMBER(AB760)),Q760&amp;"|다기관","")</f>
        <v/>
      </c>
    </row>
    <row r="761">
      <c r="A761" s="15">
        <f>IF(F761="","",ROW()-3)</f>
        <v/>
      </c>
      <c r="B761" s="5" t="n"/>
      <c r="C761" s="15" t="n"/>
      <c r="D761" s="5" t="n"/>
      <c r="E761" s="15" t="n"/>
      <c r="F761" s="5" t="n"/>
      <c r="G761" s="6" t="n"/>
      <c r="H761" s="16" t="n"/>
      <c r="I761" s="16" t="n"/>
      <c r="J761" s="15">
        <f>IF(AND(ISNUMBER(H761),ISNUMBER(I761)),I761-H761+1,"")</f>
        <v/>
      </c>
      <c r="K761" s="5" t="n"/>
      <c r="L761" s="5" t="n"/>
      <c r="M761" s="5" t="n"/>
      <c r="N761" s="5" t="n"/>
      <c r="O761" s="5" t="n"/>
      <c r="Q761" s="10">
        <f>IF(TRIM(G761&amp;"")="","",TRIM(G761&amp;""))</f>
        <v/>
      </c>
      <c r="R761" s="10">
        <f>IF(TRIM(B761&amp;"")="","",IFERROR(INDEX(설정_코드표!$K$2:$K$101,MATCH(TRIM(B761&amp;""),설정_코드표!$J$2:$J$101,0)),"⚠"&amp;TRIM(B761&amp;"")))</f>
        <v/>
      </c>
      <c r="S761" s="10">
        <f>IF(TRIM(K761&amp;"")="","",IFERROR(INDEX(설정_코드표!$K$2:$K$101,MATCH(TRIM(K761&amp;""),설정_코드표!$J$2:$J$101,0)),"⚠"&amp;TRIM(K761&amp;"")))</f>
        <v/>
      </c>
      <c r="T761" s="10">
        <f>IF(TRIM(M761&amp;"")="","",IF(ISNUMBER(MATCH(TRIM(M761&amp;""),설정_코드표!$C$2:$C$11,0)),TRIM(M761&amp;""),"⚠"&amp;TRIM(M761&amp;"")))</f>
        <v/>
      </c>
      <c r="U761" s="10">
        <f>IF(TRIM(L761&amp;"")="","",IFERROR(INDEX(설정_코드표!$G$2:$G$101,MATCH(TRIM(L761&amp;""),설정_코드표!$F$2:$F$101,0)),"⚠"&amp;TRIM(L761&amp;"")))</f>
        <v/>
      </c>
      <c r="V761" s="10">
        <f>IF(AND(ISNUMBER(H761),ISNUMBER(I761)),I761-H761+1,"")</f>
        <v/>
      </c>
      <c r="W761" s="17">
        <f>IF(ISNUMBER(H761),MAX(0,MIN(IF(ISNUMBER(I761),I761,EOMONTH(출력_요약!$B$3,0)),EOMONTH(출력_요약!$B$3,0))-MAX(H761,출력_요약!$B$3)+1),0)</f>
        <v/>
      </c>
      <c r="X761" s="10">
        <f>IF(OR(NOT(ISNUMBER(H761)),Q761=""),"",IF(TODAY()&lt;H761,"파견예정",IF(AND(ISNUMBER(I761),TODAY()&gt;I761),"파견종료","파견중")))</f>
        <v/>
      </c>
      <c r="Y761" s="10">
        <f>IF(OR(Q761="",X761=""),"",Q761&amp;"|"&amp;X761)</f>
        <v/>
      </c>
      <c r="Z761" s="10">
        <f>IF(AND(Q761&lt;&gt;"",W761&gt;0),Q761&amp;"|월","")</f>
        <v/>
      </c>
      <c r="AA761" s="10">
        <f>IF(COUNTA(B761:I761,K761:N761)=0,"",IF(Q761="","등록번호 없음",IF(LEFT(R761,1)="⚠","모병원명 미등록",IF(S761="","파견병원 입력",IF(LEFT(S761,1)="⚠","파견병원명 미등록",IF(LEFT(U761,1)="⚠","파견과목 미등록",IF(OR(T761="",LEFT(T761,1)="⚠"),"파견근거 확인",IF(NOT(AND(ISNUMBER(H761),ISNUMBER(I761))),"날짜 형식/누락",IF(I761&lt;H761,"종료일&lt;시작일","")))))))))</f>
        <v/>
      </c>
      <c r="AB761" s="11">
        <f>IF(ISNUMBER(SEARCH("다기관",TRIM(N761&amp;" "&amp;O761))),IFERROR(DATE(VALUE(MID(TRIM(N761&amp;" "&amp;O761),1,4)),VALUE(MID(TRIM(N761&amp;" "&amp;O761),6,2)),VALUE(MID(TRIM(N761&amp;" "&amp;O761),9,2))),IF(ISNUMBER(H761),H761,"")),"")</f>
        <v/>
      </c>
      <c r="AC761" s="11">
        <f>IF(ISNUMBER(SEARCH("다기관",TRIM(N761&amp;" "&amp;O761))),IFERROR(DATE(VALUE(MID(TRIM(N761&amp;" "&amp;O761),12,4)),VALUE(MID(TRIM(N761&amp;" "&amp;O761),17,2)),VALUE(MID(TRIM(N761&amp;" "&amp;O761),20,2))),IF(ISNUMBER(I761),I761,"")),"")</f>
        <v/>
      </c>
      <c r="AD761" s="17">
        <f>IF(AND(ISNUMBER(AB761),ISNUMBER(AC761)),MAX(0,MIN(AC761,EOMONTH(출력_요약!$B$3,0))-MAX(AB761,출력_요약!$B$3)+1),0)</f>
        <v/>
      </c>
      <c r="AE761" s="10">
        <f>IF(AND(Q761&lt;&gt;"",ISNUMBER(AB761)),Q761&amp;"|다기관","")</f>
        <v/>
      </c>
    </row>
    <row r="762">
      <c r="A762" s="15">
        <f>IF(F762="","",ROW()-3)</f>
        <v/>
      </c>
      <c r="B762" s="5" t="n"/>
      <c r="C762" s="15" t="n"/>
      <c r="D762" s="5" t="n"/>
      <c r="E762" s="15" t="n"/>
      <c r="F762" s="5" t="n"/>
      <c r="G762" s="6" t="n"/>
      <c r="H762" s="16" t="n"/>
      <c r="I762" s="16" t="n"/>
      <c r="J762" s="15">
        <f>IF(AND(ISNUMBER(H762),ISNUMBER(I762)),I762-H762+1,"")</f>
        <v/>
      </c>
      <c r="K762" s="5" t="n"/>
      <c r="L762" s="5" t="n"/>
      <c r="M762" s="5" t="n"/>
      <c r="N762" s="5" t="n"/>
      <c r="O762" s="5" t="n"/>
      <c r="Q762" s="10">
        <f>IF(TRIM(G762&amp;"")="","",TRIM(G762&amp;""))</f>
        <v/>
      </c>
      <c r="R762" s="10">
        <f>IF(TRIM(B762&amp;"")="","",IFERROR(INDEX(설정_코드표!$K$2:$K$101,MATCH(TRIM(B762&amp;""),설정_코드표!$J$2:$J$101,0)),"⚠"&amp;TRIM(B762&amp;"")))</f>
        <v/>
      </c>
      <c r="S762" s="10">
        <f>IF(TRIM(K762&amp;"")="","",IFERROR(INDEX(설정_코드표!$K$2:$K$101,MATCH(TRIM(K762&amp;""),설정_코드표!$J$2:$J$101,0)),"⚠"&amp;TRIM(K762&amp;"")))</f>
        <v/>
      </c>
      <c r="T762" s="10">
        <f>IF(TRIM(M762&amp;"")="","",IF(ISNUMBER(MATCH(TRIM(M762&amp;""),설정_코드표!$C$2:$C$11,0)),TRIM(M762&amp;""),"⚠"&amp;TRIM(M762&amp;"")))</f>
        <v/>
      </c>
      <c r="U762" s="10">
        <f>IF(TRIM(L762&amp;"")="","",IFERROR(INDEX(설정_코드표!$G$2:$G$101,MATCH(TRIM(L762&amp;""),설정_코드표!$F$2:$F$101,0)),"⚠"&amp;TRIM(L762&amp;"")))</f>
        <v/>
      </c>
      <c r="V762" s="10">
        <f>IF(AND(ISNUMBER(H762),ISNUMBER(I762)),I762-H762+1,"")</f>
        <v/>
      </c>
      <c r="W762" s="17">
        <f>IF(ISNUMBER(H762),MAX(0,MIN(IF(ISNUMBER(I762),I762,EOMONTH(출력_요약!$B$3,0)),EOMONTH(출력_요약!$B$3,0))-MAX(H762,출력_요약!$B$3)+1),0)</f>
        <v/>
      </c>
      <c r="X762" s="10">
        <f>IF(OR(NOT(ISNUMBER(H762)),Q762=""),"",IF(TODAY()&lt;H762,"파견예정",IF(AND(ISNUMBER(I762),TODAY()&gt;I762),"파견종료","파견중")))</f>
        <v/>
      </c>
      <c r="Y762" s="10">
        <f>IF(OR(Q762="",X762=""),"",Q762&amp;"|"&amp;X762)</f>
        <v/>
      </c>
      <c r="Z762" s="10">
        <f>IF(AND(Q762&lt;&gt;"",W762&gt;0),Q762&amp;"|월","")</f>
        <v/>
      </c>
      <c r="AA762" s="10">
        <f>IF(COUNTA(B762:I762,K762:N762)=0,"",IF(Q762="","등록번호 없음",IF(LEFT(R762,1)="⚠","모병원명 미등록",IF(S762="","파견병원 입력",IF(LEFT(S762,1)="⚠","파견병원명 미등록",IF(LEFT(U762,1)="⚠","파견과목 미등록",IF(OR(T762="",LEFT(T762,1)="⚠"),"파견근거 확인",IF(NOT(AND(ISNUMBER(H762),ISNUMBER(I762))),"날짜 형식/누락",IF(I762&lt;H762,"종료일&lt;시작일","")))))))))</f>
        <v/>
      </c>
      <c r="AB762" s="11">
        <f>IF(ISNUMBER(SEARCH("다기관",TRIM(N762&amp;" "&amp;O762))),IFERROR(DATE(VALUE(MID(TRIM(N762&amp;" "&amp;O762),1,4)),VALUE(MID(TRIM(N762&amp;" "&amp;O762),6,2)),VALUE(MID(TRIM(N762&amp;" "&amp;O762),9,2))),IF(ISNUMBER(H762),H762,"")),"")</f>
        <v/>
      </c>
      <c r="AC762" s="11">
        <f>IF(ISNUMBER(SEARCH("다기관",TRIM(N762&amp;" "&amp;O762))),IFERROR(DATE(VALUE(MID(TRIM(N762&amp;" "&amp;O762),12,4)),VALUE(MID(TRIM(N762&amp;" "&amp;O762),17,2)),VALUE(MID(TRIM(N762&amp;" "&amp;O762),20,2))),IF(ISNUMBER(I762),I762,"")),"")</f>
        <v/>
      </c>
      <c r="AD762" s="17">
        <f>IF(AND(ISNUMBER(AB762),ISNUMBER(AC762)),MAX(0,MIN(AC762,EOMONTH(출력_요약!$B$3,0))-MAX(AB762,출력_요약!$B$3)+1),0)</f>
        <v/>
      </c>
      <c r="AE762" s="10">
        <f>IF(AND(Q762&lt;&gt;"",ISNUMBER(AB762)),Q762&amp;"|다기관","")</f>
        <v/>
      </c>
    </row>
    <row r="763">
      <c r="A763" s="15">
        <f>IF(F763="","",ROW()-3)</f>
        <v/>
      </c>
      <c r="B763" s="5" t="n"/>
      <c r="C763" s="15" t="n"/>
      <c r="D763" s="5" t="n"/>
      <c r="E763" s="15" t="n"/>
      <c r="F763" s="5" t="n"/>
      <c r="G763" s="6" t="n"/>
      <c r="H763" s="16" t="n"/>
      <c r="I763" s="16" t="n"/>
      <c r="J763" s="15">
        <f>IF(AND(ISNUMBER(H763),ISNUMBER(I763)),I763-H763+1,"")</f>
        <v/>
      </c>
      <c r="K763" s="5" t="n"/>
      <c r="L763" s="5" t="n"/>
      <c r="M763" s="5" t="n"/>
      <c r="N763" s="5" t="n"/>
      <c r="O763" s="5" t="n"/>
      <c r="Q763" s="10">
        <f>IF(TRIM(G763&amp;"")="","",TRIM(G763&amp;""))</f>
        <v/>
      </c>
      <c r="R763" s="10">
        <f>IF(TRIM(B763&amp;"")="","",IFERROR(INDEX(설정_코드표!$K$2:$K$101,MATCH(TRIM(B763&amp;""),설정_코드표!$J$2:$J$101,0)),"⚠"&amp;TRIM(B763&amp;"")))</f>
        <v/>
      </c>
      <c r="S763" s="10">
        <f>IF(TRIM(K763&amp;"")="","",IFERROR(INDEX(설정_코드표!$K$2:$K$101,MATCH(TRIM(K763&amp;""),설정_코드표!$J$2:$J$101,0)),"⚠"&amp;TRIM(K763&amp;"")))</f>
        <v/>
      </c>
      <c r="T763" s="10">
        <f>IF(TRIM(M763&amp;"")="","",IF(ISNUMBER(MATCH(TRIM(M763&amp;""),설정_코드표!$C$2:$C$11,0)),TRIM(M763&amp;""),"⚠"&amp;TRIM(M763&amp;"")))</f>
        <v/>
      </c>
      <c r="U763" s="10">
        <f>IF(TRIM(L763&amp;"")="","",IFERROR(INDEX(설정_코드표!$G$2:$G$101,MATCH(TRIM(L763&amp;""),설정_코드표!$F$2:$F$101,0)),"⚠"&amp;TRIM(L763&amp;"")))</f>
        <v/>
      </c>
      <c r="V763" s="10">
        <f>IF(AND(ISNUMBER(H763),ISNUMBER(I763)),I763-H763+1,"")</f>
        <v/>
      </c>
      <c r="W763" s="17">
        <f>IF(ISNUMBER(H763),MAX(0,MIN(IF(ISNUMBER(I763),I763,EOMONTH(출력_요약!$B$3,0)),EOMONTH(출력_요약!$B$3,0))-MAX(H763,출력_요약!$B$3)+1),0)</f>
        <v/>
      </c>
      <c r="X763" s="10">
        <f>IF(OR(NOT(ISNUMBER(H763)),Q763=""),"",IF(TODAY()&lt;H763,"파견예정",IF(AND(ISNUMBER(I763),TODAY()&gt;I763),"파견종료","파견중")))</f>
        <v/>
      </c>
      <c r="Y763" s="10">
        <f>IF(OR(Q763="",X763=""),"",Q763&amp;"|"&amp;X763)</f>
        <v/>
      </c>
      <c r="Z763" s="10">
        <f>IF(AND(Q763&lt;&gt;"",W763&gt;0),Q763&amp;"|월","")</f>
        <v/>
      </c>
      <c r="AA763" s="10">
        <f>IF(COUNTA(B763:I763,K763:N763)=0,"",IF(Q763="","등록번호 없음",IF(LEFT(R763,1)="⚠","모병원명 미등록",IF(S763="","파견병원 입력",IF(LEFT(S763,1)="⚠","파견병원명 미등록",IF(LEFT(U763,1)="⚠","파견과목 미등록",IF(OR(T763="",LEFT(T763,1)="⚠"),"파견근거 확인",IF(NOT(AND(ISNUMBER(H763),ISNUMBER(I763))),"날짜 형식/누락",IF(I763&lt;H763,"종료일&lt;시작일","")))))))))</f>
        <v/>
      </c>
      <c r="AB763" s="11">
        <f>IF(ISNUMBER(SEARCH("다기관",TRIM(N763&amp;" "&amp;O763))),IFERROR(DATE(VALUE(MID(TRIM(N763&amp;" "&amp;O763),1,4)),VALUE(MID(TRIM(N763&amp;" "&amp;O763),6,2)),VALUE(MID(TRIM(N763&amp;" "&amp;O763),9,2))),IF(ISNUMBER(H763),H763,"")),"")</f>
        <v/>
      </c>
      <c r="AC763" s="11">
        <f>IF(ISNUMBER(SEARCH("다기관",TRIM(N763&amp;" "&amp;O763))),IFERROR(DATE(VALUE(MID(TRIM(N763&amp;" "&amp;O763),12,4)),VALUE(MID(TRIM(N763&amp;" "&amp;O763),17,2)),VALUE(MID(TRIM(N763&amp;" "&amp;O763),20,2))),IF(ISNUMBER(I763),I763,"")),"")</f>
        <v/>
      </c>
      <c r="AD763" s="17">
        <f>IF(AND(ISNUMBER(AB763),ISNUMBER(AC763)),MAX(0,MIN(AC763,EOMONTH(출력_요약!$B$3,0))-MAX(AB763,출력_요약!$B$3)+1),0)</f>
        <v/>
      </c>
      <c r="AE763" s="10">
        <f>IF(AND(Q763&lt;&gt;"",ISNUMBER(AB763)),Q763&amp;"|다기관","")</f>
        <v/>
      </c>
    </row>
    <row r="764">
      <c r="A764" s="15">
        <f>IF(F764="","",ROW()-3)</f>
        <v/>
      </c>
      <c r="B764" s="5" t="n"/>
      <c r="C764" s="15" t="n"/>
      <c r="D764" s="5" t="n"/>
      <c r="E764" s="15" t="n"/>
      <c r="F764" s="5" t="n"/>
      <c r="G764" s="6" t="n"/>
      <c r="H764" s="16" t="n"/>
      <c r="I764" s="16" t="n"/>
      <c r="J764" s="15">
        <f>IF(AND(ISNUMBER(H764),ISNUMBER(I764)),I764-H764+1,"")</f>
        <v/>
      </c>
      <c r="K764" s="5" t="n"/>
      <c r="L764" s="5" t="n"/>
      <c r="M764" s="5" t="n"/>
      <c r="N764" s="5" t="n"/>
      <c r="O764" s="5" t="n"/>
      <c r="Q764" s="10">
        <f>IF(TRIM(G764&amp;"")="","",TRIM(G764&amp;""))</f>
        <v/>
      </c>
      <c r="R764" s="10">
        <f>IF(TRIM(B764&amp;"")="","",IFERROR(INDEX(설정_코드표!$K$2:$K$101,MATCH(TRIM(B764&amp;""),설정_코드표!$J$2:$J$101,0)),"⚠"&amp;TRIM(B764&amp;"")))</f>
        <v/>
      </c>
      <c r="S764" s="10">
        <f>IF(TRIM(K764&amp;"")="","",IFERROR(INDEX(설정_코드표!$K$2:$K$101,MATCH(TRIM(K764&amp;""),설정_코드표!$J$2:$J$101,0)),"⚠"&amp;TRIM(K764&amp;"")))</f>
        <v/>
      </c>
      <c r="T764" s="10">
        <f>IF(TRIM(M764&amp;"")="","",IF(ISNUMBER(MATCH(TRIM(M764&amp;""),설정_코드표!$C$2:$C$11,0)),TRIM(M764&amp;""),"⚠"&amp;TRIM(M764&amp;"")))</f>
        <v/>
      </c>
      <c r="U764" s="10">
        <f>IF(TRIM(L764&amp;"")="","",IFERROR(INDEX(설정_코드표!$G$2:$G$101,MATCH(TRIM(L764&amp;""),설정_코드표!$F$2:$F$101,0)),"⚠"&amp;TRIM(L764&amp;"")))</f>
        <v/>
      </c>
      <c r="V764" s="10">
        <f>IF(AND(ISNUMBER(H764),ISNUMBER(I764)),I764-H764+1,"")</f>
        <v/>
      </c>
      <c r="W764" s="17">
        <f>IF(ISNUMBER(H764),MAX(0,MIN(IF(ISNUMBER(I764),I764,EOMONTH(출력_요약!$B$3,0)),EOMONTH(출력_요약!$B$3,0))-MAX(H764,출력_요약!$B$3)+1),0)</f>
        <v/>
      </c>
      <c r="X764" s="10">
        <f>IF(OR(NOT(ISNUMBER(H764)),Q764=""),"",IF(TODAY()&lt;H764,"파견예정",IF(AND(ISNUMBER(I764),TODAY()&gt;I764),"파견종료","파견중")))</f>
        <v/>
      </c>
      <c r="Y764" s="10">
        <f>IF(OR(Q764="",X764=""),"",Q764&amp;"|"&amp;X764)</f>
        <v/>
      </c>
      <c r="Z764" s="10">
        <f>IF(AND(Q764&lt;&gt;"",W764&gt;0),Q764&amp;"|월","")</f>
        <v/>
      </c>
      <c r="AA764" s="10">
        <f>IF(COUNTA(B764:I764,K764:N764)=0,"",IF(Q764="","등록번호 없음",IF(LEFT(R764,1)="⚠","모병원명 미등록",IF(S764="","파견병원 입력",IF(LEFT(S764,1)="⚠","파견병원명 미등록",IF(LEFT(U764,1)="⚠","파견과목 미등록",IF(OR(T764="",LEFT(T764,1)="⚠"),"파견근거 확인",IF(NOT(AND(ISNUMBER(H764),ISNUMBER(I764))),"날짜 형식/누락",IF(I764&lt;H764,"종료일&lt;시작일","")))))))))</f>
        <v/>
      </c>
      <c r="AB764" s="11">
        <f>IF(ISNUMBER(SEARCH("다기관",TRIM(N764&amp;" "&amp;O764))),IFERROR(DATE(VALUE(MID(TRIM(N764&amp;" "&amp;O764),1,4)),VALUE(MID(TRIM(N764&amp;" "&amp;O764),6,2)),VALUE(MID(TRIM(N764&amp;" "&amp;O764),9,2))),IF(ISNUMBER(H764),H764,"")),"")</f>
        <v/>
      </c>
      <c r="AC764" s="11">
        <f>IF(ISNUMBER(SEARCH("다기관",TRIM(N764&amp;" "&amp;O764))),IFERROR(DATE(VALUE(MID(TRIM(N764&amp;" "&amp;O764),12,4)),VALUE(MID(TRIM(N764&amp;" "&amp;O764),17,2)),VALUE(MID(TRIM(N764&amp;" "&amp;O764),20,2))),IF(ISNUMBER(I764),I764,"")),"")</f>
        <v/>
      </c>
      <c r="AD764" s="17">
        <f>IF(AND(ISNUMBER(AB764),ISNUMBER(AC764)),MAX(0,MIN(AC764,EOMONTH(출력_요약!$B$3,0))-MAX(AB764,출력_요약!$B$3)+1),0)</f>
        <v/>
      </c>
      <c r="AE764" s="10">
        <f>IF(AND(Q764&lt;&gt;"",ISNUMBER(AB764)),Q764&amp;"|다기관","")</f>
        <v/>
      </c>
    </row>
    <row r="765">
      <c r="A765" s="15">
        <f>IF(F765="","",ROW()-3)</f>
        <v/>
      </c>
      <c r="B765" s="5" t="n"/>
      <c r="C765" s="15" t="n"/>
      <c r="D765" s="5" t="n"/>
      <c r="E765" s="15" t="n"/>
      <c r="F765" s="5" t="n"/>
      <c r="G765" s="6" t="n"/>
      <c r="H765" s="16" t="n"/>
      <c r="I765" s="16" t="n"/>
      <c r="J765" s="15">
        <f>IF(AND(ISNUMBER(H765),ISNUMBER(I765)),I765-H765+1,"")</f>
        <v/>
      </c>
      <c r="K765" s="5" t="n"/>
      <c r="L765" s="5" t="n"/>
      <c r="M765" s="5" t="n"/>
      <c r="N765" s="5" t="n"/>
      <c r="O765" s="5" t="n"/>
      <c r="Q765" s="10">
        <f>IF(TRIM(G765&amp;"")="","",TRIM(G765&amp;""))</f>
        <v/>
      </c>
      <c r="R765" s="10">
        <f>IF(TRIM(B765&amp;"")="","",IFERROR(INDEX(설정_코드표!$K$2:$K$101,MATCH(TRIM(B765&amp;""),설정_코드표!$J$2:$J$101,0)),"⚠"&amp;TRIM(B765&amp;"")))</f>
        <v/>
      </c>
      <c r="S765" s="10">
        <f>IF(TRIM(K765&amp;"")="","",IFERROR(INDEX(설정_코드표!$K$2:$K$101,MATCH(TRIM(K765&amp;""),설정_코드표!$J$2:$J$101,0)),"⚠"&amp;TRIM(K765&amp;"")))</f>
        <v/>
      </c>
      <c r="T765" s="10">
        <f>IF(TRIM(M765&amp;"")="","",IF(ISNUMBER(MATCH(TRIM(M765&amp;""),설정_코드표!$C$2:$C$11,0)),TRIM(M765&amp;""),"⚠"&amp;TRIM(M765&amp;"")))</f>
        <v/>
      </c>
      <c r="U765" s="10">
        <f>IF(TRIM(L765&amp;"")="","",IFERROR(INDEX(설정_코드표!$G$2:$G$101,MATCH(TRIM(L765&amp;""),설정_코드표!$F$2:$F$101,0)),"⚠"&amp;TRIM(L765&amp;"")))</f>
        <v/>
      </c>
      <c r="V765" s="10">
        <f>IF(AND(ISNUMBER(H765),ISNUMBER(I765)),I765-H765+1,"")</f>
        <v/>
      </c>
      <c r="W765" s="17">
        <f>IF(ISNUMBER(H765),MAX(0,MIN(IF(ISNUMBER(I765),I765,EOMONTH(출력_요약!$B$3,0)),EOMONTH(출력_요약!$B$3,0))-MAX(H765,출력_요약!$B$3)+1),0)</f>
        <v/>
      </c>
      <c r="X765" s="10">
        <f>IF(OR(NOT(ISNUMBER(H765)),Q765=""),"",IF(TODAY()&lt;H765,"파견예정",IF(AND(ISNUMBER(I765),TODAY()&gt;I765),"파견종료","파견중")))</f>
        <v/>
      </c>
      <c r="Y765" s="10">
        <f>IF(OR(Q765="",X765=""),"",Q765&amp;"|"&amp;X765)</f>
        <v/>
      </c>
      <c r="Z765" s="10">
        <f>IF(AND(Q765&lt;&gt;"",W765&gt;0),Q765&amp;"|월","")</f>
        <v/>
      </c>
      <c r="AA765" s="10">
        <f>IF(COUNTA(B765:I765,K765:N765)=0,"",IF(Q765="","등록번호 없음",IF(LEFT(R765,1)="⚠","모병원명 미등록",IF(S765="","파견병원 입력",IF(LEFT(S765,1)="⚠","파견병원명 미등록",IF(LEFT(U765,1)="⚠","파견과목 미등록",IF(OR(T765="",LEFT(T765,1)="⚠"),"파견근거 확인",IF(NOT(AND(ISNUMBER(H765),ISNUMBER(I765))),"날짜 형식/누락",IF(I765&lt;H765,"종료일&lt;시작일","")))))))))</f>
        <v/>
      </c>
      <c r="AB765" s="11">
        <f>IF(ISNUMBER(SEARCH("다기관",TRIM(N765&amp;" "&amp;O765))),IFERROR(DATE(VALUE(MID(TRIM(N765&amp;" "&amp;O765),1,4)),VALUE(MID(TRIM(N765&amp;" "&amp;O765),6,2)),VALUE(MID(TRIM(N765&amp;" "&amp;O765),9,2))),IF(ISNUMBER(H765),H765,"")),"")</f>
        <v/>
      </c>
      <c r="AC765" s="11">
        <f>IF(ISNUMBER(SEARCH("다기관",TRIM(N765&amp;" "&amp;O765))),IFERROR(DATE(VALUE(MID(TRIM(N765&amp;" "&amp;O765),12,4)),VALUE(MID(TRIM(N765&amp;" "&amp;O765),17,2)),VALUE(MID(TRIM(N765&amp;" "&amp;O765),20,2))),IF(ISNUMBER(I765),I765,"")),"")</f>
        <v/>
      </c>
      <c r="AD765" s="17">
        <f>IF(AND(ISNUMBER(AB765),ISNUMBER(AC765)),MAX(0,MIN(AC765,EOMONTH(출력_요약!$B$3,0))-MAX(AB765,출력_요약!$B$3)+1),0)</f>
        <v/>
      </c>
      <c r="AE765" s="10">
        <f>IF(AND(Q765&lt;&gt;"",ISNUMBER(AB765)),Q765&amp;"|다기관","")</f>
        <v/>
      </c>
    </row>
    <row r="766">
      <c r="A766" s="15">
        <f>IF(F766="","",ROW()-3)</f>
        <v/>
      </c>
      <c r="B766" s="5" t="n"/>
      <c r="C766" s="15" t="n"/>
      <c r="D766" s="5" t="n"/>
      <c r="E766" s="15" t="n"/>
      <c r="F766" s="5" t="n"/>
      <c r="G766" s="6" t="n"/>
      <c r="H766" s="16" t="n"/>
      <c r="I766" s="16" t="n"/>
      <c r="J766" s="15">
        <f>IF(AND(ISNUMBER(H766),ISNUMBER(I766)),I766-H766+1,"")</f>
        <v/>
      </c>
      <c r="K766" s="5" t="n"/>
      <c r="L766" s="5" t="n"/>
      <c r="M766" s="5" t="n"/>
      <c r="N766" s="5" t="n"/>
      <c r="O766" s="5" t="n"/>
      <c r="Q766" s="10">
        <f>IF(TRIM(G766&amp;"")="","",TRIM(G766&amp;""))</f>
        <v/>
      </c>
      <c r="R766" s="10">
        <f>IF(TRIM(B766&amp;"")="","",IFERROR(INDEX(설정_코드표!$K$2:$K$101,MATCH(TRIM(B766&amp;""),설정_코드표!$J$2:$J$101,0)),"⚠"&amp;TRIM(B766&amp;"")))</f>
        <v/>
      </c>
      <c r="S766" s="10">
        <f>IF(TRIM(K766&amp;"")="","",IFERROR(INDEX(설정_코드표!$K$2:$K$101,MATCH(TRIM(K766&amp;""),설정_코드표!$J$2:$J$101,0)),"⚠"&amp;TRIM(K766&amp;"")))</f>
        <v/>
      </c>
      <c r="T766" s="10">
        <f>IF(TRIM(M766&amp;"")="","",IF(ISNUMBER(MATCH(TRIM(M766&amp;""),설정_코드표!$C$2:$C$11,0)),TRIM(M766&amp;""),"⚠"&amp;TRIM(M766&amp;"")))</f>
        <v/>
      </c>
      <c r="U766" s="10">
        <f>IF(TRIM(L766&amp;"")="","",IFERROR(INDEX(설정_코드표!$G$2:$G$101,MATCH(TRIM(L766&amp;""),설정_코드표!$F$2:$F$101,0)),"⚠"&amp;TRIM(L766&amp;"")))</f>
        <v/>
      </c>
      <c r="V766" s="10">
        <f>IF(AND(ISNUMBER(H766),ISNUMBER(I766)),I766-H766+1,"")</f>
        <v/>
      </c>
      <c r="W766" s="17">
        <f>IF(ISNUMBER(H766),MAX(0,MIN(IF(ISNUMBER(I766),I766,EOMONTH(출력_요약!$B$3,0)),EOMONTH(출력_요약!$B$3,0))-MAX(H766,출력_요약!$B$3)+1),0)</f>
        <v/>
      </c>
      <c r="X766" s="10">
        <f>IF(OR(NOT(ISNUMBER(H766)),Q766=""),"",IF(TODAY()&lt;H766,"파견예정",IF(AND(ISNUMBER(I766),TODAY()&gt;I766),"파견종료","파견중")))</f>
        <v/>
      </c>
      <c r="Y766" s="10">
        <f>IF(OR(Q766="",X766=""),"",Q766&amp;"|"&amp;X766)</f>
        <v/>
      </c>
      <c r="Z766" s="10">
        <f>IF(AND(Q766&lt;&gt;"",W766&gt;0),Q766&amp;"|월","")</f>
        <v/>
      </c>
      <c r="AA766" s="10">
        <f>IF(COUNTA(B766:I766,K766:N766)=0,"",IF(Q766="","등록번호 없음",IF(LEFT(R766,1)="⚠","모병원명 미등록",IF(S766="","파견병원 입력",IF(LEFT(S766,1)="⚠","파견병원명 미등록",IF(LEFT(U766,1)="⚠","파견과목 미등록",IF(OR(T766="",LEFT(T766,1)="⚠"),"파견근거 확인",IF(NOT(AND(ISNUMBER(H766),ISNUMBER(I766))),"날짜 형식/누락",IF(I766&lt;H766,"종료일&lt;시작일","")))))))))</f>
        <v/>
      </c>
      <c r="AB766" s="11">
        <f>IF(ISNUMBER(SEARCH("다기관",TRIM(N766&amp;" "&amp;O766))),IFERROR(DATE(VALUE(MID(TRIM(N766&amp;" "&amp;O766),1,4)),VALUE(MID(TRIM(N766&amp;" "&amp;O766),6,2)),VALUE(MID(TRIM(N766&amp;" "&amp;O766),9,2))),IF(ISNUMBER(H766),H766,"")),"")</f>
        <v/>
      </c>
      <c r="AC766" s="11">
        <f>IF(ISNUMBER(SEARCH("다기관",TRIM(N766&amp;" "&amp;O766))),IFERROR(DATE(VALUE(MID(TRIM(N766&amp;" "&amp;O766),12,4)),VALUE(MID(TRIM(N766&amp;" "&amp;O766),17,2)),VALUE(MID(TRIM(N766&amp;" "&amp;O766),20,2))),IF(ISNUMBER(I766),I766,"")),"")</f>
        <v/>
      </c>
      <c r="AD766" s="17">
        <f>IF(AND(ISNUMBER(AB766),ISNUMBER(AC766)),MAX(0,MIN(AC766,EOMONTH(출력_요약!$B$3,0))-MAX(AB766,출력_요약!$B$3)+1),0)</f>
        <v/>
      </c>
      <c r="AE766" s="10">
        <f>IF(AND(Q766&lt;&gt;"",ISNUMBER(AB766)),Q766&amp;"|다기관","")</f>
        <v/>
      </c>
    </row>
    <row r="767">
      <c r="A767" s="15">
        <f>IF(F767="","",ROW()-3)</f>
        <v/>
      </c>
      <c r="B767" s="5" t="n"/>
      <c r="C767" s="15" t="n"/>
      <c r="D767" s="5" t="n"/>
      <c r="E767" s="15" t="n"/>
      <c r="F767" s="5" t="n"/>
      <c r="G767" s="6" t="n"/>
      <c r="H767" s="16" t="n"/>
      <c r="I767" s="16" t="n"/>
      <c r="J767" s="15">
        <f>IF(AND(ISNUMBER(H767),ISNUMBER(I767)),I767-H767+1,"")</f>
        <v/>
      </c>
      <c r="K767" s="5" t="n"/>
      <c r="L767" s="5" t="n"/>
      <c r="M767" s="5" t="n"/>
      <c r="N767" s="5" t="n"/>
      <c r="O767" s="5" t="n"/>
      <c r="Q767" s="10">
        <f>IF(TRIM(G767&amp;"")="","",TRIM(G767&amp;""))</f>
        <v/>
      </c>
      <c r="R767" s="10">
        <f>IF(TRIM(B767&amp;"")="","",IFERROR(INDEX(설정_코드표!$K$2:$K$101,MATCH(TRIM(B767&amp;""),설정_코드표!$J$2:$J$101,0)),"⚠"&amp;TRIM(B767&amp;"")))</f>
        <v/>
      </c>
      <c r="S767" s="10">
        <f>IF(TRIM(K767&amp;"")="","",IFERROR(INDEX(설정_코드표!$K$2:$K$101,MATCH(TRIM(K767&amp;""),설정_코드표!$J$2:$J$101,0)),"⚠"&amp;TRIM(K767&amp;"")))</f>
        <v/>
      </c>
      <c r="T767" s="10">
        <f>IF(TRIM(M767&amp;"")="","",IF(ISNUMBER(MATCH(TRIM(M767&amp;""),설정_코드표!$C$2:$C$11,0)),TRIM(M767&amp;""),"⚠"&amp;TRIM(M767&amp;"")))</f>
        <v/>
      </c>
      <c r="U767" s="10">
        <f>IF(TRIM(L767&amp;"")="","",IFERROR(INDEX(설정_코드표!$G$2:$G$101,MATCH(TRIM(L767&amp;""),설정_코드표!$F$2:$F$101,0)),"⚠"&amp;TRIM(L767&amp;"")))</f>
        <v/>
      </c>
      <c r="V767" s="10">
        <f>IF(AND(ISNUMBER(H767),ISNUMBER(I767)),I767-H767+1,"")</f>
        <v/>
      </c>
      <c r="W767" s="17">
        <f>IF(ISNUMBER(H767),MAX(0,MIN(IF(ISNUMBER(I767),I767,EOMONTH(출력_요약!$B$3,0)),EOMONTH(출력_요약!$B$3,0))-MAX(H767,출력_요약!$B$3)+1),0)</f>
        <v/>
      </c>
      <c r="X767" s="10">
        <f>IF(OR(NOT(ISNUMBER(H767)),Q767=""),"",IF(TODAY()&lt;H767,"파견예정",IF(AND(ISNUMBER(I767),TODAY()&gt;I767),"파견종료","파견중")))</f>
        <v/>
      </c>
      <c r="Y767" s="10">
        <f>IF(OR(Q767="",X767=""),"",Q767&amp;"|"&amp;X767)</f>
        <v/>
      </c>
      <c r="Z767" s="10">
        <f>IF(AND(Q767&lt;&gt;"",W767&gt;0),Q767&amp;"|월","")</f>
        <v/>
      </c>
      <c r="AA767" s="10">
        <f>IF(COUNTA(B767:I767,K767:N767)=0,"",IF(Q767="","등록번호 없음",IF(LEFT(R767,1)="⚠","모병원명 미등록",IF(S767="","파견병원 입력",IF(LEFT(S767,1)="⚠","파견병원명 미등록",IF(LEFT(U767,1)="⚠","파견과목 미등록",IF(OR(T767="",LEFT(T767,1)="⚠"),"파견근거 확인",IF(NOT(AND(ISNUMBER(H767),ISNUMBER(I767))),"날짜 형식/누락",IF(I767&lt;H767,"종료일&lt;시작일","")))))))))</f>
        <v/>
      </c>
      <c r="AB767" s="11">
        <f>IF(ISNUMBER(SEARCH("다기관",TRIM(N767&amp;" "&amp;O767))),IFERROR(DATE(VALUE(MID(TRIM(N767&amp;" "&amp;O767),1,4)),VALUE(MID(TRIM(N767&amp;" "&amp;O767),6,2)),VALUE(MID(TRIM(N767&amp;" "&amp;O767),9,2))),IF(ISNUMBER(H767),H767,"")),"")</f>
        <v/>
      </c>
      <c r="AC767" s="11">
        <f>IF(ISNUMBER(SEARCH("다기관",TRIM(N767&amp;" "&amp;O767))),IFERROR(DATE(VALUE(MID(TRIM(N767&amp;" "&amp;O767),12,4)),VALUE(MID(TRIM(N767&amp;" "&amp;O767),17,2)),VALUE(MID(TRIM(N767&amp;" "&amp;O767),20,2))),IF(ISNUMBER(I767),I767,"")),"")</f>
        <v/>
      </c>
      <c r="AD767" s="17">
        <f>IF(AND(ISNUMBER(AB767),ISNUMBER(AC767)),MAX(0,MIN(AC767,EOMONTH(출력_요약!$B$3,0))-MAX(AB767,출력_요약!$B$3)+1),0)</f>
        <v/>
      </c>
      <c r="AE767" s="10">
        <f>IF(AND(Q767&lt;&gt;"",ISNUMBER(AB767)),Q767&amp;"|다기관","")</f>
        <v/>
      </c>
    </row>
    <row r="768">
      <c r="A768" s="15">
        <f>IF(F768="","",ROW()-3)</f>
        <v/>
      </c>
      <c r="B768" s="5" t="n"/>
      <c r="C768" s="15" t="n"/>
      <c r="D768" s="5" t="n"/>
      <c r="E768" s="15" t="n"/>
      <c r="F768" s="5" t="n"/>
      <c r="G768" s="6" t="n"/>
      <c r="H768" s="16" t="n"/>
      <c r="I768" s="16" t="n"/>
      <c r="J768" s="15">
        <f>IF(AND(ISNUMBER(H768),ISNUMBER(I768)),I768-H768+1,"")</f>
        <v/>
      </c>
      <c r="K768" s="5" t="n"/>
      <c r="L768" s="5" t="n"/>
      <c r="M768" s="5" t="n"/>
      <c r="N768" s="5" t="n"/>
      <c r="O768" s="5" t="n"/>
      <c r="Q768" s="10">
        <f>IF(TRIM(G768&amp;"")="","",TRIM(G768&amp;""))</f>
        <v/>
      </c>
      <c r="R768" s="10">
        <f>IF(TRIM(B768&amp;"")="","",IFERROR(INDEX(설정_코드표!$K$2:$K$101,MATCH(TRIM(B768&amp;""),설정_코드표!$J$2:$J$101,0)),"⚠"&amp;TRIM(B768&amp;"")))</f>
        <v/>
      </c>
      <c r="S768" s="10">
        <f>IF(TRIM(K768&amp;"")="","",IFERROR(INDEX(설정_코드표!$K$2:$K$101,MATCH(TRIM(K768&amp;""),설정_코드표!$J$2:$J$101,0)),"⚠"&amp;TRIM(K768&amp;"")))</f>
        <v/>
      </c>
      <c r="T768" s="10">
        <f>IF(TRIM(M768&amp;"")="","",IF(ISNUMBER(MATCH(TRIM(M768&amp;""),설정_코드표!$C$2:$C$11,0)),TRIM(M768&amp;""),"⚠"&amp;TRIM(M768&amp;"")))</f>
        <v/>
      </c>
      <c r="U768" s="10">
        <f>IF(TRIM(L768&amp;"")="","",IFERROR(INDEX(설정_코드표!$G$2:$G$101,MATCH(TRIM(L768&amp;""),설정_코드표!$F$2:$F$101,0)),"⚠"&amp;TRIM(L768&amp;"")))</f>
        <v/>
      </c>
      <c r="V768" s="10">
        <f>IF(AND(ISNUMBER(H768),ISNUMBER(I768)),I768-H768+1,"")</f>
        <v/>
      </c>
      <c r="W768" s="17">
        <f>IF(ISNUMBER(H768),MAX(0,MIN(IF(ISNUMBER(I768),I768,EOMONTH(출력_요약!$B$3,0)),EOMONTH(출력_요약!$B$3,0))-MAX(H768,출력_요약!$B$3)+1),0)</f>
        <v/>
      </c>
      <c r="X768" s="10">
        <f>IF(OR(NOT(ISNUMBER(H768)),Q768=""),"",IF(TODAY()&lt;H768,"파견예정",IF(AND(ISNUMBER(I768),TODAY()&gt;I768),"파견종료","파견중")))</f>
        <v/>
      </c>
      <c r="Y768" s="10">
        <f>IF(OR(Q768="",X768=""),"",Q768&amp;"|"&amp;X768)</f>
        <v/>
      </c>
      <c r="Z768" s="10">
        <f>IF(AND(Q768&lt;&gt;"",W768&gt;0),Q768&amp;"|월","")</f>
        <v/>
      </c>
      <c r="AA768" s="10">
        <f>IF(COUNTA(B768:I768,K768:N768)=0,"",IF(Q768="","등록번호 없음",IF(LEFT(R768,1)="⚠","모병원명 미등록",IF(S768="","파견병원 입력",IF(LEFT(S768,1)="⚠","파견병원명 미등록",IF(LEFT(U768,1)="⚠","파견과목 미등록",IF(OR(T768="",LEFT(T768,1)="⚠"),"파견근거 확인",IF(NOT(AND(ISNUMBER(H768),ISNUMBER(I768))),"날짜 형식/누락",IF(I768&lt;H768,"종료일&lt;시작일","")))))))))</f>
        <v/>
      </c>
      <c r="AB768" s="11">
        <f>IF(ISNUMBER(SEARCH("다기관",TRIM(N768&amp;" "&amp;O768))),IFERROR(DATE(VALUE(MID(TRIM(N768&amp;" "&amp;O768),1,4)),VALUE(MID(TRIM(N768&amp;" "&amp;O768),6,2)),VALUE(MID(TRIM(N768&amp;" "&amp;O768),9,2))),IF(ISNUMBER(H768),H768,"")),"")</f>
        <v/>
      </c>
      <c r="AC768" s="11">
        <f>IF(ISNUMBER(SEARCH("다기관",TRIM(N768&amp;" "&amp;O768))),IFERROR(DATE(VALUE(MID(TRIM(N768&amp;" "&amp;O768),12,4)),VALUE(MID(TRIM(N768&amp;" "&amp;O768),17,2)),VALUE(MID(TRIM(N768&amp;" "&amp;O768),20,2))),IF(ISNUMBER(I768),I768,"")),"")</f>
        <v/>
      </c>
      <c r="AD768" s="17">
        <f>IF(AND(ISNUMBER(AB768),ISNUMBER(AC768)),MAX(0,MIN(AC768,EOMONTH(출력_요약!$B$3,0))-MAX(AB768,출력_요약!$B$3)+1),0)</f>
        <v/>
      </c>
      <c r="AE768" s="10">
        <f>IF(AND(Q768&lt;&gt;"",ISNUMBER(AB768)),Q768&amp;"|다기관","")</f>
        <v/>
      </c>
    </row>
    <row r="769">
      <c r="A769" s="15">
        <f>IF(F769="","",ROW()-3)</f>
        <v/>
      </c>
      <c r="B769" s="5" t="n"/>
      <c r="C769" s="15" t="n"/>
      <c r="D769" s="5" t="n"/>
      <c r="E769" s="15" t="n"/>
      <c r="F769" s="5" t="n"/>
      <c r="G769" s="6" t="n"/>
      <c r="H769" s="16" t="n"/>
      <c r="I769" s="16" t="n"/>
      <c r="J769" s="15">
        <f>IF(AND(ISNUMBER(H769),ISNUMBER(I769)),I769-H769+1,"")</f>
        <v/>
      </c>
      <c r="K769" s="5" t="n"/>
      <c r="L769" s="5" t="n"/>
      <c r="M769" s="5" t="n"/>
      <c r="N769" s="5" t="n"/>
      <c r="O769" s="5" t="n"/>
      <c r="Q769" s="10">
        <f>IF(TRIM(G769&amp;"")="","",TRIM(G769&amp;""))</f>
        <v/>
      </c>
      <c r="R769" s="10">
        <f>IF(TRIM(B769&amp;"")="","",IFERROR(INDEX(설정_코드표!$K$2:$K$101,MATCH(TRIM(B769&amp;""),설정_코드표!$J$2:$J$101,0)),"⚠"&amp;TRIM(B769&amp;"")))</f>
        <v/>
      </c>
      <c r="S769" s="10">
        <f>IF(TRIM(K769&amp;"")="","",IFERROR(INDEX(설정_코드표!$K$2:$K$101,MATCH(TRIM(K769&amp;""),설정_코드표!$J$2:$J$101,0)),"⚠"&amp;TRIM(K769&amp;"")))</f>
        <v/>
      </c>
      <c r="T769" s="10">
        <f>IF(TRIM(M769&amp;"")="","",IF(ISNUMBER(MATCH(TRIM(M769&amp;""),설정_코드표!$C$2:$C$11,0)),TRIM(M769&amp;""),"⚠"&amp;TRIM(M769&amp;"")))</f>
        <v/>
      </c>
      <c r="U769" s="10">
        <f>IF(TRIM(L769&amp;"")="","",IFERROR(INDEX(설정_코드표!$G$2:$G$101,MATCH(TRIM(L769&amp;""),설정_코드표!$F$2:$F$101,0)),"⚠"&amp;TRIM(L769&amp;"")))</f>
        <v/>
      </c>
      <c r="V769" s="10">
        <f>IF(AND(ISNUMBER(H769),ISNUMBER(I769)),I769-H769+1,"")</f>
        <v/>
      </c>
      <c r="W769" s="17">
        <f>IF(ISNUMBER(H769),MAX(0,MIN(IF(ISNUMBER(I769),I769,EOMONTH(출력_요약!$B$3,0)),EOMONTH(출력_요약!$B$3,0))-MAX(H769,출력_요약!$B$3)+1),0)</f>
        <v/>
      </c>
      <c r="X769" s="10">
        <f>IF(OR(NOT(ISNUMBER(H769)),Q769=""),"",IF(TODAY()&lt;H769,"파견예정",IF(AND(ISNUMBER(I769),TODAY()&gt;I769),"파견종료","파견중")))</f>
        <v/>
      </c>
      <c r="Y769" s="10">
        <f>IF(OR(Q769="",X769=""),"",Q769&amp;"|"&amp;X769)</f>
        <v/>
      </c>
      <c r="Z769" s="10">
        <f>IF(AND(Q769&lt;&gt;"",W769&gt;0),Q769&amp;"|월","")</f>
        <v/>
      </c>
      <c r="AA769" s="10">
        <f>IF(COUNTA(B769:I769,K769:N769)=0,"",IF(Q769="","등록번호 없음",IF(LEFT(R769,1)="⚠","모병원명 미등록",IF(S769="","파견병원 입력",IF(LEFT(S769,1)="⚠","파견병원명 미등록",IF(LEFT(U769,1)="⚠","파견과목 미등록",IF(OR(T769="",LEFT(T769,1)="⚠"),"파견근거 확인",IF(NOT(AND(ISNUMBER(H769),ISNUMBER(I769))),"날짜 형식/누락",IF(I769&lt;H769,"종료일&lt;시작일","")))))))))</f>
        <v/>
      </c>
      <c r="AB769" s="11">
        <f>IF(ISNUMBER(SEARCH("다기관",TRIM(N769&amp;" "&amp;O769))),IFERROR(DATE(VALUE(MID(TRIM(N769&amp;" "&amp;O769),1,4)),VALUE(MID(TRIM(N769&amp;" "&amp;O769),6,2)),VALUE(MID(TRIM(N769&amp;" "&amp;O769),9,2))),IF(ISNUMBER(H769),H769,"")),"")</f>
        <v/>
      </c>
      <c r="AC769" s="11">
        <f>IF(ISNUMBER(SEARCH("다기관",TRIM(N769&amp;" "&amp;O769))),IFERROR(DATE(VALUE(MID(TRIM(N769&amp;" "&amp;O769),12,4)),VALUE(MID(TRIM(N769&amp;" "&amp;O769),17,2)),VALUE(MID(TRIM(N769&amp;" "&amp;O769),20,2))),IF(ISNUMBER(I769),I769,"")),"")</f>
        <v/>
      </c>
      <c r="AD769" s="17">
        <f>IF(AND(ISNUMBER(AB769),ISNUMBER(AC769)),MAX(0,MIN(AC769,EOMONTH(출력_요약!$B$3,0))-MAX(AB769,출력_요약!$B$3)+1),0)</f>
        <v/>
      </c>
      <c r="AE769" s="10">
        <f>IF(AND(Q769&lt;&gt;"",ISNUMBER(AB769)),Q769&amp;"|다기관","")</f>
        <v/>
      </c>
    </row>
    <row r="770">
      <c r="A770" s="15">
        <f>IF(F770="","",ROW()-3)</f>
        <v/>
      </c>
      <c r="B770" s="5" t="n"/>
      <c r="C770" s="15" t="n"/>
      <c r="D770" s="5" t="n"/>
      <c r="E770" s="15" t="n"/>
      <c r="F770" s="5" t="n"/>
      <c r="G770" s="6" t="n"/>
      <c r="H770" s="16" t="n"/>
      <c r="I770" s="16" t="n"/>
      <c r="J770" s="15">
        <f>IF(AND(ISNUMBER(H770),ISNUMBER(I770)),I770-H770+1,"")</f>
        <v/>
      </c>
      <c r="K770" s="5" t="n"/>
      <c r="L770" s="5" t="n"/>
      <c r="M770" s="5" t="n"/>
      <c r="N770" s="5" t="n"/>
      <c r="O770" s="5" t="n"/>
      <c r="Q770" s="10">
        <f>IF(TRIM(G770&amp;"")="","",TRIM(G770&amp;""))</f>
        <v/>
      </c>
      <c r="R770" s="10">
        <f>IF(TRIM(B770&amp;"")="","",IFERROR(INDEX(설정_코드표!$K$2:$K$101,MATCH(TRIM(B770&amp;""),설정_코드표!$J$2:$J$101,0)),"⚠"&amp;TRIM(B770&amp;"")))</f>
        <v/>
      </c>
      <c r="S770" s="10">
        <f>IF(TRIM(K770&amp;"")="","",IFERROR(INDEX(설정_코드표!$K$2:$K$101,MATCH(TRIM(K770&amp;""),설정_코드표!$J$2:$J$101,0)),"⚠"&amp;TRIM(K770&amp;"")))</f>
        <v/>
      </c>
      <c r="T770" s="10">
        <f>IF(TRIM(M770&amp;"")="","",IF(ISNUMBER(MATCH(TRIM(M770&amp;""),설정_코드표!$C$2:$C$11,0)),TRIM(M770&amp;""),"⚠"&amp;TRIM(M770&amp;"")))</f>
        <v/>
      </c>
      <c r="U770" s="10">
        <f>IF(TRIM(L770&amp;"")="","",IFERROR(INDEX(설정_코드표!$G$2:$G$101,MATCH(TRIM(L770&amp;""),설정_코드표!$F$2:$F$101,0)),"⚠"&amp;TRIM(L770&amp;"")))</f>
        <v/>
      </c>
      <c r="V770" s="10">
        <f>IF(AND(ISNUMBER(H770),ISNUMBER(I770)),I770-H770+1,"")</f>
        <v/>
      </c>
      <c r="W770" s="17">
        <f>IF(ISNUMBER(H770),MAX(0,MIN(IF(ISNUMBER(I770),I770,EOMONTH(출력_요약!$B$3,0)),EOMONTH(출력_요약!$B$3,0))-MAX(H770,출력_요약!$B$3)+1),0)</f>
        <v/>
      </c>
      <c r="X770" s="10">
        <f>IF(OR(NOT(ISNUMBER(H770)),Q770=""),"",IF(TODAY()&lt;H770,"파견예정",IF(AND(ISNUMBER(I770),TODAY()&gt;I770),"파견종료","파견중")))</f>
        <v/>
      </c>
      <c r="Y770" s="10">
        <f>IF(OR(Q770="",X770=""),"",Q770&amp;"|"&amp;X770)</f>
        <v/>
      </c>
      <c r="Z770" s="10">
        <f>IF(AND(Q770&lt;&gt;"",W770&gt;0),Q770&amp;"|월","")</f>
        <v/>
      </c>
      <c r="AA770" s="10">
        <f>IF(COUNTA(B770:I770,K770:N770)=0,"",IF(Q770="","등록번호 없음",IF(LEFT(R770,1)="⚠","모병원명 미등록",IF(S770="","파견병원 입력",IF(LEFT(S770,1)="⚠","파견병원명 미등록",IF(LEFT(U770,1)="⚠","파견과목 미등록",IF(OR(T770="",LEFT(T770,1)="⚠"),"파견근거 확인",IF(NOT(AND(ISNUMBER(H770),ISNUMBER(I770))),"날짜 형식/누락",IF(I770&lt;H770,"종료일&lt;시작일","")))))))))</f>
        <v/>
      </c>
      <c r="AB770" s="11">
        <f>IF(ISNUMBER(SEARCH("다기관",TRIM(N770&amp;" "&amp;O770))),IFERROR(DATE(VALUE(MID(TRIM(N770&amp;" "&amp;O770),1,4)),VALUE(MID(TRIM(N770&amp;" "&amp;O770),6,2)),VALUE(MID(TRIM(N770&amp;" "&amp;O770),9,2))),IF(ISNUMBER(H770),H770,"")),"")</f>
        <v/>
      </c>
      <c r="AC770" s="11">
        <f>IF(ISNUMBER(SEARCH("다기관",TRIM(N770&amp;" "&amp;O770))),IFERROR(DATE(VALUE(MID(TRIM(N770&amp;" "&amp;O770),12,4)),VALUE(MID(TRIM(N770&amp;" "&amp;O770),17,2)),VALUE(MID(TRIM(N770&amp;" "&amp;O770),20,2))),IF(ISNUMBER(I770),I770,"")),"")</f>
        <v/>
      </c>
      <c r="AD770" s="17">
        <f>IF(AND(ISNUMBER(AB770),ISNUMBER(AC770)),MAX(0,MIN(AC770,EOMONTH(출력_요약!$B$3,0))-MAX(AB770,출력_요약!$B$3)+1),0)</f>
        <v/>
      </c>
      <c r="AE770" s="10">
        <f>IF(AND(Q770&lt;&gt;"",ISNUMBER(AB770)),Q770&amp;"|다기관","")</f>
        <v/>
      </c>
    </row>
    <row r="771">
      <c r="A771" s="15">
        <f>IF(F771="","",ROW()-3)</f>
        <v/>
      </c>
      <c r="B771" s="5" t="n"/>
      <c r="C771" s="15" t="n"/>
      <c r="D771" s="5" t="n"/>
      <c r="E771" s="15" t="n"/>
      <c r="F771" s="5" t="n"/>
      <c r="G771" s="6" t="n"/>
      <c r="H771" s="16" t="n"/>
      <c r="I771" s="16" t="n"/>
      <c r="J771" s="15">
        <f>IF(AND(ISNUMBER(H771),ISNUMBER(I771)),I771-H771+1,"")</f>
        <v/>
      </c>
      <c r="K771" s="5" t="n"/>
      <c r="L771" s="5" t="n"/>
      <c r="M771" s="5" t="n"/>
      <c r="N771" s="5" t="n"/>
      <c r="O771" s="5" t="n"/>
      <c r="Q771" s="10">
        <f>IF(TRIM(G771&amp;"")="","",TRIM(G771&amp;""))</f>
        <v/>
      </c>
      <c r="R771" s="10">
        <f>IF(TRIM(B771&amp;"")="","",IFERROR(INDEX(설정_코드표!$K$2:$K$101,MATCH(TRIM(B771&amp;""),설정_코드표!$J$2:$J$101,0)),"⚠"&amp;TRIM(B771&amp;"")))</f>
        <v/>
      </c>
      <c r="S771" s="10">
        <f>IF(TRIM(K771&amp;"")="","",IFERROR(INDEX(설정_코드표!$K$2:$K$101,MATCH(TRIM(K771&amp;""),설정_코드표!$J$2:$J$101,0)),"⚠"&amp;TRIM(K771&amp;"")))</f>
        <v/>
      </c>
      <c r="T771" s="10">
        <f>IF(TRIM(M771&amp;"")="","",IF(ISNUMBER(MATCH(TRIM(M771&amp;""),설정_코드표!$C$2:$C$11,0)),TRIM(M771&amp;""),"⚠"&amp;TRIM(M771&amp;"")))</f>
        <v/>
      </c>
      <c r="U771" s="10">
        <f>IF(TRIM(L771&amp;"")="","",IFERROR(INDEX(설정_코드표!$G$2:$G$101,MATCH(TRIM(L771&amp;""),설정_코드표!$F$2:$F$101,0)),"⚠"&amp;TRIM(L771&amp;"")))</f>
        <v/>
      </c>
      <c r="V771" s="10">
        <f>IF(AND(ISNUMBER(H771),ISNUMBER(I771)),I771-H771+1,"")</f>
        <v/>
      </c>
      <c r="W771" s="17">
        <f>IF(ISNUMBER(H771),MAX(0,MIN(IF(ISNUMBER(I771),I771,EOMONTH(출력_요약!$B$3,0)),EOMONTH(출력_요약!$B$3,0))-MAX(H771,출력_요약!$B$3)+1),0)</f>
        <v/>
      </c>
      <c r="X771" s="10">
        <f>IF(OR(NOT(ISNUMBER(H771)),Q771=""),"",IF(TODAY()&lt;H771,"파견예정",IF(AND(ISNUMBER(I771),TODAY()&gt;I771),"파견종료","파견중")))</f>
        <v/>
      </c>
      <c r="Y771" s="10">
        <f>IF(OR(Q771="",X771=""),"",Q771&amp;"|"&amp;X771)</f>
        <v/>
      </c>
      <c r="Z771" s="10">
        <f>IF(AND(Q771&lt;&gt;"",W771&gt;0),Q771&amp;"|월","")</f>
        <v/>
      </c>
      <c r="AA771" s="10">
        <f>IF(COUNTA(B771:I771,K771:N771)=0,"",IF(Q771="","등록번호 없음",IF(LEFT(R771,1)="⚠","모병원명 미등록",IF(S771="","파견병원 입력",IF(LEFT(S771,1)="⚠","파견병원명 미등록",IF(LEFT(U771,1)="⚠","파견과목 미등록",IF(OR(T771="",LEFT(T771,1)="⚠"),"파견근거 확인",IF(NOT(AND(ISNUMBER(H771),ISNUMBER(I771))),"날짜 형식/누락",IF(I771&lt;H771,"종료일&lt;시작일","")))))))))</f>
        <v/>
      </c>
      <c r="AB771" s="11">
        <f>IF(ISNUMBER(SEARCH("다기관",TRIM(N771&amp;" "&amp;O771))),IFERROR(DATE(VALUE(MID(TRIM(N771&amp;" "&amp;O771),1,4)),VALUE(MID(TRIM(N771&amp;" "&amp;O771),6,2)),VALUE(MID(TRIM(N771&amp;" "&amp;O771),9,2))),IF(ISNUMBER(H771),H771,"")),"")</f>
        <v/>
      </c>
      <c r="AC771" s="11">
        <f>IF(ISNUMBER(SEARCH("다기관",TRIM(N771&amp;" "&amp;O771))),IFERROR(DATE(VALUE(MID(TRIM(N771&amp;" "&amp;O771),12,4)),VALUE(MID(TRIM(N771&amp;" "&amp;O771),17,2)),VALUE(MID(TRIM(N771&amp;" "&amp;O771),20,2))),IF(ISNUMBER(I771),I771,"")),"")</f>
        <v/>
      </c>
      <c r="AD771" s="17">
        <f>IF(AND(ISNUMBER(AB771),ISNUMBER(AC771)),MAX(0,MIN(AC771,EOMONTH(출력_요약!$B$3,0))-MAX(AB771,출력_요약!$B$3)+1),0)</f>
        <v/>
      </c>
      <c r="AE771" s="10">
        <f>IF(AND(Q771&lt;&gt;"",ISNUMBER(AB771)),Q771&amp;"|다기관","")</f>
        <v/>
      </c>
    </row>
    <row r="772">
      <c r="A772" s="15">
        <f>IF(F772="","",ROW()-3)</f>
        <v/>
      </c>
      <c r="B772" s="5" t="n"/>
      <c r="C772" s="15" t="n"/>
      <c r="D772" s="5" t="n"/>
      <c r="E772" s="15" t="n"/>
      <c r="F772" s="5" t="n"/>
      <c r="G772" s="6" t="n"/>
      <c r="H772" s="16" t="n"/>
      <c r="I772" s="16" t="n"/>
      <c r="J772" s="15">
        <f>IF(AND(ISNUMBER(H772),ISNUMBER(I772)),I772-H772+1,"")</f>
        <v/>
      </c>
      <c r="K772" s="5" t="n"/>
      <c r="L772" s="5" t="n"/>
      <c r="M772" s="5" t="n"/>
      <c r="N772" s="5" t="n"/>
      <c r="O772" s="5" t="n"/>
      <c r="Q772" s="10">
        <f>IF(TRIM(G772&amp;"")="","",TRIM(G772&amp;""))</f>
        <v/>
      </c>
      <c r="R772" s="10">
        <f>IF(TRIM(B772&amp;"")="","",IFERROR(INDEX(설정_코드표!$K$2:$K$101,MATCH(TRIM(B772&amp;""),설정_코드표!$J$2:$J$101,0)),"⚠"&amp;TRIM(B772&amp;"")))</f>
        <v/>
      </c>
      <c r="S772" s="10">
        <f>IF(TRIM(K772&amp;"")="","",IFERROR(INDEX(설정_코드표!$K$2:$K$101,MATCH(TRIM(K772&amp;""),설정_코드표!$J$2:$J$101,0)),"⚠"&amp;TRIM(K772&amp;"")))</f>
        <v/>
      </c>
      <c r="T772" s="10">
        <f>IF(TRIM(M772&amp;"")="","",IF(ISNUMBER(MATCH(TRIM(M772&amp;""),설정_코드표!$C$2:$C$11,0)),TRIM(M772&amp;""),"⚠"&amp;TRIM(M772&amp;"")))</f>
        <v/>
      </c>
      <c r="U772" s="10">
        <f>IF(TRIM(L772&amp;"")="","",IFERROR(INDEX(설정_코드표!$G$2:$G$101,MATCH(TRIM(L772&amp;""),설정_코드표!$F$2:$F$101,0)),"⚠"&amp;TRIM(L772&amp;"")))</f>
        <v/>
      </c>
      <c r="V772" s="10">
        <f>IF(AND(ISNUMBER(H772),ISNUMBER(I772)),I772-H772+1,"")</f>
        <v/>
      </c>
      <c r="W772" s="17">
        <f>IF(ISNUMBER(H772),MAX(0,MIN(IF(ISNUMBER(I772),I772,EOMONTH(출력_요약!$B$3,0)),EOMONTH(출력_요약!$B$3,0))-MAX(H772,출력_요약!$B$3)+1),0)</f>
        <v/>
      </c>
      <c r="X772" s="10">
        <f>IF(OR(NOT(ISNUMBER(H772)),Q772=""),"",IF(TODAY()&lt;H772,"파견예정",IF(AND(ISNUMBER(I772),TODAY()&gt;I772),"파견종료","파견중")))</f>
        <v/>
      </c>
      <c r="Y772" s="10">
        <f>IF(OR(Q772="",X772=""),"",Q772&amp;"|"&amp;X772)</f>
        <v/>
      </c>
      <c r="Z772" s="10">
        <f>IF(AND(Q772&lt;&gt;"",W772&gt;0),Q772&amp;"|월","")</f>
        <v/>
      </c>
      <c r="AA772" s="10">
        <f>IF(COUNTA(B772:I772,K772:N772)=0,"",IF(Q772="","등록번호 없음",IF(LEFT(R772,1)="⚠","모병원명 미등록",IF(S772="","파견병원 입력",IF(LEFT(S772,1)="⚠","파견병원명 미등록",IF(LEFT(U772,1)="⚠","파견과목 미등록",IF(OR(T772="",LEFT(T772,1)="⚠"),"파견근거 확인",IF(NOT(AND(ISNUMBER(H772),ISNUMBER(I772))),"날짜 형식/누락",IF(I772&lt;H772,"종료일&lt;시작일","")))))))))</f>
        <v/>
      </c>
      <c r="AB772" s="11">
        <f>IF(ISNUMBER(SEARCH("다기관",TRIM(N772&amp;" "&amp;O772))),IFERROR(DATE(VALUE(MID(TRIM(N772&amp;" "&amp;O772),1,4)),VALUE(MID(TRIM(N772&amp;" "&amp;O772),6,2)),VALUE(MID(TRIM(N772&amp;" "&amp;O772),9,2))),IF(ISNUMBER(H772),H772,"")),"")</f>
        <v/>
      </c>
      <c r="AC772" s="11">
        <f>IF(ISNUMBER(SEARCH("다기관",TRIM(N772&amp;" "&amp;O772))),IFERROR(DATE(VALUE(MID(TRIM(N772&amp;" "&amp;O772),12,4)),VALUE(MID(TRIM(N772&amp;" "&amp;O772),17,2)),VALUE(MID(TRIM(N772&amp;" "&amp;O772),20,2))),IF(ISNUMBER(I772),I772,"")),"")</f>
        <v/>
      </c>
      <c r="AD772" s="17">
        <f>IF(AND(ISNUMBER(AB772),ISNUMBER(AC772)),MAX(0,MIN(AC772,EOMONTH(출력_요약!$B$3,0))-MAX(AB772,출력_요약!$B$3)+1),0)</f>
        <v/>
      </c>
      <c r="AE772" s="10">
        <f>IF(AND(Q772&lt;&gt;"",ISNUMBER(AB772)),Q772&amp;"|다기관","")</f>
        <v/>
      </c>
    </row>
    <row r="773">
      <c r="A773" s="15">
        <f>IF(F773="","",ROW()-3)</f>
        <v/>
      </c>
      <c r="B773" s="5" t="n"/>
      <c r="C773" s="15" t="n"/>
      <c r="D773" s="5" t="n"/>
      <c r="E773" s="15" t="n"/>
      <c r="F773" s="5" t="n"/>
      <c r="G773" s="6" t="n"/>
      <c r="H773" s="16" t="n"/>
      <c r="I773" s="16" t="n"/>
      <c r="J773" s="15">
        <f>IF(AND(ISNUMBER(H773),ISNUMBER(I773)),I773-H773+1,"")</f>
        <v/>
      </c>
      <c r="K773" s="5" t="n"/>
      <c r="L773" s="5" t="n"/>
      <c r="M773" s="5" t="n"/>
      <c r="N773" s="5" t="n"/>
      <c r="O773" s="5" t="n"/>
      <c r="Q773" s="10">
        <f>IF(TRIM(G773&amp;"")="","",TRIM(G773&amp;""))</f>
        <v/>
      </c>
      <c r="R773" s="10">
        <f>IF(TRIM(B773&amp;"")="","",IFERROR(INDEX(설정_코드표!$K$2:$K$101,MATCH(TRIM(B773&amp;""),설정_코드표!$J$2:$J$101,0)),"⚠"&amp;TRIM(B773&amp;"")))</f>
        <v/>
      </c>
      <c r="S773" s="10">
        <f>IF(TRIM(K773&amp;"")="","",IFERROR(INDEX(설정_코드표!$K$2:$K$101,MATCH(TRIM(K773&amp;""),설정_코드표!$J$2:$J$101,0)),"⚠"&amp;TRIM(K773&amp;"")))</f>
        <v/>
      </c>
      <c r="T773" s="10">
        <f>IF(TRIM(M773&amp;"")="","",IF(ISNUMBER(MATCH(TRIM(M773&amp;""),설정_코드표!$C$2:$C$11,0)),TRIM(M773&amp;""),"⚠"&amp;TRIM(M773&amp;"")))</f>
        <v/>
      </c>
      <c r="U773" s="10">
        <f>IF(TRIM(L773&amp;"")="","",IFERROR(INDEX(설정_코드표!$G$2:$G$101,MATCH(TRIM(L773&amp;""),설정_코드표!$F$2:$F$101,0)),"⚠"&amp;TRIM(L773&amp;"")))</f>
        <v/>
      </c>
      <c r="V773" s="10">
        <f>IF(AND(ISNUMBER(H773),ISNUMBER(I773)),I773-H773+1,"")</f>
        <v/>
      </c>
      <c r="W773" s="17">
        <f>IF(ISNUMBER(H773),MAX(0,MIN(IF(ISNUMBER(I773),I773,EOMONTH(출력_요약!$B$3,0)),EOMONTH(출력_요약!$B$3,0))-MAX(H773,출력_요약!$B$3)+1),0)</f>
        <v/>
      </c>
      <c r="X773" s="10">
        <f>IF(OR(NOT(ISNUMBER(H773)),Q773=""),"",IF(TODAY()&lt;H773,"파견예정",IF(AND(ISNUMBER(I773),TODAY()&gt;I773),"파견종료","파견중")))</f>
        <v/>
      </c>
      <c r="Y773" s="10">
        <f>IF(OR(Q773="",X773=""),"",Q773&amp;"|"&amp;X773)</f>
        <v/>
      </c>
      <c r="Z773" s="10">
        <f>IF(AND(Q773&lt;&gt;"",W773&gt;0),Q773&amp;"|월","")</f>
        <v/>
      </c>
      <c r="AA773" s="10">
        <f>IF(COUNTA(B773:I773,K773:N773)=0,"",IF(Q773="","등록번호 없음",IF(LEFT(R773,1)="⚠","모병원명 미등록",IF(S773="","파견병원 입력",IF(LEFT(S773,1)="⚠","파견병원명 미등록",IF(LEFT(U773,1)="⚠","파견과목 미등록",IF(OR(T773="",LEFT(T773,1)="⚠"),"파견근거 확인",IF(NOT(AND(ISNUMBER(H773),ISNUMBER(I773))),"날짜 형식/누락",IF(I773&lt;H773,"종료일&lt;시작일","")))))))))</f>
        <v/>
      </c>
      <c r="AB773" s="11">
        <f>IF(ISNUMBER(SEARCH("다기관",TRIM(N773&amp;" "&amp;O773))),IFERROR(DATE(VALUE(MID(TRIM(N773&amp;" "&amp;O773),1,4)),VALUE(MID(TRIM(N773&amp;" "&amp;O773),6,2)),VALUE(MID(TRIM(N773&amp;" "&amp;O773),9,2))),IF(ISNUMBER(H773),H773,"")),"")</f>
        <v/>
      </c>
      <c r="AC773" s="11">
        <f>IF(ISNUMBER(SEARCH("다기관",TRIM(N773&amp;" "&amp;O773))),IFERROR(DATE(VALUE(MID(TRIM(N773&amp;" "&amp;O773),12,4)),VALUE(MID(TRIM(N773&amp;" "&amp;O773),17,2)),VALUE(MID(TRIM(N773&amp;" "&amp;O773),20,2))),IF(ISNUMBER(I773),I773,"")),"")</f>
        <v/>
      </c>
      <c r="AD773" s="17">
        <f>IF(AND(ISNUMBER(AB773),ISNUMBER(AC773)),MAX(0,MIN(AC773,EOMONTH(출력_요약!$B$3,0))-MAX(AB773,출력_요약!$B$3)+1),0)</f>
        <v/>
      </c>
      <c r="AE773" s="10">
        <f>IF(AND(Q773&lt;&gt;"",ISNUMBER(AB773)),Q773&amp;"|다기관","")</f>
        <v/>
      </c>
    </row>
    <row r="774">
      <c r="A774" s="15">
        <f>IF(F774="","",ROW()-3)</f>
        <v/>
      </c>
      <c r="B774" s="5" t="n"/>
      <c r="C774" s="15" t="n"/>
      <c r="D774" s="5" t="n"/>
      <c r="E774" s="15" t="n"/>
      <c r="F774" s="5" t="n"/>
      <c r="G774" s="6" t="n"/>
      <c r="H774" s="16" t="n"/>
      <c r="I774" s="16" t="n"/>
      <c r="J774" s="15">
        <f>IF(AND(ISNUMBER(H774),ISNUMBER(I774)),I774-H774+1,"")</f>
        <v/>
      </c>
      <c r="K774" s="5" t="n"/>
      <c r="L774" s="5" t="n"/>
      <c r="M774" s="5" t="n"/>
      <c r="N774" s="5" t="n"/>
      <c r="O774" s="5" t="n"/>
      <c r="Q774" s="10">
        <f>IF(TRIM(G774&amp;"")="","",TRIM(G774&amp;""))</f>
        <v/>
      </c>
      <c r="R774" s="10">
        <f>IF(TRIM(B774&amp;"")="","",IFERROR(INDEX(설정_코드표!$K$2:$K$101,MATCH(TRIM(B774&amp;""),설정_코드표!$J$2:$J$101,0)),"⚠"&amp;TRIM(B774&amp;"")))</f>
        <v/>
      </c>
      <c r="S774" s="10">
        <f>IF(TRIM(K774&amp;"")="","",IFERROR(INDEX(설정_코드표!$K$2:$K$101,MATCH(TRIM(K774&amp;""),설정_코드표!$J$2:$J$101,0)),"⚠"&amp;TRIM(K774&amp;"")))</f>
        <v/>
      </c>
      <c r="T774" s="10">
        <f>IF(TRIM(M774&amp;"")="","",IF(ISNUMBER(MATCH(TRIM(M774&amp;""),설정_코드표!$C$2:$C$11,0)),TRIM(M774&amp;""),"⚠"&amp;TRIM(M774&amp;"")))</f>
        <v/>
      </c>
      <c r="U774" s="10">
        <f>IF(TRIM(L774&amp;"")="","",IFERROR(INDEX(설정_코드표!$G$2:$G$101,MATCH(TRIM(L774&amp;""),설정_코드표!$F$2:$F$101,0)),"⚠"&amp;TRIM(L774&amp;"")))</f>
        <v/>
      </c>
      <c r="V774" s="10">
        <f>IF(AND(ISNUMBER(H774),ISNUMBER(I774)),I774-H774+1,"")</f>
        <v/>
      </c>
      <c r="W774" s="17">
        <f>IF(ISNUMBER(H774),MAX(0,MIN(IF(ISNUMBER(I774),I774,EOMONTH(출력_요약!$B$3,0)),EOMONTH(출력_요약!$B$3,0))-MAX(H774,출력_요약!$B$3)+1),0)</f>
        <v/>
      </c>
      <c r="X774" s="10">
        <f>IF(OR(NOT(ISNUMBER(H774)),Q774=""),"",IF(TODAY()&lt;H774,"파견예정",IF(AND(ISNUMBER(I774),TODAY()&gt;I774),"파견종료","파견중")))</f>
        <v/>
      </c>
      <c r="Y774" s="10">
        <f>IF(OR(Q774="",X774=""),"",Q774&amp;"|"&amp;X774)</f>
        <v/>
      </c>
      <c r="Z774" s="10">
        <f>IF(AND(Q774&lt;&gt;"",W774&gt;0),Q774&amp;"|월","")</f>
        <v/>
      </c>
      <c r="AA774" s="10">
        <f>IF(COUNTA(B774:I774,K774:N774)=0,"",IF(Q774="","등록번호 없음",IF(LEFT(R774,1)="⚠","모병원명 미등록",IF(S774="","파견병원 입력",IF(LEFT(S774,1)="⚠","파견병원명 미등록",IF(LEFT(U774,1)="⚠","파견과목 미등록",IF(OR(T774="",LEFT(T774,1)="⚠"),"파견근거 확인",IF(NOT(AND(ISNUMBER(H774),ISNUMBER(I774))),"날짜 형식/누락",IF(I774&lt;H774,"종료일&lt;시작일","")))))))))</f>
        <v/>
      </c>
      <c r="AB774" s="11">
        <f>IF(ISNUMBER(SEARCH("다기관",TRIM(N774&amp;" "&amp;O774))),IFERROR(DATE(VALUE(MID(TRIM(N774&amp;" "&amp;O774),1,4)),VALUE(MID(TRIM(N774&amp;" "&amp;O774),6,2)),VALUE(MID(TRIM(N774&amp;" "&amp;O774),9,2))),IF(ISNUMBER(H774),H774,"")),"")</f>
        <v/>
      </c>
      <c r="AC774" s="11">
        <f>IF(ISNUMBER(SEARCH("다기관",TRIM(N774&amp;" "&amp;O774))),IFERROR(DATE(VALUE(MID(TRIM(N774&amp;" "&amp;O774),12,4)),VALUE(MID(TRIM(N774&amp;" "&amp;O774),17,2)),VALUE(MID(TRIM(N774&amp;" "&amp;O774),20,2))),IF(ISNUMBER(I774),I774,"")),"")</f>
        <v/>
      </c>
      <c r="AD774" s="17">
        <f>IF(AND(ISNUMBER(AB774),ISNUMBER(AC774)),MAX(0,MIN(AC774,EOMONTH(출력_요약!$B$3,0))-MAX(AB774,출력_요약!$B$3)+1),0)</f>
        <v/>
      </c>
      <c r="AE774" s="10">
        <f>IF(AND(Q774&lt;&gt;"",ISNUMBER(AB774)),Q774&amp;"|다기관","")</f>
        <v/>
      </c>
    </row>
    <row r="775">
      <c r="A775" s="15">
        <f>IF(F775="","",ROW()-3)</f>
        <v/>
      </c>
      <c r="B775" s="5" t="n"/>
      <c r="C775" s="15" t="n"/>
      <c r="D775" s="5" t="n"/>
      <c r="E775" s="15" t="n"/>
      <c r="F775" s="5" t="n"/>
      <c r="G775" s="6" t="n"/>
      <c r="H775" s="16" t="n"/>
      <c r="I775" s="16" t="n"/>
      <c r="J775" s="15">
        <f>IF(AND(ISNUMBER(H775),ISNUMBER(I775)),I775-H775+1,"")</f>
        <v/>
      </c>
      <c r="K775" s="5" t="n"/>
      <c r="L775" s="5" t="n"/>
      <c r="M775" s="5" t="n"/>
      <c r="N775" s="5" t="n"/>
      <c r="O775" s="5" t="n"/>
      <c r="Q775" s="10">
        <f>IF(TRIM(G775&amp;"")="","",TRIM(G775&amp;""))</f>
        <v/>
      </c>
      <c r="R775" s="10">
        <f>IF(TRIM(B775&amp;"")="","",IFERROR(INDEX(설정_코드표!$K$2:$K$101,MATCH(TRIM(B775&amp;""),설정_코드표!$J$2:$J$101,0)),"⚠"&amp;TRIM(B775&amp;"")))</f>
        <v/>
      </c>
      <c r="S775" s="10">
        <f>IF(TRIM(K775&amp;"")="","",IFERROR(INDEX(설정_코드표!$K$2:$K$101,MATCH(TRIM(K775&amp;""),설정_코드표!$J$2:$J$101,0)),"⚠"&amp;TRIM(K775&amp;"")))</f>
        <v/>
      </c>
      <c r="T775" s="10">
        <f>IF(TRIM(M775&amp;"")="","",IF(ISNUMBER(MATCH(TRIM(M775&amp;""),설정_코드표!$C$2:$C$11,0)),TRIM(M775&amp;""),"⚠"&amp;TRIM(M775&amp;"")))</f>
        <v/>
      </c>
      <c r="U775" s="10">
        <f>IF(TRIM(L775&amp;"")="","",IFERROR(INDEX(설정_코드표!$G$2:$G$101,MATCH(TRIM(L775&amp;""),설정_코드표!$F$2:$F$101,0)),"⚠"&amp;TRIM(L775&amp;"")))</f>
        <v/>
      </c>
      <c r="V775" s="10">
        <f>IF(AND(ISNUMBER(H775),ISNUMBER(I775)),I775-H775+1,"")</f>
        <v/>
      </c>
      <c r="W775" s="17">
        <f>IF(ISNUMBER(H775),MAX(0,MIN(IF(ISNUMBER(I775),I775,EOMONTH(출력_요약!$B$3,0)),EOMONTH(출력_요약!$B$3,0))-MAX(H775,출력_요약!$B$3)+1),0)</f>
        <v/>
      </c>
      <c r="X775" s="10">
        <f>IF(OR(NOT(ISNUMBER(H775)),Q775=""),"",IF(TODAY()&lt;H775,"파견예정",IF(AND(ISNUMBER(I775),TODAY()&gt;I775),"파견종료","파견중")))</f>
        <v/>
      </c>
      <c r="Y775" s="10">
        <f>IF(OR(Q775="",X775=""),"",Q775&amp;"|"&amp;X775)</f>
        <v/>
      </c>
      <c r="Z775" s="10">
        <f>IF(AND(Q775&lt;&gt;"",W775&gt;0),Q775&amp;"|월","")</f>
        <v/>
      </c>
      <c r="AA775" s="10">
        <f>IF(COUNTA(B775:I775,K775:N775)=0,"",IF(Q775="","등록번호 없음",IF(LEFT(R775,1)="⚠","모병원명 미등록",IF(S775="","파견병원 입력",IF(LEFT(S775,1)="⚠","파견병원명 미등록",IF(LEFT(U775,1)="⚠","파견과목 미등록",IF(OR(T775="",LEFT(T775,1)="⚠"),"파견근거 확인",IF(NOT(AND(ISNUMBER(H775),ISNUMBER(I775))),"날짜 형식/누락",IF(I775&lt;H775,"종료일&lt;시작일","")))))))))</f>
        <v/>
      </c>
      <c r="AB775" s="11">
        <f>IF(ISNUMBER(SEARCH("다기관",TRIM(N775&amp;" "&amp;O775))),IFERROR(DATE(VALUE(MID(TRIM(N775&amp;" "&amp;O775),1,4)),VALUE(MID(TRIM(N775&amp;" "&amp;O775),6,2)),VALUE(MID(TRIM(N775&amp;" "&amp;O775),9,2))),IF(ISNUMBER(H775),H775,"")),"")</f>
        <v/>
      </c>
      <c r="AC775" s="11">
        <f>IF(ISNUMBER(SEARCH("다기관",TRIM(N775&amp;" "&amp;O775))),IFERROR(DATE(VALUE(MID(TRIM(N775&amp;" "&amp;O775),12,4)),VALUE(MID(TRIM(N775&amp;" "&amp;O775),17,2)),VALUE(MID(TRIM(N775&amp;" "&amp;O775),20,2))),IF(ISNUMBER(I775),I775,"")),"")</f>
        <v/>
      </c>
      <c r="AD775" s="17">
        <f>IF(AND(ISNUMBER(AB775),ISNUMBER(AC775)),MAX(0,MIN(AC775,EOMONTH(출력_요약!$B$3,0))-MAX(AB775,출력_요약!$B$3)+1),0)</f>
        <v/>
      </c>
      <c r="AE775" s="10">
        <f>IF(AND(Q775&lt;&gt;"",ISNUMBER(AB775)),Q775&amp;"|다기관","")</f>
        <v/>
      </c>
    </row>
    <row r="776">
      <c r="A776" s="15">
        <f>IF(F776="","",ROW()-3)</f>
        <v/>
      </c>
      <c r="B776" s="5" t="n"/>
      <c r="C776" s="15" t="n"/>
      <c r="D776" s="5" t="n"/>
      <c r="E776" s="15" t="n"/>
      <c r="F776" s="5" t="n"/>
      <c r="G776" s="6" t="n"/>
      <c r="H776" s="16" t="n"/>
      <c r="I776" s="16" t="n"/>
      <c r="J776" s="15">
        <f>IF(AND(ISNUMBER(H776),ISNUMBER(I776)),I776-H776+1,"")</f>
        <v/>
      </c>
      <c r="K776" s="5" t="n"/>
      <c r="L776" s="5" t="n"/>
      <c r="M776" s="5" t="n"/>
      <c r="N776" s="5" t="n"/>
      <c r="O776" s="5" t="n"/>
      <c r="Q776" s="10">
        <f>IF(TRIM(G776&amp;"")="","",TRIM(G776&amp;""))</f>
        <v/>
      </c>
      <c r="R776" s="10">
        <f>IF(TRIM(B776&amp;"")="","",IFERROR(INDEX(설정_코드표!$K$2:$K$101,MATCH(TRIM(B776&amp;""),설정_코드표!$J$2:$J$101,0)),"⚠"&amp;TRIM(B776&amp;"")))</f>
        <v/>
      </c>
      <c r="S776" s="10">
        <f>IF(TRIM(K776&amp;"")="","",IFERROR(INDEX(설정_코드표!$K$2:$K$101,MATCH(TRIM(K776&amp;""),설정_코드표!$J$2:$J$101,0)),"⚠"&amp;TRIM(K776&amp;"")))</f>
        <v/>
      </c>
      <c r="T776" s="10">
        <f>IF(TRIM(M776&amp;"")="","",IF(ISNUMBER(MATCH(TRIM(M776&amp;""),설정_코드표!$C$2:$C$11,0)),TRIM(M776&amp;""),"⚠"&amp;TRIM(M776&amp;"")))</f>
        <v/>
      </c>
      <c r="U776" s="10">
        <f>IF(TRIM(L776&amp;"")="","",IFERROR(INDEX(설정_코드표!$G$2:$G$101,MATCH(TRIM(L776&amp;""),설정_코드표!$F$2:$F$101,0)),"⚠"&amp;TRIM(L776&amp;"")))</f>
        <v/>
      </c>
      <c r="V776" s="10">
        <f>IF(AND(ISNUMBER(H776),ISNUMBER(I776)),I776-H776+1,"")</f>
        <v/>
      </c>
      <c r="W776" s="17">
        <f>IF(ISNUMBER(H776),MAX(0,MIN(IF(ISNUMBER(I776),I776,EOMONTH(출력_요약!$B$3,0)),EOMONTH(출력_요약!$B$3,0))-MAX(H776,출력_요약!$B$3)+1),0)</f>
        <v/>
      </c>
      <c r="X776" s="10">
        <f>IF(OR(NOT(ISNUMBER(H776)),Q776=""),"",IF(TODAY()&lt;H776,"파견예정",IF(AND(ISNUMBER(I776),TODAY()&gt;I776),"파견종료","파견중")))</f>
        <v/>
      </c>
      <c r="Y776" s="10">
        <f>IF(OR(Q776="",X776=""),"",Q776&amp;"|"&amp;X776)</f>
        <v/>
      </c>
      <c r="Z776" s="10">
        <f>IF(AND(Q776&lt;&gt;"",W776&gt;0),Q776&amp;"|월","")</f>
        <v/>
      </c>
      <c r="AA776" s="10">
        <f>IF(COUNTA(B776:I776,K776:N776)=0,"",IF(Q776="","등록번호 없음",IF(LEFT(R776,1)="⚠","모병원명 미등록",IF(S776="","파견병원 입력",IF(LEFT(S776,1)="⚠","파견병원명 미등록",IF(LEFT(U776,1)="⚠","파견과목 미등록",IF(OR(T776="",LEFT(T776,1)="⚠"),"파견근거 확인",IF(NOT(AND(ISNUMBER(H776),ISNUMBER(I776))),"날짜 형식/누락",IF(I776&lt;H776,"종료일&lt;시작일","")))))))))</f>
        <v/>
      </c>
      <c r="AB776" s="11">
        <f>IF(ISNUMBER(SEARCH("다기관",TRIM(N776&amp;" "&amp;O776))),IFERROR(DATE(VALUE(MID(TRIM(N776&amp;" "&amp;O776),1,4)),VALUE(MID(TRIM(N776&amp;" "&amp;O776),6,2)),VALUE(MID(TRIM(N776&amp;" "&amp;O776),9,2))),IF(ISNUMBER(H776),H776,"")),"")</f>
        <v/>
      </c>
      <c r="AC776" s="11">
        <f>IF(ISNUMBER(SEARCH("다기관",TRIM(N776&amp;" "&amp;O776))),IFERROR(DATE(VALUE(MID(TRIM(N776&amp;" "&amp;O776),12,4)),VALUE(MID(TRIM(N776&amp;" "&amp;O776),17,2)),VALUE(MID(TRIM(N776&amp;" "&amp;O776),20,2))),IF(ISNUMBER(I776),I776,"")),"")</f>
        <v/>
      </c>
      <c r="AD776" s="17">
        <f>IF(AND(ISNUMBER(AB776),ISNUMBER(AC776)),MAX(0,MIN(AC776,EOMONTH(출력_요약!$B$3,0))-MAX(AB776,출력_요약!$B$3)+1),0)</f>
        <v/>
      </c>
      <c r="AE776" s="10">
        <f>IF(AND(Q776&lt;&gt;"",ISNUMBER(AB776)),Q776&amp;"|다기관","")</f>
        <v/>
      </c>
    </row>
    <row r="777">
      <c r="A777" s="15">
        <f>IF(F777="","",ROW()-3)</f>
        <v/>
      </c>
      <c r="B777" s="5" t="n"/>
      <c r="C777" s="15" t="n"/>
      <c r="D777" s="5" t="n"/>
      <c r="E777" s="15" t="n"/>
      <c r="F777" s="5" t="n"/>
      <c r="G777" s="6" t="n"/>
      <c r="H777" s="16" t="n"/>
      <c r="I777" s="16" t="n"/>
      <c r="J777" s="15">
        <f>IF(AND(ISNUMBER(H777),ISNUMBER(I777)),I777-H777+1,"")</f>
        <v/>
      </c>
      <c r="K777" s="5" t="n"/>
      <c r="L777" s="5" t="n"/>
      <c r="M777" s="5" t="n"/>
      <c r="N777" s="5" t="n"/>
      <c r="O777" s="5" t="n"/>
      <c r="Q777" s="10">
        <f>IF(TRIM(G777&amp;"")="","",TRIM(G777&amp;""))</f>
        <v/>
      </c>
      <c r="R777" s="10">
        <f>IF(TRIM(B777&amp;"")="","",IFERROR(INDEX(설정_코드표!$K$2:$K$101,MATCH(TRIM(B777&amp;""),설정_코드표!$J$2:$J$101,0)),"⚠"&amp;TRIM(B777&amp;"")))</f>
        <v/>
      </c>
      <c r="S777" s="10">
        <f>IF(TRIM(K777&amp;"")="","",IFERROR(INDEX(설정_코드표!$K$2:$K$101,MATCH(TRIM(K777&amp;""),설정_코드표!$J$2:$J$101,0)),"⚠"&amp;TRIM(K777&amp;"")))</f>
        <v/>
      </c>
      <c r="T777" s="10">
        <f>IF(TRIM(M777&amp;"")="","",IF(ISNUMBER(MATCH(TRIM(M777&amp;""),설정_코드표!$C$2:$C$11,0)),TRIM(M777&amp;""),"⚠"&amp;TRIM(M777&amp;"")))</f>
        <v/>
      </c>
      <c r="U777" s="10">
        <f>IF(TRIM(L777&amp;"")="","",IFERROR(INDEX(설정_코드표!$G$2:$G$101,MATCH(TRIM(L777&amp;""),설정_코드표!$F$2:$F$101,0)),"⚠"&amp;TRIM(L777&amp;"")))</f>
        <v/>
      </c>
      <c r="V777" s="10">
        <f>IF(AND(ISNUMBER(H777),ISNUMBER(I777)),I777-H777+1,"")</f>
        <v/>
      </c>
      <c r="W777" s="17">
        <f>IF(ISNUMBER(H777),MAX(0,MIN(IF(ISNUMBER(I777),I777,EOMONTH(출력_요약!$B$3,0)),EOMONTH(출력_요약!$B$3,0))-MAX(H777,출력_요약!$B$3)+1),0)</f>
        <v/>
      </c>
      <c r="X777" s="10">
        <f>IF(OR(NOT(ISNUMBER(H777)),Q777=""),"",IF(TODAY()&lt;H777,"파견예정",IF(AND(ISNUMBER(I777),TODAY()&gt;I777),"파견종료","파견중")))</f>
        <v/>
      </c>
      <c r="Y777" s="10">
        <f>IF(OR(Q777="",X777=""),"",Q777&amp;"|"&amp;X777)</f>
        <v/>
      </c>
      <c r="Z777" s="10">
        <f>IF(AND(Q777&lt;&gt;"",W777&gt;0),Q777&amp;"|월","")</f>
        <v/>
      </c>
      <c r="AA777" s="10">
        <f>IF(COUNTA(B777:I777,K777:N777)=0,"",IF(Q777="","등록번호 없음",IF(LEFT(R777,1)="⚠","모병원명 미등록",IF(S777="","파견병원 입력",IF(LEFT(S777,1)="⚠","파견병원명 미등록",IF(LEFT(U777,1)="⚠","파견과목 미등록",IF(OR(T777="",LEFT(T777,1)="⚠"),"파견근거 확인",IF(NOT(AND(ISNUMBER(H777),ISNUMBER(I777))),"날짜 형식/누락",IF(I777&lt;H777,"종료일&lt;시작일","")))))))))</f>
        <v/>
      </c>
      <c r="AB777" s="11">
        <f>IF(ISNUMBER(SEARCH("다기관",TRIM(N777&amp;" "&amp;O777))),IFERROR(DATE(VALUE(MID(TRIM(N777&amp;" "&amp;O777),1,4)),VALUE(MID(TRIM(N777&amp;" "&amp;O777),6,2)),VALUE(MID(TRIM(N777&amp;" "&amp;O777),9,2))),IF(ISNUMBER(H777),H777,"")),"")</f>
        <v/>
      </c>
      <c r="AC777" s="11">
        <f>IF(ISNUMBER(SEARCH("다기관",TRIM(N777&amp;" "&amp;O777))),IFERROR(DATE(VALUE(MID(TRIM(N777&amp;" "&amp;O777),12,4)),VALUE(MID(TRIM(N777&amp;" "&amp;O777),17,2)),VALUE(MID(TRIM(N777&amp;" "&amp;O777),20,2))),IF(ISNUMBER(I777),I777,"")),"")</f>
        <v/>
      </c>
      <c r="AD777" s="17">
        <f>IF(AND(ISNUMBER(AB777),ISNUMBER(AC777)),MAX(0,MIN(AC777,EOMONTH(출력_요약!$B$3,0))-MAX(AB777,출력_요약!$B$3)+1),0)</f>
        <v/>
      </c>
      <c r="AE777" s="10">
        <f>IF(AND(Q777&lt;&gt;"",ISNUMBER(AB777)),Q777&amp;"|다기관","")</f>
        <v/>
      </c>
    </row>
    <row r="778">
      <c r="A778" s="15">
        <f>IF(F778="","",ROW()-3)</f>
        <v/>
      </c>
      <c r="B778" s="5" t="n"/>
      <c r="C778" s="15" t="n"/>
      <c r="D778" s="5" t="n"/>
      <c r="E778" s="15" t="n"/>
      <c r="F778" s="5" t="n"/>
      <c r="G778" s="6" t="n"/>
      <c r="H778" s="16" t="n"/>
      <c r="I778" s="16" t="n"/>
      <c r="J778" s="15">
        <f>IF(AND(ISNUMBER(H778),ISNUMBER(I778)),I778-H778+1,"")</f>
        <v/>
      </c>
      <c r="K778" s="5" t="n"/>
      <c r="L778" s="5" t="n"/>
      <c r="M778" s="5" t="n"/>
      <c r="N778" s="5" t="n"/>
      <c r="O778" s="5" t="n"/>
      <c r="Q778" s="10">
        <f>IF(TRIM(G778&amp;"")="","",TRIM(G778&amp;""))</f>
        <v/>
      </c>
      <c r="R778" s="10">
        <f>IF(TRIM(B778&amp;"")="","",IFERROR(INDEX(설정_코드표!$K$2:$K$101,MATCH(TRIM(B778&amp;""),설정_코드표!$J$2:$J$101,0)),"⚠"&amp;TRIM(B778&amp;"")))</f>
        <v/>
      </c>
      <c r="S778" s="10">
        <f>IF(TRIM(K778&amp;"")="","",IFERROR(INDEX(설정_코드표!$K$2:$K$101,MATCH(TRIM(K778&amp;""),설정_코드표!$J$2:$J$101,0)),"⚠"&amp;TRIM(K778&amp;"")))</f>
        <v/>
      </c>
      <c r="T778" s="10">
        <f>IF(TRIM(M778&amp;"")="","",IF(ISNUMBER(MATCH(TRIM(M778&amp;""),설정_코드표!$C$2:$C$11,0)),TRIM(M778&amp;""),"⚠"&amp;TRIM(M778&amp;"")))</f>
        <v/>
      </c>
      <c r="U778" s="10">
        <f>IF(TRIM(L778&amp;"")="","",IFERROR(INDEX(설정_코드표!$G$2:$G$101,MATCH(TRIM(L778&amp;""),설정_코드표!$F$2:$F$101,0)),"⚠"&amp;TRIM(L778&amp;"")))</f>
        <v/>
      </c>
      <c r="V778" s="10">
        <f>IF(AND(ISNUMBER(H778),ISNUMBER(I778)),I778-H778+1,"")</f>
        <v/>
      </c>
      <c r="W778" s="17">
        <f>IF(ISNUMBER(H778),MAX(0,MIN(IF(ISNUMBER(I778),I778,EOMONTH(출력_요약!$B$3,0)),EOMONTH(출력_요약!$B$3,0))-MAX(H778,출력_요약!$B$3)+1),0)</f>
        <v/>
      </c>
      <c r="X778" s="10">
        <f>IF(OR(NOT(ISNUMBER(H778)),Q778=""),"",IF(TODAY()&lt;H778,"파견예정",IF(AND(ISNUMBER(I778),TODAY()&gt;I778),"파견종료","파견중")))</f>
        <v/>
      </c>
      <c r="Y778" s="10">
        <f>IF(OR(Q778="",X778=""),"",Q778&amp;"|"&amp;X778)</f>
        <v/>
      </c>
      <c r="Z778" s="10">
        <f>IF(AND(Q778&lt;&gt;"",W778&gt;0),Q778&amp;"|월","")</f>
        <v/>
      </c>
      <c r="AA778" s="10">
        <f>IF(COUNTA(B778:I778,K778:N778)=0,"",IF(Q778="","등록번호 없음",IF(LEFT(R778,1)="⚠","모병원명 미등록",IF(S778="","파견병원 입력",IF(LEFT(S778,1)="⚠","파견병원명 미등록",IF(LEFT(U778,1)="⚠","파견과목 미등록",IF(OR(T778="",LEFT(T778,1)="⚠"),"파견근거 확인",IF(NOT(AND(ISNUMBER(H778),ISNUMBER(I778))),"날짜 형식/누락",IF(I778&lt;H778,"종료일&lt;시작일","")))))))))</f>
        <v/>
      </c>
      <c r="AB778" s="11">
        <f>IF(ISNUMBER(SEARCH("다기관",TRIM(N778&amp;" "&amp;O778))),IFERROR(DATE(VALUE(MID(TRIM(N778&amp;" "&amp;O778),1,4)),VALUE(MID(TRIM(N778&amp;" "&amp;O778),6,2)),VALUE(MID(TRIM(N778&amp;" "&amp;O778),9,2))),IF(ISNUMBER(H778),H778,"")),"")</f>
        <v/>
      </c>
      <c r="AC778" s="11">
        <f>IF(ISNUMBER(SEARCH("다기관",TRIM(N778&amp;" "&amp;O778))),IFERROR(DATE(VALUE(MID(TRIM(N778&amp;" "&amp;O778),12,4)),VALUE(MID(TRIM(N778&amp;" "&amp;O778),17,2)),VALUE(MID(TRIM(N778&amp;" "&amp;O778),20,2))),IF(ISNUMBER(I778),I778,"")),"")</f>
        <v/>
      </c>
      <c r="AD778" s="17">
        <f>IF(AND(ISNUMBER(AB778),ISNUMBER(AC778)),MAX(0,MIN(AC778,EOMONTH(출력_요약!$B$3,0))-MAX(AB778,출력_요약!$B$3)+1),0)</f>
        <v/>
      </c>
      <c r="AE778" s="10">
        <f>IF(AND(Q778&lt;&gt;"",ISNUMBER(AB778)),Q778&amp;"|다기관","")</f>
        <v/>
      </c>
    </row>
    <row r="779">
      <c r="A779" s="15">
        <f>IF(F779="","",ROW()-3)</f>
        <v/>
      </c>
      <c r="B779" s="5" t="n"/>
      <c r="C779" s="15" t="n"/>
      <c r="D779" s="5" t="n"/>
      <c r="E779" s="15" t="n"/>
      <c r="F779" s="5" t="n"/>
      <c r="G779" s="6" t="n"/>
      <c r="H779" s="16" t="n"/>
      <c r="I779" s="16" t="n"/>
      <c r="J779" s="15">
        <f>IF(AND(ISNUMBER(H779),ISNUMBER(I779)),I779-H779+1,"")</f>
        <v/>
      </c>
      <c r="K779" s="5" t="n"/>
      <c r="L779" s="5" t="n"/>
      <c r="M779" s="5" t="n"/>
      <c r="N779" s="5" t="n"/>
      <c r="O779" s="5" t="n"/>
      <c r="Q779" s="10">
        <f>IF(TRIM(G779&amp;"")="","",TRIM(G779&amp;""))</f>
        <v/>
      </c>
      <c r="R779" s="10">
        <f>IF(TRIM(B779&amp;"")="","",IFERROR(INDEX(설정_코드표!$K$2:$K$101,MATCH(TRIM(B779&amp;""),설정_코드표!$J$2:$J$101,0)),"⚠"&amp;TRIM(B779&amp;"")))</f>
        <v/>
      </c>
      <c r="S779" s="10">
        <f>IF(TRIM(K779&amp;"")="","",IFERROR(INDEX(설정_코드표!$K$2:$K$101,MATCH(TRIM(K779&amp;""),설정_코드표!$J$2:$J$101,0)),"⚠"&amp;TRIM(K779&amp;"")))</f>
        <v/>
      </c>
      <c r="T779" s="10">
        <f>IF(TRIM(M779&amp;"")="","",IF(ISNUMBER(MATCH(TRIM(M779&amp;""),설정_코드표!$C$2:$C$11,0)),TRIM(M779&amp;""),"⚠"&amp;TRIM(M779&amp;"")))</f>
        <v/>
      </c>
      <c r="U779" s="10">
        <f>IF(TRIM(L779&amp;"")="","",IFERROR(INDEX(설정_코드표!$G$2:$G$101,MATCH(TRIM(L779&amp;""),설정_코드표!$F$2:$F$101,0)),"⚠"&amp;TRIM(L779&amp;"")))</f>
        <v/>
      </c>
      <c r="V779" s="10">
        <f>IF(AND(ISNUMBER(H779),ISNUMBER(I779)),I779-H779+1,"")</f>
        <v/>
      </c>
      <c r="W779" s="17">
        <f>IF(ISNUMBER(H779),MAX(0,MIN(IF(ISNUMBER(I779),I779,EOMONTH(출력_요약!$B$3,0)),EOMONTH(출력_요약!$B$3,0))-MAX(H779,출력_요약!$B$3)+1),0)</f>
        <v/>
      </c>
      <c r="X779" s="10">
        <f>IF(OR(NOT(ISNUMBER(H779)),Q779=""),"",IF(TODAY()&lt;H779,"파견예정",IF(AND(ISNUMBER(I779),TODAY()&gt;I779),"파견종료","파견중")))</f>
        <v/>
      </c>
      <c r="Y779" s="10">
        <f>IF(OR(Q779="",X779=""),"",Q779&amp;"|"&amp;X779)</f>
        <v/>
      </c>
      <c r="Z779" s="10">
        <f>IF(AND(Q779&lt;&gt;"",W779&gt;0),Q779&amp;"|월","")</f>
        <v/>
      </c>
      <c r="AA779" s="10">
        <f>IF(COUNTA(B779:I779,K779:N779)=0,"",IF(Q779="","등록번호 없음",IF(LEFT(R779,1)="⚠","모병원명 미등록",IF(S779="","파견병원 입력",IF(LEFT(S779,1)="⚠","파견병원명 미등록",IF(LEFT(U779,1)="⚠","파견과목 미등록",IF(OR(T779="",LEFT(T779,1)="⚠"),"파견근거 확인",IF(NOT(AND(ISNUMBER(H779),ISNUMBER(I779))),"날짜 형식/누락",IF(I779&lt;H779,"종료일&lt;시작일","")))))))))</f>
        <v/>
      </c>
      <c r="AB779" s="11">
        <f>IF(ISNUMBER(SEARCH("다기관",TRIM(N779&amp;" "&amp;O779))),IFERROR(DATE(VALUE(MID(TRIM(N779&amp;" "&amp;O779),1,4)),VALUE(MID(TRIM(N779&amp;" "&amp;O779),6,2)),VALUE(MID(TRIM(N779&amp;" "&amp;O779),9,2))),IF(ISNUMBER(H779),H779,"")),"")</f>
        <v/>
      </c>
      <c r="AC779" s="11">
        <f>IF(ISNUMBER(SEARCH("다기관",TRIM(N779&amp;" "&amp;O779))),IFERROR(DATE(VALUE(MID(TRIM(N779&amp;" "&amp;O779),12,4)),VALUE(MID(TRIM(N779&amp;" "&amp;O779),17,2)),VALUE(MID(TRIM(N779&amp;" "&amp;O779),20,2))),IF(ISNUMBER(I779),I779,"")),"")</f>
        <v/>
      </c>
      <c r="AD779" s="17">
        <f>IF(AND(ISNUMBER(AB779),ISNUMBER(AC779)),MAX(0,MIN(AC779,EOMONTH(출력_요약!$B$3,0))-MAX(AB779,출력_요약!$B$3)+1),0)</f>
        <v/>
      </c>
      <c r="AE779" s="10">
        <f>IF(AND(Q779&lt;&gt;"",ISNUMBER(AB779)),Q779&amp;"|다기관","")</f>
        <v/>
      </c>
    </row>
    <row r="780">
      <c r="A780" s="15">
        <f>IF(F780="","",ROW()-3)</f>
        <v/>
      </c>
      <c r="B780" s="5" t="n"/>
      <c r="C780" s="15" t="n"/>
      <c r="D780" s="5" t="n"/>
      <c r="E780" s="15" t="n"/>
      <c r="F780" s="5" t="n"/>
      <c r="G780" s="6" t="n"/>
      <c r="H780" s="16" t="n"/>
      <c r="I780" s="16" t="n"/>
      <c r="J780" s="15">
        <f>IF(AND(ISNUMBER(H780),ISNUMBER(I780)),I780-H780+1,"")</f>
        <v/>
      </c>
      <c r="K780" s="5" t="n"/>
      <c r="L780" s="5" t="n"/>
      <c r="M780" s="5" t="n"/>
      <c r="N780" s="5" t="n"/>
      <c r="O780" s="5" t="n"/>
      <c r="Q780" s="10">
        <f>IF(TRIM(G780&amp;"")="","",TRIM(G780&amp;""))</f>
        <v/>
      </c>
      <c r="R780" s="10">
        <f>IF(TRIM(B780&amp;"")="","",IFERROR(INDEX(설정_코드표!$K$2:$K$101,MATCH(TRIM(B780&amp;""),설정_코드표!$J$2:$J$101,0)),"⚠"&amp;TRIM(B780&amp;"")))</f>
        <v/>
      </c>
      <c r="S780" s="10">
        <f>IF(TRIM(K780&amp;"")="","",IFERROR(INDEX(설정_코드표!$K$2:$K$101,MATCH(TRIM(K780&amp;""),설정_코드표!$J$2:$J$101,0)),"⚠"&amp;TRIM(K780&amp;"")))</f>
        <v/>
      </c>
      <c r="T780" s="10">
        <f>IF(TRIM(M780&amp;"")="","",IF(ISNUMBER(MATCH(TRIM(M780&amp;""),설정_코드표!$C$2:$C$11,0)),TRIM(M780&amp;""),"⚠"&amp;TRIM(M780&amp;"")))</f>
        <v/>
      </c>
      <c r="U780" s="10">
        <f>IF(TRIM(L780&amp;"")="","",IFERROR(INDEX(설정_코드표!$G$2:$G$101,MATCH(TRIM(L780&amp;""),설정_코드표!$F$2:$F$101,0)),"⚠"&amp;TRIM(L780&amp;"")))</f>
        <v/>
      </c>
      <c r="V780" s="10">
        <f>IF(AND(ISNUMBER(H780),ISNUMBER(I780)),I780-H780+1,"")</f>
        <v/>
      </c>
      <c r="W780" s="17">
        <f>IF(ISNUMBER(H780),MAX(0,MIN(IF(ISNUMBER(I780),I780,EOMONTH(출력_요약!$B$3,0)),EOMONTH(출력_요약!$B$3,0))-MAX(H780,출력_요약!$B$3)+1),0)</f>
        <v/>
      </c>
      <c r="X780" s="10">
        <f>IF(OR(NOT(ISNUMBER(H780)),Q780=""),"",IF(TODAY()&lt;H780,"파견예정",IF(AND(ISNUMBER(I780),TODAY()&gt;I780),"파견종료","파견중")))</f>
        <v/>
      </c>
      <c r="Y780" s="10">
        <f>IF(OR(Q780="",X780=""),"",Q780&amp;"|"&amp;X780)</f>
        <v/>
      </c>
      <c r="Z780" s="10">
        <f>IF(AND(Q780&lt;&gt;"",W780&gt;0),Q780&amp;"|월","")</f>
        <v/>
      </c>
      <c r="AA780" s="10">
        <f>IF(COUNTA(B780:I780,K780:N780)=0,"",IF(Q780="","등록번호 없음",IF(LEFT(R780,1)="⚠","모병원명 미등록",IF(S780="","파견병원 입력",IF(LEFT(S780,1)="⚠","파견병원명 미등록",IF(LEFT(U780,1)="⚠","파견과목 미등록",IF(OR(T780="",LEFT(T780,1)="⚠"),"파견근거 확인",IF(NOT(AND(ISNUMBER(H780),ISNUMBER(I780))),"날짜 형식/누락",IF(I780&lt;H780,"종료일&lt;시작일","")))))))))</f>
        <v/>
      </c>
      <c r="AB780" s="11">
        <f>IF(ISNUMBER(SEARCH("다기관",TRIM(N780&amp;" "&amp;O780))),IFERROR(DATE(VALUE(MID(TRIM(N780&amp;" "&amp;O780),1,4)),VALUE(MID(TRIM(N780&amp;" "&amp;O780),6,2)),VALUE(MID(TRIM(N780&amp;" "&amp;O780),9,2))),IF(ISNUMBER(H780),H780,"")),"")</f>
        <v/>
      </c>
      <c r="AC780" s="11">
        <f>IF(ISNUMBER(SEARCH("다기관",TRIM(N780&amp;" "&amp;O780))),IFERROR(DATE(VALUE(MID(TRIM(N780&amp;" "&amp;O780),12,4)),VALUE(MID(TRIM(N780&amp;" "&amp;O780),17,2)),VALUE(MID(TRIM(N780&amp;" "&amp;O780),20,2))),IF(ISNUMBER(I780),I780,"")),"")</f>
        <v/>
      </c>
      <c r="AD780" s="17">
        <f>IF(AND(ISNUMBER(AB780),ISNUMBER(AC780)),MAX(0,MIN(AC780,EOMONTH(출력_요약!$B$3,0))-MAX(AB780,출력_요약!$B$3)+1),0)</f>
        <v/>
      </c>
      <c r="AE780" s="10">
        <f>IF(AND(Q780&lt;&gt;"",ISNUMBER(AB780)),Q780&amp;"|다기관","")</f>
        <v/>
      </c>
    </row>
    <row r="781">
      <c r="A781" s="15">
        <f>IF(F781="","",ROW()-3)</f>
        <v/>
      </c>
      <c r="B781" s="5" t="n"/>
      <c r="C781" s="15" t="n"/>
      <c r="D781" s="5" t="n"/>
      <c r="E781" s="15" t="n"/>
      <c r="F781" s="5" t="n"/>
      <c r="G781" s="6" t="n"/>
      <c r="H781" s="16" t="n"/>
      <c r="I781" s="16" t="n"/>
      <c r="J781" s="15">
        <f>IF(AND(ISNUMBER(H781),ISNUMBER(I781)),I781-H781+1,"")</f>
        <v/>
      </c>
      <c r="K781" s="5" t="n"/>
      <c r="L781" s="5" t="n"/>
      <c r="M781" s="5" t="n"/>
      <c r="N781" s="5" t="n"/>
      <c r="O781" s="5" t="n"/>
      <c r="Q781" s="10">
        <f>IF(TRIM(G781&amp;"")="","",TRIM(G781&amp;""))</f>
        <v/>
      </c>
      <c r="R781" s="10">
        <f>IF(TRIM(B781&amp;"")="","",IFERROR(INDEX(설정_코드표!$K$2:$K$101,MATCH(TRIM(B781&amp;""),설정_코드표!$J$2:$J$101,0)),"⚠"&amp;TRIM(B781&amp;"")))</f>
        <v/>
      </c>
      <c r="S781" s="10">
        <f>IF(TRIM(K781&amp;"")="","",IFERROR(INDEX(설정_코드표!$K$2:$K$101,MATCH(TRIM(K781&amp;""),설정_코드표!$J$2:$J$101,0)),"⚠"&amp;TRIM(K781&amp;"")))</f>
        <v/>
      </c>
      <c r="T781" s="10">
        <f>IF(TRIM(M781&amp;"")="","",IF(ISNUMBER(MATCH(TRIM(M781&amp;""),설정_코드표!$C$2:$C$11,0)),TRIM(M781&amp;""),"⚠"&amp;TRIM(M781&amp;"")))</f>
        <v/>
      </c>
      <c r="U781" s="10">
        <f>IF(TRIM(L781&amp;"")="","",IFERROR(INDEX(설정_코드표!$G$2:$G$101,MATCH(TRIM(L781&amp;""),설정_코드표!$F$2:$F$101,0)),"⚠"&amp;TRIM(L781&amp;"")))</f>
        <v/>
      </c>
      <c r="V781" s="10">
        <f>IF(AND(ISNUMBER(H781),ISNUMBER(I781)),I781-H781+1,"")</f>
        <v/>
      </c>
      <c r="W781" s="17">
        <f>IF(ISNUMBER(H781),MAX(0,MIN(IF(ISNUMBER(I781),I781,EOMONTH(출력_요약!$B$3,0)),EOMONTH(출력_요약!$B$3,0))-MAX(H781,출력_요약!$B$3)+1),0)</f>
        <v/>
      </c>
      <c r="X781" s="10">
        <f>IF(OR(NOT(ISNUMBER(H781)),Q781=""),"",IF(TODAY()&lt;H781,"파견예정",IF(AND(ISNUMBER(I781),TODAY()&gt;I781),"파견종료","파견중")))</f>
        <v/>
      </c>
      <c r="Y781" s="10">
        <f>IF(OR(Q781="",X781=""),"",Q781&amp;"|"&amp;X781)</f>
        <v/>
      </c>
      <c r="Z781" s="10">
        <f>IF(AND(Q781&lt;&gt;"",W781&gt;0),Q781&amp;"|월","")</f>
        <v/>
      </c>
      <c r="AA781" s="10">
        <f>IF(COUNTA(B781:I781,K781:N781)=0,"",IF(Q781="","등록번호 없음",IF(LEFT(R781,1)="⚠","모병원명 미등록",IF(S781="","파견병원 입력",IF(LEFT(S781,1)="⚠","파견병원명 미등록",IF(LEFT(U781,1)="⚠","파견과목 미등록",IF(OR(T781="",LEFT(T781,1)="⚠"),"파견근거 확인",IF(NOT(AND(ISNUMBER(H781),ISNUMBER(I781))),"날짜 형식/누락",IF(I781&lt;H781,"종료일&lt;시작일","")))))))))</f>
        <v/>
      </c>
      <c r="AB781" s="11">
        <f>IF(ISNUMBER(SEARCH("다기관",TRIM(N781&amp;" "&amp;O781))),IFERROR(DATE(VALUE(MID(TRIM(N781&amp;" "&amp;O781),1,4)),VALUE(MID(TRIM(N781&amp;" "&amp;O781),6,2)),VALUE(MID(TRIM(N781&amp;" "&amp;O781),9,2))),IF(ISNUMBER(H781),H781,"")),"")</f>
        <v/>
      </c>
      <c r="AC781" s="11">
        <f>IF(ISNUMBER(SEARCH("다기관",TRIM(N781&amp;" "&amp;O781))),IFERROR(DATE(VALUE(MID(TRIM(N781&amp;" "&amp;O781),12,4)),VALUE(MID(TRIM(N781&amp;" "&amp;O781),17,2)),VALUE(MID(TRIM(N781&amp;" "&amp;O781),20,2))),IF(ISNUMBER(I781),I781,"")),"")</f>
        <v/>
      </c>
      <c r="AD781" s="17">
        <f>IF(AND(ISNUMBER(AB781),ISNUMBER(AC781)),MAX(0,MIN(AC781,EOMONTH(출력_요약!$B$3,0))-MAX(AB781,출력_요약!$B$3)+1),0)</f>
        <v/>
      </c>
      <c r="AE781" s="10">
        <f>IF(AND(Q781&lt;&gt;"",ISNUMBER(AB781)),Q781&amp;"|다기관","")</f>
        <v/>
      </c>
    </row>
    <row r="782">
      <c r="A782" s="15">
        <f>IF(F782="","",ROW()-3)</f>
        <v/>
      </c>
      <c r="B782" s="5" t="n"/>
      <c r="C782" s="15" t="n"/>
      <c r="D782" s="5" t="n"/>
      <c r="E782" s="15" t="n"/>
      <c r="F782" s="5" t="n"/>
      <c r="G782" s="6" t="n"/>
      <c r="H782" s="16" t="n"/>
      <c r="I782" s="16" t="n"/>
      <c r="J782" s="15">
        <f>IF(AND(ISNUMBER(H782),ISNUMBER(I782)),I782-H782+1,"")</f>
        <v/>
      </c>
      <c r="K782" s="5" t="n"/>
      <c r="L782" s="5" t="n"/>
      <c r="M782" s="5" t="n"/>
      <c r="N782" s="5" t="n"/>
      <c r="O782" s="5" t="n"/>
      <c r="Q782" s="10">
        <f>IF(TRIM(G782&amp;"")="","",TRIM(G782&amp;""))</f>
        <v/>
      </c>
      <c r="R782" s="10">
        <f>IF(TRIM(B782&amp;"")="","",IFERROR(INDEX(설정_코드표!$K$2:$K$101,MATCH(TRIM(B782&amp;""),설정_코드표!$J$2:$J$101,0)),"⚠"&amp;TRIM(B782&amp;"")))</f>
        <v/>
      </c>
      <c r="S782" s="10">
        <f>IF(TRIM(K782&amp;"")="","",IFERROR(INDEX(설정_코드표!$K$2:$K$101,MATCH(TRIM(K782&amp;""),설정_코드표!$J$2:$J$101,0)),"⚠"&amp;TRIM(K782&amp;"")))</f>
        <v/>
      </c>
      <c r="T782" s="10">
        <f>IF(TRIM(M782&amp;"")="","",IF(ISNUMBER(MATCH(TRIM(M782&amp;""),설정_코드표!$C$2:$C$11,0)),TRIM(M782&amp;""),"⚠"&amp;TRIM(M782&amp;"")))</f>
        <v/>
      </c>
      <c r="U782" s="10">
        <f>IF(TRIM(L782&amp;"")="","",IFERROR(INDEX(설정_코드표!$G$2:$G$101,MATCH(TRIM(L782&amp;""),설정_코드표!$F$2:$F$101,0)),"⚠"&amp;TRIM(L782&amp;"")))</f>
        <v/>
      </c>
      <c r="V782" s="10">
        <f>IF(AND(ISNUMBER(H782),ISNUMBER(I782)),I782-H782+1,"")</f>
        <v/>
      </c>
      <c r="W782" s="17">
        <f>IF(ISNUMBER(H782),MAX(0,MIN(IF(ISNUMBER(I782),I782,EOMONTH(출력_요약!$B$3,0)),EOMONTH(출력_요약!$B$3,0))-MAX(H782,출력_요약!$B$3)+1),0)</f>
        <v/>
      </c>
      <c r="X782" s="10">
        <f>IF(OR(NOT(ISNUMBER(H782)),Q782=""),"",IF(TODAY()&lt;H782,"파견예정",IF(AND(ISNUMBER(I782),TODAY()&gt;I782),"파견종료","파견중")))</f>
        <v/>
      </c>
      <c r="Y782" s="10">
        <f>IF(OR(Q782="",X782=""),"",Q782&amp;"|"&amp;X782)</f>
        <v/>
      </c>
      <c r="Z782" s="10">
        <f>IF(AND(Q782&lt;&gt;"",W782&gt;0),Q782&amp;"|월","")</f>
        <v/>
      </c>
      <c r="AA782" s="10">
        <f>IF(COUNTA(B782:I782,K782:N782)=0,"",IF(Q782="","등록번호 없음",IF(LEFT(R782,1)="⚠","모병원명 미등록",IF(S782="","파견병원 입력",IF(LEFT(S782,1)="⚠","파견병원명 미등록",IF(LEFT(U782,1)="⚠","파견과목 미등록",IF(OR(T782="",LEFT(T782,1)="⚠"),"파견근거 확인",IF(NOT(AND(ISNUMBER(H782),ISNUMBER(I782))),"날짜 형식/누락",IF(I782&lt;H782,"종료일&lt;시작일","")))))))))</f>
        <v/>
      </c>
      <c r="AB782" s="11">
        <f>IF(ISNUMBER(SEARCH("다기관",TRIM(N782&amp;" "&amp;O782))),IFERROR(DATE(VALUE(MID(TRIM(N782&amp;" "&amp;O782),1,4)),VALUE(MID(TRIM(N782&amp;" "&amp;O782),6,2)),VALUE(MID(TRIM(N782&amp;" "&amp;O782),9,2))),IF(ISNUMBER(H782),H782,"")),"")</f>
        <v/>
      </c>
      <c r="AC782" s="11">
        <f>IF(ISNUMBER(SEARCH("다기관",TRIM(N782&amp;" "&amp;O782))),IFERROR(DATE(VALUE(MID(TRIM(N782&amp;" "&amp;O782),12,4)),VALUE(MID(TRIM(N782&amp;" "&amp;O782),17,2)),VALUE(MID(TRIM(N782&amp;" "&amp;O782),20,2))),IF(ISNUMBER(I782),I782,"")),"")</f>
        <v/>
      </c>
      <c r="AD782" s="17">
        <f>IF(AND(ISNUMBER(AB782),ISNUMBER(AC782)),MAX(0,MIN(AC782,EOMONTH(출력_요약!$B$3,0))-MAX(AB782,출력_요약!$B$3)+1),0)</f>
        <v/>
      </c>
      <c r="AE782" s="10">
        <f>IF(AND(Q782&lt;&gt;"",ISNUMBER(AB782)),Q782&amp;"|다기관","")</f>
        <v/>
      </c>
    </row>
    <row r="783">
      <c r="A783" s="15">
        <f>IF(F783="","",ROW()-3)</f>
        <v/>
      </c>
      <c r="B783" s="5" t="n"/>
      <c r="C783" s="15" t="n"/>
      <c r="D783" s="5" t="n"/>
      <c r="E783" s="15" t="n"/>
      <c r="F783" s="5" t="n"/>
      <c r="G783" s="6" t="n"/>
      <c r="H783" s="16" t="n"/>
      <c r="I783" s="16" t="n"/>
      <c r="J783" s="15">
        <f>IF(AND(ISNUMBER(H783),ISNUMBER(I783)),I783-H783+1,"")</f>
        <v/>
      </c>
      <c r="K783" s="5" t="n"/>
      <c r="L783" s="5" t="n"/>
      <c r="M783" s="5" t="n"/>
      <c r="N783" s="5" t="n"/>
      <c r="O783" s="5" t="n"/>
      <c r="Q783" s="10">
        <f>IF(TRIM(G783&amp;"")="","",TRIM(G783&amp;""))</f>
        <v/>
      </c>
      <c r="R783" s="10">
        <f>IF(TRIM(B783&amp;"")="","",IFERROR(INDEX(설정_코드표!$K$2:$K$101,MATCH(TRIM(B783&amp;""),설정_코드표!$J$2:$J$101,0)),"⚠"&amp;TRIM(B783&amp;"")))</f>
        <v/>
      </c>
      <c r="S783" s="10">
        <f>IF(TRIM(K783&amp;"")="","",IFERROR(INDEX(설정_코드표!$K$2:$K$101,MATCH(TRIM(K783&amp;""),설정_코드표!$J$2:$J$101,0)),"⚠"&amp;TRIM(K783&amp;"")))</f>
        <v/>
      </c>
      <c r="T783" s="10">
        <f>IF(TRIM(M783&amp;"")="","",IF(ISNUMBER(MATCH(TRIM(M783&amp;""),설정_코드표!$C$2:$C$11,0)),TRIM(M783&amp;""),"⚠"&amp;TRIM(M783&amp;"")))</f>
        <v/>
      </c>
      <c r="U783" s="10">
        <f>IF(TRIM(L783&amp;"")="","",IFERROR(INDEX(설정_코드표!$G$2:$G$101,MATCH(TRIM(L783&amp;""),설정_코드표!$F$2:$F$101,0)),"⚠"&amp;TRIM(L783&amp;"")))</f>
        <v/>
      </c>
      <c r="V783" s="10">
        <f>IF(AND(ISNUMBER(H783),ISNUMBER(I783)),I783-H783+1,"")</f>
        <v/>
      </c>
      <c r="W783" s="17">
        <f>IF(ISNUMBER(H783),MAX(0,MIN(IF(ISNUMBER(I783),I783,EOMONTH(출력_요약!$B$3,0)),EOMONTH(출력_요약!$B$3,0))-MAX(H783,출력_요약!$B$3)+1),0)</f>
        <v/>
      </c>
      <c r="X783" s="10">
        <f>IF(OR(NOT(ISNUMBER(H783)),Q783=""),"",IF(TODAY()&lt;H783,"파견예정",IF(AND(ISNUMBER(I783),TODAY()&gt;I783),"파견종료","파견중")))</f>
        <v/>
      </c>
      <c r="Y783" s="10">
        <f>IF(OR(Q783="",X783=""),"",Q783&amp;"|"&amp;X783)</f>
        <v/>
      </c>
      <c r="Z783" s="10">
        <f>IF(AND(Q783&lt;&gt;"",W783&gt;0),Q783&amp;"|월","")</f>
        <v/>
      </c>
      <c r="AA783" s="10">
        <f>IF(COUNTA(B783:I783,K783:N783)=0,"",IF(Q783="","등록번호 없음",IF(LEFT(R783,1)="⚠","모병원명 미등록",IF(S783="","파견병원 입력",IF(LEFT(S783,1)="⚠","파견병원명 미등록",IF(LEFT(U783,1)="⚠","파견과목 미등록",IF(OR(T783="",LEFT(T783,1)="⚠"),"파견근거 확인",IF(NOT(AND(ISNUMBER(H783),ISNUMBER(I783))),"날짜 형식/누락",IF(I783&lt;H783,"종료일&lt;시작일","")))))))))</f>
        <v/>
      </c>
      <c r="AB783" s="11">
        <f>IF(ISNUMBER(SEARCH("다기관",TRIM(N783&amp;" "&amp;O783))),IFERROR(DATE(VALUE(MID(TRIM(N783&amp;" "&amp;O783),1,4)),VALUE(MID(TRIM(N783&amp;" "&amp;O783),6,2)),VALUE(MID(TRIM(N783&amp;" "&amp;O783),9,2))),IF(ISNUMBER(H783),H783,"")),"")</f>
        <v/>
      </c>
      <c r="AC783" s="11">
        <f>IF(ISNUMBER(SEARCH("다기관",TRIM(N783&amp;" "&amp;O783))),IFERROR(DATE(VALUE(MID(TRIM(N783&amp;" "&amp;O783),12,4)),VALUE(MID(TRIM(N783&amp;" "&amp;O783),17,2)),VALUE(MID(TRIM(N783&amp;" "&amp;O783),20,2))),IF(ISNUMBER(I783),I783,"")),"")</f>
        <v/>
      </c>
      <c r="AD783" s="17">
        <f>IF(AND(ISNUMBER(AB783),ISNUMBER(AC783)),MAX(0,MIN(AC783,EOMONTH(출력_요약!$B$3,0))-MAX(AB783,출력_요약!$B$3)+1),0)</f>
        <v/>
      </c>
      <c r="AE783" s="10">
        <f>IF(AND(Q783&lt;&gt;"",ISNUMBER(AB783)),Q783&amp;"|다기관","")</f>
        <v/>
      </c>
    </row>
    <row r="784">
      <c r="A784" s="15">
        <f>IF(F784="","",ROW()-3)</f>
        <v/>
      </c>
      <c r="B784" s="5" t="n"/>
      <c r="C784" s="15" t="n"/>
      <c r="D784" s="5" t="n"/>
      <c r="E784" s="15" t="n"/>
      <c r="F784" s="5" t="n"/>
      <c r="G784" s="6" t="n"/>
      <c r="H784" s="16" t="n"/>
      <c r="I784" s="16" t="n"/>
      <c r="J784" s="15">
        <f>IF(AND(ISNUMBER(H784),ISNUMBER(I784)),I784-H784+1,"")</f>
        <v/>
      </c>
      <c r="K784" s="5" t="n"/>
      <c r="L784" s="5" t="n"/>
      <c r="M784" s="5" t="n"/>
      <c r="N784" s="5" t="n"/>
      <c r="O784" s="5" t="n"/>
      <c r="Q784" s="10">
        <f>IF(TRIM(G784&amp;"")="","",TRIM(G784&amp;""))</f>
        <v/>
      </c>
      <c r="R784" s="10">
        <f>IF(TRIM(B784&amp;"")="","",IFERROR(INDEX(설정_코드표!$K$2:$K$101,MATCH(TRIM(B784&amp;""),설정_코드표!$J$2:$J$101,0)),"⚠"&amp;TRIM(B784&amp;"")))</f>
        <v/>
      </c>
      <c r="S784" s="10">
        <f>IF(TRIM(K784&amp;"")="","",IFERROR(INDEX(설정_코드표!$K$2:$K$101,MATCH(TRIM(K784&amp;""),설정_코드표!$J$2:$J$101,0)),"⚠"&amp;TRIM(K784&amp;"")))</f>
        <v/>
      </c>
      <c r="T784" s="10">
        <f>IF(TRIM(M784&amp;"")="","",IF(ISNUMBER(MATCH(TRIM(M784&amp;""),설정_코드표!$C$2:$C$11,0)),TRIM(M784&amp;""),"⚠"&amp;TRIM(M784&amp;"")))</f>
        <v/>
      </c>
      <c r="U784" s="10">
        <f>IF(TRIM(L784&amp;"")="","",IFERROR(INDEX(설정_코드표!$G$2:$G$101,MATCH(TRIM(L784&amp;""),설정_코드표!$F$2:$F$101,0)),"⚠"&amp;TRIM(L784&amp;"")))</f>
        <v/>
      </c>
      <c r="V784" s="10">
        <f>IF(AND(ISNUMBER(H784),ISNUMBER(I784)),I784-H784+1,"")</f>
        <v/>
      </c>
      <c r="W784" s="17">
        <f>IF(ISNUMBER(H784),MAX(0,MIN(IF(ISNUMBER(I784),I784,EOMONTH(출력_요약!$B$3,0)),EOMONTH(출력_요약!$B$3,0))-MAX(H784,출력_요약!$B$3)+1),0)</f>
        <v/>
      </c>
      <c r="X784" s="10">
        <f>IF(OR(NOT(ISNUMBER(H784)),Q784=""),"",IF(TODAY()&lt;H784,"파견예정",IF(AND(ISNUMBER(I784),TODAY()&gt;I784),"파견종료","파견중")))</f>
        <v/>
      </c>
      <c r="Y784" s="10">
        <f>IF(OR(Q784="",X784=""),"",Q784&amp;"|"&amp;X784)</f>
        <v/>
      </c>
      <c r="Z784" s="10">
        <f>IF(AND(Q784&lt;&gt;"",W784&gt;0),Q784&amp;"|월","")</f>
        <v/>
      </c>
      <c r="AA784" s="10">
        <f>IF(COUNTA(B784:I784,K784:N784)=0,"",IF(Q784="","등록번호 없음",IF(LEFT(R784,1)="⚠","모병원명 미등록",IF(S784="","파견병원 입력",IF(LEFT(S784,1)="⚠","파견병원명 미등록",IF(LEFT(U784,1)="⚠","파견과목 미등록",IF(OR(T784="",LEFT(T784,1)="⚠"),"파견근거 확인",IF(NOT(AND(ISNUMBER(H784),ISNUMBER(I784))),"날짜 형식/누락",IF(I784&lt;H784,"종료일&lt;시작일","")))))))))</f>
        <v/>
      </c>
      <c r="AB784" s="11">
        <f>IF(ISNUMBER(SEARCH("다기관",TRIM(N784&amp;" "&amp;O784))),IFERROR(DATE(VALUE(MID(TRIM(N784&amp;" "&amp;O784),1,4)),VALUE(MID(TRIM(N784&amp;" "&amp;O784),6,2)),VALUE(MID(TRIM(N784&amp;" "&amp;O784),9,2))),IF(ISNUMBER(H784),H784,"")),"")</f>
        <v/>
      </c>
      <c r="AC784" s="11">
        <f>IF(ISNUMBER(SEARCH("다기관",TRIM(N784&amp;" "&amp;O784))),IFERROR(DATE(VALUE(MID(TRIM(N784&amp;" "&amp;O784),12,4)),VALUE(MID(TRIM(N784&amp;" "&amp;O784),17,2)),VALUE(MID(TRIM(N784&amp;" "&amp;O784),20,2))),IF(ISNUMBER(I784),I784,"")),"")</f>
        <v/>
      </c>
      <c r="AD784" s="17">
        <f>IF(AND(ISNUMBER(AB784),ISNUMBER(AC784)),MAX(0,MIN(AC784,EOMONTH(출력_요약!$B$3,0))-MAX(AB784,출력_요약!$B$3)+1),0)</f>
        <v/>
      </c>
      <c r="AE784" s="10">
        <f>IF(AND(Q784&lt;&gt;"",ISNUMBER(AB784)),Q784&amp;"|다기관","")</f>
        <v/>
      </c>
    </row>
    <row r="785">
      <c r="A785" s="15">
        <f>IF(F785="","",ROW()-3)</f>
        <v/>
      </c>
      <c r="B785" s="5" t="n"/>
      <c r="C785" s="15" t="n"/>
      <c r="D785" s="5" t="n"/>
      <c r="E785" s="15" t="n"/>
      <c r="F785" s="5" t="n"/>
      <c r="G785" s="6" t="n"/>
      <c r="H785" s="16" t="n"/>
      <c r="I785" s="16" t="n"/>
      <c r="J785" s="15">
        <f>IF(AND(ISNUMBER(H785),ISNUMBER(I785)),I785-H785+1,"")</f>
        <v/>
      </c>
      <c r="K785" s="5" t="n"/>
      <c r="L785" s="5" t="n"/>
      <c r="M785" s="5" t="n"/>
      <c r="N785" s="5" t="n"/>
      <c r="O785" s="5" t="n"/>
      <c r="Q785" s="10">
        <f>IF(TRIM(G785&amp;"")="","",TRIM(G785&amp;""))</f>
        <v/>
      </c>
      <c r="R785" s="10">
        <f>IF(TRIM(B785&amp;"")="","",IFERROR(INDEX(설정_코드표!$K$2:$K$101,MATCH(TRIM(B785&amp;""),설정_코드표!$J$2:$J$101,0)),"⚠"&amp;TRIM(B785&amp;"")))</f>
        <v/>
      </c>
      <c r="S785" s="10">
        <f>IF(TRIM(K785&amp;"")="","",IFERROR(INDEX(설정_코드표!$K$2:$K$101,MATCH(TRIM(K785&amp;""),설정_코드표!$J$2:$J$101,0)),"⚠"&amp;TRIM(K785&amp;"")))</f>
        <v/>
      </c>
      <c r="T785" s="10">
        <f>IF(TRIM(M785&amp;"")="","",IF(ISNUMBER(MATCH(TRIM(M785&amp;""),설정_코드표!$C$2:$C$11,0)),TRIM(M785&amp;""),"⚠"&amp;TRIM(M785&amp;"")))</f>
        <v/>
      </c>
      <c r="U785" s="10">
        <f>IF(TRIM(L785&amp;"")="","",IFERROR(INDEX(설정_코드표!$G$2:$G$101,MATCH(TRIM(L785&amp;""),설정_코드표!$F$2:$F$101,0)),"⚠"&amp;TRIM(L785&amp;"")))</f>
        <v/>
      </c>
      <c r="V785" s="10">
        <f>IF(AND(ISNUMBER(H785),ISNUMBER(I785)),I785-H785+1,"")</f>
        <v/>
      </c>
      <c r="W785" s="17">
        <f>IF(ISNUMBER(H785),MAX(0,MIN(IF(ISNUMBER(I785),I785,EOMONTH(출력_요약!$B$3,0)),EOMONTH(출력_요약!$B$3,0))-MAX(H785,출력_요약!$B$3)+1),0)</f>
        <v/>
      </c>
      <c r="X785" s="10">
        <f>IF(OR(NOT(ISNUMBER(H785)),Q785=""),"",IF(TODAY()&lt;H785,"파견예정",IF(AND(ISNUMBER(I785),TODAY()&gt;I785),"파견종료","파견중")))</f>
        <v/>
      </c>
      <c r="Y785" s="10">
        <f>IF(OR(Q785="",X785=""),"",Q785&amp;"|"&amp;X785)</f>
        <v/>
      </c>
      <c r="Z785" s="10">
        <f>IF(AND(Q785&lt;&gt;"",W785&gt;0),Q785&amp;"|월","")</f>
        <v/>
      </c>
      <c r="AA785" s="10">
        <f>IF(COUNTA(B785:I785,K785:N785)=0,"",IF(Q785="","등록번호 없음",IF(LEFT(R785,1)="⚠","모병원명 미등록",IF(S785="","파견병원 입력",IF(LEFT(S785,1)="⚠","파견병원명 미등록",IF(LEFT(U785,1)="⚠","파견과목 미등록",IF(OR(T785="",LEFT(T785,1)="⚠"),"파견근거 확인",IF(NOT(AND(ISNUMBER(H785),ISNUMBER(I785))),"날짜 형식/누락",IF(I785&lt;H785,"종료일&lt;시작일","")))))))))</f>
        <v/>
      </c>
      <c r="AB785" s="11">
        <f>IF(ISNUMBER(SEARCH("다기관",TRIM(N785&amp;" "&amp;O785))),IFERROR(DATE(VALUE(MID(TRIM(N785&amp;" "&amp;O785),1,4)),VALUE(MID(TRIM(N785&amp;" "&amp;O785),6,2)),VALUE(MID(TRIM(N785&amp;" "&amp;O785),9,2))),IF(ISNUMBER(H785),H785,"")),"")</f>
        <v/>
      </c>
      <c r="AC785" s="11">
        <f>IF(ISNUMBER(SEARCH("다기관",TRIM(N785&amp;" "&amp;O785))),IFERROR(DATE(VALUE(MID(TRIM(N785&amp;" "&amp;O785),12,4)),VALUE(MID(TRIM(N785&amp;" "&amp;O785),17,2)),VALUE(MID(TRIM(N785&amp;" "&amp;O785),20,2))),IF(ISNUMBER(I785),I785,"")),"")</f>
        <v/>
      </c>
      <c r="AD785" s="17">
        <f>IF(AND(ISNUMBER(AB785),ISNUMBER(AC785)),MAX(0,MIN(AC785,EOMONTH(출력_요약!$B$3,0))-MAX(AB785,출력_요약!$B$3)+1),0)</f>
        <v/>
      </c>
      <c r="AE785" s="10">
        <f>IF(AND(Q785&lt;&gt;"",ISNUMBER(AB785)),Q785&amp;"|다기관","")</f>
        <v/>
      </c>
    </row>
    <row r="786">
      <c r="A786" s="15">
        <f>IF(F786="","",ROW()-3)</f>
        <v/>
      </c>
      <c r="B786" s="5" t="n"/>
      <c r="C786" s="15" t="n"/>
      <c r="D786" s="5" t="n"/>
      <c r="E786" s="15" t="n"/>
      <c r="F786" s="5" t="n"/>
      <c r="G786" s="6" t="n"/>
      <c r="H786" s="16" t="n"/>
      <c r="I786" s="16" t="n"/>
      <c r="J786" s="15">
        <f>IF(AND(ISNUMBER(H786),ISNUMBER(I786)),I786-H786+1,"")</f>
        <v/>
      </c>
      <c r="K786" s="5" t="n"/>
      <c r="L786" s="5" t="n"/>
      <c r="M786" s="5" t="n"/>
      <c r="N786" s="5" t="n"/>
      <c r="O786" s="5" t="n"/>
      <c r="Q786" s="10">
        <f>IF(TRIM(G786&amp;"")="","",TRIM(G786&amp;""))</f>
        <v/>
      </c>
      <c r="R786" s="10">
        <f>IF(TRIM(B786&amp;"")="","",IFERROR(INDEX(설정_코드표!$K$2:$K$101,MATCH(TRIM(B786&amp;""),설정_코드표!$J$2:$J$101,0)),"⚠"&amp;TRIM(B786&amp;"")))</f>
        <v/>
      </c>
      <c r="S786" s="10">
        <f>IF(TRIM(K786&amp;"")="","",IFERROR(INDEX(설정_코드표!$K$2:$K$101,MATCH(TRIM(K786&amp;""),설정_코드표!$J$2:$J$101,0)),"⚠"&amp;TRIM(K786&amp;"")))</f>
        <v/>
      </c>
      <c r="T786" s="10">
        <f>IF(TRIM(M786&amp;"")="","",IF(ISNUMBER(MATCH(TRIM(M786&amp;""),설정_코드표!$C$2:$C$11,0)),TRIM(M786&amp;""),"⚠"&amp;TRIM(M786&amp;"")))</f>
        <v/>
      </c>
      <c r="U786" s="10">
        <f>IF(TRIM(L786&amp;"")="","",IFERROR(INDEX(설정_코드표!$G$2:$G$101,MATCH(TRIM(L786&amp;""),설정_코드표!$F$2:$F$101,0)),"⚠"&amp;TRIM(L786&amp;"")))</f>
        <v/>
      </c>
      <c r="V786" s="10">
        <f>IF(AND(ISNUMBER(H786),ISNUMBER(I786)),I786-H786+1,"")</f>
        <v/>
      </c>
      <c r="W786" s="17">
        <f>IF(ISNUMBER(H786),MAX(0,MIN(IF(ISNUMBER(I786),I786,EOMONTH(출력_요약!$B$3,0)),EOMONTH(출력_요약!$B$3,0))-MAX(H786,출력_요약!$B$3)+1),0)</f>
        <v/>
      </c>
      <c r="X786" s="10">
        <f>IF(OR(NOT(ISNUMBER(H786)),Q786=""),"",IF(TODAY()&lt;H786,"파견예정",IF(AND(ISNUMBER(I786),TODAY()&gt;I786),"파견종료","파견중")))</f>
        <v/>
      </c>
      <c r="Y786" s="10">
        <f>IF(OR(Q786="",X786=""),"",Q786&amp;"|"&amp;X786)</f>
        <v/>
      </c>
      <c r="Z786" s="10">
        <f>IF(AND(Q786&lt;&gt;"",W786&gt;0),Q786&amp;"|월","")</f>
        <v/>
      </c>
      <c r="AA786" s="10">
        <f>IF(COUNTA(B786:I786,K786:N786)=0,"",IF(Q786="","등록번호 없음",IF(LEFT(R786,1)="⚠","모병원명 미등록",IF(S786="","파견병원 입력",IF(LEFT(S786,1)="⚠","파견병원명 미등록",IF(LEFT(U786,1)="⚠","파견과목 미등록",IF(OR(T786="",LEFT(T786,1)="⚠"),"파견근거 확인",IF(NOT(AND(ISNUMBER(H786),ISNUMBER(I786))),"날짜 형식/누락",IF(I786&lt;H786,"종료일&lt;시작일","")))))))))</f>
        <v/>
      </c>
      <c r="AB786" s="11">
        <f>IF(ISNUMBER(SEARCH("다기관",TRIM(N786&amp;" "&amp;O786))),IFERROR(DATE(VALUE(MID(TRIM(N786&amp;" "&amp;O786),1,4)),VALUE(MID(TRIM(N786&amp;" "&amp;O786),6,2)),VALUE(MID(TRIM(N786&amp;" "&amp;O786),9,2))),IF(ISNUMBER(H786),H786,"")),"")</f>
        <v/>
      </c>
      <c r="AC786" s="11">
        <f>IF(ISNUMBER(SEARCH("다기관",TRIM(N786&amp;" "&amp;O786))),IFERROR(DATE(VALUE(MID(TRIM(N786&amp;" "&amp;O786),12,4)),VALUE(MID(TRIM(N786&amp;" "&amp;O786),17,2)),VALUE(MID(TRIM(N786&amp;" "&amp;O786),20,2))),IF(ISNUMBER(I786),I786,"")),"")</f>
        <v/>
      </c>
      <c r="AD786" s="17">
        <f>IF(AND(ISNUMBER(AB786),ISNUMBER(AC786)),MAX(0,MIN(AC786,EOMONTH(출력_요약!$B$3,0))-MAX(AB786,출력_요약!$B$3)+1),0)</f>
        <v/>
      </c>
      <c r="AE786" s="10">
        <f>IF(AND(Q786&lt;&gt;"",ISNUMBER(AB786)),Q786&amp;"|다기관","")</f>
        <v/>
      </c>
    </row>
    <row r="787">
      <c r="A787" s="15">
        <f>IF(F787="","",ROW()-3)</f>
        <v/>
      </c>
      <c r="B787" s="5" t="n"/>
      <c r="C787" s="15" t="n"/>
      <c r="D787" s="5" t="n"/>
      <c r="E787" s="15" t="n"/>
      <c r="F787" s="5" t="n"/>
      <c r="G787" s="6" t="n"/>
      <c r="H787" s="16" t="n"/>
      <c r="I787" s="16" t="n"/>
      <c r="J787" s="15">
        <f>IF(AND(ISNUMBER(H787),ISNUMBER(I787)),I787-H787+1,"")</f>
        <v/>
      </c>
      <c r="K787" s="5" t="n"/>
      <c r="L787" s="5" t="n"/>
      <c r="M787" s="5" t="n"/>
      <c r="N787" s="5" t="n"/>
      <c r="O787" s="5" t="n"/>
      <c r="Q787" s="10">
        <f>IF(TRIM(G787&amp;"")="","",TRIM(G787&amp;""))</f>
        <v/>
      </c>
      <c r="R787" s="10">
        <f>IF(TRIM(B787&amp;"")="","",IFERROR(INDEX(설정_코드표!$K$2:$K$101,MATCH(TRIM(B787&amp;""),설정_코드표!$J$2:$J$101,0)),"⚠"&amp;TRIM(B787&amp;"")))</f>
        <v/>
      </c>
      <c r="S787" s="10">
        <f>IF(TRIM(K787&amp;"")="","",IFERROR(INDEX(설정_코드표!$K$2:$K$101,MATCH(TRIM(K787&amp;""),설정_코드표!$J$2:$J$101,0)),"⚠"&amp;TRIM(K787&amp;"")))</f>
        <v/>
      </c>
      <c r="T787" s="10">
        <f>IF(TRIM(M787&amp;"")="","",IF(ISNUMBER(MATCH(TRIM(M787&amp;""),설정_코드표!$C$2:$C$11,0)),TRIM(M787&amp;""),"⚠"&amp;TRIM(M787&amp;"")))</f>
        <v/>
      </c>
      <c r="U787" s="10">
        <f>IF(TRIM(L787&amp;"")="","",IFERROR(INDEX(설정_코드표!$G$2:$G$101,MATCH(TRIM(L787&amp;""),설정_코드표!$F$2:$F$101,0)),"⚠"&amp;TRIM(L787&amp;"")))</f>
        <v/>
      </c>
      <c r="V787" s="10">
        <f>IF(AND(ISNUMBER(H787),ISNUMBER(I787)),I787-H787+1,"")</f>
        <v/>
      </c>
      <c r="W787" s="17">
        <f>IF(ISNUMBER(H787),MAX(0,MIN(IF(ISNUMBER(I787),I787,EOMONTH(출력_요약!$B$3,0)),EOMONTH(출력_요약!$B$3,0))-MAX(H787,출력_요약!$B$3)+1),0)</f>
        <v/>
      </c>
      <c r="X787" s="10">
        <f>IF(OR(NOT(ISNUMBER(H787)),Q787=""),"",IF(TODAY()&lt;H787,"파견예정",IF(AND(ISNUMBER(I787),TODAY()&gt;I787),"파견종료","파견중")))</f>
        <v/>
      </c>
      <c r="Y787" s="10">
        <f>IF(OR(Q787="",X787=""),"",Q787&amp;"|"&amp;X787)</f>
        <v/>
      </c>
      <c r="Z787" s="10">
        <f>IF(AND(Q787&lt;&gt;"",W787&gt;0),Q787&amp;"|월","")</f>
        <v/>
      </c>
      <c r="AA787" s="10">
        <f>IF(COUNTA(B787:I787,K787:N787)=0,"",IF(Q787="","등록번호 없음",IF(LEFT(R787,1)="⚠","모병원명 미등록",IF(S787="","파견병원 입력",IF(LEFT(S787,1)="⚠","파견병원명 미등록",IF(LEFT(U787,1)="⚠","파견과목 미등록",IF(OR(T787="",LEFT(T787,1)="⚠"),"파견근거 확인",IF(NOT(AND(ISNUMBER(H787),ISNUMBER(I787))),"날짜 형식/누락",IF(I787&lt;H787,"종료일&lt;시작일","")))))))))</f>
        <v/>
      </c>
      <c r="AB787" s="11">
        <f>IF(ISNUMBER(SEARCH("다기관",TRIM(N787&amp;" "&amp;O787))),IFERROR(DATE(VALUE(MID(TRIM(N787&amp;" "&amp;O787),1,4)),VALUE(MID(TRIM(N787&amp;" "&amp;O787),6,2)),VALUE(MID(TRIM(N787&amp;" "&amp;O787),9,2))),IF(ISNUMBER(H787),H787,"")),"")</f>
        <v/>
      </c>
      <c r="AC787" s="11">
        <f>IF(ISNUMBER(SEARCH("다기관",TRIM(N787&amp;" "&amp;O787))),IFERROR(DATE(VALUE(MID(TRIM(N787&amp;" "&amp;O787),12,4)),VALUE(MID(TRIM(N787&amp;" "&amp;O787),17,2)),VALUE(MID(TRIM(N787&amp;" "&amp;O787),20,2))),IF(ISNUMBER(I787),I787,"")),"")</f>
        <v/>
      </c>
      <c r="AD787" s="17">
        <f>IF(AND(ISNUMBER(AB787),ISNUMBER(AC787)),MAX(0,MIN(AC787,EOMONTH(출력_요약!$B$3,0))-MAX(AB787,출력_요약!$B$3)+1),0)</f>
        <v/>
      </c>
      <c r="AE787" s="10">
        <f>IF(AND(Q787&lt;&gt;"",ISNUMBER(AB787)),Q787&amp;"|다기관","")</f>
        <v/>
      </c>
    </row>
    <row r="788">
      <c r="A788" s="15">
        <f>IF(F788="","",ROW()-3)</f>
        <v/>
      </c>
      <c r="B788" s="5" t="n"/>
      <c r="C788" s="15" t="n"/>
      <c r="D788" s="5" t="n"/>
      <c r="E788" s="15" t="n"/>
      <c r="F788" s="5" t="n"/>
      <c r="G788" s="6" t="n"/>
      <c r="H788" s="16" t="n"/>
      <c r="I788" s="16" t="n"/>
      <c r="J788" s="15">
        <f>IF(AND(ISNUMBER(H788),ISNUMBER(I788)),I788-H788+1,"")</f>
        <v/>
      </c>
      <c r="K788" s="5" t="n"/>
      <c r="L788" s="5" t="n"/>
      <c r="M788" s="5" t="n"/>
      <c r="N788" s="5" t="n"/>
      <c r="O788" s="5" t="n"/>
      <c r="Q788" s="10">
        <f>IF(TRIM(G788&amp;"")="","",TRIM(G788&amp;""))</f>
        <v/>
      </c>
      <c r="R788" s="10">
        <f>IF(TRIM(B788&amp;"")="","",IFERROR(INDEX(설정_코드표!$K$2:$K$101,MATCH(TRIM(B788&amp;""),설정_코드표!$J$2:$J$101,0)),"⚠"&amp;TRIM(B788&amp;"")))</f>
        <v/>
      </c>
      <c r="S788" s="10">
        <f>IF(TRIM(K788&amp;"")="","",IFERROR(INDEX(설정_코드표!$K$2:$K$101,MATCH(TRIM(K788&amp;""),설정_코드표!$J$2:$J$101,0)),"⚠"&amp;TRIM(K788&amp;"")))</f>
        <v/>
      </c>
      <c r="T788" s="10">
        <f>IF(TRIM(M788&amp;"")="","",IF(ISNUMBER(MATCH(TRIM(M788&amp;""),설정_코드표!$C$2:$C$11,0)),TRIM(M788&amp;""),"⚠"&amp;TRIM(M788&amp;"")))</f>
        <v/>
      </c>
      <c r="U788" s="10">
        <f>IF(TRIM(L788&amp;"")="","",IFERROR(INDEX(설정_코드표!$G$2:$G$101,MATCH(TRIM(L788&amp;""),설정_코드표!$F$2:$F$101,0)),"⚠"&amp;TRIM(L788&amp;"")))</f>
        <v/>
      </c>
      <c r="V788" s="10">
        <f>IF(AND(ISNUMBER(H788),ISNUMBER(I788)),I788-H788+1,"")</f>
        <v/>
      </c>
      <c r="W788" s="17">
        <f>IF(ISNUMBER(H788),MAX(0,MIN(IF(ISNUMBER(I788),I788,EOMONTH(출력_요약!$B$3,0)),EOMONTH(출력_요약!$B$3,0))-MAX(H788,출력_요약!$B$3)+1),0)</f>
        <v/>
      </c>
      <c r="X788" s="10">
        <f>IF(OR(NOT(ISNUMBER(H788)),Q788=""),"",IF(TODAY()&lt;H788,"파견예정",IF(AND(ISNUMBER(I788),TODAY()&gt;I788),"파견종료","파견중")))</f>
        <v/>
      </c>
      <c r="Y788" s="10">
        <f>IF(OR(Q788="",X788=""),"",Q788&amp;"|"&amp;X788)</f>
        <v/>
      </c>
      <c r="Z788" s="10">
        <f>IF(AND(Q788&lt;&gt;"",W788&gt;0),Q788&amp;"|월","")</f>
        <v/>
      </c>
      <c r="AA788" s="10">
        <f>IF(COUNTA(B788:I788,K788:N788)=0,"",IF(Q788="","등록번호 없음",IF(LEFT(R788,1)="⚠","모병원명 미등록",IF(S788="","파견병원 입력",IF(LEFT(S788,1)="⚠","파견병원명 미등록",IF(LEFT(U788,1)="⚠","파견과목 미등록",IF(OR(T788="",LEFT(T788,1)="⚠"),"파견근거 확인",IF(NOT(AND(ISNUMBER(H788),ISNUMBER(I788))),"날짜 형식/누락",IF(I788&lt;H788,"종료일&lt;시작일","")))))))))</f>
        <v/>
      </c>
      <c r="AB788" s="11">
        <f>IF(ISNUMBER(SEARCH("다기관",TRIM(N788&amp;" "&amp;O788))),IFERROR(DATE(VALUE(MID(TRIM(N788&amp;" "&amp;O788),1,4)),VALUE(MID(TRIM(N788&amp;" "&amp;O788),6,2)),VALUE(MID(TRIM(N788&amp;" "&amp;O788),9,2))),IF(ISNUMBER(H788),H788,"")),"")</f>
        <v/>
      </c>
      <c r="AC788" s="11">
        <f>IF(ISNUMBER(SEARCH("다기관",TRIM(N788&amp;" "&amp;O788))),IFERROR(DATE(VALUE(MID(TRIM(N788&amp;" "&amp;O788),12,4)),VALUE(MID(TRIM(N788&amp;" "&amp;O788),17,2)),VALUE(MID(TRIM(N788&amp;" "&amp;O788),20,2))),IF(ISNUMBER(I788),I788,"")),"")</f>
        <v/>
      </c>
      <c r="AD788" s="17">
        <f>IF(AND(ISNUMBER(AB788),ISNUMBER(AC788)),MAX(0,MIN(AC788,EOMONTH(출력_요약!$B$3,0))-MAX(AB788,출력_요약!$B$3)+1),0)</f>
        <v/>
      </c>
      <c r="AE788" s="10">
        <f>IF(AND(Q788&lt;&gt;"",ISNUMBER(AB788)),Q788&amp;"|다기관","")</f>
        <v/>
      </c>
    </row>
    <row r="789">
      <c r="A789" s="15">
        <f>IF(F789="","",ROW()-3)</f>
        <v/>
      </c>
      <c r="B789" s="5" t="n"/>
      <c r="C789" s="15" t="n"/>
      <c r="D789" s="5" t="n"/>
      <c r="E789" s="15" t="n"/>
      <c r="F789" s="5" t="n"/>
      <c r="G789" s="6" t="n"/>
      <c r="H789" s="16" t="n"/>
      <c r="I789" s="16" t="n"/>
      <c r="J789" s="15">
        <f>IF(AND(ISNUMBER(H789),ISNUMBER(I789)),I789-H789+1,"")</f>
        <v/>
      </c>
      <c r="K789" s="5" t="n"/>
      <c r="L789" s="5" t="n"/>
      <c r="M789" s="5" t="n"/>
      <c r="N789" s="5" t="n"/>
      <c r="O789" s="5" t="n"/>
      <c r="Q789" s="10">
        <f>IF(TRIM(G789&amp;"")="","",TRIM(G789&amp;""))</f>
        <v/>
      </c>
      <c r="R789" s="10">
        <f>IF(TRIM(B789&amp;"")="","",IFERROR(INDEX(설정_코드표!$K$2:$K$101,MATCH(TRIM(B789&amp;""),설정_코드표!$J$2:$J$101,0)),"⚠"&amp;TRIM(B789&amp;"")))</f>
        <v/>
      </c>
      <c r="S789" s="10">
        <f>IF(TRIM(K789&amp;"")="","",IFERROR(INDEX(설정_코드표!$K$2:$K$101,MATCH(TRIM(K789&amp;""),설정_코드표!$J$2:$J$101,0)),"⚠"&amp;TRIM(K789&amp;"")))</f>
        <v/>
      </c>
      <c r="T789" s="10">
        <f>IF(TRIM(M789&amp;"")="","",IF(ISNUMBER(MATCH(TRIM(M789&amp;""),설정_코드표!$C$2:$C$11,0)),TRIM(M789&amp;""),"⚠"&amp;TRIM(M789&amp;"")))</f>
        <v/>
      </c>
      <c r="U789" s="10">
        <f>IF(TRIM(L789&amp;"")="","",IFERROR(INDEX(설정_코드표!$G$2:$G$101,MATCH(TRIM(L789&amp;""),설정_코드표!$F$2:$F$101,0)),"⚠"&amp;TRIM(L789&amp;"")))</f>
        <v/>
      </c>
      <c r="V789" s="10">
        <f>IF(AND(ISNUMBER(H789),ISNUMBER(I789)),I789-H789+1,"")</f>
        <v/>
      </c>
      <c r="W789" s="17">
        <f>IF(ISNUMBER(H789),MAX(0,MIN(IF(ISNUMBER(I789),I789,EOMONTH(출력_요약!$B$3,0)),EOMONTH(출력_요약!$B$3,0))-MAX(H789,출력_요약!$B$3)+1),0)</f>
        <v/>
      </c>
      <c r="X789" s="10">
        <f>IF(OR(NOT(ISNUMBER(H789)),Q789=""),"",IF(TODAY()&lt;H789,"파견예정",IF(AND(ISNUMBER(I789),TODAY()&gt;I789),"파견종료","파견중")))</f>
        <v/>
      </c>
      <c r="Y789" s="10">
        <f>IF(OR(Q789="",X789=""),"",Q789&amp;"|"&amp;X789)</f>
        <v/>
      </c>
      <c r="Z789" s="10">
        <f>IF(AND(Q789&lt;&gt;"",W789&gt;0),Q789&amp;"|월","")</f>
        <v/>
      </c>
      <c r="AA789" s="10">
        <f>IF(COUNTA(B789:I789,K789:N789)=0,"",IF(Q789="","등록번호 없음",IF(LEFT(R789,1)="⚠","모병원명 미등록",IF(S789="","파견병원 입력",IF(LEFT(S789,1)="⚠","파견병원명 미등록",IF(LEFT(U789,1)="⚠","파견과목 미등록",IF(OR(T789="",LEFT(T789,1)="⚠"),"파견근거 확인",IF(NOT(AND(ISNUMBER(H789),ISNUMBER(I789))),"날짜 형식/누락",IF(I789&lt;H789,"종료일&lt;시작일","")))))))))</f>
        <v/>
      </c>
      <c r="AB789" s="11">
        <f>IF(ISNUMBER(SEARCH("다기관",TRIM(N789&amp;" "&amp;O789))),IFERROR(DATE(VALUE(MID(TRIM(N789&amp;" "&amp;O789),1,4)),VALUE(MID(TRIM(N789&amp;" "&amp;O789),6,2)),VALUE(MID(TRIM(N789&amp;" "&amp;O789),9,2))),IF(ISNUMBER(H789),H789,"")),"")</f>
        <v/>
      </c>
      <c r="AC789" s="11">
        <f>IF(ISNUMBER(SEARCH("다기관",TRIM(N789&amp;" "&amp;O789))),IFERROR(DATE(VALUE(MID(TRIM(N789&amp;" "&amp;O789),12,4)),VALUE(MID(TRIM(N789&amp;" "&amp;O789),17,2)),VALUE(MID(TRIM(N789&amp;" "&amp;O789),20,2))),IF(ISNUMBER(I789),I789,"")),"")</f>
        <v/>
      </c>
      <c r="AD789" s="17">
        <f>IF(AND(ISNUMBER(AB789),ISNUMBER(AC789)),MAX(0,MIN(AC789,EOMONTH(출력_요약!$B$3,0))-MAX(AB789,출력_요약!$B$3)+1),0)</f>
        <v/>
      </c>
      <c r="AE789" s="10">
        <f>IF(AND(Q789&lt;&gt;"",ISNUMBER(AB789)),Q789&amp;"|다기관","")</f>
        <v/>
      </c>
    </row>
    <row r="790">
      <c r="A790" s="15">
        <f>IF(F790="","",ROW()-3)</f>
        <v/>
      </c>
      <c r="B790" s="5" t="n"/>
      <c r="C790" s="15" t="n"/>
      <c r="D790" s="5" t="n"/>
      <c r="E790" s="15" t="n"/>
      <c r="F790" s="5" t="n"/>
      <c r="G790" s="6" t="n"/>
      <c r="H790" s="16" t="n"/>
      <c r="I790" s="16" t="n"/>
      <c r="J790" s="15">
        <f>IF(AND(ISNUMBER(H790),ISNUMBER(I790)),I790-H790+1,"")</f>
        <v/>
      </c>
      <c r="K790" s="5" t="n"/>
      <c r="L790" s="5" t="n"/>
      <c r="M790" s="5" t="n"/>
      <c r="N790" s="5" t="n"/>
      <c r="O790" s="5" t="n"/>
      <c r="Q790" s="10">
        <f>IF(TRIM(G790&amp;"")="","",TRIM(G790&amp;""))</f>
        <v/>
      </c>
      <c r="R790" s="10">
        <f>IF(TRIM(B790&amp;"")="","",IFERROR(INDEX(설정_코드표!$K$2:$K$101,MATCH(TRIM(B790&amp;""),설정_코드표!$J$2:$J$101,0)),"⚠"&amp;TRIM(B790&amp;"")))</f>
        <v/>
      </c>
      <c r="S790" s="10">
        <f>IF(TRIM(K790&amp;"")="","",IFERROR(INDEX(설정_코드표!$K$2:$K$101,MATCH(TRIM(K790&amp;""),설정_코드표!$J$2:$J$101,0)),"⚠"&amp;TRIM(K790&amp;"")))</f>
        <v/>
      </c>
      <c r="T790" s="10">
        <f>IF(TRIM(M790&amp;"")="","",IF(ISNUMBER(MATCH(TRIM(M790&amp;""),설정_코드표!$C$2:$C$11,0)),TRIM(M790&amp;""),"⚠"&amp;TRIM(M790&amp;"")))</f>
        <v/>
      </c>
      <c r="U790" s="10">
        <f>IF(TRIM(L790&amp;"")="","",IFERROR(INDEX(설정_코드표!$G$2:$G$101,MATCH(TRIM(L790&amp;""),설정_코드표!$F$2:$F$101,0)),"⚠"&amp;TRIM(L790&amp;"")))</f>
        <v/>
      </c>
      <c r="V790" s="10">
        <f>IF(AND(ISNUMBER(H790),ISNUMBER(I790)),I790-H790+1,"")</f>
        <v/>
      </c>
      <c r="W790" s="17">
        <f>IF(ISNUMBER(H790),MAX(0,MIN(IF(ISNUMBER(I790),I790,EOMONTH(출력_요약!$B$3,0)),EOMONTH(출력_요약!$B$3,0))-MAX(H790,출력_요약!$B$3)+1),0)</f>
        <v/>
      </c>
      <c r="X790" s="10">
        <f>IF(OR(NOT(ISNUMBER(H790)),Q790=""),"",IF(TODAY()&lt;H790,"파견예정",IF(AND(ISNUMBER(I790),TODAY()&gt;I790),"파견종료","파견중")))</f>
        <v/>
      </c>
      <c r="Y790" s="10">
        <f>IF(OR(Q790="",X790=""),"",Q790&amp;"|"&amp;X790)</f>
        <v/>
      </c>
      <c r="Z790" s="10">
        <f>IF(AND(Q790&lt;&gt;"",W790&gt;0),Q790&amp;"|월","")</f>
        <v/>
      </c>
      <c r="AA790" s="10">
        <f>IF(COUNTA(B790:I790,K790:N790)=0,"",IF(Q790="","등록번호 없음",IF(LEFT(R790,1)="⚠","모병원명 미등록",IF(S790="","파견병원 입력",IF(LEFT(S790,1)="⚠","파견병원명 미등록",IF(LEFT(U790,1)="⚠","파견과목 미등록",IF(OR(T790="",LEFT(T790,1)="⚠"),"파견근거 확인",IF(NOT(AND(ISNUMBER(H790),ISNUMBER(I790))),"날짜 형식/누락",IF(I790&lt;H790,"종료일&lt;시작일","")))))))))</f>
        <v/>
      </c>
      <c r="AB790" s="11">
        <f>IF(ISNUMBER(SEARCH("다기관",TRIM(N790&amp;" "&amp;O790))),IFERROR(DATE(VALUE(MID(TRIM(N790&amp;" "&amp;O790),1,4)),VALUE(MID(TRIM(N790&amp;" "&amp;O790),6,2)),VALUE(MID(TRIM(N790&amp;" "&amp;O790),9,2))),IF(ISNUMBER(H790),H790,"")),"")</f>
        <v/>
      </c>
      <c r="AC790" s="11">
        <f>IF(ISNUMBER(SEARCH("다기관",TRIM(N790&amp;" "&amp;O790))),IFERROR(DATE(VALUE(MID(TRIM(N790&amp;" "&amp;O790),12,4)),VALUE(MID(TRIM(N790&amp;" "&amp;O790),17,2)),VALUE(MID(TRIM(N790&amp;" "&amp;O790),20,2))),IF(ISNUMBER(I790),I790,"")),"")</f>
        <v/>
      </c>
      <c r="AD790" s="17">
        <f>IF(AND(ISNUMBER(AB790),ISNUMBER(AC790)),MAX(0,MIN(AC790,EOMONTH(출력_요약!$B$3,0))-MAX(AB790,출력_요약!$B$3)+1),0)</f>
        <v/>
      </c>
      <c r="AE790" s="10">
        <f>IF(AND(Q790&lt;&gt;"",ISNUMBER(AB790)),Q790&amp;"|다기관","")</f>
        <v/>
      </c>
    </row>
    <row r="791">
      <c r="A791" s="15">
        <f>IF(F791="","",ROW()-3)</f>
        <v/>
      </c>
      <c r="B791" s="5" t="n"/>
      <c r="C791" s="15" t="n"/>
      <c r="D791" s="5" t="n"/>
      <c r="E791" s="15" t="n"/>
      <c r="F791" s="5" t="n"/>
      <c r="G791" s="6" t="n"/>
      <c r="H791" s="16" t="n"/>
      <c r="I791" s="16" t="n"/>
      <c r="J791" s="15">
        <f>IF(AND(ISNUMBER(H791),ISNUMBER(I791)),I791-H791+1,"")</f>
        <v/>
      </c>
      <c r="K791" s="5" t="n"/>
      <c r="L791" s="5" t="n"/>
      <c r="M791" s="5" t="n"/>
      <c r="N791" s="5" t="n"/>
      <c r="O791" s="5" t="n"/>
      <c r="Q791" s="10">
        <f>IF(TRIM(G791&amp;"")="","",TRIM(G791&amp;""))</f>
        <v/>
      </c>
      <c r="R791" s="10">
        <f>IF(TRIM(B791&amp;"")="","",IFERROR(INDEX(설정_코드표!$K$2:$K$101,MATCH(TRIM(B791&amp;""),설정_코드표!$J$2:$J$101,0)),"⚠"&amp;TRIM(B791&amp;"")))</f>
        <v/>
      </c>
      <c r="S791" s="10">
        <f>IF(TRIM(K791&amp;"")="","",IFERROR(INDEX(설정_코드표!$K$2:$K$101,MATCH(TRIM(K791&amp;""),설정_코드표!$J$2:$J$101,0)),"⚠"&amp;TRIM(K791&amp;"")))</f>
        <v/>
      </c>
      <c r="T791" s="10">
        <f>IF(TRIM(M791&amp;"")="","",IF(ISNUMBER(MATCH(TRIM(M791&amp;""),설정_코드표!$C$2:$C$11,0)),TRIM(M791&amp;""),"⚠"&amp;TRIM(M791&amp;"")))</f>
        <v/>
      </c>
      <c r="U791" s="10">
        <f>IF(TRIM(L791&amp;"")="","",IFERROR(INDEX(설정_코드표!$G$2:$G$101,MATCH(TRIM(L791&amp;""),설정_코드표!$F$2:$F$101,0)),"⚠"&amp;TRIM(L791&amp;"")))</f>
        <v/>
      </c>
      <c r="V791" s="10">
        <f>IF(AND(ISNUMBER(H791),ISNUMBER(I791)),I791-H791+1,"")</f>
        <v/>
      </c>
      <c r="W791" s="17">
        <f>IF(ISNUMBER(H791),MAX(0,MIN(IF(ISNUMBER(I791),I791,EOMONTH(출력_요약!$B$3,0)),EOMONTH(출력_요약!$B$3,0))-MAX(H791,출력_요약!$B$3)+1),0)</f>
        <v/>
      </c>
      <c r="X791" s="10">
        <f>IF(OR(NOT(ISNUMBER(H791)),Q791=""),"",IF(TODAY()&lt;H791,"파견예정",IF(AND(ISNUMBER(I791),TODAY()&gt;I791),"파견종료","파견중")))</f>
        <v/>
      </c>
      <c r="Y791" s="10">
        <f>IF(OR(Q791="",X791=""),"",Q791&amp;"|"&amp;X791)</f>
        <v/>
      </c>
      <c r="Z791" s="10">
        <f>IF(AND(Q791&lt;&gt;"",W791&gt;0),Q791&amp;"|월","")</f>
        <v/>
      </c>
      <c r="AA791" s="10">
        <f>IF(COUNTA(B791:I791,K791:N791)=0,"",IF(Q791="","등록번호 없음",IF(LEFT(R791,1)="⚠","모병원명 미등록",IF(S791="","파견병원 입력",IF(LEFT(S791,1)="⚠","파견병원명 미등록",IF(LEFT(U791,1)="⚠","파견과목 미등록",IF(OR(T791="",LEFT(T791,1)="⚠"),"파견근거 확인",IF(NOT(AND(ISNUMBER(H791),ISNUMBER(I791))),"날짜 형식/누락",IF(I791&lt;H791,"종료일&lt;시작일","")))))))))</f>
        <v/>
      </c>
      <c r="AB791" s="11">
        <f>IF(ISNUMBER(SEARCH("다기관",TRIM(N791&amp;" "&amp;O791))),IFERROR(DATE(VALUE(MID(TRIM(N791&amp;" "&amp;O791),1,4)),VALUE(MID(TRIM(N791&amp;" "&amp;O791),6,2)),VALUE(MID(TRIM(N791&amp;" "&amp;O791),9,2))),IF(ISNUMBER(H791),H791,"")),"")</f>
        <v/>
      </c>
      <c r="AC791" s="11">
        <f>IF(ISNUMBER(SEARCH("다기관",TRIM(N791&amp;" "&amp;O791))),IFERROR(DATE(VALUE(MID(TRIM(N791&amp;" "&amp;O791),12,4)),VALUE(MID(TRIM(N791&amp;" "&amp;O791),17,2)),VALUE(MID(TRIM(N791&amp;" "&amp;O791),20,2))),IF(ISNUMBER(I791),I791,"")),"")</f>
        <v/>
      </c>
      <c r="AD791" s="17">
        <f>IF(AND(ISNUMBER(AB791),ISNUMBER(AC791)),MAX(0,MIN(AC791,EOMONTH(출력_요약!$B$3,0))-MAX(AB791,출력_요약!$B$3)+1),0)</f>
        <v/>
      </c>
      <c r="AE791" s="10">
        <f>IF(AND(Q791&lt;&gt;"",ISNUMBER(AB791)),Q791&amp;"|다기관","")</f>
        <v/>
      </c>
    </row>
    <row r="792">
      <c r="A792" s="15">
        <f>IF(F792="","",ROW()-3)</f>
        <v/>
      </c>
      <c r="B792" s="5" t="n"/>
      <c r="C792" s="15" t="n"/>
      <c r="D792" s="5" t="n"/>
      <c r="E792" s="15" t="n"/>
      <c r="F792" s="5" t="n"/>
      <c r="G792" s="6" t="n"/>
      <c r="H792" s="16" t="n"/>
      <c r="I792" s="16" t="n"/>
      <c r="J792" s="15">
        <f>IF(AND(ISNUMBER(H792),ISNUMBER(I792)),I792-H792+1,"")</f>
        <v/>
      </c>
      <c r="K792" s="5" t="n"/>
      <c r="L792" s="5" t="n"/>
      <c r="M792" s="5" t="n"/>
      <c r="N792" s="5" t="n"/>
      <c r="O792" s="5" t="n"/>
      <c r="Q792" s="10">
        <f>IF(TRIM(G792&amp;"")="","",TRIM(G792&amp;""))</f>
        <v/>
      </c>
      <c r="R792" s="10">
        <f>IF(TRIM(B792&amp;"")="","",IFERROR(INDEX(설정_코드표!$K$2:$K$101,MATCH(TRIM(B792&amp;""),설정_코드표!$J$2:$J$101,0)),"⚠"&amp;TRIM(B792&amp;"")))</f>
        <v/>
      </c>
      <c r="S792" s="10">
        <f>IF(TRIM(K792&amp;"")="","",IFERROR(INDEX(설정_코드표!$K$2:$K$101,MATCH(TRIM(K792&amp;""),설정_코드표!$J$2:$J$101,0)),"⚠"&amp;TRIM(K792&amp;"")))</f>
        <v/>
      </c>
      <c r="T792" s="10">
        <f>IF(TRIM(M792&amp;"")="","",IF(ISNUMBER(MATCH(TRIM(M792&amp;""),설정_코드표!$C$2:$C$11,0)),TRIM(M792&amp;""),"⚠"&amp;TRIM(M792&amp;"")))</f>
        <v/>
      </c>
      <c r="U792" s="10">
        <f>IF(TRIM(L792&amp;"")="","",IFERROR(INDEX(설정_코드표!$G$2:$G$101,MATCH(TRIM(L792&amp;""),설정_코드표!$F$2:$F$101,0)),"⚠"&amp;TRIM(L792&amp;"")))</f>
        <v/>
      </c>
      <c r="V792" s="10">
        <f>IF(AND(ISNUMBER(H792),ISNUMBER(I792)),I792-H792+1,"")</f>
        <v/>
      </c>
      <c r="W792" s="17">
        <f>IF(ISNUMBER(H792),MAX(0,MIN(IF(ISNUMBER(I792),I792,EOMONTH(출력_요약!$B$3,0)),EOMONTH(출력_요약!$B$3,0))-MAX(H792,출력_요약!$B$3)+1),0)</f>
        <v/>
      </c>
      <c r="X792" s="10">
        <f>IF(OR(NOT(ISNUMBER(H792)),Q792=""),"",IF(TODAY()&lt;H792,"파견예정",IF(AND(ISNUMBER(I792),TODAY()&gt;I792),"파견종료","파견중")))</f>
        <v/>
      </c>
      <c r="Y792" s="10">
        <f>IF(OR(Q792="",X792=""),"",Q792&amp;"|"&amp;X792)</f>
        <v/>
      </c>
      <c r="Z792" s="10">
        <f>IF(AND(Q792&lt;&gt;"",W792&gt;0),Q792&amp;"|월","")</f>
        <v/>
      </c>
      <c r="AA792" s="10">
        <f>IF(COUNTA(B792:I792,K792:N792)=0,"",IF(Q792="","등록번호 없음",IF(LEFT(R792,1)="⚠","모병원명 미등록",IF(S792="","파견병원 입력",IF(LEFT(S792,1)="⚠","파견병원명 미등록",IF(LEFT(U792,1)="⚠","파견과목 미등록",IF(OR(T792="",LEFT(T792,1)="⚠"),"파견근거 확인",IF(NOT(AND(ISNUMBER(H792),ISNUMBER(I792))),"날짜 형식/누락",IF(I792&lt;H792,"종료일&lt;시작일","")))))))))</f>
        <v/>
      </c>
      <c r="AB792" s="11">
        <f>IF(ISNUMBER(SEARCH("다기관",TRIM(N792&amp;" "&amp;O792))),IFERROR(DATE(VALUE(MID(TRIM(N792&amp;" "&amp;O792),1,4)),VALUE(MID(TRIM(N792&amp;" "&amp;O792),6,2)),VALUE(MID(TRIM(N792&amp;" "&amp;O792),9,2))),IF(ISNUMBER(H792),H792,"")),"")</f>
        <v/>
      </c>
      <c r="AC792" s="11">
        <f>IF(ISNUMBER(SEARCH("다기관",TRIM(N792&amp;" "&amp;O792))),IFERROR(DATE(VALUE(MID(TRIM(N792&amp;" "&amp;O792),12,4)),VALUE(MID(TRIM(N792&amp;" "&amp;O792),17,2)),VALUE(MID(TRIM(N792&amp;" "&amp;O792),20,2))),IF(ISNUMBER(I792),I792,"")),"")</f>
        <v/>
      </c>
      <c r="AD792" s="17">
        <f>IF(AND(ISNUMBER(AB792),ISNUMBER(AC792)),MAX(0,MIN(AC792,EOMONTH(출력_요약!$B$3,0))-MAX(AB792,출력_요약!$B$3)+1),0)</f>
        <v/>
      </c>
      <c r="AE792" s="10">
        <f>IF(AND(Q792&lt;&gt;"",ISNUMBER(AB792)),Q792&amp;"|다기관","")</f>
        <v/>
      </c>
    </row>
    <row r="793">
      <c r="A793" s="15">
        <f>IF(F793="","",ROW()-3)</f>
        <v/>
      </c>
      <c r="B793" s="5" t="n"/>
      <c r="C793" s="15" t="n"/>
      <c r="D793" s="5" t="n"/>
      <c r="E793" s="15" t="n"/>
      <c r="F793" s="5" t="n"/>
      <c r="G793" s="6" t="n"/>
      <c r="H793" s="16" t="n"/>
      <c r="I793" s="16" t="n"/>
      <c r="J793" s="15">
        <f>IF(AND(ISNUMBER(H793),ISNUMBER(I793)),I793-H793+1,"")</f>
        <v/>
      </c>
      <c r="K793" s="5" t="n"/>
      <c r="L793" s="5" t="n"/>
      <c r="M793" s="5" t="n"/>
      <c r="N793" s="5" t="n"/>
      <c r="O793" s="5" t="n"/>
      <c r="Q793" s="10">
        <f>IF(TRIM(G793&amp;"")="","",TRIM(G793&amp;""))</f>
        <v/>
      </c>
      <c r="R793" s="10">
        <f>IF(TRIM(B793&amp;"")="","",IFERROR(INDEX(설정_코드표!$K$2:$K$101,MATCH(TRIM(B793&amp;""),설정_코드표!$J$2:$J$101,0)),"⚠"&amp;TRIM(B793&amp;"")))</f>
        <v/>
      </c>
      <c r="S793" s="10">
        <f>IF(TRIM(K793&amp;"")="","",IFERROR(INDEX(설정_코드표!$K$2:$K$101,MATCH(TRIM(K793&amp;""),설정_코드표!$J$2:$J$101,0)),"⚠"&amp;TRIM(K793&amp;"")))</f>
        <v/>
      </c>
      <c r="T793" s="10">
        <f>IF(TRIM(M793&amp;"")="","",IF(ISNUMBER(MATCH(TRIM(M793&amp;""),설정_코드표!$C$2:$C$11,0)),TRIM(M793&amp;""),"⚠"&amp;TRIM(M793&amp;"")))</f>
        <v/>
      </c>
      <c r="U793" s="10">
        <f>IF(TRIM(L793&amp;"")="","",IFERROR(INDEX(설정_코드표!$G$2:$G$101,MATCH(TRIM(L793&amp;""),설정_코드표!$F$2:$F$101,0)),"⚠"&amp;TRIM(L793&amp;"")))</f>
        <v/>
      </c>
      <c r="V793" s="10">
        <f>IF(AND(ISNUMBER(H793),ISNUMBER(I793)),I793-H793+1,"")</f>
        <v/>
      </c>
      <c r="W793" s="17">
        <f>IF(ISNUMBER(H793),MAX(0,MIN(IF(ISNUMBER(I793),I793,EOMONTH(출력_요약!$B$3,0)),EOMONTH(출력_요약!$B$3,0))-MAX(H793,출력_요약!$B$3)+1),0)</f>
        <v/>
      </c>
      <c r="X793" s="10">
        <f>IF(OR(NOT(ISNUMBER(H793)),Q793=""),"",IF(TODAY()&lt;H793,"파견예정",IF(AND(ISNUMBER(I793),TODAY()&gt;I793),"파견종료","파견중")))</f>
        <v/>
      </c>
      <c r="Y793" s="10">
        <f>IF(OR(Q793="",X793=""),"",Q793&amp;"|"&amp;X793)</f>
        <v/>
      </c>
      <c r="Z793" s="10">
        <f>IF(AND(Q793&lt;&gt;"",W793&gt;0),Q793&amp;"|월","")</f>
        <v/>
      </c>
      <c r="AA793" s="10">
        <f>IF(COUNTA(B793:I793,K793:N793)=0,"",IF(Q793="","등록번호 없음",IF(LEFT(R793,1)="⚠","모병원명 미등록",IF(S793="","파견병원 입력",IF(LEFT(S793,1)="⚠","파견병원명 미등록",IF(LEFT(U793,1)="⚠","파견과목 미등록",IF(OR(T793="",LEFT(T793,1)="⚠"),"파견근거 확인",IF(NOT(AND(ISNUMBER(H793),ISNUMBER(I793))),"날짜 형식/누락",IF(I793&lt;H793,"종료일&lt;시작일","")))))))))</f>
        <v/>
      </c>
      <c r="AB793" s="11">
        <f>IF(ISNUMBER(SEARCH("다기관",TRIM(N793&amp;" "&amp;O793))),IFERROR(DATE(VALUE(MID(TRIM(N793&amp;" "&amp;O793),1,4)),VALUE(MID(TRIM(N793&amp;" "&amp;O793),6,2)),VALUE(MID(TRIM(N793&amp;" "&amp;O793),9,2))),IF(ISNUMBER(H793),H793,"")),"")</f>
        <v/>
      </c>
      <c r="AC793" s="11">
        <f>IF(ISNUMBER(SEARCH("다기관",TRIM(N793&amp;" "&amp;O793))),IFERROR(DATE(VALUE(MID(TRIM(N793&amp;" "&amp;O793),12,4)),VALUE(MID(TRIM(N793&amp;" "&amp;O793),17,2)),VALUE(MID(TRIM(N793&amp;" "&amp;O793),20,2))),IF(ISNUMBER(I793),I793,"")),"")</f>
        <v/>
      </c>
      <c r="AD793" s="17">
        <f>IF(AND(ISNUMBER(AB793),ISNUMBER(AC793)),MAX(0,MIN(AC793,EOMONTH(출력_요약!$B$3,0))-MAX(AB793,출력_요약!$B$3)+1),0)</f>
        <v/>
      </c>
      <c r="AE793" s="10">
        <f>IF(AND(Q793&lt;&gt;"",ISNUMBER(AB793)),Q793&amp;"|다기관","")</f>
        <v/>
      </c>
    </row>
    <row r="794">
      <c r="A794" s="15">
        <f>IF(F794="","",ROW()-3)</f>
        <v/>
      </c>
      <c r="B794" s="5" t="n"/>
      <c r="C794" s="15" t="n"/>
      <c r="D794" s="5" t="n"/>
      <c r="E794" s="15" t="n"/>
      <c r="F794" s="5" t="n"/>
      <c r="G794" s="6" t="n"/>
      <c r="H794" s="16" t="n"/>
      <c r="I794" s="16" t="n"/>
      <c r="J794" s="15">
        <f>IF(AND(ISNUMBER(H794),ISNUMBER(I794)),I794-H794+1,"")</f>
        <v/>
      </c>
      <c r="K794" s="5" t="n"/>
      <c r="L794" s="5" t="n"/>
      <c r="M794" s="5" t="n"/>
      <c r="N794" s="5" t="n"/>
      <c r="O794" s="5" t="n"/>
      <c r="Q794" s="10">
        <f>IF(TRIM(G794&amp;"")="","",TRIM(G794&amp;""))</f>
        <v/>
      </c>
      <c r="R794" s="10">
        <f>IF(TRIM(B794&amp;"")="","",IFERROR(INDEX(설정_코드표!$K$2:$K$101,MATCH(TRIM(B794&amp;""),설정_코드표!$J$2:$J$101,0)),"⚠"&amp;TRIM(B794&amp;"")))</f>
        <v/>
      </c>
      <c r="S794" s="10">
        <f>IF(TRIM(K794&amp;"")="","",IFERROR(INDEX(설정_코드표!$K$2:$K$101,MATCH(TRIM(K794&amp;""),설정_코드표!$J$2:$J$101,0)),"⚠"&amp;TRIM(K794&amp;"")))</f>
        <v/>
      </c>
      <c r="T794" s="10">
        <f>IF(TRIM(M794&amp;"")="","",IF(ISNUMBER(MATCH(TRIM(M794&amp;""),설정_코드표!$C$2:$C$11,0)),TRIM(M794&amp;""),"⚠"&amp;TRIM(M794&amp;"")))</f>
        <v/>
      </c>
      <c r="U794" s="10">
        <f>IF(TRIM(L794&amp;"")="","",IFERROR(INDEX(설정_코드표!$G$2:$G$101,MATCH(TRIM(L794&amp;""),설정_코드표!$F$2:$F$101,0)),"⚠"&amp;TRIM(L794&amp;"")))</f>
        <v/>
      </c>
      <c r="V794" s="10">
        <f>IF(AND(ISNUMBER(H794),ISNUMBER(I794)),I794-H794+1,"")</f>
        <v/>
      </c>
      <c r="W794" s="17">
        <f>IF(ISNUMBER(H794),MAX(0,MIN(IF(ISNUMBER(I794),I794,EOMONTH(출력_요약!$B$3,0)),EOMONTH(출력_요약!$B$3,0))-MAX(H794,출력_요약!$B$3)+1),0)</f>
        <v/>
      </c>
      <c r="X794" s="10">
        <f>IF(OR(NOT(ISNUMBER(H794)),Q794=""),"",IF(TODAY()&lt;H794,"파견예정",IF(AND(ISNUMBER(I794),TODAY()&gt;I794),"파견종료","파견중")))</f>
        <v/>
      </c>
      <c r="Y794" s="10">
        <f>IF(OR(Q794="",X794=""),"",Q794&amp;"|"&amp;X794)</f>
        <v/>
      </c>
      <c r="Z794" s="10">
        <f>IF(AND(Q794&lt;&gt;"",W794&gt;0),Q794&amp;"|월","")</f>
        <v/>
      </c>
      <c r="AA794" s="10">
        <f>IF(COUNTA(B794:I794,K794:N794)=0,"",IF(Q794="","등록번호 없음",IF(LEFT(R794,1)="⚠","모병원명 미등록",IF(S794="","파견병원 입력",IF(LEFT(S794,1)="⚠","파견병원명 미등록",IF(LEFT(U794,1)="⚠","파견과목 미등록",IF(OR(T794="",LEFT(T794,1)="⚠"),"파견근거 확인",IF(NOT(AND(ISNUMBER(H794),ISNUMBER(I794))),"날짜 형식/누락",IF(I794&lt;H794,"종료일&lt;시작일","")))))))))</f>
        <v/>
      </c>
      <c r="AB794" s="11">
        <f>IF(ISNUMBER(SEARCH("다기관",TRIM(N794&amp;" "&amp;O794))),IFERROR(DATE(VALUE(MID(TRIM(N794&amp;" "&amp;O794),1,4)),VALUE(MID(TRIM(N794&amp;" "&amp;O794),6,2)),VALUE(MID(TRIM(N794&amp;" "&amp;O794),9,2))),IF(ISNUMBER(H794),H794,"")),"")</f>
        <v/>
      </c>
      <c r="AC794" s="11">
        <f>IF(ISNUMBER(SEARCH("다기관",TRIM(N794&amp;" "&amp;O794))),IFERROR(DATE(VALUE(MID(TRIM(N794&amp;" "&amp;O794),12,4)),VALUE(MID(TRIM(N794&amp;" "&amp;O794),17,2)),VALUE(MID(TRIM(N794&amp;" "&amp;O794),20,2))),IF(ISNUMBER(I794),I794,"")),"")</f>
        <v/>
      </c>
      <c r="AD794" s="17">
        <f>IF(AND(ISNUMBER(AB794),ISNUMBER(AC794)),MAX(0,MIN(AC794,EOMONTH(출력_요약!$B$3,0))-MAX(AB794,출력_요약!$B$3)+1),0)</f>
        <v/>
      </c>
      <c r="AE794" s="10">
        <f>IF(AND(Q794&lt;&gt;"",ISNUMBER(AB794)),Q794&amp;"|다기관","")</f>
        <v/>
      </c>
    </row>
    <row r="795">
      <c r="A795" s="15">
        <f>IF(F795="","",ROW()-3)</f>
        <v/>
      </c>
      <c r="B795" s="5" t="n"/>
      <c r="C795" s="15" t="n"/>
      <c r="D795" s="5" t="n"/>
      <c r="E795" s="15" t="n"/>
      <c r="F795" s="5" t="n"/>
      <c r="G795" s="6" t="n"/>
      <c r="H795" s="16" t="n"/>
      <c r="I795" s="16" t="n"/>
      <c r="J795" s="15">
        <f>IF(AND(ISNUMBER(H795),ISNUMBER(I795)),I795-H795+1,"")</f>
        <v/>
      </c>
      <c r="K795" s="5" t="n"/>
      <c r="L795" s="5" t="n"/>
      <c r="M795" s="5" t="n"/>
      <c r="N795" s="5" t="n"/>
      <c r="O795" s="5" t="n"/>
      <c r="Q795" s="10">
        <f>IF(TRIM(G795&amp;"")="","",TRIM(G795&amp;""))</f>
        <v/>
      </c>
      <c r="R795" s="10">
        <f>IF(TRIM(B795&amp;"")="","",IFERROR(INDEX(설정_코드표!$K$2:$K$101,MATCH(TRIM(B795&amp;""),설정_코드표!$J$2:$J$101,0)),"⚠"&amp;TRIM(B795&amp;"")))</f>
        <v/>
      </c>
      <c r="S795" s="10">
        <f>IF(TRIM(K795&amp;"")="","",IFERROR(INDEX(설정_코드표!$K$2:$K$101,MATCH(TRIM(K795&amp;""),설정_코드표!$J$2:$J$101,0)),"⚠"&amp;TRIM(K795&amp;"")))</f>
        <v/>
      </c>
      <c r="T795" s="10">
        <f>IF(TRIM(M795&amp;"")="","",IF(ISNUMBER(MATCH(TRIM(M795&amp;""),설정_코드표!$C$2:$C$11,0)),TRIM(M795&amp;""),"⚠"&amp;TRIM(M795&amp;"")))</f>
        <v/>
      </c>
      <c r="U795" s="10">
        <f>IF(TRIM(L795&amp;"")="","",IFERROR(INDEX(설정_코드표!$G$2:$G$101,MATCH(TRIM(L795&amp;""),설정_코드표!$F$2:$F$101,0)),"⚠"&amp;TRIM(L795&amp;"")))</f>
        <v/>
      </c>
      <c r="V795" s="10">
        <f>IF(AND(ISNUMBER(H795),ISNUMBER(I795)),I795-H795+1,"")</f>
        <v/>
      </c>
      <c r="W795" s="17">
        <f>IF(ISNUMBER(H795),MAX(0,MIN(IF(ISNUMBER(I795),I795,EOMONTH(출력_요약!$B$3,0)),EOMONTH(출력_요약!$B$3,0))-MAX(H795,출력_요약!$B$3)+1),0)</f>
        <v/>
      </c>
      <c r="X795" s="10">
        <f>IF(OR(NOT(ISNUMBER(H795)),Q795=""),"",IF(TODAY()&lt;H795,"파견예정",IF(AND(ISNUMBER(I795),TODAY()&gt;I795),"파견종료","파견중")))</f>
        <v/>
      </c>
      <c r="Y795" s="10">
        <f>IF(OR(Q795="",X795=""),"",Q795&amp;"|"&amp;X795)</f>
        <v/>
      </c>
      <c r="Z795" s="10">
        <f>IF(AND(Q795&lt;&gt;"",W795&gt;0),Q795&amp;"|월","")</f>
        <v/>
      </c>
      <c r="AA795" s="10">
        <f>IF(COUNTA(B795:I795,K795:N795)=0,"",IF(Q795="","등록번호 없음",IF(LEFT(R795,1)="⚠","모병원명 미등록",IF(S795="","파견병원 입력",IF(LEFT(S795,1)="⚠","파견병원명 미등록",IF(LEFT(U795,1)="⚠","파견과목 미등록",IF(OR(T795="",LEFT(T795,1)="⚠"),"파견근거 확인",IF(NOT(AND(ISNUMBER(H795),ISNUMBER(I795))),"날짜 형식/누락",IF(I795&lt;H795,"종료일&lt;시작일","")))))))))</f>
        <v/>
      </c>
      <c r="AB795" s="11">
        <f>IF(ISNUMBER(SEARCH("다기관",TRIM(N795&amp;" "&amp;O795))),IFERROR(DATE(VALUE(MID(TRIM(N795&amp;" "&amp;O795),1,4)),VALUE(MID(TRIM(N795&amp;" "&amp;O795),6,2)),VALUE(MID(TRIM(N795&amp;" "&amp;O795),9,2))),IF(ISNUMBER(H795),H795,"")),"")</f>
        <v/>
      </c>
      <c r="AC795" s="11">
        <f>IF(ISNUMBER(SEARCH("다기관",TRIM(N795&amp;" "&amp;O795))),IFERROR(DATE(VALUE(MID(TRIM(N795&amp;" "&amp;O795),12,4)),VALUE(MID(TRIM(N795&amp;" "&amp;O795),17,2)),VALUE(MID(TRIM(N795&amp;" "&amp;O795),20,2))),IF(ISNUMBER(I795),I795,"")),"")</f>
        <v/>
      </c>
      <c r="AD795" s="17">
        <f>IF(AND(ISNUMBER(AB795),ISNUMBER(AC795)),MAX(0,MIN(AC795,EOMONTH(출력_요약!$B$3,0))-MAX(AB795,출력_요약!$B$3)+1),0)</f>
        <v/>
      </c>
      <c r="AE795" s="10">
        <f>IF(AND(Q795&lt;&gt;"",ISNUMBER(AB795)),Q795&amp;"|다기관","")</f>
        <v/>
      </c>
    </row>
    <row r="796">
      <c r="A796" s="15">
        <f>IF(F796="","",ROW()-3)</f>
        <v/>
      </c>
      <c r="B796" s="5" t="n"/>
      <c r="C796" s="15" t="n"/>
      <c r="D796" s="5" t="n"/>
      <c r="E796" s="15" t="n"/>
      <c r="F796" s="5" t="n"/>
      <c r="G796" s="6" t="n"/>
      <c r="H796" s="16" t="n"/>
      <c r="I796" s="16" t="n"/>
      <c r="J796" s="15">
        <f>IF(AND(ISNUMBER(H796),ISNUMBER(I796)),I796-H796+1,"")</f>
        <v/>
      </c>
      <c r="K796" s="5" t="n"/>
      <c r="L796" s="5" t="n"/>
      <c r="M796" s="5" t="n"/>
      <c r="N796" s="5" t="n"/>
      <c r="O796" s="5" t="n"/>
      <c r="Q796" s="10">
        <f>IF(TRIM(G796&amp;"")="","",TRIM(G796&amp;""))</f>
        <v/>
      </c>
      <c r="R796" s="10">
        <f>IF(TRIM(B796&amp;"")="","",IFERROR(INDEX(설정_코드표!$K$2:$K$101,MATCH(TRIM(B796&amp;""),설정_코드표!$J$2:$J$101,0)),"⚠"&amp;TRIM(B796&amp;"")))</f>
        <v/>
      </c>
      <c r="S796" s="10">
        <f>IF(TRIM(K796&amp;"")="","",IFERROR(INDEX(설정_코드표!$K$2:$K$101,MATCH(TRIM(K796&amp;""),설정_코드표!$J$2:$J$101,0)),"⚠"&amp;TRIM(K796&amp;"")))</f>
        <v/>
      </c>
      <c r="T796" s="10">
        <f>IF(TRIM(M796&amp;"")="","",IF(ISNUMBER(MATCH(TRIM(M796&amp;""),설정_코드표!$C$2:$C$11,0)),TRIM(M796&amp;""),"⚠"&amp;TRIM(M796&amp;"")))</f>
        <v/>
      </c>
      <c r="U796" s="10">
        <f>IF(TRIM(L796&amp;"")="","",IFERROR(INDEX(설정_코드표!$G$2:$G$101,MATCH(TRIM(L796&amp;""),설정_코드표!$F$2:$F$101,0)),"⚠"&amp;TRIM(L796&amp;"")))</f>
        <v/>
      </c>
      <c r="V796" s="10">
        <f>IF(AND(ISNUMBER(H796),ISNUMBER(I796)),I796-H796+1,"")</f>
        <v/>
      </c>
      <c r="W796" s="17">
        <f>IF(ISNUMBER(H796),MAX(0,MIN(IF(ISNUMBER(I796),I796,EOMONTH(출력_요약!$B$3,0)),EOMONTH(출력_요약!$B$3,0))-MAX(H796,출력_요약!$B$3)+1),0)</f>
        <v/>
      </c>
      <c r="X796" s="10">
        <f>IF(OR(NOT(ISNUMBER(H796)),Q796=""),"",IF(TODAY()&lt;H796,"파견예정",IF(AND(ISNUMBER(I796),TODAY()&gt;I796),"파견종료","파견중")))</f>
        <v/>
      </c>
      <c r="Y796" s="10">
        <f>IF(OR(Q796="",X796=""),"",Q796&amp;"|"&amp;X796)</f>
        <v/>
      </c>
      <c r="Z796" s="10">
        <f>IF(AND(Q796&lt;&gt;"",W796&gt;0),Q796&amp;"|월","")</f>
        <v/>
      </c>
      <c r="AA796" s="10">
        <f>IF(COUNTA(B796:I796,K796:N796)=0,"",IF(Q796="","등록번호 없음",IF(LEFT(R796,1)="⚠","모병원명 미등록",IF(S796="","파견병원 입력",IF(LEFT(S796,1)="⚠","파견병원명 미등록",IF(LEFT(U796,1)="⚠","파견과목 미등록",IF(OR(T796="",LEFT(T796,1)="⚠"),"파견근거 확인",IF(NOT(AND(ISNUMBER(H796),ISNUMBER(I796))),"날짜 형식/누락",IF(I796&lt;H796,"종료일&lt;시작일","")))))))))</f>
        <v/>
      </c>
      <c r="AB796" s="11">
        <f>IF(ISNUMBER(SEARCH("다기관",TRIM(N796&amp;" "&amp;O796))),IFERROR(DATE(VALUE(MID(TRIM(N796&amp;" "&amp;O796),1,4)),VALUE(MID(TRIM(N796&amp;" "&amp;O796),6,2)),VALUE(MID(TRIM(N796&amp;" "&amp;O796),9,2))),IF(ISNUMBER(H796),H796,"")),"")</f>
        <v/>
      </c>
      <c r="AC796" s="11">
        <f>IF(ISNUMBER(SEARCH("다기관",TRIM(N796&amp;" "&amp;O796))),IFERROR(DATE(VALUE(MID(TRIM(N796&amp;" "&amp;O796),12,4)),VALUE(MID(TRIM(N796&amp;" "&amp;O796),17,2)),VALUE(MID(TRIM(N796&amp;" "&amp;O796),20,2))),IF(ISNUMBER(I796),I796,"")),"")</f>
        <v/>
      </c>
      <c r="AD796" s="17">
        <f>IF(AND(ISNUMBER(AB796),ISNUMBER(AC796)),MAX(0,MIN(AC796,EOMONTH(출력_요약!$B$3,0))-MAX(AB796,출력_요약!$B$3)+1),0)</f>
        <v/>
      </c>
      <c r="AE796" s="10">
        <f>IF(AND(Q796&lt;&gt;"",ISNUMBER(AB796)),Q796&amp;"|다기관","")</f>
        <v/>
      </c>
    </row>
    <row r="797">
      <c r="A797" s="15">
        <f>IF(F797="","",ROW()-3)</f>
        <v/>
      </c>
      <c r="B797" s="5" t="n"/>
      <c r="C797" s="15" t="n"/>
      <c r="D797" s="5" t="n"/>
      <c r="E797" s="15" t="n"/>
      <c r="F797" s="5" t="n"/>
      <c r="G797" s="6" t="n"/>
      <c r="H797" s="16" t="n"/>
      <c r="I797" s="16" t="n"/>
      <c r="J797" s="15">
        <f>IF(AND(ISNUMBER(H797),ISNUMBER(I797)),I797-H797+1,"")</f>
        <v/>
      </c>
      <c r="K797" s="5" t="n"/>
      <c r="L797" s="5" t="n"/>
      <c r="M797" s="5" t="n"/>
      <c r="N797" s="5" t="n"/>
      <c r="O797" s="5" t="n"/>
      <c r="Q797" s="10">
        <f>IF(TRIM(G797&amp;"")="","",TRIM(G797&amp;""))</f>
        <v/>
      </c>
      <c r="R797" s="10">
        <f>IF(TRIM(B797&amp;"")="","",IFERROR(INDEX(설정_코드표!$K$2:$K$101,MATCH(TRIM(B797&amp;""),설정_코드표!$J$2:$J$101,0)),"⚠"&amp;TRIM(B797&amp;"")))</f>
        <v/>
      </c>
      <c r="S797" s="10">
        <f>IF(TRIM(K797&amp;"")="","",IFERROR(INDEX(설정_코드표!$K$2:$K$101,MATCH(TRIM(K797&amp;""),설정_코드표!$J$2:$J$101,0)),"⚠"&amp;TRIM(K797&amp;"")))</f>
        <v/>
      </c>
      <c r="T797" s="10">
        <f>IF(TRIM(M797&amp;"")="","",IF(ISNUMBER(MATCH(TRIM(M797&amp;""),설정_코드표!$C$2:$C$11,0)),TRIM(M797&amp;""),"⚠"&amp;TRIM(M797&amp;"")))</f>
        <v/>
      </c>
      <c r="U797" s="10">
        <f>IF(TRIM(L797&amp;"")="","",IFERROR(INDEX(설정_코드표!$G$2:$G$101,MATCH(TRIM(L797&amp;""),설정_코드표!$F$2:$F$101,0)),"⚠"&amp;TRIM(L797&amp;"")))</f>
        <v/>
      </c>
      <c r="V797" s="10">
        <f>IF(AND(ISNUMBER(H797),ISNUMBER(I797)),I797-H797+1,"")</f>
        <v/>
      </c>
      <c r="W797" s="17">
        <f>IF(ISNUMBER(H797),MAX(0,MIN(IF(ISNUMBER(I797),I797,EOMONTH(출력_요약!$B$3,0)),EOMONTH(출력_요약!$B$3,0))-MAX(H797,출력_요약!$B$3)+1),0)</f>
        <v/>
      </c>
      <c r="X797" s="10">
        <f>IF(OR(NOT(ISNUMBER(H797)),Q797=""),"",IF(TODAY()&lt;H797,"파견예정",IF(AND(ISNUMBER(I797),TODAY()&gt;I797),"파견종료","파견중")))</f>
        <v/>
      </c>
      <c r="Y797" s="10">
        <f>IF(OR(Q797="",X797=""),"",Q797&amp;"|"&amp;X797)</f>
        <v/>
      </c>
      <c r="Z797" s="10">
        <f>IF(AND(Q797&lt;&gt;"",W797&gt;0),Q797&amp;"|월","")</f>
        <v/>
      </c>
      <c r="AA797" s="10">
        <f>IF(COUNTA(B797:I797,K797:N797)=0,"",IF(Q797="","등록번호 없음",IF(LEFT(R797,1)="⚠","모병원명 미등록",IF(S797="","파견병원 입력",IF(LEFT(S797,1)="⚠","파견병원명 미등록",IF(LEFT(U797,1)="⚠","파견과목 미등록",IF(OR(T797="",LEFT(T797,1)="⚠"),"파견근거 확인",IF(NOT(AND(ISNUMBER(H797),ISNUMBER(I797))),"날짜 형식/누락",IF(I797&lt;H797,"종료일&lt;시작일","")))))))))</f>
        <v/>
      </c>
      <c r="AB797" s="11">
        <f>IF(ISNUMBER(SEARCH("다기관",TRIM(N797&amp;" "&amp;O797))),IFERROR(DATE(VALUE(MID(TRIM(N797&amp;" "&amp;O797),1,4)),VALUE(MID(TRIM(N797&amp;" "&amp;O797),6,2)),VALUE(MID(TRIM(N797&amp;" "&amp;O797),9,2))),IF(ISNUMBER(H797),H797,"")),"")</f>
        <v/>
      </c>
      <c r="AC797" s="11">
        <f>IF(ISNUMBER(SEARCH("다기관",TRIM(N797&amp;" "&amp;O797))),IFERROR(DATE(VALUE(MID(TRIM(N797&amp;" "&amp;O797),12,4)),VALUE(MID(TRIM(N797&amp;" "&amp;O797),17,2)),VALUE(MID(TRIM(N797&amp;" "&amp;O797),20,2))),IF(ISNUMBER(I797),I797,"")),"")</f>
        <v/>
      </c>
      <c r="AD797" s="17">
        <f>IF(AND(ISNUMBER(AB797),ISNUMBER(AC797)),MAX(0,MIN(AC797,EOMONTH(출력_요약!$B$3,0))-MAX(AB797,출력_요약!$B$3)+1),0)</f>
        <v/>
      </c>
      <c r="AE797" s="10">
        <f>IF(AND(Q797&lt;&gt;"",ISNUMBER(AB797)),Q797&amp;"|다기관","")</f>
        <v/>
      </c>
    </row>
    <row r="798">
      <c r="A798" s="15">
        <f>IF(F798="","",ROW()-3)</f>
        <v/>
      </c>
      <c r="B798" s="5" t="n"/>
      <c r="C798" s="15" t="n"/>
      <c r="D798" s="5" t="n"/>
      <c r="E798" s="15" t="n"/>
      <c r="F798" s="5" t="n"/>
      <c r="G798" s="6" t="n"/>
      <c r="H798" s="16" t="n"/>
      <c r="I798" s="16" t="n"/>
      <c r="J798" s="15">
        <f>IF(AND(ISNUMBER(H798),ISNUMBER(I798)),I798-H798+1,"")</f>
        <v/>
      </c>
      <c r="K798" s="5" t="n"/>
      <c r="L798" s="5" t="n"/>
      <c r="M798" s="5" t="n"/>
      <c r="N798" s="5" t="n"/>
      <c r="O798" s="5" t="n"/>
      <c r="Q798" s="10">
        <f>IF(TRIM(G798&amp;"")="","",TRIM(G798&amp;""))</f>
        <v/>
      </c>
      <c r="R798" s="10">
        <f>IF(TRIM(B798&amp;"")="","",IFERROR(INDEX(설정_코드표!$K$2:$K$101,MATCH(TRIM(B798&amp;""),설정_코드표!$J$2:$J$101,0)),"⚠"&amp;TRIM(B798&amp;"")))</f>
        <v/>
      </c>
      <c r="S798" s="10">
        <f>IF(TRIM(K798&amp;"")="","",IFERROR(INDEX(설정_코드표!$K$2:$K$101,MATCH(TRIM(K798&amp;""),설정_코드표!$J$2:$J$101,0)),"⚠"&amp;TRIM(K798&amp;"")))</f>
        <v/>
      </c>
      <c r="T798" s="10">
        <f>IF(TRIM(M798&amp;"")="","",IF(ISNUMBER(MATCH(TRIM(M798&amp;""),설정_코드표!$C$2:$C$11,0)),TRIM(M798&amp;""),"⚠"&amp;TRIM(M798&amp;"")))</f>
        <v/>
      </c>
      <c r="U798" s="10">
        <f>IF(TRIM(L798&amp;"")="","",IFERROR(INDEX(설정_코드표!$G$2:$G$101,MATCH(TRIM(L798&amp;""),설정_코드표!$F$2:$F$101,0)),"⚠"&amp;TRIM(L798&amp;"")))</f>
        <v/>
      </c>
      <c r="V798" s="10">
        <f>IF(AND(ISNUMBER(H798),ISNUMBER(I798)),I798-H798+1,"")</f>
        <v/>
      </c>
      <c r="W798" s="17">
        <f>IF(ISNUMBER(H798),MAX(0,MIN(IF(ISNUMBER(I798),I798,EOMONTH(출력_요약!$B$3,0)),EOMONTH(출력_요약!$B$3,0))-MAX(H798,출력_요약!$B$3)+1),0)</f>
        <v/>
      </c>
      <c r="X798" s="10">
        <f>IF(OR(NOT(ISNUMBER(H798)),Q798=""),"",IF(TODAY()&lt;H798,"파견예정",IF(AND(ISNUMBER(I798),TODAY()&gt;I798),"파견종료","파견중")))</f>
        <v/>
      </c>
      <c r="Y798" s="10">
        <f>IF(OR(Q798="",X798=""),"",Q798&amp;"|"&amp;X798)</f>
        <v/>
      </c>
      <c r="Z798" s="10">
        <f>IF(AND(Q798&lt;&gt;"",W798&gt;0),Q798&amp;"|월","")</f>
        <v/>
      </c>
      <c r="AA798" s="10">
        <f>IF(COUNTA(B798:I798,K798:N798)=0,"",IF(Q798="","등록번호 없음",IF(LEFT(R798,1)="⚠","모병원명 미등록",IF(S798="","파견병원 입력",IF(LEFT(S798,1)="⚠","파견병원명 미등록",IF(LEFT(U798,1)="⚠","파견과목 미등록",IF(OR(T798="",LEFT(T798,1)="⚠"),"파견근거 확인",IF(NOT(AND(ISNUMBER(H798),ISNUMBER(I798))),"날짜 형식/누락",IF(I798&lt;H798,"종료일&lt;시작일","")))))))))</f>
        <v/>
      </c>
      <c r="AB798" s="11">
        <f>IF(ISNUMBER(SEARCH("다기관",TRIM(N798&amp;" "&amp;O798))),IFERROR(DATE(VALUE(MID(TRIM(N798&amp;" "&amp;O798),1,4)),VALUE(MID(TRIM(N798&amp;" "&amp;O798),6,2)),VALUE(MID(TRIM(N798&amp;" "&amp;O798),9,2))),IF(ISNUMBER(H798),H798,"")),"")</f>
        <v/>
      </c>
      <c r="AC798" s="11">
        <f>IF(ISNUMBER(SEARCH("다기관",TRIM(N798&amp;" "&amp;O798))),IFERROR(DATE(VALUE(MID(TRIM(N798&amp;" "&amp;O798),12,4)),VALUE(MID(TRIM(N798&amp;" "&amp;O798),17,2)),VALUE(MID(TRIM(N798&amp;" "&amp;O798),20,2))),IF(ISNUMBER(I798),I798,"")),"")</f>
        <v/>
      </c>
      <c r="AD798" s="17">
        <f>IF(AND(ISNUMBER(AB798),ISNUMBER(AC798)),MAX(0,MIN(AC798,EOMONTH(출력_요약!$B$3,0))-MAX(AB798,출력_요약!$B$3)+1),0)</f>
        <v/>
      </c>
      <c r="AE798" s="10">
        <f>IF(AND(Q798&lt;&gt;"",ISNUMBER(AB798)),Q798&amp;"|다기관","")</f>
        <v/>
      </c>
    </row>
    <row r="799">
      <c r="A799" s="15">
        <f>IF(F799="","",ROW()-3)</f>
        <v/>
      </c>
      <c r="B799" s="5" t="n"/>
      <c r="C799" s="15" t="n"/>
      <c r="D799" s="5" t="n"/>
      <c r="E799" s="15" t="n"/>
      <c r="F799" s="5" t="n"/>
      <c r="G799" s="6" t="n"/>
      <c r="H799" s="16" t="n"/>
      <c r="I799" s="16" t="n"/>
      <c r="J799" s="15">
        <f>IF(AND(ISNUMBER(H799),ISNUMBER(I799)),I799-H799+1,"")</f>
        <v/>
      </c>
      <c r="K799" s="5" t="n"/>
      <c r="L799" s="5" t="n"/>
      <c r="M799" s="5" t="n"/>
      <c r="N799" s="5" t="n"/>
      <c r="O799" s="5" t="n"/>
      <c r="Q799" s="10">
        <f>IF(TRIM(G799&amp;"")="","",TRIM(G799&amp;""))</f>
        <v/>
      </c>
      <c r="R799" s="10">
        <f>IF(TRIM(B799&amp;"")="","",IFERROR(INDEX(설정_코드표!$K$2:$K$101,MATCH(TRIM(B799&amp;""),설정_코드표!$J$2:$J$101,0)),"⚠"&amp;TRIM(B799&amp;"")))</f>
        <v/>
      </c>
      <c r="S799" s="10">
        <f>IF(TRIM(K799&amp;"")="","",IFERROR(INDEX(설정_코드표!$K$2:$K$101,MATCH(TRIM(K799&amp;""),설정_코드표!$J$2:$J$101,0)),"⚠"&amp;TRIM(K799&amp;"")))</f>
        <v/>
      </c>
      <c r="T799" s="10">
        <f>IF(TRIM(M799&amp;"")="","",IF(ISNUMBER(MATCH(TRIM(M799&amp;""),설정_코드표!$C$2:$C$11,0)),TRIM(M799&amp;""),"⚠"&amp;TRIM(M799&amp;"")))</f>
        <v/>
      </c>
      <c r="U799" s="10">
        <f>IF(TRIM(L799&amp;"")="","",IFERROR(INDEX(설정_코드표!$G$2:$G$101,MATCH(TRIM(L799&amp;""),설정_코드표!$F$2:$F$101,0)),"⚠"&amp;TRIM(L799&amp;"")))</f>
        <v/>
      </c>
      <c r="V799" s="10">
        <f>IF(AND(ISNUMBER(H799),ISNUMBER(I799)),I799-H799+1,"")</f>
        <v/>
      </c>
      <c r="W799" s="17">
        <f>IF(ISNUMBER(H799),MAX(0,MIN(IF(ISNUMBER(I799),I799,EOMONTH(출력_요약!$B$3,0)),EOMONTH(출력_요약!$B$3,0))-MAX(H799,출력_요약!$B$3)+1),0)</f>
        <v/>
      </c>
      <c r="X799" s="10">
        <f>IF(OR(NOT(ISNUMBER(H799)),Q799=""),"",IF(TODAY()&lt;H799,"파견예정",IF(AND(ISNUMBER(I799),TODAY()&gt;I799),"파견종료","파견중")))</f>
        <v/>
      </c>
      <c r="Y799" s="10">
        <f>IF(OR(Q799="",X799=""),"",Q799&amp;"|"&amp;X799)</f>
        <v/>
      </c>
      <c r="Z799" s="10">
        <f>IF(AND(Q799&lt;&gt;"",W799&gt;0),Q799&amp;"|월","")</f>
        <v/>
      </c>
      <c r="AA799" s="10">
        <f>IF(COUNTA(B799:I799,K799:N799)=0,"",IF(Q799="","등록번호 없음",IF(LEFT(R799,1)="⚠","모병원명 미등록",IF(S799="","파견병원 입력",IF(LEFT(S799,1)="⚠","파견병원명 미등록",IF(LEFT(U799,1)="⚠","파견과목 미등록",IF(OR(T799="",LEFT(T799,1)="⚠"),"파견근거 확인",IF(NOT(AND(ISNUMBER(H799),ISNUMBER(I799))),"날짜 형식/누락",IF(I799&lt;H799,"종료일&lt;시작일","")))))))))</f>
        <v/>
      </c>
      <c r="AB799" s="11">
        <f>IF(ISNUMBER(SEARCH("다기관",TRIM(N799&amp;" "&amp;O799))),IFERROR(DATE(VALUE(MID(TRIM(N799&amp;" "&amp;O799),1,4)),VALUE(MID(TRIM(N799&amp;" "&amp;O799),6,2)),VALUE(MID(TRIM(N799&amp;" "&amp;O799),9,2))),IF(ISNUMBER(H799),H799,"")),"")</f>
        <v/>
      </c>
      <c r="AC799" s="11">
        <f>IF(ISNUMBER(SEARCH("다기관",TRIM(N799&amp;" "&amp;O799))),IFERROR(DATE(VALUE(MID(TRIM(N799&amp;" "&amp;O799),12,4)),VALUE(MID(TRIM(N799&amp;" "&amp;O799),17,2)),VALUE(MID(TRIM(N799&amp;" "&amp;O799),20,2))),IF(ISNUMBER(I799),I799,"")),"")</f>
        <v/>
      </c>
      <c r="AD799" s="17">
        <f>IF(AND(ISNUMBER(AB799),ISNUMBER(AC799)),MAX(0,MIN(AC799,EOMONTH(출력_요약!$B$3,0))-MAX(AB799,출력_요약!$B$3)+1),0)</f>
        <v/>
      </c>
      <c r="AE799" s="10">
        <f>IF(AND(Q799&lt;&gt;"",ISNUMBER(AB799)),Q799&amp;"|다기관","")</f>
        <v/>
      </c>
    </row>
    <row r="800">
      <c r="A800" s="15">
        <f>IF(F800="","",ROW()-3)</f>
        <v/>
      </c>
      <c r="B800" s="5" t="n"/>
      <c r="C800" s="15" t="n"/>
      <c r="D800" s="5" t="n"/>
      <c r="E800" s="15" t="n"/>
      <c r="F800" s="5" t="n"/>
      <c r="G800" s="6" t="n"/>
      <c r="H800" s="16" t="n"/>
      <c r="I800" s="16" t="n"/>
      <c r="J800" s="15">
        <f>IF(AND(ISNUMBER(H800),ISNUMBER(I800)),I800-H800+1,"")</f>
        <v/>
      </c>
      <c r="K800" s="5" t="n"/>
      <c r="L800" s="5" t="n"/>
      <c r="M800" s="5" t="n"/>
      <c r="N800" s="5" t="n"/>
      <c r="O800" s="5" t="n"/>
      <c r="Q800" s="10">
        <f>IF(TRIM(G800&amp;"")="","",TRIM(G800&amp;""))</f>
        <v/>
      </c>
      <c r="R800" s="10">
        <f>IF(TRIM(B800&amp;"")="","",IFERROR(INDEX(설정_코드표!$K$2:$K$101,MATCH(TRIM(B800&amp;""),설정_코드표!$J$2:$J$101,0)),"⚠"&amp;TRIM(B800&amp;"")))</f>
        <v/>
      </c>
      <c r="S800" s="10">
        <f>IF(TRIM(K800&amp;"")="","",IFERROR(INDEX(설정_코드표!$K$2:$K$101,MATCH(TRIM(K800&amp;""),설정_코드표!$J$2:$J$101,0)),"⚠"&amp;TRIM(K800&amp;"")))</f>
        <v/>
      </c>
      <c r="T800" s="10">
        <f>IF(TRIM(M800&amp;"")="","",IF(ISNUMBER(MATCH(TRIM(M800&amp;""),설정_코드표!$C$2:$C$11,0)),TRIM(M800&amp;""),"⚠"&amp;TRIM(M800&amp;"")))</f>
        <v/>
      </c>
      <c r="U800" s="10">
        <f>IF(TRIM(L800&amp;"")="","",IFERROR(INDEX(설정_코드표!$G$2:$G$101,MATCH(TRIM(L800&amp;""),설정_코드표!$F$2:$F$101,0)),"⚠"&amp;TRIM(L800&amp;"")))</f>
        <v/>
      </c>
      <c r="V800" s="10">
        <f>IF(AND(ISNUMBER(H800),ISNUMBER(I800)),I800-H800+1,"")</f>
        <v/>
      </c>
      <c r="W800" s="17">
        <f>IF(ISNUMBER(H800),MAX(0,MIN(IF(ISNUMBER(I800),I800,EOMONTH(출력_요약!$B$3,0)),EOMONTH(출력_요약!$B$3,0))-MAX(H800,출력_요약!$B$3)+1),0)</f>
        <v/>
      </c>
      <c r="X800" s="10">
        <f>IF(OR(NOT(ISNUMBER(H800)),Q800=""),"",IF(TODAY()&lt;H800,"파견예정",IF(AND(ISNUMBER(I800),TODAY()&gt;I800),"파견종료","파견중")))</f>
        <v/>
      </c>
      <c r="Y800" s="10">
        <f>IF(OR(Q800="",X800=""),"",Q800&amp;"|"&amp;X800)</f>
        <v/>
      </c>
      <c r="Z800" s="10">
        <f>IF(AND(Q800&lt;&gt;"",W800&gt;0),Q800&amp;"|월","")</f>
        <v/>
      </c>
      <c r="AA800" s="10">
        <f>IF(COUNTA(B800:I800,K800:N800)=0,"",IF(Q800="","등록번호 없음",IF(LEFT(R800,1)="⚠","모병원명 미등록",IF(S800="","파견병원 입력",IF(LEFT(S800,1)="⚠","파견병원명 미등록",IF(LEFT(U800,1)="⚠","파견과목 미등록",IF(OR(T800="",LEFT(T800,1)="⚠"),"파견근거 확인",IF(NOT(AND(ISNUMBER(H800),ISNUMBER(I800))),"날짜 형식/누락",IF(I800&lt;H800,"종료일&lt;시작일","")))))))))</f>
        <v/>
      </c>
      <c r="AB800" s="11">
        <f>IF(ISNUMBER(SEARCH("다기관",TRIM(N800&amp;" "&amp;O800))),IFERROR(DATE(VALUE(MID(TRIM(N800&amp;" "&amp;O800),1,4)),VALUE(MID(TRIM(N800&amp;" "&amp;O800),6,2)),VALUE(MID(TRIM(N800&amp;" "&amp;O800),9,2))),IF(ISNUMBER(H800),H800,"")),"")</f>
        <v/>
      </c>
      <c r="AC800" s="11">
        <f>IF(ISNUMBER(SEARCH("다기관",TRIM(N800&amp;" "&amp;O800))),IFERROR(DATE(VALUE(MID(TRIM(N800&amp;" "&amp;O800),12,4)),VALUE(MID(TRIM(N800&amp;" "&amp;O800),17,2)),VALUE(MID(TRIM(N800&amp;" "&amp;O800),20,2))),IF(ISNUMBER(I800),I800,"")),"")</f>
        <v/>
      </c>
      <c r="AD800" s="17">
        <f>IF(AND(ISNUMBER(AB800),ISNUMBER(AC800)),MAX(0,MIN(AC800,EOMONTH(출력_요약!$B$3,0))-MAX(AB800,출력_요약!$B$3)+1),0)</f>
        <v/>
      </c>
      <c r="AE800" s="10">
        <f>IF(AND(Q800&lt;&gt;"",ISNUMBER(AB800)),Q800&amp;"|다기관","")</f>
        <v/>
      </c>
    </row>
    <row r="801">
      <c r="A801" s="15">
        <f>IF(F801="","",ROW()-3)</f>
        <v/>
      </c>
      <c r="B801" s="5" t="n"/>
      <c r="C801" s="15" t="n"/>
      <c r="D801" s="5" t="n"/>
      <c r="E801" s="15" t="n"/>
      <c r="F801" s="5" t="n"/>
      <c r="G801" s="6" t="n"/>
      <c r="H801" s="16" t="n"/>
      <c r="I801" s="16" t="n"/>
      <c r="J801" s="15">
        <f>IF(AND(ISNUMBER(H801),ISNUMBER(I801)),I801-H801+1,"")</f>
        <v/>
      </c>
      <c r="K801" s="5" t="n"/>
      <c r="L801" s="5" t="n"/>
      <c r="M801" s="5" t="n"/>
      <c r="N801" s="5" t="n"/>
      <c r="O801" s="5" t="n"/>
      <c r="Q801" s="10">
        <f>IF(TRIM(G801&amp;"")="","",TRIM(G801&amp;""))</f>
        <v/>
      </c>
      <c r="R801" s="10">
        <f>IF(TRIM(B801&amp;"")="","",IFERROR(INDEX(설정_코드표!$K$2:$K$101,MATCH(TRIM(B801&amp;""),설정_코드표!$J$2:$J$101,0)),"⚠"&amp;TRIM(B801&amp;"")))</f>
        <v/>
      </c>
      <c r="S801" s="10">
        <f>IF(TRIM(K801&amp;"")="","",IFERROR(INDEX(설정_코드표!$K$2:$K$101,MATCH(TRIM(K801&amp;""),설정_코드표!$J$2:$J$101,0)),"⚠"&amp;TRIM(K801&amp;"")))</f>
        <v/>
      </c>
      <c r="T801" s="10">
        <f>IF(TRIM(M801&amp;"")="","",IF(ISNUMBER(MATCH(TRIM(M801&amp;""),설정_코드표!$C$2:$C$11,0)),TRIM(M801&amp;""),"⚠"&amp;TRIM(M801&amp;"")))</f>
        <v/>
      </c>
      <c r="U801" s="10">
        <f>IF(TRIM(L801&amp;"")="","",IFERROR(INDEX(설정_코드표!$G$2:$G$101,MATCH(TRIM(L801&amp;""),설정_코드표!$F$2:$F$101,0)),"⚠"&amp;TRIM(L801&amp;"")))</f>
        <v/>
      </c>
      <c r="V801" s="10">
        <f>IF(AND(ISNUMBER(H801),ISNUMBER(I801)),I801-H801+1,"")</f>
        <v/>
      </c>
      <c r="W801" s="17">
        <f>IF(ISNUMBER(H801),MAX(0,MIN(IF(ISNUMBER(I801),I801,EOMONTH(출력_요약!$B$3,0)),EOMONTH(출력_요약!$B$3,0))-MAX(H801,출력_요약!$B$3)+1),0)</f>
        <v/>
      </c>
      <c r="X801" s="10">
        <f>IF(OR(NOT(ISNUMBER(H801)),Q801=""),"",IF(TODAY()&lt;H801,"파견예정",IF(AND(ISNUMBER(I801),TODAY()&gt;I801),"파견종료","파견중")))</f>
        <v/>
      </c>
      <c r="Y801" s="10">
        <f>IF(OR(Q801="",X801=""),"",Q801&amp;"|"&amp;X801)</f>
        <v/>
      </c>
      <c r="Z801" s="10">
        <f>IF(AND(Q801&lt;&gt;"",W801&gt;0),Q801&amp;"|월","")</f>
        <v/>
      </c>
      <c r="AA801" s="10">
        <f>IF(COUNTA(B801:I801,K801:N801)=0,"",IF(Q801="","등록번호 없음",IF(LEFT(R801,1)="⚠","모병원명 미등록",IF(S801="","파견병원 입력",IF(LEFT(S801,1)="⚠","파견병원명 미등록",IF(LEFT(U801,1)="⚠","파견과목 미등록",IF(OR(T801="",LEFT(T801,1)="⚠"),"파견근거 확인",IF(NOT(AND(ISNUMBER(H801),ISNUMBER(I801))),"날짜 형식/누락",IF(I801&lt;H801,"종료일&lt;시작일","")))))))))</f>
        <v/>
      </c>
      <c r="AB801" s="11">
        <f>IF(ISNUMBER(SEARCH("다기관",TRIM(N801&amp;" "&amp;O801))),IFERROR(DATE(VALUE(MID(TRIM(N801&amp;" "&amp;O801),1,4)),VALUE(MID(TRIM(N801&amp;" "&amp;O801),6,2)),VALUE(MID(TRIM(N801&amp;" "&amp;O801),9,2))),IF(ISNUMBER(H801),H801,"")),"")</f>
        <v/>
      </c>
      <c r="AC801" s="11">
        <f>IF(ISNUMBER(SEARCH("다기관",TRIM(N801&amp;" "&amp;O801))),IFERROR(DATE(VALUE(MID(TRIM(N801&amp;" "&amp;O801),12,4)),VALUE(MID(TRIM(N801&amp;" "&amp;O801),17,2)),VALUE(MID(TRIM(N801&amp;" "&amp;O801),20,2))),IF(ISNUMBER(I801),I801,"")),"")</f>
        <v/>
      </c>
      <c r="AD801" s="17">
        <f>IF(AND(ISNUMBER(AB801),ISNUMBER(AC801)),MAX(0,MIN(AC801,EOMONTH(출력_요약!$B$3,0))-MAX(AB801,출력_요약!$B$3)+1),0)</f>
        <v/>
      </c>
      <c r="AE801" s="10">
        <f>IF(AND(Q801&lt;&gt;"",ISNUMBER(AB801)),Q801&amp;"|다기관","")</f>
        <v/>
      </c>
    </row>
    <row r="802">
      <c r="A802" s="15">
        <f>IF(F802="","",ROW()-3)</f>
        <v/>
      </c>
      <c r="B802" s="5" t="n"/>
      <c r="C802" s="15" t="n"/>
      <c r="D802" s="5" t="n"/>
      <c r="E802" s="15" t="n"/>
      <c r="F802" s="5" t="n"/>
      <c r="G802" s="6" t="n"/>
      <c r="H802" s="16" t="n"/>
      <c r="I802" s="16" t="n"/>
      <c r="J802" s="15">
        <f>IF(AND(ISNUMBER(H802),ISNUMBER(I802)),I802-H802+1,"")</f>
        <v/>
      </c>
      <c r="K802" s="5" t="n"/>
      <c r="L802" s="5" t="n"/>
      <c r="M802" s="5" t="n"/>
      <c r="N802" s="5" t="n"/>
      <c r="O802" s="5" t="n"/>
      <c r="Q802" s="10">
        <f>IF(TRIM(G802&amp;"")="","",TRIM(G802&amp;""))</f>
        <v/>
      </c>
      <c r="R802" s="10">
        <f>IF(TRIM(B802&amp;"")="","",IFERROR(INDEX(설정_코드표!$K$2:$K$101,MATCH(TRIM(B802&amp;""),설정_코드표!$J$2:$J$101,0)),"⚠"&amp;TRIM(B802&amp;"")))</f>
        <v/>
      </c>
      <c r="S802" s="10">
        <f>IF(TRIM(K802&amp;"")="","",IFERROR(INDEX(설정_코드표!$K$2:$K$101,MATCH(TRIM(K802&amp;""),설정_코드표!$J$2:$J$101,0)),"⚠"&amp;TRIM(K802&amp;"")))</f>
        <v/>
      </c>
      <c r="T802" s="10">
        <f>IF(TRIM(M802&amp;"")="","",IF(ISNUMBER(MATCH(TRIM(M802&amp;""),설정_코드표!$C$2:$C$11,0)),TRIM(M802&amp;""),"⚠"&amp;TRIM(M802&amp;"")))</f>
        <v/>
      </c>
      <c r="U802" s="10">
        <f>IF(TRIM(L802&amp;"")="","",IFERROR(INDEX(설정_코드표!$G$2:$G$101,MATCH(TRIM(L802&amp;""),설정_코드표!$F$2:$F$101,0)),"⚠"&amp;TRIM(L802&amp;"")))</f>
        <v/>
      </c>
      <c r="V802" s="10">
        <f>IF(AND(ISNUMBER(H802),ISNUMBER(I802)),I802-H802+1,"")</f>
        <v/>
      </c>
      <c r="W802" s="17">
        <f>IF(ISNUMBER(H802),MAX(0,MIN(IF(ISNUMBER(I802),I802,EOMONTH(출력_요약!$B$3,0)),EOMONTH(출력_요약!$B$3,0))-MAX(H802,출력_요약!$B$3)+1),0)</f>
        <v/>
      </c>
      <c r="X802" s="10">
        <f>IF(OR(NOT(ISNUMBER(H802)),Q802=""),"",IF(TODAY()&lt;H802,"파견예정",IF(AND(ISNUMBER(I802),TODAY()&gt;I802),"파견종료","파견중")))</f>
        <v/>
      </c>
      <c r="Y802" s="10">
        <f>IF(OR(Q802="",X802=""),"",Q802&amp;"|"&amp;X802)</f>
        <v/>
      </c>
      <c r="Z802" s="10">
        <f>IF(AND(Q802&lt;&gt;"",W802&gt;0),Q802&amp;"|월","")</f>
        <v/>
      </c>
      <c r="AA802" s="10">
        <f>IF(COUNTA(B802:I802,K802:N802)=0,"",IF(Q802="","등록번호 없음",IF(LEFT(R802,1)="⚠","모병원명 미등록",IF(S802="","파견병원 입력",IF(LEFT(S802,1)="⚠","파견병원명 미등록",IF(LEFT(U802,1)="⚠","파견과목 미등록",IF(OR(T802="",LEFT(T802,1)="⚠"),"파견근거 확인",IF(NOT(AND(ISNUMBER(H802),ISNUMBER(I802))),"날짜 형식/누락",IF(I802&lt;H802,"종료일&lt;시작일","")))))))))</f>
        <v/>
      </c>
      <c r="AB802" s="11">
        <f>IF(ISNUMBER(SEARCH("다기관",TRIM(N802&amp;" "&amp;O802))),IFERROR(DATE(VALUE(MID(TRIM(N802&amp;" "&amp;O802),1,4)),VALUE(MID(TRIM(N802&amp;" "&amp;O802),6,2)),VALUE(MID(TRIM(N802&amp;" "&amp;O802),9,2))),IF(ISNUMBER(H802),H802,"")),"")</f>
        <v/>
      </c>
      <c r="AC802" s="11">
        <f>IF(ISNUMBER(SEARCH("다기관",TRIM(N802&amp;" "&amp;O802))),IFERROR(DATE(VALUE(MID(TRIM(N802&amp;" "&amp;O802),12,4)),VALUE(MID(TRIM(N802&amp;" "&amp;O802),17,2)),VALUE(MID(TRIM(N802&amp;" "&amp;O802),20,2))),IF(ISNUMBER(I802),I802,"")),"")</f>
        <v/>
      </c>
      <c r="AD802" s="17">
        <f>IF(AND(ISNUMBER(AB802),ISNUMBER(AC802)),MAX(0,MIN(AC802,EOMONTH(출력_요약!$B$3,0))-MAX(AB802,출력_요약!$B$3)+1),0)</f>
        <v/>
      </c>
      <c r="AE802" s="10">
        <f>IF(AND(Q802&lt;&gt;"",ISNUMBER(AB802)),Q802&amp;"|다기관","")</f>
        <v/>
      </c>
    </row>
    <row r="803">
      <c r="A803" s="15">
        <f>IF(F803="","",ROW()-3)</f>
        <v/>
      </c>
      <c r="B803" s="5" t="n"/>
      <c r="C803" s="15" t="n"/>
      <c r="D803" s="5" t="n"/>
      <c r="E803" s="15" t="n"/>
      <c r="F803" s="5" t="n"/>
      <c r="G803" s="6" t="n"/>
      <c r="H803" s="16" t="n"/>
      <c r="I803" s="16" t="n"/>
      <c r="J803" s="15">
        <f>IF(AND(ISNUMBER(H803),ISNUMBER(I803)),I803-H803+1,"")</f>
        <v/>
      </c>
      <c r="K803" s="5" t="n"/>
      <c r="L803" s="5" t="n"/>
      <c r="M803" s="5" t="n"/>
      <c r="N803" s="5" t="n"/>
      <c r="O803" s="5" t="n"/>
      <c r="Q803" s="10">
        <f>IF(TRIM(G803&amp;"")="","",TRIM(G803&amp;""))</f>
        <v/>
      </c>
      <c r="R803" s="10">
        <f>IF(TRIM(B803&amp;"")="","",IFERROR(INDEX(설정_코드표!$K$2:$K$101,MATCH(TRIM(B803&amp;""),설정_코드표!$J$2:$J$101,0)),"⚠"&amp;TRIM(B803&amp;"")))</f>
        <v/>
      </c>
      <c r="S803" s="10">
        <f>IF(TRIM(K803&amp;"")="","",IFERROR(INDEX(설정_코드표!$K$2:$K$101,MATCH(TRIM(K803&amp;""),설정_코드표!$J$2:$J$101,0)),"⚠"&amp;TRIM(K803&amp;"")))</f>
        <v/>
      </c>
      <c r="T803" s="10">
        <f>IF(TRIM(M803&amp;"")="","",IF(ISNUMBER(MATCH(TRIM(M803&amp;""),설정_코드표!$C$2:$C$11,0)),TRIM(M803&amp;""),"⚠"&amp;TRIM(M803&amp;"")))</f>
        <v/>
      </c>
      <c r="U803" s="10">
        <f>IF(TRIM(L803&amp;"")="","",IFERROR(INDEX(설정_코드표!$G$2:$G$101,MATCH(TRIM(L803&amp;""),설정_코드표!$F$2:$F$101,0)),"⚠"&amp;TRIM(L803&amp;"")))</f>
        <v/>
      </c>
      <c r="V803" s="10">
        <f>IF(AND(ISNUMBER(H803),ISNUMBER(I803)),I803-H803+1,"")</f>
        <v/>
      </c>
      <c r="W803" s="17">
        <f>IF(ISNUMBER(H803),MAX(0,MIN(IF(ISNUMBER(I803),I803,EOMONTH(출력_요약!$B$3,0)),EOMONTH(출력_요약!$B$3,0))-MAX(H803,출력_요약!$B$3)+1),0)</f>
        <v/>
      </c>
      <c r="X803" s="10">
        <f>IF(OR(NOT(ISNUMBER(H803)),Q803=""),"",IF(TODAY()&lt;H803,"파견예정",IF(AND(ISNUMBER(I803),TODAY()&gt;I803),"파견종료","파견중")))</f>
        <v/>
      </c>
      <c r="Y803" s="10">
        <f>IF(OR(Q803="",X803=""),"",Q803&amp;"|"&amp;X803)</f>
        <v/>
      </c>
      <c r="Z803" s="10">
        <f>IF(AND(Q803&lt;&gt;"",W803&gt;0),Q803&amp;"|월","")</f>
        <v/>
      </c>
      <c r="AA803" s="10">
        <f>IF(COUNTA(B803:I803,K803:N803)=0,"",IF(Q803="","등록번호 없음",IF(LEFT(R803,1)="⚠","모병원명 미등록",IF(S803="","파견병원 입력",IF(LEFT(S803,1)="⚠","파견병원명 미등록",IF(LEFT(U803,1)="⚠","파견과목 미등록",IF(OR(T803="",LEFT(T803,1)="⚠"),"파견근거 확인",IF(NOT(AND(ISNUMBER(H803),ISNUMBER(I803))),"날짜 형식/누락",IF(I803&lt;H803,"종료일&lt;시작일","")))))))))</f>
        <v/>
      </c>
      <c r="AB803" s="11">
        <f>IF(ISNUMBER(SEARCH("다기관",TRIM(N803&amp;" "&amp;O803))),IFERROR(DATE(VALUE(MID(TRIM(N803&amp;" "&amp;O803),1,4)),VALUE(MID(TRIM(N803&amp;" "&amp;O803),6,2)),VALUE(MID(TRIM(N803&amp;" "&amp;O803),9,2))),IF(ISNUMBER(H803),H803,"")),"")</f>
        <v/>
      </c>
      <c r="AC803" s="11">
        <f>IF(ISNUMBER(SEARCH("다기관",TRIM(N803&amp;" "&amp;O803))),IFERROR(DATE(VALUE(MID(TRIM(N803&amp;" "&amp;O803),12,4)),VALUE(MID(TRIM(N803&amp;" "&amp;O803),17,2)),VALUE(MID(TRIM(N803&amp;" "&amp;O803),20,2))),IF(ISNUMBER(I803),I803,"")),"")</f>
        <v/>
      </c>
      <c r="AD803" s="17">
        <f>IF(AND(ISNUMBER(AB803),ISNUMBER(AC803)),MAX(0,MIN(AC803,EOMONTH(출력_요약!$B$3,0))-MAX(AB803,출력_요약!$B$3)+1),0)</f>
        <v/>
      </c>
      <c r="AE803" s="10">
        <f>IF(AND(Q803&lt;&gt;"",ISNUMBER(AB803)),Q803&amp;"|다기관","")</f>
        <v/>
      </c>
    </row>
  </sheetData>
  <mergeCells count="14">
    <mergeCell ref="M1:M3"/>
    <mergeCell ref="N1:N3"/>
    <mergeCell ref="A1:A3"/>
    <mergeCell ref="D1:D3"/>
    <mergeCell ref="B1:B3"/>
    <mergeCell ref="G1:G3"/>
    <mergeCell ref="C1:C3"/>
    <mergeCell ref="F1:F3"/>
    <mergeCell ref="K1:K3"/>
    <mergeCell ref="H1:H3"/>
    <mergeCell ref="E1:E3"/>
    <mergeCell ref="I1:I3"/>
    <mergeCell ref="L1:L3"/>
    <mergeCell ref="J1:J3"/>
  </mergeCells>
  <conditionalFormatting sqref="A4:O803">
    <cfRule type="expression" priority="1" dxfId="0">
      <formula>$AA4&lt;&gt;""</formula>
    </cfRule>
  </conditionalFormatting>
  <conditionalFormatting sqref="R4:U803">
    <cfRule type="expression" priority="2" dxfId="2">
      <formula>LEFT(R4,1)="⚠"</formula>
    </cfRule>
  </conditionalFormatting>
  <conditionalFormatting sqref="AA4:AA803">
    <cfRule type="expression" priority="3" dxfId="2">
      <formula>$AA4&lt;&gt;""</formula>
    </cfRule>
  </conditionalFormatting>
  <dataValidations count="7">
    <dataValidation sqref="B4:B803" showDropDown="0" showInputMessage="0" showErrorMessage="1" allowBlank="1" errorTitle="등록되지 않은 값" error="병원명 목록에 없는 값입니다. 새로운 항목이면 '코드표' 시트에 먼저 추가한 뒤 입력하세요." type="list" errorStyle="stop">
      <formula1>=설정_코드표!$J$2:$J$101</formula1>
    </dataValidation>
    <dataValidation sqref="K4:K803" showDropDown="0" showInputMessage="0" showErrorMessage="1" allowBlank="1" errorTitle="등록되지 않은 값" error="병원명 목록에 없는 값입니다. 새로운 항목이면 '코드표' 시트에 먼저 추가한 뒤 입력하세요." type="list" errorStyle="stop">
      <formula1>=설정_코드표!$J$2:$J$101</formula1>
    </dataValidation>
    <dataValidation sqref="L4:L803" showDropDown="0" showInputMessage="0" showErrorMessage="1" allowBlank="1" errorTitle="등록되지 않은 값" error="진료과 목록에 없는 값입니다. 새로운 항목이면 '코드표' 시트에 먼저 추가한 뒤 입력하세요." type="list" errorStyle="stop">
      <formula1>=설정_코드표!$F$2:$F$101</formula1>
    </dataValidation>
    <dataValidation sqref="M4:M803" showDropDown="0" showInputMessage="0" showErrorMessage="1" allowBlank="1" errorTitle="등록되지 않은 값" error="파견근거 목록에 없는 값입니다. 새로운 항목이면 '코드표' 시트에 먼저 추가한 뒤 입력하세요." type="list" errorStyle="stop">
      <formula1>=설정_코드표!$C$2:$C$11</formula1>
    </dataValidation>
    <dataValidation sqref="C4:C803" showDropDown="0" showInputMessage="0" showErrorMessage="1" allowBlank="1" errorTitle="수련종별" error="I(인턴) 또는 R(레지던트)로 입력하세요." type="list">
      <formula1>"I,R"</formula1>
    </dataValidation>
    <dataValidation sqref="H4:I803" showDropDown="0" showInputMessage="0" showErrorMessage="1" allowBlank="1" errorTitle="날짜 형식" error="yyyy-mm-dd 형식의 날짜를 입력하세요." type="date" operator="greaterThan">
      <formula1>1900-01-01</formula1>
    </dataValidation>
    <dataValidation sqref="I4:I803" showDropDown="0" showInputMessage="0" showErrorMessage="1" allowBlank="1" errorTitle="종료일 오류" error="종료일은 시작일 이후여야 합니다." type="custom">
      <formula1>OR(I4="",H4="",I4&gt;=H4)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F5597"/>
    <outlinePr summaryBelow="1" summaryRight="1"/>
    <pageSetUpPr/>
  </sheetPr>
  <dimension ref="A1:GZ30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</cols>
  <sheetData>
    <row r="1">
      <c r="A1" s="1" t="inlineStr">
        <is>
          <t>전공의(모.자 파견) 근무자 명단</t>
        </is>
      </c>
    </row>
    <row r="2">
      <c r="A2" s="3" t="inlineStr">
        <is>
          <t>2026년도</t>
        </is>
      </c>
    </row>
    <row r="3" ht="44" customHeight="1">
      <c r="A3" s="12" t="inlineStr">
        <is>
          <t>소속</t>
        </is>
      </c>
      <c r="B3" s="12" t="inlineStr">
        <is>
          <t>년차</t>
        </is>
      </c>
      <c r="C3" s="12" t="inlineStr">
        <is>
          <t>2026년9월
근무예정자</t>
        </is>
      </c>
      <c r="D3" s="12" t="inlineStr">
        <is>
          <t>9월
근무자</t>
        </is>
      </c>
      <c r="E3" s="12" t="inlineStr">
        <is>
          <t>근무 시작일자
(시작일자 작성)</t>
        </is>
      </c>
      <c r="F3" s="12" t="inlineStr">
        <is>
          <t>근무 종료일자
(종료일자 작성)</t>
        </is>
      </c>
      <c r="G3" s="12" t="inlineStr">
        <is>
          <t>9월 휴가 스케줄
(휴가일 작성)</t>
        </is>
      </c>
      <c r="H3" s="12" t="inlineStr">
        <is>
          <t>비고</t>
        </is>
      </c>
      <c r="I3" s="12" t="inlineStr">
        <is>
          <t>2026년10월
근무예정자</t>
        </is>
      </c>
      <c r="J3" s="12" t="inlineStr">
        <is>
          <t>10월
근무자</t>
        </is>
      </c>
      <c r="K3" s="12" t="inlineStr">
        <is>
          <t>근무 시작일자
(시작일자 작성)</t>
        </is>
      </c>
      <c r="L3" s="12" t="inlineStr">
        <is>
          <t>근무 종료일자
(종료일자 작성)</t>
        </is>
      </c>
      <c r="M3" s="12" t="inlineStr">
        <is>
          <t>10월 휴가 스케줄
(휴가일 작성)</t>
        </is>
      </c>
      <c r="N3" s="12" t="inlineStr">
        <is>
          <t>비고</t>
        </is>
      </c>
      <c r="O3" s="12" t="inlineStr">
        <is>
          <t>2026년11월
근무예정자</t>
        </is>
      </c>
      <c r="P3" s="12" t="inlineStr">
        <is>
          <t>11월
근무자</t>
        </is>
      </c>
      <c r="Q3" s="12" t="inlineStr">
        <is>
          <t>근무 시작일자
(시작일자 작성)</t>
        </is>
      </c>
      <c r="R3" s="12" t="inlineStr">
        <is>
          <t>근무 종료일자
(종료일자 작성)</t>
        </is>
      </c>
      <c r="S3" s="12" t="inlineStr">
        <is>
          <t>11월 휴가 스케줄
(휴가일 작성)</t>
        </is>
      </c>
      <c r="T3" s="12" t="inlineStr">
        <is>
          <t>비고</t>
        </is>
      </c>
      <c r="U3" s="12" t="inlineStr">
        <is>
          <t>2026년12월
근무예정자</t>
        </is>
      </c>
      <c r="V3" s="12" t="inlineStr">
        <is>
          <t>12월
근무자</t>
        </is>
      </c>
      <c r="W3" s="12" t="inlineStr">
        <is>
          <t>근무 시작일자
(시작일자 작성)</t>
        </is>
      </c>
      <c r="X3" s="12" t="inlineStr">
        <is>
          <t>근무 종료일자
(종료일자 작성)</t>
        </is>
      </c>
      <c r="Y3" s="12" t="inlineStr">
        <is>
          <t>12월 휴가 스케줄
(휴가일 작성)</t>
        </is>
      </c>
      <c r="Z3" s="12" t="inlineStr">
        <is>
          <t>비고</t>
        </is>
      </c>
      <c r="AA3" s="12" t="inlineStr">
        <is>
          <t>2027년1월
근무예정자</t>
        </is>
      </c>
      <c r="AB3" s="12" t="inlineStr">
        <is>
          <t>1월
근무자</t>
        </is>
      </c>
      <c r="AC3" s="12" t="inlineStr">
        <is>
          <t>근무 시작일자
(시작일자 작성)</t>
        </is>
      </c>
      <c r="AD3" s="12" t="inlineStr">
        <is>
          <t>근무 종료일자
(종료일자 작성)</t>
        </is>
      </c>
      <c r="AE3" s="12" t="inlineStr">
        <is>
          <t>1월 휴가 스케줄
(휴가일 작성)</t>
        </is>
      </c>
      <c r="AF3" s="12" t="inlineStr">
        <is>
          <t>비고</t>
        </is>
      </c>
      <c r="AG3" s="12" t="inlineStr">
        <is>
          <t>2027년2월
근무예정자</t>
        </is>
      </c>
      <c r="AH3" s="12" t="inlineStr">
        <is>
          <t>2월
근무자</t>
        </is>
      </c>
      <c r="AI3" s="12" t="inlineStr">
        <is>
          <t>근무 시작일자
(시작일자 작성)</t>
        </is>
      </c>
      <c r="AJ3" s="12" t="inlineStr">
        <is>
          <t>근무 종료일자
(종료일자 작성)</t>
        </is>
      </c>
      <c r="AK3" s="12" t="inlineStr">
        <is>
          <t>2월 휴가 스케줄
(휴가일 작성)</t>
        </is>
      </c>
      <c r="AL3" s="12" t="inlineStr">
        <is>
          <t>비고</t>
        </is>
      </c>
      <c r="AM3" s="12" t="inlineStr">
        <is>
          <t>2027년3월
근무예정자</t>
        </is>
      </c>
      <c r="AN3" s="12" t="inlineStr">
        <is>
          <t>3월
근무자</t>
        </is>
      </c>
      <c r="AO3" s="12" t="inlineStr">
        <is>
          <t>근무 시작일자
(시작일자 작성)</t>
        </is>
      </c>
      <c r="AP3" s="12" t="inlineStr">
        <is>
          <t>근무 종료일자
(종료일자 작성)</t>
        </is>
      </c>
      <c r="AQ3" s="12" t="inlineStr">
        <is>
          <t>3월 휴가 스케줄
(휴가일 작성)</t>
        </is>
      </c>
      <c r="AR3" s="12" t="inlineStr">
        <is>
          <t>비고</t>
        </is>
      </c>
      <c r="AS3" s="12" t="inlineStr">
        <is>
          <t>2027년4월
근무예정자</t>
        </is>
      </c>
      <c r="AT3" s="12" t="inlineStr">
        <is>
          <t>4월
근무자</t>
        </is>
      </c>
      <c r="AU3" s="12" t="inlineStr">
        <is>
          <t>근무 시작일자
(시작일자 작성)</t>
        </is>
      </c>
      <c r="AV3" s="12" t="inlineStr">
        <is>
          <t>근무 종료일자
(종료일자 작성)</t>
        </is>
      </c>
      <c r="AW3" s="12" t="inlineStr">
        <is>
          <t>4월 휴가 스케줄
(휴가일 작성)</t>
        </is>
      </c>
      <c r="AX3" s="12" t="inlineStr">
        <is>
          <t>비고</t>
        </is>
      </c>
      <c r="AY3" s="12" t="inlineStr">
        <is>
          <t>2027년5월
근무예정자</t>
        </is>
      </c>
      <c r="AZ3" s="12" t="inlineStr">
        <is>
          <t>5월
근무자</t>
        </is>
      </c>
      <c r="BA3" s="12" t="inlineStr">
        <is>
          <t>근무 시작일자
(시작일자 작성)</t>
        </is>
      </c>
      <c r="BB3" s="12" t="inlineStr">
        <is>
          <t>근무 종료일자
(종료일자 작성)</t>
        </is>
      </c>
      <c r="BC3" s="12" t="inlineStr">
        <is>
          <t>5월 휴가 스케줄
(휴가일 작성)</t>
        </is>
      </c>
      <c r="BD3" s="12" t="inlineStr">
        <is>
          <t>비고</t>
        </is>
      </c>
      <c r="BE3" s="12" t="inlineStr">
        <is>
          <t>2027년6월
근무예정자</t>
        </is>
      </c>
      <c r="BF3" s="12" t="inlineStr">
        <is>
          <t>6월
근무자</t>
        </is>
      </c>
      <c r="BG3" s="12" t="inlineStr">
        <is>
          <t>근무 시작일자
(시작일자 작성)</t>
        </is>
      </c>
      <c r="BH3" s="12" t="inlineStr">
        <is>
          <t>근무 종료일자
(종료일자 작성)</t>
        </is>
      </c>
      <c r="BI3" s="12" t="inlineStr">
        <is>
          <t>6월 휴가 스케줄
(휴가일 작성)</t>
        </is>
      </c>
      <c r="BJ3" s="12" t="inlineStr">
        <is>
          <t>비고</t>
        </is>
      </c>
      <c r="BK3" s="12" t="inlineStr">
        <is>
          <t>2027년7월
근무예정자</t>
        </is>
      </c>
      <c r="BL3" s="12" t="inlineStr">
        <is>
          <t>7월
근무자</t>
        </is>
      </c>
      <c r="BM3" s="12" t="inlineStr">
        <is>
          <t>근무 시작일자
(시작일자 작성)</t>
        </is>
      </c>
      <c r="BN3" s="12" t="inlineStr">
        <is>
          <t>근무 종료일자
(종료일자 작성)</t>
        </is>
      </c>
      <c r="BO3" s="12" t="inlineStr">
        <is>
          <t>7월 휴가 스케줄
(휴가일 작성)</t>
        </is>
      </c>
      <c r="BP3" s="12" t="inlineStr">
        <is>
          <t>비고</t>
        </is>
      </c>
      <c r="BQ3" s="12" t="inlineStr">
        <is>
          <t>2027년8월
근무예정자</t>
        </is>
      </c>
      <c r="BR3" s="12" t="inlineStr">
        <is>
          <t>8월
근무자</t>
        </is>
      </c>
      <c r="BS3" s="12" t="inlineStr">
        <is>
          <t>근무 시작일자
(시작일자 작성)</t>
        </is>
      </c>
      <c r="BT3" s="12" t="inlineStr">
        <is>
          <t>근무 종료일자
(종료일자 작성)</t>
        </is>
      </c>
      <c r="BU3" s="12" t="inlineStr">
        <is>
          <t>8월 휴가 스케줄
(휴가일 작성)</t>
        </is>
      </c>
      <c r="BV3" s="12" t="inlineStr">
        <is>
          <t>비고</t>
        </is>
      </c>
    </row>
    <row r="4">
      <c r="A4" s="5" t="inlineStr">
        <is>
          <t>내과</t>
        </is>
      </c>
      <c r="B4" s="5" t="n">
        <v>3</v>
      </c>
      <c r="C4" s="5" t="inlineStr">
        <is>
          <t>박ㅇㅇ</t>
        </is>
      </c>
      <c r="D4" s="5" t="n"/>
      <c r="E4" s="5" t="n"/>
      <c r="F4" s="5" t="n"/>
      <c r="G4" s="5" t="n"/>
      <c r="H4" s="5" t="n"/>
      <c r="I4" s="5" t="inlineStr">
        <is>
          <t>박ㅇㅇ</t>
        </is>
      </c>
      <c r="J4" s="5" t="inlineStr">
        <is>
          <t>박ㅇㅇ</t>
        </is>
      </c>
      <c r="K4" s="5" t="inlineStr">
        <is>
          <t>2026.10.01</t>
        </is>
      </c>
      <c r="L4" s="5" t="inlineStr">
        <is>
          <t>2026.10.31</t>
        </is>
      </c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n"/>
      <c r="BI4" s="5" t="n"/>
      <c r="BJ4" s="5" t="n"/>
      <c r="BK4" s="5" t="n"/>
      <c r="BL4" s="5" t="n"/>
      <c r="BM4" s="5" t="n"/>
      <c r="BN4" s="5" t="n"/>
      <c r="BO4" s="5" t="n"/>
      <c r="BP4" s="5" t="n"/>
      <c r="BQ4" s="5" t="n"/>
      <c r="BR4" s="5" t="n"/>
      <c r="BS4" s="5" t="n"/>
      <c r="BT4" s="5" t="n"/>
      <c r="BU4" s="5" t="n"/>
      <c r="BV4" s="5" t="n"/>
    </row>
    <row r="5">
      <c r="A5" s="5" t="inlineStr">
        <is>
          <t>가정의학과</t>
        </is>
      </c>
      <c r="B5" s="5" t="n">
        <v>1</v>
      </c>
      <c r="C5" s="5" t="n"/>
      <c r="D5" s="5" t="n"/>
      <c r="E5" s="5" t="n"/>
      <c r="F5" s="5" t="n"/>
      <c r="G5" s="5" t="n"/>
      <c r="H5" s="5" t="n"/>
      <c r="I5" s="5" t="inlineStr">
        <is>
          <t>김ㅇㅇ</t>
        </is>
      </c>
      <c r="J5" s="5" t="inlineStr">
        <is>
          <t>김ㅇㅇ</t>
        </is>
      </c>
      <c r="K5" s="5" t="inlineStr">
        <is>
          <t>2026.10.21</t>
        </is>
      </c>
      <c r="L5" s="5" t="inlineStr">
        <is>
          <t>2026.10.31</t>
        </is>
      </c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  <c r="BG5" s="5" t="n"/>
      <c r="BH5" s="5" t="n"/>
      <c r="BI5" s="5" t="n"/>
      <c r="BJ5" s="5" t="n"/>
      <c r="BK5" s="5" t="n"/>
      <c r="BL5" s="5" t="n"/>
      <c r="BM5" s="5" t="n"/>
      <c r="BN5" s="5" t="n"/>
      <c r="BO5" s="5" t="n"/>
      <c r="BP5" s="5" t="n"/>
      <c r="BQ5" s="5" t="n"/>
      <c r="BR5" s="5" t="n"/>
      <c r="BS5" s="5" t="n"/>
      <c r="BT5" s="5" t="n"/>
      <c r="BU5" s="5" t="n"/>
      <c r="BV5" s="5" t="n"/>
    </row>
    <row r="6">
      <c r="A6" s="5" t="inlineStr">
        <is>
          <t>마취통증의학과</t>
        </is>
      </c>
      <c r="B6" s="5" t="n">
        <v>2</v>
      </c>
      <c r="C6" s="5" t="inlineStr">
        <is>
          <t>정ㅇㅇ</t>
        </is>
      </c>
      <c r="D6" s="5" t="n"/>
      <c r="E6" s="5" t="n"/>
      <c r="F6" s="5" t="n"/>
      <c r="G6" s="5" t="n"/>
      <c r="H6" s="5" t="inlineStr">
        <is>
          <t>구리독자</t>
        </is>
      </c>
      <c r="I6" s="5" t="inlineStr">
        <is>
          <t>정ㅇㅇ</t>
        </is>
      </c>
      <c r="J6" s="5" t="inlineStr">
        <is>
          <t>정ㅇㅇ</t>
        </is>
      </c>
      <c r="K6" s="5" t="inlineStr">
        <is>
          <t>2026.10.01</t>
        </is>
      </c>
      <c r="L6" s="5" t="inlineStr">
        <is>
          <t>2026.10.17</t>
        </is>
      </c>
      <c r="M6" s="5" t="n"/>
      <c r="N6" s="5" t="inlineStr">
        <is>
          <t>구리독자</t>
        </is>
      </c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  <c r="BD6" s="5" t="n"/>
      <c r="BE6" s="5" t="n"/>
      <c r="BF6" s="5" t="n"/>
      <c r="BG6" s="5" t="n"/>
      <c r="BH6" s="5" t="n"/>
      <c r="BI6" s="5" t="n"/>
      <c r="BJ6" s="5" t="n"/>
      <c r="BK6" s="5" t="n"/>
      <c r="BL6" s="5" t="n"/>
      <c r="BM6" s="5" t="n"/>
      <c r="BN6" s="5" t="n"/>
      <c r="BO6" s="5" t="n"/>
      <c r="BP6" s="5" t="n"/>
      <c r="BQ6" s="5" t="n"/>
      <c r="BR6" s="5" t="n"/>
      <c r="BS6" s="5" t="n"/>
      <c r="BT6" s="5" t="n"/>
      <c r="BU6" s="5" t="n"/>
      <c r="BV6" s="5" t="n"/>
    </row>
    <row r="7">
      <c r="A7" s="5" t="inlineStr">
        <is>
          <t>외과</t>
        </is>
      </c>
      <c r="B7" s="5" t="n">
        <v>1</v>
      </c>
      <c r="C7" s="5" t="inlineStr">
        <is>
          <t>홍ㅇㅇ</t>
        </is>
      </c>
      <c r="D7" s="5" t="n"/>
      <c r="E7" s="5" t="n"/>
      <c r="F7" s="5" t="n"/>
      <c r="G7" s="5" t="n"/>
      <c r="H7" s="5" t="inlineStr">
        <is>
          <t>구리독자</t>
        </is>
      </c>
      <c r="I7" s="5" t="inlineStr">
        <is>
          <t>홍ㅇㅇ</t>
        </is>
      </c>
      <c r="J7" s="5" t="inlineStr">
        <is>
          <t>홍ㅇㅇ</t>
        </is>
      </c>
      <c r="K7" s="5" t="inlineStr">
        <is>
          <t>2026.10.01</t>
        </is>
      </c>
      <c r="L7" s="5" t="inlineStr">
        <is>
          <t>2026.10.31</t>
        </is>
      </c>
      <c r="M7" s="5" t="n"/>
      <c r="N7" s="5" t="inlineStr">
        <is>
          <t>구리독자</t>
        </is>
      </c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5" t="n"/>
      <c r="BP7" s="5" t="n"/>
      <c r="BQ7" s="5" t="n"/>
      <c r="BR7" s="5" t="n"/>
      <c r="BS7" s="5" t="n"/>
      <c r="BT7" s="5" t="n"/>
      <c r="BU7" s="5" t="n"/>
      <c r="BV7" s="5" t="n"/>
    </row>
    <row r="8">
      <c r="A8" s="5" t="inlineStr">
        <is>
          <t>수련교육부</t>
        </is>
      </c>
      <c r="B8" s="5" t="inlineStr">
        <is>
          <t>인턴</t>
        </is>
      </c>
      <c r="C8" s="5" t="n"/>
      <c r="D8" s="5" t="n"/>
      <c r="E8" s="5" t="n"/>
      <c r="F8" s="5" t="n"/>
      <c r="G8" s="5" t="n"/>
      <c r="H8" s="5" t="n"/>
      <c r="I8" s="5" t="inlineStr">
        <is>
          <t>김ㅇㅇ</t>
        </is>
      </c>
      <c r="J8" s="5" t="inlineStr">
        <is>
          <t>김ㅇㅇ</t>
        </is>
      </c>
      <c r="K8" s="5" t="inlineStr">
        <is>
          <t>2026.10.01</t>
        </is>
      </c>
      <c r="L8" s="5" t="inlineStr">
        <is>
          <t>2026.10.31</t>
        </is>
      </c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  <c r="AV8" s="5" t="n"/>
      <c r="AW8" s="5" t="n"/>
      <c r="AX8" s="5" t="n"/>
      <c r="AY8" s="5" t="n"/>
      <c r="AZ8" s="5" t="n"/>
      <c r="BA8" s="5" t="n"/>
      <c r="BB8" s="5" t="n"/>
      <c r="BC8" s="5" t="n"/>
      <c r="BD8" s="5" t="n"/>
      <c r="BE8" s="5" t="n"/>
      <c r="BF8" s="5" t="n"/>
      <c r="BG8" s="5" t="n"/>
      <c r="BH8" s="5" t="n"/>
      <c r="BI8" s="5" t="n"/>
      <c r="BJ8" s="5" t="n"/>
      <c r="BK8" s="5" t="n"/>
      <c r="BL8" s="5" t="n"/>
      <c r="BM8" s="5" t="n"/>
      <c r="BN8" s="5" t="n"/>
      <c r="BO8" s="5" t="n"/>
      <c r="BP8" s="5" t="n"/>
      <c r="BQ8" s="5" t="n"/>
      <c r="BR8" s="5" t="n"/>
      <c r="BS8" s="5" t="n"/>
      <c r="BT8" s="5" t="n"/>
      <c r="BU8" s="5" t="n"/>
      <c r="BV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5" t="n"/>
      <c r="BI9" s="5" t="n"/>
      <c r="BJ9" s="5" t="n"/>
      <c r="BK9" s="5" t="n"/>
      <c r="BL9" s="5" t="n"/>
      <c r="BM9" s="5" t="n"/>
      <c r="BN9" s="5" t="n"/>
      <c r="BO9" s="5" t="n"/>
      <c r="BP9" s="5" t="n"/>
      <c r="BQ9" s="5" t="n"/>
      <c r="BR9" s="5" t="n"/>
      <c r="BS9" s="5" t="n"/>
      <c r="BT9" s="5" t="n"/>
      <c r="BU9" s="5" t="n"/>
      <c r="BV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5" t="n"/>
      <c r="AV10" s="5" t="n"/>
      <c r="AW10" s="5" t="n"/>
      <c r="AX10" s="5" t="n"/>
      <c r="AY10" s="5" t="n"/>
      <c r="AZ10" s="5" t="n"/>
      <c r="BA10" s="5" t="n"/>
      <c r="BB10" s="5" t="n"/>
      <c r="BC10" s="5" t="n"/>
      <c r="BD10" s="5" t="n"/>
      <c r="BE10" s="5" t="n"/>
      <c r="BF10" s="5" t="n"/>
      <c r="BG10" s="5" t="n"/>
      <c r="BH10" s="5" t="n"/>
      <c r="BI10" s="5" t="n"/>
      <c r="BJ10" s="5" t="n"/>
      <c r="BK10" s="5" t="n"/>
      <c r="BL10" s="5" t="n"/>
      <c r="BM10" s="5" t="n"/>
      <c r="BN10" s="5" t="n"/>
      <c r="BO10" s="5" t="n"/>
      <c r="BP10" s="5" t="n"/>
      <c r="BQ10" s="5" t="n"/>
      <c r="BR10" s="5" t="n"/>
      <c r="BS10" s="5" t="n"/>
      <c r="BT10" s="5" t="n"/>
      <c r="BU10" s="5" t="n"/>
      <c r="BV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  <c r="BB11" s="5" t="n"/>
      <c r="BC11" s="5" t="n"/>
      <c r="BD11" s="5" t="n"/>
      <c r="BE11" s="5" t="n"/>
      <c r="BF11" s="5" t="n"/>
      <c r="BG11" s="5" t="n"/>
      <c r="BH11" s="5" t="n"/>
      <c r="BI11" s="5" t="n"/>
      <c r="BJ11" s="5" t="n"/>
      <c r="BK11" s="5" t="n"/>
      <c r="BL11" s="5" t="n"/>
      <c r="BM11" s="5" t="n"/>
      <c r="BN11" s="5" t="n"/>
      <c r="BO11" s="5" t="n"/>
      <c r="BP11" s="5" t="n"/>
      <c r="BQ11" s="5" t="n"/>
      <c r="BR11" s="5" t="n"/>
      <c r="BS11" s="5" t="n"/>
      <c r="BT11" s="5" t="n"/>
      <c r="BU11" s="5" t="n"/>
      <c r="BV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  <c r="BJ12" s="5" t="n"/>
      <c r="BK12" s="5" t="n"/>
      <c r="BL12" s="5" t="n"/>
      <c r="BM12" s="5" t="n"/>
      <c r="BN12" s="5" t="n"/>
      <c r="BO12" s="5" t="n"/>
      <c r="BP12" s="5" t="n"/>
      <c r="BQ12" s="5" t="n"/>
      <c r="BR12" s="5" t="n"/>
      <c r="BS12" s="5" t="n"/>
      <c r="BT12" s="5" t="n"/>
      <c r="BU12" s="5" t="n"/>
      <c r="BV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5" t="n"/>
      <c r="BB13" s="5" t="n"/>
      <c r="BC13" s="5" t="n"/>
      <c r="BD13" s="5" t="n"/>
      <c r="BE13" s="5" t="n"/>
      <c r="BF13" s="5" t="n"/>
      <c r="BG13" s="5" t="n"/>
      <c r="BH13" s="5" t="n"/>
      <c r="BI13" s="5" t="n"/>
      <c r="BJ13" s="5" t="n"/>
      <c r="BK13" s="5" t="n"/>
      <c r="BL13" s="5" t="n"/>
      <c r="BM13" s="5" t="n"/>
      <c r="BN13" s="5" t="n"/>
      <c r="BO13" s="5" t="n"/>
      <c r="BP13" s="5" t="n"/>
      <c r="BQ13" s="5" t="n"/>
      <c r="BR13" s="5" t="n"/>
      <c r="BS13" s="5" t="n"/>
      <c r="BT13" s="5" t="n"/>
      <c r="BU13" s="5" t="n"/>
      <c r="BV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5" t="n"/>
      <c r="AV14" s="5" t="n"/>
      <c r="AW14" s="5" t="n"/>
      <c r="AX14" s="5" t="n"/>
      <c r="AY14" s="5" t="n"/>
      <c r="AZ14" s="5" t="n"/>
      <c r="BA14" s="5" t="n"/>
      <c r="BB14" s="5" t="n"/>
      <c r="BC14" s="5" t="n"/>
      <c r="BD14" s="5" t="n"/>
      <c r="BE14" s="5" t="n"/>
      <c r="BF14" s="5" t="n"/>
      <c r="BG14" s="5" t="n"/>
      <c r="BH14" s="5" t="n"/>
      <c r="BI14" s="5" t="n"/>
      <c r="BJ14" s="5" t="n"/>
      <c r="BK14" s="5" t="n"/>
      <c r="BL14" s="5" t="n"/>
      <c r="BM14" s="5" t="n"/>
      <c r="BN14" s="5" t="n"/>
      <c r="BO14" s="5" t="n"/>
      <c r="BP14" s="5" t="n"/>
      <c r="BQ14" s="5" t="n"/>
      <c r="BR14" s="5" t="n"/>
      <c r="BS14" s="5" t="n"/>
      <c r="BT14" s="5" t="n"/>
      <c r="BU14" s="5" t="n"/>
      <c r="BV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  <c r="BB15" s="5" t="n"/>
      <c r="BC15" s="5" t="n"/>
      <c r="BD15" s="5" t="n"/>
      <c r="BE15" s="5" t="n"/>
      <c r="BF15" s="5" t="n"/>
      <c r="BG15" s="5" t="n"/>
      <c r="BH15" s="5" t="n"/>
      <c r="BI15" s="5" t="n"/>
      <c r="BJ15" s="5" t="n"/>
      <c r="BK15" s="5" t="n"/>
      <c r="BL15" s="5" t="n"/>
      <c r="BM15" s="5" t="n"/>
      <c r="BN15" s="5" t="n"/>
      <c r="BO15" s="5" t="n"/>
      <c r="BP15" s="5" t="n"/>
      <c r="BQ15" s="5" t="n"/>
      <c r="BR15" s="5" t="n"/>
      <c r="BS15" s="5" t="n"/>
      <c r="BT15" s="5" t="n"/>
      <c r="BU15" s="5" t="n"/>
      <c r="BV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  <c r="AZ16" s="5" t="n"/>
      <c r="BA16" s="5" t="n"/>
      <c r="BB16" s="5" t="n"/>
      <c r="BC16" s="5" t="n"/>
      <c r="BD16" s="5" t="n"/>
      <c r="BE16" s="5" t="n"/>
      <c r="BF16" s="5" t="n"/>
      <c r="BG16" s="5" t="n"/>
      <c r="BH16" s="5" t="n"/>
      <c r="BI16" s="5" t="n"/>
      <c r="BJ16" s="5" t="n"/>
      <c r="BK16" s="5" t="n"/>
      <c r="BL16" s="5" t="n"/>
      <c r="BM16" s="5" t="n"/>
      <c r="BN16" s="5" t="n"/>
      <c r="BO16" s="5" t="n"/>
      <c r="BP16" s="5" t="n"/>
      <c r="BQ16" s="5" t="n"/>
      <c r="BR16" s="5" t="n"/>
      <c r="BS16" s="5" t="n"/>
      <c r="BT16" s="5" t="n"/>
      <c r="BU16" s="5" t="n"/>
      <c r="BV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  <c r="BH17" s="5" t="n"/>
      <c r="BI17" s="5" t="n"/>
      <c r="BJ17" s="5" t="n"/>
      <c r="BK17" s="5" t="n"/>
      <c r="BL17" s="5" t="n"/>
      <c r="BM17" s="5" t="n"/>
      <c r="BN17" s="5" t="n"/>
      <c r="BO17" s="5" t="n"/>
      <c r="BP17" s="5" t="n"/>
      <c r="BQ17" s="5" t="n"/>
      <c r="BR17" s="5" t="n"/>
      <c r="BS17" s="5" t="n"/>
      <c r="BT17" s="5" t="n"/>
      <c r="BU17" s="5" t="n"/>
      <c r="BV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5" t="n"/>
      <c r="AV18" s="5" t="n"/>
      <c r="AW18" s="5" t="n"/>
      <c r="AX18" s="5" t="n"/>
      <c r="AY18" s="5" t="n"/>
      <c r="AZ18" s="5" t="n"/>
      <c r="BA18" s="5" t="n"/>
      <c r="BB18" s="5" t="n"/>
      <c r="BC18" s="5" t="n"/>
      <c r="BD18" s="5" t="n"/>
      <c r="BE18" s="5" t="n"/>
      <c r="BF18" s="5" t="n"/>
      <c r="BG18" s="5" t="n"/>
      <c r="BH18" s="5" t="n"/>
      <c r="BI18" s="5" t="n"/>
      <c r="BJ18" s="5" t="n"/>
      <c r="BK18" s="5" t="n"/>
      <c r="BL18" s="5" t="n"/>
      <c r="BM18" s="5" t="n"/>
      <c r="BN18" s="5" t="n"/>
      <c r="BO18" s="5" t="n"/>
      <c r="BP18" s="5" t="n"/>
      <c r="BQ18" s="5" t="n"/>
      <c r="BR18" s="5" t="n"/>
      <c r="BS18" s="5" t="n"/>
      <c r="BT18" s="5" t="n"/>
      <c r="BU18" s="5" t="n"/>
      <c r="BV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  <c r="BB19" s="5" t="n"/>
      <c r="BC19" s="5" t="n"/>
      <c r="BD19" s="5" t="n"/>
      <c r="BE19" s="5" t="n"/>
      <c r="BF19" s="5" t="n"/>
      <c r="BG19" s="5" t="n"/>
      <c r="BH19" s="5" t="n"/>
      <c r="BI19" s="5" t="n"/>
      <c r="BJ19" s="5" t="n"/>
      <c r="BK19" s="5" t="n"/>
      <c r="BL19" s="5" t="n"/>
      <c r="BM19" s="5" t="n"/>
      <c r="BN19" s="5" t="n"/>
      <c r="BO19" s="5" t="n"/>
      <c r="BP19" s="5" t="n"/>
      <c r="BQ19" s="5" t="n"/>
      <c r="BR19" s="5" t="n"/>
      <c r="BS19" s="5" t="n"/>
      <c r="BT19" s="5" t="n"/>
      <c r="BU19" s="5" t="n"/>
      <c r="BV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  <c r="AV20" s="5" t="n"/>
      <c r="AW20" s="5" t="n"/>
      <c r="AX20" s="5" t="n"/>
      <c r="AY20" s="5" t="n"/>
      <c r="AZ20" s="5" t="n"/>
      <c r="BA20" s="5" t="n"/>
      <c r="BB20" s="5" t="n"/>
      <c r="BC20" s="5" t="n"/>
      <c r="BD20" s="5" t="n"/>
      <c r="BE20" s="5" t="n"/>
      <c r="BF20" s="5" t="n"/>
      <c r="BG20" s="5" t="n"/>
      <c r="BH20" s="5" t="n"/>
      <c r="BI20" s="5" t="n"/>
      <c r="BJ20" s="5" t="n"/>
      <c r="BK20" s="5" t="n"/>
      <c r="BL20" s="5" t="n"/>
      <c r="BM20" s="5" t="n"/>
      <c r="BN20" s="5" t="n"/>
      <c r="BO20" s="5" t="n"/>
      <c r="BP20" s="5" t="n"/>
      <c r="BQ20" s="5" t="n"/>
      <c r="BR20" s="5" t="n"/>
      <c r="BS20" s="5" t="n"/>
      <c r="BT20" s="5" t="n"/>
      <c r="BU20" s="5" t="n"/>
      <c r="BV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  <c r="AZ21" s="5" t="n"/>
      <c r="BA21" s="5" t="n"/>
      <c r="BB21" s="5" t="n"/>
      <c r="BC21" s="5" t="n"/>
      <c r="BD21" s="5" t="n"/>
      <c r="BE21" s="5" t="n"/>
      <c r="BF21" s="5" t="n"/>
      <c r="BG21" s="5" t="n"/>
      <c r="BH21" s="5" t="n"/>
      <c r="BI21" s="5" t="n"/>
      <c r="BJ21" s="5" t="n"/>
      <c r="BK21" s="5" t="n"/>
      <c r="BL21" s="5" t="n"/>
      <c r="BM21" s="5" t="n"/>
      <c r="BN21" s="5" t="n"/>
      <c r="BO21" s="5" t="n"/>
      <c r="BP21" s="5" t="n"/>
      <c r="BQ21" s="5" t="n"/>
      <c r="BR21" s="5" t="n"/>
      <c r="BS21" s="5" t="n"/>
      <c r="BT21" s="5" t="n"/>
      <c r="BU21" s="5" t="n"/>
      <c r="BV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  <c r="BJ22" s="5" t="n"/>
      <c r="BK22" s="5" t="n"/>
      <c r="BL22" s="5" t="n"/>
      <c r="BM22" s="5" t="n"/>
      <c r="BN22" s="5" t="n"/>
      <c r="BO22" s="5" t="n"/>
      <c r="BP22" s="5" t="n"/>
      <c r="BQ22" s="5" t="n"/>
      <c r="BR22" s="5" t="n"/>
      <c r="BS22" s="5" t="n"/>
      <c r="BT22" s="5" t="n"/>
      <c r="BU22" s="5" t="n"/>
      <c r="BV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  <c r="BB23" s="5" t="n"/>
      <c r="BC23" s="5" t="n"/>
      <c r="BD23" s="5" t="n"/>
      <c r="BE23" s="5" t="n"/>
      <c r="BF23" s="5" t="n"/>
      <c r="BG23" s="5" t="n"/>
      <c r="BH23" s="5" t="n"/>
      <c r="BI23" s="5" t="n"/>
      <c r="BJ23" s="5" t="n"/>
      <c r="BK23" s="5" t="n"/>
      <c r="BL23" s="5" t="n"/>
      <c r="BM23" s="5" t="n"/>
      <c r="BN23" s="5" t="n"/>
      <c r="BO23" s="5" t="n"/>
      <c r="BP23" s="5" t="n"/>
      <c r="BQ23" s="5" t="n"/>
      <c r="BR23" s="5" t="n"/>
      <c r="BS23" s="5" t="n"/>
      <c r="BT23" s="5" t="n"/>
      <c r="BU23" s="5" t="n"/>
      <c r="BV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5" t="n"/>
      <c r="AV24" s="5" t="n"/>
      <c r="AW24" s="5" t="n"/>
      <c r="AX24" s="5" t="n"/>
      <c r="AY24" s="5" t="n"/>
      <c r="AZ24" s="5" t="n"/>
      <c r="BA24" s="5" t="n"/>
      <c r="BB24" s="5" t="n"/>
      <c r="BC24" s="5" t="n"/>
      <c r="BD24" s="5" t="n"/>
      <c r="BE24" s="5" t="n"/>
      <c r="BF24" s="5" t="n"/>
      <c r="BG24" s="5" t="n"/>
      <c r="BH24" s="5" t="n"/>
      <c r="BI24" s="5" t="n"/>
      <c r="BJ24" s="5" t="n"/>
      <c r="BK24" s="5" t="n"/>
      <c r="BL24" s="5" t="n"/>
      <c r="BM24" s="5" t="n"/>
      <c r="BN24" s="5" t="n"/>
      <c r="BO24" s="5" t="n"/>
      <c r="BP24" s="5" t="n"/>
      <c r="BQ24" s="5" t="n"/>
      <c r="BR24" s="5" t="n"/>
      <c r="BS24" s="5" t="n"/>
      <c r="BT24" s="5" t="n"/>
      <c r="BU24" s="5" t="n"/>
      <c r="BV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  <c r="BB25" s="5" t="n"/>
      <c r="BC25" s="5" t="n"/>
      <c r="BD25" s="5" t="n"/>
      <c r="BE25" s="5" t="n"/>
      <c r="BF25" s="5" t="n"/>
      <c r="BG25" s="5" t="n"/>
      <c r="BH25" s="5" t="n"/>
      <c r="BI25" s="5" t="n"/>
      <c r="BJ25" s="5" t="n"/>
      <c r="BK25" s="5" t="n"/>
      <c r="BL25" s="5" t="n"/>
      <c r="BM25" s="5" t="n"/>
      <c r="BN25" s="5" t="n"/>
      <c r="BO25" s="5" t="n"/>
      <c r="BP25" s="5" t="n"/>
      <c r="BQ25" s="5" t="n"/>
      <c r="BR25" s="5" t="n"/>
      <c r="BS25" s="5" t="n"/>
      <c r="BT25" s="5" t="n"/>
      <c r="BU25" s="5" t="n"/>
      <c r="BV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n"/>
      <c r="BI27" s="5" t="n"/>
      <c r="BJ27" s="5" t="n"/>
      <c r="BK27" s="5" t="n"/>
      <c r="BL27" s="5" t="n"/>
      <c r="BM27" s="5" t="n"/>
      <c r="BN27" s="5" t="n"/>
      <c r="BO27" s="5" t="n"/>
      <c r="BP27" s="5" t="n"/>
      <c r="BQ27" s="5" t="n"/>
      <c r="BR27" s="5" t="n"/>
      <c r="BS27" s="5" t="n"/>
      <c r="BT27" s="5" t="n"/>
      <c r="BU27" s="5" t="n"/>
      <c r="BV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5" t="n"/>
      <c r="BI28" s="5" t="n"/>
      <c r="BJ28" s="5" t="n"/>
      <c r="BK28" s="5" t="n"/>
      <c r="BL28" s="5" t="n"/>
      <c r="BM28" s="5" t="n"/>
      <c r="BN28" s="5" t="n"/>
      <c r="BO28" s="5" t="n"/>
      <c r="BP28" s="5" t="n"/>
      <c r="BQ28" s="5" t="n"/>
      <c r="BR28" s="5" t="n"/>
      <c r="BS28" s="5" t="n"/>
      <c r="BT28" s="5" t="n"/>
      <c r="BU28" s="5" t="n"/>
      <c r="BV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n"/>
      <c r="BI29" s="5" t="n"/>
      <c r="BJ29" s="5" t="n"/>
      <c r="BK29" s="5" t="n"/>
      <c r="BL29" s="5" t="n"/>
      <c r="BM29" s="5" t="n"/>
      <c r="BN29" s="5" t="n"/>
      <c r="BO29" s="5" t="n"/>
      <c r="BP29" s="5" t="n"/>
      <c r="BQ29" s="5" t="n"/>
      <c r="BR29" s="5" t="n"/>
      <c r="BS29" s="5" t="n"/>
      <c r="BT29" s="5" t="n"/>
      <c r="BU29" s="5" t="n"/>
      <c r="BV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  <c r="BG30" s="5" t="n"/>
      <c r="BH30" s="5" t="n"/>
      <c r="BI30" s="5" t="n"/>
      <c r="BJ30" s="5" t="n"/>
      <c r="BK30" s="5" t="n"/>
      <c r="BL30" s="5" t="n"/>
      <c r="BM30" s="5" t="n"/>
      <c r="BN30" s="5" t="n"/>
      <c r="BO30" s="5" t="n"/>
      <c r="BP30" s="5" t="n"/>
      <c r="BQ30" s="5" t="n"/>
      <c r="BR30" s="5" t="n"/>
      <c r="BS30" s="5" t="n"/>
      <c r="BT30" s="5" t="n"/>
      <c r="BU30" s="5" t="n"/>
      <c r="BV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n"/>
      <c r="BI31" s="5" t="n"/>
      <c r="BJ31" s="5" t="n"/>
      <c r="BK31" s="5" t="n"/>
      <c r="BL31" s="5" t="n"/>
      <c r="BM31" s="5" t="n"/>
      <c r="BN31" s="5" t="n"/>
      <c r="BO31" s="5" t="n"/>
      <c r="BP31" s="5" t="n"/>
      <c r="BQ31" s="5" t="n"/>
      <c r="BR31" s="5" t="n"/>
      <c r="BS31" s="5" t="n"/>
      <c r="BT31" s="5" t="n"/>
      <c r="BU31" s="5" t="n"/>
      <c r="BV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n"/>
      <c r="BI32" s="5" t="n"/>
      <c r="BJ32" s="5" t="n"/>
      <c r="BK32" s="5" t="n"/>
      <c r="BL32" s="5" t="n"/>
      <c r="BM32" s="5" t="n"/>
      <c r="BN32" s="5" t="n"/>
      <c r="BO32" s="5" t="n"/>
      <c r="BP32" s="5" t="n"/>
      <c r="BQ32" s="5" t="n"/>
      <c r="BR32" s="5" t="n"/>
      <c r="BS32" s="5" t="n"/>
      <c r="BT32" s="5" t="n"/>
      <c r="BU32" s="5" t="n"/>
      <c r="BV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  <c r="AW34" s="5" t="n"/>
      <c r="AX34" s="5" t="n"/>
      <c r="AY34" s="5" t="n"/>
      <c r="AZ34" s="5" t="n"/>
      <c r="BA34" s="5" t="n"/>
      <c r="BB34" s="5" t="n"/>
      <c r="BC34" s="5" t="n"/>
      <c r="BD34" s="5" t="n"/>
      <c r="BE34" s="5" t="n"/>
      <c r="BF34" s="5" t="n"/>
      <c r="BG34" s="5" t="n"/>
      <c r="BH34" s="5" t="n"/>
      <c r="BI34" s="5" t="n"/>
      <c r="BJ34" s="5" t="n"/>
      <c r="BK34" s="5" t="n"/>
      <c r="BL34" s="5" t="n"/>
      <c r="BM34" s="5" t="n"/>
      <c r="BN34" s="5" t="n"/>
      <c r="BO34" s="5" t="n"/>
      <c r="BP34" s="5" t="n"/>
      <c r="BQ34" s="5" t="n"/>
      <c r="BR34" s="5" t="n"/>
      <c r="BS34" s="5" t="n"/>
      <c r="BT34" s="5" t="n"/>
      <c r="BU34" s="5" t="n"/>
      <c r="BV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  <c r="BG35" s="5" t="n"/>
      <c r="BH35" s="5" t="n"/>
      <c r="BI35" s="5" t="n"/>
      <c r="BJ35" s="5" t="n"/>
      <c r="BK35" s="5" t="n"/>
      <c r="BL35" s="5" t="n"/>
      <c r="BM35" s="5" t="n"/>
      <c r="BN35" s="5" t="n"/>
      <c r="BO35" s="5" t="n"/>
      <c r="BP35" s="5" t="n"/>
      <c r="BQ35" s="5" t="n"/>
      <c r="BR35" s="5" t="n"/>
      <c r="BS35" s="5" t="n"/>
      <c r="BT35" s="5" t="n"/>
      <c r="BU35" s="5" t="n"/>
      <c r="BV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  <c r="AZ36" s="5" t="n"/>
      <c r="BA36" s="5" t="n"/>
      <c r="BB36" s="5" t="n"/>
      <c r="BC36" s="5" t="n"/>
      <c r="BD36" s="5" t="n"/>
      <c r="BE36" s="5" t="n"/>
      <c r="BF36" s="5" t="n"/>
      <c r="BG36" s="5" t="n"/>
      <c r="BH36" s="5" t="n"/>
      <c r="BI36" s="5" t="n"/>
      <c r="BJ36" s="5" t="n"/>
      <c r="BK36" s="5" t="n"/>
      <c r="BL36" s="5" t="n"/>
      <c r="BM36" s="5" t="n"/>
      <c r="BN36" s="5" t="n"/>
      <c r="BO36" s="5" t="n"/>
      <c r="BP36" s="5" t="n"/>
      <c r="BQ36" s="5" t="n"/>
      <c r="BR36" s="5" t="n"/>
      <c r="BS36" s="5" t="n"/>
      <c r="BT36" s="5" t="n"/>
      <c r="BU36" s="5" t="n"/>
      <c r="BV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  <c r="BB37" s="5" t="n"/>
      <c r="BC37" s="5" t="n"/>
      <c r="BD37" s="5" t="n"/>
      <c r="BE37" s="5" t="n"/>
      <c r="BF37" s="5" t="n"/>
      <c r="BG37" s="5" t="n"/>
      <c r="BH37" s="5" t="n"/>
      <c r="BI37" s="5" t="n"/>
      <c r="BJ37" s="5" t="n"/>
      <c r="BK37" s="5" t="n"/>
      <c r="BL37" s="5" t="n"/>
      <c r="BM37" s="5" t="n"/>
      <c r="BN37" s="5" t="n"/>
      <c r="BO37" s="5" t="n"/>
      <c r="BP37" s="5" t="n"/>
      <c r="BQ37" s="5" t="n"/>
      <c r="BR37" s="5" t="n"/>
      <c r="BS37" s="5" t="n"/>
      <c r="BT37" s="5" t="n"/>
      <c r="BU37" s="5" t="n"/>
      <c r="BV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n"/>
      <c r="AU38" s="5" t="n"/>
      <c r="AV38" s="5" t="n"/>
      <c r="AW38" s="5" t="n"/>
      <c r="AX38" s="5" t="n"/>
      <c r="AY38" s="5" t="n"/>
      <c r="AZ38" s="5" t="n"/>
      <c r="BA38" s="5" t="n"/>
      <c r="BB38" s="5" t="n"/>
      <c r="BC38" s="5" t="n"/>
      <c r="BD38" s="5" t="n"/>
      <c r="BE38" s="5" t="n"/>
      <c r="BF38" s="5" t="n"/>
      <c r="BG38" s="5" t="n"/>
      <c r="BH38" s="5" t="n"/>
      <c r="BI38" s="5" t="n"/>
      <c r="BJ38" s="5" t="n"/>
      <c r="BK38" s="5" t="n"/>
      <c r="BL38" s="5" t="n"/>
      <c r="BM38" s="5" t="n"/>
      <c r="BN38" s="5" t="n"/>
      <c r="BO38" s="5" t="n"/>
      <c r="BP38" s="5" t="n"/>
      <c r="BQ38" s="5" t="n"/>
      <c r="BR38" s="5" t="n"/>
      <c r="BS38" s="5" t="n"/>
      <c r="BT38" s="5" t="n"/>
      <c r="BU38" s="5" t="n"/>
      <c r="BV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  <c r="BB39" s="5" t="n"/>
      <c r="BC39" s="5" t="n"/>
      <c r="BD39" s="5" t="n"/>
      <c r="BE39" s="5" t="n"/>
      <c r="BF39" s="5" t="n"/>
      <c r="BG39" s="5" t="n"/>
      <c r="BH39" s="5" t="n"/>
      <c r="BI39" s="5" t="n"/>
      <c r="BJ39" s="5" t="n"/>
      <c r="BK39" s="5" t="n"/>
      <c r="BL39" s="5" t="n"/>
      <c r="BM39" s="5" t="n"/>
      <c r="BN39" s="5" t="n"/>
      <c r="BO39" s="5" t="n"/>
      <c r="BP39" s="5" t="n"/>
      <c r="BQ39" s="5" t="n"/>
      <c r="BR39" s="5" t="n"/>
      <c r="BS39" s="5" t="n"/>
      <c r="BT39" s="5" t="n"/>
      <c r="BU39" s="5" t="n"/>
      <c r="BV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5" t="n"/>
      <c r="AV40" s="5" t="n"/>
      <c r="AW40" s="5" t="n"/>
      <c r="AX40" s="5" t="n"/>
      <c r="AY40" s="5" t="n"/>
      <c r="AZ40" s="5" t="n"/>
      <c r="BA40" s="5" t="n"/>
      <c r="BB40" s="5" t="n"/>
      <c r="BC40" s="5" t="n"/>
      <c r="BD40" s="5" t="n"/>
      <c r="BE40" s="5" t="n"/>
      <c r="BF40" s="5" t="n"/>
      <c r="BG40" s="5" t="n"/>
      <c r="BH40" s="5" t="n"/>
      <c r="BI40" s="5" t="n"/>
      <c r="BJ40" s="5" t="n"/>
      <c r="BK40" s="5" t="n"/>
      <c r="BL40" s="5" t="n"/>
      <c r="BM40" s="5" t="n"/>
      <c r="BN40" s="5" t="n"/>
      <c r="BO40" s="5" t="n"/>
      <c r="BP40" s="5" t="n"/>
      <c r="BQ40" s="5" t="n"/>
      <c r="BR40" s="5" t="n"/>
      <c r="BS40" s="5" t="n"/>
      <c r="BT40" s="5" t="n"/>
      <c r="BU40" s="5" t="n"/>
      <c r="BV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  <c r="BG41" s="5" t="n"/>
      <c r="BH41" s="5" t="n"/>
      <c r="BI41" s="5" t="n"/>
      <c r="BJ41" s="5" t="n"/>
      <c r="BK41" s="5" t="n"/>
      <c r="BL41" s="5" t="n"/>
      <c r="BM41" s="5" t="n"/>
      <c r="BN41" s="5" t="n"/>
      <c r="BO41" s="5" t="n"/>
      <c r="BP41" s="5" t="n"/>
      <c r="BQ41" s="5" t="n"/>
      <c r="BR41" s="5" t="n"/>
      <c r="BS41" s="5" t="n"/>
      <c r="BT41" s="5" t="n"/>
      <c r="BU41" s="5" t="n"/>
      <c r="BV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  <c r="AU42" s="5" t="n"/>
      <c r="AV42" s="5" t="n"/>
      <c r="AW42" s="5" t="n"/>
      <c r="AX42" s="5" t="n"/>
      <c r="AY42" s="5" t="n"/>
      <c r="AZ42" s="5" t="n"/>
      <c r="BA42" s="5" t="n"/>
      <c r="BB42" s="5" t="n"/>
      <c r="BC42" s="5" t="n"/>
      <c r="BD42" s="5" t="n"/>
      <c r="BE42" s="5" t="n"/>
      <c r="BF42" s="5" t="n"/>
      <c r="BG42" s="5" t="n"/>
      <c r="BH42" s="5" t="n"/>
      <c r="BI42" s="5" t="n"/>
      <c r="BJ42" s="5" t="n"/>
      <c r="BK42" s="5" t="n"/>
      <c r="BL42" s="5" t="n"/>
      <c r="BM42" s="5" t="n"/>
      <c r="BN42" s="5" t="n"/>
      <c r="BO42" s="5" t="n"/>
      <c r="BP42" s="5" t="n"/>
      <c r="BQ42" s="5" t="n"/>
      <c r="BR42" s="5" t="n"/>
      <c r="BS42" s="5" t="n"/>
      <c r="BT42" s="5" t="n"/>
      <c r="BU42" s="5" t="n"/>
      <c r="BV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  <c r="BH43" s="5" t="n"/>
      <c r="BI43" s="5" t="n"/>
      <c r="BJ43" s="5" t="n"/>
      <c r="BK43" s="5" t="n"/>
      <c r="BL43" s="5" t="n"/>
      <c r="BM43" s="5" t="n"/>
      <c r="BN43" s="5" t="n"/>
      <c r="BO43" s="5" t="n"/>
      <c r="BP43" s="5" t="n"/>
      <c r="BQ43" s="5" t="n"/>
      <c r="BR43" s="5" t="n"/>
      <c r="BS43" s="5" t="n"/>
      <c r="BT43" s="5" t="n"/>
      <c r="BU43" s="5" t="n"/>
      <c r="BV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5" t="n"/>
      <c r="AV44" s="5" t="n"/>
      <c r="AW44" s="5" t="n"/>
      <c r="AX44" s="5" t="n"/>
      <c r="AY44" s="5" t="n"/>
      <c r="AZ44" s="5" t="n"/>
      <c r="BA44" s="5" t="n"/>
      <c r="BB44" s="5" t="n"/>
      <c r="BC44" s="5" t="n"/>
      <c r="BD44" s="5" t="n"/>
      <c r="BE44" s="5" t="n"/>
      <c r="BF44" s="5" t="n"/>
      <c r="BG44" s="5" t="n"/>
      <c r="BH44" s="5" t="n"/>
      <c r="BI44" s="5" t="n"/>
      <c r="BJ44" s="5" t="n"/>
      <c r="BK44" s="5" t="n"/>
      <c r="BL44" s="5" t="n"/>
      <c r="BM44" s="5" t="n"/>
      <c r="BN44" s="5" t="n"/>
      <c r="BO44" s="5" t="n"/>
      <c r="BP44" s="5" t="n"/>
      <c r="BQ44" s="5" t="n"/>
      <c r="BR44" s="5" t="n"/>
      <c r="BS44" s="5" t="n"/>
      <c r="BT44" s="5" t="n"/>
      <c r="BU44" s="5" t="n"/>
      <c r="BV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  <c r="BB45" s="5" t="n"/>
      <c r="BC45" s="5" t="n"/>
      <c r="BD45" s="5" t="n"/>
      <c r="BE45" s="5" t="n"/>
      <c r="BF45" s="5" t="n"/>
      <c r="BG45" s="5" t="n"/>
      <c r="BH45" s="5" t="n"/>
      <c r="BI45" s="5" t="n"/>
      <c r="BJ45" s="5" t="n"/>
      <c r="BK45" s="5" t="n"/>
      <c r="BL45" s="5" t="n"/>
      <c r="BM45" s="5" t="n"/>
      <c r="BN45" s="5" t="n"/>
      <c r="BO45" s="5" t="n"/>
      <c r="BP45" s="5" t="n"/>
      <c r="BQ45" s="5" t="n"/>
      <c r="BR45" s="5" t="n"/>
      <c r="BS45" s="5" t="n"/>
      <c r="BT45" s="5" t="n"/>
      <c r="BU45" s="5" t="n"/>
      <c r="BV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5" t="n"/>
      <c r="AV46" s="5" t="n"/>
      <c r="AW46" s="5" t="n"/>
      <c r="AX46" s="5" t="n"/>
      <c r="AY46" s="5" t="n"/>
      <c r="AZ46" s="5" t="n"/>
      <c r="BA46" s="5" t="n"/>
      <c r="BB46" s="5" t="n"/>
      <c r="BC46" s="5" t="n"/>
      <c r="BD46" s="5" t="n"/>
      <c r="BE46" s="5" t="n"/>
      <c r="BF46" s="5" t="n"/>
      <c r="BG46" s="5" t="n"/>
      <c r="BH46" s="5" t="n"/>
      <c r="BI46" s="5" t="n"/>
      <c r="BJ46" s="5" t="n"/>
      <c r="BK46" s="5" t="n"/>
      <c r="BL46" s="5" t="n"/>
      <c r="BM46" s="5" t="n"/>
      <c r="BN46" s="5" t="n"/>
      <c r="BO46" s="5" t="n"/>
      <c r="BP46" s="5" t="n"/>
      <c r="BQ46" s="5" t="n"/>
      <c r="BR46" s="5" t="n"/>
      <c r="BS46" s="5" t="n"/>
      <c r="BT46" s="5" t="n"/>
      <c r="BU46" s="5" t="n"/>
      <c r="BV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  <c r="BB47" s="5" t="n"/>
      <c r="BC47" s="5" t="n"/>
      <c r="BD47" s="5" t="n"/>
      <c r="BE47" s="5" t="n"/>
      <c r="BF47" s="5" t="n"/>
      <c r="BG47" s="5" t="n"/>
      <c r="BH47" s="5" t="n"/>
      <c r="BI47" s="5" t="n"/>
      <c r="BJ47" s="5" t="n"/>
      <c r="BK47" s="5" t="n"/>
      <c r="BL47" s="5" t="n"/>
      <c r="BM47" s="5" t="n"/>
      <c r="BN47" s="5" t="n"/>
      <c r="BO47" s="5" t="n"/>
      <c r="BP47" s="5" t="n"/>
      <c r="BQ47" s="5" t="n"/>
      <c r="BR47" s="5" t="n"/>
      <c r="BS47" s="5" t="n"/>
      <c r="BT47" s="5" t="n"/>
      <c r="BU47" s="5" t="n"/>
      <c r="BV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  <c r="AU48" s="5" t="n"/>
      <c r="AV48" s="5" t="n"/>
      <c r="AW48" s="5" t="n"/>
      <c r="AX48" s="5" t="n"/>
      <c r="AY48" s="5" t="n"/>
      <c r="AZ48" s="5" t="n"/>
      <c r="BA48" s="5" t="n"/>
      <c r="BB48" s="5" t="n"/>
      <c r="BC48" s="5" t="n"/>
      <c r="BD48" s="5" t="n"/>
      <c r="BE48" s="5" t="n"/>
      <c r="BF48" s="5" t="n"/>
      <c r="BG48" s="5" t="n"/>
      <c r="BH48" s="5" t="n"/>
      <c r="BI48" s="5" t="n"/>
      <c r="BJ48" s="5" t="n"/>
      <c r="BK48" s="5" t="n"/>
      <c r="BL48" s="5" t="n"/>
      <c r="BM48" s="5" t="n"/>
      <c r="BN48" s="5" t="n"/>
      <c r="BO48" s="5" t="n"/>
      <c r="BP48" s="5" t="n"/>
      <c r="BQ48" s="5" t="n"/>
      <c r="BR48" s="5" t="n"/>
      <c r="BS48" s="5" t="n"/>
      <c r="BT48" s="5" t="n"/>
      <c r="BU48" s="5" t="n"/>
      <c r="BV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  <c r="BB49" s="5" t="n"/>
      <c r="BC49" s="5" t="n"/>
      <c r="BD49" s="5" t="n"/>
      <c r="BE49" s="5" t="n"/>
      <c r="BF49" s="5" t="n"/>
      <c r="BG49" s="5" t="n"/>
      <c r="BH49" s="5" t="n"/>
      <c r="BI49" s="5" t="n"/>
      <c r="BJ49" s="5" t="n"/>
      <c r="BK49" s="5" t="n"/>
      <c r="BL49" s="5" t="n"/>
      <c r="BM49" s="5" t="n"/>
      <c r="BN49" s="5" t="n"/>
      <c r="BO49" s="5" t="n"/>
      <c r="BP49" s="5" t="n"/>
      <c r="BQ49" s="5" t="n"/>
      <c r="BR49" s="5" t="n"/>
      <c r="BS49" s="5" t="n"/>
      <c r="BT49" s="5" t="n"/>
      <c r="BU49" s="5" t="n"/>
      <c r="BV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5" t="n"/>
      <c r="AV50" s="5" t="n"/>
      <c r="AW50" s="5" t="n"/>
      <c r="AX50" s="5" t="n"/>
      <c r="AY50" s="5" t="n"/>
      <c r="AZ50" s="5" t="n"/>
      <c r="BA50" s="5" t="n"/>
      <c r="BB50" s="5" t="n"/>
      <c r="BC50" s="5" t="n"/>
      <c r="BD50" s="5" t="n"/>
      <c r="BE50" s="5" t="n"/>
      <c r="BF50" s="5" t="n"/>
      <c r="BG50" s="5" t="n"/>
      <c r="BH50" s="5" t="n"/>
      <c r="BI50" s="5" t="n"/>
      <c r="BJ50" s="5" t="n"/>
      <c r="BK50" s="5" t="n"/>
      <c r="BL50" s="5" t="n"/>
      <c r="BM50" s="5" t="n"/>
      <c r="BN50" s="5" t="n"/>
      <c r="BO50" s="5" t="n"/>
      <c r="BP50" s="5" t="n"/>
      <c r="BQ50" s="5" t="n"/>
      <c r="BR50" s="5" t="n"/>
      <c r="BS50" s="5" t="n"/>
      <c r="BT50" s="5" t="n"/>
      <c r="BU50" s="5" t="n"/>
      <c r="BV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5" t="n"/>
      <c r="AV51" s="5" t="n"/>
      <c r="AW51" s="5" t="n"/>
      <c r="AX51" s="5" t="n"/>
      <c r="AY51" s="5" t="n"/>
      <c r="AZ51" s="5" t="n"/>
      <c r="BA51" s="5" t="n"/>
      <c r="BB51" s="5" t="n"/>
      <c r="BC51" s="5" t="n"/>
      <c r="BD51" s="5" t="n"/>
      <c r="BE51" s="5" t="n"/>
      <c r="BF51" s="5" t="n"/>
      <c r="BG51" s="5" t="n"/>
      <c r="BH51" s="5" t="n"/>
      <c r="BI51" s="5" t="n"/>
      <c r="BJ51" s="5" t="n"/>
      <c r="BK51" s="5" t="n"/>
      <c r="BL51" s="5" t="n"/>
      <c r="BM51" s="5" t="n"/>
      <c r="BN51" s="5" t="n"/>
      <c r="BO51" s="5" t="n"/>
      <c r="BP51" s="5" t="n"/>
      <c r="BQ51" s="5" t="n"/>
      <c r="BR51" s="5" t="n"/>
      <c r="BS51" s="5" t="n"/>
      <c r="BT51" s="5" t="n"/>
      <c r="BU51" s="5" t="n"/>
      <c r="BV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n"/>
      <c r="AU52" s="5" t="n"/>
      <c r="AV52" s="5" t="n"/>
      <c r="AW52" s="5" t="n"/>
      <c r="AX52" s="5" t="n"/>
      <c r="AY52" s="5" t="n"/>
      <c r="AZ52" s="5" t="n"/>
      <c r="BA52" s="5" t="n"/>
      <c r="BB52" s="5" t="n"/>
      <c r="BC52" s="5" t="n"/>
      <c r="BD52" s="5" t="n"/>
      <c r="BE52" s="5" t="n"/>
      <c r="BF52" s="5" t="n"/>
      <c r="BG52" s="5" t="n"/>
      <c r="BH52" s="5" t="n"/>
      <c r="BI52" s="5" t="n"/>
      <c r="BJ52" s="5" t="n"/>
      <c r="BK52" s="5" t="n"/>
      <c r="BL52" s="5" t="n"/>
      <c r="BM52" s="5" t="n"/>
      <c r="BN52" s="5" t="n"/>
      <c r="BO52" s="5" t="n"/>
      <c r="BP52" s="5" t="n"/>
      <c r="BQ52" s="5" t="n"/>
      <c r="BR52" s="5" t="n"/>
      <c r="BS52" s="5" t="n"/>
      <c r="BT52" s="5" t="n"/>
      <c r="BU52" s="5" t="n"/>
      <c r="BV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/>
      <c r="AV53" s="5" t="n"/>
      <c r="AW53" s="5" t="n"/>
      <c r="AX53" s="5" t="n"/>
      <c r="AY53" s="5" t="n"/>
      <c r="AZ53" s="5" t="n"/>
      <c r="BA53" s="5" t="n"/>
      <c r="BB53" s="5" t="n"/>
      <c r="BC53" s="5" t="n"/>
      <c r="BD53" s="5" t="n"/>
      <c r="BE53" s="5" t="n"/>
      <c r="BF53" s="5" t="n"/>
      <c r="BG53" s="5" t="n"/>
      <c r="BH53" s="5" t="n"/>
      <c r="BI53" s="5" t="n"/>
      <c r="BJ53" s="5" t="n"/>
      <c r="BK53" s="5" t="n"/>
      <c r="BL53" s="5" t="n"/>
      <c r="BM53" s="5" t="n"/>
      <c r="BN53" s="5" t="n"/>
      <c r="BO53" s="5" t="n"/>
      <c r="BP53" s="5" t="n"/>
      <c r="BQ53" s="5" t="n"/>
      <c r="BR53" s="5" t="n"/>
      <c r="BS53" s="5" t="n"/>
      <c r="BT53" s="5" t="n"/>
      <c r="BU53" s="5" t="n"/>
      <c r="BV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  <c r="AP54" s="5" t="n"/>
      <c r="AQ54" s="5" t="n"/>
      <c r="AR54" s="5" t="n"/>
      <c r="AS54" s="5" t="n"/>
      <c r="AT54" s="5" t="n"/>
      <c r="AU54" s="5" t="n"/>
      <c r="AV54" s="5" t="n"/>
      <c r="AW54" s="5" t="n"/>
      <c r="AX54" s="5" t="n"/>
      <c r="AY54" s="5" t="n"/>
      <c r="AZ54" s="5" t="n"/>
      <c r="BA54" s="5" t="n"/>
      <c r="BB54" s="5" t="n"/>
      <c r="BC54" s="5" t="n"/>
      <c r="BD54" s="5" t="n"/>
      <c r="BE54" s="5" t="n"/>
      <c r="BF54" s="5" t="n"/>
      <c r="BG54" s="5" t="n"/>
      <c r="BH54" s="5" t="n"/>
      <c r="BI54" s="5" t="n"/>
      <c r="BJ54" s="5" t="n"/>
      <c r="BK54" s="5" t="n"/>
      <c r="BL54" s="5" t="n"/>
      <c r="BM54" s="5" t="n"/>
      <c r="BN54" s="5" t="n"/>
      <c r="BO54" s="5" t="n"/>
      <c r="BP54" s="5" t="n"/>
      <c r="BQ54" s="5" t="n"/>
      <c r="BR54" s="5" t="n"/>
      <c r="BS54" s="5" t="n"/>
      <c r="BT54" s="5" t="n"/>
      <c r="BU54" s="5" t="n"/>
      <c r="BV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  <c r="BB55" s="5" t="n"/>
      <c r="BC55" s="5" t="n"/>
      <c r="BD55" s="5" t="n"/>
      <c r="BE55" s="5" t="n"/>
      <c r="BF55" s="5" t="n"/>
      <c r="BG55" s="5" t="n"/>
      <c r="BH55" s="5" t="n"/>
      <c r="BI55" s="5" t="n"/>
      <c r="BJ55" s="5" t="n"/>
      <c r="BK55" s="5" t="n"/>
      <c r="BL55" s="5" t="n"/>
      <c r="BM55" s="5" t="n"/>
      <c r="BN55" s="5" t="n"/>
      <c r="BO55" s="5" t="n"/>
      <c r="BP55" s="5" t="n"/>
      <c r="BQ55" s="5" t="n"/>
      <c r="BR55" s="5" t="n"/>
      <c r="BS55" s="5" t="n"/>
      <c r="BT55" s="5" t="n"/>
      <c r="BU55" s="5" t="n"/>
      <c r="BV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n"/>
      <c r="AU56" s="5" t="n"/>
      <c r="AV56" s="5" t="n"/>
      <c r="AW56" s="5" t="n"/>
      <c r="AX56" s="5" t="n"/>
      <c r="AY56" s="5" t="n"/>
      <c r="AZ56" s="5" t="n"/>
      <c r="BA56" s="5" t="n"/>
      <c r="BB56" s="5" t="n"/>
      <c r="BC56" s="5" t="n"/>
      <c r="BD56" s="5" t="n"/>
      <c r="BE56" s="5" t="n"/>
      <c r="BF56" s="5" t="n"/>
      <c r="BG56" s="5" t="n"/>
      <c r="BH56" s="5" t="n"/>
      <c r="BI56" s="5" t="n"/>
      <c r="BJ56" s="5" t="n"/>
      <c r="BK56" s="5" t="n"/>
      <c r="BL56" s="5" t="n"/>
      <c r="BM56" s="5" t="n"/>
      <c r="BN56" s="5" t="n"/>
      <c r="BO56" s="5" t="n"/>
      <c r="BP56" s="5" t="n"/>
      <c r="BQ56" s="5" t="n"/>
      <c r="BR56" s="5" t="n"/>
      <c r="BS56" s="5" t="n"/>
      <c r="BT56" s="5" t="n"/>
      <c r="BU56" s="5" t="n"/>
      <c r="BV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  <c r="AU57" s="5" t="n"/>
      <c r="AV57" s="5" t="n"/>
      <c r="AW57" s="5" t="n"/>
      <c r="AX57" s="5" t="n"/>
      <c r="AY57" s="5" t="n"/>
      <c r="AZ57" s="5" t="n"/>
      <c r="BA57" s="5" t="n"/>
      <c r="BB57" s="5" t="n"/>
      <c r="BC57" s="5" t="n"/>
      <c r="BD57" s="5" t="n"/>
      <c r="BE57" s="5" t="n"/>
      <c r="BF57" s="5" t="n"/>
      <c r="BG57" s="5" t="n"/>
      <c r="BH57" s="5" t="n"/>
      <c r="BI57" s="5" t="n"/>
      <c r="BJ57" s="5" t="n"/>
      <c r="BK57" s="5" t="n"/>
      <c r="BL57" s="5" t="n"/>
      <c r="BM57" s="5" t="n"/>
      <c r="BN57" s="5" t="n"/>
      <c r="BO57" s="5" t="n"/>
      <c r="BP57" s="5" t="n"/>
      <c r="BQ57" s="5" t="n"/>
      <c r="BR57" s="5" t="n"/>
      <c r="BS57" s="5" t="n"/>
      <c r="BT57" s="5" t="n"/>
      <c r="BU57" s="5" t="n"/>
      <c r="BV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  <c r="AT58" s="5" t="n"/>
      <c r="AU58" s="5" t="n"/>
      <c r="AV58" s="5" t="n"/>
      <c r="AW58" s="5" t="n"/>
      <c r="AX58" s="5" t="n"/>
      <c r="AY58" s="5" t="n"/>
      <c r="AZ58" s="5" t="n"/>
      <c r="BA58" s="5" t="n"/>
      <c r="BB58" s="5" t="n"/>
      <c r="BC58" s="5" t="n"/>
      <c r="BD58" s="5" t="n"/>
      <c r="BE58" s="5" t="n"/>
      <c r="BF58" s="5" t="n"/>
      <c r="BG58" s="5" t="n"/>
      <c r="BH58" s="5" t="n"/>
      <c r="BI58" s="5" t="n"/>
      <c r="BJ58" s="5" t="n"/>
      <c r="BK58" s="5" t="n"/>
      <c r="BL58" s="5" t="n"/>
      <c r="BM58" s="5" t="n"/>
      <c r="BN58" s="5" t="n"/>
      <c r="BO58" s="5" t="n"/>
      <c r="BP58" s="5" t="n"/>
      <c r="BQ58" s="5" t="n"/>
      <c r="BR58" s="5" t="n"/>
      <c r="BS58" s="5" t="n"/>
      <c r="BT58" s="5" t="n"/>
      <c r="BU58" s="5" t="n"/>
      <c r="BV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5" t="n"/>
      <c r="AV59" s="5" t="n"/>
      <c r="AW59" s="5" t="n"/>
      <c r="AX59" s="5" t="n"/>
      <c r="AY59" s="5" t="n"/>
      <c r="AZ59" s="5" t="n"/>
      <c r="BA59" s="5" t="n"/>
      <c r="BB59" s="5" t="n"/>
      <c r="BC59" s="5" t="n"/>
      <c r="BD59" s="5" t="n"/>
      <c r="BE59" s="5" t="n"/>
      <c r="BF59" s="5" t="n"/>
      <c r="BG59" s="5" t="n"/>
      <c r="BH59" s="5" t="n"/>
      <c r="BI59" s="5" t="n"/>
      <c r="BJ59" s="5" t="n"/>
      <c r="BK59" s="5" t="n"/>
      <c r="BL59" s="5" t="n"/>
      <c r="BM59" s="5" t="n"/>
      <c r="BN59" s="5" t="n"/>
      <c r="BO59" s="5" t="n"/>
      <c r="BP59" s="5" t="n"/>
      <c r="BQ59" s="5" t="n"/>
      <c r="BR59" s="5" t="n"/>
      <c r="BS59" s="5" t="n"/>
      <c r="BT59" s="5" t="n"/>
      <c r="BU59" s="5" t="n"/>
      <c r="BV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n"/>
      <c r="AT60" s="5" t="n"/>
      <c r="AU60" s="5" t="n"/>
      <c r="AV60" s="5" t="n"/>
      <c r="AW60" s="5" t="n"/>
      <c r="AX60" s="5" t="n"/>
      <c r="AY60" s="5" t="n"/>
      <c r="AZ60" s="5" t="n"/>
      <c r="BA60" s="5" t="n"/>
      <c r="BB60" s="5" t="n"/>
      <c r="BC60" s="5" t="n"/>
      <c r="BD60" s="5" t="n"/>
      <c r="BE60" s="5" t="n"/>
      <c r="BF60" s="5" t="n"/>
      <c r="BG60" s="5" t="n"/>
      <c r="BH60" s="5" t="n"/>
      <c r="BI60" s="5" t="n"/>
      <c r="BJ60" s="5" t="n"/>
      <c r="BK60" s="5" t="n"/>
      <c r="BL60" s="5" t="n"/>
      <c r="BM60" s="5" t="n"/>
      <c r="BN60" s="5" t="n"/>
      <c r="BO60" s="5" t="n"/>
      <c r="BP60" s="5" t="n"/>
      <c r="BQ60" s="5" t="n"/>
      <c r="BR60" s="5" t="n"/>
      <c r="BS60" s="5" t="n"/>
      <c r="BT60" s="5" t="n"/>
      <c r="BU60" s="5" t="n"/>
      <c r="BV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5" t="n"/>
      <c r="AV61" s="5" t="n"/>
      <c r="AW61" s="5" t="n"/>
      <c r="AX61" s="5" t="n"/>
      <c r="AY61" s="5" t="n"/>
      <c r="AZ61" s="5" t="n"/>
      <c r="BA61" s="5" t="n"/>
      <c r="BB61" s="5" t="n"/>
      <c r="BC61" s="5" t="n"/>
      <c r="BD61" s="5" t="n"/>
      <c r="BE61" s="5" t="n"/>
      <c r="BF61" s="5" t="n"/>
      <c r="BG61" s="5" t="n"/>
      <c r="BH61" s="5" t="n"/>
      <c r="BI61" s="5" t="n"/>
      <c r="BJ61" s="5" t="n"/>
      <c r="BK61" s="5" t="n"/>
      <c r="BL61" s="5" t="n"/>
      <c r="BM61" s="5" t="n"/>
      <c r="BN61" s="5" t="n"/>
      <c r="BO61" s="5" t="n"/>
      <c r="BP61" s="5" t="n"/>
      <c r="BQ61" s="5" t="n"/>
      <c r="BR61" s="5" t="n"/>
      <c r="BS61" s="5" t="n"/>
      <c r="BT61" s="5" t="n"/>
      <c r="BU61" s="5" t="n"/>
      <c r="BV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  <c r="AU62" s="5" t="n"/>
      <c r="AV62" s="5" t="n"/>
      <c r="AW62" s="5" t="n"/>
      <c r="AX62" s="5" t="n"/>
      <c r="AY62" s="5" t="n"/>
      <c r="AZ62" s="5" t="n"/>
      <c r="BA62" s="5" t="n"/>
      <c r="BB62" s="5" t="n"/>
      <c r="BC62" s="5" t="n"/>
      <c r="BD62" s="5" t="n"/>
      <c r="BE62" s="5" t="n"/>
      <c r="BF62" s="5" t="n"/>
      <c r="BG62" s="5" t="n"/>
      <c r="BH62" s="5" t="n"/>
      <c r="BI62" s="5" t="n"/>
      <c r="BJ62" s="5" t="n"/>
      <c r="BK62" s="5" t="n"/>
      <c r="BL62" s="5" t="n"/>
      <c r="BM62" s="5" t="n"/>
      <c r="BN62" s="5" t="n"/>
      <c r="BO62" s="5" t="n"/>
      <c r="BP62" s="5" t="n"/>
      <c r="BQ62" s="5" t="n"/>
      <c r="BR62" s="5" t="n"/>
      <c r="BS62" s="5" t="n"/>
      <c r="BT62" s="5" t="n"/>
      <c r="BU62" s="5" t="n"/>
      <c r="BV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/>
      <c r="AV63" s="5" t="n"/>
      <c r="AW63" s="5" t="n"/>
      <c r="AX63" s="5" t="n"/>
      <c r="AY63" s="5" t="n"/>
      <c r="AZ63" s="5" t="n"/>
      <c r="BA63" s="5" t="n"/>
      <c r="BB63" s="5" t="n"/>
      <c r="BC63" s="5" t="n"/>
      <c r="BD63" s="5" t="n"/>
      <c r="BE63" s="5" t="n"/>
      <c r="BF63" s="5" t="n"/>
      <c r="BG63" s="5" t="n"/>
      <c r="BH63" s="5" t="n"/>
      <c r="BI63" s="5" t="n"/>
      <c r="BJ63" s="5" t="n"/>
      <c r="BK63" s="5" t="n"/>
      <c r="BL63" s="5" t="n"/>
      <c r="BM63" s="5" t="n"/>
      <c r="BN63" s="5" t="n"/>
      <c r="BO63" s="5" t="n"/>
      <c r="BP63" s="5" t="n"/>
      <c r="BQ63" s="5" t="n"/>
      <c r="BR63" s="5" t="n"/>
      <c r="BS63" s="5" t="n"/>
      <c r="BT63" s="5" t="n"/>
      <c r="BU63" s="5" t="n"/>
      <c r="BV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  <c r="AP64" s="5" t="n"/>
      <c r="AQ64" s="5" t="n"/>
      <c r="AR64" s="5" t="n"/>
      <c r="AS64" s="5" t="n"/>
      <c r="AT64" s="5" t="n"/>
      <c r="AU64" s="5" t="n"/>
      <c r="AV64" s="5" t="n"/>
      <c r="AW64" s="5" t="n"/>
      <c r="AX64" s="5" t="n"/>
      <c r="AY64" s="5" t="n"/>
      <c r="AZ64" s="5" t="n"/>
      <c r="BA64" s="5" t="n"/>
      <c r="BB64" s="5" t="n"/>
      <c r="BC64" s="5" t="n"/>
      <c r="BD64" s="5" t="n"/>
      <c r="BE64" s="5" t="n"/>
      <c r="BF64" s="5" t="n"/>
      <c r="BG64" s="5" t="n"/>
      <c r="BH64" s="5" t="n"/>
      <c r="BI64" s="5" t="n"/>
      <c r="BJ64" s="5" t="n"/>
      <c r="BK64" s="5" t="n"/>
      <c r="BL64" s="5" t="n"/>
      <c r="BM64" s="5" t="n"/>
      <c r="BN64" s="5" t="n"/>
      <c r="BO64" s="5" t="n"/>
      <c r="BP64" s="5" t="n"/>
      <c r="BQ64" s="5" t="n"/>
      <c r="BR64" s="5" t="n"/>
      <c r="BS64" s="5" t="n"/>
      <c r="BT64" s="5" t="n"/>
      <c r="BU64" s="5" t="n"/>
      <c r="BV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n"/>
      <c r="AU65" s="5" t="n"/>
      <c r="AV65" s="5" t="n"/>
      <c r="AW65" s="5" t="n"/>
      <c r="AX65" s="5" t="n"/>
      <c r="AY65" s="5" t="n"/>
      <c r="AZ65" s="5" t="n"/>
      <c r="BA65" s="5" t="n"/>
      <c r="BB65" s="5" t="n"/>
      <c r="BC65" s="5" t="n"/>
      <c r="BD65" s="5" t="n"/>
      <c r="BE65" s="5" t="n"/>
      <c r="BF65" s="5" t="n"/>
      <c r="BG65" s="5" t="n"/>
      <c r="BH65" s="5" t="n"/>
      <c r="BI65" s="5" t="n"/>
      <c r="BJ65" s="5" t="n"/>
      <c r="BK65" s="5" t="n"/>
      <c r="BL65" s="5" t="n"/>
      <c r="BM65" s="5" t="n"/>
      <c r="BN65" s="5" t="n"/>
      <c r="BO65" s="5" t="n"/>
      <c r="BP65" s="5" t="n"/>
      <c r="BQ65" s="5" t="n"/>
      <c r="BR65" s="5" t="n"/>
      <c r="BS65" s="5" t="n"/>
      <c r="BT65" s="5" t="n"/>
      <c r="BU65" s="5" t="n"/>
      <c r="BV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5" t="n"/>
      <c r="AP66" s="5" t="n"/>
      <c r="AQ66" s="5" t="n"/>
      <c r="AR66" s="5" t="n"/>
      <c r="AS66" s="5" t="n"/>
      <c r="AT66" s="5" t="n"/>
      <c r="AU66" s="5" t="n"/>
      <c r="AV66" s="5" t="n"/>
      <c r="AW66" s="5" t="n"/>
      <c r="AX66" s="5" t="n"/>
      <c r="AY66" s="5" t="n"/>
      <c r="AZ66" s="5" t="n"/>
      <c r="BA66" s="5" t="n"/>
      <c r="BB66" s="5" t="n"/>
      <c r="BC66" s="5" t="n"/>
      <c r="BD66" s="5" t="n"/>
      <c r="BE66" s="5" t="n"/>
      <c r="BF66" s="5" t="n"/>
      <c r="BG66" s="5" t="n"/>
      <c r="BH66" s="5" t="n"/>
      <c r="BI66" s="5" t="n"/>
      <c r="BJ66" s="5" t="n"/>
      <c r="BK66" s="5" t="n"/>
      <c r="BL66" s="5" t="n"/>
      <c r="BM66" s="5" t="n"/>
      <c r="BN66" s="5" t="n"/>
      <c r="BO66" s="5" t="n"/>
      <c r="BP66" s="5" t="n"/>
      <c r="BQ66" s="5" t="n"/>
      <c r="BR66" s="5" t="n"/>
      <c r="BS66" s="5" t="n"/>
      <c r="BT66" s="5" t="n"/>
      <c r="BU66" s="5" t="n"/>
      <c r="BV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n"/>
      <c r="AU67" s="5" t="n"/>
      <c r="AV67" s="5" t="n"/>
      <c r="AW67" s="5" t="n"/>
      <c r="AX67" s="5" t="n"/>
      <c r="AY67" s="5" t="n"/>
      <c r="AZ67" s="5" t="n"/>
      <c r="BA67" s="5" t="n"/>
      <c r="BB67" s="5" t="n"/>
      <c r="BC67" s="5" t="n"/>
      <c r="BD67" s="5" t="n"/>
      <c r="BE67" s="5" t="n"/>
      <c r="BF67" s="5" t="n"/>
      <c r="BG67" s="5" t="n"/>
      <c r="BH67" s="5" t="n"/>
      <c r="BI67" s="5" t="n"/>
      <c r="BJ67" s="5" t="n"/>
      <c r="BK67" s="5" t="n"/>
      <c r="BL67" s="5" t="n"/>
      <c r="BM67" s="5" t="n"/>
      <c r="BN67" s="5" t="n"/>
      <c r="BO67" s="5" t="n"/>
      <c r="BP67" s="5" t="n"/>
      <c r="BQ67" s="5" t="n"/>
      <c r="BR67" s="5" t="n"/>
      <c r="BS67" s="5" t="n"/>
      <c r="BT67" s="5" t="n"/>
      <c r="BU67" s="5" t="n"/>
      <c r="BV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  <c r="AO68" s="5" t="n"/>
      <c r="AP68" s="5" t="n"/>
      <c r="AQ68" s="5" t="n"/>
      <c r="AR68" s="5" t="n"/>
      <c r="AS68" s="5" t="n"/>
      <c r="AT68" s="5" t="n"/>
      <c r="AU68" s="5" t="n"/>
      <c r="AV68" s="5" t="n"/>
      <c r="AW68" s="5" t="n"/>
      <c r="AX68" s="5" t="n"/>
      <c r="AY68" s="5" t="n"/>
      <c r="AZ68" s="5" t="n"/>
      <c r="BA68" s="5" t="n"/>
      <c r="BB68" s="5" t="n"/>
      <c r="BC68" s="5" t="n"/>
      <c r="BD68" s="5" t="n"/>
      <c r="BE68" s="5" t="n"/>
      <c r="BF68" s="5" t="n"/>
      <c r="BG68" s="5" t="n"/>
      <c r="BH68" s="5" t="n"/>
      <c r="BI68" s="5" t="n"/>
      <c r="BJ68" s="5" t="n"/>
      <c r="BK68" s="5" t="n"/>
      <c r="BL68" s="5" t="n"/>
      <c r="BM68" s="5" t="n"/>
      <c r="BN68" s="5" t="n"/>
      <c r="BO68" s="5" t="n"/>
      <c r="BP68" s="5" t="n"/>
      <c r="BQ68" s="5" t="n"/>
      <c r="BR68" s="5" t="n"/>
      <c r="BS68" s="5" t="n"/>
      <c r="BT68" s="5" t="n"/>
      <c r="BU68" s="5" t="n"/>
      <c r="BV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n"/>
      <c r="AT69" s="5" t="n"/>
      <c r="AU69" s="5" t="n"/>
      <c r="AV69" s="5" t="n"/>
      <c r="AW69" s="5" t="n"/>
      <c r="AX69" s="5" t="n"/>
      <c r="AY69" s="5" t="n"/>
      <c r="AZ69" s="5" t="n"/>
      <c r="BA69" s="5" t="n"/>
      <c r="BB69" s="5" t="n"/>
      <c r="BC69" s="5" t="n"/>
      <c r="BD69" s="5" t="n"/>
      <c r="BE69" s="5" t="n"/>
      <c r="BF69" s="5" t="n"/>
      <c r="BG69" s="5" t="n"/>
      <c r="BH69" s="5" t="n"/>
      <c r="BI69" s="5" t="n"/>
      <c r="BJ69" s="5" t="n"/>
      <c r="BK69" s="5" t="n"/>
      <c r="BL69" s="5" t="n"/>
      <c r="BM69" s="5" t="n"/>
      <c r="BN69" s="5" t="n"/>
      <c r="BO69" s="5" t="n"/>
      <c r="BP69" s="5" t="n"/>
      <c r="BQ69" s="5" t="n"/>
      <c r="BR69" s="5" t="n"/>
      <c r="BS69" s="5" t="n"/>
      <c r="BT69" s="5" t="n"/>
      <c r="BU69" s="5" t="n"/>
      <c r="BV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  <c r="AO70" s="5" t="n"/>
      <c r="AP70" s="5" t="n"/>
      <c r="AQ70" s="5" t="n"/>
      <c r="AR70" s="5" t="n"/>
      <c r="AS70" s="5" t="n"/>
      <c r="AT70" s="5" t="n"/>
      <c r="AU70" s="5" t="n"/>
      <c r="AV70" s="5" t="n"/>
      <c r="AW70" s="5" t="n"/>
      <c r="AX70" s="5" t="n"/>
      <c r="AY70" s="5" t="n"/>
      <c r="AZ70" s="5" t="n"/>
      <c r="BA70" s="5" t="n"/>
      <c r="BB70" s="5" t="n"/>
      <c r="BC70" s="5" t="n"/>
      <c r="BD70" s="5" t="n"/>
      <c r="BE70" s="5" t="n"/>
      <c r="BF70" s="5" t="n"/>
      <c r="BG70" s="5" t="n"/>
      <c r="BH70" s="5" t="n"/>
      <c r="BI70" s="5" t="n"/>
      <c r="BJ70" s="5" t="n"/>
      <c r="BK70" s="5" t="n"/>
      <c r="BL70" s="5" t="n"/>
      <c r="BM70" s="5" t="n"/>
      <c r="BN70" s="5" t="n"/>
      <c r="BO70" s="5" t="n"/>
      <c r="BP70" s="5" t="n"/>
      <c r="BQ70" s="5" t="n"/>
      <c r="BR70" s="5" t="n"/>
      <c r="BS70" s="5" t="n"/>
      <c r="BT70" s="5" t="n"/>
      <c r="BU70" s="5" t="n"/>
      <c r="BV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  <c r="AQ71" s="5" t="n"/>
      <c r="AR71" s="5" t="n"/>
      <c r="AS71" s="5" t="n"/>
      <c r="AT71" s="5" t="n"/>
      <c r="AU71" s="5" t="n"/>
      <c r="AV71" s="5" t="n"/>
      <c r="AW71" s="5" t="n"/>
      <c r="AX71" s="5" t="n"/>
      <c r="AY71" s="5" t="n"/>
      <c r="AZ71" s="5" t="n"/>
      <c r="BA71" s="5" t="n"/>
      <c r="BB71" s="5" t="n"/>
      <c r="BC71" s="5" t="n"/>
      <c r="BD71" s="5" t="n"/>
      <c r="BE71" s="5" t="n"/>
      <c r="BF71" s="5" t="n"/>
      <c r="BG71" s="5" t="n"/>
      <c r="BH71" s="5" t="n"/>
      <c r="BI71" s="5" t="n"/>
      <c r="BJ71" s="5" t="n"/>
      <c r="BK71" s="5" t="n"/>
      <c r="BL71" s="5" t="n"/>
      <c r="BM71" s="5" t="n"/>
      <c r="BN71" s="5" t="n"/>
      <c r="BO71" s="5" t="n"/>
      <c r="BP71" s="5" t="n"/>
      <c r="BQ71" s="5" t="n"/>
      <c r="BR71" s="5" t="n"/>
      <c r="BS71" s="5" t="n"/>
      <c r="BT71" s="5" t="n"/>
      <c r="BU71" s="5" t="n"/>
      <c r="BV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5" t="n"/>
      <c r="AP72" s="5" t="n"/>
      <c r="AQ72" s="5" t="n"/>
      <c r="AR72" s="5" t="n"/>
      <c r="AS72" s="5" t="n"/>
      <c r="AT72" s="5" t="n"/>
      <c r="AU72" s="5" t="n"/>
      <c r="AV72" s="5" t="n"/>
      <c r="AW72" s="5" t="n"/>
      <c r="AX72" s="5" t="n"/>
      <c r="AY72" s="5" t="n"/>
      <c r="AZ72" s="5" t="n"/>
      <c r="BA72" s="5" t="n"/>
      <c r="BB72" s="5" t="n"/>
      <c r="BC72" s="5" t="n"/>
      <c r="BD72" s="5" t="n"/>
      <c r="BE72" s="5" t="n"/>
      <c r="BF72" s="5" t="n"/>
      <c r="BG72" s="5" t="n"/>
      <c r="BH72" s="5" t="n"/>
      <c r="BI72" s="5" t="n"/>
      <c r="BJ72" s="5" t="n"/>
      <c r="BK72" s="5" t="n"/>
      <c r="BL72" s="5" t="n"/>
      <c r="BM72" s="5" t="n"/>
      <c r="BN72" s="5" t="n"/>
      <c r="BO72" s="5" t="n"/>
      <c r="BP72" s="5" t="n"/>
      <c r="BQ72" s="5" t="n"/>
      <c r="BR72" s="5" t="n"/>
      <c r="BS72" s="5" t="n"/>
      <c r="BT72" s="5" t="n"/>
      <c r="BU72" s="5" t="n"/>
      <c r="BV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  <c r="AQ73" s="5" t="n"/>
      <c r="AR73" s="5" t="n"/>
      <c r="AS73" s="5" t="n"/>
      <c r="AT73" s="5" t="n"/>
      <c r="AU73" s="5" t="n"/>
      <c r="AV73" s="5" t="n"/>
      <c r="AW73" s="5" t="n"/>
      <c r="AX73" s="5" t="n"/>
      <c r="AY73" s="5" t="n"/>
      <c r="AZ73" s="5" t="n"/>
      <c r="BA73" s="5" t="n"/>
      <c r="BB73" s="5" t="n"/>
      <c r="BC73" s="5" t="n"/>
      <c r="BD73" s="5" t="n"/>
      <c r="BE73" s="5" t="n"/>
      <c r="BF73" s="5" t="n"/>
      <c r="BG73" s="5" t="n"/>
      <c r="BH73" s="5" t="n"/>
      <c r="BI73" s="5" t="n"/>
      <c r="BJ73" s="5" t="n"/>
      <c r="BK73" s="5" t="n"/>
      <c r="BL73" s="5" t="n"/>
      <c r="BM73" s="5" t="n"/>
      <c r="BN73" s="5" t="n"/>
      <c r="BO73" s="5" t="n"/>
      <c r="BP73" s="5" t="n"/>
      <c r="BQ73" s="5" t="n"/>
      <c r="BR73" s="5" t="n"/>
      <c r="BS73" s="5" t="n"/>
      <c r="BT73" s="5" t="n"/>
      <c r="BU73" s="5" t="n"/>
      <c r="BV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N74" s="5" t="n"/>
      <c r="AO74" s="5" t="n"/>
      <c r="AP74" s="5" t="n"/>
      <c r="AQ74" s="5" t="n"/>
      <c r="AR74" s="5" t="n"/>
      <c r="AS74" s="5" t="n"/>
      <c r="AT74" s="5" t="n"/>
      <c r="AU74" s="5" t="n"/>
      <c r="AV74" s="5" t="n"/>
      <c r="AW74" s="5" t="n"/>
      <c r="AX74" s="5" t="n"/>
      <c r="AY74" s="5" t="n"/>
      <c r="AZ74" s="5" t="n"/>
      <c r="BA74" s="5" t="n"/>
      <c r="BB74" s="5" t="n"/>
      <c r="BC74" s="5" t="n"/>
      <c r="BD74" s="5" t="n"/>
      <c r="BE74" s="5" t="n"/>
      <c r="BF74" s="5" t="n"/>
      <c r="BG74" s="5" t="n"/>
      <c r="BH74" s="5" t="n"/>
      <c r="BI74" s="5" t="n"/>
      <c r="BJ74" s="5" t="n"/>
      <c r="BK74" s="5" t="n"/>
      <c r="BL74" s="5" t="n"/>
      <c r="BM74" s="5" t="n"/>
      <c r="BN74" s="5" t="n"/>
      <c r="BO74" s="5" t="n"/>
      <c r="BP74" s="5" t="n"/>
      <c r="BQ74" s="5" t="n"/>
      <c r="BR74" s="5" t="n"/>
      <c r="BS74" s="5" t="n"/>
      <c r="BT74" s="5" t="n"/>
      <c r="BU74" s="5" t="n"/>
      <c r="BV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  <c r="AQ75" s="5" t="n"/>
      <c r="AR75" s="5" t="n"/>
      <c r="AS75" s="5" t="n"/>
      <c r="AT75" s="5" t="n"/>
      <c r="AU75" s="5" t="n"/>
      <c r="AV75" s="5" t="n"/>
      <c r="AW75" s="5" t="n"/>
      <c r="AX75" s="5" t="n"/>
      <c r="AY75" s="5" t="n"/>
      <c r="AZ75" s="5" t="n"/>
      <c r="BA75" s="5" t="n"/>
      <c r="BB75" s="5" t="n"/>
      <c r="BC75" s="5" t="n"/>
      <c r="BD75" s="5" t="n"/>
      <c r="BE75" s="5" t="n"/>
      <c r="BF75" s="5" t="n"/>
      <c r="BG75" s="5" t="n"/>
      <c r="BH75" s="5" t="n"/>
      <c r="BI75" s="5" t="n"/>
      <c r="BJ75" s="5" t="n"/>
      <c r="BK75" s="5" t="n"/>
      <c r="BL75" s="5" t="n"/>
      <c r="BM75" s="5" t="n"/>
      <c r="BN75" s="5" t="n"/>
      <c r="BO75" s="5" t="n"/>
      <c r="BP75" s="5" t="n"/>
      <c r="BQ75" s="5" t="n"/>
      <c r="BR75" s="5" t="n"/>
      <c r="BS75" s="5" t="n"/>
      <c r="BT75" s="5" t="n"/>
      <c r="BU75" s="5" t="n"/>
      <c r="BV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N76" s="5" t="n"/>
      <c r="AO76" s="5" t="n"/>
      <c r="AP76" s="5" t="n"/>
      <c r="AQ76" s="5" t="n"/>
      <c r="AR76" s="5" t="n"/>
      <c r="AS76" s="5" t="n"/>
      <c r="AT76" s="5" t="n"/>
      <c r="AU76" s="5" t="n"/>
      <c r="AV76" s="5" t="n"/>
      <c r="AW76" s="5" t="n"/>
      <c r="AX76" s="5" t="n"/>
      <c r="AY76" s="5" t="n"/>
      <c r="AZ76" s="5" t="n"/>
      <c r="BA76" s="5" t="n"/>
      <c r="BB76" s="5" t="n"/>
      <c r="BC76" s="5" t="n"/>
      <c r="BD76" s="5" t="n"/>
      <c r="BE76" s="5" t="n"/>
      <c r="BF76" s="5" t="n"/>
      <c r="BG76" s="5" t="n"/>
      <c r="BH76" s="5" t="n"/>
      <c r="BI76" s="5" t="n"/>
      <c r="BJ76" s="5" t="n"/>
      <c r="BK76" s="5" t="n"/>
      <c r="BL76" s="5" t="n"/>
      <c r="BM76" s="5" t="n"/>
      <c r="BN76" s="5" t="n"/>
      <c r="BO76" s="5" t="n"/>
      <c r="BP76" s="5" t="n"/>
      <c r="BQ76" s="5" t="n"/>
      <c r="BR76" s="5" t="n"/>
      <c r="BS76" s="5" t="n"/>
      <c r="BT76" s="5" t="n"/>
      <c r="BU76" s="5" t="n"/>
      <c r="BV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n"/>
      <c r="AU77" s="5" t="n"/>
      <c r="AV77" s="5" t="n"/>
      <c r="AW77" s="5" t="n"/>
      <c r="AX77" s="5" t="n"/>
      <c r="AY77" s="5" t="n"/>
      <c r="AZ77" s="5" t="n"/>
      <c r="BA77" s="5" t="n"/>
      <c r="BB77" s="5" t="n"/>
      <c r="BC77" s="5" t="n"/>
      <c r="BD77" s="5" t="n"/>
      <c r="BE77" s="5" t="n"/>
      <c r="BF77" s="5" t="n"/>
      <c r="BG77" s="5" t="n"/>
      <c r="BH77" s="5" t="n"/>
      <c r="BI77" s="5" t="n"/>
      <c r="BJ77" s="5" t="n"/>
      <c r="BK77" s="5" t="n"/>
      <c r="BL77" s="5" t="n"/>
      <c r="BM77" s="5" t="n"/>
      <c r="BN77" s="5" t="n"/>
      <c r="BO77" s="5" t="n"/>
      <c r="BP77" s="5" t="n"/>
      <c r="BQ77" s="5" t="n"/>
      <c r="BR77" s="5" t="n"/>
      <c r="BS77" s="5" t="n"/>
      <c r="BT77" s="5" t="n"/>
      <c r="BU77" s="5" t="n"/>
      <c r="BV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N78" s="5" t="n"/>
      <c r="AO78" s="5" t="n"/>
      <c r="AP78" s="5" t="n"/>
      <c r="AQ78" s="5" t="n"/>
      <c r="AR78" s="5" t="n"/>
      <c r="AS78" s="5" t="n"/>
      <c r="AT78" s="5" t="n"/>
      <c r="AU78" s="5" t="n"/>
      <c r="AV78" s="5" t="n"/>
      <c r="AW78" s="5" t="n"/>
      <c r="AX78" s="5" t="n"/>
      <c r="AY78" s="5" t="n"/>
      <c r="AZ78" s="5" t="n"/>
      <c r="BA78" s="5" t="n"/>
      <c r="BB78" s="5" t="n"/>
      <c r="BC78" s="5" t="n"/>
      <c r="BD78" s="5" t="n"/>
      <c r="BE78" s="5" t="n"/>
      <c r="BF78" s="5" t="n"/>
      <c r="BG78" s="5" t="n"/>
      <c r="BH78" s="5" t="n"/>
      <c r="BI78" s="5" t="n"/>
      <c r="BJ78" s="5" t="n"/>
      <c r="BK78" s="5" t="n"/>
      <c r="BL78" s="5" t="n"/>
      <c r="BM78" s="5" t="n"/>
      <c r="BN78" s="5" t="n"/>
      <c r="BO78" s="5" t="n"/>
      <c r="BP78" s="5" t="n"/>
      <c r="BQ78" s="5" t="n"/>
      <c r="BR78" s="5" t="n"/>
      <c r="BS78" s="5" t="n"/>
      <c r="BT78" s="5" t="n"/>
      <c r="BU78" s="5" t="n"/>
      <c r="BV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  <c r="AN79" s="5" t="n"/>
      <c r="AO79" s="5" t="n"/>
      <c r="AP79" s="5" t="n"/>
      <c r="AQ79" s="5" t="n"/>
      <c r="AR79" s="5" t="n"/>
      <c r="AS79" s="5" t="n"/>
      <c r="AT79" s="5" t="n"/>
      <c r="AU79" s="5" t="n"/>
      <c r="AV79" s="5" t="n"/>
      <c r="AW79" s="5" t="n"/>
      <c r="AX79" s="5" t="n"/>
      <c r="AY79" s="5" t="n"/>
      <c r="AZ79" s="5" t="n"/>
      <c r="BA79" s="5" t="n"/>
      <c r="BB79" s="5" t="n"/>
      <c r="BC79" s="5" t="n"/>
      <c r="BD79" s="5" t="n"/>
      <c r="BE79" s="5" t="n"/>
      <c r="BF79" s="5" t="n"/>
      <c r="BG79" s="5" t="n"/>
      <c r="BH79" s="5" t="n"/>
      <c r="BI79" s="5" t="n"/>
      <c r="BJ79" s="5" t="n"/>
      <c r="BK79" s="5" t="n"/>
      <c r="BL79" s="5" t="n"/>
      <c r="BM79" s="5" t="n"/>
      <c r="BN79" s="5" t="n"/>
      <c r="BO79" s="5" t="n"/>
      <c r="BP79" s="5" t="n"/>
      <c r="BQ79" s="5" t="n"/>
      <c r="BR79" s="5" t="n"/>
      <c r="BS79" s="5" t="n"/>
      <c r="BT79" s="5" t="n"/>
      <c r="BU79" s="5" t="n"/>
      <c r="BV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  <c r="AN80" s="5" t="n"/>
      <c r="AO80" s="5" t="n"/>
      <c r="AP80" s="5" t="n"/>
      <c r="AQ80" s="5" t="n"/>
      <c r="AR80" s="5" t="n"/>
      <c r="AS80" s="5" t="n"/>
      <c r="AT80" s="5" t="n"/>
      <c r="AU80" s="5" t="n"/>
      <c r="AV80" s="5" t="n"/>
      <c r="AW80" s="5" t="n"/>
      <c r="AX80" s="5" t="n"/>
      <c r="AY80" s="5" t="n"/>
      <c r="AZ80" s="5" t="n"/>
      <c r="BA80" s="5" t="n"/>
      <c r="BB80" s="5" t="n"/>
      <c r="BC80" s="5" t="n"/>
      <c r="BD80" s="5" t="n"/>
      <c r="BE80" s="5" t="n"/>
      <c r="BF80" s="5" t="n"/>
      <c r="BG80" s="5" t="n"/>
      <c r="BH80" s="5" t="n"/>
      <c r="BI80" s="5" t="n"/>
      <c r="BJ80" s="5" t="n"/>
      <c r="BK80" s="5" t="n"/>
      <c r="BL80" s="5" t="n"/>
      <c r="BM80" s="5" t="n"/>
      <c r="BN80" s="5" t="n"/>
      <c r="BO80" s="5" t="n"/>
      <c r="BP80" s="5" t="n"/>
      <c r="BQ80" s="5" t="n"/>
      <c r="BR80" s="5" t="n"/>
      <c r="BS80" s="5" t="n"/>
      <c r="BT80" s="5" t="n"/>
      <c r="BU80" s="5" t="n"/>
      <c r="BV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  <c r="AN81" s="5" t="n"/>
      <c r="AO81" s="5" t="n"/>
      <c r="AP81" s="5" t="n"/>
      <c r="AQ81" s="5" t="n"/>
      <c r="AR81" s="5" t="n"/>
      <c r="AS81" s="5" t="n"/>
      <c r="AT81" s="5" t="n"/>
      <c r="AU81" s="5" t="n"/>
      <c r="AV81" s="5" t="n"/>
      <c r="AW81" s="5" t="n"/>
      <c r="AX81" s="5" t="n"/>
      <c r="AY81" s="5" t="n"/>
      <c r="AZ81" s="5" t="n"/>
      <c r="BA81" s="5" t="n"/>
      <c r="BB81" s="5" t="n"/>
      <c r="BC81" s="5" t="n"/>
      <c r="BD81" s="5" t="n"/>
      <c r="BE81" s="5" t="n"/>
      <c r="BF81" s="5" t="n"/>
      <c r="BG81" s="5" t="n"/>
      <c r="BH81" s="5" t="n"/>
      <c r="BI81" s="5" t="n"/>
      <c r="BJ81" s="5" t="n"/>
      <c r="BK81" s="5" t="n"/>
      <c r="BL81" s="5" t="n"/>
      <c r="BM81" s="5" t="n"/>
      <c r="BN81" s="5" t="n"/>
      <c r="BO81" s="5" t="n"/>
      <c r="BP81" s="5" t="n"/>
      <c r="BQ81" s="5" t="n"/>
      <c r="BR81" s="5" t="n"/>
      <c r="BS81" s="5" t="n"/>
      <c r="BT81" s="5" t="n"/>
      <c r="BU81" s="5" t="n"/>
      <c r="BV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  <c r="AN82" s="5" t="n"/>
      <c r="AO82" s="5" t="n"/>
      <c r="AP82" s="5" t="n"/>
      <c r="AQ82" s="5" t="n"/>
      <c r="AR82" s="5" t="n"/>
      <c r="AS82" s="5" t="n"/>
      <c r="AT82" s="5" t="n"/>
      <c r="AU82" s="5" t="n"/>
      <c r="AV82" s="5" t="n"/>
      <c r="AW82" s="5" t="n"/>
      <c r="AX82" s="5" t="n"/>
      <c r="AY82" s="5" t="n"/>
      <c r="AZ82" s="5" t="n"/>
      <c r="BA82" s="5" t="n"/>
      <c r="BB82" s="5" t="n"/>
      <c r="BC82" s="5" t="n"/>
      <c r="BD82" s="5" t="n"/>
      <c r="BE82" s="5" t="n"/>
      <c r="BF82" s="5" t="n"/>
      <c r="BG82" s="5" t="n"/>
      <c r="BH82" s="5" t="n"/>
      <c r="BI82" s="5" t="n"/>
      <c r="BJ82" s="5" t="n"/>
      <c r="BK82" s="5" t="n"/>
      <c r="BL82" s="5" t="n"/>
      <c r="BM82" s="5" t="n"/>
      <c r="BN82" s="5" t="n"/>
      <c r="BO82" s="5" t="n"/>
      <c r="BP82" s="5" t="n"/>
      <c r="BQ82" s="5" t="n"/>
      <c r="BR82" s="5" t="n"/>
      <c r="BS82" s="5" t="n"/>
      <c r="BT82" s="5" t="n"/>
      <c r="BU82" s="5" t="n"/>
      <c r="BV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  <c r="AN83" s="5" t="n"/>
      <c r="AO83" s="5" t="n"/>
      <c r="AP83" s="5" t="n"/>
      <c r="AQ83" s="5" t="n"/>
      <c r="AR83" s="5" t="n"/>
      <c r="AS83" s="5" t="n"/>
      <c r="AT83" s="5" t="n"/>
      <c r="AU83" s="5" t="n"/>
      <c r="AV83" s="5" t="n"/>
      <c r="AW83" s="5" t="n"/>
      <c r="AX83" s="5" t="n"/>
      <c r="AY83" s="5" t="n"/>
      <c r="AZ83" s="5" t="n"/>
      <c r="BA83" s="5" t="n"/>
      <c r="BB83" s="5" t="n"/>
      <c r="BC83" s="5" t="n"/>
      <c r="BD83" s="5" t="n"/>
      <c r="BE83" s="5" t="n"/>
      <c r="BF83" s="5" t="n"/>
      <c r="BG83" s="5" t="n"/>
      <c r="BH83" s="5" t="n"/>
      <c r="BI83" s="5" t="n"/>
      <c r="BJ83" s="5" t="n"/>
      <c r="BK83" s="5" t="n"/>
      <c r="BL83" s="5" t="n"/>
      <c r="BM83" s="5" t="n"/>
      <c r="BN83" s="5" t="n"/>
      <c r="BO83" s="5" t="n"/>
      <c r="BP83" s="5" t="n"/>
      <c r="BQ83" s="5" t="n"/>
      <c r="BR83" s="5" t="n"/>
      <c r="BS83" s="5" t="n"/>
      <c r="BT83" s="5" t="n"/>
      <c r="BU83" s="5" t="n"/>
      <c r="BV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  <c r="AN84" s="5" t="n"/>
      <c r="AO84" s="5" t="n"/>
      <c r="AP84" s="5" t="n"/>
      <c r="AQ84" s="5" t="n"/>
      <c r="AR84" s="5" t="n"/>
      <c r="AS84" s="5" t="n"/>
      <c r="AT84" s="5" t="n"/>
      <c r="AU84" s="5" t="n"/>
      <c r="AV84" s="5" t="n"/>
      <c r="AW84" s="5" t="n"/>
      <c r="AX84" s="5" t="n"/>
      <c r="AY84" s="5" t="n"/>
      <c r="AZ84" s="5" t="n"/>
      <c r="BA84" s="5" t="n"/>
      <c r="BB84" s="5" t="n"/>
      <c r="BC84" s="5" t="n"/>
      <c r="BD84" s="5" t="n"/>
      <c r="BE84" s="5" t="n"/>
      <c r="BF84" s="5" t="n"/>
      <c r="BG84" s="5" t="n"/>
      <c r="BH84" s="5" t="n"/>
      <c r="BI84" s="5" t="n"/>
      <c r="BJ84" s="5" t="n"/>
      <c r="BK84" s="5" t="n"/>
      <c r="BL84" s="5" t="n"/>
      <c r="BM84" s="5" t="n"/>
      <c r="BN84" s="5" t="n"/>
      <c r="BO84" s="5" t="n"/>
      <c r="BP84" s="5" t="n"/>
      <c r="BQ84" s="5" t="n"/>
      <c r="BR84" s="5" t="n"/>
      <c r="BS84" s="5" t="n"/>
      <c r="BT84" s="5" t="n"/>
      <c r="BU84" s="5" t="n"/>
      <c r="BV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  <c r="AN85" s="5" t="n"/>
      <c r="AO85" s="5" t="n"/>
      <c r="AP85" s="5" t="n"/>
      <c r="AQ85" s="5" t="n"/>
      <c r="AR85" s="5" t="n"/>
      <c r="AS85" s="5" t="n"/>
      <c r="AT85" s="5" t="n"/>
      <c r="AU85" s="5" t="n"/>
      <c r="AV85" s="5" t="n"/>
      <c r="AW85" s="5" t="n"/>
      <c r="AX85" s="5" t="n"/>
      <c r="AY85" s="5" t="n"/>
      <c r="AZ85" s="5" t="n"/>
      <c r="BA85" s="5" t="n"/>
      <c r="BB85" s="5" t="n"/>
      <c r="BC85" s="5" t="n"/>
      <c r="BD85" s="5" t="n"/>
      <c r="BE85" s="5" t="n"/>
      <c r="BF85" s="5" t="n"/>
      <c r="BG85" s="5" t="n"/>
      <c r="BH85" s="5" t="n"/>
      <c r="BI85" s="5" t="n"/>
      <c r="BJ85" s="5" t="n"/>
      <c r="BK85" s="5" t="n"/>
      <c r="BL85" s="5" t="n"/>
      <c r="BM85" s="5" t="n"/>
      <c r="BN85" s="5" t="n"/>
      <c r="BO85" s="5" t="n"/>
      <c r="BP85" s="5" t="n"/>
      <c r="BQ85" s="5" t="n"/>
      <c r="BR85" s="5" t="n"/>
      <c r="BS85" s="5" t="n"/>
      <c r="BT85" s="5" t="n"/>
      <c r="BU85" s="5" t="n"/>
      <c r="BV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  <c r="AN86" s="5" t="n"/>
      <c r="AO86" s="5" t="n"/>
      <c r="AP86" s="5" t="n"/>
      <c r="AQ86" s="5" t="n"/>
      <c r="AR86" s="5" t="n"/>
      <c r="AS86" s="5" t="n"/>
      <c r="AT86" s="5" t="n"/>
      <c r="AU86" s="5" t="n"/>
      <c r="AV86" s="5" t="n"/>
      <c r="AW86" s="5" t="n"/>
      <c r="AX86" s="5" t="n"/>
      <c r="AY86" s="5" t="n"/>
      <c r="AZ86" s="5" t="n"/>
      <c r="BA86" s="5" t="n"/>
      <c r="BB86" s="5" t="n"/>
      <c r="BC86" s="5" t="n"/>
      <c r="BD86" s="5" t="n"/>
      <c r="BE86" s="5" t="n"/>
      <c r="BF86" s="5" t="n"/>
      <c r="BG86" s="5" t="n"/>
      <c r="BH86" s="5" t="n"/>
      <c r="BI86" s="5" t="n"/>
      <c r="BJ86" s="5" t="n"/>
      <c r="BK86" s="5" t="n"/>
      <c r="BL86" s="5" t="n"/>
      <c r="BM86" s="5" t="n"/>
      <c r="BN86" s="5" t="n"/>
      <c r="BO86" s="5" t="n"/>
      <c r="BP86" s="5" t="n"/>
      <c r="BQ86" s="5" t="n"/>
      <c r="BR86" s="5" t="n"/>
      <c r="BS86" s="5" t="n"/>
      <c r="BT86" s="5" t="n"/>
      <c r="BU86" s="5" t="n"/>
      <c r="BV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  <c r="AN87" s="5" t="n"/>
      <c r="AO87" s="5" t="n"/>
      <c r="AP87" s="5" t="n"/>
      <c r="AQ87" s="5" t="n"/>
      <c r="AR87" s="5" t="n"/>
      <c r="AS87" s="5" t="n"/>
      <c r="AT87" s="5" t="n"/>
      <c r="AU87" s="5" t="n"/>
      <c r="AV87" s="5" t="n"/>
      <c r="AW87" s="5" t="n"/>
      <c r="AX87" s="5" t="n"/>
      <c r="AY87" s="5" t="n"/>
      <c r="AZ87" s="5" t="n"/>
      <c r="BA87" s="5" t="n"/>
      <c r="BB87" s="5" t="n"/>
      <c r="BC87" s="5" t="n"/>
      <c r="BD87" s="5" t="n"/>
      <c r="BE87" s="5" t="n"/>
      <c r="BF87" s="5" t="n"/>
      <c r="BG87" s="5" t="n"/>
      <c r="BH87" s="5" t="n"/>
      <c r="BI87" s="5" t="n"/>
      <c r="BJ87" s="5" t="n"/>
      <c r="BK87" s="5" t="n"/>
      <c r="BL87" s="5" t="n"/>
      <c r="BM87" s="5" t="n"/>
      <c r="BN87" s="5" t="n"/>
      <c r="BO87" s="5" t="n"/>
      <c r="BP87" s="5" t="n"/>
      <c r="BQ87" s="5" t="n"/>
      <c r="BR87" s="5" t="n"/>
      <c r="BS87" s="5" t="n"/>
      <c r="BT87" s="5" t="n"/>
      <c r="BU87" s="5" t="n"/>
      <c r="BV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  <c r="AN88" s="5" t="n"/>
      <c r="AO88" s="5" t="n"/>
      <c r="AP88" s="5" t="n"/>
      <c r="AQ88" s="5" t="n"/>
      <c r="AR88" s="5" t="n"/>
      <c r="AS88" s="5" t="n"/>
      <c r="AT88" s="5" t="n"/>
      <c r="AU88" s="5" t="n"/>
      <c r="AV88" s="5" t="n"/>
      <c r="AW88" s="5" t="n"/>
      <c r="AX88" s="5" t="n"/>
      <c r="AY88" s="5" t="n"/>
      <c r="AZ88" s="5" t="n"/>
      <c r="BA88" s="5" t="n"/>
      <c r="BB88" s="5" t="n"/>
      <c r="BC88" s="5" t="n"/>
      <c r="BD88" s="5" t="n"/>
      <c r="BE88" s="5" t="n"/>
      <c r="BF88" s="5" t="n"/>
      <c r="BG88" s="5" t="n"/>
      <c r="BH88" s="5" t="n"/>
      <c r="BI88" s="5" t="n"/>
      <c r="BJ88" s="5" t="n"/>
      <c r="BK88" s="5" t="n"/>
      <c r="BL88" s="5" t="n"/>
      <c r="BM88" s="5" t="n"/>
      <c r="BN88" s="5" t="n"/>
      <c r="BO88" s="5" t="n"/>
      <c r="BP88" s="5" t="n"/>
      <c r="BQ88" s="5" t="n"/>
      <c r="BR88" s="5" t="n"/>
      <c r="BS88" s="5" t="n"/>
      <c r="BT88" s="5" t="n"/>
      <c r="BU88" s="5" t="n"/>
      <c r="BV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  <c r="AN89" s="5" t="n"/>
      <c r="AO89" s="5" t="n"/>
      <c r="AP89" s="5" t="n"/>
      <c r="AQ89" s="5" t="n"/>
      <c r="AR89" s="5" t="n"/>
      <c r="AS89" s="5" t="n"/>
      <c r="AT89" s="5" t="n"/>
      <c r="AU89" s="5" t="n"/>
      <c r="AV89" s="5" t="n"/>
      <c r="AW89" s="5" t="n"/>
      <c r="AX89" s="5" t="n"/>
      <c r="AY89" s="5" t="n"/>
      <c r="AZ89" s="5" t="n"/>
      <c r="BA89" s="5" t="n"/>
      <c r="BB89" s="5" t="n"/>
      <c r="BC89" s="5" t="n"/>
      <c r="BD89" s="5" t="n"/>
      <c r="BE89" s="5" t="n"/>
      <c r="BF89" s="5" t="n"/>
      <c r="BG89" s="5" t="n"/>
      <c r="BH89" s="5" t="n"/>
      <c r="BI89" s="5" t="n"/>
      <c r="BJ89" s="5" t="n"/>
      <c r="BK89" s="5" t="n"/>
      <c r="BL89" s="5" t="n"/>
      <c r="BM89" s="5" t="n"/>
      <c r="BN89" s="5" t="n"/>
      <c r="BO89" s="5" t="n"/>
      <c r="BP89" s="5" t="n"/>
      <c r="BQ89" s="5" t="n"/>
      <c r="BR89" s="5" t="n"/>
      <c r="BS89" s="5" t="n"/>
      <c r="BT89" s="5" t="n"/>
      <c r="BU89" s="5" t="n"/>
      <c r="BV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  <c r="AN90" s="5" t="n"/>
      <c r="AO90" s="5" t="n"/>
      <c r="AP90" s="5" t="n"/>
      <c r="AQ90" s="5" t="n"/>
      <c r="AR90" s="5" t="n"/>
      <c r="AS90" s="5" t="n"/>
      <c r="AT90" s="5" t="n"/>
      <c r="AU90" s="5" t="n"/>
      <c r="AV90" s="5" t="n"/>
      <c r="AW90" s="5" t="n"/>
      <c r="AX90" s="5" t="n"/>
      <c r="AY90" s="5" t="n"/>
      <c r="AZ90" s="5" t="n"/>
      <c r="BA90" s="5" t="n"/>
      <c r="BB90" s="5" t="n"/>
      <c r="BC90" s="5" t="n"/>
      <c r="BD90" s="5" t="n"/>
      <c r="BE90" s="5" t="n"/>
      <c r="BF90" s="5" t="n"/>
      <c r="BG90" s="5" t="n"/>
      <c r="BH90" s="5" t="n"/>
      <c r="BI90" s="5" t="n"/>
      <c r="BJ90" s="5" t="n"/>
      <c r="BK90" s="5" t="n"/>
      <c r="BL90" s="5" t="n"/>
      <c r="BM90" s="5" t="n"/>
      <c r="BN90" s="5" t="n"/>
      <c r="BO90" s="5" t="n"/>
      <c r="BP90" s="5" t="n"/>
      <c r="BQ90" s="5" t="n"/>
      <c r="BR90" s="5" t="n"/>
      <c r="BS90" s="5" t="n"/>
      <c r="BT90" s="5" t="n"/>
      <c r="BU90" s="5" t="n"/>
      <c r="BV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N91" s="5" t="n"/>
      <c r="AO91" s="5" t="n"/>
      <c r="AP91" s="5" t="n"/>
      <c r="AQ91" s="5" t="n"/>
      <c r="AR91" s="5" t="n"/>
      <c r="AS91" s="5" t="n"/>
      <c r="AT91" s="5" t="n"/>
      <c r="AU91" s="5" t="n"/>
      <c r="AV91" s="5" t="n"/>
      <c r="AW91" s="5" t="n"/>
      <c r="AX91" s="5" t="n"/>
      <c r="AY91" s="5" t="n"/>
      <c r="AZ91" s="5" t="n"/>
      <c r="BA91" s="5" t="n"/>
      <c r="BB91" s="5" t="n"/>
      <c r="BC91" s="5" t="n"/>
      <c r="BD91" s="5" t="n"/>
      <c r="BE91" s="5" t="n"/>
      <c r="BF91" s="5" t="n"/>
      <c r="BG91" s="5" t="n"/>
      <c r="BH91" s="5" t="n"/>
      <c r="BI91" s="5" t="n"/>
      <c r="BJ91" s="5" t="n"/>
      <c r="BK91" s="5" t="n"/>
      <c r="BL91" s="5" t="n"/>
      <c r="BM91" s="5" t="n"/>
      <c r="BN91" s="5" t="n"/>
      <c r="BO91" s="5" t="n"/>
      <c r="BP91" s="5" t="n"/>
      <c r="BQ91" s="5" t="n"/>
      <c r="BR91" s="5" t="n"/>
      <c r="BS91" s="5" t="n"/>
      <c r="BT91" s="5" t="n"/>
      <c r="BU91" s="5" t="n"/>
      <c r="BV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  <c r="AN92" s="5" t="n"/>
      <c r="AO92" s="5" t="n"/>
      <c r="AP92" s="5" t="n"/>
      <c r="AQ92" s="5" t="n"/>
      <c r="AR92" s="5" t="n"/>
      <c r="AS92" s="5" t="n"/>
      <c r="AT92" s="5" t="n"/>
      <c r="AU92" s="5" t="n"/>
      <c r="AV92" s="5" t="n"/>
      <c r="AW92" s="5" t="n"/>
      <c r="AX92" s="5" t="n"/>
      <c r="AY92" s="5" t="n"/>
      <c r="AZ92" s="5" t="n"/>
      <c r="BA92" s="5" t="n"/>
      <c r="BB92" s="5" t="n"/>
      <c r="BC92" s="5" t="n"/>
      <c r="BD92" s="5" t="n"/>
      <c r="BE92" s="5" t="n"/>
      <c r="BF92" s="5" t="n"/>
      <c r="BG92" s="5" t="n"/>
      <c r="BH92" s="5" t="n"/>
      <c r="BI92" s="5" t="n"/>
      <c r="BJ92" s="5" t="n"/>
      <c r="BK92" s="5" t="n"/>
      <c r="BL92" s="5" t="n"/>
      <c r="BM92" s="5" t="n"/>
      <c r="BN92" s="5" t="n"/>
      <c r="BO92" s="5" t="n"/>
      <c r="BP92" s="5" t="n"/>
      <c r="BQ92" s="5" t="n"/>
      <c r="BR92" s="5" t="n"/>
      <c r="BS92" s="5" t="n"/>
      <c r="BT92" s="5" t="n"/>
      <c r="BU92" s="5" t="n"/>
      <c r="BV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  <c r="AO93" s="5" t="n"/>
      <c r="AP93" s="5" t="n"/>
      <c r="AQ93" s="5" t="n"/>
      <c r="AR93" s="5" t="n"/>
      <c r="AS93" s="5" t="n"/>
      <c r="AT93" s="5" t="n"/>
      <c r="AU93" s="5" t="n"/>
      <c r="AV93" s="5" t="n"/>
      <c r="AW93" s="5" t="n"/>
      <c r="AX93" s="5" t="n"/>
      <c r="AY93" s="5" t="n"/>
      <c r="AZ93" s="5" t="n"/>
      <c r="BA93" s="5" t="n"/>
      <c r="BB93" s="5" t="n"/>
      <c r="BC93" s="5" t="n"/>
      <c r="BD93" s="5" t="n"/>
      <c r="BE93" s="5" t="n"/>
      <c r="BF93" s="5" t="n"/>
      <c r="BG93" s="5" t="n"/>
      <c r="BH93" s="5" t="n"/>
      <c r="BI93" s="5" t="n"/>
      <c r="BJ93" s="5" t="n"/>
      <c r="BK93" s="5" t="n"/>
      <c r="BL93" s="5" t="n"/>
      <c r="BM93" s="5" t="n"/>
      <c r="BN93" s="5" t="n"/>
      <c r="BO93" s="5" t="n"/>
      <c r="BP93" s="5" t="n"/>
      <c r="BQ93" s="5" t="n"/>
      <c r="BR93" s="5" t="n"/>
      <c r="BS93" s="5" t="n"/>
      <c r="BT93" s="5" t="n"/>
      <c r="BU93" s="5" t="n"/>
      <c r="BV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  <c r="AN94" s="5" t="n"/>
      <c r="AO94" s="5" t="n"/>
      <c r="AP94" s="5" t="n"/>
      <c r="AQ94" s="5" t="n"/>
      <c r="AR94" s="5" t="n"/>
      <c r="AS94" s="5" t="n"/>
      <c r="AT94" s="5" t="n"/>
      <c r="AU94" s="5" t="n"/>
      <c r="AV94" s="5" t="n"/>
      <c r="AW94" s="5" t="n"/>
      <c r="AX94" s="5" t="n"/>
      <c r="AY94" s="5" t="n"/>
      <c r="AZ94" s="5" t="n"/>
      <c r="BA94" s="5" t="n"/>
      <c r="BB94" s="5" t="n"/>
      <c r="BC94" s="5" t="n"/>
      <c r="BD94" s="5" t="n"/>
      <c r="BE94" s="5" t="n"/>
      <c r="BF94" s="5" t="n"/>
      <c r="BG94" s="5" t="n"/>
      <c r="BH94" s="5" t="n"/>
      <c r="BI94" s="5" t="n"/>
      <c r="BJ94" s="5" t="n"/>
      <c r="BK94" s="5" t="n"/>
      <c r="BL94" s="5" t="n"/>
      <c r="BM94" s="5" t="n"/>
      <c r="BN94" s="5" t="n"/>
      <c r="BO94" s="5" t="n"/>
      <c r="BP94" s="5" t="n"/>
      <c r="BQ94" s="5" t="n"/>
      <c r="BR94" s="5" t="n"/>
      <c r="BS94" s="5" t="n"/>
      <c r="BT94" s="5" t="n"/>
      <c r="BU94" s="5" t="n"/>
      <c r="BV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  <c r="AN95" s="5" t="n"/>
      <c r="AO95" s="5" t="n"/>
      <c r="AP95" s="5" t="n"/>
      <c r="AQ95" s="5" t="n"/>
      <c r="AR95" s="5" t="n"/>
      <c r="AS95" s="5" t="n"/>
      <c r="AT95" s="5" t="n"/>
      <c r="AU95" s="5" t="n"/>
      <c r="AV95" s="5" t="n"/>
      <c r="AW95" s="5" t="n"/>
      <c r="AX95" s="5" t="n"/>
      <c r="AY95" s="5" t="n"/>
      <c r="AZ95" s="5" t="n"/>
      <c r="BA95" s="5" t="n"/>
      <c r="BB95" s="5" t="n"/>
      <c r="BC95" s="5" t="n"/>
      <c r="BD95" s="5" t="n"/>
      <c r="BE95" s="5" t="n"/>
      <c r="BF95" s="5" t="n"/>
      <c r="BG95" s="5" t="n"/>
      <c r="BH95" s="5" t="n"/>
      <c r="BI95" s="5" t="n"/>
      <c r="BJ95" s="5" t="n"/>
      <c r="BK95" s="5" t="n"/>
      <c r="BL95" s="5" t="n"/>
      <c r="BM95" s="5" t="n"/>
      <c r="BN95" s="5" t="n"/>
      <c r="BO95" s="5" t="n"/>
      <c r="BP95" s="5" t="n"/>
      <c r="BQ95" s="5" t="n"/>
      <c r="BR95" s="5" t="n"/>
      <c r="BS95" s="5" t="n"/>
      <c r="BT95" s="5" t="n"/>
      <c r="BU95" s="5" t="n"/>
      <c r="BV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  <c r="AN96" s="5" t="n"/>
      <c r="AO96" s="5" t="n"/>
      <c r="AP96" s="5" t="n"/>
      <c r="AQ96" s="5" t="n"/>
      <c r="AR96" s="5" t="n"/>
      <c r="AS96" s="5" t="n"/>
      <c r="AT96" s="5" t="n"/>
      <c r="AU96" s="5" t="n"/>
      <c r="AV96" s="5" t="n"/>
      <c r="AW96" s="5" t="n"/>
      <c r="AX96" s="5" t="n"/>
      <c r="AY96" s="5" t="n"/>
      <c r="AZ96" s="5" t="n"/>
      <c r="BA96" s="5" t="n"/>
      <c r="BB96" s="5" t="n"/>
      <c r="BC96" s="5" t="n"/>
      <c r="BD96" s="5" t="n"/>
      <c r="BE96" s="5" t="n"/>
      <c r="BF96" s="5" t="n"/>
      <c r="BG96" s="5" t="n"/>
      <c r="BH96" s="5" t="n"/>
      <c r="BI96" s="5" t="n"/>
      <c r="BJ96" s="5" t="n"/>
      <c r="BK96" s="5" t="n"/>
      <c r="BL96" s="5" t="n"/>
      <c r="BM96" s="5" t="n"/>
      <c r="BN96" s="5" t="n"/>
      <c r="BO96" s="5" t="n"/>
      <c r="BP96" s="5" t="n"/>
      <c r="BQ96" s="5" t="n"/>
      <c r="BR96" s="5" t="n"/>
      <c r="BS96" s="5" t="n"/>
      <c r="BT96" s="5" t="n"/>
      <c r="BU96" s="5" t="n"/>
      <c r="BV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N97" s="5" t="n"/>
      <c r="AO97" s="5" t="n"/>
      <c r="AP97" s="5" t="n"/>
      <c r="AQ97" s="5" t="n"/>
      <c r="AR97" s="5" t="n"/>
      <c r="AS97" s="5" t="n"/>
      <c r="AT97" s="5" t="n"/>
      <c r="AU97" s="5" t="n"/>
      <c r="AV97" s="5" t="n"/>
      <c r="AW97" s="5" t="n"/>
      <c r="AX97" s="5" t="n"/>
      <c r="AY97" s="5" t="n"/>
      <c r="AZ97" s="5" t="n"/>
      <c r="BA97" s="5" t="n"/>
      <c r="BB97" s="5" t="n"/>
      <c r="BC97" s="5" t="n"/>
      <c r="BD97" s="5" t="n"/>
      <c r="BE97" s="5" t="n"/>
      <c r="BF97" s="5" t="n"/>
      <c r="BG97" s="5" t="n"/>
      <c r="BH97" s="5" t="n"/>
      <c r="BI97" s="5" t="n"/>
      <c r="BJ97" s="5" t="n"/>
      <c r="BK97" s="5" t="n"/>
      <c r="BL97" s="5" t="n"/>
      <c r="BM97" s="5" t="n"/>
      <c r="BN97" s="5" t="n"/>
      <c r="BO97" s="5" t="n"/>
      <c r="BP97" s="5" t="n"/>
      <c r="BQ97" s="5" t="n"/>
      <c r="BR97" s="5" t="n"/>
      <c r="BS97" s="5" t="n"/>
      <c r="BT97" s="5" t="n"/>
      <c r="BU97" s="5" t="n"/>
      <c r="BV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  <c r="AN98" s="5" t="n"/>
      <c r="AO98" s="5" t="n"/>
      <c r="AP98" s="5" t="n"/>
      <c r="AQ98" s="5" t="n"/>
      <c r="AR98" s="5" t="n"/>
      <c r="AS98" s="5" t="n"/>
      <c r="AT98" s="5" t="n"/>
      <c r="AU98" s="5" t="n"/>
      <c r="AV98" s="5" t="n"/>
      <c r="AW98" s="5" t="n"/>
      <c r="AX98" s="5" t="n"/>
      <c r="AY98" s="5" t="n"/>
      <c r="AZ98" s="5" t="n"/>
      <c r="BA98" s="5" t="n"/>
      <c r="BB98" s="5" t="n"/>
      <c r="BC98" s="5" t="n"/>
      <c r="BD98" s="5" t="n"/>
      <c r="BE98" s="5" t="n"/>
      <c r="BF98" s="5" t="n"/>
      <c r="BG98" s="5" t="n"/>
      <c r="BH98" s="5" t="n"/>
      <c r="BI98" s="5" t="n"/>
      <c r="BJ98" s="5" t="n"/>
      <c r="BK98" s="5" t="n"/>
      <c r="BL98" s="5" t="n"/>
      <c r="BM98" s="5" t="n"/>
      <c r="BN98" s="5" t="n"/>
      <c r="BO98" s="5" t="n"/>
      <c r="BP98" s="5" t="n"/>
      <c r="BQ98" s="5" t="n"/>
      <c r="BR98" s="5" t="n"/>
      <c r="BS98" s="5" t="n"/>
      <c r="BT98" s="5" t="n"/>
      <c r="BU98" s="5" t="n"/>
      <c r="BV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  <c r="AN99" s="5" t="n"/>
      <c r="AO99" s="5" t="n"/>
      <c r="AP99" s="5" t="n"/>
      <c r="AQ99" s="5" t="n"/>
      <c r="AR99" s="5" t="n"/>
      <c r="AS99" s="5" t="n"/>
      <c r="AT99" s="5" t="n"/>
      <c r="AU99" s="5" t="n"/>
      <c r="AV99" s="5" t="n"/>
      <c r="AW99" s="5" t="n"/>
      <c r="AX99" s="5" t="n"/>
      <c r="AY99" s="5" t="n"/>
      <c r="AZ99" s="5" t="n"/>
      <c r="BA99" s="5" t="n"/>
      <c r="BB99" s="5" t="n"/>
      <c r="BC99" s="5" t="n"/>
      <c r="BD99" s="5" t="n"/>
      <c r="BE99" s="5" t="n"/>
      <c r="BF99" s="5" t="n"/>
      <c r="BG99" s="5" t="n"/>
      <c r="BH99" s="5" t="n"/>
      <c r="BI99" s="5" t="n"/>
      <c r="BJ99" s="5" t="n"/>
      <c r="BK99" s="5" t="n"/>
      <c r="BL99" s="5" t="n"/>
      <c r="BM99" s="5" t="n"/>
      <c r="BN99" s="5" t="n"/>
      <c r="BO99" s="5" t="n"/>
      <c r="BP99" s="5" t="n"/>
      <c r="BQ99" s="5" t="n"/>
      <c r="BR99" s="5" t="n"/>
      <c r="BS99" s="5" t="n"/>
      <c r="BT99" s="5" t="n"/>
      <c r="BU99" s="5" t="n"/>
      <c r="BV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  <c r="AN100" s="5" t="n"/>
      <c r="AO100" s="5" t="n"/>
      <c r="AP100" s="5" t="n"/>
      <c r="AQ100" s="5" t="n"/>
      <c r="AR100" s="5" t="n"/>
      <c r="AS100" s="5" t="n"/>
      <c r="AT100" s="5" t="n"/>
      <c r="AU100" s="5" t="n"/>
      <c r="AV100" s="5" t="n"/>
      <c r="AW100" s="5" t="n"/>
      <c r="AX100" s="5" t="n"/>
      <c r="AY100" s="5" t="n"/>
      <c r="AZ100" s="5" t="n"/>
      <c r="BA100" s="5" t="n"/>
      <c r="BB100" s="5" t="n"/>
      <c r="BC100" s="5" t="n"/>
      <c r="BD100" s="5" t="n"/>
      <c r="BE100" s="5" t="n"/>
      <c r="BF100" s="5" t="n"/>
      <c r="BG100" s="5" t="n"/>
      <c r="BH100" s="5" t="n"/>
      <c r="BI100" s="5" t="n"/>
      <c r="BJ100" s="5" t="n"/>
      <c r="BK100" s="5" t="n"/>
      <c r="BL100" s="5" t="n"/>
      <c r="BM100" s="5" t="n"/>
      <c r="BN100" s="5" t="n"/>
      <c r="BO100" s="5" t="n"/>
      <c r="BP100" s="5" t="n"/>
      <c r="BQ100" s="5" t="n"/>
      <c r="BR100" s="5" t="n"/>
      <c r="BS100" s="5" t="n"/>
      <c r="BT100" s="5" t="n"/>
      <c r="BU100" s="5" t="n"/>
      <c r="BV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  <c r="AN101" s="5" t="n"/>
      <c r="AO101" s="5" t="n"/>
      <c r="AP101" s="5" t="n"/>
      <c r="AQ101" s="5" t="n"/>
      <c r="AR101" s="5" t="n"/>
      <c r="AS101" s="5" t="n"/>
      <c r="AT101" s="5" t="n"/>
      <c r="AU101" s="5" t="n"/>
      <c r="AV101" s="5" t="n"/>
      <c r="AW101" s="5" t="n"/>
      <c r="AX101" s="5" t="n"/>
      <c r="AY101" s="5" t="n"/>
      <c r="AZ101" s="5" t="n"/>
      <c r="BA101" s="5" t="n"/>
      <c r="BB101" s="5" t="n"/>
      <c r="BC101" s="5" t="n"/>
      <c r="BD101" s="5" t="n"/>
      <c r="BE101" s="5" t="n"/>
      <c r="BF101" s="5" t="n"/>
      <c r="BG101" s="5" t="n"/>
      <c r="BH101" s="5" t="n"/>
      <c r="BI101" s="5" t="n"/>
      <c r="BJ101" s="5" t="n"/>
      <c r="BK101" s="5" t="n"/>
      <c r="BL101" s="5" t="n"/>
      <c r="BM101" s="5" t="n"/>
      <c r="BN101" s="5" t="n"/>
      <c r="BO101" s="5" t="n"/>
      <c r="BP101" s="5" t="n"/>
      <c r="BQ101" s="5" t="n"/>
      <c r="BR101" s="5" t="n"/>
      <c r="BS101" s="5" t="n"/>
      <c r="BT101" s="5" t="n"/>
      <c r="BU101" s="5" t="n"/>
      <c r="BV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  <c r="AN102" s="5" t="n"/>
      <c r="AO102" s="5" t="n"/>
      <c r="AP102" s="5" t="n"/>
      <c r="AQ102" s="5" t="n"/>
      <c r="AR102" s="5" t="n"/>
      <c r="AS102" s="5" t="n"/>
      <c r="AT102" s="5" t="n"/>
      <c r="AU102" s="5" t="n"/>
      <c r="AV102" s="5" t="n"/>
      <c r="AW102" s="5" t="n"/>
      <c r="AX102" s="5" t="n"/>
      <c r="AY102" s="5" t="n"/>
      <c r="AZ102" s="5" t="n"/>
      <c r="BA102" s="5" t="n"/>
      <c r="BB102" s="5" t="n"/>
      <c r="BC102" s="5" t="n"/>
      <c r="BD102" s="5" t="n"/>
      <c r="BE102" s="5" t="n"/>
      <c r="BF102" s="5" t="n"/>
      <c r="BG102" s="5" t="n"/>
      <c r="BH102" s="5" t="n"/>
      <c r="BI102" s="5" t="n"/>
      <c r="BJ102" s="5" t="n"/>
      <c r="BK102" s="5" t="n"/>
      <c r="BL102" s="5" t="n"/>
      <c r="BM102" s="5" t="n"/>
      <c r="BN102" s="5" t="n"/>
      <c r="BO102" s="5" t="n"/>
      <c r="BP102" s="5" t="n"/>
      <c r="BQ102" s="5" t="n"/>
      <c r="BR102" s="5" t="n"/>
      <c r="BS102" s="5" t="n"/>
      <c r="BT102" s="5" t="n"/>
      <c r="BU102" s="5" t="n"/>
      <c r="BV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  <c r="AN103" s="5" t="n"/>
      <c r="AO103" s="5" t="n"/>
      <c r="AP103" s="5" t="n"/>
      <c r="AQ103" s="5" t="n"/>
      <c r="AR103" s="5" t="n"/>
      <c r="AS103" s="5" t="n"/>
      <c r="AT103" s="5" t="n"/>
      <c r="AU103" s="5" t="n"/>
      <c r="AV103" s="5" t="n"/>
      <c r="AW103" s="5" t="n"/>
      <c r="AX103" s="5" t="n"/>
      <c r="AY103" s="5" t="n"/>
      <c r="AZ103" s="5" t="n"/>
      <c r="BA103" s="5" t="n"/>
      <c r="BB103" s="5" t="n"/>
      <c r="BC103" s="5" t="n"/>
      <c r="BD103" s="5" t="n"/>
      <c r="BE103" s="5" t="n"/>
      <c r="BF103" s="5" t="n"/>
      <c r="BG103" s="5" t="n"/>
      <c r="BH103" s="5" t="n"/>
      <c r="BI103" s="5" t="n"/>
      <c r="BJ103" s="5" t="n"/>
      <c r="BK103" s="5" t="n"/>
      <c r="BL103" s="5" t="n"/>
      <c r="BM103" s="5" t="n"/>
      <c r="BN103" s="5" t="n"/>
      <c r="BO103" s="5" t="n"/>
      <c r="BP103" s="5" t="n"/>
      <c r="BQ103" s="5" t="n"/>
      <c r="BR103" s="5" t="n"/>
      <c r="BS103" s="5" t="n"/>
      <c r="BT103" s="5" t="n"/>
      <c r="BU103" s="5" t="n"/>
      <c r="BV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  <c r="AN104" s="5" t="n"/>
      <c r="AO104" s="5" t="n"/>
      <c r="AP104" s="5" t="n"/>
      <c r="AQ104" s="5" t="n"/>
      <c r="AR104" s="5" t="n"/>
      <c r="AS104" s="5" t="n"/>
      <c r="AT104" s="5" t="n"/>
      <c r="AU104" s="5" t="n"/>
      <c r="AV104" s="5" t="n"/>
      <c r="AW104" s="5" t="n"/>
      <c r="AX104" s="5" t="n"/>
      <c r="AY104" s="5" t="n"/>
      <c r="AZ104" s="5" t="n"/>
      <c r="BA104" s="5" t="n"/>
      <c r="BB104" s="5" t="n"/>
      <c r="BC104" s="5" t="n"/>
      <c r="BD104" s="5" t="n"/>
      <c r="BE104" s="5" t="n"/>
      <c r="BF104" s="5" t="n"/>
      <c r="BG104" s="5" t="n"/>
      <c r="BH104" s="5" t="n"/>
      <c r="BI104" s="5" t="n"/>
      <c r="BJ104" s="5" t="n"/>
      <c r="BK104" s="5" t="n"/>
      <c r="BL104" s="5" t="n"/>
      <c r="BM104" s="5" t="n"/>
      <c r="BN104" s="5" t="n"/>
      <c r="BO104" s="5" t="n"/>
      <c r="BP104" s="5" t="n"/>
      <c r="BQ104" s="5" t="n"/>
      <c r="BR104" s="5" t="n"/>
      <c r="BS104" s="5" t="n"/>
      <c r="BT104" s="5" t="n"/>
      <c r="BU104" s="5" t="n"/>
      <c r="BV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  <c r="AS105" s="5" t="n"/>
      <c r="AT105" s="5" t="n"/>
      <c r="AU105" s="5" t="n"/>
      <c r="AV105" s="5" t="n"/>
      <c r="AW105" s="5" t="n"/>
      <c r="AX105" s="5" t="n"/>
      <c r="AY105" s="5" t="n"/>
      <c r="AZ105" s="5" t="n"/>
      <c r="BA105" s="5" t="n"/>
      <c r="BB105" s="5" t="n"/>
      <c r="BC105" s="5" t="n"/>
      <c r="BD105" s="5" t="n"/>
      <c r="BE105" s="5" t="n"/>
      <c r="BF105" s="5" t="n"/>
      <c r="BG105" s="5" t="n"/>
      <c r="BH105" s="5" t="n"/>
      <c r="BI105" s="5" t="n"/>
      <c r="BJ105" s="5" t="n"/>
      <c r="BK105" s="5" t="n"/>
      <c r="BL105" s="5" t="n"/>
      <c r="BM105" s="5" t="n"/>
      <c r="BN105" s="5" t="n"/>
      <c r="BO105" s="5" t="n"/>
      <c r="BP105" s="5" t="n"/>
      <c r="BQ105" s="5" t="n"/>
      <c r="BR105" s="5" t="n"/>
      <c r="BS105" s="5" t="n"/>
      <c r="BT105" s="5" t="n"/>
      <c r="BU105" s="5" t="n"/>
      <c r="BV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  <c r="AN106" s="5" t="n"/>
      <c r="AO106" s="5" t="n"/>
      <c r="AP106" s="5" t="n"/>
      <c r="AQ106" s="5" t="n"/>
      <c r="AR106" s="5" t="n"/>
      <c r="AS106" s="5" t="n"/>
      <c r="AT106" s="5" t="n"/>
      <c r="AU106" s="5" t="n"/>
      <c r="AV106" s="5" t="n"/>
      <c r="AW106" s="5" t="n"/>
      <c r="AX106" s="5" t="n"/>
      <c r="AY106" s="5" t="n"/>
      <c r="AZ106" s="5" t="n"/>
      <c r="BA106" s="5" t="n"/>
      <c r="BB106" s="5" t="n"/>
      <c r="BC106" s="5" t="n"/>
      <c r="BD106" s="5" t="n"/>
      <c r="BE106" s="5" t="n"/>
      <c r="BF106" s="5" t="n"/>
      <c r="BG106" s="5" t="n"/>
      <c r="BH106" s="5" t="n"/>
      <c r="BI106" s="5" t="n"/>
      <c r="BJ106" s="5" t="n"/>
      <c r="BK106" s="5" t="n"/>
      <c r="BL106" s="5" t="n"/>
      <c r="BM106" s="5" t="n"/>
      <c r="BN106" s="5" t="n"/>
      <c r="BO106" s="5" t="n"/>
      <c r="BP106" s="5" t="n"/>
      <c r="BQ106" s="5" t="n"/>
      <c r="BR106" s="5" t="n"/>
      <c r="BS106" s="5" t="n"/>
      <c r="BT106" s="5" t="n"/>
      <c r="BU106" s="5" t="n"/>
      <c r="BV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  <c r="AN107" s="5" t="n"/>
      <c r="AO107" s="5" t="n"/>
      <c r="AP107" s="5" t="n"/>
      <c r="AQ107" s="5" t="n"/>
      <c r="AR107" s="5" t="n"/>
      <c r="AS107" s="5" t="n"/>
      <c r="AT107" s="5" t="n"/>
      <c r="AU107" s="5" t="n"/>
      <c r="AV107" s="5" t="n"/>
      <c r="AW107" s="5" t="n"/>
      <c r="AX107" s="5" t="n"/>
      <c r="AY107" s="5" t="n"/>
      <c r="AZ107" s="5" t="n"/>
      <c r="BA107" s="5" t="n"/>
      <c r="BB107" s="5" t="n"/>
      <c r="BC107" s="5" t="n"/>
      <c r="BD107" s="5" t="n"/>
      <c r="BE107" s="5" t="n"/>
      <c r="BF107" s="5" t="n"/>
      <c r="BG107" s="5" t="n"/>
      <c r="BH107" s="5" t="n"/>
      <c r="BI107" s="5" t="n"/>
      <c r="BJ107" s="5" t="n"/>
      <c r="BK107" s="5" t="n"/>
      <c r="BL107" s="5" t="n"/>
      <c r="BM107" s="5" t="n"/>
      <c r="BN107" s="5" t="n"/>
      <c r="BO107" s="5" t="n"/>
      <c r="BP107" s="5" t="n"/>
      <c r="BQ107" s="5" t="n"/>
      <c r="BR107" s="5" t="n"/>
      <c r="BS107" s="5" t="n"/>
      <c r="BT107" s="5" t="n"/>
      <c r="BU107" s="5" t="n"/>
      <c r="BV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  <c r="AN108" s="5" t="n"/>
      <c r="AO108" s="5" t="n"/>
      <c r="AP108" s="5" t="n"/>
      <c r="AQ108" s="5" t="n"/>
      <c r="AR108" s="5" t="n"/>
      <c r="AS108" s="5" t="n"/>
      <c r="AT108" s="5" t="n"/>
      <c r="AU108" s="5" t="n"/>
      <c r="AV108" s="5" t="n"/>
      <c r="AW108" s="5" t="n"/>
      <c r="AX108" s="5" t="n"/>
      <c r="AY108" s="5" t="n"/>
      <c r="AZ108" s="5" t="n"/>
      <c r="BA108" s="5" t="n"/>
      <c r="BB108" s="5" t="n"/>
      <c r="BC108" s="5" t="n"/>
      <c r="BD108" s="5" t="n"/>
      <c r="BE108" s="5" t="n"/>
      <c r="BF108" s="5" t="n"/>
      <c r="BG108" s="5" t="n"/>
      <c r="BH108" s="5" t="n"/>
      <c r="BI108" s="5" t="n"/>
      <c r="BJ108" s="5" t="n"/>
      <c r="BK108" s="5" t="n"/>
      <c r="BL108" s="5" t="n"/>
      <c r="BM108" s="5" t="n"/>
      <c r="BN108" s="5" t="n"/>
      <c r="BO108" s="5" t="n"/>
      <c r="BP108" s="5" t="n"/>
      <c r="BQ108" s="5" t="n"/>
      <c r="BR108" s="5" t="n"/>
      <c r="BS108" s="5" t="n"/>
      <c r="BT108" s="5" t="n"/>
      <c r="BU108" s="5" t="n"/>
      <c r="BV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  <c r="AN109" s="5" t="n"/>
      <c r="AO109" s="5" t="n"/>
      <c r="AP109" s="5" t="n"/>
      <c r="AQ109" s="5" t="n"/>
      <c r="AR109" s="5" t="n"/>
      <c r="AS109" s="5" t="n"/>
      <c r="AT109" s="5" t="n"/>
      <c r="AU109" s="5" t="n"/>
      <c r="AV109" s="5" t="n"/>
      <c r="AW109" s="5" t="n"/>
      <c r="AX109" s="5" t="n"/>
      <c r="AY109" s="5" t="n"/>
      <c r="AZ109" s="5" t="n"/>
      <c r="BA109" s="5" t="n"/>
      <c r="BB109" s="5" t="n"/>
      <c r="BC109" s="5" t="n"/>
      <c r="BD109" s="5" t="n"/>
      <c r="BE109" s="5" t="n"/>
      <c r="BF109" s="5" t="n"/>
      <c r="BG109" s="5" t="n"/>
      <c r="BH109" s="5" t="n"/>
      <c r="BI109" s="5" t="n"/>
      <c r="BJ109" s="5" t="n"/>
      <c r="BK109" s="5" t="n"/>
      <c r="BL109" s="5" t="n"/>
      <c r="BM109" s="5" t="n"/>
      <c r="BN109" s="5" t="n"/>
      <c r="BO109" s="5" t="n"/>
      <c r="BP109" s="5" t="n"/>
      <c r="BQ109" s="5" t="n"/>
      <c r="BR109" s="5" t="n"/>
      <c r="BS109" s="5" t="n"/>
      <c r="BT109" s="5" t="n"/>
      <c r="BU109" s="5" t="n"/>
      <c r="BV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  <c r="AN110" s="5" t="n"/>
      <c r="AO110" s="5" t="n"/>
      <c r="AP110" s="5" t="n"/>
      <c r="AQ110" s="5" t="n"/>
      <c r="AR110" s="5" t="n"/>
      <c r="AS110" s="5" t="n"/>
      <c r="AT110" s="5" t="n"/>
      <c r="AU110" s="5" t="n"/>
      <c r="AV110" s="5" t="n"/>
      <c r="AW110" s="5" t="n"/>
      <c r="AX110" s="5" t="n"/>
      <c r="AY110" s="5" t="n"/>
      <c r="AZ110" s="5" t="n"/>
      <c r="BA110" s="5" t="n"/>
      <c r="BB110" s="5" t="n"/>
      <c r="BC110" s="5" t="n"/>
      <c r="BD110" s="5" t="n"/>
      <c r="BE110" s="5" t="n"/>
      <c r="BF110" s="5" t="n"/>
      <c r="BG110" s="5" t="n"/>
      <c r="BH110" s="5" t="n"/>
      <c r="BI110" s="5" t="n"/>
      <c r="BJ110" s="5" t="n"/>
      <c r="BK110" s="5" t="n"/>
      <c r="BL110" s="5" t="n"/>
      <c r="BM110" s="5" t="n"/>
      <c r="BN110" s="5" t="n"/>
      <c r="BO110" s="5" t="n"/>
      <c r="BP110" s="5" t="n"/>
      <c r="BQ110" s="5" t="n"/>
      <c r="BR110" s="5" t="n"/>
      <c r="BS110" s="5" t="n"/>
      <c r="BT110" s="5" t="n"/>
      <c r="BU110" s="5" t="n"/>
      <c r="BV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  <c r="AN111" s="5" t="n"/>
      <c r="AO111" s="5" t="n"/>
      <c r="AP111" s="5" t="n"/>
      <c r="AQ111" s="5" t="n"/>
      <c r="AR111" s="5" t="n"/>
      <c r="AS111" s="5" t="n"/>
      <c r="AT111" s="5" t="n"/>
      <c r="AU111" s="5" t="n"/>
      <c r="AV111" s="5" t="n"/>
      <c r="AW111" s="5" t="n"/>
      <c r="AX111" s="5" t="n"/>
      <c r="AY111" s="5" t="n"/>
      <c r="AZ111" s="5" t="n"/>
      <c r="BA111" s="5" t="n"/>
      <c r="BB111" s="5" t="n"/>
      <c r="BC111" s="5" t="n"/>
      <c r="BD111" s="5" t="n"/>
      <c r="BE111" s="5" t="n"/>
      <c r="BF111" s="5" t="n"/>
      <c r="BG111" s="5" t="n"/>
      <c r="BH111" s="5" t="n"/>
      <c r="BI111" s="5" t="n"/>
      <c r="BJ111" s="5" t="n"/>
      <c r="BK111" s="5" t="n"/>
      <c r="BL111" s="5" t="n"/>
      <c r="BM111" s="5" t="n"/>
      <c r="BN111" s="5" t="n"/>
      <c r="BO111" s="5" t="n"/>
      <c r="BP111" s="5" t="n"/>
      <c r="BQ111" s="5" t="n"/>
      <c r="BR111" s="5" t="n"/>
      <c r="BS111" s="5" t="n"/>
      <c r="BT111" s="5" t="n"/>
      <c r="BU111" s="5" t="n"/>
      <c r="BV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  <c r="AN112" s="5" t="n"/>
      <c r="AO112" s="5" t="n"/>
      <c r="AP112" s="5" t="n"/>
      <c r="AQ112" s="5" t="n"/>
      <c r="AR112" s="5" t="n"/>
      <c r="AS112" s="5" t="n"/>
      <c r="AT112" s="5" t="n"/>
      <c r="AU112" s="5" t="n"/>
      <c r="AV112" s="5" t="n"/>
      <c r="AW112" s="5" t="n"/>
      <c r="AX112" s="5" t="n"/>
      <c r="AY112" s="5" t="n"/>
      <c r="AZ112" s="5" t="n"/>
      <c r="BA112" s="5" t="n"/>
      <c r="BB112" s="5" t="n"/>
      <c r="BC112" s="5" t="n"/>
      <c r="BD112" s="5" t="n"/>
      <c r="BE112" s="5" t="n"/>
      <c r="BF112" s="5" t="n"/>
      <c r="BG112" s="5" t="n"/>
      <c r="BH112" s="5" t="n"/>
      <c r="BI112" s="5" t="n"/>
      <c r="BJ112" s="5" t="n"/>
      <c r="BK112" s="5" t="n"/>
      <c r="BL112" s="5" t="n"/>
      <c r="BM112" s="5" t="n"/>
      <c r="BN112" s="5" t="n"/>
      <c r="BO112" s="5" t="n"/>
      <c r="BP112" s="5" t="n"/>
      <c r="BQ112" s="5" t="n"/>
      <c r="BR112" s="5" t="n"/>
      <c r="BS112" s="5" t="n"/>
      <c r="BT112" s="5" t="n"/>
      <c r="BU112" s="5" t="n"/>
      <c r="BV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  <c r="AN113" s="5" t="n"/>
      <c r="AO113" s="5" t="n"/>
      <c r="AP113" s="5" t="n"/>
      <c r="AQ113" s="5" t="n"/>
      <c r="AR113" s="5" t="n"/>
      <c r="AS113" s="5" t="n"/>
      <c r="AT113" s="5" t="n"/>
      <c r="AU113" s="5" t="n"/>
      <c r="AV113" s="5" t="n"/>
      <c r="AW113" s="5" t="n"/>
      <c r="AX113" s="5" t="n"/>
      <c r="AY113" s="5" t="n"/>
      <c r="AZ113" s="5" t="n"/>
      <c r="BA113" s="5" t="n"/>
      <c r="BB113" s="5" t="n"/>
      <c r="BC113" s="5" t="n"/>
      <c r="BD113" s="5" t="n"/>
      <c r="BE113" s="5" t="n"/>
      <c r="BF113" s="5" t="n"/>
      <c r="BG113" s="5" t="n"/>
      <c r="BH113" s="5" t="n"/>
      <c r="BI113" s="5" t="n"/>
      <c r="BJ113" s="5" t="n"/>
      <c r="BK113" s="5" t="n"/>
      <c r="BL113" s="5" t="n"/>
      <c r="BM113" s="5" t="n"/>
      <c r="BN113" s="5" t="n"/>
      <c r="BO113" s="5" t="n"/>
      <c r="BP113" s="5" t="n"/>
      <c r="BQ113" s="5" t="n"/>
      <c r="BR113" s="5" t="n"/>
      <c r="BS113" s="5" t="n"/>
      <c r="BT113" s="5" t="n"/>
      <c r="BU113" s="5" t="n"/>
      <c r="BV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  <c r="AN114" s="5" t="n"/>
      <c r="AO114" s="5" t="n"/>
      <c r="AP114" s="5" t="n"/>
      <c r="AQ114" s="5" t="n"/>
      <c r="AR114" s="5" t="n"/>
      <c r="AS114" s="5" t="n"/>
      <c r="AT114" s="5" t="n"/>
      <c r="AU114" s="5" t="n"/>
      <c r="AV114" s="5" t="n"/>
      <c r="AW114" s="5" t="n"/>
      <c r="AX114" s="5" t="n"/>
      <c r="AY114" s="5" t="n"/>
      <c r="AZ114" s="5" t="n"/>
      <c r="BA114" s="5" t="n"/>
      <c r="BB114" s="5" t="n"/>
      <c r="BC114" s="5" t="n"/>
      <c r="BD114" s="5" t="n"/>
      <c r="BE114" s="5" t="n"/>
      <c r="BF114" s="5" t="n"/>
      <c r="BG114" s="5" t="n"/>
      <c r="BH114" s="5" t="n"/>
      <c r="BI114" s="5" t="n"/>
      <c r="BJ114" s="5" t="n"/>
      <c r="BK114" s="5" t="n"/>
      <c r="BL114" s="5" t="n"/>
      <c r="BM114" s="5" t="n"/>
      <c r="BN114" s="5" t="n"/>
      <c r="BO114" s="5" t="n"/>
      <c r="BP114" s="5" t="n"/>
      <c r="BQ114" s="5" t="n"/>
      <c r="BR114" s="5" t="n"/>
      <c r="BS114" s="5" t="n"/>
      <c r="BT114" s="5" t="n"/>
      <c r="BU114" s="5" t="n"/>
      <c r="BV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  <c r="AO115" s="5" t="n"/>
      <c r="AP115" s="5" t="n"/>
      <c r="AQ115" s="5" t="n"/>
      <c r="AR115" s="5" t="n"/>
      <c r="AS115" s="5" t="n"/>
      <c r="AT115" s="5" t="n"/>
      <c r="AU115" s="5" t="n"/>
      <c r="AV115" s="5" t="n"/>
      <c r="AW115" s="5" t="n"/>
      <c r="AX115" s="5" t="n"/>
      <c r="AY115" s="5" t="n"/>
      <c r="AZ115" s="5" t="n"/>
      <c r="BA115" s="5" t="n"/>
      <c r="BB115" s="5" t="n"/>
      <c r="BC115" s="5" t="n"/>
      <c r="BD115" s="5" t="n"/>
      <c r="BE115" s="5" t="n"/>
      <c r="BF115" s="5" t="n"/>
      <c r="BG115" s="5" t="n"/>
      <c r="BH115" s="5" t="n"/>
      <c r="BI115" s="5" t="n"/>
      <c r="BJ115" s="5" t="n"/>
      <c r="BK115" s="5" t="n"/>
      <c r="BL115" s="5" t="n"/>
      <c r="BM115" s="5" t="n"/>
      <c r="BN115" s="5" t="n"/>
      <c r="BO115" s="5" t="n"/>
      <c r="BP115" s="5" t="n"/>
      <c r="BQ115" s="5" t="n"/>
      <c r="BR115" s="5" t="n"/>
      <c r="BS115" s="5" t="n"/>
      <c r="BT115" s="5" t="n"/>
      <c r="BU115" s="5" t="n"/>
      <c r="BV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  <c r="AN116" s="5" t="n"/>
      <c r="AO116" s="5" t="n"/>
      <c r="AP116" s="5" t="n"/>
      <c r="AQ116" s="5" t="n"/>
      <c r="AR116" s="5" t="n"/>
      <c r="AS116" s="5" t="n"/>
      <c r="AT116" s="5" t="n"/>
      <c r="AU116" s="5" t="n"/>
      <c r="AV116" s="5" t="n"/>
      <c r="AW116" s="5" t="n"/>
      <c r="AX116" s="5" t="n"/>
      <c r="AY116" s="5" t="n"/>
      <c r="AZ116" s="5" t="n"/>
      <c r="BA116" s="5" t="n"/>
      <c r="BB116" s="5" t="n"/>
      <c r="BC116" s="5" t="n"/>
      <c r="BD116" s="5" t="n"/>
      <c r="BE116" s="5" t="n"/>
      <c r="BF116" s="5" t="n"/>
      <c r="BG116" s="5" t="n"/>
      <c r="BH116" s="5" t="n"/>
      <c r="BI116" s="5" t="n"/>
      <c r="BJ116" s="5" t="n"/>
      <c r="BK116" s="5" t="n"/>
      <c r="BL116" s="5" t="n"/>
      <c r="BM116" s="5" t="n"/>
      <c r="BN116" s="5" t="n"/>
      <c r="BO116" s="5" t="n"/>
      <c r="BP116" s="5" t="n"/>
      <c r="BQ116" s="5" t="n"/>
      <c r="BR116" s="5" t="n"/>
      <c r="BS116" s="5" t="n"/>
      <c r="BT116" s="5" t="n"/>
      <c r="BU116" s="5" t="n"/>
      <c r="BV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  <c r="AN117" s="5" t="n"/>
      <c r="AO117" s="5" t="n"/>
      <c r="AP117" s="5" t="n"/>
      <c r="AQ117" s="5" t="n"/>
      <c r="AR117" s="5" t="n"/>
      <c r="AS117" s="5" t="n"/>
      <c r="AT117" s="5" t="n"/>
      <c r="AU117" s="5" t="n"/>
      <c r="AV117" s="5" t="n"/>
      <c r="AW117" s="5" t="n"/>
      <c r="AX117" s="5" t="n"/>
      <c r="AY117" s="5" t="n"/>
      <c r="AZ117" s="5" t="n"/>
      <c r="BA117" s="5" t="n"/>
      <c r="BB117" s="5" t="n"/>
      <c r="BC117" s="5" t="n"/>
      <c r="BD117" s="5" t="n"/>
      <c r="BE117" s="5" t="n"/>
      <c r="BF117" s="5" t="n"/>
      <c r="BG117" s="5" t="n"/>
      <c r="BH117" s="5" t="n"/>
      <c r="BI117" s="5" t="n"/>
      <c r="BJ117" s="5" t="n"/>
      <c r="BK117" s="5" t="n"/>
      <c r="BL117" s="5" t="n"/>
      <c r="BM117" s="5" t="n"/>
      <c r="BN117" s="5" t="n"/>
      <c r="BO117" s="5" t="n"/>
      <c r="BP117" s="5" t="n"/>
      <c r="BQ117" s="5" t="n"/>
      <c r="BR117" s="5" t="n"/>
      <c r="BS117" s="5" t="n"/>
      <c r="BT117" s="5" t="n"/>
      <c r="BU117" s="5" t="n"/>
      <c r="BV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  <c r="AN118" s="5" t="n"/>
      <c r="AO118" s="5" t="n"/>
      <c r="AP118" s="5" t="n"/>
      <c r="AQ118" s="5" t="n"/>
      <c r="AR118" s="5" t="n"/>
      <c r="AS118" s="5" t="n"/>
      <c r="AT118" s="5" t="n"/>
      <c r="AU118" s="5" t="n"/>
      <c r="AV118" s="5" t="n"/>
      <c r="AW118" s="5" t="n"/>
      <c r="AX118" s="5" t="n"/>
      <c r="AY118" s="5" t="n"/>
      <c r="AZ118" s="5" t="n"/>
      <c r="BA118" s="5" t="n"/>
      <c r="BB118" s="5" t="n"/>
      <c r="BC118" s="5" t="n"/>
      <c r="BD118" s="5" t="n"/>
      <c r="BE118" s="5" t="n"/>
      <c r="BF118" s="5" t="n"/>
      <c r="BG118" s="5" t="n"/>
      <c r="BH118" s="5" t="n"/>
      <c r="BI118" s="5" t="n"/>
      <c r="BJ118" s="5" t="n"/>
      <c r="BK118" s="5" t="n"/>
      <c r="BL118" s="5" t="n"/>
      <c r="BM118" s="5" t="n"/>
      <c r="BN118" s="5" t="n"/>
      <c r="BO118" s="5" t="n"/>
      <c r="BP118" s="5" t="n"/>
      <c r="BQ118" s="5" t="n"/>
      <c r="BR118" s="5" t="n"/>
      <c r="BS118" s="5" t="n"/>
      <c r="BT118" s="5" t="n"/>
      <c r="BU118" s="5" t="n"/>
      <c r="BV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N119" s="5" t="n"/>
      <c r="AO119" s="5" t="n"/>
      <c r="AP119" s="5" t="n"/>
      <c r="AQ119" s="5" t="n"/>
      <c r="AR119" s="5" t="n"/>
      <c r="AS119" s="5" t="n"/>
      <c r="AT119" s="5" t="n"/>
      <c r="AU119" s="5" t="n"/>
      <c r="AV119" s="5" t="n"/>
      <c r="AW119" s="5" t="n"/>
      <c r="AX119" s="5" t="n"/>
      <c r="AY119" s="5" t="n"/>
      <c r="AZ119" s="5" t="n"/>
      <c r="BA119" s="5" t="n"/>
      <c r="BB119" s="5" t="n"/>
      <c r="BC119" s="5" t="n"/>
      <c r="BD119" s="5" t="n"/>
      <c r="BE119" s="5" t="n"/>
      <c r="BF119" s="5" t="n"/>
      <c r="BG119" s="5" t="n"/>
      <c r="BH119" s="5" t="n"/>
      <c r="BI119" s="5" t="n"/>
      <c r="BJ119" s="5" t="n"/>
      <c r="BK119" s="5" t="n"/>
      <c r="BL119" s="5" t="n"/>
      <c r="BM119" s="5" t="n"/>
      <c r="BN119" s="5" t="n"/>
      <c r="BO119" s="5" t="n"/>
      <c r="BP119" s="5" t="n"/>
      <c r="BQ119" s="5" t="n"/>
      <c r="BR119" s="5" t="n"/>
      <c r="BS119" s="5" t="n"/>
      <c r="BT119" s="5" t="n"/>
      <c r="BU119" s="5" t="n"/>
      <c r="BV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  <c r="AN120" s="5" t="n"/>
      <c r="AO120" s="5" t="n"/>
      <c r="AP120" s="5" t="n"/>
      <c r="AQ120" s="5" t="n"/>
      <c r="AR120" s="5" t="n"/>
      <c r="AS120" s="5" t="n"/>
      <c r="AT120" s="5" t="n"/>
      <c r="AU120" s="5" t="n"/>
      <c r="AV120" s="5" t="n"/>
      <c r="AW120" s="5" t="n"/>
      <c r="AX120" s="5" t="n"/>
      <c r="AY120" s="5" t="n"/>
      <c r="AZ120" s="5" t="n"/>
      <c r="BA120" s="5" t="n"/>
      <c r="BB120" s="5" t="n"/>
      <c r="BC120" s="5" t="n"/>
      <c r="BD120" s="5" t="n"/>
      <c r="BE120" s="5" t="n"/>
      <c r="BF120" s="5" t="n"/>
      <c r="BG120" s="5" t="n"/>
      <c r="BH120" s="5" t="n"/>
      <c r="BI120" s="5" t="n"/>
      <c r="BJ120" s="5" t="n"/>
      <c r="BK120" s="5" t="n"/>
      <c r="BL120" s="5" t="n"/>
      <c r="BM120" s="5" t="n"/>
      <c r="BN120" s="5" t="n"/>
      <c r="BO120" s="5" t="n"/>
      <c r="BP120" s="5" t="n"/>
      <c r="BQ120" s="5" t="n"/>
      <c r="BR120" s="5" t="n"/>
      <c r="BS120" s="5" t="n"/>
      <c r="BT120" s="5" t="n"/>
      <c r="BU120" s="5" t="n"/>
      <c r="BV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  <c r="AN121" s="5" t="n"/>
      <c r="AO121" s="5" t="n"/>
      <c r="AP121" s="5" t="n"/>
      <c r="AQ121" s="5" t="n"/>
      <c r="AR121" s="5" t="n"/>
      <c r="AS121" s="5" t="n"/>
      <c r="AT121" s="5" t="n"/>
      <c r="AU121" s="5" t="n"/>
      <c r="AV121" s="5" t="n"/>
      <c r="AW121" s="5" t="n"/>
      <c r="AX121" s="5" t="n"/>
      <c r="AY121" s="5" t="n"/>
      <c r="AZ121" s="5" t="n"/>
      <c r="BA121" s="5" t="n"/>
      <c r="BB121" s="5" t="n"/>
      <c r="BC121" s="5" t="n"/>
      <c r="BD121" s="5" t="n"/>
      <c r="BE121" s="5" t="n"/>
      <c r="BF121" s="5" t="n"/>
      <c r="BG121" s="5" t="n"/>
      <c r="BH121" s="5" t="n"/>
      <c r="BI121" s="5" t="n"/>
      <c r="BJ121" s="5" t="n"/>
      <c r="BK121" s="5" t="n"/>
      <c r="BL121" s="5" t="n"/>
      <c r="BM121" s="5" t="n"/>
      <c r="BN121" s="5" t="n"/>
      <c r="BO121" s="5" t="n"/>
      <c r="BP121" s="5" t="n"/>
      <c r="BQ121" s="5" t="n"/>
      <c r="BR121" s="5" t="n"/>
      <c r="BS121" s="5" t="n"/>
      <c r="BT121" s="5" t="n"/>
      <c r="BU121" s="5" t="n"/>
      <c r="BV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  <c r="AN122" s="5" t="n"/>
      <c r="AO122" s="5" t="n"/>
      <c r="AP122" s="5" t="n"/>
      <c r="AQ122" s="5" t="n"/>
      <c r="AR122" s="5" t="n"/>
      <c r="AS122" s="5" t="n"/>
      <c r="AT122" s="5" t="n"/>
      <c r="AU122" s="5" t="n"/>
      <c r="AV122" s="5" t="n"/>
      <c r="AW122" s="5" t="n"/>
      <c r="AX122" s="5" t="n"/>
      <c r="AY122" s="5" t="n"/>
      <c r="AZ122" s="5" t="n"/>
      <c r="BA122" s="5" t="n"/>
      <c r="BB122" s="5" t="n"/>
      <c r="BC122" s="5" t="n"/>
      <c r="BD122" s="5" t="n"/>
      <c r="BE122" s="5" t="n"/>
      <c r="BF122" s="5" t="n"/>
      <c r="BG122" s="5" t="n"/>
      <c r="BH122" s="5" t="n"/>
      <c r="BI122" s="5" t="n"/>
      <c r="BJ122" s="5" t="n"/>
      <c r="BK122" s="5" t="n"/>
      <c r="BL122" s="5" t="n"/>
      <c r="BM122" s="5" t="n"/>
      <c r="BN122" s="5" t="n"/>
      <c r="BO122" s="5" t="n"/>
      <c r="BP122" s="5" t="n"/>
      <c r="BQ122" s="5" t="n"/>
      <c r="BR122" s="5" t="n"/>
      <c r="BS122" s="5" t="n"/>
      <c r="BT122" s="5" t="n"/>
      <c r="BU122" s="5" t="n"/>
      <c r="BV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  <c r="AN123" s="5" t="n"/>
      <c r="AO123" s="5" t="n"/>
      <c r="AP123" s="5" t="n"/>
      <c r="AQ123" s="5" t="n"/>
      <c r="AR123" s="5" t="n"/>
      <c r="AS123" s="5" t="n"/>
      <c r="AT123" s="5" t="n"/>
      <c r="AU123" s="5" t="n"/>
      <c r="AV123" s="5" t="n"/>
      <c r="AW123" s="5" t="n"/>
      <c r="AX123" s="5" t="n"/>
      <c r="AY123" s="5" t="n"/>
      <c r="AZ123" s="5" t="n"/>
      <c r="BA123" s="5" t="n"/>
      <c r="BB123" s="5" t="n"/>
      <c r="BC123" s="5" t="n"/>
      <c r="BD123" s="5" t="n"/>
      <c r="BE123" s="5" t="n"/>
      <c r="BF123" s="5" t="n"/>
      <c r="BG123" s="5" t="n"/>
      <c r="BH123" s="5" t="n"/>
      <c r="BI123" s="5" t="n"/>
      <c r="BJ123" s="5" t="n"/>
      <c r="BK123" s="5" t="n"/>
      <c r="BL123" s="5" t="n"/>
      <c r="BM123" s="5" t="n"/>
      <c r="BN123" s="5" t="n"/>
      <c r="BO123" s="5" t="n"/>
      <c r="BP123" s="5" t="n"/>
      <c r="BQ123" s="5" t="n"/>
      <c r="BR123" s="5" t="n"/>
      <c r="BS123" s="5" t="n"/>
      <c r="BT123" s="5" t="n"/>
      <c r="BU123" s="5" t="n"/>
      <c r="BV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  <c r="AN124" s="5" t="n"/>
      <c r="AO124" s="5" t="n"/>
      <c r="AP124" s="5" t="n"/>
      <c r="AQ124" s="5" t="n"/>
      <c r="AR124" s="5" t="n"/>
      <c r="AS124" s="5" t="n"/>
      <c r="AT124" s="5" t="n"/>
      <c r="AU124" s="5" t="n"/>
      <c r="AV124" s="5" t="n"/>
      <c r="AW124" s="5" t="n"/>
      <c r="AX124" s="5" t="n"/>
      <c r="AY124" s="5" t="n"/>
      <c r="AZ124" s="5" t="n"/>
      <c r="BA124" s="5" t="n"/>
      <c r="BB124" s="5" t="n"/>
      <c r="BC124" s="5" t="n"/>
      <c r="BD124" s="5" t="n"/>
      <c r="BE124" s="5" t="n"/>
      <c r="BF124" s="5" t="n"/>
      <c r="BG124" s="5" t="n"/>
      <c r="BH124" s="5" t="n"/>
      <c r="BI124" s="5" t="n"/>
      <c r="BJ124" s="5" t="n"/>
      <c r="BK124" s="5" t="n"/>
      <c r="BL124" s="5" t="n"/>
      <c r="BM124" s="5" t="n"/>
      <c r="BN124" s="5" t="n"/>
      <c r="BO124" s="5" t="n"/>
      <c r="BP124" s="5" t="n"/>
      <c r="BQ124" s="5" t="n"/>
      <c r="BR124" s="5" t="n"/>
      <c r="BS124" s="5" t="n"/>
      <c r="BT124" s="5" t="n"/>
      <c r="BU124" s="5" t="n"/>
      <c r="BV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  <c r="AN125" s="5" t="n"/>
      <c r="AO125" s="5" t="n"/>
      <c r="AP125" s="5" t="n"/>
      <c r="AQ125" s="5" t="n"/>
      <c r="AR125" s="5" t="n"/>
      <c r="AS125" s="5" t="n"/>
      <c r="AT125" s="5" t="n"/>
      <c r="AU125" s="5" t="n"/>
      <c r="AV125" s="5" t="n"/>
      <c r="AW125" s="5" t="n"/>
      <c r="AX125" s="5" t="n"/>
      <c r="AY125" s="5" t="n"/>
      <c r="AZ125" s="5" t="n"/>
      <c r="BA125" s="5" t="n"/>
      <c r="BB125" s="5" t="n"/>
      <c r="BC125" s="5" t="n"/>
      <c r="BD125" s="5" t="n"/>
      <c r="BE125" s="5" t="n"/>
      <c r="BF125" s="5" t="n"/>
      <c r="BG125" s="5" t="n"/>
      <c r="BH125" s="5" t="n"/>
      <c r="BI125" s="5" t="n"/>
      <c r="BJ125" s="5" t="n"/>
      <c r="BK125" s="5" t="n"/>
      <c r="BL125" s="5" t="n"/>
      <c r="BM125" s="5" t="n"/>
      <c r="BN125" s="5" t="n"/>
      <c r="BO125" s="5" t="n"/>
      <c r="BP125" s="5" t="n"/>
      <c r="BQ125" s="5" t="n"/>
      <c r="BR125" s="5" t="n"/>
      <c r="BS125" s="5" t="n"/>
      <c r="BT125" s="5" t="n"/>
      <c r="BU125" s="5" t="n"/>
      <c r="BV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  <c r="AN126" s="5" t="n"/>
      <c r="AO126" s="5" t="n"/>
      <c r="AP126" s="5" t="n"/>
      <c r="AQ126" s="5" t="n"/>
      <c r="AR126" s="5" t="n"/>
      <c r="AS126" s="5" t="n"/>
      <c r="AT126" s="5" t="n"/>
      <c r="AU126" s="5" t="n"/>
      <c r="AV126" s="5" t="n"/>
      <c r="AW126" s="5" t="n"/>
      <c r="AX126" s="5" t="n"/>
      <c r="AY126" s="5" t="n"/>
      <c r="AZ126" s="5" t="n"/>
      <c r="BA126" s="5" t="n"/>
      <c r="BB126" s="5" t="n"/>
      <c r="BC126" s="5" t="n"/>
      <c r="BD126" s="5" t="n"/>
      <c r="BE126" s="5" t="n"/>
      <c r="BF126" s="5" t="n"/>
      <c r="BG126" s="5" t="n"/>
      <c r="BH126" s="5" t="n"/>
      <c r="BI126" s="5" t="n"/>
      <c r="BJ126" s="5" t="n"/>
      <c r="BK126" s="5" t="n"/>
      <c r="BL126" s="5" t="n"/>
      <c r="BM126" s="5" t="n"/>
      <c r="BN126" s="5" t="n"/>
      <c r="BO126" s="5" t="n"/>
      <c r="BP126" s="5" t="n"/>
      <c r="BQ126" s="5" t="n"/>
      <c r="BR126" s="5" t="n"/>
      <c r="BS126" s="5" t="n"/>
      <c r="BT126" s="5" t="n"/>
      <c r="BU126" s="5" t="n"/>
      <c r="BV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  <c r="AR127" s="5" t="n"/>
      <c r="AS127" s="5" t="n"/>
      <c r="AT127" s="5" t="n"/>
      <c r="AU127" s="5" t="n"/>
      <c r="AV127" s="5" t="n"/>
      <c r="AW127" s="5" t="n"/>
      <c r="AX127" s="5" t="n"/>
      <c r="AY127" s="5" t="n"/>
      <c r="AZ127" s="5" t="n"/>
      <c r="BA127" s="5" t="n"/>
      <c r="BB127" s="5" t="n"/>
      <c r="BC127" s="5" t="n"/>
      <c r="BD127" s="5" t="n"/>
      <c r="BE127" s="5" t="n"/>
      <c r="BF127" s="5" t="n"/>
      <c r="BG127" s="5" t="n"/>
      <c r="BH127" s="5" t="n"/>
      <c r="BI127" s="5" t="n"/>
      <c r="BJ127" s="5" t="n"/>
      <c r="BK127" s="5" t="n"/>
      <c r="BL127" s="5" t="n"/>
      <c r="BM127" s="5" t="n"/>
      <c r="BN127" s="5" t="n"/>
      <c r="BO127" s="5" t="n"/>
      <c r="BP127" s="5" t="n"/>
      <c r="BQ127" s="5" t="n"/>
      <c r="BR127" s="5" t="n"/>
      <c r="BS127" s="5" t="n"/>
      <c r="BT127" s="5" t="n"/>
      <c r="BU127" s="5" t="n"/>
      <c r="BV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  <c r="AN128" s="5" t="n"/>
      <c r="AO128" s="5" t="n"/>
      <c r="AP128" s="5" t="n"/>
      <c r="AQ128" s="5" t="n"/>
      <c r="AR128" s="5" t="n"/>
      <c r="AS128" s="5" t="n"/>
      <c r="AT128" s="5" t="n"/>
      <c r="AU128" s="5" t="n"/>
      <c r="AV128" s="5" t="n"/>
      <c r="AW128" s="5" t="n"/>
      <c r="AX128" s="5" t="n"/>
      <c r="AY128" s="5" t="n"/>
      <c r="AZ128" s="5" t="n"/>
      <c r="BA128" s="5" t="n"/>
      <c r="BB128" s="5" t="n"/>
      <c r="BC128" s="5" t="n"/>
      <c r="BD128" s="5" t="n"/>
      <c r="BE128" s="5" t="n"/>
      <c r="BF128" s="5" t="n"/>
      <c r="BG128" s="5" t="n"/>
      <c r="BH128" s="5" t="n"/>
      <c r="BI128" s="5" t="n"/>
      <c r="BJ128" s="5" t="n"/>
      <c r="BK128" s="5" t="n"/>
      <c r="BL128" s="5" t="n"/>
      <c r="BM128" s="5" t="n"/>
      <c r="BN128" s="5" t="n"/>
      <c r="BO128" s="5" t="n"/>
      <c r="BP128" s="5" t="n"/>
      <c r="BQ128" s="5" t="n"/>
      <c r="BR128" s="5" t="n"/>
      <c r="BS128" s="5" t="n"/>
      <c r="BT128" s="5" t="n"/>
      <c r="BU128" s="5" t="n"/>
      <c r="BV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  <c r="AN129" s="5" t="n"/>
      <c r="AO129" s="5" t="n"/>
      <c r="AP129" s="5" t="n"/>
      <c r="AQ129" s="5" t="n"/>
      <c r="AR129" s="5" t="n"/>
      <c r="AS129" s="5" t="n"/>
      <c r="AT129" s="5" t="n"/>
      <c r="AU129" s="5" t="n"/>
      <c r="AV129" s="5" t="n"/>
      <c r="AW129" s="5" t="n"/>
      <c r="AX129" s="5" t="n"/>
      <c r="AY129" s="5" t="n"/>
      <c r="AZ129" s="5" t="n"/>
      <c r="BA129" s="5" t="n"/>
      <c r="BB129" s="5" t="n"/>
      <c r="BC129" s="5" t="n"/>
      <c r="BD129" s="5" t="n"/>
      <c r="BE129" s="5" t="n"/>
      <c r="BF129" s="5" t="n"/>
      <c r="BG129" s="5" t="n"/>
      <c r="BH129" s="5" t="n"/>
      <c r="BI129" s="5" t="n"/>
      <c r="BJ129" s="5" t="n"/>
      <c r="BK129" s="5" t="n"/>
      <c r="BL129" s="5" t="n"/>
      <c r="BM129" s="5" t="n"/>
      <c r="BN129" s="5" t="n"/>
      <c r="BO129" s="5" t="n"/>
      <c r="BP129" s="5" t="n"/>
      <c r="BQ129" s="5" t="n"/>
      <c r="BR129" s="5" t="n"/>
      <c r="BS129" s="5" t="n"/>
      <c r="BT129" s="5" t="n"/>
      <c r="BU129" s="5" t="n"/>
      <c r="BV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  <c r="AN130" s="5" t="n"/>
      <c r="AO130" s="5" t="n"/>
      <c r="AP130" s="5" t="n"/>
      <c r="AQ130" s="5" t="n"/>
      <c r="AR130" s="5" t="n"/>
      <c r="AS130" s="5" t="n"/>
      <c r="AT130" s="5" t="n"/>
      <c r="AU130" s="5" t="n"/>
      <c r="AV130" s="5" t="n"/>
      <c r="AW130" s="5" t="n"/>
      <c r="AX130" s="5" t="n"/>
      <c r="AY130" s="5" t="n"/>
      <c r="AZ130" s="5" t="n"/>
      <c r="BA130" s="5" t="n"/>
      <c r="BB130" s="5" t="n"/>
      <c r="BC130" s="5" t="n"/>
      <c r="BD130" s="5" t="n"/>
      <c r="BE130" s="5" t="n"/>
      <c r="BF130" s="5" t="n"/>
      <c r="BG130" s="5" t="n"/>
      <c r="BH130" s="5" t="n"/>
      <c r="BI130" s="5" t="n"/>
      <c r="BJ130" s="5" t="n"/>
      <c r="BK130" s="5" t="n"/>
      <c r="BL130" s="5" t="n"/>
      <c r="BM130" s="5" t="n"/>
      <c r="BN130" s="5" t="n"/>
      <c r="BO130" s="5" t="n"/>
      <c r="BP130" s="5" t="n"/>
      <c r="BQ130" s="5" t="n"/>
      <c r="BR130" s="5" t="n"/>
      <c r="BS130" s="5" t="n"/>
      <c r="BT130" s="5" t="n"/>
      <c r="BU130" s="5" t="n"/>
      <c r="BV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  <c r="AN131" s="5" t="n"/>
      <c r="AO131" s="5" t="n"/>
      <c r="AP131" s="5" t="n"/>
      <c r="AQ131" s="5" t="n"/>
      <c r="AR131" s="5" t="n"/>
      <c r="AS131" s="5" t="n"/>
      <c r="AT131" s="5" t="n"/>
      <c r="AU131" s="5" t="n"/>
      <c r="AV131" s="5" t="n"/>
      <c r="AW131" s="5" t="n"/>
      <c r="AX131" s="5" t="n"/>
      <c r="AY131" s="5" t="n"/>
      <c r="AZ131" s="5" t="n"/>
      <c r="BA131" s="5" t="n"/>
      <c r="BB131" s="5" t="n"/>
      <c r="BC131" s="5" t="n"/>
      <c r="BD131" s="5" t="n"/>
      <c r="BE131" s="5" t="n"/>
      <c r="BF131" s="5" t="n"/>
      <c r="BG131" s="5" t="n"/>
      <c r="BH131" s="5" t="n"/>
      <c r="BI131" s="5" t="n"/>
      <c r="BJ131" s="5" t="n"/>
      <c r="BK131" s="5" t="n"/>
      <c r="BL131" s="5" t="n"/>
      <c r="BM131" s="5" t="n"/>
      <c r="BN131" s="5" t="n"/>
      <c r="BO131" s="5" t="n"/>
      <c r="BP131" s="5" t="n"/>
      <c r="BQ131" s="5" t="n"/>
      <c r="BR131" s="5" t="n"/>
      <c r="BS131" s="5" t="n"/>
      <c r="BT131" s="5" t="n"/>
      <c r="BU131" s="5" t="n"/>
      <c r="BV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  <c r="AN132" s="5" t="n"/>
      <c r="AO132" s="5" t="n"/>
      <c r="AP132" s="5" t="n"/>
      <c r="AQ132" s="5" t="n"/>
      <c r="AR132" s="5" t="n"/>
      <c r="AS132" s="5" t="n"/>
      <c r="AT132" s="5" t="n"/>
      <c r="AU132" s="5" t="n"/>
      <c r="AV132" s="5" t="n"/>
      <c r="AW132" s="5" t="n"/>
      <c r="AX132" s="5" t="n"/>
      <c r="AY132" s="5" t="n"/>
      <c r="AZ132" s="5" t="n"/>
      <c r="BA132" s="5" t="n"/>
      <c r="BB132" s="5" t="n"/>
      <c r="BC132" s="5" t="n"/>
      <c r="BD132" s="5" t="n"/>
      <c r="BE132" s="5" t="n"/>
      <c r="BF132" s="5" t="n"/>
      <c r="BG132" s="5" t="n"/>
      <c r="BH132" s="5" t="n"/>
      <c r="BI132" s="5" t="n"/>
      <c r="BJ132" s="5" t="n"/>
      <c r="BK132" s="5" t="n"/>
      <c r="BL132" s="5" t="n"/>
      <c r="BM132" s="5" t="n"/>
      <c r="BN132" s="5" t="n"/>
      <c r="BO132" s="5" t="n"/>
      <c r="BP132" s="5" t="n"/>
      <c r="BQ132" s="5" t="n"/>
      <c r="BR132" s="5" t="n"/>
      <c r="BS132" s="5" t="n"/>
      <c r="BT132" s="5" t="n"/>
      <c r="BU132" s="5" t="n"/>
      <c r="BV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  <c r="AN133" s="5" t="n"/>
      <c r="AO133" s="5" t="n"/>
      <c r="AP133" s="5" t="n"/>
      <c r="AQ133" s="5" t="n"/>
      <c r="AR133" s="5" t="n"/>
      <c r="AS133" s="5" t="n"/>
      <c r="AT133" s="5" t="n"/>
      <c r="AU133" s="5" t="n"/>
      <c r="AV133" s="5" t="n"/>
      <c r="AW133" s="5" t="n"/>
      <c r="AX133" s="5" t="n"/>
      <c r="AY133" s="5" t="n"/>
      <c r="AZ133" s="5" t="n"/>
      <c r="BA133" s="5" t="n"/>
      <c r="BB133" s="5" t="n"/>
      <c r="BC133" s="5" t="n"/>
      <c r="BD133" s="5" t="n"/>
      <c r="BE133" s="5" t="n"/>
      <c r="BF133" s="5" t="n"/>
      <c r="BG133" s="5" t="n"/>
      <c r="BH133" s="5" t="n"/>
      <c r="BI133" s="5" t="n"/>
      <c r="BJ133" s="5" t="n"/>
      <c r="BK133" s="5" t="n"/>
      <c r="BL133" s="5" t="n"/>
      <c r="BM133" s="5" t="n"/>
      <c r="BN133" s="5" t="n"/>
      <c r="BO133" s="5" t="n"/>
      <c r="BP133" s="5" t="n"/>
      <c r="BQ133" s="5" t="n"/>
      <c r="BR133" s="5" t="n"/>
      <c r="BS133" s="5" t="n"/>
      <c r="BT133" s="5" t="n"/>
      <c r="BU133" s="5" t="n"/>
      <c r="BV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  <c r="AN134" s="5" t="n"/>
      <c r="AO134" s="5" t="n"/>
      <c r="AP134" s="5" t="n"/>
      <c r="AQ134" s="5" t="n"/>
      <c r="AR134" s="5" t="n"/>
      <c r="AS134" s="5" t="n"/>
      <c r="AT134" s="5" t="n"/>
      <c r="AU134" s="5" t="n"/>
      <c r="AV134" s="5" t="n"/>
      <c r="AW134" s="5" t="n"/>
      <c r="AX134" s="5" t="n"/>
      <c r="AY134" s="5" t="n"/>
      <c r="AZ134" s="5" t="n"/>
      <c r="BA134" s="5" t="n"/>
      <c r="BB134" s="5" t="n"/>
      <c r="BC134" s="5" t="n"/>
      <c r="BD134" s="5" t="n"/>
      <c r="BE134" s="5" t="n"/>
      <c r="BF134" s="5" t="n"/>
      <c r="BG134" s="5" t="n"/>
      <c r="BH134" s="5" t="n"/>
      <c r="BI134" s="5" t="n"/>
      <c r="BJ134" s="5" t="n"/>
      <c r="BK134" s="5" t="n"/>
      <c r="BL134" s="5" t="n"/>
      <c r="BM134" s="5" t="n"/>
      <c r="BN134" s="5" t="n"/>
      <c r="BO134" s="5" t="n"/>
      <c r="BP134" s="5" t="n"/>
      <c r="BQ134" s="5" t="n"/>
      <c r="BR134" s="5" t="n"/>
      <c r="BS134" s="5" t="n"/>
      <c r="BT134" s="5" t="n"/>
      <c r="BU134" s="5" t="n"/>
      <c r="BV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  <c r="AN135" s="5" t="n"/>
      <c r="AO135" s="5" t="n"/>
      <c r="AP135" s="5" t="n"/>
      <c r="AQ135" s="5" t="n"/>
      <c r="AR135" s="5" t="n"/>
      <c r="AS135" s="5" t="n"/>
      <c r="AT135" s="5" t="n"/>
      <c r="AU135" s="5" t="n"/>
      <c r="AV135" s="5" t="n"/>
      <c r="AW135" s="5" t="n"/>
      <c r="AX135" s="5" t="n"/>
      <c r="AY135" s="5" t="n"/>
      <c r="AZ135" s="5" t="n"/>
      <c r="BA135" s="5" t="n"/>
      <c r="BB135" s="5" t="n"/>
      <c r="BC135" s="5" t="n"/>
      <c r="BD135" s="5" t="n"/>
      <c r="BE135" s="5" t="n"/>
      <c r="BF135" s="5" t="n"/>
      <c r="BG135" s="5" t="n"/>
      <c r="BH135" s="5" t="n"/>
      <c r="BI135" s="5" t="n"/>
      <c r="BJ135" s="5" t="n"/>
      <c r="BK135" s="5" t="n"/>
      <c r="BL135" s="5" t="n"/>
      <c r="BM135" s="5" t="n"/>
      <c r="BN135" s="5" t="n"/>
      <c r="BO135" s="5" t="n"/>
      <c r="BP135" s="5" t="n"/>
      <c r="BQ135" s="5" t="n"/>
      <c r="BR135" s="5" t="n"/>
      <c r="BS135" s="5" t="n"/>
      <c r="BT135" s="5" t="n"/>
      <c r="BU135" s="5" t="n"/>
      <c r="BV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  <c r="AN136" s="5" t="n"/>
      <c r="AO136" s="5" t="n"/>
      <c r="AP136" s="5" t="n"/>
      <c r="AQ136" s="5" t="n"/>
      <c r="AR136" s="5" t="n"/>
      <c r="AS136" s="5" t="n"/>
      <c r="AT136" s="5" t="n"/>
      <c r="AU136" s="5" t="n"/>
      <c r="AV136" s="5" t="n"/>
      <c r="AW136" s="5" t="n"/>
      <c r="AX136" s="5" t="n"/>
      <c r="AY136" s="5" t="n"/>
      <c r="AZ136" s="5" t="n"/>
      <c r="BA136" s="5" t="n"/>
      <c r="BB136" s="5" t="n"/>
      <c r="BC136" s="5" t="n"/>
      <c r="BD136" s="5" t="n"/>
      <c r="BE136" s="5" t="n"/>
      <c r="BF136" s="5" t="n"/>
      <c r="BG136" s="5" t="n"/>
      <c r="BH136" s="5" t="n"/>
      <c r="BI136" s="5" t="n"/>
      <c r="BJ136" s="5" t="n"/>
      <c r="BK136" s="5" t="n"/>
      <c r="BL136" s="5" t="n"/>
      <c r="BM136" s="5" t="n"/>
      <c r="BN136" s="5" t="n"/>
      <c r="BO136" s="5" t="n"/>
      <c r="BP136" s="5" t="n"/>
      <c r="BQ136" s="5" t="n"/>
      <c r="BR136" s="5" t="n"/>
      <c r="BS136" s="5" t="n"/>
      <c r="BT136" s="5" t="n"/>
      <c r="BU136" s="5" t="n"/>
      <c r="BV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  <c r="AN137" s="5" t="n"/>
      <c r="AO137" s="5" t="n"/>
      <c r="AP137" s="5" t="n"/>
      <c r="AQ137" s="5" t="n"/>
      <c r="AR137" s="5" t="n"/>
      <c r="AS137" s="5" t="n"/>
      <c r="AT137" s="5" t="n"/>
      <c r="AU137" s="5" t="n"/>
      <c r="AV137" s="5" t="n"/>
      <c r="AW137" s="5" t="n"/>
      <c r="AX137" s="5" t="n"/>
      <c r="AY137" s="5" t="n"/>
      <c r="AZ137" s="5" t="n"/>
      <c r="BA137" s="5" t="n"/>
      <c r="BB137" s="5" t="n"/>
      <c r="BC137" s="5" t="n"/>
      <c r="BD137" s="5" t="n"/>
      <c r="BE137" s="5" t="n"/>
      <c r="BF137" s="5" t="n"/>
      <c r="BG137" s="5" t="n"/>
      <c r="BH137" s="5" t="n"/>
      <c r="BI137" s="5" t="n"/>
      <c r="BJ137" s="5" t="n"/>
      <c r="BK137" s="5" t="n"/>
      <c r="BL137" s="5" t="n"/>
      <c r="BM137" s="5" t="n"/>
      <c r="BN137" s="5" t="n"/>
      <c r="BO137" s="5" t="n"/>
      <c r="BP137" s="5" t="n"/>
      <c r="BQ137" s="5" t="n"/>
      <c r="BR137" s="5" t="n"/>
      <c r="BS137" s="5" t="n"/>
      <c r="BT137" s="5" t="n"/>
      <c r="BU137" s="5" t="n"/>
      <c r="BV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  <c r="AN138" s="5" t="n"/>
      <c r="AO138" s="5" t="n"/>
      <c r="AP138" s="5" t="n"/>
      <c r="AQ138" s="5" t="n"/>
      <c r="AR138" s="5" t="n"/>
      <c r="AS138" s="5" t="n"/>
      <c r="AT138" s="5" t="n"/>
      <c r="AU138" s="5" t="n"/>
      <c r="AV138" s="5" t="n"/>
      <c r="AW138" s="5" t="n"/>
      <c r="AX138" s="5" t="n"/>
      <c r="AY138" s="5" t="n"/>
      <c r="AZ138" s="5" t="n"/>
      <c r="BA138" s="5" t="n"/>
      <c r="BB138" s="5" t="n"/>
      <c r="BC138" s="5" t="n"/>
      <c r="BD138" s="5" t="n"/>
      <c r="BE138" s="5" t="n"/>
      <c r="BF138" s="5" t="n"/>
      <c r="BG138" s="5" t="n"/>
      <c r="BH138" s="5" t="n"/>
      <c r="BI138" s="5" t="n"/>
      <c r="BJ138" s="5" t="n"/>
      <c r="BK138" s="5" t="n"/>
      <c r="BL138" s="5" t="n"/>
      <c r="BM138" s="5" t="n"/>
      <c r="BN138" s="5" t="n"/>
      <c r="BO138" s="5" t="n"/>
      <c r="BP138" s="5" t="n"/>
      <c r="BQ138" s="5" t="n"/>
      <c r="BR138" s="5" t="n"/>
      <c r="BS138" s="5" t="n"/>
      <c r="BT138" s="5" t="n"/>
      <c r="BU138" s="5" t="n"/>
      <c r="BV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  <c r="AN139" s="5" t="n"/>
      <c r="AO139" s="5" t="n"/>
      <c r="AP139" s="5" t="n"/>
      <c r="AQ139" s="5" t="n"/>
      <c r="AR139" s="5" t="n"/>
      <c r="AS139" s="5" t="n"/>
      <c r="AT139" s="5" t="n"/>
      <c r="AU139" s="5" t="n"/>
      <c r="AV139" s="5" t="n"/>
      <c r="AW139" s="5" t="n"/>
      <c r="AX139" s="5" t="n"/>
      <c r="AY139" s="5" t="n"/>
      <c r="AZ139" s="5" t="n"/>
      <c r="BA139" s="5" t="n"/>
      <c r="BB139" s="5" t="n"/>
      <c r="BC139" s="5" t="n"/>
      <c r="BD139" s="5" t="n"/>
      <c r="BE139" s="5" t="n"/>
      <c r="BF139" s="5" t="n"/>
      <c r="BG139" s="5" t="n"/>
      <c r="BH139" s="5" t="n"/>
      <c r="BI139" s="5" t="n"/>
      <c r="BJ139" s="5" t="n"/>
      <c r="BK139" s="5" t="n"/>
      <c r="BL139" s="5" t="n"/>
      <c r="BM139" s="5" t="n"/>
      <c r="BN139" s="5" t="n"/>
      <c r="BO139" s="5" t="n"/>
      <c r="BP139" s="5" t="n"/>
      <c r="BQ139" s="5" t="n"/>
      <c r="BR139" s="5" t="n"/>
      <c r="BS139" s="5" t="n"/>
      <c r="BT139" s="5" t="n"/>
      <c r="BU139" s="5" t="n"/>
      <c r="BV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  <c r="AN140" s="5" t="n"/>
      <c r="AO140" s="5" t="n"/>
      <c r="AP140" s="5" t="n"/>
      <c r="AQ140" s="5" t="n"/>
      <c r="AR140" s="5" t="n"/>
      <c r="AS140" s="5" t="n"/>
      <c r="AT140" s="5" t="n"/>
      <c r="AU140" s="5" t="n"/>
      <c r="AV140" s="5" t="n"/>
      <c r="AW140" s="5" t="n"/>
      <c r="AX140" s="5" t="n"/>
      <c r="AY140" s="5" t="n"/>
      <c r="AZ140" s="5" t="n"/>
      <c r="BA140" s="5" t="n"/>
      <c r="BB140" s="5" t="n"/>
      <c r="BC140" s="5" t="n"/>
      <c r="BD140" s="5" t="n"/>
      <c r="BE140" s="5" t="n"/>
      <c r="BF140" s="5" t="n"/>
      <c r="BG140" s="5" t="n"/>
      <c r="BH140" s="5" t="n"/>
      <c r="BI140" s="5" t="n"/>
      <c r="BJ140" s="5" t="n"/>
      <c r="BK140" s="5" t="n"/>
      <c r="BL140" s="5" t="n"/>
      <c r="BM140" s="5" t="n"/>
      <c r="BN140" s="5" t="n"/>
      <c r="BO140" s="5" t="n"/>
      <c r="BP140" s="5" t="n"/>
      <c r="BQ140" s="5" t="n"/>
      <c r="BR140" s="5" t="n"/>
      <c r="BS140" s="5" t="n"/>
      <c r="BT140" s="5" t="n"/>
      <c r="BU140" s="5" t="n"/>
      <c r="BV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  <c r="AN141" s="5" t="n"/>
      <c r="AO141" s="5" t="n"/>
      <c r="AP141" s="5" t="n"/>
      <c r="AQ141" s="5" t="n"/>
      <c r="AR141" s="5" t="n"/>
      <c r="AS141" s="5" t="n"/>
      <c r="AT141" s="5" t="n"/>
      <c r="AU141" s="5" t="n"/>
      <c r="AV141" s="5" t="n"/>
      <c r="AW141" s="5" t="n"/>
      <c r="AX141" s="5" t="n"/>
      <c r="AY141" s="5" t="n"/>
      <c r="AZ141" s="5" t="n"/>
      <c r="BA141" s="5" t="n"/>
      <c r="BB141" s="5" t="n"/>
      <c r="BC141" s="5" t="n"/>
      <c r="BD141" s="5" t="n"/>
      <c r="BE141" s="5" t="n"/>
      <c r="BF141" s="5" t="n"/>
      <c r="BG141" s="5" t="n"/>
      <c r="BH141" s="5" t="n"/>
      <c r="BI141" s="5" t="n"/>
      <c r="BJ141" s="5" t="n"/>
      <c r="BK141" s="5" t="n"/>
      <c r="BL141" s="5" t="n"/>
      <c r="BM141" s="5" t="n"/>
      <c r="BN141" s="5" t="n"/>
      <c r="BO141" s="5" t="n"/>
      <c r="BP141" s="5" t="n"/>
      <c r="BQ141" s="5" t="n"/>
      <c r="BR141" s="5" t="n"/>
      <c r="BS141" s="5" t="n"/>
      <c r="BT141" s="5" t="n"/>
      <c r="BU141" s="5" t="n"/>
      <c r="BV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  <c r="AN142" s="5" t="n"/>
      <c r="AO142" s="5" t="n"/>
      <c r="AP142" s="5" t="n"/>
      <c r="AQ142" s="5" t="n"/>
      <c r="AR142" s="5" t="n"/>
      <c r="AS142" s="5" t="n"/>
      <c r="AT142" s="5" t="n"/>
      <c r="AU142" s="5" t="n"/>
      <c r="AV142" s="5" t="n"/>
      <c r="AW142" s="5" t="n"/>
      <c r="AX142" s="5" t="n"/>
      <c r="AY142" s="5" t="n"/>
      <c r="AZ142" s="5" t="n"/>
      <c r="BA142" s="5" t="n"/>
      <c r="BB142" s="5" t="n"/>
      <c r="BC142" s="5" t="n"/>
      <c r="BD142" s="5" t="n"/>
      <c r="BE142" s="5" t="n"/>
      <c r="BF142" s="5" t="n"/>
      <c r="BG142" s="5" t="n"/>
      <c r="BH142" s="5" t="n"/>
      <c r="BI142" s="5" t="n"/>
      <c r="BJ142" s="5" t="n"/>
      <c r="BK142" s="5" t="n"/>
      <c r="BL142" s="5" t="n"/>
      <c r="BM142" s="5" t="n"/>
      <c r="BN142" s="5" t="n"/>
      <c r="BO142" s="5" t="n"/>
      <c r="BP142" s="5" t="n"/>
      <c r="BQ142" s="5" t="n"/>
      <c r="BR142" s="5" t="n"/>
      <c r="BS142" s="5" t="n"/>
      <c r="BT142" s="5" t="n"/>
      <c r="BU142" s="5" t="n"/>
      <c r="BV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  <c r="AN143" s="5" t="n"/>
      <c r="AO143" s="5" t="n"/>
      <c r="AP143" s="5" t="n"/>
      <c r="AQ143" s="5" t="n"/>
      <c r="AR143" s="5" t="n"/>
      <c r="AS143" s="5" t="n"/>
      <c r="AT143" s="5" t="n"/>
      <c r="AU143" s="5" t="n"/>
      <c r="AV143" s="5" t="n"/>
      <c r="AW143" s="5" t="n"/>
      <c r="AX143" s="5" t="n"/>
      <c r="AY143" s="5" t="n"/>
      <c r="AZ143" s="5" t="n"/>
      <c r="BA143" s="5" t="n"/>
      <c r="BB143" s="5" t="n"/>
      <c r="BC143" s="5" t="n"/>
      <c r="BD143" s="5" t="n"/>
      <c r="BE143" s="5" t="n"/>
      <c r="BF143" s="5" t="n"/>
      <c r="BG143" s="5" t="n"/>
      <c r="BH143" s="5" t="n"/>
      <c r="BI143" s="5" t="n"/>
      <c r="BJ143" s="5" t="n"/>
      <c r="BK143" s="5" t="n"/>
      <c r="BL143" s="5" t="n"/>
      <c r="BM143" s="5" t="n"/>
      <c r="BN143" s="5" t="n"/>
      <c r="BO143" s="5" t="n"/>
      <c r="BP143" s="5" t="n"/>
      <c r="BQ143" s="5" t="n"/>
      <c r="BR143" s="5" t="n"/>
      <c r="BS143" s="5" t="n"/>
      <c r="BT143" s="5" t="n"/>
      <c r="BU143" s="5" t="n"/>
      <c r="BV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  <c r="AN144" s="5" t="n"/>
      <c r="AO144" s="5" t="n"/>
      <c r="AP144" s="5" t="n"/>
      <c r="AQ144" s="5" t="n"/>
      <c r="AR144" s="5" t="n"/>
      <c r="AS144" s="5" t="n"/>
      <c r="AT144" s="5" t="n"/>
      <c r="AU144" s="5" t="n"/>
      <c r="AV144" s="5" t="n"/>
      <c r="AW144" s="5" t="n"/>
      <c r="AX144" s="5" t="n"/>
      <c r="AY144" s="5" t="n"/>
      <c r="AZ144" s="5" t="n"/>
      <c r="BA144" s="5" t="n"/>
      <c r="BB144" s="5" t="n"/>
      <c r="BC144" s="5" t="n"/>
      <c r="BD144" s="5" t="n"/>
      <c r="BE144" s="5" t="n"/>
      <c r="BF144" s="5" t="n"/>
      <c r="BG144" s="5" t="n"/>
      <c r="BH144" s="5" t="n"/>
      <c r="BI144" s="5" t="n"/>
      <c r="BJ144" s="5" t="n"/>
      <c r="BK144" s="5" t="n"/>
      <c r="BL144" s="5" t="n"/>
      <c r="BM144" s="5" t="n"/>
      <c r="BN144" s="5" t="n"/>
      <c r="BO144" s="5" t="n"/>
      <c r="BP144" s="5" t="n"/>
      <c r="BQ144" s="5" t="n"/>
      <c r="BR144" s="5" t="n"/>
      <c r="BS144" s="5" t="n"/>
      <c r="BT144" s="5" t="n"/>
      <c r="BU144" s="5" t="n"/>
      <c r="BV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  <c r="AN145" s="5" t="n"/>
      <c r="AO145" s="5" t="n"/>
      <c r="AP145" s="5" t="n"/>
      <c r="AQ145" s="5" t="n"/>
      <c r="AR145" s="5" t="n"/>
      <c r="AS145" s="5" t="n"/>
      <c r="AT145" s="5" t="n"/>
      <c r="AU145" s="5" t="n"/>
      <c r="AV145" s="5" t="n"/>
      <c r="AW145" s="5" t="n"/>
      <c r="AX145" s="5" t="n"/>
      <c r="AY145" s="5" t="n"/>
      <c r="AZ145" s="5" t="n"/>
      <c r="BA145" s="5" t="n"/>
      <c r="BB145" s="5" t="n"/>
      <c r="BC145" s="5" t="n"/>
      <c r="BD145" s="5" t="n"/>
      <c r="BE145" s="5" t="n"/>
      <c r="BF145" s="5" t="n"/>
      <c r="BG145" s="5" t="n"/>
      <c r="BH145" s="5" t="n"/>
      <c r="BI145" s="5" t="n"/>
      <c r="BJ145" s="5" t="n"/>
      <c r="BK145" s="5" t="n"/>
      <c r="BL145" s="5" t="n"/>
      <c r="BM145" s="5" t="n"/>
      <c r="BN145" s="5" t="n"/>
      <c r="BO145" s="5" t="n"/>
      <c r="BP145" s="5" t="n"/>
      <c r="BQ145" s="5" t="n"/>
      <c r="BR145" s="5" t="n"/>
      <c r="BS145" s="5" t="n"/>
      <c r="BT145" s="5" t="n"/>
      <c r="BU145" s="5" t="n"/>
      <c r="BV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  <c r="AN146" s="5" t="n"/>
      <c r="AO146" s="5" t="n"/>
      <c r="AP146" s="5" t="n"/>
      <c r="AQ146" s="5" t="n"/>
      <c r="AR146" s="5" t="n"/>
      <c r="AS146" s="5" t="n"/>
      <c r="AT146" s="5" t="n"/>
      <c r="AU146" s="5" t="n"/>
      <c r="AV146" s="5" t="n"/>
      <c r="AW146" s="5" t="n"/>
      <c r="AX146" s="5" t="n"/>
      <c r="AY146" s="5" t="n"/>
      <c r="AZ146" s="5" t="n"/>
      <c r="BA146" s="5" t="n"/>
      <c r="BB146" s="5" t="n"/>
      <c r="BC146" s="5" t="n"/>
      <c r="BD146" s="5" t="n"/>
      <c r="BE146" s="5" t="n"/>
      <c r="BF146" s="5" t="n"/>
      <c r="BG146" s="5" t="n"/>
      <c r="BH146" s="5" t="n"/>
      <c r="BI146" s="5" t="n"/>
      <c r="BJ146" s="5" t="n"/>
      <c r="BK146" s="5" t="n"/>
      <c r="BL146" s="5" t="n"/>
      <c r="BM146" s="5" t="n"/>
      <c r="BN146" s="5" t="n"/>
      <c r="BO146" s="5" t="n"/>
      <c r="BP146" s="5" t="n"/>
      <c r="BQ146" s="5" t="n"/>
      <c r="BR146" s="5" t="n"/>
      <c r="BS146" s="5" t="n"/>
      <c r="BT146" s="5" t="n"/>
      <c r="BU146" s="5" t="n"/>
      <c r="BV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  <c r="AN147" s="5" t="n"/>
      <c r="AO147" s="5" t="n"/>
      <c r="AP147" s="5" t="n"/>
      <c r="AQ147" s="5" t="n"/>
      <c r="AR147" s="5" t="n"/>
      <c r="AS147" s="5" t="n"/>
      <c r="AT147" s="5" t="n"/>
      <c r="AU147" s="5" t="n"/>
      <c r="AV147" s="5" t="n"/>
      <c r="AW147" s="5" t="n"/>
      <c r="AX147" s="5" t="n"/>
      <c r="AY147" s="5" t="n"/>
      <c r="AZ147" s="5" t="n"/>
      <c r="BA147" s="5" t="n"/>
      <c r="BB147" s="5" t="n"/>
      <c r="BC147" s="5" t="n"/>
      <c r="BD147" s="5" t="n"/>
      <c r="BE147" s="5" t="n"/>
      <c r="BF147" s="5" t="n"/>
      <c r="BG147" s="5" t="n"/>
      <c r="BH147" s="5" t="n"/>
      <c r="BI147" s="5" t="n"/>
      <c r="BJ147" s="5" t="n"/>
      <c r="BK147" s="5" t="n"/>
      <c r="BL147" s="5" t="n"/>
      <c r="BM147" s="5" t="n"/>
      <c r="BN147" s="5" t="n"/>
      <c r="BO147" s="5" t="n"/>
      <c r="BP147" s="5" t="n"/>
      <c r="BQ147" s="5" t="n"/>
      <c r="BR147" s="5" t="n"/>
      <c r="BS147" s="5" t="n"/>
      <c r="BT147" s="5" t="n"/>
      <c r="BU147" s="5" t="n"/>
      <c r="BV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  <c r="AN148" s="5" t="n"/>
      <c r="AO148" s="5" t="n"/>
      <c r="AP148" s="5" t="n"/>
      <c r="AQ148" s="5" t="n"/>
      <c r="AR148" s="5" t="n"/>
      <c r="AS148" s="5" t="n"/>
      <c r="AT148" s="5" t="n"/>
      <c r="AU148" s="5" t="n"/>
      <c r="AV148" s="5" t="n"/>
      <c r="AW148" s="5" t="n"/>
      <c r="AX148" s="5" t="n"/>
      <c r="AY148" s="5" t="n"/>
      <c r="AZ148" s="5" t="n"/>
      <c r="BA148" s="5" t="n"/>
      <c r="BB148" s="5" t="n"/>
      <c r="BC148" s="5" t="n"/>
      <c r="BD148" s="5" t="n"/>
      <c r="BE148" s="5" t="n"/>
      <c r="BF148" s="5" t="n"/>
      <c r="BG148" s="5" t="n"/>
      <c r="BH148" s="5" t="n"/>
      <c r="BI148" s="5" t="n"/>
      <c r="BJ148" s="5" t="n"/>
      <c r="BK148" s="5" t="n"/>
      <c r="BL148" s="5" t="n"/>
      <c r="BM148" s="5" t="n"/>
      <c r="BN148" s="5" t="n"/>
      <c r="BO148" s="5" t="n"/>
      <c r="BP148" s="5" t="n"/>
      <c r="BQ148" s="5" t="n"/>
      <c r="BR148" s="5" t="n"/>
      <c r="BS148" s="5" t="n"/>
      <c r="BT148" s="5" t="n"/>
      <c r="BU148" s="5" t="n"/>
      <c r="BV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  <c r="AN149" s="5" t="n"/>
      <c r="AO149" s="5" t="n"/>
      <c r="AP149" s="5" t="n"/>
      <c r="AQ149" s="5" t="n"/>
      <c r="AR149" s="5" t="n"/>
      <c r="AS149" s="5" t="n"/>
      <c r="AT149" s="5" t="n"/>
      <c r="AU149" s="5" t="n"/>
      <c r="AV149" s="5" t="n"/>
      <c r="AW149" s="5" t="n"/>
      <c r="AX149" s="5" t="n"/>
      <c r="AY149" s="5" t="n"/>
      <c r="AZ149" s="5" t="n"/>
      <c r="BA149" s="5" t="n"/>
      <c r="BB149" s="5" t="n"/>
      <c r="BC149" s="5" t="n"/>
      <c r="BD149" s="5" t="n"/>
      <c r="BE149" s="5" t="n"/>
      <c r="BF149" s="5" t="n"/>
      <c r="BG149" s="5" t="n"/>
      <c r="BH149" s="5" t="n"/>
      <c r="BI149" s="5" t="n"/>
      <c r="BJ149" s="5" t="n"/>
      <c r="BK149" s="5" t="n"/>
      <c r="BL149" s="5" t="n"/>
      <c r="BM149" s="5" t="n"/>
      <c r="BN149" s="5" t="n"/>
      <c r="BO149" s="5" t="n"/>
      <c r="BP149" s="5" t="n"/>
      <c r="BQ149" s="5" t="n"/>
      <c r="BR149" s="5" t="n"/>
      <c r="BS149" s="5" t="n"/>
      <c r="BT149" s="5" t="n"/>
      <c r="BU149" s="5" t="n"/>
      <c r="BV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  <c r="AN150" s="5" t="n"/>
      <c r="AO150" s="5" t="n"/>
      <c r="AP150" s="5" t="n"/>
      <c r="AQ150" s="5" t="n"/>
      <c r="AR150" s="5" t="n"/>
      <c r="AS150" s="5" t="n"/>
      <c r="AT150" s="5" t="n"/>
      <c r="AU150" s="5" t="n"/>
      <c r="AV150" s="5" t="n"/>
      <c r="AW150" s="5" t="n"/>
      <c r="AX150" s="5" t="n"/>
      <c r="AY150" s="5" t="n"/>
      <c r="AZ150" s="5" t="n"/>
      <c r="BA150" s="5" t="n"/>
      <c r="BB150" s="5" t="n"/>
      <c r="BC150" s="5" t="n"/>
      <c r="BD150" s="5" t="n"/>
      <c r="BE150" s="5" t="n"/>
      <c r="BF150" s="5" t="n"/>
      <c r="BG150" s="5" t="n"/>
      <c r="BH150" s="5" t="n"/>
      <c r="BI150" s="5" t="n"/>
      <c r="BJ150" s="5" t="n"/>
      <c r="BK150" s="5" t="n"/>
      <c r="BL150" s="5" t="n"/>
      <c r="BM150" s="5" t="n"/>
      <c r="BN150" s="5" t="n"/>
      <c r="BO150" s="5" t="n"/>
      <c r="BP150" s="5" t="n"/>
      <c r="BQ150" s="5" t="n"/>
      <c r="BR150" s="5" t="n"/>
      <c r="BS150" s="5" t="n"/>
      <c r="BT150" s="5" t="n"/>
      <c r="BU150" s="5" t="n"/>
      <c r="BV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  <c r="AN151" s="5" t="n"/>
      <c r="AO151" s="5" t="n"/>
      <c r="AP151" s="5" t="n"/>
      <c r="AQ151" s="5" t="n"/>
      <c r="AR151" s="5" t="n"/>
      <c r="AS151" s="5" t="n"/>
      <c r="AT151" s="5" t="n"/>
      <c r="AU151" s="5" t="n"/>
      <c r="AV151" s="5" t="n"/>
      <c r="AW151" s="5" t="n"/>
      <c r="AX151" s="5" t="n"/>
      <c r="AY151" s="5" t="n"/>
      <c r="AZ151" s="5" t="n"/>
      <c r="BA151" s="5" t="n"/>
      <c r="BB151" s="5" t="n"/>
      <c r="BC151" s="5" t="n"/>
      <c r="BD151" s="5" t="n"/>
      <c r="BE151" s="5" t="n"/>
      <c r="BF151" s="5" t="n"/>
      <c r="BG151" s="5" t="n"/>
      <c r="BH151" s="5" t="n"/>
      <c r="BI151" s="5" t="n"/>
      <c r="BJ151" s="5" t="n"/>
      <c r="BK151" s="5" t="n"/>
      <c r="BL151" s="5" t="n"/>
      <c r="BM151" s="5" t="n"/>
      <c r="BN151" s="5" t="n"/>
      <c r="BO151" s="5" t="n"/>
      <c r="BP151" s="5" t="n"/>
      <c r="BQ151" s="5" t="n"/>
      <c r="BR151" s="5" t="n"/>
      <c r="BS151" s="5" t="n"/>
      <c r="BT151" s="5" t="n"/>
      <c r="BU151" s="5" t="n"/>
      <c r="BV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  <c r="AN152" s="5" t="n"/>
      <c r="AO152" s="5" t="n"/>
      <c r="AP152" s="5" t="n"/>
      <c r="AQ152" s="5" t="n"/>
      <c r="AR152" s="5" t="n"/>
      <c r="AS152" s="5" t="n"/>
      <c r="AT152" s="5" t="n"/>
      <c r="AU152" s="5" t="n"/>
      <c r="AV152" s="5" t="n"/>
      <c r="AW152" s="5" t="n"/>
      <c r="AX152" s="5" t="n"/>
      <c r="AY152" s="5" t="n"/>
      <c r="AZ152" s="5" t="n"/>
      <c r="BA152" s="5" t="n"/>
      <c r="BB152" s="5" t="n"/>
      <c r="BC152" s="5" t="n"/>
      <c r="BD152" s="5" t="n"/>
      <c r="BE152" s="5" t="n"/>
      <c r="BF152" s="5" t="n"/>
      <c r="BG152" s="5" t="n"/>
      <c r="BH152" s="5" t="n"/>
      <c r="BI152" s="5" t="n"/>
      <c r="BJ152" s="5" t="n"/>
      <c r="BK152" s="5" t="n"/>
      <c r="BL152" s="5" t="n"/>
      <c r="BM152" s="5" t="n"/>
      <c r="BN152" s="5" t="n"/>
      <c r="BO152" s="5" t="n"/>
      <c r="BP152" s="5" t="n"/>
      <c r="BQ152" s="5" t="n"/>
      <c r="BR152" s="5" t="n"/>
      <c r="BS152" s="5" t="n"/>
      <c r="BT152" s="5" t="n"/>
      <c r="BU152" s="5" t="n"/>
      <c r="BV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  <c r="AN153" s="5" t="n"/>
      <c r="AO153" s="5" t="n"/>
      <c r="AP153" s="5" t="n"/>
      <c r="AQ153" s="5" t="n"/>
      <c r="AR153" s="5" t="n"/>
      <c r="AS153" s="5" t="n"/>
      <c r="AT153" s="5" t="n"/>
      <c r="AU153" s="5" t="n"/>
      <c r="AV153" s="5" t="n"/>
      <c r="AW153" s="5" t="n"/>
      <c r="AX153" s="5" t="n"/>
      <c r="AY153" s="5" t="n"/>
      <c r="AZ153" s="5" t="n"/>
      <c r="BA153" s="5" t="n"/>
      <c r="BB153" s="5" t="n"/>
      <c r="BC153" s="5" t="n"/>
      <c r="BD153" s="5" t="n"/>
      <c r="BE153" s="5" t="n"/>
      <c r="BF153" s="5" t="n"/>
      <c r="BG153" s="5" t="n"/>
      <c r="BH153" s="5" t="n"/>
      <c r="BI153" s="5" t="n"/>
      <c r="BJ153" s="5" t="n"/>
      <c r="BK153" s="5" t="n"/>
      <c r="BL153" s="5" t="n"/>
      <c r="BM153" s="5" t="n"/>
      <c r="BN153" s="5" t="n"/>
      <c r="BO153" s="5" t="n"/>
      <c r="BP153" s="5" t="n"/>
      <c r="BQ153" s="5" t="n"/>
      <c r="BR153" s="5" t="n"/>
      <c r="BS153" s="5" t="n"/>
      <c r="BT153" s="5" t="n"/>
      <c r="BU153" s="5" t="n"/>
      <c r="BV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  <c r="AN154" s="5" t="n"/>
      <c r="AO154" s="5" t="n"/>
      <c r="AP154" s="5" t="n"/>
      <c r="AQ154" s="5" t="n"/>
      <c r="AR154" s="5" t="n"/>
      <c r="AS154" s="5" t="n"/>
      <c r="AT154" s="5" t="n"/>
      <c r="AU154" s="5" t="n"/>
      <c r="AV154" s="5" t="n"/>
      <c r="AW154" s="5" t="n"/>
      <c r="AX154" s="5" t="n"/>
      <c r="AY154" s="5" t="n"/>
      <c r="AZ154" s="5" t="n"/>
      <c r="BA154" s="5" t="n"/>
      <c r="BB154" s="5" t="n"/>
      <c r="BC154" s="5" t="n"/>
      <c r="BD154" s="5" t="n"/>
      <c r="BE154" s="5" t="n"/>
      <c r="BF154" s="5" t="n"/>
      <c r="BG154" s="5" t="n"/>
      <c r="BH154" s="5" t="n"/>
      <c r="BI154" s="5" t="n"/>
      <c r="BJ154" s="5" t="n"/>
      <c r="BK154" s="5" t="n"/>
      <c r="BL154" s="5" t="n"/>
      <c r="BM154" s="5" t="n"/>
      <c r="BN154" s="5" t="n"/>
      <c r="BO154" s="5" t="n"/>
      <c r="BP154" s="5" t="n"/>
      <c r="BQ154" s="5" t="n"/>
      <c r="BR154" s="5" t="n"/>
      <c r="BS154" s="5" t="n"/>
      <c r="BT154" s="5" t="n"/>
      <c r="BU154" s="5" t="n"/>
      <c r="BV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  <c r="AN155" s="5" t="n"/>
      <c r="AO155" s="5" t="n"/>
      <c r="AP155" s="5" t="n"/>
      <c r="AQ155" s="5" t="n"/>
      <c r="AR155" s="5" t="n"/>
      <c r="AS155" s="5" t="n"/>
      <c r="AT155" s="5" t="n"/>
      <c r="AU155" s="5" t="n"/>
      <c r="AV155" s="5" t="n"/>
      <c r="AW155" s="5" t="n"/>
      <c r="AX155" s="5" t="n"/>
      <c r="AY155" s="5" t="n"/>
      <c r="AZ155" s="5" t="n"/>
      <c r="BA155" s="5" t="n"/>
      <c r="BB155" s="5" t="n"/>
      <c r="BC155" s="5" t="n"/>
      <c r="BD155" s="5" t="n"/>
      <c r="BE155" s="5" t="n"/>
      <c r="BF155" s="5" t="n"/>
      <c r="BG155" s="5" t="n"/>
      <c r="BH155" s="5" t="n"/>
      <c r="BI155" s="5" t="n"/>
      <c r="BJ155" s="5" t="n"/>
      <c r="BK155" s="5" t="n"/>
      <c r="BL155" s="5" t="n"/>
      <c r="BM155" s="5" t="n"/>
      <c r="BN155" s="5" t="n"/>
      <c r="BO155" s="5" t="n"/>
      <c r="BP155" s="5" t="n"/>
      <c r="BQ155" s="5" t="n"/>
      <c r="BR155" s="5" t="n"/>
      <c r="BS155" s="5" t="n"/>
      <c r="BT155" s="5" t="n"/>
      <c r="BU155" s="5" t="n"/>
      <c r="BV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  <c r="AN156" s="5" t="n"/>
      <c r="AO156" s="5" t="n"/>
      <c r="AP156" s="5" t="n"/>
      <c r="AQ156" s="5" t="n"/>
      <c r="AR156" s="5" t="n"/>
      <c r="AS156" s="5" t="n"/>
      <c r="AT156" s="5" t="n"/>
      <c r="AU156" s="5" t="n"/>
      <c r="AV156" s="5" t="n"/>
      <c r="AW156" s="5" t="n"/>
      <c r="AX156" s="5" t="n"/>
      <c r="AY156" s="5" t="n"/>
      <c r="AZ156" s="5" t="n"/>
      <c r="BA156" s="5" t="n"/>
      <c r="BB156" s="5" t="n"/>
      <c r="BC156" s="5" t="n"/>
      <c r="BD156" s="5" t="n"/>
      <c r="BE156" s="5" t="n"/>
      <c r="BF156" s="5" t="n"/>
      <c r="BG156" s="5" t="n"/>
      <c r="BH156" s="5" t="n"/>
      <c r="BI156" s="5" t="n"/>
      <c r="BJ156" s="5" t="n"/>
      <c r="BK156" s="5" t="n"/>
      <c r="BL156" s="5" t="n"/>
      <c r="BM156" s="5" t="n"/>
      <c r="BN156" s="5" t="n"/>
      <c r="BO156" s="5" t="n"/>
      <c r="BP156" s="5" t="n"/>
      <c r="BQ156" s="5" t="n"/>
      <c r="BR156" s="5" t="n"/>
      <c r="BS156" s="5" t="n"/>
      <c r="BT156" s="5" t="n"/>
      <c r="BU156" s="5" t="n"/>
      <c r="BV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  <c r="AN157" s="5" t="n"/>
      <c r="AO157" s="5" t="n"/>
      <c r="AP157" s="5" t="n"/>
      <c r="AQ157" s="5" t="n"/>
      <c r="AR157" s="5" t="n"/>
      <c r="AS157" s="5" t="n"/>
      <c r="AT157" s="5" t="n"/>
      <c r="AU157" s="5" t="n"/>
      <c r="AV157" s="5" t="n"/>
      <c r="AW157" s="5" t="n"/>
      <c r="AX157" s="5" t="n"/>
      <c r="AY157" s="5" t="n"/>
      <c r="AZ157" s="5" t="n"/>
      <c r="BA157" s="5" t="n"/>
      <c r="BB157" s="5" t="n"/>
      <c r="BC157" s="5" t="n"/>
      <c r="BD157" s="5" t="n"/>
      <c r="BE157" s="5" t="n"/>
      <c r="BF157" s="5" t="n"/>
      <c r="BG157" s="5" t="n"/>
      <c r="BH157" s="5" t="n"/>
      <c r="BI157" s="5" t="n"/>
      <c r="BJ157" s="5" t="n"/>
      <c r="BK157" s="5" t="n"/>
      <c r="BL157" s="5" t="n"/>
      <c r="BM157" s="5" t="n"/>
      <c r="BN157" s="5" t="n"/>
      <c r="BO157" s="5" t="n"/>
      <c r="BP157" s="5" t="n"/>
      <c r="BQ157" s="5" t="n"/>
      <c r="BR157" s="5" t="n"/>
      <c r="BS157" s="5" t="n"/>
      <c r="BT157" s="5" t="n"/>
      <c r="BU157" s="5" t="n"/>
      <c r="BV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  <c r="AN158" s="5" t="n"/>
      <c r="AO158" s="5" t="n"/>
      <c r="AP158" s="5" t="n"/>
      <c r="AQ158" s="5" t="n"/>
      <c r="AR158" s="5" t="n"/>
      <c r="AS158" s="5" t="n"/>
      <c r="AT158" s="5" t="n"/>
      <c r="AU158" s="5" t="n"/>
      <c r="AV158" s="5" t="n"/>
      <c r="AW158" s="5" t="n"/>
      <c r="AX158" s="5" t="n"/>
      <c r="AY158" s="5" t="n"/>
      <c r="AZ158" s="5" t="n"/>
      <c r="BA158" s="5" t="n"/>
      <c r="BB158" s="5" t="n"/>
      <c r="BC158" s="5" t="n"/>
      <c r="BD158" s="5" t="n"/>
      <c r="BE158" s="5" t="n"/>
      <c r="BF158" s="5" t="n"/>
      <c r="BG158" s="5" t="n"/>
      <c r="BH158" s="5" t="n"/>
      <c r="BI158" s="5" t="n"/>
      <c r="BJ158" s="5" t="n"/>
      <c r="BK158" s="5" t="n"/>
      <c r="BL158" s="5" t="n"/>
      <c r="BM158" s="5" t="n"/>
      <c r="BN158" s="5" t="n"/>
      <c r="BO158" s="5" t="n"/>
      <c r="BP158" s="5" t="n"/>
      <c r="BQ158" s="5" t="n"/>
      <c r="BR158" s="5" t="n"/>
      <c r="BS158" s="5" t="n"/>
      <c r="BT158" s="5" t="n"/>
      <c r="BU158" s="5" t="n"/>
      <c r="BV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  <c r="AN159" s="5" t="n"/>
      <c r="AO159" s="5" t="n"/>
      <c r="AP159" s="5" t="n"/>
      <c r="AQ159" s="5" t="n"/>
      <c r="AR159" s="5" t="n"/>
      <c r="AS159" s="5" t="n"/>
      <c r="AT159" s="5" t="n"/>
      <c r="AU159" s="5" t="n"/>
      <c r="AV159" s="5" t="n"/>
      <c r="AW159" s="5" t="n"/>
      <c r="AX159" s="5" t="n"/>
      <c r="AY159" s="5" t="n"/>
      <c r="AZ159" s="5" t="n"/>
      <c r="BA159" s="5" t="n"/>
      <c r="BB159" s="5" t="n"/>
      <c r="BC159" s="5" t="n"/>
      <c r="BD159" s="5" t="n"/>
      <c r="BE159" s="5" t="n"/>
      <c r="BF159" s="5" t="n"/>
      <c r="BG159" s="5" t="n"/>
      <c r="BH159" s="5" t="n"/>
      <c r="BI159" s="5" t="n"/>
      <c r="BJ159" s="5" t="n"/>
      <c r="BK159" s="5" t="n"/>
      <c r="BL159" s="5" t="n"/>
      <c r="BM159" s="5" t="n"/>
      <c r="BN159" s="5" t="n"/>
      <c r="BO159" s="5" t="n"/>
      <c r="BP159" s="5" t="n"/>
      <c r="BQ159" s="5" t="n"/>
      <c r="BR159" s="5" t="n"/>
      <c r="BS159" s="5" t="n"/>
      <c r="BT159" s="5" t="n"/>
      <c r="BU159" s="5" t="n"/>
      <c r="BV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  <c r="AN160" s="5" t="n"/>
      <c r="AO160" s="5" t="n"/>
      <c r="AP160" s="5" t="n"/>
      <c r="AQ160" s="5" t="n"/>
      <c r="AR160" s="5" t="n"/>
      <c r="AS160" s="5" t="n"/>
      <c r="AT160" s="5" t="n"/>
      <c r="AU160" s="5" t="n"/>
      <c r="AV160" s="5" t="n"/>
      <c r="AW160" s="5" t="n"/>
      <c r="AX160" s="5" t="n"/>
      <c r="AY160" s="5" t="n"/>
      <c r="AZ160" s="5" t="n"/>
      <c r="BA160" s="5" t="n"/>
      <c r="BB160" s="5" t="n"/>
      <c r="BC160" s="5" t="n"/>
      <c r="BD160" s="5" t="n"/>
      <c r="BE160" s="5" t="n"/>
      <c r="BF160" s="5" t="n"/>
      <c r="BG160" s="5" t="n"/>
      <c r="BH160" s="5" t="n"/>
      <c r="BI160" s="5" t="n"/>
      <c r="BJ160" s="5" t="n"/>
      <c r="BK160" s="5" t="n"/>
      <c r="BL160" s="5" t="n"/>
      <c r="BM160" s="5" t="n"/>
      <c r="BN160" s="5" t="n"/>
      <c r="BO160" s="5" t="n"/>
      <c r="BP160" s="5" t="n"/>
      <c r="BQ160" s="5" t="n"/>
      <c r="BR160" s="5" t="n"/>
      <c r="BS160" s="5" t="n"/>
      <c r="BT160" s="5" t="n"/>
      <c r="BU160" s="5" t="n"/>
      <c r="BV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  <c r="AN161" s="5" t="n"/>
      <c r="AO161" s="5" t="n"/>
      <c r="AP161" s="5" t="n"/>
      <c r="AQ161" s="5" t="n"/>
      <c r="AR161" s="5" t="n"/>
      <c r="AS161" s="5" t="n"/>
      <c r="AT161" s="5" t="n"/>
      <c r="AU161" s="5" t="n"/>
      <c r="AV161" s="5" t="n"/>
      <c r="AW161" s="5" t="n"/>
      <c r="AX161" s="5" t="n"/>
      <c r="AY161" s="5" t="n"/>
      <c r="AZ161" s="5" t="n"/>
      <c r="BA161" s="5" t="n"/>
      <c r="BB161" s="5" t="n"/>
      <c r="BC161" s="5" t="n"/>
      <c r="BD161" s="5" t="n"/>
      <c r="BE161" s="5" t="n"/>
      <c r="BF161" s="5" t="n"/>
      <c r="BG161" s="5" t="n"/>
      <c r="BH161" s="5" t="n"/>
      <c r="BI161" s="5" t="n"/>
      <c r="BJ161" s="5" t="n"/>
      <c r="BK161" s="5" t="n"/>
      <c r="BL161" s="5" t="n"/>
      <c r="BM161" s="5" t="n"/>
      <c r="BN161" s="5" t="n"/>
      <c r="BO161" s="5" t="n"/>
      <c r="BP161" s="5" t="n"/>
      <c r="BQ161" s="5" t="n"/>
      <c r="BR161" s="5" t="n"/>
      <c r="BS161" s="5" t="n"/>
      <c r="BT161" s="5" t="n"/>
      <c r="BU161" s="5" t="n"/>
      <c r="BV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  <c r="AN162" s="5" t="n"/>
      <c r="AO162" s="5" t="n"/>
      <c r="AP162" s="5" t="n"/>
      <c r="AQ162" s="5" t="n"/>
      <c r="AR162" s="5" t="n"/>
      <c r="AS162" s="5" t="n"/>
      <c r="AT162" s="5" t="n"/>
      <c r="AU162" s="5" t="n"/>
      <c r="AV162" s="5" t="n"/>
      <c r="AW162" s="5" t="n"/>
      <c r="AX162" s="5" t="n"/>
      <c r="AY162" s="5" t="n"/>
      <c r="AZ162" s="5" t="n"/>
      <c r="BA162" s="5" t="n"/>
      <c r="BB162" s="5" t="n"/>
      <c r="BC162" s="5" t="n"/>
      <c r="BD162" s="5" t="n"/>
      <c r="BE162" s="5" t="n"/>
      <c r="BF162" s="5" t="n"/>
      <c r="BG162" s="5" t="n"/>
      <c r="BH162" s="5" t="n"/>
      <c r="BI162" s="5" t="n"/>
      <c r="BJ162" s="5" t="n"/>
      <c r="BK162" s="5" t="n"/>
      <c r="BL162" s="5" t="n"/>
      <c r="BM162" s="5" t="n"/>
      <c r="BN162" s="5" t="n"/>
      <c r="BO162" s="5" t="n"/>
      <c r="BP162" s="5" t="n"/>
      <c r="BQ162" s="5" t="n"/>
      <c r="BR162" s="5" t="n"/>
      <c r="BS162" s="5" t="n"/>
      <c r="BT162" s="5" t="n"/>
      <c r="BU162" s="5" t="n"/>
      <c r="BV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  <c r="AN163" s="5" t="n"/>
      <c r="AO163" s="5" t="n"/>
      <c r="AP163" s="5" t="n"/>
      <c r="AQ163" s="5" t="n"/>
      <c r="AR163" s="5" t="n"/>
      <c r="AS163" s="5" t="n"/>
      <c r="AT163" s="5" t="n"/>
      <c r="AU163" s="5" t="n"/>
      <c r="AV163" s="5" t="n"/>
      <c r="AW163" s="5" t="n"/>
      <c r="AX163" s="5" t="n"/>
      <c r="AY163" s="5" t="n"/>
      <c r="AZ163" s="5" t="n"/>
      <c r="BA163" s="5" t="n"/>
      <c r="BB163" s="5" t="n"/>
      <c r="BC163" s="5" t="n"/>
      <c r="BD163" s="5" t="n"/>
      <c r="BE163" s="5" t="n"/>
      <c r="BF163" s="5" t="n"/>
      <c r="BG163" s="5" t="n"/>
      <c r="BH163" s="5" t="n"/>
      <c r="BI163" s="5" t="n"/>
      <c r="BJ163" s="5" t="n"/>
      <c r="BK163" s="5" t="n"/>
      <c r="BL163" s="5" t="n"/>
      <c r="BM163" s="5" t="n"/>
      <c r="BN163" s="5" t="n"/>
      <c r="BO163" s="5" t="n"/>
      <c r="BP163" s="5" t="n"/>
      <c r="BQ163" s="5" t="n"/>
      <c r="BR163" s="5" t="n"/>
      <c r="BS163" s="5" t="n"/>
      <c r="BT163" s="5" t="n"/>
      <c r="BU163" s="5" t="n"/>
      <c r="BV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  <c r="AN164" s="5" t="n"/>
      <c r="AO164" s="5" t="n"/>
      <c r="AP164" s="5" t="n"/>
      <c r="AQ164" s="5" t="n"/>
      <c r="AR164" s="5" t="n"/>
      <c r="AS164" s="5" t="n"/>
      <c r="AT164" s="5" t="n"/>
      <c r="AU164" s="5" t="n"/>
      <c r="AV164" s="5" t="n"/>
      <c r="AW164" s="5" t="n"/>
      <c r="AX164" s="5" t="n"/>
      <c r="AY164" s="5" t="n"/>
      <c r="AZ164" s="5" t="n"/>
      <c r="BA164" s="5" t="n"/>
      <c r="BB164" s="5" t="n"/>
      <c r="BC164" s="5" t="n"/>
      <c r="BD164" s="5" t="n"/>
      <c r="BE164" s="5" t="n"/>
      <c r="BF164" s="5" t="n"/>
      <c r="BG164" s="5" t="n"/>
      <c r="BH164" s="5" t="n"/>
      <c r="BI164" s="5" t="n"/>
      <c r="BJ164" s="5" t="n"/>
      <c r="BK164" s="5" t="n"/>
      <c r="BL164" s="5" t="n"/>
      <c r="BM164" s="5" t="n"/>
      <c r="BN164" s="5" t="n"/>
      <c r="BO164" s="5" t="n"/>
      <c r="BP164" s="5" t="n"/>
      <c r="BQ164" s="5" t="n"/>
      <c r="BR164" s="5" t="n"/>
      <c r="BS164" s="5" t="n"/>
      <c r="BT164" s="5" t="n"/>
      <c r="BU164" s="5" t="n"/>
      <c r="BV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  <c r="AN165" s="5" t="n"/>
      <c r="AO165" s="5" t="n"/>
      <c r="AP165" s="5" t="n"/>
      <c r="AQ165" s="5" t="n"/>
      <c r="AR165" s="5" t="n"/>
      <c r="AS165" s="5" t="n"/>
      <c r="AT165" s="5" t="n"/>
      <c r="AU165" s="5" t="n"/>
      <c r="AV165" s="5" t="n"/>
      <c r="AW165" s="5" t="n"/>
      <c r="AX165" s="5" t="n"/>
      <c r="AY165" s="5" t="n"/>
      <c r="AZ165" s="5" t="n"/>
      <c r="BA165" s="5" t="n"/>
      <c r="BB165" s="5" t="n"/>
      <c r="BC165" s="5" t="n"/>
      <c r="BD165" s="5" t="n"/>
      <c r="BE165" s="5" t="n"/>
      <c r="BF165" s="5" t="n"/>
      <c r="BG165" s="5" t="n"/>
      <c r="BH165" s="5" t="n"/>
      <c r="BI165" s="5" t="n"/>
      <c r="BJ165" s="5" t="n"/>
      <c r="BK165" s="5" t="n"/>
      <c r="BL165" s="5" t="n"/>
      <c r="BM165" s="5" t="n"/>
      <c r="BN165" s="5" t="n"/>
      <c r="BO165" s="5" t="n"/>
      <c r="BP165" s="5" t="n"/>
      <c r="BQ165" s="5" t="n"/>
      <c r="BR165" s="5" t="n"/>
      <c r="BS165" s="5" t="n"/>
      <c r="BT165" s="5" t="n"/>
      <c r="BU165" s="5" t="n"/>
      <c r="BV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  <c r="AN166" s="5" t="n"/>
      <c r="AO166" s="5" t="n"/>
      <c r="AP166" s="5" t="n"/>
      <c r="AQ166" s="5" t="n"/>
      <c r="AR166" s="5" t="n"/>
      <c r="AS166" s="5" t="n"/>
      <c r="AT166" s="5" t="n"/>
      <c r="AU166" s="5" t="n"/>
      <c r="AV166" s="5" t="n"/>
      <c r="AW166" s="5" t="n"/>
      <c r="AX166" s="5" t="n"/>
      <c r="AY166" s="5" t="n"/>
      <c r="AZ166" s="5" t="n"/>
      <c r="BA166" s="5" t="n"/>
      <c r="BB166" s="5" t="n"/>
      <c r="BC166" s="5" t="n"/>
      <c r="BD166" s="5" t="n"/>
      <c r="BE166" s="5" t="n"/>
      <c r="BF166" s="5" t="n"/>
      <c r="BG166" s="5" t="n"/>
      <c r="BH166" s="5" t="n"/>
      <c r="BI166" s="5" t="n"/>
      <c r="BJ166" s="5" t="n"/>
      <c r="BK166" s="5" t="n"/>
      <c r="BL166" s="5" t="n"/>
      <c r="BM166" s="5" t="n"/>
      <c r="BN166" s="5" t="n"/>
      <c r="BO166" s="5" t="n"/>
      <c r="BP166" s="5" t="n"/>
      <c r="BQ166" s="5" t="n"/>
      <c r="BR166" s="5" t="n"/>
      <c r="BS166" s="5" t="n"/>
      <c r="BT166" s="5" t="n"/>
      <c r="BU166" s="5" t="n"/>
      <c r="BV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  <c r="AN167" s="5" t="n"/>
      <c r="AO167" s="5" t="n"/>
      <c r="AP167" s="5" t="n"/>
      <c r="AQ167" s="5" t="n"/>
      <c r="AR167" s="5" t="n"/>
      <c r="AS167" s="5" t="n"/>
      <c r="AT167" s="5" t="n"/>
      <c r="AU167" s="5" t="n"/>
      <c r="AV167" s="5" t="n"/>
      <c r="AW167" s="5" t="n"/>
      <c r="AX167" s="5" t="n"/>
      <c r="AY167" s="5" t="n"/>
      <c r="AZ167" s="5" t="n"/>
      <c r="BA167" s="5" t="n"/>
      <c r="BB167" s="5" t="n"/>
      <c r="BC167" s="5" t="n"/>
      <c r="BD167" s="5" t="n"/>
      <c r="BE167" s="5" t="n"/>
      <c r="BF167" s="5" t="n"/>
      <c r="BG167" s="5" t="n"/>
      <c r="BH167" s="5" t="n"/>
      <c r="BI167" s="5" t="n"/>
      <c r="BJ167" s="5" t="n"/>
      <c r="BK167" s="5" t="n"/>
      <c r="BL167" s="5" t="n"/>
      <c r="BM167" s="5" t="n"/>
      <c r="BN167" s="5" t="n"/>
      <c r="BO167" s="5" t="n"/>
      <c r="BP167" s="5" t="n"/>
      <c r="BQ167" s="5" t="n"/>
      <c r="BR167" s="5" t="n"/>
      <c r="BS167" s="5" t="n"/>
      <c r="BT167" s="5" t="n"/>
      <c r="BU167" s="5" t="n"/>
      <c r="BV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  <c r="AN168" s="5" t="n"/>
      <c r="AO168" s="5" t="n"/>
      <c r="AP168" s="5" t="n"/>
      <c r="AQ168" s="5" t="n"/>
      <c r="AR168" s="5" t="n"/>
      <c r="AS168" s="5" t="n"/>
      <c r="AT168" s="5" t="n"/>
      <c r="AU168" s="5" t="n"/>
      <c r="AV168" s="5" t="n"/>
      <c r="AW168" s="5" t="n"/>
      <c r="AX168" s="5" t="n"/>
      <c r="AY168" s="5" t="n"/>
      <c r="AZ168" s="5" t="n"/>
      <c r="BA168" s="5" t="n"/>
      <c r="BB168" s="5" t="n"/>
      <c r="BC168" s="5" t="n"/>
      <c r="BD168" s="5" t="n"/>
      <c r="BE168" s="5" t="n"/>
      <c r="BF168" s="5" t="n"/>
      <c r="BG168" s="5" t="n"/>
      <c r="BH168" s="5" t="n"/>
      <c r="BI168" s="5" t="n"/>
      <c r="BJ168" s="5" t="n"/>
      <c r="BK168" s="5" t="n"/>
      <c r="BL168" s="5" t="n"/>
      <c r="BM168" s="5" t="n"/>
      <c r="BN168" s="5" t="n"/>
      <c r="BO168" s="5" t="n"/>
      <c r="BP168" s="5" t="n"/>
      <c r="BQ168" s="5" t="n"/>
      <c r="BR168" s="5" t="n"/>
      <c r="BS168" s="5" t="n"/>
      <c r="BT168" s="5" t="n"/>
      <c r="BU168" s="5" t="n"/>
      <c r="BV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  <c r="AN169" s="5" t="n"/>
      <c r="AO169" s="5" t="n"/>
      <c r="AP169" s="5" t="n"/>
      <c r="AQ169" s="5" t="n"/>
      <c r="AR169" s="5" t="n"/>
      <c r="AS169" s="5" t="n"/>
      <c r="AT169" s="5" t="n"/>
      <c r="AU169" s="5" t="n"/>
      <c r="AV169" s="5" t="n"/>
      <c r="AW169" s="5" t="n"/>
      <c r="AX169" s="5" t="n"/>
      <c r="AY169" s="5" t="n"/>
      <c r="AZ169" s="5" t="n"/>
      <c r="BA169" s="5" t="n"/>
      <c r="BB169" s="5" t="n"/>
      <c r="BC169" s="5" t="n"/>
      <c r="BD169" s="5" t="n"/>
      <c r="BE169" s="5" t="n"/>
      <c r="BF169" s="5" t="n"/>
      <c r="BG169" s="5" t="n"/>
      <c r="BH169" s="5" t="n"/>
      <c r="BI169" s="5" t="n"/>
      <c r="BJ169" s="5" t="n"/>
      <c r="BK169" s="5" t="n"/>
      <c r="BL169" s="5" t="n"/>
      <c r="BM169" s="5" t="n"/>
      <c r="BN169" s="5" t="n"/>
      <c r="BO169" s="5" t="n"/>
      <c r="BP169" s="5" t="n"/>
      <c r="BQ169" s="5" t="n"/>
      <c r="BR169" s="5" t="n"/>
      <c r="BS169" s="5" t="n"/>
      <c r="BT169" s="5" t="n"/>
      <c r="BU169" s="5" t="n"/>
      <c r="BV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  <c r="AN170" s="5" t="n"/>
      <c r="AO170" s="5" t="n"/>
      <c r="AP170" s="5" t="n"/>
      <c r="AQ170" s="5" t="n"/>
      <c r="AR170" s="5" t="n"/>
      <c r="AS170" s="5" t="n"/>
      <c r="AT170" s="5" t="n"/>
      <c r="AU170" s="5" t="n"/>
      <c r="AV170" s="5" t="n"/>
      <c r="AW170" s="5" t="n"/>
      <c r="AX170" s="5" t="n"/>
      <c r="AY170" s="5" t="n"/>
      <c r="AZ170" s="5" t="n"/>
      <c r="BA170" s="5" t="n"/>
      <c r="BB170" s="5" t="n"/>
      <c r="BC170" s="5" t="n"/>
      <c r="BD170" s="5" t="n"/>
      <c r="BE170" s="5" t="n"/>
      <c r="BF170" s="5" t="n"/>
      <c r="BG170" s="5" t="n"/>
      <c r="BH170" s="5" t="n"/>
      <c r="BI170" s="5" t="n"/>
      <c r="BJ170" s="5" t="n"/>
      <c r="BK170" s="5" t="n"/>
      <c r="BL170" s="5" t="n"/>
      <c r="BM170" s="5" t="n"/>
      <c r="BN170" s="5" t="n"/>
      <c r="BO170" s="5" t="n"/>
      <c r="BP170" s="5" t="n"/>
      <c r="BQ170" s="5" t="n"/>
      <c r="BR170" s="5" t="n"/>
      <c r="BS170" s="5" t="n"/>
      <c r="BT170" s="5" t="n"/>
      <c r="BU170" s="5" t="n"/>
      <c r="BV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  <c r="AN171" s="5" t="n"/>
      <c r="AO171" s="5" t="n"/>
      <c r="AP171" s="5" t="n"/>
      <c r="AQ171" s="5" t="n"/>
      <c r="AR171" s="5" t="n"/>
      <c r="AS171" s="5" t="n"/>
      <c r="AT171" s="5" t="n"/>
      <c r="AU171" s="5" t="n"/>
      <c r="AV171" s="5" t="n"/>
      <c r="AW171" s="5" t="n"/>
      <c r="AX171" s="5" t="n"/>
      <c r="AY171" s="5" t="n"/>
      <c r="AZ171" s="5" t="n"/>
      <c r="BA171" s="5" t="n"/>
      <c r="BB171" s="5" t="n"/>
      <c r="BC171" s="5" t="n"/>
      <c r="BD171" s="5" t="n"/>
      <c r="BE171" s="5" t="n"/>
      <c r="BF171" s="5" t="n"/>
      <c r="BG171" s="5" t="n"/>
      <c r="BH171" s="5" t="n"/>
      <c r="BI171" s="5" t="n"/>
      <c r="BJ171" s="5" t="n"/>
      <c r="BK171" s="5" t="n"/>
      <c r="BL171" s="5" t="n"/>
      <c r="BM171" s="5" t="n"/>
      <c r="BN171" s="5" t="n"/>
      <c r="BO171" s="5" t="n"/>
      <c r="BP171" s="5" t="n"/>
      <c r="BQ171" s="5" t="n"/>
      <c r="BR171" s="5" t="n"/>
      <c r="BS171" s="5" t="n"/>
      <c r="BT171" s="5" t="n"/>
      <c r="BU171" s="5" t="n"/>
      <c r="BV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  <c r="AN172" s="5" t="n"/>
      <c r="AO172" s="5" t="n"/>
      <c r="AP172" s="5" t="n"/>
      <c r="AQ172" s="5" t="n"/>
      <c r="AR172" s="5" t="n"/>
      <c r="AS172" s="5" t="n"/>
      <c r="AT172" s="5" t="n"/>
      <c r="AU172" s="5" t="n"/>
      <c r="AV172" s="5" t="n"/>
      <c r="AW172" s="5" t="n"/>
      <c r="AX172" s="5" t="n"/>
      <c r="AY172" s="5" t="n"/>
      <c r="AZ172" s="5" t="n"/>
      <c r="BA172" s="5" t="n"/>
      <c r="BB172" s="5" t="n"/>
      <c r="BC172" s="5" t="n"/>
      <c r="BD172" s="5" t="n"/>
      <c r="BE172" s="5" t="n"/>
      <c r="BF172" s="5" t="n"/>
      <c r="BG172" s="5" t="n"/>
      <c r="BH172" s="5" t="n"/>
      <c r="BI172" s="5" t="n"/>
      <c r="BJ172" s="5" t="n"/>
      <c r="BK172" s="5" t="n"/>
      <c r="BL172" s="5" t="n"/>
      <c r="BM172" s="5" t="n"/>
      <c r="BN172" s="5" t="n"/>
      <c r="BO172" s="5" t="n"/>
      <c r="BP172" s="5" t="n"/>
      <c r="BQ172" s="5" t="n"/>
      <c r="BR172" s="5" t="n"/>
      <c r="BS172" s="5" t="n"/>
      <c r="BT172" s="5" t="n"/>
      <c r="BU172" s="5" t="n"/>
      <c r="BV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  <c r="AN173" s="5" t="n"/>
      <c r="AO173" s="5" t="n"/>
      <c r="AP173" s="5" t="n"/>
      <c r="AQ173" s="5" t="n"/>
      <c r="AR173" s="5" t="n"/>
      <c r="AS173" s="5" t="n"/>
      <c r="AT173" s="5" t="n"/>
      <c r="AU173" s="5" t="n"/>
      <c r="AV173" s="5" t="n"/>
      <c r="AW173" s="5" t="n"/>
      <c r="AX173" s="5" t="n"/>
      <c r="AY173" s="5" t="n"/>
      <c r="AZ173" s="5" t="n"/>
      <c r="BA173" s="5" t="n"/>
      <c r="BB173" s="5" t="n"/>
      <c r="BC173" s="5" t="n"/>
      <c r="BD173" s="5" t="n"/>
      <c r="BE173" s="5" t="n"/>
      <c r="BF173" s="5" t="n"/>
      <c r="BG173" s="5" t="n"/>
      <c r="BH173" s="5" t="n"/>
      <c r="BI173" s="5" t="n"/>
      <c r="BJ173" s="5" t="n"/>
      <c r="BK173" s="5" t="n"/>
      <c r="BL173" s="5" t="n"/>
      <c r="BM173" s="5" t="n"/>
      <c r="BN173" s="5" t="n"/>
      <c r="BO173" s="5" t="n"/>
      <c r="BP173" s="5" t="n"/>
      <c r="BQ173" s="5" t="n"/>
      <c r="BR173" s="5" t="n"/>
      <c r="BS173" s="5" t="n"/>
      <c r="BT173" s="5" t="n"/>
      <c r="BU173" s="5" t="n"/>
      <c r="BV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  <c r="AN174" s="5" t="n"/>
      <c r="AO174" s="5" t="n"/>
      <c r="AP174" s="5" t="n"/>
      <c r="AQ174" s="5" t="n"/>
      <c r="AR174" s="5" t="n"/>
      <c r="AS174" s="5" t="n"/>
      <c r="AT174" s="5" t="n"/>
      <c r="AU174" s="5" t="n"/>
      <c r="AV174" s="5" t="n"/>
      <c r="AW174" s="5" t="n"/>
      <c r="AX174" s="5" t="n"/>
      <c r="AY174" s="5" t="n"/>
      <c r="AZ174" s="5" t="n"/>
      <c r="BA174" s="5" t="n"/>
      <c r="BB174" s="5" t="n"/>
      <c r="BC174" s="5" t="n"/>
      <c r="BD174" s="5" t="n"/>
      <c r="BE174" s="5" t="n"/>
      <c r="BF174" s="5" t="n"/>
      <c r="BG174" s="5" t="n"/>
      <c r="BH174" s="5" t="n"/>
      <c r="BI174" s="5" t="n"/>
      <c r="BJ174" s="5" t="n"/>
      <c r="BK174" s="5" t="n"/>
      <c r="BL174" s="5" t="n"/>
      <c r="BM174" s="5" t="n"/>
      <c r="BN174" s="5" t="n"/>
      <c r="BO174" s="5" t="n"/>
      <c r="BP174" s="5" t="n"/>
      <c r="BQ174" s="5" t="n"/>
      <c r="BR174" s="5" t="n"/>
      <c r="BS174" s="5" t="n"/>
      <c r="BT174" s="5" t="n"/>
      <c r="BU174" s="5" t="n"/>
      <c r="BV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  <c r="AN175" s="5" t="n"/>
      <c r="AO175" s="5" t="n"/>
      <c r="AP175" s="5" t="n"/>
      <c r="AQ175" s="5" t="n"/>
      <c r="AR175" s="5" t="n"/>
      <c r="AS175" s="5" t="n"/>
      <c r="AT175" s="5" t="n"/>
      <c r="AU175" s="5" t="n"/>
      <c r="AV175" s="5" t="n"/>
      <c r="AW175" s="5" t="n"/>
      <c r="AX175" s="5" t="n"/>
      <c r="AY175" s="5" t="n"/>
      <c r="AZ175" s="5" t="n"/>
      <c r="BA175" s="5" t="n"/>
      <c r="BB175" s="5" t="n"/>
      <c r="BC175" s="5" t="n"/>
      <c r="BD175" s="5" t="n"/>
      <c r="BE175" s="5" t="n"/>
      <c r="BF175" s="5" t="n"/>
      <c r="BG175" s="5" t="n"/>
      <c r="BH175" s="5" t="n"/>
      <c r="BI175" s="5" t="n"/>
      <c r="BJ175" s="5" t="n"/>
      <c r="BK175" s="5" t="n"/>
      <c r="BL175" s="5" t="n"/>
      <c r="BM175" s="5" t="n"/>
      <c r="BN175" s="5" t="n"/>
      <c r="BO175" s="5" t="n"/>
      <c r="BP175" s="5" t="n"/>
      <c r="BQ175" s="5" t="n"/>
      <c r="BR175" s="5" t="n"/>
      <c r="BS175" s="5" t="n"/>
      <c r="BT175" s="5" t="n"/>
      <c r="BU175" s="5" t="n"/>
      <c r="BV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  <c r="AN176" s="5" t="n"/>
      <c r="AO176" s="5" t="n"/>
      <c r="AP176" s="5" t="n"/>
      <c r="AQ176" s="5" t="n"/>
      <c r="AR176" s="5" t="n"/>
      <c r="AS176" s="5" t="n"/>
      <c r="AT176" s="5" t="n"/>
      <c r="AU176" s="5" t="n"/>
      <c r="AV176" s="5" t="n"/>
      <c r="AW176" s="5" t="n"/>
      <c r="AX176" s="5" t="n"/>
      <c r="AY176" s="5" t="n"/>
      <c r="AZ176" s="5" t="n"/>
      <c r="BA176" s="5" t="n"/>
      <c r="BB176" s="5" t="n"/>
      <c r="BC176" s="5" t="n"/>
      <c r="BD176" s="5" t="n"/>
      <c r="BE176" s="5" t="n"/>
      <c r="BF176" s="5" t="n"/>
      <c r="BG176" s="5" t="n"/>
      <c r="BH176" s="5" t="n"/>
      <c r="BI176" s="5" t="n"/>
      <c r="BJ176" s="5" t="n"/>
      <c r="BK176" s="5" t="n"/>
      <c r="BL176" s="5" t="n"/>
      <c r="BM176" s="5" t="n"/>
      <c r="BN176" s="5" t="n"/>
      <c r="BO176" s="5" t="n"/>
      <c r="BP176" s="5" t="n"/>
      <c r="BQ176" s="5" t="n"/>
      <c r="BR176" s="5" t="n"/>
      <c r="BS176" s="5" t="n"/>
      <c r="BT176" s="5" t="n"/>
      <c r="BU176" s="5" t="n"/>
      <c r="BV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  <c r="AN177" s="5" t="n"/>
      <c r="AO177" s="5" t="n"/>
      <c r="AP177" s="5" t="n"/>
      <c r="AQ177" s="5" t="n"/>
      <c r="AR177" s="5" t="n"/>
      <c r="AS177" s="5" t="n"/>
      <c r="AT177" s="5" t="n"/>
      <c r="AU177" s="5" t="n"/>
      <c r="AV177" s="5" t="n"/>
      <c r="AW177" s="5" t="n"/>
      <c r="AX177" s="5" t="n"/>
      <c r="AY177" s="5" t="n"/>
      <c r="AZ177" s="5" t="n"/>
      <c r="BA177" s="5" t="n"/>
      <c r="BB177" s="5" t="n"/>
      <c r="BC177" s="5" t="n"/>
      <c r="BD177" s="5" t="n"/>
      <c r="BE177" s="5" t="n"/>
      <c r="BF177" s="5" t="n"/>
      <c r="BG177" s="5" t="n"/>
      <c r="BH177" s="5" t="n"/>
      <c r="BI177" s="5" t="n"/>
      <c r="BJ177" s="5" t="n"/>
      <c r="BK177" s="5" t="n"/>
      <c r="BL177" s="5" t="n"/>
      <c r="BM177" s="5" t="n"/>
      <c r="BN177" s="5" t="n"/>
      <c r="BO177" s="5" t="n"/>
      <c r="BP177" s="5" t="n"/>
      <c r="BQ177" s="5" t="n"/>
      <c r="BR177" s="5" t="n"/>
      <c r="BS177" s="5" t="n"/>
      <c r="BT177" s="5" t="n"/>
      <c r="BU177" s="5" t="n"/>
      <c r="BV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  <c r="AN178" s="5" t="n"/>
      <c r="AO178" s="5" t="n"/>
      <c r="AP178" s="5" t="n"/>
      <c r="AQ178" s="5" t="n"/>
      <c r="AR178" s="5" t="n"/>
      <c r="AS178" s="5" t="n"/>
      <c r="AT178" s="5" t="n"/>
      <c r="AU178" s="5" t="n"/>
      <c r="AV178" s="5" t="n"/>
      <c r="AW178" s="5" t="n"/>
      <c r="AX178" s="5" t="n"/>
      <c r="AY178" s="5" t="n"/>
      <c r="AZ178" s="5" t="n"/>
      <c r="BA178" s="5" t="n"/>
      <c r="BB178" s="5" t="n"/>
      <c r="BC178" s="5" t="n"/>
      <c r="BD178" s="5" t="n"/>
      <c r="BE178" s="5" t="n"/>
      <c r="BF178" s="5" t="n"/>
      <c r="BG178" s="5" t="n"/>
      <c r="BH178" s="5" t="n"/>
      <c r="BI178" s="5" t="n"/>
      <c r="BJ178" s="5" t="n"/>
      <c r="BK178" s="5" t="n"/>
      <c r="BL178" s="5" t="n"/>
      <c r="BM178" s="5" t="n"/>
      <c r="BN178" s="5" t="n"/>
      <c r="BO178" s="5" t="n"/>
      <c r="BP178" s="5" t="n"/>
      <c r="BQ178" s="5" t="n"/>
      <c r="BR178" s="5" t="n"/>
      <c r="BS178" s="5" t="n"/>
      <c r="BT178" s="5" t="n"/>
      <c r="BU178" s="5" t="n"/>
      <c r="BV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  <c r="AN179" s="5" t="n"/>
      <c r="AO179" s="5" t="n"/>
      <c r="AP179" s="5" t="n"/>
      <c r="AQ179" s="5" t="n"/>
      <c r="AR179" s="5" t="n"/>
      <c r="AS179" s="5" t="n"/>
      <c r="AT179" s="5" t="n"/>
      <c r="AU179" s="5" t="n"/>
      <c r="AV179" s="5" t="n"/>
      <c r="AW179" s="5" t="n"/>
      <c r="AX179" s="5" t="n"/>
      <c r="AY179" s="5" t="n"/>
      <c r="AZ179" s="5" t="n"/>
      <c r="BA179" s="5" t="n"/>
      <c r="BB179" s="5" t="n"/>
      <c r="BC179" s="5" t="n"/>
      <c r="BD179" s="5" t="n"/>
      <c r="BE179" s="5" t="n"/>
      <c r="BF179" s="5" t="n"/>
      <c r="BG179" s="5" t="n"/>
      <c r="BH179" s="5" t="n"/>
      <c r="BI179" s="5" t="n"/>
      <c r="BJ179" s="5" t="n"/>
      <c r="BK179" s="5" t="n"/>
      <c r="BL179" s="5" t="n"/>
      <c r="BM179" s="5" t="n"/>
      <c r="BN179" s="5" t="n"/>
      <c r="BO179" s="5" t="n"/>
      <c r="BP179" s="5" t="n"/>
      <c r="BQ179" s="5" t="n"/>
      <c r="BR179" s="5" t="n"/>
      <c r="BS179" s="5" t="n"/>
      <c r="BT179" s="5" t="n"/>
      <c r="BU179" s="5" t="n"/>
      <c r="BV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  <c r="AN180" s="5" t="n"/>
      <c r="AO180" s="5" t="n"/>
      <c r="AP180" s="5" t="n"/>
      <c r="AQ180" s="5" t="n"/>
      <c r="AR180" s="5" t="n"/>
      <c r="AS180" s="5" t="n"/>
      <c r="AT180" s="5" t="n"/>
      <c r="AU180" s="5" t="n"/>
      <c r="AV180" s="5" t="n"/>
      <c r="AW180" s="5" t="n"/>
      <c r="AX180" s="5" t="n"/>
      <c r="AY180" s="5" t="n"/>
      <c r="AZ180" s="5" t="n"/>
      <c r="BA180" s="5" t="n"/>
      <c r="BB180" s="5" t="n"/>
      <c r="BC180" s="5" t="n"/>
      <c r="BD180" s="5" t="n"/>
      <c r="BE180" s="5" t="n"/>
      <c r="BF180" s="5" t="n"/>
      <c r="BG180" s="5" t="n"/>
      <c r="BH180" s="5" t="n"/>
      <c r="BI180" s="5" t="n"/>
      <c r="BJ180" s="5" t="n"/>
      <c r="BK180" s="5" t="n"/>
      <c r="BL180" s="5" t="n"/>
      <c r="BM180" s="5" t="n"/>
      <c r="BN180" s="5" t="n"/>
      <c r="BO180" s="5" t="n"/>
      <c r="BP180" s="5" t="n"/>
      <c r="BQ180" s="5" t="n"/>
      <c r="BR180" s="5" t="n"/>
      <c r="BS180" s="5" t="n"/>
      <c r="BT180" s="5" t="n"/>
      <c r="BU180" s="5" t="n"/>
      <c r="BV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  <c r="AN181" s="5" t="n"/>
      <c r="AO181" s="5" t="n"/>
      <c r="AP181" s="5" t="n"/>
      <c r="AQ181" s="5" t="n"/>
      <c r="AR181" s="5" t="n"/>
      <c r="AS181" s="5" t="n"/>
      <c r="AT181" s="5" t="n"/>
      <c r="AU181" s="5" t="n"/>
      <c r="AV181" s="5" t="n"/>
      <c r="AW181" s="5" t="n"/>
      <c r="AX181" s="5" t="n"/>
      <c r="AY181" s="5" t="n"/>
      <c r="AZ181" s="5" t="n"/>
      <c r="BA181" s="5" t="n"/>
      <c r="BB181" s="5" t="n"/>
      <c r="BC181" s="5" t="n"/>
      <c r="BD181" s="5" t="n"/>
      <c r="BE181" s="5" t="n"/>
      <c r="BF181" s="5" t="n"/>
      <c r="BG181" s="5" t="n"/>
      <c r="BH181" s="5" t="n"/>
      <c r="BI181" s="5" t="n"/>
      <c r="BJ181" s="5" t="n"/>
      <c r="BK181" s="5" t="n"/>
      <c r="BL181" s="5" t="n"/>
      <c r="BM181" s="5" t="n"/>
      <c r="BN181" s="5" t="n"/>
      <c r="BO181" s="5" t="n"/>
      <c r="BP181" s="5" t="n"/>
      <c r="BQ181" s="5" t="n"/>
      <c r="BR181" s="5" t="n"/>
      <c r="BS181" s="5" t="n"/>
      <c r="BT181" s="5" t="n"/>
      <c r="BU181" s="5" t="n"/>
      <c r="BV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  <c r="AN182" s="5" t="n"/>
      <c r="AO182" s="5" t="n"/>
      <c r="AP182" s="5" t="n"/>
      <c r="AQ182" s="5" t="n"/>
      <c r="AR182" s="5" t="n"/>
      <c r="AS182" s="5" t="n"/>
      <c r="AT182" s="5" t="n"/>
      <c r="AU182" s="5" t="n"/>
      <c r="AV182" s="5" t="n"/>
      <c r="AW182" s="5" t="n"/>
      <c r="AX182" s="5" t="n"/>
      <c r="AY182" s="5" t="n"/>
      <c r="AZ182" s="5" t="n"/>
      <c r="BA182" s="5" t="n"/>
      <c r="BB182" s="5" t="n"/>
      <c r="BC182" s="5" t="n"/>
      <c r="BD182" s="5" t="n"/>
      <c r="BE182" s="5" t="n"/>
      <c r="BF182" s="5" t="n"/>
      <c r="BG182" s="5" t="n"/>
      <c r="BH182" s="5" t="n"/>
      <c r="BI182" s="5" t="n"/>
      <c r="BJ182" s="5" t="n"/>
      <c r="BK182" s="5" t="n"/>
      <c r="BL182" s="5" t="n"/>
      <c r="BM182" s="5" t="n"/>
      <c r="BN182" s="5" t="n"/>
      <c r="BO182" s="5" t="n"/>
      <c r="BP182" s="5" t="n"/>
      <c r="BQ182" s="5" t="n"/>
      <c r="BR182" s="5" t="n"/>
      <c r="BS182" s="5" t="n"/>
      <c r="BT182" s="5" t="n"/>
      <c r="BU182" s="5" t="n"/>
      <c r="BV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  <c r="AN183" s="5" t="n"/>
      <c r="AO183" s="5" t="n"/>
      <c r="AP183" s="5" t="n"/>
      <c r="AQ183" s="5" t="n"/>
      <c r="AR183" s="5" t="n"/>
      <c r="AS183" s="5" t="n"/>
      <c r="AT183" s="5" t="n"/>
      <c r="AU183" s="5" t="n"/>
      <c r="AV183" s="5" t="n"/>
      <c r="AW183" s="5" t="n"/>
      <c r="AX183" s="5" t="n"/>
      <c r="AY183" s="5" t="n"/>
      <c r="AZ183" s="5" t="n"/>
      <c r="BA183" s="5" t="n"/>
      <c r="BB183" s="5" t="n"/>
      <c r="BC183" s="5" t="n"/>
      <c r="BD183" s="5" t="n"/>
      <c r="BE183" s="5" t="n"/>
      <c r="BF183" s="5" t="n"/>
      <c r="BG183" s="5" t="n"/>
      <c r="BH183" s="5" t="n"/>
      <c r="BI183" s="5" t="n"/>
      <c r="BJ183" s="5" t="n"/>
      <c r="BK183" s="5" t="n"/>
      <c r="BL183" s="5" t="n"/>
      <c r="BM183" s="5" t="n"/>
      <c r="BN183" s="5" t="n"/>
      <c r="BO183" s="5" t="n"/>
      <c r="BP183" s="5" t="n"/>
      <c r="BQ183" s="5" t="n"/>
      <c r="BR183" s="5" t="n"/>
      <c r="BS183" s="5" t="n"/>
      <c r="BT183" s="5" t="n"/>
      <c r="BU183" s="5" t="n"/>
      <c r="BV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  <c r="AN184" s="5" t="n"/>
      <c r="AO184" s="5" t="n"/>
      <c r="AP184" s="5" t="n"/>
      <c r="AQ184" s="5" t="n"/>
      <c r="AR184" s="5" t="n"/>
      <c r="AS184" s="5" t="n"/>
      <c r="AT184" s="5" t="n"/>
      <c r="AU184" s="5" t="n"/>
      <c r="AV184" s="5" t="n"/>
      <c r="AW184" s="5" t="n"/>
      <c r="AX184" s="5" t="n"/>
      <c r="AY184" s="5" t="n"/>
      <c r="AZ184" s="5" t="n"/>
      <c r="BA184" s="5" t="n"/>
      <c r="BB184" s="5" t="n"/>
      <c r="BC184" s="5" t="n"/>
      <c r="BD184" s="5" t="n"/>
      <c r="BE184" s="5" t="n"/>
      <c r="BF184" s="5" t="n"/>
      <c r="BG184" s="5" t="n"/>
      <c r="BH184" s="5" t="n"/>
      <c r="BI184" s="5" t="n"/>
      <c r="BJ184" s="5" t="n"/>
      <c r="BK184" s="5" t="n"/>
      <c r="BL184" s="5" t="n"/>
      <c r="BM184" s="5" t="n"/>
      <c r="BN184" s="5" t="n"/>
      <c r="BO184" s="5" t="n"/>
      <c r="BP184" s="5" t="n"/>
      <c r="BQ184" s="5" t="n"/>
      <c r="BR184" s="5" t="n"/>
      <c r="BS184" s="5" t="n"/>
      <c r="BT184" s="5" t="n"/>
      <c r="BU184" s="5" t="n"/>
      <c r="BV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  <c r="AN185" s="5" t="n"/>
      <c r="AO185" s="5" t="n"/>
      <c r="AP185" s="5" t="n"/>
      <c r="AQ185" s="5" t="n"/>
      <c r="AR185" s="5" t="n"/>
      <c r="AS185" s="5" t="n"/>
      <c r="AT185" s="5" t="n"/>
      <c r="AU185" s="5" t="n"/>
      <c r="AV185" s="5" t="n"/>
      <c r="AW185" s="5" t="n"/>
      <c r="AX185" s="5" t="n"/>
      <c r="AY185" s="5" t="n"/>
      <c r="AZ185" s="5" t="n"/>
      <c r="BA185" s="5" t="n"/>
      <c r="BB185" s="5" t="n"/>
      <c r="BC185" s="5" t="n"/>
      <c r="BD185" s="5" t="n"/>
      <c r="BE185" s="5" t="n"/>
      <c r="BF185" s="5" t="n"/>
      <c r="BG185" s="5" t="n"/>
      <c r="BH185" s="5" t="n"/>
      <c r="BI185" s="5" t="n"/>
      <c r="BJ185" s="5" t="n"/>
      <c r="BK185" s="5" t="n"/>
      <c r="BL185" s="5" t="n"/>
      <c r="BM185" s="5" t="n"/>
      <c r="BN185" s="5" t="n"/>
      <c r="BO185" s="5" t="n"/>
      <c r="BP185" s="5" t="n"/>
      <c r="BQ185" s="5" t="n"/>
      <c r="BR185" s="5" t="n"/>
      <c r="BS185" s="5" t="n"/>
      <c r="BT185" s="5" t="n"/>
      <c r="BU185" s="5" t="n"/>
      <c r="BV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  <c r="AN186" s="5" t="n"/>
      <c r="AO186" s="5" t="n"/>
      <c r="AP186" s="5" t="n"/>
      <c r="AQ186" s="5" t="n"/>
      <c r="AR186" s="5" t="n"/>
      <c r="AS186" s="5" t="n"/>
      <c r="AT186" s="5" t="n"/>
      <c r="AU186" s="5" t="n"/>
      <c r="AV186" s="5" t="n"/>
      <c r="AW186" s="5" t="n"/>
      <c r="AX186" s="5" t="n"/>
      <c r="AY186" s="5" t="n"/>
      <c r="AZ186" s="5" t="n"/>
      <c r="BA186" s="5" t="n"/>
      <c r="BB186" s="5" t="n"/>
      <c r="BC186" s="5" t="n"/>
      <c r="BD186" s="5" t="n"/>
      <c r="BE186" s="5" t="n"/>
      <c r="BF186" s="5" t="n"/>
      <c r="BG186" s="5" t="n"/>
      <c r="BH186" s="5" t="n"/>
      <c r="BI186" s="5" t="n"/>
      <c r="BJ186" s="5" t="n"/>
      <c r="BK186" s="5" t="n"/>
      <c r="BL186" s="5" t="n"/>
      <c r="BM186" s="5" t="n"/>
      <c r="BN186" s="5" t="n"/>
      <c r="BO186" s="5" t="n"/>
      <c r="BP186" s="5" t="n"/>
      <c r="BQ186" s="5" t="n"/>
      <c r="BR186" s="5" t="n"/>
      <c r="BS186" s="5" t="n"/>
      <c r="BT186" s="5" t="n"/>
      <c r="BU186" s="5" t="n"/>
      <c r="BV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  <c r="AN187" s="5" t="n"/>
      <c r="AO187" s="5" t="n"/>
      <c r="AP187" s="5" t="n"/>
      <c r="AQ187" s="5" t="n"/>
      <c r="AR187" s="5" t="n"/>
      <c r="AS187" s="5" t="n"/>
      <c r="AT187" s="5" t="n"/>
      <c r="AU187" s="5" t="n"/>
      <c r="AV187" s="5" t="n"/>
      <c r="AW187" s="5" t="n"/>
      <c r="AX187" s="5" t="n"/>
      <c r="AY187" s="5" t="n"/>
      <c r="AZ187" s="5" t="n"/>
      <c r="BA187" s="5" t="n"/>
      <c r="BB187" s="5" t="n"/>
      <c r="BC187" s="5" t="n"/>
      <c r="BD187" s="5" t="n"/>
      <c r="BE187" s="5" t="n"/>
      <c r="BF187" s="5" t="n"/>
      <c r="BG187" s="5" t="n"/>
      <c r="BH187" s="5" t="n"/>
      <c r="BI187" s="5" t="n"/>
      <c r="BJ187" s="5" t="n"/>
      <c r="BK187" s="5" t="n"/>
      <c r="BL187" s="5" t="n"/>
      <c r="BM187" s="5" t="n"/>
      <c r="BN187" s="5" t="n"/>
      <c r="BO187" s="5" t="n"/>
      <c r="BP187" s="5" t="n"/>
      <c r="BQ187" s="5" t="n"/>
      <c r="BR187" s="5" t="n"/>
      <c r="BS187" s="5" t="n"/>
      <c r="BT187" s="5" t="n"/>
      <c r="BU187" s="5" t="n"/>
      <c r="BV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  <c r="AN188" s="5" t="n"/>
      <c r="AO188" s="5" t="n"/>
      <c r="AP188" s="5" t="n"/>
      <c r="AQ188" s="5" t="n"/>
      <c r="AR188" s="5" t="n"/>
      <c r="AS188" s="5" t="n"/>
      <c r="AT188" s="5" t="n"/>
      <c r="AU188" s="5" t="n"/>
      <c r="AV188" s="5" t="n"/>
      <c r="AW188" s="5" t="n"/>
      <c r="AX188" s="5" t="n"/>
      <c r="AY188" s="5" t="n"/>
      <c r="AZ188" s="5" t="n"/>
      <c r="BA188" s="5" t="n"/>
      <c r="BB188" s="5" t="n"/>
      <c r="BC188" s="5" t="n"/>
      <c r="BD188" s="5" t="n"/>
      <c r="BE188" s="5" t="n"/>
      <c r="BF188" s="5" t="n"/>
      <c r="BG188" s="5" t="n"/>
      <c r="BH188" s="5" t="n"/>
      <c r="BI188" s="5" t="n"/>
      <c r="BJ188" s="5" t="n"/>
      <c r="BK188" s="5" t="n"/>
      <c r="BL188" s="5" t="n"/>
      <c r="BM188" s="5" t="n"/>
      <c r="BN188" s="5" t="n"/>
      <c r="BO188" s="5" t="n"/>
      <c r="BP188" s="5" t="n"/>
      <c r="BQ188" s="5" t="n"/>
      <c r="BR188" s="5" t="n"/>
      <c r="BS188" s="5" t="n"/>
      <c r="BT188" s="5" t="n"/>
      <c r="BU188" s="5" t="n"/>
      <c r="BV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  <c r="AN189" s="5" t="n"/>
      <c r="AO189" s="5" t="n"/>
      <c r="AP189" s="5" t="n"/>
      <c r="AQ189" s="5" t="n"/>
      <c r="AR189" s="5" t="n"/>
      <c r="AS189" s="5" t="n"/>
      <c r="AT189" s="5" t="n"/>
      <c r="AU189" s="5" t="n"/>
      <c r="AV189" s="5" t="n"/>
      <c r="AW189" s="5" t="n"/>
      <c r="AX189" s="5" t="n"/>
      <c r="AY189" s="5" t="n"/>
      <c r="AZ189" s="5" t="n"/>
      <c r="BA189" s="5" t="n"/>
      <c r="BB189" s="5" t="n"/>
      <c r="BC189" s="5" t="n"/>
      <c r="BD189" s="5" t="n"/>
      <c r="BE189" s="5" t="n"/>
      <c r="BF189" s="5" t="n"/>
      <c r="BG189" s="5" t="n"/>
      <c r="BH189" s="5" t="n"/>
      <c r="BI189" s="5" t="n"/>
      <c r="BJ189" s="5" t="n"/>
      <c r="BK189" s="5" t="n"/>
      <c r="BL189" s="5" t="n"/>
      <c r="BM189" s="5" t="n"/>
      <c r="BN189" s="5" t="n"/>
      <c r="BO189" s="5" t="n"/>
      <c r="BP189" s="5" t="n"/>
      <c r="BQ189" s="5" t="n"/>
      <c r="BR189" s="5" t="n"/>
      <c r="BS189" s="5" t="n"/>
      <c r="BT189" s="5" t="n"/>
      <c r="BU189" s="5" t="n"/>
      <c r="BV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  <c r="AN190" s="5" t="n"/>
      <c r="AO190" s="5" t="n"/>
      <c r="AP190" s="5" t="n"/>
      <c r="AQ190" s="5" t="n"/>
      <c r="AR190" s="5" t="n"/>
      <c r="AS190" s="5" t="n"/>
      <c r="AT190" s="5" t="n"/>
      <c r="AU190" s="5" t="n"/>
      <c r="AV190" s="5" t="n"/>
      <c r="AW190" s="5" t="n"/>
      <c r="AX190" s="5" t="n"/>
      <c r="AY190" s="5" t="n"/>
      <c r="AZ190" s="5" t="n"/>
      <c r="BA190" s="5" t="n"/>
      <c r="BB190" s="5" t="n"/>
      <c r="BC190" s="5" t="n"/>
      <c r="BD190" s="5" t="n"/>
      <c r="BE190" s="5" t="n"/>
      <c r="BF190" s="5" t="n"/>
      <c r="BG190" s="5" t="n"/>
      <c r="BH190" s="5" t="n"/>
      <c r="BI190" s="5" t="n"/>
      <c r="BJ190" s="5" t="n"/>
      <c r="BK190" s="5" t="n"/>
      <c r="BL190" s="5" t="n"/>
      <c r="BM190" s="5" t="n"/>
      <c r="BN190" s="5" t="n"/>
      <c r="BO190" s="5" t="n"/>
      <c r="BP190" s="5" t="n"/>
      <c r="BQ190" s="5" t="n"/>
      <c r="BR190" s="5" t="n"/>
      <c r="BS190" s="5" t="n"/>
      <c r="BT190" s="5" t="n"/>
      <c r="BU190" s="5" t="n"/>
      <c r="BV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  <c r="AN191" s="5" t="n"/>
      <c r="AO191" s="5" t="n"/>
      <c r="AP191" s="5" t="n"/>
      <c r="AQ191" s="5" t="n"/>
      <c r="AR191" s="5" t="n"/>
      <c r="AS191" s="5" t="n"/>
      <c r="AT191" s="5" t="n"/>
      <c r="AU191" s="5" t="n"/>
      <c r="AV191" s="5" t="n"/>
      <c r="AW191" s="5" t="n"/>
      <c r="AX191" s="5" t="n"/>
      <c r="AY191" s="5" t="n"/>
      <c r="AZ191" s="5" t="n"/>
      <c r="BA191" s="5" t="n"/>
      <c r="BB191" s="5" t="n"/>
      <c r="BC191" s="5" t="n"/>
      <c r="BD191" s="5" t="n"/>
      <c r="BE191" s="5" t="n"/>
      <c r="BF191" s="5" t="n"/>
      <c r="BG191" s="5" t="n"/>
      <c r="BH191" s="5" t="n"/>
      <c r="BI191" s="5" t="n"/>
      <c r="BJ191" s="5" t="n"/>
      <c r="BK191" s="5" t="n"/>
      <c r="BL191" s="5" t="n"/>
      <c r="BM191" s="5" t="n"/>
      <c r="BN191" s="5" t="n"/>
      <c r="BO191" s="5" t="n"/>
      <c r="BP191" s="5" t="n"/>
      <c r="BQ191" s="5" t="n"/>
      <c r="BR191" s="5" t="n"/>
      <c r="BS191" s="5" t="n"/>
      <c r="BT191" s="5" t="n"/>
      <c r="BU191" s="5" t="n"/>
      <c r="BV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  <c r="AN192" s="5" t="n"/>
      <c r="AO192" s="5" t="n"/>
      <c r="AP192" s="5" t="n"/>
      <c r="AQ192" s="5" t="n"/>
      <c r="AR192" s="5" t="n"/>
      <c r="AS192" s="5" t="n"/>
      <c r="AT192" s="5" t="n"/>
      <c r="AU192" s="5" t="n"/>
      <c r="AV192" s="5" t="n"/>
      <c r="AW192" s="5" t="n"/>
      <c r="AX192" s="5" t="n"/>
      <c r="AY192" s="5" t="n"/>
      <c r="AZ192" s="5" t="n"/>
      <c r="BA192" s="5" t="n"/>
      <c r="BB192" s="5" t="n"/>
      <c r="BC192" s="5" t="n"/>
      <c r="BD192" s="5" t="n"/>
      <c r="BE192" s="5" t="n"/>
      <c r="BF192" s="5" t="n"/>
      <c r="BG192" s="5" t="n"/>
      <c r="BH192" s="5" t="n"/>
      <c r="BI192" s="5" t="n"/>
      <c r="BJ192" s="5" t="n"/>
      <c r="BK192" s="5" t="n"/>
      <c r="BL192" s="5" t="n"/>
      <c r="BM192" s="5" t="n"/>
      <c r="BN192" s="5" t="n"/>
      <c r="BO192" s="5" t="n"/>
      <c r="BP192" s="5" t="n"/>
      <c r="BQ192" s="5" t="n"/>
      <c r="BR192" s="5" t="n"/>
      <c r="BS192" s="5" t="n"/>
      <c r="BT192" s="5" t="n"/>
      <c r="BU192" s="5" t="n"/>
      <c r="BV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  <c r="AN193" s="5" t="n"/>
      <c r="AO193" s="5" t="n"/>
      <c r="AP193" s="5" t="n"/>
      <c r="AQ193" s="5" t="n"/>
      <c r="AR193" s="5" t="n"/>
      <c r="AS193" s="5" t="n"/>
      <c r="AT193" s="5" t="n"/>
      <c r="AU193" s="5" t="n"/>
      <c r="AV193" s="5" t="n"/>
      <c r="AW193" s="5" t="n"/>
      <c r="AX193" s="5" t="n"/>
      <c r="AY193" s="5" t="n"/>
      <c r="AZ193" s="5" t="n"/>
      <c r="BA193" s="5" t="n"/>
      <c r="BB193" s="5" t="n"/>
      <c r="BC193" s="5" t="n"/>
      <c r="BD193" s="5" t="n"/>
      <c r="BE193" s="5" t="n"/>
      <c r="BF193" s="5" t="n"/>
      <c r="BG193" s="5" t="n"/>
      <c r="BH193" s="5" t="n"/>
      <c r="BI193" s="5" t="n"/>
      <c r="BJ193" s="5" t="n"/>
      <c r="BK193" s="5" t="n"/>
      <c r="BL193" s="5" t="n"/>
      <c r="BM193" s="5" t="n"/>
      <c r="BN193" s="5" t="n"/>
      <c r="BO193" s="5" t="n"/>
      <c r="BP193" s="5" t="n"/>
      <c r="BQ193" s="5" t="n"/>
      <c r="BR193" s="5" t="n"/>
      <c r="BS193" s="5" t="n"/>
      <c r="BT193" s="5" t="n"/>
      <c r="BU193" s="5" t="n"/>
      <c r="BV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  <c r="AN194" s="5" t="n"/>
      <c r="AO194" s="5" t="n"/>
      <c r="AP194" s="5" t="n"/>
      <c r="AQ194" s="5" t="n"/>
      <c r="AR194" s="5" t="n"/>
      <c r="AS194" s="5" t="n"/>
      <c r="AT194" s="5" t="n"/>
      <c r="AU194" s="5" t="n"/>
      <c r="AV194" s="5" t="n"/>
      <c r="AW194" s="5" t="n"/>
      <c r="AX194" s="5" t="n"/>
      <c r="AY194" s="5" t="n"/>
      <c r="AZ194" s="5" t="n"/>
      <c r="BA194" s="5" t="n"/>
      <c r="BB194" s="5" t="n"/>
      <c r="BC194" s="5" t="n"/>
      <c r="BD194" s="5" t="n"/>
      <c r="BE194" s="5" t="n"/>
      <c r="BF194" s="5" t="n"/>
      <c r="BG194" s="5" t="n"/>
      <c r="BH194" s="5" t="n"/>
      <c r="BI194" s="5" t="n"/>
      <c r="BJ194" s="5" t="n"/>
      <c r="BK194" s="5" t="n"/>
      <c r="BL194" s="5" t="n"/>
      <c r="BM194" s="5" t="n"/>
      <c r="BN194" s="5" t="n"/>
      <c r="BO194" s="5" t="n"/>
      <c r="BP194" s="5" t="n"/>
      <c r="BQ194" s="5" t="n"/>
      <c r="BR194" s="5" t="n"/>
      <c r="BS194" s="5" t="n"/>
      <c r="BT194" s="5" t="n"/>
      <c r="BU194" s="5" t="n"/>
      <c r="BV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  <c r="AN195" s="5" t="n"/>
      <c r="AO195" s="5" t="n"/>
      <c r="AP195" s="5" t="n"/>
      <c r="AQ195" s="5" t="n"/>
      <c r="AR195" s="5" t="n"/>
      <c r="AS195" s="5" t="n"/>
      <c r="AT195" s="5" t="n"/>
      <c r="AU195" s="5" t="n"/>
      <c r="AV195" s="5" t="n"/>
      <c r="AW195" s="5" t="n"/>
      <c r="AX195" s="5" t="n"/>
      <c r="AY195" s="5" t="n"/>
      <c r="AZ195" s="5" t="n"/>
      <c r="BA195" s="5" t="n"/>
      <c r="BB195" s="5" t="n"/>
      <c r="BC195" s="5" t="n"/>
      <c r="BD195" s="5" t="n"/>
      <c r="BE195" s="5" t="n"/>
      <c r="BF195" s="5" t="n"/>
      <c r="BG195" s="5" t="n"/>
      <c r="BH195" s="5" t="n"/>
      <c r="BI195" s="5" t="n"/>
      <c r="BJ195" s="5" t="n"/>
      <c r="BK195" s="5" t="n"/>
      <c r="BL195" s="5" t="n"/>
      <c r="BM195" s="5" t="n"/>
      <c r="BN195" s="5" t="n"/>
      <c r="BO195" s="5" t="n"/>
      <c r="BP195" s="5" t="n"/>
      <c r="BQ195" s="5" t="n"/>
      <c r="BR195" s="5" t="n"/>
      <c r="BS195" s="5" t="n"/>
      <c r="BT195" s="5" t="n"/>
      <c r="BU195" s="5" t="n"/>
      <c r="BV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  <c r="AN196" s="5" t="n"/>
      <c r="AO196" s="5" t="n"/>
      <c r="AP196" s="5" t="n"/>
      <c r="AQ196" s="5" t="n"/>
      <c r="AR196" s="5" t="n"/>
      <c r="AS196" s="5" t="n"/>
      <c r="AT196" s="5" t="n"/>
      <c r="AU196" s="5" t="n"/>
      <c r="AV196" s="5" t="n"/>
      <c r="AW196" s="5" t="n"/>
      <c r="AX196" s="5" t="n"/>
      <c r="AY196" s="5" t="n"/>
      <c r="AZ196" s="5" t="n"/>
      <c r="BA196" s="5" t="n"/>
      <c r="BB196" s="5" t="n"/>
      <c r="BC196" s="5" t="n"/>
      <c r="BD196" s="5" t="n"/>
      <c r="BE196" s="5" t="n"/>
      <c r="BF196" s="5" t="n"/>
      <c r="BG196" s="5" t="n"/>
      <c r="BH196" s="5" t="n"/>
      <c r="BI196" s="5" t="n"/>
      <c r="BJ196" s="5" t="n"/>
      <c r="BK196" s="5" t="n"/>
      <c r="BL196" s="5" t="n"/>
      <c r="BM196" s="5" t="n"/>
      <c r="BN196" s="5" t="n"/>
      <c r="BO196" s="5" t="n"/>
      <c r="BP196" s="5" t="n"/>
      <c r="BQ196" s="5" t="n"/>
      <c r="BR196" s="5" t="n"/>
      <c r="BS196" s="5" t="n"/>
      <c r="BT196" s="5" t="n"/>
      <c r="BU196" s="5" t="n"/>
      <c r="BV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  <c r="AN197" s="5" t="n"/>
      <c r="AO197" s="5" t="n"/>
      <c r="AP197" s="5" t="n"/>
      <c r="AQ197" s="5" t="n"/>
      <c r="AR197" s="5" t="n"/>
      <c r="AS197" s="5" t="n"/>
      <c r="AT197" s="5" t="n"/>
      <c r="AU197" s="5" t="n"/>
      <c r="AV197" s="5" t="n"/>
      <c r="AW197" s="5" t="n"/>
      <c r="AX197" s="5" t="n"/>
      <c r="AY197" s="5" t="n"/>
      <c r="AZ197" s="5" t="n"/>
      <c r="BA197" s="5" t="n"/>
      <c r="BB197" s="5" t="n"/>
      <c r="BC197" s="5" t="n"/>
      <c r="BD197" s="5" t="n"/>
      <c r="BE197" s="5" t="n"/>
      <c r="BF197" s="5" t="n"/>
      <c r="BG197" s="5" t="n"/>
      <c r="BH197" s="5" t="n"/>
      <c r="BI197" s="5" t="n"/>
      <c r="BJ197" s="5" t="n"/>
      <c r="BK197" s="5" t="n"/>
      <c r="BL197" s="5" t="n"/>
      <c r="BM197" s="5" t="n"/>
      <c r="BN197" s="5" t="n"/>
      <c r="BO197" s="5" t="n"/>
      <c r="BP197" s="5" t="n"/>
      <c r="BQ197" s="5" t="n"/>
      <c r="BR197" s="5" t="n"/>
      <c r="BS197" s="5" t="n"/>
      <c r="BT197" s="5" t="n"/>
      <c r="BU197" s="5" t="n"/>
      <c r="BV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  <c r="AN198" s="5" t="n"/>
      <c r="AO198" s="5" t="n"/>
      <c r="AP198" s="5" t="n"/>
      <c r="AQ198" s="5" t="n"/>
      <c r="AR198" s="5" t="n"/>
      <c r="AS198" s="5" t="n"/>
      <c r="AT198" s="5" t="n"/>
      <c r="AU198" s="5" t="n"/>
      <c r="AV198" s="5" t="n"/>
      <c r="AW198" s="5" t="n"/>
      <c r="AX198" s="5" t="n"/>
      <c r="AY198" s="5" t="n"/>
      <c r="AZ198" s="5" t="n"/>
      <c r="BA198" s="5" t="n"/>
      <c r="BB198" s="5" t="n"/>
      <c r="BC198" s="5" t="n"/>
      <c r="BD198" s="5" t="n"/>
      <c r="BE198" s="5" t="n"/>
      <c r="BF198" s="5" t="n"/>
      <c r="BG198" s="5" t="n"/>
      <c r="BH198" s="5" t="n"/>
      <c r="BI198" s="5" t="n"/>
      <c r="BJ198" s="5" t="n"/>
      <c r="BK198" s="5" t="n"/>
      <c r="BL198" s="5" t="n"/>
      <c r="BM198" s="5" t="n"/>
      <c r="BN198" s="5" t="n"/>
      <c r="BO198" s="5" t="n"/>
      <c r="BP198" s="5" t="n"/>
      <c r="BQ198" s="5" t="n"/>
      <c r="BR198" s="5" t="n"/>
      <c r="BS198" s="5" t="n"/>
      <c r="BT198" s="5" t="n"/>
      <c r="BU198" s="5" t="n"/>
      <c r="BV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  <c r="AN199" s="5" t="n"/>
      <c r="AO199" s="5" t="n"/>
      <c r="AP199" s="5" t="n"/>
      <c r="AQ199" s="5" t="n"/>
      <c r="AR199" s="5" t="n"/>
      <c r="AS199" s="5" t="n"/>
      <c r="AT199" s="5" t="n"/>
      <c r="AU199" s="5" t="n"/>
      <c r="AV199" s="5" t="n"/>
      <c r="AW199" s="5" t="n"/>
      <c r="AX199" s="5" t="n"/>
      <c r="AY199" s="5" t="n"/>
      <c r="AZ199" s="5" t="n"/>
      <c r="BA199" s="5" t="n"/>
      <c r="BB199" s="5" t="n"/>
      <c r="BC199" s="5" t="n"/>
      <c r="BD199" s="5" t="n"/>
      <c r="BE199" s="5" t="n"/>
      <c r="BF199" s="5" t="n"/>
      <c r="BG199" s="5" t="n"/>
      <c r="BH199" s="5" t="n"/>
      <c r="BI199" s="5" t="n"/>
      <c r="BJ199" s="5" t="n"/>
      <c r="BK199" s="5" t="n"/>
      <c r="BL199" s="5" t="n"/>
      <c r="BM199" s="5" t="n"/>
      <c r="BN199" s="5" t="n"/>
      <c r="BO199" s="5" t="n"/>
      <c r="BP199" s="5" t="n"/>
      <c r="BQ199" s="5" t="n"/>
      <c r="BR199" s="5" t="n"/>
      <c r="BS199" s="5" t="n"/>
      <c r="BT199" s="5" t="n"/>
      <c r="BU199" s="5" t="n"/>
      <c r="BV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  <c r="AN200" s="5" t="n"/>
      <c r="AO200" s="5" t="n"/>
      <c r="AP200" s="5" t="n"/>
      <c r="AQ200" s="5" t="n"/>
      <c r="AR200" s="5" t="n"/>
      <c r="AS200" s="5" t="n"/>
      <c r="AT200" s="5" t="n"/>
      <c r="AU200" s="5" t="n"/>
      <c r="AV200" s="5" t="n"/>
      <c r="AW200" s="5" t="n"/>
      <c r="AX200" s="5" t="n"/>
      <c r="AY200" s="5" t="n"/>
      <c r="AZ200" s="5" t="n"/>
      <c r="BA200" s="5" t="n"/>
      <c r="BB200" s="5" t="n"/>
      <c r="BC200" s="5" t="n"/>
      <c r="BD200" s="5" t="n"/>
      <c r="BE200" s="5" t="n"/>
      <c r="BF200" s="5" t="n"/>
      <c r="BG200" s="5" t="n"/>
      <c r="BH200" s="5" t="n"/>
      <c r="BI200" s="5" t="n"/>
      <c r="BJ200" s="5" t="n"/>
      <c r="BK200" s="5" t="n"/>
      <c r="BL200" s="5" t="n"/>
      <c r="BM200" s="5" t="n"/>
      <c r="BN200" s="5" t="n"/>
      <c r="BO200" s="5" t="n"/>
      <c r="BP200" s="5" t="n"/>
      <c r="BQ200" s="5" t="n"/>
      <c r="BR200" s="5" t="n"/>
      <c r="BS200" s="5" t="n"/>
      <c r="BT200" s="5" t="n"/>
      <c r="BU200" s="5" t="n"/>
      <c r="BV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  <c r="AN201" s="5" t="n"/>
      <c r="AO201" s="5" t="n"/>
      <c r="AP201" s="5" t="n"/>
      <c r="AQ201" s="5" t="n"/>
      <c r="AR201" s="5" t="n"/>
      <c r="AS201" s="5" t="n"/>
      <c r="AT201" s="5" t="n"/>
      <c r="AU201" s="5" t="n"/>
      <c r="AV201" s="5" t="n"/>
      <c r="AW201" s="5" t="n"/>
      <c r="AX201" s="5" t="n"/>
      <c r="AY201" s="5" t="n"/>
      <c r="AZ201" s="5" t="n"/>
      <c r="BA201" s="5" t="n"/>
      <c r="BB201" s="5" t="n"/>
      <c r="BC201" s="5" t="n"/>
      <c r="BD201" s="5" t="n"/>
      <c r="BE201" s="5" t="n"/>
      <c r="BF201" s="5" t="n"/>
      <c r="BG201" s="5" t="n"/>
      <c r="BH201" s="5" t="n"/>
      <c r="BI201" s="5" t="n"/>
      <c r="BJ201" s="5" t="n"/>
      <c r="BK201" s="5" t="n"/>
      <c r="BL201" s="5" t="n"/>
      <c r="BM201" s="5" t="n"/>
      <c r="BN201" s="5" t="n"/>
      <c r="BO201" s="5" t="n"/>
      <c r="BP201" s="5" t="n"/>
      <c r="BQ201" s="5" t="n"/>
      <c r="BR201" s="5" t="n"/>
      <c r="BS201" s="5" t="n"/>
      <c r="BT201" s="5" t="n"/>
      <c r="BU201" s="5" t="n"/>
      <c r="BV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  <c r="AN202" s="5" t="n"/>
      <c r="AO202" s="5" t="n"/>
      <c r="AP202" s="5" t="n"/>
      <c r="AQ202" s="5" t="n"/>
      <c r="AR202" s="5" t="n"/>
      <c r="AS202" s="5" t="n"/>
      <c r="AT202" s="5" t="n"/>
      <c r="AU202" s="5" t="n"/>
      <c r="AV202" s="5" t="n"/>
      <c r="AW202" s="5" t="n"/>
      <c r="AX202" s="5" t="n"/>
      <c r="AY202" s="5" t="n"/>
      <c r="AZ202" s="5" t="n"/>
      <c r="BA202" s="5" t="n"/>
      <c r="BB202" s="5" t="n"/>
      <c r="BC202" s="5" t="n"/>
      <c r="BD202" s="5" t="n"/>
      <c r="BE202" s="5" t="n"/>
      <c r="BF202" s="5" t="n"/>
      <c r="BG202" s="5" t="n"/>
      <c r="BH202" s="5" t="n"/>
      <c r="BI202" s="5" t="n"/>
      <c r="BJ202" s="5" t="n"/>
      <c r="BK202" s="5" t="n"/>
      <c r="BL202" s="5" t="n"/>
      <c r="BM202" s="5" t="n"/>
      <c r="BN202" s="5" t="n"/>
      <c r="BO202" s="5" t="n"/>
      <c r="BP202" s="5" t="n"/>
      <c r="BQ202" s="5" t="n"/>
      <c r="BR202" s="5" t="n"/>
      <c r="BS202" s="5" t="n"/>
      <c r="BT202" s="5" t="n"/>
      <c r="BU202" s="5" t="n"/>
      <c r="BV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  <c r="AN203" s="5" t="n"/>
      <c r="AO203" s="5" t="n"/>
      <c r="AP203" s="5" t="n"/>
      <c r="AQ203" s="5" t="n"/>
      <c r="AR203" s="5" t="n"/>
      <c r="AS203" s="5" t="n"/>
      <c r="AT203" s="5" t="n"/>
      <c r="AU203" s="5" t="n"/>
      <c r="AV203" s="5" t="n"/>
      <c r="AW203" s="5" t="n"/>
      <c r="AX203" s="5" t="n"/>
      <c r="AY203" s="5" t="n"/>
      <c r="AZ203" s="5" t="n"/>
      <c r="BA203" s="5" t="n"/>
      <c r="BB203" s="5" t="n"/>
      <c r="BC203" s="5" t="n"/>
      <c r="BD203" s="5" t="n"/>
      <c r="BE203" s="5" t="n"/>
      <c r="BF203" s="5" t="n"/>
      <c r="BG203" s="5" t="n"/>
      <c r="BH203" s="5" t="n"/>
      <c r="BI203" s="5" t="n"/>
      <c r="BJ203" s="5" t="n"/>
      <c r="BK203" s="5" t="n"/>
      <c r="BL203" s="5" t="n"/>
      <c r="BM203" s="5" t="n"/>
      <c r="BN203" s="5" t="n"/>
      <c r="BO203" s="5" t="n"/>
      <c r="BP203" s="5" t="n"/>
      <c r="BQ203" s="5" t="n"/>
      <c r="BR203" s="5" t="n"/>
      <c r="BS203" s="5" t="n"/>
      <c r="BT203" s="5" t="n"/>
      <c r="BU203" s="5" t="n"/>
      <c r="BV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  <c r="AN204" s="5" t="n"/>
      <c r="AO204" s="5" t="n"/>
      <c r="AP204" s="5" t="n"/>
      <c r="AQ204" s="5" t="n"/>
      <c r="AR204" s="5" t="n"/>
      <c r="AS204" s="5" t="n"/>
      <c r="AT204" s="5" t="n"/>
      <c r="AU204" s="5" t="n"/>
      <c r="AV204" s="5" t="n"/>
      <c r="AW204" s="5" t="n"/>
      <c r="AX204" s="5" t="n"/>
      <c r="AY204" s="5" t="n"/>
      <c r="AZ204" s="5" t="n"/>
      <c r="BA204" s="5" t="n"/>
      <c r="BB204" s="5" t="n"/>
      <c r="BC204" s="5" t="n"/>
      <c r="BD204" s="5" t="n"/>
      <c r="BE204" s="5" t="n"/>
      <c r="BF204" s="5" t="n"/>
      <c r="BG204" s="5" t="n"/>
      <c r="BH204" s="5" t="n"/>
      <c r="BI204" s="5" t="n"/>
      <c r="BJ204" s="5" t="n"/>
      <c r="BK204" s="5" t="n"/>
      <c r="BL204" s="5" t="n"/>
      <c r="BM204" s="5" t="n"/>
      <c r="BN204" s="5" t="n"/>
      <c r="BO204" s="5" t="n"/>
      <c r="BP204" s="5" t="n"/>
      <c r="BQ204" s="5" t="n"/>
      <c r="BR204" s="5" t="n"/>
      <c r="BS204" s="5" t="n"/>
      <c r="BT204" s="5" t="n"/>
      <c r="BU204" s="5" t="n"/>
      <c r="BV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  <c r="AN205" s="5" t="n"/>
      <c r="AO205" s="5" t="n"/>
      <c r="AP205" s="5" t="n"/>
      <c r="AQ205" s="5" t="n"/>
      <c r="AR205" s="5" t="n"/>
      <c r="AS205" s="5" t="n"/>
      <c r="AT205" s="5" t="n"/>
      <c r="AU205" s="5" t="n"/>
      <c r="AV205" s="5" t="n"/>
      <c r="AW205" s="5" t="n"/>
      <c r="AX205" s="5" t="n"/>
      <c r="AY205" s="5" t="n"/>
      <c r="AZ205" s="5" t="n"/>
      <c r="BA205" s="5" t="n"/>
      <c r="BB205" s="5" t="n"/>
      <c r="BC205" s="5" t="n"/>
      <c r="BD205" s="5" t="n"/>
      <c r="BE205" s="5" t="n"/>
      <c r="BF205" s="5" t="n"/>
      <c r="BG205" s="5" t="n"/>
      <c r="BH205" s="5" t="n"/>
      <c r="BI205" s="5" t="n"/>
      <c r="BJ205" s="5" t="n"/>
      <c r="BK205" s="5" t="n"/>
      <c r="BL205" s="5" t="n"/>
      <c r="BM205" s="5" t="n"/>
      <c r="BN205" s="5" t="n"/>
      <c r="BO205" s="5" t="n"/>
      <c r="BP205" s="5" t="n"/>
      <c r="BQ205" s="5" t="n"/>
      <c r="BR205" s="5" t="n"/>
      <c r="BS205" s="5" t="n"/>
      <c r="BT205" s="5" t="n"/>
      <c r="BU205" s="5" t="n"/>
      <c r="BV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  <c r="AN206" s="5" t="n"/>
      <c r="AO206" s="5" t="n"/>
      <c r="AP206" s="5" t="n"/>
      <c r="AQ206" s="5" t="n"/>
      <c r="AR206" s="5" t="n"/>
      <c r="AS206" s="5" t="n"/>
      <c r="AT206" s="5" t="n"/>
      <c r="AU206" s="5" t="n"/>
      <c r="AV206" s="5" t="n"/>
      <c r="AW206" s="5" t="n"/>
      <c r="AX206" s="5" t="n"/>
      <c r="AY206" s="5" t="n"/>
      <c r="AZ206" s="5" t="n"/>
      <c r="BA206" s="5" t="n"/>
      <c r="BB206" s="5" t="n"/>
      <c r="BC206" s="5" t="n"/>
      <c r="BD206" s="5" t="n"/>
      <c r="BE206" s="5" t="n"/>
      <c r="BF206" s="5" t="n"/>
      <c r="BG206" s="5" t="n"/>
      <c r="BH206" s="5" t="n"/>
      <c r="BI206" s="5" t="n"/>
      <c r="BJ206" s="5" t="n"/>
      <c r="BK206" s="5" t="n"/>
      <c r="BL206" s="5" t="n"/>
      <c r="BM206" s="5" t="n"/>
      <c r="BN206" s="5" t="n"/>
      <c r="BO206" s="5" t="n"/>
      <c r="BP206" s="5" t="n"/>
      <c r="BQ206" s="5" t="n"/>
      <c r="BR206" s="5" t="n"/>
      <c r="BS206" s="5" t="n"/>
      <c r="BT206" s="5" t="n"/>
      <c r="BU206" s="5" t="n"/>
      <c r="BV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  <c r="AN207" s="5" t="n"/>
      <c r="AO207" s="5" t="n"/>
      <c r="AP207" s="5" t="n"/>
      <c r="AQ207" s="5" t="n"/>
      <c r="AR207" s="5" t="n"/>
      <c r="AS207" s="5" t="n"/>
      <c r="AT207" s="5" t="n"/>
      <c r="AU207" s="5" t="n"/>
      <c r="AV207" s="5" t="n"/>
      <c r="AW207" s="5" t="n"/>
      <c r="AX207" s="5" t="n"/>
      <c r="AY207" s="5" t="n"/>
      <c r="AZ207" s="5" t="n"/>
      <c r="BA207" s="5" t="n"/>
      <c r="BB207" s="5" t="n"/>
      <c r="BC207" s="5" t="n"/>
      <c r="BD207" s="5" t="n"/>
      <c r="BE207" s="5" t="n"/>
      <c r="BF207" s="5" t="n"/>
      <c r="BG207" s="5" t="n"/>
      <c r="BH207" s="5" t="n"/>
      <c r="BI207" s="5" t="n"/>
      <c r="BJ207" s="5" t="n"/>
      <c r="BK207" s="5" t="n"/>
      <c r="BL207" s="5" t="n"/>
      <c r="BM207" s="5" t="n"/>
      <c r="BN207" s="5" t="n"/>
      <c r="BO207" s="5" t="n"/>
      <c r="BP207" s="5" t="n"/>
      <c r="BQ207" s="5" t="n"/>
      <c r="BR207" s="5" t="n"/>
      <c r="BS207" s="5" t="n"/>
      <c r="BT207" s="5" t="n"/>
      <c r="BU207" s="5" t="n"/>
      <c r="BV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  <c r="AN208" s="5" t="n"/>
      <c r="AO208" s="5" t="n"/>
      <c r="AP208" s="5" t="n"/>
      <c r="AQ208" s="5" t="n"/>
      <c r="AR208" s="5" t="n"/>
      <c r="AS208" s="5" t="n"/>
      <c r="AT208" s="5" t="n"/>
      <c r="AU208" s="5" t="n"/>
      <c r="AV208" s="5" t="n"/>
      <c r="AW208" s="5" t="n"/>
      <c r="AX208" s="5" t="n"/>
      <c r="AY208" s="5" t="n"/>
      <c r="AZ208" s="5" t="n"/>
      <c r="BA208" s="5" t="n"/>
      <c r="BB208" s="5" t="n"/>
      <c r="BC208" s="5" t="n"/>
      <c r="BD208" s="5" t="n"/>
      <c r="BE208" s="5" t="n"/>
      <c r="BF208" s="5" t="n"/>
      <c r="BG208" s="5" t="n"/>
      <c r="BH208" s="5" t="n"/>
      <c r="BI208" s="5" t="n"/>
      <c r="BJ208" s="5" t="n"/>
      <c r="BK208" s="5" t="n"/>
      <c r="BL208" s="5" t="n"/>
      <c r="BM208" s="5" t="n"/>
      <c r="BN208" s="5" t="n"/>
      <c r="BO208" s="5" t="n"/>
      <c r="BP208" s="5" t="n"/>
      <c r="BQ208" s="5" t="n"/>
      <c r="BR208" s="5" t="n"/>
      <c r="BS208" s="5" t="n"/>
      <c r="BT208" s="5" t="n"/>
      <c r="BU208" s="5" t="n"/>
      <c r="BV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  <c r="AN209" s="5" t="n"/>
      <c r="AO209" s="5" t="n"/>
      <c r="AP209" s="5" t="n"/>
      <c r="AQ209" s="5" t="n"/>
      <c r="AR209" s="5" t="n"/>
      <c r="AS209" s="5" t="n"/>
      <c r="AT209" s="5" t="n"/>
      <c r="AU209" s="5" t="n"/>
      <c r="AV209" s="5" t="n"/>
      <c r="AW209" s="5" t="n"/>
      <c r="AX209" s="5" t="n"/>
      <c r="AY209" s="5" t="n"/>
      <c r="AZ209" s="5" t="n"/>
      <c r="BA209" s="5" t="n"/>
      <c r="BB209" s="5" t="n"/>
      <c r="BC209" s="5" t="n"/>
      <c r="BD209" s="5" t="n"/>
      <c r="BE209" s="5" t="n"/>
      <c r="BF209" s="5" t="n"/>
      <c r="BG209" s="5" t="n"/>
      <c r="BH209" s="5" t="n"/>
      <c r="BI209" s="5" t="n"/>
      <c r="BJ209" s="5" t="n"/>
      <c r="BK209" s="5" t="n"/>
      <c r="BL209" s="5" t="n"/>
      <c r="BM209" s="5" t="n"/>
      <c r="BN209" s="5" t="n"/>
      <c r="BO209" s="5" t="n"/>
      <c r="BP209" s="5" t="n"/>
      <c r="BQ209" s="5" t="n"/>
      <c r="BR209" s="5" t="n"/>
      <c r="BS209" s="5" t="n"/>
      <c r="BT209" s="5" t="n"/>
      <c r="BU209" s="5" t="n"/>
      <c r="BV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  <c r="AN210" s="5" t="n"/>
      <c r="AO210" s="5" t="n"/>
      <c r="AP210" s="5" t="n"/>
      <c r="AQ210" s="5" t="n"/>
      <c r="AR210" s="5" t="n"/>
      <c r="AS210" s="5" t="n"/>
      <c r="AT210" s="5" t="n"/>
      <c r="AU210" s="5" t="n"/>
      <c r="AV210" s="5" t="n"/>
      <c r="AW210" s="5" t="n"/>
      <c r="AX210" s="5" t="n"/>
      <c r="AY210" s="5" t="n"/>
      <c r="AZ210" s="5" t="n"/>
      <c r="BA210" s="5" t="n"/>
      <c r="BB210" s="5" t="n"/>
      <c r="BC210" s="5" t="n"/>
      <c r="BD210" s="5" t="n"/>
      <c r="BE210" s="5" t="n"/>
      <c r="BF210" s="5" t="n"/>
      <c r="BG210" s="5" t="n"/>
      <c r="BH210" s="5" t="n"/>
      <c r="BI210" s="5" t="n"/>
      <c r="BJ210" s="5" t="n"/>
      <c r="BK210" s="5" t="n"/>
      <c r="BL210" s="5" t="n"/>
      <c r="BM210" s="5" t="n"/>
      <c r="BN210" s="5" t="n"/>
      <c r="BO210" s="5" t="n"/>
      <c r="BP210" s="5" t="n"/>
      <c r="BQ210" s="5" t="n"/>
      <c r="BR210" s="5" t="n"/>
      <c r="BS210" s="5" t="n"/>
      <c r="BT210" s="5" t="n"/>
      <c r="BU210" s="5" t="n"/>
      <c r="BV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  <c r="AN211" s="5" t="n"/>
      <c r="AO211" s="5" t="n"/>
      <c r="AP211" s="5" t="n"/>
      <c r="AQ211" s="5" t="n"/>
      <c r="AR211" s="5" t="n"/>
      <c r="AS211" s="5" t="n"/>
      <c r="AT211" s="5" t="n"/>
      <c r="AU211" s="5" t="n"/>
      <c r="AV211" s="5" t="n"/>
      <c r="AW211" s="5" t="n"/>
      <c r="AX211" s="5" t="n"/>
      <c r="AY211" s="5" t="n"/>
      <c r="AZ211" s="5" t="n"/>
      <c r="BA211" s="5" t="n"/>
      <c r="BB211" s="5" t="n"/>
      <c r="BC211" s="5" t="n"/>
      <c r="BD211" s="5" t="n"/>
      <c r="BE211" s="5" t="n"/>
      <c r="BF211" s="5" t="n"/>
      <c r="BG211" s="5" t="n"/>
      <c r="BH211" s="5" t="n"/>
      <c r="BI211" s="5" t="n"/>
      <c r="BJ211" s="5" t="n"/>
      <c r="BK211" s="5" t="n"/>
      <c r="BL211" s="5" t="n"/>
      <c r="BM211" s="5" t="n"/>
      <c r="BN211" s="5" t="n"/>
      <c r="BO211" s="5" t="n"/>
      <c r="BP211" s="5" t="n"/>
      <c r="BQ211" s="5" t="n"/>
      <c r="BR211" s="5" t="n"/>
      <c r="BS211" s="5" t="n"/>
      <c r="BT211" s="5" t="n"/>
      <c r="BU211" s="5" t="n"/>
      <c r="BV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  <c r="AN212" s="5" t="n"/>
      <c r="AO212" s="5" t="n"/>
      <c r="AP212" s="5" t="n"/>
      <c r="AQ212" s="5" t="n"/>
      <c r="AR212" s="5" t="n"/>
      <c r="AS212" s="5" t="n"/>
      <c r="AT212" s="5" t="n"/>
      <c r="AU212" s="5" t="n"/>
      <c r="AV212" s="5" t="n"/>
      <c r="AW212" s="5" t="n"/>
      <c r="AX212" s="5" t="n"/>
      <c r="AY212" s="5" t="n"/>
      <c r="AZ212" s="5" t="n"/>
      <c r="BA212" s="5" t="n"/>
      <c r="BB212" s="5" t="n"/>
      <c r="BC212" s="5" t="n"/>
      <c r="BD212" s="5" t="n"/>
      <c r="BE212" s="5" t="n"/>
      <c r="BF212" s="5" t="n"/>
      <c r="BG212" s="5" t="n"/>
      <c r="BH212" s="5" t="n"/>
      <c r="BI212" s="5" t="n"/>
      <c r="BJ212" s="5" t="n"/>
      <c r="BK212" s="5" t="n"/>
      <c r="BL212" s="5" t="n"/>
      <c r="BM212" s="5" t="n"/>
      <c r="BN212" s="5" t="n"/>
      <c r="BO212" s="5" t="n"/>
      <c r="BP212" s="5" t="n"/>
      <c r="BQ212" s="5" t="n"/>
      <c r="BR212" s="5" t="n"/>
      <c r="BS212" s="5" t="n"/>
      <c r="BT212" s="5" t="n"/>
      <c r="BU212" s="5" t="n"/>
      <c r="BV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/>
      <c r="AL213" s="5" t="n"/>
      <c r="AM213" s="5" t="n"/>
      <c r="AN213" s="5" t="n"/>
      <c r="AO213" s="5" t="n"/>
      <c r="AP213" s="5" t="n"/>
      <c r="AQ213" s="5" t="n"/>
      <c r="AR213" s="5" t="n"/>
      <c r="AS213" s="5" t="n"/>
      <c r="AT213" s="5" t="n"/>
      <c r="AU213" s="5" t="n"/>
      <c r="AV213" s="5" t="n"/>
      <c r="AW213" s="5" t="n"/>
      <c r="AX213" s="5" t="n"/>
      <c r="AY213" s="5" t="n"/>
      <c r="AZ213" s="5" t="n"/>
      <c r="BA213" s="5" t="n"/>
      <c r="BB213" s="5" t="n"/>
      <c r="BC213" s="5" t="n"/>
      <c r="BD213" s="5" t="n"/>
      <c r="BE213" s="5" t="n"/>
      <c r="BF213" s="5" t="n"/>
      <c r="BG213" s="5" t="n"/>
      <c r="BH213" s="5" t="n"/>
      <c r="BI213" s="5" t="n"/>
      <c r="BJ213" s="5" t="n"/>
      <c r="BK213" s="5" t="n"/>
      <c r="BL213" s="5" t="n"/>
      <c r="BM213" s="5" t="n"/>
      <c r="BN213" s="5" t="n"/>
      <c r="BO213" s="5" t="n"/>
      <c r="BP213" s="5" t="n"/>
      <c r="BQ213" s="5" t="n"/>
      <c r="BR213" s="5" t="n"/>
      <c r="BS213" s="5" t="n"/>
      <c r="BT213" s="5" t="n"/>
      <c r="BU213" s="5" t="n"/>
      <c r="BV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  <c r="AI214" s="5" t="n"/>
      <c r="AJ214" s="5" t="n"/>
      <c r="AK214" s="5" t="n"/>
      <c r="AL214" s="5" t="n"/>
      <c r="AM214" s="5" t="n"/>
      <c r="AN214" s="5" t="n"/>
      <c r="AO214" s="5" t="n"/>
      <c r="AP214" s="5" t="n"/>
      <c r="AQ214" s="5" t="n"/>
      <c r="AR214" s="5" t="n"/>
      <c r="AS214" s="5" t="n"/>
      <c r="AT214" s="5" t="n"/>
      <c r="AU214" s="5" t="n"/>
      <c r="AV214" s="5" t="n"/>
      <c r="AW214" s="5" t="n"/>
      <c r="AX214" s="5" t="n"/>
      <c r="AY214" s="5" t="n"/>
      <c r="AZ214" s="5" t="n"/>
      <c r="BA214" s="5" t="n"/>
      <c r="BB214" s="5" t="n"/>
      <c r="BC214" s="5" t="n"/>
      <c r="BD214" s="5" t="n"/>
      <c r="BE214" s="5" t="n"/>
      <c r="BF214" s="5" t="n"/>
      <c r="BG214" s="5" t="n"/>
      <c r="BH214" s="5" t="n"/>
      <c r="BI214" s="5" t="n"/>
      <c r="BJ214" s="5" t="n"/>
      <c r="BK214" s="5" t="n"/>
      <c r="BL214" s="5" t="n"/>
      <c r="BM214" s="5" t="n"/>
      <c r="BN214" s="5" t="n"/>
      <c r="BO214" s="5" t="n"/>
      <c r="BP214" s="5" t="n"/>
      <c r="BQ214" s="5" t="n"/>
      <c r="BR214" s="5" t="n"/>
      <c r="BS214" s="5" t="n"/>
      <c r="BT214" s="5" t="n"/>
      <c r="BU214" s="5" t="n"/>
      <c r="BV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  <c r="AI215" s="5" t="n"/>
      <c r="AJ215" s="5" t="n"/>
      <c r="AK215" s="5" t="n"/>
      <c r="AL215" s="5" t="n"/>
      <c r="AM215" s="5" t="n"/>
      <c r="AN215" s="5" t="n"/>
      <c r="AO215" s="5" t="n"/>
      <c r="AP215" s="5" t="n"/>
      <c r="AQ215" s="5" t="n"/>
      <c r="AR215" s="5" t="n"/>
      <c r="AS215" s="5" t="n"/>
      <c r="AT215" s="5" t="n"/>
      <c r="AU215" s="5" t="n"/>
      <c r="AV215" s="5" t="n"/>
      <c r="AW215" s="5" t="n"/>
      <c r="AX215" s="5" t="n"/>
      <c r="AY215" s="5" t="n"/>
      <c r="AZ215" s="5" t="n"/>
      <c r="BA215" s="5" t="n"/>
      <c r="BB215" s="5" t="n"/>
      <c r="BC215" s="5" t="n"/>
      <c r="BD215" s="5" t="n"/>
      <c r="BE215" s="5" t="n"/>
      <c r="BF215" s="5" t="n"/>
      <c r="BG215" s="5" t="n"/>
      <c r="BH215" s="5" t="n"/>
      <c r="BI215" s="5" t="n"/>
      <c r="BJ215" s="5" t="n"/>
      <c r="BK215" s="5" t="n"/>
      <c r="BL215" s="5" t="n"/>
      <c r="BM215" s="5" t="n"/>
      <c r="BN215" s="5" t="n"/>
      <c r="BO215" s="5" t="n"/>
      <c r="BP215" s="5" t="n"/>
      <c r="BQ215" s="5" t="n"/>
      <c r="BR215" s="5" t="n"/>
      <c r="BS215" s="5" t="n"/>
      <c r="BT215" s="5" t="n"/>
      <c r="BU215" s="5" t="n"/>
      <c r="BV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  <c r="AI216" s="5" t="n"/>
      <c r="AJ216" s="5" t="n"/>
      <c r="AK216" s="5" t="n"/>
      <c r="AL216" s="5" t="n"/>
      <c r="AM216" s="5" t="n"/>
      <c r="AN216" s="5" t="n"/>
      <c r="AO216" s="5" t="n"/>
      <c r="AP216" s="5" t="n"/>
      <c r="AQ216" s="5" t="n"/>
      <c r="AR216" s="5" t="n"/>
      <c r="AS216" s="5" t="n"/>
      <c r="AT216" s="5" t="n"/>
      <c r="AU216" s="5" t="n"/>
      <c r="AV216" s="5" t="n"/>
      <c r="AW216" s="5" t="n"/>
      <c r="AX216" s="5" t="n"/>
      <c r="AY216" s="5" t="n"/>
      <c r="AZ216" s="5" t="n"/>
      <c r="BA216" s="5" t="n"/>
      <c r="BB216" s="5" t="n"/>
      <c r="BC216" s="5" t="n"/>
      <c r="BD216" s="5" t="n"/>
      <c r="BE216" s="5" t="n"/>
      <c r="BF216" s="5" t="n"/>
      <c r="BG216" s="5" t="n"/>
      <c r="BH216" s="5" t="n"/>
      <c r="BI216" s="5" t="n"/>
      <c r="BJ216" s="5" t="n"/>
      <c r="BK216" s="5" t="n"/>
      <c r="BL216" s="5" t="n"/>
      <c r="BM216" s="5" t="n"/>
      <c r="BN216" s="5" t="n"/>
      <c r="BO216" s="5" t="n"/>
      <c r="BP216" s="5" t="n"/>
      <c r="BQ216" s="5" t="n"/>
      <c r="BR216" s="5" t="n"/>
      <c r="BS216" s="5" t="n"/>
      <c r="BT216" s="5" t="n"/>
      <c r="BU216" s="5" t="n"/>
      <c r="BV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  <c r="AI217" s="5" t="n"/>
      <c r="AJ217" s="5" t="n"/>
      <c r="AK217" s="5" t="n"/>
      <c r="AL217" s="5" t="n"/>
      <c r="AM217" s="5" t="n"/>
      <c r="AN217" s="5" t="n"/>
      <c r="AO217" s="5" t="n"/>
      <c r="AP217" s="5" t="n"/>
      <c r="AQ217" s="5" t="n"/>
      <c r="AR217" s="5" t="n"/>
      <c r="AS217" s="5" t="n"/>
      <c r="AT217" s="5" t="n"/>
      <c r="AU217" s="5" t="n"/>
      <c r="AV217" s="5" t="n"/>
      <c r="AW217" s="5" t="n"/>
      <c r="AX217" s="5" t="n"/>
      <c r="AY217" s="5" t="n"/>
      <c r="AZ217" s="5" t="n"/>
      <c r="BA217" s="5" t="n"/>
      <c r="BB217" s="5" t="n"/>
      <c r="BC217" s="5" t="n"/>
      <c r="BD217" s="5" t="n"/>
      <c r="BE217" s="5" t="n"/>
      <c r="BF217" s="5" t="n"/>
      <c r="BG217" s="5" t="n"/>
      <c r="BH217" s="5" t="n"/>
      <c r="BI217" s="5" t="n"/>
      <c r="BJ217" s="5" t="n"/>
      <c r="BK217" s="5" t="n"/>
      <c r="BL217" s="5" t="n"/>
      <c r="BM217" s="5" t="n"/>
      <c r="BN217" s="5" t="n"/>
      <c r="BO217" s="5" t="n"/>
      <c r="BP217" s="5" t="n"/>
      <c r="BQ217" s="5" t="n"/>
      <c r="BR217" s="5" t="n"/>
      <c r="BS217" s="5" t="n"/>
      <c r="BT217" s="5" t="n"/>
      <c r="BU217" s="5" t="n"/>
      <c r="BV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5" t="n"/>
      <c r="AI218" s="5" t="n"/>
      <c r="AJ218" s="5" t="n"/>
      <c r="AK218" s="5" t="n"/>
      <c r="AL218" s="5" t="n"/>
      <c r="AM218" s="5" t="n"/>
      <c r="AN218" s="5" t="n"/>
      <c r="AO218" s="5" t="n"/>
      <c r="AP218" s="5" t="n"/>
      <c r="AQ218" s="5" t="n"/>
      <c r="AR218" s="5" t="n"/>
      <c r="AS218" s="5" t="n"/>
      <c r="AT218" s="5" t="n"/>
      <c r="AU218" s="5" t="n"/>
      <c r="AV218" s="5" t="n"/>
      <c r="AW218" s="5" t="n"/>
      <c r="AX218" s="5" t="n"/>
      <c r="AY218" s="5" t="n"/>
      <c r="AZ218" s="5" t="n"/>
      <c r="BA218" s="5" t="n"/>
      <c r="BB218" s="5" t="n"/>
      <c r="BC218" s="5" t="n"/>
      <c r="BD218" s="5" t="n"/>
      <c r="BE218" s="5" t="n"/>
      <c r="BF218" s="5" t="n"/>
      <c r="BG218" s="5" t="n"/>
      <c r="BH218" s="5" t="n"/>
      <c r="BI218" s="5" t="n"/>
      <c r="BJ218" s="5" t="n"/>
      <c r="BK218" s="5" t="n"/>
      <c r="BL218" s="5" t="n"/>
      <c r="BM218" s="5" t="n"/>
      <c r="BN218" s="5" t="n"/>
      <c r="BO218" s="5" t="n"/>
      <c r="BP218" s="5" t="n"/>
      <c r="BQ218" s="5" t="n"/>
      <c r="BR218" s="5" t="n"/>
      <c r="BS218" s="5" t="n"/>
      <c r="BT218" s="5" t="n"/>
      <c r="BU218" s="5" t="n"/>
      <c r="BV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  <c r="AI219" s="5" t="n"/>
      <c r="AJ219" s="5" t="n"/>
      <c r="AK219" s="5" t="n"/>
      <c r="AL219" s="5" t="n"/>
      <c r="AM219" s="5" t="n"/>
      <c r="AN219" s="5" t="n"/>
      <c r="AO219" s="5" t="n"/>
      <c r="AP219" s="5" t="n"/>
      <c r="AQ219" s="5" t="n"/>
      <c r="AR219" s="5" t="n"/>
      <c r="AS219" s="5" t="n"/>
      <c r="AT219" s="5" t="n"/>
      <c r="AU219" s="5" t="n"/>
      <c r="AV219" s="5" t="n"/>
      <c r="AW219" s="5" t="n"/>
      <c r="AX219" s="5" t="n"/>
      <c r="AY219" s="5" t="n"/>
      <c r="AZ219" s="5" t="n"/>
      <c r="BA219" s="5" t="n"/>
      <c r="BB219" s="5" t="n"/>
      <c r="BC219" s="5" t="n"/>
      <c r="BD219" s="5" t="n"/>
      <c r="BE219" s="5" t="n"/>
      <c r="BF219" s="5" t="n"/>
      <c r="BG219" s="5" t="n"/>
      <c r="BH219" s="5" t="n"/>
      <c r="BI219" s="5" t="n"/>
      <c r="BJ219" s="5" t="n"/>
      <c r="BK219" s="5" t="n"/>
      <c r="BL219" s="5" t="n"/>
      <c r="BM219" s="5" t="n"/>
      <c r="BN219" s="5" t="n"/>
      <c r="BO219" s="5" t="n"/>
      <c r="BP219" s="5" t="n"/>
      <c r="BQ219" s="5" t="n"/>
      <c r="BR219" s="5" t="n"/>
      <c r="BS219" s="5" t="n"/>
      <c r="BT219" s="5" t="n"/>
      <c r="BU219" s="5" t="n"/>
      <c r="BV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  <c r="AI220" s="5" t="n"/>
      <c r="AJ220" s="5" t="n"/>
      <c r="AK220" s="5" t="n"/>
      <c r="AL220" s="5" t="n"/>
      <c r="AM220" s="5" t="n"/>
      <c r="AN220" s="5" t="n"/>
      <c r="AO220" s="5" t="n"/>
      <c r="AP220" s="5" t="n"/>
      <c r="AQ220" s="5" t="n"/>
      <c r="AR220" s="5" t="n"/>
      <c r="AS220" s="5" t="n"/>
      <c r="AT220" s="5" t="n"/>
      <c r="AU220" s="5" t="n"/>
      <c r="AV220" s="5" t="n"/>
      <c r="AW220" s="5" t="n"/>
      <c r="AX220" s="5" t="n"/>
      <c r="AY220" s="5" t="n"/>
      <c r="AZ220" s="5" t="n"/>
      <c r="BA220" s="5" t="n"/>
      <c r="BB220" s="5" t="n"/>
      <c r="BC220" s="5" t="n"/>
      <c r="BD220" s="5" t="n"/>
      <c r="BE220" s="5" t="n"/>
      <c r="BF220" s="5" t="n"/>
      <c r="BG220" s="5" t="n"/>
      <c r="BH220" s="5" t="n"/>
      <c r="BI220" s="5" t="n"/>
      <c r="BJ220" s="5" t="n"/>
      <c r="BK220" s="5" t="n"/>
      <c r="BL220" s="5" t="n"/>
      <c r="BM220" s="5" t="n"/>
      <c r="BN220" s="5" t="n"/>
      <c r="BO220" s="5" t="n"/>
      <c r="BP220" s="5" t="n"/>
      <c r="BQ220" s="5" t="n"/>
      <c r="BR220" s="5" t="n"/>
      <c r="BS220" s="5" t="n"/>
      <c r="BT220" s="5" t="n"/>
      <c r="BU220" s="5" t="n"/>
      <c r="BV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/>
      <c r="AL221" s="5" t="n"/>
      <c r="AM221" s="5" t="n"/>
      <c r="AN221" s="5" t="n"/>
      <c r="AO221" s="5" t="n"/>
      <c r="AP221" s="5" t="n"/>
      <c r="AQ221" s="5" t="n"/>
      <c r="AR221" s="5" t="n"/>
      <c r="AS221" s="5" t="n"/>
      <c r="AT221" s="5" t="n"/>
      <c r="AU221" s="5" t="n"/>
      <c r="AV221" s="5" t="n"/>
      <c r="AW221" s="5" t="n"/>
      <c r="AX221" s="5" t="n"/>
      <c r="AY221" s="5" t="n"/>
      <c r="AZ221" s="5" t="n"/>
      <c r="BA221" s="5" t="n"/>
      <c r="BB221" s="5" t="n"/>
      <c r="BC221" s="5" t="n"/>
      <c r="BD221" s="5" t="n"/>
      <c r="BE221" s="5" t="n"/>
      <c r="BF221" s="5" t="n"/>
      <c r="BG221" s="5" t="n"/>
      <c r="BH221" s="5" t="n"/>
      <c r="BI221" s="5" t="n"/>
      <c r="BJ221" s="5" t="n"/>
      <c r="BK221" s="5" t="n"/>
      <c r="BL221" s="5" t="n"/>
      <c r="BM221" s="5" t="n"/>
      <c r="BN221" s="5" t="n"/>
      <c r="BO221" s="5" t="n"/>
      <c r="BP221" s="5" t="n"/>
      <c r="BQ221" s="5" t="n"/>
      <c r="BR221" s="5" t="n"/>
      <c r="BS221" s="5" t="n"/>
      <c r="BT221" s="5" t="n"/>
      <c r="BU221" s="5" t="n"/>
      <c r="BV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  <c r="AI222" s="5" t="n"/>
      <c r="AJ222" s="5" t="n"/>
      <c r="AK222" s="5" t="n"/>
      <c r="AL222" s="5" t="n"/>
      <c r="AM222" s="5" t="n"/>
      <c r="AN222" s="5" t="n"/>
      <c r="AO222" s="5" t="n"/>
      <c r="AP222" s="5" t="n"/>
      <c r="AQ222" s="5" t="n"/>
      <c r="AR222" s="5" t="n"/>
      <c r="AS222" s="5" t="n"/>
      <c r="AT222" s="5" t="n"/>
      <c r="AU222" s="5" t="n"/>
      <c r="AV222" s="5" t="n"/>
      <c r="AW222" s="5" t="n"/>
      <c r="AX222" s="5" t="n"/>
      <c r="AY222" s="5" t="n"/>
      <c r="AZ222" s="5" t="n"/>
      <c r="BA222" s="5" t="n"/>
      <c r="BB222" s="5" t="n"/>
      <c r="BC222" s="5" t="n"/>
      <c r="BD222" s="5" t="n"/>
      <c r="BE222" s="5" t="n"/>
      <c r="BF222" s="5" t="n"/>
      <c r="BG222" s="5" t="n"/>
      <c r="BH222" s="5" t="n"/>
      <c r="BI222" s="5" t="n"/>
      <c r="BJ222" s="5" t="n"/>
      <c r="BK222" s="5" t="n"/>
      <c r="BL222" s="5" t="n"/>
      <c r="BM222" s="5" t="n"/>
      <c r="BN222" s="5" t="n"/>
      <c r="BO222" s="5" t="n"/>
      <c r="BP222" s="5" t="n"/>
      <c r="BQ222" s="5" t="n"/>
      <c r="BR222" s="5" t="n"/>
      <c r="BS222" s="5" t="n"/>
      <c r="BT222" s="5" t="n"/>
      <c r="BU222" s="5" t="n"/>
      <c r="BV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  <c r="AJ223" s="5" t="n"/>
      <c r="AK223" s="5" t="n"/>
      <c r="AL223" s="5" t="n"/>
      <c r="AM223" s="5" t="n"/>
      <c r="AN223" s="5" t="n"/>
      <c r="AO223" s="5" t="n"/>
      <c r="AP223" s="5" t="n"/>
      <c r="AQ223" s="5" t="n"/>
      <c r="AR223" s="5" t="n"/>
      <c r="AS223" s="5" t="n"/>
      <c r="AT223" s="5" t="n"/>
      <c r="AU223" s="5" t="n"/>
      <c r="AV223" s="5" t="n"/>
      <c r="AW223" s="5" t="n"/>
      <c r="AX223" s="5" t="n"/>
      <c r="AY223" s="5" t="n"/>
      <c r="AZ223" s="5" t="n"/>
      <c r="BA223" s="5" t="n"/>
      <c r="BB223" s="5" t="n"/>
      <c r="BC223" s="5" t="n"/>
      <c r="BD223" s="5" t="n"/>
      <c r="BE223" s="5" t="n"/>
      <c r="BF223" s="5" t="n"/>
      <c r="BG223" s="5" t="n"/>
      <c r="BH223" s="5" t="n"/>
      <c r="BI223" s="5" t="n"/>
      <c r="BJ223" s="5" t="n"/>
      <c r="BK223" s="5" t="n"/>
      <c r="BL223" s="5" t="n"/>
      <c r="BM223" s="5" t="n"/>
      <c r="BN223" s="5" t="n"/>
      <c r="BO223" s="5" t="n"/>
      <c r="BP223" s="5" t="n"/>
      <c r="BQ223" s="5" t="n"/>
      <c r="BR223" s="5" t="n"/>
      <c r="BS223" s="5" t="n"/>
      <c r="BT223" s="5" t="n"/>
      <c r="BU223" s="5" t="n"/>
      <c r="BV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  <c r="AI224" s="5" t="n"/>
      <c r="AJ224" s="5" t="n"/>
      <c r="AK224" s="5" t="n"/>
      <c r="AL224" s="5" t="n"/>
      <c r="AM224" s="5" t="n"/>
      <c r="AN224" s="5" t="n"/>
      <c r="AO224" s="5" t="n"/>
      <c r="AP224" s="5" t="n"/>
      <c r="AQ224" s="5" t="n"/>
      <c r="AR224" s="5" t="n"/>
      <c r="AS224" s="5" t="n"/>
      <c r="AT224" s="5" t="n"/>
      <c r="AU224" s="5" t="n"/>
      <c r="AV224" s="5" t="n"/>
      <c r="AW224" s="5" t="n"/>
      <c r="AX224" s="5" t="n"/>
      <c r="AY224" s="5" t="n"/>
      <c r="AZ224" s="5" t="n"/>
      <c r="BA224" s="5" t="n"/>
      <c r="BB224" s="5" t="n"/>
      <c r="BC224" s="5" t="n"/>
      <c r="BD224" s="5" t="n"/>
      <c r="BE224" s="5" t="n"/>
      <c r="BF224" s="5" t="n"/>
      <c r="BG224" s="5" t="n"/>
      <c r="BH224" s="5" t="n"/>
      <c r="BI224" s="5" t="n"/>
      <c r="BJ224" s="5" t="n"/>
      <c r="BK224" s="5" t="n"/>
      <c r="BL224" s="5" t="n"/>
      <c r="BM224" s="5" t="n"/>
      <c r="BN224" s="5" t="n"/>
      <c r="BO224" s="5" t="n"/>
      <c r="BP224" s="5" t="n"/>
      <c r="BQ224" s="5" t="n"/>
      <c r="BR224" s="5" t="n"/>
      <c r="BS224" s="5" t="n"/>
      <c r="BT224" s="5" t="n"/>
      <c r="BU224" s="5" t="n"/>
      <c r="BV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n"/>
      <c r="AM225" s="5" t="n"/>
      <c r="AN225" s="5" t="n"/>
      <c r="AO225" s="5" t="n"/>
      <c r="AP225" s="5" t="n"/>
      <c r="AQ225" s="5" t="n"/>
      <c r="AR225" s="5" t="n"/>
      <c r="AS225" s="5" t="n"/>
      <c r="AT225" s="5" t="n"/>
      <c r="AU225" s="5" t="n"/>
      <c r="AV225" s="5" t="n"/>
      <c r="AW225" s="5" t="n"/>
      <c r="AX225" s="5" t="n"/>
      <c r="AY225" s="5" t="n"/>
      <c r="AZ225" s="5" t="n"/>
      <c r="BA225" s="5" t="n"/>
      <c r="BB225" s="5" t="n"/>
      <c r="BC225" s="5" t="n"/>
      <c r="BD225" s="5" t="n"/>
      <c r="BE225" s="5" t="n"/>
      <c r="BF225" s="5" t="n"/>
      <c r="BG225" s="5" t="n"/>
      <c r="BH225" s="5" t="n"/>
      <c r="BI225" s="5" t="n"/>
      <c r="BJ225" s="5" t="n"/>
      <c r="BK225" s="5" t="n"/>
      <c r="BL225" s="5" t="n"/>
      <c r="BM225" s="5" t="n"/>
      <c r="BN225" s="5" t="n"/>
      <c r="BO225" s="5" t="n"/>
      <c r="BP225" s="5" t="n"/>
      <c r="BQ225" s="5" t="n"/>
      <c r="BR225" s="5" t="n"/>
      <c r="BS225" s="5" t="n"/>
      <c r="BT225" s="5" t="n"/>
      <c r="BU225" s="5" t="n"/>
      <c r="BV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  <c r="AI226" s="5" t="n"/>
      <c r="AJ226" s="5" t="n"/>
      <c r="AK226" s="5" t="n"/>
      <c r="AL226" s="5" t="n"/>
      <c r="AM226" s="5" t="n"/>
      <c r="AN226" s="5" t="n"/>
      <c r="AO226" s="5" t="n"/>
      <c r="AP226" s="5" t="n"/>
      <c r="AQ226" s="5" t="n"/>
      <c r="AR226" s="5" t="n"/>
      <c r="AS226" s="5" t="n"/>
      <c r="AT226" s="5" t="n"/>
      <c r="AU226" s="5" t="n"/>
      <c r="AV226" s="5" t="n"/>
      <c r="AW226" s="5" t="n"/>
      <c r="AX226" s="5" t="n"/>
      <c r="AY226" s="5" t="n"/>
      <c r="AZ226" s="5" t="n"/>
      <c r="BA226" s="5" t="n"/>
      <c r="BB226" s="5" t="n"/>
      <c r="BC226" s="5" t="n"/>
      <c r="BD226" s="5" t="n"/>
      <c r="BE226" s="5" t="n"/>
      <c r="BF226" s="5" t="n"/>
      <c r="BG226" s="5" t="n"/>
      <c r="BH226" s="5" t="n"/>
      <c r="BI226" s="5" t="n"/>
      <c r="BJ226" s="5" t="n"/>
      <c r="BK226" s="5" t="n"/>
      <c r="BL226" s="5" t="n"/>
      <c r="BM226" s="5" t="n"/>
      <c r="BN226" s="5" t="n"/>
      <c r="BO226" s="5" t="n"/>
      <c r="BP226" s="5" t="n"/>
      <c r="BQ226" s="5" t="n"/>
      <c r="BR226" s="5" t="n"/>
      <c r="BS226" s="5" t="n"/>
      <c r="BT226" s="5" t="n"/>
      <c r="BU226" s="5" t="n"/>
      <c r="BV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/>
      <c r="AL227" s="5" t="n"/>
      <c r="AM227" s="5" t="n"/>
      <c r="AN227" s="5" t="n"/>
      <c r="AO227" s="5" t="n"/>
      <c r="AP227" s="5" t="n"/>
      <c r="AQ227" s="5" t="n"/>
      <c r="AR227" s="5" t="n"/>
      <c r="AS227" s="5" t="n"/>
      <c r="AT227" s="5" t="n"/>
      <c r="AU227" s="5" t="n"/>
      <c r="AV227" s="5" t="n"/>
      <c r="AW227" s="5" t="n"/>
      <c r="AX227" s="5" t="n"/>
      <c r="AY227" s="5" t="n"/>
      <c r="AZ227" s="5" t="n"/>
      <c r="BA227" s="5" t="n"/>
      <c r="BB227" s="5" t="n"/>
      <c r="BC227" s="5" t="n"/>
      <c r="BD227" s="5" t="n"/>
      <c r="BE227" s="5" t="n"/>
      <c r="BF227" s="5" t="n"/>
      <c r="BG227" s="5" t="n"/>
      <c r="BH227" s="5" t="n"/>
      <c r="BI227" s="5" t="n"/>
      <c r="BJ227" s="5" t="n"/>
      <c r="BK227" s="5" t="n"/>
      <c r="BL227" s="5" t="n"/>
      <c r="BM227" s="5" t="n"/>
      <c r="BN227" s="5" t="n"/>
      <c r="BO227" s="5" t="n"/>
      <c r="BP227" s="5" t="n"/>
      <c r="BQ227" s="5" t="n"/>
      <c r="BR227" s="5" t="n"/>
      <c r="BS227" s="5" t="n"/>
      <c r="BT227" s="5" t="n"/>
      <c r="BU227" s="5" t="n"/>
      <c r="BV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  <c r="AI228" s="5" t="n"/>
      <c r="AJ228" s="5" t="n"/>
      <c r="AK228" s="5" t="n"/>
      <c r="AL228" s="5" t="n"/>
      <c r="AM228" s="5" t="n"/>
      <c r="AN228" s="5" t="n"/>
      <c r="AO228" s="5" t="n"/>
      <c r="AP228" s="5" t="n"/>
      <c r="AQ228" s="5" t="n"/>
      <c r="AR228" s="5" t="n"/>
      <c r="AS228" s="5" t="n"/>
      <c r="AT228" s="5" t="n"/>
      <c r="AU228" s="5" t="n"/>
      <c r="AV228" s="5" t="n"/>
      <c r="AW228" s="5" t="n"/>
      <c r="AX228" s="5" t="n"/>
      <c r="AY228" s="5" t="n"/>
      <c r="AZ228" s="5" t="n"/>
      <c r="BA228" s="5" t="n"/>
      <c r="BB228" s="5" t="n"/>
      <c r="BC228" s="5" t="n"/>
      <c r="BD228" s="5" t="n"/>
      <c r="BE228" s="5" t="n"/>
      <c r="BF228" s="5" t="n"/>
      <c r="BG228" s="5" t="n"/>
      <c r="BH228" s="5" t="n"/>
      <c r="BI228" s="5" t="n"/>
      <c r="BJ228" s="5" t="n"/>
      <c r="BK228" s="5" t="n"/>
      <c r="BL228" s="5" t="n"/>
      <c r="BM228" s="5" t="n"/>
      <c r="BN228" s="5" t="n"/>
      <c r="BO228" s="5" t="n"/>
      <c r="BP228" s="5" t="n"/>
      <c r="BQ228" s="5" t="n"/>
      <c r="BR228" s="5" t="n"/>
      <c r="BS228" s="5" t="n"/>
      <c r="BT228" s="5" t="n"/>
      <c r="BU228" s="5" t="n"/>
      <c r="BV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  <c r="AI229" s="5" t="n"/>
      <c r="AJ229" s="5" t="n"/>
      <c r="AK229" s="5" t="n"/>
      <c r="AL229" s="5" t="n"/>
      <c r="AM229" s="5" t="n"/>
      <c r="AN229" s="5" t="n"/>
      <c r="AO229" s="5" t="n"/>
      <c r="AP229" s="5" t="n"/>
      <c r="AQ229" s="5" t="n"/>
      <c r="AR229" s="5" t="n"/>
      <c r="AS229" s="5" t="n"/>
      <c r="AT229" s="5" t="n"/>
      <c r="AU229" s="5" t="n"/>
      <c r="AV229" s="5" t="n"/>
      <c r="AW229" s="5" t="n"/>
      <c r="AX229" s="5" t="n"/>
      <c r="AY229" s="5" t="n"/>
      <c r="AZ229" s="5" t="n"/>
      <c r="BA229" s="5" t="n"/>
      <c r="BB229" s="5" t="n"/>
      <c r="BC229" s="5" t="n"/>
      <c r="BD229" s="5" t="n"/>
      <c r="BE229" s="5" t="n"/>
      <c r="BF229" s="5" t="n"/>
      <c r="BG229" s="5" t="n"/>
      <c r="BH229" s="5" t="n"/>
      <c r="BI229" s="5" t="n"/>
      <c r="BJ229" s="5" t="n"/>
      <c r="BK229" s="5" t="n"/>
      <c r="BL229" s="5" t="n"/>
      <c r="BM229" s="5" t="n"/>
      <c r="BN229" s="5" t="n"/>
      <c r="BO229" s="5" t="n"/>
      <c r="BP229" s="5" t="n"/>
      <c r="BQ229" s="5" t="n"/>
      <c r="BR229" s="5" t="n"/>
      <c r="BS229" s="5" t="n"/>
      <c r="BT229" s="5" t="n"/>
      <c r="BU229" s="5" t="n"/>
      <c r="BV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  <c r="AI230" s="5" t="n"/>
      <c r="AJ230" s="5" t="n"/>
      <c r="AK230" s="5" t="n"/>
      <c r="AL230" s="5" t="n"/>
      <c r="AM230" s="5" t="n"/>
      <c r="AN230" s="5" t="n"/>
      <c r="AO230" s="5" t="n"/>
      <c r="AP230" s="5" t="n"/>
      <c r="AQ230" s="5" t="n"/>
      <c r="AR230" s="5" t="n"/>
      <c r="AS230" s="5" t="n"/>
      <c r="AT230" s="5" t="n"/>
      <c r="AU230" s="5" t="n"/>
      <c r="AV230" s="5" t="n"/>
      <c r="AW230" s="5" t="n"/>
      <c r="AX230" s="5" t="n"/>
      <c r="AY230" s="5" t="n"/>
      <c r="AZ230" s="5" t="n"/>
      <c r="BA230" s="5" t="n"/>
      <c r="BB230" s="5" t="n"/>
      <c r="BC230" s="5" t="n"/>
      <c r="BD230" s="5" t="n"/>
      <c r="BE230" s="5" t="n"/>
      <c r="BF230" s="5" t="n"/>
      <c r="BG230" s="5" t="n"/>
      <c r="BH230" s="5" t="n"/>
      <c r="BI230" s="5" t="n"/>
      <c r="BJ230" s="5" t="n"/>
      <c r="BK230" s="5" t="n"/>
      <c r="BL230" s="5" t="n"/>
      <c r="BM230" s="5" t="n"/>
      <c r="BN230" s="5" t="n"/>
      <c r="BO230" s="5" t="n"/>
      <c r="BP230" s="5" t="n"/>
      <c r="BQ230" s="5" t="n"/>
      <c r="BR230" s="5" t="n"/>
      <c r="BS230" s="5" t="n"/>
      <c r="BT230" s="5" t="n"/>
      <c r="BU230" s="5" t="n"/>
      <c r="BV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  <c r="AL231" s="5" t="n"/>
      <c r="AM231" s="5" t="n"/>
      <c r="AN231" s="5" t="n"/>
      <c r="AO231" s="5" t="n"/>
      <c r="AP231" s="5" t="n"/>
      <c r="AQ231" s="5" t="n"/>
      <c r="AR231" s="5" t="n"/>
      <c r="AS231" s="5" t="n"/>
      <c r="AT231" s="5" t="n"/>
      <c r="AU231" s="5" t="n"/>
      <c r="AV231" s="5" t="n"/>
      <c r="AW231" s="5" t="n"/>
      <c r="AX231" s="5" t="n"/>
      <c r="AY231" s="5" t="n"/>
      <c r="AZ231" s="5" t="n"/>
      <c r="BA231" s="5" t="n"/>
      <c r="BB231" s="5" t="n"/>
      <c r="BC231" s="5" t="n"/>
      <c r="BD231" s="5" t="n"/>
      <c r="BE231" s="5" t="n"/>
      <c r="BF231" s="5" t="n"/>
      <c r="BG231" s="5" t="n"/>
      <c r="BH231" s="5" t="n"/>
      <c r="BI231" s="5" t="n"/>
      <c r="BJ231" s="5" t="n"/>
      <c r="BK231" s="5" t="n"/>
      <c r="BL231" s="5" t="n"/>
      <c r="BM231" s="5" t="n"/>
      <c r="BN231" s="5" t="n"/>
      <c r="BO231" s="5" t="n"/>
      <c r="BP231" s="5" t="n"/>
      <c r="BQ231" s="5" t="n"/>
      <c r="BR231" s="5" t="n"/>
      <c r="BS231" s="5" t="n"/>
      <c r="BT231" s="5" t="n"/>
      <c r="BU231" s="5" t="n"/>
      <c r="BV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5" t="n"/>
      <c r="AI232" s="5" t="n"/>
      <c r="AJ232" s="5" t="n"/>
      <c r="AK232" s="5" t="n"/>
      <c r="AL232" s="5" t="n"/>
      <c r="AM232" s="5" t="n"/>
      <c r="AN232" s="5" t="n"/>
      <c r="AO232" s="5" t="n"/>
      <c r="AP232" s="5" t="n"/>
      <c r="AQ232" s="5" t="n"/>
      <c r="AR232" s="5" t="n"/>
      <c r="AS232" s="5" t="n"/>
      <c r="AT232" s="5" t="n"/>
      <c r="AU232" s="5" t="n"/>
      <c r="AV232" s="5" t="n"/>
      <c r="AW232" s="5" t="n"/>
      <c r="AX232" s="5" t="n"/>
      <c r="AY232" s="5" t="n"/>
      <c r="AZ232" s="5" t="n"/>
      <c r="BA232" s="5" t="n"/>
      <c r="BB232" s="5" t="n"/>
      <c r="BC232" s="5" t="n"/>
      <c r="BD232" s="5" t="n"/>
      <c r="BE232" s="5" t="n"/>
      <c r="BF232" s="5" t="n"/>
      <c r="BG232" s="5" t="n"/>
      <c r="BH232" s="5" t="n"/>
      <c r="BI232" s="5" t="n"/>
      <c r="BJ232" s="5" t="n"/>
      <c r="BK232" s="5" t="n"/>
      <c r="BL232" s="5" t="n"/>
      <c r="BM232" s="5" t="n"/>
      <c r="BN232" s="5" t="n"/>
      <c r="BO232" s="5" t="n"/>
      <c r="BP232" s="5" t="n"/>
      <c r="BQ232" s="5" t="n"/>
      <c r="BR232" s="5" t="n"/>
      <c r="BS232" s="5" t="n"/>
      <c r="BT232" s="5" t="n"/>
      <c r="BU232" s="5" t="n"/>
      <c r="BV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5" t="n"/>
      <c r="AI233" s="5" t="n"/>
      <c r="AJ233" s="5" t="n"/>
      <c r="AK233" s="5" t="n"/>
      <c r="AL233" s="5" t="n"/>
      <c r="AM233" s="5" t="n"/>
      <c r="AN233" s="5" t="n"/>
      <c r="AO233" s="5" t="n"/>
      <c r="AP233" s="5" t="n"/>
      <c r="AQ233" s="5" t="n"/>
      <c r="AR233" s="5" t="n"/>
      <c r="AS233" s="5" t="n"/>
      <c r="AT233" s="5" t="n"/>
      <c r="AU233" s="5" t="n"/>
      <c r="AV233" s="5" t="n"/>
      <c r="AW233" s="5" t="n"/>
      <c r="AX233" s="5" t="n"/>
      <c r="AY233" s="5" t="n"/>
      <c r="AZ233" s="5" t="n"/>
      <c r="BA233" s="5" t="n"/>
      <c r="BB233" s="5" t="n"/>
      <c r="BC233" s="5" t="n"/>
      <c r="BD233" s="5" t="n"/>
      <c r="BE233" s="5" t="n"/>
      <c r="BF233" s="5" t="n"/>
      <c r="BG233" s="5" t="n"/>
      <c r="BH233" s="5" t="n"/>
      <c r="BI233" s="5" t="n"/>
      <c r="BJ233" s="5" t="n"/>
      <c r="BK233" s="5" t="n"/>
      <c r="BL233" s="5" t="n"/>
      <c r="BM233" s="5" t="n"/>
      <c r="BN233" s="5" t="n"/>
      <c r="BO233" s="5" t="n"/>
      <c r="BP233" s="5" t="n"/>
      <c r="BQ233" s="5" t="n"/>
      <c r="BR233" s="5" t="n"/>
      <c r="BS233" s="5" t="n"/>
      <c r="BT233" s="5" t="n"/>
      <c r="BU233" s="5" t="n"/>
      <c r="BV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5" t="n"/>
      <c r="AI234" s="5" t="n"/>
      <c r="AJ234" s="5" t="n"/>
      <c r="AK234" s="5" t="n"/>
      <c r="AL234" s="5" t="n"/>
      <c r="AM234" s="5" t="n"/>
      <c r="AN234" s="5" t="n"/>
      <c r="AO234" s="5" t="n"/>
      <c r="AP234" s="5" t="n"/>
      <c r="AQ234" s="5" t="n"/>
      <c r="AR234" s="5" t="n"/>
      <c r="AS234" s="5" t="n"/>
      <c r="AT234" s="5" t="n"/>
      <c r="AU234" s="5" t="n"/>
      <c r="AV234" s="5" t="n"/>
      <c r="AW234" s="5" t="n"/>
      <c r="AX234" s="5" t="n"/>
      <c r="AY234" s="5" t="n"/>
      <c r="AZ234" s="5" t="n"/>
      <c r="BA234" s="5" t="n"/>
      <c r="BB234" s="5" t="n"/>
      <c r="BC234" s="5" t="n"/>
      <c r="BD234" s="5" t="n"/>
      <c r="BE234" s="5" t="n"/>
      <c r="BF234" s="5" t="n"/>
      <c r="BG234" s="5" t="n"/>
      <c r="BH234" s="5" t="n"/>
      <c r="BI234" s="5" t="n"/>
      <c r="BJ234" s="5" t="n"/>
      <c r="BK234" s="5" t="n"/>
      <c r="BL234" s="5" t="n"/>
      <c r="BM234" s="5" t="n"/>
      <c r="BN234" s="5" t="n"/>
      <c r="BO234" s="5" t="n"/>
      <c r="BP234" s="5" t="n"/>
      <c r="BQ234" s="5" t="n"/>
      <c r="BR234" s="5" t="n"/>
      <c r="BS234" s="5" t="n"/>
      <c r="BT234" s="5" t="n"/>
      <c r="BU234" s="5" t="n"/>
      <c r="BV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5" t="n"/>
      <c r="AI235" s="5" t="n"/>
      <c r="AJ235" s="5" t="n"/>
      <c r="AK235" s="5" t="n"/>
      <c r="AL235" s="5" t="n"/>
      <c r="AM235" s="5" t="n"/>
      <c r="AN235" s="5" t="n"/>
      <c r="AO235" s="5" t="n"/>
      <c r="AP235" s="5" t="n"/>
      <c r="AQ235" s="5" t="n"/>
      <c r="AR235" s="5" t="n"/>
      <c r="AS235" s="5" t="n"/>
      <c r="AT235" s="5" t="n"/>
      <c r="AU235" s="5" t="n"/>
      <c r="AV235" s="5" t="n"/>
      <c r="AW235" s="5" t="n"/>
      <c r="AX235" s="5" t="n"/>
      <c r="AY235" s="5" t="n"/>
      <c r="AZ235" s="5" t="n"/>
      <c r="BA235" s="5" t="n"/>
      <c r="BB235" s="5" t="n"/>
      <c r="BC235" s="5" t="n"/>
      <c r="BD235" s="5" t="n"/>
      <c r="BE235" s="5" t="n"/>
      <c r="BF235" s="5" t="n"/>
      <c r="BG235" s="5" t="n"/>
      <c r="BH235" s="5" t="n"/>
      <c r="BI235" s="5" t="n"/>
      <c r="BJ235" s="5" t="n"/>
      <c r="BK235" s="5" t="n"/>
      <c r="BL235" s="5" t="n"/>
      <c r="BM235" s="5" t="n"/>
      <c r="BN235" s="5" t="n"/>
      <c r="BO235" s="5" t="n"/>
      <c r="BP235" s="5" t="n"/>
      <c r="BQ235" s="5" t="n"/>
      <c r="BR235" s="5" t="n"/>
      <c r="BS235" s="5" t="n"/>
      <c r="BT235" s="5" t="n"/>
      <c r="BU235" s="5" t="n"/>
      <c r="BV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5" t="n"/>
      <c r="AI236" s="5" t="n"/>
      <c r="AJ236" s="5" t="n"/>
      <c r="AK236" s="5" t="n"/>
      <c r="AL236" s="5" t="n"/>
      <c r="AM236" s="5" t="n"/>
      <c r="AN236" s="5" t="n"/>
      <c r="AO236" s="5" t="n"/>
      <c r="AP236" s="5" t="n"/>
      <c r="AQ236" s="5" t="n"/>
      <c r="AR236" s="5" t="n"/>
      <c r="AS236" s="5" t="n"/>
      <c r="AT236" s="5" t="n"/>
      <c r="AU236" s="5" t="n"/>
      <c r="AV236" s="5" t="n"/>
      <c r="AW236" s="5" t="n"/>
      <c r="AX236" s="5" t="n"/>
      <c r="AY236" s="5" t="n"/>
      <c r="AZ236" s="5" t="n"/>
      <c r="BA236" s="5" t="n"/>
      <c r="BB236" s="5" t="n"/>
      <c r="BC236" s="5" t="n"/>
      <c r="BD236" s="5" t="n"/>
      <c r="BE236" s="5" t="n"/>
      <c r="BF236" s="5" t="n"/>
      <c r="BG236" s="5" t="n"/>
      <c r="BH236" s="5" t="n"/>
      <c r="BI236" s="5" t="n"/>
      <c r="BJ236" s="5" t="n"/>
      <c r="BK236" s="5" t="n"/>
      <c r="BL236" s="5" t="n"/>
      <c r="BM236" s="5" t="n"/>
      <c r="BN236" s="5" t="n"/>
      <c r="BO236" s="5" t="n"/>
      <c r="BP236" s="5" t="n"/>
      <c r="BQ236" s="5" t="n"/>
      <c r="BR236" s="5" t="n"/>
      <c r="BS236" s="5" t="n"/>
      <c r="BT236" s="5" t="n"/>
      <c r="BU236" s="5" t="n"/>
      <c r="BV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  <c r="AI237" s="5" t="n"/>
      <c r="AJ237" s="5" t="n"/>
      <c r="AK237" s="5" t="n"/>
      <c r="AL237" s="5" t="n"/>
      <c r="AM237" s="5" t="n"/>
      <c r="AN237" s="5" t="n"/>
      <c r="AO237" s="5" t="n"/>
      <c r="AP237" s="5" t="n"/>
      <c r="AQ237" s="5" t="n"/>
      <c r="AR237" s="5" t="n"/>
      <c r="AS237" s="5" t="n"/>
      <c r="AT237" s="5" t="n"/>
      <c r="AU237" s="5" t="n"/>
      <c r="AV237" s="5" t="n"/>
      <c r="AW237" s="5" t="n"/>
      <c r="AX237" s="5" t="n"/>
      <c r="AY237" s="5" t="n"/>
      <c r="AZ237" s="5" t="n"/>
      <c r="BA237" s="5" t="n"/>
      <c r="BB237" s="5" t="n"/>
      <c r="BC237" s="5" t="n"/>
      <c r="BD237" s="5" t="n"/>
      <c r="BE237" s="5" t="n"/>
      <c r="BF237" s="5" t="n"/>
      <c r="BG237" s="5" t="n"/>
      <c r="BH237" s="5" t="n"/>
      <c r="BI237" s="5" t="n"/>
      <c r="BJ237" s="5" t="n"/>
      <c r="BK237" s="5" t="n"/>
      <c r="BL237" s="5" t="n"/>
      <c r="BM237" s="5" t="n"/>
      <c r="BN237" s="5" t="n"/>
      <c r="BO237" s="5" t="n"/>
      <c r="BP237" s="5" t="n"/>
      <c r="BQ237" s="5" t="n"/>
      <c r="BR237" s="5" t="n"/>
      <c r="BS237" s="5" t="n"/>
      <c r="BT237" s="5" t="n"/>
      <c r="BU237" s="5" t="n"/>
      <c r="BV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5" t="n"/>
      <c r="AI238" s="5" t="n"/>
      <c r="AJ238" s="5" t="n"/>
      <c r="AK238" s="5" t="n"/>
      <c r="AL238" s="5" t="n"/>
      <c r="AM238" s="5" t="n"/>
      <c r="AN238" s="5" t="n"/>
      <c r="AO238" s="5" t="n"/>
      <c r="AP238" s="5" t="n"/>
      <c r="AQ238" s="5" t="n"/>
      <c r="AR238" s="5" t="n"/>
      <c r="AS238" s="5" t="n"/>
      <c r="AT238" s="5" t="n"/>
      <c r="AU238" s="5" t="n"/>
      <c r="AV238" s="5" t="n"/>
      <c r="AW238" s="5" t="n"/>
      <c r="AX238" s="5" t="n"/>
      <c r="AY238" s="5" t="n"/>
      <c r="AZ238" s="5" t="n"/>
      <c r="BA238" s="5" t="n"/>
      <c r="BB238" s="5" t="n"/>
      <c r="BC238" s="5" t="n"/>
      <c r="BD238" s="5" t="n"/>
      <c r="BE238" s="5" t="n"/>
      <c r="BF238" s="5" t="n"/>
      <c r="BG238" s="5" t="n"/>
      <c r="BH238" s="5" t="n"/>
      <c r="BI238" s="5" t="n"/>
      <c r="BJ238" s="5" t="n"/>
      <c r="BK238" s="5" t="n"/>
      <c r="BL238" s="5" t="n"/>
      <c r="BM238" s="5" t="n"/>
      <c r="BN238" s="5" t="n"/>
      <c r="BO238" s="5" t="n"/>
      <c r="BP238" s="5" t="n"/>
      <c r="BQ238" s="5" t="n"/>
      <c r="BR238" s="5" t="n"/>
      <c r="BS238" s="5" t="n"/>
      <c r="BT238" s="5" t="n"/>
      <c r="BU238" s="5" t="n"/>
      <c r="BV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  <c r="AI239" s="5" t="n"/>
      <c r="AJ239" s="5" t="n"/>
      <c r="AK239" s="5" t="n"/>
      <c r="AL239" s="5" t="n"/>
      <c r="AM239" s="5" t="n"/>
      <c r="AN239" s="5" t="n"/>
      <c r="AO239" s="5" t="n"/>
      <c r="AP239" s="5" t="n"/>
      <c r="AQ239" s="5" t="n"/>
      <c r="AR239" s="5" t="n"/>
      <c r="AS239" s="5" t="n"/>
      <c r="AT239" s="5" t="n"/>
      <c r="AU239" s="5" t="n"/>
      <c r="AV239" s="5" t="n"/>
      <c r="AW239" s="5" t="n"/>
      <c r="AX239" s="5" t="n"/>
      <c r="AY239" s="5" t="n"/>
      <c r="AZ239" s="5" t="n"/>
      <c r="BA239" s="5" t="n"/>
      <c r="BB239" s="5" t="n"/>
      <c r="BC239" s="5" t="n"/>
      <c r="BD239" s="5" t="n"/>
      <c r="BE239" s="5" t="n"/>
      <c r="BF239" s="5" t="n"/>
      <c r="BG239" s="5" t="n"/>
      <c r="BH239" s="5" t="n"/>
      <c r="BI239" s="5" t="n"/>
      <c r="BJ239" s="5" t="n"/>
      <c r="BK239" s="5" t="n"/>
      <c r="BL239" s="5" t="n"/>
      <c r="BM239" s="5" t="n"/>
      <c r="BN239" s="5" t="n"/>
      <c r="BO239" s="5" t="n"/>
      <c r="BP239" s="5" t="n"/>
      <c r="BQ239" s="5" t="n"/>
      <c r="BR239" s="5" t="n"/>
      <c r="BS239" s="5" t="n"/>
      <c r="BT239" s="5" t="n"/>
      <c r="BU239" s="5" t="n"/>
      <c r="BV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5" t="n"/>
      <c r="AI240" s="5" t="n"/>
      <c r="AJ240" s="5" t="n"/>
      <c r="AK240" s="5" t="n"/>
      <c r="AL240" s="5" t="n"/>
      <c r="AM240" s="5" t="n"/>
      <c r="AN240" s="5" t="n"/>
      <c r="AO240" s="5" t="n"/>
      <c r="AP240" s="5" t="n"/>
      <c r="AQ240" s="5" t="n"/>
      <c r="AR240" s="5" t="n"/>
      <c r="AS240" s="5" t="n"/>
      <c r="AT240" s="5" t="n"/>
      <c r="AU240" s="5" t="n"/>
      <c r="AV240" s="5" t="n"/>
      <c r="AW240" s="5" t="n"/>
      <c r="AX240" s="5" t="n"/>
      <c r="AY240" s="5" t="n"/>
      <c r="AZ240" s="5" t="n"/>
      <c r="BA240" s="5" t="n"/>
      <c r="BB240" s="5" t="n"/>
      <c r="BC240" s="5" t="n"/>
      <c r="BD240" s="5" t="n"/>
      <c r="BE240" s="5" t="n"/>
      <c r="BF240" s="5" t="n"/>
      <c r="BG240" s="5" t="n"/>
      <c r="BH240" s="5" t="n"/>
      <c r="BI240" s="5" t="n"/>
      <c r="BJ240" s="5" t="n"/>
      <c r="BK240" s="5" t="n"/>
      <c r="BL240" s="5" t="n"/>
      <c r="BM240" s="5" t="n"/>
      <c r="BN240" s="5" t="n"/>
      <c r="BO240" s="5" t="n"/>
      <c r="BP240" s="5" t="n"/>
      <c r="BQ240" s="5" t="n"/>
      <c r="BR240" s="5" t="n"/>
      <c r="BS240" s="5" t="n"/>
      <c r="BT240" s="5" t="n"/>
      <c r="BU240" s="5" t="n"/>
      <c r="BV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  <c r="AL241" s="5" t="n"/>
      <c r="AM241" s="5" t="n"/>
      <c r="AN241" s="5" t="n"/>
      <c r="AO241" s="5" t="n"/>
      <c r="AP241" s="5" t="n"/>
      <c r="AQ241" s="5" t="n"/>
      <c r="AR241" s="5" t="n"/>
      <c r="AS241" s="5" t="n"/>
      <c r="AT241" s="5" t="n"/>
      <c r="AU241" s="5" t="n"/>
      <c r="AV241" s="5" t="n"/>
      <c r="AW241" s="5" t="n"/>
      <c r="AX241" s="5" t="n"/>
      <c r="AY241" s="5" t="n"/>
      <c r="AZ241" s="5" t="n"/>
      <c r="BA241" s="5" t="n"/>
      <c r="BB241" s="5" t="n"/>
      <c r="BC241" s="5" t="n"/>
      <c r="BD241" s="5" t="n"/>
      <c r="BE241" s="5" t="n"/>
      <c r="BF241" s="5" t="n"/>
      <c r="BG241" s="5" t="n"/>
      <c r="BH241" s="5" t="n"/>
      <c r="BI241" s="5" t="n"/>
      <c r="BJ241" s="5" t="n"/>
      <c r="BK241" s="5" t="n"/>
      <c r="BL241" s="5" t="n"/>
      <c r="BM241" s="5" t="n"/>
      <c r="BN241" s="5" t="n"/>
      <c r="BO241" s="5" t="n"/>
      <c r="BP241" s="5" t="n"/>
      <c r="BQ241" s="5" t="n"/>
      <c r="BR241" s="5" t="n"/>
      <c r="BS241" s="5" t="n"/>
      <c r="BT241" s="5" t="n"/>
      <c r="BU241" s="5" t="n"/>
      <c r="BV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5" t="n"/>
      <c r="AI242" s="5" t="n"/>
      <c r="AJ242" s="5" t="n"/>
      <c r="AK242" s="5" t="n"/>
      <c r="AL242" s="5" t="n"/>
      <c r="AM242" s="5" t="n"/>
      <c r="AN242" s="5" t="n"/>
      <c r="AO242" s="5" t="n"/>
      <c r="AP242" s="5" t="n"/>
      <c r="AQ242" s="5" t="n"/>
      <c r="AR242" s="5" t="n"/>
      <c r="AS242" s="5" t="n"/>
      <c r="AT242" s="5" t="n"/>
      <c r="AU242" s="5" t="n"/>
      <c r="AV242" s="5" t="n"/>
      <c r="AW242" s="5" t="n"/>
      <c r="AX242" s="5" t="n"/>
      <c r="AY242" s="5" t="n"/>
      <c r="AZ242" s="5" t="n"/>
      <c r="BA242" s="5" t="n"/>
      <c r="BB242" s="5" t="n"/>
      <c r="BC242" s="5" t="n"/>
      <c r="BD242" s="5" t="n"/>
      <c r="BE242" s="5" t="n"/>
      <c r="BF242" s="5" t="n"/>
      <c r="BG242" s="5" t="n"/>
      <c r="BH242" s="5" t="n"/>
      <c r="BI242" s="5" t="n"/>
      <c r="BJ242" s="5" t="n"/>
      <c r="BK242" s="5" t="n"/>
      <c r="BL242" s="5" t="n"/>
      <c r="BM242" s="5" t="n"/>
      <c r="BN242" s="5" t="n"/>
      <c r="BO242" s="5" t="n"/>
      <c r="BP242" s="5" t="n"/>
      <c r="BQ242" s="5" t="n"/>
      <c r="BR242" s="5" t="n"/>
      <c r="BS242" s="5" t="n"/>
      <c r="BT242" s="5" t="n"/>
      <c r="BU242" s="5" t="n"/>
      <c r="BV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  <c r="AI243" s="5" t="n"/>
      <c r="AJ243" s="5" t="n"/>
      <c r="AK243" s="5" t="n"/>
      <c r="AL243" s="5" t="n"/>
      <c r="AM243" s="5" t="n"/>
      <c r="AN243" s="5" t="n"/>
      <c r="AO243" s="5" t="n"/>
      <c r="AP243" s="5" t="n"/>
      <c r="AQ243" s="5" t="n"/>
      <c r="AR243" s="5" t="n"/>
      <c r="AS243" s="5" t="n"/>
      <c r="AT243" s="5" t="n"/>
      <c r="AU243" s="5" t="n"/>
      <c r="AV243" s="5" t="n"/>
      <c r="AW243" s="5" t="n"/>
      <c r="AX243" s="5" t="n"/>
      <c r="AY243" s="5" t="n"/>
      <c r="AZ243" s="5" t="n"/>
      <c r="BA243" s="5" t="n"/>
      <c r="BB243" s="5" t="n"/>
      <c r="BC243" s="5" t="n"/>
      <c r="BD243" s="5" t="n"/>
      <c r="BE243" s="5" t="n"/>
      <c r="BF243" s="5" t="n"/>
      <c r="BG243" s="5" t="n"/>
      <c r="BH243" s="5" t="n"/>
      <c r="BI243" s="5" t="n"/>
      <c r="BJ243" s="5" t="n"/>
      <c r="BK243" s="5" t="n"/>
      <c r="BL243" s="5" t="n"/>
      <c r="BM243" s="5" t="n"/>
      <c r="BN243" s="5" t="n"/>
      <c r="BO243" s="5" t="n"/>
      <c r="BP243" s="5" t="n"/>
      <c r="BQ243" s="5" t="n"/>
      <c r="BR243" s="5" t="n"/>
      <c r="BS243" s="5" t="n"/>
      <c r="BT243" s="5" t="n"/>
      <c r="BU243" s="5" t="n"/>
      <c r="BV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5" t="n"/>
      <c r="AI244" s="5" t="n"/>
      <c r="AJ244" s="5" t="n"/>
      <c r="AK244" s="5" t="n"/>
      <c r="AL244" s="5" t="n"/>
      <c r="AM244" s="5" t="n"/>
      <c r="AN244" s="5" t="n"/>
      <c r="AO244" s="5" t="n"/>
      <c r="AP244" s="5" t="n"/>
      <c r="AQ244" s="5" t="n"/>
      <c r="AR244" s="5" t="n"/>
      <c r="AS244" s="5" t="n"/>
      <c r="AT244" s="5" t="n"/>
      <c r="AU244" s="5" t="n"/>
      <c r="AV244" s="5" t="n"/>
      <c r="AW244" s="5" t="n"/>
      <c r="AX244" s="5" t="n"/>
      <c r="AY244" s="5" t="n"/>
      <c r="AZ244" s="5" t="n"/>
      <c r="BA244" s="5" t="n"/>
      <c r="BB244" s="5" t="n"/>
      <c r="BC244" s="5" t="n"/>
      <c r="BD244" s="5" t="n"/>
      <c r="BE244" s="5" t="n"/>
      <c r="BF244" s="5" t="n"/>
      <c r="BG244" s="5" t="n"/>
      <c r="BH244" s="5" t="n"/>
      <c r="BI244" s="5" t="n"/>
      <c r="BJ244" s="5" t="n"/>
      <c r="BK244" s="5" t="n"/>
      <c r="BL244" s="5" t="n"/>
      <c r="BM244" s="5" t="n"/>
      <c r="BN244" s="5" t="n"/>
      <c r="BO244" s="5" t="n"/>
      <c r="BP244" s="5" t="n"/>
      <c r="BQ244" s="5" t="n"/>
      <c r="BR244" s="5" t="n"/>
      <c r="BS244" s="5" t="n"/>
      <c r="BT244" s="5" t="n"/>
      <c r="BU244" s="5" t="n"/>
      <c r="BV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  <c r="AI245" s="5" t="n"/>
      <c r="AJ245" s="5" t="n"/>
      <c r="AK245" s="5" t="n"/>
      <c r="AL245" s="5" t="n"/>
      <c r="AM245" s="5" t="n"/>
      <c r="AN245" s="5" t="n"/>
      <c r="AO245" s="5" t="n"/>
      <c r="AP245" s="5" t="n"/>
      <c r="AQ245" s="5" t="n"/>
      <c r="AR245" s="5" t="n"/>
      <c r="AS245" s="5" t="n"/>
      <c r="AT245" s="5" t="n"/>
      <c r="AU245" s="5" t="n"/>
      <c r="AV245" s="5" t="n"/>
      <c r="AW245" s="5" t="n"/>
      <c r="AX245" s="5" t="n"/>
      <c r="AY245" s="5" t="n"/>
      <c r="AZ245" s="5" t="n"/>
      <c r="BA245" s="5" t="n"/>
      <c r="BB245" s="5" t="n"/>
      <c r="BC245" s="5" t="n"/>
      <c r="BD245" s="5" t="n"/>
      <c r="BE245" s="5" t="n"/>
      <c r="BF245" s="5" t="n"/>
      <c r="BG245" s="5" t="n"/>
      <c r="BH245" s="5" t="n"/>
      <c r="BI245" s="5" t="n"/>
      <c r="BJ245" s="5" t="n"/>
      <c r="BK245" s="5" t="n"/>
      <c r="BL245" s="5" t="n"/>
      <c r="BM245" s="5" t="n"/>
      <c r="BN245" s="5" t="n"/>
      <c r="BO245" s="5" t="n"/>
      <c r="BP245" s="5" t="n"/>
      <c r="BQ245" s="5" t="n"/>
      <c r="BR245" s="5" t="n"/>
      <c r="BS245" s="5" t="n"/>
      <c r="BT245" s="5" t="n"/>
      <c r="BU245" s="5" t="n"/>
      <c r="BV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5" t="n"/>
      <c r="AI246" s="5" t="n"/>
      <c r="AJ246" s="5" t="n"/>
      <c r="AK246" s="5" t="n"/>
      <c r="AL246" s="5" t="n"/>
      <c r="AM246" s="5" t="n"/>
      <c r="AN246" s="5" t="n"/>
      <c r="AO246" s="5" t="n"/>
      <c r="AP246" s="5" t="n"/>
      <c r="AQ246" s="5" t="n"/>
      <c r="AR246" s="5" t="n"/>
      <c r="AS246" s="5" t="n"/>
      <c r="AT246" s="5" t="n"/>
      <c r="AU246" s="5" t="n"/>
      <c r="AV246" s="5" t="n"/>
      <c r="AW246" s="5" t="n"/>
      <c r="AX246" s="5" t="n"/>
      <c r="AY246" s="5" t="n"/>
      <c r="AZ246" s="5" t="n"/>
      <c r="BA246" s="5" t="n"/>
      <c r="BB246" s="5" t="n"/>
      <c r="BC246" s="5" t="n"/>
      <c r="BD246" s="5" t="n"/>
      <c r="BE246" s="5" t="n"/>
      <c r="BF246" s="5" t="n"/>
      <c r="BG246" s="5" t="n"/>
      <c r="BH246" s="5" t="n"/>
      <c r="BI246" s="5" t="n"/>
      <c r="BJ246" s="5" t="n"/>
      <c r="BK246" s="5" t="n"/>
      <c r="BL246" s="5" t="n"/>
      <c r="BM246" s="5" t="n"/>
      <c r="BN246" s="5" t="n"/>
      <c r="BO246" s="5" t="n"/>
      <c r="BP246" s="5" t="n"/>
      <c r="BQ246" s="5" t="n"/>
      <c r="BR246" s="5" t="n"/>
      <c r="BS246" s="5" t="n"/>
      <c r="BT246" s="5" t="n"/>
      <c r="BU246" s="5" t="n"/>
      <c r="BV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  <c r="AI247" s="5" t="n"/>
      <c r="AJ247" s="5" t="n"/>
      <c r="AK247" s="5" t="n"/>
      <c r="AL247" s="5" t="n"/>
      <c r="AM247" s="5" t="n"/>
      <c r="AN247" s="5" t="n"/>
      <c r="AO247" s="5" t="n"/>
      <c r="AP247" s="5" t="n"/>
      <c r="AQ247" s="5" t="n"/>
      <c r="AR247" s="5" t="n"/>
      <c r="AS247" s="5" t="n"/>
      <c r="AT247" s="5" t="n"/>
      <c r="AU247" s="5" t="n"/>
      <c r="AV247" s="5" t="n"/>
      <c r="AW247" s="5" t="n"/>
      <c r="AX247" s="5" t="n"/>
      <c r="AY247" s="5" t="n"/>
      <c r="AZ247" s="5" t="n"/>
      <c r="BA247" s="5" t="n"/>
      <c r="BB247" s="5" t="n"/>
      <c r="BC247" s="5" t="n"/>
      <c r="BD247" s="5" t="n"/>
      <c r="BE247" s="5" t="n"/>
      <c r="BF247" s="5" t="n"/>
      <c r="BG247" s="5" t="n"/>
      <c r="BH247" s="5" t="n"/>
      <c r="BI247" s="5" t="n"/>
      <c r="BJ247" s="5" t="n"/>
      <c r="BK247" s="5" t="n"/>
      <c r="BL247" s="5" t="n"/>
      <c r="BM247" s="5" t="n"/>
      <c r="BN247" s="5" t="n"/>
      <c r="BO247" s="5" t="n"/>
      <c r="BP247" s="5" t="n"/>
      <c r="BQ247" s="5" t="n"/>
      <c r="BR247" s="5" t="n"/>
      <c r="BS247" s="5" t="n"/>
      <c r="BT247" s="5" t="n"/>
      <c r="BU247" s="5" t="n"/>
      <c r="BV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5" t="n"/>
      <c r="AI248" s="5" t="n"/>
      <c r="AJ248" s="5" t="n"/>
      <c r="AK248" s="5" t="n"/>
      <c r="AL248" s="5" t="n"/>
      <c r="AM248" s="5" t="n"/>
      <c r="AN248" s="5" t="n"/>
      <c r="AO248" s="5" t="n"/>
      <c r="AP248" s="5" t="n"/>
      <c r="AQ248" s="5" t="n"/>
      <c r="AR248" s="5" t="n"/>
      <c r="AS248" s="5" t="n"/>
      <c r="AT248" s="5" t="n"/>
      <c r="AU248" s="5" t="n"/>
      <c r="AV248" s="5" t="n"/>
      <c r="AW248" s="5" t="n"/>
      <c r="AX248" s="5" t="n"/>
      <c r="AY248" s="5" t="n"/>
      <c r="AZ248" s="5" t="n"/>
      <c r="BA248" s="5" t="n"/>
      <c r="BB248" s="5" t="n"/>
      <c r="BC248" s="5" t="n"/>
      <c r="BD248" s="5" t="n"/>
      <c r="BE248" s="5" t="n"/>
      <c r="BF248" s="5" t="n"/>
      <c r="BG248" s="5" t="n"/>
      <c r="BH248" s="5" t="n"/>
      <c r="BI248" s="5" t="n"/>
      <c r="BJ248" s="5" t="n"/>
      <c r="BK248" s="5" t="n"/>
      <c r="BL248" s="5" t="n"/>
      <c r="BM248" s="5" t="n"/>
      <c r="BN248" s="5" t="n"/>
      <c r="BO248" s="5" t="n"/>
      <c r="BP248" s="5" t="n"/>
      <c r="BQ248" s="5" t="n"/>
      <c r="BR248" s="5" t="n"/>
      <c r="BS248" s="5" t="n"/>
      <c r="BT248" s="5" t="n"/>
      <c r="BU248" s="5" t="n"/>
      <c r="BV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  <c r="AI249" s="5" t="n"/>
      <c r="AJ249" s="5" t="n"/>
      <c r="AK249" s="5" t="n"/>
      <c r="AL249" s="5" t="n"/>
      <c r="AM249" s="5" t="n"/>
      <c r="AN249" s="5" t="n"/>
      <c r="AO249" s="5" t="n"/>
      <c r="AP249" s="5" t="n"/>
      <c r="AQ249" s="5" t="n"/>
      <c r="AR249" s="5" t="n"/>
      <c r="AS249" s="5" t="n"/>
      <c r="AT249" s="5" t="n"/>
      <c r="AU249" s="5" t="n"/>
      <c r="AV249" s="5" t="n"/>
      <c r="AW249" s="5" t="n"/>
      <c r="AX249" s="5" t="n"/>
      <c r="AY249" s="5" t="n"/>
      <c r="AZ249" s="5" t="n"/>
      <c r="BA249" s="5" t="n"/>
      <c r="BB249" s="5" t="n"/>
      <c r="BC249" s="5" t="n"/>
      <c r="BD249" s="5" t="n"/>
      <c r="BE249" s="5" t="n"/>
      <c r="BF249" s="5" t="n"/>
      <c r="BG249" s="5" t="n"/>
      <c r="BH249" s="5" t="n"/>
      <c r="BI249" s="5" t="n"/>
      <c r="BJ249" s="5" t="n"/>
      <c r="BK249" s="5" t="n"/>
      <c r="BL249" s="5" t="n"/>
      <c r="BM249" s="5" t="n"/>
      <c r="BN249" s="5" t="n"/>
      <c r="BO249" s="5" t="n"/>
      <c r="BP249" s="5" t="n"/>
      <c r="BQ249" s="5" t="n"/>
      <c r="BR249" s="5" t="n"/>
      <c r="BS249" s="5" t="n"/>
      <c r="BT249" s="5" t="n"/>
      <c r="BU249" s="5" t="n"/>
      <c r="BV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5" t="n"/>
      <c r="AI250" s="5" t="n"/>
      <c r="AJ250" s="5" t="n"/>
      <c r="AK250" s="5" t="n"/>
      <c r="AL250" s="5" t="n"/>
      <c r="AM250" s="5" t="n"/>
      <c r="AN250" s="5" t="n"/>
      <c r="AO250" s="5" t="n"/>
      <c r="AP250" s="5" t="n"/>
      <c r="AQ250" s="5" t="n"/>
      <c r="AR250" s="5" t="n"/>
      <c r="AS250" s="5" t="n"/>
      <c r="AT250" s="5" t="n"/>
      <c r="AU250" s="5" t="n"/>
      <c r="AV250" s="5" t="n"/>
      <c r="AW250" s="5" t="n"/>
      <c r="AX250" s="5" t="n"/>
      <c r="AY250" s="5" t="n"/>
      <c r="AZ250" s="5" t="n"/>
      <c r="BA250" s="5" t="n"/>
      <c r="BB250" s="5" t="n"/>
      <c r="BC250" s="5" t="n"/>
      <c r="BD250" s="5" t="n"/>
      <c r="BE250" s="5" t="n"/>
      <c r="BF250" s="5" t="n"/>
      <c r="BG250" s="5" t="n"/>
      <c r="BH250" s="5" t="n"/>
      <c r="BI250" s="5" t="n"/>
      <c r="BJ250" s="5" t="n"/>
      <c r="BK250" s="5" t="n"/>
      <c r="BL250" s="5" t="n"/>
      <c r="BM250" s="5" t="n"/>
      <c r="BN250" s="5" t="n"/>
      <c r="BO250" s="5" t="n"/>
      <c r="BP250" s="5" t="n"/>
      <c r="BQ250" s="5" t="n"/>
      <c r="BR250" s="5" t="n"/>
      <c r="BS250" s="5" t="n"/>
      <c r="BT250" s="5" t="n"/>
      <c r="BU250" s="5" t="n"/>
      <c r="BV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5" t="n"/>
      <c r="AI251" s="5" t="n"/>
      <c r="AJ251" s="5" t="n"/>
      <c r="AK251" s="5" t="n"/>
      <c r="AL251" s="5" t="n"/>
      <c r="AM251" s="5" t="n"/>
      <c r="AN251" s="5" t="n"/>
      <c r="AO251" s="5" t="n"/>
      <c r="AP251" s="5" t="n"/>
      <c r="AQ251" s="5" t="n"/>
      <c r="AR251" s="5" t="n"/>
      <c r="AS251" s="5" t="n"/>
      <c r="AT251" s="5" t="n"/>
      <c r="AU251" s="5" t="n"/>
      <c r="AV251" s="5" t="n"/>
      <c r="AW251" s="5" t="n"/>
      <c r="AX251" s="5" t="n"/>
      <c r="AY251" s="5" t="n"/>
      <c r="AZ251" s="5" t="n"/>
      <c r="BA251" s="5" t="n"/>
      <c r="BB251" s="5" t="n"/>
      <c r="BC251" s="5" t="n"/>
      <c r="BD251" s="5" t="n"/>
      <c r="BE251" s="5" t="n"/>
      <c r="BF251" s="5" t="n"/>
      <c r="BG251" s="5" t="n"/>
      <c r="BH251" s="5" t="n"/>
      <c r="BI251" s="5" t="n"/>
      <c r="BJ251" s="5" t="n"/>
      <c r="BK251" s="5" t="n"/>
      <c r="BL251" s="5" t="n"/>
      <c r="BM251" s="5" t="n"/>
      <c r="BN251" s="5" t="n"/>
      <c r="BO251" s="5" t="n"/>
      <c r="BP251" s="5" t="n"/>
      <c r="BQ251" s="5" t="n"/>
      <c r="BR251" s="5" t="n"/>
      <c r="BS251" s="5" t="n"/>
      <c r="BT251" s="5" t="n"/>
      <c r="BU251" s="5" t="n"/>
      <c r="BV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5" t="n"/>
      <c r="AI252" s="5" t="n"/>
      <c r="AJ252" s="5" t="n"/>
      <c r="AK252" s="5" t="n"/>
      <c r="AL252" s="5" t="n"/>
      <c r="AM252" s="5" t="n"/>
      <c r="AN252" s="5" t="n"/>
      <c r="AO252" s="5" t="n"/>
      <c r="AP252" s="5" t="n"/>
      <c r="AQ252" s="5" t="n"/>
      <c r="AR252" s="5" t="n"/>
      <c r="AS252" s="5" t="n"/>
      <c r="AT252" s="5" t="n"/>
      <c r="AU252" s="5" t="n"/>
      <c r="AV252" s="5" t="n"/>
      <c r="AW252" s="5" t="n"/>
      <c r="AX252" s="5" t="n"/>
      <c r="AY252" s="5" t="n"/>
      <c r="AZ252" s="5" t="n"/>
      <c r="BA252" s="5" t="n"/>
      <c r="BB252" s="5" t="n"/>
      <c r="BC252" s="5" t="n"/>
      <c r="BD252" s="5" t="n"/>
      <c r="BE252" s="5" t="n"/>
      <c r="BF252" s="5" t="n"/>
      <c r="BG252" s="5" t="n"/>
      <c r="BH252" s="5" t="n"/>
      <c r="BI252" s="5" t="n"/>
      <c r="BJ252" s="5" t="n"/>
      <c r="BK252" s="5" t="n"/>
      <c r="BL252" s="5" t="n"/>
      <c r="BM252" s="5" t="n"/>
      <c r="BN252" s="5" t="n"/>
      <c r="BO252" s="5" t="n"/>
      <c r="BP252" s="5" t="n"/>
      <c r="BQ252" s="5" t="n"/>
      <c r="BR252" s="5" t="n"/>
      <c r="BS252" s="5" t="n"/>
      <c r="BT252" s="5" t="n"/>
      <c r="BU252" s="5" t="n"/>
      <c r="BV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5" t="n"/>
      <c r="AI253" s="5" t="n"/>
      <c r="AJ253" s="5" t="n"/>
      <c r="AK253" s="5" t="n"/>
      <c r="AL253" s="5" t="n"/>
      <c r="AM253" s="5" t="n"/>
      <c r="AN253" s="5" t="n"/>
      <c r="AO253" s="5" t="n"/>
      <c r="AP253" s="5" t="n"/>
      <c r="AQ253" s="5" t="n"/>
      <c r="AR253" s="5" t="n"/>
      <c r="AS253" s="5" t="n"/>
      <c r="AT253" s="5" t="n"/>
      <c r="AU253" s="5" t="n"/>
      <c r="AV253" s="5" t="n"/>
      <c r="AW253" s="5" t="n"/>
      <c r="AX253" s="5" t="n"/>
      <c r="AY253" s="5" t="n"/>
      <c r="AZ253" s="5" t="n"/>
      <c r="BA253" s="5" t="n"/>
      <c r="BB253" s="5" t="n"/>
      <c r="BC253" s="5" t="n"/>
      <c r="BD253" s="5" t="n"/>
      <c r="BE253" s="5" t="n"/>
      <c r="BF253" s="5" t="n"/>
      <c r="BG253" s="5" t="n"/>
      <c r="BH253" s="5" t="n"/>
      <c r="BI253" s="5" t="n"/>
      <c r="BJ253" s="5" t="n"/>
      <c r="BK253" s="5" t="n"/>
      <c r="BL253" s="5" t="n"/>
      <c r="BM253" s="5" t="n"/>
      <c r="BN253" s="5" t="n"/>
      <c r="BO253" s="5" t="n"/>
      <c r="BP253" s="5" t="n"/>
      <c r="BQ253" s="5" t="n"/>
      <c r="BR253" s="5" t="n"/>
      <c r="BS253" s="5" t="n"/>
      <c r="BT253" s="5" t="n"/>
      <c r="BU253" s="5" t="n"/>
      <c r="BV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5" t="n"/>
      <c r="AI254" s="5" t="n"/>
      <c r="AJ254" s="5" t="n"/>
      <c r="AK254" s="5" t="n"/>
      <c r="AL254" s="5" t="n"/>
      <c r="AM254" s="5" t="n"/>
      <c r="AN254" s="5" t="n"/>
      <c r="AO254" s="5" t="n"/>
      <c r="AP254" s="5" t="n"/>
      <c r="AQ254" s="5" t="n"/>
      <c r="AR254" s="5" t="n"/>
      <c r="AS254" s="5" t="n"/>
      <c r="AT254" s="5" t="n"/>
      <c r="AU254" s="5" t="n"/>
      <c r="AV254" s="5" t="n"/>
      <c r="AW254" s="5" t="n"/>
      <c r="AX254" s="5" t="n"/>
      <c r="AY254" s="5" t="n"/>
      <c r="AZ254" s="5" t="n"/>
      <c r="BA254" s="5" t="n"/>
      <c r="BB254" s="5" t="n"/>
      <c r="BC254" s="5" t="n"/>
      <c r="BD254" s="5" t="n"/>
      <c r="BE254" s="5" t="n"/>
      <c r="BF254" s="5" t="n"/>
      <c r="BG254" s="5" t="n"/>
      <c r="BH254" s="5" t="n"/>
      <c r="BI254" s="5" t="n"/>
      <c r="BJ254" s="5" t="n"/>
      <c r="BK254" s="5" t="n"/>
      <c r="BL254" s="5" t="n"/>
      <c r="BM254" s="5" t="n"/>
      <c r="BN254" s="5" t="n"/>
      <c r="BO254" s="5" t="n"/>
      <c r="BP254" s="5" t="n"/>
      <c r="BQ254" s="5" t="n"/>
      <c r="BR254" s="5" t="n"/>
      <c r="BS254" s="5" t="n"/>
      <c r="BT254" s="5" t="n"/>
      <c r="BU254" s="5" t="n"/>
      <c r="BV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5" t="n"/>
      <c r="AI255" s="5" t="n"/>
      <c r="AJ255" s="5" t="n"/>
      <c r="AK255" s="5" t="n"/>
      <c r="AL255" s="5" t="n"/>
      <c r="AM255" s="5" t="n"/>
      <c r="AN255" s="5" t="n"/>
      <c r="AO255" s="5" t="n"/>
      <c r="AP255" s="5" t="n"/>
      <c r="AQ255" s="5" t="n"/>
      <c r="AR255" s="5" t="n"/>
      <c r="AS255" s="5" t="n"/>
      <c r="AT255" s="5" t="n"/>
      <c r="AU255" s="5" t="n"/>
      <c r="AV255" s="5" t="n"/>
      <c r="AW255" s="5" t="n"/>
      <c r="AX255" s="5" t="n"/>
      <c r="AY255" s="5" t="n"/>
      <c r="AZ255" s="5" t="n"/>
      <c r="BA255" s="5" t="n"/>
      <c r="BB255" s="5" t="n"/>
      <c r="BC255" s="5" t="n"/>
      <c r="BD255" s="5" t="n"/>
      <c r="BE255" s="5" t="n"/>
      <c r="BF255" s="5" t="n"/>
      <c r="BG255" s="5" t="n"/>
      <c r="BH255" s="5" t="n"/>
      <c r="BI255" s="5" t="n"/>
      <c r="BJ255" s="5" t="n"/>
      <c r="BK255" s="5" t="n"/>
      <c r="BL255" s="5" t="n"/>
      <c r="BM255" s="5" t="n"/>
      <c r="BN255" s="5" t="n"/>
      <c r="BO255" s="5" t="n"/>
      <c r="BP255" s="5" t="n"/>
      <c r="BQ255" s="5" t="n"/>
      <c r="BR255" s="5" t="n"/>
      <c r="BS255" s="5" t="n"/>
      <c r="BT255" s="5" t="n"/>
      <c r="BU255" s="5" t="n"/>
      <c r="BV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5" t="n"/>
      <c r="AI256" s="5" t="n"/>
      <c r="AJ256" s="5" t="n"/>
      <c r="AK256" s="5" t="n"/>
      <c r="AL256" s="5" t="n"/>
      <c r="AM256" s="5" t="n"/>
      <c r="AN256" s="5" t="n"/>
      <c r="AO256" s="5" t="n"/>
      <c r="AP256" s="5" t="n"/>
      <c r="AQ256" s="5" t="n"/>
      <c r="AR256" s="5" t="n"/>
      <c r="AS256" s="5" t="n"/>
      <c r="AT256" s="5" t="n"/>
      <c r="AU256" s="5" t="n"/>
      <c r="AV256" s="5" t="n"/>
      <c r="AW256" s="5" t="n"/>
      <c r="AX256" s="5" t="n"/>
      <c r="AY256" s="5" t="n"/>
      <c r="AZ256" s="5" t="n"/>
      <c r="BA256" s="5" t="n"/>
      <c r="BB256" s="5" t="n"/>
      <c r="BC256" s="5" t="n"/>
      <c r="BD256" s="5" t="n"/>
      <c r="BE256" s="5" t="n"/>
      <c r="BF256" s="5" t="n"/>
      <c r="BG256" s="5" t="n"/>
      <c r="BH256" s="5" t="n"/>
      <c r="BI256" s="5" t="n"/>
      <c r="BJ256" s="5" t="n"/>
      <c r="BK256" s="5" t="n"/>
      <c r="BL256" s="5" t="n"/>
      <c r="BM256" s="5" t="n"/>
      <c r="BN256" s="5" t="n"/>
      <c r="BO256" s="5" t="n"/>
      <c r="BP256" s="5" t="n"/>
      <c r="BQ256" s="5" t="n"/>
      <c r="BR256" s="5" t="n"/>
      <c r="BS256" s="5" t="n"/>
      <c r="BT256" s="5" t="n"/>
      <c r="BU256" s="5" t="n"/>
      <c r="BV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5" t="n"/>
      <c r="AI257" s="5" t="n"/>
      <c r="AJ257" s="5" t="n"/>
      <c r="AK257" s="5" t="n"/>
      <c r="AL257" s="5" t="n"/>
      <c r="AM257" s="5" t="n"/>
      <c r="AN257" s="5" t="n"/>
      <c r="AO257" s="5" t="n"/>
      <c r="AP257" s="5" t="n"/>
      <c r="AQ257" s="5" t="n"/>
      <c r="AR257" s="5" t="n"/>
      <c r="AS257" s="5" t="n"/>
      <c r="AT257" s="5" t="n"/>
      <c r="AU257" s="5" t="n"/>
      <c r="AV257" s="5" t="n"/>
      <c r="AW257" s="5" t="n"/>
      <c r="AX257" s="5" t="n"/>
      <c r="AY257" s="5" t="n"/>
      <c r="AZ257" s="5" t="n"/>
      <c r="BA257" s="5" t="n"/>
      <c r="BB257" s="5" t="n"/>
      <c r="BC257" s="5" t="n"/>
      <c r="BD257" s="5" t="n"/>
      <c r="BE257" s="5" t="n"/>
      <c r="BF257" s="5" t="n"/>
      <c r="BG257" s="5" t="n"/>
      <c r="BH257" s="5" t="n"/>
      <c r="BI257" s="5" t="n"/>
      <c r="BJ257" s="5" t="n"/>
      <c r="BK257" s="5" t="n"/>
      <c r="BL257" s="5" t="n"/>
      <c r="BM257" s="5" t="n"/>
      <c r="BN257" s="5" t="n"/>
      <c r="BO257" s="5" t="n"/>
      <c r="BP257" s="5" t="n"/>
      <c r="BQ257" s="5" t="n"/>
      <c r="BR257" s="5" t="n"/>
      <c r="BS257" s="5" t="n"/>
      <c r="BT257" s="5" t="n"/>
      <c r="BU257" s="5" t="n"/>
      <c r="BV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5" t="n"/>
      <c r="AI258" s="5" t="n"/>
      <c r="AJ258" s="5" t="n"/>
      <c r="AK258" s="5" t="n"/>
      <c r="AL258" s="5" t="n"/>
      <c r="AM258" s="5" t="n"/>
      <c r="AN258" s="5" t="n"/>
      <c r="AO258" s="5" t="n"/>
      <c r="AP258" s="5" t="n"/>
      <c r="AQ258" s="5" t="n"/>
      <c r="AR258" s="5" t="n"/>
      <c r="AS258" s="5" t="n"/>
      <c r="AT258" s="5" t="n"/>
      <c r="AU258" s="5" t="n"/>
      <c r="AV258" s="5" t="n"/>
      <c r="AW258" s="5" t="n"/>
      <c r="AX258" s="5" t="n"/>
      <c r="AY258" s="5" t="n"/>
      <c r="AZ258" s="5" t="n"/>
      <c r="BA258" s="5" t="n"/>
      <c r="BB258" s="5" t="n"/>
      <c r="BC258" s="5" t="n"/>
      <c r="BD258" s="5" t="n"/>
      <c r="BE258" s="5" t="n"/>
      <c r="BF258" s="5" t="n"/>
      <c r="BG258" s="5" t="n"/>
      <c r="BH258" s="5" t="n"/>
      <c r="BI258" s="5" t="n"/>
      <c r="BJ258" s="5" t="n"/>
      <c r="BK258" s="5" t="n"/>
      <c r="BL258" s="5" t="n"/>
      <c r="BM258" s="5" t="n"/>
      <c r="BN258" s="5" t="n"/>
      <c r="BO258" s="5" t="n"/>
      <c r="BP258" s="5" t="n"/>
      <c r="BQ258" s="5" t="n"/>
      <c r="BR258" s="5" t="n"/>
      <c r="BS258" s="5" t="n"/>
      <c r="BT258" s="5" t="n"/>
      <c r="BU258" s="5" t="n"/>
      <c r="BV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5" t="n"/>
      <c r="AI259" s="5" t="n"/>
      <c r="AJ259" s="5" t="n"/>
      <c r="AK259" s="5" t="n"/>
      <c r="AL259" s="5" t="n"/>
      <c r="AM259" s="5" t="n"/>
      <c r="AN259" s="5" t="n"/>
      <c r="AO259" s="5" t="n"/>
      <c r="AP259" s="5" t="n"/>
      <c r="AQ259" s="5" t="n"/>
      <c r="AR259" s="5" t="n"/>
      <c r="AS259" s="5" t="n"/>
      <c r="AT259" s="5" t="n"/>
      <c r="AU259" s="5" t="n"/>
      <c r="AV259" s="5" t="n"/>
      <c r="AW259" s="5" t="n"/>
      <c r="AX259" s="5" t="n"/>
      <c r="AY259" s="5" t="n"/>
      <c r="AZ259" s="5" t="n"/>
      <c r="BA259" s="5" t="n"/>
      <c r="BB259" s="5" t="n"/>
      <c r="BC259" s="5" t="n"/>
      <c r="BD259" s="5" t="n"/>
      <c r="BE259" s="5" t="n"/>
      <c r="BF259" s="5" t="n"/>
      <c r="BG259" s="5" t="n"/>
      <c r="BH259" s="5" t="n"/>
      <c r="BI259" s="5" t="n"/>
      <c r="BJ259" s="5" t="n"/>
      <c r="BK259" s="5" t="n"/>
      <c r="BL259" s="5" t="n"/>
      <c r="BM259" s="5" t="n"/>
      <c r="BN259" s="5" t="n"/>
      <c r="BO259" s="5" t="n"/>
      <c r="BP259" s="5" t="n"/>
      <c r="BQ259" s="5" t="n"/>
      <c r="BR259" s="5" t="n"/>
      <c r="BS259" s="5" t="n"/>
      <c r="BT259" s="5" t="n"/>
      <c r="BU259" s="5" t="n"/>
      <c r="BV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5" t="n"/>
      <c r="AI260" s="5" t="n"/>
      <c r="AJ260" s="5" t="n"/>
      <c r="AK260" s="5" t="n"/>
      <c r="AL260" s="5" t="n"/>
      <c r="AM260" s="5" t="n"/>
      <c r="AN260" s="5" t="n"/>
      <c r="AO260" s="5" t="n"/>
      <c r="AP260" s="5" t="n"/>
      <c r="AQ260" s="5" t="n"/>
      <c r="AR260" s="5" t="n"/>
      <c r="AS260" s="5" t="n"/>
      <c r="AT260" s="5" t="n"/>
      <c r="AU260" s="5" t="n"/>
      <c r="AV260" s="5" t="n"/>
      <c r="AW260" s="5" t="n"/>
      <c r="AX260" s="5" t="n"/>
      <c r="AY260" s="5" t="n"/>
      <c r="AZ260" s="5" t="n"/>
      <c r="BA260" s="5" t="n"/>
      <c r="BB260" s="5" t="n"/>
      <c r="BC260" s="5" t="n"/>
      <c r="BD260" s="5" t="n"/>
      <c r="BE260" s="5" t="n"/>
      <c r="BF260" s="5" t="n"/>
      <c r="BG260" s="5" t="n"/>
      <c r="BH260" s="5" t="n"/>
      <c r="BI260" s="5" t="n"/>
      <c r="BJ260" s="5" t="n"/>
      <c r="BK260" s="5" t="n"/>
      <c r="BL260" s="5" t="n"/>
      <c r="BM260" s="5" t="n"/>
      <c r="BN260" s="5" t="n"/>
      <c r="BO260" s="5" t="n"/>
      <c r="BP260" s="5" t="n"/>
      <c r="BQ260" s="5" t="n"/>
      <c r="BR260" s="5" t="n"/>
      <c r="BS260" s="5" t="n"/>
      <c r="BT260" s="5" t="n"/>
      <c r="BU260" s="5" t="n"/>
      <c r="BV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5" t="n"/>
      <c r="AI261" s="5" t="n"/>
      <c r="AJ261" s="5" t="n"/>
      <c r="AK261" s="5" t="n"/>
      <c r="AL261" s="5" t="n"/>
      <c r="AM261" s="5" t="n"/>
      <c r="AN261" s="5" t="n"/>
      <c r="AO261" s="5" t="n"/>
      <c r="AP261" s="5" t="n"/>
      <c r="AQ261" s="5" t="n"/>
      <c r="AR261" s="5" t="n"/>
      <c r="AS261" s="5" t="n"/>
      <c r="AT261" s="5" t="n"/>
      <c r="AU261" s="5" t="n"/>
      <c r="AV261" s="5" t="n"/>
      <c r="AW261" s="5" t="n"/>
      <c r="AX261" s="5" t="n"/>
      <c r="AY261" s="5" t="n"/>
      <c r="AZ261" s="5" t="n"/>
      <c r="BA261" s="5" t="n"/>
      <c r="BB261" s="5" t="n"/>
      <c r="BC261" s="5" t="n"/>
      <c r="BD261" s="5" t="n"/>
      <c r="BE261" s="5" t="n"/>
      <c r="BF261" s="5" t="n"/>
      <c r="BG261" s="5" t="n"/>
      <c r="BH261" s="5" t="n"/>
      <c r="BI261" s="5" t="n"/>
      <c r="BJ261" s="5" t="n"/>
      <c r="BK261" s="5" t="n"/>
      <c r="BL261" s="5" t="n"/>
      <c r="BM261" s="5" t="n"/>
      <c r="BN261" s="5" t="n"/>
      <c r="BO261" s="5" t="n"/>
      <c r="BP261" s="5" t="n"/>
      <c r="BQ261" s="5" t="n"/>
      <c r="BR261" s="5" t="n"/>
      <c r="BS261" s="5" t="n"/>
      <c r="BT261" s="5" t="n"/>
      <c r="BU261" s="5" t="n"/>
      <c r="BV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5" t="n"/>
      <c r="AI262" s="5" t="n"/>
      <c r="AJ262" s="5" t="n"/>
      <c r="AK262" s="5" t="n"/>
      <c r="AL262" s="5" t="n"/>
      <c r="AM262" s="5" t="n"/>
      <c r="AN262" s="5" t="n"/>
      <c r="AO262" s="5" t="n"/>
      <c r="AP262" s="5" t="n"/>
      <c r="AQ262" s="5" t="n"/>
      <c r="AR262" s="5" t="n"/>
      <c r="AS262" s="5" t="n"/>
      <c r="AT262" s="5" t="n"/>
      <c r="AU262" s="5" t="n"/>
      <c r="AV262" s="5" t="n"/>
      <c r="AW262" s="5" t="n"/>
      <c r="AX262" s="5" t="n"/>
      <c r="AY262" s="5" t="n"/>
      <c r="AZ262" s="5" t="n"/>
      <c r="BA262" s="5" t="n"/>
      <c r="BB262" s="5" t="n"/>
      <c r="BC262" s="5" t="n"/>
      <c r="BD262" s="5" t="n"/>
      <c r="BE262" s="5" t="n"/>
      <c r="BF262" s="5" t="n"/>
      <c r="BG262" s="5" t="n"/>
      <c r="BH262" s="5" t="n"/>
      <c r="BI262" s="5" t="n"/>
      <c r="BJ262" s="5" t="n"/>
      <c r="BK262" s="5" t="n"/>
      <c r="BL262" s="5" t="n"/>
      <c r="BM262" s="5" t="n"/>
      <c r="BN262" s="5" t="n"/>
      <c r="BO262" s="5" t="n"/>
      <c r="BP262" s="5" t="n"/>
      <c r="BQ262" s="5" t="n"/>
      <c r="BR262" s="5" t="n"/>
      <c r="BS262" s="5" t="n"/>
      <c r="BT262" s="5" t="n"/>
      <c r="BU262" s="5" t="n"/>
      <c r="BV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  <c r="AI263" s="5" t="n"/>
      <c r="AJ263" s="5" t="n"/>
      <c r="AK263" s="5" t="n"/>
      <c r="AL263" s="5" t="n"/>
      <c r="AM263" s="5" t="n"/>
      <c r="AN263" s="5" t="n"/>
      <c r="AO263" s="5" t="n"/>
      <c r="AP263" s="5" t="n"/>
      <c r="AQ263" s="5" t="n"/>
      <c r="AR263" s="5" t="n"/>
      <c r="AS263" s="5" t="n"/>
      <c r="AT263" s="5" t="n"/>
      <c r="AU263" s="5" t="n"/>
      <c r="AV263" s="5" t="n"/>
      <c r="AW263" s="5" t="n"/>
      <c r="AX263" s="5" t="n"/>
      <c r="AY263" s="5" t="n"/>
      <c r="AZ263" s="5" t="n"/>
      <c r="BA263" s="5" t="n"/>
      <c r="BB263" s="5" t="n"/>
      <c r="BC263" s="5" t="n"/>
      <c r="BD263" s="5" t="n"/>
      <c r="BE263" s="5" t="n"/>
      <c r="BF263" s="5" t="n"/>
      <c r="BG263" s="5" t="n"/>
      <c r="BH263" s="5" t="n"/>
      <c r="BI263" s="5" t="n"/>
      <c r="BJ263" s="5" t="n"/>
      <c r="BK263" s="5" t="n"/>
      <c r="BL263" s="5" t="n"/>
      <c r="BM263" s="5" t="n"/>
      <c r="BN263" s="5" t="n"/>
      <c r="BO263" s="5" t="n"/>
      <c r="BP263" s="5" t="n"/>
      <c r="BQ263" s="5" t="n"/>
      <c r="BR263" s="5" t="n"/>
      <c r="BS263" s="5" t="n"/>
      <c r="BT263" s="5" t="n"/>
      <c r="BU263" s="5" t="n"/>
      <c r="BV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5" t="n"/>
      <c r="AI264" s="5" t="n"/>
      <c r="AJ264" s="5" t="n"/>
      <c r="AK264" s="5" t="n"/>
      <c r="AL264" s="5" t="n"/>
      <c r="AM264" s="5" t="n"/>
      <c r="AN264" s="5" t="n"/>
      <c r="AO264" s="5" t="n"/>
      <c r="AP264" s="5" t="n"/>
      <c r="AQ264" s="5" t="n"/>
      <c r="AR264" s="5" t="n"/>
      <c r="AS264" s="5" t="n"/>
      <c r="AT264" s="5" t="n"/>
      <c r="AU264" s="5" t="n"/>
      <c r="AV264" s="5" t="n"/>
      <c r="AW264" s="5" t="n"/>
      <c r="AX264" s="5" t="n"/>
      <c r="AY264" s="5" t="n"/>
      <c r="AZ264" s="5" t="n"/>
      <c r="BA264" s="5" t="n"/>
      <c r="BB264" s="5" t="n"/>
      <c r="BC264" s="5" t="n"/>
      <c r="BD264" s="5" t="n"/>
      <c r="BE264" s="5" t="n"/>
      <c r="BF264" s="5" t="n"/>
      <c r="BG264" s="5" t="n"/>
      <c r="BH264" s="5" t="n"/>
      <c r="BI264" s="5" t="n"/>
      <c r="BJ264" s="5" t="n"/>
      <c r="BK264" s="5" t="n"/>
      <c r="BL264" s="5" t="n"/>
      <c r="BM264" s="5" t="n"/>
      <c r="BN264" s="5" t="n"/>
      <c r="BO264" s="5" t="n"/>
      <c r="BP264" s="5" t="n"/>
      <c r="BQ264" s="5" t="n"/>
      <c r="BR264" s="5" t="n"/>
      <c r="BS264" s="5" t="n"/>
      <c r="BT264" s="5" t="n"/>
      <c r="BU264" s="5" t="n"/>
      <c r="BV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5" t="n"/>
      <c r="AI265" s="5" t="n"/>
      <c r="AJ265" s="5" t="n"/>
      <c r="AK265" s="5" t="n"/>
      <c r="AL265" s="5" t="n"/>
      <c r="AM265" s="5" t="n"/>
      <c r="AN265" s="5" t="n"/>
      <c r="AO265" s="5" t="n"/>
      <c r="AP265" s="5" t="n"/>
      <c r="AQ265" s="5" t="n"/>
      <c r="AR265" s="5" t="n"/>
      <c r="AS265" s="5" t="n"/>
      <c r="AT265" s="5" t="n"/>
      <c r="AU265" s="5" t="n"/>
      <c r="AV265" s="5" t="n"/>
      <c r="AW265" s="5" t="n"/>
      <c r="AX265" s="5" t="n"/>
      <c r="AY265" s="5" t="n"/>
      <c r="AZ265" s="5" t="n"/>
      <c r="BA265" s="5" t="n"/>
      <c r="BB265" s="5" t="n"/>
      <c r="BC265" s="5" t="n"/>
      <c r="BD265" s="5" t="n"/>
      <c r="BE265" s="5" t="n"/>
      <c r="BF265" s="5" t="n"/>
      <c r="BG265" s="5" t="n"/>
      <c r="BH265" s="5" t="n"/>
      <c r="BI265" s="5" t="n"/>
      <c r="BJ265" s="5" t="n"/>
      <c r="BK265" s="5" t="n"/>
      <c r="BL265" s="5" t="n"/>
      <c r="BM265" s="5" t="n"/>
      <c r="BN265" s="5" t="n"/>
      <c r="BO265" s="5" t="n"/>
      <c r="BP265" s="5" t="n"/>
      <c r="BQ265" s="5" t="n"/>
      <c r="BR265" s="5" t="n"/>
      <c r="BS265" s="5" t="n"/>
      <c r="BT265" s="5" t="n"/>
      <c r="BU265" s="5" t="n"/>
      <c r="BV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5" t="n"/>
      <c r="AI266" s="5" t="n"/>
      <c r="AJ266" s="5" t="n"/>
      <c r="AK266" s="5" t="n"/>
      <c r="AL266" s="5" t="n"/>
      <c r="AM266" s="5" t="n"/>
      <c r="AN266" s="5" t="n"/>
      <c r="AO266" s="5" t="n"/>
      <c r="AP266" s="5" t="n"/>
      <c r="AQ266" s="5" t="n"/>
      <c r="AR266" s="5" t="n"/>
      <c r="AS266" s="5" t="n"/>
      <c r="AT266" s="5" t="n"/>
      <c r="AU266" s="5" t="n"/>
      <c r="AV266" s="5" t="n"/>
      <c r="AW266" s="5" t="n"/>
      <c r="AX266" s="5" t="n"/>
      <c r="AY266" s="5" t="n"/>
      <c r="AZ266" s="5" t="n"/>
      <c r="BA266" s="5" t="n"/>
      <c r="BB266" s="5" t="n"/>
      <c r="BC266" s="5" t="n"/>
      <c r="BD266" s="5" t="n"/>
      <c r="BE266" s="5" t="n"/>
      <c r="BF266" s="5" t="n"/>
      <c r="BG266" s="5" t="n"/>
      <c r="BH266" s="5" t="n"/>
      <c r="BI266" s="5" t="n"/>
      <c r="BJ266" s="5" t="n"/>
      <c r="BK266" s="5" t="n"/>
      <c r="BL266" s="5" t="n"/>
      <c r="BM266" s="5" t="n"/>
      <c r="BN266" s="5" t="n"/>
      <c r="BO266" s="5" t="n"/>
      <c r="BP266" s="5" t="n"/>
      <c r="BQ266" s="5" t="n"/>
      <c r="BR266" s="5" t="n"/>
      <c r="BS266" s="5" t="n"/>
      <c r="BT266" s="5" t="n"/>
      <c r="BU266" s="5" t="n"/>
      <c r="BV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5" t="n"/>
      <c r="AI267" s="5" t="n"/>
      <c r="AJ267" s="5" t="n"/>
      <c r="AK267" s="5" t="n"/>
      <c r="AL267" s="5" t="n"/>
      <c r="AM267" s="5" t="n"/>
      <c r="AN267" s="5" t="n"/>
      <c r="AO267" s="5" t="n"/>
      <c r="AP267" s="5" t="n"/>
      <c r="AQ267" s="5" t="n"/>
      <c r="AR267" s="5" t="n"/>
      <c r="AS267" s="5" t="n"/>
      <c r="AT267" s="5" t="n"/>
      <c r="AU267" s="5" t="n"/>
      <c r="AV267" s="5" t="n"/>
      <c r="AW267" s="5" t="n"/>
      <c r="AX267" s="5" t="n"/>
      <c r="AY267" s="5" t="n"/>
      <c r="AZ267" s="5" t="n"/>
      <c r="BA267" s="5" t="n"/>
      <c r="BB267" s="5" t="n"/>
      <c r="BC267" s="5" t="n"/>
      <c r="BD267" s="5" t="n"/>
      <c r="BE267" s="5" t="n"/>
      <c r="BF267" s="5" t="n"/>
      <c r="BG267" s="5" t="n"/>
      <c r="BH267" s="5" t="n"/>
      <c r="BI267" s="5" t="n"/>
      <c r="BJ267" s="5" t="n"/>
      <c r="BK267" s="5" t="n"/>
      <c r="BL267" s="5" t="n"/>
      <c r="BM267" s="5" t="n"/>
      <c r="BN267" s="5" t="n"/>
      <c r="BO267" s="5" t="n"/>
      <c r="BP267" s="5" t="n"/>
      <c r="BQ267" s="5" t="n"/>
      <c r="BR267" s="5" t="n"/>
      <c r="BS267" s="5" t="n"/>
      <c r="BT267" s="5" t="n"/>
      <c r="BU267" s="5" t="n"/>
      <c r="BV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5" t="n"/>
      <c r="AI268" s="5" t="n"/>
      <c r="AJ268" s="5" t="n"/>
      <c r="AK268" s="5" t="n"/>
      <c r="AL268" s="5" t="n"/>
      <c r="AM268" s="5" t="n"/>
      <c r="AN268" s="5" t="n"/>
      <c r="AO268" s="5" t="n"/>
      <c r="AP268" s="5" t="n"/>
      <c r="AQ268" s="5" t="n"/>
      <c r="AR268" s="5" t="n"/>
      <c r="AS268" s="5" t="n"/>
      <c r="AT268" s="5" t="n"/>
      <c r="AU268" s="5" t="n"/>
      <c r="AV268" s="5" t="n"/>
      <c r="AW268" s="5" t="n"/>
      <c r="AX268" s="5" t="n"/>
      <c r="AY268" s="5" t="n"/>
      <c r="AZ268" s="5" t="n"/>
      <c r="BA268" s="5" t="n"/>
      <c r="BB268" s="5" t="n"/>
      <c r="BC268" s="5" t="n"/>
      <c r="BD268" s="5" t="n"/>
      <c r="BE268" s="5" t="n"/>
      <c r="BF268" s="5" t="n"/>
      <c r="BG268" s="5" t="n"/>
      <c r="BH268" s="5" t="n"/>
      <c r="BI268" s="5" t="n"/>
      <c r="BJ268" s="5" t="n"/>
      <c r="BK268" s="5" t="n"/>
      <c r="BL268" s="5" t="n"/>
      <c r="BM268" s="5" t="n"/>
      <c r="BN268" s="5" t="n"/>
      <c r="BO268" s="5" t="n"/>
      <c r="BP268" s="5" t="n"/>
      <c r="BQ268" s="5" t="n"/>
      <c r="BR268" s="5" t="n"/>
      <c r="BS268" s="5" t="n"/>
      <c r="BT268" s="5" t="n"/>
      <c r="BU268" s="5" t="n"/>
      <c r="BV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5" t="n"/>
      <c r="AH269" s="5" t="n"/>
      <c r="AI269" s="5" t="n"/>
      <c r="AJ269" s="5" t="n"/>
      <c r="AK269" s="5" t="n"/>
      <c r="AL269" s="5" t="n"/>
      <c r="AM269" s="5" t="n"/>
      <c r="AN269" s="5" t="n"/>
      <c r="AO269" s="5" t="n"/>
      <c r="AP269" s="5" t="n"/>
      <c r="AQ269" s="5" t="n"/>
      <c r="AR269" s="5" t="n"/>
      <c r="AS269" s="5" t="n"/>
      <c r="AT269" s="5" t="n"/>
      <c r="AU269" s="5" t="n"/>
      <c r="AV269" s="5" t="n"/>
      <c r="AW269" s="5" t="n"/>
      <c r="AX269" s="5" t="n"/>
      <c r="AY269" s="5" t="n"/>
      <c r="AZ269" s="5" t="n"/>
      <c r="BA269" s="5" t="n"/>
      <c r="BB269" s="5" t="n"/>
      <c r="BC269" s="5" t="n"/>
      <c r="BD269" s="5" t="n"/>
      <c r="BE269" s="5" t="n"/>
      <c r="BF269" s="5" t="n"/>
      <c r="BG269" s="5" t="n"/>
      <c r="BH269" s="5" t="n"/>
      <c r="BI269" s="5" t="n"/>
      <c r="BJ269" s="5" t="n"/>
      <c r="BK269" s="5" t="n"/>
      <c r="BL269" s="5" t="n"/>
      <c r="BM269" s="5" t="n"/>
      <c r="BN269" s="5" t="n"/>
      <c r="BO269" s="5" t="n"/>
      <c r="BP269" s="5" t="n"/>
      <c r="BQ269" s="5" t="n"/>
      <c r="BR269" s="5" t="n"/>
      <c r="BS269" s="5" t="n"/>
      <c r="BT269" s="5" t="n"/>
      <c r="BU269" s="5" t="n"/>
      <c r="BV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  <c r="AE270" s="5" t="n"/>
      <c r="AF270" s="5" t="n"/>
      <c r="AG270" s="5" t="n"/>
      <c r="AH270" s="5" t="n"/>
      <c r="AI270" s="5" t="n"/>
      <c r="AJ270" s="5" t="n"/>
      <c r="AK270" s="5" t="n"/>
      <c r="AL270" s="5" t="n"/>
      <c r="AM270" s="5" t="n"/>
      <c r="AN270" s="5" t="n"/>
      <c r="AO270" s="5" t="n"/>
      <c r="AP270" s="5" t="n"/>
      <c r="AQ270" s="5" t="n"/>
      <c r="AR270" s="5" t="n"/>
      <c r="AS270" s="5" t="n"/>
      <c r="AT270" s="5" t="n"/>
      <c r="AU270" s="5" t="n"/>
      <c r="AV270" s="5" t="n"/>
      <c r="AW270" s="5" t="n"/>
      <c r="AX270" s="5" t="n"/>
      <c r="AY270" s="5" t="n"/>
      <c r="AZ270" s="5" t="n"/>
      <c r="BA270" s="5" t="n"/>
      <c r="BB270" s="5" t="n"/>
      <c r="BC270" s="5" t="n"/>
      <c r="BD270" s="5" t="n"/>
      <c r="BE270" s="5" t="n"/>
      <c r="BF270" s="5" t="n"/>
      <c r="BG270" s="5" t="n"/>
      <c r="BH270" s="5" t="n"/>
      <c r="BI270" s="5" t="n"/>
      <c r="BJ270" s="5" t="n"/>
      <c r="BK270" s="5" t="n"/>
      <c r="BL270" s="5" t="n"/>
      <c r="BM270" s="5" t="n"/>
      <c r="BN270" s="5" t="n"/>
      <c r="BO270" s="5" t="n"/>
      <c r="BP270" s="5" t="n"/>
      <c r="BQ270" s="5" t="n"/>
      <c r="BR270" s="5" t="n"/>
      <c r="BS270" s="5" t="n"/>
      <c r="BT270" s="5" t="n"/>
      <c r="BU270" s="5" t="n"/>
      <c r="BV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  <c r="AE271" s="5" t="n"/>
      <c r="AF271" s="5" t="n"/>
      <c r="AG271" s="5" t="n"/>
      <c r="AH271" s="5" t="n"/>
      <c r="AI271" s="5" t="n"/>
      <c r="AJ271" s="5" t="n"/>
      <c r="AK271" s="5" t="n"/>
      <c r="AL271" s="5" t="n"/>
      <c r="AM271" s="5" t="n"/>
      <c r="AN271" s="5" t="n"/>
      <c r="AO271" s="5" t="n"/>
      <c r="AP271" s="5" t="n"/>
      <c r="AQ271" s="5" t="n"/>
      <c r="AR271" s="5" t="n"/>
      <c r="AS271" s="5" t="n"/>
      <c r="AT271" s="5" t="n"/>
      <c r="AU271" s="5" t="n"/>
      <c r="AV271" s="5" t="n"/>
      <c r="AW271" s="5" t="n"/>
      <c r="AX271" s="5" t="n"/>
      <c r="AY271" s="5" t="n"/>
      <c r="AZ271" s="5" t="n"/>
      <c r="BA271" s="5" t="n"/>
      <c r="BB271" s="5" t="n"/>
      <c r="BC271" s="5" t="n"/>
      <c r="BD271" s="5" t="n"/>
      <c r="BE271" s="5" t="n"/>
      <c r="BF271" s="5" t="n"/>
      <c r="BG271" s="5" t="n"/>
      <c r="BH271" s="5" t="n"/>
      <c r="BI271" s="5" t="n"/>
      <c r="BJ271" s="5" t="n"/>
      <c r="BK271" s="5" t="n"/>
      <c r="BL271" s="5" t="n"/>
      <c r="BM271" s="5" t="n"/>
      <c r="BN271" s="5" t="n"/>
      <c r="BO271" s="5" t="n"/>
      <c r="BP271" s="5" t="n"/>
      <c r="BQ271" s="5" t="n"/>
      <c r="BR271" s="5" t="n"/>
      <c r="BS271" s="5" t="n"/>
      <c r="BT271" s="5" t="n"/>
      <c r="BU271" s="5" t="n"/>
      <c r="BV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5" t="n"/>
      <c r="AE272" s="5" t="n"/>
      <c r="AF272" s="5" t="n"/>
      <c r="AG272" s="5" t="n"/>
      <c r="AH272" s="5" t="n"/>
      <c r="AI272" s="5" t="n"/>
      <c r="AJ272" s="5" t="n"/>
      <c r="AK272" s="5" t="n"/>
      <c r="AL272" s="5" t="n"/>
      <c r="AM272" s="5" t="n"/>
      <c r="AN272" s="5" t="n"/>
      <c r="AO272" s="5" t="n"/>
      <c r="AP272" s="5" t="n"/>
      <c r="AQ272" s="5" t="n"/>
      <c r="AR272" s="5" t="n"/>
      <c r="AS272" s="5" t="n"/>
      <c r="AT272" s="5" t="n"/>
      <c r="AU272" s="5" t="n"/>
      <c r="AV272" s="5" t="n"/>
      <c r="AW272" s="5" t="n"/>
      <c r="AX272" s="5" t="n"/>
      <c r="AY272" s="5" t="n"/>
      <c r="AZ272" s="5" t="n"/>
      <c r="BA272" s="5" t="n"/>
      <c r="BB272" s="5" t="n"/>
      <c r="BC272" s="5" t="n"/>
      <c r="BD272" s="5" t="n"/>
      <c r="BE272" s="5" t="n"/>
      <c r="BF272" s="5" t="n"/>
      <c r="BG272" s="5" t="n"/>
      <c r="BH272" s="5" t="n"/>
      <c r="BI272" s="5" t="n"/>
      <c r="BJ272" s="5" t="n"/>
      <c r="BK272" s="5" t="n"/>
      <c r="BL272" s="5" t="n"/>
      <c r="BM272" s="5" t="n"/>
      <c r="BN272" s="5" t="n"/>
      <c r="BO272" s="5" t="n"/>
      <c r="BP272" s="5" t="n"/>
      <c r="BQ272" s="5" t="n"/>
      <c r="BR272" s="5" t="n"/>
      <c r="BS272" s="5" t="n"/>
      <c r="BT272" s="5" t="n"/>
      <c r="BU272" s="5" t="n"/>
      <c r="BV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5" t="n"/>
      <c r="AI273" s="5" t="n"/>
      <c r="AJ273" s="5" t="n"/>
      <c r="AK273" s="5" t="n"/>
      <c r="AL273" s="5" t="n"/>
      <c r="AM273" s="5" t="n"/>
      <c r="AN273" s="5" t="n"/>
      <c r="AO273" s="5" t="n"/>
      <c r="AP273" s="5" t="n"/>
      <c r="AQ273" s="5" t="n"/>
      <c r="AR273" s="5" t="n"/>
      <c r="AS273" s="5" t="n"/>
      <c r="AT273" s="5" t="n"/>
      <c r="AU273" s="5" t="n"/>
      <c r="AV273" s="5" t="n"/>
      <c r="AW273" s="5" t="n"/>
      <c r="AX273" s="5" t="n"/>
      <c r="AY273" s="5" t="n"/>
      <c r="AZ273" s="5" t="n"/>
      <c r="BA273" s="5" t="n"/>
      <c r="BB273" s="5" t="n"/>
      <c r="BC273" s="5" t="n"/>
      <c r="BD273" s="5" t="n"/>
      <c r="BE273" s="5" t="n"/>
      <c r="BF273" s="5" t="n"/>
      <c r="BG273" s="5" t="n"/>
      <c r="BH273" s="5" t="n"/>
      <c r="BI273" s="5" t="n"/>
      <c r="BJ273" s="5" t="n"/>
      <c r="BK273" s="5" t="n"/>
      <c r="BL273" s="5" t="n"/>
      <c r="BM273" s="5" t="n"/>
      <c r="BN273" s="5" t="n"/>
      <c r="BO273" s="5" t="n"/>
      <c r="BP273" s="5" t="n"/>
      <c r="BQ273" s="5" t="n"/>
      <c r="BR273" s="5" t="n"/>
      <c r="BS273" s="5" t="n"/>
      <c r="BT273" s="5" t="n"/>
      <c r="BU273" s="5" t="n"/>
      <c r="BV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5" t="n"/>
      <c r="AE274" s="5" t="n"/>
      <c r="AF274" s="5" t="n"/>
      <c r="AG274" s="5" t="n"/>
      <c r="AH274" s="5" t="n"/>
      <c r="AI274" s="5" t="n"/>
      <c r="AJ274" s="5" t="n"/>
      <c r="AK274" s="5" t="n"/>
      <c r="AL274" s="5" t="n"/>
      <c r="AM274" s="5" t="n"/>
      <c r="AN274" s="5" t="n"/>
      <c r="AO274" s="5" t="n"/>
      <c r="AP274" s="5" t="n"/>
      <c r="AQ274" s="5" t="n"/>
      <c r="AR274" s="5" t="n"/>
      <c r="AS274" s="5" t="n"/>
      <c r="AT274" s="5" t="n"/>
      <c r="AU274" s="5" t="n"/>
      <c r="AV274" s="5" t="n"/>
      <c r="AW274" s="5" t="n"/>
      <c r="AX274" s="5" t="n"/>
      <c r="AY274" s="5" t="n"/>
      <c r="AZ274" s="5" t="n"/>
      <c r="BA274" s="5" t="n"/>
      <c r="BB274" s="5" t="n"/>
      <c r="BC274" s="5" t="n"/>
      <c r="BD274" s="5" t="n"/>
      <c r="BE274" s="5" t="n"/>
      <c r="BF274" s="5" t="n"/>
      <c r="BG274" s="5" t="n"/>
      <c r="BH274" s="5" t="n"/>
      <c r="BI274" s="5" t="n"/>
      <c r="BJ274" s="5" t="n"/>
      <c r="BK274" s="5" t="n"/>
      <c r="BL274" s="5" t="n"/>
      <c r="BM274" s="5" t="n"/>
      <c r="BN274" s="5" t="n"/>
      <c r="BO274" s="5" t="n"/>
      <c r="BP274" s="5" t="n"/>
      <c r="BQ274" s="5" t="n"/>
      <c r="BR274" s="5" t="n"/>
      <c r="BS274" s="5" t="n"/>
      <c r="BT274" s="5" t="n"/>
      <c r="BU274" s="5" t="n"/>
      <c r="BV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5" t="n"/>
      <c r="AI275" s="5" t="n"/>
      <c r="AJ275" s="5" t="n"/>
      <c r="AK275" s="5" t="n"/>
      <c r="AL275" s="5" t="n"/>
      <c r="AM275" s="5" t="n"/>
      <c r="AN275" s="5" t="n"/>
      <c r="AO275" s="5" t="n"/>
      <c r="AP275" s="5" t="n"/>
      <c r="AQ275" s="5" t="n"/>
      <c r="AR275" s="5" t="n"/>
      <c r="AS275" s="5" t="n"/>
      <c r="AT275" s="5" t="n"/>
      <c r="AU275" s="5" t="n"/>
      <c r="AV275" s="5" t="n"/>
      <c r="AW275" s="5" t="n"/>
      <c r="AX275" s="5" t="n"/>
      <c r="AY275" s="5" t="n"/>
      <c r="AZ275" s="5" t="n"/>
      <c r="BA275" s="5" t="n"/>
      <c r="BB275" s="5" t="n"/>
      <c r="BC275" s="5" t="n"/>
      <c r="BD275" s="5" t="n"/>
      <c r="BE275" s="5" t="n"/>
      <c r="BF275" s="5" t="n"/>
      <c r="BG275" s="5" t="n"/>
      <c r="BH275" s="5" t="n"/>
      <c r="BI275" s="5" t="n"/>
      <c r="BJ275" s="5" t="n"/>
      <c r="BK275" s="5" t="n"/>
      <c r="BL275" s="5" t="n"/>
      <c r="BM275" s="5" t="n"/>
      <c r="BN275" s="5" t="n"/>
      <c r="BO275" s="5" t="n"/>
      <c r="BP275" s="5" t="n"/>
      <c r="BQ275" s="5" t="n"/>
      <c r="BR275" s="5" t="n"/>
      <c r="BS275" s="5" t="n"/>
      <c r="BT275" s="5" t="n"/>
      <c r="BU275" s="5" t="n"/>
      <c r="BV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5" t="n"/>
      <c r="AI276" s="5" t="n"/>
      <c r="AJ276" s="5" t="n"/>
      <c r="AK276" s="5" t="n"/>
      <c r="AL276" s="5" t="n"/>
      <c r="AM276" s="5" t="n"/>
      <c r="AN276" s="5" t="n"/>
      <c r="AO276" s="5" t="n"/>
      <c r="AP276" s="5" t="n"/>
      <c r="AQ276" s="5" t="n"/>
      <c r="AR276" s="5" t="n"/>
      <c r="AS276" s="5" t="n"/>
      <c r="AT276" s="5" t="n"/>
      <c r="AU276" s="5" t="n"/>
      <c r="AV276" s="5" t="n"/>
      <c r="AW276" s="5" t="n"/>
      <c r="AX276" s="5" t="n"/>
      <c r="AY276" s="5" t="n"/>
      <c r="AZ276" s="5" t="n"/>
      <c r="BA276" s="5" t="n"/>
      <c r="BB276" s="5" t="n"/>
      <c r="BC276" s="5" t="n"/>
      <c r="BD276" s="5" t="n"/>
      <c r="BE276" s="5" t="n"/>
      <c r="BF276" s="5" t="n"/>
      <c r="BG276" s="5" t="n"/>
      <c r="BH276" s="5" t="n"/>
      <c r="BI276" s="5" t="n"/>
      <c r="BJ276" s="5" t="n"/>
      <c r="BK276" s="5" t="n"/>
      <c r="BL276" s="5" t="n"/>
      <c r="BM276" s="5" t="n"/>
      <c r="BN276" s="5" t="n"/>
      <c r="BO276" s="5" t="n"/>
      <c r="BP276" s="5" t="n"/>
      <c r="BQ276" s="5" t="n"/>
      <c r="BR276" s="5" t="n"/>
      <c r="BS276" s="5" t="n"/>
      <c r="BT276" s="5" t="n"/>
      <c r="BU276" s="5" t="n"/>
      <c r="BV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5" t="n"/>
      <c r="AI277" s="5" t="n"/>
      <c r="AJ277" s="5" t="n"/>
      <c r="AK277" s="5" t="n"/>
      <c r="AL277" s="5" t="n"/>
      <c r="AM277" s="5" t="n"/>
      <c r="AN277" s="5" t="n"/>
      <c r="AO277" s="5" t="n"/>
      <c r="AP277" s="5" t="n"/>
      <c r="AQ277" s="5" t="n"/>
      <c r="AR277" s="5" t="n"/>
      <c r="AS277" s="5" t="n"/>
      <c r="AT277" s="5" t="n"/>
      <c r="AU277" s="5" t="n"/>
      <c r="AV277" s="5" t="n"/>
      <c r="AW277" s="5" t="n"/>
      <c r="AX277" s="5" t="n"/>
      <c r="AY277" s="5" t="n"/>
      <c r="AZ277" s="5" t="n"/>
      <c r="BA277" s="5" t="n"/>
      <c r="BB277" s="5" t="n"/>
      <c r="BC277" s="5" t="n"/>
      <c r="BD277" s="5" t="n"/>
      <c r="BE277" s="5" t="n"/>
      <c r="BF277" s="5" t="n"/>
      <c r="BG277" s="5" t="n"/>
      <c r="BH277" s="5" t="n"/>
      <c r="BI277" s="5" t="n"/>
      <c r="BJ277" s="5" t="n"/>
      <c r="BK277" s="5" t="n"/>
      <c r="BL277" s="5" t="n"/>
      <c r="BM277" s="5" t="n"/>
      <c r="BN277" s="5" t="n"/>
      <c r="BO277" s="5" t="n"/>
      <c r="BP277" s="5" t="n"/>
      <c r="BQ277" s="5" t="n"/>
      <c r="BR277" s="5" t="n"/>
      <c r="BS277" s="5" t="n"/>
      <c r="BT277" s="5" t="n"/>
      <c r="BU277" s="5" t="n"/>
      <c r="BV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5" t="n"/>
      <c r="AI278" s="5" t="n"/>
      <c r="AJ278" s="5" t="n"/>
      <c r="AK278" s="5" t="n"/>
      <c r="AL278" s="5" t="n"/>
      <c r="AM278" s="5" t="n"/>
      <c r="AN278" s="5" t="n"/>
      <c r="AO278" s="5" t="n"/>
      <c r="AP278" s="5" t="n"/>
      <c r="AQ278" s="5" t="n"/>
      <c r="AR278" s="5" t="n"/>
      <c r="AS278" s="5" t="n"/>
      <c r="AT278" s="5" t="n"/>
      <c r="AU278" s="5" t="n"/>
      <c r="AV278" s="5" t="n"/>
      <c r="AW278" s="5" t="n"/>
      <c r="AX278" s="5" t="n"/>
      <c r="AY278" s="5" t="n"/>
      <c r="AZ278" s="5" t="n"/>
      <c r="BA278" s="5" t="n"/>
      <c r="BB278" s="5" t="n"/>
      <c r="BC278" s="5" t="n"/>
      <c r="BD278" s="5" t="n"/>
      <c r="BE278" s="5" t="n"/>
      <c r="BF278" s="5" t="n"/>
      <c r="BG278" s="5" t="n"/>
      <c r="BH278" s="5" t="n"/>
      <c r="BI278" s="5" t="n"/>
      <c r="BJ278" s="5" t="n"/>
      <c r="BK278" s="5" t="n"/>
      <c r="BL278" s="5" t="n"/>
      <c r="BM278" s="5" t="n"/>
      <c r="BN278" s="5" t="n"/>
      <c r="BO278" s="5" t="n"/>
      <c r="BP278" s="5" t="n"/>
      <c r="BQ278" s="5" t="n"/>
      <c r="BR278" s="5" t="n"/>
      <c r="BS278" s="5" t="n"/>
      <c r="BT278" s="5" t="n"/>
      <c r="BU278" s="5" t="n"/>
      <c r="BV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5" t="n"/>
      <c r="AI279" s="5" t="n"/>
      <c r="AJ279" s="5" t="n"/>
      <c r="AK279" s="5" t="n"/>
      <c r="AL279" s="5" t="n"/>
      <c r="AM279" s="5" t="n"/>
      <c r="AN279" s="5" t="n"/>
      <c r="AO279" s="5" t="n"/>
      <c r="AP279" s="5" t="n"/>
      <c r="AQ279" s="5" t="n"/>
      <c r="AR279" s="5" t="n"/>
      <c r="AS279" s="5" t="n"/>
      <c r="AT279" s="5" t="n"/>
      <c r="AU279" s="5" t="n"/>
      <c r="AV279" s="5" t="n"/>
      <c r="AW279" s="5" t="n"/>
      <c r="AX279" s="5" t="n"/>
      <c r="AY279" s="5" t="n"/>
      <c r="AZ279" s="5" t="n"/>
      <c r="BA279" s="5" t="n"/>
      <c r="BB279" s="5" t="n"/>
      <c r="BC279" s="5" t="n"/>
      <c r="BD279" s="5" t="n"/>
      <c r="BE279" s="5" t="n"/>
      <c r="BF279" s="5" t="n"/>
      <c r="BG279" s="5" t="n"/>
      <c r="BH279" s="5" t="n"/>
      <c r="BI279" s="5" t="n"/>
      <c r="BJ279" s="5" t="n"/>
      <c r="BK279" s="5" t="n"/>
      <c r="BL279" s="5" t="n"/>
      <c r="BM279" s="5" t="n"/>
      <c r="BN279" s="5" t="n"/>
      <c r="BO279" s="5" t="n"/>
      <c r="BP279" s="5" t="n"/>
      <c r="BQ279" s="5" t="n"/>
      <c r="BR279" s="5" t="n"/>
      <c r="BS279" s="5" t="n"/>
      <c r="BT279" s="5" t="n"/>
      <c r="BU279" s="5" t="n"/>
      <c r="BV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5" t="n"/>
      <c r="AI280" s="5" t="n"/>
      <c r="AJ280" s="5" t="n"/>
      <c r="AK280" s="5" t="n"/>
      <c r="AL280" s="5" t="n"/>
      <c r="AM280" s="5" t="n"/>
      <c r="AN280" s="5" t="n"/>
      <c r="AO280" s="5" t="n"/>
      <c r="AP280" s="5" t="n"/>
      <c r="AQ280" s="5" t="n"/>
      <c r="AR280" s="5" t="n"/>
      <c r="AS280" s="5" t="n"/>
      <c r="AT280" s="5" t="n"/>
      <c r="AU280" s="5" t="n"/>
      <c r="AV280" s="5" t="n"/>
      <c r="AW280" s="5" t="n"/>
      <c r="AX280" s="5" t="n"/>
      <c r="AY280" s="5" t="n"/>
      <c r="AZ280" s="5" t="n"/>
      <c r="BA280" s="5" t="n"/>
      <c r="BB280" s="5" t="n"/>
      <c r="BC280" s="5" t="n"/>
      <c r="BD280" s="5" t="n"/>
      <c r="BE280" s="5" t="n"/>
      <c r="BF280" s="5" t="n"/>
      <c r="BG280" s="5" t="n"/>
      <c r="BH280" s="5" t="n"/>
      <c r="BI280" s="5" t="n"/>
      <c r="BJ280" s="5" t="n"/>
      <c r="BK280" s="5" t="n"/>
      <c r="BL280" s="5" t="n"/>
      <c r="BM280" s="5" t="n"/>
      <c r="BN280" s="5" t="n"/>
      <c r="BO280" s="5" t="n"/>
      <c r="BP280" s="5" t="n"/>
      <c r="BQ280" s="5" t="n"/>
      <c r="BR280" s="5" t="n"/>
      <c r="BS280" s="5" t="n"/>
      <c r="BT280" s="5" t="n"/>
      <c r="BU280" s="5" t="n"/>
      <c r="BV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5" t="n"/>
      <c r="AI281" s="5" t="n"/>
      <c r="AJ281" s="5" t="n"/>
      <c r="AK281" s="5" t="n"/>
      <c r="AL281" s="5" t="n"/>
      <c r="AM281" s="5" t="n"/>
      <c r="AN281" s="5" t="n"/>
      <c r="AO281" s="5" t="n"/>
      <c r="AP281" s="5" t="n"/>
      <c r="AQ281" s="5" t="n"/>
      <c r="AR281" s="5" t="n"/>
      <c r="AS281" s="5" t="n"/>
      <c r="AT281" s="5" t="n"/>
      <c r="AU281" s="5" t="n"/>
      <c r="AV281" s="5" t="n"/>
      <c r="AW281" s="5" t="n"/>
      <c r="AX281" s="5" t="n"/>
      <c r="AY281" s="5" t="n"/>
      <c r="AZ281" s="5" t="n"/>
      <c r="BA281" s="5" t="n"/>
      <c r="BB281" s="5" t="n"/>
      <c r="BC281" s="5" t="n"/>
      <c r="BD281" s="5" t="n"/>
      <c r="BE281" s="5" t="n"/>
      <c r="BF281" s="5" t="n"/>
      <c r="BG281" s="5" t="n"/>
      <c r="BH281" s="5" t="n"/>
      <c r="BI281" s="5" t="n"/>
      <c r="BJ281" s="5" t="n"/>
      <c r="BK281" s="5" t="n"/>
      <c r="BL281" s="5" t="n"/>
      <c r="BM281" s="5" t="n"/>
      <c r="BN281" s="5" t="n"/>
      <c r="BO281" s="5" t="n"/>
      <c r="BP281" s="5" t="n"/>
      <c r="BQ281" s="5" t="n"/>
      <c r="BR281" s="5" t="n"/>
      <c r="BS281" s="5" t="n"/>
      <c r="BT281" s="5" t="n"/>
      <c r="BU281" s="5" t="n"/>
      <c r="BV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5" t="n"/>
      <c r="AI282" s="5" t="n"/>
      <c r="AJ282" s="5" t="n"/>
      <c r="AK282" s="5" t="n"/>
      <c r="AL282" s="5" t="n"/>
      <c r="AM282" s="5" t="n"/>
      <c r="AN282" s="5" t="n"/>
      <c r="AO282" s="5" t="n"/>
      <c r="AP282" s="5" t="n"/>
      <c r="AQ282" s="5" t="n"/>
      <c r="AR282" s="5" t="n"/>
      <c r="AS282" s="5" t="n"/>
      <c r="AT282" s="5" t="n"/>
      <c r="AU282" s="5" t="n"/>
      <c r="AV282" s="5" t="n"/>
      <c r="AW282" s="5" t="n"/>
      <c r="AX282" s="5" t="n"/>
      <c r="AY282" s="5" t="n"/>
      <c r="AZ282" s="5" t="n"/>
      <c r="BA282" s="5" t="n"/>
      <c r="BB282" s="5" t="n"/>
      <c r="BC282" s="5" t="n"/>
      <c r="BD282" s="5" t="n"/>
      <c r="BE282" s="5" t="n"/>
      <c r="BF282" s="5" t="n"/>
      <c r="BG282" s="5" t="n"/>
      <c r="BH282" s="5" t="n"/>
      <c r="BI282" s="5" t="n"/>
      <c r="BJ282" s="5" t="n"/>
      <c r="BK282" s="5" t="n"/>
      <c r="BL282" s="5" t="n"/>
      <c r="BM282" s="5" t="n"/>
      <c r="BN282" s="5" t="n"/>
      <c r="BO282" s="5" t="n"/>
      <c r="BP282" s="5" t="n"/>
      <c r="BQ282" s="5" t="n"/>
      <c r="BR282" s="5" t="n"/>
      <c r="BS282" s="5" t="n"/>
      <c r="BT282" s="5" t="n"/>
      <c r="BU282" s="5" t="n"/>
      <c r="BV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5" t="n"/>
      <c r="AI283" s="5" t="n"/>
      <c r="AJ283" s="5" t="n"/>
      <c r="AK283" s="5" t="n"/>
      <c r="AL283" s="5" t="n"/>
      <c r="AM283" s="5" t="n"/>
      <c r="AN283" s="5" t="n"/>
      <c r="AO283" s="5" t="n"/>
      <c r="AP283" s="5" t="n"/>
      <c r="AQ283" s="5" t="n"/>
      <c r="AR283" s="5" t="n"/>
      <c r="AS283" s="5" t="n"/>
      <c r="AT283" s="5" t="n"/>
      <c r="AU283" s="5" t="n"/>
      <c r="AV283" s="5" t="n"/>
      <c r="AW283" s="5" t="n"/>
      <c r="AX283" s="5" t="n"/>
      <c r="AY283" s="5" t="n"/>
      <c r="AZ283" s="5" t="n"/>
      <c r="BA283" s="5" t="n"/>
      <c r="BB283" s="5" t="n"/>
      <c r="BC283" s="5" t="n"/>
      <c r="BD283" s="5" t="n"/>
      <c r="BE283" s="5" t="n"/>
      <c r="BF283" s="5" t="n"/>
      <c r="BG283" s="5" t="n"/>
      <c r="BH283" s="5" t="n"/>
      <c r="BI283" s="5" t="n"/>
      <c r="BJ283" s="5" t="n"/>
      <c r="BK283" s="5" t="n"/>
      <c r="BL283" s="5" t="n"/>
      <c r="BM283" s="5" t="n"/>
      <c r="BN283" s="5" t="n"/>
      <c r="BO283" s="5" t="n"/>
      <c r="BP283" s="5" t="n"/>
      <c r="BQ283" s="5" t="n"/>
      <c r="BR283" s="5" t="n"/>
      <c r="BS283" s="5" t="n"/>
      <c r="BT283" s="5" t="n"/>
      <c r="BU283" s="5" t="n"/>
      <c r="BV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5" t="n"/>
      <c r="AI284" s="5" t="n"/>
      <c r="AJ284" s="5" t="n"/>
      <c r="AK284" s="5" t="n"/>
      <c r="AL284" s="5" t="n"/>
      <c r="AM284" s="5" t="n"/>
      <c r="AN284" s="5" t="n"/>
      <c r="AO284" s="5" t="n"/>
      <c r="AP284" s="5" t="n"/>
      <c r="AQ284" s="5" t="n"/>
      <c r="AR284" s="5" t="n"/>
      <c r="AS284" s="5" t="n"/>
      <c r="AT284" s="5" t="n"/>
      <c r="AU284" s="5" t="n"/>
      <c r="AV284" s="5" t="n"/>
      <c r="AW284" s="5" t="n"/>
      <c r="AX284" s="5" t="n"/>
      <c r="AY284" s="5" t="n"/>
      <c r="AZ284" s="5" t="n"/>
      <c r="BA284" s="5" t="n"/>
      <c r="BB284" s="5" t="n"/>
      <c r="BC284" s="5" t="n"/>
      <c r="BD284" s="5" t="n"/>
      <c r="BE284" s="5" t="n"/>
      <c r="BF284" s="5" t="n"/>
      <c r="BG284" s="5" t="n"/>
      <c r="BH284" s="5" t="n"/>
      <c r="BI284" s="5" t="n"/>
      <c r="BJ284" s="5" t="n"/>
      <c r="BK284" s="5" t="n"/>
      <c r="BL284" s="5" t="n"/>
      <c r="BM284" s="5" t="n"/>
      <c r="BN284" s="5" t="n"/>
      <c r="BO284" s="5" t="n"/>
      <c r="BP284" s="5" t="n"/>
      <c r="BQ284" s="5" t="n"/>
      <c r="BR284" s="5" t="n"/>
      <c r="BS284" s="5" t="n"/>
      <c r="BT284" s="5" t="n"/>
      <c r="BU284" s="5" t="n"/>
      <c r="BV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5" t="n"/>
      <c r="AI285" s="5" t="n"/>
      <c r="AJ285" s="5" t="n"/>
      <c r="AK285" s="5" t="n"/>
      <c r="AL285" s="5" t="n"/>
      <c r="AM285" s="5" t="n"/>
      <c r="AN285" s="5" t="n"/>
      <c r="AO285" s="5" t="n"/>
      <c r="AP285" s="5" t="n"/>
      <c r="AQ285" s="5" t="n"/>
      <c r="AR285" s="5" t="n"/>
      <c r="AS285" s="5" t="n"/>
      <c r="AT285" s="5" t="n"/>
      <c r="AU285" s="5" t="n"/>
      <c r="AV285" s="5" t="n"/>
      <c r="AW285" s="5" t="n"/>
      <c r="AX285" s="5" t="n"/>
      <c r="AY285" s="5" t="n"/>
      <c r="AZ285" s="5" t="n"/>
      <c r="BA285" s="5" t="n"/>
      <c r="BB285" s="5" t="n"/>
      <c r="BC285" s="5" t="n"/>
      <c r="BD285" s="5" t="n"/>
      <c r="BE285" s="5" t="n"/>
      <c r="BF285" s="5" t="n"/>
      <c r="BG285" s="5" t="n"/>
      <c r="BH285" s="5" t="n"/>
      <c r="BI285" s="5" t="n"/>
      <c r="BJ285" s="5" t="n"/>
      <c r="BK285" s="5" t="n"/>
      <c r="BL285" s="5" t="n"/>
      <c r="BM285" s="5" t="n"/>
      <c r="BN285" s="5" t="n"/>
      <c r="BO285" s="5" t="n"/>
      <c r="BP285" s="5" t="n"/>
      <c r="BQ285" s="5" t="n"/>
      <c r="BR285" s="5" t="n"/>
      <c r="BS285" s="5" t="n"/>
      <c r="BT285" s="5" t="n"/>
      <c r="BU285" s="5" t="n"/>
      <c r="BV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5" t="n"/>
      <c r="AI286" s="5" t="n"/>
      <c r="AJ286" s="5" t="n"/>
      <c r="AK286" s="5" t="n"/>
      <c r="AL286" s="5" t="n"/>
      <c r="AM286" s="5" t="n"/>
      <c r="AN286" s="5" t="n"/>
      <c r="AO286" s="5" t="n"/>
      <c r="AP286" s="5" t="n"/>
      <c r="AQ286" s="5" t="n"/>
      <c r="AR286" s="5" t="n"/>
      <c r="AS286" s="5" t="n"/>
      <c r="AT286" s="5" t="n"/>
      <c r="AU286" s="5" t="n"/>
      <c r="AV286" s="5" t="n"/>
      <c r="AW286" s="5" t="n"/>
      <c r="AX286" s="5" t="n"/>
      <c r="AY286" s="5" t="n"/>
      <c r="AZ286" s="5" t="n"/>
      <c r="BA286" s="5" t="n"/>
      <c r="BB286" s="5" t="n"/>
      <c r="BC286" s="5" t="n"/>
      <c r="BD286" s="5" t="n"/>
      <c r="BE286" s="5" t="n"/>
      <c r="BF286" s="5" t="n"/>
      <c r="BG286" s="5" t="n"/>
      <c r="BH286" s="5" t="n"/>
      <c r="BI286" s="5" t="n"/>
      <c r="BJ286" s="5" t="n"/>
      <c r="BK286" s="5" t="n"/>
      <c r="BL286" s="5" t="n"/>
      <c r="BM286" s="5" t="n"/>
      <c r="BN286" s="5" t="n"/>
      <c r="BO286" s="5" t="n"/>
      <c r="BP286" s="5" t="n"/>
      <c r="BQ286" s="5" t="n"/>
      <c r="BR286" s="5" t="n"/>
      <c r="BS286" s="5" t="n"/>
      <c r="BT286" s="5" t="n"/>
      <c r="BU286" s="5" t="n"/>
      <c r="BV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5" t="n"/>
      <c r="AI287" s="5" t="n"/>
      <c r="AJ287" s="5" t="n"/>
      <c r="AK287" s="5" t="n"/>
      <c r="AL287" s="5" t="n"/>
      <c r="AM287" s="5" t="n"/>
      <c r="AN287" s="5" t="n"/>
      <c r="AO287" s="5" t="n"/>
      <c r="AP287" s="5" t="n"/>
      <c r="AQ287" s="5" t="n"/>
      <c r="AR287" s="5" t="n"/>
      <c r="AS287" s="5" t="n"/>
      <c r="AT287" s="5" t="n"/>
      <c r="AU287" s="5" t="n"/>
      <c r="AV287" s="5" t="n"/>
      <c r="AW287" s="5" t="n"/>
      <c r="AX287" s="5" t="n"/>
      <c r="AY287" s="5" t="n"/>
      <c r="AZ287" s="5" t="n"/>
      <c r="BA287" s="5" t="n"/>
      <c r="BB287" s="5" t="n"/>
      <c r="BC287" s="5" t="n"/>
      <c r="BD287" s="5" t="n"/>
      <c r="BE287" s="5" t="n"/>
      <c r="BF287" s="5" t="n"/>
      <c r="BG287" s="5" t="n"/>
      <c r="BH287" s="5" t="n"/>
      <c r="BI287" s="5" t="n"/>
      <c r="BJ287" s="5" t="n"/>
      <c r="BK287" s="5" t="n"/>
      <c r="BL287" s="5" t="n"/>
      <c r="BM287" s="5" t="n"/>
      <c r="BN287" s="5" t="n"/>
      <c r="BO287" s="5" t="n"/>
      <c r="BP287" s="5" t="n"/>
      <c r="BQ287" s="5" t="n"/>
      <c r="BR287" s="5" t="n"/>
      <c r="BS287" s="5" t="n"/>
      <c r="BT287" s="5" t="n"/>
      <c r="BU287" s="5" t="n"/>
      <c r="BV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5" t="n"/>
      <c r="AE288" s="5" t="n"/>
      <c r="AF288" s="5" t="n"/>
      <c r="AG288" s="5" t="n"/>
      <c r="AH288" s="5" t="n"/>
      <c r="AI288" s="5" t="n"/>
      <c r="AJ288" s="5" t="n"/>
      <c r="AK288" s="5" t="n"/>
      <c r="AL288" s="5" t="n"/>
      <c r="AM288" s="5" t="n"/>
      <c r="AN288" s="5" t="n"/>
      <c r="AO288" s="5" t="n"/>
      <c r="AP288" s="5" t="n"/>
      <c r="AQ288" s="5" t="n"/>
      <c r="AR288" s="5" t="n"/>
      <c r="AS288" s="5" t="n"/>
      <c r="AT288" s="5" t="n"/>
      <c r="AU288" s="5" t="n"/>
      <c r="AV288" s="5" t="n"/>
      <c r="AW288" s="5" t="n"/>
      <c r="AX288" s="5" t="n"/>
      <c r="AY288" s="5" t="n"/>
      <c r="AZ288" s="5" t="n"/>
      <c r="BA288" s="5" t="n"/>
      <c r="BB288" s="5" t="n"/>
      <c r="BC288" s="5" t="n"/>
      <c r="BD288" s="5" t="n"/>
      <c r="BE288" s="5" t="n"/>
      <c r="BF288" s="5" t="n"/>
      <c r="BG288" s="5" t="n"/>
      <c r="BH288" s="5" t="n"/>
      <c r="BI288" s="5" t="n"/>
      <c r="BJ288" s="5" t="n"/>
      <c r="BK288" s="5" t="n"/>
      <c r="BL288" s="5" t="n"/>
      <c r="BM288" s="5" t="n"/>
      <c r="BN288" s="5" t="n"/>
      <c r="BO288" s="5" t="n"/>
      <c r="BP288" s="5" t="n"/>
      <c r="BQ288" s="5" t="n"/>
      <c r="BR288" s="5" t="n"/>
      <c r="BS288" s="5" t="n"/>
      <c r="BT288" s="5" t="n"/>
      <c r="BU288" s="5" t="n"/>
      <c r="BV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5" t="n"/>
      <c r="AI289" s="5" t="n"/>
      <c r="AJ289" s="5" t="n"/>
      <c r="AK289" s="5" t="n"/>
      <c r="AL289" s="5" t="n"/>
      <c r="AM289" s="5" t="n"/>
      <c r="AN289" s="5" t="n"/>
      <c r="AO289" s="5" t="n"/>
      <c r="AP289" s="5" t="n"/>
      <c r="AQ289" s="5" t="n"/>
      <c r="AR289" s="5" t="n"/>
      <c r="AS289" s="5" t="n"/>
      <c r="AT289" s="5" t="n"/>
      <c r="AU289" s="5" t="n"/>
      <c r="AV289" s="5" t="n"/>
      <c r="AW289" s="5" t="n"/>
      <c r="AX289" s="5" t="n"/>
      <c r="AY289" s="5" t="n"/>
      <c r="AZ289" s="5" t="n"/>
      <c r="BA289" s="5" t="n"/>
      <c r="BB289" s="5" t="n"/>
      <c r="BC289" s="5" t="n"/>
      <c r="BD289" s="5" t="n"/>
      <c r="BE289" s="5" t="n"/>
      <c r="BF289" s="5" t="n"/>
      <c r="BG289" s="5" t="n"/>
      <c r="BH289" s="5" t="n"/>
      <c r="BI289" s="5" t="n"/>
      <c r="BJ289" s="5" t="n"/>
      <c r="BK289" s="5" t="n"/>
      <c r="BL289" s="5" t="n"/>
      <c r="BM289" s="5" t="n"/>
      <c r="BN289" s="5" t="n"/>
      <c r="BO289" s="5" t="n"/>
      <c r="BP289" s="5" t="n"/>
      <c r="BQ289" s="5" t="n"/>
      <c r="BR289" s="5" t="n"/>
      <c r="BS289" s="5" t="n"/>
      <c r="BT289" s="5" t="n"/>
      <c r="BU289" s="5" t="n"/>
      <c r="BV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5" t="n"/>
      <c r="AI290" s="5" t="n"/>
      <c r="AJ290" s="5" t="n"/>
      <c r="AK290" s="5" t="n"/>
      <c r="AL290" s="5" t="n"/>
      <c r="AM290" s="5" t="n"/>
      <c r="AN290" s="5" t="n"/>
      <c r="AO290" s="5" t="n"/>
      <c r="AP290" s="5" t="n"/>
      <c r="AQ290" s="5" t="n"/>
      <c r="AR290" s="5" t="n"/>
      <c r="AS290" s="5" t="n"/>
      <c r="AT290" s="5" t="n"/>
      <c r="AU290" s="5" t="n"/>
      <c r="AV290" s="5" t="n"/>
      <c r="AW290" s="5" t="n"/>
      <c r="AX290" s="5" t="n"/>
      <c r="AY290" s="5" t="n"/>
      <c r="AZ290" s="5" t="n"/>
      <c r="BA290" s="5" t="n"/>
      <c r="BB290" s="5" t="n"/>
      <c r="BC290" s="5" t="n"/>
      <c r="BD290" s="5" t="n"/>
      <c r="BE290" s="5" t="n"/>
      <c r="BF290" s="5" t="n"/>
      <c r="BG290" s="5" t="n"/>
      <c r="BH290" s="5" t="n"/>
      <c r="BI290" s="5" t="n"/>
      <c r="BJ290" s="5" t="n"/>
      <c r="BK290" s="5" t="n"/>
      <c r="BL290" s="5" t="n"/>
      <c r="BM290" s="5" t="n"/>
      <c r="BN290" s="5" t="n"/>
      <c r="BO290" s="5" t="n"/>
      <c r="BP290" s="5" t="n"/>
      <c r="BQ290" s="5" t="n"/>
      <c r="BR290" s="5" t="n"/>
      <c r="BS290" s="5" t="n"/>
      <c r="BT290" s="5" t="n"/>
      <c r="BU290" s="5" t="n"/>
      <c r="BV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5" t="n"/>
      <c r="AI291" s="5" t="n"/>
      <c r="AJ291" s="5" t="n"/>
      <c r="AK291" s="5" t="n"/>
      <c r="AL291" s="5" t="n"/>
      <c r="AM291" s="5" t="n"/>
      <c r="AN291" s="5" t="n"/>
      <c r="AO291" s="5" t="n"/>
      <c r="AP291" s="5" t="n"/>
      <c r="AQ291" s="5" t="n"/>
      <c r="AR291" s="5" t="n"/>
      <c r="AS291" s="5" t="n"/>
      <c r="AT291" s="5" t="n"/>
      <c r="AU291" s="5" t="n"/>
      <c r="AV291" s="5" t="n"/>
      <c r="AW291" s="5" t="n"/>
      <c r="AX291" s="5" t="n"/>
      <c r="AY291" s="5" t="n"/>
      <c r="AZ291" s="5" t="n"/>
      <c r="BA291" s="5" t="n"/>
      <c r="BB291" s="5" t="n"/>
      <c r="BC291" s="5" t="n"/>
      <c r="BD291" s="5" t="n"/>
      <c r="BE291" s="5" t="n"/>
      <c r="BF291" s="5" t="n"/>
      <c r="BG291" s="5" t="n"/>
      <c r="BH291" s="5" t="n"/>
      <c r="BI291" s="5" t="n"/>
      <c r="BJ291" s="5" t="n"/>
      <c r="BK291" s="5" t="n"/>
      <c r="BL291" s="5" t="n"/>
      <c r="BM291" s="5" t="n"/>
      <c r="BN291" s="5" t="n"/>
      <c r="BO291" s="5" t="n"/>
      <c r="BP291" s="5" t="n"/>
      <c r="BQ291" s="5" t="n"/>
      <c r="BR291" s="5" t="n"/>
      <c r="BS291" s="5" t="n"/>
      <c r="BT291" s="5" t="n"/>
      <c r="BU291" s="5" t="n"/>
      <c r="BV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5" t="n"/>
      <c r="AE292" s="5" t="n"/>
      <c r="AF292" s="5" t="n"/>
      <c r="AG292" s="5" t="n"/>
      <c r="AH292" s="5" t="n"/>
      <c r="AI292" s="5" t="n"/>
      <c r="AJ292" s="5" t="n"/>
      <c r="AK292" s="5" t="n"/>
      <c r="AL292" s="5" t="n"/>
      <c r="AM292" s="5" t="n"/>
      <c r="AN292" s="5" t="n"/>
      <c r="AO292" s="5" t="n"/>
      <c r="AP292" s="5" t="n"/>
      <c r="AQ292" s="5" t="n"/>
      <c r="AR292" s="5" t="n"/>
      <c r="AS292" s="5" t="n"/>
      <c r="AT292" s="5" t="n"/>
      <c r="AU292" s="5" t="n"/>
      <c r="AV292" s="5" t="n"/>
      <c r="AW292" s="5" t="n"/>
      <c r="AX292" s="5" t="n"/>
      <c r="AY292" s="5" t="n"/>
      <c r="AZ292" s="5" t="n"/>
      <c r="BA292" s="5" t="n"/>
      <c r="BB292" s="5" t="n"/>
      <c r="BC292" s="5" t="n"/>
      <c r="BD292" s="5" t="n"/>
      <c r="BE292" s="5" t="n"/>
      <c r="BF292" s="5" t="n"/>
      <c r="BG292" s="5" t="n"/>
      <c r="BH292" s="5" t="n"/>
      <c r="BI292" s="5" t="n"/>
      <c r="BJ292" s="5" t="n"/>
      <c r="BK292" s="5" t="n"/>
      <c r="BL292" s="5" t="n"/>
      <c r="BM292" s="5" t="n"/>
      <c r="BN292" s="5" t="n"/>
      <c r="BO292" s="5" t="n"/>
      <c r="BP292" s="5" t="n"/>
      <c r="BQ292" s="5" t="n"/>
      <c r="BR292" s="5" t="n"/>
      <c r="BS292" s="5" t="n"/>
      <c r="BT292" s="5" t="n"/>
      <c r="BU292" s="5" t="n"/>
      <c r="BV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5" t="n"/>
      <c r="AI293" s="5" t="n"/>
      <c r="AJ293" s="5" t="n"/>
      <c r="AK293" s="5" t="n"/>
      <c r="AL293" s="5" t="n"/>
      <c r="AM293" s="5" t="n"/>
      <c r="AN293" s="5" t="n"/>
      <c r="AO293" s="5" t="n"/>
      <c r="AP293" s="5" t="n"/>
      <c r="AQ293" s="5" t="n"/>
      <c r="AR293" s="5" t="n"/>
      <c r="AS293" s="5" t="n"/>
      <c r="AT293" s="5" t="n"/>
      <c r="AU293" s="5" t="n"/>
      <c r="AV293" s="5" t="n"/>
      <c r="AW293" s="5" t="n"/>
      <c r="AX293" s="5" t="n"/>
      <c r="AY293" s="5" t="n"/>
      <c r="AZ293" s="5" t="n"/>
      <c r="BA293" s="5" t="n"/>
      <c r="BB293" s="5" t="n"/>
      <c r="BC293" s="5" t="n"/>
      <c r="BD293" s="5" t="n"/>
      <c r="BE293" s="5" t="n"/>
      <c r="BF293" s="5" t="n"/>
      <c r="BG293" s="5" t="n"/>
      <c r="BH293" s="5" t="n"/>
      <c r="BI293" s="5" t="n"/>
      <c r="BJ293" s="5" t="n"/>
      <c r="BK293" s="5" t="n"/>
      <c r="BL293" s="5" t="n"/>
      <c r="BM293" s="5" t="n"/>
      <c r="BN293" s="5" t="n"/>
      <c r="BO293" s="5" t="n"/>
      <c r="BP293" s="5" t="n"/>
      <c r="BQ293" s="5" t="n"/>
      <c r="BR293" s="5" t="n"/>
      <c r="BS293" s="5" t="n"/>
      <c r="BT293" s="5" t="n"/>
      <c r="BU293" s="5" t="n"/>
      <c r="BV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5" t="n"/>
      <c r="AI294" s="5" t="n"/>
      <c r="AJ294" s="5" t="n"/>
      <c r="AK294" s="5" t="n"/>
      <c r="AL294" s="5" t="n"/>
      <c r="AM294" s="5" t="n"/>
      <c r="AN294" s="5" t="n"/>
      <c r="AO294" s="5" t="n"/>
      <c r="AP294" s="5" t="n"/>
      <c r="AQ294" s="5" t="n"/>
      <c r="AR294" s="5" t="n"/>
      <c r="AS294" s="5" t="n"/>
      <c r="AT294" s="5" t="n"/>
      <c r="AU294" s="5" t="n"/>
      <c r="AV294" s="5" t="n"/>
      <c r="AW294" s="5" t="n"/>
      <c r="AX294" s="5" t="n"/>
      <c r="AY294" s="5" t="n"/>
      <c r="AZ294" s="5" t="n"/>
      <c r="BA294" s="5" t="n"/>
      <c r="BB294" s="5" t="n"/>
      <c r="BC294" s="5" t="n"/>
      <c r="BD294" s="5" t="n"/>
      <c r="BE294" s="5" t="n"/>
      <c r="BF294" s="5" t="n"/>
      <c r="BG294" s="5" t="n"/>
      <c r="BH294" s="5" t="n"/>
      <c r="BI294" s="5" t="n"/>
      <c r="BJ294" s="5" t="n"/>
      <c r="BK294" s="5" t="n"/>
      <c r="BL294" s="5" t="n"/>
      <c r="BM294" s="5" t="n"/>
      <c r="BN294" s="5" t="n"/>
      <c r="BO294" s="5" t="n"/>
      <c r="BP294" s="5" t="n"/>
      <c r="BQ294" s="5" t="n"/>
      <c r="BR294" s="5" t="n"/>
      <c r="BS294" s="5" t="n"/>
      <c r="BT294" s="5" t="n"/>
      <c r="BU294" s="5" t="n"/>
      <c r="BV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5" t="n"/>
      <c r="AI295" s="5" t="n"/>
      <c r="AJ295" s="5" t="n"/>
      <c r="AK295" s="5" t="n"/>
      <c r="AL295" s="5" t="n"/>
      <c r="AM295" s="5" t="n"/>
      <c r="AN295" s="5" t="n"/>
      <c r="AO295" s="5" t="n"/>
      <c r="AP295" s="5" t="n"/>
      <c r="AQ295" s="5" t="n"/>
      <c r="AR295" s="5" t="n"/>
      <c r="AS295" s="5" t="n"/>
      <c r="AT295" s="5" t="n"/>
      <c r="AU295" s="5" t="n"/>
      <c r="AV295" s="5" t="n"/>
      <c r="AW295" s="5" t="n"/>
      <c r="AX295" s="5" t="n"/>
      <c r="AY295" s="5" t="n"/>
      <c r="AZ295" s="5" t="n"/>
      <c r="BA295" s="5" t="n"/>
      <c r="BB295" s="5" t="n"/>
      <c r="BC295" s="5" t="n"/>
      <c r="BD295" s="5" t="n"/>
      <c r="BE295" s="5" t="n"/>
      <c r="BF295" s="5" t="n"/>
      <c r="BG295" s="5" t="n"/>
      <c r="BH295" s="5" t="n"/>
      <c r="BI295" s="5" t="n"/>
      <c r="BJ295" s="5" t="n"/>
      <c r="BK295" s="5" t="n"/>
      <c r="BL295" s="5" t="n"/>
      <c r="BM295" s="5" t="n"/>
      <c r="BN295" s="5" t="n"/>
      <c r="BO295" s="5" t="n"/>
      <c r="BP295" s="5" t="n"/>
      <c r="BQ295" s="5" t="n"/>
      <c r="BR295" s="5" t="n"/>
      <c r="BS295" s="5" t="n"/>
      <c r="BT295" s="5" t="n"/>
      <c r="BU295" s="5" t="n"/>
      <c r="BV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5" t="n"/>
      <c r="AI296" s="5" t="n"/>
      <c r="AJ296" s="5" t="n"/>
      <c r="AK296" s="5" t="n"/>
      <c r="AL296" s="5" t="n"/>
      <c r="AM296" s="5" t="n"/>
      <c r="AN296" s="5" t="n"/>
      <c r="AO296" s="5" t="n"/>
      <c r="AP296" s="5" t="n"/>
      <c r="AQ296" s="5" t="n"/>
      <c r="AR296" s="5" t="n"/>
      <c r="AS296" s="5" t="n"/>
      <c r="AT296" s="5" t="n"/>
      <c r="AU296" s="5" t="n"/>
      <c r="AV296" s="5" t="n"/>
      <c r="AW296" s="5" t="n"/>
      <c r="AX296" s="5" t="n"/>
      <c r="AY296" s="5" t="n"/>
      <c r="AZ296" s="5" t="n"/>
      <c r="BA296" s="5" t="n"/>
      <c r="BB296" s="5" t="n"/>
      <c r="BC296" s="5" t="n"/>
      <c r="BD296" s="5" t="n"/>
      <c r="BE296" s="5" t="n"/>
      <c r="BF296" s="5" t="n"/>
      <c r="BG296" s="5" t="n"/>
      <c r="BH296" s="5" t="n"/>
      <c r="BI296" s="5" t="n"/>
      <c r="BJ296" s="5" t="n"/>
      <c r="BK296" s="5" t="n"/>
      <c r="BL296" s="5" t="n"/>
      <c r="BM296" s="5" t="n"/>
      <c r="BN296" s="5" t="n"/>
      <c r="BO296" s="5" t="n"/>
      <c r="BP296" s="5" t="n"/>
      <c r="BQ296" s="5" t="n"/>
      <c r="BR296" s="5" t="n"/>
      <c r="BS296" s="5" t="n"/>
      <c r="BT296" s="5" t="n"/>
      <c r="BU296" s="5" t="n"/>
      <c r="BV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5" t="n"/>
      <c r="AI297" s="5" t="n"/>
      <c r="AJ297" s="5" t="n"/>
      <c r="AK297" s="5" t="n"/>
      <c r="AL297" s="5" t="n"/>
      <c r="AM297" s="5" t="n"/>
      <c r="AN297" s="5" t="n"/>
      <c r="AO297" s="5" t="n"/>
      <c r="AP297" s="5" t="n"/>
      <c r="AQ297" s="5" t="n"/>
      <c r="AR297" s="5" t="n"/>
      <c r="AS297" s="5" t="n"/>
      <c r="AT297" s="5" t="n"/>
      <c r="AU297" s="5" t="n"/>
      <c r="AV297" s="5" t="n"/>
      <c r="AW297" s="5" t="n"/>
      <c r="AX297" s="5" t="n"/>
      <c r="AY297" s="5" t="n"/>
      <c r="AZ297" s="5" t="n"/>
      <c r="BA297" s="5" t="n"/>
      <c r="BB297" s="5" t="n"/>
      <c r="BC297" s="5" t="n"/>
      <c r="BD297" s="5" t="n"/>
      <c r="BE297" s="5" t="n"/>
      <c r="BF297" s="5" t="n"/>
      <c r="BG297" s="5" t="n"/>
      <c r="BH297" s="5" t="n"/>
      <c r="BI297" s="5" t="n"/>
      <c r="BJ297" s="5" t="n"/>
      <c r="BK297" s="5" t="n"/>
      <c r="BL297" s="5" t="n"/>
      <c r="BM297" s="5" t="n"/>
      <c r="BN297" s="5" t="n"/>
      <c r="BO297" s="5" t="n"/>
      <c r="BP297" s="5" t="n"/>
      <c r="BQ297" s="5" t="n"/>
      <c r="BR297" s="5" t="n"/>
      <c r="BS297" s="5" t="n"/>
      <c r="BT297" s="5" t="n"/>
      <c r="BU297" s="5" t="n"/>
      <c r="BV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5" t="n"/>
      <c r="AI298" s="5" t="n"/>
      <c r="AJ298" s="5" t="n"/>
      <c r="AK298" s="5" t="n"/>
      <c r="AL298" s="5" t="n"/>
      <c r="AM298" s="5" t="n"/>
      <c r="AN298" s="5" t="n"/>
      <c r="AO298" s="5" t="n"/>
      <c r="AP298" s="5" t="n"/>
      <c r="AQ298" s="5" t="n"/>
      <c r="AR298" s="5" t="n"/>
      <c r="AS298" s="5" t="n"/>
      <c r="AT298" s="5" t="n"/>
      <c r="AU298" s="5" t="n"/>
      <c r="AV298" s="5" t="n"/>
      <c r="AW298" s="5" t="n"/>
      <c r="AX298" s="5" t="n"/>
      <c r="AY298" s="5" t="n"/>
      <c r="AZ298" s="5" t="n"/>
      <c r="BA298" s="5" t="n"/>
      <c r="BB298" s="5" t="n"/>
      <c r="BC298" s="5" t="n"/>
      <c r="BD298" s="5" t="n"/>
      <c r="BE298" s="5" t="n"/>
      <c r="BF298" s="5" t="n"/>
      <c r="BG298" s="5" t="n"/>
      <c r="BH298" s="5" t="n"/>
      <c r="BI298" s="5" t="n"/>
      <c r="BJ298" s="5" t="n"/>
      <c r="BK298" s="5" t="n"/>
      <c r="BL298" s="5" t="n"/>
      <c r="BM298" s="5" t="n"/>
      <c r="BN298" s="5" t="n"/>
      <c r="BO298" s="5" t="n"/>
      <c r="BP298" s="5" t="n"/>
      <c r="BQ298" s="5" t="n"/>
      <c r="BR298" s="5" t="n"/>
      <c r="BS298" s="5" t="n"/>
      <c r="BT298" s="5" t="n"/>
      <c r="BU298" s="5" t="n"/>
      <c r="BV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5" t="n"/>
      <c r="AI299" s="5" t="n"/>
      <c r="AJ299" s="5" t="n"/>
      <c r="AK299" s="5" t="n"/>
      <c r="AL299" s="5" t="n"/>
      <c r="AM299" s="5" t="n"/>
      <c r="AN299" s="5" t="n"/>
      <c r="AO299" s="5" t="n"/>
      <c r="AP299" s="5" t="n"/>
      <c r="AQ299" s="5" t="n"/>
      <c r="AR299" s="5" t="n"/>
      <c r="AS299" s="5" t="n"/>
      <c r="AT299" s="5" t="n"/>
      <c r="AU299" s="5" t="n"/>
      <c r="AV299" s="5" t="n"/>
      <c r="AW299" s="5" t="n"/>
      <c r="AX299" s="5" t="n"/>
      <c r="AY299" s="5" t="n"/>
      <c r="AZ299" s="5" t="n"/>
      <c r="BA299" s="5" t="n"/>
      <c r="BB299" s="5" t="n"/>
      <c r="BC299" s="5" t="n"/>
      <c r="BD299" s="5" t="n"/>
      <c r="BE299" s="5" t="n"/>
      <c r="BF299" s="5" t="n"/>
      <c r="BG299" s="5" t="n"/>
      <c r="BH299" s="5" t="n"/>
      <c r="BI299" s="5" t="n"/>
      <c r="BJ299" s="5" t="n"/>
      <c r="BK299" s="5" t="n"/>
      <c r="BL299" s="5" t="n"/>
      <c r="BM299" s="5" t="n"/>
      <c r="BN299" s="5" t="n"/>
      <c r="BO299" s="5" t="n"/>
      <c r="BP299" s="5" t="n"/>
      <c r="BQ299" s="5" t="n"/>
      <c r="BR299" s="5" t="n"/>
      <c r="BS299" s="5" t="n"/>
      <c r="BT299" s="5" t="n"/>
      <c r="BU299" s="5" t="n"/>
      <c r="BV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5" t="n"/>
      <c r="AI300" s="5" t="n"/>
      <c r="AJ300" s="5" t="n"/>
      <c r="AK300" s="5" t="n"/>
      <c r="AL300" s="5" t="n"/>
      <c r="AM300" s="5" t="n"/>
      <c r="AN300" s="5" t="n"/>
      <c r="AO300" s="5" t="n"/>
      <c r="AP300" s="5" t="n"/>
      <c r="AQ300" s="5" t="n"/>
      <c r="AR300" s="5" t="n"/>
      <c r="AS300" s="5" t="n"/>
      <c r="AT300" s="5" t="n"/>
      <c r="AU300" s="5" t="n"/>
      <c r="AV300" s="5" t="n"/>
      <c r="AW300" s="5" t="n"/>
      <c r="AX300" s="5" t="n"/>
      <c r="AY300" s="5" t="n"/>
      <c r="AZ300" s="5" t="n"/>
      <c r="BA300" s="5" t="n"/>
      <c r="BB300" s="5" t="n"/>
      <c r="BC300" s="5" t="n"/>
      <c r="BD300" s="5" t="n"/>
      <c r="BE300" s="5" t="n"/>
      <c r="BF300" s="5" t="n"/>
      <c r="BG300" s="5" t="n"/>
      <c r="BH300" s="5" t="n"/>
      <c r="BI300" s="5" t="n"/>
      <c r="BJ300" s="5" t="n"/>
      <c r="BK300" s="5" t="n"/>
      <c r="BL300" s="5" t="n"/>
      <c r="BM300" s="5" t="n"/>
      <c r="BN300" s="5" t="n"/>
      <c r="BO300" s="5" t="n"/>
      <c r="BP300" s="5" t="n"/>
      <c r="BQ300" s="5" t="n"/>
      <c r="BR300" s="5" t="n"/>
      <c r="BS300" s="5" t="n"/>
      <c r="BT300" s="5" t="n"/>
      <c r="BU300" s="5" t="n"/>
      <c r="BV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5" t="n"/>
      <c r="AI301" s="5" t="n"/>
      <c r="AJ301" s="5" t="n"/>
      <c r="AK301" s="5" t="n"/>
      <c r="AL301" s="5" t="n"/>
      <c r="AM301" s="5" t="n"/>
      <c r="AN301" s="5" t="n"/>
      <c r="AO301" s="5" t="n"/>
      <c r="AP301" s="5" t="n"/>
      <c r="AQ301" s="5" t="n"/>
      <c r="AR301" s="5" t="n"/>
      <c r="AS301" s="5" t="n"/>
      <c r="AT301" s="5" t="n"/>
      <c r="AU301" s="5" t="n"/>
      <c r="AV301" s="5" t="n"/>
      <c r="AW301" s="5" t="n"/>
      <c r="AX301" s="5" t="n"/>
      <c r="AY301" s="5" t="n"/>
      <c r="AZ301" s="5" t="n"/>
      <c r="BA301" s="5" t="n"/>
      <c r="BB301" s="5" t="n"/>
      <c r="BC301" s="5" t="n"/>
      <c r="BD301" s="5" t="n"/>
      <c r="BE301" s="5" t="n"/>
      <c r="BF301" s="5" t="n"/>
      <c r="BG301" s="5" t="n"/>
      <c r="BH301" s="5" t="n"/>
      <c r="BI301" s="5" t="n"/>
      <c r="BJ301" s="5" t="n"/>
      <c r="BK301" s="5" t="n"/>
      <c r="BL301" s="5" t="n"/>
      <c r="BM301" s="5" t="n"/>
      <c r="BN301" s="5" t="n"/>
      <c r="BO301" s="5" t="n"/>
      <c r="BP301" s="5" t="n"/>
      <c r="BQ301" s="5" t="n"/>
      <c r="BR301" s="5" t="n"/>
      <c r="BS301" s="5" t="n"/>
      <c r="BT301" s="5" t="n"/>
      <c r="BU301" s="5" t="n"/>
      <c r="BV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5" t="n"/>
      <c r="AI302" s="5" t="n"/>
      <c r="AJ302" s="5" t="n"/>
      <c r="AK302" s="5" t="n"/>
      <c r="AL302" s="5" t="n"/>
      <c r="AM302" s="5" t="n"/>
      <c r="AN302" s="5" t="n"/>
      <c r="AO302" s="5" t="n"/>
      <c r="AP302" s="5" t="n"/>
      <c r="AQ302" s="5" t="n"/>
      <c r="AR302" s="5" t="n"/>
      <c r="AS302" s="5" t="n"/>
      <c r="AT302" s="5" t="n"/>
      <c r="AU302" s="5" t="n"/>
      <c r="AV302" s="5" t="n"/>
      <c r="AW302" s="5" t="n"/>
      <c r="AX302" s="5" t="n"/>
      <c r="AY302" s="5" t="n"/>
      <c r="AZ302" s="5" t="n"/>
      <c r="BA302" s="5" t="n"/>
      <c r="BB302" s="5" t="n"/>
      <c r="BC302" s="5" t="n"/>
      <c r="BD302" s="5" t="n"/>
      <c r="BE302" s="5" t="n"/>
      <c r="BF302" s="5" t="n"/>
      <c r="BG302" s="5" t="n"/>
      <c r="BH302" s="5" t="n"/>
      <c r="BI302" s="5" t="n"/>
      <c r="BJ302" s="5" t="n"/>
      <c r="BK302" s="5" t="n"/>
      <c r="BL302" s="5" t="n"/>
      <c r="BM302" s="5" t="n"/>
      <c r="BN302" s="5" t="n"/>
      <c r="BO302" s="5" t="n"/>
      <c r="BP302" s="5" t="n"/>
      <c r="BQ302" s="5" t="n"/>
      <c r="BR302" s="5" t="n"/>
      <c r="BS302" s="5" t="n"/>
      <c r="BT302" s="5" t="n"/>
      <c r="BU302" s="5" t="n"/>
      <c r="BV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5" t="n"/>
      <c r="AI303" s="5" t="n"/>
      <c r="AJ303" s="5" t="n"/>
      <c r="AK303" s="5" t="n"/>
      <c r="AL303" s="5" t="n"/>
      <c r="AM303" s="5" t="n"/>
      <c r="AN303" s="5" t="n"/>
      <c r="AO303" s="5" t="n"/>
      <c r="AP303" s="5" t="n"/>
      <c r="AQ303" s="5" t="n"/>
      <c r="AR303" s="5" t="n"/>
      <c r="AS303" s="5" t="n"/>
      <c r="AT303" s="5" t="n"/>
      <c r="AU303" s="5" t="n"/>
      <c r="AV303" s="5" t="n"/>
      <c r="AW303" s="5" t="n"/>
      <c r="AX303" s="5" t="n"/>
      <c r="AY303" s="5" t="n"/>
      <c r="AZ303" s="5" t="n"/>
      <c r="BA303" s="5" t="n"/>
      <c r="BB303" s="5" t="n"/>
      <c r="BC303" s="5" t="n"/>
      <c r="BD303" s="5" t="n"/>
      <c r="BE303" s="5" t="n"/>
      <c r="BF303" s="5" t="n"/>
      <c r="BG303" s="5" t="n"/>
      <c r="BH303" s="5" t="n"/>
      <c r="BI303" s="5" t="n"/>
      <c r="BJ303" s="5" t="n"/>
      <c r="BK303" s="5" t="n"/>
      <c r="BL303" s="5" t="n"/>
      <c r="BM303" s="5" t="n"/>
      <c r="BN303" s="5" t="n"/>
      <c r="BO303" s="5" t="n"/>
      <c r="BP303" s="5" t="n"/>
      <c r="BQ303" s="5" t="n"/>
      <c r="BR303" s="5" t="n"/>
      <c r="BS303" s="5" t="n"/>
      <c r="BT303" s="5" t="n"/>
      <c r="BU303" s="5" t="n"/>
      <c r="BV303" s="5" t="n"/>
      <c r="GZ303" s="18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F5597"/>
    <outlinePr summaryBelow="1" summaryRight="1"/>
    <pageSetUpPr/>
  </sheetPr>
  <dimension ref="A1:AR4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0" customWidth="1" min="3" max="3"/>
    <col width="6" customWidth="1" min="4" max="4"/>
    <col width="12" customWidth="1" min="5" max="5"/>
    <col width="14" customWidth="1" min="6" max="6"/>
    <col width="11" customWidth="1" min="7" max="7"/>
    <col width="10" customWidth="1" min="8" max="8"/>
    <col width="12" customWidth="1" min="9" max="9"/>
    <col width="14" customWidth="1" min="10" max="10"/>
    <col width="13" customWidth="1" min="11" max="11"/>
    <col width="9" customWidth="1" min="12" max="12"/>
    <col width="11" customWidth="1" min="13" max="13"/>
    <col width="13" customWidth="1" min="14" max="14"/>
    <col width="16" customWidth="1" min="15" max="15"/>
    <col width="10" customWidth="1" min="16" max="16"/>
    <col width="11" customWidth="1" min="17" max="17"/>
    <col width="15" customWidth="1" min="18" max="18"/>
    <col width="12" customWidth="1" min="19" max="19"/>
    <col width="12" customWidth="1" min="20" max="20"/>
    <col width="10" customWidth="1" min="21" max="21"/>
    <col width="10" customWidth="1" min="22" max="22"/>
    <col width="10" customWidth="1" min="23" max="23"/>
    <col width="11" customWidth="1" min="24" max="24"/>
    <col width="14" customWidth="1" min="25" max="25"/>
    <col width="26" customWidth="1" min="26" max="26"/>
    <col width="20" customWidth="1" min="27" max="27"/>
    <col width="9" customWidth="1" min="28" max="28"/>
    <col width="9" customWidth="1" min="29" max="29"/>
    <col width="18" customWidth="1" min="30" max="30"/>
    <col width="11" customWidth="1" min="31" max="31"/>
    <col width="9" customWidth="1" min="32" max="32"/>
    <col width="12" customWidth="1" min="33" max="33"/>
    <col width="10" customWidth="1" min="34" max="34"/>
    <col width="10" customWidth="1" min="35" max="35"/>
    <col width="10" customWidth="1" min="36" max="36"/>
    <col width="9" customWidth="1" min="37" max="37"/>
    <col width="26" customWidth="1" min="38" max="38"/>
    <col width="9" customWidth="1" min="39" max="39"/>
    <col width="9" customWidth="1" min="40" max="40"/>
    <col width="34" customWidth="1" min="41" max="41"/>
    <col width="16" customWidth="1" min="42" max="42"/>
    <col width="9" customWidth="1" min="43" max="43"/>
    <col width="11" customWidth="1" min="44" max="44"/>
  </cols>
  <sheetData>
    <row r="1" ht="42" customHeight="1">
      <c r="A1" s="12" t="inlineStr">
        <is>
          <t>번호</t>
        </is>
      </c>
      <c r="B1" s="12" t="inlineStr">
        <is>
          <t>사번</t>
        </is>
      </c>
      <c r="C1" s="9" t="inlineStr">
        <is>
          <t>이름</t>
        </is>
      </c>
      <c r="D1" s="9" t="inlineStr">
        <is>
          <t>성별</t>
        </is>
      </c>
      <c r="E1" s="9" t="inlineStr">
        <is>
          <t>생년월일</t>
        </is>
      </c>
      <c r="F1" s="9" t="inlineStr">
        <is>
          <t>수련과목</t>
        </is>
      </c>
      <c r="G1" s="9" t="inlineStr">
        <is>
          <t>연차</t>
        </is>
      </c>
      <c r="H1" s="9" t="inlineStr">
        <is>
          <t>근무지</t>
        </is>
      </c>
      <c r="I1" s="9" t="inlineStr">
        <is>
          <t>수련개시일</t>
        </is>
      </c>
      <c r="J1" s="9" t="inlineStr">
        <is>
          <t>전공의등록번호</t>
        </is>
      </c>
      <c r="K1" s="9" t="inlineStr">
        <is>
          <t>의사면허번호</t>
        </is>
      </c>
      <c r="L1" s="9" t="inlineStr">
        <is>
          <t>재직여부</t>
        </is>
      </c>
      <c r="M1" s="12" t="inlineStr">
        <is>
          <t>입사장소</t>
        </is>
      </c>
      <c r="N1" s="9" t="inlineStr">
        <is>
          <t>현재 근무병원</t>
        </is>
      </c>
      <c r="O1" s="9" t="inlineStr">
        <is>
          <t>현재 진료과</t>
        </is>
      </c>
      <c r="P1" s="9" t="inlineStr">
        <is>
          <t>파견근거</t>
        </is>
      </c>
      <c r="Q1" s="9" t="inlineStr">
        <is>
          <t>파견병원</t>
        </is>
      </c>
      <c r="R1" s="9" t="inlineStr">
        <is>
          <t>파견진료과</t>
        </is>
      </c>
      <c r="S1" s="9" t="inlineStr">
        <is>
          <t>파견시작일</t>
        </is>
      </c>
      <c r="T1" s="9" t="inlineStr">
        <is>
          <t>파견종료일</t>
        </is>
      </c>
      <c r="U1" s="9" t="inlineStr">
        <is>
          <t>파견상태</t>
        </is>
      </c>
      <c r="V1" s="9" t="inlineStr">
        <is>
          <t>파견기간(일)</t>
        </is>
      </c>
      <c r="W1" s="9" t="inlineStr">
        <is>
          <t>종료까지(일)</t>
        </is>
      </c>
      <c r="X1" s="9" t="inlineStr">
        <is>
          <t>급여기준월 파견일수</t>
        </is>
      </c>
      <c r="Y1" s="9" t="inlineStr">
        <is>
          <t>급여지급병원(기준월)</t>
        </is>
      </c>
      <c r="Z1" s="9" t="inlineStr">
        <is>
          <t>점검</t>
        </is>
      </c>
      <c r="AA1" s="12" t="inlineStr">
        <is>
          <t>비고</t>
        </is>
      </c>
      <c r="AB1" s="9" t="inlineStr">
        <is>
          <t>기본자료행</t>
        </is>
      </c>
      <c r="AC1" s="9" t="inlineStr">
        <is>
          <t>인턴계획행</t>
        </is>
      </c>
      <c r="AD1" s="9" t="inlineStr">
        <is>
          <t>인턴 이번달</t>
        </is>
      </c>
      <c r="AE1" s="9" t="inlineStr">
        <is>
          <t>소속병원</t>
        </is>
      </c>
      <c r="AF1" s="9" t="inlineStr">
        <is>
          <t>파견기록행</t>
        </is>
      </c>
      <c r="AG1" s="9" t="inlineStr">
        <is>
          <t>기준월 근무병원</t>
        </is>
      </c>
      <c r="AH1" s="9" t="inlineStr">
        <is>
          <t>서울 근무일(기준월)</t>
        </is>
      </c>
      <c r="AI1" s="9" t="inlineStr">
        <is>
          <t>구리 근무일(기준월)</t>
        </is>
      </c>
      <c r="AJ1" s="9" t="inlineStr">
        <is>
          <t>기준월 대표파견행</t>
        </is>
      </c>
      <c r="AK1" s="9" t="inlineStr">
        <is>
          <t>다기관 기록행</t>
        </is>
      </c>
      <c r="AL1" s="9" t="inlineStr">
        <is>
          <t>다기관(비고 기재 기간)</t>
        </is>
      </c>
      <c r="AM1" s="9" t="inlineStr">
        <is>
          <t>서울급여 순번</t>
        </is>
      </c>
      <c r="AN1" s="9" t="inlineStr">
        <is>
          <t>판정불가 순번</t>
        </is>
      </c>
      <c r="AO1" s="9" t="inlineStr">
        <is>
          <t>급여 판정 근거</t>
        </is>
      </c>
      <c r="AP1" s="9" t="inlineStr">
        <is>
          <t>이름|과</t>
        </is>
      </c>
      <c r="AQ1" s="9" t="inlineStr">
        <is>
          <t>구리명단행</t>
        </is>
      </c>
      <c r="AR1" s="9" t="inlineStr">
        <is>
          <t>구리 근무자명단 근무일(기준월)</t>
        </is>
      </c>
    </row>
    <row r="2">
      <c r="A2" s="10">
        <f>IF(B2="","",ROW()-1)</f>
        <v/>
      </c>
      <c r="B2" s="19" t="inlineStr">
        <is>
          <t>2261212</t>
        </is>
      </c>
      <c r="C2" s="10">
        <f>IF($AB2="","",IF(INDEX(입력_기본자료!$C$2:$C$1001,$AB2)="","",INDEX(입력_기본자료!$C$2:$C$1001,$AB2)))</f>
        <v/>
      </c>
      <c r="D2" s="10">
        <f>IF($AB2="","",IF(INDEX(입력_기본자료!$J$2:$J$1001,$AB2)="","",INDEX(입력_기본자료!$J$2:$J$1001,$AB2)))</f>
        <v/>
      </c>
      <c r="E2" s="11">
        <f>IF($AB2="","",IF(INDEX(입력_기본자료!$K$2:$K$1001,$AB2)="","",IF(NOT(ISNUMBER(INDEX(입력_기본자료!$K$2:$K$1001,$AB2))),INDEX(입력_기본자료!$K$2:$K$1001,$AB2),IF(INDEX(입력_기본자료!$K$2:$K$1001,$AB2)&lt;1000000,INDEX(입력_기본자료!$K$2:$K$1001,$AB2),IF(AND(INDEX(입력_기본자료!$K$2:$K$1001,$AB2)&gt;=10000101,INT(MOD(INDEX(입력_기본자료!$K$2:$K$1001,$AB2),10000)/100)&gt;=1,INT(MOD(INDEX(입력_기본자료!$K$2:$K$1001,$AB2),10000)/100)&lt;=12,MOD(INDEX(입력_기본자료!$K$2:$K$1001,$AB2),100)&gt;=1,MOD(INDEX(입력_기본자료!$K$2:$K$1001,$AB2),100)&lt;=31),DATE(INT(INDEX(입력_기본자료!$K$2:$K$1001,$AB2)/10000),INT(MOD(INDEX(입력_기본자료!$K$2:$K$1001,$AB2),10000)/100),MOD(INDEX(입력_기본자료!$K$2:$K$1001,$AB2),100)),INDEX(입력_기본자료!$K$2:$K$1001,$AB2)&amp;"")))))</f>
        <v/>
      </c>
      <c r="F2" s="10">
        <f>IF($AB2="","",IF(INDEX(입력_기본자료!$D$2:$D$1001,$AB2)="","",INDEX(입력_기본자료!$D$2:$D$1001,$AB2)))</f>
        <v/>
      </c>
      <c r="G2" s="10">
        <f>IF($AB2="","",IF(INDEX(입력_기본자료!$E$2:$E$1001,$AB2)="","",INDEX(입력_기본자료!$E$2:$E$1001,$AB2)))</f>
        <v/>
      </c>
      <c r="H2" s="10">
        <f>IF($AB2="","",IF(INDEX(입력_기본자료!$F$2:$F$1001,$AB2)="","",INDEX(입력_기본자료!$F$2:$F$1001,$AB2)))</f>
        <v/>
      </c>
      <c r="I2" s="11">
        <f>IF($AB2="","",IF(INDEX(입력_기본자료!$G$2:$G$1001,$AB2)="","",IF(NOT(ISNUMBER(INDEX(입력_기본자료!$G$2:$G$1001,$AB2))),INDEX(입력_기본자료!$G$2:$G$1001,$AB2),IF(INDEX(입력_기본자료!$G$2:$G$1001,$AB2)&lt;1000000,INDEX(입력_기본자료!$G$2:$G$1001,$AB2),IF(AND(INDEX(입력_기본자료!$G$2:$G$1001,$AB2)&gt;=10000101,INT(MOD(INDEX(입력_기본자료!$G$2:$G$1001,$AB2),10000)/100)&gt;=1,INT(MOD(INDEX(입력_기본자료!$G$2:$G$1001,$AB2),10000)/100)&lt;=12,MOD(INDEX(입력_기본자료!$G$2:$G$1001,$AB2),100)&gt;=1,MOD(INDEX(입력_기본자료!$G$2:$G$1001,$AB2),100)&lt;=31),DATE(INT(INDEX(입력_기본자료!$G$2:$G$1001,$AB2)/10000),INT(MOD(INDEX(입력_기본자료!$G$2:$G$1001,$AB2),10000)/100),MOD(INDEX(입력_기본자료!$G$2:$G$1001,$AB2),100)),INDEX(입력_기본자료!$G$2:$G$1001,$AB2)&amp;"")))))</f>
        <v/>
      </c>
      <c r="J2" s="10">
        <f>IF($AB2="","",IF(INDEX(입력_기본자료!$H$2:$H$1001,$AB2)="","",INDEX(입력_기본자료!$H$2:$H$1001,$AB2)))</f>
        <v/>
      </c>
      <c r="K2" s="10">
        <f>IF($AB2="","",IF(INDEX(입력_기본자료!$I$2:$I$1001,$AB2)="","",INDEX(입력_기본자료!$I$2:$I$1001,$AB2)))</f>
        <v/>
      </c>
      <c r="L2" s="10">
        <f>IF($AB2="","",IF(INDEX(입력_기본자료!$A$2:$A$1001,$AB2)="","",INDEX(입력_기본자료!$A$2:$A$1001,$AB2)))</f>
        <v/>
      </c>
      <c r="M2" s="15" t="inlineStr">
        <is>
          <t>서울병원</t>
        </is>
      </c>
      <c r="N2" s="10">
        <f>IF($B2="","",IF(AND($U2="파견중",$Q2&lt;&gt;""),$Q2,IF(AND($AD2&lt;&gt;"",LEFT($AD2,1)&lt;&gt;"⚠"),LEFT($AD2,FIND(" ",$AD2)-1),IF($H2="","",IF(RIGHT($H2,2)="병원",$H2,$H2&amp;"병원")))))</f>
        <v/>
      </c>
      <c r="O2" s="10">
        <f>IF($B2="","",IF(AND($U2="파견중",$Q2&lt;&gt;""),IF($R2&lt;&gt;"",$R2,"파견과 미입력"),IF(AND($AD2&lt;&gt;"",LEFT($AD2,1)&lt;&gt;"⚠"),MID($AD2,FIND(" ",$AD2)+1,60),IF($F2="","",IF($F2="인턴","수련교육부(인턴)",$F2)))))</f>
        <v/>
      </c>
      <c r="P2" s="10">
        <f>IF($B2="","",IF($AK2&lt;&gt;"",IF(AND(TODAY()&gt;=INDEX(입력_파견수련계획!$AB$4:$AB$803,$AK2),OR(NOT(ISNUMBER(INDEX(입력_파견수련계획!$AC$4:$AC$803,$AK2))),TODAY()&lt;=INDEX(입력_파견수련계획!$AC$4:$AC$803,$AK2))),"다기관",IF($AF2="","",INDEX(입력_파견수련계획!$T$4:$T$803,$AF2))),IF($AF2="","",INDEX(입력_파견수련계획!$T$4:$T$803,$AF2))))</f>
        <v/>
      </c>
      <c r="Q2" s="10">
        <f>IF($AF2="","",INDEX(입력_파견수련계획!$S$4:$S$803,$AF2))</f>
        <v/>
      </c>
      <c r="R2" s="10">
        <f>IF($AF2="","",INDEX(입력_파견수련계획!$U$4:$U$803,$AF2))</f>
        <v/>
      </c>
      <c r="S2" s="11">
        <f>IF($AF2="","",IF(INDEX(입력_파견수련계획!$H$4:$H$803,$AF2)="","",INDEX(입력_파견수련계획!$H$4:$H$803,$AF2)))</f>
        <v/>
      </c>
      <c r="T2" s="11">
        <f>IF($AF2="","",IF(INDEX(입력_파견수련계획!$I$4:$I$803,$AF2)="","",INDEX(입력_파견수련계획!$I$4:$I$803,$AF2)))</f>
        <v/>
      </c>
      <c r="U2" s="10">
        <f>IF($AF2="","",INDEX(입력_파견수련계획!$X$4:$X$803,$AF2))</f>
        <v/>
      </c>
      <c r="V2" s="17">
        <f>IF($AF2="","",INDEX(입력_파견수련계획!$V$4:$V$803,$AF2))</f>
        <v/>
      </c>
      <c r="W2" s="17">
        <f>IF(AND($U2="파견중",$T2&lt;&gt;""),$T2-TODAY(),"")</f>
        <v/>
      </c>
      <c r="X2" s="17">
        <f>IF(OR($B2="",TRIM($J2&amp;"")=""),"",SUMPRODUCT((입력_파견수련계획!$Q$4:$Q$803=TRIM($J2&amp;""))*입력_파견수련계획!$W$4:$W$803))</f>
        <v/>
      </c>
      <c r="Y2" s="10">
        <f>IF($B2="","",IF($AG2="","",IF(IF(TRIM($J2&amp;"")="",0,SUMPRODUCT((입력_파견수련계획!$Q$4:$Q$803=TRIM($J2&amp;""))*입력_파견수련계획!$AD$4:$AD$803))&gt;0,$AE2,IF(AND(N($X2)&lt;=0,$AQ2=""),$AG2,IF($AH2+$AI2=DAY(EOMONTH(출력_요약!$B$3,0)),IF(AND($AH2&gt;=출력_요약!$E$3,$AI2&lt;출력_요약!$E$3),"서울병원",IF(AND($AI2&gt;=출력_요약!$E$3,$AH2&lt;출력_요약!$E$3),"구리병원","⚠15일 판정불가(서울 "&amp;$AH2&amp;"일/구리 "&amp;$AI2&amp;"일)")),IF($AJ2="",$AE2,IF(INDEX(입력_파견수련계획!$T$4:$T$803,$AJ2)="통합수련",INDEX(입력_파견수련계획!$S$4:$S$803,$AJ2),$AE2)))))))</f>
        <v/>
      </c>
      <c r="Z2" s="20">
        <f>IF($B2="","",IF($AB2="","기본자료에 없는 사번",IF(COUNTIF($B$2:$B$401,$B2)&gt;1,"중복 사번",IF($AE2="","소속(입사장소) 입력",IF(IF(TRIM($J2&amp;"")="",0,SUMPRODUCT((입력_파견수련계획!$Q$4:$Q$803=TRIM($J2&amp;""))*(입력_파견수련계획!$AA$4:$AA$803&lt;&gt;"")))&gt;0,"파견수련계획 입력오류 확인",IF(LEFT($Y2,1)="⚠","서울·구리 15일 판정 불가(양쪽 모두 이상/미만)",IF(IF($AC2="",0,N(INDEX(입력_인턴근무계획!$T$3:$T$402,$AC2)))&gt;0,"인턴계획 입력오류 확인",IF(AND($AQ2&lt;&gt;"",$AG2&lt;&gt;"구리병원",IF(TRIM($J2&amp;"")="",0,SUMPRODUCT((입력_파견수련계획!$Q$4:$Q$803=TRIM($J2&amp;""))*(입력_파견수련계획!$S$4:$S$803="구리병원")*입력_파견수련계획!$W$4:$W$803))=0),"구리 근무자명단에만 있음(파견수련계획 확인)",IF(AND($AC2&lt;&gt;"",$U2&lt;&gt;"파견중",$N2&lt;&gt;$AE2),"인턴 타지역 근무: 파견 여부 확인","정상")))))))))</f>
        <v/>
      </c>
      <c r="AA2" s="5" t="inlineStr">
        <is>
          <t>예시 데이터</t>
        </is>
      </c>
      <c r="AB2" s="10">
        <f>IF($B2="","",IFERROR(MATCH($B2,입력_기본자료!$B$2:$B$1001,0),IFERROR(MATCH($B2&amp;"",입력_기본자료!$B$2:$B$1001,0),IFERROR(MATCH(VALUE($B2),입력_기본자료!$B$2:$B$1001,0),""))))</f>
        <v/>
      </c>
      <c r="AC2" s="10">
        <f>IF($B2="","",IFERROR(MATCH($B2,입력_인턴근무계획!$D$3:$D$402,0),IFERROR(MATCH($B2&amp;"",입력_인턴근무계획!$D$3:$D$402,0),IFERROR(MATCH(VALUE($B2),입력_인턴근무계획!$D$3:$D$402,0),""))))</f>
        <v/>
      </c>
      <c r="AD2" s="10">
        <f>IF(OR($AC2="",출력_인턴현황!$G$3=""),"",INDEX(입력_인턴근무계획!$M$3:$R$402,$AC2,출력_인턴현황!$G$3)&amp;"")</f>
        <v/>
      </c>
      <c r="AE2" s="10">
        <f>IF($B2="","",IF($M2&lt;&gt;"",$M2,IF(IF($AQ2="",FALSE,INDEX(출력_구리근무자!$J$6:$J$305,$AQ2)="구리독자"),"구리병원",IF($AF2&lt;&gt;"",IF(LEFT(INDEX(입력_파견수련계획!$R$4:$R$803,$AF2),1)&lt;&gt;"⚠",INDEX(입력_파견수련계획!$R$4:$R$803,$AF2),IF($H2="","",IF(RIGHT($H2,2)="병원",$H2,$H2&amp;"병원"))),IF($H2="","",IF(RIGHT($H2,2)="병원",$H2,$H2&amp;"병원"))))))</f>
        <v/>
      </c>
      <c r="AF2" s="10">
        <f>IF(OR($B2="",TRIM($J2&amp;"")=""),"",IFERROR(MATCH(TRIM($J2&amp;"")&amp;"|파견중",입력_파견수련계획!$Y$4:$Y$803,0),IFERROR(MATCH(TRIM($J2&amp;"")&amp;"|파견예정",입력_파견수련계획!$Y$4:$Y$803,0),IFERROR(MATCH(TRIM($J2&amp;"")&amp;"|파견종료",입력_파견수련계획!$Y$4:$Y$803,0),""))))</f>
        <v/>
      </c>
      <c r="AG2" s="10">
        <f>IF($B2="","",IF(AND(IF(OR($AC2="",출력_인턴현황!$K$2=""),"",INDEX(입력_인턴근무계획!$M$3:$R$402,$AC2,출력_인턴현황!$K$2)&amp;"")&lt;&gt;"",LEFT(IF(OR($AC2="",출력_인턴현황!$K$2=""),"",INDEX(입력_인턴근무계획!$M$3:$R$402,$AC2,출력_인턴현황!$K$2)&amp;""),1)&lt;&gt;"⚠"),LEFT(IF(OR($AC2="",출력_인턴현황!$K$2=""),"",INDEX(입력_인턴근무계획!$M$3:$R$402,$AC2,출력_인턴현황!$K$2)&amp;""),FIND(" ",IF(OR($AC2="",출력_인턴현황!$K$2=""),"",INDEX(입력_인턴근무계획!$M$3:$R$402,$AC2,출력_인턴현황!$K$2)&amp;""))-1),$AE2))</f>
        <v/>
      </c>
      <c r="AH2" s="17">
        <f>IF($B2="","",IF($AQ2&lt;&gt;"",MAX(0,DAY(EOMONTH(출력_요약!$B$3,0))-N($AR2)),IF(TRIM($J2&amp;"")="",0,SUMPRODUCT((입력_파견수련계획!$Q$4:$Q$803=TRIM($J2&amp;""))*(입력_파견수련계획!$S$4:$S$803="서울병원")*입력_파견수련계획!$W$4:$W$803))+IF($AG2="서울병원",MAX(0,DAY(EOMONTH(출력_요약!$B$3,0))-N($X2)),0)))</f>
        <v/>
      </c>
      <c r="AI2" s="17">
        <f>IF($B2="","",IF($AQ2&lt;&gt;"",N($AR2),IF(TRIM($J2&amp;"")="",0,SUMPRODUCT((입력_파견수련계획!$Q$4:$Q$803=TRIM($J2&amp;""))*(입력_파견수련계획!$S$4:$S$803="구리병원")*입력_파견수련계획!$W$4:$W$803))+IF($AG2="구리병원",MAX(0,DAY(EOMONTH(출력_요약!$B$3,0))-N($X2)),0)))</f>
        <v/>
      </c>
      <c r="AJ2" s="10">
        <f>IF(OR($B2="",TRIM($J2&amp;"")=""),"",IFERROR(MATCH(TRIM($J2&amp;"")&amp;"|월",입력_파견수련계획!$Z$4:$Z$803,0),""))</f>
        <v/>
      </c>
      <c r="AK2" s="10">
        <f>IF(OR($B2="",TRIM($J2&amp;"")=""),"",IFERROR(MATCH(TRIM($J2&amp;"")&amp;"|다기관",입력_파견수련계획!$AE$4:$AE$803,0),""))</f>
        <v/>
      </c>
      <c r="AL2" s="10">
        <f>IF($AK2="","","다기관 "&amp;TEXT(INDEX(입력_파견수련계획!$AB$4:$AB$803,$AK2),"yyyy-mm-dd")&amp;"~"&amp;IF(ISNUMBER(INDEX(입력_파견수련계획!$AC$4:$AC$803,$AK2)),TEXT(INDEX(입력_파견수련계획!$AC$4:$AC$803,$AK2),"yyyy-mm-dd"),""))</f>
        <v/>
      </c>
      <c r="AM2" s="10">
        <f>IF($Y2="서울병원",COUNTIF($Y$2:$Y2,"서울병원"),"")</f>
        <v/>
      </c>
      <c r="AN2" s="10">
        <f>IF(LEFT($Y2,1)="⚠",COUNTIF($Y$2:$Y2,"⚠*"),"")</f>
        <v/>
      </c>
      <c r="AO2" s="10">
        <f>IF(OR($B2="",$Y2=""),"",IF(IF(TRIM($J2&amp;"")="",0,SUMPRODUCT((입력_파견수련계획!$Q$4:$Q$803=TRIM($J2&amp;""))*입력_파견수련계획!$AD$4:$AD$803))&gt;0,"다기관 기간 → 소속병원 지급",IF(AND(N($X2)&lt;=0,$AQ2=""),"파견 없음 → 그 달 근무병원 지급",IF($AH2+$AI2=DAY(EOMONTH(출력_요약!$B$3,0)),"서울 "&amp;$AH2&amp;"일 / 구리 "&amp;$AI2&amp;"일"&amp;IF($AQ2&lt;&gt;""," (구리 근무자명단 반영)","")&amp;" → 15일 이상 근무 병원 지급","타 병원 포함 → "&amp;IF($AJ2="","소속",INDEX(입력_파견수련계획!$T$4:$T$803,$AJ2))&amp;" 규칙"))))</f>
        <v/>
      </c>
      <c r="AP2" s="10">
        <f>IF($B2="","",$C2&amp;"|"&amp;$F2)</f>
        <v/>
      </c>
      <c r="AQ2" s="10">
        <f>IF($B2="","",IFERROR(MATCH(ROW()-1,출력_구리근무자!$K$6:$K$305,0),""))</f>
        <v/>
      </c>
      <c r="AR2" s="10">
        <f>IF($AQ2="","",INDEX(출력_구리근무자!$H$6:$H$305,$AQ2))</f>
        <v/>
      </c>
    </row>
    <row r="3">
      <c r="A3" s="10">
        <f>IF(B3="","",ROW()-1)</f>
        <v/>
      </c>
      <c r="B3" s="19" t="inlineStr">
        <is>
          <t>2261213</t>
        </is>
      </c>
      <c r="C3" s="10">
        <f>IF($AB3="","",IF(INDEX(입력_기본자료!$C$2:$C$1001,$AB3)="","",INDEX(입력_기본자료!$C$2:$C$1001,$AB3)))</f>
        <v/>
      </c>
      <c r="D3" s="10">
        <f>IF($AB3="","",IF(INDEX(입력_기본자료!$J$2:$J$1001,$AB3)="","",INDEX(입력_기본자료!$J$2:$J$1001,$AB3)))</f>
        <v/>
      </c>
      <c r="E3" s="11">
        <f>IF($AB3="","",IF(INDEX(입력_기본자료!$K$2:$K$1001,$AB3)="","",IF(NOT(ISNUMBER(INDEX(입력_기본자료!$K$2:$K$1001,$AB3))),INDEX(입력_기본자료!$K$2:$K$1001,$AB3),IF(INDEX(입력_기본자료!$K$2:$K$1001,$AB3)&lt;1000000,INDEX(입력_기본자료!$K$2:$K$1001,$AB3),IF(AND(INDEX(입력_기본자료!$K$2:$K$1001,$AB3)&gt;=10000101,INT(MOD(INDEX(입력_기본자료!$K$2:$K$1001,$AB3),10000)/100)&gt;=1,INT(MOD(INDEX(입력_기본자료!$K$2:$K$1001,$AB3),10000)/100)&lt;=12,MOD(INDEX(입력_기본자료!$K$2:$K$1001,$AB3),100)&gt;=1,MOD(INDEX(입력_기본자료!$K$2:$K$1001,$AB3),100)&lt;=31),DATE(INT(INDEX(입력_기본자료!$K$2:$K$1001,$AB3)/10000),INT(MOD(INDEX(입력_기본자료!$K$2:$K$1001,$AB3),10000)/100),MOD(INDEX(입력_기본자료!$K$2:$K$1001,$AB3),100)),INDEX(입력_기본자료!$K$2:$K$1001,$AB3)&amp;"")))))</f>
        <v/>
      </c>
      <c r="F3" s="10">
        <f>IF($AB3="","",IF(INDEX(입력_기본자료!$D$2:$D$1001,$AB3)="","",INDEX(입력_기본자료!$D$2:$D$1001,$AB3)))</f>
        <v/>
      </c>
      <c r="G3" s="10">
        <f>IF($AB3="","",IF(INDEX(입력_기본자료!$E$2:$E$1001,$AB3)="","",INDEX(입력_기본자료!$E$2:$E$1001,$AB3)))</f>
        <v/>
      </c>
      <c r="H3" s="10">
        <f>IF($AB3="","",IF(INDEX(입력_기본자료!$F$2:$F$1001,$AB3)="","",INDEX(입력_기본자료!$F$2:$F$1001,$AB3)))</f>
        <v/>
      </c>
      <c r="I3" s="11">
        <f>IF($AB3="","",IF(INDEX(입력_기본자료!$G$2:$G$1001,$AB3)="","",IF(NOT(ISNUMBER(INDEX(입력_기본자료!$G$2:$G$1001,$AB3))),INDEX(입력_기본자료!$G$2:$G$1001,$AB3),IF(INDEX(입력_기본자료!$G$2:$G$1001,$AB3)&lt;1000000,INDEX(입력_기본자료!$G$2:$G$1001,$AB3),IF(AND(INDEX(입력_기본자료!$G$2:$G$1001,$AB3)&gt;=10000101,INT(MOD(INDEX(입력_기본자료!$G$2:$G$1001,$AB3),10000)/100)&gt;=1,INT(MOD(INDEX(입력_기본자료!$G$2:$G$1001,$AB3),10000)/100)&lt;=12,MOD(INDEX(입력_기본자료!$G$2:$G$1001,$AB3),100)&gt;=1,MOD(INDEX(입력_기본자료!$G$2:$G$1001,$AB3),100)&lt;=31),DATE(INT(INDEX(입력_기본자료!$G$2:$G$1001,$AB3)/10000),INT(MOD(INDEX(입력_기본자료!$G$2:$G$1001,$AB3),10000)/100),MOD(INDEX(입력_기본자료!$G$2:$G$1001,$AB3),100)),INDEX(입력_기본자료!$G$2:$G$1001,$AB3)&amp;"")))))</f>
        <v/>
      </c>
      <c r="J3" s="10">
        <f>IF($AB3="","",IF(INDEX(입력_기본자료!$H$2:$H$1001,$AB3)="","",INDEX(입력_기본자료!$H$2:$H$1001,$AB3)))</f>
        <v/>
      </c>
      <c r="K3" s="10">
        <f>IF($AB3="","",IF(INDEX(입력_기본자료!$I$2:$I$1001,$AB3)="","",INDEX(입력_기본자료!$I$2:$I$1001,$AB3)))</f>
        <v/>
      </c>
      <c r="L3" s="10">
        <f>IF($AB3="","",IF(INDEX(입력_기본자료!$A$2:$A$1001,$AB3)="","",INDEX(입력_기본자료!$A$2:$A$1001,$AB3)))</f>
        <v/>
      </c>
      <c r="M3" s="15" t="inlineStr">
        <is>
          <t>서울병원</t>
        </is>
      </c>
      <c r="N3" s="10">
        <f>IF($B3="","",IF(AND($U3="파견중",$Q3&lt;&gt;""),$Q3,IF(AND($AD3&lt;&gt;"",LEFT($AD3,1)&lt;&gt;"⚠"),LEFT($AD3,FIND(" ",$AD3)-1),IF($H3="","",IF(RIGHT($H3,2)="병원",$H3,$H3&amp;"병원")))))</f>
        <v/>
      </c>
      <c r="O3" s="10">
        <f>IF($B3="","",IF(AND($U3="파견중",$Q3&lt;&gt;""),IF($R3&lt;&gt;"",$R3,"파견과 미입력"),IF(AND($AD3&lt;&gt;"",LEFT($AD3,1)&lt;&gt;"⚠"),MID($AD3,FIND(" ",$AD3)+1,60),IF($F3="","",IF($F3="인턴","수련교육부(인턴)",$F3)))))</f>
        <v/>
      </c>
      <c r="P3" s="10">
        <f>IF($B3="","",IF($AK3&lt;&gt;"",IF(AND(TODAY()&gt;=INDEX(입력_파견수련계획!$AB$4:$AB$803,$AK3),OR(NOT(ISNUMBER(INDEX(입력_파견수련계획!$AC$4:$AC$803,$AK3))),TODAY()&lt;=INDEX(입력_파견수련계획!$AC$4:$AC$803,$AK3))),"다기관",IF($AF3="","",INDEX(입력_파견수련계획!$T$4:$T$803,$AF3))),IF($AF3="","",INDEX(입력_파견수련계획!$T$4:$T$803,$AF3))))</f>
        <v/>
      </c>
      <c r="Q3" s="10">
        <f>IF($AF3="","",INDEX(입력_파견수련계획!$S$4:$S$803,$AF3))</f>
        <v/>
      </c>
      <c r="R3" s="10">
        <f>IF($AF3="","",INDEX(입력_파견수련계획!$U$4:$U$803,$AF3))</f>
        <v/>
      </c>
      <c r="S3" s="11">
        <f>IF($AF3="","",IF(INDEX(입력_파견수련계획!$H$4:$H$803,$AF3)="","",INDEX(입력_파견수련계획!$H$4:$H$803,$AF3)))</f>
        <v/>
      </c>
      <c r="T3" s="11">
        <f>IF($AF3="","",IF(INDEX(입력_파견수련계획!$I$4:$I$803,$AF3)="","",INDEX(입력_파견수련계획!$I$4:$I$803,$AF3)))</f>
        <v/>
      </c>
      <c r="U3" s="10">
        <f>IF($AF3="","",INDEX(입력_파견수련계획!$X$4:$X$803,$AF3))</f>
        <v/>
      </c>
      <c r="V3" s="17">
        <f>IF($AF3="","",INDEX(입력_파견수련계획!$V$4:$V$803,$AF3))</f>
        <v/>
      </c>
      <c r="W3" s="17">
        <f>IF(AND($U3="파견중",$T3&lt;&gt;""),$T3-TODAY(),"")</f>
        <v/>
      </c>
      <c r="X3" s="17">
        <f>IF(OR($B3="",TRIM($J3&amp;"")=""),"",SUMPRODUCT((입력_파견수련계획!$Q$4:$Q$803=TRIM($J3&amp;""))*입력_파견수련계획!$W$4:$W$803))</f>
        <v/>
      </c>
      <c r="Y3" s="10">
        <f>IF($B3="","",IF($AG3="","",IF(IF(TRIM($J3&amp;"")="",0,SUMPRODUCT((입력_파견수련계획!$Q$4:$Q$803=TRIM($J3&amp;""))*입력_파견수련계획!$AD$4:$AD$803))&gt;0,$AE3,IF(AND(N($X3)&lt;=0,$AQ3=""),$AG3,IF($AH3+$AI3=DAY(EOMONTH(출력_요약!$B$3,0)),IF(AND($AH3&gt;=출력_요약!$E$3,$AI3&lt;출력_요약!$E$3),"서울병원",IF(AND($AI3&gt;=출력_요약!$E$3,$AH3&lt;출력_요약!$E$3),"구리병원","⚠15일 판정불가(서울 "&amp;$AH3&amp;"일/구리 "&amp;$AI3&amp;"일)")),IF($AJ3="",$AE3,IF(INDEX(입력_파견수련계획!$T$4:$T$803,$AJ3)="통합수련",INDEX(입력_파견수련계획!$S$4:$S$803,$AJ3),$AE3)))))))</f>
        <v/>
      </c>
      <c r="Z3" s="20">
        <f>IF($B3="","",IF($AB3="","기본자료에 없는 사번",IF(COUNTIF($B$2:$B$401,$B3)&gt;1,"중복 사번",IF($AE3="","소속(입사장소) 입력",IF(IF(TRIM($J3&amp;"")="",0,SUMPRODUCT((입력_파견수련계획!$Q$4:$Q$803=TRIM($J3&amp;""))*(입력_파견수련계획!$AA$4:$AA$803&lt;&gt;"")))&gt;0,"파견수련계획 입력오류 확인",IF(LEFT($Y3,1)="⚠","서울·구리 15일 판정 불가(양쪽 모두 이상/미만)",IF(IF($AC3="",0,N(INDEX(입력_인턴근무계획!$T$3:$T$402,$AC3)))&gt;0,"인턴계획 입력오류 확인",IF(AND($AQ3&lt;&gt;"",$AG3&lt;&gt;"구리병원",IF(TRIM($J3&amp;"")="",0,SUMPRODUCT((입력_파견수련계획!$Q$4:$Q$803=TRIM($J3&amp;""))*(입력_파견수련계획!$S$4:$S$803="구리병원")*입력_파견수련계획!$W$4:$W$803))=0),"구리 근무자명단에만 있음(파견수련계획 확인)",IF(AND($AC3&lt;&gt;"",$U3&lt;&gt;"파견중",$N3&lt;&gt;$AE3),"인턴 타지역 근무: 파견 여부 확인","정상")))))))))</f>
        <v/>
      </c>
      <c r="AA3" s="5" t="inlineStr">
        <is>
          <t>예시 데이터</t>
        </is>
      </c>
      <c r="AB3" s="10">
        <f>IF($B3="","",IFERROR(MATCH($B3,입력_기본자료!$B$2:$B$1001,0),IFERROR(MATCH($B3&amp;"",입력_기본자료!$B$2:$B$1001,0),IFERROR(MATCH(VALUE($B3),입력_기본자료!$B$2:$B$1001,0),""))))</f>
        <v/>
      </c>
      <c r="AC3" s="10">
        <f>IF($B3="","",IFERROR(MATCH($B3,입력_인턴근무계획!$D$3:$D$402,0),IFERROR(MATCH($B3&amp;"",입력_인턴근무계획!$D$3:$D$402,0),IFERROR(MATCH(VALUE($B3),입력_인턴근무계획!$D$3:$D$402,0),""))))</f>
        <v/>
      </c>
      <c r="AD3" s="10">
        <f>IF(OR($AC3="",출력_인턴현황!$G$3=""),"",INDEX(입력_인턴근무계획!$M$3:$R$402,$AC3,출력_인턴현황!$G$3)&amp;"")</f>
        <v/>
      </c>
      <c r="AE3" s="10">
        <f>IF($B3="","",IF($M3&lt;&gt;"",$M3,IF(IF($AQ3="",FALSE,INDEX(출력_구리근무자!$J$6:$J$305,$AQ3)="구리독자"),"구리병원",IF($AF3&lt;&gt;"",IF(LEFT(INDEX(입력_파견수련계획!$R$4:$R$803,$AF3),1)&lt;&gt;"⚠",INDEX(입력_파견수련계획!$R$4:$R$803,$AF3),IF($H3="","",IF(RIGHT($H3,2)="병원",$H3,$H3&amp;"병원"))),IF($H3="","",IF(RIGHT($H3,2)="병원",$H3,$H3&amp;"병원"))))))</f>
        <v/>
      </c>
      <c r="AF3" s="10">
        <f>IF(OR($B3="",TRIM($J3&amp;"")=""),"",IFERROR(MATCH(TRIM($J3&amp;"")&amp;"|파견중",입력_파견수련계획!$Y$4:$Y$803,0),IFERROR(MATCH(TRIM($J3&amp;"")&amp;"|파견예정",입력_파견수련계획!$Y$4:$Y$803,0),IFERROR(MATCH(TRIM($J3&amp;"")&amp;"|파견종료",입력_파견수련계획!$Y$4:$Y$803,0),""))))</f>
        <v/>
      </c>
      <c r="AG3" s="10">
        <f>IF($B3="","",IF(AND(IF(OR($AC3="",출력_인턴현황!$K$2=""),"",INDEX(입력_인턴근무계획!$M$3:$R$402,$AC3,출력_인턴현황!$K$2)&amp;"")&lt;&gt;"",LEFT(IF(OR($AC3="",출력_인턴현황!$K$2=""),"",INDEX(입력_인턴근무계획!$M$3:$R$402,$AC3,출력_인턴현황!$K$2)&amp;""),1)&lt;&gt;"⚠"),LEFT(IF(OR($AC3="",출력_인턴현황!$K$2=""),"",INDEX(입력_인턴근무계획!$M$3:$R$402,$AC3,출력_인턴현황!$K$2)&amp;""),FIND(" ",IF(OR($AC3="",출력_인턴현황!$K$2=""),"",INDEX(입력_인턴근무계획!$M$3:$R$402,$AC3,출력_인턴현황!$K$2)&amp;""))-1),$AE3))</f>
        <v/>
      </c>
      <c r="AH3" s="17">
        <f>IF($B3="","",IF($AQ3&lt;&gt;"",MAX(0,DAY(EOMONTH(출력_요약!$B$3,0))-N($AR3)),IF(TRIM($J3&amp;"")="",0,SUMPRODUCT((입력_파견수련계획!$Q$4:$Q$803=TRIM($J3&amp;""))*(입력_파견수련계획!$S$4:$S$803="서울병원")*입력_파견수련계획!$W$4:$W$803))+IF($AG3="서울병원",MAX(0,DAY(EOMONTH(출력_요약!$B$3,0))-N($X3)),0)))</f>
        <v/>
      </c>
      <c r="AI3" s="17">
        <f>IF($B3="","",IF($AQ3&lt;&gt;"",N($AR3),IF(TRIM($J3&amp;"")="",0,SUMPRODUCT((입력_파견수련계획!$Q$4:$Q$803=TRIM($J3&amp;""))*(입력_파견수련계획!$S$4:$S$803="구리병원")*입력_파견수련계획!$W$4:$W$803))+IF($AG3="구리병원",MAX(0,DAY(EOMONTH(출력_요약!$B$3,0))-N($X3)),0)))</f>
        <v/>
      </c>
      <c r="AJ3" s="10">
        <f>IF(OR($B3="",TRIM($J3&amp;"")=""),"",IFERROR(MATCH(TRIM($J3&amp;"")&amp;"|월",입력_파견수련계획!$Z$4:$Z$803,0),""))</f>
        <v/>
      </c>
      <c r="AK3" s="10">
        <f>IF(OR($B3="",TRIM($J3&amp;"")=""),"",IFERROR(MATCH(TRIM($J3&amp;"")&amp;"|다기관",입력_파견수련계획!$AE$4:$AE$803,0),""))</f>
        <v/>
      </c>
      <c r="AL3" s="10">
        <f>IF($AK3="","","다기관 "&amp;TEXT(INDEX(입력_파견수련계획!$AB$4:$AB$803,$AK3),"yyyy-mm-dd")&amp;"~"&amp;IF(ISNUMBER(INDEX(입력_파견수련계획!$AC$4:$AC$803,$AK3)),TEXT(INDEX(입력_파견수련계획!$AC$4:$AC$803,$AK3),"yyyy-mm-dd"),""))</f>
        <v/>
      </c>
      <c r="AM3" s="10">
        <f>IF($Y3="서울병원",COUNTIF($Y$2:$Y3,"서울병원"),"")</f>
        <v/>
      </c>
      <c r="AN3" s="10">
        <f>IF(LEFT($Y3,1)="⚠",COUNTIF($Y$2:$Y3,"⚠*"),"")</f>
        <v/>
      </c>
      <c r="AO3" s="10">
        <f>IF(OR($B3="",$Y3=""),"",IF(IF(TRIM($J3&amp;"")="",0,SUMPRODUCT((입력_파견수련계획!$Q$4:$Q$803=TRIM($J3&amp;""))*입력_파견수련계획!$AD$4:$AD$803))&gt;0,"다기관 기간 → 소속병원 지급",IF(AND(N($X3)&lt;=0,$AQ3=""),"파견 없음 → 그 달 근무병원 지급",IF($AH3+$AI3=DAY(EOMONTH(출력_요약!$B$3,0)),"서울 "&amp;$AH3&amp;"일 / 구리 "&amp;$AI3&amp;"일"&amp;IF($AQ3&lt;&gt;""," (구리 근무자명단 반영)","")&amp;" → 15일 이상 근무 병원 지급","타 병원 포함 → "&amp;IF($AJ3="","소속",INDEX(입력_파견수련계획!$T$4:$T$803,$AJ3))&amp;" 규칙"))))</f>
        <v/>
      </c>
      <c r="AP3" s="10">
        <f>IF($B3="","",$C3&amp;"|"&amp;$F3)</f>
        <v/>
      </c>
      <c r="AQ3" s="10">
        <f>IF($B3="","",IFERROR(MATCH(ROW()-1,출력_구리근무자!$K$6:$K$305,0),""))</f>
        <v/>
      </c>
      <c r="AR3" s="10">
        <f>IF($AQ3="","",INDEX(출력_구리근무자!$H$6:$H$305,$AQ3))</f>
        <v/>
      </c>
    </row>
    <row r="4">
      <c r="A4" s="10">
        <f>IF(B4="","",ROW()-1)</f>
        <v/>
      </c>
      <c r="B4" s="19" t="inlineStr">
        <is>
          <t>2261214</t>
        </is>
      </c>
      <c r="C4" s="10">
        <f>IF($AB4="","",IF(INDEX(입력_기본자료!$C$2:$C$1001,$AB4)="","",INDEX(입력_기본자료!$C$2:$C$1001,$AB4)))</f>
        <v/>
      </c>
      <c r="D4" s="10">
        <f>IF($AB4="","",IF(INDEX(입력_기본자료!$J$2:$J$1001,$AB4)="","",INDEX(입력_기본자료!$J$2:$J$1001,$AB4)))</f>
        <v/>
      </c>
      <c r="E4" s="11">
        <f>IF($AB4="","",IF(INDEX(입력_기본자료!$K$2:$K$1001,$AB4)="","",IF(NOT(ISNUMBER(INDEX(입력_기본자료!$K$2:$K$1001,$AB4))),INDEX(입력_기본자료!$K$2:$K$1001,$AB4),IF(INDEX(입력_기본자료!$K$2:$K$1001,$AB4)&lt;1000000,INDEX(입력_기본자료!$K$2:$K$1001,$AB4),IF(AND(INDEX(입력_기본자료!$K$2:$K$1001,$AB4)&gt;=10000101,INT(MOD(INDEX(입력_기본자료!$K$2:$K$1001,$AB4),10000)/100)&gt;=1,INT(MOD(INDEX(입력_기본자료!$K$2:$K$1001,$AB4),10000)/100)&lt;=12,MOD(INDEX(입력_기본자료!$K$2:$K$1001,$AB4),100)&gt;=1,MOD(INDEX(입력_기본자료!$K$2:$K$1001,$AB4),100)&lt;=31),DATE(INT(INDEX(입력_기본자료!$K$2:$K$1001,$AB4)/10000),INT(MOD(INDEX(입력_기본자료!$K$2:$K$1001,$AB4),10000)/100),MOD(INDEX(입력_기본자료!$K$2:$K$1001,$AB4),100)),INDEX(입력_기본자료!$K$2:$K$1001,$AB4)&amp;"")))))</f>
        <v/>
      </c>
      <c r="F4" s="10">
        <f>IF($AB4="","",IF(INDEX(입력_기본자료!$D$2:$D$1001,$AB4)="","",INDEX(입력_기본자료!$D$2:$D$1001,$AB4)))</f>
        <v/>
      </c>
      <c r="G4" s="10">
        <f>IF($AB4="","",IF(INDEX(입력_기본자료!$E$2:$E$1001,$AB4)="","",INDEX(입력_기본자료!$E$2:$E$1001,$AB4)))</f>
        <v/>
      </c>
      <c r="H4" s="10">
        <f>IF($AB4="","",IF(INDEX(입력_기본자료!$F$2:$F$1001,$AB4)="","",INDEX(입력_기본자료!$F$2:$F$1001,$AB4)))</f>
        <v/>
      </c>
      <c r="I4" s="11">
        <f>IF($AB4="","",IF(INDEX(입력_기본자료!$G$2:$G$1001,$AB4)="","",IF(NOT(ISNUMBER(INDEX(입력_기본자료!$G$2:$G$1001,$AB4))),INDEX(입력_기본자료!$G$2:$G$1001,$AB4),IF(INDEX(입력_기본자료!$G$2:$G$1001,$AB4)&lt;1000000,INDEX(입력_기본자료!$G$2:$G$1001,$AB4),IF(AND(INDEX(입력_기본자료!$G$2:$G$1001,$AB4)&gt;=10000101,INT(MOD(INDEX(입력_기본자료!$G$2:$G$1001,$AB4),10000)/100)&gt;=1,INT(MOD(INDEX(입력_기본자료!$G$2:$G$1001,$AB4),10000)/100)&lt;=12,MOD(INDEX(입력_기본자료!$G$2:$G$1001,$AB4),100)&gt;=1,MOD(INDEX(입력_기본자료!$G$2:$G$1001,$AB4),100)&lt;=31),DATE(INT(INDEX(입력_기본자료!$G$2:$G$1001,$AB4)/10000),INT(MOD(INDEX(입력_기본자료!$G$2:$G$1001,$AB4),10000)/100),MOD(INDEX(입력_기본자료!$G$2:$G$1001,$AB4),100)),INDEX(입력_기본자료!$G$2:$G$1001,$AB4)&amp;"")))))</f>
        <v/>
      </c>
      <c r="J4" s="10">
        <f>IF($AB4="","",IF(INDEX(입력_기본자료!$H$2:$H$1001,$AB4)="","",INDEX(입력_기본자료!$H$2:$H$1001,$AB4)))</f>
        <v/>
      </c>
      <c r="K4" s="10">
        <f>IF($AB4="","",IF(INDEX(입력_기본자료!$I$2:$I$1001,$AB4)="","",INDEX(입력_기본자료!$I$2:$I$1001,$AB4)))</f>
        <v/>
      </c>
      <c r="L4" s="10">
        <f>IF($AB4="","",IF(INDEX(입력_기본자료!$A$2:$A$1001,$AB4)="","",INDEX(입력_기본자료!$A$2:$A$1001,$AB4)))</f>
        <v/>
      </c>
      <c r="M4" s="15" t="inlineStr">
        <is>
          <t>서울병원</t>
        </is>
      </c>
      <c r="N4" s="10">
        <f>IF($B4="","",IF(AND($U4="파견중",$Q4&lt;&gt;""),$Q4,IF(AND($AD4&lt;&gt;"",LEFT($AD4,1)&lt;&gt;"⚠"),LEFT($AD4,FIND(" ",$AD4)-1),IF($H4="","",IF(RIGHT($H4,2)="병원",$H4,$H4&amp;"병원")))))</f>
        <v/>
      </c>
      <c r="O4" s="10">
        <f>IF($B4="","",IF(AND($U4="파견중",$Q4&lt;&gt;""),IF($R4&lt;&gt;"",$R4,"파견과 미입력"),IF(AND($AD4&lt;&gt;"",LEFT($AD4,1)&lt;&gt;"⚠"),MID($AD4,FIND(" ",$AD4)+1,60),IF($F4="","",IF($F4="인턴","수련교육부(인턴)",$F4)))))</f>
        <v/>
      </c>
      <c r="P4" s="10">
        <f>IF($B4="","",IF($AK4&lt;&gt;"",IF(AND(TODAY()&gt;=INDEX(입력_파견수련계획!$AB$4:$AB$803,$AK4),OR(NOT(ISNUMBER(INDEX(입력_파견수련계획!$AC$4:$AC$803,$AK4))),TODAY()&lt;=INDEX(입력_파견수련계획!$AC$4:$AC$803,$AK4))),"다기관",IF($AF4="","",INDEX(입력_파견수련계획!$T$4:$T$803,$AF4))),IF($AF4="","",INDEX(입력_파견수련계획!$T$4:$T$803,$AF4))))</f>
        <v/>
      </c>
      <c r="Q4" s="10">
        <f>IF($AF4="","",INDEX(입력_파견수련계획!$S$4:$S$803,$AF4))</f>
        <v/>
      </c>
      <c r="R4" s="10">
        <f>IF($AF4="","",INDEX(입력_파견수련계획!$U$4:$U$803,$AF4))</f>
        <v/>
      </c>
      <c r="S4" s="11">
        <f>IF($AF4="","",IF(INDEX(입력_파견수련계획!$H$4:$H$803,$AF4)="","",INDEX(입력_파견수련계획!$H$4:$H$803,$AF4)))</f>
        <v/>
      </c>
      <c r="T4" s="11">
        <f>IF($AF4="","",IF(INDEX(입력_파견수련계획!$I$4:$I$803,$AF4)="","",INDEX(입력_파견수련계획!$I$4:$I$803,$AF4)))</f>
        <v/>
      </c>
      <c r="U4" s="10">
        <f>IF($AF4="","",INDEX(입력_파견수련계획!$X$4:$X$803,$AF4))</f>
        <v/>
      </c>
      <c r="V4" s="17">
        <f>IF($AF4="","",INDEX(입력_파견수련계획!$V$4:$V$803,$AF4))</f>
        <v/>
      </c>
      <c r="W4" s="17">
        <f>IF(AND($U4="파견중",$T4&lt;&gt;""),$T4-TODAY(),"")</f>
        <v/>
      </c>
      <c r="X4" s="17">
        <f>IF(OR($B4="",TRIM($J4&amp;"")=""),"",SUMPRODUCT((입력_파견수련계획!$Q$4:$Q$803=TRIM($J4&amp;""))*입력_파견수련계획!$W$4:$W$803))</f>
        <v/>
      </c>
      <c r="Y4" s="10">
        <f>IF($B4="","",IF($AG4="","",IF(IF(TRIM($J4&amp;"")="",0,SUMPRODUCT((입력_파견수련계획!$Q$4:$Q$803=TRIM($J4&amp;""))*입력_파견수련계획!$AD$4:$AD$803))&gt;0,$AE4,IF(AND(N($X4)&lt;=0,$AQ4=""),$AG4,IF($AH4+$AI4=DAY(EOMONTH(출력_요약!$B$3,0)),IF(AND($AH4&gt;=출력_요약!$E$3,$AI4&lt;출력_요약!$E$3),"서울병원",IF(AND($AI4&gt;=출력_요약!$E$3,$AH4&lt;출력_요약!$E$3),"구리병원","⚠15일 판정불가(서울 "&amp;$AH4&amp;"일/구리 "&amp;$AI4&amp;"일)")),IF($AJ4="",$AE4,IF(INDEX(입력_파견수련계획!$T$4:$T$803,$AJ4)="통합수련",INDEX(입력_파견수련계획!$S$4:$S$803,$AJ4),$AE4)))))))</f>
        <v/>
      </c>
      <c r="Z4" s="20">
        <f>IF($B4="","",IF($AB4="","기본자료에 없는 사번",IF(COUNTIF($B$2:$B$401,$B4)&gt;1,"중복 사번",IF($AE4="","소속(입사장소) 입력",IF(IF(TRIM($J4&amp;"")="",0,SUMPRODUCT((입력_파견수련계획!$Q$4:$Q$803=TRIM($J4&amp;""))*(입력_파견수련계획!$AA$4:$AA$803&lt;&gt;"")))&gt;0,"파견수련계획 입력오류 확인",IF(LEFT($Y4,1)="⚠","서울·구리 15일 판정 불가(양쪽 모두 이상/미만)",IF(IF($AC4="",0,N(INDEX(입력_인턴근무계획!$T$3:$T$402,$AC4)))&gt;0,"인턴계획 입력오류 확인",IF(AND($AQ4&lt;&gt;"",$AG4&lt;&gt;"구리병원",IF(TRIM($J4&amp;"")="",0,SUMPRODUCT((입력_파견수련계획!$Q$4:$Q$803=TRIM($J4&amp;""))*(입력_파견수련계획!$S$4:$S$803="구리병원")*입력_파견수련계획!$W$4:$W$803))=0),"구리 근무자명단에만 있음(파견수련계획 확인)",IF(AND($AC4&lt;&gt;"",$U4&lt;&gt;"파견중",$N4&lt;&gt;$AE4),"인턴 타지역 근무: 파견 여부 확인","정상")))))))))</f>
        <v/>
      </c>
      <c r="AA4" s="5" t="inlineStr">
        <is>
          <t>예시 데이터</t>
        </is>
      </c>
      <c r="AB4" s="10">
        <f>IF($B4="","",IFERROR(MATCH($B4,입력_기본자료!$B$2:$B$1001,0),IFERROR(MATCH($B4&amp;"",입력_기본자료!$B$2:$B$1001,0),IFERROR(MATCH(VALUE($B4),입력_기본자료!$B$2:$B$1001,0),""))))</f>
        <v/>
      </c>
      <c r="AC4" s="10">
        <f>IF($B4="","",IFERROR(MATCH($B4,입력_인턴근무계획!$D$3:$D$402,0),IFERROR(MATCH($B4&amp;"",입력_인턴근무계획!$D$3:$D$402,0),IFERROR(MATCH(VALUE($B4),입력_인턴근무계획!$D$3:$D$402,0),""))))</f>
        <v/>
      </c>
      <c r="AD4" s="10">
        <f>IF(OR($AC4="",출력_인턴현황!$G$3=""),"",INDEX(입력_인턴근무계획!$M$3:$R$402,$AC4,출력_인턴현황!$G$3)&amp;"")</f>
        <v/>
      </c>
      <c r="AE4" s="10">
        <f>IF($B4="","",IF($M4&lt;&gt;"",$M4,IF(IF($AQ4="",FALSE,INDEX(출력_구리근무자!$J$6:$J$305,$AQ4)="구리독자"),"구리병원",IF($AF4&lt;&gt;"",IF(LEFT(INDEX(입력_파견수련계획!$R$4:$R$803,$AF4),1)&lt;&gt;"⚠",INDEX(입력_파견수련계획!$R$4:$R$803,$AF4),IF($H4="","",IF(RIGHT($H4,2)="병원",$H4,$H4&amp;"병원"))),IF($H4="","",IF(RIGHT($H4,2)="병원",$H4,$H4&amp;"병원"))))))</f>
        <v/>
      </c>
      <c r="AF4" s="10">
        <f>IF(OR($B4="",TRIM($J4&amp;"")=""),"",IFERROR(MATCH(TRIM($J4&amp;"")&amp;"|파견중",입력_파견수련계획!$Y$4:$Y$803,0),IFERROR(MATCH(TRIM($J4&amp;"")&amp;"|파견예정",입력_파견수련계획!$Y$4:$Y$803,0),IFERROR(MATCH(TRIM($J4&amp;"")&amp;"|파견종료",입력_파견수련계획!$Y$4:$Y$803,0),""))))</f>
        <v/>
      </c>
      <c r="AG4" s="10">
        <f>IF($B4="","",IF(AND(IF(OR($AC4="",출력_인턴현황!$K$2=""),"",INDEX(입력_인턴근무계획!$M$3:$R$402,$AC4,출력_인턴현황!$K$2)&amp;"")&lt;&gt;"",LEFT(IF(OR($AC4="",출력_인턴현황!$K$2=""),"",INDEX(입력_인턴근무계획!$M$3:$R$402,$AC4,출력_인턴현황!$K$2)&amp;""),1)&lt;&gt;"⚠"),LEFT(IF(OR($AC4="",출력_인턴현황!$K$2=""),"",INDEX(입력_인턴근무계획!$M$3:$R$402,$AC4,출력_인턴현황!$K$2)&amp;""),FIND(" ",IF(OR($AC4="",출력_인턴현황!$K$2=""),"",INDEX(입력_인턴근무계획!$M$3:$R$402,$AC4,출력_인턴현황!$K$2)&amp;""))-1),$AE4))</f>
        <v/>
      </c>
      <c r="AH4" s="17">
        <f>IF($B4="","",IF($AQ4&lt;&gt;"",MAX(0,DAY(EOMONTH(출력_요약!$B$3,0))-N($AR4)),IF(TRIM($J4&amp;"")="",0,SUMPRODUCT((입력_파견수련계획!$Q$4:$Q$803=TRIM($J4&amp;""))*(입력_파견수련계획!$S$4:$S$803="서울병원")*입력_파견수련계획!$W$4:$W$803))+IF($AG4="서울병원",MAX(0,DAY(EOMONTH(출력_요약!$B$3,0))-N($X4)),0)))</f>
        <v/>
      </c>
      <c r="AI4" s="17">
        <f>IF($B4="","",IF($AQ4&lt;&gt;"",N($AR4),IF(TRIM($J4&amp;"")="",0,SUMPRODUCT((입력_파견수련계획!$Q$4:$Q$803=TRIM($J4&amp;""))*(입력_파견수련계획!$S$4:$S$803="구리병원")*입력_파견수련계획!$W$4:$W$803))+IF($AG4="구리병원",MAX(0,DAY(EOMONTH(출력_요약!$B$3,0))-N($X4)),0)))</f>
        <v/>
      </c>
      <c r="AJ4" s="10">
        <f>IF(OR($B4="",TRIM($J4&amp;"")=""),"",IFERROR(MATCH(TRIM($J4&amp;"")&amp;"|월",입력_파견수련계획!$Z$4:$Z$803,0),""))</f>
        <v/>
      </c>
      <c r="AK4" s="10">
        <f>IF(OR($B4="",TRIM($J4&amp;"")=""),"",IFERROR(MATCH(TRIM($J4&amp;"")&amp;"|다기관",입력_파견수련계획!$AE$4:$AE$803,0),""))</f>
        <v/>
      </c>
      <c r="AL4" s="10">
        <f>IF($AK4="","","다기관 "&amp;TEXT(INDEX(입력_파견수련계획!$AB$4:$AB$803,$AK4),"yyyy-mm-dd")&amp;"~"&amp;IF(ISNUMBER(INDEX(입력_파견수련계획!$AC$4:$AC$803,$AK4)),TEXT(INDEX(입력_파견수련계획!$AC$4:$AC$803,$AK4),"yyyy-mm-dd"),""))</f>
        <v/>
      </c>
      <c r="AM4" s="10">
        <f>IF($Y4="서울병원",COUNTIF($Y$2:$Y4,"서울병원"),"")</f>
        <v/>
      </c>
      <c r="AN4" s="10">
        <f>IF(LEFT($Y4,1)="⚠",COUNTIF($Y$2:$Y4,"⚠*"),"")</f>
        <v/>
      </c>
      <c r="AO4" s="10">
        <f>IF(OR($B4="",$Y4=""),"",IF(IF(TRIM($J4&amp;"")="",0,SUMPRODUCT((입력_파견수련계획!$Q$4:$Q$803=TRIM($J4&amp;""))*입력_파견수련계획!$AD$4:$AD$803))&gt;0,"다기관 기간 → 소속병원 지급",IF(AND(N($X4)&lt;=0,$AQ4=""),"파견 없음 → 그 달 근무병원 지급",IF($AH4+$AI4=DAY(EOMONTH(출력_요약!$B$3,0)),"서울 "&amp;$AH4&amp;"일 / 구리 "&amp;$AI4&amp;"일"&amp;IF($AQ4&lt;&gt;""," (구리 근무자명단 반영)","")&amp;" → 15일 이상 근무 병원 지급","타 병원 포함 → "&amp;IF($AJ4="","소속",INDEX(입력_파견수련계획!$T$4:$T$803,$AJ4))&amp;" 규칙"))))</f>
        <v/>
      </c>
      <c r="AP4" s="10">
        <f>IF($B4="","",$C4&amp;"|"&amp;$F4)</f>
        <v/>
      </c>
      <c r="AQ4" s="10">
        <f>IF($B4="","",IFERROR(MATCH(ROW()-1,출력_구리근무자!$K$6:$K$305,0),""))</f>
        <v/>
      </c>
      <c r="AR4" s="10">
        <f>IF($AQ4="","",INDEX(출력_구리근무자!$H$6:$H$305,$AQ4))</f>
        <v/>
      </c>
    </row>
    <row r="5">
      <c r="A5" s="10">
        <f>IF(B5="","",ROW()-1)</f>
        <v/>
      </c>
      <c r="B5" s="19" t="inlineStr">
        <is>
          <t>2261215</t>
        </is>
      </c>
      <c r="C5" s="10">
        <f>IF($AB5="","",IF(INDEX(입력_기본자료!$C$2:$C$1001,$AB5)="","",INDEX(입력_기본자료!$C$2:$C$1001,$AB5)))</f>
        <v/>
      </c>
      <c r="D5" s="10">
        <f>IF($AB5="","",IF(INDEX(입력_기본자료!$J$2:$J$1001,$AB5)="","",INDEX(입력_기본자료!$J$2:$J$1001,$AB5)))</f>
        <v/>
      </c>
      <c r="E5" s="11">
        <f>IF($AB5="","",IF(INDEX(입력_기본자료!$K$2:$K$1001,$AB5)="","",IF(NOT(ISNUMBER(INDEX(입력_기본자료!$K$2:$K$1001,$AB5))),INDEX(입력_기본자료!$K$2:$K$1001,$AB5),IF(INDEX(입력_기본자료!$K$2:$K$1001,$AB5)&lt;1000000,INDEX(입력_기본자료!$K$2:$K$1001,$AB5),IF(AND(INDEX(입력_기본자료!$K$2:$K$1001,$AB5)&gt;=10000101,INT(MOD(INDEX(입력_기본자료!$K$2:$K$1001,$AB5),10000)/100)&gt;=1,INT(MOD(INDEX(입력_기본자료!$K$2:$K$1001,$AB5),10000)/100)&lt;=12,MOD(INDEX(입력_기본자료!$K$2:$K$1001,$AB5),100)&gt;=1,MOD(INDEX(입력_기본자료!$K$2:$K$1001,$AB5),100)&lt;=31),DATE(INT(INDEX(입력_기본자료!$K$2:$K$1001,$AB5)/10000),INT(MOD(INDEX(입력_기본자료!$K$2:$K$1001,$AB5),10000)/100),MOD(INDEX(입력_기본자료!$K$2:$K$1001,$AB5),100)),INDEX(입력_기본자료!$K$2:$K$1001,$AB5)&amp;"")))))</f>
        <v/>
      </c>
      <c r="F5" s="10">
        <f>IF($AB5="","",IF(INDEX(입력_기본자료!$D$2:$D$1001,$AB5)="","",INDEX(입력_기본자료!$D$2:$D$1001,$AB5)))</f>
        <v/>
      </c>
      <c r="G5" s="10">
        <f>IF($AB5="","",IF(INDEX(입력_기본자료!$E$2:$E$1001,$AB5)="","",INDEX(입력_기본자료!$E$2:$E$1001,$AB5)))</f>
        <v/>
      </c>
      <c r="H5" s="10">
        <f>IF($AB5="","",IF(INDEX(입력_기본자료!$F$2:$F$1001,$AB5)="","",INDEX(입력_기본자료!$F$2:$F$1001,$AB5)))</f>
        <v/>
      </c>
      <c r="I5" s="11">
        <f>IF($AB5="","",IF(INDEX(입력_기본자료!$G$2:$G$1001,$AB5)="","",IF(NOT(ISNUMBER(INDEX(입력_기본자료!$G$2:$G$1001,$AB5))),INDEX(입력_기본자료!$G$2:$G$1001,$AB5),IF(INDEX(입력_기본자료!$G$2:$G$1001,$AB5)&lt;1000000,INDEX(입력_기본자료!$G$2:$G$1001,$AB5),IF(AND(INDEX(입력_기본자료!$G$2:$G$1001,$AB5)&gt;=10000101,INT(MOD(INDEX(입력_기본자료!$G$2:$G$1001,$AB5),10000)/100)&gt;=1,INT(MOD(INDEX(입력_기본자료!$G$2:$G$1001,$AB5),10000)/100)&lt;=12,MOD(INDEX(입력_기본자료!$G$2:$G$1001,$AB5),100)&gt;=1,MOD(INDEX(입력_기본자료!$G$2:$G$1001,$AB5),100)&lt;=31),DATE(INT(INDEX(입력_기본자료!$G$2:$G$1001,$AB5)/10000),INT(MOD(INDEX(입력_기본자료!$G$2:$G$1001,$AB5),10000)/100),MOD(INDEX(입력_기본자료!$G$2:$G$1001,$AB5),100)),INDEX(입력_기본자료!$G$2:$G$1001,$AB5)&amp;"")))))</f>
        <v/>
      </c>
      <c r="J5" s="10">
        <f>IF($AB5="","",IF(INDEX(입력_기본자료!$H$2:$H$1001,$AB5)="","",INDEX(입력_기본자료!$H$2:$H$1001,$AB5)))</f>
        <v/>
      </c>
      <c r="K5" s="10">
        <f>IF($AB5="","",IF(INDEX(입력_기본자료!$I$2:$I$1001,$AB5)="","",INDEX(입력_기본자료!$I$2:$I$1001,$AB5)))</f>
        <v/>
      </c>
      <c r="L5" s="10">
        <f>IF($AB5="","",IF(INDEX(입력_기본자료!$A$2:$A$1001,$AB5)="","",INDEX(입력_기본자료!$A$2:$A$1001,$AB5)))</f>
        <v/>
      </c>
      <c r="M5" s="15" t="inlineStr">
        <is>
          <t>서울병원</t>
        </is>
      </c>
      <c r="N5" s="10">
        <f>IF($B5="","",IF(AND($U5="파견중",$Q5&lt;&gt;""),$Q5,IF(AND($AD5&lt;&gt;"",LEFT($AD5,1)&lt;&gt;"⚠"),LEFT($AD5,FIND(" ",$AD5)-1),IF($H5="","",IF(RIGHT($H5,2)="병원",$H5,$H5&amp;"병원")))))</f>
        <v/>
      </c>
      <c r="O5" s="10">
        <f>IF($B5="","",IF(AND($U5="파견중",$Q5&lt;&gt;""),IF($R5&lt;&gt;"",$R5,"파견과 미입력"),IF(AND($AD5&lt;&gt;"",LEFT($AD5,1)&lt;&gt;"⚠"),MID($AD5,FIND(" ",$AD5)+1,60),IF($F5="","",IF($F5="인턴","수련교육부(인턴)",$F5)))))</f>
        <v/>
      </c>
      <c r="P5" s="10">
        <f>IF($B5="","",IF($AK5&lt;&gt;"",IF(AND(TODAY()&gt;=INDEX(입력_파견수련계획!$AB$4:$AB$803,$AK5),OR(NOT(ISNUMBER(INDEX(입력_파견수련계획!$AC$4:$AC$803,$AK5))),TODAY()&lt;=INDEX(입력_파견수련계획!$AC$4:$AC$803,$AK5))),"다기관",IF($AF5="","",INDEX(입력_파견수련계획!$T$4:$T$803,$AF5))),IF($AF5="","",INDEX(입력_파견수련계획!$T$4:$T$803,$AF5))))</f>
        <v/>
      </c>
      <c r="Q5" s="10">
        <f>IF($AF5="","",INDEX(입력_파견수련계획!$S$4:$S$803,$AF5))</f>
        <v/>
      </c>
      <c r="R5" s="10">
        <f>IF($AF5="","",INDEX(입력_파견수련계획!$U$4:$U$803,$AF5))</f>
        <v/>
      </c>
      <c r="S5" s="11">
        <f>IF($AF5="","",IF(INDEX(입력_파견수련계획!$H$4:$H$803,$AF5)="","",INDEX(입력_파견수련계획!$H$4:$H$803,$AF5)))</f>
        <v/>
      </c>
      <c r="T5" s="11">
        <f>IF($AF5="","",IF(INDEX(입력_파견수련계획!$I$4:$I$803,$AF5)="","",INDEX(입력_파견수련계획!$I$4:$I$803,$AF5)))</f>
        <v/>
      </c>
      <c r="U5" s="10">
        <f>IF($AF5="","",INDEX(입력_파견수련계획!$X$4:$X$803,$AF5))</f>
        <v/>
      </c>
      <c r="V5" s="17">
        <f>IF($AF5="","",INDEX(입력_파견수련계획!$V$4:$V$803,$AF5))</f>
        <v/>
      </c>
      <c r="W5" s="17">
        <f>IF(AND($U5="파견중",$T5&lt;&gt;""),$T5-TODAY(),"")</f>
        <v/>
      </c>
      <c r="X5" s="17">
        <f>IF(OR($B5="",TRIM($J5&amp;"")=""),"",SUMPRODUCT((입력_파견수련계획!$Q$4:$Q$803=TRIM($J5&amp;""))*입력_파견수련계획!$W$4:$W$803))</f>
        <v/>
      </c>
      <c r="Y5" s="10">
        <f>IF($B5="","",IF($AG5="","",IF(IF(TRIM($J5&amp;"")="",0,SUMPRODUCT((입력_파견수련계획!$Q$4:$Q$803=TRIM($J5&amp;""))*입력_파견수련계획!$AD$4:$AD$803))&gt;0,$AE5,IF(AND(N($X5)&lt;=0,$AQ5=""),$AG5,IF($AH5+$AI5=DAY(EOMONTH(출력_요약!$B$3,0)),IF(AND($AH5&gt;=출력_요약!$E$3,$AI5&lt;출력_요약!$E$3),"서울병원",IF(AND($AI5&gt;=출력_요약!$E$3,$AH5&lt;출력_요약!$E$3),"구리병원","⚠15일 판정불가(서울 "&amp;$AH5&amp;"일/구리 "&amp;$AI5&amp;"일)")),IF($AJ5="",$AE5,IF(INDEX(입력_파견수련계획!$T$4:$T$803,$AJ5)="통합수련",INDEX(입력_파견수련계획!$S$4:$S$803,$AJ5),$AE5)))))))</f>
        <v/>
      </c>
      <c r="Z5" s="20">
        <f>IF($B5="","",IF($AB5="","기본자료에 없는 사번",IF(COUNTIF($B$2:$B$401,$B5)&gt;1,"중복 사번",IF($AE5="","소속(입사장소) 입력",IF(IF(TRIM($J5&amp;"")="",0,SUMPRODUCT((입력_파견수련계획!$Q$4:$Q$803=TRIM($J5&amp;""))*(입력_파견수련계획!$AA$4:$AA$803&lt;&gt;"")))&gt;0,"파견수련계획 입력오류 확인",IF(LEFT($Y5,1)="⚠","서울·구리 15일 판정 불가(양쪽 모두 이상/미만)",IF(IF($AC5="",0,N(INDEX(입력_인턴근무계획!$T$3:$T$402,$AC5)))&gt;0,"인턴계획 입력오류 확인",IF(AND($AQ5&lt;&gt;"",$AG5&lt;&gt;"구리병원",IF(TRIM($J5&amp;"")="",0,SUMPRODUCT((입력_파견수련계획!$Q$4:$Q$803=TRIM($J5&amp;""))*(입력_파견수련계획!$S$4:$S$803="구리병원")*입력_파견수련계획!$W$4:$W$803))=0),"구리 근무자명단에만 있음(파견수련계획 확인)",IF(AND($AC5&lt;&gt;"",$U5&lt;&gt;"파견중",$N5&lt;&gt;$AE5),"인턴 타지역 근무: 파견 여부 확인","정상")))))))))</f>
        <v/>
      </c>
      <c r="AA5" s="5" t="inlineStr">
        <is>
          <t>예시 데이터(종료됨)</t>
        </is>
      </c>
      <c r="AB5" s="10">
        <f>IF($B5="","",IFERROR(MATCH($B5,입력_기본자료!$B$2:$B$1001,0),IFERROR(MATCH($B5&amp;"",입력_기본자료!$B$2:$B$1001,0),IFERROR(MATCH(VALUE($B5),입력_기본자료!$B$2:$B$1001,0),""))))</f>
        <v/>
      </c>
      <c r="AC5" s="10">
        <f>IF($B5="","",IFERROR(MATCH($B5,입력_인턴근무계획!$D$3:$D$402,0),IFERROR(MATCH($B5&amp;"",입력_인턴근무계획!$D$3:$D$402,0),IFERROR(MATCH(VALUE($B5),입력_인턴근무계획!$D$3:$D$402,0),""))))</f>
        <v/>
      </c>
      <c r="AD5" s="10">
        <f>IF(OR($AC5="",출력_인턴현황!$G$3=""),"",INDEX(입력_인턴근무계획!$M$3:$R$402,$AC5,출력_인턴현황!$G$3)&amp;"")</f>
        <v/>
      </c>
      <c r="AE5" s="10">
        <f>IF($B5="","",IF($M5&lt;&gt;"",$M5,IF(IF($AQ5="",FALSE,INDEX(출력_구리근무자!$J$6:$J$305,$AQ5)="구리독자"),"구리병원",IF($AF5&lt;&gt;"",IF(LEFT(INDEX(입력_파견수련계획!$R$4:$R$803,$AF5),1)&lt;&gt;"⚠",INDEX(입력_파견수련계획!$R$4:$R$803,$AF5),IF($H5="","",IF(RIGHT($H5,2)="병원",$H5,$H5&amp;"병원"))),IF($H5="","",IF(RIGHT($H5,2)="병원",$H5,$H5&amp;"병원"))))))</f>
        <v/>
      </c>
      <c r="AF5" s="10">
        <f>IF(OR($B5="",TRIM($J5&amp;"")=""),"",IFERROR(MATCH(TRIM($J5&amp;"")&amp;"|파견중",입력_파견수련계획!$Y$4:$Y$803,0),IFERROR(MATCH(TRIM($J5&amp;"")&amp;"|파견예정",입력_파견수련계획!$Y$4:$Y$803,0),IFERROR(MATCH(TRIM($J5&amp;"")&amp;"|파견종료",입력_파견수련계획!$Y$4:$Y$803,0),""))))</f>
        <v/>
      </c>
      <c r="AG5" s="10">
        <f>IF($B5="","",IF(AND(IF(OR($AC5="",출력_인턴현황!$K$2=""),"",INDEX(입력_인턴근무계획!$M$3:$R$402,$AC5,출력_인턴현황!$K$2)&amp;"")&lt;&gt;"",LEFT(IF(OR($AC5="",출력_인턴현황!$K$2=""),"",INDEX(입력_인턴근무계획!$M$3:$R$402,$AC5,출력_인턴현황!$K$2)&amp;""),1)&lt;&gt;"⚠"),LEFT(IF(OR($AC5="",출력_인턴현황!$K$2=""),"",INDEX(입력_인턴근무계획!$M$3:$R$402,$AC5,출력_인턴현황!$K$2)&amp;""),FIND(" ",IF(OR($AC5="",출력_인턴현황!$K$2=""),"",INDEX(입력_인턴근무계획!$M$3:$R$402,$AC5,출력_인턴현황!$K$2)&amp;""))-1),$AE5))</f>
        <v/>
      </c>
      <c r="AH5" s="17">
        <f>IF($B5="","",IF($AQ5&lt;&gt;"",MAX(0,DAY(EOMONTH(출력_요약!$B$3,0))-N($AR5)),IF(TRIM($J5&amp;"")="",0,SUMPRODUCT((입력_파견수련계획!$Q$4:$Q$803=TRIM($J5&amp;""))*(입력_파견수련계획!$S$4:$S$803="서울병원")*입력_파견수련계획!$W$4:$W$803))+IF($AG5="서울병원",MAX(0,DAY(EOMONTH(출력_요약!$B$3,0))-N($X5)),0)))</f>
        <v/>
      </c>
      <c r="AI5" s="17">
        <f>IF($B5="","",IF($AQ5&lt;&gt;"",N($AR5),IF(TRIM($J5&amp;"")="",0,SUMPRODUCT((입력_파견수련계획!$Q$4:$Q$803=TRIM($J5&amp;""))*(입력_파견수련계획!$S$4:$S$803="구리병원")*입력_파견수련계획!$W$4:$W$803))+IF($AG5="구리병원",MAX(0,DAY(EOMONTH(출력_요약!$B$3,0))-N($X5)),0)))</f>
        <v/>
      </c>
      <c r="AJ5" s="10">
        <f>IF(OR($B5="",TRIM($J5&amp;"")=""),"",IFERROR(MATCH(TRIM($J5&amp;"")&amp;"|월",입력_파견수련계획!$Z$4:$Z$803,0),""))</f>
        <v/>
      </c>
      <c r="AK5" s="10">
        <f>IF(OR($B5="",TRIM($J5&amp;"")=""),"",IFERROR(MATCH(TRIM($J5&amp;"")&amp;"|다기관",입력_파견수련계획!$AE$4:$AE$803,0),""))</f>
        <v/>
      </c>
      <c r="AL5" s="10">
        <f>IF($AK5="","","다기관 "&amp;TEXT(INDEX(입력_파견수련계획!$AB$4:$AB$803,$AK5),"yyyy-mm-dd")&amp;"~"&amp;IF(ISNUMBER(INDEX(입력_파견수련계획!$AC$4:$AC$803,$AK5)),TEXT(INDEX(입력_파견수련계획!$AC$4:$AC$803,$AK5),"yyyy-mm-dd"),""))</f>
        <v/>
      </c>
      <c r="AM5" s="10">
        <f>IF($Y5="서울병원",COUNTIF($Y$2:$Y5,"서울병원"),"")</f>
        <v/>
      </c>
      <c r="AN5" s="10">
        <f>IF(LEFT($Y5,1)="⚠",COUNTIF($Y$2:$Y5,"⚠*"),"")</f>
        <v/>
      </c>
      <c r="AO5" s="10">
        <f>IF(OR($B5="",$Y5=""),"",IF(IF(TRIM($J5&amp;"")="",0,SUMPRODUCT((입력_파견수련계획!$Q$4:$Q$803=TRIM($J5&amp;""))*입력_파견수련계획!$AD$4:$AD$803))&gt;0,"다기관 기간 → 소속병원 지급",IF(AND(N($X5)&lt;=0,$AQ5=""),"파견 없음 → 그 달 근무병원 지급",IF($AH5+$AI5=DAY(EOMONTH(출력_요약!$B$3,0)),"서울 "&amp;$AH5&amp;"일 / 구리 "&amp;$AI5&amp;"일"&amp;IF($AQ5&lt;&gt;""," (구리 근무자명단 반영)","")&amp;" → 15일 이상 근무 병원 지급","타 병원 포함 → "&amp;IF($AJ5="","소속",INDEX(입력_파견수련계획!$T$4:$T$803,$AJ5))&amp;" 규칙"))))</f>
        <v/>
      </c>
      <c r="AP5" s="10">
        <f>IF($B5="","",$C5&amp;"|"&amp;$F5)</f>
        <v/>
      </c>
      <c r="AQ5" s="10">
        <f>IF($B5="","",IFERROR(MATCH(ROW()-1,출력_구리근무자!$K$6:$K$305,0),""))</f>
        <v/>
      </c>
      <c r="AR5" s="10">
        <f>IF($AQ5="","",INDEX(출력_구리근무자!$H$6:$H$305,$AQ5))</f>
        <v/>
      </c>
    </row>
    <row r="6">
      <c r="A6" s="10">
        <f>IF(B6="","",ROW()-1)</f>
        <v/>
      </c>
      <c r="B6" s="19" t="inlineStr">
        <is>
          <t>2261216</t>
        </is>
      </c>
      <c r="C6" s="10">
        <f>IF($AB6="","",IF(INDEX(입력_기본자료!$C$2:$C$1001,$AB6)="","",INDEX(입력_기본자료!$C$2:$C$1001,$AB6)))</f>
        <v/>
      </c>
      <c r="D6" s="10">
        <f>IF($AB6="","",IF(INDEX(입력_기본자료!$J$2:$J$1001,$AB6)="","",INDEX(입력_기본자료!$J$2:$J$1001,$AB6)))</f>
        <v/>
      </c>
      <c r="E6" s="11">
        <f>IF($AB6="","",IF(INDEX(입력_기본자료!$K$2:$K$1001,$AB6)="","",IF(NOT(ISNUMBER(INDEX(입력_기본자료!$K$2:$K$1001,$AB6))),INDEX(입력_기본자료!$K$2:$K$1001,$AB6),IF(INDEX(입력_기본자료!$K$2:$K$1001,$AB6)&lt;1000000,INDEX(입력_기본자료!$K$2:$K$1001,$AB6),IF(AND(INDEX(입력_기본자료!$K$2:$K$1001,$AB6)&gt;=10000101,INT(MOD(INDEX(입력_기본자료!$K$2:$K$1001,$AB6),10000)/100)&gt;=1,INT(MOD(INDEX(입력_기본자료!$K$2:$K$1001,$AB6),10000)/100)&lt;=12,MOD(INDEX(입력_기본자료!$K$2:$K$1001,$AB6),100)&gt;=1,MOD(INDEX(입력_기본자료!$K$2:$K$1001,$AB6),100)&lt;=31),DATE(INT(INDEX(입력_기본자료!$K$2:$K$1001,$AB6)/10000),INT(MOD(INDEX(입력_기본자료!$K$2:$K$1001,$AB6),10000)/100),MOD(INDEX(입력_기본자료!$K$2:$K$1001,$AB6),100)),INDEX(입력_기본자료!$K$2:$K$1001,$AB6)&amp;"")))))</f>
        <v/>
      </c>
      <c r="F6" s="10">
        <f>IF($AB6="","",IF(INDEX(입력_기본자료!$D$2:$D$1001,$AB6)="","",INDEX(입력_기본자료!$D$2:$D$1001,$AB6)))</f>
        <v/>
      </c>
      <c r="G6" s="10">
        <f>IF($AB6="","",IF(INDEX(입력_기본자료!$E$2:$E$1001,$AB6)="","",INDEX(입력_기본자료!$E$2:$E$1001,$AB6)))</f>
        <v/>
      </c>
      <c r="H6" s="10">
        <f>IF($AB6="","",IF(INDEX(입력_기본자료!$F$2:$F$1001,$AB6)="","",INDEX(입력_기본자료!$F$2:$F$1001,$AB6)))</f>
        <v/>
      </c>
      <c r="I6" s="11">
        <f>IF($AB6="","",IF(INDEX(입력_기본자료!$G$2:$G$1001,$AB6)="","",IF(NOT(ISNUMBER(INDEX(입력_기본자료!$G$2:$G$1001,$AB6))),INDEX(입력_기본자료!$G$2:$G$1001,$AB6),IF(INDEX(입력_기본자료!$G$2:$G$1001,$AB6)&lt;1000000,INDEX(입력_기본자료!$G$2:$G$1001,$AB6),IF(AND(INDEX(입력_기본자료!$G$2:$G$1001,$AB6)&gt;=10000101,INT(MOD(INDEX(입력_기본자료!$G$2:$G$1001,$AB6),10000)/100)&gt;=1,INT(MOD(INDEX(입력_기본자료!$G$2:$G$1001,$AB6),10000)/100)&lt;=12,MOD(INDEX(입력_기본자료!$G$2:$G$1001,$AB6),100)&gt;=1,MOD(INDEX(입력_기본자료!$G$2:$G$1001,$AB6),100)&lt;=31),DATE(INT(INDEX(입력_기본자료!$G$2:$G$1001,$AB6)/10000),INT(MOD(INDEX(입력_기본자료!$G$2:$G$1001,$AB6),10000)/100),MOD(INDEX(입력_기본자료!$G$2:$G$1001,$AB6),100)),INDEX(입력_기본자료!$G$2:$G$1001,$AB6)&amp;"")))))</f>
        <v/>
      </c>
      <c r="J6" s="10">
        <f>IF($AB6="","",IF(INDEX(입력_기본자료!$H$2:$H$1001,$AB6)="","",INDEX(입력_기본자료!$H$2:$H$1001,$AB6)))</f>
        <v/>
      </c>
      <c r="K6" s="10">
        <f>IF($AB6="","",IF(INDEX(입력_기본자료!$I$2:$I$1001,$AB6)="","",INDEX(입력_기본자료!$I$2:$I$1001,$AB6)))</f>
        <v/>
      </c>
      <c r="L6" s="10">
        <f>IF($AB6="","",IF(INDEX(입력_기본자료!$A$2:$A$1001,$AB6)="","",INDEX(입력_기본자료!$A$2:$A$1001,$AB6)))</f>
        <v/>
      </c>
      <c r="M6" s="15" t="inlineStr">
        <is>
          <t>구리병원</t>
        </is>
      </c>
      <c r="N6" s="10">
        <f>IF($B6="","",IF(AND($U6="파견중",$Q6&lt;&gt;""),$Q6,IF(AND($AD6&lt;&gt;"",LEFT($AD6,1)&lt;&gt;"⚠"),LEFT($AD6,FIND(" ",$AD6)-1),IF($H6="","",IF(RIGHT($H6,2)="병원",$H6,$H6&amp;"병원")))))</f>
        <v/>
      </c>
      <c r="O6" s="10">
        <f>IF($B6="","",IF(AND($U6="파견중",$Q6&lt;&gt;""),IF($R6&lt;&gt;"",$R6,"파견과 미입력"),IF(AND($AD6&lt;&gt;"",LEFT($AD6,1)&lt;&gt;"⚠"),MID($AD6,FIND(" ",$AD6)+1,60),IF($F6="","",IF($F6="인턴","수련교육부(인턴)",$F6)))))</f>
        <v/>
      </c>
      <c r="P6" s="10">
        <f>IF($B6="","",IF($AK6&lt;&gt;"",IF(AND(TODAY()&gt;=INDEX(입력_파견수련계획!$AB$4:$AB$803,$AK6),OR(NOT(ISNUMBER(INDEX(입력_파견수련계획!$AC$4:$AC$803,$AK6))),TODAY()&lt;=INDEX(입력_파견수련계획!$AC$4:$AC$803,$AK6))),"다기관",IF($AF6="","",INDEX(입력_파견수련계획!$T$4:$T$803,$AF6))),IF($AF6="","",INDEX(입력_파견수련계획!$T$4:$T$803,$AF6))))</f>
        <v/>
      </c>
      <c r="Q6" s="10">
        <f>IF($AF6="","",INDEX(입력_파견수련계획!$S$4:$S$803,$AF6))</f>
        <v/>
      </c>
      <c r="R6" s="10">
        <f>IF($AF6="","",INDEX(입력_파견수련계획!$U$4:$U$803,$AF6))</f>
        <v/>
      </c>
      <c r="S6" s="11">
        <f>IF($AF6="","",IF(INDEX(입력_파견수련계획!$H$4:$H$803,$AF6)="","",INDEX(입력_파견수련계획!$H$4:$H$803,$AF6)))</f>
        <v/>
      </c>
      <c r="T6" s="11">
        <f>IF($AF6="","",IF(INDEX(입력_파견수련계획!$I$4:$I$803,$AF6)="","",INDEX(입력_파견수련계획!$I$4:$I$803,$AF6)))</f>
        <v/>
      </c>
      <c r="U6" s="10">
        <f>IF($AF6="","",INDEX(입력_파견수련계획!$X$4:$X$803,$AF6))</f>
        <v/>
      </c>
      <c r="V6" s="17">
        <f>IF($AF6="","",INDEX(입력_파견수련계획!$V$4:$V$803,$AF6))</f>
        <v/>
      </c>
      <c r="W6" s="17">
        <f>IF(AND($U6="파견중",$T6&lt;&gt;""),$T6-TODAY(),"")</f>
        <v/>
      </c>
      <c r="X6" s="17">
        <f>IF(OR($B6="",TRIM($J6&amp;"")=""),"",SUMPRODUCT((입력_파견수련계획!$Q$4:$Q$803=TRIM($J6&amp;""))*입력_파견수련계획!$W$4:$W$803))</f>
        <v/>
      </c>
      <c r="Y6" s="10">
        <f>IF($B6="","",IF($AG6="","",IF(IF(TRIM($J6&amp;"")="",0,SUMPRODUCT((입력_파견수련계획!$Q$4:$Q$803=TRIM($J6&amp;""))*입력_파견수련계획!$AD$4:$AD$803))&gt;0,$AE6,IF(AND(N($X6)&lt;=0,$AQ6=""),$AG6,IF($AH6+$AI6=DAY(EOMONTH(출력_요약!$B$3,0)),IF(AND($AH6&gt;=출력_요약!$E$3,$AI6&lt;출력_요약!$E$3),"서울병원",IF(AND($AI6&gt;=출력_요약!$E$3,$AH6&lt;출력_요약!$E$3),"구리병원","⚠15일 판정불가(서울 "&amp;$AH6&amp;"일/구리 "&amp;$AI6&amp;"일)")),IF($AJ6="",$AE6,IF(INDEX(입력_파견수련계획!$T$4:$T$803,$AJ6)="통합수련",INDEX(입력_파견수련계획!$S$4:$S$803,$AJ6),$AE6)))))))</f>
        <v/>
      </c>
      <c r="Z6" s="20">
        <f>IF($B6="","",IF($AB6="","기본자료에 없는 사번",IF(COUNTIF($B$2:$B$401,$B6)&gt;1,"중복 사번",IF($AE6="","소속(입사장소) 입력",IF(IF(TRIM($J6&amp;"")="",0,SUMPRODUCT((입력_파견수련계획!$Q$4:$Q$803=TRIM($J6&amp;""))*(입력_파견수련계획!$AA$4:$AA$803&lt;&gt;"")))&gt;0,"파견수련계획 입력오류 확인",IF(LEFT($Y6,1)="⚠","서울·구리 15일 판정 불가(양쪽 모두 이상/미만)",IF(IF($AC6="",0,N(INDEX(입력_인턴근무계획!$T$3:$T$402,$AC6)))&gt;0,"인턴계획 입력오류 확인",IF(AND($AQ6&lt;&gt;"",$AG6&lt;&gt;"구리병원",IF(TRIM($J6&amp;"")="",0,SUMPRODUCT((입력_파견수련계획!$Q$4:$Q$803=TRIM($J6&amp;""))*(입력_파견수련계획!$S$4:$S$803="구리병원")*입력_파견수련계획!$W$4:$W$803))=0),"구리 근무자명단에만 있음(파견수련계획 확인)",IF(AND($AC6&lt;&gt;"",$U6&lt;&gt;"파견중",$N6&lt;&gt;$AE6),"인턴 타지역 근무: 파견 여부 확인","정상")))))))))</f>
        <v/>
      </c>
      <c r="AA6" s="5" t="inlineStr">
        <is>
          <t>예시 데이터</t>
        </is>
      </c>
      <c r="AB6" s="10">
        <f>IF($B6="","",IFERROR(MATCH($B6,입력_기본자료!$B$2:$B$1001,0),IFERROR(MATCH($B6&amp;"",입력_기본자료!$B$2:$B$1001,0),IFERROR(MATCH(VALUE($B6),입력_기본자료!$B$2:$B$1001,0),""))))</f>
        <v/>
      </c>
      <c r="AC6" s="10">
        <f>IF($B6="","",IFERROR(MATCH($B6,입력_인턴근무계획!$D$3:$D$402,0),IFERROR(MATCH($B6&amp;"",입력_인턴근무계획!$D$3:$D$402,0),IFERROR(MATCH(VALUE($B6),입력_인턴근무계획!$D$3:$D$402,0),""))))</f>
        <v/>
      </c>
      <c r="AD6" s="10">
        <f>IF(OR($AC6="",출력_인턴현황!$G$3=""),"",INDEX(입력_인턴근무계획!$M$3:$R$402,$AC6,출력_인턴현황!$G$3)&amp;"")</f>
        <v/>
      </c>
      <c r="AE6" s="10">
        <f>IF($B6="","",IF($M6&lt;&gt;"",$M6,IF(IF($AQ6="",FALSE,INDEX(출력_구리근무자!$J$6:$J$305,$AQ6)="구리독자"),"구리병원",IF($AF6&lt;&gt;"",IF(LEFT(INDEX(입력_파견수련계획!$R$4:$R$803,$AF6),1)&lt;&gt;"⚠",INDEX(입력_파견수련계획!$R$4:$R$803,$AF6),IF($H6="","",IF(RIGHT($H6,2)="병원",$H6,$H6&amp;"병원"))),IF($H6="","",IF(RIGHT($H6,2)="병원",$H6,$H6&amp;"병원"))))))</f>
        <v/>
      </c>
      <c r="AF6" s="10">
        <f>IF(OR($B6="",TRIM($J6&amp;"")=""),"",IFERROR(MATCH(TRIM($J6&amp;"")&amp;"|파견중",입력_파견수련계획!$Y$4:$Y$803,0),IFERROR(MATCH(TRIM($J6&amp;"")&amp;"|파견예정",입력_파견수련계획!$Y$4:$Y$803,0),IFERROR(MATCH(TRIM($J6&amp;"")&amp;"|파견종료",입력_파견수련계획!$Y$4:$Y$803,0),""))))</f>
        <v/>
      </c>
      <c r="AG6" s="10">
        <f>IF($B6="","",IF(AND(IF(OR($AC6="",출력_인턴현황!$K$2=""),"",INDEX(입력_인턴근무계획!$M$3:$R$402,$AC6,출력_인턴현황!$K$2)&amp;"")&lt;&gt;"",LEFT(IF(OR($AC6="",출력_인턴현황!$K$2=""),"",INDEX(입력_인턴근무계획!$M$3:$R$402,$AC6,출력_인턴현황!$K$2)&amp;""),1)&lt;&gt;"⚠"),LEFT(IF(OR($AC6="",출력_인턴현황!$K$2=""),"",INDEX(입력_인턴근무계획!$M$3:$R$402,$AC6,출력_인턴현황!$K$2)&amp;""),FIND(" ",IF(OR($AC6="",출력_인턴현황!$K$2=""),"",INDEX(입력_인턴근무계획!$M$3:$R$402,$AC6,출력_인턴현황!$K$2)&amp;""))-1),$AE6))</f>
        <v/>
      </c>
      <c r="AH6" s="17">
        <f>IF($B6="","",IF($AQ6&lt;&gt;"",MAX(0,DAY(EOMONTH(출력_요약!$B$3,0))-N($AR6)),IF(TRIM($J6&amp;"")="",0,SUMPRODUCT((입력_파견수련계획!$Q$4:$Q$803=TRIM($J6&amp;""))*(입력_파견수련계획!$S$4:$S$803="서울병원")*입력_파견수련계획!$W$4:$W$803))+IF($AG6="서울병원",MAX(0,DAY(EOMONTH(출력_요약!$B$3,0))-N($X6)),0)))</f>
        <v/>
      </c>
      <c r="AI6" s="17">
        <f>IF($B6="","",IF($AQ6&lt;&gt;"",N($AR6),IF(TRIM($J6&amp;"")="",0,SUMPRODUCT((입력_파견수련계획!$Q$4:$Q$803=TRIM($J6&amp;""))*(입력_파견수련계획!$S$4:$S$803="구리병원")*입력_파견수련계획!$W$4:$W$803))+IF($AG6="구리병원",MAX(0,DAY(EOMONTH(출력_요약!$B$3,0))-N($X6)),0)))</f>
        <v/>
      </c>
      <c r="AJ6" s="10">
        <f>IF(OR($B6="",TRIM($J6&amp;"")=""),"",IFERROR(MATCH(TRIM($J6&amp;"")&amp;"|월",입력_파견수련계획!$Z$4:$Z$803,0),""))</f>
        <v/>
      </c>
      <c r="AK6" s="10">
        <f>IF(OR($B6="",TRIM($J6&amp;"")=""),"",IFERROR(MATCH(TRIM($J6&amp;"")&amp;"|다기관",입력_파견수련계획!$AE$4:$AE$803,0),""))</f>
        <v/>
      </c>
      <c r="AL6" s="10">
        <f>IF($AK6="","","다기관 "&amp;TEXT(INDEX(입력_파견수련계획!$AB$4:$AB$803,$AK6),"yyyy-mm-dd")&amp;"~"&amp;IF(ISNUMBER(INDEX(입력_파견수련계획!$AC$4:$AC$803,$AK6)),TEXT(INDEX(입력_파견수련계획!$AC$4:$AC$803,$AK6),"yyyy-mm-dd"),""))</f>
        <v/>
      </c>
      <c r="AM6" s="10">
        <f>IF($Y6="서울병원",COUNTIF($Y$2:$Y6,"서울병원"),"")</f>
        <v/>
      </c>
      <c r="AN6" s="10">
        <f>IF(LEFT($Y6,1)="⚠",COUNTIF($Y$2:$Y6,"⚠*"),"")</f>
        <v/>
      </c>
      <c r="AO6" s="10">
        <f>IF(OR($B6="",$Y6=""),"",IF(IF(TRIM($J6&amp;"")="",0,SUMPRODUCT((입력_파견수련계획!$Q$4:$Q$803=TRIM($J6&amp;""))*입력_파견수련계획!$AD$4:$AD$803))&gt;0,"다기관 기간 → 소속병원 지급",IF(AND(N($X6)&lt;=0,$AQ6=""),"파견 없음 → 그 달 근무병원 지급",IF($AH6+$AI6=DAY(EOMONTH(출력_요약!$B$3,0)),"서울 "&amp;$AH6&amp;"일 / 구리 "&amp;$AI6&amp;"일"&amp;IF($AQ6&lt;&gt;""," (구리 근무자명단 반영)","")&amp;" → 15일 이상 근무 병원 지급","타 병원 포함 → "&amp;IF($AJ6="","소속",INDEX(입력_파견수련계획!$T$4:$T$803,$AJ6))&amp;" 규칙"))))</f>
        <v/>
      </c>
      <c r="AP6" s="10">
        <f>IF($B6="","",$C6&amp;"|"&amp;$F6)</f>
        <v/>
      </c>
      <c r="AQ6" s="10">
        <f>IF($B6="","",IFERROR(MATCH(ROW()-1,출력_구리근무자!$K$6:$K$305,0),""))</f>
        <v/>
      </c>
      <c r="AR6" s="10">
        <f>IF($AQ6="","",INDEX(출력_구리근무자!$H$6:$H$305,$AQ6))</f>
        <v/>
      </c>
    </row>
    <row r="7">
      <c r="A7" s="10">
        <f>IF(B7="","",ROW()-1)</f>
        <v/>
      </c>
      <c r="B7" s="19" t="inlineStr">
        <is>
          <t>222222</t>
        </is>
      </c>
      <c r="C7" s="10">
        <f>IF($AB7="","",IF(INDEX(입력_기본자료!$C$2:$C$1001,$AB7)="","",INDEX(입력_기본자료!$C$2:$C$1001,$AB7)))</f>
        <v/>
      </c>
      <c r="D7" s="10">
        <f>IF($AB7="","",IF(INDEX(입력_기본자료!$J$2:$J$1001,$AB7)="","",INDEX(입력_기본자료!$J$2:$J$1001,$AB7)))</f>
        <v/>
      </c>
      <c r="E7" s="11">
        <f>IF($AB7="","",IF(INDEX(입력_기본자료!$K$2:$K$1001,$AB7)="","",IF(NOT(ISNUMBER(INDEX(입력_기본자료!$K$2:$K$1001,$AB7))),INDEX(입력_기본자료!$K$2:$K$1001,$AB7),IF(INDEX(입력_기본자료!$K$2:$K$1001,$AB7)&lt;1000000,INDEX(입력_기본자료!$K$2:$K$1001,$AB7),IF(AND(INDEX(입력_기본자료!$K$2:$K$1001,$AB7)&gt;=10000101,INT(MOD(INDEX(입력_기본자료!$K$2:$K$1001,$AB7),10000)/100)&gt;=1,INT(MOD(INDEX(입력_기본자료!$K$2:$K$1001,$AB7),10000)/100)&lt;=12,MOD(INDEX(입력_기본자료!$K$2:$K$1001,$AB7),100)&gt;=1,MOD(INDEX(입력_기본자료!$K$2:$K$1001,$AB7),100)&lt;=31),DATE(INT(INDEX(입력_기본자료!$K$2:$K$1001,$AB7)/10000),INT(MOD(INDEX(입력_기본자료!$K$2:$K$1001,$AB7),10000)/100),MOD(INDEX(입력_기본자료!$K$2:$K$1001,$AB7),100)),INDEX(입력_기본자료!$K$2:$K$1001,$AB7)&amp;"")))))</f>
        <v/>
      </c>
      <c r="F7" s="10">
        <f>IF($AB7="","",IF(INDEX(입력_기본자료!$D$2:$D$1001,$AB7)="","",INDEX(입력_기본자료!$D$2:$D$1001,$AB7)))</f>
        <v/>
      </c>
      <c r="G7" s="10">
        <f>IF($AB7="","",IF(INDEX(입력_기본자료!$E$2:$E$1001,$AB7)="","",INDEX(입력_기본자료!$E$2:$E$1001,$AB7)))</f>
        <v/>
      </c>
      <c r="H7" s="10">
        <f>IF($AB7="","",IF(INDEX(입력_기본자료!$F$2:$F$1001,$AB7)="","",INDEX(입력_기본자료!$F$2:$F$1001,$AB7)))</f>
        <v/>
      </c>
      <c r="I7" s="11">
        <f>IF($AB7="","",IF(INDEX(입력_기본자료!$G$2:$G$1001,$AB7)="","",IF(NOT(ISNUMBER(INDEX(입력_기본자료!$G$2:$G$1001,$AB7))),INDEX(입력_기본자료!$G$2:$G$1001,$AB7),IF(INDEX(입력_기본자료!$G$2:$G$1001,$AB7)&lt;1000000,INDEX(입력_기본자료!$G$2:$G$1001,$AB7),IF(AND(INDEX(입력_기본자료!$G$2:$G$1001,$AB7)&gt;=10000101,INT(MOD(INDEX(입력_기본자료!$G$2:$G$1001,$AB7),10000)/100)&gt;=1,INT(MOD(INDEX(입력_기본자료!$G$2:$G$1001,$AB7),10000)/100)&lt;=12,MOD(INDEX(입력_기본자료!$G$2:$G$1001,$AB7),100)&gt;=1,MOD(INDEX(입력_기본자료!$G$2:$G$1001,$AB7),100)&lt;=31),DATE(INT(INDEX(입력_기본자료!$G$2:$G$1001,$AB7)/10000),INT(MOD(INDEX(입력_기본자료!$G$2:$G$1001,$AB7),10000)/100),MOD(INDEX(입력_기본자료!$G$2:$G$1001,$AB7),100)),INDEX(입력_기본자료!$G$2:$G$1001,$AB7)&amp;"")))))</f>
        <v/>
      </c>
      <c r="J7" s="10">
        <f>IF($AB7="","",IF(INDEX(입력_기본자료!$H$2:$H$1001,$AB7)="","",INDEX(입력_기본자료!$H$2:$H$1001,$AB7)))</f>
        <v/>
      </c>
      <c r="K7" s="10">
        <f>IF($AB7="","",IF(INDEX(입력_기본자료!$I$2:$I$1001,$AB7)="","",INDEX(입력_기본자료!$I$2:$I$1001,$AB7)))</f>
        <v/>
      </c>
      <c r="L7" s="10">
        <f>IF($AB7="","",IF(INDEX(입력_기본자료!$A$2:$A$1001,$AB7)="","",INDEX(입력_기본자료!$A$2:$A$1001,$AB7)))</f>
        <v/>
      </c>
      <c r="M7" s="15" t="inlineStr">
        <is>
          <t>서울병원</t>
        </is>
      </c>
      <c r="N7" s="10">
        <f>IF($B7="","",IF(AND($U7="파견중",$Q7&lt;&gt;""),$Q7,IF(AND($AD7&lt;&gt;"",LEFT($AD7,1)&lt;&gt;"⚠"),LEFT($AD7,FIND(" ",$AD7)-1),IF($H7="","",IF(RIGHT($H7,2)="병원",$H7,$H7&amp;"병원")))))</f>
        <v/>
      </c>
      <c r="O7" s="10">
        <f>IF($B7="","",IF(AND($U7="파견중",$Q7&lt;&gt;""),IF($R7&lt;&gt;"",$R7,"파견과 미입력"),IF(AND($AD7&lt;&gt;"",LEFT($AD7,1)&lt;&gt;"⚠"),MID($AD7,FIND(" ",$AD7)+1,60),IF($F7="","",IF($F7="인턴","수련교육부(인턴)",$F7)))))</f>
        <v/>
      </c>
      <c r="P7" s="10">
        <f>IF($B7="","",IF($AK7&lt;&gt;"",IF(AND(TODAY()&gt;=INDEX(입력_파견수련계획!$AB$4:$AB$803,$AK7),OR(NOT(ISNUMBER(INDEX(입력_파견수련계획!$AC$4:$AC$803,$AK7))),TODAY()&lt;=INDEX(입력_파견수련계획!$AC$4:$AC$803,$AK7))),"다기관",IF($AF7="","",INDEX(입력_파견수련계획!$T$4:$T$803,$AF7))),IF($AF7="","",INDEX(입력_파견수련계획!$T$4:$T$803,$AF7))))</f>
        <v/>
      </c>
      <c r="Q7" s="10">
        <f>IF($AF7="","",INDEX(입력_파견수련계획!$S$4:$S$803,$AF7))</f>
        <v/>
      </c>
      <c r="R7" s="10">
        <f>IF($AF7="","",INDEX(입력_파견수련계획!$U$4:$U$803,$AF7))</f>
        <v/>
      </c>
      <c r="S7" s="11">
        <f>IF($AF7="","",IF(INDEX(입력_파견수련계획!$H$4:$H$803,$AF7)="","",INDEX(입력_파견수련계획!$H$4:$H$803,$AF7)))</f>
        <v/>
      </c>
      <c r="T7" s="11">
        <f>IF($AF7="","",IF(INDEX(입력_파견수련계획!$I$4:$I$803,$AF7)="","",INDEX(입력_파견수련계획!$I$4:$I$803,$AF7)))</f>
        <v/>
      </c>
      <c r="U7" s="10">
        <f>IF($AF7="","",INDEX(입력_파견수련계획!$X$4:$X$803,$AF7))</f>
        <v/>
      </c>
      <c r="V7" s="17">
        <f>IF($AF7="","",INDEX(입력_파견수련계획!$V$4:$V$803,$AF7))</f>
        <v/>
      </c>
      <c r="W7" s="17">
        <f>IF(AND($U7="파견중",$T7&lt;&gt;""),$T7-TODAY(),"")</f>
        <v/>
      </c>
      <c r="X7" s="17">
        <f>IF(OR($B7="",TRIM($J7&amp;"")=""),"",SUMPRODUCT((입력_파견수련계획!$Q$4:$Q$803=TRIM($J7&amp;""))*입력_파견수련계획!$W$4:$W$803))</f>
        <v/>
      </c>
      <c r="Y7" s="10">
        <f>IF($B7="","",IF($AG7="","",IF(IF(TRIM($J7&amp;"")="",0,SUMPRODUCT((입력_파견수련계획!$Q$4:$Q$803=TRIM($J7&amp;""))*입력_파견수련계획!$AD$4:$AD$803))&gt;0,$AE7,IF(AND(N($X7)&lt;=0,$AQ7=""),$AG7,IF($AH7+$AI7=DAY(EOMONTH(출력_요약!$B$3,0)),IF(AND($AH7&gt;=출력_요약!$E$3,$AI7&lt;출력_요약!$E$3),"서울병원",IF(AND($AI7&gt;=출력_요약!$E$3,$AH7&lt;출력_요약!$E$3),"구리병원","⚠15일 판정불가(서울 "&amp;$AH7&amp;"일/구리 "&amp;$AI7&amp;"일)")),IF($AJ7="",$AE7,IF(INDEX(입력_파견수련계획!$T$4:$T$803,$AJ7)="통합수련",INDEX(입력_파견수련계획!$S$4:$S$803,$AJ7),$AE7)))))))</f>
        <v/>
      </c>
      <c r="Z7" s="20">
        <f>IF($B7="","",IF($AB7="","기본자료에 없는 사번",IF(COUNTIF($B$2:$B$401,$B7)&gt;1,"중복 사번",IF($AE7="","소속(입사장소) 입력",IF(IF(TRIM($J7&amp;"")="",0,SUMPRODUCT((입력_파견수련계획!$Q$4:$Q$803=TRIM($J7&amp;""))*(입력_파견수련계획!$AA$4:$AA$803&lt;&gt;"")))&gt;0,"파견수련계획 입력오류 확인",IF(LEFT($Y7,1)="⚠","서울·구리 15일 판정 불가(양쪽 모두 이상/미만)",IF(IF($AC7="",0,N(INDEX(입력_인턴근무계획!$T$3:$T$402,$AC7)))&gt;0,"인턴계획 입력오류 확인",IF(AND($AQ7&lt;&gt;"",$AG7&lt;&gt;"구리병원",IF(TRIM($J7&amp;"")="",0,SUMPRODUCT((입력_파견수련계획!$Q$4:$Q$803=TRIM($J7&amp;""))*(입력_파견수련계획!$S$4:$S$803="구리병원")*입력_파견수련계획!$W$4:$W$803))=0),"구리 근무자명단에만 있음(파견수련계획 확인)",IF(AND($AC7&lt;&gt;"",$U7&lt;&gt;"파견중",$N7&lt;&gt;$AE7),"인턴 타지역 근무: 파견 여부 확인","정상")))))))))</f>
        <v/>
      </c>
      <c r="AA7" s="5" t="inlineStr">
        <is>
          <t>예시 데이터(인턴)</t>
        </is>
      </c>
      <c r="AB7" s="10">
        <f>IF($B7="","",IFERROR(MATCH($B7,입력_기본자료!$B$2:$B$1001,0),IFERROR(MATCH($B7&amp;"",입력_기본자료!$B$2:$B$1001,0),IFERROR(MATCH(VALUE($B7),입력_기본자료!$B$2:$B$1001,0),""))))</f>
        <v/>
      </c>
      <c r="AC7" s="10">
        <f>IF($B7="","",IFERROR(MATCH($B7,입력_인턴근무계획!$D$3:$D$402,0),IFERROR(MATCH($B7&amp;"",입력_인턴근무계획!$D$3:$D$402,0),IFERROR(MATCH(VALUE($B7),입력_인턴근무계획!$D$3:$D$402,0),""))))</f>
        <v/>
      </c>
      <c r="AD7" s="10">
        <f>IF(OR($AC7="",출력_인턴현황!$G$3=""),"",INDEX(입력_인턴근무계획!$M$3:$R$402,$AC7,출력_인턴현황!$G$3)&amp;"")</f>
        <v/>
      </c>
      <c r="AE7" s="10">
        <f>IF($B7="","",IF($M7&lt;&gt;"",$M7,IF(IF($AQ7="",FALSE,INDEX(출력_구리근무자!$J$6:$J$305,$AQ7)="구리독자"),"구리병원",IF($AF7&lt;&gt;"",IF(LEFT(INDEX(입력_파견수련계획!$R$4:$R$803,$AF7),1)&lt;&gt;"⚠",INDEX(입력_파견수련계획!$R$4:$R$803,$AF7),IF($H7="","",IF(RIGHT($H7,2)="병원",$H7,$H7&amp;"병원"))),IF($H7="","",IF(RIGHT($H7,2)="병원",$H7,$H7&amp;"병원"))))))</f>
        <v/>
      </c>
      <c r="AF7" s="10">
        <f>IF(OR($B7="",TRIM($J7&amp;"")=""),"",IFERROR(MATCH(TRIM($J7&amp;"")&amp;"|파견중",입력_파견수련계획!$Y$4:$Y$803,0),IFERROR(MATCH(TRIM($J7&amp;"")&amp;"|파견예정",입력_파견수련계획!$Y$4:$Y$803,0),IFERROR(MATCH(TRIM($J7&amp;"")&amp;"|파견종료",입력_파견수련계획!$Y$4:$Y$803,0),""))))</f>
        <v/>
      </c>
      <c r="AG7" s="10">
        <f>IF($B7="","",IF(AND(IF(OR($AC7="",출력_인턴현황!$K$2=""),"",INDEX(입력_인턴근무계획!$M$3:$R$402,$AC7,출력_인턴현황!$K$2)&amp;"")&lt;&gt;"",LEFT(IF(OR($AC7="",출력_인턴현황!$K$2=""),"",INDEX(입력_인턴근무계획!$M$3:$R$402,$AC7,출력_인턴현황!$K$2)&amp;""),1)&lt;&gt;"⚠"),LEFT(IF(OR($AC7="",출력_인턴현황!$K$2=""),"",INDEX(입력_인턴근무계획!$M$3:$R$402,$AC7,출력_인턴현황!$K$2)&amp;""),FIND(" ",IF(OR($AC7="",출력_인턴현황!$K$2=""),"",INDEX(입력_인턴근무계획!$M$3:$R$402,$AC7,출력_인턴현황!$K$2)&amp;""))-1),$AE7))</f>
        <v/>
      </c>
      <c r="AH7" s="17">
        <f>IF($B7="","",IF($AQ7&lt;&gt;"",MAX(0,DAY(EOMONTH(출력_요약!$B$3,0))-N($AR7)),IF(TRIM($J7&amp;"")="",0,SUMPRODUCT((입력_파견수련계획!$Q$4:$Q$803=TRIM($J7&amp;""))*(입력_파견수련계획!$S$4:$S$803="서울병원")*입력_파견수련계획!$W$4:$W$803))+IF($AG7="서울병원",MAX(0,DAY(EOMONTH(출력_요약!$B$3,0))-N($X7)),0)))</f>
        <v/>
      </c>
      <c r="AI7" s="17">
        <f>IF($B7="","",IF($AQ7&lt;&gt;"",N($AR7),IF(TRIM($J7&amp;"")="",0,SUMPRODUCT((입력_파견수련계획!$Q$4:$Q$803=TRIM($J7&amp;""))*(입력_파견수련계획!$S$4:$S$803="구리병원")*입력_파견수련계획!$W$4:$W$803))+IF($AG7="구리병원",MAX(0,DAY(EOMONTH(출력_요약!$B$3,0))-N($X7)),0)))</f>
        <v/>
      </c>
      <c r="AJ7" s="10">
        <f>IF(OR($B7="",TRIM($J7&amp;"")=""),"",IFERROR(MATCH(TRIM($J7&amp;"")&amp;"|월",입력_파견수련계획!$Z$4:$Z$803,0),""))</f>
        <v/>
      </c>
      <c r="AK7" s="10">
        <f>IF(OR($B7="",TRIM($J7&amp;"")=""),"",IFERROR(MATCH(TRIM($J7&amp;"")&amp;"|다기관",입력_파견수련계획!$AE$4:$AE$803,0),""))</f>
        <v/>
      </c>
      <c r="AL7" s="10">
        <f>IF($AK7="","","다기관 "&amp;TEXT(INDEX(입력_파견수련계획!$AB$4:$AB$803,$AK7),"yyyy-mm-dd")&amp;"~"&amp;IF(ISNUMBER(INDEX(입력_파견수련계획!$AC$4:$AC$803,$AK7)),TEXT(INDEX(입력_파견수련계획!$AC$4:$AC$803,$AK7),"yyyy-mm-dd"),""))</f>
        <v/>
      </c>
      <c r="AM7" s="10">
        <f>IF($Y7="서울병원",COUNTIF($Y$2:$Y7,"서울병원"),"")</f>
        <v/>
      </c>
      <c r="AN7" s="10">
        <f>IF(LEFT($Y7,1)="⚠",COUNTIF($Y$2:$Y7,"⚠*"),"")</f>
        <v/>
      </c>
      <c r="AO7" s="10">
        <f>IF(OR($B7="",$Y7=""),"",IF(IF(TRIM($J7&amp;"")="",0,SUMPRODUCT((입력_파견수련계획!$Q$4:$Q$803=TRIM($J7&amp;""))*입력_파견수련계획!$AD$4:$AD$803))&gt;0,"다기관 기간 → 소속병원 지급",IF(AND(N($X7)&lt;=0,$AQ7=""),"파견 없음 → 그 달 근무병원 지급",IF($AH7+$AI7=DAY(EOMONTH(출력_요약!$B$3,0)),"서울 "&amp;$AH7&amp;"일 / 구리 "&amp;$AI7&amp;"일"&amp;IF($AQ7&lt;&gt;""," (구리 근무자명단 반영)","")&amp;" → 15일 이상 근무 병원 지급","타 병원 포함 → "&amp;IF($AJ7="","소속",INDEX(입력_파견수련계획!$T$4:$T$803,$AJ7))&amp;" 규칙"))))</f>
        <v/>
      </c>
      <c r="AP7" s="10">
        <f>IF($B7="","",$C7&amp;"|"&amp;$F7)</f>
        <v/>
      </c>
      <c r="AQ7" s="10">
        <f>IF($B7="","",IFERROR(MATCH(ROW()-1,출력_구리근무자!$K$6:$K$305,0),""))</f>
        <v/>
      </c>
      <c r="AR7" s="10">
        <f>IF($AQ7="","",INDEX(출력_구리근무자!$H$6:$H$305,$AQ7))</f>
        <v/>
      </c>
    </row>
    <row r="8">
      <c r="A8" s="10">
        <f>IF(B8="","",ROW()-1)</f>
        <v/>
      </c>
      <c r="B8" s="19" t="inlineStr">
        <is>
          <t>222223</t>
        </is>
      </c>
      <c r="C8" s="10">
        <f>IF($AB8="","",IF(INDEX(입력_기본자료!$C$2:$C$1001,$AB8)="","",INDEX(입력_기본자료!$C$2:$C$1001,$AB8)))</f>
        <v/>
      </c>
      <c r="D8" s="10">
        <f>IF($AB8="","",IF(INDEX(입력_기본자료!$J$2:$J$1001,$AB8)="","",INDEX(입력_기본자료!$J$2:$J$1001,$AB8)))</f>
        <v/>
      </c>
      <c r="E8" s="11">
        <f>IF($AB8="","",IF(INDEX(입력_기본자료!$K$2:$K$1001,$AB8)="","",IF(NOT(ISNUMBER(INDEX(입력_기본자료!$K$2:$K$1001,$AB8))),INDEX(입력_기본자료!$K$2:$K$1001,$AB8),IF(INDEX(입력_기본자료!$K$2:$K$1001,$AB8)&lt;1000000,INDEX(입력_기본자료!$K$2:$K$1001,$AB8),IF(AND(INDEX(입력_기본자료!$K$2:$K$1001,$AB8)&gt;=10000101,INT(MOD(INDEX(입력_기본자료!$K$2:$K$1001,$AB8),10000)/100)&gt;=1,INT(MOD(INDEX(입력_기본자료!$K$2:$K$1001,$AB8),10000)/100)&lt;=12,MOD(INDEX(입력_기본자료!$K$2:$K$1001,$AB8),100)&gt;=1,MOD(INDEX(입력_기본자료!$K$2:$K$1001,$AB8),100)&lt;=31),DATE(INT(INDEX(입력_기본자료!$K$2:$K$1001,$AB8)/10000),INT(MOD(INDEX(입력_기본자료!$K$2:$K$1001,$AB8),10000)/100),MOD(INDEX(입력_기본자료!$K$2:$K$1001,$AB8),100)),INDEX(입력_기본자료!$K$2:$K$1001,$AB8)&amp;"")))))</f>
        <v/>
      </c>
      <c r="F8" s="10">
        <f>IF($AB8="","",IF(INDEX(입력_기본자료!$D$2:$D$1001,$AB8)="","",INDEX(입력_기본자료!$D$2:$D$1001,$AB8)))</f>
        <v/>
      </c>
      <c r="G8" s="10">
        <f>IF($AB8="","",IF(INDEX(입력_기본자료!$E$2:$E$1001,$AB8)="","",INDEX(입력_기본자료!$E$2:$E$1001,$AB8)))</f>
        <v/>
      </c>
      <c r="H8" s="10">
        <f>IF($AB8="","",IF(INDEX(입력_기본자료!$F$2:$F$1001,$AB8)="","",INDEX(입력_기본자료!$F$2:$F$1001,$AB8)))</f>
        <v/>
      </c>
      <c r="I8" s="11">
        <f>IF($AB8="","",IF(INDEX(입력_기본자료!$G$2:$G$1001,$AB8)="","",IF(NOT(ISNUMBER(INDEX(입력_기본자료!$G$2:$G$1001,$AB8))),INDEX(입력_기본자료!$G$2:$G$1001,$AB8),IF(INDEX(입력_기본자료!$G$2:$G$1001,$AB8)&lt;1000000,INDEX(입력_기본자료!$G$2:$G$1001,$AB8),IF(AND(INDEX(입력_기본자료!$G$2:$G$1001,$AB8)&gt;=10000101,INT(MOD(INDEX(입력_기본자료!$G$2:$G$1001,$AB8),10000)/100)&gt;=1,INT(MOD(INDEX(입력_기본자료!$G$2:$G$1001,$AB8),10000)/100)&lt;=12,MOD(INDEX(입력_기본자료!$G$2:$G$1001,$AB8),100)&gt;=1,MOD(INDEX(입력_기본자료!$G$2:$G$1001,$AB8),100)&lt;=31),DATE(INT(INDEX(입력_기본자료!$G$2:$G$1001,$AB8)/10000),INT(MOD(INDEX(입력_기본자료!$G$2:$G$1001,$AB8),10000)/100),MOD(INDEX(입력_기본자료!$G$2:$G$1001,$AB8),100)),INDEX(입력_기본자료!$G$2:$G$1001,$AB8)&amp;"")))))</f>
        <v/>
      </c>
      <c r="J8" s="10">
        <f>IF($AB8="","",IF(INDEX(입력_기본자료!$H$2:$H$1001,$AB8)="","",INDEX(입력_기본자료!$H$2:$H$1001,$AB8)))</f>
        <v/>
      </c>
      <c r="K8" s="10">
        <f>IF($AB8="","",IF(INDEX(입력_기본자료!$I$2:$I$1001,$AB8)="","",INDEX(입력_기본자료!$I$2:$I$1001,$AB8)))</f>
        <v/>
      </c>
      <c r="L8" s="10">
        <f>IF($AB8="","",IF(INDEX(입력_기본자료!$A$2:$A$1001,$AB8)="","",INDEX(입력_기본자료!$A$2:$A$1001,$AB8)))</f>
        <v/>
      </c>
      <c r="M8" s="15" t="inlineStr">
        <is>
          <t>서울병원</t>
        </is>
      </c>
      <c r="N8" s="10">
        <f>IF($B8="","",IF(AND($U8="파견중",$Q8&lt;&gt;""),$Q8,IF(AND($AD8&lt;&gt;"",LEFT($AD8,1)&lt;&gt;"⚠"),LEFT($AD8,FIND(" ",$AD8)-1),IF($H8="","",IF(RIGHT($H8,2)="병원",$H8,$H8&amp;"병원")))))</f>
        <v/>
      </c>
      <c r="O8" s="10">
        <f>IF($B8="","",IF(AND($U8="파견중",$Q8&lt;&gt;""),IF($R8&lt;&gt;"",$R8,"파견과 미입력"),IF(AND($AD8&lt;&gt;"",LEFT($AD8,1)&lt;&gt;"⚠"),MID($AD8,FIND(" ",$AD8)+1,60),IF($F8="","",IF($F8="인턴","수련교육부(인턴)",$F8)))))</f>
        <v/>
      </c>
      <c r="P8" s="10">
        <f>IF($B8="","",IF($AK8&lt;&gt;"",IF(AND(TODAY()&gt;=INDEX(입력_파견수련계획!$AB$4:$AB$803,$AK8),OR(NOT(ISNUMBER(INDEX(입력_파견수련계획!$AC$4:$AC$803,$AK8))),TODAY()&lt;=INDEX(입력_파견수련계획!$AC$4:$AC$803,$AK8))),"다기관",IF($AF8="","",INDEX(입력_파견수련계획!$T$4:$T$803,$AF8))),IF($AF8="","",INDEX(입력_파견수련계획!$T$4:$T$803,$AF8))))</f>
        <v/>
      </c>
      <c r="Q8" s="10">
        <f>IF($AF8="","",INDEX(입력_파견수련계획!$S$4:$S$803,$AF8))</f>
        <v/>
      </c>
      <c r="R8" s="10">
        <f>IF($AF8="","",INDEX(입력_파견수련계획!$U$4:$U$803,$AF8))</f>
        <v/>
      </c>
      <c r="S8" s="11">
        <f>IF($AF8="","",IF(INDEX(입력_파견수련계획!$H$4:$H$803,$AF8)="","",INDEX(입력_파견수련계획!$H$4:$H$803,$AF8)))</f>
        <v/>
      </c>
      <c r="T8" s="11">
        <f>IF($AF8="","",IF(INDEX(입력_파견수련계획!$I$4:$I$803,$AF8)="","",INDEX(입력_파견수련계획!$I$4:$I$803,$AF8)))</f>
        <v/>
      </c>
      <c r="U8" s="10">
        <f>IF($AF8="","",INDEX(입력_파견수련계획!$X$4:$X$803,$AF8))</f>
        <v/>
      </c>
      <c r="V8" s="17">
        <f>IF($AF8="","",INDEX(입력_파견수련계획!$V$4:$V$803,$AF8))</f>
        <v/>
      </c>
      <c r="W8" s="17">
        <f>IF(AND($U8="파견중",$T8&lt;&gt;""),$T8-TODAY(),"")</f>
        <v/>
      </c>
      <c r="X8" s="17">
        <f>IF(OR($B8="",TRIM($J8&amp;"")=""),"",SUMPRODUCT((입력_파견수련계획!$Q$4:$Q$803=TRIM($J8&amp;""))*입력_파견수련계획!$W$4:$W$803))</f>
        <v/>
      </c>
      <c r="Y8" s="10">
        <f>IF($B8="","",IF($AG8="","",IF(IF(TRIM($J8&amp;"")="",0,SUMPRODUCT((입력_파견수련계획!$Q$4:$Q$803=TRIM($J8&amp;""))*입력_파견수련계획!$AD$4:$AD$803))&gt;0,$AE8,IF(AND(N($X8)&lt;=0,$AQ8=""),$AG8,IF($AH8+$AI8=DAY(EOMONTH(출력_요약!$B$3,0)),IF(AND($AH8&gt;=출력_요약!$E$3,$AI8&lt;출력_요약!$E$3),"서울병원",IF(AND($AI8&gt;=출력_요약!$E$3,$AH8&lt;출력_요약!$E$3),"구리병원","⚠15일 판정불가(서울 "&amp;$AH8&amp;"일/구리 "&amp;$AI8&amp;"일)")),IF($AJ8="",$AE8,IF(INDEX(입력_파견수련계획!$T$4:$T$803,$AJ8)="통합수련",INDEX(입력_파견수련계획!$S$4:$S$803,$AJ8),$AE8)))))))</f>
        <v/>
      </c>
      <c r="Z8" s="20">
        <f>IF($B8="","",IF($AB8="","기본자료에 없는 사번",IF(COUNTIF($B$2:$B$401,$B8)&gt;1,"중복 사번",IF($AE8="","소속(입사장소) 입력",IF(IF(TRIM($J8&amp;"")="",0,SUMPRODUCT((입력_파견수련계획!$Q$4:$Q$803=TRIM($J8&amp;""))*(입력_파견수련계획!$AA$4:$AA$803&lt;&gt;"")))&gt;0,"파견수련계획 입력오류 확인",IF(LEFT($Y8,1)="⚠","서울·구리 15일 판정 불가(양쪽 모두 이상/미만)",IF(IF($AC8="",0,N(INDEX(입력_인턴근무계획!$T$3:$T$402,$AC8)))&gt;0,"인턴계획 입력오류 확인",IF(AND($AQ8&lt;&gt;"",$AG8&lt;&gt;"구리병원",IF(TRIM($J8&amp;"")="",0,SUMPRODUCT((입력_파견수련계획!$Q$4:$Q$803=TRIM($J8&amp;""))*(입력_파견수련계획!$S$4:$S$803="구리병원")*입력_파견수련계획!$W$4:$W$803))=0),"구리 근무자명단에만 있음(파견수련계획 확인)",IF(AND($AC8&lt;&gt;"",$U8&lt;&gt;"파견중",$N8&lt;&gt;$AE8),"인턴 타지역 근무: 파견 여부 확인","정상")))))))))</f>
        <v/>
      </c>
      <c r="AA8" s="5" t="inlineStr">
        <is>
          <t>예시 데이터(인턴)</t>
        </is>
      </c>
      <c r="AB8" s="10">
        <f>IF($B8="","",IFERROR(MATCH($B8,입력_기본자료!$B$2:$B$1001,0),IFERROR(MATCH($B8&amp;"",입력_기본자료!$B$2:$B$1001,0),IFERROR(MATCH(VALUE($B8),입력_기본자료!$B$2:$B$1001,0),""))))</f>
        <v/>
      </c>
      <c r="AC8" s="10">
        <f>IF($B8="","",IFERROR(MATCH($B8,입력_인턴근무계획!$D$3:$D$402,0),IFERROR(MATCH($B8&amp;"",입력_인턴근무계획!$D$3:$D$402,0),IFERROR(MATCH(VALUE($B8),입력_인턴근무계획!$D$3:$D$402,0),""))))</f>
        <v/>
      </c>
      <c r="AD8" s="10">
        <f>IF(OR($AC8="",출력_인턴현황!$G$3=""),"",INDEX(입력_인턴근무계획!$M$3:$R$402,$AC8,출력_인턴현황!$G$3)&amp;"")</f>
        <v/>
      </c>
      <c r="AE8" s="10">
        <f>IF($B8="","",IF($M8&lt;&gt;"",$M8,IF(IF($AQ8="",FALSE,INDEX(출력_구리근무자!$J$6:$J$305,$AQ8)="구리독자"),"구리병원",IF($AF8&lt;&gt;"",IF(LEFT(INDEX(입력_파견수련계획!$R$4:$R$803,$AF8),1)&lt;&gt;"⚠",INDEX(입력_파견수련계획!$R$4:$R$803,$AF8),IF($H8="","",IF(RIGHT($H8,2)="병원",$H8,$H8&amp;"병원"))),IF($H8="","",IF(RIGHT($H8,2)="병원",$H8,$H8&amp;"병원"))))))</f>
        <v/>
      </c>
      <c r="AF8" s="10">
        <f>IF(OR($B8="",TRIM($J8&amp;"")=""),"",IFERROR(MATCH(TRIM($J8&amp;"")&amp;"|파견중",입력_파견수련계획!$Y$4:$Y$803,0),IFERROR(MATCH(TRIM($J8&amp;"")&amp;"|파견예정",입력_파견수련계획!$Y$4:$Y$803,0),IFERROR(MATCH(TRIM($J8&amp;"")&amp;"|파견종료",입력_파견수련계획!$Y$4:$Y$803,0),""))))</f>
        <v/>
      </c>
      <c r="AG8" s="10">
        <f>IF($B8="","",IF(AND(IF(OR($AC8="",출력_인턴현황!$K$2=""),"",INDEX(입력_인턴근무계획!$M$3:$R$402,$AC8,출력_인턴현황!$K$2)&amp;"")&lt;&gt;"",LEFT(IF(OR($AC8="",출력_인턴현황!$K$2=""),"",INDEX(입력_인턴근무계획!$M$3:$R$402,$AC8,출력_인턴현황!$K$2)&amp;""),1)&lt;&gt;"⚠"),LEFT(IF(OR($AC8="",출력_인턴현황!$K$2=""),"",INDEX(입력_인턴근무계획!$M$3:$R$402,$AC8,출력_인턴현황!$K$2)&amp;""),FIND(" ",IF(OR($AC8="",출력_인턴현황!$K$2=""),"",INDEX(입력_인턴근무계획!$M$3:$R$402,$AC8,출력_인턴현황!$K$2)&amp;""))-1),$AE8))</f>
        <v/>
      </c>
      <c r="AH8" s="17">
        <f>IF($B8="","",IF($AQ8&lt;&gt;"",MAX(0,DAY(EOMONTH(출력_요약!$B$3,0))-N($AR8)),IF(TRIM($J8&amp;"")="",0,SUMPRODUCT((입력_파견수련계획!$Q$4:$Q$803=TRIM($J8&amp;""))*(입력_파견수련계획!$S$4:$S$803="서울병원")*입력_파견수련계획!$W$4:$W$803))+IF($AG8="서울병원",MAX(0,DAY(EOMONTH(출력_요약!$B$3,0))-N($X8)),0)))</f>
        <v/>
      </c>
      <c r="AI8" s="17">
        <f>IF($B8="","",IF($AQ8&lt;&gt;"",N($AR8),IF(TRIM($J8&amp;"")="",0,SUMPRODUCT((입력_파견수련계획!$Q$4:$Q$803=TRIM($J8&amp;""))*(입력_파견수련계획!$S$4:$S$803="구리병원")*입력_파견수련계획!$W$4:$W$803))+IF($AG8="구리병원",MAX(0,DAY(EOMONTH(출력_요약!$B$3,0))-N($X8)),0)))</f>
        <v/>
      </c>
      <c r="AJ8" s="10">
        <f>IF(OR($B8="",TRIM($J8&amp;"")=""),"",IFERROR(MATCH(TRIM($J8&amp;"")&amp;"|월",입력_파견수련계획!$Z$4:$Z$803,0),""))</f>
        <v/>
      </c>
      <c r="AK8" s="10">
        <f>IF(OR($B8="",TRIM($J8&amp;"")=""),"",IFERROR(MATCH(TRIM($J8&amp;"")&amp;"|다기관",입력_파견수련계획!$AE$4:$AE$803,0),""))</f>
        <v/>
      </c>
      <c r="AL8" s="10">
        <f>IF($AK8="","","다기관 "&amp;TEXT(INDEX(입력_파견수련계획!$AB$4:$AB$803,$AK8),"yyyy-mm-dd")&amp;"~"&amp;IF(ISNUMBER(INDEX(입력_파견수련계획!$AC$4:$AC$803,$AK8)),TEXT(INDEX(입력_파견수련계획!$AC$4:$AC$803,$AK8),"yyyy-mm-dd"),""))</f>
        <v/>
      </c>
      <c r="AM8" s="10">
        <f>IF($Y8="서울병원",COUNTIF($Y$2:$Y8,"서울병원"),"")</f>
        <v/>
      </c>
      <c r="AN8" s="10">
        <f>IF(LEFT($Y8,1)="⚠",COUNTIF($Y$2:$Y8,"⚠*"),"")</f>
        <v/>
      </c>
      <c r="AO8" s="10">
        <f>IF(OR($B8="",$Y8=""),"",IF(IF(TRIM($J8&amp;"")="",0,SUMPRODUCT((입력_파견수련계획!$Q$4:$Q$803=TRIM($J8&amp;""))*입력_파견수련계획!$AD$4:$AD$803))&gt;0,"다기관 기간 → 소속병원 지급",IF(AND(N($X8)&lt;=0,$AQ8=""),"파견 없음 → 그 달 근무병원 지급",IF($AH8+$AI8=DAY(EOMONTH(출력_요약!$B$3,0)),"서울 "&amp;$AH8&amp;"일 / 구리 "&amp;$AI8&amp;"일"&amp;IF($AQ8&lt;&gt;""," (구리 근무자명단 반영)","")&amp;" → 15일 이상 근무 병원 지급","타 병원 포함 → "&amp;IF($AJ8="","소속",INDEX(입력_파견수련계획!$T$4:$T$803,$AJ8))&amp;" 규칙"))))</f>
        <v/>
      </c>
      <c r="AP8" s="10">
        <f>IF($B8="","",$C8&amp;"|"&amp;$F8)</f>
        <v/>
      </c>
      <c r="AQ8" s="10">
        <f>IF($B8="","",IFERROR(MATCH(ROW()-1,출력_구리근무자!$K$6:$K$305,0),""))</f>
        <v/>
      </c>
      <c r="AR8" s="10">
        <f>IF($AQ8="","",INDEX(출력_구리근무자!$H$6:$H$305,$AQ8))</f>
        <v/>
      </c>
    </row>
    <row r="9">
      <c r="A9" s="10">
        <f>IF(B9="","",ROW()-1)</f>
        <v/>
      </c>
      <c r="B9" s="19" t="inlineStr">
        <is>
          <t>222224</t>
        </is>
      </c>
      <c r="C9" s="10">
        <f>IF($AB9="","",IF(INDEX(입력_기본자료!$C$2:$C$1001,$AB9)="","",INDEX(입력_기본자료!$C$2:$C$1001,$AB9)))</f>
        <v/>
      </c>
      <c r="D9" s="10">
        <f>IF($AB9="","",IF(INDEX(입력_기본자료!$J$2:$J$1001,$AB9)="","",INDEX(입력_기본자료!$J$2:$J$1001,$AB9)))</f>
        <v/>
      </c>
      <c r="E9" s="11">
        <f>IF($AB9="","",IF(INDEX(입력_기본자료!$K$2:$K$1001,$AB9)="","",IF(NOT(ISNUMBER(INDEX(입력_기본자료!$K$2:$K$1001,$AB9))),INDEX(입력_기본자료!$K$2:$K$1001,$AB9),IF(INDEX(입력_기본자료!$K$2:$K$1001,$AB9)&lt;1000000,INDEX(입력_기본자료!$K$2:$K$1001,$AB9),IF(AND(INDEX(입력_기본자료!$K$2:$K$1001,$AB9)&gt;=10000101,INT(MOD(INDEX(입력_기본자료!$K$2:$K$1001,$AB9),10000)/100)&gt;=1,INT(MOD(INDEX(입력_기본자료!$K$2:$K$1001,$AB9),10000)/100)&lt;=12,MOD(INDEX(입력_기본자료!$K$2:$K$1001,$AB9),100)&gt;=1,MOD(INDEX(입력_기본자료!$K$2:$K$1001,$AB9),100)&lt;=31),DATE(INT(INDEX(입력_기본자료!$K$2:$K$1001,$AB9)/10000),INT(MOD(INDEX(입력_기본자료!$K$2:$K$1001,$AB9),10000)/100),MOD(INDEX(입력_기본자료!$K$2:$K$1001,$AB9),100)),INDEX(입력_기본자료!$K$2:$K$1001,$AB9)&amp;"")))))</f>
        <v/>
      </c>
      <c r="F9" s="10">
        <f>IF($AB9="","",IF(INDEX(입력_기본자료!$D$2:$D$1001,$AB9)="","",INDEX(입력_기본자료!$D$2:$D$1001,$AB9)))</f>
        <v/>
      </c>
      <c r="G9" s="10">
        <f>IF($AB9="","",IF(INDEX(입력_기본자료!$E$2:$E$1001,$AB9)="","",INDEX(입력_기본자료!$E$2:$E$1001,$AB9)))</f>
        <v/>
      </c>
      <c r="H9" s="10">
        <f>IF($AB9="","",IF(INDEX(입력_기본자료!$F$2:$F$1001,$AB9)="","",INDEX(입력_기본자료!$F$2:$F$1001,$AB9)))</f>
        <v/>
      </c>
      <c r="I9" s="11">
        <f>IF($AB9="","",IF(INDEX(입력_기본자료!$G$2:$G$1001,$AB9)="","",IF(NOT(ISNUMBER(INDEX(입력_기본자료!$G$2:$G$1001,$AB9))),INDEX(입력_기본자료!$G$2:$G$1001,$AB9),IF(INDEX(입력_기본자료!$G$2:$G$1001,$AB9)&lt;1000000,INDEX(입력_기본자료!$G$2:$G$1001,$AB9),IF(AND(INDEX(입력_기본자료!$G$2:$G$1001,$AB9)&gt;=10000101,INT(MOD(INDEX(입력_기본자료!$G$2:$G$1001,$AB9),10000)/100)&gt;=1,INT(MOD(INDEX(입력_기본자료!$G$2:$G$1001,$AB9),10000)/100)&lt;=12,MOD(INDEX(입력_기본자료!$G$2:$G$1001,$AB9),100)&gt;=1,MOD(INDEX(입력_기본자료!$G$2:$G$1001,$AB9),100)&lt;=31),DATE(INT(INDEX(입력_기본자료!$G$2:$G$1001,$AB9)/10000),INT(MOD(INDEX(입력_기본자료!$G$2:$G$1001,$AB9),10000)/100),MOD(INDEX(입력_기본자료!$G$2:$G$1001,$AB9),100)),INDEX(입력_기본자료!$G$2:$G$1001,$AB9)&amp;"")))))</f>
        <v/>
      </c>
      <c r="J9" s="10">
        <f>IF($AB9="","",IF(INDEX(입력_기본자료!$H$2:$H$1001,$AB9)="","",INDEX(입력_기본자료!$H$2:$H$1001,$AB9)))</f>
        <v/>
      </c>
      <c r="K9" s="10">
        <f>IF($AB9="","",IF(INDEX(입력_기본자료!$I$2:$I$1001,$AB9)="","",INDEX(입력_기본자료!$I$2:$I$1001,$AB9)))</f>
        <v/>
      </c>
      <c r="L9" s="10">
        <f>IF($AB9="","",IF(INDEX(입력_기본자료!$A$2:$A$1001,$AB9)="","",INDEX(입력_기본자료!$A$2:$A$1001,$AB9)))</f>
        <v/>
      </c>
      <c r="M9" s="15" t="inlineStr">
        <is>
          <t>구리병원</t>
        </is>
      </c>
      <c r="N9" s="10">
        <f>IF($B9="","",IF(AND($U9="파견중",$Q9&lt;&gt;""),$Q9,IF(AND($AD9&lt;&gt;"",LEFT($AD9,1)&lt;&gt;"⚠"),LEFT($AD9,FIND(" ",$AD9)-1),IF($H9="","",IF(RIGHT($H9,2)="병원",$H9,$H9&amp;"병원")))))</f>
        <v/>
      </c>
      <c r="O9" s="10">
        <f>IF($B9="","",IF(AND($U9="파견중",$Q9&lt;&gt;""),IF($R9&lt;&gt;"",$R9,"파견과 미입력"),IF(AND($AD9&lt;&gt;"",LEFT($AD9,1)&lt;&gt;"⚠"),MID($AD9,FIND(" ",$AD9)+1,60),IF($F9="","",IF($F9="인턴","수련교육부(인턴)",$F9)))))</f>
        <v/>
      </c>
      <c r="P9" s="10">
        <f>IF($B9="","",IF($AK9&lt;&gt;"",IF(AND(TODAY()&gt;=INDEX(입력_파견수련계획!$AB$4:$AB$803,$AK9),OR(NOT(ISNUMBER(INDEX(입력_파견수련계획!$AC$4:$AC$803,$AK9))),TODAY()&lt;=INDEX(입력_파견수련계획!$AC$4:$AC$803,$AK9))),"다기관",IF($AF9="","",INDEX(입력_파견수련계획!$T$4:$T$803,$AF9))),IF($AF9="","",INDEX(입력_파견수련계획!$T$4:$T$803,$AF9))))</f>
        <v/>
      </c>
      <c r="Q9" s="10">
        <f>IF($AF9="","",INDEX(입력_파견수련계획!$S$4:$S$803,$AF9))</f>
        <v/>
      </c>
      <c r="R9" s="10">
        <f>IF($AF9="","",INDEX(입력_파견수련계획!$U$4:$U$803,$AF9))</f>
        <v/>
      </c>
      <c r="S9" s="11">
        <f>IF($AF9="","",IF(INDEX(입력_파견수련계획!$H$4:$H$803,$AF9)="","",INDEX(입력_파견수련계획!$H$4:$H$803,$AF9)))</f>
        <v/>
      </c>
      <c r="T9" s="11">
        <f>IF($AF9="","",IF(INDEX(입력_파견수련계획!$I$4:$I$803,$AF9)="","",INDEX(입력_파견수련계획!$I$4:$I$803,$AF9)))</f>
        <v/>
      </c>
      <c r="U9" s="10">
        <f>IF($AF9="","",INDEX(입력_파견수련계획!$X$4:$X$803,$AF9))</f>
        <v/>
      </c>
      <c r="V9" s="17">
        <f>IF($AF9="","",INDEX(입력_파견수련계획!$V$4:$V$803,$AF9))</f>
        <v/>
      </c>
      <c r="W9" s="17">
        <f>IF(AND($U9="파견중",$T9&lt;&gt;""),$T9-TODAY(),"")</f>
        <v/>
      </c>
      <c r="X9" s="17">
        <f>IF(OR($B9="",TRIM($J9&amp;"")=""),"",SUMPRODUCT((입력_파견수련계획!$Q$4:$Q$803=TRIM($J9&amp;""))*입력_파견수련계획!$W$4:$W$803))</f>
        <v/>
      </c>
      <c r="Y9" s="10">
        <f>IF($B9="","",IF($AG9="","",IF(IF(TRIM($J9&amp;"")="",0,SUMPRODUCT((입력_파견수련계획!$Q$4:$Q$803=TRIM($J9&amp;""))*입력_파견수련계획!$AD$4:$AD$803))&gt;0,$AE9,IF(AND(N($X9)&lt;=0,$AQ9=""),$AG9,IF($AH9+$AI9=DAY(EOMONTH(출력_요약!$B$3,0)),IF(AND($AH9&gt;=출력_요약!$E$3,$AI9&lt;출력_요약!$E$3),"서울병원",IF(AND($AI9&gt;=출력_요약!$E$3,$AH9&lt;출력_요약!$E$3),"구리병원","⚠15일 판정불가(서울 "&amp;$AH9&amp;"일/구리 "&amp;$AI9&amp;"일)")),IF($AJ9="",$AE9,IF(INDEX(입력_파견수련계획!$T$4:$T$803,$AJ9)="통합수련",INDEX(입력_파견수련계획!$S$4:$S$803,$AJ9),$AE9)))))))</f>
        <v/>
      </c>
      <c r="Z9" s="20">
        <f>IF($B9="","",IF($AB9="","기본자료에 없는 사번",IF(COUNTIF($B$2:$B$401,$B9)&gt;1,"중복 사번",IF($AE9="","소속(입사장소) 입력",IF(IF(TRIM($J9&amp;"")="",0,SUMPRODUCT((입력_파견수련계획!$Q$4:$Q$803=TRIM($J9&amp;""))*(입력_파견수련계획!$AA$4:$AA$803&lt;&gt;"")))&gt;0,"파견수련계획 입력오류 확인",IF(LEFT($Y9,1)="⚠","서울·구리 15일 판정 불가(양쪽 모두 이상/미만)",IF(IF($AC9="",0,N(INDEX(입력_인턴근무계획!$T$3:$T$402,$AC9)))&gt;0,"인턴계획 입력오류 확인",IF(AND($AQ9&lt;&gt;"",$AG9&lt;&gt;"구리병원",IF(TRIM($J9&amp;"")="",0,SUMPRODUCT((입력_파견수련계획!$Q$4:$Q$803=TRIM($J9&amp;""))*(입력_파견수련계획!$S$4:$S$803="구리병원")*입력_파견수련계획!$W$4:$W$803))=0),"구리 근무자명단에만 있음(파견수련계획 확인)",IF(AND($AC9&lt;&gt;"",$U9&lt;&gt;"파견중",$N9&lt;&gt;$AE9),"인턴 타지역 근무: 파견 여부 확인","정상")))))))))</f>
        <v/>
      </c>
      <c r="AA9" s="5" t="inlineStr">
        <is>
          <t>예시 데이터(인턴)</t>
        </is>
      </c>
      <c r="AB9" s="10">
        <f>IF($B9="","",IFERROR(MATCH($B9,입력_기본자료!$B$2:$B$1001,0),IFERROR(MATCH($B9&amp;"",입력_기본자료!$B$2:$B$1001,0),IFERROR(MATCH(VALUE($B9),입력_기본자료!$B$2:$B$1001,0),""))))</f>
        <v/>
      </c>
      <c r="AC9" s="10">
        <f>IF($B9="","",IFERROR(MATCH($B9,입력_인턴근무계획!$D$3:$D$402,0),IFERROR(MATCH($B9&amp;"",입력_인턴근무계획!$D$3:$D$402,0),IFERROR(MATCH(VALUE($B9),입력_인턴근무계획!$D$3:$D$402,0),""))))</f>
        <v/>
      </c>
      <c r="AD9" s="10">
        <f>IF(OR($AC9="",출력_인턴현황!$G$3=""),"",INDEX(입력_인턴근무계획!$M$3:$R$402,$AC9,출력_인턴현황!$G$3)&amp;"")</f>
        <v/>
      </c>
      <c r="AE9" s="10">
        <f>IF($B9="","",IF($M9&lt;&gt;"",$M9,IF(IF($AQ9="",FALSE,INDEX(출력_구리근무자!$J$6:$J$305,$AQ9)="구리독자"),"구리병원",IF($AF9&lt;&gt;"",IF(LEFT(INDEX(입력_파견수련계획!$R$4:$R$803,$AF9),1)&lt;&gt;"⚠",INDEX(입력_파견수련계획!$R$4:$R$803,$AF9),IF($H9="","",IF(RIGHT($H9,2)="병원",$H9,$H9&amp;"병원"))),IF($H9="","",IF(RIGHT($H9,2)="병원",$H9,$H9&amp;"병원"))))))</f>
        <v/>
      </c>
      <c r="AF9" s="10">
        <f>IF(OR($B9="",TRIM($J9&amp;"")=""),"",IFERROR(MATCH(TRIM($J9&amp;"")&amp;"|파견중",입력_파견수련계획!$Y$4:$Y$803,0),IFERROR(MATCH(TRIM($J9&amp;"")&amp;"|파견예정",입력_파견수련계획!$Y$4:$Y$803,0),IFERROR(MATCH(TRIM($J9&amp;"")&amp;"|파견종료",입력_파견수련계획!$Y$4:$Y$803,0),""))))</f>
        <v/>
      </c>
      <c r="AG9" s="10">
        <f>IF($B9="","",IF(AND(IF(OR($AC9="",출력_인턴현황!$K$2=""),"",INDEX(입력_인턴근무계획!$M$3:$R$402,$AC9,출력_인턴현황!$K$2)&amp;"")&lt;&gt;"",LEFT(IF(OR($AC9="",출력_인턴현황!$K$2=""),"",INDEX(입력_인턴근무계획!$M$3:$R$402,$AC9,출력_인턴현황!$K$2)&amp;""),1)&lt;&gt;"⚠"),LEFT(IF(OR($AC9="",출력_인턴현황!$K$2=""),"",INDEX(입력_인턴근무계획!$M$3:$R$402,$AC9,출력_인턴현황!$K$2)&amp;""),FIND(" ",IF(OR($AC9="",출력_인턴현황!$K$2=""),"",INDEX(입력_인턴근무계획!$M$3:$R$402,$AC9,출력_인턴현황!$K$2)&amp;""))-1),$AE9))</f>
        <v/>
      </c>
      <c r="AH9" s="17">
        <f>IF($B9="","",IF($AQ9&lt;&gt;"",MAX(0,DAY(EOMONTH(출력_요약!$B$3,0))-N($AR9)),IF(TRIM($J9&amp;"")="",0,SUMPRODUCT((입력_파견수련계획!$Q$4:$Q$803=TRIM($J9&amp;""))*(입력_파견수련계획!$S$4:$S$803="서울병원")*입력_파견수련계획!$W$4:$W$803))+IF($AG9="서울병원",MAX(0,DAY(EOMONTH(출력_요약!$B$3,0))-N($X9)),0)))</f>
        <v/>
      </c>
      <c r="AI9" s="17">
        <f>IF($B9="","",IF($AQ9&lt;&gt;"",N($AR9),IF(TRIM($J9&amp;"")="",0,SUMPRODUCT((입력_파견수련계획!$Q$4:$Q$803=TRIM($J9&amp;""))*(입력_파견수련계획!$S$4:$S$803="구리병원")*입력_파견수련계획!$W$4:$W$803))+IF($AG9="구리병원",MAX(0,DAY(EOMONTH(출력_요약!$B$3,0))-N($X9)),0)))</f>
        <v/>
      </c>
      <c r="AJ9" s="10">
        <f>IF(OR($B9="",TRIM($J9&amp;"")=""),"",IFERROR(MATCH(TRIM($J9&amp;"")&amp;"|월",입력_파견수련계획!$Z$4:$Z$803,0),""))</f>
        <v/>
      </c>
      <c r="AK9" s="10">
        <f>IF(OR($B9="",TRIM($J9&amp;"")=""),"",IFERROR(MATCH(TRIM($J9&amp;"")&amp;"|다기관",입력_파견수련계획!$AE$4:$AE$803,0),""))</f>
        <v/>
      </c>
      <c r="AL9" s="10">
        <f>IF($AK9="","","다기관 "&amp;TEXT(INDEX(입력_파견수련계획!$AB$4:$AB$803,$AK9),"yyyy-mm-dd")&amp;"~"&amp;IF(ISNUMBER(INDEX(입력_파견수련계획!$AC$4:$AC$803,$AK9)),TEXT(INDEX(입력_파견수련계획!$AC$4:$AC$803,$AK9),"yyyy-mm-dd"),""))</f>
        <v/>
      </c>
      <c r="AM9" s="10">
        <f>IF($Y9="서울병원",COUNTIF($Y$2:$Y9,"서울병원"),"")</f>
        <v/>
      </c>
      <c r="AN9" s="10">
        <f>IF(LEFT($Y9,1)="⚠",COUNTIF($Y$2:$Y9,"⚠*"),"")</f>
        <v/>
      </c>
      <c r="AO9" s="10">
        <f>IF(OR($B9="",$Y9=""),"",IF(IF(TRIM($J9&amp;"")="",0,SUMPRODUCT((입력_파견수련계획!$Q$4:$Q$803=TRIM($J9&amp;""))*입력_파견수련계획!$AD$4:$AD$803))&gt;0,"다기관 기간 → 소속병원 지급",IF(AND(N($X9)&lt;=0,$AQ9=""),"파견 없음 → 그 달 근무병원 지급",IF($AH9+$AI9=DAY(EOMONTH(출력_요약!$B$3,0)),"서울 "&amp;$AH9&amp;"일 / 구리 "&amp;$AI9&amp;"일"&amp;IF($AQ9&lt;&gt;""," (구리 근무자명단 반영)","")&amp;" → 15일 이상 근무 병원 지급","타 병원 포함 → "&amp;IF($AJ9="","소속",INDEX(입력_파견수련계획!$T$4:$T$803,$AJ9))&amp;" 규칙"))))</f>
        <v/>
      </c>
      <c r="AP9" s="10">
        <f>IF($B9="","",$C9&amp;"|"&amp;$F9)</f>
        <v/>
      </c>
      <c r="AQ9" s="10">
        <f>IF($B9="","",IFERROR(MATCH(ROW()-1,출력_구리근무자!$K$6:$K$305,0),""))</f>
        <v/>
      </c>
      <c r="AR9" s="10">
        <f>IF($AQ9="","",INDEX(출력_구리근무자!$H$6:$H$305,$AQ9))</f>
        <v/>
      </c>
    </row>
    <row r="10">
      <c r="A10" s="10">
        <f>IF(B10="","",ROW()-1)</f>
        <v/>
      </c>
      <c r="B10" s="19" t="n"/>
      <c r="C10" s="10">
        <f>IF($AB10="","",IF(INDEX(입력_기본자료!$C$2:$C$1001,$AB10)="","",INDEX(입력_기본자료!$C$2:$C$1001,$AB10)))</f>
        <v/>
      </c>
      <c r="D10" s="10">
        <f>IF($AB10="","",IF(INDEX(입력_기본자료!$J$2:$J$1001,$AB10)="","",INDEX(입력_기본자료!$J$2:$J$1001,$AB10)))</f>
        <v/>
      </c>
      <c r="E10" s="11">
        <f>IF($AB10="","",IF(INDEX(입력_기본자료!$K$2:$K$1001,$AB10)="","",IF(NOT(ISNUMBER(INDEX(입력_기본자료!$K$2:$K$1001,$AB10))),INDEX(입력_기본자료!$K$2:$K$1001,$AB10),IF(INDEX(입력_기본자료!$K$2:$K$1001,$AB10)&lt;1000000,INDEX(입력_기본자료!$K$2:$K$1001,$AB10),IF(AND(INDEX(입력_기본자료!$K$2:$K$1001,$AB10)&gt;=10000101,INT(MOD(INDEX(입력_기본자료!$K$2:$K$1001,$AB10),10000)/100)&gt;=1,INT(MOD(INDEX(입력_기본자료!$K$2:$K$1001,$AB10),10000)/100)&lt;=12,MOD(INDEX(입력_기본자료!$K$2:$K$1001,$AB10),100)&gt;=1,MOD(INDEX(입력_기본자료!$K$2:$K$1001,$AB10),100)&lt;=31),DATE(INT(INDEX(입력_기본자료!$K$2:$K$1001,$AB10)/10000),INT(MOD(INDEX(입력_기본자료!$K$2:$K$1001,$AB10),10000)/100),MOD(INDEX(입력_기본자료!$K$2:$K$1001,$AB10),100)),INDEX(입력_기본자료!$K$2:$K$1001,$AB10)&amp;"")))))</f>
        <v/>
      </c>
      <c r="F10" s="10">
        <f>IF($AB10="","",IF(INDEX(입력_기본자료!$D$2:$D$1001,$AB10)="","",INDEX(입력_기본자료!$D$2:$D$1001,$AB10)))</f>
        <v/>
      </c>
      <c r="G10" s="10">
        <f>IF($AB10="","",IF(INDEX(입력_기본자료!$E$2:$E$1001,$AB10)="","",INDEX(입력_기본자료!$E$2:$E$1001,$AB10)))</f>
        <v/>
      </c>
      <c r="H10" s="10">
        <f>IF($AB10="","",IF(INDEX(입력_기본자료!$F$2:$F$1001,$AB10)="","",INDEX(입력_기본자료!$F$2:$F$1001,$AB10)))</f>
        <v/>
      </c>
      <c r="I10" s="11">
        <f>IF($AB10="","",IF(INDEX(입력_기본자료!$G$2:$G$1001,$AB10)="","",IF(NOT(ISNUMBER(INDEX(입력_기본자료!$G$2:$G$1001,$AB10))),INDEX(입력_기본자료!$G$2:$G$1001,$AB10),IF(INDEX(입력_기본자료!$G$2:$G$1001,$AB10)&lt;1000000,INDEX(입력_기본자료!$G$2:$G$1001,$AB10),IF(AND(INDEX(입력_기본자료!$G$2:$G$1001,$AB10)&gt;=10000101,INT(MOD(INDEX(입력_기본자료!$G$2:$G$1001,$AB10),10000)/100)&gt;=1,INT(MOD(INDEX(입력_기본자료!$G$2:$G$1001,$AB10),10000)/100)&lt;=12,MOD(INDEX(입력_기본자료!$G$2:$G$1001,$AB10),100)&gt;=1,MOD(INDEX(입력_기본자료!$G$2:$G$1001,$AB10),100)&lt;=31),DATE(INT(INDEX(입력_기본자료!$G$2:$G$1001,$AB10)/10000),INT(MOD(INDEX(입력_기본자료!$G$2:$G$1001,$AB10),10000)/100),MOD(INDEX(입력_기본자료!$G$2:$G$1001,$AB10),100)),INDEX(입력_기본자료!$G$2:$G$1001,$AB10)&amp;"")))))</f>
        <v/>
      </c>
      <c r="J10" s="10">
        <f>IF($AB10="","",IF(INDEX(입력_기본자료!$H$2:$H$1001,$AB10)="","",INDEX(입력_기본자료!$H$2:$H$1001,$AB10)))</f>
        <v/>
      </c>
      <c r="K10" s="10">
        <f>IF($AB10="","",IF(INDEX(입력_기본자료!$I$2:$I$1001,$AB10)="","",INDEX(입력_기본자료!$I$2:$I$1001,$AB10)))</f>
        <v/>
      </c>
      <c r="L10" s="10">
        <f>IF($AB10="","",IF(INDEX(입력_기본자료!$A$2:$A$1001,$AB10)="","",INDEX(입력_기본자료!$A$2:$A$1001,$AB10)))</f>
        <v/>
      </c>
      <c r="M10" s="15" t="n"/>
      <c r="N10" s="10">
        <f>IF($B10="","",IF(AND($U10="파견중",$Q10&lt;&gt;""),$Q10,IF(AND($AD10&lt;&gt;"",LEFT($AD10,1)&lt;&gt;"⚠"),LEFT($AD10,FIND(" ",$AD10)-1),IF($H10="","",IF(RIGHT($H10,2)="병원",$H10,$H10&amp;"병원")))))</f>
        <v/>
      </c>
      <c r="O10" s="10">
        <f>IF($B10="","",IF(AND($U10="파견중",$Q10&lt;&gt;""),IF($R10&lt;&gt;"",$R10,"파견과 미입력"),IF(AND($AD10&lt;&gt;"",LEFT($AD10,1)&lt;&gt;"⚠"),MID($AD10,FIND(" ",$AD10)+1,60),IF($F10="","",IF($F10="인턴","수련교육부(인턴)",$F10)))))</f>
        <v/>
      </c>
      <c r="P10" s="10">
        <f>IF($B10="","",IF($AK10&lt;&gt;"",IF(AND(TODAY()&gt;=INDEX(입력_파견수련계획!$AB$4:$AB$803,$AK10),OR(NOT(ISNUMBER(INDEX(입력_파견수련계획!$AC$4:$AC$803,$AK10))),TODAY()&lt;=INDEX(입력_파견수련계획!$AC$4:$AC$803,$AK10))),"다기관",IF($AF10="","",INDEX(입력_파견수련계획!$T$4:$T$803,$AF10))),IF($AF10="","",INDEX(입력_파견수련계획!$T$4:$T$803,$AF10))))</f>
        <v/>
      </c>
      <c r="Q10" s="10">
        <f>IF($AF10="","",INDEX(입력_파견수련계획!$S$4:$S$803,$AF10))</f>
        <v/>
      </c>
      <c r="R10" s="10">
        <f>IF($AF10="","",INDEX(입력_파견수련계획!$U$4:$U$803,$AF10))</f>
        <v/>
      </c>
      <c r="S10" s="11">
        <f>IF($AF10="","",IF(INDEX(입력_파견수련계획!$H$4:$H$803,$AF10)="","",INDEX(입력_파견수련계획!$H$4:$H$803,$AF10)))</f>
        <v/>
      </c>
      <c r="T10" s="11">
        <f>IF($AF10="","",IF(INDEX(입력_파견수련계획!$I$4:$I$803,$AF10)="","",INDEX(입력_파견수련계획!$I$4:$I$803,$AF10)))</f>
        <v/>
      </c>
      <c r="U10" s="10">
        <f>IF($AF10="","",INDEX(입력_파견수련계획!$X$4:$X$803,$AF10))</f>
        <v/>
      </c>
      <c r="V10" s="17">
        <f>IF($AF10="","",INDEX(입력_파견수련계획!$V$4:$V$803,$AF10))</f>
        <v/>
      </c>
      <c r="W10" s="17">
        <f>IF(AND($U10="파견중",$T10&lt;&gt;""),$T10-TODAY(),"")</f>
        <v/>
      </c>
      <c r="X10" s="17">
        <f>IF(OR($B10="",TRIM($J10&amp;"")=""),"",SUMPRODUCT((입력_파견수련계획!$Q$4:$Q$803=TRIM($J10&amp;""))*입력_파견수련계획!$W$4:$W$803))</f>
        <v/>
      </c>
      <c r="Y10" s="10">
        <f>IF($B10="","",IF($AG10="","",IF(IF(TRIM($J10&amp;"")="",0,SUMPRODUCT((입력_파견수련계획!$Q$4:$Q$803=TRIM($J10&amp;""))*입력_파견수련계획!$AD$4:$AD$803))&gt;0,$AE10,IF(AND(N($X10)&lt;=0,$AQ10=""),$AG10,IF($AH10+$AI10=DAY(EOMONTH(출력_요약!$B$3,0)),IF(AND($AH10&gt;=출력_요약!$E$3,$AI10&lt;출력_요약!$E$3),"서울병원",IF(AND($AI10&gt;=출력_요약!$E$3,$AH10&lt;출력_요약!$E$3),"구리병원","⚠15일 판정불가(서울 "&amp;$AH10&amp;"일/구리 "&amp;$AI10&amp;"일)")),IF($AJ10="",$AE10,IF(INDEX(입력_파견수련계획!$T$4:$T$803,$AJ10)="통합수련",INDEX(입력_파견수련계획!$S$4:$S$803,$AJ10),$AE10)))))))</f>
        <v/>
      </c>
      <c r="Z10" s="20">
        <f>IF($B10="","",IF($AB10="","기본자료에 없는 사번",IF(COUNTIF($B$2:$B$401,$B10)&gt;1,"중복 사번",IF($AE10="","소속(입사장소) 입력",IF(IF(TRIM($J10&amp;"")="",0,SUMPRODUCT((입력_파견수련계획!$Q$4:$Q$803=TRIM($J10&amp;""))*(입력_파견수련계획!$AA$4:$AA$803&lt;&gt;"")))&gt;0,"파견수련계획 입력오류 확인",IF(LEFT($Y10,1)="⚠","서울·구리 15일 판정 불가(양쪽 모두 이상/미만)",IF(IF($AC10="",0,N(INDEX(입력_인턴근무계획!$T$3:$T$402,$AC10)))&gt;0,"인턴계획 입력오류 확인",IF(AND($AQ10&lt;&gt;"",$AG10&lt;&gt;"구리병원",IF(TRIM($J10&amp;"")="",0,SUMPRODUCT((입력_파견수련계획!$Q$4:$Q$803=TRIM($J10&amp;""))*(입력_파견수련계획!$S$4:$S$803="구리병원")*입력_파견수련계획!$W$4:$W$803))=0),"구리 근무자명단에만 있음(파견수련계획 확인)",IF(AND($AC10&lt;&gt;"",$U10&lt;&gt;"파견중",$N10&lt;&gt;$AE10),"인턴 타지역 근무: 파견 여부 확인","정상")))))))))</f>
        <v/>
      </c>
      <c r="AA10" s="5" t="n"/>
      <c r="AB10" s="10">
        <f>IF($B10="","",IFERROR(MATCH($B10,입력_기본자료!$B$2:$B$1001,0),IFERROR(MATCH($B10&amp;"",입력_기본자료!$B$2:$B$1001,0),IFERROR(MATCH(VALUE($B10),입력_기본자료!$B$2:$B$1001,0),""))))</f>
        <v/>
      </c>
      <c r="AC10" s="10">
        <f>IF($B10="","",IFERROR(MATCH($B10,입력_인턴근무계획!$D$3:$D$402,0),IFERROR(MATCH($B10&amp;"",입력_인턴근무계획!$D$3:$D$402,0),IFERROR(MATCH(VALUE($B10),입력_인턴근무계획!$D$3:$D$402,0),""))))</f>
        <v/>
      </c>
      <c r="AD10" s="10">
        <f>IF(OR($AC10="",출력_인턴현황!$G$3=""),"",INDEX(입력_인턴근무계획!$M$3:$R$402,$AC10,출력_인턴현황!$G$3)&amp;"")</f>
        <v/>
      </c>
      <c r="AE10" s="10">
        <f>IF($B10="","",IF($M10&lt;&gt;"",$M10,IF(IF($AQ10="",FALSE,INDEX(출력_구리근무자!$J$6:$J$305,$AQ10)="구리독자"),"구리병원",IF($AF10&lt;&gt;"",IF(LEFT(INDEX(입력_파견수련계획!$R$4:$R$803,$AF10),1)&lt;&gt;"⚠",INDEX(입력_파견수련계획!$R$4:$R$803,$AF10),IF($H10="","",IF(RIGHT($H10,2)="병원",$H10,$H10&amp;"병원"))),IF($H10="","",IF(RIGHT($H10,2)="병원",$H10,$H10&amp;"병원"))))))</f>
        <v/>
      </c>
      <c r="AF10" s="10">
        <f>IF(OR($B10="",TRIM($J10&amp;"")=""),"",IFERROR(MATCH(TRIM($J10&amp;"")&amp;"|파견중",입력_파견수련계획!$Y$4:$Y$803,0),IFERROR(MATCH(TRIM($J10&amp;"")&amp;"|파견예정",입력_파견수련계획!$Y$4:$Y$803,0),IFERROR(MATCH(TRIM($J10&amp;"")&amp;"|파견종료",입력_파견수련계획!$Y$4:$Y$803,0),""))))</f>
        <v/>
      </c>
      <c r="AG10" s="10">
        <f>IF($B10="","",IF(AND(IF(OR($AC10="",출력_인턴현황!$K$2=""),"",INDEX(입력_인턴근무계획!$M$3:$R$402,$AC10,출력_인턴현황!$K$2)&amp;"")&lt;&gt;"",LEFT(IF(OR($AC10="",출력_인턴현황!$K$2=""),"",INDEX(입력_인턴근무계획!$M$3:$R$402,$AC10,출력_인턴현황!$K$2)&amp;""),1)&lt;&gt;"⚠"),LEFT(IF(OR($AC10="",출력_인턴현황!$K$2=""),"",INDEX(입력_인턴근무계획!$M$3:$R$402,$AC10,출력_인턴현황!$K$2)&amp;""),FIND(" ",IF(OR($AC10="",출력_인턴현황!$K$2=""),"",INDEX(입력_인턴근무계획!$M$3:$R$402,$AC10,출력_인턴현황!$K$2)&amp;""))-1),$AE10))</f>
        <v/>
      </c>
      <c r="AH10" s="17">
        <f>IF($B10="","",IF($AQ10&lt;&gt;"",MAX(0,DAY(EOMONTH(출력_요약!$B$3,0))-N($AR10)),IF(TRIM($J10&amp;"")="",0,SUMPRODUCT((입력_파견수련계획!$Q$4:$Q$803=TRIM($J10&amp;""))*(입력_파견수련계획!$S$4:$S$803="서울병원")*입력_파견수련계획!$W$4:$W$803))+IF($AG10="서울병원",MAX(0,DAY(EOMONTH(출력_요약!$B$3,0))-N($X10)),0)))</f>
        <v/>
      </c>
      <c r="AI10" s="17">
        <f>IF($B10="","",IF($AQ10&lt;&gt;"",N($AR10),IF(TRIM($J10&amp;"")="",0,SUMPRODUCT((입력_파견수련계획!$Q$4:$Q$803=TRIM($J10&amp;""))*(입력_파견수련계획!$S$4:$S$803="구리병원")*입력_파견수련계획!$W$4:$W$803))+IF($AG10="구리병원",MAX(0,DAY(EOMONTH(출력_요약!$B$3,0))-N($X10)),0)))</f>
        <v/>
      </c>
      <c r="AJ10" s="10">
        <f>IF(OR($B10="",TRIM($J10&amp;"")=""),"",IFERROR(MATCH(TRIM($J10&amp;"")&amp;"|월",입력_파견수련계획!$Z$4:$Z$803,0),""))</f>
        <v/>
      </c>
      <c r="AK10" s="10">
        <f>IF(OR($B10="",TRIM($J10&amp;"")=""),"",IFERROR(MATCH(TRIM($J10&amp;"")&amp;"|다기관",입력_파견수련계획!$AE$4:$AE$803,0),""))</f>
        <v/>
      </c>
      <c r="AL10" s="10">
        <f>IF($AK10="","","다기관 "&amp;TEXT(INDEX(입력_파견수련계획!$AB$4:$AB$803,$AK10),"yyyy-mm-dd")&amp;"~"&amp;IF(ISNUMBER(INDEX(입력_파견수련계획!$AC$4:$AC$803,$AK10)),TEXT(INDEX(입력_파견수련계획!$AC$4:$AC$803,$AK10),"yyyy-mm-dd"),""))</f>
        <v/>
      </c>
      <c r="AM10" s="10">
        <f>IF($Y10="서울병원",COUNTIF($Y$2:$Y10,"서울병원"),"")</f>
        <v/>
      </c>
      <c r="AN10" s="10">
        <f>IF(LEFT($Y10,1)="⚠",COUNTIF($Y$2:$Y10,"⚠*"),"")</f>
        <v/>
      </c>
      <c r="AO10" s="10">
        <f>IF(OR($B10="",$Y10=""),"",IF(IF(TRIM($J10&amp;"")="",0,SUMPRODUCT((입력_파견수련계획!$Q$4:$Q$803=TRIM($J10&amp;""))*입력_파견수련계획!$AD$4:$AD$803))&gt;0,"다기관 기간 → 소속병원 지급",IF(AND(N($X10)&lt;=0,$AQ10=""),"파견 없음 → 그 달 근무병원 지급",IF($AH10+$AI10=DAY(EOMONTH(출력_요약!$B$3,0)),"서울 "&amp;$AH10&amp;"일 / 구리 "&amp;$AI10&amp;"일"&amp;IF($AQ10&lt;&gt;""," (구리 근무자명단 반영)","")&amp;" → 15일 이상 근무 병원 지급","타 병원 포함 → "&amp;IF($AJ10="","소속",INDEX(입력_파견수련계획!$T$4:$T$803,$AJ10))&amp;" 규칙"))))</f>
        <v/>
      </c>
      <c r="AP10" s="10">
        <f>IF($B10="","",$C10&amp;"|"&amp;$F10)</f>
        <v/>
      </c>
      <c r="AQ10" s="10">
        <f>IF($B10="","",IFERROR(MATCH(ROW()-1,출력_구리근무자!$K$6:$K$305,0),""))</f>
        <v/>
      </c>
      <c r="AR10" s="10">
        <f>IF($AQ10="","",INDEX(출력_구리근무자!$H$6:$H$305,$AQ10))</f>
        <v/>
      </c>
    </row>
    <row r="11">
      <c r="A11" s="10">
        <f>IF(B11="","",ROW()-1)</f>
        <v/>
      </c>
      <c r="B11" s="19" t="n"/>
      <c r="C11" s="10">
        <f>IF($AB11="","",IF(INDEX(입력_기본자료!$C$2:$C$1001,$AB11)="","",INDEX(입력_기본자료!$C$2:$C$1001,$AB11)))</f>
        <v/>
      </c>
      <c r="D11" s="10">
        <f>IF($AB11="","",IF(INDEX(입력_기본자료!$J$2:$J$1001,$AB11)="","",INDEX(입력_기본자료!$J$2:$J$1001,$AB11)))</f>
        <v/>
      </c>
      <c r="E11" s="11">
        <f>IF($AB11="","",IF(INDEX(입력_기본자료!$K$2:$K$1001,$AB11)="","",IF(NOT(ISNUMBER(INDEX(입력_기본자료!$K$2:$K$1001,$AB11))),INDEX(입력_기본자료!$K$2:$K$1001,$AB11),IF(INDEX(입력_기본자료!$K$2:$K$1001,$AB11)&lt;1000000,INDEX(입력_기본자료!$K$2:$K$1001,$AB11),IF(AND(INDEX(입력_기본자료!$K$2:$K$1001,$AB11)&gt;=10000101,INT(MOD(INDEX(입력_기본자료!$K$2:$K$1001,$AB11),10000)/100)&gt;=1,INT(MOD(INDEX(입력_기본자료!$K$2:$K$1001,$AB11),10000)/100)&lt;=12,MOD(INDEX(입력_기본자료!$K$2:$K$1001,$AB11),100)&gt;=1,MOD(INDEX(입력_기본자료!$K$2:$K$1001,$AB11),100)&lt;=31),DATE(INT(INDEX(입력_기본자료!$K$2:$K$1001,$AB11)/10000),INT(MOD(INDEX(입력_기본자료!$K$2:$K$1001,$AB11),10000)/100),MOD(INDEX(입력_기본자료!$K$2:$K$1001,$AB11),100)),INDEX(입력_기본자료!$K$2:$K$1001,$AB11)&amp;"")))))</f>
        <v/>
      </c>
      <c r="F11" s="10">
        <f>IF($AB11="","",IF(INDEX(입력_기본자료!$D$2:$D$1001,$AB11)="","",INDEX(입력_기본자료!$D$2:$D$1001,$AB11)))</f>
        <v/>
      </c>
      <c r="G11" s="10">
        <f>IF($AB11="","",IF(INDEX(입력_기본자료!$E$2:$E$1001,$AB11)="","",INDEX(입력_기본자료!$E$2:$E$1001,$AB11)))</f>
        <v/>
      </c>
      <c r="H11" s="10">
        <f>IF($AB11="","",IF(INDEX(입력_기본자료!$F$2:$F$1001,$AB11)="","",INDEX(입력_기본자료!$F$2:$F$1001,$AB11)))</f>
        <v/>
      </c>
      <c r="I11" s="11">
        <f>IF($AB11="","",IF(INDEX(입력_기본자료!$G$2:$G$1001,$AB11)="","",IF(NOT(ISNUMBER(INDEX(입력_기본자료!$G$2:$G$1001,$AB11))),INDEX(입력_기본자료!$G$2:$G$1001,$AB11),IF(INDEX(입력_기본자료!$G$2:$G$1001,$AB11)&lt;1000000,INDEX(입력_기본자료!$G$2:$G$1001,$AB11),IF(AND(INDEX(입력_기본자료!$G$2:$G$1001,$AB11)&gt;=10000101,INT(MOD(INDEX(입력_기본자료!$G$2:$G$1001,$AB11),10000)/100)&gt;=1,INT(MOD(INDEX(입력_기본자료!$G$2:$G$1001,$AB11),10000)/100)&lt;=12,MOD(INDEX(입력_기본자료!$G$2:$G$1001,$AB11),100)&gt;=1,MOD(INDEX(입력_기본자료!$G$2:$G$1001,$AB11),100)&lt;=31),DATE(INT(INDEX(입력_기본자료!$G$2:$G$1001,$AB11)/10000),INT(MOD(INDEX(입력_기본자료!$G$2:$G$1001,$AB11),10000)/100),MOD(INDEX(입력_기본자료!$G$2:$G$1001,$AB11),100)),INDEX(입력_기본자료!$G$2:$G$1001,$AB11)&amp;"")))))</f>
        <v/>
      </c>
      <c r="J11" s="10">
        <f>IF($AB11="","",IF(INDEX(입력_기본자료!$H$2:$H$1001,$AB11)="","",INDEX(입력_기본자료!$H$2:$H$1001,$AB11)))</f>
        <v/>
      </c>
      <c r="K11" s="10">
        <f>IF($AB11="","",IF(INDEX(입력_기본자료!$I$2:$I$1001,$AB11)="","",INDEX(입력_기본자료!$I$2:$I$1001,$AB11)))</f>
        <v/>
      </c>
      <c r="L11" s="10">
        <f>IF($AB11="","",IF(INDEX(입력_기본자료!$A$2:$A$1001,$AB11)="","",INDEX(입력_기본자료!$A$2:$A$1001,$AB11)))</f>
        <v/>
      </c>
      <c r="M11" s="15" t="n"/>
      <c r="N11" s="10">
        <f>IF($B11="","",IF(AND($U11="파견중",$Q11&lt;&gt;""),$Q11,IF(AND($AD11&lt;&gt;"",LEFT($AD11,1)&lt;&gt;"⚠"),LEFT($AD11,FIND(" ",$AD11)-1),IF($H11="","",IF(RIGHT($H11,2)="병원",$H11,$H11&amp;"병원")))))</f>
        <v/>
      </c>
      <c r="O11" s="10">
        <f>IF($B11="","",IF(AND($U11="파견중",$Q11&lt;&gt;""),IF($R11&lt;&gt;"",$R11,"파견과 미입력"),IF(AND($AD11&lt;&gt;"",LEFT($AD11,1)&lt;&gt;"⚠"),MID($AD11,FIND(" ",$AD11)+1,60),IF($F11="","",IF($F11="인턴","수련교육부(인턴)",$F11)))))</f>
        <v/>
      </c>
      <c r="P11" s="10">
        <f>IF($B11="","",IF($AK11&lt;&gt;"",IF(AND(TODAY()&gt;=INDEX(입력_파견수련계획!$AB$4:$AB$803,$AK11),OR(NOT(ISNUMBER(INDEX(입력_파견수련계획!$AC$4:$AC$803,$AK11))),TODAY()&lt;=INDEX(입력_파견수련계획!$AC$4:$AC$803,$AK11))),"다기관",IF($AF11="","",INDEX(입력_파견수련계획!$T$4:$T$803,$AF11))),IF($AF11="","",INDEX(입력_파견수련계획!$T$4:$T$803,$AF11))))</f>
        <v/>
      </c>
      <c r="Q11" s="10">
        <f>IF($AF11="","",INDEX(입력_파견수련계획!$S$4:$S$803,$AF11))</f>
        <v/>
      </c>
      <c r="R11" s="10">
        <f>IF($AF11="","",INDEX(입력_파견수련계획!$U$4:$U$803,$AF11))</f>
        <v/>
      </c>
      <c r="S11" s="11">
        <f>IF($AF11="","",IF(INDEX(입력_파견수련계획!$H$4:$H$803,$AF11)="","",INDEX(입력_파견수련계획!$H$4:$H$803,$AF11)))</f>
        <v/>
      </c>
      <c r="T11" s="11">
        <f>IF($AF11="","",IF(INDEX(입력_파견수련계획!$I$4:$I$803,$AF11)="","",INDEX(입력_파견수련계획!$I$4:$I$803,$AF11)))</f>
        <v/>
      </c>
      <c r="U11" s="10">
        <f>IF($AF11="","",INDEX(입력_파견수련계획!$X$4:$X$803,$AF11))</f>
        <v/>
      </c>
      <c r="V11" s="17">
        <f>IF($AF11="","",INDEX(입력_파견수련계획!$V$4:$V$803,$AF11))</f>
        <v/>
      </c>
      <c r="W11" s="17">
        <f>IF(AND($U11="파견중",$T11&lt;&gt;""),$T11-TODAY(),"")</f>
        <v/>
      </c>
      <c r="X11" s="17">
        <f>IF(OR($B11="",TRIM($J11&amp;"")=""),"",SUMPRODUCT((입력_파견수련계획!$Q$4:$Q$803=TRIM($J11&amp;""))*입력_파견수련계획!$W$4:$W$803))</f>
        <v/>
      </c>
      <c r="Y11" s="10">
        <f>IF($B11="","",IF($AG11="","",IF(IF(TRIM($J11&amp;"")="",0,SUMPRODUCT((입력_파견수련계획!$Q$4:$Q$803=TRIM($J11&amp;""))*입력_파견수련계획!$AD$4:$AD$803))&gt;0,$AE11,IF(AND(N($X11)&lt;=0,$AQ11=""),$AG11,IF($AH11+$AI11=DAY(EOMONTH(출력_요약!$B$3,0)),IF(AND($AH11&gt;=출력_요약!$E$3,$AI11&lt;출력_요약!$E$3),"서울병원",IF(AND($AI11&gt;=출력_요약!$E$3,$AH11&lt;출력_요약!$E$3),"구리병원","⚠15일 판정불가(서울 "&amp;$AH11&amp;"일/구리 "&amp;$AI11&amp;"일)")),IF($AJ11="",$AE11,IF(INDEX(입력_파견수련계획!$T$4:$T$803,$AJ11)="통합수련",INDEX(입력_파견수련계획!$S$4:$S$803,$AJ11),$AE11)))))))</f>
        <v/>
      </c>
      <c r="Z11" s="20">
        <f>IF($B11="","",IF($AB11="","기본자료에 없는 사번",IF(COUNTIF($B$2:$B$401,$B11)&gt;1,"중복 사번",IF($AE11="","소속(입사장소) 입력",IF(IF(TRIM($J11&amp;"")="",0,SUMPRODUCT((입력_파견수련계획!$Q$4:$Q$803=TRIM($J11&amp;""))*(입력_파견수련계획!$AA$4:$AA$803&lt;&gt;"")))&gt;0,"파견수련계획 입력오류 확인",IF(LEFT($Y11,1)="⚠","서울·구리 15일 판정 불가(양쪽 모두 이상/미만)",IF(IF($AC11="",0,N(INDEX(입력_인턴근무계획!$T$3:$T$402,$AC11)))&gt;0,"인턴계획 입력오류 확인",IF(AND($AQ11&lt;&gt;"",$AG11&lt;&gt;"구리병원",IF(TRIM($J11&amp;"")="",0,SUMPRODUCT((입력_파견수련계획!$Q$4:$Q$803=TRIM($J11&amp;""))*(입력_파견수련계획!$S$4:$S$803="구리병원")*입력_파견수련계획!$W$4:$W$803))=0),"구리 근무자명단에만 있음(파견수련계획 확인)",IF(AND($AC11&lt;&gt;"",$U11&lt;&gt;"파견중",$N11&lt;&gt;$AE11),"인턴 타지역 근무: 파견 여부 확인","정상")))))))))</f>
        <v/>
      </c>
      <c r="AA11" s="5" t="n"/>
      <c r="AB11" s="10">
        <f>IF($B11="","",IFERROR(MATCH($B11,입력_기본자료!$B$2:$B$1001,0),IFERROR(MATCH($B11&amp;"",입력_기본자료!$B$2:$B$1001,0),IFERROR(MATCH(VALUE($B11),입력_기본자료!$B$2:$B$1001,0),""))))</f>
        <v/>
      </c>
      <c r="AC11" s="10">
        <f>IF($B11="","",IFERROR(MATCH($B11,입력_인턴근무계획!$D$3:$D$402,0),IFERROR(MATCH($B11&amp;"",입력_인턴근무계획!$D$3:$D$402,0),IFERROR(MATCH(VALUE($B11),입력_인턴근무계획!$D$3:$D$402,0),""))))</f>
        <v/>
      </c>
      <c r="AD11" s="10">
        <f>IF(OR($AC11="",출력_인턴현황!$G$3=""),"",INDEX(입력_인턴근무계획!$M$3:$R$402,$AC11,출력_인턴현황!$G$3)&amp;"")</f>
        <v/>
      </c>
      <c r="AE11" s="10">
        <f>IF($B11="","",IF($M11&lt;&gt;"",$M11,IF(IF($AQ11="",FALSE,INDEX(출력_구리근무자!$J$6:$J$305,$AQ11)="구리독자"),"구리병원",IF($AF11&lt;&gt;"",IF(LEFT(INDEX(입력_파견수련계획!$R$4:$R$803,$AF11),1)&lt;&gt;"⚠",INDEX(입력_파견수련계획!$R$4:$R$803,$AF11),IF($H11="","",IF(RIGHT($H11,2)="병원",$H11,$H11&amp;"병원"))),IF($H11="","",IF(RIGHT($H11,2)="병원",$H11,$H11&amp;"병원"))))))</f>
        <v/>
      </c>
      <c r="AF11" s="10">
        <f>IF(OR($B11="",TRIM($J11&amp;"")=""),"",IFERROR(MATCH(TRIM($J11&amp;"")&amp;"|파견중",입력_파견수련계획!$Y$4:$Y$803,0),IFERROR(MATCH(TRIM($J11&amp;"")&amp;"|파견예정",입력_파견수련계획!$Y$4:$Y$803,0),IFERROR(MATCH(TRIM($J11&amp;"")&amp;"|파견종료",입력_파견수련계획!$Y$4:$Y$803,0),""))))</f>
        <v/>
      </c>
      <c r="AG11" s="10">
        <f>IF($B11="","",IF(AND(IF(OR($AC11="",출력_인턴현황!$K$2=""),"",INDEX(입력_인턴근무계획!$M$3:$R$402,$AC11,출력_인턴현황!$K$2)&amp;"")&lt;&gt;"",LEFT(IF(OR($AC11="",출력_인턴현황!$K$2=""),"",INDEX(입력_인턴근무계획!$M$3:$R$402,$AC11,출력_인턴현황!$K$2)&amp;""),1)&lt;&gt;"⚠"),LEFT(IF(OR($AC11="",출력_인턴현황!$K$2=""),"",INDEX(입력_인턴근무계획!$M$3:$R$402,$AC11,출력_인턴현황!$K$2)&amp;""),FIND(" ",IF(OR($AC11="",출력_인턴현황!$K$2=""),"",INDEX(입력_인턴근무계획!$M$3:$R$402,$AC11,출력_인턴현황!$K$2)&amp;""))-1),$AE11))</f>
        <v/>
      </c>
      <c r="AH11" s="17">
        <f>IF($B11="","",IF($AQ11&lt;&gt;"",MAX(0,DAY(EOMONTH(출력_요약!$B$3,0))-N($AR11)),IF(TRIM($J11&amp;"")="",0,SUMPRODUCT((입력_파견수련계획!$Q$4:$Q$803=TRIM($J11&amp;""))*(입력_파견수련계획!$S$4:$S$803="서울병원")*입력_파견수련계획!$W$4:$W$803))+IF($AG11="서울병원",MAX(0,DAY(EOMONTH(출력_요약!$B$3,0))-N($X11)),0)))</f>
        <v/>
      </c>
      <c r="AI11" s="17">
        <f>IF($B11="","",IF($AQ11&lt;&gt;"",N($AR11),IF(TRIM($J11&amp;"")="",0,SUMPRODUCT((입력_파견수련계획!$Q$4:$Q$803=TRIM($J11&amp;""))*(입력_파견수련계획!$S$4:$S$803="구리병원")*입력_파견수련계획!$W$4:$W$803))+IF($AG11="구리병원",MAX(0,DAY(EOMONTH(출력_요약!$B$3,0))-N($X11)),0)))</f>
        <v/>
      </c>
      <c r="AJ11" s="10">
        <f>IF(OR($B11="",TRIM($J11&amp;"")=""),"",IFERROR(MATCH(TRIM($J11&amp;"")&amp;"|월",입력_파견수련계획!$Z$4:$Z$803,0),""))</f>
        <v/>
      </c>
      <c r="AK11" s="10">
        <f>IF(OR($B11="",TRIM($J11&amp;"")=""),"",IFERROR(MATCH(TRIM($J11&amp;"")&amp;"|다기관",입력_파견수련계획!$AE$4:$AE$803,0),""))</f>
        <v/>
      </c>
      <c r="AL11" s="10">
        <f>IF($AK11="","","다기관 "&amp;TEXT(INDEX(입력_파견수련계획!$AB$4:$AB$803,$AK11),"yyyy-mm-dd")&amp;"~"&amp;IF(ISNUMBER(INDEX(입력_파견수련계획!$AC$4:$AC$803,$AK11)),TEXT(INDEX(입력_파견수련계획!$AC$4:$AC$803,$AK11),"yyyy-mm-dd"),""))</f>
        <v/>
      </c>
      <c r="AM11" s="10">
        <f>IF($Y11="서울병원",COUNTIF($Y$2:$Y11,"서울병원"),"")</f>
        <v/>
      </c>
      <c r="AN11" s="10">
        <f>IF(LEFT($Y11,1)="⚠",COUNTIF($Y$2:$Y11,"⚠*"),"")</f>
        <v/>
      </c>
      <c r="AO11" s="10">
        <f>IF(OR($B11="",$Y11=""),"",IF(IF(TRIM($J11&amp;"")="",0,SUMPRODUCT((입력_파견수련계획!$Q$4:$Q$803=TRIM($J11&amp;""))*입력_파견수련계획!$AD$4:$AD$803))&gt;0,"다기관 기간 → 소속병원 지급",IF(AND(N($X11)&lt;=0,$AQ11=""),"파견 없음 → 그 달 근무병원 지급",IF($AH11+$AI11=DAY(EOMONTH(출력_요약!$B$3,0)),"서울 "&amp;$AH11&amp;"일 / 구리 "&amp;$AI11&amp;"일"&amp;IF($AQ11&lt;&gt;""," (구리 근무자명단 반영)","")&amp;" → 15일 이상 근무 병원 지급","타 병원 포함 → "&amp;IF($AJ11="","소속",INDEX(입력_파견수련계획!$T$4:$T$803,$AJ11))&amp;" 규칙"))))</f>
        <v/>
      </c>
      <c r="AP11" s="10">
        <f>IF($B11="","",$C11&amp;"|"&amp;$F11)</f>
        <v/>
      </c>
      <c r="AQ11" s="10">
        <f>IF($B11="","",IFERROR(MATCH(ROW()-1,출력_구리근무자!$K$6:$K$305,0),""))</f>
        <v/>
      </c>
      <c r="AR11" s="10">
        <f>IF($AQ11="","",INDEX(출력_구리근무자!$H$6:$H$305,$AQ11))</f>
        <v/>
      </c>
    </row>
    <row r="12">
      <c r="A12" s="10">
        <f>IF(B12="","",ROW()-1)</f>
        <v/>
      </c>
      <c r="B12" s="19" t="n"/>
      <c r="C12" s="10">
        <f>IF($AB12="","",IF(INDEX(입력_기본자료!$C$2:$C$1001,$AB12)="","",INDEX(입력_기본자료!$C$2:$C$1001,$AB12)))</f>
        <v/>
      </c>
      <c r="D12" s="10">
        <f>IF($AB12="","",IF(INDEX(입력_기본자료!$J$2:$J$1001,$AB12)="","",INDEX(입력_기본자료!$J$2:$J$1001,$AB12)))</f>
        <v/>
      </c>
      <c r="E12" s="11">
        <f>IF($AB12="","",IF(INDEX(입력_기본자료!$K$2:$K$1001,$AB12)="","",IF(NOT(ISNUMBER(INDEX(입력_기본자료!$K$2:$K$1001,$AB12))),INDEX(입력_기본자료!$K$2:$K$1001,$AB12),IF(INDEX(입력_기본자료!$K$2:$K$1001,$AB12)&lt;1000000,INDEX(입력_기본자료!$K$2:$K$1001,$AB12),IF(AND(INDEX(입력_기본자료!$K$2:$K$1001,$AB12)&gt;=10000101,INT(MOD(INDEX(입력_기본자료!$K$2:$K$1001,$AB12),10000)/100)&gt;=1,INT(MOD(INDEX(입력_기본자료!$K$2:$K$1001,$AB12),10000)/100)&lt;=12,MOD(INDEX(입력_기본자료!$K$2:$K$1001,$AB12),100)&gt;=1,MOD(INDEX(입력_기본자료!$K$2:$K$1001,$AB12),100)&lt;=31),DATE(INT(INDEX(입력_기본자료!$K$2:$K$1001,$AB12)/10000),INT(MOD(INDEX(입력_기본자료!$K$2:$K$1001,$AB12),10000)/100),MOD(INDEX(입력_기본자료!$K$2:$K$1001,$AB12),100)),INDEX(입력_기본자료!$K$2:$K$1001,$AB12)&amp;"")))))</f>
        <v/>
      </c>
      <c r="F12" s="10">
        <f>IF($AB12="","",IF(INDEX(입력_기본자료!$D$2:$D$1001,$AB12)="","",INDEX(입력_기본자료!$D$2:$D$1001,$AB12)))</f>
        <v/>
      </c>
      <c r="G12" s="10">
        <f>IF($AB12="","",IF(INDEX(입력_기본자료!$E$2:$E$1001,$AB12)="","",INDEX(입력_기본자료!$E$2:$E$1001,$AB12)))</f>
        <v/>
      </c>
      <c r="H12" s="10">
        <f>IF($AB12="","",IF(INDEX(입력_기본자료!$F$2:$F$1001,$AB12)="","",INDEX(입력_기본자료!$F$2:$F$1001,$AB12)))</f>
        <v/>
      </c>
      <c r="I12" s="11">
        <f>IF($AB12="","",IF(INDEX(입력_기본자료!$G$2:$G$1001,$AB12)="","",IF(NOT(ISNUMBER(INDEX(입력_기본자료!$G$2:$G$1001,$AB12))),INDEX(입력_기본자료!$G$2:$G$1001,$AB12),IF(INDEX(입력_기본자료!$G$2:$G$1001,$AB12)&lt;1000000,INDEX(입력_기본자료!$G$2:$G$1001,$AB12),IF(AND(INDEX(입력_기본자료!$G$2:$G$1001,$AB12)&gt;=10000101,INT(MOD(INDEX(입력_기본자료!$G$2:$G$1001,$AB12),10000)/100)&gt;=1,INT(MOD(INDEX(입력_기본자료!$G$2:$G$1001,$AB12),10000)/100)&lt;=12,MOD(INDEX(입력_기본자료!$G$2:$G$1001,$AB12),100)&gt;=1,MOD(INDEX(입력_기본자료!$G$2:$G$1001,$AB12),100)&lt;=31),DATE(INT(INDEX(입력_기본자료!$G$2:$G$1001,$AB12)/10000),INT(MOD(INDEX(입력_기본자료!$G$2:$G$1001,$AB12),10000)/100),MOD(INDEX(입력_기본자료!$G$2:$G$1001,$AB12),100)),INDEX(입력_기본자료!$G$2:$G$1001,$AB12)&amp;"")))))</f>
        <v/>
      </c>
      <c r="J12" s="10">
        <f>IF($AB12="","",IF(INDEX(입력_기본자료!$H$2:$H$1001,$AB12)="","",INDEX(입력_기본자료!$H$2:$H$1001,$AB12)))</f>
        <v/>
      </c>
      <c r="K12" s="10">
        <f>IF($AB12="","",IF(INDEX(입력_기본자료!$I$2:$I$1001,$AB12)="","",INDEX(입력_기본자료!$I$2:$I$1001,$AB12)))</f>
        <v/>
      </c>
      <c r="L12" s="10">
        <f>IF($AB12="","",IF(INDEX(입력_기본자료!$A$2:$A$1001,$AB12)="","",INDEX(입력_기본자료!$A$2:$A$1001,$AB12)))</f>
        <v/>
      </c>
      <c r="M12" s="15" t="n"/>
      <c r="N12" s="10">
        <f>IF($B12="","",IF(AND($U12="파견중",$Q12&lt;&gt;""),$Q12,IF(AND($AD12&lt;&gt;"",LEFT($AD12,1)&lt;&gt;"⚠"),LEFT($AD12,FIND(" ",$AD12)-1),IF($H12="","",IF(RIGHT($H12,2)="병원",$H12,$H12&amp;"병원")))))</f>
        <v/>
      </c>
      <c r="O12" s="10">
        <f>IF($B12="","",IF(AND($U12="파견중",$Q12&lt;&gt;""),IF($R12&lt;&gt;"",$R12,"파견과 미입력"),IF(AND($AD12&lt;&gt;"",LEFT($AD12,1)&lt;&gt;"⚠"),MID($AD12,FIND(" ",$AD12)+1,60),IF($F12="","",IF($F12="인턴","수련교육부(인턴)",$F12)))))</f>
        <v/>
      </c>
      <c r="P12" s="10">
        <f>IF($B12="","",IF($AK12&lt;&gt;"",IF(AND(TODAY()&gt;=INDEX(입력_파견수련계획!$AB$4:$AB$803,$AK12),OR(NOT(ISNUMBER(INDEX(입력_파견수련계획!$AC$4:$AC$803,$AK12))),TODAY()&lt;=INDEX(입력_파견수련계획!$AC$4:$AC$803,$AK12))),"다기관",IF($AF12="","",INDEX(입력_파견수련계획!$T$4:$T$803,$AF12))),IF($AF12="","",INDEX(입력_파견수련계획!$T$4:$T$803,$AF12))))</f>
        <v/>
      </c>
      <c r="Q12" s="10">
        <f>IF($AF12="","",INDEX(입력_파견수련계획!$S$4:$S$803,$AF12))</f>
        <v/>
      </c>
      <c r="R12" s="10">
        <f>IF($AF12="","",INDEX(입력_파견수련계획!$U$4:$U$803,$AF12))</f>
        <v/>
      </c>
      <c r="S12" s="11">
        <f>IF($AF12="","",IF(INDEX(입력_파견수련계획!$H$4:$H$803,$AF12)="","",INDEX(입력_파견수련계획!$H$4:$H$803,$AF12)))</f>
        <v/>
      </c>
      <c r="T12" s="11">
        <f>IF($AF12="","",IF(INDEX(입력_파견수련계획!$I$4:$I$803,$AF12)="","",INDEX(입력_파견수련계획!$I$4:$I$803,$AF12)))</f>
        <v/>
      </c>
      <c r="U12" s="10">
        <f>IF($AF12="","",INDEX(입력_파견수련계획!$X$4:$X$803,$AF12))</f>
        <v/>
      </c>
      <c r="V12" s="17">
        <f>IF($AF12="","",INDEX(입력_파견수련계획!$V$4:$V$803,$AF12))</f>
        <v/>
      </c>
      <c r="W12" s="17">
        <f>IF(AND($U12="파견중",$T12&lt;&gt;""),$T12-TODAY(),"")</f>
        <v/>
      </c>
      <c r="X12" s="17">
        <f>IF(OR($B12="",TRIM($J12&amp;"")=""),"",SUMPRODUCT((입력_파견수련계획!$Q$4:$Q$803=TRIM($J12&amp;""))*입력_파견수련계획!$W$4:$W$803))</f>
        <v/>
      </c>
      <c r="Y12" s="10">
        <f>IF($B12="","",IF($AG12="","",IF(IF(TRIM($J12&amp;"")="",0,SUMPRODUCT((입력_파견수련계획!$Q$4:$Q$803=TRIM($J12&amp;""))*입력_파견수련계획!$AD$4:$AD$803))&gt;0,$AE12,IF(AND(N($X12)&lt;=0,$AQ12=""),$AG12,IF($AH12+$AI12=DAY(EOMONTH(출력_요약!$B$3,0)),IF(AND($AH12&gt;=출력_요약!$E$3,$AI12&lt;출력_요약!$E$3),"서울병원",IF(AND($AI12&gt;=출력_요약!$E$3,$AH12&lt;출력_요약!$E$3),"구리병원","⚠15일 판정불가(서울 "&amp;$AH12&amp;"일/구리 "&amp;$AI12&amp;"일)")),IF($AJ12="",$AE12,IF(INDEX(입력_파견수련계획!$T$4:$T$803,$AJ12)="통합수련",INDEX(입력_파견수련계획!$S$4:$S$803,$AJ12),$AE12)))))))</f>
        <v/>
      </c>
      <c r="Z12" s="20">
        <f>IF($B12="","",IF($AB12="","기본자료에 없는 사번",IF(COUNTIF($B$2:$B$401,$B12)&gt;1,"중복 사번",IF($AE12="","소속(입사장소) 입력",IF(IF(TRIM($J12&amp;"")="",0,SUMPRODUCT((입력_파견수련계획!$Q$4:$Q$803=TRIM($J12&amp;""))*(입력_파견수련계획!$AA$4:$AA$803&lt;&gt;"")))&gt;0,"파견수련계획 입력오류 확인",IF(LEFT($Y12,1)="⚠","서울·구리 15일 판정 불가(양쪽 모두 이상/미만)",IF(IF($AC12="",0,N(INDEX(입력_인턴근무계획!$T$3:$T$402,$AC12)))&gt;0,"인턴계획 입력오류 확인",IF(AND($AQ12&lt;&gt;"",$AG12&lt;&gt;"구리병원",IF(TRIM($J12&amp;"")="",0,SUMPRODUCT((입력_파견수련계획!$Q$4:$Q$803=TRIM($J12&amp;""))*(입력_파견수련계획!$S$4:$S$803="구리병원")*입력_파견수련계획!$W$4:$W$803))=0),"구리 근무자명단에만 있음(파견수련계획 확인)",IF(AND($AC12&lt;&gt;"",$U12&lt;&gt;"파견중",$N12&lt;&gt;$AE12),"인턴 타지역 근무: 파견 여부 확인","정상")))))))))</f>
        <v/>
      </c>
      <c r="AA12" s="5" t="n"/>
      <c r="AB12" s="10">
        <f>IF($B12="","",IFERROR(MATCH($B12,입력_기본자료!$B$2:$B$1001,0),IFERROR(MATCH($B12&amp;"",입력_기본자료!$B$2:$B$1001,0),IFERROR(MATCH(VALUE($B12),입력_기본자료!$B$2:$B$1001,0),""))))</f>
        <v/>
      </c>
      <c r="AC12" s="10">
        <f>IF($B12="","",IFERROR(MATCH($B12,입력_인턴근무계획!$D$3:$D$402,0),IFERROR(MATCH($B12&amp;"",입력_인턴근무계획!$D$3:$D$402,0),IFERROR(MATCH(VALUE($B12),입력_인턴근무계획!$D$3:$D$402,0),""))))</f>
        <v/>
      </c>
      <c r="AD12" s="10">
        <f>IF(OR($AC12="",출력_인턴현황!$G$3=""),"",INDEX(입력_인턴근무계획!$M$3:$R$402,$AC12,출력_인턴현황!$G$3)&amp;"")</f>
        <v/>
      </c>
      <c r="AE12" s="10">
        <f>IF($B12="","",IF($M12&lt;&gt;"",$M12,IF(IF($AQ12="",FALSE,INDEX(출력_구리근무자!$J$6:$J$305,$AQ12)="구리독자"),"구리병원",IF($AF12&lt;&gt;"",IF(LEFT(INDEX(입력_파견수련계획!$R$4:$R$803,$AF12),1)&lt;&gt;"⚠",INDEX(입력_파견수련계획!$R$4:$R$803,$AF12),IF($H12="","",IF(RIGHT($H12,2)="병원",$H12,$H12&amp;"병원"))),IF($H12="","",IF(RIGHT($H12,2)="병원",$H12,$H12&amp;"병원"))))))</f>
        <v/>
      </c>
      <c r="AF12" s="10">
        <f>IF(OR($B12="",TRIM($J12&amp;"")=""),"",IFERROR(MATCH(TRIM($J12&amp;"")&amp;"|파견중",입력_파견수련계획!$Y$4:$Y$803,0),IFERROR(MATCH(TRIM($J12&amp;"")&amp;"|파견예정",입력_파견수련계획!$Y$4:$Y$803,0),IFERROR(MATCH(TRIM($J12&amp;"")&amp;"|파견종료",입력_파견수련계획!$Y$4:$Y$803,0),""))))</f>
        <v/>
      </c>
      <c r="AG12" s="10">
        <f>IF($B12="","",IF(AND(IF(OR($AC12="",출력_인턴현황!$K$2=""),"",INDEX(입력_인턴근무계획!$M$3:$R$402,$AC12,출력_인턴현황!$K$2)&amp;"")&lt;&gt;"",LEFT(IF(OR($AC12="",출력_인턴현황!$K$2=""),"",INDEX(입력_인턴근무계획!$M$3:$R$402,$AC12,출력_인턴현황!$K$2)&amp;""),1)&lt;&gt;"⚠"),LEFT(IF(OR($AC12="",출력_인턴현황!$K$2=""),"",INDEX(입력_인턴근무계획!$M$3:$R$402,$AC12,출력_인턴현황!$K$2)&amp;""),FIND(" ",IF(OR($AC12="",출력_인턴현황!$K$2=""),"",INDEX(입력_인턴근무계획!$M$3:$R$402,$AC12,출력_인턴현황!$K$2)&amp;""))-1),$AE12))</f>
        <v/>
      </c>
      <c r="AH12" s="17">
        <f>IF($B12="","",IF($AQ12&lt;&gt;"",MAX(0,DAY(EOMONTH(출력_요약!$B$3,0))-N($AR12)),IF(TRIM($J12&amp;"")="",0,SUMPRODUCT((입력_파견수련계획!$Q$4:$Q$803=TRIM($J12&amp;""))*(입력_파견수련계획!$S$4:$S$803="서울병원")*입력_파견수련계획!$W$4:$W$803))+IF($AG12="서울병원",MAX(0,DAY(EOMONTH(출력_요약!$B$3,0))-N($X12)),0)))</f>
        <v/>
      </c>
      <c r="AI12" s="17">
        <f>IF($B12="","",IF($AQ12&lt;&gt;"",N($AR12),IF(TRIM($J12&amp;"")="",0,SUMPRODUCT((입력_파견수련계획!$Q$4:$Q$803=TRIM($J12&amp;""))*(입력_파견수련계획!$S$4:$S$803="구리병원")*입력_파견수련계획!$W$4:$W$803))+IF($AG12="구리병원",MAX(0,DAY(EOMONTH(출력_요약!$B$3,0))-N($X12)),0)))</f>
        <v/>
      </c>
      <c r="AJ12" s="10">
        <f>IF(OR($B12="",TRIM($J12&amp;"")=""),"",IFERROR(MATCH(TRIM($J12&amp;"")&amp;"|월",입력_파견수련계획!$Z$4:$Z$803,0),""))</f>
        <v/>
      </c>
      <c r="AK12" s="10">
        <f>IF(OR($B12="",TRIM($J12&amp;"")=""),"",IFERROR(MATCH(TRIM($J12&amp;"")&amp;"|다기관",입력_파견수련계획!$AE$4:$AE$803,0),""))</f>
        <v/>
      </c>
      <c r="AL12" s="10">
        <f>IF($AK12="","","다기관 "&amp;TEXT(INDEX(입력_파견수련계획!$AB$4:$AB$803,$AK12),"yyyy-mm-dd")&amp;"~"&amp;IF(ISNUMBER(INDEX(입력_파견수련계획!$AC$4:$AC$803,$AK12)),TEXT(INDEX(입력_파견수련계획!$AC$4:$AC$803,$AK12),"yyyy-mm-dd"),""))</f>
        <v/>
      </c>
      <c r="AM12" s="10">
        <f>IF($Y12="서울병원",COUNTIF($Y$2:$Y12,"서울병원"),"")</f>
        <v/>
      </c>
      <c r="AN12" s="10">
        <f>IF(LEFT($Y12,1)="⚠",COUNTIF($Y$2:$Y12,"⚠*"),"")</f>
        <v/>
      </c>
      <c r="AO12" s="10">
        <f>IF(OR($B12="",$Y12=""),"",IF(IF(TRIM($J12&amp;"")="",0,SUMPRODUCT((입력_파견수련계획!$Q$4:$Q$803=TRIM($J12&amp;""))*입력_파견수련계획!$AD$4:$AD$803))&gt;0,"다기관 기간 → 소속병원 지급",IF(AND(N($X12)&lt;=0,$AQ12=""),"파견 없음 → 그 달 근무병원 지급",IF($AH12+$AI12=DAY(EOMONTH(출력_요약!$B$3,0)),"서울 "&amp;$AH12&amp;"일 / 구리 "&amp;$AI12&amp;"일"&amp;IF($AQ12&lt;&gt;""," (구리 근무자명단 반영)","")&amp;" → 15일 이상 근무 병원 지급","타 병원 포함 → "&amp;IF($AJ12="","소속",INDEX(입력_파견수련계획!$T$4:$T$803,$AJ12))&amp;" 규칙"))))</f>
        <v/>
      </c>
      <c r="AP12" s="10">
        <f>IF($B12="","",$C12&amp;"|"&amp;$F12)</f>
        <v/>
      </c>
      <c r="AQ12" s="10">
        <f>IF($B12="","",IFERROR(MATCH(ROW()-1,출력_구리근무자!$K$6:$K$305,0),""))</f>
        <v/>
      </c>
      <c r="AR12" s="10">
        <f>IF($AQ12="","",INDEX(출력_구리근무자!$H$6:$H$305,$AQ12))</f>
        <v/>
      </c>
    </row>
    <row r="13">
      <c r="A13" s="10">
        <f>IF(B13="","",ROW()-1)</f>
        <v/>
      </c>
      <c r="B13" s="19" t="n"/>
      <c r="C13" s="10">
        <f>IF($AB13="","",IF(INDEX(입력_기본자료!$C$2:$C$1001,$AB13)="","",INDEX(입력_기본자료!$C$2:$C$1001,$AB13)))</f>
        <v/>
      </c>
      <c r="D13" s="10">
        <f>IF($AB13="","",IF(INDEX(입력_기본자료!$J$2:$J$1001,$AB13)="","",INDEX(입력_기본자료!$J$2:$J$1001,$AB13)))</f>
        <v/>
      </c>
      <c r="E13" s="11">
        <f>IF($AB13="","",IF(INDEX(입력_기본자료!$K$2:$K$1001,$AB13)="","",IF(NOT(ISNUMBER(INDEX(입력_기본자료!$K$2:$K$1001,$AB13))),INDEX(입력_기본자료!$K$2:$K$1001,$AB13),IF(INDEX(입력_기본자료!$K$2:$K$1001,$AB13)&lt;1000000,INDEX(입력_기본자료!$K$2:$K$1001,$AB13),IF(AND(INDEX(입력_기본자료!$K$2:$K$1001,$AB13)&gt;=10000101,INT(MOD(INDEX(입력_기본자료!$K$2:$K$1001,$AB13),10000)/100)&gt;=1,INT(MOD(INDEX(입력_기본자료!$K$2:$K$1001,$AB13),10000)/100)&lt;=12,MOD(INDEX(입력_기본자료!$K$2:$K$1001,$AB13),100)&gt;=1,MOD(INDEX(입력_기본자료!$K$2:$K$1001,$AB13),100)&lt;=31),DATE(INT(INDEX(입력_기본자료!$K$2:$K$1001,$AB13)/10000),INT(MOD(INDEX(입력_기본자료!$K$2:$K$1001,$AB13),10000)/100),MOD(INDEX(입력_기본자료!$K$2:$K$1001,$AB13),100)),INDEX(입력_기본자료!$K$2:$K$1001,$AB13)&amp;"")))))</f>
        <v/>
      </c>
      <c r="F13" s="10">
        <f>IF($AB13="","",IF(INDEX(입력_기본자료!$D$2:$D$1001,$AB13)="","",INDEX(입력_기본자료!$D$2:$D$1001,$AB13)))</f>
        <v/>
      </c>
      <c r="G13" s="10">
        <f>IF($AB13="","",IF(INDEX(입력_기본자료!$E$2:$E$1001,$AB13)="","",INDEX(입력_기본자료!$E$2:$E$1001,$AB13)))</f>
        <v/>
      </c>
      <c r="H13" s="10">
        <f>IF($AB13="","",IF(INDEX(입력_기본자료!$F$2:$F$1001,$AB13)="","",INDEX(입력_기본자료!$F$2:$F$1001,$AB13)))</f>
        <v/>
      </c>
      <c r="I13" s="11">
        <f>IF($AB13="","",IF(INDEX(입력_기본자료!$G$2:$G$1001,$AB13)="","",IF(NOT(ISNUMBER(INDEX(입력_기본자료!$G$2:$G$1001,$AB13))),INDEX(입력_기본자료!$G$2:$G$1001,$AB13),IF(INDEX(입력_기본자료!$G$2:$G$1001,$AB13)&lt;1000000,INDEX(입력_기본자료!$G$2:$G$1001,$AB13),IF(AND(INDEX(입력_기본자료!$G$2:$G$1001,$AB13)&gt;=10000101,INT(MOD(INDEX(입력_기본자료!$G$2:$G$1001,$AB13),10000)/100)&gt;=1,INT(MOD(INDEX(입력_기본자료!$G$2:$G$1001,$AB13),10000)/100)&lt;=12,MOD(INDEX(입력_기본자료!$G$2:$G$1001,$AB13),100)&gt;=1,MOD(INDEX(입력_기본자료!$G$2:$G$1001,$AB13),100)&lt;=31),DATE(INT(INDEX(입력_기본자료!$G$2:$G$1001,$AB13)/10000),INT(MOD(INDEX(입력_기본자료!$G$2:$G$1001,$AB13),10000)/100),MOD(INDEX(입력_기본자료!$G$2:$G$1001,$AB13),100)),INDEX(입력_기본자료!$G$2:$G$1001,$AB13)&amp;"")))))</f>
        <v/>
      </c>
      <c r="J13" s="10">
        <f>IF($AB13="","",IF(INDEX(입력_기본자료!$H$2:$H$1001,$AB13)="","",INDEX(입력_기본자료!$H$2:$H$1001,$AB13)))</f>
        <v/>
      </c>
      <c r="K13" s="10">
        <f>IF($AB13="","",IF(INDEX(입력_기본자료!$I$2:$I$1001,$AB13)="","",INDEX(입력_기본자료!$I$2:$I$1001,$AB13)))</f>
        <v/>
      </c>
      <c r="L13" s="10">
        <f>IF($AB13="","",IF(INDEX(입력_기본자료!$A$2:$A$1001,$AB13)="","",INDEX(입력_기본자료!$A$2:$A$1001,$AB13)))</f>
        <v/>
      </c>
      <c r="M13" s="15" t="n"/>
      <c r="N13" s="10">
        <f>IF($B13="","",IF(AND($U13="파견중",$Q13&lt;&gt;""),$Q13,IF(AND($AD13&lt;&gt;"",LEFT($AD13,1)&lt;&gt;"⚠"),LEFT($AD13,FIND(" ",$AD13)-1),IF($H13="","",IF(RIGHT($H13,2)="병원",$H13,$H13&amp;"병원")))))</f>
        <v/>
      </c>
      <c r="O13" s="10">
        <f>IF($B13="","",IF(AND($U13="파견중",$Q13&lt;&gt;""),IF($R13&lt;&gt;"",$R13,"파견과 미입력"),IF(AND($AD13&lt;&gt;"",LEFT($AD13,1)&lt;&gt;"⚠"),MID($AD13,FIND(" ",$AD13)+1,60),IF($F13="","",IF($F13="인턴","수련교육부(인턴)",$F13)))))</f>
        <v/>
      </c>
      <c r="P13" s="10">
        <f>IF($B13="","",IF($AK13&lt;&gt;"",IF(AND(TODAY()&gt;=INDEX(입력_파견수련계획!$AB$4:$AB$803,$AK13),OR(NOT(ISNUMBER(INDEX(입력_파견수련계획!$AC$4:$AC$803,$AK13))),TODAY()&lt;=INDEX(입력_파견수련계획!$AC$4:$AC$803,$AK13))),"다기관",IF($AF13="","",INDEX(입력_파견수련계획!$T$4:$T$803,$AF13))),IF($AF13="","",INDEX(입력_파견수련계획!$T$4:$T$803,$AF13))))</f>
        <v/>
      </c>
      <c r="Q13" s="10">
        <f>IF($AF13="","",INDEX(입력_파견수련계획!$S$4:$S$803,$AF13))</f>
        <v/>
      </c>
      <c r="R13" s="10">
        <f>IF($AF13="","",INDEX(입력_파견수련계획!$U$4:$U$803,$AF13))</f>
        <v/>
      </c>
      <c r="S13" s="11">
        <f>IF($AF13="","",IF(INDEX(입력_파견수련계획!$H$4:$H$803,$AF13)="","",INDEX(입력_파견수련계획!$H$4:$H$803,$AF13)))</f>
        <v/>
      </c>
      <c r="T13" s="11">
        <f>IF($AF13="","",IF(INDEX(입력_파견수련계획!$I$4:$I$803,$AF13)="","",INDEX(입력_파견수련계획!$I$4:$I$803,$AF13)))</f>
        <v/>
      </c>
      <c r="U13" s="10">
        <f>IF($AF13="","",INDEX(입력_파견수련계획!$X$4:$X$803,$AF13))</f>
        <v/>
      </c>
      <c r="V13" s="17">
        <f>IF($AF13="","",INDEX(입력_파견수련계획!$V$4:$V$803,$AF13))</f>
        <v/>
      </c>
      <c r="W13" s="17">
        <f>IF(AND($U13="파견중",$T13&lt;&gt;""),$T13-TODAY(),"")</f>
        <v/>
      </c>
      <c r="X13" s="17">
        <f>IF(OR($B13="",TRIM($J13&amp;"")=""),"",SUMPRODUCT((입력_파견수련계획!$Q$4:$Q$803=TRIM($J13&amp;""))*입력_파견수련계획!$W$4:$W$803))</f>
        <v/>
      </c>
      <c r="Y13" s="10">
        <f>IF($B13="","",IF($AG13="","",IF(IF(TRIM($J13&amp;"")="",0,SUMPRODUCT((입력_파견수련계획!$Q$4:$Q$803=TRIM($J13&amp;""))*입력_파견수련계획!$AD$4:$AD$803))&gt;0,$AE13,IF(AND(N($X13)&lt;=0,$AQ13=""),$AG13,IF($AH13+$AI13=DAY(EOMONTH(출력_요약!$B$3,0)),IF(AND($AH13&gt;=출력_요약!$E$3,$AI13&lt;출력_요약!$E$3),"서울병원",IF(AND($AI13&gt;=출력_요약!$E$3,$AH13&lt;출력_요약!$E$3),"구리병원","⚠15일 판정불가(서울 "&amp;$AH13&amp;"일/구리 "&amp;$AI13&amp;"일)")),IF($AJ13="",$AE13,IF(INDEX(입력_파견수련계획!$T$4:$T$803,$AJ13)="통합수련",INDEX(입력_파견수련계획!$S$4:$S$803,$AJ13),$AE13)))))))</f>
        <v/>
      </c>
      <c r="Z13" s="20">
        <f>IF($B13="","",IF($AB13="","기본자료에 없는 사번",IF(COUNTIF($B$2:$B$401,$B13)&gt;1,"중복 사번",IF($AE13="","소속(입사장소) 입력",IF(IF(TRIM($J13&amp;"")="",0,SUMPRODUCT((입력_파견수련계획!$Q$4:$Q$803=TRIM($J13&amp;""))*(입력_파견수련계획!$AA$4:$AA$803&lt;&gt;"")))&gt;0,"파견수련계획 입력오류 확인",IF(LEFT($Y13,1)="⚠","서울·구리 15일 판정 불가(양쪽 모두 이상/미만)",IF(IF($AC13="",0,N(INDEX(입력_인턴근무계획!$T$3:$T$402,$AC13)))&gt;0,"인턴계획 입력오류 확인",IF(AND($AQ13&lt;&gt;"",$AG13&lt;&gt;"구리병원",IF(TRIM($J13&amp;"")="",0,SUMPRODUCT((입력_파견수련계획!$Q$4:$Q$803=TRIM($J13&amp;""))*(입력_파견수련계획!$S$4:$S$803="구리병원")*입력_파견수련계획!$W$4:$W$803))=0),"구리 근무자명단에만 있음(파견수련계획 확인)",IF(AND($AC13&lt;&gt;"",$U13&lt;&gt;"파견중",$N13&lt;&gt;$AE13),"인턴 타지역 근무: 파견 여부 확인","정상")))))))))</f>
        <v/>
      </c>
      <c r="AA13" s="5" t="n"/>
      <c r="AB13" s="10">
        <f>IF($B13="","",IFERROR(MATCH($B13,입력_기본자료!$B$2:$B$1001,0),IFERROR(MATCH($B13&amp;"",입력_기본자료!$B$2:$B$1001,0),IFERROR(MATCH(VALUE($B13),입력_기본자료!$B$2:$B$1001,0),""))))</f>
        <v/>
      </c>
      <c r="AC13" s="10">
        <f>IF($B13="","",IFERROR(MATCH($B13,입력_인턴근무계획!$D$3:$D$402,0),IFERROR(MATCH($B13&amp;"",입력_인턴근무계획!$D$3:$D$402,0),IFERROR(MATCH(VALUE($B13),입력_인턴근무계획!$D$3:$D$402,0),""))))</f>
        <v/>
      </c>
      <c r="AD13" s="10">
        <f>IF(OR($AC13="",출력_인턴현황!$G$3=""),"",INDEX(입력_인턴근무계획!$M$3:$R$402,$AC13,출력_인턴현황!$G$3)&amp;"")</f>
        <v/>
      </c>
      <c r="AE13" s="10">
        <f>IF($B13="","",IF($M13&lt;&gt;"",$M13,IF(IF($AQ13="",FALSE,INDEX(출력_구리근무자!$J$6:$J$305,$AQ13)="구리독자"),"구리병원",IF($AF13&lt;&gt;"",IF(LEFT(INDEX(입력_파견수련계획!$R$4:$R$803,$AF13),1)&lt;&gt;"⚠",INDEX(입력_파견수련계획!$R$4:$R$803,$AF13),IF($H13="","",IF(RIGHT($H13,2)="병원",$H13,$H13&amp;"병원"))),IF($H13="","",IF(RIGHT($H13,2)="병원",$H13,$H13&amp;"병원"))))))</f>
        <v/>
      </c>
      <c r="AF13" s="10">
        <f>IF(OR($B13="",TRIM($J13&amp;"")=""),"",IFERROR(MATCH(TRIM($J13&amp;"")&amp;"|파견중",입력_파견수련계획!$Y$4:$Y$803,0),IFERROR(MATCH(TRIM($J13&amp;"")&amp;"|파견예정",입력_파견수련계획!$Y$4:$Y$803,0),IFERROR(MATCH(TRIM($J13&amp;"")&amp;"|파견종료",입력_파견수련계획!$Y$4:$Y$803,0),""))))</f>
        <v/>
      </c>
      <c r="AG13" s="10">
        <f>IF($B13="","",IF(AND(IF(OR($AC13="",출력_인턴현황!$K$2=""),"",INDEX(입력_인턴근무계획!$M$3:$R$402,$AC13,출력_인턴현황!$K$2)&amp;"")&lt;&gt;"",LEFT(IF(OR($AC13="",출력_인턴현황!$K$2=""),"",INDEX(입력_인턴근무계획!$M$3:$R$402,$AC13,출력_인턴현황!$K$2)&amp;""),1)&lt;&gt;"⚠"),LEFT(IF(OR($AC13="",출력_인턴현황!$K$2=""),"",INDEX(입력_인턴근무계획!$M$3:$R$402,$AC13,출력_인턴현황!$K$2)&amp;""),FIND(" ",IF(OR($AC13="",출력_인턴현황!$K$2=""),"",INDEX(입력_인턴근무계획!$M$3:$R$402,$AC13,출력_인턴현황!$K$2)&amp;""))-1),$AE13))</f>
        <v/>
      </c>
      <c r="AH13" s="17">
        <f>IF($B13="","",IF($AQ13&lt;&gt;"",MAX(0,DAY(EOMONTH(출력_요약!$B$3,0))-N($AR13)),IF(TRIM($J13&amp;"")="",0,SUMPRODUCT((입력_파견수련계획!$Q$4:$Q$803=TRIM($J13&amp;""))*(입력_파견수련계획!$S$4:$S$803="서울병원")*입력_파견수련계획!$W$4:$W$803))+IF($AG13="서울병원",MAX(0,DAY(EOMONTH(출력_요약!$B$3,0))-N($X13)),0)))</f>
        <v/>
      </c>
      <c r="AI13" s="17">
        <f>IF($B13="","",IF($AQ13&lt;&gt;"",N($AR13),IF(TRIM($J13&amp;"")="",0,SUMPRODUCT((입력_파견수련계획!$Q$4:$Q$803=TRIM($J13&amp;""))*(입력_파견수련계획!$S$4:$S$803="구리병원")*입력_파견수련계획!$W$4:$W$803))+IF($AG13="구리병원",MAX(0,DAY(EOMONTH(출력_요약!$B$3,0))-N($X13)),0)))</f>
        <v/>
      </c>
      <c r="AJ13" s="10">
        <f>IF(OR($B13="",TRIM($J13&amp;"")=""),"",IFERROR(MATCH(TRIM($J13&amp;"")&amp;"|월",입력_파견수련계획!$Z$4:$Z$803,0),""))</f>
        <v/>
      </c>
      <c r="AK13" s="10">
        <f>IF(OR($B13="",TRIM($J13&amp;"")=""),"",IFERROR(MATCH(TRIM($J13&amp;"")&amp;"|다기관",입력_파견수련계획!$AE$4:$AE$803,0),""))</f>
        <v/>
      </c>
      <c r="AL13" s="10">
        <f>IF($AK13="","","다기관 "&amp;TEXT(INDEX(입력_파견수련계획!$AB$4:$AB$803,$AK13),"yyyy-mm-dd")&amp;"~"&amp;IF(ISNUMBER(INDEX(입력_파견수련계획!$AC$4:$AC$803,$AK13)),TEXT(INDEX(입력_파견수련계획!$AC$4:$AC$803,$AK13),"yyyy-mm-dd"),""))</f>
        <v/>
      </c>
      <c r="AM13" s="10">
        <f>IF($Y13="서울병원",COUNTIF($Y$2:$Y13,"서울병원"),"")</f>
        <v/>
      </c>
      <c r="AN13" s="10">
        <f>IF(LEFT($Y13,1)="⚠",COUNTIF($Y$2:$Y13,"⚠*"),"")</f>
        <v/>
      </c>
      <c r="AO13" s="10">
        <f>IF(OR($B13="",$Y13=""),"",IF(IF(TRIM($J13&amp;"")="",0,SUMPRODUCT((입력_파견수련계획!$Q$4:$Q$803=TRIM($J13&amp;""))*입력_파견수련계획!$AD$4:$AD$803))&gt;0,"다기관 기간 → 소속병원 지급",IF(AND(N($X13)&lt;=0,$AQ13=""),"파견 없음 → 그 달 근무병원 지급",IF($AH13+$AI13=DAY(EOMONTH(출력_요약!$B$3,0)),"서울 "&amp;$AH13&amp;"일 / 구리 "&amp;$AI13&amp;"일"&amp;IF($AQ13&lt;&gt;""," (구리 근무자명단 반영)","")&amp;" → 15일 이상 근무 병원 지급","타 병원 포함 → "&amp;IF($AJ13="","소속",INDEX(입력_파견수련계획!$T$4:$T$803,$AJ13))&amp;" 규칙"))))</f>
        <v/>
      </c>
      <c r="AP13" s="10">
        <f>IF($B13="","",$C13&amp;"|"&amp;$F13)</f>
        <v/>
      </c>
      <c r="AQ13" s="10">
        <f>IF($B13="","",IFERROR(MATCH(ROW()-1,출력_구리근무자!$K$6:$K$305,0),""))</f>
        <v/>
      </c>
      <c r="AR13" s="10">
        <f>IF($AQ13="","",INDEX(출력_구리근무자!$H$6:$H$305,$AQ13))</f>
        <v/>
      </c>
    </row>
    <row r="14">
      <c r="A14" s="10">
        <f>IF(B14="","",ROW()-1)</f>
        <v/>
      </c>
      <c r="B14" s="19" t="n"/>
      <c r="C14" s="10">
        <f>IF($AB14="","",IF(INDEX(입력_기본자료!$C$2:$C$1001,$AB14)="","",INDEX(입력_기본자료!$C$2:$C$1001,$AB14)))</f>
        <v/>
      </c>
      <c r="D14" s="10">
        <f>IF($AB14="","",IF(INDEX(입력_기본자료!$J$2:$J$1001,$AB14)="","",INDEX(입력_기본자료!$J$2:$J$1001,$AB14)))</f>
        <v/>
      </c>
      <c r="E14" s="11">
        <f>IF($AB14="","",IF(INDEX(입력_기본자료!$K$2:$K$1001,$AB14)="","",IF(NOT(ISNUMBER(INDEX(입력_기본자료!$K$2:$K$1001,$AB14))),INDEX(입력_기본자료!$K$2:$K$1001,$AB14),IF(INDEX(입력_기본자료!$K$2:$K$1001,$AB14)&lt;1000000,INDEX(입력_기본자료!$K$2:$K$1001,$AB14),IF(AND(INDEX(입력_기본자료!$K$2:$K$1001,$AB14)&gt;=10000101,INT(MOD(INDEX(입력_기본자료!$K$2:$K$1001,$AB14),10000)/100)&gt;=1,INT(MOD(INDEX(입력_기본자료!$K$2:$K$1001,$AB14),10000)/100)&lt;=12,MOD(INDEX(입력_기본자료!$K$2:$K$1001,$AB14),100)&gt;=1,MOD(INDEX(입력_기본자료!$K$2:$K$1001,$AB14),100)&lt;=31),DATE(INT(INDEX(입력_기본자료!$K$2:$K$1001,$AB14)/10000),INT(MOD(INDEX(입력_기본자료!$K$2:$K$1001,$AB14),10000)/100),MOD(INDEX(입력_기본자료!$K$2:$K$1001,$AB14),100)),INDEX(입력_기본자료!$K$2:$K$1001,$AB14)&amp;"")))))</f>
        <v/>
      </c>
      <c r="F14" s="10">
        <f>IF($AB14="","",IF(INDEX(입력_기본자료!$D$2:$D$1001,$AB14)="","",INDEX(입력_기본자료!$D$2:$D$1001,$AB14)))</f>
        <v/>
      </c>
      <c r="G14" s="10">
        <f>IF($AB14="","",IF(INDEX(입력_기본자료!$E$2:$E$1001,$AB14)="","",INDEX(입력_기본자료!$E$2:$E$1001,$AB14)))</f>
        <v/>
      </c>
      <c r="H14" s="10">
        <f>IF($AB14="","",IF(INDEX(입력_기본자료!$F$2:$F$1001,$AB14)="","",INDEX(입력_기본자료!$F$2:$F$1001,$AB14)))</f>
        <v/>
      </c>
      <c r="I14" s="11">
        <f>IF($AB14="","",IF(INDEX(입력_기본자료!$G$2:$G$1001,$AB14)="","",IF(NOT(ISNUMBER(INDEX(입력_기본자료!$G$2:$G$1001,$AB14))),INDEX(입력_기본자료!$G$2:$G$1001,$AB14),IF(INDEX(입력_기본자료!$G$2:$G$1001,$AB14)&lt;1000000,INDEX(입력_기본자료!$G$2:$G$1001,$AB14),IF(AND(INDEX(입력_기본자료!$G$2:$G$1001,$AB14)&gt;=10000101,INT(MOD(INDEX(입력_기본자료!$G$2:$G$1001,$AB14),10000)/100)&gt;=1,INT(MOD(INDEX(입력_기본자료!$G$2:$G$1001,$AB14),10000)/100)&lt;=12,MOD(INDEX(입력_기본자료!$G$2:$G$1001,$AB14),100)&gt;=1,MOD(INDEX(입력_기본자료!$G$2:$G$1001,$AB14),100)&lt;=31),DATE(INT(INDEX(입력_기본자료!$G$2:$G$1001,$AB14)/10000),INT(MOD(INDEX(입력_기본자료!$G$2:$G$1001,$AB14),10000)/100),MOD(INDEX(입력_기본자료!$G$2:$G$1001,$AB14),100)),INDEX(입력_기본자료!$G$2:$G$1001,$AB14)&amp;"")))))</f>
        <v/>
      </c>
      <c r="J14" s="10">
        <f>IF($AB14="","",IF(INDEX(입력_기본자료!$H$2:$H$1001,$AB14)="","",INDEX(입력_기본자료!$H$2:$H$1001,$AB14)))</f>
        <v/>
      </c>
      <c r="K14" s="10">
        <f>IF($AB14="","",IF(INDEX(입력_기본자료!$I$2:$I$1001,$AB14)="","",INDEX(입력_기본자료!$I$2:$I$1001,$AB14)))</f>
        <v/>
      </c>
      <c r="L14" s="10">
        <f>IF($AB14="","",IF(INDEX(입력_기본자료!$A$2:$A$1001,$AB14)="","",INDEX(입력_기본자료!$A$2:$A$1001,$AB14)))</f>
        <v/>
      </c>
      <c r="M14" s="15" t="n"/>
      <c r="N14" s="10">
        <f>IF($B14="","",IF(AND($U14="파견중",$Q14&lt;&gt;""),$Q14,IF(AND($AD14&lt;&gt;"",LEFT($AD14,1)&lt;&gt;"⚠"),LEFT($AD14,FIND(" ",$AD14)-1),IF($H14="","",IF(RIGHT($H14,2)="병원",$H14,$H14&amp;"병원")))))</f>
        <v/>
      </c>
      <c r="O14" s="10">
        <f>IF($B14="","",IF(AND($U14="파견중",$Q14&lt;&gt;""),IF($R14&lt;&gt;"",$R14,"파견과 미입력"),IF(AND($AD14&lt;&gt;"",LEFT($AD14,1)&lt;&gt;"⚠"),MID($AD14,FIND(" ",$AD14)+1,60),IF($F14="","",IF($F14="인턴","수련교육부(인턴)",$F14)))))</f>
        <v/>
      </c>
      <c r="P14" s="10">
        <f>IF($B14="","",IF($AK14&lt;&gt;"",IF(AND(TODAY()&gt;=INDEX(입력_파견수련계획!$AB$4:$AB$803,$AK14),OR(NOT(ISNUMBER(INDEX(입력_파견수련계획!$AC$4:$AC$803,$AK14))),TODAY()&lt;=INDEX(입력_파견수련계획!$AC$4:$AC$803,$AK14))),"다기관",IF($AF14="","",INDEX(입력_파견수련계획!$T$4:$T$803,$AF14))),IF($AF14="","",INDEX(입력_파견수련계획!$T$4:$T$803,$AF14))))</f>
        <v/>
      </c>
      <c r="Q14" s="10">
        <f>IF($AF14="","",INDEX(입력_파견수련계획!$S$4:$S$803,$AF14))</f>
        <v/>
      </c>
      <c r="R14" s="10">
        <f>IF($AF14="","",INDEX(입력_파견수련계획!$U$4:$U$803,$AF14))</f>
        <v/>
      </c>
      <c r="S14" s="11">
        <f>IF($AF14="","",IF(INDEX(입력_파견수련계획!$H$4:$H$803,$AF14)="","",INDEX(입력_파견수련계획!$H$4:$H$803,$AF14)))</f>
        <v/>
      </c>
      <c r="T14" s="11">
        <f>IF($AF14="","",IF(INDEX(입력_파견수련계획!$I$4:$I$803,$AF14)="","",INDEX(입력_파견수련계획!$I$4:$I$803,$AF14)))</f>
        <v/>
      </c>
      <c r="U14" s="10">
        <f>IF($AF14="","",INDEX(입력_파견수련계획!$X$4:$X$803,$AF14))</f>
        <v/>
      </c>
      <c r="V14" s="17">
        <f>IF($AF14="","",INDEX(입력_파견수련계획!$V$4:$V$803,$AF14))</f>
        <v/>
      </c>
      <c r="W14" s="17">
        <f>IF(AND($U14="파견중",$T14&lt;&gt;""),$T14-TODAY(),"")</f>
        <v/>
      </c>
      <c r="X14" s="17">
        <f>IF(OR($B14="",TRIM($J14&amp;"")=""),"",SUMPRODUCT((입력_파견수련계획!$Q$4:$Q$803=TRIM($J14&amp;""))*입력_파견수련계획!$W$4:$W$803))</f>
        <v/>
      </c>
      <c r="Y14" s="10">
        <f>IF($B14="","",IF($AG14="","",IF(IF(TRIM($J14&amp;"")="",0,SUMPRODUCT((입력_파견수련계획!$Q$4:$Q$803=TRIM($J14&amp;""))*입력_파견수련계획!$AD$4:$AD$803))&gt;0,$AE14,IF(AND(N($X14)&lt;=0,$AQ14=""),$AG14,IF($AH14+$AI14=DAY(EOMONTH(출력_요약!$B$3,0)),IF(AND($AH14&gt;=출력_요약!$E$3,$AI14&lt;출력_요약!$E$3),"서울병원",IF(AND($AI14&gt;=출력_요약!$E$3,$AH14&lt;출력_요약!$E$3),"구리병원","⚠15일 판정불가(서울 "&amp;$AH14&amp;"일/구리 "&amp;$AI14&amp;"일)")),IF($AJ14="",$AE14,IF(INDEX(입력_파견수련계획!$T$4:$T$803,$AJ14)="통합수련",INDEX(입력_파견수련계획!$S$4:$S$803,$AJ14),$AE14)))))))</f>
        <v/>
      </c>
      <c r="Z14" s="20">
        <f>IF($B14="","",IF($AB14="","기본자료에 없는 사번",IF(COUNTIF($B$2:$B$401,$B14)&gt;1,"중복 사번",IF($AE14="","소속(입사장소) 입력",IF(IF(TRIM($J14&amp;"")="",0,SUMPRODUCT((입력_파견수련계획!$Q$4:$Q$803=TRIM($J14&amp;""))*(입력_파견수련계획!$AA$4:$AA$803&lt;&gt;"")))&gt;0,"파견수련계획 입력오류 확인",IF(LEFT($Y14,1)="⚠","서울·구리 15일 판정 불가(양쪽 모두 이상/미만)",IF(IF($AC14="",0,N(INDEX(입력_인턴근무계획!$T$3:$T$402,$AC14)))&gt;0,"인턴계획 입력오류 확인",IF(AND($AQ14&lt;&gt;"",$AG14&lt;&gt;"구리병원",IF(TRIM($J14&amp;"")="",0,SUMPRODUCT((입력_파견수련계획!$Q$4:$Q$803=TRIM($J14&amp;""))*(입력_파견수련계획!$S$4:$S$803="구리병원")*입력_파견수련계획!$W$4:$W$803))=0),"구리 근무자명단에만 있음(파견수련계획 확인)",IF(AND($AC14&lt;&gt;"",$U14&lt;&gt;"파견중",$N14&lt;&gt;$AE14),"인턴 타지역 근무: 파견 여부 확인","정상")))))))))</f>
        <v/>
      </c>
      <c r="AA14" s="5" t="n"/>
      <c r="AB14" s="10">
        <f>IF($B14="","",IFERROR(MATCH($B14,입력_기본자료!$B$2:$B$1001,0),IFERROR(MATCH($B14&amp;"",입력_기본자료!$B$2:$B$1001,0),IFERROR(MATCH(VALUE($B14),입력_기본자료!$B$2:$B$1001,0),""))))</f>
        <v/>
      </c>
      <c r="AC14" s="10">
        <f>IF($B14="","",IFERROR(MATCH($B14,입력_인턴근무계획!$D$3:$D$402,0),IFERROR(MATCH($B14&amp;"",입력_인턴근무계획!$D$3:$D$402,0),IFERROR(MATCH(VALUE($B14),입력_인턴근무계획!$D$3:$D$402,0),""))))</f>
        <v/>
      </c>
      <c r="AD14" s="10">
        <f>IF(OR($AC14="",출력_인턴현황!$G$3=""),"",INDEX(입력_인턴근무계획!$M$3:$R$402,$AC14,출력_인턴현황!$G$3)&amp;"")</f>
        <v/>
      </c>
      <c r="AE14" s="10">
        <f>IF($B14="","",IF($M14&lt;&gt;"",$M14,IF(IF($AQ14="",FALSE,INDEX(출력_구리근무자!$J$6:$J$305,$AQ14)="구리독자"),"구리병원",IF($AF14&lt;&gt;"",IF(LEFT(INDEX(입력_파견수련계획!$R$4:$R$803,$AF14),1)&lt;&gt;"⚠",INDEX(입력_파견수련계획!$R$4:$R$803,$AF14),IF($H14="","",IF(RIGHT($H14,2)="병원",$H14,$H14&amp;"병원"))),IF($H14="","",IF(RIGHT($H14,2)="병원",$H14,$H14&amp;"병원"))))))</f>
        <v/>
      </c>
      <c r="AF14" s="10">
        <f>IF(OR($B14="",TRIM($J14&amp;"")=""),"",IFERROR(MATCH(TRIM($J14&amp;"")&amp;"|파견중",입력_파견수련계획!$Y$4:$Y$803,0),IFERROR(MATCH(TRIM($J14&amp;"")&amp;"|파견예정",입력_파견수련계획!$Y$4:$Y$803,0),IFERROR(MATCH(TRIM($J14&amp;"")&amp;"|파견종료",입력_파견수련계획!$Y$4:$Y$803,0),""))))</f>
        <v/>
      </c>
      <c r="AG14" s="10">
        <f>IF($B14="","",IF(AND(IF(OR($AC14="",출력_인턴현황!$K$2=""),"",INDEX(입력_인턴근무계획!$M$3:$R$402,$AC14,출력_인턴현황!$K$2)&amp;"")&lt;&gt;"",LEFT(IF(OR($AC14="",출력_인턴현황!$K$2=""),"",INDEX(입력_인턴근무계획!$M$3:$R$402,$AC14,출력_인턴현황!$K$2)&amp;""),1)&lt;&gt;"⚠"),LEFT(IF(OR($AC14="",출력_인턴현황!$K$2=""),"",INDEX(입력_인턴근무계획!$M$3:$R$402,$AC14,출력_인턴현황!$K$2)&amp;""),FIND(" ",IF(OR($AC14="",출력_인턴현황!$K$2=""),"",INDEX(입력_인턴근무계획!$M$3:$R$402,$AC14,출력_인턴현황!$K$2)&amp;""))-1),$AE14))</f>
        <v/>
      </c>
      <c r="AH14" s="17">
        <f>IF($B14="","",IF($AQ14&lt;&gt;"",MAX(0,DAY(EOMONTH(출력_요약!$B$3,0))-N($AR14)),IF(TRIM($J14&amp;"")="",0,SUMPRODUCT((입력_파견수련계획!$Q$4:$Q$803=TRIM($J14&amp;""))*(입력_파견수련계획!$S$4:$S$803="서울병원")*입력_파견수련계획!$W$4:$W$803))+IF($AG14="서울병원",MAX(0,DAY(EOMONTH(출력_요약!$B$3,0))-N($X14)),0)))</f>
        <v/>
      </c>
      <c r="AI14" s="17">
        <f>IF($B14="","",IF($AQ14&lt;&gt;"",N($AR14),IF(TRIM($J14&amp;"")="",0,SUMPRODUCT((입력_파견수련계획!$Q$4:$Q$803=TRIM($J14&amp;""))*(입력_파견수련계획!$S$4:$S$803="구리병원")*입력_파견수련계획!$W$4:$W$803))+IF($AG14="구리병원",MAX(0,DAY(EOMONTH(출력_요약!$B$3,0))-N($X14)),0)))</f>
        <v/>
      </c>
      <c r="AJ14" s="10">
        <f>IF(OR($B14="",TRIM($J14&amp;"")=""),"",IFERROR(MATCH(TRIM($J14&amp;"")&amp;"|월",입력_파견수련계획!$Z$4:$Z$803,0),""))</f>
        <v/>
      </c>
      <c r="AK14" s="10">
        <f>IF(OR($B14="",TRIM($J14&amp;"")=""),"",IFERROR(MATCH(TRIM($J14&amp;"")&amp;"|다기관",입력_파견수련계획!$AE$4:$AE$803,0),""))</f>
        <v/>
      </c>
      <c r="AL14" s="10">
        <f>IF($AK14="","","다기관 "&amp;TEXT(INDEX(입력_파견수련계획!$AB$4:$AB$803,$AK14),"yyyy-mm-dd")&amp;"~"&amp;IF(ISNUMBER(INDEX(입력_파견수련계획!$AC$4:$AC$803,$AK14)),TEXT(INDEX(입력_파견수련계획!$AC$4:$AC$803,$AK14),"yyyy-mm-dd"),""))</f>
        <v/>
      </c>
      <c r="AM14" s="10">
        <f>IF($Y14="서울병원",COUNTIF($Y$2:$Y14,"서울병원"),"")</f>
        <v/>
      </c>
      <c r="AN14" s="10">
        <f>IF(LEFT($Y14,1)="⚠",COUNTIF($Y$2:$Y14,"⚠*"),"")</f>
        <v/>
      </c>
      <c r="AO14" s="10">
        <f>IF(OR($B14="",$Y14=""),"",IF(IF(TRIM($J14&amp;"")="",0,SUMPRODUCT((입력_파견수련계획!$Q$4:$Q$803=TRIM($J14&amp;""))*입력_파견수련계획!$AD$4:$AD$803))&gt;0,"다기관 기간 → 소속병원 지급",IF(AND(N($X14)&lt;=0,$AQ14=""),"파견 없음 → 그 달 근무병원 지급",IF($AH14+$AI14=DAY(EOMONTH(출력_요약!$B$3,0)),"서울 "&amp;$AH14&amp;"일 / 구리 "&amp;$AI14&amp;"일"&amp;IF($AQ14&lt;&gt;""," (구리 근무자명단 반영)","")&amp;" → 15일 이상 근무 병원 지급","타 병원 포함 → "&amp;IF($AJ14="","소속",INDEX(입력_파견수련계획!$T$4:$T$803,$AJ14))&amp;" 규칙"))))</f>
        <v/>
      </c>
      <c r="AP14" s="10">
        <f>IF($B14="","",$C14&amp;"|"&amp;$F14)</f>
        <v/>
      </c>
      <c r="AQ14" s="10">
        <f>IF($B14="","",IFERROR(MATCH(ROW()-1,출력_구리근무자!$K$6:$K$305,0),""))</f>
        <v/>
      </c>
      <c r="AR14" s="10">
        <f>IF($AQ14="","",INDEX(출력_구리근무자!$H$6:$H$305,$AQ14))</f>
        <v/>
      </c>
    </row>
    <row r="15">
      <c r="A15" s="10">
        <f>IF(B15="","",ROW()-1)</f>
        <v/>
      </c>
      <c r="B15" s="19" t="n"/>
      <c r="C15" s="10">
        <f>IF($AB15="","",IF(INDEX(입력_기본자료!$C$2:$C$1001,$AB15)="","",INDEX(입력_기본자료!$C$2:$C$1001,$AB15)))</f>
        <v/>
      </c>
      <c r="D15" s="10">
        <f>IF($AB15="","",IF(INDEX(입력_기본자료!$J$2:$J$1001,$AB15)="","",INDEX(입력_기본자료!$J$2:$J$1001,$AB15)))</f>
        <v/>
      </c>
      <c r="E15" s="11">
        <f>IF($AB15="","",IF(INDEX(입력_기본자료!$K$2:$K$1001,$AB15)="","",IF(NOT(ISNUMBER(INDEX(입력_기본자료!$K$2:$K$1001,$AB15))),INDEX(입력_기본자료!$K$2:$K$1001,$AB15),IF(INDEX(입력_기본자료!$K$2:$K$1001,$AB15)&lt;1000000,INDEX(입력_기본자료!$K$2:$K$1001,$AB15),IF(AND(INDEX(입력_기본자료!$K$2:$K$1001,$AB15)&gt;=10000101,INT(MOD(INDEX(입력_기본자료!$K$2:$K$1001,$AB15),10000)/100)&gt;=1,INT(MOD(INDEX(입력_기본자료!$K$2:$K$1001,$AB15),10000)/100)&lt;=12,MOD(INDEX(입력_기본자료!$K$2:$K$1001,$AB15),100)&gt;=1,MOD(INDEX(입력_기본자료!$K$2:$K$1001,$AB15),100)&lt;=31),DATE(INT(INDEX(입력_기본자료!$K$2:$K$1001,$AB15)/10000),INT(MOD(INDEX(입력_기본자료!$K$2:$K$1001,$AB15),10000)/100),MOD(INDEX(입력_기본자료!$K$2:$K$1001,$AB15),100)),INDEX(입력_기본자료!$K$2:$K$1001,$AB15)&amp;"")))))</f>
        <v/>
      </c>
      <c r="F15" s="10">
        <f>IF($AB15="","",IF(INDEX(입력_기본자료!$D$2:$D$1001,$AB15)="","",INDEX(입력_기본자료!$D$2:$D$1001,$AB15)))</f>
        <v/>
      </c>
      <c r="G15" s="10">
        <f>IF($AB15="","",IF(INDEX(입력_기본자료!$E$2:$E$1001,$AB15)="","",INDEX(입력_기본자료!$E$2:$E$1001,$AB15)))</f>
        <v/>
      </c>
      <c r="H15" s="10">
        <f>IF($AB15="","",IF(INDEX(입력_기본자료!$F$2:$F$1001,$AB15)="","",INDEX(입력_기본자료!$F$2:$F$1001,$AB15)))</f>
        <v/>
      </c>
      <c r="I15" s="11">
        <f>IF($AB15="","",IF(INDEX(입력_기본자료!$G$2:$G$1001,$AB15)="","",IF(NOT(ISNUMBER(INDEX(입력_기본자료!$G$2:$G$1001,$AB15))),INDEX(입력_기본자료!$G$2:$G$1001,$AB15),IF(INDEX(입력_기본자료!$G$2:$G$1001,$AB15)&lt;1000000,INDEX(입력_기본자료!$G$2:$G$1001,$AB15),IF(AND(INDEX(입력_기본자료!$G$2:$G$1001,$AB15)&gt;=10000101,INT(MOD(INDEX(입력_기본자료!$G$2:$G$1001,$AB15),10000)/100)&gt;=1,INT(MOD(INDEX(입력_기본자료!$G$2:$G$1001,$AB15),10000)/100)&lt;=12,MOD(INDEX(입력_기본자료!$G$2:$G$1001,$AB15),100)&gt;=1,MOD(INDEX(입력_기본자료!$G$2:$G$1001,$AB15),100)&lt;=31),DATE(INT(INDEX(입력_기본자료!$G$2:$G$1001,$AB15)/10000),INT(MOD(INDEX(입력_기본자료!$G$2:$G$1001,$AB15),10000)/100),MOD(INDEX(입력_기본자료!$G$2:$G$1001,$AB15),100)),INDEX(입력_기본자료!$G$2:$G$1001,$AB15)&amp;"")))))</f>
        <v/>
      </c>
      <c r="J15" s="10">
        <f>IF($AB15="","",IF(INDEX(입력_기본자료!$H$2:$H$1001,$AB15)="","",INDEX(입력_기본자료!$H$2:$H$1001,$AB15)))</f>
        <v/>
      </c>
      <c r="K15" s="10">
        <f>IF($AB15="","",IF(INDEX(입력_기본자료!$I$2:$I$1001,$AB15)="","",INDEX(입력_기본자료!$I$2:$I$1001,$AB15)))</f>
        <v/>
      </c>
      <c r="L15" s="10">
        <f>IF($AB15="","",IF(INDEX(입력_기본자료!$A$2:$A$1001,$AB15)="","",INDEX(입력_기본자료!$A$2:$A$1001,$AB15)))</f>
        <v/>
      </c>
      <c r="M15" s="15" t="n"/>
      <c r="N15" s="10">
        <f>IF($B15="","",IF(AND($U15="파견중",$Q15&lt;&gt;""),$Q15,IF(AND($AD15&lt;&gt;"",LEFT($AD15,1)&lt;&gt;"⚠"),LEFT($AD15,FIND(" ",$AD15)-1),IF($H15="","",IF(RIGHT($H15,2)="병원",$H15,$H15&amp;"병원")))))</f>
        <v/>
      </c>
      <c r="O15" s="10">
        <f>IF($B15="","",IF(AND($U15="파견중",$Q15&lt;&gt;""),IF($R15&lt;&gt;"",$R15,"파견과 미입력"),IF(AND($AD15&lt;&gt;"",LEFT($AD15,1)&lt;&gt;"⚠"),MID($AD15,FIND(" ",$AD15)+1,60),IF($F15="","",IF($F15="인턴","수련교육부(인턴)",$F15)))))</f>
        <v/>
      </c>
      <c r="P15" s="10">
        <f>IF($B15="","",IF($AK15&lt;&gt;"",IF(AND(TODAY()&gt;=INDEX(입력_파견수련계획!$AB$4:$AB$803,$AK15),OR(NOT(ISNUMBER(INDEX(입력_파견수련계획!$AC$4:$AC$803,$AK15))),TODAY()&lt;=INDEX(입력_파견수련계획!$AC$4:$AC$803,$AK15))),"다기관",IF($AF15="","",INDEX(입력_파견수련계획!$T$4:$T$803,$AF15))),IF($AF15="","",INDEX(입력_파견수련계획!$T$4:$T$803,$AF15))))</f>
        <v/>
      </c>
      <c r="Q15" s="10">
        <f>IF($AF15="","",INDEX(입력_파견수련계획!$S$4:$S$803,$AF15))</f>
        <v/>
      </c>
      <c r="R15" s="10">
        <f>IF($AF15="","",INDEX(입력_파견수련계획!$U$4:$U$803,$AF15))</f>
        <v/>
      </c>
      <c r="S15" s="11">
        <f>IF($AF15="","",IF(INDEX(입력_파견수련계획!$H$4:$H$803,$AF15)="","",INDEX(입력_파견수련계획!$H$4:$H$803,$AF15)))</f>
        <v/>
      </c>
      <c r="T15" s="11">
        <f>IF($AF15="","",IF(INDEX(입력_파견수련계획!$I$4:$I$803,$AF15)="","",INDEX(입력_파견수련계획!$I$4:$I$803,$AF15)))</f>
        <v/>
      </c>
      <c r="U15" s="10">
        <f>IF($AF15="","",INDEX(입력_파견수련계획!$X$4:$X$803,$AF15))</f>
        <v/>
      </c>
      <c r="V15" s="17">
        <f>IF($AF15="","",INDEX(입력_파견수련계획!$V$4:$V$803,$AF15))</f>
        <v/>
      </c>
      <c r="W15" s="17">
        <f>IF(AND($U15="파견중",$T15&lt;&gt;""),$T15-TODAY(),"")</f>
        <v/>
      </c>
      <c r="X15" s="17">
        <f>IF(OR($B15="",TRIM($J15&amp;"")=""),"",SUMPRODUCT((입력_파견수련계획!$Q$4:$Q$803=TRIM($J15&amp;""))*입력_파견수련계획!$W$4:$W$803))</f>
        <v/>
      </c>
      <c r="Y15" s="10">
        <f>IF($B15="","",IF($AG15="","",IF(IF(TRIM($J15&amp;"")="",0,SUMPRODUCT((입력_파견수련계획!$Q$4:$Q$803=TRIM($J15&amp;""))*입력_파견수련계획!$AD$4:$AD$803))&gt;0,$AE15,IF(AND(N($X15)&lt;=0,$AQ15=""),$AG15,IF($AH15+$AI15=DAY(EOMONTH(출력_요약!$B$3,0)),IF(AND($AH15&gt;=출력_요약!$E$3,$AI15&lt;출력_요약!$E$3),"서울병원",IF(AND($AI15&gt;=출력_요약!$E$3,$AH15&lt;출력_요약!$E$3),"구리병원","⚠15일 판정불가(서울 "&amp;$AH15&amp;"일/구리 "&amp;$AI15&amp;"일)")),IF($AJ15="",$AE15,IF(INDEX(입력_파견수련계획!$T$4:$T$803,$AJ15)="통합수련",INDEX(입력_파견수련계획!$S$4:$S$803,$AJ15),$AE15)))))))</f>
        <v/>
      </c>
      <c r="Z15" s="20">
        <f>IF($B15="","",IF($AB15="","기본자료에 없는 사번",IF(COUNTIF($B$2:$B$401,$B15)&gt;1,"중복 사번",IF($AE15="","소속(입사장소) 입력",IF(IF(TRIM($J15&amp;"")="",0,SUMPRODUCT((입력_파견수련계획!$Q$4:$Q$803=TRIM($J15&amp;""))*(입력_파견수련계획!$AA$4:$AA$803&lt;&gt;"")))&gt;0,"파견수련계획 입력오류 확인",IF(LEFT($Y15,1)="⚠","서울·구리 15일 판정 불가(양쪽 모두 이상/미만)",IF(IF($AC15="",0,N(INDEX(입력_인턴근무계획!$T$3:$T$402,$AC15)))&gt;0,"인턴계획 입력오류 확인",IF(AND($AQ15&lt;&gt;"",$AG15&lt;&gt;"구리병원",IF(TRIM($J15&amp;"")="",0,SUMPRODUCT((입력_파견수련계획!$Q$4:$Q$803=TRIM($J15&amp;""))*(입력_파견수련계획!$S$4:$S$803="구리병원")*입력_파견수련계획!$W$4:$W$803))=0),"구리 근무자명단에만 있음(파견수련계획 확인)",IF(AND($AC15&lt;&gt;"",$U15&lt;&gt;"파견중",$N15&lt;&gt;$AE15),"인턴 타지역 근무: 파견 여부 확인","정상")))))))))</f>
        <v/>
      </c>
      <c r="AA15" s="5" t="n"/>
      <c r="AB15" s="10">
        <f>IF($B15="","",IFERROR(MATCH($B15,입력_기본자료!$B$2:$B$1001,0),IFERROR(MATCH($B15&amp;"",입력_기본자료!$B$2:$B$1001,0),IFERROR(MATCH(VALUE($B15),입력_기본자료!$B$2:$B$1001,0),""))))</f>
        <v/>
      </c>
      <c r="AC15" s="10">
        <f>IF($B15="","",IFERROR(MATCH($B15,입력_인턴근무계획!$D$3:$D$402,0),IFERROR(MATCH($B15&amp;"",입력_인턴근무계획!$D$3:$D$402,0),IFERROR(MATCH(VALUE($B15),입력_인턴근무계획!$D$3:$D$402,0),""))))</f>
        <v/>
      </c>
      <c r="AD15" s="10">
        <f>IF(OR($AC15="",출력_인턴현황!$G$3=""),"",INDEX(입력_인턴근무계획!$M$3:$R$402,$AC15,출력_인턴현황!$G$3)&amp;"")</f>
        <v/>
      </c>
      <c r="AE15" s="10">
        <f>IF($B15="","",IF($M15&lt;&gt;"",$M15,IF(IF($AQ15="",FALSE,INDEX(출력_구리근무자!$J$6:$J$305,$AQ15)="구리독자"),"구리병원",IF($AF15&lt;&gt;"",IF(LEFT(INDEX(입력_파견수련계획!$R$4:$R$803,$AF15),1)&lt;&gt;"⚠",INDEX(입력_파견수련계획!$R$4:$R$803,$AF15),IF($H15="","",IF(RIGHT($H15,2)="병원",$H15,$H15&amp;"병원"))),IF($H15="","",IF(RIGHT($H15,2)="병원",$H15,$H15&amp;"병원"))))))</f>
        <v/>
      </c>
      <c r="AF15" s="10">
        <f>IF(OR($B15="",TRIM($J15&amp;"")=""),"",IFERROR(MATCH(TRIM($J15&amp;"")&amp;"|파견중",입력_파견수련계획!$Y$4:$Y$803,0),IFERROR(MATCH(TRIM($J15&amp;"")&amp;"|파견예정",입력_파견수련계획!$Y$4:$Y$803,0),IFERROR(MATCH(TRIM($J15&amp;"")&amp;"|파견종료",입력_파견수련계획!$Y$4:$Y$803,0),""))))</f>
        <v/>
      </c>
      <c r="AG15" s="10">
        <f>IF($B15="","",IF(AND(IF(OR($AC15="",출력_인턴현황!$K$2=""),"",INDEX(입력_인턴근무계획!$M$3:$R$402,$AC15,출력_인턴현황!$K$2)&amp;"")&lt;&gt;"",LEFT(IF(OR($AC15="",출력_인턴현황!$K$2=""),"",INDEX(입력_인턴근무계획!$M$3:$R$402,$AC15,출력_인턴현황!$K$2)&amp;""),1)&lt;&gt;"⚠"),LEFT(IF(OR($AC15="",출력_인턴현황!$K$2=""),"",INDEX(입력_인턴근무계획!$M$3:$R$402,$AC15,출력_인턴현황!$K$2)&amp;""),FIND(" ",IF(OR($AC15="",출력_인턴현황!$K$2=""),"",INDEX(입력_인턴근무계획!$M$3:$R$402,$AC15,출력_인턴현황!$K$2)&amp;""))-1),$AE15))</f>
        <v/>
      </c>
      <c r="AH15" s="17">
        <f>IF($B15="","",IF($AQ15&lt;&gt;"",MAX(0,DAY(EOMONTH(출력_요약!$B$3,0))-N($AR15)),IF(TRIM($J15&amp;"")="",0,SUMPRODUCT((입력_파견수련계획!$Q$4:$Q$803=TRIM($J15&amp;""))*(입력_파견수련계획!$S$4:$S$803="서울병원")*입력_파견수련계획!$W$4:$W$803))+IF($AG15="서울병원",MAX(0,DAY(EOMONTH(출력_요약!$B$3,0))-N($X15)),0)))</f>
        <v/>
      </c>
      <c r="AI15" s="17">
        <f>IF($B15="","",IF($AQ15&lt;&gt;"",N($AR15),IF(TRIM($J15&amp;"")="",0,SUMPRODUCT((입력_파견수련계획!$Q$4:$Q$803=TRIM($J15&amp;""))*(입력_파견수련계획!$S$4:$S$803="구리병원")*입력_파견수련계획!$W$4:$W$803))+IF($AG15="구리병원",MAX(0,DAY(EOMONTH(출력_요약!$B$3,0))-N($X15)),0)))</f>
        <v/>
      </c>
      <c r="AJ15" s="10">
        <f>IF(OR($B15="",TRIM($J15&amp;"")=""),"",IFERROR(MATCH(TRIM($J15&amp;"")&amp;"|월",입력_파견수련계획!$Z$4:$Z$803,0),""))</f>
        <v/>
      </c>
      <c r="AK15" s="10">
        <f>IF(OR($B15="",TRIM($J15&amp;"")=""),"",IFERROR(MATCH(TRIM($J15&amp;"")&amp;"|다기관",입력_파견수련계획!$AE$4:$AE$803,0),""))</f>
        <v/>
      </c>
      <c r="AL15" s="10">
        <f>IF($AK15="","","다기관 "&amp;TEXT(INDEX(입력_파견수련계획!$AB$4:$AB$803,$AK15),"yyyy-mm-dd")&amp;"~"&amp;IF(ISNUMBER(INDEX(입력_파견수련계획!$AC$4:$AC$803,$AK15)),TEXT(INDEX(입력_파견수련계획!$AC$4:$AC$803,$AK15),"yyyy-mm-dd"),""))</f>
        <v/>
      </c>
      <c r="AM15" s="10">
        <f>IF($Y15="서울병원",COUNTIF($Y$2:$Y15,"서울병원"),"")</f>
        <v/>
      </c>
      <c r="AN15" s="10">
        <f>IF(LEFT($Y15,1)="⚠",COUNTIF($Y$2:$Y15,"⚠*"),"")</f>
        <v/>
      </c>
      <c r="AO15" s="10">
        <f>IF(OR($B15="",$Y15=""),"",IF(IF(TRIM($J15&amp;"")="",0,SUMPRODUCT((입력_파견수련계획!$Q$4:$Q$803=TRIM($J15&amp;""))*입력_파견수련계획!$AD$4:$AD$803))&gt;0,"다기관 기간 → 소속병원 지급",IF(AND(N($X15)&lt;=0,$AQ15=""),"파견 없음 → 그 달 근무병원 지급",IF($AH15+$AI15=DAY(EOMONTH(출력_요약!$B$3,0)),"서울 "&amp;$AH15&amp;"일 / 구리 "&amp;$AI15&amp;"일"&amp;IF($AQ15&lt;&gt;""," (구리 근무자명단 반영)","")&amp;" → 15일 이상 근무 병원 지급","타 병원 포함 → "&amp;IF($AJ15="","소속",INDEX(입력_파견수련계획!$T$4:$T$803,$AJ15))&amp;" 규칙"))))</f>
        <v/>
      </c>
      <c r="AP15" s="10">
        <f>IF($B15="","",$C15&amp;"|"&amp;$F15)</f>
        <v/>
      </c>
      <c r="AQ15" s="10">
        <f>IF($B15="","",IFERROR(MATCH(ROW()-1,출력_구리근무자!$K$6:$K$305,0),""))</f>
        <v/>
      </c>
      <c r="AR15" s="10">
        <f>IF($AQ15="","",INDEX(출력_구리근무자!$H$6:$H$305,$AQ15))</f>
        <v/>
      </c>
    </row>
    <row r="16">
      <c r="A16" s="10">
        <f>IF(B16="","",ROW()-1)</f>
        <v/>
      </c>
      <c r="B16" s="19" t="n"/>
      <c r="C16" s="10">
        <f>IF($AB16="","",IF(INDEX(입력_기본자료!$C$2:$C$1001,$AB16)="","",INDEX(입력_기본자료!$C$2:$C$1001,$AB16)))</f>
        <v/>
      </c>
      <c r="D16" s="10">
        <f>IF($AB16="","",IF(INDEX(입력_기본자료!$J$2:$J$1001,$AB16)="","",INDEX(입력_기본자료!$J$2:$J$1001,$AB16)))</f>
        <v/>
      </c>
      <c r="E16" s="11">
        <f>IF($AB16="","",IF(INDEX(입력_기본자료!$K$2:$K$1001,$AB16)="","",IF(NOT(ISNUMBER(INDEX(입력_기본자료!$K$2:$K$1001,$AB16))),INDEX(입력_기본자료!$K$2:$K$1001,$AB16),IF(INDEX(입력_기본자료!$K$2:$K$1001,$AB16)&lt;1000000,INDEX(입력_기본자료!$K$2:$K$1001,$AB16),IF(AND(INDEX(입력_기본자료!$K$2:$K$1001,$AB16)&gt;=10000101,INT(MOD(INDEX(입력_기본자료!$K$2:$K$1001,$AB16),10000)/100)&gt;=1,INT(MOD(INDEX(입력_기본자료!$K$2:$K$1001,$AB16),10000)/100)&lt;=12,MOD(INDEX(입력_기본자료!$K$2:$K$1001,$AB16),100)&gt;=1,MOD(INDEX(입력_기본자료!$K$2:$K$1001,$AB16),100)&lt;=31),DATE(INT(INDEX(입력_기본자료!$K$2:$K$1001,$AB16)/10000),INT(MOD(INDEX(입력_기본자료!$K$2:$K$1001,$AB16),10000)/100),MOD(INDEX(입력_기본자료!$K$2:$K$1001,$AB16),100)),INDEX(입력_기본자료!$K$2:$K$1001,$AB16)&amp;"")))))</f>
        <v/>
      </c>
      <c r="F16" s="10">
        <f>IF($AB16="","",IF(INDEX(입력_기본자료!$D$2:$D$1001,$AB16)="","",INDEX(입력_기본자료!$D$2:$D$1001,$AB16)))</f>
        <v/>
      </c>
      <c r="G16" s="10">
        <f>IF($AB16="","",IF(INDEX(입력_기본자료!$E$2:$E$1001,$AB16)="","",INDEX(입력_기본자료!$E$2:$E$1001,$AB16)))</f>
        <v/>
      </c>
      <c r="H16" s="10">
        <f>IF($AB16="","",IF(INDEX(입력_기본자료!$F$2:$F$1001,$AB16)="","",INDEX(입력_기본자료!$F$2:$F$1001,$AB16)))</f>
        <v/>
      </c>
      <c r="I16" s="11">
        <f>IF($AB16="","",IF(INDEX(입력_기본자료!$G$2:$G$1001,$AB16)="","",IF(NOT(ISNUMBER(INDEX(입력_기본자료!$G$2:$G$1001,$AB16))),INDEX(입력_기본자료!$G$2:$G$1001,$AB16),IF(INDEX(입력_기본자료!$G$2:$G$1001,$AB16)&lt;1000000,INDEX(입력_기본자료!$G$2:$G$1001,$AB16),IF(AND(INDEX(입력_기본자료!$G$2:$G$1001,$AB16)&gt;=10000101,INT(MOD(INDEX(입력_기본자료!$G$2:$G$1001,$AB16),10000)/100)&gt;=1,INT(MOD(INDEX(입력_기본자료!$G$2:$G$1001,$AB16),10000)/100)&lt;=12,MOD(INDEX(입력_기본자료!$G$2:$G$1001,$AB16),100)&gt;=1,MOD(INDEX(입력_기본자료!$G$2:$G$1001,$AB16),100)&lt;=31),DATE(INT(INDEX(입력_기본자료!$G$2:$G$1001,$AB16)/10000),INT(MOD(INDEX(입력_기본자료!$G$2:$G$1001,$AB16),10000)/100),MOD(INDEX(입력_기본자료!$G$2:$G$1001,$AB16),100)),INDEX(입력_기본자료!$G$2:$G$1001,$AB16)&amp;"")))))</f>
        <v/>
      </c>
      <c r="J16" s="10">
        <f>IF($AB16="","",IF(INDEX(입력_기본자료!$H$2:$H$1001,$AB16)="","",INDEX(입력_기본자료!$H$2:$H$1001,$AB16)))</f>
        <v/>
      </c>
      <c r="K16" s="10">
        <f>IF($AB16="","",IF(INDEX(입력_기본자료!$I$2:$I$1001,$AB16)="","",INDEX(입력_기본자료!$I$2:$I$1001,$AB16)))</f>
        <v/>
      </c>
      <c r="L16" s="10">
        <f>IF($AB16="","",IF(INDEX(입력_기본자료!$A$2:$A$1001,$AB16)="","",INDEX(입력_기본자료!$A$2:$A$1001,$AB16)))</f>
        <v/>
      </c>
      <c r="M16" s="15" t="n"/>
      <c r="N16" s="10">
        <f>IF($B16="","",IF(AND($U16="파견중",$Q16&lt;&gt;""),$Q16,IF(AND($AD16&lt;&gt;"",LEFT($AD16,1)&lt;&gt;"⚠"),LEFT($AD16,FIND(" ",$AD16)-1),IF($H16="","",IF(RIGHT($H16,2)="병원",$H16,$H16&amp;"병원")))))</f>
        <v/>
      </c>
      <c r="O16" s="10">
        <f>IF($B16="","",IF(AND($U16="파견중",$Q16&lt;&gt;""),IF($R16&lt;&gt;"",$R16,"파견과 미입력"),IF(AND($AD16&lt;&gt;"",LEFT($AD16,1)&lt;&gt;"⚠"),MID($AD16,FIND(" ",$AD16)+1,60),IF($F16="","",IF($F16="인턴","수련교육부(인턴)",$F16)))))</f>
        <v/>
      </c>
      <c r="P16" s="10">
        <f>IF($B16="","",IF($AK16&lt;&gt;"",IF(AND(TODAY()&gt;=INDEX(입력_파견수련계획!$AB$4:$AB$803,$AK16),OR(NOT(ISNUMBER(INDEX(입력_파견수련계획!$AC$4:$AC$803,$AK16))),TODAY()&lt;=INDEX(입력_파견수련계획!$AC$4:$AC$803,$AK16))),"다기관",IF($AF16="","",INDEX(입력_파견수련계획!$T$4:$T$803,$AF16))),IF($AF16="","",INDEX(입력_파견수련계획!$T$4:$T$803,$AF16))))</f>
        <v/>
      </c>
      <c r="Q16" s="10">
        <f>IF($AF16="","",INDEX(입력_파견수련계획!$S$4:$S$803,$AF16))</f>
        <v/>
      </c>
      <c r="R16" s="10">
        <f>IF($AF16="","",INDEX(입력_파견수련계획!$U$4:$U$803,$AF16))</f>
        <v/>
      </c>
      <c r="S16" s="11">
        <f>IF($AF16="","",IF(INDEX(입력_파견수련계획!$H$4:$H$803,$AF16)="","",INDEX(입력_파견수련계획!$H$4:$H$803,$AF16)))</f>
        <v/>
      </c>
      <c r="T16" s="11">
        <f>IF($AF16="","",IF(INDEX(입력_파견수련계획!$I$4:$I$803,$AF16)="","",INDEX(입력_파견수련계획!$I$4:$I$803,$AF16)))</f>
        <v/>
      </c>
      <c r="U16" s="10">
        <f>IF($AF16="","",INDEX(입력_파견수련계획!$X$4:$X$803,$AF16))</f>
        <v/>
      </c>
      <c r="V16" s="17">
        <f>IF($AF16="","",INDEX(입력_파견수련계획!$V$4:$V$803,$AF16))</f>
        <v/>
      </c>
      <c r="W16" s="17">
        <f>IF(AND($U16="파견중",$T16&lt;&gt;""),$T16-TODAY(),"")</f>
        <v/>
      </c>
      <c r="X16" s="17">
        <f>IF(OR($B16="",TRIM($J16&amp;"")=""),"",SUMPRODUCT((입력_파견수련계획!$Q$4:$Q$803=TRIM($J16&amp;""))*입력_파견수련계획!$W$4:$W$803))</f>
        <v/>
      </c>
      <c r="Y16" s="10">
        <f>IF($B16="","",IF($AG16="","",IF(IF(TRIM($J16&amp;"")="",0,SUMPRODUCT((입력_파견수련계획!$Q$4:$Q$803=TRIM($J16&amp;""))*입력_파견수련계획!$AD$4:$AD$803))&gt;0,$AE16,IF(AND(N($X16)&lt;=0,$AQ16=""),$AG16,IF($AH16+$AI16=DAY(EOMONTH(출력_요약!$B$3,0)),IF(AND($AH16&gt;=출력_요약!$E$3,$AI16&lt;출력_요약!$E$3),"서울병원",IF(AND($AI16&gt;=출력_요약!$E$3,$AH16&lt;출력_요약!$E$3),"구리병원","⚠15일 판정불가(서울 "&amp;$AH16&amp;"일/구리 "&amp;$AI16&amp;"일)")),IF($AJ16="",$AE16,IF(INDEX(입력_파견수련계획!$T$4:$T$803,$AJ16)="통합수련",INDEX(입력_파견수련계획!$S$4:$S$803,$AJ16),$AE16)))))))</f>
        <v/>
      </c>
      <c r="Z16" s="20">
        <f>IF($B16="","",IF($AB16="","기본자료에 없는 사번",IF(COUNTIF($B$2:$B$401,$B16)&gt;1,"중복 사번",IF($AE16="","소속(입사장소) 입력",IF(IF(TRIM($J16&amp;"")="",0,SUMPRODUCT((입력_파견수련계획!$Q$4:$Q$803=TRIM($J16&amp;""))*(입력_파견수련계획!$AA$4:$AA$803&lt;&gt;"")))&gt;0,"파견수련계획 입력오류 확인",IF(LEFT($Y16,1)="⚠","서울·구리 15일 판정 불가(양쪽 모두 이상/미만)",IF(IF($AC16="",0,N(INDEX(입력_인턴근무계획!$T$3:$T$402,$AC16)))&gt;0,"인턴계획 입력오류 확인",IF(AND($AQ16&lt;&gt;"",$AG16&lt;&gt;"구리병원",IF(TRIM($J16&amp;"")="",0,SUMPRODUCT((입력_파견수련계획!$Q$4:$Q$803=TRIM($J16&amp;""))*(입력_파견수련계획!$S$4:$S$803="구리병원")*입력_파견수련계획!$W$4:$W$803))=0),"구리 근무자명단에만 있음(파견수련계획 확인)",IF(AND($AC16&lt;&gt;"",$U16&lt;&gt;"파견중",$N16&lt;&gt;$AE16),"인턴 타지역 근무: 파견 여부 확인","정상")))))))))</f>
        <v/>
      </c>
      <c r="AA16" s="5" t="n"/>
      <c r="AB16" s="10">
        <f>IF($B16="","",IFERROR(MATCH($B16,입력_기본자료!$B$2:$B$1001,0),IFERROR(MATCH($B16&amp;"",입력_기본자료!$B$2:$B$1001,0),IFERROR(MATCH(VALUE($B16),입력_기본자료!$B$2:$B$1001,0),""))))</f>
        <v/>
      </c>
      <c r="AC16" s="10">
        <f>IF($B16="","",IFERROR(MATCH($B16,입력_인턴근무계획!$D$3:$D$402,0),IFERROR(MATCH($B16&amp;"",입력_인턴근무계획!$D$3:$D$402,0),IFERROR(MATCH(VALUE($B16),입력_인턴근무계획!$D$3:$D$402,0),""))))</f>
        <v/>
      </c>
      <c r="AD16" s="10">
        <f>IF(OR($AC16="",출력_인턴현황!$G$3=""),"",INDEX(입력_인턴근무계획!$M$3:$R$402,$AC16,출력_인턴현황!$G$3)&amp;"")</f>
        <v/>
      </c>
      <c r="AE16" s="10">
        <f>IF($B16="","",IF($M16&lt;&gt;"",$M16,IF(IF($AQ16="",FALSE,INDEX(출력_구리근무자!$J$6:$J$305,$AQ16)="구리독자"),"구리병원",IF($AF16&lt;&gt;"",IF(LEFT(INDEX(입력_파견수련계획!$R$4:$R$803,$AF16),1)&lt;&gt;"⚠",INDEX(입력_파견수련계획!$R$4:$R$803,$AF16),IF($H16="","",IF(RIGHT($H16,2)="병원",$H16,$H16&amp;"병원"))),IF($H16="","",IF(RIGHT($H16,2)="병원",$H16,$H16&amp;"병원"))))))</f>
        <v/>
      </c>
      <c r="AF16" s="10">
        <f>IF(OR($B16="",TRIM($J16&amp;"")=""),"",IFERROR(MATCH(TRIM($J16&amp;"")&amp;"|파견중",입력_파견수련계획!$Y$4:$Y$803,0),IFERROR(MATCH(TRIM($J16&amp;"")&amp;"|파견예정",입력_파견수련계획!$Y$4:$Y$803,0),IFERROR(MATCH(TRIM($J16&amp;"")&amp;"|파견종료",입력_파견수련계획!$Y$4:$Y$803,0),""))))</f>
        <v/>
      </c>
      <c r="AG16" s="10">
        <f>IF($B16="","",IF(AND(IF(OR($AC16="",출력_인턴현황!$K$2=""),"",INDEX(입력_인턴근무계획!$M$3:$R$402,$AC16,출력_인턴현황!$K$2)&amp;"")&lt;&gt;"",LEFT(IF(OR($AC16="",출력_인턴현황!$K$2=""),"",INDEX(입력_인턴근무계획!$M$3:$R$402,$AC16,출력_인턴현황!$K$2)&amp;""),1)&lt;&gt;"⚠"),LEFT(IF(OR($AC16="",출력_인턴현황!$K$2=""),"",INDEX(입력_인턴근무계획!$M$3:$R$402,$AC16,출력_인턴현황!$K$2)&amp;""),FIND(" ",IF(OR($AC16="",출력_인턴현황!$K$2=""),"",INDEX(입력_인턴근무계획!$M$3:$R$402,$AC16,출력_인턴현황!$K$2)&amp;""))-1),$AE16))</f>
        <v/>
      </c>
      <c r="AH16" s="17">
        <f>IF($B16="","",IF($AQ16&lt;&gt;"",MAX(0,DAY(EOMONTH(출력_요약!$B$3,0))-N($AR16)),IF(TRIM($J16&amp;"")="",0,SUMPRODUCT((입력_파견수련계획!$Q$4:$Q$803=TRIM($J16&amp;""))*(입력_파견수련계획!$S$4:$S$803="서울병원")*입력_파견수련계획!$W$4:$W$803))+IF($AG16="서울병원",MAX(0,DAY(EOMONTH(출력_요약!$B$3,0))-N($X16)),0)))</f>
        <v/>
      </c>
      <c r="AI16" s="17">
        <f>IF($B16="","",IF($AQ16&lt;&gt;"",N($AR16),IF(TRIM($J16&amp;"")="",0,SUMPRODUCT((입력_파견수련계획!$Q$4:$Q$803=TRIM($J16&amp;""))*(입력_파견수련계획!$S$4:$S$803="구리병원")*입력_파견수련계획!$W$4:$W$803))+IF($AG16="구리병원",MAX(0,DAY(EOMONTH(출력_요약!$B$3,0))-N($X16)),0)))</f>
        <v/>
      </c>
      <c r="AJ16" s="10">
        <f>IF(OR($B16="",TRIM($J16&amp;"")=""),"",IFERROR(MATCH(TRIM($J16&amp;"")&amp;"|월",입력_파견수련계획!$Z$4:$Z$803,0),""))</f>
        <v/>
      </c>
      <c r="AK16" s="10">
        <f>IF(OR($B16="",TRIM($J16&amp;"")=""),"",IFERROR(MATCH(TRIM($J16&amp;"")&amp;"|다기관",입력_파견수련계획!$AE$4:$AE$803,0),""))</f>
        <v/>
      </c>
      <c r="AL16" s="10">
        <f>IF($AK16="","","다기관 "&amp;TEXT(INDEX(입력_파견수련계획!$AB$4:$AB$803,$AK16),"yyyy-mm-dd")&amp;"~"&amp;IF(ISNUMBER(INDEX(입력_파견수련계획!$AC$4:$AC$803,$AK16)),TEXT(INDEX(입력_파견수련계획!$AC$4:$AC$803,$AK16),"yyyy-mm-dd"),""))</f>
        <v/>
      </c>
      <c r="AM16" s="10">
        <f>IF($Y16="서울병원",COUNTIF($Y$2:$Y16,"서울병원"),"")</f>
        <v/>
      </c>
      <c r="AN16" s="10">
        <f>IF(LEFT($Y16,1)="⚠",COUNTIF($Y$2:$Y16,"⚠*"),"")</f>
        <v/>
      </c>
      <c r="AO16" s="10">
        <f>IF(OR($B16="",$Y16=""),"",IF(IF(TRIM($J16&amp;"")="",0,SUMPRODUCT((입력_파견수련계획!$Q$4:$Q$803=TRIM($J16&amp;""))*입력_파견수련계획!$AD$4:$AD$803))&gt;0,"다기관 기간 → 소속병원 지급",IF(AND(N($X16)&lt;=0,$AQ16=""),"파견 없음 → 그 달 근무병원 지급",IF($AH16+$AI16=DAY(EOMONTH(출력_요약!$B$3,0)),"서울 "&amp;$AH16&amp;"일 / 구리 "&amp;$AI16&amp;"일"&amp;IF($AQ16&lt;&gt;""," (구리 근무자명단 반영)","")&amp;" → 15일 이상 근무 병원 지급","타 병원 포함 → "&amp;IF($AJ16="","소속",INDEX(입력_파견수련계획!$T$4:$T$803,$AJ16))&amp;" 규칙"))))</f>
        <v/>
      </c>
      <c r="AP16" s="10">
        <f>IF($B16="","",$C16&amp;"|"&amp;$F16)</f>
        <v/>
      </c>
      <c r="AQ16" s="10">
        <f>IF($B16="","",IFERROR(MATCH(ROW()-1,출력_구리근무자!$K$6:$K$305,0),""))</f>
        <v/>
      </c>
      <c r="AR16" s="10">
        <f>IF($AQ16="","",INDEX(출력_구리근무자!$H$6:$H$305,$AQ16))</f>
        <v/>
      </c>
    </row>
    <row r="17">
      <c r="A17" s="10">
        <f>IF(B17="","",ROW()-1)</f>
        <v/>
      </c>
      <c r="B17" s="19" t="n"/>
      <c r="C17" s="10">
        <f>IF($AB17="","",IF(INDEX(입력_기본자료!$C$2:$C$1001,$AB17)="","",INDEX(입력_기본자료!$C$2:$C$1001,$AB17)))</f>
        <v/>
      </c>
      <c r="D17" s="10">
        <f>IF($AB17="","",IF(INDEX(입력_기본자료!$J$2:$J$1001,$AB17)="","",INDEX(입력_기본자료!$J$2:$J$1001,$AB17)))</f>
        <v/>
      </c>
      <c r="E17" s="11">
        <f>IF($AB17="","",IF(INDEX(입력_기본자료!$K$2:$K$1001,$AB17)="","",IF(NOT(ISNUMBER(INDEX(입력_기본자료!$K$2:$K$1001,$AB17))),INDEX(입력_기본자료!$K$2:$K$1001,$AB17),IF(INDEX(입력_기본자료!$K$2:$K$1001,$AB17)&lt;1000000,INDEX(입력_기본자료!$K$2:$K$1001,$AB17),IF(AND(INDEX(입력_기본자료!$K$2:$K$1001,$AB17)&gt;=10000101,INT(MOD(INDEX(입력_기본자료!$K$2:$K$1001,$AB17),10000)/100)&gt;=1,INT(MOD(INDEX(입력_기본자료!$K$2:$K$1001,$AB17),10000)/100)&lt;=12,MOD(INDEX(입력_기본자료!$K$2:$K$1001,$AB17),100)&gt;=1,MOD(INDEX(입력_기본자료!$K$2:$K$1001,$AB17),100)&lt;=31),DATE(INT(INDEX(입력_기본자료!$K$2:$K$1001,$AB17)/10000),INT(MOD(INDEX(입력_기본자료!$K$2:$K$1001,$AB17),10000)/100),MOD(INDEX(입력_기본자료!$K$2:$K$1001,$AB17),100)),INDEX(입력_기본자료!$K$2:$K$1001,$AB17)&amp;"")))))</f>
        <v/>
      </c>
      <c r="F17" s="10">
        <f>IF($AB17="","",IF(INDEX(입력_기본자료!$D$2:$D$1001,$AB17)="","",INDEX(입력_기본자료!$D$2:$D$1001,$AB17)))</f>
        <v/>
      </c>
      <c r="G17" s="10">
        <f>IF($AB17="","",IF(INDEX(입력_기본자료!$E$2:$E$1001,$AB17)="","",INDEX(입력_기본자료!$E$2:$E$1001,$AB17)))</f>
        <v/>
      </c>
      <c r="H17" s="10">
        <f>IF($AB17="","",IF(INDEX(입력_기본자료!$F$2:$F$1001,$AB17)="","",INDEX(입력_기본자료!$F$2:$F$1001,$AB17)))</f>
        <v/>
      </c>
      <c r="I17" s="11">
        <f>IF($AB17="","",IF(INDEX(입력_기본자료!$G$2:$G$1001,$AB17)="","",IF(NOT(ISNUMBER(INDEX(입력_기본자료!$G$2:$G$1001,$AB17))),INDEX(입력_기본자료!$G$2:$G$1001,$AB17),IF(INDEX(입력_기본자료!$G$2:$G$1001,$AB17)&lt;1000000,INDEX(입력_기본자료!$G$2:$G$1001,$AB17),IF(AND(INDEX(입력_기본자료!$G$2:$G$1001,$AB17)&gt;=10000101,INT(MOD(INDEX(입력_기본자료!$G$2:$G$1001,$AB17),10000)/100)&gt;=1,INT(MOD(INDEX(입력_기본자료!$G$2:$G$1001,$AB17),10000)/100)&lt;=12,MOD(INDEX(입력_기본자료!$G$2:$G$1001,$AB17),100)&gt;=1,MOD(INDEX(입력_기본자료!$G$2:$G$1001,$AB17),100)&lt;=31),DATE(INT(INDEX(입력_기본자료!$G$2:$G$1001,$AB17)/10000),INT(MOD(INDEX(입력_기본자료!$G$2:$G$1001,$AB17),10000)/100),MOD(INDEX(입력_기본자료!$G$2:$G$1001,$AB17),100)),INDEX(입력_기본자료!$G$2:$G$1001,$AB17)&amp;"")))))</f>
        <v/>
      </c>
      <c r="J17" s="10">
        <f>IF($AB17="","",IF(INDEX(입력_기본자료!$H$2:$H$1001,$AB17)="","",INDEX(입력_기본자료!$H$2:$H$1001,$AB17)))</f>
        <v/>
      </c>
      <c r="K17" s="10">
        <f>IF($AB17="","",IF(INDEX(입력_기본자료!$I$2:$I$1001,$AB17)="","",INDEX(입력_기본자료!$I$2:$I$1001,$AB17)))</f>
        <v/>
      </c>
      <c r="L17" s="10">
        <f>IF($AB17="","",IF(INDEX(입력_기본자료!$A$2:$A$1001,$AB17)="","",INDEX(입력_기본자료!$A$2:$A$1001,$AB17)))</f>
        <v/>
      </c>
      <c r="M17" s="15" t="n"/>
      <c r="N17" s="10">
        <f>IF($B17="","",IF(AND($U17="파견중",$Q17&lt;&gt;""),$Q17,IF(AND($AD17&lt;&gt;"",LEFT($AD17,1)&lt;&gt;"⚠"),LEFT($AD17,FIND(" ",$AD17)-1),IF($H17="","",IF(RIGHT($H17,2)="병원",$H17,$H17&amp;"병원")))))</f>
        <v/>
      </c>
      <c r="O17" s="10">
        <f>IF($B17="","",IF(AND($U17="파견중",$Q17&lt;&gt;""),IF($R17&lt;&gt;"",$R17,"파견과 미입력"),IF(AND($AD17&lt;&gt;"",LEFT($AD17,1)&lt;&gt;"⚠"),MID($AD17,FIND(" ",$AD17)+1,60),IF($F17="","",IF($F17="인턴","수련교육부(인턴)",$F17)))))</f>
        <v/>
      </c>
      <c r="P17" s="10">
        <f>IF($B17="","",IF($AK17&lt;&gt;"",IF(AND(TODAY()&gt;=INDEX(입력_파견수련계획!$AB$4:$AB$803,$AK17),OR(NOT(ISNUMBER(INDEX(입력_파견수련계획!$AC$4:$AC$803,$AK17))),TODAY()&lt;=INDEX(입력_파견수련계획!$AC$4:$AC$803,$AK17))),"다기관",IF($AF17="","",INDEX(입력_파견수련계획!$T$4:$T$803,$AF17))),IF($AF17="","",INDEX(입력_파견수련계획!$T$4:$T$803,$AF17))))</f>
        <v/>
      </c>
      <c r="Q17" s="10">
        <f>IF($AF17="","",INDEX(입력_파견수련계획!$S$4:$S$803,$AF17))</f>
        <v/>
      </c>
      <c r="R17" s="10">
        <f>IF($AF17="","",INDEX(입력_파견수련계획!$U$4:$U$803,$AF17))</f>
        <v/>
      </c>
      <c r="S17" s="11">
        <f>IF($AF17="","",IF(INDEX(입력_파견수련계획!$H$4:$H$803,$AF17)="","",INDEX(입력_파견수련계획!$H$4:$H$803,$AF17)))</f>
        <v/>
      </c>
      <c r="T17" s="11">
        <f>IF($AF17="","",IF(INDEX(입력_파견수련계획!$I$4:$I$803,$AF17)="","",INDEX(입력_파견수련계획!$I$4:$I$803,$AF17)))</f>
        <v/>
      </c>
      <c r="U17" s="10">
        <f>IF($AF17="","",INDEX(입력_파견수련계획!$X$4:$X$803,$AF17))</f>
        <v/>
      </c>
      <c r="V17" s="17">
        <f>IF($AF17="","",INDEX(입력_파견수련계획!$V$4:$V$803,$AF17))</f>
        <v/>
      </c>
      <c r="W17" s="17">
        <f>IF(AND($U17="파견중",$T17&lt;&gt;""),$T17-TODAY(),"")</f>
        <v/>
      </c>
      <c r="X17" s="17">
        <f>IF(OR($B17="",TRIM($J17&amp;"")=""),"",SUMPRODUCT((입력_파견수련계획!$Q$4:$Q$803=TRIM($J17&amp;""))*입력_파견수련계획!$W$4:$W$803))</f>
        <v/>
      </c>
      <c r="Y17" s="10">
        <f>IF($B17="","",IF($AG17="","",IF(IF(TRIM($J17&amp;"")="",0,SUMPRODUCT((입력_파견수련계획!$Q$4:$Q$803=TRIM($J17&amp;""))*입력_파견수련계획!$AD$4:$AD$803))&gt;0,$AE17,IF(AND(N($X17)&lt;=0,$AQ17=""),$AG17,IF($AH17+$AI17=DAY(EOMONTH(출력_요약!$B$3,0)),IF(AND($AH17&gt;=출력_요약!$E$3,$AI17&lt;출력_요약!$E$3),"서울병원",IF(AND($AI17&gt;=출력_요약!$E$3,$AH17&lt;출력_요약!$E$3),"구리병원","⚠15일 판정불가(서울 "&amp;$AH17&amp;"일/구리 "&amp;$AI17&amp;"일)")),IF($AJ17="",$AE17,IF(INDEX(입력_파견수련계획!$T$4:$T$803,$AJ17)="통합수련",INDEX(입력_파견수련계획!$S$4:$S$803,$AJ17),$AE17)))))))</f>
        <v/>
      </c>
      <c r="Z17" s="20">
        <f>IF($B17="","",IF($AB17="","기본자료에 없는 사번",IF(COUNTIF($B$2:$B$401,$B17)&gt;1,"중복 사번",IF($AE17="","소속(입사장소) 입력",IF(IF(TRIM($J17&amp;"")="",0,SUMPRODUCT((입력_파견수련계획!$Q$4:$Q$803=TRIM($J17&amp;""))*(입력_파견수련계획!$AA$4:$AA$803&lt;&gt;"")))&gt;0,"파견수련계획 입력오류 확인",IF(LEFT($Y17,1)="⚠","서울·구리 15일 판정 불가(양쪽 모두 이상/미만)",IF(IF($AC17="",0,N(INDEX(입력_인턴근무계획!$T$3:$T$402,$AC17)))&gt;0,"인턴계획 입력오류 확인",IF(AND($AQ17&lt;&gt;"",$AG17&lt;&gt;"구리병원",IF(TRIM($J17&amp;"")="",0,SUMPRODUCT((입력_파견수련계획!$Q$4:$Q$803=TRIM($J17&amp;""))*(입력_파견수련계획!$S$4:$S$803="구리병원")*입력_파견수련계획!$W$4:$W$803))=0),"구리 근무자명단에만 있음(파견수련계획 확인)",IF(AND($AC17&lt;&gt;"",$U17&lt;&gt;"파견중",$N17&lt;&gt;$AE17),"인턴 타지역 근무: 파견 여부 확인","정상")))))))))</f>
        <v/>
      </c>
      <c r="AA17" s="5" t="n"/>
      <c r="AB17" s="10">
        <f>IF($B17="","",IFERROR(MATCH($B17,입력_기본자료!$B$2:$B$1001,0),IFERROR(MATCH($B17&amp;"",입력_기본자료!$B$2:$B$1001,0),IFERROR(MATCH(VALUE($B17),입력_기본자료!$B$2:$B$1001,0),""))))</f>
        <v/>
      </c>
      <c r="AC17" s="10">
        <f>IF($B17="","",IFERROR(MATCH($B17,입력_인턴근무계획!$D$3:$D$402,0),IFERROR(MATCH($B17&amp;"",입력_인턴근무계획!$D$3:$D$402,0),IFERROR(MATCH(VALUE($B17),입력_인턴근무계획!$D$3:$D$402,0),""))))</f>
        <v/>
      </c>
      <c r="AD17" s="10">
        <f>IF(OR($AC17="",출력_인턴현황!$G$3=""),"",INDEX(입력_인턴근무계획!$M$3:$R$402,$AC17,출력_인턴현황!$G$3)&amp;"")</f>
        <v/>
      </c>
      <c r="AE17" s="10">
        <f>IF($B17="","",IF($M17&lt;&gt;"",$M17,IF(IF($AQ17="",FALSE,INDEX(출력_구리근무자!$J$6:$J$305,$AQ17)="구리독자"),"구리병원",IF($AF17&lt;&gt;"",IF(LEFT(INDEX(입력_파견수련계획!$R$4:$R$803,$AF17),1)&lt;&gt;"⚠",INDEX(입력_파견수련계획!$R$4:$R$803,$AF17),IF($H17="","",IF(RIGHT($H17,2)="병원",$H17,$H17&amp;"병원"))),IF($H17="","",IF(RIGHT($H17,2)="병원",$H17,$H17&amp;"병원"))))))</f>
        <v/>
      </c>
      <c r="AF17" s="10">
        <f>IF(OR($B17="",TRIM($J17&amp;"")=""),"",IFERROR(MATCH(TRIM($J17&amp;"")&amp;"|파견중",입력_파견수련계획!$Y$4:$Y$803,0),IFERROR(MATCH(TRIM($J17&amp;"")&amp;"|파견예정",입력_파견수련계획!$Y$4:$Y$803,0),IFERROR(MATCH(TRIM($J17&amp;"")&amp;"|파견종료",입력_파견수련계획!$Y$4:$Y$803,0),""))))</f>
        <v/>
      </c>
      <c r="AG17" s="10">
        <f>IF($B17="","",IF(AND(IF(OR($AC17="",출력_인턴현황!$K$2=""),"",INDEX(입력_인턴근무계획!$M$3:$R$402,$AC17,출력_인턴현황!$K$2)&amp;"")&lt;&gt;"",LEFT(IF(OR($AC17="",출력_인턴현황!$K$2=""),"",INDEX(입력_인턴근무계획!$M$3:$R$402,$AC17,출력_인턴현황!$K$2)&amp;""),1)&lt;&gt;"⚠"),LEFT(IF(OR($AC17="",출력_인턴현황!$K$2=""),"",INDEX(입력_인턴근무계획!$M$3:$R$402,$AC17,출력_인턴현황!$K$2)&amp;""),FIND(" ",IF(OR($AC17="",출력_인턴현황!$K$2=""),"",INDEX(입력_인턴근무계획!$M$3:$R$402,$AC17,출력_인턴현황!$K$2)&amp;""))-1),$AE17))</f>
        <v/>
      </c>
      <c r="AH17" s="17">
        <f>IF($B17="","",IF($AQ17&lt;&gt;"",MAX(0,DAY(EOMONTH(출력_요약!$B$3,0))-N($AR17)),IF(TRIM($J17&amp;"")="",0,SUMPRODUCT((입력_파견수련계획!$Q$4:$Q$803=TRIM($J17&amp;""))*(입력_파견수련계획!$S$4:$S$803="서울병원")*입력_파견수련계획!$W$4:$W$803))+IF($AG17="서울병원",MAX(0,DAY(EOMONTH(출력_요약!$B$3,0))-N($X17)),0)))</f>
        <v/>
      </c>
      <c r="AI17" s="17">
        <f>IF($B17="","",IF($AQ17&lt;&gt;"",N($AR17),IF(TRIM($J17&amp;"")="",0,SUMPRODUCT((입력_파견수련계획!$Q$4:$Q$803=TRIM($J17&amp;""))*(입력_파견수련계획!$S$4:$S$803="구리병원")*입력_파견수련계획!$W$4:$W$803))+IF($AG17="구리병원",MAX(0,DAY(EOMONTH(출력_요약!$B$3,0))-N($X17)),0)))</f>
        <v/>
      </c>
      <c r="AJ17" s="10">
        <f>IF(OR($B17="",TRIM($J17&amp;"")=""),"",IFERROR(MATCH(TRIM($J17&amp;"")&amp;"|월",입력_파견수련계획!$Z$4:$Z$803,0),""))</f>
        <v/>
      </c>
      <c r="AK17" s="10">
        <f>IF(OR($B17="",TRIM($J17&amp;"")=""),"",IFERROR(MATCH(TRIM($J17&amp;"")&amp;"|다기관",입력_파견수련계획!$AE$4:$AE$803,0),""))</f>
        <v/>
      </c>
      <c r="AL17" s="10">
        <f>IF($AK17="","","다기관 "&amp;TEXT(INDEX(입력_파견수련계획!$AB$4:$AB$803,$AK17),"yyyy-mm-dd")&amp;"~"&amp;IF(ISNUMBER(INDEX(입력_파견수련계획!$AC$4:$AC$803,$AK17)),TEXT(INDEX(입력_파견수련계획!$AC$4:$AC$803,$AK17),"yyyy-mm-dd"),""))</f>
        <v/>
      </c>
      <c r="AM17" s="10">
        <f>IF($Y17="서울병원",COUNTIF($Y$2:$Y17,"서울병원"),"")</f>
        <v/>
      </c>
      <c r="AN17" s="10">
        <f>IF(LEFT($Y17,1)="⚠",COUNTIF($Y$2:$Y17,"⚠*"),"")</f>
        <v/>
      </c>
      <c r="AO17" s="10">
        <f>IF(OR($B17="",$Y17=""),"",IF(IF(TRIM($J17&amp;"")="",0,SUMPRODUCT((입력_파견수련계획!$Q$4:$Q$803=TRIM($J17&amp;""))*입력_파견수련계획!$AD$4:$AD$803))&gt;0,"다기관 기간 → 소속병원 지급",IF(AND(N($X17)&lt;=0,$AQ17=""),"파견 없음 → 그 달 근무병원 지급",IF($AH17+$AI17=DAY(EOMONTH(출력_요약!$B$3,0)),"서울 "&amp;$AH17&amp;"일 / 구리 "&amp;$AI17&amp;"일"&amp;IF($AQ17&lt;&gt;""," (구리 근무자명단 반영)","")&amp;" → 15일 이상 근무 병원 지급","타 병원 포함 → "&amp;IF($AJ17="","소속",INDEX(입력_파견수련계획!$T$4:$T$803,$AJ17))&amp;" 규칙"))))</f>
        <v/>
      </c>
      <c r="AP17" s="10">
        <f>IF($B17="","",$C17&amp;"|"&amp;$F17)</f>
        <v/>
      </c>
      <c r="AQ17" s="10">
        <f>IF($B17="","",IFERROR(MATCH(ROW()-1,출력_구리근무자!$K$6:$K$305,0),""))</f>
        <v/>
      </c>
      <c r="AR17" s="10">
        <f>IF($AQ17="","",INDEX(출력_구리근무자!$H$6:$H$305,$AQ17))</f>
        <v/>
      </c>
    </row>
    <row r="18">
      <c r="A18" s="10">
        <f>IF(B18="","",ROW()-1)</f>
        <v/>
      </c>
      <c r="B18" s="19" t="n"/>
      <c r="C18" s="10">
        <f>IF($AB18="","",IF(INDEX(입력_기본자료!$C$2:$C$1001,$AB18)="","",INDEX(입력_기본자료!$C$2:$C$1001,$AB18)))</f>
        <v/>
      </c>
      <c r="D18" s="10">
        <f>IF($AB18="","",IF(INDEX(입력_기본자료!$J$2:$J$1001,$AB18)="","",INDEX(입력_기본자료!$J$2:$J$1001,$AB18)))</f>
        <v/>
      </c>
      <c r="E18" s="11">
        <f>IF($AB18="","",IF(INDEX(입력_기본자료!$K$2:$K$1001,$AB18)="","",IF(NOT(ISNUMBER(INDEX(입력_기본자료!$K$2:$K$1001,$AB18))),INDEX(입력_기본자료!$K$2:$K$1001,$AB18),IF(INDEX(입력_기본자료!$K$2:$K$1001,$AB18)&lt;1000000,INDEX(입력_기본자료!$K$2:$K$1001,$AB18),IF(AND(INDEX(입력_기본자료!$K$2:$K$1001,$AB18)&gt;=10000101,INT(MOD(INDEX(입력_기본자료!$K$2:$K$1001,$AB18),10000)/100)&gt;=1,INT(MOD(INDEX(입력_기본자료!$K$2:$K$1001,$AB18),10000)/100)&lt;=12,MOD(INDEX(입력_기본자료!$K$2:$K$1001,$AB18),100)&gt;=1,MOD(INDEX(입력_기본자료!$K$2:$K$1001,$AB18),100)&lt;=31),DATE(INT(INDEX(입력_기본자료!$K$2:$K$1001,$AB18)/10000),INT(MOD(INDEX(입력_기본자료!$K$2:$K$1001,$AB18),10000)/100),MOD(INDEX(입력_기본자료!$K$2:$K$1001,$AB18),100)),INDEX(입력_기본자료!$K$2:$K$1001,$AB18)&amp;"")))))</f>
        <v/>
      </c>
      <c r="F18" s="10">
        <f>IF($AB18="","",IF(INDEX(입력_기본자료!$D$2:$D$1001,$AB18)="","",INDEX(입력_기본자료!$D$2:$D$1001,$AB18)))</f>
        <v/>
      </c>
      <c r="G18" s="10">
        <f>IF($AB18="","",IF(INDEX(입력_기본자료!$E$2:$E$1001,$AB18)="","",INDEX(입력_기본자료!$E$2:$E$1001,$AB18)))</f>
        <v/>
      </c>
      <c r="H18" s="10">
        <f>IF($AB18="","",IF(INDEX(입력_기본자료!$F$2:$F$1001,$AB18)="","",INDEX(입력_기본자료!$F$2:$F$1001,$AB18)))</f>
        <v/>
      </c>
      <c r="I18" s="11">
        <f>IF($AB18="","",IF(INDEX(입력_기본자료!$G$2:$G$1001,$AB18)="","",IF(NOT(ISNUMBER(INDEX(입력_기본자료!$G$2:$G$1001,$AB18))),INDEX(입력_기본자료!$G$2:$G$1001,$AB18),IF(INDEX(입력_기본자료!$G$2:$G$1001,$AB18)&lt;1000000,INDEX(입력_기본자료!$G$2:$G$1001,$AB18),IF(AND(INDEX(입력_기본자료!$G$2:$G$1001,$AB18)&gt;=10000101,INT(MOD(INDEX(입력_기본자료!$G$2:$G$1001,$AB18),10000)/100)&gt;=1,INT(MOD(INDEX(입력_기본자료!$G$2:$G$1001,$AB18),10000)/100)&lt;=12,MOD(INDEX(입력_기본자료!$G$2:$G$1001,$AB18),100)&gt;=1,MOD(INDEX(입력_기본자료!$G$2:$G$1001,$AB18),100)&lt;=31),DATE(INT(INDEX(입력_기본자료!$G$2:$G$1001,$AB18)/10000),INT(MOD(INDEX(입력_기본자료!$G$2:$G$1001,$AB18),10000)/100),MOD(INDEX(입력_기본자료!$G$2:$G$1001,$AB18),100)),INDEX(입력_기본자료!$G$2:$G$1001,$AB18)&amp;"")))))</f>
        <v/>
      </c>
      <c r="J18" s="10">
        <f>IF($AB18="","",IF(INDEX(입력_기본자료!$H$2:$H$1001,$AB18)="","",INDEX(입력_기본자료!$H$2:$H$1001,$AB18)))</f>
        <v/>
      </c>
      <c r="K18" s="10">
        <f>IF($AB18="","",IF(INDEX(입력_기본자료!$I$2:$I$1001,$AB18)="","",INDEX(입력_기본자료!$I$2:$I$1001,$AB18)))</f>
        <v/>
      </c>
      <c r="L18" s="10">
        <f>IF($AB18="","",IF(INDEX(입력_기본자료!$A$2:$A$1001,$AB18)="","",INDEX(입력_기본자료!$A$2:$A$1001,$AB18)))</f>
        <v/>
      </c>
      <c r="M18" s="15" t="n"/>
      <c r="N18" s="10">
        <f>IF($B18="","",IF(AND($U18="파견중",$Q18&lt;&gt;""),$Q18,IF(AND($AD18&lt;&gt;"",LEFT($AD18,1)&lt;&gt;"⚠"),LEFT($AD18,FIND(" ",$AD18)-1),IF($H18="","",IF(RIGHT($H18,2)="병원",$H18,$H18&amp;"병원")))))</f>
        <v/>
      </c>
      <c r="O18" s="10">
        <f>IF($B18="","",IF(AND($U18="파견중",$Q18&lt;&gt;""),IF($R18&lt;&gt;"",$R18,"파견과 미입력"),IF(AND($AD18&lt;&gt;"",LEFT($AD18,1)&lt;&gt;"⚠"),MID($AD18,FIND(" ",$AD18)+1,60),IF($F18="","",IF($F18="인턴","수련교육부(인턴)",$F18)))))</f>
        <v/>
      </c>
      <c r="P18" s="10">
        <f>IF($B18="","",IF($AK18&lt;&gt;"",IF(AND(TODAY()&gt;=INDEX(입력_파견수련계획!$AB$4:$AB$803,$AK18),OR(NOT(ISNUMBER(INDEX(입력_파견수련계획!$AC$4:$AC$803,$AK18))),TODAY()&lt;=INDEX(입력_파견수련계획!$AC$4:$AC$803,$AK18))),"다기관",IF($AF18="","",INDEX(입력_파견수련계획!$T$4:$T$803,$AF18))),IF($AF18="","",INDEX(입력_파견수련계획!$T$4:$T$803,$AF18))))</f>
        <v/>
      </c>
      <c r="Q18" s="10">
        <f>IF($AF18="","",INDEX(입력_파견수련계획!$S$4:$S$803,$AF18))</f>
        <v/>
      </c>
      <c r="R18" s="10">
        <f>IF($AF18="","",INDEX(입력_파견수련계획!$U$4:$U$803,$AF18))</f>
        <v/>
      </c>
      <c r="S18" s="11">
        <f>IF($AF18="","",IF(INDEX(입력_파견수련계획!$H$4:$H$803,$AF18)="","",INDEX(입력_파견수련계획!$H$4:$H$803,$AF18)))</f>
        <v/>
      </c>
      <c r="T18" s="11">
        <f>IF($AF18="","",IF(INDEX(입력_파견수련계획!$I$4:$I$803,$AF18)="","",INDEX(입력_파견수련계획!$I$4:$I$803,$AF18)))</f>
        <v/>
      </c>
      <c r="U18" s="10">
        <f>IF($AF18="","",INDEX(입력_파견수련계획!$X$4:$X$803,$AF18))</f>
        <v/>
      </c>
      <c r="V18" s="17">
        <f>IF($AF18="","",INDEX(입력_파견수련계획!$V$4:$V$803,$AF18))</f>
        <v/>
      </c>
      <c r="W18" s="17">
        <f>IF(AND($U18="파견중",$T18&lt;&gt;""),$T18-TODAY(),"")</f>
        <v/>
      </c>
      <c r="X18" s="17">
        <f>IF(OR($B18="",TRIM($J18&amp;"")=""),"",SUMPRODUCT((입력_파견수련계획!$Q$4:$Q$803=TRIM($J18&amp;""))*입력_파견수련계획!$W$4:$W$803))</f>
        <v/>
      </c>
      <c r="Y18" s="10">
        <f>IF($B18="","",IF($AG18="","",IF(IF(TRIM($J18&amp;"")="",0,SUMPRODUCT((입력_파견수련계획!$Q$4:$Q$803=TRIM($J18&amp;""))*입력_파견수련계획!$AD$4:$AD$803))&gt;0,$AE18,IF(AND(N($X18)&lt;=0,$AQ18=""),$AG18,IF($AH18+$AI18=DAY(EOMONTH(출력_요약!$B$3,0)),IF(AND($AH18&gt;=출력_요약!$E$3,$AI18&lt;출력_요약!$E$3),"서울병원",IF(AND($AI18&gt;=출력_요약!$E$3,$AH18&lt;출력_요약!$E$3),"구리병원","⚠15일 판정불가(서울 "&amp;$AH18&amp;"일/구리 "&amp;$AI18&amp;"일)")),IF($AJ18="",$AE18,IF(INDEX(입력_파견수련계획!$T$4:$T$803,$AJ18)="통합수련",INDEX(입력_파견수련계획!$S$4:$S$803,$AJ18),$AE18)))))))</f>
        <v/>
      </c>
      <c r="Z18" s="20">
        <f>IF($B18="","",IF($AB18="","기본자료에 없는 사번",IF(COUNTIF($B$2:$B$401,$B18)&gt;1,"중복 사번",IF($AE18="","소속(입사장소) 입력",IF(IF(TRIM($J18&amp;"")="",0,SUMPRODUCT((입력_파견수련계획!$Q$4:$Q$803=TRIM($J18&amp;""))*(입력_파견수련계획!$AA$4:$AA$803&lt;&gt;"")))&gt;0,"파견수련계획 입력오류 확인",IF(LEFT($Y18,1)="⚠","서울·구리 15일 판정 불가(양쪽 모두 이상/미만)",IF(IF($AC18="",0,N(INDEX(입력_인턴근무계획!$T$3:$T$402,$AC18)))&gt;0,"인턴계획 입력오류 확인",IF(AND($AQ18&lt;&gt;"",$AG18&lt;&gt;"구리병원",IF(TRIM($J18&amp;"")="",0,SUMPRODUCT((입력_파견수련계획!$Q$4:$Q$803=TRIM($J18&amp;""))*(입력_파견수련계획!$S$4:$S$803="구리병원")*입력_파견수련계획!$W$4:$W$803))=0),"구리 근무자명단에만 있음(파견수련계획 확인)",IF(AND($AC18&lt;&gt;"",$U18&lt;&gt;"파견중",$N18&lt;&gt;$AE18),"인턴 타지역 근무: 파견 여부 확인","정상")))))))))</f>
        <v/>
      </c>
      <c r="AA18" s="5" t="n"/>
      <c r="AB18" s="10">
        <f>IF($B18="","",IFERROR(MATCH($B18,입력_기본자료!$B$2:$B$1001,0),IFERROR(MATCH($B18&amp;"",입력_기본자료!$B$2:$B$1001,0),IFERROR(MATCH(VALUE($B18),입력_기본자료!$B$2:$B$1001,0),""))))</f>
        <v/>
      </c>
      <c r="AC18" s="10">
        <f>IF($B18="","",IFERROR(MATCH($B18,입력_인턴근무계획!$D$3:$D$402,0),IFERROR(MATCH($B18&amp;"",입력_인턴근무계획!$D$3:$D$402,0),IFERROR(MATCH(VALUE($B18),입력_인턴근무계획!$D$3:$D$402,0),""))))</f>
        <v/>
      </c>
      <c r="AD18" s="10">
        <f>IF(OR($AC18="",출력_인턴현황!$G$3=""),"",INDEX(입력_인턴근무계획!$M$3:$R$402,$AC18,출력_인턴현황!$G$3)&amp;"")</f>
        <v/>
      </c>
      <c r="AE18" s="10">
        <f>IF($B18="","",IF($M18&lt;&gt;"",$M18,IF(IF($AQ18="",FALSE,INDEX(출력_구리근무자!$J$6:$J$305,$AQ18)="구리독자"),"구리병원",IF($AF18&lt;&gt;"",IF(LEFT(INDEX(입력_파견수련계획!$R$4:$R$803,$AF18),1)&lt;&gt;"⚠",INDEX(입력_파견수련계획!$R$4:$R$803,$AF18),IF($H18="","",IF(RIGHT($H18,2)="병원",$H18,$H18&amp;"병원"))),IF($H18="","",IF(RIGHT($H18,2)="병원",$H18,$H18&amp;"병원"))))))</f>
        <v/>
      </c>
      <c r="AF18" s="10">
        <f>IF(OR($B18="",TRIM($J18&amp;"")=""),"",IFERROR(MATCH(TRIM($J18&amp;"")&amp;"|파견중",입력_파견수련계획!$Y$4:$Y$803,0),IFERROR(MATCH(TRIM($J18&amp;"")&amp;"|파견예정",입력_파견수련계획!$Y$4:$Y$803,0),IFERROR(MATCH(TRIM($J18&amp;"")&amp;"|파견종료",입력_파견수련계획!$Y$4:$Y$803,0),""))))</f>
        <v/>
      </c>
      <c r="AG18" s="10">
        <f>IF($B18="","",IF(AND(IF(OR($AC18="",출력_인턴현황!$K$2=""),"",INDEX(입력_인턴근무계획!$M$3:$R$402,$AC18,출력_인턴현황!$K$2)&amp;"")&lt;&gt;"",LEFT(IF(OR($AC18="",출력_인턴현황!$K$2=""),"",INDEX(입력_인턴근무계획!$M$3:$R$402,$AC18,출력_인턴현황!$K$2)&amp;""),1)&lt;&gt;"⚠"),LEFT(IF(OR($AC18="",출력_인턴현황!$K$2=""),"",INDEX(입력_인턴근무계획!$M$3:$R$402,$AC18,출력_인턴현황!$K$2)&amp;""),FIND(" ",IF(OR($AC18="",출력_인턴현황!$K$2=""),"",INDEX(입력_인턴근무계획!$M$3:$R$402,$AC18,출력_인턴현황!$K$2)&amp;""))-1),$AE18))</f>
        <v/>
      </c>
      <c r="AH18" s="17">
        <f>IF($B18="","",IF($AQ18&lt;&gt;"",MAX(0,DAY(EOMONTH(출력_요약!$B$3,0))-N($AR18)),IF(TRIM($J18&amp;"")="",0,SUMPRODUCT((입력_파견수련계획!$Q$4:$Q$803=TRIM($J18&amp;""))*(입력_파견수련계획!$S$4:$S$803="서울병원")*입력_파견수련계획!$W$4:$W$803))+IF($AG18="서울병원",MAX(0,DAY(EOMONTH(출력_요약!$B$3,0))-N($X18)),0)))</f>
        <v/>
      </c>
      <c r="AI18" s="17">
        <f>IF($B18="","",IF($AQ18&lt;&gt;"",N($AR18),IF(TRIM($J18&amp;"")="",0,SUMPRODUCT((입력_파견수련계획!$Q$4:$Q$803=TRIM($J18&amp;""))*(입력_파견수련계획!$S$4:$S$803="구리병원")*입력_파견수련계획!$W$4:$W$803))+IF($AG18="구리병원",MAX(0,DAY(EOMONTH(출력_요약!$B$3,0))-N($X18)),0)))</f>
        <v/>
      </c>
      <c r="AJ18" s="10">
        <f>IF(OR($B18="",TRIM($J18&amp;"")=""),"",IFERROR(MATCH(TRIM($J18&amp;"")&amp;"|월",입력_파견수련계획!$Z$4:$Z$803,0),""))</f>
        <v/>
      </c>
      <c r="AK18" s="10">
        <f>IF(OR($B18="",TRIM($J18&amp;"")=""),"",IFERROR(MATCH(TRIM($J18&amp;"")&amp;"|다기관",입력_파견수련계획!$AE$4:$AE$803,0),""))</f>
        <v/>
      </c>
      <c r="AL18" s="10">
        <f>IF($AK18="","","다기관 "&amp;TEXT(INDEX(입력_파견수련계획!$AB$4:$AB$803,$AK18),"yyyy-mm-dd")&amp;"~"&amp;IF(ISNUMBER(INDEX(입력_파견수련계획!$AC$4:$AC$803,$AK18)),TEXT(INDEX(입력_파견수련계획!$AC$4:$AC$803,$AK18),"yyyy-mm-dd"),""))</f>
        <v/>
      </c>
      <c r="AM18" s="10">
        <f>IF($Y18="서울병원",COUNTIF($Y$2:$Y18,"서울병원"),"")</f>
        <v/>
      </c>
      <c r="AN18" s="10">
        <f>IF(LEFT($Y18,1)="⚠",COUNTIF($Y$2:$Y18,"⚠*"),"")</f>
        <v/>
      </c>
      <c r="AO18" s="10">
        <f>IF(OR($B18="",$Y18=""),"",IF(IF(TRIM($J18&amp;"")="",0,SUMPRODUCT((입력_파견수련계획!$Q$4:$Q$803=TRIM($J18&amp;""))*입력_파견수련계획!$AD$4:$AD$803))&gt;0,"다기관 기간 → 소속병원 지급",IF(AND(N($X18)&lt;=0,$AQ18=""),"파견 없음 → 그 달 근무병원 지급",IF($AH18+$AI18=DAY(EOMONTH(출력_요약!$B$3,0)),"서울 "&amp;$AH18&amp;"일 / 구리 "&amp;$AI18&amp;"일"&amp;IF($AQ18&lt;&gt;""," (구리 근무자명단 반영)","")&amp;" → 15일 이상 근무 병원 지급","타 병원 포함 → "&amp;IF($AJ18="","소속",INDEX(입력_파견수련계획!$T$4:$T$803,$AJ18))&amp;" 규칙"))))</f>
        <v/>
      </c>
      <c r="AP18" s="10">
        <f>IF($B18="","",$C18&amp;"|"&amp;$F18)</f>
        <v/>
      </c>
      <c r="AQ18" s="10">
        <f>IF($B18="","",IFERROR(MATCH(ROW()-1,출력_구리근무자!$K$6:$K$305,0),""))</f>
        <v/>
      </c>
      <c r="AR18" s="10">
        <f>IF($AQ18="","",INDEX(출력_구리근무자!$H$6:$H$305,$AQ18))</f>
        <v/>
      </c>
    </row>
    <row r="19">
      <c r="A19" s="10">
        <f>IF(B19="","",ROW()-1)</f>
        <v/>
      </c>
      <c r="B19" s="19" t="n"/>
      <c r="C19" s="10">
        <f>IF($AB19="","",IF(INDEX(입력_기본자료!$C$2:$C$1001,$AB19)="","",INDEX(입력_기본자료!$C$2:$C$1001,$AB19)))</f>
        <v/>
      </c>
      <c r="D19" s="10">
        <f>IF($AB19="","",IF(INDEX(입력_기본자료!$J$2:$J$1001,$AB19)="","",INDEX(입력_기본자료!$J$2:$J$1001,$AB19)))</f>
        <v/>
      </c>
      <c r="E19" s="11">
        <f>IF($AB19="","",IF(INDEX(입력_기본자료!$K$2:$K$1001,$AB19)="","",IF(NOT(ISNUMBER(INDEX(입력_기본자료!$K$2:$K$1001,$AB19))),INDEX(입력_기본자료!$K$2:$K$1001,$AB19),IF(INDEX(입력_기본자료!$K$2:$K$1001,$AB19)&lt;1000000,INDEX(입력_기본자료!$K$2:$K$1001,$AB19),IF(AND(INDEX(입력_기본자료!$K$2:$K$1001,$AB19)&gt;=10000101,INT(MOD(INDEX(입력_기본자료!$K$2:$K$1001,$AB19),10000)/100)&gt;=1,INT(MOD(INDEX(입력_기본자료!$K$2:$K$1001,$AB19),10000)/100)&lt;=12,MOD(INDEX(입력_기본자료!$K$2:$K$1001,$AB19),100)&gt;=1,MOD(INDEX(입력_기본자료!$K$2:$K$1001,$AB19),100)&lt;=31),DATE(INT(INDEX(입력_기본자료!$K$2:$K$1001,$AB19)/10000),INT(MOD(INDEX(입력_기본자료!$K$2:$K$1001,$AB19),10000)/100),MOD(INDEX(입력_기본자료!$K$2:$K$1001,$AB19),100)),INDEX(입력_기본자료!$K$2:$K$1001,$AB19)&amp;"")))))</f>
        <v/>
      </c>
      <c r="F19" s="10">
        <f>IF($AB19="","",IF(INDEX(입력_기본자료!$D$2:$D$1001,$AB19)="","",INDEX(입력_기본자료!$D$2:$D$1001,$AB19)))</f>
        <v/>
      </c>
      <c r="G19" s="10">
        <f>IF($AB19="","",IF(INDEX(입력_기본자료!$E$2:$E$1001,$AB19)="","",INDEX(입력_기본자료!$E$2:$E$1001,$AB19)))</f>
        <v/>
      </c>
      <c r="H19" s="10">
        <f>IF($AB19="","",IF(INDEX(입력_기본자료!$F$2:$F$1001,$AB19)="","",INDEX(입력_기본자료!$F$2:$F$1001,$AB19)))</f>
        <v/>
      </c>
      <c r="I19" s="11">
        <f>IF($AB19="","",IF(INDEX(입력_기본자료!$G$2:$G$1001,$AB19)="","",IF(NOT(ISNUMBER(INDEX(입력_기본자료!$G$2:$G$1001,$AB19))),INDEX(입력_기본자료!$G$2:$G$1001,$AB19),IF(INDEX(입력_기본자료!$G$2:$G$1001,$AB19)&lt;1000000,INDEX(입력_기본자료!$G$2:$G$1001,$AB19),IF(AND(INDEX(입력_기본자료!$G$2:$G$1001,$AB19)&gt;=10000101,INT(MOD(INDEX(입력_기본자료!$G$2:$G$1001,$AB19),10000)/100)&gt;=1,INT(MOD(INDEX(입력_기본자료!$G$2:$G$1001,$AB19),10000)/100)&lt;=12,MOD(INDEX(입력_기본자료!$G$2:$G$1001,$AB19),100)&gt;=1,MOD(INDEX(입력_기본자료!$G$2:$G$1001,$AB19),100)&lt;=31),DATE(INT(INDEX(입력_기본자료!$G$2:$G$1001,$AB19)/10000),INT(MOD(INDEX(입력_기본자료!$G$2:$G$1001,$AB19),10000)/100),MOD(INDEX(입력_기본자료!$G$2:$G$1001,$AB19),100)),INDEX(입력_기본자료!$G$2:$G$1001,$AB19)&amp;"")))))</f>
        <v/>
      </c>
      <c r="J19" s="10">
        <f>IF($AB19="","",IF(INDEX(입력_기본자료!$H$2:$H$1001,$AB19)="","",INDEX(입력_기본자료!$H$2:$H$1001,$AB19)))</f>
        <v/>
      </c>
      <c r="K19" s="10">
        <f>IF($AB19="","",IF(INDEX(입력_기본자료!$I$2:$I$1001,$AB19)="","",INDEX(입력_기본자료!$I$2:$I$1001,$AB19)))</f>
        <v/>
      </c>
      <c r="L19" s="10">
        <f>IF($AB19="","",IF(INDEX(입력_기본자료!$A$2:$A$1001,$AB19)="","",INDEX(입력_기본자료!$A$2:$A$1001,$AB19)))</f>
        <v/>
      </c>
      <c r="M19" s="15" t="n"/>
      <c r="N19" s="10">
        <f>IF($B19="","",IF(AND($U19="파견중",$Q19&lt;&gt;""),$Q19,IF(AND($AD19&lt;&gt;"",LEFT($AD19,1)&lt;&gt;"⚠"),LEFT($AD19,FIND(" ",$AD19)-1),IF($H19="","",IF(RIGHT($H19,2)="병원",$H19,$H19&amp;"병원")))))</f>
        <v/>
      </c>
      <c r="O19" s="10">
        <f>IF($B19="","",IF(AND($U19="파견중",$Q19&lt;&gt;""),IF($R19&lt;&gt;"",$R19,"파견과 미입력"),IF(AND($AD19&lt;&gt;"",LEFT($AD19,1)&lt;&gt;"⚠"),MID($AD19,FIND(" ",$AD19)+1,60),IF($F19="","",IF($F19="인턴","수련교육부(인턴)",$F19)))))</f>
        <v/>
      </c>
      <c r="P19" s="10">
        <f>IF($B19="","",IF($AK19&lt;&gt;"",IF(AND(TODAY()&gt;=INDEX(입력_파견수련계획!$AB$4:$AB$803,$AK19),OR(NOT(ISNUMBER(INDEX(입력_파견수련계획!$AC$4:$AC$803,$AK19))),TODAY()&lt;=INDEX(입력_파견수련계획!$AC$4:$AC$803,$AK19))),"다기관",IF($AF19="","",INDEX(입력_파견수련계획!$T$4:$T$803,$AF19))),IF($AF19="","",INDEX(입력_파견수련계획!$T$4:$T$803,$AF19))))</f>
        <v/>
      </c>
      <c r="Q19" s="10">
        <f>IF($AF19="","",INDEX(입력_파견수련계획!$S$4:$S$803,$AF19))</f>
        <v/>
      </c>
      <c r="R19" s="10">
        <f>IF($AF19="","",INDEX(입력_파견수련계획!$U$4:$U$803,$AF19))</f>
        <v/>
      </c>
      <c r="S19" s="11">
        <f>IF($AF19="","",IF(INDEX(입력_파견수련계획!$H$4:$H$803,$AF19)="","",INDEX(입력_파견수련계획!$H$4:$H$803,$AF19)))</f>
        <v/>
      </c>
      <c r="T19" s="11">
        <f>IF($AF19="","",IF(INDEX(입력_파견수련계획!$I$4:$I$803,$AF19)="","",INDEX(입력_파견수련계획!$I$4:$I$803,$AF19)))</f>
        <v/>
      </c>
      <c r="U19" s="10">
        <f>IF($AF19="","",INDEX(입력_파견수련계획!$X$4:$X$803,$AF19))</f>
        <v/>
      </c>
      <c r="V19" s="17">
        <f>IF($AF19="","",INDEX(입력_파견수련계획!$V$4:$V$803,$AF19))</f>
        <v/>
      </c>
      <c r="W19" s="17">
        <f>IF(AND($U19="파견중",$T19&lt;&gt;""),$T19-TODAY(),"")</f>
        <v/>
      </c>
      <c r="X19" s="17">
        <f>IF(OR($B19="",TRIM($J19&amp;"")=""),"",SUMPRODUCT((입력_파견수련계획!$Q$4:$Q$803=TRIM($J19&amp;""))*입력_파견수련계획!$W$4:$W$803))</f>
        <v/>
      </c>
      <c r="Y19" s="10">
        <f>IF($B19="","",IF($AG19="","",IF(IF(TRIM($J19&amp;"")="",0,SUMPRODUCT((입력_파견수련계획!$Q$4:$Q$803=TRIM($J19&amp;""))*입력_파견수련계획!$AD$4:$AD$803))&gt;0,$AE19,IF(AND(N($X19)&lt;=0,$AQ19=""),$AG19,IF($AH19+$AI19=DAY(EOMONTH(출력_요약!$B$3,0)),IF(AND($AH19&gt;=출력_요약!$E$3,$AI19&lt;출력_요약!$E$3),"서울병원",IF(AND($AI19&gt;=출력_요약!$E$3,$AH19&lt;출력_요약!$E$3),"구리병원","⚠15일 판정불가(서울 "&amp;$AH19&amp;"일/구리 "&amp;$AI19&amp;"일)")),IF($AJ19="",$AE19,IF(INDEX(입력_파견수련계획!$T$4:$T$803,$AJ19)="통합수련",INDEX(입력_파견수련계획!$S$4:$S$803,$AJ19),$AE19)))))))</f>
        <v/>
      </c>
      <c r="Z19" s="20">
        <f>IF($B19="","",IF($AB19="","기본자료에 없는 사번",IF(COUNTIF($B$2:$B$401,$B19)&gt;1,"중복 사번",IF($AE19="","소속(입사장소) 입력",IF(IF(TRIM($J19&amp;"")="",0,SUMPRODUCT((입력_파견수련계획!$Q$4:$Q$803=TRIM($J19&amp;""))*(입력_파견수련계획!$AA$4:$AA$803&lt;&gt;"")))&gt;0,"파견수련계획 입력오류 확인",IF(LEFT($Y19,1)="⚠","서울·구리 15일 판정 불가(양쪽 모두 이상/미만)",IF(IF($AC19="",0,N(INDEX(입력_인턴근무계획!$T$3:$T$402,$AC19)))&gt;0,"인턴계획 입력오류 확인",IF(AND($AQ19&lt;&gt;"",$AG19&lt;&gt;"구리병원",IF(TRIM($J19&amp;"")="",0,SUMPRODUCT((입력_파견수련계획!$Q$4:$Q$803=TRIM($J19&amp;""))*(입력_파견수련계획!$S$4:$S$803="구리병원")*입력_파견수련계획!$W$4:$W$803))=0),"구리 근무자명단에만 있음(파견수련계획 확인)",IF(AND($AC19&lt;&gt;"",$U19&lt;&gt;"파견중",$N19&lt;&gt;$AE19),"인턴 타지역 근무: 파견 여부 확인","정상")))))))))</f>
        <v/>
      </c>
      <c r="AA19" s="5" t="n"/>
      <c r="AB19" s="10">
        <f>IF($B19="","",IFERROR(MATCH($B19,입력_기본자료!$B$2:$B$1001,0),IFERROR(MATCH($B19&amp;"",입력_기본자료!$B$2:$B$1001,0),IFERROR(MATCH(VALUE($B19),입력_기본자료!$B$2:$B$1001,0),""))))</f>
        <v/>
      </c>
      <c r="AC19" s="10">
        <f>IF($B19="","",IFERROR(MATCH($B19,입력_인턴근무계획!$D$3:$D$402,0),IFERROR(MATCH($B19&amp;"",입력_인턴근무계획!$D$3:$D$402,0),IFERROR(MATCH(VALUE($B19),입력_인턴근무계획!$D$3:$D$402,0),""))))</f>
        <v/>
      </c>
      <c r="AD19" s="10">
        <f>IF(OR($AC19="",출력_인턴현황!$G$3=""),"",INDEX(입력_인턴근무계획!$M$3:$R$402,$AC19,출력_인턴현황!$G$3)&amp;"")</f>
        <v/>
      </c>
      <c r="AE19" s="10">
        <f>IF($B19="","",IF($M19&lt;&gt;"",$M19,IF(IF($AQ19="",FALSE,INDEX(출력_구리근무자!$J$6:$J$305,$AQ19)="구리독자"),"구리병원",IF($AF19&lt;&gt;"",IF(LEFT(INDEX(입력_파견수련계획!$R$4:$R$803,$AF19),1)&lt;&gt;"⚠",INDEX(입력_파견수련계획!$R$4:$R$803,$AF19),IF($H19="","",IF(RIGHT($H19,2)="병원",$H19,$H19&amp;"병원"))),IF($H19="","",IF(RIGHT($H19,2)="병원",$H19,$H19&amp;"병원"))))))</f>
        <v/>
      </c>
      <c r="AF19" s="10">
        <f>IF(OR($B19="",TRIM($J19&amp;"")=""),"",IFERROR(MATCH(TRIM($J19&amp;"")&amp;"|파견중",입력_파견수련계획!$Y$4:$Y$803,0),IFERROR(MATCH(TRIM($J19&amp;"")&amp;"|파견예정",입력_파견수련계획!$Y$4:$Y$803,0),IFERROR(MATCH(TRIM($J19&amp;"")&amp;"|파견종료",입력_파견수련계획!$Y$4:$Y$803,0),""))))</f>
        <v/>
      </c>
      <c r="AG19" s="10">
        <f>IF($B19="","",IF(AND(IF(OR($AC19="",출력_인턴현황!$K$2=""),"",INDEX(입력_인턴근무계획!$M$3:$R$402,$AC19,출력_인턴현황!$K$2)&amp;"")&lt;&gt;"",LEFT(IF(OR($AC19="",출력_인턴현황!$K$2=""),"",INDEX(입력_인턴근무계획!$M$3:$R$402,$AC19,출력_인턴현황!$K$2)&amp;""),1)&lt;&gt;"⚠"),LEFT(IF(OR($AC19="",출력_인턴현황!$K$2=""),"",INDEX(입력_인턴근무계획!$M$3:$R$402,$AC19,출력_인턴현황!$K$2)&amp;""),FIND(" ",IF(OR($AC19="",출력_인턴현황!$K$2=""),"",INDEX(입력_인턴근무계획!$M$3:$R$402,$AC19,출력_인턴현황!$K$2)&amp;""))-1),$AE19))</f>
        <v/>
      </c>
      <c r="AH19" s="17">
        <f>IF($B19="","",IF($AQ19&lt;&gt;"",MAX(0,DAY(EOMONTH(출력_요약!$B$3,0))-N($AR19)),IF(TRIM($J19&amp;"")="",0,SUMPRODUCT((입력_파견수련계획!$Q$4:$Q$803=TRIM($J19&amp;""))*(입력_파견수련계획!$S$4:$S$803="서울병원")*입력_파견수련계획!$W$4:$W$803))+IF($AG19="서울병원",MAX(0,DAY(EOMONTH(출력_요약!$B$3,0))-N($X19)),0)))</f>
        <v/>
      </c>
      <c r="AI19" s="17">
        <f>IF($B19="","",IF($AQ19&lt;&gt;"",N($AR19),IF(TRIM($J19&amp;"")="",0,SUMPRODUCT((입력_파견수련계획!$Q$4:$Q$803=TRIM($J19&amp;""))*(입력_파견수련계획!$S$4:$S$803="구리병원")*입력_파견수련계획!$W$4:$W$803))+IF($AG19="구리병원",MAX(0,DAY(EOMONTH(출력_요약!$B$3,0))-N($X19)),0)))</f>
        <v/>
      </c>
      <c r="AJ19" s="10">
        <f>IF(OR($B19="",TRIM($J19&amp;"")=""),"",IFERROR(MATCH(TRIM($J19&amp;"")&amp;"|월",입력_파견수련계획!$Z$4:$Z$803,0),""))</f>
        <v/>
      </c>
      <c r="AK19" s="10">
        <f>IF(OR($B19="",TRIM($J19&amp;"")=""),"",IFERROR(MATCH(TRIM($J19&amp;"")&amp;"|다기관",입력_파견수련계획!$AE$4:$AE$803,0),""))</f>
        <v/>
      </c>
      <c r="AL19" s="10">
        <f>IF($AK19="","","다기관 "&amp;TEXT(INDEX(입력_파견수련계획!$AB$4:$AB$803,$AK19),"yyyy-mm-dd")&amp;"~"&amp;IF(ISNUMBER(INDEX(입력_파견수련계획!$AC$4:$AC$803,$AK19)),TEXT(INDEX(입력_파견수련계획!$AC$4:$AC$803,$AK19),"yyyy-mm-dd"),""))</f>
        <v/>
      </c>
      <c r="AM19" s="10">
        <f>IF($Y19="서울병원",COUNTIF($Y$2:$Y19,"서울병원"),"")</f>
        <v/>
      </c>
      <c r="AN19" s="10">
        <f>IF(LEFT($Y19,1)="⚠",COUNTIF($Y$2:$Y19,"⚠*"),"")</f>
        <v/>
      </c>
      <c r="AO19" s="10">
        <f>IF(OR($B19="",$Y19=""),"",IF(IF(TRIM($J19&amp;"")="",0,SUMPRODUCT((입력_파견수련계획!$Q$4:$Q$803=TRIM($J19&amp;""))*입력_파견수련계획!$AD$4:$AD$803))&gt;0,"다기관 기간 → 소속병원 지급",IF(AND(N($X19)&lt;=0,$AQ19=""),"파견 없음 → 그 달 근무병원 지급",IF($AH19+$AI19=DAY(EOMONTH(출력_요약!$B$3,0)),"서울 "&amp;$AH19&amp;"일 / 구리 "&amp;$AI19&amp;"일"&amp;IF($AQ19&lt;&gt;""," (구리 근무자명단 반영)","")&amp;" → 15일 이상 근무 병원 지급","타 병원 포함 → "&amp;IF($AJ19="","소속",INDEX(입력_파견수련계획!$T$4:$T$803,$AJ19))&amp;" 규칙"))))</f>
        <v/>
      </c>
      <c r="AP19" s="10">
        <f>IF($B19="","",$C19&amp;"|"&amp;$F19)</f>
        <v/>
      </c>
      <c r="AQ19" s="10">
        <f>IF($B19="","",IFERROR(MATCH(ROW()-1,출력_구리근무자!$K$6:$K$305,0),""))</f>
        <v/>
      </c>
      <c r="AR19" s="10">
        <f>IF($AQ19="","",INDEX(출력_구리근무자!$H$6:$H$305,$AQ19))</f>
        <v/>
      </c>
    </row>
    <row r="20">
      <c r="A20" s="10">
        <f>IF(B20="","",ROW()-1)</f>
        <v/>
      </c>
      <c r="B20" s="19" t="n"/>
      <c r="C20" s="10">
        <f>IF($AB20="","",IF(INDEX(입력_기본자료!$C$2:$C$1001,$AB20)="","",INDEX(입력_기본자료!$C$2:$C$1001,$AB20)))</f>
        <v/>
      </c>
      <c r="D20" s="10">
        <f>IF($AB20="","",IF(INDEX(입력_기본자료!$J$2:$J$1001,$AB20)="","",INDEX(입력_기본자료!$J$2:$J$1001,$AB20)))</f>
        <v/>
      </c>
      <c r="E20" s="11">
        <f>IF($AB20="","",IF(INDEX(입력_기본자료!$K$2:$K$1001,$AB20)="","",IF(NOT(ISNUMBER(INDEX(입력_기본자료!$K$2:$K$1001,$AB20))),INDEX(입력_기본자료!$K$2:$K$1001,$AB20),IF(INDEX(입력_기본자료!$K$2:$K$1001,$AB20)&lt;1000000,INDEX(입력_기본자료!$K$2:$K$1001,$AB20),IF(AND(INDEX(입력_기본자료!$K$2:$K$1001,$AB20)&gt;=10000101,INT(MOD(INDEX(입력_기본자료!$K$2:$K$1001,$AB20),10000)/100)&gt;=1,INT(MOD(INDEX(입력_기본자료!$K$2:$K$1001,$AB20),10000)/100)&lt;=12,MOD(INDEX(입력_기본자료!$K$2:$K$1001,$AB20),100)&gt;=1,MOD(INDEX(입력_기본자료!$K$2:$K$1001,$AB20),100)&lt;=31),DATE(INT(INDEX(입력_기본자료!$K$2:$K$1001,$AB20)/10000),INT(MOD(INDEX(입력_기본자료!$K$2:$K$1001,$AB20),10000)/100),MOD(INDEX(입력_기본자료!$K$2:$K$1001,$AB20),100)),INDEX(입력_기본자료!$K$2:$K$1001,$AB20)&amp;"")))))</f>
        <v/>
      </c>
      <c r="F20" s="10">
        <f>IF($AB20="","",IF(INDEX(입력_기본자료!$D$2:$D$1001,$AB20)="","",INDEX(입력_기본자료!$D$2:$D$1001,$AB20)))</f>
        <v/>
      </c>
      <c r="G20" s="10">
        <f>IF($AB20="","",IF(INDEX(입력_기본자료!$E$2:$E$1001,$AB20)="","",INDEX(입력_기본자료!$E$2:$E$1001,$AB20)))</f>
        <v/>
      </c>
      <c r="H20" s="10">
        <f>IF($AB20="","",IF(INDEX(입력_기본자료!$F$2:$F$1001,$AB20)="","",INDEX(입력_기본자료!$F$2:$F$1001,$AB20)))</f>
        <v/>
      </c>
      <c r="I20" s="11">
        <f>IF($AB20="","",IF(INDEX(입력_기본자료!$G$2:$G$1001,$AB20)="","",IF(NOT(ISNUMBER(INDEX(입력_기본자료!$G$2:$G$1001,$AB20))),INDEX(입력_기본자료!$G$2:$G$1001,$AB20),IF(INDEX(입력_기본자료!$G$2:$G$1001,$AB20)&lt;1000000,INDEX(입력_기본자료!$G$2:$G$1001,$AB20),IF(AND(INDEX(입력_기본자료!$G$2:$G$1001,$AB20)&gt;=10000101,INT(MOD(INDEX(입력_기본자료!$G$2:$G$1001,$AB20),10000)/100)&gt;=1,INT(MOD(INDEX(입력_기본자료!$G$2:$G$1001,$AB20),10000)/100)&lt;=12,MOD(INDEX(입력_기본자료!$G$2:$G$1001,$AB20),100)&gt;=1,MOD(INDEX(입력_기본자료!$G$2:$G$1001,$AB20),100)&lt;=31),DATE(INT(INDEX(입력_기본자료!$G$2:$G$1001,$AB20)/10000),INT(MOD(INDEX(입력_기본자료!$G$2:$G$1001,$AB20),10000)/100),MOD(INDEX(입력_기본자료!$G$2:$G$1001,$AB20),100)),INDEX(입력_기본자료!$G$2:$G$1001,$AB20)&amp;"")))))</f>
        <v/>
      </c>
      <c r="J20" s="10">
        <f>IF($AB20="","",IF(INDEX(입력_기본자료!$H$2:$H$1001,$AB20)="","",INDEX(입력_기본자료!$H$2:$H$1001,$AB20)))</f>
        <v/>
      </c>
      <c r="K20" s="10">
        <f>IF($AB20="","",IF(INDEX(입력_기본자료!$I$2:$I$1001,$AB20)="","",INDEX(입력_기본자료!$I$2:$I$1001,$AB20)))</f>
        <v/>
      </c>
      <c r="L20" s="10">
        <f>IF($AB20="","",IF(INDEX(입력_기본자료!$A$2:$A$1001,$AB20)="","",INDEX(입력_기본자료!$A$2:$A$1001,$AB20)))</f>
        <v/>
      </c>
      <c r="M20" s="15" t="n"/>
      <c r="N20" s="10">
        <f>IF($B20="","",IF(AND($U20="파견중",$Q20&lt;&gt;""),$Q20,IF(AND($AD20&lt;&gt;"",LEFT($AD20,1)&lt;&gt;"⚠"),LEFT($AD20,FIND(" ",$AD20)-1),IF($H20="","",IF(RIGHT($H20,2)="병원",$H20,$H20&amp;"병원")))))</f>
        <v/>
      </c>
      <c r="O20" s="10">
        <f>IF($B20="","",IF(AND($U20="파견중",$Q20&lt;&gt;""),IF($R20&lt;&gt;"",$R20,"파견과 미입력"),IF(AND($AD20&lt;&gt;"",LEFT($AD20,1)&lt;&gt;"⚠"),MID($AD20,FIND(" ",$AD20)+1,60),IF($F20="","",IF($F20="인턴","수련교육부(인턴)",$F20)))))</f>
        <v/>
      </c>
      <c r="P20" s="10">
        <f>IF($B20="","",IF($AK20&lt;&gt;"",IF(AND(TODAY()&gt;=INDEX(입력_파견수련계획!$AB$4:$AB$803,$AK20),OR(NOT(ISNUMBER(INDEX(입력_파견수련계획!$AC$4:$AC$803,$AK20))),TODAY()&lt;=INDEX(입력_파견수련계획!$AC$4:$AC$803,$AK20))),"다기관",IF($AF20="","",INDEX(입력_파견수련계획!$T$4:$T$803,$AF20))),IF($AF20="","",INDEX(입력_파견수련계획!$T$4:$T$803,$AF20))))</f>
        <v/>
      </c>
      <c r="Q20" s="10">
        <f>IF($AF20="","",INDEX(입력_파견수련계획!$S$4:$S$803,$AF20))</f>
        <v/>
      </c>
      <c r="R20" s="10">
        <f>IF($AF20="","",INDEX(입력_파견수련계획!$U$4:$U$803,$AF20))</f>
        <v/>
      </c>
      <c r="S20" s="11">
        <f>IF($AF20="","",IF(INDEX(입력_파견수련계획!$H$4:$H$803,$AF20)="","",INDEX(입력_파견수련계획!$H$4:$H$803,$AF20)))</f>
        <v/>
      </c>
      <c r="T20" s="11">
        <f>IF($AF20="","",IF(INDEX(입력_파견수련계획!$I$4:$I$803,$AF20)="","",INDEX(입력_파견수련계획!$I$4:$I$803,$AF20)))</f>
        <v/>
      </c>
      <c r="U20" s="10">
        <f>IF($AF20="","",INDEX(입력_파견수련계획!$X$4:$X$803,$AF20))</f>
        <v/>
      </c>
      <c r="V20" s="17">
        <f>IF($AF20="","",INDEX(입력_파견수련계획!$V$4:$V$803,$AF20))</f>
        <v/>
      </c>
      <c r="W20" s="17">
        <f>IF(AND($U20="파견중",$T20&lt;&gt;""),$T20-TODAY(),"")</f>
        <v/>
      </c>
      <c r="X20" s="17">
        <f>IF(OR($B20="",TRIM($J20&amp;"")=""),"",SUMPRODUCT((입력_파견수련계획!$Q$4:$Q$803=TRIM($J20&amp;""))*입력_파견수련계획!$W$4:$W$803))</f>
        <v/>
      </c>
      <c r="Y20" s="10">
        <f>IF($B20="","",IF($AG20="","",IF(IF(TRIM($J20&amp;"")="",0,SUMPRODUCT((입력_파견수련계획!$Q$4:$Q$803=TRIM($J20&amp;""))*입력_파견수련계획!$AD$4:$AD$803))&gt;0,$AE20,IF(AND(N($X20)&lt;=0,$AQ20=""),$AG20,IF($AH20+$AI20=DAY(EOMONTH(출력_요약!$B$3,0)),IF(AND($AH20&gt;=출력_요약!$E$3,$AI20&lt;출력_요약!$E$3),"서울병원",IF(AND($AI20&gt;=출력_요약!$E$3,$AH20&lt;출력_요약!$E$3),"구리병원","⚠15일 판정불가(서울 "&amp;$AH20&amp;"일/구리 "&amp;$AI20&amp;"일)")),IF($AJ20="",$AE20,IF(INDEX(입력_파견수련계획!$T$4:$T$803,$AJ20)="통합수련",INDEX(입력_파견수련계획!$S$4:$S$803,$AJ20),$AE20)))))))</f>
        <v/>
      </c>
      <c r="Z20" s="20">
        <f>IF($B20="","",IF($AB20="","기본자료에 없는 사번",IF(COUNTIF($B$2:$B$401,$B20)&gt;1,"중복 사번",IF($AE20="","소속(입사장소) 입력",IF(IF(TRIM($J20&amp;"")="",0,SUMPRODUCT((입력_파견수련계획!$Q$4:$Q$803=TRIM($J20&amp;""))*(입력_파견수련계획!$AA$4:$AA$803&lt;&gt;"")))&gt;0,"파견수련계획 입력오류 확인",IF(LEFT($Y20,1)="⚠","서울·구리 15일 판정 불가(양쪽 모두 이상/미만)",IF(IF($AC20="",0,N(INDEX(입력_인턴근무계획!$T$3:$T$402,$AC20)))&gt;0,"인턴계획 입력오류 확인",IF(AND($AQ20&lt;&gt;"",$AG20&lt;&gt;"구리병원",IF(TRIM($J20&amp;"")="",0,SUMPRODUCT((입력_파견수련계획!$Q$4:$Q$803=TRIM($J20&amp;""))*(입력_파견수련계획!$S$4:$S$803="구리병원")*입력_파견수련계획!$W$4:$W$803))=0),"구리 근무자명단에만 있음(파견수련계획 확인)",IF(AND($AC20&lt;&gt;"",$U20&lt;&gt;"파견중",$N20&lt;&gt;$AE20),"인턴 타지역 근무: 파견 여부 확인","정상")))))))))</f>
        <v/>
      </c>
      <c r="AA20" s="5" t="n"/>
      <c r="AB20" s="10">
        <f>IF($B20="","",IFERROR(MATCH($B20,입력_기본자료!$B$2:$B$1001,0),IFERROR(MATCH($B20&amp;"",입력_기본자료!$B$2:$B$1001,0),IFERROR(MATCH(VALUE($B20),입력_기본자료!$B$2:$B$1001,0),""))))</f>
        <v/>
      </c>
      <c r="AC20" s="10">
        <f>IF($B20="","",IFERROR(MATCH($B20,입력_인턴근무계획!$D$3:$D$402,0),IFERROR(MATCH($B20&amp;"",입력_인턴근무계획!$D$3:$D$402,0),IFERROR(MATCH(VALUE($B20),입력_인턴근무계획!$D$3:$D$402,0),""))))</f>
        <v/>
      </c>
      <c r="AD20" s="10">
        <f>IF(OR($AC20="",출력_인턴현황!$G$3=""),"",INDEX(입력_인턴근무계획!$M$3:$R$402,$AC20,출력_인턴현황!$G$3)&amp;"")</f>
        <v/>
      </c>
      <c r="AE20" s="10">
        <f>IF($B20="","",IF($M20&lt;&gt;"",$M20,IF(IF($AQ20="",FALSE,INDEX(출력_구리근무자!$J$6:$J$305,$AQ20)="구리독자"),"구리병원",IF($AF20&lt;&gt;"",IF(LEFT(INDEX(입력_파견수련계획!$R$4:$R$803,$AF20),1)&lt;&gt;"⚠",INDEX(입력_파견수련계획!$R$4:$R$803,$AF20),IF($H20="","",IF(RIGHT($H20,2)="병원",$H20,$H20&amp;"병원"))),IF($H20="","",IF(RIGHT($H20,2)="병원",$H20,$H20&amp;"병원"))))))</f>
        <v/>
      </c>
      <c r="AF20" s="10">
        <f>IF(OR($B20="",TRIM($J20&amp;"")=""),"",IFERROR(MATCH(TRIM($J20&amp;"")&amp;"|파견중",입력_파견수련계획!$Y$4:$Y$803,0),IFERROR(MATCH(TRIM($J20&amp;"")&amp;"|파견예정",입력_파견수련계획!$Y$4:$Y$803,0),IFERROR(MATCH(TRIM($J20&amp;"")&amp;"|파견종료",입력_파견수련계획!$Y$4:$Y$803,0),""))))</f>
        <v/>
      </c>
      <c r="AG20" s="10">
        <f>IF($B20="","",IF(AND(IF(OR($AC20="",출력_인턴현황!$K$2=""),"",INDEX(입력_인턴근무계획!$M$3:$R$402,$AC20,출력_인턴현황!$K$2)&amp;"")&lt;&gt;"",LEFT(IF(OR($AC20="",출력_인턴현황!$K$2=""),"",INDEX(입력_인턴근무계획!$M$3:$R$402,$AC20,출력_인턴현황!$K$2)&amp;""),1)&lt;&gt;"⚠"),LEFT(IF(OR($AC20="",출력_인턴현황!$K$2=""),"",INDEX(입력_인턴근무계획!$M$3:$R$402,$AC20,출력_인턴현황!$K$2)&amp;""),FIND(" ",IF(OR($AC20="",출력_인턴현황!$K$2=""),"",INDEX(입력_인턴근무계획!$M$3:$R$402,$AC20,출력_인턴현황!$K$2)&amp;""))-1),$AE20))</f>
        <v/>
      </c>
      <c r="AH20" s="17">
        <f>IF($B20="","",IF($AQ20&lt;&gt;"",MAX(0,DAY(EOMONTH(출력_요약!$B$3,0))-N($AR20)),IF(TRIM($J20&amp;"")="",0,SUMPRODUCT((입력_파견수련계획!$Q$4:$Q$803=TRIM($J20&amp;""))*(입력_파견수련계획!$S$4:$S$803="서울병원")*입력_파견수련계획!$W$4:$W$803))+IF($AG20="서울병원",MAX(0,DAY(EOMONTH(출력_요약!$B$3,0))-N($X20)),0)))</f>
        <v/>
      </c>
      <c r="AI20" s="17">
        <f>IF($B20="","",IF($AQ20&lt;&gt;"",N($AR20),IF(TRIM($J20&amp;"")="",0,SUMPRODUCT((입력_파견수련계획!$Q$4:$Q$803=TRIM($J20&amp;""))*(입력_파견수련계획!$S$4:$S$803="구리병원")*입력_파견수련계획!$W$4:$W$803))+IF($AG20="구리병원",MAX(0,DAY(EOMONTH(출력_요약!$B$3,0))-N($X20)),0)))</f>
        <v/>
      </c>
      <c r="AJ20" s="10">
        <f>IF(OR($B20="",TRIM($J20&amp;"")=""),"",IFERROR(MATCH(TRIM($J20&amp;"")&amp;"|월",입력_파견수련계획!$Z$4:$Z$803,0),""))</f>
        <v/>
      </c>
      <c r="AK20" s="10">
        <f>IF(OR($B20="",TRIM($J20&amp;"")=""),"",IFERROR(MATCH(TRIM($J20&amp;"")&amp;"|다기관",입력_파견수련계획!$AE$4:$AE$803,0),""))</f>
        <v/>
      </c>
      <c r="AL20" s="10">
        <f>IF($AK20="","","다기관 "&amp;TEXT(INDEX(입력_파견수련계획!$AB$4:$AB$803,$AK20),"yyyy-mm-dd")&amp;"~"&amp;IF(ISNUMBER(INDEX(입력_파견수련계획!$AC$4:$AC$803,$AK20)),TEXT(INDEX(입력_파견수련계획!$AC$4:$AC$803,$AK20),"yyyy-mm-dd"),""))</f>
        <v/>
      </c>
      <c r="AM20" s="10">
        <f>IF($Y20="서울병원",COUNTIF($Y$2:$Y20,"서울병원"),"")</f>
        <v/>
      </c>
      <c r="AN20" s="10">
        <f>IF(LEFT($Y20,1)="⚠",COUNTIF($Y$2:$Y20,"⚠*"),"")</f>
        <v/>
      </c>
      <c r="AO20" s="10">
        <f>IF(OR($B20="",$Y20=""),"",IF(IF(TRIM($J20&amp;"")="",0,SUMPRODUCT((입력_파견수련계획!$Q$4:$Q$803=TRIM($J20&amp;""))*입력_파견수련계획!$AD$4:$AD$803))&gt;0,"다기관 기간 → 소속병원 지급",IF(AND(N($X20)&lt;=0,$AQ20=""),"파견 없음 → 그 달 근무병원 지급",IF($AH20+$AI20=DAY(EOMONTH(출력_요약!$B$3,0)),"서울 "&amp;$AH20&amp;"일 / 구리 "&amp;$AI20&amp;"일"&amp;IF($AQ20&lt;&gt;""," (구리 근무자명단 반영)","")&amp;" → 15일 이상 근무 병원 지급","타 병원 포함 → "&amp;IF($AJ20="","소속",INDEX(입력_파견수련계획!$T$4:$T$803,$AJ20))&amp;" 규칙"))))</f>
        <v/>
      </c>
      <c r="AP20" s="10">
        <f>IF($B20="","",$C20&amp;"|"&amp;$F20)</f>
        <v/>
      </c>
      <c r="AQ20" s="10">
        <f>IF($B20="","",IFERROR(MATCH(ROW()-1,출력_구리근무자!$K$6:$K$305,0),""))</f>
        <v/>
      </c>
      <c r="AR20" s="10">
        <f>IF($AQ20="","",INDEX(출력_구리근무자!$H$6:$H$305,$AQ20))</f>
        <v/>
      </c>
    </row>
    <row r="21">
      <c r="A21" s="10">
        <f>IF(B21="","",ROW()-1)</f>
        <v/>
      </c>
      <c r="B21" s="19" t="n"/>
      <c r="C21" s="10">
        <f>IF($AB21="","",IF(INDEX(입력_기본자료!$C$2:$C$1001,$AB21)="","",INDEX(입력_기본자료!$C$2:$C$1001,$AB21)))</f>
        <v/>
      </c>
      <c r="D21" s="10">
        <f>IF($AB21="","",IF(INDEX(입력_기본자료!$J$2:$J$1001,$AB21)="","",INDEX(입력_기본자료!$J$2:$J$1001,$AB21)))</f>
        <v/>
      </c>
      <c r="E21" s="11">
        <f>IF($AB21="","",IF(INDEX(입력_기본자료!$K$2:$K$1001,$AB21)="","",IF(NOT(ISNUMBER(INDEX(입력_기본자료!$K$2:$K$1001,$AB21))),INDEX(입력_기본자료!$K$2:$K$1001,$AB21),IF(INDEX(입력_기본자료!$K$2:$K$1001,$AB21)&lt;1000000,INDEX(입력_기본자료!$K$2:$K$1001,$AB21),IF(AND(INDEX(입력_기본자료!$K$2:$K$1001,$AB21)&gt;=10000101,INT(MOD(INDEX(입력_기본자료!$K$2:$K$1001,$AB21),10000)/100)&gt;=1,INT(MOD(INDEX(입력_기본자료!$K$2:$K$1001,$AB21),10000)/100)&lt;=12,MOD(INDEX(입력_기본자료!$K$2:$K$1001,$AB21),100)&gt;=1,MOD(INDEX(입력_기본자료!$K$2:$K$1001,$AB21),100)&lt;=31),DATE(INT(INDEX(입력_기본자료!$K$2:$K$1001,$AB21)/10000),INT(MOD(INDEX(입력_기본자료!$K$2:$K$1001,$AB21),10000)/100),MOD(INDEX(입력_기본자료!$K$2:$K$1001,$AB21),100)),INDEX(입력_기본자료!$K$2:$K$1001,$AB21)&amp;"")))))</f>
        <v/>
      </c>
      <c r="F21" s="10">
        <f>IF($AB21="","",IF(INDEX(입력_기본자료!$D$2:$D$1001,$AB21)="","",INDEX(입력_기본자료!$D$2:$D$1001,$AB21)))</f>
        <v/>
      </c>
      <c r="G21" s="10">
        <f>IF($AB21="","",IF(INDEX(입력_기본자료!$E$2:$E$1001,$AB21)="","",INDEX(입력_기본자료!$E$2:$E$1001,$AB21)))</f>
        <v/>
      </c>
      <c r="H21" s="10">
        <f>IF($AB21="","",IF(INDEX(입력_기본자료!$F$2:$F$1001,$AB21)="","",INDEX(입력_기본자료!$F$2:$F$1001,$AB21)))</f>
        <v/>
      </c>
      <c r="I21" s="11">
        <f>IF($AB21="","",IF(INDEX(입력_기본자료!$G$2:$G$1001,$AB21)="","",IF(NOT(ISNUMBER(INDEX(입력_기본자료!$G$2:$G$1001,$AB21))),INDEX(입력_기본자료!$G$2:$G$1001,$AB21),IF(INDEX(입력_기본자료!$G$2:$G$1001,$AB21)&lt;1000000,INDEX(입력_기본자료!$G$2:$G$1001,$AB21),IF(AND(INDEX(입력_기본자료!$G$2:$G$1001,$AB21)&gt;=10000101,INT(MOD(INDEX(입력_기본자료!$G$2:$G$1001,$AB21),10000)/100)&gt;=1,INT(MOD(INDEX(입력_기본자료!$G$2:$G$1001,$AB21),10000)/100)&lt;=12,MOD(INDEX(입력_기본자료!$G$2:$G$1001,$AB21),100)&gt;=1,MOD(INDEX(입력_기본자료!$G$2:$G$1001,$AB21),100)&lt;=31),DATE(INT(INDEX(입력_기본자료!$G$2:$G$1001,$AB21)/10000),INT(MOD(INDEX(입력_기본자료!$G$2:$G$1001,$AB21),10000)/100),MOD(INDEX(입력_기본자료!$G$2:$G$1001,$AB21),100)),INDEX(입력_기본자료!$G$2:$G$1001,$AB21)&amp;"")))))</f>
        <v/>
      </c>
      <c r="J21" s="10">
        <f>IF($AB21="","",IF(INDEX(입력_기본자료!$H$2:$H$1001,$AB21)="","",INDEX(입력_기본자료!$H$2:$H$1001,$AB21)))</f>
        <v/>
      </c>
      <c r="K21" s="10">
        <f>IF($AB21="","",IF(INDEX(입력_기본자료!$I$2:$I$1001,$AB21)="","",INDEX(입력_기본자료!$I$2:$I$1001,$AB21)))</f>
        <v/>
      </c>
      <c r="L21" s="10">
        <f>IF($AB21="","",IF(INDEX(입력_기본자료!$A$2:$A$1001,$AB21)="","",INDEX(입력_기본자료!$A$2:$A$1001,$AB21)))</f>
        <v/>
      </c>
      <c r="M21" s="15" t="n"/>
      <c r="N21" s="10">
        <f>IF($B21="","",IF(AND($U21="파견중",$Q21&lt;&gt;""),$Q21,IF(AND($AD21&lt;&gt;"",LEFT($AD21,1)&lt;&gt;"⚠"),LEFT($AD21,FIND(" ",$AD21)-1),IF($H21="","",IF(RIGHT($H21,2)="병원",$H21,$H21&amp;"병원")))))</f>
        <v/>
      </c>
      <c r="O21" s="10">
        <f>IF($B21="","",IF(AND($U21="파견중",$Q21&lt;&gt;""),IF($R21&lt;&gt;"",$R21,"파견과 미입력"),IF(AND($AD21&lt;&gt;"",LEFT($AD21,1)&lt;&gt;"⚠"),MID($AD21,FIND(" ",$AD21)+1,60),IF($F21="","",IF($F21="인턴","수련교육부(인턴)",$F21)))))</f>
        <v/>
      </c>
      <c r="P21" s="10">
        <f>IF($B21="","",IF($AK21&lt;&gt;"",IF(AND(TODAY()&gt;=INDEX(입력_파견수련계획!$AB$4:$AB$803,$AK21),OR(NOT(ISNUMBER(INDEX(입력_파견수련계획!$AC$4:$AC$803,$AK21))),TODAY()&lt;=INDEX(입력_파견수련계획!$AC$4:$AC$803,$AK21))),"다기관",IF($AF21="","",INDEX(입력_파견수련계획!$T$4:$T$803,$AF21))),IF($AF21="","",INDEX(입력_파견수련계획!$T$4:$T$803,$AF21))))</f>
        <v/>
      </c>
      <c r="Q21" s="10">
        <f>IF($AF21="","",INDEX(입력_파견수련계획!$S$4:$S$803,$AF21))</f>
        <v/>
      </c>
      <c r="R21" s="10">
        <f>IF($AF21="","",INDEX(입력_파견수련계획!$U$4:$U$803,$AF21))</f>
        <v/>
      </c>
      <c r="S21" s="11">
        <f>IF($AF21="","",IF(INDEX(입력_파견수련계획!$H$4:$H$803,$AF21)="","",INDEX(입력_파견수련계획!$H$4:$H$803,$AF21)))</f>
        <v/>
      </c>
      <c r="T21" s="11">
        <f>IF($AF21="","",IF(INDEX(입력_파견수련계획!$I$4:$I$803,$AF21)="","",INDEX(입력_파견수련계획!$I$4:$I$803,$AF21)))</f>
        <v/>
      </c>
      <c r="U21" s="10">
        <f>IF($AF21="","",INDEX(입력_파견수련계획!$X$4:$X$803,$AF21))</f>
        <v/>
      </c>
      <c r="V21" s="17">
        <f>IF($AF21="","",INDEX(입력_파견수련계획!$V$4:$V$803,$AF21))</f>
        <v/>
      </c>
      <c r="W21" s="17">
        <f>IF(AND($U21="파견중",$T21&lt;&gt;""),$T21-TODAY(),"")</f>
        <v/>
      </c>
      <c r="X21" s="17">
        <f>IF(OR($B21="",TRIM($J21&amp;"")=""),"",SUMPRODUCT((입력_파견수련계획!$Q$4:$Q$803=TRIM($J21&amp;""))*입력_파견수련계획!$W$4:$W$803))</f>
        <v/>
      </c>
      <c r="Y21" s="10">
        <f>IF($B21="","",IF($AG21="","",IF(IF(TRIM($J21&amp;"")="",0,SUMPRODUCT((입력_파견수련계획!$Q$4:$Q$803=TRIM($J21&amp;""))*입력_파견수련계획!$AD$4:$AD$803))&gt;0,$AE21,IF(AND(N($X21)&lt;=0,$AQ21=""),$AG21,IF($AH21+$AI21=DAY(EOMONTH(출력_요약!$B$3,0)),IF(AND($AH21&gt;=출력_요약!$E$3,$AI21&lt;출력_요약!$E$3),"서울병원",IF(AND($AI21&gt;=출력_요약!$E$3,$AH21&lt;출력_요약!$E$3),"구리병원","⚠15일 판정불가(서울 "&amp;$AH21&amp;"일/구리 "&amp;$AI21&amp;"일)")),IF($AJ21="",$AE21,IF(INDEX(입력_파견수련계획!$T$4:$T$803,$AJ21)="통합수련",INDEX(입력_파견수련계획!$S$4:$S$803,$AJ21),$AE21)))))))</f>
        <v/>
      </c>
      <c r="Z21" s="20">
        <f>IF($B21="","",IF($AB21="","기본자료에 없는 사번",IF(COUNTIF($B$2:$B$401,$B21)&gt;1,"중복 사번",IF($AE21="","소속(입사장소) 입력",IF(IF(TRIM($J21&amp;"")="",0,SUMPRODUCT((입력_파견수련계획!$Q$4:$Q$803=TRIM($J21&amp;""))*(입력_파견수련계획!$AA$4:$AA$803&lt;&gt;"")))&gt;0,"파견수련계획 입력오류 확인",IF(LEFT($Y21,1)="⚠","서울·구리 15일 판정 불가(양쪽 모두 이상/미만)",IF(IF($AC21="",0,N(INDEX(입력_인턴근무계획!$T$3:$T$402,$AC21)))&gt;0,"인턴계획 입력오류 확인",IF(AND($AQ21&lt;&gt;"",$AG21&lt;&gt;"구리병원",IF(TRIM($J21&amp;"")="",0,SUMPRODUCT((입력_파견수련계획!$Q$4:$Q$803=TRIM($J21&amp;""))*(입력_파견수련계획!$S$4:$S$803="구리병원")*입력_파견수련계획!$W$4:$W$803))=0),"구리 근무자명단에만 있음(파견수련계획 확인)",IF(AND($AC21&lt;&gt;"",$U21&lt;&gt;"파견중",$N21&lt;&gt;$AE21),"인턴 타지역 근무: 파견 여부 확인","정상")))))))))</f>
        <v/>
      </c>
      <c r="AA21" s="5" t="n"/>
      <c r="AB21" s="10">
        <f>IF($B21="","",IFERROR(MATCH($B21,입력_기본자료!$B$2:$B$1001,0),IFERROR(MATCH($B21&amp;"",입력_기본자료!$B$2:$B$1001,0),IFERROR(MATCH(VALUE($B21),입력_기본자료!$B$2:$B$1001,0),""))))</f>
        <v/>
      </c>
      <c r="AC21" s="10">
        <f>IF($B21="","",IFERROR(MATCH($B21,입력_인턴근무계획!$D$3:$D$402,0),IFERROR(MATCH($B21&amp;"",입력_인턴근무계획!$D$3:$D$402,0),IFERROR(MATCH(VALUE($B21),입력_인턴근무계획!$D$3:$D$402,0),""))))</f>
        <v/>
      </c>
      <c r="AD21" s="10">
        <f>IF(OR($AC21="",출력_인턴현황!$G$3=""),"",INDEX(입력_인턴근무계획!$M$3:$R$402,$AC21,출력_인턴현황!$G$3)&amp;"")</f>
        <v/>
      </c>
      <c r="AE21" s="10">
        <f>IF($B21="","",IF($M21&lt;&gt;"",$M21,IF(IF($AQ21="",FALSE,INDEX(출력_구리근무자!$J$6:$J$305,$AQ21)="구리독자"),"구리병원",IF($AF21&lt;&gt;"",IF(LEFT(INDEX(입력_파견수련계획!$R$4:$R$803,$AF21),1)&lt;&gt;"⚠",INDEX(입력_파견수련계획!$R$4:$R$803,$AF21),IF($H21="","",IF(RIGHT($H21,2)="병원",$H21,$H21&amp;"병원"))),IF($H21="","",IF(RIGHT($H21,2)="병원",$H21,$H21&amp;"병원"))))))</f>
        <v/>
      </c>
      <c r="AF21" s="10">
        <f>IF(OR($B21="",TRIM($J21&amp;"")=""),"",IFERROR(MATCH(TRIM($J21&amp;"")&amp;"|파견중",입력_파견수련계획!$Y$4:$Y$803,0),IFERROR(MATCH(TRIM($J21&amp;"")&amp;"|파견예정",입력_파견수련계획!$Y$4:$Y$803,0),IFERROR(MATCH(TRIM($J21&amp;"")&amp;"|파견종료",입력_파견수련계획!$Y$4:$Y$803,0),""))))</f>
        <v/>
      </c>
      <c r="AG21" s="10">
        <f>IF($B21="","",IF(AND(IF(OR($AC21="",출력_인턴현황!$K$2=""),"",INDEX(입력_인턴근무계획!$M$3:$R$402,$AC21,출력_인턴현황!$K$2)&amp;"")&lt;&gt;"",LEFT(IF(OR($AC21="",출력_인턴현황!$K$2=""),"",INDEX(입력_인턴근무계획!$M$3:$R$402,$AC21,출력_인턴현황!$K$2)&amp;""),1)&lt;&gt;"⚠"),LEFT(IF(OR($AC21="",출력_인턴현황!$K$2=""),"",INDEX(입력_인턴근무계획!$M$3:$R$402,$AC21,출력_인턴현황!$K$2)&amp;""),FIND(" ",IF(OR($AC21="",출력_인턴현황!$K$2=""),"",INDEX(입력_인턴근무계획!$M$3:$R$402,$AC21,출력_인턴현황!$K$2)&amp;""))-1),$AE21))</f>
        <v/>
      </c>
      <c r="AH21" s="17">
        <f>IF($B21="","",IF($AQ21&lt;&gt;"",MAX(0,DAY(EOMONTH(출력_요약!$B$3,0))-N($AR21)),IF(TRIM($J21&amp;"")="",0,SUMPRODUCT((입력_파견수련계획!$Q$4:$Q$803=TRIM($J21&amp;""))*(입력_파견수련계획!$S$4:$S$803="서울병원")*입력_파견수련계획!$W$4:$W$803))+IF($AG21="서울병원",MAX(0,DAY(EOMONTH(출력_요약!$B$3,0))-N($X21)),0)))</f>
        <v/>
      </c>
      <c r="AI21" s="17">
        <f>IF($B21="","",IF($AQ21&lt;&gt;"",N($AR21),IF(TRIM($J21&amp;"")="",0,SUMPRODUCT((입력_파견수련계획!$Q$4:$Q$803=TRIM($J21&amp;""))*(입력_파견수련계획!$S$4:$S$803="구리병원")*입력_파견수련계획!$W$4:$W$803))+IF($AG21="구리병원",MAX(0,DAY(EOMONTH(출력_요약!$B$3,0))-N($X21)),0)))</f>
        <v/>
      </c>
      <c r="AJ21" s="10">
        <f>IF(OR($B21="",TRIM($J21&amp;"")=""),"",IFERROR(MATCH(TRIM($J21&amp;"")&amp;"|월",입력_파견수련계획!$Z$4:$Z$803,0),""))</f>
        <v/>
      </c>
      <c r="AK21" s="10">
        <f>IF(OR($B21="",TRIM($J21&amp;"")=""),"",IFERROR(MATCH(TRIM($J21&amp;"")&amp;"|다기관",입력_파견수련계획!$AE$4:$AE$803,0),""))</f>
        <v/>
      </c>
      <c r="AL21" s="10">
        <f>IF($AK21="","","다기관 "&amp;TEXT(INDEX(입력_파견수련계획!$AB$4:$AB$803,$AK21),"yyyy-mm-dd")&amp;"~"&amp;IF(ISNUMBER(INDEX(입력_파견수련계획!$AC$4:$AC$803,$AK21)),TEXT(INDEX(입력_파견수련계획!$AC$4:$AC$803,$AK21),"yyyy-mm-dd"),""))</f>
        <v/>
      </c>
      <c r="AM21" s="10">
        <f>IF($Y21="서울병원",COUNTIF($Y$2:$Y21,"서울병원"),"")</f>
        <v/>
      </c>
      <c r="AN21" s="10">
        <f>IF(LEFT($Y21,1)="⚠",COUNTIF($Y$2:$Y21,"⚠*"),"")</f>
        <v/>
      </c>
      <c r="AO21" s="10">
        <f>IF(OR($B21="",$Y21=""),"",IF(IF(TRIM($J21&amp;"")="",0,SUMPRODUCT((입력_파견수련계획!$Q$4:$Q$803=TRIM($J21&amp;""))*입력_파견수련계획!$AD$4:$AD$803))&gt;0,"다기관 기간 → 소속병원 지급",IF(AND(N($X21)&lt;=0,$AQ21=""),"파견 없음 → 그 달 근무병원 지급",IF($AH21+$AI21=DAY(EOMONTH(출력_요약!$B$3,0)),"서울 "&amp;$AH21&amp;"일 / 구리 "&amp;$AI21&amp;"일"&amp;IF($AQ21&lt;&gt;""," (구리 근무자명단 반영)","")&amp;" → 15일 이상 근무 병원 지급","타 병원 포함 → "&amp;IF($AJ21="","소속",INDEX(입력_파견수련계획!$T$4:$T$803,$AJ21))&amp;" 규칙"))))</f>
        <v/>
      </c>
      <c r="AP21" s="10">
        <f>IF($B21="","",$C21&amp;"|"&amp;$F21)</f>
        <v/>
      </c>
      <c r="AQ21" s="10">
        <f>IF($B21="","",IFERROR(MATCH(ROW()-1,출력_구리근무자!$K$6:$K$305,0),""))</f>
        <v/>
      </c>
      <c r="AR21" s="10">
        <f>IF($AQ21="","",INDEX(출력_구리근무자!$H$6:$H$305,$AQ21))</f>
        <v/>
      </c>
    </row>
    <row r="22">
      <c r="A22" s="10">
        <f>IF(B22="","",ROW()-1)</f>
        <v/>
      </c>
      <c r="B22" s="19" t="n"/>
      <c r="C22" s="10">
        <f>IF($AB22="","",IF(INDEX(입력_기본자료!$C$2:$C$1001,$AB22)="","",INDEX(입력_기본자료!$C$2:$C$1001,$AB22)))</f>
        <v/>
      </c>
      <c r="D22" s="10">
        <f>IF($AB22="","",IF(INDEX(입력_기본자료!$J$2:$J$1001,$AB22)="","",INDEX(입력_기본자료!$J$2:$J$1001,$AB22)))</f>
        <v/>
      </c>
      <c r="E22" s="11">
        <f>IF($AB22="","",IF(INDEX(입력_기본자료!$K$2:$K$1001,$AB22)="","",IF(NOT(ISNUMBER(INDEX(입력_기본자료!$K$2:$K$1001,$AB22))),INDEX(입력_기본자료!$K$2:$K$1001,$AB22),IF(INDEX(입력_기본자료!$K$2:$K$1001,$AB22)&lt;1000000,INDEX(입력_기본자료!$K$2:$K$1001,$AB22),IF(AND(INDEX(입력_기본자료!$K$2:$K$1001,$AB22)&gt;=10000101,INT(MOD(INDEX(입력_기본자료!$K$2:$K$1001,$AB22),10000)/100)&gt;=1,INT(MOD(INDEX(입력_기본자료!$K$2:$K$1001,$AB22),10000)/100)&lt;=12,MOD(INDEX(입력_기본자료!$K$2:$K$1001,$AB22),100)&gt;=1,MOD(INDEX(입력_기본자료!$K$2:$K$1001,$AB22),100)&lt;=31),DATE(INT(INDEX(입력_기본자료!$K$2:$K$1001,$AB22)/10000),INT(MOD(INDEX(입력_기본자료!$K$2:$K$1001,$AB22),10000)/100),MOD(INDEX(입력_기본자료!$K$2:$K$1001,$AB22),100)),INDEX(입력_기본자료!$K$2:$K$1001,$AB22)&amp;"")))))</f>
        <v/>
      </c>
      <c r="F22" s="10">
        <f>IF($AB22="","",IF(INDEX(입력_기본자료!$D$2:$D$1001,$AB22)="","",INDEX(입력_기본자료!$D$2:$D$1001,$AB22)))</f>
        <v/>
      </c>
      <c r="G22" s="10">
        <f>IF($AB22="","",IF(INDEX(입력_기본자료!$E$2:$E$1001,$AB22)="","",INDEX(입력_기본자료!$E$2:$E$1001,$AB22)))</f>
        <v/>
      </c>
      <c r="H22" s="10">
        <f>IF($AB22="","",IF(INDEX(입력_기본자료!$F$2:$F$1001,$AB22)="","",INDEX(입력_기본자료!$F$2:$F$1001,$AB22)))</f>
        <v/>
      </c>
      <c r="I22" s="11">
        <f>IF($AB22="","",IF(INDEX(입력_기본자료!$G$2:$G$1001,$AB22)="","",IF(NOT(ISNUMBER(INDEX(입력_기본자료!$G$2:$G$1001,$AB22))),INDEX(입력_기본자료!$G$2:$G$1001,$AB22),IF(INDEX(입력_기본자료!$G$2:$G$1001,$AB22)&lt;1000000,INDEX(입력_기본자료!$G$2:$G$1001,$AB22),IF(AND(INDEX(입력_기본자료!$G$2:$G$1001,$AB22)&gt;=10000101,INT(MOD(INDEX(입력_기본자료!$G$2:$G$1001,$AB22),10000)/100)&gt;=1,INT(MOD(INDEX(입력_기본자료!$G$2:$G$1001,$AB22),10000)/100)&lt;=12,MOD(INDEX(입력_기본자료!$G$2:$G$1001,$AB22),100)&gt;=1,MOD(INDEX(입력_기본자료!$G$2:$G$1001,$AB22),100)&lt;=31),DATE(INT(INDEX(입력_기본자료!$G$2:$G$1001,$AB22)/10000),INT(MOD(INDEX(입력_기본자료!$G$2:$G$1001,$AB22),10000)/100),MOD(INDEX(입력_기본자료!$G$2:$G$1001,$AB22),100)),INDEX(입력_기본자료!$G$2:$G$1001,$AB22)&amp;"")))))</f>
        <v/>
      </c>
      <c r="J22" s="10">
        <f>IF($AB22="","",IF(INDEX(입력_기본자료!$H$2:$H$1001,$AB22)="","",INDEX(입력_기본자료!$H$2:$H$1001,$AB22)))</f>
        <v/>
      </c>
      <c r="K22" s="10">
        <f>IF($AB22="","",IF(INDEX(입력_기본자료!$I$2:$I$1001,$AB22)="","",INDEX(입력_기본자료!$I$2:$I$1001,$AB22)))</f>
        <v/>
      </c>
      <c r="L22" s="10">
        <f>IF($AB22="","",IF(INDEX(입력_기본자료!$A$2:$A$1001,$AB22)="","",INDEX(입력_기본자료!$A$2:$A$1001,$AB22)))</f>
        <v/>
      </c>
      <c r="M22" s="15" t="n"/>
      <c r="N22" s="10">
        <f>IF($B22="","",IF(AND($U22="파견중",$Q22&lt;&gt;""),$Q22,IF(AND($AD22&lt;&gt;"",LEFT($AD22,1)&lt;&gt;"⚠"),LEFT($AD22,FIND(" ",$AD22)-1),IF($H22="","",IF(RIGHT($H22,2)="병원",$H22,$H22&amp;"병원")))))</f>
        <v/>
      </c>
      <c r="O22" s="10">
        <f>IF($B22="","",IF(AND($U22="파견중",$Q22&lt;&gt;""),IF($R22&lt;&gt;"",$R22,"파견과 미입력"),IF(AND($AD22&lt;&gt;"",LEFT($AD22,1)&lt;&gt;"⚠"),MID($AD22,FIND(" ",$AD22)+1,60),IF($F22="","",IF($F22="인턴","수련교육부(인턴)",$F22)))))</f>
        <v/>
      </c>
      <c r="P22" s="10">
        <f>IF($B22="","",IF($AK22&lt;&gt;"",IF(AND(TODAY()&gt;=INDEX(입력_파견수련계획!$AB$4:$AB$803,$AK22),OR(NOT(ISNUMBER(INDEX(입력_파견수련계획!$AC$4:$AC$803,$AK22))),TODAY()&lt;=INDEX(입력_파견수련계획!$AC$4:$AC$803,$AK22))),"다기관",IF($AF22="","",INDEX(입력_파견수련계획!$T$4:$T$803,$AF22))),IF($AF22="","",INDEX(입력_파견수련계획!$T$4:$T$803,$AF22))))</f>
        <v/>
      </c>
      <c r="Q22" s="10">
        <f>IF($AF22="","",INDEX(입력_파견수련계획!$S$4:$S$803,$AF22))</f>
        <v/>
      </c>
      <c r="R22" s="10">
        <f>IF($AF22="","",INDEX(입력_파견수련계획!$U$4:$U$803,$AF22))</f>
        <v/>
      </c>
      <c r="S22" s="11">
        <f>IF($AF22="","",IF(INDEX(입력_파견수련계획!$H$4:$H$803,$AF22)="","",INDEX(입력_파견수련계획!$H$4:$H$803,$AF22)))</f>
        <v/>
      </c>
      <c r="T22" s="11">
        <f>IF($AF22="","",IF(INDEX(입력_파견수련계획!$I$4:$I$803,$AF22)="","",INDEX(입력_파견수련계획!$I$4:$I$803,$AF22)))</f>
        <v/>
      </c>
      <c r="U22" s="10">
        <f>IF($AF22="","",INDEX(입력_파견수련계획!$X$4:$X$803,$AF22))</f>
        <v/>
      </c>
      <c r="V22" s="17">
        <f>IF($AF22="","",INDEX(입력_파견수련계획!$V$4:$V$803,$AF22))</f>
        <v/>
      </c>
      <c r="W22" s="17">
        <f>IF(AND($U22="파견중",$T22&lt;&gt;""),$T22-TODAY(),"")</f>
        <v/>
      </c>
      <c r="X22" s="17">
        <f>IF(OR($B22="",TRIM($J22&amp;"")=""),"",SUMPRODUCT((입력_파견수련계획!$Q$4:$Q$803=TRIM($J22&amp;""))*입력_파견수련계획!$W$4:$W$803))</f>
        <v/>
      </c>
      <c r="Y22" s="10">
        <f>IF($B22="","",IF($AG22="","",IF(IF(TRIM($J22&amp;"")="",0,SUMPRODUCT((입력_파견수련계획!$Q$4:$Q$803=TRIM($J22&amp;""))*입력_파견수련계획!$AD$4:$AD$803))&gt;0,$AE22,IF(AND(N($X22)&lt;=0,$AQ22=""),$AG22,IF($AH22+$AI22=DAY(EOMONTH(출력_요약!$B$3,0)),IF(AND($AH22&gt;=출력_요약!$E$3,$AI22&lt;출력_요약!$E$3),"서울병원",IF(AND($AI22&gt;=출력_요약!$E$3,$AH22&lt;출력_요약!$E$3),"구리병원","⚠15일 판정불가(서울 "&amp;$AH22&amp;"일/구리 "&amp;$AI22&amp;"일)")),IF($AJ22="",$AE22,IF(INDEX(입력_파견수련계획!$T$4:$T$803,$AJ22)="통합수련",INDEX(입력_파견수련계획!$S$4:$S$803,$AJ22),$AE22)))))))</f>
        <v/>
      </c>
      <c r="Z22" s="20">
        <f>IF($B22="","",IF($AB22="","기본자료에 없는 사번",IF(COUNTIF($B$2:$B$401,$B22)&gt;1,"중복 사번",IF($AE22="","소속(입사장소) 입력",IF(IF(TRIM($J22&amp;"")="",0,SUMPRODUCT((입력_파견수련계획!$Q$4:$Q$803=TRIM($J22&amp;""))*(입력_파견수련계획!$AA$4:$AA$803&lt;&gt;"")))&gt;0,"파견수련계획 입력오류 확인",IF(LEFT($Y22,1)="⚠","서울·구리 15일 판정 불가(양쪽 모두 이상/미만)",IF(IF($AC22="",0,N(INDEX(입력_인턴근무계획!$T$3:$T$402,$AC22)))&gt;0,"인턴계획 입력오류 확인",IF(AND($AQ22&lt;&gt;"",$AG22&lt;&gt;"구리병원",IF(TRIM($J22&amp;"")="",0,SUMPRODUCT((입력_파견수련계획!$Q$4:$Q$803=TRIM($J22&amp;""))*(입력_파견수련계획!$S$4:$S$803="구리병원")*입력_파견수련계획!$W$4:$W$803))=0),"구리 근무자명단에만 있음(파견수련계획 확인)",IF(AND($AC22&lt;&gt;"",$U22&lt;&gt;"파견중",$N22&lt;&gt;$AE22),"인턴 타지역 근무: 파견 여부 확인","정상")))))))))</f>
        <v/>
      </c>
      <c r="AA22" s="5" t="n"/>
      <c r="AB22" s="10">
        <f>IF($B22="","",IFERROR(MATCH($B22,입력_기본자료!$B$2:$B$1001,0),IFERROR(MATCH($B22&amp;"",입력_기본자료!$B$2:$B$1001,0),IFERROR(MATCH(VALUE($B22),입력_기본자료!$B$2:$B$1001,0),""))))</f>
        <v/>
      </c>
      <c r="AC22" s="10">
        <f>IF($B22="","",IFERROR(MATCH($B22,입력_인턴근무계획!$D$3:$D$402,0),IFERROR(MATCH($B22&amp;"",입력_인턴근무계획!$D$3:$D$402,0),IFERROR(MATCH(VALUE($B22),입력_인턴근무계획!$D$3:$D$402,0),""))))</f>
        <v/>
      </c>
      <c r="AD22" s="10">
        <f>IF(OR($AC22="",출력_인턴현황!$G$3=""),"",INDEX(입력_인턴근무계획!$M$3:$R$402,$AC22,출력_인턴현황!$G$3)&amp;"")</f>
        <v/>
      </c>
      <c r="AE22" s="10">
        <f>IF($B22="","",IF($M22&lt;&gt;"",$M22,IF(IF($AQ22="",FALSE,INDEX(출력_구리근무자!$J$6:$J$305,$AQ22)="구리독자"),"구리병원",IF($AF22&lt;&gt;"",IF(LEFT(INDEX(입력_파견수련계획!$R$4:$R$803,$AF22),1)&lt;&gt;"⚠",INDEX(입력_파견수련계획!$R$4:$R$803,$AF22),IF($H22="","",IF(RIGHT($H22,2)="병원",$H22,$H22&amp;"병원"))),IF($H22="","",IF(RIGHT($H22,2)="병원",$H22,$H22&amp;"병원"))))))</f>
        <v/>
      </c>
      <c r="AF22" s="10">
        <f>IF(OR($B22="",TRIM($J22&amp;"")=""),"",IFERROR(MATCH(TRIM($J22&amp;"")&amp;"|파견중",입력_파견수련계획!$Y$4:$Y$803,0),IFERROR(MATCH(TRIM($J22&amp;"")&amp;"|파견예정",입력_파견수련계획!$Y$4:$Y$803,0),IFERROR(MATCH(TRIM($J22&amp;"")&amp;"|파견종료",입력_파견수련계획!$Y$4:$Y$803,0),""))))</f>
        <v/>
      </c>
      <c r="AG22" s="10">
        <f>IF($B22="","",IF(AND(IF(OR($AC22="",출력_인턴현황!$K$2=""),"",INDEX(입력_인턴근무계획!$M$3:$R$402,$AC22,출력_인턴현황!$K$2)&amp;"")&lt;&gt;"",LEFT(IF(OR($AC22="",출력_인턴현황!$K$2=""),"",INDEX(입력_인턴근무계획!$M$3:$R$402,$AC22,출력_인턴현황!$K$2)&amp;""),1)&lt;&gt;"⚠"),LEFT(IF(OR($AC22="",출력_인턴현황!$K$2=""),"",INDEX(입력_인턴근무계획!$M$3:$R$402,$AC22,출력_인턴현황!$K$2)&amp;""),FIND(" ",IF(OR($AC22="",출력_인턴현황!$K$2=""),"",INDEX(입력_인턴근무계획!$M$3:$R$402,$AC22,출력_인턴현황!$K$2)&amp;""))-1),$AE22))</f>
        <v/>
      </c>
      <c r="AH22" s="17">
        <f>IF($B22="","",IF($AQ22&lt;&gt;"",MAX(0,DAY(EOMONTH(출력_요약!$B$3,0))-N($AR22)),IF(TRIM($J22&amp;"")="",0,SUMPRODUCT((입력_파견수련계획!$Q$4:$Q$803=TRIM($J22&amp;""))*(입력_파견수련계획!$S$4:$S$803="서울병원")*입력_파견수련계획!$W$4:$W$803))+IF($AG22="서울병원",MAX(0,DAY(EOMONTH(출력_요약!$B$3,0))-N($X22)),0)))</f>
        <v/>
      </c>
      <c r="AI22" s="17">
        <f>IF($B22="","",IF($AQ22&lt;&gt;"",N($AR22),IF(TRIM($J22&amp;"")="",0,SUMPRODUCT((입력_파견수련계획!$Q$4:$Q$803=TRIM($J22&amp;""))*(입력_파견수련계획!$S$4:$S$803="구리병원")*입력_파견수련계획!$W$4:$W$803))+IF($AG22="구리병원",MAX(0,DAY(EOMONTH(출력_요약!$B$3,0))-N($X22)),0)))</f>
        <v/>
      </c>
      <c r="AJ22" s="10">
        <f>IF(OR($B22="",TRIM($J22&amp;"")=""),"",IFERROR(MATCH(TRIM($J22&amp;"")&amp;"|월",입력_파견수련계획!$Z$4:$Z$803,0),""))</f>
        <v/>
      </c>
      <c r="AK22" s="10">
        <f>IF(OR($B22="",TRIM($J22&amp;"")=""),"",IFERROR(MATCH(TRIM($J22&amp;"")&amp;"|다기관",입력_파견수련계획!$AE$4:$AE$803,0),""))</f>
        <v/>
      </c>
      <c r="AL22" s="10">
        <f>IF($AK22="","","다기관 "&amp;TEXT(INDEX(입력_파견수련계획!$AB$4:$AB$803,$AK22),"yyyy-mm-dd")&amp;"~"&amp;IF(ISNUMBER(INDEX(입력_파견수련계획!$AC$4:$AC$803,$AK22)),TEXT(INDEX(입력_파견수련계획!$AC$4:$AC$803,$AK22),"yyyy-mm-dd"),""))</f>
        <v/>
      </c>
      <c r="AM22" s="10">
        <f>IF($Y22="서울병원",COUNTIF($Y$2:$Y22,"서울병원"),"")</f>
        <v/>
      </c>
      <c r="AN22" s="10">
        <f>IF(LEFT($Y22,1)="⚠",COUNTIF($Y$2:$Y22,"⚠*"),"")</f>
        <v/>
      </c>
      <c r="AO22" s="10">
        <f>IF(OR($B22="",$Y22=""),"",IF(IF(TRIM($J22&amp;"")="",0,SUMPRODUCT((입력_파견수련계획!$Q$4:$Q$803=TRIM($J22&amp;""))*입력_파견수련계획!$AD$4:$AD$803))&gt;0,"다기관 기간 → 소속병원 지급",IF(AND(N($X22)&lt;=0,$AQ22=""),"파견 없음 → 그 달 근무병원 지급",IF($AH22+$AI22=DAY(EOMONTH(출력_요약!$B$3,0)),"서울 "&amp;$AH22&amp;"일 / 구리 "&amp;$AI22&amp;"일"&amp;IF($AQ22&lt;&gt;""," (구리 근무자명단 반영)","")&amp;" → 15일 이상 근무 병원 지급","타 병원 포함 → "&amp;IF($AJ22="","소속",INDEX(입력_파견수련계획!$T$4:$T$803,$AJ22))&amp;" 규칙"))))</f>
        <v/>
      </c>
      <c r="AP22" s="10">
        <f>IF($B22="","",$C22&amp;"|"&amp;$F22)</f>
        <v/>
      </c>
      <c r="AQ22" s="10">
        <f>IF($B22="","",IFERROR(MATCH(ROW()-1,출력_구리근무자!$K$6:$K$305,0),""))</f>
        <v/>
      </c>
      <c r="AR22" s="10">
        <f>IF($AQ22="","",INDEX(출력_구리근무자!$H$6:$H$305,$AQ22))</f>
        <v/>
      </c>
    </row>
    <row r="23">
      <c r="A23" s="10">
        <f>IF(B23="","",ROW()-1)</f>
        <v/>
      </c>
      <c r="B23" s="19" t="n"/>
      <c r="C23" s="10">
        <f>IF($AB23="","",IF(INDEX(입력_기본자료!$C$2:$C$1001,$AB23)="","",INDEX(입력_기본자료!$C$2:$C$1001,$AB23)))</f>
        <v/>
      </c>
      <c r="D23" s="10">
        <f>IF($AB23="","",IF(INDEX(입력_기본자료!$J$2:$J$1001,$AB23)="","",INDEX(입력_기본자료!$J$2:$J$1001,$AB23)))</f>
        <v/>
      </c>
      <c r="E23" s="11">
        <f>IF($AB23="","",IF(INDEX(입력_기본자료!$K$2:$K$1001,$AB23)="","",IF(NOT(ISNUMBER(INDEX(입력_기본자료!$K$2:$K$1001,$AB23))),INDEX(입력_기본자료!$K$2:$K$1001,$AB23),IF(INDEX(입력_기본자료!$K$2:$K$1001,$AB23)&lt;1000000,INDEX(입력_기본자료!$K$2:$K$1001,$AB23),IF(AND(INDEX(입력_기본자료!$K$2:$K$1001,$AB23)&gt;=10000101,INT(MOD(INDEX(입력_기본자료!$K$2:$K$1001,$AB23),10000)/100)&gt;=1,INT(MOD(INDEX(입력_기본자료!$K$2:$K$1001,$AB23),10000)/100)&lt;=12,MOD(INDEX(입력_기본자료!$K$2:$K$1001,$AB23),100)&gt;=1,MOD(INDEX(입력_기본자료!$K$2:$K$1001,$AB23),100)&lt;=31),DATE(INT(INDEX(입력_기본자료!$K$2:$K$1001,$AB23)/10000),INT(MOD(INDEX(입력_기본자료!$K$2:$K$1001,$AB23),10000)/100),MOD(INDEX(입력_기본자료!$K$2:$K$1001,$AB23),100)),INDEX(입력_기본자료!$K$2:$K$1001,$AB23)&amp;"")))))</f>
        <v/>
      </c>
      <c r="F23" s="10">
        <f>IF($AB23="","",IF(INDEX(입력_기본자료!$D$2:$D$1001,$AB23)="","",INDEX(입력_기본자료!$D$2:$D$1001,$AB23)))</f>
        <v/>
      </c>
      <c r="G23" s="10">
        <f>IF($AB23="","",IF(INDEX(입력_기본자료!$E$2:$E$1001,$AB23)="","",INDEX(입력_기본자료!$E$2:$E$1001,$AB23)))</f>
        <v/>
      </c>
      <c r="H23" s="10">
        <f>IF($AB23="","",IF(INDEX(입력_기본자료!$F$2:$F$1001,$AB23)="","",INDEX(입력_기본자료!$F$2:$F$1001,$AB23)))</f>
        <v/>
      </c>
      <c r="I23" s="11">
        <f>IF($AB23="","",IF(INDEX(입력_기본자료!$G$2:$G$1001,$AB23)="","",IF(NOT(ISNUMBER(INDEX(입력_기본자료!$G$2:$G$1001,$AB23))),INDEX(입력_기본자료!$G$2:$G$1001,$AB23),IF(INDEX(입력_기본자료!$G$2:$G$1001,$AB23)&lt;1000000,INDEX(입력_기본자료!$G$2:$G$1001,$AB23),IF(AND(INDEX(입력_기본자료!$G$2:$G$1001,$AB23)&gt;=10000101,INT(MOD(INDEX(입력_기본자료!$G$2:$G$1001,$AB23),10000)/100)&gt;=1,INT(MOD(INDEX(입력_기본자료!$G$2:$G$1001,$AB23),10000)/100)&lt;=12,MOD(INDEX(입력_기본자료!$G$2:$G$1001,$AB23),100)&gt;=1,MOD(INDEX(입력_기본자료!$G$2:$G$1001,$AB23),100)&lt;=31),DATE(INT(INDEX(입력_기본자료!$G$2:$G$1001,$AB23)/10000),INT(MOD(INDEX(입력_기본자료!$G$2:$G$1001,$AB23),10000)/100),MOD(INDEX(입력_기본자료!$G$2:$G$1001,$AB23),100)),INDEX(입력_기본자료!$G$2:$G$1001,$AB23)&amp;"")))))</f>
        <v/>
      </c>
      <c r="J23" s="10">
        <f>IF($AB23="","",IF(INDEX(입력_기본자료!$H$2:$H$1001,$AB23)="","",INDEX(입력_기본자료!$H$2:$H$1001,$AB23)))</f>
        <v/>
      </c>
      <c r="K23" s="10">
        <f>IF($AB23="","",IF(INDEX(입력_기본자료!$I$2:$I$1001,$AB23)="","",INDEX(입력_기본자료!$I$2:$I$1001,$AB23)))</f>
        <v/>
      </c>
      <c r="L23" s="10">
        <f>IF($AB23="","",IF(INDEX(입력_기본자료!$A$2:$A$1001,$AB23)="","",INDEX(입력_기본자료!$A$2:$A$1001,$AB23)))</f>
        <v/>
      </c>
      <c r="M23" s="15" t="n"/>
      <c r="N23" s="10">
        <f>IF($B23="","",IF(AND($U23="파견중",$Q23&lt;&gt;""),$Q23,IF(AND($AD23&lt;&gt;"",LEFT($AD23,1)&lt;&gt;"⚠"),LEFT($AD23,FIND(" ",$AD23)-1),IF($H23="","",IF(RIGHT($H23,2)="병원",$H23,$H23&amp;"병원")))))</f>
        <v/>
      </c>
      <c r="O23" s="10">
        <f>IF($B23="","",IF(AND($U23="파견중",$Q23&lt;&gt;""),IF($R23&lt;&gt;"",$R23,"파견과 미입력"),IF(AND($AD23&lt;&gt;"",LEFT($AD23,1)&lt;&gt;"⚠"),MID($AD23,FIND(" ",$AD23)+1,60),IF($F23="","",IF($F23="인턴","수련교육부(인턴)",$F23)))))</f>
        <v/>
      </c>
      <c r="P23" s="10">
        <f>IF($B23="","",IF($AK23&lt;&gt;"",IF(AND(TODAY()&gt;=INDEX(입력_파견수련계획!$AB$4:$AB$803,$AK23),OR(NOT(ISNUMBER(INDEX(입력_파견수련계획!$AC$4:$AC$803,$AK23))),TODAY()&lt;=INDEX(입력_파견수련계획!$AC$4:$AC$803,$AK23))),"다기관",IF($AF23="","",INDEX(입력_파견수련계획!$T$4:$T$803,$AF23))),IF($AF23="","",INDEX(입력_파견수련계획!$T$4:$T$803,$AF23))))</f>
        <v/>
      </c>
      <c r="Q23" s="10">
        <f>IF($AF23="","",INDEX(입력_파견수련계획!$S$4:$S$803,$AF23))</f>
        <v/>
      </c>
      <c r="R23" s="10">
        <f>IF($AF23="","",INDEX(입력_파견수련계획!$U$4:$U$803,$AF23))</f>
        <v/>
      </c>
      <c r="S23" s="11">
        <f>IF($AF23="","",IF(INDEX(입력_파견수련계획!$H$4:$H$803,$AF23)="","",INDEX(입력_파견수련계획!$H$4:$H$803,$AF23)))</f>
        <v/>
      </c>
      <c r="T23" s="11">
        <f>IF($AF23="","",IF(INDEX(입력_파견수련계획!$I$4:$I$803,$AF23)="","",INDEX(입력_파견수련계획!$I$4:$I$803,$AF23)))</f>
        <v/>
      </c>
      <c r="U23" s="10">
        <f>IF($AF23="","",INDEX(입력_파견수련계획!$X$4:$X$803,$AF23))</f>
        <v/>
      </c>
      <c r="V23" s="17">
        <f>IF($AF23="","",INDEX(입력_파견수련계획!$V$4:$V$803,$AF23))</f>
        <v/>
      </c>
      <c r="W23" s="17">
        <f>IF(AND($U23="파견중",$T23&lt;&gt;""),$T23-TODAY(),"")</f>
        <v/>
      </c>
      <c r="X23" s="17">
        <f>IF(OR($B23="",TRIM($J23&amp;"")=""),"",SUMPRODUCT((입력_파견수련계획!$Q$4:$Q$803=TRIM($J23&amp;""))*입력_파견수련계획!$W$4:$W$803))</f>
        <v/>
      </c>
      <c r="Y23" s="10">
        <f>IF($B23="","",IF($AG23="","",IF(IF(TRIM($J23&amp;"")="",0,SUMPRODUCT((입력_파견수련계획!$Q$4:$Q$803=TRIM($J23&amp;""))*입력_파견수련계획!$AD$4:$AD$803))&gt;0,$AE23,IF(AND(N($X23)&lt;=0,$AQ23=""),$AG23,IF($AH23+$AI23=DAY(EOMONTH(출력_요약!$B$3,0)),IF(AND($AH23&gt;=출력_요약!$E$3,$AI23&lt;출력_요약!$E$3),"서울병원",IF(AND($AI23&gt;=출력_요약!$E$3,$AH23&lt;출력_요약!$E$3),"구리병원","⚠15일 판정불가(서울 "&amp;$AH23&amp;"일/구리 "&amp;$AI23&amp;"일)")),IF($AJ23="",$AE23,IF(INDEX(입력_파견수련계획!$T$4:$T$803,$AJ23)="통합수련",INDEX(입력_파견수련계획!$S$4:$S$803,$AJ23),$AE23)))))))</f>
        <v/>
      </c>
      <c r="Z23" s="20">
        <f>IF($B23="","",IF($AB23="","기본자료에 없는 사번",IF(COUNTIF($B$2:$B$401,$B23)&gt;1,"중복 사번",IF($AE23="","소속(입사장소) 입력",IF(IF(TRIM($J23&amp;"")="",0,SUMPRODUCT((입력_파견수련계획!$Q$4:$Q$803=TRIM($J23&amp;""))*(입력_파견수련계획!$AA$4:$AA$803&lt;&gt;"")))&gt;0,"파견수련계획 입력오류 확인",IF(LEFT($Y23,1)="⚠","서울·구리 15일 판정 불가(양쪽 모두 이상/미만)",IF(IF($AC23="",0,N(INDEX(입력_인턴근무계획!$T$3:$T$402,$AC23)))&gt;0,"인턴계획 입력오류 확인",IF(AND($AQ23&lt;&gt;"",$AG23&lt;&gt;"구리병원",IF(TRIM($J23&amp;"")="",0,SUMPRODUCT((입력_파견수련계획!$Q$4:$Q$803=TRIM($J23&amp;""))*(입력_파견수련계획!$S$4:$S$803="구리병원")*입력_파견수련계획!$W$4:$W$803))=0),"구리 근무자명단에만 있음(파견수련계획 확인)",IF(AND($AC23&lt;&gt;"",$U23&lt;&gt;"파견중",$N23&lt;&gt;$AE23),"인턴 타지역 근무: 파견 여부 확인","정상")))))))))</f>
        <v/>
      </c>
      <c r="AA23" s="5" t="n"/>
      <c r="AB23" s="10">
        <f>IF($B23="","",IFERROR(MATCH($B23,입력_기본자료!$B$2:$B$1001,0),IFERROR(MATCH($B23&amp;"",입력_기본자료!$B$2:$B$1001,0),IFERROR(MATCH(VALUE($B23),입력_기본자료!$B$2:$B$1001,0),""))))</f>
        <v/>
      </c>
      <c r="AC23" s="10">
        <f>IF($B23="","",IFERROR(MATCH($B23,입력_인턴근무계획!$D$3:$D$402,0),IFERROR(MATCH($B23&amp;"",입력_인턴근무계획!$D$3:$D$402,0),IFERROR(MATCH(VALUE($B23),입력_인턴근무계획!$D$3:$D$402,0),""))))</f>
        <v/>
      </c>
      <c r="AD23" s="10">
        <f>IF(OR($AC23="",출력_인턴현황!$G$3=""),"",INDEX(입력_인턴근무계획!$M$3:$R$402,$AC23,출력_인턴현황!$G$3)&amp;"")</f>
        <v/>
      </c>
      <c r="AE23" s="10">
        <f>IF($B23="","",IF($M23&lt;&gt;"",$M23,IF(IF($AQ23="",FALSE,INDEX(출력_구리근무자!$J$6:$J$305,$AQ23)="구리독자"),"구리병원",IF($AF23&lt;&gt;"",IF(LEFT(INDEX(입력_파견수련계획!$R$4:$R$803,$AF23),1)&lt;&gt;"⚠",INDEX(입력_파견수련계획!$R$4:$R$803,$AF23),IF($H23="","",IF(RIGHT($H23,2)="병원",$H23,$H23&amp;"병원"))),IF($H23="","",IF(RIGHT($H23,2)="병원",$H23,$H23&amp;"병원"))))))</f>
        <v/>
      </c>
      <c r="AF23" s="10">
        <f>IF(OR($B23="",TRIM($J23&amp;"")=""),"",IFERROR(MATCH(TRIM($J23&amp;"")&amp;"|파견중",입력_파견수련계획!$Y$4:$Y$803,0),IFERROR(MATCH(TRIM($J23&amp;"")&amp;"|파견예정",입력_파견수련계획!$Y$4:$Y$803,0),IFERROR(MATCH(TRIM($J23&amp;"")&amp;"|파견종료",입력_파견수련계획!$Y$4:$Y$803,0),""))))</f>
        <v/>
      </c>
      <c r="AG23" s="10">
        <f>IF($B23="","",IF(AND(IF(OR($AC23="",출력_인턴현황!$K$2=""),"",INDEX(입력_인턴근무계획!$M$3:$R$402,$AC23,출력_인턴현황!$K$2)&amp;"")&lt;&gt;"",LEFT(IF(OR($AC23="",출력_인턴현황!$K$2=""),"",INDEX(입력_인턴근무계획!$M$3:$R$402,$AC23,출력_인턴현황!$K$2)&amp;""),1)&lt;&gt;"⚠"),LEFT(IF(OR($AC23="",출력_인턴현황!$K$2=""),"",INDEX(입력_인턴근무계획!$M$3:$R$402,$AC23,출력_인턴현황!$K$2)&amp;""),FIND(" ",IF(OR($AC23="",출력_인턴현황!$K$2=""),"",INDEX(입력_인턴근무계획!$M$3:$R$402,$AC23,출력_인턴현황!$K$2)&amp;""))-1),$AE23))</f>
        <v/>
      </c>
      <c r="AH23" s="17">
        <f>IF($B23="","",IF($AQ23&lt;&gt;"",MAX(0,DAY(EOMONTH(출력_요약!$B$3,0))-N($AR23)),IF(TRIM($J23&amp;"")="",0,SUMPRODUCT((입력_파견수련계획!$Q$4:$Q$803=TRIM($J23&amp;""))*(입력_파견수련계획!$S$4:$S$803="서울병원")*입력_파견수련계획!$W$4:$W$803))+IF($AG23="서울병원",MAX(0,DAY(EOMONTH(출력_요약!$B$3,0))-N($X23)),0)))</f>
        <v/>
      </c>
      <c r="AI23" s="17">
        <f>IF($B23="","",IF($AQ23&lt;&gt;"",N($AR23),IF(TRIM($J23&amp;"")="",0,SUMPRODUCT((입력_파견수련계획!$Q$4:$Q$803=TRIM($J23&amp;""))*(입력_파견수련계획!$S$4:$S$803="구리병원")*입력_파견수련계획!$W$4:$W$803))+IF($AG23="구리병원",MAX(0,DAY(EOMONTH(출력_요약!$B$3,0))-N($X23)),0)))</f>
        <v/>
      </c>
      <c r="AJ23" s="10">
        <f>IF(OR($B23="",TRIM($J23&amp;"")=""),"",IFERROR(MATCH(TRIM($J23&amp;"")&amp;"|월",입력_파견수련계획!$Z$4:$Z$803,0),""))</f>
        <v/>
      </c>
      <c r="AK23" s="10">
        <f>IF(OR($B23="",TRIM($J23&amp;"")=""),"",IFERROR(MATCH(TRIM($J23&amp;"")&amp;"|다기관",입력_파견수련계획!$AE$4:$AE$803,0),""))</f>
        <v/>
      </c>
      <c r="AL23" s="10">
        <f>IF($AK23="","","다기관 "&amp;TEXT(INDEX(입력_파견수련계획!$AB$4:$AB$803,$AK23),"yyyy-mm-dd")&amp;"~"&amp;IF(ISNUMBER(INDEX(입력_파견수련계획!$AC$4:$AC$803,$AK23)),TEXT(INDEX(입력_파견수련계획!$AC$4:$AC$803,$AK23),"yyyy-mm-dd"),""))</f>
        <v/>
      </c>
      <c r="AM23" s="10">
        <f>IF($Y23="서울병원",COUNTIF($Y$2:$Y23,"서울병원"),"")</f>
        <v/>
      </c>
      <c r="AN23" s="10">
        <f>IF(LEFT($Y23,1)="⚠",COUNTIF($Y$2:$Y23,"⚠*"),"")</f>
        <v/>
      </c>
      <c r="AO23" s="10">
        <f>IF(OR($B23="",$Y23=""),"",IF(IF(TRIM($J23&amp;"")="",0,SUMPRODUCT((입력_파견수련계획!$Q$4:$Q$803=TRIM($J23&amp;""))*입력_파견수련계획!$AD$4:$AD$803))&gt;0,"다기관 기간 → 소속병원 지급",IF(AND(N($X23)&lt;=0,$AQ23=""),"파견 없음 → 그 달 근무병원 지급",IF($AH23+$AI23=DAY(EOMONTH(출력_요약!$B$3,0)),"서울 "&amp;$AH23&amp;"일 / 구리 "&amp;$AI23&amp;"일"&amp;IF($AQ23&lt;&gt;""," (구리 근무자명단 반영)","")&amp;" → 15일 이상 근무 병원 지급","타 병원 포함 → "&amp;IF($AJ23="","소속",INDEX(입력_파견수련계획!$T$4:$T$803,$AJ23))&amp;" 규칙"))))</f>
        <v/>
      </c>
      <c r="AP23" s="10">
        <f>IF($B23="","",$C23&amp;"|"&amp;$F23)</f>
        <v/>
      </c>
      <c r="AQ23" s="10">
        <f>IF($B23="","",IFERROR(MATCH(ROW()-1,출력_구리근무자!$K$6:$K$305,0),""))</f>
        <v/>
      </c>
      <c r="AR23" s="10">
        <f>IF($AQ23="","",INDEX(출력_구리근무자!$H$6:$H$305,$AQ23))</f>
        <v/>
      </c>
    </row>
    <row r="24">
      <c r="A24" s="10">
        <f>IF(B24="","",ROW()-1)</f>
        <v/>
      </c>
      <c r="B24" s="19" t="n"/>
      <c r="C24" s="10">
        <f>IF($AB24="","",IF(INDEX(입력_기본자료!$C$2:$C$1001,$AB24)="","",INDEX(입력_기본자료!$C$2:$C$1001,$AB24)))</f>
        <v/>
      </c>
      <c r="D24" s="10">
        <f>IF($AB24="","",IF(INDEX(입력_기본자료!$J$2:$J$1001,$AB24)="","",INDEX(입력_기본자료!$J$2:$J$1001,$AB24)))</f>
        <v/>
      </c>
      <c r="E24" s="11">
        <f>IF($AB24="","",IF(INDEX(입력_기본자료!$K$2:$K$1001,$AB24)="","",IF(NOT(ISNUMBER(INDEX(입력_기본자료!$K$2:$K$1001,$AB24))),INDEX(입력_기본자료!$K$2:$K$1001,$AB24),IF(INDEX(입력_기본자료!$K$2:$K$1001,$AB24)&lt;1000000,INDEX(입력_기본자료!$K$2:$K$1001,$AB24),IF(AND(INDEX(입력_기본자료!$K$2:$K$1001,$AB24)&gt;=10000101,INT(MOD(INDEX(입력_기본자료!$K$2:$K$1001,$AB24),10000)/100)&gt;=1,INT(MOD(INDEX(입력_기본자료!$K$2:$K$1001,$AB24),10000)/100)&lt;=12,MOD(INDEX(입력_기본자료!$K$2:$K$1001,$AB24),100)&gt;=1,MOD(INDEX(입력_기본자료!$K$2:$K$1001,$AB24),100)&lt;=31),DATE(INT(INDEX(입력_기본자료!$K$2:$K$1001,$AB24)/10000),INT(MOD(INDEX(입력_기본자료!$K$2:$K$1001,$AB24),10000)/100),MOD(INDEX(입력_기본자료!$K$2:$K$1001,$AB24),100)),INDEX(입력_기본자료!$K$2:$K$1001,$AB24)&amp;"")))))</f>
        <v/>
      </c>
      <c r="F24" s="10">
        <f>IF($AB24="","",IF(INDEX(입력_기본자료!$D$2:$D$1001,$AB24)="","",INDEX(입력_기본자료!$D$2:$D$1001,$AB24)))</f>
        <v/>
      </c>
      <c r="G24" s="10">
        <f>IF($AB24="","",IF(INDEX(입력_기본자료!$E$2:$E$1001,$AB24)="","",INDEX(입력_기본자료!$E$2:$E$1001,$AB24)))</f>
        <v/>
      </c>
      <c r="H24" s="10">
        <f>IF($AB24="","",IF(INDEX(입력_기본자료!$F$2:$F$1001,$AB24)="","",INDEX(입력_기본자료!$F$2:$F$1001,$AB24)))</f>
        <v/>
      </c>
      <c r="I24" s="11">
        <f>IF($AB24="","",IF(INDEX(입력_기본자료!$G$2:$G$1001,$AB24)="","",IF(NOT(ISNUMBER(INDEX(입력_기본자료!$G$2:$G$1001,$AB24))),INDEX(입력_기본자료!$G$2:$G$1001,$AB24),IF(INDEX(입력_기본자료!$G$2:$G$1001,$AB24)&lt;1000000,INDEX(입력_기본자료!$G$2:$G$1001,$AB24),IF(AND(INDEX(입력_기본자료!$G$2:$G$1001,$AB24)&gt;=10000101,INT(MOD(INDEX(입력_기본자료!$G$2:$G$1001,$AB24),10000)/100)&gt;=1,INT(MOD(INDEX(입력_기본자료!$G$2:$G$1001,$AB24),10000)/100)&lt;=12,MOD(INDEX(입력_기본자료!$G$2:$G$1001,$AB24),100)&gt;=1,MOD(INDEX(입력_기본자료!$G$2:$G$1001,$AB24),100)&lt;=31),DATE(INT(INDEX(입력_기본자료!$G$2:$G$1001,$AB24)/10000),INT(MOD(INDEX(입력_기본자료!$G$2:$G$1001,$AB24),10000)/100),MOD(INDEX(입력_기본자료!$G$2:$G$1001,$AB24),100)),INDEX(입력_기본자료!$G$2:$G$1001,$AB24)&amp;"")))))</f>
        <v/>
      </c>
      <c r="J24" s="10">
        <f>IF($AB24="","",IF(INDEX(입력_기본자료!$H$2:$H$1001,$AB24)="","",INDEX(입력_기본자료!$H$2:$H$1001,$AB24)))</f>
        <v/>
      </c>
      <c r="K24" s="10">
        <f>IF($AB24="","",IF(INDEX(입력_기본자료!$I$2:$I$1001,$AB24)="","",INDEX(입력_기본자료!$I$2:$I$1001,$AB24)))</f>
        <v/>
      </c>
      <c r="L24" s="10">
        <f>IF($AB24="","",IF(INDEX(입력_기본자료!$A$2:$A$1001,$AB24)="","",INDEX(입력_기본자료!$A$2:$A$1001,$AB24)))</f>
        <v/>
      </c>
      <c r="M24" s="15" t="n"/>
      <c r="N24" s="10">
        <f>IF($B24="","",IF(AND($U24="파견중",$Q24&lt;&gt;""),$Q24,IF(AND($AD24&lt;&gt;"",LEFT($AD24,1)&lt;&gt;"⚠"),LEFT($AD24,FIND(" ",$AD24)-1),IF($H24="","",IF(RIGHT($H24,2)="병원",$H24,$H24&amp;"병원")))))</f>
        <v/>
      </c>
      <c r="O24" s="10">
        <f>IF($B24="","",IF(AND($U24="파견중",$Q24&lt;&gt;""),IF($R24&lt;&gt;"",$R24,"파견과 미입력"),IF(AND($AD24&lt;&gt;"",LEFT($AD24,1)&lt;&gt;"⚠"),MID($AD24,FIND(" ",$AD24)+1,60),IF($F24="","",IF($F24="인턴","수련교육부(인턴)",$F24)))))</f>
        <v/>
      </c>
      <c r="P24" s="10">
        <f>IF($B24="","",IF($AK24&lt;&gt;"",IF(AND(TODAY()&gt;=INDEX(입력_파견수련계획!$AB$4:$AB$803,$AK24),OR(NOT(ISNUMBER(INDEX(입력_파견수련계획!$AC$4:$AC$803,$AK24))),TODAY()&lt;=INDEX(입력_파견수련계획!$AC$4:$AC$803,$AK24))),"다기관",IF($AF24="","",INDEX(입력_파견수련계획!$T$4:$T$803,$AF24))),IF($AF24="","",INDEX(입력_파견수련계획!$T$4:$T$803,$AF24))))</f>
        <v/>
      </c>
      <c r="Q24" s="10">
        <f>IF($AF24="","",INDEX(입력_파견수련계획!$S$4:$S$803,$AF24))</f>
        <v/>
      </c>
      <c r="R24" s="10">
        <f>IF($AF24="","",INDEX(입력_파견수련계획!$U$4:$U$803,$AF24))</f>
        <v/>
      </c>
      <c r="S24" s="11">
        <f>IF($AF24="","",IF(INDEX(입력_파견수련계획!$H$4:$H$803,$AF24)="","",INDEX(입력_파견수련계획!$H$4:$H$803,$AF24)))</f>
        <v/>
      </c>
      <c r="T24" s="11">
        <f>IF($AF24="","",IF(INDEX(입력_파견수련계획!$I$4:$I$803,$AF24)="","",INDEX(입력_파견수련계획!$I$4:$I$803,$AF24)))</f>
        <v/>
      </c>
      <c r="U24" s="10">
        <f>IF($AF24="","",INDEX(입력_파견수련계획!$X$4:$X$803,$AF24))</f>
        <v/>
      </c>
      <c r="V24" s="17">
        <f>IF($AF24="","",INDEX(입력_파견수련계획!$V$4:$V$803,$AF24))</f>
        <v/>
      </c>
      <c r="W24" s="17">
        <f>IF(AND($U24="파견중",$T24&lt;&gt;""),$T24-TODAY(),"")</f>
        <v/>
      </c>
      <c r="X24" s="17">
        <f>IF(OR($B24="",TRIM($J24&amp;"")=""),"",SUMPRODUCT((입력_파견수련계획!$Q$4:$Q$803=TRIM($J24&amp;""))*입력_파견수련계획!$W$4:$W$803))</f>
        <v/>
      </c>
      <c r="Y24" s="10">
        <f>IF($B24="","",IF($AG24="","",IF(IF(TRIM($J24&amp;"")="",0,SUMPRODUCT((입력_파견수련계획!$Q$4:$Q$803=TRIM($J24&amp;""))*입력_파견수련계획!$AD$4:$AD$803))&gt;0,$AE24,IF(AND(N($X24)&lt;=0,$AQ24=""),$AG24,IF($AH24+$AI24=DAY(EOMONTH(출력_요약!$B$3,0)),IF(AND($AH24&gt;=출력_요약!$E$3,$AI24&lt;출력_요약!$E$3),"서울병원",IF(AND($AI24&gt;=출력_요약!$E$3,$AH24&lt;출력_요약!$E$3),"구리병원","⚠15일 판정불가(서울 "&amp;$AH24&amp;"일/구리 "&amp;$AI24&amp;"일)")),IF($AJ24="",$AE24,IF(INDEX(입력_파견수련계획!$T$4:$T$803,$AJ24)="통합수련",INDEX(입력_파견수련계획!$S$4:$S$803,$AJ24),$AE24)))))))</f>
        <v/>
      </c>
      <c r="Z24" s="20">
        <f>IF($B24="","",IF($AB24="","기본자료에 없는 사번",IF(COUNTIF($B$2:$B$401,$B24)&gt;1,"중복 사번",IF($AE24="","소속(입사장소) 입력",IF(IF(TRIM($J24&amp;"")="",0,SUMPRODUCT((입력_파견수련계획!$Q$4:$Q$803=TRIM($J24&amp;""))*(입력_파견수련계획!$AA$4:$AA$803&lt;&gt;"")))&gt;0,"파견수련계획 입력오류 확인",IF(LEFT($Y24,1)="⚠","서울·구리 15일 판정 불가(양쪽 모두 이상/미만)",IF(IF($AC24="",0,N(INDEX(입력_인턴근무계획!$T$3:$T$402,$AC24)))&gt;0,"인턴계획 입력오류 확인",IF(AND($AQ24&lt;&gt;"",$AG24&lt;&gt;"구리병원",IF(TRIM($J24&amp;"")="",0,SUMPRODUCT((입력_파견수련계획!$Q$4:$Q$803=TRIM($J24&amp;""))*(입력_파견수련계획!$S$4:$S$803="구리병원")*입력_파견수련계획!$W$4:$W$803))=0),"구리 근무자명단에만 있음(파견수련계획 확인)",IF(AND($AC24&lt;&gt;"",$U24&lt;&gt;"파견중",$N24&lt;&gt;$AE24),"인턴 타지역 근무: 파견 여부 확인","정상")))))))))</f>
        <v/>
      </c>
      <c r="AA24" s="5" t="n"/>
      <c r="AB24" s="10">
        <f>IF($B24="","",IFERROR(MATCH($B24,입력_기본자료!$B$2:$B$1001,0),IFERROR(MATCH($B24&amp;"",입력_기본자료!$B$2:$B$1001,0),IFERROR(MATCH(VALUE($B24),입력_기본자료!$B$2:$B$1001,0),""))))</f>
        <v/>
      </c>
      <c r="AC24" s="10">
        <f>IF($B24="","",IFERROR(MATCH($B24,입력_인턴근무계획!$D$3:$D$402,0),IFERROR(MATCH($B24&amp;"",입력_인턴근무계획!$D$3:$D$402,0),IFERROR(MATCH(VALUE($B24),입력_인턴근무계획!$D$3:$D$402,0),""))))</f>
        <v/>
      </c>
      <c r="AD24" s="10">
        <f>IF(OR($AC24="",출력_인턴현황!$G$3=""),"",INDEX(입력_인턴근무계획!$M$3:$R$402,$AC24,출력_인턴현황!$G$3)&amp;"")</f>
        <v/>
      </c>
      <c r="AE24" s="10">
        <f>IF($B24="","",IF($M24&lt;&gt;"",$M24,IF(IF($AQ24="",FALSE,INDEX(출력_구리근무자!$J$6:$J$305,$AQ24)="구리독자"),"구리병원",IF($AF24&lt;&gt;"",IF(LEFT(INDEX(입력_파견수련계획!$R$4:$R$803,$AF24),1)&lt;&gt;"⚠",INDEX(입력_파견수련계획!$R$4:$R$803,$AF24),IF($H24="","",IF(RIGHT($H24,2)="병원",$H24,$H24&amp;"병원"))),IF($H24="","",IF(RIGHT($H24,2)="병원",$H24,$H24&amp;"병원"))))))</f>
        <v/>
      </c>
      <c r="AF24" s="10">
        <f>IF(OR($B24="",TRIM($J24&amp;"")=""),"",IFERROR(MATCH(TRIM($J24&amp;"")&amp;"|파견중",입력_파견수련계획!$Y$4:$Y$803,0),IFERROR(MATCH(TRIM($J24&amp;"")&amp;"|파견예정",입력_파견수련계획!$Y$4:$Y$803,0),IFERROR(MATCH(TRIM($J24&amp;"")&amp;"|파견종료",입력_파견수련계획!$Y$4:$Y$803,0),""))))</f>
        <v/>
      </c>
      <c r="AG24" s="10">
        <f>IF($B24="","",IF(AND(IF(OR($AC24="",출력_인턴현황!$K$2=""),"",INDEX(입력_인턴근무계획!$M$3:$R$402,$AC24,출력_인턴현황!$K$2)&amp;"")&lt;&gt;"",LEFT(IF(OR($AC24="",출력_인턴현황!$K$2=""),"",INDEX(입력_인턴근무계획!$M$3:$R$402,$AC24,출력_인턴현황!$K$2)&amp;""),1)&lt;&gt;"⚠"),LEFT(IF(OR($AC24="",출력_인턴현황!$K$2=""),"",INDEX(입력_인턴근무계획!$M$3:$R$402,$AC24,출력_인턴현황!$K$2)&amp;""),FIND(" ",IF(OR($AC24="",출력_인턴현황!$K$2=""),"",INDEX(입력_인턴근무계획!$M$3:$R$402,$AC24,출력_인턴현황!$K$2)&amp;""))-1),$AE24))</f>
        <v/>
      </c>
      <c r="AH24" s="17">
        <f>IF($B24="","",IF($AQ24&lt;&gt;"",MAX(0,DAY(EOMONTH(출력_요약!$B$3,0))-N($AR24)),IF(TRIM($J24&amp;"")="",0,SUMPRODUCT((입력_파견수련계획!$Q$4:$Q$803=TRIM($J24&amp;""))*(입력_파견수련계획!$S$4:$S$803="서울병원")*입력_파견수련계획!$W$4:$W$803))+IF($AG24="서울병원",MAX(0,DAY(EOMONTH(출력_요약!$B$3,0))-N($X24)),0)))</f>
        <v/>
      </c>
      <c r="AI24" s="17">
        <f>IF($B24="","",IF($AQ24&lt;&gt;"",N($AR24),IF(TRIM($J24&amp;"")="",0,SUMPRODUCT((입력_파견수련계획!$Q$4:$Q$803=TRIM($J24&amp;""))*(입력_파견수련계획!$S$4:$S$803="구리병원")*입력_파견수련계획!$W$4:$W$803))+IF($AG24="구리병원",MAX(0,DAY(EOMONTH(출력_요약!$B$3,0))-N($X24)),0)))</f>
        <v/>
      </c>
      <c r="AJ24" s="10">
        <f>IF(OR($B24="",TRIM($J24&amp;"")=""),"",IFERROR(MATCH(TRIM($J24&amp;"")&amp;"|월",입력_파견수련계획!$Z$4:$Z$803,0),""))</f>
        <v/>
      </c>
      <c r="AK24" s="10">
        <f>IF(OR($B24="",TRIM($J24&amp;"")=""),"",IFERROR(MATCH(TRIM($J24&amp;"")&amp;"|다기관",입력_파견수련계획!$AE$4:$AE$803,0),""))</f>
        <v/>
      </c>
      <c r="AL24" s="10">
        <f>IF($AK24="","","다기관 "&amp;TEXT(INDEX(입력_파견수련계획!$AB$4:$AB$803,$AK24),"yyyy-mm-dd")&amp;"~"&amp;IF(ISNUMBER(INDEX(입력_파견수련계획!$AC$4:$AC$803,$AK24)),TEXT(INDEX(입력_파견수련계획!$AC$4:$AC$803,$AK24),"yyyy-mm-dd"),""))</f>
        <v/>
      </c>
      <c r="AM24" s="10">
        <f>IF($Y24="서울병원",COUNTIF($Y$2:$Y24,"서울병원"),"")</f>
        <v/>
      </c>
      <c r="AN24" s="10">
        <f>IF(LEFT($Y24,1)="⚠",COUNTIF($Y$2:$Y24,"⚠*"),"")</f>
        <v/>
      </c>
      <c r="AO24" s="10">
        <f>IF(OR($B24="",$Y24=""),"",IF(IF(TRIM($J24&amp;"")="",0,SUMPRODUCT((입력_파견수련계획!$Q$4:$Q$803=TRIM($J24&amp;""))*입력_파견수련계획!$AD$4:$AD$803))&gt;0,"다기관 기간 → 소속병원 지급",IF(AND(N($X24)&lt;=0,$AQ24=""),"파견 없음 → 그 달 근무병원 지급",IF($AH24+$AI24=DAY(EOMONTH(출력_요약!$B$3,0)),"서울 "&amp;$AH24&amp;"일 / 구리 "&amp;$AI24&amp;"일"&amp;IF($AQ24&lt;&gt;""," (구리 근무자명단 반영)","")&amp;" → 15일 이상 근무 병원 지급","타 병원 포함 → "&amp;IF($AJ24="","소속",INDEX(입력_파견수련계획!$T$4:$T$803,$AJ24))&amp;" 규칙"))))</f>
        <v/>
      </c>
      <c r="AP24" s="10">
        <f>IF($B24="","",$C24&amp;"|"&amp;$F24)</f>
        <v/>
      </c>
      <c r="AQ24" s="10">
        <f>IF($B24="","",IFERROR(MATCH(ROW()-1,출력_구리근무자!$K$6:$K$305,0),""))</f>
        <v/>
      </c>
      <c r="AR24" s="10">
        <f>IF($AQ24="","",INDEX(출력_구리근무자!$H$6:$H$305,$AQ24))</f>
        <v/>
      </c>
    </row>
    <row r="25">
      <c r="A25" s="10">
        <f>IF(B25="","",ROW()-1)</f>
        <v/>
      </c>
      <c r="B25" s="19" t="n"/>
      <c r="C25" s="10">
        <f>IF($AB25="","",IF(INDEX(입력_기본자료!$C$2:$C$1001,$AB25)="","",INDEX(입력_기본자료!$C$2:$C$1001,$AB25)))</f>
        <v/>
      </c>
      <c r="D25" s="10">
        <f>IF($AB25="","",IF(INDEX(입력_기본자료!$J$2:$J$1001,$AB25)="","",INDEX(입력_기본자료!$J$2:$J$1001,$AB25)))</f>
        <v/>
      </c>
      <c r="E25" s="11">
        <f>IF($AB25="","",IF(INDEX(입력_기본자료!$K$2:$K$1001,$AB25)="","",IF(NOT(ISNUMBER(INDEX(입력_기본자료!$K$2:$K$1001,$AB25))),INDEX(입력_기본자료!$K$2:$K$1001,$AB25),IF(INDEX(입력_기본자료!$K$2:$K$1001,$AB25)&lt;1000000,INDEX(입력_기본자료!$K$2:$K$1001,$AB25),IF(AND(INDEX(입력_기본자료!$K$2:$K$1001,$AB25)&gt;=10000101,INT(MOD(INDEX(입력_기본자료!$K$2:$K$1001,$AB25),10000)/100)&gt;=1,INT(MOD(INDEX(입력_기본자료!$K$2:$K$1001,$AB25),10000)/100)&lt;=12,MOD(INDEX(입력_기본자료!$K$2:$K$1001,$AB25),100)&gt;=1,MOD(INDEX(입력_기본자료!$K$2:$K$1001,$AB25),100)&lt;=31),DATE(INT(INDEX(입력_기본자료!$K$2:$K$1001,$AB25)/10000),INT(MOD(INDEX(입력_기본자료!$K$2:$K$1001,$AB25),10000)/100),MOD(INDEX(입력_기본자료!$K$2:$K$1001,$AB25),100)),INDEX(입력_기본자료!$K$2:$K$1001,$AB25)&amp;"")))))</f>
        <v/>
      </c>
      <c r="F25" s="10">
        <f>IF($AB25="","",IF(INDEX(입력_기본자료!$D$2:$D$1001,$AB25)="","",INDEX(입력_기본자료!$D$2:$D$1001,$AB25)))</f>
        <v/>
      </c>
      <c r="G25" s="10">
        <f>IF($AB25="","",IF(INDEX(입력_기본자료!$E$2:$E$1001,$AB25)="","",INDEX(입력_기본자료!$E$2:$E$1001,$AB25)))</f>
        <v/>
      </c>
      <c r="H25" s="10">
        <f>IF($AB25="","",IF(INDEX(입력_기본자료!$F$2:$F$1001,$AB25)="","",INDEX(입력_기본자료!$F$2:$F$1001,$AB25)))</f>
        <v/>
      </c>
      <c r="I25" s="11">
        <f>IF($AB25="","",IF(INDEX(입력_기본자료!$G$2:$G$1001,$AB25)="","",IF(NOT(ISNUMBER(INDEX(입력_기본자료!$G$2:$G$1001,$AB25))),INDEX(입력_기본자료!$G$2:$G$1001,$AB25),IF(INDEX(입력_기본자료!$G$2:$G$1001,$AB25)&lt;1000000,INDEX(입력_기본자료!$G$2:$G$1001,$AB25),IF(AND(INDEX(입력_기본자료!$G$2:$G$1001,$AB25)&gt;=10000101,INT(MOD(INDEX(입력_기본자료!$G$2:$G$1001,$AB25),10000)/100)&gt;=1,INT(MOD(INDEX(입력_기본자료!$G$2:$G$1001,$AB25),10000)/100)&lt;=12,MOD(INDEX(입력_기본자료!$G$2:$G$1001,$AB25),100)&gt;=1,MOD(INDEX(입력_기본자료!$G$2:$G$1001,$AB25),100)&lt;=31),DATE(INT(INDEX(입력_기본자료!$G$2:$G$1001,$AB25)/10000),INT(MOD(INDEX(입력_기본자료!$G$2:$G$1001,$AB25),10000)/100),MOD(INDEX(입력_기본자료!$G$2:$G$1001,$AB25),100)),INDEX(입력_기본자료!$G$2:$G$1001,$AB25)&amp;"")))))</f>
        <v/>
      </c>
      <c r="J25" s="10">
        <f>IF($AB25="","",IF(INDEX(입력_기본자료!$H$2:$H$1001,$AB25)="","",INDEX(입력_기본자료!$H$2:$H$1001,$AB25)))</f>
        <v/>
      </c>
      <c r="K25" s="10">
        <f>IF($AB25="","",IF(INDEX(입력_기본자료!$I$2:$I$1001,$AB25)="","",INDEX(입력_기본자료!$I$2:$I$1001,$AB25)))</f>
        <v/>
      </c>
      <c r="L25" s="10">
        <f>IF($AB25="","",IF(INDEX(입력_기본자료!$A$2:$A$1001,$AB25)="","",INDEX(입력_기본자료!$A$2:$A$1001,$AB25)))</f>
        <v/>
      </c>
      <c r="M25" s="15" t="n"/>
      <c r="N25" s="10">
        <f>IF($B25="","",IF(AND($U25="파견중",$Q25&lt;&gt;""),$Q25,IF(AND($AD25&lt;&gt;"",LEFT($AD25,1)&lt;&gt;"⚠"),LEFT($AD25,FIND(" ",$AD25)-1),IF($H25="","",IF(RIGHT($H25,2)="병원",$H25,$H25&amp;"병원")))))</f>
        <v/>
      </c>
      <c r="O25" s="10">
        <f>IF($B25="","",IF(AND($U25="파견중",$Q25&lt;&gt;""),IF($R25&lt;&gt;"",$R25,"파견과 미입력"),IF(AND($AD25&lt;&gt;"",LEFT($AD25,1)&lt;&gt;"⚠"),MID($AD25,FIND(" ",$AD25)+1,60),IF($F25="","",IF($F25="인턴","수련교육부(인턴)",$F25)))))</f>
        <v/>
      </c>
      <c r="P25" s="10">
        <f>IF($B25="","",IF($AK25&lt;&gt;"",IF(AND(TODAY()&gt;=INDEX(입력_파견수련계획!$AB$4:$AB$803,$AK25),OR(NOT(ISNUMBER(INDEX(입력_파견수련계획!$AC$4:$AC$803,$AK25))),TODAY()&lt;=INDEX(입력_파견수련계획!$AC$4:$AC$803,$AK25))),"다기관",IF($AF25="","",INDEX(입력_파견수련계획!$T$4:$T$803,$AF25))),IF($AF25="","",INDEX(입력_파견수련계획!$T$4:$T$803,$AF25))))</f>
        <v/>
      </c>
      <c r="Q25" s="10">
        <f>IF($AF25="","",INDEX(입력_파견수련계획!$S$4:$S$803,$AF25))</f>
        <v/>
      </c>
      <c r="R25" s="10">
        <f>IF($AF25="","",INDEX(입력_파견수련계획!$U$4:$U$803,$AF25))</f>
        <v/>
      </c>
      <c r="S25" s="11">
        <f>IF($AF25="","",IF(INDEX(입력_파견수련계획!$H$4:$H$803,$AF25)="","",INDEX(입력_파견수련계획!$H$4:$H$803,$AF25)))</f>
        <v/>
      </c>
      <c r="T25" s="11">
        <f>IF($AF25="","",IF(INDEX(입력_파견수련계획!$I$4:$I$803,$AF25)="","",INDEX(입력_파견수련계획!$I$4:$I$803,$AF25)))</f>
        <v/>
      </c>
      <c r="U25" s="10">
        <f>IF($AF25="","",INDEX(입력_파견수련계획!$X$4:$X$803,$AF25))</f>
        <v/>
      </c>
      <c r="V25" s="17">
        <f>IF($AF25="","",INDEX(입력_파견수련계획!$V$4:$V$803,$AF25))</f>
        <v/>
      </c>
      <c r="W25" s="17">
        <f>IF(AND($U25="파견중",$T25&lt;&gt;""),$T25-TODAY(),"")</f>
        <v/>
      </c>
      <c r="X25" s="17">
        <f>IF(OR($B25="",TRIM($J25&amp;"")=""),"",SUMPRODUCT((입력_파견수련계획!$Q$4:$Q$803=TRIM($J25&amp;""))*입력_파견수련계획!$W$4:$W$803))</f>
        <v/>
      </c>
      <c r="Y25" s="10">
        <f>IF($B25="","",IF($AG25="","",IF(IF(TRIM($J25&amp;"")="",0,SUMPRODUCT((입력_파견수련계획!$Q$4:$Q$803=TRIM($J25&amp;""))*입력_파견수련계획!$AD$4:$AD$803))&gt;0,$AE25,IF(AND(N($X25)&lt;=0,$AQ25=""),$AG25,IF($AH25+$AI25=DAY(EOMONTH(출력_요약!$B$3,0)),IF(AND($AH25&gt;=출력_요약!$E$3,$AI25&lt;출력_요약!$E$3),"서울병원",IF(AND($AI25&gt;=출력_요약!$E$3,$AH25&lt;출력_요약!$E$3),"구리병원","⚠15일 판정불가(서울 "&amp;$AH25&amp;"일/구리 "&amp;$AI25&amp;"일)")),IF($AJ25="",$AE25,IF(INDEX(입력_파견수련계획!$T$4:$T$803,$AJ25)="통합수련",INDEX(입력_파견수련계획!$S$4:$S$803,$AJ25),$AE25)))))))</f>
        <v/>
      </c>
      <c r="Z25" s="20">
        <f>IF($B25="","",IF($AB25="","기본자료에 없는 사번",IF(COUNTIF($B$2:$B$401,$B25)&gt;1,"중복 사번",IF($AE25="","소속(입사장소) 입력",IF(IF(TRIM($J25&amp;"")="",0,SUMPRODUCT((입력_파견수련계획!$Q$4:$Q$803=TRIM($J25&amp;""))*(입력_파견수련계획!$AA$4:$AA$803&lt;&gt;"")))&gt;0,"파견수련계획 입력오류 확인",IF(LEFT($Y25,1)="⚠","서울·구리 15일 판정 불가(양쪽 모두 이상/미만)",IF(IF($AC25="",0,N(INDEX(입력_인턴근무계획!$T$3:$T$402,$AC25)))&gt;0,"인턴계획 입력오류 확인",IF(AND($AQ25&lt;&gt;"",$AG25&lt;&gt;"구리병원",IF(TRIM($J25&amp;"")="",0,SUMPRODUCT((입력_파견수련계획!$Q$4:$Q$803=TRIM($J25&amp;""))*(입력_파견수련계획!$S$4:$S$803="구리병원")*입력_파견수련계획!$W$4:$W$803))=0),"구리 근무자명단에만 있음(파견수련계획 확인)",IF(AND($AC25&lt;&gt;"",$U25&lt;&gt;"파견중",$N25&lt;&gt;$AE25),"인턴 타지역 근무: 파견 여부 확인","정상")))))))))</f>
        <v/>
      </c>
      <c r="AA25" s="5" t="n"/>
      <c r="AB25" s="10">
        <f>IF($B25="","",IFERROR(MATCH($B25,입력_기본자료!$B$2:$B$1001,0),IFERROR(MATCH($B25&amp;"",입력_기본자료!$B$2:$B$1001,0),IFERROR(MATCH(VALUE($B25),입력_기본자료!$B$2:$B$1001,0),""))))</f>
        <v/>
      </c>
      <c r="AC25" s="10">
        <f>IF($B25="","",IFERROR(MATCH($B25,입력_인턴근무계획!$D$3:$D$402,0),IFERROR(MATCH($B25&amp;"",입력_인턴근무계획!$D$3:$D$402,0),IFERROR(MATCH(VALUE($B25),입력_인턴근무계획!$D$3:$D$402,0),""))))</f>
        <v/>
      </c>
      <c r="AD25" s="10">
        <f>IF(OR($AC25="",출력_인턴현황!$G$3=""),"",INDEX(입력_인턴근무계획!$M$3:$R$402,$AC25,출력_인턴현황!$G$3)&amp;"")</f>
        <v/>
      </c>
      <c r="AE25" s="10">
        <f>IF($B25="","",IF($M25&lt;&gt;"",$M25,IF(IF($AQ25="",FALSE,INDEX(출력_구리근무자!$J$6:$J$305,$AQ25)="구리독자"),"구리병원",IF($AF25&lt;&gt;"",IF(LEFT(INDEX(입력_파견수련계획!$R$4:$R$803,$AF25),1)&lt;&gt;"⚠",INDEX(입력_파견수련계획!$R$4:$R$803,$AF25),IF($H25="","",IF(RIGHT($H25,2)="병원",$H25,$H25&amp;"병원"))),IF($H25="","",IF(RIGHT($H25,2)="병원",$H25,$H25&amp;"병원"))))))</f>
        <v/>
      </c>
      <c r="AF25" s="10">
        <f>IF(OR($B25="",TRIM($J25&amp;"")=""),"",IFERROR(MATCH(TRIM($J25&amp;"")&amp;"|파견중",입력_파견수련계획!$Y$4:$Y$803,0),IFERROR(MATCH(TRIM($J25&amp;"")&amp;"|파견예정",입력_파견수련계획!$Y$4:$Y$803,0),IFERROR(MATCH(TRIM($J25&amp;"")&amp;"|파견종료",입력_파견수련계획!$Y$4:$Y$803,0),""))))</f>
        <v/>
      </c>
      <c r="AG25" s="10">
        <f>IF($B25="","",IF(AND(IF(OR($AC25="",출력_인턴현황!$K$2=""),"",INDEX(입력_인턴근무계획!$M$3:$R$402,$AC25,출력_인턴현황!$K$2)&amp;"")&lt;&gt;"",LEFT(IF(OR($AC25="",출력_인턴현황!$K$2=""),"",INDEX(입력_인턴근무계획!$M$3:$R$402,$AC25,출력_인턴현황!$K$2)&amp;""),1)&lt;&gt;"⚠"),LEFT(IF(OR($AC25="",출력_인턴현황!$K$2=""),"",INDEX(입력_인턴근무계획!$M$3:$R$402,$AC25,출력_인턴현황!$K$2)&amp;""),FIND(" ",IF(OR($AC25="",출력_인턴현황!$K$2=""),"",INDEX(입력_인턴근무계획!$M$3:$R$402,$AC25,출력_인턴현황!$K$2)&amp;""))-1),$AE25))</f>
        <v/>
      </c>
      <c r="AH25" s="17">
        <f>IF($B25="","",IF($AQ25&lt;&gt;"",MAX(0,DAY(EOMONTH(출력_요약!$B$3,0))-N($AR25)),IF(TRIM($J25&amp;"")="",0,SUMPRODUCT((입력_파견수련계획!$Q$4:$Q$803=TRIM($J25&amp;""))*(입력_파견수련계획!$S$4:$S$803="서울병원")*입력_파견수련계획!$W$4:$W$803))+IF($AG25="서울병원",MAX(0,DAY(EOMONTH(출력_요약!$B$3,0))-N($X25)),0)))</f>
        <v/>
      </c>
      <c r="AI25" s="17">
        <f>IF($B25="","",IF($AQ25&lt;&gt;"",N($AR25),IF(TRIM($J25&amp;"")="",0,SUMPRODUCT((입력_파견수련계획!$Q$4:$Q$803=TRIM($J25&amp;""))*(입력_파견수련계획!$S$4:$S$803="구리병원")*입력_파견수련계획!$W$4:$W$803))+IF($AG25="구리병원",MAX(0,DAY(EOMONTH(출력_요약!$B$3,0))-N($X25)),0)))</f>
        <v/>
      </c>
      <c r="AJ25" s="10">
        <f>IF(OR($B25="",TRIM($J25&amp;"")=""),"",IFERROR(MATCH(TRIM($J25&amp;"")&amp;"|월",입력_파견수련계획!$Z$4:$Z$803,0),""))</f>
        <v/>
      </c>
      <c r="AK25" s="10">
        <f>IF(OR($B25="",TRIM($J25&amp;"")=""),"",IFERROR(MATCH(TRIM($J25&amp;"")&amp;"|다기관",입력_파견수련계획!$AE$4:$AE$803,0),""))</f>
        <v/>
      </c>
      <c r="AL25" s="10">
        <f>IF($AK25="","","다기관 "&amp;TEXT(INDEX(입력_파견수련계획!$AB$4:$AB$803,$AK25),"yyyy-mm-dd")&amp;"~"&amp;IF(ISNUMBER(INDEX(입력_파견수련계획!$AC$4:$AC$803,$AK25)),TEXT(INDEX(입력_파견수련계획!$AC$4:$AC$803,$AK25),"yyyy-mm-dd"),""))</f>
        <v/>
      </c>
      <c r="AM25" s="10">
        <f>IF($Y25="서울병원",COUNTIF($Y$2:$Y25,"서울병원"),"")</f>
        <v/>
      </c>
      <c r="AN25" s="10">
        <f>IF(LEFT($Y25,1)="⚠",COUNTIF($Y$2:$Y25,"⚠*"),"")</f>
        <v/>
      </c>
      <c r="AO25" s="10">
        <f>IF(OR($B25="",$Y25=""),"",IF(IF(TRIM($J25&amp;"")="",0,SUMPRODUCT((입력_파견수련계획!$Q$4:$Q$803=TRIM($J25&amp;""))*입력_파견수련계획!$AD$4:$AD$803))&gt;0,"다기관 기간 → 소속병원 지급",IF(AND(N($X25)&lt;=0,$AQ25=""),"파견 없음 → 그 달 근무병원 지급",IF($AH25+$AI25=DAY(EOMONTH(출력_요약!$B$3,0)),"서울 "&amp;$AH25&amp;"일 / 구리 "&amp;$AI25&amp;"일"&amp;IF($AQ25&lt;&gt;""," (구리 근무자명단 반영)","")&amp;" → 15일 이상 근무 병원 지급","타 병원 포함 → "&amp;IF($AJ25="","소속",INDEX(입력_파견수련계획!$T$4:$T$803,$AJ25))&amp;" 규칙"))))</f>
        <v/>
      </c>
      <c r="AP25" s="10">
        <f>IF($B25="","",$C25&amp;"|"&amp;$F25)</f>
        <v/>
      </c>
      <c r="AQ25" s="10">
        <f>IF($B25="","",IFERROR(MATCH(ROW()-1,출력_구리근무자!$K$6:$K$305,0),""))</f>
        <v/>
      </c>
      <c r="AR25" s="10">
        <f>IF($AQ25="","",INDEX(출력_구리근무자!$H$6:$H$305,$AQ25))</f>
        <v/>
      </c>
    </row>
    <row r="26">
      <c r="A26" s="10">
        <f>IF(B26="","",ROW()-1)</f>
        <v/>
      </c>
      <c r="B26" s="19" t="n"/>
      <c r="C26" s="10">
        <f>IF($AB26="","",IF(INDEX(입력_기본자료!$C$2:$C$1001,$AB26)="","",INDEX(입력_기본자료!$C$2:$C$1001,$AB26)))</f>
        <v/>
      </c>
      <c r="D26" s="10">
        <f>IF($AB26="","",IF(INDEX(입력_기본자료!$J$2:$J$1001,$AB26)="","",INDEX(입력_기본자료!$J$2:$J$1001,$AB26)))</f>
        <v/>
      </c>
      <c r="E26" s="11">
        <f>IF($AB26="","",IF(INDEX(입력_기본자료!$K$2:$K$1001,$AB26)="","",IF(NOT(ISNUMBER(INDEX(입력_기본자료!$K$2:$K$1001,$AB26))),INDEX(입력_기본자료!$K$2:$K$1001,$AB26),IF(INDEX(입력_기본자료!$K$2:$K$1001,$AB26)&lt;1000000,INDEX(입력_기본자료!$K$2:$K$1001,$AB26),IF(AND(INDEX(입력_기본자료!$K$2:$K$1001,$AB26)&gt;=10000101,INT(MOD(INDEX(입력_기본자료!$K$2:$K$1001,$AB26),10000)/100)&gt;=1,INT(MOD(INDEX(입력_기본자료!$K$2:$K$1001,$AB26),10000)/100)&lt;=12,MOD(INDEX(입력_기본자료!$K$2:$K$1001,$AB26),100)&gt;=1,MOD(INDEX(입력_기본자료!$K$2:$K$1001,$AB26),100)&lt;=31),DATE(INT(INDEX(입력_기본자료!$K$2:$K$1001,$AB26)/10000),INT(MOD(INDEX(입력_기본자료!$K$2:$K$1001,$AB26),10000)/100),MOD(INDEX(입력_기본자료!$K$2:$K$1001,$AB26),100)),INDEX(입력_기본자료!$K$2:$K$1001,$AB26)&amp;"")))))</f>
        <v/>
      </c>
      <c r="F26" s="10">
        <f>IF($AB26="","",IF(INDEX(입력_기본자료!$D$2:$D$1001,$AB26)="","",INDEX(입력_기본자료!$D$2:$D$1001,$AB26)))</f>
        <v/>
      </c>
      <c r="G26" s="10">
        <f>IF($AB26="","",IF(INDEX(입력_기본자료!$E$2:$E$1001,$AB26)="","",INDEX(입력_기본자료!$E$2:$E$1001,$AB26)))</f>
        <v/>
      </c>
      <c r="H26" s="10">
        <f>IF($AB26="","",IF(INDEX(입력_기본자료!$F$2:$F$1001,$AB26)="","",INDEX(입력_기본자료!$F$2:$F$1001,$AB26)))</f>
        <v/>
      </c>
      <c r="I26" s="11">
        <f>IF($AB26="","",IF(INDEX(입력_기본자료!$G$2:$G$1001,$AB26)="","",IF(NOT(ISNUMBER(INDEX(입력_기본자료!$G$2:$G$1001,$AB26))),INDEX(입력_기본자료!$G$2:$G$1001,$AB26),IF(INDEX(입력_기본자료!$G$2:$G$1001,$AB26)&lt;1000000,INDEX(입력_기본자료!$G$2:$G$1001,$AB26),IF(AND(INDEX(입력_기본자료!$G$2:$G$1001,$AB26)&gt;=10000101,INT(MOD(INDEX(입력_기본자료!$G$2:$G$1001,$AB26),10000)/100)&gt;=1,INT(MOD(INDEX(입력_기본자료!$G$2:$G$1001,$AB26),10000)/100)&lt;=12,MOD(INDEX(입력_기본자료!$G$2:$G$1001,$AB26),100)&gt;=1,MOD(INDEX(입력_기본자료!$G$2:$G$1001,$AB26),100)&lt;=31),DATE(INT(INDEX(입력_기본자료!$G$2:$G$1001,$AB26)/10000),INT(MOD(INDEX(입력_기본자료!$G$2:$G$1001,$AB26),10000)/100),MOD(INDEX(입력_기본자료!$G$2:$G$1001,$AB26),100)),INDEX(입력_기본자료!$G$2:$G$1001,$AB26)&amp;"")))))</f>
        <v/>
      </c>
      <c r="J26" s="10">
        <f>IF($AB26="","",IF(INDEX(입력_기본자료!$H$2:$H$1001,$AB26)="","",INDEX(입력_기본자료!$H$2:$H$1001,$AB26)))</f>
        <v/>
      </c>
      <c r="K26" s="10">
        <f>IF($AB26="","",IF(INDEX(입력_기본자료!$I$2:$I$1001,$AB26)="","",INDEX(입력_기본자료!$I$2:$I$1001,$AB26)))</f>
        <v/>
      </c>
      <c r="L26" s="10">
        <f>IF($AB26="","",IF(INDEX(입력_기본자료!$A$2:$A$1001,$AB26)="","",INDEX(입력_기본자료!$A$2:$A$1001,$AB26)))</f>
        <v/>
      </c>
      <c r="M26" s="15" t="n"/>
      <c r="N26" s="10">
        <f>IF($B26="","",IF(AND($U26="파견중",$Q26&lt;&gt;""),$Q26,IF(AND($AD26&lt;&gt;"",LEFT($AD26,1)&lt;&gt;"⚠"),LEFT($AD26,FIND(" ",$AD26)-1),IF($H26="","",IF(RIGHT($H26,2)="병원",$H26,$H26&amp;"병원")))))</f>
        <v/>
      </c>
      <c r="O26" s="10">
        <f>IF($B26="","",IF(AND($U26="파견중",$Q26&lt;&gt;""),IF($R26&lt;&gt;"",$R26,"파견과 미입력"),IF(AND($AD26&lt;&gt;"",LEFT($AD26,1)&lt;&gt;"⚠"),MID($AD26,FIND(" ",$AD26)+1,60),IF($F26="","",IF($F26="인턴","수련교육부(인턴)",$F26)))))</f>
        <v/>
      </c>
      <c r="P26" s="10">
        <f>IF($B26="","",IF($AK26&lt;&gt;"",IF(AND(TODAY()&gt;=INDEX(입력_파견수련계획!$AB$4:$AB$803,$AK26),OR(NOT(ISNUMBER(INDEX(입력_파견수련계획!$AC$4:$AC$803,$AK26))),TODAY()&lt;=INDEX(입력_파견수련계획!$AC$4:$AC$803,$AK26))),"다기관",IF($AF26="","",INDEX(입력_파견수련계획!$T$4:$T$803,$AF26))),IF($AF26="","",INDEX(입력_파견수련계획!$T$4:$T$803,$AF26))))</f>
        <v/>
      </c>
      <c r="Q26" s="10">
        <f>IF($AF26="","",INDEX(입력_파견수련계획!$S$4:$S$803,$AF26))</f>
        <v/>
      </c>
      <c r="R26" s="10">
        <f>IF($AF26="","",INDEX(입력_파견수련계획!$U$4:$U$803,$AF26))</f>
        <v/>
      </c>
      <c r="S26" s="11">
        <f>IF($AF26="","",IF(INDEX(입력_파견수련계획!$H$4:$H$803,$AF26)="","",INDEX(입력_파견수련계획!$H$4:$H$803,$AF26)))</f>
        <v/>
      </c>
      <c r="T26" s="11">
        <f>IF($AF26="","",IF(INDEX(입력_파견수련계획!$I$4:$I$803,$AF26)="","",INDEX(입력_파견수련계획!$I$4:$I$803,$AF26)))</f>
        <v/>
      </c>
      <c r="U26" s="10">
        <f>IF($AF26="","",INDEX(입력_파견수련계획!$X$4:$X$803,$AF26))</f>
        <v/>
      </c>
      <c r="V26" s="17">
        <f>IF($AF26="","",INDEX(입력_파견수련계획!$V$4:$V$803,$AF26))</f>
        <v/>
      </c>
      <c r="W26" s="17">
        <f>IF(AND($U26="파견중",$T26&lt;&gt;""),$T26-TODAY(),"")</f>
        <v/>
      </c>
      <c r="X26" s="17">
        <f>IF(OR($B26="",TRIM($J26&amp;"")=""),"",SUMPRODUCT((입력_파견수련계획!$Q$4:$Q$803=TRIM($J26&amp;""))*입력_파견수련계획!$W$4:$W$803))</f>
        <v/>
      </c>
      <c r="Y26" s="10">
        <f>IF($B26="","",IF($AG26="","",IF(IF(TRIM($J26&amp;"")="",0,SUMPRODUCT((입력_파견수련계획!$Q$4:$Q$803=TRIM($J26&amp;""))*입력_파견수련계획!$AD$4:$AD$803))&gt;0,$AE26,IF(AND(N($X26)&lt;=0,$AQ26=""),$AG26,IF($AH26+$AI26=DAY(EOMONTH(출력_요약!$B$3,0)),IF(AND($AH26&gt;=출력_요약!$E$3,$AI26&lt;출력_요약!$E$3),"서울병원",IF(AND($AI26&gt;=출력_요약!$E$3,$AH26&lt;출력_요약!$E$3),"구리병원","⚠15일 판정불가(서울 "&amp;$AH26&amp;"일/구리 "&amp;$AI26&amp;"일)")),IF($AJ26="",$AE26,IF(INDEX(입력_파견수련계획!$T$4:$T$803,$AJ26)="통합수련",INDEX(입력_파견수련계획!$S$4:$S$803,$AJ26),$AE26)))))))</f>
        <v/>
      </c>
      <c r="Z26" s="20">
        <f>IF($B26="","",IF($AB26="","기본자료에 없는 사번",IF(COUNTIF($B$2:$B$401,$B26)&gt;1,"중복 사번",IF($AE26="","소속(입사장소) 입력",IF(IF(TRIM($J26&amp;"")="",0,SUMPRODUCT((입력_파견수련계획!$Q$4:$Q$803=TRIM($J26&amp;""))*(입력_파견수련계획!$AA$4:$AA$803&lt;&gt;"")))&gt;0,"파견수련계획 입력오류 확인",IF(LEFT($Y26,1)="⚠","서울·구리 15일 판정 불가(양쪽 모두 이상/미만)",IF(IF($AC26="",0,N(INDEX(입력_인턴근무계획!$T$3:$T$402,$AC26)))&gt;0,"인턴계획 입력오류 확인",IF(AND($AQ26&lt;&gt;"",$AG26&lt;&gt;"구리병원",IF(TRIM($J26&amp;"")="",0,SUMPRODUCT((입력_파견수련계획!$Q$4:$Q$803=TRIM($J26&amp;""))*(입력_파견수련계획!$S$4:$S$803="구리병원")*입력_파견수련계획!$W$4:$W$803))=0),"구리 근무자명단에만 있음(파견수련계획 확인)",IF(AND($AC26&lt;&gt;"",$U26&lt;&gt;"파견중",$N26&lt;&gt;$AE26),"인턴 타지역 근무: 파견 여부 확인","정상")))))))))</f>
        <v/>
      </c>
      <c r="AA26" s="5" t="n"/>
      <c r="AB26" s="10">
        <f>IF($B26="","",IFERROR(MATCH($B26,입력_기본자료!$B$2:$B$1001,0),IFERROR(MATCH($B26&amp;"",입력_기본자료!$B$2:$B$1001,0),IFERROR(MATCH(VALUE($B26),입력_기본자료!$B$2:$B$1001,0),""))))</f>
        <v/>
      </c>
      <c r="AC26" s="10">
        <f>IF($B26="","",IFERROR(MATCH($B26,입력_인턴근무계획!$D$3:$D$402,0),IFERROR(MATCH($B26&amp;"",입력_인턴근무계획!$D$3:$D$402,0),IFERROR(MATCH(VALUE($B26),입력_인턴근무계획!$D$3:$D$402,0),""))))</f>
        <v/>
      </c>
      <c r="AD26" s="10">
        <f>IF(OR($AC26="",출력_인턴현황!$G$3=""),"",INDEX(입력_인턴근무계획!$M$3:$R$402,$AC26,출력_인턴현황!$G$3)&amp;"")</f>
        <v/>
      </c>
      <c r="AE26" s="10">
        <f>IF($B26="","",IF($M26&lt;&gt;"",$M26,IF(IF($AQ26="",FALSE,INDEX(출력_구리근무자!$J$6:$J$305,$AQ26)="구리독자"),"구리병원",IF($AF26&lt;&gt;"",IF(LEFT(INDEX(입력_파견수련계획!$R$4:$R$803,$AF26),1)&lt;&gt;"⚠",INDEX(입력_파견수련계획!$R$4:$R$803,$AF26),IF($H26="","",IF(RIGHT($H26,2)="병원",$H26,$H26&amp;"병원"))),IF($H26="","",IF(RIGHT($H26,2)="병원",$H26,$H26&amp;"병원"))))))</f>
        <v/>
      </c>
      <c r="AF26" s="10">
        <f>IF(OR($B26="",TRIM($J26&amp;"")=""),"",IFERROR(MATCH(TRIM($J26&amp;"")&amp;"|파견중",입력_파견수련계획!$Y$4:$Y$803,0),IFERROR(MATCH(TRIM($J26&amp;"")&amp;"|파견예정",입력_파견수련계획!$Y$4:$Y$803,0),IFERROR(MATCH(TRIM($J26&amp;"")&amp;"|파견종료",입력_파견수련계획!$Y$4:$Y$803,0),""))))</f>
        <v/>
      </c>
      <c r="AG26" s="10">
        <f>IF($B26="","",IF(AND(IF(OR($AC26="",출력_인턴현황!$K$2=""),"",INDEX(입력_인턴근무계획!$M$3:$R$402,$AC26,출력_인턴현황!$K$2)&amp;"")&lt;&gt;"",LEFT(IF(OR($AC26="",출력_인턴현황!$K$2=""),"",INDEX(입력_인턴근무계획!$M$3:$R$402,$AC26,출력_인턴현황!$K$2)&amp;""),1)&lt;&gt;"⚠"),LEFT(IF(OR($AC26="",출력_인턴현황!$K$2=""),"",INDEX(입력_인턴근무계획!$M$3:$R$402,$AC26,출력_인턴현황!$K$2)&amp;""),FIND(" ",IF(OR($AC26="",출력_인턴현황!$K$2=""),"",INDEX(입력_인턴근무계획!$M$3:$R$402,$AC26,출력_인턴현황!$K$2)&amp;""))-1),$AE26))</f>
        <v/>
      </c>
      <c r="AH26" s="17">
        <f>IF($B26="","",IF($AQ26&lt;&gt;"",MAX(0,DAY(EOMONTH(출력_요약!$B$3,0))-N($AR26)),IF(TRIM($J26&amp;"")="",0,SUMPRODUCT((입력_파견수련계획!$Q$4:$Q$803=TRIM($J26&amp;""))*(입력_파견수련계획!$S$4:$S$803="서울병원")*입력_파견수련계획!$W$4:$W$803))+IF($AG26="서울병원",MAX(0,DAY(EOMONTH(출력_요약!$B$3,0))-N($X26)),0)))</f>
        <v/>
      </c>
      <c r="AI26" s="17">
        <f>IF($B26="","",IF($AQ26&lt;&gt;"",N($AR26),IF(TRIM($J26&amp;"")="",0,SUMPRODUCT((입력_파견수련계획!$Q$4:$Q$803=TRIM($J26&amp;""))*(입력_파견수련계획!$S$4:$S$803="구리병원")*입력_파견수련계획!$W$4:$W$803))+IF($AG26="구리병원",MAX(0,DAY(EOMONTH(출력_요약!$B$3,0))-N($X26)),0)))</f>
        <v/>
      </c>
      <c r="AJ26" s="10">
        <f>IF(OR($B26="",TRIM($J26&amp;"")=""),"",IFERROR(MATCH(TRIM($J26&amp;"")&amp;"|월",입력_파견수련계획!$Z$4:$Z$803,0),""))</f>
        <v/>
      </c>
      <c r="AK26" s="10">
        <f>IF(OR($B26="",TRIM($J26&amp;"")=""),"",IFERROR(MATCH(TRIM($J26&amp;"")&amp;"|다기관",입력_파견수련계획!$AE$4:$AE$803,0),""))</f>
        <v/>
      </c>
      <c r="AL26" s="10">
        <f>IF($AK26="","","다기관 "&amp;TEXT(INDEX(입력_파견수련계획!$AB$4:$AB$803,$AK26),"yyyy-mm-dd")&amp;"~"&amp;IF(ISNUMBER(INDEX(입력_파견수련계획!$AC$4:$AC$803,$AK26)),TEXT(INDEX(입력_파견수련계획!$AC$4:$AC$803,$AK26),"yyyy-mm-dd"),""))</f>
        <v/>
      </c>
      <c r="AM26" s="10">
        <f>IF($Y26="서울병원",COUNTIF($Y$2:$Y26,"서울병원"),"")</f>
        <v/>
      </c>
      <c r="AN26" s="10">
        <f>IF(LEFT($Y26,1)="⚠",COUNTIF($Y$2:$Y26,"⚠*"),"")</f>
        <v/>
      </c>
      <c r="AO26" s="10">
        <f>IF(OR($B26="",$Y26=""),"",IF(IF(TRIM($J26&amp;"")="",0,SUMPRODUCT((입력_파견수련계획!$Q$4:$Q$803=TRIM($J26&amp;""))*입력_파견수련계획!$AD$4:$AD$803))&gt;0,"다기관 기간 → 소속병원 지급",IF(AND(N($X26)&lt;=0,$AQ26=""),"파견 없음 → 그 달 근무병원 지급",IF($AH26+$AI26=DAY(EOMONTH(출력_요약!$B$3,0)),"서울 "&amp;$AH26&amp;"일 / 구리 "&amp;$AI26&amp;"일"&amp;IF($AQ26&lt;&gt;""," (구리 근무자명단 반영)","")&amp;" → 15일 이상 근무 병원 지급","타 병원 포함 → "&amp;IF($AJ26="","소속",INDEX(입력_파견수련계획!$T$4:$T$803,$AJ26))&amp;" 규칙"))))</f>
        <v/>
      </c>
      <c r="AP26" s="10">
        <f>IF($B26="","",$C26&amp;"|"&amp;$F26)</f>
        <v/>
      </c>
      <c r="AQ26" s="10">
        <f>IF($B26="","",IFERROR(MATCH(ROW()-1,출력_구리근무자!$K$6:$K$305,0),""))</f>
        <v/>
      </c>
      <c r="AR26" s="10">
        <f>IF($AQ26="","",INDEX(출력_구리근무자!$H$6:$H$305,$AQ26))</f>
        <v/>
      </c>
    </row>
    <row r="27">
      <c r="A27" s="10">
        <f>IF(B27="","",ROW()-1)</f>
        <v/>
      </c>
      <c r="B27" s="19" t="n"/>
      <c r="C27" s="10">
        <f>IF($AB27="","",IF(INDEX(입력_기본자료!$C$2:$C$1001,$AB27)="","",INDEX(입력_기본자료!$C$2:$C$1001,$AB27)))</f>
        <v/>
      </c>
      <c r="D27" s="10">
        <f>IF($AB27="","",IF(INDEX(입력_기본자료!$J$2:$J$1001,$AB27)="","",INDEX(입력_기본자료!$J$2:$J$1001,$AB27)))</f>
        <v/>
      </c>
      <c r="E27" s="11">
        <f>IF($AB27="","",IF(INDEX(입력_기본자료!$K$2:$K$1001,$AB27)="","",IF(NOT(ISNUMBER(INDEX(입력_기본자료!$K$2:$K$1001,$AB27))),INDEX(입력_기본자료!$K$2:$K$1001,$AB27),IF(INDEX(입력_기본자료!$K$2:$K$1001,$AB27)&lt;1000000,INDEX(입력_기본자료!$K$2:$K$1001,$AB27),IF(AND(INDEX(입력_기본자료!$K$2:$K$1001,$AB27)&gt;=10000101,INT(MOD(INDEX(입력_기본자료!$K$2:$K$1001,$AB27),10000)/100)&gt;=1,INT(MOD(INDEX(입력_기본자료!$K$2:$K$1001,$AB27),10000)/100)&lt;=12,MOD(INDEX(입력_기본자료!$K$2:$K$1001,$AB27),100)&gt;=1,MOD(INDEX(입력_기본자료!$K$2:$K$1001,$AB27),100)&lt;=31),DATE(INT(INDEX(입력_기본자료!$K$2:$K$1001,$AB27)/10000),INT(MOD(INDEX(입력_기본자료!$K$2:$K$1001,$AB27),10000)/100),MOD(INDEX(입력_기본자료!$K$2:$K$1001,$AB27),100)),INDEX(입력_기본자료!$K$2:$K$1001,$AB27)&amp;"")))))</f>
        <v/>
      </c>
      <c r="F27" s="10">
        <f>IF($AB27="","",IF(INDEX(입력_기본자료!$D$2:$D$1001,$AB27)="","",INDEX(입력_기본자료!$D$2:$D$1001,$AB27)))</f>
        <v/>
      </c>
      <c r="G27" s="10">
        <f>IF($AB27="","",IF(INDEX(입력_기본자료!$E$2:$E$1001,$AB27)="","",INDEX(입력_기본자료!$E$2:$E$1001,$AB27)))</f>
        <v/>
      </c>
      <c r="H27" s="10">
        <f>IF($AB27="","",IF(INDEX(입력_기본자료!$F$2:$F$1001,$AB27)="","",INDEX(입력_기본자료!$F$2:$F$1001,$AB27)))</f>
        <v/>
      </c>
      <c r="I27" s="11">
        <f>IF($AB27="","",IF(INDEX(입력_기본자료!$G$2:$G$1001,$AB27)="","",IF(NOT(ISNUMBER(INDEX(입력_기본자료!$G$2:$G$1001,$AB27))),INDEX(입력_기본자료!$G$2:$G$1001,$AB27),IF(INDEX(입력_기본자료!$G$2:$G$1001,$AB27)&lt;1000000,INDEX(입력_기본자료!$G$2:$G$1001,$AB27),IF(AND(INDEX(입력_기본자료!$G$2:$G$1001,$AB27)&gt;=10000101,INT(MOD(INDEX(입력_기본자료!$G$2:$G$1001,$AB27),10000)/100)&gt;=1,INT(MOD(INDEX(입력_기본자료!$G$2:$G$1001,$AB27),10000)/100)&lt;=12,MOD(INDEX(입력_기본자료!$G$2:$G$1001,$AB27),100)&gt;=1,MOD(INDEX(입력_기본자료!$G$2:$G$1001,$AB27),100)&lt;=31),DATE(INT(INDEX(입력_기본자료!$G$2:$G$1001,$AB27)/10000),INT(MOD(INDEX(입력_기본자료!$G$2:$G$1001,$AB27),10000)/100),MOD(INDEX(입력_기본자료!$G$2:$G$1001,$AB27),100)),INDEX(입력_기본자료!$G$2:$G$1001,$AB27)&amp;"")))))</f>
        <v/>
      </c>
      <c r="J27" s="10">
        <f>IF($AB27="","",IF(INDEX(입력_기본자료!$H$2:$H$1001,$AB27)="","",INDEX(입력_기본자료!$H$2:$H$1001,$AB27)))</f>
        <v/>
      </c>
      <c r="K27" s="10">
        <f>IF($AB27="","",IF(INDEX(입력_기본자료!$I$2:$I$1001,$AB27)="","",INDEX(입력_기본자료!$I$2:$I$1001,$AB27)))</f>
        <v/>
      </c>
      <c r="L27" s="10">
        <f>IF($AB27="","",IF(INDEX(입력_기본자료!$A$2:$A$1001,$AB27)="","",INDEX(입력_기본자료!$A$2:$A$1001,$AB27)))</f>
        <v/>
      </c>
      <c r="M27" s="15" t="n"/>
      <c r="N27" s="10">
        <f>IF($B27="","",IF(AND($U27="파견중",$Q27&lt;&gt;""),$Q27,IF(AND($AD27&lt;&gt;"",LEFT($AD27,1)&lt;&gt;"⚠"),LEFT($AD27,FIND(" ",$AD27)-1),IF($H27="","",IF(RIGHT($H27,2)="병원",$H27,$H27&amp;"병원")))))</f>
        <v/>
      </c>
      <c r="O27" s="10">
        <f>IF($B27="","",IF(AND($U27="파견중",$Q27&lt;&gt;""),IF($R27&lt;&gt;"",$R27,"파견과 미입력"),IF(AND($AD27&lt;&gt;"",LEFT($AD27,1)&lt;&gt;"⚠"),MID($AD27,FIND(" ",$AD27)+1,60),IF($F27="","",IF($F27="인턴","수련교육부(인턴)",$F27)))))</f>
        <v/>
      </c>
      <c r="P27" s="10">
        <f>IF($B27="","",IF($AK27&lt;&gt;"",IF(AND(TODAY()&gt;=INDEX(입력_파견수련계획!$AB$4:$AB$803,$AK27),OR(NOT(ISNUMBER(INDEX(입력_파견수련계획!$AC$4:$AC$803,$AK27))),TODAY()&lt;=INDEX(입력_파견수련계획!$AC$4:$AC$803,$AK27))),"다기관",IF($AF27="","",INDEX(입력_파견수련계획!$T$4:$T$803,$AF27))),IF($AF27="","",INDEX(입력_파견수련계획!$T$4:$T$803,$AF27))))</f>
        <v/>
      </c>
      <c r="Q27" s="10">
        <f>IF($AF27="","",INDEX(입력_파견수련계획!$S$4:$S$803,$AF27))</f>
        <v/>
      </c>
      <c r="R27" s="10">
        <f>IF($AF27="","",INDEX(입력_파견수련계획!$U$4:$U$803,$AF27))</f>
        <v/>
      </c>
      <c r="S27" s="11">
        <f>IF($AF27="","",IF(INDEX(입력_파견수련계획!$H$4:$H$803,$AF27)="","",INDEX(입력_파견수련계획!$H$4:$H$803,$AF27)))</f>
        <v/>
      </c>
      <c r="T27" s="11">
        <f>IF($AF27="","",IF(INDEX(입력_파견수련계획!$I$4:$I$803,$AF27)="","",INDEX(입력_파견수련계획!$I$4:$I$803,$AF27)))</f>
        <v/>
      </c>
      <c r="U27" s="10">
        <f>IF($AF27="","",INDEX(입력_파견수련계획!$X$4:$X$803,$AF27))</f>
        <v/>
      </c>
      <c r="V27" s="17">
        <f>IF($AF27="","",INDEX(입력_파견수련계획!$V$4:$V$803,$AF27))</f>
        <v/>
      </c>
      <c r="W27" s="17">
        <f>IF(AND($U27="파견중",$T27&lt;&gt;""),$T27-TODAY(),"")</f>
        <v/>
      </c>
      <c r="X27" s="17">
        <f>IF(OR($B27="",TRIM($J27&amp;"")=""),"",SUMPRODUCT((입력_파견수련계획!$Q$4:$Q$803=TRIM($J27&amp;""))*입력_파견수련계획!$W$4:$W$803))</f>
        <v/>
      </c>
      <c r="Y27" s="10">
        <f>IF($B27="","",IF($AG27="","",IF(IF(TRIM($J27&amp;"")="",0,SUMPRODUCT((입력_파견수련계획!$Q$4:$Q$803=TRIM($J27&amp;""))*입력_파견수련계획!$AD$4:$AD$803))&gt;0,$AE27,IF(AND(N($X27)&lt;=0,$AQ27=""),$AG27,IF($AH27+$AI27=DAY(EOMONTH(출력_요약!$B$3,0)),IF(AND($AH27&gt;=출력_요약!$E$3,$AI27&lt;출력_요약!$E$3),"서울병원",IF(AND($AI27&gt;=출력_요약!$E$3,$AH27&lt;출력_요약!$E$3),"구리병원","⚠15일 판정불가(서울 "&amp;$AH27&amp;"일/구리 "&amp;$AI27&amp;"일)")),IF($AJ27="",$AE27,IF(INDEX(입력_파견수련계획!$T$4:$T$803,$AJ27)="통합수련",INDEX(입력_파견수련계획!$S$4:$S$803,$AJ27),$AE27)))))))</f>
        <v/>
      </c>
      <c r="Z27" s="20">
        <f>IF($B27="","",IF($AB27="","기본자료에 없는 사번",IF(COUNTIF($B$2:$B$401,$B27)&gt;1,"중복 사번",IF($AE27="","소속(입사장소) 입력",IF(IF(TRIM($J27&amp;"")="",0,SUMPRODUCT((입력_파견수련계획!$Q$4:$Q$803=TRIM($J27&amp;""))*(입력_파견수련계획!$AA$4:$AA$803&lt;&gt;"")))&gt;0,"파견수련계획 입력오류 확인",IF(LEFT($Y27,1)="⚠","서울·구리 15일 판정 불가(양쪽 모두 이상/미만)",IF(IF($AC27="",0,N(INDEX(입력_인턴근무계획!$T$3:$T$402,$AC27)))&gt;0,"인턴계획 입력오류 확인",IF(AND($AQ27&lt;&gt;"",$AG27&lt;&gt;"구리병원",IF(TRIM($J27&amp;"")="",0,SUMPRODUCT((입력_파견수련계획!$Q$4:$Q$803=TRIM($J27&amp;""))*(입력_파견수련계획!$S$4:$S$803="구리병원")*입력_파견수련계획!$W$4:$W$803))=0),"구리 근무자명단에만 있음(파견수련계획 확인)",IF(AND($AC27&lt;&gt;"",$U27&lt;&gt;"파견중",$N27&lt;&gt;$AE27),"인턴 타지역 근무: 파견 여부 확인","정상")))))))))</f>
        <v/>
      </c>
      <c r="AA27" s="5" t="n"/>
      <c r="AB27" s="10">
        <f>IF($B27="","",IFERROR(MATCH($B27,입력_기본자료!$B$2:$B$1001,0),IFERROR(MATCH($B27&amp;"",입력_기본자료!$B$2:$B$1001,0),IFERROR(MATCH(VALUE($B27),입력_기본자료!$B$2:$B$1001,0),""))))</f>
        <v/>
      </c>
      <c r="AC27" s="10">
        <f>IF($B27="","",IFERROR(MATCH($B27,입력_인턴근무계획!$D$3:$D$402,0),IFERROR(MATCH($B27&amp;"",입력_인턴근무계획!$D$3:$D$402,0),IFERROR(MATCH(VALUE($B27),입력_인턴근무계획!$D$3:$D$402,0),""))))</f>
        <v/>
      </c>
      <c r="AD27" s="10">
        <f>IF(OR($AC27="",출력_인턴현황!$G$3=""),"",INDEX(입력_인턴근무계획!$M$3:$R$402,$AC27,출력_인턴현황!$G$3)&amp;"")</f>
        <v/>
      </c>
      <c r="AE27" s="10">
        <f>IF($B27="","",IF($M27&lt;&gt;"",$M27,IF(IF($AQ27="",FALSE,INDEX(출력_구리근무자!$J$6:$J$305,$AQ27)="구리독자"),"구리병원",IF($AF27&lt;&gt;"",IF(LEFT(INDEX(입력_파견수련계획!$R$4:$R$803,$AF27),1)&lt;&gt;"⚠",INDEX(입력_파견수련계획!$R$4:$R$803,$AF27),IF($H27="","",IF(RIGHT($H27,2)="병원",$H27,$H27&amp;"병원"))),IF($H27="","",IF(RIGHT($H27,2)="병원",$H27,$H27&amp;"병원"))))))</f>
        <v/>
      </c>
      <c r="AF27" s="10">
        <f>IF(OR($B27="",TRIM($J27&amp;"")=""),"",IFERROR(MATCH(TRIM($J27&amp;"")&amp;"|파견중",입력_파견수련계획!$Y$4:$Y$803,0),IFERROR(MATCH(TRIM($J27&amp;"")&amp;"|파견예정",입력_파견수련계획!$Y$4:$Y$803,0),IFERROR(MATCH(TRIM($J27&amp;"")&amp;"|파견종료",입력_파견수련계획!$Y$4:$Y$803,0),""))))</f>
        <v/>
      </c>
      <c r="AG27" s="10">
        <f>IF($B27="","",IF(AND(IF(OR($AC27="",출력_인턴현황!$K$2=""),"",INDEX(입력_인턴근무계획!$M$3:$R$402,$AC27,출력_인턴현황!$K$2)&amp;"")&lt;&gt;"",LEFT(IF(OR($AC27="",출력_인턴현황!$K$2=""),"",INDEX(입력_인턴근무계획!$M$3:$R$402,$AC27,출력_인턴현황!$K$2)&amp;""),1)&lt;&gt;"⚠"),LEFT(IF(OR($AC27="",출력_인턴현황!$K$2=""),"",INDEX(입력_인턴근무계획!$M$3:$R$402,$AC27,출력_인턴현황!$K$2)&amp;""),FIND(" ",IF(OR($AC27="",출력_인턴현황!$K$2=""),"",INDEX(입력_인턴근무계획!$M$3:$R$402,$AC27,출력_인턴현황!$K$2)&amp;""))-1),$AE27))</f>
        <v/>
      </c>
      <c r="AH27" s="17">
        <f>IF($B27="","",IF($AQ27&lt;&gt;"",MAX(0,DAY(EOMONTH(출력_요약!$B$3,0))-N($AR27)),IF(TRIM($J27&amp;"")="",0,SUMPRODUCT((입력_파견수련계획!$Q$4:$Q$803=TRIM($J27&amp;""))*(입력_파견수련계획!$S$4:$S$803="서울병원")*입력_파견수련계획!$W$4:$W$803))+IF($AG27="서울병원",MAX(0,DAY(EOMONTH(출력_요약!$B$3,0))-N($X27)),0)))</f>
        <v/>
      </c>
      <c r="AI27" s="17">
        <f>IF($B27="","",IF($AQ27&lt;&gt;"",N($AR27),IF(TRIM($J27&amp;"")="",0,SUMPRODUCT((입력_파견수련계획!$Q$4:$Q$803=TRIM($J27&amp;""))*(입력_파견수련계획!$S$4:$S$803="구리병원")*입력_파견수련계획!$W$4:$W$803))+IF($AG27="구리병원",MAX(0,DAY(EOMONTH(출력_요약!$B$3,0))-N($X27)),0)))</f>
        <v/>
      </c>
      <c r="AJ27" s="10">
        <f>IF(OR($B27="",TRIM($J27&amp;"")=""),"",IFERROR(MATCH(TRIM($J27&amp;"")&amp;"|월",입력_파견수련계획!$Z$4:$Z$803,0),""))</f>
        <v/>
      </c>
      <c r="AK27" s="10">
        <f>IF(OR($B27="",TRIM($J27&amp;"")=""),"",IFERROR(MATCH(TRIM($J27&amp;"")&amp;"|다기관",입력_파견수련계획!$AE$4:$AE$803,0),""))</f>
        <v/>
      </c>
      <c r="AL27" s="10">
        <f>IF($AK27="","","다기관 "&amp;TEXT(INDEX(입력_파견수련계획!$AB$4:$AB$803,$AK27),"yyyy-mm-dd")&amp;"~"&amp;IF(ISNUMBER(INDEX(입력_파견수련계획!$AC$4:$AC$803,$AK27)),TEXT(INDEX(입력_파견수련계획!$AC$4:$AC$803,$AK27),"yyyy-mm-dd"),""))</f>
        <v/>
      </c>
      <c r="AM27" s="10">
        <f>IF($Y27="서울병원",COUNTIF($Y$2:$Y27,"서울병원"),"")</f>
        <v/>
      </c>
      <c r="AN27" s="10">
        <f>IF(LEFT($Y27,1)="⚠",COUNTIF($Y$2:$Y27,"⚠*"),"")</f>
        <v/>
      </c>
      <c r="AO27" s="10">
        <f>IF(OR($B27="",$Y27=""),"",IF(IF(TRIM($J27&amp;"")="",0,SUMPRODUCT((입력_파견수련계획!$Q$4:$Q$803=TRIM($J27&amp;""))*입력_파견수련계획!$AD$4:$AD$803))&gt;0,"다기관 기간 → 소속병원 지급",IF(AND(N($X27)&lt;=0,$AQ27=""),"파견 없음 → 그 달 근무병원 지급",IF($AH27+$AI27=DAY(EOMONTH(출력_요약!$B$3,0)),"서울 "&amp;$AH27&amp;"일 / 구리 "&amp;$AI27&amp;"일"&amp;IF($AQ27&lt;&gt;""," (구리 근무자명단 반영)","")&amp;" → 15일 이상 근무 병원 지급","타 병원 포함 → "&amp;IF($AJ27="","소속",INDEX(입력_파견수련계획!$T$4:$T$803,$AJ27))&amp;" 규칙"))))</f>
        <v/>
      </c>
      <c r="AP27" s="10">
        <f>IF($B27="","",$C27&amp;"|"&amp;$F27)</f>
        <v/>
      </c>
      <c r="AQ27" s="10">
        <f>IF($B27="","",IFERROR(MATCH(ROW()-1,출력_구리근무자!$K$6:$K$305,0),""))</f>
        <v/>
      </c>
      <c r="AR27" s="10">
        <f>IF($AQ27="","",INDEX(출력_구리근무자!$H$6:$H$305,$AQ27))</f>
        <v/>
      </c>
    </row>
    <row r="28">
      <c r="A28" s="10">
        <f>IF(B28="","",ROW()-1)</f>
        <v/>
      </c>
      <c r="B28" s="19" t="n"/>
      <c r="C28" s="10">
        <f>IF($AB28="","",IF(INDEX(입력_기본자료!$C$2:$C$1001,$AB28)="","",INDEX(입력_기본자료!$C$2:$C$1001,$AB28)))</f>
        <v/>
      </c>
      <c r="D28" s="10">
        <f>IF($AB28="","",IF(INDEX(입력_기본자료!$J$2:$J$1001,$AB28)="","",INDEX(입력_기본자료!$J$2:$J$1001,$AB28)))</f>
        <v/>
      </c>
      <c r="E28" s="11">
        <f>IF($AB28="","",IF(INDEX(입력_기본자료!$K$2:$K$1001,$AB28)="","",IF(NOT(ISNUMBER(INDEX(입력_기본자료!$K$2:$K$1001,$AB28))),INDEX(입력_기본자료!$K$2:$K$1001,$AB28),IF(INDEX(입력_기본자료!$K$2:$K$1001,$AB28)&lt;1000000,INDEX(입력_기본자료!$K$2:$K$1001,$AB28),IF(AND(INDEX(입력_기본자료!$K$2:$K$1001,$AB28)&gt;=10000101,INT(MOD(INDEX(입력_기본자료!$K$2:$K$1001,$AB28),10000)/100)&gt;=1,INT(MOD(INDEX(입력_기본자료!$K$2:$K$1001,$AB28),10000)/100)&lt;=12,MOD(INDEX(입력_기본자료!$K$2:$K$1001,$AB28),100)&gt;=1,MOD(INDEX(입력_기본자료!$K$2:$K$1001,$AB28),100)&lt;=31),DATE(INT(INDEX(입력_기본자료!$K$2:$K$1001,$AB28)/10000),INT(MOD(INDEX(입력_기본자료!$K$2:$K$1001,$AB28),10000)/100),MOD(INDEX(입력_기본자료!$K$2:$K$1001,$AB28),100)),INDEX(입력_기본자료!$K$2:$K$1001,$AB28)&amp;"")))))</f>
        <v/>
      </c>
      <c r="F28" s="10">
        <f>IF($AB28="","",IF(INDEX(입력_기본자료!$D$2:$D$1001,$AB28)="","",INDEX(입력_기본자료!$D$2:$D$1001,$AB28)))</f>
        <v/>
      </c>
      <c r="G28" s="10">
        <f>IF($AB28="","",IF(INDEX(입력_기본자료!$E$2:$E$1001,$AB28)="","",INDEX(입력_기본자료!$E$2:$E$1001,$AB28)))</f>
        <v/>
      </c>
      <c r="H28" s="10">
        <f>IF($AB28="","",IF(INDEX(입력_기본자료!$F$2:$F$1001,$AB28)="","",INDEX(입력_기본자료!$F$2:$F$1001,$AB28)))</f>
        <v/>
      </c>
      <c r="I28" s="11">
        <f>IF($AB28="","",IF(INDEX(입력_기본자료!$G$2:$G$1001,$AB28)="","",IF(NOT(ISNUMBER(INDEX(입력_기본자료!$G$2:$G$1001,$AB28))),INDEX(입력_기본자료!$G$2:$G$1001,$AB28),IF(INDEX(입력_기본자료!$G$2:$G$1001,$AB28)&lt;1000000,INDEX(입력_기본자료!$G$2:$G$1001,$AB28),IF(AND(INDEX(입력_기본자료!$G$2:$G$1001,$AB28)&gt;=10000101,INT(MOD(INDEX(입력_기본자료!$G$2:$G$1001,$AB28),10000)/100)&gt;=1,INT(MOD(INDEX(입력_기본자료!$G$2:$G$1001,$AB28),10000)/100)&lt;=12,MOD(INDEX(입력_기본자료!$G$2:$G$1001,$AB28),100)&gt;=1,MOD(INDEX(입력_기본자료!$G$2:$G$1001,$AB28),100)&lt;=31),DATE(INT(INDEX(입력_기본자료!$G$2:$G$1001,$AB28)/10000),INT(MOD(INDEX(입력_기본자료!$G$2:$G$1001,$AB28),10000)/100),MOD(INDEX(입력_기본자료!$G$2:$G$1001,$AB28),100)),INDEX(입력_기본자료!$G$2:$G$1001,$AB28)&amp;"")))))</f>
        <v/>
      </c>
      <c r="J28" s="10">
        <f>IF($AB28="","",IF(INDEX(입력_기본자료!$H$2:$H$1001,$AB28)="","",INDEX(입력_기본자료!$H$2:$H$1001,$AB28)))</f>
        <v/>
      </c>
      <c r="K28" s="10">
        <f>IF($AB28="","",IF(INDEX(입력_기본자료!$I$2:$I$1001,$AB28)="","",INDEX(입력_기본자료!$I$2:$I$1001,$AB28)))</f>
        <v/>
      </c>
      <c r="L28" s="10">
        <f>IF($AB28="","",IF(INDEX(입력_기본자료!$A$2:$A$1001,$AB28)="","",INDEX(입력_기본자료!$A$2:$A$1001,$AB28)))</f>
        <v/>
      </c>
      <c r="M28" s="15" t="n"/>
      <c r="N28" s="10">
        <f>IF($B28="","",IF(AND($U28="파견중",$Q28&lt;&gt;""),$Q28,IF(AND($AD28&lt;&gt;"",LEFT($AD28,1)&lt;&gt;"⚠"),LEFT($AD28,FIND(" ",$AD28)-1),IF($H28="","",IF(RIGHT($H28,2)="병원",$H28,$H28&amp;"병원")))))</f>
        <v/>
      </c>
      <c r="O28" s="10">
        <f>IF($B28="","",IF(AND($U28="파견중",$Q28&lt;&gt;""),IF($R28&lt;&gt;"",$R28,"파견과 미입력"),IF(AND($AD28&lt;&gt;"",LEFT($AD28,1)&lt;&gt;"⚠"),MID($AD28,FIND(" ",$AD28)+1,60),IF($F28="","",IF($F28="인턴","수련교육부(인턴)",$F28)))))</f>
        <v/>
      </c>
      <c r="P28" s="10">
        <f>IF($B28="","",IF($AK28&lt;&gt;"",IF(AND(TODAY()&gt;=INDEX(입력_파견수련계획!$AB$4:$AB$803,$AK28),OR(NOT(ISNUMBER(INDEX(입력_파견수련계획!$AC$4:$AC$803,$AK28))),TODAY()&lt;=INDEX(입력_파견수련계획!$AC$4:$AC$803,$AK28))),"다기관",IF($AF28="","",INDEX(입력_파견수련계획!$T$4:$T$803,$AF28))),IF($AF28="","",INDEX(입력_파견수련계획!$T$4:$T$803,$AF28))))</f>
        <v/>
      </c>
      <c r="Q28" s="10">
        <f>IF($AF28="","",INDEX(입력_파견수련계획!$S$4:$S$803,$AF28))</f>
        <v/>
      </c>
      <c r="R28" s="10">
        <f>IF($AF28="","",INDEX(입력_파견수련계획!$U$4:$U$803,$AF28))</f>
        <v/>
      </c>
      <c r="S28" s="11">
        <f>IF($AF28="","",IF(INDEX(입력_파견수련계획!$H$4:$H$803,$AF28)="","",INDEX(입력_파견수련계획!$H$4:$H$803,$AF28)))</f>
        <v/>
      </c>
      <c r="T28" s="11">
        <f>IF($AF28="","",IF(INDEX(입력_파견수련계획!$I$4:$I$803,$AF28)="","",INDEX(입력_파견수련계획!$I$4:$I$803,$AF28)))</f>
        <v/>
      </c>
      <c r="U28" s="10">
        <f>IF($AF28="","",INDEX(입력_파견수련계획!$X$4:$X$803,$AF28))</f>
        <v/>
      </c>
      <c r="V28" s="17">
        <f>IF($AF28="","",INDEX(입력_파견수련계획!$V$4:$V$803,$AF28))</f>
        <v/>
      </c>
      <c r="W28" s="17">
        <f>IF(AND($U28="파견중",$T28&lt;&gt;""),$T28-TODAY(),"")</f>
        <v/>
      </c>
      <c r="X28" s="17">
        <f>IF(OR($B28="",TRIM($J28&amp;"")=""),"",SUMPRODUCT((입력_파견수련계획!$Q$4:$Q$803=TRIM($J28&amp;""))*입력_파견수련계획!$W$4:$W$803))</f>
        <v/>
      </c>
      <c r="Y28" s="10">
        <f>IF($B28="","",IF($AG28="","",IF(IF(TRIM($J28&amp;"")="",0,SUMPRODUCT((입력_파견수련계획!$Q$4:$Q$803=TRIM($J28&amp;""))*입력_파견수련계획!$AD$4:$AD$803))&gt;0,$AE28,IF(AND(N($X28)&lt;=0,$AQ28=""),$AG28,IF($AH28+$AI28=DAY(EOMONTH(출력_요약!$B$3,0)),IF(AND($AH28&gt;=출력_요약!$E$3,$AI28&lt;출력_요약!$E$3),"서울병원",IF(AND($AI28&gt;=출력_요약!$E$3,$AH28&lt;출력_요약!$E$3),"구리병원","⚠15일 판정불가(서울 "&amp;$AH28&amp;"일/구리 "&amp;$AI28&amp;"일)")),IF($AJ28="",$AE28,IF(INDEX(입력_파견수련계획!$T$4:$T$803,$AJ28)="통합수련",INDEX(입력_파견수련계획!$S$4:$S$803,$AJ28),$AE28)))))))</f>
        <v/>
      </c>
      <c r="Z28" s="20">
        <f>IF($B28="","",IF($AB28="","기본자료에 없는 사번",IF(COUNTIF($B$2:$B$401,$B28)&gt;1,"중복 사번",IF($AE28="","소속(입사장소) 입력",IF(IF(TRIM($J28&amp;"")="",0,SUMPRODUCT((입력_파견수련계획!$Q$4:$Q$803=TRIM($J28&amp;""))*(입력_파견수련계획!$AA$4:$AA$803&lt;&gt;"")))&gt;0,"파견수련계획 입력오류 확인",IF(LEFT($Y28,1)="⚠","서울·구리 15일 판정 불가(양쪽 모두 이상/미만)",IF(IF($AC28="",0,N(INDEX(입력_인턴근무계획!$T$3:$T$402,$AC28)))&gt;0,"인턴계획 입력오류 확인",IF(AND($AQ28&lt;&gt;"",$AG28&lt;&gt;"구리병원",IF(TRIM($J28&amp;"")="",0,SUMPRODUCT((입력_파견수련계획!$Q$4:$Q$803=TRIM($J28&amp;""))*(입력_파견수련계획!$S$4:$S$803="구리병원")*입력_파견수련계획!$W$4:$W$803))=0),"구리 근무자명단에만 있음(파견수련계획 확인)",IF(AND($AC28&lt;&gt;"",$U28&lt;&gt;"파견중",$N28&lt;&gt;$AE28),"인턴 타지역 근무: 파견 여부 확인","정상")))))))))</f>
        <v/>
      </c>
      <c r="AA28" s="5" t="n"/>
      <c r="AB28" s="10">
        <f>IF($B28="","",IFERROR(MATCH($B28,입력_기본자료!$B$2:$B$1001,0),IFERROR(MATCH($B28&amp;"",입력_기본자료!$B$2:$B$1001,0),IFERROR(MATCH(VALUE($B28),입력_기본자료!$B$2:$B$1001,0),""))))</f>
        <v/>
      </c>
      <c r="AC28" s="10">
        <f>IF($B28="","",IFERROR(MATCH($B28,입력_인턴근무계획!$D$3:$D$402,0),IFERROR(MATCH($B28&amp;"",입력_인턴근무계획!$D$3:$D$402,0),IFERROR(MATCH(VALUE($B28),입력_인턴근무계획!$D$3:$D$402,0),""))))</f>
        <v/>
      </c>
      <c r="AD28" s="10">
        <f>IF(OR($AC28="",출력_인턴현황!$G$3=""),"",INDEX(입력_인턴근무계획!$M$3:$R$402,$AC28,출력_인턴현황!$G$3)&amp;"")</f>
        <v/>
      </c>
      <c r="AE28" s="10">
        <f>IF($B28="","",IF($M28&lt;&gt;"",$M28,IF(IF($AQ28="",FALSE,INDEX(출력_구리근무자!$J$6:$J$305,$AQ28)="구리독자"),"구리병원",IF($AF28&lt;&gt;"",IF(LEFT(INDEX(입력_파견수련계획!$R$4:$R$803,$AF28),1)&lt;&gt;"⚠",INDEX(입력_파견수련계획!$R$4:$R$803,$AF28),IF($H28="","",IF(RIGHT($H28,2)="병원",$H28,$H28&amp;"병원"))),IF($H28="","",IF(RIGHT($H28,2)="병원",$H28,$H28&amp;"병원"))))))</f>
        <v/>
      </c>
      <c r="AF28" s="10">
        <f>IF(OR($B28="",TRIM($J28&amp;"")=""),"",IFERROR(MATCH(TRIM($J28&amp;"")&amp;"|파견중",입력_파견수련계획!$Y$4:$Y$803,0),IFERROR(MATCH(TRIM($J28&amp;"")&amp;"|파견예정",입력_파견수련계획!$Y$4:$Y$803,0),IFERROR(MATCH(TRIM($J28&amp;"")&amp;"|파견종료",입력_파견수련계획!$Y$4:$Y$803,0),""))))</f>
        <v/>
      </c>
      <c r="AG28" s="10">
        <f>IF($B28="","",IF(AND(IF(OR($AC28="",출력_인턴현황!$K$2=""),"",INDEX(입력_인턴근무계획!$M$3:$R$402,$AC28,출력_인턴현황!$K$2)&amp;"")&lt;&gt;"",LEFT(IF(OR($AC28="",출력_인턴현황!$K$2=""),"",INDEX(입력_인턴근무계획!$M$3:$R$402,$AC28,출력_인턴현황!$K$2)&amp;""),1)&lt;&gt;"⚠"),LEFT(IF(OR($AC28="",출력_인턴현황!$K$2=""),"",INDEX(입력_인턴근무계획!$M$3:$R$402,$AC28,출력_인턴현황!$K$2)&amp;""),FIND(" ",IF(OR($AC28="",출력_인턴현황!$K$2=""),"",INDEX(입력_인턴근무계획!$M$3:$R$402,$AC28,출력_인턴현황!$K$2)&amp;""))-1),$AE28))</f>
        <v/>
      </c>
      <c r="AH28" s="17">
        <f>IF($B28="","",IF($AQ28&lt;&gt;"",MAX(0,DAY(EOMONTH(출력_요약!$B$3,0))-N($AR28)),IF(TRIM($J28&amp;"")="",0,SUMPRODUCT((입력_파견수련계획!$Q$4:$Q$803=TRIM($J28&amp;""))*(입력_파견수련계획!$S$4:$S$803="서울병원")*입력_파견수련계획!$W$4:$W$803))+IF($AG28="서울병원",MAX(0,DAY(EOMONTH(출력_요약!$B$3,0))-N($X28)),0)))</f>
        <v/>
      </c>
      <c r="AI28" s="17">
        <f>IF($B28="","",IF($AQ28&lt;&gt;"",N($AR28),IF(TRIM($J28&amp;"")="",0,SUMPRODUCT((입력_파견수련계획!$Q$4:$Q$803=TRIM($J28&amp;""))*(입력_파견수련계획!$S$4:$S$803="구리병원")*입력_파견수련계획!$W$4:$W$803))+IF($AG28="구리병원",MAX(0,DAY(EOMONTH(출력_요약!$B$3,0))-N($X28)),0)))</f>
        <v/>
      </c>
      <c r="AJ28" s="10">
        <f>IF(OR($B28="",TRIM($J28&amp;"")=""),"",IFERROR(MATCH(TRIM($J28&amp;"")&amp;"|월",입력_파견수련계획!$Z$4:$Z$803,0),""))</f>
        <v/>
      </c>
      <c r="AK28" s="10">
        <f>IF(OR($B28="",TRIM($J28&amp;"")=""),"",IFERROR(MATCH(TRIM($J28&amp;"")&amp;"|다기관",입력_파견수련계획!$AE$4:$AE$803,0),""))</f>
        <v/>
      </c>
      <c r="AL28" s="10">
        <f>IF($AK28="","","다기관 "&amp;TEXT(INDEX(입력_파견수련계획!$AB$4:$AB$803,$AK28),"yyyy-mm-dd")&amp;"~"&amp;IF(ISNUMBER(INDEX(입력_파견수련계획!$AC$4:$AC$803,$AK28)),TEXT(INDEX(입력_파견수련계획!$AC$4:$AC$803,$AK28),"yyyy-mm-dd"),""))</f>
        <v/>
      </c>
      <c r="AM28" s="10">
        <f>IF($Y28="서울병원",COUNTIF($Y$2:$Y28,"서울병원"),"")</f>
        <v/>
      </c>
      <c r="AN28" s="10">
        <f>IF(LEFT($Y28,1)="⚠",COUNTIF($Y$2:$Y28,"⚠*"),"")</f>
        <v/>
      </c>
      <c r="AO28" s="10">
        <f>IF(OR($B28="",$Y28=""),"",IF(IF(TRIM($J28&amp;"")="",0,SUMPRODUCT((입력_파견수련계획!$Q$4:$Q$803=TRIM($J28&amp;""))*입력_파견수련계획!$AD$4:$AD$803))&gt;0,"다기관 기간 → 소속병원 지급",IF(AND(N($X28)&lt;=0,$AQ28=""),"파견 없음 → 그 달 근무병원 지급",IF($AH28+$AI28=DAY(EOMONTH(출력_요약!$B$3,0)),"서울 "&amp;$AH28&amp;"일 / 구리 "&amp;$AI28&amp;"일"&amp;IF($AQ28&lt;&gt;""," (구리 근무자명단 반영)","")&amp;" → 15일 이상 근무 병원 지급","타 병원 포함 → "&amp;IF($AJ28="","소속",INDEX(입력_파견수련계획!$T$4:$T$803,$AJ28))&amp;" 규칙"))))</f>
        <v/>
      </c>
      <c r="AP28" s="10">
        <f>IF($B28="","",$C28&amp;"|"&amp;$F28)</f>
        <v/>
      </c>
      <c r="AQ28" s="10">
        <f>IF($B28="","",IFERROR(MATCH(ROW()-1,출력_구리근무자!$K$6:$K$305,0),""))</f>
        <v/>
      </c>
      <c r="AR28" s="10">
        <f>IF($AQ28="","",INDEX(출력_구리근무자!$H$6:$H$305,$AQ28))</f>
        <v/>
      </c>
    </row>
    <row r="29">
      <c r="A29" s="10">
        <f>IF(B29="","",ROW()-1)</f>
        <v/>
      </c>
      <c r="B29" s="19" t="n"/>
      <c r="C29" s="10">
        <f>IF($AB29="","",IF(INDEX(입력_기본자료!$C$2:$C$1001,$AB29)="","",INDEX(입력_기본자료!$C$2:$C$1001,$AB29)))</f>
        <v/>
      </c>
      <c r="D29" s="10">
        <f>IF($AB29="","",IF(INDEX(입력_기본자료!$J$2:$J$1001,$AB29)="","",INDEX(입력_기본자료!$J$2:$J$1001,$AB29)))</f>
        <v/>
      </c>
      <c r="E29" s="11">
        <f>IF($AB29="","",IF(INDEX(입력_기본자료!$K$2:$K$1001,$AB29)="","",IF(NOT(ISNUMBER(INDEX(입력_기본자료!$K$2:$K$1001,$AB29))),INDEX(입력_기본자료!$K$2:$K$1001,$AB29),IF(INDEX(입력_기본자료!$K$2:$K$1001,$AB29)&lt;1000000,INDEX(입력_기본자료!$K$2:$K$1001,$AB29),IF(AND(INDEX(입력_기본자료!$K$2:$K$1001,$AB29)&gt;=10000101,INT(MOD(INDEX(입력_기본자료!$K$2:$K$1001,$AB29),10000)/100)&gt;=1,INT(MOD(INDEX(입력_기본자료!$K$2:$K$1001,$AB29),10000)/100)&lt;=12,MOD(INDEX(입력_기본자료!$K$2:$K$1001,$AB29),100)&gt;=1,MOD(INDEX(입력_기본자료!$K$2:$K$1001,$AB29),100)&lt;=31),DATE(INT(INDEX(입력_기본자료!$K$2:$K$1001,$AB29)/10000),INT(MOD(INDEX(입력_기본자료!$K$2:$K$1001,$AB29),10000)/100),MOD(INDEX(입력_기본자료!$K$2:$K$1001,$AB29),100)),INDEX(입력_기본자료!$K$2:$K$1001,$AB29)&amp;"")))))</f>
        <v/>
      </c>
      <c r="F29" s="10">
        <f>IF($AB29="","",IF(INDEX(입력_기본자료!$D$2:$D$1001,$AB29)="","",INDEX(입력_기본자료!$D$2:$D$1001,$AB29)))</f>
        <v/>
      </c>
      <c r="G29" s="10">
        <f>IF($AB29="","",IF(INDEX(입력_기본자료!$E$2:$E$1001,$AB29)="","",INDEX(입력_기본자료!$E$2:$E$1001,$AB29)))</f>
        <v/>
      </c>
      <c r="H29" s="10">
        <f>IF($AB29="","",IF(INDEX(입력_기본자료!$F$2:$F$1001,$AB29)="","",INDEX(입력_기본자료!$F$2:$F$1001,$AB29)))</f>
        <v/>
      </c>
      <c r="I29" s="11">
        <f>IF($AB29="","",IF(INDEX(입력_기본자료!$G$2:$G$1001,$AB29)="","",IF(NOT(ISNUMBER(INDEX(입력_기본자료!$G$2:$G$1001,$AB29))),INDEX(입력_기본자료!$G$2:$G$1001,$AB29),IF(INDEX(입력_기본자료!$G$2:$G$1001,$AB29)&lt;1000000,INDEX(입력_기본자료!$G$2:$G$1001,$AB29),IF(AND(INDEX(입력_기본자료!$G$2:$G$1001,$AB29)&gt;=10000101,INT(MOD(INDEX(입력_기본자료!$G$2:$G$1001,$AB29),10000)/100)&gt;=1,INT(MOD(INDEX(입력_기본자료!$G$2:$G$1001,$AB29),10000)/100)&lt;=12,MOD(INDEX(입력_기본자료!$G$2:$G$1001,$AB29),100)&gt;=1,MOD(INDEX(입력_기본자료!$G$2:$G$1001,$AB29),100)&lt;=31),DATE(INT(INDEX(입력_기본자료!$G$2:$G$1001,$AB29)/10000),INT(MOD(INDEX(입력_기본자료!$G$2:$G$1001,$AB29),10000)/100),MOD(INDEX(입력_기본자료!$G$2:$G$1001,$AB29),100)),INDEX(입력_기본자료!$G$2:$G$1001,$AB29)&amp;"")))))</f>
        <v/>
      </c>
      <c r="J29" s="10">
        <f>IF($AB29="","",IF(INDEX(입력_기본자료!$H$2:$H$1001,$AB29)="","",INDEX(입력_기본자료!$H$2:$H$1001,$AB29)))</f>
        <v/>
      </c>
      <c r="K29" s="10">
        <f>IF($AB29="","",IF(INDEX(입력_기본자료!$I$2:$I$1001,$AB29)="","",INDEX(입력_기본자료!$I$2:$I$1001,$AB29)))</f>
        <v/>
      </c>
      <c r="L29" s="10">
        <f>IF($AB29="","",IF(INDEX(입력_기본자료!$A$2:$A$1001,$AB29)="","",INDEX(입력_기본자료!$A$2:$A$1001,$AB29)))</f>
        <v/>
      </c>
      <c r="M29" s="15" t="n"/>
      <c r="N29" s="10">
        <f>IF($B29="","",IF(AND($U29="파견중",$Q29&lt;&gt;""),$Q29,IF(AND($AD29&lt;&gt;"",LEFT($AD29,1)&lt;&gt;"⚠"),LEFT($AD29,FIND(" ",$AD29)-1),IF($H29="","",IF(RIGHT($H29,2)="병원",$H29,$H29&amp;"병원")))))</f>
        <v/>
      </c>
      <c r="O29" s="10">
        <f>IF($B29="","",IF(AND($U29="파견중",$Q29&lt;&gt;""),IF($R29&lt;&gt;"",$R29,"파견과 미입력"),IF(AND($AD29&lt;&gt;"",LEFT($AD29,1)&lt;&gt;"⚠"),MID($AD29,FIND(" ",$AD29)+1,60),IF($F29="","",IF($F29="인턴","수련교육부(인턴)",$F29)))))</f>
        <v/>
      </c>
      <c r="P29" s="10">
        <f>IF($B29="","",IF($AK29&lt;&gt;"",IF(AND(TODAY()&gt;=INDEX(입력_파견수련계획!$AB$4:$AB$803,$AK29),OR(NOT(ISNUMBER(INDEX(입력_파견수련계획!$AC$4:$AC$803,$AK29))),TODAY()&lt;=INDEX(입력_파견수련계획!$AC$4:$AC$803,$AK29))),"다기관",IF($AF29="","",INDEX(입력_파견수련계획!$T$4:$T$803,$AF29))),IF($AF29="","",INDEX(입력_파견수련계획!$T$4:$T$803,$AF29))))</f>
        <v/>
      </c>
      <c r="Q29" s="10">
        <f>IF($AF29="","",INDEX(입력_파견수련계획!$S$4:$S$803,$AF29))</f>
        <v/>
      </c>
      <c r="R29" s="10">
        <f>IF($AF29="","",INDEX(입력_파견수련계획!$U$4:$U$803,$AF29))</f>
        <v/>
      </c>
      <c r="S29" s="11">
        <f>IF($AF29="","",IF(INDEX(입력_파견수련계획!$H$4:$H$803,$AF29)="","",INDEX(입력_파견수련계획!$H$4:$H$803,$AF29)))</f>
        <v/>
      </c>
      <c r="T29" s="11">
        <f>IF($AF29="","",IF(INDEX(입력_파견수련계획!$I$4:$I$803,$AF29)="","",INDEX(입력_파견수련계획!$I$4:$I$803,$AF29)))</f>
        <v/>
      </c>
      <c r="U29" s="10">
        <f>IF($AF29="","",INDEX(입력_파견수련계획!$X$4:$X$803,$AF29))</f>
        <v/>
      </c>
      <c r="V29" s="17">
        <f>IF($AF29="","",INDEX(입력_파견수련계획!$V$4:$V$803,$AF29))</f>
        <v/>
      </c>
      <c r="W29" s="17">
        <f>IF(AND($U29="파견중",$T29&lt;&gt;""),$T29-TODAY(),"")</f>
        <v/>
      </c>
      <c r="X29" s="17">
        <f>IF(OR($B29="",TRIM($J29&amp;"")=""),"",SUMPRODUCT((입력_파견수련계획!$Q$4:$Q$803=TRIM($J29&amp;""))*입력_파견수련계획!$W$4:$W$803))</f>
        <v/>
      </c>
      <c r="Y29" s="10">
        <f>IF($B29="","",IF($AG29="","",IF(IF(TRIM($J29&amp;"")="",0,SUMPRODUCT((입력_파견수련계획!$Q$4:$Q$803=TRIM($J29&amp;""))*입력_파견수련계획!$AD$4:$AD$803))&gt;0,$AE29,IF(AND(N($X29)&lt;=0,$AQ29=""),$AG29,IF($AH29+$AI29=DAY(EOMONTH(출력_요약!$B$3,0)),IF(AND($AH29&gt;=출력_요약!$E$3,$AI29&lt;출력_요약!$E$3),"서울병원",IF(AND($AI29&gt;=출력_요약!$E$3,$AH29&lt;출력_요약!$E$3),"구리병원","⚠15일 판정불가(서울 "&amp;$AH29&amp;"일/구리 "&amp;$AI29&amp;"일)")),IF($AJ29="",$AE29,IF(INDEX(입력_파견수련계획!$T$4:$T$803,$AJ29)="통합수련",INDEX(입력_파견수련계획!$S$4:$S$803,$AJ29),$AE29)))))))</f>
        <v/>
      </c>
      <c r="Z29" s="20">
        <f>IF($B29="","",IF($AB29="","기본자료에 없는 사번",IF(COUNTIF($B$2:$B$401,$B29)&gt;1,"중복 사번",IF($AE29="","소속(입사장소) 입력",IF(IF(TRIM($J29&amp;"")="",0,SUMPRODUCT((입력_파견수련계획!$Q$4:$Q$803=TRIM($J29&amp;""))*(입력_파견수련계획!$AA$4:$AA$803&lt;&gt;"")))&gt;0,"파견수련계획 입력오류 확인",IF(LEFT($Y29,1)="⚠","서울·구리 15일 판정 불가(양쪽 모두 이상/미만)",IF(IF($AC29="",0,N(INDEX(입력_인턴근무계획!$T$3:$T$402,$AC29)))&gt;0,"인턴계획 입력오류 확인",IF(AND($AQ29&lt;&gt;"",$AG29&lt;&gt;"구리병원",IF(TRIM($J29&amp;"")="",0,SUMPRODUCT((입력_파견수련계획!$Q$4:$Q$803=TRIM($J29&amp;""))*(입력_파견수련계획!$S$4:$S$803="구리병원")*입력_파견수련계획!$W$4:$W$803))=0),"구리 근무자명단에만 있음(파견수련계획 확인)",IF(AND($AC29&lt;&gt;"",$U29&lt;&gt;"파견중",$N29&lt;&gt;$AE29),"인턴 타지역 근무: 파견 여부 확인","정상")))))))))</f>
        <v/>
      </c>
      <c r="AA29" s="5" t="n"/>
      <c r="AB29" s="10">
        <f>IF($B29="","",IFERROR(MATCH($B29,입력_기본자료!$B$2:$B$1001,0),IFERROR(MATCH($B29&amp;"",입력_기본자료!$B$2:$B$1001,0),IFERROR(MATCH(VALUE($B29),입력_기본자료!$B$2:$B$1001,0),""))))</f>
        <v/>
      </c>
      <c r="AC29" s="10">
        <f>IF($B29="","",IFERROR(MATCH($B29,입력_인턴근무계획!$D$3:$D$402,0),IFERROR(MATCH($B29&amp;"",입력_인턴근무계획!$D$3:$D$402,0),IFERROR(MATCH(VALUE($B29),입력_인턴근무계획!$D$3:$D$402,0),""))))</f>
        <v/>
      </c>
      <c r="AD29" s="10">
        <f>IF(OR($AC29="",출력_인턴현황!$G$3=""),"",INDEX(입력_인턴근무계획!$M$3:$R$402,$AC29,출력_인턴현황!$G$3)&amp;"")</f>
        <v/>
      </c>
      <c r="AE29" s="10">
        <f>IF($B29="","",IF($M29&lt;&gt;"",$M29,IF(IF($AQ29="",FALSE,INDEX(출력_구리근무자!$J$6:$J$305,$AQ29)="구리독자"),"구리병원",IF($AF29&lt;&gt;"",IF(LEFT(INDEX(입력_파견수련계획!$R$4:$R$803,$AF29),1)&lt;&gt;"⚠",INDEX(입력_파견수련계획!$R$4:$R$803,$AF29),IF($H29="","",IF(RIGHT($H29,2)="병원",$H29,$H29&amp;"병원"))),IF($H29="","",IF(RIGHT($H29,2)="병원",$H29,$H29&amp;"병원"))))))</f>
        <v/>
      </c>
      <c r="AF29" s="10">
        <f>IF(OR($B29="",TRIM($J29&amp;"")=""),"",IFERROR(MATCH(TRIM($J29&amp;"")&amp;"|파견중",입력_파견수련계획!$Y$4:$Y$803,0),IFERROR(MATCH(TRIM($J29&amp;"")&amp;"|파견예정",입력_파견수련계획!$Y$4:$Y$803,0),IFERROR(MATCH(TRIM($J29&amp;"")&amp;"|파견종료",입력_파견수련계획!$Y$4:$Y$803,0),""))))</f>
        <v/>
      </c>
      <c r="AG29" s="10">
        <f>IF($B29="","",IF(AND(IF(OR($AC29="",출력_인턴현황!$K$2=""),"",INDEX(입력_인턴근무계획!$M$3:$R$402,$AC29,출력_인턴현황!$K$2)&amp;"")&lt;&gt;"",LEFT(IF(OR($AC29="",출력_인턴현황!$K$2=""),"",INDEX(입력_인턴근무계획!$M$3:$R$402,$AC29,출력_인턴현황!$K$2)&amp;""),1)&lt;&gt;"⚠"),LEFT(IF(OR($AC29="",출력_인턴현황!$K$2=""),"",INDEX(입력_인턴근무계획!$M$3:$R$402,$AC29,출력_인턴현황!$K$2)&amp;""),FIND(" ",IF(OR($AC29="",출력_인턴현황!$K$2=""),"",INDEX(입력_인턴근무계획!$M$3:$R$402,$AC29,출력_인턴현황!$K$2)&amp;""))-1),$AE29))</f>
        <v/>
      </c>
      <c r="AH29" s="17">
        <f>IF($B29="","",IF($AQ29&lt;&gt;"",MAX(0,DAY(EOMONTH(출력_요약!$B$3,0))-N($AR29)),IF(TRIM($J29&amp;"")="",0,SUMPRODUCT((입력_파견수련계획!$Q$4:$Q$803=TRIM($J29&amp;""))*(입력_파견수련계획!$S$4:$S$803="서울병원")*입력_파견수련계획!$W$4:$W$803))+IF($AG29="서울병원",MAX(0,DAY(EOMONTH(출력_요약!$B$3,0))-N($X29)),0)))</f>
        <v/>
      </c>
      <c r="AI29" s="17">
        <f>IF($B29="","",IF($AQ29&lt;&gt;"",N($AR29),IF(TRIM($J29&amp;"")="",0,SUMPRODUCT((입력_파견수련계획!$Q$4:$Q$803=TRIM($J29&amp;""))*(입력_파견수련계획!$S$4:$S$803="구리병원")*입력_파견수련계획!$W$4:$W$803))+IF($AG29="구리병원",MAX(0,DAY(EOMONTH(출력_요약!$B$3,0))-N($X29)),0)))</f>
        <v/>
      </c>
      <c r="AJ29" s="10">
        <f>IF(OR($B29="",TRIM($J29&amp;"")=""),"",IFERROR(MATCH(TRIM($J29&amp;"")&amp;"|월",입력_파견수련계획!$Z$4:$Z$803,0),""))</f>
        <v/>
      </c>
      <c r="AK29" s="10">
        <f>IF(OR($B29="",TRIM($J29&amp;"")=""),"",IFERROR(MATCH(TRIM($J29&amp;"")&amp;"|다기관",입력_파견수련계획!$AE$4:$AE$803,0),""))</f>
        <v/>
      </c>
      <c r="AL29" s="10">
        <f>IF($AK29="","","다기관 "&amp;TEXT(INDEX(입력_파견수련계획!$AB$4:$AB$803,$AK29),"yyyy-mm-dd")&amp;"~"&amp;IF(ISNUMBER(INDEX(입력_파견수련계획!$AC$4:$AC$803,$AK29)),TEXT(INDEX(입력_파견수련계획!$AC$4:$AC$803,$AK29),"yyyy-mm-dd"),""))</f>
        <v/>
      </c>
      <c r="AM29" s="10">
        <f>IF($Y29="서울병원",COUNTIF($Y$2:$Y29,"서울병원"),"")</f>
        <v/>
      </c>
      <c r="AN29" s="10">
        <f>IF(LEFT($Y29,1)="⚠",COUNTIF($Y$2:$Y29,"⚠*"),"")</f>
        <v/>
      </c>
      <c r="AO29" s="10">
        <f>IF(OR($B29="",$Y29=""),"",IF(IF(TRIM($J29&amp;"")="",0,SUMPRODUCT((입력_파견수련계획!$Q$4:$Q$803=TRIM($J29&amp;""))*입력_파견수련계획!$AD$4:$AD$803))&gt;0,"다기관 기간 → 소속병원 지급",IF(AND(N($X29)&lt;=0,$AQ29=""),"파견 없음 → 그 달 근무병원 지급",IF($AH29+$AI29=DAY(EOMONTH(출력_요약!$B$3,0)),"서울 "&amp;$AH29&amp;"일 / 구리 "&amp;$AI29&amp;"일"&amp;IF($AQ29&lt;&gt;""," (구리 근무자명단 반영)","")&amp;" → 15일 이상 근무 병원 지급","타 병원 포함 → "&amp;IF($AJ29="","소속",INDEX(입력_파견수련계획!$T$4:$T$803,$AJ29))&amp;" 규칙"))))</f>
        <v/>
      </c>
      <c r="AP29" s="10">
        <f>IF($B29="","",$C29&amp;"|"&amp;$F29)</f>
        <v/>
      </c>
      <c r="AQ29" s="10">
        <f>IF($B29="","",IFERROR(MATCH(ROW()-1,출력_구리근무자!$K$6:$K$305,0),""))</f>
        <v/>
      </c>
      <c r="AR29" s="10">
        <f>IF($AQ29="","",INDEX(출력_구리근무자!$H$6:$H$305,$AQ29))</f>
        <v/>
      </c>
    </row>
    <row r="30">
      <c r="A30" s="10">
        <f>IF(B30="","",ROW()-1)</f>
        <v/>
      </c>
      <c r="B30" s="19" t="n"/>
      <c r="C30" s="10">
        <f>IF($AB30="","",IF(INDEX(입력_기본자료!$C$2:$C$1001,$AB30)="","",INDEX(입력_기본자료!$C$2:$C$1001,$AB30)))</f>
        <v/>
      </c>
      <c r="D30" s="10">
        <f>IF($AB30="","",IF(INDEX(입력_기본자료!$J$2:$J$1001,$AB30)="","",INDEX(입력_기본자료!$J$2:$J$1001,$AB30)))</f>
        <v/>
      </c>
      <c r="E30" s="11">
        <f>IF($AB30="","",IF(INDEX(입력_기본자료!$K$2:$K$1001,$AB30)="","",IF(NOT(ISNUMBER(INDEX(입력_기본자료!$K$2:$K$1001,$AB30))),INDEX(입력_기본자료!$K$2:$K$1001,$AB30),IF(INDEX(입력_기본자료!$K$2:$K$1001,$AB30)&lt;1000000,INDEX(입력_기본자료!$K$2:$K$1001,$AB30),IF(AND(INDEX(입력_기본자료!$K$2:$K$1001,$AB30)&gt;=10000101,INT(MOD(INDEX(입력_기본자료!$K$2:$K$1001,$AB30),10000)/100)&gt;=1,INT(MOD(INDEX(입력_기본자료!$K$2:$K$1001,$AB30),10000)/100)&lt;=12,MOD(INDEX(입력_기본자료!$K$2:$K$1001,$AB30),100)&gt;=1,MOD(INDEX(입력_기본자료!$K$2:$K$1001,$AB30),100)&lt;=31),DATE(INT(INDEX(입력_기본자료!$K$2:$K$1001,$AB30)/10000),INT(MOD(INDEX(입력_기본자료!$K$2:$K$1001,$AB30),10000)/100),MOD(INDEX(입력_기본자료!$K$2:$K$1001,$AB30),100)),INDEX(입력_기본자료!$K$2:$K$1001,$AB30)&amp;"")))))</f>
        <v/>
      </c>
      <c r="F30" s="10">
        <f>IF($AB30="","",IF(INDEX(입력_기본자료!$D$2:$D$1001,$AB30)="","",INDEX(입력_기본자료!$D$2:$D$1001,$AB30)))</f>
        <v/>
      </c>
      <c r="G30" s="10">
        <f>IF($AB30="","",IF(INDEX(입력_기본자료!$E$2:$E$1001,$AB30)="","",INDEX(입력_기본자료!$E$2:$E$1001,$AB30)))</f>
        <v/>
      </c>
      <c r="H30" s="10">
        <f>IF($AB30="","",IF(INDEX(입력_기본자료!$F$2:$F$1001,$AB30)="","",INDEX(입력_기본자료!$F$2:$F$1001,$AB30)))</f>
        <v/>
      </c>
      <c r="I30" s="11">
        <f>IF($AB30="","",IF(INDEX(입력_기본자료!$G$2:$G$1001,$AB30)="","",IF(NOT(ISNUMBER(INDEX(입력_기본자료!$G$2:$G$1001,$AB30))),INDEX(입력_기본자료!$G$2:$G$1001,$AB30),IF(INDEX(입력_기본자료!$G$2:$G$1001,$AB30)&lt;1000000,INDEX(입력_기본자료!$G$2:$G$1001,$AB30),IF(AND(INDEX(입력_기본자료!$G$2:$G$1001,$AB30)&gt;=10000101,INT(MOD(INDEX(입력_기본자료!$G$2:$G$1001,$AB30),10000)/100)&gt;=1,INT(MOD(INDEX(입력_기본자료!$G$2:$G$1001,$AB30),10000)/100)&lt;=12,MOD(INDEX(입력_기본자료!$G$2:$G$1001,$AB30),100)&gt;=1,MOD(INDEX(입력_기본자료!$G$2:$G$1001,$AB30),100)&lt;=31),DATE(INT(INDEX(입력_기본자료!$G$2:$G$1001,$AB30)/10000),INT(MOD(INDEX(입력_기본자료!$G$2:$G$1001,$AB30),10000)/100),MOD(INDEX(입력_기본자료!$G$2:$G$1001,$AB30),100)),INDEX(입력_기본자료!$G$2:$G$1001,$AB30)&amp;"")))))</f>
        <v/>
      </c>
      <c r="J30" s="10">
        <f>IF($AB30="","",IF(INDEX(입력_기본자료!$H$2:$H$1001,$AB30)="","",INDEX(입력_기본자료!$H$2:$H$1001,$AB30)))</f>
        <v/>
      </c>
      <c r="K30" s="10">
        <f>IF($AB30="","",IF(INDEX(입력_기본자료!$I$2:$I$1001,$AB30)="","",INDEX(입력_기본자료!$I$2:$I$1001,$AB30)))</f>
        <v/>
      </c>
      <c r="L30" s="10">
        <f>IF($AB30="","",IF(INDEX(입력_기본자료!$A$2:$A$1001,$AB30)="","",INDEX(입력_기본자료!$A$2:$A$1001,$AB30)))</f>
        <v/>
      </c>
      <c r="M30" s="15" t="n"/>
      <c r="N30" s="10">
        <f>IF($B30="","",IF(AND($U30="파견중",$Q30&lt;&gt;""),$Q30,IF(AND($AD30&lt;&gt;"",LEFT($AD30,1)&lt;&gt;"⚠"),LEFT($AD30,FIND(" ",$AD30)-1),IF($H30="","",IF(RIGHT($H30,2)="병원",$H30,$H30&amp;"병원")))))</f>
        <v/>
      </c>
      <c r="O30" s="10">
        <f>IF($B30="","",IF(AND($U30="파견중",$Q30&lt;&gt;""),IF($R30&lt;&gt;"",$R30,"파견과 미입력"),IF(AND($AD30&lt;&gt;"",LEFT($AD30,1)&lt;&gt;"⚠"),MID($AD30,FIND(" ",$AD30)+1,60),IF($F30="","",IF($F30="인턴","수련교육부(인턴)",$F30)))))</f>
        <v/>
      </c>
      <c r="P30" s="10">
        <f>IF($B30="","",IF($AK30&lt;&gt;"",IF(AND(TODAY()&gt;=INDEX(입력_파견수련계획!$AB$4:$AB$803,$AK30),OR(NOT(ISNUMBER(INDEX(입력_파견수련계획!$AC$4:$AC$803,$AK30))),TODAY()&lt;=INDEX(입력_파견수련계획!$AC$4:$AC$803,$AK30))),"다기관",IF($AF30="","",INDEX(입력_파견수련계획!$T$4:$T$803,$AF30))),IF($AF30="","",INDEX(입력_파견수련계획!$T$4:$T$803,$AF30))))</f>
        <v/>
      </c>
      <c r="Q30" s="10">
        <f>IF($AF30="","",INDEX(입력_파견수련계획!$S$4:$S$803,$AF30))</f>
        <v/>
      </c>
      <c r="R30" s="10">
        <f>IF($AF30="","",INDEX(입력_파견수련계획!$U$4:$U$803,$AF30))</f>
        <v/>
      </c>
      <c r="S30" s="11">
        <f>IF($AF30="","",IF(INDEX(입력_파견수련계획!$H$4:$H$803,$AF30)="","",INDEX(입력_파견수련계획!$H$4:$H$803,$AF30)))</f>
        <v/>
      </c>
      <c r="T30" s="11">
        <f>IF($AF30="","",IF(INDEX(입력_파견수련계획!$I$4:$I$803,$AF30)="","",INDEX(입력_파견수련계획!$I$4:$I$803,$AF30)))</f>
        <v/>
      </c>
      <c r="U30" s="10">
        <f>IF($AF30="","",INDEX(입력_파견수련계획!$X$4:$X$803,$AF30))</f>
        <v/>
      </c>
      <c r="V30" s="17">
        <f>IF($AF30="","",INDEX(입력_파견수련계획!$V$4:$V$803,$AF30))</f>
        <v/>
      </c>
      <c r="W30" s="17">
        <f>IF(AND($U30="파견중",$T30&lt;&gt;""),$T30-TODAY(),"")</f>
        <v/>
      </c>
      <c r="X30" s="17">
        <f>IF(OR($B30="",TRIM($J30&amp;"")=""),"",SUMPRODUCT((입력_파견수련계획!$Q$4:$Q$803=TRIM($J30&amp;""))*입력_파견수련계획!$W$4:$W$803))</f>
        <v/>
      </c>
      <c r="Y30" s="10">
        <f>IF($B30="","",IF($AG30="","",IF(IF(TRIM($J30&amp;"")="",0,SUMPRODUCT((입력_파견수련계획!$Q$4:$Q$803=TRIM($J30&amp;""))*입력_파견수련계획!$AD$4:$AD$803))&gt;0,$AE30,IF(AND(N($X30)&lt;=0,$AQ30=""),$AG30,IF($AH30+$AI30=DAY(EOMONTH(출력_요약!$B$3,0)),IF(AND($AH30&gt;=출력_요약!$E$3,$AI30&lt;출력_요약!$E$3),"서울병원",IF(AND($AI30&gt;=출력_요약!$E$3,$AH30&lt;출력_요약!$E$3),"구리병원","⚠15일 판정불가(서울 "&amp;$AH30&amp;"일/구리 "&amp;$AI30&amp;"일)")),IF($AJ30="",$AE30,IF(INDEX(입력_파견수련계획!$T$4:$T$803,$AJ30)="통합수련",INDEX(입력_파견수련계획!$S$4:$S$803,$AJ30),$AE30)))))))</f>
        <v/>
      </c>
      <c r="Z30" s="20">
        <f>IF($B30="","",IF($AB30="","기본자료에 없는 사번",IF(COUNTIF($B$2:$B$401,$B30)&gt;1,"중복 사번",IF($AE30="","소속(입사장소) 입력",IF(IF(TRIM($J30&amp;"")="",0,SUMPRODUCT((입력_파견수련계획!$Q$4:$Q$803=TRIM($J30&amp;""))*(입력_파견수련계획!$AA$4:$AA$803&lt;&gt;"")))&gt;0,"파견수련계획 입력오류 확인",IF(LEFT($Y30,1)="⚠","서울·구리 15일 판정 불가(양쪽 모두 이상/미만)",IF(IF($AC30="",0,N(INDEX(입력_인턴근무계획!$T$3:$T$402,$AC30)))&gt;0,"인턴계획 입력오류 확인",IF(AND($AQ30&lt;&gt;"",$AG30&lt;&gt;"구리병원",IF(TRIM($J30&amp;"")="",0,SUMPRODUCT((입력_파견수련계획!$Q$4:$Q$803=TRIM($J30&amp;""))*(입력_파견수련계획!$S$4:$S$803="구리병원")*입력_파견수련계획!$W$4:$W$803))=0),"구리 근무자명단에만 있음(파견수련계획 확인)",IF(AND($AC30&lt;&gt;"",$U30&lt;&gt;"파견중",$N30&lt;&gt;$AE30),"인턴 타지역 근무: 파견 여부 확인","정상")))))))))</f>
        <v/>
      </c>
      <c r="AA30" s="5" t="n"/>
      <c r="AB30" s="10">
        <f>IF($B30="","",IFERROR(MATCH($B30,입력_기본자료!$B$2:$B$1001,0),IFERROR(MATCH($B30&amp;"",입력_기본자료!$B$2:$B$1001,0),IFERROR(MATCH(VALUE($B30),입력_기본자료!$B$2:$B$1001,0),""))))</f>
        <v/>
      </c>
      <c r="AC30" s="10">
        <f>IF($B30="","",IFERROR(MATCH($B30,입력_인턴근무계획!$D$3:$D$402,0),IFERROR(MATCH($B30&amp;"",입력_인턴근무계획!$D$3:$D$402,0),IFERROR(MATCH(VALUE($B30),입력_인턴근무계획!$D$3:$D$402,0),""))))</f>
        <v/>
      </c>
      <c r="AD30" s="10">
        <f>IF(OR($AC30="",출력_인턴현황!$G$3=""),"",INDEX(입력_인턴근무계획!$M$3:$R$402,$AC30,출력_인턴현황!$G$3)&amp;"")</f>
        <v/>
      </c>
      <c r="AE30" s="10">
        <f>IF($B30="","",IF($M30&lt;&gt;"",$M30,IF(IF($AQ30="",FALSE,INDEX(출력_구리근무자!$J$6:$J$305,$AQ30)="구리독자"),"구리병원",IF($AF30&lt;&gt;"",IF(LEFT(INDEX(입력_파견수련계획!$R$4:$R$803,$AF30),1)&lt;&gt;"⚠",INDEX(입력_파견수련계획!$R$4:$R$803,$AF30),IF($H30="","",IF(RIGHT($H30,2)="병원",$H30,$H30&amp;"병원"))),IF($H30="","",IF(RIGHT($H30,2)="병원",$H30,$H30&amp;"병원"))))))</f>
        <v/>
      </c>
      <c r="AF30" s="10">
        <f>IF(OR($B30="",TRIM($J30&amp;"")=""),"",IFERROR(MATCH(TRIM($J30&amp;"")&amp;"|파견중",입력_파견수련계획!$Y$4:$Y$803,0),IFERROR(MATCH(TRIM($J30&amp;"")&amp;"|파견예정",입력_파견수련계획!$Y$4:$Y$803,0),IFERROR(MATCH(TRIM($J30&amp;"")&amp;"|파견종료",입력_파견수련계획!$Y$4:$Y$803,0),""))))</f>
        <v/>
      </c>
      <c r="AG30" s="10">
        <f>IF($B30="","",IF(AND(IF(OR($AC30="",출력_인턴현황!$K$2=""),"",INDEX(입력_인턴근무계획!$M$3:$R$402,$AC30,출력_인턴현황!$K$2)&amp;"")&lt;&gt;"",LEFT(IF(OR($AC30="",출력_인턴현황!$K$2=""),"",INDEX(입력_인턴근무계획!$M$3:$R$402,$AC30,출력_인턴현황!$K$2)&amp;""),1)&lt;&gt;"⚠"),LEFT(IF(OR($AC30="",출력_인턴현황!$K$2=""),"",INDEX(입력_인턴근무계획!$M$3:$R$402,$AC30,출력_인턴현황!$K$2)&amp;""),FIND(" ",IF(OR($AC30="",출력_인턴현황!$K$2=""),"",INDEX(입력_인턴근무계획!$M$3:$R$402,$AC30,출력_인턴현황!$K$2)&amp;""))-1),$AE30))</f>
        <v/>
      </c>
      <c r="AH30" s="17">
        <f>IF($B30="","",IF($AQ30&lt;&gt;"",MAX(0,DAY(EOMONTH(출력_요약!$B$3,0))-N($AR30)),IF(TRIM($J30&amp;"")="",0,SUMPRODUCT((입력_파견수련계획!$Q$4:$Q$803=TRIM($J30&amp;""))*(입력_파견수련계획!$S$4:$S$803="서울병원")*입력_파견수련계획!$W$4:$W$803))+IF($AG30="서울병원",MAX(0,DAY(EOMONTH(출력_요약!$B$3,0))-N($X30)),0)))</f>
        <v/>
      </c>
      <c r="AI30" s="17">
        <f>IF($B30="","",IF($AQ30&lt;&gt;"",N($AR30),IF(TRIM($J30&amp;"")="",0,SUMPRODUCT((입력_파견수련계획!$Q$4:$Q$803=TRIM($J30&amp;""))*(입력_파견수련계획!$S$4:$S$803="구리병원")*입력_파견수련계획!$W$4:$W$803))+IF($AG30="구리병원",MAX(0,DAY(EOMONTH(출력_요약!$B$3,0))-N($X30)),0)))</f>
        <v/>
      </c>
      <c r="AJ30" s="10">
        <f>IF(OR($B30="",TRIM($J30&amp;"")=""),"",IFERROR(MATCH(TRIM($J30&amp;"")&amp;"|월",입력_파견수련계획!$Z$4:$Z$803,0),""))</f>
        <v/>
      </c>
      <c r="AK30" s="10">
        <f>IF(OR($B30="",TRIM($J30&amp;"")=""),"",IFERROR(MATCH(TRIM($J30&amp;"")&amp;"|다기관",입력_파견수련계획!$AE$4:$AE$803,0),""))</f>
        <v/>
      </c>
      <c r="AL30" s="10">
        <f>IF($AK30="","","다기관 "&amp;TEXT(INDEX(입력_파견수련계획!$AB$4:$AB$803,$AK30),"yyyy-mm-dd")&amp;"~"&amp;IF(ISNUMBER(INDEX(입력_파견수련계획!$AC$4:$AC$803,$AK30)),TEXT(INDEX(입력_파견수련계획!$AC$4:$AC$803,$AK30),"yyyy-mm-dd"),""))</f>
        <v/>
      </c>
      <c r="AM30" s="10">
        <f>IF($Y30="서울병원",COUNTIF($Y$2:$Y30,"서울병원"),"")</f>
        <v/>
      </c>
      <c r="AN30" s="10">
        <f>IF(LEFT($Y30,1)="⚠",COUNTIF($Y$2:$Y30,"⚠*"),"")</f>
        <v/>
      </c>
      <c r="AO30" s="10">
        <f>IF(OR($B30="",$Y30=""),"",IF(IF(TRIM($J30&amp;"")="",0,SUMPRODUCT((입력_파견수련계획!$Q$4:$Q$803=TRIM($J30&amp;""))*입력_파견수련계획!$AD$4:$AD$803))&gt;0,"다기관 기간 → 소속병원 지급",IF(AND(N($X30)&lt;=0,$AQ30=""),"파견 없음 → 그 달 근무병원 지급",IF($AH30+$AI30=DAY(EOMONTH(출력_요약!$B$3,0)),"서울 "&amp;$AH30&amp;"일 / 구리 "&amp;$AI30&amp;"일"&amp;IF($AQ30&lt;&gt;""," (구리 근무자명단 반영)","")&amp;" → 15일 이상 근무 병원 지급","타 병원 포함 → "&amp;IF($AJ30="","소속",INDEX(입력_파견수련계획!$T$4:$T$803,$AJ30))&amp;" 규칙"))))</f>
        <v/>
      </c>
      <c r="AP30" s="10">
        <f>IF($B30="","",$C30&amp;"|"&amp;$F30)</f>
        <v/>
      </c>
      <c r="AQ30" s="10">
        <f>IF($B30="","",IFERROR(MATCH(ROW()-1,출력_구리근무자!$K$6:$K$305,0),""))</f>
        <v/>
      </c>
      <c r="AR30" s="10">
        <f>IF($AQ30="","",INDEX(출력_구리근무자!$H$6:$H$305,$AQ30))</f>
        <v/>
      </c>
    </row>
    <row r="31">
      <c r="A31" s="10">
        <f>IF(B31="","",ROW()-1)</f>
        <v/>
      </c>
      <c r="B31" s="19" t="n"/>
      <c r="C31" s="10">
        <f>IF($AB31="","",IF(INDEX(입력_기본자료!$C$2:$C$1001,$AB31)="","",INDEX(입력_기본자료!$C$2:$C$1001,$AB31)))</f>
        <v/>
      </c>
      <c r="D31" s="10">
        <f>IF($AB31="","",IF(INDEX(입력_기본자료!$J$2:$J$1001,$AB31)="","",INDEX(입력_기본자료!$J$2:$J$1001,$AB31)))</f>
        <v/>
      </c>
      <c r="E31" s="11">
        <f>IF($AB31="","",IF(INDEX(입력_기본자료!$K$2:$K$1001,$AB31)="","",IF(NOT(ISNUMBER(INDEX(입력_기본자료!$K$2:$K$1001,$AB31))),INDEX(입력_기본자료!$K$2:$K$1001,$AB31),IF(INDEX(입력_기본자료!$K$2:$K$1001,$AB31)&lt;1000000,INDEX(입력_기본자료!$K$2:$K$1001,$AB31),IF(AND(INDEX(입력_기본자료!$K$2:$K$1001,$AB31)&gt;=10000101,INT(MOD(INDEX(입력_기본자료!$K$2:$K$1001,$AB31),10000)/100)&gt;=1,INT(MOD(INDEX(입력_기본자료!$K$2:$K$1001,$AB31),10000)/100)&lt;=12,MOD(INDEX(입력_기본자료!$K$2:$K$1001,$AB31),100)&gt;=1,MOD(INDEX(입력_기본자료!$K$2:$K$1001,$AB31),100)&lt;=31),DATE(INT(INDEX(입력_기본자료!$K$2:$K$1001,$AB31)/10000),INT(MOD(INDEX(입력_기본자료!$K$2:$K$1001,$AB31),10000)/100),MOD(INDEX(입력_기본자료!$K$2:$K$1001,$AB31),100)),INDEX(입력_기본자료!$K$2:$K$1001,$AB31)&amp;"")))))</f>
        <v/>
      </c>
      <c r="F31" s="10">
        <f>IF($AB31="","",IF(INDEX(입력_기본자료!$D$2:$D$1001,$AB31)="","",INDEX(입력_기본자료!$D$2:$D$1001,$AB31)))</f>
        <v/>
      </c>
      <c r="G31" s="10">
        <f>IF($AB31="","",IF(INDEX(입력_기본자료!$E$2:$E$1001,$AB31)="","",INDEX(입력_기본자료!$E$2:$E$1001,$AB31)))</f>
        <v/>
      </c>
      <c r="H31" s="10">
        <f>IF($AB31="","",IF(INDEX(입력_기본자료!$F$2:$F$1001,$AB31)="","",INDEX(입력_기본자료!$F$2:$F$1001,$AB31)))</f>
        <v/>
      </c>
      <c r="I31" s="11">
        <f>IF($AB31="","",IF(INDEX(입력_기본자료!$G$2:$G$1001,$AB31)="","",IF(NOT(ISNUMBER(INDEX(입력_기본자료!$G$2:$G$1001,$AB31))),INDEX(입력_기본자료!$G$2:$G$1001,$AB31),IF(INDEX(입력_기본자료!$G$2:$G$1001,$AB31)&lt;1000000,INDEX(입력_기본자료!$G$2:$G$1001,$AB31),IF(AND(INDEX(입력_기본자료!$G$2:$G$1001,$AB31)&gt;=10000101,INT(MOD(INDEX(입력_기본자료!$G$2:$G$1001,$AB31),10000)/100)&gt;=1,INT(MOD(INDEX(입력_기본자료!$G$2:$G$1001,$AB31),10000)/100)&lt;=12,MOD(INDEX(입력_기본자료!$G$2:$G$1001,$AB31),100)&gt;=1,MOD(INDEX(입력_기본자료!$G$2:$G$1001,$AB31),100)&lt;=31),DATE(INT(INDEX(입력_기본자료!$G$2:$G$1001,$AB31)/10000),INT(MOD(INDEX(입력_기본자료!$G$2:$G$1001,$AB31),10000)/100),MOD(INDEX(입력_기본자료!$G$2:$G$1001,$AB31),100)),INDEX(입력_기본자료!$G$2:$G$1001,$AB31)&amp;"")))))</f>
        <v/>
      </c>
      <c r="J31" s="10">
        <f>IF($AB31="","",IF(INDEX(입력_기본자료!$H$2:$H$1001,$AB31)="","",INDEX(입력_기본자료!$H$2:$H$1001,$AB31)))</f>
        <v/>
      </c>
      <c r="K31" s="10">
        <f>IF($AB31="","",IF(INDEX(입력_기본자료!$I$2:$I$1001,$AB31)="","",INDEX(입력_기본자료!$I$2:$I$1001,$AB31)))</f>
        <v/>
      </c>
      <c r="L31" s="10">
        <f>IF($AB31="","",IF(INDEX(입력_기본자료!$A$2:$A$1001,$AB31)="","",INDEX(입력_기본자료!$A$2:$A$1001,$AB31)))</f>
        <v/>
      </c>
      <c r="M31" s="15" t="n"/>
      <c r="N31" s="10">
        <f>IF($B31="","",IF(AND($U31="파견중",$Q31&lt;&gt;""),$Q31,IF(AND($AD31&lt;&gt;"",LEFT($AD31,1)&lt;&gt;"⚠"),LEFT($AD31,FIND(" ",$AD31)-1),IF($H31="","",IF(RIGHT($H31,2)="병원",$H31,$H31&amp;"병원")))))</f>
        <v/>
      </c>
      <c r="O31" s="10">
        <f>IF($B31="","",IF(AND($U31="파견중",$Q31&lt;&gt;""),IF($R31&lt;&gt;"",$R31,"파견과 미입력"),IF(AND($AD31&lt;&gt;"",LEFT($AD31,1)&lt;&gt;"⚠"),MID($AD31,FIND(" ",$AD31)+1,60),IF($F31="","",IF($F31="인턴","수련교육부(인턴)",$F31)))))</f>
        <v/>
      </c>
      <c r="P31" s="10">
        <f>IF($B31="","",IF($AK31&lt;&gt;"",IF(AND(TODAY()&gt;=INDEX(입력_파견수련계획!$AB$4:$AB$803,$AK31),OR(NOT(ISNUMBER(INDEX(입력_파견수련계획!$AC$4:$AC$803,$AK31))),TODAY()&lt;=INDEX(입력_파견수련계획!$AC$4:$AC$803,$AK31))),"다기관",IF($AF31="","",INDEX(입력_파견수련계획!$T$4:$T$803,$AF31))),IF($AF31="","",INDEX(입력_파견수련계획!$T$4:$T$803,$AF31))))</f>
        <v/>
      </c>
      <c r="Q31" s="10">
        <f>IF($AF31="","",INDEX(입력_파견수련계획!$S$4:$S$803,$AF31))</f>
        <v/>
      </c>
      <c r="R31" s="10">
        <f>IF($AF31="","",INDEX(입력_파견수련계획!$U$4:$U$803,$AF31))</f>
        <v/>
      </c>
      <c r="S31" s="11">
        <f>IF($AF31="","",IF(INDEX(입력_파견수련계획!$H$4:$H$803,$AF31)="","",INDEX(입력_파견수련계획!$H$4:$H$803,$AF31)))</f>
        <v/>
      </c>
      <c r="T31" s="11">
        <f>IF($AF31="","",IF(INDEX(입력_파견수련계획!$I$4:$I$803,$AF31)="","",INDEX(입력_파견수련계획!$I$4:$I$803,$AF31)))</f>
        <v/>
      </c>
      <c r="U31" s="10">
        <f>IF($AF31="","",INDEX(입력_파견수련계획!$X$4:$X$803,$AF31))</f>
        <v/>
      </c>
      <c r="V31" s="17">
        <f>IF($AF31="","",INDEX(입력_파견수련계획!$V$4:$V$803,$AF31))</f>
        <v/>
      </c>
      <c r="W31" s="17">
        <f>IF(AND($U31="파견중",$T31&lt;&gt;""),$T31-TODAY(),"")</f>
        <v/>
      </c>
      <c r="X31" s="17">
        <f>IF(OR($B31="",TRIM($J31&amp;"")=""),"",SUMPRODUCT((입력_파견수련계획!$Q$4:$Q$803=TRIM($J31&amp;""))*입력_파견수련계획!$W$4:$W$803))</f>
        <v/>
      </c>
      <c r="Y31" s="10">
        <f>IF($B31="","",IF($AG31="","",IF(IF(TRIM($J31&amp;"")="",0,SUMPRODUCT((입력_파견수련계획!$Q$4:$Q$803=TRIM($J31&amp;""))*입력_파견수련계획!$AD$4:$AD$803))&gt;0,$AE31,IF(AND(N($X31)&lt;=0,$AQ31=""),$AG31,IF($AH31+$AI31=DAY(EOMONTH(출력_요약!$B$3,0)),IF(AND($AH31&gt;=출력_요약!$E$3,$AI31&lt;출력_요약!$E$3),"서울병원",IF(AND($AI31&gt;=출력_요약!$E$3,$AH31&lt;출력_요약!$E$3),"구리병원","⚠15일 판정불가(서울 "&amp;$AH31&amp;"일/구리 "&amp;$AI31&amp;"일)")),IF($AJ31="",$AE31,IF(INDEX(입력_파견수련계획!$T$4:$T$803,$AJ31)="통합수련",INDEX(입력_파견수련계획!$S$4:$S$803,$AJ31),$AE31)))))))</f>
        <v/>
      </c>
      <c r="Z31" s="20">
        <f>IF($B31="","",IF($AB31="","기본자료에 없는 사번",IF(COUNTIF($B$2:$B$401,$B31)&gt;1,"중복 사번",IF($AE31="","소속(입사장소) 입력",IF(IF(TRIM($J31&amp;"")="",0,SUMPRODUCT((입력_파견수련계획!$Q$4:$Q$803=TRIM($J31&amp;""))*(입력_파견수련계획!$AA$4:$AA$803&lt;&gt;"")))&gt;0,"파견수련계획 입력오류 확인",IF(LEFT($Y31,1)="⚠","서울·구리 15일 판정 불가(양쪽 모두 이상/미만)",IF(IF($AC31="",0,N(INDEX(입력_인턴근무계획!$T$3:$T$402,$AC31)))&gt;0,"인턴계획 입력오류 확인",IF(AND($AQ31&lt;&gt;"",$AG31&lt;&gt;"구리병원",IF(TRIM($J31&amp;"")="",0,SUMPRODUCT((입력_파견수련계획!$Q$4:$Q$803=TRIM($J31&amp;""))*(입력_파견수련계획!$S$4:$S$803="구리병원")*입력_파견수련계획!$W$4:$W$803))=0),"구리 근무자명단에만 있음(파견수련계획 확인)",IF(AND($AC31&lt;&gt;"",$U31&lt;&gt;"파견중",$N31&lt;&gt;$AE31),"인턴 타지역 근무: 파견 여부 확인","정상")))))))))</f>
        <v/>
      </c>
      <c r="AA31" s="5" t="n"/>
      <c r="AB31" s="10">
        <f>IF($B31="","",IFERROR(MATCH($B31,입력_기본자료!$B$2:$B$1001,0),IFERROR(MATCH($B31&amp;"",입력_기본자료!$B$2:$B$1001,0),IFERROR(MATCH(VALUE($B31),입력_기본자료!$B$2:$B$1001,0),""))))</f>
        <v/>
      </c>
      <c r="AC31" s="10">
        <f>IF($B31="","",IFERROR(MATCH($B31,입력_인턴근무계획!$D$3:$D$402,0),IFERROR(MATCH($B31&amp;"",입력_인턴근무계획!$D$3:$D$402,0),IFERROR(MATCH(VALUE($B31),입력_인턴근무계획!$D$3:$D$402,0),""))))</f>
        <v/>
      </c>
      <c r="AD31" s="10">
        <f>IF(OR($AC31="",출력_인턴현황!$G$3=""),"",INDEX(입력_인턴근무계획!$M$3:$R$402,$AC31,출력_인턴현황!$G$3)&amp;"")</f>
        <v/>
      </c>
      <c r="AE31" s="10">
        <f>IF($B31="","",IF($M31&lt;&gt;"",$M31,IF(IF($AQ31="",FALSE,INDEX(출력_구리근무자!$J$6:$J$305,$AQ31)="구리독자"),"구리병원",IF($AF31&lt;&gt;"",IF(LEFT(INDEX(입력_파견수련계획!$R$4:$R$803,$AF31),1)&lt;&gt;"⚠",INDEX(입력_파견수련계획!$R$4:$R$803,$AF31),IF($H31="","",IF(RIGHT($H31,2)="병원",$H31,$H31&amp;"병원"))),IF($H31="","",IF(RIGHT($H31,2)="병원",$H31,$H31&amp;"병원"))))))</f>
        <v/>
      </c>
      <c r="AF31" s="10">
        <f>IF(OR($B31="",TRIM($J31&amp;"")=""),"",IFERROR(MATCH(TRIM($J31&amp;"")&amp;"|파견중",입력_파견수련계획!$Y$4:$Y$803,0),IFERROR(MATCH(TRIM($J31&amp;"")&amp;"|파견예정",입력_파견수련계획!$Y$4:$Y$803,0),IFERROR(MATCH(TRIM($J31&amp;"")&amp;"|파견종료",입력_파견수련계획!$Y$4:$Y$803,0),""))))</f>
        <v/>
      </c>
      <c r="AG31" s="10">
        <f>IF($B31="","",IF(AND(IF(OR($AC31="",출력_인턴현황!$K$2=""),"",INDEX(입력_인턴근무계획!$M$3:$R$402,$AC31,출력_인턴현황!$K$2)&amp;"")&lt;&gt;"",LEFT(IF(OR($AC31="",출력_인턴현황!$K$2=""),"",INDEX(입력_인턴근무계획!$M$3:$R$402,$AC31,출력_인턴현황!$K$2)&amp;""),1)&lt;&gt;"⚠"),LEFT(IF(OR($AC31="",출력_인턴현황!$K$2=""),"",INDEX(입력_인턴근무계획!$M$3:$R$402,$AC31,출력_인턴현황!$K$2)&amp;""),FIND(" ",IF(OR($AC31="",출력_인턴현황!$K$2=""),"",INDEX(입력_인턴근무계획!$M$3:$R$402,$AC31,출력_인턴현황!$K$2)&amp;""))-1),$AE31))</f>
        <v/>
      </c>
      <c r="AH31" s="17">
        <f>IF($B31="","",IF($AQ31&lt;&gt;"",MAX(0,DAY(EOMONTH(출력_요약!$B$3,0))-N($AR31)),IF(TRIM($J31&amp;"")="",0,SUMPRODUCT((입력_파견수련계획!$Q$4:$Q$803=TRIM($J31&amp;""))*(입력_파견수련계획!$S$4:$S$803="서울병원")*입력_파견수련계획!$W$4:$W$803))+IF($AG31="서울병원",MAX(0,DAY(EOMONTH(출력_요약!$B$3,0))-N($X31)),0)))</f>
        <v/>
      </c>
      <c r="AI31" s="17">
        <f>IF($B31="","",IF($AQ31&lt;&gt;"",N($AR31),IF(TRIM($J31&amp;"")="",0,SUMPRODUCT((입력_파견수련계획!$Q$4:$Q$803=TRIM($J31&amp;""))*(입력_파견수련계획!$S$4:$S$803="구리병원")*입력_파견수련계획!$W$4:$W$803))+IF($AG31="구리병원",MAX(0,DAY(EOMONTH(출력_요약!$B$3,0))-N($X31)),0)))</f>
        <v/>
      </c>
      <c r="AJ31" s="10">
        <f>IF(OR($B31="",TRIM($J31&amp;"")=""),"",IFERROR(MATCH(TRIM($J31&amp;"")&amp;"|월",입력_파견수련계획!$Z$4:$Z$803,0),""))</f>
        <v/>
      </c>
      <c r="AK31" s="10">
        <f>IF(OR($B31="",TRIM($J31&amp;"")=""),"",IFERROR(MATCH(TRIM($J31&amp;"")&amp;"|다기관",입력_파견수련계획!$AE$4:$AE$803,0),""))</f>
        <v/>
      </c>
      <c r="AL31" s="10">
        <f>IF($AK31="","","다기관 "&amp;TEXT(INDEX(입력_파견수련계획!$AB$4:$AB$803,$AK31),"yyyy-mm-dd")&amp;"~"&amp;IF(ISNUMBER(INDEX(입력_파견수련계획!$AC$4:$AC$803,$AK31)),TEXT(INDEX(입력_파견수련계획!$AC$4:$AC$803,$AK31),"yyyy-mm-dd"),""))</f>
        <v/>
      </c>
      <c r="AM31" s="10">
        <f>IF($Y31="서울병원",COUNTIF($Y$2:$Y31,"서울병원"),"")</f>
        <v/>
      </c>
      <c r="AN31" s="10">
        <f>IF(LEFT($Y31,1)="⚠",COUNTIF($Y$2:$Y31,"⚠*"),"")</f>
        <v/>
      </c>
      <c r="AO31" s="10">
        <f>IF(OR($B31="",$Y31=""),"",IF(IF(TRIM($J31&amp;"")="",0,SUMPRODUCT((입력_파견수련계획!$Q$4:$Q$803=TRIM($J31&amp;""))*입력_파견수련계획!$AD$4:$AD$803))&gt;0,"다기관 기간 → 소속병원 지급",IF(AND(N($X31)&lt;=0,$AQ31=""),"파견 없음 → 그 달 근무병원 지급",IF($AH31+$AI31=DAY(EOMONTH(출력_요약!$B$3,0)),"서울 "&amp;$AH31&amp;"일 / 구리 "&amp;$AI31&amp;"일"&amp;IF($AQ31&lt;&gt;""," (구리 근무자명단 반영)","")&amp;" → 15일 이상 근무 병원 지급","타 병원 포함 → "&amp;IF($AJ31="","소속",INDEX(입력_파견수련계획!$T$4:$T$803,$AJ31))&amp;" 규칙"))))</f>
        <v/>
      </c>
      <c r="AP31" s="10">
        <f>IF($B31="","",$C31&amp;"|"&amp;$F31)</f>
        <v/>
      </c>
      <c r="AQ31" s="10">
        <f>IF($B31="","",IFERROR(MATCH(ROW()-1,출력_구리근무자!$K$6:$K$305,0),""))</f>
        <v/>
      </c>
      <c r="AR31" s="10">
        <f>IF($AQ31="","",INDEX(출력_구리근무자!$H$6:$H$305,$AQ31))</f>
        <v/>
      </c>
    </row>
    <row r="32">
      <c r="A32" s="10">
        <f>IF(B32="","",ROW()-1)</f>
        <v/>
      </c>
      <c r="B32" s="19" t="n"/>
      <c r="C32" s="10">
        <f>IF($AB32="","",IF(INDEX(입력_기본자료!$C$2:$C$1001,$AB32)="","",INDEX(입력_기본자료!$C$2:$C$1001,$AB32)))</f>
        <v/>
      </c>
      <c r="D32" s="10">
        <f>IF($AB32="","",IF(INDEX(입력_기본자료!$J$2:$J$1001,$AB32)="","",INDEX(입력_기본자료!$J$2:$J$1001,$AB32)))</f>
        <v/>
      </c>
      <c r="E32" s="11">
        <f>IF($AB32="","",IF(INDEX(입력_기본자료!$K$2:$K$1001,$AB32)="","",IF(NOT(ISNUMBER(INDEX(입력_기본자료!$K$2:$K$1001,$AB32))),INDEX(입력_기본자료!$K$2:$K$1001,$AB32),IF(INDEX(입력_기본자료!$K$2:$K$1001,$AB32)&lt;1000000,INDEX(입력_기본자료!$K$2:$K$1001,$AB32),IF(AND(INDEX(입력_기본자료!$K$2:$K$1001,$AB32)&gt;=10000101,INT(MOD(INDEX(입력_기본자료!$K$2:$K$1001,$AB32),10000)/100)&gt;=1,INT(MOD(INDEX(입력_기본자료!$K$2:$K$1001,$AB32),10000)/100)&lt;=12,MOD(INDEX(입력_기본자료!$K$2:$K$1001,$AB32),100)&gt;=1,MOD(INDEX(입력_기본자료!$K$2:$K$1001,$AB32),100)&lt;=31),DATE(INT(INDEX(입력_기본자료!$K$2:$K$1001,$AB32)/10000),INT(MOD(INDEX(입력_기본자료!$K$2:$K$1001,$AB32),10000)/100),MOD(INDEX(입력_기본자료!$K$2:$K$1001,$AB32),100)),INDEX(입력_기본자료!$K$2:$K$1001,$AB32)&amp;"")))))</f>
        <v/>
      </c>
      <c r="F32" s="10">
        <f>IF($AB32="","",IF(INDEX(입력_기본자료!$D$2:$D$1001,$AB32)="","",INDEX(입력_기본자료!$D$2:$D$1001,$AB32)))</f>
        <v/>
      </c>
      <c r="G32" s="10">
        <f>IF($AB32="","",IF(INDEX(입력_기본자료!$E$2:$E$1001,$AB32)="","",INDEX(입력_기본자료!$E$2:$E$1001,$AB32)))</f>
        <v/>
      </c>
      <c r="H32" s="10">
        <f>IF($AB32="","",IF(INDEX(입력_기본자료!$F$2:$F$1001,$AB32)="","",INDEX(입력_기본자료!$F$2:$F$1001,$AB32)))</f>
        <v/>
      </c>
      <c r="I32" s="11">
        <f>IF($AB32="","",IF(INDEX(입력_기본자료!$G$2:$G$1001,$AB32)="","",IF(NOT(ISNUMBER(INDEX(입력_기본자료!$G$2:$G$1001,$AB32))),INDEX(입력_기본자료!$G$2:$G$1001,$AB32),IF(INDEX(입력_기본자료!$G$2:$G$1001,$AB32)&lt;1000000,INDEX(입력_기본자료!$G$2:$G$1001,$AB32),IF(AND(INDEX(입력_기본자료!$G$2:$G$1001,$AB32)&gt;=10000101,INT(MOD(INDEX(입력_기본자료!$G$2:$G$1001,$AB32),10000)/100)&gt;=1,INT(MOD(INDEX(입력_기본자료!$G$2:$G$1001,$AB32),10000)/100)&lt;=12,MOD(INDEX(입력_기본자료!$G$2:$G$1001,$AB32),100)&gt;=1,MOD(INDEX(입력_기본자료!$G$2:$G$1001,$AB32),100)&lt;=31),DATE(INT(INDEX(입력_기본자료!$G$2:$G$1001,$AB32)/10000),INT(MOD(INDEX(입력_기본자료!$G$2:$G$1001,$AB32),10000)/100),MOD(INDEX(입력_기본자료!$G$2:$G$1001,$AB32),100)),INDEX(입력_기본자료!$G$2:$G$1001,$AB32)&amp;"")))))</f>
        <v/>
      </c>
      <c r="J32" s="10">
        <f>IF($AB32="","",IF(INDEX(입력_기본자료!$H$2:$H$1001,$AB32)="","",INDEX(입력_기본자료!$H$2:$H$1001,$AB32)))</f>
        <v/>
      </c>
      <c r="K32" s="10">
        <f>IF($AB32="","",IF(INDEX(입력_기본자료!$I$2:$I$1001,$AB32)="","",INDEX(입력_기본자료!$I$2:$I$1001,$AB32)))</f>
        <v/>
      </c>
      <c r="L32" s="10">
        <f>IF($AB32="","",IF(INDEX(입력_기본자료!$A$2:$A$1001,$AB32)="","",INDEX(입력_기본자료!$A$2:$A$1001,$AB32)))</f>
        <v/>
      </c>
      <c r="M32" s="15" t="n"/>
      <c r="N32" s="10">
        <f>IF($B32="","",IF(AND($U32="파견중",$Q32&lt;&gt;""),$Q32,IF(AND($AD32&lt;&gt;"",LEFT($AD32,1)&lt;&gt;"⚠"),LEFT($AD32,FIND(" ",$AD32)-1),IF($H32="","",IF(RIGHT($H32,2)="병원",$H32,$H32&amp;"병원")))))</f>
        <v/>
      </c>
      <c r="O32" s="10">
        <f>IF($B32="","",IF(AND($U32="파견중",$Q32&lt;&gt;""),IF($R32&lt;&gt;"",$R32,"파견과 미입력"),IF(AND($AD32&lt;&gt;"",LEFT($AD32,1)&lt;&gt;"⚠"),MID($AD32,FIND(" ",$AD32)+1,60),IF($F32="","",IF($F32="인턴","수련교육부(인턴)",$F32)))))</f>
        <v/>
      </c>
      <c r="P32" s="10">
        <f>IF($B32="","",IF($AK32&lt;&gt;"",IF(AND(TODAY()&gt;=INDEX(입력_파견수련계획!$AB$4:$AB$803,$AK32),OR(NOT(ISNUMBER(INDEX(입력_파견수련계획!$AC$4:$AC$803,$AK32))),TODAY()&lt;=INDEX(입력_파견수련계획!$AC$4:$AC$803,$AK32))),"다기관",IF($AF32="","",INDEX(입력_파견수련계획!$T$4:$T$803,$AF32))),IF($AF32="","",INDEX(입력_파견수련계획!$T$4:$T$803,$AF32))))</f>
        <v/>
      </c>
      <c r="Q32" s="10">
        <f>IF($AF32="","",INDEX(입력_파견수련계획!$S$4:$S$803,$AF32))</f>
        <v/>
      </c>
      <c r="R32" s="10">
        <f>IF($AF32="","",INDEX(입력_파견수련계획!$U$4:$U$803,$AF32))</f>
        <v/>
      </c>
      <c r="S32" s="11">
        <f>IF($AF32="","",IF(INDEX(입력_파견수련계획!$H$4:$H$803,$AF32)="","",INDEX(입력_파견수련계획!$H$4:$H$803,$AF32)))</f>
        <v/>
      </c>
      <c r="T32" s="11">
        <f>IF($AF32="","",IF(INDEX(입력_파견수련계획!$I$4:$I$803,$AF32)="","",INDEX(입력_파견수련계획!$I$4:$I$803,$AF32)))</f>
        <v/>
      </c>
      <c r="U32" s="10">
        <f>IF($AF32="","",INDEX(입력_파견수련계획!$X$4:$X$803,$AF32))</f>
        <v/>
      </c>
      <c r="V32" s="17">
        <f>IF($AF32="","",INDEX(입력_파견수련계획!$V$4:$V$803,$AF32))</f>
        <v/>
      </c>
      <c r="W32" s="17">
        <f>IF(AND($U32="파견중",$T32&lt;&gt;""),$T32-TODAY(),"")</f>
        <v/>
      </c>
      <c r="X32" s="17">
        <f>IF(OR($B32="",TRIM($J32&amp;"")=""),"",SUMPRODUCT((입력_파견수련계획!$Q$4:$Q$803=TRIM($J32&amp;""))*입력_파견수련계획!$W$4:$W$803))</f>
        <v/>
      </c>
      <c r="Y32" s="10">
        <f>IF($B32="","",IF($AG32="","",IF(IF(TRIM($J32&amp;"")="",0,SUMPRODUCT((입력_파견수련계획!$Q$4:$Q$803=TRIM($J32&amp;""))*입력_파견수련계획!$AD$4:$AD$803))&gt;0,$AE32,IF(AND(N($X32)&lt;=0,$AQ32=""),$AG32,IF($AH32+$AI32=DAY(EOMONTH(출력_요약!$B$3,0)),IF(AND($AH32&gt;=출력_요약!$E$3,$AI32&lt;출력_요약!$E$3),"서울병원",IF(AND($AI32&gt;=출력_요약!$E$3,$AH32&lt;출력_요약!$E$3),"구리병원","⚠15일 판정불가(서울 "&amp;$AH32&amp;"일/구리 "&amp;$AI32&amp;"일)")),IF($AJ32="",$AE32,IF(INDEX(입력_파견수련계획!$T$4:$T$803,$AJ32)="통합수련",INDEX(입력_파견수련계획!$S$4:$S$803,$AJ32),$AE32)))))))</f>
        <v/>
      </c>
      <c r="Z32" s="20">
        <f>IF($B32="","",IF($AB32="","기본자료에 없는 사번",IF(COUNTIF($B$2:$B$401,$B32)&gt;1,"중복 사번",IF($AE32="","소속(입사장소) 입력",IF(IF(TRIM($J32&amp;"")="",0,SUMPRODUCT((입력_파견수련계획!$Q$4:$Q$803=TRIM($J32&amp;""))*(입력_파견수련계획!$AA$4:$AA$803&lt;&gt;"")))&gt;0,"파견수련계획 입력오류 확인",IF(LEFT($Y32,1)="⚠","서울·구리 15일 판정 불가(양쪽 모두 이상/미만)",IF(IF($AC32="",0,N(INDEX(입력_인턴근무계획!$T$3:$T$402,$AC32)))&gt;0,"인턴계획 입력오류 확인",IF(AND($AQ32&lt;&gt;"",$AG32&lt;&gt;"구리병원",IF(TRIM($J32&amp;"")="",0,SUMPRODUCT((입력_파견수련계획!$Q$4:$Q$803=TRIM($J32&amp;""))*(입력_파견수련계획!$S$4:$S$803="구리병원")*입력_파견수련계획!$W$4:$W$803))=0),"구리 근무자명단에만 있음(파견수련계획 확인)",IF(AND($AC32&lt;&gt;"",$U32&lt;&gt;"파견중",$N32&lt;&gt;$AE32),"인턴 타지역 근무: 파견 여부 확인","정상")))))))))</f>
        <v/>
      </c>
      <c r="AA32" s="5" t="n"/>
      <c r="AB32" s="10">
        <f>IF($B32="","",IFERROR(MATCH($B32,입력_기본자료!$B$2:$B$1001,0),IFERROR(MATCH($B32&amp;"",입력_기본자료!$B$2:$B$1001,0),IFERROR(MATCH(VALUE($B32),입력_기본자료!$B$2:$B$1001,0),""))))</f>
        <v/>
      </c>
      <c r="AC32" s="10">
        <f>IF($B32="","",IFERROR(MATCH($B32,입력_인턴근무계획!$D$3:$D$402,0),IFERROR(MATCH($B32&amp;"",입력_인턴근무계획!$D$3:$D$402,0),IFERROR(MATCH(VALUE($B32),입력_인턴근무계획!$D$3:$D$402,0),""))))</f>
        <v/>
      </c>
      <c r="AD32" s="10">
        <f>IF(OR($AC32="",출력_인턴현황!$G$3=""),"",INDEX(입력_인턴근무계획!$M$3:$R$402,$AC32,출력_인턴현황!$G$3)&amp;"")</f>
        <v/>
      </c>
      <c r="AE32" s="10">
        <f>IF($B32="","",IF($M32&lt;&gt;"",$M32,IF(IF($AQ32="",FALSE,INDEX(출력_구리근무자!$J$6:$J$305,$AQ32)="구리독자"),"구리병원",IF($AF32&lt;&gt;"",IF(LEFT(INDEX(입력_파견수련계획!$R$4:$R$803,$AF32),1)&lt;&gt;"⚠",INDEX(입력_파견수련계획!$R$4:$R$803,$AF32),IF($H32="","",IF(RIGHT($H32,2)="병원",$H32,$H32&amp;"병원"))),IF($H32="","",IF(RIGHT($H32,2)="병원",$H32,$H32&amp;"병원"))))))</f>
        <v/>
      </c>
      <c r="AF32" s="10">
        <f>IF(OR($B32="",TRIM($J32&amp;"")=""),"",IFERROR(MATCH(TRIM($J32&amp;"")&amp;"|파견중",입력_파견수련계획!$Y$4:$Y$803,0),IFERROR(MATCH(TRIM($J32&amp;"")&amp;"|파견예정",입력_파견수련계획!$Y$4:$Y$803,0),IFERROR(MATCH(TRIM($J32&amp;"")&amp;"|파견종료",입력_파견수련계획!$Y$4:$Y$803,0),""))))</f>
        <v/>
      </c>
      <c r="AG32" s="10">
        <f>IF($B32="","",IF(AND(IF(OR($AC32="",출력_인턴현황!$K$2=""),"",INDEX(입력_인턴근무계획!$M$3:$R$402,$AC32,출력_인턴현황!$K$2)&amp;"")&lt;&gt;"",LEFT(IF(OR($AC32="",출력_인턴현황!$K$2=""),"",INDEX(입력_인턴근무계획!$M$3:$R$402,$AC32,출력_인턴현황!$K$2)&amp;""),1)&lt;&gt;"⚠"),LEFT(IF(OR($AC32="",출력_인턴현황!$K$2=""),"",INDEX(입력_인턴근무계획!$M$3:$R$402,$AC32,출력_인턴현황!$K$2)&amp;""),FIND(" ",IF(OR($AC32="",출력_인턴현황!$K$2=""),"",INDEX(입력_인턴근무계획!$M$3:$R$402,$AC32,출력_인턴현황!$K$2)&amp;""))-1),$AE32))</f>
        <v/>
      </c>
      <c r="AH32" s="17">
        <f>IF($B32="","",IF($AQ32&lt;&gt;"",MAX(0,DAY(EOMONTH(출력_요약!$B$3,0))-N($AR32)),IF(TRIM($J32&amp;"")="",0,SUMPRODUCT((입력_파견수련계획!$Q$4:$Q$803=TRIM($J32&amp;""))*(입력_파견수련계획!$S$4:$S$803="서울병원")*입력_파견수련계획!$W$4:$W$803))+IF($AG32="서울병원",MAX(0,DAY(EOMONTH(출력_요약!$B$3,0))-N($X32)),0)))</f>
        <v/>
      </c>
      <c r="AI32" s="17">
        <f>IF($B32="","",IF($AQ32&lt;&gt;"",N($AR32),IF(TRIM($J32&amp;"")="",0,SUMPRODUCT((입력_파견수련계획!$Q$4:$Q$803=TRIM($J32&amp;""))*(입력_파견수련계획!$S$4:$S$803="구리병원")*입력_파견수련계획!$W$4:$W$803))+IF($AG32="구리병원",MAX(0,DAY(EOMONTH(출력_요약!$B$3,0))-N($X32)),0)))</f>
        <v/>
      </c>
      <c r="AJ32" s="10">
        <f>IF(OR($B32="",TRIM($J32&amp;"")=""),"",IFERROR(MATCH(TRIM($J32&amp;"")&amp;"|월",입력_파견수련계획!$Z$4:$Z$803,0),""))</f>
        <v/>
      </c>
      <c r="AK32" s="10">
        <f>IF(OR($B32="",TRIM($J32&amp;"")=""),"",IFERROR(MATCH(TRIM($J32&amp;"")&amp;"|다기관",입력_파견수련계획!$AE$4:$AE$803,0),""))</f>
        <v/>
      </c>
      <c r="AL32" s="10">
        <f>IF($AK32="","","다기관 "&amp;TEXT(INDEX(입력_파견수련계획!$AB$4:$AB$803,$AK32),"yyyy-mm-dd")&amp;"~"&amp;IF(ISNUMBER(INDEX(입력_파견수련계획!$AC$4:$AC$803,$AK32)),TEXT(INDEX(입력_파견수련계획!$AC$4:$AC$803,$AK32),"yyyy-mm-dd"),""))</f>
        <v/>
      </c>
      <c r="AM32" s="10">
        <f>IF($Y32="서울병원",COUNTIF($Y$2:$Y32,"서울병원"),"")</f>
        <v/>
      </c>
      <c r="AN32" s="10">
        <f>IF(LEFT($Y32,1)="⚠",COUNTIF($Y$2:$Y32,"⚠*"),"")</f>
        <v/>
      </c>
      <c r="AO32" s="10">
        <f>IF(OR($B32="",$Y32=""),"",IF(IF(TRIM($J32&amp;"")="",0,SUMPRODUCT((입력_파견수련계획!$Q$4:$Q$803=TRIM($J32&amp;""))*입력_파견수련계획!$AD$4:$AD$803))&gt;0,"다기관 기간 → 소속병원 지급",IF(AND(N($X32)&lt;=0,$AQ32=""),"파견 없음 → 그 달 근무병원 지급",IF($AH32+$AI32=DAY(EOMONTH(출력_요약!$B$3,0)),"서울 "&amp;$AH32&amp;"일 / 구리 "&amp;$AI32&amp;"일"&amp;IF($AQ32&lt;&gt;""," (구리 근무자명단 반영)","")&amp;" → 15일 이상 근무 병원 지급","타 병원 포함 → "&amp;IF($AJ32="","소속",INDEX(입력_파견수련계획!$T$4:$T$803,$AJ32))&amp;" 규칙"))))</f>
        <v/>
      </c>
      <c r="AP32" s="10">
        <f>IF($B32="","",$C32&amp;"|"&amp;$F32)</f>
        <v/>
      </c>
      <c r="AQ32" s="10">
        <f>IF($B32="","",IFERROR(MATCH(ROW()-1,출력_구리근무자!$K$6:$K$305,0),""))</f>
        <v/>
      </c>
      <c r="AR32" s="10">
        <f>IF($AQ32="","",INDEX(출력_구리근무자!$H$6:$H$305,$AQ32))</f>
        <v/>
      </c>
    </row>
    <row r="33">
      <c r="A33" s="10">
        <f>IF(B33="","",ROW()-1)</f>
        <v/>
      </c>
      <c r="B33" s="19" t="n"/>
      <c r="C33" s="10">
        <f>IF($AB33="","",IF(INDEX(입력_기본자료!$C$2:$C$1001,$AB33)="","",INDEX(입력_기본자료!$C$2:$C$1001,$AB33)))</f>
        <v/>
      </c>
      <c r="D33" s="10">
        <f>IF($AB33="","",IF(INDEX(입력_기본자료!$J$2:$J$1001,$AB33)="","",INDEX(입력_기본자료!$J$2:$J$1001,$AB33)))</f>
        <v/>
      </c>
      <c r="E33" s="11">
        <f>IF($AB33="","",IF(INDEX(입력_기본자료!$K$2:$K$1001,$AB33)="","",IF(NOT(ISNUMBER(INDEX(입력_기본자료!$K$2:$K$1001,$AB33))),INDEX(입력_기본자료!$K$2:$K$1001,$AB33),IF(INDEX(입력_기본자료!$K$2:$K$1001,$AB33)&lt;1000000,INDEX(입력_기본자료!$K$2:$K$1001,$AB33),IF(AND(INDEX(입력_기본자료!$K$2:$K$1001,$AB33)&gt;=10000101,INT(MOD(INDEX(입력_기본자료!$K$2:$K$1001,$AB33),10000)/100)&gt;=1,INT(MOD(INDEX(입력_기본자료!$K$2:$K$1001,$AB33),10000)/100)&lt;=12,MOD(INDEX(입력_기본자료!$K$2:$K$1001,$AB33),100)&gt;=1,MOD(INDEX(입력_기본자료!$K$2:$K$1001,$AB33),100)&lt;=31),DATE(INT(INDEX(입력_기본자료!$K$2:$K$1001,$AB33)/10000),INT(MOD(INDEX(입력_기본자료!$K$2:$K$1001,$AB33),10000)/100),MOD(INDEX(입력_기본자료!$K$2:$K$1001,$AB33),100)),INDEX(입력_기본자료!$K$2:$K$1001,$AB33)&amp;"")))))</f>
        <v/>
      </c>
      <c r="F33" s="10">
        <f>IF($AB33="","",IF(INDEX(입력_기본자료!$D$2:$D$1001,$AB33)="","",INDEX(입력_기본자료!$D$2:$D$1001,$AB33)))</f>
        <v/>
      </c>
      <c r="G33" s="10">
        <f>IF($AB33="","",IF(INDEX(입력_기본자료!$E$2:$E$1001,$AB33)="","",INDEX(입력_기본자료!$E$2:$E$1001,$AB33)))</f>
        <v/>
      </c>
      <c r="H33" s="10">
        <f>IF($AB33="","",IF(INDEX(입력_기본자료!$F$2:$F$1001,$AB33)="","",INDEX(입력_기본자료!$F$2:$F$1001,$AB33)))</f>
        <v/>
      </c>
      <c r="I33" s="11">
        <f>IF($AB33="","",IF(INDEX(입력_기본자료!$G$2:$G$1001,$AB33)="","",IF(NOT(ISNUMBER(INDEX(입력_기본자료!$G$2:$G$1001,$AB33))),INDEX(입력_기본자료!$G$2:$G$1001,$AB33),IF(INDEX(입력_기본자료!$G$2:$G$1001,$AB33)&lt;1000000,INDEX(입력_기본자료!$G$2:$G$1001,$AB33),IF(AND(INDEX(입력_기본자료!$G$2:$G$1001,$AB33)&gt;=10000101,INT(MOD(INDEX(입력_기본자료!$G$2:$G$1001,$AB33),10000)/100)&gt;=1,INT(MOD(INDEX(입력_기본자료!$G$2:$G$1001,$AB33),10000)/100)&lt;=12,MOD(INDEX(입력_기본자료!$G$2:$G$1001,$AB33),100)&gt;=1,MOD(INDEX(입력_기본자료!$G$2:$G$1001,$AB33),100)&lt;=31),DATE(INT(INDEX(입력_기본자료!$G$2:$G$1001,$AB33)/10000),INT(MOD(INDEX(입력_기본자료!$G$2:$G$1001,$AB33),10000)/100),MOD(INDEX(입력_기본자료!$G$2:$G$1001,$AB33),100)),INDEX(입력_기본자료!$G$2:$G$1001,$AB33)&amp;"")))))</f>
        <v/>
      </c>
      <c r="J33" s="10">
        <f>IF($AB33="","",IF(INDEX(입력_기본자료!$H$2:$H$1001,$AB33)="","",INDEX(입력_기본자료!$H$2:$H$1001,$AB33)))</f>
        <v/>
      </c>
      <c r="K33" s="10">
        <f>IF($AB33="","",IF(INDEX(입력_기본자료!$I$2:$I$1001,$AB33)="","",INDEX(입력_기본자료!$I$2:$I$1001,$AB33)))</f>
        <v/>
      </c>
      <c r="L33" s="10">
        <f>IF($AB33="","",IF(INDEX(입력_기본자료!$A$2:$A$1001,$AB33)="","",INDEX(입력_기본자료!$A$2:$A$1001,$AB33)))</f>
        <v/>
      </c>
      <c r="M33" s="15" t="n"/>
      <c r="N33" s="10">
        <f>IF($B33="","",IF(AND($U33="파견중",$Q33&lt;&gt;""),$Q33,IF(AND($AD33&lt;&gt;"",LEFT($AD33,1)&lt;&gt;"⚠"),LEFT($AD33,FIND(" ",$AD33)-1),IF($H33="","",IF(RIGHT($H33,2)="병원",$H33,$H33&amp;"병원")))))</f>
        <v/>
      </c>
      <c r="O33" s="10">
        <f>IF($B33="","",IF(AND($U33="파견중",$Q33&lt;&gt;""),IF($R33&lt;&gt;"",$R33,"파견과 미입력"),IF(AND($AD33&lt;&gt;"",LEFT($AD33,1)&lt;&gt;"⚠"),MID($AD33,FIND(" ",$AD33)+1,60),IF($F33="","",IF($F33="인턴","수련교육부(인턴)",$F33)))))</f>
        <v/>
      </c>
      <c r="P33" s="10">
        <f>IF($B33="","",IF($AK33&lt;&gt;"",IF(AND(TODAY()&gt;=INDEX(입력_파견수련계획!$AB$4:$AB$803,$AK33),OR(NOT(ISNUMBER(INDEX(입력_파견수련계획!$AC$4:$AC$803,$AK33))),TODAY()&lt;=INDEX(입력_파견수련계획!$AC$4:$AC$803,$AK33))),"다기관",IF($AF33="","",INDEX(입력_파견수련계획!$T$4:$T$803,$AF33))),IF($AF33="","",INDEX(입력_파견수련계획!$T$4:$T$803,$AF33))))</f>
        <v/>
      </c>
      <c r="Q33" s="10">
        <f>IF($AF33="","",INDEX(입력_파견수련계획!$S$4:$S$803,$AF33))</f>
        <v/>
      </c>
      <c r="R33" s="10">
        <f>IF($AF33="","",INDEX(입력_파견수련계획!$U$4:$U$803,$AF33))</f>
        <v/>
      </c>
      <c r="S33" s="11">
        <f>IF($AF33="","",IF(INDEX(입력_파견수련계획!$H$4:$H$803,$AF33)="","",INDEX(입력_파견수련계획!$H$4:$H$803,$AF33)))</f>
        <v/>
      </c>
      <c r="T33" s="11">
        <f>IF($AF33="","",IF(INDEX(입력_파견수련계획!$I$4:$I$803,$AF33)="","",INDEX(입력_파견수련계획!$I$4:$I$803,$AF33)))</f>
        <v/>
      </c>
      <c r="U33" s="10">
        <f>IF($AF33="","",INDEX(입력_파견수련계획!$X$4:$X$803,$AF33))</f>
        <v/>
      </c>
      <c r="V33" s="17">
        <f>IF($AF33="","",INDEX(입력_파견수련계획!$V$4:$V$803,$AF33))</f>
        <v/>
      </c>
      <c r="W33" s="17">
        <f>IF(AND($U33="파견중",$T33&lt;&gt;""),$T33-TODAY(),"")</f>
        <v/>
      </c>
      <c r="X33" s="17">
        <f>IF(OR($B33="",TRIM($J33&amp;"")=""),"",SUMPRODUCT((입력_파견수련계획!$Q$4:$Q$803=TRIM($J33&amp;""))*입력_파견수련계획!$W$4:$W$803))</f>
        <v/>
      </c>
      <c r="Y33" s="10">
        <f>IF($B33="","",IF($AG33="","",IF(IF(TRIM($J33&amp;"")="",0,SUMPRODUCT((입력_파견수련계획!$Q$4:$Q$803=TRIM($J33&amp;""))*입력_파견수련계획!$AD$4:$AD$803))&gt;0,$AE33,IF(AND(N($X33)&lt;=0,$AQ33=""),$AG33,IF($AH33+$AI33=DAY(EOMONTH(출력_요약!$B$3,0)),IF(AND($AH33&gt;=출력_요약!$E$3,$AI33&lt;출력_요약!$E$3),"서울병원",IF(AND($AI33&gt;=출력_요약!$E$3,$AH33&lt;출력_요약!$E$3),"구리병원","⚠15일 판정불가(서울 "&amp;$AH33&amp;"일/구리 "&amp;$AI33&amp;"일)")),IF($AJ33="",$AE33,IF(INDEX(입력_파견수련계획!$T$4:$T$803,$AJ33)="통합수련",INDEX(입력_파견수련계획!$S$4:$S$803,$AJ33),$AE33)))))))</f>
        <v/>
      </c>
      <c r="Z33" s="20">
        <f>IF($B33="","",IF($AB33="","기본자료에 없는 사번",IF(COUNTIF($B$2:$B$401,$B33)&gt;1,"중복 사번",IF($AE33="","소속(입사장소) 입력",IF(IF(TRIM($J33&amp;"")="",0,SUMPRODUCT((입력_파견수련계획!$Q$4:$Q$803=TRIM($J33&amp;""))*(입력_파견수련계획!$AA$4:$AA$803&lt;&gt;"")))&gt;0,"파견수련계획 입력오류 확인",IF(LEFT($Y33,1)="⚠","서울·구리 15일 판정 불가(양쪽 모두 이상/미만)",IF(IF($AC33="",0,N(INDEX(입력_인턴근무계획!$T$3:$T$402,$AC33)))&gt;0,"인턴계획 입력오류 확인",IF(AND($AQ33&lt;&gt;"",$AG33&lt;&gt;"구리병원",IF(TRIM($J33&amp;"")="",0,SUMPRODUCT((입력_파견수련계획!$Q$4:$Q$803=TRIM($J33&amp;""))*(입력_파견수련계획!$S$4:$S$803="구리병원")*입력_파견수련계획!$W$4:$W$803))=0),"구리 근무자명단에만 있음(파견수련계획 확인)",IF(AND($AC33&lt;&gt;"",$U33&lt;&gt;"파견중",$N33&lt;&gt;$AE33),"인턴 타지역 근무: 파견 여부 확인","정상")))))))))</f>
        <v/>
      </c>
      <c r="AA33" s="5" t="n"/>
      <c r="AB33" s="10">
        <f>IF($B33="","",IFERROR(MATCH($B33,입력_기본자료!$B$2:$B$1001,0),IFERROR(MATCH($B33&amp;"",입력_기본자료!$B$2:$B$1001,0),IFERROR(MATCH(VALUE($B33),입력_기본자료!$B$2:$B$1001,0),""))))</f>
        <v/>
      </c>
      <c r="AC33" s="10">
        <f>IF($B33="","",IFERROR(MATCH($B33,입력_인턴근무계획!$D$3:$D$402,0),IFERROR(MATCH($B33&amp;"",입력_인턴근무계획!$D$3:$D$402,0),IFERROR(MATCH(VALUE($B33),입력_인턴근무계획!$D$3:$D$402,0),""))))</f>
        <v/>
      </c>
      <c r="AD33" s="10">
        <f>IF(OR($AC33="",출력_인턴현황!$G$3=""),"",INDEX(입력_인턴근무계획!$M$3:$R$402,$AC33,출력_인턴현황!$G$3)&amp;"")</f>
        <v/>
      </c>
      <c r="AE33" s="10">
        <f>IF($B33="","",IF($M33&lt;&gt;"",$M33,IF(IF($AQ33="",FALSE,INDEX(출력_구리근무자!$J$6:$J$305,$AQ33)="구리독자"),"구리병원",IF($AF33&lt;&gt;"",IF(LEFT(INDEX(입력_파견수련계획!$R$4:$R$803,$AF33),1)&lt;&gt;"⚠",INDEX(입력_파견수련계획!$R$4:$R$803,$AF33),IF($H33="","",IF(RIGHT($H33,2)="병원",$H33,$H33&amp;"병원"))),IF($H33="","",IF(RIGHT($H33,2)="병원",$H33,$H33&amp;"병원"))))))</f>
        <v/>
      </c>
      <c r="AF33" s="10">
        <f>IF(OR($B33="",TRIM($J33&amp;"")=""),"",IFERROR(MATCH(TRIM($J33&amp;"")&amp;"|파견중",입력_파견수련계획!$Y$4:$Y$803,0),IFERROR(MATCH(TRIM($J33&amp;"")&amp;"|파견예정",입력_파견수련계획!$Y$4:$Y$803,0),IFERROR(MATCH(TRIM($J33&amp;"")&amp;"|파견종료",입력_파견수련계획!$Y$4:$Y$803,0),""))))</f>
        <v/>
      </c>
      <c r="AG33" s="10">
        <f>IF($B33="","",IF(AND(IF(OR($AC33="",출력_인턴현황!$K$2=""),"",INDEX(입력_인턴근무계획!$M$3:$R$402,$AC33,출력_인턴현황!$K$2)&amp;"")&lt;&gt;"",LEFT(IF(OR($AC33="",출력_인턴현황!$K$2=""),"",INDEX(입력_인턴근무계획!$M$3:$R$402,$AC33,출력_인턴현황!$K$2)&amp;""),1)&lt;&gt;"⚠"),LEFT(IF(OR($AC33="",출력_인턴현황!$K$2=""),"",INDEX(입력_인턴근무계획!$M$3:$R$402,$AC33,출력_인턴현황!$K$2)&amp;""),FIND(" ",IF(OR($AC33="",출력_인턴현황!$K$2=""),"",INDEX(입력_인턴근무계획!$M$3:$R$402,$AC33,출력_인턴현황!$K$2)&amp;""))-1),$AE33))</f>
        <v/>
      </c>
      <c r="AH33" s="17">
        <f>IF($B33="","",IF($AQ33&lt;&gt;"",MAX(0,DAY(EOMONTH(출력_요약!$B$3,0))-N($AR33)),IF(TRIM($J33&amp;"")="",0,SUMPRODUCT((입력_파견수련계획!$Q$4:$Q$803=TRIM($J33&amp;""))*(입력_파견수련계획!$S$4:$S$803="서울병원")*입력_파견수련계획!$W$4:$W$803))+IF($AG33="서울병원",MAX(0,DAY(EOMONTH(출력_요약!$B$3,0))-N($X33)),0)))</f>
        <v/>
      </c>
      <c r="AI33" s="17">
        <f>IF($B33="","",IF($AQ33&lt;&gt;"",N($AR33),IF(TRIM($J33&amp;"")="",0,SUMPRODUCT((입력_파견수련계획!$Q$4:$Q$803=TRIM($J33&amp;""))*(입력_파견수련계획!$S$4:$S$803="구리병원")*입력_파견수련계획!$W$4:$W$803))+IF($AG33="구리병원",MAX(0,DAY(EOMONTH(출력_요약!$B$3,0))-N($X33)),0)))</f>
        <v/>
      </c>
      <c r="AJ33" s="10">
        <f>IF(OR($B33="",TRIM($J33&amp;"")=""),"",IFERROR(MATCH(TRIM($J33&amp;"")&amp;"|월",입력_파견수련계획!$Z$4:$Z$803,0),""))</f>
        <v/>
      </c>
      <c r="AK33" s="10">
        <f>IF(OR($B33="",TRIM($J33&amp;"")=""),"",IFERROR(MATCH(TRIM($J33&amp;"")&amp;"|다기관",입력_파견수련계획!$AE$4:$AE$803,0),""))</f>
        <v/>
      </c>
      <c r="AL33" s="10">
        <f>IF($AK33="","","다기관 "&amp;TEXT(INDEX(입력_파견수련계획!$AB$4:$AB$803,$AK33),"yyyy-mm-dd")&amp;"~"&amp;IF(ISNUMBER(INDEX(입력_파견수련계획!$AC$4:$AC$803,$AK33)),TEXT(INDEX(입력_파견수련계획!$AC$4:$AC$803,$AK33),"yyyy-mm-dd"),""))</f>
        <v/>
      </c>
      <c r="AM33" s="10">
        <f>IF($Y33="서울병원",COUNTIF($Y$2:$Y33,"서울병원"),"")</f>
        <v/>
      </c>
      <c r="AN33" s="10">
        <f>IF(LEFT($Y33,1)="⚠",COUNTIF($Y$2:$Y33,"⚠*"),"")</f>
        <v/>
      </c>
      <c r="AO33" s="10">
        <f>IF(OR($B33="",$Y33=""),"",IF(IF(TRIM($J33&amp;"")="",0,SUMPRODUCT((입력_파견수련계획!$Q$4:$Q$803=TRIM($J33&amp;""))*입력_파견수련계획!$AD$4:$AD$803))&gt;0,"다기관 기간 → 소속병원 지급",IF(AND(N($X33)&lt;=0,$AQ33=""),"파견 없음 → 그 달 근무병원 지급",IF($AH33+$AI33=DAY(EOMONTH(출력_요약!$B$3,0)),"서울 "&amp;$AH33&amp;"일 / 구리 "&amp;$AI33&amp;"일"&amp;IF($AQ33&lt;&gt;""," (구리 근무자명단 반영)","")&amp;" → 15일 이상 근무 병원 지급","타 병원 포함 → "&amp;IF($AJ33="","소속",INDEX(입력_파견수련계획!$T$4:$T$803,$AJ33))&amp;" 규칙"))))</f>
        <v/>
      </c>
      <c r="AP33" s="10">
        <f>IF($B33="","",$C33&amp;"|"&amp;$F33)</f>
        <v/>
      </c>
      <c r="AQ33" s="10">
        <f>IF($B33="","",IFERROR(MATCH(ROW()-1,출력_구리근무자!$K$6:$K$305,0),""))</f>
        <v/>
      </c>
      <c r="AR33" s="10">
        <f>IF($AQ33="","",INDEX(출력_구리근무자!$H$6:$H$305,$AQ33))</f>
        <v/>
      </c>
    </row>
    <row r="34">
      <c r="A34" s="10">
        <f>IF(B34="","",ROW()-1)</f>
        <v/>
      </c>
      <c r="B34" s="19" t="n"/>
      <c r="C34" s="10">
        <f>IF($AB34="","",IF(INDEX(입력_기본자료!$C$2:$C$1001,$AB34)="","",INDEX(입력_기본자료!$C$2:$C$1001,$AB34)))</f>
        <v/>
      </c>
      <c r="D34" s="10">
        <f>IF($AB34="","",IF(INDEX(입력_기본자료!$J$2:$J$1001,$AB34)="","",INDEX(입력_기본자료!$J$2:$J$1001,$AB34)))</f>
        <v/>
      </c>
      <c r="E34" s="11">
        <f>IF($AB34="","",IF(INDEX(입력_기본자료!$K$2:$K$1001,$AB34)="","",IF(NOT(ISNUMBER(INDEX(입력_기본자료!$K$2:$K$1001,$AB34))),INDEX(입력_기본자료!$K$2:$K$1001,$AB34),IF(INDEX(입력_기본자료!$K$2:$K$1001,$AB34)&lt;1000000,INDEX(입력_기본자료!$K$2:$K$1001,$AB34),IF(AND(INDEX(입력_기본자료!$K$2:$K$1001,$AB34)&gt;=10000101,INT(MOD(INDEX(입력_기본자료!$K$2:$K$1001,$AB34),10000)/100)&gt;=1,INT(MOD(INDEX(입력_기본자료!$K$2:$K$1001,$AB34),10000)/100)&lt;=12,MOD(INDEX(입력_기본자료!$K$2:$K$1001,$AB34),100)&gt;=1,MOD(INDEX(입력_기본자료!$K$2:$K$1001,$AB34),100)&lt;=31),DATE(INT(INDEX(입력_기본자료!$K$2:$K$1001,$AB34)/10000),INT(MOD(INDEX(입력_기본자료!$K$2:$K$1001,$AB34),10000)/100),MOD(INDEX(입력_기본자료!$K$2:$K$1001,$AB34),100)),INDEX(입력_기본자료!$K$2:$K$1001,$AB34)&amp;"")))))</f>
        <v/>
      </c>
      <c r="F34" s="10">
        <f>IF($AB34="","",IF(INDEX(입력_기본자료!$D$2:$D$1001,$AB34)="","",INDEX(입력_기본자료!$D$2:$D$1001,$AB34)))</f>
        <v/>
      </c>
      <c r="G34" s="10">
        <f>IF($AB34="","",IF(INDEX(입력_기본자료!$E$2:$E$1001,$AB34)="","",INDEX(입력_기본자료!$E$2:$E$1001,$AB34)))</f>
        <v/>
      </c>
      <c r="H34" s="10">
        <f>IF($AB34="","",IF(INDEX(입력_기본자료!$F$2:$F$1001,$AB34)="","",INDEX(입력_기본자료!$F$2:$F$1001,$AB34)))</f>
        <v/>
      </c>
      <c r="I34" s="11">
        <f>IF($AB34="","",IF(INDEX(입력_기본자료!$G$2:$G$1001,$AB34)="","",IF(NOT(ISNUMBER(INDEX(입력_기본자료!$G$2:$G$1001,$AB34))),INDEX(입력_기본자료!$G$2:$G$1001,$AB34),IF(INDEX(입력_기본자료!$G$2:$G$1001,$AB34)&lt;1000000,INDEX(입력_기본자료!$G$2:$G$1001,$AB34),IF(AND(INDEX(입력_기본자료!$G$2:$G$1001,$AB34)&gt;=10000101,INT(MOD(INDEX(입력_기본자료!$G$2:$G$1001,$AB34),10000)/100)&gt;=1,INT(MOD(INDEX(입력_기본자료!$G$2:$G$1001,$AB34),10000)/100)&lt;=12,MOD(INDEX(입력_기본자료!$G$2:$G$1001,$AB34),100)&gt;=1,MOD(INDEX(입력_기본자료!$G$2:$G$1001,$AB34),100)&lt;=31),DATE(INT(INDEX(입력_기본자료!$G$2:$G$1001,$AB34)/10000),INT(MOD(INDEX(입력_기본자료!$G$2:$G$1001,$AB34),10000)/100),MOD(INDEX(입력_기본자료!$G$2:$G$1001,$AB34),100)),INDEX(입력_기본자료!$G$2:$G$1001,$AB34)&amp;"")))))</f>
        <v/>
      </c>
      <c r="J34" s="10">
        <f>IF($AB34="","",IF(INDEX(입력_기본자료!$H$2:$H$1001,$AB34)="","",INDEX(입력_기본자료!$H$2:$H$1001,$AB34)))</f>
        <v/>
      </c>
      <c r="K34" s="10">
        <f>IF($AB34="","",IF(INDEX(입력_기본자료!$I$2:$I$1001,$AB34)="","",INDEX(입력_기본자료!$I$2:$I$1001,$AB34)))</f>
        <v/>
      </c>
      <c r="L34" s="10">
        <f>IF($AB34="","",IF(INDEX(입력_기본자료!$A$2:$A$1001,$AB34)="","",INDEX(입력_기본자료!$A$2:$A$1001,$AB34)))</f>
        <v/>
      </c>
      <c r="M34" s="15" t="n"/>
      <c r="N34" s="10">
        <f>IF($B34="","",IF(AND($U34="파견중",$Q34&lt;&gt;""),$Q34,IF(AND($AD34&lt;&gt;"",LEFT($AD34,1)&lt;&gt;"⚠"),LEFT($AD34,FIND(" ",$AD34)-1),IF($H34="","",IF(RIGHT($H34,2)="병원",$H34,$H34&amp;"병원")))))</f>
        <v/>
      </c>
      <c r="O34" s="10">
        <f>IF($B34="","",IF(AND($U34="파견중",$Q34&lt;&gt;""),IF($R34&lt;&gt;"",$R34,"파견과 미입력"),IF(AND($AD34&lt;&gt;"",LEFT($AD34,1)&lt;&gt;"⚠"),MID($AD34,FIND(" ",$AD34)+1,60),IF($F34="","",IF($F34="인턴","수련교육부(인턴)",$F34)))))</f>
        <v/>
      </c>
      <c r="P34" s="10">
        <f>IF($B34="","",IF($AK34&lt;&gt;"",IF(AND(TODAY()&gt;=INDEX(입력_파견수련계획!$AB$4:$AB$803,$AK34),OR(NOT(ISNUMBER(INDEX(입력_파견수련계획!$AC$4:$AC$803,$AK34))),TODAY()&lt;=INDEX(입력_파견수련계획!$AC$4:$AC$803,$AK34))),"다기관",IF($AF34="","",INDEX(입력_파견수련계획!$T$4:$T$803,$AF34))),IF($AF34="","",INDEX(입력_파견수련계획!$T$4:$T$803,$AF34))))</f>
        <v/>
      </c>
      <c r="Q34" s="10">
        <f>IF($AF34="","",INDEX(입력_파견수련계획!$S$4:$S$803,$AF34))</f>
        <v/>
      </c>
      <c r="R34" s="10">
        <f>IF($AF34="","",INDEX(입력_파견수련계획!$U$4:$U$803,$AF34))</f>
        <v/>
      </c>
      <c r="S34" s="11">
        <f>IF($AF34="","",IF(INDEX(입력_파견수련계획!$H$4:$H$803,$AF34)="","",INDEX(입력_파견수련계획!$H$4:$H$803,$AF34)))</f>
        <v/>
      </c>
      <c r="T34" s="11">
        <f>IF($AF34="","",IF(INDEX(입력_파견수련계획!$I$4:$I$803,$AF34)="","",INDEX(입력_파견수련계획!$I$4:$I$803,$AF34)))</f>
        <v/>
      </c>
      <c r="U34" s="10">
        <f>IF($AF34="","",INDEX(입력_파견수련계획!$X$4:$X$803,$AF34))</f>
        <v/>
      </c>
      <c r="V34" s="17">
        <f>IF($AF34="","",INDEX(입력_파견수련계획!$V$4:$V$803,$AF34))</f>
        <v/>
      </c>
      <c r="W34" s="17">
        <f>IF(AND($U34="파견중",$T34&lt;&gt;""),$T34-TODAY(),"")</f>
        <v/>
      </c>
      <c r="X34" s="17">
        <f>IF(OR($B34="",TRIM($J34&amp;"")=""),"",SUMPRODUCT((입력_파견수련계획!$Q$4:$Q$803=TRIM($J34&amp;""))*입력_파견수련계획!$W$4:$W$803))</f>
        <v/>
      </c>
      <c r="Y34" s="10">
        <f>IF($B34="","",IF($AG34="","",IF(IF(TRIM($J34&amp;"")="",0,SUMPRODUCT((입력_파견수련계획!$Q$4:$Q$803=TRIM($J34&amp;""))*입력_파견수련계획!$AD$4:$AD$803))&gt;0,$AE34,IF(AND(N($X34)&lt;=0,$AQ34=""),$AG34,IF($AH34+$AI34=DAY(EOMONTH(출력_요약!$B$3,0)),IF(AND($AH34&gt;=출력_요약!$E$3,$AI34&lt;출력_요약!$E$3),"서울병원",IF(AND($AI34&gt;=출력_요약!$E$3,$AH34&lt;출력_요약!$E$3),"구리병원","⚠15일 판정불가(서울 "&amp;$AH34&amp;"일/구리 "&amp;$AI34&amp;"일)")),IF($AJ34="",$AE34,IF(INDEX(입력_파견수련계획!$T$4:$T$803,$AJ34)="통합수련",INDEX(입력_파견수련계획!$S$4:$S$803,$AJ34),$AE34)))))))</f>
        <v/>
      </c>
      <c r="Z34" s="20">
        <f>IF($B34="","",IF($AB34="","기본자료에 없는 사번",IF(COUNTIF($B$2:$B$401,$B34)&gt;1,"중복 사번",IF($AE34="","소속(입사장소) 입력",IF(IF(TRIM($J34&amp;"")="",0,SUMPRODUCT((입력_파견수련계획!$Q$4:$Q$803=TRIM($J34&amp;""))*(입력_파견수련계획!$AA$4:$AA$803&lt;&gt;"")))&gt;0,"파견수련계획 입력오류 확인",IF(LEFT($Y34,1)="⚠","서울·구리 15일 판정 불가(양쪽 모두 이상/미만)",IF(IF($AC34="",0,N(INDEX(입력_인턴근무계획!$T$3:$T$402,$AC34)))&gt;0,"인턴계획 입력오류 확인",IF(AND($AQ34&lt;&gt;"",$AG34&lt;&gt;"구리병원",IF(TRIM($J34&amp;"")="",0,SUMPRODUCT((입력_파견수련계획!$Q$4:$Q$803=TRIM($J34&amp;""))*(입력_파견수련계획!$S$4:$S$803="구리병원")*입력_파견수련계획!$W$4:$W$803))=0),"구리 근무자명단에만 있음(파견수련계획 확인)",IF(AND($AC34&lt;&gt;"",$U34&lt;&gt;"파견중",$N34&lt;&gt;$AE34),"인턴 타지역 근무: 파견 여부 확인","정상")))))))))</f>
        <v/>
      </c>
      <c r="AA34" s="5" t="n"/>
      <c r="AB34" s="10">
        <f>IF($B34="","",IFERROR(MATCH($B34,입력_기본자료!$B$2:$B$1001,0),IFERROR(MATCH($B34&amp;"",입력_기본자료!$B$2:$B$1001,0),IFERROR(MATCH(VALUE($B34),입력_기본자료!$B$2:$B$1001,0),""))))</f>
        <v/>
      </c>
      <c r="AC34" s="10">
        <f>IF($B34="","",IFERROR(MATCH($B34,입력_인턴근무계획!$D$3:$D$402,0),IFERROR(MATCH($B34&amp;"",입력_인턴근무계획!$D$3:$D$402,0),IFERROR(MATCH(VALUE($B34),입력_인턴근무계획!$D$3:$D$402,0),""))))</f>
        <v/>
      </c>
      <c r="AD34" s="10">
        <f>IF(OR($AC34="",출력_인턴현황!$G$3=""),"",INDEX(입력_인턴근무계획!$M$3:$R$402,$AC34,출력_인턴현황!$G$3)&amp;"")</f>
        <v/>
      </c>
      <c r="AE34" s="10">
        <f>IF($B34="","",IF($M34&lt;&gt;"",$M34,IF(IF($AQ34="",FALSE,INDEX(출력_구리근무자!$J$6:$J$305,$AQ34)="구리독자"),"구리병원",IF($AF34&lt;&gt;"",IF(LEFT(INDEX(입력_파견수련계획!$R$4:$R$803,$AF34),1)&lt;&gt;"⚠",INDEX(입력_파견수련계획!$R$4:$R$803,$AF34),IF($H34="","",IF(RIGHT($H34,2)="병원",$H34,$H34&amp;"병원"))),IF($H34="","",IF(RIGHT($H34,2)="병원",$H34,$H34&amp;"병원"))))))</f>
        <v/>
      </c>
      <c r="AF34" s="10">
        <f>IF(OR($B34="",TRIM($J34&amp;"")=""),"",IFERROR(MATCH(TRIM($J34&amp;"")&amp;"|파견중",입력_파견수련계획!$Y$4:$Y$803,0),IFERROR(MATCH(TRIM($J34&amp;"")&amp;"|파견예정",입력_파견수련계획!$Y$4:$Y$803,0),IFERROR(MATCH(TRIM($J34&amp;"")&amp;"|파견종료",입력_파견수련계획!$Y$4:$Y$803,0),""))))</f>
        <v/>
      </c>
      <c r="AG34" s="10">
        <f>IF($B34="","",IF(AND(IF(OR($AC34="",출력_인턴현황!$K$2=""),"",INDEX(입력_인턴근무계획!$M$3:$R$402,$AC34,출력_인턴현황!$K$2)&amp;"")&lt;&gt;"",LEFT(IF(OR($AC34="",출력_인턴현황!$K$2=""),"",INDEX(입력_인턴근무계획!$M$3:$R$402,$AC34,출력_인턴현황!$K$2)&amp;""),1)&lt;&gt;"⚠"),LEFT(IF(OR($AC34="",출력_인턴현황!$K$2=""),"",INDEX(입력_인턴근무계획!$M$3:$R$402,$AC34,출력_인턴현황!$K$2)&amp;""),FIND(" ",IF(OR($AC34="",출력_인턴현황!$K$2=""),"",INDEX(입력_인턴근무계획!$M$3:$R$402,$AC34,출력_인턴현황!$K$2)&amp;""))-1),$AE34))</f>
        <v/>
      </c>
      <c r="AH34" s="17">
        <f>IF($B34="","",IF($AQ34&lt;&gt;"",MAX(0,DAY(EOMONTH(출력_요약!$B$3,0))-N($AR34)),IF(TRIM($J34&amp;"")="",0,SUMPRODUCT((입력_파견수련계획!$Q$4:$Q$803=TRIM($J34&amp;""))*(입력_파견수련계획!$S$4:$S$803="서울병원")*입력_파견수련계획!$W$4:$W$803))+IF($AG34="서울병원",MAX(0,DAY(EOMONTH(출력_요약!$B$3,0))-N($X34)),0)))</f>
        <v/>
      </c>
      <c r="AI34" s="17">
        <f>IF($B34="","",IF($AQ34&lt;&gt;"",N($AR34),IF(TRIM($J34&amp;"")="",0,SUMPRODUCT((입력_파견수련계획!$Q$4:$Q$803=TRIM($J34&amp;""))*(입력_파견수련계획!$S$4:$S$803="구리병원")*입력_파견수련계획!$W$4:$W$803))+IF($AG34="구리병원",MAX(0,DAY(EOMONTH(출력_요약!$B$3,0))-N($X34)),0)))</f>
        <v/>
      </c>
      <c r="AJ34" s="10">
        <f>IF(OR($B34="",TRIM($J34&amp;"")=""),"",IFERROR(MATCH(TRIM($J34&amp;"")&amp;"|월",입력_파견수련계획!$Z$4:$Z$803,0),""))</f>
        <v/>
      </c>
      <c r="AK34" s="10">
        <f>IF(OR($B34="",TRIM($J34&amp;"")=""),"",IFERROR(MATCH(TRIM($J34&amp;"")&amp;"|다기관",입력_파견수련계획!$AE$4:$AE$803,0),""))</f>
        <v/>
      </c>
      <c r="AL34" s="10">
        <f>IF($AK34="","","다기관 "&amp;TEXT(INDEX(입력_파견수련계획!$AB$4:$AB$803,$AK34),"yyyy-mm-dd")&amp;"~"&amp;IF(ISNUMBER(INDEX(입력_파견수련계획!$AC$4:$AC$803,$AK34)),TEXT(INDEX(입력_파견수련계획!$AC$4:$AC$803,$AK34),"yyyy-mm-dd"),""))</f>
        <v/>
      </c>
      <c r="AM34" s="10">
        <f>IF($Y34="서울병원",COUNTIF($Y$2:$Y34,"서울병원"),"")</f>
        <v/>
      </c>
      <c r="AN34" s="10">
        <f>IF(LEFT($Y34,1)="⚠",COUNTIF($Y$2:$Y34,"⚠*"),"")</f>
        <v/>
      </c>
      <c r="AO34" s="10">
        <f>IF(OR($B34="",$Y34=""),"",IF(IF(TRIM($J34&amp;"")="",0,SUMPRODUCT((입력_파견수련계획!$Q$4:$Q$803=TRIM($J34&amp;""))*입력_파견수련계획!$AD$4:$AD$803))&gt;0,"다기관 기간 → 소속병원 지급",IF(AND(N($X34)&lt;=0,$AQ34=""),"파견 없음 → 그 달 근무병원 지급",IF($AH34+$AI34=DAY(EOMONTH(출력_요약!$B$3,0)),"서울 "&amp;$AH34&amp;"일 / 구리 "&amp;$AI34&amp;"일"&amp;IF($AQ34&lt;&gt;""," (구리 근무자명단 반영)","")&amp;" → 15일 이상 근무 병원 지급","타 병원 포함 → "&amp;IF($AJ34="","소속",INDEX(입력_파견수련계획!$T$4:$T$803,$AJ34))&amp;" 규칙"))))</f>
        <v/>
      </c>
      <c r="AP34" s="10">
        <f>IF($B34="","",$C34&amp;"|"&amp;$F34)</f>
        <v/>
      </c>
      <c r="AQ34" s="10">
        <f>IF($B34="","",IFERROR(MATCH(ROW()-1,출력_구리근무자!$K$6:$K$305,0),""))</f>
        <v/>
      </c>
      <c r="AR34" s="10">
        <f>IF($AQ34="","",INDEX(출력_구리근무자!$H$6:$H$305,$AQ34))</f>
        <v/>
      </c>
    </row>
    <row r="35">
      <c r="A35" s="10">
        <f>IF(B35="","",ROW()-1)</f>
        <v/>
      </c>
      <c r="B35" s="19" t="n"/>
      <c r="C35" s="10">
        <f>IF($AB35="","",IF(INDEX(입력_기본자료!$C$2:$C$1001,$AB35)="","",INDEX(입력_기본자료!$C$2:$C$1001,$AB35)))</f>
        <v/>
      </c>
      <c r="D35" s="10">
        <f>IF($AB35="","",IF(INDEX(입력_기본자료!$J$2:$J$1001,$AB35)="","",INDEX(입력_기본자료!$J$2:$J$1001,$AB35)))</f>
        <v/>
      </c>
      <c r="E35" s="11">
        <f>IF($AB35="","",IF(INDEX(입력_기본자료!$K$2:$K$1001,$AB35)="","",IF(NOT(ISNUMBER(INDEX(입력_기본자료!$K$2:$K$1001,$AB35))),INDEX(입력_기본자료!$K$2:$K$1001,$AB35),IF(INDEX(입력_기본자료!$K$2:$K$1001,$AB35)&lt;1000000,INDEX(입력_기본자료!$K$2:$K$1001,$AB35),IF(AND(INDEX(입력_기본자료!$K$2:$K$1001,$AB35)&gt;=10000101,INT(MOD(INDEX(입력_기본자료!$K$2:$K$1001,$AB35),10000)/100)&gt;=1,INT(MOD(INDEX(입력_기본자료!$K$2:$K$1001,$AB35),10000)/100)&lt;=12,MOD(INDEX(입력_기본자료!$K$2:$K$1001,$AB35),100)&gt;=1,MOD(INDEX(입력_기본자료!$K$2:$K$1001,$AB35),100)&lt;=31),DATE(INT(INDEX(입력_기본자료!$K$2:$K$1001,$AB35)/10000),INT(MOD(INDEX(입력_기본자료!$K$2:$K$1001,$AB35),10000)/100),MOD(INDEX(입력_기본자료!$K$2:$K$1001,$AB35),100)),INDEX(입력_기본자료!$K$2:$K$1001,$AB35)&amp;"")))))</f>
        <v/>
      </c>
      <c r="F35" s="10">
        <f>IF($AB35="","",IF(INDEX(입력_기본자료!$D$2:$D$1001,$AB35)="","",INDEX(입력_기본자료!$D$2:$D$1001,$AB35)))</f>
        <v/>
      </c>
      <c r="G35" s="10">
        <f>IF($AB35="","",IF(INDEX(입력_기본자료!$E$2:$E$1001,$AB35)="","",INDEX(입력_기본자료!$E$2:$E$1001,$AB35)))</f>
        <v/>
      </c>
      <c r="H35" s="10">
        <f>IF($AB35="","",IF(INDEX(입력_기본자료!$F$2:$F$1001,$AB35)="","",INDEX(입력_기본자료!$F$2:$F$1001,$AB35)))</f>
        <v/>
      </c>
      <c r="I35" s="11">
        <f>IF($AB35="","",IF(INDEX(입력_기본자료!$G$2:$G$1001,$AB35)="","",IF(NOT(ISNUMBER(INDEX(입력_기본자료!$G$2:$G$1001,$AB35))),INDEX(입력_기본자료!$G$2:$G$1001,$AB35),IF(INDEX(입력_기본자료!$G$2:$G$1001,$AB35)&lt;1000000,INDEX(입력_기본자료!$G$2:$G$1001,$AB35),IF(AND(INDEX(입력_기본자료!$G$2:$G$1001,$AB35)&gt;=10000101,INT(MOD(INDEX(입력_기본자료!$G$2:$G$1001,$AB35),10000)/100)&gt;=1,INT(MOD(INDEX(입력_기본자료!$G$2:$G$1001,$AB35),10000)/100)&lt;=12,MOD(INDEX(입력_기본자료!$G$2:$G$1001,$AB35),100)&gt;=1,MOD(INDEX(입력_기본자료!$G$2:$G$1001,$AB35),100)&lt;=31),DATE(INT(INDEX(입력_기본자료!$G$2:$G$1001,$AB35)/10000),INT(MOD(INDEX(입력_기본자료!$G$2:$G$1001,$AB35),10000)/100),MOD(INDEX(입력_기본자료!$G$2:$G$1001,$AB35),100)),INDEX(입력_기본자료!$G$2:$G$1001,$AB35)&amp;"")))))</f>
        <v/>
      </c>
      <c r="J35" s="10">
        <f>IF($AB35="","",IF(INDEX(입력_기본자료!$H$2:$H$1001,$AB35)="","",INDEX(입력_기본자료!$H$2:$H$1001,$AB35)))</f>
        <v/>
      </c>
      <c r="K35" s="10">
        <f>IF($AB35="","",IF(INDEX(입력_기본자료!$I$2:$I$1001,$AB35)="","",INDEX(입력_기본자료!$I$2:$I$1001,$AB35)))</f>
        <v/>
      </c>
      <c r="L35" s="10">
        <f>IF($AB35="","",IF(INDEX(입력_기본자료!$A$2:$A$1001,$AB35)="","",INDEX(입력_기본자료!$A$2:$A$1001,$AB35)))</f>
        <v/>
      </c>
      <c r="M35" s="15" t="n"/>
      <c r="N35" s="10">
        <f>IF($B35="","",IF(AND($U35="파견중",$Q35&lt;&gt;""),$Q35,IF(AND($AD35&lt;&gt;"",LEFT($AD35,1)&lt;&gt;"⚠"),LEFT($AD35,FIND(" ",$AD35)-1),IF($H35="","",IF(RIGHT($H35,2)="병원",$H35,$H35&amp;"병원")))))</f>
        <v/>
      </c>
      <c r="O35" s="10">
        <f>IF($B35="","",IF(AND($U35="파견중",$Q35&lt;&gt;""),IF($R35&lt;&gt;"",$R35,"파견과 미입력"),IF(AND($AD35&lt;&gt;"",LEFT($AD35,1)&lt;&gt;"⚠"),MID($AD35,FIND(" ",$AD35)+1,60),IF($F35="","",IF($F35="인턴","수련교육부(인턴)",$F35)))))</f>
        <v/>
      </c>
      <c r="P35" s="10">
        <f>IF($B35="","",IF($AK35&lt;&gt;"",IF(AND(TODAY()&gt;=INDEX(입력_파견수련계획!$AB$4:$AB$803,$AK35),OR(NOT(ISNUMBER(INDEX(입력_파견수련계획!$AC$4:$AC$803,$AK35))),TODAY()&lt;=INDEX(입력_파견수련계획!$AC$4:$AC$803,$AK35))),"다기관",IF($AF35="","",INDEX(입력_파견수련계획!$T$4:$T$803,$AF35))),IF($AF35="","",INDEX(입력_파견수련계획!$T$4:$T$803,$AF35))))</f>
        <v/>
      </c>
      <c r="Q35" s="10">
        <f>IF($AF35="","",INDEX(입력_파견수련계획!$S$4:$S$803,$AF35))</f>
        <v/>
      </c>
      <c r="R35" s="10">
        <f>IF($AF35="","",INDEX(입력_파견수련계획!$U$4:$U$803,$AF35))</f>
        <v/>
      </c>
      <c r="S35" s="11">
        <f>IF($AF35="","",IF(INDEX(입력_파견수련계획!$H$4:$H$803,$AF35)="","",INDEX(입력_파견수련계획!$H$4:$H$803,$AF35)))</f>
        <v/>
      </c>
      <c r="T35" s="11">
        <f>IF($AF35="","",IF(INDEX(입력_파견수련계획!$I$4:$I$803,$AF35)="","",INDEX(입력_파견수련계획!$I$4:$I$803,$AF35)))</f>
        <v/>
      </c>
      <c r="U35" s="10">
        <f>IF($AF35="","",INDEX(입력_파견수련계획!$X$4:$X$803,$AF35))</f>
        <v/>
      </c>
      <c r="V35" s="17">
        <f>IF($AF35="","",INDEX(입력_파견수련계획!$V$4:$V$803,$AF35))</f>
        <v/>
      </c>
      <c r="W35" s="17">
        <f>IF(AND($U35="파견중",$T35&lt;&gt;""),$T35-TODAY(),"")</f>
        <v/>
      </c>
      <c r="X35" s="17">
        <f>IF(OR($B35="",TRIM($J35&amp;"")=""),"",SUMPRODUCT((입력_파견수련계획!$Q$4:$Q$803=TRIM($J35&amp;""))*입력_파견수련계획!$W$4:$W$803))</f>
        <v/>
      </c>
      <c r="Y35" s="10">
        <f>IF($B35="","",IF($AG35="","",IF(IF(TRIM($J35&amp;"")="",0,SUMPRODUCT((입력_파견수련계획!$Q$4:$Q$803=TRIM($J35&amp;""))*입력_파견수련계획!$AD$4:$AD$803))&gt;0,$AE35,IF(AND(N($X35)&lt;=0,$AQ35=""),$AG35,IF($AH35+$AI35=DAY(EOMONTH(출력_요약!$B$3,0)),IF(AND($AH35&gt;=출력_요약!$E$3,$AI35&lt;출력_요약!$E$3),"서울병원",IF(AND($AI35&gt;=출력_요약!$E$3,$AH35&lt;출력_요약!$E$3),"구리병원","⚠15일 판정불가(서울 "&amp;$AH35&amp;"일/구리 "&amp;$AI35&amp;"일)")),IF($AJ35="",$AE35,IF(INDEX(입력_파견수련계획!$T$4:$T$803,$AJ35)="통합수련",INDEX(입력_파견수련계획!$S$4:$S$803,$AJ35),$AE35)))))))</f>
        <v/>
      </c>
      <c r="Z35" s="20">
        <f>IF($B35="","",IF($AB35="","기본자료에 없는 사번",IF(COUNTIF($B$2:$B$401,$B35)&gt;1,"중복 사번",IF($AE35="","소속(입사장소) 입력",IF(IF(TRIM($J35&amp;"")="",0,SUMPRODUCT((입력_파견수련계획!$Q$4:$Q$803=TRIM($J35&amp;""))*(입력_파견수련계획!$AA$4:$AA$803&lt;&gt;"")))&gt;0,"파견수련계획 입력오류 확인",IF(LEFT($Y35,1)="⚠","서울·구리 15일 판정 불가(양쪽 모두 이상/미만)",IF(IF($AC35="",0,N(INDEX(입력_인턴근무계획!$T$3:$T$402,$AC35)))&gt;0,"인턴계획 입력오류 확인",IF(AND($AQ35&lt;&gt;"",$AG35&lt;&gt;"구리병원",IF(TRIM($J35&amp;"")="",0,SUMPRODUCT((입력_파견수련계획!$Q$4:$Q$803=TRIM($J35&amp;""))*(입력_파견수련계획!$S$4:$S$803="구리병원")*입력_파견수련계획!$W$4:$W$803))=0),"구리 근무자명단에만 있음(파견수련계획 확인)",IF(AND($AC35&lt;&gt;"",$U35&lt;&gt;"파견중",$N35&lt;&gt;$AE35),"인턴 타지역 근무: 파견 여부 확인","정상")))))))))</f>
        <v/>
      </c>
      <c r="AA35" s="5" t="n"/>
      <c r="AB35" s="10">
        <f>IF($B35="","",IFERROR(MATCH($B35,입력_기본자료!$B$2:$B$1001,0),IFERROR(MATCH($B35&amp;"",입력_기본자료!$B$2:$B$1001,0),IFERROR(MATCH(VALUE($B35),입력_기본자료!$B$2:$B$1001,0),""))))</f>
        <v/>
      </c>
      <c r="AC35" s="10">
        <f>IF($B35="","",IFERROR(MATCH($B35,입력_인턴근무계획!$D$3:$D$402,0),IFERROR(MATCH($B35&amp;"",입력_인턴근무계획!$D$3:$D$402,0),IFERROR(MATCH(VALUE($B35),입력_인턴근무계획!$D$3:$D$402,0),""))))</f>
        <v/>
      </c>
      <c r="AD35" s="10">
        <f>IF(OR($AC35="",출력_인턴현황!$G$3=""),"",INDEX(입력_인턴근무계획!$M$3:$R$402,$AC35,출력_인턴현황!$G$3)&amp;"")</f>
        <v/>
      </c>
      <c r="AE35" s="10">
        <f>IF($B35="","",IF($M35&lt;&gt;"",$M35,IF(IF($AQ35="",FALSE,INDEX(출력_구리근무자!$J$6:$J$305,$AQ35)="구리독자"),"구리병원",IF($AF35&lt;&gt;"",IF(LEFT(INDEX(입력_파견수련계획!$R$4:$R$803,$AF35),1)&lt;&gt;"⚠",INDEX(입력_파견수련계획!$R$4:$R$803,$AF35),IF($H35="","",IF(RIGHT($H35,2)="병원",$H35,$H35&amp;"병원"))),IF($H35="","",IF(RIGHT($H35,2)="병원",$H35,$H35&amp;"병원"))))))</f>
        <v/>
      </c>
      <c r="AF35" s="10">
        <f>IF(OR($B35="",TRIM($J35&amp;"")=""),"",IFERROR(MATCH(TRIM($J35&amp;"")&amp;"|파견중",입력_파견수련계획!$Y$4:$Y$803,0),IFERROR(MATCH(TRIM($J35&amp;"")&amp;"|파견예정",입력_파견수련계획!$Y$4:$Y$803,0),IFERROR(MATCH(TRIM($J35&amp;"")&amp;"|파견종료",입력_파견수련계획!$Y$4:$Y$803,0),""))))</f>
        <v/>
      </c>
      <c r="AG35" s="10">
        <f>IF($B35="","",IF(AND(IF(OR($AC35="",출력_인턴현황!$K$2=""),"",INDEX(입력_인턴근무계획!$M$3:$R$402,$AC35,출력_인턴현황!$K$2)&amp;"")&lt;&gt;"",LEFT(IF(OR($AC35="",출력_인턴현황!$K$2=""),"",INDEX(입력_인턴근무계획!$M$3:$R$402,$AC35,출력_인턴현황!$K$2)&amp;""),1)&lt;&gt;"⚠"),LEFT(IF(OR($AC35="",출력_인턴현황!$K$2=""),"",INDEX(입력_인턴근무계획!$M$3:$R$402,$AC35,출력_인턴현황!$K$2)&amp;""),FIND(" ",IF(OR($AC35="",출력_인턴현황!$K$2=""),"",INDEX(입력_인턴근무계획!$M$3:$R$402,$AC35,출력_인턴현황!$K$2)&amp;""))-1),$AE35))</f>
        <v/>
      </c>
      <c r="AH35" s="17">
        <f>IF($B35="","",IF($AQ35&lt;&gt;"",MAX(0,DAY(EOMONTH(출력_요약!$B$3,0))-N($AR35)),IF(TRIM($J35&amp;"")="",0,SUMPRODUCT((입력_파견수련계획!$Q$4:$Q$803=TRIM($J35&amp;""))*(입력_파견수련계획!$S$4:$S$803="서울병원")*입력_파견수련계획!$W$4:$W$803))+IF($AG35="서울병원",MAX(0,DAY(EOMONTH(출력_요약!$B$3,0))-N($X35)),0)))</f>
        <v/>
      </c>
      <c r="AI35" s="17">
        <f>IF($B35="","",IF($AQ35&lt;&gt;"",N($AR35),IF(TRIM($J35&amp;"")="",0,SUMPRODUCT((입력_파견수련계획!$Q$4:$Q$803=TRIM($J35&amp;""))*(입력_파견수련계획!$S$4:$S$803="구리병원")*입력_파견수련계획!$W$4:$W$803))+IF($AG35="구리병원",MAX(0,DAY(EOMONTH(출력_요약!$B$3,0))-N($X35)),0)))</f>
        <v/>
      </c>
      <c r="AJ35" s="10">
        <f>IF(OR($B35="",TRIM($J35&amp;"")=""),"",IFERROR(MATCH(TRIM($J35&amp;"")&amp;"|월",입력_파견수련계획!$Z$4:$Z$803,0),""))</f>
        <v/>
      </c>
      <c r="AK35" s="10">
        <f>IF(OR($B35="",TRIM($J35&amp;"")=""),"",IFERROR(MATCH(TRIM($J35&amp;"")&amp;"|다기관",입력_파견수련계획!$AE$4:$AE$803,0),""))</f>
        <v/>
      </c>
      <c r="AL35" s="10">
        <f>IF($AK35="","","다기관 "&amp;TEXT(INDEX(입력_파견수련계획!$AB$4:$AB$803,$AK35),"yyyy-mm-dd")&amp;"~"&amp;IF(ISNUMBER(INDEX(입력_파견수련계획!$AC$4:$AC$803,$AK35)),TEXT(INDEX(입력_파견수련계획!$AC$4:$AC$803,$AK35),"yyyy-mm-dd"),""))</f>
        <v/>
      </c>
      <c r="AM35" s="10">
        <f>IF($Y35="서울병원",COUNTIF($Y$2:$Y35,"서울병원"),"")</f>
        <v/>
      </c>
      <c r="AN35" s="10">
        <f>IF(LEFT($Y35,1)="⚠",COUNTIF($Y$2:$Y35,"⚠*"),"")</f>
        <v/>
      </c>
      <c r="AO35" s="10">
        <f>IF(OR($B35="",$Y35=""),"",IF(IF(TRIM($J35&amp;"")="",0,SUMPRODUCT((입력_파견수련계획!$Q$4:$Q$803=TRIM($J35&amp;""))*입력_파견수련계획!$AD$4:$AD$803))&gt;0,"다기관 기간 → 소속병원 지급",IF(AND(N($X35)&lt;=0,$AQ35=""),"파견 없음 → 그 달 근무병원 지급",IF($AH35+$AI35=DAY(EOMONTH(출력_요약!$B$3,0)),"서울 "&amp;$AH35&amp;"일 / 구리 "&amp;$AI35&amp;"일"&amp;IF($AQ35&lt;&gt;""," (구리 근무자명단 반영)","")&amp;" → 15일 이상 근무 병원 지급","타 병원 포함 → "&amp;IF($AJ35="","소속",INDEX(입력_파견수련계획!$T$4:$T$803,$AJ35))&amp;" 규칙"))))</f>
        <v/>
      </c>
      <c r="AP35" s="10">
        <f>IF($B35="","",$C35&amp;"|"&amp;$F35)</f>
        <v/>
      </c>
      <c r="AQ35" s="10">
        <f>IF($B35="","",IFERROR(MATCH(ROW()-1,출력_구리근무자!$K$6:$K$305,0),""))</f>
        <v/>
      </c>
      <c r="AR35" s="10">
        <f>IF($AQ35="","",INDEX(출력_구리근무자!$H$6:$H$305,$AQ35))</f>
        <v/>
      </c>
    </row>
    <row r="36">
      <c r="A36" s="10">
        <f>IF(B36="","",ROW()-1)</f>
        <v/>
      </c>
      <c r="B36" s="19" t="n"/>
      <c r="C36" s="10">
        <f>IF($AB36="","",IF(INDEX(입력_기본자료!$C$2:$C$1001,$AB36)="","",INDEX(입력_기본자료!$C$2:$C$1001,$AB36)))</f>
        <v/>
      </c>
      <c r="D36" s="10">
        <f>IF($AB36="","",IF(INDEX(입력_기본자료!$J$2:$J$1001,$AB36)="","",INDEX(입력_기본자료!$J$2:$J$1001,$AB36)))</f>
        <v/>
      </c>
      <c r="E36" s="11">
        <f>IF($AB36="","",IF(INDEX(입력_기본자료!$K$2:$K$1001,$AB36)="","",IF(NOT(ISNUMBER(INDEX(입력_기본자료!$K$2:$K$1001,$AB36))),INDEX(입력_기본자료!$K$2:$K$1001,$AB36),IF(INDEX(입력_기본자료!$K$2:$K$1001,$AB36)&lt;1000000,INDEX(입력_기본자료!$K$2:$K$1001,$AB36),IF(AND(INDEX(입력_기본자료!$K$2:$K$1001,$AB36)&gt;=10000101,INT(MOD(INDEX(입력_기본자료!$K$2:$K$1001,$AB36),10000)/100)&gt;=1,INT(MOD(INDEX(입력_기본자료!$K$2:$K$1001,$AB36),10000)/100)&lt;=12,MOD(INDEX(입력_기본자료!$K$2:$K$1001,$AB36),100)&gt;=1,MOD(INDEX(입력_기본자료!$K$2:$K$1001,$AB36),100)&lt;=31),DATE(INT(INDEX(입력_기본자료!$K$2:$K$1001,$AB36)/10000),INT(MOD(INDEX(입력_기본자료!$K$2:$K$1001,$AB36),10000)/100),MOD(INDEX(입력_기본자료!$K$2:$K$1001,$AB36),100)),INDEX(입력_기본자료!$K$2:$K$1001,$AB36)&amp;"")))))</f>
        <v/>
      </c>
      <c r="F36" s="10">
        <f>IF($AB36="","",IF(INDEX(입력_기본자료!$D$2:$D$1001,$AB36)="","",INDEX(입력_기본자료!$D$2:$D$1001,$AB36)))</f>
        <v/>
      </c>
      <c r="G36" s="10">
        <f>IF($AB36="","",IF(INDEX(입력_기본자료!$E$2:$E$1001,$AB36)="","",INDEX(입력_기본자료!$E$2:$E$1001,$AB36)))</f>
        <v/>
      </c>
      <c r="H36" s="10">
        <f>IF($AB36="","",IF(INDEX(입력_기본자료!$F$2:$F$1001,$AB36)="","",INDEX(입력_기본자료!$F$2:$F$1001,$AB36)))</f>
        <v/>
      </c>
      <c r="I36" s="11">
        <f>IF($AB36="","",IF(INDEX(입력_기본자료!$G$2:$G$1001,$AB36)="","",IF(NOT(ISNUMBER(INDEX(입력_기본자료!$G$2:$G$1001,$AB36))),INDEX(입력_기본자료!$G$2:$G$1001,$AB36),IF(INDEX(입력_기본자료!$G$2:$G$1001,$AB36)&lt;1000000,INDEX(입력_기본자료!$G$2:$G$1001,$AB36),IF(AND(INDEX(입력_기본자료!$G$2:$G$1001,$AB36)&gt;=10000101,INT(MOD(INDEX(입력_기본자료!$G$2:$G$1001,$AB36),10000)/100)&gt;=1,INT(MOD(INDEX(입력_기본자료!$G$2:$G$1001,$AB36),10000)/100)&lt;=12,MOD(INDEX(입력_기본자료!$G$2:$G$1001,$AB36),100)&gt;=1,MOD(INDEX(입력_기본자료!$G$2:$G$1001,$AB36),100)&lt;=31),DATE(INT(INDEX(입력_기본자료!$G$2:$G$1001,$AB36)/10000),INT(MOD(INDEX(입력_기본자료!$G$2:$G$1001,$AB36),10000)/100),MOD(INDEX(입력_기본자료!$G$2:$G$1001,$AB36),100)),INDEX(입력_기본자료!$G$2:$G$1001,$AB36)&amp;"")))))</f>
        <v/>
      </c>
      <c r="J36" s="10">
        <f>IF($AB36="","",IF(INDEX(입력_기본자료!$H$2:$H$1001,$AB36)="","",INDEX(입력_기본자료!$H$2:$H$1001,$AB36)))</f>
        <v/>
      </c>
      <c r="K36" s="10">
        <f>IF($AB36="","",IF(INDEX(입력_기본자료!$I$2:$I$1001,$AB36)="","",INDEX(입력_기본자료!$I$2:$I$1001,$AB36)))</f>
        <v/>
      </c>
      <c r="L36" s="10">
        <f>IF($AB36="","",IF(INDEX(입력_기본자료!$A$2:$A$1001,$AB36)="","",INDEX(입력_기본자료!$A$2:$A$1001,$AB36)))</f>
        <v/>
      </c>
      <c r="M36" s="15" t="n"/>
      <c r="N36" s="10">
        <f>IF($B36="","",IF(AND($U36="파견중",$Q36&lt;&gt;""),$Q36,IF(AND($AD36&lt;&gt;"",LEFT($AD36,1)&lt;&gt;"⚠"),LEFT($AD36,FIND(" ",$AD36)-1),IF($H36="","",IF(RIGHT($H36,2)="병원",$H36,$H36&amp;"병원")))))</f>
        <v/>
      </c>
      <c r="O36" s="10">
        <f>IF($B36="","",IF(AND($U36="파견중",$Q36&lt;&gt;""),IF($R36&lt;&gt;"",$R36,"파견과 미입력"),IF(AND($AD36&lt;&gt;"",LEFT($AD36,1)&lt;&gt;"⚠"),MID($AD36,FIND(" ",$AD36)+1,60),IF($F36="","",IF($F36="인턴","수련교육부(인턴)",$F36)))))</f>
        <v/>
      </c>
      <c r="P36" s="10">
        <f>IF($B36="","",IF($AK36&lt;&gt;"",IF(AND(TODAY()&gt;=INDEX(입력_파견수련계획!$AB$4:$AB$803,$AK36),OR(NOT(ISNUMBER(INDEX(입력_파견수련계획!$AC$4:$AC$803,$AK36))),TODAY()&lt;=INDEX(입력_파견수련계획!$AC$4:$AC$803,$AK36))),"다기관",IF($AF36="","",INDEX(입력_파견수련계획!$T$4:$T$803,$AF36))),IF($AF36="","",INDEX(입력_파견수련계획!$T$4:$T$803,$AF36))))</f>
        <v/>
      </c>
      <c r="Q36" s="10">
        <f>IF($AF36="","",INDEX(입력_파견수련계획!$S$4:$S$803,$AF36))</f>
        <v/>
      </c>
      <c r="R36" s="10">
        <f>IF($AF36="","",INDEX(입력_파견수련계획!$U$4:$U$803,$AF36))</f>
        <v/>
      </c>
      <c r="S36" s="11">
        <f>IF($AF36="","",IF(INDEX(입력_파견수련계획!$H$4:$H$803,$AF36)="","",INDEX(입력_파견수련계획!$H$4:$H$803,$AF36)))</f>
        <v/>
      </c>
      <c r="T36" s="11">
        <f>IF($AF36="","",IF(INDEX(입력_파견수련계획!$I$4:$I$803,$AF36)="","",INDEX(입력_파견수련계획!$I$4:$I$803,$AF36)))</f>
        <v/>
      </c>
      <c r="U36" s="10">
        <f>IF($AF36="","",INDEX(입력_파견수련계획!$X$4:$X$803,$AF36))</f>
        <v/>
      </c>
      <c r="V36" s="17">
        <f>IF($AF36="","",INDEX(입력_파견수련계획!$V$4:$V$803,$AF36))</f>
        <v/>
      </c>
      <c r="W36" s="17">
        <f>IF(AND($U36="파견중",$T36&lt;&gt;""),$T36-TODAY(),"")</f>
        <v/>
      </c>
      <c r="X36" s="17">
        <f>IF(OR($B36="",TRIM($J36&amp;"")=""),"",SUMPRODUCT((입력_파견수련계획!$Q$4:$Q$803=TRIM($J36&amp;""))*입력_파견수련계획!$W$4:$W$803))</f>
        <v/>
      </c>
      <c r="Y36" s="10">
        <f>IF($B36="","",IF($AG36="","",IF(IF(TRIM($J36&amp;"")="",0,SUMPRODUCT((입력_파견수련계획!$Q$4:$Q$803=TRIM($J36&amp;""))*입력_파견수련계획!$AD$4:$AD$803))&gt;0,$AE36,IF(AND(N($X36)&lt;=0,$AQ36=""),$AG36,IF($AH36+$AI36=DAY(EOMONTH(출력_요약!$B$3,0)),IF(AND($AH36&gt;=출력_요약!$E$3,$AI36&lt;출력_요약!$E$3),"서울병원",IF(AND($AI36&gt;=출력_요약!$E$3,$AH36&lt;출력_요약!$E$3),"구리병원","⚠15일 판정불가(서울 "&amp;$AH36&amp;"일/구리 "&amp;$AI36&amp;"일)")),IF($AJ36="",$AE36,IF(INDEX(입력_파견수련계획!$T$4:$T$803,$AJ36)="통합수련",INDEX(입력_파견수련계획!$S$4:$S$803,$AJ36),$AE36)))))))</f>
        <v/>
      </c>
      <c r="Z36" s="20">
        <f>IF($B36="","",IF($AB36="","기본자료에 없는 사번",IF(COUNTIF($B$2:$B$401,$B36)&gt;1,"중복 사번",IF($AE36="","소속(입사장소) 입력",IF(IF(TRIM($J36&amp;"")="",0,SUMPRODUCT((입력_파견수련계획!$Q$4:$Q$803=TRIM($J36&amp;""))*(입력_파견수련계획!$AA$4:$AA$803&lt;&gt;"")))&gt;0,"파견수련계획 입력오류 확인",IF(LEFT($Y36,1)="⚠","서울·구리 15일 판정 불가(양쪽 모두 이상/미만)",IF(IF($AC36="",0,N(INDEX(입력_인턴근무계획!$T$3:$T$402,$AC36)))&gt;0,"인턴계획 입력오류 확인",IF(AND($AQ36&lt;&gt;"",$AG36&lt;&gt;"구리병원",IF(TRIM($J36&amp;"")="",0,SUMPRODUCT((입력_파견수련계획!$Q$4:$Q$803=TRIM($J36&amp;""))*(입력_파견수련계획!$S$4:$S$803="구리병원")*입력_파견수련계획!$W$4:$W$803))=0),"구리 근무자명단에만 있음(파견수련계획 확인)",IF(AND($AC36&lt;&gt;"",$U36&lt;&gt;"파견중",$N36&lt;&gt;$AE36),"인턴 타지역 근무: 파견 여부 확인","정상")))))))))</f>
        <v/>
      </c>
      <c r="AA36" s="5" t="n"/>
      <c r="AB36" s="10">
        <f>IF($B36="","",IFERROR(MATCH($B36,입력_기본자료!$B$2:$B$1001,0),IFERROR(MATCH($B36&amp;"",입력_기본자료!$B$2:$B$1001,0),IFERROR(MATCH(VALUE($B36),입력_기본자료!$B$2:$B$1001,0),""))))</f>
        <v/>
      </c>
      <c r="AC36" s="10">
        <f>IF($B36="","",IFERROR(MATCH($B36,입력_인턴근무계획!$D$3:$D$402,0),IFERROR(MATCH($B36&amp;"",입력_인턴근무계획!$D$3:$D$402,0),IFERROR(MATCH(VALUE($B36),입력_인턴근무계획!$D$3:$D$402,0),""))))</f>
        <v/>
      </c>
      <c r="AD36" s="10">
        <f>IF(OR($AC36="",출력_인턴현황!$G$3=""),"",INDEX(입력_인턴근무계획!$M$3:$R$402,$AC36,출력_인턴현황!$G$3)&amp;"")</f>
        <v/>
      </c>
      <c r="AE36" s="10">
        <f>IF($B36="","",IF($M36&lt;&gt;"",$M36,IF(IF($AQ36="",FALSE,INDEX(출력_구리근무자!$J$6:$J$305,$AQ36)="구리독자"),"구리병원",IF($AF36&lt;&gt;"",IF(LEFT(INDEX(입력_파견수련계획!$R$4:$R$803,$AF36),1)&lt;&gt;"⚠",INDEX(입력_파견수련계획!$R$4:$R$803,$AF36),IF($H36="","",IF(RIGHT($H36,2)="병원",$H36,$H36&amp;"병원"))),IF($H36="","",IF(RIGHT($H36,2)="병원",$H36,$H36&amp;"병원"))))))</f>
        <v/>
      </c>
      <c r="AF36" s="10">
        <f>IF(OR($B36="",TRIM($J36&amp;"")=""),"",IFERROR(MATCH(TRIM($J36&amp;"")&amp;"|파견중",입력_파견수련계획!$Y$4:$Y$803,0),IFERROR(MATCH(TRIM($J36&amp;"")&amp;"|파견예정",입력_파견수련계획!$Y$4:$Y$803,0),IFERROR(MATCH(TRIM($J36&amp;"")&amp;"|파견종료",입력_파견수련계획!$Y$4:$Y$803,0),""))))</f>
        <v/>
      </c>
      <c r="AG36" s="10">
        <f>IF($B36="","",IF(AND(IF(OR($AC36="",출력_인턴현황!$K$2=""),"",INDEX(입력_인턴근무계획!$M$3:$R$402,$AC36,출력_인턴현황!$K$2)&amp;"")&lt;&gt;"",LEFT(IF(OR($AC36="",출력_인턴현황!$K$2=""),"",INDEX(입력_인턴근무계획!$M$3:$R$402,$AC36,출력_인턴현황!$K$2)&amp;""),1)&lt;&gt;"⚠"),LEFT(IF(OR($AC36="",출력_인턴현황!$K$2=""),"",INDEX(입력_인턴근무계획!$M$3:$R$402,$AC36,출력_인턴현황!$K$2)&amp;""),FIND(" ",IF(OR($AC36="",출력_인턴현황!$K$2=""),"",INDEX(입력_인턴근무계획!$M$3:$R$402,$AC36,출력_인턴현황!$K$2)&amp;""))-1),$AE36))</f>
        <v/>
      </c>
      <c r="AH36" s="17">
        <f>IF($B36="","",IF($AQ36&lt;&gt;"",MAX(0,DAY(EOMONTH(출력_요약!$B$3,0))-N($AR36)),IF(TRIM($J36&amp;"")="",0,SUMPRODUCT((입력_파견수련계획!$Q$4:$Q$803=TRIM($J36&amp;""))*(입력_파견수련계획!$S$4:$S$803="서울병원")*입력_파견수련계획!$W$4:$W$803))+IF($AG36="서울병원",MAX(0,DAY(EOMONTH(출력_요약!$B$3,0))-N($X36)),0)))</f>
        <v/>
      </c>
      <c r="AI36" s="17">
        <f>IF($B36="","",IF($AQ36&lt;&gt;"",N($AR36),IF(TRIM($J36&amp;"")="",0,SUMPRODUCT((입력_파견수련계획!$Q$4:$Q$803=TRIM($J36&amp;""))*(입력_파견수련계획!$S$4:$S$803="구리병원")*입력_파견수련계획!$W$4:$W$803))+IF($AG36="구리병원",MAX(0,DAY(EOMONTH(출력_요약!$B$3,0))-N($X36)),0)))</f>
        <v/>
      </c>
      <c r="AJ36" s="10">
        <f>IF(OR($B36="",TRIM($J36&amp;"")=""),"",IFERROR(MATCH(TRIM($J36&amp;"")&amp;"|월",입력_파견수련계획!$Z$4:$Z$803,0),""))</f>
        <v/>
      </c>
      <c r="AK36" s="10">
        <f>IF(OR($B36="",TRIM($J36&amp;"")=""),"",IFERROR(MATCH(TRIM($J36&amp;"")&amp;"|다기관",입력_파견수련계획!$AE$4:$AE$803,0),""))</f>
        <v/>
      </c>
      <c r="AL36" s="10">
        <f>IF($AK36="","","다기관 "&amp;TEXT(INDEX(입력_파견수련계획!$AB$4:$AB$803,$AK36),"yyyy-mm-dd")&amp;"~"&amp;IF(ISNUMBER(INDEX(입력_파견수련계획!$AC$4:$AC$803,$AK36)),TEXT(INDEX(입력_파견수련계획!$AC$4:$AC$803,$AK36),"yyyy-mm-dd"),""))</f>
        <v/>
      </c>
      <c r="AM36" s="10">
        <f>IF($Y36="서울병원",COUNTIF($Y$2:$Y36,"서울병원"),"")</f>
        <v/>
      </c>
      <c r="AN36" s="10">
        <f>IF(LEFT($Y36,1)="⚠",COUNTIF($Y$2:$Y36,"⚠*"),"")</f>
        <v/>
      </c>
      <c r="AO36" s="10">
        <f>IF(OR($B36="",$Y36=""),"",IF(IF(TRIM($J36&amp;"")="",0,SUMPRODUCT((입력_파견수련계획!$Q$4:$Q$803=TRIM($J36&amp;""))*입력_파견수련계획!$AD$4:$AD$803))&gt;0,"다기관 기간 → 소속병원 지급",IF(AND(N($X36)&lt;=0,$AQ36=""),"파견 없음 → 그 달 근무병원 지급",IF($AH36+$AI36=DAY(EOMONTH(출력_요약!$B$3,0)),"서울 "&amp;$AH36&amp;"일 / 구리 "&amp;$AI36&amp;"일"&amp;IF($AQ36&lt;&gt;""," (구리 근무자명단 반영)","")&amp;" → 15일 이상 근무 병원 지급","타 병원 포함 → "&amp;IF($AJ36="","소속",INDEX(입력_파견수련계획!$T$4:$T$803,$AJ36))&amp;" 규칙"))))</f>
        <v/>
      </c>
      <c r="AP36" s="10">
        <f>IF($B36="","",$C36&amp;"|"&amp;$F36)</f>
        <v/>
      </c>
      <c r="AQ36" s="10">
        <f>IF($B36="","",IFERROR(MATCH(ROW()-1,출력_구리근무자!$K$6:$K$305,0),""))</f>
        <v/>
      </c>
      <c r="AR36" s="10">
        <f>IF($AQ36="","",INDEX(출력_구리근무자!$H$6:$H$305,$AQ36))</f>
        <v/>
      </c>
    </row>
    <row r="37">
      <c r="A37" s="10">
        <f>IF(B37="","",ROW()-1)</f>
        <v/>
      </c>
      <c r="B37" s="19" t="n"/>
      <c r="C37" s="10">
        <f>IF($AB37="","",IF(INDEX(입력_기본자료!$C$2:$C$1001,$AB37)="","",INDEX(입력_기본자료!$C$2:$C$1001,$AB37)))</f>
        <v/>
      </c>
      <c r="D37" s="10">
        <f>IF($AB37="","",IF(INDEX(입력_기본자료!$J$2:$J$1001,$AB37)="","",INDEX(입력_기본자료!$J$2:$J$1001,$AB37)))</f>
        <v/>
      </c>
      <c r="E37" s="11">
        <f>IF($AB37="","",IF(INDEX(입력_기본자료!$K$2:$K$1001,$AB37)="","",IF(NOT(ISNUMBER(INDEX(입력_기본자료!$K$2:$K$1001,$AB37))),INDEX(입력_기본자료!$K$2:$K$1001,$AB37),IF(INDEX(입력_기본자료!$K$2:$K$1001,$AB37)&lt;1000000,INDEX(입력_기본자료!$K$2:$K$1001,$AB37),IF(AND(INDEX(입력_기본자료!$K$2:$K$1001,$AB37)&gt;=10000101,INT(MOD(INDEX(입력_기본자료!$K$2:$K$1001,$AB37),10000)/100)&gt;=1,INT(MOD(INDEX(입력_기본자료!$K$2:$K$1001,$AB37),10000)/100)&lt;=12,MOD(INDEX(입력_기본자료!$K$2:$K$1001,$AB37),100)&gt;=1,MOD(INDEX(입력_기본자료!$K$2:$K$1001,$AB37),100)&lt;=31),DATE(INT(INDEX(입력_기본자료!$K$2:$K$1001,$AB37)/10000),INT(MOD(INDEX(입력_기본자료!$K$2:$K$1001,$AB37),10000)/100),MOD(INDEX(입력_기본자료!$K$2:$K$1001,$AB37),100)),INDEX(입력_기본자료!$K$2:$K$1001,$AB37)&amp;"")))))</f>
        <v/>
      </c>
      <c r="F37" s="10">
        <f>IF($AB37="","",IF(INDEX(입력_기본자료!$D$2:$D$1001,$AB37)="","",INDEX(입력_기본자료!$D$2:$D$1001,$AB37)))</f>
        <v/>
      </c>
      <c r="G37" s="10">
        <f>IF($AB37="","",IF(INDEX(입력_기본자료!$E$2:$E$1001,$AB37)="","",INDEX(입력_기본자료!$E$2:$E$1001,$AB37)))</f>
        <v/>
      </c>
      <c r="H37" s="10">
        <f>IF($AB37="","",IF(INDEX(입력_기본자료!$F$2:$F$1001,$AB37)="","",INDEX(입력_기본자료!$F$2:$F$1001,$AB37)))</f>
        <v/>
      </c>
      <c r="I37" s="11">
        <f>IF($AB37="","",IF(INDEX(입력_기본자료!$G$2:$G$1001,$AB37)="","",IF(NOT(ISNUMBER(INDEX(입력_기본자료!$G$2:$G$1001,$AB37))),INDEX(입력_기본자료!$G$2:$G$1001,$AB37),IF(INDEX(입력_기본자료!$G$2:$G$1001,$AB37)&lt;1000000,INDEX(입력_기본자료!$G$2:$G$1001,$AB37),IF(AND(INDEX(입력_기본자료!$G$2:$G$1001,$AB37)&gt;=10000101,INT(MOD(INDEX(입력_기본자료!$G$2:$G$1001,$AB37),10000)/100)&gt;=1,INT(MOD(INDEX(입력_기본자료!$G$2:$G$1001,$AB37),10000)/100)&lt;=12,MOD(INDEX(입력_기본자료!$G$2:$G$1001,$AB37),100)&gt;=1,MOD(INDEX(입력_기본자료!$G$2:$G$1001,$AB37),100)&lt;=31),DATE(INT(INDEX(입력_기본자료!$G$2:$G$1001,$AB37)/10000),INT(MOD(INDEX(입력_기본자료!$G$2:$G$1001,$AB37),10000)/100),MOD(INDEX(입력_기본자료!$G$2:$G$1001,$AB37),100)),INDEX(입력_기본자료!$G$2:$G$1001,$AB37)&amp;"")))))</f>
        <v/>
      </c>
      <c r="J37" s="10">
        <f>IF($AB37="","",IF(INDEX(입력_기본자료!$H$2:$H$1001,$AB37)="","",INDEX(입력_기본자료!$H$2:$H$1001,$AB37)))</f>
        <v/>
      </c>
      <c r="K37" s="10">
        <f>IF($AB37="","",IF(INDEX(입력_기본자료!$I$2:$I$1001,$AB37)="","",INDEX(입력_기본자료!$I$2:$I$1001,$AB37)))</f>
        <v/>
      </c>
      <c r="L37" s="10">
        <f>IF($AB37="","",IF(INDEX(입력_기본자료!$A$2:$A$1001,$AB37)="","",INDEX(입력_기본자료!$A$2:$A$1001,$AB37)))</f>
        <v/>
      </c>
      <c r="M37" s="15" t="n"/>
      <c r="N37" s="10">
        <f>IF($B37="","",IF(AND($U37="파견중",$Q37&lt;&gt;""),$Q37,IF(AND($AD37&lt;&gt;"",LEFT($AD37,1)&lt;&gt;"⚠"),LEFT($AD37,FIND(" ",$AD37)-1),IF($H37="","",IF(RIGHT($H37,2)="병원",$H37,$H37&amp;"병원")))))</f>
        <v/>
      </c>
      <c r="O37" s="10">
        <f>IF($B37="","",IF(AND($U37="파견중",$Q37&lt;&gt;""),IF($R37&lt;&gt;"",$R37,"파견과 미입력"),IF(AND($AD37&lt;&gt;"",LEFT($AD37,1)&lt;&gt;"⚠"),MID($AD37,FIND(" ",$AD37)+1,60),IF($F37="","",IF($F37="인턴","수련교육부(인턴)",$F37)))))</f>
        <v/>
      </c>
      <c r="P37" s="10">
        <f>IF($B37="","",IF($AK37&lt;&gt;"",IF(AND(TODAY()&gt;=INDEX(입력_파견수련계획!$AB$4:$AB$803,$AK37),OR(NOT(ISNUMBER(INDEX(입력_파견수련계획!$AC$4:$AC$803,$AK37))),TODAY()&lt;=INDEX(입력_파견수련계획!$AC$4:$AC$803,$AK37))),"다기관",IF($AF37="","",INDEX(입력_파견수련계획!$T$4:$T$803,$AF37))),IF($AF37="","",INDEX(입력_파견수련계획!$T$4:$T$803,$AF37))))</f>
        <v/>
      </c>
      <c r="Q37" s="10">
        <f>IF($AF37="","",INDEX(입력_파견수련계획!$S$4:$S$803,$AF37))</f>
        <v/>
      </c>
      <c r="R37" s="10">
        <f>IF($AF37="","",INDEX(입력_파견수련계획!$U$4:$U$803,$AF37))</f>
        <v/>
      </c>
      <c r="S37" s="11">
        <f>IF($AF37="","",IF(INDEX(입력_파견수련계획!$H$4:$H$803,$AF37)="","",INDEX(입력_파견수련계획!$H$4:$H$803,$AF37)))</f>
        <v/>
      </c>
      <c r="T37" s="11">
        <f>IF($AF37="","",IF(INDEX(입력_파견수련계획!$I$4:$I$803,$AF37)="","",INDEX(입력_파견수련계획!$I$4:$I$803,$AF37)))</f>
        <v/>
      </c>
      <c r="U37" s="10">
        <f>IF($AF37="","",INDEX(입력_파견수련계획!$X$4:$X$803,$AF37))</f>
        <v/>
      </c>
      <c r="V37" s="17">
        <f>IF($AF37="","",INDEX(입력_파견수련계획!$V$4:$V$803,$AF37))</f>
        <v/>
      </c>
      <c r="W37" s="17">
        <f>IF(AND($U37="파견중",$T37&lt;&gt;""),$T37-TODAY(),"")</f>
        <v/>
      </c>
      <c r="X37" s="17">
        <f>IF(OR($B37="",TRIM($J37&amp;"")=""),"",SUMPRODUCT((입력_파견수련계획!$Q$4:$Q$803=TRIM($J37&amp;""))*입력_파견수련계획!$W$4:$W$803))</f>
        <v/>
      </c>
      <c r="Y37" s="10">
        <f>IF($B37="","",IF($AG37="","",IF(IF(TRIM($J37&amp;"")="",0,SUMPRODUCT((입력_파견수련계획!$Q$4:$Q$803=TRIM($J37&amp;""))*입력_파견수련계획!$AD$4:$AD$803))&gt;0,$AE37,IF(AND(N($X37)&lt;=0,$AQ37=""),$AG37,IF($AH37+$AI37=DAY(EOMONTH(출력_요약!$B$3,0)),IF(AND($AH37&gt;=출력_요약!$E$3,$AI37&lt;출력_요약!$E$3),"서울병원",IF(AND($AI37&gt;=출력_요약!$E$3,$AH37&lt;출력_요약!$E$3),"구리병원","⚠15일 판정불가(서울 "&amp;$AH37&amp;"일/구리 "&amp;$AI37&amp;"일)")),IF($AJ37="",$AE37,IF(INDEX(입력_파견수련계획!$T$4:$T$803,$AJ37)="통합수련",INDEX(입력_파견수련계획!$S$4:$S$803,$AJ37),$AE37)))))))</f>
        <v/>
      </c>
      <c r="Z37" s="20">
        <f>IF($B37="","",IF($AB37="","기본자료에 없는 사번",IF(COUNTIF($B$2:$B$401,$B37)&gt;1,"중복 사번",IF($AE37="","소속(입사장소) 입력",IF(IF(TRIM($J37&amp;"")="",0,SUMPRODUCT((입력_파견수련계획!$Q$4:$Q$803=TRIM($J37&amp;""))*(입력_파견수련계획!$AA$4:$AA$803&lt;&gt;"")))&gt;0,"파견수련계획 입력오류 확인",IF(LEFT($Y37,1)="⚠","서울·구리 15일 판정 불가(양쪽 모두 이상/미만)",IF(IF($AC37="",0,N(INDEX(입력_인턴근무계획!$T$3:$T$402,$AC37)))&gt;0,"인턴계획 입력오류 확인",IF(AND($AQ37&lt;&gt;"",$AG37&lt;&gt;"구리병원",IF(TRIM($J37&amp;"")="",0,SUMPRODUCT((입력_파견수련계획!$Q$4:$Q$803=TRIM($J37&amp;""))*(입력_파견수련계획!$S$4:$S$803="구리병원")*입력_파견수련계획!$W$4:$W$803))=0),"구리 근무자명단에만 있음(파견수련계획 확인)",IF(AND($AC37&lt;&gt;"",$U37&lt;&gt;"파견중",$N37&lt;&gt;$AE37),"인턴 타지역 근무: 파견 여부 확인","정상")))))))))</f>
        <v/>
      </c>
      <c r="AA37" s="5" t="n"/>
      <c r="AB37" s="10">
        <f>IF($B37="","",IFERROR(MATCH($B37,입력_기본자료!$B$2:$B$1001,0),IFERROR(MATCH($B37&amp;"",입력_기본자료!$B$2:$B$1001,0),IFERROR(MATCH(VALUE($B37),입력_기본자료!$B$2:$B$1001,0),""))))</f>
        <v/>
      </c>
      <c r="AC37" s="10">
        <f>IF($B37="","",IFERROR(MATCH($B37,입력_인턴근무계획!$D$3:$D$402,0),IFERROR(MATCH($B37&amp;"",입력_인턴근무계획!$D$3:$D$402,0),IFERROR(MATCH(VALUE($B37),입력_인턴근무계획!$D$3:$D$402,0),""))))</f>
        <v/>
      </c>
      <c r="AD37" s="10">
        <f>IF(OR($AC37="",출력_인턴현황!$G$3=""),"",INDEX(입력_인턴근무계획!$M$3:$R$402,$AC37,출력_인턴현황!$G$3)&amp;"")</f>
        <v/>
      </c>
      <c r="AE37" s="10">
        <f>IF($B37="","",IF($M37&lt;&gt;"",$M37,IF(IF($AQ37="",FALSE,INDEX(출력_구리근무자!$J$6:$J$305,$AQ37)="구리독자"),"구리병원",IF($AF37&lt;&gt;"",IF(LEFT(INDEX(입력_파견수련계획!$R$4:$R$803,$AF37),1)&lt;&gt;"⚠",INDEX(입력_파견수련계획!$R$4:$R$803,$AF37),IF($H37="","",IF(RIGHT($H37,2)="병원",$H37,$H37&amp;"병원"))),IF($H37="","",IF(RIGHT($H37,2)="병원",$H37,$H37&amp;"병원"))))))</f>
        <v/>
      </c>
      <c r="AF37" s="10">
        <f>IF(OR($B37="",TRIM($J37&amp;"")=""),"",IFERROR(MATCH(TRIM($J37&amp;"")&amp;"|파견중",입력_파견수련계획!$Y$4:$Y$803,0),IFERROR(MATCH(TRIM($J37&amp;"")&amp;"|파견예정",입력_파견수련계획!$Y$4:$Y$803,0),IFERROR(MATCH(TRIM($J37&amp;"")&amp;"|파견종료",입력_파견수련계획!$Y$4:$Y$803,0),""))))</f>
        <v/>
      </c>
      <c r="AG37" s="10">
        <f>IF($B37="","",IF(AND(IF(OR($AC37="",출력_인턴현황!$K$2=""),"",INDEX(입력_인턴근무계획!$M$3:$R$402,$AC37,출력_인턴현황!$K$2)&amp;"")&lt;&gt;"",LEFT(IF(OR($AC37="",출력_인턴현황!$K$2=""),"",INDEX(입력_인턴근무계획!$M$3:$R$402,$AC37,출력_인턴현황!$K$2)&amp;""),1)&lt;&gt;"⚠"),LEFT(IF(OR($AC37="",출력_인턴현황!$K$2=""),"",INDEX(입력_인턴근무계획!$M$3:$R$402,$AC37,출력_인턴현황!$K$2)&amp;""),FIND(" ",IF(OR($AC37="",출력_인턴현황!$K$2=""),"",INDEX(입력_인턴근무계획!$M$3:$R$402,$AC37,출력_인턴현황!$K$2)&amp;""))-1),$AE37))</f>
        <v/>
      </c>
      <c r="AH37" s="17">
        <f>IF($B37="","",IF($AQ37&lt;&gt;"",MAX(0,DAY(EOMONTH(출력_요약!$B$3,0))-N($AR37)),IF(TRIM($J37&amp;"")="",0,SUMPRODUCT((입력_파견수련계획!$Q$4:$Q$803=TRIM($J37&amp;""))*(입력_파견수련계획!$S$4:$S$803="서울병원")*입력_파견수련계획!$W$4:$W$803))+IF($AG37="서울병원",MAX(0,DAY(EOMONTH(출력_요약!$B$3,0))-N($X37)),0)))</f>
        <v/>
      </c>
      <c r="AI37" s="17">
        <f>IF($B37="","",IF($AQ37&lt;&gt;"",N($AR37),IF(TRIM($J37&amp;"")="",0,SUMPRODUCT((입력_파견수련계획!$Q$4:$Q$803=TRIM($J37&amp;""))*(입력_파견수련계획!$S$4:$S$803="구리병원")*입력_파견수련계획!$W$4:$W$803))+IF($AG37="구리병원",MAX(0,DAY(EOMONTH(출력_요약!$B$3,0))-N($X37)),0)))</f>
        <v/>
      </c>
      <c r="AJ37" s="10">
        <f>IF(OR($B37="",TRIM($J37&amp;"")=""),"",IFERROR(MATCH(TRIM($J37&amp;"")&amp;"|월",입력_파견수련계획!$Z$4:$Z$803,0),""))</f>
        <v/>
      </c>
      <c r="AK37" s="10">
        <f>IF(OR($B37="",TRIM($J37&amp;"")=""),"",IFERROR(MATCH(TRIM($J37&amp;"")&amp;"|다기관",입력_파견수련계획!$AE$4:$AE$803,0),""))</f>
        <v/>
      </c>
      <c r="AL37" s="10">
        <f>IF($AK37="","","다기관 "&amp;TEXT(INDEX(입력_파견수련계획!$AB$4:$AB$803,$AK37),"yyyy-mm-dd")&amp;"~"&amp;IF(ISNUMBER(INDEX(입력_파견수련계획!$AC$4:$AC$803,$AK37)),TEXT(INDEX(입력_파견수련계획!$AC$4:$AC$803,$AK37),"yyyy-mm-dd"),""))</f>
        <v/>
      </c>
      <c r="AM37" s="10">
        <f>IF($Y37="서울병원",COUNTIF($Y$2:$Y37,"서울병원"),"")</f>
        <v/>
      </c>
      <c r="AN37" s="10">
        <f>IF(LEFT($Y37,1)="⚠",COUNTIF($Y$2:$Y37,"⚠*"),"")</f>
        <v/>
      </c>
      <c r="AO37" s="10">
        <f>IF(OR($B37="",$Y37=""),"",IF(IF(TRIM($J37&amp;"")="",0,SUMPRODUCT((입력_파견수련계획!$Q$4:$Q$803=TRIM($J37&amp;""))*입력_파견수련계획!$AD$4:$AD$803))&gt;0,"다기관 기간 → 소속병원 지급",IF(AND(N($X37)&lt;=0,$AQ37=""),"파견 없음 → 그 달 근무병원 지급",IF($AH37+$AI37=DAY(EOMONTH(출력_요약!$B$3,0)),"서울 "&amp;$AH37&amp;"일 / 구리 "&amp;$AI37&amp;"일"&amp;IF($AQ37&lt;&gt;""," (구리 근무자명단 반영)","")&amp;" → 15일 이상 근무 병원 지급","타 병원 포함 → "&amp;IF($AJ37="","소속",INDEX(입력_파견수련계획!$T$4:$T$803,$AJ37))&amp;" 규칙"))))</f>
        <v/>
      </c>
      <c r="AP37" s="10">
        <f>IF($B37="","",$C37&amp;"|"&amp;$F37)</f>
        <v/>
      </c>
      <c r="AQ37" s="10">
        <f>IF($B37="","",IFERROR(MATCH(ROW()-1,출력_구리근무자!$K$6:$K$305,0),""))</f>
        <v/>
      </c>
      <c r="AR37" s="10">
        <f>IF($AQ37="","",INDEX(출력_구리근무자!$H$6:$H$305,$AQ37))</f>
        <v/>
      </c>
    </row>
    <row r="38">
      <c r="A38" s="10">
        <f>IF(B38="","",ROW()-1)</f>
        <v/>
      </c>
      <c r="B38" s="19" t="n"/>
      <c r="C38" s="10">
        <f>IF($AB38="","",IF(INDEX(입력_기본자료!$C$2:$C$1001,$AB38)="","",INDEX(입력_기본자료!$C$2:$C$1001,$AB38)))</f>
        <v/>
      </c>
      <c r="D38" s="10">
        <f>IF($AB38="","",IF(INDEX(입력_기본자료!$J$2:$J$1001,$AB38)="","",INDEX(입력_기본자료!$J$2:$J$1001,$AB38)))</f>
        <v/>
      </c>
      <c r="E38" s="11">
        <f>IF($AB38="","",IF(INDEX(입력_기본자료!$K$2:$K$1001,$AB38)="","",IF(NOT(ISNUMBER(INDEX(입력_기본자료!$K$2:$K$1001,$AB38))),INDEX(입력_기본자료!$K$2:$K$1001,$AB38),IF(INDEX(입력_기본자료!$K$2:$K$1001,$AB38)&lt;1000000,INDEX(입력_기본자료!$K$2:$K$1001,$AB38),IF(AND(INDEX(입력_기본자료!$K$2:$K$1001,$AB38)&gt;=10000101,INT(MOD(INDEX(입력_기본자료!$K$2:$K$1001,$AB38),10000)/100)&gt;=1,INT(MOD(INDEX(입력_기본자료!$K$2:$K$1001,$AB38),10000)/100)&lt;=12,MOD(INDEX(입력_기본자료!$K$2:$K$1001,$AB38),100)&gt;=1,MOD(INDEX(입력_기본자료!$K$2:$K$1001,$AB38),100)&lt;=31),DATE(INT(INDEX(입력_기본자료!$K$2:$K$1001,$AB38)/10000),INT(MOD(INDEX(입력_기본자료!$K$2:$K$1001,$AB38),10000)/100),MOD(INDEX(입력_기본자료!$K$2:$K$1001,$AB38),100)),INDEX(입력_기본자료!$K$2:$K$1001,$AB38)&amp;"")))))</f>
        <v/>
      </c>
      <c r="F38" s="10">
        <f>IF($AB38="","",IF(INDEX(입력_기본자료!$D$2:$D$1001,$AB38)="","",INDEX(입력_기본자료!$D$2:$D$1001,$AB38)))</f>
        <v/>
      </c>
      <c r="G38" s="10">
        <f>IF($AB38="","",IF(INDEX(입력_기본자료!$E$2:$E$1001,$AB38)="","",INDEX(입력_기본자료!$E$2:$E$1001,$AB38)))</f>
        <v/>
      </c>
      <c r="H38" s="10">
        <f>IF($AB38="","",IF(INDEX(입력_기본자료!$F$2:$F$1001,$AB38)="","",INDEX(입력_기본자료!$F$2:$F$1001,$AB38)))</f>
        <v/>
      </c>
      <c r="I38" s="11">
        <f>IF($AB38="","",IF(INDEX(입력_기본자료!$G$2:$G$1001,$AB38)="","",IF(NOT(ISNUMBER(INDEX(입력_기본자료!$G$2:$G$1001,$AB38))),INDEX(입력_기본자료!$G$2:$G$1001,$AB38),IF(INDEX(입력_기본자료!$G$2:$G$1001,$AB38)&lt;1000000,INDEX(입력_기본자료!$G$2:$G$1001,$AB38),IF(AND(INDEX(입력_기본자료!$G$2:$G$1001,$AB38)&gt;=10000101,INT(MOD(INDEX(입력_기본자료!$G$2:$G$1001,$AB38),10000)/100)&gt;=1,INT(MOD(INDEX(입력_기본자료!$G$2:$G$1001,$AB38),10000)/100)&lt;=12,MOD(INDEX(입력_기본자료!$G$2:$G$1001,$AB38),100)&gt;=1,MOD(INDEX(입력_기본자료!$G$2:$G$1001,$AB38),100)&lt;=31),DATE(INT(INDEX(입력_기본자료!$G$2:$G$1001,$AB38)/10000),INT(MOD(INDEX(입력_기본자료!$G$2:$G$1001,$AB38),10000)/100),MOD(INDEX(입력_기본자료!$G$2:$G$1001,$AB38),100)),INDEX(입력_기본자료!$G$2:$G$1001,$AB38)&amp;"")))))</f>
        <v/>
      </c>
      <c r="J38" s="10">
        <f>IF($AB38="","",IF(INDEX(입력_기본자료!$H$2:$H$1001,$AB38)="","",INDEX(입력_기본자료!$H$2:$H$1001,$AB38)))</f>
        <v/>
      </c>
      <c r="K38" s="10">
        <f>IF($AB38="","",IF(INDEX(입력_기본자료!$I$2:$I$1001,$AB38)="","",INDEX(입력_기본자료!$I$2:$I$1001,$AB38)))</f>
        <v/>
      </c>
      <c r="L38" s="10">
        <f>IF($AB38="","",IF(INDEX(입력_기본자료!$A$2:$A$1001,$AB38)="","",INDEX(입력_기본자료!$A$2:$A$1001,$AB38)))</f>
        <v/>
      </c>
      <c r="M38" s="15" t="n"/>
      <c r="N38" s="10">
        <f>IF($B38="","",IF(AND($U38="파견중",$Q38&lt;&gt;""),$Q38,IF(AND($AD38&lt;&gt;"",LEFT($AD38,1)&lt;&gt;"⚠"),LEFT($AD38,FIND(" ",$AD38)-1),IF($H38="","",IF(RIGHT($H38,2)="병원",$H38,$H38&amp;"병원")))))</f>
        <v/>
      </c>
      <c r="O38" s="10">
        <f>IF($B38="","",IF(AND($U38="파견중",$Q38&lt;&gt;""),IF($R38&lt;&gt;"",$R38,"파견과 미입력"),IF(AND($AD38&lt;&gt;"",LEFT($AD38,1)&lt;&gt;"⚠"),MID($AD38,FIND(" ",$AD38)+1,60),IF($F38="","",IF($F38="인턴","수련교육부(인턴)",$F38)))))</f>
        <v/>
      </c>
      <c r="P38" s="10">
        <f>IF($B38="","",IF($AK38&lt;&gt;"",IF(AND(TODAY()&gt;=INDEX(입력_파견수련계획!$AB$4:$AB$803,$AK38),OR(NOT(ISNUMBER(INDEX(입력_파견수련계획!$AC$4:$AC$803,$AK38))),TODAY()&lt;=INDEX(입력_파견수련계획!$AC$4:$AC$803,$AK38))),"다기관",IF($AF38="","",INDEX(입력_파견수련계획!$T$4:$T$803,$AF38))),IF($AF38="","",INDEX(입력_파견수련계획!$T$4:$T$803,$AF38))))</f>
        <v/>
      </c>
      <c r="Q38" s="10">
        <f>IF($AF38="","",INDEX(입력_파견수련계획!$S$4:$S$803,$AF38))</f>
        <v/>
      </c>
      <c r="R38" s="10">
        <f>IF($AF38="","",INDEX(입력_파견수련계획!$U$4:$U$803,$AF38))</f>
        <v/>
      </c>
      <c r="S38" s="11">
        <f>IF($AF38="","",IF(INDEX(입력_파견수련계획!$H$4:$H$803,$AF38)="","",INDEX(입력_파견수련계획!$H$4:$H$803,$AF38)))</f>
        <v/>
      </c>
      <c r="T38" s="11">
        <f>IF($AF38="","",IF(INDEX(입력_파견수련계획!$I$4:$I$803,$AF38)="","",INDEX(입력_파견수련계획!$I$4:$I$803,$AF38)))</f>
        <v/>
      </c>
      <c r="U38" s="10">
        <f>IF($AF38="","",INDEX(입력_파견수련계획!$X$4:$X$803,$AF38))</f>
        <v/>
      </c>
      <c r="V38" s="17">
        <f>IF($AF38="","",INDEX(입력_파견수련계획!$V$4:$V$803,$AF38))</f>
        <v/>
      </c>
      <c r="W38" s="17">
        <f>IF(AND($U38="파견중",$T38&lt;&gt;""),$T38-TODAY(),"")</f>
        <v/>
      </c>
      <c r="X38" s="17">
        <f>IF(OR($B38="",TRIM($J38&amp;"")=""),"",SUMPRODUCT((입력_파견수련계획!$Q$4:$Q$803=TRIM($J38&amp;""))*입력_파견수련계획!$W$4:$W$803))</f>
        <v/>
      </c>
      <c r="Y38" s="10">
        <f>IF($B38="","",IF($AG38="","",IF(IF(TRIM($J38&amp;"")="",0,SUMPRODUCT((입력_파견수련계획!$Q$4:$Q$803=TRIM($J38&amp;""))*입력_파견수련계획!$AD$4:$AD$803))&gt;0,$AE38,IF(AND(N($X38)&lt;=0,$AQ38=""),$AG38,IF($AH38+$AI38=DAY(EOMONTH(출력_요약!$B$3,0)),IF(AND($AH38&gt;=출력_요약!$E$3,$AI38&lt;출력_요약!$E$3),"서울병원",IF(AND($AI38&gt;=출력_요약!$E$3,$AH38&lt;출력_요약!$E$3),"구리병원","⚠15일 판정불가(서울 "&amp;$AH38&amp;"일/구리 "&amp;$AI38&amp;"일)")),IF($AJ38="",$AE38,IF(INDEX(입력_파견수련계획!$T$4:$T$803,$AJ38)="통합수련",INDEX(입력_파견수련계획!$S$4:$S$803,$AJ38),$AE38)))))))</f>
        <v/>
      </c>
      <c r="Z38" s="20">
        <f>IF($B38="","",IF($AB38="","기본자료에 없는 사번",IF(COUNTIF($B$2:$B$401,$B38)&gt;1,"중복 사번",IF($AE38="","소속(입사장소) 입력",IF(IF(TRIM($J38&amp;"")="",0,SUMPRODUCT((입력_파견수련계획!$Q$4:$Q$803=TRIM($J38&amp;""))*(입력_파견수련계획!$AA$4:$AA$803&lt;&gt;"")))&gt;0,"파견수련계획 입력오류 확인",IF(LEFT($Y38,1)="⚠","서울·구리 15일 판정 불가(양쪽 모두 이상/미만)",IF(IF($AC38="",0,N(INDEX(입력_인턴근무계획!$T$3:$T$402,$AC38)))&gt;0,"인턴계획 입력오류 확인",IF(AND($AQ38&lt;&gt;"",$AG38&lt;&gt;"구리병원",IF(TRIM($J38&amp;"")="",0,SUMPRODUCT((입력_파견수련계획!$Q$4:$Q$803=TRIM($J38&amp;""))*(입력_파견수련계획!$S$4:$S$803="구리병원")*입력_파견수련계획!$W$4:$W$803))=0),"구리 근무자명단에만 있음(파견수련계획 확인)",IF(AND($AC38&lt;&gt;"",$U38&lt;&gt;"파견중",$N38&lt;&gt;$AE38),"인턴 타지역 근무: 파견 여부 확인","정상")))))))))</f>
        <v/>
      </c>
      <c r="AA38" s="5" t="n"/>
      <c r="AB38" s="10">
        <f>IF($B38="","",IFERROR(MATCH($B38,입력_기본자료!$B$2:$B$1001,0),IFERROR(MATCH($B38&amp;"",입력_기본자료!$B$2:$B$1001,0),IFERROR(MATCH(VALUE($B38),입력_기본자료!$B$2:$B$1001,0),""))))</f>
        <v/>
      </c>
      <c r="AC38" s="10">
        <f>IF($B38="","",IFERROR(MATCH($B38,입력_인턴근무계획!$D$3:$D$402,0),IFERROR(MATCH($B38&amp;"",입력_인턴근무계획!$D$3:$D$402,0),IFERROR(MATCH(VALUE($B38),입력_인턴근무계획!$D$3:$D$402,0),""))))</f>
        <v/>
      </c>
      <c r="AD38" s="10">
        <f>IF(OR($AC38="",출력_인턴현황!$G$3=""),"",INDEX(입력_인턴근무계획!$M$3:$R$402,$AC38,출력_인턴현황!$G$3)&amp;"")</f>
        <v/>
      </c>
      <c r="AE38" s="10">
        <f>IF($B38="","",IF($M38&lt;&gt;"",$M38,IF(IF($AQ38="",FALSE,INDEX(출력_구리근무자!$J$6:$J$305,$AQ38)="구리독자"),"구리병원",IF($AF38&lt;&gt;"",IF(LEFT(INDEX(입력_파견수련계획!$R$4:$R$803,$AF38),1)&lt;&gt;"⚠",INDEX(입력_파견수련계획!$R$4:$R$803,$AF38),IF($H38="","",IF(RIGHT($H38,2)="병원",$H38,$H38&amp;"병원"))),IF($H38="","",IF(RIGHT($H38,2)="병원",$H38,$H38&amp;"병원"))))))</f>
        <v/>
      </c>
      <c r="AF38" s="10">
        <f>IF(OR($B38="",TRIM($J38&amp;"")=""),"",IFERROR(MATCH(TRIM($J38&amp;"")&amp;"|파견중",입력_파견수련계획!$Y$4:$Y$803,0),IFERROR(MATCH(TRIM($J38&amp;"")&amp;"|파견예정",입력_파견수련계획!$Y$4:$Y$803,0),IFERROR(MATCH(TRIM($J38&amp;"")&amp;"|파견종료",입력_파견수련계획!$Y$4:$Y$803,0),""))))</f>
        <v/>
      </c>
      <c r="AG38" s="10">
        <f>IF($B38="","",IF(AND(IF(OR($AC38="",출력_인턴현황!$K$2=""),"",INDEX(입력_인턴근무계획!$M$3:$R$402,$AC38,출력_인턴현황!$K$2)&amp;"")&lt;&gt;"",LEFT(IF(OR($AC38="",출력_인턴현황!$K$2=""),"",INDEX(입력_인턴근무계획!$M$3:$R$402,$AC38,출력_인턴현황!$K$2)&amp;""),1)&lt;&gt;"⚠"),LEFT(IF(OR($AC38="",출력_인턴현황!$K$2=""),"",INDEX(입력_인턴근무계획!$M$3:$R$402,$AC38,출력_인턴현황!$K$2)&amp;""),FIND(" ",IF(OR($AC38="",출력_인턴현황!$K$2=""),"",INDEX(입력_인턴근무계획!$M$3:$R$402,$AC38,출력_인턴현황!$K$2)&amp;""))-1),$AE38))</f>
        <v/>
      </c>
      <c r="AH38" s="17">
        <f>IF($B38="","",IF($AQ38&lt;&gt;"",MAX(0,DAY(EOMONTH(출력_요약!$B$3,0))-N($AR38)),IF(TRIM($J38&amp;"")="",0,SUMPRODUCT((입력_파견수련계획!$Q$4:$Q$803=TRIM($J38&amp;""))*(입력_파견수련계획!$S$4:$S$803="서울병원")*입력_파견수련계획!$W$4:$W$803))+IF($AG38="서울병원",MAX(0,DAY(EOMONTH(출력_요약!$B$3,0))-N($X38)),0)))</f>
        <v/>
      </c>
      <c r="AI38" s="17">
        <f>IF($B38="","",IF($AQ38&lt;&gt;"",N($AR38),IF(TRIM($J38&amp;"")="",0,SUMPRODUCT((입력_파견수련계획!$Q$4:$Q$803=TRIM($J38&amp;""))*(입력_파견수련계획!$S$4:$S$803="구리병원")*입력_파견수련계획!$W$4:$W$803))+IF($AG38="구리병원",MAX(0,DAY(EOMONTH(출력_요약!$B$3,0))-N($X38)),0)))</f>
        <v/>
      </c>
      <c r="AJ38" s="10">
        <f>IF(OR($B38="",TRIM($J38&amp;"")=""),"",IFERROR(MATCH(TRIM($J38&amp;"")&amp;"|월",입력_파견수련계획!$Z$4:$Z$803,0),""))</f>
        <v/>
      </c>
      <c r="AK38" s="10">
        <f>IF(OR($B38="",TRIM($J38&amp;"")=""),"",IFERROR(MATCH(TRIM($J38&amp;"")&amp;"|다기관",입력_파견수련계획!$AE$4:$AE$803,0),""))</f>
        <v/>
      </c>
      <c r="AL38" s="10">
        <f>IF($AK38="","","다기관 "&amp;TEXT(INDEX(입력_파견수련계획!$AB$4:$AB$803,$AK38),"yyyy-mm-dd")&amp;"~"&amp;IF(ISNUMBER(INDEX(입력_파견수련계획!$AC$4:$AC$803,$AK38)),TEXT(INDEX(입력_파견수련계획!$AC$4:$AC$803,$AK38),"yyyy-mm-dd"),""))</f>
        <v/>
      </c>
      <c r="AM38" s="10">
        <f>IF($Y38="서울병원",COUNTIF($Y$2:$Y38,"서울병원"),"")</f>
        <v/>
      </c>
      <c r="AN38" s="10">
        <f>IF(LEFT($Y38,1)="⚠",COUNTIF($Y$2:$Y38,"⚠*"),"")</f>
        <v/>
      </c>
      <c r="AO38" s="10">
        <f>IF(OR($B38="",$Y38=""),"",IF(IF(TRIM($J38&amp;"")="",0,SUMPRODUCT((입력_파견수련계획!$Q$4:$Q$803=TRIM($J38&amp;""))*입력_파견수련계획!$AD$4:$AD$803))&gt;0,"다기관 기간 → 소속병원 지급",IF(AND(N($X38)&lt;=0,$AQ38=""),"파견 없음 → 그 달 근무병원 지급",IF($AH38+$AI38=DAY(EOMONTH(출력_요약!$B$3,0)),"서울 "&amp;$AH38&amp;"일 / 구리 "&amp;$AI38&amp;"일"&amp;IF($AQ38&lt;&gt;""," (구리 근무자명단 반영)","")&amp;" → 15일 이상 근무 병원 지급","타 병원 포함 → "&amp;IF($AJ38="","소속",INDEX(입력_파견수련계획!$T$4:$T$803,$AJ38))&amp;" 규칙"))))</f>
        <v/>
      </c>
      <c r="AP38" s="10">
        <f>IF($B38="","",$C38&amp;"|"&amp;$F38)</f>
        <v/>
      </c>
      <c r="AQ38" s="10">
        <f>IF($B38="","",IFERROR(MATCH(ROW()-1,출력_구리근무자!$K$6:$K$305,0),""))</f>
        <v/>
      </c>
      <c r="AR38" s="10">
        <f>IF($AQ38="","",INDEX(출력_구리근무자!$H$6:$H$305,$AQ38))</f>
        <v/>
      </c>
    </row>
    <row r="39">
      <c r="A39" s="10">
        <f>IF(B39="","",ROW()-1)</f>
        <v/>
      </c>
      <c r="B39" s="19" t="n"/>
      <c r="C39" s="10">
        <f>IF($AB39="","",IF(INDEX(입력_기본자료!$C$2:$C$1001,$AB39)="","",INDEX(입력_기본자료!$C$2:$C$1001,$AB39)))</f>
        <v/>
      </c>
      <c r="D39" s="10">
        <f>IF($AB39="","",IF(INDEX(입력_기본자료!$J$2:$J$1001,$AB39)="","",INDEX(입력_기본자료!$J$2:$J$1001,$AB39)))</f>
        <v/>
      </c>
      <c r="E39" s="11">
        <f>IF($AB39="","",IF(INDEX(입력_기본자료!$K$2:$K$1001,$AB39)="","",IF(NOT(ISNUMBER(INDEX(입력_기본자료!$K$2:$K$1001,$AB39))),INDEX(입력_기본자료!$K$2:$K$1001,$AB39),IF(INDEX(입력_기본자료!$K$2:$K$1001,$AB39)&lt;1000000,INDEX(입력_기본자료!$K$2:$K$1001,$AB39),IF(AND(INDEX(입력_기본자료!$K$2:$K$1001,$AB39)&gt;=10000101,INT(MOD(INDEX(입력_기본자료!$K$2:$K$1001,$AB39),10000)/100)&gt;=1,INT(MOD(INDEX(입력_기본자료!$K$2:$K$1001,$AB39),10000)/100)&lt;=12,MOD(INDEX(입력_기본자료!$K$2:$K$1001,$AB39),100)&gt;=1,MOD(INDEX(입력_기본자료!$K$2:$K$1001,$AB39),100)&lt;=31),DATE(INT(INDEX(입력_기본자료!$K$2:$K$1001,$AB39)/10000),INT(MOD(INDEX(입력_기본자료!$K$2:$K$1001,$AB39),10000)/100),MOD(INDEX(입력_기본자료!$K$2:$K$1001,$AB39),100)),INDEX(입력_기본자료!$K$2:$K$1001,$AB39)&amp;"")))))</f>
        <v/>
      </c>
      <c r="F39" s="10">
        <f>IF($AB39="","",IF(INDEX(입력_기본자료!$D$2:$D$1001,$AB39)="","",INDEX(입력_기본자료!$D$2:$D$1001,$AB39)))</f>
        <v/>
      </c>
      <c r="G39" s="10">
        <f>IF($AB39="","",IF(INDEX(입력_기본자료!$E$2:$E$1001,$AB39)="","",INDEX(입력_기본자료!$E$2:$E$1001,$AB39)))</f>
        <v/>
      </c>
      <c r="H39" s="10">
        <f>IF($AB39="","",IF(INDEX(입력_기본자료!$F$2:$F$1001,$AB39)="","",INDEX(입력_기본자료!$F$2:$F$1001,$AB39)))</f>
        <v/>
      </c>
      <c r="I39" s="11">
        <f>IF($AB39="","",IF(INDEX(입력_기본자료!$G$2:$G$1001,$AB39)="","",IF(NOT(ISNUMBER(INDEX(입력_기본자료!$G$2:$G$1001,$AB39))),INDEX(입력_기본자료!$G$2:$G$1001,$AB39),IF(INDEX(입력_기본자료!$G$2:$G$1001,$AB39)&lt;1000000,INDEX(입력_기본자료!$G$2:$G$1001,$AB39),IF(AND(INDEX(입력_기본자료!$G$2:$G$1001,$AB39)&gt;=10000101,INT(MOD(INDEX(입력_기본자료!$G$2:$G$1001,$AB39),10000)/100)&gt;=1,INT(MOD(INDEX(입력_기본자료!$G$2:$G$1001,$AB39),10000)/100)&lt;=12,MOD(INDEX(입력_기본자료!$G$2:$G$1001,$AB39),100)&gt;=1,MOD(INDEX(입력_기본자료!$G$2:$G$1001,$AB39),100)&lt;=31),DATE(INT(INDEX(입력_기본자료!$G$2:$G$1001,$AB39)/10000),INT(MOD(INDEX(입력_기본자료!$G$2:$G$1001,$AB39),10000)/100),MOD(INDEX(입력_기본자료!$G$2:$G$1001,$AB39),100)),INDEX(입력_기본자료!$G$2:$G$1001,$AB39)&amp;"")))))</f>
        <v/>
      </c>
      <c r="J39" s="10">
        <f>IF($AB39="","",IF(INDEX(입력_기본자료!$H$2:$H$1001,$AB39)="","",INDEX(입력_기본자료!$H$2:$H$1001,$AB39)))</f>
        <v/>
      </c>
      <c r="K39" s="10">
        <f>IF($AB39="","",IF(INDEX(입력_기본자료!$I$2:$I$1001,$AB39)="","",INDEX(입력_기본자료!$I$2:$I$1001,$AB39)))</f>
        <v/>
      </c>
      <c r="L39" s="10">
        <f>IF($AB39="","",IF(INDEX(입력_기본자료!$A$2:$A$1001,$AB39)="","",INDEX(입력_기본자료!$A$2:$A$1001,$AB39)))</f>
        <v/>
      </c>
      <c r="M39" s="15" t="n"/>
      <c r="N39" s="10">
        <f>IF($B39="","",IF(AND($U39="파견중",$Q39&lt;&gt;""),$Q39,IF(AND($AD39&lt;&gt;"",LEFT($AD39,1)&lt;&gt;"⚠"),LEFT($AD39,FIND(" ",$AD39)-1),IF($H39="","",IF(RIGHT($H39,2)="병원",$H39,$H39&amp;"병원")))))</f>
        <v/>
      </c>
      <c r="O39" s="10">
        <f>IF($B39="","",IF(AND($U39="파견중",$Q39&lt;&gt;""),IF($R39&lt;&gt;"",$R39,"파견과 미입력"),IF(AND($AD39&lt;&gt;"",LEFT($AD39,1)&lt;&gt;"⚠"),MID($AD39,FIND(" ",$AD39)+1,60),IF($F39="","",IF($F39="인턴","수련교육부(인턴)",$F39)))))</f>
        <v/>
      </c>
      <c r="P39" s="10">
        <f>IF($B39="","",IF($AK39&lt;&gt;"",IF(AND(TODAY()&gt;=INDEX(입력_파견수련계획!$AB$4:$AB$803,$AK39),OR(NOT(ISNUMBER(INDEX(입력_파견수련계획!$AC$4:$AC$803,$AK39))),TODAY()&lt;=INDEX(입력_파견수련계획!$AC$4:$AC$803,$AK39))),"다기관",IF($AF39="","",INDEX(입력_파견수련계획!$T$4:$T$803,$AF39))),IF($AF39="","",INDEX(입력_파견수련계획!$T$4:$T$803,$AF39))))</f>
        <v/>
      </c>
      <c r="Q39" s="10">
        <f>IF($AF39="","",INDEX(입력_파견수련계획!$S$4:$S$803,$AF39))</f>
        <v/>
      </c>
      <c r="R39" s="10">
        <f>IF($AF39="","",INDEX(입력_파견수련계획!$U$4:$U$803,$AF39))</f>
        <v/>
      </c>
      <c r="S39" s="11">
        <f>IF($AF39="","",IF(INDEX(입력_파견수련계획!$H$4:$H$803,$AF39)="","",INDEX(입력_파견수련계획!$H$4:$H$803,$AF39)))</f>
        <v/>
      </c>
      <c r="T39" s="11">
        <f>IF($AF39="","",IF(INDEX(입력_파견수련계획!$I$4:$I$803,$AF39)="","",INDEX(입력_파견수련계획!$I$4:$I$803,$AF39)))</f>
        <v/>
      </c>
      <c r="U39" s="10">
        <f>IF($AF39="","",INDEX(입력_파견수련계획!$X$4:$X$803,$AF39))</f>
        <v/>
      </c>
      <c r="V39" s="17">
        <f>IF($AF39="","",INDEX(입력_파견수련계획!$V$4:$V$803,$AF39))</f>
        <v/>
      </c>
      <c r="W39" s="17">
        <f>IF(AND($U39="파견중",$T39&lt;&gt;""),$T39-TODAY(),"")</f>
        <v/>
      </c>
      <c r="X39" s="17">
        <f>IF(OR($B39="",TRIM($J39&amp;"")=""),"",SUMPRODUCT((입력_파견수련계획!$Q$4:$Q$803=TRIM($J39&amp;""))*입력_파견수련계획!$W$4:$W$803))</f>
        <v/>
      </c>
      <c r="Y39" s="10">
        <f>IF($B39="","",IF($AG39="","",IF(IF(TRIM($J39&amp;"")="",0,SUMPRODUCT((입력_파견수련계획!$Q$4:$Q$803=TRIM($J39&amp;""))*입력_파견수련계획!$AD$4:$AD$803))&gt;0,$AE39,IF(AND(N($X39)&lt;=0,$AQ39=""),$AG39,IF($AH39+$AI39=DAY(EOMONTH(출력_요약!$B$3,0)),IF(AND($AH39&gt;=출력_요약!$E$3,$AI39&lt;출력_요약!$E$3),"서울병원",IF(AND($AI39&gt;=출력_요약!$E$3,$AH39&lt;출력_요약!$E$3),"구리병원","⚠15일 판정불가(서울 "&amp;$AH39&amp;"일/구리 "&amp;$AI39&amp;"일)")),IF($AJ39="",$AE39,IF(INDEX(입력_파견수련계획!$T$4:$T$803,$AJ39)="통합수련",INDEX(입력_파견수련계획!$S$4:$S$803,$AJ39),$AE39)))))))</f>
        <v/>
      </c>
      <c r="Z39" s="20">
        <f>IF($B39="","",IF($AB39="","기본자료에 없는 사번",IF(COUNTIF($B$2:$B$401,$B39)&gt;1,"중복 사번",IF($AE39="","소속(입사장소) 입력",IF(IF(TRIM($J39&amp;"")="",0,SUMPRODUCT((입력_파견수련계획!$Q$4:$Q$803=TRIM($J39&amp;""))*(입력_파견수련계획!$AA$4:$AA$803&lt;&gt;"")))&gt;0,"파견수련계획 입력오류 확인",IF(LEFT($Y39,1)="⚠","서울·구리 15일 판정 불가(양쪽 모두 이상/미만)",IF(IF($AC39="",0,N(INDEX(입력_인턴근무계획!$T$3:$T$402,$AC39)))&gt;0,"인턴계획 입력오류 확인",IF(AND($AQ39&lt;&gt;"",$AG39&lt;&gt;"구리병원",IF(TRIM($J39&amp;"")="",0,SUMPRODUCT((입력_파견수련계획!$Q$4:$Q$803=TRIM($J39&amp;""))*(입력_파견수련계획!$S$4:$S$803="구리병원")*입력_파견수련계획!$W$4:$W$803))=0),"구리 근무자명단에만 있음(파견수련계획 확인)",IF(AND($AC39&lt;&gt;"",$U39&lt;&gt;"파견중",$N39&lt;&gt;$AE39),"인턴 타지역 근무: 파견 여부 확인","정상")))))))))</f>
        <v/>
      </c>
      <c r="AA39" s="5" t="n"/>
      <c r="AB39" s="10">
        <f>IF($B39="","",IFERROR(MATCH($B39,입력_기본자료!$B$2:$B$1001,0),IFERROR(MATCH($B39&amp;"",입력_기본자료!$B$2:$B$1001,0),IFERROR(MATCH(VALUE($B39),입력_기본자료!$B$2:$B$1001,0),""))))</f>
        <v/>
      </c>
      <c r="AC39" s="10">
        <f>IF($B39="","",IFERROR(MATCH($B39,입력_인턴근무계획!$D$3:$D$402,0),IFERROR(MATCH($B39&amp;"",입력_인턴근무계획!$D$3:$D$402,0),IFERROR(MATCH(VALUE($B39),입력_인턴근무계획!$D$3:$D$402,0),""))))</f>
        <v/>
      </c>
      <c r="AD39" s="10">
        <f>IF(OR($AC39="",출력_인턴현황!$G$3=""),"",INDEX(입력_인턴근무계획!$M$3:$R$402,$AC39,출력_인턴현황!$G$3)&amp;"")</f>
        <v/>
      </c>
      <c r="AE39" s="10">
        <f>IF($B39="","",IF($M39&lt;&gt;"",$M39,IF(IF($AQ39="",FALSE,INDEX(출력_구리근무자!$J$6:$J$305,$AQ39)="구리독자"),"구리병원",IF($AF39&lt;&gt;"",IF(LEFT(INDEX(입력_파견수련계획!$R$4:$R$803,$AF39),1)&lt;&gt;"⚠",INDEX(입력_파견수련계획!$R$4:$R$803,$AF39),IF($H39="","",IF(RIGHT($H39,2)="병원",$H39,$H39&amp;"병원"))),IF($H39="","",IF(RIGHT($H39,2)="병원",$H39,$H39&amp;"병원"))))))</f>
        <v/>
      </c>
      <c r="AF39" s="10">
        <f>IF(OR($B39="",TRIM($J39&amp;"")=""),"",IFERROR(MATCH(TRIM($J39&amp;"")&amp;"|파견중",입력_파견수련계획!$Y$4:$Y$803,0),IFERROR(MATCH(TRIM($J39&amp;"")&amp;"|파견예정",입력_파견수련계획!$Y$4:$Y$803,0),IFERROR(MATCH(TRIM($J39&amp;"")&amp;"|파견종료",입력_파견수련계획!$Y$4:$Y$803,0),""))))</f>
        <v/>
      </c>
      <c r="AG39" s="10">
        <f>IF($B39="","",IF(AND(IF(OR($AC39="",출력_인턴현황!$K$2=""),"",INDEX(입력_인턴근무계획!$M$3:$R$402,$AC39,출력_인턴현황!$K$2)&amp;"")&lt;&gt;"",LEFT(IF(OR($AC39="",출력_인턴현황!$K$2=""),"",INDEX(입력_인턴근무계획!$M$3:$R$402,$AC39,출력_인턴현황!$K$2)&amp;""),1)&lt;&gt;"⚠"),LEFT(IF(OR($AC39="",출력_인턴현황!$K$2=""),"",INDEX(입력_인턴근무계획!$M$3:$R$402,$AC39,출력_인턴현황!$K$2)&amp;""),FIND(" ",IF(OR($AC39="",출력_인턴현황!$K$2=""),"",INDEX(입력_인턴근무계획!$M$3:$R$402,$AC39,출력_인턴현황!$K$2)&amp;""))-1),$AE39))</f>
        <v/>
      </c>
      <c r="AH39" s="17">
        <f>IF($B39="","",IF($AQ39&lt;&gt;"",MAX(0,DAY(EOMONTH(출력_요약!$B$3,0))-N($AR39)),IF(TRIM($J39&amp;"")="",0,SUMPRODUCT((입력_파견수련계획!$Q$4:$Q$803=TRIM($J39&amp;""))*(입력_파견수련계획!$S$4:$S$803="서울병원")*입력_파견수련계획!$W$4:$W$803))+IF($AG39="서울병원",MAX(0,DAY(EOMONTH(출력_요약!$B$3,0))-N($X39)),0)))</f>
        <v/>
      </c>
      <c r="AI39" s="17">
        <f>IF($B39="","",IF($AQ39&lt;&gt;"",N($AR39),IF(TRIM($J39&amp;"")="",0,SUMPRODUCT((입력_파견수련계획!$Q$4:$Q$803=TRIM($J39&amp;""))*(입력_파견수련계획!$S$4:$S$803="구리병원")*입력_파견수련계획!$W$4:$W$803))+IF($AG39="구리병원",MAX(0,DAY(EOMONTH(출력_요약!$B$3,0))-N($X39)),0)))</f>
        <v/>
      </c>
      <c r="AJ39" s="10">
        <f>IF(OR($B39="",TRIM($J39&amp;"")=""),"",IFERROR(MATCH(TRIM($J39&amp;"")&amp;"|월",입력_파견수련계획!$Z$4:$Z$803,0),""))</f>
        <v/>
      </c>
      <c r="AK39" s="10">
        <f>IF(OR($B39="",TRIM($J39&amp;"")=""),"",IFERROR(MATCH(TRIM($J39&amp;"")&amp;"|다기관",입력_파견수련계획!$AE$4:$AE$803,0),""))</f>
        <v/>
      </c>
      <c r="AL39" s="10">
        <f>IF($AK39="","","다기관 "&amp;TEXT(INDEX(입력_파견수련계획!$AB$4:$AB$803,$AK39),"yyyy-mm-dd")&amp;"~"&amp;IF(ISNUMBER(INDEX(입력_파견수련계획!$AC$4:$AC$803,$AK39)),TEXT(INDEX(입력_파견수련계획!$AC$4:$AC$803,$AK39),"yyyy-mm-dd"),""))</f>
        <v/>
      </c>
      <c r="AM39" s="10">
        <f>IF($Y39="서울병원",COUNTIF($Y$2:$Y39,"서울병원"),"")</f>
        <v/>
      </c>
      <c r="AN39" s="10">
        <f>IF(LEFT($Y39,1)="⚠",COUNTIF($Y$2:$Y39,"⚠*"),"")</f>
        <v/>
      </c>
      <c r="AO39" s="10">
        <f>IF(OR($B39="",$Y39=""),"",IF(IF(TRIM($J39&amp;"")="",0,SUMPRODUCT((입력_파견수련계획!$Q$4:$Q$803=TRIM($J39&amp;""))*입력_파견수련계획!$AD$4:$AD$803))&gt;0,"다기관 기간 → 소속병원 지급",IF(AND(N($X39)&lt;=0,$AQ39=""),"파견 없음 → 그 달 근무병원 지급",IF($AH39+$AI39=DAY(EOMONTH(출력_요약!$B$3,0)),"서울 "&amp;$AH39&amp;"일 / 구리 "&amp;$AI39&amp;"일"&amp;IF($AQ39&lt;&gt;""," (구리 근무자명단 반영)","")&amp;" → 15일 이상 근무 병원 지급","타 병원 포함 → "&amp;IF($AJ39="","소속",INDEX(입력_파견수련계획!$T$4:$T$803,$AJ39))&amp;" 규칙"))))</f>
        <v/>
      </c>
      <c r="AP39" s="10">
        <f>IF($B39="","",$C39&amp;"|"&amp;$F39)</f>
        <v/>
      </c>
      <c r="AQ39" s="10">
        <f>IF($B39="","",IFERROR(MATCH(ROW()-1,출력_구리근무자!$K$6:$K$305,0),""))</f>
        <v/>
      </c>
      <c r="AR39" s="10">
        <f>IF($AQ39="","",INDEX(출력_구리근무자!$H$6:$H$305,$AQ39))</f>
        <v/>
      </c>
    </row>
    <row r="40">
      <c r="A40" s="10">
        <f>IF(B40="","",ROW()-1)</f>
        <v/>
      </c>
      <c r="B40" s="19" t="n"/>
      <c r="C40" s="10">
        <f>IF($AB40="","",IF(INDEX(입력_기본자료!$C$2:$C$1001,$AB40)="","",INDEX(입력_기본자료!$C$2:$C$1001,$AB40)))</f>
        <v/>
      </c>
      <c r="D40" s="10">
        <f>IF($AB40="","",IF(INDEX(입력_기본자료!$J$2:$J$1001,$AB40)="","",INDEX(입력_기본자료!$J$2:$J$1001,$AB40)))</f>
        <v/>
      </c>
      <c r="E40" s="11">
        <f>IF($AB40="","",IF(INDEX(입력_기본자료!$K$2:$K$1001,$AB40)="","",IF(NOT(ISNUMBER(INDEX(입력_기본자료!$K$2:$K$1001,$AB40))),INDEX(입력_기본자료!$K$2:$K$1001,$AB40),IF(INDEX(입력_기본자료!$K$2:$K$1001,$AB40)&lt;1000000,INDEX(입력_기본자료!$K$2:$K$1001,$AB40),IF(AND(INDEX(입력_기본자료!$K$2:$K$1001,$AB40)&gt;=10000101,INT(MOD(INDEX(입력_기본자료!$K$2:$K$1001,$AB40),10000)/100)&gt;=1,INT(MOD(INDEX(입력_기본자료!$K$2:$K$1001,$AB40),10000)/100)&lt;=12,MOD(INDEX(입력_기본자료!$K$2:$K$1001,$AB40),100)&gt;=1,MOD(INDEX(입력_기본자료!$K$2:$K$1001,$AB40),100)&lt;=31),DATE(INT(INDEX(입력_기본자료!$K$2:$K$1001,$AB40)/10000),INT(MOD(INDEX(입력_기본자료!$K$2:$K$1001,$AB40),10000)/100),MOD(INDEX(입력_기본자료!$K$2:$K$1001,$AB40),100)),INDEX(입력_기본자료!$K$2:$K$1001,$AB40)&amp;"")))))</f>
        <v/>
      </c>
      <c r="F40" s="10">
        <f>IF($AB40="","",IF(INDEX(입력_기본자료!$D$2:$D$1001,$AB40)="","",INDEX(입력_기본자료!$D$2:$D$1001,$AB40)))</f>
        <v/>
      </c>
      <c r="G40" s="10">
        <f>IF($AB40="","",IF(INDEX(입력_기본자료!$E$2:$E$1001,$AB40)="","",INDEX(입력_기본자료!$E$2:$E$1001,$AB40)))</f>
        <v/>
      </c>
      <c r="H40" s="10">
        <f>IF($AB40="","",IF(INDEX(입력_기본자료!$F$2:$F$1001,$AB40)="","",INDEX(입력_기본자료!$F$2:$F$1001,$AB40)))</f>
        <v/>
      </c>
      <c r="I40" s="11">
        <f>IF($AB40="","",IF(INDEX(입력_기본자료!$G$2:$G$1001,$AB40)="","",IF(NOT(ISNUMBER(INDEX(입력_기본자료!$G$2:$G$1001,$AB40))),INDEX(입력_기본자료!$G$2:$G$1001,$AB40),IF(INDEX(입력_기본자료!$G$2:$G$1001,$AB40)&lt;1000000,INDEX(입력_기본자료!$G$2:$G$1001,$AB40),IF(AND(INDEX(입력_기본자료!$G$2:$G$1001,$AB40)&gt;=10000101,INT(MOD(INDEX(입력_기본자료!$G$2:$G$1001,$AB40),10000)/100)&gt;=1,INT(MOD(INDEX(입력_기본자료!$G$2:$G$1001,$AB40),10000)/100)&lt;=12,MOD(INDEX(입력_기본자료!$G$2:$G$1001,$AB40),100)&gt;=1,MOD(INDEX(입력_기본자료!$G$2:$G$1001,$AB40),100)&lt;=31),DATE(INT(INDEX(입력_기본자료!$G$2:$G$1001,$AB40)/10000),INT(MOD(INDEX(입력_기본자료!$G$2:$G$1001,$AB40),10000)/100),MOD(INDEX(입력_기본자료!$G$2:$G$1001,$AB40),100)),INDEX(입력_기본자료!$G$2:$G$1001,$AB40)&amp;"")))))</f>
        <v/>
      </c>
      <c r="J40" s="10">
        <f>IF($AB40="","",IF(INDEX(입력_기본자료!$H$2:$H$1001,$AB40)="","",INDEX(입력_기본자료!$H$2:$H$1001,$AB40)))</f>
        <v/>
      </c>
      <c r="K40" s="10">
        <f>IF($AB40="","",IF(INDEX(입력_기본자료!$I$2:$I$1001,$AB40)="","",INDEX(입력_기본자료!$I$2:$I$1001,$AB40)))</f>
        <v/>
      </c>
      <c r="L40" s="10">
        <f>IF($AB40="","",IF(INDEX(입력_기본자료!$A$2:$A$1001,$AB40)="","",INDEX(입력_기본자료!$A$2:$A$1001,$AB40)))</f>
        <v/>
      </c>
      <c r="M40" s="15" t="n"/>
      <c r="N40" s="10">
        <f>IF($B40="","",IF(AND($U40="파견중",$Q40&lt;&gt;""),$Q40,IF(AND($AD40&lt;&gt;"",LEFT($AD40,1)&lt;&gt;"⚠"),LEFT($AD40,FIND(" ",$AD40)-1),IF($H40="","",IF(RIGHT($H40,2)="병원",$H40,$H40&amp;"병원")))))</f>
        <v/>
      </c>
      <c r="O40" s="10">
        <f>IF($B40="","",IF(AND($U40="파견중",$Q40&lt;&gt;""),IF($R40&lt;&gt;"",$R40,"파견과 미입력"),IF(AND($AD40&lt;&gt;"",LEFT($AD40,1)&lt;&gt;"⚠"),MID($AD40,FIND(" ",$AD40)+1,60),IF($F40="","",IF($F40="인턴","수련교육부(인턴)",$F40)))))</f>
        <v/>
      </c>
      <c r="P40" s="10">
        <f>IF($B40="","",IF($AK40&lt;&gt;"",IF(AND(TODAY()&gt;=INDEX(입력_파견수련계획!$AB$4:$AB$803,$AK40),OR(NOT(ISNUMBER(INDEX(입력_파견수련계획!$AC$4:$AC$803,$AK40))),TODAY()&lt;=INDEX(입력_파견수련계획!$AC$4:$AC$803,$AK40))),"다기관",IF($AF40="","",INDEX(입력_파견수련계획!$T$4:$T$803,$AF40))),IF($AF40="","",INDEX(입력_파견수련계획!$T$4:$T$803,$AF40))))</f>
        <v/>
      </c>
      <c r="Q40" s="10">
        <f>IF($AF40="","",INDEX(입력_파견수련계획!$S$4:$S$803,$AF40))</f>
        <v/>
      </c>
      <c r="R40" s="10">
        <f>IF($AF40="","",INDEX(입력_파견수련계획!$U$4:$U$803,$AF40))</f>
        <v/>
      </c>
      <c r="S40" s="11">
        <f>IF($AF40="","",IF(INDEX(입력_파견수련계획!$H$4:$H$803,$AF40)="","",INDEX(입력_파견수련계획!$H$4:$H$803,$AF40)))</f>
        <v/>
      </c>
      <c r="T40" s="11">
        <f>IF($AF40="","",IF(INDEX(입력_파견수련계획!$I$4:$I$803,$AF40)="","",INDEX(입력_파견수련계획!$I$4:$I$803,$AF40)))</f>
        <v/>
      </c>
      <c r="U40" s="10">
        <f>IF($AF40="","",INDEX(입력_파견수련계획!$X$4:$X$803,$AF40))</f>
        <v/>
      </c>
      <c r="V40" s="17">
        <f>IF($AF40="","",INDEX(입력_파견수련계획!$V$4:$V$803,$AF40))</f>
        <v/>
      </c>
      <c r="W40" s="17">
        <f>IF(AND($U40="파견중",$T40&lt;&gt;""),$T40-TODAY(),"")</f>
        <v/>
      </c>
      <c r="X40" s="17">
        <f>IF(OR($B40="",TRIM($J40&amp;"")=""),"",SUMPRODUCT((입력_파견수련계획!$Q$4:$Q$803=TRIM($J40&amp;""))*입력_파견수련계획!$W$4:$W$803))</f>
        <v/>
      </c>
      <c r="Y40" s="10">
        <f>IF($B40="","",IF($AG40="","",IF(IF(TRIM($J40&amp;"")="",0,SUMPRODUCT((입력_파견수련계획!$Q$4:$Q$803=TRIM($J40&amp;""))*입력_파견수련계획!$AD$4:$AD$803))&gt;0,$AE40,IF(AND(N($X40)&lt;=0,$AQ40=""),$AG40,IF($AH40+$AI40=DAY(EOMONTH(출력_요약!$B$3,0)),IF(AND($AH40&gt;=출력_요약!$E$3,$AI40&lt;출력_요약!$E$3),"서울병원",IF(AND($AI40&gt;=출력_요약!$E$3,$AH40&lt;출력_요약!$E$3),"구리병원","⚠15일 판정불가(서울 "&amp;$AH40&amp;"일/구리 "&amp;$AI40&amp;"일)")),IF($AJ40="",$AE40,IF(INDEX(입력_파견수련계획!$T$4:$T$803,$AJ40)="통합수련",INDEX(입력_파견수련계획!$S$4:$S$803,$AJ40),$AE40)))))))</f>
        <v/>
      </c>
      <c r="Z40" s="20">
        <f>IF($B40="","",IF($AB40="","기본자료에 없는 사번",IF(COUNTIF($B$2:$B$401,$B40)&gt;1,"중복 사번",IF($AE40="","소속(입사장소) 입력",IF(IF(TRIM($J40&amp;"")="",0,SUMPRODUCT((입력_파견수련계획!$Q$4:$Q$803=TRIM($J40&amp;""))*(입력_파견수련계획!$AA$4:$AA$803&lt;&gt;"")))&gt;0,"파견수련계획 입력오류 확인",IF(LEFT($Y40,1)="⚠","서울·구리 15일 판정 불가(양쪽 모두 이상/미만)",IF(IF($AC40="",0,N(INDEX(입력_인턴근무계획!$T$3:$T$402,$AC40)))&gt;0,"인턴계획 입력오류 확인",IF(AND($AQ40&lt;&gt;"",$AG40&lt;&gt;"구리병원",IF(TRIM($J40&amp;"")="",0,SUMPRODUCT((입력_파견수련계획!$Q$4:$Q$803=TRIM($J40&amp;""))*(입력_파견수련계획!$S$4:$S$803="구리병원")*입력_파견수련계획!$W$4:$W$803))=0),"구리 근무자명단에만 있음(파견수련계획 확인)",IF(AND($AC40&lt;&gt;"",$U40&lt;&gt;"파견중",$N40&lt;&gt;$AE40),"인턴 타지역 근무: 파견 여부 확인","정상")))))))))</f>
        <v/>
      </c>
      <c r="AA40" s="5" t="n"/>
      <c r="AB40" s="10">
        <f>IF($B40="","",IFERROR(MATCH($B40,입력_기본자료!$B$2:$B$1001,0),IFERROR(MATCH($B40&amp;"",입력_기본자료!$B$2:$B$1001,0),IFERROR(MATCH(VALUE($B40),입력_기본자료!$B$2:$B$1001,0),""))))</f>
        <v/>
      </c>
      <c r="AC40" s="10">
        <f>IF($B40="","",IFERROR(MATCH($B40,입력_인턴근무계획!$D$3:$D$402,0),IFERROR(MATCH($B40&amp;"",입력_인턴근무계획!$D$3:$D$402,0),IFERROR(MATCH(VALUE($B40),입력_인턴근무계획!$D$3:$D$402,0),""))))</f>
        <v/>
      </c>
      <c r="AD40" s="10">
        <f>IF(OR($AC40="",출력_인턴현황!$G$3=""),"",INDEX(입력_인턴근무계획!$M$3:$R$402,$AC40,출력_인턴현황!$G$3)&amp;"")</f>
        <v/>
      </c>
      <c r="AE40" s="10">
        <f>IF($B40="","",IF($M40&lt;&gt;"",$M40,IF(IF($AQ40="",FALSE,INDEX(출력_구리근무자!$J$6:$J$305,$AQ40)="구리독자"),"구리병원",IF($AF40&lt;&gt;"",IF(LEFT(INDEX(입력_파견수련계획!$R$4:$R$803,$AF40),1)&lt;&gt;"⚠",INDEX(입력_파견수련계획!$R$4:$R$803,$AF40),IF($H40="","",IF(RIGHT($H40,2)="병원",$H40,$H40&amp;"병원"))),IF($H40="","",IF(RIGHT($H40,2)="병원",$H40,$H40&amp;"병원"))))))</f>
        <v/>
      </c>
      <c r="AF40" s="10">
        <f>IF(OR($B40="",TRIM($J40&amp;"")=""),"",IFERROR(MATCH(TRIM($J40&amp;"")&amp;"|파견중",입력_파견수련계획!$Y$4:$Y$803,0),IFERROR(MATCH(TRIM($J40&amp;"")&amp;"|파견예정",입력_파견수련계획!$Y$4:$Y$803,0),IFERROR(MATCH(TRIM($J40&amp;"")&amp;"|파견종료",입력_파견수련계획!$Y$4:$Y$803,0),""))))</f>
        <v/>
      </c>
      <c r="AG40" s="10">
        <f>IF($B40="","",IF(AND(IF(OR($AC40="",출력_인턴현황!$K$2=""),"",INDEX(입력_인턴근무계획!$M$3:$R$402,$AC40,출력_인턴현황!$K$2)&amp;"")&lt;&gt;"",LEFT(IF(OR($AC40="",출력_인턴현황!$K$2=""),"",INDEX(입력_인턴근무계획!$M$3:$R$402,$AC40,출력_인턴현황!$K$2)&amp;""),1)&lt;&gt;"⚠"),LEFT(IF(OR($AC40="",출력_인턴현황!$K$2=""),"",INDEX(입력_인턴근무계획!$M$3:$R$402,$AC40,출력_인턴현황!$K$2)&amp;""),FIND(" ",IF(OR($AC40="",출력_인턴현황!$K$2=""),"",INDEX(입력_인턴근무계획!$M$3:$R$402,$AC40,출력_인턴현황!$K$2)&amp;""))-1),$AE40))</f>
        <v/>
      </c>
      <c r="AH40" s="17">
        <f>IF($B40="","",IF($AQ40&lt;&gt;"",MAX(0,DAY(EOMONTH(출력_요약!$B$3,0))-N($AR40)),IF(TRIM($J40&amp;"")="",0,SUMPRODUCT((입력_파견수련계획!$Q$4:$Q$803=TRIM($J40&amp;""))*(입력_파견수련계획!$S$4:$S$803="서울병원")*입력_파견수련계획!$W$4:$W$803))+IF($AG40="서울병원",MAX(0,DAY(EOMONTH(출력_요약!$B$3,0))-N($X40)),0)))</f>
        <v/>
      </c>
      <c r="AI40" s="17">
        <f>IF($B40="","",IF($AQ40&lt;&gt;"",N($AR40),IF(TRIM($J40&amp;"")="",0,SUMPRODUCT((입력_파견수련계획!$Q$4:$Q$803=TRIM($J40&amp;""))*(입력_파견수련계획!$S$4:$S$803="구리병원")*입력_파견수련계획!$W$4:$W$803))+IF($AG40="구리병원",MAX(0,DAY(EOMONTH(출력_요약!$B$3,0))-N($X40)),0)))</f>
        <v/>
      </c>
      <c r="AJ40" s="10">
        <f>IF(OR($B40="",TRIM($J40&amp;"")=""),"",IFERROR(MATCH(TRIM($J40&amp;"")&amp;"|월",입력_파견수련계획!$Z$4:$Z$803,0),""))</f>
        <v/>
      </c>
      <c r="AK40" s="10">
        <f>IF(OR($B40="",TRIM($J40&amp;"")=""),"",IFERROR(MATCH(TRIM($J40&amp;"")&amp;"|다기관",입력_파견수련계획!$AE$4:$AE$803,0),""))</f>
        <v/>
      </c>
      <c r="AL40" s="10">
        <f>IF($AK40="","","다기관 "&amp;TEXT(INDEX(입력_파견수련계획!$AB$4:$AB$803,$AK40),"yyyy-mm-dd")&amp;"~"&amp;IF(ISNUMBER(INDEX(입력_파견수련계획!$AC$4:$AC$803,$AK40)),TEXT(INDEX(입력_파견수련계획!$AC$4:$AC$803,$AK40),"yyyy-mm-dd"),""))</f>
        <v/>
      </c>
      <c r="AM40" s="10">
        <f>IF($Y40="서울병원",COUNTIF($Y$2:$Y40,"서울병원"),"")</f>
        <v/>
      </c>
      <c r="AN40" s="10">
        <f>IF(LEFT($Y40,1)="⚠",COUNTIF($Y$2:$Y40,"⚠*"),"")</f>
        <v/>
      </c>
      <c r="AO40" s="10">
        <f>IF(OR($B40="",$Y40=""),"",IF(IF(TRIM($J40&amp;"")="",0,SUMPRODUCT((입력_파견수련계획!$Q$4:$Q$803=TRIM($J40&amp;""))*입력_파견수련계획!$AD$4:$AD$803))&gt;0,"다기관 기간 → 소속병원 지급",IF(AND(N($X40)&lt;=0,$AQ40=""),"파견 없음 → 그 달 근무병원 지급",IF($AH40+$AI40=DAY(EOMONTH(출력_요약!$B$3,0)),"서울 "&amp;$AH40&amp;"일 / 구리 "&amp;$AI40&amp;"일"&amp;IF($AQ40&lt;&gt;""," (구리 근무자명단 반영)","")&amp;" → 15일 이상 근무 병원 지급","타 병원 포함 → "&amp;IF($AJ40="","소속",INDEX(입력_파견수련계획!$T$4:$T$803,$AJ40))&amp;" 규칙"))))</f>
        <v/>
      </c>
      <c r="AP40" s="10">
        <f>IF($B40="","",$C40&amp;"|"&amp;$F40)</f>
        <v/>
      </c>
      <c r="AQ40" s="10">
        <f>IF($B40="","",IFERROR(MATCH(ROW()-1,출력_구리근무자!$K$6:$K$305,0),""))</f>
        <v/>
      </c>
      <c r="AR40" s="10">
        <f>IF($AQ40="","",INDEX(출력_구리근무자!$H$6:$H$305,$AQ40))</f>
        <v/>
      </c>
    </row>
    <row r="41">
      <c r="A41" s="10">
        <f>IF(B41="","",ROW()-1)</f>
        <v/>
      </c>
      <c r="B41" s="19" t="n"/>
      <c r="C41" s="10">
        <f>IF($AB41="","",IF(INDEX(입력_기본자료!$C$2:$C$1001,$AB41)="","",INDEX(입력_기본자료!$C$2:$C$1001,$AB41)))</f>
        <v/>
      </c>
      <c r="D41" s="10">
        <f>IF($AB41="","",IF(INDEX(입력_기본자료!$J$2:$J$1001,$AB41)="","",INDEX(입력_기본자료!$J$2:$J$1001,$AB41)))</f>
        <v/>
      </c>
      <c r="E41" s="11">
        <f>IF($AB41="","",IF(INDEX(입력_기본자료!$K$2:$K$1001,$AB41)="","",IF(NOT(ISNUMBER(INDEX(입력_기본자료!$K$2:$K$1001,$AB41))),INDEX(입력_기본자료!$K$2:$K$1001,$AB41),IF(INDEX(입력_기본자료!$K$2:$K$1001,$AB41)&lt;1000000,INDEX(입력_기본자료!$K$2:$K$1001,$AB41),IF(AND(INDEX(입력_기본자료!$K$2:$K$1001,$AB41)&gt;=10000101,INT(MOD(INDEX(입력_기본자료!$K$2:$K$1001,$AB41),10000)/100)&gt;=1,INT(MOD(INDEX(입력_기본자료!$K$2:$K$1001,$AB41),10000)/100)&lt;=12,MOD(INDEX(입력_기본자료!$K$2:$K$1001,$AB41),100)&gt;=1,MOD(INDEX(입력_기본자료!$K$2:$K$1001,$AB41),100)&lt;=31),DATE(INT(INDEX(입력_기본자료!$K$2:$K$1001,$AB41)/10000),INT(MOD(INDEX(입력_기본자료!$K$2:$K$1001,$AB41),10000)/100),MOD(INDEX(입력_기본자료!$K$2:$K$1001,$AB41),100)),INDEX(입력_기본자료!$K$2:$K$1001,$AB41)&amp;"")))))</f>
        <v/>
      </c>
      <c r="F41" s="10">
        <f>IF($AB41="","",IF(INDEX(입력_기본자료!$D$2:$D$1001,$AB41)="","",INDEX(입력_기본자료!$D$2:$D$1001,$AB41)))</f>
        <v/>
      </c>
      <c r="G41" s="10">
        <f>IF($AB41="","",IF(INDEX(입력_기본자료!$E$2:$E$1001,$AB41)="","",INDEX(입력_기본자료!$E$2:$E$1001,$AB41)))</f>
        <v/>
      </c>
      <c r="H41" s="10">
        <f>IF($AB41="","",IF(INDEX(입력_기본자료!$F$2:$F$1001,$AB41)="","",INDEX(입력_기본자료!$F$2:$F$1001,$AB41)))</f>
        <v/>
      </c>
      <c r="I41" s="11">
        <f>IF($AB41="","",IF(INDEX(입력_기본자료!$G$2:$G$1001,$AB41)="","",IF(NOT(ISNUMBER(INDEX(입력_기본자료!$G$2:$G$1001,$AB41))),INDEX(입력_기본자료!$G$2:$G$1001,$AB41),IF(INDEX(입력_기본자료!$G$2:$G$1001,$AB41)&lt;1000000,INDEX(입력_기본자료!$G$2:$G$1001,$AB41),IF(AND(INDEX(입력_기본자료!$G$2:$G$1001,$AB41)&gt;=10000101,INT(MOD(INDEX(입력_기본자료!$G$2:$G$1001,$AB41),10000)/100)&gt;=1,INT(MOD(INDEX(입력_기본자료!$G$2:$G$1001,$AB41),10000)/100)&lt;=12,MOD(INDEX(입력_기본자료!$G$2:$G$1001,$AB41),100)&gt;=1,MOD(INDEX(입력_기본자료!$G$2:$G$1001,$AB41),100)&lt;=31),DATE(INT(INDEX(입력_기본자료!$G$2:$G$1001,$AB41)/10000),INT(MOD(INDEX(입력_기본자료!$G$2:$G$1001,$AB41),10000)/100),MOD(INDEX(입력_기본자료!$G$2:$G$1001,$AB41),100)),INDEX(입력_기본자료!$G$2:$G$1001,$AB41)&amp;"")))))</f>
        <v/>
      </c>
      <c r="J41" s="10">
        <f>IF($AB41="","",IF(INDEX(입력_기본자료!$H$2:$H$1001,$AB41)="","",INDEX(입력_기본자료!$H$2:$H$1001,$AB41)))</f>
        <v/>
      </c>
      <c r="K41" s="10">
        <f>IF($AB41="","",IF(INDEX(입력_기본자료!$I$2:$I$1001,$AB41)="","",INDEX(입력_기본자료!$I$2:$I$1001,$AB41)))</f>
        <v/>
      </c>
      <c r="L41" s="10">
        <f>IF($AB41="","",IF(INDEX(입력_기본자료!$A$2:$A$1001,$AB41)="","",INDEX(입력_기본자료!$A$2:$A$1001,$AB41)))</f>
        <v/>
      </c>
      <c r="M41" s="15" t="n"/>
      <c r="N41" s="10">
        <f>IF($B41="","",IF(AND($U41="파견중",$Q41&lt;&gt;""),$Q41,IF(AND($AD41&lt;&gt;"",LEFT($AD41,1)&lt;&gt;"⚠"),LEFT($AD41,FIND(" ",$AD41)-1),IF($H41="","",IF(RIGHT($H41,2)="병원",$H41,$H41&amp;"병원")))))</f>
        <v/>
      </c>
      <c r="O41" s="10">
        <f>IF($B41="","",IF(AND($U41="파견중",$Q41&lt;&gt;""),IF($R41&lt;&gt;"",$R41,"파견과 미입력"),IF(AND($AD41&lt;&gt;"",LEFT($AD41,1)&lt;&gt;"⚠"),MID($AD41,FIND(" ",$AD41)+1,60),IF($F41="","",IF($F41="인턴","수련교육부(인턴)",$F41)))))</f>
        <v/>
      </c>
      <c r="P41" s="10">
        <f>IF($B41="","",IF($AK41&lt;&gt;"",IF(AND(TODAY()&gt;=INDEX(입력_파견수련계획!$AB$4:$AB$803,$AK41),OR(NOT(ISNUMBER(INDEX(입력_파견수련계획!$AC$4:$AC$803,$AK41))),TODAY()&lt;=INDEX(입력_파견수련계획!$AC$4:$AC$803,$AK41))),"다기관",IF($AF41="","",INDEX(입력_파견수련계획!$T$4:$T$803,$AF41))),IF($AF41="","",INDEX(입력_파견수련계획!$T$4:$T$803,$AF41))))</f>
        <v/>
      </c>
      <c r="Q41" s="10">
        <f>IF($AF41="","",INDEX(입력_파견수련계획!$S$4:$S$803,$AF41))</f>
        <v/>
      </c>
      <c r="R41" s="10">
        <f>IF($AF41="","",INDEX(입력_파견수련계획!$U$4:$U$803,$AF41))</f>
        <v/>
      </c>
      <c r="S41" s="11">
        <f>IF($AF41="","",IF(INDEX(입력_파견수련계획!$H$4:$H$803,$AF41)="","",INDEX(입력_파견수련계획!$H$4:$H$803,$AF41)))</f>
        <v/>
      </c>
      <c r="T41" s="11">
        <f>IF($AF41="","",IF(INDEX(입력_파견수련계획!$I$4:$I$803,$AF41)="","",INDEX(입력_파견수련계획!$I$4:$I$803,$AF41)))</f>
        <v/>
      </c>
      <c r="U41" s="10">
        <f>IF($AF41="","",INDEX(입력_파견수련계획!$X$4:$X$803,$AF41))</f>
        <v/>
      </c>
      <c r="V41" s="17">
        <f>IF($AF41="","",INDEX(입력_파견수련계획!$V$4:$V$803,$AF41))</f>
        <v/>
      </c>
      <c r="W41" s="17">
        <f>IF(AND($U41="파견중",$T41&lt;&gt;""),$T41-TODAY(),"")</f>
        <v/>
      </c>
      <c r="X41" s="17">
        <f>IF(OR($B41="",TRIM($J41&amp;"")=""),"",SUMPRODUCT((입력_파견수련계획!$Q$4:$Q$803=TRIM($J41&amp;""))*입력_파견수련계획!$W$4:$W$803))</f>
        <v/>
      </c>
      <c r="Y41" s="10">
        <f>IF($B41="","",IF($AG41="","",IF(IF(TRIM($J41&amp;"")="",0,SUMPRODUCT((입력_파견수련계획!$Q$4:$Q$803=TRIM($J41&amp;""))*입력_파견수련계획!$AD$4:$AD$803))&gt;0,$AE41,IF(AND(N($X41)&lt;=0,$AQ41=""),$AG41,IF($AH41+$AI41=DAY(EOMONTH(출력_요약!$B$3,0)),IF(AND($AH41&gt;=출력_요약!$E$3,$AI41&lt;출력_요약!$E$3),"서울병원",IF(AND($AI41&gt;=출력_요약!$E$3,$AH41&lt;출력_요약!$E$3),"구리병원","⚠15일 판정불가(서울 "&amp;$AH41&amp;"일/구리 "&amp;$AI41&amp;"일)")),IF($AJ41="",$AE41,IF(INDEX(입력_파견수련계획!$T$4:$T$803,$AJ41)="통합수련",INDEX(입력_파견수련계획!$S$4:$S$803,$AJ41),$AE41)))))))</f>
        <v/>
      </c>
      <c r="Z41" s="20">
        <f>IF($B41="","",IF($AB41="","기본자료에 없는 사번",IF(COUNTIF($B$2:$B$401,$B41)&gt;1,"중복 사번",IF($AE41="","소속(입사장소) 입력",IF(IF(TRIM($J41&amp;"")="",0,SUMPRODUCT((입력_파견수련계획!$Q$4:$Q$803=TRIM($J41&amp;""))*(입력_파견수련계획!$AA$4:$AA$803&lt;&gt;"")))&gt;0,"파견수련계획 입력오류 확인",IF(LEFT($Y41,1)="⚠","서울·구리 15일 판정 불가(양쪽 모두 이상/미만)",IF(IF($AC41="",0,N(INDEX(입력_인턴근무계획!$T$3:$T$402,$AC41)))&gt;0,"인턴계획 입력오류 확인",IF(AND($AQ41&lt;&gt;"",$AG41&lt;&gt;"구리병원",IF(TRIM($J41&amp;"")="",0,SUMPRODUCT((입력_파견수련계획!$Q$4:$Q$803=TRIM($J41&amp;""))*(입력_파견수련계획!$S$4:$S$803="구리병원")*입력_파견수련계획!$W$4:$W$803))=0),"구리 근무자명단에만 있음(파견수련계획 확인)",IF(AND($AC41&lt;&gt;"",$U41&lt;&gt;"파견중",$N41&lt;&gt;$AE41),"인턴 타지역 근무: 파견 여부 확인","정상")))))))))</f>
        <v/>
      </c>
      <c r="AA41" s="5" t="n"/>
      <c r="AB41" s="10">
        <f>IF($B41="","",IFERROR(MATCH($B41,입력_기본자료!$B$2:$B$1001,0),IFERROR(MATCH($B41&amp;"",입력_기본자료!$B$2:$B$1001,0),IFERROR(MATCH(VALUE($B41),입력_기본자료!$B$2:$B$1001,0),""))))</f>
        <v/>
      </c>
      <c r="AC41" s="10">
        <f>IF($B41="","",IFERROR(MATCH($B41,입력_인턴근무계획!$D$3:$D$402,0),IFERROR(MATCH($B41&amp;"",입력_인턴근무계획!$D$3:$D$402,0),IFERROR(MATCH(VALUE($B41),입력_인턴근무계획!$D$3:$D$402,0),""))))</f>
        <v/>
      </c>
      <c r="AD41" s="10">
        <f>IF(OR($AC41="",출력_인턴현황!$G$3=""),"",INDEX(입력_인턴근무계획!$M$3:$R$402,$AC41,출력_인턴현황!$G$3)&amp;"")</f>
        <v/>
      </c>
      <c r="AE41" s="10">
        <f>IF($B41="","",IF($M41&lt;&gt;"",$M41,IF(IF($AQ41="",FALSE,INDEX(출력_구리근무자!$J$6:$J$305,$AQ41)="구리독자"),"구리병원",IF($AF41&lt;&gt;"",IF(LEFT(INDEX(입력_파견수련계획!$R$4:$R$803,$AF41),1)&lt;&gt;"⚠",INDEX(입력_파견수련계획!$R$4:$R$803,$AF41),IF($H41="","",IF(RIGHT($H41,2)="병원",$H41,$H41&amp;"병원"))),IF($H41="","",IF(RIGHT($H41,2)="병원",$H41,$H41&amp;"병원"))))))</f>
        <v/>
      </c>
      <c r="AF41" s="10">
        <f>IF(OR($B41="",TRIM($J41&amp;"")=""),"",IFERROR(MATCH(TRIM($J41&amp;"")&amp;"|파견중",입력_파견수련계획!$Y$4:$Y$803,0),IFERROR(MATCH(TRIM($J41&amp;"")&amp;"|파견예정",입력_파견수련계획!$Y$4:$Y$803,0),IFERROR(MATCH(TRIM($J41&amp;"")&amp;"|파견종료",입력_파견수련계획!$Y$4:$Y$803,0),""))))</f>
        <v/>
      </c>
      <c r="AG41" s="10">
        <f>IF($B41="","",IF(AND(IF(OR($AC41="",출력_인턴현황!$K$2=""),"",INDEX(입력_인턴근무계획!$M$3:$R$402,$AC41,출력_인턴현황!$K$2)&amp;"")&lt;&gt;"",LEFT(IF(OR($AC41="",출력_인턴현황!$K$2=""),"",INDEX(입력_인턴근무계획!$M$3:$R$402,$AC41,출력_인턴현황!$K$2)&amp;""),1)&lt;&gt;"⚠"),LEFT(IF(OR($AC41="",출력_인턴현황!$K$2=""),"",INDEX(입력_인턴근무계획!$M$3:$R$402,$AC41,출력_인턴현황!$K$2)&amp;""),FIND(" ",IF(OR($AC41="",출력_인턴현황!$K$2=""),"",INDEX(입력_인턴근무계획!$M$3:$R$402,$AC41,출력_인턴현황!$K$2)&amp;""))-1),$AE41))</f>
        <v/>
      </c>
      <c r="AH41" s="17">
        <f>IF($B41="","",IF($AQ41&lt;&gt;"",MAX(0,DAY(EOMONTH(출력_요약!$B$3,0))-N($AR41)),IF(TRIM($J41&amp;"")="",0,SUMPRODUCT((입력_파견수련계획!$Q$4:$Q$803=TRIM($J41&amp;""))*(입력_파견수련계획!$S$4:$S$803="서울병원")*입력_파견수련계획!$W$4:$W$803))+IF($AG41="서울병원",MAX(0,DAY(EOMONTH(출력_요약!$B$3,0))-N($X41)),0)))</f>
        <v/>
      </c>
      <c r="AI41" s="17">
        <f>IF($B41="","",IF($AQ41&lt;&gt;"",N($AR41),IF(TRIM($J41&amp;"")="",0,SUMPRODUCT((입력_파견수련계획!$Q$4:$Q$803=TRIM($J41&amp;""))*(입력_파견수련계획!$S$4:$S$803="구리병원")*입력_파견수련계획!$W$4:$W$803))+IF($AG41="구리병원",MAX(0,DAY(EOMONTH(출력_요약!$B$3,0))-N($X41)),0)))</f>
        <v/>
      </c>
      <c r="AJ41" s="10">
        <f>IF(OR($B41="",TRIM($J41&amp;"")=""),"",IFERROR(MATCH(TRIM($J41&amp;"")&amp;"|월",입력_파견수련계획!$Z$4:$Z$803,0),""))</f>
        <v/>
      </c>
      <c r="AK41" s="10">
        <f>IF(OR($B41="",TRIM($J41&amp;"")=""),"",IFERROR(MATCH(TRIM($J41&amp;"")&amp;"|다기관",입력_파견수련계획!$AE$4:$AE$803,0),""))</f>
        <v/>
      </c>
      <c r="AL41" s="10">
        <f>IF($AK41="","","다기관 "&amp;TEXT(INDEX(입력_파견수련계획!$AB$4:$AB$803,$AK41),"yyyy-mm-dd")&amp;"~"&amp;IF(ISNUMBER(INDEX(입력_파견수련계획!$AC$4:$AC$803,$AK41)),TEXT(INDEX(입력_파견수련계획!$AC$4:$AC$803,$AK41),"yyyy-mm-dd"),""))</f>
        <v/>
      </c>
      <c r="AM41" s="10">
        <f>IF($Y41="서울병원",COUNTIF($Y$2:$Y41,"서울병원"),"")</f>
        <v/>
      </c>
      <c r="AN41" s="10">
        <f>IF(LEFT($Y41,1)="⚠",COUNTIF($Y$2:$Y41,"⚠*"),"")</f>
        <v/>
      </c>
      <c r="AO41" s="10">
        <f>IF(OR($B41="",$Y41=""),"",IF(IF(TRIM($J41&amp;"")="",0,SUMPRODUCT((입력_파견수련계획!$Q$4:$Q$803=TRIM($J41&amp;""))*입력_파견수련계획!$AD$4:$AD$803))&gt;0,"다기관 기간 → 소속병원 지급",IF(AND(N($X41)&lt;=0,$AQ41=""),"파견 없음 → 그 달 근무병원 지급",IF($AH41+$AI41=DAY(EOMONTH(출력_요약!$B$3,0)),"서울 "&amp;$AH41&amp;"일 / 구리 "&amp;$AI41&amp;"일"&amp;IF($AQ41&lt;&gt;""," (구리 근무자명단 반영)","")&amp;" → 15일 이상 근무 병원 지급","타 병원 포함 → "&amp;IF($AJ41="","소속",INDEX(입력_파견수련계획!$T$4:$T$803,$AJ41))&amp;" 규칙"))))</f>
        <v/>
      </c>
      <c r="AP41" s="10">
        <f>IF($B41="","",$C41&amp;"|"&amp;$F41)</f>
        <v/>
      </c>
      <c r="AQ41" s="10">
        <f>IF($B41="","",IFERROR(MATCH(ROW()-1,출력_구리근무자!$K$6:$K$305,0),""))</f>
        <v/>
      </c>
      <c r="AR41" s="10">
        <f>IF($AQ41="","",INDEX(출력_구리근무자!$H$6:$H$305,$AQ41))</f>
        <v/>
      </c>
    </row>
    <row r="42">
      <c r="A42" s="10">
        <f>IF(B42="","",ROW()-1)</f>
        <v/>
      </c>
      <c r="B42" s="19" t="n"/>
      <c r="C42" s="10">
        <f>IF($AB42="","",IF(INDEX(입력_기본자료!$C$2:$C$1001,$AB42)="","",INDEX(입력_기본자료!$C$2:$C$1001,$AB42)))</f>
        <v/>
      </c>
      <c r="D42" s="10">
        <f>IF($AB42="","",IF(INDEX(입력_기본자료!$J$2:$J$1001,$AB42)="","",INDEX(입력_기본자료!$J$2:$J$1001,$AB42)))</f>
        <v/>
      </c>
      <c r="E42" s="11">
        <f>IF($AB42="","",IF(INDEX(입력_기본자료!$K$2:$K$1001,$AB42)="","",IF(NOT(ISNUMBER(INDEX(입력_기본자료!$K$2:$K$1001,$AB42))),INDEX(입력_기본자료!$K$2:$K$1001,$AB42),IF(INDEX(입력_기본자료!$K$2:$K$1001,$AB42)&lt;1000000,INDEX(입력_기본자료!$K$2:$K$1001,$AB42),IF(AND(INDEX(입력_기본자료!$K$2:$K$1001,$AB42)&gt;=10000101,INT(MOD(INDEX(입력_기본자료!$K$2:$K$1001,$AB42),10000)/100)&gt;=1,INT(MOD(INDEX(입력_기본자료!$K$2:$K$1001,$AB42),10000)/100)&lt;=12,MOD(INDEX(입력_기본자료!$K$2:$K$1001,$AB42),100)&gt;=1,MOD(INDEX(입력_기본자료!$K$2:$K$1001,$AB42),100)&lt;=31),DATE(INT(INDEX(입력_기본자료!$K$2:$K$1001,$AB42)/10000),INT(MOD(INDEX(입력_기본자료!$K$2:$K$1001,$AB42),10000)/100),MOD(INDEX(입력_기본자료!$K$2:$K$1001,$AB42),100)),INDEX(입력_기본자료!$K$2:$K$1001,$AB42)&amp;"")))))</f>
        <v/>
      </c>
      <c r="F42" s="10">
        <f>IF($AB42="","",IF(INDEX(입력_기본자료!$D$2:$D$1001,$AB42)="","",INDEX(입력_기본자료!$D$2:$D$1001,$AB42)))</f>
        <v/>
      </c>
      <c r="G42" s="10">
        <f>IF($AB42="","",IF(INDEX(입력_기본자료!$E$2:$E$1001,$AB42)="","",INDEX(입력_기본자료!$E$2:$E$1001,$AB42)))</f>
        <v/>
      </c>
      <c r="H42" s="10">
        <f>IF($AB42="","",IF(INDEX(입력_기본자료!$F$2:$F$1001,$AB42)="","",INDEX(입력_기본자료!$F$2:$F$1001,$AB42)))</f>
        <v/>
      </c>
      <c r="I42" s="11">
        <f>IF($AB42="","",IF(INDEX(입력_기본자료!$G$2:$G$1001,$AB42)="","",IF(NOT(ISNUMBER(INDEX(입력_기본자료!$G$2:$G$1001,$AB42))),INDEX(입력_기본자료!$G$2:$G$1001,$AB42),IF(INDEX(입력_기본자료!$G$2:$G$1001,$AB42)&lt;1000000,INDEX(입력_기본자료!$G$2:$G$1001,$AB42),IF(AND(INDEX(입력_기본자료!$G$2:$G$1001,$AB42)&gt;=10000101,INT(MOD(INDEX(입력_기본자료!$G$2:$G$1001,$AB42),10000)/100)&gt;=1,INT(MOD(INDEX(입력_기본자료!$G$2:$G$1001,$AB42),10000)/100)&lt;=12,MOD(INDEX(입력_기본자료!$G$2:$G$1001,$AB42),100)&gt;=1,MOD(INDEX(입력_기본자료!$G$2:$G$1001,$AB42),100)&lt;=31),DATE(INT(INDEX(입력_기본자료!$G$2:$G$1001,$AB42)/10000),INT(MOD(INDEX(입력_기본자료!$G$2:$G$1001,$AB42),10000)/100),MOD(INDEX(입력_기본자료!$G$2:$G$1001,$AB42),100)),INDEX(입력_기본자료!$G$2:$G$1001,$AB42)&amp;"")))))</f>
        <v/>
      </c>
      <c r="J42" s="10">
        <f>IF($AB42="","",IF(INDEX(입력_기본자료!$H$2:$H$1001,$AB42)="","",INDEX(입력_기본자료!$H$2:$H$1001,$AB42)))</f>
        <v/>
      </c>
      <c r="K42" s="10">
        <f>IF($AB42="","",IF(INDEX(입력_기본자료!$I$2:$I$1001,$AB42)="","",INDEX(입력_기본자료!$I$2:$I$1001,$AB42)))</f>
        <v/>
      </c>
      <c r="L42" s="10">
        <f>IF($AB42="","",IF(INDEX(입력_기본자료!$A$2:$A$1001,$AB42)="","",INDEX(입력_기본자료!$A$2:$A$1001,$AB42)))</f>
        <v/>
      </c>
      <c r="M42" s="15" t="n"/>
      <c r="N42" s="10">
        <f>IF($B42="","",IF(AND($U42="파견중",$Q42&lt;&gt;""),$Q42,IF(AND($AD42&lt;&gt;"",LEFT($AD42,1)&lt;&gt;"⚠"),LEFT($AD42,FIND(" ",$AD42)-1),IF($H42="","",IF(RIGHT($H42,2)="병원",$H42,$H42&amp;"병원")))))</f>
        <v/>
      </c>
      <c r="O42" s="10">
        <f>IF($B42="","",IF(AND($U42="파견중",$Q42&lt;&gt;""),IF($R42&lt;&gt;"",$R42,"파견과 미입력"),IF(AND($AD42&lt;&gt;"",LEFT($AD42,1)&lt;&gt;"⚠"),MID($AD42,FIND(" ",$AD42)+1,60),IF($F42="","",IF($F42="인턴","수련교육부(인턴)",$F42)))))</f>
        <v/>
      </c>
      <c r="P42" s="10">
        <f>IF($B42="","",IF($AK42&lt;&gt;"",IF(AND(TODAY()&gt;=INDEX(입력_파견수련계획!$AB$4:$AB$803,$AK42),OR(NOT(ISNUMBER(INDEX(입력_파견수련계획!$AC$4:$AC$803,$AK42))),TODAY()&lt;=INDEX(입력_파견수련계획!$AC$4:$AC$803,$AK42))),"다기관",IF($AF42="","",INDEX(입력_파견수련계획!$T$4:$T$803,$AF42))),IF($AF42="","",INDEX(입력_파견수련계획!$T$4:$T$803,$AF42))))</f>
        <v/>
      </c>
      <c r="Q42" s="10">
        <f>IF($AF42="","",INDEX(입력_파견수련계획!$S$4:$S$803,$AF42))</f>
        <v/>
      </c>
      <c r="R42" s="10">
        <f>IF($AF42="","",INDEX(입력_파견수련계획!$U$4:$U$803,$AF42))</f>
        <v/>
      </c>
      <c r="S42" s="11">
        <f>IF($AF42="","",IF(INDEX(입력_파견수련계획!$H$4:$H$803,$AF42)="","",INDEX(입력_파견수련계획!$H$4:$H$803,$AF42)))</f>
        <v/>
      </c>
      <c r="T42" s="11">
        <f>IF($AF42="","",IF(INDEX(입력_파견수련계획!$I$4:$I$803,$AF42)="","",INDEX(입력_파견수련계획!$I$4:$I$803,$AF42)))</f>
        <v/>
      </c>
      <c r="U42" s="10">
        <f>IF($AF42="","",INDEX(입력_파견수련계획!$X$4:$X$803,$AF42))</f>
        <v/>
      </c>
      <c r="V42" s="17">
        <f>IF($AF42="","",INDEX(입력_파견수련계획!$V$4:$V$803,$AF42))</f>
        <v/>
      </c>
      <c r="W42" s="17">
        <f>IF(AND($U42="파견중",$T42&lt;&gt;""),$T42-TODAY(),"")</f>
        <v/>
      </c>
      <c r="X42" s="17">
        <f>IF(OR($B42="",TRIM($J42&amp;"")=""),"",SUMPRODUCT((입력_파견수련계획!$Q$4:$Q$803=TRIM($J42&amp;""))*입력_파견수련계획!$W$4:$W$803))</f>
        <v/>
      </c>
      <c r="Y42" s="10">
        <f>IF($B42="","",IF($AG42="","",IF(IF(TRIM($J42&amp;"")="",0,SUMPRODUCT((입력_파견수련계획!$Q$4:$Q$803=TRIM($J42&amp;""))*입력_파견수련계획!$AD$4:$AD$803))&gt;0,$AE42,IF(AND(N($X42)&lt;=0,$AQ42=""),$AG42,IF($AH42+$AI42=DAY(EOMONTH(출력_요약!$B$3,0)),IF(AND($AH42&gt;=출력_요약!$E$3,$AI42&lt;출력_요약!$E$3),"서울병원",IF(AND($AI42&gt;=출력_요약!$E$3,$AH42&lt;출력_요약!$E$3),"구리병원","⚠15일 판정불가(서울 "&amp;$AH42&amp;"일/구리 "&amp;$AI42&amp;"일)")),IF($AJ42="",$AE42,IF(INDEX(입력_파견수련계획!$T$4:$T$803,$AJ42)="통합수련",INDEX(입력_파견수련계획!$S$4:$S$803,$AJ42),$AE42)))))))</f>
        <v/>
      </c>
      <c r="Z42" s="20">
        <f>IF($B42="","",IF($AB42="","기본자료에 없는 사번",IF(COUNTIF($B$2:$B$401,$B42)&gt;1,"중복 사번",IF($AE42="","소속(입사장소) 입력",IF(IF(TRIM($J42&amp;"")="",0,SUMPRODUCT((입력_파견수련계획!$Q$4:$Q$803=TRIM($J42&amp;""))*(입력_파견수련계획!$AA$4:$AA$803&lt;&gt;"")))&gt;0,"파견수련계획 입력오류 확인",IF(LEFT($Y42,1)="⚠","서울·구리 15일 판정 불가(양쪽 모두 이상/미만)",IF(IF($AC42="",0,N(INDEX(입력_인턴근무계획!$T$3:$T$402,$AC42)))&gt;0,"인턴계획 입력오류 확인",IF(AND($AQ42&lt;&gt;"",$AG42&lt;&gt;"구리병원",IF(TRIM($J42&amp;"")="",0,SUMPRODUCT((입력_파견수련계획!$Q$4:$Q$803=TRIM($J42&amp;""))*(입력_파견수련계획!$S$4:$S$803="구리병원")*입력_파견수련계획!$W$4:$W$803))=0),"구리 근무자명단에만 있음(파견수련계획 확인)",IF(AND($AC42&lt;&gt;"",$U42&lt;&gt;"파견중",$N42&lt;&gt;$AE42),"인턴 타지역 근무: 파견 여부 확인","정상")))))))))</f>
        <v/>
      </c>
      <c r="AA42" s="5" t="n"/>
      <c r="AB42" s="10">
        <f>IF($B42="","",IFERROR(MATCH($B42,입력_기본자료!$B$2:$B$1001,0),IFERROR(MATCH($B42&amp;"",입력_기본자료!$B$2:$B$1001,0),IFERROR(MATCH(VALUE($B42),입력_기본자료!$B$2:$B$1001,0),""))))</f>
        <v/>
      </c>
      <c r="AC42" s="10">
        <f>IF($B42="","",IFERROR(MATCH($B42,입력_인턴근무계획!$D$3:$D$402,0),IFERROR(MATCH($B42&amp;"",입력_인턴근무계획!$D$3:$D$402,0),IFERROR(MATCH(VALUE($B42),입력_인턴근무계획!$D$3:$D$402,0),""))))</f>
        <v/>
      </c>
      <c r="AD42" s="10">
        <f>IF(OR($AC42="",출력_인턴현황!$G$3=""),"",INDEX(입력_인턴근무계획!$M$3:$R$402,$AC42,출력_인턴현황!$G$3)&amp;"")</f>
        <v/>
      </c>
      <c r="AE42" s="10">
        <f>IF($B42="","",IF($M42&lt;&gt;"",$M42,IF(IF($AQ42="",FALSE,INDEX(출력_구리근무자!$J$6:$J$305,$AQ42)="구리독자"),"구리병원",IF($AF42&lt;&gt;"",IF(LEFT(INDEX(입력_파견수련계획!$R$4:$R$803,$AF42),1)&lt;&gt;"⚠",INDEX(입력_파견수련계획!$R$4:$R$803,$AF42),IF($H42="","",IF(RIGHT($H42,2)="병원",$H42,$H42&amp;"병원"))),IF($H42="","",IF(RIGHT($H42,2)="병원",$H42,$H42&amp;"병원"))))))</f>
        <v/>
      </c>
      <c r="AF42" s="10">
        <f>IF(OR($B42="",TRIM($J42&amp;"")=""),"",IFERROR(MATCH(TRIM($J42&amp;"")&amp;"|파견중",입력_파견수련계획!$Y$4:$Y$803,0),IFERROR(MATCH(TRIM($J42&amp;"")&amp;"|파견예정",입력_파견수련계획!$Y$4:$Y$803,0),IFERROR(MATCH(TRIM($J42&amp;"")&amp;"|파견종료",입력_파견수련계획!$Y$4:$Y$803,0),""))))</f>
        <v/>
      </c>
      <c r="AG42" s="10">
        <f>IF($B42="","",IF(AND(IF(OR($AC42="",출력_인턴현황!$K$2=""),"",INDEX(입력_인턴근무계획!$M$3:$R$402,$AC42,출력_인턴현황!$K$2)&amp;"")&lt;&gt;"",LEFT(IF(OR($AC42="",출력_인턴현황!$K$2=""),"",INDEX(입력_인턴근무계획!$M$3:$R$402,$AC42,출력_인턴현황!$K$2)&amp;""),1)&lt;&gt;"⚠"),LEFT(IF(OR($AC42="",출력_인턴현황!$K$2=""),"",INDEX(입력_인턴근무계획!$M$3:$R$402,$AC42,출력_인턴현황!$K$2)&amp;""),FIND(" ",IF(OR($AC42="",출력_인턴현황!$K$2=""),"",INDEX(입력_인턴근무계획!$M$3:$R$402,$AC42,출력_인턴현황!$K$2)&amp;""))-1),$AE42))</f>
        <v/>
      </c>
      <c r="AH42" s="17">
        <f>IF($B42="","",IF($AQ42&lt;&gt;"",MAX(0,DAY(EOMONTH(출력_요약!$B$3,0))-N($AR42)),IF(TRIM($J42&amp;"")="",0,SUMPRODUCT((입력_파견수련계획!$Q$4:$Q$803=TRIM($J42&amp;""))*(입력_파견수련계획!$S$4:$S$803="서울병원")*입력_파견수련계획!$W$4:$W$803))+IF($AG42="서울병원",MAX(0,DAY(EOMONTH(출력_요약!$B$3,0))-N($X42)),0)))</f>
        <v/>
      </c>
      <c r="AI42" s="17">
        <f>IF($B42="","",IF($AQ42&lt;&gt;"",N($AR42),IF(TRIM($J42&amp;"")="",0,SUMPRODUCT((입력_파견수련계획!$Q$4:$Q$803=TRIM($J42&amp;""))*(입력_파견수련계획!$S$4:$S$803="구리병원")*입력_파견수련계획!$W$4:$W$803))+IF($AG42="구리병원",MAX(0,DAY(EOMONTH(출력_요약!$B$3,0))-N($X42)),0)))</f>
        <v/>
      </c>
      <c r="AJ42" s="10">
        <f>IF(OR($B42="",TRIM($J42&amp;"")=""),"",IFERROR(MATCH(TRIM($J42&amp;"")&amp;"|월",입력_파견수련계획!$Z$4:$Z$803,0),""))</f>
        <v/>
      </c>
      <c r="AK42" s="10">
        <f>IF(OR($B42="",TRIM($J42&amp;"")=""),"",IFERROR(MATCH(TRIM($J42&amp;"")&amp;"|다기관",입력_파견수련계획!$AE$4:$AE$803,0),""))</f>
        <v/>
      </c>
      <c r="AL42" s="10">
        <f>IF($AK42="","","다기관 "&amp;TEXT(INDEX(입력_파견수련계획!$AB$4:$AB$803,$AK42),"yyyy-mm-dd")&amp;"~"&amp;IF(ISNUMBER(INDEX(입력_파견수련계획!$AC$4:$AC$803,$AK42)),TEXT(INDEX(입력_파견수련계획!$AC$4:$AC$803,$AK42),"yyyy-mm-dd"),""))</f>
        <v/>
      </c>
      <c r="AM42" s="10">
        <f>IF($Y42="서울병원",COUNTIF($Y$2:$Y42,"서울병원"),"")</f>
        <v/>
      </c>
      <c r="AN42" s="10">
        <f>IF(LEFT($Y42,1)="⚠",COUNTIF($Y$2:$Y42,"⚠*"),"")</f>
        <v/>
      </c>
      <c r="AO42" s="10">
        <f>IF(OR($B42="",$Y42=""),"",IF(IF(TRIM($J42&amp;"")="",0,SUMPRODUCT((입력_파견수련계획!$Q$4:$Q$803=TRIM($J42&amp;""))*입력_파견수련계획!$AD$4:$AD$803))&gt;0,"다기관 기간 → 소속병원 지급",IF(AND(N($X42)&lt;=0,$AQ42=""),"파견 없음 → 그 달 근무병원 지급",IF($AH42+$AI42=DAY(EOMONTH(출력_요약!$B$3,0)),"서울 "&amp;$AH42&amp;"일 / 구리 "&amp;$AI42&amp;"일"&amp;IF($AQ42&lt;&gt;""," (구리 근무자명단 반영)","")&amp;" → 15일 이상 근무 병원 지급","타 병원 포함 → "&amp;IF($AJ42="","소속",INDEX(입력_파견수련계획!$T$4:$T$803,$AJ42))&amp;" 규칙"))))</f>
        <v/>
      </c>
      <c r="AP42" s="10">
        <f>IF($B42="","",$C42&amp;"|"&amp;$F42)</f>
        <v/>
      </c>
      <c r="AQ42" s="10">
        <f>IF($B42="","",IFERROR(MATCH(ROW()-1,출력_구리근무자!$K$6:$K$305,0),""))</f>
        <v/>
      </c>
      <c r="AR42" s="10">
        <f>IF($AQ42="","",INDEX(출력_구리근무자!$H$6:$H$305,$AQ42))</f>
        <v/>
      </c>
    </row>
    <row r="43">
      <c r="A43" s="10">
        <f>IF(B43="","",ROW()-1)</f>
        <v/>
      </c>
      <c r="B43" s="19" t="n"/>
      <c r="C43" s="10">
        <f>IF($AB43="","",IF(INDEX(입력_기본자료!$C$2:$C$1001,$AB43)="","",INDEX(입력_기본자료!$C$2:$C$1001,$AB43)))</f>
        <v/>
      </c>
      <c r="D43" s="10">
        <f>IF($AB43="","",IF(INDEX(입력_기본자료!$J$2:$J$1001,$AB43)="","",INDEX(입력_기본자료!$J$2:$J$1001,$AB43)))</f>
        <v/>
      </c>
      <c r="E43" s="11">
        <f>IF($AB43="","",IF(INDEX(입력_기본자료!$K$2:$K$1001,$AB43)="","",IF(NOT(ISNUMBER(INDEX(입력_기본자료!$K$2:$K$1001,$AB43))),INDEX(입력_기본자료!$K$2:$K$1001,$AB43),IF(INDEX(입력_기본자료!$K$2:$K$1001,$AB43)&lt;1000000,INDEX(입력_기본자료!$K$2:$K$1001,$AB43),IF(AND(INDEX(입력_기본자료!$K$2:$K$1001,$AB43)&gt;=10000101,INT(MOD(INDEX(입력_기본자료!$K$2:$K$1001,$AB43),10000)/100)&gt;=1,INT(MOD(INDEX(입력_기본자료!$K$2:$K$1001,$AB43),10000)/100)&lt;=12,MOD(INDEX(입력_기본자료!$K$2:$K$1001,$AB43),100)&gt;=1,MOD(INDEX(입력_기본자료!$K$2:$K$1001,$AB43),100)&lt;=31),DATE(INT(INDEX(입력_기본자료!$K$2:$K$1001,$AB43)/10000),INT(MOD(INDEX(입력_기본자료!$K$2:$K$1001,$AB43),10000)/100),MOD(INDEX(입력_기본자료!$K$2:$K$1001,$AB43),100)),INDEX(입력_기본자료!$K$2:$K$1001,$AB43)&amp;"")))))</f>
        <v/>
      </c>
      <c r="F43" s="10">
        <f>IF($AB43="","",IF(INDEX(입력_기본자료!$D$2:$D$1001,$AB43)="","",INDEX(입력_기본자료!$D$2:$D$1001,$AB43)))</f>
        <v/>
      </c>
      <c r="G43" s="10">
        <f>IF($AB43="","",IF(INDEX(입력_기본자료!$E$2:$E$1001,$AB43)="","",INDEX(입력_기본자료!$E$2:$E$1001,$AB43)))</f>
        <v/>
      </c>
      <c r="H43" s="10">
        <f>IF($AB43="","",IF(INDEX(입력_기본자료!$F$2:$F$1001,$AB43)="","",INDEX(입력_기본자료!$F$2:$F$1001,$AB43)))</f>
        <v/>
      </c>
      <c r="I43" s="11">
        <f>IF($AB43="","",IF(INDEX(입력_기본자료!$G$2:$G$1001,$AB43)="","",IF(NOT(ISNUMBER(INDEX(입력_기본자료!$G$2:$G$1001,$AB43))),INDEX(입력_기본자료!$G$2:$G$1001,$AB43),IF(INDEX(입력_기본자료!$G$2:$G$1001,$AB43)&lt;1000000,INDEX(입력_기본자료!$G$2:$G$1001,$AB43),IF(AND(INDEX(입력_기본자료!$G$2:$G$1001,$AB43)&gt;=10000101,INT(MOD(INDEX(입력_기본자료!$G$2:$G$1001,$AB43),10000)/100)&gt;=1,INT(MOD(INDEX(입력_기본자료!$G$2:$G$1001,$AB43),10000)/100)&lt;=12,MOD(INDEX(입력_기본자료!$G$2:$G$1001,$AB43),100)&gt;=1,MOD(INDEX(입력_기본자료!$G$2:$G$1001,$AB43),100)&lt;=31),DATE(INT(INDEX(입력_기본자료!$G$2:$G$1001,$AB43)/10000),INT(MOD(INDEX(입력_기본자료!$G$2:$G$1001,$AB43),10000)/100),MOD(INDEX(입력_기본자료!$G$2:$G$1001,$AB43),100)),INDEX(입력_기본자료!$G$2:$G$1001,$AB43)&amp;"")))))</f>
        <v/>
      </c>
      <c r="J43" s="10">
        <f>IF($AB43="","",IF(INDEX(입력_기본자료!$H$2:$H$1001,$AB43)="","",INDEX(입력_기본자료!$H$2:$H$1001,$AB43)))</f>
        <v/>
      </c>
      <c r="K43" s="10">
        <f>IF($AB43="","",IF(INDEX(입력_기본자료!$I$2:$I$1001,$AB43)="","",INDEX(입력_기본자료!$I$2:$I$1001,$AB43)))</f>
        <v/>
      </c>
      <c r="L43" s="10">
        <f>IF($AB43="","",IF(INDEX(입력_기본자료!$A$2:$A$1001,$AB43)="","",INDEX(입력_기본자료!$A$2:$A$1001,$AB43)))</f>
        <v/>
      </c>
      <c r="M43" s="15" t="n"/>
      <c r="N43" s="10">
        <f>IF($B43="","",IF(AND($U43="파견중",$Q43&lt;&gt;""),$Q43,IF(AND($AD43&lt;&gt;"",LEFT($AD43,1)&lt;&gt;"⚠"),LEFT($AD43,FIND(" ",$AD43)-1),IF($H43="","",IF(RIGHT($H43,2)="병원",$H43,$H43&amp;"병원")))))</f>
        <v/>
      </c>
      <c r="O43" s="10">
        <f>IF($B43="","",IF(AND($U43="파견중",$Q43&lt;&gt;""),IF($R43&lt;&gt;"",$R43,"파견과 미입력"),IF(AND($AD43&lt;&gt;"",LEFT($AD43,1)&lt;&gt;"⚠"),MID($AD43,FIND(" ",$AD43)+1,60),IF($F43="","",IF($F43="인턴","수련교육부(인턴)",$F43)))))</f>
        <v/>
      </c>
      <c r="P43" s="10">
        <f>IF($B43="","",IF($AK43&lt;&gt;"",IF(AND(TODAY()&gt;=INDEX(입력_파견수련계획!$AB$4:$AB$803,$AK43),OR(NOT(ISNUMBER(INDEX(입력_파견수련계획!$AC$4:$AC$803,$AK43))),TODAY()&lt;=INDEX(입력_파견수련계획!$AC$4:$AC$803,$AK43))),"다기관",IF($AF43="","",INDEX(입력_파견수련계획!$T$4:$T$803,$AF43))),IF($AF43="","",INDEX(입력_파견수련계획!$T$4:$T$803,$AF43))))</f>
        <v/>
      </c>
      <c r="Q43" s="10">
        <f>IF($AF43="","",INDEX(입력_파견수련계획!$S$4:$S$803,$AF43))</f>
        <v/>
      </c>
      <c r="R43" s="10">
        <f>IF($AF43="","",INDEX(입력_파견수련계획!$U$4:$U$803,$AF43))</f>
        <v/>
      </c>
      <c r="S43" s="11">
        <f>IF($AF43="","",IF(INDEX(입력_파견수련계획!$H$4:$H$803,$AF43)="","",INDEX(입력_파견수련계획!$H$4:$H$803,$AF43)))</f>
        <v/>
      </c>
      <c r="T43" s="11">
        <f>IF($AF43="","",IF(INDEX(입력_파견수련계획!$I$4:$I$803,$AF43)="","",INDEX(입력_파견수련계획!$I$4:$I$803,$AF43)))</f>
        <v/>
      </c>
      <c r="U43" s="10">
        <f>IF($AF43="","",INDEX(입력_파견수련계획!$X$4:$X$803,$AF43))</f>
        <v/>
      </c>
      <c r="V43" s="17">
        <f>IF($AF43="","",INDEX(입력_파견수련계획!$V$4:$V$803,$AF43))</f>
        <v/>
      </c>
      <c r="W43" s="17">
        <f>IF(AND($U43="파견중",$T43&lt;&gt;""),$T43-TODAY(),"")</f>
        <v/>
      </c>
      <c r="X43" s="17">
        <f>IF(OR($B43="",TRIM($J43&amp;"")=""),"",SUMPRODUCT((입력_파견수련계획!$Q$4:$Q$803=TRIM($J43&amp;""))*입력_파견수련계획!$W$4:$W$803))</f>
        <v/>
      </c>
      <c r="Y43" s="10">
        <f>IF($B43="","",IF($AG43="","",IF(IF(TRIM($J43&amp;"")="",0,SUMPRODUCT((입력_파견수련계획!$Q$4:$Q$803=TRIM($J43&amp;""))*입력_파견수련계획!$AD$4:$AD$803))&gt;0,$AE43,IF(AND(N($X43)&lt;=0,$AQ43=""),$AG43,IF($AH43+$AI43=DAY(EOMONTH(출력_요약!$B$3,0)),IF(AND($AH43&gt;=출력_요약!$E$3,$AI43&lt;출력_요약!$E$3),"서울병원",IF(AND($AI43&gt;=출력_요약!$E$3,$AH43&lt;출력_요약!$E$3),"구리병원","⚠15일 판정불가(서울 "&amp;$AH43&amp;"일/구리 "&amp;$AI43&amp;"일)")),IF($AJ43="",$AE43,IF(INDEX(입력_파견수련계획!$T$4:$T$803,$AJ43)="통합수련",INDEX(입력_파견수련계획!$S$4:$S$803,$AJ43),$AE43)))))))</f>
        <v/>
      </c>
      <c r="Z43" s="20">
        <f>IF($B43="","",IF($AB43="","기본자료에 없는 사번",IF(COUNTIF($B$2:$B$401,$B43)&gt;1,"중복 사번",IF($AE43="","소속(입사장소) 입력",IF(IF(TRIM($J43&amp;"")="",0,SUMPRODUCT((입력_파견수련계획!$Q$4:$Q$803=TRIM($J43&amp;""))*(입력_파견수련계획!$AA$4:$AA$803&lt;&gt;"")))&gt;0,"파견수련계획 입력오류 확인",IF(LEFT($Y43,1)="⚠","서울·구리 15일 판정 불가(양쪽 모두 이상/미만)",IF(IF($AC43="",0,N(INDEX(입력_인턴근무계획!$T$3:$T$402,$AC43)))&gt;0,"인턴계획 입력오류 확인",IF(AND($AQ43&lt;&gt;"",$AG43&lt;&gt;"구리병원",IF(TRIM($J43&amp;"")="",0,SUMPRODUCT((입력_파견수련계획!$Q$4:$Q$803=TRIM($J43&amp;""))*(입력_파견수련계획!$S$4:$S$803="구리병원")*입력_파견수련계획!$W$4:$W$803))=0),"구리 근무자명단에만 있음(파견수련계획 확인)",IF(AND($AC43&lt;&gt;"",$U43&lt;&gt;"파견중",$N43&lt;&gt;$AE43),"인턴 타지역 근무: 파견 여부 확인","정상")))))))))</f>
        <v/>
      </c>
      <c r="AA43" s="5" t="n"/>
      <c r="AB43" s="10">
        <f>IF($B43="","",IFERROR(MATCH($B43,입력_기본자료!$B$2:$B$1001,0),IFERROR(MATCH($B43&amp;"",입력_기본자료!$B$2:$B$1001,0),IFERROR(MATCH(VALUE($B43),입력_기본자료!$B$2:$B$1001,0),""))))</f>
        <v/>
      </c>
      <c r="AC43" s="10">
        <f>IF($B43="","",IFERROR(MATCH($B43,입력_인턴근무계획!$D$3:$D$402,0),IFERROR(MATCH($B43&amp;"",입력_인턴근무계획!$D$3:$D$402,0),IFERROR(MATCH(VALUE($B43),입력_인턴근무계획!$D$3:$D$402,0),""))))</f>
        <v/>
      </c>
      <c r="AD43" s="10">
        <f>IF(OR($AC43="",출력_인턴현황!$G$3=""),"",INDEX(입력_인턴근무계획!$M$3:$R$402,$AC43,출력_인턴현황!$G$3)&amp;"")</f>
        <v/>
      </c>
      <c r="AE43" s="10">
        <f>IF($B43="","",IF($M43&lt;&gt;"",$M43,IF(IF($AQ43="",FALSE,INDEX(출력_구리근무자!$J$6:$J$305,$AQ43)="구리독자"),"구리병원",IF($AF43&lt;&gt;"",IF(LEFT(INDEX(입력_파견수련계획!$R$4:$R$803,$AF43),1)&lt;&gt;"⚠",INDEX(입력_파견수련계획!$R$4:$R$803,$AF43),IF($H43="","",IF(RIGHT($H43,2)="병원",$H43,$H43&amp;"병원"))),IF($H43="","",IF(RIGHT($H43,2)="병원",$H43,$H43&amp;"병원"))))))</f>
        <v/>
      </c>
      <c r="AF43" s="10">
        <f>IF(OR($B43="",TRIM($J43&amp;"")=""),"",IFERROR(MATCH(TRIM($J43&amp;"")&amp;"|파견중",입력_파견수련계획!$Y$4:$Y$803,0),IFERROR(MATCH(TRIM($J43&amp;"")&amp;"|파견예정",입력_파견수련계획!$Y$4:$Y$803,0),IFERROR(MATCH(TRIM($J43&amp;"")&amp;"|파견종료",입력_파견수련계획!$Y$4:$Y$803,0),""))))</f>
        <v/>
      </c>
      <c r="AG43" s="10">
        <f>IF($B43="","",IF(AND(IF(OR($AC43="",출력_인턴현황!$K$2=""),"",INDEX(입력_인턴근무계획!$M$3:$R$402,$AC43,출력_인턴현황!$K$2)&amp;"")&lt;&gt;"",LEFT(IF(OR($AC43="",출력_인턴현황!$K$2=""),"",INDEX(입력_인턴근무계획!$M$3:$R$402,$AC43,출력_인턴현황!$K$2)&amp;""),1)&lt;&gt;"⚠"),LEFT(IF(OR($AC43="",출력_인턴현황!$K$2=""),"",INDEX(입력_인턴근무계획!$M$3:$R$402,$AC43,출력_인턴현황!$K$2)&amp;""),FIND(" ",IF(OR($AC43="",출력_인턴현황!$K$2=""),"",INDEX(입력_인턴근무계획!$M$3:$R$402,$AC43,출력_인턴현황!$K$2)&amp;""))-1),$AE43))</f>
        <v/>
      </c>
      <c r="AH43" s="17">
        <f>IF($B43="","",IF($AQ43&lt;&gt;"",MAX(0,DAY(EOMONTH(출력_요약!$B$3,0))-N($AR43)),IF(TRIM($J43&amp;"")="",0,SUMPRODUCT((입력_파견수련계획!$Q$4:$Q$803=TRIM($J43&amp;""))*(입력_파견수련계획!$S$4:$S$803="서울병원")*입력_파견수련계획!$W$4:$W$803))+IF($AG43="서울병원",MAX(0,DAY(EOMONTH(출력_요약!$B$3,0))-N($X43)),0)))</f>
        <v/>
      </c>
      <c r="AI43" s="17">
        <f>IF($B43="","",IF($AQ43&lt;&gt;"",N($AR43),IF(TRIM($J43&amp;"")="",0,SUMPRODUCT((입력_파견수련계획!$Q$4:$Q$803=TRIM($J43&amp;""))*(입력_파견수련계획!$S$4:$S$803="구리병원")*입력_파견수련계획!$W$4:$W$803))+IF($AG43="구리병원",MAX(0,DAY(EOMONTH(출력_요약!$B$3,0))-N($X43)),0)))</f>
        <v/>
      </c>
      <c r="AJ43" s="10">
        <f>IF(OR($B43="",TRIM($J43&amp;"")=""),"",IFERROR(MATCH(TRIM($J43&amp;"")&amp;"|월",입력_파견수련계획!$Z$4:$Z$803,0),""))</f>
        <v/>
      </c>
      <c r="AK43" s="10">
        <f>IF(OR($B43="",TRIM($J43&amp;"")=""),"",IFERROR(MATCH(TRIM($J43&amp;"")&amp;"|다기관",입력_파견수련계획!$AE$4:$AE$803,0),""))</f>
        <v/>
      </c>
      <c r="AL43" s="10">
        <f>IF($AK43="","","다기관 "&amp;TEXT(INDEX(입력_파견수련계획!$AB$4:$AB$803,$AK43),"yyyy-mm-dd")&amp;"~"&amp;IF(ISNUMBER(INDEX(입력_파견수련계획!$AC$4:$AC$803,$AK43)),TEXT(INDEX(입력_파견수련계획!$AC$4:$AC$803,$AK43),"yyyy-mm-dd"),""))</f>
        <v/>
      </c>
      <c r="AM43" s="10">
        <f>IF($Y43="서울병원",COUNTIF($Y$2:$Y43,"서울병원"),"")</f>
        <v/>
      </c>
      <c r="AN43" s="10">
        <f>IF(LEFT($Y43,1)="⚠",COUNTIF($Y$2:$Y43,"⚠*"),"")</f>
        <v/>
      </c>
      <c r="AO43" s="10">
        <f>IF(OR($B43="",$Y43=""),"",IF(IF(TRIM($J43&amp;"")="",0,SUMPRODUCT((입력_파견수련계획!$Q$4:$Q$803=TRIM($J43&amp;""))*입력_파견수련계획!$AD$4:$AD$803))&gt;0,"다기관 기간 → 소속병원 지급",IF(AND(N($X43)&lt;=0,$AQ43=""),"파견 없음 → 그 달 근무병원 지급",IF($AH43+$AI43=DAY(EOMONTH(출력_요약!$B$3,0)),"서울 "&amp;$AH43&amp;"일 / 구리 "&amp;$AI43&amp;"일"&amp;IF($AQ43&lt;&gt;""," (구리 근무자명단 반영)","")&amp;" → 15일 이상 근무 병원 지급","타 병원 포함 → "&amp;IF($AJ43="","소속",INDEX(입력_파견수련계획!$T$4:$T$803,$AJ43))&amp;" 규칙"))))</f>
        <v/>
      </c>
      <c r="AP43" s="10">
        <f>IF($B43="","",$C43&amp;"|"&amp;$F43)</f>
        <v/>
      </c>
      <c r="AQ43" s="10">
        <f>IF($B43="","",IFERROR(MATCH(ROW()-1,출력_구리근무자!$K$6:$K$305,0),""))</f>
        <v/>
      </c>
      <c r="AR43" s="10">
        <f>IF($AQ43="","",INDEX(출력_구리근무자!$H$6:$H$305,$AQ43))</f>
        <v/>
      </c>
    </row>
    <row r="44">
      <c r="A44" s="10">
        <f>IF(B44="","",ROW()-1)</f>
        <v/>
      </c>
      <c r="B44" s="19" t="n"/>
      <c r="C44" s="10">
        <f>IF($AB44="","",IF(INDEX(입력_기본자료!$C$2:$C$1001,$AB44)="","",INDEX(입력_기본자료!$C$2:$C$1001,$AB44)))</f>
        <v/>
      </c>
      <c r="D44" s="10">
        <f>IF($AB44="","",IF(INDEX(입력_기본자료!$J$2:$J$1001,$AB44)="","",INDEX(입력_기본자료!$J$2:$J$1001,$AB44)))</f>
        <v/>
      </c>
      <c r="E44" s="11">
        <f>IF($AB44="","",IF(INDEX(입력_기본자료!$K$2:$K$1001,$AB44)="","",IF(NOT(ISNUMBER(INDEX(입력_기본자료!$K$2:$K$1001,$AB44))),INDEX(입력_기본자료!$K$2:$K$1001,$AB44),IF(INDEX(입력_기본자료!$K$2:$K$1001,$AB44)&lt;1000000,INDEX(입력_기본자료!$K$2:$K$1001,$AB44),IF(AND(INDEX(입력_기본자료!$K$2:$K$1001,$AB44)&gt;=10000101,INT(MOD(INDEX(입력_기본자료!$K$2:$K$1001,$AB44),10000)/100)&gt;=1,INT(MOD(INDEX(입력_기본자료!$K$2:$K$1001,$AB44),10000)/100)&lt;=12,MOD(INDEX(입력_기본자료!$K$2:$K$1001,$AB44),100)&gt;=1,MOD(INDEX(입력_기본자료!$K$2:$K$1001,$AB44),100)&lt;=31),DATE(INT(INDEX(입력_기본자료!$K$2:$K$1001,$AB44)/10000),INT(MOD(INDEX(입력_기본자료!$K$2:$K$1001,$AB44),10000)/100),MOD(INDEX(입력_기본자료!$K$2:$K$1001,$AB44),100)),INDEX(입력_기본자료!$K$2:$K$1001,$AB44)&amp;"")))))</f>
        <v/>
      </c>
      <c r="F44" s="10">
        <f>IF($AB44="","",IF(INDEX(입력_기본자료!$D$2:$D$1001,$AB44)="","",INDEX(입력_기본자료!$D$2:$D$1001,$AB44)))</f>
        <v/>
      </c>
      <c r="G44" s="10">
        <f>IF($AB44="","",IF(INDEX(입력_기본자료!$E$2:$E$1001,$AB44)="","",INDEX(입력_기본자료!$E$2:$E$1001,$AB44)))</f>
        <v/>
      </c>
      <c r="H44" s="10">
        <f>IF($AB44="","",IF(INDEX(입력_기본자료!$F$2:$F$1001,$AB44)="","",INDEX(입력_기본자료!$F$2:$F$1001,$AB44)))</f>
        <v/>
      </c>
      <c r="I44" s="11">
        <f>IF($AB44="","",IF(INDEX(입력_기본자료!$G$2:$G$1001,$AB44)="","",IF(NOT(ISNUMBER(INDEX(입력_기본자료!$G$2:$G$1001,$AB44))),INDEX(입력_기본자료!$G$2:$G$1001,$AB44),IF(INDEX(입력_기본자료!$G$2:$G$1001,$AB44)&lt;1000000,INDEX(입력_기본자료!$G$2:$G$1001,$AB44),IF(AND(INDEX(입력_기본자료!$G$2:$G$1001,$AB44)&gt;=10000101,INT(MOD(INDEX(입력_기본자료!$G$2:$G$1001,$AB44),10000)/100)&gt;=1,INT(MOD(INDEX(입력_기본자료!$G$2:$G$1001,$AB44),10000)/100)&lt;=12,MOD(INDEX(입력_기본자료!$G$2:$G$1001,$AB44),100)&gt;=1,MOD(INDEX(입력_기본자료!$G$2:$G$1001,$AB44),100)&lt;=31),DATE(INT(INDEX(입력_기본자료!$G$2:$G$1001,$AB44)/10000),INT(MOD(INDEX(입력_기본자료!$G$2:$G$1001,$AB44),10000)/100),MOD(INDEX(입력_기본자료!$G$2:$G$1001,$AB44),100)),INDEX(입력_기본자료!$G$2:$G$1001,$AB44)&amp;"")))))</f>
        <v/>
      </c>
      <c r="J44" s="10">
        <f>IF($AB44="","",IF(INDEX(입력_기본자료!$H$2:$H$1001,$AB44)="","",INDEX(입력_기본자료!$H$2:$H$1001,$AB44)))</f>
        <v/>
      </c>
      <c r="K44" s="10">
        <f>IF($AB44="","",IF(INDEX(입력_기본자료!$I$2:$I$1001,$AB44)="","",INDEX(입력_기본자료!$I$2:$I$1001,$AB44)))</f>
        <v/>
      </c>
      <c r="L44" s="10">
        <f>IF($AB44="","",IF(INDEX(입력_기본자료!$A$2:$A$1001,$AB44)="","",INDEX(입력_기본자료!$A$2:$A$1001,$AB44)))</f>
        <v/>
      </c>
      <c r="M44" s="15" t="n"/>
      <c r="N44" s="10">
        <f>IF($B44="","",IF(AND($U44="파견중",$Q44&lt;&gt;""),$Q44,IF(AND($AD44&lt;&gt;"",LEFT($AD44,1)&lt;&gt;"⚠"),LEFT($AD44,FIND(" ",$AD44)-1),IF($H44="","",IF(RIGHT($H44,2)="병원",$H44,$H44&amp;"병원")))))</f>
        <v/>
      </c>
      <c r="O44" s="10">
        <f>IF($B44="","",IF(AND($U44="파견중",$Q44&lt;&gt;""),IF($R44&lt;&gt;"",$R44,"파견과 미입력"),IF(AND($AD44&lt;&gt;"",LEFT($AD44,1)&lt;&gt;"⚠"),MID($AD44,FIND(" ",$AD44)+1,60),IF($F44="","",IF($F44="인턴","수련교육부(인턴)",$F44)))))</f>
        <v/>
      </c>
      <c r="P44" s="10">
        <f>IF($B44="","",IF($AK44&lt;&gt;"",IF(AND(TODAY()&gt;=INDEX(입력_파견수련계획!$AB$4:$AB$803,$AK44),OR(NOT(ISNUMBER(INDEX(입력_파견수련계획!$AC$4:$AC$803,$AK44))),TODAY()&lt;=INDEX(입력_파견수련계획!$AC$4:$AC$803,$AK44))),"다기관",IF($AF44="","",INDEX(입력_파견수련계획!$T$4:$T$803,$AF44))),IF($AF44="","",INDEX(입력_파견수련계획!$T$4:$T$803,$AF44))))</f>
        <v/>
      </c>
      <c r="Q44" s="10">
        <f>IF($AF44="","",INDEX(입력_파견수련계획!$S$4:$S$803,$AF44))</f>
        <v/>
      </c>
      <c r="R44" s="10">
        <f>IF($AF44="","",INDEX(입력_파견수련계획!$U$4:$U$803,$AF44))</f>
        <v/>
      </c>
      <c r="S44" s="11">
        <f>IF($AF44="","",IF(INDEX(입력_파견수련계획!$H$4:$H$803,$AF44)="","",INDEX(입력_파견수련계획!$H$4:$H$803,$AF44)))</f>
        <v/>
      </c>
      <c r="T44" s="11">
        <f>IF($AF44="","",IF(INDEX(입력_파견수련계획!$I$4:$I$803,$AF44)="","",INDEX(입력_파견수련계획!$I$4:$I$803,$AF44)))</f>
        <v/>
      </c>
      <c r="U44" s="10">
        <f>IF($AF44="","",INDEX(입력_파견수련계획!$X$4:$X$803,$AF44))</f>
        <v/>
      </c>
      <c r="V44" s="17">
        <f>IF($AF44="","",INDEX(입력_파견수련계획!$V$4:$V$803,$AF44))</f>
        <v/>
      </c>
      <c r="W44" s="17">
        <f>IF(AND($U44="파견중",$T44&lt;&gt;""),$T44-TODAY(),"")</f>
        <v/>
      </c>
      <c r="X44" s="17">
        <f>IF(OR($B44="",TRIM($J44&amp;"")=""),"",SUMPRODUCT((입력_파견수련계획!$Q$4:$Q$803=TRIM($J44&amp;""))*입력_파견수련계획!$W$4:$W$803))</f>
        <v/>
      </c>
      <c r="Y44" s="10">
        <f>IF($B44="","",IF($AG44="","",IF(IF(TRIM($J44&amp;"")="",0,SUMPRODUCT((입력_파견수련계획!$Q$4:$Q$803=TRIM($J44&amp;""))*입력_파견수련계획!$AD$4:$AD$803))&gt;0,$AE44,IF(AND(N($X44)&lt;=0,$AQ44=""),$AG44,IF($AH44+$AI44=DAY(EOMONTH(출력_요약!$B$3,0)),IF(AND($AH44&gt;=출력_요약!$E$3,$AI44&lt;출력_요약!$E$3),"서울병원",IF(AND($AI44&gt;=출력_요약!$E$3,$AH44&lt;출력_요약!$E$3),"구리병원","⚠15일 판정불가(서울 "&amp;$AH44&amp;"일/구리 "&amp;$AI44&amp;"일)")),IF($AJ44="",$AE44,IF(INDEX(입력_파견수련계획!$T$4:$T$803,$AJ44)="통합수련",INDEX(입력_파견수련계획!$S$4:$S$803,$AJ44),$AE44)))))))</f>
        <v/>
      </c>
      <c r="Z44" s="20">
        <f>IF($B44="","",IF($AB44="","기본자료에 없는 사번",IF(COUNTIF($B$2:$B$401,$B44)&gt;1,"중복 사번",IF($AE44="","소속(입사장소) 입력",IF(IF(TRIM($J44&amp;"")="",0,SUMPRODUCT((입력_파견수련계획!$Q$4:$Q$803=TRIM($J44&amp;""))*(입력_파견수련계획!$AA$4:$AA$803&lt;&gt;"")))&gt;0,"파견수련계획 입력오류 확인",IF(LEFT($Y44,1)="⚠","서울·구리 15일 판정 불가(양쪽 모두 이상/미만)",IF(IF($AC44="",0,N(INDEX(입력_인턴근무계획!$T$3:$T$402,$AC44)))&gt;0,"인턴계획 입력오류 확인",IF(AND($AQ44&lt;&gt;"",$AG44&lt;&gt;"구리병원",IF(TRIM($J44&amp;"")="",0,SUMPRODUCT((입력_파견수련계획!$Q$4:$Q$803=TRIM($J44&amp;""))*(입력_파견수련계획!$S$4:$S$803="구리병원")*입력_파견수련계획!$W$4:$W$803))=0),"구리 근무자명단에만 있음(파견수련계획 확인)",IF(AND($AC44&lt;&gt;"",$U44&lt;&gt;"파견중",$N44&lt;&gt;$AE44),"인턴 타지역 근무: 파견 여부 확인","정상")))))))))</f>
        <v/>
      </c>
      <c r="AA44" s="5" t="n"/>
      <c r="AB44" s="10">
        <f>IF($B44="","",IFERROR(MATCH($B44,입력_기본자료!$B$2:$B$1001,0),IFERROR(MATCH($B44&amp;"",입력_기본자료!$B$2:$B$1001,0),IFERROR(MATCH(VALUE($B44),입력_기본자료!$B$2:$B$1001,0),""))))</f>
        <v/>
      </c>
      <c r="AC44" s="10">
        <f>IF($B44="","",IFERROR(MATCH($B44,입력_인턴근무계획!$D$3:$D$402,0),IFERROR(MATCH($B44&amp;"",입력_인턴근무계획!$D$3:$D$402,0),IFERROR(MATCH(VALUE($B44),입력_인턴근무계획!$D$3:$D$402,0),""))))</f>
        <v/>
      </c>
      <c r="AD44" s="10">
        <f>IF(OR($AC44="",출력_인턴현황!$G$3=""),"",INDEX(입력_인턴근무계획!$M$3:$R$402,$AC44,출력_인턴현황!$G$3)&amp;"")</f>
        <v/>
      </c>
      <c r="AE44" s="10">
        <f>IF($B44="","",IF($M44&lt;&gt;"",$M44,IF(IF($AQ44="",FALSE,INDEX(출력_구리근무자!$J$6:$J$305,$AQ44)="구리독자"),"구리병원",IF($AF44&lt;&gt;"",IF(LEFT(INDEX(입력_파견수련계획!$R$4:$R$803,$AF44),1)&lt;&gt;"⚠",INDEX(입력_파견수련계획!$R$4:$R$803,$AF44),IF($H44="","",IF(RIGHT($H44,2)="병원",$H44,$H44&amp;"병원"))),IF($H44="","",IF(RIGHT($H44,2)="병원",$H44,$H44&amp;"병원"))))))</f>
        <v/>
      </c>
      <c r="AF44" s="10">
        <f>IF(OR($B44="",TRIM($J44&amp;"")=""),"",IFERROR(MATCH(TRIM($J44&amp;"")&amp;"|파견중",입력_파견수련계획!$Y$4:$Y$803,0),IFERROR(MATCH(TRIM($J44&amp;"")&amp;"|파견예정",입력_파견수련계획!$Y$4:$Y$803,0),IFERROR(MATCH(TRIM($J44&amp;"")&amp;"|파견종료",입력_파견수련계획!$Y$4:$Y$803,0),""))))</f>
        <v/>
      </c>
      <c r="AG44" s="10">
        <f>IF($B44="","",IF(AND(IF(OR($AC44="",출력_인턴현황!$K$2=""),"",INDEX(입력_인턴근무계획!$M$3:$R$402,$AC44,출력_인턴현황!$K$2)&amp;"")&lt;&gt;"",LEFT(IF(OR($AC44="",출력_인턴현황!$K$2=""),"",INDEX(입력_인턴근무계획!$M$3:$R$402,$AC44,출력_인턴현황!$K$2)&amp;""),1)&lt;&gt;"⚠"),LEFT(IF(OR($AC44="",출력_인턴현황!$K$2=""),"",INDEX(입력_인턴근무계획!$M$3:$R$402,$AC44,출력_인턴현황!$K$2)&amp;""),FIND(" ",IF(OR($AC44="",출력_인턴현황!$K$2=""),"",INDEX(입력_인턴근무계획!$M$3:$R$402,$AC44,출력_인턴현황!$K$2)&amp;""))-1),$AE44))</f>
        <v/>
      </c>
      <c r="AH44" s="17">
        <f>IF($B44="","",IF($AQ44&lt;&gt;"",MAX(0,DAY(EOMONTH(출력_요약!$B$3,0))-N($AR44)),IF(TRIM($J44&amp;"")="",0,SUMPRODUCT((입력_파견수련계획!$Q$4:$Q$803=TRIM($J44&amp;""))*(입력_파견수련계획!$S$4:$S$803="서울병원")*입력_파견수련계획!$W$4:$W$803))+IF($AG44="서울병원",MAX(0,DAY(EOMONTH(출력_요약!$B$3,0))-N($X44)),0)))</f>
        <v/>
      </c>
      <c r="AI44" s="17">
        <f>IF($B44="","",IF($AQ44&lt;&gt;"",N($AR44),IF(TRIM($J44&amp;"")="",0,SUMPRODUCT((입력_파견수련계획!$Q$4:$Q$803=TRIM($J44&amp;""))*(입력_파견수련계획!$S$4:$S$803="구리병원")*입력_파견수련계획!$W$4:$W$803))+IF($AG44="구리병원",MAX(0,DAY(EOMONTH(출력_요약!$B$3,0))-N($X44)),0)))</f>
        <v/>
      </c>
      <c r="AJ44" s="10">
        <f>IF(OR($B44="",TRIM($J44&amp;"")=""),"",IFERROR(MATCH(TRIM($J44&amp;"")&amp;"|월",입력_파견수련계획!$Z$4:$Z$803,0),""))</f>
        <v/>
      </c>
      <c r="AK44" s="10">
        <f>IF(OR($B44="",TRIM($J44&amp;"")=""),"",IFERROR(MATCH(TRIM($J44&amp;"")&amp;"|다기관",입력_파견수련계획!$AE$4:$AE$803,0),""))</f>
        <v/>
      </c>
      <c r="AL44" s="10">
        <f>IF($AK44="","","다기관 "&amp;TEXT(INDEX(입력_파견수련계획!$AB$4:$AB$803,$AK44),"yyyy-mm-dd")&amp;"~"&amp;IF(ISNUMBER(INDEX(입력_파견수련계획!$AC$4:$AC$803,$AK44)),TEXT(INDEX(입력_파견수련계획!$AC$4:$AC$803,$AK44),"yyyy-mm-dd"),""))</f>
        <v/>
      </c>
      <c r="AM44" s="10">
        <f>IF($Y44="서울병원",COUNTIF($Y$2:$Y44,"서울병원"),"")</f>
        <v/>
      </c>
      <c r="AN44" s="10">
        <f>IF(LEFT($Y44,1)="⚠",COUNTIF($Y$2:$Y44,"⚠*"),"")</f>
        <v/>
      </c>
      <c r="AO44" s="10">
        <f>IF(OR($B44="",$Y44=""),"",IF(IF(TRIM($J44&amp;"")="",0,SUMPRODUCT((입력_파견수련계획!$Q$4:$Q$803=TRIM($J44&amp;""))*입력_파견수련계획!$AD$4:$AD$803))&gt;0,"다기관 기간 → 소속병원 지급",IF(AND(N($X44)&lt;=0,$AQ44=""),"파견 없음 → 그 달 근무병원 지급",IF($AH44+$AI44=DAY(EOMONTH(출력_요약!$B$3,0)),"서울 "&amp;$AH44&amp;"일 / 구리 "&amp;$AI44&amp;"일"&amp;IF($AQ44&lt;&gt;""," (구리 근무자명단 반영)","")&amp;" → 15일 이상 근무 병원 지급","타 병원 포함 → "&amp;IF($AJ44="","소속",INDEX(입력_파견수련계획!$T$4:$T$803,$AJ44))&amp;" 규칙"))))</f>
        <v/>
      </c>
      <c r="AP44" s="10">
        <f>IF($B44="","",$C44&amp;"|"&amp;$F44)</f>
        <v/>
      </c>
      <c r="AQ44" s="10">
        <f>IF($B44="","",IFERROR(MATCH(ROW()-1,출력_구리근무자!$K$6:$K$305,0),""))</f>
        <v/>
      </c>
      <c r="AR44" s="10">
        <f>IF($AQ44="","",INDEX(출력_구리근무자!$H$6:$H$305,$AQ44))</f>
        <v/>
      </c>
    </row>
    <row r="45">
      <c r="A45" s="10">
        <f>IF(B45="","",ROW()-1)</f>
        <v/>
      </c>
      <c r="B45" s="19" t="n"/>
      <c r="C45" s="10">
        <f>IF($AB45="","",IF(INDEX(입력_기본자료!$C$2:$C$1001,$AB45)="","",INDEX(입력_기본자료!$C$2:$C$1001,$AB45)))</f>
        <v/>
      </c>
      <c r="D45" s="10">
        <f>IF($AB45="","",IF(INDEX(입력_기본자료!$J$2:$J$1001,$AB45)="","",INDEX(입력_기본자료!$J$2:$J$1001,$AB45)))</f>
        <v/>
      </c>
      <c r="E45" s="11">
        <f>IF($AB45="","",IF(INDEX(입력_기본자료!$K$2:$K$1001,$AB45)="","",IF(NOT(ISNUMBER(INDEX(입력_기본자료!$K$2:$K$1001,$AB45))),INDEX(입력_기본자료!$K$2:$K$1001,$AB45),IF(INDEX(입력_기본자료!$K$2:$K$1001,$AB45)&lt;1000000,INDEX(입력_기본자료!$K$2:$K$1001,$AB45),IF(AND(INDEX(입력_기본자료!$K$2:$K$1001,$AB45)&gt;=10000101,INT(MOD(INDEX(입력_기본자료!$K$2:$K$1001,$AB45),10000)/100)&gt;=1,INT(MOD(INDEX(입력_기본자료!$K$2:$K$1001,$AB45),10000)/100)&lt;=12,MOD(INDEX(입력_기본자료!$K$2:$K$1001,$AB45),100)&gt;=1,MOD(INDEX(입력_기본자료!$K$2:$K$1001,$AB45),100)&lt;=31),DATE(INT(INDEX(입력_기본자료!$K$2:$K$1001,$AB45)/10000),INT(MOD(INDEX(입력_기본자료!$K$2:$K$1001,$AB45),10000)/100),MOD(INDEX(입력_기본자료!$K$2:$K$1001,$AB45),100)),INDEX(입력_기본자료!$K$2:$K$1001,$AB45)&amp;"")))))</f>
        <v/>
      </c>
      <c r="F45" s="10">
        <f>IF($AB45="","",IF(INDEX(입력_기본자료!$D$2:$D$1001,$AB45)="","",INDEX(입력_기본자료!$D$2:$D$1001,$AB45)))</f>
        <v/>
      </c>
      <c r="G45" s="10">
        <f>IF($AB45="","",IF(INDEX(입력_기본자료!$E$2:$E$1001,$AB45)="","",INDEX(입력_기본자료!$E$2:$E$1001,$AB45)))</f>
        <v/>
      </c>
      <c r="H45" s="10">
        <f>IF($AB45="","",IF(INDEX(입력_기본자료!$F$2:$F$1001,$AB45)="","",INDEX(입력_기본자료!$F$2:$F$1001,$AB45)))</f>
        <v/>
      </c>
      <c r="I45" s="11">
        <f>IF($AB45="","",IF(INDEX(입력_기본자료!$G$2:$G$1001,$AB45)="","",IF(NOT(ISNUMBER(INDEX(입력_기본자료!$G$2:$G$1001,$AB45))),INDEX(입력_기본자료!$G$2:$G$1001,$AB45),IF(INDEX(입력_기본자료!$G$2:$G$1001,$AB45)&lt;1000000,INDEX(입력_기본자료!$G$2:$G$1001,$AB45),IF(AND(INDEX(입력_기본자료!$G$2:$G$1001,$AB45)&gt;=10000101,INT(MOD(INDEX(입력_기본자료!$G$2:$G$1001,$AB45),10000)/100)&gt;=1,INT(MOD(INDEX(입력_기본자료!$G$2:$G$1001,$AB45),10000)/100)&lt;=12,MOD(INDEX(입력_기본자료!$G$2:$G$1001,$AB45),100)&gt;=1,MOD(INDEX(입력_기본자료!$G$2:$G$1001,$AB45),100)&lt;=31),DATE(INT(INDEX(입력_기본자료!$G$2:$G$1001,$AB45)/10000),INT(MOD(INDEX(입력_기본자료!$G$2:$G$1001,$AB45),10000)/100),MOD(INDEX(입력_기본자료!$G$2:$G$1001,$AB45),100)),INDEX(입력_기본자료!$G$2:$G$1001,$AB45)&amp;"")))))</f>
        <v/>
      </c>
      <c r="J45" s="10">
        <f>IF($AB45="","",IF(INDEX(입력_기본자료!$H$2:$H$1001,$AB45)="","",INDEX(입력_기본자료!$H$2:$H$1001,$AB45)))</f>
        <v/>
      </c>
      <c r="K45" s="10">
        <f>IF($AB45="","",IF(INDEX(입력_기본자료!$I$2:$I$1001,$AB45)="","",INDEX(입력_기본자료!$I$2:$I$1001,$AB45)))</f>
        <v/>
      </c>
      <c r="L45" s="10">
        <f>IF($AB45="","",IF(INDEX(입력_기본자료!$A$2:$A$1001,$AB45)="","",INDEX(입력_기본자료!$A$2:$A$1001,$AB45)))</f>
        <v/>
      </c>
      <c r="M45" s="15" t="n"/>
      <c r="N45" s="10">
        <f>IF($B45="","",IF(AND($U45="파견중",$Q45&lt;&gt;""),$Q45,IF(AND($AD45&lt;&gt;"",LEFT($AD45,1)&lt;&gt;"⚠"),LEFT($AD45,FIND(" ",$AD45)-1),IF($H45="","",IF(RIGHT($H45,2)="병원",$H45,$H45&amp;"병원")))))</f>
        <v/>
      </c>
      <c r="O45" s="10">
        <f>IF($B45="","",IF(AND($U45="파견중",$Q45&lt;&gt;""),IF($R45&lt;&gt;"",$R45,"파견과 미입력"),IF(AND($AD45&lt;&gt;"",LEFT($AD45,1)&lt;&gt;"⚠"),MID($AD45,FIND(" ",$AD45)+1,60),IF($F45="","",IF($F45="인턴","수련교육부(인턴)",$F45)))))</f>
        <v/>
      </c>
      <c r="P45" s="10">
        <f>IF($B45="","",IF($AK45&lt;&gt;"",IF(AND(TODAY()&gt;=INDEX(입력_파견수련계획!$AB$4:$AB$803,$AK45),OR(NOT(ISNUMBER(INDEX(입력_파견수련계획!$AC$4:$AC$803,$AK45))),TODAY()&lt;=INDEX(입력_파견수련계획!$AC$4:$AC$803,$AK45))),"다기관",IF($AF45="","",INDEX(입력_파견수련계획!$T$4:$T$803,$AF45))),IF($AF45="","",INDEX(입력_파견수련계획!$T$4:$T$803,$AF45))))</f>
        <v/>
      </c>
      <c r="Q45" s="10">
        <f>IF($AF45="","",INDEX(입력_파견수련계획!$S$4:$S$803,$AF45))</f>
        <v/>
      </c>
      <c r="R45" s="10">
        <f>IF($AF45="","",INDEX(입력_파견수련계획!$U$4:$U$803,$AF45))</f>
        <v/>
      </c>
      <c r="S45" s="11">
        <f>IF($AF45="","",IF(INDEX(입력_파견수련계획!$H$4:$H$803,$AF45)="","",INDEX(입력_파견수련계획!$H$4:$H$803,$AF45)))</f>
        <v/>
      </c>
      <c r="T45" s="11">
        <f>IF($AF45="","",IF(INDEX(입력_파견수련계획!$I$4:$I$803,$AF45)="","",INDEX(입력_파견수련계획!$I$4:$I$803,$AF45)))</f>
        <v/>
      </c>
      <c r="U45" s="10">
        <f>IF($AF45="","",INDEX(입력_파견수련계획!$X$4:$X$803,$AF45))</f>
        <v/>
      </c>
      <c r="V45" s="17">
        <f>IF($AF45="","",INDEX(입력_파견수련계획!$V$4:$V$803,$AF45))</f>
        <v/>
      </c>
      <c r="W45" s="17">
        <f>IF(AND($U45="파견중",$T45&lt;&gt;""),$T45-TODAY(),"")</f>
        <v/>
      </c>
      <c r="X45" s="17">
        <f>IF(OR($B45="",TRIM($J45&amp;"")=""),"",SUMPRODUCT((입력_파견수련계획!$Q$4:$Q$803=TRIM($J45&amp;""))*입력_파견수련계획!$W$4:$W$803))</f>
        <v/>
      </c>
      <c r="Y45" s="10">
        <f>IF($B45="","",IF($AG45="","",IF(IF(TRIM($J45&amp;"")="",0,SUMPRODUCT((입력_파견수련계획!$Q$4:$Q$803=TRIM($J45&amp;""))*입력_파견수련계획!$AD$4:$AD$803))&gt;0,$AE45,IF(AND(N($X45)&lt;=0,$AQ45=""),$AG45,IF($AH45+$AI45=DAY(EOMONTH(출력_요약!$B$3,0)),IF(AND($AH45&gt;=출력_요약!$E$3,$AI45&lt;출력_요약!$E$3),"서울병원",IF(AND($AI45&gt;=출력_요약!$E$3,$AH45&lt;출력_요약!$E$3),"구리병원","⚠15일 판정불가(서울 "&amp;$AH45&amp;"일/구리 "&amp;$AI45&amp;"일)")),IF($AJ45="",$AE45,IF(INDEX(입력_파견수련계획!$T$4:$T$803,$AJ45)="통합수련",INDEX(입력_파견수련계획!$S$4:$S$803,$AJ45),$AE45)))))))</f>
        <v/>
      </c>
      <c r="Z45" s="20">
        <f>IF($B45="","",IF($AB45="","기본자료에 없는 사번",IF(COUNTIF($B$2:$B$401,$B45)&gt;1,"중복 사번",IF($AE45="","소속(입사장소) 입력",IF(IF(TRIM($J45&amp;"")="",0,SUMPRODUCT((입력_파견수련계획!$Q$4:$Q$803=TRIM($J45&amp;""))*(입력_파견수련계획!$AA$4:$AA$803&lt;&gt;"")))&gt;0,"파견수련계획 입력오류 확인",IF(LEFT($Y45,1)="⚠","서울·구리 15일 판정 불가(양쪽 모두 이상/미만)",IF(IF($AC45="",0,N(INDEX(입력_인턴근무계획!$T$3:$T$402,$AC45)))&gt;0,"인턴계획 입력오류 확인",IF(AND($AQ45&lt;&gt;"",$AG45&lt;&gt;"구리병원",IF(TRIM($J45&amp;"")="",0,SUMPRODUCT((입력_파견수련계획!$Q$4:$Q$803=TRIM($J45&amp;""))*(입력_파견수련계획!$S$4:$S$803="구리병원")*입력_파견수련계획!$W$4:$W$803))=0),"구리 근무자명단에만 있음(파견수련계획 확인)",IF(AND($AC45&lt;&gt;"",$U45&lt;&gt;"파견중",$N45&lt;&gt;$AE45),"인턴 타지역 근무: 파견 여부 확인","정상")))))))))</f>
        <v/>
      </c>
      <c r="AA45" s="5" t="n"/>
      <c r="AB45" s="10">
        <f>IF($B45="","",IFERROR(MATCH($B45,입력_기본자료!$B$2:$B$1001,0),IFERROR(MATCH($B45&amp;"",입력_기본자료!$B$2:$B$1001,0),IFERROR(MATCH(VALUE($B45),입력_기본자료!$B$2:$B$1001,0),""))))</f>
        <v/>
      </c>
      <c r="AC45" s="10">
        <f>IF($B45="","",IFERROR(MATCH($B45,입력_인턴근무계획!$D$3:$D$402,0),IFERROR(MATCH($B45&amp;"",입력_인턴근무계획!$D$3:$D$402,0),IFERROR(MATCH(VALUE($B45),입력_인턴근무계획!$D$3:$D$402,0),""))))</f>
        <v/>
      </c>
      <c r="AD45" s="10">
        <f>IF(OR($AC45="",출력_인턴현황!$G$3=""),"",INDEX(입력_인턴근무계획!$M$3:$R$402,$AC45,출력_인턴현황!$G$3)&amp;"")</f>
        <v/>
      </c>
      <c r="AE45" s="10">
        <f>IF($B45="","",IF($M45&lt;&gt;"",$M45,IF(IF($AQ45="",FALSE,INDEX(출력_구리근무자!$J$6:$J$305,$AQ45)="구리독자"),"구리병원",IF($AF45&lt;&gt;"",IF(LEFT(INDEX(입력_파견수련계획!$R$4:$R$803,$AF45),1)&lt;&gt;"⚠",INDEX(입력_파견수련계획!$R$4:$R$803,$AF45),IF($H45="","",IF(RIGHT($H45,2)="병원",$H45,$H45&amp;"병원"))),IF($H45="","",IF(RIGHT($H45,2)="병원",$H45,$H45&amp;"병원"))))))</f>
        <v/>
      </c>
      <c r="AF45" s="10">
        <f>IF(OR($B45="",TRIM($J45&amp;"")=""),"",IFERROR(MATCH(TRIM($J45&amp;"")&amp;"|파견중",입력_파견수련계획!$Y$4:$Y$803,0),IFERROR(MATCH(TRIM($J45&amp;"")&amp;"|파견예정",입력_파견수련계획!$Y$4:$Y$803,0),IFERROR(MATCH(TRIM($J45&amp;"")&amp;"|파견종료",입력_파견수련계획!$Y$4:$Y$803,0),""))))</f>
        <v/>
      </c>
      <c r="AG45" s="10">
        <f>IF($B45="","",IF(AND(IF(OR($AC45="",출력_인턴현황!$K$2=""),"",INDEX(입력_인턴근무계획!$M$3:$R$402,$AC45,출력_인턴현황!$K$2)&amp;"")&lt;&gt;"",LEFT(IF(OR($AC45="",출력_인턴현황!$K$2=""),"",INDEX(입력_인턴근무계획!$M$3:$R$402,$AC45,출력_인턴현황!$K$2)&amp;""),1)&lt;&gt;"⚠"),LEFT(IF(OR($AC45="",출력_인턴현황!$K$2=""),"",INDEX(입력_인턴근무계획!$M$3:$R$402,$AC45,출력_인턴현황!$K$2)&amp;""),FIND(" ",IF(OR($AC45="",출력_인턴현황!$K$2=""),"",INDEX(입력_인턴근무계획!$M$3:$R$402,$AC45,출력_인턴현황!$K$2)&amp;""))-1),$AE45))</f>
        <v/>
      </c>
      <c r="AH45" s="17">
        <f>IF($B45="","",IF($AQ45&lt;&gt;"",MAX(0,DAY(EOMONTH(출력_요약!$B$3,0))-N($AR45)),IF(TRIM($J45&amp;"")="",0,SUMPRODUCT((입력_파견수련계획!$Q$4:$Q$803=TRIM($J45&amp;""))*(입력_파견수련계획!$S$4:$S$803="서울병원")*입력_파견수련계획!$W$4:$W$803))+IF($AG45="서울병원",MAX(0,DAY(EOMONTH(출력_요약!$B$3,0))-N($X45)),0)))</f>
        <v/>
      </c>
      <c r="AI45" s="17">
        <f>IF($B45="","",IF($AQ45&lt;&gt;"",N($AR45),IF(TRIM($J45&amp;"")="",0,SUMPRODUCT((입력_파견수련계획!$Q$4:$Q$803=TRIM($J45&amp;""))*(입력_파견수련계획!$S$4:$S$803="구리병원")*입력_파견수련계획!$W$4:$W$803))+IF($AG45="구리병원",MAX(0,DAY(EOMONTH(출력_요약!$B$3,0))-N($X45)),0)))</f>
        <v/>
      </c>
      <c r="AJ45" s="10">
        <f>IF(OR($B45="",TRIM($J45&amp;"")=""),"",IFERROR(MATCH(TRIM($J45&amp;"")&amp;"|월",입력_파견수련계획!$Z$4:$Z$803,0),""))</f>
        <v/>
      </c>
      <c r="AK45" s="10">
        <f>IF(OR($B45="",TRIM($J45&amp;"")=""),"",IFERROR(MATCH(TRIM($J45&amp;"")&amp;"|다기관",입력_파견수련계획!$AE$4:$AE$803,0),""))</f>
        <v/>
      </c>
      <c r="AL45" s="10">
        <f>IF($AK45="","","다기관 "&amp;TEXT(INDEX(입력_파견수련계획!$AB$4:$AB$803,$AK45),"yyyy-mm-dd")&amp;"~"&amp;IF(ISNUMBER(INDEX(입력_파견수련계획!$AC$4:$AC$803,$AK45)),TEXT(INDEX(입력_파견수련계획!$AC$4:$AC$803,$AK45),"yyyy-mm-dd"),""))</f>
        <v/>
      </c>
      <c r="AM45" s="10">
        <f>IF($Y45="서울병원",COUNTIF($Y$2:$Y45,"서울병원"),"")</f>
        <v/>
      </c>
      <c r="AN45" s="10">
        <f>IF(LEFT($Y45,1)="⚠",COUNTIF($Y$2:$Y45,"⚠*"),"")</f>
        <v/>
      </c>
      <c r="AO45" s="10">
        <f>IF(OR($B45="",$Y45=""),"",IF(IF(TRIM($J45&amp;"")="",0,SUMPRODUCT((입력_파견수련계획!$Q$4:$Q$803=TRIM($J45&amp;""))*입력_파견수련계획!$AD$4:$AD$803))&gt;0,"다기관 기간 → 소속병원 지급",IF(AND(N($X45)&lt;=0,$AQ45=""),"파견 없음 → 그 달 근무병원 지급",IF($AH45+$AI45=DAY(EOMONTH(출력_요약!$B$3,0)),"서울 "&amp;$AH45&amp;"일 / 구리 "&amp;$AI45&amp;"일"&amp;IF($AQ45&lt;&gt;""," (구리 근무자명단 반영)","")&amp;" → 15일 이상 근무 병원 지급","타 병원 포함 → "&amp;IF($AJ45="","소속",INDEX(입력_파견수련계획!$T$4:$T$803,$AJ45))&amp;" 규칙"))))</f>
        <v/>
      </c>
      <c r="AP45" s="10">
        <f>IF($B45="","",$C45&amp;"|"&amp;$F45)</f>
        <v/>
      </c>
      <c r="AQ45" s="10">
        <f>IF($B45="","",IFERROR(MATCH(ROW()-1,출력_구리근무자!$K$6:$K$305,0),""))</f>
        <v/>
      </c>
      <c r="AR45" s="10">
        <f>IF($AQ45="","",INDEX(출력_구리근무자!$H$6:$H$305,$AQ45))</f>
        <v/>
      </c>
    </row>
    <row r="46">
      <c r="A46" s="10">
        <f>IF(B46="","",ROW()-1)</f>
        <v/>
      </c>
      <c r="B46" s="19" t="n"/>
      <c r="C46" s="10">
        <f>IF($AB46="","",IF(INDEX(입력_기본자료!$C$2:$C$1001,$AB46)="","",INDEX(입력_기본자료!$C$2:$C$1001,$AB46)))</f>
        <v/>
      </c>
      <c r="D46" s="10">
        <f>IF($AB46="","",IF(INDEX(입력_기본자료!$J$2:$J$1001,$AB46)="","",INDEX(입력_기본자료!$J$2:$J$1001,$AB46)))</f>
        <v/>
      </c>
      <c r="E46" s="11">
        <f>IF($AB46="","",IF(INDEX(입력_기본자료!$K$2:$K$1001,$AB46)="","",IF(NOT(ISNUMBER(INDEX(입력_기본자료!$K$2:$K$1001,$AB46))),INDEX(입력_기본자료!$K$2:$K$1001,$AB46),IF(INDEX(입력_기본자료!$K$2:$K$1001,$AB46)&lt;1000000,INDEX(입력_기본자료!$K$2:$K$1001,$AB46),IF(AND(INDEX(입력_기본자료!$K$2:$K$1001,$AB46)&gt;=10000101,INT(MOD(INDEX(입력_기본자료!$K$2:$K$1001,$AB46),10000)/100)&gt;=1,INT(MOD(INDEX(입력_기본자료!$K$2:$K$1001,$AB46),10000)/100)&lt;=12,MOD(INDEX(입력_기본자료!$K$2:$K$1001,$AB46),100)&gt;=1,MOD(INDEX(입력_기본자료!$K$2:$K$1001,$AB46),100)&lt;=31),DATE(INT(INDEX(입력_기본자료!$K$2:$K$1001,$AB46)/10000),INT(MOD(INDEX(입력_기본자료!$K$2:$K$1001,$AB46),10000)/100),MOD(INDEX(입력_기본자료!$K$2:$K$1001,$AB46),100)),INDEX(입력_기본자료!$K$2:$K$1001,$AB46)&amp;"")))))</f>
        <v/>
      </c>
      <c r="F46" s="10">
        <f>IF($AB46="","",IF(INDEX(입력_기본자료!$D$2:$D$1001,$AB46)="","",INDEX(입력_기본자료!$D$2:$D$1001,$AB46)))</f>
        <v/>
      </c>
      <c r="G46" s="10">
        <f>IF($AB46="","",IF(INDEX(입력_기본자료!$E$2:$E$1001,$AB46)="","",INDEX(입력_기본자료!$E$2:$E$1001,$AB46)))</f>
        <v/>
      </c>
      <c r="H46" s="10">
        <f>IF($AB46="","",IF(INDEX(입력_기본자료!$F$2:$F$1001,$AB46)="","",INDEX(입력_기본자료!$F$2:$F$1001,$AB46)))</f>
        <v/>
      </c>
      <c r="I46" s="11">
        <f>IF($AB46="","",IF(INDEX(입력_기본자료!$G$2:$G$1001,$AB46)="","",IF(NOT(ISNUMBER(INDEX(입력_기본자료!$G$2:$G$1001,$AB46))),INDEX(입력_기본자료!$G$2:$G$1001,$AB46),IF(INDEX(입력_기본자료!$G$2:$G$1001,$AB46)&lt;1000000,INDEX(입력_기본자료!$G$2:$G$1001,$AB46),IF(AND(INDEX(입력_기본자료!$G$2:$G$1001,$AB46)&gt;=10000101,INT(MOD(INDEX(입력_기본자료!$G$2:$G$1001,$AB46),10000)/100)&gt;=1,INT(MOD(INDEX(입력_기본자료!$G$2:$G$1001,$AB46),10000)/100)&lt;=12,MOD(INDEX(입력_기본자료!$G$2:$G$1001,$AB46),100)&gt;=1,MOD(INDEX(입력_기본자료!$G$2:$G$1001,$AB46),100)&lt;=31),DATE(INT(INDEX(입력_기본자료!$G$2:$G$1001,$AB46)/10000),INT(MOD(INDEX(입력_기본자료!$G$2:$G$1001,$AB46),10000)/100),MOD(INDEX(입력_기본자료!$G$2:$G$1001,$AB46),100)),INDEX(입력_기본자료!$G$2:$G$1001,$AB46)&amp;"")))))</f>
        <v/>
      </c>
      <c r="J46" s="10">
        <f>IF($AB46="","",IF(INDEX(입력_기본자료!$H$2:$H$1001,$AB46)="","",INDEX(입력_기본자료!$H$2:$H$1001,$AB46)))</f>
        <v/>
      </c>
      <c r="K46" s="10">
        <f>IF($AB46="","",IF(INDEX(입력_기본자료!$I$2:$I$1001,$AB46)="","",INDEX(입력_기본자료!$I$2:$I$1001,$AB46)))</f>
        <v/>
      </c>
      <c r="L46" s="10">
        <f>IF($AB46="","",IF(INDEX(입력_기본자료!$A$2:$A$1001,$AB46)="","",INDEX(입력_기본자료!$A$2:$A$1001,$AB46)))</f>
        <v/>
      </c>
      <c r="M46" s="15" t="n"/>
      <c r="N46" s="10">
        <f>IF($B46="","",IF(AND($U46="파견중",$Q46&lt;&gt;""),$Q46,IF(AND($AD46&lt;&gt;"",LEFT($AD46,1)&lt;&gt;"⚠"),LEFT($AD46,FIND(" ",$AD46)-1),IF($H46="","",IF(RIGHT($H46,2)="병원",$H46,$H46&amp;"병원")))))</f>
        <v/>
      </c>
      <c r="O46" s="10">
        <f>IF($B46="","",IF(AND($U46="파견중",$Q46&lt;&gt;""),IF($R46&lt;&gt;"",$R46,"파견과 미입력"),IF(AND($AD46&lt;&gt;"",LEFT($AD46,1)&lt;&gt;"⚠"),MID($AD46,FIND(" ",$AD46)+1,60),IF($F46="","",IF($F46="인턴","수련교육부(인턴)",$F46)))))</f>
        <v/>
      </c>
      <c r="P46" s="10">
        <f>IF($B46="","",IF($AK46&lt;&gt;"",IF(AND(TODAY()&gt;=INDEX(입력_파견수련계획!$AB$4:$AB$803,$AK46),OR(NOT(ISNUMBER(INDEX(입력_파견수련계획!$AC$4:$AC$803,$AK46))),TODAY()&lt;=INDEX(입력_파견수련계획!$AC$4:$AC$803,$AK46))),"다기관",IF($AF46="","",INDEX(입력_파견수련계획!$T$4:$T$803,$AF46))),IF($AF46="","",INDEX(입력_파견수련계획!$T$4:$T$803,$AF46))))</f>
        <v/>
      </c>
      <c r="Q46" s="10">
        <f>IF($AF46="","",INDEX(입력_파견수련계획!$S$4:$S$803,$AF46))</f>
        <v/>
      </c>
      <c r="R46" s="10">
        <f>IF($AF46="","",INDEX(입력_파견수련계획!$U$4:$U$803,$AF46))</f>
        <v/>
      </c>
      <c r="S46" s="11">
        <f>IF($AF46="","",IF(INDEX(입력_파견수련계획!$H$4:$H$803,$AF46)="","",INDEX(입력_파견수련계획!$H$4:$H$803,$AF46)))</f>
        <v/>
      </c>
      <c r="T46" s="11">
        <f>IF($AF46="","",IF(INDEX(입력_파견수련계획!$I$4:$I$803,$AF46)="","",INDEX(입력_파견수련계획!$I$4:$I$803,$AF46)))</f>
        <v/>
      </c>
      <c r="U46" s="10">
        <f>IF($AF46="","",INDEX(입력_파견수련계획!$X$4:$X$803,$AF46))</f>
        <v/>
      </c>
      <c r="V46" s="17">
        <f>IF($AF46="","",INDEX(입력_파견수련계획!$V$4:$V$803,$AF46))</f>
        <v/>
      </c>
      <c r="W46" s="17">
        <f>IF(AND($U46="파견중",$T46&lt;&gt;""),$T46-TODAY(),"")</f>
        <v/>
      </c>
      <c r="X46" s="17">
        <f>IF(OR($B46="",TRIM($J46&amp;"")=""),"",SUMPRODUCT((입력_파견수련계획!$Q$4:$Q$803=TRIM($J46&amp;""))*입력_파견수련계획!$W$4:$W$803))</f>
        <v/>
      </c>
      <c r="Y46" s="10">
        <f>IF($B46="","",IF($AG46="","",IF(IF(TRIM($J46&amp;"")="",0,SUMPRODUCT((입력_파견수련계획!$Q$4:$Q$803=TRIM($J46&amp;""))*입력_파견수련계획!$AD$4:$AD$803))&gt;0,$AE46,IF(AND(N($X46)&lt;=0,$AQ46=""),$AG46,IF($AH46+$AI46=DAY(EOMONTH(출력_요약!$B$3,0)),IF(AND($AH46&gt;=출력_요약!$E$3,$AI46&lt;출력_요약!$E$3),"서울병원",IF(AND($AI46&gt;=출력_요약!$E$3,$AH46&lt;출력_요약!$E$3),"구리병원","⚠15일 판정불가(서울 "&amp;$AH46&amp;"일/구리 "&amp;$AI46&amp;"일)")),IF($AJ46="",$AE46,IF(INDEX(입력_파견수련계획!$T$4:$T$803,$AJ46)="통합수련",INDEX(입력_파견수련계획!$S$4:$S$803,$AJ46),$AE46)))))))</f>
        <v/>
      </c>
      <c r="Z46" s="20">
        <f>IF($B46="","",IF($AB46="","기본자료에 없는 사번",IF(COUNTIF($B$2:$B$401,$B46)&gt;1,"중복 사번",IF($AE46="","소속(입사장소) 입력",IF(IF(TRIM($J46&amp;"")="",0,SUMPRODUCT((입력_파견수련계획!$Q$4:$Q$803=TRIM($J46&amp;""))*(입력_파견수련계획!$AA$4:$AA$803&lt;&gt;"")))&gt;0,"파견수련계획 입력오류 확인",IF(LEFT($Y46,1)="⚠","서울·구리 15일 판정 불가(양쪽 모두 이상/미만)",IF(IF($AC46="",0,N(INDEX(입력_인턴근무계획!$T$3:$T$402,$AC46)))&gt;0,"인턴계획 입력오류 확인",IF(AND($AQ46&lt;&gt;"",$AG46&lt;&gt;"구리병원",IF(TRIM($J46&amp;"")="",0,SUMPRODUCT((입력_파견수련계획!$Q$4:$Q$803=TRIM($J46&amp;""))*(입력_파견수련계획!$S$4:$S$803="구리병원")*입력_파견수련계획!$W$4:$W$803))=0),"구리 근무자명단에만 있음(파견수련계획 확인)",IF(AND($AC46&lt;&gt;"",$U46&lt;&gt;"파견중",$N46&lt;&gt;$AE46),"인턴 타지역 근무: 파견 여부 확인","정상")))))))))</f>
        <v/>
      </c>
      <c r="AA46" s="5" t="n"/>
      <c r="AB46" s="10">
        <f>IF($B46="","",IFERROR(MATCH($B46,입력_기본자료!$B$2:$B$1001,0),IFERROR(MATCH($B46&amp;"",입력_기본자료!$B$2:$B$1001,0),IFERROR(MATCH(VALUE($B46),입력_기본자료!$B$2:$B$1001,0),""))))</f>
        <v/>
      </c>
      <c r="AC46" s="10">
        <f>IF($B46="","",IFERROR(MATCH($B46,입력_인턴근무계획!$D$3:$D$402,0),IFERROR(MATCH($B46&amp;"",입력_인턴근무계획!$D$3:$D$402,0),IFERROR(MATCH(VALUE($B46),입력_인턴근무계획!$D$3:$D$402,0),""))))</f>
        <v/>
      </c>
      <c r="AD46" s="10">
        <f>IF(OR($AC46="",출력_인턴현황!$G$3=""),"",INDEX(입력_인턴근무계획!$M$3:$R$402,$AC46,출력_인턴현황!$G$3)&amp;"")</f>
        <v/>
      </c>
      <c r="AE46" s="10">
        <f>IF($B46="","",IF($M46&lt;&gt;"",$M46,IF(IF($AQ46="",FALSE,INDEX(출력_구리근무자!$J$6:$J$305,$AQ46)="구리독자"),"구리병원",IF($AF46&lt;&gt;"",IF(LEFT(INDEX(입력_파견수련계획!$R$4:$R$803,$AF46),1)&lt;&gt;"⚠",INDEX(입력_파견수련계획!$R$4:$R$803,$AF46),IF($H46="","",IF(RIGHT($H46,2)="병원",$H46,$H46&amp;"병원"))),IF($H46="","",IF(RIGHT($H46,2)="병원",$H46,$H46&amp;"병원"))))))</f>
        <v/>
      </c>
      <c r="AF46" s="10">
        <f>IF(OR($B46="",TRIM($J46&amp;"")=""),"",IFERROR(MATCH(TRIM($J46&amp;"")&amp;"|파견중",입력_파견수련계획!$Y$4:$Y$803,0),IFERROR(MATCH(TRIM($J46&amp;"")&amp;"|파견예정",입력_파견수련계획!$Y$4:$Y$803,0),IFERROR(MATCH(TRIM($J46&amp;"")&amp;"|파견종료",입력_파견수련계획!$Y$4:$Y$803,0),""))))</f>
        <v/>
      </c>
      <c r="AG46" s="10">
        <f>IF($B46="","",IF(AND(IF(OR($AC46="",출력_인턴현황!$K$2=""),"",INDEX(입력_인턴근무계획!$M$3:$R$402,$AC46,출력_인턴현황!$K$2)&amp;"")&lt;&gt;"",LEFT(IF(OR($AC46="",출력_인턴현황!$K$2=""),"",INDEX(입력_인턴근무계획!$M$3:$R$402,$AC46,출력_인턴현황!$K$2)&amp;""),1)&lt;&gt;"⚠"),LEFT(IF(OR($AC46="",출력_인턴현황!$K$2=""),"",INDEX(입력_인턴근무계획!$M$3:$R$402,$AC46,출력_인턴현황!$K$2)&amp;""),FIND(" ",IF(OR($AC46="",출력_인턴현황!$K$2=""),"",INDEX(입력_인턴근무계획!$M$3:$R$402,$AC46,출력_인턴현황!$K$2)&amp;""))-1),$AE46))</f>
        <v/>
      </c>
      <c r="AH46" s="17">
        <f>IF($B46="","",IF($AQ46&lt;&gt;"",MAX(0,DAY(EOMONTH(출력_요약!$B$3,0))-N($AR46)),IF(TRIM($J46&amp;"")="",0,SUMPRODUCT((입력_파견수련계획!$Q$4:$Q$803=TRIM($J46&amp;""))*(입력_파견수련계획!$S$4:$S$803="서울병원")*입력_파견수련계획!$W$4:$W$803))+IF($AG46="서울병원",MAX(0,DAY(EOMONTH(출력_요약!$B$3,0))-N($X46)),0)))</f>
        <v/>
      </c>
      <c r="AI46" s="17">
        <f>IF($B46="","",IF($AQ46&lt;&gt;"",N($AR46),IF(TRIM($J46&amp;"")="",0,SUMPRODUCT((입력_파견수련계획!$Q$4:$Q$803=TRIM($J46&amp;""))*(입력_파견수련계획!$S$4:$S$803="구리병원")*입력_파견수련계획!$W$4:$W$803))+IF($AG46="구리병원",MAX(0,DAY(EOMONTH(출력_요약!$B$3,0))-N($X46)),0)))</f>
        <v/>
      </c>
      <c r="AJ46" s="10">
        <f>IF(OR($B46="",TRIM($J46&amp;"")=""),"",IFERROR(MATCH(TRIM($J46&amp;"")&amp;"|월",입력_파견수련계획!$Z$4:$Z$803,0),""))</f>
        <v/>
      </c>
      <c r="AK46" s="10">
        <f>IF(OR($B46="",TRIM($J46&amp;"")=""),"",IFERROR(MATCH(TRIM($J46&amp;"")&amp;"|다기관",입력_파견수련계획!$AE$4:$AE$803,0),""))</f>
        <v/>
      </c>
      <c r="AL46" s="10">
        <f>IF($AK46="","","다기관 "&amp;TEXT(INDEX(입력_파견수련계획!$AB$4:$AB$803,$AK46),"yyyy-mm-dd")&amp;"~"&amp;IF(ISNUMBER(INDEX(입력_파견수련계획!$AC$4:$AC$803,$AK46)),TEXT(INDEX(입력_파견수련계획!$AC$4:$AC$803,$AK46),"yyyy-mm-dd"),""))</f>
        <v/>
      </c>
      <c r="AM46" s="10">
        <f>IF($Y46="서울병원",COUNTIF($Y$2:$Y46,"서울병원"),"")</f>
        <v/>
      </c>
      <c r="AN46" s="10">
        <f>IF(LEFT($Y46,1)="⚠",COUNTIF($Y$2:$Y46,"⚠*"),"")</f>
        <v/>
      </c>
      <c r="AO46" s="10">
        <f>IF(OR($B46="",$Y46=""),"",IF(IF(TRIM($J46&amp;"")="",0,SUMPRODUCT((입력_파견수련계획!$Q$4:$Q$803=TRIM($J46&amp;""))*입력_파견수련계획!$AD$4:$AD$803))&gt;0,"다기관 기간 → 소속병원 지급",IF(AND(N($X46)&lt;=0,$AQ46=""),"파견 없음 → 그 달 근무병원 지급",IF($AH46+$AI46=DAY(EOMONTH(출력_요약!$B$3,0)),"서울 "&amp;$AH46&amp;"일 / 구리 "&amp;$AI46&amp;"일"&amp;IF($AQ46&lt;&gt;""," (구리 근무자명단 반영)","")&amp;" → 15일 이상 근무 병원 지급","타 병원 포함 → "&amp;IF($AJ46="","소속",INDEX(입력_파견수련계획!$T$4:$T$803,$AJ46))&amp;" 규칙"))))</f>
        <v/>
      </c>
      <c r="AP46" s="10">
        <f>IF($B46="","",$C46&amp;"|"&amp;$F46)</f>
        <v/>
      </c>
      <c r="AQ46" s="10">
        <f>IF($B46="","",IFERROR(MATCH(ROW()-1,출력_구리근무자!$K$6:$K$305,0),""))</f>
        <v/>
      </c>
      <c r="AR46" s="10">
        <f>IF($AQ46="","",INDEX(출력_구리근무자!$H$6:$H$305,$AQ46))</f>
        <v/>
      </c>
    </row>
    <row r="47">
      <c r="A47" s="10">
        <f>IF(B47="","",ROW()-1)</f>
        <v/>
      </c>
      <c r="B47" s="19" t="n"/>
      <c r="C47" s="10">
        <f>IF($AB47="","",IF(INDEX(입력_기본자료!$C$2:$C$1001,$AB47)="","",INDEX(입력_기본자료!$C$2:$C$1001,$AB47)))</f>
        <v/>
      </c>
      <c r="D47" s="10">
        <f>IF($AB47="","",IF(INDEX(입력_기본자료!$J$2:$J$1001,$AB47)="","",INDEX(입력_기본자료!$J$2:$J$1001,$AB47)))</f>
        <v/>
      </c>
      <c r="E47" s="11">
        <f>IF($AB47="","",IF(INDEX(입력_기본자료!$K$2:$K$1001,$AB47)="","",IF(NOT(ISNUMBER(INDEX(입력_기본자료!$K$2:$K$1001,$AB47))),INDEX(입력_기본자료!$K$2:$K$1001,$AB47),IF(INDEX(입력_기본자료!$K$2:$K$1001,$AB47)&lt;1000000,INDEX(입력_기본자료!$K$2:$K$1001,$AB47),IF(AND(INDEX(입력_기본자료!$K$2:$K$1001,$AB47)&gt;=10000101,INT(MOD(INDEX(입력_기본자료!$K$2:$K$1001,$AB47),10000)/100)&gt;=1,INT(MOD(INDEX(입력_기본자료!$K$2:$K$1001,$AB47),10000)/100)&lt;=12,MOD(INDEX(입력_기본자료!$K$2:$K$1001,$AB47),100)&gt;=1,MOD(INDEX(입력_기본자료!$K$2:$K$1001,$AB47),100)&lt;=31),DATE(INT(INDEX(입력_기본자료!$K$2:$K$1001,$AB47)/10000),INT(MOD(INDEX(입력_기본자료!$K$2:$K$1001,$AB47),10000)/100),MOD(INDEX(입력_기본자료!$K$2:$K$1001,$AB47),100)),INDEX(입력_기본자료!$K$2:$K$1001,$AB47)&amp;"")))))</f>
        <v/>
      </c>
      <c r="F47" s="10">
        <f>IF($AB47="","",IF(INDEX(입력_기본자료!$D$2:$D$1001,$AB47)="","",INDEX(입력_기본자료!$D$2:$D$1001,$AB47)))</f>
        <v/>
      </c>
      <c r="G47" s="10">
        <f>IF($AB47="","",IF(INDEX(입력_기본자료!$E$2:$E$1001,$AB47)="","",INDEX(입력_기본자료!$E$2:$E$1001,$AB47)))</f>
        <v/>
      </c>
      <c r="H47" s="10">
        <f>IF($AB47="","",IF(INDEX(입력_기본자료!$F$2:$F$1001,$AB47)="","",INDEX(입력_기본자료!$F$2:$F$1001,$AB47)))</f>
        <v/>
      </c>
      <c r="I47" s="11">
        <f>IF($AB47="","",IF(INDEX(입력_기본자료!$G$2:$G$1001,$AB47)="","",IF(NOT(ISNUMBER(INDEX(입력_기본자료!$G$2:$G$1001,$AB47))),INDEX(입력_기본자료!$G$2:$G$1001,$AB47),IF(INDEX(입력_기본자료!$G$2:$G$1001,$AB47)&lt;1000000,INDEX(입력_기본자료!$G$2:$G$1001,$AB47),IF(AND(INDEX(입력_기본자료!$G$2:$G$1001,$AB47)&gt;=10000101,INT(MOD(INDEX(입력_기본자료!$G$2:$G$1001,$AB47),10000)/100)&gt;=1,INT(MOD(INDEX(입력_기본자료!$G$2:$G$1001,$AB47),10000)/100)&lt;=12,MOD(INDEX(입력_기본자료!$G$2:$G$1001,$AB47),100)&gt;=1,MOD(INDEX(입력_기본자료!$G$2:$G$1001,$AB47),100)&lt;=31),DATE(INT(INDEX(입력_기본자료!$G$2:$G$1001,$AB47)/10000),INT(MOD(INDEX(입력_기본자료!$G$2:$G$1001,$AB47),10000)/100),MOD(INDEX(입력_기본자료!$G$2:$G$1001,$AB47),100)),INDEX(입력_기본자료!$G$2:$G$1001,$AB47)&amp;"")))))</f>
        <v/>
      </c>
      <c r="J47" s="10">
        <f>IF($AB47="","",IF(INDEX(입력_기본자료!$H$2:$H$1001,$AB47)="","",INDEX(입력_기본자료!$H$2:$H$1001,$AB47)))</f>
        <v/>
      </c>
      <c r="K47" s="10">
        <f>IF($AB47="","",IF(INDEX(입력_기본자료!$I$2:$I$1001,$AB47)="","",INDEX(입력_기본자료!$I$2:$I$1001,$AB47)))</f>
        <v/>
      </c>
      <c r="L47" s="10">
        <f>IF($AB47="","",IF(INDEX(입력_기본자료!$A$2:$A$1001,$AB47)="","",INDEX(입력_기본자료!$A$2:$A$1001,$AB47)))</f>
        <v/>
      </c>
      <c r="M47" s="15" t="n"/>
      <c r="N47" s="10">
        <f>IF($B47="","",IF(AND($U47="파견중",$Q47&lt;&gt;""),$Q47,IF(AND($AD47&lt;&gt;"",LEFT($AD47,1)&lt;&gt;"⚠"),LEFT($AD47,FIND(" ",$AD47)-1),IF($H47="","",IF(RIGHT($H47,2)="병원",$H47,$H47&amp;"병원")))))</f>
        <v/>
      </c>
      <c r="O47" s="10">
        <f>IF($B47="","",IF(AND($U47="파견중",$Q47&lt;&gt;""),IF($R47&lt;&gt;"",$R47,"파견과 미입력"),IF(AND($AD47&lt;&gt;"",LEFT($AD47,1)&lt;&gt;"⚠"),MID($AD47,FIND(" ",$AD47)+1,60),IF($F47="","",IF($F47="인턴","수련교육부(인턴)",$F47)))))</f>
        <v/>
      </c>
      <c r="P47" s="10">
        <f>IF($B47="","",IF($AK47&lt;&gt;"",IF(AND(TODAY()&gt;=INDEX(입력_파견수련계획!$AB$4:$AB$803,$AK47),OR(NOT(ISNUMBER(INDEX(입력_파견수련계획!$AC$4:$AC$803,$AK47))),TODAY()&lt;=INDEX(입력_파견수련계획!$AC$4:$AC$803,$AK47))),"다기관",IF($AF47="","",INDEX(입력_파견수련계획!$T$4:$T$803,$AF47))),IF($AF47="","",INDEX(입력_파견수련계획!$T$4:$T$803,$AF47))))</f>
        <v/>
      </c>
      <c r="Q47" s="10">
        <f>IF($AF47="","",INDEX(입력_파견수련계획!$S$4:$S$803,$AF47))</f>
        <v/>
      </c>
      <c r="R47" s="10">
        <f>IF($AF47="","",INDEX(입력_파견수련계획!$U$4:$U$803,$AF47))</f>
        <v/>
      </c>
      <c r="S47" s="11">
        <f>IF($AF47="","",IF(INDEX(입력_파견수련계획!$H$4:$H$803,$AF47)="","",INDEX(입력_파견수련계획!$H$4:$H$803,$AF47)))</f>
        <v/>
      </c>
      <c r="T47" s="11">
        <f>IF($AF47="","",IF(INDEX(입력_파견수련계획!$I$4:$I$803,$AF47)="","",INDEX(입력_파견수련계획!$I$4:$I$803,$AF47)))</f>
        <v/>
      </c>
      <c r="U47" s="10">
        <f>IF($AF47="","",INDEX(입력_파견수련계획!$X$4:$X$803,$AF47))</f>
        <v/>
      </c>
      <c r="V47" s="17">
        <f>IF($AF47="","",INDEX(입력_파견수련계획!$V$4:$V$803,$AF47))</f>
        <v/>
      </c>
      <c r="W47" s="17">
        <f>IF(AND($U47="파견중",$T47&lt;&gt;""),$T47-TODAY(),"")</f>
        <v/>
      </c>
      <c r="X47" s="17">
        <f>IF(OR($B47="",TRIM($J47&amp;"")=""),"",SUMPRODUCT((입력_파견수련계획!$Q$4:$Q$803=TRIM($J47&amp;""))*입력_파견수련계획!$W$4:$W$803))</f>
        <v/>
      </c>
      <c r="Y47" s="10">
        <f>IF($B47="","",IF($AG47="","",IF(IF(TRIM($J47&amp;"")="",0,SUMPRODUCT((입력_파견수련계획!$Q$4:$Q$803=TRIM($J47&amp;""))*입력_파견수련계획!$AD$4:$AD$803))&gt;0,$AE47,IF(AND(N($X47)&lt;=0,$AQ47=""),$AG47,IF($AH47+$AI47=DAY(EOMONTH(출력_요약!$B$3,0)),IF(AND($AH47&gt;=출력_요약!$E$3,$AI47&lt;출력_요약!$E$3),"서울병원",IF(AND($AI47&gt;=출력_요약!$E$3,$AH47&lt;출력_요약!$E$3),"구리병원","⚠15일 판정불가(서울 "&amp;$AH47&amp;"일/구리 "&amp;$AI47&amp;"일)")),IF($AJ47="",$AE47,IF(INDEX(입력_파견수련계획!$T$4:$T$803,$AJ47)="통합수련",INDEX(입력_파견수련계획!$S$4:$S$803,$AJ47),$AE47)))))))</f>
        <v/>
      </c>
      <c r="Z47" s="20">
        <f>IF($B47="","",IF($AB47="","기본자료에 없는 사번",IF(COUNTIF($B$2:$B$401,$B47)&gt;1,"중복 사번",IF($AE47="","소속(입사장소) 입력",IF(IF(TRIM($J47&amp;"")="",0,SUMPRODUCT((입력_파견수련계획!$Q$4:$Q$803=TRIM($J47&amp;""))*(입력_파견수련계획!$AA$4:$AA$803&lt;&gt;"")))&gt;0,"파견수련계획 입력오류 확인",IF(LEFT($Y47,1)="⚠","서울·구리 15일 판정 불가(양쪽 모두 이상/미만)",IF(IF($AC47="",0,N(INDEX(입력_인턴근무계획!$T$3:$T$402,$AC47)))&gt;0,"인턴계획 입력오류 확인",IF(AND($AQ47&lt;&gt;"",$AG47&lt;&gt;"구리병원",IF(TRIM($J47&amp;"")="",0,SUMPRODUCT((입력_파견수련계획!$Q$4:$Q$803=TRIM($J47&amp;""))*(입력_파견수련계획!$S$4:$S$803="구리병원")*입력_파견수련계획!$W$4:$W$803))=0),"구리 근무자명단에만 있음(파견수련계획 확인)",IF(AND($AC47&lt;&gt;"",$U47&lt;&gt;"파견중",$N47&lt;&gt;$AE47),"인턴 타지역 근무: 파견 여부 확인","정상")))))))))</f>
        <v/>
      </c>
      <c r="AA47" s="5" t="n"/>
      <c r="AB47" s="10">
        <f>IF($B47="","",IFERROR(MATCH($B47,입력_기본자료!$B$2:$B$1001,0),IFERROR(MATCH($B47&amp;"",입력_기본자료!$B$2:$B$1001,0),IFERROR(MATCH(VALUE($B47),입력_기본자료!$B$2:$B$1001,0),""))))</f>
        <v/>
      </c>
      <c r="AC47" s="10">
        <f>IF($B47="","",IFERROR(MATCH($B47,입력_인턴근무계획!$D$3:$D$402,0),IFERROR(MATCH($B47&amp;"",입력_인턴근무계획!$D$3:$D$402,0),IFERROR(MATCH(VALUE($B47),입력_인턴근무계획!$D$3:$D$402,0),""))))</f>
        <v/>
      </c>
      <c r="AD47" s="10">
        <f>IF(OR($AC47="",출력_인턴현황!$G$3=""),"",INDEX(입력_인턴근무계획!$M$3:$R$402,$AC47,출력_인턴현황!$G$3)&amp;"")</f>
        <v/>
      </c>
      <c r="AE47" s="10">
        <f>IF($B47="","",IF($M47&lt;&gt;"",$M47,IF(IF($AQ47="",FALSE,INDEX(출력_구리근무자!$J$6:$J$305,$AQ47)="구리독자"),"구리병원",IF($AF47&lt;&gt;"",IF(LEFT(INDEX(입력_파견수련계획!$R$4:$R$803,$AF47),1)&lt;&gt;"⚠",INDEX(입력_파견수련계획!$R$4:$R$803,$AF47),IF($H47="","",IF(RIGHT($H47,2)="병원",$H47,$H47&amp;"병원"))),IF($H47="","",IF(RIGHT($H47,2)="병원",$H47,$H47&amp;"병원"))))))</f>
        <v/>
      </c>
      <c r="AF47" s="10">
        <f>IF(OR($B47="",TRIM($J47&amp;"")=""),"",IFERROR(MATCH(TRIM($J47&amp;"")&amp;"|파견중",입력_파견수련계획!$Y$4:$Y$803,0),IFERROR(MATCH(TRIM($J47&amp;"")&amp;"|파견예정",입력_파견수련계획!$Y$4:$Y$803,0),IFERROR(MATCH(TRIM($J47&amp;"")&amp;"|파견종료",입력_파견수련계획!$Y$4:$Y$803,0),""))))</f>
        <v/>
      </c>
      <c r="AG47" s="10">
        <f>IF($B47="","",IF(AND(IF(OR($AC47="",출력_인턴현황!$K$2=""),"",INDEX(입력_인턴근무계획!$M$3:$R$402,$AC47,출력_인턴현황!$K$2)&amp;"")&lt;&gt;"",LEFT(IF(OR($AC47="",출력_인턴현황!$K$2=""),"",INDEX(입력_인턴근무계획!$M$3:$R$402,$AC47,출력_인턴현황!$K$2)&amp;""),1)&lt;&gt;"⚠"),LEFT(IF(OR($AC47="",출력_인턴현황!$K$2=""),"",INDEX(입력_인턴근무계획!$M$3:$R$402,$AC47,출력_인턴현황!$K$2)&amp;""),FIND(" ",IF(OR($AC47="",출력_인턴현황!$K$2=""),"",INDEX(입력_인턴근무계획!$M$3:$R$402,$AC47,출력_인턴현황!$K$2)&amp;""))-1),$AE47))</f>
        <v/>
      </c>
      <c r="AH47" s="17">
        <f>IF($B47="","",IF($AQ47&lt;&gt;"",MAX(0,DAY(EOMONTH(출력_요약!$B$3,0))-N($AR47)),IF(TRIM($J47&amp;"")="",0,SUMPRODUCT((입력_파견수련계획!$Q$4:$Q$803=TRIM($J47&amp;""))*(입력_파견수련계획!$S$4:$S$803="서울병원")*입력_파견수련계획!$W$4:$W$803))+IF($AG47="서울병원",MAX(0,DAY(EOMONTH(출력_요약!$B$3,0))-N($X47)),0)))</f>
        <v/>
      </c>
      <c r="AI47" s="17">
        <f>IF($B47="","",IF($AQ47&lt;&gt;"",N($AR47),IF(TRIM($J47&amp;"")="",0,SUMPRODUCT((입력_파견수련계획!$Q$4:$Q$803=TRIM($J47&amp;""))*(입력_파견수련계획!$S$4:$S$803="구리병원")*입력_파견수련계획!$W$4:$W$803))+IF($AG47="구리병원",MAX(0,DAY(EOMONTH(출력_요약!$B$3,0))-N($X47)),0)))</f>
        <v/>
      </c>
      <c r="AJ47" s="10">
        <f>IF(OR($B47="",TRIM($J47&amp;"")=""),"",IFERROR(MATCH(TRIM($J47&amp;"")&amp;"|월",입력_파견수련계획!$Z$4:$Z$803,0),""))</f>
        <v/>
      </c>
      <c r="AK47" s="10">
        <f>IF(OR($B47="",TRIM($J47&amp;"")=""),"",IFERROR(MATCH(TRIM($J47&amp;"")&amp;"|다기관",입력_파견수련계획!$AE$4:$AE$803,0),""))</f>
        <v/>
      </c>
      <c r="AL47" s="10">
        <f>IF($AK47="","","다기관 "&amp;TEXT(INDEX(입력_파견수련계획!$AB$4:$AB$803,$AK47),"yyyy-mm-dd")&amp;"~"&amp;IF(ISNUMBER(INDEX(입력_파견수련계획!$AC$4:$AC$803,$AK47)),TEXT(INDEX(입력_파견수련계획!$AC$4:$AC$803,$AK47),"yyyy-mm-dd"),""))</f>
        <v/>
      </c>
      <c r="AM47" s="10">
        <f>IF($Y47="서울병원",COUNTIF($Y$2:$Y47,"서울병원"),"")</f>
        <v/>
      </c>
      <c r="AN47" s="10">
        <f>IF(LEFT($Y47,1)="⚠",COUNTIF($Y$2:$Y47,"⚠*"),"")</f>
        <v/>
      </c>
      <c r="AO47" s="10">
        <f>IF(OR($B47="",$Y47=""),"",IF(IF(TRIM($J47&amp;"")="",0,SUMPRODUCT((입력_파견수련계획!$Q$4:$Q$803=TRIM($J47&amp;""))*입력_파견수련계획!$AD$4:$AD$803))&gt;0,"다기관 기간 → 소속병원 지급",IF(AND(N($X47)&lt;=0,$AQ47=""),"파견 없음 → 그 달 근무병원 지급",IF($AH47+$AI47=DAY(EOMONTH(출력_요약!$B$3,0)),"서울 "&amp;$AH47&amp;"일 / 구리 "&amp;$AI47&amp;"일"&amp;IF($AQ47&lt;&gt;""," (구리 근무자명단 반영)","")&amp;" → 15일 이상 근무 병원 지급","타 병원 포함 → "&amp;IF($AJ47="","소속",INDEX(입력_파견수련계획!$T$4:$T$803,$AJ47))&amp;" 규칙"))))</f>
        <v/>
      </c>
      <c r="AP47" s="10">
        <f>IF($B47="","",$C47&amp;"|"&amp;$F47)</f>
        <v/>
      </c>
      <c r="AQ47" s="10">
        <f>IF($B47="","",IFERROR(MATCH(ROW()-1,출력_구리근무자!$K$6:$K$305,0),""))</f>
        <v/>
      </c>
      <c r="AR47" s="10">
        <f>IF($AQ47="","",INDEX(출력_구리근무자!$H$6:$H$305,$AQ47))</f>
        <v/>
      </c>
    </row>
    <row r="48">
      <c r="A48" s="10">
        <f>IF(B48="","",ROW()-1)</f>
        <v/>
      </c>
      <c r="B48" s="19" t="n"/>
      <c r="C48" s="10">
        <f>IF($AB48="","",IF(INDEX(입력_기본자료!$C$2:$C$1001,$AB48)="","",INDEX(입력_기본자료!$C$2:$C$1001,$AB48)))</f>
        <v/>
      </c>
      <c r="D48" s="10">
        <f>IF($AB48="","",IF(INDEX(입력_기본자료!$J$2:$J$1001,$AB48)="","",INDEX(입력_기본자료!$J$2:$J$1001,$AB48)))</f>
        <v/>
      </c>
      <c r="E48" s="11">
        <f>IF($AB48="","",IF(INDEX(입력_기본자료!$K$2:$K$1001,$AB48)="","",IF(NOT(ISNUMBER(INDEX(입력_기본자료!$K$2:$K$1001,$AB48))),INDEX(입력_기본자료!$K$2:$K$1001,$AB48),IF(INDEX(입력_기본자료!$K$2:$K$1001,$AB48)&lt;1000000,INDEX(입력_기본자료!$K$2:$K$1001,$AB48),IF(AND(INDEX(입력_기본자료!$K$2:$K$1001,$AB48)&gt;=10000101,INT(MOD(INDEX(입력_기본자료!$K$2:$K$1001,$AB48),10000)/100)&gt;=1,INT(MOD(INDEX(입력_기본자료!$K$2:$K$1001,$AB48),10000)/100)&lt;=12,MOD(INDEX(입력_기본자료!$K$2:$K$1001,$AB48),100)&gt;=1,MOD(INDEX(입력_기본자료!$K$2:$K$1001,$AB48),100)&lt;=31),DATE(INT(INDEX(입력_기본자료!$K$2:$K$1001,$AB48)/10000),INT(MOD(INDEX(입력_기본자료!$K$2:$K$1001,$AB48),10000)/100),MOD(INDEX(입력_기본자료!$K$2:$K$1001,$AB48),100)),INDEX(입력_기본자료!$K$2:$K$1001,$AB48)&amp;"")))))</f>
        <v/>
      </c>
      <c r="F48" s="10">
        <f>IF($AB48="","",IF(INDEX(입력_기본자료!$D$2:$D$1001,$AB48)="","",INDEX(입력_기본자료!$D$2:$D$1001,$AB48)))</f>
        <v/>
      </c>
      <c r="G48" s="10">
        <f>IF($AB48="","",IF(INDEX(입력_기본자료!$E$2:$E$1001,$AB48)="","",INDEX(입력_기본자료!$E$2:$E$1001,$AB48)))</f>
        <v/>
      </c>
      <c r="H48" s="10">
        <f>IF($AB48="","",IF(INDEX(입력_기본자료!$F$2:$F$1001,$AB48)="","",INDEX(입력_기본자료!$F$2:$F$1001,$AB48)))</f>
        <v/>
      </c>
      <c r="I48" s="11">
        <f>IF($AB48="","",IF(INDEX(입력_기본자료!$G$2:$G$1001,$AB48)="","",IF(NOT(ISNUMBER(INDEX(입력_기본자료!$G$2:$G$1001,$AB48))),INDEX(입력_기본자료!$G$2:$G$1001,$AB48),IF(INDEX(입력_기본자료!$G$2:$G$1001,$AB48)&lt;1000000,INDEX(입력_기본자료!$G$2:$G$1001,$AB48),IF(AND(INDEX(입력_기본자료!$G$2:$G$1001,$AB48)&gt;=10000101,INT(MOD(INDEX(입력_기본자료!$G$2:$G$1001,$AB48),10000)/100)&gt;=1,INT(MOD(INDEX(입력_기본자료!$G$2:$G$1001,$AB48),10000)/100)&lt;=12,MOD(INDEX(입력_기본자료!$G$2:$G$1001,$AB48),100)&gt;=1,MOD(INDEX(입력_기본자료!$G$2:$G$1001,$AB48),100)&lt;=31),DATE(INT(INDEX(입력_기본자료!$G$2:$G$1001,$AB48)/10000),INT(MOD(INDEX(입력_기본자료!$G$2:$G$1001,$AB48),10000)/100),MOD(INDEX(입력_기본자료!$G$2:$G$1001,$AB48),100)),INDEX(입력_기본자료!$G$2:$G$1001,$AB48)&amp;"")))))</f>
        <v/>
      </c>
      <c r="J48" s="10">
        <f>IF($AB48="","",IF(INDEX(입력_기본자료!$H$2:$H$1001,$AB48)="","",INDEX(입력_기본자료!$H$2:$H$1001,$AB48)))</f>
        <v/>
      </c>
      <c r="K48" s="10">
        <f>IF($AB48="","",IF(INDEX(입력_기본자료!$I$2:$I$1001,$AB48)="","",INDEX(입력_기본자료!$I$2:$I$1001,$AB48)))</f>
        <v/>
      </c>
      <c r="L48" s="10">
        <f>IF($AB48="","",IF(INDEX(입력_기본자료!$A$2:$A$1001,$AB48)="","",INDEX(입력_기본자료!$A$2:$A$1001,$AB48)))</f>
        <v/>
      </c>
      <c r="M48" s="15" t="n"/>
      <c r="N48" s="10">
        <f>IF($B48="","",IF(AND($U48="파견중",$Q48&lt;&gt;""),$Q48,IF(AND($AD48&lt;&gt;"",LEFT($AD48,1)&lt;&gt;"⚠"),LEFT($AD48,FIND(" ",$AD48)-1),IF($H48="","",IF(RIGHT($H48,2)="병원",$H48,$H48&amp;"병원")))))</f>
        <v/>
      </c>
      <c r="O48" s="10">
        <f>IF($B48="","",IF(AND($U48="파견중",$Q48&lt;&gt;""),IF($R48&lt;&gt;"",$R48,"파견과 미입력"),IF(AND($AD48&lt;&gt;"",LEFT($AD48,1)&lt;&gt;"⚠"),MID($AD48,FIND(" ",$AD48)+1,60),IF($F48="","",IF($F48="인턴","수련교육부(인턴)",$F48)))))</f>
        <v/>
      </c>
      <c r="P48" s="10">
        <f>IF($B48="","",IF($AK48&lt;&gt;"",IF(AND(TODAY()&gt;=INDEX(입력_파견수련계획!$AB$4:$AB$803,$AK48),OR(NOT(ISNUMBER(INDEX(입력_파견수련계획!$AC$4:$AC$803,$AK48))),TODAY()&lt;=INDEX(입력_파견수련계획!$AC$4:$AC$803,$AK48))),"다기관",IF($AF48="","",INDEX(입력_파견수련계획!$T$4:$T$803,$AF48))),IF($AF48="","",INDEX(입력_파견수련계획!$T$4:$T$803,$AF48))))</f>
        <v/>
      </c>
      <c r="Q48" s="10">
        <f>IF($AF48="","",INDEX(입력_파견수련계획!$S$4:$S$803,$AF48))</f>
        <v/>
      </c>
      <c r="R48" s="10">
        <f>IF($AF48="","",INDEX(입력_파견수련계획!$U$4:$U$803,$AF48))</f>
        <v/>
      </c>
      <c r="S48" s="11">
        <f>IF($AF48="","",IF(INDEX(입력_파견수련계획!$H$4:$H$803,$AF48)="","",INDEX(입력_파견수련계획!$H$4:$H$803,$AF48)))</f>
        <v/>
      </c>
      <c r="T48" s="11">
        <f>IF($AF48="","",IF(INDEX(입력_파견수련계획!$I$4:$I$803,$AF48)="","",INDEX(입력_파견수련계획!$I$4:$I$803,$AF48)))</f>
        <v/>
      </c>
      <c r="U48" s="10">
        <f>IF($AF48="","",INDEX(입력_파견수련계획!$X$4:$X$803,$AF48))</f>
        <v/>
      </c>
      <c r="V48" s="17">
        <f>IF($AF48="","",INDEX(입력_파견수련계획!$V$4:$V$803,$AF48))</f>
        <v/>
      </c>
      <c r="W48" s="17">
        <f>IF(AND($U48="파견중",$T48&lt;&gt;""),$T48-TODAY(),"")</f>
        <v/>
      </c>
      <c r="X48" s="17">
        <f>IF(OR($B48="",TRIM($J48&amp;"")=""),"",SUMPRODUCT((입력_파견수련계획!$Q$4:$Q$803=TRIM($J48&amp;""))*입력_파견수련계획!$W$4:$W$803))</f>
        <v/>
      </c>
      <c r="Y48" s="10">
        <f>IF($B48="","",IF($AG48="","",IF(IF(TRIM($J48&amp;"")="",0,SUMPRODUCT((입력_파견수련계획!$Q$4:$Q$803=TRIM($J48&amp;""))*입력_파견수련계획!$AD$4:$AD$803))&gt;0,$AE48,IF(AND(N($X48)&lt;=0,$AQ48=""),$AG48,IF($AH48+$AI48=DAY(EOMONTH(출력_요약!$B$3,0)),IF(AND($AH48&gt;=출력_요약!$E$3,$AI48&lt;출력_요약!$E$3),"서울병원",IF(AND($AI48&gt;=출력_요약!$E$3,$AH48&lt;출력_요약!$E$3),"구리병원","⚠15일 판정불가(서울 "&amp;$AH48&amp;"일/구리 "&amp;$AI48&amp;"일)")),IF($AJ48="",$AE48,IF(INDEX(입력_파견수련계획!$T$4:$T$803,$AJ48)="통합수련",INDEX(입력_파견수련계획!$S$4:$S$803,$AJ48),$AE48)))))))</f>
        <v/>
      </c>
      <c r="Z48" s="20">
        <f>IF($B48="","",IF($AB48="","기본자료에 없는 사번",IF(COUNTIF($B$2:$B$401,$B48)&gt;1,"중복 사번",IF($AE48="","소속(입사장소) 입력",IF(IF(TRIM($J48&amp;"")="",0,SUMPRODUCT((입력_파견수련계획!$Q$4:$Q$803=TRIM($J48&amp;""))*(입력_파견수련계획!$AA$4:$AA$803&lt;&gt;"")))&gt;0,"파견수련계획 입력오류 확인",IF(LEFT($Y48,1)="⚠","서울·구리 15일 판정 불가(양쪽 모두 이상/미만)",IF(IF($AC48="",0,N(INDEX(입력_인턴근무계획!$T$3:$T$402,$AC48)))&gt;0,"인턴계획 입력오류 확인",IF(AND($AQ48&lt;&gt;"",$AG48&lt;&gt;"구리병원",IF(TRIM($J48&amp;"")="",0,SUMPRODUCT((입력_파견수련계획!$Q$4:$Q$803=TRIM($J48&amp;""))*(입력_파견수련계획!$S$4:$S$803="구리병원")*입력_파견수련계획!$W$4:$W$803))=0),"구리 근무자명단에만 있음(파견수련계획 확인)",IF(AND($AC48&lt;&gt;"",$U48&lt;&gt;"파견중",$N48&lt;&gt;$AE48),"인턴 타지역 근무: 파견 여부 확인","정상")))))))))</f>
        <v/>
      </c>
      <c r="AA48" s="5" t="n"/>
      <c r="AB48" s="10">
        <f>IF($B48="","",IFERROR(MATCH($B48,입력_기본자료!$B$2:$B$1001,0),IFERROR(MATCH($B48&amp;"",입력_기본자료!$B$2:$B$1001,0),IFERROR(MATCH(VALUE($B48),입력_기본자료!$B$2:$B$1001,0),""))))</f>
        <v/>
      </c>
      <c r="AC48" s="10">
        <f>IF($B48="","",IFERROR(MATCH($B48,입력_인턴근무계획!$D$3:$D$402,0),IFERROR(MATCH($B48&amp;"",입력_인턴근무계획!$D$3:$D$402,0),IFERROR(MATCH(VALUE($B48),입력_인턴근무계획!$D$3:$D$402,0),""))))</f>
        <v/>
      </c>
      <c r="AD48" s="10">
        <f>IF(OR($AC48="",출력_인턴현황!$G$3=""),"",INDEX(입력_인턴근무계획!$M$3:$R$402,$AC48,출력_인턴현황!$G$3)&amp;"")</f>
        <v/>
      </c>
      <c r="AE48" s="10">
        <f>IF($B48="","",IF($M48&lt;&gt;"",$M48,IF(IF($AQ48="",FALSE,INDEX(출력_구리근무자!$J$6:$J$305,$AQ48)="구리독자"),"구리병원",IF($AF48&lt;&gt;"",IF(LEFT(INDEX(입력_파견수련계획!$R$4:$R$803,$AF48),1)&lt;&gt;"⚠",INDEX(입력_파견수련계획!$R$4:$R$803,$AF48),IF($H48="","",IF(RIGHT($H48,2)="병원",$H48,$H48&amp;"병원"))),IF($H48="","",IF(RIGHT($H48,2)="병원",$H48,$H48&amp;"병원"))))))</f>
        <v/>
      </c>
      <c r="AF48" s="10">
        <f>IF(OR($B48="",TRIM($J48&amp;"")=""),"",IFERROR(MATCH(TRIM($J48&amp;"")&amp;"|파견중",입력_파견수련계획!$Y$4:$Y$803,0),IFERROR(MATCH(TRIM($J48&amp;"")&amp;"|파견예정",입력_파견수련계획!$Y$4:$Y$803,0),IFERROR(MATCH(TRIM($J48&amp;"")&amp;"|파견종료",입력_파견수련계획!$Y$4:$Y$803,0),""))))</f>
        <v/>
      </c>
      <c r="AG48" s="10">
        <f>IF($B48="","",IF(AND(IF(OR($AC48="",출력_인턴현황!$K$2=""),"",INDEX(입력_인턴근무계획!$M$3:$R$402,$AC48,출력_인턴현황!$K$2)&amp;"")&lt;&gt;"",LEFT(IF(OR($AC48="",출력_인턴현황!$K$2=""),"",INDEX(입력_인턴근무계획!$M$3:$R$402,$AC48,출력_인턴현황!$K$2)&amp;""),1)&lt;&gt;"⚠"),LEFT(IF(OR($AC48="",출력_인턴현황!$K$2=""),"",INDEX(입력_인턴근무계획!$M$3:$R$402,$AC48,출력_인턴현황!$K$2)&amp;""),FIND(" ",IF(OR($AC48="",출력_인턴현황!$K$2=""),"",INDEX(입력_인턴근무계획!$M$3:$R$402,$AC48,출력_인턴현황!$K$2)&amp;""))-1),$AE48))</f>
        <v/>
      </c>
      <c r="AH48" s="17">
        <f>IF($B48="","",IF($AQ48&lt;&gt;"",MAX(0,DAY(EOMONTH(출력_요약!$B$3,0))-N($AR48)),IF(TRIM($J48&amp;"")="",0,SUMPRODUCT((입력_파견수련계획!$Q$4:$Q$803=TRIM($J48&amp;""))*(입력_파견수련계획!$S$4:$S$803="서울병원")*입력_파견수련계획!$W$4:$W$803))+IF($AG48="서울병원",MAX(0,DAY(EOMONTH(출력_요약!$B$3,0))-N($X48)),0)))</f>
        <v/>
      </c>
      <c r="AI48" s="17">
        <f>IF($B48="","",IF($AQ48&lt;&gt;"",N($AR48),IF(TRIM($J48&amp;"")="",0,SUMPRODUCT((입력_파견수련계획!$Q$4:$Q$803=TRIM($J48&amp;""))*(입력_파견수련계획!$S$4:$S$803="구리병원")*입력_파견수련계획!$W$4:$W$803))+IF($AG48="구리병원",MAX(0,DAY(EOMONTH(출력_요약!$B$3,0))-N($X48)),0)))</f>
        <v/>
      </c>
      <c r="AJ48" s="10">
        <f>IF(OR($B48="",TRIM($J48&amp;"")=""),"",IFERROR(MATCH(TRIM($J48&amp;"")&amp;"|월",입력_파견수련계획!$Z$4:$Z$803,0),""))</f>
        <v/>
      </c>
      <c r="AK48" s="10">
        <f>IF(OR($B48="",TRIM($J48&amp;"")=""),"",IFERROR(MATCH(TRIM($J48&amp;"")&amp;"|다기관",입력_파견수련계획!$AE$4:$AE$803,0),""))</f>
        <v/>
      </c>
      <c r="AL48" s="10">
        <f>IF($AK48="","","다기관 "&amp;TEXT(INDEX(입력_파견수련계획!$AB$4:$AB$803,$AK48),"yyyy-mm-dd")&amp;"~"&amp;IF(ISNUMBER(INDEX(입력_파견수련계획!$AC$4:$AC$803,$AK48)),TEXT(INDEX(입력_파견수련계획!$AC$4:$AC$803,$AK48),"yyyy-mm-dd"),""))</f>
        <v/>
      </c>
      <c r="AM48" s="10">
        <f>IF($Y48="서울병원",COUNTIF($Y$2:$Y48,"서울병원"),"")</f>
        <v/>
      </c>
      <c r="AN48" s="10">
        <f>IF(LEFT($Y48,1)="⚠",COUNTIF($Y$2:$Y48,"⚠*"),"")</f>
        <v/>
      </c>
      <c r="AO48" s="10">
        <f>IF(OR($B48="",$Y48=""),"",IF(IF(TRIM($J48&amp;"")="",0,SUMPRODUCT((입력_파견수련계획!$Q$4:$Q$803=TRIM($J48&amp;""))*입력_파견수련계획!$AD$4:$AD$803))&gt;0,"다기관 기간 → 소속병원 지급",IF(AND(N($X48)&lt;=0,$AQ48=""),"파견 없음 → 그 달 근무병원 지급",IF($AH48+$AI48=DAY(EOMONTH(출력_요약!$B$3,0)),"서울 "&amp;$AH48&amp;"일 / 구리 "&amp;$AI48&amp;"일"&amp;IF($AQ48&lt;&gt;""," (구리 근무자명단 반영)","")&amp;" → 15일 이상 근무 병원 지급","타 병원 포함 → "&amp;IF($AJ48="","소속",INDEX(입력_파견수련계획!$T$4:$T$803,$AJ48))&amp;" 규칙"))))</f>
        <v/>
      </c>
      <c r="AP48" s="10">
        <f>IF($B48="","",$C48&amp;"|"&amp;$F48)</f>
        <v/>
      </c>
      <c r="AQ48" s="10">
        <f>IF($B48="","",IFERROR(MATCH(ROW()-1,출력_구리근무자!$K$6:$K$305,0),""))</f>
        <v/>
      </c>
      <c r="AR48" s="10">
        <f>IF($AQ48="","",INDEX(출력_구리근무자!$H$6:$H$305,$AQ48))</f>
        <v/>
      </c>
    </row>
    <row r="49">
      <c r="A49" s="10">
        <f>IF(B49="","",ROW()-1)</f>
        <v/>
      </c>
      <c r="B49" s="19" t="n"/>
      <c r="C49" s="10">
        <f>IF($AB49="","",IF(INDEX(입력_기본자료!$C$2:$C$1001,$AB49)="","",INDEX(입력_기본자료!$C$2:$C$1001,$AB49)))</f>
        <v/>
      </c>
      <c r="D49" s="10">
        <f>IF($AB49="","",IF(INDEX(입력_기본자료!$J$2:$J$1001,$AB49)="","",INDEX(입력_기본자료!$J$2:$J$1001,$AB49)))</f>
        <v/>
      </c>
      <c r="E49" s="11">
        <f>IF($AB49="","",IF(INDEX(입력_기본자료!$K$2:$K$1001,$AB49)="","",IF(NOT(ISNUMBER(INDEX(입력_기본자료!$K$2:$K$1001,$AB49))),INDEX(입력_기본자료!$K$2:$K$1001,$AB49),IF(INDEX(입력_기본자료!$K$2:$K$1001,$AB49)&lt;1000000,INDEX(입력_기본자료!$K$2:$K$1001,$AB49),IF(AND(INDEX(입력_기본자료!$K$2:$K$1001,$AB49)&gt;=10000101,INT(MOD(INDEX(입력_기본자료!$K$2:$K$1001,$AB49),10000)/100)&gt;=1,INT(MOD(INDEX(입력_기본자료!$K$2:$K$1001,$AB49),10000)/100)&lt;=12,MOD(INDEX(입력_기본자료!$K$2:$K$1001,$AB49),100)&gt;=1,MOD(INDEX(입력_기본자료!$K$2:$K$1001,$AB49),100)&lt;=31),DATE(INT(INDEX(입력_기본자료!$K$2:$K$1001,$AB49)/10000),INT(MOD(INDEX(입력_기본자료!$K$2:$K$1001,$AB49),10000)/100),MOD(INDEX(입력_기본자료!$K$2:$K$1001,$AB49),100)),INDEX(입력_기본자료!$K$2:$K$1001,$AB49)&amp;"")))))</f>
        <v/>
      </c>
      <c r="F49" s="10">
        <f>IF($AB49="","",IF(INDEX(입력_기본자료!$D$2:$D$1001,$AB49)="","",INDEX(입력_기본자료!$D$2:$D$1001,$AB49)))</f>
        <v/>
      </c>
      <c r="G49" s="10">
        <f>IF($AB49="","",IF(INDEX(입력_기본자료!$E$2:$E$1001,$AB49)="","",INDEX(입력_기본자료!$E$2:$E$1001,$AB49)))</f>
        <v/>
      </c>
      <c r="H49" s="10">
        <f>IF($AB49="","",IF(INDEX(입력_기본자료!$F$2:$F$1001,$AB49)="","",INDEX(입력_기본자료!$F$2:$F$1001,$AB49)))</f>
        <v/>
      </c>
      <c r="I49" s="11">
        <f>IF($AB49="","",IF(INDEX(입력_기본자료!$G$2:$G$1001,$AB49)="","",IF(NOT(ISNUMBER(INDEX(입력_기본자료!$G$2:$G$1001,$AB49))),INDEX(입력_기본자료!$G$2:$G$1001,$AB49),IF(INDEX(입력_기본자료!$G$2:$G$1001,$AB49)&lt;1000000,INDEX(입력_기본자료!$G$2:$G$1001,$AB49),IF(AND(INDEX(입력_기본자료!$G$2:$G$1001,$AB49)&gt;=10000101,INT(MOD(INDEX(입력_기본자료!$G$2:$G$1001,$AB49),10000)/100)&gt;=1,INT(MOD(INDEX(입력_기본자료!$G$2:$G$1001,$AB49),10000)/100)&lt;=12,MOD(INDEX(입력_기본자료!$G$2:$G$1001,$AB49),100)&gt;=1,MOD(INDEX(입력_기본자료!$G$2:$G$1001,$AB49),100)&lt;=31),DATE(INT(INDEX(입력_기본자료!$G$2:$G$1001,$AB49)/10000),INT(MOD(INDEX(입력_기본자료!$G$2:$G$1001,$AB49),10000)/100),MOD(INDEX(입력_기본자료!$G$2:$G$1001,$AB49),100)),INDEX(입력_기본자료!$G$2:$G$1001,$AB49)&amp;"")))))</f>
        <v/>
      </c>
      <c r="J49" s="10">
        <f>IF($AB49="","",IF(INDEX(입력_기본자료!$H$2:$H$1001,$AB49)="","",INDEX(입력_기본자료!$H$2:$H$1001,$AB49)))</f>
        <v/>
      </c>
      <c r="K49" s="10">
        <f>IF($AB49="","",IF(INDEX(입력_기본자료!$I$2:$I$1001,$AB49)="","",INDEX(입력_기본자료!$I$2:$I$1001,$AB49)))</f>
        <v/>
      </c>
      <c r="L49" s="10">
        <f>IF($AB49="","",IF(INDEX(입력_기본자료!$A$2:$A$1001,$AB49)="","",INDEX(입력_기본자료!$A$2:$A$1001,$AB49)))</f>
        <v/>
      </c>
      <c r="M49" s="15" t="n"/>
      <c r="N49" s="10">
        <f>IF($B49="","",IF(AND($U49="파견중",$Q49&lt;&gt;""),$Q49,IF(AND($AD49&lt;&gt;"",LEFT($AD49,1)&lt;&gt;"⚠"),LEFT($AD49,FIND(" ",$AD49)-1),IF($H49="","",IF(RIGHT($H49,2)="병원",$H49,$H49&amp;"병원")))))</f>
        <v/>
      </c>
      <c r="O49" s="10">
        <f>IF($B49="","",IF(AND($U49="파견중",$Q49&lt;&gt;""),IF($R49&lt;&gt;"",$R49,"파견과 미입력"),IF(AND($AD49&lt;&gt;"",LEFT($AD49,1)&lt;&gt;"⚠"),MID($AD49,FIND(" ",$AD49)+1,60),IF($F49="","",IF($F49="인턴","수련교육부(인턴)",$F49)))))</f>
        <v/>
      </c>
      <c r="P49" s="10">
        <f>IF($B49="","",IF($AK49&lt;&gt;"",IF(AND(TODAY()&gt;=INDEX(입력_파견수련계획!$AB$4:$AB$803,$AK49),OR(NOT(ISNUMBER(INDEX(입력_파견수련계획!$AC$4:$AC$803,$AK49))),TODAY()&lt;=INDEX(입력_파견수련계획!$AC$4:$AC$803,$AK49))),"다기관",IF($AF49="","",INDEX(입력_파견수련계획!$T$4:$T$803,$AF49))),IF($AF49="","",INDEX(입력_파견수련계획!$T$4:$T$803,$AF49))))</f>
        <v/>
      </c>
      <c r="Q49" s="10">
        <f>IF($AF49="","",INDEX(입력_파견수련계획!$S$4:$S$803,$AF49))</f>
        <v/>
      </c>
      <c r="R49" s="10">
        <f>IF($AF49="","",INDEX(입력_파견수련계획!$U$4:$U$803,$AF49))</f>
        <v/>
      </c>
      <c r="S49" s="11">
        <f>IF($AF49="","",IF(INDEX(입력_파견수련계획!$H$4:$H$803,$AF49)="","",INDEX(입력_파견수련계획!$H$4:$H$803,$AF49)))</f>
        <v/>
      </c>
      <c r="T49" s="11">
        <f>IF($AF49="","",IF(INDEX(입력_파견수련계획!$I$4:$I$803,$AF49)="","",INDEX(입력_파견수련계획!$I$4:$I$803,$AF49)))</f>
        <v/>
      </c>
      <c r="U49" s="10">
        <f>IF($AF49="","",INDEX(입력_파견수련계획!$X$4:$X$803,$AF49))</f>
        <v/>
      </c>
      <c r="V49" s="17">
        <f>IF($AF49="","",INDEX(입력_파견수련계획!$V$4:$V$803,$AF49))</f>
        <v/>
      </c>
      <c r="W49" s="17">
        <f>IF(AND($U49="파견중",$T49&lt;&gt;""),$T49-TODAY(),"")</f>
        <v/>
      </c>
      <c r="X49" s="17">
        <f>IF(OR($B49="",TRIM($J49&amp;"")=""),"",SUMPRODUCT((입력_파견수련계획!$Q$4:$Q$803=TRIM($J49&amp;""))*입력_파견수련계획!$W$4:$W$803))</f>
        <v/>
      </c>
      <c r="Y49" s="10">
        <f>IF($B49="","",IF($AG49="","",IF(IF(TRIM($J49&amp;"")="",0,SUMPRODUCT((입력_파견수련계획!$Q$4:$Q$803=TRIM($J49&amp;""))*입력_파견수련계획!$AD$4:$AD$803))&gt;0,$AE49,IF(AND(N($X49)&lt;=0,$AQ49=""),$AG49,IF($AH49+$AI49=DAY(EOMONTH(출력_요약!$B$3,0)),IF(AND($AH49&gt;=출력_요약!$E$3,$AI49&lt;출력_요약!$E$3),"서울병원",IF(AND($AI49&gt;=출력_요약!$E$3,$AH49&lt;출력_요약!$E$3),"구리병원","⚠15일 판정불가(서울 "&amp;$AH49&amp;"일/구리 "&amp;$AI49&amp;"일)")),IF($AJ49="",$AE49,IF(INDEX(입력_파견수련계획!$T$4:$T$803,$AJ49)="통합수련",INDEX(입력_파견수련계획!$S$4:$S$803,$AJ49),$AE49)))))))</f>
        <v/>
      </c>
      <c r="Z49" s="20">
        <f>IF($B49="","",IF($AB49="","기본자료에 없는 사번",IF(COUNTIF($B$2:$B$401,$B49)&gt;1,"중복 사번",IF($AE49="","소속(입사장소) 입력",IF(IF(TRIM($J49&amp;"")="",0,SUMPRODUCT((입력_파견수련계획!$Q$4:$Q$803=TRIM($J49&amp;""))*(입력_파견수련계획!$AA$4:$AA$803&lt;&gt;"")))&gt;0,"파견수련계획 입력오류 확인",IF(LEFT($Y49,1)="⚠","서울·구리 15일 판정 불가(양쪽 모두 이상/미만)",IF(IF($AC49="",0,N(INDEX(입력_인턴근무계획!$T$3:$T$402,$AC49)))&gt;0,"인턴계획 입력오류 확인",IF(AND($AQ49&lt;&gt;"",$AG49&lt;&gt;"구리병원",IF(TRIM($J49&amp;"")="",0,SUMPRODUCT((입력_파견수련계획!$Q$4:$Q$803=TRIM($J49&amp;""))*(입력_파견수련계획!$S$4:$S$803="구리병원")*입력_파견수련계획!$W$4:$W$803))=0),"구리 근무자명단에만 있음(파견수련계획 확인)",IF(AND($AC49&lt;&gt;"",$U49&lt;&gt;"파견중",$N49&lt;&gt;$AE49),"인턴 타지역 근무: 파견 여부 확인","정상")))))))))</f>
        <v/>
      </c>
      <c r="AA49" s="5" t="n"/>
      <c r="AB49" s="10">
        <f>IF($B49="","",IFERROR(MATCH($B49,입력_기본자료!$B$2:$B$1001,0),IFERROR(MATCH($B49&amp;"",입력_기본자료!$B$2:$B$1001,0),IFERROR(MATCH(VALUE($B49),입력_기본자료!$B$2:$B$1001,0),""))))</f>
        <v/>
      </c>
      <c r="AC49" s="10">
        <f>IF($B49="","",IFERROR(MATCH($B49,입력_인턴근무계획!$D$3:$D$402,0),IFERROR(MATCH($B49&amp;"",입력_인턴근무계획!$D$3:$D$402,0),IFERROR(MATCH(VALUE($B49),입력_인턴근무계획!$D$3:$D$402,0),""))))</f>
        <v/>
      </c>
      <c r="AD49" s="10">
        <f>IF(OR($AC49="",출력_인턴현황!$G$3=""),"",INDEX(입력_인턴근무계획!$M$3:$R$402,$AC49,출력_인턴현황!$G$3)&amp;"")</f>
        <v/>
      </c>
      <c r="AE49" s="10">
        <f>IF($B49="","",IF($M49&lt;&gt;"",$M49,IF(IF($AQ49="",FALSE,INDEX(출력_구리근무자!$J$6:$J$305,$AQ49)="구리독자"),"구리병원",IF($AF49&lt;&gt;"",IF(LEFT(INDEX(입력_파견수련계획!$R$4:$R$803,$AF49),1)&lt;&gt;"⚠",INDEX(입력_파견수련계획!$R$4:$R$803,$AF49),IF($H49="","",IF(RIGHT($H49,2)="병원",$H49,$H49&amp;"병원"))),IF($H49="","",IF(RIGHT($H49,2)="병원",$H49,$H49&amp;"병원"))))))</f>
        <v/>
      </c>
      <c r="AF49" s="10">
        <f>IF(OR($B49="",TRIM($J49&amp;"")=""),"",IFERROR(MATCH(TRIM($J49&amp;"")&amp;"|파견중",입력_파견수련계획!$Y$4:$Y$803,0),IFERROR(MATCH(TRIM($J49&amp;"")&amp;"|파견예정",입력_파견수련계획!$Y$4:$Y$803,0),IFERROR(MATCH(TRIM($J49&amp;"")&amp;"|파견종료",입력_파견수련계획!$Y$4:$Y$803,0),""))))</f>
        <v/>
      </c>
      <c r="AG49" s="10">
        <f>IF($B49="","",IF(AND(IF(OR($AC49="",출력_인턴현황!$K$2=""),"",INDEX(입력_인턴근무계획!$M$3:$R$402,$AC49,출력_인턴현황!$K$2)&amp;"")&lt;&gt;"",LEFT(IF(OR($AC49="",출력_인턴현황!$K$2=""),"",INDEX(입력_인턴근무계획!$M$3:$R$402,$AC49,출력_인턴현황!$K$2)&amp;""),1)&lt;&gt;"⚠"),LEFT(IF(OR($AC49="",출력_인턴현황!$K$2=""),"",INDEX(입력_인턴근무계획!$M$3:$R$402,$AC49,출력_인턴현황!$K$2)&amp;""),FIND(" ",IF(OR($AC49="",출력_인턴현황!$K$2=""),"",INDEX(입력_인턴근무계획!$M$3:$R$402,$AC49,출력_인턴현황!$K$2)&amp;""))-1),$AE49))</f>
        <v/>
      </c>
      <c r="AH49" s="17">
        <f>IF($B49="","",IF($AQ49&lt;&gt;"",MAX(0,DAY(EOMONTH(출력_요약!$B$3,0))-N($AR49)),IF(TRIM($J49&amp;"")="",0,SUMPRODUCT((입력_파견수련계획!$Q$4:$Q$803=TRIM($J49&amp;""))*(입력_파견수련계획!$S$4:$S$803="서울병원")*입력_파견수련계획!$W$4:$W$803))+IF($AG49="서울병원",MAX(0,DAY(EOMONTH(출력_요약!$B$3,0))-N($X49)),0)))</f>
        <v/>
      </c>
      <c r="AI49" s="17">
        <f>IF($B49="","",IF($AQ49&lt;&gt;"",N($AR49),IF(TRIM($J49&amp;"")="",0,SUMPRODUCT((입력_파견수련계획!$Q$4:$Q$803=TRIM($J49&amp;""))*(입력_파견수련계획!$S$4:$S$803="구리병원")*입력_파견수련계획!$W$4:$W$803))+IF($AG49="구리병원",MAX(0,DAY(EOMONTH(출력_요약!$B$3,0))-N($X49)),0)))</f>
        <v/>
      </c>
      <c r="AJ49" s="10">
        <f>IF(OR($B49="",TRIM($J49&amp;"")=""),"",IFERROR(MATCH(TRIM($J49&amp;"")&amp;"|월",입력_파견수련계획!$Z$4:$Z$803,0),""))</f>
        <v/>
      </c>
      <c r="AK49" s="10">
        <f>IF(OR($B49="",TRIM($J49&amp;"")=""),"",IFERROR(MATCH(TRIM($J49&amp;"")&amp;"|다기관",입력_파견수련계획!$AE$4:$AE$803,0),""))</f>
        <v/>
      </c>
      <c r="AL49" s="10">
        <f>IF($AK49="","","다기관 "&amp;TEXT(INDEX(입력_파견수련계획!$AB$4:$AB$803,$AK49),"yyyy-mm-dd")&amp;"~"&amp;IF(ISNUMBER(INDEX(입력_파견수련계획!$AC$4:$AC$803,$AK49)),TEXT(INDEX(입력_파견수련계획!$AC$4:$AC$803,$AK49),"yyyy-mm-dd"),""))</f>
        <v/>
      </c>
      <c r="AM49" s="10">
        <f>IF($Y49="서울병원",COUNTIF($Y$2:$Y49,"서울병원"),"")</f>
        <v/>
      </c>
      <c r="AN49" s="10">
        <f>IF(LEFT($Y49,1)="⚠",COUNTIF($Y$2:$Y49,"⚠*"),"")</f>
        <v/>
      </c>
      <c r="AO49" s="10">
        <f>IF(OR($B49="",$Y49=""),"",IF(IF(TRIM($J49&amp;"")="",0,SUMPRODUCT((입력_파견수련계획!$Q$4:$Q$803=TRIM($J49&amp;""))*입력_파견수련계획!$AD$4:$AD$803))&gt;0,"다기관 기간 → 소속병원 지급",IF(AND(N($X49)&lt;=0,$AQ49=""),"파견 없음 → 그 달 근무병원 지급",IF($AH49+$AI49=DAY(EOMONTH(출력_요약!$B$3,0)),"서울 "&amp;$AH49&amp;"일 / 구리 "&amp;$AI49&amp;"일"&amp;IF($AQ49&lt;&gt;""," (구리 근무자명단 반영)","")&amp;" → 15일 이상 근무 병원 지급","타 병원 포함 → "&amp;IF($AJ49="","소속",INDEX(입력_파견수련계획!$T$4:$T$803,$AJ49))&amp;" 규칙"))))</f>
        <v/>
      </c>
      <c r="AP49" s="10">
        <f>IF($B49="","",$C49&amp;"|"&amp;$F49)</f>
        <v/>
      </c>
      <c r="AQ49" s="10">
        <f>IF($B49="","",IFERROR(MATCH(ROW()-1,출력_구리근무자!$K$6:$K$305,0),""))</f>
        <v/>
      </c>
      <c r="AR49" s="10">
        <f>IF($AQ49="","",INDEX(출력_구리근무자!$H$6:$H$305,$AQ49))</f>
        <v/>
      </c>
    </row>
    <row r="50">
      <c r="A50" s="10">
        <f>IF(B50="","",ROW()-1)</f>
        <v/>
      </c>
      <c r="B50" s="19" t="n"/>
      <c r="C50" s="10">
        <f>IF($AB50="","",IF(INDEX(입력_기본자료!$C$2:$C$1001,$AB50)="","",INDEX(입력_기본자료!$C$2:$C$1001,$AB50)))</f>
        <v/>
      </c>
      <c r="D50" s="10">
        <f>IF($AB50="","",IF(INDEX(입력_기본자료!$J$2:$J$1001,$AB50)="","",INDEX(입력_기본자료!$J$2:$J$1001,$AB50)))</f>
        <v/>
      </c>
      <c r="E50" s="11">
        <f>IF($AB50="","",IF(INDEX(입력_기본자료!$K$2:$K$1001,$AB50)="","",IF(NOT(ISNUMBER(INDEX(입력_기본자료!$K$2:$K$1001,$AB50))),INDEX(입력_기본자료!$K$2:$K$1001,$AB50),IF(INDEX(입력_기본자료!$K$2:$K$1001,$AB50)&lt;1000000,INDEX(입력_기본자료!$K$2:$K$1001,$AB50),IF(AND(INDEX(입력_기본자료!$K$2:$K$1001,$AB50)&gt;=10000101,INT(MOD(INDEX(입력_기본자료!$K$2:$K$1001,$AB50),10000)/100)&gt;=1,INT(MOD(INDEX(입력_기본자료!$K$2:$K$1001,$AB50),10000)/100)&lt;=12,MOD(INDEX(입력_기본자료!$K$2:$K$1001,$AB50),100)&gt;=1,MOD(INDEX(입력_기본자료!$K$2:$K$1001,$AB50),100)&lt;=31),DATE(INT(INDEX(입력_기본자료!$K$2:$K$1001,$AB50)/10000),INT(MOD(INDEX(입력_기본자료!$K$2:$K$1001,$AB50),10000)/100),MOD(INDEX(입력_기본자료!$K$2:$K$1001,$AB50),100)),INDEX(입력_기본자료!$K$2:$K$1001,$AB50)&amp;"")))))</f>
        <v/>
      </c>
      <c r="F50" s="10">
        <f>IF($AB50="","",IF(INDEX(입력_기본자료!$D$2:$D$1001,$AB50)="","",INDEX(입력_기본자료!$D$2:$D$1001,$AB50)))</f>
        <v/>
      </c>
      <c r="G50" s="10">
        <f>IF($AB50="","",IF(INDEX(입력_기본자료!$E$2:$E$1001,$AB50)="","",INDEX(입력_기본자료!$E$2:$E$1001,$AB50)))</f>
        <v/>
      </c>
      <c r="H50" s="10">
        <f>IF($AB50="","",IF(INDEX(입력_기본자료!$F$2:$F$1001,$AB50)="","",INDEX(입력_기본자료!$F$2:$F$1001,$AB50)))</f>
        <v/>
      </c>
      <c r="I50" s="11">
        <f>IF($AB50="","",IF(INDEX(입력_기본자료!$G$2:$G$1001,$AB50)="","",IF(NOT(ISNUMBER(INDEX(입력_기본자료!$G$2:$G$1001,$AB50))),INDEX(입력_기본자료!$G$2:$G$1001,$AB50),IF(INDEX(입력_기본자료!$G$2:$G$1001,$AB50)&lt;1000000,INDEX(입력_기본자료!$G$2:$G$1001,$AB50),IF(AND(INDEX(입력_기본자료!$G$2:$G$1001,$AB50)&gt;=10000101,INT(MOD(INDEX(입력_기본자료!$G$2:$G$1001,$AB50),10000)/100)&gt;=1,INT(MOD(INDEX(입력_기본자료!$G$2:$G$1001,$AB50),10000)/100)&lt;=12,MOD(INDEX(입력_기본자료!$G$2:$G$1001,$AB50),100)&gt;=1,MOD(INDEX(입력_기본자료!$G$2:$G$1001,$AB50),100)&lt;=31),DATE(INT(INDEX(입력_기본자료!$G$2:$G$1001,$AB50)/10000),INT(MOD(INDEX(입력_기본자료!$G$2:$G$1001,$AB50),10000)/100),MOD(INDEX(입력_기본자료!$G$2:$G$1001,$AB50),100)),INDEX(입력_기본자료!$G$2:$G$1001,$AB50)&amp;"")))))</f>
        <v/>
      </c>
      <c r="J50" s="10">
        <f>IF($AB50="","",IF(INDEX(입력_기본자료!$H$2:$H$1001,$AB50)="","",INDEX(입력_기본자료!$H$2:$H$1001,$AB50)))</f>
        <v/>
      </c>
      <c r="K50" s="10">
        <f>IF($AB50="","",IF(INDEX(입력_기본자료!$I$2:$I$1001,$AB50)="","",INDEX(입력_기본자료!$I$2:$I$1001,$AB50)))</f>
        <v/>
      </c>
      <c r="L50" s="10">
        <f>IF($AB50="","",IF(INDEX(입력_기본자료!$A$2:$A$1001,$AB50)="","",INDEX(입력_기본자료!$A$2:$A$1001,$AB50)))</f>
        <v/>
      </c>
      <c r="M50" s="15" t="n"/>
      <c r="N50" s="10">
        <f>IF($B50="","",IF(AND($U50="파견중",$Q50&lt;&gt;""),$Q50,IF(AND($AD50&lt;&gt;"",LEFT($AD50,1)&lt;&gt;"⚠"),LEFT($AD50,FIND(" ",$AD50)-1),IF($H50="","",IF(RIGHT($H50,2)="병원",$H50,$H50&amp;"병원")))))</f>
        <v/>
      </c>
      <c r="O50" s="10">
        <f>IF($B50="","",IF(AND($U50="파견중",$Q50&lt;&gt;""),IF($R50&lt;&gt;"",$R50,"파견과 미입력"),IF(AND($AD50&lt;&gt;"",LEFT($AD50,1)&lt;&gt;"⚠"),MID($AD50,FIND(" ",$AD50)+1,60),IF($F50="","",IF($F50="인턴","수련교육부(인턴)",$F50)))))</f>
        <v/>
      </c>
      <c r="P50" s="10">
        <f>IF($B50="","",IF($AK50&lt;&gt;"",IF(AND(TODAY()&gt;=INDEX(입력_파견수련계획!$AB$4:$AB$803,$AK50),OR(NOT(ISNUMBER(INDEX(입력_파견수련계획!$AC$4:$AC$803,$AK50))),TODAY()&lt;=INDEX(입력_파견수련계획!$AC$4:$AC$803,$AK50))),"다기관",IF($AF50="","",INDEX(입력_파견수련계획!$T$4:$T$803,$AF50))),IF($AF50="","",INDEX(입력_파견수련계획!$T$4:$T$803,$AF50))))</f>
        <v/>
      </c>
      <c r="Q50" s="10">
        <f>IF($AF50="","",INDEX(입력_파견수련계획!$S$4:$S$803,$AF50))</f>
        <v/>
      </c>
      <c r="R50" s="10">
        <f>IF($AF50="","",INDEX(입력_파견수련계획!$U$4:$U$803,$AF50))</f>
        <v/>
      </c>
      <c r="S50" s="11">
        <f>IF($AF50="","",IF(INDEX(입력_파견수련계획!$H$4:$H$803,$AF50)="","",INDEX(입력_파견수련계획!$H$4:$H$803,$AF50)))</f>
        <v/>
      </c>
      <c r="T50" s="11">
        <f>IF($AF50="","",IF(INDEX(입력_파견수련계획!$I$4:$I$803,$AF50)="","",INDEX(입력_파견수련계획!$I$4:$I$803,$AF50)))</f>
        <v/>
      </c>
      <c r="U50" s="10">
        <f>IF($AF50="","",INDEX(입력_파견수련계획!$X$4:$X$803,$AF50))</f>
        <v/>
      </c>
      <c r="V50" s="17">
        <f>IF($AF50="","",INDEX(입력_파견수련계획!$V$4:$V$803,$AF50))</f>
        <v/>
      </c>
      <c r="W50" s="17">
        <f>IF(AND($U50="파견중",$T50&lt;&gt;""),$T50-TODAY(),"")</f>
        <v/>
      </c>
      <c r="X50" s="17">
        <f>IF(OR($B50="",TRIM($J50&amp;"")=""),"",SUMPRODUCT((입력_파견수련계획!$Q$4:$Q$803=TRIM($J50&amp;""))*입력_파견수련계획!$W$4:$W$803))</f>
        <v/>
      </c>
      <c r="Y50" s="10">
        <f>IF($B50="","",IF($AG50="","",IF(IF(TRIM($J50&amp;"")="",0,SUMPRODUCT((입력_파견수련계획!$Q$4:$Q$803=TRIM($J50&amp;""))*입력_파견수련계획!$AD$4:$AD$803))&gt;0,$AE50,IF(AND(N($X50)&lt;=0,$AQ50=""),$AG50,IF($AH50+$AI50=DAY(EOMONTH(출력_요약!$B$3,0)),IF(AND($AH50&gt;=출력_요약!$E$3,$AI50&lt;출력_요약!$E$3),"서울병원",IF(AND($AI50&gt;=출력_요약!$E$3,$AH50&lt;출력_요약!$E$3),"구리병원","⚠15일 판정불가(서울 "&amp;$AH50&amp;"일/구리 "&amp;$AI50&amp;"일)")),IF($AJ50="",$AE50,IF(INDEX(입력_파견수련계획!$T$4:$T$803,$AJ50)="통합수련",INDEX(입력_파견수련계획!$S$4:$S$803,$AJ50),$AE50)))))))</f>
        <v/>
      </c>
      <c r="Z50" s="20">
        <f>IF($B50="","",IF($AB50="","기본자료에 없는 사번",IF(COUNTIF($B$2:$B$401,$B50)&gt;1,"중복 사번",IF($AE50="","소속(입사장소) 입력",IF(IF(TRIM($J50&amp;"")="",0,SUMPRODUCT((입력_파견수련계획!$Q$4:$Q$803=TRIM($J50&amp;""))*(입력_파견수련계획!$AA$4:$AA$803&lt;&gt;"")))&gt;0,"파견수련계획 입력오류 확인",IF(LEFT($Y50,1)="⚠","서울·구리 15일 판정 불가(양쪽 모두 이상/미만)",IF(IF($AC50="",0,N(INDEX(입력_인턴근무계획!$T$3:$T$402,$AC50)))&gt;0,"인턴계획 입력오류 확인",IF(AND($AQ50&lt;&gt;"",$AG50&lt;&gt;"구리병원",IF(TRIM($J50&amp;"")="",0,SUMPRODUCT((입력_파견수련계획!$Q$4:$Q$803=TRIM($J50&amp;""))*(입력_파견수련계획!$S$4:$S$803="구리병원")*입력_파견수련계획!$W$4:$W$803))=0),"구리 근무자명단에만 있음(파견수련계획 확인)",IF(AND($AC50&lt;&gt;"",$U50&lt;&gt;"파견중",$N50&lt;&gt;$AE50),"인턴 타지역 근무: 파견 여부 확인","정상")))))))))</f>
        <v/>
      </c>
      <c r="AA50" s="5" t="n"/>
      <c r="AB50" s="10">
        <f>IF($B50="","",IFERROR(MATCH($B50,입력_기본자료!$B$2:$B$1001,0),IFERROR(MATCH($B50&amp;"",입력_기본자료!$B$2:$B$1001,0),IFERROR(MATCH(VALUE($B50),입력_기본자료!$B$2:$B$1001,0),""))))</f>
        <v/>
      </c>
      <c r="AC50" s="10">
        <f>IF($B50="","",IFERROR(MATCH($B50,입력_인턴근무계획!$D$3:$D$402,0),IFERROR(MATCH($B50&amp;"",입력_인턴근무계획!$D$3:$D$402,0),IFERROR(MATCH(VALUE($B50),입력_인턴근무계획!$D$3:$D$402,0),""))))</f>
        <v/>
      </c>
      <c r="AD50" s="10">
        <f>IF(OR($AC50="",출력_인턴현황!$G$3=""),"",INDEX(입력_인턴근무계획!$M$3:$R$402,$AC50,출력_인턴현황!$G$3)&amp;"")</f>
        <v/>
      </c>
      <c r="AE50" s="10">
        <f>IF($B50="","",IF($M50&lt;&gt;"",$M50,IF(IF($AQ50="",FALSE,INDEX(출력_구리근무자!$J$6:$J$305,$AQ50)="구리독자"),"구리병원",IF($AF50&lt;&gt;"",IF(LEFT(INDEX(입력_파견수련계획!$R$4:$R$803,$AF50),1)&lt;&gt;"⚠",INDEX(입력_파견수련계획!$R$4:$R$803,$AF50),IF($H50="","",IF(RIGHT($H50,2)="병원",$H50,$H50&amp;"병원"))),IF($H50="","",IF(RIGHT($H50,2)="병원",$H50,$H50&amp;"병원"))))))</f>
        <v/>
      </c>
      <c r="AF50" s="10">
        <f>IF(OR($B50="",TRIM($J50&amp;"")=""),"",IFERROR(MATCH(TRIM($J50&amp;"")&amp;"|파견중",입력_파견수련계획!$Y$4:$Y$803,0),IFERROR(MATCH(TRIM($J50&amp;"")&amp;"|파견예정",입력_파견수련계획!$Y$4:$Y$803,0),IFERROR(MATCH(TRIM($J50&amp;"")&amp;"|파견종료",입력_파견수련계획!$Y$4:$Y$803,0),""))))</f>
        <v/>
      </c>
      <c r="AG50" s="10">
        <f>IF($B50="","",IF(AND(IF(OR($AC50="",출력_인턴현황!$K$2=""),"",INDEX(입력_인턴근무계획!$M$3:$R$402,$AC50,출력_인턴현황!$K$2)&amp;"")&lt;&gt;"",LEFT(IF(OR($AC50="",출력_인턴현황!$K$2=""),"",INDEX(입력_인턴근무계획!$M$3:$R$402,$AC50,출력_인턴현황!$K$2)&amp;""),1)&lt;&gt;"⚠"),LEFT(IF(OR($AC50="",출력_인턴현황!$K$2=""),"",INDEX(입력_인턴근무계획!$M$3:$R$402,$AC50,출력_인턴현황!$K$2)&amp;""),FIND(" ",IF(OR($AC50="",출력_인턴현황!$K$2=""),"",INDEX(입력_인턴근무계획!$M$3:$R$402,$AC50,출력_인턴현황!$K$2)&amp;""))-1),$AE50))</f>
        <v/>
      </c>
      <c r="AH50" s="17">
        <f>IF($B50="","",IF($AQ50&lt;&gt;"",MAX(0,DAY(EOMONTH(출력_요약!$B$3,0))-N($AR50)),IF(TRIM($J50&amp;"")="",0,SUMPRODUCT((입력_파견수련계획!$Q$4:$Q$803=TRIM($J50&amp;""))*(입력_파견수련계획!$S$4:$S$803="서울병원")*입력_파견수련계획!$W$4:$W$803))+IF($AG50="서울병원",MAX(0,DAY(EOMONTH(출력_요약!$B$3,0))-N($X50)),0)))</f>
        <v/>
      </c>
      <c r="AI50" s="17">
        <f>IF($B50="","",IF($AQ50&lt;&gt;"",N($AR50),IF(TRIM($J50&amp;"")="",0,SUMPRODUCT((입력_파견수련계획!$Q$4:$Q$803=TRIM($J50&amp;""))*(입력_파견수련계획!$S$4:$S$803="구리병원")*입력_파견수련계획!$W$4:$W$803))+IF($AG50="구리병원",MAX(0,DAY(EOMONTH(출력_요약!$B$3,0))-N($X50)),0)))</f>
        <v/>
      </c>
      <c r="AJ50" s="10">
        <f>IF(OR($B50="",TRIM($J50&amp;"")=""),"",IFERROR(MATCH(TRIM($J50&amp;"")&amp;"|월",입력_파견수련계획!$Z$4:$Z$803,0),""))</f>
        <v/>
      </c>
      <c r="AK50" s="10">
        <f>IF(OR($B50="",TRIM($J50&amp;"")=""),"",IFERROR(MATCH(TRIM($J50&amp;"")&amp;"|다기관",입력_파견수련계획!$AE$4:$AE$803,0),""))</f>
        <v/>
      </c>
      <c r="AL50" s="10">
        <f>IF($AK50="","","다기관 "&amp;TEXT(INDEX(입력_파견수련계획!$AB$4:$AB$803,$AK50),"yyyy-mm-dd")&amp;"~"&amp;IF(ISNUMBER(INDEX(입력_파견수련계획!$AC$4:$AC$803,$AK50)),TEXT(INDEX(입력_파견수련계획!$AC$4:$AC$803,$AK50),"yyyy-mm-dd"),""))</f>
        <v/>
      </c>
      <c r="AM50" s="10">
        <f>IF($Y50="서울병원",COUNTIF($Y$2:$Y50,"서울병원"),"")</f>
        <v/>
      </c>
      <c r="AN50" s="10">
        <f>IF(LEFT($Y50,1)="⚠",COUNTIF($Y$2:$Y50,"⚠*"),"")</f>
        <v/>
      </c>
      <c r="AO50" s="10">
        <f>IF(OR($B50="",$Y50=""),"",IF(IF(TRIM($J50&amp;"")="",0,SUMPRODUCT((입력_파견수련계획!$Q$4:$Q$803=TRIM($J50&amp;""))*입력_파견수련계획!$AD$4:$AD$803))&gt;0,"다기관 기간 → 소속병원 지급",IF(AND(N($X50)&lt;=0,$AQ50=""),"파견 없음 → 그 달 근무병원 지급",IF($AH50+$AI50=DAY(EOMONTH(출력_요약!$B$3,0)),"서울 "&amp;$AH50&amp;"일 / 구리 "&amp;$AI50&amp;"일"&amp;IF($AQ50&lt;&gt;""," (구리 근무자명단 반영)","")&amp;" → 15일 이상 근무 병원 지급","타 병원 포함 → "&amp;IF($AJ50="","소속",INDEX(입력_파견수련계획!$T$4:$T$803,$AJ50))&amp;" 규칙"))))</f>
        <v/>
      </c>
      <c r="AP50" s="10">
        <f>IF($B50="","",$C50&amp;"|"&amp;$F50)</f>
        <v/>
      </c>
      <c r="AQ50" s="10">
        <f>IF($B50="","",IFERROR(MATCH(ROW()-1,출력_구리근무자!$K$6:$K$305,0),""))</f>
        <v/>
      </c>
      <c r="AR50" s="10">
        <f>IF($AQ50="","",INDEX(출력_구리근무자!$H$6:$H$305,$AQ50))</f>
        <v/>
      </c>
    </row>
    <row r="51">
      <c r="A51" s="10">
        <f>IF(B51="","",ROW()-1)</f>
        <v/>
      </c>
      <c r="B51" s="19" t="n"/>
      <c r="C51" s="10">
        <f>IF($AB51="","",IF(INDEX(입력_기본자료!$C$2:$C$1001,$AB51)="","",INDEX(입력_기본자료!$C$2:$C$1001,$AB51)))</f>
        <v/>
      </c>
      <c r="D51" s="10">
        <f>IF($AB51="","",IF(INDEX(입력_기본자료!$J$2:$J$1001,$AB51)="","",INDEX(입력_기본자료!$J$2:$J$1001,$AB51)))</f>
        <v/>
      </c>
      <c r="E51" s="11">
        <f>IF($AB51="","",IF(INDEX(입력_기본자료!$K$2:$K$1001,$AB51)="","",IF(NOT(ISNUMBER(INDEX(입력_기본자료!$K$2:$K$1001,$AB51))),INDEX(입력_기본자료!$K$2:$K$1001,$AB51),IF(INDEX(입력_기본자료!$K$2:$K$1001,$AB51)&lt;1000000,INDEX(입력_기본자료!$K$2:$K$1001,$AB51),IF(AND(INDEX(입력_기본자료!$K$2:$K$1001,$AB51)&gt;=10000101,INT(MOD(INDEX(입력_기본자료!$K$2:$K$1001,$AB51),10000)/100)&gt;=1,INT(MOD(INDEX(입력_기본자료!$K$2:$K$1001,$AB51),10000)/100)&lt;=12,MOD(INDEX(입력_기본자료!$K$2:$K$1001,$AB51),100)&gt;=1,MOD(INDEX(입력_기본자료!$K$2:$K$1001,$AB51),100)&lt;=31),DATE(INT(INDEX(입력_기본자료!$K$2:$K$1001,$AB51)/10000),INT(MOD(INDEX(입력_기본자료!$K$2:$K$1001,$AB51),10000)/100),MOD(INDEX(입력_기본자료!$K$2:$K$1001,$AB51),100)),INDEX(입력_기본자료!$K$2:$K$1001,$AB51)&amp;"")))))</f>
        <v/>
      </c>
      <c r="F51" s="10">
        <f>IF($AB51="","",IF(INDEX(입력_기본자료!$D$2:$D$1001,$AB51)="","",INDEX(입력_기본자료!$D$2:$D$1001,$AB51)))</f>
        <v/>
      </c>
      <c r="G51" s="10">
        <f>IF($AB51="","",IF(INDEX(입력_기본자료!$E$2:$E$1001,$AB51)="","",INDEX(입력_기본자료!$E$2:$E$1001,$AB51)))</f>
        <v/>
      </c>
      <c r="H51" s="10">
        <f>IF($AB51="","",IF(INDEX(입력_기본자료!$F$2:$F$1001,$AB51)="","",INDEX(입력_기본자료!$F$2:$F$1001,$AB51)))</f>
        <v/>
      </c>
      <c r="I51" s="11">
        <f>IF($AB51="","",IF(INDEX(입력_기본자료!$G$2:$G$1001,$AB51)="","",IF(NOT(ISNUMBER(INDEX(입력_기본자료!$G$2:$G$1001,$AB51))),INDEX(입력_기본자료!$G$2:$G$1001,$AB51),IF(INDEX(입력_기본자료!$G$2:$G$1001,$AB51)&lt;1000000,INDEX(입력_기본자료!$G$2:$G$1001,$AB51),IF(AND(INDEX(입력_기본자료!$G$2:$G$1001,$AB51)&gt;=10000101,INT(MOD(INDEX(입력_기본자료!$G$2:$G$1001,$AB51),10000)/100)&gt;=1,INT(MOD(INDEX(입력_기본자료!$G$2:$G$1001,$AB51),10000)/100)&lt;=12,MOD(INDEX(입력_기본자료!$G$2:$G$1001,$AB51),100)&gt;=1,MOD(INDEX(입력_기본자료!$G$2:$G$1001,$AB51),100)&lt;=31),DATE(INT(INDEX(입력_기본자료!$G$2:$G$1001,$AB51)/10000),INT(MOD(INDEX(입력_기본자료!$G$2:$G$1001,$AB51),10000)/100),MOD(INDEX(입력_기본자료!$G$2:$G$1001,$AB51),100)),INDEX(입력_기본자료!$G$2:$G$1001,$AB51)&amp;"")))))</f>
        <v/>
      </c>
      <c r="J51" s="10">
        <f>IF($AB51="","",IF(INDEX(입력_기본자료!$H$2:$H$1001,$AB51)="","",INDEX(입력_기본자료!$H$2:$H$1001,$AB51)))</f>
        <v/>
      </c>
      <c r="K51" s="10">
        <f>IF($AB51="","",IF(INDEX(입력_기본자료!$I$2:$I$1001,$AB51)="","",INDEX(입력_기본자료!$I$2:$I$1001,$AB51)))</f>
        <v/>
      </c>
      <c r="L51" s="10">
        <f>IF($AB51="","",IF(INDEX(입력_기본자료!$A$2:$A$1001,$AB51)="","",INDEX(입력_기본자료!$A$2:$A$1001,$AB51)))</f>
        <v/>
      </c>
      <c r="M51" s="15" t="n"/>
      <c r="N51" s="10">
        <f>IF($B51="","",IF(AND($U51="파견중",$Q51&lt;&gt;""),$Q51,IF(AND($AD51&lt;&gt;"",LEFT($AD51,1)&lt;&gt;"⚠"),LEFT($AD51,FIND(" ",$AD51)-1),IF($H51="","",IF(RIGHT($H51,2)="병원",$H51,$H51&amp;"병원")))))</f>
        <v/>
      </c>
      <c r="O51" s="10">
        <f>IF($B51="","",IF(AND($U51="파견중",$Q51&lt;&gt;""),IF($R51&lt;&gt;"",$R51,"파견과 미입력"),IF(AND($AD51&lt;&gt;"",LEFT($AD51,1)&lt;&gt;"⚠"),MID($AD51,FIND(" ",$AD51)+1,60),IF($F51="","",IF($F51="인턴","수련교육부(인턴)",$F51)))))</f>
        <v/>
      </c>
      <c r="P51" s="10">
        <f>IF($B51="","",IF($AK51&lt;&gt;"",IF(AND(TODAY()&gt;=INDEX(입력_파견수련계획!$AB$4:$AB$803,$AK51),OR(NOT(ISNUMBER(INDEX(입력_파견수련계획!$AC$4:$AC$803,$AK51))),TODAY()&lt;=INDEX(입력_파견수련계획!$AC$4:$AC$803,$AK51))),"다기관",IF($AF51="","",INDEX(입력_파견수련계획!$T$4:$T$803,$AF51))),IF($AF51="","",INDEX(입력_파견수련계획!$T$4:$T$803,$AF51))))</f>
        <v/>
      </c>
      <c r="Q51" s="10">
        <f>IF($AF51="","",INDEX(입력_파견수련계획!$S$4:$S$803,$AF51))</f>
        <v/>
      </c>
      <c r="R51" s="10">
        <f>IF($AF51="","",INDEX(입력_파견수련계획!$U$4:$U$803,$AF51))</f>
        <v/>
      </c>
      <c r="S51" s="11">
        <f>IF($AF51="","",IF(INDEX(입력_파견수련계획!$H$4:$H$803,$AF51)="","",INDEX(입력_파견수련계획!$H$4:$H$803,$AF51)))</f>
        <v/>
      </c>
      <c r="T51" s="11">
        <f>IF($AF51="","",IF(INDEX(입력_파견수련계획!$I$4:$I$803,$AF51)="","",INDEX(입력_파견수련계획!$I$4:$I$803,$AF51)))</f>
        <v/>
      </c>
      <c r="U51" s="10">
        <f>IF($AF51="","",INDEX(입력_파견수련계획!$X$4:$X$803,$AF51))</f>
        <v/>
      </c>
      <c r="V51" s="17">
        <f>IF($AF51="","",INDEX(입력_파견수련계획!$V$4:$V$803,$AF51))</f>
        <v/>
      </c>
      <c r="W51" s="17">
        <f>IF(AND($U51="파견중",$T51&lt;&gt;""),$T51-TODAY(),"")</f>
        <v/>
      </c>
      <c r="X51" s="17">
        <f>IF(OR($B51="",TRIM($J51&amp;"")=""),"",SUMPRODUCT((입력_파견수련계획!$Q$4:$Q$803=TRIM($J51&amp;""))*입력_파견수련계획!$W$4:$W$803))</f>
        <v/>
      </c>
      <c r="Y51" s="10">
        <f>IF($B51="","",IF($AG51="","",IF(IF(TRIM($J51&amp;"")="",0,SUMPRODUCT((입력_파견수련계획!$Q$4:$Q$803=TRIM($J51&amp;""))*입력_파견수련계획!$AD$4:$AD$803))&gt;0,$AE51,IF(AND(N($X51)&lt;=0,$AQ51=""),$AG51,IF($AH51+$AI51=DAY(EOMONTH(출력_요약!$B$3,0)),IF(AND($AH51&gt;=출력_요약!$E$3,$AI51&lt;출력_요약!$E$3),"서울병원",IF(AND($AI51&gt;=출력_요약!$E$3,$AH51&lt;출력_요약!$E$3),"구리병원","⚠15일 판정불가(서울 "&amp;$AH51&amp;"일/구리 "&amp;$AI51&amp;"일)")),IF($AJ51="",$AE51,IF(INDEX(입력_파견수련계획!$T$4:$T$803,$AJ51)="통합수련",INDEX(입력_파견수련계획!$S$4:$S$803,$AJ51),$AE51)))))))</f>
        <v/>
      </c>
      <c r="Z51" s="20">
        <f>IF($B51="","",IF($AB51="","기본자료에 없는 사번",IF(COUNTIF($B$2:$B$401,$B51)&gt;1,"중복 사번",IF($AE51="","소속(입사장소) 입력",IF(IF(TRIM($J51&amp;"")="",0,SUMPRODUCT((입력_파견수련계획!$Q$4:$Q$803=TRIM($J51&amp;""))*(입력_파견수련계획!$AA$4:$AA$803&lt;&gt;"")))&gt;0,"파견수련계획 입력오류 확인",IF(LEFT($Y51,1)="⚠","서울·구리 15일 판정 불가(양쪽 모두 이상/미만)",IF(IF($AC51="",0,N(INDEX(입력_인턴근무계획!$T$3:$T$402,$AC51)))&gt;0,"인턴계획 입력오류 확인",IF(AND($AQ51&lt;&gt;"",$AG51&lt;&gt;"구리병원",IF(TRIM($J51&amp;"")="",0,SUMPRODUCT((입력_파견수련계획!$Q$4:$Q$803=TRIM($J51&amp;""))*(입력_파견수련계획!$S$4:$S$803="구리병원")*입력_파견수련계획!$W$4:$W$803))=0),"구리 근무자명단에만 있음(파견수련계획 확인)",IF(AND($AC51&lt;&gt;"",$U51&lt;&gt;"파견중",$N51&lt;&gt;$AE51),"인턴 타지역 근무: 파견 여부 확인","정상")))))))))</f>
        <v/>
      </c>
      <c r="AA51" s="5" t="n"/>
      <c r="AB51" s="10">
        <f>IF($B51="","",IFERROR(MATCH($B51,입력_기본자료!$B$2:$B$1001,0),IFERROR(MATCH($B51&amp;"",입력_기본자료!$B$2:$B$1001,0),IFERROR(MATCH(VALUE($B51),입력_기본자료!$B$2:$B$1001,0),""))))</f>
        <v/>
      </c>
      <c r="AC51" s="10">
        <f>IF($B51="","",IFERROR(MATCH($B51,입력_인턴근무계획!$D$3:$D$402,0),IFERROR(MATCH($B51&amp;"",입력_인턴근무계획!$D$3:$D$402,0),IFERROR(MATCH(VALUE($B51),입력_인턴근무계획!$D$3:$D$402,0),""))))</f>
        <v/>
      </c>
      <c r="AD51" s="10">
        <f>IF(OR($AC51="",출력_인턴현황!$G$3=""),"",INDEX(입력_인턴근무계획!$M$3:$R$402,$AC51,출력_인턴현황!$G$3)&amp;"")</f>
        <v/>
      </c>
      <c r="AE51" s="10">
        <f>IF($B51="","",IF($M51&lt;&gt;"",$M51,IF(IF($AQ51="",FALSE,INDEX(출력_구리근무자!$J$6:$J$305,$AQ51)="구리독자"),"구리병원",IF($AF51&lt;&gt;"",IF(LEFT(INDEX(입력_파견수련계획!$R$4:$R$803,$AF51),1)&lt;&gt;"⚠",INDEX(입력_파견수련계획!$R$4:$R$803,$AF51),IF($H51="","",IF(RIGHT($H51,2)="병원",$H51,$H51&amp;"병원"))),IF($H51="","",IF(RIGHT($H51,2)="병원",$H51,$H51&amp;"병원"))))))</f>
        <v/>
      </c>
      <c r="AF51" s="10">
        <f>IF(OR($B51="",TRIM($J51&amp;"")=""),"",IFERROR(MATCH(TRIM($J51&amp;"")&amp;"|파견중",입력_파견수련계획!$Y$4:$Y$803,0),IFERROR(MATCH(TRIM($J51&amp;"")&amp;"|파견예정",입력_파견수련계획!$Y$4:$Y$803,0),IFERROR(MATCH(TRIM($J51&amp;"")&amp;"|파견종료",입력_파견수련계획!$Y$4:$Y$803,0),""))))</f>
        <v/>
      </c>
      <c r="AG51" s="10">
        <f>IF($B51="","",IF(AND(IF(OR($AC51="",출력_인턴현황!$K$2=""),"",INDEX(입력_인턴근무계획!$M$3:$R$402,$AC51,출력_인턴현황!$K$2)&amp;"")&lt;&gt;"",LEFT(IF(OR($AC51="",출력_인턴현황!$K$2=""),"",INDEX(입력_인턴근무계획!$M$3:$R$402,$AC51,출력_인턴현황!$K$2)&amp;""),1)&lt;&gt;"⚠"),LEFT(IF(OR($AC51="",출력_인턴현황!$K$2=""),"",INDEX(입력_인턴근무계획!$M$3:$R$402,$AC51,출력_인턴현황!$K$2)&amp;""),FIND(" ",IF(OR($AC51="",출력_인턴현황!$K$2=""),"",INDEX(입력_인턴근무계획!$M$3:$R$402,$AC51,출력_인턴현황!$K$2)&amp;""))-1),$AE51))</f>
        <v/>
      </c>
      <c r="AH51" s="17">
        <f>IF($B51="","",IF($AQ51&lt;&gt;"",MAX(0,DAY(EOMONTH(출력_요약!$B$3,0))-N($AR51)),IF(TRIM($J51&amp;"")="",0,SUMPRODUCT((입력_파견수련계획!$Q$4:$Q$803=TRIM($J51&amp;""))*(입력_파견수련계획!$S$4:$S$803="서울병원")*입력_파견수련계획!$W$4:$W$803))+IF($AG51="서울병원",MAX(0,DAY(EOMONTH(출력_요약!$B$3,0))-N($X51)),0)))</f>
        <v/>
      </c>
      <c r="AI51" s="17">
        <f>IF($B51="","",IF($AQ51&lt;&gt;"",N($AR51),IF(TRIM($J51&amp;"")="",0,SUMPRODUCT((입력_파견수련계획!$Q$4:$Q$803=TRIM($J51&amp;""))*(입력_파견수련계획!$S$4:$S$803="구리병원")*입력_파견수련계획!$W$4:$W$803))+IF($AG51="구리병원",MAX(0,DAY(EOMONTH(출력_요약!$B$3,0))-N($X51)),0)))</f>
        <v/>
      </c>
      <c r="AJ51" s="10">
        <f>IF(OR($B51="",TRIM($J51&amp;"")=""),"",IFERROR(MATCH(TRIM($J51&amp;"")&amp;"|월",입력_파견수련계획!$Z$4:$Z$803,0),""))</f>
        <v/>
      </c>
      <c r="AK51" s="10">
        <f>IF(OR($B51="",TRIM($J51&amp;"")=""),"",IFERROR(MATCH(TRIM($J51&amp;"")&amp;"|다기관",입력_파견수련계획!$AE$4:$AE$803,0),""))</f>
        <v/>
      </c>
      <c r="AL51" s="10">
        <f>IF($AK51="","","다기관 "&amp;TEXT(INDEX(입력_파견수련계획!$AB$4:$AB$803,$AK51),"yyyy-mm-dd")&amp;"~"&amp;IF(ISNUMBER(INDEX(입력_파견수련계획!$AC$4:$AC$803,$AK51)),TEXT(INDEX(입력_파견수련계획!$AC$4:$AC$803,$AK51),"yyyy-mm-dd"),""))</f>
        <v/>
      </c>
      <c r="AM51" s="10">
        <f>IF($Y51="서울병원",COUNTIF($Y$2:$Y51,"서울병원"),"")</f>
        <v/>
      </c>
      <c r="AN51" s="10">
        <f>IF(LEFT($Y51,1)="⚠",COUNTIF($Y$2:$Y51,"⚠*"),"")</f>
        <v/>
      </c>
      <c r="AO51" s="10">
        <f>IF(OR($B51="",$Y51=""),"",IF(IF(TRIM($J51&amp;"")="",0,SUMPRODUCT((입력_파견수련계획!$Q$4:$Q$803=TRIM($J51&amp;""))*입력_파견수련계획!$AD$4:$AD$803))&gt;0,"다기관 기간 → 소속병원 지급",IF(AND(N($X51)&lt;=0,$AQ51=""),"파견 없음 → 그 달 근무병원 지급",IF($AH51+$AI51=DAY(EOMONTH(출력_요약!$B$3,0)),"서울 "&amp;$AH51&amp;"일 / 구리 "&amp;$AI51&amp;"일"&amp;IF($AQ51&lt;&gt;""," (구리 근무자명단 반영)","")&amp;" → 15일 이상 근무 병원 지급","타 병원 포함 → "&amp;IF($AJ51="","소속",INDEX(입력_파견수련계획!$T$4:$T$803,$AJ51))&amp;" 규칙"))))</f>
        <v/>
      </c>
      <c r="AP51" s="10">
        <f>IF($B51="","",$C51&amp;"|"&amp;$F51)</f>
        <v/>
      </c>
      <c r="AQ51" s="10">
        <f>IF($B51="","",IFERROR(MATCH(ROW()-1,출력_구리근무자!$K$6:$K$305,0),""))</f>
        <v/>
      </c>
      <c r="AR51" s="10">
        <f>IF($AQ51="","",INDEX(출력_구리근무자!$H$6:$H$305,$AQ51))</f>
        <v/>
      </c>
    </row>
    <row r="52">
      <c r="A52" s="10">
        <f>IF(B52="","",ROW()-1)</f>
        <v/>
      </c>
      <c r="B52" s="19" t="n"/>
      <c r="C52" s="10">
        <f>IF($AB52="","",IF(INDEX(입력_기본자료!$C$2:$C$1001,$AB52)="","",INDEX(입력_기본자료!$C$2:$C$1001,$AB52)))</f>
        <v/>
      </c>
      <c r="D52" s="10">
        <f>IF($AB52="","",IF(INDEX(입력_기본자료!$J$2:$J$1001,$AB52)="","",INDEX(입력_기본자료!$J$2:$J$1001,$AB52)))</f>
        <v/>
      </c>
      <c r="E52" s="11">
        <f>IF($AB52="","",IF(INDEX(입력_기본자료!$K$2:$K$1001,$AB52)="","",IF(NOT(ISNUMBER(INDEX(입력_기본자료!$K$2:$K$1001,$AB52))),INDEX(입력_기본자료!$K$2:$K$1001,$AB52),IF(INDEX(입력_기본자료!$K$2:$K$1001,$AB52)&lt;1000000,INDEX(입력_기본자료!$K$2:$K$1001,$AB52),IF(AND(INDEX(입력_기본자료!$K$2:$K$1001,$AB52)&gt;=10000101,INT(MOD(INDEX(입력_기본자료!$K$2:$K$1001,$AB52),10000)/100)&gt;=1,INT(MOD(INDEX(입력_기본자료!$K$2:$K$1001,$AB52),10000)/100)&lt;=12,MOD(INDEX(입력_기본자료!$K$2:$K$1001,$AB52),100)&gt;=1,MOD(INDEX(입력_기본자료!$K$2:$K$1001,$AB52),100)&lt;=31),DATE(INT(INDEX(입력_기본자료!$K$2:$K$1001,$AB52)/10000),INT(MOD(INDEX(입력_기본자료!$K$2:$K$1001,$AB52),10000)/100),MOD(INDEX(입력_기본자료!$K$2:$K$1001,$AB52),100)),INDEX(입력_기본자료!$K$2:$K$1001,$AB52)&amp;"")))))</f>
        <v/>
      </c>
      <c r="F52" s="10">
        <f>IF($AB52="","",IF(INDEX(입력_기본자료!$D$2:$D$1001,$AB52)="","",INDEX(입력_기본자료!$D$2:$D$1001,$AB52)))</f>
        <v/>
      </c>
      <c r="G52" s="10">
        <f>IF($AB52="","",IF(INDEX(입력_기본자료!$E$2:$E$1001,$AB52)="","",INDEX(입력_기본자료!$E$2:$E$1001,$AB52)))</f>
        <v/>
      </c>
      <c r="H52" s="10">
        <f>IF($AB52="","",IF(INDEX(입력_기본자료!$F$2:$F$1001,$AB52)="","",INDEX(입력_기본자료!$F$2:$F$1001,$AB52)))</f>
        <v/>
      </c>
      <c r="I52" s="11">
        <f>IF($AB52="","",IF(INDEX(입력_기본자료!$G$2:$G$1001,$AB52)="","",IF(NOT(ISNUMBER(INDEX(입력_기본자료!$G$2:$G$1001,$AB52))),INDEX(입력_기본자료!$G$2:$G$1001,$AB52),IF(INDEX(입력_기본자료!$G$2:$G$1001,$AB52)&lt;1000000,INDEX(입력_기본자료!$G$2:$G$1001,$AB52),IF(AND(INDEX(입력_기본자료!$G$2:$G$1001,$AB52)&gt;=10000101,INT(MOD(INDEX(입력_기본자료!$G$2:$G$1001,$AB52),10000)/100)&gt;=1,INT(MOD(INDEX(입력_기본자료!$G$2:$G$1001,$AB52),10000)/100)&lt;=12,MOD(INDEX(입력_기본자료!$G$2:$G$1001,$AB52),100)&gt;=1,MOD(INDEX(입력_기본자료!$G$2:$G$1001,$AB52),100)&lt;=31),DATE(INT(INDEX(입력_기본자료!$G$2:$G$1001,$AB52)/10000),INT(MOD(INDEX(입력_기본자료!$G$2:$G$1001,$AB52),10000)/100),MOD(INDEX(입력_기본자료!$G$2:$G$1001,$AB52),100)),INDEX(입력_기본자료!$G$2:$G$1001,$AB52)&amp;"")))))</f>
        <v/>
      </c>
      <c r="J52" s="10">
        <f>IF($AB52="","",IF(INDEX(입력_기본자료!$H$2:$H$1001,$AB52)="","",INDEX(입력_기본자료!$H$2:$H$1001,$AB52)))</f>
        <v/>
      </c>
      <c r="K52" s="10">
        <f>IF($AB52="","",IF(INDEX(입력_기본자료!$I$2:$I$1001,$AB52)="","",INDEX(입력_기본자료!$I$2:$I$1001,$AB52)))</f>
        <v/>
      </c>
      <c r="L52" s="10">
        <f>IF($AB52="","",IF(INDEX(입력_기본자료!$A$2:$A$1001,$AB52)="","",INDEX(입력_기본자료!$A$2:$A$1001,$AB52)))</f>
        <v/>
      </c>
      <c r="M52" s="15" t="n"/>
      <c r="N52" s="10">
        <f>IF($B52="","",IF(AND($U52="파견중",$Q52&lt;&gt;""),$Q52,IF(AND($AD52&lt;&gt;"",LEFT($AD52,1)&lt;&gt;"⚠"),LEFT($AD52,FIND(" ",$AD52)-1),IF($H52="","",IF(RIGHT($H52,2)="병원",$H52,$H52&amp;"병원")))))</f>
        <v/>
      </c>
      <c r="O52" s="10">
        <f>IF($B52="","",IF(AND($U52="파견중",$Q52&lt;&gt;""),IF($R52&lt;&gt;"",$R52,"파견과 미입력"),IF(AND($AD52&lt;&gt;"",LEFT($AD52,1)&lt;&gt;"⚠"),MID($AD52,FIND(" ",$AD52)+1,60),IF($F52="","",IF($F52="인턴","수련교육부(인턴)",$F52)))))</f>
        <v/>
      </c>
      <c r="P52" s="10">
        <f>IF($B52="","",IF($AK52&lt;&gt;"",IF(AND(TODAY()&gt;=INDEX(입력_파견수련계획!$AB$4:$AB$803,$AK52),OR(NOT(ISNUMBER(INDEX(입력_파견수련계획!$AC$4:$AC$803,$AK52))),TODAY()&lt;=INDEX(입력_파견수련계획!$AC$4:$AC$803,$AK52))),"다기관",IF($AF52="","",INDEX(입력_파견수련계획!$T$4:$T$803,$AF52))),IF($AF52="","",INDEX(입력_파견수련계획!$T$4:$T$803,$AF52))))</f>
        <v/>
      </c>
      <c r="Q52" s="10">
        <f>IF($AF52="","",INDEX(입력_파견수련계획!$S$4:$S$803,$AF52))</f>
        <v/>
      </c>
      <c r="R52" s="10">
        <f>IF($AF52="","",INDEX(입력_파견수련계획!$U$4:$U$803,$AF52))</f>
        <v/>
      </c>
      <c r="S52" s="11">
        <f>IF($AF52="","",IF(INDEX(입력_파견수련계획!$H$4:$H$803,$AF52)="","",INDEX(입력_파견수련계획!$H$4:$H$803,$AF52)))</f>
        <v/>
      </c>
      <c r="T52" s="11">
        <f>IF($AF52="","",IF(INDEX(입력_파견수련계획!$I$4:$I$803,$AF52)="","",INDEX(입력_파견수련계획!$I$4:$I$803,$AF52)))</f>
        <v/>
      </c>
      <c r="U52" s="10">
        <f>IF($AF52="","",INDEX(입력_파견수련계획!$X$4:$X$803,$AF52))</f>
        <v/>
      </c>
      <c r="V52" s="17">
        <f>IF($AF52="","",INDEX(입력_파견수련계획!$V$4:$V$803,$AF52))</f>
        <v/>
      </c>
      <c r="W52" s="17">
        <f>IF(AND($U52="파견중",$T52&lt;&gt;""),$T52-TODAY(),"")</f>
        <v/>
      </c>
      <c r="X52" s="17">
        <f>IF(OR($B52="",TRIM($J52&amp;"")=""),"",SUMPRODUCT((입력_파견수련계획!$Q$4:$Q$803=TRIM($J52&amp;""))*입력_파견수련계획!$W$4:$W$803))</f>
        <v/>
      </c>
      <c r="Y52" s="10">
        <f>IF($B52="","",IF($AG52="","",IF(IF(TRIM($J52&amp;"")="",0,SUMPRODUCT((입력_파견수련계획!$Q$4:$Q$803=TRIM($J52&amp;""))*입력_파견수련계획!$AD$4:$AD$803))&gt;0,$AE52,IF(AND(N($X52)&lt;=0,$AQ52=""),$AG52,IF($AH52+$AI52=DAY(EOMONTH(출력_요약!$B$3,0)),IF(AND($AH52&gt;=출력_요약!$E$3,$AI52&lt;출력_요약!$E$3),"서울병원",IF(AND($AI52&gt;=출력_요약!$E$3,$AH52&lt;출력_요약!$E$3),"구리병원","⚠15일 판정불가(서울 "&amp;$AH52&amp;"일/구리 "&amp;$AI52&amp;"일)")),IF($AJ52="",$AE52,IF(INDEX(입력_파견수련계획!$T$4:$T$803,$AJ52)="통합수련",INDEX(입력_파견수련계획!$S$4:$S$803,$AJ52),$AE52)))))))</f>
        <v/>
      </c>
      <c r="Z52" s="20">
        <f>IF($B52="","",IF($AB52="","기본자료에 없는 사번",IF(COUNTIF($B$2:$B$401,$B52)&gt;1,"중복 사번",IF($AE52="","소속(입사장소) 입력",IF(IF(TRIM($J52&amp;"")="",0,SUMPRODUCT((입력_파견수련계획!$Q$4:$Q$803=TRIM($J52&amp;""))*(입력_파견수련계획!$AA$4:$AA$803&lt;&gt;"")))&gt;0,"파견수련계획 입력오류 확인",IF(LEFT($Y52,1)="⚠","서울·구리 15일 판정 불가(양쪽 모두 이상/미만)",IF(IF($AC52="",0,N(INDEX(입력_인턴근무계획!$T$3:$T$402,$AC52)))&gt;0,"인턴계획 입력오류 확인",IF(AND($AQ52&lt;&gt;"",$AG52&lt;&gt;"구리병원",IF(TRIM($J52&amp;"")="",0,SUMPRODUCT((입력_파견수련계획!$Q$4:$Q$803=TRIM($J52&amp;""))*(입력_파견수련계획!$S$4:$S$803="구리병원")*입력_파견수련계획!$W$4:$W$803))=0),"구리 근무자명단에만 있음(파견수련계획 확인)",IF(AND($AC52&lt;&gt;"",$U52&lt;&gt;"파견중",$N52&lt;&gt;$AE52),"인턴 타지역 근무: 파견 여부 확인","정상")))))))))</f>
        <v/>
      </c>
      <c r="AA52" s="5" t="n"/>
      <c r="AB52" s="10">
        <f>IF($B52="","",IFERROR(MATCH($B52,입력_기본자료!$B$2:$B$1001,0),IFERROR(MATCH($B52&amp;"",입력_기본자료!$B$2:$B$1001,0),IFERROR(MATCH(VALUE($B52),입력_기본자료!$B$2:$B$1001,0),""))))</f>
        <v/>
      </c>
      <c r="AC52" s="10">
        <f>IF($B52="","",IFERROR(MATCH($B52,입력_인턴근무계획!$D$3:$D$402,0),IFERROR(MATCH($B52&amp;"",입력_인턴근무계획!$D$3:$D$402,0),IFERROR(MATCH(VALUE($B52),입력_인턴근무계획!$D$3:$D$402,0),""))))</f>
        <v/>
      </c>
      <c r="AD52" s="10">
        <f>IF(OR($AC52="",출력_인턴현황!$G$3=""),"",INDEX(입력_인턴근무계획!$M$3:$R$402,$AC52,출력_인턴현황!$G$3)&amp;"")</f>
        <v/>
      </c>
      <c r="AE52" s="10">
        <f>IF($B52="","",IF($M52&lt;&gt;"",$M52,IF(IF($AQ52="",FALSE,INDEX(출력_구리근무자!$J$6:$J$305,$AQ52)="구리독자"),"구리병원",IF($AF52&lt;&gt;"",IF(LEFT(INDEX(입력_파견수련계획!$R$4:$R$803,$AF52),1)&lt;&gt;"⚠",INDEX(입력_파견수련계획!$R$4:$R$803,$AF52),IF($H52="","",IF(RIGHT($H52,2)="병원",$H52,$H52&amp;"병원"))),IF($H52="","",IF(RIGHT($H52,2)="병원",$H52,$H52&amp;"병원"))))))</f>
        <v/>
      </c>
      <c r="AF52" s="10">
        <f>IF(OR($B52="",TRIM($J52&amp;"")=""),"",IFERROR(MATCH(TRIM($J52&amp;"")&amp;"|파견중",입력_파견수련계획!$Y$4:$Y$803,0),IFERROR(MATCH(TRIM($J52&amp;"")&amp;"|파견예정",입력_파견수련계획!$Y$4:$Y$803,0),IFERROR(MATCH(TRIM($J52&amp;"")&amp;"|파견종료",입력_파견수련계획!$Y$4:$Y$803,0),""))))</f>
        <v/>
      </c>
      <c r="AG52" s="10">
        <f>IF($B52="","",IF(AND(IF(OR($AC52="",출력_인턴현황!$K$2=""),"",INDEX(입력_인턴근무계획!$M$3:$R$402,$AC52,출력_인턴현황!$K$2)&amp;"")&lt;&gt;"",LEFT(IF(OR($AC52="",출력_인턴현황!$K$2=""),"",INDEX(입력_인턴근무계획!$M$3:$R$402,$AC52,출력_인턴현황!$K$2)&amp;""),1)&lt;&gt;"⚠"),LEFT(IF(OR($AC52="",출력_인턴현황!$K$2=""),"",INDEX(입력_인턴근무계획!$M$3:$R$402,$AC52,출력_인턴현황!$K$2)&amp;""),FIND(" ",IF(OR($AC52="",출력_인턴현황!$K$2=""),"",INDEX(입력_인턴근무계획!$M$3:$R$402,$AC52,출력_인턴현황!$K$2)&amp;""))-1),$AE52))</f>
        <v/>
      </c>
      <c r="AH52" s="17">
        <f>IF($B52="","",IF($AQ52&lt;&gt;"",MAX(0,DAY(EOMONTH(출력_요약!$B$3,0))-N($AR52)),IF(TRIM($J52&amp;"")="",0,SUMPRODUCT((입력_파견수련계획!$Q$4:$Q$803=TRIM($J52&amp;""))*(입력_파견수련계획!$S$4:$S$803="서울병원")*입력_파견수련계획!$W$4:$W$803))+IF($AG52="서울병원",MAX(0,DAY(EOMONTH(출력_요약!$B$3,0))-N($X52)),0)))</f>
        <v/>
      </c>
      <c r="AI52" s="17">
        <f>IF($B52="","",IF($AQ52&lt;&gt;"",N($AR52),IF(TRIM($J52&amp;"")="",0,SUMPRODUCT((입력_파견수련계획!$Q$4:$Q$803=TRIM($J52&amp;""))*(입력_파견수련계획!$S$4:$S$803="구리병원")*입력_파견수련계획!$W$4:$W$803))+IF($AG52="구리병원",MAX(0,DAY(EOMONTH(출력_요약!$B$3,0))-N($X52)),0)))</f>
        <v/>
      </c>
      <c r="AJ52" s="10">
        <f>IF(OR($B52="",TRIM($J52&amp;"")=""),"",IFERROR(MATCH(TRIM($J52&amp;"")&amp;"|월",입력_파견수련계획!$Z$4:$Z$803,0),""))</f>
        <v/>
      </c>
      <c r="AK52" s="10">
        <f>IF(OR($B52="",TRIM($J52&amp;"")=""),"",IFERROR(MATCH(TRIM($J52&amp;"")&amp;"|다기관",입력_파견수련계획!$AE$4:$AE$803,0),""))</f>
        <v/>
      </c>
      <c r="AL52" s="10">
        <f>IF($AK52="","","다기관 "&amp;TEXT(INDEX(입력_파견수련계획!$AB$4:$AB$803,$AK52),"yyyy-mm-dd")&amp;"~"&amp;IF(ISNUMBER(INDEX(입력_파견수련계획!$AC$4:$AC$803,$AK52)),TEXT(INDEX(입력_파견수련계획!$AC$4:$AC$803,$AK52),"yyyy-mm-dd"),""))</f>
        <v/>
      </c>
      <c r="AM52" s="10">
        <f>IF($Y52="서울병원",COUNTIF($Y$2:$Y52,"서울병원"),"")</f>
        <v/>
      </c>
      <c r="AN52" s="10">
        <f>IF(LEFT($Y52,1)="⚠",COUNTIF($Y$2:$Y52,"⚠*"),"")</f>
        <v/>
      </c>
      <c r="AO52" s="10">
        <f>IF(OR($B52="",$Y52=""),"",IF(IF(TRIM($J52&amp;"")="",0,SUMPRODUCT((입력_파견수련계획!$Q$4:$Q$803=TRIM($J52&amp;""))*입력_파견수련계획!$AD$4:$AD$803))&gt;0,"다기관 기간 → 소속병원 지급",IF(AND(N($X52)&lt;=0,$AQ52=""),"파견 없음 → 그 달 근무병원 지급",IF($AH52+$AI52=DAY(EOMONTH(출력_요약!$B$3,0)),"서울 "&amp;$AH52&amp;"일 / 구리 "&amp;$AI52&amp;"일"&amp;IF($AQ52&lt;&gt;""," (구리 근무자명단 반영)","")&amp;" → 15일 이상 근무 병원 지급","타 병원 포함 → "&amp;IF($AJ52="","소속",INDEX(입력_파견수련계획!$T$4:$T$803,$AJ52))&amp;" 규칙"))))</f>
        <v/>
      </c>
      <c r="AP52" s="10">
        <f>IF($B52="","",$C52&amp;"|"&amp;$F52)</f>
        <v/>
      </c>
      <c r="AQ52" s="10">
        <f>IF($B52="","",IFERROR(MATCH(ROW()-1,출력_구리근무자!$K$6:$K$305,0),""))</f>
        <v/>
      </c>
      <c r="AR52" s="10">
        <f>IF($AQ52="","",INDEX(출력_구리근무자!$H$6:$H$305,$AQ52))</f>
        <v/>
      </c>
    </row>
    <row r="53">
      <c r="A53" s="10">
        <f>IF(B53="","",ROW()-1)</f>
        <v/>
      </c>
      <c r="B53" s="19" t="n"/>
      <c r="C53" s="10">
        <f>IF($AB53="","",IF(INDEX(입력_기본자료!$C$2:$C$1001,$AB53)="","",INDEX(입력_기본자료!$C$2:$C$1001,$AB53)))</f>
        <v/>
      </c>
      <c r="D53" s="10">
        <f>IF($AB53="","",IF(INDEX(입력_기본자료!$J$2:$J$1001,$AB53)="","",INDEX(입력_기본자료!$J$2:$J$1001,$AB53)))</f>
        <v/>
      </c>
      <c r="E53" s="11">
        <f>IF($AB53="","",IF(INDEX(입력_기본자료!$K$2:$K$1001,$AB53)="","",IF(NOT(ISNUMBER(INDEX(입력_기본자료!$K$2:$K$1001,$AB53))),INDEX(입력_기본자료!$K$2:$K$1001,$AB53),IF(INDEX(입력_기본자료!$K$2:$K$1001,$AB53)&lt;1000000,INDEX(입력_기본자료!$K$2:$K$1001,$AB53),IF(AND(INDEX(입력_기본자료!$K$2:$K$1001,$AB53)&gt;=10000101,INT(MOD(INDEX(입력_기본자료!$K$2:$K$1001,$AB53),10000)/100)&gt;=1,INT(MOD(INDEX(입력_기본자료!$K$2:$K$1001,$AB53),10000)/100)&lt;=12,MOD(INDEX(입력_기본자료!$K$2:$K$1001,$AB53),100)&gt;=1,MOD(INDEX(입력_기본자료!$K$2:$K$1001,$AB53),100)&lt;=31),DATE(INT(INDEX(입력_기본자료!$K$2:$K$1001,$AB53)/10000),INT(MOD(INDEX(입력_기본자료!$K$2:$K$1001,$AB53),10000)/100),MOD(INDEX(입력_기본자료!$K$2:$K$1001,$AB53),100)),INDEX(입력_기본자료!$K$2:$K$1001,$AB53)&amp;"")))))</f>
        <v/>
      </c>
      <c r="F53" s="10">
        <f>IF($AB53="","",IF(INDEX(입력_기본자료!$D$2:$D$1001,$AB53)="","",INDEX(입력_기본자료!$D$2:$D$1001,$AB53)))</f>
        <v/>
      </c>
      <c r="G53" s="10">
        <f>IF($AB53="","",IF(INDEX(입력_기본자료!$E$2:$E$1001,$AB53)="","",INDEX(입력_기본자료!$E$2:$E$1001,$AB53)))</f>
        <v/>
      </c>
      <c r="H53" s="10">
        <f>IF($AB53="","",IF(INDEX(입력_기본자료!$F$2:$F$1001,$AB53)="","",INDEX(입력_기본자료!$F$2:$F$1001,$AB53)))</f>
        <v/>
      </c>
      <c r="I53" s="11">
        <f>IF($AB53="","",IF(INDEX(입력_기본자료!$G$2:$G$1001,$AB53)="","",IF(NOT(ISNUMBER(INDEX(입력_기본자료!$G$2:$G$1001,$AB53))),INDEX(입력_기본자료!$G$2:$G$1001,$AB53),IF(INDEX(입력_기본자료!$G$2:$G$1001,$AB53)&lt;1000000,INDEX(입력_기본자료!$G$2:$G$1001,$AB53),IF(AND(INDEX(입력_기본자료!$G$2:$G$1001,$AB53)&gt;=10000101,INT(MOD(INDEX(입력_기본자료!$G$2:$G$1001,$AB53),10000)/100)&gt;=1,INT(MOD(INDEX(입력_기본자료!$G$2:$G$1001,$AB53),10000)/100)&lt;=12,MOD(INDEX(입력_기본자료!$G$2:$G$1001,$AB53),100)&gt;=1,MOD(INDEX(입력_기본자료!$G$2:$G$1001,$AB53),100)&lt;=31),DATE(INT(INDEX(입력_기본자료!$G$2:$G$1001,$AB53)/10000),INT(MOD(INDEX(입력_기본자료!$G$2:$G$1001,$AB53),10000)/100),MOD(INDEX(입력_기본자료!$G$2:$G$1001,$AB53),100)),INDEX(입력_기본자료!$G$2:$G$1001,$AB53)&amp;"")))))</f>
        <v/>
      </c>
      <c r="J53" s="10">
        <f>IF($AB53="","",IF(INDEX(입력_기본자료!$H$2:$H$1001,$AB53)="","",INDEX(입력_기본자료!$H$2:$H$1001,$AB53)))</f>
        <v/>
      </c>
      <c r="K53" s="10">
        <f>IF($AB53="","",IF(INDEX(입력_기본자료!$I$2:$I$1001,$AB53)="","",INDEX(입력_기본자료!$I$2:$I$1001,$AB53)))</f>
        <v/>
      </c>
      <c r="L53" s="10">
        <f>IF($AB53="","",IF(INDEX(입력_기본자료!$A$2:$A$1001,$AB53)="","",INDEX(입력_기본자료!$A$2:$A$1001,$AB53)))</f>
        <v/>
      </c>
      <c r="M53" s="15" t="n"/>
      <c r="N53" s="10">
        <f>IF($B53="","",IF(AND($U53="파견중",$Q53&lt;&gt;""),$Q53,IF(AND($AD53&lt;&gt;"",LEFT($AD53,1)&lt;&gt;"⚠"),LEFT($AD53,FIND(" ",$AD53)-1),IF($H53="","",IF(RIGHT($H53,2)="병원",$H53,$H53&amp;"병원")))))</f>
        <v/>
      </c>
      <c r="O53" s="10">
        <f>IF($B53="","",IF(AND($U53="파견중",$Q53&lt;&gt;""),IF($R53&lt;&gt;"",$R53,"파견과 미입력"),IF(AND($AD53&lt;&gt;"",LEFT($AD53,1)&lt;&gt;"⚠"),MID($AD53,FIND(" ",$AD53)+1,60),IF($F53="","",IF($F53="인턴","수련교육부(인턴)",$F53)))))</f>
        <v/>
      </c>
      <c r="P53" s="10">
        <f>IF($B53="","",IF($AK53&lt;&gt;"",IF(AND(TODAY()&gt;=INDEX(입력_파견수련계획!$AB$4:$AB$803,$AK53),OR(NOT(ISNUMBER(INDEX(입력_파견수련계획!$AC$4:$AC$803,$AK53))),TODAY()&lt;=INDEX(입력_파견수련계획!$AC$4:$AC$803,$AK53))),"다기관",IF($AF53="","",INDEX(입력_파견수련계획!$T$4:$T$803,$AF53))),IF($AF53="","",INDEX(입력_파견수련계획!$T$4:$T$803,$AF53))))</f>
        <v/>
      </c>
      <c r="Q53" s="10">
        <f>IF($AF53="","",INDEX(입력_파견수련계획!$S$4:$S$803,$AF53))</f>
        <v/>
      </c>
      <c r="R53" s="10">
        <f>IF($AF53="","",INDEX(입력_파견수련계획!$U$4:$U$803,$AF53))</f>
        <v/>
      </c>
      <c r="S53" s="11">
        <f>IF($AF53="","",IF(INDEX(입력_파견수련계획!$H$4:$H$803,$AF53)="","",INDEX(입력_파견수련계획!$H$4:$H$803,$AF53)))</f>
        <v/>
      </c>
      <c r="T53" s="11">
        <f>IF($AF53="","",IF(INDEX(입력_파견수련계획!$I$4:$I$803,$AF53)="","",INDEX(입력_파견수련계획!$I$4:$I$803,$AF53)))</f>
        <v/>
      </c>
      <c r="U53" s="10">
        <f>IF($AF53="","",INDEX(입력_파견수련계획!$X$4:$X$803,$AF53))</f>
        <v/>
      </c>
      <c r="V53" s="17">
        <f>IF($AF53="","",INDEX(입력_파견수련계획!$V$4:$V$803,$AF53))</f>
        <v/>
      </c>
      <c r="W53" s="17">
        <f>IF(AND($U53="파견중",$T53&lt;&gt;""),$T53-TODAY(),"")</f>
        <v/>
      </c>
      <c r="X53" s="17">
        <f>IF(OR($B53="",TRIM($J53&amp;"")=""),"",SUMPRODUCT((입력_파견수련계획!$Q$4:$Q$803=TRIM($J53&amp;""))*입력_파견수련계획!$W$4:$W$803))</f>
        <v/>
      </c>
      <c r="Y53" s="10">
        <f>IF($B53="","",IF($AG53="","",IF(IF(TRIM($J53&amp;"")="",0,SUMPRODUCT((입력_파견수련계획!$Q$4:$Q$803=TRIM($J53&amp;""))*입력_파견수련계획!$AD$4:$AD$803))&gt;0,$AE53,IF(AND(N($X53)&lt;=0,$AQ53=""),$AG53,IF($AH53+$AI53=DAY(EOMONTH(출력_요약!$B$3,0)),IF(AND($AH53&gt;=출력_요약!$E$3,$AI53&lt;출력_요약!$E$3),"서울병원",IF(AND($AI53&gt;=출력_요약!$E$3,$AH53&lt;출력_요약!$E$3),"구리병원","⚠15일 판정불가(서울 "&amp;$AH53&amp;"일/구리 "&amp;$AI53&amp;"일)")),IF($AJ53="",$AE53,IF(INDEX(입력_파견수련계획!$T$4:$T$803,$AJ53)="통합수련",INDEX(입력_파견수련계획!$S$4:$S$803,$AJ53),$AE53)))))))</f>
        <v/>
      </c>
      <c r="Z53" s="20">
        <f>IF($B53="","",IF($AB53="","기본자료에 없는 사번",IF(COUNTIF($B$2:$B$401,$B53)&gt;1,"중복 사번",IF($AE53="","소속(입사장소) 입력",IF(IF(TRIM($J53&amp;"")="",0,SUMPRODUCT((입력_파견수련계획!$Q$4:$Q$803=TRIM($J53&amp;""))*(입력_파견수련계획!$AA$4:$AA$803&lt;&gt;"")))&gt;0,"파견수련계획 입력오류 확인",IF(LEFT($Y53,1)="⚠","서울·구리 15일 판정 불가(양쪽 모두 이상/미만)",IF(IF($AC53="",0,N(INDEX(입력_인턴근무계획!$T$3:$T$402,$AC53)))&gt;0,"인턴계획 입력오류 확인",IF(AND($AQ53&lt;&gt;"",$AG53&lt;&gt;"구리병원",IF(TRIM($J53&amp;"")="",0,SUMPRODUCT((입력_파견수련계획!$Q$4:$Q$803=TRIM($J53&amp;""))*(입력_파견수련계획!$S$4:$S$803="구리병원")*입력_파견수련계획!$W$4:$W$803))=0),"구리 근무자명단에만 있음(파견수련계획 확인)",IF(AND($AC53&lt;&gt;"",$U53&lt;&gt;"파견중",$N53&lt;&gt;$AE53),"인턴 타지역 근무: 파견 여부 확인","정상")))))))))</f>
        <v/>
      </c>
      <c r="AA53" s="5" t="n"/>
      <c r="AB53" s="10">
        <f>IF($B53="","",IFERROR(MATCH($B53,입력_기본자료!$B$2:$B$1001,0),IFERROR(MATCH($B53&amp;"",입력_기본자료!$B$2:$B$1001,0),IFERROR(MATCH(VALUE($B53),입력_기본자료!$B$2:$B$1001,0),""))))</f>
        <v/>
      </c>
      <c r="AC53" s="10">
        <f>IF($B53="","",IFERROR(MATCH($B53,입력_인턴근무계획!$D$3:$D$402,0),IFERROR(MATCH($B53&amp;"",입력_인턴근무계획!$D$3:$D$402,0),IFERROR(MATCH(VALUE($B53),입력_인턴근무계획!$D$3:$D$402,0),""))))</f>
        <v/>
      </c>
      <c r="AD53" s="10">
        <f>IF(OR($AC53="",출력_인턴현황!$G$3=""),"",INDEX(입력_인턴근무계획!$M$3:$R$402,$AC53,출력_인턴현황!$G$3)&amp;"")</f>
        <v/>
      </c>
      <c r="AE53" s="10">
        <f>IF($B53="","",IF($M53&lt;&gt;"",$M53,IF(IF($AQ53="",FALSE,INDEX(출력_구리근무자!$J$6:$J$305,$AQ53)="구리독자"),"구리병원",IF($AF53&lt;&gt;"",IF(LEFT(INDEX(입력_파견수련계획!$R$4:$R$803,$AF53),1)&lt;&gt;"⚠",INDEX(입력_파견수련계획!$R$4:$R$803,$AF53),IF($H53="","",IF(RIGHT($H53,2)="병원",$H53,$H53&amp;"병원"))),IF($H53="","",IF(RIGHT($H53,2)="병원",$H53,$H53&amp;"병원"))))))</f>
        <v/>
      </c>
      <c r="AF53" s="10">
        <f>IF(OR($B53="",TRIM($J53&amp;"")=""),"",IFERROR(MATCH(TRIM($J53&amp;"")&amp;"|파견중",입력_파견수련계획!$Y$4:$Y$803,0),IFERROR(MATCH(TRIM($J53&amp;"")&amp;"|파견예정",입력_파견수련계획!$Y$4:$Y$803,0),IFERROR(MATCH(TRIM($J53&amp;"")&amp;"|파견종료",입력_파견수련계획!$Y$4:$Y$803,0),""))))</f>
        <v/>
      </c>
      <c r="AG53" s="10">
        <f>IF($B53="","",IF(AND(IF(OR($AC53="",출력_인턴현황!$K$2=""),"",INDEX(입력_인턴근무계획!$M$3:$R$402,$AC53,출력_인턴현황!$K$2)&amp;"")&lt;&gt;"",LEFT(IF(OR($AC53="",출력_인턴현황!$K$2=""),"",INDEX(입력_인턴근무계획!$M$3:$R$402,$AC53,출력_인턴현황!$K$2)&amp;""),1)&lt;&gt;"⚠"),LEFT(IF(OR($AC53="",출력_인턴현황!$K$2=""),"",INDEX(입력_인턴근무계획!$M$3:$R$402,$AC53,출력_인턴현황!$K$2)&amp;""),FIND(" ",IF(OR($AC53="",출력_인턴현황!$K$2=""),"",INDEX(입력_인턴근무계획!$M$3:$R$402,$AC53,출력_인턴현황!$K$2)&amp;""))-1),$AE53))</f>
        <v/>
      </c>
      <c r="AH53" s="17">
        <f>IF($B53="","",IF($AQ53&lt;&gt;"",MAX(0,DAY(EOMONTH(출력_요약!$B$3,0))-N($AR53)),IF(TRIM($J53&amp;"")="",0,SUMPRODUCT((입력_파견수련계획!$Q$4:$Q$803=TRIM($J53&amp;""))*(입력_파견수련계획!$S$4:$S$803="서울병원")*입력_파견수련계획!$W$4:$W$803))+IF($AG53="서울병원",MAX(0,DAY(EOMONTH(출력_요약!$B$3,0))-N($X53)),0)))</f>
        <v/>
      </c>
      <c r="AI53" s="17">
        <f>IF($B53="","",IF($AQ53&lt;&gt;"",N($AR53),IF(TRIM($J53&amp;"")="",0,SUMPRODUCT((입력_파견수련계획!$Q$4:$Q$803=TRIM($J53&amp;""))*(입력_파견수련계획!$S$4:$S$803="구리병원")*입력_파견수련계획!$W$4:$W$803))+IF($AG53="구리병원",MAX(0,DAY(EOMONTH(출력_요약!$B$3,0))-N($X53)),0)))</f>
        <v/>
      </c>
      <c r="AJ53" s="10">
        <f>IF(OR($B53="",TRIM($J53&amp;"")=""),"",IFERROR(MATCH(TRIM($J53&amp;"")&amp;"|월",입력_파견수련계획!$Z$4:$Z$803,0),""))</f>
        <v/>
      </c>
      <c r="AK53" s="10">
        <f>IF(OR($B53="",TRIM($J53&amp;"")=""),"",IFERROR(MATCH(TRIM($J53&amp;"")&amp;"|다기관",입력_파견수련계획!$AE$4:$AE$803,0),""))</f>
        <v/>
      </c>
      <c r="AL53" s="10">
        <f>IF($AK53="","","다기관 "&amp;TEXT(INDEX(입력_파견수련계획!$AB$4:$AB$803,$AK53),"yyyy-mm-dd")&amp;"~"&amp;IF(ISNUMBER(INDEX(입력_파견수련계획!$AC$4:$AC$803,$AK53)),TEXT(INDEX(입력_파견수련계획!$AC$4:$AC$803,$AK53),"yyyy-mm-dd"),""))</f>
        <v/>
      </c>
      <c r="AM53" s="10">
        <f>IF($Y53="서울병원",COUNTIF($Y$2:$Y53,"서울병원"),"")</f>
        <v/>
      </c>
      <c r="AN53" s="10">
        <f>IF(LEFT($Y53,1)="⚠",COUNTIF($Y$2:$Y53,"⚠*"),"")</f>
        <v/>
      </c>
      <c r="AO53" s="10">
        <f>IF(OR($B53="",$Y53=""),"",IF(IF(TRIM($J53&amp;"")="",0,SUMPRODUCT((입력_파견수련계획!$Q$4:$Q$803=TRIM($J53&amp;""))*입력_파견수련계획!$AD$4:$AD$803))&gt;0,"다기관 기간 → 소속병원 지급",IF(AND(N($X53)&lt;=0,$AQ53=""),"파견 없음 → 그 달 근무병원 지급",IF($AH53+$AI53=DAY(EOMONTH(출력_요약!$B$3,0)),"서울 "&amp;$AH53&amp;"일 / 구리 "&amp;$AI53&amp;"일"&amp;IF($AQ53&lt;&gt;""," (구리 근무자명단 반영)","")&amp;" → 15일 이상 근무 병원 지급","타 병원 포함 → "&amp;IF($AJ53="","소속",INDEX(입력_파견수련계획!$T$4:$T$803,$AJ53))&amp;" 규칙"))))</f>
        <v/>
      </c>
      <c r="AP53" s="10">
        <f>IF($B53="","",$C53&amp;"|"&amp;$F53)</f>
        <v/>
      </c>
      <c r="AQ53" s="10">
        <f>IF($B53="","",IFERROR(MATCH(ROW()-1,출력_구리근무자!$K$6:$K$305,0),""))</f>
        <v/>
      </c>
      <c r="AR53" s="10">
        <f>IF($AQ53="","",INDEX(출력_구리근무자!$H$6:$H$305,$AQ53))</f>
        <v/>
      </c>
    </row>
    <row r="54">
      <c r="A54" s="10">
        <f>IF(B54="","",ROW()-1)</f>
        <v/>
      </c>
      <c r="B54" s="19" t="n"/>
      <c r="C54" s="10">
        <f>IF($AB54="","",IF(INDEX(입력_기본자료!$C$2:$C$1001,$AB54)="","",INDEX(입력_기본자료!$C$2:$C$1001,$AB54)))</f>
        <v/>
      </c>
      <c r="D54" s="10">
        <f>IF($AB54="","",IF(INDEX(입력_기본자료!$J$2:$J$1001,$AB54)="","",INDEX(입력_기본자료!$J$2:$J$1001,$AB54)))</f>
        <v/>
      </c>
      <c r="E54" s="11">
        <f>IF($AB54="","",IF(INDEX(입력_기본자료!$K$2:$K$1001,$AB54)="","",IF(NOT(ISNUMBER(INDEX(입력_기본자료!$K$2:$K$1001,$AB54))),INDEX(입력_기본자료!$K$2:$K$1001,$AB54),IF(INDEX(입력_기본자료!$K$2:$K$1001,$AB54)&lt;1000000,INDEX(입력_기본자료!$K$2:$K$1001,$AB54),IF(AND(INDEX(입력_기본자료!$K$2:$K$1001,$AB54)&gt;=10000101,INT(MOD(INDEX(입력_기본자료!$K$2:$K$1001,$AB54),10000)/100)&gt;=1,INT(MOD(INDEX(입력_기본자료!$K$2:$K$1001,$AB54),10000)/100)&lt;=12,MOD(INDEX(입력_기본자료!$K$2:$K$1001,$AB54),100)&gt;=1,MOD(INDEX(입력_기본자료!$K$2:$K$1001,$AB54),100)&lt;=31),DATE(INT(INDEX(입력_기본자료!$K$2:$K$1001,$AB54)/10000),INT(MOD(INDEX(입력_기본자료!$K$2:$K$1001,$AB54),10000)/100),MOD(INDEX(입력_기본자료!$K$2:$K$1001,$AB54),100)),INDEX(입력_기본자료!$K$2:$K$1001,$AB54)&amp;"")))))</f>
        <v/>
      </c>
      <c r="F54" s="10">
        <f>IF($AB54="","",IF(INDEX(입력_기본자료!$D$2:$D$1001,$AB54)="","",INDEX(입력_기본자료!$D$2:$D$1001,$AB54)))</f>
        <v/>
      </c>
      <c r="G54" s="10">
        <f>IF($AB54="","",IF(INDEX(입력_기본자료!$E$2:$E$1001,$AB54)="","",INDEX(입력_기본자료!$E$2:$E$1001,$AB54)))</f>
        <v/>
      </c>
      <c r="H54" s="10">
        <f>IF($AB54="","",IF(INDEX(입력_기본자료!$F$2:$F$1001,$AB54)="","",INDEX(입력_기본자료!$F$2:$F$1001,$AB54)))</f>
        <v/>
      </c>
      <c r="I54" s="11">
        <f>IF($AB54="","",IF(INDEX(입력_기본자료!$G$2:$G$1001,$AB54)="","",IF(NOT(ISNUMBER(INDEX(입력_기본자료!$G$2:$G$1001,$AB54))),INDEX(입력_기본자료!$G$2:$G$1001,$AB54),IF(INDEX(입력_기본자료!$G$2:$G$1001,$AB54)&lt;1000000,INDEX(입력_기본자료!$G$2:$G$1001,$AB54),IF(AND(INDEX(입력_기본자료!$G$2:$G$1001,$AB54)&gt;=10000101,INT(MOD(INDEX(입력_기본자료!$G$2:$G$1001,$AB54),10000)/100)&gt;=1,INT(MOD(INDEX(입력_기본자료!$G$2:$G$1001,$AB54),10000)/100)&lt;=12,MOD(INDEX(입력_기본자료!$G$2:$G$1001,$AB54),100)&gt;=1,MOD(INDEX(입력_기본자료!$G$2:$G$1001,$AB54),100)&lt;=31),DATE(INT(INDEX(입력_기본자료!$G$2:$G$1001,$AB54)/10000),INT(MOD(INDEX(입력_기본자료!$G$2:$G$1001,$AB54),10000)/100),MOD(INDEX(입력_기본자료!$G$2:$G$1001,$AB54),100)),INDEX(입력_기본자료!$G$2:$G$1001,$AB54)&amp;"")))))</f>
        <v/>
      </c>
      <c r="J54" s="10">
        <f>IF($AB54="","",IF(INDEX(입력_기본자료!$H$2:$H$1001,$AB54)="","",INDEX(입력_기본자료!$H$2:$H$1001,$AB54)))</f>
        <v/>
      </c>
      <c r="K54" s="10">
        <f>IF($AB54="","",IF(INDEX(입력_기본자료!$I$2:$I$1001,$AB54)="","",INDEX(입력_기본자료!$I$2:$I$1001,$AB54)))</f>
        <v/>
      </c>
      <c r="L54" s="10">
        <f>IF($AB54="","",IF(INDEX(입력_기본자료!$A$2:$A$1001,$AB54)="","",INDEX(입력_기본자료!$A$2:$A$1001,$AB54)))</f>
        <v/>
      </c>
      <c r="M54" s="15" t="n"/>
      <c r="N54" s="10">
        <f>IF($B54="","",IF(AND($U54="파견중",$Q54&lt;&gt;""),$Q54,IF(AND($AD54&lt;&gt;"",LEFT($AD54,1)&lt;&gt;"⚠"),LEFT($AD54,FIND(" ",$AD54)-1),IF($H54="","",IF(RIGHT($H54,2)="병원",$H54,$H54&amp;"병원")))))</f>
        <v/>
      </c>
      <c r="O54" s="10">
        <f>IF($B54="","",IF(AND($U54="파견중",$Q54&lt;&gt;""),IF($R54&lt;&gt;"",$R54,"파견과 미입력"),IF(AND($AD54&lt;&gt;"",LEFT($AD54,1)&lt;&gt;"⚠"),MID($AD54,FIND(" ",$AD54)+1,60),IF($F54="","",IF($F54="인턴","수련교육부(인턴)",$F54)))))</f>
        <v/>
      </c>
      <c r="P54" s="10">
        <f>IF($B54="","",IF($AK54&lt;&gt;"",IF(AND(TODAY()&gt;=INDEX(입력_파견수련계획!$AB$4:$AB$803,$AK54),OR(NOT(ISNUMBER(INDEX(입력_파견수련계획!$AC$4:$AC$803,$AK54))),TODAY()&lt;=INDEX(입력_파견수련계획!$AC$4:$AC$803,$AK54))),"다기관",IF($AF54="","",INDEX(입력_파견수련계획!$T$4:$T$803,$AF54))),IF($AF54="","",INDEX(입력_파견수련계획!$T$4:$T$803,$AF54))))</f>
        <v/>
      </c>
      <c r="Q54" s="10">
        <f>IF($AF54="","",INDEX(입력_파견수련계획!$S$4:$S$803,$AF54))</f>
        <v/>
      </c>
      <c r="R54" s="10">
        <f>IF($AF54="","",INDEX(입력_파견수련계획!$U$4:$U$803,$AF54))</f>
        <v/>
      </c>
      <c r="S54" s="11">
        <f>IF($AF54="","",IF(INDEX(입력_파견수련계획!$H$4:$H$803,$AF54)="","",INDEX(입력_파견수련계획!$H$4:$H$803,$AF54)))</f>
        <v/>
      </c>
      <c r="T54" s="11">
        <f>IF($AF54="","",IF(INDEX(입력_파견수련계획!$I$4:$I$803,$AF54)="","",INDEX(입력_파견수련계획!$I$4:$I$803,$AF54)))</f>
        <v/>
      </c>
      <c r="U54" s="10">
        <f>IF($AF54="","",INDEX(입력_파견수련계획!$X$4:$X$803,$AF54))</f>
        <v/>
      </c>
      <c r="V54" s="17">
        <f>IF($AF54="","",INDEX(입력_파견수련계획!$V$4:$V$803,$AF54))</f>
        <v/>
      </c>
      <c r="W54" s="17">
        <f>IF(AND($U54="파견중",$T54&lt;&gt;""),$T54-TODAY(),"")</f>
        <v/>
      </c>
      <c r="X54" s="17">
        <f>IF(OR($B54="",TRIM($J54&amp;"")=""),"",SUMPRODUCT((입력_파견수련계획!$Q$4:$Q$803=TRIM($J54&amp;""))*입력_파견수련계획!$W$4:$W$803))</f>
        <v/>
      </c>
      <c r="Y54" s="10">
        <f>IF($B54="","",IF($AG54="","",IF(IF(TRIM($J54&amp;"")="",0,SUMPRODUCT((입력_파견수련계획!$Q$4:$Q$803=TRIM($J54&amp;""))*입력_파견수련계획!$AD$4:$AD$803))&gt;0,$AE54,IF(AND(N($X54)&lt;=0,$AQ54=""),$AG54,IF($AH54+$AI54=DAY(EOMONTH(출력_요약!$B$3,0)),IF(AND($AH54&gt;=출력_요약!$E$3,$AI54&lt;출력_요약!$E$3),"서울병원",IF(AND($AI54&gt;=출력_요약!$E$3,$AH54&lt;출력_요약!$E$3),"구리병원","⚠15일 판정불가(서울 "&amp;$AH54&amp;"일/구리 "&amp;$AI54&amp;"일)")),IF($AJ54="",$AE54,IF(INDEX(입력_파견수련계획!$T$4:$T$803,$AJ54)="통합수련",INDEX(입력_파견수련계획!$S$4:$S$803,$AJ54),$AE54)))))))</f>
        <v/>
      </c>
      <c r="Z54" s="20">
        <f>IF($B54="","",IF($AB54="","기본자료에 없는 사번",IF(COUNTIF($B$2:$B$401,$B54)&gt;1,"중복 사번",IF($AE54="","소속(입사장소) 입력",IF(IF(TRIM($J54&amp;"")="",0,SUMPRODUCT((입력_파견수련계획!$Q$4:$Q$803=TRIM($J54&amp;""))*(입력_파견수련계획!$AA$4:$AA$803&lt;&gt;"")))&gt;0,"파견수련계획 입력오류 확인",IF(LEFT($Y54,1)="⚠","서울·구리 15일 판정 불가(양쪽 모두 이상/미만)",IF(IF($AC54="",0,N(INDEX(입력_인턴근무계획!$T$3:$T$402,$AC54)))&gt;0,"인턴계획 입력오류 확인",IF(AND($AQ54&lt;&gt;"",$AG54&lt;&gt;"구리병원",IF(TRIM($J54&amp;"")="",0,SUMPRODUCT((입력_파견수련계획!$Q$4:$Q$803=TRIM($J54&amp;""))*(입력_파견수련계획!$S$4:$S$803="구리병원")*입력_파견수련계획!$W$4:$W$803))=0),"구리 근무자명단에만 있음(파견수련계획 확인)",IF(AND($AC54&lt;&gt;"",$U54&lt;&gt;"파견중",$N54&lt;&gt;$AE54),"인턴 타지역 근무: 파견 여부 확인","정상")))))))))</f>
        <v/>
      </c>
      <c r="AA54" s="5" t="n"/>
      <c r="AB54" s="10">
        <f>IF($B54="","",IFERROR(MATCH($B54,입력_기본자료!$B$2:$B$1001,0),IFERROR(MATCH($B54&amp;"",입력_기본자료!$B$2:$B$1001,0),IFERROR(MATCH(VALUE($B54),입력_기본자료!$B$2:$B$1001,0),""))))</f>
        <v/>
      </c>
      <c r="AC54" s="10">
        <f>IF($B54="","",IFERROR(MATCH($B54,입력_인턴근무계획!$D$3:$D$402,0),IFERROR(MATCH($B54&amp;"",입력_인턴근무계획!$D$3:$D$402,0),IFERROR(MATCH(VALUE($B54),입력_인턴근무계획!$D$3:$D$402,0),""))))</f>
        <v/>
      </c>
      <c r="AD54" s="10">
        <f>IF(OR($AC54="",출력_인턴현황!$G$3=""),"",INDEX(입력_인턴근무계획!$M$3:$R$402,$AC54,출력_인턴현황!$G$3)&amp;"")</f>
        <v/>
      </c>
      <c r="AE54" s="10">
        <f>IF($B54="","",IF($M54&lt;&gt;"",$M54,IF(IF($AQ54="",FALSE,INDEX(출력_구리근무자!$J$6:$J$305,$AQ54)="구리독자"),"구리병원",IF($AF54&lt;&gt;"",IF(LEFT(INDEX(입력_파견수련계획!$R$4:$R$803,$AF54),1)&lt;&gt;"⚠",INDEX(입력_파견수련계획!$R$4:$R$803,$AF54),IF($H54="","",IF(RIGHT($H54,2)="병원",$H54,$H54&amp;"병원"))),IF($H54="","",IF(RIGHT($H54,2)="병원",$H54,$H54&amp;"병원"))))))</f>
        <v/>
      </c>
      <c r="AF54" s="10">
        <f>IF(OR($B54="",TRIM($J54&amp;"")=""),"",IFERROR(MATCH(TRIM($J54&amp;"")&amp;"|파견중",입력_파견수련계획!$Y$4:$Y$803,0),IFERROR(MATCH(TRIM($J54&amp;"")&amp;"|파견예정",입력_파견수련계획!$Y$4:$Y$803,0),IFERROR(MATCH(TRIM($J54&amp;"")&amp;"|파견종료",입력_파견수련계획!$Y$4:$Y$803,0),""))))</f>
        <v/>
      </c>
      <c r="AG54" s="10">
        <f>IF($B54="","",IF(AND(IF(OR($AC54="",출력_인턴현황!$K$2=""),"",INDEX(입력_인턴근무계획!$M$3:$R$402,$AC54,출력_인턴현황!$K$2)&amp;"")&lt;&gt;"",LEFT(IF(OR($AC54="",출력_인턴현황!$K$2=""),"",INDEX(입력_인턴근무계획!$M$3:$R$402,$AC54,출력_인턴현황!$K$2)&amp;""),1)&lt;&gt;"⚠"),LEFT(IF(OR($AC54="",출력_인턴현황!$K$2=""),"",INDEX(입력_인턴근무계획!$M$3:$R$402,$AC54,출력_인턴현황!$K$2)&amp;""),FIND(" ",IF(OR($AC54="",출력_인턴현황!$K$2=""),"",INDEX(입력_인턴근무계획!$M$3:$R$402,$AC54,출력_인턴현황!$K$2)&amp;""))-1),$AE54))</f>
        <v/>
      </c>
      <c r="AH54" s="17">
        <f>IF($B54="","",IF($AQ54&lt;&gt;"",MAX(0,DAY(EOMONTH(출력_요약!$B$3,0))-N($AR54)),IF(TRIM($J54&amp;"")="",0,SUMPRODUCT((입력_파견수련계획!$Q$4:$Q$803=TRIM($J54&amp;""))*(입력_파견수련계획!$S$4:$S$803="서울병원")*입력_파견수련계획!$W$4:$W$803))+IF($AG54="서울병원",MAX(0,DAY(EOMONTH(출력_요약!$B$3,0))-N($X54)),0)))</f>
        <v/>
      </c>
      <c r="AI54" s="17">
        <f>IF($B54="","",IF($AQ54&lt;&gt;"",N($AR54),IF(TRIM($J54&amp;"")="",0,SUMPRODUCT((입력_파견수련계획!$Q$4:$Q$803=TRIM($J54&amp;""))*(입력_파견수련계획!$S$4:$S$803="구리병원")*입력_파견수련계획!$W$4:$W$803))+IF($AG54="구리병원",MAX(0,DAY(EOMONTH(출력_요약!$B$3,0))-N($X54)),0)))</f>
        <v/>
      </c>
      <c r="AJ54" s="10">
        <f>IF(OR($B54="",TRIM($J54&amp;"")=""),"",IFERROR(MATCH(TRIM($J54&amp;"")&amp;"|월",입력_파견수련계획!$Z$4:$Z$803,0),""))</f>
        <v/>
      </c>
      <c r="AK54" s="10">
        <f>IF(OR($B54="",TRIM($J54&amp;"")=""),"",IFERROR(MATCH(TRIM($J54&amp;"")&amp;"|다기관",입력_파견수련계획!$AE$4:$AE$803,0),""))</f>
        <v/>
      </c>
      <c r="AL54" s="10">
        <f>IF($AK54="","","다기관 "&amp;TEXT(INDEX(입력_파견수련계획!$AB$4:$AB$803,$AK54),"yyyy-mm-dd")&amp;"~"&amp;IF(ISNUMBER(INDEX(입력_파견수련계획!$AC$4:$AC$803,$AK54)),TEXT(INDEX(입력_파견수련계획!$AC$4:$AC$803,$AK54),"yyyy-mm-dd"),""))</f>
        <v/>
      </c>
      <c r="AM54" s="10">
        <f>IF($Y54="서울병원",COUNTIF($Y$2:$Y54,"서울병원"),"")</f>
        <v/>
      </c>
      <c r="AN54" s="10">
        <f>IF(LEFT($Y54,1)="⚠",COUNTIF($Y$2:$Y54,"⚠*"),"")</f>
        <v/>
      </c>
      <c r="AO54" s="10">
        <f>IF(OR($B54="",$Y54=""),"",IF(IF(TRIM($J54&amp;"")="",0,SUMPRODUCT((입력_파견수련계획!$Q$4:$Q$803=TRIM($J54&amp;""))*입력_파견수련계획!$AD$4:$AD$803))&gt;0,"다기관 기간 → 소속병원 지급",IF(AND(N($X54)&lt;=0,$AQ54=""),"파견 없음 → 그 달 근무병원 지급",IF($AH54+$AI54=DAY(EOMONTH(출력_요약!$B$3,0)),"서울 "&amp;$AH54&amp;"일 / 구리 "&amp;$AI54&amp;"일"&amp;IF($AQ54&lt;&gt;""," (구리 근무자명단 반영)","")&amp;" → 15일 이상 근무 병원 지급","타 병원 포함 → "&amp;IF($AJ54="","소속",INDEX(입력_파견수련계획!$T$4:$T$803,$AJ54))&amp;" 규칙"))))</f>
        <v/>
      </c>
      <c r="AP54" s="10">
        <f>IF($B54="","",$C54&amp;"|"&amp;$F54)</f>
        <v/>
      </c>
      <c r="AQ54" s="10">
        <f>IF($B54="","",IFERROR(MATCH(ROW()-1,출력_구리근무자!$K$6:$K$305,0),""))</f>
        <v/>
      </c>
      <c r="AR54" s="10">
        <f>IF($AQ54="","",INDEX(출력_구리근무자!$H$6:$H$305,$AQ54))</f>
        <v/>
      </c>
    </row>
    <row r="55">
      <c r="A55" s="10">
        <f>IF(B55="","",ROW()-1)</f>
        <v/>
      </c>
      <c r="B55" s="19" t="n"/>
      <c r="C55" s="10">
        <f>IF($AB55="","",IF(INDEX(입력_기본자료!$C$2:$C$1001,$AB55)="","",INDEX(입력_기본자료!$C$2:$C$1001,$AB55)))</f>
        <v/>
      </c>
      <c r="D55" s="10">
        <f>IF($AB55="","",IF(INDEX(입력_기본자료!$J$2:$J$1001,$AB55)="","",INDEX(입력_기본자료!$J$2:$J$1001,$AB55)))</f>
        <v/>
      </c>
      <c r="E55" s="11">
        <f>IF($AB55="","",IF(INDEX(입력_기본자료!$K$2:$K$1001,$AB55)="","",IF(NOT(ISNUMBER(INDEX(입력_기본자료!$K$2:$K$1001,$AB55))),INDEX(입력_기본자료!$K$2:$K$1001,$AB55),IF(INDEX(입력_기본자료!$K$2:$K$1001,$AB55)&lt;1000000,INDEX(입력_기본자료!$K$2:$K$1001,$AB55),IF(AND(INDEX(입력_기본자료!$K$2:$K$1001,$AB55)&gt;=10000101,INT(MOD(INDEX(입력_기본자료!$K$2:$K$1001,$AB55),10000)/100)&gt;=1,INT(MOD(INDEX(입력_기본자료!$K$2:$K$1001,$AB55),10000)/100)&lt;=12,MOD(INDEX(입력_기본자료!$K$2:$K$1001,$AB55),100)&gt;=1,MOD(INDEX(입력_기본자료!$K$2:$K$1001,$AB55),100)&lt;=31),DATE(INT(INDEX(입력_기본자료!$K$2:$K$1001,$AB55)/10000),INT(MOD(INDEX(입력_기본자료!$K$2:$K$1001,$AB55),10000)/100),MOD(INDEX(입력_기본자료!$K$2:$K$1001,$AB55),100)),INDEX(입력_기본자료!$K$2:$K$1001,$AB55)&amp;"")))))</f>
        <v/>
      </c>
      <c r="F55" s="10">
        <f>IF($AB55="","",IF(INDEX(입력_기본자료!$D$2:$D$1001,$AB55)="","",INDEX(입력_기본자료!$D$2:$D$1001,$AB55)))</f>
        <v/>
      </c>
      <c r="G55" s="10">
        <f>IF($AB55="","",IF(INDEX(입력_기본자료!$E$2:$E$1001,$AB55)="","",INDEX(입력_기본자료!$E$2:$E$1001,$AB55)))</f>
        <v/>
      </c>
      <c r="H55" s="10">
        <f>IF($AB55="","",IF(INDEX(입력_기본자료!$F$2:$F$1001,$AB55)="","",INDEX(입력_기본자료!$F$2:$F$1001,$AB55)))</f>
        <v/>
      </c>
      <c r="I55" s="11">
        <f>IF($AB55="","",IF(INDEX(입력_기본자료!$G$2:$G$1001,$AB55)="","",IF(NOT(ISNUMBER(INDEX(입력_기본자료!$G$2:$G$1001,$AB55))),INDEX(입력_기본자료!$G$2:$G$1001,$AB55),IF(INDEX(입력_기본자료!$G$2:$G$1001,$AB55)&lt;1000000,INDEX(입력_기본자료!$G$2:$G$1001,$AB55),IF(AND(INDEX(입력_기본자료!$G$2:$G$1001,$AB55)&gt;=10000101,INT(MOD(INDEX(입력_기본자료!$G$2:$G$1001,$AB55),10000)/100)&gt;=1,INT(MOD(INDEX(입력_기본자료!$G$2:$G$1001,$AB55),10000)/100)&lt;=12,MOD(INDEX(입력_기본자료!$G$2:$G$1001,$AB55),100)&gt;=1,MOD(INDEX(입력_기본자료!$G$2:$G$1001,$AB55),100)&lt;=31),DATE(INT(INDEX(입력_기본자료!$G$2:$G$1001,$AB55)/10000),INT(MOD(INDEX(입력_기본자료!$G$2:$G$1001,$AB55),10000)/100),MOD(INDEX(입력_기본자료!$G$2:$G$1001,$AB55),100)),INDEX(입력_기본자료!$G$2:$G$1001,$AB55)&amp;"")))))</f>
        <v/>
      </c>
      <c r="J55" s="10">
        <f>IF($AB55="","",IF(INDEX(입력_기본자료!$H$2:$H$1001,$AB55)="","",INDEX(입력_기본자료!$H$2:$H$1001,$AB55)))</f>
        <v/>
      </c>
      <c r="K55" s="10">
        <f>IF($AB55="","",IF(INDEX(입력_기본자료!$I$2:$I$1001,$AB55)="","",INDEX(입력_기본자료!$I$2:$I$1001,$AB55)))</f>
        <v/>
      </c>
      <c r="L55" s="10">
        <f>IF($AB55="","",IF(INDEX(입력_기본자료!$A$2:$A$1001,$AB55)="","",INDEX(입력_기본자료!$A$2:$A$1001,$AB55)))</f>
        <v/>
      </c>
      <c r="M55" s="15" t="n"/>
      <c r="N55" s="10">
        <f>IF($B55="","",IF(AND($U55="파견중",$Q55&lt;&gt;""),$Q55,IF(AND($AD55&lt;&gt;"",LEFT($AD55,1)&lt;&gt;"⚠"),LEFT($AD55,FIND(" ",$AD55)-1),IF($H55="","",IF(RIGHT($H55,2)="병원",$H55,$H55&amp;"병원")))))</f>
        <v/>
      </c>
      <c r="O55" s="10">
        <f>IF($B55="","",IF(AND($U55="파견중",$Q55&lt;&gt;""),IF($R55&lt;&gt;"",$R55,"파견과 미입력"),IF(AND($AD55&lt;&gt;"",LEFT($AD55,1)&lt;&gt;"⚠"),MID($AD55,FIND(" ",$AD55)+1,60),IF($F55="","",IF($F55="인턴","수련교육부(인턴)",$F55)))))</f>
        <v/>
      </c>
      <c r="P55" s="10">
        <f>IF($B55="","",IF($AK55&lt;&gt;"",IF(AND(TODAY()&gt;=INDEX(입력_파견수련계획!$AB$4:$AB$803,$AK55),OR(NOT(ISNUMBER(INDEX(입력_파견수련계획!$AC$4:$AC$803,$AK55))),TODAY()&lt;=INDEX(입력_파견수련계획!$AC$4:$AC$803,$AK55))),"다기관",IF($AF55="","",INDEX(입력_파견수련계획!$T$4:$T$803,$AF55))),IF($AF55="","",INDEX(입력_파견수련계획!$T$4:$T$803,$AF55))))</f>
        <v/>
      </c>
      <c r="Q55" s="10">
        <f>IF($AF55="","",INDEX(입력_파견수련계획!$S$4:$S$803,$AF55))</f>
        <v/>
      </c>
      <c r="R55" s="10">
        <f>IF($AF55="","",INDEX(입력_파견수련계획!$U$4:$U$803,$AF55))</f>
        <v/>
      </c>
      <c r="S55" s="11">
        <f>IF($AF55="","",IF(INDEX(입력_파견수련계획!$H$4:$H$803,$AF55)="","",INDEX(입력_파견수련계획!$H$4:$H$803,$AF55)))</f>
        <v/>
      </c>
      <c r="T55" s="11">
        <f>IF($AF55="","",IF(INDEX(입력_파견수련계획!$I$4:$I$803,$AF55)="","",INDEX(입력_파견수련계획!$I$4:$I$803,$AF55)))</f>
        <v/>
      </c>
      <c r="U55" s="10">
        <f>IF($AF55="","",INDEX(입력_파견수련계획!$X$4:$X$803,$AF55))</f>
        <v/>
      </c>
      <c r="V55" s="17">
        <f>IF($AF55="","",INDEX(입력_파견수련계획!$V$4:$V$803,$AF55))</f>
        <v/>
      </c>
      <c r="W55" s="17">
        <f>IF(AND($U55="파견중",$T55&lt;&gt;""),$T55-TODAY(),"")</f>
        <v/>
      </c>
      <c r="X55" s="17">
        <f>IF(OR($B55="",TRIM($J55&amp;"")=""),"",SUMPRODUCT((입력_파견수련계획!$Q$4:$Q$803=TRIM($J55&amp;""))*입력_파견수련계획!$W$4:$W$803))</f>
        <v/>
      </c>
      <c r="Y55" s="10">
        <f>IF($B55="","",IF($AG55="","",IF(IF(TRIM($J55&amp;"")="",0,SUMPRODUCT((입력_파견수련계획!$Q$4:$Q$803=TRIM($J55&amp;""))*입력_파견수련계획!$AD$4:$AD$803))&gt;0,$AE55,IF(AND(N($X55)&lt;=0,$AQ55=""),$AG55,IF($AH55+$AI55=DAY(EOMONTH(출력_요약!$B$3,0)),IF(AND($AH55&gt;=출력_요약!$E$3,$AI55&lt;출력_요약!$E$3),"서울병원",IF(AND($AI55&gt;=출력_요약!$E$3,$AH55&lt;출력_요약!$E$3),"구리병원","⚠15일 판정불가(서울 "&amp;$AH55&amp;"일/구리 "&amp;$AI55&amp;"일)")),IF($AJ55="",$AE55,IF(INDEX(입력_파견수련계획!$T$4:$T$803,$AJ55)="통합수련",INDEX(입력_파견수련계획!$S$4:$S$803,$AJ55),$AE55)))))))</f>
        <v/>
      </c>
      <c r="Z55" s="20">
        <f>IF($B55="","",IF($AB55="","기본자료에 없는 사번",IF(COUNTIF($B$2:$B$401,$B55)&gt;1,"중복 사번",IF($AE55="","소속(입사장소) 입력",IF(IF(TRIM($J55&amp;"")="",0,SUMPRODUCT((입력_파견수련계획!$Q$4:$Q$803=TRIM($J55&amp;""))*(입력_파견수련계획!$AA$4:$AA$803&lt;&gt;"")))&gt;0,"파견수련계획 입력오류 확인",IF(LEFT($Y55,1)="⚠","서울·구리 15일 판정 불가(양쪽 모두 이상/미만)",IF(IF($AC55="",0,N(INDEX(입력_인턴근무계획!$T$3:$T$402,$AC55)))&gt;0,"인턴계획 입력오류 확인",IF(AND($AQ55&lt;&gt;"",$AG55&lt;&gt;"구리병원",IF(TRIM($J55&amp;"")="",0,SUMPRODUCT((입력_파견수련계획!$Q$4:$Q$803=TRIM($J55&amp;""))*(입력_파견수련계획!$S$4:$S$803="구리병원")*입력_파견수련계획!$W$4:$W$803))=0),"구리 근무자명단에만 있음(파견수련계획 확인)",IF(AND($AC55&lt;&gt;"",$U55&lt;&gt;"파견중",$N55&lt;&gt;$AE55),"인턴 타지역 근무: 파견 여부 확인","정상")))))))))</f>
        <v/>
      </c>
      <c r="AA55" s="5" t="n"/>
      <c r="AB55" s="10">
        <f>IF($B55="","",IFERROR(MATCH($B55,입력_기본자료!$B$2:$B$1001,0),IFERROR(MATCH($B55&amp;"",입력_기본자료!$B$2:$B$1001,0),IFERROR(MATCH(VALUE($B55),입력_기본자료!$B$2:$B$1001,0),""))))</f>
        <v/>
      </c>
      <c r="AC55" s="10">
        <f>IF($B55="","",IFERROR(MATCH($B55,입력_인턴근무계획!$D$3:$D$402,0),IFERROR(MATCH($B55&amp;"",입력_인턴근무계획!$D$3:$D$402,0),IFERROR(MATCH(VALUE($B55),입력_인턴근무계획!$D$3:$D$402,0),""))))</f>
        <v/>
      </c>
      <c r="AD55" s="10">
        <f>IF(OR($AC55="",출력_인턴현황!$G$3=""),"",INDEX(입력_인턴근무계획!$M$3:$R$402,$AC55,출력_인턴현황!$G$3)&amp;"")</f>
        <v/>
      </c>
      <c r="AE55" s="10">
        <f>IF($B55="","",IF($M55&lt;&gt;"",$M55,IF(IF($AQ55="",FALSE,INDEX(출력_구리근무자!$J$6:$J$305,$AQ55)="구리독자"),"구리병원",IF($AF55&lt;&gt;"",IF(LEFT(INDEX(입력_파견수련계획!$R$4:$R$803,$AF55),1)&lt;&gt;"⚠",INDEX(입력_파견수련계획!$R$4:$R$803,$AF55),IF($H55="","",IF(RIGHT($H55,2)="병원",$H55,$H55&amp;"병원"))),IF($H55="","",IF(RIGHT($H55,2)="병원",$H55,$H55&amp;"병원"))))))</f>
        <v/>
      </c>
      <c r="AF55" s="10">
        <f>IF(OR($B55="",TRIM($J55&amp;"")=""),"",IFERROR(MATCH(TRIM($J55&amp;"")&amp;"|파견중",입력_파견수련계획!$Y$4:$Y$803,0),IFERROR(MATCH(TRIM($J55&amp;"")&amp;"|파견예정",입력_파견수련계획!$Y$4:$Y$803,0),IFERROR(MATCH(TRIM($J55&amp;"")&amp;"|파견종료",입력_파견수련계획!$Y$4:$Y$803,0),""))))</f>
        <v/>
      </c>
      <c r="AG55" s="10">
        <f>IF($B55="","",IF(AND(IF(OR($AC55="",출력_인턴현황!$K$2=""),"",INDEX(입력_인턴근무계획!$M$3:$R$402,$AC55,출력_인턴현황!$K$2)&amp;"")&lt;&gt;"",LEFT(IF(OR($AC55="",출력_인턴현황!$K$2=""),"",INDEX(입력_인턴근무계획!$M$3:$R$402,$AC55,출력_인턴현황!$K$2)&amp;""),1)&lt;&gt;"⚠"),LEFT(IF(OR($AC55="",출력_인턴현황!$K$2=""),"",INDEX(입력_인턴근무계획!$M$3:$R$402,$AC55,출력_인턴현황!$K$2)&amp;""),FIND(" ",IF(OR($AC55="",출력_인턴현황!$K$2=""),"",INDEX(입력_인턴근무계획!$M$3:$R$402,$AC55,출력_인턴현황!$K$2)&amp;""))-1),$AE55))</f>
        <v/>
      </c>
      <c r="AH55" s="17">
        <f>IF($B55="","",IF($AQ55&lt;&gt;"",MAX(0,DAY(EOMONTH(출력_요약!$B$3,0))-N($AR55)),IF(TRIM($J55&amp;"")="",0,SUMPRODUCT((입력_파견수련계획!$Q$4:$Q$803=TRIM($J55&amp;""))*(입력_파견수련계획!$S$4:$S$803="서울병원")*입력_파견수련계획!$W$4:$W$803))+IF($AG55="서울병원",MAX(0,DAY(EOMONTH(출력_요약!$B$3,0))-N($X55)),0)))</f>
        <v/>
      </c>
      <c r="AI55" s="17">
        <f>IF($B55="","",IF($AQ55&lt;&gt;"",N($AR55),IF(TRIM($J55&amp;"")="",0,SUMPRODUCT((입력_파견수련계획!$Q$4:$Q$803=TRIM($J55&amp;""))*(입력_파견수련계획!$S$4:$S$803="구리병원")*입력_파견수련계획!$W$4:$W$803))+IF($AG55="구리병원",MAX(0,DAY(EOMONTH(출력_요약!$B$3,0))-N($X55)),0)))</f>
        <v/>
      </c>
      <c r="AJ55" s="10">
        <f>IF(OR($B55="",TRIM($J55&amp;"")=""),"",IFERROR(MATCH(TRIM($J55&amp;"")&amp;"|월",입력_파견수련계획!$Z$4:$Z$803,0),""))</f>
        <v/>
      </c>
      <c r="AK55" s="10">
        <f>IF(OR($B55="",TRIM($J55&amp;"")=""),"",IFERROR(MATCH(TRIM($J55&amp;"")&amp;"|다기관",입력_파견수련계획!$AE$4:$AE$803,0),""))</f>
        <v/>
      </c>
      <c r="AL55" s="10">
        <f>IF($AK55="","","다기관 "&amp;TEXT(INDEX(입력_파견수련계획!$AB$4:$AB$803,$AK55),"yyyy-mm-dd")&amp;"~"&amp;IF(ISNUMBER(INDEX(입력_파견수련계획!$AC$4:$AC$803,$AK55)),TEXT(INDEX(입력_파견수련계획!$AC$4:$AC$803,$AK55),"yyyy-mm-dd"),""))</f>
        <v/>
      </c>
      <c r="AM55" s="10">
        <f>IF($Y55="서울병원",COUNTIF($Y$2:$Y55,"서울병원"),"")</f>
        <v/>
      </c>
      <c r="AN55" s="10">
        <f>IF(LEFT($Y55,1)="⚠",COUNTIF($Y$2:$Y55,"⚠*"),"")</f>
        <v/>
      </c>
      <c r="AO55" s="10">
        <f>IF(OR($B55="",$Y55=""),"",IF(IF(TRIM($J55&amp;"")="",0,SUMPRODUCT((입력_파견수련계획!$Q$4:$Q$803=TRIM($J55&amp;""))*입력_파견수련계획!$AD$4:$AD$803))&gt;0,"다기관 기간 → 소속병원 지급",IF(AND(N($X55)&lt;=0,$AQ55=""),"파견 없음 → 그 달 근무병원 지급",IF($AH55+$AI55=DAY(EOMONTH(출력_요약!$B$3,0)),"서울 "&amp;$AH55&amp;"일 / 구리 "&amp;$AI55&amp;"일"&amp;IF($AQ55&lt;&gt;""," (구리 근무자명단 반영)","")&amp;" → 15일 이상 근무 병원 지급","타 병원 포함 → "&amp;IF($AJ55="","소속",INDEX(입력_파견수련계획!$T$4:$T$803,$AJ55))&amp;" 규칙"))))</f>
        <v/>
      </c>
      <c r="AP55" s="10">
        <f>IF($B55="","",$C55&amp;"|"&amp;$F55)</f>
        <v/>
      </c>
      <c r="AQ55" s="10">
        <f>IF($B55="","",IFERROR(MATCH(ROW()-1,출력_구리근무자!$K$6:$K$305,0),""))</f>
        <v/>
      </c>
      <c r="AR55" s="10">
        <f>IF($AQ55="","",INDEX(출력_구리근무자!$H$6:$H$305,$AQ55))</f>
        <v/>
      </c>
    </row>
    <row r="56">
      <c r="A56" s="10">
        <f>IF(B56="","",ROW()-1)</f>
        <v/>
      </c>
      <c r="B56" s="19" t="n"/>
      <c r="C56" s="10">
        <f>IF($AB56="","",IF(INDEX(입력_기본자료!$C$2:$C$1001,$AB56)="","",INDEX(입력_기본자료!$C$2:$C$1001,$AB56)))</f>
        <v/>
      </c>
      <c r="D56" s="10">
        <f>IF($AB56="","",IF(INDEX(입력_기본자료!$J$2:$J$1001,$AB56)="","",INDEX(입력_기본자료!$J$2:$J$1001,$AB56)))</f>
        <v/>
      </c>
      <c r="E56" s="11">
        <f>IF($AB56="","",IF(INDEX(입력_기본자료!$K$2:$K$1001,$AB56)="","",IF(NOT(ISNUMBER(INDEX(입력_기본자료!$K$2:$K$1001,$AB56))),INDEX(입력_기본자료!$K$2:$K$1001,$AB56),IF(INDEX(입력_기본자료!$K$2:$K$1001,$AB56)&lt;1000000,INDEX(입력_기본자료!$K$2:$K$1001,$AB56),IF(AND(INDEX(입력_기본자료!$K$2:$K$1001,$AB56)&gt;=10000101,INT(MOD(INDEX(입력_기본자료!$K$2:$K$1001,$AB56),10000)/100)&gt;=1,INT(MOD(INDEX(입력_기본자료!$K$2:$K$1001,$AB56),10000)/100)&lt;=12,MOD(INDEX(입력_기본자료!$K$2:$K$1001,$AB56),100)&gt;=1,MOD(INDEX(입력_기본자료!$K$2:$K$1001,$AB56),100)&lt;=31),DATE(INT(INDEX(입력_기본자료!$K$2:$K$1001,$AB56)/10000),INT(MOD(INDEX(입력_기본자료!$K$2:$K$1001,$AB56),10000)/100),MOD(INDEX(입력_기본자료!$K$2:$K$1001,$AB56),100)),INDEX(입력_기본자료!$K$2:$K$1001,$AB56)&amp;"")))))</f>
        <v/>
      </c>
      <c r="F56" s="10">
        <f>IF($AB56="","",IF(INDEX(입력_기본자료!$D$2:$D$1001,$AB56)="","",INDEX(입력_기본자료!$D$2:$D$1001,$AB56)))</f>
        <v/>
      </c>
      <c r="G56" s="10">
        <f>IF($AB56="","",IF(INDEX(입력_기본자료!$E$2:$E$1001,$AB56)="","",INDEX(입력_기본자료!$E$2:$E$1001,$AB56)))</f>
        <v/>
      </c>
      <c r="H56" s="10">
        <f>IF($AB56="","",IF(INDEX(입력_기본자료!$F$2:$F$1001,$AB56)="","",INDEX(입력_기본자료!$F$2:$F$1001,$AB56)))</f>
        <v/>
      </c>
      <c r="I56" s="11">
        <f>IF($AB56="","",IF(INDEX(입력_기본자료!$G$2:$G$1001,$AB56)="","",IF(NOT(ISNUMBER(INDEX(입력_기본자료!$G$2:$G$1001,$AB56))),INDEX(입력_기본자료!$G$2:$G$1001,$AB56),IF(INDEX(입력_기본자료!$G$2:$G$1001,$AB56)&lt;1000000,INDEX(입력_기본자료!$G$2:$G$1001,$AB56),IF(AND(INDEX(입력_기본자료!$G$2:$G$1001,$AB56)&gt;=10000101,INT(MOD(INDEX(입력_기본자료!$G$2:$G$1001,$AB56),10000)/100)&gt;=1,INT(MOD(INDEX(입력_기본자료!$G$2:$G$1001,$AB56),10000)/100)&lt;=12,MOD(INDEX(입력_기본자료!$G$2:$G$1001,$AB56),100)&gt;=1,MOD(INDEX(입력_기본자료!$G$2:$G$1001,$AB56),100)&lt;=31),DATE(INT(INDEX(입력_기본자료!$G$2:$G$1001,$AB56)/10000),INT(MOD(INDEX(입력_기본자료!$G$2:$G$1001,$AB56),10000)/100),MOD(INDEX(입력_기본자료!$G$2:$G$1001,$AB56),100)),INDEX(입력_기본자료!$G$2:$G$1001,$AB56)&amp;"")))))</f>
        <v/>
      </c>
      <c r="J56" s="10">
        <f>IF($AB56="","",IF(INDEX(입력_기본자료!$H$2:$H$1001,$AB56)="","",INDEX(입력_기본자료!$H$2:$H$1001,$AB56)))</f>
        <v/>
      </c>
      <c r="K56" s="10">
        <f>IF($AB56="","",IF(INDEX(입력_기본자료!$I$2:$I$1001,$AB56)="","",INDEX(입력_기본자료!$I$2:$I$1001,$AB56)))</f>
        <v/>
      </c>
      <c r="L56" s="10">
        <f>IF($AB56="","",IF(INDEX(입력_기본자료!$A$2:$A$1001,$AB56)="","",INDEX(입력_기본자료!$A$2:$A$1001,$AB56)))</f>
        <v/>
      </c>
      <c r="M56" s="15" t="n"/>
      <c r="N56" s="10">
        <f>IF($B56="","",IF(AND($U56="파견중",$Q56&lt;&gt;""),$Q56,IF(AND($AD56&lt;&gt;"",LEFT($AD56,1)&lt;&gt;"⚠"),LEFT($AD56,FIND(" ",$AD56)-1),IF($H56="","",IF(RIGHT($H56,2)="병원",$H56,$H56&amp;"병원")))))</f>
        <v/>
      </c>
      <c r="O56" s="10">
        <f>IF($B56="","",IF(AND($U56="파견중",$Q56&lt;&gt;""),IF($R56&lt;&gt;"",$R56,"파견과 미입력"),IF(AND($AD56&lt;&gt;"",LEFT($AD56,1)&lt;&gt;"⚠"),MID($AD56,FIND(" ",$AD56)+1,60),IF($F56="","",IF($F56="인턴","수련교육부(인턴)",$F56)))))</f>
        <v/>
      </c>
      <c r="P56" s="10">
        <f>IF($B56="","",IF($AK56&lt;&gt;"",IF(AND(TODAY()&gt;=INDEX(입력_파견수련계획!$AB$4:$AB$803,$AK56),OR(NOT(ISNUMBER(INDEX(입력_파견수련계획!$AC$4:$AC$803,$AK56))),TODAY()&lt;=INDEX(입력_파견수련계획!$AC$4:$AC$803,$AK56))),"다기관",IF($AF56="","",INDEX(입력_파견수련계획!$T$4:$T$803,$AF56))),IF($AF56="","",INDEX(입력_파견수련계획!$T$4:$T$803,$AF56))))</f>
        <v/>
      </c>
      <c r="Q56" s="10">
        <f>IF($AF56="","",INDEX(입력_파견수련계획!$S$4:$S$803,$AF56))</f>
        <v/>
      </c>
      <c r="R56" s="10">
        <f>IF($AF56="","",INDEX(입력_파견수련계획!$U$4:$U$803,$AF56))</f>
        <v/>
      </c>
      <c r="S56" s="11">
        <f>IF($AF56="","",IF(INDEX(입력_파견수련계획!$H$4:$H$803,$AF56)="","",INDEX(입력_파견수련계획!$H$4:$H$803,$AF56)))</f>
        <v/>
      </c>
      <c r="T56" s="11">
        <f>IF($AF56="","",IF(INDEX(입력_파견수련계획!$I$4:$I$803,$AF56)="","",INDEX(입력_파견수련계획!$I$4:$I$803,$AF56)))</f>
        <v/>
      </c>
      <c r="U56" s="10">
        <f>IF($AF56="","",INDEX(입력_파견수련계획!$X$4:$X$803,$AF56))</f>
        <v/>
      </c>
      <c r="V56" s="17">
        <f>IF($AF56="","",INDEX(입력_파견수련계획!$V$4:$V$803,$AF56))</f>
        <v/>
      </c>
      <c r="W56" s="17">
        <f>IF(AND($U56="파견중",$T56&lt;&gt;""),$T56-TODAY(),"")</f>
        <v/>
      </c>
      <c r="X56" s="17">
        <f>IF(OR($B56="",TRIM($J56&amp;"")=""),"",SUMPRODUCT((입력_파견수련계획!$Q$4:$Q$803=TRIM($J56&amp;""))*입력_파견수련계획!$W$4:$W$803))</f>
        <v/>
      </c>
      <c r="Y56" s="10">
        <f>IF($B56="","",IF($AG56="","",IF(IF(TRIM($J56&amp;"")="",0,SUMPRODUCT((입력_파견수련계획!$Q$4:$Q$803=TRIM($J56&amp;""))*입력_파견수련계획!$AD$4:$AD$803))&gt;0,$AE56,IF(AND(N($X56)&lt;=0,$AQ56=""),$AG56,IF($AH56+$AI56=DAY(EOMONTH(출력_요약!$B$3,0)),IF(AND($AH56&gt;=출력_요약!$E$3,$AI56&lt;출력_요약!$E$3),"서울병원",IF(AND($AI56&gt;=출력_요약!$E$3,$AH56&lt;출력_요약!$E$3),"구리병원","⚠15일 판정불가(서울 "&amp;$AH56&amp;"일/구리 "&amp;$AI56&amp;"일)")),IF($AJ56="",$AE56,IF(INDEX(입력_파견수련계획!$T$4:$T$803,$AJ56)="통합수련",INDEX(입력_파견수련계획!$S$4:$S$803,$AJ56),$AE56)))))))</f>
        <v/>
      </c>
      <c r="Z56" s="20">
        <f>IF($B56="","",IF($AB56="","기본자료에 없는 사번",IF(COUNTIF($B$2:$B$401,$B56)&gt;1,"중복 사번",IF($AE56="","소속(입사장소) 입력",IF(IF(TRIM($J56&amp;"")="",0,SUMPRODUCT((입력_파견수련계획!$Q$4:$Q$803=TRIM($J56&amp;""))*(입력_파견수련계획!$AA$4:$AA$803&lt;&gt;"")))&gt;0,"파견수련계획 입력오류 확인",IF(LEFT($Y56,1)="⚠","서울·구리 15일 판정 불가(양쪽 모두 이상/미만)",IF(IF($AC56="",0,N(INDEX(입력_인턴근무계획!$T$3:$T$402,$AC56)))&gt;0,"인턴계획 입력오류 확인",IF(AND($AQ56&lt;&gt;"",$AG56&lt;&gt;"구리병원",IF(TRIM($J56&amp;"")="",0,SUMPRODUCT((입력_파견수련계획!$Q$4:$Q$803=TRIM($J56&amp;""))*(입력_파견수련계획!$S$4:$S$803="구리병원")*입력_파견수련계획!$W$4:$W$803))=0),"구리 근무자명단에만 있음(파견수련계획 확인)",IF(AND($AC56&lt;&gt;"",$U56&lt;&gt;"파견중",$N56&lt;&gt;$AE56),"인턴 타지역 근무: 파견 여부 확인","정상")))))))))</f>
        <v/>
      </c>
      <c r="AA56" s="5" t="n"/>
      <c r="AB56" s="10">
        <f>IF($B56="","",IFERROR(MATCH($B56,입력_기본자료!$B$2:$B$1001,0),IFERROR(MATCH($B56&amp;"",입력_기본자료!$B$2:$B$1001,0),IFERROR(MATCH(VALUE($B56),입력_기본자료!$B$2:$B$1001,0),""))))</f>
        <v/>
      </c>
      <c r="AC56" s="10">
        <f>IF($B56="","",IFERROR(MATCH($B56,입력_인턴근무계획!$D$3:$D$402,0),IFERROR(MATCH($B56&amp;"",입력_인턴근무계획!$D$3:$D$402,0),IFERROR(MATCH(VALUE($B56),입력_인턴근무계획!$D$3:$D$402,0),""))))</f>
        <v/>
      </c>
      <c r="AD56" s="10">
        <f>IF(OR($AC56="",출력_인턴현황!$G$3=""),"",INDEX(입력_인턴근무계획!$M$3:$R$402,$AC56,출력_인턴현황!$G$3)&amp;"")</f>
        <v/>
      </c>
      <c r="AE56" s="10">
        <f>IF($B56="","",IF($M56&lt;&gt;"",$M56,IF(IF($AQ56="",FALSE,INDEX(출력_구리근무자!$J$6:$J$305,$AQ56)="구리독자"),"구리병원",IF($AF56&lt;&gt;"",IF(LEFT(INDEX(입력_파견수련계획!$R$4:$R$803,$AF56),1)&lt;&gt;"⚠",INDEX(입력_파견수련계획!$R$4:$R$803,$AF56),IF($H56="","",IF(RIGHT($H56,2)="병원",$H56,$H56&amp;"병원"))),IF($H56="","",IF(RIGHT($H56,2)="병원",$H56,$H56&amp;"병원"))))))</f>
        <v/>
      </c>
      <c r="AF56" s="10">
        <f>IF(OR($B56="",TRIM($J56&amp;"")=""),"",IFERROR(MATCH(TRIM($J56&amp;"")&amp;"|파견중",입력_파견수련계획!$Y$4:$Y$803,0),IFERROR(MATCH(TRIM($J56&amp;"")&amp;"|파견예정",입력_파견수련계획!$Y$4:$Y$803,0),IFERROR(MATCH(TRIM($J56&amp;"")&amp;"|파견종료",입력_파견수련계획!$Y$4:$Y$803,0),""))))</f>
        <v/>
      </c>
      <c r="AG56" s="10">
        <f>IF($B56="","",IF(AND(IF(OR($AC56="",출력_인턴현황!$K$2=""),"",INDEX(입력_인턴근무계획!$M$3:$R$402,$AC56,출력_인턴현황!$K$2)&amp;"")&lt;&gt;"",LEFT(IF(OR($AC56="",출력_인턴현황!$K$2=""),"",INDEX(입력_인턴근무계획!$M$3:$R$402,$AC56,출력_인턴현황!$K$2)&amp;""),1)&lt;&gt;"⚠"),LEFT(IF(OR($AC56="",출력_인턴현황!$K$2=""),"",INDEX(입력_인턴근무계획!$M$3:$R$402,$AC56,출력_인턴현황!$K$2)&amp;""),FIND(" ",IF(OR($AC56="",출력_인턴현황!$K$2=""),"",INDEX(입력_인턴근무계획!$M$3:$R$402,$AC56,출력_인턴현황!$K$2)&amp;""))-1),$AE56))</f>
        <v/>
      </c>
      <c r="AH56" s="17">
        <f>IF($B56="","",IF($AQ56&lt;&gt;"",MAX(0,DAY(EOMONTH(출력_요약!$B$3,0))-N($AR56)),IF(TRIM($J56&amp;"")="",0,SUMPRODUCT((입력_파견수련계획!$Q$4:$Q$803=TRIM($J56&amp;""))*(입력_파견수련계획!$S$4:$S$803="서울병원")*입력_파견수련계획!$W$4:$W$803))+IF($AG56="서울병원",MAX(0,DAY(EOMONTH(출력_요약!$B$3,0))-N($X56)),0)))</f>
        <v/>
      </c>
      <c r="AI56" s="17">
        <f>IF($B56="","",IF($AQ56&lt;&gt;"",N($AR56),IF(TRIM($J56&amp;"")="",0,SUMPRODUCT((입력_파견수련계획!$Q$4:$Q$803=TRIM($J56&amp;""))*(입력_파견수련계획!$S$4:$S$803="구리병원")*입력_파견수련계획!$W$4:$W$803))+IF($AG56="구리병원",MAX(0,DAY(EOMONTH(출력_요약!$B$3,0))-N($X56)),0)))</f>
        <v/>
      </c>
      <c r="AJ56" s="10">
        <f>IF(OR($B56="",TRIM($J56&amp;"")=""),"",IFERROR(MATCH(TRIM($J56&amp;"")&amp;"|월",입력_파견수련계획!$Z$4:$Z$803,0),""))</f>
        <v/>
      </c>
      <c r="AK56" s="10">
        <f>IF(OR($B56="",TRIM($J56&amp;"")=""),"",IFERROR(MATCH(TRIM($J56&amp;"")&amp;"|다기관",입력_파견수련계획!$AE$4:$AE$803,0),""))</f>
        <v/>
      </c>
      <c r="AL56" s="10">
        <f>IF($AK56="","","다기관 "&amp;TEXT(INDEX(입력_파견수련계획!$AB$4:$AB$803,$AK56),"yyyy-mm-dd")&amp;"~"&amp;IF(ISNUMBER(INDEX(입력_파견수련계획!$AC$4:$AC$803,$AK56)),TEXT(INDEX(입력_파견수련계획!$AC$4:$AC$803,$AK56),"yyyy-mm-dd"),""))</f>
        <v/>
      </c>
      <c r="AM56" s="10">
        <f>IF($Y56="서울병원",COUNTIF($Y$2:$Y56,"서울병원"),"")</f>
        <v/>
      </c>
      <c r="AN56" s="10">
        <f>IF(LEFT($Y56,1)="⚠",COUNTIF($Y$2:$Y56,"⚠*"),"")</f>
        <v/>
      </c>
      <c r="AO56" s="10">
        <f>IF(OR($B56="",$Y56=""),"",IF(IF(TRIM($J56&amp;"")="",0,SUMPRODUCT((입력_파견수련계획!$Q$4:$Q$803=TRIM($J56&amp;""))*입력_파견수련계획!$AD$4:$AD$803))&gt;0,"다기관 기간 → 소속병원 지급",IF(AND(N($X56)&lt;=0,$AQ56=""),"파견 없음 → 그 달 근무병원 지급",IF($AH56+$AI56=DAY(EOMONTH(출력_요약!$B$3,0)),"서울 "&amp;$AH56&amp;"일 / 구리 "&amp;$AI56&amp;"일"&amp;IF($AQ56&lt;&gt;""," (구리 근무자명단 반영)","")&amp;" → 15일 이상 근무 병원 지급","타 병원 포함 → "&amp;IF($AJ56="","소속",INDEX(입력_파견수련계획!$T$4:$T$803,$AJ56))&amp;" 규칙"))))</f>
        <v/>
      </c>
      <c r="AP56" s="10">
        <f>IF($B56="","",$C56&amp;"|"&amp;$F56)</f>
        <v/>
      </c>
      <c r="AQ56" s="10">
        <f>IF($B56="","",IFERROR(MATCH(ROW()-1,출력_구리근무자!$K$6:$K$305,0),""))</f>
        <v/>
      </c>
      <c r="AR56" s="10">
        <f>IF($AQ56="","",INDEX(출력_구리근무자!$H$6:$H$305,$AQ56))</f>
        <v/>
      </c>
    </row>
    <row r="57">
      <c r="A57" s="10">
        <f>IF(B57="","",ROW()-1)</f>
        <v/>
      </c>
      <c r="B57" s="19" t="n"/>
      <c r="C57" s="10">
        <f>IF($AB57="","",IF(INDEX(입력_기본자료!$C$2:$C$1001,$AB57)="","",INDEX(입력_기본자료!$C$2:$C$1001,$AB57)))</f>
        <v/>
      </c>
      <c r="D57" s="10">
        <f>IF($AB57="","",IF(INDEX(입력_기본자료!$J$2:$J$1001,$AB57)="","",INDEX(입력_기본자료!$J$2:$J$1001,$AB57)))</f>
        <v/>
      </c>
      <c r="E57" s="11">
        <f>IF($AB57="","",IF(INDEX(입력_기본자료!$K$2:$K$1001,$AB57)="","",IF(NOT(ISNUMBER(INDEX(입력_기본자료!$K$2:$K$1001,$AB57))),INDEX(입력_기본자료!$K$2:$K$1001,$AB57),IF(INDEX(입력_기본자료!$K$2:$K$1001,$AB57)&lt;1000000,INDEX(입력_기본자료!$K$2:$K$1001,$AB57),IF(AND(INDEX(입력_기본자료!$K$2:$K$1001,$AB57)&gt;=10000101,INT(MOD(INDEX(입력_기본자료!$K$2:$K$1001,$AB57),10000)/100)&gt;=1,INT(MOD(INDEX(입력_기본자료!$K$2:$K$1001,$AB57),10000)/100)&lt;=12,MOD(INDEX(입력_기본자료!$K$2:$K$1001,$AB57),100)&gt;=1,MOD(INDEX(입력_기본자료!$K$2:$K$1001,$AB57),100)&lt;=31),DATE(INT(INDEX(입력_기본자료!$K$2:$K$1001,$AB57)/10000),INT(MOD(INDEX(입력_기본자료!$K$2:$K$1001,$AB57),10000)/100),MOD(INDEX(입력_기본자료!$K$2:$K$1001,$AB57),100)),INDEX(입력_기본자료!$K$2:$K$1001,$AB57)&amp;"")))))</f>
        <v/>
      </c>
      <c r="F57" s="10">
        <f>IF($AB57="","",IF(INDEX(입력_기본자료!$D$2:$D$1001,$AB57)="","",INDEX(입력_기본자료!$D$2:$D$1001,$AB57)))</f>
        <v/>
      </c>
      <c r="G57" s="10">
        <f>IF($AB57="","",IF(INDEX(입력_기본자료!$E$2:$E$1001,$AB57)="","",INDEX(입력_기본자료!$E$2:$E$1001,$AB57)))</f>
        <v/>
      </c>
      <c r="H57" s="10">
        <f>IF($AB57="","",IF(INDEX(입력_기본자료!$F$2:$F$1001,$AB57)="","",INDEX(입력_기본자료!$F$2:$F$1001,$AB57)))</f>
        <v/>
      </c>
      <c r="I57" s="11">
        <f>IF($AB57="","",IF(INDEX(입력_기본자료!$G$2:$G$1001,$AB57)="","",IF(NOT(ISNUMBER(INDEX(입력_기본자료!$G$2:$G$1001,$AB57))),INDEX(입력_기본자료!$G$2:$G$1001,$AB57),IF(INDEX(입력_기본자료!$G$2:$G$1001,$AB57)&lt;1000000,INDEX(입력_기본자료!$G$2:$G$1001,$AB57),IF(AND(INDEX(입력_기본자료!$G$2:$G$1001,$AB57)&gt;=10000101,INT(MOD(INDEX(입력_기본자료!$G$2:$G$1001,$AB57),10000)/100)&gt;=1,INT(MOD(INDEX(입력_기본자료!$G$2:$G$1001,$AB57),10000)/100)&lt;=12,MOD(INDEX(입력_기본자료!$G$2:$G$1001,$AB57),100)&gt;=1,MOD(INDEX(입력_기본자료!$G$2:$G$1001,$AB57),100)&lt;=31),DATE(INT(INDEX(입력_기본자료!$G$2:$G$1001,$AB57)/10000),INT(MOD(INDEX(입력_기본자료!$G$2:$G$1001,$AB57),10000)/100),MOD(INDEX(입력_기본자료!$G$2:$G$1001,$AB57),100)),INDEX(입력_기본자료!$G$2:$G$1001,$AB57)&amp;"")))))</f>
        <v/>
      </c>
      <c r="J57" s="10">
        <f>IF($AB57="","",IF(INDEX(입력_기본자료!$H$2:$H$1001,$AB57)="","",INDEX(입력_기본자료!$H$2:$H$1001,$AB57)))</f>
        <v/>
      </c>
      <c r="K57" s="10">
        <f>IF($AB57="","",IF(INDEX(입력_기본자료!$I$2:$I$1001,$AB57)="","",INDEX(입력_기본자료!$I$2:$I$1001,$AB57)))</f>
        <v/>
      </c>
      <c r="L57" s="10">
        <f>IF($AB57="","",IF(INDEX(입력_기본자료!$A$2:$A$1001,$AB57)="","",INDEX(입력_기본자료!$A$2:$A$1001,$AB57)))</f>
        <v/>
      </c>
      <c r="M57" s="15" t="n"/>
      <c r="N57" s="10">
        <f>IF($B57="","",IF(AND($U57="파견중",$Q57&lt;&gt;""),$Q57,IF(AND($AD57&lt;&gt;"",LEFT($AD57,1)&lt;&gt;"⚠"),LEFT($AD57,FIND(" ",$AD57)-1),IF($H57="","",IF(RIGHT($H57,2)="병원",$H57,$H57&amp;"병원")))))</f>
        <v/>
      </c>
      <c r="O57" s="10">
        <f>IF($B57="","",IF(AND($U57="파견중",$Q57&lt;&gt;""),IF($R57&lt;&gt;"",$R57,"파견과 미입력"),IF(AND($AD57&lt;&gt;"",LEFT($AD57,1)&lt;&gt;"⚠"),MID($AD57,FIND(" ",$AD57)+1,60),IF($F57="","",IF($F57="인턴","수련교육부(인턴)",$F57)))))</f>
        <v/>
      </c>
      <c r="P57" s="10">
        <f>IF($B57="","",IF($AK57&lt;&gt;"",IF(AND(TODAY()&gt;=INDEX(입력_파견수련계획!$AB$4:$AB$803,$AK57),OR(NOT(ISNUMBER(INDEX(입력_파견수련계획!$AC$4:$AC$803,$AK57))),TODAY()&lt;=INDEX(입력_파견수련계획!$AC$4:$AC$803,$AK57))),"다기관",IF($AF57="","",INDEX(입력_파견수련계획!$T$4:$T$803,$AF57))),IF($AF57="","",INDEX(입력_파견수련계획!$T$4:$T$803,$AF57))))</f>
        <v/>
      </c>
      <c r="Q57" s="10">
        <f>IF($AF57="","",INDEX(입력_파견수련계획!$S$4:$S$803,$AF57))</f>
        <v/>
      </c>
      <c r="R57" s="10">
        <f>IF($AF57="","",INDEX(입력_파견수련계획!$U$4:$U$803,$AF57))</f>
        <v/>
      </c>
      <c r="S57" s="11">
        <f>IF($AF57="","",IF(INDEX(입력_파견수련계획!$H$4:$H$803,$AF57)="","",INDEX(입력_파견수련계획!$H$4:$H$803,$AF57)))</f>
        <v/>
      </c>
      <c r="T57" s="11">
        <f>IF($AF57="","",IF(INDEX(입력_파견수련계획!$I$4:$I$803,$AF57)="","",INDEX(입력_파견수련계획!$I$4:$I$803,$AF57)))</f>
        <v/>
      </c>
      <c r="U57" s="10">
        <f>IF($AF57="","",INDEX(입력_파견수련계획!$X$4:$X$803,$AF57))</f>
        <v/>
      </c>
      <c r="V57" s="17">
        <f>IF($AF57="","",INDEX(입력_파견수련계획!$V$4:$V$803,$AF57))</f>
        <v/>
      </c>
      <c r="W57" s="17">
        <f>IF(AND($U57="파견중",$T57&lt;&gt;""),$T57-TODAY(),"")</f>
        <v/>
      </c>
      <c r="X57" s="17">
        <f>IF(OR($B57="",TRIM($J57&amp;"")=""),"",SUMPRODUCT((입력_파견수련계획!$Q$4:$Q$803=TRIM($J57&amp;""))*입력_파견수련계획!$W$4:$W$803))</f>
        <v/>
      </c>
      <c r="Y57" s="10">
        <f>IF($B57="","",IF($AG57="","",IF(IF(TRIM($J57&amp;"")="",0,SUMPRODUCT((입력_파견수련계획!$Q$4:$Q$803=TRIM($J57&amp;""))*입력_파견수련계획!$AD$4:$AD$803))&gt;0,$AE57,IF(AND(N($X57)&lt;=0,$AQ57=""),$AG57,IF($AH57+$AI57=DAY(EOMONTH(출력_요약!$B$3,0)),IF(AND($AH57&gt;=출력_요약!$E$3,$AI57&lt;출력_요약!$E$3),"서울병원",IF(AND($AI57&gt;=출력_요약!$E$3,$AH57&lt;출력_요약!$E$3),"구리병원","⚠15일 판정불가(서울 "&amp;$AH57&amp;"일/구리 "&amp;$AI57&amp;"일)")),IF($AJ57="",$AE57,IF(INDEX(입력_파견수련계획!$T$4:$T$803,$AJ57)="통합수련",INDEX(입력_파견수련계획!$S$4:$S$803,$AJ57),$AE57)))))))</f>
        <v/>
      </c>
      <c r="Z57" s="20">
        <f>IF($B57="","",IF($AB57="","기본자료에 없는 사번",IF(COUNTIF($B$2:$B$401,$B57)&gt;1,"중복 사번",IF($AE57="","소속(입사장소) 입력",IF(IF(TRIM($J57&amp;"")="",0,SUMPRODUCT((입력_파견수련계획!$Q$4:$Q$803=TRIM($J57&amp;""))*(입력_파견수련계획!$AA$4:$AA$803&lt;&gt;"")))&gt;0,"파견수련계획 입력오류 확인",IF(LEFT($Y57,1)="⚠","서울·구리 15일 판정 불가(양쪽 모두 이상/미만)",IF(IF($AC57="",0,N(INDEX(입력_인턴근무계획!$T$3:$T$402,$AC57)))&gt;0,"인턴계획 입력오류 확인",IF(AND($AQ57&lt;&gt;"",$AG57&lt;&gt;"구리병원",IF(TRIM($J57&amp;"")="",0,SUMPRODUCT((입력_파견수련계획!$Q$4:$Q$803=TRIM($J57&amp;""))*(입력_파견수련계획!$S$4:$S$803="구리병원")*입력_파견수련계획!$W$4:$W$803))=0),"구리 근무자명단에만 있음(파견수련계획 확인)",IF(AND($AC57&lt;&gt;"",$U57&lt;&gt;"파견중",$N57&lt;&gt;$AE57),"인턴 타지역 근무: 파견 여부 확인","정상")))))))))</f>
        <v/>
      </c>
      <c r="AA57" s="5" t="n"/>
      <c r="AB57" s="10">
        <f>IF($B57="","",IFERROR(MATCH($B57,입력_기본자료!$B$2:$B$1001,0),IFERROR(MATCH($B57&amp;"",입력_기본자료!$B$2:$B$1001,0),IFERROR(MATCH(VALUE($B57),입력_기본자료!$B$2:$B$1001,0),""))))</f>
        <v/>
      </c>
      <c r="AC57" s="10">
        <f>IF($B57="","",IFERROR(MATCH($B57,입력_인턴근무계획!$D$3:$D$402,0),IFERROR(MATCH($B57&amp;"",입력_인턴근무계획!$D$3:$D$402,0),IFERROR(MATCH(VALUE($B57),입력_인턴근무계획!$D$3:$D$402,0),""))))</f>
        <v/>
      </c>
      <c r="AD57" s="10">
        <f>IF(OR($AC57="",출력_인턴현황!$G$3=""),"",INDEX(입력_인턴근무계획!$M$3:$R$402,$AC57,출력_인턴현황!$G$3)&amp;"")</f>
        <v/>
      </c>
      <c r="AE57" s="10">
        <f>IF($B57="","",IF($M57&lt;&gt;"",$M57,IF(IF($AQ57="",FALSE,INDEX(출력_구리근무자!$J$6:$J$305,$AQ57)="구리독자"),"구리병원",IF($AF57&lt;&gt;"",IF(LEFT(INDEX(입력_파견수련계획!$R$4:$R$803,$AF57),1)&lt;&gt;"⚠",INDEX(입력_파견수련계획!$R$4:$R$803,$AF57),IF($H57="","",IF(RIGHT($H57,2)="병원",$H57,$H57&amp;"병원"))),IF($H57="","",IF(RIGHT($H57,2)="병원",$H57,$H57&amp;"병원"))))))</f>
        <v/>
      </c>
      <c r="AF57" s="10">
        <f>IF(OR($B57="",TRIM($J57&amp;"")=""),"",IFERROR(MATCH(TRIM($J57&amp;"")&amp;"|파견중",입력_파견수련계획!$Y$4:$Y$803,0),IFERROR(MATCH(TRIM($J57&amp;"")&amp;"|파견예정",입력_파견수련계획!$Y$4:$Y$803,0),IFERROR(MATCH(TRIM($J57&amp;"")&amp;"|파견종료",입력_파견수련계획!$Y$4:$Y$803,0),""))))</f>
        <v/>
      </c>
      <c r="AG57" s="10">
        <f>IF($B57="","",IF(AND(IF(OR($AC57="",출력_인턴현황!$K$2=""),"",INDEX(입력_인턴근무계획!$M$3:$R$402,$AC57,출력_인턴현황!$K$2)&amp;"")&lt;&gt;"",LEFT(IF(OR($AC57="",출력_인턴현황!$K$2=""),"",INDEX(입력_인턴근무계획!$M$3:$R$402,$AC57,출력_인턴현황!$K$2)&amp;""),1)&lt;&gt;"⚠"),LEFT(IF(OR($AC57="",출력_인턴현황!$K$2=""),"",INDEX(입력_인턴근무계획!$M$3:$R$402,$AC57,출력_인턴현황!$K$2)&amp;""),FIND(" ",IF(OR($AC57="",출력_인턴현황!$K$2=""),"",INDEX(입력_인턴근무계획!$M$3:$R$402,$AC57,출력_인턴현황!$K$2)&amp;""))-1),$AE57))</f>
        <v/>
      </c>
      <c r="AH57" s="17">
        <f>IF($B57="","",IF($AQ57&lt;&gt;"",MAX(0,DAY(EOMONTH(출력_요약!$B$3,0))-N($AR57)),IF(TRIM($J57&amp;"")="",0,SUMPRODUCT((입력_파견수련계획!$Q$4:$Q$803=TRIM($J57&amp;""))*(입력_파견수련계획!$S$4:$S$803="서울병원")*입력_파견수련계획!$W$4:$W$803))+IF($AG57="서울병원",MAX(0,DAY(EOMONTH(출력_요약!$B$3,0))-N($X57)),0)))</f>
        <v/>
      </c>
      <c r="AI57" s="17">
        <f>IF($B57="","",IF($AQ57&lt;&gt;"",N($AR57),IF(TRIM($J57&amp;"")="",0,SUMPRODUCT((입력_파견수련계획!$Q$4:$Q$803=TRIM($J57&amp;""))*(입력_파견수련계획!$S$4:$S$803="구리병원")*입력_파견수련계획!$W$4:$W$803))+IF($AG57="구리병원",MAX(0,DAY(EOMONTH(출력_요약!$B$3,0))-N($X57)),0)))</f>
        <v/>
      </c>
      <c r="AJ57" s="10">
        <f>IF(OR($B57="",TRIM($J57&amp;"")=""),"",IFERROR(MATCH(TRIM($J57&amp;"")&amp;"|월",입력_파견수련계획!$Z$4:$Z$803,0),""))</f>
        <v/>
      </c>
      <c r="AK57" s="10">
        <f>IF(OR($B57="",TRIM($J57&amp;"")=""),"",IFERROR(MATCH(TRIM($J57&amp;"")&amp;"|다기관",입력_파견수련계획!$AE$4:$AE$803,0),""))</f>
        <v/>
      </c>
      <c r="AL57" s="10">
        <f>IF($AK57="","","다기관 "&amp;TEXT(INDEX(입력_파견수련계획!$AB$4:$AB$803,$AK57),"yyyy-mm-dd")&amp;"~"&amp;IF(ISNUMBER(INDEX(입력_파견수련계획!$AC$4:$AC$803,$AK57)),TEXT(INDEX(입력_파견수련계획!$AC$4:$AC$803,$AK57),"yyyy-mm-dd"),""))</f>
        <v/>
      </c>
      <c r="AM57" s="10">
        <f>IF($Y57="서울병원",COUNTIF($Y$2:$Y57,"서울병원"),"")</f>
        <v/>
      </c>
      <c r="AN57" s="10">
        <f>IF(LEFT($Y57,1)="⚠",COUNTIF($Y$2:$Y57,"⚠*"),"")</f>
        <v/>
      </c>
      <c r="AO57" s="10">
        <f>IF(OR($B57="",$Y57=""),"",IF(IF(TRIM($J57&amp;"")="",0,SUMPRODUCT((입력_파견수련계획!$Q$4:$Q$803=TRIM($J57&amp;""))*입력_파견수련계획!$AD$4:$AD$803))&gt;0,"다기관 기간 → 소속병원 지급",IF(AND(N($X57)&lt;=0,$AQ57=""),"파견 없음 → 그 달 근무병원 지급",IF($AH57+$AI57=DAY(EOMONTH(출력_요약!$B$3,0)),"서울 "&amp;$AH57&amp;"일 / 구리 "&amp;$AI57&amp;"일"&amp;IF($AQ57&lt;&gt;""," (구리 근무자명단 반영)","")&amp;" → 15일 이상 근무 병원 지급","타 병원 포함 → "&amp;IF($AJ57="","소속",INDEX(입력_파견수련계획!$T$4:$T$803,$AJ57))&amp;" 규칙"))))</f>
        <v/>
      </c>
      <c r="AP57" s="10">
        <f>IF($B57="","",$C57&amp;"|"&amp;$F57)</f>
        <v/>
      </c>
      <c r="AQ57" s="10">
        <f>IF($B57="","",IFERROR(MATCH(ROW()-1,출력_구리근무자!$K$6:$K$305,0),""))</f>
        <v/>
      </c>
      <c r="AR57" s="10">
        <f>IF($AQ57="","",INDEX(출력_구리근무자!$H$6:$H$305,$AQ57))</f>
        <v/>
      </c>
    </row>
    <row r="58">
      <c r="A58" s="10">
        <f>IF(B58="","",ROW()-1)</f>
        <v/>
      </c>
      <c r="B58" s="19" t="n"/>
      <c r="C58" s="10">
        <f>IF($AB58="","",IF(INDEX(입력_기본자료!$C$2:$C$1001,$AB58)="","",INDEX(입력_기본자료!$C$2:$C$1001,$AB58)))</f>
        <v/>
      </c>
      <c r="D58" s="10">
        <f>IF($AB58="","",IF(INDEX(입력_기본자료!$J$2:$J$1001,$AB58)="","",INDEX(입력_기본자료!$J$2:$J$1001,$AB58)))</f>
        <v/>
      </c>
      <c r="E58" s="11">
        <f>IF($AB58="","",IF(INDEX(입력_기본자료!$K$2:$K$1001,$AB58)="","",IF(NOT(ISNUMBER(INDEX(입력_기본자료!$K$2:$K$1001,$AB58))),INDEX(입력_기본자료!$K$2:$K$1001,$AB58),IF(INDEX(입력_기본자료!$K$2:$K$1001,$AB58)&lt;1000000,INDEX(입력_기본자료!$K$2:$K$1001,$AB58),IF(AND(INDEX(입력_기본자료!$K$2:$K$1001,$AB58)&gt;=10000101,INT(MOD(INDEX(입력_기본자료!$K$2:$K$1001,$AB58),10000)/100)&gt;=1,INT(MOD(INDEX(입력_기본자료!$K$2:$K$1001,$AB58),10000)/100)&lt;=12,MOD(INDEX(입력_기본자료!$K$2:$K$1001,$AB58),100)&gt;=1,MOD(INDEX(입력_기본자료!$K$2:$K$1001,$AB58),100)&lt;=31),DATE(INT(INDEX(입력_기본자료!$K$2:$K$1001,$AB58)/10000),INT(MOD(INDEX(입력_기본자료!$K$2:$K$1001,$AB58),10000)/100),MOD(INDEX(입력_기본자료!$K$2:$K$1001,$AB58),100)),INDEX(입력_기본자료!$K$2:$K$1001,$AB58)&amp;"")))))</f>
        <v/>
      </c>
      <c r="F58" s="10">
        <f>IF($AB58="","",IF(INDEX(입력_기본자료!$D$2:$D$1001,$AB58)="","",INDEX(입력_기본자료!$D$2:$D$1001,$AB58)))</f>
        <v/>
      </c>
      <c r="G58" s="10">
        <f>IF($AB58="","",IF(INDEX(입력_기본자료!$E$2:$E$1001,$AB58)="","",INDEX(입력_기본자료!$E$2:$E$1001,$AB58)))</f>
        <v/>
      </c>
      <c r="H58" s="10">
        <f>IF($AB58="","",IF(INDEX(입력_기본자료!$F$2:$F$1001,$AB58)="","",INDEX(입력_기본자료!$F$2:$F$1001,$AB58)))</f>
        <v/>
      </c>
      <c r="I58" s="11">
        <f>IF($AB58="","",IF(INDEX(입력_기본자료!$G$2:$G$1001,$AB58)="","",IF(NOT(ISNUMBER(INDEX(입력_기본자료!$G$2:$G$1001,$AB58))),INDEX(입력_기본자료!$G$2:$G$1001,$AB58),IF(INDEX(입력_기본자료!$G$2:$G$1001,$AB58)&lt;1000000,INDEX(입력_기본자료!$G$2:$G$1001,$AB58),IF(AND(INDEX(입력_기본자료!$G$2:$G$1001,$AB58)&gt;=10000101,INT(MOD(INDEX(입력_기본자료!$G$2:$G$1001,$AB58),10000)/100)&gt;=1,INT(MOD(INDEX(입력_기본자료!$G$2:$G$1001,$AB58),10000)/100)&lt;=12,MOD(INDEX(입력_기본자료!$G$2:$G$1001,$AB58),100)&gt;=1,MOD(INDEX(입력_기본자료!$G$2:$G$1001,$AB58),100)&lt;=31),DATE(INT(INDEX(입력_기본자료!$G$2:$G$1001,$AB58)/10000),INT(MOD(INDEX(입력_기본자료!$G$2:$G$1001,$AB58),10000)/100),MOD(INDEX(입력_기본자료!$G$2:$G$1001,$AB58),100)),INDEX(입력_기본자료!$G$2:$G$1001,$AB58)&amp;"")))))</f>
        <v/>
      </c>
      <c r="J58" s="10">
        <f>IF($AB58="","",IF(INDEX(입력_기본자료!$H$2:$H$1001,$AB58)="","",INDEX(입력_기본자료!$H$2:$H$1001,$AB58)))</f>
        <v/>
      </c>
      <c r="K58" s="10">
        <f>IF($AB58="","",IF(INDEX(입력_기본자료!$I$2:$I$1001,$AB58)="","",INDEX(입력_기본자료!$I$2:$I$1001,$AB58)))</f>
        <v/>
      </c>
      <c r="L58" s="10">
        <f>IF($AB58="","",IF(INDEX(입력_기본자료!$A$2:$A$1001,$AB58)="","",INDEX(입력_기본자료!$A$2:$A$1001,$AB58)))</f>
        <v/>
      </c>
      <c r="M58" s="15" t="n"/>
      <c r="N58" s="10">
        <f>IF($B58="","",IF(AND($U58="파견중",$Q58&lt;&gt;""),$Q58,IF(AND($AD58&lt;&gt;"",LEFT($AD58,1)&lt;&gt;"⚠"),LEFT($AD58,FIND(" ",$AD58)-1),IF($H58="","",IF(RIGHT($H58,2)="병원",$H58,$H58&amp;"병원")))))</f>
        <v/>
      </c>
      <c r="O58" s="10">
        <f>IF($B58="","",IF(AND($U58="파견중",$Q58&lt;&gt;""),IF($R58&lt;&gt;"",$R58,"파견과 미입력"),IF(AND($AD58&lt;&gt;"",LEFT($AD58,1)&lt;&gt;"⚠"),MID($AD58,FIND(" ",$AD58)+1,60),IF($F58="","",IF($F58="인턴","수련교육부(인턴)",$F58)))))</f>
        <v/>
      </c>
      <c r="P58" s="10">
        <f>IF($B58="","",IF($AK58&lt;&gt;"",IF(AND(TODAY()&gt;=INDEX(입력_파견수련계획!$AB$4:$AB$803,$AK58),OR(NOT(ISNUMBER(INDEX(입력_파견수련계획!$AC$4:$AC$803,$AK58))),TODAY()&lt;=INDEX(입력_파견수련계획!$AC$4:$AC$803,$AK58))),"다기관",IF($AF58="","",INDEX(입력_파견수련계획!$T$4:$T$803,$AF58))),IF($AF58="","",INDEX(입력_파견수련계획!$T$4:$T$803,$AF58))))</f>
        <v/>
      </c>
      <c r="Q58" s="10">
        <f>IF($AF58="","",INDEX(입력_파견수련계획!$S$4:$S$803,$AF58))</f>
        <v/>
      </c>
      <c r="R58" s="10">
        <f>IF($AF58="","",INDEX(입력_파견수련계획!$U$4:$U$803,$AF58))</f>
        <v/>
      </c>
      <c r="S58" s="11">
        <f>IF($AF58="","",IF(INDEX(입력_파견수련계획!$H$4:$H$803,$AF58)="","",INDEX(입력_파견수련계획!$H$4:$H$803,$AF58)))</f>
        <v/>
      </c>
      <c r="T58" s="11">
        <f>IF($AF58="","",IF(INDEX(입력_파견수련계획!$I$4:$I$803,$AF58)="","",INDEX(입력_파견수련계획!$I$4:$I$803,$AF58)))</f>
        <v/>
      </c>
      <c r="U58" s="10">
        <f>IF($AF58="","",INDEX(입력_파견수련계획!$X$4:$X$803,$AF58))</f>
        <v/>
      </c>
      <c r="V58" s="17">
        <f>IF($AF58="","",INDEX(입력_파견수련계획!$V$4:$V$803,$AF58))</f>
        <v/>
      </c>
      <c r="W58" s="17">
        <f>IF(AND($U58="파견중",$T58&lt;&gt;""),$T58-TODAY(),"")</f>
        <v/>
      </c>
      <c r="X58" s="17">
        <f>IF(OR($B58="",TRIM($J58&amp;"")=""),"",SUMPRODUCT((입력_파견수련계획!$Q$4:$Q$803=TRIM($J58&amp;""))*입력_파견수련계획!$W$4:$W$803))</f>
        <v/>
      </c>
      <c r="Y58" s="10">
        <f>IF($B58="","",IF($AG58="","",IF(IF(TRIM($J58&amp;"")="",0,SUMPRODUCT((입력_파견수련계획!$Q$4:$Q$803=TRIM($J58&amp;""))*입력_파견수련계획!$AD$4:$AD$803))&gt;0,$AE58,IF(AND(N($X58)&lt;=0,$AQ58=""),$AG58,IF($AH58+$AI58=DAY(EOMONTH(출력_요약!$B$3,0)),IF(AND($AH58&gt;=출력_요약!$E$3,$AI58&lt;출력_요약!$E$3),"서울병원",IF(AND($AI58&gt;=출력_요약!$E$3,$AH58&lt;출력_요약!$E$3),"구리병원","⚠15일 판정불가(서울 "&amp;$AH58&amp;"일/구리 "&amp;$AI58&amp;"일)")),IF($AJ58="",$AE58,IF(INDEX(입력_파견수련계획!$T$4:$T$803,$AJ58)="통합수련",INDEX(입력_파견수련계획!$S$4:$S$803,$AJ58),$AE58)))))))</f>
        <v/>
      </c>
      <c r="Z58" s="20">
        <f>IF($B58="","",IF($AB58="","기본자료에 없는 사번",IF(COUNTIF($B$2:$B$401,$B58)&gt;1,"중복 사번",IF($AE58="","소속(입사장소) 입력",IF(IF(TRIM($J58&amp;"")="",0,SUMPRODUCT((입력_파견수련계획!$Q$4:$Q$803=TRIM($J58&amp;""))*(입력_파견수련계획!$AA$4:$AA$803&lt;&gt;"")))&gt;0,"파견수련계획 입력오류 확인",IF(LEFT($Y58,1)="⚠","서울·구리 15일 판정 불가(양쪽 모두 이상/미만)",IF(IF($AC58="",0,N(INDEX(입력_인턴근무계획!$T$3:$T$402,$AC58)))&gt;0,"인턴계획 입력오류 확인",IF(AND($AQ58&lt;&gt;"",$AG58&lt;&gt;"구리병원",IF(TRIM($J58&amp;"")="",0,SUMPRODUCT((입력_파견수련계획!$Q$4:$Q$803=TRIM($J58&amp;""))*(입력_파견수련계획!$S$4:$S$803="구리병원")*입력_파견수련계획!$W$4:$W$803))=0),"구리 근무자명단에만 있음(파견수련계획 확인)",IF(AND($AC58&lt;&gt;"",$U58&lt;&gt;"파견중",$N58&lt;&gt;$AE58),"인턴 타지역 근무: 파견 여부 확인","정상")))))))))</f>
        <v/>
      </c>
      <c r="AA58" s="5" t="n"/>
      <c r="AB58" s="10">
        <f>IF($B58="","",IFERROR(MATCH($B58,입력_기본자료!$B$2:$B$1001,0),IFERROR(MATCH($B58&amp;"",입력_기본자료!$B$2:$B$1001,0),IFERROR(MATCH(VALUE($B58),입력_기본자료!$B$2:$B$1001,0),""))))</f>
        <v/>
      </c>
      <c r="AC58" s="10">
        <f>IF($B58="","",IFERROR(MATCH($B58,입력_인턴근무계획!$D$3:$D$402,0),IFERROR(MATCH($B58&amp;"",입력_인턴근무계획!$D$3:$D$402,0),IFERROR(MATCH(VALUE($B58),입력_인턴근무계획!$D$3:$D$402,0),""))))</f>
        <v/>
      </c>
      <c r="AD58" s="10">
        <f>IF(OR($AC58="",출력_인턴현황!$G$3=""),"",INDEX(입력_인턴근무계획!$M$3:$R$402,$AC58,출력_인턴현황!$G$3)&amp;"")</f>
        <v/>
      </c>
      <c r="AE58" s="10">
        <f>IF($B58="","",IF($M58&lt;&gt;"",$M58,IF(IF($AQ58="",FALSE,INDEX(출력_구리근무자!$J$6:$J$305,$AQ58)="구리독자"),"구리병원",IF($AF58&lt;&gt;"",IF(LEFT(INDEX(입력_파견수련계획!$R$4:$R$803,$AF58),1)&lt;&gt;"⚠",INDEX(입력_파견수련계획!$R$4:$R$803,$AF58),IF($H58="","",IF(RIGHT($H58,2)="병원",$H58,$H58&amp;"병원"))),IF($H58="","",IF(RIGHT($H58,2)="병원",$H58,$H58&amp;"병원"))))))</f>
        <v/>
      </c>
      <c r="AF58" s="10">
        <f>IF(OR($B58="",TRIM($J58&amp;"")=""),"",IFERROR(MATCH(TRIM($J58&amp;"")&amp;"|파견중",입력_파견수련계획!$Y$4:$Y$803,0),IFERROR(MATCH(TRIM($J58&amp;"")&amp;"|파견예정",입력_파견수련계획!$Y$4:$Y$803,0),IFERROR(MATCH(TRIM($J58&amp;"")&amp;"|파견종료",입력_파견수련계획!$Y$4:$Y$803,0),""))))</f>
        <v/>
      </c>
      <c r="AG58" s="10">
        <f>IF($B58="","",IF(AND(IF(OR($AC58="",출력_인턴현황!$K$2=""),"",INDEX(입력_인턴근무계획!$M$3:$R$402,$AC58,출력_인턴현황!$K$2)&amp;"")&lt;&gt;"",LEFT(IF(OR($AC58="",출력_인턴현황!$K$2=""),"",INDEX(입력_인턴근무계획!$M$3:$R$402,$AC58,출력_인턴현황!$K$2)&amp;""),1)&lt;&gt;"⚠"),LEFT(IF(OR($AC58="",출력_인턴현황!$K$2=""),"",INDEX(입력_인턴근무계획!$M$3:$R$402,$AC58,출력_인턴현황!$K$2)&amp;""),FIND(" ",IF(OR($AC58="",출력_인턴현황!$K$2=""),"",INDEX(입력_인턴근무계획!$M$3:$R$402,$AC58,출력_인턴현황!$K$2)&amp;""))-1),$AE58))</f>
        <v/>
      </c>
      <c r="AH58" s="17">
        <f>IF($B58="","",IF($AQ58&lt;&gt;"",MAX(0,DAY(EOMONTH(출력_요약!$B$3,0))-N($AR58)),IF(TRIM($J58&amp;"")="",0,SUMPRODUCT((입력_파견수련계획!$Q$4:$Q$803=TRIM($J58&amp;""))*(입력_파견수련계획!$S$4:$S$803="서울병원")*입력_파견수련계획!$W$4:$W$803))+IF($AG58="서울병원",MAX(0,DAY(EOMONTH(출력_요약!$B$3,0))-N($X58)),0)))</f>
        <v/>
      </c>
      <c r="AI58" s="17">
        <f>IF($B58="","",IF($AQ58&lt;&gt;"",N($AR58),IF(TRIM($J58&amp;"")="",0,SUMPRODUCT((입력_파견수련계획!$Q$4:$Q$803=TRIM($J58&amp;""))*(입력_파견수련계획!$S$4:$S$803="구리병원")*입력_파견수련계획!$W$4:$W$803))+IF($AG58="구리병원",MAX(0,DAY(EOMONTH(출력_요약!$B$3,0))-N($X58)),0)))</f>
        <v/>
      </c>
      <c r="AJ58" s="10">
        <f>IF(OR($B58="",TRIM($J58&amp;"")=""),"",IFERROR(MATCH(TRIM($J58&amp;"")&amp;"|월",입력_파견수련계획!$Z$4:$Z$803,0),""))</f>
        <v/>
      </c>
      <c r="AK58" s="10">
        <f>IF(OR($B58="",TRIM($J58&amp;"")=""),"",IFERROR(MATCH(TRIM($J58&amp;"")&amp;"|다기관",입력_파견수련계획!$AE$4:$AE$803,0),""))</f>
        <v/>
      </c>
      <c r="AL58" s="10">
        <f>IF($AK58="","","다기관 "&amp;TEXT(INDEX(입력_파견수련계획!$AB$4:$AB$803,$AK58),"yyyy-mm-dd")&amp;"~"&amp;IF(ISNUMBER(INDEX(입력_파견수련계획!$AC$4:$AC$803,$AK58)),TEXT(INDEX(입력_파견수련계획!$AC$4:$AC$803,$AK58),"yyyy-mm-dd"),""))</f>
        <v/>
      </c>
      <c r="AM58" s="10">
        <f>IF($Y58="서울병원",COUNTIF($Y$2:$Y58,"서울병원"),"")</f>
        <v/>
      </c>
      <c r="AN58" s="10">
        <f>IF(LEFT($Y58,1)="⚠",COUNTIF($Y$2:$Y58,"⚠*"),"")</f>
        <v/>
      </c>
      <c r="AO58" s="10">
        <f>IF(OR($B58="",$Y58=""),"",IF(IF(TRIM($J58&amp;"")="",0,SUMPRODUCT((입력_파견수련계획!$Q$4:$Q$803=TRIM($J58&amp;""))*입력_파견수련계획!$AD$4:$AD$803))&gt;0,"다기관 기간 → 소속병원 지급",IF(AND(N($X58)&lt;=0,$AQ58=""),"파견 없음 → 그 달 근무병원 지급",IF($AH58+$AI58=DAY(EOMONTH(출력_요약!$B$3,0)),"서울 "&amp;$AH58&amp;"일 / 구리 "&amp;$AI58&amp;"일"&amp;IF($AQ58&lt;&gt;""," (구리 근무자명단 반영)","")&amp;" → 15일 이상 근무 병원 지급","타 병원 포함 → "&amp;IF($AJ58="","소속",INDEX(입력_파견수련계획!$T$4:$T$803,$AJ58))&amp;" 규칙"))))</f>
        <v/>
      </c>
      <c r="AP58" s="10">
        <f>IF($B58="","",$C58&amp;"|"&amp;$F58)</f>
        <v/>
      </c>
      <c r="AQ58" s="10">
        <f>IF($B58="","",IFERROR(MATCH(ROW()-1,출력_구리근무자!$K$6:$K$305,0),""))</f>
        <v/>
      </c>
      <c r="AR58" s="10">
        <f>IF($AQ58="","",INDEX(출력_구리근무자!$H$6:$H$305,$AQ58))</f>
        <v/>
      </c>
    </row>
    <row r="59">
      <c r="A59" s="10">
        <f>IF(B59="","",ROW()-1)</f>
        <v/>
      </c>
      <c r="B59" s="19" t="n"/>
      <c r="C59" s="10">
        <f>IF($AB59="","",IF(INDEX(입력_기본자료!$C$2:$C$1001,$AB59)="","",INDEX(입력_기본자료!$C$2:$C$1001,$AB59)))</f>
        <v/>
      </c>
      <c r="D59" s="10">
        <f>IF($AB59="","",IF(INDEX(입력_기본자료!$J$2:$J$1001,$AB59)="","",INDEX(입력_기본자료!$J$2:$J$1001,$AB59)))</f>
        <v/>
      </c>
      <c r="E59" s="11">
        <f>IF($AB59="","",IF(INDEX(입력_기본자료!$K$2:$K$1001,$AB59)="","",IF(NOT(ISNUMBER(INDEX(입력_기본자료!$K$2:$K$1001,$AB59))),INDEX(입력_기본자료!$K$2:$K$1001,$AB59),IF(INDEX(입력_기본자료!$K$2:$K$1001,$AB59)&lt;1000000,INDEX(입력_기본자료!$K$2:$K$1001,$AB59),IF(AND(INDEX(입력_기본자료!$K$2:$K$1001,$AB59)&gt;=10000101,INT(MOD(INDEX(입력_기본자료!$K$2:$K$1001,$AB59),10000)/100)&gt;=1,INT(MOD(INDEX(입력_기본자료!$K$2:$K$1001,$AB59),10000)/100)&lt;=12,MOD(INDEX(입력_기본자료!$K$2:$K$1001,$AB59),100)&gt;=1,MOD(INDEX(입력_기본자료!$K$2:$K$1001,$AB59),100)&lt;=31),DATE(INT(INDEX(입력_기본자료!$K$2:$K$1001,$AB59)/10000),INT(MOD(INDEX(입력_기본자료!$K$2:$K$1001,$AB59),10000)/100),MOD(INDEX(입력_기본자료!$K$2:$K$1001,$AB59),100)),INDEX(입력_기본자료!$K$2:$K$1001,$AB59)&amp;"")))))</f>
        <v/>
      </c>
      <c r="F59" s="10">
        <f>IF($AB59="","",IF(INDEX(입력_기본자료!$D$2:$D$1001,$AB59)="","",INDEX(입력_기본자료!$D$2:$D$1001,$AB59)))</f>
        <v/>
      </c>
      <c r="G59" s="10">
        <f>IF($AB59="","",IF(INDEX(입력_기본자료!$E$2:$E$1001,$AB59)="","",INDEX(입력_기본자료!$E$2:$E$1001,$AB59)))</f>
        <v/>
      </c>
      <c r="H59" s="10">
        <f>IF($AB59="","",IF(INDEX(입력_기본자료!$F$2:$F$1001,$AB59)="","",INDEX(입력_기본자료!$F$2:$F$1001,$AB59)))</f>
        <v/>
      </c>
      <c r="I59" s="11">
        <f>IF($AB59="","",IF(INDEX(입력_기본자료!$G$2:$G$1001,$AB59)="","",IF(NOT(ISNUMBER(INDEX(입력_기본자료!$G$2:$G$1001,$AB59))),INDEX(입력_기본자료!$G$2:$G$1001,$AB59),IF(INDEX(입력_기본자료!$G$2:$G$1001,$AB59)&lt;1000000,INDEX(입력_기본자료!$G$2:$G$1001,$AB59),IF(AND(INDEX(입력_기본자료!$G$2:$G$1001,$AB59)&gt;=10000101,INT(MOD(INDEX(입력_기본자료!$G$2:$G$1001,$AB59),10000)/100)&gt;=1,INT(MOD(INDEX(입력_기본자료!$G$2:$G$1001,$AB59),10000)/100)&lt;=12,MOD(INDEX(입력_기본자료!$G$2:$G$1001,$AB59),100)&gt;=1,MOD(INDEX(입력_기본자료!$G$2:$G$1001,$AB59),100)&lt;=31),DATE(INT(INDEX(입력_기본자료!$G$2:$G$1001,$AB59)/10000),INT(MOD(INDEX(입력_기본자료!$G$2:$G$1001,$AB59),10000)/100),MOD(INDEX(입력_기본자료!$G$2:$G$1001,$AB59),100)),INDEX(입력_기본자료!$G$2:$G$1001,$AB59)&amp;"")))))</f>
        <v/>
      </c>
      <c r="J59" s="10">
        <f>IF($AB59="","",IF(INDEX(입력_기본자료!$H$2:$H$1001,$AB59)="","",INDEX(입력_기본자료!$H$2:$H$1001,$AB59)))</f>
        <v/>
      </c>
      <c r="K59" s="10">
        <f>IF($AB59="","",IF(INDEX(입력_기본자료!$I$2:$I$1001,$AB59)="","",INDEX(입력_기본자료!$I$2:$I$1001,$AB59)))</f>
        <v/>
      </c>
      <c r="L59" s="10">
        <f>IF($AB59="","",IF(INDEX(입력_기본자료!$A$2:$A$1001,$AB59)="","",INDEX(입력_기본자료!$A$2:$A$1001,$AB59)))</f>
        <v/>
      </c>
      <c r="M59" s="15" t="n"/>
      <c r="N59" s="10">
        <f>IF($B59="","",IF(AND($U59="파견중",$Q59&lt;&gt;""),$Q59,IF(AND($AD59&lt;&gt;"",LEFT($AD59,1)&lt;&gt;"⚠"),LEFT($AD59,FIND(" ",$AD59)-1),IF($H59="","",IF(RIGHT($H59,2)="병원",$H59,$H59&amp;"병원")))))</f>
        <v/>
      </c>
      <c r="O59" s="10">
        <f>IF($B59="","",IF(AND($U59="파견중",$Q59&lt;&gt;""),IF($R59&lt;&gt;"",$R59,"파견과 미입력"),IF(AND($AD59&lt;&gt;"",LEFT($AD59,1)&lt;&gt;"⚠"),MID($AD59,FIND(" ",$AD59)+1,60),IF($F59="","",IF($F59="인턴","수련교육부(인턴)",$F59)))))</f>
        <v/>
      </c>
      <c r="P59" s="10">
        <f>IF($B59="","",IF($AK59&lt;&gt;"",IF(AND(TODAY()&gt;=INDEX(입력_파견수련계획!$AB$4:$AB$803,$AK59),OR(NOT(ISNUMBER(INDEX(입력_파견수련계획!$AC$4:$AC$803,$AK59))),TODAY()&lt;=INDEX(입력_파견수련계획!$AC$4:$AC$803,$AK59))),"다기관",IF($AF59="","",INDEX(입력_파견수련계획!$T$4:$T$803,$AF59))),IF($AF59="","",INDEX(입력_파견수련계획!$T$4:$T$803,$AF59))))</f>
        <v/>
      </c>
      <c r="Q59" s="10">
        <f>IF($AF59="","",INDEX(입력_파견수련계획!$S$4:$S$803,$AF59))</f>
        <v/>
      </c>
      <c r="R59" s="10">
        <f>IF($AF59="","",INDEX(입력_파견수련계획!$U$4:$U$803,$AF59))</f>
        <v/>
      </c>
      <c r="S59" s="11">
        <f>IF($AF59="","",IF(INDEX(입력_파견수련계획!$H$4:$H$803,$AF59)="","",INDEX(입력_파견수련계획!$H$4:$H$803,$AF59)))</f>
        <v/>
      </c>
      <c r="T59" s="11">
        <f>IF($AF59="","",IF(INDEX(입력_파견수련계획!$I$4:$I$803,$AF59)="","",INDEX(입력_파견수련계획!$I$4:$I$803,$AF59)))</f>
        <v/>
      </c>
      <c r="U59" s="10">
        <f>IF($AF59="","",INDEX(입력_파견수련계획!$X$4:$X$803,$AF59))</f>
        <v/>
      </c>
      <c r="V59" s="17">
        <f>IF($AF59="","",INDEX(입력_파견수련계획!$V$4:$V$803,$AF59))</f>
        <v/>
      </c>
      <c r="W59" s="17">
        <f>IF(AND($U59="파견중",$T59&lt;&gt;""),$T59-TODAY(),"")</f>
        <v/>
      </c>
      <c r="X59" s="17">
        <f>IF(OR($B59="",TRIM($J59&amp;"")=""),"",SUMPRODUCT((입력_파견수련계획!$Q$4:$Q$803=TRIM($J59&amp;""))*입력_파견수련계획!$W$4:$W$803))</f>
        <v/>
      </c>
      <c r="Y59" s="10">
        <f>IF($B59="","",IF($AG59="","",IF(IF(TRIM($J59&amp;"")="",0,SUMPRODUCT((입력_파견수련계획!$Q$4:$Q$803=TRIM($J59&amp;""))*입력_파견수련계획!$AD$4:$AD$803))&gt;0,$AE59,IF(AND(N($X59)&lt;=0,$AQ59=""),$AG59,IF($AH59+$AI59=DAY(EOMONTH(출력_요약!$B$3,0)),IF(AND($AH59&gt;=출력_요약!$E$3,$AI59&lt;출력_요약!$E$3),"서울병원",IF(AND($AI59&gt;=출력_요약!$E$3,$AH59&lt;출력_요약!$E$3),"구리병원","⚠15일 판정불가(서울 "&amp;$AH59&amp;"일/구리 "&amp;$AI59&amp;"일)")),IF($AJ59="",$AE59,IF(INDEX(입력_파견수련계획!$T$4:$T$803,$AJ59)="통합수련",INDEX(입력_파견수련계획!$S$4:$S$803,$AJ59),$AE59)))))))</f>
        <v/>
      </c>
      <c r="Z59" s="20">
        <f>IF($B59="","",IF($AB59="","기본자료에 없는 사번",IF(COUNTIF($B$2:$B$401,$B59)&gt;1,"중복 사번",IF($AE59="","소속(입사장소) 입력",IF(IF(TRIM($J59&amp;"")="",0,SUMPRODUCT((입력_파견수련계획!$Q$4:$Q$803=TRIM($J59&amp;""))*(입력_파견수련계획!$AA$4:$AA$803&lt;&gt;"")))&gt;0,"파견수련계획 입력오류 확인",IF(LEFT($Y59,1)="⚠","서울·구리 15일 판정 불가(양쪽 모두 이상/미만)",IF(IF($AC59="",0,N(INDEX(입력_인턴근무계획!$T$3:$T$402,$AC59)))&gt;0,"인턴계획 입력오류 확인",IF(AND($AQ59&lt;&gt;"",$AG59&lt;&gt;"구리병원",IF(TRIM($J59&amp;"")="",0,SUMPRODUCT((입력_파견수련계획!$Q$4:$Q$803=TRIM($J59&amp;""))*(입력_파견수련계획!$S$4:$S$803="구리병원")*입력_파견수련계획!$W$4:$W$803))=0),"구리 근무자명단에만 있음(파견수련계획 확인)",IF(AND($AC59&lt;&gt;"",$U59&lt;&gt;"파견중",$N59&lt;&gt;$AE59),"인턴 타지역 근무: 파견 여부 확인","정상")))))))))</f>
        <v/>
      </c>
      <c r="AA59" s="5" t="n"/>
      <c r="AB59" s="10">
        <f>IF($B59="","",IFERROR(MATCH($B59,입력_기본자료!$B$2:$B$1001,0),IFERROR(MATCH($B59&amp;"",입력_기본자료!$B$2:$B$1001,0),IFERROR(MATCH(VALUE($B59),입력_기본자료!$B$2:$B$1001,0),""))))</f>
        <v/>
      </c>
      <c r="AC59" s="10">
        <f>IF($B59="","",IFERROR(MATCH($B59,입력_인턴근무계획!$D$3:$D$402,0),IFERROR(MATCH($B59&amp;"",입력_인턴근무계획!$D$3:$D$402,0),IFERROR(MATCH(VALUE($B59),입력_인턴근무계획!$D$3:$D$402,0),""))))</f>
        <v/>
      </c>
      <c r="AD59" s="10">
        <f>IF(OR($AC59="",출력_인턴현황!$G$3=""),"",INDEX(입력_인턴근무계획!$M$3:$R$402,$AC59,출력_인턴현황!$G$3)&amp;"")</f>
        <v/>
      </c>
      <c r="AE59" s="10">
        <f>IF($B59="","",IF($M59&lt;&gt;"",$M59,IF(IF($AQ59="",FALSE,INDEX(출력_구리근무자!$J$6:$J$305,$AQ59)="구리독자"),"구리병원",IF($AF59&lt;&gt;"",IF(LEFT(INDEX(입력_파견수련계획!$R$4:$R$803,$AF59),1)&lt;&gt;"⚠",INDEX(입력_파견수련계획!$R$4:$R$803,$AF59),IF($H59="","",IF(RIGHT($H59,2)="병원",$H59,$H59&amp;"병원"))),IF($H59="","",IF(RIGHT($H59,2)="병원",$H59,$H59&amp;"병원"))))))</f>
        <v/>
      </c>
      <c r="AF59" s="10">
        <f>IF(OR($B59="",TRIM($J59&amp;"")=""),"",IFERROR(MATCH(TRIM($J59&amp;"")&amp;"|파견중",입력_파견수련계획!$Y$4:$Y$803,0),IFERROR(MATCH(TRIM($J59&amp;"")&amp;"|파견예정",입력_파견수련계획!$Y$4:$Y$803,0),IFERROR(MATCH(TRIM($J59&amp;"")&amp;"|파견종료",입력_파견수련계획!$Y$4:$Y$803,0),""))))</f>
        <v/>
      </c>
      <c r="AG59" s="10">
        <f>IF($B59="","",IF(AND(IF(OR($AC59="",출력_인턴현황!$K$2=""),"",INDEX(입력_인턴근무계획!$M$3:$R$402,$AC59,출력_인턴현황!$K$2)&amp;"")&lt;&gt;"",LEFT(IF(OR($AC59="",출력_인턴현황!$K$2=""),"",INDEX(입력_인턴근무계획!$M$3:$R$402,$AC59,출력_인턴현황!$K$2)&amp;""),1)&lt;&gt;"⚠"),LEFT(IF(OR($AC59="",출력_인턴현황!$K$2=""),"",INDEX(입력_인턴근무계획!$M$3:$R$402,$AC59,출력_인턴현황!$K$2)&amp;""),FIND(" ",IF(OR($AC59="",출력_인턴현황!$K$2=""),"",INDEX(입력_인턴근무계획!$M$3:$R$402,$AC59,출력_인턴현황!$K$2)&amp;""))-1),$AE59))</f>
        <v/>
      </c>
      <c r="AH59" s="17">
        <f>IF($B59="","",IF($AQ59&lt;&gt;"",MAX(0,DAY(EOMONTH(출력_요약!$B$3,0))-N($AR59)),IF(TRIM($J59&amp;"")="",0,SUMPRODUCT((입력_파견수련계획!$Q$4:$Q$803=TRIM($J59&amp;""))*(입력_파견수련계획!$S$4:$S$803="서울병원")*입력_파견수련계획!$W$4:$W$803))+IF($AG59="서울병원",MAX(0,DAY(EOMONTH(출력_요약!$B$3,0))-N($X59)),0)))</f>
        <v/>
      </c>
      <c r="AI59" s="17">
        <f>IF($B59="","",IF($AQ59&lt;&gt;"",N($AR59),IF(TRIM($J59&amp;"")="",0,SUMPRODUCT((입력_파견수련계획!$Q$4:$Q$803=TRIM($J59&amp;""))*(입력_파견수련계획!$S$4:$S$803="구리병원")*입력_파견수련계획!$W$4:$W$803))+IF($AG59="구리병원",MAX(0,DAY(EOMONTH(출력_요약!$B$3,0))-N($X59)),0)))</f>
        <v/>
      </c>
      <c r="AJ59" s="10">
        <f>IF(OR($B59="",TRIM($J59&amp;"")=""),"",IFERROR(MATCH(TRIM($J59&amp;"")&amp;"|월",입력_파견수련계획!$Z$4:$Z$803,0),""))</f>
        <v/>
      </c>
      <c r="AK59" s="10">
        <f>IF(OR($B59="",TRIM($J59&amp;"")=""),"",IFERROR(MATCH(TRIM($J59&amp;"")&amp;"|다기관",입력_파견수련계획!$AE$4:$AE$803,0),""))</f>
        <v/>
      </c>
      <c r="AL59" s="10">
        <f>IF($AK59="","","다기관 "&amp;TEXT(INDEX(입력_파견수련계획!$AB$4:$AB$803,$AK59),"yyyy-mm-dd")&amp;"~"&amp;IF(ISNUMBER(INDEX(입력_파견수련계획!$AC$4:$AC$803,$AK59)),TEXT(INDEX(입력_파견수련계획!$AC$4:$AC$803,$AK59),"yyyy-mm-dd"),""))</f>
        <v/>
      </c>
      <c r="AM59" s="10">
        <f>IF($Y59="서울병원",COUNTIF($Y$2:$Y59,"서울병원"),"")</f>
        <v/>
      </c>
      <c r="AN59" s="10">
        <f>IF(LEFT($Y59,1)="⚠",COUNTIF($Y$2:$Y59,"⚠*"),"")</f>
        <v/>
      </c>
      <c r="AO59" s="10">
        <f>IF(OR($B59="",$Y59=""),"",IF(IF(TRIM($J59&amp;"")="",0,SUMPRODUCT((입력_파견수련계획!$Q$4:$Q$803=TRIM($J59&amp;""))*입력_파견수련계획!$AD$4:$AD$803))&gt;0,"다기관 기간 → 소속병원 지급",IF(AND(N($X59)&lt;=0,$AQ59=""),"파견 없음 → 그 달 근무병원 지급",IF($AH59+$AI59=DAY(EOMONTH(출력_요약!$B$3,0)),"서울 "&amp;$AH59&amp;"일 / 구리 "&amp;$AI59&amp;"일"&amp;IF($AQ59&lt;&gt;""," (구리 근무자명단 반영)","")&amp;" → 15일 이상 근무 병원 지급","타 병원 포함 → "&amp;IF($AJ59="","소속",INDEX(입력_파견수련계획!$T$4:$T$803,$AJ59))&amp;" 규칙"))))</f>
        <v/>
      </c>
      <c r="AP59" s="10">
        <f>IF($B59="","",$C59&amp;"|"&amp;$F59)</f>
        <v/>
      </c>
      <c r="AQ59" s="10">
        <f>IF($B59="","",IFERROR(MATCH(ROW()-1,출력_구리근무자!$K$6:$K$305,0),""))</f>
        <v/>
      </c>
      <c r="AR59" s="10">
        <f>IF($AQ59="","",INDEX(출력_구리근무자!$H$6:$H$305,$AQ59))</f>
        <v/>
      </c>
    </row>
    <row r="60">
      <c r="A60" s="10">
        <f>IF(B60="","",ROW()-1)</f>
        <v/>
      </c>
      <c r="B60" s="19" t="n"/>
      <c r="C60" s="10">
        <f>IF($AB60="","",IF(INDEX(입력_기본자료!$C$2:$C$1001,$AB60)="","",INDEX(입력_기본자료!$C$2:$C$1001,$AB60)))</f>
        <v/>
      </c>
      <c r="D60" s="10">
        <f>IF($AB60="","",IF(INDEX(입력_기본자료!$J$2:$J$1001,$AB60)="","",INDEX(입력_기본자료!$J$2:$J$1001,$AB60)))</f>
        <v/>
      </c>
      <c r="E60" s="11">
        <f>IF($AB60="","",IF(INDEX(입력_기본자료!$K$2:$K$1001,$AB60)="","",IF(NOT(ISNUMBER(INDEX(입력_기본자료!$K$2:$K$1001,$AB60))),INDEX(입력_기본자료!$K$2:$K$1001,$AB60),IF(INDEX(입력_기본자료!$K$2:$K$1001,$AB60)&lt;1000000,INDEX(입력_기본자료!$K$2:$K$1001,$AB60),IF(AND(INDEX(입력_기본자료!$K$2:$K$1001,$AB60)&gt;=10000101,INT(MOD(INDEX(입력_기본자료!$K$2:$K$1001,$AB60),10000)/100)&gt;=1,INT(MOD(INDEX(입력_기본자료!$K$2:$K$1001,$AB60),10000)/100)&lt;=12,MOD(INDEX(입력_기본자료!$K$2:$K$1001,$AB60),100)&gt;=1,MOD(INDEX(입력_기본자료!$K$2:$K$1001,$AB60),100)&lt;=31),DATE(INT(INDEX(입력_기본자료!$K$2:$K$1001,$AB60)/10000),INT(MOD(INDEX(입력_기본자료!$K$2:$K$1001,$AB60),10000)/100),MOD(INDEX(입력_기본자료!$K$2:$K$1001,$AB60),100)),INDEX(입력_기본자료!$K$2:$K$1001,$AB60)&amp;"")))))</f>
        <v/>
      </c>
      <c r="F60" s="10">
        <f>IF($AB60="","",IF(INDEX(입력_기본자료!$D$2:$D$1001,$AB60)="","",INDEX(입력_기본자료!$D$2:$D$1001,$AB60)))</f>
        <v/>
      </c>
      <c r="G60" s="10">
        <f>IF($AB60="","",IF(INDEX(입력_기본자료!$E$2:$E$1001,$AB60)="","",INDEX(입력_기본자료!$E$2:$E$1001,$AB60)))</f>
        <v/>
      </c>
      <c r="H60" s="10">
        <f>IF($AB60="","",IF(INDEX(입력_기본자료!$F$2:$F$1001,$AB60)="","",INDEX(입력_기본자료!$F$2:$F$1001,$AB60)))</f>
        <v/>
      </c>
      <c r="I60" s="11">
        <f>IF($AB60="","",IF(INDEX(입력_기본자료!$G$2:$G$1001,$AB60)="","",IF(NOT(ISNUMBER(INDEX(입력_기본자료!$G$2:$G$1001,$AB60))),INDEX(입력_기본자료!$G$2:$G$1001,$AB60),IF(INDEX(입력_기본자료!$G$2:$G$1001,$AB60)&lt;1000000,INDEX(입력_기본자료!$G$2:$G$1001,$AB60),IF(AND(INDEX(입력_기본자료!$G$2:$G$1001,$AB60)&gt;=10000101,INT(MOD(INDEX(입력_기본자료!$G$2:$G$1001,$AB60),10000)/100)&gt;=1,INT(MOD(INDEX(입력_기본자료!$G$2:$G$1001,$AB60),10000)/100)&lt;=12,MOD(INDEX(입력_기본자료!$G$2:$G$1001,$AB60),100)&gt;=1,MOD(INDEX(입력_기본자료!$G$2:$G$1001,$AB60),100)&lt;=31),DATE(INT(INDEX(입력_기본자료!$G$2:$G$1001,$AB60)/10000),INT(MOD(INDEX(입력_기본자료!$G$2:$G$1001,$AB60),10000)/100),MOD(INDEX(입력_기본자료!$G$2:$G$1001,$AB60),100)),INDEX(입력_기본자료!$G$2:$G$1001,$AB60)&amp;"")))))</f>
        <v/>
      </c>
      <c r="J60" s="10">
        <f>IF($AB60="","",IF(INDEX(입력_기본자료!$H$2:$H$1001,$AB60)="","",INDEX(입력_기본자료!$H$2:$H$1001,$AB60)))</f>
        <v/>
      </c>
      <c r="K60" s="10">
        <f>IF($AB60="","",IF(INDEX(입력_기본자료!$I$2:$I$1001,$AB60)="","",INDEX(입력_기본자료!$I$2:$I$1001,$AB60)))</f>
        <v/>
      </c>
      <c r="L60" s="10">
        <f>IF($AB60="","",IF(INDEX(입력_기본자료!$A$2:$A$1001,$AB60)="","",INDEX(입력_기본자료!$A$2:$A$1001,$AB60)))</f>
        <v/>
      </c>
      <c r="M60" s="15" t="n"/>
      <c r="N60" s="10">
        <f>IF($B60="","",IF(AND($U60="파견중",$Q60&lt;&gt;""),$Q60,IF(AND($AD60&lt;&gt;"",LEFT($AD60,1)&lt;&gt;"⚠"),LEFT($AD60,FIND(" ",$AD60)-1),IF($H60="","",IF(RIGHT($H60,2)="병원",$H60,$H60&amp;"병원")))))</f>
        <v/>
      </c>
      <c r="O60" s="10">
        <f>IF($B60="","",IF(AND($U60="파견중",$Q60&lt;&gt;""),IF($R60&lt;&gt;"",$R60,"파견과 미입력"),IF(AND($AD60&lt;&gt;"",LEFT($AD60,1)&lt;&gt;"⚠"),MID($AD60,FIND(" ",$AD60)+1,60),IF($F60="","",IF($F60="인턴","수련교육부(인턴)",$F60)))))</f>
        <v/>
      </c>
      <c r="P60" s="10">
        <f>IF($B60="","",IF($AK60&lt;&gt;"",IF(AND(TODAY()&gt;=INDEX(입력_파견수련계획!$AB$4:$AB$803,$AK60),OR(NOT(ISNUMBER(INDEX(입력_파견수련계획!$AC$4:$AC$803,$AK60))),TODAY()&lt;=INDEX(입력_파견수련계획!$AC$4:$AC$803,$AK60))),"다기관",IF($AF60="","",INDEX(입력_파견수련계획!$T$4:$T$803,$AF60))),IF($AF60="","",INDEX(입력_파견수련계획!$T$4:$T$803,$AF60))))</f>
        <v/>
      </c>
      <c r="Q60" s="10">
        <f>IF($AF60="","",INDEX(입력_파견수련계획!$S$4:$S$803,$AF60))</f>
        <v/>
      </c>
      <c r="R60" s="10">
        <f>IF($AF60="","",INDEX(입력_파견수련계획!$U$4:$U$803,$AF60))</f>
        <v/>
      </c>
      <c r="S60" s="11">
        <f>IF($AF60="","",IF(INDEX(입력_파견수련계획!$H$4:$H$803,$AF60)="","",INDEX(입력_파견수련계획!$H$4:$H$803,$AF60)))</f>
        <v/>
      </c>
      <c r="T60" s="11">
        <f>IF($AF60="","",IF(INDEX(입력_파견수련계획!$I$4:$I$803,$AF60)="","",INDEX(입력_파견수련계획!$I$4:$I$803,$AF60)))</f>
        <v/>
      </c>
      <c r="U60" s="10">
        <f>IF($AF60="","",INDEX(입력_파견수련계획!$X$4:$X$803,$AF60))</f>
        <v/>
      </c>
      <c r="V60" s="17">
        <f>IF($AF60="","",INDEX(입력_파견수련계획!$V$4:$V$803,$AF60))</f>
        <v/>
      </c>
      <c r="W60" s="17">
        <f>IF(AND($U60="파견중",$T60&lt;&gt;""),$T60-TODAY(),"")</f>
        <v/>
      </c>
      <c r="X60" s="17">
        <f>IF(OR($B60="",TRIM($J60&amp;"")=""),"",SUMPRODUCT((입력_파견수련계획!$Q$4:$Q$803=TRIM($J60&amp;""))*입력_파견수련계획!$W$4:$W$803))</f>
        <v/>
      </c>
      <c r="Y60" s="10">
        <f>IF($B60="","",IF($AG60="","",IF(IF(TRIM($J60&amp;"")="",0,SUMPRODUCT((입력_파견수련계획!$Q$4:$Q$803=TRIM($J60&amp;""))*입력_파견수련계획!$AD$4:$AD$803))&gt;0,$AE60,IF(AND(N($X60)&lt;=0,$AQ60=""),$AG60,IF($AH60+$AI60=DAY(EOMONTH(출력_요약!$B$3,0)),IF(AND($AH60&gt;=출력_요약!$E$3,$AI60&lt;출력_요약!$E$3),"서울병원",IF(AND($AI60&gt;=출력_요약!$E$3,$AH60&lt;출력_요약!$E$3),"구리병원","⚠15일 판정불가(서울 "&amp;$AH60&amp;"일/구리 "&amp;$AI60&amp;"일)")),IF($AJ60="",$AE60,IF(INDEX(입력_파견수련계획!$T$4:$T$803,$AJ60)="통합수련",INDEX(입력_파견수련계획!$S$4:$S$803,$AJ60),$AE60)))))))</f>
        <v/>
      </c>
      <c r="Z60" s="20">
        <f>IF($B60="","",IF($AB60="","기본자료에 없는 사번",IF(COUNTIF($B$2:$B$401,$B60)&gt;1,"중복 사번",IF($AE60="","소속(입사장소) 입력",IF(IF(TRIM($J60&amp;"")="",0,SUMPRODUCT((입력_파견수련계획!$Q$4:$Q$803=TRIM($J60&amp;""))*(입력_파견수련계획!$AA$4:$AA$803&lt;&gt;"")))&gt;0,"파견수련계획 입력오류 확인",IF(LEFT($Y60,1)="⚠","서울·구리 15일 판정 불가(양쪽 모두 이상/미만)",IF(IF($AC60="",0,N(INDEX(입력_인턴근무계획!$T$3:$T$402,$AC60)))&gt;0,"인턴계획 입력오류 확인",IF(AND($AQ60&lt;&gt;"",$AG60&lt;&gt;"구리병원",IF(TRIM($J60&amp;"")="",0,SUMPRODUCT((입력_파견수련계획!$Q$4:$Q$803=TRIM($J60&amp;""))*(입력_파견수련계획!$S$4:$S$803="구리병원")*입력_파견수련계획!$W$4:$W$803))=0),"구리 근무자명단에만 있음(파견수련계획 확인)",IF(AND($AC60&lt;&gt;"",$U60&lt;&gt;"파견중",$N60&lt;&gt;$AE60),"인턴 타지역 근무: 파견 여부 확인","정상")))))))))</f>
        <v/>
      </c>
      <c r="AA60" s="5" t="n"/>
      <c r="AB60" s="10">
        <f>IF($B60="","",IFERROR(MATCH($B60,입력_기본자료!$B$2:$B$1001,0),IFERROR(MATCH($B60&amp;"",입력_기본자료!$B$2:$B$1001,0),IFERROR(MATCH(VALUE($B60),입력_기본자료!$B$2:$B$1001,0),""))))</f>
        <v/>
      </c>
      <c r="AC60" s="10">
        <f>IF($B60="","",IFERROR(MATCH($B60,입력_인턴근무계획!$D$3:$D$402,0),IFERROR(MATCH($B60&amp;"",입력_인턴근무계획!$D$3:$D$402,0),IFERROR(MATCH(VALUE($B60),입력_인턴근무계획!$D$3:$D$402,0),""))))</f>
        <v/>
      </c>
      <c r="AD60" s="10">
        <f>IF(OR($AC60="",출력_인턴현황!$G$3=""),"",INDEX(입력_인턴근무계획!$M$3:$R$402,$AC60,출력_인턴현황!$G$3)&amp;"")</f>
        <v/>
      </c>
      <c r="AE60" s="10">
        <f>IF($B60="","",IF($M60&lt;&gt;"",$M60,IF(IF($AQ60="",FALSE,INDEX(출력_구리근무자!$J$6:$J$305,$AQ60)="구리독자"),"구리병원",IF($AF60&lt;&gt;"",IF(LEFT(INDEX(입력_파견수련계획!$R$4:$R$803,$AF60),1)&lt;&gt;"⚠",INDEX(입력_파견수련계획!$R$4:$R$803,$AF60),IF($H60="","",IF(RIGHT($H60,2)="병원",$H60,$H60&amp;"병원"))),IF($H60="","",IF(RIGHT($H60,2)="병원",$H60,$H60&amp;"병원"))))))</f>
        <v/>
      </c>
      <c r="AF60" s="10">
        <f>IF(OR($B60="",TRIM($J60&amp;"")=""),"",IFERROR(MATCH(TRIM($J60&amp;"")&amp;"|파견중",입력_파견수련계획!$Y$4:$Y$803,0),IFERROR(MATCH(TRIM($J60&amp;"")&amp;"|파견예정",입력_파견수련계획!$Y$4:$Y$803,0),IFERROR(MATCH(TRIM($J60&amp;"")&amp;"|파견종료",입력_파견수련계획!$Y$4:$Y$803,0),""))))</f>
        <v/>
      </c>
      <c r="AG60" s="10">
        <f>IF($B60="","",IF(AND(IF(OR($AC60="",출력_인턴현황!$K$2=""),"",INDEX(입력_인턴근무계획!$M$3:$R$402,$AC60,출력_인턴현황!$K$2)&amp;"")&lt;&gt;"",LEFT(IF(OR($AC60="",출력_인턴현황!$K$2=""),"",INDEX(입력_인턴근무계획!$M$3:$R$402,$AC60,출력_인턴현황!$K$2)&amp;""),1)&lt;&gt;"⚠"),LEFT(IF(OR($AC60="",출력_인턴현황!$K$2=""),"",INDEX(입력_인턴근무계획!$M$3:$R$402,$AC60,출력_인턴현황!$K$2)&amp;""),FIND(" ",IF(OR($AC60="",출력_인턴현황!$K$2=""),"",INDEX(입력_인턴근무계획!$M$3:$R$402,$AC60,출력_인턴현황!$K$2)&amp;""))-1),$AE60))</f>
        <v/>
      </c>
      <c r="AH60" s="17">
        <f>IF($B60="","",IF($AQ60&lt;&gt;"",MAX(0,DAY(EOMONTH(출력_요약!$B$3,0))-N($AR60)),IF(TRIM($J60&amp;"")="",0,SUMPRODUCT((입력_파견수련계획!$Q$4:$Q$803=TRIM($J60&amp;""))*(입력_파견수련계획!$S$4:$S$803="서울병원")*입력_파견수련계획!$W$4:$W$803))+IF($AG60="서울병원",MAX(0,DAY(EOMONTH(출력_요약!$B$3,0))-N($X60)),0)))</f>
        <v/>
      </c>
      <c r="AI60" s="17">
        <f>IF($B60="","",IF($AQ60&lt;&gt;"",N($AR60),IF(TRIM($J60&amp;"")="",0,SUMPRODUCT((입력_파견수련계획!$Q$4:$Q$803=TRIM($J60&amp;""))*(입력_파견수련계획!$S$4:$S$803="구리병원")*입력_파견수련계획!$W$4:$W$803))+IF($AG60="구리병원",MAX(0,DAY(EOMONTH(출력_요약!$B$3,0))-N($X60)),0)))</f>
        <v/>
      </c>
      <c r="AJ60" s="10">
        <f>IF(OR($B60="",TRIM($J60&amp;"")=""),"",IFERROR(MATCH(TRIM($J60&amp;"")&amp;"|월",입력_파견수련계획!$Z$4:$Z$803,0),""))</f>
        <v/>
      </c>
      <c r="AK60" s="10">
        <f>IF(OR($B60="",TRIM($J60&amp;"")=""),"",IFERROR(MATCH(TRIM($J60&amp;"")&amp;"|다기관",입력_파견수련계획!$AE$4:$AE$803,0),""))</f>
        <v/>
      </c>
      <c r="AL60" s="10">
        <f>IF($AK60="","","다기관 "&amp;TEXT(INDEX(입력_파견수련계획!$AB$4:$AB$803,$AK60),"yyyy-mm-dd")&amp;"~"&amp;IF(ISNUMBER(INDEX(입력_파견수련계획!$AC$4:$AC$803,$AK60)),TEXT(INDEX(입력_파견수련계획!$AC$4:$AC$803,$AK60),"yyyy-mm-dd"),""))</f>
        <v/>
      </c>
      <c r="AM60" s="10">
        <f>IF($Y60="서울병원",COUNTIF($Y$2:$Y60,"서울병원"),"")</f>
        <v/>
      </c>
      <c r="AN60" s="10">
        <f>IF(LEFT($Y60,1)="⚠",COUNTIF($Y$2:$Y60,"⚠*"),"")</f>
        <v/>
      </c>
      <c r="AO60" s="10">
        <f>IF(OR($B60="",$Y60=""),"",IF(IF(TRIM($J60&amp;"")="",0,SUMPRODUCT((입력_파견수련계획!$Q$4:$Q$803=TRIM($J60&amp;""))*입력_파견수련계획!$AD$4:$AD$803))&gt;0,"다기관 기간 → 소속병원 지급",IF(AND(N($X60)&lt;=0,$AQ60=""),"파견 없음 → 그 달 근무병원 지급",IF($AH60+$AI60=DAY(EOMONTH(출력_요약!$B$3,0)),"서울 "&amp;$AH60&amp;"일 / 구리 "&amp;$AI60&amp;"일"&amp;IF($AQ60&lt;&gt;""," (구리 근무자명단 반영)","")&amp;" → 15일 이상 근무 병원 지급","타 병원 포함 → "&amp;IF($AJ60="","소속",INDEX(입력_파견수련계획!$T$4:$T$803,$AJ60))&amp;" 규칙"))))</f>
        <v/>
      </c>
      <c r="AP60" s="10">
        <f>IF($B60="","",$C60&amp;"|"&amp;$F60)</f>
        <v/>
      </c>
      <c r="AQ60" s="10">
        <f>IF($B60="","",IFERROR(MATCH(ROW()-1,출력_구리근무자!$K$6:$K$305,0),""))</f>
        <v/>
      </c>
      <c r="AR60" s="10">
        <f>IF($AQ60="","",INDEX(출력_구리근무자!$H$6:$H$305,$AQ60))</f>
        <v/>
      </c>
    </row>
    <row r="61">
      <c r="A61" s="10">
        <f>IF(B61="","",ROW()-1)</f>
        <v/>
      </c>
      <c r="B61" s="19" t="n"/>
      <c r="C61" s="10">
        <f>IF($AB61="","",IF(INDEX(입력_기본자료!$C$2:$C$1001,$AB61)="","",INDEX(입력_기본자료!$C$2:$C$1001,$AB61)))</f>
        <v/>
      </c>
      <c r="D61" s="10">
        <f>IF($AB61="","",IF(INDEX(입력_기본자료!$J$2:$J$1001,$AB61)="","",INDEX(입력_기본자료!$J$2:$J$1001,$AB61)))</f>
        <v/>
      </c>
      <c r="E61" s="11">
        <f>IF($AB61="","",IF(INDEX(입력_기본자료!$K$2:$K$1001,$AB61)="","",IF(NOT(ISNUMBER(INDEX(입력_기본자료!$K$2:$K$1001,$AB61))),INDEX(입력_기본자료!$K$2:$K$1001,$AB61),IF(INDEX(입력_기본자료!$K$2:$K$1001,$AB61)&lt;1000000,INDEX(입력_기본자료!$K$2:$K$1001,$AB61),IF(AND(INDEX(입력_기본자료!$K$2:$K$1001,$AB61)&gt;=10000101,INT(MOD(INDEX(입력_기본자료!$K$2:$K$1001,$AB61),10000)/100)&gt;=1,INT(MOD(INDEX(입력_기본자료!$K$2:$K$1001,$AB61),10000)/100)&lt;=12,MOD(INDEX(입력_기본자료!$K$2:$K$1001,$AB61),100)&gt;=1,MOD(INDEX(입력_기본자료!$K$2:$K$1001,$AB61),100)&lt;=31),DATE(INT(INDEX(입력_기본자료!$K$2:$K$1001,$AB61)/10000),INT(MOD(INDEX(입력_기본자료!$K$2:$K$1001,$AB61),10000)/100),MOD(INDEX(입력_기본자료!$K$2:$K$1001,$AB61),100)),INDEX(입력_기본자료!$K$2:$K$1001,$AB61)&amp;"")))))</f>
        <v/>
      </c>
      <c r="F61" s="10">
        <f>IF($AB61="","",IF(INDEX(입력_기본자료!$D$2:$D$1001,$AB61)="","",INDEX(입력_기본자료!$D$2:$D$1001,$AB61)))</f>
        <v/>
      </c>
      <c r="G61" s="10">
        <f>IF($AB61="","",IF(INDEX(입력_기본자료!$E$2:$E$1001,$AB61)="","",INDEX(입력_기본자료!$E$2:$E$1001,$AB61)))</f>
        <v/>
      </c>
      <c r="H61" s="10">
        <f>IF($AB61="","",IF(INDEX(입력_기본자료!$F$2:$F$1001,$AB61)="","",INDEX(입력_기본자료!$F$2:$F$1001,$AB61)))</f>
        <v/>
      </c>
      <c r="I61" s="11">
        <f>IF($AB61="","",IF(INDEX(입력_기본자료!$G$2:$G$1001,$AB61)="","",IF(NOT(ISNUMBER(INDEX(입력_기본자료!$G$2:$G$1001,$AB61))),INDEX(입력_기본자료!$G$2:$G$1001,$AB61),IF(INDEX(입력_기본자료!$G$2:$G$1001,$AB61)&lt;1000000,INDEX(입력_기본자료!$G$2:$G$1001,$AB61),IF(AND(INDEX(입력_기본자료!$G$2:$G$1001,$AB61)&gt;=10000101,INT(MOD(INDEX(입력_기본자료!$G$2:$G$1001,$AB61),10000)/100)&gt;=1,INT(MOD(INDEX(입력_기본자료!$G$2:$G$1001,$AB61),10000)/100)&lt;=12,MOD(INDEX(입력_기본자료!$G$2:$G$1001,$AB61),100)&gt;=1,MOD(INDEX(입력_기본자료!$G$2:$G$1001,$AB61),100)&lt;=31),DATE(INT(INDEX(입력_기본자료!$G$2:$G$1001,$AB61)/10000),INT(MOD(INDEX(입력_기본자료!$G$2:$G$1001,$AB61),10000)/100),MOD(INDEX(입력_기본자료!$G$2:$G$1001,$AB61),100)),INDEX(입력_기본자료!$G$2:$G$1001,$AB61)&amp;"")))))</f>
        <v/>
      </c>
      <c r="J61" s="10">
        <f>IF($AB61="","",IF(INDEX(입력_기본자료!$H$2:$H$1001,$AB61)="","",INDEX(입력_기본자료!$H$2:$H$1001,$AB61)))</f>
        <v/>
      </c>
      <c r="K61" s="10">
        <f>IF($AB61="","",IF(INDEX(입력_기본자료!$I$2:$I$1001,$AB61)="","",INDEX(입력_기본자료!$I$2:$I$1001,$AB61)))</f>
        <v/>
      </c>
      <c r="L61" s="10">
        <f>IF($AB61="","",IF(INDEX(입력_기본자료!$A$2:$A$1001,$AB61)="","",INDEX(입력_기본자료!$A$2:$A$1001,$AB61)))</f>
        <v/>
      </c>
      <c r="M61" s="15" t="n"/>
      <c r="N61" s="10">
        <f>IF($B61="","",IF(AND($U61="파견중",$Q61&lt;&gt;""),$Q61,IF(AND($AD61&lt;&gt;"",LEFT($AD61,1)&lt;&gt;"⚠"),LEFT($AD61,FIND(" ",$AD61)-1),IF($H61="","",IF(RIGHT($H61,2)="병원",$H61,$H61&amp;"병원")))))</f>
        <v/>
      </c>
      <c r="O61" s="10">
        <f>IF($B61="","",IF(AND($U61="파견중",$Q61&lt;&gt;""),IF($R61&lt;&gt;"",$R61,"파견과 미입력"),IF(AND($AD61&lt;&gt;"",LEFT($AD61,1)&lt;&gt;"⚠"),MID($AD61,FIND(" ",$AD61)+1,60),IF($F61="","",IF($F61="인턴","수련교육부(인턴)",$F61)))))</f>
        <v/>
      </c>
      <c r="P61" s="10">
        <f>IF($B61="","",IF($AK61&lt;&gt;"",IF(AND(TODAY()&gt;=INDEX(입력_파견수련계획!$AB$4:$AB$803,$AK61),OR(NOT(ISNUMBER(INDEX(입력_파견수련계획!$AC$4:$AC$803,$AK61))),TODAY()&lt;=INDEX(입력_파견수련계획!$AC$4:$AC$803,$AK61))),"다기관",IF($AF61="","",INDEX(입력_파견수련계획!$T$4:$T$803,$AF61))),IF($AF61="","",INDEX(입력_파견수련계획!$T$4:$T$803,$AF61))))</f>
        <v/>
      </c>
      <c r="Q61" s="10">
        <f>IF($AF61="","",INDEX(입력_파견수련계획!$S$4:$S$803,$AF61))</f>
        <v/>
      </c>
      <c r="R61" s="10">
        <f>IF($AF61="","",INDEX(입력_파견수련계획!$U$4:$U$803,$AF61))</f>
        <v/>
      </c>
      <c r="S61" s="11">
        <f>IF($AF61="","",IF(INDEX(입력_파견수련계획!$H$4:$H$803,$AF61)="","",INDEX(입력_파견수련계획!$H$4:$H$803,$AF61)))</f>
        <v/>
      </c>
      <c r="T61" s="11">
        <f>IF($AF61="","",IF(INDEX(입력_파견수련계획!$I$4:$I$803,$AF61)="","",INDEX(입력_파견수련계획!$I$4:$I$803,$AF61)))</f>
        <v/>
      </c>
      <c r="U61" s="10">
        <f>IF($AF61="","",INDEX(입력_파견수련계획!$X$4:$X$803,$AF61))</f>
        <v/>
      </c>
      <c r="V61" s="17">
        <f>IF($AF61="","",INDEX(입력_파견수련계획!$V$4:$V$803,$AF61))</f>
        <v/>
      </c>
      <c r="W61" s="17">
        <f>IF(AND($U61="파견중",$T61&lt;&gt;""),$T61-TODAY(),"")</f>
        <v/>
      </c>
      <c r="X61" s="17">
        <f>IF(OR($B61="",TRIM($J61&amp;"")=""),"",SUMPRODUCT((입력_파견수련계획!$Q$4:$Q$803=TRIM($J61&amp;""))*입력_파견수련계획!$W$4:$W$803))</f>
        <v/>
      </c>
      <c r="Y61" s="10">
        <f>IF($B61="","",IF($AG61="","",IF(IF(TRIM($J61&amp;"")="",0,SUMPRODUCT((입력_파견수련계획!$Q$4:$Q$803=TRIM($J61&amp;""))*입력_파견수련계획!$AD$4:$AD$803))&gt;0,$AE61,IF(AND(N($X61)&lt;=0,$AQ61=""),$AG61,IF($AH61+$AI61=DAY(EOMONTH(출력_요약!$B$3,0)),IF(AND($AH61&gt;=출력_요약!$E$3,$AI61&lt;출력_요약!$E$3),"서울병원",IF(AND($AI61&gt;=출력_요약!$E$3,$AH61&lt;출력_요약!$E$3),"구리병원","⚠15일 판정불가(서울 "&amp;$AH61&amp;"일/구리 "&amp;$AI61&amp;"일)")),IF($AJ61="",$AE61,IF(INDEX(입력_파견수련계획!$T$4:$T$803,$AJ61)="통합수련",INDEX(입력_파견수련계획!$S$4:$S$803,$AJ61),$AE61)))))))</f>
        <v/>
      </c>
      <c r="Z61" s="20">
        <f>IF($B61="","",IF($AB61="","기본자료에 없는 사번",IF(COUNTIF($B$2:$B$401,$B61)&gt;1,"중복 사번",IF($AE61="","소속(입사장소) 입력",IF(IF(TRIM($J61&amp;"")="",0,SUMPRODUCT((입력_파견수련계획!$Q$4:$Q$803=TRIM($J61&amp;""))*(입력_파견수련계획!$AA$4:$AA$803&lt;&gt;"")))&gt;0,"파견수련계획 입력오류 확인",IF(LEFT($Y61,1)="⚠","서울·구리 15일 판정 불가(양쪽 모두 이상/미만)",IF(IF($AC61="",0,N(INDEX(입력_인턴근무계획!$T$3:$T$402,$AC61)))&gt;0,"인턴계획 입력오류 확인",IF(AND($AQ61&lt;&gt;"",$AG61&lt;&gt;"구리병원",IF(TRIM($J61&amp;"")="",0,SUMPRODUCT((입력_파견수련계획!$Q$4:$Q$803=TRIM($J61&amp;""))*(입력_파견수련계획!$S$4:$S$803="구리병원")*입력_파견수련계획!$W$4:$W$803))=0),"구리 근무자명단에만 있음(파견수련계획 확인)",IF(AND($AC61&lt;&gt;"",$U61&lt;&gt;"파견중",$N61&lt;&gt;$AE61),"인턴 타지역 근무: 파견 여부 확인","정상")))))))))</f>
        <v/>
      </c>
      <c r="AA61" s="5" t="n"/>
      <c r="AB61" s="10">
        <f>IF($B61="","",IFERROR(MATCH($B61,입력_기본자료!$B$2:$B$1001,0),IFERROR(MATCH($B61&amp;"",입력_기본자료!$B$2:$B$1001,0),IFERROR(MATCH(VALUE($B61),입력_기본자료!$B$2:$B$1001,0),""))))</f>
        <v/>
      </c>
      <c r="AC61" s="10">
        <f>IF($B61="","",IFERROR(MATCH($B61,입력_인턴근무계획!$D$3:$D$402,0),IFERROR(MATCH($B61&amp;"",입력_인턴근무계획!$D$3:$D$402,0),IFERROR(MATCH(VALUE($B61),입력_인턴근무계획!$D$3:$D$402,0),""))))</f>
        <v/>
      </c>
      <c r="AD61" s="10">
        <f>IF(OR($AC61="",출력_인턴현황!$G$3=""),"",INDEX(입력_인턴근무계획!$M$3:$R$402,$AC61,출력_인턴현황!$G$3)&amp;"")</f>
        <v/>
      </c>
      <c r="AE61" s="10">
        <f>IF($B61="","",IF($M61&lt;&gt;"",$M61,IF(IF($AQ61="",FALSE,INDEX(출력_구리근무자!$J$6:$J$305,$AQ61)="구리독자"),"구리병원",IF($AF61&lt;&gt;"",IF(LEFT(INDEX(입력_파견수련계획!$R$4:$R$803,$AF61),1)&lt;&gt;"⚠",INDEX(입력_파견수련계획!$R$4:$R$803,$AF61),IF($H61="","",IF(RIGHT($H61,2)="병원",$H61,$H61&amp;"병원"))),IF($H61="","",IF(RIGHT($H61,2)="병원",$H61,$H61&amp;"병원"))))))</f>
        <v/>
      </c>
      <c r="AF61" s="10">
        <f>IF(OR($B61="",TRIM($J61&amp;"")=""),"",IFERROR(MATCH(TRIM($J61&amp;"")&amp;"|파견중",입력_파견수련계획!$Y$4:$Y$803,0),IFERROR(MATCH(TRIM($J61&amp;"")&amp;"|파견예정",입력_파견수련계획!$Y$4:$Y$803,0),IFERROR(MATCH(TRIM($J61&amp;"")&amp;"|파견종료",입력_파견수련계획!$Y$4:$Y$803,0),""))))</f>
        <v/>
      </c>
      <c r="AG61" s="10">
        <f>IF($B61="","",IF(AND(IF(OR($AC61="",출력_인턴현황!$K$2=""),"",INDEX(입력_인턴근무계획!$M$3:$R$402,$AC61,출력_인턴현황!$K$2)&amp;"")&lt;&gt;"",LEFT(IF(OR($AC61="",출력_인턴현황!$K$2=""),"",INDEX(입력_인턴근무계획!$M$3:$R$402,$AC61,출력_인턴현황!$K$2)&amp;""),1)&lt;&gt;"⚠"),LEFT(IF(OR($AC61="",출력_인턴현황!$K$2=""),"",INDEX(입력_인턴근무계획!$M$3:$R$402,$AC61,출력_인턴현황!$K$2)&amp;""),FIND(" ",IF(OR($AC61="",출력_인턴현황!$K$2=""),"",INDEX(입력_인턴근무계획!$M$3:$R$402,$AC61,출력_인턴현황!$K$2)&amp;""))-1),$AE61))</f>
        <v/>
      </c>
      <c r="AH61" s="17">
        <f>IF($B61="","",IF($AQ61&lt;&gt;"",MAX(0,DAY(EOMONTH(출력_요약!$B$3,0))-N($AR61)),IF(TRIM($J61&amp;"")="",0,SUMPRODUCT((입력_파견수련계획!$Q$4:$Q$803=TRIM($J61&amp;""))*(입력_파견수련계획!$S$4:$S$803="서울병원")*입력_파견수련계획!$W$4:$W$803))+IF($AG61="서울병원",MAX(0,DAY(EOMONTH(출력_요약!$B$3,0))-N($X61)),0)))</f>
        <v/>
      </c>
      <c r="AI61" s="17">
        <f>IF($B61="","",IF($AQ61&lt;&gt;"",N($AR61),IF(TRIM($J61&amp;"")="",0,SUMPRODUCT((입력_파견수련계획!$Q$4:$Q$803=TRIM($J61&amp;""))*(입력_파견수련계획!$S$4:$S$803="구리병원")*입력_파견수련계획!$W$4:$W$803))+IF($AG61="구리병원",MAX(0,DAY(EOMONTH(출력_요약!$B$3,0))-N($X61)),0)))</f>
        <v/>
      </c>
      <c r="AJ61" s="10">
        <f>IF(OR($B61="",TRIM($J61&amp;"")=""),"",IFERROR(MATCH(TRIM($J61&amp;"")&amp;"|월",입력_파견수련계획!$Z$4:$Z$803,0),""))</f>
        <v/>
      </c>
      <c r="AK61" s="10">
        <f>IF(OR($B61="",TRIM($J61&amp;"")=""),"",IFERROR(MATCH(TRIM($J61&amp;"")&amp;"|다기관",입력_파견수련계획!$AE$4:$AE$803,0),""))</f>
        <v/>
      </c>
      <c r="AL61" s="10">
        <f>IF($AK61="","","다기관 "&amp;TEXT(INDEX(입력_파견수련계획!$AB$4:$AB$803,$AK61),"yyyy-mm-dd")&amp;"~"&amp;IF(ISNUMBER(INDEX(입력_파견수련계획!$AC$4:$AC$803,$AK61)),TEXT(INDEX(입력_파견수련계획!$AC$4:$AC$803,$AK61),"yyyy-mm-dd"),""))</f>
        <v/>
      </c>
      <c r="AM61" s="10">
        <f>IF($Y61="서울병원",COUNTIF($Y$2:$Y61,"서울병원"),"")</f>
        <v/>
      </c>
      <c r="AN61" s="10">
        <f>IF(LEFT($Y61,1)="⚠",COUNTIF($Y$2:$Y61,"⚠*"),"")</f>
        <v/>
      </c>
      <c r="AO61" s="10">
        <f>IF(OR($B61="",$Y61=""),"",IF(IF(TRIM($J61&amp;"")="",0,SUMPRODUCT((입력_파견수련계획!$Q$4:$Q$803=TRIM($J61&amp;""))*입력_파견수련계획!$AD$4:$AD$803))&gt;0,"다기관 기간 → 소속병원 지급",IF(AND(N($X61)&lt;=0,$AQ61=""),"파견 없음 → 그 달 근무병원 지급",IF($AH61+$AI61=DAY(EOMONTH(출력_요약!$B$3,0)),"서울 "&amp;$AH61&amp;"일 / 구리 "&amp;$AI61&amp;"일"&amp;IF($AQ61&lt;&gt;""," (구리 근무자명단 반영)","")&amp;" → 15일 이상 근무 병원 지급","타 병원 포함 → "&amp;IF($AJ61="","소속",INDEX(입력_파견수련계획!$T$4:$T$803,$AJ61))&amp;" 규칙"))))</f>
        <v/>
      </c>
      <c r="AP61" s="10">
        <f>IF($B61="","",$C61&amp;"|"&amp;$F61)</f>
        <v/>
      </c>
      <c r="AQ61" s="10">
        <f>IF($B61="","",IFERROR(MATCH(ROW()-1,출력_구리근무자!$K$6:$K$305,0),""))</f>
        <v/>
      </c>
      <c r="AR61" s="10">
        <f>IF($AQ61="","",INDEX(출력_구리근무자!$H$6:$H$305,$AQ61))</f>
        <v/>
      </c>
    </row>
    <row r="62">
      <c r="A62" s="10">
        <f>IF(B62="","",ROW()-1)</f>
        <v/>
      </c>
      <c r="B62" s="19" t="n"/>
      <c r="C62" s="10">
        <f>IF($AB62="","",IF(INDEX(입력_기본자료!$C$2:$C$1001,$AB62)="","",INDEX(입력_기본자료!$C$2:$C$1001,$AB62)))</f>
        <v/>
      </c>
      <c r="D62" s="10">
        <f>IF($AB62="","",IF(INDEX(입력_기본자료!$J$2:$J$1001,$AB62)="","",INDEX(입력_기본자료!$J$2:$J$1001,$AB62)))</f>
        <v/>
      </c>
      <c r="E62" s="11">
        <f>IF($AB62="","",IF(INDEX(입력_기본자료!$K$2:$K$1001,$AB62)="","",IF(NOT(ISNUMBER(INDEX(입력_기본자료!$K$2:$K$1001,$AB62))),INDEX(입력_기본자료!$K$2:$K$1001,$AB62),IF(INDEX(입력_기본자료!$K$2:$K$1001,$AB62)&lt;1000000,INDEX(입력_기본자료!$K$2:$K$1001,$AB62),IF(AND(INDEX(입력_기본자료!$K$2:$K$1001,$AB62)&gt;=10000101,INT(MOD(INDEX(입력_기본자료!$K$2:$K$1001,$AB62),10000)/100)&gt;=1,INT(MOD(INDEX(입력_기본자료!$K$2:$K$1001,$AB62),10000)/100)&lt;=12,MOD(INDEX(입력_기본자료!$K$2:$K$1001,$AB62),100)&gt;=1,MOD(INDEX(입력_기본자료!$K$2:$K$1001,$AB62),100)&lt;=31),DATE(INT(INDEX(입력_기본자료!$K$2:$K$1001,$AB62)/10000),INT(MOD(INDEX(입력_기본자료!$K$2:$K$1001,$AB62),10000)/100),MOD(INDEX(입력_기본자료!$K$2:$K$1001,$AB62),100)),INDEX(입력_기본자료!$K$2:$K$1001,$AB62)&amp;"")))))</f>
        <v/>
      </c>
      <c r="F62" s="10">
        <f>IF($AB62="","",IF(INDEX(입력_기본자료!$D$2:$D$1001,$AB62)="","",INDEX(입력_기본자료!$D$2:$D$1001,$AB62)))</f>
        <v/>
      </c>
      <c r="G62" s="10">
        <f>IF($AB62="","",IF(INDEX(입력_기본자료!$E$2:$E$1001,$AB62)="","",INDEX(입력_기본자료!$E$2:$E$1001,$AB62)))</f>
        <v/>
      </c>
      <c r="H62" s="10">
        <f>IF($AB62="","",IF(INDEX(입력_기본자료!$F$2:$F$1001,$AB62)="","",INDEX(입력_기본자료!$F$2:$F$1001,$AB62)))</f>
        <v/>
      </c>
      <c r="I62" s="11">
        <f>IF($AB62="","",IF(INDEX(입력_기본자료!$G$2:$G$1001,$AB62)="","",IF(NOT(ISNUMBER(INDEX(입력_기본자료!$G$2:$G$1001,$AB62))),INDEX(입력_기본자료!$G$2:$G$1001,$AB62),IF(INDEX(입력_기본자료!$G$2:$G$1001,$AB62)&lt;1000000,INDEX(입력_기본자료!$G$2:$G$1001,$AB62),IF(AND(INDEX(입력_기본자료!$G$2:$G$1001,$AB62)&gt;=10000101,INT(MOD(INDEX(입력_기본자료!$G$2:$G$1001,$AB62),10000)/100)&gt;=1,INT(MOD(INDEX(입력_기본자료!$G$2:$G$1001,$AB62),10000)/100)&lt;=12,MOD(INDEX(입력_기본자료!$G$2:$G$1001,$AB62),100)&gt;=1,MOD(INDEX(입력_기본자료!$G$2:$G$1001,$AB62),100)&lt;=31),DATE(INT(INDEX(입력_기본자료!$G$2:$G$1001,$AB62)/10000),INT(MOD(INDEX(입력_기본자료!$G$2:$G$1001,$AB62),10000)/100),MOD(INDEX(입력_기본자료!$G$2:$G$1001,$AB62),100)),INDEX(입력_기본자료!$G$2:$G$1001,$AB62)&amp;"")))))</f>
        <v/>
      </c>
      <c r="J62" s="10">
        <f>IF($AB62="","",IF(INDEX(입력_기본자료!$H$2:$H$1001,$AB62)="","",INDEX(입력_기본자료!$H$2:$H$1001,$AB62)))</f>
        <v/>
      </c>
      <c r="K62" s="10">
        <f>IF($AB62="","",IF(INDEX(입력_기본자료!$I$2:$I$1001,$AB62)="","",INDEX(입력_기본자료!$I$2:$I$1001,$AB62)))</f>
        <v/>
      </c>
      <c r="L62" s="10">
        <f>IF($AB62="","",IF(INDEX(입력_기본자료!$A$2:$A$1001,$AB62)="","",INDEX(입력_기본자료!$A$2:$A$1001,$AB62)))</f>
        <v/>
      </c>
      <c r="M62" s="15" t="n"/>
      <c r="N62" s="10">
        <f>IF($B62="","",IF(AND($U62="파견중",$Q62&lt;&gt;""),$Q62,IF(AND($AD62&lt;&gt;"",LEFT($AD62,1)&lt;&gt;"⚠"),LEFT($AD62,FIND(" ",$AD62)-1),IF($H62="","",IF(RIGHT($H62,2)="병원",$H62,$H62&amp;"병원")))))</f>
        <v/>
      </c>
      <c r="O62" s="10">
        <f>IF($B62="","",IF(AND($U62="파견중",$Q62&lt;&gt;""),IF($R62&lt;&gt;"",$R62,"파견과 미입력"),IF(AND($AD62&lt;&gt;"",LEFT($AD62,1)&lt;&gt;"⚠"),MID($AD62,FIND(" ",$AD62)+1,60),IF($F62="","",IF($F62="인턴","수련교육부(인턴)",$F62)))))</f>
        <v/>
      </c>
      <c r="P62" s="10">
        <f>IF($B62="","",IF($AK62&lt;&gt;"",IF(AND(TODAY()&gt;=INDEX(입력_파견수련계획!$AB$4:$AB$803,$AK62),OR(NOT(ISNUMBER(INDEX(입력_파견수련계획!$AC$4:$AC$803,$AK62))),TODAY()&lt;=INDEX(입력_파견수련계획!$AC$4:$AC$803,$AK62))),"다기관",IF($AF62="","",INDEX(입력_파견수련계획!$T$4:$T$803,$AF62))),IF($AF62="","",INDEX(입력_파견수련계획!$T$4:$T$803,$AF62))))</f>
        <v/>
      </c>
      <c r="Q62" s="10">
        <f>IF($AF62="","",INDEX(입력_파견수련계획!$S$4:$S$803,$AF62))</f>
        <v/>
      </c>
      <c r="R62" s="10">
        <f>IF($AF62="","",INDEX(입력_파견수련계획!$U$4:$U$803,$AF62))</f>
        <v/>
      </c>
      <c r="S62" s="11">
        <f>IF($AF62="","",IF(INDEX(입력_파견수련계획!$H$4:$H$803,$AF62)="","",INDEX(입력_파견수련계획!$H$4:$H$803,$AF62)))</f>
        <v/>
      </c>
      <c r="T62" s="11">
        <f>IF($AF62="","",IF(INDEX(입력_파견수련계획!$I$4:$I$803,$AF62)="","",INDEX(입력_파견수련계획!$I$4:$I$803,$AF62)))</f>
        <v/>
      </c>
      <c r="U62" s="10">
        <f>IF($AF62="","",INDEX(입력_파견수련계획!$X$4:$X$803,$AF62))</f>
        <v/>
      </c>
      <c r="V62" s="17">
        <f>IF($AF62="","",INDEX(입력_파견수련계획!$V$4:$V$803,$AF62))</f>
        <v/>
      </c>
      <c r="W62" s="17">
        <f>IF(AND($U62="파견중",$T62&lt;&gt;""),$T62-TODAY(),"")</f>
        <v/>
      </c>
      <c r="X62" s="17">
        <f>IF(OR($B62="",TRIM($J62&amp;"")=""),"",SUMPRODUCT((입력_파견수련계획!$Q$4:$Q$803=TRIM($J62&amp;""))*입력_파견수련계획!$W$4:$W$803))</f>
        <v/>
      </c>
      <c r="Y62" s="10">
        <f>IF($B62="","",IF($AG62="","",IF(IF(TRIM($J62&amp;"")="",0,SUMPRODUCT((입력_파견수련계획!$Q$4:$Q$803=TRIM($J62&amp;""))*입력_파견수련계획!$AD$4:$AD$803))&gt;0,$AE62,IF(AND(N($X62)&lt;=0,$AQ62=""),$AG62,IF($AH62+$AI62=DAY(EOMONTH(출력_요약!$B$3,0)),IF(AND($AH62&gt;=출력_요약!$E$3,$AI62&lt;출력_요약!$E$3),"서울병원",IF(AND($AI62&gt;=출력_요약!$E$3,$AH62&lt;출력_요약!$E$3),"구리병원","⚠15일 판정불가(서울 "&amp;$AH62&amp;"일/구리 "&amp;$AI62&amp;"일)")),IF($AJ62="",$AE62,IF(INDEX(입력_파견수련계획!$T$4:$T$803,$AJ62)="통합수련",INDEX(입력_파견수련계획!$S$4:$S$803,$AJ62),$AE62)))))))</f>
        <v/>
      </c>
      <c r="Z62" s="20">
        <f>IF($B62="","",IF($AB62="","기본자료에 없는 사번",IF(COUNTIF($B$2:$B$401,$B62)&gt;1,"중복 사번",IF($AE62="","소속(입사장소) 입력",IF(IF(TRIM($J62&amp;"")="",0,SUMPRODUCT((입력_파견수련계획!$Q$4:$Q$803=TRIM($J62&amp;""))*(입력_파견수련계획!$AA$4:$AA$803&lt;&gt;"")))&gt;0,"파견수련계획 입력오류 확인",IF(LEFT($Y62,1)="⚠","서울·구리 15일 판정 불가(양쪽 모두 이상/미만)",IF(IF($AC62="",0,N(INDEX(입력_인턴근무계획!$T$3:$T$402,$AC62)))&gt;0,"인턴계획 입력오류 확인",IF(AND($AQ62&lt;&gt;"",$AG62&lt;&gt;"구리병원",IF(TRIM($J62&amp;"")="",0,SUMPRODUCT((입력_파견수련계획!$Q$4:$Q$803=TRIM($J62&amp;""))*(입력_파견수련계획!$S$4:$S$803="구리병원")*입력_파견수련계획!$W$4:$W$803))=0),"구리 근무자명단에만 있음(파견수련계획 확인)",IF(AND($AC62&lt;&gt;"",$U62&lt;&gt;"파견중",$N62&lt;&gt;$AE62),"인턴 타지역 근무: 파견 여부 확인","정상")))))))))</f>
        <v/>
      </c>
      <c r="AA62" s="5" t="n"/>
      <c r="AB62" s="10">
        <f>IF($B62="","",IFERROR(MATCH($B62,입력_기본자료!$B$2:$B$1001,0),IFERROR(MATCH($B62&amp;"",입력_기본자료!$B$2:$B$1001,0),IFERROR(MATCH(VALUE($B62),입력_기본자료!$B$2:$B$1001,0),""))))</f>
        <v/>
      </c>
      <c r="AC62" s="10">
        <f>IF($B62="","",IFERROR(MATCH($B62,입력_인턴근무계획!$D$3:$D$402,0),IFERROR(MATCH($B62&amp;"",입력_인턴근무계획!$D$3:$D$402,0),IFERROR(MATCH(VALUE($B62),입력_인턴근무계획!$D$3:$D$402,0),""))))</f>
        <v/>
      </c>
      <c r="AD62" s="10">
        <f>IF(OR($AC62="",출력_인턴현황!$G$3=""),"",INDEX(입력_인턴근무계획!$M$3:$R$402,$AC62,출력_인턴현황!$G$3)&amp;"")</f>
        <v/>
      </c>
      <c r="AE62" s="10">
        <f>IF($B62="","",IF($M62&lt;&gt;"",$M62,IF(IF($AQ62="",FALSE,INDEX(출력_구리근무자!$J$6:$J$305,$AQ62)="구리독자"),"구리병원",IF($AF62&lt;&gt;"",IF(LEFT(INDEX(입력_파견수련계획!$R$4:$R$803,$AF62),1)&lt;&gt;"⚠",INDEX(입력_파견수련계획!$R$4:$R$803,$AF62),IF($H62="","",IF(RIGHT($H62,2)="병원",$H62,$H62&amp;"병원"))),IF($H62="","",IF(RIGHT($H62,2)="병원",$H62,$H62&amp;"병원"))))))</f>
        <v/>
      </c>
      <c r="AF62" s="10">
        <f>IF(OR($B62="",TRIM($J62&amp;"")=""),"",IFERROR(MATCH(TRIM($J62&amp;"")&amp;"|파견중",입력_파견수련계획!$Y$4:$Y$803,0),IFERROR(MATCH(TRIM($J62&amp;"")&amp;"|파견예정",입력_파견수련계획!$Y$4:$Y$803,0),IFERROR(MATCH(TRIM($J62&amp;"")&amp;"|파견종료",입력_파견수련계획!$Y$4:$Y$803,0),""))))</f>
        <v/>
      </c>
      <c r="AG62" s="10">
        <f>IF($B62="","",IF(AND(IF(OR($AC62="",출력_인턴현황!$K$2=""),"",INDEX(입력_인턴근무계획!$M$3:$R$402,$AC62,출력_인턴현황!$K$2)&amp;"")&lt;&gt;"",LEFT(IF(OR($AC62="",출력_인턴현황!$K$2=""),"",INDEX(입력_인턴근무계획!$M$3:$R$402,$AC62,출력_인턴현황!$K$2)&amp;""),1)&lt;&gt;"⚠"),LEFT(IF(OR($AC62="",출력_인턴현황!$K$2=""),"",INDEX(입력_인턴근무계획!$M$3:$R$402,$AC62,출력_인턴현황!$K$2)&amp;""),FIND(" ",IF(OR($AC62="",출력_인턴현황!$K$2=""),"",INDEX(입력_인턴근무계획!$M$3:$R$402,$AC62,출력_인턴현황!$K$2)&amp;""))-1),$AE62))</f>
        <v/>
      </c>
      <c r="AH62" s="17">
        <f>IF($B62="","",IF($AQ62&lt;&gt;"",MAX(0,DAY(EOMONTH(출력_요약!$B$3,0))-N($AR62)),IF(TRIM($J62&amp;"")="",0,SUMPRODUCT((입력_파견수련계획!$Q$4:$Q$803=TRIM($J62&amp;""))*(입력_파견수련계획!$S$4:$S$803="서울병원")*입력_파견수련계획!$W$4:$W$803))+IF($AG62="서울병원",MAX(0,DAY(EOMONTH(출력_요약!$B$3,0))-N($X62)),0)))</f>
        <v/>
      </c>
      <c r="AI62" s="17">
        <f>IF($B62="","",IF($AQ62&lt;&gt;"",N($AR62),IF(TRIM($J62&amp;"")="",0,SUMPRODUCT((입력_파견수련계획!$Q$4:$Q$803=TRIM($J62&amp;""))*(입력_파견수련계획!$S$4:$S$803="구리병원")*입력_파견수련계획!$W$4:$W$803))+IF($AG62="구리병원",MAX(0,DAY(EOMONTH(출력_요약!$B$3,0))-N($X62)),0)))</f>
        <v/>
      </c>
      <c r="AJ62" s="10">
        <f>IF(OR($B62="",TRIM($J62&amp;"")=""),"",IFERROR(MATCH(TRIM($J62&amp;"")&amp;"|월",입력_파견수련계획!$Z$4:$Z$803,0),""))</f>
        <v/>
      </c>
      <c r="AK62" s="10">
        <f>IF(OR($B62="",TRIM($J62&amp;"")=""),"",IFERROR(MATCH(TRIM($J62&amp;"")&amp;"|다기관",입력_파견수련계획!$AE$4:$AE$803,0),""))</f>
        <v/>
      </c>
      <c r="AL62" s="10">
        <f>IF($AK62="","","다기관 "&amp;TEXT(INDEX(입력_파견수련계획!$AB$4:$AB$803,$AK62),"yyyy-mm-dd")&amp;"~"&amp;IF(ISNUMBER(INDEX(입력_파견수련계획!$AC$4:$AC$803,$AK62)),TEXT(INDEX(입력_파견수련계획!$AC$4:$AC$803,$AK62),"yyyy-mm-dd"),""))</f>
        <v/>
      </c>
      <c r="AM62" s="10">
        <f>IF($Y62="서울병원",COUNTIF($Y$2:$Y62,"서울병원"),"")</f>
        <v/>
      </c>
      <c r="AN62" s="10">
        <f>IF(LEFT($Y62,1)="⚠",COUNTIF($Y$2:$Y62,"⚠*"),"")</f>
        <v/>
      </c>
      <c r="AO62" s="10">
        <f>IF(OR($B62="",$Y62=""),"",IF(IF(TRIM($J62&amp;"")="",0,SUMPRODUCT((입력_파견수련계획!$Q$4:$Q$803=TRIM($J62&amp;""))*입력_파견수련계획!$AD$4:$AD$803))&gt;0,"다기관 기간 → 소속병원 지급",IF(AND(N($X62)&lt;=0,$AQ62=""),"파견 없음 → 그 달 근무병원 지급",IF($AH62+$AI62=DAY(EOMONTH(출력_요약!$B$3,0)),"서울 "&amp;$AH62&amp;"일 / 구리 "&amp;$AI62&amp;"일"&amp;IF($AQ62&lt;&gt;""," (구리 근무자명단 반영)","")&amp;" → 15일 이상 근무 병원 지급","타 병원 포함 → "&amp;IF($AJ62="","소속",INDEX(입력_파견수련계획!$T$4:$T$803,$AJ62))&amp;" 규칙"))))</f>
        <v/>
      </c>
      <c r="AP62" s="10">
        <f>IF($B62="","",$C62&amp;"|"&amp;$F62)</f>
        <v/>
      </c>
      <c r="AQ62" s="10">
        <f>IF($B62="","",IFERROR(MATCH(ROW()-1,출력_구리근무자!$K$6:$K$305,0),""))</f>
        <v/>
      </c>
      <c r="AR62" s="10">
        <f>IF($AQ62="","",INDEX(출력_구리근무자!$H$6:$H$305,$AQ62))</f>
        <v/>
      </c>
    </row>
    <row r="63">
      <c r="A63" s="10">
        <f>IF(B63="","",ROW()-1)</f>
        <v/>
      </c>
      <c r="B63" s="19" t="n"/>
      <c r="C63" s="10">
        <f>IF($AB63="","",IF(INDEX(입력_기본자료!$C$2:$C$1001,$AB63)="","",INDEX(입력_기본자료!$C$2:$C$1001,$AB63)))</f>
        <v/>
      </c>
      <c r="D63" s="10">
        <f>IF($AB63="","",IF(INDEX(입력_기본자료!$J$2:$J$1001,$AB63)="","",INDEX(입력_기본자료!$J$2:$J$1001,$AB63)))</f>
        <v/>
      </c>
      <c r="E63" s="11">
        <f>IF($AB63="","",IF(INDEX(입력_기본자료!$K$2:$K$1001,$AB63)="","",IF(NOT(ISNUMBER(INDEX(입력_기본자료!$K$2:$K$1001,$AB63))),INDEX(입력_기본자료!$K$2:$K$1001,$AB63),IF(INDEX(입력_기본자료!$K$2:$K$1001,$AB63)&lt;1000000,INDEX(입력_기본자료!$K$2:$K$1001,$AB63),IF(AND(INDEX(입력_기본자료!$K$2:$K$1001,$AB63)&gt;=10000101,INT(MOD(INDEX(입력_기본자료!$K$2:$K$1001,$AB63),10000)/100)&gt;=1,INT(MOD(INDEX(입력_기본자료!$K$2:$K$1001,$AB63),10000)/100)&lt;=12,MOD(INDEX(입력_기본자료!$K$2:$K$1001,$AB63),100)&gt;=1,MOD(INDEX(입력_기본자료!$K$2:$K$1001,$AB63),100)&lt;=31),DATE(INT(INDEX(입력_기본자료!$K$2:$K$1001,$AB63)/10000),INT(MOD(INDEX(입력_기본자료!$K$2:$K$1001,$AB63),10000)/100),MOD(INDEX(입력_기본자료!$K$2:$K$1001,$AB63),100)),INDEX(입력_기본자료!$K$2:$K$1001,$AB63)&amp;"")))))</f>
        <v/>
      </c>
      <c r="F63" s="10">
        <f>IF($AB63="","",IF(INDEX(입력_기본자료!$D$2:$D$1001,$AB63)="","",INDEX(입력_기본자료!$D$2:$D$1001,$AB63)))</f>
        <v/>
      </c>
      <c r="G63" s="10">
        <f>IF($AB63="","",IF(INDEX(입력_기본자료!$E$2:$E$1001,$AB63)="","",INDEX(입력_기본자료!$E$2:$E$1001,$AB63)))</f>
        <v/>
      </c>
      <c r="H63" s="10">
        <f>IF($AB63="","",IF(INDEX(입력_기본자료!$F$2:$F$1001,$AB63)="","",INDEX(입력_기본자료!$F$2:$F$1001,$AB63)))</f>
        <v/>
      </c>
      <c r="I63" s="11">
        <f>IF($AB63="","",IF(INDEX(입력_기본자료!$G$2:$G$1001,$AB63)="","",IF(NOT(ISNUMBER(INDEX(입력_기본자료!$G$2:$G$1001,$AB63))),INDEX(입력_기본자료!$G$2:$G$1001,$AB63),IF(INDEX(입력_기본자료!$G$2:$G$1001,$AB63)&lt;1000000,INDEX(입력_기본자료!$G$2:$G$1001,$AB63),IF(AND(INDEX(입력_기본자료!$G$2:$G$1001,$AB63)&gt;=10000101,INT(MOD(INDEX(입력_기본자료!$G$2:$G$1001,$AB63),10000)/100)&gt;=1,INT(MOD(INDEX(입력_기본자료!$G$2:$G$1001,$AB63),10000)/100)&lt;=12,MOD(INDEX(입력_기본자료!$G$2:$G$1001,$AB63),100)&gt;=1,MOD(INDEX(입력_기본자료!$G$2:$G$1001,$AB63),100)&lt;=31),DATE(INT(INDEX(입력_기본자료!$G$2:$G$1001,$AB63)/10000),INT(MOD(INDEX(입력_기본자료!$G$2:$G$1001,$AB63),10000)/100),MOD(INDEX(입력_기본자료!$G$2:$G$1001,$AB63),100)),INDEX(입력_기본자료!$G$2:$G$1001,$AB63)&amp;"")))))</f>
        <v/>
      </c>
      <c r="J63" s="10">
        <f>IF($AB63="","",IF(INDEX(입력_기본자료!$H$2:$H$1001,$AB63)="","",INDEX(입력_기본자료!$H$2:$H$1001,$AB63)))</f>
        <v/>
      </c>
      <c r="K63" s="10">
        <f>IF($AB63="","",IF(INDEX(입력_기본자료!$I$2:$I$1001,$AB63)="","",INDEX(입력_기본자료!$I$2:$I$1001,$AB63)))</f>
        <v/>
      </c>
      <c r="L63" s="10">
        <f>IF($AB63="","",IF(INDEX(입력_기본자료!$A$2:$A$1001,$AB63)="","",INDEX(입력_기본자료!$A$2:$A$1001,$AB63)))</f>
        <v/>
      </c>
      <c r="M63" s="15" t="n"/>
      <c r="N63" s="10">
        <f>IF($B63="","",IF(AND($U63="파견중",$Q63&lt;&gt;""),$Q63,IF(AND($AD63&lt;&gt;"",LEFT($AD63,1)&lt;&gt;"⚠"),LEFT($AD63,FIND(" ",$AD63)-1),IF($H63="","",IF(RIGHT($H63,2)="병원",$H63,$H63&amp;"병원")))))</f>
        <v/>
      </c>
      <c r="O63" s="10">
        <f>IF($B63="","",IF(AND($U63="파견중",$Q63&lt;&gt;""),IF($R63&lt;&gt;"",$R63,"파견과 미입력"),IF(AND($AD63&lt;&gt;"",LEFT($AD63,1)&lt;&gt;"⚠"),MID($AD63,FIND(" ",$AD63)+1,60),IF($F63="","",IF($F63="인턴","수련교육부(인턴)",$F63)))))</f>
        <v/>
      </c>
      <c r="P63" s="10">
        <f>IF($B63="","",IF($AK63&lt;&gt;"",IF(AND(TODAY()&gt;=INDEX(입력_파견수련계획!$AB$4:$AB$803,$AK63),OR(NOT(ISNUMBER(INDEX(입력_파견수련계획!$AC$4:$AC$803,$AK63))),TODAY()&lt;=INDEX(입력_파견수련계획!$AC$4:$AC$803,$AK63))),"다기관",IF($AF63="","",INDEX(입력_파견수련계획!$T$4:$T$803,$AF63))),IF($AF63="","",INDEX(입력_파견수련계획!$T$4:$T$803,$AF63))))</f>
        <v/>
      </c>
      <c r="Q63" s="10">
        <f>IF($AF63="","",INDEX(입력_파견수련계획!$S$4:$S$803,$AF63))</f>
        <v/>
      </c>
      <c r="R63" s="10">
        <f>IF($AF63="","",INDEX(입력_파견수련계획!$U$4:$U$803,$AF63))</f>
        <v/>
      </c>
      <c r="S63" s="11">
        <f>IF($AF63="","",IF(INDEX(입력_파견수련계획!$H$4:$H$803,$AF63)="","",INDEX(입력_파견수련계획!$H$4:$H$803,$AF63)))</f>
        <v/>
      </c>
      <c r="T63" s="11">
        <f>IF($AF63="","",IF(INDEX(입력_파견수련계획!$I$4:$I$803,$AF63)="","",INDEX(입력_파견수련계획!$I$4:$I$803,$AF63)))</f>
        <v/>
      </c>
      <c r="U63" s="10">
        <f>IF($AF63="","",INDEX(입력_파견수련계획!$X$4:$X$803,$AF63))</f>
        <v/>
      </c>
      <c r="V63" s="17">
        <f>IF($AF63="","",INDEX(입력_파견수련계획!$V$4:$V$803,$AF63))</f>
        <v/>
      </c>
      <c r="W63" s="17">
        <f>IF(AND($U63="파견중",$T63&lt;&gt;""),$T63-TODAY(),"")</f>
        <v/>
      </c>
      <c r="X63" s="17">
        <f>IF(OR($B63="",TRIM($J63&amp;"")=""),"",SUMPRODUCT((입력_파견수련계획!$Q$4:$Q$803=TRIM($J63&amp;""))*입력_파견수련계획!$W$4:$W$803))</f>
        <v/>
      </c>
      <c r="Y63" s="10">
        <f>IF($B63="","",IF($AG63="","",IF(IF(TRIM($J63&amp;"")="",0,SUMPRODUCT((입력_파견수련계획!$Q$4:$Q$803=TRIM($J63&amp;""))*입력_파견수련계획!$AD$4:$AD$803))&gt;0,$AE63,IF(AND(N($X63)&lt;=0,$AQ63=""),$AG63,IF($AH63+$AI63=DAY(EOMONTH(출력_요약!$B$3,0)),IF(AND($AH63&gt;=출력_요약!$E$3,$AI63&lt;출력_요약!$E$3),"서울병원",IF(AND($AI63&gt;=출력_요약!$E$3,$AH63&lt;출력_요약!$E$3),"구리병원","⚠15일 판정불가(서울 "&amp;$AH63&amp;"일/구리 "&amp;$AI63&amp;"일)")),IF($AJ63="",$AE63,IF(INDEX(입력_파견수련계획!$T$4:$T$803,$AJ63)="통합수련",INDEX(입력_파견수련계획!$S$4:$S$803,$AJ63),$AE63)))))))</f>
        <v/>
      </c>
      <c r="Z63" s="20">
        <f>IF($B63="","",IF($AB63="","기본자료에 없는 사번",IF(COUNTIF($B$2:$B$401,$B63)&gt;1,"중복 사번",IF($AE63="","소속(입사장소) 입력",IF(IF(TRIM($J63&amp;"")="",0,SUMPRODUCT((입력_파견수련계획!$Q$4:$Q$803=TRIM($J63&amp;""))*(입력_파견수련계획!$AA$4:$AA$803&lt;&gt;"")))&gt;0,"파견수련계획 입력오류 확인",IF(LEFT($Y63,1)="⚠","서울·구리 15일 판정 불가(양쪽 모두 이상/미만)",IF(IF($AC63="",0,N(INDEX(입력_인턴근무계획!$T$3:$T$402,$AC63)))&gt;0,"인턴계획 입력오류 확인",IF(AND($AQ63&lt;&gt;"",$AG63&lt;&gt;"구리병원",IF(TRIM($J63&amp;"")="",0,SUMPRODUCT((입력_파견수련계획!$Q$4:$Q$803=TRIM($J63&amp;""))*(입력_파견수련계획!$S$4:$S$803="구리병원")*입력_파견수련계획!$W$4:$W$803))=0),"구리 근무자명단에만 있음(파견수련계획 확인)",IF(AND($AC63&lt;&gt;"",$U63&lt;&gt;"파견중",$N63&lt;&gt;$AE63),"인턴 타지역 근무: 파견 여부 확인","정상")))))))))</f>
        <v/>
      </c>
      <c r="AA63" s="5" t="n"/>
      <c r="AB63" s="10">
        <f>IF($B63="","",IFERROR(MATCH($B63,입력_기본자료!$B$2:$B$1001,0),IFERROR(MATCH($B63&amp;"",입력_기본자료!$B$2:$B$1001,0),IFERROR(MATCH(VALUE($B63),입력_기본자료!$B$2:$B$1001,0),""))))</f>
        <v/>
      </c>
      <c r="AC63" s="10">
        <f>IF($B63="","",IFERROR(MATCH($B63,입력_인턴근무계획!$D$3:$D$402,0),IFERROR(MATCH($B63&amp;"",입력_인턴근무계획!$D$3:$D$402,0),IFERROR(MATCH(VALUE($B63),입력_인턴근무계획!$D$3:$D$402,0),""))))</f>
        <v/>
      </c>
      <c r="AD63" s="10">
        <f>IF(OR($AC63="",출력_인턴현황!$G$3=""),"",INDEX(입력_인턴근무계획!$M$3:$R$402,$AC63,출력_인턴현황!$G$3)&amp;"")</f>
        <v/>
      </c>
      <c r="AE63" s="10">
        <f>IF($B63="","",IF($M63&lt;&gt;"",$M63,IF(IF($AQ63="",FALSE,INDEX(출력_구리근무자!$J$6:$J$305,$AQ63)="구리독자"),"구리병원",IF($AF63&lt;&gt;"",IF(LEFT(INDEX(입력_파견수련계획!$R$4:$R$803,$AF63),1)&lt;&gt;"⚠",INDEX(입력_파견수련계획!$R$4:$R$803,$AF63),IF($H63="","",IF(RIGHT($H63,2)="병원",$H63,$H63&amp;"병원"))),IF($H63="","",IF(RIGHT($H63,2)="병원",$H63,$H63&amp;"병원"))))))</f>
        <v/>
      </c>
      <c r="AF63" s="10">
        <f>IF(OR($B63="",TRIM($J63&amp;"")=""),"",IFERROR(MATCH(TRIM($J63&amp;"")&amp;"|파견중",입력_파견수련계획!$Y$4:$Y$803,0),IFERROR(MATCH(TRIM($J63&amp;"")&amp;"|파견예정",입력_파견수련계획!$Y$4:$Y$803,0),IFERROR(MATCH(TRIM($J63&amp;"")&amp;"|파견종료",입력_파견수련계획!$Y$4:$Y$803,0),""))))</f>
        <v/>
      </c>
      <c r="AG63" s="10">
        <f>IF($B63="","",IF(AND(IF(OR($AC63="",출력_인턴현황!$K$2=""),"",INDEX(입력_인턴근무계획!$M$3:$R$402,$AC63,출력_인턴현황!$K$2)&amp;"")&lt;&gt;"",LEFT(IF(OR($AC63="",출력_인턴현황!$K$2=""),"",INDEX(입력_인턴근무계획!$M$3:$R$402,$AC63,출력_인턴현황!$K$2)&amp;""),1)&lt;&gt;"⚠"),LEFT(IF(OR($AC63="",출력_인턴현황!$K$2=""),"",INDEX(입력_인턴근무계획!$M$3:$R$402,$AC63,출력_인턴현황!$K$2)&amp;""),FIND(" ",IF(OR($AC63="",출력_인턴현황!$K$2=""),"",INDEX(입력_인턴근무계획!$M$3:$R$402,$AC63,출력_인턴현황!$K$2)&amp;""))-1),$AE63))</f>
        <v/>
      </c>
      <c r="AH63" s="17">
        <f>IF($B63="","",IF($AQ63&lt;&gt;"",MAX(0,DAY(EOMONTH(출력_요약!$B$3,0))-N($AR63)),IF(TRIM($J63&amp;"")="",0,SUMPRODUCT((입력_파견수련계획!$Q$4:$Q$803=TRIM($J63&amp;""))*(입력_파견수련계획!$S$4:$S$803="서울병원")*입력_파견수련계획!$W$4:$W$803))+IF($AG63="서울병원",MAX(0,DAY(EOMONTH(출력_요약!$B$3,0))-N($X63)),0)))</f>
        <v/>
      </c>
      <c r="AI63" s="17">
        <f>IF($B63="","",IF($AQ63&lt;&gt;"",N($AR63),IF(TRIM($J63&amp;"")="",0,SUMPRODUCT((입력_파견수련계획!$Q$4:$Q$803=TRIM($J63&amp;""))*(입력_파견수련계획!$S$4:$S$803="구리병원")*입력_파견수련계획!$W$4:$W$803))+IF($AG63="구리병원",MAX(0,DAY(EOMONTH(출력_요약!$B$3,0))-N($X63)),0)))</f>
        <v/>
      </c>
      <c r="AJ63" s="10">
        <f>IF(OR($B63="",TRIM($J63&amp;"")=""),"",IFERROR(MATCH(TRIM($J63&amp;"")&amp;"|월",입력_파견수련계획!$Z$4:$Z$803,0),""))</f>
        <v/>
      </c>
      <c r="AK63" s="10">
        <f>IF(OR($B63="",TRIM($J63&amp;"")=""),"",IFERROR(MATCH(TRIM($J63&amp;"")&amp;"|다기관",입력_파견수련계획!$AE$4:$AE$803,0),""))</f>
        <v/>
      </c>
      <c r="AL63" s="10">
        <f>IF($AK63="","","다기관 "&amp;TEXT(INDEX(입력_파견수련계획!$AB$4:$AB$803,$AK63),"yyyy-mm-dd")&amp;"~"&amp;IF(ISNUMBER(INDEX(입력_파견수련계획!$AC$4:$AC$803,$AK63)),TEXT(INDEX(입력_파견수련계획!$AC$4:$AC$803,$AK63),"yyyy-mm-dd"),""))</f>
        <v/>
      </c>
      <c r="AM63" s="10">
        <f>IF($Y63="서울병원",COUNTIF($Y$2:$Y63,"서울병원"),"")</f>
        <v/>
      </c>
      <c r="AN63" s="10">
        <f>IF(LEFT($Y63,1)="⚠",COUNTIF($Y$2:$Y63,"⚠*"),"")</f>
        <v/>
      </c>
      <c r="AO63" s="10">
        <f>IF(OR($B63="",$Y63=""),"",IF(IF(TRIM($J63&amp;"")="",0,SUMPRODUCT((입력_파견수련계획!$Q$4:$Q$803=TRIM($J63&amp;""))*입력_파견수련계획!$AD$4:$AD$803))&gt;0,"다기관 기간 → 소속병원 지급",IF(AND(N($X63)&lt;=0,$AQ63=""),"파견 없음 → 그 달 근무병원 지급",IF($AH63+$AI63=DAY(EOMONTH(출력_요약!$B$3,0)),"서울 "&amp;$AH63&amp;"일 / 구리 "&amp;$AI63&amp;"일"&amp;IF($AQ63&lt;&gt;""," (구리 근무자명단 반영)","")&amp;" → 15일 이상 근무 병원 지급","타 병원 포함 → "&amp;IF($AJ63="","소속",INDEX(입력_파견수련계획!$T$4:$T$803,$AJ63))&amp;" 규칙"))))</f>
        <v/>
      </c>
      <c r="AP63" s="10">
        <f>IF($B63="","",$C63&amp;"|"&amp;$F63)</f>
        <v/>
      </c>
      <c r="AQ63" s="10">
        <f>IF($B63="","",IFERROR(MATCH(ROW()-1,출력_구리근무자!$K$6:$K$305,0),""))</f>
        <v/>
      </c>
      <c r="AR63" s="10">
        <f>IF($AQ63="","",INDEX(출력_구리근무자!$H$6:$H$305,$AQ63))</f>
        <v/>
      </c>
    </row>
    <row r="64">
      <c r="A64" s="10">
        <f>IF(B64="","",ROW()-1)</f>
        <v/>
      </c>
      <c r="B64" s="19" t="n"/>
      <c r="C64" s="10">
        <f>IF($AB64="","",IF(INDEX(입력_기본자료!$C$2:$C$1001,$AB64)="","",INDEX(입력_기본자료!$C$2:$C$1001,$AB64)))</f>
        <v/>
      </c>
      <c r="D64" s="10">
        <f>IF($AB64="","",IF(INDEX(입력_기본자료!$J$2:$J$1001,$AB64)="","",INDEX(입력_기본자료!$J$2:$J$1001,$AB64)))</f>
        <v/>
      </c>
      <c r="E64" s="11">
        <f>IF($AB64="","",IF(INDEX(입력_기본자료!$K$2:$K$1001,$AB64)="","",IF(NOT(ISNUMBER(INDEX(입력_기본자료!$K$2:$K$1001,$AB64))),INDEX(입력_기본자료!$K$2:$K$1001,$AB64),IF(INDEX(입력_기본자료!$K$2:$K$1001,$AB64)&lt;1000000,INDEX(입력_기본자료!$K$2:$K$1001,$AB64),IF(AND(INDEX(입력_기본자료!$K$2:$K$1001,$AB64)&gt;=10000101,INT(MOD(INDEX(입력_기본자료!$K$2:$K$1001,$AB64),10000)/100)&gt;=1,INT(MOD(INDEX(입력_기본자료!$K$2:$K$1001,$AB64),10000)/100)&lt;=12,MOD(INDEX(입력_기본자료!$K$2:$K$1001,$AB64),100)&gt;=1,MOD(INDEX(입력_기본자료!$K$2:$K$1001,$AB64),100)&lt;=31),DATE(INT(INDEX(입력_기본자료!$K$2:$K$1001,$AB64)/10000),INT(MOD(INDEX(입력_기본자료!$K$2:$K$1001,$AB64),10000)/100),MOD(INDEX(입력_기본자료!$K$2:$K$1001,$AB64),100)),INDEX(입력_기본자료!$K$2:$K$1001,$AB64)&amp;"")))))</f>
        <v/>
      </c>
      <c r="F64" s="10">
        <f>IF($AB64="","",IF(INDEX(입력_기본자료!$D$2:$D$1001,$AB64)="","",INDEX(입력_기본자료!$D$2:$D$1001,$AB64)))</f>
        <v/>
      </c>
      <c r="G64" s="10">
        <f>IF($AB64="","",IF(INDEX(입력_기본자료!$E$2:$E$1001,$AB64)="","",INDEX(입력_기본자료!$E$2:$E$1001,$AB64)))</f>
        <v/>
      </c>
      <c r="H64" s="10">
        <f>IF($AB64="","",IF(INDEX(입력_기본자료!$F$2:$F$1001,$AB64)="","",INDEX(입력_기본자료!$F$2:$F$1001,$AB64)))</f>
        <v/>
      </c>
      <c r="I64" s="11">
        <f>IF($AB64="","",IF(INDEX(입력_기본자료!$G$2:$G$1001,$AB64)="","",IF(NOT(ISNUMBER(INDEX(입력_기본자료!$G$2:$G$1001,$AB64))),INDEX(입력_기본자료!$G$2:$G$1001,$AB64),IF(INDEX(입력_기본자료!$G$2:$G$1001,$AB64)&lt;1000000,INDEX(입력_기본자료!$G$2:$G$1001,$AB64),IF(AND(INDEX(입력_기본자료!$G$2:$G$1001,$AB64)&gt;=10000101,INT(MOD(INDEX(입력_기본자료!$G$2:$G$1001,$AB64),10000)/100)&gt;=1,INT(MOD(INDEX(입력_기본자료!$G$2:$G$1001,$AB64),10000)/100)&lt;=12,MOD(INDEX(입력_기본자료!$G$2:$G$1001,$AB64),100)&gt;=1,MOD(INDEX(입력_기본자료!$G$2:$G$1001,$AB64),100)&lt;=31),DATE(INT(INDEX(입력_기본자료!$G$2:$G$1001,$AB64)/10000),INT(MOD(INDEX(입력_기본자료!$G$2:$G$1001,$AB64),10000)/100),MOD(INDEX(입력_기본자료!$G$2:$G$1001,$AB64),100)),INDEX(입력_기본자료!$G$2:$G$1001,$AB64)&amp;"")))))</f>
        <v/>
      </c>
      <c r="J64" s="10">
        <f>IF($AB64="","",IF(INDEX(입력_기본자료!$H$2:$H$1001,$AB64)="","",INDEX(입력_기본자료!$H$2:$H$1001,$AB64)))</f>
        <v/>
      </c>
      <c r="K64" s="10">
        <f>IF($AB64="","",IF(INDEX(입력_기본자료!$I$2:$I$1001,$AB64)="","",INDEX(입력_기본자료!$I$2:$I$1001,$AB64)))</f>
        <v/>
      </c>
      <c r="L64" s="10">
        <f>IF($AB64="","",IF(INDEX(입력_기본자료!$A$2:$A$1001,$AB64)="","",INDEX(입력_기본자료!$A$2:$A$1001,$AB64)))</f>
        <v/>
      </c>
      <c r="M64" s="15" t="n"/>
      <c r="N64" s="10">
        <f>IF($B64="","",IF(AND($U64="파견중",$Q64&lt;&gt;""),$Q64,IF(AND($AD64&lt;&gt;"",LEFT($AD64,1)&lt;&gt;"⚠"),LEFT($AD64,FIND(" ",$AD64)-1),IF($H64="","",IF(RIGHT($H64,2)="병원",$H64,$H64&amp;"병원")))))</f>
        <v/>
      </c>
      <c r="O64" s="10">
        <f>IF($B64="","",IF(AND($U64="파견중",$Q64&lt;&gt;""),IF($R64&lt;&gt;"",$R64,"파견과 미입력"),IF(AND($AD64&lt;&gt;"",LEFT($AD64,1)&lt;&gt;"⚠"),MID($AD64,FIND(" ",$AD64)+1,60),IF($F64="","",IF($F64="인턴","수련교육부(인턴)",$F64)))))</f>
        <v/>
      </c>
      <c r="P64" s="10">
        <f>IF($B64="","",IF($AK64&lt;&gt;"",IF(AND(TODAY()&gt;=INDEX(입력_파견수련계획!$AB$4:$AB$803,$AK64),OR(NOT(ISNUMBER(INDEX(입력_파견수련계획!$AC$4:$AC$803,$AK64))),TODAY()&lt;=INDEX(입력_파견수련계획!$AC$4:$AC$803,$AK64))),"다기관",IF($AF64="","",INDEX(입력_파견수련계획!$T$4:$T$803,$AF64))),IF($AF64="","",INDEX(입력_파견수련계획!$T$4:$T$803,$AF64))))</f>
        <v/>
      </c>
      <c r="Q64" s="10">
        <f>IF($AF64="","",INDEX(입력_파견수련계획!$S$4:$S$803,$AF64))</f>
        <v/>
      </c>
      <c r="R64" s="10">
        <f>IF($AF64="","",INDEX(입력_파견수련계획!$U$4:$U$803,$AF64))</f>
        <v/>
      </c>
      <c r="S64" s="11">
        <f>IF($AF64="","",IF(INDEX(입력_파견수련계획!$H$4:$H$803,$AF64)="","",INDEX(입력_파견수련계획!$H$4:$H$803,$AF64)))</f>
        <v/>
      </c>
      <c r="T64" s="11">
        <f>IF($AF64="","",IF(INDEX(입력_파견수련계획!$I$4:$I$803,$AF64)="","",INDEX(입력_파견수련계획!$I$4:$I$803,$AF64)))</f>
        <v/>
      </c>
      <c r="U64" s="10">
        <f>IF($AF64="","",INDEX(입력_파견수련계획!$X$4:$X$803,$AF64))</f>
        <v/>
      </c>
      <c r="V64" s="17">
        <f>IF($AF64="","",INDEX(입력_파견수련계획!$V$4:$V$803,$AF64))</f>
        <v/>
      </c>
      <c r="W64" s="17">
        <f>IF(AND($U64="파견중",$T64&lt;&gt;""),$T64-TODAY(),"")</f>
        <v/>
      </c>
      <c r="X64" s="17">
        <f>IF(OR($B64="",TRIM($J64&amp;"")=""),"",SUMPRODUCT((입력_파견수련계획!$Q$4:$Q$803=TRIM($J64&amp;""))*입력_파견수련계획!$W$4:$W$803))</f>
        <v/>
      </c>
      <c r="Y64" s="10">
        <f>IF($B64="","",IF($AG64="","",IF(IF(TRIM($J64&amp;"")="",0,SUMPRODUCT((입력_파견수련계획!$Q$4:$Q$803=TRIM($J64&amp;""))*입력_파견수련계획!$AD$4:$AD$803))&gt;0,$AE64,IF(AND(N($X64)&lt;=0,$AQ64=""),$AG64,IF($AH64+$AI64=DAY(EOMONTH(출력_요약!$B$3,0)),IF(AND($AH64&gt;=출력_요약!$E$3,$AI64&lt;출력_요약!$E$3),"서울병원",IF(AND($AI64&gt;=출력_요약!$E$3,$AH64&lt;출력_요약!$E$3),"구리병원","⚠15일 판정불가(서울 "&amp;$AH64&amp;"일/구리 "&amp;$AI64&amp;"일)")),IF($AJ64="",$AE64,IF(INDEX(입력_파견수련계획!$T$4:$T$803,$AJ64)="통합수련",INDEX(입력_파견수련계획!$S$4:$S$803,$AJ64),$AE64)))))))</f>
        <v/>
      </c>
      <c r="Z64" s="20">
        <f>IF($B64="","",IF($AB64="","기본자료에 없는 사번",IF(COUNTIF($B$2:$B$401,$B64)&gt;1,"중복 사번",IF($AE64="","소속(입사장소) 입력",IF(IF(TRIM($J64&amp;"")="",0,SUMPRODUCT((입력_파견수련계획!$Q$4:$Q$803=TRIM($J64&amp;""))*(입력_파견수련계획!$AA$4:$AA$803&lt;&gt;"")))&gt;0,"파견수련계획 입력오류 확인",IF(LEFT($Y64,1)="⚠","서울·구리 15일 판정 불가(양쪽 모두 이상/미만)",IF(IF($AC64="",0,N(INDEX(입력_인턴근무계획!$T$3:$T$402,$AC64)))&gt;0,"인턴계획 입력오류 확인",IF(AND($AQ64&lt;&gt;"",$AG64&lt;&gt;"구리병원",IF(TRIM($J64&amp;"")="",0,SUMPRODUCT((입력_파견수련계획!$Q$4:$Q$803=TRIM($J64&amp;""))*(입력_파견수련계획!$S$4:$S$803="구리병원")*입력_파견수련계획!$W$4:$W$803))=0),"구리 근무자명단에만 있음(파견수련계획 확인)",IF(AND($AC64&lt;&gt;"",$U64&lt;&gt;"파견중",$N64&lt;&gt;$AE64),"인턴 타지역 근무: 파견 여부 확인","정상")))))))))</f>
        <v/>
      </c>
      <c r="AA64" s="5" t="n"/>
      <c r="AB64" s="10">
        <f>IF($B64="","",IFERROR(MATCH($B64,입력_기본자료!$B$2:$B$1001,0),IFERROR(MATCH($B64&amp;"",입력_기본자료!$B$2:$B$1001,0),IFERROR(MATCH(VALUE($B64),입력_기본자료!$B$2:$B$1001,0),""))))</f>
        <v/>
      </c>
      <c r="AC64" s="10">
        <f>IF($B64="","",IFERROR(MATCH($B64,입력_인턴근무계획!$D$3:$D$402,0),IFERROR(MATCH($B64&amp;"",입력_인턴근무계획!$D$3:$D$402,0),IFERROR(MATCH(VALUE($B64),입력_인턴근무계획!$D$3:$D$402,0),""))))</f>
        <v/>
      </c>
      <c r="AD64" s="10">
        <f>IF(OR($AC64="",출력_인턴현황!$G$3=""),"",INDEX(입력_인턴근무계획!$M$3:$R$402,$AC64,출력_인턴현황!$G$3)&amp;"")</f>
        <v/>
      </c>
      <c r="AE64" s="10">
        <f>IF($B64="","",IF($M64&lt;&gt;"",$M64,IF(IF($AQ64="",FALSE,INDEX(출력_구리근무자!$J$6:$J$305,$AQ64)="구리독자"),"구리병원",IF($AF64&lt;&gt;"",IF(LEFT(INDEX(입력_파견수련계획!$R$4:$R$803,$AF64),1)&lt;&gt;"⚠",INDEX(입력_파견수련계획!$R$4:$R$803,$AF64),IF($H64="","",IF(RIGHT($H64,2)="병원",$H64,$H64&amp;"병원"))),IF($H64="","",IF(RIGHT($H64,2)="병원",$H64,$H64&amp;"병원"))))))</f>
        <v/>
      </c>
      <c r="AF64" s="10">
        <f>IF(OR($B64="",TRIM($J64&amp;"")=""),"",IFERROR(MATCH(TRIM($J64&amp;"")&amp;"|파견중",입력_파견수련계획!$Y$4:$Y$803,0),IFERROR(MATCH(TRIM($J64&amp;"")&amp;"|파견예정",입력_파견수련계획!$Y$4:$Y$803,0),IFERROR(MATCH(TRIM($J64&amp;"")&amp;"|파견종료",입력_파견수련계획!$Y$4:$Y$803,0),""))))</f>
        <v/>
      </c>
      <c r="AG64" s="10">
        <f>IF($B64="","",IF(AND(IF(OR($AC64="",출력_인턴현황!$K$2=""),"",INDEX(입력_인턴근무계획!$M$3:$R$402,$AC64,출력_인턴현황!$K$2)&amp;"")&lt;&gt;"",LEFT(IF(OR($AC64="",출력_인턴현황!$K$2=""),"",INDEX(입력_인턴근무계획!$M$3:$R$402,$AC64,출력_인턴현황!$K$2)&amp;""),1)&lt;&gt;"⚠"),LEFT(IF(OR($AC64="",출력_인턴현황!$K$2=""),"",INDEX(입력_인턴근무계획!$M$3:$R$402,$AC64,출력_인턴현황!$K$2)&amp;""),FIND(" ",IF(OR($AC64="",출력_인턴현황!$K$2=""),"",INDEX(입력_인턴근무계획!$M$3:$R$402,$AC64,출력_인턴현황!$K$2)&amp;""))-1),$AE64))</f>
        <v/>
      </c>
      <c r="AH64" s="17">
        <f>IF($B64="","",IF($AQ64&lt;&gt;"",MAX(0,DAY(EOMONTH(출력_요약!$B$3,0))-N($AR64)),IF(TRIM($J64&amp;"")="",0,SUMPRODUCT((입력_파견수련계획!$Q$4:$Q$803=TRIM($J64&amp;""))*(입력_파견수련계획!$S$4:$S$803="서울병원")*입력_파견수련계획!$W$4:$W$803))+IF($AG64="서울병원",MAX(0,DAY(EOMONTH(출력_요약!$B$3,0))-N($X64)),0)))</f>
        <v/>
      </c>
      <c r="AI64" s="17">
        <f>IF($B64="","",IF($AQ64&lt;&gt;"",N($AR64),IF(TRIM($J64&amp;"")="",0,SUMPRODUCT((입력_파견수련계획!$Q$4:$Q$803=TRIM($J64&amp;""))*(입력_파견수련계획!$S$4:$S$803="구리병원")*입력_파견수련계획!$W$4:$W$803))+IF($AG64="구리병원",MAX(0,DAY(EOMONTH(출력_요약!$B$3,0))-N($X64)),0)))</f>
        <v/>
      </c>
      <c r="AJ64" s="10">
        <f>IF(OR($B64="",TRIM($J64&amp;"")=""),"",IFERROR(MATCH(TRIM($J64&amp;"")&amp;"|월",입력_파견수련계획!$Z$4:$Z$803,0),""))</f>
        <v/>
      </c>
      <c r="AK64" s="10">
        <f>IF(OR($B64="",TRIM($J64&amp;"")=""),"",IFERROR(MATCH(TRIM($J64&amp;"")&amp;"|다기관",입력_파견수련계획!$AE$4:$AE$803,0),""))</f>
        <v/>
      </c>
      <c r="AL64" s="10">
        <f>IF($AK64="","","다기관 "&amp;TEXT(INDEX(입력_파견수련계획!$AB$4:$AB$803,$AK64),"yyyy-mm-dd")&amp;"~"&amp;IF(ISNUMBER(INDEX(입력_파견수련계획!$AC$4:$AC$803,$AK64)),TEXT(INDEX(입력_파견수련계획!$AC$4:$AC$803,$AK64),"yyyy-mm-dd"),""))</f>
        <v/>
      </c>
      <c r="AM64" s="10">
        <f>IF($Y64="서울병원",COUNTIF($Y$2:$Y64,"서울병원"),"")</f>
        <v/>
      </c>
      <c r="AN64" s="10">
        <f>IF(LEFT($Y64,1)="⚠",COUNTIF($Y$2:$Y64,"⚠*"),"")</f>
        <v/>
      </c>
      <c r="AO64" s="10">
        <f>IF(OR($B64="",$Y64=""),"",IF(IF(TRIM($J64&amp;"")="",0,SUMPRODUCT((입력_파견수련계획!$Q$4:$Q$803=TRIM($J64&amp;""))*입력_파견수련계획!$AD$4:$AD$803))&gt;0,"다기관 기간 → 소속병원 지급",IF(AND(N($X64)&lt;=0,$AQ64=""),"파견 없음 → 그 달 근무병원 지급",IF($AH64+$AI64=DAY(EOMONTH(출력_요약!$B$3,0)),"서울 "&amp;$AH64&amp;"일 / 구리 "&amp;$AI64&amp;"일"&amp;IF($AQ64&lt;&gt;""," (구리 근무자명단 반영)","")&amp;" → 15일 이상 근무 병원 지급","타 병원 포함 → "&amp;IF($AJ64="","소속",INDEX(입력_파견수련계획!$T$4:$T$803,$AJ64))&amp;" 규칙"))))</f>
        <v/>
      </c>
      <c r="AP64" s="10">
        <f>IF($B64="","",$C64&amp;"|"&amp;$F64)</f>
        <v/>
      </c>
      <c r="AQ64" s="10">
        <f>IF($B64="","",IFERROR(MATCH(ROW()-1,출력_구리근무자!$K$6:$K$305,0),""))</f>
        <v/>
      </c>
      <c r="AR64" s="10">
        <f>IF($AQ64="","",INDEX(출력_구리근무자!$H$6:$H$305,$AQ64))</f>
        <v/>
      </c>
    </row>
    <row r="65">
      <c r="A65" s="10">
        <f>IF(B65="","",ROW()-1)</f>
        <v/>
      </c>
      <c r="B65" s="19" t="n"/>
      <c r="C65" s="10">
        <f>IF($AB65="","",IF(INDEX(입력_기본자료!$C$2:$C$1001,$AB65)="","",INDEX(입력_기본자료!$C$2:$C$1001,$AB65)))</f>
        <v/>
      </c>
      <c r="D65" s="10">
        <f>IF($AB65="","",IF(INDEX(입력_기본자료!$J$2:$J$1001,$AB65)="","",INDEX(입력_기본자료!$J$2:$J$1001,$AB65)))</f>
        <v/>
      </c>
      <c r="E65" s="11">
        <f>IF($AB65="","",IF(INDEX(입력_기본자료!$K$2:$K$1001,$AB65)="","",IF(NOT(ISNUMBER(INDEX(입력_기본자료!$K$2:$K$1001,$AB65))),INDEX(입력_기본자료!$K$2:$K$1001,$AB65),IF(INDEX(입력_기본자료!$K$2:$K$1001,$AB65)&lt;1000000,INDEX(입력_기본자료!$K$2:$K$1001,$AB65),IF(AND(INDEX(입력_기본자료!$K$2:$K$1001,$AB65)&gt;=10000101,INT(MOD(INDEX(입력_기본자료!$K$2:$K$1001,$AB65),10000)/100)&gt;=1,INT(MOD(INDEX(입력_기본자료!$K$2:$K$1001,$AB65),10000)/100)&lt;=12,MOD(INDEX(입력_기본자료!$K$2:$K$1001,$AB65),100)&gt;=1,MOD(INDEX(입력_기본자료!$K$2:$K$1001,$AB65),100)&lt;=31),DATE(INT(INDEX(입력_기본자료!$K$2:$K$1001,$AB65)/10000),INT(MOD(INDEX(입력_기본자료!$K$2:$K$1001,$AB65),10000)/100),MOD(INDEX(입력_기본자료!$K$2:$K$1001,$AB65),100)),INDEX(입력_기본자료!$K$2:$K$1001,$AB65)&amp;"")))))</f>
        <v/>
      </c>
      <c r="F65" s="10">
        <f>IF($AB65="","",IF(INDEX(입력_기본자료!$D$2:$D$1001,$AB65)="","",INDEX(입력_기본자료!$D$2:$D$1001,$AB65)))</f>
        <v/>
      </c>
      <c r="G65" s="10">
        <f>IF($AB65="","",IF(INDEX(입력_기본자료!$E$2:$E$1001,$AB65)="","",INDEX(입력_기본자료!$E$2:$E$1001,$AB65)))</f>
        <v/>
      </c>
      <c r="H65" s="10">
        <f>IF($AB65="","",IF(INDEX(입력_기본자료!$F$2:$F$1001,$AB65)="","",INDEX(입력_기본자료!$F$2:$F$1001,$AB65)))</f>
        <v/>
      </c>
      <c r="I65" s="11">
        <f>IF($AB65="","",IF(INDEX(입력_기본자료!$G$2:$G$1001,$AB65)="","",IF(NOT(ISNUMBER(INDEX(입력_기본자료!$G$2:$G$1001,$AB65))),INDEX(입력_기본자료!$G$2:$G$1001,$AB65),IF(INDEX(입력_기본자료!$G$2:$G$1001,$AB65)&lt;1000000,INDEX(입력_기본자료!$G$2:$G$1001,$AB65),IF(AND(INDEX(입력_기본자료!$G$2:$G$1001,$AB65)&gt;=10000101,INT(MOD(INDEX(입력_기본자료!$G$2:$G$1001,$AB65),10000)/100)&gt;=1,INT(MOD(INDEX(입력_기본자료!$G$2:$G$1001,$AB65),10000)/100)&lt;=12,MOD(INDEX(입력_기본자료!$G$2:$G$1001,$AB65),100)&gt;=1,MOD(INDEX(입력_기본자료!$G$2:$G$1001,$AB65),100)&lt;=31),DATE(INT(INDEX(입력_기본자료!$G$2:$G$1001,$AB65)/10000),INT(MOD(INDEX(입력_기본자료!$G$2:$G$1001,$AB65),10000)/100),MOD(INDEX(입력_기본자료!$G$2:$G$1001,$AB65),100)),INDEX(입력_기본자료!$G$2:$G$1001,$AB65)&amp;"")))))</f>
        <v/>
      </c>
      <c r="J65" s="10">
        <f>IF($AB65="","",IF(INDEX(입력_기본자료!$H$2:$H$1001,$AB65)="","",INDEX(입력_기본자료!$H$2:$H$1001,$AB65)))</f>
        <v/>
      </c>
      <c r="K65" s="10">
        <f>IF($AB65="","",IF(INDEX(입력_기본자료!$I$2:$I$1001,$AB65)="","",INDEX(입력_기본자료!$I$2:$I$1001,$AB65)))</f>
        <v/>
      </c>
      <c r="L65" s="10">
        <f>IF($AB65="","",IF(INDEX(입력_기본자료!$A$2:$A$1001,$AB65)="","",INDEX(입력_기본자료!$A$2:$A$1001,$AB65)))</f>
        <v/>
      </c>
      <c r="M65" s="15" t="n"/>
      <c r="N65" s="10">
        <f>IF($B65="","",IF(AND($U65="파견중",$Q65&lt;&gt;""),$Q65,IF(AND($AD65&lt;&gt;"",LEFT($AD65,1)&lt;&gt;"⚠"),LEFT($AD65,FIND(" ",$AD65)-1),IF($H65="","",IF(RIGHT($H65,2)="병원",$H65,$H65&amp;"병원")))))</f>
        <v/>
      </c>
      <c r="O65" s="10">
        <f>IF($B65="","",IF(AND($U65="파견중",$Q65&lt;&gt;""),IF($R65&lt;&gt;"",$R65,"파견과 미입력"),IF(AND($AD65&lt;&gt;"",LEFT($AD65,1)&lt;&gt;"⚠"),MID($AD65,FIND(" ",$AD65)+1,60),IF($F65="","",IF($F65="인턴","수련교육부(인턴)",$F65)))))</f>
        <v/>
      </c>
      <c r="P65" s="10">
        <f>IF($B65="","",IF($AK65&lt;&gt;"",IF(AND(TODAY()&gt;=INDEX(입력_파견수련계획!$AB$4:$AB$803,$AK65),OR(NOT(ISNUMBER(INDEX(입력_파견수련계획!$AC$4:$AC$803,$AK65))),TODAY()&lt;=INDEX(입력_파견수련계획!$AC$4:$AC$803,$AK65))),"다기관",IF($AF65="","",INDEX(입력_파견수련계획!$T$4:$T$803,$AF65))),IF($AF65="","",INDEX(입력_파견수련계획!$T$4:$T$803,$AF65))))</f>
        <v/>
      </c>
      <c r="Q65" s="10">
        <f>IF($AF65="","",INDEX(입력_파견수련계획!$S$4:$S$803,$AF65))</f>
        <v/>
      </c>
      <c r="R65" s="10">
        <f>IF($AF65="","",INDEX(입력_파견수련계획!$U$4:$U$803,$AF65))</f>
        <v/>
      </c>
      <c r="S65" s="11">
        <f>IF($AF65="","",IF(INDEX(입력_파견수련계획!$H$4:$H$803,$AF65)="","",INDEX(입력_파견수련계획!$H$4:$H$803,$AF65)))</f>
        <v/>
      </c>
      <c r="T65" s="11">
        <f>IF($AF65="","",IF(INDEX(입력_파견수련계획!$I$4:$I$803,$AF65)="","",INDEX(입력_파견수련계획!$I$4:$I$803,$AF65)))</f>
        <v/>
      </c>
      <c r="U65" s="10">
        <f>IF($AF65="","",INDEX(입력_파견수련계획!$X$4:$X$803,$AF65))</f>
        <v/>
      </c>
      <c r="V65" s="17">
        <f>IF($AF65="","",INDEX(입력_파견수련계획!$V$4:$V$803,$AF65))</f>
        <v/>
      </c>
      <c r="W65" s="17">
        <f>IF(AND($U65="파견중",$T65&lt;&gt;""),$T65-TODAY(),"")</f>
        <v/>
      </c>
      <c r="X65" s="17">
        <f>IF(OR($B65="",TRIM($J65&amp;"")=""),"",SUMPRODUCT((입력_파견수련계획!$Q$4:$Q$803=TRIM($J65&amp;""))*입력_파견수련계획!$W$4:$W$803))</f>
        <v/>
      </c>
      <c r="Y65" s="10">
        <f>IF($B65="","",IF($AG65="","",IF(IF(TRIM($J65&amp;"")="",0,SUMPRODUCT((입력_파견수련계획!$Q$4:$Q$803=TRIM($J65&amp;""))*입력_파견수련계획!$AD$4:$AD$803))&gt;0,$AE65,IF(AND(N($X65)&lt;=0,$AQ65=""),$AG65,IF($AH65+$AI65=DAY(EOMONTH(출력_요약!$B$3,0)),IF(AND($AH65&gt;=출력_요약!$E$3,$AI65&lt;출력_요약!$E$3),"서울병원",IF(AND($AI65&gt;=출력_요약!$E$3,$AH65&lt;출력_요약!$E$3),"구리병원","⚠15일 판정불가(서울 "&amp;$AH65&amp;"일/구리 "&amp;$AI65&amp;"일)")),IF($AJ65="",$AE65,IF(INDEX(입력_파견수련계획!$T$4:$T$803,$AJ65)="통합수련",INDEX(입력_파견수련계획!$S$4:$S$803,$AJ65),$AE65)))))))</f>
        <v/>
      </c>
      <c r="Z65" s="20">
        <f>IF($B65="","",IF($AB65="","기본자료에 없는 사번",IF(COUNTIF($B$2:$B$401,$B65)&gt;1,"중복 사번",IF($AE65="","소속(입사장소) 입력",IF(IF(TRIM($J65&amp;"")="",0,SUMPRODUCT((입력_파견수련계획!$Q$4:$Q$803=TRIM($J65&amp;""))*(입력_파견수련계획!$AA$4:$AA$803&lt;&gt;"")))&gt;0,"파견수련계획 입력오류 확인",IF(LEFT($Y65,1)="⚠","서울·구리 15일 판정 불가(양쪽 모두 이상/미만)",IF(IF($AC65="",0,N(INDEX(입력_인턴근무계획!$T$3:$T$402,$AC65)))&gt;0,"인턴계획 입력오류 확인",IF(AND($AQ65&lt;&gt;"",$AG65&lt;&gt;"구리병원",IF(TRIM($J65&amp;"")="",0,SUMPRODUCT((입력_파견수련계획!$Q$4:$Q$803=TRIM($J65&amp;""))*(입력_파견수련계획!$S$4:$S$803="구리병원")*입력_파견수련계획!$W$4:$W$803))=0),"구리 근무자명단에만 있음(파견수련계획 확인)",IF(AND($AC65&lt;&gt;"",$U65&lt;&gt;"파견중",$N65&lt;&gt;$AE65),"인턴 타지역 근무: 파견 여부 확인","정상")))))))))</f>
        <v/>
      </c>
      <c r="AA65" s="5" t="n"/>
      <c r="AB65" s="10">
        <f>IF($B65="","",IFERROR(MATCH($B65,입력_기본자료!$B$2:$B$1001,0),IFERROR(MATCH($B65&amp;"",입력_기본자료!$B$2:$B$1001,0),IFERROR(MATCH(VALUE($B65),입력_기본자료!$B$2:$B$1001,0),""))))</f>
        <v/>
      </c>
      <c r="AC65" s="10">
        <f>IF($B65="","",IFERROR(MATCH($B65,입력_인턴근무계획!$D$3:$D$402,0),IFERROR(MATCH($B65&amp;"",입력_인턴근무계획!$D$3:$D$402,0),IFERROR(MATCH(VALUE($B65),입력_인턴근무계획!$D$3:$D$402,0),""))))</f>
        <v/>
      </c>
      <c r="AD65" s="10">
        <f>IF(OR($AC65="",출력_인턴현황!$G$3=""),"",INDEX(입력_인턴근무계획!$M$3:$R$402,$AC65,출력_인턴현황!$G$3)&amp;"")</f>
        <v/>
      </c>
      <c r="AE65" s="10">
        <f>IF($B65="","",IF($M65&lt;&gt;"",$M65,IF(IF($AQ65="",FALSE,INDEX(출력_구리근무자!$J$6:$J$305,$AQ65)="구리독자"),"구리병원",IF($AF65&lt;&gt;"",IF(LEFT(INDEX(입력_파견수련계획!$R$4:$R$803,$AF65),1)&lt;&gt;"⚠",INDEX(입력_파견수련계획!$R$4:$R$803,$AF65),IF($H65="","",IF(RIGHT($H65,2)="병원",$H65,$H65&amp;"병원"))),IF($H65="","",IF(RIGHT($H65,2)="병원",$H65,$H65&amp;"병원"))))))</f>
        <v/>
      </c>
      <c r="AF65" s="10">
        <f>IF(OR($B65="",TRIM($J65&amp;"")=""),"",IFERROR(MATCH(TRIM($J65&amp;"")&amp;"|파견중",입력_파견수련계획!$Y$4:$Y$803,0),IFERROR(MATCH(TRIM($J65&amp;"")&amp;"|파견예정",입력_파견수련계획!$Y$4:$Y$803,0),IFERROR(MATCH(TRIM($J65&amp;"")&amp;"|파견종료",입력_파견수련계획!$Y$4:$Y$803,0),""))))</f>
        <v/>
      </c>
      <c r="AG65" s="10">
        <f>IF($B65="","",IF(AND(IF(OR($AC65="",출력_인턴현황!$K$2=""),"",INDEX(입력_인턴근무계획!$M$3:$R$402,$AC65,출력_인턴현황!$K$2)&amp;"")&lt;&gt;"",LEFT(IF(OR($AC65="",출력_인턴현황!$K$2=""),"",INDEX(입력_인턴근무계획!$M$3:$R$402,$AC65,출력_인턴현황!$K$2)&amp;""),1)&lt;&gt;"⚠"),LEFT(IF(OR($AC65="",출력_인턴현황!$K$2=""),"",INDEX(입력_인턴근무계획!$M$3:$R$402,$AC65,출력_인턴현황!$K$2)&amp;""),FIND(" ",IF(OR($AC65="",출력_인턴현황!$K$2=""),"",INDEX(입력_인턴근무계획!$M$3:$R$402,$AC65,출력_인턴현황!$K$2)&amp;""))-1),$AE65))</f>
        <v/>
      </c>
      <c r="AH65" s="17">
        <f>IF($B65="","",IF($AQ65&lt;&gt;"",MAX(0,DAY(EOMONTH(출력_요약!$B$3,0))-N($AR65)),IF(TRIM($J65&amp;"")="",0,SUMPRODUCT((입력_파견수련계획!$Q$4:$Q$803=TRIM($J65&amp;""))*(입력_파견수련계획!$S$4:$S$803="서울병원")*입력_파견수련계획!$W$4:$W$803))+IF($AG65="서울병원",MAX(0,DAY(EOMONTH(출력_요약!$B$3,0))-N($X65)),0)))</f>
        <v/>
      </c>
      <c r="AI65" s="17">
        <f>IF($B65="","",IF($AQ65&lt;&gt;"",N($AR65),IF(TRIM($J65&amp;"")="",0,SUMPRODUCT((입력_파견수련계획!$Q$4:$Q$803=TRIM($J65&amp;""))*(입력_파견수련계획!$S$4:$S$803="구리병원")*입력_파견수련계획!$W$4:$W$803))+IF($AG65="구리병원",MAX(0,DAY(EOMONTH(출력_요약!$B$3,0))-N($X65)),0)))</f>
        <v/>
      </c>
      <c r="AJ65" s="10">
        <f>IF(OR($B65="",TRIM($J65&amp;"")=""),"",IFERROR(MATCH(TRIM($J65&amp;"")&amp;"|월",입력_파견수련계획!$Z$4:$Z$803,0),""))</f>
        <v/>
      </c>
      <c r="AK65" s="10">
        <f>IF(OR($B65="",TRIM($J65&amp;"")=""),"",IFERROR(MATCH(TRIM($J65&amp;"")&amp;"|다기관",입력_파견수련계획!$AE$4:$AE$803,0),""))</f>
        <v/>
      </c>
      <c r="AL65" s="10">
        <f>IF($AK65="","","다기관 "&amp;TEXT(INDEX(입력_파견수련계획!$AB$4:$AB$803,$AK65),"yyyy-mm-dd")&amp;"~"&amp;IF(ISNUMBER(INDEX(입력_파견수련계획!$AC$4:$AC$803,$AK65)),TEXT(INDEX(입력_파견수련계획!$AC$4:$AC$803,$AK65),"yyyy-mm-dd"),""))</f>
        <v/>
      </c>
      <c r="AM65" s="10">
        <f>IF($Y65="서울병원",COUNTIF($Y$2:$Y65,"서울병원"),"")</f>
        <v/>
      </c>
      <c r="AN65" s="10">
        <f>IF(LEFT($Y65,1)="⚠",COUNTIF($Y$2:$Y65,"⚠*"),"")</f>
        <v/>
      </c>
      <c r="AO65" s="10">
        <f>IF(OR($B65="",$Y65=""),"",IF(IF(TRIM($J65&amp;"")="",0,SUMPRODUCT((입력_파견수련계획!$Q$4:$Q$803=TRIM($J65&amp;""))*입력_파견수련계획!$AD$4:$AD$803))&gt;0,"다기관 기간 → 소속병원 지급",IF(AND(N($X65)&lt;=0,$AQ65=""),"파견 없음 → 그 달 근무병원 지급",IF($AH65+$AI65=DAY(EOMONTH(출력_요약!$B$3,0)),"서울 "&amp;$AH65&amp;"일 / 구리 "&amp;$AI65&amp;"일"&amp;IF($AQ65&lt;&gt;""," (구리 근무자명단 반영)","")&amp;" → 15일 이상 근무 병원 지급","타 병원 포함 → "&amp;IF($AJ65="","소속",INDEX(입력_파견수련계획!$T$4:$T$803,$AJ65))&amp;" 규칙"))))</f>
        <v/>
      </c>
      <c r="AP65" s="10">
        <f>IF($B65="","",$C65&amp;"|"&amp;$F65)</f>
        <v/>
      </c>
      <c r="AQ65" s="10">
        <f>IF($B65="","",IFERROR(MATCH(ROW()-1,출력_구리근무자!$K$6:$K$305,0),""))</f>
        <v/>
      </c>
      <c r="AR65" s="10">
        <f>IF($AQ65="","",INDEX(출력_구리근무자!$H$6:$H$305,$AQ65))</f>
        <v/>
      </c>
    </row>
    <row r="66">
      <c r="A66" s="10">
        <f>IF(B66="","",ROW()-1)</f>
        <v/>
      </c>
      <c r="B66" s="19" t="n"/>
      <c r="C66" s="10">
        <f>IF($AB66="","",IF(INDEX(입력_기본자료!$C$2:$C$1001,$AB66)="","",INDEX(입력_기본자료!$C$2:$C$1001,$AB66)))</f>
        <v/>
      </c>
      <c r="D66" s="10">
        <f>IF($AB66="","",IF(INDEX(입력_기본자료!$J$2:$J$1001,$AB66)="","",INDEX(입력_기본자료!$J$2:$J$1001,$AB66)))</f>
        <v/>
      </c>
      <c r="E66" s="11">
        <f>IF($AB66="","",IF(INDEX(입력_기본자료!$K$2:$K$1001,$AB66)="","",IF(NOT(ISNUMBER(INDEX(입력_기본자료!$K$2:$K$1001,$AB66))),INDEX(입력_기본자료!$K$2:$K$1001,$AB66),IF(INDEX(입력_기본자료!$K$2:$K$1001,$AB66)&lt;1000000,INDEX(입력_기본자료!$K$2:$K$1001,$AB66),IF(AND(INDEX(입력_기본자료!$K$2:$K$1001,$AB66)&gt;=10000101,INT(MOD(INDEX(입력_기본자료!$K$2:$K$1001,$AB66),10000)/100)&gt;=1,INT(MOD(INDEX(입력_기본자료!$K$2:$K$1001,$AB66),10000)/100)&lt;=12,MOD(INDEX(입력_기본자료!$K$2:$K$1001,$AB66),100)&gt;=1,MOD(INDEX(입력_기본자료!$K$2:$K$1001,$AB66),100)&lt;=31),DATE(INT(INDEX(입력_기본자료!$K$2:$K$1001,$AB66)/10000),INT(MOD(INDEX(입력_기본자료!$K$2:$K$1001,$AB66),10000)/100),MOD(INDEX(입력_기본자료!$K$2:$K$1001,$AB66),100)),INDEX(입력_기본자료!$K$2:$K$1001,$AB66)&amp;"")))))</f>
        <v/>
      </c>
      <c r="F66" s="10">
        <f>IF($AB66="","",IF(INDEX(입력_기본자료!$D$2:$D$1001,$AB66)="","",INDEX(입력_기본자료!$D$2:$D$1001,$AB66)))</f>
        <v/>
      </c>
      <c r="G66" s="10">
        <f>IF($AB66="","",IF(INDEX(입력_기본자료!$E$2:$E$1001,$AB66)="","",INDEX(입력_기본자료!$E$2:$E$1001,$AB66)))</f>
        <v/>
      </c>
      <c r="H66" s="10">
        <f>IF($AB66="","",IF(INDEX(입력_기본자료!$F$2:$F$1001,$AB66)="","",INDEX(입력_기본자료!$F$2:$F$1001,$AB66)))</f>
        <v/>
      </c>
      <c r="I66" s="11">
        <f>IF($AB66="","",IF(INDEX(입력_기본자료!$G$2:$G$1001,$AB66)="","",IF(NOT(ISNUMBER(INDEX(입력_기본자료!$G$2:$G$1001,$AB66))),INDEX(입력_기본자료!$G$2:$G$1001,$AB66),IF(INDEX(입력_기본자료!$G$2:$G$1001,$AB66)&lt;1000000,INDEX(입력_기본자료!$G$2:$G$1001,$AB66),IF(AND(INDEX(입력_기본자료!$G$2:$G$1001,$AB66)&gt;=10000101,INT(MOD(INDEX(입력_기본자료!$G$2:$G$1001,$AB66),10000)/100)&gt;=1,INT(MOD(INDEX(입력_기본자료!$G$2:$G$1001,$AB66),10000)/100)&lt;=12,MOD(INDEX(입력_기본자료!$G$2:$G$1001,$AB66),100)&gt;=1,MOD(INDEX(입력_기본자료!$G$2:$G$1001,$AB66),100)&lt;=31),DATE(INT(INDEX(입력_기본자료!$G$2:$G$1001,$AB66)/10000),INT(MOD(INDEX(입력_기본자료!$G$2:$G$1001,$AB66),10000)/100),MOD(INDEX(입력_기본자료!$G$2:$G$1001,$AB66),100)),INDEX(입력_기본자료!$G$2:$G$1001,$AB66)&amp;"")))))</f>
        <v/>
      </c>
      <c r="J66" s="10">
        <f>IF($AB66="","",IF(INDEX(입력_기본자료!$H$2:$H$1001,$AB66)="","",INDEX(입력_기본자료!$H$2:$H$1001,$AB66)))</f>
        <v/>
      </c>
      <c r="K66" s="10">
        <f>IF($AB66="","",IF(INDEX(입력_기본자료!$I$2:$I$1001,$AB66)="","",INDEX(입력_기본자료!$I$2:$I$1001,$AB66)))</f>
        <v/>
      </c>
      <c r="L66" s="10">
        <f>IF($AB66="","",IF(INDEX(입력_기본자료!$A$2:$A$1001,$AB66)="","",INDEX(입력_기본자료!$A$2:$A$1001,$AB66)))</f>
        <v/>
      </c>
      <c r="M66" s="15" t="n"/>
      <c r="N66" s="10">
        <f>IF($B66="","",IF(AND($U66="파견중",$Q66&lt;&gt;""),$Q66,IF(AND($AD66&lt;&gt;"",LEFT($AD66,1)&lt;&gt;"⚠"),LEFT($AD66,FIND(" ",$AD66)-1),IF($H66="","",IF(RIGHT($H66,2)="병원",$H66,$H66&amp;"병원")))))</f>
        <v/>
      </c>
      <c r="O66" s="10">
        <f>IF($B66="","",IF(AND($U66="파견중",$Q66&lt;&gt;""),IF($R66&lt;&gt;"",$R66,"파견과 미입력"),IF(AND($AD66&lt;&gt;"",LEFT($AD66,1)&lt;&gt;"⚠"),MID($AD66,FIND(" ",$AD66)+1,60),IF($F66="","",IF($F66="인턴","수련교육부(인턴)",$F66)))))</f>
        <v/>
      </c>
      <c r="P66" s="10">
        <f>IF($B66="","",IF($AK66&lt;&gt;"",IF(AND(TODAY()&gt;=INDEX(입력_파견수련계획!$AB$4:$AB$803,$AK66),OR(NOT(ISNUMBER(INDEX(입력_파견수련계획!$AC$4:$AC$803,$AK66))),TODAY()&lt;=INDEX(입력_파견수련계획!$AC$4:$AC$803,$AK66))),"다기관",IF($AF66="","",INDEX(입력_파견수련계획!$T$4:$T$803,$AF66))),IF($AF66="","",INDEX(입력_파견수련계획!$T$4:$T$803,$AF66))))</f>
        <v/>
      </c>
      <c r="Q66" s="10">
        <f>IF($AF66="","",INDEX(입력_파견수련계획!$S$4:$S$803,$AF66))</f>
        <v/>
      </c>
      <c r="R66" s="10">
        <f>IF($AF66="","",INDEX(입력_파견수련계획!$U$4:$U$803,$AF66))</f>
        <v/>
      </c>
      <c r="S66" s="11">
        <f>IF($AF66="","",IF(INDEX(입력_파견수련계획!$H$4:$H$803,$AF66)="","",INDEX(입력_파견수련계획!$H$4:$H$803,$AF66)))</f>
        <v/>
      </c>
      <c r="T66" s="11">
        <f>IF($AF66="","",IF(INDEX(입력_파견수련계획!$I$4:$I$803,$AF66)="","",INDEX(입력_파견수련계획!$I$4:$I$803,$AF66)))</f>
        <v/>
      </c>
      <c r="U66" s="10">
        <f>IF($AF66="","",INDEX(입력_파견수련계획!$X$4:$X$803,$AF66))</f>
        <v/>
      </c>
      <c r="V66" s="17">
        <f>IF($AF66="","",INDEX(입력_파견수련계획!$V$4:$V$803,$AF66))</f>
        <v/>
      </c>
      <c r="W66" s="17">
        <f>IF(AND($U66="파견중",$T66&lt;&gt;""),$T66-TODAY(),"")</f>
        <v/>
      </c>
      <c r="X66" s="17">
        <f>IF(OR($B66="",TRIM($J66&amp;"")=""),"",SUMPRODUCT((입력_파견수련계획!$Q$4:$Q$803=TRIM($J66&amp;""))*입력_파견수련계획!$W$4:$W$803))</f>
        <v/>
      </c>
      <c r="Y66" s="10">
        <f>IF($B66="","",IF($AG66="","",IF(IF(TRIM($J66&amp;"")="",0,SUMPRODUCT((입력_파견수련계획!$Q$4:$Q$803=TRIM($J66&amp;""))*입력_파견수련계획!$AD$4:$AD$803))&gt;0,$AE66,IF(AND(N($X66)&lt;=0,$AQ66=""),$AG66,IF($AH66+$AI66=DAY(EOMONTH(출력_요약!$B$3,0)),IF(AND($AH66&gt;=출력_요약!$E$3,$AI66&lt;출력_요약!$E$3),"서울병원",IF(AND($AI66&gt;=출력_요약!$E$3,$AH66&lt;출력_요약!$E$3),"구리병원","⚠15일 판정불가(서울 "&amp;$AH66&amp;"일/구리 "&amp;$AI66&amp;"일)")),IF($AJ66="",$AE66,IF(INDEX(입력_파견수련계획!$T$4:$T$803,$AJ66)="통합수련",INDEX(입력_파견수련계획!$S$4:$S$803,$AJ66),$AE66)))))))</f>
        <v/>
      </c>
      <c r="Z66" s="20">
        <f>IF($B66="","",IF($AB66="","기본자료에 없는 사번",IF(COUNTIF($B$2:$B$401,$B66)&gt;1,"중복 사번",IF($AE66="","소속(입사장소) 입력",IF(IF(TRIM($J66&amp;"")="",0,SUMPRODUCT((입력_파견수련계획!$Q$4:$Q$803=TRIM($J66&amp;""))*(입력_파견수련계획!$AA$4:$AA$803&lt;&gt;"")))&gt;0,"파견수련계획 입력오류 확인",IF(LEFT($Y66,1)="⚠","서울·구리 15일 판정 불가(양쪽 모두 이상/미만)",IF(IF($AC66="",0,N(INDEX(입력_인턴근무계획!$T$3:$T$402,$AC66)))&gt;0,"인턴계획 입력오류 확인",IF(AND($AQ66&lt;&gt;"",$AG66&lt;&gt;"구리병원",IF(TRIM($J66&amp;"")="",0,SUMPRODUCT((입력_파견수련계획!$Q$4:$Q$803=TRIM($J66&amp;""))*(입력_파견수련계획!$S$4:$S$803="구리병원")*입력_파견수련계획!$W$4:$W$803))=0),"구리 근무자명단에만 있음(파견수련계획 확인)",IF(AND($AC66&lt;&gt;"",$U66&lt;&gt;"파견중",$N66&lt;&gt;$AE66),"인턴 타지역 근무: 파견 여부 확인","정상")))))))))</f>
        <v/>
      </c>
      <c r="AA66" s="5" t="n"/>
      <c r="AB66" s="10">
        <f>IF($B66="","",IFERROR(MATCH($B66,입력_기본자료!$B$2:$B$1001,0),IFERROR(MATCH($B66&amp;"",입력_기본자료!$B$2:$B$1001,0),IFERROR(MATCH(VALUE($B66),입력_기본자료!$B$2:$B$1001,0),""))))</f>
        <v/>
      </c>
      <c r="AC66" s="10">
        <f>IF($B66="","",IFERROR(MATCH($B66,입력_인턴근무계획!$D$3:$D$402,0),IFERROR(MATCH($B66&amp;"",입력_인턴근무계획!$D$3:$D$402,0),IFERROR(MATCH(VALUE($B66),입력_인턴근무계획!$D$3:$D$402,0),""))))</f>
        <v/>
      </c>
      <c r="AD66" s="10">
        <f>IF(OR($AC66="",출력_인턴현황!$G$3=""),"",INDEX(입력_인턴근무계획!$M$3:$R$402,$AC66,출력_인턴현황!$G$3)&amp;"")</f>
        <v/>
      </c>
      <c r="AE66" s="10">
        <f>IF($B66="","",IF($M66&lt;&gt;"",$M66,IF(IF($AQ66="",FALSE,INDEX(출력_구리근무자!$J$6:$J$305,$AQ66)="구리독자"),"구리병원",IF($AF66&lt;&gt;"",IF(LEFT(INDEX(입력_파견수련계획!$R$4:$R$803,$AF66),1)&lt;&gt;"⚠",INDEX(입력_파견수련계획!$R$4:$R$803,$AF66),IF($H66="","",IF(RIGHT($H66,2)="병원",$H66,$H66&amp;"병원"))),IF($H66="","",IF(RIGHT($H66,2)="병원",$H66,$H66&amp;"병원"))))))</f>
        <v/>
      </c>
      <c r="AF66" s="10">
        <f>IF(OR($B66="",TRIM($J66&amp;"")=""),"",IFERROR(MATCH(TRIM($J66&amp;"")&amp;"|파견중",입력_파견수련계획!$Y$4:$Y$803,0),IFERROR(MATCH(TRIM($J66&amp;"")&amp;"|파견예정",입력_파견수련계획!$Y$4:$Y$803,0),IFERROR(MATCH(TRIM($J66&amp;"")&amp;"|파견종료",입력_파견수련계획!$Y$4:$Y$803,0),""))))</f>
        <v/>
      </c>
      <c r="AG66" s="10">
        <f>IF($B66="","",IF(AND(IF(OR($AC66="",출력_인턴현황!$K$2=""),"",INDEX(입력_인턴근무계획!$M$3:$R$402,$AC66,출력_인턴현황!$K$2)&amp;"")&lt;&gt;"",LEFT(IF(OR($AC66="",출력_인턴현황!$K$2=""),"",INDEX(입력_인턴근무계획!$M$3:$R$402,$AC66,출력_인턴현황!$K$2)&amp;""),1)&lt;&gt;"⚠"),LEFT(IF(OR($AC66="",출력_인턴현황!$K$2=""),"",INDEX(입력_인턴근무계획!$M$3:$R$402,$AC66,출력_인턴현황!$K$2)&amp;""),FIND(" ",IF(OR($AC66="",출력_인턴현황!$K$2=""),"",INDEX(입력_인턴근무계획!$M$3:$R$402,$AC66,출력_인턴현황!$K$2)&amp;""))-1),$AE66))</f>
        <v/>
      </c>
      <c r="AH66" s="17">
        <f>IF($B66="","",IF($AQ66&lt;&gt;"",MAX(0,DAY(EOMONTH(출력_요약!$B$3,0))-N($AR66)),IF(TRIM($J66&amp;"")="",0,SUMPRODUCT((입력_파견수련계획!$Q$4:$Q$803=TRIM($J66&amp;""))*(입력_파견수련계획!$S$4:$S$803="서울병원")*입력_파견수련계획!$W$4:$W$803))+IF($AG66="서울병원",MAX(0,DAY(EOMONTH(출력_요약!$B$3,0))-N($X66)),0)))</f>
        <v/>
      </c>
      <c r="AI66" s="17">
        <f>IF($B66="","",IF($AQ66&lt;&gt;"",N($AR66),IF(TRIM($J66&amp;"")="",0,SUMPRODUCT((입력_파견수련계획!$Q$4:$Q$803=TRIM($J66&amp;""))*(입력_파견수련계획!$S$4:$S$803="구리병원")*입력_파견수련계획!$W$4:$W$803))+IF($AG66="구리병원",MAX(0,DAY(EOMONTH(출력_요약!$B$3,0))-N($X66)),0)))</f>
        <v/>
      </c>
      <c r="AJ66" s="10">
        <f>IF(OR($B66="",TRIM($J66&amp;"")=""),"",IFERROR(MATCH(TRIM($J66&amp;"")&amp;"|월",입력_파견수련계획!$Z$4:$Z$803,0),""))</f>
        <v/>
      </c>
      <c r="AK66" s="10">
        <f>IF(OR($B66="",TRIM($J66&amp;"")=""),"",IFERROR(MATCH(TRIM($J66&amp;"")&amp;"|다기관",입력_파견수련계획!$AE$4:$AE$803,0),""))</f>
        <v/>
      </c>
      <c r="AL66" s="10">
        <f>IF($AK66="","","다기관 "&amp;TEXT(INDEX(입력_파견수련계획!$AB$4:$AB$803,$AK66),"yyyy-mm-dd")&amp;"~"&amp;IF(ISNUMBER(INDEX(입력_파견수련계획!$AC$4:$AC$803,$AK66)),TEXT(INDEX(입력_파견수련계획!$AC$4:$AC$803,$AK66),"yyyy-mm-dd"),""))</f>
        <v/>
      </c>
      <c r="AM66" s="10">
        <f>IF($Y66="서울병원",COUNTIF($Y$2:$Y66,"서울병원"),"")</f>
        <v/>
      </c>
      <c r="AN66" s="10">
        <f>IF(LEFT($Y66,1)="⚠",COUNTIF($Y$2:$Y66,"⚠*"),"")</f>
        <v/>
      </c>
      <c r="AO66" s="10">
        <f>IF(OR($B66="",$Y66=""),"",IF(IF(TRIM($J66&amp;"")="",0,SUMPRODUCT((입력_파견수련계획!$Q$4:$Q$803=TRIM($J66&amp;""))*입력_파견수련계획!$AD$4:$AD$803))&gt;0,"다기관 기간 → 소속병원 지급",IF(AND(N($X66)&lt;=0,$AQ66=""),"파견 없음 → 그 달 근무병원 지급",IF($AH66+$AI66=DAY(EOMONTH(출력_요약!$B$3,0)),"서울 "&amp;$AH66&amp;"일 / 구리 "&amp;$AI66&amp;"일"&amp;IF($AQ66&lt;&gt;""," (구리 근무자명단 반영)","")&amp;" → 15일 이상 근무 병원 지급","타 병원 포함 → "&amp;IF($AJ66="","소속",INDEX(입력_파견수련계획!$T$4:$T$803,$AJ66))&amp;" 규칙"))))</f>
        <v/>
      </c>
      <c r="AP66" s="10">
        <f>IF($B66="","",$C66&amp;"|"&amp;$F66)</f>
        <v/>
      </c>
      <c r="AQ66" s="10">
        <f>IF($B66="","",IFERROR(MATCH(ROW()-1,출력_구리근무자!$K$6:$K$305,0),""))</f>
        <v/>
      </c>
      <c r="AR66" s="10">
        <f>IF($AQ66="","",INDEX(출력_구리근무자!$H$6:$H$305,$AQ66))</f>
        <v/>
      </c>
    </row>
    <row r="67">
      <c r="A67" s="10">
        <f>IF(B67="","",ROW()-1)</f>
        <v/>
      </c>
      <c r="B67" s="19" t="n"/>
      <c r="C67" s="10">
        <f>IF($AB67="","",IF(INDEX(입력_기본자료!$C$2:$C$1001,$AB67)="","",INDEX(입력_기본자료!$C$2:$C$1001,$AB67)))</f>
        <v/>
      </c>
      <c r="D67" s="10">
        <f>IF($AB67="","",IF(INDEX(입력_기본자료!$J$2:$J$1001,$AB67)="","",INDEX(입력_기본자료!$J$2:$J$1001,$AB67)))</f>
        <v/>
      </c>
      <c r="E67" s="11">
        <f>IF($AB67="","",IF(INDEX(입력_기본자료!$K$2:$K$1001,$AB67)="","",IF(NOT(ISNUMBER(INDEX(입력_기본자료!$K$2:$K$1001,$AB67))),INDEX(입력_기본자료!$K$2:$K$1001,$AB67),IF(INDEX(입력_기본자료!$K$2:$K$1001,$AB67)&lt;1000000,INDEX(입력_기본자료!$K$2:$K$1001,$AB67),IF(AND(INDEX(입력_기본자료!$K$2:$K$1001,$AB67)&gt;=10000101,INT(MOD(INDEX(입력_기본자료!$K$2:$K$1001,$AB67),10000)/100)&gt;=1,INT(MOD(INDEX(입력_기본자료!$K$2:$K$1001,$AB67),10000)/100)&lt;=12,MOD(INDEX(입력_기본자료!$K$2:$K$1001,$AB67),100)&gt;=1,MOD(INDEX(입력_기본자료!$K$2:$K$1001,$AB67),100)&lt;=31),DATE(INT(INDEX(입력_기본자료!$K$2:$K$1001,$AB67)/10000),INT(MOD(INDEX(입력_기본자료!$K$2:$K$1001,$AB67),10000)/100),MOD(INDEX(입력_기본자료!$K$2:$K$1001,$AB67),100)),INDEX(입력_기본자료!$K$2:$K$1001,$AB67)&amp;"")))))</f>
        <v/>
      </c>
      <c r="F67" s="10">
        <f>IF($AB67="","",IF(INDEX(입력_기본자료!$D$2:$D$1001,$AB67)="","",INDEX(입력_기본자료!$D$2:$D$1001,$AB67)))</f>
        <v/>
      </c>
      <c r="G67" s="10">
        <f>IF($AB67="","",IF(INDEX(입력_기본자료!$E$2:$E$1001,$AB67)="","",INDEX(입력_기본자료!$E$2:$E$1001,$AB67)))</f>
        <v/>
      </c>
      <c r="H67" s="10">
        <f>IF($AB67="","",IF(INDEX(입력_기본자료!$F$2:$F$1001,$AB67)="","",INDEX(입력_기본자료!$F$2:$F$1001,$AB67)))</f>
        <v/>
      </c>
      <c r="I67" s="11">
        <f>IF($AB67="","",IF(INDEX(입력_기본자료!$G$2:$G$1001,$AB67)="","",IF(NOT(ISNUMBER(INDEX(입력_기본자료!$G$2:$G$1001,$AB67))),INDEX(입력_기본자료!$G$2:$G$1001,$AB67),IF(INDEX(입력_기본자료!$G$2:$G$1001,$AB67)&lt;1000000,INDEX(입력_기본자료!$G$2:$G$1001,$AB67),IF(AND(INDEX(입력_기본자료!$G$2:$G$1001,$AB67)&gt;=10000101,INT(MOD(INDEX(입력_기본자료!$G$2:$G$1001,$AB67),10000)/100)&gt;=1,INT(MOD(INDEX(입력_기본자료!$G$2:$G$1001,$AB67),10000)/100)&lt;=12,MOD(INDEX(입력_기본자료!$G$2:$G$1001,$AB67),100)&gt;=1,MOD(INDEX(입력_기본자료!$G$2:$G$1001,$AB67),100)&lt;=31),DATE(INT(INDEX(입력_기본자료!$G$2:$G$1001,$AB67)/10000),INT(MOD(INDEX(입력_기본자료!$G$2:$G$1001,$AB67),10000)/100),MOD(INDEX(입력_기본자료!$G$2:$G$1001,$AB67),100)),INDEX(입력_기본자료!$G$2:$G$1001,$AB67)&amp;"")))))</f>
        <v/>
      </c>
      <c r="J67" s="10">
        <f>IF($AB67="","",IF(INDEX(입력_기본자료!$H$2:$H$1001,$AB67)="","",INDEX(입력_기본자료!$H$2:$H$1001,$AB67)))</f>
        <v/>
      </c>
      <c r="K67" s="10">
        <f>IF($AB67="","",IF(INDEX(입력_기본자료!$I$2:$I$1001,$AB67)="","",INDEX(입력_기본자료!$I$2:$I$1001,$AB67)))</f>
        <v/>
      </c>
      <c r="L67" s="10">
        <f>IF($AB67="","",IF(INDEX(입력_기본자료!$A$2:$A$1001,$AB67)="","",INDEX(입력_기본자료!$A$2:$A$1001,$AB67)))</f>
        <v/>
      </c>
      <c r="M67" s="15" t="n"/>
      <c r="N67" s="10">
        <f>IF($B67="","",IF(AND($U67="파견중",$Q67&lt;&gt;""),$Q67,IF(AND($AD67&lt;&gt;"",LEFT($AD67,1)&lt;&gt;"⚠"),LEFT($AD67,FIND(" ",$AD67)-1),IF($H67="","",IF(RIGHT($H67,2)="병원",$H67,$H67&amp;"병원")))))</f>
        <v/>
      </c>
      <c r="O67" s="10">
        <f>IF($B67="","",IF(AND($U67="파견중",$Q67&lt;&gt;""),IF($R67&lt;&gt;"",$R67,"파견과 미입력"),IF(AND($AD67&lt;&gt;"",LEFT($AD67,1)&lt;&gt;"⚠"),MID($AD67,FIND(" ",$AD67)+1,60),IF($F67="","",IF($F67="인턴","수련교육부(인턴)",$F67)))))</f>
        <v/>
      </c>
      <c r="P67" s="10">
        <f>IF($B67="","",IF($AK67&lt;&gt;"",IF(AND(TODAY()&gt;=INDEX(입력_파견수련계획!$AB$4:$AB$803,$AK67),OR(NOT(ISNUMBER(INDEX(입력_파견수련계획!$AC$4:$AC$803,$AK67))),TODAY()&lt;=INDEX(입력_파견수련계획!$AC$4:$AC$803,$AK67))),"다기관",IF($AF67="","",INDEX(입력_파견수련계획!$T$4:$T$803,$AF67))),IF($AF67="","",INDEX(입력_파견수련계획!$T$4:$T$803,$AF67))))</f>
        <v/>
      </c>
      <c r="Q67" s="10">
        <f>IF($AF67="","",INDEX(입력_파견수련계획!$S$4:$S$803,$AF67))</f>
        <v/>
      </c>
      <c r="R67" s="10">
        <f>IF($AF67="","",INDEX(입력_파견수련계획!$U$4:$U$803,$AF67))</f>
        <v/>
      </c>
      <c r="S67" s="11">
        <f>IF($AF67="","",IF(INDEX(입력_파견수련계획!$H$4:$H$803,$AF67)="","",INDEX(입력_파견수련계획!$H$4:$H$803,$AF67)))</f>
        <v/>
      </c>
      <c r="T67" s="11">
        <f>IF($AF67="","",IF(INDEX(입력_파견수련계획!$I$4:$I$803,$AF67)="","",INDEX(입력_파견수련계획!$I$4:$I$803,$AF67)))</f>
        <v/>
      </c>
      <c r="U67" s="10">
        <f>IF($AF67="","",INDEX(입력_파견수련계획!$X$4:$X$803,$AF67))</f>
        <v/>
      </c>
      <c r="V67" s="17">
        <f>IF($AF67="","",INDEX(입력_파견수련계획!$V$4:$V$803,$AF67))</f>
        <v/>
      </c>
      <c r="W67" s="17">
        <f>IF(AND($U67="파견중",$T67&lt;&gt;""),$T67-TODAY(),"")</f>
        <v/>
      </c>
      <c r="X67" s="17">
        <f>IF(OR($B67="",TRIM($J67&amp;"")=""),"",SUMPRODUCT((입력_파견수련계획!$Q$4:$Q$803=TRIM($J67&amp;""))*입력_파견수련계획!$W$4:$W$803))</f>
        <v/>
      </c>
      <c r="Y67" s="10">
        <f>IF($B67="","",IF($AG67="","",IF(IF(TRIM($J67&amp;"")="",0,SUMPRODUCT((입력_파견수련계획!$Q$4:$Q$803=TRIM($J67&amp;""))*입력_파견수련계획!$AD$4:$AD$803))&gt;0,$AE67,IF(AND(N($X67)&lt;=0,$AQ67=""),$AG67,IF($AH67+$AI67=DAY(EOMONTH(출력_요약!$B$3,0)),IF(AND($AH67&gt;=출력_요약!$E$3,$AI67&lt;출력_요약!$E$3),"서울병원",IF(AND($AI67&gt;=출력_요약!$E$3,$AH67&lt;출력_요약!$E$3),"구리병원","⚠15일 판정불가(서울 "&amp;$AH67&amp;"일/구리 "&amp;$AI67&amp;"일)")),IF($AJ67="",$AE67,IF(INDEX(입력_파견수련계획!$T$4:$T$803,$AJ67)="통합수련",INDEX(입력_파견수련계획!$S$4:$S$803,$AJ67),$AE67)))))))</f>
        <v/>
      </c>
      <c r="Z67" s="20">
        <f>IF($B67="","",IF($AB67="","기본자료에 없는 사번",IF(COUNTIF($B$2:$B$401,$B67)&gt;1,"중복 사번",IF($AE67="","소속(입사장소) 입력",IF(IF(TRIM($J67&amp;"")="",0,SUMPRODUCT((입력_파견수련계획!$Q$4:$Q$803=TRIM($J67&amp;""))*(입력_파견수련계획!$AA$4:$AA$803&lt;&gt;"")))&gt;0,"파견수련계획 입력오류 확인",IF(LEFT($Y67,1)="⚠","서울·구리 15일 판정 불가(양쪽 모두 이상/미만)",IF(IF($AC67="",0,N(INDEX(입력_인턴근무계획!$T$3:$T$402,$AC67)))&gt;0,"인턴계획 입력오류 확인",IF(AND($AQ67&lt;&gt;"",$AG67&lt;&gt;"구리병원",IF(TRIM($J67&amp;"")="",0,SUMPRODUCT((입력_파견수련계획!$Q$4:$Q$803=TRIM($J67&amp;""))*(입력_파견수련계획!$S$4:$S$803="구리병원")*입력_파견수련계획!$W$4:$W$803))=0),"구리 근무자명단에만 있음(파견수련계획 확인)",IF(AND($AC67&lt;&gt;"",$U67&lt;&gt;"파견중",$N67&lt;&gt;$AE67),"인턴 타지역 근무: 파견 여부 확인","정상")))))))))</f>
        <v/>
      </c>
      <c r="AA67" s="5" t="n"/>
      <c r="AB67" s="10">
        <f>IF($B67="","",IFERROR(MATCH($B67,입력_기본자료!$B$2:$B$1001,0),IFERROR(MATCH($B67&amp;"",입력_기본자료!$B$2:$B$1001,0),IFERROR(MATCH(VALUE($B67),입력_기본자료!$B$2:$B$1001,0),""))))</f>
        <v/>
      </c>
      <c r="AC67" s="10">
        <f>IF($B67="","",IFERROR(MATCH($B67,입력_인턴근무계획!$D$3:$D$402,0),IFERROR(MATCH($B67&amp;"",입력_인턴근무계획!$D$3:$D$402,0),IFERROR(MATCH(VALUE($B67),입력_인턴근무계획!$D$3:$D$402,0),""))))</f>
        <v/>
      </c>
      <c r="AD67" s="10">
        <f>IF(OR($AC67="",출력_인턴현황!$G$3=""),"",INDEX(입력_인턴근무계획!$M$3:$R$402,$AC67,출력_인턴현황!$G$3)&amp;"")</f>
        <v/>
      </c>
      <c r="AE67" s="10">
        <f>IF($B67="","",IF($M67&lt;&gt;"",$M67,IF(IF($AQ67="",FALSE,INDEX(출력_구리근무자!$J$6:$J$305,$AQ67)="구리독자"),"구리병원",IF($AF67&lt;&gt;"",IF(LEFT(INDEX(입력_파견수련계획!$R$4:$R$803,$AF67),1)&lt;&gt;"⚠",INDEX(입력_파견수련계획!$R$4:$R$803,$AF67),IF($H67="","",IF(RIGHT($H67,2)="병원",$H67,$H67&amp;"병원"))),IF($H67="","",IF(RIGHT($H67,2)="병원",$H67,$H67&amp;"병원"))))))</f>
        <v/>
      </c>
      <c r="AF67" s="10">
        <f>IF(OR($B67="",TRIM($J67&amp;"")=""),"",IFERROR(MATCH(TRIM($J67&amp;"")&amp;"|파견중",입력_파견수련계획!$Y$4:$Y$803,0),IFERROR(MATCH(TRIM($J67&amp;"")&amp;"|파견예정",입력_파견수련계획!$Y$4:$Y$803,0),IFERROR(MATCH(TRIM($J67&amp;"")&amp;"|파견종료",입력_파견수련계획!$Y$4:$Y$803,0),""))))</f>
        <v/>
      </c>
      <c r="AG67" s="10">
        <f>IF($B67="","",IF(AND(IF(OR($AC67="",출력_인턴현황!$K$2=""),"",INDEX(입력_인턴근무계획!$M$3:$R$402,$AC67,출력_인턴현황!$K$2)&amp;"")&lt;&gt;"",LEFT(IF(OR($AC67="",출력_인턴현황!$K$2=""),"",INDEX(입력_인턴근무계획!$M$3:$R$402,$AC67,출력_인턴현황!$K$2)&amp;""),1)&lt;&gt;"⚠"),LEFT(IF(OR($AC67="",출력_인턴현황!$K$2=""),"",INDEX(입력_인턴근무계획!$M$3:$R$402,$AC67,출력_인턴현황!$K$2)&amp;""),FIND(" ",IF(OR($AC67="",출력_인턴현황!$K$2=""),"",INDEX(입력_인턴근무계획!$M$3:$R$402,$AC67,출력_인턴현황!$K$2)&amp;""))-1),$AE67))</f>
        <v/>
      </c>
      <c r="AH67" s="17">
        <f>IF($B67="","",IF($AQ67&lt;&gt;"",MAX(0,DAY(EOMONTH(출력_요약!$B$3,0))-N($AR67)),IF(TRIM($J67&amp;"")="",0,SUMPRODUCT((입력_파견수련계획!$Q$4:$Q$803=TRIM($J67&amp;""))*(입력_파견수련계획!$S$4:$S$803="서울병원")*입력_파견수련계획!$W$4:$W$803))+IF($AG67="서울병원",MAX(0,DAY(EOMONTH(출력_요약!$B$3,0))-N($X67)),0)))</f>
        <v/>
      </c>
      <c r="AI67" s="17">
        <f>IF($B67="","",IF($AQ67&lt;&gt;"",N($AR67),IF(TRIM($J67&amp;"")="",0,SUMPRODUCT((입력_파견수련계획!$Q$4:$Q$803=TRIM($J67&amp;""))*(입력_파견수련계획!$S$4:$S$803="구리병원")*입력_파견수련계획!$W$4:$W$803))+IF($AG67="구리병원",MAX(0,DAY(EOMONTH(출력_요약!$B$3,0))-N($X67)),0)))</f>
        <v/>
      </c>
      <c r="AJ67" s="10">
        <f>IF(OR($B67="",TRIM($J67&amp;"")=""),"",IFERROR(MATCH(TRIM($J67&amp;"")&amp;"|월",입력_파견수련계획!$Z$4:$Z$803,0),""))</f>
        <v/>
      </c>
      <c r="AK67" s="10">
        <f>IF(OR($B67="",TRIM($J67&amp;"")=""),"",IFERROR(MATCH(TRIM($J67&amp;"")&amp;"|다기관",입력_파견수련계획!$AE$4:$AE$803,0),""))</f>
        <v/>
      </c>
      <c r="AL67" s="10">
        <f>IF($AK67="","","다기관 "&amp;TEXT(INDEX(입력_파견수련계획!$AB$4:$AB$803,$AK67),"yyyy-mm-dd")&amp;"~"&amp;IF(ISNUMBER(INDEX(입력_파견수련계획!$AC$4:$AC$803,$AK67)),TEXT(INDEX(입력_파견수련계획!$AC$4:$AC$803,$AK67),"yyyy-mm-dd"),""))</f>
        <v/>
      </c>
      <c r="AM67" s="10">
        <f>IF($Y67="서울병원",COUNTIF($Y$2:$Y67,"서울병원"),"")</f>
        <v/>
      </c>
      <c r="AN67" s="10">
        <f>IF(LEFT($Y67,1)="⚠",COUNTIF($Y$2:$Y67,"⚠*"),"")</f>
        <v/>
      </c>
      <c r="AO67" s="10">
        <f>IF(OR($B67="",$Y67=""),"",IF(IF(TRIM($J67&amp;"")="",0,SUMPRODUCT((입력_파견수련계획!$Q$4:$Q$803=TRIM($J67&amp;""))*입력_파견수련계획!$AD$4:$AD$803))&gt;0,"다기관 기간 → 소속병원 지급",IF(AND(N($X67)&lt;=0,$AQ67=""),"파견 없음 → 그 달 근무병원 지급",IF($AH67+$AI67=DAY(EOMONTH(출력_요약!$B$3,0)),"서울 "&amp;$AH67&amp;"일 / 구리 "&amp;$AI67&amp;"일"&amp;IF($AQ67&lt;&gt;""," (구리 근무자명단 반영)","")&amp;" → 15일 이상 근무 병원 지급","타 병원 포함 → "&amp;IF($AJ67="","소속",INDEX(입력_파견수련계획!$T$4:$T$803,$AJ67))&amp;" 규칙"))))</f>
        <v/>
      </c>
      <c r="AP67" s="10">
        <f>IF($B67="","",$C67&amp;"|"&amp;$F67)</f>
        <v/>
      </c>
      <c r="AQ67" s="10">
        <f>IF($B67="","",IFERROR(MATCH(ROW()-1,출력_구리근무자!$K$6:$K$305,0),""))</f>
        <v/>
      </c>
      <c r="AR67" s="10">
        <f>IF($AQ67="","",INDEX(출력_구리근무자!$H$6:$H$305,$AQ67))</f>
        <v/>
      </c>
    </row>
    <row r="68">
      <c r="A68" s="10">
        <f>IF(B68="","",ROW()-1)</f>
        <v/>
      </c>
      <c r="B68" s="19" t="n"/>
      <c r="C68" s="10">
        <f>IF($AB68="","",IF(INDEX(입력_기본자료!$C$2:$C$1001,$AB68)="","",INDEX(입력_기본자료!$C$2:$C$1001,$AB68)))</f>
        <v/>
      </c>
      <c r="D68" s="10">
        <f>IF($AB68="","",IF(INDEX(입력_기본자료!$J$2:$J$1001,$AB68)="","",INDEX(입력_기본자료!$J$2:$J$1001,$AB68)))</f>
        <v/>
      </c>
      <c r="E68" s="11">
        <f>IF($AB68="","",IF(INDEX(입력_기본자료!$K$2:$K$1001,$AB68)="","",IF(NOT(ISNUMBER(INDEX(입력_기본자료!$K$2:$K$1001,$AB68))),INDEX(입력_기본자료!$K$2:$K$1001,$AB68),IF(INDEX(입력_기본자료!$K$2:$K$1001,$AB68)&lt;1000000,INDEX(입력_기본자료!$K$2:$K$1001,$AB68),IF(AND(INDEX(입력_기본자료!$K$2:$K$1001,$AB68)&gt;=10000101,INT(MOD(INDEX(입력_기본자료!$K$2:$K$1001,$AB68),10000)/100)&gt;=1,INT(MOD(INDEX(입력_기본자료!$K$2:$K$1001,$AB68),10000)/100)&lt;=12,MOD(INDEX(입력_기본자료!$K$2:$K$1001,$AB68),100)&gt;=1,MOD(INDEX(입력_기본자료!$K$2:$K$1001,$AB68),100)&lt;=31),DATE(INT(INDEX(입력_기본자료!$K$2:$K$1001,$AB68)/10000),INT(MOD(INDEX(입력_기본자료!$K$2:$K$1001,$AB68),10000)/100),MOD(INDEX(입력_기본자료!$K$2:$K$1001,$AB68),100)),INDEX(입력_기본자료!$K$2:$K$1001,$AB68)&amp;"")))))</f>
        <v/>
      </c>
      <c r="F68" s="10">
        <f>IF($AB68="","",IF(INDEX(입력_기본자료!$D$2:$D$1001,$AB68)="","",INDEX(입력_기본자료!$D$2:$D$1001,$AB68)))</f>
        <v/>
      </c>
      <c r="G68" s="10">
        <f>IF($AB68="","",IF(INDEX(입력_기본자료!$E$2:$E$1001,$AB68)="","",INDEX(입력_기본자료!$E$2:$E$1001,$AB68)))</f>
        <v/>
      </c>
      <c r="H68" s="10">
        <f>IF($AB68="","",IF(INDEX(입력_기본자료!$F$2:$F$1001,$AB68)="","",INDEX(입력_기본자료!$F$2:$F$1001,$AB68)))</f>
        <v/>
      </c>
      <c r="I68" s="11">
        <f>IF($AB68="","",IF(INDEX(입력_기본자료!$G$2:$G$1001,$AB68)="","",IF(NOT(ISNUMBER(INDEX(입력_기본자료!$G$2:$G$1001,$AB68))),INDEX(입력_기본자료!$G$2:$G$1001,$AB68),IF(INDEX(입력_기본자료!$G$2:$G$1001,$AB68)&lt;1000000,INDEX(입력_기본자료!$G$2:$G$1001,$AB68),IF(AND(INDEX(입력_기본자료!$G$2:$G$1001,$AB68)&gt;=10000101,INT(MOD(INDEX(입력_기본자료!$G$2:$G$1001,$AB68),10000)/100)&gt;=1,INT(MOD(INDEX(입력_기본자료!$G$2:$G$1001,$AB68),10000)/100)&lt;=12,MOD(INDEX(입력_기본자료!$G$2:$G$1001,$AB68),100)&gt;=1,MOD(INDEX(입력_기본자료!$G$2:$G$1001,$AB68),100)&lt;=31),DATE(INT(INDEX(입력_기본자료!$G$2:$G$1001,$AB68)/10000),INT(MOD(INDEX(입력_기본자료!$G$2:$G$1001,$AB68),10000)/100),MOD(INDEX(입력_기본자료!$G$2:$G$1001,$AB68),100)),INDEX(입력_기본자료!$G$2:$G$1001,$AB68)&amp;"")))))</f>
        <v/>
      </c>
      <c r="J68" s="10">
        <f>IF($AB68="","",IF(INDEX(입력_기본자료!$H$2:$H$1001,$AB68)="","",INDEX(입력_기본자료!$H$2:$H$1001,$AB68)))</f>
        <v/>
      </c>
      <c r="K68" s="10">
        <f>IF($AB68="","",IF(INDEX(입력_기본자료!$I$2:$I$1001,$AB68)="","",INDEX(입력_기본자료!$I$2:$I$1001,$AB68)))</f>
        <v/>
      </c>
      <c r="L68" s="10">
        <f>IF($AB68="","",IF(INDEX(입력_기본자료!$A$2:$A$1001,$AB68)="","",INDEX(입력_기본자료!$A$2:$A$1001,$AB68)))</f>
        <v/>
      </c>
      <c r="M68" s="15" t="n"/>
      <c r="N68" s="10">
        <f>IF($B68="","",IF(AND($U68="파견중",$Q68&lt;&gt;""),$Q68,IF(AND($AD68&lt;&gt;"",LEFT($AD68,1)&lt;&gt;"⚠"),LEFT($AD68,FIND(" ",$AD68)-1),IF($H68="","",IF(RIGHT($H68,2)="병원",$H68,$H68&amp;"병원")))))</f>
        <v/>
      </c>
      <c r="O68" s="10">
        <f>IF($B68="","",IF(AND($U68="파견중",$Q68&lt;&gt;""),IF($R68&lt;&gt;"",$R68,"파견과 미입력"),IF(AND($AD68&lt;&gt;"",LEFT($AD68,1)&lt;&gt;"⚠"),MID($AD68,FIND(" ",$AD68)+1,60),IF($F68="","",IF($F68="인턴","수련교육부(인턴)",$F68)))))</f>
        <v/>
      </c>
      <c r="P68" s="10">
        <f>IF($B68="","",IF($AK68&lt;&gt;"",IF(AND(TODAY()&gt;=INDEX(입력_파견수련계획!$AB$4:$AB$803,$AK68),OR(NOT(ISNUMBER(INDEX(입력_파견수련계획!$AC$4:$AC$803,$AK68))),TODAY()&lt;=INDEX(입력_파견수련계획!$AC$4:$AC$803,$AK68))),"다기관",IF($AF68="","",INDEX(입력_파견수련계획!$T$4:$T$803,$AF68))),IF($AF68="","",INDEX(입력_파견수련계획!$T$4:$T$803,$AF68))))</f>
        <v/>
      </c>
      <c r="Q68" s="10">
        <f>IF($AF68="","",INDEX(입력_파견수련계획!$S$4:$S$803,$AF68))</f>
        <v/>
      </c>
      <c r="R68" s="10">
        <f>IF($AF68="","",INDEX(입력_파견수련계획!$U$4:$U$803,$AF68))</f>
        <v/>
      </c>
      <c r="S68" s="11">
        <f>IF($AF68="","",IF(INDEX(입력_파견수련계획!$H$4:$H$803,$AF68)="","",INDEX(입력_파견수련계획!$H$4:$H$803,$AF68)))</f>
        <v/>
      </c>
      <c r="T68" s="11">
        <f>IF($AF68="","",IF(INDEX(입력_파견수련계획!$I$4:$I$803,$AF68)="","",INDEX(입력_파견수련계획!$I$4:$I$803,$AF68)))</f>
        <v/>
      </c>
      <c r="U68" s="10">
        <f>IF($AF68="","",INDEX(입력_파견수련계획!$X$4:$X$803,$AF68))</f>
        <v/>
      </c>
      <c r="V68" s="17">
        <f>IF($AF68="","",INDEX(입력_파견수련계획!$V$4:$V$803,$AF68))</f>
        <v/>
      </c>
      <c r="W68" s="17">
        <f>IF(AND($U68="파견중",$T68&lt;&gt;""),$T68-TODAY(),"")</f>
        <v/>
      </c>
      <c r="X68" s="17">
        <f>IF(OR($B68="",TRIM($J68&amp;"")=""),"",SUMPRODUCT((입력_파견수련계획!$Q$4:$Q$803=TRIM($J68&amp;""))*입력_파견수련계획!$W$4:$W$803))</f>
        <v/>
      </c>
      <c r="Y68" s="10">
        <f>IF($B68="","",IF($AG68="","",IF(IF(TRIM($J68&amp;"")="",0,SUMPRODUCT((입력_파견수련계획!$Q$4:$Q$803=TRIM($J68&amp;""))*입력_파견수련계획!$AD$4:$AD$803))&gt;0,$AE68,IF(AND(N($X68)&lt;=0,$AQ68=""),$AG68,IF($AH68+$AI68=DAY(EOMONTH(출력_요약!$B$3,0)),IF(AND($AH68&gt;=출력_요약!$E$3,$AI68&lt;출력_요약!$E$3),"서울병원",IF(AND($AI68&gt;=출력_요약!$E$3,$AH68&lt;출력_요약!$E$3),"구리병원","⚠15일 판정불가(서울 "&amp;$AH68&amp;"일/구리 "&amp;$AI68&amp;"일)")),IF($AJ68="",$AE68,IF(INDEX(입력_파견수련계획!$T$4:$T$803,$AJ68)="통합수련",INDEX(입력_파견수련계획!$S$4:$S$803,$AJ68),$AE68)))))))</f>
        <v/>
      </c>
      <c r="Z68" s="20">
        <f>IF($B68="","",IF($AB68="","기본자료에 없는 사번",IF(COUNTIF($B$2:$B$401,$B68)&gt;1,"중복 사번",IF($AE68="","소속(입사장소) 입력",IF(IF(TRIM($J68&amp;"")="",0,SUMPRODUCT((입력_파견수련계획!$Q$4:$Q$803=TRIM($J68&amp;""))*(입력_파견수련계획!$AA$4:$AA$803&lt;&gt;"")))&gt;0,"파견수련계획 입력오류 확인",IF(LEFT($Y68,1)="⚠","서울·구리 15일 판정 불가(양쪽 모두 이상/미만)",IF(IF($AC68="",0,N(INDEX(입력_인턴근무계획!$T$3:$T$402,$AC68)))&gt;0,"인턴계획 입력오류 확인",IF(AND($AQ68&lt;&gt;"",$AG68&lt;&gt;"구리병원",IF(TRIM($J68&amp;"")="",0,SUMPRODUCT((입력_파견수련계획!$Q$4:$Q$803=TRIM($J68&amp;""))*(입력_파견수련계획!$S$4:$S$803="구리병원")*입력_파견수련계획!$W$4:$W$803))=0),"구리 근무자명단에만 있음(파견수련계획 확인)",IF(AND($AC68&lt;&gt;"",$U68&lt;&gt;"파견중",$N68&lt;&gt;$AE68),"인턴 타지역 근무: 파견 여부 확인","정상")))))))))</f>
        <v/>
      </c>
      <c r="AA68" s="5" t="n"/>
      <c r="AB68" s="10">
        <f>IF($B68="","",IFERROR(MATCH($B68,입력_기본자료!$B$2:$B$1001,0),IFERROR(MATCH($B68&amp;"",입력_기본자료!$B$2:$B$1001,0),IFERROR(MATCH(VALUE($B68),입력_기본자료!$B$2:$B$1001,0),""))))</f>
        <v/>
      </c>
      <c r="AC68" s="10">
        <f>IF($B68="","",IFERROR(MATCH($B68,입력_인턴근무계획!$D$3:$D$402,0),IFERROR(MATCH($B68&amp;"",입력_인턴근무계획!$D$3:$D$402,0),IFERROR(MATCH(VALUE($B68),입력_인턴근무계획!$D$3:$D$402,0),""))))</f>
        <v/>
      </c>
      <c r="AD68" s="10">
        <f>IF(OR($AC68="",출력_인턴현황!$G$3=""),"",INDEX(입력_인턴근무계획!$M$3:$R$402,$AC68,출력_인턴현황!$G$3)&amp;"")</f>
        <v/>
      </c>
      <c r="AE68" s="10">
        <f>IF($B68="","",IF($M68&lt;&gt;"",$M68,IF(IF($AQ68="",FALSE,INDEX(출력_구리근무자!$J$6:$J$305,$AQ68)="구리독자"),"구리병원",IF($AF68&lt;&gt;"",IF(LEFT(INDEX(입력_파견수련계획!$R$4:$R$803,$AF68),1)&lt;&gt;"⚠",INDEX(입력_파견수련계획!$R$4:$R$803,$AF68),IF($H68="","",IF(RIGHT($H68,2)="병원",$H68,$H68&amp;"병원"))),IF($H68="","",IF(RIGHT($H68,2)="병원",$H68,$H68&amp;"병원"))))))</f>
        <v/>
      </c>
      <c r="AF68" s="10">
        <f>IF(OR($B68="",TRIM($J68&amp;"")=""),"",IFERROR(MATCH(TRIM($J68&amp;"")&amp;"|파견중",입력_파견수련계획!$Y$4:$Y$803,0),IFERROR(MATCH(TRIM($J68&amp;"")&amp;"|파견예정",입력_파견수련계획!$Y$4:$Y$803,0),IFERROR(MATCH(TRIM($J68&amp;"")&amp;"|파견종료",입력_파견수련계획!$Y$4:$Y$803,0),""))))</f>
        <v/>
      </c>
      <c r="AG68" s="10">
        <f>IF($B68="","",IF(AND(IF(OR($AC68="",출력_인턴현황!$K$2=""),"",INDEX(입력_인턴근무계획!$M$3:$R$402,$AC68,출력_인턴현황!$K$2)&amp;"")&lt;&gt;"",LEFT(IF(OR($AC68="",출력_인턴현황!$K$2=""),"",INDEX(입력_인턴근무계획!$M$3:$R$402,$AC68,출력_인턴현황!$K$2)&amp;""),1)&lt;&gt;"⚠"),LEFT(IF(OR($AC68="",출력_인턴현황!$K$2=""),"",INDEX(입력_인턴근무계획!$M$3:$R$402,$AC68,출력_인턴현황!$K$2)&amp;""),FIND(" ",IF(OR($AC68="",출력_인턴현황!$K$2=""),"",INDEX(입력_인턴근무계획!$M$3:$R$402,$AC68,출력_인턴현황!$K$2)&amp;""))-1),$AE68))</f>
        <v/>
      </c>
      <c r="AH68" s="17">
        <f>IF($B68="","",IF($AQ68&lt;&gt;"",MAX(0,DAY(EOMONTH(출력_요약!$B$3,0))-N($AR68)),IF(TRIM($J68&amp;"")="",0,SUMPRODUCT((입력_파견수련계획!$Q$4:$Q$803=TRIM($J68&amp;""))*(입력_파견수련계획!$S$4:$S$803="서울병원")*입력_파견수련계획!$W$4:$W$803))+IF($AG68="서울병원",MAX(0,DAY(EOMONTH(출력_요약!$B$3,0))-N($X68)),0)))</f>
        <v/>
      </c>
      <c r="AI68" s="17">
        <f>IF($B68="","",IF($AQ68&lt;&gt;"",N($AR68),IF(TRIM($J68&amp;"")="",0,SUMPRODUCT((입력_파견수련계획!$Q$4:$Q$803=TRIM($J68&amp;""))*(입력_파견수련계획!$S$4:$S$803="구리병원")*입력_파견수련계획!$W$4:$W$803))+IF($AG68="구리병원",MAX(0,DAY(EOMONTH(출력_요약!$B$3,0))-N($X68)),0)))</f>
        <v/>
      </c>
      <c r="AJ68" s="10">
        <f>IF(OR($B68="",TRIM($J68&amp;"")=""),"",IFERROR(MATCH(TRIM($J68&amp;"")&amp;"|월",입력_파견수련계획!$Z$4:$Z$803,0),""))</f>
        <v/>
      </c>
      <c r="AK68" s="10">
        <f>IF(OR($B68="",TRIM($J68&amp;"")=""),"",IFERROR(MATCH(TRIM($J68&amp;"")&amp;"|다기관",입력_파견수련계획!$AE$4:$AE$803,0),""))</f>
        <v/>
      </c>
      <c r="AL68" s="10">
        <f>IF($AK68="","","다기관 "&amp;TEXT(INDEX(입력_파견수련계획!$AB$4:$AB$803,$AK68),"yyyy-mm-dd")&amp;"~"&amp;IF(ISNUMBER(INDEX(입력_파견수련계획!$AC$4:$AC$803,$AK68)),TEXT(INDEX(입력_파견수련계획!$AC$4:$AC$803,$AK68),"yyyy-mm-dd"),""))</f>
        <v/>
      </c>
      <c r="AM68" s="10">
        <f>IF($Y68="서울병원",COUNTIF($Y$2:$Y68,"서울병원"),"")</f>
        <v/>
      </c>
      <c r="AN68" s="10">
        <f>IF(LEFT($Y68,1)="⚠",COUNTIF($Y$2:$Y68,"⚠*"),"")</f>
        <v/>
      </c>
      <c r="AO68" s="10">
        <f>IF(OR($B68="",$Y68=""),"",IF(IF(TRIM($J68&amp;"")="",0,SUMPRODUCT((입력_파견수련계획!$Q$4:$Q$803=TRIM($J68&amp;""))*입력_파견수련계획!$AD$4:$AD$803))&gt;0,"다기관 기간 → 소속병원 지급",IF(AND(N($X68)&lt;=0,$AQ68=""),"파견 없음 → 그 달 근무병원 지급",IF($AH68+$AI68=DAY(EOMONTH(출력_요약!$B$3,0)),"서울 "&amp;$AH68&amp;"일 / 구리 "&amp;$AI68&amp;"일"&amp;IF($AQ68&lt;&gt;""," (구리 근무자명단 반영)","")&amp;" → 15일 이상 근무 병원 지급","타 병원 포함 → "&amp;IF($AJ68="","소속",INDEX(입력_파견수련계획!$T$4:$T$803,$AJ68))&amp;" 규칙"))))</f>
        <v/>
      </c>
      <c r="AP68" s="10">
        <f>IF($B68="","",$C68&amp;"|"&amp;$F68)</f>
        <v/>
      </c>
      <c r="AQ68" s="10">
        <f>IF($B68="","",IFERROR(MATCH(ROW()-1,출력_구리근무자!$K$6:$K$305,0),""))</f>
        <v/>
      </c>
      <c r="AR68" s="10">
        <f>IF($AQ68="","",INDEX(출력_구리근무자!$H$6:$H$305,$AQ68))</f>
        <v/>
      </c>
    </row>
    <row r="69">
      <c r="A69" s="10">
        <f>IF(B69="","",ROW()-1)</f>
        <v/>
      </c>
      <c r="B69" s="19" t="n"/>
      <c r="C69" s="10">
        <f>IF($AB69="","",IF(INDEX(입력_기본자료!$C$2:$C$1001,$AB69)="","",INDEX(입력_기본자료!$C$2:$C$1001,$AB69)))</f>
        <v/>
      </c>
      <c r="D69" s="10">
        <f>IF($AB69="","",IF(INDEX(입력_기본자료!$J$2:$J$1001,$AB69)="","",INDEX(입력_기본자료!$J$2:$J$1001,$AB69)))</f>
        <v/>
      </c>
      <c r="E69" s="11">
        <f>IF($AB69="","",IF(INDEX(입력_기본자료!$K$2:$K$1001,$AB69)="","",IF(NOT(ISNUMBER(INDEX(입력_기본자료!$K$2:$K$1001,$AB69))),INDEX(입력_기본자료!$K$2:$K$1001,$AB69),IF(INDEX(입력_기본자료!$K$2:$K$1001,$AB69)&lt;1000000,INDEX(입력_기본자료!$K$2:$K$1001,$AB69),IF(AND(INDEX(입력_기본자료!$K$2:$K$1001,$AB69)&gt;=10000101,INT(MOD(INDEX(입력_기본자료!$K$2:$K$1001,$AB69),10000)/100)&gt;=1,INT(MOD(INDEX(입력_기본자료!$K$2:$K$1001,$AB69),10000)/100)&lt;=12,MOD(INDEX(입력_기본자료!$K$2:$K$1001,$AB69),100)&gt;=1,MOD(INDEX(입력_기본자료!$K$2:$K$1001,$AB69),100)&lt;=31),DATE(INT(INDEX(입력_기본자료!$K$2:$K$1001,$AB69)/10000),INT(MOD(INDEX(입력_기본자료!$K$2:$K$1001,$AB69),10000)/100),MOD(INDEX(입력_기본자료!$K$2:$K$1001,$AB69),100)),INDEX(입력_기본자료!$K$2:$K$1001,$AB69)&amp;"")))))</f>
        <v/>
      </c>
      <c r="F69" s="10">
        <f>IF($AB69="","",IF(INDEX(입력_기본자료!$D$2:$D$1001,$AB69)="","",INDEX(입력_기본자료!$D$2:$D$1001,$AB69)))</f>
        <v/>
      </c>
      <c r="G69" s="10">
        <f>IF($AB69="","",IF(INDEX(입력_기본자료!$E$2:$E$1001,$AB69)="","",INDEX(입력_기본자료!$E$2:$E$1001,$AB69)))</f>
        <v/>
      </c>
      <c r="H69" s="10">
        <f>IF($AB69="","",IF(INDEX(입력_기본자료!$F$2:$F$1001,$AB69)="","",INDEX(입력_기본자료!$F$2:$F$1001,$AB69)))</f>
        <v/>
      </c>
      <c r="I69" s="11">
        <f>IF($AB69="","",IF(INDEX(입력_기본자료!$G$2:$G$1001,$AB69)="","",IF(NOT(ISNUMBER(INDEX(입력_기본자료!$G$2:$G$1001,$AB69))),INDEX(입력_기본자료!$G$2:$G$1001,$AB69),IF(INDEX(입력_기본자료!$G$2:$G$1001,$AB69)&lt;1000000,INDEX(입력_기본자료!$G$2:$G$1001,$AB69),IF(AND(INDEX(입력_기본자료!$G$2:$G$1001,$AB69)&gt;=10000101,INT(MOD(INDEX(입력_기본자료!$G$2:$G$1001,$AB69),10000)/100)&gt;=1,INT(MOD(INDEX(입력_기본자료!$G$2:$G$1001,$AB69),10000)/100)&lt;=12,MOD(INDEX(입력_기본자료!$G$2:$G$1001,$AB69),100)&gt;=1,MOD(INDEX(입력_기본자료!$G$2:$G$1001,$AB69),100)&lt;=31),DATE(INT(INDEX(입력_기본자료!$G$2:$G$1001,$AB69)/10000),INT(MOD(INDEX(입력_기본자료!$G$2:$G$1001,$AB69),10000)/100),MOD(INDEX(입력_기본자료!$G$2:$G$1001,$AB69),100)),INDEX(입력_기본자료!$G$2:$G$1001,$AB69)&amp;"")))))</f>
        <v/>
      </c>
      <c r="J69" s="10">
        <f>IF($AB69="","",IF(INDEX(입력_기본자료!$H$2:$H$1001,$AB69)="","",INDEX(입력_기본자료!$H$2:$H$1001,$AB69)))</f>
        <v/>
      </c>
      <c r="K69" s="10">
        <f>IF($AB69="","",IF(INDEX(입력_기본자료!$I$2:$I$1001,$AB69)="","",INDEX(입력_기본자료!$I$2:$I$1001,$AB69)))</f>
        <v/>
      </c>
      <c r="L69" s="10">
        <f>IF($AB69="","",IF(INDEX(입력_기본자료!$A$2:$A$1001,$AB69)="","",INDEX(입력_기본자료!$A$2:$A$1001,$AB69)))</f>
        <v/>
      </c>
      <c r="M69" s="15" t="n"/>
      <c r="N69" s="10">
        <f>IF($B69="","",IF(AND($U69="파견중",$Q69&lt;&gt;""),$Q69,IF(AND($AD69&lt;&gt;"",LEFT($AD69,1)&lt;&gt;"⚠"),LEFT($AD69,FIND(" ",$AD69)-1),IF($H69="","",IF(RIGHT($H69,2)="병원",$H69,$H69&amp;"병원")))))</f>
        <v/>
      </c>
      <c r="O69" s="10">
        <f>IF($B69="","",IF(AND($U69="파견중",$Q69&lt;&gt;""),IF($R69&lt;&gt;"",$R69,"파견과 미입력"),IF(AND($AD69&lt;&gt;"",LEFT($AD69,1)&lt;&gt;"⚠"),MID($AD69,FIND(" ",$AD69)+1,60),IF($F69="","",IF($F69="인턴","수련교육부(인턴)",$F69)))))</f>
        <v/>
      </c>
      <c r="P69" s="10">
        <f>IF($B69="","",IF($AK69&lt;&gt;"",IF(AND(TODAY()&gt;=INDEX(입력_파견수련계획!$AB$4:$AB$803,$AK69),OR(NOT(ISNUMBER(INDEX(입력_파견수련계획!$AC$4:$AC$803,$AK69))),TODAY()&lt;=INDEX(입력_파견수련계획!$AC$4:$AC$803,$AK69))),"다기관",IF($AF69="","",INDEX(입력_파견수련계획!$T$4:$T$803,$AF69))),IF($AF69="","",INDEX(입력_파견수련계획!$T$4:$T$803,$AF69))))</f>
        <v/>
      </c>
      <c r="Q69" s="10">
        <f>IF($AF69="","",INDEX(입력_파견수련계획!$S$4:$S$803,$AF69))</f>
        <v/>
      </c>
      <c r="R69" s="10">
        <f>IF($AF69="","",INDEX(입력_파견수련계획!$U$4:$U$803,$AF69))</f>
        <v/>
      </c>
      <c r="S69" s="11">
        <f>IF($AF69="","",IF(INDEX(입력_파견수련계획!$H$4:$H$803,$AF69)="","",INDEX(입력_파견수련계획!$H$4:$H$803,$AF69)))</f>
        <v/>
      </c>
      <c r="T69" s="11">
        <f>IF($AF69="","",IF(INDEX(입력_파견수련계획!$I$4:$I$803,$AF69)="","",INDEX(입력_파견수련계획!$I$4:$I$803,$AF69)))</f>
        <v/>
      </c>
      <c r="U69" s="10">
        <f>IF($AF69="","",INDEX(입력_파견수련계획!$X$4:$X$803,$AF69))</f>
        <v/>
      </c>
      <c r="V69" s="17">
        <f>IF($AF69="","",INDEX(입력_파견수련계획!$V$4:$V$803,$AF69))</f>
        <v/>
      </c>
      <c r="W69" s="17">
        <f>IF(AND($U69="파견중",$T69&lt;&gt;""),$T69-TODAY(),"")</f>
        <v/>
      </c>
      <c r="X69" s="17">
        <f>IF(OR($B69="",TRIM($J69&amp;"")=""),"",SUMPRODUCT((입력_파견수련계획!$Q$4:$Q$803=TRIM($J69&amp;""))*입력_파견수련계획!$W$4:$W$803))</f>
        <v/>
      </c>
      <c r="Y69" s="10">
        <f>IF($B69="","",IF($AG69="","",IF(IF(TRIM($J69&amp;"")="",0,SUMPRODUCT((입력_파견수련계획!$Q$4:$Q$803=TRIM($J69&amp;""))*입력_파견수련계획!$AD$4:$AD$803))&gt;0,$AE69,IF(AND(N($X69)&lt;=0,$AQ69=""),$AG69,IF($AH69+$AI69=DAY(EOMONTH(출력_요약!$B$3,0)),IF(AND($AH69&gt;=출력_요약!$E$3,$AI69&lt;출력_요약!$E$3),"서울병원",IF(AND($AI69&gt;=출력_요약!$E$3,$AH69&lt;출력_요약!$E$3),"구리병원","⚠15일 판정불가(서울 "&amp;$AH69&amp;"일/구리 "&amp;$AI69&amp;"일)")),IF($AJ69="",$AE69,IF(INDEX(입력_파견수련계획!$T$4:$T$803,$AJ69)="통합수련",INDEX(입력_파견수련계획!$S$4:$S$803,$AJ69),$AE69)))))))</f>
        <v/>
      </c>
      <c r="Z69" s="20">
        <f>IF($B69="","",IF($AB69="","기본자료에 없는 사번",IF(COUNTIF($B$2:$B$401,$B69)&gt;1,"중복 사번",IF($AE69="","소속(입사장소) 입력",IF(IF(TRIM($J69&amp;"")="",0,SUMPRODUCT((입력_파견수련계획!$Q$4:$Q$803=TRIM($J69&amp;""))*(입력_파견수련계획!$AA$4:$AA$803&lt;&gt;"")))&gt;0,"파견수련계획 입력오류 확인",IF(LEFT($Y69,1)="⚠","서울·구리 15일 판정 불가(양쪽 모두 이상/미만)",IF(IF($AC69="",0,N(INDEX(입력_인턴근무계획!$T$3:$T$402,$AC69)))&gt;0,"인턴계획 입력오류 확인",IF(AND($AQ69&lt;&gt;"",$AG69&lt;&gt;"구리병원",IF(TRIM($J69&amp;"")="",0,SUMPRODUCT((입력_파견수련계획!$Q$4:$Q$803=TRIM($J69&amp;""))*(입력_파견수련계획!$S$4:$S$803="구리병원")*입력_파견수련계획!$W$4:$W$803))=0),"구리 근무자명단에만 있음(파견수련계획 확인)",IF(AND($AC69&lt;&gt;"",$U69&lt;&gt;"파견중",$N69&lt;&gt;$AE69),"인턴 타지역 근무: 파견 여부 확인","정상")))))))))</f>
        <v/>
      </c>
      <c r="AA69" s="5" t="n"/>
      <c r="AB69" s="10">
        <f>IF($B69="","",IFERROR(MATCH($B69,입력_기본자료!$B$2:$B$1001,0),IFERROR(MATCH($B69&amp;"",입력_기본자료!$B$2:$B$1001,0),IFERROR(MATCH(VALUE($B69),입력_기본자료!$B$2:$B$1001,0),""))))</f>
        <v/>
      </c>
      <c r="AC69" s="10">
        <f>IF($B69="","",IFERROR(MATCH($B69,입력_인턴근무계획!$D$3:$D$402,0),IFERROR(MATCH($B69&amp;"",입력_인턴근무계획!$D$3:$D$402,0),IFERROR(MATCH(VALUE($B69),입력_인턴근무계획!$D$3:$D$402,0),""))))</f>
        <v/>
      </c>
      <c r="AD69" s="10">
        <f>IF(OR($AC69="",출력_인턴현황!$G$3=""),"",INDEX(입력_인턴근무계획!$M$3:$R$402,$AC69,출력_인턴현황!$G$3)&amp;"")</f>
        <v/>
      </c>
      <c r="AE69" s="10">
        <f>IF($B69="","",IF($M69&lt;&gt;"",$M69,IF(IF($AQ69="",FALSE,INDEX(출력_구리근무자!$J$6:$J$305,$AQ69)="구리독자"),"구리병원",IF($AF69&lt;&gt;"",IF(LEFT(INDEX(입력_파견수련계획!$R$4:$R$803,$AF69),1)&lt;&gt;"⚠",INDEX(입력_파견수련계획!$R$4:$R$803,$AF69),IF($H69="","",IF(RIGHT($H69,2)="병원",$H69,$H69&amp;"병원"))),IF($H69="","",IF(RIGHT($H69,2)="병원",$H69,$H69&amp;"병원"))))))</f>
        <v/>
      </c>
      <c r="AF69" s="10">
        <f>IF(OR($B69="",TRIM($J69&amp;"")=""),"",IFERROR(MATCH(TRIM($J69&amp;"")&amp;"|파견중",입력_파견수련계획!$Y$4:$Y$803,0),IFERROR(MATCH(TRIM($J69&amp;"")&amp;"|파견예정",입력_파견수련계획!$Y$4:$Y$803,0),IFERROR(MATCH(TRIM($J69&amp;"")&amp;"|파견종료",입력_파견수련계획!$Y$4:$Y$803,0),""))))</f>
        <v/>
      </c>
      <c r="AG69" s="10">
        <f>IF($B69="","",IF(AND(IF(OR($AC69="",출력_인턴현황!$K$2=""),"",INDEX(입력_인턴근무계획!$M$3:$R$402,$AC69,출력_인턴현황!$K$2)&amp;"")&lt;&gt;"",LEFT(IF(OR($AC69="",출력_인턴현황!$K$2=""),"",INDEX(입력_인턴근무계획!$M$3:$R$402,$AC69,출력_인턴현황!$K$2)&amp;""),1)&lt;&gt;"⚠"),LEFT(IF(OR($AC69="",출력_인턴현황!$K$2=""),"",INDEX(입력_인턴근무계획!$M$3:$R$402,$AC69,출력_인턴현황!$K$2)&amp;""),FIND(" ",IF(OR($AC69="",출력_인턴현황!$K$2=""),"",INDEX(입력_인턴근무계획!$M$3:$R$402,$AC69,출력_인턴현황!$K$2)&amp;""))-1),$AE69))</f>
        <v/>
      </c>
      <c r="AH69" s="17">
        <f>IF($B69="","",IF($AQ69&lt;&gt;"",MAX(0,DAY(EOMONTH(출력_요약!$B$3,0))-N($AR69)),IF(TRIM($J69&amp;"")="",0,SUMPRODUCT((입력_파견수련계획!$Q$4:$Q$803=TRIM($J69&amp;""))*(입력_파견수련계획!$S$4:$S$803="서울병원")*입력_파견수련계획!$W$4:$W$803))+IF($AG69="서울병원",MAX(0,DAY(EOMONTH(출력_요약!$B$3,0))-N($X69)),0)))</f>
        <v/>
      </c>
      <c r="AI69" s="17">
        <f>IF($B69="","",IF($AQ69&lt;&gt;"",N($AR69),IF(TRIM($J69&amp;"")="",0,SUMPRODUCT((입력_파견수련계획!$Q$4:$Q$803=TRIM($J69&amp;""))*(입력_파견수련계획!$S$4:$S$803="구리병원")*입력_파견수련계획!$W$4:$W$803))+IF($AG69="구리병원",MAX(0,DAY(EOMONTH(출력_요약!$B$3,0))-N($X69)),0)))</f>
        <v/>
      </c>
      <c r="AJ69" s="10">
        <f>IF(OR($B69="",TRIM($J69&amp;"")=""),"",IFERROR(MATCH(TRIM($J69&amp;"")&amp;"|월",입력_파견수련계획!$Z$4:$Z$803,0),""))</f>
        <v/>
      </c>
      <c r="AK69" s="10">
        <f>IF(OR($B69="",TRIM($J69&amp;"")=""),"",IFERROR(MATCH(TRIM($J69&amp;"")&amp;"|다기관",입력_파견수련계획!$AE$4:$AE$803,0),""))</f>
        <v/>
      </c>
      <c r="AL69" s="10">
        <f>IF($AK69="","","다기관 "&amp;TEXT(INDEX(입력_파견수련계획!$AB$4:$AB$803,$AK69),"yyyy-mm-dd")&amp;"~"&amp;IF(ISNUMBER(INDEX(입력_파견수련계획!$AC$4:$AC$803,$AK69)),TEXT(INDEX(입력_파견수련계획!$AC$4:$AC$803,$AK69),"yyyy-mm-dd"),""))</f>
        <v/>
      </c>
      <c r="AM69" s="10">
        <f>IF($Y69="서울병원",COUNTIF($Y$2:$Y69,"서울병원"),"")</f>
        <v/>
      </c>
      <c r="AN69" s="10">
        <f>IF(LEFT($Y69,1)="⚠",COUNTIF($Y$2:$Y69,"⚠*"),"")</f>
        <v/>
      </c>
      <c r="AO69" s="10">
        <f>IF(OR($B69="",$Y69=""),"",IF(IF(TRIM($J69&amp;"")="",0,SUMPRODUCT((입력_파견수련계획!$Q$4:$Q$803=TRIM($J69&amp;""))*입력_파견수련계획!$AD$4:$AD$803))&gt;0,"다기관 기간 → 소속병원 지급",IF(AND(N($X69)&lt;=0,$AQ69=""),"파견 없음 → 그 달 근무병원 지급",IF($AH69+$AI69=DAY(EOMONTH(출력_요약!$B$3,0)),"서울 "&amp;$AH69&amp;"일 / 구리 "&amp;$AI69&amp;"일"&amp;IF($AQ69&lt;&gt;""," (구리 근무자명단 반영)","")&amp;" → 15일 이상 근무 병원 지급","타 병원 포함 → "&amp;IF($AJ69="","소속",INDEX(입력_파견수련계획!$T$4:$T$803,$AJ69))&amp;" 규칙"))))</f>
        <v/>
      </c>
      <c r="AP69" s="10">
        <f>IF($B69="","",$C69&amp;"|"&amp;$F69)</f>
        <v/>
      </c>
      <c r="AQ69" s="10">
        <f>IF($B69="","",IFERROR(MATCH(ROW()-1,출력_구리근무자!$K$6:$K$305,0),""))</f>
        <v/>
      </c>
      <c r="AR69" s="10">
        <f>IF($AQ69="","",INDEX(출력_구리근무자!$H$6:$H$305,$AQ69))</f>
        <v/>
      </c>
    </row>
    <row r="70">
      <c r="A70" s="10">
        <f>IF(B70="","",ROW()-1)</f>
        <v/>
      </c>
      <c r="B70" s="19" t="n"/>
      <c r="C70" s="10">
        <f>IF($AB70="","",IF(INDEX(입력_기본자료!$C$2:$C$1001,$AB70)="","",INDEX(입력_기본자료!$C$2:$C$1001,$AB70)))</f>
        <v/>
      </c>
      <c r="D70" s="10">
        <f>IF($AB70="","",IF(INDEX(입력_기본자료!$J$2:$J$1001,$AB70)="","",INDEX(입력_기본자료!$J$2:$J$1001,$AB70)))</f>
        <v/>
      </c>
      <c r="E70" s="11">
        <f>IF($AB70="","",IF(INDEX(입력_기본자료!$K$2:$K$1001,$AB70)="","",IF(NOT(ISNUMBER(INDEX(입력_기본자료!$K$2:$K$1001,$AB70))),INDEX(입력_기본자료!$K$2:$K$1001,$AB70),IF(INDEX(입력_기본자료!$K$2:$K$1001,$AB70)&lt;1000000,INDEX(입력_기본자료!$K$2:$K$1001,$AB70),IF(AND(INDEX(입력_기본자료!$K$2:$K$1001,$AB70)&gt;=10000101,INT(MOD(INDEX(입력_기본자료!$K$2:$K$1001,$AB70),10000)/100)&gt;=1,INT(MOD(INDEX(입력_기본자료!$K$2:$K$1001,$AB70),10000)/100)&lt;=12,MOD(INDEX(입력_기본자료!$K$2:$K$1001,$AB70),100)&gt;=1,MOD(INDEX(입력_기본자료!$K$2:$K$1001,$AB70),100)&lt;=31),DATE(INT(INDEX(입력_기본자료!$K$2:$K$1001,$AB70)/10000),INT(MOD(INDEX(입력_기본자료!$K$2:$K$1001,$AB70),10000)/100),MOD(INDEX(입력_기본자료!$K$2:$K$1001,$AB70),100)),INDEX(입력_기본자료!$K$2:$K$1001,$AB70)&amp;"")))))</f>
        <v/>
      </c>
      <c r="F70" s="10">
        <f>IF($AB70="","",IF(INDEX(입력_기본자료!$D$2:$D$1001,$AB70)="","",INDEX(입력_기본자료!$D$2:$D$1001,$AB70)))</f>
        <v/>
      </c>
      <c r="G70" s="10">
        <f>IF($AB70="","",IF(INDEX(입력_기본자료!$E$2:$E$1001,$AB70)="","",INDEX(입력_기본자료!$E$2:$E$1001,$AB70)))</f>
        <v/>
      </c>
      <c r="H70" s="10">
        <f>IF($AB70="","",IF(INDEX(입력_기본자료!$F$2:$F$1001,$AB70)="","",INDEX(입력_기본자료!$F$2:$F$1001,$AB70)))</f>
        <v/>
      </c>
      <c r="I70" s="11">
        <f>IF($AB70="","",IF(INDEX(입력_기본자료!$G$2:$G$1001,$AB70)="","",IF(NOT(ISNUMBER(INDEX(입력_기본자료!$G$2:$G$1001,$AB70))),INDEX(입력_기본자료!$G$2:$G$1001,$AB70),IF(INDEX(입력_기본자료!$G$2:$G$1001,$AB70)&lt;1000000,INDEX(입력_기본자료!$G$2:$G$1001,$AB70),IF(AND(INDEX(입력_기본자료!$G$2:$G$1001,$AB70)&gt;=10000101,INT(MOD(INDEX(입력_기본자료!$G$2:$G$1001,$AB70),10000)/100)&gt;=1,INT(MOD(INDEX(입력_기본자료!$G$2:$G$1001,$AB70),10000)/100)&lt;=12,MOD(INDEX(입력_기본자료!$G$2:$G$1001,$AB70),100)&gt;=1,MOD(INDEX(입력_기본자료!$G$2:$G$1001,$AB70),100)&lt;=31),DATE(INT(INDEX(입력_기본자료!$G$2:$G$1001,$AB70)/10000),INT(MOD(INDEX(입력_기본자료!$G$2:$G$1001,$AB70),10000)/100),MOD(INDEX(입력_기본자료!$G$2:$G$1001,$AB70),100)),INDEX(입력_기본자료!$G$2:$G$1001,$AB70)&amp;"")))))</f>
        <v/>
      </c>
      <c r="J70" s="10">
        <f>IF($AB70="","",IF(INDEX(입력_기본자료!$H$2:$H$1001,$AB70)="","",INDEX(입력_기본자료!$H$2:$H$1001,$AB70)))</f>
        <v/>
      </c>
      <c r="K70" s="10">
        <f>IF($AB70="","",IF(INDEX(입력_기본자료!$I$2:$I$1001,$AB70)="","",INDEX(입력_기본자료!$I$2:$I$1001,$AB70)))</f>
        <v/>
      </c>
      <c r="L70" s="10">
        <f>IF($AB70="","",IF(INDEX(입력_기본자료!$A$2:$A$1001,$AB70)="","",INDEX(입력_기본자료!$A$2:$A$1001,$AB70)))</f>
        <v/>
      </c>
      <c r="M70" s="15" t="n"/>
      <c r="N70" s="10">
        <f>IF($B70="","",IF(AND($U70="파견중",$Q70&lt;&gt;""),$Q70,IF(AND($AD70&lt;&gt;"",LEFT($AD70,1)&lt;&gt;"⚠"),LEFT($AD70,FIND(" ",$AD70)-1),IF($H70="","",IF(RIGHT($H70,2)="병원",$H70,$H70&amp;"병원")))))</f>
        <v/>
      </c>
      <c r="O70" s="10">
        <f>IF($B70="","",IF(AND($U70="파견중",$Q70&lt;&gt;""),IF($R70&lt;&gt;"",$R70,"파견과 미입력"),IF(AND($AD70&lt;&gt;"",LEFT($AD70,1)&lt;&gt;"⚠"),MID($AD70,FIND(" ",$AD70)+1,60),IF($F70="","",IF($F70="인턴","수련교육부(인턴)",$F70)))))</f>
        <v/>
      </c>
      <c r="P70" s="10">
        <f>IF($B70="","",IF($AK70&lt;&gt;"",IF(AND(TODAY()&gt;=INDEX(입력_파견수련계획!$AB$4:$AB$803,$AK70),OR(NOT(ISNUMBER(INDEX(입력_파견수련계획!$AC$4:$AC$803,$AK70))),TODAY()&lt;=INDEX(입력_파견수련계획!$AC$4:$AC$803,$AK70))),"다기관",IF($AF70="","",INDEX(입력_파견수련계획!$T$4:$T$803,$AF70))),IF($AF70="","",INDEX(입력_파견수련계획!$T$4:$T$803,$AF70))))</f>
        <v/>
      </c>
      <c r="Q70" s="10">
        <f>IF($AF70="","",INDEX(입력_파견수련계획!$S$4:$S$803,$AF70))</f>
        <v/>
      </c>
      <c r="R70" s="10">
        <f>IF($AF70="","",INDEX(입력_파견수련계획!$U$4:$U$803,$AF70))</f>
        <v/>
      </c>
      <c r="S70" s="11">
        <f>IF($AF70="","",IF(INDEX(입력_파견수련계획!$H$4:$H$803,$AF70)="","",INDEX(입력_파견수련계획!$H$4:$H$803,$AF70)))</f>
        <v/>
      </c>
      <c r="T70" s="11">
        <f>IF($AF70="","",IF(INDEX(입력_파견수련계획!$I$4:$I$803,$AF70)="","",INDEX(입력_파견수련계획!$I$4:$I$803,$AF70)))</f>
        <v/>
      </c>
      <c r="U70" s="10">
        <f>IF($AF70="","",INDEX(입력_파견수련계획!$X$4:$X$803,$AF70))</f>
        <v/>
      </c>
      <c r="V70" s="17">
        <f>IF($AF70="","",INDEX(입력_파견수련계획!$V$4:$V$803,$AF70))</f>
        <v/>
      </c>
      <c r="W70" s="17">
        <f>IF(AND($U70="파견중",$T70&lt;&gt;""),$T70-TODAY(),"")</f>
        <v/>
      </c>
      <c r="X70" s="17">
        <f>IF(OR($B70="",TRIM($J70&amp;"")=""),"",SUMPRODUCT((입력_파견수련계획!$Q$4:$Q$803=TRIM($J70&amp;""))*입력_파견수련계획!$W$4:$W$803))</f>
        <v/>
      </c>
      <c r="Y70" s="10">
        <f>IF($B70="","",IF($AG70="","",IF(IF(TRIM($J70&amp;"")="",0,SUMPRODUCT((입력_파견수련계획!$Q$4:$Q$803=TRIM($J70&amp;""))*입력_파견수련계획!$AD$4:$AD$803))&gt;0,$AE70,IF(AND(N($X70)&lt;=0,$AQ70=""),$AG70,IF($AH70+$AI70=DAY(EOMONTH(출력_요약!$B$3,0)),IF(AND($AH70&gt;=출력_요약!$E$3,$AI70&lt;출력_요약!$E$3),"서울병원",IF(AND($AI70&gt;=출력_요약!$E$3,$AH70&lt;출력_요약!$E$3),"구리병원","⚠15일 판정불가(서울 "&amp;$AH70&amp;"일/구리 "&amp;$AI70&amp;"일)")),IF($AJ70="",$AE70,IF(INDEX(입력_파견수련계획!$T$4:$T$803,$AJ70)="통합수련",INDEX(입력_파견수련계획!$S$4:$S$803,$AJ70),$AE70)))))))</f>
        <v/>
      </c>
      <c r="Z70" s="20">
        <f>IF($B70="","",IF($AB70="","기본자료에 없는 사번",IF(COUNTIF($B$2:$B$401,$B70)&gt;1,"중복 사번",IF($AE70="","소속(입사장소) 입력",IF(IF(TRIM($J70&amp;"")="",0,SUMPRODUCT((입력_파견수련계획!$Q$4:$Q$803=TRIM($J70&amp;""))*(입력_파견수련계획!$AA$4:$AA$803&lt;&gt;"")))&gt;0,"파견수련계획 입력오류 확인",IF(LEFT($Y70,1)="⚠","서울·구리 15일 판정 불가(양쪽 모두 이상/미만)",IF(IF($AC70="",0,N(INDEX(입력_인턴근무계획!$T$3:$T$402,$AC70)))&gt;0,"인턴계획 입력오류 확인",IF(AND($AQ70&lt;&gt;"",$AG70&lt;&gt;"구리병원",IF(TRIM($J70&amp;"")="",0,SUMPRODUCT((입력_파견수련계획!$Q$4:$Q$803=TRIM($J70&amp;""))*(입력_파견수련계획!$S$4:$S$803="구리병원")*입력_파견수련계획!$W$4:$W$803))=0),"구리 근무자명단에만 있음(파견수련계획 확인)",IF(AND($AC70&lt;&gt;"",$U70&lt;&gt;"파견중",$N70&lt;&gt;$AE70),"인턴 타지역 근무: 파견 여부 확인","정상")))))))))</f>
        <v/>
      </c>
      <c r="AA70" s="5" t="n"/>
      <c r="AB70" s="10">
        <f>IF($B70="","",IFERROR(MATCH($B70,입력_기본자료!$B$2:$B$1001,0),IFERROR(MATCH($B70&amp;"",입력_기본자료!$B$2:$B$1001,0),IFERROR(MATCH(VALUE($B70),입력_기본자료!$B$2:$B$1001,0),""))))</f>
        <v/>
      </c>
      <c r="AC70" s="10">
        <f>IF($B70="","",IFERROR(MATCH($B70,입력_인턴근무계획!$D$3:$D$402,0),IFERROR(MATCH($B70&amp;"",입력_인턴근무계획!$D$3:$D$402,0),IFERROR(MATCH(VALUE($B70),입력_인턴근무계획!$D$3:$D$402,0),""))))</f>
        <v/>
      </c>
      <c r="AD70" s="10">
        <f>IF(OR($AC70="",출력_인턴현황!$G$3=""),"",INDEX(입력_인턴근무계획!$M$3:$R$402,$AC70,출력_인턴현황!$G$3)&amp;"")</f>
        <v/>
      </c>
      <c r="AE70" s="10">
        <f>IF($B70="","",IF($M70&lt;&gt;"",$M70,IF(IF($AQ70="",FALSE,INDEX(출력_구리근무자!$J$6:$J$305,$AQ70)="구리독자"),"구리병원",IF($AF70&lt;&gt;"",IF(LEFT(INDEX(입력_파견수련계획!$R$4:$R$803,$AF70),1)&lt;&gt;"⚠",INDEX(입력_파견수련계획!$R$4:$R$803,$AF70),IF($H70="","",IF(RIGHT($H70,2)="병원",$H70,$H70&amp;"병원"))),IF($H70="","",IF(RIGHT($H70,2)="병원",$H70,$H70&amp;"병원"))))))</f>
        <v/>
      </c>
      <c r="AF70" s="10">
        <f>IF(OR($B70="",TRIM($J70&amp;"")=""),"",IFERROR(MATCH(TRIM($J70&amp;"")&amp;"|파견중",입력_파견수련계획!$Y$4:$Y$803,0),IFERROR(MATCH(TRIM($J70&amp;"")&amp;"|파견예정",입력_파견수련계획!$Y$4:$Y$803,0),IFERROR(MATCH(TRIM($J70&amp;"")&amp;"|파견종료",입력_파견수련계획!$Y$4:$Y$803,0),""))))</f>
        <v/>
      </c>
      <c r="AG70" s="10">
        <f>IF($B70="","",IF(AND(IF(OR($AC70="",출력_인턴현황!$K$2=""),"",INDEX(입력_인턴근무계획!$M$3:$R$402,$AC70,출력_인턴현황!$K$2)&amp;"")&lt;&gt;"",LEFT(IF(OR($AC70="",출력_인턴현황!$K$2=""),"",INDEX(입력_인턴근무계획!$M$3:$R$402,$AC70,출력_인턴현황!$K$2)&amp;""),1)&lt;&gt;"⚠"),LEFT(IF(OR($AC70="",출력_인턴현황!$K$2=""),"",INDEX(입력_인턴근무계획!$M$3:$R$402,$AC70,출력_인턴현황!$K$2)&amp;""),FIND(" ",IF(OR($AC70="",출력_인턴현황!$K$2=""),"",INDEX(입력_인턴근무계획!$M$3:$R$402,$AC70,출력_인턴현황!$K$2)&amp;""))-1),$AE70))</f>
        <v/>
      </c>
      <c r="AH70" s="17">
        <f>IF($B70="","",IF($AQ70&lt;&gt;"",MAX(0,DAY(EOMONTH(출력_요약!$B$3,0))-N($AR70)),IF(TRIM($J70&amp;"")="",0,SUMPRODUCT((입력_파견수련계획!$Q$4:$Q$803=TRIM($J70&amp;""))*(입력_파견수련계획!$S$4:$S$803="서울병원")*입력_파견수련계획!$W$4:$W$803))+IF($AG70="서울병원",MAX(0,DAY(EOMONTH(출력_요약!$B$3,0))-N($X70)),0)))</f>
        <v/>
      </c>
      <c r="AI70" s="17">
        <f>IF($B70="","",IF($AQ70&lt;&gt;"",N($AR70),IF(TRIM($J70&amp;"")="",0,SUMPRODUCT((입력_파견수련계획!$Q$4:$Q$803=TRIM($J70&amp;""))*(입력_파견수련계획!$S$4:$S$803="구리병원")*입력_파견수련계획!$W$4:$W$803))+IF($AG70="구리병원",MAX(0,DAY(EOMONTH(출력_요약!$B$3,0))-N($X70)),0)))</f>
        <v/>
      </c>
      <c r="AJ70" s="10">
        <f>IF(OR($B70="",TRIM($J70&amp;"")=""),"",IFERROR(MATCH(TRIM($J70&amp;"")&amp;"|월",입력_파견수련계획!$Z$4:$Z$803,0),""))</f>
        <v/>
      </c>
      <c r="AK70" s="10">
        <f>IF(OR($B70="",TRIM($J70&amp;"")=""),"",IFERROR(MATCH(TRIM($J70&amp;"")&amp;"|다기관",입력_파견수련계획!$AE$4:$AE$803,0),""))</f>
        <v/>
      </c>
      <c r="AL70" s="10">
        <f>IF($AK70="","","다기관 "&amp;TEXT(INDEX(입력_파견수련계획!$AB$4:$AB$803,$AK70),"yyyy-mm-dd")&amp;"~"&amp;IF(ISNUMBER(INDEX(입력_파견수련계획!$AC$4:$AC$803,$AK70)),TEXT(INDEX(입력_파견수련계획!$AC$4:$AC$803,$AK70),"yyyy-mm-dd"),""))</f>
        <v/>
      </c>
      <c r="AM70" s="10">
        <f>IF($Y70="서울병원",COUNTIF($Y$2:$Y70,"서울병원"),"")</f>
        <v/>
      </c>
      <c r="AN70" s="10">
        <f>IF(LEFT($Y70,1)="⚠",COUNTIF($Y$2:$Y70,"⚠*"),"")</f>
        <v/>
      </c>
      <c r="AO70" s="10">
        <f>IF(OR($B70="",$Y70=""),"",IF(IF(TRIM($J70&amp;"")="",0,SUMPRODUCT((입력_파견수련계획!$Q$4:$Q$803=TRIM($J70&amp;""))*입력_파견수련계획!$AD$4:$AD$803))&gt;0,"다기관 기간 → 소속병원 지급",IF(AND(N($X70)&lt;=0,$AQ70=""),"파견 없음 → 그 달 근무병원 지급",IF($AH70+$AI70=DAY(EOMONTH(출력_요약!$B$3,0)),"서울 "&amp;$AH70&amp;"일 / 구리 "&amp;$AI70&amp;"일"&amp;IF($AQ70&lt;&gt;""," (구리 근무자명단 반영)","")&amp;" → 15일 이상 근무 병원 지급","타 병원 포함 → "&amp;IF($AJ70="","소속",INDEX(입력_파견수련계획!$T$4:$T$803,$AJ70))&amp;" 규칙"))))</f>
        <v/>
      </c>
      <c r="AP70" s="10">
        <f>IF($B70="","",$C70&amp;"|"&amp;$F70)</f>
        <v/>
      </c>
      <c r="AQ70" s="10">
        <f>IF($B70="","",IFERROR(MATCH(ROW()-1,출력_구리근무자!$K$6:$K$305,0),""))</f>
        <v/>
      </c>
      <c r="AR70" s="10">
        <f>IF($AQ70="","",INDEX(출력_구리근무자!$H$6:$H$305,$AQ70))</f>
        <v/>
      </c>
    </row>
    <row r="71">
      <c r="A71" s="10">
        <f>IF(B71="","",ROW()-1)</f>
        <v/>
      </c>
      <c r="B71" s="19" t="n"/>
      <c r="C71" s="10">
        <f>IF($AB71="","",IF(INDEX(입력_기본자료!$C$2:$C$1001,$AB71)="","",INDEX(입력_기본자료!$C$2:$C$1001,$AB71)))</f>
        <v/>
      </c>
      <c r="D71" s="10">
        <f>IF($AB71="","",IF(INDEX(입력_기본자료!$J$2:$J$1001,$AB71)="","",INDEX(입력_기본자료!$J$2:$J$1001,$AB71)))</f>
        <v/>
      </c>
      <c r="E71" s="11">
        <f>IF($AB71="","",IF(INDEX(입력_기본자료!$K$2:$K$1001,$AB71)="","",IF(NOT(ISNUMBER(INDEX(입력_기본자료!$K$2:$K$1001,$AB71))),INDEX(입력_기본자료!$K$2:$K$1001,$AB71),IF(INDEX(입력_기본자료!$K$2:$K$1001,$AB71)&lt;1000000,INDEX(입력_기본자료!$K$2:$K$1001,$AB71),IF(AND(INDEX(입력_기본자료!$K$2:$K$1001,$AB71)&gt;=10000101,INT(MOD(INDEX(입력_기본자료!$K$2:$K$1001,$AB71),10000)/100)&gt;=1,INT(MOD(INDEX(입력_기본자료!$K$2:$K$1001,$AB71),10000)/100)&lt;=12,MOD(INDEX(입력_기본자료!$K$2:$K$1001,$AB71),100)&gt;=1,MOD(INDEX(입력_기본자료!$K$2:$K$1001,$AB71),100)&lt;=31),DATE(INT(INDEX(입력_기본자료!$K$2:$K$1001,$AB71)/10000),INT(MOD(INDEX(입력_기본자료!$K$2:$K$1001,$AB71),10000)/100),MOD(INDEX(입력_기본자료!$K$2:$K$1001,$AB71),100)),INDEX(입력_기본자료!$K$2:$K$1001,$AB71)&amp;"")))))</f>
        <v/>
      </c>
      <c r="F71" s="10">
        <f>IF($AB71="","",IF(INDEX(입력_기본자료!$D$2:$D$1001,$AB71)="","",INDEX(입력_기본자료!$D$2:$D$1001,$AB71)))</f>
        <v/>
      </c>
      <c r="G71" s="10">
        <f>IF($AB71="","",IF(INDEX(입력_기본자료!$E$2:$E$1001,$AB71)="","",INDEX(입력_기본자료!$E$2:$E$1001,$AB71)))</f>
        <v/>
      </c>
      <c r="H71" s="10">
        <f>IF($AB71="","",IF(INDEX(입력_기본자료!$F$2:$F$1001,$AB71)="","",INDEX(입력_기본자료!$F$2:$F$1001,$AB71)))</f>
        <v/>
      </c>
      <c r="I71" s="11">
        <f>IF($AB71="","",IF(INDEX(입력_기본자료!$G$2:$G$1001,$AB71)="","",IF(NOT(ISNUMBER(INDEX(입력_기본자료!$G$2:$G$1001,$AB71))),INDEX(입력_기본자료!$G$2:$G$1001,$AB71),IF(INDEX(입력_기본자료!$G$2:$G$1001,$AB71)&lt;1000000,INDEX(입력_기본자료!$G$2:$G$1001,$AB71),IF(AND(INDEX(입력_기본자료!$G$2:$G$1001,$AB71)&gt;=10000101,INT(MOD(INDEX(입력_기본자료!$G$2:$G$1001,$AB71),10000)/100)&gt;=1,INT(MOD(INDEX(입력_기본자료!$G$2:$G$1001,$AB71),10000)/100)&lt;=12,MOD(INDEX(입력_기본자료!$G$2:$G$1001,$AB71),100)&gt;=1,MOD(INDEX(입력_기본자료!$G$2:$G$1001,$AB71),100)&lt;=31),DATE(INT(INDEX(입력_기본자료!$G$2:$G$1001,$AB71)/10000),INT(MOD(INDEX(입력_기본자료!$G$2:$G$1001,$AB71),10000)/100),MOD(INDEX(입력_기본자료!$G$2:$G$1001,$AB71),100)),INDEX(입력_기본자료!$G$2:$G$1001,$AB71)&amp;"")))))</f>
        <v/>
      </c>
      <c r="J71" s="10">
        <f>IF($AB71="","",IF(INDEX(입력_기본자료!$H$2:$H$1001,$AB71)="","",INDEX(입력_기본자료!$H$2:$H$1001,$AB71)))</f>
        <v/>
      </c>
      <c r="K71" s="10">
        <f>IF($AB71="","",IF(INDEX(입력_기본자료!$I$2:$I$1001,$AB71)="","",INDEX(입력_기본자료!$I$2:$I$1001,$AB71)))</f>
        <v/>
      </c>
      <c r="L71" s="10">
        <f>IF($AB71="","",IF(INDEX(입력_기본자료!$A$2:$A$1001,$AB71)="","",INDEX(입력_기본자료!$A$2:$A$1001,$AB71)))</f>
        <v/>
      </c>
      <c r="M71" s="15" t="n"/>
      <c r="N71" s="10">
        <f>IF($B71="","",IF(AND($U71="파견중",$Q71&lt;&gt;""),$Q71,IF(AND($AD71&lt;&gt;"",LEFT($AD71,1)&lt;&gt;"⚠"),LEFT($AD71,FIND(" ",$AD71)-1),IF($H71="","",IF(RIGHT($H71,2)="병원",$H71,$H71&amp;"병원")))))</f>
        <v/>
      </c>
      <c r="O71" s="10">
        <f>IF($B71="","",IF(AND($U71="파견중",$Q71&lt;&gt;""),IF($R71&lt;&gt;"",$R71,"파견과 미입력"),IF(AND($AD71&lt;&gt;"",LEFT($AD71,1)&lt;&gt;"⚠"),MID($AD71,FIND(" ",$AD71)+1,60),IF($F71="","",IF($F71="인턴","수련교육부(인턴)",$F71)))))</f>
        <v/>
      </c>
      <c r="P71" s="10">
        <f>IF($B71="","",IF($AK71&lt;&gt;"",IF(AND(TODAY()&gt;=INDEX(입력_파견수련계획!$AB$4:$AB$803,$AK71),OR(NOT(ISNUMBER(INDEX(입력_파견수련계획!$AC$4:$AC$803,$AK71))),TODAY()&lt;=INDEX(입력_파견수련계획!$AC$4:$AC$803,$AK71))),"다기관",IF($AF71="","",INDEX(입력_파견수련계획!$T$4:$T$803,$AF71))),IF($AF71="","",INDEX(입력_파견수련계획!$T$4:$T$803,$AF71))))</f>
        <v/>
      </c>
      <c r="Q71" s="10">
        <f>IF($AF71="","",INDEX(입력_파견수련계획!$S$4:$S$803,$AF71))</f>
        <v/>
      </c>
      <c r="R71" s="10">
        <f>IF($AF71="","",INDEX(입력_파견수련계획!$U$4:$U$803,$AF71))</f>
        <v/>
      </c>
      <c r="S71" s="11">
        <f>IF($AF71="","",IF(INDEX(입력_파견수련계획!$H$4:$H$803,$AF71)="","",INDEX(입력_파견수련계획!$H$4:$H$803,$AF71)))</f>
        <v/>
      </c>
      <c r="T71" s="11">
        <f>IF($AF71="","",IF(INDEX(입력_파견수련계획!$I$4:$I$803,$AF71)="","",INDEX(입력_파견수련계획!$I$4:$I$803,$AF71)))</f>
        <v/>
      </c>
      <c r="U71" s="10">
        <f>IF($AF71="","",INDEX(입력_파견수련계획!$X$4:$X$803,$AF71))</f>
        <v/>
      </c>
      <c r="V71" s="17">
        <f>IF($AF71="","",INDEX(입력_파견수련계획!$V$4:$V$803,$AF71))</f>
        <v/>
      </c>
      <c r="W71" s="17">
        <f>IF(AND($U71="파견중",$T71&lt;&gt;""),$T71-TODAY(),"")</f>
        <v/>
      </c>
      <c r="X71" s="17">
        <f>IF(OR($B71="",TRIM($J71&amp;"")=""),"",SUMPRODUCT((입력_파견수련계획!$Q$4:$Q$803=TRIM($J71&amp;""))*입력_파견수련계획!$W$4:$W$803))</f>
        <v/>
      </c>
      <c r="Y71" s="10">
        <f>IF($B71="","",IF($AG71="","",IF(IF(TRIM($J71&amp;"")="",0,SUMPRODUCT((입력_파견수련계획!$Q$4:$Q$803=TRIM($J71&amp;""))*입력_파견수련계획!$AD$4:$AD$803))&gt;0,$AE71,IF(AND(N($X71)&lt;=0,$AQ71=""),$AG71,IF($AH71+$AI71=DAY(EOMONTH(출력_요약!$B$3,0)),IF(AND($AH71&gt;=출력_요약!$E$3,$AI71&lt;출력_요약!$E$3),"서울병원",IF(AND($AI71&gt;=출력_요약!$E$3,$AH71&lt;출력_요약!$E$3),"구리병원","⚠15일 판정불가(서울 "&amp;$AH71&amp;"일/구리 "&amp;$AI71&amp;"일)")),IF($AJ71="",$AE71,IF(INDEX(입력_파견수련계획!$T$4:$T$803,$AJ71)="통합수련",INDEX(입력_파견수련계획!$S$4:$S$803,$AJ71),$AE71)))))))</f>
        <v/>
      </c>
      <c r="Z71" s="20">
        <f>IF($B71="","",IF($AB71="","기본자료에 없는 사번",IF(COUNTIF($B$2:$B$401,$B71)&gt;1,"중복 사번",IF($AE71="","소속(입사장소) 입력",IF(IF(TRIM($J71&amp;"")="",0,SUMPRODUCT((입력_파견수련계획!$Q$4:$Q$803=TRIM($J71&amp;""))*(입력_파견수련계획!$AA$4:$AA$803&lt;&gt;"")))&gt;0,"파견수련계획 입력오류 확인",IF(LEFT($Y71,1)="⚠","서울·구리 15일 판정 불가(양쪽 모두 이상/미만)",IF(IF($AC71="",0,N(INDEX(입력_인턴근무계획!$T$3:$T$402,$AC71)))&gt;0,"인턴계획 입력오류 확인",IF(AND($AQ71&lt;&gt;"",$AG71&lt;&gt;"구리병원",IF(TRIM($J71&amp;"")="",0,SUMPRODUCT((입력_파견수련계획!$Q$4:$Q$803=TRIM($J71&amp;""))*(입력_파견수련계획!$S$4:$S$803="구리병원")*입력_파견수련계획!$W$4:$W$803))=0),"구리 근무자명단에만 있음(파견수련계획 확인)",IF(AND($AC71&lt;&gt;"",$U71&lt;&gt;"파견중",$N71&lt;&gt;$AE71),"인턴 타지역 근무: 파견 여부 확인","정상")))))))))</f>
        <v/>
      </c>
      <c r="AA71" s="5" t="n"/>
      <c r="AB71" s="10">
        <f>IF($B71="","",IFERROR(MATCH($B71,입력_기본자료!$B$2:$B$1001,0),IFERROR(MATCH($B71&amp;"",입력_기본자료!$B$2:$B$1001,0),IFERROR(MATCH(VALUE($B71),입력_기본자료!$B$2:$B$1001,0),""))))</f>
        <v/>
      </c>
      <c r="AC71" s="10">
        <f>IF($B71="","",IFERROR(MATCH($B71,입력_인턴근무계획!$D$3:$D$402,0),IFERROR(MATCH($B71&amp;"",입력_인턴근무계획!$D$3:$D$402,0),IFERROR(MATCH(VALUE($B71),입력_인턴근무계획!$D$3:$D$402,0),""))))</f>
        <v/>
      </c>
      <c r="AD71" s="10">
        <f>IF(OR($AC71="",출력_인턴현황!$G$3=""),"",INDEX(입력_인턴근무계획!$M$3:$R$402,$AC71,출력_인턴현황!$G$3)&amp;"")</f>
        <v/>
      </c>
      <c r="AE71" s="10">
        <f>IF($B71="","",IF($M71&lt;&gt;"",$M71,IF(IF($AQ71="",FALSE,INDEX(출력_구리근무자!$J$6:$J$305,$AQ71)="구리독자"),"구리병원",IF($AF71&lt;&gt;"",IF(LEFT(INDEX(입력_파견수련계획!$R$4:$R$803,$AF71),1)&lt;&gt;"⚠",INDEX(입력_파견수련계획!$R$4:$R$803,$AF71),IF($H71="","",IF(RIGHT($H71,2)="병원",$H71,$H71&amp;"병원"))),IF($H71="","",IF(RIGHT($H71,2)="병원",$H71,$H71&amp;"병원"))))))</f>
        <v/>
      </c>
      <c r="AF71" s="10">
        <f>IF(OR($B71="",TRIM($J71&amp;"")=""),"",IFERROR(MATCH(TRIM($J71&amp;"")&amp;"|파견중",입력_파견수련계획!$Y$4:$Y$803,0),IFERROR(MATCH(TRIM($J71&amp;"")&amp;"|파견예정",입력_파견수련계획!$Y$4:$Y$803,0),IFERROR(MATCH(TRIM($J71&amp;"")&amp;"|파견종료",입력_파견수련계획!$Y$4:$Y$803,0),""))))</f>
        <v/>
      </c>
      <c r="AG71" s="10">
        <f>IF($B71="","",IF(AND(IF(OR($AC71="",출력_인턴현황!$K$2=""),"",INDEX(입력_인턴근무계획!$M$3:$R$402,$AC71,출력_인턴현황!$K$2)&amp;"")&lt;&gt;"",LEFT(IF(OR($AC71="",출력_인턴현황!$K$2=""),"",INDEX(입력_인턴근무계획!$M$3:$R$402,$AC71,출력_인턴현황!$K$2)&amp;""),1)&lt;&gt;"⚠"),LEFT(IF(OR($AC71="",출력_인턴현황!$K$2=""),"",INDEX(입력_인턴근무계획!$M$3:$R$402,$AC71,출력_인턴현황!$K$2)&amp;""),FIND(" ",IF(OR($AC71="",출력_인턴현황!$K$2=""),"",INDEX(입력_인턴근무계획!$M$3:$R$402,$AC71,출력_인턴현황!$K$2)&amp;""))-1),$AE71))</f>
        <v/>
      </c>
      <c r="AH71" s="17">
        <f>IF($B71="","",IF($AQ71&lt;&gt;"",MAX(0,DAY(EOMONTH(출력_요약!$B$3,0))-N($AR71)),IF(TRIM($J71&amp;"")="",0,SUMPRODUCT((입력_파견수련계획!$Q$4:$Q$803=TRIM($J71&amp;""))*(입력_파견수련계획!$S$4:$S$803="서울병원")*입력_파견수련계획!$W$4:$W$803))+IF($AG71="서울병원",MAX(0,DAY(EOMONTH(출력_요약!$B$3,0))-N($X71)),0)))</f>
        <v/>
      </c>
      <c r="AI71" s="17">
        <f>IF($B71="","",IF($AQ71&lt;&gt;"",N($AR71),IF(TRIM($J71&amp;"")="",0,SUMPRODUCT((입력_파견수련계획!$Q$4:$Q$803=TRIM($J71&amp;""))*(입력_파견수련계획!$S$4:$S$803="구리병원")*입력_파견수련계획!$W$4:$W$803))+IF($AG71="구리병원",MAX(0,DAY(EOMONTH(출력_요약!$B$3,0))-N($X71)),0)))</f>
        <v/>
      </c>
      <c r="AJ71" s="10">
        <f>IF(OR($B71="",TRIM($J71&amp;"")=""),"",IFERROR(MATCH(TRIM($J71&amp;"")&amp;"|월",입력_파견수련계획!$Z$4:$Z$803,0),""))</f>
        <v/>
      </c>
      <c r="AK71" s="10">
        <f>IF(OR($B71="",TRIM($J71&amp;"")=""),"",IFERROR(MATCH(TRIM($J71&amp;"")&amp;"|다기관",입력_파견수련계획!$AE$4:$AE$803,0),""))</f>
        <v/>
      </c>
      <c r="AL71" s="10">
        <f>IF($AK71="","","다기관 "&amp;TEXT(INDEX(입력_파견수련계획!$AB$4:$AB$803,$AK71),"yyyy-mm-dd")&amp;"~"&amp;IF(ISNUMBER(INDEX(입력_파견수련계획!$AC$4:$AC$803,$AK71)),TEXT(INDEX(입력_파견수련계획!$AC$4:$AC$803,$AK71),"yyyy-mm-dd"),""))</f>
        <v/>
      </c>
      <c r="AM71" s="10">
        <f>IF($Y71="서울병원",COUNTIF($Y$2:$Y71,"서울병원"),"")</f>
        <v/>
      </c>
      <c r="AN71" s="10">
        <f>IF(LEFT($Y71,1)="⚠",COUNTIF($Y$2:$Y71,"⚠*"),"")</f>
        <v/>
      </c>
      <c r="AO71" s="10">
        <f>IF(OR($B71="",$Y71=""),"",IF(IF(TRIM($J71&amp;"")="",0,SUMPRODUCT((입력_파견수련계획!$Q$4:$Q$803=TRIM($J71&amp;""))*입력_파견수련계획!$AD$4:$AD$803))&gt;0,"다기관 기간 → 소속병원 지급",IF(AND(N($X71)&lt;=0,$AQ71=""),"파견 없음 → 그 달 근무병원 지급",IF($AH71+$AI71=DAY(EOMONTH(출력_요약!$B$3,0)),"서울 "&amp;$AH71&amp;"일 / 구리 "&amp;$AI71&amp;"일"&amp;IF($AQ71&lt;&gt;""," (구리 근무자명단 반영)","")&amp;" → 15일 이상 근무 병원 지급","타 병원 포함 → "&amp;IF($AJ71="","소속",INDEX(입력_파견수련계획!$T$4:$T$803,$AJ71))&amp;" 규칙"))))</f>
        <v/>
      </c>
      <c r="AP71" s="10">
        <f>IF($B71="","",$C71&amp;"|"&amp;$F71)</f>
        <v/>
      </c>
      <c r="AQ71" s="10">
        <f>IF($B71="","",IFERROR(MATCH(ROW()-1,출력_구리근무자!$K$6:$K$305,0),""))</f>
        <v/>
      </c>
      <c r="AR71" s="10">
        <f>IF($AQ71="","",INDEX(출력_구리근무자!$H$6:$H$305,$AQ71))</f>
        <v/>
      </c>
    </row>
    <row r="72">
      <c r="A72" s="10">
        <f>IF(B72="","",ROW()-1)</f>
        <v/>
      </c>
      <c r="B72" s="19" t="n"/>
      <c r="C72" s="10">
        <f>IF($AB72="","",IF(INDEX(입력_기본자료!$C$2:$C$1001,$AB72)="","",INDEX(입력_기본자료!$C$2:$C$1001,$AB72)))</f>
        <v/>
      </c>
      <c r="D72" s="10">
        <f>IF($AB72="","",IF(INDEX(입력_기본자료!$J$2:$J$1001,$AB72)="","",INDEX(입력_기본자료!$J$2:$J$1001,$AB72)))</f>
        <v/>
      </c>
      <c r="E72" s="11">
        <f>IF($AB72="","",IF(INDEX(입력_기본자료!$K$2:$K$1001,$AB72)="","",IF(NOT(ISNUMBER(INDEX(입력_기본자료!$K$2:$K$1001,$AB72))),INDEX(입력_기본자료!$K$2:$K$1001,$AB72),IF(INDEX(입력_기본자료!$K$2:$K$1001,$AB72)&lt;1000000,INDEX(입력_기본자료!$K$2:$K$1001,$AB72),IF(AND(INDEX(입력_기본자료!$K$2:$K$1001,$AB72)&gt;=10000101,INT(MOD(INDEX(입력_기본자료!$K$2:$K$1001,$AB72),10000)/100)&gt;=1,INT(MOD(INDEX(입력_기본자료!$K$2:$K$1001,$AB72),10000)/100)&lt;=12,MOD(INDEX(입력_기본자료!$K$2:$K$1001,$AB72),100)&gt;=1,MOD(INDEX(입력_기본자료!$K$2:$K$1001,$AB72),100)&lt;=31),DATE(INT(INDEX(입력_기본자료!$K$2:$K$1001,$AB72)/10000),INT(MOD(INDEX(입력_기본자료!$K$2:$K$1001,$AB72),10000)/100),MOD(INDEX(입력_기본자료!$K$2:$K$1001,$AB72),100)),INDEX(입력_기본자료!$K$2:$K$1001,$AB72)&amp;"")))))</f>
        <v/>
      </c>
      <c r="F72" s="10">
        <f>IF($AB72="","",IF(INDEX(입력_기본자료!$D$2:$D$1001,$AB72)="","",INDEX(입력_기본자료!$D$2:$D$1001,$AB72)))</f>
        <v/>
      </c>
      <c r="G72" s="10">
        <f>IF($AB72="","",IF(INDEX(입력_기본자료!$E$2:$E$1001,$AB72)="","",INDEX(입력_기본자료!$E$2:$E$1001,$AB72)))</f>
        <v/>
      </c>
      <c r="H72" s="10">
        <f>IF($AB72="","",IF(INDEX(입력_기본자료!$F$2:$F$1001,$AB72)="","",INDEX(입력_기본자료!$F$2:$F$1001,$AB72)))</f>
        <v/>
      </c>
      <c r="I72" s="11">
        <f>IF($AB72="","",IF(INDEX(입력_기본자료!$G$2:$G$1001,$AB72)="","",IF(NOT(ISNUMBER(INDEX(입력_기본자료!$G$2:$G$1001,$AB72))),INDEX(입력_기본자료!$G$2:$G$1001,$AB72),IF(INDEX(입력_기본자료!$G$2:$G$1001,$AB72)&lt;1000000,INDEX(입력_기본자료!$G$2:$G$1001,$AB72),IF(AND(INDEX(입력_기본자료!$G$2:$G$1001,$AB72)&gt;=10000101,INT(MOD(INDEX(입력_기본자료!$G$2:$G$1001,$AB72),10000)/100)&gt;=1,INT(MOD(INDEX(입력_기본자료!$G$2:$G$1001,$AB72),10000)/100)&lt;=12,MOD(INDEX(입력_기본자료!$G$2:$G$1001,$AB72),100)&gt;=1,MOD(INDEX(입력_기본자료!$G$2:$G$1001,$AB72),100)&lt;=31),DATE(INT(INDEX(입력_기본자료!$G$2:$G$1001,$AB72)/10000),INT(MOD(INDEX(입력_기본자료!$G$2:$G$1001,$AB72),10000)/100),MOD(INDEX(입력_기본자료!$G$2:$G$1001,$AB72),100)),INDEX(입력_기본자료!$G$2:$G$1001,$AB72)&amp;"")))))</f>
        <v/>
      </c>
      <c r="J72" s="10">
        <f>IF($AB72="","",IF(INDEX(입력_기본자료!$H$2:$H$1001,$AB72)="","",INDEX(입력_기본자료!$H$2:$H$1001,$AB72)))</f>
        <v/>
      </c>
      <c r="K72" s="10">
        <f>IF($AB72="","",IF(INDEX(입력_기본자료!$I$2:$I$1001,$AB72)="","",INDEX(입력_기본자료!$I$2:$I$1001,$AB72)))</f>
        <v/>
      </c>
      <c r="L72" s="10">
        <f>IF($AB72="","",IF(INDEX(입력_기본자료!$A$2:$A$1001,$AB72)="","",INDEX(입력_기본자료!$A$2:$A$1001,$AB72)))</f>
        <v/>
      </c>
      <c r="M72" s="15" t="n"/>
      <c r="N72" s="10">
        <f>IF($B72="","",IF(AND($U72="파견중",$Q72&lt;&gt;""),$Q72,IF(AND($AD72&lt;&gt;"",LEFT($AD72,1)&lt;&gt;"⚠"),LEFT($AD72,FIND(" ",$AD72)-1),IF($H72="","",IF(RIGHT($H72,2)="병원",$H72,$H72&amp;"병원")))))</f>
        <v/>
      </c>
      <c r="O72" s="10">
        <f>IF($B72="","",IF(AND($U72="파견중",$Q72&lt;&gt;""),IF($R72&lt;&gt;"",$R72,"파견과 미입력"),IF(AND($AD72&lt;&gt;"",LEFT($AD72,1)&lt;&gt;"⚠"),MID($AD72,FIND(" ",$AD72)+1,60),IF($F72="","",IF($F72="인턴","수련교육부(인턴)",$F72)))))</f>
        <v/>
      </c>
      <c r="P72" s="10">
        <f>IF($B72="","",IF($AK72&lt;&gt;"",IF(AND(TODAY()&gt;=INDEX(입력_파견수련계획!$AB$4:$AB$803,$AK72),OR(NOT(ISNUMBER(INDEX(입력_파견수련계획!$AC$4:$AC$803,$AK72))),TODAY()&lt;=INDEX(입력_파견수련계획!$AC$4:$AC$803,$AK72))),"다기관",IF($AF72="","",INDEX(입력_파견수련계획!$T$4:$T$803,$AF72))),IF($AF72="","",INDEX(입력_파견수련계획!$T$4:$T$803,$AF72))))</f>
        <v/>
      </c>
      <c r="Q72" s="10">
        <f>IF($AF72="","",INDEX(입력_파견수련계획!$S$4:$S$803,$AF72))</f>
        <v/>
      </c>
      <c r="R72" s="10">
        <f>IF($AF72="","",INDEX(입력_파견수련계획!$U$4:$U$803,$AF72))</f>
        <v/>
      </c>
      <c r="S72" s="11">
        <f>IF($AF72="","",IF(INDEX(입력_파견수련계획!$H$4:$H$803,$AF72)="","",INDEX(입력_파견수련계획!$H$4:$H$803,$AF72)))</f>
        <v/>
      </c>
      <c r="T72" s="11">
        <f>IF($AF72="","",IF(INDEX(입력_파견수련계획!$I$4:$I$803,$AF72)="","",INDEX(입력_파견수련계획!$I$4:$I$803,$AF72)))</f>
        <v/>
      </c>
      <c r="U72" s="10">
        <f>IF($AF72="","",INDEX(입력_파견수련계획!$X$4:$X$803,$AF72))</f>
        <v/>
      </c>
      <c r="V72" s="17">
        <f>IF($AF72="","",INDEX(입력_파견수련계획!$V$4:$V$803,$AF72))</f>
        <v/>
      </c>
      <c r="W72" s="17">
        <f>IF(AND($U72="파견중",$T72&lt;&gt;""),$T72-TODAY(),"")</f>
        <v/>
      </c>
      <c r="X72" s="17">
        <f>IF(OR($B72="",TRIM($J72&amp;"")=""),"",SUMPRODUCT((입력_파견수련계획!$Q$4:$Q$803=TRIM($J72&amp;""))*입력_파견수련계획!$W$4:$W$803))</f>
        <v/>
      </c>
      <c r="Y72" s="10">
        <f>IF($B72="","",IF($AG72="","",IF(IF(TRIM($J72&amp;"")="",0,SUMPRODUCT((입력_파견수련계획!$Q$4:$Q$803=TRIM($J72&amp;""))*입력_파견수련계획!$AD$4:$AD$803))&gt;0,$AE72,IF(AND(N($X72)&lt;=0,$AQ72=""),$AG72,IF($AH72+$AI72=DAY(EOMONTH(출력_요약!$B$3,0)),IF(AND($AH72&gt;=출력_요약!$E$3,$AI72&lt;출력_요약!$E$3),"서울병원",IF(AND($AI72&gt;=출력_요약!$E$3,$AH72&lt;출력_요약!$E$3),"구리병원","⚠15일 판정불가(서울 "&amp;$AH72&amp;"일/구리 "&amp;$AI72&amp;"일)")),IF($AJ72="",$AE72,IF(INDEX(입력_파견수련계획!$T$4:$T$803,$AJ72)="통합수련",INDEX(입력_파견수련계획!$S$4:$S$803,$AJ72),$AE72)))))))</f>
        <v/>
      </c>
      <c r="Z72" s="20">
        <f>IF($B72="","",IF($AB72="","기본자료에 없는 사번",IF(COUNTIF($B$2:$B$401,$B72)&gt;1,"중복 사번",IF($AE72="","소속(입사장소) 입력",IF(IF(TRIM($J72&amp;"")="",0,SUMPRODUCT((입력_파견수련계획!$Q$4:$Q$803=TRIM($J72&amp;""))*(입력_파견수련계획!$AA$4:$AA$803&lt;&gt;"")))&gt;0,"파견수련계획 입력오류 확인",IF(LEFT($Y72,1)="⚠","서울·구리 15일 판정 불가(양쪽 모두 이상/미만)",IF(IF($AC72="",0,N(INDEX(입력_인턴근무계획!$T$3:$T$402,$AC72)))&gt;0,"인턴계획 입력오류 확인",IF(AND($AQ72&lt;&gt;"",$AG72&lt;&gt;"구리병원",IF(TRIM($J72&amp;"")="",0,SUMPRODUCT((입력_파견수련계획!$Q$4:$Q$803=TRIM($J72&amp;""))*(입력_파견수련계획!$S$4:$S$803="구리병원")*입력_파견수련계획!$W$4:$W$803))=0),"구리 근무자명단에만 있음(파견수련계획 확인)",IF(AND($AC72&lt;&gt;"",$U72&lt;&gt;"파견중",$N72&lt;&gt;$AE72),"인턴 타지역 근무: 파견 여부 확인","정상")))))))))</f>
        <v/>
      </c>
      <c r="AA72" s="5" t="n"/>
      <c r="AB72" s="10">
        <f>IF($B72="","",IFERROR(MATCH($B72,입력_기본자료!$B$2:$B$1001,0),IFERROR(MATCH($B72&amp;"",입력_기본자료!$B$2:$B$1001,0),IFERROR(MATCH(VALUE($B72),입력_기본자료!$B$2:$B$1001,0),""))))</f>
        <v/>
      </c>
      <c r="AC72" s="10">
        <f>IF($B72="","",IFERROR(MATCH($B72,입력_인턴근무계획!$D$3:$D$402,0),IFERROR(MATCH($B72&amp;"",입력_인턴근무계획!$D$3:$D$402,0),IFERROR(MATCH(VALUE($B72),입력_인턴근무계획!$D$3:$D$402,0),""))))</f>
        <v/>
      </c>
      <c r="AD72" s="10">
        <f>IF(OR($AC72="",출력_인턴현황!$G$3=""),"",INDEX(입력_인턴근무계획!$M$3:$R$402,$AC72,출력_인턴현황!$G$3)&amp;"")</f>
        <v/>
      </c>
      <c r="AE72" s="10">
        <f>IF($B72="","",IF($M72&lt;&gt;"",$M72,IF(IF($AQ72="",FALSE,INDEX(출력_구리근무자!$J$6:$J$305,$AQ72)="구리독자"),"구리병원",IF($AF72&lt;&gt;"",IF(LEFT(INDEX(입력_파견수련계획!$R$4:$R$803,$AF72),1)&lt;&gt;"⚠",INDEX(입력_파견수련계획!$R$4:$R$803,$AF72),IF($H72="","",IF(RIGHT($H72,2)="병원",$H72,$H72&amp;"병원"))),IF($H72="","",IF(RIGHT($H72,2)="병원",$H72,$H72&amp;"병원"))))))</f>
        <v/>
      </c>
      <c r="AF72" s="10">
        <f>IF(OR($B72="",TRIM($J72&amp;"")=""),"",IFERROR(MATCH(TRIM($J72&amp;"")&amp;"|파견중",입력_파견수련계획!$Y$4:$Y$803,0),IFERROR(MATCH(TRIM($J72&amp;"")&amp;"|파견예정",입력_파견수련계획!$Y$4:$Y$803,0),IFERROR(MATCH(TRIM($J72&amp;"")&amp;"|파견종료",입력_파견수련계획!$Y$4:$Y$803,0),""))))</f>
        <v/>
      </c>
      <c r="AG72" s="10">
        <f>IF($B72="","",IF(AND(IF(OR($AC72="",출력_인턴현황!$K$2=""),"",INDEX(입력_인턴근무계획!$M$3:$R$402,$AC72,출력_인턴현황!$K$2)&amp;"")&lt;&gt;"",LEFT(IF(OR($AC72="",출력_인턴현황!$K$2=""),"",INDEX(입력_인턴근무계획!$M$3:$R$402,$AC72,출력_인턴현황!$K$2)&amp;""),1)&lt;&gt;"⚠"),LEFT(IF(OR($AC72="",출력_인턴현황!$K$2=""),"",INDEX(입력_인턴근무계획!$M$3:$R$402,$AC72,출력_인턴현황!$K$2)&amp;""),FIND(" ",IF(OR($AC72="",출력_인턴현황!$K$2=""),"",INDEX(입력_인턴근무계획!$M$3:$R$402,$AC72,출력_인턴현황!$K$2)&amp;""))-1),$AE72))</f>
        <v/>
      </c>
      <c r="AH72" s="17">
        <f>IF($B72="","",IF($AQ72&lt;&gt;"",MAX(0,DAY(EOMONTH(출력_요약!$B$3,0))-N($AR72)),IF(TRIM($J72&amp;"")="",0,SUMPRODUCT((입력_파견수련계획!$Q$4:$Q$803=TRIM($J72&amp;""))*(입력_파견수련계획!$S$4:$S$803="서울병원")*입력_파견수련계획!$W$4:$W$803))+IF($AG72="서울병원",MAX(0,DAY(EOMONTH(출력_요약!$B$3,0))-N($X72)),0)))</f>
        <v/>
      </c>
      <c r="AI72" s="17">
        <f>IF($B72="","",IF($AQ72&lt;&gt;"",N($AR72),IF(TRIM($J72&amp;"")="",0,SUMPRODUCT((입력_파견수련계획!$Q$4:$Q$803=TRIM($J72&amp;""))*(입력_파견수련계획!$S$4:$S$803="구리병원")*입력_파견수련계획!$W$4:$W$803))+IF($AG72="구리병원",MAX(0,DAY(EOMONTH(출력_요약!$B$3,0))-N($X72)),0)))</f>
        <v/>
      </c>
      <c r="AJ72" s="10">
        <f>IF(OR($B72="",TRIM($J72&amp;"")=""),"",IFERROR(MATCH(TRIM($J72&amp;"")&amp;"|월",입력_파견수련계획!$Z$4:$Z$803,0),""))</f>
        <v/>
      </c>
      <c r="AK72" s="10">
        <f>IF(OR($B72="",TRIM($J72&amp;"")=""),"",IFERROR(MATCH(TRIM($J72&amp;"")&amp;"|다기관",입력_파견수련계획!$AE$4:$AE$803,0),""))</f>
        <v/>
      </c>
      <c r="AL72" s="10">
        <f>IF($AK72="","","다기관 "&amp;TEXT(INDEX(입력_파견수련계획!$AB$4:$AB$803,$AK72),"yyyy-mm-dd")&amp;"~"&amp;IF(ISNUMBER(INDEX(입력_파견수련계획!$AC$4:$AC$803,$AK72)),TEXT(INDEX(입력_파견수련계획!$AC$4:$AC$803,$AK72),"yyyy-mm-dd"),""))</f>
        <v/>
      </c>
      <c r="AM72" s="10">
        <f>IF($Y72="서울병원",COUNTIF($Y$2:$Y72,"서울병원"),"")</f>
        <v/>
      </c>
      <c r="AN72" s="10">
        <f>IF(LEFT($Y72,1)="⚠",COUNTIF($Y$2:$Y72,"⚠*"),"")</f>
        <v/>
      </c>
      <c r="AO72" s="10">
        <f>IF(OR($B72="",$Y72=""),"",IF(IF(TRIM($J72&amp;"")="",0,SUMPRODUCT((입력_파견수련계획!$Q$4:$Q$803=TRIM($J72&amp;""))*입력_파견수련계획!$AD$4:$AD$803))&gt;0,"다기관 기간 → 소속병원 지급",IF(AND(N($X72)&lt;=0,$AQ72=""),"파견 없음 → 그 달 근무병원 지급",IF($AH72+$AI72=DAY(EOMONTH(출력_요약!$B$3,0)),"서울 "&amp;$AH72&amp;"일 / 구리 "&amp;$AI72&amp;"일"&amp;IF($AQ72&lt;&gt;""," (구리 근무자명단 반영)","")&amp;" → 15일 이상 근무 병원 지급","타 병원 포함 → "&amp;IF($AJ72="","소속",INDEX(입력_파견수련계획!$T$4:$T$803,$AJ72))&amp;" 규칙"))))</f>
        <v/>
      </c>
      <c r="AP72" s="10">
        <f>IF($B72="","",$C72&amp;"|"&amp;$F72)</f>
        <v/>
      </c>
      <c r="AQ72" s="10">
        <f>IF($B72="","",IFERROR(MATCH(ROW()-1,출력_구리근무자!$K$6:$K$305,0),""))</f>
        <v/>
      </c>
      <c r="AR72" s="10">
        <f>IF($AQ72="","",INDEX(출력_구리근무자!$H$6:$H$305,$AQ72))</f>
        <v/>
      </c>
    </row>
    <row r="73">
      <c r="A73" s="10">
        <f>IF(B73="","",ROW()-1)</f>
        <v/>
      </c>
      <c r="B73" s="19" t="n"/>
      <c r="C73" s="10">
        <f>IF($AB73="","",IF(INDEX(입력_기본자료!$C$2:$C$1001,$AB73)="","",INDEX(입력_기본자료!$C$2:$C$1001,$AB73)))</f>
        <v/>
      </c>
      <c r="D73" s="10">
        <f>IF($AB73="","",IF(INDEX(입력_기본자료!$J$2:$J$1001,$AB73)="","",INDEX(입력_기본자료!$J$2:$J$1001,$AB73)))</f>
        <v/>
      </c>
      <c r="E73" s="11">
        <f>IF($AB73="","",IF(INDEX(입력_기본자료!$K$2:$K$1001,$AB73)="","",IF(NOT(ISNUMBER(INDEX(입력_기본자료!$K$2:$K$1001,$AB73))),INDEX(입력_기본자료!$K$2:$K$1001,$AB73),IF(INDEX(입력_기본자료!$K$2:$K$1001,$AB73)&lt;1000000,INDEX(입력_기본자료!$K$2:$K$1001,$AB73),IF(AND(INDEX(입력_기본자료!$K$2:$K$1001,$AB73)&gt;=10000101,INT(MOD(INDEX(입력_기본자료!$K$2:$K$1001,$AB73),10000)/100)&gt;=1,INT(MOD(INDEX(입력_기본자료!$K$2:$K$1001,$AB73),10000)/100)&lt;=12,MOD(INDEX(입력_기본자료!$K$2:$K$1001,$AB73),100)&gt;=1,MOD(INDEX(입력_기본자료!$K$2:$K$1001,$AB73),100)&lt;=31),DATE(INT(INDEX(입력_기본자료!$K$2:$K$1001,$AB73)/10000),INT(MOD(INDEX(입력_기본자료!$K$2:$K$1001,$AB73),10000)/100),MOD(INDEX(입력_기본자료!$K$2:$K$1001,$AB73),100)),INDEX(입력_기본자료!$K$2:$K$1001,$AB73)&amp;"")))))</f>
        <v/>
      </c>
      <c r="F73" s="10">
        <f>IF($AB73="","",IF(INDEX(입력_기본자료!$D$2:$D$1001,$AB73)="","",INDEX(입력_기본자료!$D$2:$D$1001,$AB73)))</f>
        <v/>
      </c>
      <c r="G73" s="10">
        <f>IF($AB73="","",IF(INDEX(입력_기본자료!$E$2:$E$1001,$AB73)="","",INDEX(입력_기본자료!$E$2:$E$1001,$AB73)))</f>
        <v/>
      </c>
      <c r="H73" s="10">
        <f>IF($AB73="","",IF(INDEX(입력_기본자료!$F$2:$F$1001,$AB73)="","",INDEX(입력_기본자료!$F$2:$F$1001,$AB73)))</f>
        <v/>
      </c>
      <c r="I73" s="11">
        <f>IF($AB73="","",IF(INDEX(입력_기본자료!$G$2:$G$1001,$AB73)="","",IF(NOT(ISNUMBER(INDEX(입력_기본자료!$G$2:$G$1001,$AB73))),INDEX(입력_기본자료!$G$2:$G$1001,$AB73),IF(INDEX(입력_기본자료!$G$2:$G$1001,$AB73)&lt;1000000,INDEX(입력_기본자료!$G$2:$G$1001,$AB73),IF(AND(INDEX(입력_기본자료!$G$2:$G$1001,$AB73)&gt;=10000101,INT(MOD(INDEX(입력_기본자료!$G$2:$G$1001,$AB73),10000)/100)&gt;=1,INT(MOD(INDEX(입력_기본자료!$G$2:$G$1001,$AB73),10000)/100)&lt;=12,MOD(INDEX(입력_기본자료!$G$2:$G$1001,$AB73),100)&gt;=1,MOD(INDEX(입력_기본자료!$G$2:$G$1001,$AB73),100)&lt;=31),DATE(INT(INDEX(입력_기본자료!$G$2:$G$1001,$AB73)/10000),INT(MOD(INDEX(입력_기본자료!$G$2:$G$1001,$AB73),10000)/100),MOD(INDEX(입력_기본자료!$G$2:$G$1001,$AB73),100)),INDEX(입력_기본자료!$G$2:$G$1001,$AB73)&amp;"")))))</f>
        <v/>
      </c>
      <c r="J73" s="10">
        <f>IF($AB73="","",IF(INDEX(입력_기본자료!$H$2:$H$1001,$AB73)="","",INDEX(입력_기본자료!$H$2:$H$1001,$AB73)))</f>
        <v/>
      </c>
      <c r="K73" s="10">
        <f>IF($AB73="","",IF(INDEX(입력_기본자료!$I$2:$I$1001,$AB73)="","",INDEX(입력_기본자료!$I$2:$I$1001,$AB73)))</f>
        <v/>
      </c>
      <c r="L73" s="10">
        <f>IF($AB73="","",IF(INDEX(입력_기본자료!$A$2:$A$1001,$AB73)="","",INDEX(입력_기본자료!$A$2:$A$1001,$AB73)))</f>
        <v/>
      </c>
      <c r="M73" s="15" t="n"/>
      <c r="N73" s="10">
        <f>IF($B73="","",IF(AND($U73="파견중",$Q73&lt;&gt;""),$Q73,IF(AND($AD73&lt;&gt;"",LEFT($AD73,1)&lt;&gt;"⚠"),LEFT($AD73,FIND(" ",$AD73)-1),IF($H73="","",IF(RIGHT($H73,2)="병원",$H73,$H73&amp;"병원")))))</f>
        <v/>
      </c>
      <c r="O73" s="10">
        <f>IF($B73="","",IF(AND($U73="파견중",$Q73&lt;&gt;""),IF($R73&lt;&gt;"",$R73,"파견과 미입력"),IF(AND($AD73&lt;&gt;"",LEFT($AD73,1)&lt;&gt;"⚠"),MID($AD73,FIND(" ",$AD73)+1,60),IF($F73="","",IF($F73="인턴","수련교육부(인턴)",$F73)))))</f>
        <v/>
      </c>
      <c r="P73" s="10">
        <f>IF($B73="","",IF($AK73&lt;&gt;"",IF(AND(TODAY()&gt;=INDEX(입력_파견수련계획!$AB$4:$AB$803,$AK73),OR(NOT(ISNUMBER(INDEX(입력_파견수련계획!$AC$4:$AC$803,$AK73))),TODAY()&lt;=INDEX(입력_파견수련계획!$AC$4:$AC$803,$AK73))),"다기관",IF($AF73="","",INDEX(입력_파견수련계획!$T$4:$T$803,$AF73))),IF($AF73="","",INDEX(입력_파견수련계획!$T$4:$T$803,$AF73))))</f>
        <v/>
      </c>
      <c r="Q73" s="10">
        <f>IF($AF73="","",INDEX(입력_파견수련계획!$S$4:$S$803,$AF73))</f>
        <v/>
      </c>
      <c r="R73" s="10">
        <f>IF($AF73="","",INDEX(입력_파견수련계획!$U$4:$U$803,$AF73))</f>
        <v/>
      </c>
      <c r="S73" s="11">
        <f>IF($AF73="","",IF(INDEX(입력_파견수련계획!$H$4:$H$803,$AF73)="","",INDEX(입력_파견수련계획!$H$4:$H$803,$AF73)))</f>
        <v/>
      </c>
      <c r="T73" s="11">
        <f>IF($AF73="","",IF(INDEX(입력_파견수련계획!$I$4:$I$803,$AF73)="","",INDEX(입력_파견수련계획!$I$4:$I$803,$AF73)))</f>
        <v/>
      </c>
      <c r="U73" s="10">
        <f>IF($AF73="","",INDEX(입력_파견수련계획!$X$4:$X$803,$AF73))</f>
        <v/>
      </c>
      <c r="V73" s="17">
        <f>IF($AF73="","",INDEX(입력_파견수련계획!$V$4:$V$803,$AF73))</f>
        <v/>
      </c>
      <c r="W73" s="17">
        <f>IF(AND($U73="파견중",$T73&lt;&gt;""),$T73-TODAY(),"")</f>
        <v/>
      </c>
      <c r="X73" s="17">
        <f>IF(OR($B73="",TRIM($J73&amp;"")=""),"",SUMPRODUCT((입력_파견수련계획!$Q$4:$Q$803=TRIM($J73&amp;""))*입력_파견수련계획!$W$4:$W$803))</f>
        <v/>
      </c>
      <c r="Y73" s="10">
        <f>IF($B73="","",IF($AG73="","",IF(IF(TRIM($J73&amp;"")="",0,SUMPRODUCT((입력_파견수련계획!$Q$4:$Q$803=TRIM($J73&amp;""))*입력_파견수련계획!$AD$4:$AD$803))&gt;0,$AE73,IF(AND(N($X73)&lt;=0,$AQ73=""),$AG73,IF($AH73+$AI73=DAY(EOMONTH(출력_요약!$B$3,0)),IF(AND($AH73&gt;=출력_요약!$E$3,$AI73&lt;출력_요약!$E$3),"서울병원",IF(AND($AI73&gt;=출력_요약!$E$3,$AH73&lt;출력_요약!$E$3),"구리병원","⚠15일 판정불가(서울 "&amp;$AH73&amp;"일/구리 "&amp;$AI73&amp;"일)")),IF($AJ73="",$AE73,IF(INDEX(입력_파견수련계획!$T$4:$T$803,$AJ73)="통합수련",INDEX(입력_파견수련계획!$S$4:$S$803,$AJ73),$AE73)))))))</f>
        <v/>
      </c>
      <c r="Z73" s="20">
        <f>IF($B73="","",IF($AB73="","기본자료에 없는 사번",IF(COUNTIF($B$2:$B$401,$B73)&gt;1,"중복 사번",IF($AE73="","소속(입사장소) 입력",IF(IF(TRIM($J73&amp;"")="",0,SUMPRODUCT((입력_파견수련계획!$Q$4:$Q$803=TRIM($J73&amp;""))*(입력_파견수련계획!$AA$4:$AA$803&lt;&gt;"")))&gt;0,"파견수련계획 입력오류 확인",IF(LEFT($Y73,1)="⚠","서울·구리 15일 판정 불가(양쪽 모두 이상/미만)",IF(IF($AC73="",0,N(INDEX(입력_인턴근무계획!$T$3:$T$402,$AC73)))&gt;0,"인턴계획 입력오류 확인",IF(AND($AQ73&lt;&gt;"",$AG73&lt;&gt;"구리병원",IF(TRIM($J73&amp;"")="",0,SUMPRODUCT((입력_파견수련계획!$Q$4:$Q$803=TRIM($J73&amp;""))*(입력_파견수련계획!$S$4:$S$803="구리병원")*입력_파견수련계획!$W$4:$W$803))=0),"구리 근무자명단에만 있음(파견수련계획 확인)",IF(AND($AC73&lt;&gt;"",$U73&lt;&gt;"파견중",$N73&lt;&gt;$AE73),"인턴 타지역 근무: 파견 여부 확인","정상")))))))))</f>
        <v/>
      </c>
      <c r="AA73" s="5" t="n"/>
      <c r="AB73" s="10">
        <f>IF($B73="","",IFERROR(MATCH($B73,입력_기본자료!$B$2:$B$1001,0),IFERROR(MATCH($B73&amp;"",입력_기본자료!$B$2:$B$1001,0),IFERROR(MATCH(VALUE($B73),입력_기본자료!$B$2:$B$1001,0),""))))</f>
        <v/>
      </c>
      <c r="AC73" s="10">
        <f>IF($B73="","",IFERROR(MATCH($B73,입력_인턴근무계획!$D$3:$D$402,0),IFERROR(MATCH($B73&amp;"",입력_인턴근무계획!$D$3:$D$402,0),IFERROR(MATCH(VALUE($B73),입력_인턴근무계획!$D$3:$D$402,0),""))))</f>
        <v/>
      </c>
      <c r="AD73" s="10">
        <f>IF(OR($AC73="",출력_인턴현황!$G$3=""),"",INDEX(입력_인턴근무계획!$M$3:$R$402,$AC73,출력_인턴현황!$G$3)&amp;"")</f>
        <v/>
      </c>
      <c r="AE73" s="10">
        <f>IF($B73="","",IF($M73&lt;&gt;"",$M73,IF(IF($AQ73="",FALSE,INDEX(출력_구리근무자!$J$6:$J$305,$AQ73)="구리독자"),"구리병원",IF($AF73&lt;&gt;"",IF(LEFT(INDEX(입력_파견수련계획!$R$4:$R$803,$AF73),1)&lt;&gt;"⚠",INDEX(입력_파견수련계획!$R$4:$R$803,$AF73),IF($H73="","",IF(RIGHT($H73,2)="병원",$H73,$H73&amp;"병원"))),IF($H73="","",IF(RIGHT($H73,2)="병원",$H73,$H73&amp;"병원"))))))</f>
        <v/>
      </c>
      <c r="AF73" s="10">
        <f>IF(OR($B73="",TRIM($J73&amp;"")=""),"",IFERROR(MATCH(TRIM($J73&amp;"")&amp;"|파견중",입력_파견수련계획!$Y$4:$Y$803,0),IFERROR(MATCH(TRIM($J73&amp;"")&amp;"|파견예정",입력_파견수련계획!$Y$4:$Y$803,0),IFERROR(MATCH(TRIM($J73&amp;"")&amp;"|파견종료",입력_파견수련계획!$Y$4:$Y$803,0),""))))</f>
        <v/>
      </c>
      <c r="AG73" s="10">
        <f>IF($B73="","",IF(AND(IF(OR($AC73="",출력_인턴현황!$K$2=""),"",INDEX(입력_인턴근무계획!$M$3:$R$402,$AC73,출력_인턴현황!$K$2)&amp;"")&lt;&gt;"",LEFT(IF(OR($AC73="",출력_인턴현황!$K$2=""),"",INDEX(입력_인턴근무계획!$M$3:$R$402,$AC73,출력_인턴현황!$K$2)&amp;""),1)&lt;&gt;"⚠"),LEFT(IF(OR($AC73="",출력_인턴현황!$K$2=""),"",INDEX(입력_인턴근무계획!$M$3:$R$402,$AC73,출력_인턴현황!$K$2)&amp;""),FIND(" ",IF(OR($AC73="",출력_인턴현황!$K$2=""),"",INDEX(입력_인턴근무계획!$M$3:$R$402,$AC73,출력_인턴현황!$K$2)&amp;""))-1),$AE73))</f>
        <v/>
      </c>
      <c r="AH73" s="17">
        <f>IF($B73="","",IF($AQ73&lt;&gt;"",MAX(0,DAY(EOMONTH(출력_요약!$B$3,0))-N($AR73)),IF(TRIM($J73&amp;"")="",0,SUMPRODUCT((입력_파견수련계획!$Q$4:$Q$803=TRIM($J73&amp;""))*(입력_파견수련계획!$S$4:$S$803="서울병원")*입력_파견수련계획!$W$4:$W$803))+IF($AG73="서울병원",MAX(0,DAY(EOMONTH(출력_요약!$B$3,0))-N($X73)),0)))</f>
        <v/>
      </c>
      <c r="AI73" s="17">
        <f>IF($B73="","",IF($AQ73&lt;&gt;"",N($AR73),IF(TRIM($J73&amp;"")="",0,SUMPRODUCT((입력_파견수련계획!$Q$4:$Q$803=TRIM($J73&amp;""))*(입력_파견수련계획!$S$4:$S$803="구리병원")*입력_파견수련계획!$W$4:$W$803))+IF($AG73="구리병원",MAX(0,DAY(EOMONTH(출력_요약!$B$3,0))-N($X73)),0)))</f>
        <v/>
      </c>
      <c r="AJ73" s="10">
        <f>IF(OR($B73="",TRIM($J73&amp;"")=""),"",IFERROR(MATCH(TRIM($J73&amp;"")&amp;"|월",입력_파견수련계획!$Z$4:$Z$803,0),""))</f>
        <v/>
      </c>
      <c r="AK73" s="10">
        <f>IF(OR($B73="",TRIM($J73&amp;"")=""),"",IFERROR(MATCH(TRIM($J73&amp;"")&amp;"|다기관",입력_파견수련계획!$AE$4:$AE$803,0),""))</f>
        <v/>
      </c>
      <c r="AL73" s="10">
        <f>IF($AK73="","","다기관 "&amp;TEXT(INDEX(입력_파견수련계획!$AB$4:$AB$803,$AK73),"yyyy-mm-dd")&amp;"~"&amp;IF(ISNUMBER(INDEX(입력_파견수련계획!$AC$4:$AC$803,$AK73)),TEXT(INDEX(입력_파견수련계획!$AC$4:$AC$803,$AK73),"yyyy-mm-dd"),""))</f>
        <v/>
      </c>
      <c r="AM73" s="10">
        <f>IF($Y73="서울병원",COUNTIF($Y$2:$Y73,"서울병원"),"")</f>
        <v/>
      </c>
      <c r="AN73" s="10">
        <f>IF(LEFT($Y73,1)="⚠",COUNTIF($Y$2:$Y73,"⚠*"),"")</f>
        <v/>
      </c>
      <c r="AO73" s="10">
        <f>IF(OR($B73="",$Y73=""),"",IF(IF(TRIM($J73&amp;"")="",0,SUMPRODUCT((입력_파견수련계획!$Q$4:$Q$803=TRIM($J73&amp;""))*입력_파견수련계획!$AD$4:$AD$803))&gt;0,"다기관 기간 → 소속병원 지급",IF(AND(N($X73)&lt;=0,$AQ73=""),"파견 없음 → 그 달 근무병원 지급",IF($AH73+$AI73=DAY(EOMONTH(출력_요약!$B$3,0)),"서울 "&amp;$AH73&amp;"일 / 구리 "&amp;$AI73&amp;"일"&amp;IF($AQ73&lt;&gt;""," (구리 근무자명단 반영)","")&amp;" → 15일 이상 근무 병원 지급","타 병원 포함 → "&amp;IF($AJ73="","소속",INDEX(입력_파견수련계획!$T$4:$T$803,$AJ73))&amp;" 규칙"))))</f>
        <v/>
      </c>
      <c r="AP73" s="10">
        <f>IF($B73="","",$C73&amp;"|"&amp;$F73)</f>
        <v/>
      </c>
      <c r="AQ73" s="10">
        <f>IF($B73="","",IFERROR(MATCH(ROW()-1,출력_구리근무자!$K$6:$K$305,0),""))</f>
        <v/>
      </c>
      <c r="AR73" s="10">
        <f>IF($AQ73="","",INDEX(출력_구리근무자!$H$6:$H$305,$AQ73))</f>
        <v/>
      </c>
    </row>
    <row r="74">
      <c r="A74" s="10">
        <f>IF(B74="","",ROW()-1)</f>
        <v/>
      </c>
      <c r="B74" s="19" t="n"/>
      <c r="C74" s="10">
        <f>IF($AB74="","",IF(INDEX(입력_기본자료!$C$2:$C$1001,$AB74)="","",INDEX(입력_기본자료!$C$2:$C$1001,$AB74)))</f>
        <v/>
      </c>
      <c r="D74" s="10">
        <f>IF($AB74="","",IF(INDEX(입력_기본자료!$J$2:$J$1001,$AB74)="","",INDEX(입력_기본자료!$J$2:$J$1001,$AB74)))</f>
        <v/>
      </c>
      <c r="E74" s="11">
        <f>IF($AB74="","",IF(INDEX(입력_기본자료!$K$2:$K$1001,$AB74)="","",IF(NOT(ISNUMBER(INDEX(입력_기본자료!$K$2:$K$1001,$AB74))),INDEX(입력_기본자료!$K$2:$K$1001,$AB74),IF(INDEX(입력_기본자료!$K$2:$K$1001,$AB74)&lt;1000000,INDEX(입력_기본자료!$K$2:$K$1001,$AB74),IF(AND(INDEX(입력_기본자료!$K$2:$K$1001,$AB74)&gt;=10000101,INT(MOD(INDEX(입력_기본자료!$K$2:$K$1001,$AB74),10000)/100)&gt;=1,INT(MOD(INDEX(입력_기본자료!$K$2:$K$1001,$AB74),10000)/100)&lt;=12,MOD(INDEX(입력_기본자료!$K$2:$K$1001,$AB74),100)&gt;=1,MOD(INDEX(입력_기본자료!$K$2:$K$1001,$AB74),100)&lt;=31),DATE(INT(INDEX(입력_기본자료!$K$2:$K$1001,$AB74)/10000),INT(MOD(INDEX(입력_기본자료!$K$2:$K$1001,$AB74),10000)/100),MOD(INDEX(입력_기본자료!$K$2:$K$1001,$AB74),100)),INDEX(입력_기본자료!$K$2:$K$1001,$AB74)&amp;"")))))</f>
        <v/>
      </c>
      <c r="F74" s="10">
        <f>IF($AB74="","",IF(INDEX(입력_기본자료!$D$2:$D$1001,$AB74)="","",INDEX(입력_기본자료!$D$2:$D$1001,$AB74)))</f>
        <v/>
      </c>
      <c r="G74" s="10">
        <f>IF($AB74="","",IF(INDEX(입력_기본자료!$E$2:$E$1001,$AB74)="","",INDEX(입력_기본자료!$E$2:$E$1001,$AB74)))</f>
        <v/>
      </c>
      <c r="H74" s="10">
        <f>IF($AB74="","",IF(INDEX(입력_기본자료!$F$2:$F$1001,$AB74)="","",INDEX(입력_기본자료!$F$2:$F$1001,$AB74)))</f>
        <v/>
      </c>
      <c r="I74" s="11">
        <f>IF($AB74="","",IF(INDEX(입력_기본자료!$G$2:$G$1001,$AB74)="","",IF(NOT(ISNUMBER(INDEX(입력_기본자료!$G$2:$G$1001,$AB74))),INDEX(입력_기본자료!$G$2:$G$1001,$AB74),IF(INDEX(입력_기본자료!$G$2:$G$1001,$AB74)&lt;1000000,INDEX(입력_기본자료!$G$2:$G$1001,$AB74),IF(AND(INDEX(입력_기본자료!$G$2:$G$1001,$AB74)&gt;=10000101,INT(MOD(INDEX(입력_기본자료!$G$2:$G$1001,$AB74),10000)/100)&gt;=1,INT(MOD(INDEX(입력_기본자료!$G$2:$G$1001,$AB74),10000)/100)&lt;=12,MOD(INDEX(입력_기본자료!$G$2:$G$1001,$AB74),100)&gt;=1,MOD(INDEX(입력_기본자료!$G$2:$G$1001,$AB74),100)&lt;=31),DATE(INT(INDEX(입력_기본자료!$G$2:$G$1001,$AB74)/10000),INT(MOD(INDEX(입력_기본자료!$G$2:$G$1001,$AB74),10000)/100),MOD(INDEX(입력_기본자료!$G$2:$G$1001,$AB74),100)),INDEX(입력_기본자료!$G$2:$G$1001,$AB74)&amp;"")))))</f>
        <v/>
      </c>
      <c r="J74" s="10">
        <f>IF($AB74="","",IF(INDEX(입력_기본자료!$H$2:$H$1001,$AB74)="","",INDEX(입력_기본자료!$H$2:$H$1001,$AB74)))</f>
        <v/>
      </c>
      <c r="K74" s="10">
        <f>IF($AB74="","",IF(INDEX(입력_기본자료!$I$2:$I$1001,$AB74)="","",INDEX(입력_기본자료!$I$2:$I$1001,$AB74)))</f>
        <v/>
      </c>
      <c r="L74" s="10">
        <f>IF($AB74="","",IF(INDEX(입력_기본자료!$A$2:$A$1001,$AB74)="","",INDEX(입력_기본자료!$A$2:$A$1001,$AB74)))</f>
        <v/>
      </c>
      <c r="M74" s="15" t="n"/>
      <c r="N74" s="10">
        <f>IF($B74="","",IF(AND($U74="파견중",$Q74&lt;&gt;""),$Q74,IF(AND($AD74&lt;&gt;"",LEFT($AD74,1)&lt;&gt;"⚠"),LEFT($AD74,FIND(" ",$AD74)-1),IF($H74="","",IF(RIGHT($H74,2)="병원",$H74,$H74&amp;"병원")))))</f>
        <v/>
      </c>
      <c r="O74" s="10">
        <f>IF($B74="","",IF(AND($U74="파견중",$Q74&lt;&gt;""),IF($R74&lt;&gt;"",$R74,"파견과 미입력"),IF(AND($AD74&lt;&gt;"",LEFT($AD74,1)&lt;&gt;"⚠"),MID($AD74,FIND(" ",$AD74)+1,60),IF($F74="","",IF($F74="인턴","수련교육부(인턴)",$F74)))))</f>
        <v/>
      </c>
      <c r="P74" s="10">
        <f>IF($B74="","",IF($AK74&lt;&gt;"",IF(AND(TODAY()&gt;=INDEX(입력_파견수련계획!$AB$4:$AB$803,$AK74),OR(NOT(ISNUMBER(INDEX(입력_파견수련계획!$AC$4:$AC$803,$AK74))),TODAY()&lt;=INDEX(입력_파견수련계획!$AC$4:$AC$803,$AK74))),"다기관",IF($AF74="","",INDEX(입력_파견수련계획!$T$4:$T$803,$AF74))),IF($AF74="","",INDEX(입력_파견수련계획!$T$4:$T$803,$AF74))))</f>
        <v/>
      </c>
      <c r="Q74" s="10">
        <f>IF($AF74="","",INDEX(입력_파견수련계획!$S$4:$S$803,$AF74))</f>
        <v/>
      </c>
      <c r="R74" s="10">
        <f>IF($AF74="","",INDEX(입력_파견수련계획!$U$4:$U$803,$AF74))</f>
        <v/>
      </c>
      <c r="S74" s="11">
        <f>IF($AF74="","",IF(INDEX(입력_파견수련계획!$H$4:$H$803,$AF74)="","",INDEX(입력_파견수련계획!$H$4:$H$803,$AF74)))</f>
        <v/>
      </c>
      <c r="T74" s="11">
        <f>IF($AF74="","",IF(INDEX(입력_파견수련계획!$I$4:$I$803,$AF74)="","",INDEX(입력_파견수련계획!$I$4:$I$803,$AF74)))</f>
        <v/>
      </c>
      <c r="U74" s="10">
        <f>IF($AF74="","",INDEX(입력_파견수련계획!$X$4:$X$803,$AF74))</f>
        <v/>
      </c>
      <c r="V74" s="17">
        <f>IF($AF74="","",INDEX(입력_파견수련계획!$V$4:$V$803,$AF74))</f>
        <v/>
      </c>
      <c r="W74" s="17">
        <f>IF(AND($U74="파견중",$T74&lt;&gt;""),$T74-TODAY(),"")</f>
        <v/>
      </c>
      <c r="X74" s="17">
        <f>IF(OR($B74="",TRIM($J74&amp;"")=""),"",SUMPRODUCT((입력_파견수련계획!$Q$4:$Q$803=TRIM($J74&amp;""))*입력_파견수련계획!$W$4:$W$803))</f>
        <v/>
      </c>
      <c r="Y74" s="10">
        <f>IF($B74="","",IF($AG74="","",IF(IF(TRIM($J74&amp;"")="",0,SUMPRODUCT((입력_파견수련계획!$Q$4:$Q$803=TRIM($J74&amp;""))*입력_파견수련계획!$AD$4:$AD$803))&gt;0,$AE74,IF(AND(N($X74)&lt;=0,$AQ74=""),$AG74,IF($AH74+$AI74=DAY(EOMONTH(출력_요약!$B$3,0)),IF(AND($AH74&gt;=출력_요약!$E$3,$AI74&lt;출력_요약!$E$3),"서울병원",IF(AND($AI74&gt;=출력_요약!$E$3,$AH74&lt;출력_요약!$E$3),"구리병원","⚠15일 판정불가(서울 "&amp;$AH74&amp;"일/구리 "&amp;$AI74&amp;"일)")),IF($AJ74="",$AE74,IF(INDEX(입력_파견수련계획!$T$4:$T$803,$AJ74)="통합수련",INDEX(입력_파견수련계획!$S$4:$S$803,$AJ74),$AE74)))))))</f>
        <v/>
      </c>
      <c r="Z74" s="20">
        <f>IF($B74="","",IF($AB74="","기본자료에 없는 사번",IF(COUNTIF($B$2:$B$401,$B74)&gt;1,"중복 사번",IF($AE74="","소속(입사장소) 입력",IF(IF(TRIM($J74&amp;"")="",0,SUMPRODUCT((입력_파견수련계획!$Q$4:$Q$803=TRIM($J74&amp;""))*(입력_파견수련계획!$AA$4:$AA$803&lt;&gt;"")))&gt;0,"파견수련계획 입력오류 확인",IF(LEFT($Y74,1)="⚠","서울·구리 15일 판정 불가(양쪽 모두 이상/미만)",IF(IF($AC74="",0,N(INDEX(입력_인턴근무계획!$T$3:$T$402,$AC74)))&gt;0,"인턴계획 입력오류 확인",IF(AND($AQ74&lt;&gt;"",$AG74&lt;&gt;"구리병원",IF(TRIM($J74&amp;"")="",0,SUMPRODUCT((입력_파견수련계획!$Q$4:$Q$803=TRIM($J74&amp;""))*(입력_파견수련계획!$S$4:$S$803="구리병원")*입력_파견수련계획!$W$4:$W$803))=0),"구리 근무자명단에만 있음(파견수련계획 확인)",IF(AND($AC74&lt;&gt;"",$U74&lt;&gt;"파견중",$N74&lt;&gt;$AE74),"인턴 타지역 근무: 파견 여부 확인","정상")))))))))</f>
        <v/>
      </c>
      <c r="AA74" s="5" t="n"/>
      <c r="AB74" s="10">
        <f>IF($B74="","",IFERROR(MATCH($B74,입력_기본자료!$B$2:$B$1001,0),IFERROR(MATCH($B74&amp;"",입력_기본자료!$B$2:$B$1001,0),IFERROR(MATCH(VALUE($B74),입력_기본자료!$B$2:$B$1001,0),""))))</f>
        <v/>
      </c>
      <c r="AC74" s="10">
        <f>IF($B74="","",IFERROR(MATCH($B74,입력_인턴근무계획!$D$3:$D$402,0),IFERROR(MATCH($B74&amp;"",입력_인턴근무계획!$D$3:$D$402,0),IFERROR(MATCH(VALUE($B74),입력_인턴근무계획!$D$3:$D$402,0),""))))</f>
        <v/>
      </c>
      <c r="AD74" s="10">
        <f>IF(OR($AC74="",출력_인턴현황!$G$3=""),"",INDEX(입력_인턴근무계획!$M$3:$R$402,$AC74,출력_인턴현황!$G$3)&amp;"")</f>
        <v/>
      </c>
      <c r="AE74" s="10">
        <f>IF($B74="","",IF($M74&lt;&gt;"",$M74,IF(IF($AQ74="",FALSE,INDEX(출력_구리근무자!$J$6:$J$305,$AQ74)="구리독자"),"구리병원",IF($AF74&lt;&gt;"",IF(LEFT(INDEX(입력_파견수련계획!$R$4:$R$803,$AF74),1)&lt;&gt;"⚠",INDEX(입력_파견수련계획!$R$4:$R$803,$AF74),IF($H74="","",IF(RIGHT($H74,2)="병원",$H74,$H74&amp;"병원"))),IF($H74="","",IF(RIGHT($H74,2)="병원",$H74,$H74&amp;"병원"))))))</f>
        <v/>
      </c>
      <c r="AF74" s="10">
        <f>IF(OR($B74="",TRIM($J74&amp;"")=""),"",IFERROR(MATCH(TRIM($J74&amp;"")&amp;"|파견중",입력_파견수련계획!$Y$4:$Y$803,0),IFERROR(MATCH(TRIM($J74&amp;"")&amp;"|파견예정",입력_파견수련계획!$Y$4:$Y$803,0),IFERROR(MATCH(TRIM($J74&amp;"")&amp;"|파견종료",입력_파견수련계획!$Y$4:$Y$803,0),""))))</f>
        <v/>
      </c>
      <c r="AG74" s="10">
        <f>IF($B74="","",IF(AND(IF(OR($AC74="",출력_인턴현황!$K$2=""),"",INDEX(입력_인턴근무계획!$M$3:$R$402,$AC74,출력_인턴현황!$K$2)&amp;"")&lt;&gt;"",LEFT(IF(OR($AC74="",출력_인턴현황!$K$2=""),"",INDEX(입력_인턴근무계획!$M$3:$R$402,$AC74,출력_인턴현황!$K$2)&amp;""),1)&lt;&gt;"⚠"),LEFT(IF(OR($AC74="",출력_인턴현황!$K$2=""),"",INDEX(입력_인턴근무계획!$M$3:$R$402,$AC74,출력_인턴현황!$K$2)&amp;""),FIND(" ",IF(OR($AC74="",출력_인턴현황!$K$2=""),"",INDEX(입력_인턴근무계획!$M$3:$R$402,$AC74,출력_인턴현황!$K$2)&amp;""))-1),$AE74))</f>
        <v/>
      </c>
      <c r="AH74" s="17">
        <f>IF($B74="","",IF($AQ74&lt;&gt;"",MAX(0,DAY(EOMONTH(출력_요약!$B$3,0))-N($AR74)),IF(TRIM($J74&amp;"")="",0,SUMPRODUCT((입력_파견수련계획!$Q$4:$Q$803=TRIM($J74&amp;""))*(입력_파견수련계획!$S$4:$S$803="서울병원")*입력_파견수련계획!$W$4:$W$803))+IF($AG74="서울병원",MAX(0,DAY(EOMONTH(출력_요약!$B$3,0))-N($X74)),0)))</f>
        <v/>
      </c>
      <c r="AI74" s="17">
        <f>IF($B74="","",IF($AQ74&lt;&gt;"",N($AR74),IF(TRIM($J74&amp;"")="",0,SUMPRODUCT((입력_파견수련계획!$Q$4:$Q$803=TRIM($J74&amp;""))*(입력_파견수련계획!$S$4:$S$803="구리병원")*입력_파견수련계획!$W$4:$W$803))+IF($AG74="구리병원",MAX(0,DAY(EOMONTH(출력_요약!$B$3,0))-N($X74)),0)))</f>
        <v/>
      </c>
      <c r="AJ74" s="10">
        <f>IF(OR($B74="",TRIM($J74&amp;"")=""),"",IFERROR(MATCH(TRIM($J74&amp;"")&amp;"|월",입력_파견수련계획!$Z$4:$Z$803,0),""))</f>
        <v/>
      </c>
      <c r="AK74" s="10">
        <f>IF(OR($B74="",TRIM($J74&amp;"")=""),"",IFERROR(MATCH(TRIM($J74&amp;"")&amp;"|다기관",입력_파견수련계획!$AE$4:$AE$803,0),""))</f>
        <v/>
      </c>
      <c r="AL74" s="10">
        <f>IF($AK74="","","다기관 "&amp;TEXT(INDEX(입력_파견수련계획!$AB$4:$AB$803,$AK74),"yyyy-mm-dd")&amp;"~"&amp;IF(ISNUMBER(INDEX(입력_파견수련계획!$AC$4:$AC$803,$AK74)),TEXT(INDEX(입력_파견수련계획!$AC$4:$AC$803,$AK74),"yyyy-mm-dd"),""))</f>
        <v/>
      </c>
      <c r="AM74" s="10">
        <f>IF($Y74="서울병원",COUNTIF($Y$2:$Y74,"서울병원"),"")</f>
        <v/>
      </c>
      <c r="AN74" s="10">
        <f>IF(LEFT($Y74,1)="⚠",COUNTIF($Y$2:$Y74,"⚠*"),"")</f>
        <v/>
      </c>
      <c r="AO74" s="10">
        <f>IF(OR($B74="",$Y74=""),"",IF(IF(TRIM($J74&amp;"")="",0,SUMPRODUCT((입력_파견수련계획!$Q$4:$Q$803=TRIM($J74&amp;""))*입력_파견수련계획!$AD$4:$AD$803))&gt;0,"다기관 기간 → 소속병원 지급",IF(AND(N($X74)&lt;=0,$AQ74=""),"파견 없음 → 그 달 근무병원 지급",IF($AH74+$AI74=DAY(EOMONTH(출력_요약!$B$3,0)),"서울 "&amp;$AH74&amp;"일 / 구리 "&amp;$AI74&amp;"일"&amp;IF($AQ74&lt;&gt;""," (구리 근무자명단 반영)","")&amp;" → 15일 이상 근무 병원 지급","타 병원 포함 → "&amp;IF($AJ74="","소속",INDEX(입력_파견수련계획!$T$4:$T$803,$AJ74))&amp;" 규칙"))))</f>
        <v/>
      </c>
      <c r="AP74" s="10">
        <f>IF($B74="","",$C74&amp;"|"&amp;$F74)</f>
        <v/>
      </c>
      <c r="AQ74" s="10">
        <f>IF($B74="","",IFERROR(MATCH(ROW()-1,출력_구리근무자!$K$6:$K$305,0),""))</f>
        <v/>
      </c>
      <c r="AR74" s="10">
        <f>IF($AQ74="","",INDEX(출력_구리근무자!$H$6:$H$305,$AQ74))</f>
        <v/>
      </c>
    </row>
    <row r="75">
      <c r="A75" s="10">
        <f>IF(B75="","",ROW()-1)</f>
        <v/>
      </c>
      <c r="B75" s="19" t="n"/>
      <c r="C75" s="10">
        <f>IF($AB75="","",IF(INDEX(입력_기본자료!$C$2:$C$1001,$AB75)="","",INDEX(입력_기본자료!$C$2:$C$1001,$AB75)))</f>
        <v/>
      </c>
      <c r="D75" s="10">
        <f>IF($AB75="","",IF(INDEX(입력_기본자료!$J$2:$J$1001,$AB75)="","",INDEX(입력_기본자료!$J$2:$J$1001,$AB75)))</f>
        <v/>
      </c>
      <c r="E75" s="11">
        <f>IF($AB75="","",IF(INDEX(입력_기본자료!$K$2:$K$1001,$AB75)="","",IF(NOT(ISNUMBER(INDEX(입력_기본자료!$K$2:$K$1001,$AB75))),INDEX(입력_기본자료!$K$2:$K$1001,$AB75),IF(INDEX(입력_기본자료!$K$2:$K$1001,$AB75)&lt;1000000,INDEX(입력_기본자료!$K$2:$K$1001,$AB75),IF(AND(INDEX(입력_기본자료!$K$2:$K$1001,$AB75)&gt;=10000101,INT(MOD(INDEX(입력_기본자료!$K$2:$K$1001,$AB75),10000)/100)&gt;=1,INT(MOD(INDEX(입력_기본자료!$K$2:$K$1001,$AB75),10000)/100)&lt;=12,MOD(INDEX(입력_기본자료!$K$2:$K$1001,$AB75),100)&gt;=1,MOD(INDEX(입력_기본자료!$K$2:$K$1001,$AB75),100)&lt;=31),DATE(INT(INDEX(입력_기본자료!$K$2:$K$1001,$AB75)/10000),INT(MOD(INDEX(입력_기본자료!$K$2:$K$1001,$AB75),10000)/100),MOD(INDEX(입력_기본자료!$K$2:$K$1001,$AB75),100)),INDEX(입력_기본자료!$K$2:$K$1001,$AB75)&amp;"")))))</f>
        <v/>
      </c>
      <c r="F75" s="10">
        <f>IF($AB75="","",IF(INDEX(입력_기본자료!$D$2:$D$1001,$AB75)="","",INDEX(입력_기본자료!$D$2:$D$1001,$AB75)))</f>
        <v/>
      </c>
      <c r="G75" s="10">
        <f>IF($AB75="","",IF(INDEX(입력_기본자료!$E$2:$E$1001,$AB75)="","",INDEX(입력_기본자료!$E$2:$E$1001,$AB75)))</f>
        <v/>
      </c>
      <c r="H75" s="10">
        <f>IF($AB75="","",IF(INDEX(입력_기본자료!$F$2:$F$1001,$AB75)="","",INDEX(입력_기본자료!$F$2:$F$1001,$AB75)))</f>
        <v/>
      </c>
      <c r="I75" s="11">
        <f>IF($AB75="","",IF(INDEX(입력_기본자료!$G$2:$G$1001,$AB75)="","",IF(NOT(ISNUMBER(INDEX(입력_기본자료!$G$2:$G$1001,$AB75))),INDEX(입력_기본자료!$G$2:$G$1001,$AB75),IF(INDEX(입력_기본자료!$G$2:$G$1001,$AB75)&lt;1000000,INDEX(입력_기본자료!$G$2:$G$1001,$AB75),IF(AND(INDEX(입력_기본자료!$G$2:$G$1001,$AB75)&gt;=10000101,INT(MOD(INDEX(입력_기본자료!$G$2:$G$1001,$AB75),10000)/100)&gt;=1,INT(MOD(INDEX(입력_기본자료!$G$2:$G$1001,$AB75),10000)/100)&lt;=12,MOD(INDEX(입력_기본자료!$G$2:$G$1001,$AB75),100)&gt;=1,MOD(INDEX(입력_기본자료!$G$2:$G$1001,$AB75),100)&lt;=31),DATE(INT(INDEX(입력_기본자료!$G$2:$G$1001,$AB75)/10000),INT(MOD(INDEX(입력_기본자료!$G$2:$G$1001,$AB75),10000)/100),MOD(INDEX(입력_기본자료!$G$2:$G$1001,$AB75),100)),INDEX(입력_기본자료!$G$2:$G$1001,$AB75)&amp;"")))))</f>
        <v/>
      </c>
      <c r="J75" s="10">
        <f>IF($AB75="","",IF(INDEX(입력_기본자료!$H$2:$H$1001,$AB75)="","",INDEX(입력_기본자료!$H$2:$H$1001,$AB75)))</f>
        <v/>
      </c>
      <c r="K75" s="10">
        <f>IF($AB75="","",IF(INDEX(입력_기본자료!$I$2:$I$1001,$AB75)="","",INDEX(입력_기본자료!$I$2:$I$1001,$AB75)))</f>
        <v/>
      </c>
      <c r="L75" s="10">
        <f>IF($AB75="","",IF(INDEX(입력_기본자료!$A$2:$A$1001,$AB75)="","",INDEX(입력_기본자료!$A$2:$A$1001,$AB75)))</f>
        <v/>
      </c>
      <c r="M75" s="15" t="n"/>
      <c r="N75" s="10">
        <f>IF($B75="","",IF(AND($U75="파견중",$Q75&lt;&gt;""),$Q75,IF(AND($AD75&lt;&gt;"",LEFT($AD75,1)&lt;&gt;"⚠"),LEFT($AD75,FIND(" ",$AD75)-1),IF($H75="","",IF(RIGHT($H75,2)="병원",$H75,$H75&amp;"병원")))))</f>
        <v/>
      </c>
      <c r="O75" s="10">
        <f>IF($B75="","",IF(AND($U75="파견중",$Q75&lt;&gt;""),IF($R75&lt;&gt;"",$R75,"파견과 미입력"),IF(AND($AD75&lt;&gt;"",LEFT($AD75,1)&lt;&gt;"⚠"),MID($AD75,FIND(" ",$AD75)+1,60),IF($F75="","",IF($F75="인턴","수련교육부(인턴)",$F75)))))</f>
        <v/>
      </c>
      <c r="P75" s="10">
        <f>IF($B75="","",IF($AK75&lt;&gt;"",IF(AND(TODAY()&gt;=INDEX(입력_파견수련계획!$AB$4:$AB$803,$AK75),OR(NOT(ISNUMBER(INDEX(입력_파견수련계획!$AC$4:$AC$803,$AK75))),TODAY()&lt;=INDEX(입력_파견수련계획!$AC$4:$AC$803,$AK75))),"다기관",IF($AF75="","",INDEX(입력_파견수련계획!$T$4:$T$803,$AF75))),IF($AF75="","",INDEX(입력_파견수련계획!$T$4:$T$803,$AF75))))</f>
        <v/>
      </c>
      <c r="Q75" s="10">
        <f>IF($AF75="","",INDEX(입력_파견수련계획!$S$4:$S$803,$AF75))</f>
        <v/>
      </c>
      <c r="R75" s="10">
        <f>IF($AF75="","",INDEX(입력_파견수련계획!$U$4:$U$803,$AF75))</f>
        <v/>
      </c>
      <c r="S75" s="11">
        <f>IF($AF75="","",IF(INDEX(입력_파견수련계획!$H$4:$H$803,$AF75)="","",INDEX(입력_파견수련계획!$H$4:$H$803,$AF75)))</f>
        <v/>
      </c>
      <c r="T75" s="11">
        <f>IF($AF75="","",IF(INDEX(입력_파견수련계획!$I$4:$I$803,$AF75)="","",INDEX(입력_파견수련계획!$I$4:$I$803,$AF75)))</f>
        <v/>
      </c>
      <c r="U75" s="10">
        <f>IF($AF75="","",INDEX(입력_파견수련계획!$X$4:$X$803,$AF75))</f>
        <v/>
      </c>
      <c r="V75" s="17">
        <f>IF($AF75="","",INDEX(입력_파견수련계획!$V$4:$V$803,$AF75))</f>
        <v/>
      </c>
      <c r="W75" s="17">
        <f>IF(AND($U75="파견중",$T75&lt;&gt;""),$T75-TODAY(),"")</f>
        <v/>
      </c>
      <c r="X75" s="17">
        <f>IF(OR($B75="",TRIM($J75&amp;"")=""),"",SUMPRODUCT((입력_파견수련계획!$Q$4:$Q$803=TRIM($J75&amp;""))*입력_파견수련계획!$W$4:$W$803))</f>
        <v/>
      </c>
      <c r="Y75" s="10">
        <f>IF($B75="","",IF($AG75="","",IF(IF(TRIM($J75&amp;"")="",0,SUMPRODUCT((입력_파견수련계획!$Q$4:$Q$803=TRIM($J75&amp;""))*입력_파견수련계획!$AD$4:$AD$803))&gt;0,$AE75,IF(AND(N($X75)&lt;=0,$AQ75=""),$AG75,IF($AH75+$AI75=DAY(EOMONTH(출력_요약!$B$3,0)),IF(AND($AH75&gt;=출력_요약!$E$3,$AI75&lt;출력_요약!$E$3),"서울병원",IF(AND($AI75&gt;=출력_요약!$E$3,$AH75&lt;출력_요약!$E$3),"구리병원","⚠15일 판정불가(서울 "&amp;$AH75&amp;"일/구리 "&amp;$AI75&amp;"일)")),IF($AJ75="",$AE75,IF(INDEX(입력_파견수련계획!$T$4:$T$803,$AJ75)="통합수련",INDEX(입력_파견수련계획!$S$4:$S$803,$AJ75),$AE75)))))))</f>
        <v/>
      </c>
      <c r="Z75" s="20">
        <f>IF($B75="","",IF($AB75="","기본자료에 없는 사번",IF(COUNTIF($B$2:$B$401,$B75)&gt;1,"중복 사번",IF($AE75="","소속(입사장소) 입력",IF(IF(TRIM($J75&amp;"")="",0,SUMPRODUCT((입력_파견수련계획!$Q$4:$Q$803=TRIM($J75&amp;""))*(입력_파견수련계획!$AA$4:$AA$803&lt;&gt;"")))&gt;0,"파견수련계획 입력오류 확인",IF(LEFT($Y75,1)="⚠","서울·구리 15일 판정 불가(양쪽 모두 이상/미만)",IF(IF($AC75="",0,N(INDEX(입력_인턴근무계획!$T$3:$T$402,$AC75)))&gt;0,"인턴계획 입력오류 확인",IF(AND($AQ75&lt;&gt;"",$AG75&lt;&gt;"구리병원",IF(TRIM($J75&amp;"")="",0,SUMPRODUCT((입력_파견수련계획!$Q$4:$Q$803=TRIM($J75&amp;""))*(입력_파견수련계획!$S$4:$S$803="구리병원")*입력_파견수련계획!$W$4:$W$803))=0),"구리 근무자명단에만 있음(파견수련계획 확인)",IF(AND($AC75&lt;&gt;"",$U75&lt;&gt;"파견중",$N75&lt;&gt;$AE75),"인턴 타지역 근무: 파견 여부 확인","정상")))))))))</f>
        <v/>
      </c>
      <c r="AA75" s="5" t="n"/>
      <c r="AB75" s="10">
        <f>IF($B75="","",IFERROR(MATCH($B75,입력_기본자료!$B$2:$B$1001,0),IFERROR(MATCH($B75&amp;"",입력_기본자료!$B$2:$B$1001,0),IFERROR(MATCH(VALUE($B75),입력_기본자료!$B$2:$B$1001,0),""))))</f>
        <v/>
      </c>
      <c r="AC75" s="10">
        <f>IF($B75="","",IFERROR(MATCH($B75,입력_인턴근무계획!$D$3:$D$402,0),IFERROR(MATCH($B75&amp;"",입력_인턴근무계획!$D$3:$D$402,0),IFERROR(MATCH(VALUE($B75),입력_인턴근무계획!$D$3:$D$402,0),""))))</f>
        <v/>
      </c>
      <c r="AD75" s="10">
        <f>IF(OR($AC75="",출력_인턴현황!$G$3=""),"",INDEX(입력_인턴근무계획!$M$3:$R$402,$AC75,출력_인턴현황!$G$3)&amp;"")</f>
        <v/>
      </c>
      <c r="AE75" s="10">
        <f>IF($B75="","",IF($M75&lt;&gt;"",$M75,IF(IF($AQ75="",FALSE,INDEX(출력_구리근무자!$J$6:$J$305,$AQ75)="구리독자"),"구리병원",IF($AF75&lt;&gt;"",IF(LEFT(INDEX(입력_파견수련계획!$R$4:$R$803,$AF75),1)&lt;&gt;"⚠",INDEX(입력_파견수련계획!$R$4:$R$803,$AF75),IF($H75="","",IF(RIGHT($H75,2)="병원",$H75,$H75&amp;"병원"))),IF($H75="","",IF(RIGHT($H75,2)="병원",$H75,$H75&amp;"병원"))))))</f>
        <v/>
      </c>
      <c r="AF75" s="10">
        <f>IF(OR($B75="",TRIM($J75&amp;"")=""),"",IFERROR(MATCH(TRIM($J75&amp;"")&amp;"|파견중",입력_파견수련계획!$Y$4:$Y$803,0),IFERROR(MATCH(TRIM($J75&amp;"")&amp;"|파견예정",입력_파견수련계획!$Y$4:$Y$803,0),IFERROR(MATCH(TRIM($J75&amp;"")&amp;"|파견종료",입력_파견수련계획!$Y$4:$Y$803,0),""))))</f>
        <v/>
      </c>
      <c r="AG75" s="10">
        <f>IF($B75="","",IF(AND(IF(OR($AC75="",출력_인턴현황!$K$2=""),"",INDEX(입력_인턴근무계획!$M$3:$R$402,$AC75,출력_인턴현황!$K$2)&amp;"")&lt;&gt;"",LEFT(IF(OR($AC75="",출력_인턴현황!$K$2=""),"",INDEX(입력_인턴근무계획!$M$3:$R$402,$AC75,출력_인턴현황!$K$2)&amp;""),1)&lt;&gt;"⚠"),LEFT(IF(OR($AC75="",출력_인턴현황!$K$2=""),"",INDEX(입력_인턴근무계획!$M$3:$R$402,$AC75,출력_인턴현황!$K$2)&amp;""),FIND(" ",IF(OR($AC75="",출력_인턴현황!$K$2=""),"",INDEX(입력_인턴근무계획!$M$3:$R$402,$AC75,출력_인턴현황!$K$2)&amp;""))-1),$AE75))</f>
        <v/>
      </c>
      <c r="AH75" s="17">
        <f>IF($B75="","",IF($AQ75&lt;&gt;"",MAX(0,DAY(EOMONTH(출력_요약!$B$3,0))-N($AR75)),IF(TRIM($J75&amp;"")="",0,SUMPRODUCT((입력_파견수련계획!$Q$4:$Q$803=TRIM($J75&amp;""))*(입력_파견수련계획!$S$4:$S$803="서울병원")*입력_파견수련계획!$W$4:$W$803))+IF($AG75="서울병원",MAX(0,DAY(EOMONTH(출력_요약!$B$3,0))-N($X75)),0)))</f>
        <v/>
      </c>
      <c r="AI75" s="17">
        <f>IF($B75="","",IF($AQ75&lt;&gt;"",N($AR75),IF(TRIM($J75&amp;"")="",0,SUMPRODUCT((입력_파견수련계획!$Q$4:$Q$803=TRIM($J75&amp;""))*(입력_파견수련계획!$S$4:$S$803="구리병원")*입력_파견수련계획!$W$4:$W$803))+IF($AG75="구리병원",MAX(0,DAY(EOMONTH(출력_요약!$B$3,0))-N($X75)),0)))</f>
        <v/>
      </c>
      <c r="AJ75" s="10">
        <f>IF(OR($B75="",TRIM($J75&amp;"")=""),"",IFERROR(MATCH(TRIM($J75&amp;"")&amp;"|월",입력_파견수련계획!$Z$4:$Z$803,0),""))</f>
        <v/>
      </c>
      <c r="AK75" s="10">
        <f>IF(OR($B75="",TRIM($J75&amp;"")=""),"",IFERROR(MATCH(TRIM($J75&amp;"")&amp;"|다기관",입력_파견수련계획!$AE$4:$AE$803,0),""))</f>
        <v/>
      </c>
      <c r="AL75" s="10">
        <f>IF($AK75="","","다기관 "&amp;TEXT(INDEX(입력_파견수련계획!$AB$4:$AB$803,$AK75),"yyyy-mm-dd")&amp;"~"&amp;IF(ISNUMBER(INDEX(입력_파견수련계획!$AC$4:$AC$803,$AK75)),TEXT(INDEX(입력_파견수련계획!$AC$4:$AC$803,$AK75),"yyyy-mm-dd"),""))</f>
        <v/>
      </c>
      <c r="AM75" s="10">
        <f>IF($Y75="서울병원",COUNTIF($Y$2:$Y75,"서울병원"),"")</f>
        <v/>
      </c>
      <c r="AN75" s="10">
        <f>IF(LEFT($Y75,1)="⚠",COUNTIF($Y$2:$Y75,"⚠*"),"")</f>
        <v/>
      </c>
      <c r="AO75" s="10">
        <f>IF(OR($B75="",$Y75=""),"",IF(IF(TRIM($J75&amp;"")="",0,SUMPRODUCT((입력_파견수련계획!$Q$4:$Q$803=TRIM($J75&amp;""))*입력_파견수련계획!$AD$4:$AD$803))&gt;0,"다기관 기간 → 소속병원 지급",IF(AND(N($X75)&lt;=0,$AQ75=""),"파견 없음 → 그 달 근무병원 지급",IF($AH75+$AI75=DAY(EOMONTH(출력_요약!$B$3,0)),"서울 "&amp;$AH75&amp;"일 / 구리 "&amp;$AI75&amp;"일"&amp;IF($AQ75&lt;&gt;""," (구리 근무자명단 반영)","")&amp;" → 15일 이상 근무 병원 지급","타 병원 포함 → "&amp;IF($AJ75="","소속",INDEX(입력_파견수련계획!$T$4:$T$803,$AJ75))&amp;" 규칙"))))</f>
        <v/>
      </c>
      <c r="AP75" s="10">
        <f>IF($B75="","",$C75&amp;"|"&amp;$F75)</f>
        <v/>
      </c>
      <c r="AQ75" s="10">
        <f>IF($B75="","",IFERROR(MATCH(ROW()-1,출력_구리근무자!$K$6:$K$305,0),""))</f>
        <v/>
      </c>
      <c r="AR75" s="10">
        <f>IF($AQ75="","",INDEX(출력_구리근무자!$H$6:$H$305,$AQ75))</f>
        <v/>
      </c>
    </row>
    <row r="76">
      <c r="A76" s="10">
        <f>IF(B76="","",ROW()-1)</f>
        <v/>
      </c>
      <c r="B76" s="19" t="n"/>
      <c r="C76" s="10">
        <f>IF($AB76="","",IF(INDEX(입력_기본자료!$C$2:$C$1001,$AB76)="","",INDEX(입력_기본자료!$C$2:$C$1001,$AB76)))</f>
        <v/>
      </c>
      <c r="D76" s="10">
        <f>IF($AB76="","",IF(INDEX(입력_기본자료!$J$2:$J$1001,$AB76)="","",INDEX(입력_기본자료!$J$2:$J$1001,$AB76)))</f>
        <v/>
      </c>
      <c r="E76" s="11">
        <f>IF($AB76="","",IF(INDEX(입력_기본자료!$K$2:$K$1001,$AB76)="","",IF(NOT(ISNUMBER(INDEX(입력_기본자료!$K$2:$K$1001,$AB76))),INDEX(입력_기본자료!$K$2:$K$1001,$AB76),IF(INDEX(입력_기본자료!$K$2:$K$1001,$AB76)&lt;1000000,INDEX(입력_기본자료!$K$2:$K$1001,$AB76),IF(AND(INDEX(입력_기본자료!$K$2:$K$1001,$AB76)&gt;=10000101,INT(MOD(INDEX(입력_기본자료!$K$2:$K$1001,$AB76),10000)/100)&gt;=1,INT(MOD(INDEX(입력_기본자료!$K$2:$K$1001,$AB76),10000)/100)&lt;=12,MOD(INDEX(입력_기본자료!$K$2:$K$1001,$AB76),100)&gt;=1,MOD(INDEX(입력_기본자료!$K$2:$K$1001,$AB76),100)&lt;=31),DATE(INT(INDEX(입력_기본자료!$K$2:$K$1001,$AB76)/10000),INT(MOD(INDEX(입력_기본자료!$K$2:$K$1001,$AB76),10000)/100),MOD(INDEX(입력_기본자료!$K$2:$K$1001,$AB76),100)),INDEX(입력_기본자료!$K$2:$K$1001,$AB76)&amp;"")))))</f>
        <v/>
      </c>
      <c r="F76" s="10">
        <f>IF($AB76="","",IF(INDEX(입력_기본자료!$D$2:$D$1001,$AB76)="","",INDEX(입력_기본자료!$D$2:$D$1001,$AB76)))</f>
        <v/>
      </c>
      <c r="G76" s="10">
        <f>IF($AB76="","",IF(INDEX(입력_기본자료!$E$2:$E$1001,$AB76)="","",INDEX(입력_기본자료!$E$2:$E$1001,$AB76)))</f>
        <v/>
      </c>
      <c r="H76" s="10">
        <f>IF($AB76="","",IF(INDEX(입력_기본자료!$F$2:$F$1001,$AB76)="","",INDEX(입력_기본자료!$F$2:$F$1001,$AB76)))</f>
        <v/>
      </c>
      <c r="I76" s="11">
        <f>IF($AB76="","",IF(INDEX(입력_기본자료!$G$2:$G$1001,$AB76)="","",IF(NOT(ISNUMBER(INDEX(입력_기본자료!$G$2:$G$1001,$AB76))),INDEX(입력_기본자료!$G$2:$G$1001,$AB76),IF(INDEX(입력_기본자료!$G$2:$G$1001,$AB76)&lt;1000000,INDEX(입력_기본자료!$G$2:$G$1001,$AB76),IF(AND(INDEX(입력_기본자료!$G$2:$G$1001,$AB76)&gt;=10000101,INT(MOD(INDEX(입력_기본자료!$G$2:$G$1001,$AB76),10000)/100)&gt;=1,INT(MOD(INDEX(입력_기본자료!$G$2:$G$1001,$AB76),10000)/100)&lt;=12,MOD(INDEX(입력_기본자료!$G$2:$G$1001,$AB76),100)&gt;=1,MOD(INDEX(입력_기본자료!$G$2:$G$1001,$AB76),100)&lt;=31),DATE(INT(INDEX(입력_기본자료!$G$2:$G$1001,$AB76)/10000),INT(MOD(INDEX(입력_기본자료!$G$2:$G$1001,$AB76),10000)/100),MOD(INDEX(입력_기본자료!$G$2:$G$1001,$AB76),100)),INDEX(입력_기본자료!$G$2:$G$1001,$AB76)&amp;"")))))</f>
        <v/>
      </c>
      <c r="J76" s="10">
        <f>IF($AB76="","",IF(INDEX(입력_기본자료!$H$2:$H$1001,$AB76)="","",INDEX(입력_기본자료!$H$2:$H$1001,$AB76)))</f>
        <v/>
      </c>
      <c r="K76" s="10">
        <f>IF($AB76="","",IF(INDEX(입력_기본자료!$I$2:$I$1001,$AB76)="","",INDEX(입력_기본자료!$I$2:$I$1001,$AB76)))</f>
        <v/>
      </c>
      <c r="L76" s="10">
        <f>IF($AB76="","",IF(INDEX(입력_기본자료!$A$2:$A$1001,$AB76)="","",INDEX(입력_기본자료!$A$2:$A$1001,$AB76)))</f>
        <v/>
      </c>
      <c r="M76" s="15" t="n"/>
      <c r="N76" s="10">
        <f>IF($B76="","",IF(AND($U76="파견중",$Q76&lt;&gt;""),$Q76,IF(AND($AD76&lt;&gt;"",LEFT($AD76,1)&lt;&gt;"⚠"),LEFT($AD76,FIND(" ",$AD76)-1),IF($H76="","",IF(RIGHT($H76,2)="병원",$H76,$H76&amp;"병원")))))</f>
        <v/>
      </c>
      <c r="O76" s="10">
        <f>IF($B76="","",IF(AND($U76="파견중",$Q76&lt;&gt;""),IF($R76&lt;&gt;"",$R76,"파견과 미입력"),IF(AND($AD76&lt;&gt;"",LEFT($AD76,1)&lt;&gt;"⚠"),MID($AD76,FIND(" ",$AD76)+1,60),IF($F76="","",IF($F76="인턴","수련교육부(인턴)",$F76)))))</f>
        <v/>
      </c>
      <c r="P76" s="10">
        <f>IF($B76="","",IF($AK76&lt;&gt;"",IF(AND(TODAY()&gt;=INDEX(입력_파견수련계획!$AB$4:$AB$803,$AK76),OR(NOT(ISNUMBER(INDEX(입력_파견수련계획!$AC$4:$AC$803,$AK76))),TODAY()&lt;=INDEX(입력_파견수련계획!$AC$4:$AC$803,$AK76))),"다기관",IF($AF76="","",INDEX(입력_파견수련계획!$T$4:$T$803,$AF76))),IF($AF76="","",INDEX(입력_파견수련계획!$T$4:$T$803,$AF76))))</f>
        <v/>
      </c>
      <c r="Q76" s="10">
        <f>IF($AF76="","",INDEX(입력_파견수련계획!$S$4:$S$803,$AF76))</f>
        <v/>
      </c>
      <c r="R76" s="10">
        <f>IF($AF76="","",INDEX(입력_파견수련계획!$U$4:$U$803,$AF76))</f>
        <v/>
      </c>
      <c r="S76" s="11">
        <f>IF($AF76="","",IF(INDEX(입력_파견수련계획!$H$4:$H$803,$AF76)="","",INDEX(입력_파견수련계획!$H$4:$H$803,$AF76)))</f>
        <v/>
      </c>
      <c r="T76" s="11">
        <f>IF($AF76="","",IF(INDEX(입력_파견수련계획!$I$4:$I$803,$AF76)="","",INDEX(입력_파견수련계획!$I$4:$I$803,$AF76)))</f>
        <v/>
      </c>
      <c r="U76" s="10">
        <f>IF($AF76="","",INDEX(입력_파견수련계획!$X$4:$X$803,$AF76))</f>
        <v/>
      </c>
      <c r="V76" s="17">
        <f>IF($AF76="","",INDEX(입력_파견수련계획!$V$4:$V$803,$AF76))</f>
        <v/>
      </c>
      <c r="W76" s="17">
        <f>IF(AND($U76="파견중",$T76&lt;&gt;""),$T76-TODAY(),"")</f>
        <v/>
      </c>
      <c r="X76" s="17">
        <f>IF(OR($B76="",TRIM($J76&amp;"")=""),"",SUMPRODUCT((입력_파견수련계획!$Q$4:$Q$803=TRIM($J76&amp;""))*입력_파견수련계획!$W$4:$W$803))</f>
        <v/>
      </c>
      <c r="Y76" s="10">
        <f>IF($B76="","",IF($AG76="","",IF(IF(TRIM($J76&amp;"")="",0,SUMPRODUCT((입력_파견수련계획!$Q$4:$Q$803=TRIM($J76&amp;""))*입력_파견수련계획!$AD$4:$AD$803))&gt;0,$AE76,IF(AND(N($X76)&lt;=0,$AQ76=""),$AG76,IF($AH76+$AI76=DAY(EOMONTH(출력_요약!$B$3,0)),IF(AND($AH76&gt;=출력_요약!$E$3,$AI76&lt;출력_요약!$E$3),"서울병원",IF(AND($AI76&gt;=출력_요약!$E$3,$AH76&lt;출력_요약!$E$3),"구리병원","⚠15일 판정불가(서울 "&amp;$AH76&amp;"일/구리 "&amp;$AI76&amp;"일)")),IF($AJ76="",$AE76,IF(INDEX(입력_파견수련계획!$T$4:$T$803,$AJ76)="통합수련",INDEX(입력_파견수련계획!$S$4:$S$803,$AJ76),$AE76)))))))</f>
        <v/>
      </c>
      <c r="Z76" s="20">
        <f>IF($B76="","",IF($AB76="","기본자료에 없는 사번",IF(COUNTIF($B$2:$B$401,$B76)&gt;1,"중복 사번",IF($AE76="","소속(입사장소) 입력",IF(IF(TRIM($J76&amp;"")="",0,SUMPRODUCT((입력_파견수련계획!$Q$4:$Q$803=TRIM($J76&amp;""))*(입력_파견수련계획!$AA$4:$AA$803&lt;&gt;"")))&gt;0,"파견수련계획 입력오류 확인",IF(LEFT($Y76,1)="⚠","서울·구리 15일 판정 불가(양쪽 모두 이상/미만)",IF(IF($AC76="",0,N(INDEX(입력_인턴근무계획!$T$3:$T$402,$AC76)))&gt;0,"인턴계획 입력오류 확인",IF(AND($AQ76&lt;&gt;"",$AG76&lt;&gt;"구리병원",IF(TRIM($J76&amp;"")="",0,SUMPRODUCT((입력_파견수련계획!$Q$4:$Q$803=TRIM($J76&amp;""))*(입력_파견수련계획!$S$4:$S$803="구리병원")*입력_파견수련계획!$W$4:$W$803))=0),"구리 근무자명단에만 있음(파견수련계획 확인)",IF(AND($AC76&lt;&gt;"",$U76&lt;&gt;"파견중",$N76&lt;&gt;$AE76),"인턴 타지역 근무: 파견 여부 확인","정상")))))))))</f>
        <v/>
      </c>
      <c r="AA76" s="5" t="n"/>
      <c r="AB76" s="10">
        <f>IF($B76="","",IFERROR(MATCH($B76,입력_기본자료!$B$2:$B$1001,0),IFERROR(MATCH($B76&amp;"",입력_기본자료!$B$2:$B$1001,0),IFERROR(MATCH(VALUE($B76),입력_기본자료!$B$2:$B$1001,0),""))))</f>
        <v/>
      </c>
      <c r="AC76" s="10">
        <f>IF($B76="","",IFERROR(MATCH($B76,입력_인턴근무계획!$D$3:$D$402,0),IFERROR(MATCH($B76&amp;"",입력_인턴근무계획!$D$3:$D$402,0),IFERROR(MATCH(VALUE($B76),입력_인턴근무계획!$D$3:$D$402,0),""))))</f>
        <v/>
      </c>
      <c r="AD76" s="10">
        <f>IF(OR($AC76="",출력_인턴현황!$G$3=""),"",INDEX(입력_인턴근무계획!$M$3:$R$402,$AC76,출력_인턴현황!$G$3)&amp;"")</f>
        <v/>
      </c>
      <c r="AE76" s="10">
        <f>IF($B76="","",IF($M76&lt;&gt;"",$M76,IF(IF($AQ76="",FALSE,INDEX(출력_구리근무자!$J$6:$J$305,$AQ76)="구리독자"),"구리병원",IF($AF76&lt;&gt;"",IF(LEFT(INDEX(입력_파견수련계획!$R$4:$R$803,$AF76),1)&lt;&gt;"⚠",INDEX(입력_파견수련계획!$R$4:$R$803,$AF76),IF($H76="","",IF(RIGHT($H76,2)="병원",$H76,$H76&amp;"병원"))),IF($H76="","",IF(RIGHT($H76,2)="병원",$H76,$H76&amp;"병원"))))))</f>
        <v/>
      </c>
      <c r="AF76" s="10">
        <f>IF(OR($B76="",TRIM($J76&amp;"")=""),"",IFERROR(MATCH(TRIM($J76&amp;"")&amp;"|파견중",입력_파견수련계획!$Y$4:$Y$803,0),IFERROR(MATCH(TRIM($J76&amp;"")&amp;"|파견예정",입력_파견수련계획!$Y$4:$Y$803,0),IFERROR(MATCH(TRIM($J76&amp;"")&amp;"|파견종료",입력_파견수련계획!$Y$4:$Y$803,0),""))))</f>
        <v/>
      </c>
      <c r="AG76" s="10">
        <f>IF($B76="","",IF(AND(IF(OR($AC76="",출력_인턴현황!$K$2=""),"",INDEX(입력_인턴근무계획!$M$3:$R$402,$AC76,출력_인턴현황!$K$2)&amp;"")&lt;&gt;"",LEFT(IF(OR($AC76="",출력_인턴현황!$K$2=""),"",INDEX(입력_인턴근무계획!$M$3:$R$402,$AC76,출력_인턴현황!$K$2)&amp;""),1)&lt;&gt;"⚠"),LEFT(IF(OR($AC76="",출력_인턴현황!$K$2=""),"",INDEX(입력_인턴근무계획!$M$3:$R$402,$AC76,출력_인턴현황!$K$2)&amp;""),FIND(" ",IF(OR($AC76="",출력_인턴현황!$K$2=""),"",INDEX(입력_인턴근무계획!$M$3:$R$402,$AC76,출력_인턴현황!$K$2)&amp;""))-1),$AE76))</f>
        <v/>
      </c>
      <c r="AH76" s="17">
        <f>IF($B76="","",IF($AQ76&lt;&gt;"",MAX(0,DAY(EOMONTH(출력_요약!$B$3,0))-N($AR76)),IF(TRIM($J76&amp;"")="",0,SUMPRODUCT((입력_파견수련계획!$Q$4:$Q$803=TRIM($J76&amp;""))*(입력_파견수련계획!$S$4:$S$803="서울병원")*입력_파견수련계획!$W$4:$W$803))+IF($AG76="서울병원",MAX(0,DAY(EOMONTH(출력_요약!$B$3,0))-N($X76)),0)))</f>
        <v/>
      </c>
      <c r="AI76" s="17">
        <f>IF($B76="","",IF($AQ76&lt;&gt;"",N($AR76),IF(TRIM($J76&amp;"")="",0,SUMPRODUCT((입력_파견수련계획!$Q$4:$Q$803=TRIM($J76&amp;""))*(입력_파견수련계획!$S$4:$S$803="구리병원")*입력_파견수련계획!$W$4:$W$803))+IF($AG76="구리병원",MAX(0,DAY(EOMONTH(출력_요약!$B$3,0))-N($X76)),0)))</f>
        <v/>
      </c>
      <c r="AJ76" s="10">
        <f>IF(OR($B76="",TRIM($J76&amp;"")=""),"",IFERROR(MATCH(TRIM($J76&amp;"")&amp;"|월",입력_파견수련계획!$Z$4:$Z$803,0),""))</f>
        <v/>
      </c>
      <c r="AK76" s="10">
        <f>IF(OR($B76="",TRIM($J76&amp;"")=""),"",IFERROR(MATCH(TRIM($J76&amp;"")&amp;"|다기관",입력_파견수련계획!$AE$4:$AE$803,0),""))</f>
        <v/>
      </c>
      <c r="AL76" s="10">
        <f>IF($AK76="","","다기관 "&amp;TEXT(INDEX(입력_파견수련계획!$AB$4:$AB$803,$AK76),"yyyy-mm-dd")&amp;"~"&amp;IF(ISNUMBER(INDEX(입력_파견수련계획!$AC$4:$AC$803,$AK76)),TEXT(INDEX(입력_파견수련계획!$AC$4:$AC$803,$AK76),"yyyy-mm-dd"),""))</f>
        <v/>
      </c>
      <c r="AM76" s="10">
        <f>IF($Y76="서울병원",COUNTIF($Y$2:$Y76,"서울병원"),"")</f>
        <v/>
      </c>
      <c r="AN76" s="10">
        <f>IF(LEFT($Y76,1)="⚠",COUNTIF($Y$2:$Y76,"⚠*"),"")</f>
        <v/>
      </c>
      <c r="AO76" s="10">
        <f>IF(OR($B76="",$Y76=""),"",IF(IF(TRIM($J76&amp;"")="",0,SUMPRODUCT((입력_파견수련계획!$Q$4:$Q$803=TRIM($J76&amp;""))*입력_파견수련계획!$AD$4:$AD$803))&gt;0,"다기관 기간 → 소속병원 지급",IF(AND(N($X76)&lt;=0,$AQ76=""),"파견 없음 → 그 달 근무병원 지급",IF($AH76+$AI76=DAY(EOMONTH(출력_요약!$B$3,0)),"서울 "&amp;$AH76&amp;"일 / 구리 "&amp;$AI76&amp;"일"&amp;IF($AQ76&lt;&gt;""," (구리 근무자명단 반영)","")&amp;" → 15일 이상 근무 병원 지급","타 병원 포함 → "&amp;IF($AJ76="","소속",INDEX(입력_파견수련계획!$T$4:$T$803,$AJ76))&amp;" 규칙"))))</f>
        <v/>
      </c>
      <c r="AP76" s="10">
        <f>IF($B76="","",$C76&amp;"|"&amp;$F76)</f>
        <v/>
      </c>
      <c r="AQ76" s="10">
        <f>IF($B76="","",IFERROR(MATCH(ROW()-1,출력_구리근무자!$K$6:$K$305,0),""))</f>
        <v/>
      </c>
      <c r="AR76" s="10">
        <f>IF($AQ76="","",INDEX(출력_구리근무자!$H$6:$H$305,$AQ76))</f>
        <v/>
      </c>
    </row>
    <row r="77">
      <c r="A77" s="10">
        <f>IF(B77="","",ROW()-1)</f>
        <v/>
      </c>
      <c r="B77" s="19" t="n"/>
      <c r="C77" s="10">
        <f>IF($AB77="","",IF(INDEX(입력_기본자료!$C$2:$C$1001,$AB77)="","",INDEX(입력_기본자료!$C$2:$C$1001,$AB77)))</f>
        <v/>
      </c>
      <c r="D77" s="10">
        <f>IF($AB77="","",IF(INDEX(입력_기본자료!$J$2:$J$1001,$AB77)="","",INDEX(입력_기본자료!$J$2:$J$1001,$AB77)))</f>
        <v/>
      </c>
      <c r="E77" s="11">
        <f>IF($AB77="","",IF(INDEX(입력_기본자료!$K$2:$K$1001,$AB77)="","",IF(NOT(ISNUMBER(INDEX(입력_기본자료!$K$2:$K$1001,$AB77))),INDEX(입력_기본자료!$K$2:$K$1001,$AB77),IF(INDEX(입력_기본자료!$K$2:$K$1001,$AB77)&lt;1000000,INDEX(입력_기본자료!$K$2:$K$1001,$AB77),IF(AND(INDEX(입력_기본자료!$K$2:$K$1001,$AB77)&gt;=10000101,INT(MOD(INDEX(입력_기본자료!$K$2:$K$1001,$AB77),10000)/100)&gt;=1,INT(MOD(INDEX(입력_기본자료!$K$2:$K$1001,$AB77),10000)/100)&lt;=12,MOD(INDEX(입력_기본자료!$K$2:$K$1001,$AB77),100)&gt;=1,MOD(INDEX(입력_기본자료!$K$2:$K$1001,$AB77),100)&lt;=31),DATE(INT(INDEX(입력_기본자료!$K$2:$K$1001,$AB77)/10000),INT(MOD(INDEX(입력_기본자료!$K$2:$K$1001,$AB77),10000)/100),MOD(INDEX(입력_기본자료!$K$2:$K$1001,$AB77),100)),INDEX(입력_기본자료!$K$2:$K$1001,$AB77)&amp;"")))))</f>
        <v/>
      </c>
      <c r="F77" s="10">
        <f>IF($AB77="","",IF(INDEX(입력_기본자료!$D$2:$D$1001,$AB77)="","",INDEX(입력_기본자료!$D$2:$D$1001,$AB77)))</f>
        <v/>
      </c>
      <c r="G77" s="10">
        <f>IF($AB77="","",IF(INDEX(입력_기본자료!$E$2:$E$1001,$AB77)="","",INDEX(입력_기본자료!$E$2:$E$1001,$AB77)))</f>
        <v/>
      </c>
      <c r="H77" s="10">
        <f>IF($AB77="","",IF(INDEX(입력_기본자료!$F$2:$F$1001,$AB77)="","",INDEX(입력_기본자료!$F$2:$F$1001,$AB77)))</f>
        <v/>
      </c>
      <c r="I77" s="11">
        <f>IF($AB77="","",IF(INDEX(입력_기본자료!$G$2:$G$1001,$AB77)="","",IF(NOT(ISNUMBER(INDEX(입력_기본자료!$G$2:$G$1001,$AB77))),INDEX(입력_기본자료!$G$2:$G$1001,$AB77),IF(INDEX(입력_기본자료!$G$2:$G$1001,$AB77)&lt;1000000,INDEX(입력_기본자료!$G$2:$G$1001,$AB77),IF(AND(INDEX(입력_기본자료!$G$2:$G$1001,$AB77)&gt;=10000101,INT(MOD(INDEX(입력_기본자료!$G$2:$G$1001,$AB77),10000)/100)&gt;=1,INT(MOD(INDEX(입력_기본자료!$G$2:$G$1001,$AB77),10000)/100)&lt;=12,MOD(INDEX(입력_기본자료!$G$2:$G$1001,$AB77),100)&gt;=1,MOD(INDEX(입력_기본자료!$G$2:$G$1001,$AB77),100)&lt;=31),DATE(INT(INDEX(입력_기본자료!$G$2:$G$1001,$AB77)/10000),INT(MOD(INDEX(입력_기본자료!$G$2:$G$1001,$AB77),10000)/100),MOD(INDEX(입력_기본자료!$G$2:$G$1001,$AB77),100)),INDEX(입력_기본자료!$G$2:$G$1001,$AB77)&amp;"")))))</f>
        <v/>
      </c>
      <c r="J77" s="10">
        <f>IF($AB77="","",IF(INDEX(입력_기본자료!$H$2:$H$1001,$AB77)="","",INDEX(입력_기본자료!$H$2:$H$1001,$AB77)))</f>
        <v/>
      </c>
      <c r="K77" s="10">
        <f>IF($AB77="","",IF(INDEX(입력_기본자료!$I$2:$I$1001,$AB77)="","",INDEX(입력_기본자료!$I$2:$I$1001,$AB77)))</f>
        <v/>
      </c>
      <c r="L77" s="10">
        <f>IF($AB77="","",IF(INDEX(입력_기본자료!$A$2:$A$1001,$AB77)="","",INDEX(입력_기본자료!$A$2:$A$1001,$AB77)))</f>
        <v/>
      </c>
      <c r="M77" s="15" t="n"/>
      <c r="N77" s="10">
        <f>IF($B77="","",IF(AND($U77="파견중",$Q77&lt;&gt;""),$Q77,IF(AND($AD77&lt;&gt;"",LEFT($AD77,1)&lt;&gt;"⚠"),LEFT($AD77,FIND(" ",$AD77)-1),IF($H77="","",IF(RIGHT($H77,2)="병원",$H77,$H77&amp;"병원")))))</f>
        <v/>
      </c>
      <c r="O77" s="10">
        <f>IF($B77="","",IF(AND($U77="파견중",$Q77&lt;&gt;""),IF($R77&lt;&gt;"",$R77,"파견과 미입력"),IF(AND($AD77&lt;&gt;"",LEFT($AD77,1)&lt;&gt;"⚠"),MID($AD77,FIND(" ",$AD77)+1,60),IF($F77="","",IF($F77="인턴","수련교육부(인턴)",$F77)))))</f>
        <v/>
      </c>
      <c r="P77" s="10">
        <f>IF($B77="","",IF($AK77&lt;&gt;"",IF(AND(TODAY()&gt;=INDEX(입력_파견수련계획!$AB$4:$AB$803,$AK77),OR(NOT(ISNUMBER(INDEX(입력_파견수련계획!$AC$4:$AC$803,$AK77))),TODAY()&lt;=INDEX(입력_파견수련계획!$AC$4:$AC$803,$AK77))),"다기관",IF($AF77="","",INDEX(입력_파견수련계획!$T$4:$T$803,$AF77))),IF($AF77="","",INDEX(입력_파견수련계획!$T$4:$T$803,$AF77))))</f>
        <v/>
      </c>
      <c r="Q77" s="10">
        <f>IF($AF77="","",INDEX(입력_파견수련계획!$S$4:$S$803,$AF77))</f>
        <v/>
      </c>
      <c r="R77" s="10">
        <f>IF($AF77="","",INDEX(입력_파견수련계획!$U$4:$U$803,$AF77))</f>
        <v/>
      </c>
      <c r="S77" s="11">
        <f>IF($AF77="","",IF(INDEX(입력_파견수련계획!$H$4:$H$803,$AF77)="","",INDEX(입력_파견수련계획!$H$4:$H$803,$AF77)))</f>
        <v/>
      </c>
      <c r="T77" s="11">
        <f>IF($AF77="","",IF(INDEX(입력_파견수련계획!$I$4:$I$803,$AF77)="","",INDEX(입력_파견수련계획!$I$4:$I$803,$AF77)))</f>
        <v/>
      </c>
      <c r="U77" s="10">
        <f>IF($AF77="","",INDEX(입력_파견수련계획!$X$4:$X$803,$AF77))</f>
        <v/>
      </c>
      <c r="V77" s="17">
        <f>IF($AF77="","",INDEX(입력_파견수련계획!$V$4:$V$803,$AF77))</f>
        <v/>
      </c>
      <c r="W77" s="17">
        <f>IF(AND($U77="파견중",$T77&lt;&gt;""),$T77-TODAY(),"")</f>
        <v/>
      </c>
      <c r="X77" s="17">
        <f>IF(OR($B77="",TRIM($J77&amp;"")=""),"",SUMPRODUCT((입력_파견수련계획!$Q$4:$Q$803=TRIM($J77&amp;""))*입력_파견수련계획!$W$4:$W$803))</f>
        <v/>
      </c>
      <c r="Y77" s="10">
        <f>IF($B77="","",IF($AG77="","",IF(IF(TRIM($J77&amp;"")="",0,SUMPRODUCT((입력_파견수련계획!$Q$4:$Q$803=TRIM($J77&amp;""))*입력_파견수련계획!$AD$4:$AD$803))&gt;0,$AE77,IF(AND(N($X77)&lt;=0,$AQ77=""),$AG77,IF($AH77+$AI77=DAY(EOMONTH(출력_요약!$B$3,0)),IF(AND($AH77&gt;=출력_요약!$E$3,$AI77&lt;출력_요약!$E$3),"서울병원",IF(AND($AI77&gt;=출력_요약!$E$3,$AH77&lt;출력_요약!$E$3),"구리병원","⚠15일 판정불가(서울 "&amp;$AH77&amp;"일/구리 "&amp;$AI77&amp;"일)")),IF($AJ77="",$AE77,IF(INDEX(입력_파견수련계획!$T$4:$T$803,$AJ77)="통합수련",INDEX(입력_파견수련계획!$S$4:$S$803,$AJ77),$AE77)))))))</f>
        <v/>
      </c>
      <c r="Z77" s="20">
        <f>IF($B77="","",IF($AB77="","기본자료에 없는 사번",IF(COUNTIF($B$2:$B$401,$B77)&gt;1,"중복 사번",IF($AE77="","소속(입사장소) 입력",IF(IF(TRIM($J77&amp;"")="",0,SUMPRODUCT((입력_파견수련계획!$Q$4:$Q$803=TRIM($J77&amp;""))*(입력_파견수련계획!$AA$4:$AA$803&lt;&gt;"")))&gt;0,"파견수련계획 입력오류 확인",IF(LEFT($Y77,1)="⚠","서울·구리 15일 판정 불가(양쪽 모두 이상/미만)",IF(IF($AC77="",0,N(INDEX(입력_인턴근무계획!$T$3:$T$402,$AC77)))&gt;0,"인턴계획 입력오류 확인",IF(AND($AQ77&lt;&gt;"",$AG77&lt;&gt;"구리병원",IF(TRIM($J77&amp;"")="",0,SUMPRODUCT((입력_파견수련계획!$Q$4:$Q$803=TRIM($J77&amp;""))*(입력_파견수련계획!$S$4:$S$803="구리병원")*입력_파견수련계획!$W$4:$W$803))=0),"구리 근무자명단에만 있음(파견수련계획 확인)",IF(AND($AC77&lt;&gt;"",$U77&lt;&gt;"파견중",$N77&lt;&gt;$AE77),"인턴 타지역 근무: 파견 여부 확인","정상")))))))))</f>
        <v/>
      </c>
      <c r="AA77" s="5" t="n"/>
      <c r="AB77" s="10">
        <f>IF($B77="","",IFERROR(MATCH($B77,입력_기본자료!$B$2:$B$1001,0),IFERROR(MATCH($B77&amp;"",입력_기본자료!$B$2:$B$1001,0),IFERROR(MATCH(VALUE($B77),입력_기본자료!$B$2:$B$1001,0),""))))</f>
        <v/>
      </c>
      <c r="AC77" s="10">
        <f>IF($B77="","",IFERROR(MATCH($B77,입력_인턴근무계획!$D$3:$D$402,0),IFERROR(MATCH($B77&amp;"",입력_인턴근무계획!$D$3:$D$402,0),IFERROR(MATCH(VALUE($B77),입력_인턴근무계획!$D$3:$D$402,0),""))))</f>
        <v/>
      </c>
      <c r="AD77" s="10">
        <f>IF(OR($AC77="",출력_인턴현황!$G$3=""),"",INDEX(입력_인턴근무계획!$M$3:$R$402,$AC77,출력_인턴현황!$G$3)&amp;"")</f>
        <v/>
      </c>
      <c r="AE77" s="10">
        <f>IF($B77="","",IF($M77&lt;&gt;"",$M77,IF(IF($AQ77="",FALSE,INDEX(출력_구리근무자!$J$6:$J$305,$AQ77)="구리독자"),"구리병원",IF($AF77&lt;&gt;"",IF(LEFT(INDEX(입력_파견수련계획!$R$4:$R$803,$AF77),1)&lt;&gt;"⚠",INDEX(입력_파견수련계획!$R$4:$R$803,$AF77),IF($H77="","",IF(RIGHT($H77,2)="병원",$H77,$H77&amp;"병원"))),IF($H77="","",IF(RIGHT($H77,2)="병원",$H77,$H77&amp;"병원"))))))</f>
        <v/>
      </c>
      <c r="AF77" s="10">
        <f>IF(OR($B77="",TRIM($J77&amp;"")=""),"",IFERROR(MATCH(TRIM($J77&amp;"")&amp;"|파견중",입력_파견수련계획!$Y$4:$Y$803,0),IFERROR(MATCH(TRIM($J77&amp;"")&amp;"|파견예정",입력_파견수련계획!$Y$4:$Y$803,0),IFERROR(MATCH(TRIM($J77&amp;"")&amp;"|파견종료",입력_파견수련계획!$Y$4:$Y$803,0),""))))</f>
        <v/>
      </c>
      <c r="AG77" s="10">
        <f>IF($B77="","",IF(AND(IF(OR($AC77="",출력_인턴현황!$K$2=""),"",INDEX(입력_인턴근무계획!$M$3:$R$402,$AC77,출력_인턴현황!$K$2)&amp;"")&lt;&gt;"",LEFT(IF(OR($AC77="",출력_인턴현황!$K$2=""),"",INDEX(입력_인턴근무계획!$M$3:$R$402,$AC77,출력_인턴현황!$K$2)&amp;""),1)&lt;&gt;"⚠"),LEFT(IF(OR($AC77="",출력_인턴현황!$K$2=""),"",INDEX(입력_인턴근무계획!$M$3:$R$402,$AC77,출력_인턴현황!$K$2)&amp;""),FIND(" ",IF(OR($AC77="",출력_인턴현황!$K$2=""),"",INDEX(입력_인턴근무계획!$M$3:$R$402,$AC77,출력_인턴현황!$K$2)&amp;""))-1),$AE77))</f>
        <v/>
      </c>
      <c r="AH77" s="17">
        <f>IF($B77="","",IF($AQ77&lt;&gt;"",MAX(0,DAY(EOMONTH(출력_요약!$B$3,0))-N($AR77)),IF(TRIM($J77&amp;"")="",0,SUMPRODUCT((입력_파견수련계획!$Q$4:$Q$803=TRIM($J77&amp;""))*(입력_파견수련계획!$S$4:$S$803="서울병원")*입력_파견수련계획!$W$4:$W$803))+IF($AG77="서울병원",MAX(0,DAY(EOMONTH(출력_요약!$B$3,0))-N($X77)),0)))</f>
        <v/>
      </c>
      <c r="AI77" s="17">
        <f>IF($B77="","",IF($AQ77&lt;&gt;"",N($AR77),IF(TRIM($J77&amp;"")="",0,SUMPRODUCT((입력_파견수련계획!$Q$4:$Q$803=TRIM($J77&amp;""))*(입력_파견수련계획!$S$4:$S$803="구리병원")*입력_파견수련계획!$W$4:$W$803))+IF($AG77="구리병원",MAX(0,DAY(EOMONTH(출력_요약!$B$3,0))-N($X77)),0)))</f>
        <v/>
      </c>
      <c r="AJ77" s="10">
        <f>IF(OR($B77="",TRIM($J77&amp;"")=""),"",IFERROR(MATCH(TRIM($J77&amp;"")&amp;"|월",입력_파견수련계획!$Z$4:$Z$803,0),""))</f>
        <v/>
      </c>
      <c r="AK77" s="10">
        <f>IF(OR($B77="",TRIM($J77&amp;"")=""),"",IFERROR(MATCH(TRIM($J77&amp;"")&amp;"|다기관",입력_파견수련계획!$AE$4:$AE$803,0),""))</f>
        <v/>
      </c>
      <c r="AL77" s="10">
        <f>IF($AK77="","","다기관 "&amp;TEXT(INDEX(입력_파견수련계획!$AB$4:$AB$803,$AK77),"yyyy-mm-dd")&amp;"~"&amp;IF(ISNUMBER(INDEX(입력_파견수련계획!$AC$4:$AC$803,$AK77)),TEXT(INDEX(입력_파견수련계획!$AC$4:$AC$803,$AK77),"yyyy-mm-dd"),""))</f>
        <v/>
      </c>
      <c r="AM77" s="10">
        <f>IF($Y77="서울병원",COUNTIF($Y$2:$Y77,"서울병원"),"")</f>
        <v/>
      </c>
      <c r="AN77" s="10">
        <f>IF(LEFT($Y77,1)="⚠",COUNTIF($Y$2:$Y77,"⚠*"),"")</f>
        <v/>
      </c>
      <c r="AO77" s="10">
        <f>IF(OR($B77="",$Y77=""),"",IF(IF(TRIM($J77&amp;"")="",0,SUMPRODUCT((입력_파견수련계획!$Q$4:$Q$803=TRIM($J77&amp;""))*입력_파견수련계획!$AD$4:$AD$803))&gt;0,"다기관 기간 → 소속병원 지급",IF(AND(N($X77)&lt;=0,$AQ77=""),"파견 없음 → 그 달 근무병원 지급",IF($AH77+$AI77=DAY(EOMONTH(출력_요약!$B$3,0)),"서울 "&amp;$AH77&amp;"일 / 구리 "&amp;$AI77&amp;"일"&amp;IF($AQ77&lt;&gt;""," (구리 근무자명단 반영)","")&amp;" → 15일 이상 근무 병원 지급","타 병원 포함 → "&amp;IF($AJ77="","소속",INDEX(입력_파견수련계획!$T$4:$T$803,$AJ77))&amp;" 규칙"))))</f>
        <v/>
      </c>
      <c r="AP77" s="10">
        <f>IF($B77="","",$C77&amp;"|"&amp;$F77)</f>
        <v/>
      </c>
      <c r="AQ77" s="10">
        <f>IF($B77="","",IFERROR(MATCH(ROW()-1,출력_구리근무자!$K$6:$K$305,0),""))</f>
        <v/>
      </c>
      <c r="AR77" s="10">
        <f>IF($AQ77="","",INDEX(출력_구리근무자!$H$6:$H$305,$AQ77))</f>
        <v/>
      </c>
    </row>
    <row r="78">
      <c r="A78" s="10">
        <f>IF(B78="","",ROW()-1)</f>
        <v/>
      </c>
      <c r="B78" s="19" t="n"/>
      <c r="C78" s="10">
        <f>IF($AB78="","",IF(INDEX(입력_기본자료!$C$2:$C$1001,$AB78)="","",INDEX(입력_기본자료!$C$2:$C$1001,$AB78)))</f>
        <v/>
      </c>
      <c r="D78" s="10">
        <f>IF($AB78="","",IF(INDEX(입력_기본자료!$J$2:$J$1001,$AB78)="","",INDEX(입력_기본자료!$J$2:$J$1001,$AB78)))</f>
        <v/>
      </c>
      <c r="E78" s="11">
        <f>IF($AB78="","",IF(INDEX(입력_기본자료!$K$2:$K$1001,$AB78)="","",IF(NOT(ISNUMBER(INDEX(입력_기본자료!$K$2:$K$1001,$AB78))),INDEX(입력_기본자료!$K$2:$K$1001,$AB78),IF(INDEX(입력_기본자료!$K$2:$K$1001,$AB78)&lt;1000000,INDEX(입력_기본자료!$K$2:$K$1001,$AB78),IF(AND(INDEX(입력_기본자료!$K$2:$K$1001,$AB78)&gt;=10000101,INT(MOD(INDEX(입력_기본자료!$K$2:$K$1001,$AB78),10000)/100)&gt;=1,INT(MOD(INDEX(입력_기본자료!$K$2:$K$1001,$AB78),10000)/100)&lt;=12,MOD(INDEX(입력_기본자료!$K$2:$K$1001,$AB78),100)&gt;=1,MOD(INDEX(입력_기본자료!$K$2:$K$1001,$AB78),100)&lt;=31),DATE(INT(INDEX(입력_기본자료!$K$2:$K$1001,$AB78)/10000),INT(MOD(INDEX(입력_기본자료!$K$2:$K$1001,$AB78),10000)/100),MOD(INDEX(입력_기본자료!$K$2:$K$1001,$AB78),100)),INDEX(입력_기본자료!$K$2:$K$1001,$AB78)&amp;"")))))</f>
        <v/>
      </c>
      <c r="F78" s="10">
        <f>IF($AB78="","",IF(INDEX(입력_기본자료!$D$2:$D$1001,$AB78)="","",INDEX(입력_기본자료!$D$2:$D$1001,$AB78)))</f>
        <v/>
      </c>
      <c r="G78" s="10">
        <f>IF($AB78="","",IF(INDEX(입력_기본자료!$E$2:$E$1001,$AB78)="","",INDEX(입력_기본자료!$E$2:$E$1001,$AB78)))</f>
        <v/>
      </c>
      <c r="H78" s="10">
        <f>IF($AB78="","",IF(INDEX(입력_기본자료!$F$2:$F$1001,$AB78)="","",INDEX(입력_기본자료!$F$2:$F$1001,$AB78)))</f>
        <v/>
      </c>
      <c r="I78" s="11">
        <f>IF($AB78="","",IF(INDEX(입력_기본자료!$G$2:$G$1001,$AB78)="","",IF(NOT(ISNUMBER(INDEX(입력_기본자료!$G$2:$G$1001,$AB78))),INDEX(입력_기본자료!$G$2:$G$1001,$AB78),IF(INDEX(입력_기본자료!$G$2:$G$1001,$AB78)&lt;1000000,INDEX(입력_기본자료!$G$2:$G$1001,$AB78),IF(AND(INDEX(입력_기본자료!$G$2:$G$1001,$AB78)&gt;=10000101,INT(MOD(INDEX(입력_기본자료!$G$2:$G$1001,$AB78),10000)/100)&gt;=1,INT(MOD(INDEX(입력_기본자료!$G$2:$G$1001,$AB78),10000)/100)&lt;=12,MOD(INDEX(입력_기본자료!$G$2:$G$1001,$AB78),100)&gt;=1,MOD(INDEX(입력_기본자료!$G$2:$G$1001,$AB78),100)&lt;=31),DATE(INT(INDEX(입력_기본자료!$G$2:$G$1001,$AB78)/10000),INT(MOD(INDEX(입력_기본자료!$G$2:$G$1001,$AB78),10000)/100),MOD(INDEX(입력_기본자료!$G$2:$G$1001,$AB78),100)),INDEX(입력_기본자료!$G$2:$G$1001,$AB78)&amp;"")))))</f>
        <v/>
      </c>
      <c r="J78" s="10">
        <f>IF($AB78="","",IF(INDEX(입력_기본자료!$H$2:$H$1001,$AB78)="","",INDEX(입력_기본자료!$H$2:$H$1001,$AB78)))</f>
        <v/>
      </c>
      <c r="K78" s="10">
        <f>IF($AB78="","",IF(INDEX(입력_기본자료!$I$2:$I$1001,$AB78)="","",INDEX(입력_기본자료!$I$2:$I$1001,$AB78)))</f>
        <v/>
      </c>
      <c r="L78" s="10">
        <f>IF($AB78="","",IF(INDEX(입력_기본자료!$A$2:$A$1001,$AB78)="","",INDEX(입력_기본자료!$A$2:$A$1001,$AB78)))</f>
        <v/>
      </c>
      <c r="M78" s="15" t="n"/>
      <c r="N78" s="10">
        <f>IF($B78="","",IF(AND($U78="파견중",$Q78&lt;&gt;""),$Q78,IF(AND($AD78&lt;&gt;"",LEFT($AD78,1)&lt;&gt;"⚠"),LEFT($AD78,FIND(" ",$AD78)-1),IF($H78="","",IF(RIGHT($H78,2)="병원",$H78,$H78&amp;"병원")))))</f>
        <v/>
      </c>
      <c r="O78" s="10">
        <f>IF($B78="","",IF(AND($U78="파견중",$Q78&lt;&gt;""),IF($R78&lt;&gt;"",$R78,"파견과 미입력"),IF(AND($AD78&lt;&gt;"",LEFT($AD78,1)&lt;&gt;"⚠"),MID($AD78,FIND(" ",$AD78)+1,60),IF($F78="","",IF($F78="인턴","수련교육부(인턴)",$F78)))))</f>
        <v/>
      </c>
      <c r="P78" s="10">
        <f>IF($B78="","",IF($AK78&lt;&gt;"",IF(AND(TODAY()&gt;=INDEX(입력_파견수련계획!$AB$4:$AB$803,$AK78),OR(NOT(ISNUMBER(INDEX(입력_파견수련계획!$AC$4:$AC$803,$AK78))),TODAY()&lt;=INDEX(입력_파견수련계획!$AC$4:$AC$803,$AK78))),"다기관",IF($AF78="","",INDEX(입력_파견수련계획!$T$4:$T$803,$AF78))),IF($AF78="","",INDEX(입력_파견수련계획!$T$4:$T$803,$AF78))))</f>
        <v/>
      </c>
      <c r="Q78" s="10">
        <f>IF($AF78="","",INDEX(입력_파견수련계획!$S$4:$S$803,$AF78))</f>
        <v/>
      </c>
      <c r="R78" s="10">
        <f>IF($AF78="","",INDEX(입력_파견수련계획!$U$4:$U$803,$AF78))</f>
        <v/>
      </c>
      <c r="S78" s="11">
        <f>IF($AF78="","",IF(INDEX(입력_파견수련계획!$H$4:$H$803,$AF78)="","",INDEX(입력_파견수련계획!$H$4:$H$803,$AF78)))</f>
        <v/>
      </c>
      <c r="T78" s="11">
        <f>IF($AF78="","",IF(INDEX(입력_파견수련계획!$I$4:$I$803,$AF78)="","",INDEX(입력_파견수련계획!$I$4:$I$803,$AF78)))</f>
        <v/>
      </c>
      <c r="U78" s="10">
        <f>IF($AF78="","",INDEX(입력_파견수련계획!$X$4:$X$803,$AF78))</f>
        <v/>
      </c>
      <c r="V78" s="17">
        <f>IF($AF78="","",INDEX(입력_파견수련계획!$V$4:$V$803,$AF78))</f>
        <v/>
      </c>
      <c r="W78" s="17">
        <f>IF(AND($U78="파견중",$T78&lt;&gt;""),$T78-TODAY(),"")</f>
        <v/>
      </c>
      <c r="X78" s="17">
        <f>IF(OR($B78="",TRIM($J78&amp;"")=""),"",SUMPRODUCT((입력_파견수련계획!$Q$4:$Q$803=TRIM($J78&amp;""))*입력_파견수련계획!$W$4:$W$803))</f>
        <v/>
      </c>
      <c r="Y78" s="10">
        <f>IF($B78="","",IF($AG78="","",IF(IF(TRIM($J78&amp;"")="",0,SUMPRODUCT((입력_파견수련계획!$Q$4:$Q$803=TRIM($J78&amp;""))*입력_파견수련계획!$AD$4:$AD$803))&gt;0,$AE78,IF(AND(N($X78)&lt;=0,$AQ78=""),$AG78,IF($AH78+$AI78=DAY(EOMONTH(출력_요약!$B$3,0)),IF(AND($AH78&gt;=출력_요약!$E$3,$AI78&lt;출력_요약!$E$3),"서울병원",IF(AND($AI78&gt;=출력_요약!$E$3,$AH78&lt;출력_요약!$E$3),"구리병원","⚠15일 판정불가(서울 "&amp;$AH78&amp;"일/구리 "&amp;$AI78&amp;"일)")),IF($AJ78="",$AE78,IF(INDEX(입력_파견수련계획!$T$4:$T$803,$AJ78)="통합수련",INDEX(입력_파견수련계획!$S$4:$S$803,$AJ78),$AE78)))))))</f>
        <v/>
      </c>
      <c r="Z78" s="20">
        <f>IF($B78="","",IF($AB78="","기본자료에 없는 사번",IF(COUNTIF($B$2:$B$401,$B78)&gt;1,"중복 사번",IF($AE78="","소속(입사장소) 입력",IF(IF(TRIM($J78&amp;"")="",0,SUMPRODUCT((입력_파견수련계획!$Q$4:$Q$803=TRIM($J78&amp;""))*(입력_파견수련계획!$AA$4:$AA$803&lt;&gt;"")))&gt;0,"파견수련계획 입력오류 확인",IF(LEFT($Y78,1)="⚠","서울·구리 15일 판정 불가(양쪽 모두 이상/미만)",IF(IF($AC78="",0,N(INDEX(입력_인턴근무계획!$T$3:$T$402,$AC78)))&gt;0,"인턴계획 입력오류 확인",IF(AND($AQ78&lt;&gt;"",$AG78&lt;&gt;"구리병원",IF(TRIM($J78&amp;"")="",0,SUMPRODUCT((입력_파견수련계획!$Q$4:$Q$803=TRIM($J78&amp;""))*(입력_파견수련계획!$S$4:$S$803="구리병원")*입력_파견수련계획!$W$4:$W$803))=0),"구리 근무자명단에만 있음(파견수련계획 확인)",IF(AND($AC78&lt;&gt;"",$U78&lt;&gt;"파견중",$N78&lt;&gt;$AE78),"인턴 타지역 근무: 파견 여부 확인","정상")))))))))</f>
        <v/>
      </c>
      <c r="AA78" s="5" t="n"/>
      <c r="AB78" s="10">
        <f>IF($B78="","",IFERROR(MATCH($B78,입력_기본자료!$B$2:$B$1001,0),IFERROR(MATCH($B78&amp;"",입력_기본자료!$B$2:$B$1001,0),IFERROR(MATCH(VALUE($B78),입력_기본자료!$B$2:$B$1001,0),""))))</f>
        <v/>
      </c>
      <c r="AC78" s="10">
        <f>IF($B78="","",IFERROR(MATCH($B78,입력_인턴근무계획!$D$3:$D$402,0),IFERROR(MATCH($B78&amp;"",입력_인턴근무계획!$D$3:$D$402,0),IFERROR(MATCH(VALUE($B78),입력_인턴근무계획!$D$3:$D$402,0),""))))</f>
        <v/>
      </c>
      <c r="AD78" s="10">
        <f>IF(OR($AC78="",출력_인턴현황!$G$3=""),"",INDEX(입력_인턴근무계획!$M$3:$R$402,$AC78,출력_인턴현황!$G$3)&amp;"")</f>
        <v/>
      </c>
      <c r="AE78" s="10">
        <f>IF($B78="","",IF($M78&lt;&gt;"",$M78,IF(IF($AQ78="",FALSE,INDEX(출력_구리근무자!$J$6:$J$305,$AQ78)="구리독자"),"구리병원",IF($AF78&lt;&gt;"",IF(LEFT(INDEX(입력_파견수련계획!$R$4:$R$803,$AF78),1)&lt;&gt;"⚠",INDEX(입력_파견수련계획!$R$4:$R$803,$AF78),IF($H78="","",IF(RIGHT($H78,2)="병원",$H78,$H78&amp;"병원"))),IF($H78="","",IF(RIGHT($H78,2)="병원",$H78,$H78&amp;"병원"))))))</f>
        <v/>
      </c>
      <c r="AF78" s="10">
        <f>IF(OR($B78="",TRIM($J78&amp;"")=""),"",IFERROR(MATCH(TRIM($J78&amp;"")&amp;"|파견중",입력_파견수련계획!$Y$4:$Y$803,0),IFERROR(MATCH(TRIM($J78&amp;"")&amp;"|파견예정",입력_파견수련계획!$Y$4:$Y$803,0),IFERROR(MATCH(TRIM($J78&amp;"")&amp;"|파견종료",입력_파견수련계획!$Y$4:$Y$803,0),""))))</f>
        <v/>
      </c>
      <c r="AG78" s="10">
        <f>IF($B78="","",IF(AND(IF(OR($AC78="",출력_인턴현황!$K$2=""),"",INDEX(입력_인턴근무계획!$M$3:$R$402,$AC78,출력_인턴현황!$K$2)&amp;"")&lt;&gt;"",LEFT(IF(OR($AC78="",출력_인턴현황!$K$2=""),"",INDEX(입력_인턴근무계획!$M$3:$R$402,$AC78,출력_인턴현황!$K$2)&amp;""),1)&lt;&gt;"⚠"),LEFT(IF(OR($AC78="",출력_인턴현황!$K$2=""),"",INDEX(입력_인턴근무계획!$M$3:$R$402,$AC78,출력_인턴현황!$K$2)&amp;""),FIND(" ",IF(OR($AC78="",출력_인턴현황!$K$2=""),"",INDEX(입력_인턴근무계획!$M$3:$R$402,$AC78,출력_인턴현황!$K$2)&amp;""))-1),$AE78))</f>
        <v/>
      </c>
      <c r="AH78" s="17">
        <f>IF($B78="","",IF($AQ78&lt;&gt;"",MAX(0,DAY(EOMONTH(출력_요약!$B$3,0))-N($AR78)),IF(TRIM($J78&amp;"")="",0,SUMPRODUCT((입력_파견수련계획!$Q$4:$Q$803=TRIM($J78&amp;""))*(입력_파견수련계획!$S$4:$S$803="서울병원")*입력_파견수련계획!$W$4:$W$803))+IF($AG78="서울병원",MAX(0,DAY(EOMONTH(출력_요약!$B$3,0))-N($X78)),0)))</f>
        <v/>
      </c>
      <c r="AI78" s="17">
        <f>IF($B78="","",IF($AQ78&lt;&gt;"",N($AR78),IF(TRIM($J78&amp;"")="",0,SUMPRODUCT((입력_파견수련계획!$Q$4:$Q$803=TRIM($J78&amp;""))*(입력_파견수련계획!$S$4:$S$803="구리병원")*입력_파견수련계획!$W$4:$W$803))+IF($AG78="구리병원",MAX(0,DAY(EOMONTH(출력_요약!$B$3,0))-N($X78)),0)))</f>
        <v/>
      </c>
      <c r="AJ78" s="10">
        <f>IF(OR($B78="",TRIM($J78&amp;"")=""),"",IFERROR(MATCH(TRIM($J78&amp;"")&amp;"|월",입력_파견수련계획!$Z$4:$Z$803,0),""))</f>
        <v/>
      </c>
      <c r="AK78" s="10">
        <f>IF(OR($B78="",TRIM($J78&amp;"")=""),"",IFERROR(MATCH(TRIM($J78&amp;"")&amp;"|다기관",입력_파견수련계획!$AE$4:$AE$803,0),""))</f>
        <v/>
      </c>
      <c r="AL78" s="10">
        <f>IF($AK78="","","다기관 "&amp;TEXT(INDEX(입력_파견수련계획!$AB$4:$AB$803,$AK78),"yyyy-mm-dd")&amp;"~"&amp;IF(ISNUMBER(INDEX(입력_파견수련계획!$AC$4:$AC$803,$AK78)),TEXT(INDEX(입력_파견수련계획!$AC$4:$AC$803,$AK78),"yyyy-mm-dd"),""))</f>
        <v/>
      </c>
      <c r="AM78" s="10">
        <f>IF($Y78="서울병원",COUNTIF($Y$2:$Y78,"서울병원"),"")</f>
        <v/>
      </c>
      <c r="AN78" s="10">
        <f>IF(LEFT($Y78,1)="⚠",COUNTIF($Y$2:$Y78,"⚠*"),"")</f>
        <v/>
      </c>
      <c r="AO78" s="10">
        <f>IF(OR($B78="",$Y78=""),"",IF(IF(TRIM($J78&amp;"")="",0,SUMPRODUCT((입력_파견수련계획!$Q$4:$Q$803=TRIM($J78&amp;""))*입력_파견수련계획!$AD$4:$AD$803))&gt;0,"다기관 기간 → 소속병원 지급",IF(AND(N($X78)&lt;=0,$AQ78=""),"파견 없음 → 그 달 근무병원 지급",IF($AH78+$AI78=DAY(EOMONTH(출력_요약!$B$3,0)),"서울 "&amp;$AH78&amp;"일 / 구리 "&amp;$AI78&amp;"일"&amp;IF($AQ78&lt;&gt;""," (구리 근무자명단 반영)","")&amp;" → 15일 이상 근무 병원 지급","타 병원 포함 → "&amp;IF($AJ78="","소속",INDEX(입력_파견수련계획!$T$4:$T$803,$AJ78))&amp;" 규칙"))))</f>
        <v/>
      </c>
      <c r="AP78" s="10">
        <f>IF($B78="","",$C78&amp;"|"&amp;$F78)</f>
        <v/>
      </c>
      <c r="AQ78" s="10">
        <f>IF($B78="","",IFERROR(MATCH(ROW()-1,출력_구리근무자!$K$6:$K$305,0),""))</f>
        <v/>
      </c>
      <c r="AR78" s="10">
        <f>IF($AQ78="","",INDEX(출력_구리근무자!$H$6:$H$305,$AQ78))</f>
        <v/>
      </c>
    </row>
    <row r="79">
      <c r="A79" s="10">
        <f>IF(B79="","",ROW()-1)</f>
        <v/>
      </c>
      <c r="B79" s="19" t="n"/>
      <c r="C79" s="10">
        <f>IF($AB79="","",IF(INDEX(입력_기본자료!$C$2:$C$1001,$AB79)="","",INDEX(입력_기본자료!$C$2:$C$1001,$AB79)))</f>
        <v/>
      </c>
      <c r="D79" s="10">
        <f>IF($AB79="","",IF(INDEX(입력_기본자료!$J$2:$J$1001,$AB79)="","",INDEX(입력_기본자료!$J$2:$J$1001,$AB79)))</f>
        <v/>
      </c>
      <c r="E79" s="11">
        <f>IF($AB79="","",IF(INDEX(입력_기본자료!$K$2:$K$1001,$AB79)="","",IF(NOT(ISNUMBER(INDEX(입력_기본자료!$K$2:$K$1001,$AB79))),INDEX(입력_기본자료!$K$2:$K$1001,$AB79),IF(INDEX(입력_기본자료!$K$2:$K$1001,$AB79)&lt;1000000,INDEX(입력_기본자료!$K$2:$K$1001,$AB79),IF(AND(INDEX(입력_기본자료!$K$2:$K$1001,$AB79)&gt;=10000101,INT(MOD(INDEX(입력_기본자료!$K$2:$K$1001,$AB79),10000)/100)&gt;=1,INT(MOD(INDEX(입력_기본자료!$K$2:$K$1001,$AB79),10000)/100)&lt;=12,MOD(INDEX(입력_기본자료!$K$2:$K$1001,$AB79),100)&gt;=1,MOD(INDEX(입력_기본자료!$K$2:$K$1001,$AB79),100)&lt;=31),DATE(INT(INDEX(입력_기본자료!$K$2:$K$1001,$AB79)/10000),INT(MOD(INDEX(입력_기본자료!$K$2:$K$1001,$AB79),10000)/100),MOD(INDEX(입력_기본자료!$K$2:$K$1001,$AB79),100)),INDEX(입력_기본자료!$K$2:$K$1001,$AB79)&amp;"")))))</f>
        <v/>
      </c>
      <c r="F79" s="10">
        <f>IF($AB79="","",IF(INDEX(입력_기본자료!$D$2:$D$1001,$AB79)="","",INDEX(입력_기본자료!$D$2:$D$1001,$AB79)))</f>
        <v/>
      </c>
      <c r="G79" s="10">
        <f>IF($AB79="","",IF(INDEX(입력_기본자료!$E$2:$E$1001,$AB79)="","",INDEX(입력_기본자료!$E$2:$E$1001,$AB79)))</f>
        <v/>
      </c>
      <c r="H79" s="10">
        <f>IF($AB79="","",IF(INDEX(입력_기본자료!$F$2:$F$1001,$AB79)="","",INDEX(입력_기본자료!$F$2:$F$1001,$AB79)))</f>
        <v/>
      </c>
      <c r="I79" s="11">
        <f>IF($AB79="","",IF(INDEX(입력_기본자료!$G$2:$G$1001,$AB79)="","",IF(NOT(ISNUMBER(INDEX(입력_기본자료!$G$2:$G$1001,$AB79))),INDEX(입력_기본자료!$G$2:$G$1001,$AB79),IF(INDEX(입력_기본자료!$G$2:$G$1001,$AB79)&lt;1000000,INDEX(입력_기본자료!$G$2:$G$1001,$AB79),IF(AND(INDEX(입력_기본자료!$G$2:$G$1001,$AB79)&gt;=10000101,INT(MOD(INDEX(입력_기본자료!$G$2:$G$1001,$AB79),10000)/100)&gt;=1,INT(MOD(INDEX(입력_기본자료!$G$2:$G$1001,$AB79),10000)/100)&lt;=12,MOD(INDEX(입력_기본자료!$G$2:$G$1001,$AB79),100)&gt;=1,MOD(INDEX(입력_기본자료!$G$2:$G$1001,$AB79),100)&lt;=31),DATE(INT(INDEX(입력_기본자료!$G$2:$G$1001,$AB79)/10000),INT(MOD(INDEX(입력_기본자료!$G$2:$G$1001,$AB79),10000)/100),MOD(INDEX(입력_기본자료!$G$2:$G$1001,$AB79),100)),INDEX(입력_기본자료!$G$2:$G$1001,$AB79)&amp;"")))))</f>
        <v/>
      </c>
      <c r="J79" s="10">
        <f>IF($AB79="","",IF(INDEX(입력_기본자료!$H$2:$H$1001,$AB79)="","",INDEX(입력_기본자료!$H$2:$H$1001,$AB79)))</f>
        <v/>
      </c>
      <c r="K79" s="10">
        <f>IF($AB79="","",IF(INDEX(입력_기본자료!$I$2:$I$1001,$AB79)="","",INDEX(입력_기본자료!$I$2:$I$1001,$AB79)))</f>
        <v/>
      </c>
      <c r="L79" s="10">
        <f>IF($AB79="","",IF(INDEX(입력_기본자료!$A$2:$A$1001,$AB79)="","",INDEX(입력_기본자료!$A$2:$A$1001,$AB79)))</f>
        <v/>
      </c>
      <c r="M79" s="15" t="n"/>
      <c r="N79" s="10">
        <f>IF($B79="","",IF(AND($U79="파견중",$Q79&lt;&gt;""),$Q79,IF(AND($AD79&lt;&gt;"",LEFT($AD79,1)&lt;&gt;"⚠"),LEFT($AD79,FIND(" ",$AD79)-1),IF($H79="","",IF(RIGHT($H79,2)="병원",$H79,$H79&amp;"병원")))))</f>
        <v/>
      </c>
      <c r="O79" s="10">
        <f>IF($B79="","",IF(AND($U79="파견중",$Q79&lt;&gt;""),IF($R79&lt;&gt;"",$R79,"파견과 미입력"),IF(AND($AD79&lt;&gt;"",LEFT($AD79,1)&lt;&gt;"⚠"),MID($AD79,FIND(" ",$AD79)+1,60),IF($F79="","",IF($F79="인턴","수련교육부(인턴)",$F79)))))</f>
        <v/>
      </c>
      <c r="P79" s="10">
        <f>IF($B79="","",IF($AK79&lt;&gt;"",IF(AND(TODAY()&gt;=INDEX(입력_파견수련계획!$AB$4:$AB$803,$AK79),OR(NOT(ISNUMBER(INDEX(입력_파견수련계획!$AC$4:$AC$803,$AK79))),TODAY()&lt;=INDEX(입력_파견수련계획!$AC$4:$AC$803,$AK79))),"다기관",IF($AF79="","",INDEX(입력_파견수련계획!$T$4:$T$803,$AF79))),IF($AF79="","",INDEX(입력_파견수련계획!$T$4:$T$803,$AF79))))</f>
        <v/>
      </c>
      <c r="Q79" s="10">
        <f>IF($AF79="","",INDEX(입력_파견수련계획!$S$4:$S$803,$AF79))</f>
        <v/>
      </c>
      <c r="R79" s="10">
        <f>IF($AF79="","",INDEX(입력_파견수련계획!$U$4:$U$803,$AF79))</f>
        <v/>
      </c>
      <c r="S79" s="11">
        <f>IF($AF79="","",IF(INDEX(입력_파견수련계획!$H$4:$H$803,$AF79)="","",INDEX(입력_파견수련계획!$H$4:$H$803,$AF79)))</f>
        <v/>
      </c>
      <c r="T79" s="11">
        <f>IF($AF79="","",IF(INDEX(입력_파견수련계획!$I$4:$I$803,$AF79)="","",INDEX(입력_파견수련계획!$I$4:$I$803,$AF79)))</f>
        <v/>
      </c>
      <c r="U79" s="10">
        <f>IF($AF79="","",INDEX(입력_파견수련계획!$X$4:$X$803,$AF79))</f>
        <v/>
      </c>
      <c r="V79" s="17">
        <f>IF($AF79="","",INDEX(입력_파견수련계획!$V$4:$V$803,$AF79))</f>
        <v/>
      </c>
      <c r="W79" s="17">
        <f>IF(AND($U79="파견중",$T79&lt;&gt;""),$T79-TODAY(),"")</f>
        <v/>
      </c>
      <c r="X79" s="17">
        <f>IF(OR($B79="",TRIM($J79&amp;"")=""),"",SUMPRODUCT((입력_파견수련계획!$Q$4:$Q$803=TRIM($J79&amp;""))*입력_파견수련계획!$W$4:$W$803))</f>
        <v/>
      </c>
      <c r="Y79" s="10">
        <f>IF($B79="","",IF($AG79="","",IF(IF(TRIM($J79&amp;"")="",0,SUMPRODUCT((입력_파견수련계획!$Q$4:$Q$803=TRIM($J79&amp;""))*입력_파견수련계획!$AD$4:$AD$803))&gt;0,$AE79,IF(AND(N($X79)&lt;=0,$AQ79=""),$AG79,IF($AH79+$AI79=DAY(EOMONTH(출력_요약!$B$3,0)),IF(AND($AH79&gt;=출력_요약!$E$3,$AI79&lt;출력_요약!$E$3),"서울병원",IF(AND($AI79&gt;=출력_요약!$E$3,$AH79&lt;출력_요약!$E$3),"구리병원","⚠15일 판정불가(서울 "&amp;$AH79&amp;"일/구리 "&amp;$AI79&amp;"일)")),IF($AJ79="",$AE79,IF(INDEX(입력_파견수련계획!$T$4:$T$803,$AJ79)="통합수련",INDEX(입력_파견수련계획!$S$4:$S$803,$AJ79),$AE79)))))))</f>
        <v/>
      </c>
      <c r="Z79" s="20">
        <f>IF($B79="","",IF($AB79="","기본자료에 없는 사번",IF(COUNTIF($B$2:$B$401,$B79)&gt;1,"중복 사번",IF($AE79="","소속(입사장소) 입력",IF(IF(TRIM($J79&amp;"")="",0,SUMPRODUCT((입력_파견수련계획!$Q$4:$Q$803=TRIM($J79&amp;""))*(입력_파견수련계획!$AA$4:$AA$803&lt;&gt;"")))&gt;0,"파견수련계획 입력오류 확인",IF(LEFT($Y79,1)="⚠","서울·구리 15일 판정 불가(양쪽 모두 이상/미만)",IF(IF($AC79="",0,N(INDEX(입력_인턴근무계획!$T$3:$T$402,$AC79)))&gt;0,"인턴계획 입력오류 확인",IF(AND($AQ79&lt;&gt;"",$AG79&lt;&gt;"구리병원",IF(TRIM($J79&amp;"")="",0,SUMPRODUCT((입력_파견수련계획!$Q$4:$Q$803=TRIM($J79&amp;""))*(입력_파견수련계획!$S$4:$S$803="구리병원")*입력_파견수련계획!$W$4:$W$803))=0),"구리 근무자명단에만 있음(파견수련계획 확인)",IF(AND($AC79&lt;&gt;"",$U79&lt;&gt;"파견중",$N79&lt;&gt;$AE79),"인턴 타지역 근무: 파견 여부 확인","정상")))))))))</f>
        <v/>
      </c>
      <c r="AA79" s="5" t="n"/>
      <c r="AB79" s="10">
        <f>IF($B79="","",IFERROR(MATCH($B79,입력_기본자료!$B$2:$B$1001,0),IFERROR(MATCH($B79&amp;"",입력_기본자료!$B$2:$B$1001,0),IFERROR(MATCH(VALUE($B79),입력_기본자료!$B$2:$B$1001,0),""))))</f>
        <v/>
      </c>
      <c r="AC79" s="10">
        <f>IF($B79="","",IFERROR(MATCH($B79,입력_인턴근무계획!$D$3:$D$402,0),IFERROR(MATCH($B79&amp;"",입력_인턴근무계획!$D$3:$D$402,0),IFERROR(MATCH(VALUE($B79),입력_인턴근무계획!$D$3:$D$402,0),""))))</f>
        <v/>
      </c>
      <c r="AD79" s="10">
        <f>IF(OR($AC79="",출력_인턴현황!$G$3=""),"",INDEX(입력_인턴근무계획!$M$3:$R$402,$AC79,출력_인턴현황!$G$3)&amp;"")</f>
        <v/>
      </c>
      <c r="AE79" s="10">
        <f>IF($B79="","",IF($M79&lt;&gt;"",$M79,IF(IF($AQ79="",FALSE,INDEX(출력_구리근무자!$J$6:$J$305,$AQ79)="구리독자"),"구리병원",IF($AF79&lt;&gt;"",IF(LEFT(INDEX(입력_파견수련계획!$R$4:$R$803,$AF79),1)&lt;&gt;"⚠",INDEX(입력_파견수련계획!$R$4:$R$803,$AF79),IF($H79="","",IF(RIGHT($H79,2)="병원",$H79,$H79&amp;"병원"))),IF($H79="","",IF(RIGHT($H79,2)="병원",$H79,$H79&amp;"병원"))))))</f>
        <v/>
      </c>
      <c r="AF79" s="10">
        <f>IF(OR($B79="",TRIM($J79&amp;"")=""),"",IFERROR(MATCH(TRIM($J79&amp;"")&amp;"|파견중",입력_파견수련계획!$Y$4:$Y$803,0),IFERROR(MATCH(TRIM($J79&amp;"")&amp;"|파견예정",입력_파견수련계획!$Y$4:$Y$803,0),IFERROR(MATCH(TRIM($J79&amp;"")&amp;"|파견종료",입력_파견수련계획!$Y$4:$Y$803,0),""))))</f>
        <v/>
      </c>
      <c r="AG79" s="10">
        <f>IF($B79="","",IF(AND(IF(OR($AC79="",출력_인턴현황!$K$2=""),"",INDEX(입력_인턴근무계획!$M$3:$R$402,$AC79,출력_인턴현황!$K$2)&amp;"")&lt;&gt;"",LEFT(IF(OR($AC79="",출력_인턴현황!$K$2=""),"",INDEX(입력_인턴근무계획!$M$3:$R$402,$AC79,출력_인턴현황!$K$2)&amp;""),1)&lt;&gt;"⚠"),LEFT(IF(OR($AC79="",출력_인턴현황!$K$2=""),"",INDEX(입력_인턴근무계획!$M$3:$R$402,$AC79,출력_인턴현황!$K$2)&amp;""),FIND(" ",IF(OR($AC79="",출력_인턴현황!$K$2=""),"",INDEX(입력_인턴근무계획!$M$3:$R$402,$AC79,출력_인턴현황!$K$2)&amp;""))-1),$AE79))</f>
        <v/>
      </c>
      <c r="AH79" s="17">
        <f>IF($B79="","",IF($AQ79&lt;&gt;"",MAX(0,DAY(EOMONTH(출력_요약!$B$3,0))-N($AR79)),IF(TRIM($J79&amp;"")="",0,SUMPRODUCT((입력_파견수련계획!$Q$4:$Q$803=TRIM($J79&amp;""))*(입력_파견수련계획!$S$4:$S$803="서울병원")*입력_파견수련계획!$W$4:$W$803))+IF($AG79="서울병원",MAX(0,DAY(EOMONTH(출력_요약!$B$3,0))-N($X79)),0)))</f>
        <v/>
      </c>
      <c r="AI79" s="17">
        <f>IF($B79="","",IF($AQ79&lt;&gt;"",N($AR79),IF(TRIM($J79&amp;"")="",0,SUMPRODUCT((입력_파견수련계획!$Q$4:$Q$803=TRIM($J79&amp;""))*(입력_파견수련계획!$S$4:$S$803="구리병원")*입력_파견수련계획!$W$4:$W$803))+IF($AG79="구리병원",MAX(0,DAY(EOMONTH(출력_요약!$B$3,0))-N($X79)),0)))</f>
        <v/>
      </c>
      <c r="AJ79" s="10">
        <f>IF(OR($B79="",TRIM($J79&amp;"")=""),"",IFERROR(MATCH(TRIM($J79&amp;"")&amp;"|월",입력_파견수련계획!$Z$4:$Z$803,0),""))</f>
        <v/>
      </c>
      <c r="AK79" s="10">
        <f>IF(OR($B79="",TRIM($J79&amp;"")=""),"",IFERROR(MATCH(TRIM($J79&amp;"")&amp;"|다기관",입력_파견수련계획!$AE$4:$AE$803,0),""))</f>
        <v/>
      </c>
      <c r="AL79" s="10">
        <f>IF($AK79="","","다기관 "&amp;TEXT(INDEX(입력_파견수련계획!$AB$4:$AB$803,$AK79),"yyyy-mm-dd")&amp;"~"&amp;IF(ISNUMBER(INDEX(입력_파견수련계획!$AC$4:$AC$803,$AK79)),TEXT(INDEX(입력_파견수련계획!$AC$4:$AC$803,$AK79),"yyyy-mm-dd"),""))</f>
        <v/>
      </c>
      <c r="AM79" s="10">
        <f>IF($Y79="서울병원",COUNTIF($Y$2:$Y79,"서울병원"),"")</f>
        <v/>
      </c>
      <c r="AN79" s="10">
        <f>IF(LEFT($Y79,1)="⚠",COUNTIF($Y$2:$Y79,"⚠*"),"")</f>
        <v/>
      </c>
      <c r="AO79" s="10">
        <f>IF(OR($B79="",$Y79=""),"",IF(IF(TRIM($J79&amp;"")="",0,SUMPRODUCT((입력_파견수련계획!$Q$4:$Q$803=TRIM($J79&amp;""))*입력_파견수련계획!$AD$4:$AD$803))&gt;0,"다기관 기간 → 소속병원 지급",IF(AND(N($X79)&lt;=0,$AQ79=""),"파견 없음 → 그 달 근무병원 지급",IF($AH79+$AI79=DAY(EOMONTH(출력_요약!$B$3,0)),"서울 "&amp;$AH79&amp;"일 / 구리 "&amp;$AI79&amp;"일"&amp;IF($AQ79&lt;&gt;""," (구리 근무자명단 반영)","")&amp;" → 15일 이상 근무 병원 지급","타 병원 포함 → "&amp;IF($AJ79="","소속",INDEX(입력_파견수련계획!$T$4:$T$803,$AJ79))&amp;" 규칙"))))</f>
        <v/>
      </c>
      <c r="AP79" s="10">
        <f>IF($B79="","",$C79&amp;"|"&amp;$F79)</f>
        <v/>
      </c>
      <c r="AQ79" s="10">
        <f>IF($B79="","",IFERROR(MATCH(ROW()-1,출력_구리근무자!$K$6:$K$305,0),""))</f>
        <v/>
      </c>
      <c r="AR79" s="10">
        <f>IF($AQ79="","",INDEX(출력_구리근무자!$H$6:$H$305,$AQ79))</f>
        <v/>
      </c>
    </row>
    <row r="80">
      <c r="A80" s="10">
        <f>IF(B80="","",ROW()-1)</f>
        <v/>
      </c>
      <c r="B80" s="19" t="n"/>
      <c r="C80" s="10">
        <f>IF($AB80="","",IF(INDEX(입력_기본자료!$C$2:$C$1001,$AB80)="","",INDEX(입력_기본자료!$C$2:$C$1001,$AB80)))</f>
        <v/>
      </c>
      <c r="D80" s="10">
        <f>IF($AB80="","",IF(INDEX(입력_기본자료!$J$2:$J$1001,$AB80)="","",INDEX(입력_기본자료!$J$2:$J$1001,$AB80)))</f>
        <v/>
      </c>
      <c r="E80" s="11">
        <f>IF($AB80="","",IF(INDEX(입력_기본자료!$K$2:$K$1001,$AB80)="","",IF(NOT(ISNUMBER(INDEX(입력_기본자료!$K$2:$K$1001,$AB80))),INDEX(입력_기본자료!$K$2:$K$1001,$AB80),IF(INDEX(입력_기본자료!$K$2:$K$1001,$AB80)&lt;1000000,INDEX(입력_기본자료!$K$2:$K$1001,$AB80),IF(AND(INDEX(입력_기본자료!$K$2:$K$1001,$AB80)&gt;=10000101,INT(MOD(INDEX(입력_기본자료!$K$2:$K$1001,$AB80),10000)/100)&gt;=1,INT(MOD(INDEX(입력_기본자료!$K$2:$K$1001,$AB80),10000)/100)&lt;=12,MOD(INDEX(입력_기본자료!$K$2:$K$1001,$AB80),100)&gt;=1,MOD(INDEX(입력_기본자료!$K$2:$K$1001,$AB80),100)&lt;=31),DATE(INT(INDEX(입력_기본자료!$K$2:$K$1001,$AB80)/10000),INT(MOD(INDEX(입력_기본자료!$K$2:$K$1001,$AB80),10000)/100),MOD(INDEX(입력_기본자료!$K$2:$K$1001,$AB80),100)),INDEX(입력_기본자료!$K$2:$K$1001,$AB80)&amp;"")))))</f>
        <v/>
      </c>
      <c r="F80" s="10">
        <f>IF($AB80="","",IF(INDEX(입력_기본자료!$D$2:$D$1001,$AB80)="","",INDEX(입력_기본자료!$D$2:$D$1001,$AB80)))</f>
        <v/>
      </c>
      <c r="G80" s="10">
        <f>IF($AB80="","",IF(INDEX(입력_기본자료!$E$2:$E$1001,$AB80)="","",INDEX(입력_기본자료!$E$2:$E$1001,$AB80)))</f>
        <v/>
      </c>
      <c r="H80" s="10">
        <f>IF($AB80="","",IF(INDEX(입력_기본자료!$F$2:$F$1001,$AB80)="","",INDEX(입력_기본자료!$F$2:$F$1001,$AB80)))</f>
        <v/>
      </c>
      <c r="I80" s="11">
        <f>IF($AB80="","",IF(INDEX(입력_기본자료!$G$2:$G$1001,$AB80)="","",IF(NOT(ISNUMBER(INDEX(입력_기본자료!$G$2:$G$1001,$AB80))),INDEX(입력_기본자료!$G$2:$G$1001,$AB80),IF(INDEX(입력_기본자료!$G$2:$G$1001,$AB80)&lt;1000000,INDEX(입력_기본자료!$G$2:$G$1001,$AB80),IF(AND(INDEX(입력_기본자료!$G$2:$G$1001,$AB80)&gt;=10000101,INT(MOD(INDEX(입력_기본자료!$G$2:$G$1001,$AB80),10000)/100)&gt;=1,INT(MOD(INDEX(입력_기본자료!$G$2:$G$1001,$AB80),10000)/100)&lt;=12,MOD(INDEX(입력_기본자료!$G$2:$G$1001,$AB80),100)&gt;=1,MOD(INDEX(입력_기본자료!$G$2:$G$1001,$AB80),100)&lt;=31),DATE(INT(INDEX(입력_기본자료!$G$2:$G$1001,$AB80)/10000),INT(MOD(INDEX(입력_기본자료!$G$2:$G$1001,$AB80),10000)/100),MOD(INDEX(입력_기본자료!$G$2:$G$1001,$AB80),100)),INDEX(입력_기본자료!$G$2:$G$1001,$AB80)&amp;"")))))</f>
        <v/>
      </c>
      <c r="J80" s="10">
        <f>IF($AB80="","",IF(INDEX(입력_기본자료!$H$2:$H$1001,$AB80)="","",INDEX(입력_기본자료!$H$2:$H$1001,$AB80)))</f>
        <v/>
      </c>
      <c r="K80" s="10">
        <f>IF($AB80="","",IF(INDEX(입력_기본자료!$I$2:$I$1001,$AB80)="","",INDEX(입력_기본자료!$I$2:$I$1001,$AB80)))</f>
        <v/>
      </c>
      <c r="L80" s="10">
        <f>IF($AB80="","",IF(INDEX(입력_기본자료!$A$2:$A$1001,$AB80)="","",INDEX(입력_기본자료!$A$2:$A$1001,$AB80)))</f>
        <v/>
      </c>
      <c r="M80" s="15" t="n"/>
      <c r="N80" s="10">
        <f>IF($B80="","",IF(AND($U80="파견중",$Q80&lt;&gt;""),$Q80,IF(AND($AD80&lt;&gt;"",LEFT($AD80,1)&lt;&gt;"⚠"),LEFT($AD80,FIND(" ",$AD80)-1),IF($H80="","",IF(RIGHT($H80,2)="병원",$H80,$H80&amp;"병원")))))</f>
        <v/>
      </c>
      <c r="O80" s="10">
        <f>IF($B80="","",IF(AND($U80="파견중",$Q80&lt;&gt;""),IF($R80&lt;&gt;"",$R80,"파견과 미입력"),IF(AND($AD80&lt;&gt;"",LEFT($AD80,1)&lt;&gt;"⚠"),MID($AD80,FIND(" ",$AD80)+1,60),IF($F80="","",IF($F80="인턴","수련교육부(인턴)",$F80)))))</f>
        <v/>
      </c>
      <c r="P80" s="10">
        <f>IF($B80="","",IF($AK80&lt;&gt;"",IF(AND(TODAY()&gt;=INDEX(입력_파견수련계획!$AB$4:$AB$803,$AK80),OR(NOT(ISNUMBER(INDEX(입력_파견수련계획!$AC$4:$AC$803,$AK80))),TODAY()&lt;=INDEX(입력_파견수련계획!$AC$4:$AC$803,$AK80))),"다기관",IF($AF80="","",INDEX(입력_파견수련계획!$T$4:$T$803,$AF80))),IF($AF80="","",INDEX(입력_파견수련계획!$T$4:$T$803,$AF80))))</f>
        <v/>
      </c>
      <c r="Q80" s="10">
        <f>IF($AF80="","",INDEX(입력_파견수련계획!$S$4:$S$803,$AF80))</f>
        <v/>
      </c>
      <c r="R80" s="10">
        <f>IF($AF80="","",INDEX(입력_파견수련계획!$U$4:$U$803,$AF80))</f>
        <v/>
      </c>
      <c r="S80" s="11">
        <f>IF($AF80="","",IF(INDEX(입력_파견수련계획!$H$4:$H$803,$AF80)="","",INDEX(입력_파견수련계획!$H$4:$H$803,$AF80)))</f>
        <v/>
      </c>
      <c r="T80" s="11">
        <f>IF($AF80="","",IF(INDEX(입력_파견수련계획!$I$4:$I$803,$AF80)="","",INDEX(입력_파견수련계획!$I$4:$I$803,$AF80)))</f>
        <v/>
      </c>
      <c r="U80" s="10">
        <f>IF($AF80="","",INDEX(입력_파견수련계획!$X$4:$X$803,$AF80))</f>
        <v/>
      </c>
      <c r="V80" s="17">
        <f>IF($AF80="","",INDEX(입력_파견수련계획!$V$4:$V$803,$AF80))</f>
        <v/>
      </c>
      <c r="W80" s="17">
        <f>IF(AND($U80="파견중",$T80&lt;&gt;""),$T80-TODAY(),"")</f>
        <v/>
      </c>
      <c r="X80" s="17">
        <f>IF(OR($B80="",TRIM($J80&amp;"")=""),"",SUMPRODUCT((입력_파견수련계획!$Q$4:$Q$803=TRIM($J80&amp;""))*입력_파견수련계획!$W$4:$W$803))</f>
        <v/>
      </c>
      <c r="Y80" s="10">
        <f>IF($B80="","",IF($AG80="","",IF(IF(TRIM($J80&amp;"")="",0,SUMPRODUCT((입력_파견수련계획!$Q$4:$Q$803=TRIM($J80&amp;""))*입력_파견수련계획!$AD$4:$AD$803))&gt;0,$AE80,IF(AND(N($X80)&lt;=0,$AQ80=""),$AG80,IF($AH80+$AI80=DAY(EOMONTH(출력_요약!$B$3,0)),IF(AND($AH80&gt;=출력_요약!$E$3,$AI80&lt;출력_요약!$E$3),"서울병원",IF(AND($AI80&gt;=출력_요약!$E$3,$AH80&lt;출력_요약!$E$3),"구리병원","⚠15일 판정불가(서울 "&amp;$AH80&amp;"일/구리 "&amp;$AI80&amp;"일)")),IF($AJ80="",$AE80,IF(INDEX(입력_파견수련계획!$T$4:$T$803,$AJ80)="통합수련",INDEX(입력_파견수련계획!$S$4:$S$803,$AJ80),$AE80)))))))</f>
        <v/>
      </c>
      <c r="Z80" s="20">
        <f>IF($B80="","",IF($AB80="","기본자료에 없는 사번",IF(COUNTIF($B$2:$B$401,$B80)&gt;1,"중복 사번",IF($AE80="","소속(입사장소) 입력",IF(IF(TRIM($J80&amp;"")="",0,SUMPRODUCT((입력_파견수련계획!$Q$4:$Q$803=TRIM($J80&amp;""))*(입력_파견수련계획!$AA$4:$AA$803&lt;&gt;"")))&gt;0,"파견수련계획 입력오류 확인",IF(LEFT($Y80,1)="⚠","서울·구리 15일 판정 불가(양쪽 모두 이상/미만)",IF(IF($AC80="",0,N(INDEX(입력_인턴근무계획!$T$3:$T$402,$AC80)))&gt;0,"인턴계획 입력오류 확인",IF(AND($AQ80&lt;&gt;"",$AG80&lt;&gt;"구리병원",IF(TRIM($J80&amp;"")="",0,SUMPRODUCT((입력_파견수련계획!$Q$4:$Q$803=TRIM($J80&amp;""))*(입력_파견수련계획!$S$4:$S$803="구리병원")*입력_파견수련계획!$W$4:$W$803))=0),"구리 근무자명단에만 있음(파견수련계획 확인)",IF(AND($AC80&lt;&gt;"",$U80&lt;&gt;"파견중",$N80&lt;&gt;$AE80),"인턴 타지역 근무: 파견 여부 확인","정상")))))))))</f>
        <v/>
      </c>
      <c r="AA80" s="5" t="n"/>
      <c r="AB80" s="10">
        <f>IF($B80="","",IFERROR(MATCH($B80,입력_기본자료!$B$2:$B$1001,0),IFERROR(MATCH($B80&amp;"",입력_기본자료!$B$2:$B$1001,0),IFERROR(MATCH(VALUE($B80),입력_기본자료!$B$2:$B$1001,0),""))))</f>
        <v/>
      </c>
      <c r="AC80" s="10">
        <f>IF($B80="","",IFERROR(MATCH($B80,입력_인턴근무계획!$D$3:$D$402,0),IFERROR(MATCH($B80&amp;"",입력_인턴근무계획!$D$3:$D$402,0),IFERROR(MATCH(VALUE($B80),입력_인턴근무계획!$D$3:$D$402,0),""))))</f>
        <v/>
      </c>
      <c r="AD80" s="10">
        <f>IF(OR($AC80="",출력_인턴현황!$G$3=""),"",INDEX(입력_인턴근무계획!$M$3:$R$402,$AC80,출력_인턴현황!$G$3)&amp;"")</f>
        <v/>
      </c>
      <c r="AE80" s="10">
        <f>IF($B80="","",IF($M80&lt;&gt;"",$M80,IF(IF($AQ80="",FALSE,INDEX(출력_구리근무자!$J$6:$J$305,$AQ80)="구리독자"),"구리병원",IF($AF80&lt;&gt;"",IF(LEFT(INDEX(입력_파견수련계획!$R$4:$R$803,$AF80),1)&lt;&gt;"⚠",INDEX(입력_파견수련계획!$R$4:$R$803,$AF80),IF($H80="","",IF(RIGHT($H80,2)="병원",$H80,$H80&amp;"병원"))),IF($H80="","",IF(RIGHT($H80,2)="병원",$H80,$H80&amp;"병원"))))))</f>
        <v/>
      </c>
      <c r="AF80" s="10">
        <f>IF(OR($B80="",TRIM($J80&amp;"")=""),"",IFERROR(MATCH(TRIM($J80&amp;"")&amp;"|파견중",입력_파견수련계획!$Y$4:$Y$803,0),IFERROR(MATCH(TRIM($J80&amp;"")&amp;"|파견예정",입력_파견수련계획!$Y$4:$Y$803,0),IFERROR(MATCH(TRIM($J80&amp;"")&amp;"|파견종료",입력_파견수련계획!$Y$4:$Y$803,0),""))))</f>
        <v/>
      </c>
      <c r="AG80" s="10">
        <f>IF($B80="","",IF(AND(IF(OR($AC80="",출력_인턴현황!$K$2=""),"",INDEX(입력_인턴근무계획!$M$3:$R$402,$AC80,출력_인턴현황!$K$2)&amp;"")&lt;&gt;"",LEFT(IF(OR($AC80="",출력_인턴현황!$K$2=""),"",INDEX(입력_인턴근무계획!$M$3:$R$402,$AC80,출력_인턴현황!$K$2)&amp;""),1)&lt;&gt;"⚠"),LEFT(IF(OR($AC80="",출력_인턴현황!$K$2=""),"",INDEX(입력_인턴근무계획!$M$3:$R$402,$AC80,출력_인턴현황!$K$2)&amp;""),FIND(" ",IF(OR($AC80="",출력_인턴현황!$K$2=""),"",INDEX(입력_인턴근무계획!$M$3:$R$402,$AC80,출력_인턴현황!$K$2)&amp;""))-1),$AE80))</f>
        <v/>
      </c>
      <c r="AH80" s="17">
        <f>IF($B80="","",IF($AQ80&lt;&gt;"",MAX(0,DAY(EOMONTH(출력_요약!$B$3,0))-N($AR80)),IF(TRIM($J80&amp;"")="",0,SUMPRODUCT((입력_파견수련계획!$Q$4:$Q$803=TRIM($J80&amp;""))*(입력_파견수련계획!$S$4:$S$803="서울병원")*입력_파견수련계획!$W$4:$W$803))+IF($AG80="서울병원",MAX(0,DAY(EOMONTH(출력_요약!$B$3,0))-N($X80)),0)))</f>
        <v/>
      </c>
      <c r="AI80" s="17">
        <f>IF($B80="","",IF($AQ80&lt;&gt;"",N($AR80),IF(TRIM($J80&amp;"")="",0,SUMPRODUCT((입력_파견수련계획!$Q$4:$Q$803=TRIM($J80&amp;""))*(입력_파견수련계획!$S$4:$S$803="구리병원")*입력_파견수련계획!$W$4:$W$803))+IF($AG80="구리병원",MAX(0,DAY(EOMONTH(출력_요약!$B$3,0))-N($X80)),0)))</f>
        <v/>
      </c>
      <c r="AJ80" s="10">
        <f>IF(OR($B80="",TRIM($J80&amp;"")=""),"",IFERROR(MATCH(TRIM($J80&amp;"")&amp;"|월",입력_파견수련계획!$Z$4:$Z$803,0),""))</f>
        <v/>
      </c>
      <c r="AK80" s="10">
        <f>IF(OR($B80="",TRIM($J80&amp;"")=""),"",IFERROR(MATCH(TRIM($J80&amp;"")&amp;"|다기관",입력_파견수련계획!$AE$4:$AE$803,0),""))</f>
        <v/>
      </c>
      <c r="AL80" s="10">
        <f>IF($AK80="","","다기관 "&amp;TEXT(INDEX(입력_파견수련계획!$AB$4:$AB$803,$AK80),"yyyy-mm-dd")&amp;"~"&amp;IF(ISNUMBER(INDEX(입력_파견수련계획!$AC$4:$AC$803,$AK80)),TEXT(INDEX(입력_파견수련계획!$AC$4:$AC$803,$AK80),"yyyy-mm-dd"),""))</f>
        <v/>
      </c>
      <c r="AM80" s="10">
        <f>IF($Y80="서울병원",COUNTIF($Y$2:$Y80,"서울병원"),"")</f>
        <v/>
      </c>
      <c r="AN80" s="10">
        <f>IF(LEFT($Y80,1)="⚠",COUNTIF($Y$2:$Y80,"⚠*"),"")</f>
        <v/>
      </c>
      <c r="AO80" s="10">
        <f>IF(OR($B80="",$Y80=""),"",IF(IF(TRIM($J80&amp;"")="",0,SUMPRODUCT((입력_파견수련계획!$Q$4:$Q$803=TRIM($J80&amp;""))*입력_파견수련계획!$AD$4:$AD$803))&gt;0,"다기관 기간 → 소속병원 지급",IF(AND(N($X80)&lt;=0,$AQ80=""),"파견 없음 → 그 달 근무병원 지급",IF($AH80+$AI80=DAY(EOMONTH(출력_요약!$B$3,0)),"서울 "&amp;$AH80&amp;"일 / 구리 "&amp;$AI80&amp;"일"&amp;IF($AQ80&lt;&gt;""," (구리 근무자명단 반영)","")&amp;" → 15일 이상 근무 병원 지급","타 병원 포함 → "&amp;IF($AJ80="","소속",INDEX(입력_파견수련계획!$T$4:$T$803,$AJ80))&amp;" 규칙"))))</f>
        <v/>
      </c>
      <c r="AP80" s="10">
        <f>IF($B80="","",$C80&amp;"|"&amp;$F80)</f>
        <v/>
      </c>
      <c r="AQ80" s="10">
        <f>IF($B80="","",IFERROR(MATCH(ROW()-1,출력_구리근무자!$K$6:$K$305,0),""))</f>
        <v/>
      </c>
      <c r="AR80" s="10">
        <f>IF($AQ80="","",INDEX(출력_구리근무자!$H$6:$H$305,$AQ80))</f>
        <v/>
      </c>
    </row>
    <row r="81">
      <c r="A81" s="10">
        <f>IF(B81="","",ROW()-1)</f>
        <v/>
      </c>
      <c r="B81" s="19" t="n"/>
      <c r="C81" s="10">
        <f>IF($AB81="","",IF(INDEX(입력_기본자료!$C$2:$C$1001,$AB81)="","",INDEX(입력_기본자료!$C$2:$C$1001,$AB81)))</f>
        <v/>
      </c>
      <c r="D81" s="10">
        <f>IF($AB81="","",IF(INDEX(입력_기본자료!$J$2:$J$1001,$AB81)="","",INDEX(입력_기본자료!$J$2:$J$1001,$AB81)))</f>
        <v/>
      </c>
      <c r="E81" s="11">
        <f>IF($AB81="","",IF(INDEX(입력_기본자료!$K$2:$K$1001,$AB81)="","",IF(NOT(ISNUMBER(INDEX(입력_기본자료!$K$2:$K$1001,$AB81))),INDEX(입력_기본자료!$K$2:$K$1001,$AB81),IF(INDEX(입력_기본자료!$K$2:$K$1001,$AB81)&lt;1000000,INDEX(입력_기본자료!$K$2:$K$1001,$AB81),IF(AND(INDEX(입력_기본자료!$K$2:$K$1001,$AB81)&gt;=10000101,INT(MOD(INDEX(입력_기본자료!$K$2:$K$1001,$AB81),10000)/100)&gt;=1,INT(MOD(INDEX(입력_기본자료!$K$2:$K$1001,$AB81),10000)/100)&lt;=12,MOD(INDEX(입력_기본자료!$K$2:$K$1001,$AB81),100)&gt;=1,MOD(INDEX(입력_기본자료!$K$2:$K$1001,$AB81),100)&lt;=31),DATE(INT(INDEX(입력_기본자료!$K$2:$K$1001,$AB81)/10000),INT(MOD(INDEX(입력_기본자료!$K$2:$K$1001,$AB81),10000)/100),MOD(INDEX(입력_기본자료!$K$2:$K$1001,$AB81),100)),INDEX(입력_기본자료!$K$2:$K$1001,$AB81)&amp;"")))))</f>
        <v/>
      </c>
      <c r="F81" s="10">
        <f>IF($AB81="","",IF(INDEX(입력_기본자료!$D$2:$D$1001,$AB81)="","",INDEX(입력_기본자료!$D$2:$D$1001,$AB81)))</f>
        <v/>
      </c>
      <c r="G81" s="10">
        <f>IF($AB81="","",IF(INDEX(입력_기본자료!$E$2:$E$1001,$AB81)="","",INDEX(입력_기본자료!$E$2:$E$1001,$AB81)))</f>
        <v/>
      </c>
      <c r="H81" s="10">
        <f>IF($AB81="","",IF(INDEX(입력_기본자료!$F$2:$F$1001,$AB81)="","",INDEX(입력_기본자료!$F$2:$F$1001,$AB81)))</f>
        <v/>
      </c>
      <c r="I81" s="11">
        <f>IF($AB81="","",IF(INDEX(입력_기본자료!$G$2:$G$1001,$AB81)="","",IF(NOT(ISNUMBER(INDEX(입력_기본자료!$G$2:$G$1001,$AB81))),INDEX(입력_기본자료!$G$2:$G$1001,$AB81),IF(INDEX(입력_기본자료!$G$2:$G$1001,$AB81)&lt;1000000,INDEX(입력_기본자료!$G$2:$G$1001,$AB81),IF(AND(INDEX(입력_기본자료!$G$2:$G$1001,$AB81)&gt;=10000101,INT(MOD(INDEX(입력_기본자료!$G$2:$G$1001,$AB81),10000)/100)&gt;=1,INT(MOD(INDEX(입력_기본자료!$G$2:$G$1001,$AB81),10000)/100)&lt;=12,MOD(INDEX(입력_기본자료!$G$2:$G$1001,$AB81),100)&gt;=1,MOD(INDEX(입력_기본자료!$G$2:$G$1001,$AB81),100)&lt;=31),DATE(INT(INDEX(입력_기본자료!$G$2:$G$1001,$AB81)/10000),INT(MOD(INDEX(입력_기본자료!$G$2:$G$1001,$AB81),10000)/100),MOD(INDEX(입력_기본자료!$G$2:$G$1001,$AB81),100)),INDEX(입력_기본자료!$G$2:$G$1001,$AB81)&amp;"")))))</f>
        <v/>
      </c>
      <c r="J81" s="10">
        <f>IF($AB81="","",IF(INDEX(입력_기본자료!$H$2:$H$1001,$AB81)="","",INDEX(입력_기본자료!$H$2:$H$1001,$AB81)))</f>
        <v/>
      </c>
      <c r="K81" s="10">
        <f>IF($AB81="","",IF(INDEX(입력_기본자료!$I$2:$I$1001,$AB81)="","",INDEX(입력_기본자료!$I$2:$I$1001,$AB81)))</f>
        <v/>
      </c>
      <c r="L81" s="10">
        <f>IF($AB81="","",IF(INDEX(입력_기본자료!$A$2:$A$1001,$AB81)="","",INDEX(입력_기본자료!$A$2:$A$1001,$AB81)))</f>
        <v/>
      </c>
      <c r="M81" s="15" t="n"/>
      <c r="N81" s="10">
        <f>IF($B81="","",IF(AND($U81="파견중",$Q81&lt;&gt;""),$Q81,IF(AND($AD81&lt;&gt;"",LEFT($AD81,1)&lt;&gt;"⚠"),LEFT($AD81,FIND(" ",$AD81)-1),IF($H81="","",IF(RIGHT($H81,2)="병원",$H81,$H81&amp;"병원")))))</f>
        <v/>
      </c>
      <c r="O81" s="10">
        <f>IF($B81="","",IF(AND($U81="파견중",$Q81&lt;&gt;""),IF($R81&lt;&gt;"",$R81,"파견과 미입력"),IF(AND($AD81&lt;&gt;"",LEFT($AD81,1)&lt;&gt;"⚠"),MID($AD81,FIND(" ",$AD81)+1,60),IF($F81="","",IF($F81="인턴","수련교육부(인턴)",$F81)))))</f>
        <v/>
      </c>
      <c r="P81" s="10">
        <f>IF($B81="","",IF($AK81&lt;&gt;"",IF(AND(TODAY()&gt;=INDEX(입력_파견수련계획!$AB$4:$AB$803,$AK81),OR(NOT(ISNUMBER(INDEX(입력_파견수련계획!$AC$4:$AC$803,$AK81))),TODAY()&lt;=INDEX(입력_파견수련계획!$AC$4:$AC$803,$AK81))),"다기관",IF($AF81="","",INDEX(입력_파견수련계획!$T$4:$T$803,$AF81))),IF($AF81="","",INDEX(입력_파견수련계획!$T$4:$T$803,$AF81))))</f>
        <v/>
      </c>
      <c r="Q81" s="10">
        <f>IF($AF81="","",INDEX(입력_파견수련계획!$S$4:$S$803,$AF81))</f>
        <v/>
      </c>
      <c r="R81" s="10">
        <f>IF($AF81="","",INDEX(입력_파견수련계획!$U$4:$U$803,$AF81))</f>
        <v/>
      </c>
      <c r="S81" s="11">
        <f>IF($AF81="","",IF(INDEX(입력_파견수련계획!$H$4:$H$803,$AF81)="","",INDEX(입력_파견수련계획!$H$4:$H$803,$AF81)))</f>
        <v/>
      </c>
      <c r="T81" s="11">
        <f>IF($AF81="","",IF(INDEX(입력_파견수련계획!$I$4:$I$803,$AF81)="","",INDEX(입력_파견수련계획!$I$4:$I$803,$AF81)))</f>
        <v/>
      </c>
      <c r="U81" s="10">
        <f>IF($AF81="","",INDEX(입력_파견수련계획!$X$4:$X$803,$AF81))</f>
        <v/>
      </c>
      <c r="V81" s="17">
        <f>IF($AF81="","",INDEX(입력_파견수련계획!$V$4:$V$803,$AF81))</f>
        <v/>
      </c>
      <c r="W81" s="17">
        <f>IF(AND($U81="파견중",$T81&lt;&gt;""),$T81-TODAY(),"")</f>
        <v/>
      </c>
      <c r="X81" s="17">
        <f>IF(OR($B81="",TRIM($J81&amp;"")=""),"",SUMPRODUCT((입력_파견수련계획!$Q$4:$Q$803=TRIM($J81&amp;""))*입력_파견수련계획!$W$4:$W$803))</f>
        <v/>
      </c>
      <c r="Y81" s="10">
        <f>IF($B81="","",IF($AG81="","",IF(IF(TRIM($J81&amp;"")="",0,SUMPRODUCT((입력_파견수련계획!$Q$4:$Q$803=TRIM($J81&amp;""))*입력_파견수련계획!$AD$4:$AD$803))&gt;0,$AE81,IF(AND(N($X81)&lt;=0,$AQ81=""),$AG81,IF($AH81+$AI81=DAY(EOMONTH(출력_요약!$B$3,0)),IF(AND($AH81&gt;=출력_요약!$E$3,$AI81&lt;출력_요약!$E$3),"서울병원",IF(AND($AI81&gt;=출력_요약!$E$3,$AH81&lt;출력_요약!$E$3),"구리병원","⚠15일 판정불가(서울 "&amp;$AH81&amp;"일/구리 "&amp;$AI81&amp;"일)")),IF($AJ81="",$AE81,IF(INDEX(입력_파견수련계획!$T$4:$T$803,$AJ81)="통합수련",INDEX(입력_파견수련계획!$S$4:$S$803,$AJ81),$AE81)))))))</f>
        <v/>
      </c>
      <c r="Z81" s="20">
        <f>IF($B81="","",IF($AB81="","기본자료에 없는 사번",IF(COUNTIF($B$2:$B$401,$B81)&gt;1,"중복 사번",IF($AE81="","소속(입사장소) 입력",IF(IF(TRIM($J81&amp;"")="",0,SUMPRODUCT((입력_파견수련계획!$Q$4:$Q$803=TRIM($J81&amp;""))*(입력_파견수련계획!$AA$4:$AA$803&lt;&gt;"")))&gt;0,"파견수련계획 입력오류 확인",IF(LEFT($Y81,1)="⚠","서울·구리 15일 판정 불가(양쪽 모두 이상/미만)",IF(IF($AC81="",0,N(INDEX(입력_인턴근무계획!$T$3:$T$402,$AC81)))&gt;0,"인턴계획 입력오류 확인",IF(AND($AQ81&lt;&gt;"",$AG81&lt;&gt;"구리병원",IF(TRIM($J81&amp;"")="",0,SUMPRODUCT((입력_파견수련계획!$Q$4:$Q$803=TRIM($J81&amp;""))*(입력_파견수련계획!$S$4:$S$803="구리병원")*입력_파견수련계획!$W$4:$W$803))=0),"구리 근무자명단에만 있음(파견수련계획 확인)",IF(AND($AC81&lt;&gt;"",$U81&lt;&gt;"파견중",$N81&lt;&gt;$AE81),"인턴 타지역 근무: 파견 여부 확인","정상")))))))))</f>
        <v/>
      </c>
      <c r="AA81" s="5" t="n"/>
      <c r="AB81" s="10">
        <f>IF($B81="","",IFERROR(MATCH($B81,입력_기본자료!$B$2:$B$1001,0),IFERROR(MATCH($B81&amp;"",입력_기본자료!$B$2:$B$1001,0),IFERROR(MATCH(VALUE($B81),입력_기본자료!$B$2:$B$1001,0),""))))</f>
        <v/>
      </c>
      <c r="AC81" s="10">
        <f>IF($B81="","",IFERROR(MATCH($B81,입력_인턴근무계획!$D$3:$D$402,0),IFERROR(MATCH($B81&amp;"",입력_인턴근무계획!$D$3:$D$402,0),IFERROR(MATCH(VALUE($B81),입력_인턴근무계획!$D$3:$D$402,0),""))))</f>
        <v/>
      </c>
      <c r="AD81" s="10">
        <f>IF(OR($AC81="",출력_인턴현황!$G$3=""),"",INDEX(입력_인턴근무계획!$M$3:$R$402,$AC81,출력_인턴현황!$G$3)&amp;"")</f>
        <v/>
      </c>
      <c r="AE81" s="10">
        <f>IF($B81="","",IF($M81&lt;&gt;"",$M81,IF(IF($AQ81="",FALSE,INDEX(출력_구리근무자!$J$6:$J$305,$AQ81)="구리독자"),"구리병원",IF($AF81&lt;&gt;"",IF(LEFT(INDEX(입력_파견수련계획!$R$4:$R$803,$AF81),1)&lt;&gt;"⚠",INDEX(입력_파견수련계획!$R$4:$R$803,$AF81),IF($H81="","",IF(RIGHT($H81,2)="병원",$H81,$H81&amp;"병원"))),IF($H81="","",IF(RIGHT($H81,2)="병원",$H81,$H81&amp;"병원"))))))</f>
        <v/>
      </c>
      <c r="AF81" s="10">
        <f>IF(OR($B81="",TRIM($J81&amp;"")=""),"",IFERROR(MATCH(TRIM($J81&amp;"")&amp;"|파견중",입력_파견수련계획!$Y$4:$Y$803,0),IFERROR(MATCH(TRIM($J81&amp;"")&amp;"|파견예정",입력_파견수련계획!$Y$4:$Y$803,0),IFERROR(MATCH(TRIM($J81&amp;"")&amp;"|파견종료",입력_파견수련계획!$Y$4:$Y$803,0),""))))</f>
        <v/>
      </c>
      <c r="AG81" s="10">
        <f>IF($B81="","",IF(AND(IF(OR($AC81="",출력_인턴현황!$K$2=""),"",INDEX(입력_인턴근무계획!$M$3:$R$402,$AC81,출력_인턴현황!$K$2)&amp;"")&lt;&gt;"",LEFT(IF(OR($AC81="",출력_인턴현황!$K$2=""),"",INDEX(입력_인턴근무계획!$M$3:$R$402,$AC81,출력_인턴현황!$K$2)&amp;""),1)&lt;&gt;"⚠"),LEFT(IF(OR($AC81="",출력_인턴현황!$K$2=""),"",INDEX(입력_인턴근무계획!$M$3:$R$402,$AC81,출력_인턴현황!$K$2)&amp;""),FIND(" ",IF(OR($AC81="",출력_인턴현황!$K$2=""),"",INDEX(입력_인턴근무계획!$M$3:$R$402,$AC81,출력_인턴현황!$K$2)&amp;""))-1),$AE81))</f>
        <v/>
      </c>
      <c r="AH81" s="17">
        <f>IF($B81="","",IF($AQ81&lt;&gt;"",MAX(0,DAY(EOMONTH(출력_요약!$B$3,0))-N($AR81)),IF(TRIM($J81&amp;"")="",0,SUMPRODUCT((입력_파견수련계획!$Q$4:$Q$803=TRIM($J81&amp;""))*(입력_파견수련계획!$S$4:$S$803="서울병원")*입력_파견수련계획!$W$4:$W$803))+IF($AG81="서울병원",MAX(0,DAY(EOMONTH(출력_요약!$B$3,0))-N($X81)),0)))</f>
        <v/>
      </c>
      <c r="AI81" s="17">
        <f>IF($B81="","",IF($AQ81&lt;&gt;"",N($AR81),IF(TRIM($J81&amp;"")="",0,SUMPRODUCT((입력_파견수련계획!$Q$4:$Q$803=TRIM($J81&amp;""))*(입력_파견수련계획!$S$4:$S$803="구리병원")*입력_파견수련계획!$W$4:$W$803))+IF($AG81="구리병원",MAX(0,DAY(EOMONTH(출력_요약!$B$3,0))-N($X81)),0)))</f>
        <v/>
      </c>
      <c r="AJ81" s="10">
        <f>IF(OR($B81="",TRIM($J81&amp;"")=""),"",IFERROR(MATCH(TRIM($J81&amp;"")&amp;"|월",입력_파견수련계획!$Z$4:$Z$803,0),""))</f>
        <v/>
      </c>
      <c r="AK81" s="10">
        <f>IF(OR($B81="",TRIM($J81&amp;"")=""),"",IFERROR(MATCH(TRIM($J81&amp;"")&amp;"|다기관",입력_파견수련계획!$AE$4:$AE$803,0),""))</f>
        <v/>
      </c>
      <c r="AL81" s="10">
        <f>IF($AK81="","","다기관 "&amp;TEXT(INDEX(입력_파견수련계획!$AB$4:$AB$803,$AK81),"yyyy-mm-dd")&amp;"~"&amp;IF(ISNUMBER(INDEX(입력_파견수련계획!$AC$4:$AC$803,$AK81)),TEXT(INDEX(입력_파견수련계획!$AC$4:$AC$803,$AK81),"yyyy-mm-dd"),""))</f>
        <v/>
      </c>
      <c r="AM81" s="10">
        <f>IF($Y81="서울병원",COUNTIF($Y$2:$Y81,"서울병원"),"")</f>
        <v/>
      </c>
      <c r="AN81" s="10">
        <f>IF(LEFT($Y81,1)="⚠",COUNTIF($Y$2:$Y81,"⚠*"),"")</f>
        <v/>
      </c>
      <c r="AO81" s="10">
        <f>IF(OR($B81="",$Y81=""),"",IF(IF(TRIM($J81&amp;"")="",0,SUMPRODUCT((입력_파견수련계획!$Q$4:$Q$803=TRIM($J81&amp;""))*입력_파견수련계획!$AD$4:$AD$803))&gt;0,"다기관 기간 → 소속병원 지급",IF(AND(N($X81)&lt;=0,$AQ81=""),"파견 없음 → 그 달 근무병원 지급",IF($AH81+$AI81=DAY(EOMONTH(출력_요약!$B$3,0)),"서울 "&amp;$AH81&amp;"일 / 구리 "&amp;$AI81&amp;"일"&amp;IF($AQ81&lt;&gt;""," (구리 근무자명단 반영)","")&amp;" → 15일 이상 근무 병원 지급","타 병원 포함 → "&amp;IF($AJ81="","소속",INDEX(입력_파견수련계획!$T$4:$T$803,$AJ81))&amp;" 규칙"))))</f>
        <v/>
      </c>
      <c r="AP81" s="10">
        <f>IF($B81="","",$C81&amp;"|"&amp;$F81)</f>
        <v/>
      </c>
      <c r="AQ81" s="10">
        <f>IF($B81="","",IFERROR(MATCH(ROW()-1,출력_구리근무자!$K$6:$K$305,0),""))</f>
        <v/>
      </c>
      <c r="AR81" s="10">
        <f>IF($AQ81="","",INDEX(출력_구리근무자!$H$6:$H$305,$AQ81))</f>
        <v/>
      </c>
    </row>
    <row r="82">
      <c r="A82" s="10">
        <f>IF(B82="","",ROW()-1)</f>
        <v/>
      </c>
      <c r="B82" s="19" t="n"/>
      <c r="C82" s="10">
        <f>IF($AB82="","",IF(INDEX(입력_기본자료!$C$2:$C$1001,$AB82)="","",INDEX(입력_기본자료!$C$2:$C$1001,$AB82)))</f>
        <v/>
      </c>
      <c r="D82" s="10">
        <f>IF($AB82="","",IF(INDEX(입력_기본자료!$J$2:$J$1001,$AB82)="","",INDEX(입력_기본자료!$J$2:$J$1001,$AB82)))</f>
        <v/>
      </c>
      <c r="E82" s="11">
        <f>IF($AB82="","",IF(INDEX(입력_기본자료!$K$2:$K$1001,$AB82)="","",IF(NOT(ISNUMBER(INDEX(입력_기본자료!$K$2:$K$1001,$AB82))),INDEX(입력_기본자료!$K$2:$K$1001,$AB82),IF(INDEX(입력_기본자료!$K$2:$K$1001,$AB82)&lt;1000000,INDEX(입력_기본자료!$K$2:$K$1001,$AB82),IF(AND(INDEX(입력_기본자료!$K$2:$K$1001,$AB82)&gt;=10000101,INT(MOD(INDEX(입력_기본자료!$K$2:$K$1001,$AB82),10000)/100)&gt;=1,INT(MOD(INDEX(입력_기본자료!$K$2:$K$1001,$AB82),10000)/100)&lt;=12,MOD(INDEX(입력_기본자료!$K$2:$K$1001,$AB82),100)&gt;=1,MOD(INDEX(입력_기본자료!$K$2:$K$1001,$AB82),100)&lt;=31),DATE(INT(INDEX(입력_기본자료!$K$2:$K$1001,$AB82)/10000),INT(MOD(INDEX(입력_기본자료!$K$2:$K$1001,$AB82),10000)/100),MOD(INDEX(입력_기본자료!$K$2:$K$1001,$AB82),100)),INDEX(입력_기본자료!$K$2:$K$1001,$AB82)&amp;"")))))</f>
        <v/>
      </c>
      <c r="F82" s="10">
        <f>IF($AB82="","",IF(INDEX(입력_기본자료!$D$2:$D$1001,$AB82)="","",INDEX(입력_기본자료!$D$2:$D$1001,$AB82)))</f>
        <v/>
      </c>
      <c r="G82" s="10">
        <f>IF($AB82="","",IF(INDEX(입력_기본자료!$E$2:$E$1001,$AB82)="","",INDEX(입력_기본자료!$E$2:$E$1001,$AB82)))</f>
        <v/>
      </c>
      <c r="H82" s="10">
        <f>IF($AB82="","",IF(INDEX(입력_기본자료!$F$2:$F$1001,$AB82)="","",INDEX(입력_기본자료!$F$2:$F$1001,$AB82)))</f>
        <v/>
      </c>
      <c r="I82" s="11">
        <f>IF($AB82="","",IF(INDEX(입력_기본자료!$G$2:$G$1001,$AB82)="","",IF(NOT(ISNUMBER(INDEX(입력_기본자료!$G$2:$G$1001,$AB82))),INDEX(입력_기본자료!$G$2:$G$1001,$AB82),IF(INDEX(입력_기본자료!$G$2:$G$1001,$AB82)&lt;1000000,INDEX(입력_기본자료!$G$2:$G$1001,$AB82),IF(AND(INDEX(입력_기본자료!$G$2:$G$1001,$AB82)&gt;=10000101,INT(MOD(INDEX(입력_기본자료!$G$2:$G$1001,$AB82),10000)/100)&gt;=1,INT(MOD(INDEX(입력_기본자료!$G$2:$G$1001,$AB82),10000)/100)&lt;=12,MOD(INDEX(입력_기본자료!$G$2:$G$1001,$AB82),100)&gt;=1,MOD(INDEX(입력_기본자료!$G$2:$G$1001,$AB82),100)&lt;=31),DATE(INT(INDEX(입력_기본자료!$G$2:$G$1001,$AB82)/10000),INT(MOD(INDEX(입력_기본자료!$G$2:$G$1001,$AB82),10000)/100),MOD(INDEX(입력_기본자료!$G$2:$G$1001,$AB82),100)),INDEX(입력_기본자료!$G$2:$G$1001,$AB82)&amp;"")))))</f>
        <v/>
      </c>
      <c r="J82" s="10">
        <f>IF($AB82="","",IF(INDEX(입력_기본자료!$H$2:$H$1001,$AB82)="","",INDEX(입력_기본자료!$H$2:$H$1001,$AB82)))</f>
        <v/>
      </c>
      <c r="K82" s="10">
        <f>IF($AB82="","",IF(INDEX(입력_기본자료!$I$2:$I$1001,$AB82)="","",INDEX(입력_기본자료!$I$2:$I$1001,$AB82)))</f>
        <v/>
      </c>
      <c r="L82" s="10">
        <f>IF($AB82="","",IF(INDEX(입력_기본자료!$A$2:$A$1001,$AB82)="","",INDEX(입력_기본자료!$A$2:$A$1001,$AB82)))</f>
        <v/>
      </c>
      <c r="M82" s="15" t="n"/>
      <c r="N82" s="10">
        <f>IF($B82="","",IF(AND($U82="파견중",$Q82&lt;&gt;""),$Q82,IF(AND($AD82&lt;&gt;"",LEFT($AD82,1)&lt;&gt;"⚠"),LEFT($AD82,FIND(" ",$AD82)-1),IF($H82="","",IF(RIGHT($H82,2)="병원",$H82,$H82&amp;"병원")))))</f>
        <v/>
      </c>
      <c r="O82" s="10">
        <f>IF($B82="","",IF(AND($U82="파견중",$Q82&lt;&gt;""),IF($R82&lt;&gt;"",$R82,"파견과 미입력"),IF(AND($AD82&lt;&gt;"",LEFT($AD82,1)&lt;&gt;"⚠"),MID($AD82,FIND(" ",$AD82)+1,60),IF($F82="","",IF($F82="인턴","수련교육부(인턴)",$F82)))))</f>
        <v/>
      </c>
      <c r="P82" s="10">
        <f>IF($B82="","",IF($AK82&lt;&gt;"",IF(AND(TODAY()&gt;=INDEX(입력_파견수련계획!$AB$4:$AB$803,$AK82),OR(NOT(ISNUMBER(INDEX(입력_파견수련계획!$AC$4:$AC$803,$AK82))),TODAY()&lt;=INDEX(입력_파견수련계획!$AC$4:$AC$803,$AK82))),"다기관",IF($AF82="","",INDEX(입력_파견수련계획!$T$4:$T$803,$AF82))),IF($AF82="","",INDEX(입력_파견수련계획!$T$4:$T$803,$AF82))))</f>
        <v/>
      </c>
      <c r="Q82" s="10">
        <f>IF($AF82="","",INDEX(입력_파견수련계획!$S$4:$S$803,$AF82))</f>
        <v/>
      </c>
      <c r="R82" s="10">
        <f>IF($AF82="","",INDEX(입력_파견수련계획!$U$4:$U$803,$AF82))</f>
        <v/>
      </c>
      <c r="S82" s="11">
        <f>IF($AF82="","",IF(INDEX(입력_파견수련계획!$H$4:$H$803,$AF82)="","",INDEX(입력_파견수련계획!$H$4:$H$803,$AF82)))</f>
        <v/>
      </c>
      <c r="T82" s="11">
        <f>IF($AF82="","",IF(INDEX(입력_파견수련계획!$I$4:$I$803,$AF82)="","",INDEX(입력_파견수련계획!$I$4:$I$803,$AF82)))</f>
        <v/>
      </c>
      <c r="U82" s="10">
        <f>IF($AF82="","",INDEX(입력_파견수련계획!$X$4:$X$803,$AF82))</f>
        <v/>
      </c>
      <c r="V82" s="17">
        <f>IF($AF82="","",INDEX(입력_파견수련계획!$V$4:$V$803,$AF82))</f>
        <v/>
      </c>
      <c r="W82" s="17">
        <f>IF(AND($U82="파견중",$T82&lt;&gt;""),$T82-TODAY(),"")</f>
        <v/>
      </c>
      <c r="X82" s="17">
        <f>IF(OR($B82="",TRIM($J82&amp;"")=""),"",SUMPRODUCT((입력_파견수련계획!$Q$4:$Q$803=TRIM($J82&amp;""))*입력_파견수련계획!$W$4:$W$803))</f>
        <v/>
      </c>
      <c r="Y82" s="10">
        <f>IF($B82="","",IF($AG82="","",IF(IF(TRIM($J82&amp;"")="",0,SUMPRODUCT((입력_파견수련계획!$Q$4:$Q$803=TRIM($J82&amp;""))*입력_파견수련계획!$AD$4:$AD$803))&gt;0,$AE82,IF(AND(N($X82)&lt;=0,$AQ82=""),$AG82,IF($AH82+$AI82=DAY(EOMONTH(출력_요약!$B$3,0)),IF(AND($AH82&gt;=출력_요약!$E$3,$AI82&lt;출력_요약!$E$3),"서울병원",IF(AND($AI82&gt;=출력_요약!$E$3,$AH82&lt;출력_요약!$E$3),"구리병원","⚠15일 판정불가(서울 "&amp;$AH82&amp;"일/구리 "&amp;$AI82&amp;"일)")),IF($AJ82="",$AE82,IF(INDEX(입력_파견수련계획!$T$4:$T$803,$AJ82)="통합수련",INDEX(입력_파견수련계획!$S$4:$S$803,$AJ82),$AE82)))))))</f>
        <v/>
      </c>
      <c r="Z82" s="20">
        <f>IF($B82="","",IF($AB82="","기본자료에 없는 사번",IF(COUNTIF($B$2:$B$401,$B82)&gt;1,"중복 사번",IF($AE82="","소속(입사장소) 입력",IF(IF(TRIM($J82&amp;"")="",0,SUMPRODUCT((입력_파견수련계획!$Q$4:$Q$803=TRIM($J82&amp;""))*(입력_파견수련계획!$AA$4:$AA$803&lt;&gt;"")))&gt;0,"파견수련계획 입력오류 확인",IF(LEFT($Y82,1)="⚠","서울·구리 15일 판정 불가(양쪽 모두 이상/미만)",IF(IF($AC82="",0,N(INDEX(입력_인턴근무계획!$T$3:$T$402,$AC82)))&gt;0,"인턴계획 입력오류 확인",IF(AND($AQ82&lt;&gt;"",$AG82&lt;&gt;"구리병원",IF(TRIM($J82&amp;"")="",0,SUMPRODUCT((입력_파견수련계획!$Q$4:$Q$803=TRIM($J82&amp;""))*(입력_파견수련계획!$S$4:$S$803="구리병원")*입력_파견수련계획!$W$4:$W$803))=0),"구리 근무자명단에만 있음(파견수련계획 확인)",IF(AND($AC82&lt;&gt;"",$U82&lt;&gt;"파견중",$N82&lt;&gt;$AE82),"인턴 타지역 근무: 파견 여부 확인","정상")))))))))</f>
        <v/>
      </c>
      <c r="AA82" s="5" t="n"/>
      <c r="AB82" s="10">
        <f>IF($B82="","",IFERROR(MATCH($B82,입력_기본자료!$B$2:$B$1001,0),IFERROR(MATCH($B82&amp;"",입력_기본자료!$B$2:$B$1001,0),IFERROR(MATCH(VALUE($B82),입력_기본자료!$B$2:$B$1001,0),""))))</f>
        <v/>
      </c>
      <c r="AC82" s="10">
        <f>IF($B82="","",IFERROR(MATCH($B82,입력_인턴근무계획!$D$3:$D$402,0),IFERROR(MATCH($B82&amp;"",입력_인턴근무계획!$D$3:$D$402,0),IFERROR(MATCH(VALUE($B82),입력_인턴근무계획!$D$3:$D$402,0),""))))</f>
        <v/>
      </c>
      <c r="AD82" s="10">
        <f>IF(OR($AC82="",출력_인턴현황!$G$3=""),"",INDEX(입력_인턴근무계획!$M$3:$R$402,$AC82,출력_인턴현황!$G$3)&amp;"")</f>
        <v/>
      </c>
      <c r="AE82" s="10">
        <f>IF($B82="","",IF($M82&lt;&gt;"",$M82,IF(IF($AQ82="",FALSE,INDEX(출력_구리근무자!$J$6:$J$305,$AQ82)="구리독자"),"구리병원",IF($AF82&lt;&gt;"",IF(LEFT(INDEX(입력_파견수련계획!$R$4:$R$803,$AF82),1)&lt;&gt;"⚠",INDEX(입력_파견수련계획!$R$4:$R$803,$AF82),IF($H82="","",IF(RIGHT($H82,2)="병원",$H82,$H82&amp;"병원"))),IF($H82="","",IF(RIGHT($H82,2)="병원",$H82,$H82&amp;"병원"))))))</f>
        <v/>
      </c>
      <c r="AF82" s="10">
        <f>IF(OR($B82="",TRIM($J82&amp;"")=""),"",IFERROR(MATCH(TRIM($J82&amp;"")&amp;"|파견중",입력_파견수련계획!$Y$4:$Y$803,0),IFERROR(MATCH(TRIM($J82&amp;"")&amp;"|파견예정",입력_파견수련계획!$Y$4:$Y$803,0),IFERROR(MATCH(TRIM($J82&amp;"")&amp;"|파견종료",입력_파견수련계획!$Y$4:$Y$803,0),""))))</f>
        <v/>
      </c>
      <c r="AG82" s="10">
        <f>IF($B82="","",IF(AND(IF(OR($AC82="",출력_인턴현황!$K$2=""),"",INDEX(입력_인턴근무계획!$M$3:$R$402,$AC82,출력_인턴현황!$K$2)&amp;"")&lt;&gt;"",LEFT(IF(OR($AC82="",출력_인턴현황!$K$2=""),"",INDEX(입력_인턴근무계획!$M$3:$R$402,$AC82,출력_인턴현황!$K$2)&amp;""),1)&lt;&gt;"⚠"),LEFT(IF(OR($AC82="",출력_인턴현황!$K$2=""),"",INDEX(입력_인턴근무계획!$M$3:$R$402,$AC82,출력_인턴현황!$K$2)&amp;""),FIND(" ",IF(OR($AC82="",출력_인턴현황!$K$2=""),"",INDEX(입력_인턴근무계획!$M$3:$R$402,$AC82,출력_인턴현황!$K$2)&amp;""))-1),$AE82))</f>
        <v/>
      </c>
      <c r="AH82" s="17">
        <f>IF($B82="","",IF($AQ82&lt;&gt;"",MAX(0,DAY(EOMONTH(출력_요약!$B$3,0))-N($AR82)),IF(TRIM($J82&amp;"")="",0,SUMPRODUCT((입력_파견수련계획!$Q$4:$Q$803=TRIM($J82&amp;""))*(입력_파견수련계획!$S$4:$S$803="서울병원")*입력_파견수련계획!$W$4:$W$803))+IF($AG82="서울병원",MAX(0,DAY(EOMONTH(출력_요약!$B$3,0))-N($X82)),0)))</f>
        <v/>
      </c>
      <c r="AI82" s="17">
        <f>IF($B82="","",IF($AQ82&lt;&gt;"",N($AR82),IF(TRIM($J82&amp;"")="",0,SUMPRODUCT((입력_파견수련계획!$Q$4:$Q$803=TRIM($J82&amp;""))*(입력_파견수련계획!$S$4:$S$803="구리병원")*입력_파견수련계획!$W$4:$W$803))+IF($AG82="구리병원",MAX(0,DAY(EOMONTH(출력_요약!$B$3,0))-N($X82)),0)))</f>
        <v/>
      </c>
      <c r="AJ82" s="10">
        <f>IF(OR($B82="",TRIM($J82&amp;"")=""),"",IFERROR(MATCH(TRIM($J82&amp;"")&amp;"|월",입력_파견수련계획!$Z$4:$Z$803,0),""))</f>
        <v/>
      </c>
      <c r="AK82" s="10">
        <f>IF(OR($B82="",TRIM($J82&amp;"")=""),"",IFERROR(MATCH(TRIM($J82&amp;"")&amp;"|다기관",입력_파견수련계획!$AE$4:$AE$803,0),""))</f>
        <v/>
      </c>
      <c r="AL82" s="10">
        <f>IF($AK82="","","다기관 "&amp;TEXT(INDEX(입력_파견수련계획!$AB$4:$AB$803,$AK82),"yyyy-mm-dd")&amp;"~"&amp;IF(ISNUMBER(INDEX(입력_파견수련계획!$AC$4:$AC$803,$AK82)),TEXT(INDEX(입력_파견수련계획!$AC$4:$AC$803,$AK82),"yyyy-mm-dd"),""))</f>
        <v/>
      </c>
      <c r="AM82" s="10">
        <f>IF($Y82="서울병원",COUNTIF($Y$2:$Y82,"서울병원"),"")</f>
        <v/>
      </c>
      <c r="AN82" s="10">
        <f>IF(LEFT($Y82,1)="⚠",COUNTIF($Y$2:$Y82,"⚠*"),"")</f>
        <v/>
      </c>
      <c r="AO82" s="10">
        <f>IF(OR($B82="",$Y82=""),"",IF(IF(TRIM($J82&amp;"")="",0,SUMPRODUCT((입력_파견수련계획!$Q$4:$Q$803=TRIM($J82&amp;""))*입력_파견수련계획!$AD$4:$AD$803))&gt;0,"다기관 기간 → 소속병원 지급",IF(AND(N($X82)&lt;=0,$AQ82=""),"파견 없음 → 그 달 근무병원 지급",IF($AH82+$AI82=DAY(EOMONTH(출력_요약!$B$3,0)),"서울 "&amp;$AH82&amp;"일 / 구리 "&amp;$AI82&amp;"일"&amp;IF($AQ82&lt;&gt;""," (구리 근무자명단 반영)","")&amp;" → 15일 이상 근무 병원 지급","타 병원 포함 → "&amp;IF($AJ82="","소속",INDEX(입력_파견수련계획!$T$4:$T$803,$AJ82))&amp;" 규칙"))))</f>
        <v/>
      </c>
      <c r="AP82" s="10">
        <f>IF($B82="","",$C82&amp;"|"&amp;$F82)</f>
        <v/>
      </c>
      <c r="AQ82" s="10">
        <f>IF($B82="","",IFERROR(MATCH(ROW()-1,출력_구리근무자!$K$6:$K$305,0),""))</f>
        <v/>
      </c>
      <c r="AR82" s="10">
        <f>IF($AQ82="","",INDEX(출력_구리근무자!$H$6:$H$305,$AQ82))</f>
        <v/>
      </c>
    </row>
    <row r="83">
      <c r="A83" s="10">
        <f>IF(B83="","",ROW()-1)</f>
        <v/>
      </c>
      <c r="B83" s="19" t="n"/>
      <c r="C83" s="10">
        <f>IF($AB83="","",IF(INDEX(입력_기본자료!$C$2:$C$1001,$AB83)="","",INDEX(입력_기본자료!$C$2:$C$1001,$AB83)))</f>
        <v/>
      </c>
      <c r="D83" s="10">
        <f>IF($AB83="","",IF(INDEX(입력_기본자료!$J$2:$J$1001,$AB83)="","",INDEX(입력_기본자료!$J$2:$J$1001,$AB83)))</f>
        <v/>
      </c>
      <c r="E83" s="11">
        <f>IF($AB83="","",IF(INDEX(입력_기본자료!$K$2:$K$1001,$AB83)="","",IF(NOT(ISNUMBER(INDEX(입력_기본자료!$K$2:$K$1001,$AB83))),INDEX(입력_기본자료!$K$2:$K$1001,$AB83),IF(INDEX(입력_기본자료!$K$2:$K$1001,$AB83)&lt;1000000,INDEX(입력_기본자료!$K$2:$K$1001,$AB83),IF(AND(INDEX(입력_기본자료!$K$2:$K$1001,$AB83)&gt;=10000101,INT(MOD(INDEX(입력_기본자료!$K$2:$K$1001,$AB83),10000)/100)&gt;=1,INT(MOD(INDEX(입력_기본자료!$K$2:$K$1001,$AB83),10000)/100)&lt;=12,MOD(INDEX(입력_기본자료!$K$2:$K$1001,$AB83),100)&gt;=1,MOD(INDEX(입력_기본자료!$K$2:$K$1001,$AB83),100)&lt;=31),DATE(INT(INDEX(입력_기본자료!$K$2:$K$1001,$AB83)/10000),INT(MOD(INDEX(입력_기본자료!$K$2:$K$1001,$AB83),10000)/100),MOD(INDEX(입력_기본자료!$K$2:$K$1001,$AB83),100)),INDEX(입력_기본자료!$K$2:$K$1001,$AB83)&amp;"")))))</f>
        <v/>
      </c>
      <c r="F83" s="10">
        <f>IF($AB83="","",IF(INDEX(입력_기본자료!$D$2:$D$1001,$AB83)="","",INDEX(입력_기본자료!$D$2:$D$1001,$AB83)))</f>
        <v/>
      </c>
      <c r="G83" s="10">
        <f>IF($AB83="","",IF(INDEX(입력_기본자료!$E$2:$E$1001,$AB83)="","",INDEX(입력_기본자료!$E$2:$E$1001,$AB83)))</f>
        <v/>
      </c>
      <c r="H83" s="10">
        <f>IF($AB83="","",IF(INDEX(입력_기본자료!$F$2:$F$1001,$AB83)="","",INDEX(입력_기본자료!$F$2:$F$1001,$AB83)))</f>
        <v/>
      </c>
      <c r="I83" s="11">
        <f>IF($AB83="","",IF(INDEX(입력_기본자료!$G$2:$G$1001,$AB83)="","",IF(NOT(ISNUMBER(INDEX(입력_기본자료!$G$2:$G$1001,$AB83))),INDEX(입력_기본자료!$G$2:$G$1001,$AB83),IF(INDEX(입력_기본자료!$G$2:$G$1001,$AB83)&lt;1000000,INDEX(입력_기본자료!$G$2:$G$1001,$AB83),IF(AND(INDEX(입력_기본자료!$G$2:$G$1001,$AB83)&gt;=10000101,INT(MOD(INDEX(입력_기본자료!$G$2:$G$1001,$AB83),10000)/100)&gt;=1,INT(MOD(INDEX(입력_기본자료!$G$2:$G$1001,$AB83),10000)/100)&lt;=12,MOD(INDEX(입력_기본자료!$G$2:$G$1001,$AB83),100)&gt;=1,MOD(INDEX(입력_기본자료!$G$2:$G$1001,$AB83),100)&lt;=31),DATE(INT(INDEX(입력_기본자료!$G$2:$G$1001,$AB83)/10000),INT(MOD(INDEX(입력_기본자료!$G$2:$G$1001,$AB83),10000)/100),MOD(INDEX(입력_기본자료!$G$2:$G$1001,$AB83),100)),INDEX(입력_기본자료!$G$2:$G$1001,$AB83)&amp;"")))))</f>
        <v/>
      </c>
      <c r="J83" s="10">
        <f>IF($AB83="","",IF(INDEX(입력_기본자료!$H$2:$H$1001,$AB83)="","",INDEX(입력_기본자료!$H$2:$H$1001,$AB83)))</f>
        <v/>
      </c>
      <c r="K83" s="10">
        <f>IF($AB83="","",IF(INDEX(입력_기본자료!$I$2:$I$1001,$AB83)="","",INDEX(입력_기본자료!$I$2:$I$1001,$AB83)))</f>
        <v/>
      </c>
      <c r="L83" s="10">
        <f>IF($AB83="","",IF(INDEX(입력_기본자료!$A$2:$A$1001,$AB83)="","",INDEX(입력_기본자료!$A$2:$A$1001,$AB83)))</f>
        <v/>
      </c>
      <c r="M83" s="15" t="n"/>
      <c r="N83" s="10">
        <f>IF($B83="","",IF(AND($U83="파견중",$Q83&lt;&gt;""),$Q83,IF(AND($AD83&lt;&gt;"",LEFT($AD83,1)&lt;&gt;"⚠"),LEFT($AD83,FIND(" ",$AD83)-1),IF($H83="","",IF(RIGHT($H83,2)="병원",$H83,$H83&amp;"병원")))))</f>
        <v/>
      </c>
      <c r="O83" s="10">
        <f>IF($B83="","",IF(AND($U83="파견중",$Q83&lt;&gt;""),IF($R83&lt;&gt;"",$R83,"파견과 미입력"),IF(AND($AD83&lt;&gt;"",LEFT($AD83,1)&lt;&gt;"⚠"),MID($AD83,FIND(" ",$AD83)+1,60),IF($F83="","",IF($F83="인턴","수련교육부(인턴)",$F83)))))</f>
        <v/>
      </c>
      <c r="P83" s="10">
        <f>IF($B83="","",IF($AK83&lt;&gt;"",IF(AND(TODAY()&gt;=INDEX(입력_파견수련계획!$AB$4:$AB$803,$AK83),OR(NOT(ISNUMBER(INDEX(입력_파견수련계획!$AC$4:$AC$803,$AK83))),TODAY()&lt;=INDEX(입력_파견수련계획!$AC$4:$AC$803,$AK83))),"다기관",IF($AF83="","",INDEX(입력_파견수련계획!$T$4:$T$803,$AF83))),IF($AF83="","",INDEX(입력_파견수련계획!$T$4:$T$803,$AF83))))</f>
        <v/>
      </c>
      <c r="Q83" s="10">
        <f>IF($AF83="","",INDEX(입력_파견수련계획!$S$4:$S$803,$AF83))</f>
        <v/>
      </c>
      <c r="R83" s="10">
        <f>IF($AF83="","",INDEX(입력_파견수련계획!$U$4:$U$803,$AF83))</f>
        <v/>
      </c>
      <c r="S83" s="11">
        <f>IF($AF83="","",IF(INDEX(입력_파견수련계획!$H$4:$H$803,$AF83)="","",INDEX(입력_파견수련계획!$H$4:$H$803,$AF83)))</f>
        <v/>
      </c>
      <c r="T83" s="11">
        <f>IF($AF83="","",IF(INDEX(입력_파견수련계획!$I$4:$I$803,$AF83)="","",INDEX(입력_파견수련계획!$I$4:$I$803,$AF83)))</f>
        <v/>
      </c>
      <c r="U83" s="10">
        <f>IF($AF83="","",INDEX(입력_파견수련계획!$X$4:$X$803,$AF83))</f>
        <v/>
      </c>
      <c r="V83" s="17">
        <f>IF($AF83="","",INDEX(입력_파견수련계획!$V$4:$V$803,$AF83))</f>
        <v/>
      </c>
      <c r="W83" s="17">
        <f>IF(AND($U83="파견중",$T83&lt;&gt;""),$T83-TODAY(),"")</f>
        <v/>
      </c>
      <c r="X83" s="17">
        <f>IF(OR($B83="",TRIM($J83&amp;"")=""),"",SUMPRODUCT((입력_파견수련계획!$Q$4:$Q$803=TRIM($J83&amp;""))*입력_파견수련계획!$W$4:$W$803))</f>
        <v/>
      </c>
      <c r="Y83" s="10">
        <f>IF($B83="","",IF($AG83="","",IF(IF(TRIM($J83&amp;"")="",0,SUMPRODUCT((입력_파견수련계획!$Q$4:$Q$803=TRIM($J83&amp;""))*입력_파견수련계획!$AD$4:$AD$803))&gt;0,$AE83,IF(AND(N($X83)&lt;=0,$AQ83=""),$AG83,IF($AH83+$AI83=DAY(EOMONTH(출력_요약!$B$3,0)),IF(AND($AH83&gt;=출력_요약!$E$3,$AI83&lt;출력_요약!$E$3),"서울병원",IF(AND($AI83&gt;=출력_요약!$E$3,$AH83&lt;출력_요약!$E$3),"구리병원","⚠15일 판정불가(서울 "&amp;$AH83&amp;"일/구리 "&amp;$AI83&amp;"일)")),IF($AJ83="",$AE83,IF(INDEX(입력_파견수련계획!$T$4:$T$803,$AJ83)="통합수련",INDEX(입력_파견수련계획!$S$4:$S$803,$AJ83),$AE83)))))))</f>
        <v/>
      </c>
      <c r="Z83" s="20">
        <f>IF($B83="","",IF($AB83="","기본자료에 없는 사번",IF(COUNTIF($B$2:$B$401,$B83)&gt;1,"중복 사번",IF($AE83="","소속(입사장소) 입력",IF(IF(TRIM($J83&amp;"")="",0,SUMPRODUCT((입력_파견수련계획!$Q$4:$Q$803=TRIM($J83&amp;""))*(입력_파견수련계획!$AA$4:$AA$803&lt;&gt;"")))&gt;0,"파견수련계획 입력오류 확인",IF(LEFT($Y83,1)="⚠","서울·구리 15일 판정 불가(양쪽 모두 이상/미만)",IF(IF($AC83="",0,N(INDEX(입력_인턴근무계획!$T$3:$T$402,$AC83)))&gt;0,"인턴계획 입력오류 확인",IF(AND($AQ83&lt;&gt;"",$AG83&lt;&gt;"구리병원",IF(TRIM($J83&amp;"")="",0,SUMPRODUCT((입력_파견수련계획!$Q$4:$Q$803=TRIM($J83&amp;""))*(입력_파견수련계획!$S$4:$S$803="구리병원")*입력_파견수련계획!$W$4:$W$803))=0),"구리 근무자명단에만 있음(파견수련계획 확인)",IF(AND($AC83&lt;&gt;"",$U83&lt;&gt;"파견중",$N83&lt;&gt;$AE83),"인턴 타지역 근무: 파견 여부 확인","정상")))))))))</f>
        <v/>
      </c>
      <c r="AA83" s="5" t="n"/>
      <c r="AB83" s="10">
        <f>IF($B83="","",IFERROR(MATCH($B83,입력_기본자료!$B$2:$B$1001,0),IFERROR(MATCH($B83&amp;"",입력_기본자료!$B$2:$B$1001,0),IFERROR(MATCH(VALUE($B83),입력_기본자료!$B$2:$B$1001,0),""))))</f>
        <v/>
      </c>
      <c r="AC83" s="10">
        <f>IF($B83="","",IFERROR(MATCH($B83,입력_인턴근무계획!$D$3:$D$402,0),IFERROR(MATCH($B83&amp;"",입력_인턴근무계획!$D$3:$D$402,0),IFERROR(MATCH(VALUE($B83),입력_인턴근무계획!$D$3:$D$402,0),""))))</f>
        <v/>
      </c>
      <c r="AD83" s="10">
        <f>IF(OR($AC83="",출력_인턴현황!$G$3=""),"",INDEX(입력_인턴근무계획!$M$3:$R$402,$AC83,출력_인턴현황!$G$3)&amp;"")</f>
        <v/>
      </c>
      <c r="AE83" s="10">
        <f>IF($B83="","",IF($M83&lt;&gt;"",$M83,IF(IF($AQ83="",FALSE,INDEX(출력_구리근무자!$J$6:$J$305,$AQ83)="구리독자"),"구리병원",IF($AF83&lt;&gt;"",IF(LEFT(INDEX(입력_파견수련계획!$R$4:$R$803,$AF83),1)&lt;&gt;"⚠",INDEX(입력_파견수련계획!$R$4:$R$803,$AF83),IF($H83="","",IF(RIGHT($H83,2)="병원",$H83,$H83&amp;"병원"))),IF($H83="","",IF(RIGHT($H83,2)="병원",$H83,$H83&amp;"병원"))))))</f>
        <v/>
      </c>
      <c r="AF83" s="10">
        <f>IF(OR($B83="",TRIM($J83&amp;"")=""),"",IFERROR(MATCH(TRIM($J83&amp;"")&amp;"|파견중",입력_파견수련계획!$Y$4:$Y$803,0),IFERROR(MATCH(TRIM($J83&amp;"")&amp;"|파견예정",입력_파견수련계획!$Y$4:$Y$803,0),IFERROR(MATCH(TRIM($J83&amp;"")&amp;"|파견종료",입력_파견수련계획!$Y$4:$Y$803,0),""))))</f>
        <v/>
      </c>
      <c r="AG83" s="10">
        <f>IF($B83="","",IF(AND(IF(OR($AC83="",출력_인턴현황!$K$2=""),"",INDEX(입력_인턴근무계획!$M$3:$R$402,$AC83,출력_인턴현황!$K$2)&amp;"")&lt;&gt;"",LEFT(IF(OR($AC83="",출력_인턴현황!$K$2=""),"",INDEX(입력_인턴근무계획!$M$3:$R$402,$AC83,출력_인턴현황!$K$2)&amp;""),1)&lt;&gt;"⚠"),LEFT(IF(OR($AC83="",출력_인턴현황!$K$2=""),"",INDEX(입력_인턴근무계획!$M$3:$R$402,$AC83,출력_인턴현황!$K$2)&amp;""),FIND(" ",IF(OR($AC83="",출력_인턴현황!$K$2=""),"",INDEX(입력_인턴근무계획!$M$3:$R$402,$AC83,출력_인턴현황!$K$2)&amp;""))-1),$AE83))</f>
        <v/>
      </c>
      <c r="AH83" s="17">
        <f>IF($B83="","",IF($AQ83&lt;&gt;"",MAX(0,DAY(EOMONTH(출력_요약!$B$3,0))-N($AR83)),IF(TRIM($J83&amp;"")="",0,SUMPRODUCT((입력_파견수련계획!$Q$4:$Q$803=TRIM($J83&amp;""))*(입력_파견수련계획!$S$4:$S$803="서울병원")*입력_파견수련계획!$W$4:$W$803))+IF($AG83="서울병원",MAX(0,DAY(EOMONTH(출력_요약!$B$3,0))-N($X83)),0)))</f>
        <v/>
      </c>
      <c r="AI83" s="17">
        <f>IF($B83="","",IF($AQ83&lt;&gt;"",N($AR83),IF(TRIM($J83&amp;"")="",0,SUMPRODUCT((입력_파견수련계획!$Q$4:$Q$803=TRIM($J83&amp;""))*(입력_파견수련계획!$S$4:$S$803="구리병원")*입력_파견수련계획!$W$4:$W$803))+IF($AG83="구리병원",MAX(0,DAY(EOMONTH(출력_요약!$B$3,0))-N($X83)),0)))</f>
        <v/>
      </c>
      <c r="AJ83" s="10">
        <f>IF(OR($B83="",TRIM($J83&amp;"")=""),"",IFERROR(MATCH(TRIM($J83&amp;"")&amp;"|월",입력_파견수련계획!$Z$4:$Z$803,0),""))</f>
        <v/>
      </c>
      <c r="AK83" s="10">
        <f>IF(OR($B83="",TRIM($J83&amp;"")=""),"",IFERROR(MATCH(TRIM($J83&amp;"")&amp;"|다기관",입력_파견수련계획!$AE$4:$AE$803,0),""))</f>
        <v/>
      </c>
      <c r="AL83" s="10">
        <f>IF($AK83="","","다기관 "&amp;TEXT(INDEX(입력_파견수련계획!$AB$4:$AB$803,$AK83),"yyyy-mm-dd")&amp;"~"&amp;IF(ISNUMBER(INDEX(입력_파견수련계획!$AC$4:$AC$803,$AK83)),TEXT(INDEX(입력_파견수련계획!$AC$4:$AC$803,$AK83),"yyyy-mm-dd"),""))</f>
        <v/>
      </c>
      <c r="AM83" s="10">
        <f>IF($Y83="서울병원",COUNTIF($Y$2:$Y83,"서울병원"),"")</f>
        <v/>
      </c>
      <c r="AN83" s="10">
        <f>IF(LEFT($Y83,1)="⚠",COUNTIF($Y$2:$Y83,"⚠*"),"")</f>
        <v/>
      </c>
      <c r="AO83" s="10">
        <f>IF(OR($B83="",$Y83=""),"",IF(IF(TRIM($J83&amp;"")="",0,SUMPRODUCT((입력_파견수련계획!$Q$4:$Q$803=TRIM($J83&amp;""))*입력_파견수련계획!$AD$4:$AD$803))&gt;0,"다기관 기간 → 소속병원 지급",IF(AND(N($X83)&lt;=0,$AQ83=""),"파견 없음 → 그 달 근무병원 지급",IF($AH83+$AI83=DAY(EOMONTH(출력_요약!$B$3,0)),"서울 "&amp;$AH83&amp;"일 / 구리 "&amp;$AI83&amp;"일"&amp;IF($AQ83&lt;&gt;""," (구리 근무자명단 반영)","")&amp;" → 15일 이상 근무 병원 지급","타 병원 포함 → "&amp;IF($AJ83="","소속",INDEX(입력_파견수련계획!$T$4:$T$803,$AJ83))&amp;" 규칙"))))</f>
        <v/>
      </c>
      <c r="AP83" s="10">
        <f>IF($B83="","",$C83&amp;"|"&amp;$F83)</f>
        <v/>
      </c>
      <c r="AQ83" s="10">
        <f>IF($B83="","",IFERROR(MATCH(ROW()-1,출력_구리근무자!$K$6:$K$305,0),""))</f>
        <v/>
      </c>
      <c r="AR83" s="10">
        <f>IF($AQ83="","",INDEX(출력_구리근무자!$H$6:$H$305,$AQ83))</f>
        <v/>
      </c>
    </row>
    <row r="84">
      <c r="A84" s="10">
        <f>IF(B84="","",ROW()-1)</f>
        <v/>
      </c>
      <c r="B84" s="19" t="n"/>
      <c r="C84" s="10">
        <f>IF($AB84="","",IF(INDEX(입력_기본자료!$C$2:$C$1001,$AB84)="","",INDEX(입력_기본자료!$C$2:$C$1001,$AB84)))</f>
        <v/>
      </c>
      <c r="D84" s="10">
        <f>IF($AB84="","",IF(INDEX(입력_기본자료!$J$2:$J$1001,$AB84)="","",INDEX(입력_기본자료!$J$2:$J$1001,$AB84)))</f>
        <v/>
      </c>
      <c r="E84" s="11">
        <f>IF($AB84="","",IF(INDEX(입력_기본자료!$K$2:$K$1001,$AB84)="","",IF(NOT(ISNUMBER(INDEX(입력_기본자료!$K$2:$K$1001,$AB84))),INDEX(입력_기본자료!$K$2:$K$1001,$AB84),IF(INDEX(입력_기본자료!$K$2:$K$1001,$AB84)&lt;1000000,INDEX(입력_기본자료!$K$2:$K$1001,$AB84),IF(AND(INDEX(입력_기본자료!$K$2:$K$1001,$AB84)&gt;=10000101,INT(MOD(INDEX(입력_기본자료!$K$2:$K$1001,$AB84),10000)/100)&gt;=1,INT(MOD(INDEX(입력_기본자료!$K$2:$K$1001,$AB84),10000)/100)&lt;=12,MOD(INDEX(입력_기본자료!$K$2:$K$1001,$AB84),100)&gt;=1,MOD(INDEX(입력_기본자료!$K$2:$K$1001,$AB84),100)&lt;=31),DATE(INT(INDEX(입력_기본자료!$K$2:$K$1001,$AB84)/10000),INT(MOD(INDEX(입력_기본자료!$K$2:$K$1001,$AB84),10000)/100),MOD(INDEX(입력_기본자료!$K$2:$K$1001,$AB84),100)),INDEX(입력_기본자료!$K$2:$K$1001,$AB84)&amp;"")))))</f>
        <v/>
      </c>
      <c r="F84" s="10">
        <f>IF($AB84="","",IF(INDEX(입력_기본자료!$D$2:$D$1001,$AB84)="","",INDEX(입력_기본자료!$D$2:$D$1001,$AB84)))</f>
        <v/>
      </c>
      <c r="G84" s="10">
        <f>IF($AB84="","",IF(INDEX(입력_기본자료!$E$2:$E$1001,$AB84)="","",INDEX(입력_기본자료!$E$2:$E$1001,$AB84)))</f>
        <v/>
      </c>
      <c r="H84" s="10">
        <f>IF($AB84="","",IF(INDEX(입력_기본자료!$F$2:$F$1001,$AB84)="","",INDEX(입력_기본자료!$F$2:$F$1001,$AB84)))</f>
        <v/>
      </c>
      <c r="I84" s="11">
        <f>IF($AB84="","",IF(INDEX(입력_기본자료!$G$2:$G$1001,$AB84)="","",IF(NOT(ISNUMBER(INDEX(입력_기본자료!$G$2:$G$1001,$AB84))),INDEX(입력_기본자료!$G$2:$G$1001,$AB84),IF(INDEX(입력_기본자료!$G$2:$G$1001,$AB84)&lt;1000000,INDEX(입력_기본자료!$G$2:$G$1001,$AB84),IF(AND(INDEX(입력_기본자료!$G$2:$G$1001,$AB84)&gt;=10000101,INT(MOD(INDEX(입력_기본자료!$G$2:$G$1001,$AB84),10000)/100)&gt;=1,INT(MOD(INDEX(입력_기본자료!$G$2:$G$1001,$AB84),10000)/100)&lt;=12,MOD(INDEX(입력_기본자료!$G$2:$G$1001,$AB84),100)&gt;=1,MOD(INDEX(입력_기본자료!$G$2:$G$1001,$AB84),100)&lt;=31),DATE(INT(INDEX(입력_기본자료!$G$2:$G$1001,$AB84)/10000),INT(MOD(INDEX(입력_기본자료!$G$2:$G$1001,$AB84),10000)/100),MOD(INDEX(입력_기본자료!$G$2:$G$1001,$AB84),100)),INDEX(입력_기본자료!$G$2:$G$1001,$AB84)&amp;"")))))</f>
        <v/>
      </c>
      <c r="J84" s="10">
        <f>IF($AB84="","",IF(INDEX(입력_기본자료!$H$2:$H$1001,$AB84)="","",INDEX(입력_기본자료!$H$2:$H$1001,$AB84)))</f>
        <v/>
      </c>
      <c r="K84" s="10">
        <f>IF($AB84="","",IF(INDEX(입력_기본자료!$I$2:$I$1001,$AB84)="","",INDEX(입력_기본자료!$I$2:$I$1001,$AB84)))</f>
        <v/>
      </c>
      <c r="L84" s="10">
        <f>IF($AB84="","",IF(INDEX(입력_기본자료!$A$2:$A$1001,$AB84)="","",INDEX(입력_기본자료!$A$2:$A$1001,$AB84)))</f>
        <v/>
      </c>
      <c r="M84" s="15" t="n"/>
      <c r="N84" s="10">
        <f>IF($B84="","",IF(AND($U84="파견중",$Q84&lt;&gt;""),$Q84,IF(AND($AD84&lt;&gt;"",LEFT($AD84,1)&lt;&gt;"⚠"),LEFT($AD84,FIND(" ",$AD84)-1),IF($H84="","",IF(RIGHT($H84,2)="병원",$H84,$H84&amp;"병원")))))</f>
        <v/>
      </c>
      <c r="O84" s="10">
        <f>IF($B84="","",IF(AND($U84="파견중",$Q84&lt;&gt;""),IF($R84&lt;&gt;"",$R84,"파견과 미입력"),IF(AND($AD84&lt;&gt;"",LEFT($AD84,1)&lt;&gt;"⚠"),MID($AD84,FIND(" ",$AD84)+1,60),IF($F84="","",IF($F84="인턴","수련교육부(인턴)",$F84)))))</f>
        <v/>
      </c>
      <c r="P84" s="10">
        <f>IF($B84="","",IF($AK84&lt;&gt;"",IF(AND(TODAY()&gt;=INDEX(입력_파견수련계획!$AB$4:$AB$803,$AK84),OR(NOT(ISNUMBER(INDEX(입력_파견수련계획!$AC$4:$AC$803,$AK84))),TODAY()&lt;=INDEX(입력_파견수련계획!$AC$4:$AC$803,$AK84))),"다기관",IF($AF84="","",INDEX(입력_파견수련계획!$T$4:$T$803,$AF84))),IF($AF84="","",INDEX(입력_파견수련계획!$T$4:$T$803,$AF84))))</f>
        <v/>
      </c>
      <c r="Q84" s="10">
        <f>IF($AF84="","",INDEX(입력_파견수련계획!$S$4:$S$803,$AF84))</f>
        <v/>
      </c>
      <c r="R84" s="10">
        <f>IF($AF84="","",INDEX(입력_파견수련계획!$U$4:$U$803,$AF84))</f>
        <v/>
      </c>
      <c r="S84" s="11">
        <f>IF($AF84="","",IF(INDEX(입력_파견수련계획!$H$4:$H$803,$AF84)="","",INDEX(입력_파견수련계획!$H$4:$H$803,$AF84)))</f>
        <v/>
      </c>
      <c r="T84" s="11">
        <f>IF($AF84="","",IF(INDEX(입력_파견수련계획!$I$4:$I$803,$AF84)="","",INDEX(입력_파견수련계획!$I$4:$I$803,$AF84)))</f>
        <v/>
      </c>
      <c r="U84" s="10">
        <f>IF($AF84="","",INDEX(입력_파견수련계획!$X$4:$X$803,$AF84))</f>
        <v/>
      </c>
      <c r="V84" s="17">
        <f>IF($AF84="","",INDEX(입력_파견수련계획!$V$4:$V$803,$AF84))</f>
        <v/>
      </c>
      <c r="W84" s="17">
        <f>IF(AND($U84="파견중",$T84&lt;&gt;""),$T84-TODAY(),"")</f>
        <v/>
      </c>
      <c r="X84" s="17">
        <f>IF(OR($B84="",TRIM($J84&amp;"")=""),"",SUMPRODUCT((입력_파견수련계획!$Q$4:$Q$803=TRIM($J84&amp;""))*입력_파견수련계획!$W$4:$W$803))</f>
        <v/>
      </c>
      <c r="Y84" s="10">
        <f>IF($B84="","",IF($AG84="","",IF(IF(TRIM($J84&amp;"")="",0,SUMPRODUCT((입력_파견수련계획!$Q$4:$Q$803=TRIM($J84&amp;""))*입력_파견수련계획!$AD$4:$AD$803))&gt;0,$AE84,IF(AND(N($X84)&lt;=0,$AQ84=""),$AG84,IF($AH84+$AI84=DAY(EOMONTH(출력_요약!$B$3,0)),IF(AND($AH84&gt;=출력_요약!$E$3,$AI84&lt;출력_요약!$E$3),"서울병원",IF(AND($AI84&gt;=출력_요약!$E$3,$AH84&lt;출력_요약!$E$3),"구리병원","⚠15일 판정불가(서울 "&amp;$AH84&amp;"일/구리 "&amp;$AI84&amp;"일)")),IF($AJ84="",$AE84,IF(INDEX(입력_파견수련계획!$T$4:$T$803,$AJ84)="통합수련",INDEX(입력_파견수련계획!$S$4:$S$803,$AJ84),$AE84)))))))</f>
        <v/>
      </c>
      <c r="Z84" s="20">
        <f>IF($B84="","",IF($AB84="","기본자료에 없는 사번",IF(COUNTIF($B$2:$B$401,$B84)&gt;1,"중복 사번",IF($AE84="","소속(입사장소) 입력",IF(IF(TRIM($J84&amp;"")="",0,SUMPRODUCT((입력_파견수련계획!$Q$4:$Q$803=TRIM($J84&amp;""))*(입력_파견수련계획!$AA$4:$AA$803&lt;&gt;"")))&gt;0,"파견수련계획 입력오류 확인",IF(LEFT($Y84,1)="⚠","서울·구리 15일 판정 불가(양쪽 모두 이상/미만)",IF(IF($AC84="",0,N(INDEX(입력_인턴근무계획!$T$3:$T$402,$AC84)))&gt;0,"인턴계획 입력오류 확인",IF(AND($AQ84&lt;&gt;"",$AG84&lt;&gt;"구리병원",IF(TRIM($J84&amp;"")="",0,SUMPRODUCT((입력_파견수련계획!$Q$4:$Q$803=TRIM($J84&amp;""))*(입력_파견수련계획!$S$4:$S$803="구리병원")*입력_파견수련계획!$W$4:$W$803))=0),"구리 근무자명단에만 있음(파견수련계획 확인)",IF(AND($AC84&lt;&gt;"",$U84&lt;&gt;"파견중",$N84&lt;&gt;$AE84),"인턴 타지역 근무: 파견 여부 확인","정상")))))))))</f>
        <v/>
      </c>
      <c r="AA84" s="5" t="n"/>
      <c r="AB84" s="10">
        <f>IF($B84="","",IFERROR(MATCH($B84,입력_기본자료!$B$2:$B$1001,0),IFERROR(MATCH($B84&amp;"",입력_기본자료!$B$2:$B$1001,0),IFERROR(MATCH(VALUE($B84),입력_기본자료!$B$2:$B$1001,0),""))))</f>
        <v/>
      </c>
      <c r="AC84" s="10">
        <f>IF($B84="","",IFERROR(MATCH($B84,입력_인턴근무계획!$D$3:$D$402,0),IFERROR(MATCH($B84&amp;"",입력_인턴근무계획!$D$3:$D$402,0),IFERROR(MATCH(VALUE($B84),입력_인턴근무계획!$D$3:$D$402,0),""))))</f>
        <v/>
      </c>
      <c r="AD84" s="10">
        <f>IF(OR($AC84="",출력_인턴현황!$G$3=""),"",INDEX(입력_인턴근무계획!$M$3:$R$402,$AC84,출력_인턴현황!$G$3)&amp;"")</f>
        <v/>
      </c>
      <c r="AE84" s="10">
        <f>IF($B84="","",IF($M84&lt;&gt;"",$M84,IF(IF($AQ84="",FALSE,INDEX(출력_구리근무자!$J$6:$J$305,$AQ84)="구리독자"),"구리병원",IF($AF84&lt;&gt;"",IF(LEFT(INDEX(입력_파견수련계획!$R$4:$R$803,$AF84),1)&lt;&gt;"⚠",INDEX(입력_파견수련계획!$R$4:$R$803,$AF84),IF($H84="","",IF(RIGHT($H84,2)="병원",$H84,$H84&amp;"병원"))),IF($H84="","",IF(RIGHT($H84,2)="병원",$H84,$H84&amp;"병원"))))))</f>
        <v/>
      </c>
      <c r="AF84" s="10">
        <f>IF(OR($B84="",TRIM($J84&amp;"")=""),"",IFERROR(MATCH(TRIM($J84&amp;"")&amp;"|파견중",입력_파견수련계획!$Y$4:$Y$803,0),IFERROR(MATCH(TRIM($J84&amp;"")&amp;"|파견예정",입력_파견수련계획!$Y$4:$Y$803,0),IFERROR(MATCH(TRIM($J84&amp;"")&amp;"|파견종료",입력_파견수련계획!$Y$4:$Y$803,0),""))))</f>
        <v/>
      </c>
      <c r="AG84" s="10">
        <f>IF($B84="","",IF(AND(IF(OR($AC84="",출력_인턴현황!$K$2=""),"",INDEX(입력_인턴근무계획!$M$3:$R$402,$AC84,출력_인턴현황!$K$2)&amp;"")&lt;&gt;"",LEFT(IF(OR($AC84="",출력_인턴현황!$K$2=""),"",INDEX(입력_인턴근무계획!$M$3:$R$402,$AC84,출력_인턴현황!$K$2)&amp;""),1)&lt;&gt;"⚠"),LEFT(IF(OR($AC84="",출력_인턴현황!$K$2=""),"",INDEX(입력_인턴근무계획!$M$3:$R$402,$AC84,출력_인턴현황!$K$2)&amp;""),FIND(" ",IF(OR($AC84="",출력_인턴현황!$K$2=""),"",INDEX(입력_인턴근무계획!$M$3:$R$402,$AC84,출력_인턴현황!$K$2)&amp;""))-1),$AE84))</f>
        <v/>
      </c>
      <c r="AH84" s="17">
        <f>IF($B84="","",IF($AQ84&lt;&gt;"",MAX(0,DAY(EOMONTH(출력_요약!$B$3,0))-N($AR84)),IF(TRIM($J84&amp;"")="",0,SUMPRODUCT((입력_파견수련계획!$Q$4:$Q$803=TRIM($J84&amp;""))*(입력_파견수련계획!$S$4:$S$803="서울병원")*입력_파견수련계획!$W$4:$W$803))+IF($AG84="서울병원",MAX(0,DAY(EOMONTH(출력_요약!$B$3,0))-N($X84)),0)))</f>
        <v/>
      </c>
      <c r="AI84" s="17">
        <f>IF($B84="","",IF($AQ84&lt;&gt;"",N($AR84),IF(TRIM($J84&amp;"")="",0,SUMPRODUCT((입력_파견수련계획!$Q$4:$Q$803=TRIM($J84&amp;""))*(입력_파견수련계획!$S$4:$S$803="구리병원")*입력_파견수련계획!$W$4:$W$803))+IF($AG84="구리병원",MAX(0,DAY(EOMONTH(출력_요약!$B$3,0))-N($X84)),0)))</f>
        <v/>
      </c>
      <c r="AJ84" s="10">
        <f>IF(OR($B84="",TRIM($J84&amp;"")=""),"",IFERROR(MATCH(TRIM($J84&amp;"")&amp;"|월",입력_파견수련계획!$Z$4:$Z$803,0),""))</f>
        <v/>
      </c>
      <c r="AK84" s="10">
        <f>IF(OR($B84="",TRIM($J84&amp;"")=""),"",IFERROR(MATCH(TRIM($J84&amp;"")&amp;"|다기관",입력_파견수련계획!$AE$4:$AE$803,0),""))</f>
        <v/>
      </c>
      <c r="AL84" s="10">
        <f>IF($AK84="","","다기관 "&amp;TEXT(INDEX(입력_파견수련계획!$AB$4:$AB$803,$AK84),"yyyy-mm-dd")&amp;"~"&amp;IF(ISNUMBER(INDEX(입력_파견수련계획!$AC$4:$AC$803,$AK84)),TEXT(INDEX(입력_파견수련계획!$AC$4:$AC$803,$AK84),"yyyy-mm-dd"),""))</f>
        <v/>
      </c>
      <c r="AM84" s="10">
        <f>IF($Y84="서울병원",COUNTIF($Y$2:$Y84,"서울병원"),"")</f>
        <v/>
      </c>
      <c r="AN84" s="10">
        <f>IF(LEFT($Y84,1)="⚠",COUNTIF($Y$2:$Y84,"⚠*"),"")</f>
        <v/>
      </c>
      <c r="AO84" s="10">
        <f>IF(OR($B84="",$Y84=""),"",IF(IF(TRIM($J84&amp;"")="",0,SUMPRODUCT((입력_파견수련계획!$Q$4:$Q$803=TRIM($J84&amp;""))*입력_파견수련계획!$AD$4:$AD$803))&gt;0,"다기관 기간 → 소속병원 지급",IF(AND(N($X84)&lt;=0,$AQ84=""),"파견 없음 → 그 달 근무병원 지급",IF($AH84+$AI84=DAY(EOMONTH(출력_요약!$B$3,0)),"서울 "&amp;$AH84&amp;"일 / 구리 "&amp;$AI84&amp;"일"&amp;IF($AQ84&lt;&gt;""," (구리 근무자명단 반영)","")&amp;" → 15일 이상 근무 병원 지급","타 병원 포함 → "&amp;IF($AJ84="","소속",INDEX(입력_파견수련계획!$T$4:$T$803,$AJ84))&amp;" 규칙"))))</f>
        <v/>
      </c>
      <c r="AP84" s="10">
        <f>IF($B84="","",$C84&amp;"|"&amp;$F84)</f>
        <v/>
      </c>
      <c r="AQ84" s="10">
        <f>IF($B84="","",IFERROR(MATCH(ROW()-1,출력_구리근무자!$K$6:$K$305,0),""))</f>
        <v/>
      </c>
      <c r="AR84" s="10">
        <f>IF($AQ84="","",INDEX(출력_구리근무자!$H$6:$H$305,$AQ84))</f>
        <v/>
      </c>
    </row>
    <row r="85">
      <c r="A85" s="10">
        <f>IF(B85="","",ROW()-1)</f>
        <v/>
      </c>
      <c r="B85" s="19" t="n"/>
      <c r="C85" s="10">
        <f>IF($AB85="","",IF(INDEX(입력_기본자료!$C$2:$C$1001,$AB85)="","",INDEX(입력_기본자료!$C$2:$C$1001,$AB85)))</f>
        <v/>
      </c>
      <c r="D85" s="10">
        <f>IF($AB85="","",IF(INDEX(입력_기본자료!$J$2:$J$1001,$AB85)="","",INDEX(입력_기본자료!$J$2:$J$1001,$AB85)))</f>
        <v/>
      </c>
      <c r="E85" s="11">
        <f>IF($AB85="","",IF(INDEX(입력_기본자료!$K$2:$K$1001,$AB85)="","",IF(NOT(ISNUMBER(INDEX(입력_기본자료!$K$2:$K$1001,$AB85))),INDEX(입력_기본자료!$K$2:$K$1001,$AB85),IF(INDEX(입력_기본자료!$K$2:$K$1001,$AB85)&lt;1000000,INDEX(입력_기본자료!$K$2:$K$1001,$AB85),IF(AND(INDEX(입력_기본자료!$K$2:$K$1001,$AB85)&gt;=10000101,INT(MOD(INDEX(입력_기본자료!$K$2:$K$1001,$AB85),10000)/100)&gt;=1,INT(MOD(INDEX(입력_기본자료!$K$2:$K$1001,$AB85),10000)/100)&lt;=12,MOD(INDEX(입력_기본자료!$K$2:$K$1001,$AB85),100)&gt;=1,MOD(INDEX(입력_기본자료!$K$2:$K$1001,$AB85),100)&lt;=31),DATE(INT(INDEX(입력_기본자료!$K$2:$K$1001,$AB85)/10000),INT(MOD(INDEX(입력_기본자료!$K$2:$K$1001,$AB85),10000)/100),MOD(INDEX(입력_기본자료!$K$2:$K$1001,$AB85),100)),INDEX(입력_기본자료!$K$2:$K$1001,$AB85)&amp;"")))))</f>
        <v/>
      </c>
      <c r="F85" s="10">
        <f>IF($AB85="","",IF(INDEX(입력_기본자료!$D$2:$D$1001,$AB85)="","",INDEX(입력_기본자료!$D$2:$D$1001,$AB85)))</f>
        <v/>
      </c>
      <c r="G85" s="10">
        <f>IF($AB85="","",IF(INDEX(입력_기본자료!$E$2:$E$1001,$AB85)="","",INDEX(입력_기본자료!$E$2:$E$1001,$AB85)))</f>
        <v/>
      </c>
      <c r="H85" s="10">
        <f>IF($AB85="","",IF(INDEX(입력_기본자료!$F$2:$F$1001,$AB85)="","",INDEX(입력_기본자료!$F$2:$F$1001,$AB85)))</f>
        <v/>
      </c>
      <c r="I85" s="11">
        <f>IF($AB85="","",IF(INDEX(입력_기본자료!$G$2:$G$1001,$AB85)="","",IF(NOT(ISNUMBER(INDEX(입력_기본자료!$G$2:$G$1001,$AB85))),INDEX(입력_기본자료!$G$2:$G$1001,$AB85),IF(INDEX(입력_기본자료!$G$2:$G$1001,$AB85)&lt;1000000,INDEX(입력_기본자료!$G$2:$G$1001,$AB85),IF(AND(INDEX(입력_기본자료!$G$2:$G$1001,$AB85)&gt;=10000101,INT(MOD(INDEX(입력_기본자료!$G$2:$G$1001,$AB85),10000)/100)&gt;=1,INT(MOD(INDEX(입력_기본자료!$G$2:$G$1001,$AB85),10000)/100)&lt;=12,MOD(INDEX(입력_기본자료!$G$2:$G$1001,$AB85),100)&gt;=1,MOD(INDEX(입력_기본자료!$G$2:$G$1001,$AB85),100)&lt;=31),DATE(INT(INDEX(입력_기본자료!$G$2:$G$1001,$AB85)/10000),INT(MOD(INDEX(입력_기본자료!$G$2:$G$1001,$AB85),10000)/100),MOD(INDEX(입력_기본자료!$G$2:$G$1001,$AB85),100)),INDEX(입력_기본자료!$G$2:$G$1001,$AB85)&amp;"")))))</f>
        <v/>
      </c>
      <c r="J85" s="10">
        <f>IF($AB85="","",IF(INDEX(입력_기본자료!$H$2:$H$1001,$AB85)="","",INDEX(입력_기본자료!$H$2:$H$1001,$AB85)))</f>
        <v/>
      </c>
      <c r="K85" s="10">
        <f>IF($AB85="","",IF(INDEX(입력_기본자료!$I$2:$I$1001,$AB85)="","",INDEX(입력_기본자료!$I$2:$I$1001,$AB85)))</f>
        <v/>
      </c>
      <c r="L85" s="10">
        <f>IF($AB85="","",IF(INDEX(입력_기본자료!$A$2:$A$1001,$AB85)="","",INDEX(입력_기본자료!$A$2:$A$1001,$AB85)))</f>
        <v/>
      </c>
      <c r="M85" s="15" t="n"/>
      <c r="N85" s="10">
        <f>IF($B85="","",IF(AND($U85="파견중",$Q85&lt;&gt;""),$Q85,IF(AND($AD85&lt;&gt;"",LEFT($AD85,1)&lt;&gt;"⚠"),LEFT($AD85,FIND(" ",$AD85)-1),IF($H85="","",IF(RIGHT($H85,2)="병원",$H85,$H85&amp;"병원")))))</f>
        <v/>
      </c>
      <c r="O85" s="10">
        <f>IF($B85="","",IF(AND($U85="파견중",$Q85&lt;&gt;""),IF($R85&lt;&gt;"",$R85,"파견과 미입력"),IF(AND($AD85&lt;&gt;"",LEFT($AD85,1)&lt;&gt;"⚠"),MID($AD85,FIND(" ",$AD85)+1,60),IF($F85="","",IF($F85="인턴","수련교육부(인턴)",$F85)))))</f>
        <v/>
      </c>
      <c r="P85" s="10">
        <f>IF($B85="","",IF($AK85&lt;&gt;"",IF(AND(TODAY()&gt;=INDEX(입력_파견수련계획!$AB$4:$AB$803,$AK85),OR(NOT(ISNUMBER(INDEX(입력_파견수련계획!$AC$4:$AC$803,$AK85))),TODAY()&lt;=INDEX(입력_파견수련계획!$AC$4:$AC$803,$AK85))),"다기관",IF($AF85="","",INDEX(입력_파견수련계획!$T$4:$T$803,$AF85))),IF($AF85="","",INDEX(입력_파견수련계획!$T$4:$T$803,$AF85))))</f>
        <v/>
      </c>
      <c r="Q85" s="10">
        <f>IF($AF85="","",INDEX(입력_파견수련계획!$S$4:$S$803,$AF85))</f>
        <v/>
      </c>
      <c r="R85" s="10">
        <f>IF($AF85="","",INDEX(입력_파견수련계획!$U$4:$U$803,$AF85))</f>
        <v/>
      </c>
      <c r="S85" s="11">
        <f>IF($AF85="","",IF(INDEX(입력_파견수련계획!$H$4:$H$803,$AF85)="","",INDEX(입력_파견수련계획!$H$4:$H$803,$AF85)))</f>
        <v/>
      </c>
      <c r="T85" s="11">
        <f>IF($AF85="","",IF(INDEX(입력_파견수련계획!$I$4:$I$803,$AF85)="","",INDEX(입력_파견수련계획!$I$4:$I$803,$AF85)))</f>
        <v/>
      </c>
      <c r="U85" s="10">
        <f>IF($AF85="","",INDEX(입력_파견수련계획!$X$4:$X$803,$AF85))</f>
        <v/>
      </c>
      <c r="V85" s="17">
        <f>IF($AF85="","",INDEX(입력_파견수련계획!$V$4:$V$803,$AF85))</f>
        <v/>
      </c>
      <c r="W85" s="17">
        <f>IF(AND($U85="파견중",$T85&lt;&gt;""),$T85-TODAY(),"")</f>
        <v/>
      </c>
      <c r="X85" s="17">
        <f>IF(OR($B85="",TRIM($J85&amp;"")=""),"",SUMPRODUCT((입력_파견수련계획!$Q$4:$Q$803=TRIM($J85&amp;""))*입력_파견수련계획!$W$4:$W$803))</f>
        <v/>
      </c>
      <c r="Y85" s="10">
        <f>IF($B85="","",IF($AG85="","",IF(IF(TRIM($J85&amp;"")="",0,SUMPRODUCT((입력_파견수련계획!$Q$4:$Q$803=TRIM($J85&amp;""))*입력_파견수련계획!$AD$4:$AD$803))&gt;0,$AE85,IF(AND(N($X85)&lt;=0,$AQ85=""),$AG85,IF($AH85+$AI85=DAY(EOMONTH(출력_요약!$B$3,0)),IF(AND($AH85&gt;=출력_요약!$E$3,$AI85&lt;출력_요약!$E$3),"서울병원",IF(AND($AI85&gt;=출력_요약!$E$3,$AH85&lt;출력_요약!$E$3),"구리병원","⚠15일 판정불가(서울 "&amp;$AH85&amp;"일/구리 "&amp;$AI85&amp;"일)")),IF($AJ85="",$AE85,IF(INDEX(입력_파견수련계획!$T$4:$T$803,$AJ85)="통합수련",INDEX(입력_파견수련계획!$S$4:$S$803,$AJ85),$AE85)))))))</f>
        <v/>
      </c>
      <c r="Z85" s="20">
        <f>IF($B85="","",IF($AB85="","기본자료에 없는 사번",IF(COUNTIF($B$2:$B$401,$B85)&gt;1,"중복 사번",IF($AE85="","소속(입사장소) 입력",IF(IF(TRIM($J85&amp;"")="",0,SUMPRODUCT((입력_파견수련계획!$Q$4:$Q$803=TRIM($J85&amp;""))*(입력_파견수련계획!$AA$4:$AA$803&lt;&gt;"")))&gt;0,"파견수련계획 입력오류 확인",IF(LEFT($Y85,1)="⚠","서울·구리 15일 판정 불가(양쪽 모두 이상/미만)",IF(IF($AC85="",0,N(INDEX(입력_인턴근무계획!$T$3:$T$402,$AC85)))&gt;0,"인턴계획 입력오류 확인",IF(AND($AQ85&lt;&gt;"",$AG85&lt;&gt;"구리병원",IF(TRIM($J85&amp;"")="",0,SUMPRODUCT((입력_파견수련계획!$Q$4:$Q$803=TRIM($J85&amp;""))*(입력_파견수련계획!$S$4:$S$803="구리병원")*입력_파견수련계획!$W$4:$W$803))=0),"구리 근무자명단에만 있음(파견수련계획 확인)",IF(AND($AC85&lt;&gt;"",$U85&lt;&gt;"파견중",$N85&lt;&gt;$AE85),"인턴 타지역 근무: 파견 여부 확인","정상")))))))))</f>
        <v/>
      </c>
      <c r="AA85" s="5" t="n"/>
      <c r="AB85" s="10">
        <f>IF($B85="","",IFERROR(MATCH($B85,입력_기본자료!$B$2:$B$1001,0),IFERROR(MATCH($B85&amp;"",입력_기본자료!$B$2:$B$1001,0),IFERROR(MATCH(VALUE($B85),입력_기본자료!$B$2:$B$1001,0),""))))</f>
        <v/>
      </c>
      <c r="AC85" s="10">
        <f>IF($B85="","",IFERROR(MATCH($B85,입력_인턴근무계획!$D$3:$D$402,0),IFERROR(MATCH($B85&amp;"",입력_인턴근무계획!$D$3:$D$402,0),IFERROR(MATCH(VALUE($B85),입력_인턴근무계획!$D$3:$D$402,0),""))))</f>
        <v/>
      </c>
      <c r="AD85" s="10">
        <f>IF(OR($AC85="",출력_인턴현황!$G$3=""),"",INDEX(입력_인턴근무계획!$M$3:$R$402,$AC85,출력_인턴현황!$G$3)&amp;"")</f>
        <v/>
      </c>
      <c r="AE85" s="10">
        <f>IF($B85="","",IF($M85&lt;&gt;"",$M85,IF(IF($AQ85="",FALSE,INDEX(출력_구리근무자!$J$6:$J$305,$AQ85)="구리독자"),"구리병원",IF($AF85&lt;&gt;"",IF(LEFT(INDEX(입력_파견수련계획!$R$4:$R$803,$AF85),1)&lt;&gt;"⚠",INDEX(입력_파견수련계획!$R$4:$R$803,$AF85),IF($H85="","",IF(RIGHT($H85,2)="병원",$H85,$H85&amp;"병원"))),IF($H85="","",IF(RIGHT($H85,2)="병원",$H85,$H85&amp;"병원"))))))</f>
        <v/>
      </c>
      <c r="AF85" s="10">
        <f>IF(OR($B85="",TRIM($J85&amp;"")=""),"",IFERROR(MATCH(TRIM($J85&amp;"")&amp;"|파견중",입력_파견수련계획!$Y$4:$Y$803,0),IFERROR(MATCH(TRIM($J85&amp;"")&amp;"|파견예정",입력_파견수련계획!$Y$4:$Y$803,0),IFERROR(MATCH(TRIM($J85&amp;"")&amp;"|파견종료",입력_파견수련계획!$Y$4:$Y$803,0),""))))</f>
        <v/>
      </c>
      <c r="AG85" s="10">
        <f>IF($B85="","",IF(AND(IF(OR($AC85="",출력_인턴현황!$K$2=""),"",INDEX(입력_인턴근무계획!$M$3:$R$402,$AC85,출력_인턴현황!$K$2)&amp;"")&lt;&gt;"",LEFT(IF(OR($AC85="",출력_인턴현황!$K$2=""),"",INDEX(입력_인턴근무계획!$M$3:$R$402,$AC85,출력_인턴현황!$K$2)&amp;""),1)&lt;&gt;"⚠"),LEFT(IF(OR($AC85="",출력_인턴현황!$K$2=""),"",INDEX(입력_인턴근무계획!$M$3:$R$402,$AC85,출력_인턴현황!$K$2)&amp;""),FIND(" ",IF(OR($AC85="",출력_인턴현황!$K$2=""),"",INDEX(입력_인턴근무계획!$M$3:$R$402,$AC85,출력_인턴현황!$K$2)&amp;""))-1),$AE85))</f>
        <v/>
      </c>
      <c r="AH85" s="17">
        <f>IF($B85="","",IF($AQ85&lt;&gt;"",MAX(0,DAY(EOMONTH(출력_요약!$B$3,0))-N($AR85)),IF(TRIM($J85&amp;"")="",0,SUMPRODUCT((입력_파견수련계획!$Q$4:$Q$803=TRIM($J85&amp;""))*(입력_파견수련계획!$S$4:$S$803="서울병원")*입력_파견수련계획!$W$4:$W$803))+IF($AG85="서울병원",MAX(0,DAY(EOMONTH(출력_요약!$B$3,0))-N($X85)),0)))</f>
        <v/>
      </c>
      <c r="AI85" s="17">
        <f>IF($B85="","",IF($AQ85&lt;&gt;"",N($AR85),IF(TRIM($J85&amp;"")="",0,SUMPRODUCT((입력_파견수련계획!$Q$4:$Q$803=TRIM($J85&amp;""))*(입력_파견수련계획!$S$4:$S$803="구리병원")*입력_파견수련계획!$W$4:$W$803))+IF($AG85="구리병원",MAX(0,DAY(EOMONTH(출력_요약!$B$3,0))-N($X85)),0)))</f>
        <v/>
      </c>
      <c r="AJ85" s="10">
        <f>IF(OR($B85="",TRIM($J85&amp;"")=""),"",IFERROR(MATCH(TRIM($J85&amp;"")&amp;"|월",입력_파견수련계획!$Z$4:$Z$803,0),""))</f>
        <v/>
      </c>
      <c r="AK85" s="10">
        <f>IF(OR($B85="",TRIM($J85&amp;"")=""),"",IFERROR(MATCH(TRIM($J85&amp;"")&amp;"|다기관",입력_파견수련계획!$AE$4:$AE$803,0),""))</f>
        <v/>
      </c>
      <c r="AL85" s="10">
        <f>IF($AK85="","","다기관 "&amp;TEXT(INDEX(입력_파견수련계획!$AB$4:$AB$803,$AK85),"yyyy-mm-dd")&amp;"~"&amp;IF(ISNUMBER(INDEX(입력_파견수련계획!$AC$4:$AC$803,$AK85)),TEXT(INDEX(입력_파견수련계획!$AC$4:$AC$803,$AK85),"yyyy-mm-dd"),""))</f>
        <v/>
      </c>
      <c r="AM85" s="10">
        <f>IF($Y85="서울병원",COUNTIF($Y$2:$Y85,"서울병원"),"")</f>
        <v/>
      </c>
      <c r="AN85" s="10">
        <f>IF(LEFT($Y85,1)="⚠",COUNTIF($Y$2:$Y85,"⚠*"),"")</f>
        <v/>
      </c>
      <c r="AO85" s="10">
        <f>IF(OR($B85="",$Y85=""),"",IF(IF(TRIM($J85&amp;"")="",0,SUMPRODUCT((입력_파견수련계획!$Q$4:$Q$803=TRIM($J85&amp;""))*입력_파견수련계획!$AD$4:$AD$803))&gt;0,"다기관 기간 → 소속병원 지급",IF(AND(N($X85)&lt;=0,$AQ85=""),"파견 없음 → 그 달 근무병원 지급",IF($AH85+$AI85=DAY(EOMONTH(출력_요약!$B$3,0)),"서울 "&amp;$AH85&amp;"일 / 구리 "&amp;$AI85&amp;"일"&amp;IF($AQ85&lt;&gt;""," (구리 근무자명단 반영)","")&amp;" → 15일 이상 근무 병원 지급","타 병원 포함 → "&amp;IF($AJ85="","소속",INDEX(입력_파견수련계획!$T$4:$T$803,$AJ85))&amp;" 규칙"))))</f>
        <v/>
      </c>
      <c r="AP85" s="10">
        <f>IF($B85="","",$C85&amp;"|"&amp;$F85)</f>
        <v/>
      </c>
      <c r="AQ85" s="10">
        <f>IF($B85="","",IFERROR(MATCH(ROW()-1,출력_구리근무자!$K$6:$K$305,0),""))</f>
        <v/>
      </c>
      <c r="AR85" s="10">
        <f>IF($AQ85="","",INDEX(출력_구리근무자!$H$6:$H$305,$AQ85))</f>
        <v/>
      </c>
    </row>
    <row r="86">
      <c r="A86" s="10">
        <f>IF(B86="","",ROW()-1)</f>
        <v/>
      </c>
      <c r="B86" s="19" t="n"/>
      <c r="C86" s="10">
        <f>IF($AB86="","",IF(INDEX(입력_기본자료!$C$2:$C$1001,$AB86)="","",INDEX(입력_기본자료!$C$2:$C$1001,$AB86)))</f>
        <v/>
      </c>
      <c r="D86" s="10">
        <f>IF($AB86="","",IF(INDEX(입력_기본자료!$J$2:$J$1001,$AB86)="","",INDEX(입력_기본자료!$J$2:$J$1001,$AB86)))</f>
        <v/>
      </c>
      <c r="E86" s="11">
        <f>IF($AB86="","",IF(INDEX(입력_기본자료!$K$2:$K$1001,$AB86)="","",IF(NOT(ISNUMBER(INDEX(입력_기본자료!$K$2:$K$1001,$AB86))),INDEX(입력_기본자료!$K$2:$K$1001,$AB86),IF(INDEX(입력_기본자료!$K$2:$K$1001,$AB86)&lt;1000000,INDEX(입력_기본자료!$K$2:$K$1001,$AB86),IF(AND(INDEX(입력_기본자료!$K$2:$K$1001,$AB86)&gt;=10000101,INT(MOD(INDEX(입력_기본자료!$K$2:$K$1001,$AB86),10000)/100)&gt;=1,INT(MOD(INDEX(입력_기본자료!$K$2:$K$1001,$AB86),10000)/100)&lt;=12,MOD(INDEX(입력_기본자료!$K$2:$K$1001,$AB86),100)&gt;=1,MOD(INDEX(입력_기본자료!$K$2:$K$1001,$AB86),100)&lt;=31),DATE(INT(INDEX(입력_기본자료!$K$2:$K$1001,$AB86)/10000),INT(MOD(INDEX(입력_기본자료!$K$2:$K$1001,$AB86),10000)/100),MOD(INDEX(입력_기본자료!$K$2:$K$1001,$AB86),100)),INDEX(입력_기본자료!$K$2:$K$1001,$AB86)&amp;"")))))</f>
        <v/>
      </c>
      <c r="F86" s="10">
        <f>IF($AB86="","",IF(INDEX(입력_기본자료!$D$2:$D$1001,$AB86)="","",INDEX(입력_기본자료!$D$2:$D$1001,$AB86)))</f>
        <v/>
      </c>
      <c r="G86" s="10">
        <f>IF($AB86="","",IF(INDEX(입력_기본자료!$E$2:$E$1001,$AB86)="","",INDEX(입력_기본자료!$E$2:$E$1001,$AB86)))</f>
        <v/>
      </c>
      <c r="H86" s="10">
        <f>IF($AB86="","",IF(INDEX(입력_기본자료!$F$2:$F$1001,$AB86)="","",INDEX(입력_기본자료!$F$2:$F$1001,$AB86)))</f>
        <v/>
      </c>
      <c r="I86" s="11">
        <f>IF($AB86="","",IF(INDEX(입력_기본자료!$G$2:$G$1001,$AB86)="","",IF(NOT(ISNUMBER(INDEX(입력_기본자료!$G$2:$G$1001,$AB86))),INDEX(입력_기본자료!$G$2:$G$1001,$AB86),IF(INDEX(입력_기본자료!$G$2:$G$1001,$AB86)&lt;1000000,INDEX(입력_기본자료!$G$2:$G$1001,$AB86),IF(AND(INDEX(입력_기본자료!$G$2:$G$1001,$AB86)&gt;=10000101,INT(MOD(INDEX(입력_기본자료!$G$2:$G$1001,$AB86),10000)/100)&gt;=1,INT(MOD(INDEX(입력_기본자료!$G$2:$G$1001,$AB86),10000)/100)&lt;=12,MOD(INDEX(입력_기본자료!$G$2:$G$1001,$AB86),100)&gt;=1,MOD(INDEX(입력_기본자료!$G$2:$G$1001,$AB86),100)&lt;=31),DATE(INT(INDEX(입력_기본자료!$G$2:$G$1001,$AB86)/10000),INT(MOD(INDEX(입력_기본자료!$G$2:$G$1001,$AB86),10000)/100),MOD(INDEX(입력_기본자료!$G$2:$G$1001,$AB86),100)),INDEX(입력_기본자료!$G$2:$G$1001,$AB86)&amp;"")))))</f>
        <v/>
      </c>
      <c r="J86" s="10">
        <f>IF($AB86="","",IF(INDEX(입력_기본자료!$H$2:$H$1001,$AB86)="","",INDEX(입력_기본자료!$H$2:$H$1001,$AB86)))</f>
        <v/>
      </c>
      <c r="K86" s="10">
        <f>IF($AB86="","",IF(INDEX(입력_기본자료!$I$2:$I$1001,$AB86)="","",INDEX(입력_기본자료!$I$2:$I$1001,$AB86)))</f>
        <v/>
      </c>
      <c r="L86" s="10">
        <f>IF($AB86="","",IF(INDEX(입력_기본자료!$A$2:$A$1001,$AB86)="","",INDEX(입력_기본자료!$A$2:$A$1001,$AB86)))</f>
        <v/>
      </c>
      <c r="M86" s="15" t="n"/>
      <c r="N86" s="10">
        <f>IF($B86="","",IF(AND($U86="파견중",$Q86&lt;&gt;""),$Q86,IF(AND($AD86&lt;&gt;"",LEFT($AD86,1)&lt;&gt;"⚠"),LEFT($AD86,FIND(" ",$AD86)-1),IF($H86="","",IF(RIGHT($H86,2)="병원",$H86,$H86&amp;"병원")))))</f>
        <v/>
      </c>
      <c r="O86" s="10">
        <f>IF($B86="","",IF(AND($U86="파견중",$Q86&lt;&gt;""),IF($R86&lt;&gt;"",$R86,"파견과 미입력"),IF(AND($AD86&lt;&gt;"",LEFT($AD86,1)&lt;&gt;"⚠"),MID($AD86,FIND(" ",$AD86)+1,60),IF($F86="","",IF($F86="인턴","수련교육부(인턴)",$F86)))))</f>
        <v/>
      </c>
      <c r="P86" s="10">
        <f>IF($B86="","",IF($AK86&lt;&gt;"",IF(AND(TODAY()&gt;=INDEX(입력_파견수련계획!$AB$4:$AB$803,$AK86),OR(NOT(ISNUMBER(INDEX(입력_파견수련계획!$AC$4:$AC$803,$AK86))),TODAY()&lt;=INDEX(입력_파견수련계획!$AC$4:$AC$803,$AK86))),"다기관",IF($AF86="","",INDEX(입력_파견수련계획!$T$4:$T$803,$AF86))),IF($AF86="","",INDEX(입력_파견수련계획!$T$4:$T$803,$AF86))))</f>
        <v/>
      </c>
      <c r="Q86" s="10">
        <f>IF($AF86="","",INDEX(입력_파견수련계획!$S$4:$S$803,$AF86))</f>
        <v/>
      </c>
      <c r="R86" s="10">
        <f>IF($AF86="","",INDEX(입력_파견수련계획!$U$4:$U$803,$AF86))</f>
        <v/>
      </c>
      <c r="S86" s="11">
        <f>IF($AF86="","",IF(INDEX(입력_파견수련계획!$H$4:$H$803,$AF86)="","",INDEX(입력_파견수련계획!$H$4:$H$803,$AF86)))</f>
        <v/>
      </c>
      <c r="T86" s="11">
        <f>IF($AF86="","",IF(INDEX(입력_파견수련계획!$I$4:$I$803,$AF86)="","",INDEX(입력_파견수련계획!$I$4:$I$803,$AF86)))</f>
        <v/>
      </c>
      <c r="U86" s="10">
        <f>IF($AF86="","",INDEX(입력_파견수련계획!$X$4:$X$803,$AF86))</f>
        <v/>
      </c>
      <c r="V86" s="17">
        <f>IF($AF86="","",INDEX(입력_파견수련계획!$V$4:$V$803,$AF86))</f>
        <v/>
      </c>
      <c r="W86" s="17">
        <f>IF(AND($U86="파견중",$T86&lt;&gt;""),$T86-TODAY(),"")</f>
        <v/>
      </c>
      <c r="X86" s="17">
        <f>IF(OR($B86="",TRIM($J86&amp;"")=""),"",SUMPRODUCT((입력_파견수련계획!$Q$4:$Q$803=TRIM($J86&amp;""))*입력_파견수련계획!$W$4:$W$803))</f>
        <v/>
      </c>
      <c r="Y86" s="10">
        <f>IF($B86="","",IF($AG86="","",IF(IF(TRIM($J86&amp;"")="",0,SUMPRODUCT((입력_파견수련계획!$Q$4:$Q$803=TRIM($J86&amp;""))*입력_파견수련계획!$AD$4:$AD$803))&gt;0,$AE86,IF(AND(N($X86)&lt;=0,$AQ86=""),$AG86,IF($AH86+$AI86=DAY(EOMONTH(출력_요약!$B$3,0)),IF(AND($AH86&gt;=출력_요약!$E$3,$AI86&lt;출력_요약!$E$3),"서울병원",IF(AND($AI86&gt;=출력_요약!$E$3,$AH86&lt;출력_요약!$E$3),"구리병원","⚠15일 판정불가(서울 "&amp;$AH86&amp;"일/구리 "&amp;$AI86&amp;"일)")),IF($AJ86="",$AE86,IF(INDEX(입력_파견수련계획!$T$4:$T$803,$AJ86)="통합수련",INDEX(입력_파견수련계획!$S$4:$S$803,$AJ86),$AE86)))))))</f>
        <v/>
      </c>
      <c r="Z86" s="20">
        <f>IF($B86="","",IF($AB86="","기본자료에 없는 사번",IF(COUNTIF($B$2:$B$401,$B86)&gt;1,"중복 사번",IF($AE86="","소속(입사장소) 입력",IF(IF(TRIM($J86&amp;"")="",0,SUMPRODUCT((입력_파견수련계획!$Q$4:$Q$803=TRIM($J86&amp;""))*(입력_파견수련계획!$AA$4:$AA$803&lt;&gt;"")))&gt;0,"파견수련계획 입력오류 확인",IF(LEFT($Y86,1)="⚠","서울·구리 15일 판정 불가(양쪽 모두 이상/미만)",IF(IF($AC86="",0,N(INDEX(입력_인턴근무계획!$T$3:$T$402,$AC86)))&gt;0,"인턴계획 입력오류 확인",IF(AND($AQ86&lt;&gt;"",$AG86&lt;&gt;"구리병원",IF(TRIM($J86&amp;"")="",0,SUMPRODUCT((입력_파견수련계획!$Q$4:$Q$803=TRIM($J86&amp;""))*(입력_파견수련계획!$S$4:$S$803="구리병원")*입력_파견수련계획!$W$4:$W$803))=0),"구리 근무자명단에만 있음(파견수련계획 확인)",IF(AND($AC86&lt;&gt;"",$U86&lt;&gt;"파견중",$N86&lt;&gt;$AE86),"인턴 타지역 근무: 파견 여부 확인","정상")))))))))</f>
        <v/>
      </c>
      <c r="AA86" s="5" t="n"/>
      <c r="AB86" s="10">
        <f>IF($B86="","",IFERROR(MATCH($B86,입력_기본자료!$B$2:$B$1001,0),IFERROR(MATCH($B86&amp;"",입력_기본자료!$B$2:$B$1001,0),IFERROR(MATCH(VALUE($B86),입력_기본자료!$B$2:$B$1001,0),""))))</f>
        <v/>
      </c>
      <c r="AC86" s="10">
        <f>IF($B86="","",IFERROR(MATCH($B86,입력_인턴근무계획!$D$3:$D$402,0),IFERROR(MATCH($B86&amp;"",입력_인턴근무계획!$D$3:$D$402,0),IFERROR(MATCH(VALUE($B86),입력_인턴근무계획!$D$3:$D$402,0),""))))</f>
        <v/>
      </c>
      <c r="AD86" s="10">
        <f>IF(OR($AC86="",출력_인턴현황!$G$3=""),"",INDEX(입력_인턴근무계획!$M$3:$R$402,$AC86,출력_인턴현황!$G$3)&amp;"")</f>
        <v/>
      </c>
      <c r="AE86" s="10">
        <f>IF($B86="","",IF($M86&lt;&gt;"",$M86,IF(IF($AQ86="",FALSE,INDEX(출력_구리근무자!$J$6:$J$305,$AQ86)="구리독자"),"구리병원",IF($AF86&lt;&gt;"",IF(LEFT(INDEX(입력_파견수련계획!$R$4:$R$803,$AF86),1)&lt;&gt;"⚠",INDEX(입력_파견수련계획!$R$4:$R$803,$AF86),IF($H86="","",IF(RIGHT($H86,2)="병원",$H86,$H86&amp;"병원"))),IF($H86="","",IF(RIGHT($H86,2)="병원",$H86,$H86&amp;"병원"))))))</f>
        <v/>
      </c>
      <c r="AF86" s="10">
        <f>IF(OR($B86="",TRIM($J86&amp;"")=""),"",IFERROR(MATCH(TRIM($J86&amp;"")&amp;"|파견중",입력_파견수련계획!$Y$4:$Y$803,0),IFERROR(MATCH(TRIM($J86&amp;"")&amp;"|파견예정",입력_파견수련계획!$Y$4:$Y$803,0),IFERROR(MATCH(TRIM($J86&amp;"")&amp;"|파견종료",입력_파견수련계획!$Y$4:$Y$803,0),""))))</f>
        <v/>
      </c>
      <c r="AG86" s="10">
        <f>IF($B86="","",IF(AND(IF(OR($AC86="",출력_인턴현황!$K$2=""),"",INDEX(입력_인턴근무계획!$M$3:$R$402,$AC86,출력_인턴현황!$K$2)&amp;"")&lt;&gt;"",LEFT(IF(OR($AC86="",출력_인턴현황!$K$2=""),"",INDEX(입력_인턴근무계획!$M$3:$R$402,$AC86,출력_인턴현황!$K$2)&amp;""),1)&lt;&gt;"⚠"),LEFT(IF(OR($AC86="",출력_인턴현황!$K$2=""),"",INDEX(입력_인턴근무계획!$M$3:$R$402,$AC86,출력_인턴현황!$K$2)&amp;""),FIND(" ",IF(OR($AC86="",출력_인턴현황!$K$2=""),"",INDEX(입력_인턴근무계획!$M$3:$R$402,$AC86,출력_인턴현황!$K$2)&amp;""))-1),$AE86))</f>
        <v/>
      </c>
      <c r="AH86" s="17">
        <f>IF($B86="","",IF($AQ86&lt;&gt;"",MAX(0,DAY(EOMONTH(출력_요약!$B$3,0))-N($AR86)),IF(TRIM($J86&amp;"")="",0,SUMPRODUCT((입력_파견수련계획!$Q$4:$Q$803=TRIM($J86&amp;""))*(입력_파견수련계획!$S$4:$S$803="서울병원")*입력_파견수련계획!$W$4:$W$803))+IF($AG86="서울병원",MAX(0,DAY(EOMONTH(출력_요약!$B$3,0))-N($X86)),0)))</f>
        <v/>
      </c>
      <c r="AI86" s="17">
        <f>IF($B86="","",IF($AQ86&lt;&gt;"",N($AR86),IF(TRIM($J86&amp;"")="",0,SUMPRODUCT((입력_파견수련계획!$Q$4:$Q$803=TRIM($J86&amp;""))*(입력_파견수련계획!$S$4:$S$803="구리병원")*입력_파견수련계획!$W$4:$W$803))+IF($AG86="구리병원",MAX(0,DAY(EOMONTH(출력_요약!$B$3,0))-N($X86)),0)))</f>
        <v/>
      </c>
      <c r="AJ86" s="10">
        <f>IF(OR($B86="",TRIM($J86&amp;"")=""),"",IFERROR(MATCH(TRIM($J86&amp;"")&amp;"|월",입력_파견수련계획!$Z$4:$Z$803,0),""))</f>
        <v/>
      </c>
      <c r="AK86" s="10">
        <f>IF(OR($B86="",TRIM($J86&amp;"")=""),"",IFERROR(MATCH(TRIM($J86&amp;"")&amp;"|다기관",입력_파견수련계획!$AE$4:$AE$803,0),""))</f>
        <v/>
      </c>
      <c r="AL86" s="10">
        <f>IF($AK86="","","다기관 "&amp;TEXT(INDEX(입력_파견수련계획!$AB$4:$AB$803,$AK86),"yyyy-mm-dd")&amp;"~"&amp;IF(ISNUMBER(INDEX(입력_파견수련계획!$AC$4:$AC$803,$AK86)),TEXT(INDEX(입력_파견수련계획!$AC$4:$AC$803,$AK86),"yyyy-mm-dd"),""))</f>
        <v/>
      </c>
      <c r="AM86" s="10">
        <f>IF($Y86="서울병원",COUNTIF($Y$2:$Y86,"서울병원"),"")</f>
        <v/>
      </c>
      <c r="AN86" s="10">
        <f>IF(LEFT($Y86,1)="⚠",COUNTIF($Y$2:$Y86,"⚠*"),"")</f>
        <v/>
      </c>
      <c r="AO86" s="10">
        <f>IF(OR($B86="",$Y86=""),"",IF(IF(TRIM($J86&amp;"")="",0,SUMPRODUCT((입력_파견수련계획!$Q$4:$Q$803=TRIM($J86&amp;""))*입력_파견수련계획!$AD$4:$AD$803))&gt;0,"다기관 기간 → 소속병원 지급",IF(AND(N($X86)&lt;=0,$AQ86=""),"파견 없음 → 그 달 근무병원 지급",IF($AH86+$AI86=DAY(EOMONTH(출력_요약!$B$3,0)),"서울 "&amp;$AH86&amp;"일 / 구리 "&amp;$AI86&amp;"일"&amp;IF($AQ86&lt;&gt;""," (구리 근무자명단 반영)","")&amp;" → 15일 이상 근무 병원 지급","타 병원 포함 → "&amp;IF($AJ86="","소속",INDEX(입력_파견수련계획!$T$4:$T$803,$AJ86))&amp;" 규칙"))))</f>
        <v/>
      </c>
      <c r="AP86" s="10">
        <f>IF($B86="","",$C86&amp;"|"&amp;$F86)</f>
        <v/>
      </c>
      <c r="AQ86" s="10">
        <f>IF($B86="","",IFERROR(MATCH(ROW()-1,출력_구리근무자!$K$6:$K$305,0),""))</f>
        <v/>
      </c>
      <c r="AR86" s="10">
        <f>IF($AQ86="","",INDEX(출력_구리근무자!$H$6:$H$305,$AQ86))</f>
        <v/>
      </c>
    </row>
    <row r="87">
      <c r="A87" s="10">
        <f>IF(B87="","",ROW()-1)</f>
        <v/>
      </c>
      <c r="B87" s="19" t="n"/>
      <c r="C87" s="10">
        <f>IF($AB87="","",IF(INDEX(입력_기본자료!$C$2:$C$1001,$AB87)="","",INDEX(입력_기본자료!$C$2:$C$1001,$AB87)))</f>
        <v/>
      </c>
      <c r="D87" s="10">
        <f>IF($AB87="","",IF(INDEX(입력_기본자료!$J$2:$J$1001,$AB87)="","",INDEX(입력_기본자료!$J$2:$J$1001,$AB87)))</f>
        <v/>
      </c>
      <c r="E87" s="11">
        <f>IF($AB87="","",IF(INDEX(입력_기본자료!$K$2:$K$1001,$AB87)="","",IF(NOT(ISNUMBER(INDEX(입력_기본자료!$K$2:$K$1001,$AB87))),INDEX(입력_기본자료!$K$2:$K$1001,$AB87),IF(INDEX(입력_기본자료!$K$2:$K$1001,$AB87)&lt;1000000,INDEX(입력_기본자료!$K$2:$K$1001,$AB87),IF(AND(INDEX(입력_기본자료!$K$2:$K$1001,$AB87)&gt;=10000101,INT(MOD(INDEX(입력_기본자료!$K$2:$K$1001,$AB87),10000)/100)&gt;=1,INT(MOD(INDEX(입력_기본자료!$K$2:$K$1001,$AB87),10000)/100)&lt;=12,MOD(INDEX(입력_기본자료!$K$2:$K$1001,$AB87),100)&gt;=1,MOD(INDEX(입력_기본자료!$K$2:$K$1001,$AB87),100)&lt;=31),DATE(INT(INDEX(입력_기본자료!$K$2:$K$1001,$AB87)/10000),INT(MOD(INDEX(입력_기본자료!$K$2:$K$1001,$AB87),10000)/100),MOD(INDEX(입력_기본자료!$K$2:$K$1001,$AB87),100)),INDEX(입력_기본자료!$K$2:$K$1001,$AB87)&amp;"")))))</f>
        <v/>
      </c>
      <c r="F87" s="10">
        <f>IF($AB87="","",IF(INDEX(입력_기본자료!$D$2:$D$1001,$AB87)="","",INDEX(입력_기본자료!$D$2:$D$1001,$AB87)))</f>
        <v/>
      </c>
      <c r="G87" s="10">
        <f>IF($AB87="","",IF(INDEX(입력_기본자료!$E$2:$E$1001,$AB87)="","",INDEX(입력_기본자료!$E$2:$E$1001,$AB87)))</f>
        <v/>
      </c>
      <c r="H87" s="10">
        <f>IF($AB87="","",IF(INDEX(입력_기본자료!$F$2:$F$1001,$AB87)="","",INDEX(입력_기본자료!$F$2:$F$1001,$AB87)))</f>
        <v/>
      </c>
      <c r="I87" s="11">
        <f>IF($AB87="","",IF(INDEX(입력_기본자료!$G$2:$G$1001,$AB87)="","",IF(NOT(ISNUMBER(INDEX(입력_기본자료!$G$2:$G$1001,$AB87))),INDEX(입력_기본자료!$G$2:$G$1001,$AB87),IF(INDEX(입력_기본자료!$G$2:$G$1001,$AB87)&lt;1000000,INDEX(입력_기본자료!$G$2:$G$1001,$AB87),IF(AND(INDEX(입력_기본자료!$G$2:$G$1001,$AB87)&gt;=10000101,INT(MOD(INDEX(입력_기본자료!$G$2:$G$1001,$AB87),10000)/100)&gt;=1,INT(MOD(INDEX(입력_기본자료!$G$2:$G$1001,$AB87),10000)/100)&lt;=12,MOD(INDEX(입력_기본자료!$G$2:$G$1001,$AB87),100)&gt;=1,MOD(INDEX(입력_기본자료!$G$2:$G$1001,$AB87),100)&lt;=31),DATE(INT(INDEX(입력_기본자료!$G$2:$G$1001,$AB87)/10000),INT(MOD(INDEX(입력_기본자료!$G$2:$G$1001,$AB87),10000)/100),MOD(INDEX(입력_기본자료!$G$2:$G$1001,$AB87),100)),INDEX(입력_기본자료!$G$2:$G$1001,$AB87)&amp;"")))))</f>
        <v/>
      </c>
      <c r="J87" s="10">
        <f>IF($AB87="","",IF(INDEX(입력_기본자료!$H$2:$H$1001,$AB87)="","",INDEX(입력_기본자료!$H$2:$H$1001,$AB87)))</f>
        <v/>
      </c>
      <c r="K87" s="10">
        <f>IF($AB87="","",IF(INDEX(입력_기본자료!$I$2:$I$1001,$AB87)="","",INDEX(입력_기본자료!$I$2:$I$1001,$AB87)))</f>
        <v/>
      </c>
      <c r="L87" s="10">
        <f>IF($AB87="","",IF(INDEX(입력_기본자료!$A$2:$A$1001,$AB87)="","",INDEX(입력_기본자료!$A$2:$A$1001,$AB87)))</f>
        <v/>
      </c>
      <c r="M87" s="15" t="n"/>
      <c r="N87" s="10">
        <f>IF($B87="","",IF(AND($U87="파견중",$Q87&lt;&gt;""),$Q87,IF(AND($AD87&lt;&gt;"",LEFT($AD87,1)&lt;&gt;"⚠"),LEFT($AD87,FIND(" ",$AD87)-1),IF($H87="","",IF(RIGHT($H87,2)="병원",$H87,$H87&amp;"병원")))))</f>
        <v/>
      </c>
      <c r="O87" s="10">
        <f>IF($B87="","",IF(AND($U87="파견중",$Q87&lt;&gt;""),IF($R87&lt;&gt;"",$R87,"파견과 미입력"),IF(AND($AD87&lt;&gt;"",LEFT($AD87,1)&lt;&gt;"⚠"),MID($AD87,FIND(" ",$AD87)+1,60),IF($F87="","",IF($F87="인턴","수련교육부(인턴)",$F87)))))</f>
        <v/>
      </c>
      <c r="P87" s="10">
        <f>IF($B87="","",IF($AK87&lt;&gt;"",IF(AND(TODAY()&gt;=INDEX(입력_파견수련계획!$AB$4:$AB$803,$AK87),OR(NOT(ISNUMBER(INDEX(입력_파견수련계획!$AC$4:$AC$803,$AK87))),TODAY()&lt;=INDEX(입력_파견수련계획!$AC$4:$AC$803,$AK87))),"다기관",IF($AF87="","",INDEX(입력_파견수련계획!$T$4:$T$803,$AF87))),IF($AF87="","",INDEX(입력_파견수련계획!$T$4:$T$803,$AF87))))</f>
        <v/>
      </c>
      <c r="Q87" s="10">
        <f>IF($AF87="","",INDEX(입력_파견수련계획!$S$4:$S$803,$AF87))</f>
        <v/>
      </c>
      <c r="R87" s="10">
        <f>IF($AF87="","",INDEX(입력_파견수련계획!$U$4:$U$803,$AF87))</f>
        <v/>
      </c>
      <c r="S87" s="11">
        <f>IF($AF87="","",IF(INDEX(입력_파견수련계획!$H$4:$H$803,$AF87)="","",INDEX(입력_파견수련계획!$H$4:$H$803,$AF87)))</f>
        <v/>
      </c>
      <c r="T87" s="11">
        <f>IF($AF87="","",IF(INDEX(입력_파견수련계획!$I$4:$I$803,$AF87)="","",INDEX(입력_파견수련계획!$I$4:$I$803,$AF87)))</f>
        <v/>
      </c>
      <c r="U87" s="10">
        <f>IF($AF87="","",INDEX(입력_파견수련계획!$X$4:$X$803,$AF87))</f>
        <v/>
      </c>
      <c r="V87" s="17">
        <f>IF($AF87="","",INDEX(입력_파견수련계획!$V$4:$V$803,$AF87))</f>
        <v/>
      </c>
      <c r="W87" s="17">
        <f>IF(AND($U87="파견중",$T87&lt;&gt;""),$T87-TODAY(),"")</f>
        <v/>
      </c>
      <c r="X87" s="17">
        <f>IF(OR($B87="",TRIM($J87&amp;"")=""),"",SUMPRODUCT((입력_파견수련계획!$Q$4:$Q$803=TRIM($J87&amp;""))*입력_파견수련계획!$W$4:$W$803))</f>
        <v/>
      </c>
      <c r="Y87" s="10">
        <f>IF($B87="","",IF($AG87="","",IF(IF(TRIM($J87&amp;"")="",0,SUMPRODUCT((입력_파견수련계획!$Q$4:$Q$803=TRIM($J87&amp;""))*입력_파견수련계획!$AD$4:$AD$803))&gt;0,$AE87,IF(AND(N($X87)&lt;=0,$AQ87=""),$AG87,IF($AH87+$AI87=DAY(EOMONTH(출력_요약!$B$3,0)),IF(AND($AH87&gt;=출력_요약!$E$3,$AI87&lt;출력_요약!$E$3),"서울병원",IF(AND($AI87&gt;=출력_요약!$E$3,$AH87&lt;출력_요약!$E$3),"구리병원","⚠15일 판정불가(서울 "&amp;$AH87&amp;"일/구리 "&amp;$AI87&amp;"일)")),IF($AJ87="",$AE87,IF(INDEX(입력_파견수련계획!$T$4:$T$803,$AJ87)="통합수련",INDEX(입력_파견수련계획!$S$4:$S$803,$AJ87),$AE87)))))))</f>
        <v/>
      </c>
      <c r="Z87" s="20">
        <f>IF($B87="","",IF($AB87="","기본자료에 없는 사번",IF(COUNTIF($B$2:$B$401,$B87)&gt;1,"중복 사번",IF($AE87="","소속(입사장소) 입력",IF(IF(TRIM($J87&amp;"")="",0,SUMPRODUCT((입력_파견수련계획!$Q$4:$Q$803=TRIM($J87&amp;""))*(입력_파견수련계획!$AA$4:$AA$803&lt;&gt;"")))&gt;0,"파견수련계획 입력오류 확인",IF(LEFT($Y87,1)="⚠","서울·구리 15일 판정 불가(양쪽 모두 이상/미만)",IF(IF($AC87="",0,N(INDEX(입력_인턴근무계획!$T$3:$T$402,$AC87)))&gt;0,"인턴계획 입력오류 확인",IF(AND($AQ87&lt;&gt;"",$AG87&lt;&gt;"구리병원",IF(TRIM($J87&amp;"")="",0,SUMPRODUCT((입력_파견수련계획!$Q$4:$Q$803=TRIM($J87&amp;""))*(입력_파견수련계획!$S$4:$S$803="구리병원")*입력_파견수련계획!$W$4:$W$803))=0),"구리 근무자명단에만 있음(파견수련계획 확인)",IF(AND($AC87&lt;&gt;"",$U87&lt;&gt;"파견중",$N87&lt;&gt;$AE87),"인턴 타지역 근무: 파견 여부 확인","정상")))))))))</f>
        <v/>
      </c>
      <c r="AA87" s="5" t="n"/>
      <c r="AB87" s="10">
        <f>IF($B87="","",IFERROR(MATCH($B87,입력_기본자료!$B$2:$B$1001,0),IFERROR(MATCH($B87&amp;"",입력_기본자료!$B$2:$B$1001,0),IFERROR(MATCH(VALUE($B87),입력_기본자료!$B$2:$B$1001,0),""))))</f>
        <v/>
      </c>
      <c r="AC87" s="10">
        <f>IF($B87="","",IFERROR(MATCH($B87,입력_인턴근무계획!$D$3:$D$402,0),IFERROR(MATCH($B87&amp;"",입력_인턴근무계획!$D$3:$D$402,0),IFERROR(MATCH(VALUE($B87),입력_인턴근무계획!$D$3:$D$402,0),""))))</f>
        <v/>
      </c>
      <c r="AD87" s="10">
        <f>IF(OR($AC87="",출력_인턴현황!$G$3=""),"",INDEX(입력_인턴근무계획!$M$3:$R$402,$AC87,출력_인턴현황!$G$3)&amp;"")</f>
        <v/>
      </c>
      <c r="AE87" s="10">
        <f>IF($B87="","",IF($M87&lt;&gt;"",$M87,IF(IF($AQ87="",FALSE,INDEX(출력_구리근무자!$J$6:$J$305,$AQ87)="구리독자"),"구리병원",IF($AF87&lt;&gt;"",IF(LEFT(INDEX(입력_파견수련계획!$R$4:$R$803,$AF87),1)&lt;&gt;"⚠",INDEX(입력_파견수련계획!$R$4:$R$803,$AF87),IF($H87="","",IF(RIGHT($H87,2)="병원",$H87,$H87&amp;"병원"))),IF($H87="","",IF(RIGHT($H87,2)="병원",$H87,$H87&amp;"병원"))))))</f>
        <v/>
      </c>
      <c r="AF87" s="10">
        <f>IF(OR($B87="",TRIM($J87&amp;"")=""),"",IFERROR(MATCH(TRIM($J87&amp;"")&amp;"|파견중",입력_파견수련계획!$Y$4:$Y$803,0),IFERROR(MATCH(TRIM($J87&amp;"")&amp;"|파견예정",입력_파견수련계획!$Y$4:$Y$803,0),IFERROR(MATCH(TRIM($J87&amp;"")&amp;"|파견종료",입력_파견수련계획!$Y$4:$Y$803,0),""))))</f>
        <v/>
      </c>
      <c r="AG87" s="10">
        <f>IF($B87="","",IF(AND(IF(OR($AC87="",출력_인턴현황!$K$2=""),"",INDEX(입력_인턴근무계획!$M$3:$R$402,$AC87,출력_인턴현황!$K$2)&amp;"")&lt;&gt;"",LEFT(IF(OR($AC87="",출력_인턴현황!$K$2=""),"",INDEX(입력_인턴근무계획!$M$3:$R$402,$AC87,출력_인턴현황!$K$2)&amp;""),1)&lt;&gt;"⚠"),LEFT(IF(OR($AC87="",출력_인턴현황!$K$2=""),"",INDEX(입력_인턴근무계획!$M$3:$R$402,$AC87,출력_인턴현황!$K$2)&amp;""),FIND(" ",IF(OR($AC87="",출력_인턴현황!$K$2=""),"",INDEX(입력_인턴근무계획!$M$3:$R$402,$AC87,출력_인턴현황!$K$2)&amp;""))-1),$AE87))</f>
        <v/>
      </c>
      <c r="AH87" s="17">
        <f>IF($B87="","",IF($AQ87&lt;&gt;"",MAX(0,DAY(EOMONTH(출력_요약!$B$3,0))-N($AR87)),IF(TRIM($J87&amp;"")="",0,SUMPRODUCT((입력_파견수련계획!$Q$4:$Q$803=TRIM($J87&amp;""))*(입력_파견수련계획!$S$4:$S$803="서울병원")*입력_파견수련계획!$W$4:$W$803))+IF($AG87="서울병원",MAX(0,DAY(EOMONTH(출력_요약!$B$3,0))-N($X87)),0)))</f>
        <v/>
      </c>
      <c r="AI87" s="17">
        <f>IF($B87="","",IF($AQ87&lt;&gt;"",N($AR87),IF(TRIM($J87&amp;"")="",0,SUMPRODUCT((입력_파견수련계획!$Q$4:$Q$803=TRIM($J87&amp;""))*(입력_파견수련계획!$S$4:$S$803="구리병원")*입력_파견수련계획!$W$4:$W$803))+IF($AG87="구리병원",MAX(0,DAY(EOMONTH(출력_요약!$B$3,0))-N($X87)),0)))</f>
        <v/>
      </c>
      <c r="AJ87" s="10">
        <f>IF(OR($B87="",TRIM($J87&amp;"")=""),"",IFERROR(MATCH(TRIM($J87&amp;"")&amp;"|월",입력_파견수련계획!$Z$4:$Z$803,0),""))</f>
        <v/>
      </c>
      <c r="AK87" s="10">
        <f>IF(OR($B87="",TRIM($J87&amp;"")=""),"",IFERROR(MATCH(TRIM($J87&amp;"")&amp;"|다기관",입력_파견수련계획!$AE$4:$AE$803,0),""))</f>
        <v/>
      </c>
      <c r="AL87" s="10">
        <f>IF($AK87="","","다기관 "&amp;TEXT(INDEX(입력_파견수련계획!$AB$4:$AB$803,$AK87),"yyyy-mm-dd")&amp;"~"&amp;IF(ISNUMBER(INDEX(입력_파견수련계획!$AC$4:$AC$803,$AK87)),TEXT(INDEX(입력_파견수련계획!$AC$4:$AC$803,$AK87),"yyyy-mm-dd"),""))</f>
        <v/>
      </c>
      <c r="AM87" s="10">
        <f>IF($Y87="서울병원",COUNTIF($Y$2:$Y87,"서울병원"),"")</f>
        <v/>
      </c>
      <c r="AN87" s="10">
        <f>IF(LEFT($Y87,1)="⚠",COUNTIF($Y$2:$Y87,"⚠*"),"")</f>
        <v/>
      </c>
      <c r="AO87" s="10">
        <f>IF(OR($B87="",$Y87=""),"",IF(IF(TRIM($J87&amp;"")="",0,SUMPRODUCT((입력_파견수련계획!$Q$4:$Q$803=TRIM($J87&amp;""))*입력_파견수련계획!$AD$4:$AD$803))&gt;0,"다기관 기간 → 소속병원 지급",IF(AND(N($X87)&lt;=0,$AQ87=""),"파견 없음 → 그 달 근무병원 지급",IF($AH87+$AI87=DAY(EOMONTH(출력_요약!$B$3,0)),"서울 "&amp;$AH87&amp;"일 / 구리 "&amp;$AI87&amp;"일"&amp;IF($AQ87&lt;&gt;""," (구리 근무자명단 반영)","")&amp;" → 15일 이상 근무 병원 지급","타 병원 포함 → "&amp;IF($AJ87="","소속",INDEX(입력_파견수련계획!$T$4:$T$803,$AJ87))&amp;" 규칙"))))</f>
        <v/>
      </c>
      <c r="AP87" s="10">
        <f>IF($B87="","",$C87&amp;"|"&amp;$F87)</f>
        <v/>
      </c>
      <c r="AQ87" s="10">
        <f>IF($B87="","",IFERROR(MATCH(ROW()-1,출력_구리근무자!$K$6:$K$305,0),""))</f>
        <v/>
      </c>
      <c r="AR87" s="10">
        <f>IF($AQ87="","",INDEX(출력_구리근무자!$H$6:$H$305,$AQ87))</f>
        <v/>
      </c>
    </row>
    <row r="88">
      <c r="A88" s="10">
        <f>IF(B88="","",ROW()-1)</f>
        <v/>
      </c>
      <c r="B88" s="19" t="n"/>
      <c r="C88" s="10">
        <f>IF($AB88="","",IF(INDEX(입력_기본자료!$C$2:$C$1001,$AB88)="","",INDEX(입력_기본자료!$C$2:$C$1001,$AB88)))</f>
        <v/>
      </c>
      <c r="D88" s="10">
        <f>IF($AB88="","",IF(INDEX(입력_기본자료!$J$2:$J$1001,$AB88)="","",INDEX(입력_기본자료!$J$2:$J$1001,$AB88)))</f>
        <v/>
      </c>
      <c r="E88" s="11">
        <f>IF($AB88="","",IF(INDEX(입력_기본자료!$K$2:$K$1001,$AB88)="","",IF(NOT(ISNUMBER(INDEX(입력_기본자료!$K$2:$K$1001,$AB88))),INDEX(입력_기본자료!$K$2:$K$1001,$AB88),IF(INDEX(입력_기본자료!$K$2:$K$1001,$AB88)&lt;1000000,INDEX(입력_기본자료!$K$2:$K$1001,$AB88),IF(AND(INDEX(입력_기본자료!$K$2:$K$1001,$AB88)&gt;=10000101,INT(MOD(INDEX(입력_기본자료!$K$2:$K$1001,$AB88),10000)/100)&gt;=1,INT(MOD(INDEX(입력_기본자료!$K$2:$K$1001,$AB88),10000)/100)&lt;=12,MOD(INDEX(입력_기본자료!$K$2:$K$1001,$AB88),100)&gt;=1,MOD(INDEX(입력_기본자료!$K$2:$K$1001,$AB88),100)&lt;=31),DATE(INT(INDEX(입력_기본자료!$K$2:$K$1001,$AB88)/10000),INT(MOD(INDEX(입력_기본자료!$K$2:$K$1001,$AB88),10000)/100),MOD(INDEX(입력_기본자료!$K$2:$K$1001,$AB88),100)),INDEX(입력_기본자료!$K$2:$K$1001,$AB88)&amp;"")))))</f>
        <v/>
      </c>
      <c r="F88" s="10">
        <f>IF($AB88="","",IF(INDEX(입력_기본자료!$D$2:$D$1001,$AB88)="","",INDEX(입력_기본자료!$D$2:$D$1001,$AB88)))</f>
        <v/>
      </c>
      <c r="G88" s="10">
        <f>IF($AB88="","",IF(INDEX(입력_기본자료!$E$2:$E$1001,$AB88)="","",INDEX(입력_기본자료!$E$2:$E$1001,$AB88)))</f>
        <v/>
      </c>
      <c r="H88" s="10">
        <f>IF($AB88="","",IF(INDEX(입력_기본자료!$F$2:$F$1001,$AB88)="","",INDEX(입력_기본자료!$F$2:$F$1001,$AB88)))</f>
        <v/>
      </c>
      <c r="I88" s="11">
        <f>IF($AB88="","",IF(INDEX(입력_기본자료!$G$2:$G$1001,$AB88)="","",IF(NOT(ISNUMBER(INDEX(입력_기본자료!$G$2:$G$1001,$AB88))),INDEX(입력_기본자료!$G$2:$G$1001,$AB88),IF(INDEX(입력_기본자료!$G$2:$G$1001,$AB88)&lt;1000000,INDEX(입력_기본자료!$G$2:$G$1001,$AB88),IF(AND(INDEX(입력_기본자료!$G$2:$G$1001,$AB88)&gt;=10000101,INT(MOD(INDEX(입력_기본자료!$G$2:$G$1001,$AB88),10000)/100)&gt;=1,INT(MOD(INDEX(입력_기본자료!$G$2:$G$1001,$AB88),10000)/100)&lt;=12,MOD(INDEX(입력_기본자료!$G$2:$G$1001,$AB88),100)&gt;=1,MOD(INDEX(입력_기본자료!$G$2:$G$1001,$AB88),100)&lt;=31),DATE(INT(INDEX(입력_기본자료!$G$2:$G$1001,$AB88)/10000),INT(MOD(INDEX(입력_기본자료!$G$2:$G$1001,$AB88),10000)/100),MOD(INDEX(입력_기본자료!$G$2:$G$1001,$AB88),100)),INDEX(입력_기본자료!$G$2:$G$1001,$AB88)&amp;"")))))</f>
        <v/>
      </c>
      <c r="J88" s="10">
        <f>IF($AB88="","",IF(INDEX(입력_기본자료!$H$2:$H$1001,$AB88)="","",INDEX(입력_기본자료!$H$2:$H$1001,$AB88)))</f>
        <v/>
      </c>
      <c r="K88" s="10">
        <f>IF($AB88="","",IF(INDEX(입력_기본자료!$I$2:$I$1001,$AB88)="","",INDEX(입력_기본자료!$I$2:$I$1001,$AB88)))</f>
        <v/>
      </c>
      <c r="L88" s="10">
        <f>IF($AB88="","",IF(INDEX(입력_기본자료!$A$2:$A$1001,$AB88)="","",INDEX(입력_기본자료!$A$2:$A$1001,$AB88)))</f>
        <v/>
      </c>
      <c r="M88" s="15" t="n"/>
      <c r="N88" s="10">
        <f>IF($B88="","",IF(AND($U88="파견중",$Q88&lt;&gt;""),$Q88,IF(AND($AD88&lt;&gt;"",LEFT($AD88,1)&lt;&gt;"⚠"),LEFT($AD88,FIND(" ",$AD88)-1),IF($H88="","",IF(RIGHT($H88,2)="병원",$H88,$H88&amp;"병원")))))</f>
        <v/>
      </c>
      <c r="O88" s="10">
        <f>IF($B88="","",IF(AND($U88="파견중",$Q88&lt;&gt;""),IF($R88&lt;&gt;"",$R88,"파견과 미입력"),IF(AND($AD88&lt;&gt;"",LEFT($AD88,1)&lt;&gt;"⚠"),MID($AD88,FIND(" ",$AD88)+1,60),IF($F88="","",IF($F88="인턴","수련교육부(인턴)",$F88)))))</f>
        <v/>
      </c>
      <c r="P88" s="10">
        <f>IF($B88="","",IF($AK88&lt;&gt;"",IF(AND(TODAY()&gt;=INDEX(입력_파견수련계획!$AB$4:$AB$803,$AK88),OR(NOT(ISNUMBER(INDEX(입력_파견수련계획!$AC$4:$AC$803,$AK88))),TODAY()&lt;=INDEX(입력_파견수련계획!$AC$4:$AC$803,$AK88))),"다기관",IF($AF88="","",INDEX(입력_파견수련계획!$T$4:$T$803,$AF88))),IF($AF88="","",INDEX(입력_파견수련계획!$T$4:$T$803,$AF88))))</f>
        <v/>
      </c>
      <c r="Q88" s="10">
        <f>IF($AF88="","",INDEX(입력_파견수련계획!$S$4:$S$803,$AF88))</f>
        <v/>
      </c>
      <c r="R88" s="10">
        <f>IF($AF88="","",INDEX(입력_파견수련계획!$U$4:$U$803,$AF88))</f>
        <v/>
      </c>
      <c r="S88" s="11">
        <f>IF($AF88="","",IF(INDEX(입력_파견수련계획!$H$4:$H$803,$AF88)="","",INDEX(입력_파견수련계획!$H$4:$H$803,$AF88)))</f>
        <v/>
      </c>
      <c r="T88" s="11">
        <f>IF($AF88="","",IF(INDEX(입력_파견수련계획!$I$4:$I$803,$AF88)="","",INDEX(입력_파견수련계획!$I$4:$I$803,$AF88)))</f>
        <v/>
      </c>
      <c r="U88" s="10">
        <f>IF($AF88="","",INDEX(입력_파견수련계획!$X$4:$X$803,$AF88))</f>
        <v/>
      </c>
      <c r="V88" s="17">
        <f>IF($AF88="","",INDEX(입력_파견수련계획!$V$4:$V$803,$AF88))</f>
        <v/>
      </c>
      <c r="W88" s="17">
        <f>IF(AND($U88="파견중",$T88&lt;&gt;""),$T88-TODAY(),"")</f>
        <v/>
      </c>
      <c r="X88" s="17">
        <f>IF(OR($B88="",TRIM($J88&amp;"")=""),"",SUMPRODUCT((입력_파견수련계획!$Q$4:$Q$803=TRIM($J88&amp;""))*입력_파견수련계획!$W$4:$W$803))</f>
        <v/>
      </c>
      <c r="Y88" s="10">
        <f>IF($B88="","",IF($AG88="","",IF(IF(TRIM($J88&amp;"")="",0,SUMPRODUCT((입력_파견수련계획!$Q$4:$Q$803=TRIM($J88&amp;""))*입력_파견수련계획!$AD$4:$AD$803))&gt;0,$AE88,IF(AND(N($X88)&lt;=0,$AQ88=""),$AG88,IF($AH88+$AI88=DAY(EOMONTH(출력_요약!$B$3,0)),IF(AND($AH88&gt;=출력_요약!$E$3,$AI88&lt;출력_요약!$E$3),"서울병원",IF(AND($AI88&gt;=출력_요약!$E$3,$AH88&lt;출력_요약!$E$3),"구리병원","⚠15일 판정불가(서울 "&amp;$AH88&amp;"일/구리 "&amp;$AI88&amp;"일)")),IF($AJ88="",$AE88,IF(INDEX(입력_파견수련계획!$T$4:$T$803,$AJ88)="통합수련",INDEX(입력_파견수련계획!$S$4:$S$803,$AJ88),$AE88)))))))</f>
        <v/>
      </c>
      <c r="Z88" s="20">
        <f>IF($B88="","",IF($AB88="","기본자료에 없는 사번",IF(COUNTIF($B$2:$B$401,$B88)&gt;1,"중복 사번",IF($AE88="","소속(입사장소) 입력",IF(IF(TRIM($J88&amp;"")="",0,SUMPRODUCT((입력_파견수련계획!$Q$4:$Q$803=TRIM($J88&amp;""))*(입력_파견수련계획!$AA$4:$AA$803&lt;&gt;"")))&gt;0,"파견수련계획 입력오류 확인",IF(LEFT($Y88,1)="⚠","서울·구리 15일 판정 불가(양쪽 모두 이상/미만)",IF(IF($AC88="",0,N(INDEX(입력_인턴근무계획!$T$3:$T$402,$AC88)))&gt;0,"인턴계획 입력오류 확인",IF(AND($AQ88&lt;&gt;"",$AG88&lt;&gt;"구리병원",IF(TRIM($J88&amp;"")="",0,SUMPRODUCT((입력_파견수련계획!$Q$4:$Q$803=TRIM($J88&amp;""))*(입력_파견수련계획!$S$4:$S$803="구리병원")*입력_파견수련계획!$W$4:$W$803))=0),"구리 근무자명단에만 있음(파견수련계획 확인)",IF(AND($AC88&lt;&gt;"",$U88&lt;&gt;"파견중",$N88&lt;&gt;$AE88),"인턴 타지역 근무: 파견 여부 확인","정상")))))))))</f>
        <v/>
      </c>
      <c r="AA88" s="5" t="n"/>
      <c r="AB88" s="10">
        <f>IF($B88="","",IFERROR(MATCH($B88,입력_기본자료!$B$2:$B$1001,0),IFERROR(MATCH($B88&amp;"",입력_기본자료!$B$2:$B$1001,0),IFERROR(MATCH(VALUE($B88),입력_기본자료!$B$2:$B$1001,0),""))))</f>
        <v/>
      </c>
      <c r="AC88" s="10">
        <f>IF($B88="","",IFERROR(MATCH($B88,입력_인턴근무계획!$D$3:$D$402,0),IFERROR(MATCH($B88&amp;"",입력_인턴근무계획!$D$3:$D$402,0),IFERROR(MATCH(VALUE($B88),입력_인턴근무계획!$D$3:$D$402,0),""))))</f>
        <v/>
      </c>
      <c r="AD88" s="10">
        <f>IF(OR($AC88="",출력_인턴현황!$G$3=""),"",INDEX(입력_인턴근무계획!$M$3:$R$402,$AC88,출력_인턴현황!$G$3)&amp;"")</f>
        <v/>
      </c>
      <c r="AE88" s="10">
        <f>IF($B88="","",IF($M88&lt;&gt;"",$M88,IF(IF($AQ88="",FALSE,INDEX(출력_구리근무자!$J$6:$J$305,$AQ88)="구리독자"),"구리병원",IF($AF88&lt;&gt;"",IF(LEFT(INDEX(입력_파견수련계획!$R$4:$R$803,$AF88),1)&lt;&gt;"⚠",INDEX(입력_파견수련계획!$R$4:$R$803,$AF88),IF($H88="","",IF(RIGHT($H88,2)="병원",$H88,$H88&amp;"병원"))),IF($H88="","",IF(RIGHT($H88,2)="병원",$H88,$H88&amp;"병원"))))))</f>
        <v/>
      </c>
      <c r="AF88" s="10">
        <f>IF(OR($B88="",TRIM($J88&amp;"")=""),"",IFERROR(MATCH(TRIM($J88&amp;"")&amp;"|파견중",입력_파견수련계획!$Y$4:$Y$803,0),IFERROR(MATCH(TRIM($J88&amp;"")&amp;"|파견예정",입력_파견수련계획!$Y$4:$Y$803,0),IFERROR(MATCH(TRIM($J88&amp;"")&amp;"|파견종료",입력_파견수련계획!$Y$4:$Y$803,0),""))))</f>
        <v/>
      </c>
      <c r="AG88" s="10">
        <f>IF($B88="","",IF(AND(IF(OR($AC88="",출력_인턴현황!$K$2=""),"",INDEX(입력_인턴근무계획!$M$3:$R$402,$AC88,출력_인턴현황!$K$2)&amp;"")&lt;&gt;"",LEFT(IF(OR($AC88="",출력_인턴현황!$K$2=""),"",INDEX(입력_인턴근무계획!$M$3:$R$402,$AC88,출력_인턴현황!$K$2)&amp;""),1)&lt;&gt;"⚠"),LEFT(IF(OR($AC88="",출력_인턴현황!$K$2=""),"",INDEX(입력_인턴근무계획!$M$3:$R$402,$AC88,출력_인턴현황!$K$2)&amp;""),FIND(" ",IF(OR($AC88="",출력_인턴현황!$K$2=""),"",INDEX(입력_인턴근무계획!$M$3:$R$402,$AC88,출력_인턴현황!$K$2)&amp;""))-1),$AE88))</f>
        <v/>
      </c>
      <c r="AH88" s="17">
        <f>IF($B88="","",IF($AQ88&lt;&gt;"",MAX(0,DAY(EOMONTH(출력_요약!$B$3,0))-N($AR88)),IF(TRIM($J88&amp;"")="",0,SUMPRODUCT((입력_파견수련계획!$Q$4:$Q$803=TRIM($J88&amp;""))*(입력_파견수련계획!$S$4:$S$803="서울병원")*입력_파견수련계획!$W$4:$W$803))+IF($AG88="서울병원",MAX(0,DAY(EOMONTH(출력_요약!$B$3,0))-N($X88)),0)))</f>
        <v/>
      </c>
      <c r="AI88" s="17">
        <f>IF($B88="","",IF($AQ88&lt;&gt;"",N($AR88),IF(TRIM($J88&amp;"")="",0,SUMPRODUCT((입력_파견수련계획!$Q$4:$Q$803=TRIM($J88&amp;""))*(입력_파견수련계획!$S$4:$S$803="구리병원")*입력_파견수련계획!$W$4:$W$803))+IF($AG88="구리병원",MAX(0,DAY(EOMONTH(출력_요약!$B$3,0))-N($X88)),0)))</f>
        <v/>
      </c>
      <c r="AJ88" s="10">
        <f>IF(OR($B88="",TRIM($J88&amp;"")=""),"",IFERROR(MATCH(TRIM($J88&amp;"")&amp;"|월",입력_파견수련계획!$Z$4:$Z$803,0),""))</f>
        <v/>
      </c>
      <c r="AK88" s="10">
        <f>IF(OR($B88="",TRIM($J88&amp;"")=""),"",IFERROR(MATCH(TRIM($J88&amp;"")&amp;"|다기관",입력_파견수련계획!$AE$4:$AE$803,0),""))</f>
        <v/>
      </c>
      <c r="AL88" s="10">
        <f>IF($AK88="","","다기관 "&amp;TEXT(INDEX(입력_파견수련계획!$AB$4:$AB$803,$AK88),"yyyy-mm-dd")&amp;"~"&amp;IF(ISNUMBER(INDEX(입력_파견수련계획!$AC$4:$AC$803,$AK88)),TEXT(INDEX(입력_파견수련계획!$AC$4:$AC$803,$AK88),"yyyy-mm-dd"),""))</f>
        <v/>
      </c>
      <c r="AM88" s="10">
        <f>IF($Y88="서울병원",COUNTIF($Y$2:$Y88,"서울병원"),"")</f>
        <v/>
      </c>
      <c r="AN88" s="10">
        <f>IF(LEFT($Y88,1)="⚠",COUNTIF($Y$2:$Y88,"⚠*"),"")</f>
        <v/>
      </c>
      <c r="AO88" s="10">
        <f>IF(OR($B88="",$Y88=""),"",IF(IF(TRIM($J88&amp;"")="",0,SUMPRODUCT((입력_파견수련계획!$Q$4:$Q$803=TRIM($J88&amp;""))*입력_파견수련계획!$AD$4:$AD$803))&gt;0,"다기관 기간 → 소속병원 지급",IF(AND(N($X88)&lt;=0,$AQ88=""),"파견 없음 → 그 달 근무병원 지급",IF($AH88+$AI88=DAY(EOMONTH(출력_요약!$B$3,0)),"서울 "&amp;$AH88&amp;"일 / 구리 "&amp;$AI88&amp;"일"&amp;IF($AQ88&lt;&gt;""," (구리 근무자명단 반영)","")&amp;" → 15일 이상 근무 병원 지급","타 병원 포함 → "&amp;IF($AJ88="","소속",INDEX(입력_파견수련계획!$T$4:$T$803,$AJ88))&amp;" 규칙"))))</f>
        <v/>
      </c>
      <c r="AP88" s="10">
        <f>IF($B88="","",$C88&amp;"|"&amp;$F88)</f>
        <v/>
      </c>
      <c r="AQ88" s="10">
        <f>IF($B88="","",IFERROR(MATCH(ROW()-1,출력_구리근무자!$K$6:$K$305,0),""))</f>
        <v/>
      </c>
      <c r="AR88" s="10">
        <f>IF($AQ88="","",INDEX(출력_구리근무자!$H$6:$H$305,$AQ88))</f>
        <v/>
      </c>
    </row>
    <row r="89">
      <c r="A89" s="10">
        <f>IF(B89="","",ROW()-1)</f>
        <v/>
      </c>
      <c r="B89" s="19" t="n"/>
      <c r="C89" s="10">
        <f>IF($AB89="","",IF(INDEX(입력_기본자료!$C$2:$C$1001,$AB89)="","",INDEX(입력_기본자료!$C$2:$C$1001,$AB89)))</f>
        <v/>
      </c>
      <c r="D89" s="10">
        <f>IF($AB89="","",IF(INDEX(입력_기본자료!$J$2:$J$1001,$AB89)="","",INDEX(입력_기본자료!$J$2:$J$1001,$AB89)))</f>
        <v/>
      </c>
      <c r="E89" s="11">
        <f>IF($AB89="","",IF(INDEX(입력_기본자료!$K$2:$K$1001,$AB89)="","",IF(NOT(ISNUMBER(INDEX(입력_기본자료!$K$2:$K$1001,$AB89))),INDEX(입력_기본자료!$K$2:$K$1001,$AB89),IF(INDEX(입력_기본자료!$K$2:$K$1001,$AB89)&lt;1000000,INDEX(입력_기본자료!$K$2:$K$1001,$AB89),IF(AND(INDEX(입력_기본자료!$K$2:$K$1001,$AB89)&gt;=10000101,INT(MOD(INDEX(입력_기본자료!$K$2:$K$1001,$AB89),10000)/100)&gt;=1,INT(MOD(INDEX(입력_기본자료!$K$2:$K$1001,$AB89),10000)/100)&lt;=12,MOD(INDEX(입력_기본자료!$K$2:$K$1001,$AB89),100)&gt;=1,MOD(INDEX(입력_기본자료!$K$2:$K$1001,$AB89),100)&lt;=31),DATE(INT(INDEX(입력_기본자료!$K$2:$K$1001,$AB89)/10000),INT(MOD(INDEX(입력_기본자료!$K$2:$K$1001,$AB89),10000)/100),MOD(INDEX(입력_기본자료!$K$2:$K$1001,$AB89),100)),INDEX(입력_기본자료!$K$2:$K$1001,$AB89)&amp;"")))))</f>
        <v/>
      </c>
      <c r="F89" s="10">
        <f>IF($AB89="","",IF(INDEX(입력_기본자료!$D$2:$D$1001,$AB89)="","",INDEX(입력_기본자료!$D$2:$D$1001,$AB89)))</f>
        <v/>
      </c>
      <c r="G89" s="10">
        <f>IF($AB89="","",IF(INDEX(입력_기본자료!$E$2:$E$1001,$AB89)="","",INDEX(입력_기본자료!$E$2:$E$1001,$AB89)))</f>
        <v/>
      </c>
      <c r="H89" s="10">
        <f>IF($AB89="","",IF(INDEX(입력_기본자료!$F$2:$F$1001,$AB89)="","",INDEX(입력_기본자료!$F$2:$F$1001,$AB89)))</f>
        <v/>
      </c>
      <c r="I89" s="11">
        <f>IF($AB89="","",IF(INDEX(입력_기본자료!$G$2:$G$1001,$AB89)="","",IF(NOT(ISNUMBER(INDEX(입력_기본자료!$G$2:$G$1001,$AB89))),INDEX(입력_기본자료!$G$2:$G$1001,$AB89),IF(INDEX(입력_기본자료!$G$2:$G$1001,$AB89)&lt;1000000,INDEX(입력_기본자료!$G$2:$G$1001,$AB89),IF(AND(INDEX(입력_기본자료!$G$2:$G$1001,$AB89)&gt;=10000101,INT(MOD(INDEX(입력_기본자료!$G$2:$G$1001,$AB89),10000)/100)&gt;=1,INT(MOD(INDEX(입력_기본자료!$G$2:$G$1001,$AB89),10000)/100)&lt;=12,MOD(INDEX(입력_기본자료!$G$2:$G$1001,$AB89),100)&gt;=1,MOD(INDEX(입력_기본자료!$G$2:$G$1001,$AB89),100)&lt;=31),DATE(INT(INDEX(입력_기본자료!$G$2:$G$1001,$AB89)/10000),INT(MOD(INDEX(입력_기본자료!$G$2:$G$1001,$AB89),10000)/100),MOD(INDEX(입력_기본자료!$G$2:$G$1001,$AB89),100)),INDEX(입력_기본자료!$G$2:$G$1001,$AB89)&amp;"")))))</f>
        <v/>
      </c>
      <c r="J89" s="10">
        <f>IF($AB89="","",IF(INDEX(입력_기본자료!$H$2:$H$1001,$AB89)="","",INDEX(입력_기본자료!$H$2:$H$1001,$AB89)))</f>
        <v/>
      </c>
      <c r="K89" s="10">
        <f>IF($AB89="","",IF(INDEX(입력_기본자료!$I$2:$I$1001,$AB89)="","",INDEX(입력_기본자료!$I$2:$I$1001,$AB89)))</f>
        <v/>
      </c>
      <c r="L89" s="10">
        <f>IF($AB89="","",IF(INDEX(입력_기본자료!$A$2:$A$1001,$AB89)="","",INDEX(입력_기본자료!$A$2:$A$1001,$AB89)))</f>
        <v/>
      </c>
      <c r="M89" s="15" t="n"/>
      <c r="N89" s="10">
        <f>IF($B89="","",IF(AND($U89="파견중",$Q89&lt;&gt;""),$Q89,IF(AND($AD89&lt;&gt;"",LEFT($AD89,1)&lt;&gt;"⚠"),LEFT($AD89,FIND(" ",$AD89)-1),IF($H89="","",IF(RIGHT($H89,2)="병원",$H89,$H89&amp;"병원")))))</f>
        <v/>
      </c>
      <c r="O89" s="10">
        <f>IF($B89="","",IF(AND($U89="파견중",$Q89&lt;&gt;""),IF($R89&lt;&gt;"",$R89,"파견과 미입력"),IF(AND($AD89&lt;&gt;"",LEFT($AD89,1)&lt;&gt;"⚠"),MID($AD89,FIND(" ",$AD89)+1,60),IF($F89="","",IF($F89="인턴","수련교육부(인턴)",$F89)))))</f>
        <v/>
      </c>
      <c r="P89" s="10">
        <f>IF($B89="","",IF($AK89&lt;&gt;"",IF(AND(TODAY()&gt;=INDEX(입력_파견수련계획!$AB$4:$AB$803,$AK89),OR(NOT(ISNUMBER(INDEX(입력_파견수련계획!$AC$4:$AC$803,$AK89))),TODAY()&lt;=INDEX(입력_파견수련계획!$AC$4:$AC$803,$AK89))),"다기관",IF($AF89="","",INDEX(입력_파견수련계획!$T$4:$T$803,$AF89))),IF($AF89="","",INDEX(입력_파견수련계획!$T$4:$T$803,$AF89))))</f>
        <v/>
      </c>
      <c r="Q89" s="10">
        <f>IF($AF89="","",INDEX(입력_파견수련계획!$S$4:$S$803,$AF89))</f>
        <v/>
      </c>
      <c r="R89" s="10">
        <f>IF($AF89="","",INDEX(입력_파견수련계획!$U$4:$U$803,$AF89))</f>
        <v/>
      </c>
      <c r="S89" s="11">
        <f>IF($AF89="","",IF(INDEX(입력_파견수련계획!$H$4:$H$803,$AF89)="","",INDEX(입력_파견수련계획!$H$4:$H$803,$AF89)))</f>
        <v/>
      </c>
      <c r="T89" s="11">
        <f>IF($AF89="","",IF(INDEX(입력_파견수련계획!$I$4:$I$803,$AF89)="","",INDEX(입력_파견수련계획!$I$4:$I$803,$AF89)))</f>
        <v/>
      </c>
      <c r="U89" s="10">
        <f>IF($AF89="","",INDEX(입력_파견수련계획!$X$4:$X$803,$AF89))</f>
        <v/>
      </c>
      <c r="V89" s="17">
        <f>IF($AF89="","",INDEX(입력_파견수련계획!$V$4:$V$803,$AF89))</f>
        <v/>
      </c>
      <c r="W89" s="17">
        <f>IF(AND($U89="파견중",$T89&lt;&gt;""),$T89-TODAY(),"")</f>
        <v/>
      </c>
      <c r="X89" s="17">
        <f>IF(OR($B89="",TRIM($J89&amp;"")=""),"",SUMPRODUCT((입력_파견수련계획!$Q$4:$Q$803=TRIM($J89&amp;""))*입력_파견수련계획!$W$4:$W$803))</f>
        <v/>
      </c>
      <c r="Y89" s="10">
        <f>IF($B89="","",IF($AG89="","",IF(IF(TRIM($J89&amp;"")="",0,SUMPRODUCT((입력_파견수련계획!$Q$4:$Q$803=TRIM($J89&amp;""))*입력_파견수련계획!$AD$4:$AD$803))&gt;0,$AE89,IF(AND(N($X89)&lt;=0,$AQ89=""),$AG89,IF($AH89+$AI89=DAY(EOMONTH(출력_요약!$B$3,0)),IF(AND($AH89&gt;=출력_요약!$E$3,$AI89&lt;출력_요약!$E$3),"서울병원",IF(AND($AI89&gt;=출력_요약!$E$3,$AH89&lt;출력_요약!$E$3),"구리병원","⚠15일 판정불가(서울 "&amp;$AH89&amp;"일/구리 "&amp;$AI89&amp;"일)")),IF($AJ89="",$AE89,IF(INDEX(입력_파견수련계획!$T$4:$T$803,$AJ89)="통합수련",INDEX(입력_파견수련계획!$S$4:$S$803,$AJ89),$AE89)))))))</f>
        <v/>
      </c>
      <c r="Z89" s="20">
        <f>IF($B89="","",IF($AB89="","기본자료에 없는 사번",IF(COUNTIF($B$2:$B$401,$B89)&gt;1,"중복 사번",IF($AE89="","소속(입사장소) 입력",IF(IF(TRIM($J89&amp;"")="",0,SUMPRODUCT((입력_파견수련계획!$Q$4:$Q$803=TRIM($J89&amp;""))*(입력_파견수련계획!$AA$4:$AA$803&lt;&gt;"")))&gt;0,"파견수련계획 입력오류 확인",IF(LEFT($Y89,1)="⚠","서울·구리 15일 판정 불가(양쪽 모두 이상/미만)",IF(IF($AC89="",0,N(INDEX(입력_인턴근무계획!$T$3:$T$402,$AC89)))&gt;0,"인턴계획 입력오류 확인",IF(AND($AQ89&lt;&gt;"",$AG89&lt;&gt;"구리병원",IF(TRIM($J89&amp;"")="",0,SUMPRODUCT((입력_파견수련계획!$Q$4:$Q$803=TRIM($J89&amp;""))*(입력_파견수련계획!$S$4:$S$803="구리병원")*입력_파견수련계획!$W$4:$W$803))=0),"구리 근무자명단에만 있음(파견수련계획 확인)",IF(AND($AC89&lt;&gt;"",$U89&lt;&gt;"파견중",$N89&lt;&gt;$AE89),"인턴 타지역 근무: 파견 여부 확인","정상")))))))))</f>
        <v/>
      </c>
      <c r="AA89" s="5" t="n"/>
      <c r="AB89" s="10">
        <f>IF($B89="","",IFERROR(MATCH($B89,입력_기본자료!$B$2:$B$1001,0),IFERROR(MATCH($B89&amp;"",입력_기본자료!$B$2:$B$1001,0),IFERROR(MATCH(VALUE($B89),입력_기본자료!$B$2:$B$1001,0),""))))</f>
        <v/>
      </c>
      <c r="AC89" s="10">
        <f>IF($B89="","",IFERROR(MATCH($B89,입력_인턴근무계획!$D$3:$D$402,0),IFERROR(MATCH($B89&amp;"",입력_인턴근무계획!$D$3:$D$402,0),IFERROR(MATCH(VALUE($B89),입력_인턴근무계획!$D$3:$D$402,0),""))))</f>
        <v/>
      </c>
      <c r="AD89" s="10">
        <f>IF(OR($AC89="",출력_인턴현황!$G$3=""),"",INDEX(입력_인턴근무계획!$M$3:$R$402,$AC89,출력_인턴현황!$G$3)&amp;"")</f>
        <v/>
      </c>
      <c r="AE89" s="10">
        <f>IF($B89="","",IF($M89&lt;&gt;"",$M89,IF(IF($AQ89="",FALSE,INDEX(출력_구리근무자!$J$6:$J$305,$AQ89)="구리독자"),"구리병원",IF($AF89&lt;&gt;"",IF(LEFT(INDEX(입력_파견수련계획!$R$4:$R$803,$AF89),1)&lt;&gt;"⚠",INDEX(입력_파견수련계획!$R$4:$R$803,$AF89),IF($H89="","",IF(RIGHT($H89,2)="병원",$H89,$H89&amp;"병원"))),IF($H89="","",IF(RIGHT($H89,2)="병원",$H89,$H89&amp;"병원"))))))</f>
        <v/>
      </c>
      <c r="AF89" s="10">
        <f>IF(OR($B89="",TRIM($J89&amp;"")=""),"",IFERROR(MATCH(TRIM($J89&amp;"")&amp;"|파견중",입력_파견수련계획!$Y$4:$Y$803,0),IFERROR(MATCH(TRIM($J89&amp;"")&amp;"|파견예정",입력_파견수련계획!$Y$4:$Y$803,0),IFERROR(MATCH(TRIM($J89&amp;"")&amp;"|파견종료",입력_파견수련계획!$Y$4:$Y$803,0),""))))</f>
        <v/>
      </c>
      <c r="AG89" s="10">
        <f>IF($B89="","",IF(AND(IF(OR($AC89="",출력_인턴현황!$K$2=""),"",INDEX(입력_인턴근무계획!$M$3:$R$402,$AC89,출력_인턴현황!$K$2)&amp;"")&lt;&gt;"",LEFT(IF(OR($AC89="",출력_인턴현황!$K$2=""),"",INDEX(입력_인턴근무계획!$M$3:$R$402,$AC89,출력_인턴현황!$K$2)&amp;""),1)&lt;&gt;"⚠"),LEFT(IF(OR($AC89="",출력_인턴현황!$K$2=""),"",INDEX(입력_인턴근무계획!$M$3:$R$402,$AC89,출력_인턴현황!$K$2)&amp;""),FIND(" ",IF(OR($AC89="",출력_인턴현황!$K$2=""),"",INDEX(입력_인턴근무계획!$M$3:$R$402,$AC89,출력_인턴현황!$K$2)&amp;""))-1),$AE89))</f>
        <v/>
      </c>
      <c r="AH89" s="17">
        <f>IF($B89="","",IF($AQ89&lt;&gt;"",MAX(0,DAY(EOMONTH(출력_요약!$B$3,0))-N($AR89)),IF(TRIM($J89&amp;"")="",0,SUMPRODUCT((입력_파견수련계획!$Q$4:$Q$803=TRIM($J89&amp;""))*(입력_파견수련계획!$S$4:$S$803="서울병원")*입력_파견수련계획!$W$4:$W$803))+IF($AG89="서울병원",MAX(0,DAY(EOMONTH(출력_요약!$B$3,0))-N($X89)),0)))</f>
        <v/>
      </c>
      <c r="AI89" s="17">
        <f>IF($B89="","",IF($AQ89&lt;&gt;"",N($AR89),IF(TRIM($J89&amp;"")="",0,SUMPRODUCT((입력_파견수련계획!$Q$4:$Q$803=TRIM($J89&amp;""))*(입력_파견수련계획!$S$4:$S$803="구리병원")*입력_파견수련계획!$W$4:$W$803))+IF($AG89="구리병원",MAX(0,DAY(EOMONTH(출력_요약!$B$3,0))-N($X89)),0)))</f>
        <v/>
      </c>
      <c r="AJ89" s="10">
        <f>IF(OR($B89="",TRIM($J89&amp;"")=""),"",IFERROR(MATCH(TRIM($J89&amp;"")&amp;"|월",입력_파견수련계획!$Z$4:$Z$803,0),""))</f>
        <v/>
      </c>
      <c r="AK89" s="10">
        <f>IF(OR($B89="",TRIM($J89&amp;"")=""),"",IFERROR(MATCH(TRIM($J89&amp;"")&amp;"|다기관",입력_파견수련계획!$AE$4:$AE$803,0),""))</f>
        <v/>
      </c>
      <c r="AL89" s="10">
        <f>IF($AK89="","","다기관 "&amp;TEXT(INDEX(입력_파견수련계획!$AB$4:$AB$803,$AK89),"yyyy-mm-dd")&amp;"~"&amp;IF(ISNUMBER(INDEX(입력_파견수련계획!$AC$4:$AC$803,$AK89)),TEXT(INDEX(입력_파견수련계획!$AC$4:$AC$803,$AK89),"yyyy-mm-dd"),""))</f>
        <v/>
      </c>
      <c r="AM89" s="10">
        <f>IF($Y89="서울병원",COUNTIF($Y$2:$Y89,"서울병원"),"")</f>
        <v/>
      </c>
      <c r="AN89" s="10">
        <f>IF(LEFT($Y89,1)="⚠",COUNTIF($Y$2:$Y89,"⚠*"),"")</f>
        <v/>
      </c>
      <c r="AO89" s="10">
        <f>IF(OR($B89="",$Y89=""),"",IF(IF(TRIM($J89&amp;"")="",0,SUMPRODUCT((입력_파견수련계획!$Q$4:$Q$803=TRIM($J89&amp;""))*입력_파견수련계획!$AD$4:$AD$803))&gt;0,"다기관 기간 → 소속병원 지급",IF(AND(N($X89)&lt;=0,$AQ89=""),"파견 없음 → 그 달 근무병원 지급",IF($AH89+$AI89=DAY(EOMONTH(출력_요약!$B$3,0)),"서울 "&amp;$AH89&amp;"일 / 구리 "&amp;$AI89&amp;"일"&amp;IF($AQ89&lt;&gt;""," (구리 근무자명단 반영)","")&amp;" → 15일 이상 근무 병원 지급","타 병원 포함 → "&amp;IF($AJ89="","소속",INDEX(입력_파견수련계획!$T$4:$T$803,$AJ89))&amp;" 규칙"))))</f>
        <v/>
      </c>
      <c r="AP89" s="10">
        <f>IF($B89="","",$C89&amp;"|"&amp;$F89)</f>
        <v/>
      </c>
      <c r="AQ89" s="10">
        <f>IF($B89="","",IFERROR(MATCH(ROW()-1,출력_구리근무자!$K$6:$K$305,0),""))</f>
        <v/>
      </c>
      <c r="AR89" s="10">
        <f>IF($AQ89="","",INDEX(출력_구리근무자!$H$6:$H$305,$AQ89))</f>
        <v/>
      </c>
    </row>
    <row r="90">
      <c r="A90" s="10">
        <f>IF(B90="","",ROW()-1)</f>
        <v/>
      </c>
      <c r="B90" s="19" t="n"/>
      <c r="C90" s="10">
        <f>IF($AB90="","",IF(INDEX(입력_기본자료!$C$2:$C$1001,$AB90)="","",INDEX(입력_기본자료!$C$2:$C$1001,$AB90)))</f>
        <v/>
      </c>
      <c r="D90" s="10">
        <f>IF($AB90="","",IF(INDEX(입력_기본자료!$J$2:$J$1001,$AB90)="","",INDEX(입력_기본자료!$J$2:$J$1001,$AB90)))</f>
        <v/>
      </c>
      <c r="E90" s="11">
        <f>IF($AB90="","",IF(INDEX(입력_기본자료!$K$2:$K$1001,$AB90)="","",IF(NOT(ISNUMBER(INDEX(입력_기본자료!$K$2:$K$1001,$AB90))),INDEX(입력_기본자료!$K$2:$K$1001,$AB90),IF(INDEX(입력_기본자료!$K$2:$K$1001,$AB90)&lt;1000000,INDEX(입력_기본자료!$K$2:$K$1001,$AB90),IF(AND(INDEX(입력_기본자료!$K$2:$K$1001,$AB90)&gt;=10000101,INT(MOD(INDEX(입력_기본자료!$K$2:$K$1001,$AB90),10000)/100)&gt;=1,INT(MOD(INDEX(입력_기본자료!$K$2:$K$1001,$AB90),10000)/100)&lt;=12,MOD(INDEX(입력_기본자료!$K$2:$K$1001,$AB90),100)&gt;=1,MOD(INDEX(입력_기본자료!$K$2:$K$1001,$AB90),100)&lt;=31),DATE(INT(INDEX(입력_기본자료!$K$2:$K$1001,$AB90)/10000),INT(MOD(INDEX(입력_기본자료!$K$2:$K$1001,$AB90),10000)/100),MOD(INDEX(입력_기본자료!$K$2:$K$1001,$AB90),100)),INDEX(입력_기본자료!$K$2:$K$1001,$AB90)&amp;"")))))</f>
        <v/>
      </c>
      <c r="F90" s="10">
        <f>IF($AB90="","",IF(INDEX(입력_기본자료!$D$2:$D$1001,$AB90)="","",INDEX(입력_기본자료!$D$2:$D$1001,$AB90)))</f>
        <v/>
      </c>
      <c r="G90" s="10">
        <f>IF($AB90="","",IF(INDEX(입력_기본자료!$E$2:$E$1001,$AB90)="","",INDEX(입력_기본자료!$E$2:$E$1001,$AB90)))</f>
        <v/>
      </c>
      <c r="H90" s="10">
        <f>IF($AB90="","",IF(INDEX(입력_기본자료!$F$2:$F$1001,$AB90)="","",INDEX(입력_기본자료!$F$2:$F$1001,$AB90)))</f>
        <v/>
      </c>
      <c r="I90" s="11">
        <f>IF($AB90="","",IF(INDEX(입력_기본자료!$G$2:$G$1001,$AB90)="","",IF(NOT(ISNUMBER(INDEX(입력_기본자료!$G$2:$G$1001,$AB90))),INDEX(입력_기본자료!$G$2:$G$1001,$AB90),IF(INDEX(입력_기본자료!$G$2:$G$1001,$AB90)&lt;1000000,INDEX(입력_기본자료!$G$2:$G$1001,$AB90),IF(AND(INDEX(입력_기본자료!$G$2:$G$1001,$AB90)&gt;=10000101,INT(MOD(INDEX(입력_기본자료!$G$2:$G$1001,$AB90),10000)/100)&gt;=1,INT(MOD(INDEX(입력_기본자료!$G$2:$G$1001,$AB90),10000)/100)&lt;=12,MOD(INDEX(입력_기본자료!$G$2:$G$1001,$AB90),100)&gt;=1,MOD(INDEX(입력_기본자료!$G$2:$G$1001,$AB90),100)&lt;=31),DATE(INT(INDEX(입력_기본자료!$G$2:$G$1001,$AB90)/10000),INT(MOD(INDEX(입력_기본자료!$G$2:$G$1001,$AB90),10000)/100),MOD(INDEX(입력_기본자료!$G$2:$G$1001,$AB90),100)),INDEX(입력_기본자료!$G$2:$G$1001,$AB90)&amp;"")))))</f>
        <v/>
      </c>
      <c r="J90" s="10">
        <f>IF($AB90="","",IF(INDEX(입력_기본자료!$H$2:$H$1001,$AB90)="","",INDEX(입력_기본자료!$H$2:$H$1001,$AB90)))</f>
        <v/>
      </c>
      <c r="K90" s="10">
        <f>IF($AB90="","",IF(INDEX(입력_기본자료!$I$2:$I$1001,$AB90)="","",INDEX(입력_기본자료!$I$2:$I$1001,$AB90)))</f>
        <v/>
      </c>
      <c r="L90" s="10">
        <f>IF($AB90="","",IF(INDEX(입력_기본자료!$A$2:$A$1001,$AB90)="","",INDEX(입력_기본자료!$A$2:$A$1001,$AB90)))</f>
        <v/>
      </c>
      <c r="M90" s="15" t="n"/>
      <c r="N90" s="10">
        <f>IF($B90="","",IF(AND($U90="파견중",$Q90&lt;&gt;""),$Q90,IF(AND($AD90&lt;&gt;"",LEFT($AD90,1)&lt;&gt;"⚠"),LEFT($AD90,FIND(" ",$AD90)-1),IF($H90="","",IF(RIGHT($H90,2)="병원",$H90,$H90&amp;"병원")))))</f>
        <v/>
      </c>
      <c r="O90" s="10">
        <f>IF($B90="","",IF(AND($U90="파견중",$Q90&lt;&gt;""),IF($R90&lt;&gt;"",$R90,"파견과 미입력"),IF(AND($AD90&lt;&gt;"",LEFT($AD90,1)&lt;&gt;"⚠"),MID($AD90,FIND(" ",$AD90)+1,60),IF($F90="","",IF($F90="인턴","수련교육부(인턴)",$F90)))))</f>
        <v/>
      </c>
      <c r="P90" s="10">
        <f>IF($B90="","",IF($AK90&lt;&gt;"",IF(AND(TODAY()&gt;=INDEX(입력_파견수련계획!$AB$4:$AB$803,$AK90),OR(NOT(ISNUMBER(INDEX(입력_파견수련계획!$AC$4:$AC$803,$AK90))),TODAY()&lt;=INDEX(입력_파견수련계획!$AC$4:$AC$803,$AK90))),"다기관",IF($AF90="","",INDEX(입력_파견수련계획!$T$4:$T$803,$AF90))),IF($AF90="","",INDEX(입력_파견수련계획!$T$4:$T$803,$AF90))))</f>
        <v/>
      </c>
      <c r="Q90" s="10">
        <f>IF($AF90="","",INDEX(입력_파견수련계획!$S$4:$S$803,$AF90))</f>
        <v/>
      </c>
      <c r="R90" s="10">
        <f>IF($AF90="","",INDEX(입력_파견수련계획!$U$4:$U$803,$AF90))</f>
        <v/>
      </c>
      <c r="S90" s="11">
        <f>IF($AF90="","",IF(INDEX(입력_파견수련계획!$H$4:$H$803,$AF90)="","",INDEX(입력_파견수련계획!$H$4:$H$803,$AF90)))</f>
        <v/>
      </c>
      <c r="T90" s="11">
        <f>IF($AF90="","",IF(INDEX(입력_파견수련계획!$I$4:$I$803,$AF90)="","",INDEX(입력_파견수련계획!$I$4:$I$803,$AF90)))</f>
        <v/>
      </c>
      <c r="U90" s="10">
        <f>IF($AF90="","",INDEX(입력_파견수련계획!$X$4:$X$803,$AF90))</f>
        <v/>
      </c>
      <c r="V90" s="17">
        <f>IF($AF90="","",INDEX(입력_파견수련계획!$V$4:$V$803,$AF90))</f>
        <v/>
      </c>
      <c r="W90" s="17">
        <f>IF(AND($U90="파견중",$T90&lt;&gt;""),$T90-TODAY(),"")</f>
        <v/>
      </c>
      <c r="X90" s="17">
        <f>IF(OR($B90="",TRIM($J90&amp;"")=""),"",SUMPRODUCT((입력_파견수련계획!$Q$4:$Q$803=TRIM($J90&amp;""))*입력_파견수련계획!$W$4:$W$803))</f>
        <v/>
      </c>
      <c r="Y90" s="10">
        <f>IF($B90="","",IF($AG90="","",IF(IF(TRIM($J90&amp;"")="",0,SUMPRODUCT((입력_파견수련계획!$Q$4:$Q$803=TRIM($J90&amp;""))*입력_파견수련계획!$AD$4:$AD$803))&gt;0,$AE90,IF(AND(N($X90)&lt;=0,$AQ90=""),$AG90,IF($AH90+$AI90=DAY(EOMONTH(출력_요약!$B$3,0)),IF(AND($AH90&gt;=출력_요약!$E$3,$AI90&lt;출력_요약!$E$3),"서울병원",IF(AND($AI90&gt;=출력_요약!$E$3,$AH90&lt;출력_요약!$E$3),"구리병원","⚠15일 판정불가(서울 "&amp;$AH90&amp;"일/구리 "&amp;$AI90&amp;"일)")),IF($AJ90="",$AE90,IF(INDEX(입력_파견수련계획!$T$4:$T$803,$AJ90)="통합수련",INDEX(입력_파견수련계획!$S$4:$S$803,$AJ90),$AE90)))))))</f>
        <v/>
      </c>
      <c r="Z90" s="20">
        <f>IF($B90="","",IF($AB90="","기본자료에 없는 사번",IF(COUNTIF($B$2:$B$401,$B90)&gt;1,"중복 사번",IF($AE90="","소속(입사장소) 입력",IF(IF(TRIM($J90&amp;"")="",0,SUMPRODUCT((입력_파견수련계획!$Q$4:$Q$803=TRIM($J90&amp;""))*(입력_파견수련계획!$AA$4:$AA$803&lt;&gt;"")))&gt;0,"파견수련계획 입력오류 확인",IF(LEFT($Y90,1)="⚠","서울·구리 15일 판정 불가(양쪽 모두 이상/미만)",IF(IF($AC90="",0,N(INDEX(입력_인턴근무계획!$T$3:$T$402,$AC90)))&gt;0,"인턴계획 입력오류 확인",IF(AND($AQ90&lt;&gt;"",$AG90&lt;&gt;"구리병원",IF(TRIM($J90&amp;"")="",0,SUMPRODUCT((입력_파견수련계획!$Q$4:$Q$803=TRIM($J90&amp;""))*(입력_파견수련계획!$S$4:$S$803="구리병원")*입력_파견수련계획!$W$4:$W$803))=0),"구리 근무자명단에만 있음(파견수련계획 확인)",IF(AND($AC90&lt;&gt;"",$U90&lt;&gt;"파견중",$N90&lt;&gt;$AE90),"인턴 타지역 근무: 파견 여부 확인","정상")))))))))</f>
        <v/>
      </c>
      <c r="AA90" s="5" t="n"/>
      <c r="AB90" s="10">
        <f>IF($B90="","",IFERROR(MATCH($B90,입력_기본자료!$B$2:$B$1001,0),IFERROR(MATCH($B90&amp;"",입력_기본자료!$B$2:$B$1001,0),IFERROR(MATCH(VALUE($B90),입력_기본자료!$B$2:$B$1001,0),""))))</f>
        <v/>
      </c>
      <c r="AC90" s="10">
        <f>IF($B90="","",IFERROR(MATCH($B90,입력_인턴근무계획!$D$3:$D$402,0),IFERROR(MATCH($B90&amp;"",입력_인턴근무계획!$D$3:$D$402,0),IFERROR(MATCH(VALUE($B90),입력_인턴근무계획!$D$3:$D$402,0),""))))</f>
        <v/>
      </c>
      <c r="AD90" s="10">
        <f>IF(OR($AC90="",출력_인턴현황!$G$3=""),"",INDEX(입력_인턴근무계획!$M$3:$R$402,$AC90,출력_인턴현황!$G$3)&amp;"")</f>
        <v/>
      </c>
      <c r="AE90" s="10">
        <f>IF($B90="","",IF($M90&lt;&gt;"",$M90,IF(IF($AQ90="",FALSE,INDEX(출력_구리근무자!$J$6:$J$305,$AQ90)="구리독자"),"구리병원",IF($AF90&lt;&gt;"",IF(LEFT(INDEX(입력_파견수련계획!$R$4:$R$803,$AF90),1)&lt;&gt;"⚠",INDEX(입력_파견수련계획!$R$4:$R$803,$AF90),IF($H90="","",IF(RIGHT($H90,2)="병원",$H90,$H90&amp;"병원"))),IF($H90="","",IF(RIGHT($H90,2)="병원",$H90,$H90&amp;"병원"))))))</f>
        <v/>
      </c>
      <c r="AF90" s="10">
        <f>IF(OR($B90="",TRIM($J90&amp;"")=""),"",IFERROR(MATCH(TRIM($J90&amp;"")&amp;"|파견중",입력_파견수련계획!$Y$4:$Y$803,0),IFERROR(MATCH(TRIM($J90&amp;"")&amp;"|파견예정",입력_파견수련계획!$Y$4:$Y$803,0),IFERROR(MATCH(TRIM($J90&amp;"")&amp;"|파견종료",입력_파견수련계획!$Y$4:$Y$803,0),""))))</f>
        <v/>
      </c>
      <c r="AG90" s="10">
        <f>IF($B90="","",IF(AND(IF(OR($AC90="",출력_인턴현황!$K$2=""),"",INDEX(입력_인턴근무계획!$M$3:$R$402,$AC90,출력_인턴현황!$K$2)&amp;"")&lt;&gt;"",LEFT(IF(OR($AC90="",출력_인턴현황!$K$2=""),"",INDEX(입력_인턴근무계획!$M$3:$R$402,$AC90,출력_인턴현황!$K$2)&amp;""),1)&lt;&gt;"⚠"),LEFT(IF(OR($AC90="",출력_인턴현황!$K$2=""),"",INDEX(입력_인턴근무계획!$M$3:$R$402,$AC90,출력_인턴현황!$K$2)&amp;""),FIND(" ",IF(OR($AC90="",출력_인턴현황!$K$2=""),"",INDEX(입력_인턴근무계획!$M$3:$R$402,$AC90,출력_인턴현황!$K$2)&amp;""))-1),$AE90))</f>
        <v/>
      </c>
      <c r="AH90" s="17">
        <f>IF($B90="","",IF($AQ90&lt;&gt;"",MAX(0,DAY(EOMONTH(출력_요약!$B$3,0))-N($AR90)),IF(TRIM($J90&amp;"")="",0,SUMPRODUCT((입력_파견수련계획!$Q$4:$Q$803=TRIM($J90&amp;""))*(입력_파견수련계획!$S$4:$S$803="서울병원")*입력_파견수련계획!$W$4:$W$803))+IF($AG90="서울병원",MAX(0,DAY(EOMONTH(출력_요약!$B$3,0))-N($X90)),0)))</f>
        <v/>
      </c>
      <c r="AI90" s="17">
        <f>IF($B90="","",IF($AQ90&lt;&gt;"",N($AR90),IF(TRIM($J90&amp;"")="",0,SUMPRODUCT((입력_파견수련계획!$Q$4:$Q$803=TRIM($J90&amp;""))*(입력_파견수련계획!$S$4:$S$803="구리병원")*입력_파견수련계획!$W$4:$W$803))+IF($AG90="구리병원",MAX(0,DAY(EOMONTH(출력_요약!$B$3,0))-N($X90)),0)))</f>
        <v/>
      </c>
      <c r="AJ90" s="10">
        <f>IF(OR($B90="",TRIM($J90&amp;"")=""),"",IFERROR(MATCH(TRIM($J90&amp;"")&amp;"|월",입력_파견수련계획!$Z$4:$Z$803,0),""))</f>
        <v/>
      </c>
      <c r="AK90" s="10">
        <f>IF(OR($B90="",TRIM($J90&amp;"")=""),"",IFERROR(MATCH(TRIM($J90&amp;"")&amp;"|다기관",입력_파견수련계획!$AE$4:$AE$803,0),""))</f>
        <v/>
      </c>
      <c r="AL90" s="10">
        <f>IF($AK90="","","다기관 "&amp;TEXT(INDEX(입력_파견수련계획!$AB$4:$AB$803,$AK90),"yyyy-mm-dd")&amp;"~"&amp;IF(ISNUMBER(INDEX(입력_파견수련계획!$AC$4:$AC$803,$AK90)),TEXT(INDEX(입력_파견수련계획!$AC$4:$AC$803,$AK90),"yyyy-mm-dd"),""))</f>
        <v/>
      </c>
      <c r="AM90" s="10">
        <f>IF($Y90="서울병원",COUNTIF($Y$2:$Y90,"서울병원"),"")</f>
        <v/>
      </c>
      <c r="AN90" s="10">
        <f>IF(LEFT($Y90,1)="⚠",COUNTIF($Y$2:$Y90,"⚠*"),"")</f>
        <v/>
      </c>
      <c r="AO90" s="10">
        <f>IF(OR($B90="",$Y90=""),"",IF(IF(TRIM($J90&amp;"")="",0,SUMPRODUCT((입력_파견수련계획!$Q$4:$Q$803=TRIM($J90&amp;""))*입력_파견수련계획!$AD$4:$AD$803))&gt;0,"다기관 기간 → 소속병원 지급",IF(AND(N($X90)&lt;=0,$AQ90=""),"파견 없음 → 그 달 근무병원 지급",IF($AH90+$AI90=DAY(EOMONTH(출력_요약!$B$3,0)),"서울 "&amp;$AH90&amp;"일 / 구리 "&amp;$AI90&amp;"일"&amp;IF($AQ90&lt;&gt;""," (구리 근무자명단 반영)","")&amp;" → 15일 이상 근무 병원 지급","타 병원 포함 → "&amp;IF($AJ90="","소속",INDEX(입력_파견수련계획!$T$4:$T$803,$AJ90))&amp;" 규칙"))))</f>
        <v/>
      </c>
      <c r="AP90" s="10">
        <f>IF($B90="","",$C90&amp;"|"&amp;$F90)</f>
        <v/>
      </c>
      <c r="AQ90" s="10">
        <f>IF($B90="","",IFERROR(MATCH(ROW()-1,출력_구리근무자!$K$6:$K$305,0),""))</f>
        <v/>
      </c>
      <c r="AR90" s="10">
        <f>IF($AQ90="","",INDEX(출력_구리근무자!$H$6:$H$305,$AQ90))</f>
        <v/>
      </c>
    </row>
    <row r="91">
      <c r="A91" s="10">
        <f>IF(B91="","",ROW()-1)</f>
        <v/>
      </c>
      <c r="B91" s="19" t="n"/>
      <c r="C91" s="10">
        <f>IF($AB91="","",IF(INDEX(입력_기본자료!$C$2:$C$1001,$AB91)="","",INDEX(입력_기본자료!$C$2:$C$1001,$AB91)))</f>
        <v/>
      </c>
      <c r="D91" s="10">
        <f>IF($AB91="","",IF(INDEX(입력_기본자료!$J$2:$J$1001,$AB91)="","",INDEX(입력_기본자료!$J$2:$J$1001,$AB91)))</f>
        <v/>
      </c>
      <c r="E91" s="11">
        <f>IF($AB91="","",IF(INDEX(입력_기본자료!$K$2:$K$1001,$AB91)="","",IF(NOT(ISNUMBER(INDEX(입력_기본자료!$K$2:$K$1001,$AB91))),INDEX(입력_기본자료!$K$2:$K$1001,$AB91),IF(INDEX(입력_기본자료!$K$2:$K$1001,$AB91)&lt;1000000,INDEX(입력_기본자료!$K$2:$K$1001,$AB91),IF(AND(INDEX(입력_기본자료!$K$2:$K$1001,$AB91)&gt;=10000101,INT(MOD(INDEX(입력_기본자료!$K$2:$K$1001,$AB91),10000)/100)&gt;=1,INT(MOD(INDEX(입력_기본자료!$K$2:$K$1001,$AB91),10000)/100)&lt;=12,MOD(INDEX(입력_기본자료!$K$2:$K$1001,$AB91),100)&gt;=1,MOD(INDEX(입력_기본자료!$K$2:$K$1001,$AB91),100)&lt;=31),DATE(INT(INDEX(입력_기본자료!$K$2:$K$1001,$AB91)/10000),INT(MOD(INDEX(입력_기본자료!$K$2:$K$1001,$AB91),10000)/100),MOD(INDEX(입력_기본자료!$K$2:$K$1001,$AB91),100)),INDEX(입력_기본자료!$K$2:$K$1001,$AB91)&amp;"")))))</f>
        <v/>
      </c>
      <c r="F91" s="10">
        <f>IF($AB91="","",IF(INDEX(입력_기본자료!$D$2:$D$1001,$AB91)="","",INDEX(입력_기본자료!$D$2:$D$1001,$AB91)))</f>
        <v/>
      </c>
      <c r="G91" s="10">
        <f>IF($AB91="","",IF(INDEX(입력_기본자료!$E$2:$E$1001,$AB91)="","",INDEX(입력_기본자료!$E$2:$E$1001,$AB91)))</f>
        <v/>
      </c>
      <c r="H91" s="10">
        <f>IF($AB91="","",IF(INDEX(입력_기본자료!$F$2:$F$1001,$AB91)="","",INDEX(입력_기본자료!$F$2:$F$1001,$AB91)))</f>
        <v/>
      </c>
      <c r="I91" s="11">
        <f>IF($AB91="","",IF(INDEX(입력_기본자료!$G$2:$G$1001,$AB91)="","",IF(NOT(ISNUMBER(INDEX(입력_기본자료!$G$2:$G$1001,$AB91))),INDEX(입력_기본자료!$G$2:$G$1001,$AB91),IF(INDEX(입력_기본자료!$G$2:$G$1001,$AB91)&lt;1000000,INDEX(입력_기본자료!$G$2:$G$1001,$AB91),IF(AND(INDEX(입력_기본자료!$G$2:$G$1001,$AB91)&gt;=10000101,INT(MOD(INDEX(입력_기본자료!$G$2:$G$1001,$AB91),10000)/100)&gt;=1,INT(MOD(INDEX(입력_기본자료!$G$2:$G$1001,$AB91),10000)/100)&lt;=12,MOD(INDEX(입력_기본자료!$G$2:$G$1001,$AB91),100)&gt;=1,MOD(INDEX(입력_기본자료!$G$2:$G$1001,$AB91),100)&lt;=31),DATE(INT(INDEX(입력_기본자료!$G$2:$G$1001,$AB91)/10000),INT(MOD(INDEX(입력_기본자료!$G$2:$G$1001,$AB91),10000)/100),MOD(INDEX(입력_기본자료!$G$2:$G$1001,$AB91),100)),INDEX(입력_기본자료!$G$2:$G$1001,$AB91)&amp;"")))))</f>
        <v/>
      </c>
      <c r="J91" s="10">
        <f>IF($AB91="","",IF(INDEX(입력_기본자료!$H$2:$H$1001,$AB91)="","",INDEX(입력_기본자료!$H$2:$H$1001,$AB91)))</f>
        <v/>
      </c>
      <c r="K91" s="10">
        <f>IF($AB91="","",IF(INDEX(입력_기본자료!$I$2:$I$1001,$AB91)="","",INDEX(입력_기본자료!$I$2:$I$1001,$AB91)))</f>
        <v/>
      </c>
      <c r="L91" s="10">
        <f>IF($AB91="","",IF(INDEX(입력_기본자료!$A$2:$A$1001,$AB91)="","",INDEX(입력_기본자료!$A$2:$A$1001,$AB91)))</f>
        <v/>
      </c>
      <c r="M91" s="15" t="n"/>
      <c r="N91" s="10">
        <f>IF($B91="","",IF(AND($U91="파견중",$Q91&lt;&gt;""),$Q91,IF(AND($AD91&lt;&gt;"",LEFT($AD91,1)&lt;&gt;"⚠"),LEFT($AD91,FIND(" ",$AD91)-1),IF($H91="","",IF(RIGHT($H91,2)="병원",$H91,$H91&amp;"병원")))))</f>
        <v/>
      </c>
      <c r="O91" s="10">
        <f>IF($B91="","",IF(AND($U91="파견중",$Q91&lt;&gt;""),IF($R91&lt;&gt;"",$R91,"파견과 미입력"),IF(AND($AD91&lt;&gt;"",LEFT($AD91,1)&lt;&gt;"⚠"),MID($AD91,FIND(" ",$AD91)+1,60),IF($F91="","",IF($F91="인턴","수련교육부(인턴)",$F91)))))</f>
        <v/>
      </c>
      <c r="P91" s="10">
        <f>IF($B91="","",IF($AK91&lt;&gt;"",IF(AND(TODAY()&gt;=INDEX(입력_파견수련계획!$AB$4:$AB$803,$AK91),OR(NOT(ISNUMBER(INDEX(입력_파견수련계획!$AC$4:$AC$803,$AK91))),TODAY()&lt;=INDEX(입력_파견수련계획!$AC$4:$AC$803,$AK91))),"다기관",IF($AF91="","",INDEX(입력_파견수련계획!$T$4:$T$803,$AF91))),IF($AF91="","",INDEX(입력_파견수련계획!$T$4:$T$803,$AF91))))</f>
        <v/>
      </c>
      <c r="Q91" s="10">
        <f>IF($AF91="","",INDEX(입력_파견수련계획!$S$4:$S$803,$AF91))</f>
        <v/>
      </c>
      <c r="R91" s="10">
        <f>IF($AF91="","",INDEX(입력_파견수련계획!$U$4:$U$803,$AF91))</f>
        <v/>
      </c>
      <c r="S91" s="11">
        <f>IF($AF91="","",IF(INDEX(입력_파견수련계획!$H$4:$H$803,$AF91)="","",INDEX(입력_파견수련계획!$H$4:$H$803,$AF91)))</f>
        <v/>
      </c>
      <c r="T91" s="11">
        <f>IF($AF91="","",IF(INDEX(입력_파견수련계획!$I$4:$I$803,$AF91)="","",INDEX(입력_파견수련계획!$I$4:$I$803,$AF91)))</f>
        <v/>
      </c>
      <c r="U91" s="10">
        <f>IF($AF91="","",INDEX(입력_파견수련계획!$X$4:$X$803,$AF91))</f>
        <v/>
      </c>
      <c r="V91" s="17">
        <f>IF($AF91="","",INDEX(입력_파견수련계획!$V$4:$V$803,$AF91))</f>
        <v/>
      </c>
      <c r="W91" s="17">
        <f>IF(AND($U91="파견중",$T91&lt;&gt;""),$T91-TODAY(),"")</f>
        <v/>
      </c>
      <c r="X91" s="17">
        <f>IF(OR($B91="",TRIM($J91&amp;"")=""),"",SUMPRODUCT((입력_파견수련계획!$Q$4:$Q$803=TRIM($J91&amp;""))*입력_파견수련계획!$W$4:$W$803))</f>
        <v/>
      </c>
      <c r="Y91" s="10">
        <f>IF($B91="","",IF($AG91="","",IF(IF(TRIM($J91&amp;"")="",0,SUMPRODUCT((입력_파견수련계획!$Q$4:$Q$803=TRIM($J91&amp;""))*입력_파견수련계획!$AD$4:$AD$803))&gt;0,$AE91,IF(AND(N($X91)&lt;=0,$AQ91=""),$AG91,IF($AH91+$AI91=DAY(EOMONTH(출력_요약!$B$3,0)),IF(AND($AH91&gt;=출력_요약!$E$3,$AI91&lt;출력_요약!$E$3),"서울병원",IF(AND($AI91&gt;=출력_요약!$E$3,$AH91&lt;출력_요약!$E$3),"구리병원","⚠15일 판정불가(서울 "&amp;$AH91&amp;"일/구리 "&amp;$AI91&amp;"일)")),IF($AJ91="",$AE91,IF(INDEX(입력_파견수련계획!$T$4:$T$803,$AJ91)="통합수련",INDEX(입력_파견수련계획!$S$4:$S$803,$AJ91),$AE91)))))))</f>
        <v/>
      </c>
      <c r="Z91" s="20">
        <f>IF($B91="","",IF($AB91="","기본자료에 없는 사번",IF(COUNTIF($B$2:$B$401,$B91)&gt;1,"중복 사번",IF($AE91="","소속(입사장소) 입력",IF(IF(TRIM($J91&amp;"")="",0,SUMPRODUCT((입력_파견수련계획!$Q$4:$Q$803=TRIM($J91&amp;""))*(입력_파견수련계획!$AA$4:$AA$803&lt;&gt;"")))&gt;0,"파견수련계획 입력오류 확인",IF(LEFT($Y91,1)="⚠","서울·구리 15일 판정 불가(양쪽 모두 이상/미만)",IF(IF($AC91="",0,N(INDEX(입력_인턴근무계획!$T$3:$T$402,$AC91)))&gt;0,"인턴계획 입력오류 확인",IF(AND($AQ91&lt;&gt;"",$AG91&lt;&gt;"구리병원",IF(TRIM($J91&amp;"")="",0,SUMPRODUCT((입력_파견수련계획!$Q$4:$Q$803=TRIM($J91&amp;""))*(입력_파견수련계획!$S$4:$S$803="구리병원")*입력_파견수련계획!$W$4:$W$803))=0),"구리 근무자명단에만 있음(파견수련계획 확인)",IF(AND($AC91&lt;&gt;"",$U91&lt;&gt;"파견중",$N91&lt;&gt;$AE91),"인턴 타지역 근무: 파견 여부 확인","정상")))))))))</f>
        <v/>
      </c>
      <c r="AA91" s="5" t="n"/>
      <c r="AB91" s="10">
        <f>IF($B91="","",IFERROR(MATCH($B91,입력_기본자료!$B$2:$B$1001,0),IFERROR(MATCH($B91&amp;"",입력_기본자료!$B$2:$B$1001,0),IFERROR(MATCH(VALUE($B91),입력_기본자료!$B$2:$B$1001,0),""))))</f>
        <v/>
      </c>
      <c r="AC91" s="10">
        <f>IF($B91="","",IFERROR(MATCH($B91,입력_인턴근무계획!$D$3:$D$402,0),IFERROR(MATCH($B91&amp;"",입력_인턴근무계획!$D$3:$D$402,0),IFERROR(MATCH(VALUE($B91),입력_인턴근무계획!$D$3:$D$402,0),""))))</f>
        <v/>
      </c>
      <c r="AD91" s="10">
        <f>IF(OR($AC91="",출력_인턴현황!$G$3=""),"",INDEX(입력_인턴근무계획!$M$3:$R$402,$AC91,출력_인턴현황!$G$3)&amp;"")</f>
        <v/>
      </c>
      <c r="AE91" s="10">
        <f>IF($B91="","",IF($M91&lt;&gt;"",$M91,IF(IF($AQ91="",FALSE,INDEX(출력_구리근무자!$J$6:$J$305,$AQ91)="구리독자"),"구리병원",IF($AF91&lt;&gt;"",IF(LEFT(INDEX(입력_파견수련계획!$R$4:$R$803,$AF91),1)&lt;&gt;"⚠",INDEX(입력_파견수련계획!$R$4:$R$803,$AF91),IF($H91="","",IF(RIGHT($H91,2)="병원",$H91,$H91&amp;"병원"))),IF($H91="","",IF(RIGHT($H91,2)="병원",$H91,$H91&amp;"병원"))))))</f>
        <v/>
      </c>
      <c r="AF91" s="10">
        <f>IF(OR($B91="",TRIM($J91&amp;"")=""),"",IFERROR(MATCH(TRIM($J91&amp;"")&amp;"|파견중",입력_파견수련계획!$Y$4:$Y$803,0),IFERROR(MATCH(TRIM($J91&amp;"")&amp;"|파견예정",입력_파견수련계획!$Y$4:$Y$803,0),IFERROR(MATCH(TRIM($J91&amp;"")&amp;"|파견종료",입력_파견수련계획!$Y$4:$Y$803,0),""))))</f>
        <v/>
      </c>
      <c r="AG91" s="10">
        <f>IF($B91="","",IF(AND(IF(OR($AC91="",출력_인턴현황!$K$2=""),"",INDEX(입력_인턴근무계획!$M$3:$R$402,$AC91,출력_인턴현황!$K$2)&amp;"")&lt;&gt;"",LEFT(IF(OR($AC91="",출력_인턴현황!$K$2=""),"",INDEX(입력_인턴근무계획!$M$3:$R$402,$AC91,출력_인턴현황!$K$2)&amp;""),1)&lt;&gt;"⚠"),LEFT(IF(OR($AC91="",출력_인턴현황!$K$2=""),"",INDEX(입력_인턴근무계획!$M$3:$R$402,$AC91,출력_인턴현황!$K$2)&amp;""),FIND(" ",IF(OR($AC91="",출력_인턴현황!$K$2=""),"",INDEX(입력_인턴근무계획!$M$3:$R$402,$AC91,출력_인턴현황!$K$2)&amp;""))-1),$AE91))</f>
        <v/>
      </c>
      <c r="AH91" s="17">
        <f>IF($B91="","",IF($AQ91&lt;&gt;"",MAX(0,DAY(EOMONTH(출력_요약!$B$3,0))-N($AR91)),IF(TRIM($J91&amp;"")="",0,SUMPRODUCT((입력_파견수련계획!$Q$4:$Q$803=TRIM($J91&amp;""))*(입력_파견수련계획!$S$4:$S$803="서울병원")*입력_파견수련계획!$W$4:$W$803))+IF($AG91="서울병원",MAX(0,DAY(EOMONTH(출력_요약!$B$3,0))-N($X91)),0)))</f>
        <v/>
      </c>
      <c r="AI91" s="17">
        <f>IF($B91="","",IF($AQ91&lt;&gt;"",N($AR91),IF(TRIM($J91&amp;"")="",0,SUMPRODUCT((입력_파견수련계획!$Q$4:$Q$803=TRIM($J91&amp;""))*(입력_파견수련계획!$S$4:$S$803="구리병원")*입력_파견수련계획!$W$4:$W$803))+IF($AG91="구리병원",MAX(0,DAY(EOMONTH(출력_요약!$B$3,0))-N($X91)),0)))</f>
        <v/>
      </c>
      <c r="AJ91" s="10">
        <f>IF(OR($B91="",TRIM($J91&amp;"")=""),"",IFERROR(MATCH(TRIM($J91&amp;"")&amp;"|월",입력_파견수련계획!$Z$4:$Z$803,0),""))</f>
        <v/>
      </c>
      <c r="AK91" s="10">
        <f>IF(OR($B91="",TRIM($J91&amp;"")=""),"",IFERROR(MATCH(TRIM($J91&amp;"")&amp;"|다기관",입력_파견수련계획!$AE$4:$AE$803,0),""))</f>
        <v/>
      </c>
      <c r="AL91" s="10">
        <f>IF($AK91="","","다기관 "&amp;TEXT(INDEX(입력_파견수련계획!$AB$4:$AB$803,$AK91),"yyyy-mm-dd")&amp;"~"&amp;IF(ISNUMBER(INDEX(입력_파견수련계획!$AC$4:$AC$803,$AK91)),TEXT(INDEX(입력_파견수련계획!$AC$4:$AC$803,$AK91),"yyyy-mm-dd"),""))</f>
        <v/>
      </c>
      <c r="AM91" s="10">
        <f>IF($Y91="서울병원",COUNTIF($Y$2:$Y91,"서울병원"),"")</f>
        <v/>
      </c>
      <c r="AN91" s="10">
        <f>IF(LEFT($Y91,1)="⚠",COUNTIF($Y$2:$Y91,"⚠*"),"")</f>
        <v/>
      </c>
      <c r="AO91" s="10">
        <f>IF(OR($B91="",$Y91=""),"",IF(IF(TRIM($J91&amp;"")="",0,SUMPRODUCT((입력_파견수련계획!$Q$4:$Q$803=TRIM($J91&amp;""))*입력_파견수련계획!$AD$4:$AD$803))&gt;0,"다기관 기간 → 소속병원 지급",IF(AND(N($X91)&lt;=0,$AQ91=""),"파견 없음 → 그 달 근무병원 지급",IF($AH91+$AI91=DAY(EOMONTH(출력_요약!$B$3,0)),"서울 "&amp;$AH91&amp;"일 / 구리 "&amp;$AI91&amp;"일"&amp;IF($AQ91&lt;&gt;""," (구리 근무자명단 반영)","")&amp;" → 15일 이상 근무 병원 지급","타 병원 포함 → "&amp;IF($AJ91="","소속",INDEX(입력_파견수련계획!$T$4:$T$803,$AJ91))&amp;" 규칙"))))</f>
        <v/>
      </c>
      <c r="AP91" s="10">
        <f>IF($B91="","",$C91&amp;"|"&amp;$F91)</f>
        <v/>
      </c>
      <c r="AQ91" s="10">
        <f>IF($B91="","",IFERROR(MATCH(ROW()-1,출력_구리근무자!$K$6:$K$305,0),""))</f>
        <v/>
      </c>
      <c r="AR91" s="10">
        <f>IF($AQ91="","",INDEX(출력_구리근무자!$H$6:$H$305,$AQ91))</f>
        <v/>
      </c>
    </row>
    <row r="92">
      <c r="A92" s="10">
        <f>IF(B92="","",ROW()-1)</f>
        <v/>
      </c>
      <c r="B92" s="19" t="n"/>
      <c r="C92" s="10">
        <f>IF($AB92="","",IF(INDEX(입력_기본자료!$C$2:$C$1001,$AB92)="","",INDEX(입력_기본자료!$C$2:$C$1001,$AB92)))</f>
        <v/>
      </c>
      <c r="D92" s="10">
        <f>IF($AB92="","",IF(INDEX(입력_기본자료!$J$2:$J$1001,$AB92)="","",INDEX(입력_기본자료!$J$2:$J$1001,$AB92)))</f>
        <v/>
      </c>
      <c r="E92" s="11">
        <f>IF($AB92="","",IF(INDEX(입력_기본자료!$K$2:$K$1001,$AB92)="","",IF(NOT(ISNUMBER(INDEX(입력_기본자료!$K$2:$K$1001,$AB92))),INDEX(입력_기본자료!$K$2:$K$1001,$AB92),IF(INDEX(입력_기본자료!$K$2:$K$1001,$AB92)&lt;1000000,INDEX(입력_기본자료!$K$2:$K$1001,$AB92),IF(AND(INDEX(입력_기본자료!$K$2:$K$1001,$AB92)&gt;=10000101,INT(MOD(INDEX(입력_기본자료!$K$2:$K$1001,$AB92),10000)/100)&gt;=1,INT(MOD(INDEX(입력_기본자료!$K$2:$K$1001,$AB92),10000)/100)&lt;=12,MOD(INDEX(입력_기본자료!$K$2:$K$1001,$AB92),100)&gt;=1,MOD(INDEX(입력_기본자료!$K$2:$K$1001,$AB92),100)&lt;=31),DATE(INT(INDEX(입력_기본자료!$K$2:$K$1001,$AB92)/10000),INT(MOD(INDEX(입력_기본자료!$K$2:$K$1001,$AB92),10000)/100),MOD(INDEX(입력_기본자료!$K$2:$K$1001,$AB92),100)),INDEX(입력_기본자료!$K$2:$K$1001,$AB92)&amp;"")))))</f>
        <v/>
      </c>
      <c r="F92" s="10">
        <f>IF($AB92="","",IF(INDEX(입력_기본자료!$D$2:$D$1001,$AB92)="","",INDEX(입력_기본자료!$D$2:$D$1001,$AB92)))</f>
        <v/>
      </c>
      <c r="G92" s="10">
        <f>IF($AB92="","",IF(INDEX(입력_기본자료!$E$2:$E$1001,$AB92)="","",INDEX(입력_기본자료!$E$2:$E$1001,$AB92)))</f>
        <v/>
      </c>
      <c r="H92" s="10">
        <f>IF($AB92="","",IF(INDEX(입력_기본자료!$F$2:$F$1001,$AB92)="","",INDEX(입력_기본자료!$F$2:$F$1001,$AB92)))</f>
        <v/>
      </c>
      <c r="I92" s="11">
        <f>IF($AB92="","",IF(INDEX(입력_기본자료!$G$2:$G$1001,$AB92)="","",IF(NOT(ISNUMBER(INDEX(입력_기본자료!$G$2:$G$1001,$AB92))),INDEX(입력_기본자료!$G$2:$G$1001,$AB92),IF(INDEX(입력_기본자료!$G$2:$G$1001,$AB92)&lt;1000000,INDEX(입력_기본자료!$G$2:$G$1001,$AB92),IF(AND(INDEX(입력_기본자료!$G$2:$G$1001,$AB92)&gt;=10000101,INT(MOD(INDEX(입력_기본자료!$G$2:$G$1001,$AB92),10000)/100)&gt;=1,INT(MOD(INDEX(입력_기본자료!$G$2:$G$1001,$AB92),10000)/100)&lt;=12,MOD(INDEX(입력_기본자료!$G$2:$G$1001,$AB92),100)&gt;=1,MOD(INDEX(입력_기본자료!$G$2:$G$1001,$AB92),100)&lt;=31),DATE(INT(INDEX(입력_기본자료!$G$2:$G$1001,$AB92)/10000),INT(MOD(INDEX(입력_기본자료!$G$2:$G$1001,$AB92),10000)/100),MOD(INDEX(입력_기본자료!$G$2:$G$1001,$AB92),100)),INDEX(입력_기본자료!$G$2:$G$1001,$AB92)&amp;"")))))</f>
        <v/>
      </c>
      <c r="J92" s="10">
        <f>IF($AB92="","",IF(INDEX(입력_기본자료!$H$2:$H$1001,$AB92)="","",INDEX(입력_기본자료!$H$2:$H$1001,$AB92)))</f>
        <v/>
      </c>
      <c r="K92" s="10">
        <f>IF($AB92="","",IF(INDEX(입력_기본자료!$I$2:$I$1001,$AB92)="","",INDEX(입력_기본자료!$I$2:$I$1001,$AB92)))</f>
        <v/>
      </c>
      <c r="L92" s="10">
        <f>IF($AB92="","",IF(INDEX(입력_기본자료!$A$2:$A$1001,$AB92)="","",INDEX(입력_기본자료!$A$2:$A$1001,$AB92)))</f>
        <v/>
      </c>
      <c r="M92" s="15" t="n"/>
      <c r="N92" s="10">
        <f>IF($B92="","",IF(AND($U92="파견중",$Q92&lt;&gt;""),$Q92,IF(AND($AD92&lt;&gt;"",LEFT($AD92,1)&lt;&gt;"⚠"),LEFT($AD92,FIND(" ",$AD92)-1),IF($H92="","",IF(RIGHT($H92,2)="병원",$H92,$H92&amp;"병원")))))</f>
        <v/>
      </c>
      <c r="O92" s="10">
        <f>IF($B92="","",IF(AND($U92="파견중",$Q92&lt;&gt;""),IF($R92&lt;&gt;"",$R92,"파견과 미입력"),IF(AND($AD92&lt;&gt;"",LEFT($AD92,1)&lt;&gt;"⚠"),MID($AD92,FIND(" ",$AD92)+1,60),IF($F92="","",IF($F92="인턴","수련교육부(인턴)",$F92)))))</f>
        <v/>
      </c>
      <c r="P92" s="10">
        <f>IF($B92="","",IF($AK92&lt;&gt;"",IF(AND(TODAY()&gt;=INDEX(입력_파견수련계획!$AB$4:$AB$803,$AK92),OR(NOT(ISNUMBER(INDEX(입력_파견수련계획!$AC$4:$AC$803,$AK92))),TODAY()&lt;=INDEX(입력_파견수련계획!$AC$4:$AC$803,$AK92))),"다기관",IF($AF92="","",INDEX(입력_파견수련계획!$T$4:$T$803,$AF92))),IF($AF92="","",INDEX(입력_파견수련계획!$T$4:$T$803,$AF92))))</f>
        <v/>
      </c>
      <c r="Q92" s="10">
        <f>IF($AF92="","",INDEX(입력_파견수련계획!$S$4:$S$803,$AF92))</f>
        <v/>
      </c>
      <c r="R92" s="10">
        <f>IF($AF92="","",INDEX(입력_파견수련계획!$U$4:$U$803,$AF92))</f>
        <v/>
      </c>
      <c r="S92" s="11">
        <f>IF($AF92="","",IF(INDEX(입력_파견수련계획!$H$4:$H$803,$AF92)="","",INDEX(입력_파견수련계획!$H$4:$H$803,$AF92)))</f>
        <v/>
      </c>
      <c r="T92" s="11">
        <f>IF($AF92="","",IF(INDEX(입력_파견수련계획!$I$4:$I$803,$AF92)="","",INDEX(입력_파견수련계획!$I$4:$I$803,$AF92)))</f>
        <v/>
      </c>
      <c r="U92" s="10">
        <f>IF($AF92="","",INDEX(입력_파견수련계획!$X$4:$X$803,$AF92))</f>
        <v/>
      </c>
      <c r="V92" s="17">
        <f>IF($AF92="","",INDEX(입력_파견수련계획!$V$4:$V$803,$AF92))</f>
        <v/>
      </c>
      <c r="W92" s="17">
        <f>IF(AND($U92="파견중",$T92&lt;&gt;""),$T92-TODAY(),"")</f>
        <v/>
      </c>
      <c r="X92" s="17">
        <f>IF(OR($B92="",TRIM($J92&amp;"")=""),"",SUMPRODUCT((입력_파견수련계획!$Q$4:$Q$803=TRIM($J92&amp;""))*입력_파견수련계획!$W$4:$W$803))</f>
        <v/>
      </c>
      <c r="Y92" s="10">
        <f>IF($B92="","",IF($AG92="","",IF(IF(TRIM($J92&amp;"")="",0,SUMPRODUCT((입력_파견수련계획!$Q$4:$Q$803=TRIM($J92&amp;""))*입력_파견수련계획!$AD$4:$AD$803))&gt;0,$AE92,IF(AND(N($X92)&lt;=0,$AQ92=""),$AG92,IF($AH92+$AI92=DAY(EOMONTH(출력_요약!$B$3,0)),IF(AND($AH92&gt;=출력_요약!$E$3,$AI92&lt;출력_요약!$E$3),"서울병원",IF(AND($AI92&gt;=출력_요약!$E$3,$AH92&lt;출력_요약!$E$3),"구리병원","⚠15일 판정불가(서울 "&amp;$AH92&amp;"일/구리 "&amp;$AI92&amp;"일)")),IF($AJ92="",$AE92,IF(INDEX(입력_파견수련계획!$T$4:$T$803,$AJ92)="통합수련",INDEX(입력_파견수련계획!$S$4:$S$803,$AJ92),$AE92)))))))</f>
        <v/>
      </c>
      <c r="Z92" s="20">
        <f>IF($B92="","",IF($AB92="","기본자료에 없는 사번",IF(COUNTIF($B$2:$B$401,$B92)&gt;1,"중복 사번",IF($AE92="","소속(입사장소) 입력",IF(IF(TRIM($J92&amp;"")="",0,SUMPRODUCT((입력_파견수련계획!$Q$4:$Q$803=TRIM($J92&amp;""))*(입력_파견수련계획!$AA$4:$AA$803&lt;&gt;"")))&gt;0,"파견수련계획 입력오류 확인",IF(LEFT($Y92,1)="⚠","서울·구리 15일 판정 불가(양쪽 모두 이상/미만)",IF(IF($AC92="",0,N(INDEX(입력_인턴근무계획!$T$3:$T$402,$AC92)))&gt;0,"인턴계획 입력오류 확인",IF(AND($AQ92&lt;&gt;"",$AG92&lt;&gt;"구리병원",IF(TRIM($J92&amp;"")="",0,SUMPRODUCT((입력_파견수련계획!$Q$4:$Q$803=TRIM($J92&amp;""))*(입력_파견수련계획!$S$4:$S$803="구리병원")*입력_파견수련계획!$W$4:$W$803))=0),"구리 근무자명단에만 있음(파견수련계획 확인)",IF(AND($AC92&lt;&gt;"",$U92&lt;&gt;"파견중",$N92&lt;&gt;$AE92),"인턴 타지역 근무: 파견 여부 확인","정상")))))))))</f>
        <v/>
      </c>
      <c r="AA92" s="5" t="n"/>
      <c r="AB92" s="10">
        <f>IF($B92="","",IFERROR(MATCH($B92,입력_기본자료!$B$2:$B$1001,0),IFERROR(MATCH($B92&amp;"",입력_기본자료!$B$2:$B$1001,0),IFERROR(MATCH(VALUE($B92),입력_기본자료!$B$2:$B$1001,0),""))))</f>
        <v/>
      </c>
      <c r="AC92" s="10">
        <f>IF($B92="","",IFERROR(MATCH($B92,입력_인턴근무계획!$D$3:$D$402,0),IFERROR(MATCH($B92&amp;"",입력_인턴근무계획!$D$3:$D$402,0),IFERROR(MATCH(VALUE($B92),입력_인턴근무계획!$D$3:$D$402,0),""))))</f>
        <v/>
      </c>
      <c r="AD92" s="10">
        <f>IF(OR($AC92="",출력_인턴현황!$G$3=""),"",INDEX(입력_인턴근무계획!$M$3:$R$402,$AC92,출력_인턴현황!$G$3)&amp;"")</f>
        <v/>
      </c>
      <c r="AE92" s="10">
        <f>IF($B92="","",IF($M92&lt;&gt;"",$M92,IF(IF($AQ92="",FALSE,INDEX(출력_구리근무자!$J$6:$J$305,$AQ92)="구리독자"),"구리병원",IF($AF92&lt;&gt;"",IF(LEFT(INDEX(입력_파견수련계획!$R$4:$R$803,$AF92),1)&lt;&gt;"⚠",INDEX(입력_파견수련계획!$R$4:$R$803,$AF92),IF($H92="","",IF(RIGHT($H92,2)="병원",$H92,$H92&amp;"병원"))),IF($H92="","",IF(RIGHT($H92,2)="병원",$H92,$H92&amp;"병원"))))))</f>
        <v/>
      </c>
      <c r="AF92" s="10">
        <f>IF(OR($B92="",TRIM($J92&amp;"")=""),"",IFERROR(MATCH(TRIM($J92&amp;"")&amp;"|파견중",입력_파견수련계획!$Y$4:$Y$803,0),IFERROR(MATCH(TRIM($J92&amp;"")&amp;"|파견예정",입력_파견수련계획!$Y$4:$Y$803,0),IFERROR(MATCH(TRIM($J92&amp;"")&amp;"|파견종료",입력_파견수련계획!$Y$4:$Y$803,0),""))))</f>
        <v/>
      </c>
      <c r="AG92" s="10">
        <f>IF($B92="","",IF(AND(IF(OR($AC92="",출력_인턴현황!$K$2=""),"",INDEX(입력_인턴근무계획!$M$3:$R$402,$AC92,출력_인턴현황!$K$2)&amp;"")&lt;&gt;"",LEFT(IF(OR($AC92="",출력_인턴현황!$K$2=""),"",INDEX(입력_인턴근무계획!$M$3:$R$402,$AC92,출력_인턴현황!$K$2)&amp;""),1)&lt;&gt;"⚠"),LEFT(IF(OR($AC92="",출력_인턴현황!$K$2=""),"",INDEX(입력_인턴근무계획!$M$3:$R$402,$AC92,출력_인턴현황!$K$2)&amp;""),FIND(" ",IF(OR($AC92="",출력_인턴현황!$K$2=""),"",INDEX(입력_인턴근무계획!$M$3:$R$402,$AC92,출력_인턴현황!$K$2)&amp;""))-1),$AE92))</f>
        <v/>
      </c>
      <c r="AH92" s="17">
        <f>IF($B92="","",IF($AQ92&lt;&gt;"",MAX(0,DAY(EOMONTH(출력_요약!$B$3,0))-N($AR92)),IF(TRIM($J92&amp;"")="",0,SUMPRODUCT((입력_파견수련계획!$Q$4:$Q$803=TRIM($J92&amp;""))*(입력_파견수련계획!$S$4:$S$803="서울병원")*입력_파견수련계획!$W$4:$W$803))+IF($AG92="서울병원",MAX(0,DAY(EOMONTH(출력_요약!$B$3,0))-N($X92)),0)))</f>
        <v/>
      </c>
      <c r="AI92" s="17">
        <f>IF($B92="","",IF($AQ92&lt;&gt;"",N($AR92),IF(TRIM($J92&amp;"")="",0,SUMPRODUCT((입력_파견수련계획!$Q$4:$Q$803=TRIM($J92&amp;""))*(입력_파견수련계획!$S$4:$S$803="구리병원")*입력_파견수련계획!$W$4:$W$803))+IF($AG92="구리병원",MAX(0,DAY(EOMONTH(출력_요약!$B$3,0))-N($X92)),0)))</f>
        <v/>
      </c>
      <c r="AJ92" s="10">
        <f>IF(OR($B92="",TRIM($J92&amp;"")=""),"",IFERROR(MATCH(TRIM($J92&amp;"")&amp;"|월",입력_파견수련계획!$Z$4:$Z$803,0),""))</f>
        <v/>
      </c>
      <c r="AK92" s="10">
        <f>IF(OR($B92="",TRIM($J92&amp;"")=""),"",IFERROR(MATCH(TRIM($J92&amp;"")&amp;"|다기관",입력_파견수련계획!$AE$4:$AE$803,0),""))</f>
        <v/>
      </c>
      <c r="AL92" s="10">
        <f>IF($AK92="","","다기관 "&amp;TEXT(INDEX(입력_파견수련계획!$AB$4:$AB$803,$AK92),"yyyy-mm-dd")&amp;"~"&amp;IF(ISNUMBER(INDEX(입력_파견수련계획!$AC$4:$AC$803,$AK92)),TEXT(INDEX(입력_파견수련계획!$AC$4:$AC$803,$AK92),"yyyy-mm-dd"),""))</f>
        <v/>
      </c>
      <c r="AM92" s="10">
        <f>IF($Y92="서울병원",COUNTIF($Y$2:$Y92,"서울병원"),"")</f>
        <v/>
      </c>
      <c r="AN92" s="10">
        <f>IF(LEFT($Y92,1)="⚠",COUNTIF($Y$2:$Y92,"⚠*"),"")</f>
        <v/>
      </c>
      <c r="AO92" s="10">
        <f>IF(OR($B92="",$Y92=""),"",IF(IF(TRIM($J92&amp;"")="",0,SUMPRODUCT((입력_파견수련계획!$Q$4:$Q$803=TRIM($J92&amp;""))*입력_파견수련계획!$AD$4:$AD$803))&gt;0,"다기관 기간 → 소속병원 지급",IF(AND(N($X92)&lt;=0,$AQ92=""),"파견 없음 → 그 달 근무병원 지급",IF($AH92+$AI92=DAY(EOMONTH(출력_요약!$B$3,0)),"서울 "&amp;$AH92&amp;"일 / 구리 "&amp;$AI92&amp;"일"&amp;IF($AQ92&lt;&gt;""," (구리 근무자명단 반영)","")&amp;" → 15일 이상 근무 병원 지급","타 병원 포함 → "&amp;IF($AJ92="","소속",INDEX(입력_파견수련계획!$T$4:$T$803,$AJ92))&amp;" 규칙"))))</f>
        <v/>
      </c>
      <c r="AP92" s="10">
        <f>IF($B92="","",$C92&amp;"|"&amp;$F92)</f>
        <v/>
      </c>
      <c r="AQ92" s="10">
        <f>IF($B92="","",IFERROR(MATCH(ROW()-1,출력_구리근무자!$K$6:$K$305,0),""))</f>
        <v/>
      </c>
      <c r="AR92" s="10">
        <f>IF($AQ92="","",INDEX(출력_구리근무자!$H$6:$H$305,$AQ92))</f>
        <v/>
      </c>
    </row>
    <row r="93">
      <c r="A93" s="10">
        <f>IF(B93="","",ROW()-1)</f>
        <v/>
      </c>
      <c r="B93" s="19" t="n"/>
      <c r="C93" s="10">
        <f>IF($AB93="","",IF(INDEX(입력_기본자료!$C$2:$C$1001,$AB93)="","",INDEX(입력_기본자료!$C$2:$C$1001,$AB93)))</f>
        <v/>
      </c>
      <c r="D93" s="10">
        <f>IF($AB93="","",IF(INDEX(입력_기본자료!$J$2:$J$1001,$AB93)="","",INDEX(입력_기본자료!$J$2:$J$1001,$AB93)))</f>
        <v/>
      </c>
      <c r="E93" s="11">
        <f>IF($AB93="","",IF(INDEX(입력_기본자료!$K$2:$K$1001,$AB93)="","",IF(NOT(ISNUMBER(INDEX(입력_기본자료!$K$2:$K$1001,$AB93))),INDEX(입력_기본자료!$K$2:$K$1001,$AB93),IF(INDEX(입력_기본자료!$K$2:$K$1001,$AB93)&lt;1000000,INDEX(입력_기본자료!$K$2:$K$1001,$AB93),IF(AND(INDEX(입력_기본자료!$K$2:$K$1001,$AB93)&gt;=10000101,INT(MOD(INDEX(입력_기본자료!$K$2:$K$1001,$AB93),10000)/100)&gt;=1,INT(MOD(INDEX(입력_기본자료!$K$2:$K$1001,$AB93),10000)/100)&lt;=12,MOD(INDEX(입력_기본자료!$K$2:$K$1001,$AB93),100)&gt;=1,MOD(INDEX(입력_기본자료!$K$2:$K$1001,$AB93),100)&lt;=31),DATE(INT(INDEX(입력_기본자료!$K$2:$K$1001,$AB93)/10000),INT(MOD(INDEX(입력_기본자료!$K$2:$K$1001,$AB93),10000)/100),MOD(INDEX(입력_기본자료!$K$2:$K$1001,$AB93),100)),INDEX(입력_기본자료!$K$2:$K$1001,$AB93)&amp;"")))))</f>
        <v/>
      </c>
      <c r="F93" s="10">
        <f>IF($AB93="","",IF(INDEX(입력_기본자료!$D$2:$D$1001,$AB93)="","",INDEX(입력_기본자료!$D$2:$D$1001,$AB93)))</f>
        <v/>
      </c>
      <c r="G93" s="10">
        <f>IF($AB93="","",IF(INDEX(입력_기본자료!$E$2:$E$1001,$AB93)="","",INDEX(입력_기본자료!$E$2:$E$1001,$AB93)))</f>
        <v/>
      </c>
      <c r="H93" s="10">
        <f>IF($AB93="","",IF(INDEX(입력_기본자료!$F$2:$F$1001,$AB93)="","",INDEX(입력_기본자료!$F$2:$F$1001,$AB93)))</f>
        <v/>
      </c>
      <c r="I93" s="11">
        <f>IF($AB93="","",IF(INDEX(입력_기본자료!$G$2:$G$1001,$AB93)="","",IF(NOT(ISNUMBER(INDEX(입력_기본자료!$G$2:$G$1001,$AB93))),INDEX(입력_기본자료!$G$2:$G$1001,$AB93),IF(INDEX(입력_기본자료!$G$2:$G$1001,$AB93)&lt;1000000,INDEX(입력_기본자료!$G$2:$G$1001,$AB93),IF(AND(INDEX(입력_기본자료!$G$2:$G$1001,$AB93)&gt;=10000101,INT(MOD(INDEX(입력_기본자료!$G$2:$G$1001,$AB93),10000)/100)&gt;=1,INT(MOD(INDEX(입력_기본자료!$G$2:$G$1001,$AB93),10000)/100)&lt;=12,MOD(INDEX(입력_기본자료!$G$2:$G$1001,$AB93),100)&gt;=1,MOD(INDEX(입력_기본자료!$G$2:$G$1001,$AB93),100)&lt;=31),DATE(INT(INDEX(입력_기본자료!$G$2:$G$1001,$AB93)/10000),INT(MOD(INDEX(입력_기본자료!$G$2:$G$1001,$AB93),10000)/100),MOD(INDEX(입력_기본자료!$G$2:$G$1001,$AB93),100)),INDEX(입력_기본자료!$G$2:$G$1001,$AB93)&amp;"")))))</f>
        <v/>
      </c>
      <c r="J93" s="10">
        <f>IF($AB93="","",IF(INDEX(입력_기본자료!$H$2:$H$1001,$AB93)="","",INDEX(입력_기본자료!$H$2:$H$1001,$AB93)))</f>
        <v/>
      </c>
      <c r="K93" s="10">
        <f>IF($AB93="","",IF(INDEX(입력_기본자료!$I$2:$I$1001,$AB93)="","",INDEX(입력_기본자료!$I$2:$I$1001,$AB93)))</f>
        <v/>
      </c>
      <c r="L93" s="10">
        <f>IF($AB93="","",IF(INDEX(입력_기본자료!$A$2:$A$1001,$AB93)="","",INDEX(입력_기본자료!$A$2:$A$1001,$AB93)))</f>
        <v/>
      </c>
      <c r="M93" s="15" t="n"/>
      <c r="N93" s="10">
        <f>IF($B93="","",IF(AND($U93="파견중",$Q93&lt;&gt;""),$Q93,IF(AND($AD93&lt;&gt;"",LEFT($AD93,1)&lt;&gt;"⚠"),LEFT($AD93,FIND(" ",$AD93)-1),IF($H93="","",IF(RIGHT($H93,2)="병원",$H93,$H93&amp;"병원")))))</f>
        <v/>
      </c>
      <c r="O93" s="10">
        <f>IF($B93="","",IF(AND($U93="파견중",$Q93&lt;&gt;""),IF($R93&lt;&gt;"",$R93,"파견과 미입력"),IF(AND($AD93&lt;&gt;"",LEFT($AD93,1)&lt;&gt;"⚠"),MID($AD93,FIND(" ",$AD93)+1,60),IF($F93="","",IF($F93="인턴","수련교육부(인턴)",$F93)))))</f>
        <v/>
      </c>
      <c r="P93" s="10">
        <f>IF($B93="","",IF($AK93&lt;&gt;"",IF(AND(TODAY()&gt;=INDEX(입력_파견수련계획!$AB$4:$AB$803,$AK93),OR(NOT(ISNUMBER(INDEX(입력_파견수련계획!$AC$4:$AC$803,$AK93))),TODAY()&lt;=INDEX(입력_파견수련계획!$AC$4:$AC$803,$AK93))),"다기관",IF($AF93="","",INDEX(입력_파견수련계획!$T$4:$T$803,$AF93))),IF($AF93="","",INDEX(입력_파견수련계획!$T$4:$T$803,$AF93))))</f>
        <v/>
      </c>
      <c r="Q93" s="10">
        <f>IF($AF93="","",INDEX(입력_파견수련계획!$S$4:$S$803,$AF93))</f>
        <v/>
      </c>
      <c r="R93" s="10">
        <f>IF($AF93="","",INDEX(입력_파견수련계획!$U$4:$U$803,$AF93))</f>
        <v/>
      </c>
      <c r="S93" s="11">
        <f>IF($AF93="","",IF(INDEX(입력_파견수련계획!$H$4:$H$803,$AF93)="","",INDEX(입력_파견수련계획!$H$4:$H$803,$AF93)))</f>
        <v/>
      </c>
      <c r="T93" s="11">
        <f>IF($AF93="","",IF(INDEX(입력_파견수련계획!$I$4:$I$803,$AF93)="","",INDEX(입력_파견수련계획!$I$4:$I$803,$AF93)))</f>
        <v/>
      </c>
      <c r="U93" s="10">
        <f>IF($AF93="","",INDEX(입력_파견수련계획!$X$4:$X$803,$AF93))</f>
        <v/>
      </c>
      <c r="V93" s="17">
        <f>IF($AF93="","",INDEX(입력_파견수련계획!$V$4:$V$803,$AF93))</f>
        <v/>
      </c>
      <c r="W93" s="17">
        <f>IF(AND($U93="파견중",$T93&lt;&gt;""),$T93-TODAY(),"")</f>
        <v/>
      </c>
      <c r="X93" s="17">
        <f>IF(OR($B93="",TRIM($J93&amp;"")=""),"",SUMPRODUCT((입력_파견수련계획!$Q$4:$Q$803=TRIM($J93&amp;""))*입력_파견수련계획!$W$4:$W$803))</f>
        <v/>
      </c>
      <c r="Y93" s="10">
        <f>IF($B93="","",IF($AG93="","",IF(IF(TRIM($J93&amp;"")="",0,SUMPRODUCT((입력_파견수련계획!$Q$4:$Q$803=TRIM($J93&amp;""))*입력_파견수련계획!$AD$4:$AD$803))&gt;0,$AE93,IF(AND(N($X93)&lt;=0,$AQ93=""),$AG93,IF($AH93+$AI93=DAY(EOMONTH(출력_요약!$B$3,0)),IF(AND($AH93&gt;=출력_요약!$E$3,$AI93&lt;출력_요약!$E$3),"서울병원",IF(AND($AI93&gt;=출력_요약!$E$3,$AH93&lt;출력_요약!$E$3),"구리병원","⚠15일 판정불가(서울 "&amp;$AH93&amp;"일/구리 "&amp;$AI93&amp;"일)")),IF($AJ93="",$AE93,IF(INDEX(입력_파견수련계획!$T$4:$T$803,$AJ93)="통합수련",INDEX(입력_파견수련계획!$S$4:$S$803,$AJ93),$AE93)))))))</f>
        <v/>
      </c>
      <c r="Z93" s="20">
        <f>IF($B93="","",IF($AB93="","기본자료에 없는 사번",IF(COUNTIF($B$2:$B$401,$B93)&gt;1,"중복 사번",IF($AE93="","소속(입사장소) 입력",IF(IF(TRIM($J93&amp;"")="",0,SUMPRODUCT((입력_파견수련계획!$Q$4:$Q$803=TRIM($J93&amp;""))*(입력_파견수련계획!$AA$4:$AA$803&lt;&gt;"")))&gt;0,"파견수련계획 입력오류 확인",IF(LEFT($Y93,1)="⚠","서울·구리 15일 판정 불가(양쪽 모두 이상/미만)",IF(IF($AC93="",0,N(INDEX(입력_인턴근무계획!$T$3:$T$402,$AC93)))&gt;0,"인턴계획 입력오류 확인",IF(AND($AQ93&lt;&gt;"",$AG93&lt;&gt;"구리병원",IF(TRIM($J93&amp;"")="",0,SUMPRODUCT((입력_파견수련계획!$Q$4:$Q$803=TRIM($J93&amp;""))*(입력_파견수련계획!$S$4:$S$803="구리병원")*입력_파견수련계획!$W$4:$W$803))=0),"구리 근무자명단에만 있음(파견수련계획 확인)",IF(AND($AC93&lt;&gt;"",$U93&lt;&gt;"파견중",$N93&lt;&gt;$AE93),"인턴 타지역 근무: 파견 여부 확인","정상")))))))))</f>
        <v/>
      </c>
      <c r="AA93" s="5" t="n"/>
      <c r="AB93" s="10">
        <f>IF($B93="","",IFERROR(MATCH($B93,입력_기본자료!$B$2:$B$1001,0),IFERROR(MATCH($B93&amp;"",입력_기본자료!$B$2:$B$1001,0),IFERROR(MATCH(VALUE($B93),입력_기본자료!$B$2:$B$1001,0),""))))</f>
        <v/>
      </c>
      <c r="AC93" s="10">
        <f>IF($B93="","",IFERROR(MATCH($B93,입력_인턴근무계획!$D$3:$D$402,0),IFERROR(MATCH($B93&amp;"",입력_인턴근무계획!$D$3:$D$402,0),IFERROR(MATCH(VALUE($B93),입력_인턴근무계획!$D$3:$D$402,0),""))))</f>
        <v/>
      </c>
      <c r="AD93" s="10">
        <f>IF(OR($AC93="",출력_인턴현황!$G$3=""),"",INDEX(입력_인턴근무계획!$M$3:$R$402,$AC93,출력_인턴현황!$G$3)&amp;"")</f>
        <v/>
      </c>
      <c r="AE93" s="10">
        <f>IF($B93="","",IF($M93&lt;&gt;"",$M93,IF(IF($AQ93="",FALSE,INDEX(출력_구리근무자!$J$6:$J$305,$AQ93)="구리독자"),"구리병원",IF($AF93&lt;&gt;"",IF(LEFT(INDEX(입력_파견수련계획!$R$4:$R$803,$AF93),1)&lt;&gt;"⚠",INDEX(입력_파견수련계획!$R$4:$R$803,$AF93),IF($H93="","",IF(RIGHT($H93,2)="병원",$H93,$H93&amp;"병원"))),IF($H93="","",IF(RIGHT($H93,2)="병원",$H93,$H93&amp;"병원"))))))</f>
        <v/>
      </c>
      <c r="AF93" s="10">
        <f>IF(OR($B93="",TRIM($J93&amp;"")=""),"",IFERROR(MATCH(TRIM($J93&amp;"")&amp;"|파견중",입력_파견수련계획!$Y$4:$Y$803,0),IFERROR(MATCH(TRIM($J93&amp;"")&amp;"|파견예정",입력_파견수련계획!$Y$4:$Y$803,0),IFERROR(MATCH(TRIM($J93&amp;"")&amp;"|파견종료",입력_파견수련계획!$Y$4:$Y$803,0),""))))</f>
        <v/>
      </c>
      <c r="AG93" s="10">
        <f>IF($B93="","",IF(AND(IF(OR($AC93="",출력_인턴현황!$K$2=""),"",INDEX(입력_인턴근무계획!$M$3:$R$402,$AC93,출력_인턴현황!$K$2)&amp;"")&lt;&gt;"",LEFT(IF(OR($AC93="",출력_인턴현황!$K$2=""),"",INDEX(입력_인턴근무계획!$M$3:$R$402,$AC93,출력_인턴현황!$K$2)&amp;""),1)&lt;&gt;"⚠"),LEFT(IF(OR($AC93="",출력_인턴현황!$K$2=""),"",INDEX(입력_인턴근무계획!$M$3:$R$402,$AC93,출력_인턴현황!$K$2)&amp;""),FIND(" ",IF(OR($AC93="",출력_인턴현황!$K$2=""),"",INDEX(입력_인턴근무계획!$M$3:$R$402,$AC93,출력_인턴현황!$K$2)&amp;""))-1),$AE93))</f>
        <v/>
      </c>
      <c r="AH93" s="17">
        <f>IF($B93="","",IF($AQ93&lt;&gt;"",MAX(0,DAY(EOMONTH(출력_요약!$B$3,0))-N($AR93)),IF(TRIM($J93&amp;"")="",0,SUMPRODUCT((입력_파견수련계획!$Q$4:$Q$803=TRIM($J93&amp;""))*(입력_파견수련계획!$S$4:$S$803="서울병원")*입력_파견수련계획!$W$4:$W$803))+IF($AG93="서울병원",MAX(0,DAY(EOMONTH(출력_요약!$B$3,0))-N($X93)),0)))</f>
        <v/>
      </c>
      <c r="AI93" s="17">
        <f>IF($B93="","",IF($AQ93&lt;&gt;"",N($AR93),IF(TRIM($J93&amp;"")="",0,SUMPRODUCT((입력_파견수련계획!$Q$4:$Q$803=TRIM($J93&amp;""))*(입력_파견수련계획!$S$4:$S$803="구리병원")*입력_파견수련계획!$W$4:$W$803))+IF($AG93="구리병원",MAX(0,DAY(EOMONTH(출력_요약!$B$3,0))-N($X93)),0)))</f>
        <v/>
      </c>
      <c r="AJ93" s="10">
        <f>IF(OR($B93="",TRIM($J93&amp;"")=""),"",IFERROR(MATCH(TRIM($J93&amp;"")&amp;"|월",입력_파견수련계획!$Z$4:$Z$803,0),""))</f>
        <v/>
      </c>
      <c r="AK93" s="10">
        <f>IF(OR($B93="",TRIM($J93&amp;"")=""),"",IFERROR(MATCH(TRIM($J93&amp;"")&amp;"|다기관",입력_파견수련계획!$AE$4:$AE$803,0),""))</f>
        <v/>
      </c>
      <c r="AL93" s="10">
        <f>IF($AK93="","","다기관 "&amp;TEXT(INDEX(입력_파견수련계획!$AB$4:$AB$803,$AK93),"yyyy-mm-dd")&amp;"~"&amp;IF(ISNUMBER(INDEX(입력_파견수련계획!$AC$4:$AC$803,$AK93)),TEXT(INDEX(입력_파견수련계획!$AC$4:$AC$803,$AK93),"yyyy-mm-dd"),""))</f>
        <v/>
      </c>
      <c r="AM93" s="10">
        <f>IF($Y93="서울병원",COUNTIF($Y$2:$Y93,"서울병원"),"")</f>
        <v/>
      </c>
      <c r="AN93" s="10">
        <f>IF(LEFT($Y93,1)="⚠",COUNTIF($Y$2:$Y93,"⚠*"),"")</f>
        <v/>
      </c>
      <c r="AO93" s="10">
        <f>IF(OR($B93="",$Y93=""),"",IF(IF(TRIM($J93&amp;"")="",0,SUMPRODUCT((입력_파견수련계획!$Q$4:$Q$803=TRIM($J93&amp;""))*입력_파견수련계획!$AD$4:$AD$803))&gt;0,"다기관 기간 → 소속병원 지급",IF(AND(N($X93)&lt;=0,$AQ93=""),"파견 없음 → 그 달 근무병원 지급",IF($AH93+$AI93=DAY(EOMONTH(출력_요약!$B$3,0)),"서울 "&amp;$AH93&amp;"일 / 구리 "&amp;$AI93&amp;"일"&amp;IF($AQ93&lt;&gt;""," (구리 근무자명단 반영)","")&amp;" → 15일 이상 근무 병원 지급","타 병원 포함 → "&amp;IF($AJ93="","소속",INDEX(입력_파견수련계획!$T$4:$T$803,$AJ93))&amp;" 규칙"))))</f>
        <v/>
      </c>
      <c r="AP93" s="10">
        <f>IF($B93="","",$C93&amp;"|"&amp;$F93)</f>
        <v/>
      </c>
      <c r="AQ93" s="10">
        <f>IF($B93="","",IFERROR(MATCH(ROW()-1,출력_구리근무자!$K$6:$K$305,0),""))</f>
        <v/>
      </c>
      <c r="AR93" s="10">
        <f>IF($AQ93="","",INDEX(출력_구리근무자!$H$6:$H$305,$AQ93))</f>
        <v/>
      </c>
    </row>
    <row r="94">
      <c r="A94" s="10">
        <f>IF(B94="","",ROW()-1)</f>
        <v/>
      </c>
      <c r="B94" s="19" t="n"/>
      <c r="C94" s="10">
        <f>IF($AB94="","",IF(INDEX(입력_기본자료!$C$2:$C$1001,$AB94)="","",INDEX(입력_기본자료!$C$2:$C$1001,$AB94)))</f>
        <v/>
      </c>
      <c r="D94" s="10">
        <f>IF($AB94="","",IF(INDEX(입력_기본자료!$J$2:$J$1001,$AB94)="","",INDEX(입력_기본자료!$J$2:$J$1001,$AB94)))</f>
        <v/>
      </c>
      <c r="E94" s="11">
        <f>IF($AB94="","",IF(INDEX(입력_기본자료!$K$2:$K$1001,$AB94)="","",IF(NOT(ISNUMBER(INDEX(입력_기본자료!$K$2:$K$1001,$AB94))),INDEX(입력_기본자료!$K$2:$K$1001,$AB94),IF(INDEX(입력_기본자료!$K$2:$K$1001,$AB94)&lt;1000000,INDEX(입력_기본자료!$K$2:$K$1001,$AB94),IF(AND(INDEX(입력_기본자료!$K$2:$K$1001,$AB94)&gt;=10000101,INT(MOD(INDEX(입력_기본자료!$K$2:$K$1001,$AB94),10000)/100)&gt;=1,INT(MOD(INDEX(입력_기본자료!$K$2:$K$1001,$AB94),10000)/100)&lt;=12,MOD(INDEX(입력_기본자료!$K$2:$K$1001,$AB94),100)&gt;=1,MOD(INDEX(입력_기본자료!$K$2:$K$1001,$AB94),100)&lt;=31),DATE(INT(INDEX(입력_기본자료!$K$2:$K$1001,$AB94)/10000),INT(MOD(INDEX(입력_기본자료!$K$2:$K$1001,$AB94),10000)/100),MOD(INDEX(입력_기본자료!$K$2:$K$1001,$AB94),100)),INDEX(입력_기본자료!$K$2:$K$1001,$AB94)&amp;"")))))</f>
        <v/>
      </c>
      <c r="F94" s="10">
        <f>IF($AB94="","",IF(INDEX(입력_기본자료!$D$2:$D$1001,$AB94)="","",INDEX(입력_기본자료!$D$2:$D$1001,$AB94)))</f>
        <v/>
      </c>
      <c r="G94" s="10">
        <f>IF($AB94="","",IF(INDEX(입력_기본자료!$E$2:$E$1001,$AB94)="","",INDEX(입력_기본자료!$E$2:$E$1001,$AB94)))</f>
        <v/>
      </c>
      <c r="H94" s="10">
        <f>IF($AB94="","",IF(INDEX(입력_기본자료!$F$2:$F$1001,$AB94)="","",INDEX(입력_기본자료!$F$2:$F$1001,$AB94)))</f>
        <v/>
      </c>
      <c r="I94" s="11">
        <f>IF($AB94="","",IF(INDEX(입력_기본자료!$G$2:$G$1001,$AB94)="","",IF(NOT(ISNUMBER(INDEX(입력_기본자료!$G$2:$G$1001,$AB94))),INDEX(입력_기본자료!$G$2:$G$1001,$AB94),IF(INDEX(입력_기본자료!$G$2:$G$1001,$AB94)&lt;1000000,INDEX(입력_기본자료!$G$2:$G$1001,$AB94),IF(AND(INDEX(입력_기본자료!$G$2:$G$1001,$AB94)&gt;=10000101,INT(MOD(INDEX(입력_기본자료!$G$2:$G$1001,$AB94),10000)/100)&gt;=1,INT(MOD(INDEX(입력_기본자료!$G$2:$G$1001,$AB94),10000)/100)&lt;=12,MOD(INDEX(입력_기본자료!$G$2:$G$1001,$AB94),100)&gt;=1,MOD(INDEX(입력_기본자료!$G$2:$G$1001,$AB94),100)&lt;=31),DATE(INT(INDEX(입력_기본자료!$G$2:$G$1001,$AB94)/10000),INT(MOD(INDEX(입력_기본자료!$G$2:$G$1001,$AB94),10000)/100),MOD(INDEX(입력_기본자료!$G$2:$G$1001,$AB94),100)),INDEX(입력_기본자료!$G$2:$G$1001,$AB94)&amp;"")))))</f>
        <v/>
      </c>
      <c r="J94" s="10">
        <f>IF($AB94="","",IF(INDEX(입력_기본자료!$H$2:$H$1001,$AB94)="","",INDEX(입력_기본자료!$H$2:$H$1001,$AB94)))</f>
        <v/>
      </c>
      <c r="K94" s="10">
        <f>IF($AB94="","",IF(INDEX(입력_기본자료!$I$2:$I$1001,$AB94)="","",INDEX(입력_기본자료!$I$2:$I$1001,$AB94)))</f>
        <v/>
      </c>
      <c r="L94" s="10">
        <f>IF($AB94="","",IF(INDEX(입력_기본자료!$A$2:$A$1001,$AB94)="","",INDEX(입력_기본자료!$A$2:$A$1001,$AB94)))</f>
        <v/>
      </c>
      <c r="M94" s="15" t="n"/>
      <c r="N94" s="10">
        <f>IF($B94="","",IF(AND($U94="파견중",$Q94&lt;&gt;""),$Q94,IF(AND($AD94&lt;&gt;"",LEFT($AD94,1)&lt;&gt;"⚠"),LEFT($AD94,FIND(" ",$AD94)-1),IF($H94="","",IF(RIGHT($H94,2)="병원",$H94,$H94&amp;"병원")))))</f>
        <v/>
      </c>
      <c r="O94" s="10">
        <f>IF($B94="","",IF(AND($U94="파견중",$Q94&lt;&gt;""),IF($R94&lt;&gt;"",$R94,"파견과 미입력"),IF(AND($AD94&lt;&gt;"",LEFT($AD94,1)&lt;&gt;"⚠"),MID($AD94,FIND(" ",$AD94)+1,60),IF($F94="","",IF($F94="인턴","수련교육부(인턴)",$F94)))))</f>
        <v/>
      </c>
      <c r="P94" s="10">
        <f>IF($B94="","",IF($AK94&lt;&gt;"",IF(AND(TODAY()&gt;=INDEX(입력_파견수련계획!$AB$4:$AB$803,$AK94),OR(NOT(ISNUMBER(INDEX(입력_파견수련계획!$AC$4:$AC$803,$AK94))),TODAY()&lt;=INDEX(입력_파견수련계획!$AC$4:$AC$803,$AK94))),"다기관",IF($AF94="","",INDEX(입력_파견수련계획!$T$4:$T$803,$AF94))),IF($AF94="","",INDEX(입력_파견수련계획!$T$4:$T$803,$AF94))))</f>
        <v/>
      </c>
      <c r="Q94" s="10">
        <f>IF($AF94="","",INDEX(입력_파견수련계획!$S$4:$S$803,$AF94))</f>
        <v/>
      </c>
      <c r="R94" s="10">
        <f>IF($AF94="","",INDEX(입력_파견수련계획!$U$4:$U$803,$AF94))</f>
        <v/>
      </c>
      <c r="S94" s="11">
        <f>IF($AF94="","",IF(INDEX(입력_파견수련계획!$H$4:$H$803,$AF94)="","",INDEX(입력_파견수련계획!$H$4:$H$803,$AF94)))</f>
        <v/>
      </c>
      <c r="T94" s="11">
        <f>IF($AF94="","",IF(INDEX(입력_파견수련계획!$I$4:$I$803,$AF94)="","",INDEX(입력_파견수련계획!$I$4:$I$803,$AF94)))</f>
        <v/>
      </c>
      <c r="U94" s="10">
        <f>IF($AF94="","",INDEX(입력_파견수련계획!$X$4:$X$803,$AF94))</f>
        <v/>
      </c>
      <c r="V94" s="17">
        <f>IF($AF94="","",INDEX(입력_파견수련계획!$V$4:$V$803,$AF94))</f>
        <v/>
      </c>
      <c r="W94" s="17">
        <f>IF(AND($U94="파견중",$T94&lt;&gt;""),$T94-TODAY(),"")</f>
        <v/>
      </c>
      <c r="X94" s="17">
        <f>IF(OR($B94="",TRIM($J94&amp;"")=""),"",SUMPRODUCT((입력_파견수련계획!$Q$4:$Q$803=TRIM($J94&amp;""))*입력_파견수련계획!$W$4:$W$803))</f>
        <v/>
      </c>
      <c r="Y94" s="10">
        <f>IF($B94="","",IF($AG94="","",IF(IF(TRIM($J94&amp;"")="",0,SUMPRODUCT((입력_파견수련계획!$Q$4:$Q$803=TRIM($J94&amp;""))*입력_파견수련계획!$AD$4:$AD$803))&gt;0,$AE94,IF(AND(N($X94)&lt;=0,$AQ94=""),$AG94,IF($AH94+$AI94=DAY(EOMONTH(출력_요약!$B$3,0)),IF(AND($AH94&gt;=출력_요약!$E$3,$AI94&lt;출력_요약!$E$3),"서울병원",IF(AND($AI94&gt;=출력_요약!$E$3,$AH94&lt;출력_요약!$E$3),"구리병원","⚠15일 판정불가(서울 "&amp;$AH94&amp;"일/구리 "&amp;$AI94&amp;"일)")),IF($AJ94="",$AE94,IF(INDEX(입력_파견수련계획!$T$4:$T$803,$AJ94)="통합수련",INDEX(입력_파견수련계획!$S$4:$S$803,$AJ94),$AE94)))))))</f>
        <v/>
      </c>
      <c r="Z94" s="20">
        <f>IF($B94="","",IF($AB94="","기본자료에 없는 사번",IF(COUNTIF($B$2:$B$401,$B94)&gt;1,"중복 사번",IF($AE94="","소속(입사장소) 입력",IF(IF(TRIM($J94&amp;"")="",0,SUMPRODUCT((입력_파견수련계획!$Q$4:$Q$803=TRIM($J94&amp;""))*(입력_파견수련계획!$AA$4:$AA$803&lt;&gt;"")))&gt;0,"파견수련계획 입력오류 확인",IF(LEFT($Y94,1)="⚠","서울·구리 15일 판정 불가(양쪽 모두 이상/미만)",IF(IF($AC94="",0,N(INDEX(입력_인턴근무계획!$T$3:$T$402,$AC94)))&gt;0,"인턴계획 입력오류 확인",IF(AND($AQ94&lt;&gt;"",$AG94&lt;&gt;"구리병원",IF(TRIM($J94&amp;"")="",0,SUMPRODUCT((입력_파견수련계획!$Q$4:$Q$803=TRIM($J94&amp;""))*(입력_파견수련계획!$S$4:$S$803="구리병원")*입력_파견수련계획!$W$4:$W$803))=0),"구리 근무자명단에만 있음(파견수련계획 확인)",IF(AND($AC94&lt;&gt;"",$U94&lt;&gt;"파견중",$N94&lt;&gt;$AE94),"인턴 타지역 근무: 파견 여부 확인","정상")))))))))</f>
        <v/>
      </c>
      <c r="AA94" s="5" t="n"/>
      <c r="AB94" s="10">
        <f>IF($B94="","",IFERROR(MATCH($B94,입력_기본자료!$B$2:$B$1001,0),IFERROR(MATCH($B94&amp;"",입력_기본자료!$B$2:$B$1001,0),IFERROR(MATCH(VALUE($B94),입력_기본자료!$B$2:$B$1001,0),""))))</f>
        <v/>
      </c>
      <c r="AC94" s="10">
        <f>IF($B94="","",IFERROR(MATCH($B94,입력_인턴근무계획!$D$3:$D$402,0),IFERROR(MATCH($B94&amp;"",입력_인턴근무계획!$D$3:$D$402,0),IFERROR(MATCH(VALUE($B94),입력_인턴근무계획!$D$3:$D$402,0),""))))</f>
        <v/>
      </c>
      <c r="AD94" s="10">
        <f>IF(OR($AC94="",출력_인턴현황!$G$3=""),"",INDEX(입력_인턴근무계획!$M$3:$R$402,$AC94,출력_인턴현황!$G$3)&amp;"")</f>
        <v/>
      </c>
      <c r="AE94" s="10">
        <f>IF($B94="","",IF($M94&lt;&gt;"",$M94,IF(IF($AQ94="",FALSE,INDEX(출력_구리근무자!$J$6:$J$305,$AQ94)="구리독자"),"구리병원",IF($AF94&lt;&gt;"",IF(LEFT(INDEX(입력_파견수련계획!$R$4:$R$803,$AF94),1)&lt;&gt;"⚠",INDEX(입력_파견수련계획!$R$4:$R$803,$AF94),IF($H94="","",IF(RIGHT($H94,2)="병원",$H94,$H94&amp;"병원"))),IF($H94="","",IF(RIGHT($H94,2)="병원",$H94,$H94&amp;"병원"))))))</f>
        <v/>
      </c>
      <c r="AF94" s="10">
        <f>IF(OR($B94="",TRIM($J94&amp;"")=""),"",IFERROR(MATCH(TRIM($J94&amp;"")&amp;"|파견중",입력_파견수련계획!$Y$4:$Y$803,0),IFERROR(MATCH(TRIM($J94&amp;"")&amp;"|파견예정",입력_파견수련계획!$Y$4:$Y$803,0),IFERROR(MATCH(TRIM($J94&amp;"")&amp;"|파견종료",입력_파견수련계획!$Y$4:$Y$803,0),""))))</f>
        <v/>
      </c>
      <c r="AG94" s="10">
        <f>IF($B94="","",IF(AND(IF(OR($AC94="",출력_인턴현황!$K$2=""),"",INDEX(입력_인턴근무계획!$M$3:$R$402,$AC94,출력_인턴현황!$K$2)&amp;"")&lt;&gt;"",LEFT(IF(OR($AC94="",출력_인턴현황!$K$2=""),"",INDEX(입력_인턴근무계획!$M$3:$R$402,$AC94,출력_인턴현황!$K$2)&amp;""),1)&lt;&gt;"⚠"),LEFT(IF(OR($AC94="",출력_인턴현황!$K$2=""),"",INDEX(입력_인턴근무계획!$M$3:$R$402,$AC94,출력_인턴현황!$K$2)&amp;""),FIND(" ",IF(OR($AC94="",출력_인턴현황!$K$2=""),"",INDEX(입력_인턴근무계획!$M$3:$R$402,$AC94,출력_인턴현황!$K$2)&amp;""))-1),$AE94))</f>
        <v/>
      </c>
      <c r="AH94" s="17">
        <f>IF($B94="","",IF($AQ94&lt;&gt;"",MAX(0,DAY(EOMONTH(출력_요약!$B$3,0))-N($AR94)),IF(TRIM($J94&amp;"")="",0,SUMPRODUCT((입력_파견수련계획!$Q$4:$Q$803=TRIM($J94&amp;""))*(입력_파견수련계획!$S$4:$S$803="서울병원")*입력_파견수련계획!$W$4:$W$803))+IF($AG94="서울병원",MAX(0,DAY(EOMONTH(출력_요약!$B$3,0))-N($X94)),0)))</f>
        <v/>
      </c>
      <c r="AI94" s="17">
        <f>IF($B94="","",IF($AQ94&lt;&gt;"",N($AR94),IF(TRIM($J94&amp;"")="",0,SUMPRODUCT((입력_파견수련계획!$Q$4:$Q$803=TRIM($J94&amp;""))*(입력_파견수련계획!$S$4:$S$803="구리병원")*입력_파견수련계획!$W$4:$W$803))+IF($AG94="구리병원",MAX(0,DAY(EOMONTH(출력_요약!$B$3,0))-N($X94)),0)))</f>
        <v/>
      </c>
      <c r="AJ94" s="10">
        <f>IF(OR($B94="",TRIM($J94&amp;"")=""),"",IFERROR(MATCH(TRIM($J94&amp;"")&amp;"|월",입력_파견수련계획!$Z$4:$Z$803,0),""))</f>
        <v/>
      </c>
      <c r="AK94" s="10">
        <f>IF(OR($B94="",TRIM($J94&amp;"")=""),"",IFERROR(MATCH(TRIM($J94&amp;"")&amp;"|다기관",입력_파견수련계획!$AE$4:$AE$803,0),""))</f>
        <v/>
      </c>
      <c r="AL94" s="10">
        <f>IF($AK94="","","다기관 "&amp;TEXT(INDEX(입력_파견수련계획!$AB$4:$AB$803,$AK94),"yyyy-mm-dd")&amp;"~"&amp;IF(ISNUMBER(INDEX(입력_파견수련계획!$AC$4:$AC$803,$AK94)),TEXT(INDEX(입력_파견수련계획!$AC$4:$AC$803,$AK94),"yyyy-mm-dd"),""))</f>
        <v/>
      </c>
      <c r="AM94" s="10">
        <f>IF($Y94="서울병원",COUNTIF($Y$2:$Y94,"서울병원"),"")</f>
        <v/>
      </c>
      <c r="AN94" s="10">
        <f>IF(LEFT($Y94,1)="⚠",COUNTIF($Y$2:$Y94,"⚠*"),"")</f>
        <v/>
      </c>
      <c r="AO94" s="10">
        <f>IF(OR($B94="",$Y94=""),"",IF(IF(TRIM($J94&amp;"")="",0,SUMPRODUCT((입력_파견수련계획!$Q$4:$Q$803=TRIM($J94&amp;""))*입력_파견수련계획!$AD$4:$AD$803))&gt;0,"다기관 기간 → 소속병원 지급",IF(AND(N($X94)&lt;=0,$AQ94=""),"파견 없음 → 그 달 근무병원 지급",IF($AH94+$AI94=DAY(EOMONTH(출력_요약!$B$3,0)),"서울 "&amp;$AH94&amp;"일 / 구리 "&amp;$AI94&amp;"일"&amp;IF($AQ94&lt;&gt;""," (구리 근무자명단 반영)","")&amp;" → 15일 이상 근무 병원 지급","타 병원 포함 → "&amp;IF($AJ94="","소속",INDEX(입력_파견수련계획!$T$4:$T$803,$AJ94))&amp;" 규칙"))))</f>
        <v/>
      </c>
      <c r="AP94" s="10">
        <f>IF($B94="","",$C94&amp;"|"&amp;$F94)</f>
        <v/>
      </c>
      <c r="AQ94" s="10">
        <f>IF($B94="","",IFERROR(MATCH(ROW()-1,출력_구리근무자!$K$6:$K$305,0),""))</f>
        <v/>
      </c>
      <c r="AR94" s="10">
        <f>IF($AQ94="","",INDEX(출력_구리근무자!$H$6:$H$305,$AQ94))</f>
        <v/>
      </c>
    </row>
    <row r="95">
      <c r="A95" s="10">
        <f>IF(B95="","",ROW()-1)</f>
        <v/>
      </c>
      <c r="B95" s="19" t="n"/>
      <c r="C95" s="10">
        <f>IF($AB95="","",IF(INDEX(입력_기본자료!$C$2:$C$1001,$AB95)="","",INDEX(입력_기본자료!$C$2:$C$1001,$AB95)))</f>
        <v/>
      </c>
      <c r="D95" s="10">
        <f>IF($AB95="","",IF(INDEX(입력_기본자료!$J$2:$J$1001,$AB95)="","",INDEX(입력_기본자료!$J$2:$J$1001,$AB95)))</f>
        <v/>
      </c>
      <c r="E95" s="11">
        <f>IF($AB95="","",IF(INDEX(입력_기본자료!$K$2:$K$1001,$AB95)="","",IF(NOT(ISNUMBER(INDEX(입력_기본자료!$K$2:$K$1001,$AB95))),INDEX(입력_기본자료!$K$2:$K$1001,$AB95),IF(INDEX(입력_기본자료!$K$2:$K$1001,$AB95)&lt;1000000,INDEX(입력_기본자료!$K$2:$K$1001,$AB95),IF(AND(INDEX(입력_기본자료!$K$2:$K$1001,$AB95)&gt;=10000101,INT(MOD(INDEX(입력_기본자료!$K$2:$K$1001,$AB95),10000)/100)&gt;=1,INT(MOD(INDEX(입력_기본자료!$K$2:$K$1001,$AB95),10000)/100)&lt;=12,MOD(INDEX(입력_기본자료!$K$2:$K$1001,$AB95),100)&gt;=1,MOD(INDEX(입력_기본자료!$K$2:$K$1001,$AB95),100)&lt;=31),DATE(INT(INDEX(입력_기본자료!$K$2:$K$1001,$AB95)/10000),INT(MOD(INDEX(입력_기본자료!$K$2:$K$1001,$AB95),10000)/100),MOD(INDEX(입력_기본자료!$K$2:$K$1001,$AB95),100)),INDEX(입력_기본자료!$K$2:$K$1001,$AB95)&amp;"")))))</f>
        <v/>
      </c>
      <c r="F95" s="10">
        <f>IF($AB95="","",IF(INDEX(입력_기본자료!$D$2:$D$1001,$AB95)="","",INDEX(입력_기본자료!$D$2:$D$1001,$AB95)))</f>
        <v/>
      </c>
      <c r="G95" s="10">
        <f>IF($AB95="","",IF(INDEX(입력_기본자료!$E$2:$E$1001,$AB95)="","",INDEX(입력_기본자료!$E$2:$E$1001,$AB95)))</f>
        <v/>
      </c>
      <c r="H95" s="10">
        <f>IF($AB95="","",IF(INDEX(입력_기본자료!$F$2:$F$1001,$AB95)="","",INDEX(입력_기본자료!$F$2:$F$1001,$AB95)))</f>
        <v/>
      </c>
      <c r="I95" s="11">
        <f>IF($AB95="","",IF(INDEX(입력_기본자료!$G$2:$G$1001,$AB95)="","",IF(NOT(ISNUMBER(INDEX(입력_기본자료!$G$2:$G$1001,$AB95))),INDEX(입력_기본자료!$G$2:$G$1001,$AB95),IF(INDEX(입력_기본자료!$G$2:$G$1001,$AB95)&lt;1000000,INDEX(입력_기본자료!$G$2:$G$1001,$AB95),IF(AND(INDEX(입력_기본자료!$G$2:$G$1001,$AB95)&gt;=10000101,INT(MOD(INDEX(입력_기본자료!$G$2:$G$1001,$AB95),10000)/100)&gt;=1,INT(MOD(INDEX(입력_기본자료!$G$2:$G$1001,$AB95),10000)/100)&lt;=12,MOD(INDEX(입력_기본자료!$G$2:$G$1001,$AB95),100)&gt;=1,MOD(INDEX(입력_기본자료!$G$2:$G$1001,$AB95),100)&lt;=31),DATE(INT(INDEX(입력_기본자료!$G$2:$G$1001,$AB95)/10000),INT(MOD(INDEX(입력_기본자료!$G$2:$G$1001,$AB95),10000)/100),MOD(INDEX(입력_기본자료!$G$2:$G$1001,$AB95),100)),INDEX(입력_기본자료!$G$2:$G$1001,$AB95)&amp;"")))))</f>
        <v/>
      </c>
      <c r="J95" s="10">
        <f>IF($AB95="","",IF(INDEX(입력_기본자료!$H$2:$H$1001,$AB95)="","",INDEX(입력_기본자료!$H$2:$H$1001,$AB95)))</f>
        <v/>
      </c>
      <c r="K95" s="10">
        <f>IF($AB95="","",IF(INDEX(입력_기본자료!$I$2:$I$1001,$AB95)="","",INDEX(입력_기본자료!$I$2:$I$1001,$AB95)))</f>
        <v/>
      </c>
      <c r="L95" s="10">
        <f>IF($AB95="","",IF(INDEX(입력_기본자료!$A$2:$A$1001,$AB95)="","",INDEX(입력_기본자료!$A$2:$A$1001,$AB95)))</f>
        <v/>
      </c>
      <c r="M95" s="15" t="n"/>
      <c r="N95" s="10">
        <f>IF($B95="","",IF(AND($U95="파견중",$Q95&lt;&gt;""),$Q95,IF(AND($AD95&lt;&gt;"",LEFT($AD95,1)&lt;&gt;"⚠"),LEFT($AD95,FIND(" ",$AD95)-1),IF($H95="","",IF(RIGHT($H95,2)="병원",$H95,$H95&amp;"병원")))))</f>
        <v/>
      </c>
      <c r="O95" s="10">
        <f>IF($B95="","",IF(AND($U95="파견중",$Q95&lt;&gt;""),IF($R95&lt;&gt;"",$R95,"파견과 미입력"),IF(AND($AD95&lt;&gt;"",LEFT($AD95,1)&lt;&gt;"⚠"),MID($AD95,FIND(" ",$AD95)+1,60),IF($F95="","",IF($F95="인턴","수련교육부(인턴)",$F95)))))</f>
        <v/>
      </c>
      <c r="P95" s="10">
        <f>IF($B95="","",IF($AK95&lt;&gt;"",IF(AND(TODAY()&gt;=INDEX(입력_파견수련계획!$AB$4:$AB$803,$AK95),OR(NOT(ISNUMBER(INDEX(입력_파견수련계획!$AC$4:$AC$803,$AK95))),TODAY()&lt;=INDEX(입력_파견수련계획!$AC$4:$AC$803,$AK95))),"다기관",IF($AF95="","",INDEX(입력_파견수련계획!$T$4:$T$803,$AF95))),IF($AF95="","",INDEX(입력_파견수련계획!$T$4:$T$803,$AF95))))</f>
        <v/>
      </c>
      <c r="Q95" s="10">
        <f>IF($AF95="","",INDEX(입력_파견수련계획!$S$4:$S$803,$AF95))</f>
        <v/>
      </c>
      <c r="R95" s="10">
        <f>IF($AF95="","",INDEX(입력_파견수련계획!$U$4:$U$803,$AF95))</f>
        <v/>
      </c>
      <c r="S95" s="11">
        <f>IF($AF95="","",IF(INDEX(입력_파견수련계획!$H$4:$H$803,$AF95)="","",INDEX(입력_파견수련계획!$H$4:$H$803,$AF95)))</f>
        <v/>
      </c>
      <c r="T95" s="11">
        <f>IF($AF95="","",IF(INDEX(입력_파견수련계획!$I$4:$I$803,$AF95)="","",INDEX(입력_파견수련계획!$I$4:$I$803,$AF95)))</f>
        <v/>
      </c>
      <c r="U95" s="10">
        <f>IF($AF95="","",INDEX(입력_파견수련계획!$X$4:$X$803,$AF95))</f>
        <v/>
      </c>
      <c r="V95" s="17">
        <f>IF($AF95="","",INDEX(입력_파견수련계획!$V$4:$V$803,$AF95))</f>
        <v/>
      </c>
      <c r="W95" s="17">
        <f>IF(AND($U95="파견중",$T95&lt;&gt;""),$T95-TODAY(),"")</f>
        <v/>
      </c>
      <c r="X95" s="17">
        <f>IF(OR($B95="",TRIM($J95&amp;"")=""),"",SUMPRODUCT((입력_파견수련계획!$Q$4:$Q$803=TRIM($J95&amp;""))*입력_파견수련계획!$W$4:$W$803))</f>
        <v/>
      </c>
      <c r="Y95" s="10">
        <f>IF($B95="","",IF($AG95="","",IF(IF(TRIM($J95&amp;"")="",0,SUMPRODUCT((입력_파견수련계획!$Q$4:$Q$803=TRIM($J95&amp;""))*입력_파견수련계획!$AD$4:$AD$803))&gt;0,$AE95,IF(AND(N($X95)&lt;=0,$AQ95=""),$AG95,IF($AH95+$AI95=DAY(EOMONTH(출력_요약!$B$3,0)),IF(AND($AH95&gt;=출력_요약!$E$3,$AI95&lt;출력_요약!$E$3),"서울병원",IF(AND($AI95&gt;=출력_요약!$E$3,$AH95&lt;출력_요약!$E$3),"구리병원","⚠15일 판정불가(서울 "&amp;$AH95&amp;"일/구리 "&amp;$AI95&amp;"일)")),IF($AJ95="",$AE95,IF(INDEX(입력_파견수련계획!$T$4:$T$803,$AJ95)="통합수련",INDEX(입력_파견수련계획!$S$4:$S$803,$AJ95),$AE95)))))))</f>
        <v/>
      </c>
      <c r="Z95" s="20">
        <f>IF($B95="","",IF($AB95="","기본자료에 없는 사번",IF(COUNTIF($B$2:$B$401,$B95)&gt;1,"중복 사번",IF($AE95="","소속(입사장소) 입력",IF(IF(TRIM($J95&amp;"")="",0,SUMPRODUCT((입력_파견수련계획!$Q$4:$Q$803=TRIM($J95&amp;""))*(입력_파견수련계획!$AA$4:$AA$803&lt;&gt;"")))&gt;0,"파견수련계획 입력오류 확인",IF(LEFT($Y95,1)="⚠","서울·구리 15일 판정 불가(양쪽 모두 이상/미만)",IF(IF($AC95="",0,N(INDEX(입력_인턴근무계획!$T$3:$T$402,$AC95)))&gt;0,"인턴계획 입력오류 확인",IF(AND($AQ95&lt;&gt;"",$AG95&lt;&gt;"구리병원",IF(TRIM($J95&amp;"")="",0,SUMPRODUCT((입력_파견수련계획!$Q$4:$Q$803=TRIM($J95&amp;""))*(입력_파견수련계획!$S$4:$S$803="구리병원")*입력_파견수련계획!$W$4:$W$803))=0),"구리 근무자명단에만 있음(파견수련계획 확인)",IF(AND($AC95&lt;&gt;"",$U95&lt;&gt;"파견중",$N95&lt;&gt;$AE95),"인턴 타지역 근무: 파견 여부 확인","정상")))))))))</f>
        <v/>
      </c>
      <c r="AA95" s="5" t="n"/>
      <c r="AB95" s="10">
        <f>IF($B95="","",IFERROR(MATCH($B95,입력_기본자료!$B$2:$B$1001,0),IFERROR(MATCH($B95&amp;"",입력_기본자료!$B$2:$B$1001,0),IFERROR(MATCH(VALUE($B95),입력_기본자료!$B$2:$B$1001,0),""))))</f>
        <v/>
      </c>
      <c r="AC95" s="10">
        <f>IF($B95="","",IFERROR(MATCH($B95,입력_인턴근무계획!$D$3:$D$402,0),IFERROR(MATCH($B95&amp;"",입력_인턴근무계획!$D$3:$D$402,0),IFERROR(MATCH(VALUE($B95),입력_인턴근무계획!$D$3:$D$402,0),""))))</f>
        <v/>
      </c>
      <c r="AD95" s="10">
        <f>IF(OR($AC95="",출력_인턴현황!$G$3=""),"",INDEX(입력_인턴근무계획!$M$3:$R$402,$AC95,출력_인턴현황!$G$3)&amp;"")</f>
        <v/>
      </c>
      <c r="AE95" s="10">
        <f>IF($B95="","",IF($M95&lt;&gt;"",$M95,IF(IF($AQ95="",FALSE,INDEX(출력_구리근무자!$J$6:$J$305,$AQ95)="구리독자"),"구리병원",IF($AF95&lt;&gt;"",IF(LEFT(INDEX(입력_파견수련계획!$R$4:$R$803,$AF95),1)&lt;&gt;"⚠",INDEX(입력_파견수련계획!$R$4:$R$803,$AF95),IF($H95="","",IF(RIGHT($H95,2)="병원",$H95,$H95&amp;"병원"))),IF($H95="","",IF(RIGHT($H95,2)="병원",$H95,$H95&amp;"병원"))))))</f>
        <v/>
      </c>
      <c r="AF95" s="10">
        <f>IF(OR($B95="",TRIM($J95&amp;"")=""),"",IFERROR(MATCH(TRIM($J95&amp;"")&amp;"|파견중",입력_파견수련계획!$Y$4:$Y$803,0),IFERROR(MATCH(TRIM($J95&amp;"")&amp;"|파견예정",입력_파견수련계획!$Y$4:$Y$803,0),IFERROR(MATCH(TRIM($J95&amp;"")&amp;"|파견종료",입력_파견수련계획!$Y$4:$Y$803,0),""))))</f>
        <v/>
      </c>
      <c r="AG95" s="10">
        <f>IF($B95="","",IF(AND(IF(OR($AC95="",출력_인턴현황!$K$2=""),"",INDEX(입력_인턴근무계획!$M$3:$R$402,$AC95,출력_인턴현황!$K$2)&amp;"")&lt;&gt;"",LEFT(IF(OR($AC95="",출력_인턴현황!$K$2=""),"",INDEX(입력_인턴근무계획!$M$3:$R$402,$AC95,출력_인턴현황!$K$2)&amp;""),1)&lt;&gt;"⚠"),LEFT(IF(OR($AC95="",출력_인턴현황!$K$2=""),"",INDEX(입력_인턴근무계획!$M$3:$R$402,$AC95,출력_인턴현황!$K$2)&amp;""),FIND(" ",IF(OR($AC95="",출력_인턴현황!$K$2=""),"",INDEX(입력_인턴근무계획!$M$3:$R$402,$AC95,출력_인턴현황!$K$2)&amp;""))-1),$AE95))</f>
        <v/>
      </c>
      <c r="AH95" s="17">
        <f>IF($B95="","",IF($AQ95&lt;&gt;"",MAX(0,DAY(EOMONTH(출력_요약!$B$3,0))-N($AR95)),IF(TRIM($J95&amp;"")="",0,SUMPRODUCT((입력_파견수련계획!$Q$4:$Q$803=TRIM($J95&amp;""))*(입력_파견수련계획!$S$4:$S$803="서울병원")*입력_파견수련계획!$W$4:$W$803))+IF($AG95="서울병원",MAX(0,DAY(EOMONTH(출력_요약!$B$3,0))-N($X95)),0)))</f>
        <v/>
      </c>
      <c r="AI95" s="17">
        <f>IF($B95="","",IF($AQ95&lt;&gt;"",N($AR95),IF(TRIM($J95&amp;"")="",0,SUMPRODUCT((입력_파견수련계획!$Q$4:$Q$803=TRIM($J95&amp;""))*(입력_파견수련계획!$S$4:$S$803="구리병원")*입력_파견수련계획!$W$4:$W$803))+IF($AG95="구리병원",MAX(0,DAY(EOMONTH(출력_요약!$B$3,0))-N($X95)),0)))</f>
        <v/>
      </c>
      <c r="AJ95" s="10">
        <f>IF(OR($B95="",TRIM($J95&amp;"")=""),"",IFERROR(MATCH(TRIM($J95&amp;"")&amp;"|월",입력_파견수련계획!$Z$4:$Z$803,0),""))</f>
        <v/>
      </c>
      <c r="AK95" s="10">
        <f>IF(OR($B95="",TRIM($J95&amp;"")=""),"",IFERROR(MATCH(TRIM($J95&amp;"")&amp;"|다기관",입력_파견수련계획!$AE$4:$AE$803,0),""))</f>
        <v/>
      </c>
      <c r="AL95" s="10">
        <f>IF($AK95="","","다기관 "&amp;TEXT(INDEX(입력_파견수련계획!$AB$4:$AB$803,$AK95),"yyyy-mm-dd")&amp;"~"&amp;IF(ISNUMBER(INDEX(입력_파견수련계획!$AC$4:$AC$803,$AK95)),TEXT(INDEX(입력_파견수련계획!$AC$4:$AC$803,$AK95),"yyyy-mm-dd"),""))</f>
        <v/>
      </c>
      <c r="AM95" s="10">
        <f>IF($Y95="서울병원",COUNTIF($Y$2:$Y95,"서울병원"),"")</f>
        <v/>
      </c>
      <c r="AN95" s="10">
        <f>IF(LEFT($Y95,1)="⚠",COUNTIF($Y$2:$Y95,"⚠*"),"")</f>
        <v/>
      </c>
      <c r="AO95" s="10">
        <f>IF(OR($B95="",$Y95=""),"",IF(IF(TRIM($J95&amp;"")="",0,SUMPRODUCT((입력_파견수련계획!$Q$4:$Q$803=TRIM($J95&amp;""))*입력_파견수련계획!$AD$4:$AD$803))&gt;0,"다기관 기간 → 소속병원 지급",IF(AND(N($X95)&lt;=0,$AQ95=""),"파견 없음 → 그 달 근무병원 지급",IF($AH95+$AI95=DAY(EOMONTH(출력_요약!$B$3,0)),"서울 "&amp;$AH95&amp;"일 / 구리 "&amp;$AI95&amp;"일"&amp;IF($AQ95&lt;&gt;""," (구리 근무자명단 반영)","")&amp;" → 15일 이상 근무 병원 지급","타 병원 포함 → "&amp;IF($AJ95="","소속",INDEX(입력_파견수련계획!$T$4:$T$803,$AJ95))&amp;" 규칙"))))</f>
        <v/>
      </c>
      <c r="AP95" s="10">
        <f>IF($B95="","",$C95&amp;"|"&amp;$F95)</f>
        <v/>
      </c>
      <c r="AQ95" s="10">
        <f>IF($B95="","",IFERROR(MATCH(ROW()-1,출력_구리근무자!$K$6:$K$305,0),""))</f>
        <v/>
      </c>
      <c r="AR95" s="10">
        <f>IF($AQ95="","",INDEX(출력_구리근무자!$H$6:$H$305,$AQ95))</f>
        <v/>
      </c>
    </row>
    <row r="96">
      <c r="A96" s="10">
        <f>IF(B96="","",ROW()-1)</f>
        <v/>
      </c>
      <c r="B96" s="19" t="n"/>
      <c r="C96" s="10">
        <f>IF($AB96="","",IF(INDEX(입력_기본자료!$C$2:$C$1001,$AB96)="","",INDEX(입력_기본자료!$C$2:$C$1001,$AB96)))</f>
        <v/>
      </c>
      <c r="D96" s="10">
        <f>IF($AB96="","",IF(INDEX(입력_기본자료!$J$2:$J$1001,$AB96)="","",INDEX(입력_기본자료!$J$2:$J$1001,$AB96)))</f>
        <v/>
      </c>
      <c r="E96" s="11">
        <f>IF($AB96="","",IF(INDEX(입력_기본자료!$K$2:$K$1001,$AB96)="","",IF(NOT(ISNUMBER(INDEX(입력_기본자료!$K$2:$K$1001,$AB96))),INDEX(입력_기본자료!$K$2:$K$1001,$AB96),IF(INDEX(입력_기본자료!$K$2:$K$1001,$AB96)&lt;1000000,INDEX(입력_기본자료!$K$2:$K$1001,$AB96),IF(AND(INDEX(입력_기본자료!$K$2:$K$1001,$AB96)&gt;=10000101,INT(MOD(INDEX(입력_기본자료!$K$2:$K$1001,$AB96),10000)/100)&gt;=1,INT(MOD(INDEX(입력_기본자료!$K$2:$K$1001,$AB96),10000)/100)&lt;=12,MOD(INDEX(입력_기본자료!$K$2:$K$1001,$AB96),100)&gt;=1,MOD(INDEX(입력_기본자료!$K$2:$K$1001,$AB96),100)&lt;=31),DATE(INT(INDEX(입력_기본자료!$K$2:$K$1001,$AB96)/10000),INT(MOD(INDEX(입력_기본자료!$K$2:$K$1001,$AB96),10000)/100),MOD(INDEX(입력_기본자료!$K$2:$K$1001,$AB96),100)),INDEX(입력_기본자료!$K$2:$K$1001,$AB96)&amp;"")))))</f>
        <v/>
      </c>
      <c r="F96" s="10">
        <f>IF($AB96="","",IF(INDEX(입력_기본자료!$D$2:$D$1001,$AB96)="","",INDEX(입력_기본자료!$D$2:$D$1001,$AB96)))</f>
        <v/>
      </c>
      <c r="G96" s="10">
        <f>IF($AB96="","",IF(INDEX(입력_기본자료!$E$2:$E$1001,$AB96)="","",INDEX(입력_기본자료!$E$2:$E$1001,$AB96)))</f>
        <v/>
      </c>
      <c r="H96" s="10">
        <f>IF($AB96="","",IF(INDEX(입력_기본자료!$F$2:$F$1001,$AB96)="","",INDEX(입력_기본자료!$F$2:$F$1001,$AB96)))</f>
        <v/>
      </c>
      <c r="I96" s="11">
        <f>IF($AB96="","",IF(INDEX(입력_기본자료!$G$2:$G$1001,$AB96)="","",IF(NOT(ISNUMBER(INDEX(입력_기본자료!$G$2:$G$1001,$AB96))),INDEX(입력_기본자료!$G$2:$G$1001,$AB96),IF(INDEX(입력_기본자료!$G$2:$G$1001,$AB96)&lt;1000000,INDEX(입력_기본자료!$G$2:$G$1001,$AB96),IF(AND(INDEX(입력_기본자료!$G$2:$G$1001,$AB96)&gt;=10000101,INT(MOD(INDEX(입력_기본자료!$G$2:$G$1001,$AB96),10000)/100)&gt;=1,INT(MOD(INDEX(입력_기본자료!$G$2:$G$1001,$AB96),10000)/100)&lt;=12,MOD(INDEX(입력_기본자료!$G$2:$G$1001,$AB96),100)&gt;=1,MOD(INDEX(입력_기본자료!$G$2:$G$1001,$AB96),100)&lt;=31),DATE(INT(INDEX(입력_기본자료!$G$2:$G$1001,$AB96)/10000),INT(MOD(INDEX(입력_기본자료!$G$2:$G$1001,$AB96),10000)/100),MOD(INDEX(입력_기본자료!$G$2:$G$1001,$AB96),100)),INDEX(입력_기본자료!$G$2:$G$1001,$AB96)&amp;"")))))</f>
        <v/>
      </c>
      <c r="J96" s="10">
        <f>IF($AB96="","",IF(INDEX(입력_기본자료!$H$2:$H$1001,$AB96)="","",INDEX(입력_기본자료!$H$2:$H$1001,$AB96)))</f>
        <v/>
      </c>
      <c r="K96" s="10">
        <f>IF($AB96="","",IF(INDEX(입력_기본자료!$I$2:$I$1001,$AB96)="","",INDEX(입력_기본자료!$I$2:$I$1001,$AB96)))</f>
        <v/>
      </c>
      <c r="L96" s="10">
        <f>IF($AB96="","",IF(INDEX(입력_기본자료!$A$2:$A$1001,$AB96)="","",INDEX(입력_기본자료!$A$2:$A$1001,$AB96)))</f>
        <v/>
      </c>
      <c r="M96" s="15" t="n"/>
      <c r="N96" s="10">
        <f>IF($B96="","",IF(AND($U96="파견중",$Q96&lt;&gt;""),$Q96,IF(AND($AD96&lt;&gt;"",LEFT($AD96,1)&lt;&gt;"⚠"),LEFT($AD96,FIND(" ",$AD96)-1),IF($H96="","",IF(RIGHT($H96,2)="병원",$H96,$H96&amp;"병원")))))</f>
        <v/>
      </c>
      <c r="O96" s="10">
        <f>IF($B96="","",IF(AND($U96="파견중",$Q96&lt;&gt;""),IF($R96&lt;&gt;"",$R96,"파견과 미입력"),IF(AND($AD96&lt;&gt;"",LEFT($AD96,1)&lt;&gt;"⚠"),MID($AD96,FIND(" ",$AD96)+1,60),IF($F96="","",IF($F96="인턴","수련교육부(인턴)",$F96)))))</f>
        <v/>
      </c>
      <c r="P96" s="10">
        <f>IF($B96="","",IF($AK96&lt;&gt;"",IF(AND(TODAY()&gt;=INDEX(입력_파견수련계획!$AB$4:$AB$803,$AK96),OR(NOT(ISNUMBER(INDEX(입력_파견수련계획!$AC$4:$AC$803,$AK96))),TODAY()&lt;=INDEX(입력_파견수련계획!$AC$4:$AC$803,$AK96))),"다기관",IF($AF96="","",INDEX(입력_파견수련계획!$T$4:$T$803,$AF96))),IF($AF96="","",INDEX(입력_파견수련계획!$T$4:$T$803,$AF96))))</f>
        <v/>
      </c>
      <c r="Q96" s="10">
        <f>IF($AF96="","",INDEX(입력_파견수련계획!$S$4:$S$803,$AF96))</f>
        <v/>
      </c>
      <c r="R96" s="10">
        <f>IF($AF96="","",INDEX(입력_파견수련계획!$U$4:$U$803,$AF96))</f>
        <v/>
      </c>
      <c r="S96" s="11">
        <f>IF($AF96="","",IF(INDEX(입력_파견수련계획!$H$4:$H$803,$AF96)="","",INDEX(입력_파견수련계획!$H$4:$H$803,$AF96)))</f>
        <v/>
      </c>
      <c r="T96" s="11">
        <f>IF($AF96="","",IF(INDEX(입력_파견수련계획!$I$4:$I$803,$AF96)="","",INDEX(입력_파견수련계획!$I$4:$I$803,$AF96)))</f>
        <v/>
      </c>
      <c r="U96" s="10">
        <f>IF($AF96="","",INDEX(입력_파견수련계획!$X$4:$X$803,$AF96))</f>
        <v/>
      </c>
      <c r="V96" s="17">
        <f>IF($AF96="","",INDEX(입력_파견수련계획!$V$4:$V$803,$AF96))</f>
        <v/>
      </c>
      <c r="W96" s="17">
        <f>IF(AND($U96="파견중",$T96&lt;&gt;""),$T96-TODAY(),"")</f>
        <v/>
      </c>
      <c r="X96" s="17">
        <f>IF(OR($B96="",TRIM($J96&amp;"")=""),"",SUMPRODUCT((입력_파견수련계획!$Q$4:$Q$803=TRIM($J96&amp;""))*입력_파견수련계획!$W$4:$W$803))</f>
        <v/>
      </c>
      <c r="Y96" s="10">
        <f>IF($B96="","",IF($AG96="","",IF(IF(TRIM($J96&amp;"")="",0,SUMPRODUCT((입력_파견수련계획!$Q$4:$Q$803=TRIM($J96&amp;""))*입력_파견수련계획!$AD$4:$AD$803))&gt;0,$AE96,IF(AND(N($X96)&lt;=0,$AQ96=""),$AG96,IF($AH96+$AI96=DAY(EOMONTH(출력_요약!$B$3,0)),IF(AND($AH96&gt;=출력_요약!$E$3,$AI96&lt;출력_요약!$E$3),"서울병원",IF(AND($AI96&gt;=출력_요약!$E$3,$AH96&lt;출력_요약!$E$3),"구리병원","⚠15일 판정불가(서울 "&amp;$AH96&amp;"일/구리 "&amp;$AI96&amp;"일)")),IF($AJ96="",$AE96,IF(INDEX(입력_파견수련계획!$T$4:$T$803,$AJ96)="통합수련",INDEX(입력_파견수련계획!$S$4:$S$803,$AJ96),$AE96)))))))</f>
        <v/>
      </c>
      <c r="Z96" s="20">
        <f>IF($B96="","",IF($AB96="","기본자료에 없는 사번",IF(COUNTIF($B$2:$B$401,$B96)&gt;1,"중복 사번",IF($AE96="","소속(입사장소) 입력",IF(IF(TRIM($J96&amp;"")="",0,SUMPRODUCT((입력_파견수련계획!$Q$4:$Q$803=TRIM($J96&amp;""))*(입력_파견수련계획!$AA$4:$AA$803&lt;&gt;"")))&gt;0,"파견수련계획 입력오류 확인",IF(LEFT($Y96,1)="⚠","서울·구리 15일 판정 불가(양쪽 모두 이상/미만)",IF(IF($AC96="",0,N(INDEX(입력_인턴근무계획!$T$3:$T$402,$AC96)))&gt;0,"인턴계획 입력오류 확인",IF(AND($AQ96&lt;&gt;"",$AG96&lt;&gt;"구리병원",IF(TRIM($J96&amp;"")="",0,SUMPRODUCT((입력_파견수련계획!$Q$4:$Q$803=TRIM($J96&amp;""))*(입력_파견수련계획!$S$4:$S$803="구리병원")*입력_파견수련계획!$W$4:$W$803))=0),"구리 근무자명단에만 있음(파견수련계획 확인)",IF(AND($AC96&lt;&gt;"",$U96&lt;&gt;"파견중",$N96&lt;&gt;$AE96),"인턴 타지역 근무: 파견 여부 확인","정상")))))))))</f>
        <v/>
      </c>
      <c r="AA96" s="5" t="n"/>
      <c r="AB96" s="10">
        <f>IF($B96="","",IFERROR(MATCH($B96,입력_기본자료!$B$2:$B$1001,0),IFERROR(MATCH($B96&amp;"",입력_기본자료!$B$2:$B$1001,0),IFERROR(MATCH(VALUE($B96),입력_기본자료!$B$2:$B$1001,0),""))))</f>
        <v/>
      </c>
      <c r="AC96" s="10">
        <f>IF($B96="","",IFERROR(MATCH($B96,입력_인턴근무계획!$D$3:$D$402,0),IFERROR(MATCH($B96&amp;"",입력_인턴근무계획!$D$3:$D$402,0),IFERROR(MATCH(VALUE($B96),입력_인턴근무계획!$D$3:$D$402,0),""))))</f>
        <v/>
      </c>
      <c r="AD96" s="10">
        <f>IF(OR($AC96="",출력_인턴현황!$G$3=""),"",INDEX(입력_인턴근무계획!$M$3:$R$402,$AC96,출력_인턴현황!$G$3)&amp;"")</f>
        <v/>
      </c>
      <c r="AE96" s="10">
        <f>IF($B96="","",IF($M96&lt;&gt;"",$M96,IF(IF($AQ96="",FALSE,INDEX(출력_구리근무자!$J$6:$J$305,$AQ96)="구리독자"),"구리병원",IF($AF96&lt;&gt;"",IF(LEFT(INDEX(입력_파견수련계획!$R$4:$R$803,$AF96),1)&lt;&gt;"⚠",INDEX(입력_파견수련계획!$R$4:$R$803,$AF96),IF($H96="","",IF(RIGHT($H96,2)="병원",$H96,$H96&amp;"병원"))),IF($H96="","",IF(RIGHT($H96,2)="병원",$H96,$H96&amp;"병원"))))))</f>
        <v/>
      </c>
      <c r="AF96" s="10">
        <f>IF(OR($B96="",TRIM($J96&amp;"")=""),"",IFERROR(MATCH(TRIM($J96&amp;"")&amp;"|파견중",입력_파견수련계획!$Y$4:$Y$803,0),IFERROR(MATCH(TRIM($J96&amp;"")&amp;"|파견예정",입력_파견수련계획!$Y$4:$Y$803,0),IFERROR(MATCH(TRIM($J96&amp;"")&amp;"|파견종료",입력_파견수련계획!$Y$4:$Y$803,0),""))))</f>
        <v/>
      </c>
      <c r="AG96" s="10">
        <f>IF($B96="","",IF(AND(IF(OR($AC96="",출력_인턴현황!$K$2=""),"",INDEX(입력_인턴근무계획!$M$3:$R$402,$AC96,출력_인턴현황!$K$2)&amp;"")&lt;&gt;"",LEFT(IF(OR($AC96="",출력_인턴현황!$K$2=""),"",INDEX(입력_인턴근무계획!$M$3:$R$402,$AC96,출력_인턴현황!$K$2)&amp;""),1)&lt;&gt;"⚠"),LEFT(IF(OR($AC96="",출력_인턴현황!$K$2=""),"",INDEX(입력_인턴근무계획!$M$3:$R$402,$AC96,출력_인턴현황!$K$2)&amp;""),FIND(" ",IF(OR($AC96="",출력_인턴현황!$K$2=""),"",INDEX(입력_인턴근무계획!$M$3:$R$402,$AC96,출력_인턴현황!$K$2)&amp;""))-1),$AE96))</f>
        <v/>
      </c>
      <c r="AH96" s="17">
        <f>IF($B96="","",IF($AQ96&lt;&gt;"",MAX(0,DAY(EOMONTH(출력_요약!$B$3,0))-N($AR96)),IF(TRIM($J96&amp;"")="",0,SUMPRODUCT((입력_파견수련계획!$Q$4:$Q$803=TRIM($J96&amp;""))*(입력_파견수련계획!$S$4:$S$803="서울병원")*입력_파견수련계획!$W$4:$W$803))+IF($AG96="서울병원",MAX(0,DAY(EOMONTH(출력_요약!$B$3,0))-N($X96)),0)))</f>
        <v/>
      </c>
      <c r="AI96" s="17">
        <f>IF($B96="","",IF($AQ96&lt;&gt;"",N($AR96),IF(TRIM($J96&amp;"")="",0,SUMPRODUCT((입력_파견수련계획!$Q$4:$Q$803=TRIM($J96&amp;""))*(입력_파견수련계획!$S$4:$S$803="구리병원")*입력_파견수련계획!$W$4:$W$803))+IF($AG96="구리병원",MAX(0,DAY(EOMONTH(출력_요약!$B$3,0))-N($X96)),0)))</f>
        <v/>
      </c>
      <c r="AJ96" s="10">
        <f>IF(OR($B96="",TRIM($J96&amp;"")=""),"",IFERROR(MATCH(TRIM($J96&amp;"")&amp;"|월",입력_파견수련계획!$Z$4:$Z$803,0),""))</f>
        <v/>
      </c>
      <c r="AK96" s="10">
        <f>IF(OR($B96="",TRIM($J96&amp;"")=""),"",IFERROR(MATCH(TRIM($J96&amp;"")&amp;"|다기관",입력_파견수련계획!$AE$4:$AE$803,0),""))</f>
        <v/>
      </c>
      <c r="AL96" s="10">
        <f>IF($AK96="","","다기관 "&amp;TEXT(INDEX(입력_파견수련계획!$AB$4:$AB$803,$AK96),"yyyy-mm-dd")&amp;"~"&amp;IF(ISNUMBER(INDEX(입력_파견수련계획!$AC$4:$AC$803,$AK96)),TEXT(INDEX(입력_파견수련계획!$AC$4:$AC$803,$AK96),"yyyy-mm-dd"),""))</f>
        <v/>
      </c>
      <c r="AM96" s="10">
        <f>IF($Y96="서울병원",COUNTIF($Y$2:$Y96,"서울병원"),"")</f>
        <v/>
      </c>
      <c r="AN96" s="10">
        <f>IF(LEFT($Y96,1)="⚠",COUNTIF($Y$2:$Y96,"⚠*"),"")</f>
        <v/>
      </c>
      <c r="AO96" s="10">
        <f>IF(OR($B96="",$Y96=""),"",IF(IF(TRIM($J96&amp;"")="",0,SUMPRODUCT((입력_파견수련계획!$Q$4:$Q$803=TRIM($J96&amp;""))*입력_파견수련계획!$AD$4:$AD$803))&gt;0,"다기관 기간 → 소속병원 지급",IF(AND(N($X96)&lt;=0,$AQ96=""),"파견 없음 → 그 달 근무병원 지급",IF($AH96+$AI96=DAY(EOMONTH(출력_요약!$B$3,0)),"서울 "&amp;$AH96&amp;"일 / 구리 "&amp;$AI96&amp;"일"&amp;IF($AQ96&lt;&gt;""," (구리 근무자명단 반영)","")&amp;" → 15일 이상 근무 병원 지급","타 병원 포함 → "&amp;IF($AJ96="","소속",INDEX(입력_파견수련계획!$T$4:$T$803,$AJ96))&amp;" 규칙"))))</f>
        <v/>
      </c>
      <c r="AP96" s="10">
        <f>IF($B96="","",$C96&amp;"|"&amp;$F96)</f>
        <v/>
      </c>
      <c r="AQ96" s="10">
        <f>IF($B96="","",IFERROR(MATCH(ROW()-1,출력_구리근무자!$K$6:$K$305,0),""))</f>
        <v/>
      </c>
      <c r="AR96" s="10">
        <f>IF($AQ96="","",INDEX(출력_구리근무자!$H$6:$H$305,$AQ96))</f>
        <v/>
      </c>
    </row>
    <row r="97">
      <c r="A97" s="10">
        <f>IF(B97="","",ROW()-1)</f>
        <v/>
      </c>
      <c r="B97" s="19" t="n"/>
      <c r="C97" s="10">
        <f>IF($AB97="","",IF(INDEX(입력_기본자료!$C$2:$C$1001,$AB97)="","",INDEX(입력_기본자료!$C$2:$C$1001,$AB97)))</f>
        <v/>
      </c>
      <c r="D97" s="10">
        <f>IF($AB97="","",IF(INDEX(입력_기본자료!$J$2:$J$1001,$AB97)="","",INDEX(입력_기본자료!$J$2:$J$1001,$AB97)))</f>
        <v/>
      </c>
      <c r="E97" s="11">
        <f>IF($AB97="","",IF(INDEX(입력_기본자료!$K$2:$K$1001,$AB97)="","",IF(NOT(ISNUMBER(INDEX(입력_기본자료!$K$2:$K$1001,$AB97))),INDEX(입력_기본자료!$K$2:$K$1001,$AB97),IF(INDEX(입력_기본자료!$K$2:$K$1001,$AB97)&lt;1000000,INDEX(입력_기본자료!$K$2:$K$1001,$AB97),IF(AND(INDEX(입력_기본자료!$K$2:$K$1001,$AB97)&gt;=10000101,INT(MOD(INDEX(입력_기본자료!$K$2:$K$1001,$AB97),10000)/100)&gt;=1,INT(MOD(INDEX(입력_기본자료!$K$2:$K$1001,$AB97),10000)/100)&lt;=12,MOD(INDEX(입력_기본자료!$K$2:$K$1001,$AB97),100)&gt;=1,MOD(INDEX(입력_기본자료!$K$2:$K$1001,$AB97),100)&lt;=31),DATE(INT(INDEX(입력_기본자료!$K$2:$K$1001,$AB97)/10000),INT(MOD(INDEX(입력_기본자료!$K$2:$K$1001,$AB97),10000)/100),MOD(INDEX(입력_기본자료!$K$2:$K$1001,$AB97),100)),INDEX(입력_기본자료!$K$2:$K$1001,$AB97)&amp;"")))))</f>
        <v/>
      </c>
      <c r="F97" s="10">
        <f>IF($AB97="","",IF(INDEX(입력_기본자료!$D$2:$D$1001,$AB97)="","",INDEX(입력_기본자료!$D$2:$D$1001,$AB97)))</f>
        <v/>
      </c>
      <c r="G97" s="10">
        <f>IF($AB97="","",IF(INDEX(입력_기본자료!$E$2:$E$1001,$AB97)="","",INDEX(입력_기본자료!$E$2:$E$1001,$AB97)))</f>
        <v/>
      </c>
      <c r="H97" s="10">
        <f>IF($AB97="","",IF(INDEX(입력_기본자료!$F$2:$F$1001,$AB97)="","",INDEX(입력_기본자료!$F$2:$F$1001,$AB97)))</f>
        <v/>
      </c>
      <c r="I97" s="11">
        <f>IF($AB97="","",IF(INDEX(입력_기본자료!$G$2:$G$1001,$AB97)="","",IF(NOT(ISNUMBER(INDEX(입력_기본자료!$G$2:$G$1001,$AB97))),INDEX(입력_기본자료!$G$2:$G$1001,$AB97),IF(INDEX(입력_기본자료!$G$2:$G$1001,$AB97)&lt;1000000,INDEX(입력_기본자료!$G$2:$G$1001,$AB97),IF(AND(INDEX(입력_기본자료!$G$2:$G$1001,$AB97)&gt;=10000101,INT(MOD(INDEX(입력_기본자료!$G$2:$G$1001,$AB97),10000)/100)&gt;=1,INT(MOD(INDEX(입력_기본자료!$G$2:$G$1001,$AB97),10000)/100)&lt;=12,MOD(INDEX(입력_기본자료!$G$2:$G$1001,$AB97),100)&gt;=1,MOD(INDEX(입력_기본자료!$G$2:$G$1001,$AB97),100)&lt;=31),DATE(INT(INDEX(입력_기본자료!$G$2:$G$1001,$AB97)/10000),INT(MOD(INDEX(입력_기본자료!$G$2:$G$1001,$AB97),10000)/100),MOD(INDEX(입력_기본자료!$G$2:$G$1001,$AB97),100)),INDEX(입력_기본자료!$G$2:$G$1001,$AB97)&amp;"")))))</f>
        <v/>
      </c>
      <c r="J97" s="10">
        <f>IF($AB97="","",IF(INDEX(입력_기본자료!$H$2:$H$1001,$AB97)="","",INDEX(입력_기본자료!$H$2:$H$1001,$AB97)))</f>
        <v/>
      </c>
      <c r="K97" s="10">
        <f>IF($AB97="","",IF(INDEX(입력_기본자료!$I$2:$I$1001,$AB97)="","",INDEX(입력_기본자료!$I$2:$I$1001,$AB97)))</f>
        <v/>
      </c>
      <c r="L97" s="10">
        <f>IF($AB97="","",IF(INDEX(입력_기본자료!$A$2:$A$1001,$AB97)="","",INDEX(입력_기본자료!$A$2:$A$1001,$AB97)))</f>
        <v/>
      </c>
      <c r="M97" s="15" t="n"/>
      <c r="N97" s="10">
        <f>IF($B97="","",IF(AND($U97="파견중",$Q97&lt;&gt;""),$Q97,IF(AND($AD97&lt;&gt;"",LEFT($AD97,1)&lt;&gt;"⚠"),LEFT($AD97,FIND(" ",$AD97)-1),IF($H97="","",IF(RIGHT($H97,2)="병원",$H97,$H97&amp;"병원")))))</f>
        <v/>
      </c>
      <c r="O97" s="10">
        <f>IF($B97="","",IF(AND($U97="파견중",$Q97&lt;&gt;""),IF($R97&lt;&gt;"",$R97,"파견과 미입력"),IF(AND($AD97&lt;&gt;"",LEFT($AD97,1)&lt;&gt;"⚠"),MID($AD97,FIND(" ",$AD97)+1,60),IF($F97="","",IF($F97="인턴","수련교육부(인턴)",$F97)))))</f>
        <v/>
      </c>
      <c r="P97" s="10">
        <f>IF($B97="","",IF($AK97&lt;&gt;"",IF(AND(TODAY()&gt;=INDEX(입력_파견수련계획!$AB$4:$AB$803,$AK97),OR(NOT(ISNUMBER(INDEX(입력_파견수련계획!$AC$4:$AC$803,$AK97))),TODAY()&lt;=INDEX(입력_파견수련계획!$AC$4:$AC$803,$AK97))),"다기관",IF($AF97="","",INDEX(입력_파견수련계획!$T$4:$T$803,$AF97))),IF($AF97="","",INDEX(입력_파견수련계획!$T$4:$T$803,$AF97))))</f>
        <v/>
      </c>
      <c r="Q97" s="10">
        <f>IF($AF97="","",INDEX(입력_파견수련계획!$S$4:$S$803,$AF97))</f>
        <v/>
      </c>
      <c r="R97" s="10">
        <f>IF($AF97="","",INDEX(입력_파견수련계획!$U$4:$U$803,$AF97))</f>
        <v/>
      </c>
      <c r="S97" s="11">
        <f>IF($AF97="","",IF(INDEX(입력_파견수련계획!$H$4:$H$803,$AF97)="","",INDEX(입력_파견수련계획!$H$4:$H$803,$AF97)))</f>
        <v/>
      </c>
      <c r="T97" s="11">
        <f>IF($AF97="","",IF(INDEX(입력_파견수련계획!$I$4:$I$803,$AF97)="","",INDEX(입력_파견수련계획!$I$4:$I$803,$AF97)))</f>
        <v/>
      </c>
      <c r="U97" s="10">
        <f>IF($AF97="","",INDEX(입력_파견수련계획!$X$4:$X$803,$AF97))</f>
        <v/>
      </c>
      <c r="V97" s="17">
        <f>IF($AF97="","",INDEX(입력_파견수련계획!$V$4:$V$803,$AF97))</f>
        <v/>
      </c>
      <c r="W97" s="17">
        <f>IF(AND($U97="파견중",$T97&lt;&gt;""),$T97-TODAY(),"")</f>
        <v/>
      </c>
      <c r="X97" s="17">
        <f>IF(OR($B97="",TRIM($J97&amp;"")=""),"",SUMPRODUCT((입력_파견수련계획!$Q$4:$Q$803=TRIM($J97&amp;""))*입력_파견수련계획!$W$4:$W$803))</f>
        <v/>
      </c>
      <c r="Y97" s="10">
        <f>IF($B97="","",IF($AG97="","",IF(IF(TRIM($J97&amp;"")="",0,SUMPRODUCT((입력_파견수련계획!$Q$4:$Q$803=TRIM($J97&amp;""))*입력_파견수련계획!$AD$4:$AD$803))&gt;0,$AE97,IF(AND(N($X97)&lt;=0,$AQ97=""),$AG97,IF($AH97+$AI97=DAY(EOMONTH(출력_요약!$B$3,0)),IF(AND($AH97&gt;=출력_요약!$E$3,$AI97&lt;출력_요약!$E$3),"서울병원",IF(AND($AI97&gt;=출력_요약!$E$3,$AH97&lt;출력_요약!$E$3),"구리병원","⚠15일 판정불가(서울 "&amp;$AH97&amp;"일/구리 "&amp;$AI97&amp;"일)")),IF($AJ97="",$AE97,IF(INDEX(입력_파견수련계획!$T$4:$T$803,$AJ97)="통합수련",INDEX(입력_파견수련계획!$S$4:$S$803,$AJ97),$AE97)))))))</f>
        <v/>
      </c>
      <c r="Z97" s="20">
        <f>IF($B97="","",IF($AB97="","기본자료에 없는 사번",IF(COUNTIF($B$2:$B$401,$B97)&gt;1,"중복 사번",IF($AE97="","소속(입사장소) 입력",IF(IF(TRIM($J97&amp;"")="",0,SUMPRODUCT((입력_파견수련계획!$Q$4:$Q$803=TRIM($J97&amp;""))*(입력_파견수련계획!$AA$4:$AA$803&lt;&gt;"")))&gt;0,"파견수련계획 입력오류 확인",IF(LEFT($Y97,1)="⚠","서울·구리 15일 판정 불가(양쪽 모두 이상/미만)",IF(IF($AC97="",0,N(INDEX(입력_인턴근무계획!$T$3:$T$402,$AC97)))&gt;0,"인턴계획 입력오류 확인",IF(AND($AQ97&lt;&gt;"",$AG97&lt;&gt;"구리병원",IF(TRIM($J97&amp;"")="",0,SUMPRODUCT((입력_파견수련계획!$Q$4:$Q$803=TRIM($J97&amp;""))*(입력_파견수련계획!$S$4:$S$803="구리병원")*입력_파견수련계획!$W$4:$W$803))=0),"구리 근무자명단에만 있음(파견수련계획 확인)",IF(AND($AC97&lt;&gt;"",$U97&lt;&gt;"파견중",$N97&lt;&gt;$AE97),"인턴 타지역 근무: 파견 여부 확인","정상")))))))))</f>
        <v/>
      </c>
      <c r="AA97" s="5" t="n"/>
      <c r="AB97" s="10">
        <f>IF($B97="","",IFERROR(MATCH($B97,입력_기본자료!$B$2:$B$1001,0),IFERROR(MATCH($B97&amp;"",입력_기본자료!$B$2:$B$1001,0),IFERROR(MATCH(VALUE($B97),입력_기본자료!$B$2:$B$1001,0),""))))</f>
        <v/>
      </c>
      <c r="AC97" s="10">
        <f>IF($B97="","",IFERROR(MATCH($B97,입력_인턴근무계획!$D$3:$D$402,0),IFERROR(MATCH($B97&amp;"",입력_인턴근무계획!$D$3:$D$402,0),IFERROR(MATCH(VALUE($B97),입력_인턴근무계획!$D$3:$D$402,0),""))))</f>
        <v/>
      </c>
      <c r="AD97" s="10">
        <f>IF(OR($AC97="",출력_인턴현황!$G$3=""),"",INDEX(입력_인턴근무계획!$M$3:$R$402,$AC97,출력_인턴현황!$G$3)&amp;"")</f>
        <v/>
      </c>
      <c r="AE97" s="10">
        <f>IF($B97="","",IF($M97&lt;&gt;"",$M97,IF(IF($AQ97="",FALSE,INDEX(출력_구리근무자!$J$6:$J$305,$AQ97)="구리독자"),"구리병원",IF($AF97&lt;&gt;"",IF(LEFT(INDEX(입력_파견수련계획!$R$4:$R$803,$AF97),1)&lt;&gt;"⚠",INDEX(입력_파견수련계획!$R$4:$R$803,$AF97),IF($H97="","",IF(RIGHT($H97,2)="병원",$H97,$H97&amp;"병원"))),IF($H97="","",IF(RIGHT($H97,2)="병원",$H97,$H97&amp;"병원"))))))</f>
        <v/>
      </c>
      <c r="AF97" s="10">
        <f>IF(OR($B97="",TRIM($J97&amp;"")=""),"",IFERROR(MATCH(TRIM($J97&amp;"")&amp;"|파견중",입력_파견수련계획!$Y$4:$Y$803,0),IFERROR(MATCH(TRIM($J97&amp;"")&amp;"|파견예정",입력_파견수련계획!$Y$4:$Y$803,0),IFERROR(MATCH(TRIM($J97&amp;"")&amp;"|파견종료",입력_파견수련계획!$Y$4:$Y$803,0),""))))</f>
        <v/>
      </c>
      <c r="AG97" s="10">
        <f>IF($B97="","",IF(AND(IF(OR($AC97="",출력_인턴현황!$K$2=""),"",INDEX(입력_인턴근무계획!$M$3:$R$402,$AC97,출력_인턴현황!$K$2)&amp;"")&lt;&gt;"",LEFT(IF(OR($AC97="",출력_인턴현황!$K$2=""),"",INDEX(입력_인턴근무계획!$M$3:$R$402,$AC97,출력_인턴현황!$K$2)&amp;""),1)&lt;&gt;"⚠"),LEFT(IF(OR($AC97="",출력_인턴현황!$K$2=""),"",INDEX(입력_인턴근무계획!$M$3:$R$402,$AC97,출력_인턴현황!$K$2)&amp;""),FIND(" ",IF(OR($AC97="",출력_인턴현황!$K$2=""),"",INDEX(입력_인턴근무계획!$M$3:$R$402,$AC97,출력_인턴현황!$K$2)&amp;""))-1),$AE97))</f>
        <v/>
      </c>
      <c r="AH97" s="17">
        <f>IF($B97="","",IF($AQ97&lt;&gt;"",MAX(0,DAY(EOMONTH(출력_요약!$B$3,0))-N($AR97)),IF(TRIM($J97&amp;"")="",0,SUMPRODUCT((입력_파견수련계획!$Q$4:$Q$803=TRIM($J97&amp;""))*(입력_파견수련계획!$S$4:$S$803="서울병원")*입력_파견수련계획!$W$4:$W$803))+IF($AG97="서울병원",MAX(0,DAY(EOMONTH(출력_요약!$B$3,0))-N($X97)),0)))</f>
        <v/>
      </c>
      <c r="AI97" s="17">
        <f>IF($B97="","",IF($AQ97&lt;&gt;"",N($AR97),IF(TRIM($J97&amp;"")="",0,SUMPRODUCT((입력_파견수련계획!$Q$4:$Q$803=TRIM($J97&amp;""))*(입력_파견수련계획!$S$4:$S$803="구리병원")*입력_파견수련계획!$W$4:$W$803))+IF($AG97="구리병원",MAX(0,DAY(EOMONTH(출력_요약!$B$3,0))-N($X97)),0)))</f>
        <v/>
      </c>
      <c r="AJ97" s="10">
        <f>IF(OR($B97="",TRIM($J97&amp;"")=""),"",IFERROR(MATCH(TRIM($J97&amp;"")&amp;"|월",입력_파견수련계획!$Z$4:$Z$803,0),""))</f>
        <v/>
      </c>
      <c r="AK97" s="10">
        <f>IF(OR($B97="",TRIM($J97&amp;"")=""),"",IFERROR(MATCH(TRIM($J97&amp;"")&amp;"|다기관",입력_파견수련계획!$AE$4:$AE$803,0),""))</f>
        <v/>
      </c>
      <c r="AL97" s="10">
        <f>IF($AK97="","","다기관 "&amp;TEXT(INDEX(입력_파견수련계획!$AB$4:$AB$803,$AK97),"yyyy-mm-dd")&amp;"~"&amp;IF(ISNUMBER(INDEX(입력_파견수련계획!$AC$4:$AC$803,$AK97)),TEXT(INDEX(입력_파견수련계획!$AC$4:$AC$803,$AK97),"yyyy-mm-dd"),""))</f>
        <v/>
      </c>
      <c r="AM97" s="10">
        <f>IF($Y97="서울병원",COUNTIF($Y$2:$Y97,"서울병원"),"")</f>
        <v/>
      </c>
      <c r="AN97" s="10">
        <f>IF(LEFT($Y97,1)="⚠",COUNTIF($Y$2:$Y97,"⚠*"),"")</f>
        <v/>
      </c>
      <c r="AO97" s="10">
        <f>IF(OR($B97="",$Y97=""),"",IF(IF(TRIM($J97&amp;"")="",0,SUMPRODUCT((입력_파견수련계획!$Q$4:$Q$803=TRIM($J97&amp;""))*입력_파견수련계획!$AD$4:$AD$803))&gt;0,"다기관 기간 → 소속병원 지급",IF(AND(N($X97)&lt;=0,$AQ97=""),"파견 없음 → 그 달 근무병원 지급",IF($AH97+$AI97=DAY(EOMONTH(출력_요약!$B$3,0)),"서울 "&amp;$AH97&amp;"일 / 구리 "&amp;$AI97&amp;"일"&amp;IF($AQ97&lt;&gt;""," (구리 근무자명단 반영)","")&amp;" → 15일 이상 근무 병원 지급","타 병원 포함 → "&amp;IF($AJ97="","소속",INDEX(입력_파견수련계획!$T$4:$T$803,$AJ97))&amp;" 규칙"))))</f>
        <v/>
      </c>
      <c r="AP97" s="10">
        <f>IF($B97="","",$C97&amp;"|"&amp;$F97)</f>
        <v/>
      </c>
      <c r="AQ97" s="10">
        <f>IF($B97="","",IFERROR(MATCH(ROW()-1,출력_구리근무자!$K$6:$K$305,0),""))</f>
        <v/>
      </c>
      <c r="AR97" s="10">
        <f>IF($AQ97="","",INDEX(출력_구리근무자!$H$6:$H$305,$AQ97))</f>
        <v/>
      </c>
    </row>
    <row r="98">
      <c r="A98" s="10">
        <f>IF(B98="","",ROW()-1)</f>
        <v/>
      </c>
      <c r="B98" s="19" t="n"/>
      <c r="C98" s="10">
        <f>IF($AB98="","",IF(INDEX(입력_기본자료!$C$2:$C$1001,$AB98)="","",INDEX(입력_기본자료!$C$2:$C$1001,$AB98)))</f>
        <v/>
      </c>
      <c r="D98" s="10">
        <f>IF($AB98="","",IF(INDEX(입력_기본자료!$J$2:$J$1001,$AB98)="","",INDEX(입력_기본자료!$J$2:$J$1001,$AB98)))</f>
        <v/>
      </c>
      <c r="E98" s="11">
        <f>IF($AB98="","",IF(INDEX(입력_기본자료!$K$2:$K$1001,$AB98)="","",IF(NOT(ISNUMBER(INDEX(입력_기본자료!$K$2:$K$1001,$AB98))),INDEX(입력_기본자료!$K$2:$K$1001,$AB98),IF(INDEX(입력_기본자료!$K$2:$K$1001,$AB98)&lt;1000000,INDEX(입력_기본자료!$K$2:$K$1001,$AB98),IF(AND(INDEX(입력_기본자료!$K$2:$K$1001,$AB98)&gt;=10000101,INT(MOD(INDEX(입력_기본자료!$K$2:$K$1001,$AB98),10000)/100)&gt;=1,INT(MOD(INDEX(입력_기본자료!$K$2:$K$1001,$AB98),10000)/100)&lt;=12,MOD(INDEX(입력_기본자료!$K$2:$K$1001,$AB98),100)&gt;=1,MOD(INDEX(입력_기본자료!$K$2:$K$1001,$AB98),100)&lt;=31),DATE(INT(INDEX(입력_기본자료!$K$2:$K$1001,$AB98)/10000),INT(MOD(INDEX(입력_기본자료!$K$2:$K$1001,$AB98),10000)/100),MOD(INDEX(입력_기본자료!$K$2:$K$1001,$AB98),100)),INDEX(입력_기본자료!$K$2:$K$1001,$AB98)&amp;"")))))</f>
        <v/>
      </c>
      <c r="F98" s="10">
        <f>IF($AB98="","",IF(INDEX(입력_기본자료!$D$2:$D$1001,$AB98)="","",INDEX(입력_기본자료!$D$2:$D$1001,$AB98)))</f>
        <v/>
      </c>
      <c r="G98" s="10">
        <f>IF($AB98="","",IF(INDEX(입력_기본자료!$E$2:$E$1001,$AB98)="","",INDEX(입력_기본자료!$E$2:$E$1001,$AB98)))</f>
        <v/>
      </c>
      <c r="H98" s="10">
        <f>IF($AB98="","",IF(INDEX(입력_기본자료!$F$2:$F$1001,$AB98)="","",INDEX(입력_기본자료!$F$2:$F$1001,$AB98)))</f>
        <v/>
      </c>
      <c r="I98" s="11">
        <f>IF($AB98="","",IF(INDEX(입력_기본자료!$G$2:$G$1001,$AB98)="","",IF(NOT(ISNUMBER(INDEX(입력_기본자료!$G$2:$G$1001,$AB98))),INDEX(입력_기본자료!$G$2:$G$1001,$AB98),IF(INDEX(입력_기본자료!$G$2:$G$1001,$AB98)&lt;1000000,INDEX(입력_기본자료!$G$2:$G$1001,$AB98),IF(AND(INDEX(입력_기본자료!$G$2:$G$1001,$AB98)&gt;=10000101,INT(MOD(INDEX(입력_기본자료!$G$2:$G$1001,$AB98),10000)/100)&gt;=1,INT(MOD(INDEX(입력_기본자료!$G$2:$G$1001,$AB98),10000)/100)&lt;=12,MOD(INDEX(입력_기본자료!$G$2:$G$1001,$AB98),100)&gt;=1,MOD(INDEX(입력_기본자료!$G$2:$G$1001,$AB98),100)&lt;=31),DATE(INT(INDEX(입력_기본자료!$G$2:$G$1001,$AB98)/10000),INT(MOD(INDEX(입력_기본자료!$G$2:$G$1001,$AB98),10000)/100),MOD(INDEX(입력_기본자료!$G$2:$G$1001,$AB98),100)),INDEX(입력_기본자료!$G$2:$G$1001,$AB98)&amp;"")))))</f>
        <v/>
      </c>
      <c r="J98" s="10">
        <f>IF($AB98="","",IF(INDEX(입력_기본자료!$H$2:$H$1001,$AB98)="","",INDEX(입력_기본자료!$H$2:$H$1001,$AB98)))</f>
        <v/>
      </c>
      <c r="K98" s="10">
        <f>IF($AB98="","",IF(INDEX(입력_기본자료!$I$2:$I$1001,$AB98)="","",INDEX(입력_기본자료!$I$2:$I$1001,$AB98)))</f>
        <v/>
      </c>
      <c r="L98" s="10">
        <f>IF($AB98="","",IF(INDEX(입력_기본자료!$A$2:$A$1001,$AB98)="","",INDEX(입력_기본자료!$A$2:$A$1001,$AB98)))</f>
        <v/>
      </c>
      <c r="M98" s="15" t="n"/>
      <c r="N98" s="10">
        <f>IF($B98="","",IF(AND($U98="파견중",$Q98&lt;&gt;""),$Q98,IF(AND($AD98&lt;&gt;"",LEFT($AD98,1)&lt;&gt;"⚠"),LEFT($AD98,FIND(" ",$AD98)-1),IF($H98="","",IF(RIGHT($H98,2)="병원",$H98,$H98&amp;"병원")))))</f>
        <v/>
      </c>
      <c r="O98" s="10">
        <f>IF($B98="","",IF(AND($U98="파견중",$Q98&lt;&gt;""),IF($R98&lt;&gt;"",$R98,"파견과 미입력"),IF(AND($AD98&lt;&gt;"",LEFT($AD98,1)&lt;&gt;"⚠"),MID($AD98,FIND(" ",$AD98)+1,60),IF($F98="","",IF($F98="인턴","수련교육부(인턴)",$F98)))))</f>
        <v/>
      </c>
      <c r="P98" s="10">
        <f>IF($B98="","",IF($AK98&lt;&gt;"",IF(AND(TODAY()&gt;=INDEX(입력_파견수련계획!$AB$4:$AB$803,$AK98),OR(NOT(ISNUMBER(INDEX(입력_파견수련계획!$AC$4:$AC$803,$AK98))),TODAY()&lt;=INDEX(입력_파견수련계획!$AC$4:$AC$803,$AK98))),"다기관",IF($AF98="","",INDEX(입력_파견수련계획!$T$4:$T$803,$AF98))),IF($AF98="","",INDEX(입력_파견수련계획!$T$4:$T$803,$AF98))))</f>
        <v/>
      </c>
      <c r="Q98" s="10">
        <f>IF($AF98="","",INDEX(입력_파견수련계획!$S$4:$S$803,$AF98))</f>
        <v/>
      </c>
      <c r="R98" s="10">
        <f>IF($AF98="","",INDEX(입력_파견수련계획!$U$4:$U$803,$AF98))</f>
        <v/>
      </c>
      <c r="S98" s="11">
        <f>IF($AF98="","",IF(INDEX(입력_파견수련계획!$H$4:$H$803,$AF98)="","",INDEX(입력_파견수련계획!$H$4:$H$803,$AF98)))</f>
        <v/>
      </c>
      <c r="T98" s="11">
        <f>IF($AF98="","",IF(INDEX(입력_파견수련계획!$I$4:$I$803,$AF98)="","",INDEX(입력_파견수련계획!$I$4:$I$803,$AF98)))</f>
        <v/>
      </c>
      <c r="U98" s="10">
        <f>IF($AF98="","",INDEX(입력_파견수련계획!$X$4:$X$803,$AF98))</f>
        <v/>
      </c>
      <c r="V98" s="17">
        <f>IF($AF98="","",INDEX(입력_파견수련계획!$V$4:$V$803,$AF98))</f>
        <v/>
      </c>
      <c r="W98" s="17">
        <f>IF(AND($U98="파견중",$T98&lt;&gt;""),$T98-TODAY(),"")</f>
        <v/>
      </c>
      <c r="X98" s="17">
        <f>IF(OR($B98="",TRIM($J98&amp;"")=""),"",SUMPRODUCT((입력_파견수련계획!$Q$4:$Q$803=TRIM($J98&amp;""))*입력_파견수련계획!$W$4:$W$803))</f>
        <v/>
      </c>
      <c r="Y98" s="10">
        <f>IF($B98="","",IF($AG98="","",IF(IF(TRIM($J98&amp;"")="",0,SUMPRODUCT((입력_파견수련계획!$Q$4:$Q$803=TRIM($J98&amp;""))*입력_파견수련계획!$AD$4:$AD$803))&gt;0,$AE98,IF(AND(N($X98)&lt;=0,$AQ98=""),$AG98,IF($AH98+$AI98=DAY(EOMONTH(출력_요약!$B$3,0)),IF(AND($AH98&gt;=출력_요약!$E$3,$AI98&lt;출력_요약!$E$3),"서울병원",IF(AND($AI98&gt;=출력_요약!$E$3,$AH98&lt;출력_요약!$E$3),"구리병원","⚠15일 판정불가(서울 "&amp;$AH98&amp;"일/구리 "&amp;$AI98&amp;"일)")),IF($AJ98="",$AE98,IF(INDEX(입력_파견수련계획!$T$4:$T$803,$AJ98)="통합수련",INDEX(입력_파견수련계획!$S$4:$S$803,$AJ98),$AE98)))))))</f>
        <v/>
      </c>
      <c r="Z98" s="20">
        <f>IF($B98="","",IF($AB98="","기본자료에 없는 사번",IF(COUNTIF($B$2:$B$401,$B98)&gt;1,"중복 사번",IF($AE98="","소속(입사장소) 입력",IF(IF(TRIM($J98&amp;"")="",0,SUMPRODUCT((입력_파견수련계획!$Q$4:$Q$803=TRIM($J98&amp;""))*(입력_파견수련계획!$AA$4:$AA$803&lt;&gt;"")))&gt;0,"파견수련계획 입력오류 확인",IF(LEFT($Y98,1)="⚠","서울·구리 15일 판정 불가(양쪽 모두 이상/미만)",IF(IF($AC98="",0,N(INDEX(입력_인턴근무계획!$T$3:$T$402,$AC98)))&gt;0,"인턴계획 입력오류 확인",IF(AND($AQ98&lt;&gt;"",$AG98&lt;&gt;"구리병원",IF(TRIM($J98&amp;"")="",0,SUMPRODUCT((입력_파견수련계획!$Q$4:$Q$803=TRIM($J98&amp;""))*(입력_파견수련계획!$S$4:$S$803="구리병원")*입력_파견수련계획!$W$4:$W$803))=0),"구리 근무자명단에만 있음(파견수련계획 확인)",IF(AND($AC98&lt;&gt;"",$U98&lt;&gt;"파견중",$N98&lt;&gt;$AE98),"인턴 타지역 근무: 파견 여부 확인","정상")))))))))</f>
        <v/>
      </c>
      <c r="AA98" s="5" t="n"/>
      <c r="AB98" s="10">
        <f>IF($B98="","",IFERROR(MATCH($B98,입력_기본자료!$B$2:$B$1001,0),IFERROR(MATCH($B98&amp;"",입력_기본자료!$B$2:$B$1001,0),IFERROR(MATCH(VALUE($B98),입력_기본자료!$B$2:$B$1001,0),""))))</f>
        <v/>
      </c>
      <c r="AC98" s="10">
        <f>IF($B98="","",IFERROR(MATCH($B98,입력_인턴근무계획!$D$3:$D$402,0),IFERROR(MATCH($B98&amp;"",입력_인턴근무계획!$D$3:$D$402,0),IFERROR(MATCH(VALUE($B98),입력_인턴근무계획!$D$3:$D$402,0),""))))</f>
        <v/>
      </c>
      <c r="AD98" s="10">
        <f>IF(OR($AC98="",출력_인턴현황!$G$3=""),"",INDEX(입력_인턴근무계획!$M$3:$R$402,$AC98,출력_인턴현황!$G$3)&amp;"")</f>
        <v/>
      </c>
      <c r="AE98" s="10">
        <f>IF($B98="","",IF($M98&lt;&gt;"",$M98,IF(IF($AQ98="",FALSE,INDEX(출력_구리근무자!$J$6:$J$305,$AQ98)="구리독자"),"구리병원",IF($AF98&lt;&gt;"",IF(LEFT(INDEX(입력_파견수련계획!$R$4:$R$803,$AF98),1)&lt;&gt;"⚠",INDEX(입력_파견수련계획!$R$4:$R$803,$AF98),IF($H98="","",IF(RIGHT($H98,2)="병원",$H98,$H98&amp;"병원"))),IF($H98="","",IF(RIGHT($H98,2)="병원",$H98,$H98&amp;"병원"))))))</f>
        <v/>
      </c>
      <c r="AF98" s="10">
        <f>IF(OR($B98="",TRIM($J98&amp;"")=""),"",IFERROR(MATCH(TRIM($J98&amp;"")&amp;"|파견중",입력_파견수련계획!$Y$4:$Y$803,0),IFERROR(MATCH(TRIM($J98&amp;"")&amp;"|파견예정",입력_파견수련계획!$Y$4:$Y$803,0),IFERROR(MATCH(TRIM($J98&amp;"")&amp;"|파견종료",입력_파견수련계획!$Y$4:$Y$803,0),""))))</f>
        <v/>
      </c>
      <c r="AG98" s="10">
        <f>IF($B98="","",IF(AND(IF(OR($AC98="",출력_인턴현황!$K$2=""),"",INDEX(입력_인턴근무계획!$M$3:$R$402,$AC98,출력_인턴현황!$K$2)&amp;"")&lt;&gt;"",LEFT(IF(OR($AC98="",출력_인턴현황!$K$2=""),"",INDEX(입력_인턴근무계획!$M$3:$R$402,$AC98,출력_인턴현황!$K$2)&amp;""),1)&lt;&gt;"⚠"),LEFT(IF(OR($AC98="",출력_인턴현황!$K$2=""),"",INDEX(입력_인턴근무계획!$M$3:$R$402,$AC98,출력_인턴현황!$K$2)&amp;""),FIND(" ",IF(OR($AC98="",출력_인턴현황!$K$2=""),"",INDEX(입력_인턴근무계획!$M$3:$R$402,$AC98,출력_인턴현황!$K$2)&amp;""))-1),$AE98))</f>
        <v/>
      </c>
      <c r="AH98" s="17">
        <f>IF($B98="","",IF($AQ98&lt;&gt;"",MAX(0,DAY(EOMONTH(출력_요약!$B$3,0))-N($AR98)),IF(TRIM($J98&amp;"")="",0,SUMPRODUCT((입력_파견수련계획!$Q$4:$Q$803=TRIM($J98&amp;""))*(입력_파견수련계획!$S$4:$S$803="서울병원")*입력_파견수련계획!$W$4:$W$803))+IF($AG98="서울병원",MAX(0,DAY(EOMONTH(출력_요약!$B$3,0))-N($X98)),0)))</f>
        <v/>
      </c>
      <c r="AI98" s="17">
        <f>IF($B98="","",IF($AQ98&lt;&gt;"",N($AR98),IF(TRIM($J98&amp;"")="",0,SUMPRODUCT((입력_파견수련계획!$Q$4:$Q$803=TRIM($J98&amp;""))*(입력_파견수련계획!$S$4:$S$803="구리병원")*입력_파견수련계획!$W$4:$W$803))+IF($AG98="구리병원",MAX(0,DAY(EOMONTH(출력_요약!$B$3,0))-N($X98)),0)))</f>
        <v/>
      </c>
      <c r="AJ98" s="10">
        <f>IF(OR($B98="",TRIM($J98&amp;"")=""),"",IFERROR(MATCH(TRIM($J98&amp;"")&amp;"|월",입력_파견수련계획!$Z$4:$Z$803,0),""))</f>
        <v/>
      </c>
      <c r="AK98" s="10">
        <f>IF(OR($B98="",TRIM($J98&amp;"")=""),"",IFERROR(MATCH(TRIM($J98&amp;"")&amp;"|다기관",입력_파견수련계획!$AE$4:$AE$803,0),""))</f>
        <v/>
      </c>
      <c r="AL98" s="10">
        <f>IF($AK98="","","다기관 "&amp;TEXT(INDEX(입력_파견수련계획!$AB$4:$AB$803,$AK98),"yyyy-mm-dd")&amp;"~"&amp;IF(ISNUMBER(INDEX(입력_파견수련계획!$AC$4:$AC$803,$AK98)),TEXT(INDEX(입력_파견수련계획!$AC$4:$AC$803,$AK98),"yyyy-mm-dd"),""))</f>
        <v/>
      </c>
      <c r="AM98" s="10">
        <f>IF($Y98="서울병원",COUNTIF($Y$2:$Y98,"서울병원"),"")</f>
        <v/>
      </c>
      <c r="AN98" s="10">
        <f>IF(LEFT($Y98,1)="⚠",COUNTIF($Y$2:$Y98,"⚠*"),"")</f>
        <v/>
      </c>
      <c r="AO98" s="10">
        <f>IF(OR($B98="",$Y98=""),"",IF(IF(TRIM($J98&amp;"")="",0,SUMPRODUCT((입력_파견수련계획!$Q$4:$Q$803=TRIM($J98&amp;""))*입력_파견수련계획!$AD$4:$AD$803))&gt;0,"다기관 기간 → 소속병원 지급",IF(AND(N($X98)&lt;=0,$AQ98=""),"파견 없음 → 그 달 근무병원 지급",IF($AH98+$AI98=DAY(EOMONTH(출력_요약!$B$3,0)),"서울 "&amp;$AH98&amp;"일 / 구리 "&amp;$AI98&amp;"일"&amp;IF($AQ98&lt;&gt;""," (구리 근무자명단 반영)","")&amp;" → 15일 이상 근무 병원 지급","타 병원 포함 → "&amp;IF($AJ98="","소속",INDEX(입력_파견수련계획!$T$4:$T$803,$AJ98))&amp;" 규칙"))))</f>
        <v/>
      </c>
      <c r="AP98" s="10">
        <f>IF($B98="","",$C98&amp;"|"&amp;$F98)</f>
        <v/>
      </c>
      <c r="AQ98" s="10">
        <f>IF($B98="","",IFERROR(MATCH(ROW()-1,출력_구리근무자!$K$6:$K$305,0),""))</f>
        <v/>
      </c>
      <c r="AR98" s="10">
        <f>IF($AQ98="","",INDEX(출력_구리근무자!$H$6:$H$305,$AQ98))</f>
        <v/>
      </c>
    </row>
    <row r="99">
      <c r="A99" s="10">
        <f>IF(B99="","",ROW()-1)</f>
        <v/>
      </c>
      <c r="B99" s="19" t="n"/>
      <c r="C99" s="10">
        <f>IF($AB99="","",IF(INDEX(입력_기본자료!$C$2:$C$1001,$AB99)="","",INDEX(입력_기본자료!$C$2:$C$1001,$AB99)))</f>
        <v/>
      </c>
      <c r="D99" s="10">
        <f>IF($AB99="","",IF(INDEX(입력_기본자료!$J$2:$J$1001,$AB99)="","",INDEX(입력_기본자료!$J$2:$J$1001,$AB99)))</f>
        <v/>
      </c>
      <c r="E99" s="11">
        <f>IF($AB99="","",IF(INDEX(입력_기본자료!$K$2:$K$1001,$AB99)="","",IF(NOT(ISNUMBER(INDEX(입력_기본자료!$K$2:$K$1001,$AB99))),INDEX(입력_기본자료!$K$2:$K$1001,$AB99),IF(INDEX(입력_기본자료!$K$2:$K$1001,$AB99)&lt;1000000,INDEX(입력_기본자료!$K$2:$K$1001,$AB99),IF(AND(INDEX(입력_기본자료!$K$2:$K$1001,$AB99)&gt;=10000101,INT(MOD(INDEX(입력_기본자료!$K$2:$K$1001,$AB99),10000)/100)&gt;=1,INT(MOD(INDEX(입력_기본자료!$K$2:$K$1001,$AB99),10000)/100)&lt;=12,MOD(INDEX(입력_기본자료!$K$2:$K$1001,$AB99),100)&gt;=1,MOD(INDEX(입력_기본자료!$K$2:$K$1001,$AB99),100)&lt;=31),DATE(INT(INDEX(입력_기본자료!$K$2:$K$1001,$AB99)/10000),INT(MOD(INDEX(입력_기본자료!$K$2:$K$1001,$AB99),10000)/100),MOD(INDEX(입력_기본자료!$K$2:$K$1001,$AB99),100)),INDEX(입력_기본자료!$K$2:$K$1001,$AB99)&amp;"")))))</f>
        <v/>
      </c>
      <c r="F99" s="10">
        <f>IF($AB99="","",IF(INDEX(입력_기본자료!$D$2:$D$1001,$AB99)="","",INDEX(입력_기본자료!$D$2:$D$1001,$AB99)))</f>
        <v/>
      </c>
      <c r="G99" s="10">
        <f>IF($AB99="","",IF(INDEX(입력_기본자료!$E$2:$E$1001,$AB99)="","",INDEX(입력_기본자료!$E$2:$E$1001,$AB99)))</f>
        <v/>
      </c>
      <c r="H99" s="10">
        <f>IF($AB99="","",IF(INDEX(입력_기본자료!$F$2:$F$1001,$AB99)="","",INDEX(입력_기본자료!$F$2:$F$1001,$AB99)))</f>
        <v/>
      </c>
      <c r="I99" s="11">
        <f>IF($AB99="","",IF(INDEX(입력_기본자료!$G$2:$G$1001,$AB99)="","",IF(NOT(ISNUMBER(INDEX(입력_기본자료!$G$2:$G$1001,$AB99))),INDEX(입력_기본자료!$G$2:$G$1001,$AB99),IF(INDEX(입력_기본자료!$G$2:$G$1001,$AB99)&lt;1000000,INDEX(입력_기본자료!$G$2:$G$1001,$AB99),IF(AND(INDEX(입력_기본자료!$G$2:$G$1001,$AB99)&gt;=10000101,INT(MOD(INDEX(입력_기본자료!$G$2:$G$1001,$AB99),10000)/100)&gt;=1,INT(MOD(INDEX(입력_기본자료!$G$2:$G$1001,$AB99),10000)/100)&lt;=12,MOD(INDEX(입력_기본자료!$G$2:$G$1001,$AB99),100)&gt;=1,MOD(INDEX(입력_기본자료!$G$2:$G$1001,$AB99),100)&lt;=31),DATE(INT(INDEX(입력_기본자료!$G$2:$G$1001,$AB99)/10000),INT(MOD(INDEX(입력_기본자료!$G$2:$G$1001,$AB99),10000)/100),MOD(INDEX(입력_기본자료!$G$2:$G$1001,$AB99),100)),INDEX(입력_기본자료!$G$2:$G$1001,$AB99)&amp;"")))))</f>
        <v/>
      </c>
      <c r="J99" s="10">
        <f>IF($AB99="","",IF(INDEX(입력_기본자료!$H$2:$H$1001,$AB99)="","",INDEX(입력_기본자료!$H$2:$H$1001,$AB99)))</f>
        <v/>
      </c>
      <c r="K99" s="10">
        <f>IF($AB99="","",IF(INDEX(입력_기본자료!$I$2:$I$1001,$AB99)="","",INDEX(입력_기본자료!$I$2:$I$1001,$AB99)))</f>
        <v/>
      </c>
      <c r="L99" s="10">
        <f>IF($AB99="","",IF(INDEX(입력_기본자료!$A$2:$A$1001,$AB99)="","",INDEX(입력_기본자료!$A$2:$A$1001,$AB99)))</f>
        <v/>
      </c>
      <c r="M99" s="15" t="n"/>
      <c r="N99" s="10">
        <f>IF($B99="","",IF(AND($U99="파견중",$Q99&lt;&gt;""),$Q99,IF(AND($AD99&lt;&gt;"",LEFT($AD99,1)&lt;&gt;"⚠"),LEFT($AD99,FIND(" ",$AD99)-1),IF($H99="","",IF(RIGHT($H99,2)="병원",$H99,$H99&amp;"병원")))))</f>
        <v/>
      </c>
      <c r="O99" s="10">
        <f>IF($B99="","",IF(AND($U99="파견중",$Q99&lt;&gt;""),IF($R99&lt;&gt;"",$R99,"파견과 미입력"),IF(AND($AD99&lt;&gt;"",LEFT($AD99,1)&lt;&gt;"⚠"),MID($AD99,FIND(" ",$AD99)+1,60),IF($F99="","",IF($F99="인턴","수련교육부(인턴)",$F99)))))</f>
        <v/>
      </c>
      <c r="P99" s="10">
        <f>IF($B99="","",IF($AK99&lt;&gt;"",IF(AND(TODAY()&gt;=INDEX(입력_파견수련계획!$AB$4:$AB$803,$AK99),OR(NOT(ISNUMBER(INDEX(입력_파견수련계획!$AC$4:$AC$803,$AK99))),TODAY()&lt;=INDEX(입력_파견수련계획!$AC$4:$AC$803,$AK99))),"다기관",IF($AF99="","",INDEX(입력_파견수련계획!$T$4:$T$803,$AF99))),IF($AF99="","",INDEX(입력_파견수련계획!$T$4:$T$803,$AF99))))</f>
        <v/>
      </c>
      <c r="Q99" s="10">
        <f>IF($AF99="","",INDEX(입력_파견수련계획!$S$4:$S$803,$AF99))</f>
        <v/>
      </c>
      <c r="R99" s="10">
        <f>IF($AF99="","",INDEX(입력_파견수련계획!$U$4:$U$803,$AF99))</f>
        <v/>
      </c>
      <c r="S99" s="11">
        <f>IF($AF99="","",IF(INDEX(입력_파견수련계획!$H$4:$H$803,$AF99)="","",INDEX(입력_파견수련계획!$H$4:$H$803,$AF99)))</f>
        <v/>
      </c>
      <c r="T99" s="11">
        <f>IF($AF99="","",IF(INDEX(입력_파견수련계획!$I$4:$I$803,$AF99)="","",INDEX(입력_파견수련계획!$I$4:$I$803,$AF99)))</f>
        <v/>
      </c>
      <c r="U99" s="10">
        <f>IF($AF99="","",INDEX(입력_파견수련계획!$X$4:$X$803,$AF99))</f>
        <v/>
      </c>
      <c r="V99" s="17">
        <f>IF($AF99="","",INDEX(입력_파견수련계획!$V$4:$V$803,$AF99))</f>
        <v/>
      </c>
      <c r="W99" s="17">
        <f>IF(AND($U99="파견중",$T99&lt;&gt;""),$T99-TODAY(),"")</f>
        <v/>
      </c>
      <c r="X99" s="17">
        <f>IF(OR($B99="",TRIM($J99&amp;"")=""),"",SUMPRODUCT((입력_파견수련계획!$Q$4:$Q$803=TRIM($J99&amp;""))*입력_파견수련계획!$W$4:$W$803))</f>
        <v/>
      </c>
      <c r="Y99" s="10">
        <f>IF($B99="","",IF($AG99="","",IF(IF(TRIM($J99&amp;"")="",0,SUMPRODUCT((입력_파견수련계획!$Q$4:$Q$803=TRIM($J99&amp;""))*입력_파견수련계획!$AD$4:$AD$803))&gt;0,$AE99,IF(AND(N($X99)&lt;=0,$AQ99=""),$AG99,IF($AH99+$AI99=DAY(EOMONTH(출력_요약!$B$3,0)),IF(AND($AH99&gt;=출력_요약!$E$3,$AI99&lt;출력_요약!$E$3),"서울병원",IF(AND($AI99&gt;=출력_요약!$E$3,$AH99&lt;출력_요약!$E$3),"구리병원","⚠15일 판정불가(서울 "&amp;$AH99&amp;"일/구리 "&amp;$AI99&amp;"일)")),IF($AJ99="",$AE99,IF(INDEX(입력_파견수련계획!$T$4:$T$803,$AJ99)="통합수련",INDEX(입력_파견수련계획!$S$4:$S$803,$AJ99),$AE99)))))))</f>
        <v/>
      </c>
      <c r="Z99" s="20">
        <f>IF($B99="","",IF($AB99="","기본자료에 없는 사번",IF(COUNTIF($B$2:$B$401,$B99)&gt;1,"중복 사번",IF($AE99="","소속(입사장소) 입력",IF(IF(TRIM($J99&amp;"")="",0,SUMPRODUCT((입력_파견수련계획!$Q$4:$Q$803=TRIM($J99&amp;""))*(입력_파견수련계획!$AA$4:$AA$803&lt;&gt;"")))&gt;0,"파견수련계획 입력오류 확인",IF(LEFT($Y99,1)="⚠","서울·구리 15일 판정 불가(양쪽 모두 이상/미만)",IF(IF($AC99="",0,N(INDEX(입력_인턴근무계획!$T$3:$T$402,$AC99)))&gt;0,"인턴계획 입력오류 확인",IF(AND($AQ99&lt;&gt;"",$AG99&lt;&gt;"구리병원",IF(TRIM($J99&amp;"")="",0,SUMPRODUCT((입력_파견수련계획!$Q$4:$Q$803=TRIM($J99&amp;""))*(입력_파견수련계획!$S$4:$S$803="구리병원")*입력_파견수련계획!$W$4:$W$803))=0),"구리 근무자명단에만 있음(파견수련계획 확인)",IF(AND($AC99&lt;&gt;"",$U99&lt;&gt;"파견중",$N99&lt;&gt;$AE99),"인턴 타지역 근무: 파견 여부 확인","정상")))))))))</f>
        <v/>
      </c>
      <c r="AA99" s="5" t="n"/>
      <c r="AB99" s="10">
        <f>IF($B99="","",IFERROR(MATCH($B99,입력_기본자료!$B$2:$B$1001,0),IFERROR(MATCH($B99&amp;"",입력_기본자료!$B$2:$B$1001,0),IFERROR(MATCH(VALUE($B99),입력_기본자료!$B$2:$B$1001,0),""))))</f>
        <v/>
      </c>
      <c r="AC99" s="10">
        <f>IF($B99="","",IFERROR(MATCH($B99,입력_인턴근무계획!$D$3:$D$402,0),IFERROR(MATCH($B99&amp;"",입력_인턴근무계획!$D$3:$D$402,0),IFERROR(MATCH(VALUE($B99),입력_인턴근무계획!$D$3:$D$402,0),""))))</f>
        <v/>
      </c>
      <c r="AD99" s="10">
        <f>IF(OR($AC99="",출력_인턴현황!$G$3=""),"",INDEX(입력_인턴근무계획!$M$3:$R$402,$AC99,출력_인턴현황!$G$3)&amp;"")</f>
        <v/>
      </c>
      <c r="AE99" s="10">
        <f>IF($B99="","",IF($M99&lt;&gt;"",$M99,IF(IF($AQ99="",FALSE,INDEX(출력_구리근무자!$J$6:$J$305,$AQ99)="구리독자"),"구리병원",IF($AF99&lt;&gt;"",IF(LEFT(INDEX(입력_파견수련계획!$R$4:$R$803,$AF99),1)&lt;&gt;"⚠",INDEX(입력_파견수련계획!$R$4:$R$803,$AF99),IF($H99="","",IF(RIGHT($H99,2)="병원",$H99,$H99&amp;"병원"))),IF($H99="","",IF(RIGHT($H99,2)="병원",$H99,$H99&amp;"병원"))))))</f>
        <v/>
      </c>
      <c r="AF99" s="10">
        <f>IF(OR($B99="",TRIM($J99&amp;"")=""),"",IFERROR(MATCH(TRIM($J99&amp;"")&amp;"|파견중",입력_파견수련계획!$Y$4:$Y$803,0),IFERROR(MATCH(TRIM($J99&amp;"")&amp;"|파견예정",입력_파견수련계획!$Y$4:$Y$803,0),IFERROR(MATCH(TRIM($J99&amp;"")&amp;"|파견종료",입력_파견수련계획!$Y$4:$Y$803,0),""))))</f>
        <v/>
      </c>
      <c r="AG99" s="10">
        <f>IF($B99="","",IF(AND(IF(OR($AC99="",출력_인턴현황!$K$2=""),"",INDEX(입력_인턴근무계획!$M$3:$R$402,$AC99,출력_인턴현황!$K$2)&amp;"")&lt;&gt;"",LEFT(IF(OR($AC99="",출력_인턴현황!$K$2=""),"",INDEX(입력_인턴근무계획!$M$3:$R$402,$AC99,출력_인턴현황!$K$2)&amp;""),1)&lt;&gt;"⚠"),LEFT(IF(OR($AC99="",출력_인턴현황!$K$2=""),"",INDEX(입력_인턴근무계획!$M$3:$R$402,$AC99,출력_인턴현황!$K$2)&amp;""),FIND(" ",IF(OR($AC99="",출력_인턴현황!$K$2=""),"",INDEX(입력_인턴근무계획!$M$3:$R$402,$AC99,출력_인턴현황!$K$2)&amp;""))-1),$AE99))</f>
        <v/>
      </c>
      <c r="AH99" s="17">
        <f>IF($B99="","",IF($AQ99&lt;&gt;"",MAX(0,DAY(EOMONTH(출력_요약!$B$3,0))-N($AR99)),IF(TRIM($J99&amp;"")="",0,SUMPRODUCT((입력_파견수련계획!$Q$4:$Q$803=TRIM($J99&amp;""))*(입력_파견수련계획!$S$4:$S$803="서울병원")*입력_파견수련계획!$W$4:$W$803))+IF($AG99="서울병원",MAX(0,DAY(EOMONTH(출력_요약!$B$3,0))-N($X99)),0)))</f>
        <v/>
      </c>
      <c r="AI99" s="17">
        <f>IF($B99="","",IF($AQ99&lt;&gt;"",N($AR99),IF(TRIM($J99&amp;"")="",0,SUMPRODUCT((입력_파견수련계획!$Q$4:$Q$803=TRIM($J99&amp;""))*(입력_파견수련계획!$S$4:$S$803="구리병원")*입력_파견수련계획!$W$4:$W$803))+IF($AG99="구리병원",MAX(0,DAY(EOMONTH(출력_요약!$B$3,0))-N($X99)),0)))</f>
        <v/>
      </c>
      <c r="AJ99" s="10">
        <f>IF(OR($B99="",TRIM($J99&amp;"")=""),"",IFERROR(MATCH(TRIM($J99&amp;"")&amp;"|월",입력_파견수련계획!$Z$4:$Z$803,0),""))</f>
        <v/>
      </c>
      <c r="AK99" s="10">
        <f>IF(OR($B99="",TRIM($J99&amp;"")=""),"",IFERROR(MATCH(TRIM($J99&amp;"")&amp;"|다기관",입력_파견수련계획!$AE$4:$AE$803,0),""))</f>
        <v/>
      </c>
      <c r="AL99" s="10">
        <f>IF($AK99="","","다기관 "&amp;TEXT(INDEX(입력_파견수련계획!$AB$4:$AB$803,$AK99),"yyyy-mm-dd")&amp;"~"&amp;IF(ISNUMBER(INDEX(입력_파견수련계획!$AC$4:$AC$803,$AK99)),TEXT(INDEX(입력_파견수련계획!$AC$4:$AC$803,$AK99),"yyyy-mm-dd"),""))</f>
        <v/>
      </c>
      <c r="AM99" s="10">
        <f>IF($Y99="서울병원",COUNTIF($Y$2:$Y99,"서울병원"),"")</f>
        <v/>
      </c>
      <c r="AN99" s="10">
        <f>IF(LEFT($Y99,1)="⚠",COUNTIF($Y$2:$Y99,"⚠*"),"")</f>
        <v/>
      </c>
      <c r="AO99" s="10">
        <f>IF(OR($B99="",$Y99=""),"",IF(IF(TRIM($J99&amp;"")="",0,SUMPRODUCT((입력_파견수련계획!$Q$4:$Q$803=TRIM($J99&amp;""))*입력_파견수련계획!$AD$4:$AD$803))&gt;0,"다기관 기간 → 소속병원 지급",IF(AND(N($X99)&lt;=0,$AQ99=""),"파견 없음 → 그 달 근무병원 지급",IF($AH99+$AI99=DAY(EOMONTH(출력_요약!$B$3,0)),"서울 "&amp;$AH99&amp;"일 / 구리 "&amp;$AI99&amp;"일"&amp;IF($AQ99&lt;&gt;""," (구리 근무자명단 반영)","")&amp;" → 15일 이상 근무 병원 지급","타 병원 포함 → "&amp;IF($AJ99="","소속",INDEX(입력_파견수련계획!$T$4:$T$803,$AJ99))&amp;" 규칙"))))</f>
        <v/>
      </c>
      <c r="AP99" s="10">
        <f>IF($B99="","",$C99&amp;"|"&amp;$F99)</f>
        <v/>
      </c>
      <c r="AQ99" s="10">
        <f>IF($B99="","",IFERROR(MATCH(ROW()-1,출력_구리근무자!$K$6:$K$305,0),""))</f>
        <v/>
      </c>
      <c r="AR99" s="10">
        <f>IF($AQ99="","",INDEX(출력_구리근무자!$H$6:$H$305,$AQ99))</f>
        <v/>
      </c>
    </row>
    <row r="100">
      <c r="A100" s="10">
        <f>IF(B100="","",ROW()-1)</f>
        <v/>
      </c>
      <c r="B100" s="19" t="n"/>
      <c r="C100" s="10">
        <f>IF($AB100="","",IF(INDEX(입력_기본자료!$C$2:$C$1001,$AB100)="","",INDEX(입력_기본자료!$C$2:$C$1001,$AB100)))</f>
        <v/>
      </c>
      <c r="D100" s="10">
        <f>IF($AB100="","",IF(INDEX(입력_기본자료!$J$2:$J$1001,$AB100)="","",INDEX(입력_기본자료!$J$2:$J$1001,$AB100)))</f>
        <v/>
      </c>
      <c r="E100" s="11">
        <f>IF($AB100="","",IF(INDEX(입력_기본자료!$K$2:$K$1001,$AB100)="","",IF(NOT(ISNUMBER(INDEX(입력_기본자료!$K$2:$K$1001,$AB100))),INDEX(입력_기본자료!$K$2:$K$1001,$AB100),IF(INDEX(입력_기본자료!$K$2:$K$1001,$AB100)&lt;1000000,INDEX(입력_기본자료!$K$2:$K$1001,$AB100),IF(AND(INDEX(입력_기본자료!$K$2:$K$1001,$AB100)&gt;=10000101,INT(MOD(INDEX(입력_기본자료!$K$2:$K$1001,$AB100),10000)/100)&gt;=1,INT(MOD(INDEX(입력_기본자료!$K$2:$K$1001,$AB100),10000)/100)&lt;=12,MOD(INDEX(입력_기본자료!$K$2:$K$1001,$AB100),100)&gt;=1,MOD(INDEX(입력_기본자료!$K$2:$K$1001,$AB100),100)&lt;=31),DATE(INT(INDEX(입력_기본자료!$K$2:$K$1001,$AB100)/10000),INT(MOD(INDEX(입력_기본자료!$K$2:$K$1001,$AB100),10000)/100),MOD(INDEX(입력_기본자료!$K$2:$K$1001,$AB100),100)),INDEX(입력_기본자료!$K$2:$K$1001,$AB100)&amp;"")))))</f>
        <v/>
      </c>
      <c r="F100" s="10">
        <f>IF($AB100="","",IF(INDEX(입력_기본자료!$D$2:$D$1001,$AB100)="","",INDEX(입력_기본자료!$D$2:$D$1001,$AB100)))</f>
        <v/>
      </c>
      <c r="G100" s="10">
        <f>IF($AB100="","",IF(INDEX(입력_기본자료!$E$2:$E$1001,$AB100)="","",INDEX(입력_기본자료!$E$2:$E$1001,$AB100)))</f>
        <v/>
      </c>
      <c r="H100" s="10">
        <f>IF($AB100="","",IF(INDEX(입력_기본자료!$F$2:$F$1001,$AB100)="","",INDEX(입력_기본자료!$F$2:$F$1001,$AB100)))</f>
        <v/>
      </c>
      <c r="I100" s="11">
        <f>IF($AB100="","",IF(INDEX(입력_기본자료!$G$2:$G$1001,$AB100)="","",IF(NOT(ISNUMBER(INDEX(입력_기본자료!$G$2:$G$1001,$AB100))),INDEX(입력_기본자료!$G$2:$G$1001,$AB100),IF(INDEX(입력_기본자료!$G$2:$G$1001,$AB100)&lt;1000000,INDEX(입력_기본자료!$G$2:$G$1001,$AB100),IF(AND(INDEX(입력_기본자료!$G$2:$G$1001,$AB100)&gt;=10000101,INT(MOD(INDEX(입력_기본자료!$G$2:$G$1001,$AB100),10000)/100)&gt;=1,INT(MOD(INDEX(입력_기본자료!$G$2:$G$1001,$AB100),10000)/100)&lt;=12,MOD(INDEX(입력_기본자료!$G$2:$G$1001,$AB100),100)&gt;=1,MOD(INDEX(입력_기본자료!$G$2:$G$1001,$AB100),100)&lt;=31),DATE(INT(INDEX(입력_기본자료!$G$2:$G$1001,$AB100)/10000),INT(MOD(INDEX(입력_기본자료!$G$2:$G$1001,$AB100),10000)/100),MOD(INDEX(입력_기본자료!$G$2:$G$1001,$AB100),100)),INDEX(입력_기본자료!$G$2:$G$1001,$AB100)&amp;"")))))</f>
        <v/>
      </c>
      <c r="J100" s="10">
        <f>IF($AB100="","",IF(INDEX(입력_기본자료!$H$2:$H$1001,$AB100)="","",INDEX(입력_기본자료!$H$2:$H$1001,$AB100)))</f>
        <v/>
      </c>
      <c r="K100" s="10">
        <f>IF($AB100="","",IF(INDEX(입력_기본자료!$I$2:$I$1001,$AB100)="","",INDEX(입력_기본자료!$I$2:$I$1001,$AB100)))</f>
        <v/>
      </c>
      <c r="L100" s="10">
        <f>IF($AB100="","",IF(INDEX(입력_기본자료!$A$2:$A$1001,$AB100)="","",INDEX(입력_기본자료!$A$2:$A$1001,$AB100)))</f>
        <v/>
      </c>
      <c r="M100" s="15" t="n"/>
      <c r="N100" s="10">
        <f>IF($B100="","",IF(AND($U100="파견중",$Q100&lt;&gt;""),$Q100,IF(AND($AD100&lt;&gt;"",LEFT($AD100,1)&lt;&gt;"⚠"),LEFT($AD100,FIND(" ",$AD100)-1),IF($H100="","",IF(RIGHT($H100,2)="병원",$H100,$H100&amp;"병원")))))</f>
        <v/>
      </c>
      <c r="O100" s="10">
        <f>IF($B100="","",IF(AND($U100="파견중",$Q100&lt;&gt;""),IF($R100&lt;&gt;"",$R100,"파견과 미입력"),IF(AND($AD100&lt;&gt;"",LEFT($AD100,1)&lt;&gt;"⚠"),MID($AD100,FIND(" ",$AD100)+1,60),IF($F100="","",IF($F100="인턴","수련교육부(인턴)",$F100)))))</f>
        <v/>
      </c>
      <c r="P100" s="10">
        <f>IF($B100="","",IF($AK100&lt;&gt;"",IF(AND(TODAY()&gt;=INDEX(입력_파견수련계획!$AB$4:$AB$803,$AK100),OR(NOT(ISNUMBER(INDEX(입력_파견수련계획!$AC$4:$AC$803,$AK100))),TODAY()&lt;=INDEX(입력_파견수련계획!$AC$4:$AC$803,$AK100))),"다기관",IF($AF100="","",INDEX(입력_파견수련계획!$T$4:$T$803,$AF100))),IF($AF100="","",INDEX(입력_파견수련계획!$T$4:$T$803,$AF100))))</f>
        <v/>
      </c>
      <c r="Q100" s="10">
        <f>IF($AF100="","",INDEX(입력_파견수련계획!$S$4:$S$803,$AF100))</f>
        <v/>
      </c>
      <c r="R100" s="10">
        <f>IF($AF100="","",INDEX(입력_파견수련계획!$U$4:$U$803,$AF100))</f>
        <v/>
      </c>
      <c r="S100" s="11">
        <f>IF($AF100="","",IF(INDEX(입력_파견수련계획!$H$4:$H$803,$AF100)="","",INDEX(입력_파견수련계획!$H$4:$H$803,$AF100)))</f>
        <v/>
      </c>
      <c r="T100" s="11">
        <f>IF($AF100="","",IF(INDEX(입력_파견수련계획!$I$4:$I$803,$AF100)="","",INDEX(입력_파견수련계획!$I$4:$I$803,$AF100)))</f>
        <v/>
      </c>
      <c r="U100" s="10">
        <f>IF($AF100="","",INDEX(입력_파견수련계획!$X$4:$X$803,$AF100))</f>
        <v/>
      </c>
      <c r="V100" s="17">
        <f>IF($AF100="","",INDEX(입력_파견수련계획!$V$4:$V$803,$AF100))</f>
        <v/>
      </c>
      <c r="W100" s="17">
        <f>IF(AND($U100="파견중",$T100&lt;&gt;""),$T100-TODAY(),"")</f>
        <v/>
      </c>
      <c r="X100" s="17">
        <f>IF(OR($B100="",TRIM($J100&amp;"")=""),"",SUMPRODUCT((입력_파견수련계획!$Q$4:$Q$803=TRIM($J100&amp;""))*입력_파견수련계획!$W$4:$W$803))</f>
        <v/>
      </c>
      <c r="Y100" s="10">
        <f>IF($B100="","",IF($AG100="","",IF(IF(TRIM($J100&amp;"")="",0,SUMPRODUCT((입력_파견수련계획!$Q$4:$Q$803=TRIM($J100&amp;""))*입력_파견수련계획!$AD$4:$AD$803))&gt;0,$AE100,IF(AND(N($X100)&lt;=0,$AQ100=""),$AG100,IF($AH100+$AI100=DAY(EOMONTH(출력_요약!$B$3,0)),IF(AND($AH100&gt;=출력_요약!$E$3,$AI100&lt;출력_요약!$E$3),"서울병원",IF(AND($AI100&gt;=출력_요약!$E$3,$AH100&lt;출력_요약!$E$3),"구리병원","⚠15일 판정불가(서울 "&amp;$AH100&amp;"일/구리 "&amp;$AI100&amp;"일)")),IF($AJ100="",$AE100,IF(INDEX(입력_파견수련계획!$T$4:$T$803,$AJ100)="통합수련",INDEX(입력_파견수련계획!$S$4:$S$803,$AJ100),$AE100)))))))</f>
        <v/>
      </c>
      <c r="Z100" s="20">
        <f>IF($B100="","",IF($AB100="","기본자료에 없는 사번",IF(COUNTIF($B$2:$B$401,$B100)&gt;1,"중복 사번",IF($AE100="","소속(입사장소) 입력",IF(IF(TRIM($J100&amp;"")="",0,SUMPRODUCT((입력_파견수련계획!$Q$4:$Q$803=TRIM($J100&amp;""))*(입력_파견수련계획!$AA$4:$AA$803&lt;&gt;"")))&gt;0,"파견수련계획 입력오류 확인",IF(LEFT($Y100,1)="⚠","서울·구리 15일 판정 불가(양쪽 모두 이상/미만)",IF(IF($AC100="",0,N(INDEX(입력_인턴근무계획!$T$3:$T$402,$AC100)))&gt;0,"인턴계획 입력오류 확인",IF(AND($AQ100&lt;&gt;"",$AG100&lt;&gt;"구리병원",IF(TRIM($J100&amp;"")="",0,SUMPRODUCT((입력_파견수련계획!$Q$4:$Q$803=TRIM($J100&amp;""))*(입력_파견수련계획!$S$4:$S$803="구리병원")*입력_파견수련계획!$W$4:$W$803))=0),"구리 근무자명단에만 있음(파견수련계획 확인)",IF(AND($AC100&lt;&gt;"",$U100&lt;&gt;"파견중",$N100&lt;&gt;$AE100),"인턴 타지역 근무: 파견 여부 확인","정상")))))))))</f>
        <v/>
      </c>
      <c r="AA100" s="5" t="n"/>
      <c r="AB100" s="10">
        <f>IF($B100="","",IFERROR(MATCH($B100,입력_기본자료!$B$2:$B$1001,0),IFERROR(MATCH($B100&amp;"",입력_기본자료!$B$2:$B$1001,0),IFERROR(MATCH(VALUE($B100),입력_기본자료!$B$2:$B$1001,0),""))))</f>
        <v/>
      </c>
      <c r="AC100" s="10">
        <f>IF($B100="","",IFERROR(MATCH($B100,입력_인턴근무계획!$D$3:$D$402,0),IFERROR(MATCH($B100&amp;"",입력_인턴근무계획!$D$3:$D$402,0),IFERROR(MATCH(VALUE($B100),입력_인턴근무계획!$D$3:$D$402,0),""))))</f>
        <v/>
      </c>
      <c r="AD100" s="10">
        <f>IF(OR($AC100="",출력_인턴현황!$G$3=""),"",INDEX(입력_인턴근무계획!$M$3:$R$402,$AC100,출력_인턴현황!$G$3)&amp;"")</f>
        <v/>
      </c>
      <c r="AE100" s="10">
        <f>IF($B100="","",IF($M100&lt;&gt;"",$M100,IF(IF($AQ100="",FALSE,INDEX(출력_구리근무자!$J$6:$J$305,$AQ100)="구리독자"),"구리병원",IF($AF100&lt;&gt;"",IF(LEFT(INDEX(입력_파견수련계획!$R$4:$R$803,$AF100),1)&lt;&gt;"⚠",INDEX(입력_파견수련계획!$R$4:$R$803,$AF100),IF($H100="","",IF(RIGHT($H100,2)="병원",$H100,$H100&amp;"병원"))),IF($H100="","",IF(RIGHT($H100,2)="병원",$H100,$H100&amp;"병원"))))))</f>
        <v/>
      </c>
      <c r="AF100" s="10">
        <f>IF(OR($B100="",TRIM($J100&amp;"")=""),"",IFERROR(MATCH(TRIM($J100&amp;"")&amp;"|파견중",입력_파견수련계획!$Y$4:$Y$803,0),IFERROR(MATCH(TRIM($J100&amp;"")&amp;"|파견예정",입력_파견수련계획!$Y$4:$Y$803,0),IFERROR(MATCH(TRIM($J100&amp;"")&amp;"|파견종료",입력_파견수련계획!$Y$4:$Y$803,0),""))))</f>
        <v/>
      </c>
      <c r="AG100" s="10">
        <f>IF($B100="","",IF(AND(IF(OR($AC100="",출력_인턴현황!$K$2=""),"",INDEX(입력_인턴근무계획!$M$3:$R$402,$AC100,출력_인턴현황!$K$2)&amp;"")&lt;&gt;"",LEFT(IF(OR($AC100="",출력_인턴현황!$K$2=""),"",INDEX(입력_인턴근무계획!$M$3:$R$402,$AC100,출력_인턴현황!$K$2)&amp;""),1)&lt;&gt;"⚠"),LEFT(IF(OR($AC100="",출력_인턴현황!$K$2=""),"",INDEX(입력_인턴근무계획!$M$3:$R$402,$AC100,출력_인턴현황!$K$2)&amp;""),FIND(" ",IF(OR($AC100="",출력_인턴현황!$K$2=""),"",INDEX(입력_인턴근무계획!$M$3:$R$402,$AC100,출력_인턴현황!$K$2)&amp;""))-1),$AE100))</f>
        <v/>
      </c>
      <c r="AH100" s="17">
        <f>IF($B100="","",IF($AQ100&lt;&gt;"",MAX(0,DAY(EOMONTH(출력_요약!$B$3,0))-N($AR100)),IF(TRIM($J100&amp;"")="",0,SUMPRODUCT((입력_파견수련계획!$Q$4:$Q$803=TRIM($J100&amp;""))*(입력_파견수련계획!$S$4:$S$803="서울병원")*입력_파견수련계획!$W$4:$W$803))+IF($AG100="서울병원",MAX(0,DAY(EOMONTH(출력_요약!$B$3,0))-N($X100)),0)))</f>
        <v/>
      </c>
      <c r="AI100" s="17">
        <f>IF($B100="","",IF($AQ100&lt;&gt;"",N($AR100),IF(TRIM($J100&amp;"")="",0,SUMPRODUCT((입력_파견수련계획!$Q$4:$Q$803=TRIM($J100&amp;""))*(입력_파견수련계획!$S$4:$S$803="구리병원")*입력_파견수련계획!$W$4:$W$803))+IF($AG100="구리병원",MAX(0,DAY(EOMONTH(출력_요약!$B$3,0))-N($X100)),0)))</f>
        <v/>
      </c>
      <c r="AJ100" s="10">
        <f>IF(OR($B100="",TRIM($J100&amp;"")=""),"",IFERROR(MATCH(TRIM($J100&amp;"")&amp;"|월",입력_파견수련계획!$Z$4:$Z$803,0),""))</f>
        <v/>
      </c>
      <c r="AK100" s="10">
        <f>IF(OR($B100="",TRIM($J100&amp;"")=""),"",IFERROR(MATCH(TRIM($J100&amp;"")&amp;"|다기관",입력_파견수련계획!$AE$4:$AE$803,0),""))</f>
        <v/>
      </c>
      <c r="AL100" s="10">
        <f>IF($AK100="","","다기관 "&amp;TEXT(INDEX(입력_파견수련계획!$AB$4:$AB$803,$AK100),"yyyy-mm-dd")&amp;"~"&amp;IF(ISNUMBER(INDEX(입력_파견수련계획!$AC$4:$AC$803,$AK100)),TEXT(INDEX(입력_파견수련계획!$AC$4:$AC$803,$AK100),"yyyy-mm-dd"),""))</f>
        <v/>
      </c>
      <c r="AM100" s="10">
        <f>IF($Y100="서울병원",COUNTIF($Y$2:$Y100,"서울병원"),"")</f>
        <v/>
      </c>
      <c r="AN100" s="10">
        <f>IF(LEFT($Y100,1)="⚠",COUNTIF($Y$2:$Y100,"⚠*"),"")</f>
        <v/>
      </c>
      <c r="AO100" s="10">
        <f>IF(OR($B100="",$Y100=""),"",IF(IF(TRIM($J100&amp;"")="",0,SUMPRODUCT((입력_파견수련계획!$Q$4:$Q$803=TRIM($J100&amp;""))*입력_파견수련계획!$AD$4:$AD$803))&gt;0,"다기관 기간 → 소속병원 지급",IF(AND(N($X100)&lt;=0,$AQ100=""),"파견 없음 → 그 달 근무병원 지급",IF($AH100+$AI100=DAY(EOMONTH(출력_요약!$B$3,0)),"서울 "&amp;$AH100&amp;"일 / 구리 "&amp;$AI100&amp;"일"&amp;IF($AQ100&lt;&gt;""," (구리 근무자명단 반영)","")&amp;" → 15일 이상 근무 병원 지급","타 병원 포함 → "&amp;IF($AJ100="","소속",INDEX(입력_파견수련계획!$T$4:$T$803,$AJ100))&amp;" 규칙"))))</f>
        <v/>
      </c>
      <c r="AP100" s="10">
        <f>IF($B100="","",$C100&amp;"|"&amp;$F100)</f>
        <v/>
      </c>
      <c r="AQ100" s="10">
        <f>IF($B100="","",IFERROR(MATCH(ROW()-1,출력_구리근무자!$K$6:$K$305,0),""))</f>
        <v/>
      </c>
      <c r="AR100" s="10">
        <f>IF($AQ100="","",INDEX(출력_구리근무자!$H$6:$H$305,$AQ100))</f>
        <v/>
      </c>
    </row>
    <row r="101">
      <c r="A101" s="10">
        <f>IF(B101="","",ROW()-1)</f>
        <v/>
      </c>
      <c r="B101" s="19" t="n"/>
      <c r="C101" s="10">
        <f>IF($AB101="","",IF(INDEX(입력_기본자료!$C$2:$C$1001,$AB101)="","",INDEX(입력_기본자료!$C$2:$C$1001,$AB101)))</f>
        <v/>
      </c>
      <c r="D101" s="10">
        <f>IF($AB101="","",IF(INDEX(입력_기본자료!$J$2:$J$1001,$AB101)="","",INDEX(입력_기본자료!$J$2:$J$1001,$AB101)))</f>
        <v/>
      </c>
      <c r="E101" s="11">
        <f>IF($AB101="","",IF(INDEX(입력_기본자료!$K$2:$K$1001,$AB101)="","",IF(NOT(ISNUMBER(INDEX(입력_기본자료!$K$2:$K$1001,$AB101))),INDEX(입력_기본자료!$K$2:$K$1001,$AB101),IF(INDEX(입력_기본자료!$K$2:$K$1001,$AB101)&lt;1000000,INDEX(입력_기본자료!$K$2:$K$1001,$AB101),IF(AND(INDEX(입력_기본자료!$K$2:$K$1001,$AB101)&gt;=10000101,INT(MOD(INDEX(입력_기본자료!$K$2:$K$1001,$AB101),10000)/100)&gt;=1,INT(MOD(INDEX(입력_기본자료!$K$2:$K$1001,$AB101),10000)/100)&lt;=12,MOD(INDEX(입력_기본자료!$K$2:$K$1001,$AB101),100)&gt;=1,MOD(INDEX(입력_기본자료!$K$2:$K$1001,$AB101),100)&lt;=31),DATE(INT(INDEX(입력_기본자료!$K$2:$K$1001,$AB101)/10000),INT(MOD(INDEX(입력_기본자료!$K$2:$K$1001,$AB101),10000)/100),MOD(INDEX(입력_기본자료!$K$2:$K$1001,$AB101),100)),INDEX(입력_기본자료!$K$2:$K$1001,$AB101)&amp;"")))))</f>
        <v/>
      </c>
      <c r="F101" s="10">
        <f>IF($AB101="","",IF(INDEX(입력_기본자료!$D$2:$D$1001,$AB101)="","",INDEX(입력_기본자료!$D$2:$D$1001,$AB101)))</f>
        <v/>
      </c>
      <c r="G101" s="10">
        <f>IF($AB101="","",IF(INDEX(입력_기본자료!$E$2:$E$1001,$AB101)="","",INDEX(입력_기본자료!$E$2:$E$1001,$AB101)))</f>
        <v/>
      </c>
      <c r="H101" s="10">
        <f>IF($AB101="","",IF(INDEX(입력_기본자료!$F$2:$F$1001,$AB101)="","",INDEX(입력_기본자료!$F$2:$F$1001,$AB101)))</f>
        <v/>
      </c>
      <c r="I101" s="11">
        <f>IF($AB101="","",IF(INDEX(입력_기본자료!$G$2:$G$1001,$AB101)="","",IF(NOT(ISNUMBER(INDEX(입력_기본자료!$G$2:$G$1001,$AB101))),INDEX(입력_기본자료!$G$2:$G$1001,$AB101),IF(INDEX(입력_기본자료!$G$2:$G$1001,$AB101)&lt;1000000,INDEX(입력_기본자료!$G$2:$G$1001,$AB101),IF(AND(INDEX(입력_기본자료!$G$2:$G$1001,$AB101)&gt;=10000101,INT(MOD(INDEX(입력_기본자료!$G$2:$G$1001,$AB101),10000)/100)&gt;=1,INT(MOD(INDEX(입력_기본자료!$G$2:$G$1001,$AB101),10000)/100)&lt;=12,MOD(INDEX(입력_기본자료!$G$2:$G$1001,$AB101),100)&gt;=1,MOD(INDEX(입력_기본자료!$G$2:$G$1001,$AB101),100)&lt;=31),DATE(INT(INDEX(입력_기본자료!$G$2:$G$1001,$AB101)/10000),INT(MOD(INDEX(입력_기본자료!$G$2:$G$1001,$AB101),10000)/100),MOD(INDEX(입력_기본자료!$G$2:$G$1001,$AB101),100)),INDEX(입력_기본자료!$G$2:$G$1001,$AB101)&amp;"")))))</f>
        <v/>
      </c>
      <c r="J101" s="10">
        <f>IF($AB101="","",IF(INDEX(입력_기본자료!$H$2:$H$1001,$AB101)="","",INDEX(입력_기본자료!$H$2:$H$1001,$AB101)))</f>
        <v/>
      </c>
      <c r="K101" s="10">
        <f>IF($AB101="","",IF(INDEX(입력_기본자료!$I$2:$I$1001,$AB101)="","",INDEX(입력_기본자료!$I$2:$I$1001,$AB101)))</f>
        <v/>
      </c>
      <c r="L101" s="10">
        <f>IF($AB101="","",IF(INDEX(입력_기본자료!$A$2:$A$1001,$AB101)="","",INDEX(입력_기본자료!$A$2:$A$1001,$AB101)))</f>
        <v/>
      </c>
      <c r="M101" s="15" t="n"/>
      <c r="N101" s="10">
        <f>IF($B101="","",IF(AND($U101="파견중",$Q101&lt;&gt;""),$Q101,IF(AND($AD101&lt;&gt;"",LEFT($AD101,1)&lt;&gt;"⚠"),LEFT($AD101,FIND(" ",$AD101)-1),IF($H101="","",IF(RIGHT($H101,2)="병원",$H101,$H101&amp;"병원")))))</f>
        <v/>
      </c>
      <c r="O101" s="10">
        <f>IF($B101="","",IF(AND($U101="파견중",$Q101&lt;&gt;""),IF($R101&lt;&gt;"",$R101,"파견과 미입력"),IF(AND($AD101&lt;&gt;"",LEFT($AD101,1)&lt;&gt;"⚠"),MID($AD101,FIND(" ",$AD101)+1,60),IF($F101="","",IF($F101="인턴","수련교육부(인턴)",$F101)))))</f>
        <v/>
      </c>
      <c r="P101" s="10">
        <f>IF($B101="","",IF($AK101&lt;&gt;"",IF(AND(TODAY()&gt;=INDEX(입력_파견수련계획!$AB$4:$AB$803,$AK101),OR(NOT(ISNUMBER(INDEX(입력_파견수련계획!$AC$4:$AC$803,$AK101))),TODAY()&lt;=INDEX(입력_파견수련계획!$AC$4:$AC$803,$AK101))),"다기관",IF($AF101="","",INDEX(입력_파견수련계획!$T$4:$T$803,$AF101))),IF($AF101="","",INDEX(입력_파견수련계획!$T$4:$T$803,$AF101))))</f>
        <v/>
      </c>
      <c r="Q101" s="10">
        <f>IF($AF101="","",INDEX(입력_파견수련계획!$S$4:$S$803,$AF101))</f>
        <v/>
      </c>
      <c r="R101" s="10">
        <f>IF($AF101="","",INDEX(입력_파견수련계획!$U$4:$U$803,$AF101))</f>
        <v/>
      </c>
      <c r="S101" s="11">
        <f>IF($AF101="","",IF(INDEX(입력_파견수련계획!$H$4:$H$803,$AF101)="","",INDEX(입력_파견수련계획!$H$4:$H$803,$AF101)))</f>
        <v/>
      </c>
      <c r="T101" s="11">
        <f>IF($AF101="","",IF(INDEX(입력_파견수련계획!$I$4:$I$803,$AF101)="","",INDEX(입력_파견수련계획!$I$4:$I$803,$AF101)))</f>
        <v/>
      </c>
      <c r="U101" s="10">
        <f>IF($AF101="","",INDEX(입력_파견수련계획!$X$4:$X$803,$AF101))</f>
        <v/>
      </c>
      <c r="V101" s="17">
        <f>IF($AF101="","",INDEX(입력_파견수련계획!$V$4:$V$803,$AF101))</f>
        <v/>
      </c>
      <c r="W101" s="17">
        <f>IF(AND($U101="파견중",$T101&lt;&gt;""),$T101-TODAY(),"")</f>
        <v/>
      </c>
      <c r="X101" s="17">
        <f>IF(OR($B101="",TRIM($J101&amp;"")=""),"",SUMPRODUCT((입력_파견수련계획!$Q$4:$Q$803=TRIM($J101&amp;""))*입력_파견수련계획!$W$4:$W$803))</f>
        <v/>
      </c>
      <c r="Y101" s="10">
        <f>IF($B101="","",IF($AG101="","",IF(IF(TRIM($J101&amp;"")="",0,SUMPRODUCT((입력_파견수련계획!$Q$4:$Q$803=TRIM($J101&amp;""))*입력_파견수련계획!$AD$4:$AD$803))&gt;0,$AE101,IF(AND(N($X101)&lt;=0,$AQ101=""),$AG101,IF($AH101+$AI101=DAY(EOMONTH(출력_요약!$B$3,0)),IF(AND($AH101&gt;=출력_요약!$E$3,$AI101&lt;출력_요약!$E$3),"서울병원",IF(AND($AI101&gt;=출력_요약!$E$3,$AH101&lt;출력_요약!$E$3),"구리병원","⚠15일 판정불가(서울 "&amp;$AH101&amp;"일/구리 "&amp;$AI101&amp;"일)")),IF($AJ101="",$AE101,IF(INDEX(입력_파견수련계획!$T$4:$T$803,$AJ101)="통합수련",INDEX(입력_파견수련계획!$S$4:$S$803,$AJ101),$AE101)))))))</f>
        <v/>
      </c>
      <c r="Z101" s="20">
        <f>IF($B101="","",IF($AB101="","기본자료에 없는 사번",IF(COUNTIF($B$2:$B$401,$B101)&gt;1,"중복 사번",IF($AE101="","소속(입사장소) 입력",IF(IF(TRIM($J101&amp;"")="",0,SUMPRODUCT((입력_파견수련계획!$Q$4:$Q$803=TRIM($J101&amp;""))*(입력_파견수련계획!$AA$4:$AA$803&lt;&gt;"")))&gt;0,"파견수련계획 입력오류 확인",IF(LEFT($Y101,1)="⚠","서울·구리 15일 판정 불가(양쪽 모두 이상/미만)",IF(IF($AC101="",0,N(INDEX(입력_인턴근무계획!$T$3:$T$402,$AC101)))&gt;0,"인턴계획 입력오류 확인",IF(AND($AQ101&lt;&gt;"",$AG101&lt;&gt;"구리병원",IF(TRIM($J101&amp;"")="",0,SUMPRODUCT((입력_파견수련계획!$Q$4:$Q$803=TRIM($J101&amp;""))*(입력_파견수련계획!$S$4:$S$803="구리병원")*입력_파견수련계획!$W$4:$W$803))=0),"구리 근무자명단에만 있음(파견수련계획 확인)",IF(AND($AC101&lt;&gt;"",$U101&lt;&gt;"파견중",$N101&lt;&gt;$AE101),"인턴 타지역 근무: 파견 여부 확인","정상")))))))))</f>
        <v/>
      </c>
      <c r="AA101" s="5" t="n"/>
      <c r="AB101" s="10">
        <f>IF($B101="","",IFERROR(MATCH($B101,입력_기본자료!$B$2:$B$1001,0),IFERROR(MATCH($B101&amp;"",입력_기본자료!$B$2:$B$1001,0),IFERROR(MATCH(VALUE($B101),입력_기본자료!$B$2:$B$1001,0),""))))</f>
        <v/>
      </c>
      <c r="AC101" s="10">
        <f>IF($B101="","",IFERROR(MATCH($B101,입력_인턴근무계획!$D$3:$D$402,0),IFERROR(MATCH($B101&amp;"",입력_인턴근무계획!$D$3:$D$402,0),IFERROR(MATCH(VALUE($B101),입력_인턴근무계획!$D$3:$D$402,0),""))))</f>
        <v/>
      </c>
      <c r="AD101" s="10">
        <f>IF(OR($AC101="",출력_인턴현황!$G$3=""),"",INDEX(입력_인턴근무계획!$M$3:$R$402,$AC101,출력_인턴현황!$G$3)&amp;"")</f>
        <v/>
      </c>
      <c r="AE101" s="10">
        <f>IF($B101="","",IF($M101&lt;&gt;"",$M101,IF(IF($AQ101="",FALSE,INDEX(출력_구리근무자!$J$6:$J$305,$AQ101)="구리독자"),"구리병원",IF($AF101&lt;&gt;"",IF(LEFT(INDEX(입력_파견수련계획!$R$4:$R$803,$AF101),1)&lt;&gt;"⚠",INDEX(입력_파견수련계획!$R$4:$R$803,$AF101),IF($H101="","",IF(RIGHT($H101,2)="병원",$H101,$H101&amp;"병원"))),IF($H101="","",IF(RIGHT($H101,2)="병원",$H101,$H101&amp;"병원"))))))</f>
        <v/>
      </c>
      <c r="AF101" s="10">
        <f>IF(OR($B101="",TRIM($J101&amp;"")=""),"",IFERROR(MATCH(TRIM($J101&amp;"")&amp;"|파견중",입력_파견수련계획!$Y$4:$Y$803,0),IFERROR(MATCH(TRIM($J101&amp;"")&amp;"|파견예정",입력_파견수련계획!$Y$4:$Y$803,0),IFERROR(MATCH(TRIM($J101&amp;"")&amp;"|파견종료",입력_파견수련계획!$Y$4:$Y$803,0),""))))</f>
        <v/>
      </c>
      <c r="AG101" s="10">
        <f>IF($B101="","",IF(AND(IF(OR($AC101="",출력_인턴현황!$K$2=""),"",INDEX(입력_인턴근무계획!$M$3:$R$402,$AC101,출력_인턴현황!$K$2)&amp;"")&lt;&gt;"",LEFT(IF(OR($AC101="",출력_인턴현황!$K$2=""),"",INDEX(입력_인턴근무계획!$M$3:$R$402,$AC101,출력_인턴현황!$K$2)&amp;""),1)&lt;&gt;"⚠"),LEFT(IF(OR($AC101="",출력_인턴현황!$K$2=""),"",INDEX(입력_인턴근무계획!$M$3:$R$402,$AC101,출력_인턴현황!$K$2)&amp;""),FIND(" ",IF(OR($AC101="",출력_인턴현황!$K$2=""),"",INDEX(입력_인턴근무계획!$M$3:$R$402,$AC101,출력_인턴현황!$K$2)&amp;""))-1),$AE101))</f>
        <v/>
      </c>
      <c r="AH101" s="17">
        <f>IF($B101="","",IF($AQ101&lt;&gt;"",MAX(0,DAY(EOMONTH(출력_요약!$B$3,0))-N($AR101)),IF(TRIM($J101&amp;"")="",0,SUMPRODUCT((입력_파견수련계획!$Q$4:$Q$803=TRIM($J101&amp;""))*(입력_파견수련계획!$S$4:$S$803="서울병원")*입력_파견수련계획!$W$4:$W$803))+IF($AG101="서울병원",MAX(0,DAY(EOMONTH(출력_요약!$B$3,0))-N($X101)),0)))</f>
        <v/>
      </c>
      <c r="AI101" s="17">
        <f>IF($B101="","",IF($AQ101&lt;&gt;"",N($AR101),IF(TRIM($J101&amp;"")="",0,SUMPRODUCT((입력_파견수련계획!$Q$4:$Q$803=TRIM($J101&amp;""))*(입력_파견수련계획!$S$4:$S$803="구리병원")*입력_파견수련계획!$W$4:$W$803))+IF($AG101="구리병원",MAX(0,DAY(EOMONTH(출력_요약!$B$3,0))-N($X101)),0)))</f>
        <v/>
      </c>
      <c r="AJ101" s="10">
        <f>IF(OR($B101="",TRIM($J101&amp;"")=""),"",IFERROR(MATCH(TRIM($J101&amp;"")&amp;"|월",입력_파견수련계획!$Z$4:$Z$803,0),""))</f>
        <v/>
      </c>
      <c r="AK101" s="10">
        <f>IF(OR($B101="",TRIM($J101&amp;"")=""),"",IFERROR(MATCH(TRIM($J101&amp;"")&amp;"|다기관",입력_파견수련계획!$AE$4:$AE$803,0),""))</f>
        <v/>
      </c>
      <c r="AL101" s="10">
        <f>IF($AK101="","","다기관 "&amp;TEXT(INDEX(입력_파견수련계획!$AB$4:$AB$803,$AK101),"yyyy-mm-dd")&amp;"~"&amp;IF(ISNUMBER(INDEX(입력_파견수련계획!$AC$4:$AC$803,$AK101)),TEXT(INDEX(입력_파견수련계획!$AC$4:$AC$803,$AK101),"yyyy-mm-dd"),""))</f>
        <v/>
      </c>
      <c r="AM101" s="10">
        <f>IF($Y101="서울병원",COUNTIF($Y$2:$Y101,"서울병원"),"")</f>
        <v/>
      </c>
      <c r="AN101" s="10">
        <f>IF(LEFT($Y101,1)="⚠",COUNTIF($Y$2:$Y101,"⚠*"),"")</f>
        <v/>
      </c>
      <c r="AO101" s="10">
        <f>IF(OR($B101="",$Y101=""),"",IF(IF(TRIM($J101&amp;"")="",0,SUMPRODUCT((입력_파견수련계획!$Q$4:$Q$803=TRIM($J101&amp;""))*입력_파견수련계획!$AD$4:$AD$803))&gt;0,"다기관 기간 → 소속병원 지급",IF(AND(N($X101)&lt;=0,$AQ101=""),"파견 없음 → 그 달 근무병원 지급",IF($AH101+$AI101=DAY(EOMONTH(출력_요약!$B$3,0)),"서울 "&amp;$AH101&amp;"일 / 구리 "&amp;$AI101&amp;"일"&amp;IF($AQ101&lt;&gt;""," (구리 근무자명단 반영)","")&amp;" → 15일 이상 근무 병원 지급","타 병원 포함 → "&amp;IF($AJ101="","소속",INDEX(입력_파견수련계획!$T$4:$T$803,$AJ101))&amp;" 규칙"))))</f>
        <v/>
      </c>
      <c r="AP101" s="10">
        <f>IF($B101="","",$C101&amp;"|"&amp;$F101)</f>
        <v/>
      </c>
      <c r="AQ101" s="10">
        <f>IF($B101="","",IFERROR(MATCH(ROW()-1,출력_구리근무자!$K$6:$K$305,0),""))</f>
        <v/>
      </c>
      <c r="AR101" s="10">
        <f>IF($AQ101="","",INDEX(출력_구리근무자!$H$6:$H$305,$AQ101))</f>
        <v/>
      </c>
    </row>
    <row r="102">
      <c r="A102" s="10">
        <f>IF(B102="","",ROW()-1)</f>
        <v/>
      </c>
      <c r="B102" s="19" t="n"/>
      <c r="C102" s="10">
        <f>IF($AB102="","",IF(INDEX(입력_기본자료!$C$2:$C$1001,$AB102)="","",INDEX(입력_기본자료!$C$2:$C$1001,$AB102)))</f>
        <v/>
      </c>
      <c r="D102" s="10">
        <f>IF($AB102="","",IF(INDEX(입력_기본자료!$J$2:$J$1001,$AB102)="","",INDEX(입력_기본자료!$J$2:$J$1001,$AB102)))</f>
        <v/>
      </c>
      <c r="E102" s="11">
        <f>IF($AB102="","",IF(INDEX(입력_기본자료!$K$2:$K$1001,$AB102)="","",IF(NOT(ISNUMBER(INDEX(입력_기본자료!$K$2:$K$1001,$AB102))),INDEX(입력_기본자료!$K$2:$K$1001,$AB102),IF(INDEX(입력_기본자료!$K$2:$K$1001,$AB102)&lt;1000000,INDEX(입력_기본자료!$K$2:$K$1001,$AB102),IF(AND(INDEX(입력_기본자료!$K$2:$K$1001,$AB102)&gt;=10000101,INT(MOD(INDEX(입력_기본자료!$K$2:$K$1001,$AB102),10000)/100)&gt;=1,INT(MOD(INDEX(입력_기본자료!$K$2:$K$1001,$AB102),10000)/100)&lt;=12,MOD(INDEX(입력_기본자료!$K$2:$K$1001,$AB102),100)&gt;=1,MOD(INDEX(입력_기본자료!$K$2:$K$1001,$AB102),100)&lt;=31),DATE(INT(INDEX(입력_기본자료!$K$2:$K$1001,$AB102)/10000),INT(MOD(INDEX(입력_기본자료!$K$2:$K$1001,$AB102),10000)/100),MOD(INDEX(입력_기본자료!$K$2:$K$1001,$AB102),100)),INDEX(입력_기본자료!$K$2:$K$1001,$AB102)&amp;"")))))</f>
        <v/>
      </c>
      <c r="F102" s="10">
        <f>IF($AB102="","",IF(INDEX(입력_기본자료!$D$2:$D$1001,$AB102)="","",INDEX(입력_기본자료!$D$2:$D$1001,$AB102)))</f>
        <v/>
      </c>
      <c r="G102" s="10">
        <f>IF($AB102="","",IF(INDEX(입력_기본자료!$E$2:$E$1001,$AB102)="","",INDEX(입력_기본자료!$E$2:$E$1001,$AB102)))</f>
        <v/>
      </c>
      <c r="H102" s="10">
        <f>IF($AB102="","",IF(INDEX(입력_기본자료!$F$2:$F$1001,$AB102)="","",INDEX(입력_기본자료!$F$2:$F$1001,$AB102)))</f>
        <v/>
      </c>
      <c r="I102" s="11">
        <f>IF($AB102="","",IF(INDEX(입력_기본자료!$G$2:$G$1001,$AB102)="","",IF(NOT(ISNUMBER(INDEX(입력_기본자료!$G$2:$G$1001,$AB102))),INDEX(입력_기본자료!$G$2:$G$1001,$AB102),IF(INDEX(입력_기본자료!$G$2:$G$1001,$AB102)&lt;1000000,INDEX(입력_기본자료!$G$2:$G$1001,$AB102),IF(AND(INDEX(입력_기본자료!$G$2:$G$1001,$AB102)&gt;=10000101,INT(MOD(INDEX(입력_기본자료!$G$2:$G$1001,$AB102),10000)/100)&gt;=1,INT(MOD(INDEX(입력_기본자료!$G$2:$G$1001,$AB102),10000)/100)&lt;=12,MOD(INDEX(입력_기본자료!$G$2:$G$1001,$AB102),100)&gt;=1,MOD(INDEX(입력_기본자료!$G$2:$G$1001,$AB102),100)&lt;=31),DATE(INT(INDEX(입력_기본자료!$G$2:$G$1001,$AB102)/10000),INT(MOD(INDEX(입력_기본자료!$G$2:$G$1001,$AB102),10000)/100),MOD(INDEX(입력_기본자료!$G$2:$G$1001,$AB102),100)),INDEX(입력_기본자료!$G$2:$G$1001,$AB102)&amp;"")))))</f>
        <v/>
      </c>
      <c r="J102" s="10">
        <f>IF($AB102="","",IF(INDEX(입력_기본자료!$H$2:$H$1001,$AB102)="","",INDEX(입력_기본자료!$H$2:$H$1001,$AB102)))</f>
        <v/>
      </c>
      <c r="K102" s="10">
        <f>IF($AB102="","",IF(INDEX(입력_기본자료!$I$2:$I$1001,$AB102)="","",INDEX(입력_기본자료!$I$2:$I$1001,$AB102)))</f>
        <v/>
      </c>
      <c r="L102" s="10">
        <f>IF($AB102="","",IF(INDEX(입력_기본자료!$A$2:$A$1001,$AB102)="","",INDEX(입력_기본자료!$A$2:$A$1001,$AB102)))</f>
        <v/>
      </c>
      <c r="M102" s="15" t="n"/>
      <c r="N102" s="10">
        <f>IF($B102="","",IF(AND($U102="파견중",$Q102&lt;&gt;""),$Q102,IF(AND($AD102&lt;&gt;"",LEFT($AD102,1)&lt;&gt;"⚠"),LEFT($AD102,FIND(" ",$AD102)-1),IF($H102="","",IF(RIGHT($H102,2)="병원",$H102,$H102&amp;"병원")))))</f>
        <v/>
      </c>
      <c r="O102" s="10">
        <f>IF($B102="","",IF(AND($U102="파견중",$Q102&lt;&gt;""),IF($R102&lt;&gt;"",$R102,"파견과 미입력"),IF(AND($AD102&lt;&gt;"",LEFT($AD102,1)&lt;&gt;"⚠"),MID($AD102,FIND(" ",$AD102)+1,60),IF($F102="","",IF($F102="인턴","수련교육부(인턴)",$F102)))))</f>
        <v/>
      </c>
      <c r="P102" s="10">
        <f>IF($B102="","",IF($AK102&lt;&gt;"",IF(AND(TODAY()&gt;=INDEX(입력_파견수련계획!$AB$4:$AB$803,$AK102),OR(NOT(ISNUMBER(INDEX(입력_파견수련계획!$AC$4:$AC$803,$AK102))),TODAY()&lt;=INDEX(입력_파견수련계획!$AC$4:$AC$803,$AK102))),"다기관",IF($AF102="","",INDEX(입력_파견수련계획!$T$4:$T$803,$AF102))),IF($AF102="","",INDEX(입력_파견수련계획!$T$4:$T$803,$AF102))))</f>
        <v/>
      </c>
      <c r="Q102" s="10">
        <f>IF($AF102="","",INDEX(입력_파견수련계획!$S$4:$S$803,$AF102))</f>
        <v/>
      </c>
      <c r="R102" s="10">
        <f>IF($AF102="","",INDEX(입력_파견수련계획!$U$4:$U$803,$AF102))</f>
        <v/>
      </c>
      <c r="S102" s="11">
        <f>IF($AF102="","",IF(INDEX(입력_파견수련계획!$H$4:$H$803,$AF102)="","",INDEX(입력_파견수련계획!$H$4:$H$803,$AF102)))</f>
        <v/>
      </c>
      <c r="T102" s="11">
        <f>IF($AF102="","",IF(INDEX(입력_파견수련계획!$I$4:$I$803,$AF102)="","",INDEX(입력_파견수련계획!$I$4:$I$803,$AF102)))</f>
        <v/>
      </c>
      <c r="U102" s="10">
        <f>IF($AF102="","",INDEX(입력_파견수련계획!$X$4:$X$803,$AF102))</f>
        <v/>
      </c>
      <c r="V102" s="17">
        <f>IF($AF102="","",INDEX(입력_파견수련계획!$V$4:$V$803,$AF102))</f>
        <v/>
      </c>
      <c r="W102" s="17">
        <f>IF(AND($U102="파견중",$T102&lt;&gt;""),$T102-TODAY(),"")</f>
        <v/>
      </c>
      <c r="X102" s="17">
        <f>IF(OR($B102="",TRIM($J102&amp;"")=""),"",SUMPRODUCT((입력_파견수련계획!$Q$4:$Q$803=TRIM($J102&amp;""))*입력_파견수련계획!$W$4:$W$803))</f>
        <v/>
      </c>
      <c r="Y102" s="10">
        <f>IF($B102="","",IF($AG102="","",IF(IF(TRIM($J102&amp;"")="",0,SUMPRODUCT((입력_파견수련계획!$Q$4:$Q$803=TRIM($J102&amp;""))*입력_파견수련계획!$AD$4:$AD$803))&gt;0,$AE102,IF(AND(N($X102)&lt;=0,$AQ102=""),$AG102,IF($AH102+$AI102=DAY(EOMONTH(출력_요약!$B$3,0)),IF(AND($AH102&gt;=출력_요약!$E$3,$AI102&lt;출력_요약!$E$3),"서울병원",IF(AND($AI102&gt;=출력_요약!$E$3,$AH102&lt;출력_요약!$E$3),"구리병원","⚠15일 판정불가(서울 "&amp;$AH102&amp;"일/구리 "&amp;$AI102&amp;"일)")),IF($AJ102="",$AE102,IF(INDEX(입력_파견수련계획!$T$4:$T$803,$AJ102)="통합수련",INDEX(입력_파견수련계획!$S$4:$S$803,$AJ102),$AE102)))))))</f>
        <v/>
      </c>
      <c r="Z102" s="20">
        <f>IF($B102="","",IF($AB102="","기본자료에 없는 사번",IF(COUNTIF($B$2:$B$401,$B102)&gt;1,"중복 사번",IF($AE102="","소속(입사장소) 입력",IF(IF(TRIM($J102&amp;"")="",0,SUMPRODUCT((입력_파견수련계획!$Q$4:$Q$803=TRIM($J102&amp;""))*(입력_파견수련계획!$AA$4:$AA$803&lt;&gt;"")))&gt;0,"파견수련계획 입력오류 확인",IF(LEFT($Y102,1)="⚠","서울·구리 15일 판정 불가(양쪽 모두 이상/미만)",IF(IF($AC102="",0,N(INDEX(입력_인턴근무계획!$T$3:$T$402,$AC102)))&gt;0,"인턴계획 입력오류 확인",IF(AND($AQ102&lt;&gt;"",$AG102&lt;&gt;"구리병원",IF(TRIM($J102&amp;"")="",0,SUMPRODUCT((입력_파견수련계획!$Q$4:$Q$803=TRIM($J102&amp;""))*(입력_파견수련계획!$S$4:$S$803="구리병원")*입력_파견수련계획!$W$4:$W$803))=0),"구리 근무자명단에만 있음(파견수련계획 확인)",IF(AND($AC102&lt;&gt;"",$U102&lt;&gt;"파견중",$N102&lt;&gt;$AE102),"인턴 타지역 근무: 파견 여부 확인","정상")))))))))</f>
        <v/>
      </c>
      <c r="AA102" s="5" t="n"/>
      <c r="AB102" s="10">
        <f>IF($B102="","",IFERROR(MATCH($B102,입력_기본자료!$B$2:$B$1001,0),IFERROR(MATCH($B102&amp;"",입력_기본자료!$B$2:$B$1001,0),IFERROR(MATCH(VALUE($B102),입력_기본자료!$B$2:$B$1001,0),""))))</f>
        <v/>
      </c>
      <c r="AC102" s="10">
        <f>IF($B102="","",IFERROR(MATCH($B102,입력_인턴근무계획!$D$3:$D$402,0),IFERROR(MATCH($B102&amp;"",입력_인턴근무계획!$D$3:$D$402,0),IFERROR(MATCH(VALUE($B102),입력_인턴근무계획!$D$3:$D$402,0),""))))</f>
        <v/>
      </c>
      <c r="AD102" s="10">
        <f>IF(OR($AC102="",출력_인턴현황!$G$3=""),"",INDEX(입력_인턴근무계획!$M$3:$R$402,$AC102,출력_인턴현황!$G$3)&amp;"")</f>
        <v/>
      </c>
      <c r="AE102" s="10">
        <f>IF($B102="","",IF($M102&lt;&gt;"",$M102,IF(IF($AQ102="",FALSE,INDEX(출력_구리근무자!$J$6:$J$305,$AQ102)="구리독자"),"구리병원",IF($AF102&lt;&gt;"",IF(LEFT(INDEX(입력_파견수련계획!$R$4:$R$803,$AF102),1)&lt;&gt;"⚠",INDEX(입력_파견수련계획!$R$4:$R$803,$AF102),IF($H102="","",IF(RIGHT($H102,2)="병원",$H102,$H102&amp;"병원"))),IF($H102="","",IF(RIGHT($H102,2)="병원",$H102,$H102&amp;"병원"))))))</f>
        <v/>
      </c>
      <c r="AF102" s="10">
        <f>IF(OR($B102="",TRIM($J102&amp;"")=""),"",IFERROR(MATCH(TRIM($J102&amp;"")&amp;"|파견중",입력_파견수련계획!$Y$4:$Y$803,0),IFERROR(MATCH(TRIM($J102&amp;"")&amp;"|파견예정",입력_파견수련계획!$Y$4:$Y$803,0),IFERROR(MATCH(TRIM($J102&amp;"")&amp;"|파견종료",입력_파견수련계획!$Y$4:$Y$803,0),""))))</f>
        <v/>
      </c>
      <c r="AG102" s="10">
        <f>IF($B102="","",IF(AND(IF(OR($AC102="",출력_인턴현황!$K$2=""),"",INDEX(입력_인턴근무계획!$M$3:$R$402,$AC102,출력_인턴현황!$K$2)&amp;"")&lt;&gt;"",LEFT(IF(OR($AC102="",출력_인턴현황!$K$2=""),"",INDEX(입력_인턴근무계획!$M$3:$R$402,$AC102,출력_인턴현황!$K$2)&amp;""),1)&lt;&gt;"⚠"),LEFT(IF(OR($AC102="",출력_인턴현황!$K$2=""),"",INDEX(입력_인턴근무계획!$M$3:$R$402,$AC102,출력_인턴현황!$K$2)&amp;""),FIND(" ",IF(OR($AC102="",출력_인턴현황!$K$2=""),"",INDEX(입력_인턴근무계획!$M$3:$R$402,$AC102,출력_인턴현황!$K$2)&amp;""))-1),$AE102))</f>
        <v/>
      </c>
      <c r="AH102" s="17">
        <f>IF($B102="","",IF($AQ102&lt;&gt;"",MAX(0,DAY(EOMONTH(출력_요약!$B$3,0))-N($AR102)),IF(TRIM($J102&amp;"")="",0,SUMPRODUCT((입력_파견수련계획!$Q$4:$Q$803=TRIM($J102&amp;""))*(입력_파견수련계획!$S$4:$S$803="서울병원")*입력_파견수련계획!$W$4:$W$803))+IF($AG102="서울병원",MAX(0,DAY(EOMONTH(출력_요약!$B$3,0))-N($X102)),0)))</f>
        <v/>
      </c>
      <c r="AI102" s="17">
        <f>IF($B102="","",IF($AQ102&lt;&gt;"",N($AR102),IF(TRIM($J102&amp;"")="",0,SUMPRODUCT((입력_파견수련계획!$Q$4:$Q$803=TRIM($J102&amp;""))*(입력_파견수련계획!$S$4:$S$803="구리병원")*입력_파견수련계획!$W$4:$W$803))+IF($AG102="구리병원",MAX(0,DAY(EOMONTH(출력_요약!$B$3,0))-N($X102)),0)))</f>
        <v/>
      </c>
      <c r="AJ102" s="10">
        <f>IF(OR($B102="",TRIM($J102&amp;"")=""),"",IFERROR(MATCH(TRIM($J102&amp;"")&amp;"|월",입력_파견수련계획!$Z$4:$Z$803,0),""))</f>
        <v/>
      </c>
      <c r="AK102" s="10">
        <f>IF(OR($B102="",TRIM($J102&amp;"")=""),"",IFERROR(MATCH(TRIM($J102&amp;"")&amp;"|다기관",입력_파견수련계획!$AE$4:$AE$803,0),""))</f>
        <v/>
      </c>
      <c r="AL102" s="10">
        <f>IF($AK102="","","다기관 "&amp;TEXT(INDEX(입력_파견수련계획!$AB$4:$AB$803,$AK102),"yyyy-mm-dd")&amp;"~"&amp;IF(ISNUMBER(INDEX(입력_파견수련계획!$AC$4:$AC$803,$AK102)),TEXT(INDEX(입력_파견수련계획!$AC$4:$AC$803,$AK102),"yyyy-mm-dd"),""))</f>
        <v/>
      </c>
      <c r="AM102" s="10">
        <f>IF($Y102="서울병원",COUNTIF($Y$2:$Y102,"서울병원"),"")</f>
        <v/>
      </c>
      <c r="AN102" s="10">
        <f>IF(LEFT($Y102,1)="⚠",COUNTIF($Y$2:$Y102,"⚠*"),"")</f>
        <v/>
      </c>
      <c r="AO102" s="10">
        <f>IF(OR($B102="",$Y102=""),"",IF(IF(TRIM($J102&amp;"")="",0,SUMPRODUCT((입력_파견수련계획!$Q$4:$Q$803=TRIM($J102&amp;""))*입력_파견수련계획!$AD$4:$AD$803))&gt;0,"다기관 기간 → 소속병원 지급",IF(AND(N($X102)&lt;=0,$AQ102=""),"파견 없음 → 그 달 근무병원 지급",IF($AH102+$AI102=DAY(EOMONTH(출력_요약!$B$3,0)),"서울 "&amp;$AH102&amp;"일 / 구리 "&amp;$AI102&amp;"일"&amp;IF($AQ102&lt;&gt;""," (구리 근무자명단 반영)","")&amp;" → 15일 이상 근무 병원 지급","타 병원 포함 → "&amp;IF($AJ102="","소속",INDEX(입력_파견수련계획!$T$4:$T$803,$AJ102))&amp;" 규칙"))))</f>
        <v/>
      </c>
      <c r="AP102" s="10">
        <f>IF($B102="","",$C102&amp;"|"&amp;$F102)</f>
        <v/>
      </c>
      <c r="AQ102" s="10">
        <f>IF($B102="","",IFERROR(MATCH(ROW()-1,출력_구리근무자!$K$6:$K$305,0),""))</f>
        <v/>
      </c>
      <c r="AR102" s="10">
        <f>IF($AQ102="","",INDEX(출력_구리근무자!$H$6:$H$305,$AQ102))</f>
        <v/>
      </c>
    </row>
    <row r="103">
      <c r="A103" s="10">
        <f>IF(B103="","",ROW()-1)</f>
        <v/>
      </c>
      <c r="B103" s="19" t="n"/>
      <c r="C103" s="10">
        <f>IF($AB103="","",IF(INDEX(입력_기본자료!$C$2:$C$1001,$AB103)="","",INDEX(입력_기본자료!$C$2:$C$1001,$AB103)))</f>
        <v/>
      </c>
      <c r="D103" s="10">
        <f>IF($AB103="","",IF(INDEX(입력_기본자료!$J$2:$J$1001,$AB103)="","",INDEX(입력_기본자료!$J$2:$J$1001,$AB103)))</f>
        <v/>
      </c>
      <c r="E103" s="11">
        <f>IF($AB103="","",IF(INDEX(입력_기본자료!$K$2:$K$1001,$AB103)="","",IF(NOT(ISNUMBER(INDEX(입력_기본자료!$K$2:$K$1001,$AB103))),INDEX(입력_기본자료!$K$2:$K$1001,$AB103),IF(INDEX(입력_기본자료!$K$2:$K$1001,$AB103)&lt;1000000,INDEX(입력_기본자료!$K$2:$K$1001,$AB103),IF(AND(INDEX(입력_기본자료!$K$2:$K$1001,$AB103)&gt;=10000101,INT(MOD(INDEX(입력_기본자료!$K$2:$K$1001,$AB103),10000)/100)&gt;=1,INT(MOD(INDEX(입력_기본자료!$K$2:$K$1001,$AB103),10000)/100)&lt;=12,MOD(INDEX(입력_기본자료!$K$2:$K$1001,$AB103),100)&gt;=1,MOD(INDEX(입력_기본자료!$K$2:$K$1001,$AB103),100)&lt;=31),DATE(INT(INDEX(입력_기본자료!$K$2:$K$1001,$AB103)/10000),INT(MOD(INDEX(입력_기본자료!$K$2:$K$1001,$AB103),10000)/100),MOD(INDEX(입력_기본자료!$K$2:$K$1001,$AB103),100)),INDEX(입력_기본자료!$K$2:$K$1001,$AB103)&amp;"")))))</f>
        <v/>
      </c>
      <c r="F103" s="10">
        <f>IF($AB103="","",IF(INDEX(입력_기본자료!$D$2:$D$1001,$AB103)="","",INDEX(입력_기본자료!$D$2:$D$1001,$AB103)))</f>
        <v/>
      </c>
      <c r="G103" s="10">
        <f>IF($AB103="","",IF(INDEX(입력_기본자료!$E$2:$E$1001,$AB103)="","",INDEX(입력_기본자료!$E$2:$E$1001,$AB103)))</f>
        <v/>
      </c>
      <c r="H103" s="10">
        <f>IF($AB103="","",IF(INDEX(입력_기본자료!$F$2:$F$1001,$AB103)="","",INDEX(입력_기본자료!$F$2:$F$1001,$AB103)))</f>
        <v/>
      </c>
      <c r="I103" s="11">
        <f>IF($AB103="","",IF(INDEX(입력_기본자료!$G$2:$G$1001,$AB103)="","",IF(NOT(ISNUMBER(INDEX(입력_기본자료!$G$2:$G$1001,$AB103))),INDEX(입력_기본자료!$G$2:$G$1001,$AB103),IF(INDEX(입력_기본자료!$G$2:$G$1001,$AB103)&lt;1000000,INDEX(입력_기본자료!$G$2:$G$1001,$AB103),IF(AND(INDEX(입력_기본자료!$G$2:$G$1001,$AB103)&gt;=10000101,INT(MOD(INDEX(입력_기본자료!$G$2:$G$1001,$AB103),10000)/100)&gt;=1,INT(MOD(INDEX(입력_기본자료!$G$2:$G$1001,$AB103),10000)/100)&lt;=12,MOD(INDEX(입력_기본자료!$G$2:$G$1001,$AB103),100)&gt;=1,MOD(INDEX(입력_기본자료!$G$2:$G$1001,$AB103),100)&lt;=31),DATE(INT(INDEX(입력_기본자료!$G$2:$G$1001,$AB103)/10000),INT(MOD(INDEX(입력_기본자료!$G$2:$G$1001,$AB103),10000)/100),MOD(INDEX(입력_기본자료!$G$2:$G$1001,$AB103),100)),INDEX(입력_기본자료!$G$2:$G$1001,$AB103)&amp;"")))))</f>
        <v/>
      </c>
      <c r="J103" s="10">
        <f>IF($AB103="","",IF(INDEX(입력_기본자료!$H$2:$H$1001,$AB103)="","",INDEX(입력_기본자료!$H$2:$H$1001,$AB103)))</f>
        <v/>
      </c>
      <c r="K103" s="10">
        <f>IF($AB103="","",IF(INDEX(입력_기본자료!$I$2:$I$1001,$AB103)="","",INDEX(입력_기본자료!$I$2:$I$1001,$AB103)))</f>
        <v/>
      </c>
      <c r="L103" s="10">
        <f>IF($AB103="","",IF(INDEX(입력_기본자료!$A$2:$A$1001,$AB103)="","",INDEX(입력_기본자료!$A$2:$A$1001,$AB103)))</f>
        <v/>
      </c>
      <c r="M103" s="15" t="n"/>
      <c r="N103" s="10">
        <f>IF($B103="","",IF(AND($U103="파견중",$Q103&lt;&gt;""),$Q103,IF(AND($AD103&lt;&gt;"",LEFT($AD103,1)&lt;&gt;"⚠"),LEFT($AD103,FIND(" ",$AD103)-1),IF($H103="","",IF(RIGHT($H103,2)="병원",$H103,$H103&amp;"병원")))))</f>
        <v/>
      </c>
      <c r="O103" s="10">
        <f>IF($B103="","",IF(AND($U103="파견중",$Q103&lt;&gt;""),IF($R103&lt;&gt;"",$R103,"파견과 미입력"),IF(AND($AD103&lt;&gt;"",LEFT($AD103,1)&lt;&gt;"⚠"),MID($AD103,FIND(" ",$AD103)+1,60),IF($F103="","",IF($F103="인턴","수련교육부(인턴)",$F103)))))</f>
        <v/>
      </c>
      <c r="P103" s="10">
        <f>IF($B103="","",IF($AK103&lt;&gt;"",IF(AND(TODAY()&gt;=INDEX(입력_파견수련계획!$AB$4:$AB$803,$AK103),OR(NOT(ISNUMBER(INDEX(입력_파견수련계획!$AC$4:$AC$803,$AK103))),TODAY()&lt;=INDEX(입력_파견수련계획!$AC$4:$AC$803,$AK103))),"다기관",IF($AF103="","",INDEX(입력_파견수련계획!$T$4:$T$803,$AF103))),IF($AF103="","",INDEX(입력_파견수련계획!$T$4:$T$803,$AF103))))</f>
        <v/>
      </c>
      <c r="Q103" s="10">
        <f>IF($AF103="","",INDEX(입력_파견수련계획!$S$4:$S$803,$AF103))</f>
        <v/>
      </c>
      <c r="R103" s="10">
        <f>IF($AF103="","",INDEX(입력_파견수련계획!$U$4:$U$803,$AF103))</f>
        <v/>
      </c>
      <c r="S103" s="11">
        <f>IF($AF103="","",IF(INDEX(입력_파견수련계획!$H$4:$H$803,$AF103)="","",INDEX(입력_파견수련계획!$H$4:$H$803,$AF103)))</f>
        <v/>
      </c>
      <c r="T103" s="11">
        <f>IF($AF103="","",IF(INDEX(입력_파견수련계획!$I$4:$I$803,$AF103)="","",INDEX(입력_파견수련계획!$I$4:$I$803,$AF103)))</f>
        <v/>
      </c>
      <c r="U103" s="10">
        <f>IF($AF103="","",INDEX(입력_파견수련계획!$X$4:$X$803,$AF103))</f>
        <v/>
      </c>
      <c r="V103" s="17">
        <f>IF($AF103="","",INDEX(입력_파견수련계획!$V$4:$V$803,$AF103))</f>
        <v/>
      </c>
      <c r="W103" s="17">
        <f>IF(AND($U103="파견중",$T103&lt;&gt;""),$T103-TODAY(),"")</f>
        <v/>
      </c>
      <c r="X103" s="17">
        <f>IF(OR($B103="",TRIM($J103&amp;"")=""),"",SUMPRODUCT((입력_파견수련계획!$Q$4:$Q$803=TRIM($J103&amp;""))*입력_파견수련계획!$W$4:$W$803))</f>
        <v/>
      </c>
      <c r="Y103" s="10">
        <f>IF($B103="","",IF($AG103="","",IF(IF(TRIM($J103&amp;"")="",0,SUMPRODUCT((입력_파견수련계획!$Q$4:$Q$803=TRIM($J103&amp;""))*입력_파견수련계획!$AD$4:$AD$803))&gt;0,$AE103,IF(AND(N($X103)&lt;=0,$AQ103=""),$AG103,IF($AH103+$AI103=DAY(EOMONTH(출력_요약!$B$3,0)),IF(AND($AH103&gt;=출력_요약!$E$3,$AI103&lt;출력_요약!$E$3),"서울병원",IF(AND($AI103&gt;=출력_요약!$E$3,$AH103&lt;출력_요약!$E$3),"구리병원","⚠15일 판정불가(서울 "&amp;$AH103&amp;"일/구리 "&amp;$AI103&amp;"일)")),IF($AJ103="",$AE103,IF(INDEX(입력_파견수련계획!$T$4:$T$803,$AJ103)="통합수련",INDEX(입력_파견수련계획!$S$4:$S$803,$AJ103),$AE103)))))))</f>
        <v/>
      </c>
      <c r="Z103" s="20">
        <f>IF($B103="","",IF($AB103="","기본자료에 없는 사번",IF(COUNTIF($B$2:$B$401,$B103)&gt;1,"중복 사번",IF($AE103="","소속(입사장소) 입력",IF(IF(TRIM($J103&amp;"")="",0,SUMPRODUCT((입력_파견수련계획!$Q$4:$Q$803=TRIM($J103&amp;""))*(입력_파견수련계획!$AA$4:$AA$803&lt;&gt;"")))&gt;0,"파견수련계획 입력오류 확인",IF(LEFT($Y103,1)="⚠","서울·구리 15일 판정 불가(양쪽 모두 이상/미만)",IF(IF($AC103="",0,N(INDEX(입력_인턴근무계획!$T$3:$T$402,$AC103)))&gt;0,"인턴계획 입력오류 확인",IF(AND($AQ103&lt;&gt;"",$AG103&lt;&gt;"구리병원",IF(TRIM($J103&amp;"")="",0,SUMPRODUCT((입력_파견수련계획!$Q$4:$Q$803=TRIM($J103&amp;""))*(입력_파견수련계획!$S$4:$S$803="구리병원")*입력_파견수련계획!$W$4:$W$803))=0),"구리 근무자명단에만 있음(파견수련계획 확인)",IF(AND($AC103&lt;&gt;"",$U103&lt;&gt;"파견중",$N103&lt;&gt;$AE103),"인턴 타지역 근무: 파견 여부 확인","정상")))))))))</f>
        <v/>
      </c>
      <c r="AA103" s="5" t="n"/>
      <c r="AB103" s="10">
        <f>IF($B103="","",IFERROR(MATCH($B103,입력_기본자료!$B$2:$B$1001,0),IFERROR(MATCH($B103&amp;"",입력_기본자료!$B$2:$B$1001,0),IFERROR(MATCH(VALUE($B103),입력_기본자료!$B$2:$B$1001,0),""))))</f>
        <v/>
      </c>
      <c r="AC103" s="10">
        <f>IF($B103="","",IFERROR(MATCH($B103,입력_인턴근무계획!$D$3:$D$402,0),IFERROR(MATCH($B103&amp;"",입력_인턴근무계획!$D$3:$D$402,0),IFERROR(MATCH(VALUE($B103),입력_인턴근무계획!$D$3:$D$402,0),""))))</f>
        <v/>
      </c>
      <c r="AD103" s="10">
        <f>IF(OR($AC103="",출력_인턴현황!$G$3=""),"",INDEX(입력_인턴근무계획!$M$3:$R$402,$AC103,출력_인턴현황!$G$3)&amp;"")</f>
        <v/>
      </c>
      <c r="AE103" s="10">
        <f>IF($B103="","",IF($M103&lt;&gt;"",$M103,IF(IF($AQ103="",FALSE,INDEX(출력_구리근무자!$J$6:$J$305,$AQ103)="구리독자"),"구리병원",IF($AF103&lt;&gt;"",IF(LEFT(INDEX(입력_파견수련계획!$R$4:$R$803,$AF103),1)&lt;&gt;"⚠",INDEX(입력_파견수련계획!$R$4:$R$803,$AF103),IF($H103="","",IF(RIGHT($H103,2)="병원",$H103,$H103&amp;"병원"))),IF($H103="","",IF(RIGHT($H103,2)="병원",$H103,$H103&amp;"병원"))))))</f>
        <v/>
      </c>
      <c r="AF103" s="10">
        <f>IF(OR($B103="",TRIM($J103&amp;"")=""),"",IFERROR(MATCH(TRIM($J103&amp;"")&amp;"|파견중",입력_파견수련계획!$Y$4:$Y$803,0),IFERROR(MATCH(TRIM($J103&amp;"")&amp;"|파견예정",입력_파견수련계획!$Y$4:$Y$803,0),IFERROR(MATCH(TRIM($J103&amp;"")&amp;"|파견종료",입력_파견수련계획!$Y$4:$Y$803,0),""))))</f>
        <v/>
      </c>
      <c r="AG103" s="10">
        <f>IF($B103="","",IF(AND(IF(OR($AC103="",출력_인턴현황!$K$2=""),"",INDEX(입력_인턴근무계획!$M$3:$R$402,$AC103,출력_인턴현황!$K$2)&amp;"")&lt;&gt;"",LEFT(IF(OR($AC103="",출력_인턴현황!$K$2=""),"",INDEX(입력_인턴근무계획!$M$3:$R$402,$AC103,출력_인턴현황!$K$2)&amp;""),1)&lt;&gt;"⚠"),LEFT(IF(OR($AC103="",출력_인턴현황!$K$2=""),"",INDEX(입력_인턴근무계획!$M$3:$R$402,$AC103,출력_인턴현황!$K$2)&amp;""),FIND(" ",IF(OR($AC103="",출력_인턴현황!$K$2=""),"",INDEX(입력_인턴근무계획!$M$3:$R$402,$AC103,출력_인턴현황!$K$2)&amp;""))-1),$AE103))</f>
        <v/>
      </c>
      <c r="AH103" s="17">
        <f>IF($B103="","",IF($AQ103&lt;&gt;"",MAX(0,DAY(EOMONTH(출력_요약!$B$3,0))-N($AR103)),IF(TRIM($J103&amp;"")="",0,SUMPRODUCT((입력_파견수련계획!$Q$4:$Q$803=TRIM($J103&amp;""))*(입력_파견수련계획!$S$4:$S$803="서울병원")*입력_파견수련계획!$W$4:$W$803))+IF($AG103="서울병원",MAX(0,DAY(EOMONTH(출력_요약!$B$3,0))-N($X103)),0)))</f>
        <v/>
      </c>
      <c r="AI103" s="17">
        <f>IF($B103="","",IF($AQ103&lt;&gt;"",N($AR103),IF(TRIM($J103&amp;"")="",0,SUMPRODUCT((입력_파견수련계획!$Q$4:$Q$803=TRIM($J103&amp;""))*(입력_파견수련계획!$S$4:$S$803="구리병원")*입력_파견수련계획!$W$4:$W$803))+IF($AG103="구리병원",MAX(0,DAY(EOMONTH(출력_요약!$B$3,0))-N($X103)),0)))</f>
        <v/>
      </c>
      <c r="AJ103" s="10">
        <f>IF(OR($B103="",TRIM($J103&amp;"")=""),"",IFERROR(MATCH(TRIM($J103&amp;"")&amp;"|월",입력_파견수련계획!$Z$4:$Z$803,0),""))</f>
        <v/>
      </c>
      <c r="AK103" s="10">
        <f>IF(OR($B103="",TRIM($J103&amp;"")=""),"",IFERROR(MATCH(TRIM($J103&amp;"")&amp;"|다기관",입력_파견수련계획!$AE$4:$AE$803,0),""))</f>
        <v/>
      </c>
      <c r="AL103" s="10">
        <f>IF($AK103="","","다기관 "&amp;TEXT(INDEX(입력_파견수련계획!$AB$4:$AB$803,$AK103),"yyyy-mm-dd")&amp;"~"&amp;IF(ISNUMBER(INDEX(입력_파견수련계획!$AC$4:$AC$803,$AK103)),TEXT(INDEX(입력_파견수련계획!$AC$4:$AC$803,$AK103),"yyyy-mm-dd"),""))</f>
        <v/>
      </c>
      <c r="AM103" s="10">
        <f>IF($Y103="서울병원",COUNTIF($Y$2:$Y103,"서울병원"),"")</f>
        <v/>
      </c>
      <c r="AN103" s="10">
        <f>IF(LEFT($Y103,1)="⚠",COUNTIF($Y$2:$Y103,"⚠*"),"")</f>
        <v/>
      </c>
      <c r="AO103" s="10">
        <f>IF(OR($B103="",$Y103=""),"",IF(IF(TRIM($J103&amp;"")="",0,SUMPRODUCT((입력_파견수련계획!$Q$4:$Q$803=TRIM($J103&amp;""))*입력_파견수련계획!$AD$4:$AD$803))&gt;0,"다기관 기간 → 소속병원 지급",IF(AND(N($X103)&lt;=0,$AQ103=""),"파견 없음 → 그 달 근무병원 지급",IF($AH103+$AI103=DAY(EOMONTH(출력_요약!$B$3,0)),"서울 "&amp;$AH103&amp;"일 / 구리 "&amp;$AI103&amp;"일"&amp;IF($AQ103&lt;&gt;""," (구리 근무자명단 반영)","")&amp;" → 15일 이상 근무 병원 지급","타 병원 포함 → "&amp;IF($AJ103="","소속",INDEX(입력_파견수련계획!$T$4:$T$803,$AJ103))&amp;" 규칙"))))</f>
        <v/>
      </c>
      <c r="AP103" s="10">
        <f>IF($B103="","",$C103&amp;"|"&amp;$F103)</f>
        <v/>
      </c>
      <c r="AQ103" s="10">
        <f>IF($B103="","",IFERROR(MATCH(ROW()-1,출력_구리근무자!$K$6:$K$305,0),""))</f>
        <v/>
      </c>
      <c r="AR103" s="10">
        <f>IF($AQ103="","",INDEX(출력_구리근무자!$H$6:$H$305,$AQ103))</f>
        <v/>
      </c>
    </row>
    <row r="104">
      <c r="A104" s="10">
        <f>IF(B104="","",ROW()-1)</f>
        <v/>
      </c>
      <c r="B104" s="19" t="n"/>
      <c r="C104" s="10">
        <f>IF($AB104="","",IF(INDEX(입력_기본자료!$C$2:$C$1001,$AB104)="","",INDEX(입력_기본자료!$C$2:$C$1001,$AB104)))</f>
        <v/>
      </c>
      <c r="D104" s="10">
        <f>IF($AB104="","",IF(INDEX(입력_기본자료!$J$2:$J$1001,$AB104)="","",INDEX(입력_기본자료!$J$2:$J$1001,$AB104)))</f>
        <v/>
      </c>
      <c r="E104" s="11">
        <f>IF($AB104="","",IF(INDEX(입력_기본자료!$K$2:$K$1001,$AB104)="","",IF(NOT(ISNUMBER(INDEX(입력_기본자료!$K$2:$K$1001,$AB104))),INDEX(입력_기본자료!$K$2:$K$1001,$AB104),IF(INDEX(입력_기본자료!$K$2:$K$1001,$AB104)&lt;1000000,INDEX(입력_기본자료!$K$2:$K$1001,$AB104),IF(AND(INDEX(입력_기본자료!$K$2:$K$1001,$AB104)&gt;=10000101,INT(MOD(INDEX(입력_기본자료!$K$2:$K$1001,$AB104),10000)/100)&gt;=1,INT(MOD(INDEX(입력_기본자료!$K$2:$K$1001,$AB104),10000)/100)&lt;=12,MOD(INDEX(입력_기본자료!$K$2:$K$1001,$AB104),100)&gt;=1,MOD(INDEX(입력_기본자료!$K$2:$K$1001,$AB104),100)&lt;=31),DATE(INT(INDEX(입력_기본자료!$K$2:$K$1001,$AB104)/10000),INT(MOD(INDEX(입력_기본자료!$K$2:$K$1001,$AB104),10000)/100),MOD(INDEX(입력_기본자료!$K$2:$K$1001,$AB104),100)),INDEX(입력_기본자료!$K$2:$K$1001,$AB104)&amp;"")))))</f>
        <v/>
      </c>
      <c r="F104" s="10">
        <f>IF($AB104="","",IF(INDEX(입력_기본자료!$D$2:$D$1001,$AB104)="","",INDEX(입력_기본자료!$D$2:$D$1001,$AB104)))</f>
        <v/>
      </c>
      <c r="G104" s="10">
        <f>IF($AB104="","",IF(INDEX(입력_기본자료!$E$2:$E$1001,$AB104)="","",INDEX(입력_기본자료!$E$2:$E$1001,$AB104)))</f>
        <v/>
      </c>
      <c r="H104" s="10">
        <f>IF($AB104="","",IF(INDEX(입력_기본자료!$F$2:$F$1001,$AB104)="","",INDEX(입력_기본자료!$F$2:$F$1001,$AB104)))</f>
        <v/>
      </c>
      <c r="I104" s="11">
        <f>IF($AB104="","",IF(INDEX(입력_기본자료!$G$2:$G$1001,$AB104)="","",IF(NOT(ISNUMBER(INDEX(입력_기본자료!$G$2:$G$1001,$AB104))),INDEX(입력_기본자료!$G$2:$G$1001,$AB104),IF(INDEX(입력_기본자료!$G$2:$G$1001,$AB104)&lt;1000000,INDEX(입력_기본자료!$G$2:$G$1001,$AB104),IF(AND(INDEX(입력_기본자료!$G$2:$G$1001,$AB104)&gt;=10000101,INT(MOD(INDEX(입력_기본자료!$G$2:$G$1001,$AB104),10000)/100)&gt;=1,INT(MOD(INDEX(입력_기본자료!$G$2:$G$1001,$AB104),10000)/100)&lt;=12,MOD(INDEX(입력_기본자료!$G$2:$G$1001,$AB104),100)&gt;=1,MOD(INDEX(입력_기본자료!$G$2:$G$1001,$AB104),100)&lt;=31),DATE(INT(INDEX(입력_기본자료!$G$2:$G$1001,$AB104)/10000),INT(MOD(INDEX(입력_기본자료!$G$2:$G$1001,$AB104),10000)/100),MOD(INDEX(입력_기본자료!$G$2:$G$1001,$AB104),100)),INDEX(입력_기본자료!$G$2:$G$1001,$AB104)&amp;"")))))</f>
        <v/>
      </c>
      <c r="J104" s="10">
        <f>IF($AB104="","",IF(INDEX(입력_기본자료!$H$2:$H$1001,$AB104)="","",INDEX(입력_기본자료!$H$2:$H$1001,$AB104)))</f>
        <v/>
      </c>
      <c r="K104" s="10">
        <f>IF($AB104="","",IF(INDEX(입력_기본자료!$I$2:$I$1001,$AB104)="","",INDEX(입력_기본자료!$I$2:$I$1001,$AB104)))</f>
        <v/>
      </c>
      <c r="L104" s="10">
        <f>IF($AB104="","",IF(INDEX(입력_기본자료!$A$2:$A$1001,$AB104)="","",INDEX(입력_기본자료!$A$2:$A$1001,$AB104)))</f>
        <v/>
      </c>
      <c r="M104" s="15" t="n"/>
      <c r="N104" s="10">
        <f>IF($B104="","",IF(AND($U104="파견중",$Q104&lt;&gt;""),$Q104,IF(AND($AD104&lt;&gt;"",LEFT($AD104,1)&lt;&gt;"⚠"),LEFT($AD104,FIND(" ",$AD104)-1),IF($H104="","",IF(RIGHT($H104,2)="병원",$H104,$H104&amp;"병원")))))</f>
        <v/>
      </c>
      <c r="O104" s="10">
        <f>IF($B104="","",IF(AND($U104="파견중",$Q104&lt;&gt;""),IF($R104&lt;&gt;"",$R104,"파견과 미입력"),IF(AND($AD104&lt;&gt;"",LEFT($AD104,1)&lt;&gt;"⚠"),MID($AD104,FIND(" ",$AD104)+1,60),IF($F104="","",IF($F104="인턴","수련교육부(인턴)",$F104)))))</f>
        <v/>
      </c>
      <c r="P104" s="10">
        <f>IF($B104="","",IF($AK104&lt;&gt;"",IF(AND(TODAY()&gt;=INDEX(입력_파견수련계획!$AB$4:$AB$803,$AK104),OR(NOT(ISNUMBER(INDEX(입력_파견수련계획!$AC$4:$AC$803,$AK104))),TODAY()&lt;=INDEX(입력_파견수련계획!$AC$4:$AC$803,$AK104))),"다기관",IF($AF104="","",INDEX(입력_파견수련계획!$T$4:$T$803,$AF104))),IF($AF104="","",INDEX(입력_파견수련계획!$T$4:$T$803,$AF104))))</f>
        <v/>
      </c>
      <c r="Q104" s="10">
        <f>IF($AF104="","",INDEX(입력_파견수련계획!$S$4:$S$803,$AF104))</f>
        <v/>
      </c>
      <c r="R104" s="10">
        <f>IF($AF104="","",INDEX(입력_파견수련계획!$U$4:$U$803,$AF104))</f>
        <v/>
      </c>
      <c r="S104" s="11">
        <f>IF($AF104="","",IF(INDEX(입력_파견수련계획!$H$4:$H$803,$AF104)="","",INDEX(입력_파견수련계획!$H$4:$H$803,$AF104)))</f>
        <v/>
      </c>
      <c r="T104" s="11">
        <f>IF($AF104="","",IF(INDEX(입력_파견수련계획!$I$4:$I$803,$AF104)="","",INDEX(입력_파견수련계획!$I$4:$I$803,$AF104)))</f>
        <v/>
      </c>
      <c r="U104" s="10">
        <f>IF($AF104="","",INDEX(입력_파견수련계획!$X$4:$X$803,$AF104))</f>
        <v/>
      </c>
      <c r="V104" s="17">
        <f>IF($AF104="","",INDEX(입력_파견수련계획!$V$4:$V$803,$AF104))</f>
        <v/>
      </c>
      <c r="W104" s="17">
        <f>IF(AND($U104="파견중",$T104&lt;&gt;""),$T104-TODAY(),"")</f>
        <v/>
      </c>
      <c r="X104" s="17">
        <f>IF(OR($B104="",TRIM($J104&amp;"")=""),"",SUMPRODUCT((입력_파견수련계획!$Q$4:$Q$803=TRIM($J104&amp;""))*입력_파견수련계획!$W$4:$W$803))</f>
        <v/>
      </c>
      <c r="Y104" s="10">
        <f>IF($B104="","",IF($AG104="","",IF(IF(TRIM($J104&amp;"")="",0,SUMPRODUCT((입력_파견수련계획!$Q$4:$Q$803=TRIM($J104&amp;""))*입력_파견수련계획!$AD$4:$AD$803))&gt;0,$AE104,IF(AND(N($X104)&lt;=0,$AQ104=""),$AG104,IF($AH104+$AI104=DAY(EOMONTH(출력_요약!$B$3,0)),IF(AND($AH104&gt;=출력_요약!$E$3,$AI104&lt;출력_요약!$E$3),"서울병원",IF(AND($AI104&gt;=출력_요약!$E$3,$AH104&lt;출력_요약!$E$3),"구리병원","⚠15일 판정불가(서울 "&amp;$AH104&amp;"일/구리 "&amp;$AI104&amp;"일)")),IF($AJ104="",$AE104,IF(INDEX(입력_파견수련계획!$T$4:$T$803,$AJ104)="통합수련",INDEX(입력_파견수련계획!$S$4:$S$803,$AJ104),$AE104)))))))</f>
        <v/>
      </c>
      <c r="Z104" s="20">
        <f>IF($B104="","",IF($AB104="","기본자료에 없는 사번",IF(COUNTIF($B$2:$B$401,$B104)&gt;1,"중복 사번",IF($AE104="","소속(입사장소) 입력",IF(IF(TRIM($J104&amp;"")="",0,SUMPRODUCT((입력_파견수련계획!$Q$4:$Q$803=TRIM($J104&amp;""))*(입력_파견수련계획!$AA$4:$AA$803&lt;&gt;"")))&gt;0,"파견수련계획 입력오류 확인",IF(LEFT($Y104,1)="⚠","서울·구리 15일 판정 불가(양쪽 모두 이상/미만)",IF(IF($AC104="",0,N(INDEX(입력_인턴근무계획!$T$3:$T$402,$AC104)))&gt;0,"인턴계획 입력오류 확인",IF(AND($AQ104&lt;&gt;"",$AG104&lt;&gt;"구리병원",IF(TRIM($J104&amp;"")="",0,SUMPRODUCT((입력_파견수련계획!$Q$4:$Q$803=TRIM($J104&amp;""))*(입력_파견수련계획!$S$4:$S$803="구리병원")*입력_파견수련계획!$W$4:$W$803))=0),"구리 근무자명단에만 있음(파견수련계획 확인)",IF(AND($AC104&lt;&gt;"",$U104&lt;&gt;"파견중",$N104&lt;&gt;$AE104),"인턴 타지역 근무: 파견 여부 확인","정상")))))))))</f>
        <v/>
      </c>
      <c r="AA104" s="5" t="n"/>
      <c r="AB104" s="10">
        <f>IF($B104="","",IFERROR(MATCH($B104,입력_기본자료!$B$2:$B$1001,0),IFERROR(MATCH($B104&amp;"",입력_기본자료!$B$2:$B$1001,0),IFERROR(MATCH(VALUE($B104),입력_기본자료!$B$2:$B$1001,0),""))))</f>
        <v/>
      </c>
      <c r="AC104" s="10">
        <f>IF($B104="","",IFERROR(MATCH($B104,입력_인턴근무계획!$D$3:$D$402,0),IFERROR(MATCH($B104&amp;"",입력_인턴근무계획!$D$3:$D$402,0),IFERROR(MATCH(VALUE($B104),입력_인턴근무계획!$D$3:$D$402,0),""))))</f>
        <v/>
      </c>
      <c r="AD104" s="10">
        <f>IF(OR($AC104="",출력_인턴현황!$G$3=""),"",INDEX(입력_인턴근무계획!$M$3:$R$402,$AC104,출력_인턴현황!$G$3)&amp;"")</f>
        <v/>
      </c>
      <c r="AE104" s="10">
        <f>IF($B104="","",IF($M104&lt;&gt;"",$M104,IF(IF($AQ104="",FALSE,INDEX(출력_구리근무자!$J$6:$J$305,$AQ104)="구리독자"),"구리병원",IF($AF104&lt;&gt;"",IF(LEFT(INDEX(입력_파견수련계획!$R$4:$R$803,$AF104),1)&lt;&gt;"⚠",INDEX(입력_파견수련계획!$R$4:$R$803,$AF104),IF($H104="","",IF(RIGHT($H104,2)="병원",$H104,$H104&amp;"병원"))),IF($H104="","",IF(RIGHT($H104,2)="병원",$H104,$H104&amp;"병원"))))))</f>
        <v/>
      </c>
      <c r="AF104" s="10">
        <f>IF(OR($B104="",TRIM($J104&amp;"")=""),"",IFERROR(MATCH(TRIM($J104&amp;"")&amp;"|파견중",입력_파견수련계획!$Y$4:$Y$803,0),IFERROR(MATCH(TRIM($J104&amp;"")&amp;"|파견예정",입력_파견수련계획!$Y$4:$Y$803,0),IFERROR(MATCH(TRIM($J104&amp;"")&amp;"|파견종료",입력_파견수련계획!$Y$4:$Y$803,0),""))))</f>
        <v/>
      </c>
      <c r="AG104" s="10">
        <f>IF($B104="","",IF(AND(IF(OR($AC104="",출력_인턴현황!$K$2=""),"",INDEX(입력_인턴근무계획!$M$3:$R$402,$AC104,출력_인턴현황!$K$2)&amp;"")&lt;&gt;"",LEFT(IF(OR($AC104="",출력_인턴현황!$K$2=""),"",INDEX(입력_인턴근무계획!$M$3:$R$402,$AC104,출력_인턴현황!$K$2)&amp;""),1)&lt;&gt;"⚠"),LEFT(IF(OR($AC104="",출력_인턴현황!$K$2=""),"",INDEX(입력_인턴근무계획!$M$3:$R$402,$AC104,출력_인턴현황!$K$2)&amp;""),FIND(" ",IF(OR($AC104="",출력_인턴현황!$K$2=""),"",INDEX(입력_인턴근무계획!$M$3:$R$402,$AC104,출력_인턴현황!$K$2)&amp;""))-1),$AE104))</f>
        <v/>
      </c>
      <c r="AH104" s="17">
        <f>IF($B104="","",IF($AQ104&lt;&gt;"",MAX(0,DAY(EOMONTH(출력_요약!$B$3,0))-N($AR104)),IF(TRIM($J104&amp;"")="",0,SUMPRODUCT((입력_파견수련계획!$Q$4:$Q$803=TRIM($J104&amp;""))*(입력_파견수련계획!$S$4:$S$803="서울병원")*입력_파견수련계획!$W$4:$W$803))+IF($AG104="서울병원",MAX(0,DAY(EOMONTH(출력_요약!$B$3,0))-N($X104)),0)))</f>
        <v/>
      </c>
      <c r="AI104" s="17">
        <f>IF($B104="","",IF($AQ104&lt;&gt;"",N($AR104),IF(TRIM($J104&amp;"")="",0,SUMPRODUCT((입력_파견수련계획!$Q$4:$Q$803=TRIM($J104&amp;""))*(입력_파견수련계획!$S$4:$S$803="구리병원")*입력_파견수련계획!$W$4:$W$803))+IF($AG104="구리병원",MAX(0,DAY(EOMONTH(출력_요약!$B$3,0))-N($X104)),0)))</f>
        <v/>
      </c>
      <c r="AJ104" s="10">
        <f>IF(OR($B104="",TRIM($J104&amp;"")=""),"",IFERROR(MATCH(TRIM($J104&amp;"")&amp;"|월",입력_파견수련계획!$Z$4:$Z$803,0),""))</f>
        <v/>
      </c>
      <c r="AK104" s="10">
        <f>IF(OR($B104="",TRIM($J104&amp;"")=""),"",IFERROR(MATCH(TRIM($J104&amp;"")&amp;"|다기관",입력_파견수련계획!$AE$4:$AE$803,0),""))</f>
        <v/>
      </c>
      <c r="AL104" s="10">
        <f>IF($AK104="","","다기관 "&amp;TEXT(INDEX(입력_파견수련계획!$AB$4:$AB$803,$AK104),"yyyy-mm-dd")&amp;"~"&amp;IF(ISNUMBER(INDEX(입력_파견수련계획!$AC$4:$AC$803,$AK104)),TEXT(INDEX(입력_파견수련계획!$AC$4:$AC$803,$AK104),"yyyy-mm-dd"),""))</f>
        <v/>
      </c>
      <c r="AM104" s="10">
        <f>IF($Y104="서울병원",COUNTIF($Y$2:$Y104,"서울병원"),"")</f>
        <v/>
      </c>
      <c r="AN104" s="10">
        <f>IF(LEFT($Y104,1)="⚠",COUNTIF($Y$2:$Y104,"⚠*"),"")</f>
        <v/>
      </c>
      <c r="AO104" s="10">
        <f>IF(OR($B104="",$Y104=""),"",IF(IF(TRIM($J104&amp;"")="",0,SUMPRODUCT((입력_파견수련계획!$Q$4:$Q$803=TRIM($J104&amp;""))*입력_파견수련계획!$AD$4:$AD$803))&gt;0,"다기관 기간 → 소속병원 지급",IF(AND(N($X104)&lt;=0,$AQ104=""),"파견 없음 → 그 달 근무병원 지급",IF($AH104+$AI104=DAY(EOMONTH(출력_요약!$B$3,0)),"서울 "&amp;$AH104&amp;"일 / 구리 "&amp;$AI104&amp;"일"&amp;IF($AQ104&lt;&gt;""," (구리 근무자명단 반영)","")&amp;" → 15일 이상 근무 병원 지급","타 병원 포함 → "&amp;IF($AJ104="","소속",INDEX(입력_파견수련계획!$T$4:$T$803,$AJ104))&amp;" 규칙"))))</f>
        <v/>
      </c>
      <c r="AP104" s="10">
        <f>IF($B104="","",$C104&amp;"|"&amp;$F104)</f>
        <v/>
      </c>
      <c r="AQ104" s="10">
        <f>IF($B104="","",IFERROR(MATCH(ROW()-1,출력_구리근무자!$K$6:$K$305,0),""))</f>
        <v/>
      </c>
      <c r="AR104" s="10">
        <f>IF($AQ104="","",INDEX(출력_구리근무자!$H$6:$H$305,$AQ104))</f>
        <v/>
      </c>
    </row>
    <row r="105">
      <c r="A105" s="10">
        <f>IF(B105="","",ROW()-1)</f>
        <v/>
      </c>
      <c r="B105" s="19" t="n"/>
      <c r="C105" s="10">
        <f>IF($AB105="","",IF(INDEX(입력_기본자료!$C$2:$C$1001,$AB105)="","",INDEX(입력_기본자료!$C$2:$C$1001,$AB105)))</f>
        <v/>
      </c>
      <c r="D105" s="10">
        <f>IF($AB105="","",IF(INDEX(입력_기본자료!$J$2:$J$1001,$AB105)="","",INDEX(입력_기본자료!$J$2:$J$1001,$AB105)))</f>
        <v/>
      </c>
      <c r="E105" s="11">
        <f>IF($AB105="","",IF(INDEX(입력_기본자료!$K$2:$K$1001,$AB105)="","",IF(NOT(ISNUMBER(INDEX(입력_기본자료!$K$2:$K$1001,$AB105))),INDEX(입력_기본자료!$K$2:$K$1001,$AB105),IF(INDEX(입력_기본자료!$K$2:$K$1001,$AB105)&lt;1000000,INDEX(입력_기본자료!$K$2:$K$1001,$AB105),IF(AND(INDEX(입력_기본자료!$K$2:$K$1001,$AB105)&gt;=10000101,INT(MOD(INDEX(입력_기본자료!$K$2:$K$1001,$AB105),10000)/100)&gt;=1,INT(MOD(INDEX(입력_기본자료!$K$2:$K$1001,$AB105),10000)/100)&lt;=12,MOD(INDEX(입력_기본자료!$K$2:$K$1001,$AB105),100)&gt;=1,MOD(INDEX(입력_기본자료!$K$2:$K$1001,$AB105),100)&lt;=31),DATE(INT(INDEX(입력_기본자료!$K$2:$K$1001,$AB105)/10000),INT(MOD(INDEX(입력_기본자료!$K$2:$K$1001,$AB105),10000)/100),MOD(INDEX(입력_기본자료!$K$2:$K$1001,$AB105),100)),INDEX(입력_기본자료!$K$2:$K$1001,$AB105)&amp;"")))))</f>
        <v/>
      </c>
      <c r="F105" s="10">
        <f>IF($AB105="","",IF(INDEX(입력_기본자료!$D$2:$D$1001,$AB105)="","",INDEX(입력_기본자료!$D$2:$D$1001,$AB105)))</f>
        <v/>
      </c>
      <c r="G105" s="10">
        <f>IF($AB105="","",IF(INDEX(입력_기본자료!$E$2:$E$1001,$AB105)="","",INDEX(입력_기본자료!$E$2:$E$1001,$AB105)))</f>
        <v/>
      </c>
      <c r="H105" s="10">
        <f>IF($AB105="","",IF(INDEX(입력_기본자료!$F$2:$F$1001,$AB105)="","",INDEX(입력_기본자료!$F$2:$F$1001,$AB105)))</f>
        <v/>
      </c>
      <c r="I105" s="11">
        <f>IF($AB105="","",IF(INDEX(입력_기본자료!$G$2:$G$1001,$AB105)="","",IF(NOT(ISNUMBER(INDEX(입력_기본자료!$G$2:$G$1001,$AB105))),INDEX(입력_기본자료!$G$2:$G$1001,$AB105),IF(INDEX(입력_기본자료!$G$2:$G$1001,$AB105)&lt;1000000,INDEX(입력_기본자료!$G$2:$G$1001,$AB105),IF(AND(INDEX(입력_기본자료!$G$2:$G$1001,$AB105)&gt;=10000101,INT(MOD(INDEX(입력_기본자료!$G$2:$G$1001,$AB105),10000)/100)&gt;=1,INT(MOD(INDEX(입력_기본자료!$G$2:$G$1001,$AB105),10000)/100)&lt;=12,MOD(INDEX(입력_기본자료!$G$2:$G$1001,$AB105),100)&gt;=1,MOD(INDEX(입력_기본자료!$G$2:$G$1001,$AB105),100)&lt;=31),DATE(INT(INDEX(입력_기본자료!$G$2:$G$1001,$AB105)/10000),INT(MOD(INDEX(입력_기본자료!$G$2:$G$1001,$AB105),10000)/100),MOD(INDEX(입력_기본자료!$G$2:$G$1001,$AB105),100)),INDEX(입력_기본자료!$G$2:$G$1001,$AB105)&amp;"")))))</f>
        <v/>
      </c>
      <c r="J105" s="10">
        <f>IF($AB105="","",IF(INDEX(입력_기본자료!$H$2:$H$1001,$AB105)="","",INDEX(입력_기본자료!$H$2:$H$1001,$AB105)))</f>
        <v/>
      </c>
      <c r="K105" s="10">
        <f>IF($AB105="","",IF(INDEX(입력_기본자료!$I$2:$I$1001,$AB105)="","",INDEX(입력_기본자료!$I$2:$I$1001,$AB105)))</f>
        <v/>
      </c>
      <c r="L105" s="10">
        <f>IF($AB105="","",IF(INDEX(입력_기본자료!$A$2:$A$1001,$AB105)="","",INDEX(입력_기본자료!$A$2:$A$1001,$AB105)))</f>
        <v/>
      </c>
      <c r="M105" s="15" t="n"/>
      <c r="N105" s="10">
        <f>IF($B105="","",IF(AND($U105="파견중",$Q105&lt;&gt;""),$Q105,IF(AND($AD105&lt;&gt;"",LEFT($AD105,1)&lt;&gt;"⚠"),LEFT($AD105,FIND(" ",$AD105)-1),IF($H105="","",IF(RIGHT($H105,2)="병원",$H105,$H105&amp;"병원")))))</f>
        <v/>
      </c>
      <c r="O105" s="10">
        <f>IF($B105="","",IF(AND($U105="파견중",$Q105&lt;&gt;""),IF($R105&lt;&gt;"",$R105,"파견과 미입력"),IF(AND($AD105&lt;&gt;"",LEFT($AD105,1)&lt;&gt;"⚠"),MID($AD105,FIND(" ",$AD105)+1,60),IF($F105="","",IF($F105="인턴","수련교육부(인턴)",$F105)))))</f>
        <v/>
      </c>
      <c r="P105" s="10">
        <f>IF($B105="","",IF($AK105&lt;&gt;"",IF(AND(TODAY()&gt;=INDEX(입력_파견수련계획!$AB$4:$AB$803,$AK105),OR(NOT(ISNUMBER(INDEX(입력_파견수련계획!$AC$4:$AC$803,$AK105))),TODAY()&lt;=INDEX(입력_파견수련계획!$AC$4:$AC$803,$AK105))),"다기관",IF($AF105="","",INDEX(입력_파견수련계획!$T$4:$T$803,$AF105))),IF($AF105="","",INDEX(입력_파견수련계획!$T$4:$T$803,$AF105))))</f>
        <v/>
      </c>
      <c r="Q105" s="10">
        <f>IF($AF105="","",INDEX(입력_파견수련계획!$S$4:$S$803,$AF105))</f>
        <v/>
      </c>
      <c r="R105" s="10">
        <f>IF($AF105="","",INDEX(입력_파견수련계획!$U$4:$U$803,$AF105))</f>
        <v/>
      </c>
      <c r="S105" s="11">
        <f>IF($AF105="","",IF(INDEX(입력_파견수련계획!$H$4:$H$803,$AF105)="","",INDEX(입력_파견수련계획!$H$4:$H$803,$AF105)))</f>
        <v/>
      </c>
      <c r="T105" s="11">
        <f>IF($AF105="","",IF(INDEX(입력_파견수련계획!$I$4:$I$803,$AF105)="","",INDEX(입력_파견수련계획!$I$4:$I$803,$AF105)))</f>
        <v/>
      </c>
      <c r="U105" s="10">
        <f>IF($AF105="","",INDEX(입력_파견수련계획!$X$4:$X$803,$AF105))</f>
        <v/>
      </c>
      <c r="V105" s="17">
        <f>IF($AF105="","",INDEX(입력_파견수련계획!$V$4:$V$803,$AF105))</f>
        <v/>
      </c>
      <c r="W105" s="17">
        <f>IF(AND($U105="파견중",$T105&lt;&gt;""),$T105-TODAY(),"")</f>
        <v/>
      </c>
      <c r="X105" s="17">
        <f>IF(OR($B105="",TRIM($J105&amp;"")=""),"",SUMPRODUCT((입력_파견수련계획!$Q$4:$Q$803=TRIM($J105&amp;""))*입력_파견수련계획!$W$4:$W$803))</f>
        <v/>
      </c>
      <c r="Y105" s="10">
        <f>IF($B105="","",IF($AG105="","",IF(IF(TRIM($J105&amp;"")="",0,SUMPRODUCT((입력_파견수련계획!$Q$4:$Q$803=TRIM($J105&amp;""))*입력_파견수련계획!$AD$4:$AD$803))&gt;0,$AE105,IF(AND(N($X105)&lt;=0,$AQ105=""),$AG105,IF($AH105+$AI105=DAY(EOMONTH(출력_요약!$B$3,0)),IF(AND($AH105&gt;=출력_요약!$E$3,$AI105&lt;출력_요약!$E$3),"서울병원",IF(AND($AI105&gt;=출력_요약!$E$3,$AH105&lt;출력_요약!$E$3),"구리병원","⚠15일 판정불가(서울 "&amp;$AH105&amp;"일/구리 "&amp;$AI105&amp;"일)")),IF($AJ105="",$AE105,IF(INDEX(입력_파견수련계획!$T$4:$T$803,$AJ105)="통합수련",INDEX(입력_파견수련계획!$S$4:$S$803,$AJ105),$AE105)))))))</f>
        <v/>
      </c>
      <c r="Z105" s="20">
        <f>IF($B105="","",IF($AB105="","기본자료에 없는 사번",IF(COUNTIF($B$2:$B$401,$B105)&gt;1,"중복 사번",IF($AE105="","소속(입사장소) 입력",IF(IF(TRIM($J105&amp;"")="",0,SUMPRODUCT((입력_파견수련계획!$Q$4:$Q$803=TRIM($J105&amp;""))*(입력_파견수련계획!$AA$4:$AA$803&lt;&gt;"")))&gt;0,"파견수련계획 입력오류 확인",IF(LEFT($Y105,1)="⚠","서울·구리 15일 판정 불가(양쪽 모두 이상/미만)",IF(IF($AC105="",0,N(INDEX(입력_인턴근무계획!$T$3:$T$402,$AC105)))&gt;0,"인턴계획 입력오류 확인",IF(AND($AQ105&lt;&gt;"",$AG105&lt;&gt;"구리병원",IF(TRIM($J105&amp;"")="",0,SUMPRODUCT((입력_파견수련계획!$Q$4:$Q$803=TRIM($J105&amp;""))*(입력_파견수련계획!$S$4:$S$803="구리병원")*입력_파견수련계획!$W$4:$W$803))=0),"구리 근무자명단에만 있음(파견수련계획 확인)",IF(AND($AC105&lt;&gt;"",$U105&lt;&gt;"파견중",$N105&lt;&gt;$AE105),"인턴 타지역 근무: 파견 여부 확인","정상")))))))))</f>
        <v/>
      </c>
      <c r="AA105" s="5" t="n"/>
      <c r="AB105" s="10">
        <f>IF($B105="","",IFERROR(MATCH($B105,입력_기본자료!$B$2:$B$1001,0),IFERROR(MATCH($B105&amp;"",입력_기본자료!$B$2:$B$1001,0),IFERROR(MATCH(VALUE($B105),입력_기본자료!$B$2:$B$1001,0),""))))</f>
        <v/>
      </c>
      <c r="AC105" s="10">
        <f>IF($B105="","",IFERROR(MATCH($B105,입력_인턴근무계획!$D$3:$D$402,0),IFERROR(MATCH($B105&amp;"",입력_인턴근무계획!$D$3:$D$402,0),IFERROR(MATCH(VALUE($B105),입력_인턴근무계획!$D$3:$D$402,0),""))))</f>
        <v/>
      </c>
      <c r="AD105" s="10">
        <f>IF(OR($AC105="",출력_인턴현황!$G$3=""),"",INDEX(입력_인턴근무계획!$M$3:$R$402,$AC105,출력_인턴현황!$G$3)&amp;"")</f>
        <v/>
      </c>
      <c r="AE105" s="10">
        <f>IF($B105="","",IF($M105&lt;&gt;"",$M105,IF(IF($AQ105="",FALSE,INDEX(출력_구리근무자!$J$6:$J$305,$AQ105)="구리독자"),"구리병원",IF($AF105&lt;&gt;"",IF(LEFT(INDEX(입력_파견수련계획!$R$4:$R$803,$AF105),1)&lt;&gt;"⚠",INDEX(입력_파견수련계획!$R$4:$R$803,$AF105),IF($H105="","",IF(RIGHT($H105,2)="병원",$H105,$H105&amp;"병원"))),IF($H105="","",IF(RIGHT($H105,2)="병원",$H105,$H105&amp;"병원"))))))</f>
        <v/>
      </c>
      <c r="AF105" s="10">
        <f>IF(OR($B105="",TRIM($J105&amp;"")=""),"",IFERROR(MATCH(TRIM($J105&amp;"")&amp;"|파견중",입력_파견수련계획!$Y$4:$Y$803,0),IFERROR(MATCH(TRIM($J105&amp;"")&amp;"|파견예정",입력_파견수련계획!$Y$4:$Y$803,0),IFERROR(MATCH(TRIM($J105&amp;"")&amp;"|파견종료",입력_파견수련계획!$Y$4:$Y$803,0),""))))</f>
        <v/>
      </c>
      <c r="AG105" s="10">
        <f>IF($B105="","",IF(AND(IF(OR($AC105="",출력_인턴현황!$K$2=""),"",INDEX(입력_인턴근무계획!$M$3:$R$402,$AC105,출력_인턴현황!$K$2)&amp;"")&lt;&gt;"",LEFT(IF(OR($AC105="",출력_인턴현황!$K$2=""),"",INDEX(입력_인턴근무계획!$M$3:$R$402,$AC105,출력_인턴현황!$K$2)&amp;""),1)&lt;&gt;"⚠"),LEFT(IF(OR($AC105="",출력_인턴현황!$K$2=""),"",INDEX(입력_인턴근무계획!$M$3:$R$402,$AC105,출력_인턴현황!$K$2)&amp;""),FIND(" ",IF(OR($AC105="",출력_인턴현황!$K$2=""),"",INDEX(입력_인턴근무계획!$M$3:$R$402,$AC105,출력_인턴현황!$K$2)&amp;""))-1),$AE105))</f>
        <v/>
      </c>
      <c r="AH105" s="17">
        <f>IF($B105="","",IF($AQ105&lt;&gt;"",MAX(0,DAY(EOMONTH(출력_요약!$B$3,0))-N($AR105)),IF(TRIM($J105&amp;"")="",0,SUMPRODUCT((입력_파견수련계획!$Q$4:$Q$803=TRIM($J105&amp;""))*(입력_파견수련계획!$S$4:$S$803="서울병원")*입력_파견수련계획!$W$4:$W$803))+IF($AG105="서울병원",MAX(0,DAY(EOMONTH(출력_요약!$B$3,0))-N($X105)),0)))</f>
        <v/>
      </c>
      <c r="AI105" s="17">
        <f>IF($B105="","",IF($AQ105&lt;&gt;"",N($AR105),IF(TRIM($J105&amp;"")="",0,SUMPRODUCT((입력_파견수련계획!$Q$4:$Q$803=TRIM($J105&amp;""))*(입력_파견수련계획!$S$4:$S$803="구리병원")*입력_파견수련계획!$W$4:$W$803))+IF($AG105="구리병원",MAX(0,DAY(EOMONTH(출력_요약!$B$3,0))-N($X105)),0)))</f>
        <v/>
      </c>
      <c r="AJ105" s="10">
        <f>IF(OR($B105="",TRIM($J105&amp;"")=""),"",IFERROR(MATCH(TRIM($J105&amp;"")&amp;"|월",입력_파견수련계획!$Z$4:$Z$803,0),""))</f>
        <v/>
      </c>
      <c r="AK105" s="10">
        <f>IF(OR($B105="",TRIM($J105&amp;"")=""),"",IFERROR(MATCH(TRIM($J105&amp;"")&amp;"|다기관",입력_파견수련계획!$AE$4:$AE$803,0),""))</f>
        <v/>
      </c>
      <c r="AL105" s="10">
        <f>IF($AK105="","","다기관 "&amp;TEXT(INDEX(입력_파견수련계획!$AB$4:$AB$803,$AK105),"yyyy-mm-dd")&amp;"~"&amp;IF(ISNUMBER(INDEX(입력_파견수련계획!$AC$4:$AC$803,$AK105)),TEXT(INDEX(입력_파견수련계획!$AC$4:$AC$803,$AK105),"yyyy-mm-dd"),""))</f>
        <v/>
      </c>
      <c r="AM105" s="10">
        <f>IF($Y105="서울병원",COUNTIF($Y$2:$Y105,"서울병원"),"")</f>
        <v/>
      </c>
      <c r="AN105" s="10">
        <f>IF(LEFT($Y105,1)="⚠",COUNTIF($Y$2:$Y105,"⚠*"),"")</f>
        <v/>
      </c>
      <c r="AO105" s="10">
        <f>IF(OR($B105="",$Y105=""),"",IF(IF(TRIM($J105&amp;"")="",0,SUMPRODUCT((입력_파견수련계획!$Q$4:$Q$803=TRIM($J105&amp;""))*입력_파견수련계획!$AD$4:$AD$803))&gt;0,"다기관 기간 → 소속병원 지급",IF(AND(N($X105)&lt;=0,$AQ105=""),"파견 없음 → 그 달 근무병원 지급",IF($AH105+$AI105=DAY(EOMONTH(출력_요약!$B$3,0)),"서울 "&amp;$AH105&amp;"일 / 구리 "&amp;$AI105&amp;"일"&amp;IF($AQ105&lt;&gt;""," (구리 근무자명단 반영)","")&amp;" → 15일 이상 근무 병원 지급","타 병원 포함 → "&amp;IF($AJ105="","소속",INDEX(입력_파견수련계획!$T$4:$T$803,$AJ105))&amp;" 규칙"))))</f>
        <v/>
      </c>
      <c r="AP105" s="10">
        <f>IF($B105="","",$C105&amp;"|"&amp;$F105)</f>
        <v/>
      </c>
      <c r="AQ105" s="10">
        <f>IF($B105="","",IFERROR(MATCH(ROW()-1,출력_구리근무자!$K$6:$K$305,0),""))</f>
        <v/>
      </c>
      <c r="AR105" s="10">
        <f>IF($AQ105="","",INDEX(출력_구리근무자!$H$6:$H$305,$AQ105))</f>
        <v/>
      </c>
    </row>
    <row r="106">
      <c r="A106" s="10">
        <f>IF(B106="","",ROW()-1)</f>
        <v/>
      </c>
      <c r="B106" s="19" t="n"/>
      <c r="C106" s="10">
        <f>IF($AB106="","",IF(INDEX(입력_기본자료!$C$2:$C$1001,$AB106)="","",INDEX(입력_기본자료!$C$2:$C$1001,$AB106)))</f>
        <v/>
      </c>
      <c r="D106" s="10">
        <f>IF($AB106="","",IF(INDEX(입력_기본자료!$J$2:$J$1001,$AB106)="","",INDEX(입력_기본자료!$J$2:$J$1001,$AB106)))</f>
        <v/>
      </c>
      <c r="E106" s="11">
        <f>IF($AB106="","",IF(INDEX(입력_기본자료!$K$2:$K$1001,$AB106)="","",IF(NOT(ISNUMBER(INDEX(입력_기본자료!$K$2:$K$1001,$AB106))),INDEX(입력_기본자료!$K$2:$K$1001,$AB106),IF(INDEX(입력_기본자료!$K$2:$K$1001,$AB106)&lt;1000000,INDEX(입력_기본자료!$K$2:$K$1001,$AB106),IF(AND(INDEX(입력_기본자료!$K$2:$K$1001,$AB106)&gt;=10000101,INT(MOD(INDEX(입력_기본자료!$K$2:$K$1001,$AB106),10000)/100)&gt;=1,INT(MOD(INDEX(입력_기본자료!$K$2:$K$1001,$AB106),10000)/100)&lt;=12,MOD(INDEX(입력_기본자료!$K$2:$K$1001,$AB106),100)&gt;=1,MOD(INDEX(입력_기본자료!$K$2:$K$1001,$AB106),100)&lt;=31),DATE(INT(INDEX(입력_기본자료!$K$2:$K$1001,$AB106)/10000),INT(MOD(INDEX(입력_기본자료!$K$2:$K$1001,$AB106),10000)/100),MOD(INDEX(입력_기본자료!$K$2:$K$1001,$AB106),100)),INDEX(입력_기본자료!$K$2:$K$1001,$AB106)&amp;"")))))</f>
        <v/>
      </c>
      <c r="F106" s="10">
        <f>IF($AB106="","",IF(INDEX(입력_기본자료!$D$2:$D$1001,$AB106)="","",INDEX(입력_기본자료!$D$2:$D$1001,$AB106)))</f>
        <v/>
      </c>
      <c r="G106" s="10">
        <f>IF($AB106="","",IF(INDEX(입력_기본자료!$E$2:$E$1001,$AB106)="","",INDEX(입력_기본자료!$E$2:$E$1001,$AB106)))</f>
        <v/>
      </c>
      <c r="H106" s="10">
        <f>IF($AB106="","",IF(INDEX(입력_기본자료!$F$2:$F$1001,$AB106)="","",INDEX(입력_기본자료!$F$2:$F$1001,$AB106)))</f>
        <v/>
      </c>
      <c r="I106" s="11">
        <f>IF($AB106="","",IF(INDEX(입력_기본자료!$G$2:$G$1001,$AB106)="","",IF(NOT(ISNUMBER(INDEX(입력_기본자료!$G$2:$G$1001,$AB106))),INDEX(입력_기본자료!$G$2:$G$1001,$AB106),IF(INDEX(입력_기본자료!$G$2:$G$1001,$AB106)&lt;1000000,INDEX(입력_기본자료!$G$2:$G$1001,$AB106),IF(AND(INDEX(입력_기본자료!$G$2:$G$1001,$AB106)&gt;=10000101,INT(MOD(INDEX(입력_기본자료!$G$2:$G$1001,$AB106),10000)/100)&gt;=1,INT(MOD(INDEX(입력_기본자료!$G$2:$G$1001,$AB106),10000)/100)&lt;=12,MOD(INDEX(입력_기본자료!$G$2:$G$1001,$AB106),100)&gt;=1,MOD(INDEX(입력_기본자료!$G$2:$G$1001,$AB106),100)&lt;=31),DATE(INT(INDEX(입력_기본자료!$G$2:$G$1001,$AB106)/10000),INT(MOD(INDEX(입력_기본자료!$G$2:$G$1001,$AB106),10000)/100),MOD(INDEX(입력_기본자료!$G$2:$G$1001,$AB106),100)),INDEX(입력_기본자료!$G$2:$G$1001,$AB106)&amp;"")))))</f>
        <v/>
      </c>
      <c r="J106" s="10">
        <f>IF($AB106="","",IF(INDEX(입력_기본자료!$H$2:$H$1001,$AB106)="","",INDEX(입력_기본자료!$H$2:$H$1001,$AB106)))</f>
        <v/>
      </c>
      <c r="K106" s="10">
        <f>IF($AB106="","",IF(INDEX(입력_기본자료!$I$2:$I$1001,$AB106)="","",INDEX(입력_기본자료!$I$2:$I$1001,$AB106)))</f>
        <v/>
      </c>
      <c r="L106" s="10">
        <f>IF($AB106="","",IF(INDEX(입력_기본자료!$A$2:$A$1001,$AB106)="","",INDEX(입력_기본자료!$A$2:$A$1001,$AB106)))</f>
        <v/>
      </c>
      <c r="M106" s="15" t="n"/>
      <c r="N106" s="10">
        <f>IF($B106="","",IF(AND($U106="파견중",$Q106&lt;&gt;""),$Q106,IF(AND($AD106&lt;&gt;"",LEFT($AD106,1)&lt;&gt;"⚠"),LEFT($AD106,FIND(" ",$AD106)-1),IF($H106="","",IF(RIGHT($H106,2)="병원",$H106,$H106&amp;"병원")))))</f>
        <v/>
      </c>
      <c r="O106" s="10">
        <f>IF($B106="","",IF(AND($U106="파견중",$Q106&lt;&gt;""),IF($R106&lt;&gt;"",$R106,"파견과 미입력"),IF(AND($AD106&lt;&gt;"",LEFT($AD106,1)&lt;&gt;"⚠"),MID($AD106,FIND(" ",$AD106)+1,60),IF($F106="","",IF($F106="인턴","수련교육부(인턴)",$F106)))))</f>
        <v/>
      </c>
      <c r="P106" s="10">
        <f>IF($B106="","",IF($AK106&lt;&gt;"",IF(AND(TODAY()&gt;=INDEX(입력_파견수련계획!$AB$4:$AB$803,$AK106),OR(NOT(ISNUMBER(INDEX(입력_파견수련계획!$AC$4:$AC$803,$AK106))),TODAY()&lt;=INDEX(입력_파견수련계획!$AC$4:$AC$803,$AK106))),"다기관",IF($AF106="","",INDEX(입력_파견수련계획!$T$4:$T$803,$AF106))),IF($AF106="","",INDEX(입력_파견수련계획!$T$4:$T$803,$AF106))))</f>
        <v/>
      </c>
      <c r="Q106" s="10">
        <f>IF($AF106="","",INDEX(입력_파견수련계획!$S$4:$S$803,$AF106))</f>
        <v/>
      </c>
      <c r="R106" s="10">
        <f>IF($AF106="","",INDEX(입력_파견수련계획!$U$4:$U$803,$AF106))</f>
        <v/>
      </c>
      <c r="S106" s="11">
        <f>IF($AF106="","",IF(INDEX(입력_파견수련계획!$H$4:$H$803,$AF106)="","",INDEX(입력_파견수련계획!$H$4:$H$803,$AF106)))</f>
        <v/>
      </c>
      <c r="T106" s="11">
        <f>IF($AF106="","",IF(INDEX(입력_파견수련계획!$I$4:$I$803,$AF106)="","",INDEX(입력_파견수련계획!$I$4:$I$803,$AF106)))</f>
        <v/>
      </c>
      <c r="U106" s="10">
        <f>IF($AF106="","",INDEX(입력_파견수련계획!$X$4:$X$803,$AF106))</f>
        <v/>
      </c>
      <c r="V106" s="17">
        <f>IF($AF106="","",INDEX(입력_파견수련계획!$V$4:$V$803,$AF106))</f>
        <v/>
      </c>
      <c r="W106" s="17">
        <f>IF(AND($U106="파견중",$T106&lt;&gt;""),$T106-TODAY(),"")</f>
        <v/>
      </c>
      <c r="X106" s="17">
        <f>IF(OR($B106="",TRIM($J106&amp;"")=""),"",SUMPRODUCT((입력_파견수련계획!$Q$4:$Q$803=TRIM($J106&amp;""))*입력_파견수련계획!$W$4:$W$803))</f>
        <v/>
      </c>
      <c r="Y106" s="10">
        <f>IF($B106="","",IF($AG106="","",IF(IF(TRIM($J106&amp;"")="",0,SUMPRODUCT((입력_파견수련계획!$Q$4:$Q$803=TRIM($J106&amp;""))*입력_파견수련계획!$AD$4:$AD$803))&gt;0,$AE106,IF(AND(N($X106)&lt;=0,$AQ106=""),$AG106,IF($AH106+$AI106=DAY(EOMONTH(출력_요약!$B$3,0)),IF(AND($AH106&gt;=출력_요약!$E$3,$AI106&lt;출력_요약!$E$3),"서울병원",IF(AND($AI106&gt;=출력_요약!$E$3,$AH106&lt;출력_요약!$E$3),"구리병원","⚠15일 판정불가(서울 "&amp;$AH106&amp;"일/구리 "&amp;$AI106&amp;"일)")),IF($AJ106="",$AE106,IF(INDEX(입력_파견수련계획!$T$4:$T$803,$AJ106)="통합수련",INDEX(입력_파견수련계획!$S$4:$S$803,$AJ106),$AE106)))))))</f>
        <v/>
      </c>
      <c r="Z106" s="20">
        <f>IF($B106="","",IF($AB106="","기본자료에 없는 사번",IF(COUNTIF($B$2:$B$401,$B106)&gt;1,"중복 사번",IF($AE106="","소속(입사장소) 입력",IF(IF(TRIM($J106&amp;"")="",0,SUMPRODUCT((입력_파견수련계획!$Q$4:$Q$803=TRIM($J106&amp;""))*(입력_파견수련계획!$AA$4:$AA$803&lt;&gt;"")))&gt;0,"파견수련계획 입력오류 확인",IF(LEFT($Y106,1)="⚠","서울·구리 15일 판정 불가(양쪽 모두 이상/미만)",IF(IF($AC106="",0,N(INDEX(입력_인턴근무계획!$T$3:$T$402,$AC106)))&gt;0,"인턴계획 입력오류 확인",IF(AND($AQ106&lt;&gt;"",$AG106&lt;&gt;"구리병원",IF(TRIM($J106&amp;"")="",0,SUMPRODUCT((입력_파견수련계획!$Q$4:$Q$803=TRIM($J106&amp;""))*(입력_파견수련계획!$S$4:$S$803="구리병원")*입력_파견수련계획!$W$4:$W$803))=0),"구리 근무자명단에만 있음(파견수련계획 확인)",IF(AND($AC106&lt;&gt;"",$U106&lt;&gt;"파견중",$N106&lt;&gt;$AE106),"인턴 타지역 근무: 파견 여부 확인","정상")))))))))</f>
        <v/>
      </c>
      <c r="AA106" s="5" t="n"/>
      <c r="AB106" s="10">
        <f>IF($B106="","",IFERROR(MATCH($B106,입력_기본자료!$B$2:$B$1001,0),IFERROR(MATCH($B106&amp;"",입력_기본자료!$B$2:$B$1001,0),IFERROR(MATCH(VALUE($B106),입력_기본자료!$B$2:$B$1001,0),""))))</f>
        <v/>
      </c>
      <c r="AC106" s="10">
        <f>IF($B106="","",IFERROR(MATCH($B106,입력_인턴근무계획!$D$3:$D$402,0),IFERROR(MATCH($B106&amp;"",입력_인턴근무계획!$D$3:$D$402,0),IFERROR(MATCH(VALUE($B106),입력_인턴근무계획!$D$3:$D$402,0),""))))</f>
        <v/>
      </c>
      <c r="AD106" s="10">
        <f>IF(OR($AC106="",출력_인턴현황!$G$3=""),"",INDEX(입력_인턴근무계획!$M$3:$R$402,$AC106,출력_인턴현황!$G$3)&amp;"")</f>
        <v/>
      </c>
      <c r="AE106" s="10">
        <f>IF($B106="","",IF($M106&lt;&gt;"",$M106,IF(IF($AQ106="",FALSE,INDEX(출력_구리근무자!$J$6:$J$305,$AQ106)="구리독자"),"구리병원",IF($AF106&lt;&gt;"",IF(LEFT(INDEX(입력_파견수련계획!$R$4:$R$803,$AF106),1)&lt;&gt;"⚠",INDEX(입력_파견수련계획!$R$4:$R$803,$AF106),IF($H106="","",IF(RIGHT($H106,2)="병원",$H106,$H106&amp;"병원"))),IF($H106="","",IF(RIGHT($H106,2)="병원",$H106,$H106&amp;"병원"))))))</f>
        <v/>
      </c>
      <c r="AF106" s="10">
        <f>IF(OR($B106="",TRIM($J106&amp;"")=""),"",IFERROR(MATCH(TRIM($J106&amp;"")&amp;"|파견중",입력_파견수련계획!$Y$4:$Y$803,0),IFERROR(MATCH(TRIM($J106&amp;"")&amp;"|파견예정",입력_파견수련계획!$Y$4:$Y$803,0),IFERROR(MATCH(TRIM($J106&amp;"")&amp;"|파견종료",입력_파견수련계획!$Y$4:$Y$803,0),""))))</f>
        <v/>
      </c>
      <c r="AG106" s="10">
        <f>IF($B106="","",IF(AND(IF(OR($AC106="",출력_인턴현황!$K$2=""),"",INDEX(입력_인턴근무계획!$M$3:$R$402,$AC106,출력_인턴현황!$K$2)&amp;"")&lt;&gt;"",LEFT(IF(OR($AC106="",출력_인턴현황!$K$2=""),"",INDEX(입력_인턴근무계획!$M$3:$R$402,$AC106,출력_인턴현황!$K$2)&amp;""),1)&lt;&gt;"⚠"),LEFT(IF(OR($AC106="",출력_인턴현황!$K$2=""),"",INDEX(입력_인턴근무계획!$M$3:$R$402,$AC106,출력_인턴현황!$K$2)&amp;""),FIND(" ",IF(OR($AC106="",출력_인턴현황!$K$2=""),"",INDEX(입력_인턴근무계획!$M$3:$R$402,$AC106,출력_인턴현황!$K$2)&amp;""))-1),$AE106))</f>
        <v/>
      </c>
      <c r="AH106" s="17">
        <f>IF($B106="","",IF($AQ106&lt;&gt;"",MAX(0,DAY(EOMONTH(출력_요약!$B$3,0))-N($AR106)),IF(TRIM($J106&amp;"")="",0,SUMPRODUCT((입력_파견수련계획!$Q$4:$Q$803=TRIM($J106&amp;""))*(입력_파견수련계획!$S$4:$S$803="서울병원")*입력_파견수련계획!$W$4:$W$803))+IF($AG106="서울병원",MAX(0,DAY(EOMONTH(출력_요약!$B$3,0))-N($X106)),0)))</f>
        <v/>
      </c>
      <c r="AI106" s="17">
        <f>IF($B106="","",IF($AQ106&lt;&gt;"",N($AR106),IF(TRIM($J106&amp;"")="",0,SUMPRODUCT((입력_파견수련계획!$Q$4:$Q$803=TRIM($J106&amp;""))*(입력_파견수련계획!$S$4:$S$803="구리병원")*입력_파견수련계획!$W$4:$W$803))+IF($AG106="구리병원",MAX(0,DAY(EOMONTH(출력_요약!$B$3,0))-N($X106)),0)))</f>
        <v/>
      </c>
      <c r="AJ106" s="10">
        <f>IF(OR($B106="",TRIM($J106&amp;"")=""),"",IFERROR(MATCH(TRIM($J106&amp;"")&amp;"|월",입력_파견수련계획!$Z$4:$Z$803,0),""))</f>
        <v/>
      </c>
      <c r="AK106" s="10">
        <f>IF(OR($B106="",TRIM($J106&amp;"")=""),"",IFERROR(MATCH(TRIM($J106&amp;"")&amp;"|다기관",입력_파견수련계획!$AE$4:$AE$803,0),""))</f>
        <v/>
      </c>
      <c r="AL106" s="10">
        <f>IF($AK106="","","다기관 "&amp;TEXT(INDEX(입력_파견수련계획!$AB$4:$AB$803,$AK106),"yyyy-mm-dd")&amp;"~"&amp;IF(ISNUMBER(INDEX(입력_파견수련계획!$AC$4:$AC$803,$AK106)),TEXT(INDEX(입력_파견수련계획!$AC$4:$AC$803,$AK106),"yyyy-mm-dd"),""))</f>
        <v/>
      </c>
      <c r="AM106" s="10">
        <f>IF($Y106="서울병원",COUNTIF($Y$2:$Y106,"서울병원"),"")</f>
        <v/>
      </c>
      <c r="AN106" s="10">
        <f>IF(LEFT($Y106,1)="⚠",COUNTIF($Y$2:$Y106,"⚠*"),"")</f>
        <v/>
      </c>
      <c r="AO106" s="10">
        <f>IF(OR($B106="",$Y106=""),"",IF(IF(TRIM($J106&amp;"")="",0,SUMPRODUCT((입력_파견수련계획!$Q$4:$Q$803=TRIM($J106&amp;""))*입력_파견수련계획!$AD$4:$AD$803))&gt;0,"다기관 기간 → 소속병원 지급",IF(AND(N($X106)&lt;=0,$AQ106=""),"파견 없음 → 그 달 근무병원 지급",IF($AH106+$AI106=DAY(EOMONTH(출력_요약!$B$3,0)),"서울 "&amp;$AH106&amp;"일 / 구리 "&amp;$AI106&amp;"일"&amp;IF($AQ106&lt;&gt;""," (구리 근무자명단 반영)","")&amp;" → 15일 이상 근무 병원 지급","타 병원 포함 → "&amp;IF($AJ106="","소속",INDEX(입력_파견수련계획!$T$4:$T$803,$AJ106))&amp;" 규칙"))))</f>
        <v/>
      </c>
      <c r="AP106" s="10">
        <f>IF($B106="","",$C106&amp;"|"&amp;$F106)</f>
        <v/>
      </c>
      <c r="AQ106" s="10">
        <f>IF($B106="","",IFERROR(MATCH(ROW()-1,출력_구리근무자!$K$6:$K$305,0),""))</f>
        <v/>
      </c>
      <c r="AR106" s="10">
        <f>IF($AQ106="","",INDEX(출력_구리근무자!$H$6:$H$305,$AQ106))</f>
        <v/>
      </c>
    </row>
    <row r="107">
      <c r="A107" s="10">
        <f>IF(B107="","",ROW()-1)</f>
        <v/>
      </c>
      <c r="B107" s="19" t="n"/>
      <c r="C107" s="10">
        <f>IF($AB107="","",IF(INDEX(입력_기본자료!$C$2:$C$1001,$AB107)="","",INDEX(입력_기본자료!$C$2:$C$1001,$AB107)))</f>
        <v/>
      </c>
      <c r="D107" s="10">
        <f>IF($AB107="","",IF(INDEX(입력_기본자료!$J$2:$J$1001,$AB107)="","",INDEX(입력_기본자료!$J$2:$J$1001,$AB107)))</f>
        <v/>
      </c>
      <c r="E107" s="11">
        <f>IF($AB107="","",IF(INDEX(입력_기본자료!$K$2:$K$1001,$AB107)="","",IF(NOT(ISNUMBER(INDEX(입력_기본자료!$K$2:$K$1001,$AB107))),INDEX(입력_기본자료!$K$2:$K$1001,$AB107),IF(INDEX(입력_기본자료!$K$2:$K$1001,$AB107)&lt;1000000,INDEX(입력_기본자료!$K$2:$K$1001,$AB107),IF(AND(INDEX(입력_기본자료!$K$2:$K$1001,$AB107)&gt;=10000101,INT(MOD(INDEX(입력_기본자료!$K$2:$K$1001,$AB107),10000)/100)&gt;=1,INT(MOD(INDEX(입력_기본자료!$K$2:$K$1001,$AB107),10000)/100)&lt;=12,MOD(INDEX(입력_기본자료!$K$2:$K$1001,$AB107),100)&gt;=1,MOD(INDEX(입력_기본자료!$K$2:$K$1001,$AB107),100)&lt;=31),DATE(INT(INDEX(입력_기본자료!$K$2:$K$1001,$AB107)/10000),INT(MOD(INDEX(입력_기본자료!$K$2:$K$1001,$AB107),10000)/100),MOD(INDEX(입력_기본자료!$K$2:$K$1001,$AB107),100)),INDEX(입력_기본자료!$K$2:$K$1001,$AB107)&amp;"")))))</f>
        <v/>
      </c>
      <c r="F107" s="10">
        <f>IF($AB107="","",IF(INDEX(입력_기본자료!$D$2:$D$1001,$AB107)="","",INDEX(입력_기본자료!$D$2:$D$1001,$AB107)))</f>
        <v/>
      </c>
      <c r="G107" s="10">
        <f>IF($AB107="","",IF(INDEX(입력_기본자료!$E$2:$E$1001,$AB107)="","",INDEX(입력_기본자료!$E$2:$E$1001,$AB107)))</f>
        <v/>
      </c>
      <c r="H107" s="10">
        <f>IF($AB107="","",IF(INDEX(입력_기본자료!$F$2:$F$1001,$AB107)="","",INDEX(입력_기본자료!$F$2:$F$1001,$AB107)))</f>
        <v/>
      </c>
      <c r="I107" s="11">
        <f>IF($AB107="","",IF(INDEX(입력_기본자료!$G$2:$G$1001,$AB107)="","",IF(NOT(ISNUMBER(INDEX(입력_기본자료!$G$2:$G$1001,$AB107))),INDEX(입력_기본자료!$G$2:$G$1001,$AB107),IF(INDEX(입력_기본자료!$G$2:$G$1001,$AB107)&lt;1000000,INDEX(입력_기본자료!$G$2:$G$1001,$AB107),IF(AND(INDEX(입력_기본자료!$G$2:$G$1001,$AB107)&gt;=10000101,INT(MOD(INDEX(입력_기본자료!$G$2:$G$1001,$AB107),10000)/100)&gt;=1,INT(MOD(INDEX(입력_기본자료!$G$2:$G$1001,$AB107),10000)/100)&lt;=12,MOD(INDEX(입력_기본자료!$G$2:$G$1001,$AB107),100)&gt;=1,MOD(INDEX(입력_기본자료!$G$2:$G$1001,$AB107),100)&lt;=31),DATE(INT(INDEX(입력_기본자료!$G$2:$G$1001,$AB107)/10000),INT(MOD(INDEX(입력_기본자료!$G$2:$G$1001,$AB107),10000)/100),MOD(INDEX(입력_기본자료!$G$2:$G$1001,$AB107),100)),INDEX(입력_기본자료!$G$2:$G$1001,$AB107)&amp;"")))))</f>
        <v/>
      </c>
      <c r="J107" s="10">
        <f>IF($AB107="","",IF(INDEX(입력_기본자료!$H$2:$H$1001,$AB107)="","",INDEX(입력_기본자료!$H$2:$H$1001,$AB107)))</f>
        <v/>
      </c>
      <c r="K107" s="10">
        <f>IF($AB107="","",IF(INDEX(입력_기본자료!$I$2:$I$1001,$AB107)="","",INDEX(입력_기본자료!$I$2:$I$1001,$AB107)))</f>
        <v/>
      </c>
      <c r="L107" s="10">
        <f>IF($AB107="","",IF(INDEX(입력_기본자료!$A$2:$A$1001,$AB107)="","",INDEX(입력_기본자료!$A$2:$A$1001,$AB107)))</f>
        <v/>
      </c>
      <c r="M107" s="15" t="n"/>
      <c r="N107" s="10">
        <f>IF($B107="","",IF(AND($U107="파견중",$Q107&lt;&gt;""),$Q107,IF(AND($AD107&lt;&gt;"",LEFT($AD107,1)&lt;&gt;"⚠"),LEFT($AD107,FIND(" ",$AD107)-1),IF($H107="","",IF(RIGHT($H107,2)="병원",$H107,$H107&amp;"병원")))))</f>
        <v/>
      </c>
      <c r="O107" s="10">
        <f>IF($B107="","",IF(AND($U107="파견중",$Q107&lt;&gt;""),IF($R107&lt;&gt;"",$R107,"파견과 미입력"),IF(AND($AD107&lt;&gt;"",LEFT($AD107,1)&lt;&gt;"⚠"),MID($AD107,FIND(" ",$AD107)+1,60),IF($F107="","",IF($F107="인턴","수련교육부(인턴)",$F107)))))</f>
        <v/>
      </c>
      <c r="P107" s="10">
        <f>IF($B107="","",IF($AK107&lt;&gt;"",IF(AND(TODAY()&gt;=INDEX(입력_파견수련계획!$AB$4:$AB$803,$AK107),OR(NOT(ISNUMBER(INDEX(입력_파견수련계획!$AC$4:$AC$803,$AK107))),TODAY()&lt;=INDEX(입력_파견수련계획!$AC$4:$AC$803,$AK107))),"다기관",IF($AF107="","",INDEX(입력_파견수련계획!$T$4:$T$803,$AF107))),IF($AF107="","",INDEX(입력_파견수련계획!$T$4:$T$803,$AF107))))</f>
        <v/>
      </c>
      <c r="Q107" s="10">
        <f>IF($AF107="","",INDEX(입력_파견수련계획!$S$4:$S$803,$AF107))</f>
        <v/>
      </c>
      <c r="R107" s="10">
        <f>IF($AF107="","",INDEX(입력_파견수련계획!$U$4:$U$803,$AF107))</f>
        <v/>
      </c>
      <c r="S107" s="11">
        <f>IF($AF107="","",IF(INDEX(입력_파견수련계획!$H$4:$H$803,$AF107)="","",INDEX(입력_파견수련계획!$H$4:$H$803,$AF107)))</f>
        <v/>
      </c>
      <c r="T107" s="11">
        <f>IF($AF107="","",IF(INDEX(입력_파견수련계획!$I$4:$I$803,$AF107)="","",INDEX(입력_파견수련계획!$I$4:$I$803,$AF107)))</f>
        <v/>
      </c>
      <c r="U107" s="10">
        <f>IF($AF107="","",INDEX(입력_파견수련계획!$X$4:$X$803,$AF107))</f>
        <v/>
      </c>
      <c r="V107" s="17">
        <f>IF($AF107="","",INDEX(입력_파견수련계획!$V$4:$V$803,$AF107))</f>
        <v/>
      </c>
      <c r="W107" s="17">
        <f>IF(AND($U107="파견중",$T107&lt;&gt;""),$T107-TODAY(),"")</f>
        <v/>
      </c>
      <c r="X107" s="17">
        <f>IF(OR($B107="",TRIM($J107&amp;"")=""),"",SUMPRODUCT((입력_파견수련계획!$Q$4:$Q$803=TRIM($J107&amp;""))*입력_파견수련계획!$W$4:$W$803))</f>
        <v/>
      </c>
      <c r="Y107" s="10">
        <f>IF($B107="","",IF($AG107="","",IF(IF(TRIM($J107&amp;"")="",0,SUMPRODUCT((입력_파견수련계획!$Q$4:$Q$803=TRIM($J107&amp;""))*입력_파견수련계획!$AD$4:$AD$803))&gt;0,$AE107,IF(AND(N($X107)&lt;=0,$AQ107=""),$AG107,IF($AH107+$AI107=DAY(EOMONTH(출력_요약!$B$3,0)),IF(AND($AH107&gt;=출력_요약!$E$3,$AI107&lt;출력_요약!$E$3),"서울병원",IF(AND($AI107&gt;=출력_요약!$E$3,$AH107&lt;출력_요약!$E$3),"구리병원","⚠15일 판정불가(서울 "&amp;$AH107&amp;"일/구리 "&amp;$AI107&amp;"일)")),IF($AJ107="",$AE107,IF(INDEX(입력_파견수련계획!$T$4:$T$803,$AJ107)="통합수련",INDEX(입력_파견수련계획!$S$4:$S$803,$AJ107),$AE107)))))))</f>
        <v/>
      </c>
      <c r="Z107" s="20">
        <f>IF($B107="","",IF($AB107="","기본자료에 없는 사번",IF(COUNTIF($B$2:$B$401,$B107)&gt;1,"중복 사번",IF($AE107="","소속(입사장소) 입력",IF(IF(TRIM($J107&amp;"")="",0,SUMPRODUCT((입력_파견수련계획!$Q$4:$Q$803=TRIM($J107&amp;""))*(입력_파견수련계획!$AA$4:$AA$803&lt;&gt;"")))&gt;0,"파견수련계획 입력오류 확인",IF(LEFT($Y107,1)="⚠","서울·구리 15일 판정 불가(양쪽 모두 이상/미만)",IF(IF($AC107="",0,N(INDEX(입력_인턴근무계획!$T$3:$T$402,$AC107)))&gt;0,"인턴계획 입력오류 확인",IF(AND($AQ107&lt;&gt;"",$AG107&lt;&gt;"구리병원",IF(TRIM($J107&amp;"")="",0,SUMPRODUCT((입력_파견수련계획!$Q$4:$Q$803=TRIM($J107&amp;""))*(입력_파견수련계획!$S$4:$S$803="구리병원")*입력_파견수련계획!$W$4:$W$803))=0),"구리 근무자명단에만 있음(파견수련계획 확인)",IF(AND($AC107&lt;&gt;"",$U107&lt;&gt;"파견중",$N107&lt;&gt;$AE107),"인턴 타지역 근무: 파견 여부 확인","정상")))))))))</f>
        <v/>
      </c>
      <c r="AA107" s="5" t="n"/>
      <c r="AB107" s="10">
        <f>IF($B107="","",IFERROR(MATCH($B107,입력_기본자료!$B$2:$B$1001,0),IFERROR(MATCH($B107&amp;"",입력_기본자료!$B$2:$B$1001,0),IFERROR(MATCH(VALUE($B107),입력_기본자료!$B$2:$B$1001,0),""))))</f>
        <v/>
      </c>
      <c r="AC107" s="10">
        <f>IF($B107="","",IFERROR(MATCH($B107,입력_인턴근무계획!$D$3:$D$402,0),IFERROR(MATCH($B107&amp;"",입력_인턴근무계획!$D$3:$D$402,0),IFERROR(MATCH(VALUE($B107),입력_인턴근무계획!$D$3:$D$402,0),""))))</f>
        <v/>
      </c>
      <c r="AD107" s="10">
        <f>IF(OR($AC107="",출력_인턴현황!$G$3=""),"",INDEX(입력_인턴근무계획!$M$3:$R$402,$AC107,출력_인턴현황!$G$3)&amp;"")</f>
        <v/>
      </c>
      <c r="AE107" s="10">
        <f>IF($B107="","",IF($M107&lt;&gt;"",$M107,IF(IF($AQ107="",FALSE,INDEX(출력_구리근무자!$J$6:$J$305,$AQ107)="구리독자"),"구리병원",IF($AF107&lt;&gt;"",IF(LEFT(INDEX(입력_파견수련계획!$R$4:$R$803,$AF107),1)&lt;&gt;"⚠",INDEX(입력_파견수련계획!$R$4:$R$803,$AF107),IF($H107="","",IF(RIGHT($H107,2)="병원",$H107,$H107&amp;"병원"))),IF($H107="","",IF(RIGHT($H107,2)="병원",$H107,$H107&amp;"병원"))))))</f>
        <v/>
      </c>
      <c r="AF107" s="10">
        <f>IF(OR($B107="",TRIM($J107&amp;"")=""),"",IFERROR(MATCH(TRIM($J107&amp;"")&amp;"|파견중",입력_파견수련계획!$Y$4:$Y$803,0),IFERROR(MATCH(TRIM($J107&amp;"")&amp;"|파견예정",입력_파견수련계획!$Y$4:$Y$803,0),IFERROR(MATCH(TRIM($J107&amp;"")&amp;"|파견종료",입력_파견수련계획!$Y$4:$Y$803,0),""))))</f>
        <v/>
      </c>
      <c r="AG107" s="10">
        <f>IF($B107="","",IF(AND(IF(OR($AC107="",출력_인턴현황!$K$2=""),"",INDEX(입력_인턴근무계획!$M$3:$R$402,$AC107,출력_인턴현황!$K$2)&amp;"")&lt;&gt;"",LEFT(IF(OR($AC107="",출력_인턴현황!$K$2=""),"",INDEX(입력_인턴근무계획!$M$3:$R$402,$AC107,출력_인턴현황!$K$2)&amp;""),1)&lt;&gt;"⚠"),LEFT(IF(OR($AC107="",출력_인턴현황!$K$2=""),"",INDEX(입력_인턴근무계획!$M$3:$R$402,$AC107,출력_인턴현황!$K$2)&amp;""),FIND(" ",IF(OR($AC107="",출력_인턴현황!$K$2=""),"",INDEX(입력_인턴근무계획!$M$3:$R$402,$AC107,출력_인턴현황!$K$2)&amp;""))-1),$AE107))</f>
        <v/>
      </c>
      <c r="AH107" s="17">
        <f>IF($B107="","",IF($AQ107&lt;&gt;"",MAX(0,DAY(EOMONTH(출력_요약!$B$3,0))-N($AR107)),IF(TRIM($J107&amp;"")="",0,SUMPRODUCT((입력_파견수련계획!$Q$4:$Q$803=TRIM($J107&amp;""))*(입력_파견수련계획!$S$4:$S$803="서울병원")*입력_파견수련계획!$W$4:$W$803))+IF($AG107="서울병원",MAX(0,DAY(EOMONTH(출력_요약!$B$3,0))-N($X107)),0)))</f>
        <v/>
      </c>
      <c r="AI107" s="17">
        <f>IF($B107="","",IF($AQ107&lt;&gt;"",N($AR107),IF(TRIM($J107&amp;"")="",0,SUMPRODUCT((입력_파견수련계획!$Q$4:$Q$803=TRIM($J107&amp;""))*(입력_파견수련계획!$S$4:$S$803="구리병원")*입력_파견수련계획!$W$4:$W$803))+IF($AG107="구리병원",MAX(0,DAY(EOMONTH(출력_요약!$B$3,0))-N($X107)),0)))</f>
        <v/>
      </c>
      <c r="AJ107" s="10">
        <f>IF(OR($B107="",TRIM($J107&amp;"")=""),"",IFERROR(MATCH(TRIM($J107&amp;"")&amp;"|월",입력_파견수련계획!$Z$4:$Z$803,0),""))</f>
        <v/>
      </c>
      <c r="AK107" s="10">
        <f>IF(OR($B107="",TRIM($J107&amp;"")=""),"",IFERROR(MATCH(TRIM($J107&amp;"")&amp;"|다기관",입력_파견수련계획!$AE$4:$AE$803,0),""))</f>
        <v/>
      </c>
      <c r="AL107" s="10">
        <f>IF($AK107="","","다기관 "&amp;TEXT(INDEX(입력_파견수련계획!$AB$4:$AB$803,$AK107),"yyyy-mm-dd")&amp;"~"&amp;IF(ISNUMBER(INDEX(입력_파견수련계획!$AC$4:$AC$803,$AK107)),TEXT(INDEX(입력_파견수련계획!$AC$4:$AC$803,$AK107),"yyyy-mm-dd"),""))</f>
        <v/>
      </c>
      <c r="AM107" s="10">
        <f>IF($Y107="서울병원",COUNTIF($Y$2:$Y107,"서울병원"),"")</f>
        <v/>
      </c>
      <c r="AN107" s="10">
        <f>IF(LEFT($Y107,1)="⚠",COUNTIF($Y$2:$Y107,"⚠*"),"")</f>
        <v/>
      </c>
      <c r="AO107" s="10">
        <f>IF(OR($B107="",$Y107=""),"",IF(IF(TRIM($J107&amp;"")="",0,SUMPRODUCT((입력_파견수련계획!$Q$4:$Q$803=TRIM($J107&amp;""))*입력_파견수련계획!$AD$4:$AD$803))&gt;0,"다기관 기간 → 소속병원 지급",IF(AND(N($X107)&lt;=0,$AQ107=""),"파견 없음 → 그 달 근무병원 지급",IF($AH107+$AI107=DAY(EOMONTH(출력_요약!$B$3,0)),"서울 "&amp;$AH107&amp;"일 / 구리 "&amp;$AI107&amp;"일"&amp;IF($AQ107&lt;&gt;""," (구리 근무자명단 반영)","")&amp;" → 15일 이상 근무 병원 지급","타 병원 포함 → "&amp;IF($AJ107="","소속",INDEX(입력_파견수련계획!$T$4:$T$803,$AJ107))&amp;" 규칙"))))</f>
        <v/>
      </c>
      <c r="AP107" s="10">
        <f>IF($B107="","",$C107&amp;"|"&amp;$F107)</f>
        <v/>
      </c>
      <c r="AQ107" s="10">
        <f>IF($B107="","",IFERROR(MATCH(ROW()-1,출력_구리근무자!$K$6:$K$305,0),""))</f>
        <v/>
      </c>
      <c r="AR107" s="10">
        <f>IF($AQ107="","",INDEX(출력_구리근무자!$H$6:$H$305,$AQ107))</f>
        <v/>
      </c>
    </row>
    <row r="108">
      <c r="A108" s="10">
        <f>IF(B108="","",ROW()-1)</f>
        <v/>
      </c>
      <c r="B108" s="19" t="n"/>
      <c r="C108" s="10">
        <f>IF($AB108="","",IF(INDEX(입력_기본자료!$C$2:$C$1001,$AB108)="","",INDEX(입력_기본자료!$C$2:$C$1001,$AB108)))</f>
        <v/>
      </c>
      <c r="D108" s="10">
        <f>IF($AB108="","",IF(INDEX(입력_기본자료!$J$2:$J$1001,$AB108)="","",INDEX(입력_기본자료!$J$2:$J$1001,$AB108)))</f>
        <v/>
      </c>
      <c r="E108" s="11">
        <f>IF($AB108="","",IF(INDEX(입력_기본자료!$K$2:$K$1001,$AB108)="","",IF(NOT(ISNUMBER(INDEX(입력_기본자료!$K$2:$K$1001,$AB108))),INDEX(입력_기본자료!$K$2:$K$1001,$AB108),IF(INDEX(입력_기본자료!$K$2:$K$1001,$AB108)&lt;1000000,INDEX(입력_기본자료!$K$2:$K$1001,$AB108),IF(AND(INDEX(입력_기본자료!$K$2:$K$1001,$AB108)&gt;=10000101,INT(MOD(INDEX(입력_기본자료!$K$2:$K$1001,$AB108),10000)/100)&gt;=1,INT(MOD(INDEX(입력_기본자료!$K$2:$K$1001,$AB108),10000)/100)&lt;=12,MOD(INDEX(입력_기본자료!$K$2:$K$1001,$AB108),100)&gt;=1,MOD(INDEX(입력_기본자료!$K$2:$K$1001,$AB108),100)&lt;=31),DATE(INT(INDEX(입력_기본자료!$K$2:$K$1001,$AB108)/10000),INT(MOD(INDEX(입력_기본자료!$K$2:$K$1001,$AB108),10000)/100),MOD(INDEX(입력_기본자료!$K$2:$K$1001,$AB108),100)),INDEX(입력_기본자료!$K$2:$K$1001,$AB108)&amp;"")))))</f>
        <v/>
      </c>
      <c r="F108" s="10">
        <f>IF($AB108="","",IF(INDEX(입력_기본자료!$D$2:$D$1001,$AB108)="","",INDEX(입력_기본자료!$D$2:$D$1001,$AB108)))</f>
        <v/>
      </c>
      <c r="G108" s="10">
        <f>IF($AB108="","",IF(INDEX(입력_기본자료!$E$2:$E$1001,$AB108)="","",INDEX(입력_기본자료!$E$2:$E$1001,$AB108)))</f>
        <v/>
      </c>
      <c r="H108" s="10">
        <f>IF($AB108="","",IF(INDEX(입력_기본자료!$F$2:$F$1001,$AB108)="","",INDEX(입력_기본자료!$F$2:$F$1001,$AB108)))</f>
        <v/>
      </c>
      <c r="I108" s="11">
        <f>IF($AB108="","",IF(INDEX(입력_기본자료!$G$2:$G$1001,$AB108)="","",IF(NOT(ISNUMBER(INDEX(입력_기본자료!$G$2:$G$1001,$AB108))),INDEX(입력_기본자료!$G$2:$G$1001,$AB108),IF(INDEX(입력_기본자료!$G$2:$G$1001,$AB108)&lt;1000000,INDEX(입력_기본자료!$G$2:$G$1001,$AB108),IF(AND(INDEX(입력_기본자료!$G$2:$G$1001,$AB108)&gt;=10000101,INT(MOD(INDEX(입력_기본자료!$G$2:$G$1001,$AB108),10000)/100)&gt;=1,INT(MOD(INDEX(입력_기본자료!$G$2:$G$1001,$AB108),10000)/100)&lt;=12,MOD(INDEX(입력_기본자료!$G$2:$G$1001,$AB108),100)&gt;=1,MOD(INDEX(입력_기본자료!$G$2:$G$1001,$AB108),100)&lt;=31),DATE(INT(INDEX(입력_기본자료!$G$2:$G$1001,$AB108)/10000),INT(MOD(INDEX(입력_기본자료!$G$2:$G$1001,$AB108),10000)/100),MOD(INDEX(입력_기본자료!$G$2:$G$1001,$AB108),100)),INDEX(입력_기본자료!$G$2:$G$1001,$AB108)&amp;"")))))</f>
        <v/>
      </c>
      <c r="J108" s="10">
        <f>IF($AB108="","",IF(INDEX(입력_기본자료!$H$2:$H$1001,$AB108)="","",INDEX(입력_기본자료!$H$2:$H$1001,$AB108)))</f>
        <v/>
      </c>
      <c r="K108" s="10">
        <f>IF($AB108="","",IF(INDEX(입력_기본자료!$I$2:$I$1001,$AB108)="","",INDEX(입력_기본자료!$I$2:$I$1001,$AB108)))</f>
        <v/>
      </c>
      <c r="L108" s="10">
        <f>IF($AB108="","",IF(INDEX(입력_기본자료!$A$2:$A$1001,$AB108)="","",INDEX(입력_기본자료!$A$2:$A$1001,$AB108)))</f>
        <v/>
      </c>
      <c r="M108" s="15" t="n"/>
      <c r="N108" s="10">
        <f>IF($B108="","",IF(AND($U108="파견중",$Q108&lt;&gt;""),$Q108,IF(AND($AD108&lt;&gt;"",LEFT($AD108,1)&lt;&gt;"⚠"),LEFT($AD108,FIND(" ",$AD108)-1),IF($H108="","",IF(RIGHT($H108,2)="병원",$H108,$H108&amp;"병원")))))</f>
        <v/>
      </c>
      <c r="O108" s="10">
        <f>IF($B108="","",IF(AND($U108="파견중",$Q108&lt;&gt;""),IF($R108&lt;&gt;"",$R108,"파견과 미입력"),IF(AND($AD108&lt;&gt;"",LEFT($AD108,1)&lt;&gt;"⚠"),MID($AD108,FIND(" ",$AD108)+1,60),IF($F108="","",IF($F108="인턴","수련교육부(인턴)",$F108)))))</f>
        <v/>
      </c>
      <c r="P108" s="10">
        <f>IF($B108="","",IF($AK108&lt;&gt;"",IF(AND(TODAY()&gt;=INDEX(입력_파견수련계획!$AB$4:$AB$803,$AK108),OR(NOT(ISNUMBER(INDEX(입력_파견수련계획!$AC$4:$AC$803,$AK108))),TODAY()&lt;=INDEX(입력_파견수련계획!$AC$4:$AC$803,$AK108))),"다기관",IF($AF108="","",INDEX(입력_파견수련계획!$T$4:$T$803,$AF108))),IF($AF108="","",INDEX(입력_파견수련계획!$T$4:$T$803,$AF108))))</f>
        <v/>
      </c>
      <c r="Q108" s="10">
        <f>IF($AF108="","",INDEX(입력_파견수련계획!$S$4:$S$803,$AF108))</f>
        <v/>
      </c>
      <c r="R108" s="10">
        <f>IF($AF108="","",INDEX(입력_파견수련계획!$U$4:$U$803,$AF108))</f>
        <v/>
      </c>
      <c r="S108" s="11">
        <f>IF($AF108="","",IF(INDEX(입력_파견수련계획!$H$4:$H$803,$AF108)="","",INDEX(입력_파견수련계획!$H$4:$H$803,$AF108)))</f>
        <v/>
      </c>
      <c r="T108" s="11">
        <f>IF($AF108="","",IF(INDEX(입력_파견수련계획!$I$4:$I$803,$AF108)="","",INDEX(입력_파견수련계획!$I$4:$I$803,$AF108)))</f>
        <v/>
      </c>
      <c r="U108" s="10">
        <f>IF($AF108="","",INDEX(입력_파견수련계획!$X$4:$X$803,$AF108))</f>
        <v/>
      </c>
      <c r="V108" s="17">
        <f>IF($AF108="","",INDEX(입력_파견수련계획!$V$4:$V$803,$AF108))</f>
        <v/>
      </c>
      <c r="W108" s="17">
        <f>IF(AND($U108="파견중",$T108&lt;&gt;""),$T108-TODAY(),"")</f>
        <v/>
      </c>
      <c r="X108" s="17">
        <f>IF(OR($B108="",TRIM($J108&amp;"")=""),"",SUMPRODUCT((입력_파견수련계획!$Q$4:$Q$803=TRIM($J108&amp;""))*입력_파견수련계획!$W$4:$W$803))</f>
        <v/>
      </c>
      <c r="Y108" s="10">
        <f>IF($B108="","",IF($AG108="","",IF(IF(TRIM($J108&amp;"")="",0,SUMPRODUCT((입력_파견수련계획!$Q$4:$Q$803=TRIM($J108&amp;""))*입력_파견수련계획!$AD$4:$AD$803))&gt;0,$AE108,IF(AND(N($X108)&lt;=0,$AQ108=""),$AG108,IF($AH108+$AI108=DAY(EOMONTH(출력_요약!$B$3,0)),IF(AND($AH108&gt;=출력_요약!$E$3,$AI108&lt;출력_요약!$E$3),"서울병원",IF(AND($AI108&gt;=출력_요약!$E$3,$AH108&lt;출력_요약!$E$3),"구리병원","⚠15일 판정불가(서울 "&amp;$AH108&amp;"일/구리 "&amp;$AI108&amp;"일)")),IF($AJ108="",$AE108,IF(INDEX(입력_파견수련계획!$T$4:$T$803,$AJ108)="통합수련",INDEX(입력_파견수련계획!$S$4:$S$803,$AJ108),$AE108)))))))</f>
        <v/>
      </c>
      <c r="Z108" s="20">
        <f>IF($B108="","",IF($AB108="","기본자료에 없는 사번",IF(COUNTIF($B$2:$B$401,$B108)&gt;1,"중복 사번",IF($AE108="","소속(입사장소) 입력",IF(IF(TRIM($J108&amp;"")="",0,SUMPRODUCT((입력_파견수련계획!$Q$4:$Q$803=TRIM($J108&amp;""))*(입력_파견수련계획!$AA$4:$AA$803&lt;&gt;"")))&gt;0,"파견수련계획 입력오류 확인",IF(LEFT($Y108,1)="⚠","서울·구리 15일 판정 불가(양쪽 모두 이상/미만)",IF(IF($AC108="",0,N(INDEX(입력_인턴근무계획!$T$3:$T$402,$AC108)))&gt;0,"인턴계획 입력오류 확인",IF(AND($AQ108&lt;&gt;"",$AG108&lt;&gt;"구리병원",IF(TRIM($J108&amp;"")="",0,SUMPRODUCT((입력_파견수련계획!$Q$4:$Q$803=TRIM($J108&amp;""))*(입력_파견수련계획!$S$4:$S$803="구리병원")*입력_파견수련계획!$W$4:$W$803))=0),"구리 근무자명단에만 있음(파견수련계획 확인)",IF(AND($AC108&lt;&gt;"",$U108&lt;&gt;"파견중",$N108&lt;&gt;$AE108),"인턴 타지역 근무: 파견 여부 확인","정상")))))))))</f>
        <v/>
      </c>
      <c r="AA108" s="5" t="n"/>
      <c r="AB108" s="10">
        <f>IF($B108="","",IFERROR(MATCH($B108,입력_기본자료!$B$2:$B$1001,0),IFERROR(MATCH($B108&amp;"",입력_기본자료!$B$2:$B$1001,0),IFERROR(MATCH(VALUE($B108),입력_기본자료!$B$2:$B$1001,0),""))))</f>
        <v/>
      </c>
      <c r="AC108" s="10">
        <f>IF($B108="","",IFERROR(MATCH($B108,입력_인턴근무계획!$D$3:$D$402,0),IFERROR(MATCH($B108&amp;"",입력_인턴근무계획!$D$3:$D$402,0),IFERROR(MATCH(VALUE($B108),입력_인턴근무계획!$D$3:$D$402,0),""))))</f>
        <v/>
      </c>
      <c r="AD108" s="10">
        <f>IF(OR($AC108="",출력_인턴현황!$G$3=""),"",INDEX(입력_인턴근무계획!$M$3:$R$402,$AC108,출력_인턴현황!$G$3)&amp;"")</f>
        <v/>
      </c>
      <c r="AE108" s="10">
        <f>IF($B108="","",IF($M108&lt;&gt;"",$M108,IF(IF($AQ108="",FALSE,INDEX(출력_구리근무자!$J$6:$J$305,$AQ108)="구리독자"),"구리병원",IF($AF108&lt;&gt;"",IF(LEFT(INDEX(입력_파견수련계획!$R$4:$R$803,$AF108),1)&lt;&gt;"⚠",INDEX(입력_파견수련계획!$R$4:$R$803,$AF108),IF($H108="","",IF(RIGHT($H108,2)="병원",$H108,$H108&amp;"병원"))),IF($H108="","",IF(RIGHT($H108,2)="병원",$H108,$H108&amp;"병원"))))))</f>
        <v/>
      </c>
      <c r="AF108" s="10">
        <f>IF(OR($B108="",TRIM($J108&amp;"")=""),"",IFERROR(MATCH(TRIM($J108&amp;"")&amp;"|파견중",입력_파견수련계획!$Y$4:$Y$803,0),IFERROR(MATCH(TRIM($J108&amp;"")&amp;"|파견예정",입력_파견수련계획!$Y$4:$Y$803,0),IFERROR(MATCH(TRIM($J108&amp;"")&amp;"|파견종료",입력_파견수련계획!$Y$4:$Y$803,0),""))))</f>
        <v/>
      </c>
      <c r="AG108" s="10">
        <f>IF($B108="","",IF(AND(IF(OR($AC108="",출력_인턴현황!$K$2=""),"",INDEX(입력_인턴근무계획!$M$3:$R$402,$AC108,출력_인턴현황!$K$2)&amp;"")&lt;&gt;"",LEFT(IF(OR($AC108="",출력_인턴현황!$K$2=""),"",INDEX(입력_인턴근무계획!$M$3:$R$402,$AC108,출력_인턴현황!$K$2)&amp;""),1)&lt;&gt;"⚠"),LEFT(IF(OR($AC108="",출력_인턴현황!$K$2=""),"",INDEX(입력_인턴근무계획!$M$3:$R$402,$AC108,출력_인턴현황!$K$2)&amp;""),FIND(" ",IF(OR($AC108="",출력_인턴현황!$K$2=""),"",INDEX(입력_인턴근무계획!$M$3:$R$402,$AC108,출력_인턴현황!$K$2)&amp;""))-1),$AE108))</f>
        <v/>
      </c>
      <c r="AH108" s="17">
        <f>IF($B108="","",IF($AQ108&lt;&gt;"",MAX(0,DAY(EOMONTH(출력_요약!$B$3,0))-N($AR108)),IF(TRIM($J108&amp;"")="",0,SUMPRODUCT((입력_파견수련계획!$Q$4:$Q$803=TRIM($J108&amp;""))*(입력_파견수련계획!$S$4:$S$803="서울병원")*입력_파견수련계획!$W$4:$W$803))+IF($AG108="서울병원",MAX(0,DAY(EOMONTH(출력_요약!$B$3,0))-N($X108)),0)))</f>
        <v/>
      </c>
      <c r="AI108" s="17">
        <f>IF($B108="","",IF($AQ108&lt;&gt;"",N($AR108),IF(TRIM($J108&amp;"")="",0,SUMPRODUCT((입력_파견수련계획!$Q$4:$Q$803=TRIM($J108&amp;""))*(입력_파견수련계획!$S$4:$S$803="구리병원")*입력_파견수련계획!$W$4:$W$803))+IF($AG108="구리병원",MAX(0,DAY(EOMONTH(출력_요약!$B$3,0))-N($X108)),0)))</f>
        <v/>
      </c>
      <c r="AJ108" s="10">
        <f>IF(OR($B108="",TRIM($J108&amp;"")=""),"",IFERROR(MATCH(TRIM($J108&amp;"")&amp;"|월",입력_파견수련계획!$Z$4:$Z$803,0),""))</f>
        <v/>
      </c>
      <c r="AK108" s="10">
        <f>IF(OR($B108="",TRIM($J108&amp;"")=""),"",IFERROR(MATCH(TRIM($J108&amp;"")&amp;"|다기관",입력_파견수련계획!$AE$4:$AE$803,0),""))</f>
        <v/>
      </c>
      <c r="AL108" s="10">
        <f>IF($AK108="","","다기관 "&amp;TEXT(INDEX(입력_파견수련계획!$AB$4:$AB$803,$AK108),"yyyy-mm-dd")&amp;"~"&amp;IF(ISNUMBER(INDEX(입력_파견수련계획!$AC$4:$AC$803,$AK108)),TEXT(INDEX(입력_파견수련계획!$AC$4:$AC$803,$AK108),"yyyy-mm-dd"),""))</f>
        <v/>
      </c>
      <c r="AM108" s="10">
        <f>IF($Y108="서울병원",COUNTIF($Y$2:$Y108,"서울병원"),"")</f>
        <v/>
      </c>
      <c r="AN108" s="10">
        <f>IF(LEFT($Y108,1)="⚠",COUNTIF($Y$2:$Y108,"⚠*"),"")</f>
        <v/>
      </c>
      <c r="AO108" s="10">
        <f>IF(OR($B108="",$Y108=""),"",IF(IF(TRIM($J108&amp;"")="",0,SUMPRODUCT((입력_파견수련계획!$Q$4:$Q$803=TRIM($J108&amp;""))*입력_파견수련계획!$AD$4:$AD$803))&gt;0,"다기관 기간 → 소속병원 지급",IF(AND(N($X108)&lt;=0,$AQ108=""),"파견 없음 → 그 달 근무병원 지급",IF($AH108+$AI108=DAY(EOMONTH(출력_요약!$B$3,0)),"서울 "&amp;$AH108&amp;"일 / 구리 "&amp;$AI108&amp;"일"&amp;IF($AQ108&lt;&gt;""," (구리 근무자명단 반영)","")&amp;" → 15일 이상 근무 병원 지급","타 병원 포함 → "&amp;IF($AJ108="","소속",INDEX(입력_파견수련계획!$T$4:$T$803,$AJ108))&amp;" 규칙"))))</f>
        <v/>
      </c>
      <c r="AP108" s="10">
        <f>IF($B108="","",$C108&amp;"|"&amp;$F108)</f>
        <v/>
      </c>
      <c r="AQ108" s="10">
        <f>IF($B108="","",IFERROR(MATCH(ROW()-1,출력_구리근무자!$K$6:$K$305,0),""))</f>
        <v/>
      </c>
      <c r="AR108" s="10">
        <f>IF($AQ108="","",INDEX(출력_구리근무자!$H$6:$H$305,$AQ108))</f>
        <v/>
      </c>
    </row>
    <row r="109">
      <c r="A109" s="10">
        <f>IF(B109="","",ROW()-1)</f>
        <v/>
      </c>
      <c r="B109" s="19" t="n"/>
      <c r="C109" s="10">
        <f>IF($AB109="","",IF(INDEX(입력_기본자료!$C$2:$C$1001,$AB109)="","",INDEX(입력_기본자료!$C$2:$C$1001,$AB109)))</f>
        <v/>
      </c>
      <c r="D109" s="10">
        <f>IF($AB109="","",IF(INDEX(입력_기본자료!$J$2:$J$1001,$AB109)="","",INDEX(입력_기본자료!$J$2:$J$1001,$AB109)))</f>
        <v/>
      </c>
      <c r="E109" s="11">
        <f>IF($AB109="","",IF(INDEX(입력_기본자료!$K$2:$K$1001,$AB109)="","",IF(NOT(ISNUMBER(INDEX(입력_기본자료!$K$2:$K$1001,$AB109))),INDEX(입력_기본자료!$K$2:$K$1001,$AB109),IF(INDEX(입력_기본자료!$K$2:$K$1001,$AB109)&lt;1000000,INDEX(입력_기본자료!$K$2:$K$1001,$AB109),IF(AND(INDEX(입력_기본자료!$K$2:$K$1001,$AB109)&gt;=10000101,INT(MOD(INDEX(입력_기본자료!$K$2:$K$1001,$AB109),10000)/100)&gt;=1,INT(MOD(INDEX(입력_기본자료!$K$2:$K$1001,$AB109),10000)/100)&lt;=12,MOD(INDEX(입력_기본자료!$K$2:$K$1001,$AB109),100)&gt;=1,MOD(INDEX(입력_기본자료!$K$2:$K$1001,$AB109),100)&lt;=31),DATE(INT(INDEX(입력_기본자료!$K$2:$K$1001,$AB109)/10000),INT(MOD(INDEX(입력_기본자료!$K$2:$K$1001,$AB109),10000)/100),MOD(INDEX(입력_기본자료!$K$2:$K$1001,$AB109),100)),INDEX(입력_기본자료!$K$2:$K$1001,$AB109)&amp;"")))))</f>
        <v/>
      </c>
      <c r="F109" s="10">
        <f>IF($AB109="","",IF(INDEX(입력_기본자료!$D$2:$D$1001,$AB109)="","",INDEX(입력_기본자료!$D$2:$D$1001,$AB109)))</f>
        <v/>
      </c>
      <c r="G109" s="10">
        <f>IF($AB109="","",IF(INDEX(입력_기본자료!$E$2:$E$1001,$AB109)="","",INDEX(입력_기본자료!$E$2:$E$1001,$AB109)))</f>
        <v/>
      </c>
      <c r="H109" s="10">
        <f>IF($AB109="","",IF(INDEX(입력_기본자료!$F$2:$F$1001,$AB109)="","",INDEX(입력_기본자료!$F$2:$F$1001,$AB109)))</f>
        <v/>
      </c>
      <c r="I109" s="11">
        <f>IF($AB109="","",IF(INDEX(입력_기본자료!$G$2:$G$1001,$AB109)="","",IF(NOT(ISNUMBER(INDEX(입력_기본자료!$G$2:$G$1001,$AB109))),INDEX(입력_기본자료!$G$2:$G$1001,$AB109),IF(INDEX(입력_기본자료!$G$2:$G$1001,$AB109)&lt;1000000,INDEX(입력_기본자료!$G$2:$G$1001,$AB109),IF(AND(INDEX(입력_기본자료!$G$2:$G$1001,$AB109)&gt;=10000101,INT(MOD(INDEX(입력_기본자료!$G$2:$G$1001,$AB109),10000)/100)&gt;=1,INT(MOD(INDEX(입력_기본자료!$G$2:$G$1001,$AB109),10000)/100)&lt;=12,MOD(INDEX(입력_기본자료!$G$2:$G$1001,$AB109),100)&gt;=1,MOD(INDEX(입력_기본자료!$G$2:$G$1001,$AB109),100)&lt;=31),DATE(INT(INDEX(입력_기본자료!$G$2:$G$1001,$AB109)/10000),INT(MOD(INDEX(입력_기본자료!$G$2:$G$1001,$AB109),10000)/100),MOD(INDEX(입력_기본자료!$G$2:$G$1001,$AB109),100)),INDEX(입력_기본자료!$G$2:$G$1001,$AB109)&amp;"")))))</f>
        <v/>
      </c>
      <c r="J109" s="10">
        <f>IF($AB109="","",IF(INDEX(입력_기본자료!$H$2:$H$1001,$AB109)="","",INDEX(입력_기본자료!$H$2:$H$1001,$AB109)))</f>
        <v/>
      </c>
      <c r="K109" s="10">
        <f>IF($AB109="","",IF(INDEX(입력_기본자료!$I$2:$I$1001,$AB109)="","",INDEX(입력_기본자료!$I$2:$I$1001,$AB109)))</f>
        <v/>
      </c>
      <c r="L109" s="10">
        <f>IF($AB109="","",IF(INDEX(입력_기본자료!$A$2:$A$1001,$AB109)="","",INDEX(입력_기본자료!$A$2:$A$1001,$AB109)))</f>
        <v/>
      </c>
      <c r="M109" s="15" t="n"/>
      <c r="N109" s="10">
        <f>IF($B109="","",IF(AND($U109="파견중",$Q109&lt;&gt;""),$Q109,IF(AND($AD109&lt;&gt;"",LEFT($AD109,1)&lt;&gt;"⚠"),LEFT($AD109,FIND(" ",$AD109)-1),IF($H109="","",IF(RIGHT($H109,2)="병원",$H109,$H109&amp;"병원")))))</f>
        <v/>
      </c>
      <c r="O109" s="10">
        <f>IF($B109="","",IF(AND($U109="파견중",$Q109&lt;&gt;""),IF($R109&lt;&gt;"",$R109,"파견과 미입력"),IF(AND($AD109&lt;&gt;"",LEFT($AD109,1)&lt;&gt;"⚠"),MID($AD109,FIND(" ",$AD109)+1,60),IF($F109="","",IF($F109="인턴","수련교육부(인턴)",$F109)))))</f>
        <v/>
      </c>
      <c r="P109" s="10">
        <f>IF($B109="","",IF($AK109&lt;&gt;"",IF(AND(TODAY()&gt;=INDEX(입력_파견수련계획!$AB$4:$AB$803,$AK109),OR(NOT(ISNUMBER(INDEX(입력_파견수련계획!$AC$4:$AC$803,$AK109))),TODAY()&lt;=INDEX(입력_파견수련계획!$AC$4:$AC$803,$AK109))),"다기관",IF($AF109="","",INDEX(입력_파견수련계획!$T$4:$T$803,$AF109))),IF($AF109="","",INDEX(입력_파견수련계획!$T$4:$T$803,$AF109))))</f>
        <v/>
      </c>
      <c r="Q109" s="10">
        <f>IF($AF109="","",INDEX(입력_파견수련계획!$S$4:$S$803,$AF109))</f>
        <v/>
      </c>
      <c r="R109" s="10">
        <f>IF($AF109="","",INDEX(입력_파견수련계획!$U$4:$U$803,$AF109))</f>
        <v/>
      </c>
      <c r="S109" s="11">
        <f>IF($AF109="","",IF(INDEX(입력_파견수련계획!$H$4:$H$803,$AF109)="","",INDEX(입력_파견수련계획!$H$4:$H$803,$AF109)))</f>
        <v/>
      </c>
      <c r="T109" s="11">
        <f>IF($AF109="","",IF(INDEX(입력_파견수련계획!$I$4:$I$803,$AF109)="","",INDEX(입력_파견수련계획!$I$4:$I$803,$AF109)))</f>
        <v/>
      </c>
      <c r="U109" s="10">
        <f>IF($AF109="","",INDEX(입력_파견수련계획!$X$4:$X$803,$AF109))</f>
        <v/>
      </c>
      <c r="V109" s="17">
        <f>IF($AF109="","",INDEX(입력_파견수련계획!$V$4:$V$803,$AF109))</f>
        <v/>
      </c>
      <c r="W109" s="17">
        <f>IF(AND($U109="파견중",$T109&lt;&gt;""),$T109-TODAY(),"")</f>
        <v/>
      </c>
      <c r="X109" s="17">
        <f>IF(OR($B109="",TRIM($J109&amp;"")=""),"",SUMPRODUCT((입력_파견수련계획!$Q$4:$Q$803=TRIM($J109&amp;""))*입력_파견수련계획!$W$4:$W$803))</f>
        <v/>
      </c>
      <c r="Y109" s="10">
        <f>IF($B109="","",IF($AG109="","",IF(IF(TRIM($J109&amp;"")="",0,SUMPRODUCT((입력_파견수련계획!$Q$4:$Q$803=TRIM($J109&amp;""))*입력_파견수련계획!$AD$4:$AD$803))&gt;0,$AE109,IF(AND(N($X109)&lt;=0,$AQ109=""),$AG109,IF($AH109+$AI109=DAY(EOMONTH(출력_요약!$B$3,0)),IF(AND($AH109&gt;=출력_요약!$E$3,$AI109&lt;출력_요약!$E$3),"서울병원",IF(AND($AI109&gt;=출력_요약!$E$3,$AH109&lt;출력_요약!$E$3),"구리병원","⚠15일 판정불가(서울 "&amp;$AH109&amp;"일/구리 "&amp;$AI109&amp;"일)")),IF($AJ109="",$AE109,IF(INDEX(입력_파견수련계획!$T$4:$T$803,$AJ109)="통합수련",INDEX(입력_파견수련계획!$S$4:$S$803,$AJ109),$AE109)))))))</f>
        <v/>
      </c>
      <c r="Z109" s="20">
        <f>IF($B109="","",IF($AB109="","기본자료에 없는 사번",IF(COUNTIF($B$2:$B$401,$B109)&gt;1,"중복 사번",IF($AE109="","소속(입사장소) 입력",IF(IF(TRIM($J109&amp;"")="",0,SUMPRODUCT((입력_파견수련계획!$Q$4:$Q$803=TRIM($J109&amp;""))*(입력_파견수련계획!$AA$4:$AA$803&lt;&gt;"")))&gt;0,"파견수련계획 입력오류 확인",IF(LEFT($Y109,1)="⚠","서울·구리 15일 판정 불가(양쪽 모두 이상/미만)",IF(IF($AC109="",0,N(INDEX(입력_인턴근무계획!$T$3:$T$402,$AC109)))&gt;0,"인턴계획 입력오류 확인",IF(AND($AQ109&lt;&gt;"",$AG109&lt;&gt;"구리병원",IF(TRIM($J109&amp;"")="",0,SUMPRODUCT((입력_파견수련계획!$Q$4:$Q$803=TRIM($J109&amp;""))*(입력_파견수련계획!$S$4:$S$803="구리병원")*입력_파견수련계획!$W$4:$W$803))=0),"구리 근무자명단에만 있음(파견수련계획 확인)",IF(AND($AC109&lt;&gt;"",$U109&lt;&gt;"파견중",$N109&lt;&gt;$AE109),"인턴 타지역 근무: 파견 여부 확인","정상")))))))))</f>
        <v/>
      </c>
      <c r="AA109" s="5" t="n"/>
      <c r="AB109" s="10">
        <f>IF($B109="","",IFERROR(MATCH($B109,입력_기본자료!$B$2:$B$1001,0),IFERROR(MATCH($B109&amp;"",입력_기본자료!$B$2:$B$1001,0),IFERROR(MATCH(VALUE($B109),입력_기본자료!$B$2:$B$1001,0),""))))</f>
        <v/>
      </c>
      <c r="AC109" s="10">
        <f>IF($B109="","",IFERROR(MATCH($B109,입력_인턴근무계획!$D$3:$D$402,0),IFERROR(MATCH($B109&amp;"",입력_인턴근무계획!$D$3:$D$402,0),IFERROR(MATCH(VALUE($B109),입력_인턴근무계획!$D$3:$D$402,0),""))))</f>
        <v/>
      </c>
      <c r="AD109" s="10">
        <f>IF(OR($AC109="",출력_인턴현황!$G$3=""),"",INDEX(입력_인턴근무계획!$M$3:$R$402,$AC109,출력_인턴현황!$G$3)&amp;"")</f>
        <v/>
      </c>
      <c r="AE109" s="10">
        <f>IF($B109="","",IF($M109&lt;&gt;"",$M109,IF(IF($AQ109="",FALSE,INDEX(출력_구리근무자!$J$6:$J$305,$AQ109)="구리독자"),"구리병원",IF($AF109&lt;&gt;"",IF(LEFT(INDEX(입력_파견수련계획!$R$4:$R$803,$AF109),1)&lt;&gt;"⚠",INDEX(입력_파견수련계획!$R$4:$R$803,$AF109),IF($H109="","",IF(RIGHT($H109,2)="병원",$H109,$H109&amp;"병원"))),IF($H109="","",IF(RIGHT($H109,2)="병원",$H109,$H109&amp;"병원"))))))</f>
        <v/>
      </c>
      <c r="AF109" s="10">
        <f>IF(OR($B109="",TRIM($J109&amp;"")=""),"",IFERROR(MATCH(TRIM($J109&amp;"")&amp;"|파견중",입력_파견수련계획!$Y$4:$Y$803,0),IFERROR(MATCH(TRIM($J109&amp;"")&amp;"|파견예정",입력_파견수련계획!$Y$4:$Y$803,0),IFERROR(MATCH(TRIM($J109&amp;"")&amp;"|파견종료",입력_파견수련계획!$Y$4:$Y$803,0),""))))</f>
        <v/>
      </c>
      <c r="AG109" s="10">
        <f>IF($B109="","",IF(AND(IF(OR($AC109="",출력_인턴현황!$K$2=""),"",INDEX(입력_인턴근무계획!$M$3:$R$402,$AC109,출력_인턴현황!$K$2)&amp;"")&lt;&gt;"",LEFT(IF(OR($AC109="",출력_인턴현황!$K$2=""),"",INDEX(입력_인턴근무계획!$M$3:$R$402,$AC109,출력_인턴현황!$K$2)&amp;""),1)&lt;&gt;"⚠"),LEFT(IF(OR($AC109="",출력_인턴현황!$K$2=""),"",INDEX(입력_인턴근무계획!$M$3:$R$402,$AC109,출력_인턴현황!$K$2)&amp;""),FIND(" ",IF(OR($AC109="",출력_인턴현황!$K$2=""),"",INDEX(입력_인턴근무계획!$M$3:$R$402,$AC109,출력_인턴현황!$K$2)&amp;""))-1),$AE109))</f>
        <v/>
      </c>
      <c r="AH109" s="17">
        <f>IF($B109="","",IF($AQ109&lt;&gt;"",MAX(0,DAY(EOMONTH(출력_요약!$B$3,0))-N($AR109)),IF(TRIM($J109&amp;"")="",0,SUMPRODUCT((입력_파견수련계획!$Q$4:$Q$803=TRIM($J109&amp;""))*(입력_파견수련계획!$S$4:$S$803="서울병원")*입력_파견수련계획!$W$4:$W$803))+IF($AG109="서울병원",MAX(0,DAY(EOMONTH(출력_요약!$B$3,0))-N($X109)),0)))</f>
        <v/>
      </c>
      <c r="AI109" s="17">
        <f>IF($B109="","",IF($AQ109&lt;&gt;"",N($AR109),IF(TRIM($J109&amp;"")="",0,SUMPRODUCT((입력_파견수련계획!$Q$4:$Q$803=TRIM($J109&amp;""))*(입력_파견수련계획!$S$4:$S$803="구리병원")*입력_파견수련계획!$W$4:$W$803))+IF($AG109="구리병원",MAX(0,DAY(EOMONTH(출력_요약!$B$3,0))-N($X109)),0)))</f>
        <v/>
      </c>
      <c r="AJ109" s="10">
        <f>IF(OR($B109="",TRIM($J109&amp;"")=""),"",IFERROR(MATCH(TRIM($J109&amp;"")&amp;"|월",입력_파견수련계획!$Z$4:$Z$803,0),""))</f>
        <v/>
      </c>
      <c r="AK109" s="10">
        <f>IF(OR($B109="",TRIM($J109&amp;"")=""),"",IFERROR(MATCH(TRIM($J109&amp;"")&amp;"|다기관",입력_파견수련계획!$AE$4:$AE$803,0),""))</f>
        <v/>
      </c>
      <c r="AL109" s="10">
        <f>IF($AK109="","","다기관 "&amp;TEXT(INDEX(입력_파견수련계획!$AB$4:$AB$803,$AK109),"yyyy-mm-dd")&amp;"~"&amp;IF(ISNUMBER(INDEX(입력_파견수련계획!$AC$4:$AC$803,$AK109)),TEXT(INDEX(입력_파견수련계획!$AC$4:$AC$803,$AK109),"yyyy-mm-dd"),""))</f>
        <v/>
      </c>
      <c r="AM109" s="10">
        <f>IF($Y109="서울병원",COUNTIF($Y$2:$Y109,"서울병원"),"")</f>
        <v/>
      </c>
      <c r="AN109" s="10">
        <f>IF(LEFT($Y109,1)="⚠",COUNTIF($Y$2:$Y109,"⚠*"),"")</f>
        <v/>
      </c>
      <c r="AO109" s="10">
        <f>IF(OR($B109="",$Y109=""),"",IF(IF(TRIM($J109&amp;"")="",0,SUMPRODUCT((입력_파견수련계획!$Q$4:$Q$803=TRIM($J109&amp;""))*입력_파견수련계획!$AD$4:$AD$803))&gt;0,"다기관 기간 → 소속병원 지급",IF(AND(N($X109)&lt;=0,$AQ109=""),"파견 없음 → 그 달 근무병원 지급",IF($AH109+$AI109=DAY(EOMONTH(출력_요약!$B$3,0)),"서울 "&amp;$AH109&amp;"일 / 구리 "&amp;$AI109&amp;"일"&amp;IF($AQ109&lt;&gt;""," (구리 근무자명단 반영)","")&amp;" → 15일 이상 근무 병원 지급","타 병원 포함 → "&amp;IF($AJ109="","소속",INDEX(입력_파견수련계획!$T$4:$T$803,$AJ109))&amp;" 규칙"))))</f>
        <v/>
      </c>
      <c r="AP109" s="10">
        <f>IF($B109="","",$C109&amp;"|"&amp;$F109)</f>
        <v/>
      </c>
      <c r="AQ109" s="10">
        <f>IF($B109="","",IFERROR(MATCH(ROW()-1,출력_구리근무자!$K$6:$K$305,0),""))</f>
        <v/>
      </c>
      <c r="AR109" s="10">
        <f>IF($AQ109="","",INDEX(출력_구리근무자!$H$6:$H$305,$AQ109))</f>
        <v/>
      </c>
    </row>
    <row r="110">
      <c r="A110" s="10">
        <f>IF(B110="","",ROW()-1)</f>
        <v/>
      </c>
      <c r="B110" s="19" t="n"/>
      <c r="C110" s="10">
        <f>IF($AB110="","",IF(INDEX(입력_기본자료!$C$2:$C$1001,$AB110)="","",INDEX(입력_기본자료!$C$2:$C$1001,$AB110)))</f>
        <v/>
      </c>
      <c r="D110" s="10">
        <f>IF($AB110="","",IF(INDEX(입력_기본자료!$J$2:$J$1001,$AB110)="","",INDEX(입력_기본자료!$J$2:$J$1001,$AB110)))</f>
        <v/>
      </c>
      <c r="E110" s="11">
        <f>IF($AB110="","",IF(INDEX(입력_기본자료!$K$2:$K$1001,$AB110)="","",IF(NOT(ISNUMBER(INDEX(입력_기본자료!$K$2:$K$1001,$AB110))),INDEX(입력_기본자료!$K$2:$K$1001,$AB110),IF(INDEX(입력_기본자료!$K$2:$K$1001,$AB110)&lt;1000000,INDEX(입력_기본자료!$K$2:$K$1001,$AB110),IF(AND(INDEX(입력_기본자료!$K$2:$K$1001,$AB110)&gt;=10000101,INT(MOD(INDEX(입력_기본자료!$K$2:$K$1001,$AB110),10000)/100)&gt;=1,INT(MOD(INDEX(입력_기본자료!$K$2:$K$1001,$AB110),10000)/100)&lt;=12,MOD(INDEX(입력_기본자료!$K$2:$K$1001,$AB110),100)&gt;=1,MOD(INDEX(입력_기본자료!$K$2:$K$1001,$AB110),100)&lt;=31),DATE(INT(INDEX(입력_기본자료!$K$2:$K$1001,$AB110)/10000),INT(MOD(INDEX(입력_기본자료!$K$2:$K$1001,$AB110),10000)/100),MOD(INDEX(입력_기본자료!$K$2:$K$1001,$AB110),100)),INDEX(입력_기본자료!$K$2:$K$1001,$AB110)&amp;"")))))</f>
        <v/>
      </c>
      <c r="F110" s="10">
        <f>IF($AB110="","",IF(INDEX(입력_기본자료!$D$2:$D$1001,$AB110)="","",INDEX(입력_기본자료!$D$2:$D$1001,$AB110)))</f>
        <v/>
      </c>
      <c r="G110" s="10">
        <f>IF($AB110="","",IF(INDEX(입력_기본자료!$E$2:$E$1001,$AB110)="","",INDEX(입력_기본자료!$E$2:$E$1001,$AB110)))</f>
        <v/>
      </c>
      <c r="H110" s="10">
        <f>IF($AB110="","",IF(INDEX(입력_기본자료!$F$2:$F$1001,$AB110)="","",INDEX(입력_기본자료!$F$2:$F$1001,$AB110)))</f>
        <v/>
      </c>
      <c r="I110" s="11">
        <f>IF($AB110="","",IF(INDEX(입력_기본자료!$G$2:$G$1001,$AB110)="","",IF(NOT(ISNUMBER(INDEX(입력_기본자료!$G$2:$G$1001,$AB110))),INDEX(입력_기본자료!$G$2:$G$1001,$AB110),IF(INDEX(입력_기본자료!$G$2:$G$1001,$AB110)&lt;1000000,INDEX(입력_기본자료!$G$2:$G$1001,$AB110),IF(AND(INDEX(입력_기본자료!$G$2:$G$1001,$AB110)&gt;=10000101,INT(MOD(INDEX(입력_기본자료!$G$2:$G$1001,$AB110),10000)/100)&gt;=1,INT(MOD(INDEX(입력_기본자료!$G$2:$G$1001,$AB110),10000)/100)&lt;=12,MOD(INDEX(입력_기본자료!$G$2:$G$1001,$AB110),100)&gt;=1,MOD(INDEX(입력_기본자료!$G$2:$G$1001,$AB110),100)&lt;=31),DATE(INT(INDEX(입력_기본자료!$G$2:$G$1001,$AB110)/10000),INT(MOD(INDEX(입력_기본자료!$G$2:$G$1001,$AB110),10000)/100),MOD(INDEX(입력_기본자료!$G$2:$G$1001,$AB110),100)),INDEX(입력_기본자료!$G$2:$G$1001,$AB110)&amp;"")))))</f>
        <v/>
      </c>
      <c r="J110" s="10">
        <f>IF($AB110="","",IF(INDEX(입력_기본자료!$H$2:$H$1001,$AB110)="","",INDEX(입력_기본자료!$H$2:$H$1001,$AB110)))</f>
        <v/>
      </c>
      <c r="K110" s="10">
        <f>IF($AB110="","",IF(INDEX(입력_기본자료!$I$2:$I$1001,$AB110)="","",INDEX(입력_기본자료!$I$2:$I$1001,$AB110)))</f>
        <v/>
      </c>
      <c r="L110" s="10">
        <f>IF($AB110="","",IF(INDEX(입력_기본자료!$A$2:$A$1001,$AB110)="","",INDEX(입력_기본자료!$A$2:$A$1001,$AB110)))</f>
        <v/>
      </c>
      <c r="M110" s="15" t="n"/>
      <c r="N110" s="10">
        <f>IF($B110="","",IF(AND($U110="파견중",$Q110&lt;&gt;""),$Q110,IF(AND($AD110&lt;&gt;"",LEFT($AD110,1)&lt;&gt;"⚠"),LEFT($AD110,FIND(" ",$AD110)-1),IF($H110="","",IF(RIGHT($H110,2)="병원",$H110,$H110&amp;"병원")))))</f>
        <v/>
      </c>
      <c r="O110" s="10">
        <f>IF($B110="","",IF(AND($U110="파견중",$Q110&lt;&gt;""),IF($R110&lt;&gt;"",$R110,"파견과 미입력"),IF(AND($AD110&lt;&gt;"",LEFT($AD110,1)&lt;&gt;"⚠"),MID($AD110,FIND(" ",$AD110)+1,60),IF($F110="","",IF($F110="인턴","수련교육부(인턴)",$F110)))))</f>
        <v/>
      </c>
      <c r="P110" s="10">
        <f>IF($B110="","",IF($AK110&lt;&gt;"",IF(AND(TODAY()&gt;=INDEX(입력_파견수련계획!$AB$4:$AB$803,$AK110),OR(NOT(ISNUMBER(INDEX(입력_파견수련계획!$AC$4:$AC$803,$AK110))),TODAY()&lt;=INDEX(입력_파견수련계획!$AC$4:$AC$803,$AK110))),"다기관",IF($AF110="","",INDEX(입력_파견수련계획!$T$4:$T$803,$AF110))),IF($AF110="","",INDEX(입력_파견수련계획!$T$4:$T$803,$AF110))))</f>
        <v/>
      </c>
      <c r="Q110" s="10">
        <f>IF($AF110="","",INDEX(입력_파견수련계획!$S$4:$S$803,$AF110))</f>
        <v/>
      </c>
      <c r="R110" s="10">
        <f>IF($AF110="","",INDEX(입력_파견수련계획!$U$4:$U$803,$AF110))</f>
        <v/>
      </c>
      <c r="S110" s="11">
        <f>IF($AF110="","",IF(INDEX(입력_파견수련계획!$H$4:$H$803,$AF110)="","",INDEX(입력_파견수련계획!$H$4:$H$803,$AF110)))</f>
        <v/>
      </c>
      <c r="T110" s="11">
        <f>IF($AF110="","",IF(INDEX(입력_파견수련계획!$I$4:$I$803,$AF110)="","",INDEX(입력_파견수련계획!$I$4:$I$803,$AF110)))</f>
        <v/>
      </c>
      <c r="U110" s="10">
        <f>IF($AF110="","",INDEX(입력_파견수련계획!$X$4:$X$803,$AF110))</f>
        <v/>
      </c>
      <c r="V110" s="17">
        <f>IF($AF110="","",INDEX(입력_파견수련계획!$V$4:$V$803,$AF110))</f>
        <v/>
      </c>
      <c r="W110" s="17">
        <f>IF(AND($U110="파견중",$T110&lt;&gt;""),$T110-TODAY(),"")</f>
        <v/>
      </c>
      <c r="X110" s="17">
        <f>IF(OR($B110="",TRIM($J110&amp;"")=""),"",SUMPRODUCT((입력_파견수련계획!$Q$4:$Q$803=TRIM($J110&amp;""))*입력_파견수련계획!$W$4:$W$803))</f>
        <v/>
      </c>
      <c r="Y110" s="10">
        <f>IF($B110="","",IF($AG110="","",IF(IF(TRIM($J110&amp;"")="",0,SUMPRODUCT((입력_파견수련계획!$Q$4:$Q$803=TRIM($J110&amp;""))*입력_파견수련계획!$AD$4:$AD$803))&gt;0,$AE110,IF(AND(N($X110)&lt;=0,$AQ110=""),$AG110,IF($AH110+$AI110=DAY(EOMONTH(출력_요약!$B$3,0)),IF(AND($AH110&gt;=출력_요약!$E$3,$AI110&lt;출력_요약!$E$3),"서울병원",IF(AND($AI110&gt;=출력_요약!$E$3,$AH110&lt;출력_요약!$E$3),"구리병원","⚠15일 판정불가(서울 "&amp;$AH110&amp;"일/구리 "&amp;$AI110&amp;"일)")),IF($AJ110="",$AE110,IF(INDEX(입력_파견수련계획!$T$4:$T$803,$AJ110)="통합수련",INDEX(입력_파견수련계획!$S$4:$S$803,$AJ110),$AE110)))))))</f>
        <v/>
      </c>
      <c r="Z110" s="20">
        <f>IF($B110="","",IF($AB110="","기본자료에 없는 사번",IF(COUNTIF($B$2:$B$401,$B110)&gt;1,"중복 사번",IF($AE110="","소속(입사장소) 입력",IF(IF(TRIM($J110&amp;"")="",0,SUMPRODUCT((입력_파견수련계획!$Q$4:$Q$803=TRIM($J110&amp;""))*(입력_파견수련계획!$AA$4:$AA$803&lt;&gt;"")))&gt;0,"파견수련계획 입력오류 확인",IF(LEFT($Y110,1)="⚠","서울·구리 15일 판정 불가(양쪽 모두 이상/미만)",IF(IF($AC110="",0,N(INDEX(입력_인턴근무계획!$T$3:$T$402,$AC110)))&gt;0,"인턴계획 입력오류 확인",IF(AND($AQ110&lt;&gt;"",$AG110&lt;&gt;"구리병원",IF(TRIM($J110&amp;"")="",0,SUMPRODUCT((입력_파견수련계획!$Q$4:$Q$803=TRIM($J110&amp;""))*(입력_파견수련계획!$S$4:$S$803="구리병원")*입력_파견수련계획!$W$4:$W$803))=0),"구리 근무자명단에만 있음(파견수련계획 확인)",IF(AND($AC110&lt;&gt;"",$U110&lt;&gt;"파견중",$N110&lt;&gt;$AE110),"인턴 타지역 근무: 파견 여부 확인","정상")))))))))</f>
        <v/>
      </c>
      <c r="AA110" s="5" t="n"/>
      <c r="AB110" s="10">
        <f>IF($B110="","",IFERROR(MATCH($B110,입력_기본자료!$B$2:$B$1001,0),IFERROR(MATCH($B110&amp;"",입력_기본자료!$B$2:$B$1001,0),IFERROR(MATCH(VALUE($B110),입력_기본자료!$B$2:$B$1001,0),""))))</f>
        <v/>
      </c>
      <c r="AC110" s="10">
        <f>IF($B110="","",IFERROR(MATCH($B110,입력_인턴근무계획!$D$3:$D$402,0),IFERROR(MATCH($B110&amp;"",입력_인턴근무계획!$D$3:$D$402,0),IFERROR(MATCH(VALUE($B110),입력_인턴근무계획!$D$3:$D$402,0),""))))</f>
        <v/>
      </c>
      <c r="AD110" s="10">
        <f>IF(OR($AC110="",출력_인턴현황!$G$3=""),"",INDEX(입력_인턴근무계획!$M$3:$R$402,$AC110,출력_인턴현황!$G$3)&amp;"")</f>
        <v/>
      </c>
      <c r="AE110" s="10">
        <f>IF($B110="","",IF($M110&lt;&gt;"",$M110,IF(IF($AQ110="",FALSE,INDEX(출력_구리근무자!$J$6:$J$305,$AQ110)="구리독자"),"구리병원",IF($AF110&lt;&gt;"",IF(LEFT(INDEX(입력_파견수련계획!$R$4:$R$803,$AF110),1)&lt;&gt;"⚠",INDEX(입력_파견수련계획!$R$4:$R$803,$AF110),IF($H110="","",IF(RIGHT($H110,2)="병원",$H110,$H110&amp;"병원"))),IF($H110="","",IF(RIGHT($H110,2)="병원",$H110,$H110&amp;"병원"))))))</f>
        <v/>
      </c>
      <c r="AF110" s="10">
        <f>IF(OR($B110="",TRIM($J110&amp;"")=""),"",IFERROR(MATCH(TRIM($J110&amp;"")&amp;"|파견중",입력_파견수련계획!$Y$4:$Y$803,0),IFERROR(MATCH(TRIM($J110&amp;"")&amp;"|파견예정",입력_파견수련계획!$Y$4:$Y$803,0),IFERROR(MATCH(TRIM($J110&amp;"")&amp;"|파견종료",입력_파견수련계획!$Y$4:$Y$803,0),""))))</f>
        <v/>
      </c>
      <c r="AG110" s="10">
        <f>IF($B110="","",IF(AND(IF(OR($AC110="",출력_인턴현황!$K$2=""),"",INDEX(입력_인턴근무계획!$M$3:$R$402,$AC110,출력_인턴현황!$K$2)&amp;"")&lt;&gt;"",LEFT(IF(OR($AC110="",출력_인턴현황!$K$2=""),"",INDEX(입력_인턴근무계획!$M$3:$R$402,$AC110,출력_인턴현황!$K$2)&amp;""),1)&lt;&gt;"⚠"),LEFT(IF(OR($AC110="",출력_인턴현황!$K$2=""),"",INDEX(입력_인턴근무계획!$M$3:$R$402,$AC110,출력_인턴현황!$K$2)&amp;""),FIND(" ",IF(OR($AC110="",출력_인턴현황!$K$2=""),"",INDEX(입력_인턴근무계획!$M$3:$R$402,$AC110,출력_인턴현황!$K$2)&amp;""))-1),$AE110))</f>
        <v/>
      </c>
      <c r="AH110" s="17">
        <f>IF($B110="","",IF($AQ110&lt;&gt;"",MAX(0,DAY(EOMONTH(출력_요약!$B$3,0))-N($AR110)),IF(TRIM($J110&amp;"")="",0,SUMPRODUCT((입력_파견수련계획!$Q$4:$Q$803=TRIM($J110&amp;""))*(입력_파견수련계획!$S$4:$S$803="서울병원")*입력_파견수련계획!$W$4:$W$803))+IF($AG110="서울병원",MAX(0,DAY(EOMONTH(출력_요약!$B$3,0))-N($X110)),0)))</f>
        <v/>
      </c>
      <c r="AI110" s="17">
        <f>IF($B110="","",IF($AQ110&lt;&gt;"",N($AR110),IF(TRIM($J110&amp;"")="",0,SUMPRODUCT((입력_파견수련계획!$Q$4:$Q$803=TRIM($J110&amp;""))*(입력_파견수련계획!$S$4:$S$803="구리병원")*입력_파견수련계획!$W$4:$W$803))+IF($AG110="구리병원",MAX(0,DAY(EOMONTH(출력_요약!$B$3,0))-N($X110)),0)))</f>
        <v/>
      </c>
      <c r="AJ110" s="10">
        <f>IF(OR($B110="",TRIM($J110&amp;"")=""),"",IFERROR(MATCH(TRIM($J110&amp;"")&amp;"|월",입력_파견수련계획!$Z$4:$Z$803,0),""))</f>
        <v/>
      </c>
      <c r="AK110" s="10">
        <f>IF(OR($B110="",TRIM($J110&amp;"")=""),"",IFERROR(MATCH(TRIM($J110&amp;"")&amp;"|다기관",입력_파견수련계획!$AE$4:$AE$803,0),""))</f>
        <v/>
      </c>
      <c r="AL110" s="10">
        <f>IF($AK110="","","다기관 "&amp;TEXT(INDEX(입력_파견수련계획!$AB$4:$AB$803,$AK110),"yyyy-mm-dd")&amp;"~"&amp;IF(ISNUMBER(INDEX(입력_파견수련계획!$AC$4:$AC$803,$AK110)),TEXT(INDEX(입력_파견수련계획!$AC$4:$AC$803,$AK110),"yyyy-mm-dd"),""))</f>
        <v/>
      </c>
      <c r="AM110" s="10">
        <f>IF($Y110="서울병원",COUNTIF($Y$2:$Y110,"서울병원"),"")</f>
        <v/>
      </c>
      <c r="AN110" s="10">
        <f>IF(LEFT($Y110,1)="⚠",COUNTIF($Y$2:$Y110,"⚠*"),"")</f>
        <v/>
      </c>
      <c r="AO110" s="10">
        <f>IF(OR($B110="",$Y110=""),"",IF(IF(TRIM($J110&amp;"")="",0,SUMPRODUCT((입력_파견수련계획!$Q$4:$Q$803=TRIM($J110&amp;""))*입력_파견수련계획!$AD$4:$AD$803))&gt;0,"다기관 기간 → 소속병원 지급",IF(AND(N($X110)&lt;=0,$AQ110=""),"파견 없음 → 그 달 근무병원 지급",IF($AH110+$AI110=DAY(EOMONTH(출력_요약!$B$3,0)),"서울 "&amp;$AH110&amp;"일 / 구리 "&amp;$AI110&amp;"일"&amp;IF($AQ110&lt;&gt;""," (구리 근무자명단 반영)","")&amp;" → 15일 이상 근무 병원 지급","타 병원 포함 → "&amp;IF($AJ110="","소속",INDEX(입력_파견수련계획!$T$4:$T$803,$AJ110))&amp;" 규칙"))))</f>
        <v/>
      </c>
      <c r="AP110" s="10">
        <f>IF($B110="","",$C110&amp;"|"&amp;$F110)</f>
        <v/>
      </c>
      <c r="AQ110" s="10">
        <f>IF($B110="","",IFERROR(MATCH(ROW()-1,출력_구리근무자!$K$6:$K$305,0),""))</f>
        <v/>
      </c>
      <c r="AR110" s="10">
        <f>IF($AQ110="","",INDEX(출력_구리근무자!$H$6:$H$305,$AQ110))</f>
        <v/>
      </c>
    </row>
    <row r="111">
      <c r="A111" s="10">
        <f>IF(B111="","",ROW()-1)</f>
        <v/>
      </c>
      <c r="B111" s="19" t="n"/>
      <c r="C111" s="10">
        <f>IF($AB111="","",IF(INDEX(입력_기본자료!$C$2:$C$1001,$AB111)="","",INDEX(입력_기본자료!$C$2:$C$1001,$AB111)))</f>
        <v/>
      </c>
      <c r="D111" s="10">
        <f>IF($AB111="","",IF(INDEX(입력_기본자료!$J$2:$J$1001,$AB111)="","",INDEX(입력_기본자료!$J$2:$J$1001,$AB111)))</f>
        <v/>
      </c>
      <c r="E111" s="11">
        <f>IF($AB111="","",IF(INDEX(입력_기본자료!$K$2:$K$1001,$AB111)="","",IF(NOT(ISNUMBER(INDEX(입력_기본자료!$K$2:$K$1001,$AB111))),INDEX(입력_기본자료!$K$2:$K$1001,$AB111),IF(INDEX(입력_기본자료!$K$2:$K$1001,$AB111)&lt;1000000,INDEX(입력_기본자료!$K$2:$K$1001,$AB111),IF(AND(INDEX(입력_기본자료!$K$2:$K$1001,$AB111)&gt;=10000101,INT(MOD(INDEX(입력_기본자료!$K$2:$K$1001,$AB111),10000)/100)&gt;=1,INT(MOD(INDEX(입력_기본자료!$K$2:$K$1001,$AB111),10000)/100)&lt;=12,MOD(INDEX(입력_기본자료!$K$2:$K$1001,$AB111),100)&gt;=1,MOD(INDEX(입력_기본자료!$K$2:$K$1001,$AB111),100)&lt;=31),DATE(INT(INDEX(입력_기본자료!$K$2:$K$1001,$AB111)/10000),INT(MOD(INDEX(입력_기본자료!$K$2:$K$1001,$AB111),10000)/100),MOD(INDEX(입력_기본자료!$K$2:$K$1001,$AB111),100)),INDEX(입력_기본자료!$K$2:$K$1001,$AB111)&amp;"")))))</f>
        <v/>
      </c>
      <c r="F111" s="10">
        <f>IF($AB111="","",IF(INDEX(입력_기본자료!$D$2:$D$1001,$AB111)="","",INDEX(입력_기본자료!$D$2:$D$1001,$AB111)))</f>
        <v/>
      </c>
      <c r="G111" s="10">
        <f>IF($AB111="","",IF(INDEX(입력_기본자료!$E$2:$E$1001,$AB111)="","",INDEX(입력_기본자료!$E$2:$E$1001,$AB111)))</f>
        <v/>
      </c>
      <c r="H111" s="10">
        <f>IF($AB111="","",IF(INDEX(입력_기본자료!$F$2:$F$1001,$AB111)="","",INDEX(입력_기본자료!$F$2:$F$1001,$AB111)))</f>
        <v/>
      </c>
      <c r="I111" s="11">
        <f>IF($AB111="","",IF(INDEX(입력_기본자료!$G$2:$G$1001,$AB111)="","",IF(NOT(ISNUMBER(INDEX(입력_기본자료!$G$2:$G$1001,$AB111))),INDEX(입력_기본자료!$G$2:$G$1001,$AB111),IF(INDEX(입력_기본자료!$G$2:$G$1001,$AB111)&lt;1000000,INDEX(입력_기본자료!$G$2:$G$1001,$AB111),IF(AND(INDEX(입력_기본자료!$G$2:$G$1001,$AB111)&gt;=10000101,INT(MOD(INDEX(입력_기본자료!$G$2:$G$1001,$AB111),10000)/100)&gt;=1,INT(MOD(INDEX(입력_기본자료!$G$2:$G$1001,$AB111),10000)/100)&lt;=12,MOD(INDEX(입력_기본자료!$G$2:$G$1001,$AB111),100)&gt;=1,MOD(INDEX(입력_기본자료!$G$2:$G$1001,$AB111),100)&lt;=31),DATE(INT(INDEX(입력_기본자료!$G$2:$G$1001,$AB111)/10000),INT(MOD(INDEX(입력_기본자료!$G$2:$G$1001,$AB111),10000)/100),MOD(INDEX(입력_기본자료!$G$2:$G$1001,$AB111),100)),INDEX(입력_기본자료!$G$2:$G$1001,$AB111)&amp;"")))))</f>
        <v/>
      </c>
      <c r="J111" s="10">
        <f>IF($AB111="","",IF(INDEX(입력_기본자료!$H$2:$H$1001,$AB111)="","",INDEX(입력_기본자료!$H$2:$H$1001,$AB111)))</f>
        <v/>
      </c>
      <c r="K111" s="10">
        <f>IF($AB111="","",IF(INDEX(입력_기본자료!$I$2:$I$1001,$AB111)="","",INDEX(입력_기본자료!$I$2:$I$1001,$AB111)))</f>
        <v/>
      </c>
      <c r="L111" s="10">
        <f>IF($AB111="","",IF(INDEX(입력_기본자료!$A$2:$A$1001,$AB111)="","",INDEX(입력_기본자료!$A$2:$A$1001,$AB111)))</f>
        <v/>
      </c>
      <c r="M111" s="15" t="n"/>
      <c r="N111" s="10">
        <f>IF($B111="","",IF(AND($U111="파견중",$Q111&lt;&gt;""),$Q111,IF(AND($AD111&lt;&gt;"",LEFT($AD111,1)&lt;&gt;"⚠"),LEFT($AD111,FIND(" ",$AD111)-1),IF($H111="","",IF(RIGHT($H111,2)="병원",$H111,$H111&amp;"병원")))))</f>
        <v/>
      </c>
      <c r="O111" s="10">
        <f>IF($B111="","",IF(AND($U111="파견중",$Q111&lt;&gt;""),IF($R111&lt;&gt;"",$R111,"파견과 미입력"),IF(AND($AD111&lt;&gt;"",LEFT($AD111,1)&lt;&gt;"⚠"),MID($AD111,FIND(" ",$AD111)+1,60),IF($F111="","",IF($F111="인턴","수련교육부(인턴)",$F111)))))</f>
        <v/>
      </c>
      <c r="P111" s="10">
        <f>IF($B111="","",IF($AK111&lt;&gt;"",IF(AND(TODAY()&gt;=INDEX(입력_파견수련계획!$AB$4:$AB$803,$AK111),OR(NOT(ISNUMBER(INDEX(입력_파견수련계획!$AC$4:$AC$803,$AK111))),TODAY()&lt;=INDEX(입력_파견수련계획!$AC$4:$AC$803,$AK111))),"다기관",IF($AF111="","",INDEX(입력_파견수련계획!$T$4:$T$803,$AF111))),IF($AF111="","",INDEX(입력_파견수련계획!$T$4:$T$803,$AF111))))</f>
        <v/>
      </c>
      <c r="Q111" s="10">
        <f>IF($AF111="","",INDEX(입력_파견수련계획!$S$4:$S$803,$AF111))</f>
        <v/>
      </c>
      <c r="R111" s="10">
        <f>IF($AF111="","",INDEX(입력_파견수련계획!$U$4:$U$803,$AF111))</f>
        <v/>
      </c>
      <c r="S111" s="11">
        <f>IF($AF111="","",IF(INDEX(입력_파견수련계획!$H$4:$H$803,$AF111)="","",INDEX(입력_파견수련계획!$H$4:$H$803,$AF111)))</f>
        <v/>
      </c>
      <c r="T111" s="11">
        <f>IF($AF111="","",IF(INDEX(입력_파견수련계획!$I$4:$I$803,$AF111)="","",INDEX(입력_파견수련계획!$I$4:$I$803,$AF111)))</f>
        <v/>
      </c>
      <c r="U111" s="10">
        <f>IF($AF111="","",INDEX(입력_파견수련계획!$X$4:$X$803,$AF111))</f>
        <v/>
      </c>
      <c r="V111" s="17">
        <f>IF($AF111="","",INDEX(입력_파견수련계획!$V$4:$V$803,$AF111))</f>
        <v/>
      </c>
      <c r="W111" s="17">
        <f>IF(AND($U111="파견중",$T111&lt;&gt;""),$T111-TODAY(),"")</f>
        <v/>
      </c>
      <c r="X111" s="17">
        <f>IF(OR($B111="",TRIM($J111&amp;"")=""),"",SUMPRODUCT((입력_파견수련계획!$Q$4:$Q$803=TRIM($J111&amp;""))*입력_파견수련계획!$W$4:$W$803))</f>
        <v/>
      </c>
      <c r="Y111" s="10">
        <f>IF($B111="","",IF($AG111="","",IF(IF(TRIM($J111&amp;"")="",0,SUMPRODUCT((입력_파견수련계획!$Q$4:$Q$803=TRIM($J111&amp;""))*입력_파견수련계획!$AD$4:$AD$803))&gt;0,$AE111,IF(AND(N($X111)&lt;=0,$AQ111=""),$AG111,IF($AH111+$AI111=DAY(EOMONTH(출력_요약!$B$3,0)),IF(AND($AH111&gt;=출력_요약!$E$3,$AI111&lt;출력_요약!$E$3),"서울병원",IF(AND($AI111&gt;=출력_요약!$E$3,$AH111&lt;출력_요약!$E$3),"구리병원","⚠15일 판정불가(서울 "&amp;$AH111&amp;"일/구리 "&amp;$AI111&amp;"일)")),IF($AJ111="",$AE111,IF(INDEX(입력_파견수련계획!$T$4:$T$803,$AJ111)="통합수련",INDEX(입력_파견수련계획!$S$4:$S$803,$AJ111),$AE111)))))))</f>
        <v/>
      </c>
      <c r="Z111" s="20">
        <f>IF($B111="","",IF($AB111="","기본자료에 없는 사번",IF(COUNTIF($B$2:$B$401,$B111)&gt;1,"중복 사번",IF($AE111="","소속(입사장소) 입력",IF(IF(TRIM($J111&amp;"")="",0,SUMPRODUCT((입력_파견수련계획!$Q$4:$Q$803=TRIM($J111&amp;""))*(입력_파견수련계획!$AA$4:$AA$803&lt;&gt;"")))&gt;0,"파견수련계획 입력오류 확인",IF(LEFT($Y111,1)="⚠","서울·구리 15일 판정 불가(양쪽 모두 이상/미만)",IF(IF($AC111="",0,N(INDEX(입력_인턴근무계획!$T$3:$T$402,$AC111)))&gt;0,"인턴계획 입력오류 확인",IF(AND($AQ111&lt;&gt;"",$AG111&lt;&gt;"구리병원",IF(TRIM($J111&amp;"")="",0,SUMPRODUCT((입력_파견수련계획!$Q$4:$Q$803=TRIM($J111&amp;""))*(입력_파견수련계획!$S$4:$S$803="구리병원")*입력_파견수련계획!$W$4:$W$803))=0),"구리 근무자명단에만 있음(파견수련계획 확인)",IF(AND($AC111&lt;&gt;"",$U111&lt;&gt;"파견중",$N111&lt;&gt;$AE111),"인턴 타지역 근무: 파견 여부 확인","정상")))))))))</f>
        <v/>
      </c>
      <c r="AA111" s="5" t="n"/>
      <c r="AB111" s="10">
        <f>IF($B111="","",IFERROR(MATCH($B111,입력_기본자료!$B$2:$B$1001,0),IFERROR(MATCH($B111&amp;"",입력_기본자료!$B$2:$B$1001,0),IFERROR(MATCH(VALUE($B111),입력_기본자료!$B$2:$B$1001,0),""))))</f>
        <v/>
      </c>
      <c r="AC111" s="10">
        <f>IF($B111="","",IFERROR(MATCH($B111,입력_인턴근무계획!$D$3:$D$402,0),IFERROR(MATCH($B111&amp;"",입력_인턴근무계획!$D$3:$D$402,0),IFERROR(MATCH(VALUE($B111),입력_인턴근무계획!$D$3:$D$402,0),""))))</f>
        <v/>
      </c>
      <c r="AD111" s="10">
        <f>IF(OR($AC111="",출력_인턴현황!$G$3=""),"",INDEX(입력_인턴근무계획!$M$3:$R$402,$AC111,출력_인턴현황!$G$3)&amp;"")</f>
        <v/>
      </c>
      <c r="AE111" s="10">
        <f>IF($B111="","",IF($M111&lt;&gt;"",$M111,IF(IF($AQ111="",FALSE,INDEX(출력_구리근무자!$J$6:$J$305,$AQ111)="구리독자"),"구리병원",IF($AF111&lt;&gt;"",IF(LEFT(INDEX(입력_파견수련계획!$R$4:$R$803,$AF111),1)&lt;&gt;"⚠",INDEX(입력_파견수련계획!$R$4:$R$803,$AF111),IF($H111="","",IF(RIGHT($H111,2)="병원",$H111,$H111&amp;"병원"))),IF($H111="","",IF(RIGHT($H111,2)="병원",$H111,$H111&amp;"병원"))))))</f>
        <v/>
      </c>
      <c r="AF111" s="10">
        <f>IF(OR($B111="",TRIM($J111&amp;"")=""),"",IFERROR(MATCH(TRIM($J111&amp;"")&amp;"|파견중",입력_파견수련계획!$Y$4:$Y$803,0),IFERROR(MATCH(TRIM($J111&amp;"")&amp;"|파견예정",입력_파견수련계획!$Y$4:$Y$803,0),IFERROR(MATCH(TRIM($J111&amp;"")&amp;"|파견종료",입력_파견수련계획!$Y$4:$Y$803,0),""))))</f>
        <v/>
      </c>
      <c r="AG111" s="10">
        <f>IF($B111="","",IF(AND(IF(OR($AC111="",출력_인턴현황!$K$2=""),"",INDEX(입력_인턴근무계획!$M$3:$R$402,$AC111,출력_인턴현황!$K$2)&amp;"")&lt;&gt;"",LEFT(IF(OR($AC111="",출력_인턴현황!$K$2=""),"",INDEX(입력_인턴근무계획!$M$3:$R$402,$AC111,출력_인턴현황!$K$2)&amp;""),1)&lt;&gt;"⚠"),LEFT(IF(OR($AC111="",출력_인턴현황!$K$2=""),"",INDEX(입력_인턴근무계획!$M$3:$R$402,$AC111,출력_인턴현황!$K$2)&amp;""),FIND(" ",IF(OR($AC111="",출력_인턴현황!$K$2=""),"",INDEX(입력_인턴근무계획!$M$3:$R$402,$AC111,출력_인턴현황!$K$2)&amp;""))-1),$AE111))</f>
        <v/>
      </c>
      <c r="AH111" s="17">
        <f>IF($B111="","",IF($AQ111&lt;&gt;"",MAX(0,DAY(EOMONTH(출력_요약!$B$3,0))-N($AR111)),IF(TRIM($J111&amp;"")="",0,SUMPRODUCT((입력_파견수련계획!$Q$4:$Q$803=TRIM($J111&amp;""))*(입력_파견수련계획!$S$4:$S$803="서울병원")*입력_파견수련계획!$W$4:$W$803))+IF($AG111="서울병원",MAX(0,DAY(EOMONTH(출력_요약!$B$3,0))-N($X111)),0)))</f>
        <v/>
      </c>
      <c r="AI111" s="17">
        <f>IF($B111="","",IF($AQ111&lt;&gt;"",N($AR111),IF(TRIM($J111&amp;"")="",0,SUMPRODUCT((입력_파견수련계획!$Q$4:$Q$803=TRIM($J111&amp;""))*(입력_파견수련계획!$S$4:$S$803="구리병원")*입력_파견수련계획!$W$4:$W$803))+IF($AG111="구리병원",MAX(0,DAY(EOMONTH(출력_요약!$B$3,0))-N($X111)),0)))</f>
        <v/>
      </c>
      <c r="AJ111" s="10">
        <f>IF(OR($B111="",TRIM($J111&amp;"")=""),"",IFERROR(MATCH(TRIM($J111&amp;"")&amp;"|월",입력_파견수련계획!$Z$4:$Z$803,0),""))</f>
        <v/>
      </c>
      <c r="AK111" s="10">
        <f>IF(OR($B111="",TRIM($J111&amp;"")=""),"",IFERROR(MATCH(TRIM($J111&amp;"")&amp;"|다기관",입력_파견수련계획!$AE$4:$AE$803,0),""))</f>
        <v/>
      </c>
      <c r="AL111" s="10">
        <f>IF($AK111="","","다기관 "&amp;TEXT(INDEX(입력_파견수련계획!$AB$4:$AB$803,$AK111),"yyyy-mm-dd")&amp;"~"&amp;IF(ISNUMBER(INDEX(입력_파견수련계획!$AC$4:$AC$803,$AK111)),TEXT(INDEX(입력_파견수련계획!$AC$4:$AC$803,$AK111),"yyyy-mm-dd"),""))</f>
        <v/>
      </c>
      <c r="AM111" s="10">
        <f>IF($Y111="서울병원",COUNTIF($Y$2:$Y111,"서울병원"),"")</f>
        <v/>
      </c>
      <c r="AN111" s="10">
        <f>IF(LEFT($Y111,1)="⚠",COUNTIF($Y$2:$Y111,"⚠*"),"")</f>
        <v/>
      </c>
      <c r="AO111" s="10">
        <f>IF(OR($B111="",$Y111=""),"",IF(IF(TRIM($J111&amp;"")="",0,SUMPRODUCT((입력_파견수련계획!$Q$4:$Q$803=TRIM($J111&amp;""))*입력_파견수련계획!$AD$4:$AD$803))&gt;0,"다기관 기간 → 소속병원 지급",IF(AND(N($X111)&lt;=0,$AQ111=""),"파견 없음 → 그 달 근무병원 지급",IF($AH111+$AI111=DAY(EOMONTH(출력_요약!$B$3,0)),"서울 "&amp;$AH111&amp;"일 / 구리 "&amp;$AI111&amp;"일"&amp;IF($AQ111&lt;&gt;""," (구리 근무자명단 반영)","")&amp;" → 15일 이상 근무 병원 지급","타 병원 포함 → "&amp;IF($AJ111="","소속",INDEX(입력_파견수련계획!$T$4:$T$803,$AJ111))&amp;" 규칙"))))</f>
        <v/>
      </c>
      <c r="AP111" s="10">
        <f>IF($B111="","",$C111&amp;"|"&amp;$F111)</f>
        <v/>
      </c>
      <c r="AQ111" s="10">
        <f>IF($B111="","",IFERROR(MATCH(ROW()-1,출력_구리근무자!$K$6:$K$305,0),""))</f>
        <v/>
      </c>
      <c r="AR111" s="10">
        <f>IF($AQ111="","",INDEX(출력_구리근무자!$H$6:$H$305,$AQ111))</f>
        <v/>
      </c>
    </row>
    <row r="112">
      <c r="A112" s="10">
        <f>IF(B112="","",ROW()-1)</f>
        <v/>
      </c>
      <c r="B112" s="19" t="n"/>
      <c r="C112" s="10">
        <f>IF($AB112="","",IF(INDEX(입력_기본자료!$C$2:$C$1001,$AB112)="","",INDEX(입력_기본자료!$C$2:$C$1001,$AB112)))</f>
        <v/>
      </c>
      <c r="D112" s="10">
        <f>IF($AB112="","",IF(INDEX(입력_기본자료!$J$2:$J$1001,$AB112)="","",INDEX(입력_기본자료!$J$2:$J$1001,$AB112)))</f>
        <v/>
      </c>
      <c r="E112" s="11">
        <f>IF($AB112="","",IF(INDEX(입력_기본자료!$K$2:$K$1001,$AB112)="","",IF(NOT(ISNUMBER(INDEX(입력_기본자료!$K$2:$K$1001,$AB112))),INDEX(입력_기본자료!$K$2:$K$1001,$AB112),IF(INDEX(입력_기본자료!$K$2:$K$1001,$AB112)&lt;1000000,INDEX(입력_기본자료!$K$2:$K$1001,$AB112),IF(AND(INDEX(입력_기본자료!$K$2:$K$1001,$AB112)&gt;=10000101,INT(MOD(INDEX(입력_기본자료!$K$2:$K$1001,$AB112),10000)/100)&gt;=1,INT(MOD(INDEX(입력_기본자료!$K$2:$K$1001,$AB112),10000)/100)&lt;=12,MOD(INDEX(입력_기본자료!$K$2:$K$1001,$AB112),100)&gt;=1,MOD(INDEX(입력_기본자료!$K$2:$K$1001,$AB112),100)&lt;=31),DATE(INT(INDEX(입력_기본자료!$K$2:$K$1001,$AB112)/10000),INT(MOD(INDEX(입력_기본자료!$K$2:$K$1001,$AB112),10000)/100),MOD(INDEX(입력_기본자료!$K$2:$K$1001,$AB112),100)),INDEX(입력_기본자료!$K$2:$K$1001,$AB112)&amp;"")))))</f>
        <v/>
      </c>
      <c r="F112" s="10">
        <f>IF($AB112="","",IF(INDEX(입력_기본자료!$D$2:$D$1001,$AB112)="","",INDEX(입력_기본자료!$D$2:$D$1001,$AB112)))</f>
        <v/>
      </c>
      <c r="G112" s="10">
        <f>IF($AB112="","",IF(INDEX(입력_기본자료!$E$2:$E$1001,$AB112)="","",INDEX(입력_기본자료!$E$2:$E$1001,$AB112)))</f>
        <v/>
      </c>
      <c r="H112" s="10">
        <f>IF($AB112="","",IF(INDEX(입력_기본자료!$F$2:$F$1001,$AB112)="","",INDEX(입력_기본자료!$F$2:$F$1001,$AB112)))</f>
        <v/>
      </c>
      <c r="I112" s="11">
        <f>IF($AB112="","",IF(INDEX(입력_기본자료!$G$2:$G$1001,$AB112)="","",IF(NOT(ISNUMBER(INDEX(입력_기본자료!$G$2:$G$1001,$AB112))),INDEX(입력_기본자료!$G$2:$G$1001,$AB112),IF(INDEX(입력_기본자료!$G$2:$G$1001,$AB112)&lt;1000000,INDEX(입력_기본자료!$G$2:$G$1001,$AB112),IF(AND(INDEX(입력_기본자료!$G$2:$G$1001,$AB112)&gt;=10000101,INT(MOD(INDEX(입력_기본자료!$G$2:$G$1001,$AB112),10000)/100)&gt;=1,INT(MOD(INDEX(입력_기본자료!$G$2:$G$1001,$AB112),10000)/100)&lt;=12,MOD(INDEX(입력_기본자료!$G$2:$G$1001,$AB112),100)&gt;=1,MOD(INDEX(입력_기본자료!$G$2:$G$1001,$AB112),100)&lt;=31),DATE(INT(INDEX(입력_기본자료!$G$2:$G$1001,$AB112)/10000),INT(MOD(INDEX(입력_기본자료!$G$2:$G$1001,$AB112),10000)/100),MOD(INDEX(입력_기본자료!$G$2:$G$1001,$AB112),100)),INDEX(입력_기본자료!$G$2:$G$1001,$AB112)&amp;"")))))</f>
        <v/>
      </c>
      <c r="J112" s="10">
        <f>IF($AB112="","",IF(INDEX(입력_기본자료!$H$2:$H$1001,$AB112)="","",INDEX(입력_기본자료!$H$2:$H$1001,$AB112)))</f>
        <v/>
      </c>
      <c r="K112" s="10">
        <f>IF($AB112="","",IF(INDEX(입력_기본자료!$I$2:$I$1001,$AB112)="","",INDEX(입력_기본자료!$I$2:$I$1001,$AB112)))</f>
        <v/>
      </c>
      <c r="L112" s="10">
        <f>IF($AB112="","",IF(INDEX(입력_기본자료!$A$2:$A$1001,$AB112)="","",INDEX(입력_기본자료!$A$2:$A$1001,$AB112)))</f>
        <v/>
      </c>
      <c r="M112" s="15" t="n"/>
      <c r="N112" s="10">
        <f>IF($B112="","",IF(AND($U112="파견중",$Q112&lt;&gt;""),$Q112,IF(AND($AD112&lt;&gt;"",LEFT($AD112,1)&lt;&gt;"⚠"),LEFT($AD112,FIND(" ",$AD112)-1),IF($H112="","",IF(RIGHT($H112,2)="병원",$H112,$H112&amp;"병원")))))</f>
        <v/>
      </c>
      <c r="O112" s="10">
        <f>IF($B112="","",IF(AND($U112="파견중",$Q112&lt;&gt;""),IF($R112&lt;&gt;"",$R112,"파견과 미입력"),IF(AND($AD112&lt;&gt;"",LEFT($AD112,1)&lt;&gt;"⚠"),MID($AD112,FIND(" ",$AD112)+1,60),IF($F112="","",IF($F112="인턴","수련교육부(인턴)",$F112)))))</f>
        <v/>
      </c>
      <c r="P112" s="10">
        <f>IF($B112="","",IF($AK112&lt;&gt;"",IF(AND(TODAY()&gt;=INDEX(입력_파견수련계획!$AB$4:$AB$803,$AK112),OR(NOT(ISNUMBER(INDEX(입력_파견수련계획!$AC$4:$AC$803,$AK112))),TODAY()&lt;=INDEX(입력_파견수련계획!$AC$4:$AC$803,$AK112))),"다기관",IF($AF112="","",INDEX(입력_파견수련계획!$T$4:$T$803,$AF112))),IF($AF112="","",INDEX(입력_파견수련계획!$T$4:$T$803,$AF112))))</f>
        <v/>
      </c>
      <c r="Q112" s="10">
        <f>IF($AF112="","",INDEX(입력_파견수련계획!$S$4:$S$803,$AF112))</f>
        <v/>
      </c>
      <c r="R112" s="10">
        <f>IF($AF112="","",INDEX(입력_파견수련계획!$U$4:$U$803,$AF112))</f>
        <v/>
      </c>
      <c r="S112" s="11">
        <f>IF($AF112="","",IF(INDEX(입력_파견수련계획!$H$4:$H$803,$AF112)="","",INDEX(입력_파견수련계획!$H$4:$H$803,$AF112)))</f>
        <v/>
      </c>
      <c r="T112" s="11">
        <f>IF($AF112="","",IF(INDEX(입력_파견수련계획!$I$4:$I$803,$AF112)="","",INDEX(입력_파견수련계획!$I$4:$I$803,$AF112)))</f>
        <v/>
      </c>
      <c r="U112" s="10">
        <f>IF($AF112="","",INDEX(입력_파견수련계획!$X$4:$X$803,$AF112))</f>
        <v/>
      </c>
      <c r="V112" s="17">
        <f>IF($AF112="","",INDEX(입력_파견수련계획!$V$4:$V$803,$AF112))</f>
        <v/>
      </c>
      <c r="W112" s="17">
        <f>IF(AND($U112="파견중",$T112&lt;&gt;""),$T112-TODAY(),"")</f>
        <v/>
      </c>
      <c r="X112" s="17">
        <f>IF(OR($B112="",TRIM($J112&amp;"")=""),"",SUMPRODUCT((입력_파견수련계획!$Q$4:$Q$803=TRIM($J112&amp;""))*입력_파견수련계획!$W$4:$W$803))</f>
        <v/>
      </c>
      <c r="Y112" s="10">
        <f>IF($B112="","",IF($AG112="","",IF(IF(TRIM($J112&amp;"")="",0,SUMPRODUCT((입력_파견수련계획!$Q$4:$Q$803=TRIM($J112&amp;""))*입력_파견수련계획!$AD$4:$AD$803))&gt;0,$AE112,IF(AND(N($X112)&lt;=0,$AQ112=""),$AG112,IF($AH112+$AI112=DAY(EOMONTH(출력_요약!$B$3,0)),IF(AND($AH112&gt;=출력_요약!$E$3,$AI112&lt;출력_요약!$E$3),"서울병원",IF(AND($AI112&gt;=출력_요약!$E$3,$AH112&lt;출력_요약!$E$3),"구리병원","⚠15일 판정불가(서울 "&amp;$AH112&amp;"일/구리 "&amp;$AI112&amp;"일)")),IF($AJ112="",$AE112,IF(INDEX(입력_파견수련계획!$T$4:$T$803,$AJ112)="통합수련",INDEX(입력_파견수련계획!$S$4:$S$803,$AJ112),$AE112)))))))</f>
        <v/>
      </c>
      <c r="Z112" s="20">
        <f>IF($B112="","",IF($AB112="","기본자료에 없는 사번",IF(COUNTIF($B$2:$B$401,$B112)&gt;1,"중복 사번",IF($AE112="","소속(입사장소) 입력",IF(IF(TRIM($J112&amp;"")="",0,SUMPRODUCT((입력_파견수련계획!$Q$4:$Q$803=TRIM($J112&amp;""))*(입력_파견수련계획!$AA$4:$AA$803&lt;&gt;"")))&gt;0,"파견수련계획 입력오류 확인",IF(LEFT($Y112,1)="⚠","서울·구리 15일 판정 불가(양쪽 모두 이상/미만)",IF(IF($AC112="",0,N(INDEX(입력_인턴근무계획!$T$3:$T$402,$AC112)))&gt;0,"인턴계획 입력오류 확인",IF(AND($AQ112&lt;&gt;"",$AG112&lt;&gt;"구리병원",IF(TRIM($J112&amp;"")="",0,SUMPRODUCT((입력_파견수련계획!$Q$4:$Q$803=TRIM($J112&amp;""))*(입력_파견수련계획!$S$4:$S$803="구리병원")*입력_파견수련계획!$W$4:$W$803))=0),"구리 근무자명단에만 있음(파견수련계획 확인)",IF(AND($AC112&lt;&gt;"",$U112&lt;&gt;"파견중",$N112&lt;&gt;$AE112),"인턴 타지역 근무: 파견 여부 확인","정상")))))))))</f>
        <v/>
      </c>
      <c r="AA112" s="5" t="n"/>
      <c r="AB112" s="10">
        <f>IF($B112="","",IFERROR(MATCH($B112,입력_기본자료!$B$2:$B$1001,0),IFERROR(MATCH($B112&amp;"",입력_기본자료!$B$2:$B$1001,0),IFERROR(MATCH(VALUE($B112),입력_기본자료!$B$2:$B$1001,0),""))))</f>
        <v/>
      </c>
      <c r="AC112" s="10">
        <f>IF($B112="","",IFERROR(MATCH($B112,입력_인턴근무계획!$D$3:$D$402,0),IFERROR(MATCH($B112&amp;"",입력_인턴근무계획!$D$3:$D$402,0),IFERROR(MATCH(VALUE($B112),입력_인턴근무계획!$D$3:$D$402,0),""))))</f>
        <v/>
      </c>
      <c r="AD112" s="10">
        <f>IF(OR($AC112="",출력_인턴현황!$G$3=""),"",INDEX(입력_인턴근무계획!$M$3:$R$402,$AC112,출력_인턴현황!$G$3)&amp;"")</f>
        <v/>
      </c>
      <c r="AE112" s="10">
        <f>IF($B112="","",IF($M112&lt;&gt;"",$M112,IF(IF($AQ112="",FALSE,INDEX(출력_구리근무자!$J$6:$J$305,$AQ112)="구리독자"),"구리병원",IF($AF112&lt;&gt;"",IF(LEFT(INDEX(입력_파견수련계획!$R$4:$R$803,$AF112),1)&lt;&gt;"⚠",INDEX(입력_파견수련계획!$R$4:$R$803,$AF112),IF($H112="","",IF(RIGHT($H112,2)="병원",$H112,$H112&amp;"병원"))),IF($H112="","",IF(RIGHT($H112,2)="병원",$H112,$H112&amp;"병원"))))))</f>
        <v/>
      </c>
      <c r="AF112" s="10">
        <f>IF(OR($B112="",TRIM($J112&amp;"")=""),"",IFERROR(MATCH(TRIM($J112&amp;"")&amp;"|파견중",입력_파견수련계획!$Y$4:$Y$803,0),IFERROR(MATCH(TRIM($J112&amp;"")&amp;"|파견예정",입력_파견수련계획!$Y$4:$Y$803,0),IFERROR(MATCH(TRIM($J112&amp;"")&amp;"|파견종료",입력_파견수련계획!$Y$4:$Y$803,0),""))))</f>
        <v/>
      </c>
      <c r="AG112" s="10">
        <f>IF($B112="","",IF(AND(IF(OR($AC112="",출력_인턴현황!$K$2=""),"",INDEX(입력_인턴근무계획!$M$3:$R$402,$AC112,출력_인턴현황!$K$2)&amp;"")&lt;&gt;"",LEFT(IF(OR($AC112="",출력_인턴현황!$K$2=""),"",INDEX(입력_인턴근무계획!$M$3:$R$402,$AC112,출력_인턴현황!$K$2)&amp;""),1)&lt;&gt;"⚠"),LEFT(IF(OR($AC112="",출력_인턴현황!$K$2=""),"",INDEX(입력_인턴근무계획!$M$3:$R$402,$AC112,출력_인턴현황!$K$2)&amp;""),FIND(" ",IF(OR($AC112="",출력_인턴현황!$K$2=""),"",INDEX(입력_인턴근무계획!$M$3:$R$402,$AC112,출력_인턴현황!$K$2)&amp;""))-1),$AE112))</f>
        <v/>
      </c>
      <c r="AH112" s="17">
        <f>IF($B112="","",IF($AQ112&lt;&gt;"",MAX(0,DAY(EOMONTH(출력_요약!$B$3,0))-N($AR112)),IF(TRIM($J112&amp;"")="",0,SUMPRODUCT((입력_파견수련계획!$Q$4:$Q$803=TRIM($J112&amp;""))*(입력_파견수련계획!$S$4:$S$803="서울병원")*입력_파견수련계획!$W$4:$W$803))+IF($AG112="서울병원",MAX(0,DAY(EOMONTH(출력_요약!$B$3,0))-N($X112)),0)))</f>
        <v/>
      </c>
      <c r="AI112" s="17">
        <f>IF($B112="","",IF($AQ112&lt;&gt;"",N($AR112),IF(TRIM($J112&amp;"")="",0,SUMPRODUCT((입력_파견수련계획!$Q$4:$Q$803=TRIM($J112&amp;""))*(입력_파견수련계획!$S$4:$S$803="구리병원")*입력_파견수련계획!$W$4:$W$803))+IF($AG112="구리병원",MAX(0,DAY(EOMONTH(출력_요약!$B$3,0))-N($X112)),0)))</f>
        <v/>
      </c>
      <c r="AJ112" s="10">
        <f>IF(OR($B112="",TRIM($J112&amp;"")=""),"",IFERROR(MATCH(TRIM($J112&amp;"")&amp;"|월",입력_파견수련계획!$Z$4:$Z$803,0),""))</f>
        <v/>
      </c>
      <c r="AK112" s="10">
        <f>IF(OR($B112="",TRIM($J112&amp;"")=""),"",IFERROR(MATCH(TRIM($J112&amp;"")&amp;"|다기관",입력_파견수련계획!$AE$4:$AE$803,0),""))</f>
        <v/>
      </c>
      <c r="AL112" s="10">
        <f>IF($AK112="","","다기관 "&amp;TEXT(INDEX(입력_파견수련계획!$AB$4:$AB$803,$AK112),"yyyy-mm-dd")&amp;"~"&amp;IF(ISNUMBER(INDEX(입력_파견수련계획!$AC$4:$AC$803,$AK112)),TEXT(INDEX(입력_파견수련계획!$AC$4:$AC$803,$AK112),"yyyy-mm-dd"),""))</f>
        <v/>
      </c>
      <c r="AM112" s="10">
        <f>IF($Y112="서울병원",COUNTIF($Y$2:$Y112,"서울병원"),"")</f>
        <v/>
      </c>
      <c r="AN112" s="10">
        <f>IF(LEFT($Y112,1)="⚠",COUNTIF($Y$2:$Y112,"⚠*"),"")</f>
        <v/>
      </c>
      <c r="AO112" s="10">
        <f>IF(OR($B112="",$Y112=""),"",IF(IF(TRIM($J112&amp;"")="",0,SUMPRODUCT((입력_파견수련계획!$Q$4:$Q$803=TRIM($J112&amp;""))*입력_파견수련계획!$AD$4:$AD$803))&gt;0,"다기관 기간 → 소속병원 지급",IF(AND(N($X112)&lt;=0,$AQ112=""),"파견 없음 → 그 달 근무병원 지급",IF($AH112+$AI112=DAY(EOMONTH(출력_요약!$B$3,0)),"서울 "&amp;$AH112&amp;"일 / 구리 "&amp;$AI112&amp;"일"&amp;IF($AQ112&lt;&gt;""," (구리 근무자명단 반영)","")&amp;" → 15일 이상 근무 병원 지급","타 병원 포함 → "&amp;IF($AJ112="","소속",INDEX(입력_파견수련계획!$T$4:$T$803,$AJ112))&amp;" 규칙"))))</f>
        <v/>
      </c>
      <c r="AP112" s="10">
        <f>IF($B112="","",$C112&amp;"|"&amp;$F112)</f>
        <v/>
      </c>
      <c r="AQ112" s="10">
        <f>IF($B112="","",IFERROR(MATCH(ROW()-1,출력_구리근무자!$K$6:$K$305,0),""))</f>
        <v/>
      </c>
      <c r="AR112" s="10">
        <f>IF($AQ112="","",INDEX(출력_구리근무자!$H$6:$H$305,$AQ112))</f>
        <v/>
      </c>
    </row>
    <row r="113">
      <c r="A113" s="10">
        <f>IF(B113="","",ROW()-1)</f>
        <v/>
      </c>
      <c r="B113" s="19" t="n"/>
      <c r="C113" s="10">
        <f>IF($AB113="","",IF(INDEX(입력_기본자료!$C$2:$C$1001,$AB113)="","",INDEX(입력_기본자료!$C$2:$C$1001,$AB113)))</f>
        <v/>
      </c>
      <c r="D113" s="10">
        <f>IF($AB113="","",IF(INDEX(입력_기본자료!$J$2:$J$1001,$AB113)="","",INDEX(입력_기본자료!$J$2:$J$1001,$AB113)))</f>
        <v/>
      </c>
      <c r="E113" s="11">
        <f>IF($AB113="","",IF(INDEX(입력_기본자료!$K$2:$K$1001,$AB113)="","",IF(NOT(ISNUMBER(INDEX(입력_기본자료!$K$2:$K$1001,$AB113))),INDEX(입력_기본자료!$K$2:$K$1001,$AB113),IF(INDEX(입력_기본자료!$K$2:$K$1001,$AB113)&lt;1000000,INDEX(입력_기본자료!$K$2:$K$1001,$AB113),IF(AND(INDEX(입력_기본자료!$K$2:$K$1001,$AB113)&gt;=10000101,INT(MOD(INDEX(입력_기본자료!$K$2:$K$1001,$AB113),10000)/100)&gt;=1,INT(MOD(INDEX(입력_기본자료!$K$2:$K$1001,$AB113),10000)/100)&lt;=12,MOD(INDEX(입력_기본자료!$K$2:$K$1001,$AB113),100)&gt;=1,MOD(INDEX(입력_기본자료!$K$2:$K$1001,$AB113),100)&lt;=31),DATE(INT(INDEX(입력_기본자료!$K$2:$K$1001,$AB113)/10000),INT(MOD(INDEX(입력_기본자료!$K$2:$K$1001,$AB113),10000)/100),MOD(INDEX(입력_기본자료!$K$2:$K$1001,$AB113),100)),INDEX(입력_기본자료!$K$2:$K$1001,$AB113)&amp;"")))))</f>
        <v/>
      </c>
      <c r="F113" s="10">
        <f>IF($AB113="","",IF(INDEX(입력_기본자료!$D$2:$D$1001,$AB113)="","",INDEX(입력_기본자료!$D$2:$D$1001,$AB113)))</f>
        <v/>
      </c>
      <c r="G113" s="10">
        <f>IF($AB113="","",IF(INDEX(입력_기본자료!$E$2:$E$1001,$AB113)="","",INDEX(입력_기본자료!$E$2:$E$1001,$AB113)))</f>
        <v/>
      </c>
      <c r="H113" s="10">
        <f>IF($AB113="","",IF(INDEX(입력_기본자료!$F$2:$F$1001,$AB113)="","",INDEX(입력_기본자료!$F$2:$F$1001,$AB113)))</f>
        <v/>
      </c>
      <c r="I113" s="11">
        <f>IF($AB113="","",IF(INDEX(입력_기본자료!$G$2:$G$1001,$AB113)="","",IF(NOT(ISNUMBER(INDEX(입력_기본자료!$G$2:$G$1001,$AB113))),INDEX(입력_기본자료!$G$2:$G$1001,$AB113),IF(INDEX(입력_기본자료!$G$2:$G$1001,$AB113)&lt;1000000,INDEX(입력_기본자료!$G$2:$G$1001,$AB113),IF(AND(INDEX(입력_기본자료!$G$2:$G$1001,$AB113)&gt;=10000101,INT(MOD(INDEX(입력_기본자료!$G$2:$G$1001,$AB113),10000)/100)&gt;=1,INT(MOD(INDEX(입력_기본자료!$G$2:$G$1001,$AB113),10000)/100)&lt;=12,MOD(INDEX(입력_기본자료!$G$2:$G$1001,$AB113),100)&gt;=1,MOD(INDEX(입력_기본자료!$G$2:$G$1001,$AB113),100)&lt;=31),DATE(INT(INDEX(입력_기본자료!$G$2:$G$1001,$AB113)/10000),INT(MOD(INDEX(입력_기본자료!$G$2:$G$1001,$AB113),10000)/100),MOD(INDEX(입력_기본자료!$G$2:$G$1001,$AB113),100)),INDEX(입력_기본자료!$G$2:$G$1001,$AB113)&amp;"")))))</f>
        <v/>
      </c>
      <c r="J113" s="10">
        <f>IF($AB113="","",IF(INDEX(입력_기본자료!$H$2:$H$1001,$AB113)="","",INDEX(입력_기본자료!$H$2:$H$1001,$AB113)))</f>
        <v/>
      </c>
      <c r="K113" s="10">
        <f>IF($AB113="","",IF(INDEX(입력_기본자료!$I$2:$I$1001,$AB113)="","",INDEX(입력_기본자료!$I$2:$I$1001,$AB113)))</f>
        <v/>
      </c>
      <c r="L113" s="10">
        <f>IF($AB113="","",IF(INDEX(입력_기본자료!$A$2:$A$1001,$AB113)="","",INDEX(입력_기본자료!$A$2:$A$1001,$AB113)))</f>
        <v/>
      </c>
      <c r="M113" s="15" t="n"/>
      <c r="N113" s="10">
        <f>IF($B113="","",IF(AND($U113="파견중",$Q113&lt;&gt;""),$Q113,IF(AND($AD113&lt;&gt;"",LEFT($AD113,1)&lt;&gt;"⚠"),LEFT($AD113,FIND(" ",$AD113)-1),IF($H113="","",IF(RIGHT($H113,2)="병원",$H113,$H113&amp;"병원")))))</f>
        <v/>
      </c>
      <c r="O113" s="10">
        <f>IF($B113="","",IF(AND($U113="파견중",$Q113&lt;&gt;""),IF($R113&lt;&gt;"",$R113,"파견과 미입력"),IF(AND($AD113&lt;&gt;"",LEFT($AD113,1)&lt;&gt;"⚠"),MID($AD113,FIND(" ",$AD113)+1,60),IF($F113="","",IF($F113="인턴","수련교육부(인턴)",$F113)))))</f>
        <v/>
      </c>
      <c r="P113" s="10">
        <f>IF($B113="","",IF($AK113&lt;&gt;"",IF(AND(TODAY()&gt;=INDEX(입력_파견수련계획!$AB$4:$AB$803,$AK113),OR(NOT(ISNUMBER(INDEX(입력_파견수련계획!$AC$4:$AC$803,$AK113))),TODAY()&lt;=INDEX(입력_파견수련계획!$AC$4:$AC$803,$AK113))),"다기관",IF($AF113="","",INDEX(입력_파견수련계획!$T$4:$T$803,$AF113))),IF($AF113="","",INDEX(입력_파견수련계획!$T$4:$T$803,$AF113))))</f>
        <v/>
      </c>
      <c r="Q113" s="10">
        <f>IF($AF113="","",INDEX(입력_파견수련계획!$S$4:$S$803,$AF113))</f>
        <v/>
      </c>
      <c r="R113" s="10">
        <f>IF($AF113="","",INDEX(입력_파견수련계획!$U$4:$U$803,$AF113))</f>
        <v/>
      </c>
      <c r="S113" s="11">
        <f>IF($AF113="","",IF(INDEX(입력_파견수련계획!$H$4:$H$803,$AF113)="","",INDEX(입력_파견수련계획!$H$4:$H$803,$AF113)))</f>
        <v/>
      </c>
      <c r="T113" s="11">
        <f>IF($AF113="","",IF(INDEX(입력_파견수련계획!$I$4:$I$803,$AF113)="","",INDEX(입력_파견수련계획!$I$4:$I$803,$AF113)))</f>
        <v/>
      </c>
      <c r="U113" s="10">
        <f>IF($AF113="","",INDEX(입력_파견수련계획!$X$4:$X$803,$AF113))</f>
        <v/>
      </c>
      <c r="V113" s="17">
        <f>IF($AF113="","",INDEX(입력_파견수련계획!$V$4:$V$803,$AF113))</f>
        <v/>
      </c>
      <c r="W113" s="17">
        <f>IF(AND($U113="파견중",$T113&lt;&gt;""),$T113-TODAY(),"")</f>
        <v/>
      </c>
      <c r="X113" s="17">
        <f>IF(OR($B113="",TRIM($J113&amp;"")=""),"",SUMPRODUCT((입력_파견수련계획!$Q$4:$Q$803=TRIM($J113&amp;""))*입력_파견수련계획!$W$4:$W$803))</f>
        <v/>
      </c>
      <c r="Y113" s="10">
        <f>IF($B113="","",IF($AG113="","",IF(IF(TRIM($J113&amp;"")="",0,SUMPRODUCT((입력_파견수련계획!$Q$4:$Q$803=TRIM($J113&amp;""))*입력_파견수련계획!$AD$4:$AD$803))&gt;0,$AE113,IF(AND(N($X113)&lt;=0,$AQ113=""),$AG113,IF($AH113+$AI113=DAY(EOMONTH(출력_요약!$B$3,0)),IF(AND($AH113&gt;=출력_요약!$E$3,$AI113&lt;출력_요약!$E$3),"서울병원",IF(AND($AI113&gt;=출력_요약!$E$3,$AH113&lt;출력_요약!$E$3),"구리병원","⚠15일 판정불가(서울 "&amp;$AH113&amp;"일/구리 "&amp;$AI113&amp;"일)")),IF($AJ113="",$AE113,IF(INDEX(입력_파견수련계획!$T$4:$T$803,$AJ113)="통합수련",INDEX(입력_파견수련계획!$S$4:$S$803,$AJ113),$AE113)))))))</f>
        <v/>
      </c>
      <c r="Z113" s="20">
        <f>IF($B113="","",IF($AB113="","기본자료에 없는 사번",IF(COUNTIF($B$2:$B$401,$B113)&gt;1,"중복 사번",IF($AE113="","소속(입사장소) 입력",IF(IF(TRIM($J113&amp;"")="",0,SUMPRODUCT((입력_파견수련계획!$Q$4:$Q$803=TRIM($J113&amp;""))*(입력_파견수련계획!$AA$4:$AA$803&lt;&gt;"")))&gt;0,"파견수련계획 입력오류 확인",IF(LEFT($Y113,1)="⚠","서울·구리 15일 판정 불가(양쪽 모두 이상/미만)",IF(IF($AC113="",0,N(INDEX(입력_인턴근무계획!$T$3:$T$402,$AC113)))&gt;0,"인턴계획 입력오류 확인",IF(AND($AQ113&lt;&gt;"",$AG113&lt;&gt;"구리병원",IF(TRIM($J113&amp;"")="",0,SUMPRODUCT((입력_파견수련계획!$Q$4:$Q$803=TRIM($J113&amp;""))*(입력_파견수련계획!$S$4:$S$803="구리병원")*입력_파견수련계획!$W$4:$W$803))=0),"구리 근무자명단에만 있음(파견수련계획 확인)",IF(AND($AC113&lt;&gt;"",$U113&lt;&gt;"파견중",$N113&lt;&gt;$AE113),"인턴 타지역 근무: 파견 여부 확인","정상")))))))))</f>
        <v/>
      </c>
      <c r="AA113" s="5" t="n"/>
      <c r="AB113" s="10">
        <f>IF($B113="","",IFERROR(MATCH($B113,입력_기본자료!$B$2:$B$1001,0),IFERROR(MATCH($B113&amp;"",입력_기본자료!$B$2:$B$1001,0),IFERROR(MATCH(VALUE($B113),입력_기본자료!$B$2:$B$1001,0),""))))</f>
        <v/>
      </c>
      <c r="AC113" s="10">
        <f>IF($B113="","",IFERROR(MATCH($B113,입력_인턴근무계획!$D$3:$D$402,0),IFERROR(MATCH($B113&amp;"",입력_인턴근무계획!$D$3:$D$402,0),IFERROR(MATCH(VALUE($B113),입력_인턴근무계획!$D$3:$D$402,0),""))))</f>
        <v/>
      </c>
      <c r="AD113" s="10">
        <f>IF(OR($AC113="",출력_인턴현황!$G$3=""),"",INDEX(입력_인턴근무계획!$M$3:$R$402,$AC113,출력_인턴현황!$G$3)&amp;"")</f>
        <v/>
      </c>
      <c r="AE113" s="10">
        <f>IF($B113="","",IF($M113&lt;&gt;"",$M113,IF(IF($AQ113="",FALSE,INDEX(출력_구리근무자!$J$6:$J$305,$AQ113)="구리독자"),"구리병원",IF($AF113&lt;&gt;"",IF(LEFT(INDEX(입력_파견수련계획!$R$4:$R$803,$AF113),1)&lt;&gt;"⚠",INDEX(입력_파견수련계획!$R$4:$R$803,$AF113),IF($H113="","",IF(RIGHT($H113,2)="병원",$H113,$H113&amp;"병원"))),IF($H113="","",IF(RIGHT($H113,2)="병원",$H113,$H113&amp;"병원"))))))</f>
        <v/>
      </c>
      <c r="AF113" s="10">
        <f>IF(OR($B113="",TRIM($J113&amp;"")=""),"",IFERROR(MATCH(TRIM($J113&amp;"")&amp;"|파견중",입력_파견수련계획!$Y$4:$Y$803,0),IFERROR(MATCH(TRIM($J113&amp;"")&amp;"|파견예정",입력_파견수련계획!$Y$4:$Y$803,0),IFERROR(MATCH(TRIM($J113&amp;"")&amp;"|파견종료",입력_파견수련계획!$Y$4:$Y$803,0),""))))</f>
        <v/>
      </c>
      <c r="AG113" s="10">
        <f>IF($B113="","",IF(AND(IF(OR($AC113="",출력_인턴현황!$K$2=""),"",INDEX(입력_인턴근무계획!$M$3:$R$402,$AC113,출력_인턴현황!$K$2)&amp;"")&lt;&gt;"",LEFT(IF(OR($AC113="",출력_인턴현황!$K$2=""),"",INDEX(입력_인턴근무계획!$M$3:$R$402,$AC113,출력_인턴현황!$K$2)&amp;""),1)&lt;&gt;"⚠"),LEFT(IF(OR($AC113="",출력_인턴현황!$K$2=""),"",INDEX(입력_인턴근무계획!$M$3:$R$402,$AC113,출력_인턴현황!$K$2)&amp;""),FIND(" ",IF(OR($AC113="",출력_인턴현황!$K$2=""),"",INDEX(입력_인턴근무계획!$M$3:$R$402,$AC113,출력_인턴현황!$K$2)&amp;""))-1),$AE113))</f>
        <v/>
      </c>
      <c r="AH113" s="17">
        <f>IF($B113="","",IF($AQ113&lt;&gt;"",MAX(0,DAY(EOMONTH(출력_요약!$B$3,0))-N($AR113)),IF(TRIM($J113&amp;"")="",0,SUMPRODUCT((입력_파견수련계획!$Q$4:$Q$803=TRIM($J113&amp;""))*(입력_파견수련계획!$S$4:$S$803="서울병원")*입력_파견수련계획!$W$4:$W$803))+IF($AG113="서울병원",MAX(0,DAY(EOMONTH(출력_요약!$B$3,0))-N($X113)),0)))</f>
        <v/>
      </c>
      <c r="AI113" s="17">
        <f>IF($B113="","",IF($AQ113&lt;&gt;"",N($AR113),IF(TRIM($J113&amp;"")="",0,SUMPRODUCT((입력_파견수련계획!$Q$4:$Q$803=TRIM($J113&amp;""))*(입력_파견수련계획!$S$4:$S$803="구리병원")*입력_파견수련계획!$W$4:$W$803))+IF($AG113="구리병원",MAX(0,DAY(EOMONTH(출력_요약!$B$3,0))-N($X113)),0)))</f>
        <v/>
      </c>
      <c r="AJ113" s="10">
        <f>IF(OR($B113="",TRIM($J113&amp;"")=""),"",IFERROR(MATCH(TRIM($J113&amp;"")&amp;"|월",입력_파견수련계획!$Z$4:$Z$803,0),""))</f>
        <v/>
      </c>
      <c r="AK113" s="10">
        <f>IF(OR($B113="",TRIM($J113&amp;"")=""),"",IFERROR(MATCH(TRIM($J113&amp;"")&amp;"|다기관",입력_파견수련계획!$AE$4:$AE$803,0),""))</f>
        <v/>
      </c>
      <c r="AL113" s="10">
        <f>IF($AK113="","","다기관 "&amp;TEXT(INDEX(입력_파견수련계획!$AB$4:$AB$803,$AK113),"yyyy-mm-dd")&amp;"~"&amp;IF(ISNUMBER(INDEX(입력_파견수련계획!$AC$4:$AC$803,$AK113)),TEXT(INDEX(입력_파견수련계획!$AC$4:$AC$803,$AK113),"yyyy-mm-dd"),""))</f>
        <v/>
      </c>
      <c r="AM113" s="10">
        <f>IF($Y113="서울병원",COUNTIF($Y$2:$Y113,"서울병원"),"")</f>
        <v/>
      </c>
      <c r="AN113" s="10">
        <f>IF(LEFT($Y113,1)="⚠",COUNTIF($Y$2:$Y113,"⚠*"),"")</f>
        <v/>
      </c>
      <c r="AO113" s="10">
        <f>IF(OR($B113="",$Y113=""),"",IF(IF(TRIM($J113&amp;"")="",0,SUMPRODUCT((입력_파견수련계획!$Q$4:$Q$803=TRIM($J113&amp;""))*입력_파견수련계획!$AD$4:$AD$803))&gt;0,"다기관 기간 → 소속병원 지급",IF(AND(N($X113)&lt;=0,$AQ113=""),"파견 없음 → 그 달 근무병원 지급",IF($AH113+$AI113=DAY(EOMONTH(출력_요약!$B$3,0)),"서울 "&amp;$AH113&amp;"일 / 구리 "&amp;$AI113&amp;"일"&amp;IF($AQ113&lt;&gt;""," (구리 근무자명단 반영)","")&amp;" → 15일 이상 근무 병원 지급","타 병원 포함 → "&amp;IF($AJ113="","소속",INDEX(입력_파견수련계획!$T$4:$T$803,$AJ113))&amp;" 규칙"))))</f>
        <v/>
      </c>
      <c r="AP113" s="10">
        <f>IF($B113="","",$C113&amp;"|"&amp;$F113)</f>
        <v/>
      </c>
      <c r="AQ113" s="10">
        <f>IF($B113="","",IFERROR(MATCH(ROW()-1,출력_구리근무자!$K$6:$K$305,0),""))</f>
        <v/>
      </c>
      <c r="AR113" s="10">
        <f>IF($AQ113="","",INDEX(출력_구리근무자!$H$6:$H$305,$AQ113))</f>
        <v/>
      </c>
    </row>
    <row r="114">
      <c r="A114" s="10">
        <f>IF(B114="","",ROW()-1)</f>
        <v/>
      </c>
      <c r="B114" s="19" t="n"/>
      <c r="C114" s="10">
        <f>IF($AB114="","",IF(INDEX(입력_기본자료!$C$2:$C$1001,$AB114)="","",INDEX(입력_기본자료!$C$2:$C$1001,$AB114)))</f>
        <v/>
      </c>
      <c r="D114" s="10">
        <f>IF($AB114="","",IF(INDEX(입력_기본자료!$J$2:$J$1001,$AB114)="","",INDEX(입력_기본자료!$J$2:$J$1001,$AB114)))</f>
        <v/>
      </c>
      <c r="E114" s="11">
        <f>IF($AB114="","",IF(INDEX(입력_기본자료!$K$2:$K$1001,$AB114)="","",IF(NOT(ISNUMBER(INDEX(입력_기본자료!$K$2:$K$1001,$AB114))),INDEX(입력_기본자료!$K$2:$K$1001,$AB114),IF(INDEX(입력_기본자료!$K$2:$K$1001,$AB114)&lt;1000000,INDEX(입력_기본자료!$K$2:$K$1001,$AB114),IF(AND(INDEX(입력_기본자료!$K$2:$K$1001,$AB114)&gt;=10000101,INT(MOD(INDEX(입력_기본자료!$K$2:$K$1001,$AB114),10000)/100)&gt;=1,INT(MOD(INDEX(입력_기본자료!$K$2:$K$1001,$AB114),10000)/100)&lt;=12,MOD(INDEX(입력_기본자료!$K$2:$K$1001,$AB114),100)&gt;=1,MOD(INDEX(입력_기본자료!$K$2:$K$1001,$AB114),100)&lt;=31),DATE(INT(INDEX(입력_기본자료!$K$2:$K$1001,$AB114)/10000),INT(MOD(INDEX(입력_기본자료!$K$2:$K$1001,$AB114),10000)/100),MOD(INDEX(입력_기본자료!$K$2:$K$1001,$AB114),100)),INDEX(입력_기본자료!$K$2:$K$1001,$AB114)&amp;"")))))</f>
        <v/>
      </c>
      <c r="F114" s="10">
        <f>IF($AB114="","",IF(INDEX(입력_기본자료!$D$2:$D$1001,$AB114)="","",INDEX(입력_기본자료!$D$2:$D$1001,$AB114)))</f>
        <v/>
      </c>
      <c r="G114" s="10">
        <f>IF($AB114="","",IF(INDEX(입력_기본자료!$E$2:$E$1001,$AB114)="","",INDEX(입력_기본자료!$E$2:$E$1001,$AB114)))</f>
        <v/>
      </c>
      <c r="H114" s="10">
        <f>IF($AB114="","",IF(INDEX(입력_기본자료!$F$2:$F$1001,$AB114)="","",INDEX(입력_기본자료!$F$2:$F$1001,$AB114)))</f>
        <v/>
      </c>
      <c r="I114" s="11">
        <f>IF($AB114="","",IF(INDEX(입력_기본자료!$G$2:$G$1001,$AB114)="","",IF(NOT(ISNUMBER(INDEX(입력_기본자료!$G$2:$G$1001,$AB114))),INDEX(입력_기본자료!$G$2:$G$1001,$AB114),IF(INDEX(입력_기본자료!$G$2:$G$1001,$AB114)&lt;1000000,INDEX(입력_기본자료!$G$2:$G$1001,$AB114),IF(AND(INDEX(입력_기본자료!$G$2:$G$1001,$AB114)&gt;=10000101,INT(MOD(INDEX(입력_기본자료!$G$2:$G$1001,$AB114),10000)/100)&gt;=1,INT(MOD(INDEX(입력_기본자료!$G$2:$G$1001,$AB114),10000)/100)&lt;=12,MOD(INDEX(입력_기본자료!$G$2:$G$1001,$AB114),100)&gt;=1,MOD(INDEX(입력_기본자료!$G$2:$G$1001,$AB114),100)&lt;=31),DATE(INT(INDEX(입력_기본자료!$G$2:$G$1001,$AB114)/10000),INT(MOD(INDEX(입력_기본자료!$G$2:$G$1001,$AB114),10000)/100),MOD(INDEX(입력_기본자료!$G$2:$G$1001,$AB114),100)),INDEX(입력_기본자료!$G$2:$G$1001,$AB114)&amp;"")))))</f>
        <v/>
      </c>
      <c r="J114" s="10">
        <f>IF($AB114="","",IF(INDEX(입력_기본자료!$H$2:$H$1001,$AB114)="","",INDEX(입력_기본자료!$H$2:$H$1001,$AB114)))</f>
        <v/>
      </c>
      <c r="K114" s="10">
        <f>IF($AB114="","",IF(INDEX(입력_기본자료!$I$2:$I$1001,$AB114)="","",INDEX(입력_기본자료!$I$2:$I$1001,$AB114)))</f>
        <v/>
      </c>
      <c r="L114" s="10">
        <f>IF($AB114="","",IF(INDEX(입력_기본자료!$A$2:$A$1001,$AB114)="","",INDEX(입력_기본자료!$A$2:$A$1001,$AB114)))</f>
        <v/>
      </c>
      <c r="M114" s="15" t="n"/>
      <c r="N114" s="10">
        <f>IF($B114="","",IF(AND($U114="파견중",$Q114&lt;&gt;""),$Q114,IF(AND($AD114&lt;&gt;"",LEFT($AD114,1)&lt;&gt;"⚠"),LEFT($AD114,FIND(" ",$AD114)-1),IF($H114="","",IF(RIGHT($H114,2)="병원",$H114,$H114&amp;"병원")))))</f>
        <v/>
      </c>
      <c r="O114" s="10">
        <f>IF($B114="","",IF(AND($U114="파견중",$Q114&lt;&gt;""),IF($R114&lt;&gt;"",$R114,"파견과 미입력"),IF(AND($AD114&lt;&gt;"",LEFT($AD114,1)&lt;&gt;"⚠"),MID($AD114,FIND(" ",$AD114)+1,60),IF($F114="","",IF($F114="인턴","수련교육부(인턴)",$F114)))))</f>
        <v/>
      </c>
      <c r="P114" s="10">
        <f>IF($B114="","",IF($AK114&lt;&gt;"",IF(AND(TODAY()&gt;=INDEX(입력_파견수련계획!$AB$4:$AB$803,$AK114),OR(NOT(ISNUMBER(INDEX(입력_파견수련계획!$AC$4:$AC$803,$AK114))),TODAY()&lt;=INDEX(입력_파견수련계획!$AC$4:$AC$803,$AK114))),"다기관",IF($AF114="","",INDEX(입력_파견수련계획!$T$4:$T$803,$AF114))),IF($AF114="","",INDEX(입력_파견수련계획!$T$4:$T$803,$AF114))))</f>
        <v/>
      </c>
      <c r="Q114" s="10">
        <f>IF($AF114="","",INDEX(입력_파견수련계획!$S$4:$S$803,$AF114))</f>
        <v/>
      </c>
      <c r="R114" s="10">
        <f>IF($AF114="","",INDEX(입력_파견수련계획!$U$4:$U$803,$AF114))</f>
        <v/>
      </c>
      <c r="S114" s="11">
        <f>IF($AF114="","",IF(INDEX(입력_파견수련계획!$H$4:$H$803,$AF114)="","",INDEX(입력_파견수련계획!$H$4:$H$803,$AF114)))</f>
        <v/>
      </c>
      <c r="T114" s="11">
        <f>IF($AF114="","",IF(INDEX(입력_파견수련계획!$I$4:$I$803,$AF114)="","",INDEX(입력_파견수련계획!$I$4:$I$803,$AF114)))</f>
        <v/>
      </c>
      <c r="U114" s="10">
        <f>IF($AF114="","",INDEX(입력_파견수련계획!$X$4:$X$803,$AF114))</f>
        <v/>
      </c>
      <c r="V114" s="17">
        <f>IF($AF114="","",INDEX(입력_파견수련계획!$V$4:$V$803,$AF114))</f>
        <v/>
      </c>
      <c r="W114" s="17">
        <f>IF(AND($U114="파견중",$T114&lt;&gt;""),$T114-TODAY(),"")</f>
        <v/>
      </c>
      <c r="X114" s="17">
        <f>IF(OR($B114="",TRIM($J114&amp;"")=""),"",SUMPRODUCT((입력_파견수련계획!$Q$4:$Q$803=TRIM($J114&amp;""))*입력_파견수련계획!$W$4:$W$803))</f>
        <v/>
      </c>
      <c r="Y114" s="10">
        <f>IF($B114="","",IF($AG114="","",IF(IF(TRIM($J114&amp;"")="",0,SUMPRODUCT((입력_파견수련계획!$Q$4:$Q$803=TRIM($J114&amp;""))*입력_파견수련계획!$AD$4:$AD$803))&gt;0,$AE114,IF(AND(N($X114)&lt;=0,$AQ114=""),$AG114,IF($AH114+$AI114=DAY(EOMONTH(출력_요약!$B$3,0)),IF(AND($AH114&gt;=출력_요약!$E$3,$AI114&lt;출력_요약!$E$3),"서울병원",IF(AND($AI114&gt;=출력_요약!$E$3,$AH114&lt;출력_요약!$E$3),"구리병원","⚠15일 판정불가(서울 "&amp;$AH114&amp;"일/구리 "&amp;$AI114&amp;"일)")),IF($AJ114="",$AE114,IF(INDEX(입력_파견수련계획!$T$4:$T$803,$AJ114)="통합수련",INDEX(입력_파견수련계획!$S$4:$S$803,$AJ114),$AE114)))))))</f>
        <v/>
      </c>
      <c r="Z114" s="20">
        <f>IF($B114="","",IF($AB114="","기본자료에 없는 사번",IF(COUNTIF($B$2:$B$401,$B114)&gt;1,"중복 사번",IF($AE114="","소속(입사장소) 입력",IF(IF(TRIM($J114&amp;"")="",0,SUMPRODUCT((입력_파견수련계획!$Q$4:$Q$803=TRIM($J114&amp;""))*(입력_파견수련계획!$AA$4:$AA$803&lt;&gt;"")))&gt;0,"파견수련계획 입력오류 확인",IF(LEFT($Y114,1)="⚠","서울·구리 15일 판정 불가(양쪽 모두 이상/미만)",IF(IF($AC114="",0,N(INDEX(입력_인턴근무계획!$T$3:$T$402,$AC114)))&gt;0,"인턴계획 입력오류 확인",IF(AND($AQ114&lt;&gt;"",$AG114&lt;&gt;"구리병원",IF(TRIM($J114&amp;"")="",0,SUMPRODUCT((입력_파견수련계획!$Q$4:$Q$803=TRIM($J114&amp;""))*(입력_파견수련계획!$S$4:$S$803="구리병원")*입력_파견수련계획!$W$4:$W$803))=0),"구리 근무자명단에만 있음(파견수련계획 확인)",IF(AND($AC114&lt;&gt;"",$U114&lt;&gt;"파견중",$N114&lt;&gt;$AE114),"인턴 타지역 근무: 파견 여부 확인","정상")))))))))</f>
        <v/>
      </c>
      <c r="AA114" s="5" t="n"/>
      <c r="AB114" s="10">
        <f>IF($B114="","",IFERROR(MATCH($B114,입력_기본자료!$B$2:$B$1001,0),IFERROR(MATCH($B114&amp;"",입력_기본자료!$B$2:$B$1001,0),IFERROR(MATCH(VALUE($B114),입력_기본자료!$B$2:$B$1001,0),""))))</f>
        <v/>
      </c>
      <c r="AC114" s="10">
        <f>IF($B114="","",IFERROR(MATCH($B114,입력_인턴근무계획!$D$3:$D$402,0),IFERROR(MATCH($B114&amp;"",입력_인턴근무계획!$D$3:$D$402,0),IFERROR(MATCH(VALUE($B114),입력_인턴근무계획!$D$3:$D$402,0),""))))</f>
        <v/>
      </c>
      <c r="AD114" s="10">
        <f>IF(OR($AC114="",출력_인턴현황!$G$3=""),"",INDEX(입력_인턴근무계획!$M$3:$R$402,$AC114,출력_인턴현황!$G$3)&amp;"")</f>
        <v/>
      </c>
      <c r="AE114" s="10">
        <f>IF($B114="","",IF($M114&lt;&gt;"",$M114,IF(IF($AQ114="",FALSE,INDEX(출력_구리근무자!$J$6:$J$305,$AQ114)="구리독자"),"구리병원",IF($AF114&lt;&gt;"",IF(LEFT(INDEX(입력_파견수련계획!$R$4:$R$803,$AF114),1)&lt;&gt;"⚠",INDEX(입력_파견수련계획!$R$4:$R$803,$AF114),IF($H114="","",IF(RIGHT($H114,2)="병원",$H114,$H114&amp;"병원"))),IF($H114="","",IF(RIGHT($H114,2)="병원",$H114,$H114&amp;"병원"))))))</f>
        <v/>
      </c>
      <c r="AF114" s="10">
        <f>IF(OR($B114="",TRIM($J114&amp;"")=""),"",IFERROR(MATCH(TRIM($J114&amp;"")&amp;"|파견중",입력_파견수련계획!$Y$4:$Y$803,0),IFERROR(MATCH(TRIM($J114&amp;"")&amp;"|파견예정",입력_파견수련계획!$Y$4:$Y$803,0),IFERROR(MATCH(TRIM($J114&amp;"")&amp;"|파견종료",입력_파견수련계획!$Y$4:$Y$803,0),""))))</f>
        <v/>
      </c>
      <c r="AG114" s="10">
        <f>IF($B114="","",IF(AND(IF(OR($AC114="",출력_인턴현황!$K$2=""),"",INDEX(입력_인턴근무계획!$M$3:$R$402,$AC114,출력_인턴현황!$K$2)&amp;"")&lt;&gt;"",LEFT(IF(OR($AC114="",출력_인턴현황!$K$2=""),"",INDEX(입력_인턴근무계획!$M$3:$R$402,$AC114,출력_인턴현황!$K$2)&amp;""),1)&lt;&gt;"⚠"),LEFT(IF(OR($AC114="",출력_인턴현황!$K$2=""),"",INDEX(입력_인턴근무계획!$M$3:$R$402,$AC114,출력_인턴현황!$K$2)&amp;""),FIND(" ",IF(OR($AC114="",출력_인턴현황!$K$2=""),"",INDEX(입력_인턴근무계획!$M$3:$R$402,$AC114,출력_인턴현황!$K$2)&amp;""))-1),$AE114))</f>
        <v/>
      </c>
      <c r="AH114" s="17">
        <f>IF($B114="","",IF($AQ114&lt;&gt;"",MAX(0,DAY(EOMONTH(출력_요약!$B$3,0))-N($AR114)),IF(TRIM($J114&amp;"")="",0,SUMPRODUCT((입력_파견수련계획!$Q$4:$Q$803=TRIM($J114&amp;""))*(입력_파견수련계획!$S$4:$S$803="서울병원")*입력_파견수련계획!$W$4:$W$803))+IF($AG114="서울병원",MAX(0,DAY(EOMONTH(출력_요약!$B$3,0))-N($X114)),0)))</f>
        <v/>
      </c>
      <c r="AI114" s="17">
        <f>IF($B114="","",IF($AQ114&lt;&gt;"",N($AR114),IF(TRIM($J114&amp;"")="",0,SUMPRODUCT((입력_파견수련계획!$Q$4:$Q$803=TRIM($J114&amp;""))*(입력_파견수련계획!$S$4:$S$803="구리병원")*입력_파견수련계획!$W$4:$W$803))+IF($AG114="구리병원",MAX(0,DAY(EOMONTH(출력_요약!$B$3,0))-N($X114)),0)))</f>
        <v/>
      </c>
      <c r="AJ114" s="10">
        <f>IF(OR($B114="",TRIM($J114&amp;"")=""),"",IFERROR(MATCH(TRIM($J114&amp;"")&amp;"|월",입력_파견수련계획!$Z$4:$Z$803,0),""))</f>
        <v/>
      </c>
      <c r="AK114" s="10">
        <f>IF(OR($B114="",TRIM($J114&amp;"")=""),"",IFERROR(MATCH(TRIM($J114&amp;"")&amp;"|다기관",입력_파견수련계획!$AE$4:$AE$803,0),""))</f>
        <v/>
      </c>
      <c r="AL114" s="10">
        <f>IF($AK114="","","다기관 "&amp;TEXT(INDEX(입력_파견수련계획!$AB$4:$AB$803,$AK114),"yyyy-mm-dd")&amp;"~"&amp;IF(ISNUMBER(INDEX(입력_파견수련계획!$AC$4:$AC$803,$AK114)),TEXT(INDEX(입력_파견수련계획!$AC$4:$AC$803,$AK114),"yyyy-mm-dd"),""))</f>
        <v/>
      </c>
      <c r="AM114" s="10">
        <f>IF($Y114="서울병원",COUNTIF($Y$2:$Y114,"서울병원"),"")</f>
        <v/>
      </c>
      <c r="AN114" s="10">
        <f>IF(LEFT($Y114,1)="⚠",COUNTIF($Y$2:$Y114,"⚠*"),"")</f>
        <v/>
      </c>
      <c r="AO114" s="10">
        <f>IF(OR($B114="",$Y114=""),"",IF(IF(TRIM($J114&amp;"")="",0,SUMPRODUCT((입력_파견수련계획!$Q$4:$Q$803=TRIM($J114&amp;""))*입력_파견수련계획!$AD$4:$AD$803))&gt;0,"다기관 기간 → 소속병원 지급",IF(AND(N($X114)&lt;=0,$AQ114=""),"파견 없음 → 그 달 근무병원 지급",IF($AH114+$AI114=DAY(EOMONTH(출력_요약!$B$3,0)),"서울 "&amp;$AH114&amp;"일 / 구리 "&amp;$AI114&amp;"일"&amp;IF($AQ114&lt;&gt;""," (구리 근무자명단 반영)","")&amp;" → 15일 이상 근무 병원 지급","타 병원 포함 → "&amp;IF($AJ114="","소속",INDEX(입력_파견수련계획!$T$4:$T$803,$AJ114))&amp;" 규칙"))))</f>
        <v/>
      </c>
      <c r="AP114" s="10">
        <f>IF($B114="","",$C114&amp;"|"&amp;$F114)</f>
        <v/>
      </c>
      <c r="AQ114" s="10">
        <f>IF($B114="","",IFERROR(MATCH(ROW()-1,출력_구리근무자!$K$6:$K$305,0),""))</f>
        <v/>
      </c>
      <c r="AR114" s="10">
        <f>IF($AQ114="","",INDEX(출력_구리근무자!$H$6:$H$305,$AQ114))</f>
        <v/>
      </c>
    </row>
    <row r="115">
      <c r="A115" s="10">
        <f>IF(B115="","",ROW()-1)</f>
        <v/>
      </c>
      <c r="B115" s="19" t="n"/>
      <c r="C115" s="10">
        <f>IF($AB115="","",IF(INDEX(입력_기본자료!$C$2:$C$1001,$AB115)="","",INDEX(입력_기본자료!$C$2:$C$1001,$AB115)))</f>
        <v/>
      </c>
      <c r="D115" s="10">
        <f>IF($AB115="","",IF(INDEX(입력_기본자료!$J$2:$J$1001,$AB115)="","",INDEX(입력_기본자료!$J$2:$J$1001,$AB115)))</f>
        <v/>
      </c>
      <c r="E115" s="11">
        <f>IF($AB115="","",IF(INDEX(입력_기본자료!$K$2:$K$1001,$AB115)="","",IF(NOT(ISNUMBER(INDEX(입력_기본자료!$K$2:$K$1001,$AB115))),INDEX(입력_기본자료!$K$2:$K$1001,$AB115),IF(INDEX(입력_기본자료!$K$2:$K$1001,$AB115)&lt;1000000,INDEX(입력_기본자료!$K$2:$K$1001,$AB115),IF(AND(INDEX(입력_기본자료!$K$2:$K$1001,$AB115)&gt;=10000101,INT(MOD(INDEX(입력_기본자료!$K$2:$K$1001,$AB115),10000)/100)&gt;=1,INT(MOD(INDEX(입력_기본자료!$K$2:$K$1001,$AB115),10000)/100)&lt;=12,MOD(INDEX(입력_기본자료!$K$2:$K$1001,$AB115),100)&gt;=1,MOD(INDEX(입력_기본자료!$K$2:$K$1001,$AB115),100)&lt;=31),DATE(INT(INDEX(입력_기본자료!$K$2:$K$1001,$AB115)/10000),INT(MOD(INDEX(입력_기본자료!$K$2:$K$1001,$AB115),10000)/100),MOD(INDEX(입력_기본자료!$K$2:$K$1001,$AB115),100)),INDEX(입력_기본자료!$K$2:$K$1001,$AB115)&amp;"")))))</f>
        <v/>
      </c>
      <c r="F115" s="10">
        <f>IF($AB115="","",IF(INDEX(입력_기본자료!$D$2:$D$1001,$AB115)="","",INDEX(입력_기본자료!$D$2:$D$1001,$AB115)))</f>
        <v/>
      </c>
      <c r="G115" s="10">
        <f>IF($AB115="","",IF(INDEX(입력_기본자료!$E$2:$E$1001,$AB115)="","",INDEX(입력_기본자료!$E$2:$E$1001,$AB115)))</f>
        <v/>
      </c>
      <c r="H115" s="10">
        <f>IF($AB115="","",IF(INDEX(입력_기본자료!$F$2:$F$1001,$AB115)="","",INDEX(입력_기본자료!$F$2:$F$1001,$AB115)))</f>
        <v/>
      </c>
      <c r="I115" s="11">
        <f>IF($AB115="","",IF(INDEX(입력_기본자료!$G$2:$G$1001,$AB115)="","",IF(NOT(ISNUMBER(INDEX(입력_기본자료!$G$2:$G$1001,$AB115))),INDEX(입력_기본자료!$G$2:$G$1001,$AB115),IF(INDEX(입력_기본자료!$G$2:$G$1001,$AB115)&lt;1000000,INDEX(입력_기본자료!$G$2:$G$1001,$AB115),IF(AND(INDEX(입력_기본자료!$G$2:$G$1001,$AB115)&gt;=10000101,INT(MOD(INDEX(입력_기본자료!$G$2:$G$1001,$AB115),10000)/100)&gt;=1,INT(MOD(INDEX(입력_기본자료!$G$2:$G$1001,$AB115),10000)/100)&lt;=12,MOD(INDEX(입력_기본자료!$G$2:$G$1001,$AB115),100)&gt;=1,MOD(INDEX(입력_기본자료!$G$2:$G$1001,$AB115),100)&lt;=31),DATE(INT(INDEX(입력_기본자료!$G$2:$G$1001,$AB115)/10000),INT(MOD(INDEX(입력_기본자료!$G$2:$G$1001,$AB115),10000)/100),MOD(INDEX(입력_기본자료!$G$2:$G$1001,$AB115),100)),INDEX(입력_기본자료!$G$2:$G$1001,$AB115)&amp;"")))))</f>
        <v/>
      </c>
      <c r="J115" s="10">
        <f>IF($AB115="","",IF(INDEX(입력_기본자료!$H$2:$H$1001,$AB115)="","",INDEX(입력_기본자료!$H$2:$H$1001,$AB115)))</f>
        <v/>
      </c>
      <c r="K115" s="10">
        <f>IF($AB115="","",IF(INDEX(입력_기본자료!$I$2:$I$1001,$AB115)="","",INDEX(입력_기본자료!$I$2:$I$1001,$AB115)))</f>
        <v/>
      </c>
      <c r="L115" s="10">
        <f>IF($AB115="","",IF(INDEX(입력_기본자료!$A$2:$A$1001,$AB115)="","",INDEX(입력_기본자료!$A$2:$A$1001,$AB115)))</f>
        <v/>
      </c>
      <c r="M115" s="15" t="n"/>
      <c r="N115" s="10">
        <f>IF($B115="","",IF(AND($U115="파견중",$Q115&lt;&gt;""),$Q115,IF(AND($AD115&lt;&gt;"",LEFT($AD115,1)&lt;&gt;"⚠"),LEFT($AD115,FIND(" ",$AD115)-1),IF($H115="","",IF(RIGHT($H115,2)="병원",$H115,$H115&amp;"병원")))))</f>
        <v/>
      </c>
      <c r="O115" s="10">
        <f>IF($B115="","",IF(AND($U115="파견중",$Q115&lt;&gt;""),IF($R115&lt;&gt;"",$R115,"파견과 미입력"),IF(AND($AD115&lt;&gt;"",LEFT($AD115,1)&lt;&gt;"⚠"),MID($AD115,FIND(" ",$AD115)+1,60),IF($F115="","",IF($F115="인턴","수련교육부(인턴)",$F115)))))</f>
        <v/>
      </c>
      <c r="P115" s="10">
        <f>IF($B115="","",IF($AK115&lt;&gt;"",IF(AND(TODAY()&gt;=INDEX(입력_파견수련계획!$AB$4:$AB$803,$AK115),OR(NOT(ISNUMBER(INDEX(입력_파견수련계획!$AC$4:$AC$803,$AK115))),TODAY()&lt;=INDEX(입력_파견수련계획!$AC$4:$AC$803,$AK115))),"다기관",IF($AF115="","",INDEX(입력_파견수련계획!$T$4:$T$803,$AF115))),IF($AF115="","",INDEX(입력_파견수련계획!$T$4:$T$803,$AF115))))</f>
        <v/>
      </c>
      <c r="Q115" s="10">
        <f>IF($AF115="","",INDEX(입력_파견수련계획!$S$4:$S$803,$AF115))</f>
        <v/>
      </c>
      <c r="R115" s="10">
        <f>IF($AF115="","",INDEX(입력_파견수련계획!$U$4:$U$803,$AF115))</f>
        <v/>
      </c>
      <c r="S115" s="11">
        <f>IF($AF115="","",IF(INDEX(입력_파견수련계획!$H$4:$H$803,$AF115)="","",INDEX(입력_파견수련계획!$H$4:$H$803,$AF115)))</f>
        <v/>
      </c>
      <c r="T115" s="11">
        <f>IF($AF115="","",IF(INDEX(입력_파견수련계획!$I$4:$I$803,$AF115)="","",INDEX(입력_파견수련계획!$I$4:$I$803,$AF115)))</f>
        <v/>
      </c>
      <c r="U115" s="10">
        <f>IF($AF115="","",INDEX(입력_파견수련계획!$X$4:$X$803,$AF115))</f>
        <v/>
      </c>
      <c r="V115" s="17">
        <f>IF($AF115="","",INDEX(입력_파견수련계획!$V$4:$V$803,$AF115))</f>
        <v/>
      </c>
      <c r="W115" s="17">
        <f>IF(AND($U115="파견중",$T115&lt;&gt;""),$T115-TODAY(),"")</f>
        <v/>
      </c>
      <c r="X115" s="17">
        <f>IF(OR($B115="",TRIM($J115&amp;"")=""),"",SUMPRODUCT((입력_파견수련계획!$Q$4:$Q$803=TRIM($J115&amp;""))*입력_파견수련계획!$W$4:$W$803))</f>
        <v/>
      </c>
      <c r="Y115" s="10">
        <f>IF($B115="","",IF($AG115="","",IF(IF(TRIM($J115&amp;"")="",0,SUMPRODUCT((입력_파견수련계획!$Q$4:$Q$803=TRIM($J115&amp;""))*입력_파견수련계획!$AD$4:$AD$803))&gt;0,$AE115,IF(AND(N($X115)&lt;=0,$AQ115=""),$AG115,IF($AH115+$AI115=DAY(EOMONTH(출력_요약!$B$3,0)),IF(AND($AH115&gt;=출력_요약!$E$3,$AI115&lt;출력_요약!$E$3),"서울병원",IF(AND($AI115&gt;=출력_요약!$E$3,$AH115&lt;출력_요약!$E$3),"구리병원","⚠15일 판정불가(서울 "&amp;$AH115&amp;"일/구리 "&amp;$AI115&amp;"일)")),IF($AJ115="",$AE115,IF(INDEX(입력_파견수련계획!$T$4:$T$803,$AJ115)="통합수련",INDEX(입력_파견수련계획!$S$4:$S$803,$AJ115),$AE115)))))))</f>
        <v/>
      </c>
      <c r="Z115" s="20">
        <f>IF($B115="","",IF($AB115="","기본자료에 없는 사번",IF(COUNTIF($B$2:$B$401,$B115)&gt;1,"중복 사번",IF($AE115="","소속(입사장소) 입력",IF(IF(TRIM($J115&amp;"")="",0,SUMPRODUCT((입력_파견수련계획!$Q$4:$Q$803=TRIM($J115&amp;""))*(입력_파견수련계획!$AA$4:$AA$803&lt;&gt;"")))&gt;0,"파견수련계획 입력오류 확인",IF(LEFT($Y115,1)="⚠","서울·구리 15일 판정 불가(양쪽 모두 이상/미만)",IF(IF($AC115="",0,N(INDEX(입력_인턴근무계획!$T$3:$T$402,$AC115)))&gt;0,"인턴계획 입력오류 확인",IF(AND($AQ115&lt;&gt;"",$AG115&lt;&gt;"구리병원",IF(TRIM($J115&amp;"")="",0,SUMPRODUCT((입력_파견수련계획!$Q$4:$Q$803=TRIM($J115&amp;""))*(입력_파견수련계획!$S$4:$S$803="구리병원")*입력_파견수련계획!$W$4:$W$803))=0),"구리 근무자명단에만 있음(파견수련계획 확인)",IF(AND($AC115&lt;&gt;"",$U115&lt;&gt;"파견중",$N115&lt;&gt;$AE115),"인턴 타지역 근무: 파견 여부 확인","정상")))))))))</f>
        <v/>
      </c>
      <c r="AA115" s="5" t="n"/>
      <c r="AB115" s="10">
        <f>IF($B115="","",IFERROR(MATCH($B115,입력_기본자료!$B$2:$B$1001,0),IFERROR(MATCH($B115&amp;"",입력_기본자료!$B$2:$B$1001,0),IFERROR(MATCH(VALUE($B115),입력_기본자료!$B$2:$B$1001,0),""))))</f>
        <v/>
      </c>
      <c r="AC115" s="10">
        <f>IF($B115="","",IFERROR(MATCH($B115,입력_인턴근무계획!$D$3:$D$402,0),IFERROR(MATCH($B115&amp;"",입력_인턴근무계획!$D$3:$D$402,0),IFERROR(MATCH(VALUE($B115),입력_인턴근무계획!$D$3:$D$402,0),""))))</f>
        <v/>
      </c>
      <c r="AD115" s="10">
        <f>IF(OR($AC115="",출력_인턴현황!$G$3=""),"",INDEX(입력_인턴근무계획!$M$3:$R$402,$AC115,출력_인턴현황!$G$3)&amp;"")</f>
        <v/>
      </c>
      <c r="AE115" s="10">
        <f>IF($B115="","",IF($M115&lt;&gt;"",$M115,IF(IF($AQ115="",FALSE,INDEX(출력_구리근무자!$J$6:$J$305,$AQ115)="구리독자"),"구리병원",IF($AF115&lt;&gt;"",IF(LEFT(INDEX(입력_파견수련계획!$R$4:$R$803,$AF115),1)&lt;&gt;"⚠",INDEX(입력_파견수련계획!$R$4:$R$803,$AF115),IF($H115="","",IF(RIGHT($H115,2)="병원",$H115,$H115&amp;"병원"))),IF($H115="","",IF(RIGHT($H115,2)="병원",$H115,$H115&amp;"병원"))))))</f>
        <v/>
      </c>
      <c r="AF115" s="10">
        <f>IF(OR($B115="",TRIM($J115&amp;"")=""),"",IFERROR(MATCH(TRIM($J115&amp;"")&amp;"|파견중",입력_파견수련계획!$Y$4:$Y$803,0),IFERROR(MATCH(TRIM($J115&amp;"")&amp;"|파견예정",입력_파견수련계획!$Y$4:$Y$803,0),IFERROR(MATCH(TRIM($J115&amp;"")&amp;"|파견종료",입력_파견수련계획!$Y$4:$Y$803,0),""))))</f>
        <v/>
      </c>
      <c r="AG115" s="10">
        <f>IF($B115="","",IF(AND(IF(OR($AC115="",출력_인턴현황!$K$2=""),"",INDEX(입력_인턴근무계획!$M$3:$R$402,$AC115,출력_인턴현황!$K$2)&amp;"")&lt;&gt;"",LEFT(IF(OR($AC115="",출력_인턴현황!$K$2=""),"",INDEX(입력_인턴근무계획!$M$3:$R$402,$AC115,출력_인턴현황!$K$2)&amp;""),1)&lt;&gt;"⚠"),LEFT(IF(OR($AC115="",출력_인턴현황!$K$2=""),"",INDEX(입력_인턴근무계획!$M$3:$R$402,$AC115,출력_인턴현황!$K$2)&amp;""),FIND(" ",IF(OR($AC115="",출력_인턴현황!$K$2=""),"",INDEX(입력_인턴근무계획!$M$3:$R$402,$AC115,출력_인턴현황!$K$2)&amp;""))-1),$AE115))</f>
        <v/>
      </c>
      <c r="AH115" s="17">
        <f>IF($B115="","",IF($AQ115&lt;&gt;"",MAX(0,DAY(EOMONTH(출력_요약!$B$3,0))-N($AR115)),IF(TRIM($J115&amp;"")="",0,SUMPRODUCT((입력_파견수련계획!$Q$4:$Q$803=TRIM($J115&amp;""))*(입력_파견수련계획!$S$4:$S$803="서울병원")*입력_파견수련계획!$W$4:$W$803))+IF($AG115="서울병원",MAX(0,DAY(EOMONTH(출력_요약!$B$3,0))-N($X115)),0)))</f>
        <v/>
      </c>
      <c r="AI115" s="17">
        <f>IF($B115="","",IF($AQ115&lt;&gt;"",N($AR115),IF(TRIM($J115&amp;"")="",0,SUMPRODUCT((입력_파견수련계획!$Q$4:$Q$803=TRIM($J115&amp;""))*(입력_파견수련계획!$S$4:$S$803="구리병원")*입력_파견수련계획!$W$4:$W$803))+IF($AG115="구리병원",MAX(0,DAY(EOMONTH(출력_요약!$B$3,0))-N($X115)),0)))</f>
        <v/>
      </c>
      <c r="AJ115" s="10">
        <f>IF(OR($B115="",TRIM($J115&amp;"")=""),"",IFERROR(MATCH(TRIM($J115&amp;"")&amp;"|월",입력_파견수련계획!$Z$4:$Z$803,0),""))</f>
        <v/>
      </c>
      <c r="AK115" s="10">
        <f>IF(OR($B115="",TRIM($J115&amp;"")=""),"",IFERROR(MATCH(TRIM($J115&amp;"")&amp;"|다기관",입력_파견수련계획!$AE$4:$AE$803,0),""))</f>
        <v/>
      </c>
      <c r="AL115" s="10">
        <f>IF($AK115="","","다기관 "&amp;TEXT(INDEX(입력_파견수련계획!$AB$4:$AB$803,$AK115),"yyyy-mm-dd")&amp;"~"&amp;IF(ISNUMBER(INDEX(입력_파견수련계획!$AC$4:$AC$803,$AK115)),TEXT(INDEX(입력_파견수련계획!$AC$4:$AC$803,$AK115),"yyyy-mm-dd"),""))</f>
        <v/>
      </c>
      <c r="AM115" s="10">
        <f>IF($Y115="서울병원",COUNTIF($Y$2:$Y115,"서울병원"),"")</f>
        <v/>
      </c>
      <c r="AN115" s="10">
        <f>IF(LEFT($Y115,1)="⚠",COUNTIF($Y$2:$Y115,"⚠*"),"")</f>
        <v/>
      </c>
      <c r="AO115" s="10">
        <f>IF(OR($B115="",$Y115=""),"",IF(IF(TRIM($J115&amp;"")="",0,SUMPRODUCT((입력_파견수련계획!$Q$4:$Q$803=TRIM($J115&amp;""))*입력_파견수련계획!$AD$4:$AD$803))&gt;0,"다기관 기간 → 소속병원 지급",IF(AND(N($X115)&lt;=0,$AQ115=""),"파견 없음 → 그 달 근무병원 지급",IF($AH115+$AI115=DAY(EOMONTH(출력_요약!$B$3,0)),"서울 "&amp;$AH115&amp;"일 / 구리 "&amp;$AI115&amp;"일"&amp;IF($AQ115&lt;&gt;""," (구리 근무자명단 반영)","")&amp;" → 15일 이상 근무 병원 지급","타 병원 포함 → "&amp;IF($AJ115="","소속",INDEX(입력_파견수련계획!$T$4:$T$803,$AJ115))&amp;" 규칙"))))</f>
        <v/>
      </c>
      <c r="AP115" s="10">
        <f>IF($B115="","",$C115&amp;"|"&amp;$F115)</f>
        <v/>
      </c>
      <c r="AQ115" s="10">
        <f>IF($B115="","",IFERROR(MATCH(ROW()-1,출력_구리근무자!$K$6:$K$305,0),""))</f>
        <v/>
      </c>
      <c r="AR115" s="10">
        <f>IF($AQ115="","",INDEX(출력_구리근무자!$H$6:$H$305,$AQ115))</f>
        <v/>
      </c>
    </row>
    <row r="116">
      <c r="A116" s="10">
        <f>IF(B116="","",ROW()-1)</f>
        <v/>
      </c>
      <c r="B116" s="19" t="n"/>
      <c r="C116" s="10">
        <f>IF($AB116="","",IF(INDEX(입력_기본자료!$C$2:$C$1001,$AB116)="","",INDEX(입력_기본자료!$C$2:$C$1001,$AB116)))</f>
        <v/>
      </c>
      <c r="D116" s="10">
        <f>IF($AB116="","",IF(INDEX(입력_기본자료!$J$2:$J$1001,$AB116)="","",INDEX(입력_기본자료!$J$2:$J$1001,$AB116)))</f>
        <v/>
      </c>
      <c r="E116" s="11">
        <f>IF($AB116="","",IF(INDEX(입력_기본자료!$K$2:$K$1001,$AB116)="","",IF(NOT(ISNUMBER(INDEX(입력_기본자료!$K$2:$K$1001,$AB116))),INDEX(입력_기본자료!$K$2:$K$1001,$AB116),IF(INDEX(입력_기본자료!$K$2:$K$1001,$AB116)&lt;1000000,INDEX(입력_기본자료!$K$2:$K$1001,$AB116),IF(AND(INDEX(입력_기본자료!$K$2:$K$1001,$AB116)&gt;=10000101,INT(MOD(INDEX(입력_기본자료!$K$2:$K$1001,$AB116),10000)/100)&gt;=1,INT(MOD(INDEX(입력_기본자료!$K$2:$K$1001,$AB116),10000)/100)&lt;=12,MOD(INDEX(입력_기본자료!$K$2:$K$1001,$AB116),100)&gt;=1,MOD(INDEX(입력_기본자료!$K$2:$K$1001,$AB116),100)&lt;=31),DATE(INT(INDEX(입력_기본자료!$K$2:$K$1001,$AB116)/10000),INT(MOD(INDEX(입력_기본자료!$K$2:$K$1001,$AB116),10000)/100),MOD(INDEX(입력_기본자료!$K$2:$K$1001,$AB116),100)),INDEX(입력_기본자료!$K$2:$K$1001,$AB116)&amp;"")))))</f>
        <v/>
      </c>
      <c r="F116" s="10">
        <f>IF($AB116="","",IF(INDEX(입력_기본자료!$D$2:$D$1001,$AB116)="","",INDEX(입력_기본자료!$D$2:$D$1001,$AB116)))</f>
        <v/>
      </c>
      <c r="G116" s="10">
        <f>IF($AB116="","",IF(INDEX(입력_기본자료!$E$2:$E$1001,$AB116)="","",INDEX(입력_기본자료!$E$2:$E$1001,$AB116)))</f>
        <v/>
      </c>
      <c r="H116" s="10">
        <f>IF($AB116="","",IF(INDEX(입력_기본자료!$F$2:$F$1001,$AB116)="","",INDEX(입력_기본자료!$F$2:$F$1001,$AB116)))</f>
        <v/>
      </c>
      <c r="I116" s="11">
        <f>IF($AB116="","",IF(INDEX(입력_기본자료!$G$2:$G$1001,$AB116)="","",IF(NOT(ISNUMBER(INDEX(입력_기본자료!$G$2:$G$1001,$AB116))),INDEX(입력_기본자료!$G$2:$G$1001,$AB116),IF(INDEX(입력_기본자료!$G$2:$G$1001,$AB116)&lt;1000000,INDEX(입력_기본자료!$G$2:$G$1001,$AB116),IF(AND(INDEX(입력_기본자료!$G$2:$G$1001,$AB116)&gt;=10000101,INT(MOD(INDEX(입력_기본자료!$G$2:$G$1001,$AB116),10000)/100)&gt;=1,INT(MOD(INDEX(입력_기본자료!$G$2:$G$1001,$AB116),10000)/100)&lt;=12,MOD(INDEX(입력_기본자료!$G$2:$G$1001,$AB116),100)&gt;=1,MOD(INDEX(입력_기본자료!$G$2:$G$1001,$AB116),100)&lt;=31),DATE(INT(INDEX(입력_기본자료!$G$2:$G$1001,$AB116)/10000),INT(MOD(INDEX(입력_기본자료!$G$2:$G$1001,$AB116),10000)/100),MOD(INDEX(입력_기본자료!$G$2:$G$1001,$AB116),100)),INDEX(입력_기본자료!$G$2:$G$1001,$AB116)&amp;"")))))</f>
        <v/>
      </c>
      <c r="J116" s="10">
        <f>IF($AB116="","",IF(INDEX(입력_기본자료!$H$2:$H$1001,$AB116)="","",INDEX(입력_기본자료!$H$2:$H$1001,$AB116)))</f>
        <v/>
      </c>
      <c r="K116" s="10">
        <f>IF($AB116="","",IF(INDEX(입력_기본자료!$I$2:$I$1001,$AB116)="","",INDEX(입력_기본자료!$I$2:$I$1001,$AB116)))</f>
        <v/>
      </c>
      <c r="L116" s="10">
        <f>IF($AB116="","",IF(INDEX(입력_기본자료!$A$2:$A$1001,$AB116)="","",INDEX(입력_기본자료!$A$2:$A$1001,$AB116)))</f>
        <v/>
      </c>
      <c r="M116" s="15" t="n"/>
      <c r="N116" s="10">
        <f>IF($B116="","",IF(AND($U116="파견중",$Q116&lt;&gt;""),$Q116,IF(AND($AD116&lt;&gt;"",LEFT($AD116,1)&lt;&gt;"⚠"),LEFT($AD116,FIND(" ",$AD116)-1),IF($H116="","",IF(RIGHT($H116,2)="병원",$H116,$H116&amp;"병원")))))</f>
        <v/>
      </c>
      <c r="O116" s="10">
        <f>IF($B116="","",IF(AND($U116="파견중",$Q116&lt;&gt;""),IF($R116&lt;&gt;"",$R116,"파견과 미입력"),IF(AND($AD116&lt;&gt;"",LEFT($AD116,1)&lt;&gt;"⚠"),MID($AD116,FIND(" ",$AD116)+1,60),IF($F116="","",IF($F116="인턴","수련교육부(인턴)",$F116)))))</f>
        <v/>
      </c>
      <c r="P116" s="10">
        <f>IF($B116="","",IF($AK116&lt;&gt;"",IF(AND(TODAY()&gt;=INDEX(입력_파견수련계획!$AB$4:$AB$803,$AK116),OR(NOT(ISNUMBER(INDEX(입력_파견수련계획!$AC$4:$AC$803,$AK116))),TODAY()&lt;=INDEX(입력_파견수련계획!$AC$4:$AC$803,$AK116))),"다기관",IF($AF116="","",INDEX(입력_파견수련계획!$T$4:$T$803,$AF116))),IF($AF116="","",INDEX(입력_파견수련계획!$T$4:$T$803,$AF116))))</f>
        <v/>
      </c>
      <c r="Q116" s="10">
        <f>IF($AF116="","",INDEX(입력_파견수련계획!$S$4:$S$803,$AF116))</f>
        <v/>
      </c>
      <c r="R116" s="10">
        <f>IF($AF116="","",INDEX(입력_파견수련계획!$U$4:$U$803,$AF116))</f>
        <v/>
      </c>
      <c r="S116" s="11">
        <f>IF($AF116="","",IF(INDEX(입력_파견수련계획!$H$4:$H$803,$AF116)="","",INDEX(입력_파견수련계획!$H$4:$H$803,$AF116)))</f>
        <v/>
      </c>
      <c r="T116" s="11">
        <f>IF($AF116="","",IF(INDEX(입력_파견수련계획!$I$4:$I$803,$AF116)="","",INDEX(입력_파견수련계획!$I$4:$I$803,$AF116)))</f>
        <v/>
      </c>
      <c r="U116" s="10">
        <f>IF($AF116="","",INDEX(입력_파견수련계획!$X$4:$X$803,$AF116))</f>
        <v/>
      </c>
      <c r="V116" s="17">
        <f>IF($AF116="","",INDEX(입력_파견수련계획!$V$4:$V$803,$AF116))</f>
        <v/>
      </c>
      <c r="W116" s="17">
        <f>IF(AND($U116="파견중",$T116&lt;&gt;""),$T116-TODAY(),"")</f>
        <v/>
      </c>
      <c r="X116" s="17">
        <f>IF(OR($B116="",TRIM($J116&amp;"")=""),"",SUMPRODUCT((입력_파견수련계획!$Q$4:$Q$803=TRIM($J116&amp;""))*입력_파견수련계획!$W$4:$W$803))</f>
        <v/>
      </c>
      <c r="Y116" s="10">
        <f>IF($B116="","",IF($AG116="","",IF(IF(TRIM($J116&amp;"")="",0,SUMPRODUCT((입력_파견수련계획!$Q$4:$Q$803=TRIM($J116&amp;""))*입력_파견수련계획!$AD$4:$AD$803))&gt;0,$AE116,IF(AND(N($X116)&lt;=0,$AQ116=""),$AG116,IF($AH116+$AI116=DAY(EOMONTH(출력_요약!$B$3,0)),IF(AND($AH116&gt;=출력_요약!$E$3,$AI116&lt;출력_요약!$E$3),"서울병원",IF(AND($AI116&gt;=출력_요약!$E$3,$AH116&lt;출력_요약!$E$3),"구리병원","⚠15일 판정불가(서울 "&amp;$AH116&amp;"일/구리 "&amp;$AI116&amp;"일)")),IF($AJ116="",$AE116,IF(INDEX(입력_파견수련계획!$T$4:$T$803,$AJ116)="통합수련",INDEX(입력_파견수련계획!$S$4:$S$803,$AJ116),$AE116)))))))</f>
        <v/>
      </c>
      <c r="Z116" s="20">
        <f>IF($B116="","",IF($AB116="","기본자료에 없는 사번",IF(COUNTIF($B$2:$B$401,$B116)&gt;1,"중복 사번",IF($AE116="","소속(입사장소) 입력",IF(IF(TRIM($J116&amp;"")="",0,SUMPRODUCT((입력_파견수련계획!$Q$4:$Q$803=TRIM($J116&amp;""))*(입력_파견수련계획!$AA$4:$AA$803&lt;&gt;"")))&gt;0,"파견수련계획 입력오류 확인",IF(LEFT($Y116,1)="⚠","서울·구리 15일 판정 불가(양쪽 모두 이상/미만)",IF(IF($AC116="",0,N(INDEX(입력_인턴근무계획!$T$3:$T$402,$AC116)))&gt;0,"인턴계획 입력오류 확인",IF(AND($AQ116&lt;&gt;"",$AG116&lt;&gt;"구리병원",IF(TRIM($J116&amp;"")="",0,SUMPRODUCT((입력_파견수련계획!$Q$4:$Q$803=TRIM($J116&amp;""))*(입력_파견수련계획!$S$4:$S$803="구리병원")*입력_파견수련계획!$W$4:$W$803))=0),"구리 근무자명단에만 있음(파견수련계획 확인)",IF(AND($AC116&lt;&gt;"",$U116&lt;&gt;"파견중",$N116&lt;&gt;$AE116),"인턴 타지역 근무: 파견 여부 확인","정상")))))))))</f>
        <v/>
      </c>
      <c r="AA116" s="5" t="n"/>
      <c r="AB116" s="10">
        <f>IF($B116="","",IFERROR(MATCH($B116,입력_기본자료!$B$2:$B$1001,0),IFERROR(MATCH($B116&amp;"",입력_기본자료!$B$2:$B$1001,0),IFERROR(MATCH(VALUE($B116),입력_기본자료!$B$2:$B$1001,0),""))))</f>
        <v/>
      </c>
      <c r="AC116" s="10">
        <f>IF($B116="","",IFERROR(MATCH($B116,입력_인턴근무계획!$D$3:$D$402,0),IFERROR(MATCH($B116&amp;"",입력_인턴근무계획!$D$3:$D$402,0),IFERROR(MATCH(VALUE($B116),입력_인턴근무계획!$D$3:$D$402,0),""))))</f>
        <v/>
      </c>
      <c r="AD116" s="10">
        <f>IF(OR($AC116="",출력_인턴현황!$G$3=""),"",INDEX(입력_인턴근무계획!$M$3:$R$402,$AC116,출력_인턴현황!$G$3)&amp;"")</f>
        <v/>
      </c>
      <c r="AE116" s="10">
        <f>IF($B116="","",IF($M116&lt;&gt;"",$M116,IF(IF($AQ116="",FALSE,INDEX(출력_구리근무자!$J$6:$J$305,$AQ116)="구리독자"),"구리병원",IF($AF116&lt;&gt;"",IF(LEFT(INDEX(입력_파견수련계획!$R$4:$R$803,$AF116),1)&lt;&gt;"⚠",INDEX(입력_파견수련계획!$R$4:$R$803,$AF116),IF($H116="","",IF(RIGHT($H116,2)="병원",$H116,$H116&amp;"병원"))),IF($H116="","",IF(RIGHT($H116,2)="병원",$H116,$H116&amp;"병원"))))))</f>
        <v/>
      </c>
      <c r="AF116" s="10">
        <f>IF(OR($B116="",TRIM($J116&amp;"")=""),"",IFERROR(MATCH(TRIM($J116&amp;"")&amp;"|파견중",입력_파견수련계획!$Y$4:$Y$803,0),IFERROR(MATCH(TRIM($J116&amp;"")&amp;"|파견예정",입력_파견수련계획!$Y$4:$Y$803,0),IFERROR(MATCH(TRIM($J116&amp;"")&amp;"|파견종료",입력_파견수련계획!$Y$4:$Y$803,0),""))))</f>
        <v/>
      </c>
      <c r="AG116" s="10">
        <f>IF($B116="","",IF(AND(IF(OR($AC116="",출력_인턴현황!$K$2=""),"",INDEX(입력_인턴근무계획!$M$3:$R$402,$AC116,출력_인턴현황!$K$2)&amp;"")&lt;&gt;"",LEFT(IF(OR($AC116="",출력_인턴현황!$K$2=""),"",INDEX(입력_인턴근무계획!$M$3:$R$402,$AC116,출력_인턴현황!$K$2)&amp;""),1)&lt;&gt;"⚠"),LEFT(IF(OR($AC116="",출력_인턴현황!$K$2=""),"",INDEX(입력_인턴근무계획!$M$3:$R$402,$AC116,출력_인턴현황!$K$2)&amp;""),FIND(" ",IF(OR($AC116="",출력_인턴현황!$K$2=""),"",INDEX(입력_인턴근무계획!$M$3:$R$402,$AC116,출력_인턴현황!$K$2)&amp;""))-1),$AE116))</f>
        <v/>
      </c>
      <c r="AH116" s="17">
        <f>IF($B116="","",IF($AQ116&lt;&gt;"",MAX(0,DAY(EOMONTH(출력_요약!$B$3,0))-N($AR116)),IF(TRIM($J116&amp;"")="",0,SUMPRODUCT((입력_파견수련계획!$Q$4:$Q$803=TRIM($J116&amp;""))*(입력_파견수련계획!$S$4:$S$803="서울병원")*입력_파견수련계획!$W$4:$W$803))+IF($AG116="서울병원",MAX(0,DAY(EOMONTH(출력_요약!$B$3,0))-N($X116)),0)))</f>
        <v/>
      </c>
      <c r="AI116" s="17">
        <f>IF($B116="","",IF($AQ116&lt;&gt;"",N($AR116),IF(TRIM($J116&amp;"")="",0,SUMPRODUCT((입력_파견수련계획!$Q$4:$Q$803=TRIM($J116&amp;""))*(입력_파견수련계획!$S$4:$S$803="구리병원")*입력_파견수련계획!$W$4:$W$803))+IF($AG116="구리병원",MAX(0,DAY(EOMONTH(출력_요약!$B$3,0))-N($X116)),0)))</f>
        <v/>
      </c>
      <c r="AJ116" s="10">
        <f>IF(OR($B116="",TRIM($J116&amp;"")=""),"",IFERROR(MATCH(TRIM($J116&amp;"")&amp;"|월",입력_파견수련계획!$Z$4:$Z$803,0),""))</f>
        <v/>
      </c>
      <c r="AK116" s="10">
        <f>IF(OR($B116="",TRIM($J116&amp;"")=""),"",IFERROR(MATCH(TRIM($J116&amp;"")&amp;"|다기관",입력_파견수련계획!$AE$4:$AE$803,0),""))</f>
        <v/>
      </c>
      <c r="AL116" s="10">
        <f>IF($AK116="","","다기관 "&amp;TEXT(INDEX(입력_파견수련계획!$AB$4:$AB$803,$AK116),"yyyy-mm-dd")&amp;"~"&amp;IF(ISNUMBER(INDEX(입력_파견수련계획!$AC$4:$AC$803,$AK116)),TEXT(INDEX(입력_파견수련계획!$AC$4:$AC$803,$AK116),"yyyy-mm-dd"),""))</f>
        <v/>
      </c>
      <c r="AM116" s="10">
        <f>IF($Y116="서울병원",COUNTIF($Y$2:$Y116,"서울병원"),"")</f>
        <v/>
      </c>
      <c r="AN116" s="10">
        <f>IF(LEFT($Y116,1)="⚠",COUNTIF($Y$2:$Y116,"⚠*"),"")</f>
        <v/>
      </c>
      <c r="AO116" s="10">
        <f>IF(OR($B116="",$Y116=""),"",IF(IF(TRIM($J116&amp;"")="",0,SUMPRODUCT((입력_파견수련계획!$Q$4:$Q$803=TRIM($J116&amp;""))*입력_파견수련계획!$AD$4:$AD$803))&gt;0,"다기관 기간 → 소속병원 지급",IF(AND(N($X116)&lt;=0,$AQ116=""),"파견 없음 → 그 달 근무병원 지급",IF($AH116+$AI116=DAY(EOMONTH(출력_요약!$B$3,0)),"서울 "&amp;$AH116&amp;"일 / 구리 "&amp;$AI116&amp;"일"&amp;IF($AQ116&lt;&gt;""," (구리 근무자명단 반영)","")&amp;" → 15일 이상 근무 병원 지급","타 병원 포함 → "&amp;IF($AJ116="","소속",INDEX(입력_파견수련계획!$T$4:$T$803,$AJ116))&amp;" 규칙"))))</f>
        <v/>
      </c>
      <c r="AP116" s="10">
        <f>IF($B116="","",$C116&amp;"|"&amp;$F116)</f>
        <v/>
      </c>
      <c r="AQ116" s="10">
        <f>IF($B116="","",IFERROR(MATCH(ROW()-1,출력_구리근무자!$K$6:$K$305,0),""))</f>
        <v/>
      </c>
      <c r="AR116" s="10">
        <f>IF($AQ116="","",INDEX(출력_구리근무자!$H$6:$H$305,$AQ116))</f>
        <v/>
      </c>
    </row>
    <row r="117">
      <c r="A117" s="10">
        <f>IF(B117="","",ROW()-1)</f>
        <v/>
      </c>
      <c r="B117" s="19" t="n"/>
      <c r="C117" s="10">
        <f>IF($AB117="","",IF(INDEX(입력_기본자료!$C$2:$C$1001,$AB117)="","",INDEX(입력_기본자료!$C$2:$C$1001,$AB117)))</f>
        <v/>
      </c>
      <c r="D117" s="10">
        <f>IF($AB117="","",IF(INDEX(입력_기본자료!$J$2:$J$1001,$AB117)="","",INDEX(입력_기본자료!$J$2:$J$1001,$AB117)))</f>
        <v/>
      </c>
      <c r="E117" s="11">
        <f>IF($AB117="","",IF(INDEX(입력_기본자료!$K$2:$K$1001,$AB117)="","",IF(NOT(ISNUMBER(INDEX(입력_기본자료!$K$2:$K$1001,$AB117))),INDEX(입력_기본자료!$K$2:$K$1001,$AB117),IF(INDEX(입력_기본자료!$K$2:$K$1001,$AB117)&lt;1000000,INDEX(입력_기본자료!$K$2:$K$1001,$AB117),IF(AND(INDEX(입력_기본자료!$K$2:$K$1001,$AB117)&gt;=10000101,INT(MOD(INDEX(입력_기본자료!$K$2:$K$1001,$AB117),10000)/100)&gt;=1,INT(MOD(INDEX(입력_기본자료!$K$2:$K$1001,$AB117),10000)/100)&lt;=12,MOD(INDEX(입력_기본자료!$K$2:$K$1001,$AB117),100)&gt;=1,MOD(INDEX(입력_기본자료!$K$2:$K$1001,$AB117),100)&lt;=31),DATE(INT(INDEX(입력_기본자료!$K$2:$K$1001,$AB117)/10000),INT(MOD(INDEX(입력_기본자료!$K$2:$K$1001,$AB117),10000)/100),MOD(INDEX(입력_기본자료!$K$2:$K$1001,$AB117),100)),INDEX(입력_기본자료!$K$2:$K$1001,$AB117)&amp;"")))))</f>
        <v/>
      </c>
      <c r="F117" s="10">
        <f>IF($AB117="","",IF(INDEX(입력_기본자료!$D$2:$D$1001,$AB117)="","",INDEX(입력_기본자료!$D$2:$D$1001,$AB117)))</f>
        <v/>
      </c>
      <c r="G117" s="10">
        <f>IF($AB117="","",IF(INDEX(입력_기본자료!$E$2:$E$1001,$AB117)="","",INDEX(입력_기본자료!$E$2:$E$1001,$AB117)))</f>
        <v/>
      </c>
      <c r="H117" s="10">
        <f>IF($AB117="","",IF(INDEX(입력_기본자료!$F$2:$F$1001,$AB117)="","",INDEX(입력_기본자료!$F$2:$F$1001,$AB117)))</f>
        <v/>
      </c>
      <c r="I117" s="11">
        <f>IF($AB117="","",IF(INDEX(입력_기본자료!$G$2:$G$1001,$AB117)="","",IF(NOT(ISNUMBER(INDEX(입력_기본자료!$G$2:$G$1001,$AB117))),INDEX(입력_기본자료!$G$2:$G$1001,$AB117),IF(INDEX(입력_기본자료!$G$2:$G$1001,$AB117)&lt;1000000,INDEX(입력_기본자료!$G$2:$G$1001,$AB117),IF(AND(INDEX(입력_기본자료!$G$2:$G$1001,$AB117)&gt;=10000101,INT(MOD(INDEX(입력_기본자료!$G$2:$G$1001,$AB117),10000)/100)&gt;=1,INT(MOD(INDEX(입력_기본자료!$G$2:$G$1001,$AB117),10000)/100)&lt;=12,MOD(INDEX(입력_기본자료!$G$2:$G$1001,$AB117),100)&gt;=1,MOD(INDEX(입력_기본자료!$G$2:$G$1001,$AB117),100)&lt;=31),DATE(INT(INDEX(입력_기본자료!$G$2:$G$1001,$AB117)/10000),INT(MOD(INDEX(입력_기본자료!$G$2:$G$1001,$AB117),10000)/100),MOD(INDEX(입력_기본자료!$G$2:$G$1001,$AB117),100)),INDEX(입력_기본자료!$G$2:$G$1001,$AB117)&amp;"")))))</f>
        <v/>
      </c>
      <c r="J117" s="10">
        <f>IF($AB117="","",IF(INDEX(입력_기본자료!$H$2:$H$1001,$AB117)="","",INDEX(입력_기본자료!$H$2:$H$1001,$AB117)))</f>
        <v/>
      </c>
      <c r="K117" s="10">
        <f>IF($AB117="","",IF(INDEX(입력_기본자료!$I$2:$I$1001,$AB117)="","",INDEX(입력_기본자료!$I$2:$I$1001,$AB117)))</f>
        <v/>
      </c>
      <c r="L117" s="10">
        <f>IF($AB117="","",IF(INDEX(입력_기본자료!$A$2:$A$1001,$AB117)="","",INDEX(입력_기본자료!$A$2:$A$1001,$AB117)))</f>
        <v/>
      </c>
      <c r="M117" s="15" t="n"/>
      <c r="N117" s="10">
        <f>IF($B117="","",IF(AND($U117="파견중",$Q117&lt;&gt;""),$Q117,IF(AND($AD117&lt;&gt;"",LEFT($AD117,1)&lt;&gt;"⚠"),LEFT($AD117,FIND(" ",$AD117)-1),IF($H117="","",IF(RIGHT($H117,2)="병원",$H117,$H117&amp;"병원")))))</f>
        <v/>
      </c>
      <c r="O117" s="10">
        <f>IF($B117="","",IF(AND($U117="파견중",$Q117&lt;&gt;""),IF($R117&lt;&gt;"",$R117,"파견과 미입력"),IF(AND($AD117&lt;&gt;"",LEFT($AD117,1)&lt;&gt;"⚠"),MID($AD117,FIND(" ",$AD117)+1,60),IF($F117="","",IF($F117="인턴","수련교육부(인턴)",$F117)))))</f>
        <v/>
      </c>
      <c r="P117" s="10">
        <f>IF($B117="","",IF($AK117&lt;&gt;"",IF(AND(TODAY()&gt;=INDEX(입력_파견수련계획!$AB$4:$AB$803,$AK117),OR(NOT(ISNUMBER(INDEX(입력_파견수련계획!$AC$4:$AC$803,$AK117))),TODAY()&lt;=INDEX(입력_파견수련계획!$AC$4:$AC$803,$AK117))),"다기관",IF($AF117="","",INDEX(입력_파견수련계획!$T$4:$T$803,$AF117))),IF($AF117="","",INDEX(입력_파견수련계획!$T$4:$T$803,$AF117))))</f>
        <v/>
      </c>
      <c r="Q117" s="10">
        <f>IF($AF117="","",INDEX(입력_파견수련계획!$S$4:$S$803,$AF117))</f>
        <v/>
      </c>
      <c r="R117" s="10">
        <f>IF($AF117="","",INDEX(입력_파견수련계획!$U$4:$U$803,$AF117))</f>
        <v/>
      </c>
      <c r="S117" s="11">
        <f>IF($AF117="","",IF(INDEX(입력_파견수련계획!$H$4:$H$803,$AF117)="","",INDEX(입력_파견수련계획!$H$4:$H$803,$AF117)))</f>
        <v/>
      </c>
      <c r="T117" s="11">
        <f>IF($AF117="","",IF(INDEX(입력_파견수련계획!$I$4:$I$803,$AF117)="","",INDEX(입력_파견수련계획!$I$4:$I$803,$AF117)))</f>
        <v/>
      </c>
      <c r="U117" s="10">
        <f>IF($AF117="","",INDEX(입력_파견수련계획!$X$4:$X$803,$AF117))</f>
        <v/>
      </c>
      <c r="V117" s="17">
        <f>IF($AF117="","",INDEX(입력_파견수련계획!$V$4:$V$803,$AF117))</f>
        <v/>
      </c>
      <c r="W117" s="17">
        <f>IF(AND($U117="파견중",$T117&lt;&gt;""),$T117-TODAY(),"")</f>
        <v/>
      </c>
      <c r="X117" s="17">
        <f>IF(OR($B117="",TRIM($J117&amp;"")=""),"",SUMPRODUCT((입력_파견수련계획!$Q$4:$Q$803=TRIM($J117&amp;""))*입력_파견수련계획!$W$4:$W$803))</f>
        <v/>
      </c>
      <c r="Y117" s="10">
        <f>IF($B117="","",IF($AG117="","",IF(IF(TRIM($J117&amp;"")="",0,SUMPRODUCT((입력_파견수련계획!$Q$4:$Q$803=TRIM($J117&amp;""))*입력_파견수련계획!$AD$4:$AD$803))&gt;0,$AE117,IF(AND(N($X117)&lt;=0,$AQ117=""),$AG117,IF($AH117+$AI117=DAY(EOMONTH(출력_요약!$B$3,0)),IF(AND($AH117&gt;=출력_요약!$E$3,$AI117&lt;출력_요약!$E$3),"서울병원",IF(AND($AI117&gt;=출력_요약!$E$3,$AH117&lt;출력_요약!$E$3),"구리병원","⚠15일 판정불가(서울 "&amp;$AH117&amp;"일/구리 "&amp;$AI117&amp;"일)")),IF($AJ117="",$AE117,IF(INDEX(입력_파견수련계획!$T$4:$T$803,$AJ117)="통합수련",INDEX(입력_파견수련계획!$S$4:$S$803,$AJ117),$AE117)))))))</f>
        <v/>
      </c>
      <c r="Z117" s="20">
        <f>IF($B117="","",IF($AB117="","기본자료에 없는 사번",IF(COUNTIF($B$2:$B$401,$B117)&gt;1,"중복 사번",IF($AE117="","소속(입사장소) 입력",IF(IF(TRIM($J117&amp;"")="",0,SUMPRODUCT((입력_파견수련계획!$Q$4:$Q$803=TRIM($J117&amp;""))*(입력_파견수련계획!$AA$4:$AA$803&lt;&gt;"")))&gt;0,"파견수련계획 입력오류 확인",IF(LEFT($Y117,1)="⚠","서울·구리 15일 판정 불가(양쪽 모두 이상/미만)",IF(IF($AC117="",0,N(INDEX(입력_인턴근무계획!$T$3:$T$402,$AC117)))&gt;0,"인턴계획 입력오류 확인",IF(AND($AQ117&lt;&gt;"",$AG117&lt;&gt;"구리병원",IF(TRIM($J117&amp;"")="",0,SUMPRODUCT((입력_파견수련계획!$Q$4:$Q$803=TRIM($J117&amp;""))*(입력_파견수련계획!$S$4:$S$803="구리병원")*입력_파견수련계획!$W$4:$W$803))=0),"구리 근무자명단에만 있음(파견수련계획 확인)",IF(AND($AC117&lt;&gt;"",$U117&lt;&gt;"파견중",$N117&lt;&gt;$AE117),"인턴 타지역 근무: 파견 여부 확인","정상")))))))))</f>
        <v/>
      </c>
      <c r="AA117" s="5" t="n"/>
      <c r="AB117" s="10">
        <f>IF($B117="","",IFERROR(MATCH($B117,입력_기본자료!$B$2:$B$1001,0),IFERROR(MATCH($B117&amp;"",입력_기본자료!$B$2:$B$1001,0),IFERROR(MATCH(VALUE($B117),입력_기본자료!$B$2:$B$1001,0),""))))</f>
        <v/>
      </c>
      <c r="AC117" s="10">
        <f>IF($B117="","",IFERROR(MATCH($B117,입력_인턴근무계획!$D$3:$D$402,0),IFERROR(MATCH($B117&amp;"",입력_인턴근무계획!$D$3:$D$402,0),IFERROR(MATCH(VALUE($B117),입력_인턴근무계획!$D$3:$D$402,0),""))))</f>
        <v/>
      </c>
      <c r="AD117" s="10">
        <f>IF(OR($AC117="",출력_인턴현황!$G$3=""),"",INDEX(입력_인턴근무계획!$M$3:$R$402,$AC117,출력_인턴현황!$G$3)&amp;"")</f>
        <v/>
      </c>
      <c r="AE117" s="10">
        <f>IF($B117="","",IF($M117&lt;&gt;"",$M117,IF(IF($AQ117="",FALSE,INDEX(출력_구리근무자!$J$6:$J$305,$AQ117)="구리독자"),"구리병원",IF($AF117&lt;&gt;"",IF(LEFT(INDEX(입력_파견수련계획!$R$4:$R$803,$AF117),1)&lt;&gt;"⚠",INDEX(입력_파견수련계획!$R$4:$R$803,$AF117),IF($H117="","",IF(RIGHT($H117,2)="병원",$H117,$H117&amp;"병원"))),IF($H117="","",IF(RIGHT($H117,2)="병원",$H117,$H117&amp;"병원"))))))</f>
        <v/>
      </c>
      <c r="AF117" s="10">
        <f>IF(OR($B117="",TRIM($J117&amp;"")=""),"",IFERROR(MATCH(TRIM($J117&amp;"")&amp;"|파견중",입력_파견수련계획!$Y$4:$Y$803,0),IFERROR(MATCH(TRIM($J117&amp;"")&amp;"|파견예정",입력_파견수련계획!$Y$4:$Y$803,0),IFERROR(MATCH(TRIM($J117&amp;"")&amp;"|파견종료",입력_파견수련계획!$Y$4:$Y$803,0),""))))</f>
        <v/>
      </c>
      <c r="AG117" s="10">
        <f>IF($B117="","",IF(AND(IF(OR($AC117="",출력_인턴현황!$K$2=""),"",INDEX(입력_인턴근무계획!$M$3:$R$402,$AC117,출력_인턴현황!$K$2)&amp;"")&lt;&gt;"",LEFT(IF(OR($AC117="",출력_인턴현황!$K$2=""),"",INDEX(입력_인턴근무계획!$M$3:$R$402,$AC117,출력_인턴현황!$K$2)&amp;""),1)&lt;&gt;"⚠"),LEFT(IF(OR($AC117="",출력_인턴현황!$K$2=""),"",INDEX(입력_인턴근무계획!$M$3:$R$402,$AC117,출력_인턴현황!$K$2)&amp;""),FIND(" ",IF(OR($AC117="",출력_인턴현황!$K$2=""),"",INDEX(입력_인턴근무계획!$M$3:$R$402,$AC117,출력_인턴현황!$K$2)&amp;""))-1),$AE117))</f>
        <v/>
      </c>
      <c r="AH117" s="17">
        <f>IF($B117="","",IF($AQ117&lt;&gt;"",MAX(0,DAY(EOMONTH(출력_요약!$B$3,0))-N($AR117)),IF(TRIM($J117&amp;"")="",0,SUMPRODUCT((입력_파견수련계획!$Q$4:$Q$803=TRIM($J117&amp;""))*(입력_파견수련계획!$S$4:$S$803="서울병원")*입력_파견수련계획!$W$4:$W$803))+IF($AG117="서울병원",MAX(0,DAY(EOMONTH(출력_요약!$B$3,0))-N($X117)),0)))</f>
        <v/>
      </c>
      <c r="AI117" s="17">
        <f>IF($B117="","",IF($AQ117&lt;&gt;"",N($AR117),IF(TRIM($J117&amp;"")="",0,SUMPRODUCT((입력_파견수련계획!$Q$4:$Q$803=TRIM($J117&amp;""))*(입력_파견수련계획!$S$4:$S$803="구리병원")*입력_파견수련계획!$W$4:$W$803))+IF($AG117="구리병원",MAX(0,DAY(EOMONTH(출력_요약!$B$3,0))-N($X117)),0)))</f>
        <v/>
      </c>
      <c r="AJ117" s="10">
        <f>IF(OR($B117="",TRIM($J117&amp;"")=""),"",IFERROR(MATCH(TRIM($J117&amp;"")&amp;"|월",입력_파견수련계획!$Z$4:$Z$803,0),""))</f>
        <v/>
      </c>
      <c r="AK117" s="10">
        <f>IF(OR($B117="",TRIM($J117&amp;"")=""),"",IFERROR(MATCH(TRIM($J117&amp;"")&amp;"|다기관",입력_파견수련계획!$AE$4:$AE$803,0),""))</f>
        <v/>
      </c>
      <c r="AL117" s="10">
        <f>IF($AK117="","","다기관 "&amp;TEXT(INDEX(입력_파견수련계획!$AB$4:$AB$803,$AK117),"yyyy-mm-dd")&amp;"~"&amp;IF(ISNUMBER(INDEX(입력_파견수련계획!$AC$4:$AC$803,$AK117)),TEXT(INDEX(입력_파견수련계획!$AC$4:$AC$803,$AK117),"yyyy-mm-dd"),""))</f>
        <v/>
      </c>
      <c r="AM117" s="10">
        <f>IF($Y117="서울병원",COUNTIF($Y$2:$Y117,"서울병원"),"")</f>
        <v/>
      </c>
      <c r="AN117" s="10">
        <f>IF(LEFT($Y117,1)="⚠",COUNTIF($Y$2:$Y117,"⚠*"),"")</f>
        <v/>
      </c>
      <c r="AO117" s="10">
        <f>IF(OR($B117="",$Y117=""),"",IF(IF(TRIM($J117&amp;"")="",0,SUMPRODUCT((입력_파견수련계획!$Q$4:$Q$803=TRIM($J117&amp;""))*입력_파견수련계획!$AD$4:$AD$803))&gt;0,"다기관 기간 → 소속병원 지급",IF(AND(N($X117)&lt;=0,$AQ117=""),"파견 없음 → 그 달 근무병원 지급",IF($AH117+$AI117=DAY(EOMONTH(출력_요약!$B$3,0)),"서울 "&amp;$AH117&amp;"일 / 구리 "&amp;$AI117&amp;"일"&amp;IF($AQ117&lt;&gt;""," (구리 근무자명단 반영)","")&amp;" → 15일 이상 근무 병원 지급","타 병원 포함 → "&amp;IF($AJ117="","소속",INDEX(입력_파견수련계획!$T$4:$T$803,$AJ117))&amp;" 규칙"))))</f>
        <v/>
      </c>
      <c r="AP117" s="10">
        <f>IF($B117="","",$C117&amp;"|"&amp;$F117)</f>
        <v/>
      </c>
      <c r="AQ117" s="10">
        <f>IF($B117="","",IFERROR(MATCH(ROW()-1,출력_구리근무자!$K$6:$K$305,0),""))</f>
        <v/>
      </c>
      <c r="AR117" s="10">
        <f>IF($AQ117="","",INDEX(출력_구리근무자!$H$6:$H$305,$AQ117))</f>
        <v/>
      </c>
    </row>
    <row r="118">
      <c r="A118" s="10">
        <f>IF(B118="","",ROW()-1)</f>
        <v/>
      </c>
      <c r="B118" s="19" t="n"/>
      <c r="C118" s="10">
        <f>IF($AB118="","",IF(INDEX(입력_기본자료!$C$2:$C$1001,$AB118)="","",INDEX(입력_기본자료!$C$2:$C$1001,$AB118)))</f>
        <v/>
      </c>
      <c r="D118" s="10">
        <f>IF($AB118="","",IF(INDEX(입력_기본자료!$J$2:$J$1001,$AB118)="","",INDEX(입력_기본자료!$J$2:$J$1001,$AB118)))</f>
        <v/>
      </c>
      <c r="E118" s="11">
        <f>IF($AB118="","",IF(INDEX(입력_기본자료!$K$2:$K$1001,$AB118)="","",IF(NOT(ISNUMBER(INDEX(입력_기본자료!$K$2:$K$1001,$AB118))),INDEX(입력_기본자료!$K$2:$K$1001,$AB118),IF(INDEX(입력_기본자료!$K$2:$K$1001,$AB118)&lt;1000000,INDEX(입력_기본자료!$K$2:$K$1001,$AB118),IF(AND(INDEX(입력_기본자료!$K$2:$K$1001,$AB118)&gt;=10000101,INT(MOD(INDEX(입력_기본자료!$K$2:$K$1001,$AB118),10000)/100)&gt;=1,INT(MOD(INDEX(입력_기본자료!$K$2:$K$1001,$AB118),10000)/100)&lt;=12,MOD(INDEX(입력_기본자료!$K$2:$K$1001,$AB118),100)&gt;=1,MOD(INDEX(입력_기본자료!$K$2:$K$1001,$AB118),100)&lt;=31),DATE(INT(INDEX(입력_기본자료!$K$2:$K$1001,$AB118)/10000),INT(MOD(INDEX(입력_기본자료!$K$2:$K$1001,$AB118),10000)/100),MOD(INDEX(입력_기본자료!$K$2:$K$1001,$AB118),100)),INDEX(입력_기본자료!$K$2:$K$1001,$AB118)&amp;"")))))</f>
        <v/>
      </c>
      <c r="F118" s="10">
        <f>IF($AB118="","",IF(INDEX(입력_기본자료!$D$2:$D$1001,$AB118)="","",INDEX(입력_기본자료!$D$2:$D$1001,$AB118)))</f>
        <v/>
      </c>
      <c r="G118" s="10">
        <f>IF($AB118="","",IF(INDEX(입력_기본자료!$E$2:$E$1001,$AB118)="","",INDEX(입력_기본자료!$E$2:$E$1001,$AB118)))</f>
        <v/>
      </c>
      <c r="H118" s="10">
        <f>IF($AB118="","",IF(INDEX(입력_기본자료!$F$2:$F$1001,$AB118)="","",INDEX(입력_기본자료!$F$2:$F$1001,$AB118)))</f>
        <v/>
      </c>
      <c r="I118" s="11">
        <f>IF($AB118="","",IF(INDEX(입력_기본자료!$G$2:$G$1001,$AB118)="","",IF(NOT(ISNUMBER(INDEX(입력_기본자료!$G$2:$G$1001,$AB118))),INDEX(입력_기본자료!$G$2:$G$1001,$AB118),IF(INDEX(입력_기본자료!$G$2:$G$1001,$AB118)&lt;1000000,INDEX(입력_기본자료!$G$2:$G$1001,$AB118),IF(AND(INDEX(입력_기본자료!$G$2:$G$1001,$AB118)&gt;=10000101,INT(MOD(INDEX(입력_기본자료!$G$2:$G$1001,$AB118),10000)/100)&gt;=1,INT(MOD(INDEX(입력_기본자료!$G$2:$G$1001,$AB118),10000)/100)&lt;=12,MOD(INDEX(입력_기본자료!$G$2:$G$1001,$AB118),100)&gt;=1,MOD(INDEX(입력_기본자료!$G$2:$G$1001,$AB118),100)&lt;=31),DATE(INT(INDEX(입력_기본자료!$G$2:$G$1001,$AB118)/10000),INT(MOD(INDEX(입력_기본자료!$G$2:$G$1001,$AB118),10000)/100),MOD(INDEX(입력_기본자료!$G$2:$G$1001,$AB118),100)),INDEX(입력_기본자료!$G$2:$G$1001,$AB118)&amp;"")))))</f>
        <v/>
      </c>
      <c r="J118" s="10">
        <f>IF($AB118="","",IF(INDEX(입력_기본자료!$H$2:$H$1001,$AB118)="","",INDEX(입력_기본자료!$H$2:$H$1001,$AB118)))</f>
        <v/>
      </c>
      <c r="K118" s="10">
        <f>IF($AB118="","",IF(INDEX(입력_기본자료!$I$2:$I$1001,$AB118)="","",INDEX(입력_기본자료!$I$2:$I$1001,$AB118)))</f>
        <v/>
      </c>
      <c r="L118" s="10">
        <f>IF($AB118="","",IF(INDEX(입력_기본자료!$A$2:$A$1001,$AB118)="","",INDEX(입력_기본자료!$A$2:$A$1001,$AB118)))</f>
        <v/>
      </c>
      <c r="M118" s="15" t="n"/>
      <c r="N118" s="10">
        <f>IF($B118="","",IF(AND($U118="파견중",$Q118&lt;&gt;""),$Q118,IF(AND($AD118&lt;&gt;"",LEFT($AD118,1)&lt;&gt;"⚠"),LEFT($AD118,FIND(" ",$AD118)-1),IF($H118="","",IF(RIGHT($H118,2)="병원",$H118,$H118&amp;"병원")))))</f>
        <v/>
      </c>
      <c r="O118" s="10">
        <f>IF($B118="","",IF(AND($U118="파견중",$Q118&lt;&gt;""),IF($R118&lt;&gt;"",$R118,"파견과 미입력"),IF(AND($AD118&lt;&gt;"",LEFT($AD118,1)&lt;&gt;"⚠"),MID($AD118,FIND(" ",$AD118)+1,60),IF($F118="","",IF($F118="인턴","수련교육부(인턴)",$F118)))))</f>
        <v/>
      </c>
      <c r="P118" s="10">
        <f>IF($B118="","",IF($AK118&lt;&gt;"",IF(AND(TODAY()&gt;=INDEX(입력_파견수련계획!$AB$4:$AB$803,$AK118),OR(NOT(ISNUMBER(INDEX(입력_파견수련계획!$AC$4:$AC$803,$AK118))),TODAY()&lt;=INDEX(입력_파견수련계획!$AC$4:$AC$803,$AK118))),"다기관",IF($AF118="","",INDEX(입력_파견수련계획!$T$4:$T$803,$AF118))),IF($AF118="","",INDEX(입력_파견수련계획!$T$4:$T$803,$AF118))))</f>
        <v/>
      </c>
      <c r="Q118" s="10">
        <f>IF($AF118="","",INDEX(입력_파견수련계획!$S$4:$S$803,$AF118))</f>
        <v/>
      </c>
      <c r="R118" s="10">
        <f>IF($AF118="","",INDEX(입력_파견수련계획!$U$4:$U$803,$AF118))</f>
        <v/>
      </c>
      <c r="S118" s="11">
        <f>IF($AF118="","",IF(INDEX(입력_파견수련계획!$H$4:$H$803,$AF118)="","",INDEX(입력_파견수련계획!$H$4:$H$803,$AF118)))</f>
        <v/>
      </c>
      <c r="T118" s="11">
        <f>IF($AF118="","",IF(INDEX(입력_파견수련계획!$I$4:$I$803,$AF118)="","",INDEX(입력_파견수련계획!$I$4:$I$803,$AF118)))</f>
        <v/>
      </c>
      <c r="U118" s="10">
        <f>IF($AF118="","",INDEX(입력_파견수련계획!$X$4:$X$803,$AF118))</f>
        <v/>
      </c>
      <c r="V118" s="17">
        <f>IF($AF118="","",INDEX(입력_파견수련계획!$V$4:$V$803,$AF118))</f>
        <v/>
      </c>
      <c r="W118" s="17">
        <f>IF(AND($U118="파견중",$T118&lt;&gt;""),$T118-TODAY(),"")</f>
        <v/>
      </c>
      <c r="X118" s="17">
        <f>IF(OR($B118="",TRIM($J118&amp;"")=""),"",SUMPRODUCT((입력_파견수련계획!$Q$4:$Q$803=TRIM($J118&amp;""))*입력_파견수련계획!$W$4:$W$803))</f>
        <v/>
      </c>
      <c r="Y118" s="10">
        <f>IF($B118="","",IF($AG118="","",IF(IF(TRIM($J118&amp;"")="",0,SUMPRODUCT((입력_파견수련계획!$Q$4:$Q$803=TRIM($J118&amp;""))*입력_파견수련계획!$AD$4:$AD$803))&gt;0,$AE118,IF(AND(N($X118)&lt;=0,$AQ118=""),$AG118,IF($AH118+$AI118=DAY(EOMONTH(출력_요약!$B$3,0)),IF(AND($AH118&gt;=출력_요약!$E$3,$AI118&lt;출력_요약!$E$3),"서울병원",IF(AND($AI118&gt;=출력_요약!$E$3,$AH118&lt;출력_요약!$E$3),"구리병원","⚠15일 판정불가(서울 "&amp;$AH118&amp;"일/구리 "&amp;$AI118&amp;"일)")),IF($AJ118="",$AE118,IF(INDEX(입력_파견수련계획!$T$4:$T$803,$AJ118)="통합수련",INDEX(입력_파견수련계획!$S$4:$S$803,$AJ118),$AE118)))))))</f>
        <v/>
      </c>
      <c r="Z118" s="20">
        <f>IF($B118="","",IF($AB118="","기본자료에 없는 사번",IF(COUNTIF($B$2:$B$401,$B118)&gt;1,"중복 사번",IF($AE118="","소속(입사장소) 입력",IF(IF(TRIM($J118&amp;"")="",0,SUMPRODUCT((입력_파견수련계획!$Q$4:$Q$803=TRIM($J118&amp;""))*(입력_파견수련계획!$AA$4:$AA$803&lt;&gt;"")))&gt;0,"파견수련계획 입력오류 확인",IF(LEFT($Y118,1)="⚠","서울·구리 15일 판정 불가(양쪽 모두 이상/미만)",IF(IF($AC118="",0,N(INDEX(입력_인턴근무계획!$T$3:$T$402,$AC118)))&gt;0,"인턴계획 입력오류 확인",IF(AND($AQ118&lt;&gt;"",$AG118&lt;&gt;"구리병원",IF(TRIM($J118&amp;"")="",0,SUMPRODUCT((입력_파견수련계획!$Q$4:$Q$803=TRIM($J118&amp;""))*(입력_파견수련계획!$S$4:$S$803="구리병원")*입력_파견수련계획!$W$4:$W$803))=0),"구리 근무자명단에만 있음(파견수련계획 확인)",IF(AND($AC118&lt;&gt;"",$U118&lt;&gt;"파견중",$N118&lt;&gt;$AE118),"인턴 타지역 근무: 파견 여부 확인","정상")))))))))</f>
        <v/>
      </c>
      <c r="AA118" s="5" t="n"/>
      <c r="AB118" s="10">
        <f>IF($B118="","",IFERROR(MATCH($B118,입력_기본자료!$B$2:$B$1001,0),IFERROR(MATCH($B118&amp;"",입력_기본자료!$B$2:$B$1001,0),IFERROR(MATCH(VALUE($B118),입력_기본자료!$B$2:$B$1001,0),""))))</f>
        <v/>
      </c>
      <c r="AC118" s="10">
        <f>IF($B118="","",IFERROR(MATCH($B118,입력_인턴근무계획!$D$3:$D$402,0),IFERROR(MATCH($B118&amp;"",입력_인턴근무계획!$D$3:$D$402,0),IFERROR(MATCH(VALUE($B118),입력_인턴근무계획!$D$3:$D$402,0),""))))</f>
        <v/>
      </c>
      <c r="AD118" s="10">
        <f>IF(OR($AC118="",출력_인턴현황!$G$3=""),"",INDEX(입력_인턴근무계획!$M$3:$R$402,$AC118,출력_인턴현황!$G$3)&amp;"")</f>
        <v/>
      </c>
      <c r="AE118" s="10">
        <f>IF($B118="","",IF($M118&lt;&gt;"",$M118,IF(IF($AQ118="",FALSE,INDEX(출력_구리근무자!$J$6:$J$305,$AQ118)="구리독자"),"구리병원",IF($AF118&lt;&gt;"",IF(LEFT(INDEX(입력_파견수련계획!$R$4:$R$803,$AF118),1)&lt;&gt;"⚠",INDEX(입력_파견수련계획!$R$4:$R$803,$AF118),IF($H118="","",IF(RIGHT($H118,2)="병원",$H118,$H118&amp;"병원"))),IF($H118="","",IF(RIGHT($H118,2)="병원",$H118,$H118&amp;"병원"))))))</f>
        <v/>
      </c>
      <c r="AF118" s="10">
        <f>IF(OR($B118="",TRIM($J118&amp;"")=""),"",IFERROR(MATCH(TRIM($J118&amp;"")&amp;"|파견중",입력_파견수련계획!$Y$4:$Y$803,0),IFERROR(MATCH(TRIM($J118&amp;"")&amp;"|파견예정",입력_파견수련계획!$Y$4:$Y$803,0),IFERROR(MATCH(TRIM($J118&amp;"")&amp;"|파견종료",입력_파견수련계획!$Y$4:$Y$803,0),""))))</f>
        <v/>
      </c>
      <c r="AG118" s="10">
        <f>IF($B118="","",IF(AND(IF(OR($AC118="",출력_인턴현황!$K$2=""),"",INDEX(입력_인턴근무계획!$M$3:$R$402,$AC118,출력_인턴현황!$K$2)&amp;"")&lt;&gt;"",LEFT(IF(OR($AC118="",출력_인턴현황!$K$2=""),"",INDEX(입력_인턴근무계획!$M$3:$R$402,$AC118,출력_인턴현황!$K$2)&amp;""),1)&lt;&gt;"⚠"),LEFT(IF(OR($AC118="",출력_인턴현황!$K$2=""),"",INDEX(입력_인턴근무계획!$M$3:$R$402,$AC118,출력_인턴현황!$K$2)&amp;""),FIND(" ",IF(OR($AC118="",출력_인턴현황!$K$2=""),"",INDEX(입력_인턴근무계획!$M$3:$R$402,$AC118,출력_인턴현황!$K$2)&amp;""))-1),$AE118))</f>
        <v/>
      </c>
      <c r="AH118" s="17">
        <f>IF($B118="","",IF($AQ118&lt;&gt;"",MAX(0,DAY(EOMONTH(출력_요약!$B$3,0))-N($AR118)),IF(TRIM($J118&amp;"")="",0,SUMPRODUCT((입력_파견수련계획!$Q$4:$Q$803=TRIM($J118&amp;""))*(입력_파견수련계획!$S$4:$S$803="서울병원")*입력_파견수련계획!$W$4:$W$803))+IF($AG118="서울병원",MAX(0,DAY(EOMONTH(출력_요약!$B$3,0))-N($X118)),0)))</f>
        <v/>
      </c>
      <c r="AI118" s="17">
        <f>IF($B118="","",IF($AQ118&lt;&gt;"",N($AR118),IF(TRIM($J118&amp;"")="",0,SUMPRODUCT((입력_파견수련계획!$Q$4:$Q$803=TRIM($J118&amp;""))*(입력_파견수련계획!$S$4:$S$803="구리병원")*입력_파견수련계획!$W$4:$W$803))+IF($AG118="구리병원",MAX(0,DAY(EOMONTH(출력_요약!$B$3,0))-N($X118)),0)))</f>
        <v/>
      </c>
      <c r="AJ118" s="10">
        <f>IF(OR($B118="",TRIM($J118&amp;"")=""),"",IFERROR(MATCH(TRIM($J118&amp;"")&amp;"|월",입력_파견수련계획!$Z$4:$Z$803,0),""))</f>
        <v/>
      </c>
      <c r="AK118" s="10">
        <f>IF(OR($B118="",TRIM($J118&amp;"")=""),"",IFERROR(MATCH(TRIM($J118&amp;"")&amp;"|다기관",입력_파견수련계획!$AE$4:$AE$803,0),""))</f>
        <v/>
      </c>
      <c r="AL118" s="10">
        <f>IF($AK118="","","다기관 "&amp;TEXT(INDEX(입력_파견수련계획!$AB$4:$AB$803,$AK118),"yyyy-mm-dd")&amp;"~"&amp;IF(ISNUMBER(INDEX(입력_파견수련계획!$AC$4:$AC$803,$AK118)),TEXT(INDEX(입력_파견수련계획!$AC$4:$AC$803,$AK118),"yyyy-mm-dd"),""))</f>
        <v/>
      </c>
      <c r="AM118" s="10">
        <f>IF($Y118="서울병원",COUNTIF($Y$2:$Y118,"서울병원"),"")</f>
        <v/>
      </c>
      <c r="AN118" s="10">
        <f>IF(LEFT($Y118,1)="⚠",COUNTIF($Y$2:$Y118,"⚠*"),"")</f>
        <v/>
      </c>
      <c r="AO118" s="10">
        <f>IF(OR($B118="",$Y118=""),"",IF(IF(TRIM($J118&amp;"")="",0,SUMPRODUCT((입력_파견수련계획!$Q$4:$Q$803=TRIM($J118&amp;""))*입력_파견수련계획!$AD$4:$AD$803))&gt;0,"다기관 기간 → 소속병원 지급",IF(AND(N($X118)&lt;=0,$AQ118=""),"파견 없음 → 그 달 근무병원 지급",IF($AH118+$AI118=DAY(EOMONTH(출력_요약!$B$3,0)),"서울 "&amp;$AH118&amp;"일 / 구리 "&amp;$AI118&amp;"일"&amp;IF($AQ118&lt;&gt;""," (구리 근무자명단 반영)","")&amp;" → 15일 이상 근무 병원 지급","타 병원 포함 → "&amp;IF($AJ118="","소속",INDEX(입력_파견수련계획!$T$4:$T$803,$AJ118))&amp;" 규칙"))))</f>
        <v/>
      </c>
      <c r="AP118" s="10">
        <f>IF($B118="","",$C118&amp;"|"&amp;$F118)</f>
        <v/>
      </c>
      <c r="AQ118" s="10">
        <f>IF($B118="","",IFERROR(MATCH(ROW()-1,출력_구리근무자!$K$6:$K$305,0),""))</f>
        <v/>
      </c>
      <c r="AR118" s="10">
        <f>IF($AQ118="","",INDEX(출력_구리근무자!$H$6:$H$305,$AQ118))</f>
        <v/>
      </c>
    </row>
    <row r="119">
      <c r="A119" s="10">
        <f>IF(B119="","",ROW()-1)</f>
        <v/>
      </c>
      <c r="B119" s="19" t="n"/>
      <c r="C119" s="10">
        <f>IF($AB119="","",IF(INDEX(입력_기본자료!$C$2:$C$1001,$AB119)="","",INDEX(입력_기본자료!$C$2:$C$1001,$AB119)))</f>
        <v/>
      </c>
      <c r="D119" s="10">
        <f>IF($AB119="","",IF(INDEX(입력_기본자료!$J$2:$J$1001,$AB119)="","",INDEX(입력_기본자료!$J$2:$J$1001,$AB119)))</f>
        <v/>
      </c>
      <c r="E119" s="11">
        <f>IF($AB119="","",IF(INDEX(입력_기본자료!$K$2:$K$1001,$AB119)="","",IF(NOT(ISNUMBER(INDEX(입력_기본자료!$K$2:$K$1001,$AB119))),INDEX(입력_기본자료!$K$2:$K$1001,$AB119),IF(INDEX(입력_기본자료!$K$2:$K$1001,$AB119)&lt;1000000,INDEX(입력_기본자료!$K$2:$K$1001,$AB119),IF(AND(INDEX(입력_기본자료!$K$2:$K$1001,$AB119)&gt;=10000101,INT(MOD(INDEX(입력_기본자료!$K$2:$K$1001,$AB119),10000)/100)&gt;=1,INT(MOD(INDEX(입력_기본자료!$K$2:$K$1001,$AB119),10000)/100)&lt;=12,MOD(INDEX(입력_기본자료!$K$2:$K$1001,$AB119),100)&gt;=1,MOD(INDEX(입력_기본자료!$K$2:$K$1001,$AB119),100)&lt;=31),DATE(INT(INDEX(입력_기본자료!$K$2:$K$1001,$AB119)/10000),INT(MOD(INDEX(입력_기본자료!$K$2:$K$1001,$AB119),10000)/100),MOD(INDEX(입력_기본자료!$K$2:$K$1001,$AB119),100)),INDEX(입력_기본자료!$K$2:$K$1001,$AB119)&amp;"")))))</f>
        <v/>
      </c>
      <c r="F119" s="10">
        <f>IF($AB119="","",IF(INDEX(입력_기본자료!$D$2:$D$1001,$AB119)="","",INDEX(입력_기본자료!$D$2:$D$1001,$AB119)))</f>
        <v/>
      </c>
      <c r="G119" s="10">
        <f>IF($AB119="","",IF(INDEX(입력_기본자료!$E$2:$E$1001,$AB119)="","",INDEX(입력_기본자료!$E$2:$E$1001,$AB119)))</f>
        <v/>
      </c>
      <c r="H119" s="10">
        <f>IF($AB119="","",IF(INDEX(입력_기본자료!$F$2:$F$1001,$AB119)="","",INDEX(입력_기본자료!$F$2:$F$1001,$AB119)))</f>
        <v/>
      </c>
      <c r="I119" s="11">
        <f>IF($AB119="","",IF(INDEX(입력_기본자료!$G$2:$G$1001,$AB119)="","",IF(NOT(ISNUMBER(INDEX(입력_기본자료!$G$2:$G$1001,$AB119))),INDEX(입력_기본자료!$G$2:$G$1001,$AB119),IF(INDEX(입력_기본자료!$G$2:$G$1001,$AB119)&lt;1000000,INDEX(입력_기본자료!$G$2:$G$1001,$AB119),IF(AND(INDEX(입력_기본자료!$G$2:$G$1001,$AB119)&gt;=10000101,INT(MOD(INDEX(입력_기본자료!$G$2:$G$1001,$AB119),10000)/100)&gt;=1,INT(MOD(INDEX(입력_기본자료!$G$2:$G$1001,$AB119),10000)/100)&lt;=12,MOD(INDEX(입력_기본자료!$G$2:$G$1001,$AB119),100)&gt;=1,MOD(INDEX(입력_기본자료!$G$2:$G$1001,$AB119),100)&lt;=31),DATE(INT(INDEX(입력_기본자료!$G$2:$G$1001,$AB119)/10000),INT(MOD(INDEX(입력_기본자료!$G$2:$G$1001,$AB119),10000)/100),MOD(INDEX(입력_기본자료!$G$2:$G$1001,$AB119),100)),INDEX(입력_기본자료!$G$2:$G$1001,$AB119)&amp;"")))))</f>
        <v/>
      </c>
      <c r="J119" s="10">
        <f>IF($AB119="","",IF(INDEX(입력_기본자료!$H$2:$H$1001,$AB119)="","",INDEX(입력_기본자료!$H$2:$H$1001,$AB119)))</f>
        <v/>
      </c>
      <c r="K119" s="10">
        <f>IF($AB119="","",IF(INDEX(입력_기본자료!$I$2:$I$1001,$AB119)="","",INDEX(입력_기본자료!$I$2:$I$1001,$AB119)))</f>
        <v/>
      </c>
      <c r="L119" s="10">
        <f>IF($AB119="","",IF(INDEX(입력_기본자료!$A$2:$A$1001,$AB119)="","",INDEX(입력_기본자료!$A$2:$A$1001,$AB119)))</f>
        <v/>
      </c>
      <c r="M119" s="15" t="n"/>
      <c r="N119" s="10">
        <f>IF($B119="","",IF(AND($U119="파견중",$Q119&lt;&gt;""),$Q119,IF(AND($AD119&lt;&gt;"",LEFT($AD119,1)&lt;&gt;"⚠"),LEFT($AD119,FIND(" ",$AD119)-1),IF($H119="","",IF(RIGHT($H119,2)="병원",$H119,$H119&amp;"병원")))))</f>
        <v/>
      </c>
      <c r="O119" s="10">
        <f>IF($B119="","",IF(AND($U119="파견중",$Q119&lt;&gt;""),IF($R119&lt;&gt;"",$R119,"파견과 미입력"),IF(AND($AD119&lt;&gt;"",LEFT($AD119,1)&lt;&gt;"⚠"),MID($AD119,FIND(" ",$AD119)+1,60),IF($F119="","",IF($F119="인턴","수련교육부(인턴)",$F119)))))</f>
        <v/>
      </c>
      <c r="P119" s="10">
        <f>IF($B119="","",IF($AK119&lt;&gt;"",IF(AND(TODAY()&gt;=INDEX(입력_파견수련계획!$AB$4:$AB$803,$AK119),OR(NOT(ISNUMBER(INDEX(입력_파견수련계획!$AC$4:$AC$803,$AK119))),TODAY()&lt;=INDEX(입력_파견수련계획!$AC$4:$AC$803,$AK119))),"다기관",IF($AF119="","",INDEX(입력_파견수련계획!$T$4:$T$803,$AF119))),IF($AF119="","",INDEX(입력_파견수련계획!$T$4:$T$803,$AF119))))</f>
        <v/>
      </c>
      <c r="Q119" s="10">
        <f>IF($AF119="","",INDEX(입력_파견수련계획!$S$4:$S$803,$AF119))</f>
        <v/>
      </c>
      <c r="R119" s="10">
        <f>IF($AF119="","",INDEX(입력_파견수련계획!$U$4:$U$803,$AF119))</f>
        <v/>
      </c>
      <c r="S119" s="11">
        <f>IF($AF119="","",IF(INDEX(입력_파견수련계획!$H$4:$H$803,$AF119)="","",INDEX(입력_파견수련계획!$H$4:$H$803,$AF119)))</f>
        <v/>
      </c>
      <c r="T119" s="11">
        <f>IF($AF119="","",IF(INDEX(입력_파견수련계획!$I$4:$I$803,$AF119)="","",INDEX(입력_파견수련계획!$I$4:$I$803,$AF119)))</f>
        <v/>
      </c>
      <c r="U119" s="10">
        <f>IF($AF119="","",INDEX(입력_파견수련계획!$X$4:$X$803,$AF119))</f>
        <v/>
      </c>
      <c r="V119" s="17">
        <f>IF($AF119="","",INDEX(입력_파견수련계획!$V$4:$V$803,$AF119))</f>
        <v/>
      </c>
      <c r="W119" s="17">
        <f>IF(AND($U119="파견중",$T119&lt;&gt;""),$T119-TODAY(),"")</f>
        <v/>
      </c>
      <c r="X119" s="17">
        <f>IF(OR($B119="",TRIM($J119&amp;"")=""),"",SUMPRODUCT((입력_파견수련계획!$Q$4:$Q$803=TRIM($J119&amp;""))*입력_파견수련계획!$W$4:$W$803))</f>
        <v/>
      </c>
      <c r="Y119" s="10">
        <f>IF($B119="","",IF($AG119="","",IF(IF(TRIM($J119&amp;"")="",0,SUMPRODUCT((입력_파견수련계획!$Q$4:$Q$803=TRIM($J119&amp;""))*입력_파견수련계획!$AD$4:$AD$803))&gt;0,$AE119,IF(AND(N($X119)&lt;=0,$AQ119=""),$AG119,IF($AH119+$AI119=DAY(EOMONTH(출력_요약!$B$3,0)),IF(AND($AH119&gt;=출력_요약!$E$3,$AI119&lt;출력_요약!$E$3),"서울병원",IF(AND($AI119&gt;=출력_요약!$E$3,$AH119&lt;출력_요약!$E$3),"구리병원","⚠15일 판정불가(서울 "&amp;$AH119&amp;"일/구리 "&amp;$AI119&amp;"일)")),IF($AJ119="",$AE119,IF(INDEX(입력_파견수련계획!$T$4:$T$803,$AJ119)="통합수련",INDEX(입력_파견수련계획!$S$4:$S$803,$AJ119),$AE119)))))))</f>
        <v/>
      </c>
      <c r="Z119" s="20">
        <f>IF($B119="","",IF($AB119="","기본자료에 없는 사번",IF(COUNTIF($B$2:$B$401,$B119)&gt;1,"중복 사번",IF($AE119="","소속(입사장소) 입력",IF(IF(TRIM($J119&amp;"")="",0,SUMPRODUCT((입력_파견수련계획!$Q$4:$Q$803=TRIM($J119&amp;""))*(입력_파견수련계획!$AA$4:$AA$803&lt;&gt;"")))&gt;0,"파견수련계획 입력오류 확인",IF(LEFT($Y119,1)="⚠","서울·구리 15일 판정 불가(양쪽 모두 이상/미만)",IF(IF($AC119="",0,N(INDEX(입력_인턴근무계획!$T$3:$T$402,$AC119)))&gt;0,"인턴계획 입력오류 확인",IF(AND($AQ119&lt;&gt;"",$AG119&lt;&gt;"구리병원",IF(TRIM($J119&amp;"")="",0,SUMPRODUCT((입력_파견수련계획!$Q$4:$Q$803=TRIM($J119&amp;""))*(입력_파견수련계획!$S$4:$S$803="구리병원")*입력_파견수련계획!$W$4:$W$803))=0),"구리 근무자명단에만 있음(파견수련계획 확인)",IF(AND($AC119&lt;&gt;"",$U119&lt;&gt;"파견중",$N119&lt;&gt;$AE119),"인턴 타지역 근무: 파견 여부 확인","정상")))))))))</f>
        <v/>
      </c>
      <c r="AA119" s="5" t="n"/>
      <c r="AB119" s="10">
        <f>IF($B119="","",IFERROR(MATCH($B119,입력_기본자료!$B$2:$B$1001,0),IFERROR(MATCH($B119&amp;"",입력_기본자료!$B$2:$B$1001,0),IFERROR(MATCH(VALUE($B119),입력_기본자료!$B$2:$B$1001,0),""))))</f>
        <v/>
      </c>
      <c r="AC119" s="10">
        <f>IF($B119="","",IFERROR(MATCH($B119,입력_인턴근무계획!$D$3:$D$402,0),IFERROR(MATCH($B119&amp;"",입력_인턴근무계획!$D$3:$D$402,0),IFERROR(MATCH(VALUE($B119),입력_인턴근무계획!$D$3:$D$402,0),""))))</f>
        <v/>
      </c>
      <c r="AD119" s="10">
        <f>IF(OR($AC119="",출력_인턴현황!$G$3=""),"",INDEX(입력_인턴근무계획!$M$3:$R$402,$AC119,출력_인턴현황!$G$3)&amp;"")</f>
        <v/>
      </c>
      <c r="AE119" s="10">
        <f>IF($B119="","",IF($M119&lt;&gt;"",$M119,IF(IF($AQ119="",FALSE,INDEX(출력_구리근무자!$J$6:$J$305,$AQ119)="구리독자"),"구리병원",IF($AF119&lt;&gt;"",IF(LEFT(INDEX(입력_파견수련계획!$R$4:$R$803,$AF119),1)&lt;&gt;"⚠",INDEX(입력_파견수련계획!$R$4:$R$803,$AF119),IF($H119="","",IF(RIGHT($H119,2)="병원",$H119,$H119&amp;"병원"))),IF($H119="","",IF(RIGHT($H119,2)="병원",$H119,$H119&amp;"병원"))))))</f>
        <v/>
      </c>
      <c r="AF119" s="10">
        <f>IF(OR($B119="",TRIM($J119&amp;"")=""),"",IFERROR(MATCH(TRIM($J119&amp;"")&amp;"|파견중",입력_파견수련계획!$Y$4:$Y$803,0),IFERROR(MATCH(TRIM($J119&amp;"")&amp;"|파견예정",입력_파견수련계획!$Y$4:$Y$803,0),IFERROR(MATCH(TRIM($J119&amp;"")&amp;"|파견종료",입력_파견수련계획!$Y$4:$Y$803,0),""))))</f>
        <v/>
      </c>
      <c r="AG119" s="10">
        <f>IF($B119="","",IF(AND(IF(OR($AC119="",출력_인턴현황!$K$2=""),"",INDEX(입력_인턴근무계획!$M$3:$R$402,$AC119,출력_인턴현황!$K$2)&amp;"")&lt;&gt;"",LEFT(IF(OR($AC119="",출력_인턴현황!$K$2=""),"",INDEX(입력_인턴근무계획!$M$3:$R$402,$AC119,출력_인턴현황!$K$2)&amp;""),1)&lt;&gt;"⚠"),LEFT(IF(OR($AC119="",출력_인턴현황!$K$2=""),"",INDEX(입력_인턴근무계획!$M$3:$R$402,$AC119,출력_인턴현황!$K$2)&amp;""),FIND(" ",IF(OR($AC119="",출력_인턴현황!$K$2=""),"",INDEX(입력_인턴근무계획!$M$3:$R$402,$AC119,출력_인턴현황!$K$2)&amp;""))-1),$AE119))</f>
        <v/>
      </c>
      <c r="AH119" s="17">
        <f>IF($B119="","",IF($AQ119&lt;&gt;"",MAX(0,DAY(EOMONTH(출력_요약!$B$3,0))-N($AR119)),IF(TRIM($J119&amp;"")="",0,SUMPRODUCT((입력_파견수련계획!$Q$4:$Q$803=TRIM($J119&amp;""))*(입력_파견수련계획!$S$4:$S$803="서울병원")*입력_파견수련계획!$W$4:$W$803))+IF($AG119="서울병원",MAX(0,DAY(EOMONTH(출력_요약!$B$3,0))-N($X119)),0)))</f>
        <v/>
      </c>
      <c r="AI119" s="17">
        <f>IF($B119="","",IF($AQ119&lt;&gt;"",N($AR119),IF(TRIM($J119&amp;"")="",0,SUMPRODUCT((입력_파견수련계획!$Q$4:$Q$803=TRIM($J119&amp;""))*(입력_파견수련계획!$S$4:$S$803="구리병원")*입력_파견수련계획!$W$4:$W$803))+IF($AG119="구리병원",MAX(0,DAY(EOMONTH(출력_요약!$B$3,0))-N($X119)),0)))</f>
        <v/>
      </c>
      <c r="AJ119" s="10">
        <f>IF(OR($B119="",TRIM($J119&amp;"")=""),"",IFERROR(MATCH(TRIM($J119&amp;"")&amp;"|월",입력_파견수련계획!$Z$4:$Z$803,0),""))</f>
        <v/>
      </c>
      <c r="AK119" s="10">
        <f>IF(OR($B119="",TRIM($J119&amp;"")=""),"",IFERROR(MATCH(TRIM($J119&amp;"")&amp;"|다기관",입력_파견수련계획!$AE$4:$AE$803,0),""))</f>
        <v/>
      </c>
      <c r="AL119" s="10">
        <f>IF($AK119="","","다기관 "&amp;TEXT(INDEX(입력_파견수련계획!$AB$4:$AB$803,$AK119),"yyyy-mm-dd")&amp;"~"&amp;IF(ISNUMBER(INDEX(입력_파견수련계획!$AC$4:$AC$803,$AK119)),TEXT(INDEX(입력_파견수련계획!$AC$4:$AC$803,$AK119),"yyyy-mm-dd"),""))</f>
        <v/>
      </c>
      <c r="AM119" s="10">
        <f>IF($Y119="서울병원",COUNTIF($Y$2:$Y119,"서울병원"),"")</f>
        <v/>
      </c>
      <c r="AN119" s="10">
        <f>IF(LEFT($Y119,1)="⚠",COUNTIF($Y$2:$Y119,"⚠*"),"")</f>
        <v/>
      </c>
      <c r="AO119" s="10">
        <f>IF(OR($B119="",$Y119=""),"",IF(IF(TRIM($J119&amp;"")="",0,SUMPRODUCT((입력_파견수련계획!$Q$4:$Q$803=TRIM($J119&amp;""))*입력_파견수련계획!$AD$4:$AD$803))&gt;0,"다기관 기간 → 소속병원 지급",IF(AND(N($X119)&lt;=0,$AQ119=""),"파견 없음 → 그 달 근무병원 지급",IF($AH119+$AI119=DAY(EOMONTH(출력_요약!$B$3,0)),"서울 "&amp;$AH119&amp;"일 / 구리 "&amp;$AI119&amp;"일"&amp;IF($AQ119&lt;&gt;""," (구리 근무자명단 반영)","")&amp;" → 15일 이상 근무 병원 지급","타 병원 포함 → "&amp;IF($AJ119="","소속",INDEX(입력_파견수련계획!$T$4:$T$803,$AJ119))&amp;" 규칙"))))</f>
        <v/>
      </c>
      <c r="AP119" s="10">
        <f>IF($B119="","",$C119&amp;"|"&amp;$F119)</f>
        <v/>
      </c>
      <c r="AQ119" s="10">
        <f>IF($B119="","",IFERROR(MATCH(ROW()-1,출력_구리근무자!$K$6:$K$305,0),""))</f>
        <v/>
      </c>
      <c r="AR119" s="10">
        <f>IF($AQ119="","",INDEX(출력_구리근무자!$H$6:$H$305,$AQ119))</f>
        <v/>
      </c>
    </row>
    <row r="120">
      <c r="A120" s="10">
        <f>IF(B120="","",ROW()-1)</f>
        <v/>
      </c>
      <c r="B120" s="19" t="n"/>
      <c r="C120" s="10">
        <f>IF($AB120="","",IF(INDEX(입력_기본자료!$C$2:$C$1001,$AB120)="","",INDEX(입력_기본자료!$C$2:$C$1001,$AB120)))</f>
        <v/>
      </c>
      <c r="D120" s="10">
        <f>IF($AB120="","",IF(INDEX(입력_기본자료!$J$2:$J$1001,$AB120)="","",INDEX(입력_기본자료!$J$2:$J$1001,$AB120)))</f>
        <v/>
      </c>
      <c r="E120" s="11">
        <f>IF($AB120="","",IF(INDEX(입력_기본자료!$K$2:$K$1001,$AB120)="","",IF(NOT(ISNUMBER(INDEX(입력_기본자료!$K$2:$K$1001,$AB120))),INDEX(입력_기본자료!$K$2:$K$1001,$AB120),IF(INDEX(입력_기본자료!$K$2:$K$1001,$AB120)&lt;1000000,INDEX(입력_기본자료!$K$2:$K$1001,$AB120),IF(AND(INDEX(입력_기본자료!$K$2:$K$1001,$AB120)&gt;=10000101,INT(MOD(INDEX(입력_기본자료!$K$2:$K$1001,$AB120),10000)/100)&gt;=1,INT(MOD(INDEX(입력_기본자료!$K$2:$K$1001,$AB120),10000)/100)&lt;=12,MOD(INDEX(입력_기본자료!$K$2:$K$1001,$AB120),100)&gt;=1,MOD(INDEX(입력_기본자료!$K$2:$K$1001,$AB120),100)&lt;=31),DATE(INT(INDEX(입력_기본자료!$K$2:$K$1001,$AB120)/10000),INT(MOD(INDEX(입력_기본자료!$K$2:$K$1001,$AB120),10000)/100),MOD(INDEX(입력_기본자료!$K$2:$K$1001,$AB120),100)),INDEX(입력_기본자료!$K$2:$K$1001,$AB120)&amp;"")))))</f>
        <v/>
      </c>
      <c r="F120" s="10">
        <f>IF($AB120="","",IF(INDEX(입력_기본자료!$D$2:$D$1001,$AB120)="","",INDEX(입력_기본자료!$D$2:$D$1001,$AB120)))</f>
        <v/>
      </c>
      <c r="G120" s="10">
        <f>IF($AB120="","",IF(INDEX(입력_기본자료!$E$2:$E$1001,$AB120)="","",INDEX(입력_기본자료!$E$2:$E$1001,$AB120)))</f>
        <v/>
      </c>
      <c r="H120" s="10">
        <f>IF($AB120="","",IF(INDEX(입력_기본자료!$F$2:$F$1001,$AB120)="","",INDEX(입력_기본자료!$F$2:$F$1001,$AB120)))</f>
        <v/>
      </c>
      <c r="I120" s="11">
        <f>IF($AB120="","",IF(INDEX(입력_기본자료!$G$2:$G$1001,$AB120)="","",IF(NOT(ISNUMBER(INDEX(입력_기본자료!$G$2:$G$1001,$AB120))),INDEX(입력_기본자료!$G$2:$G$1001,$AB120),IF(INDEX(입력_기본자료!$G$2:$G$1001,$AB120)&lt;1000000,INDEX(입력_기본자료!$G$2:$G$1001,$AB120),IF(AND(INDEX(입력_기본자료!$G$2:$G$1001,$AB120)&gt;=10000101,INT(MOD(INDEX(입력_기본자료!$G$2:$G$1001,$AB120),10000)/100)&gt;=1,INT(MOD(INDEX(입력_기본자료!$G$2:$G$1001,$AB120),10000)/100)&lt;=12,MOD(INDEX(입력_기본자료!$G$2:$G$1001,$AB120),100)&gt;=1,MOD(INDEX(입력_기본자료!$G$2:$G$1001,$AB120),100)&lt;=31),DATE(INT(INDEX(입력_기본자료!$G$2:$G$1001,$AB120)/10000),INT(MOD(INDEX(입력_기본자료!$G$2:$G$1001,$AB120),10000)/100),MOD(INDEX(입력_기본자료!$G$2:$G$1001,$AB120),100)),INDEX(입력_기본자료!$G$2:$G$1001,$AB120)&amp;"")))))</f>
        <v/>
      </c>
      <c r="J120" s="10">
        <f>IF($AB120="","",IF(INDEX(입력_기본자료!$H$2:$H$1001,$AB120)="","",INDEX(입력_기본자료!$H$2:$H$1001,$AB120)))</f>
        <v/>
      </c>
      <c r="K120" s="10">
        <f>IF($AB120="","",IF(INDEX(입력_기본자료!$I$2:$I$1001,$AB120)="","",INDEX(입력_기본자료!$I$2:$I$1001,$AB120)))</f>
        <v/>
      </c>
      <c r="L120" s="10">
        <f>IF($AB120="","",IF(INDEX(입력_기본자료!$A$2:$A$1001,$AB120)="","",INDEX(입력_기본자료!$A$2:$A$1001,$AB120)))</f>
        <v/>
      </c>
      <c r="M120" s="15" t="n"/>
      <c r="N120" s="10">
        <f>IF($B120="","",IF(AND($U120="파견중",$Q120&lt;&gt;""),$Q120,IF(AND($AD120&lt;&gt;"",LEFT($AD120,1)&lt;&gt;"⚠"),LEFT($AD120,FIND(" ",$AD120)-1),IF($H120="","",IF(RIGHT($H120,2)="병원",$H120,$H120&amp;"병원")))))</f>
        <v/>
      </c>
      <c r="O120" s="10">
        <f>IF($B120="","",IF(AND($U120="파견중",$Q120&lt;&gt;""),IF($R120&lt;&gt;"",$R120,"파견과 미입력"),IF(AND($AD120&lt;&gt;"",LEFT($AD120,1)&lt;&gt;"⚠"),MID($AD120,FIND(" ",$AD120)+1,60),IF($F120="","",IF($F120="인턴","수련교육부(인턴)",$F120)))))</f>
        <v/>
      </c>
      <c r="P120" s="10">
        <f>IF($B120="","",IF($AK120&lt;&gt;"",IF(AND(TODAY()&gt;=INDEX(입력_파견수련계획!$AB$4:$AB$803,$AK120),OR(NOT(ISNUMBER(INDEX(입력_파견수련계획!$AC$4:$AC$803,$AK120))),TODAY()&lt;=INDEX(입력_파견수련계획!$AC$4:$AC$803,$AK120))),"다기관",IF($AF120="","",INDEX(입력_파견수련계획!$T$4:$T$803,$AF120))),IF($AF120="","",INDEX(입력_파견수련계획!$T$4:$T$803,$AF120))))</f>
        <v/>
      </c>
      <c r="Q120" s="10">
        <f>IF($AF120="","",INDEX(입력_파견수련계획!$S$4:$S$803,$AF120))</f>
        <v/>
      </c>
      <c r="R120" s="10">
        <f>IF($AF120="","",INDEX(입력_파견수련계획!$U$4:$U$803,$AF120))</f>
        <v/>
      </c>
      <c r="S120" s="11">
        <f>IF($AF120="","",IF(INDEX(입력_파견수련계획!$H$4:$H$803,$AF120)="","",INDEX(입력_파견수련계획!$H$4:$H$803,$AF120)))</f>
        <v/>
      </c>
      <c r="T120" s="11">
        <f>IF($AF120="","",IF(INDEX(입력_파견수련계획!$I$4:$I$803,$AF120)="","",INDEX(입력_파견수련계획!$I$4:$I$803,$AF120)))</f>
        <v/>
      </c>
      <c r="U120" s="10">
        <f>IF($AF120="","",INDEX(입력_파견수련계획!$X$4:$X$803,$AF120))</f>
        <v/>
      </c>
      <c r="V120" s="17">
        <f>IF($AF120="","",INDEX(입력_파견수련계획!$V$4:$V$803,$AF120))</f>
        <v/>
      </c>
      <c r="W120" s="17">
        <f>IF(AND($U120="파견중",$T120&lt;&gt;""),$T120-TODAY(),"")</f>
        <v/>
      </c>
      <c r="X120" s="17">
        <f>IF(OR($B120="",TRIM($J120&amp;"")=""),"",SUMPRODUCT((입력_파견수련계획!$Q$4:$Q$803=TRIM($J120&amp;""))*입력_파견수련계획!$W$4:$W$803))</f>
        <v/>
      </c>
      <c r="Y120" s="10">
        <f>IF($B120="","",IF($AG120="","",IF(IF(TRIM($J120&amp;"")="",0,SUMPRODUCT((입력_파견수련계획!$Q$4:$Q$803=TRIM($J120&amp;""))*입력_파견수련계획!$AD$4:$AD$803))&gt;0,$AE120,IF(AND(N($X120)&lt;=0,$AQ120=""),$AG120,IF($AH120+$AI120=DAY(EOMONTH(출력_요약!$B$3,0)),IF(AND($AH120&gt;=출력_요약!$E$3,$AI120&lt;출력_요약!$E$3),"서울병원",IF(AND($AI120&gt;=출력_요약!$E$3,$AH120&lt;출력_요약!$E$3),"구리병원","⚠15일 판정불가(서울 "&amp;$AH120&amp;"일/구리 "&amp;$AI120&amp;"일)")),IF($AJ120="",$AE120,IF(INDEX(입력_파견수련계획!$T$4:$T$803,$AJ120)="통합수련",INDEX(입력_파견수련계획!$S$4:$S$803,$AJ120),$AE120)))))))</f>
        <v/>
      </c>
      <c r="Z120" s="20">
        <f>IF($B120="","",IF($AB120="","기본자료에 없는 사번",IF(COUNTIF($B$2:$B$401,$B120)&gt;1,"중복 사번",IF($AE120="","소속(입사장소) 입력",IF(IF(TRIM($J120&amp;"")="",0,SUMPRODUCT((입력_파견수련계획!$Q$4:$Q$803=TRIM($J120&amp;""))*(입력_파견수련계획!$AA$4:$AA$803&lt;&gt;"")))&gt;0,"파견수련계획 입력오류 확인",IF(LEFT($Y120,1)="⚠","서울·구리 15일 판정 불가(양쪽 모두 이상/미만)",IF(IF($AC120="",0,N(INDEX(입력_인턴근무계획!$T$3:$T$402,$AC120)))&gt;0,"인턴계획 입력오류 확인",IF(AND($AQ120&lt;&gt;"",$AG120&lt;&gt;"구리병원",IF(TRIM($J120&amp;"")="",0,SUMPRODUCT((입력_파견수련계획!$Q$4:$Q$803=TRIM($J120&amp;""))*(입력_파견수련계획!$S$4:$S$803="구리병원")*입력_파견수련계획!$W$4:$W$803))=0),"구리 근무자명단에만 있음(파견수련계획 확인)",IF(AND($AC120&lt;&gt;"",$U120&lt;&gt;"파견중",$N120&lt;&gt;$AE120),"인턴 타지역 근무: 파견 여부 확인","정상")))))))))</f>
        <v/>
      </c>
      <c r="AA120" s="5" t="n"/>
      <c r="AB120" s="10">
        <f>IF($B120="","",IFERROR(MATCH($B120,입력_기본자료!$B$2:$B$1001,0),IFERROR(MATCH($B120&amp;"",입력_기본자료!$B$2:$B$1001,0),IFERROR(MATCH(VALUE($B120),입력_기본자료!$B$2:$B$1001,0),""))))</f>
        <v/>
      </c>
      <c r="AC120" s="10">
        <f>IF($B120="","",IFERROR(MATCH($B120,입력_인턴근무계획!$D$3:$D$402,0),IFERROR(MATCH($B120&amp;"",입력_인턴근무계획!$D$3:$D$402,0),IFERROR(MATCH(VALUE($B120),입력_인턴근무계획!$D$3:$D$402,0),""))))</f>
        <v/>
      </c>
      <c r="AD120" s="10">
        <f>IF(OR($AC120="",출력_인턴현황!$G$3=""),"",INDEX(입력_인턴근무계획!$M$3:$R$402,$AC120,출력_인턴현황!$G$3)&amp;"")</f>
        <v/>
      </c>
      <c r="AE120" s="10">
        <f>IF($B120="","",IF($M120&lt;&gt;"",$M120,IF(IF($AQ120="",FALSE,INDEX(출력_구리근무자!$J$6:$J$305,$AQ120)="구리독자"),"구리병원",IF($AF120&lt;&gt;"",IF(LEFT(INDEX(입력_파견수련계획!$R$4:$R$803,$AF120),1)&lt;&gt;"⚠",INDEX(입력_파견수련계획!$R$4:$R$803,$AF120),IF($H120="","",IF(RIGHT($H120,2)="병원",$H120,$H120&amp;"병원"))),IF($H120="","",IF(RIGHT($H120,2)="병원",$H120,$H120&amp;"병원"))))))</f>
        <v/>
      </c>
      <c r="AF120" s="10">
        <f>IF(OR($B120="",TRIM($J120&amp;"")=""),"",IFERROR(MATCH(TRIM($J120&amp;"")&amp;"|파견중",입력_파견수련계획!$Y$4:$Y$803,0),IFERROR(MATCH(TRIM($J120&amp;"")&amp;"|파견예정",입력_파견수련계획!$Y$4:$Y$803,0),IFERROR(MATCH(TRIM($J120&amp;"")&amp;"|파견종료",입력_파견수련계획!$Y$4:$Y$803,0),""))))</f>
        <v/>
      </c>
      <c r="AG120" s="10">
        <f>IF($B120="","",IF(AND(IF(OR($AC120="",출력_인턴현황!$K$2=""),"",INDEX(입력_인턴근무계획!$M$3:$R$402,$AC120,출력_인턴현황!$K$2)&amp;"")&lt;&gt;"",LEFT(IF(OR($AC120="",출력_인턴현황!$K$2=""),"",INDEX(입력_인턴근무계획!$M$3:$R$402,$AC120,출력_인턴현황!$K$2)&amp;""),1)&lt;&gt;"⚠"),LEFT(IF(OR($AC120="",출력_인턴현황!$K$2=""),"",INDEX(입력_인턴근무계획!$M$3:$R$402,$AC120,출력_인턴현황!$K$2)&amp;""),FIND(" ",IF(OR($AC120="",출력_인턴현황!$K$2=""),"",INDEX(입력_인턴근무계획!$M$3:$R$402,$AC120,출력_인턴현황!$K$2)&amp;""))-1),$AE120))</f>
        <v/>
      </c>
      <c r="AH120" s="17">
        <f>IF($B120="","",IF($AQ120&lt;&gt;"",MAX(0,DAY(EOMONTH(출력_요약!$B$3,0))-N($AR120)),IF(TRIM($J120&amp;"")="",0,SUMPRODUCT((입력_파견수련계획!$Q$4:$Q$803=TRIM($J120&amp;""))*(입력_파견수련계획!$S$4:$S$803="서울병원")*입력_파견수련계획!$W$4:$W$803))+IF($AG120="서울병원",MAX(0,DAY(EOMONTH(출력_요약!$B$3,0))-N($X120)),0)))</f>
        <v/>
      </c>
      <c r="AI120" s="17">
        <f>IF($B120="","",IF($AQ120&lt;&gt;"",N($AR120),IF(TRIM($J120&amp;"")="",0,SUMPRODUCT((입력_파견수련계획!$Q$4:$Q$803=TRIM($J120&amp;""))*(입력_파견수련계획!$S$4:$S$803="구리병원")*입력_파견수련계획!$W$4:$W$803))+IF($AG120="구리병원",MAX(0,DAY(EOMONTH(출력_요약!$B$3,0))-N($X120)),0)))</f>
        <v/>
      </c>
      <c r="AJ120" s="10">
        <f>IF(OR($B120="",TRIM($J120&amp;"")=""),"",IFERROR(MATCH(TRIM($J120&amp;"")&amp;"|월",입력_파견수련계획!$Z$4:$Z$803,0),""))</f>
        <v/>
      </c>
      <c r="AK120" s="10">
        <f>IF(OR($B120="",TRIM($J120&amp;"")=""),"",IFERROR(MATCH(TRIM($J120&amp;"")&amp;"|다기관",입력_파견수련계획!$AE$4:$AE$803,0),""))</f>
        <v/>
      </c>
      <c r="AL120" s="10">
        <f>IF($AK120="","","다기관 "&amp;TEXT(INDEX(입력_파견수련계획!$AB$4:$AB$803,$AK120),"yyyy-mm-dd")&amp;"~"&amp;IF(ISNUMBER(INDEX(입력_파견수련계획!$AC$4:$AC$803,$AK120)),TEXT(INDEX(입력_파견수련계획!$AC$4:$AC$803,$AK120),"yyyy-mm-dd"),""))</f>
        <v/>
      </c>
      <c r="AM120" s="10">
        <f>IF($Y120="서울병원",COUNTIF($Y$2:$Y120,"서울병원"),"")</f>
        <v/>
      </c>
      <c r="AN120" s="10">
        <f>IF(LEFT($Y120,1)="⚠",COUNTIF($Y$2:$Y120,"⚠*"),"")</f>
        <v/>
      </c>
      <c r="AO120" s="10">
        <f>IF(OR($B120="",$Y120=""),"",IF(IF(TRIM($J120&amp;"")="",0,SUMPRODUCT((입력_파견수련계획!$Q$4:$Q$803=TRIM($J120&amp;""))*입력_파견수련계획!$AD$4:$AD$803))&gt;0,"다기관 기간 → 소속병원 지급",IF(AND(N($X120)&lt;=0,$AQ120=""),"파견 없음 → 그 달 근무병원 지급",IF($AH120+$AI120=DAY(EOMONTH(출력_요약!$B$3,0)),"서울 "&amp;$AH120&amp;"일 / 구리 "&amp;$AI120&amp;"일"&amp;IF($AQ120&lt;&gt;""," (구리 근무자명단 반영)","")&amp;" → 15일 이상 근무 병원 지급","타 병원 포함 → "&amp;IF($AJ120="","소속",INDEX(입력_파견수련계획!$T$4:$T$803,$AJ120))&amp;" 규칙"))))</f>
        <v/>
      </c>
      <c r="AP120" s="10">
        <f>IF($B120="","",$C120&amp;"|"&amp;$F120)</f>
        <v/>
      </c>
      <c r="AQ120" s="10">
        <f>IF($B120="","",IFERROR(MATCH(ROW()-1,출력_구리근무자!$K$6:$K$305,0),""))</f>
        <v/>
      </c>
      <c r="AR120" s="10">
        <f>IF($AQ120="","",INDEX(출력_구리근무자!$H$6:$H$305,$AQ120))</f>
        <v/>
      </c>
    </row>
    <row r="121">
      <c r="A121" s="10">
        <f>IF(B121="","",ROW()-1)</f>
        <v/>
      </c>
      <c r="B121" s="19" t="n"/>
      <c r="C121" s="10">
        <f>IF($AB121="","",IF(INDEX(입력_기본자료!$C$2:$C$1001,$AB121)="","",INDEX(입력_기본자료!$C$2:$C$1001,$AB121)))</f>
        <v/>
      </c>
      <c r="D121" s="10">
        <f>IF($AB121="","",IF(INDEX(입력_기본자료!$J$2:$J$1001,$AB121)="","",INDEX(입력_기본자료!$J$2:$J$1001,$AB121)))</f>
        <v/>
      </c>
      <c r="E121" s="11">
        <f>IF($AB121="","",IF(INDEX(입력_기본자료!$K$2:$K$1001,$AB121)="","",IF(NOT(ISNUMBER(INDEX(입력_기본자료!$K$2:$K$1001,$AB121))),INDEX(입력_기본자료!$K$2:$K$1001,$AB121),IF(INDEX(입력_기본자료!$K$2:$K$1001,$AB121)&lt;1000000,INDEX(입력_기본자료!$K$2:$K$1001,$AB121),IF(AND(INDEX(입력_기본자료!$K$2:$K$1001,$AB121)&gt;=10000101,INT(MOD(INDEX(입력_기본자료!$K$2:$K$1001,$AB121),10000)/100)&gt;=1,INT(MOD(INDEX(입력_기본자료!$K$2:$K$1001,$AB121),10000)/100)&lt;=12,MOD(INDEX(입력_기본자료!$K$2:$K$1001,$AB121),100)&gt;=1,MOD(INDEX(입력_기본자료!$K$2:$K$1001,$AB121),100)&lt;=31),DATE(INT(INDEX(입력_기본자료!$K$2:$K$1001,$AB121)/10000),INT(MOD(INDEX(입력_기본자료!$K$2:$K$1001,$AB121),10000)/100),MOD(INDEX(입력_기본자료!$K$2:$K$1001,$AB121),100)),INDEX(입력_기본자료!$K$2:$K$1001,$AB121)&amp;"")))))</f>
        <v/>
      </c>
      <c r="F121" s="10">
        <f>IF($AB121="","",IF(INDEX(입력_기본자료!$D$2:$D$1001,$AB121)="","",INDEX(입력_기본자료!$D$2:$D$1001,$AB121)))</f>
        <v/>
      </c>
      <c r="G121" s="10">
        <f>IF($AB121="","",IF(INDEX(입력_기본자료!$E$2:$E$1001,$AB121)="","",INDEX(입력_기본자료!$E$2:$E$1001,$AB121)))</f>
        <v/>
      </c>
      <c r="H121" s="10">
        <f>IF($AB121="","",IF(INDEX(입력_기본자료!$F$2:$F$1001,$AB121)="","",INDEX(입력_기본자료!$F$2:$F$1001,$AB121)))</f>
        <v/>
      </c>
      <c r="I121" s="11">
        <f>IF($AB121="","",IF(INDEX(입력_기본자료!$G$2:$G$1001,$AB121)="","",IF(NOT(ISNUMBER(INDEX(입력_기본자료!$G$2:$G$1001,$AB121))),INDEX(입력_기본자료!$G$2:$G$1001,$AB121),IF(INDEX(입력_기본자료!$G$2:$G$1001,$AB121)&lt;1000000,INDEX(입력_기본자료!$G$2:$G$1001,$AB121),IF(AND(INDEX(입력_기본자료!$G$2:$G$1001,$AB121)&gt;=10000101,INT(MOD(INDEX(입력_기본자료!$G$2:$G$1001,$AB121),10000)/100)&gt;=1,INT(MOD(INDEX(입력_기본자료!$G$2:$G$1001,$AB121),10000)/100)&lt;=12,MOD(INDEX(입력_기본자료!$G$2:$G$1001,$AB121),100)&gt;=1,MOD(INDEX(입력_기본자료!$G$2:$G$1001,$AB121),100)&lt;=31),DATE(INT(INDEX(입력_기본자료!$G$2:$G$1001,$AB121)/10000),INT(MOD(INDEX(입력_기본자료!$G$2:$G$1001,$AB121),10000)/100),MOD(INDEX(입력_기본자료!$G$2:$G$1001,$AB121),100)),INDEX(입력_기본자료!$G$2:$G$1001,$AB121)&amp;"")))))</f>
        <v/>
      </c>
      <c r="J121" s="10">
        <f>IF($AB121="","",IF(INDEX(입력_기본자료!$H$2:$H$1001,$AB121)="","",INDEX(입력_기본자료!$H$2:$H$1001,$AB121)))</f>
        <v/>
      </c>
      <c r="K121" s="10">
        <f>IF($AB121="","",IF(INDEX(입력_기본자료!$I$2:$I$1001,$AB121)="","",INDEX(입력_기본자료!$I$2:$I$1001,$AB121)))</f>
        <v/>
      </c>
      <c r="L121" s="10">
        <f>IF($AB121="","",IF(INDEX(입력_기본자료!$A$2:$A$1001,$AB121)="","",INDEX(입력_기본자료!$A$2:$A$1001,$AB121)))</f>
        <v/>
      </c>
      <c r="M121" s="15" t="n"/>
      <c r="N121" s="10">
        <f>IF($B121="","",IF(AND($U121="파견중",$Q121&lt;&gt;""),$Q121,IF(AND($AD121&lt;&gt;"",LEFT($AD121,1)&lt;&gt;"⚠"),LEFT($AD121,FIND(" ",$AD121)-1),IF($H121="","",IF(RIGHT($H121,2)="병원",$H121,$H121&amp;"병원")))))</f>
        <v/>
      </c>
      <c r="O121" s="10">
        <f>IF($B121="","",IF(AND($U121="파견중",$Q121&lt;&gt;""),IF($R121&lt;&gt;"",$R121,"파견과 미입력"),IF(AND($AD121&lt;&gt;"",LEFT($AD121,1)&lt;&gt;"⚠"),MID($AD121,FIND(" ",$AD121)+1,60),IF($F121="","",IF($F121="인턴","수련교육부(인턴)",$F121)))))</f>
        <v/>
      </c>
      <c r="P121" s="10">
        <f>IF($B121="","",IF($AK121&lt;&gt;"",IF(AND(TODAY()&gt;=INDEX(입력_파견수련계획!$AB$4:$AB$803,$AK121),OR(NOT(ISNUMBER(INDEX(입력_파견수련계획!$AC$4:$AC$803,$AK121))),TODAY()&lt;=INDEX(입력_파견수련계획!$AC$4:$AC$803,$AK121))),"다기관",IF($AF121="","",INDEX(입력_파견수련계획!$T$4:$T$803,$AF121))),IF($AF121="","",INDEX(입력_파견수련계획!$T$4:$T$803,$AF121))))</f>
        <v/>
      </c>
      <c r="Q121" s="10">
        <f>IF($AF121="","",INDEX(입력_파견수련계획!$S$4:$S$803,$AF121))</f>
        <v/>
      </c>
      <c r="R121" s="10">
        <f>IF($AF121="","",INDEX(입력_파견수련계획!$U$4:$U$803,$AF121))</f>
        <v/>
      </c>
      <c r="S121" s="11">
        <f>IF($AF121="","",IF(INDEX(입력_파견수련계획!$H$4:$H$803,$AF121)="","",INDEX(입력_파견수련계획!$H$4:$H$803,$AF121)))</f>
        <v/>
      </c>
      <c r="T121" s="11">
        <f>IF($AF121="","",IF(INDEX(입력_파견수련계획!$I$4:$I$803,$AF121)="","",INDEX(입력_파견수련계획!$I$4:$I$803,$AF121)))</f>
        <v/>
      </c>
      <c r="U121" s="10">
        <f>IF($AF121="","",INDEX(입력_파견수련계획!$X$4:$X$803,$AF121))</f>
        <v/>
      </c>
      <c r="V121" s="17">
        <f>IF($AF121="","",INDEX(입력_파견수련계획!$V$4:$V$803,$AF121))</f>
        <v/>
      </c>
      <c r="W121" s="17">
        <f>IF(AND($U121="파견중",$T121&lt;&gt;""),$T121-TODAY(),"")</f>
        <v/>
      </c>
      <c r="X121" s="17">
        <f>IF(OR($B121="",TRIM($J121&amp;"")=""),"",SUMPRODUCT((입력_파견수련계획!$Q$4:$Q$803=TRIM($J121&amp;""))*입력_파견수련계획!$W$4:$W$803))</f>
        <v/>
      </c>
      <c r="Y121" s="10">
        <f>IF($B121="","",IF($AG121="","",IF(IF(TRIM($J121&amp;"")="",0,SUMPRODUCT((입력_파견수련계획!$Q$4:$Q$803=TRIM($J121&amp;""))*입력_파견수련계획!$AD$4:$AD$803))&gt;0,$AE121,IF(AND(N($X121)&lt;=0,$AQ121=""),$AG121,IF($AH121+$AI121=DAY(EOMONTH(출력_요약!$B$3,0)),IF(AND($AH121&gt;=출력_요약!$E$3,$AI121&lt;출력_요약!$E$3),"서울병원",IF(AND($AI121&gt;=출력_요약!$E$3,$AH121&lt;출력_요약!$E$3),"구리병원","⚠15일 판정불가(서울 "&amp;$AH121&amp;"일/구리 "&amp;$AI121&amp;"일)")),IF($AJ121="",$AE121,IF(INDEX(입력_파견수련계획!$T$4:$T$803,$AJ121)="통합수련",INDEX(입력_파견수련계획!$S$4:$S$803,$AJ121),$AE121)))))))</f>
        <v/>
      </c>
      <c r="Z121" s="20">
        <f>IF($B121="","",IF($AB121="","기본자료에 없는 사번",IF(COUNTIF($B$2:$B$401,$B121)&gt;1,"중복 사번",IF($AE121="","소속(입사장소) 입력",IF(IF(TRIM($J121&amp;"")="",0,SUMPRODUCT((입력_파견수련계획!$Q$4:$Q$803=TRIM($J121&amp;""))*(입력_파견수련계획!$AA$4:$AA$803&lt;&gt;"")))&gt;0,"파견수련계획 입력오류 확인",IF(LEFT($Y121,1)="⚠","서울·구리 15일 판정 불가(양쪽 모두 이상/미만)",IF(IF($AC121="",0,N(INDEX(입력_인턴근무계획!$T$3:$T$402,$AC121)))&gt;0,"인턴계획 입력오류 확인",IF(AND($AQ121&lt;&gt;"",$AG121&lt;&gt;"구리병원",IF(TRIM($J121&amp;"")="",0,SUMPRODUCT((입력_파견수련계획!$Q$4:$Q$803=TRIM($J121&amp;""))*(입력_파견수련계획!$S$4:$S$803="구리병원")*입력_파견수련계획!$W$4:$W$803))=0),"구리 근무자명단에만 있음(파견수련계획 확인)",IF(AND($AC121&lt;&gt;"",$U121&lt;&gt;"파견중",$N121&lt;&gt;$AE121),"인턴 타지역 근무: 파견 여부 확인","정상")))))))))</f>
        <v/>
      </c>
      <c r="AA121" s="5" t="n"/>
      <c r="AB121" s="10">
        <f>IF($B121="","",IFERROR(MATCH($B121,입력_기본자료!$B$2:$B$1001,0),IFERROR(MATCH($B121&amp;"",입력_기본자료!$B$2:$B$1001,0),IFERROR(MATCH(VALUE($B121),입력_기본자료!$B$2:$B$1001,0),""))))</f>
        <v/>
      </c>
      <c r="AC121" s="10">
        <f>IF($B121="","",IFERROR(MATCH($B121,입력_인턴근무계획!$D$3:$D$402,0),IFERROR(MATCH($B121&amp;"",입력_인턴근무계획!$D$3:$D$402,0),IFERROR(MATCH(VALUE($B121),입력_인턴근무계획!$D$3:$D$402,0),""))))</f>
        <v/>
      </c>
      <c r="AD121" s="10">
        <f>IF(OR($AC121="",출력_인턴현황!$G$3=""),"",INDEX(입력_인턴근무계획!$M$3:$R$402,$AC121,출력_인턴현황!$G$3)&amp;"")</f>
        <v/>
      </c>
      <c r="AE121" s="10">
        <f>IF($B121="","",IF($M121&lt;&gt;"",$M121,IF(IF($AQ121="",FALSE,INDEX(출력_구리근무자!$J$6:$J$305,$AQ121)="구리독자"),"구리병원",IF($AF121&lt;&gt;"",IF(LEFT(INDEX(입력_파견수련계획!$R$4:$R$803,$AF121),1)&lt;&gt;"⚠",INDEX(입력_파견수련계획!$R$4:$R$803,$AF121),IF($H121="","",IF(RIGHT($H121,2)="병원",$H121,$H121&amp;"병원"))),IF($H121="","",IF(RIGHT($H121,2)="병원",$H121,$H121&amp;"병원"))))))</f>
        <v/>
      </c>
      <c r="AF121" s="10">
        <f>IF(OR($B121="",TRIM($J121&amp;"")=""),"",IFERROR(MATCH(TRIM($J121&amp;"")&amp;"|파견중",입력_파견수련계획!$Y$4:$Y$803,0),IFERROR(MATCH(TRIM($J121&amp;"")&amp;"|파견예정",입력_파견수련계획!$Y$4:$Y$803,0),IFERROR(MATCH(TRIM($J121&amp;"")&amp;"|파견종료",입력_파견수련계획!$Y$4:$Y$803,0),""))))</f>
        <v/>
      </c>
      <c r="AG121" s="10">
        <f>IF($B121="","",IF(AND(IF(OR($AC121="",출력_인턴현황!$K$2=""),"",INDEX(입력_인턴근무계획!$M$3:$R$402,$AC121,출력_인턴현황!$K$2)&amp;"")&lt;&gt;"",LEFT(IF(OR($AC121="",출력_인턴현황!$K$2=""),"",INDEX(입력_인턴근무계획!$M$3:$R$402,$AC121,출력_인턴현황!$K$2)&amp;""),1)&lt;&gt;"⚠"),LEFT(IF(OR($AC121="",출력_인턴현황!$K$2=""),"",INDEX(입력_인턴근무계획!$M$3:$R$402,$AC121,출력_인턴현황!$K$2)&amp;""),FIND(" ",IF(OR($AC121="",출력_인턴현황!$K$2=""),"",INDEX(입력_인턴근무계획!$M$3:$R$402,$AC121,출력_인턴현황!$K$2)&amp;""))-1),$AE121))</f>
        <v/>
      </c>
      <c r="AH121" s="17">
        <f>IF($B121="","",IF($AQ121&lt;&gt;"",MAX(0,DAY(EOMONTH(출력_요약!$B$3,0))-N($AR121)),IF(TRIM($J121&amp;"")="",0,SUMPRODUCT((입력_파견수련계획!$Q$4:$Q$803=TRIM($J121&amp;""))*(입력_파견수련계획!$S$4:$S$803="서울병원")*입력_파견수련계획!$W$4:$W$803))+IF($AG121="서울병원",MAX(0,DAY(EOMONTH(출력_요약!$B$3,0))-N($X121)),0)))</f>
        <v/>
      </c>
      <c r="AI121" s="17">
        <f>IF($B121="","",IF($AQ121&lt;&gt;"",N($AR121),IF(TRIM($J121&amp;"")="",0,SUMPRODUCT((입력_파견수련계획!$Q$4:$Q$803=TRIM($J121&amp;""))*(입력_파견수련계획!$S$4:$S$803="구리병원")*입력_파견수련계획!$W$4:$W$803))+IF($AG121="구리병원",MAX(0,DAY(EOMONTH(출력_요약!$B$3,0))-N($X121)),0)))</f>
        <v/>
      </c>
      <c r="AJ121" s="10">
        <f>IF(OR($B121="",TRIM($J121&amp;"")=""),"",IFERROR(MATCH(TRIM($J121&amp;"")&amp;"|월",입력_파견수련계획!$Z$4:$Z$803,0),""))</f>
        <v/>
      </c>
      <c r="AK121" s="10">
        <f>IF(OR($B121="",TRIM($J121&amp;"")=""),"",IFERROR(MATCH(TRIM($J121&amp;"")&amp;"|다기관",입력_파견수련계획!$AE$4:$AE$803,0),""))</f>
        <v/>
      </c>
      <c r="AL121" s="10">
        <f>IF($AK121="","","다기관 "&amp;TEXT(INDEX(입력_파견수련계획!$AB$4:$AB$803,$AK121),"yyyy-mm-dd")&amp;"~"&amp;IF(ISNUMBER(INDEX(입력_파견수련계획!$AC$4:$AC$803,$AK121)),TEXT(INDEX(입력_파견수련계획!$AC$4:$AC$803,$AK121),"yyyy-mm-dd"),""))</f>
        <v/>
      </c>
      <c r="AM121" s="10">
        <f>IF($Y121="서울병원",COUNTIF($Y$2:$Y121,"서울병원"),"")</f>
        <v/>
      </c>
      <c r="AN121" s="10">
        <f>IF(LEFT($Y121,1)="⚠",COUNTIF($Y$2:$Y121,"⚠*"),"")</f>
        <v/>
      </c>
      <c r="AO121" s="10">
        <f>IF(OR($B121="",$Y121=""),"",IF(IF(TRIM($J121&amp;"")="",0,SUMPRODUCT((입력_파견수련계획!$Q$4:$Q$803=TRIM($J121&amp;""))*입력_파견수련계획!$AD$4:$AD$803))&gt;0,"다기관 기간 → 소속병원 지급",IF(AND(N($X121)&lt;=0,$AQ121=""),"파견 없음 → 그 달 근무병원 지급",IF($AH121+$AI121=DAY(EOMONTH(출력_요약!$B$3,0)),"서울 "&amp;$AH121&amp;"일 / 구리 "&amp;$AI121&amp;"일"&amp;IF($AQ121&lt;&gt;""," (구리 근무자명단 반영)","")&amp;" → 15일 이상 근무 병원 지급","타 병원 포함 → "&amp;IF($AJ121="","소속",INDEX(입력_파견수련계획!$T$4:$T$803,$AJ121))&amp;" 규칙"))))</f>
        <v/>
      </c>
      <c r="AP121" s="10">
        <f>IF($B121="","",$C121&amp;"|"&amp;$F121)</f>
        <v/>
      </c>
      <c r="AQ121" s="10">
        <f>IF($B121="","",IFERROR(MATCH(ROW()-1,출력_구리근무자!$K$6:$K$305,0),""))</f>
        <v/>
      </c>
      <c r="AR121" s="10">
        <f>IF($AQ121="","",INDEX(출력_구리근무자!$H$6:$H$305,$AQ121))</f>
        <v/>
      </c>
    </row>
    <row r="122">
      <c r="A122" s="10">
        <f>IF(B122="","",ROW()-1)</f>
        <v/>
      </c>
      <c r="B122" s="19" t="n"/>
      <c r="C122" s="10">
        <f>IF($AB122="","",IF(INDEX(입력_기본자료!$C$2:$C$1001,$AB122)="","",INDEX(입력_기본자료!$C$2:$C$1001,$AB122)))</f>
        <v/>
      </c>
      <c r="D122" s="10">
        <f>IF($AB122="","",IF(INDEX(입력_기본자료!$J$2:$J$1001,$AB122)="","",INDEX(입력_기본자료!$J$2:$J$1001,$AB122)))</f>
        <v/>
      </c>
      <c r="E122" s="11">
        <f>IF($AB122="","",IF(INDEX(입력_기본자료!$K$2:$K$1001,$AB122)="","",IF(NOT(ISNUMBER(INDEX(입력_기본자료!$K$2:$K$1001,$AB122))),INDEX(입력_기본자료!$K$2:$K$1001,$AB122),IF(INDEX(입력_기본자료!$K$2:$K$1001,$AB122)&lt;1000000,INDEX(입력_기본자료!$K$2:$K$1001,$AB122),IF(AND(INDEX(입력_기본자료!$K$2:$K$1001,$AB122)&gt;=10000101,INT(MOD(INDEX(입력_기본자료!$K$2:$K$1001,$AB122),10000)/100)&gt;=1,INT(MOD(INDEX(입력_기본자료!$K$2:$K$1001,$AB122),10000)/100)&lt;=12,MOD(INDEX(입력_기본자료!$K$2:$K$1001,$AB122),100)&gt;=1,MOD(INDEX(입력_기본자료!$K$2:$K$1001,$AB122),100)&lt;=31),DATE(INT(INDEX(입력_기본자료!$K$2:$K$1001,$AB122)/10000),INT(MOD(INDEX(입력_기본자료!$K$2:$K$1001,$AB122),10000)/100),MOD(INDEX(입력_기본자료!$K$2:$K$1001,$AB122),100)),INDEX(입력_기본자료!$K$2:$K$1001,$AB122)&amp;"")))))</f>
        <v/>
      </c>
      <c r="F122" s="10">
        <f>IF($AB122="","",IF(INDEX(입력_기본자료!$D$2:$D$1001,$AB122)="","",INDEX(입력_기본자료!$D$2:$D$1001,$AB122)))</f>
        <v/>
      </c>
      <c r="G122" s="10">
        <f>IF($AB122="","",IF(INDEX(입력_기본자료!$E$2:$E$1001,$AB122)="","",INDEX(입력_기본자료!$E$2:$E$1001,$AB122)))</f>
        <v/>
      </c>
      <c r="H122" s="10">
        <f>IF($AB122="","",IF(INDEX(입력_기본자료!$F$2:$F$1001,$AB122)="","",INDEX(입력_기본자료!$F$2:$F$1001,$AB122)))</f>
        <v/>
      </c>
      <c r="I122" s="11">
        <f>IF($AB122="","",IF(INDEX(입력_기본자료!$G$2:$G$1001,$AB122)="","",IF(NOT(ISNUMBER(INDEX(입력_기본자료!$G$2:$G$1001,$AB122))),INDEX(입력_기본자료!$G$2:$G$1001,$AB122),IF(INDEX(입력_기본자료!$G$2:$G$1001,$AB122)&lt;1000000,INDEX(입력_기본자료!$G$2:$G$1001,$AB122),IF(AND(INDEX(입력_기본자료!$G$2:$G$1001,$AB122)&gt;=10000101,INT(MOD(INDEX(입력_기본자료!$G$2:$G$1001,$AB122),10000)/100)&gt;=1,INT(MOD(INDEX(입력_기본자료!$G$2:$G$1001,$AB122),10000)/100)&lt;=12,MOD(INDEX(입력_기본자료!$G$2:$G$1001,$AB122),100)&gt;=1,MOD(INDEX(입력_기본자료!$G$2:$G$1001,$AB122),100)&lt;=31),DATE(INT(INDEX(입력_기본자료!$G$2:$G$1001,$AB122)/10000),INT(MOD(INDEX(입력_기본자료!$G$2:$G$1001,$AB122),10000)/100),MOD(INDEX(입력_기본자료!$G$2:$G$1001,$AB122),100)),INDEX(입력_기본자료!$G$2:$G$1001,$AB122)&amp;"")))))</f>
        <v/>
      </c>
      <c r="J122" s="10">
        <f>IF($AB122="","",IF(INDEX(입력_기본자료!$H$2:$H$1001,$AB122)="","",INDEX(입력_기본자료!$H$2:$H$1001,$AB122)))</f>
        <v/>
      </c>
      <c r="K122" s="10">
        <f>IF($AB122="","",IF(INDEX(입력_기본자료!$I$2:$I$1001,$AB122)="","",INDEX(입력_기본자료!$I$2:$I$1001,$AB122)))</f>
        <v/>
      </c>
      <c r="L122" s="10">
        <f>IF($AB122="","",IF(INDEX(입력_기본자료!$A$2:$A$1001,$AB122)="","",INDEX(입력_기본자료!$A$2:$A$1001,$AB122)))</f>
        <v/>
      </c>
      <c r="M122" s="15" t="n"/>
      <c r="N122" s="10">
        <f>IF($B122="","",IF(AND($U122="파견중",$Q122&lt;&gt;""),$Q122,IF(AND($AD122&lt;&gt;"",LEFT($AD122,1)&lt;&gt;"⚠"),LEFT($AD122,FIND(" ",$AD122)-1),IF($H122="","",IF(RIGHT($H122,2)="병원",$H122,$H122&amp;"병원")))))</f>
        <v/>
      </c>
      <c r="O122" s="10">
        <f>IF($B122="","",IF(AND($U122="파견중",$Q122&lt;&gt;""),IF($R122&lt;&gt;"",$R122,"파견과 미입력"),IF(AND($AD122&lt;&gt;"",LEFT($AD122,1)&lt;&gt;"⚠"),MID($AD122,FIND(" ",$AD122)+1,60),IF($F122="","",IF($F122="인턴","수련교육부(인턴)",$F122)))))</f>
        <v/>
      </c>
      <c r="P122" s="10">
        <f>IF($B122="","",IF($AK122&lt;&gt;"",IF(AND(TODAY()&gt;=INDEX(입력_파견수련계획!$AB$4:$AB$803,$AK122),OR(NOT(ISNUMBER(INDEX(입력_파견수련계획!$AC$4:$AC$803,$AK122))),TODAY()&lt;=INDEX(입력_파견수련계획!$AC$4:$AC$803,$AK122))),"다기관",IF($AF122="","",INDEX(입력_파견수련계획!$T$4:$T$803,$AF122))),IF($AF122="","",INDEX(입력_파견수련계획!$T$4:$T$803,$AF122))))</f>
        <v/>
      </c>
      <c r="Q122" s="10">
        <f>IF($AF122="","",INDEX(입력_파견수련계획!$S$4:$S$803,$AF122))</f>
        <v/>
      </c>
      <c r="R122" s="10">
        <f>IF($AF122="","",INDEX(입력_파견수련계획!$U$4:$U$803,$AF122))</f>
        <v/>
      </c>
      <c r="S122" s="11">
        <f>IF($AF122="","",IF(INDEX(입력_파견수련계획!$H$4:$H$803,$AF122)="","",INDEX(입력_파견수련계획!$H$4:$H$803,$AF122)))</f>
        <v/>
      </c>
      <c r="T122" s="11">
        <f>IF($AF122="","",IF(INDEX(입력_파견수련계획!$I$4:$I$803,$AF122)="","",INDEX(입력_파견수련계획!$I$4:$I$803,$AF122)))</f>
        <v/>
      </c>
      <c r="U122" s="10">
        <f>IF($AF122="","",INDEX(입력_파견수련계획!$X$4:$X$803,$AF122))</f>
        <v/>
      </c>
      <c r="V122" s="17">
        <f>IF($AF122="","",INDEX(입력_파견수련계획!$V$4:$V$803,$AF122))</f>
        <v/>
      </c>
      <c r="W122" s="17">
        <f>IF(AND($U122="파견중",$T122&lt;&gt;""),$T122-TODAY(),"")</f>
        <v/>
      </c>
      <c r="X122" s="17">
        <f>IF(OR($B122="",TRIM($J122&amp;"")=""),"",SUMPRODUCT((입력_파견수련계획!$Q$4:$Q$803=TRIM($J122&amp;""))*입력_파견수련계획!$W$4:$W$803))</f>
        <v/>
      </c>
      <c r="Y122" s="10">
        <f>IF($B122="","",IF($AG122="","",IF(IF(TRIM($J122&amp;"")="",0,SUMPRODUCT((입력_파견수련계획!$Q$4:$Q$803=TRIM($J122&amp;""))*입력_파견수련계획!$AD$4:$AD$803))&gt;0,$AE122,IF(AND(N($X122)&lt;=0,$AQ122=""),$AG122,IF($AH122+$AI122=DAY(EOMONTH(출력_요약!$B$3,0)),IF(AND($AH122&gt;=출력_요약!$E$3,$AI122&lt;출력_요약!$E$3),"서울병원",IF(AND($AI122&gt;=출력_요약!$E$3,$AH122&lt;출력_요약!$E$3),"구리병원","⚠15일 판정불가(서울 "&amp;$AH122&amp;"일/구리 "&amp;$AI122&amp;"일)")),IF($AJ122="",$AE122,IF(INDEX(입력_파견수련계획!$T$4:$T$803,$AJ122)="통합수련",INDEX(입력_파견수련계획!$S$4:$S$803,$AJ122),$AE122)))))))</f>
        <v/>
      </c>
      <c r="Z122" s="20">
        <f>IF($B122="","",IF($AB122="","기본자료에 없는 사번",IF(COUNTIF($B$2:$B$401,$B122)&gt;1,"중복 사번",IF($AE122="","소속(입사장소) 입력",IF(IF(TRIM($J122&amp;"")="",0,SUMPRODUCT((입력_파견수련계획!$Q$4:$Q$803=TRIM($J122&amp;""))*(입력_파견수련계획!$AA$4:$AA$803&lt;&gt;"")))&gt;0,"파견수련계획 입력오류 확인",IF(LEFT($Y122,1)="⚠","서울·구리 15일 판정 불가(양쪽 모두 이상/미만)",IF(IF($AC122="",0,N(INDEX(입력_인턴근무계획!$T$3:$T$402,$AC122)))&gt;0,"인턴계획 입력오류 확인",IF(AND($AQ122&lt;&gt;"",$AG122&lt;&gt;"구리병원",IF(TRIM($J122&amp;"")="",0,SUMPRODUCT((입력_파견수련계획!$Q$4:$Q$803=TRIM($J122&amp;""))*(입력_파견수련계획!$S$4:$S$803="구리병원")*입력_파견수련계획!$W$4:$W$803))=0),"구리 근무자명단에만 있음(파견수련계획 확인)",IF(AND($AC122&lt;&gt;"",$U122&lt;&gt;"파견중",$N122&lt;&gt;$AE122),"인턴 타지역 근무: 파견 여부 확인","정상")))))))))</f>
        <v/>
      </c>
      <c r="AA122" s="5" t="n"/>
      <c r="AB122" s="10">
        <f>IF($B122="","",IFERROR(MATCH($B122,입력_기본자료!$B$2:$B$1001,0),IFERROR(MATCH($B122&amp;"",입력_기본자료!$B$2:$B$1001,0),IFERROR(MATCH(VALUE($B122),입력_기본자료!$B$2:$B$1001,0),""))))</f>
        <v/>
      </c>
      <c r="AC122" s="10">
        <f>IF($B122="","",IFERROR(MATCH($B122,입력_인턴근무계획!$D$3:$D$402,0),IFERROR(MATCH($B122&amp;"",입력_인턴근무계획!$D$3:$D$402,0),IFERROR(MATCH(VALUE($B122),입력_인턴근무계획!$D$3:$D$402,0),""))))</f>
        <v/>
      </c>
      <c r="AD122" s="10">
        <f>IF(OR($AC122="",출력_인턴현황!$G$3=""),"",INDEX(입력_인턴근무계획!$M$3:$R$402,$AC122,출력_인턴현황!$G$3)&amp;"")</f>
        <v/>
      </c>
      <c r="AE122" s="10">
        <f>IF($B122="","",IF($M122&lt;&gt;"",$M122,IF(IF($AQ122="",FALSE,INDEX(출력_구리근무자!$J$6:$J$305,$AQ122)="구리독자"),"구리병원",IF($AF122&lt;&gt;"",IF(LEFT(INDEX(입력_파견수련계획!$R$4:$R$803,$AF122),1)&lt;&gt;"⚠",INDEX(입력_파견수련계획!$R$4:$R$803,$AF122),IF($H122="","",IF(RIGHT($H122,2)="병원",$H122,$H122&amp;"병원"))),IF($H122="","",IF(RIGHT($H122,2)="병원",$H122,$H122&amp;"병원"))))))</f>
        <v/>
      </c>
      <c r="AF122" s="10">
        <f>IF(OR($B122="",TRIM($J122&amp;"")=""),"",IFERROR(MATCH(TRIM($J122&amp;"")&amp;"|파견중",입력_파견수련계획!$Y$4:$Y$803,0),IFERROR(MATCH(TRIM($J122&amp;"")&amp;"|파견예정",입력_파견수련계획!$Y$4:$Y$803,0),IFERROR(MATCH(TRIM($J122&amp;"")&amp;"|파견종료",입력_파견수련계획!$Y$4:$Y$803,0),""))))</f>
        <v/>
      </c>
      <c r="AG122" s="10">
        <f>IF($B122="","",IF(AND(IF(OR($AC122="",출력_인턴현황!$K$2=""),"",INDEX(입력_인턴근무계획!$M$3:$R$402,$AC122,출력_인턴현황!$K$2)&amp;"")&lt;&gt;"",LEFT(IF(OR($AC122="",출력_인턴현황!$K$2=""),"",INDEX(입력_인턴근무계획!$M$3:$R$402,$AC122,출력_인턴현황!$K$2)&amp;""),1)&lt;&gt;"⚠"),LEFT(IF(OR($AC122="",출력_인턴현황!$K$2=""),"",INDEX(입력_인턴근무계획!$M$3:$R$402,$AC122,출력_인턴현황!$K$2)&amp;""),FIND(" ",IF(OR($AC122="",출력_인턴현황!$K$2=""),"",INDEX(입력_인턴근무계획!$M$3:$R$402,$AC122,출력_인턴현황!$K$2)&amp;""))-1),$AE122))</f>
        <v/>
      </c>
      <c r="AH122" s="17">
        <f>IF($B122="","",IF($AQ122&lt;&gt;"",MAX(0,DAY(EOMONTH(출력_요약!$B$3,0))-N($AR122)),IF(TRIM($J122&amp;"")="",0,SUMPRODUCT((입력_파견수련계획!$Q$4:$Q$803=TRIM($J122&amp;""))*(입력_파견수련계획!$S$4:$S$803="서울병원")*입력_파견수련계획!$W$4:$W$803))+IF($AG122="서울병원",MAX(0,DAY(EOMONTH(출력_요약!$B$3,0))-N($X122)),0)))</f>
        <v/>
      </c>
      <c r="AI122" s="17">
        <f>IF($B122="","",IF($AQ122&lt;&gt;"",N($AR122),IF(TRIM($J122&amp;"")="",0,SUMPRODUCT((입력_파견수련계획!$Q$4:$Q$803=TRIM($J122&amp;""))*(입력_파견수련계획!$S$4:$S$803="구리병원")*입력_파견수련계획!$W$4:$W$803))+IF($AG122="구리병원",MAX(0,DAY(EOMONTH(출력_요약!$B$3,0))-N($X122)),0)))</f>
        <v/>
      </c>
      <c r="AJ122" s="10">
        <f>IF(OR($B122="",TRIM($J122&amp;"")=""),"",IFERROR(MATCH(TRIM($J122&amp;"")&amp;"|월",입력_파견수련계획!$Z$4:$Z$803,0),""))</f>
        <v/>
      </c>
      <c r="AK122" s="10">
        <f>IF(OR($B122="",TRIM($J122&amp;"")=""),"",IFERROR(MATCH(TRIM($J122&amp;"")&amp;"|다기관",입력_파견수련계획!$AE$4:$AE$803,0),""))</f>
        <v/>
      </c>
      <c r="AL122" s="10">
        <f>IF($AK122="","","다기관 "&amp;TEXT(INDEX(입력_파견수련계획!$AB$4:$AB$803,$AK122),"yyyy-mm-dd")&amp;"~"&amp;IF(ISNUMBER(INDEX(입력_파견수련계획!$AC$4:$AC$803,$AK122)),TEXT(INDEX(입력_파견수련계획!$AC$4:$AC$803,$AK122),"yyyy-mm-dd"),""))</f>
        <v/>
      </c>
      <c r="AM122" s="10">
        <f>IF($Y122="서울병원",COUNTIF($Y$2:$Y122,"서울병원"),"")</f>
        <v/>
      </c>
      <c r="AN122" s="10">
        <f>IF(LEFT($Y122,1)="⚠",COUNTIF($Y$2:$Y122,"⚠*"),"")</f>
        <v/>
      </c>
      <c r="AO122" s="10">
        <f>IF(OR($B122="",$Y122=""),"",IF(IF(TRIM($J122&amp;"")="",0,SUMPRODUCT((입력_파견수련계획!$Q$4:$Q$803=TRIM($J122&amp;""))*입력_파견수련계획!$AD$4:$AD$803))&gt;0,"다기관 기간 → 소속병원 지급",IF(AND(N($X122)&lt;=0,$AQ122=""),"파견 없음 → 그 달 근무병원 지급",IF($AH122+$AI122=DAY(EOMONTH(출력_요약!$B$3,0)),"서울 "&amp;$AH122&amp;"일 / 구리 "&amp;$AI122&amp;"일"&amp;IF($AQ122&lt;&gt;""," (구리 근무자명단 반영)","")&amp;" → 15일 이상 근무 병원 지급","타 병원 포함 → "&amp;IF($AJ122="","소속",INDEX(입력_파견수련계획!$T$4:$T$803,$AJ122))&amp;" 규칙"))))</f>
        <v/>
      </c>
      <c r="AP122" s="10">
        <f>IF($B122="","",$C122&amp;"|"&amp;$F122)</f>
        <v/>
      </c>
      <c r="AQ122" s="10">
        <f>IF($B122="","",IFERROR(MATCH(ROW()-1,출력_구리근무자!$K$6:$K$305,0),""))</f>
        <v/>
      </c>
      <c r="AR122" s="10">
        <f>IF($AQ122="","",INDEX(출력_구리근무자!$H$6:$H$305,$AQ122))</f>
        <v/>
      </c>
    </row>
    <row r="123">
      <c r="A123" s="10">
        <f>IF(B123="","",ROW()-1)</f>
        <v/>
      </c>
      <c r="B123" s="19" t="n"/>
      <c r="C123" s="10">
        <f>IF($AB123="","",IF(INDEX(입력_기본자료!$C$2:$C$1001,$AB123)="","",INDEX(입력_기본자료!$C$2:$C$1001,$AB123)))</f>
        <v/>
      </c>
      <c r="D123" s="10">
        <f>IF($AB123="","",IF(INDEX(입력_기본자료!$J$2:$J$1001,$AB123)="","",INDEX(입력_기본자료!$J$2:$J$1001,$AB123)))</f>
        <v/>
      </c>
      <c r="E123" s="11">
        <f>IF($AB123="","",IF(INDEX(입력_기본자료!$K$2:$K$1001,$AB123)="","",IF(NOT(ISNUMBER(INDEX(입력_기본자료!$K$2:$K$1001,$AB123))),INDEX(입력_기본자료!$K$2:$K$1001,$AB123),IF(INDEX(입력_기본자료!$K$2:$K$1001,$AB123)&lt;1000000,INDEX(입력_기본자료!$K$2:$K$1001,$AB123),IF(AND(INDEX(입력_기본자료!$K$2:$K$1001,$AB123)&gt;=10000101,INT(MOD(INDEX(입력_기본자료!$K$2:$K$1001,$AB123),10000)/100)&gt;=1,INT(MOD(INDEX(입력_기본자료!$K$2:$K$1001,$AB123),10000)/100)&lt;=12,MOD(INDEX(입력_기본자료!$K$2:$K$1001,$AB123),100)&gt;=1,MOD(INDEX(입력_기본자료!$K$2:$K$1001,$AB123),100)&lt;=31),DATE(INT(INDEX(입력_기본자료!$K$2:$K$1001,$AB123)/10000),INT(MOD(INDEX(입력_기본자료!$K$2:$K$1001,$AB123),10000)/100),MOD(INDEX(입력_기본자료!$K$2:$K$1001,$AB123),100)),INDEX(입력_기본자료!$K$2:$K$1001,$AB123)&amp;"")))))</f>
        <v/>
      </c>
      <c r="F123" s="10">
        <f>IF($AB123="","",IF(INDEX(입력_기본자료!$D$2:$D$1001,$AB123)="","",INDEX(입력_기본자료!$D$2:$D$1001,$AB123)))</f>
        <v/>
      </c>
      <c r="G123" s="10">
        <f>IF($AB123="","",IF(INDEX(입력_기본자료!$E$2:$E$1001,$AB123)="","",INDEX(입력_기본자료!$E$2:$E$1001,$AB123)))</f>
        <v/>
      </c>
      <c r="H123" s="10">
        <f>IF($AB123="","",IF(INDEX(입력_기본자료!$F$2:$F$1001,$AB123)="","",INDEX(입력_기본자료!$F$2:$F$1001,$AB123)))</f>
        <v/>
      </c>
      <c r="I123" s="11">
        <f>IF($AB123="","",IF(INDEX(입력_기본자료!$G$2:$G$1001,$AB123)="","",IF(NOT(ISNUMBER(INDEX(입력_기본자료!$G$2:$G$1001,$AB123))),INDEX(입력_기본자료!$G$2:$G$1001,$AB123),IF(INDEX(입력_기본자료!$G$2:$G$1001,$AB123)&lt;1000000,INDEX(입력_기본자료!$G$2:$G$1001,$AB123),IF(AND(INDEX(입력_기본자료!$G$2:$G$1001,$AB123)&gt;=10000101,INT(MOD(INDEX(입력_기본자료!$G$2:$G$1001,$AB123),10000)/100)&gt;=1,INT(MOD(INDEX(입력_기본자료!$G$2:$G$1001,$AB123),10000)/100)&lt;=12,MOD(INDEX(입력_기본자료!$G$2:$G$1001,$AB123),100)&gt;=1,MOD(INDEX(입력_기본자료!$G$2:$G$1001,$AB123),100)&lt;=31),DATE(INT(INDEX(입력_기본자료!$G$2:$G$1001,$AB123)/10000),INT(MOD(INDEX(입력_기본자료!$G$2:$G$1001,$AB123),10000)/100),MOD(INDEX(입력_기본자료!$G$2:$G$1001,$AB123),100)),INDEX(입력_기본자료!$G$2:$G$1001,$AB123)&amp;"")))))</f>
        <v/>
      </c>
      <c r="J123" s="10">
        <f>IF($AB123="","",IF(INDEX(입력_기본자료!$H$2:$H$1001,$AB123)="","",INDEX(입력_기본자료!$H$2:$H$1001,$AB123)))</f>
        <v/>
      </c>
      <c r="K123" s="10">
        <f>IF($AB123="","",IF(INDEX(입력_기본자료!$I$2:$I$1001,$AB123)="","",INDEX(입력_기본자료!$I$2:$I$1001,$AB123)))</f>
        <v/>
      </c>
      <c r="L123" s="10">
        <f>IF($AB123="","",IF(INDEX(입력_기본자료!$A$2:$A$1001,$AB123)="","",INDEX(입력_기본자료!$A$2:$A$1001,$AB123)))</f>
        <v/>
      </c>
      <c r="M123" s="15" t="n"/>
      <c r="N123" s="10">
        <f>IF($B123="","",IF(AND($U123="파견중",$Q123&lt;&gt;""),$Q123,IF(AND($AD123&lt;&gt;"",LEFT($AD123,1)&lt;&gt;"⚠"),LEFT($AD123,FIND(" ",$AD123)-1),IF($H123="","",IF(RIGHT($H123,2)="병원",$H123,$H123&amp;"병원")))))</f>
        <v/>
      </c>
      <c r="O123" s="10">
        <f>IF($B123="","",IF(AND($U123="파견중",$Q123&lt;&gt;""),IF($R123&lt;&gt;"",$R123,"파견과 미입력"),IF(AND($AD123&lt;&gt;"",LEFT($AD123,1)&lt;&gt;"⚠"),MID($AD123,FIND(" ",$AD123)+1,60),IF($F123="","",IF($F123="인턴","수련교육부(인턴)",$F123)))))</f>
        <v/>
      </c>
      <c r="P123" s="10">
        <f>IF($B123="","",IF($AK123&lt;&gt;"",IF(AND(TODAY()&gt;=INDEX(입력_파견수련계획!$AB$4:$AB$803,$AK123),OR(NOT(ISNUMBER(INDEX(입력_파견수련계획!$AC$4:$AC$803,$AK123))),TODAY()&lt;=INDEX(입력_파견수련계획!$AC$4:$AC$803,$AK123))),"다기관",IF($AF123="","",INDEX(입력_파견수련계획!$T$4:$T$803,$AF123))),IF($AF123="","",INDEX(입력_파견수련계획!$T$4:$T$803,$AF123))))</f>
        <v/>
      </c>
      <c r="Q123" s="10">
        <f>IF($AF123="","",INDEX(입력_파견수련계획!$S$4:$S$803,$AF123))</f>
        <v/>
      </c>
      <c r="R123" s="10">
        <f>IF($AF123="","",INDEX(입력_파견수련계획!$U$4:$U$803,$AF123))</f>
        <v/>
      </c>
      <c r="S123" s="11">
        <f>IF($AF123="","",IF(INDEX(입력_파견수련계획!$H$4:$H$803,$AF123)="","",INDEX(입력_파견수련계획!$H$4:$H$803,$AF123)))</f>
        <v/>
      </c>
      <c r="T123" s="11">
        <f>IF($AF123="","",IF(INDEX(입력_파견수련계획!$I$4:$I$803,$AF123)="","",INDEX(입력_파견수련계획!$I$4:$I$803,$AF123)))</f>
        <v/>
      </c>
      <c r="U123" s="10">
        <f>IF($AF123="","",INDEX(입력_파견수련계획!$X$4:$X$803,$AF123))</f>
        <v/>
      </c>
      <c r="V123" s="17">
        <f>IF($AF123="","",INDEX(입력_파견수련계획!$V$4:$V$803,$AF123))</f>
        <v/>
      </c>
      <c r="W123" s="17">
        <f>IF(AND($U123="파견중",$T123&lt;&gt;""),$T123-TODAY(),"")</f>
        <v/>
      </c>
      <c r="X123" s="17">
        <f>IF(OR($B123="",TRIM($J123&amp;"")=""),"",SUMPRODUCT((입력_파견수련계획!$Q$4:$Q$803=TRIM($J123&amp;""))*입력_파견수련계획!$W$4:$W$803))</f>
        <v/>
      </c>
      <c r="Y123" s="10">
        <f>IF($B123="","",IF($AG123="","",IF(IF(TRIM($J123&amp;"")="",0,SUMPRODUCT((입력_파견수련계획!$Q$4:$Q$803=TRIM($J123&amp;""))*입력_파견수련계획!$AD$4:$AD$803))&gt;0,$AE123,IF(AND(N($X123)&lt;=0,$AQ123=""),$AG123,IF($AH123+$AI123=DAY(EOMONTH(출력_요약!$B$3,0)),IF(AND($AH123&gt;=출력_요약!$E$3,$AI123&lt;출력_요약!$E$3),"서울병원",IF(AND($AI123&gt;=출력_요약!$E$3,$AH123&lt;출력_요약!$E$3),"구리병원","⚠15일 판정불가(서울 "&amp;$AH123&amp;"일/구리 "&amp;$AI123&amp;"일)")),IF($AJ123="",$AE123,IF(INDEX(입력_파견수련계획!$T$4:$T$803,$AJ123)="통합수련",INDEX(입력_파견수련계획!$S$4:$S$803,$AJ123),$AE123)))))))</f>
        <v/>
      </c>
      <c r="Z123" s="20">
        <f>IF($B123="","",IF($AB123="","기본자료에 없는 사번",IF(COUNTIF($B$2:$B$401,$B123)&gt;1,"중복 사번",IF($AE123="","소속(입사장소) 입력",IF(IF(TRIM($J123&amp;"")="",0,SUMPRODUCT((입력_파견수련계획!$Q$4:$Q$803=TRIM($J123&amp;""))*(입력_파견수련계획!$AA$4:$AA$803&lt;&gt;"")))&gt;0,"파견수련계획 입력오류 확인",IF(LEFT($Y123,1)="⚠","서울·구리 15일 판정 불가(양쪽 모두 이상/미만)",IF(IF($AC123="",0,N(INDEX(입력_인턴근무계획!$T$3:$T$402,$AC123)))&gt;0,"인턴계획 입력오류 확인",IF(AND($AQ123&lt;&gt;"",$AG123&lt;&gt;"구리병원",IF(TRIM($J123&amp;"")="",0,SUMPRODUCT((입력_파견수련계획!$Q$4:$Q$803=TRIM($J123&amp;""))*(입력_파견수련계획!$S$4:$S$803="구리병원")*입력_파견수련계획!$W$4:$W$803))=0),"구리 근무자명단에만 있음(파견수련계획 확인)",IF(AND($AC123&lt;&gt;"",$U123&lt;&gt;"파견중",$N123&lt;&gt;$AE123),"인턴 타지역 근무: 파견 여부 확인","정상")))))))))</f>
        <v/>
      </c>
      <c r="AA123" s="5" t="n"/>
      <c r="AB123" s="10">
        <f>IF($B123="","",IFERROR(MATCH($B123,입력_기본자료!$B$2:$B$1001,0),IFERROR(MATCH($B123&amp;"",입력_기본자료!$B$2:$B$1001,0),IFERROR(MATCH(VALUE($B123),입력_기본자료!$B$2:$B$1001,0),""))))</f>
        <v/>
      </c>
      <c r="AC123" s="10">
        <f>IF($B123="","",IFERROR(MATCH($B123,입력_인턴근무계획!$D$3:$D$402,0),IFERROR(MATCH($B123&amp;"",입력_인턴근무계획!$D$3:$D$402,0),IFERROR(MATCH(VALUE($B123),입력_인턴근무계획!$D$3:$D$402,0),""))))</f>
        <v/>
      </c>
      <c r="AD123" s="10">
        <f>IF(OR($AC123="",출력_인턴현황!$G$3=""),"",INDEX(입력_인턴근무계획!$M$3:$R$402,$AC123,출력_인턴현황!$G$3)&amp;"")</f>
        <v/>
      </c>
      <c r="AE123" s="10">
        <f>IF($B123="","",IF($M123&lt;&gt;"",$M123,IF(IF($AQ123="",FALSE,INDEX(출력_구리근무자!$J$6:$J$305,$AQ123)="구리독자"),"구리병원",IF($AF123&lt;&gt;"",IF(LEFT(INDEX(입력_파견수련계획!$R$4:$R$803,$AF123),1)&lt;&gt;"⚠",INDEX(입력_파견수련계획!$R$4:$R$803,$AF123),IF($H123="","",IF(RIGHT($H123,2)="병원",$H123,$H123&amp;"병원"))),IF($H123="","",IF(RIGHT($H123,2)="병원",$H123,$H123&amp;"병원"))))))</f>
        <v/>
      </c>
      <c r="AF123" s="10">
        <f>IF(OR($B123="",TRIM($J123&amp;"")=""),"",IFERROR(MATCH(TRIM($J123&amp;"")&amp;"|파견중",입력_파견수련계획!$Y$4:$Y$803,0),IFERROR(MATCH(TRIM($J123&amp;"")&amp;"|파견예정",입력_파견수련계획!$Y$4:$Y$803,0),IFERROR(MATCH(TRIM($J123&amp;"")&amp;"|파견종료",입력_파견수련계획!$Y$4:$Y$803,0),""))))</f>
        <v/>
      </c>
      <c r="AG123" s="10">
        <f>IF($B123="","",IF(AND(IF(OR($AC123="",출력_인턴현황!$K$2=""),"",INDEX(입력_인턴근무계획!$M$3:$R$402,$AC123,출력_인턴현황!$K$2)&amp;"")&lt;&gt;"",LEFT(IF(OR($AC123="",출력_인턴현황!$K$2=""),"",INDEX(입력_인턴근무계획!$M$3:$R$402,$AC123,출력_인턴현황!$K$2)&amp;""),1)&lt;&gt;"⚠"),LEFT(IF(OR($AC123="",출력_인턴현황!$K$2=""),"",INDEX(입력_인턴근무계획!$M$3:$R$402,$AC123,출력_인턴현황!$K$2)&amp;""),FIND(" ",IF(OR($AC123="",출력_인턴현황!$K$2=""),"",INDEX(입력_인턴근무계획!$M$3:$R$402,$AC123,출력_인턴현황!$K$2)&amp;""))-1),$AE123))</f>
        <v/>
      </c>
      <c r="AH123" s="17">
        <f>IF($B123="","",IF($AQ123&lt;&gt;"",MAX(0,DAY(EOMONTH(출력_요약!$B$3,0))-N($AR123)),IF(TRIM($J123&amp;"")="",0,SUMPRODUCT((입력_파견수련계획!$Q$4:$Q$803=TRIM($J123&amp;""))*(입력_파견수련계획!$S$4:$S$803="서울병원")*입력_파견수련계획!$W$4:$W$803))+IF($AG123="서울병원",MAX(0,DAY(EOMONTH(출력_요약!$B$3,0))-N($X123)),0)))</f>
        <v/>
      </c>
      <c r="AI123" s="17">
        <f>IF($B123="","",IF($AQ123&lt;&gt;"",N($AR123),IF(TRIM($J123&amp;"")="",0,SUMPRODUCT((입력_파견수련계획!$Q$4:$Q$803=TRIM($J123&amp;""))*(입력_파견수련계획!$S$4:$S$803="구리병원")*입력_파견수련계획!$W$4:$W$803))+IF($AG123="구리병원",MAX(0,DAY(EOMONTH(출력_요약!$B$3,0))-N($X123)),0)))</f>
        <v/>
      </c>
      <c r="AJ123" s="10">
        <f>IF(OR($B123="",TRIM($J123&amp;"")=""),"",IFERROR(MATCH(TRIM($J123&amp;"")&amp;"|월",입력_파견수련계획!$Z$4:$Z$803,0),""))</f>
        <v/>
      </c>
      <c r="AK123" s="10">
        <f>IF(OR($B123="",TRIM($J123&amp;"")=""),"",IFERROR(MATCH(TRIM($J123&amp;"")&amp;"|다기관",입력_파견수련계획!$AE$4:$AE$803,0),""))</f>
        <v/>
      </c>
      <c r="AL123" s="10">
        <f>IF($AK123="","","다기관 "&amp;TEXT(INDEX(입력_파견수련계획!$AB$4:$AB$803,$AK123),"yyyy-mm-dd")&amp;"~"&amp;IF(ISNUMBER(INDEX(입력_파견수련계획!$AC$4:$AC$803,$AK123)),TEXT(INDEX(입력_파견수련계획!$AC$4:$AC$803,$AK123),"yyyy-mm-dd"),""))</f>
        <v/>
      </c>
      <c r="AM123" s="10">
        <f>IF($Y123="서울병원",COUNTIF($Y$2:$Y123,"서울병원"),"")</f>
        <v/>
      </c>
      <c r="AN123" s="10">
        <f>IF(LEFT($Y123,1)="⚠",COUNTIF($Y$2:$Y123,"⚠*"),"")</f>
        <v/>
      </c>
      <c r="AO123" s="10">
        <f>IF(OR($B123="",$Y123=""),"",IF(IF(TRIM($J123&amp;"")="",0,SUMPRODUCT((입력_파견수련계획!$Q$4:$Q$803=TRIM($J123&amp;""))*입력_파견수련계획!$AD$4:$AD$803))&gt;0,"다기관 기간 → 소속병원 지급",IF(AND(N($X123)&lt;=0,$AQ123=""),"파견 없음 → 그 달 근무병원 지급",IF($AH123+$AI123=DAY(EOMONTH(출력_요약!$B$3,0)),"서울 "&amp;$AH123&amp;"일 / 구리 "&amp;$AI123&amp;"일"&amp;IF($AQ123&lt;&gt;""," (구리 근무자명단 반영)","")&amp;" → 15일 이상 근무 병원 지급","타 병원 포함 → "&amp;IF($AJ123="","소속",INDEX(입력_파견수련계획!$T$4:$T$803,$AJ123))&amp;" 규칙"))))</f>
        <v/>
      </c>
      <c r="AP123" s="10">
        <f>IF($B123="","",$C123&amp;"|"&amp;$F123)</f>
        <v/>
      </c>
      <c r="AQ123" s="10">
        <f>IF($B123="","",IFERROR(MATCH(ROW()-1,출력_구리근무자!$K$6:$K$305,0),""))</f>
        <v/>
      </c>
      <c r="AR123" s="10">
        <f>IF($AQ123="","",INDEX(출력_구리근무자!$H$6:$H$305,$AQ123))</f>
        <v/>
      </c>
    </row>
    <row r="124">
      <c r="A124" s="10">
        <f>IF(B124="","",ROW()-1)</f>
        <v/>
      </c>
      <c r="B124" s="19" t="n"/>
      <c r="C124" s="10">
        <f>IF($AB124="","",IF(INDEX(입력_기본자료!$C$2:$C$1001,$AB124)="","",INDEX(입력_기본자료!$C$2:$C$1001,$AB124)))</f>
        <v/>
      </c>
      <c r="D124" s="10">
        <f>IF($AB124="","",IF(INDEX(입력_기본자료!$J$2:$J$1001,$AB124)="","",INDEX(입력_기본자료!$J$2:$J$1001,$AB124)))</f>
        <v/>
      </c>
      <c r="E124" s="11">
        <f>IF($AB124="","",IF(INDEX(입력_기본자료!$K$2:$K$1001,$AB124)="","",IF(NOT(ISNUMBER(INDEX(입력_기본자료!$K$2:$K$1001,$AB124))),INDEX(입력_기본자료!$K$2:$K$1001,$AB124),IF(INDEX(입력_기본자료!$K$2:$K$1001,$AB124)&lt;1000000,INDEX(입력_기본자료!$K$2:$K$1001,$AB124),IF(AND(INDEX(입력_기본자료!$K$2:$K$1001,$AB124)&gt;=10000101,INT(MOD(INDEX(입력_기본자료!$K$2:$K$1001,$AB124),10000)/100)&gt;=1,INT(MOD(INDEX(입력_기본자료!$K$2:$K$1001,$AB124),10000)/100)&lt;=12,MOD(INDEX(입력_기본자료!$K$2:$K$1001,$AB124),100)&gt;=1,MOD(INDEX(입력_기본자료!$K$2:$K$1001,$AB124),100)&lt;=31),DATE(INT(INDEX(입력_기본자료!$K$2:$K$1001,$AB124)/10000),INT(MOD(INDEX(입력_기본자료!$K$2:$K$1001,$AB124),10000)/100),MOD(INDEX(입력_기본자료!$K$2:$K$1001,$AB124),100)),INDEX(입력_기본자료!$K$2:$K$1001,$AB124)&amp;"")))))</f>
        <v/>
      </c>
      <c r="F124" s="10">
        <f>IF($AB124="","",IF(INDEX(입력_기본자료!$D$2:$D$1001,$AB124)="","",INDEX(입력_기본자료!$D$2:$D$1001,$AB124)))</f>
        <v/>
      </c>
      <c r="G124" s="10">
        <f>IF($AB124="","",IF(INDEX(입력_기본자료!$E$2:$E$1001,$AB124)="","",INDEX(입력_기본자료!$E$2:$E$1001,$AB124)))</f>
        <v/>
      </c>
      <c r="H124" s="10">
        <f>IF($AB124="","",IF(INDEX(입력_기본자료!$F$2:$F$1001,$AB124)="","",INDEX(입력_기본자료!$F$2:$F$1001,$AB124)))</f>
        <v/>
      </c>
      <c r="I124" s="11">
        <f>IF($AB124="","",IF(INDEX(입력_기본자료!$G$2:$G$1001,$AB124)="","",IF(NOT(ISNUMBER(INDEX(입력_기본자료!$G$2:$G$1001,$AB124))),INDEX(입력_기본자료!$G$2:$G$1001,$AB124),IF(INDEX(입력_기본자료!$G$2:$G$1001,$AB124)&lt;1000000,INDEX(입력_기본자료!$G$2:$G$1001,$AB124),IF(AND(INDEX(입력_기본자료!$G$2:$G$1001,$AB124)&gt;=10000101,INT(MOD(INDEX(입력_기본자료!$G$2:$G$1001,$AB124),10000)/100)&gt;=1,INT(MOD(INDEX(입력_기본자료!$G$2:$G$1001,$AB124),10000)/100)&lt;=12,MOD(INDEX(입력_기본자료!$G$2:$G$1001,$AB124),100)&gt;=1,MOD(INDEX(입력_기본자료!$G$2:$G$1001,$AB124),100)&lt;=31),DATE(INT(INDEX(입력_기본자료!$G$2:$G$1001,$AB124)/10000),INT(MOD(INDEX(입력_기본자료!$G$2:$G$1001,$AB124),10000)/100),MOD(INDEX(입력_기본자료!$G$2:$G$1001,$AB124),100)),INDEX(입력_기본자료!$G$2:$G$1001,$AB124)&amp;"")))))</f>
        <v/>
      </c>
      <c r="J124" s="10">
        <f>IF($AB124="","",IF(INDEX(입력_기본자료!$H$2:$H$1001,$AB124)="","",INDEX(입력_기본자료!$H$2:$H$1001,$AB124)))</f>
        <v/>
      </c>
      <c r="K124" s="10">
        <f>IF($AB124="","",IF(INDEX(입력_기본자료!$I$2:$I$1001,$AB124)="","",INDEX(입력_기본자료!$I$2:$I$1001,$AB124)))</f>
        <v/>
      </c>
      <c r="L124" s="10">
        <f>IF($AB124="","",IF(INDEX(입력_기본자료!$A$2:$A$1001,$AB124)="","",INDEX(입력_기본자료!$A$2:$A$1001,$AB124)))</f>
        <v/>
      </c>
      <c r="M124" s="15" t="n"/>
      <c r="N124" s="10">
        <f>IF($B124="","",IF(AND($U124="파견중",$Q124&lt;&gt;""),$Q124,IF(AND($AD124&lt;&gt;"",LEFT($AD124,1)&lt;&gt;"⚠"),LEFT($AD124,FIND(" ",$AD124)-1),IF($H124="","",IF(RIGHT($H124,2)="병원",$H124,$H124&amp;"병원")))))</f>
        <v/>
      </c>
      <c r="O124" s="10">
        <f>IF($B124="","",IF(AND($U124="파견중",$Q124&lt;&gt;""),IF($R124&lt;&gt;"",$R124,"파견과 미입력"),IF(AND($AD124&lt;&gt;"",LEFT($AD124,1)&lt;&gt;"⚠"),MID($AD124,FIND(" ",$AD124)+1,60),IF($F124="","",IF($F124="인턴","수련교육부(인턴)",$F124)))))</f>
        <v/>
      </c>
      <c r="P124" s="10">
        <f>IF($B124="","",IF($AK124&lt;&gt;"",IF(AND(TODAY()&gt;=INDEX(입력_파견수련계획!$AB$4:$AB$803,$AK124),OR(NOT(ISNUMBER(INDEX(입력_파견수련계획!$AC$4:$AC$803,$AK124))),TODAY()&lt;=INDEX(입력_파견수련계획!$AC$4:$AC$803,$AK124))),"다기관",IF($AF124="","",INDEX(입력_파견수련계획!$T$4:$T$803,$AF124))),IF($AF124="","",INDEX(입력_파견수련계획!$T$4:$T$803,$AF124))))</f>
        <v/>
      </c>
      <c r="Q124" s="10">
        <f>IF($AF124="","",INDEX(입력_파견수련계획!$S$4:$S$803,$AF124))</f>
        <v/>
      </c>
      <c r="R124" s="10">
        <f>IF($AF124="","",INDEX(입력_파견수련계획!$U$4:$U$803,$AF124))</f>
        <v/>
      </c>
      <c r="S124" s="11">
        <f>IF($AF124="","",IF(INDEX(입력_파견수련계획!$H$4:$H$803,$AF124)="","",INDEX(입력_파견수련계획!$H$4:$H$803,$AF124)))</f>
        <v/>
      </c>
      <c r="T124" s="11">
        <f>IF($AF124="","",IF(INDEX(입력_파견수련계획!$I$4:$I$803,$AF124)="","",INDEX(입력_파견수련계획!$I$4:$I$803,$AF124)))</f>
        <v/>
      </c>
      <c r="U124" s="10">
        <f>IF($AF124="","",INDEX(입력_파견수련계획!$X$4:$X$803,$AF124))</f>
        <v/>
      </c>
      <c r="V124" s="17">
        <f>IF($AF124="","",INDEX(입력_파견수련계획!$V$4:$V$803,$AF124))</f>
        <v/>
      </c>
      <c r="W124" s="17">
        <f>IF(AND($U124="파견중",$T124&lt;&gt;""),$T124-TODAY(),"")</f>
        <v/>
      </c>
      <c r="X124" s="17">
        <f>IF(OR($B124="",TRIM($J124&amp;"")=""),"",SUMPRODUCT((입력_파견수련계획!$Q$4:$Q$803=TRIM($J124&amp;""))*입력_파견수련계획!$W$4:$W$803))</f>
        <v/>
      </c>
      <c r="Y124" s="10">
        <f>IF($B124="","",IF($AG124="","",IF(IF(TRIM($J124&amp;"")="",0,SUMPRODUCT((입력_파견수련계획!$Q$4:$Q$803=TRIM($J124&amp;""))*입력_파견수련계획!$AD$4:$AD$803))&gt;0,$AE124,IF(AND(N($X124)&lt;=0,$AQ124=""),$AG124,IF($AH124+$AI124=DAY(EOMONTH(출력_요약!$B$3,0)),IF(AND($AH124&gt;=출력_요약!$E$3,$AI124&lt;출력_요약!$E$3),"서울병원",IF(AND($AI124&gt;=출력_요약!$E$3,$AH124&lt;출력_요약!$E$3),"구리병원","⚠15일 판정불가(서울 "&amp;$AH124&amp;"일/구리 "&amp;$AI124&amp;"일)")),IF($AJ124="",$AE124,IF(INDEX(입력_파견수련계획!$T$4:$T$803,$AJ124)="통합수련",INDEX(입력_파견수련계획!$S$4:$S$803,$AJ124),$AE124)))))))</f>
        <v/>
      </c>
      <c r="Z124" s="20">
        <f>IF($B124="","",IF($AB124="","기본자료에 없는 사번",IF(COUNTIF($B$2:$B$401,$B124)&gt;1,"중복 사번",IF($AE124="","소속(입사장소) 입력",IF(IF(TRIM($J124&amp;"")="",0,SUMPRODUCT((입력_파견수련계획!$Q$4:$Q$803=TRIM($J124&amp;""))*(입력_파견수련계획!$AA$4:$AA$803&lt;&gt;"")))&gt;0,"파견수련계획 입력오류 확인",IF(LEFT($Y124,1)="⚠","서울·구리 15일 판정 불가(양쪽 모두 이상/미만)",IF(IF($AC124="",0,N(INDEX(입력_인턴근무계획!$T$3:$T$402,$AC124)))&gt;0,"인턴계획 입력오류 확인",IF(AND($AQ124&lt;&gt;"",$AG124&lt;&gt;"구리병원",IF(TRIM($J124&amp;"")="",0,SUMPRODUCT((입력_파견수련계획!$Q$4:$Q$803=TRIM($J124&amp;""))*(입력_파견수련계획!$S$4:$S$803="구리병원")*입력_파견수련계획!$W$4:$W$803))=0),"구리 근무자명단에만 있음(파견수련계획 확인)",IF(AND($AC124&lt;&gt;"",$U124&lt;&gt;"파견중",$N124&lt;&gt;$AE124),"인턴 타지역 근무: 파견 여부 확인","정상")))))))))</f>
        <v/>
      </c>
      <c r="AA124" s="5" t="n"/>
      <c r="AB124" s="10">
        <f>IF($B124="","",IFERROR(MATCH($B124,입력_기본자료!$B$2:$B$1001,0),IFERROR(MATCH($B124&amp;"",입력_기본자료!$B$2:$B$1001,0),IFERROR(MATCH(VALUE($B124),입력_기본자료!$B$2:$B$1001,0),""))))</f>
        <v/>
      </c>
      <c r="AC124" s="10">
        <f>IF($B124="","",IFERROR(MATCH($B124,입력_인턴근무계획!$D$3:$D$402,0),IFERROR(MATCH($B124&amp;"",입력_인턴근무계획!$D$3:$D$402,0),IFERROR(MATCH(VALUE($B124),입력_인턴근무계획!$D$3:$D$402,0),""))))</f>
        <v/>
      </c>
      <c r="AD124" s="10">
        <f>IF(OR($AC124="",출력_인턴현황!$G$3=""),"",INDEX(입력_인턴근무계획!$M$3:$R$402,$AC124,출력_인턴현황!$G$3)&amp;"")</f>
        <v/>
      </c>
      <c r="AE124" s="10">
        <f>IF($B124="","",IF($M124&lt;&gt;"",$M124,IF(IF($AQ124="",FALSE,INDEX(출력_구리근무자!$J$6:$J$305,$AQ124)="구리독자"),"구리병원",IF($AF124&lt;&gt;"",IF(LEFT(INDEX(입력_파견수련계획!$R$4:$R$803,$AF124),1)&lt;&gt;"⚠",INDEX(입력_파견수련계획!$R$4:$R$803,$AF124),IF($H124="","",IF(RIGHT($H124,2)="병원",$H124,$H124&amp;"병원"))),IF($H124="","",IF(RIGHT($H124,2)="병원",$H124,$H124&amp;"병원"))))))</f>
        <v/>
      </c>
      <c r="AF124" s="10">
        <f>IF(OR($B124="",TRIM($J124&amp;"")=""),"",IFERROR(MATCH(TRIM($J124&amp;"")&amp;"|파견중",입력_파견수련계획!$Y$4:$Y$803,0),IFERROR(MATCH(TRIM($J124&amp;"")&amp;"|파견예정",입력_파견수련계획!$Y$4:$Y$803,0),IFERROR(MATCH(TRIM($J124&amp;"")&amp;"|파견종료",입력_파견수련계획!$Y$4:$Y$803,0),""))))</f>
        <v/>
      </c>
      <c r="AG124" s="10">
        <f>IF($B124="","",IF(AND(IF(OR($AC124="",출력_인턴현황!$K$2=""),"",INDEX(입력_인턴근무계획!$M$3:$R$402,$AC124,출력_인턴현황!$K$2)&amp;"")&lt;&gt;"",LEFT(IF(OR($AC124="",출력_인턴현황!$K$2=""),"",INDEX(입력_인턴근무계획!$M$3:$R$402,$AC124,출력_인턴현황!$K$2)&amp;""),1)&lt;&gt;"⚠"),LEFT(IF(OR($AC124="",출력_인턴현황!$K$2=""),"",INDEX(입력_인턴근무계획!$M$3:$R$402,$AC124,출력_인턴현황!$K$2)&amp;""),FIND(" ",IF(OR($AC124="",출력_인턴현황!$K$2=""),"",INDEX(입력_인턴근무계획!$M$3:$R$402,$AC124,출력_인턴현황!$K$2)&amp;""))-1),$AE124))</f>
        <v/>
      </c>
      <c r="AH124" s="17">
        <f>IF($B124="","",IF($AQ124&lt;&gt;"",MAX(0,DAY(EOMONTH(출력_요약!$B$3,0))-N($AR124)),IF(TRIM($J124&amp;"")="",0,SUMPRODUCT((입력_파견수련계획!$Q$4:$Q$803=TRIM($J124&amp;""))*(입력_파견수련계획!$S$4:$S$803="서울병원")*입력_파견수련계획!$W$4:$W$803))+IF($AG124="서울병원",MAX(0,DAY(EOMONTH(출력_요약!$B$3,0))-N($X124)),0)))</f>
        <v/>
      </c>
      <c r="AI124" s="17">
        <f>IF($B124="","",IF($AQ124&lt;&gt;"",N($AR124),IF(TRIM($J124&amp;"")="",0,SUMPRODUCT((입력_파견수련계획!$Q$4:$Q$803=TRIM($J124&amp;""))*(입력_파견수련계획!$S$4:$S$803="구리병원")*입력_파견수련계획!$W$4:$W$803))+IF($AG124="구리병원",MAX(0,DAY(EOMONTH(출력_요약!$B$3,0))-N($X124)),0)))</f>
        <v/>
      </c>
      <c r="AJ124" s="10">
        <f>IF(OR($B124="",TRIM($J124&amp;"")=""),"",IFERROR(MATCH(TRIM($J124&amp;"")&amp;"|월",입력_파견수련계획!$Z$4:$Z$803,0),""))</f>
        <v/>
      </c>
      <c r="AK124" s="10">
        <f>IF(OR($B124="",TRIM($J124&amp;"")=""),"",IFERROR(MATCH(TRIM($J124&amp;"")&amp;"|다기관",입력_파견수련계획!$AE$4:$AE$803,0),""))</f>
        <v/>
      </c>
      <c r="AL124" s="10">
        <f>IF($AK124="","","다기관 "&amp;TEXT(INDEX(입력_파견수련계획!$AB$4:$AB$803,$AK124),"yyyy-mm-dd")&amp;"~"&amp;IF(ISNUMBER(INDEX(입력_파견수련계획!$AC$4:$AC$803,$AK124)),TEXT(INDEX(입력_파견수련계획!$AC$4:$AC$803,$AK124),"yyyy-mm-dd"),""))</f>
        <v/>
      </c>
      <c r="AM124" s="10">
        <f>IF($Y124="서울병원",COUNTIF($Y$2:$Y124,"서울병원"),"")</f>
        <v/>
      </c>
      <c r="AN124" s="10">
        <f>IF(LEFT($Y124,1)="⚠",COUNTIF($Y$2:$Y124,"⚠*"),"")</f>
        <v/>
      </c>
      <c r="AO124" s="10">
        <f>IF(OR($B124="",$Y124=""),"",IF(IF(TRIM($J124&amp;"")="",0,SUMPRODUCT((입력_파견수련계획!$Q$4:$Q$803=TRIM($J124&amp;""))*입력_파견수련계획!$AD$4:$AD$803))&gt;0,"다기관 기간 → 소속병원 지급",IF(AND(N($X124)&lt;=0,$AQ124=""),"파견 없음 → 그 달 근무병원 지급",IF($AH124+$AI124=DAY(EOMONTH(출력_요약!$B$3,0)),"서울 "&amp;$AH124&amp;"일 / 구리 "&amp;$AI124&amp;"일"&amp;IF($AQ124&lt;&gt;""," (구리 근무자명단 반영)","")&amp;" → 15일 이상 근무 병원 지급","타 병원 포함 → "&amp;IF($AJ124="","소속",INDEX(입력_파견수련계획!$T$4:$T$803,$AJ124))&amp;" 규칙"))))</f>
        <v/>
      </c>
      <c r="AP124" s="10">
        <f>IF($B124="","",$C124&amp;"|"&amp;$F124)</f>
        <v/>
      </c>
      <c r="AQ124" s="10">
        <f>IF($B124="","",IFERROR(MATCH(ROW()-1,출력_구리근무자!$K$6:$K$305,0),""))</f>
        <v/>
      </c>
      <c r="AR124" s="10">
        <f>IF($AQ124="","",INDEX(출력_구리근무자!$H$6:$H$305,$AQ124))</f>
        <v/>
      </c>
    </row>
    <row r="125">
      <c r="A125" s="10">
        <f>IF(B125="","",ROW()-1)</f>
        <v/>
      </c>
      <c r="B125" s="19" t="n"/>
      <c r="C125" s="10">
        <f>IF($AB125="","",IF(INDEX(입력_기본자료!$C$2:$C$1001,$AB125)="","",INDEX(입력_기본자료!$C$2:$C$1001,$AB125)))</f>
        <v/>
      </c>
      <c r="D125" s="10">
        <f>IF($AB125="","",IF(INDEX(입력_기본자료!$J$2:$J$1001,$AB125)="","",INDEX(입력_기본자료!$J$2:$J$1001,$AB125)))</f>
        <v/>
      </c>
      <c r="E125" s="11">
        <f>IF($AB125="","",IF(INDEX(입력_기본자료!$K$2:$K$1001,$AB125)="","",IF(NOT(ISNUMBER(INDEX(입력_기본자료!$K$2:$K$1001,$AB125))),INDEX(입력_기본자료!$K$2:$K$1001,$AB125),IF(INDEX(입력_기본자료!$K$2:$K$1001,$AB125)&lt;1000000,INDEX(입력_기본자료!$K$2:$K$1001,$AB125),IF(AND(INDEX(입력_기본자료!$K$2:$K$1001,$AB125)&gt;=10000101,INT(MOD(INDEX(입력_기본자료!$K$2:$K$1001,$AB125),10000)/100)&gt;=1,INT(MOD(INDEX(입력_기본자료!$K$2:$K$1001,$AB125),10000)/100)&lt;=12,MOD(INDEX(입력_기본자료!$K$2:$K$1001,$AB125),100)&gt;=1,MOD(INDEX(입력_기본자료!$K$2:$K$1001,$AB125),100)&lt;=31),DATE(INT(INDEX(입력_기본자료!$K$2:$K$1001,$AB125)/10000),INT(MOD(INDEX(입력_기본자료!$K$2:$K$1001,$AB125),10000)/100),MOD(INDEX(입력_기본자료!$K$2:$K$1001,$AB125),100)),INDEX(입력_기본자료!$K$2:$K$1001,$AB125)&amp;"")))))</f>
        <v/>
      </c>
      <c r="F125" s="10">
        <f>IF($AB125="","",IF(INDEX(입력_기본자료!$D$2:$D$1001,$AB125)="","",INDEX(입력_기본자료!$D$2:$D$1001,$AB125)))</f>
        <v/>
      </c>
      <c r="G125" s="10">
        <f>IF($AB125="","",IF(INDEX(입력_기본자료!$E$2:$E$1001,$AB125)="","",INDEX(입력_기본자료!$E$2:$E$1001,$AB125)))</f>
        <v/>
      </c>
      <c r="H125" s="10">
        <f>IF($AB125="","",IF(INDEX(입력_기본자료!$F$2:$F$1001,$AB125)="","",INDEX(입력_기본자료!$F$2:$F$1001,$AB125)))</f>
        <v/>
      </c>
      <c r="I125" s="11">
        <f>IF($AB125="","",IF(INDEX(입력_기본자료!$G$2:$G$1001,$AB125)="","",IF(NOT(ISNUMBER(INDEX(입력_기본자료!$G$2:$G$1001,$AB125))),INDEX(입력_기본자료!$G$2:$G$1001,$AB125),IF(INDEX(입력_기본자료!$G$2:$G$1001,$AB125)&lt;1000000,INDEX(입력_기본자료!$G$2:$G$1001,$AB125),IF(AND(INDEX(입력_기본자료!$G$2:$G$1001,$AB125)&gt;=10000101,INT(MOD(INDEX(입력_기본자료!$G$2:$G$1001,$AB125),10000)/100)&gt;=1,INT(MOD(INDEX(입력_기본자료!$G$2:$G$1001,$AB125),10000)/100)&lt;=12,MOD(INDEX(입력_기본자료!$G$2:$G$1001,$AB125),100)&gt;=1,MOD(INDEX(입력_기본자료!$G$2:$G$1001,$AB125),100)&lt;=31),DATE(INT(INDEX(입력_기본자료!$G$2:$G$1001,$AB125)/10000),INT(MOD(INDEX(입력_기본자료!$G$2:$G$1001,$AB125),10000)/100),MOD(INDEX(입력_기본자료!$G$2:$G$1001,$AB125),100)),INDEX(입력_기본자료!$G$2:$G$1001,$AB125)&amp;"")))))</f>
        <v/>
      </c>
      <c r="J125" s="10">
        <f>IF($AB125="","",IF(INDEX(입력_기본자료!$H$2:$H$1001,$AB125)="","",INDEX(입력_기본자료!$H$2:$H$1001,$AB125)))</f>
        <v/>
      </c>
      <c r="K125" s="10">
        <f>IF($AB125="","",IF(INDEX(입력_기본자료!$I$2:$I$1001,$AB125)="","",INDEX(입력_기본자료!$I$2:$I$1001,$AB125)))</f>
        <v/>
      </c>
      <c r="L125" s="10">
        <f>IF($AB125="","",IF(INDEX(입력_기본자료!$A$2:$A$1001,$AB125)="","",INDEX(입력_기본자료!$A$2:$A$1001,$AB125)))</f>
        <v/>
      </c>
      <c r="M125" s="15" t="n"/>
      <c r="N125" s="10">
        <f>IF($B125="","",IF(AND($U125="파견중",$Q125&lt;&gt;""),$Q125,IF(AND($AD125&lt;&gt;"",LEFT($AD125,1)&lt;&gt;"⚠"),LEFT($AD125,FIND(" ",$AD125)-1),IF($H125="","",IF(RIGHT($H125,2)="병원",$H125,$H125&amp;"병원")))))</f>
        <v/>
      </c>
      <c r="O125" s="10">
        <f>IF($B125="","",IF(AND($U125="파견중",$Q125&lt;&gt;""),IF($R125&lt;&gt;"",$R125,"파견과 미입력"),IF(AND($AD125&lt;&gt;"",LEFT($AD125,1)&lt;&gt;"⚠"),MID($AD125,FIND(" ",$AD125)+1,60),IF($F125="","",IF($F125="인턴","수련교육부(인턴)",$F125)))))</f>
        <v/>
      </c>
      <c r="P125" s="10">
        <f>IF($B125="","",IF($AK125&lt;&gt;"",IF(AND(TODAY()&gt;=INDEX(입력_파견수련계획!$AB$4:$AB$803,$AK125),OR(NOT(ISNUMBER(INDEX(입력_파견수련계획!$AC$4:$AC$803,$AK125))),TODAY()&lt;=INDEX(입력_파견수련계획!$AC$4:$AC$803,$AK125))),"다기관",IF($AF125="","",INDEX(입력_파견수련계획!$T$4:$T$803,$AF125))),IF($AF125="","",INDEX(입력_파견수련계획!$T$4:$T$803,$AF125))))</f>
        <v/>
      </c>
      <c r="Q125" s="10">
        <f>IF($AF125="","",INDEX(입력_파견수련계획!$S$4:$S$803,$AF125))</f>
        <v/>
      </c>
      <c r="R125" s="10">
        <f>IF($AF125="","",INDEX(입력_파견수련계획!$U$4:$U$803,$AF125))</f>
        <v/>
      </c>
      <c r="S125" s="11">
        <f>IF($AF125="","",IF(INDEX(입력_파견수련계획!$H$4:$H$803,$AF125)="","",INDEX(입력_파견수련계획!$H$4:$H$803,$AF125)))</f>
        <v/>
      </c>
      <c r="T125" s="11">
        <f>IF($AF125="","",IF(INDEX(입력_파견수련계획!$I$4:$I$803,$AF125)="","",INDEX(입력_파견수련계획!$I$4:$I$803,$AF125)))</f>
        <v/>
      </c>
      <c r="U125" s="10">
        <f>IF($AF125="","",INDEX(입력_파견수련계획!$X$4:$X$803,$AF125))</f>
        <v/>
      </c>
      <c r="V125" s="17">
        <f>IF($AF125="","",INDEX(입력_파견수련계획!$V$4:$V$803,$AF125))</f>
        <v/>
      </c>
      <c r="W125" s="17">
        <f>IF(AND($U125="파견중",$T125&lt;&gt;""),$T125-TODAY(),"")</f>
        <v/>
      </c>
      <c r="X125" s="17">
        <f>IF(OR($B125="",TRIM($J125&amp;"")=""),"",SUMPRODUCT((입력_파견수련계획!$Q$4:$Q$803=TRIM($J125&amp;""))*입력_파견수련계획!$W$4:$W$803))</f>
        <v/>
      </c>
      <c r="Y125" s="10">
        <f>IF($B125="","",IF($AG125="","",IF(IF(TRIM($J125&amp;"")="",0,SUMPRODUCT((입력_파견수련계획!$Q$4:$Q$803=TRIM($J125&amp;""))*입력_파견수련계획!$AD$4:$AD$803))&gt;0,$AE125,IF(AND(N($X125)&lt;=0,$AQ125=""),$AG125,IF($AH125+$AI125=DAY(EOMONTH(출력_요약!$B$3,0)),IF(AND($AH125&gt;=출력_요약!$E$3,$AI125&lt;출력_요약!$E$3),"서울병원",IF(AND($AI125&gt;=출력_요약!$E$3,$AH125&lt;출력_요약!$E$3),"구리병원","⚠15일 판정불가(서울 "&amp;$AH125&amp;"일/구리 "&amp;$AI125&amp;"일)")),IF($AJ125="",$AE125,IF(INDEX(입력_파견수련계획!$T$4:$T$803,$AJ125)="통합수련",INDEX(입력_파견수련계획!$S$4:$S$803,$AJ125),$AE125)))))))</f>
        <v/>
      </c>
      <c r="Z125" s="20">
        <f>IF($B125="","",IF($AB125="","기본자료에 없는 사번",IF(COUNTIF($B$2:$B$401,$B125)&gt;1,"중복 사번",IF($AE125="","소속(입사장소) 입력",IF(IF(TRIM($J125&amp;"")="",0,SUMPRODUCT((입력_파견수련계획!$Q$4:$Q$803=TRIM($J125&amp;""))*(입력_파견수련계획!$AA$4:$AA$803&lt;&gt;"")))&gt;0,"파견수련계획 입력오류 확인",IF(LEFT($Y125,1)="⚠","서울·구리 15일 판정 불가(양쪽 모두 이상/미만)",IF(IF($AC125="",0,N(INDEX(입력_인턴근무계획!$T$3:$T$402,$AC125)))&gt;0,"인턴계획 입력오류 확인",IF(AND($AQ125&lt;&gt;"",$AG125&lt;&gt;"구리병원",IF(TRIM($J125&amp;"")="",0,SUMPRODUCT((입력_파견수련계획!$Q$4:$Q$803=TRIM($J125&amp;""))*(입력_파견수련계획!$S$4:$S$803="구리병원")*입력_파견수련계획!$W$4:$W$803))=0),"구리 근무자명단에만 있음(파견수련계획 확인)",IF(AND($AC125&lt;&gt;"",$U125&lt;&gt;"파견중",$N125&lt;&gt;$AE125),"인턴 타지역 근무: 파견 여부 확인","정상")))))))))</f>
        <v/>
      </c>
      <c r="AA125" s="5" t="n"/>
      <c r="AB125" s="10">
        <f>IF($B125="","",IFERROR(MATCH($B125,입력_기본자료!$B$2:$B$1001,0),IFERROR(MATCH($B125&amp;"",입력_기본자료!$B$2:$B$1001,0),IFERROR(MATCH(VALUE($B125),입력_기본자료!$B$2:$B$1001,0),""))))</f>
        <v/>
      </c>
      <c r="AC125" s="10">
        <f>IF($B125="","",IFERROR(MATCH($B125,입력_인턴근무계획!$D$3:$D$402,0),IFERROR(MATCH($B125&amp;"",입력_인턴근무계획!$D$3:$D$402,0),IFERROR(MATCH(VALUE($B125),입력_인턴근무계획!$D$3:$D$402,0),""))))</f>
        <v/>
      </c>
      <c r="AD125" s="10">
        <f>IF(OR($AC125="",출력_인턴현황!$G$3=""),"",INDEX(입력_인턴근무계획!$M$3:$R$402,$AC125,출력_인턴현황!$G$3)&amp;"")</f>
        <v/>
      </c>
      <c r="AE125" s="10">
        <f>IF($B125="","",IF($M125&lt;&gt;"",$M125,IF(IF($AQ125="",FALSE,INDEX(출력_구리근무자!$J$6:$J$305,$AQ125)="구리독자"),"구리병원",IF($AF125&lt;&gt;"",IF(LEFT(INDEX(입력_파견수련계획!$R$4:$R$803,$AF125),1)&lt;&gt;"⚠",INDEX(입력_파견수련계획!$R$4:$R$803,$AF125),IF($H125="","",IF(RIGHT($H125,2)="병원",$H125,$H125&amp;"병원"))),IF($H125="","",IF(RIGHT($H125,2)="병원",$H125,$H125&amp;"병원"))))))</f>
        <v/>
      </c>
      <c r="AF125" s="10">
        <f>IF(OR($B125="",TRIM($J125&amp;"")=""),"",IFERROR(MATCH(TRIM($J125&amp;"")&amp;"|파견중",입력_파견수련계획!$Y$4:$Y$803,0),IFERROR(MATCH(TRIM($J125&amp;"")&amp;"|파견예정",입력_파견수련계획!$Y$4:$Y$803,0),IFERROR(MATCH(TRIM($J125&amp;"")&amp;"|파견종료",입력_파견수련계획!$Y$4:$Y$803,0),""))))</f>
        <v/>
      </c>
      <c r="AG125" s="10">
        <f>IF($B125="","",IF(AND(IF(OR($AC125="",출력_인턴현황!$K$2=""),"",INDEX(입력_인턴근무계획!$M$3:$R$402,$AC125,출력_인턴현황!$K$2)&amp;"")&lt;&gt;"",LEFT(IF(OR($AC125="",출력_인턴현황!$K$2=""),"",INDEX(입력_인턴근무계획!$M$3:$R$402,$AC125,출력_인턴현황!$K$2)&amp;""),1)&lt;&gt;"⚠"),LEFT(IF(OR($AC125="",출력_인턴현황!$K$2=""),"",INDEX(입력_인턴근무계획!$M$3:$R$402,$AC125,출력_인턴현황!$K$2)&amp;""),FIND(" ",IF(OR($AC125="",출력_인턴현황!$K$2=""),"",INDEX(입력_인턴근무계획!$M$3:$R$402,$AC125,출력_인턴현황!$K$2)&amp;""))-1),$AE125))</f>
        <v/>
      </c>
      <c r="AH125" s="17">
        <f>IF($B125="","",IF($AQ125&lt;&gt;"",MAX(0,DAY(EOMONTH(출력_요약!$B$3,0))-N($AR125)),IF(TRIM($J125&amp;"")="",0,SUMPRODUCT((입력_파견수련계획!$Q$4:$Q$803=TRIM($J125&amp;""))*(입력_파견수련계획!$S$4:$S$803="서울병원")*입력_파견수련계획!$W$4:$W$803))+IF($AG125="서울병원",MAX(0,DAY(EOMONTH(출력_요약!$B$3,0))-N($X125)),0)))</f>
        <v/>
      </c>
      <c r="AI125" s="17">
        <f>IF($B125="","",IF($AQ125&lt;&gt;"",N($AR125),IF(TRIM($J125&amp;"")="",0,SUMPRODUCT((입력_파견수련계획!$Q$4:$Q$803=TRIM($J125&amp;""))*(입력_파견수련계획!$S$4:$S$803="구리병원")*입력_파견수련계획!$W$4:$W$803))+IF($AG125="구리병원",MAX(0,DAY(EOMONTH(출력_요약!$B$3,0))-N($X125)),0)))</f>
        <v/>
      </c>
      <c r="AJ125" s="10">
        <f>IF(OR($B125="",TRIM($J125&amp;"")=""),"",IFERROR(MATCH(TRIM($J125&amp;"")&amp;"|월",입력_파견수련계획!$Z$4:$Z$803,0),""))</f>
        <v/>
      </c>
      <c r="AK125" s="10">
        <f>IF(OR($B125="",TRIM($J125&amp;"")=""),"",IFERROR(MATCH(TRIM($J125&amp;"")&amp;"|다기관",입력_파견수련계획!$AE$4:$AE$803,0),""))</f>
        <v/>
      </c>
      <c r="AL125" s="10">
        <f>IF($AK125="","","다기관 "&amp;TEXT(INDEX(입력_파견수련계획!$AB$4:$AB$803,$AK125),"yyyy-mm-dd")&amp;"~"&amp;IF(ISNUMBER(INDEX(입력_파견수련계획!$AC$4:$AC$803,$AK125)),TEXT(INDEX(입력_파견수련계획!$AC$4:$AC$803,$AK125),"yyyy-mm-dd"),""))</f>
        <v/>
      </c>
      <c r="AM125" s="10">
        <f>IF($Y125="서울병원",COUNTIF($Y$2:$Y125,"서울병원"),"")</f>
        <v/>
      </c>
      <c r="AN125" s="10">
        <f>IF(LEFT($Y125,1)="⚠",COUNTIF($Y$2:$Y125,"⚠*"),"")</f>
        <v/>
      </c>
      <c r="AO125" s="10">
        <f>IF(OR($B125="",$Y125=""),"",IF(IF(TRIM($J125&amp;"")="",0,SUMPRODUCT((입력_파견수련계획!$Q$4:$Q$803=TRIM($J125&amp;""))*입력_파견수련계획!$AD$4:$AD$803))&gt;0,"다기관 기간 → 소속병원 지급",IF(AND(N($X125)&lt;=0,$AQ125=""),"파견 없음 → 그 달 근무병원 지급",IF($AH125+$AI125=DAY(EOMONTH(출력_요약!$B$3,0)),"서울 "&amp;$AH125&amp;"일 / 구리 "&amp;$AI125&amp;"일"&amp;IF($AQ125&lt;&gt;""," (구리 근무자명단 반영)","")&amp;" → 15일 이상 근무 병원 지급","타 병원 포함 → "&amp;IF($AJ125="","소속",INDEX(입력_파견수련계획!$T$4:$T$803,$AJ125))&amp;" 규칙"))))</f>
        <v/>
      </c>
      <c r="AP125" s="10">
        <f>IF($B125="","",$C125&amp;"|"&amp;$F125)</f>
        <v/>
      </c>
      <c r="AQ125" s="10">
        <f>IF($B125="","",IFERROR(MATCH(ROW()-1,출력_구리근무자!$K$6:$K$305,0),""))</f>
        <v/>
      </c>
      <c r="AR125" s="10">
        <f>IF($AQ125="","",INDEX(출력_구리근무자!$H$6:$H$305,$AQ125))</f>
        <v/>
      </c>
    </row>
    <row r="126">
      <c r="A126" s="10">
        <f>IF(B126="","",ROW()-1)</f>
        <v/>
      </c>
      <c r="B126" s="19" t="n"/>
      <c r="C126" s="10">
        <f>IF($AB126="","",IF(INDEX(입력_기본자료!$C$2:$C$1001,$AB126)="","",INDEX(입력_기본자료!$C$2:$C$1001,$AB126)))</f>
        <v/>
      </c>
      <c r="D126" s="10">
        <f>IF($AB126="","",IF(INDEX(입력_기본자료!$J$2:$J$1001,$AB126)="","",INDEX(입력_기본자료!$J$2:$J$1001,$AB126)))</f>
        <v/>
      </c>
      <c r="E126" s="11">
        <f>IF($AB126="","",IF(INDEX(입력_기본자료!$K$2:$K$1001,$AB126)="","",IF(NOT(ISNUMBER(INDEX(입력_기본자료!$K$2:$K$1001,$AB126))),INDEX(입력_기본자료!$K$2:$K$1001,$AB126),IF(INDEX(입력_기본자료!$K$2:$K$1001,$AB126)&lt;1000000,INDEX(입력_기본자료!$K$2:$K$1001,$AB126),IF(AND(INDEX(입력_기본자료!$K$2:$K$1001,$AB126)&gt;=10000101,INT(MOD(INDEX(입력_기본자료!$K$2:$K$1001,$AB126),10000)/100)&gt;=1,INT(MOD(INDEX(입력_기본자료!$K$2:$K$1001,$AB126),10000)/100)&lt;=12,MOD(INDEX(입력_기본자료!$K$2:$K$1001,$AB126),100)&gt;=1,MOD(INDEX(입력_기본자료!$K$2:$K$1001,$AB126),100)&lt;=31),DATE(INT(INDEX(입력_기본자료!$K$2:$K$1001,$AB126)/10000),INT(MOD(INDEX(입력_기본자료!$K$2:$K$1001,$AB126),10000)/100),MOD(INDEX(입력_기본자료!$K$2:$K$1001,$AB126),100)),INDEX(입력_기본자료!$K$2:$K$1001,$AB126)&amp;"")))))</f>
        <v/>
      </c>
      <c r="F126" s="10">
        <f>IF($AB126="","",IF(INDEX(입력_기본자료!$D$2:$D$1001,$AB126)="","",INDEX(입력_기본자료!$D$2:$D$1001,$AB126)))</f>
        <v/>
      </c>
      <c r="G126" s="10">
        <f>IF($AB126="","",IF(INDEX(입력_기본자료!$E$2:$E$1001,$AB126)="","",INDEX(입력_기본자료!$E$2:$E$1001,$AB126)))</f>
        <v/>
      </c>
      <c r="H126" s="10">
        <f>IF($AB126="","",IF(INDEX(입력_기본자료!$F$2:$F$1001,$AB126)="","",INDEX(입력_기본자료!$F$2:$F$1001,$AB126)))</f>
        <v/>
      </c>
      <c r="I126" s="11">
        <f>IF($AB126="","",IF(INDEX(입력_기본자료!$G$2:$G$1001,$AB126)="","",IF(NOT(ISNUMBER(INDEX(입력_기본자료!$G$2:$G$1001,$AB126))),INDEX(입력_기본자료!$G$2:$G$1001,$AB126),IF(INDEX(입력_기본자료!$G$2:$G$1001,$AB126)&lt;1000000,INDEX(입력_기본자료!$G$2:$G$1001,$AB126),IF(AND(INDEX(입력_기본자료!$G$2:$G$1001,$AB126)&gt;=10000101,INT(MOD(INDEX(입력_기본자료!$G$2:$G$1001,$AB126),10000)/100)&gt;=1,INT(MOD(INDEX(입력_기본자료!$G$2:$G$1001,$AB126),10000)/100)&lt;=12,MOD(INDEX(입력_기본자료!$G$2:$G$1001,$AB126),100)&gt;=1,MOD(INDEX(입력_기본자료!$G$2:$G$1001,$AB126),100)&lt;=31),DATE(INT(INDEX(입력_기본자료!$G$2:$G$1001,$AB126)/10000),INT(MOD(INDEX(입력_기본자료!$G$2:$G$1001,$AB126),10000)/100),MOD(INDEX(입력_기본자료!$G$2:$G$1001,$AB126),100)),INDEX(입력_기본자료!$G$2:$G$1001,$AB126)&amp;"")))))</f>
        <v/>
      </c>
      <c r="J126" s="10">
        <f>IF($AB126="","",IF(INDEX(입력_기본자료!$H$2:$H$1001,$AB126)="","",INDEX(입력_기본자료!$H$2:$H$1001,$AB126)))</f>
        <v/>
      </c>
      <c r="K126" s="10">
        <f>IF($AB126="","",IF(INDEX(입력_기본자료!$I$2:$I$1001,$AB126)="","",INDEX(입력_기본자료!$I$2:$I$1001,$AB126)))</f>
        <v/>
      </c>
      <c r="L126" s="10">
        <f>IF($AB126="","",IF(INDEX(입력_기본자료!$A$2:$A$1001,$AB126)="","",INDEX(입력_기본자료!$A$2:$A$1001,$AB126)))</f>
        <v/>
      </c>
      <c r="M126" s="15" t="n"/>
      <c r="N126" s="10">
        <f>IF($B126="","",IF(AND($U126="파견중",$Q126&lt;&gt;""),$Q126,IF(AND($AD126&lt;&gt;"",LEFT($AD126,1)&lt;&gt;"⚠"),LEFT($AD126,FIND(" ",$AD126)-1),IF($H126="","",IF(RIGHT($H126,2)="병원",$H126,$H126&amp;"병원")))))</f>
        <v/>
      </c>
      <c r="O126" s="10">
        <f>IF($B126="","",IF(AND($U126="파견중",$Q126&lt;&gt;""),IF($R126&lt;&gt;"",$R126,"파견과 미입력"),IF(AND($AD126&lt;&gt;"",LEFT($AD126,1)&lt;&gt;"⚠"),MID($AD126,FIND(" ",$AD126)+1,60),IF($F126="","",IF($F126="인턴","수련교육부(인턴)",$F126)))))</f>
        <v/>
      </c>
      <c r="P126" s="10">
        <f>IF($B126="","",IF($AK126&lt;&gt;"",IF(AND(TODAY()&gt;=INDEX(입력_파견수련계획!$AB$4:$AB$803,$AK126),OR(NOT(ISNUMBER(INDEX(입력_파견수련계획!$AC$4:$AC$803,$AK126))),TODAY()&lt;=INDEX(입력_파견수련계획!$AC$4:$AC$803,$AK126))),"다기관",IF($AF126="","",INDEX(입력_파견수련계획!$T$4:$T$803,$AF126))),IF($AF126="","",INDEX(입력_파견수련계획!$T$4:$T$803,$AF126))))</f>
        <v/>
      </c>
      <c r="Q126" s="10">
        <f>IF($AF126="","",INDEX(입력_파견수련계획!$S$4:$S$803,$AF126))</f>
        <v/>
      </c>
      <c r="R126" s="10">
        <f>IF($AF126="","",INDEX(입력_파견수련계획!$U$4:$U$803,$AF126))</f>
        <v/>
      </c>
      <c r="S126" s="11">
        <f>IF($AF126="","",IF(INDEX(입력_파견수련계획!$H$4:$H$803,$AF126)="","",INDEX(입력_파견수련계획!$H$4:$H$803,$AF126)))</f>
        <v/>
      </c>
      <c r="T126" s="11">
        <f>IF($AF126="","",IF(INDEX(입력_파견수련계획!$I$4:$I$803,$AF126)="","",INDEX(입력_파견수련계획!$I$4:$I$803,$AF126)))</f>
        <v/>
      </c>
      <c r="U126" s="10">
        <f>IF($AF126="","",INDEX(입력_파견수련계획!$X$4:$X$803,$AF126))</f>
        <v/>
      </c>
      <c r="V126" s="17">
        <f>IF($AF126="","",INDEX(입력_파견수련계획!$V$4:$V$803,$AF126))</f>
        <v/>
      </c>
      <c r="W126" s="17">
        <f>IF(AND($U126="파견중",$T126&lt;&gt;""),$T126-TODAY(),"")</f>
        <v/>
      </c>
      <c r="X126" s="17">
        <f>IF(OR($B126="",TRIM($J126&amp;"")=""),"",SUMPRODUCT((입력_파견수련계획!$Q$4:$Q$803=TRIM($J126&amp;""))*입력_파견수련계획!$W$4:$W$803))</f>
        <v/>
      </c>
      <c r="Y126" s="10">
        <f>IF($B126="","",IF($AG126="","",IF(IF(TRIM($J126&amp;"")="",0,SUMPRODUCT((입력_파견수련계획!$Q$4:$Q$803=TRIM($J126&amp;""))*입력_파견수련계획!$AD$4:$AD$803))&gt;0,$AE126,IF(AND(N($X126)&lt;=0,$AQ126=""),$AG126,IF($AH126+$AI126=DAY(EOMONTH(출력_요약!$B$3,0)),IF(AND($AH126&gt;=출력_요약!$E$3,$AI126&lt;출력_요약!$E$3),"서울병원",IF(AND($AI126&gt;=출력_요약!$E$3,$AH126&lt;출력_요약!$E$3),"구리병원","⚠15일 판정불가(서울 "&amp;$AH126&amp;"일/구리 "&amp;$AI126&amp;"일)")),IF($AJ126="",$AE126,IF(INDEX(입력_파견수련계획!$T$4:$T$803,$AJ126)="통합수련",INDEX(입력_파견수련계획!$S$4:$S$803,$AJ126),$AE126)))))))</f>
        <v/>
      </c>
      <c r="Z126" s="20">
        <f>IF($B126="","",IF($AB126="","기본자료에 없는 사번",IF(COUNTIF($B$2:$B$401,$B126)&gt;1,"중복 사번",IF($AE126="","소속(입사장소) 입력",IF(IF(TRIM($J126&amp;"")="",0,SUMPRODUCT((입력_파견수련계획!$Q$4:$Q$803=TRIM($J126&amp;""))*(입력_파견수련계획!$AA$4:$AA$803&lt;&gt;"")))&gt;0,"파견수련계획 입력오류 확인",IF(LEFT($Y126,1)="⚠","서울·구리 15일 판정 불가(양쪽 모두 이상/미만)",IF(IF($AC126="",0,N(INDEX(입력_인턴근무계획!$T$3:$T$402,$AC126)))&gt;0,"인턴계획 입력오류 확인",IF(AND($AQ126&lt;&gt;"",$AG126&lt;&gt;"구리병원",IF(TRIM($J126&amp;"")="",0,SUMPRODUCT((입력_파견수련계획!$Q$4:$Q$803=TRIM($J126&amp;""))*(입력_파견수련계획!$S$4:$S$803="구리병원")*입력_파견수련계획!$W$4:$W$803))=0),"구리 근무자명단에만 있음(파견수련계획 확인)",IF(AND($AC126&lt;&gt;"",$U126&lt;&gt;"파견중",$N126&lt;&gt;$AE126),"인턴 타지역 근무: 파견 여부 확인","정상")))))))))</f>
        <v/>
      </c>
      <c r="AA126" s="5" t="n"/>
      <c r="AB126" s="10">
        <f>IF($B126="","",IFERROR(MATCH($B126,입력_기본자료!$B$2:$B$1001,0),IFERROR(MATCH($B126&amp;"",입력_기본자료!$B$2:$B$1001,0),IFERROR(MATCH(VALUE($B126),입력_기본자료!$B$2:$B$1001,0),""))))</f>
        <v/>
      </c>
      <c r="AC126" s="10">
        <f>IF($B126="","",IFERROR(MATCH($B126,입력_인턴근무계획!$D$3:$D$402,0),IFERROR(MATCH($B126&amp;"",입력_인턴근무계획!$D$3:$D$402,0),IFERROR(MATCH(VALUE($B126),입력_인턴근무계획!$D$3:$D$402,0),""))))</f>
        <v/>
      </c>
      <c r="AD126" s="10">
        <f>IF(OR($AC126="",출력_인턴현황!$G$3=""),"",INDEX(입력_인턴근무계획!$M$3:$R$402,$AC126,출력_인턴현황!$G$3)&amp;"")</f>
        <v/>
      </c>
      <c r="AE126" s="10">
        <f>IF($B126="","",IF($M126&lt;&gt;"",$M126,IF(IF($AQ126="",FALSE,INDEX(출력_구리근무자!$J$6:$J$305,$AQ126)="구리독자"),"구리병원",IF($AF126&lt;&gt;"",IF(LEFT(INDEX(입력_파견수련계획!$R$4:$R$803,$AF126),1)&lt;&gt;"⚠",INDEX(입력_파견수련계획!$R$4:$R$803,$AF126),IF($H126="","",IF(RIGHT($H126,2)="병원",$H126,$H126&amp;"병원"))),IF($H126="","",IF(RIGHT($H126,2)="병원",$H126,$H126&amp;"병원"))))))</f>
        <v/>
      </c>
      <c r="AF126" s="10">
        <f>IF(OR($B126="",TRIM($J126&amp;"")=""),"",IFERROR(MATCH(TRIM($J126&amp;"")&amp;"|파견중",입력_파견수련계획!$Y$4:$Y$803,0),IFERROR(MATCH(TRIM($J126&amp;"")&amp;"|파견예정",입력_파견수련계획!$Y$4:$Y$803,0),IFERROR(MATCH(TRIM($J126&amp;"")&amp;"|파견종료",입력_파견수련계획!$Y$4:$Y$803,0),""))))</f>
        <v/>
      </c>
      <c r="AG126" s="10">
        <f>IF($B126="","",IF(AND(IF(OR($AC126="",출력_인턴현황!$K$2=""),"",INDEX(입력_인턴근무계획!$M$3:$R$402,$AC126,출력_인턴현황!$K$2)&amp;"")&lt;&gt;"",LEFT(IF(OR($AC126="",출력_인턴현황!$K$2=""),"",INDEX(입력_인턴근무계획!$M$3:$R$402,$AC126,출력_인턴현황!$K$2)&amp;""),1)&lt;&gt;"⚠"),LEFT(IF(OR($AC126="",출력_인턴현황!$K$2=""),"",INDEX(입력_인턴근무계획!$M$3:$R$402,$AC126,출력_인턴현황!$K$2)&amp;""),FIND(" ",IF(OR($AC126="",출력_인턴현황!$K$2=""),"",INDEX(입력_인턴근무계획!$M$3:$R$402,$AC126,출력_인턴현황!$K$2)&amp;""))-1),$AE126))</f>
        <v/>
      </c>
      <c r="AH126" s="17">
        <f>IF($B126="","",IF($AQ126&lt;&gt;"",MAX(0,DAY(EOMONTH(출력_요약!$B$3,0))-N($AR126)),IF(TRIM($J126&amp;"")="",0,SUMPRODUCT((입력_파견수련계획!$Q$4:$Q$803=TRIM($J126&amp;""))*(입력_파견수련계획!$S$4:$S$803="서울병원")*입력_파견수련계획!$W$4:$W$803))+IF($AG126="서울병원",MAX(0,DAY(EOMONTH(출력_요약!$B$3,0))-N($X126)),0)))</f>
        <v/>
      </c>
      <c r="AI126" s="17">
        <f>IF($B126="","",IF($AQ126&lt;&gt;"",N($AR126),IF(TRIM($J126&amp;"")="",0,SUMPRODUCT((입력_파견수련계획!$Q$4:$Q$803=TRIM($J126&amp;""))*(입력_파견수련계획!$S$4:$S$803="구리병원")*입력_파견수련계획!$W$4:$W$803))+IF($AG126="구리병원",MAX(0,DAY(EOMONTH(출력_요약!$B$3,0))-N($X126)),0)))</f>
        <v/>
      </c>
      <c r="AJ126" s="10">
        <f>IF(OR($B126="",TRIM($J126&amp;"")=""),"",IFERROR(MATCH(TRIM($J126&amp;"")&amp;"|월",입력_파견수련계획!$Z$4:$Z$803,0),""))</f>
        <v/>
      </c>
      <c r="AK126" s="10">
        <f>IF(OR($B126="",TRIM($J126&amp;"")=""),"",IFERROR(MATCH(TRIM($J126&amp;"")&amp;"|다기관",입력_파견수련계획!$AE$4:$AE$803,0),""))</f>
        <v/>
      </c>
      <c r="AL126" s="10">
        <f>IF($AK126="","","다기관 "&amp;TEXT(INDEX(입력_파견수련계획!$AB$4:$AB$803,$AK126),"yyyy-mm-dd")&amp;"~"&amp;IF(ISNUMBER(INDEX(입력_파견수련계획!$AC$4:$AC$803,$AK126)),TEXT(INDEX(입력_파견수련계획!$AC$4:$AC$803,$AK126),"yyyy-mm-dd"),""))</f>
        <v/>
      </c>
      <c r="AM126" s="10">
        <f>IF($Y126="서울병원",COUNTIF($Y$2:$Y126,"서울병원"),"")</f>
        <v/>
      </c>
      <c r="AN126" s="10">
        <f>IF(LEFT($Y126,1)="⚠",COUNTIF($Y$2:$Y126,"⚠*"),"")</f>
        <v/>
      </c>
      <c r="AO126" s="10">
        <f>IF(OR($B126="",$Y126=""),"",IF(IF(TRIM($J126&amp;"")="",0,SUMPRODUCT((입력_파견수련계획!$Q$4:$Q$803=TRIM($J126&amp;""))*입력_파견수련계획!$AD$4:$AD$803))&gt;0,"다기관 기간 → 소속병원 지급",IF(AND(N($X126)&lt;=0,$AQ126=""),"파견 없음 → 그 달 근무병원 지급",IF($AH126+$AI126=DAY(EOMONTH(출력_요약!$B$3,0)),"서울 "&amp;$AH126&amp;"일 / 구리 "&amp;$AI126&amp;"일"&amp;IF($AQ126&lt;&gt;""," (구리 근무자명단 반영)","")&amp;" → 15일 이상 근무 병원 지급","타 병원 포함 → "&amp;IF($AJ126="","소속",INDEX(입력_파견수련계획!$T$4:$T$803,$AJ126))&amp;" 규칙"))))</f>
        <v/>
      </c>
      <c r="AP126" s="10">
        <f>IF($B126="","",$C126&amp;"|"&amp;$F126)</f>
        <v/>
      </c>
      <c r="AQ126" s="10">
        <f>IF($B126="","",IFERROR(MATCH(ROW()-1,출력_구리근무자!$K$6:$K$305,0),""))</f>
        <v/>
      </c>
      <c r="AR126" s="10">
        <f>IF($AQ126="","",INDEX(출력_구리근무자!$H$6:$H$305,$AQ126))</f>
        <v/>
      </c>
    </row>
    <row r="127">
      <c r="A127" s="10">
        <f>IF(B127="","",ROW()-1)</f>
        <v/>
      </c>
      <c r="B127" s="19" t="n"/>
      <c r="C127" s="10">
        <f>IF($AB127="","",IF(INDEX(입력_기본자료!$C$2:$C$1001,$AB127)="","",INDEX(입력_기본자료!$C$2:$C$1001,$AB127)))</f>
        <v/>
      </c>
      <c r="D127" s="10">
        <f>IF($AB127="","",IF(INDEX(입력_기본자료!$J$2:$J$1001,$AB127)="","",INDEX(입력_기본자료!$J$2:$J$1001,$AB127)))</f>
        <v/>
      </c>
      <c r="E127" s="11">
        <f>IF($AB127="","",IF(INDEX(입력_기본자료!$K$2:$K$1001,$AB127)="","",IF(NOT(ISNUMBER(INDEX(입력_기본자료!$K$2:$K$1001,$AB127))),INDEX(입력_기본자료!$K$2:$K$1001,$AB127),IF(INDEX(입력_기본자료!$K$2:$K$1001,$AB127)&lt;1000000,INDEX(입력_기본자료!$K$2:$K$1001,$AB127),IF(AND(INDEX(입력_기본자료!$K$2:$K$1001,$AB127)&gt;=10000101,INT(MOD(INDEX(입력_기본자료!$K$2:$K$1001,$AB127),10000)/100)&gt;=1,INT(MOD(INDEX(입력_기본자료!$K$2:$K$1001,$AB127),10000)/100)&lt;=12,MOD(INDEX(입력_기본자료!$K$2:$K$1001,$AB127),100)&gt;=1,MOD(INDEX(입력_기본자료!$K$2:$K$1001,$AB127),100)&lt;=31),DATE(INT(INDEX(입력_기본자료!$K$2:$K$1001,$AB127)/10000),INT(MOD(INDEX(입력_기본자료!$K$2:$K$1001,$AB127),10000)/100),MOD(INDEX(입력_기본자료!$K$2:$K$1001,$AB127),100)),INDEX(입력_기본자료!$K$2:$K$1001,$AB127)&amp;"")))))</f>
        <v/>
      </c>
      <c r="F127" s="10">
        <f>IF($AB127="","",IF(INDEX(입력_기본자료!$D$2:$D$1001,$AB127)="","",INDEX(입력_기본자료!$D$2:$D$1001,$AB127)))</f>
        <v/>
      </c>
      <c r="G127" s="10">
        <f>IF($AB127="","",IF(INDEX(입력_기본자료!$E$2:$E$1001,$AB127)="","",INDEX(입력_기본자료!$E$2:$E$1001,$AB127)))</f>
        <v/>
      </c>
      <c r="H127" s="10">
        <f>IF($AB127="","",IF(INDEX(입력_기본자료!$F$2:$F$1001,$AB127)="","",INDEX(입력_기본자료!$F$2:$F$1001,$AB127)))</f>
        <v/>
      </c>
      <c r="I127" s="11">
        <f>IF($AB127="","",IF(INDEX(입력_기본자료!$G$2:$G$1001,$AB127)="","",IF(NOT(ISNUMBER(INDEX(입력_기본자료!$G$2:$G$1001,$AB127))),INDEX(입력_기본자료!$G$2:$G$1001,$AB127),IF(INDEX(입력_기본자료!$G$2:$G$1001,$AB127)&lt;1000000,INDEX(입력_기본자료!$G$2:$G$1001,$AB127),IF(AND(INDEX(입력_기본자료!$G$2:$G$1001,$AB127)&gt;=10000101,INT(MOD(INDEX(입력_기본자료!$G$2:$G$1001,$AB127),10000)/100)&gt;=1,INT(MOD(INDEX(입력_기본자료!$G$2:$G$1001,$AB127),10000)/100)&lt;=12,MOD(INDEX(입력_기본자료!$G$2:$G$1001,$AB127),100)&gt;=1,MOD(INDEX(입력_기본자료!$G$2:$G$1001,$AB127),100)&lt;=31),DATE(INT(INDEX(입력_기본자료!$G$2:$G$1001,$AB127)/10000),INT(MOD(INDEX(입력_기본자료!$G$2:$G$1001,$AB127),10000)/100),MOD(INDEX(입력_기본자료!$G$2:$G$1001,$AB127),100)),INDEX(입력_기본자료!$G$2:$G$1001,$AB127)&amp;"")))))</f>
        <v/>
      </c>
      <c r="J127" s="10">
        <f>IF($AB127="","",IF(INDEX(입력_기본자료!$H$2:$H$1001,$AB127)="","",INDEX(입력_기본자료!$H$2:$H$1001,$AB127)))</f>
        <v/>
      </c>
      <c r="K127" s="10">
        <f>IF($AB127="","",IF(INDEX(입력_기본자료!$I$2:$I$1001,$AB127)="","",INDEX(입력_기본자료!$I$2:$I$1001,$AB127)))</f>
        <v/>
      </c>
      <c r="L127" s="10">
        <f>IF($AB127="","",IF(INDEX(입력_기본자료!$A$2:$A$1001,$AB127)="","",INDEX(입력_기본자료!$A$2:$A$1001,$AB127)))</f>
        <v/>
      </c>
      <c r="M127" s="15" t="n"/>
      <c r="N127" s="10">
        <f>IF($B127="","",IF(AND($U127="파견중",$Q127&lt;&gt;""),$Q127,IF(AND($AD127&lt;&gt;"",LEFT($AD127,1)&lt;&gt;"⚠"),LEFT($AD127,FIND(" ",$AD127)-1),IF($H127="","",IF(RIGHT($H127,2)="병원",$H127,$H127&amp;"병원")))))</f>
        <v/>
      </c>
      <c r="O127" s="10">
        <f>IF($B127="","",IF(AND($U127="파견중",$Q127&lt;&gt;""),IF($R127&lt;&gt;"",$R127,"파견과 미입력"),IF(AND($AD127&lt;&gt;"",LEFT($AD127,1)&lt;&gt;"⚠"),MID($AD127,FIND(" ",$AD127)+1,60),IF($F127="","",IF($F127="인턴","수련교육부(인턴)",$F127)))))</f>
        <v/>
      </c>
      <c r="P127" s="10">
        <f>IF($B127="","",IF($AK127&lt;&gt;"",IF(AND(TODAY()&gt;=INDEX(입력_파견수련계획!$AB$4:$AB$803,$AK127),OR(NOT(ISNUMBER(INDEX(입력_파견수련계획!$AC$4:$AC$803,$AK127))),TODAY()&lt;=INDEX(입력_파견수련계획!$AC$4:$AC$803,$AK127))),"다기관",IF($AF127="","",INDEX(입력_파견수련계획!$T$4:$T$803,$AF127))),IF($AF127="","",INDEX(입력_파견수련계획!$T$4:$T$803,$AF127))))</f>
        <v/>
      </c>
      <c r="Q127" s="10">
        <f>IF($AF127="","",INDEX(입력_파견수련계획!$S$4:$S$803,$AF127))</f>
        <v/>
      </c>
      <c r="R127" s="10">
        <f>IF($AF127="","",INDEX(입력_파견수련계획!$U$4:$U$803,$AF127))</f>
        <v/>
      </c>
      <c r="S127" s="11">
        <f>IF($AF127="","",IF(INDEX(입력_파견수련계획!$H$4:$H$803,$AF127)="","",INDEX(입력_파견수련계획!$H$4:$H$803,$AF127)))</f>
        <v/>
      </c>
      <c r="T127" s="11">
        <f>IF($AF127="","",IF(INDEX(입력_파견수련계획!$I$4:$I$803,$AF127)="","",INDEX(입력_파견수련계획!$I$4:$I$803,$AF127)))</f>
        <v/>
      </c>
      <c r="U127" s="10">
        <f>IF($AF127="","",INDEX(입력_파견수련계획!$X$4:$X$803,$AF127))</f>
        <v/>
      </c>
      <c r="V127" s="17">
        <f>IF($AF127="","",INDEX(입력_파견수련계획!$V$4:$V$803,$AF127))</f>
        <v/>
      </c>
      <c r="W127" s="17">
        <f>IF(AND($U127="파견중",$T127&lt;&gt;""),$T127-TODAY(),"")</f>
        <v/>
      </c>
      <c r="X127" s="17">
        <f>IF(OR($B127="",TRIM($J127&amp;"")=""),"",SUMPRODUCT((입력_파견수련계획!$Q$4:$Q$803=TRIM($J127&amp;""))*입력_파견수련계획!$W$4:$W$803))</f>
        <v/>
      </c>
      <c r="Y127" s="10">
        <f>IF($B127="","",IF($AG127="","",IF(IF(TRIM($J127&amp;"")="",0,SUMPRODUCT((입력_파견수련계획!$Q$4:$Q$803=TRIM($J127&amp;""))*입력_파견수련계획!$AD$4:$AD$803))&gt;0,$AE127,IF(AND(N($X127)&lt;=0,$AQ127=""),$AG127,IF($AH127+$AI127=DAY(EOMONTH(출력_요약!$B$3,0)),IF(AND($AH127&gt;=출력_요약!$E$3,$AI127&lt;출력_요약!$E$3),"서울병원",IF(AND($AI127&gt;=출력_요약!$E$3,$AH127&lt;출력_요약!$E$3),"구리병원","⚠15일 판정불가(서울 "&amp;$AH127&amp;"일/구리 "&amp;$AI127&amp;"일)")),IF($AJ127="",$AE127,IF(INDEX(입력_파견수련계획!$T$4:$T$803,$AJ127)="통합수련",INDEX(입력_파견수련계획!$S$4:$S$803,$AJ127),$AE127)))))))</f>
        <v/>
      </c>
      <c r="Z127" s="20">
        <f>IF($B127="","",IF($AB127="","기본자료에 없는 사번",IF(COUNTIF($B$2:$B$401,$B127)&gt;1,"중복 사번",IF($AE127="","소속(입사장소) 입력",IF(IF(TRIM($J127&amp;"")="",0,SUMPRODUCT((입력_파견수련계획!$Q$4:$Q$803=TRIM($J127&amp;""))*(입력_파견수련계획!$AA$4:$AA$803&lt;&gt;"")))&gt;0,"파견수련계획 입력오류 확인",IF(LEFT($Y127,1)="⚠","서울·구리 15일 판정 불가(양쪽 모두 이상/미만)",IF(IF($AC127="",0,N(INDEX(입력_인턴근무계획!$T$3:$T$402,$AC127)))&gt;0,"인턴계획 입력오류 확인",IF(AND($AQ127&lt;&gt;"",$AG127&lt;&gt;"구리병원",IF(TRIM($J127&amp;"")="",0,SUMPRODUCT((입력_파견수련계획!$Q$4:$Q$803=TRIM($J127&amp;""))*(입력_파견수련계획!$S$4:$S$803="구리병원")*입력_파견수련계획!$W$4:$W$803))=0),"구리 근무자명단에만 있음(파견수련계획 확인)",IF(AND($AC127&lt;&gt;"",$U127&lt;&gt;"파견중",$N127&lt;&gt;$AE127),"인턴 타지역 근무: 파견 여부 확인","정상")))))))))</f>
        <v/>
      </c>
      <c r="AA127" s="5" t="n"/>
      <c r="AB127" s="10">
        <f>IF($B127="","",IFERROR(MATCH($B127,입력_기본자료!$B$2:$B$1001,0),IFERROR(MATCH($B127&amp;"",입력_기본자료!$B$2:$B$1001,0),IFERROR(MATCH(VALUE($B127),입력_기본자료!$B$2:$B$1001,0),""))))</f>
        <v/>
      </c>
      <c r="AC127" s="10">
        <f>IF($B127="","",IFERROR(MATCH($B127,입력_인턴근무계획!$D$3:$D$402,0),IFERROR(MATCH($B127&amp;"",입력_인턴근무계획!$D$3:$D$402,0),IFERROR(MATCH(VALUE($B127),입력_인턴근무계획!$D$3:$D$402,0),""))))</f>
        <v/>
      </c>
      <c r="AD127" s="10">
        <f>IF(OR($AC127="",출력_인턴현황!$G$3=""),"",INDEX(입력_인턴근무계획!$M$3:$R$402,$AC127,출력_인턴현황!$G$3)&amp;"")</f>
        <v/>
      </c>
      <c r="AE127" s="10">
        <f>IF($B127="","",IF($M127&lt;&gt;"",$M127,IF(IF($AQ127="",FALSE,INDEX(출력_구리근무자!$J$6:$J$305,$AQ127)="구리독자"),"구리병원",IF($AF127&lt;&gt;"",IF(LEFT(INDEX(입력_파견수련계획!$R$4:$R$803,$AF127),1)&lt;&gt;"⚠",INDEX(입력_파견수련계획!$R$4:$R$803,$AF127),IF($H127="","",IF(RIGHT($H127,2)="병원",$H127,$H127&amp;"병원"))),IF($H127="","",IF(RIGHT($H127,2)="병원",$H127,$H127&amp;"병원"))))))</f>
        <v/>
      </c>
      <c r="AF127" s="10">
        <f>IF(OR($B127="",TRIM($J127&amp;"")=""),"",IFERROR(MATCH(TRIM($J127&amp;"")&amp;"|파견중",입력_파견수련계획!$Y$4:$Y$803,0),IFERROR(MATCH(TRIM($J127&amp;"")&amp;"|파견예정",입력_파견수련계획!$Y$4:$Y$803,0),IFERROR(MATCH(TRIM($J127&amp;"")&amp;"|파견종료",입력_파견수련계획!$Y$4:$Y$803,0),""))))</f>
        <v/>
      </c>
      <c r="AG127" s="10">
        <f>IF($B127="","",IF(AND(IF(OR($AC127="",출력_인턴현황!$K$2=""),"",INDEX(입력_인턴근무계획!$M$3:$R$402,$AC127,출력_인턴현황!$K$2)&amp;"")&lt;&gt;"",LEFT(IF(OR($AC127="",출력_인턴현황!$K$2=""),"",INDEX(입력_인턴근무계획!$M$3:$R$402,$AC127,출력_인턴현황!$K$2)&amp;""),1)&lt;&gt;"⚠"),LEFT(IF(OR($AC127="",출력_인턴현황!$K$2=""),"",INDEX(입력_인턴근무계획!$M$3:$R$402,$AC127,출력_인턴현황!$K$2)&amp;""),FIND(" ",IF(OR($AC127="",출력_인턴현황!$K$2=""),"",INDEX(입력_인턴근무계획!$M$3:$R$402,$AC127,출력_인턴현황!$K$2)&amp;""))-1),$AE127))</f>
        <v/>
      </c>
      <c r="AH127" s="17">
        <f>IF($B127="","",IF($AQ127&lt;&gt;"",MAX(0,DAY(EOMONTH(출력_요약!$B$3,0))-N($AR127)),IF(TRIM($J127&amp;"")="",0,SUMPRODUCT((입력_파견수련계획!$Q$4:$Q$803=TRIM($J127&amp;""))*(입력_파견수련계획!$S$4:$S$803="서울병원")*입력_파견수련계획!$W$4:$W$803))+IF($AG127="서울병원",MAX(0,DAY(EOMONTH(출력_요약!$B$3,0))-N($X127)),0)))</f>
        <v/>
      </c>
      <c r="AI127" s="17">
        <f>IF($B127="","",IF($AQ127&lt;&gt;"",N($AR127),IF(TRIM($J127&amp;"")="",0,SUMPRODUCT((입력_파견수련계획!$Q$4:$Q$803=TRIM($J127&amp;""))*(입력_파견수련계획!$S$4:$S$803="구리병원")*입력_파견수련계획!$W$4:$W$803))+IF($AG127="구리병원",MAX(0,DAY(EOMONTH(출력_요약!$B$3,0))-N($X127)),0)))</f>
        <v/>
      </c>
      <c r="AJ127" s="10">
        <f>IF(OR($B127="",TRIM($J127&amp;"")=""),"",IFERROR(MATCH(TRIM($J127&amp;"")&amp;"|월",입력_파견수련계획!$Z$4:$Z$803,0),""))</f>
        <v/>
      </c>
      <c r="AK127" s="10">
        <f>IF(OR($B127="",TRIM($J127&amp;"")=""),"",IFERROR(MATCH(TRIM($J127&amp;"")&amp;"|다기관",입력_파견수련계획!$AE$4:$AE$803,0),""))</f>
        <v/>
      </c>
      <c r="AL127" s="10">
        <f>IF($AK127="","","다기관 "&amp;TEXT(INDEX(입력_파견수련계획!$AB$4:$AB$803,$AK127),"yyyy-mm-dd")&amp;"~"&amp;IF(ISNUMBER(INDEX(입력_파견수련계획!$AC$4:$AC$803,$AK127)),TEXT(INDEX(입력_파견수련계획!$AC$4:$AC$803,$AK127),"yyyy-mm-dd"),""))</f>
        <v/>
      </c>
      <c r="AM127" s="10">
        <f>IF($Y127="서울병원",COUNTIF($Y$2:$Y127,"서울병원"),"")</f>
        <v/>
      </c>
      <c r="AN127" s="10">
        <f>IF(LEFT($Y127,1)="⚠",COUNTIF($Y$2:$Y127,"⚠*"),"")</f>
        <v/>
      </c>
      <c r="AO127" s="10">
        <f>IF(OR($B127="",$Y127=""),"",IF(IF(TRIM($J127&amp;"")="",0,SUMPRODUCT((입력_파견수련계획!$Q$4:$Q$803=TRIM($J127&amp;""))*입력_파견수련계획!$AD$4:$AD$803))&gt;0,"다기관 기간 → 소속병원 지급",IF(AND(N($X127)&lt;=0,$AQ127=""),"파견 없음 → 그 달 근무병원 지급",IF($AH127+$AI127=DAY(EOMONTH(출력_요약!$B$3,0)),"서울 "&amp;$AH127&amp;"일 / 구리 "&amp;$AI127&amp;"일"&amp;IF($AQ127&lt;&gt;""," (구리 근무자명단 반영)","")&amp;" → 15일 이상 근무 병원 지급","타 병원 포함 → "&amp;IF($AJ127="","소속",INDEX(입력_파견수련계획!$T$4:$T$803,$AJ127))&amp;" 규칙"))))</f>
        <v/>
      </c>
      <c r="AP127" s="10">
        <f>IF($B127="","",$C127&amp;"|"&amp;$F127)</f>
        <v/>
      </c>
      <c r="AQ127" s="10">
        <f>IF($B127="","",IFERROR(MATCH(ROW()-1,출력_구리근무자!$K$6:$K$305,0),""))</f>
        <v/>
      </c>
      <c r="AR127" s="10">
        <f>IF($AQ127="","",INDEX(출력_구리근무자!$H$6:$H$305,$AQ127))</f>
        <v/>
      </c>
    </row>
    <row r="128">
      <c r="A128" s="10">
        <f>IF(B128="","",ROW()-1)</f>
        <v/>
      </c>
      <c r="B128" s="19" t="n"/>
      <c r="C128" s="10">
        <f>IF($AB128="","",IF(INDEX(입력_기본자료!$C$2:$C$1001,$AB128)="","",INDEX(입력_기본자료!$C$2:$C$1001,$AB128)))</f>
        <v/>
      </c>
      <c r="D128" s="10">
        <f>IF($AB128="","",IF(INDEX(입력_기본자료!$J$2:$J$1001,$AB128)="","",INDEX(입력_기본자료!$J$2:$J$1001,$AB128)))</f>
        <v/>
      </c>
      <c r="E128" s="11">
        <f>IF($AB128="","",IF(INDEX(입력_기본자료!$K$2:$K$1001,$AB128)="","",IF(NOT(ISNUMBER(INDEX(입력_기본자료!$K$2:$K$1001,$AB128))),INDEX(입력_기본자료!$K$2:$K$1001,$AB128),IF(INDEX(입력_기본자료!$K$2:$K$1001,$AB128)&lt;1000000,INDEX(입력_기본자료!$K$2:$K$1001,$AB128),IF(AND(INDEX(입력_기본자료!$K$2:$K$1001,$AB128)&gt;=10000101,INT(MOD(INDEX(입력_기본자료!$K$2:$K$1001,$AB128),10000)/100)&gt;=1,INT(MOD(INDEX(입력_기본자료!$K$2:$K$1001,$AB128),10000)/100)&lt;=12,MOD(INDEX(입력_기본자료!$K$2:$K$1001,$AB128),100)&gt;=1,MOD(INDEX(입력_기본자료!$K$2:$K$1001,$AB128),100)&lt;=31),DATE(INT(INDEX(입력_기본자료!$K$2:$K$1001,$AB128)/10000),INT(MOD(INDEX(입력_기본자료!$K$2:$K$1001,$AB128),10000)/100),MOD(INDEX(입력_기본자료!$K$2:$K$1001,$AB128),100)),INDEX(입력_기본자료!$K$2:$K$1001,$AB128)&amp;"")))))</f>
        <v/>
      </c>
      <c r="F128" s="10">
        <f>IF($AB128="","",IF(INDEX(입력_기본자료!$D$2:$D$1001,$AB128)="","",INDEX(입력_기본자료!$D$2:$D$1001,$AB128)))</f>
        <v/>
      </c>
      <c r="G128" s="10">
        <f>IF($AB128="","",IF(INDEX(입력_기본자료!$E$2:$E$1001,$AB128)="","",INDEX(입력_기본자료!$E$2:$E$1001,$AB128)))</f>
        <v/>
      </c>
      <c r="H128" s="10">
        <f>IF($AB128="","",IF(INDEX(입력_기본자료!$F$2:$F$1001,$AB128)="","",INDEX(입력_기본자료!$F$2:$F$1001,$AB128)))</f>
        <v/>
      </c>
      <c r="I128" s="11">
        <f>IF($AB128="","",IF(INDEX(입력_기본자료!$G$2:$G$1001,$AB128)="","",IF(NOT(ISNUMBER(INDEX(입력_기본자료!$G$2:$G$1001,$AB128))),INDEX(입력_기본자료!$G$2:$G$1001,$AB128),IF(INDEX(입력_기본자료!$G$2:$G$1001,$AB128)&lt;1000000,INDEX(입력_기본자료!$G$2:$G$1001,$AB128),IF(AND(INDEX(입력_기본자료!$G$2:$G$1001,$AB128)&gt;=10000101,INT(MOD(INDEX(입력_기본자료!$G$2:$G$1001,$AB128),10000)/100)&gt;=1,INT(MOD(INDEX(입력_기본자료!$G$2:$G$1001,$AB128),10000)/100)&lt;=12,MOD(INDEX(입력_기본자료!$G$2:$G$1001,$AB128),100)&gt;=1,MOD(INDEX(입력_기본자료!$G$2:$G$1001,$AB128),100)&lt;=31),DATE(INT(INDEX(입력_기본자료!$G$2:$G$1001,$AB128)/10000),INT(MOD(INDEX(입력_기본자료!$G$2:$G$1001,$AB128),10000)/100),MOD(INDEX(입력_기본자료!$G$2:$G$1001,$AB128),100)),INDEX(입력_기본자료!$G$2:$G$1001,$AB128)&amp;"")))))</f>
        <v/>
      </c>
      <c r="J128" s="10">
        <f>IF($AB128="","",IF(INDEX(입력_기본자료!$H$2:$H$1001,$AB128)="","",INDEX(입력_기본자료!$H$2:$H$1001,$AB128)))</f>
        <v/>
      </c>
      <c r="K128" s="10">
        <f>IF($AB128="","",IF(INDEX(입력_기본자료!$I$2:$I$1001,$AB128)="","",INDEX(입력_기본자료!$I$2:$I$1001,$AB128)))</f>
        <v/>
      </c>
      <c r="L128" s="10">
        <f>IF($AB128="","",IF(INDEX(입력_기본자료!$A$2:$A$1001,$AB128)="","",INDEX(입력_기본자료!$A$2:$A$1001,$AB128)))</f>
        <v/>
      </c>
      <c r="M128" s="15" t="n"/>
      <c r="N128" s="10">
        <f>IF($B128="","",IF(AND($U128="파견중",$Q128&lt;&gt;""),$Q128,IF(AND($AD128&lt;&gt;"",LEFT($AD128,1)&lt;&gt;"⚠"),LEFT($AD128,FIND(" ",$AD128)-1),IF($H128="","",IF(RIGHT($H128,2)="병원",$H128,$H128&amp;"병원")))))</f>
        <v/>
      </c>
      <c r="O128" s="10">
        <f>IF($B128="","",IF(AND($U128="파견중",$Q128&lt;&gt;""),IF($R128&lt;&gt;"",$R128,"파견과 미입력"),IF(AND($AD128&lt;&gt;"",LEFT($AD128,1)&lt;&gt;"⚠"),MID($AD128,FIND(" ",$AD128)+1,60),IF($F128="","",IF($F128="인턴","수련교육부(인턴)",$F128)))))</f>
        <v/>
      </c>
      <c r="P128" s="10">
        <f>IF($B128="","",IF($AK128&lt;&gt;"",IF(AND(TODAY()&gt;=INDEX(입력_파견수련계획!$AB$4:$AB$803,$AK128),OR(NOT(ISNUMBER(INDEX(입력_파견수련계획!$AC$4:$AC$803,$AK128))),TODAY()&lt;=INDEX(입력_파견수련계획!$AC$4:$AC$803,$AK128))),"다기관",IF($AF128="","",INDEX(입력_파견수련계획!$T$4:$T$803,$AF128))),IF($AF128="","",INDEX(입력_파견수련계획!$T$4:$T$803,$AF128))))</f>
        <v/>
      </c>
      <c r="Q128" s="10">
        <f>IF($AF128="","",INDEX(입력_파견수련계획!$S$4:$S$803,$AF128))</f>
        <v/>
      </c>
      <c r="R128" s="10">
        <f>IF($AF128="","",INDEX(입력_파견수련계획!$U$4:$U$803,$AF128))</f>
        <v/>
      </c>
      <c r="S128" s="11">
        <f>IF($AF128="","",IF(INDEX(입력_파견수련계획!$H$4:$H$803,$AF128)="","",INDEX(입력_파견수련계획!$H$4:$H$803,$AF128)))</f>
        <v/>
      </c>
      <c r="T128" s="11">
        <f>IF($AF128="","",IF(INDEX(입력_파견수련계획!$I$4:$I$803,$AF128)="","",INDEX(입력_파견수련계획!$I$4:$I$803,$AF128)))</f>
        <v/>
      </c>
      <c r="U128" s="10">
        <f>IF($AF128="","",INDEX(입력_파견수련계획!$X$4:$X$803,$AF128))</f>
        <v/>
      </c>
      <c r="V128" s="17">
        <f>IF($AF128="","",INDEX(입력_파견수련계획!$V$4:$V$803,$AF128))</f>
        <v/>
      </c>
      <c r="W128" s="17">
        <f>IF(AND($U128="파견중",$T128&lt;&gt;""),$T128-TODAY(),"")</f>
        <v/>
      </c>
      <c r="X128" s="17">
        <f>IF(OR($B128="",TRIM($J128&amp;"")=""),"",SUMPRODUCT((입력_파견수련계획!$Q$4:$Q$803=TRIM($J128&amp;""))*입력_파견수련계획!$W$4:$W$803))</f>
        <v/>
      </c>
      <c r="Y128" s="10">
        <f>IF($B128="","",IF($AG128="","",IF(IF(TRIM($J128&amp;"")="",0,SUMPRODUCT((입력_파견수련계획!$Q$4:$Q$803=TRIM($J128&amp;""))*입력_파견수련계획!$AD$4:$AD$803))&gt;0,$AE128,IF(AND(N($X128)&lt;=0,$AQ128=""),$AG128,IF($AH128+$AI128=DAY(EOMONTH(출력_요약!$B$3,0)),IF(AND($AH128&gt;=출력_요약!$E$3,$AI128&lt;출력_요약!$E$3),"서울병원",IF(AND($AI128&gt;=출력_요약!$E$3,$AH128&lt;출력_요약!$E$3),"구리병원","⚠15일 판정불가(서울 "&amp;$AH128&amp;"일/구리 "&amp;$AI128&amp;"일)")),IF($AJ128="",$AE128,IF(INDEX(입력_파견수련계획!$T$4:$T$803,$AJ128)="통합수련",INDEX(입력_파견수련계획!$S$4:$S$803,$AJ128),$AE128)))))))</f>
        <v/>
      </c>
      <c r="Z128" s="20">
        <f>IF($B128="","",IF($AB128="","기본자료에 없는 사번",IF(COUNTIF($B$2:$B$401,$B128)&gt;1,"중복 사번",IF($AE128="","소속(입사장소) 입력",IF(IF(TRIM($J128&amp;"")="",0,SUMPRODUCT((입력_파견수련계획!$Q$4:$Q$803=TRIM($J128&amp;""))*(입력_파견수련계획!$AA$4:$AA$803&lt;&gt;"")))&gt;0,"파견수련계획 입력오류 확인",IF(LEFT($Y128,1)="⚠","서울·구리 15일 판정 불가(양쪽 모두 이상/미만)",IF(IF($AC128="",0,N(INDEX(입력_인턴근무계획!$T$3:$T$402,$AC128)))&gt;0,"인턴계획 입력오류 확인",IF(AND($AQ128&lt;&gt;"",$AG128&lt;&gt;"구리병원",IF(TRIM($J128&amp;"")="",0,SUMPRODUCT((입력_파견수련계획!$Q$4:$Q$803=TRIM($J128&amp;""))*(입력_파견수련계획!$S$4:$S$803="구리병원")*입력_파견수련계획!$W$4:$W$803))=0),"구리 근무자명단에만 있음(파견수련계획 확인)",IF(AND($AC128&lt;&gt;"",$U128&lt;&gt;"파견중",$N128&lt;&gt;$AE128),"인턴 타지역 근무: 파견 여부 확인","정상")))))))))</f>
        <v/>
      </c>
      <c r="AA128" s="5" t="n"/>
      <c r="AB128" s="10">
        <f>IF($B128="","",IFERROR(MATCH($B128,입력_기본자료!$B$2:$B$1001,0),IFERROR(MATCH($B128&amp;"",입력_기본자료!$B$2:$B$1001,0),IFERROR(MATCH(VALUE($B128),입력_기본자료!$B$2:$B$1001,0),""))))</f>
        <v/>
      </c>
      <c r="AC128" s="10">
        <f>IF($B128="","",IFERROR(MATCH($B128,입력_인턴근무계획!$D$3:$D$402,0),IFERROR(MATCH($B128&amp;"",입력_인턴근무계획!$D$3:$D$402,0),IFERROR(MATCH(VALUE($B128),입력_인턴근무계획!$D$3:$D$402,0),""))))</f>
        <v/>
      </c>
      <c r="AD128" s="10">
        <f>IF(OR($AC128="",출력_인턴현황!$G$3=""),"",INDEX(입력_인턴근무계획!$M$3:$R$402,$AC128,출력_인턴현황!$G$3)&amp;"")</f>
        <v/>
      </c>
      <c r="AE128" s="10">
        <f>IF($B128="","",IF($M128&lt;&gt;"",$M128,IF(IF($AQ128="",FALSE,INDEX(출력_구리근무자!$J$6:$J$305,$AQ128)="구리독자"),"구리병원",IF($AF128&lt;&gt;"",IF(LEFT(INDEX(입력_파견수련계획!$R$4:$R$803,$AF128),1)&lt;&gt;"⚠",INDEX(입력_파견수련계획!$R$4:$R$803,$AF128),IF($H128="","",IF(RIGHT($H128,2)="병원",$H128,$H128&amp;"병원"))),IF($H128="","",IF(RIGHT($H128,2)="병원",$H128,$H128&amp;"병원"))))))</f>
        <v/>
      </c>
      <c r="AF128" s="10">
        <f>IF(OR($B128="",TRIM($J128&amp;"")=""),"",IFERROR(MATCH(TRIM($J128&amp;"")&amp;"|파견중",입력_파견수련계획!$Y$4:$Y$803,0),IFERROR(MATCH(TRIM($J128&amp;"")&amp;"|파견예정",입력_파견수련계획!$Y$4:$Y$803,0),IFERROR(MATCH(TRIM($J128&amp;"")&amp;"|파견종료",입력_파견수련계획!$Y$4:$Y$803,0),""))))</f>
        <v/>
      </c>
      <c r="AG128" s="10">
        <f>IF($B128="","",IF(AND(IF(OR($AC128="",출력_인턴현황!$K$2=""),"",INDEX(입력_인턴근무계획!$M$3:$R$402,$AC128,출력_인턴현황!$K$2)&amp;"")&lt;&gt;"",LEFT(IF(OR($AC128="",출력_인턴현황!$K$2=""),"",INDEX(입력_인턴근무계획!$M$3:$R$402,$AC128,출력_인턴현황!$K$2)&amp;""),1)&lt;&gt;"⚠"),LEFT(IF(OR($AC128="",출력_인턴현황!$K$2=""),"",INDEX(입력_인턴근무계획!$M$3:$R$402,$AC128,출력_인턴현황!$K$2)&amp;""),FIND(" ",IF(OR($AC128="",출력_인턴현황!$K$2=""),"",INDEX(입력_인턴근무계획!$M$3:$R$402,$AC128,출력_인턴현황!$K$2)&amp;""))-1),$AE128))</f>
        <v/>
      </c>
      <c r="AH128" s="17">
        <f>IF($B128="","",IF($AQ128&lt;&gt;"",MAX(0,DAY(EOMONTH(출력_요약!$B$3,0))-N($AR128)),IF(TRIM($J128&amp;"")="",0,SUMPRODUCT((입력_파견수련계획!$Q$4:$Q$803=TRIM($J128&amp;""))*(입력_파견수련계획!$S$4:$S$803="서울병원")*입력_파견수련계획!$W$4:$W$803))+IF($AG128="서울병원",MAX(0,DAY(EOMONTH(출력_요약!$B$3,0))-N($X128)),0)))</f>
        <v/>
      </c>
      <c r="AI128" s="17">
        <f>IF($B128="","",IF($AQ128&lt;&gt;"",N($AR128),IF(TRIM($J128&amp;"")="",0,SUMPRODUCT((입력_파견수련계획!$Q$4:$Q$803=TRIM($J128&amp;""))*(입력_파견수련계획!$S$4:$S$803="구리병원")*입력_파견수련계획!$W$4:$W$803))+IF($AG128="구리병원",MAX(0,DAY(EOMONTH(출력_요약!$B$3,0))-N($X128)),0)))</f>
        <v/>
      </c>
      <c r="AJ128" s="10">
        <f>IF(OR($B128="",TRIM($J128&amp;"")=""),"",IFERROR(MATCH(TRIM($J128&amp;"")&amp;"|월",입력_파견수련계획!$Z$4:$Z$803,0),""))</f>
        <v/>
      </c>
      <c r="AK128" s="10">
        <f>IF(OR($B128="",TRIM($J128&amp;"")=""),"",IFERROR(MATCH(TRIM($J128&amp;"")&amp;"|다기관",입력_파견수련계획!$AE$4:$AE$803,0),""))</f>
        <v/>
      </c>
      <c r="AL128" s="10">
        <f>IF($AK128="","","다기관 "&amp;TEXT(INDEX(입력_파견수련계획!$AB$4:$AB$803,$AK128),"yyyy-mm-dd")&amp;"~"&amp;IF(ISNUMBER(INDEX(입력_파견수련계획!$AC$4:$AC$803,$AK128)),TEXT(INDEX(입력_파견수련계획!$AC$4:$AC$803,$AK128),"yyyy-mm-dd"),""))</f>
        <v/>
      </c>
      <c r="AM128" s="10">
        <f>IF($Y128="서울병원",COUNTIF($Y$2:$Y128,"서울병원"),"")</f>
        <v/>
      </c>
      <c r="AN128" s="10">
        <f>IF(LEFT($Y128,1)="⚠",COUNTIF($Y$2:$Y128,"⚠*"),"")</f>
        <v/>
      </c>
      <c r="AO128" s="10">
        <f>IF(OR($B128="",$Y128=""),"",IF(IF(TRIM($J128&amp;"")="",0,SUMPRODUCT((입력_파견수련계획!$Q$4:$Q$803=TRIM($J128&amp;""))*입력_파견수련계획!$AD$4:$AD$803))&gt;0,"다기관 기간 → 소속병원 지급",IF(AND(N($X128)&lt;=0,$AQ128=""),"파견 없음 → 그 달 근무병원 지급",IF($AH128+$AI128=DAY(EOMONTH(출력_요약!$B$3,0)),"서울 "&amp;$AH128&amp;"일 / 구리 "&amp;$AI128&amp;"일"&amp;IF($AQ128&lt;&gt;""," (구리 근무자명단 반영)","")&amp;" → 15일 이상 근무 병원 지급","타 병원 포함 → "&amp;IF($AJ128="","소속",INDEX(입력_파견수련계획!$T$4:$T$803,$AJ128))&amp;" 규칙"))))</f>
        <v/>
      </c>
      <c r="AP128" s="10">
        <f>IF($B128="","",$C128&amp;"|"&amp;$F128)</f>
        <v/>
      </c>
      <c r="AQ128" s="10">
        <f>IF($B128="","",IFERROR(MATCH(ROW()-1,출력_구리근무자!$K$6:$K$305,0),""))</f>
        <v/>
      </c>
      <c r="AR128" s="10">
        <f>IF($AQ128="","",INDEX(출력_구리근무자!$H$6:$H$305,$AQ128))</f>
        <v/>
      </c>
    </row>
    <row r="129">
      <c r="A129" s="10">
        <f>IF(B129="","",ROW()-1)</f>
        <v/>
      </c>
      <c r="B129" s="19" t="n"/>
      <c r="C129" s="10">
        <f>IF($AB129="","",IF(INDEX(입력_기본자료!$C$2:$C$1001,$AB129)="","",INDEX(입력_기본자료!$C$2:$C$1001,$AB129)))</f>
        <v/>
      </c>
      <c r="D129" s="10">
        <f>IF($AB129="","",IF(INDEX(입력_기본자료!$J$2:$J$1001,$AB129)="","",INDEX(입력_기본자료!$J$2:$J$1001,$AB129)))</f>
        <v/>
      </c>
      <c r="E129" s="11">
        <f>IF($AB129="","",IF(INDEX(입력_기본자료!$K$2:$K$1001,$AB129)="","",IF(NOT(ISNUMBER(INDEX(입력_기본자료!$K$2:$K$1001,$AB129))),INDEX(입력_기본자료!$K$2:$K$1001,$AB129),IF(INDEX(입력_기본자료!$K$2:$K$1001,$AB129)&lt;1000000,INDEX(입력_기본자료!$K$2:$K$1001,$AB129),IF(AND(INDEX(입력_기본자료!$K$2:$K$1001,$AB129)&gt;=10000101,INT(MOD(INDEX(입력_기본자료!$K$2:$K$1001,$AB129),10000)/100)&gt;=1,INT(MOD(INDEX(입력_기본자료!$K$2:$K$1001,$AB129),10000)/100)&lt;=12,MOD(INDEX(입력_기본자료!$K$2:$K$1001,$AB129),100)&gt;=1,MOD(INDEX(입력_기본자료!$K$2:$K$1001,$AB129),100)&lt;=31),DATE(INT(INDEX(입력_기본자료!$K$2:$K$1001,$AB129)/10000),INT(MOD(INDEX(입력_기본자료!$K$2:$K$1001,$AB129),10000)/100),MOD(INDEX(입력_기본자료!$K$2:$K$1001,$AB129),100)),INDEX(입력_기본자료!$K$2:$K$1001,$AB129)&amp;"")))))</f>
        <v/>
      </c>
      <c r="F129" s="10">
        <f>IF($AB129="","",IF(INDEX(입력_기본자료!$D$2:$D$1001,$AB129)="","",INDEX(입력_기본자료!$D$2:$D$1001,$AB129)))</f>
        <v/>
      </c>
      <c r="G129" s="10">
        <f>IF($AB129="","",IF(INDEX(입력_기본자료!$E$2:$E$1001,$AB129)="","",INDEX(입력_기본자료!$E$2:$E$1001,$AB129)))</f>
        <v/>
      </c>
      <c r="H129" s="10">
        <f>IF($AB129="","",IF(INDEX(입력_기본자료!$F$2:$F$1001,$AB129)="","",INDEX(입력_기본자료!$F$2:$F$1001,$AB129)))</f>
        <v/>
      </c>
      <c r="I129" s="11">
        <f>IF($AB129="","",IF(INDEX(입력_기본자료!$G$2:$G$1001,$AB129)="","",IF(NOT(ISNUMBER(INDEX(입력_기본자료!$G$2:$G$1001,$AB129))),INDEX(입력_기본자료!$G$2:$G$1001,$AB129),IF(INDEX(입력_기본자료!$G$2:$G$1001,$AB129)&lt;1000000,INDEX(입력_기본자료!$G$2:$G$1001,$AB129),IF(AND(INDEX(입력_기본자료!$G$2:$G$1001,$AB129)&gt;=10000101,INT(MOD(INDEX(입력_기본자료!$G$2:$G$1001,$AB129),10000)/100)&gt;=1,INT(MOD(INDEX(입력_기본자료!$G$2:$G$1001,$AB129),10000)/100)&lt;=12,MOD(INDEX(입력_기본자료!$G$2:$G$1001,$AB129),100)&gt;=1,MOD(INDEX(입력_기본자료!$G$2:$G$1001,$AB129),100)&lt;=31),DATE(INT(INDEX(입력_기본자료!$G$2:$G$1001,$AB129)/10000),INT(MOD(INDEX(입력_기본자료!$G$2:$G$1001,$AB129),10000)/100),MOD(INDEX(입력_기본자료!$G$2:$G$1001,$AB129),100)),INDEX(입력_기본자료!$G$2:$G$1001,$AB129)&amp;"")))))</f>
        <v/>
      </c>
      <c r="J129" s="10">
        <f>IF($AB129="","",IF(INDEX(입력_기본자료!$H$2:$H$1001,$AB129)="","",INDEX(입력_기본자료!$H$2:$H$1001,$AB129)))</f>
        <v/>
      </c>
      <c r="K129" s="10">
        <f>IF($AB129="","",IF(INDEX(입력_기본자료!$I$2:$I$1001,$AB129)="","",INDEX(입력_기본자료!$I$2:$I$1001,$AB129)))</f>
        <v/>
      </c>
      <c r="L129" s="10">
        <f>IF($AB129="","",IF(INDEX(입력_기본자료!$A$2:$A$1001,$AB129)="","",INDEX(입력_기본자료!$A$2:$A$1001,$AB129)))</f>
        <v/>
      </c>
      <c r="M129" s="15" t="n"/>
      <c r="N129" s="10">
        <f>IF($B129="","",IF(AND($U129="파견중",$Q129&lt;&gt;""),$Q129,IF(AND($AD129&lt;&gt;"",LEFT($AD129,1)&lt;&gt;"⚠"),LEFT($AD129,FIND(" ",$AD129)-1),IF($H129="","",IF(RIGHT($H129,2)="병원",$H129,$H129&amp;"병원")))))</f>
        <v/>
      </c>
      <c r="O129" s="10">
        <f>IF($B129="","",IF(AND($U129="파견중",$Q129&lt;&gt;""),IF($R129&lt;&gt;"",$R129,"파견과 미입력"),IF(AND($AD129&lt;&gt;"",LEFT($AD129,1)&lt;&gt;"⚠"),MID($AD129,FIND(" ",$AD129)+1,60),IF($F129="","",IF($F129="인턴","수련교육부(인턴)",$F129)))))</f>
        <v/>
      </c>
      <c r="P129" s="10">
        <f>IF($B129="","",IF($AK129&lt;&gt;"",IF(AND(TODAY()&gt;=INDEX(입력_파견수련계획!$AB$4:$AB$803,$AK129),OR(NOT(ISNUMBER(INDEX(입력_파견수련계획!$AC$4:$AC$803,$AK129))),TODAY()&lt;=INDEX(입력_파견수련계획!$AC$4:$AC$803,$AK129))),"다기관",IF($AF129="","",INDEX(입력_파견수련계획!$T$4:$T$803,$AF129))),IF($AF129="","",INDEX(입력_파견수련계획!$T$4:$T$803,$AF129))))</f>
        <v/>
      </c>
      <c r="Q129" s="10">
        <f>IF($AF129="","",INDEX(입력_파견수련계획!$S$4:$S$803,$AF129))</f>
        <v/>
      </c>
      <c r="R129" s="10">
        <f>IF($AF129="","",INDEX(입력_파견수련계획!$U$4:$U$803,$AF129))</f>
        <v/>
      </c>
      <c r="S129" s="11">
        <f>IF($AF129="","",IF(INDEX(입력_파견수련계획!$H$4:$H$803,$AF129)="","",INDEX(입력_파견수련계획!$H$4:$H$803,$AF129)))</f>
        <v/>
      </c>
      <c r="T129" s="11">
        <f>IF($AF129="","",IF(INDEX(입력_파견수련계획!$I$4:$I$803,$AF129)="","",INDEX(입력_파견수련계획!$I$4:$I$803,$AF129)))</f>
        <v/>
      </c>
      <c r="U129" s="10">
        <f>IF($AF129="","",INDEX(입력_파견수련계획!$X$4:$X$803,$AF129))</f>
        <v/>
      </c>
      <c r="V129" s="17">
        <f>IF($AF129="","",INDEX(입력_파견수련계획!$V$4:$V$803,$AF129))</f>
        <v/>
      </c>
      <c r="W129" s="17">
        <f>IF(AND($U129="파견중",$T129&lt;&gt;""),$T129-TODAY(),"")</f>
        <v/>
      </c>
      <c r="X129" s="17">
        <f>IF(OR($B129="",TRIM($J129&amp;"")=""),"",SUMPRODUCT((입력_파견수련계획!$Q$4:$Q$803=TRIM($J129&amp;""))*입력_파견수련계획!$W$4:$W$803))</f>
        <v/>
      </c>
      <c r="Y129" s="10">
        <f>IF($B129="","",IF($AG129="","",IF(IF(TRIM($J129&amp;"")="",0,SUMPRODUCT((입력_파견수련계획!$Q$4:$Q$803=TRIM($J129&amp;""))*입력_파견수련계획!$AD$4:$AD$803))&gt;0,$AE129,IF(AND(N($X129)&lt;=0,$AQ129=""),$AG129,IF($AH129+$AI129=DAY(EOMONTH(출력_요약!$B$3,0)),IF(AND($AH129&gt;=출력_요약!$E$3,$AI129&lt;출력_요약!$E$3),"서울병원",IF(AND($AI129&gt;=출력_요약!$E$3,$AH129&lt;출력_요약!$E$3),"구리병원","⚠15일 판정불가(서울 "&amp;$AH129&amp;"일/구리 "&amp;$AI129&amp;"일)")),IF($AJ129="",$AE129,IF(INDEX(입력_파견수련계획!$T$4:$T$803,$AJ129)="통합수련",INDEX(입력_파견수련계획!$S$4:$S$803,$AJ129),$AE129)))))))</f>
        <v/>
      </c>
      <c r="Z129" s="20">
        <f>IF($B129="","",IF($AB129="","기본자료에 없는 사번",IF(COUNTIF($B$2:$B$401,$B129)&gt;1,"중복 사번",IF($AE129="","소속(입사장소) 입력",IF(IF(TRIM($J129&amp;"")="",0,SUMPRODUCT((입력_파견수련계획!$Q$4:$Q$803=TRIM($J129&amp;""))*(입력_파견수련계획!$AA$4:$AA$803&lt;&gt;"")))&gt;0,"파견수련계획 입력오류 확인",IF(LEFT($Y129,1)="⚠","서울·구리 15일 판정 불가(양쪽 모두 이상/미만)",IF(IF($AC129="",0,N(INDEX(입력_인턴근무계획!$T$3:$T$402,$AC129)))&gt;0,"인턴계획 입력오류 확인",IF(AND($AQ129&lt;&gt;"",$AG129&lt;&gt;"구리병원",IF(TRIM($J129&amp;"")="",0,SUMPRODUCT((입력_파견수련계획!$Q$4:$Q$803=TRIM($J129&amp;""))*(입력_파견수련계획!$S$4:$S$803="구리병원")*입력_파견수련계획!$W$4:$W$803))=0),"구리 근무자명단에만 있음(파견수련계획 확인)",IF(AND($AC129&lt;&gt;"",$U129&lt;&gt;"파견중",$N129&lt;&gt;$AE129),"인턴 타지역 근무: 파견 여부 확인","정상")))))))))</f>
        <v/>
      </c>
      <c r="AA129" s="5" t="n"/>
      <c r="AB129" s="10">
        <f>IF($B129="","",IFERROR(MATCH($B129,입력_기본자료!$B$2:$B$1001,0),IFERROR(MATCH($B129&amp;"",입력_기본자료!$B$2:$B$1001,0),IFERROR(MATCH(VALUE($B129),입력_기본자료!$B$2:$B$1001,0),""))))</f>
        <v/>
      </c>
      <c r="AC129" s="10">
        <f>IF($B129="","",IFERROR(MATCH($B129,입력_인턴근무계획!$D$3:$D$402,0),IFERROR(MATCH($B129&amp;"",입력_인턴근무계획!$D$3:$D$402,0),IFERROR(MATCH(VALUE($B129),입력_인턴근무계획!$D$3:$D$402,0),""))))</f>
        <v/>
      </c>
      <c r="AD129" s="10">
        <f>IF(OR($AC129="",출력_인턴현황!$G$3=""),"",INDEX(입력_인턴근무계획!$M$3:$R$402,$AC129,출력_인턴현황!$G$3)&amp;"")</f>
        <v/>
      </c>
      <c r="AE129" s="10">
        <f>IF($B129="","",IF($M129&lt;&gt;"",$M129,IF(IF($AQ129="",FALSE,INDEX(출력_구리근무자!$J$6:$J$305,$AQ129)="구리독자"),"구리병원",IF($AF129&lt;&gt;"",IF(LEFT(INDEX(입력_파견수련계획!$R$4:$R$803,$AF129),1)&lt;&gt;"⚠",INDEX(입력_파견수련계획!$R$4:$R$803,$AF129),IF($H129="","",IF(RIGHT($H129,2)="병원",$H129,$H129&amp;"병원"))),IF($H129="","",IF(RIGHT($H129,2)="병원",$H129,$H129&amp;"병원"))))))</f>
        <v/>
      </c>
      <c r="AF129" s="10">
        <f>IF(OR($B129="",TRIM($J129&amp;"")=""),"",IFERROR(MATCH(TRIM($J129&amp;"")&amp;"|파견중",입력_파견수련계획!$Y$4:$Y$803,0),IFERROR(MATCH(TRIM($J129&amp;"")&amp;"|파견예정",입력_파견수련계획!$Y$4:$Y$803,0),IFERROR(MATCH(TRIM($J129&amp;"")&amp;"|파견종료",입력_파견수련계획!$Y$4:$Y$803,0),""))))</f>
        <v/>
      </c>
      <c r="AG129" s="10">
        <f>IF($B129="","",IF(AND(IF(OR($AC129="",출력_인턴현황!$K$2=""),"",INDEX(입력_인턴근무계획!$M$3:$R$402,$AC129,출력_인턴현황!$K$2)&amp;"")&lt;&gt;"",LEFT(IF(OR($AC129="",출력_인턴현황!$K$2=""),"",INDEX(입력_인턴근무계획!$M$3:$R$402,$AC129,출력_인턴현황!$K$2)&amp;""),1)&lt;&gt;"⚠"),LEFT(IF(OR($AC129="",출력_인턴현황!$K$2=""),"",INDEX(입력_인턴근무계획!$M$3:$R$402,$AC129,출력_인턴현황!$K$2)&amp;""),FIND(" ",IF(OR($AC129="",출력_인턴현황!$K$2=""),"",INDEX(입력_인턴근무계획!$M$3:$R$402,$AC129,출력_인턴현황!$K$2)&amp;""))-1),$AE129))</f>
        <v/>
      </c>
      <c r="AH129" s="17">
        <f>IF($B129="","",IF($AQ129&lt;&gt;"",MAX(0,DAY(EOMONTH(출력_요약!$B$3,0))-N($AR129)),IF(TRIM($J129&amp;"")="",0,SUMPRODUCT((입력_파견수련계획!$Q$4:$Q$803=TRIM($J129&amp;""))*(입력_파견수련계획!$S$4:$S$803="서울병원")*입력_파견수련계획!$W$4:$W$803))+IF($AG129="서울병원",MAX(0,DAY(EOMONTH(출력_요약!$B$3,0))-N($X129)),0)))</f>
        <v/>
      </c>
      <c r="AI129" s="17">
        <f>IF($B129="","",IF($AQ129&lt;&gt;"",N($AR129),IF(TRIM($J129&amp;"")="",0,SUMPRODUCT((입력_파견수련계획!$Q$4:$Q$803=TRIM($J129&amp;""))*(입력_파견수련계획!$S$4:$S$803="구리병원")*입력_파견수련계획!$W$4:$W$803))+IF($AG129="구리병원",MAX(0,DAY(EOMONTH(출력_요약!$B$3,0))-N($X129)),0)))</f>
        <v/>
      </c>
      <c r="AJ129" s="10">
        <f>IF(OR($B129="",TRIM($J129&amp;"")=""),"",IFERROR(MATCH(TRIM($J129&amp;"")&amp;"|월",입력_파견수련계획!$Z$4:$Z$803,0),""))</f>
        <v/>
      </c>
      <c r="AK129" s="10">
        <f>IF(OR($B129="",TRIM($J129&amp;"")=""),"",IFERROR(MATCH(TRIM($J129&amp;"")&amp;"|다기관",입력_파견수련계획!$AE$4:$AE$803,0),""))</f>
        <v/>
      </c>
      <c r="AL129" s="10">
        <f>IF($AK129="","","다기관 "&amp;TEXT(INDEX(입력_파견수련계획!$AB$4:$AB$803,$AK129),"yyyy-mm-dd")&amp;"~"&amp;IF(ISNUMBER(INDEX(입력_파견수련계획!$AC$4:$AC$803,$AK129)),TEXT(INDEX(입력_파견수련계획!$AC$4:$AC$803,$AK129),"yyyy-mm-dd"),""))</f>
        <v/>
      </c>
      <c r="AM129" s="10">
        <f>IF($Y129="서울병원",COUNTIF($Y$2:$Y129,"서울병원"),"")</f>
        <v/>
      </c>
      <c r="AN129" s="10">
        <f>IF(LEFT($Y129,1)="⚠",COUNTIF($Y$2:$Y129,"⚠*"),"")</f>
        <v/>
      </c>
      <c r="AO129" s="10">
        <f>IF(OR($B129="",$Y129=""),"",IF(IF(TRIM($J129&amp;"")="",0,SUMPRODUCT((입력_파견수련계획!$Q$4:$Q$803=TRIM($J129&amp;""))*입력_파견수련계획!$AD$4:$AD$803))&gt;0,"다기관 기간 → 소속병원 지급",IF(AND(N($X129)&lt;=0,$AQ129=""),"파견 없음 → 그 달 근무병원 지급",IF($AH129+$AI129=DAY(EOMONTH(출력_요약!$B$3,0)),"서울 "&amp;$AH129&amp;"일 / 구리 "&amp;$AI129&amp;"일"&amp;IF($AQ129&lt;&gt;""," (구리 근무자명단 반영)","")&amp;" → 15일 이상 근무 병원 지급","타 병원 포함 → "&amp;IF($AJ129="","소속",INDEX(입력_파견수련계획!$T$4:$T$803,$AJ129))&amp;" 규칙"))))</f>
        <v/>
      </c>
      <c r="AP129" s="10">
        <f>IF($B129="","",$C129&amp;"|"&amp;$F129)</f>
        <v/>
      </c>
      <c r="AQ129" s="10">
        <f>IF($B129="","",IFERROR(MATCH(ROW()-1,출력_구리근무자!$K$6:$K$305,0),""))</f>
        <v/>
      </c>
      <c r="AR129" s="10">
        <f>IF($AQ129="","",INDEX(출력_구리근무자!$H$6:$H$305,$AQ129))</f>
        <v/>
      </c>
    </row>
    <row r="130">
      <c r="A130" s="10">
        <f>IF(B130="","",ROW()-1)</f>
        <v/>
      </c>
      <c r="B130" s="19" t="n"/>
      <c r="C130" s="10">
        <f>IF($AB130="","",IF(INDEX(입력_기본자료!$C$2:$C$1001,$AB130)="","",INDEX(입력_기본자료!$C$2:$C$1001,$AB130)))</f>
        <v/>
      </c>
      <c r="D130" s="10">
        <f>IF($AB130="","",IF(INDEX(입력_기본자료!$J$2:$J$1001,$AB130)="","",INDEX(입력_기본자료!$J$2:$J$1001,$AB130)))</f>
        <v/>
      </c>
      <c r="E130" s="11">
        <f>IF($AB130="","",IF(INDEX(입력_기본자료!$K$2:$K$1001,$AB130)="","",IF(NOT(ISNUMBER(INDEX(입력_기본자료!$K$2:$K$1001,$AB130))),INDEX(입력_기본자료!$K$2:$K$1001,$AB130),IF(INDEX(입력_기본자료!$K$2:$K$1001,$AB130)&lt;1000000,INDEX(입력_기본자료!$K$2:$K$1001,$AB130),IF(AND(INDEX(입력_기본자료!$K$2:$K$1001,$AB130)&gt;=10000101,INT(MOD(INDEX(입력_기본자료!$K$2:$K$1001,$AB130),10000)/100)&gt;=1,INT(MOD(INDEX(입력_기본자료!$K$2:$K$1001,$AB130),10000)/100)&lt;=12,MOD(INDEX(입력_기본자료!$K$2:$K$1001,$AB130),100)&gt;=1,MOD(INDEX(입력_기본자료!$K$2:$K$1001,$AB130),100)&lt;=31),DATE(INT(INDEX(입력_기본자료!$K$2:$K$1001,$AB130)/10000),INT(MOD(INDEX(입력_기본자료!$K$2:$K$1001,$AB130),10000)/100),MOD(INDEX(입력_기본자료!$K$2:$K$1001,$AB130),100)),INDEX(입력_기본자료!$K$2:$K$1001,$AB130)&amp;"")))))</f>
        <v/>
      </c>
      <c r="F130" s="10">
        <f>IF($AB130="","",IF(INDEX(입력_기본자료!$D$2:$D$1001,$AB130)="","",INDEX(입력_기본자료!$D$2:$D$1001,$AB130)))</f>
        <v/>
      </c>
      <c r="G130" s="10">
        <f>IF($AB130="","",IF(INDEX(입력_기본자료!$E$2:$E$1001,$AB130)="","",INDEX(입력_기본자료!$E$2:$E$1001,$AB130)))</f>
        <v/>
      </c>
      <c r="H130" s="10">
        <f>IF($AB130="","",IF(INDEX(입력_기본자료!$F$2:$F$1001,$AB130)="","",INDEX(입력_기본자료!$F$2:$F$1001,$AB130)))</f>
        <v/>
      </c>
      <c r="I130" s="11">
        <f>IF($AB130="","",IF(INDEX(입력_기본자료!$G$2:$G$1001,$AB130)="","",IF(NOT(ISNUMBER(INDEX(입력_기본자료!$G$2:$G$1001,$AB130))),INDEX(입력_기본자료!$G$2:$G$1001,$AB130),IF(INDEX(입력_기본자료!$G$2:$G$1001,$AB130)&lt;1000000,INDEX(입력_기본자료!$G$2:$G$1001,$AB130),IF(AND(INDEX(입력_기본자료!$G$2:$G$1001,$AB130)&gt;=10000101,INT(MOD(INDEX(입력_기본자료!$G$2:$G$1001,$AB130),10000)/100)&gt;=1,INT(MOD(INDEX(입력_기본자료!$G$2:$G$1001,$AB130),10000)/100)&lt;=12,MOD(INDEX(입력_기본자료!$G$2:$G$1001,$AB130),100)&gt;=1,MOD(INDEX(입력_기본자료!$G$2:$G$1001,$AB130),100)&lt;=31),DATE(INT(INDEX(입력_기본자료!$G$2:$G$1001,$AB130)/10000),INT(MOD(INDEX(입력_기본자료!$G$2:$G$1001,$AB130),10000)/100),MOD(INDEX(입력_기본자료!$G$2:$G$1001,$AB130),100)),INDEX(입력_기본자료!$G$2:$G$1001,$AB130)&amp;"")))))</f>
        <v/>
      </c>
      <c r="J130" s="10">
        <f>IF($AB130="","",IF(INDEX(입력_기본자료!$H$2:$H$1001,$AB130)="","",INDEX(입력_기본자료!$H$2:$H$1001,$AB130)))</f>
        <v/>
      </c>
      <c r="K130" s="10">
        <f>IF($AB130="","",IF(INDEX(입력_기본자료!$I$2:$I$1001,$AB130)="","",INDEX(입력_기본자료!$I$2:$I$1001,$AB130)))</f>
        <v/>
      </c>
      <c r="L130" s="10">
        <f>IF($AB130="","",IF(INDEX(입력_기본자료!$A$2:$A$1001,$AB130)="","",INDEX(입력_기본자료!$A$2:$A$1001,$AB130)))</f>
        <v/>
      </c>
      <c r="M130" s="15" t="n"/>
      <c r="N130" s="10">
        <f>IF($B130="","",IF(AND($U130="파견중",$Q130&lt;&gt;""),$Q130,IF(AND($AD130&lt;&gt;"",LEFT($AD130,1)&lt;&gt;"⚠"),LEFT($AD130,FIND(" ",$AD130)-1),IF($H130="","",IF(RIGHT($H130,2)="병원",$H130,$H130&amp;"병원")))))</f>
        <v/>
      </c>
      <c r="O130" s="10">
        <f>IF($B130="","",IF(AND($U130="파견중",$Q130&lt;&gt;""),IF($R130&lt;&gt;"",$R130,"파견과 미입력"),IF(AND($AD130&lt;&gt;"",LEFT($AD130,1)&lt;&gt;"⚠"),MID($AD130,FIND(" ",$AD130)+1,60),IF($F130="","",IF($F130="인턴","수련교육부(인턴)",$F130)))))</f>
        <v/>
      </c>
      <c r="P130" s="10">
        <f>IF($B130="","",IF($AK130&lt;&gt;"",IF(AND(TODAY()&gt;=INDEX(입력_파견수련계획!$AB$4:$AB$803,$AK130),OR(NOT(ISNUMBER(INDEX(입력_파견수련계획!$AC$4:$AC$803,$AK130))),TODAY()&lt;=INDEX(입력_파견수련계획!$AC$4:$AC$803,$AK130))),"다기관",IF($AF130="","",INDEX(입력_파견수련계획!$T$4:$T$803,$AF130))),IF($AF130="","",INDEX(입력_파견수련계획!$T$4:$T$803,$AF130))))</f>
        <v/>
      </c>
      <c r="Q130" s="10">
        <f>IF($AF130="","",INDEX(입력_파견수련계획!$S$4:$S$803,$AF130))</f>
        <v/>
      </c>
      <c r="R130" s="10">
        <f>IF($AF130="","",INDEX(입력_파견수련계획!$U$4:$U$803,$AF130))</f>
        <v/>
      </c>
      <c r="S130" s="11">
        <f>IF($AF130="","",IF(INDEX(입력_파견수련계획!$H$4:$H$803,$AF130)="","",INDEX(입력_파견수련계획!$H$4:$H$803,$AF130)))</f>
        <v/>
      </c>
      <c r="T130" s="11">
        <f>IF($AF130="","",IF(INDEX(입력_파견수련계획!$I$4:$I$803,$AF130)="","",INDEX(입력_파견수련계획!$I$4:$I$803,$AF130)))</f>
        <v/>
      </c>
      <c r="U130" s="10">
        <f>IF($AF130="","",INDEX(입력_파견수련계획!$X$4:$X$803,$AF130))</f>
        <v/>
      </c>
      <c r="V130" s="17">
        <f>IF($AF130="","",INDEX(입력_파견수련계획!$V$4:$V$803,$AF130))</f>
        <v/>
      </c>
      <c r="W130" s="17">
        <f>IF(AND($U130="파견중",$T130&lt;&gt;""),$T130-TODAY(),"")</f>
        <v/>
      </c>
      <c r="X130" s="17">
        <f>IF(OR($B130="",TRIM($J130&amp;"")=""),"",SUMPRODUCT((입력_파견수련계획!$Q$4:$Q$803=TRIM($J130&amp;""))*입력_파견수련계획!$W$4:$W$803))</f>
        <v/>
      </c>
      <c r="Y130" s="10">
        <f>IF($B130="","",IF($AG130="","",IF(IF(TRIM($J130&amp;"")="",0,SUMPRODUCT((입력_파견수련계획!$Q$4:$Q$803=TRIM($J130&amp;""))*입력_파견수련계획!$AD$4:$AD$803))&gt;0,$AE130,IF(AND(N($X130)&lt;=0,$AQ130=""),$AG130,IF($AH130+$AI130=DAY(EOMONTH(출력_요약!$B$3,0)),IF(AND($AH130&gt;=출력_요약!$E$3,$AI130&lt;출력_요약!$E$3),"서울병원",IF(AND($AI130&gt;=출력_요약!$E$3,$AH130&lt;출력_요약!$E$3),"구리병원","⚠15일 판정불가(서울 "&amp;$AH130&amp;"일/구리 "&amp;$AI130&amp;"일)")),IF($AJ130="",$AE130,IF(INDEX(입력_파견수련계획!$T$4:$T$803,$AJ130)="통합수련",INDEX(입력_파견수련계획!$S$4:$S$803,$AJ130),$AE130)))))))</f>
        <v/>
      </c>
      <c r="Z130" s="20">
        <f>IF($B130="","",IF($AB130="","기본자료에 없는 사번",IF(COUNTIF($B$2:$B$401,$B130)&gt;1,"중복 사번",IF($AE130="","소속(입사장소) 입력",IF(IF(TRIM($J130&amp;"")="",0,SUMPRODUCT((입력_파견수련계획!$Q$4:$Q$803=TRIM($J130&amp;""))*(입력_파견수련계획!$AA$4:$AA$803&lt;&gt;"")))&gt;0,"파견수련계획 입력오류 확인",IF(LEFT($Y130,1)="⚠","서울·구리 15일 판정 불가(양쪽 모두 이상/미만)",IF(IF($AC130="",0,N(INDEX(입력_인턴근무계획!$T$3:$T$402,$AC130)))&gt;0,"인턴계획 입력오류 확인",IF(AND($AQ130&lt;&gt;"",$AG130&lt;&gt;"구리병원",IF(TRIM($J130&amp;"")="",0,SUMPRODUCT((입력_파견수련계획!$Q$4:$Q$803=TRIM($J130&amp;""))*(입력_파견수련계획!$S$4:$S$803="구리병원")*입력_파견수련계획!$W$4:$W$803))=0),"구리 근무자명단에만 있음(파견수련계획 확인)",IF(AND($AC130&lt;&gt;"",$U130&lt;&gt;"파견중",$N130&lt;&gt;$AE130),"인턴 타지역 근무: 파견 여부 확인","정상")))))))))</f>
        <v/>
      </c>
      <c r="AA130" s="5" t="n"/>
      <c r="AB130" s="10">
        <f>IF($B130="","",IFERROR(MATCH($B130,입력_기본자료!$B$2:$B$1001,0),IFERROR(MATCH($B130&amp;"",입력_기본자료!$B$2:$B$1001,0),IFERROR(MATCH(VALUE($B130),입력_기본자료!$B$2:$B$1001,0),""))))</f>
        <v/>
      </c>
      <c r="AC130" s="10">
        <f>IF($B130="","",IFERROR(MATCH($B130,입력_인턴근무계획!$D$3:$D$402,0),IFERROR(MATCH($B130&amp;"",입력_인턴근무계획!$D$3:$D$402,0),IFERROR(MATCH(VALUE($B130),입력_인턴근무계획!$D$3:$D$402,0),""))))</f>
        <v/>
      </c>
      <c r="AD130" s="10">
        <f>IF(OR($AC130="",출력_인턴현황!$G$3=""),"",INDEX(입력_인턴근무계획!$M$3:$R$402,$AC130,출력_인턴현황!$G$3)&amp;"")</f>
        <v/>
      </c>
      <c r="AE130" s="10">
        <f>IF($B130="","",IF($M130&lt;&gt;"",$M130,IF(IF($AQ130="",FALSE,INDEX(출력_구리근무자!$J$6:$J$305,$AQ130)="구리독자"),"구리병원",IF($AF130&lt;&gt;"",IF(LEFT(INDEX(입력_파견수련계획!$R$4:$R$803,$AF130),1)&lt;&gt;"⚠",INDEX(입력_파견수련계획!$R$4:$R$803,$AF130),IF($H130="","",IF(RIGHT($H130,2)="병원",$H130,$H130&amp;"병원"))),IF($H130="","",IF(RIGHT($H130,2)="병원",$H130,$H130&amp;"병원"))))))</f>
        <v/>
      </c>
      <c r="AF130" s="10">
        <f>IF(OR($B130="",TRIM($J130&amp;"")=""),"",IFERROR(MATCH(TRIM($J130&amp;"")&amp;"|파견중",입력_파견수련계획!$Y$4:$Y$803,0),IFERROR(MATCH(TRIM($J130&amp;"")&amp;"|파견예정",입력_파견수련계획!$Y$4:$Y$803,0),IFERROR(MATCH(TRIM($J130&amp;"")&amp;"|파견종료",입력_파견수련계획!$Y$4:$Y$803,0),""))))</f>
        <v/>
      </c>
      <c r="AG130" s="10">
        <f>IF($B130="","",IF(AND(IF(OR($AC130="",출력_인턴현황!$K$2=""),"",INDEX(입력_인턴근무계획!$M$3:$R$402,$AC130,출력_인턴현황!$K$2)&amp;"")&lt;&gt;"",LEFT(IF(OR($AC130="",출력_인턴현황!$K$2=""),"",INDEX(입력_인턴근무계획!$M$3:$R$402,$AC130,출력_인턴현황!$K$2)&amp;""),1)&lt;&gt;"⚠"),LEFT(IF(OR($AC130="",출력_인턴현황!$K$2=""),"",INDEX(입력_인턴근무계획!$M$3:$R$402,$AC130,출력_인턴현황!$K$2)&amp;""),FIND(" ",IF(OR($AC130="",출력_인턴현황!$K$2=""),"",INDEX(입력_인턴근무계획!$M$3:$R$402,$AC130,출력_인턴현황!$K$2)&amp;""))-1),$AE130))</f>
        <v/>
      </c>
      <c r="AH130" s="17">
        <f>IF($B130="","",IF($AQ130&lt;&gt;"",MAX(0,DAY(EOMONTH(출력_요약!$B$3,0))-N($AR130)),IF(TRIM($J130&amp;"")="",0,SUMPRODUCT((입력_파견수련계획!$Q$4:$Q$803=TRIM($J130&amp;""))*(입력_파견수련계획!$S$4:$S$803="서울병원")*입력_파견수련계획!$W$4:$W$803))+IF($AG130="서울병원",MAX(0,DAY(EOMONTH(출력_요약!$B$3,0))-N($X130)),0)))</f>
        <v/>
      </c>
      <c r="AI130" s="17">
        <f>IF($B130="","",IF($AQ130&lt;&gt;"",N($AR130),IF(TRIM($J130&amp;"")="",0,SUMPRODUCT((입력_파견수련계획!$Q$4:$Q$803=TRIM($J130&amp;""))*(입력_파견수련계획!$S$4:$S$803="구리병원")*입력_파견수련계획!$W$4:$W$803))+IF($AG130="구리병원",MAX(0,DAY(EOMONTH(출력_요약!$B$3,0))-N($X130)),0)))</f>
        <v/>
      </c>
      <c r="AJ130" s="10">
        <f>IF(OR($B130="",TRIM($J130&amp;"")=""),"",IFERROR(MATCH(TRIM($J130&amp;"")&amp;"|월",입력_파견수련계획!$Z$4:$Z$803,0),""))</f>
        <v/>
      </c>
      <c r="AK130" s="10">
        <f>IF(OR($B130="",TRIM($J130&amp;"")=""),"",IFERROR(MATCH(TRIM($J130&amp;"")&amp;"|다기관",입력_파견수련계획!$AE$4:$AE$803,0),""))</f>
        <v/>
      </c>
      <c r="AL130" s="10">
        <f>IF($AK130="","","다기관 "&amp;TEXT(INDEX(입력_파견수련계획!$AB$4:$AB$803,$AK130),"yyyy-mm-dd")&amp;"~"&amp;IF(ISNUMBER(INDEX(입력_파견수련계획!$AC$4:$AC$803,$AK130)),TEXT(INDEX(입력_파견수련계획!$AC$4:$AC$803,$AK130),"yyyy-mm-dd"),""))</f>
        <v/>
      </c>
      <c r="AM130" s="10">
        <f>IF($Y130="서울병원",COUNTIF($Y$2:$Y130,"서울병원"),"")</f>
        <v/>
      </c>
      <c r="AN130" s="10">
        <f>IF(LEFT($Y130,1)="⚠",COUNTIF($Y$2:$Y130,"⚠*"),"")</f>
        <v/>
      </c>
      <c r="AO130" s="10">
        <f>IF(OR($B130="",$Y130=""),"",IF(IF(TRIM($J130&amp;"")="",0,SUMPRODUCT((입력_파견수련계획!$Q$4:$Q$803=TRIM($J130&amp;""))*입력_파견수련계획!$AD$4:$AD$803))&gt;0,"다기관 기간 → 소속병원 지급",IF(AND(N($X130)&lt;=0,$AQ130=""),"파견 없음 → 그 달 근무병원 지급",IF($AH130+$AI130=DAY(EOMONTH(출력_요약!$B$3,0)),"서울 "&amp;$AH130&amp;"일 / 구리 "&amp;$AI130&amp;"일"&amp;IF($AQ130&lt;&gt;""," (구리 근무자명단 반영)","")&amp;" → 15일 이상 근무 병원 지급","타 병원 포함 → "&amp;IF($AJ130="","소속",INDEX(입력_파견수련계획!$T$4:$T$803,$AJ130))&amp;" 규칙"))))</f>
        <v/>
      </c>
      <c r="AP130" s="10">
        <f>IF($B130="","",$C130&amp;"|"&amp;$F130)</f>
        <v/>
      </c>
      <c r="AQ130" s="10">
        <f>IF($B130="","",IFERROR(MATCH(ROW()-1,출력_구리근무자!$K$6:$K$305,0),""))</f>
        <v/>
      </c>
      <c r="AR130" s="10">
        <f>IF($AQ130="","",INDEX(출력_구리근무자!$H$6:$H$305,$AQ130))</f>
        <v/>
      </c>
    </row>
    <row r="131">
      <c r="A131" s="10">
        <f>IF(B131="","",ROW()-1)</f>
        <v/>
      </c>
      <c r="B131" s="19" t="n"/>
      <c r="C131" s="10">
        <f>IF($AB131="","",IF(INDEX(입력_기본자료!$C$2:$C$1001,$AB131)="","",INDEX(입력_기본자료!$C$2:$C$1001,$AB131)))</f>
        <v/>
      </c>
      <c r="D131" s="10">
        <f>IF($AB131="","",IF(INDEX(입력_기본자료!$J$2:$J$1001,$AB131)="","",INDEX(입력_기본자료!$J$2:$J$1001,$AB131)))</f>
        <v/>
      </c>
      <c r="E131" s="11">
        <f>IF($AB131="","",IF(INDEX(입력_기본자료!$K$2:$K$1001,$AB131)="","",IF(NOT(ISNUMBER(INDEX(입력_기본자료!$K$2:$K$1001,$AB131))),INDEX(입력_기본자료!$K$2:$K$1001,$AB131),IF(INDEX(입력_기본자료!$K$2:$K$1001,$AB131)&lt;1000000,INDEX(입력_기본자료!$K$2:$K$1001,$AB131),IF(AND(INDEX(입력_기본자료!$K$2:$K$1001,$AB131)&gt;=10000101,INT(MOD(INDEX(입력_기본자료!$K$2:$K$1001,$AB131),10000)/100)&gt;=1,INT(MOD(INDEX(입력_기본자료!$K$2:$K$1001,$AB131),10000)/100)&lt;=12,MOD(INDEX(입력_기본자료!$K$2:$K$1001,$AB131),100)&gt;=1,MOD(INDEX(입력_기본자료!$K$2:$K$1001,$AB131),100)&lt;=31),DATE(INT(INDEX(입력_기본자료!$K$2:$K$1001,$AB131)/10000),INT(MOD(INDEX(입력_기본자료!$K$2:$K$1001,$AB131),10000)/100),MOD(INDEX(입력_기본자료!$K$2:$K$1001,$AB131),100)),INDEX(입력_기본자료!$K$2:$K$1001,$AB131)&amp;"")))))</f>
        <v/>
      </c>
      <c r="F131" s="10">
        <f>IF($AB131="","",IF(INDEX(입력_기본자료!$D$2:$D$1001,$AB131)="","",INDEX(입력_기본자료!$D$2:$D$1001,$AB131)))</f>
        <v/>
      </c>
      <c r="G131" s="10">
        <f>IF($AB131="","",IF(INDEX(입력_기본자료!$E$2:$E$1001,$AB131)="","",INDEX(입력_기본자료!$E$2:$E$1001,$AB131)))</f>
        <v/>
      </c>
      <c r="H131" s="10">
        <f>IF($AB131="","",IF(INDEX(입력_기본자료!$F$2:$F$1001,$AB131)="","",INDEX(입력_기본자료!$F$2:$F$1001,$AB131)))</f>
        <v/>
      </c>
      <c r="I131" s="11">
        <f>IF($AB131="","",IF(INDEX(입력_기본자료!$G$2:$G$1001,$AB131)="","",IF(NOT(ISNUMBER(INDEX(입력_기본자료!$G$2:$G$1001,$AB131))),INDEX(입력_기본자료!$G$2:$G$1001,$AB131),IF(INDEX(입력_기본자료!$G$2:$G$1001,$AB131)&lt;1000000,INDEX(입력_기본자료!$G$2:$G$1001,$AB131),IF(AND(INDEX(입력_기본자료!$G$2:$G$1001,$AB131)&gt;=10000101,INT(MOD(INDEX(입력_기본자료!$G$2:$G$1001,$AB131),10000)/100)&gt;=1,INT(MOD(INDEX(입력_기본자료!$G$2:$G$1001,$AB131),10000)/100)&lt;=12,MOD(INDEX(입력_기본자료!$G$2:$G$1001,$AB131),100)&gt;=1,MOD(INDEX(입력_기본자료!$G$2:$G$1001,$AB131),100)&lt;=31),DATE(INT(INDEX(입력_기본자료!$G$2:$G$1001,$AB131)/10000),INT(MOD(INDEX(입력_기본자료!$G$2:$G$1001,$AB131),10000)/100),MOD(INDEX(입력_기본자료!$G$2:$G$1001,$AB131),100)),INDEX(입력_기본자료!$G$2:$G$1001,$AB131)&amp;"")))))</f>
        <v/>
      </c>
      <c r="J131" s="10">
        <f>IF($AB131="","",IF(INDEX(입력_기본자료!$H$2:$H$1001,$AB131)="","",INDEX(입력_기본자료!$H$2:$H$1001,$AB131)))</f>
        <v/>
      </c>
      <c r="K131" s="10">
        <f>IF($AB131="","",IF(INDEX(입력_기본자료!$I$2:$I$1001,$AB131)="","",INDEX(입력_기본자료!$I$2:$I$1001,$AB131)))</f>
        <v/>
      </c>
      <c r="L131" s="10">
        <f>IF($AB131="","",IF(INDEX(입력_기본자료!$A$2:$A$1001,$AB131)="","",INDEX(입력_기본자료!$A$2:$A$1001,$AB131)))</f>
        <v/>
      </c>
      <c r="M131" s="15" t="n"/>
      <c r="N131" s="10">
        <f>IF($B131="","",IF(AND($U131="파견중",$Q131&lt;&gt;""),$Q131,IF(AND($AD131&lt;&gt;"",LEFT($AD131,1)&lt;&gt;"⚠"),LEFT($AD131,FIND(" ",$AD131)-1),IF($H131="","",IF(RIGHT($H131,2)="병원",$H131,$H131&amp;"병원")))))</f>
        <v/>
      </c>
      <c r="O131" s="10">
        <f>IF($B131="","",IF(AND($U131="파견중",$Q131&lt;&gt;""),IF($R131&lt;&gt;"",$R131,"파견과 미입력"),IF(AND($AD131&lt;&gt;"",LEFT($AD131,1)&lt;&gt;"⚠"),MID($AD131,FIND(" ",$AD131)+1,60),IF($F131="","",IF($F131="인턴","수련교육부(인턴)",$F131)))))</f>
        <v/>
      </c>
      <c r="P131" s="10">
        <f>IF($B131="","",IF($AK131&lt;&gt;"",IF(AND(TODAY()&gt;=INDEX(입력_파견수련계획!$AB$4:$AB$803,$AK131),OR(NOT(ISNUMBER(INDEX(입력_파견수련계획!$AC$4:$AC$803,$AK131))),TODAY()&lt;=INDEX(입력_파견수련계획!$AC$4:$AC$803,$AK131))),"다기관",IF($AF131="","",INDEX(입력_파견수련계획!$T$4:$T$803,$AF131))),IF($AF131="","",INDEX(입력_파견수련계획!$T$4:$T$803,$AF131))))</f>
        <v/>
      </c>
      <c r="Q131" s="10">
        <f>IF($AF131="","",INDEX(입력_파견수련계획!$S$4:$S$803,$AF131))</f>
        <v/>
      </c>
      <c r="R131" s="10">
        <f>IF($AF131="","",INDEX(입력_파견수련계획!$U$4:$U$803,$AF131))</f>
        <v/>
      </c>
      <c r="S131" s="11">
        <f>IF($AF131="","",IF(INDEX(입력_파견수련계획!$H$4:$H$803,$AF131)="","",INDEX(입력_파견수련계획!$H$4:$H$803,$AF131)))</f>
        <v/>
      </c>
      <c r="T131" s="11">
        <f>IF($AF131="","",IF(INDEX(입력_파견수련계획!$I$4:$I$803,$AF131)="","",INDEX(입력_파견수련계획!$I$4:$I$803,$AF131)))</f>
        <v/>
      </c>
      <c r="U131" s="10">
        <f>IF($AF131="","",INDEX(입력_파견수련계획!$X$4:$X$803,$AF131))</f>
        <v/>
      </c>
      <c r="V131" s="17">
        <f>IF($AF131="","",INDEX(입력_파견수련계획!$V$4:$V$803,$AF131))</f>
        <v/>
      </c>
      <c r="W131" s="17">
        <f>IF(AND($U131="파견중",$T131&lt;&gt;""),$T131-TODAY(),"")</f>
        <v/>
      </c>
      <c r="X131" s="17">
        <f>IF(OR($B131="",TRIM($J131&amp;"")=""),"",SUMPRODUCT((입력_파견수련계획!$Q$4:$Q$803=TRIM($J131&amp;""))*입력_파견수련계획!$W$4:$W$803))</f>
        <v/>
      </c>
      <c r="Y131" s="10">
        <f>IF($B131="","",IF($AG131="","",IF(IF(TRIM($J131&amp;"")="",0,SUMPRODUCT((입력_파견수련계획!$Q$4:$Q$803=TRIM($J131&amp;""))*입력_파견수련계획!$AD$4:$AD$803))&gt;0,$AE131,IF(AND(N($X131)&lt;=0,$AQ131=""),$AG131,IF($AH131+$AI131=DAY(EOMONTH(출력_요약!$B$3,0)),IF(AND($AH131&gt;=출력_요약!$E$3,$AI131&lt;출력_요약!$E$3),"서울병원",IF(AND($AI131&gt;=출력_요약!$E$3,$AH131&lt;출력_요약!$E$3),"구리병원","⚠15일 판정불가(서울 "&amp;$AH131&amp;"일/구리 "&amp;$AI131&amp;"일)")),IF($AJ131="",$AE131,IF(INDEX(입력_파견수련계획!$T$4:$T$803,$AJ131)="통합수련",INDEX(입력_파견수련계획!$S$4:$S$803,$AJ131),$AE131)))))))</f>
        <v/>
      </c>
      <c r="Z131" s="20">
        <f>IF($B131="","",IF($AB131="","기본자료에 없는 사번",IF(COUNTIF($B$2:$B$401,$B131)&gt;1,"중복 사번",IF($AE131="","소속(입사장소) 입력",IF(IF(TRIM($J131&amp;"")="",0,SUMPRODUCT((입력_파견수련계획!$Q$4:$Q$803=TRIM($J131&amp;""))*(입력_파견수련계획!$AA$4:$AA$803&lt;&gt;"")))&gt;0,"파견수련계획 입력오류 확인",IF(LEFT($Y131,1)="⚠","서울·구리 15일 판정 불가(양쪽 모두 이상/미만)",IF(IF($AC131="",0,N(INDEX(입력_인턴근무계획!$T$3:$T$402,$AC131)))&gt;0,"인턴계획 입력오류 확인",IF(AND($AQ131&lt;&gt;"",$AG131&lt;&gt;"구리병원",IF(TRIM($J131&amp;"")="",0,SUMPRODUCT((입력_파견수련계획!$Q$4:$Q$803=TRIM($J131&amp;""))*(입력_파견수련계획!$S$4:$S$803="구리병원")*입력_파견수련계획!$W$4:$W$803))=0),"구리 근무자명단에만 있음(파견수련계획 확인)",IF(AND($AC131&lt;&gt;"",$U131&lt;&gt;"파견중",$N131&lt;&gt;$AE131),"인턴 타지역 근무: 파견 여부 확인","정상")))))))))</f>
        <v/>
      </c>
      <c r="AA131" s="5" t="n"/>
      <c r="AB131" s="10">
        <f>IF($B131="","",IFERROR(MATCH($B131,입력_기본자료!$B$2:$B$1001,0),IFERROR(MATCH($B131&amp;"",입력_기본자료!$B$2:$B$1001,0),IFERROR(MATCH(VALUE($B131),입력_기본자료!$B$2:$B$1001,0),""))))</f>
        <v/>
      </c>
      <c r="AC131" s="10">
        <f>IF($B131="","",IFERROR(MATCH($B131,입력_인턴근무계획!$D$3:$D$402,0),IFERROR(MATCH($B131&amp;"",입력_인턴근무계획!$D$3:$D$402,0),IFERROR(MATCH(VALUE($B131),입력_인턴근무계획!$D$3:$D$402,0),""))))</f>
        <v/>
      </c>
      <c r="AD131" s="10">
        <f>IF(OR($AC131="",출력_인턴현황!$G$3=""),"",INDEX(입력_인턴근무계획!$M$3:$R$402,$AC131,출력_인턴현황!$G$3)&amp;"")</f>
        <v/>
      </c>
      <c r="AE131" s="10">
        <f>IF($B131="","",IF($M131&lt;&gt;"",$M131,IF(IF($AQ131="",FALSE,INDEX(출력_구리근무자!$J$6:$J$305,$AQ131)="구리독자"),"구리병원",IF($AF131&lt;&gt;"",IF(LEFT(INDEX(입력_파견수련계획!$R$4:$R$803,$AF131),1)&lt;&gt;"⚠",INDEX(입력_파견수련계획!$R$4:$R$803,$AF131),IF($H131="","",IF(RIGHT($H131,2)="병원",$H131,$H131&amp;"병원"))),IF($H131="","",IF(RIGHT($H131,2)="병원",$H131,$H131&amp;"병원"))))))</f>
        <v/>
      </c>
      <c r="AF131" s="10">
        <f>IF(OR($B131="",TRIM($J131&amp;"")=""),"",IFERROR(MATCH(TRIM($J131&amp;"")&amp;"|파견중",입력_파견수련계획!$Y$4:$Y$803,0),IFERROR(MATCH(TRIM($J131&amp;"")&amp;"|파견예정",입력_파견수련계획!$Y$4:$Y$803,0),IFERROR(MATCH(TRIM($J131&amp;"")&amp;"|파견종료",입력_파견수련계획!$Y$4:$Y$803,0),""))))</f>
        <v/>
      </c>
      <c r="AG131" s="10">
        <f>IF($B131="","",IF(AND(IF(OR($AC131="",출력_인턴현황!$K$2=""),"",INDEX(입력_인턴근무계획!$M$3:$R$402,$AC131,출력_인턴현황!$K$2)&amp;"")&lt;&gt;"",LEFT(IF(OR($AC131="",출력_인턴현황!$K$2=""),"",INDEX(입력_인턴근무계획!$M$3:$R$402,$AC131,출력_인턴현황!$K$2)&amp;""),1)&lt;&gt;"⚠"),LEFT(IF(OR($AC131="",출력_인턴현황!$K$2=""),"",INDEX(입력_인턴근무계획!$M$3:$R$402,$AC131,출력_인턴현황!$K$2)&amp;""),FIND(" ",IF(OR($AC131="",출력_인턴현황!$K$2=""),"",INDEX(입력_인턴근무계획!$M$3:$R$402,$AC131,출력_인턴현황!$K$2)&amp;""))-1),$AE131))</f>
        <v/>
      </c>
      <c r="AH131" s="17">
        <f>IF($B131="","",IF($AQ131&lt;&gt;"",MAX(0,DAY(EOMONTH(출력_요약!$B$3,0))-N($AR131)),IF(TRIM($J131&amp;"")="",0,SUMPRODUCT((입력_파견수련계획!$Q$4:$Q$803=TRIM($J131&amp;""))*(입력_파견수련계획!$S$4:$S$803="서울병원")*입력_파견수련계획!$W$4:$W$803))+IF($AG131="서울병원",MAX(0,DAY(EOMONTH(출력_요약!$B$3,0))-N($X131)),0)))</f>
        <v/>
      </c>
      <c r="AI131" s="17">
        <f>IF($B131="","",IF($AQ131&lt;&gt;"",N($AR131),IF(TRIM($J131&amp;"")="",0,SUMPRODUCT((입력_파견수련계획!$Q$4:$Q$803=TRIM($J131&amp;""))*(입력_파견수련계획!$S$4:$S$803="구리병원")*입력_파견수련계획!$W$4:$W$803))+IF($AG131="구리병원",MAX(0,DAY(EOMONTH(출력_요약!$B$3,0))-N($X131)),0)))</f>
        <v/>
      </c>
      <c r="AJ131" s="10">
        <f>IF(OR($B131="",TRIM($J131&amp;"")=""),"",IFERROR(MATCH(TRIM($J131&amp;"")&amp;"|월",입력_파견수련계획!$Z$4:$Z$803,0),""))</f>
        <v/>
      </c>
      <c r="AK131" s="10">
        <f>IF(OR($B131="",TRIM($J131&amp;"")=""),"",IFERROR(MATCH(TRIM($J131&amp;"")&amp;"|다기관",입력_파견수련계획!$AE$4:$AE$803,0),""))</f>
        <v/>
      </c>
      <c r="AL131" s="10">
        <f>IF($AK131="","","다기관 "&amp;TEXT(INDEX(입력_파견수련계획!$AB$4:$AB$803,$AK131),"yyyy-mm-dd")&amp;"~"&amp;IF(ISNUMBER(INDEX(입력_파견수련계획!$AC$4:$AC$803,$AK131)),TEXT(INDEX(입력_파견수련계획!$AC$4:$AC$803,$AK131),"yyyy-mm-dd"),""))</f>
        <v/>
      </c>
      <c r="AM131" s="10">
        <f>IF($Y131="서울병원",COUNTIF($Y$2:$Y131,"서울병원"),"")</f>
        <v/>
      </c>
      <c r="AN131" s="10">
        <f>IF(LEFT($Y131,1)="⚠",COUNTIF($Y$2:$Y131,"⚠*"),"")</f>
        <v/>
      </c>
      <c r="AO131" s="10">
        <f>IF(OR($B131="",$Y131=""),"",IF(IF(TRIM($J131&amp;"")="",0,SUMPRODUCT((입력_파견수련계획!$Q$4:$Q$803=TRIM($J131&amp;""))*입력_파견수련계획!$AD$4:$AD$803))&gt;0,"다기관 기간 → 소속병원 지급",IF(AND(N($X131)&lt;=0,$AQ131=""),"파견 없음 → 그 달 근무병원 지급",IF($AH131+$AI131=DAY(EOMONTH(출력_요약!$B$3,0)),"서울 "&amp;$AH131&amp;"일 / 구리 "&amp;$AI131&amp;"일"&amp;IF($AQ131&lt;&gt;""," (구리 근무자명단 반영)","")&amp;" → 15일 이상 근무 병원 지급","타 병원 포함 → "&amp;IF($AJ131="","소속",INDEX(입력_파견수련계획!$T$4:$T$803,$AJ131))&amp;" 규칙"))))</f>
        <v/>
      </c>
      <c r="AP131" s="10">
        <f>IF($B131="","",$C131&amp;"|"&amp;$F131)</f>
        <v/>
      </c>
      <c r="AQ131" s="10">
        <f>IF($B131="","",IFERROR(MATCH(ROW()-1,출력_구리근무자!$K$6:$K$305,0),""))</f>
        <v/>
      </c>
      <c r="AR131" s="10">
        <f>IF($AQ131="","",INDEX(출력_구리근무자!$H$6:$H$305,$AQ131))</f>
        <v/>
      </c>
    </row>
    <row r="132">
      <c r="A132" s="10">
        <f>IF(B132="","",ROW()-1)</f>
        <v/>
      </c>
      <c r="B132" s="19" t="n"/>
      <c r="C132" s="10">
        <f>IF($AB132="","",IF(INDEX(입력_기본자료!$C$2:$C$1001,$AB132)="","",INDEX(입력_기본자료!$C$2:$C$1001,$AB132)))</f>
        <v/>
      </c>
      <c r="D132" s="10">
        <f>IF($AB132="","",IF(INDEX(입력_기본자료!$J$2:$J$1001,$AB132)="","",INDEX(입력_기본자료!$J$2:$J$1001,$AB132)))</f>
        <v/>
      </c>
      <c r="E132" s="11">
        <f>IF($AB132="","",IF(INDEX(입력_기본자료!$K$2:$K$1001,$AB132)="","",IF(NOT(ISNUMBER(INDEX(입력_기본자료!$K$2:$K$1001,$AB132))),INDEX(입력_기본자료!$K$2:$K$1001,$AB132),IF(INDEX(입력_기본자료!$K$2:$K$1001,$AB132)&lt;1000000,INDEX(입력_기본자료!$K$2:$K$1001,$AB132),IF(AND(INDEX(입력_기본자료!$K$2:$K$1001,$AB132)&gt;=10000101,INT(MOD(INDEX(입력_기본자료!$K$2:$K$1001,$AB132),10000)/100)&gt;=1,INT(MOD(INDEX(입력_기본자료!$K$2:$K$1001,$AB132),10000)/100)&lt;=12,MOD(INDEX(입력_기본자료!$K$2:$K$1001,$AB132),100)&gt;=1,MOD(INDEX(입력_기본자료!$K$2:$K$1001,$AB132),100)&lt;=31),DATE(INT(INDEX(입력_기본자료!$K$2:$K$1001,$AB132)/10000),INT(MOD(INDEX(입력_기본자료!$K$2:$K$1001,$AB132),10000)/100),MOD(INDEX(입력_기본자료!$K$2:$K$1001,$AB132),100)),INDEX(입력_기본자료!$K$2:$K$1001,$AB132)&amp;"")))))</f>
        <v/>
      </c>
      <c r="F132" s="10">
        <f>IF($AB132="","",IF(INDEX(입력_기본자료!$D$2:$D$1001,$AB132)="","",INDEX(입력_기본자료!$D$2:$D$1001,$AB132)))</f>
        <v/>
      </c>
      <c r="G132" s="10">
        <f>IF($AB132="","",IF(INDEX(입력_기본자료!$E$2:$E$1001,$AB132)="","",INDEX(입력_기본자료!$E$2:$E$1001,$AB132)))</f>
        <v/>
      </c>
      <c r="H132" s="10">
        <f>IF($AB132="","",IF(INDEX(입력_기본자료!$F$2:$F$1001,$AB132)="","",INDEX(입력_기본자료!$F$2:$F$1001,$AB132)))</f>
        <v/>
      </c>
      <c r="I132" s="11">
        <f>IF($AB132="","",IF(INDEX(입력_기본자료!$G$2:$G$1001,$AB132)="","",IF(NOT(ISNUMBER(INDEX(입력_기본자료!$G$2:$G$1001,$AB132))),INDEX(입력_기본자료!$G$2:$G$1001,$AB132),IF(INDEX(입력_기본자료!$G$2:$G$1001,$AB132)&lt;1000000,INDEX(입력_기본자료!$G$2:$G$1001,$AB132),IF(AND(INDEX(입력_기본자료!$G$2:$G$1001,$AB132)&gt;=10000101,INT(MOD(INDEX(입력_기본자료!$G$2:$G$1001,$AB132),10000)/100)&gt;=1,INT(MOD(INDEX(입력_기본자료!$G$2:$G$1001,$AB132),10000)/100)&lt;=12,MOD(INDEX(입력_기본자료!$G$2:$G$1001,$AB132),100)&gt;=1,MOD(INDEX(입력_기본자료!$G$2:$G$1001,$AB132),100)&lt;=31),DATE(INT(INDEX(입력_기본자료!$G$2:$G$1001,$AB132)/10000),INT(MOD(INDEX(입력_기본자료!$G$2:$G$1001,$AB132),10000)/100),MOD(INDEX(입력_기본자료!$G$2:$G$1001,$AB132),100)),INDEX(입력_기본자료!$G$2:$G$1001,$AB132)&amp;"")))))</f>
        <v/>
      </c>
      <c r="J132" s="10">
        <f>IF($AB132="","",IF(INDEX(입력_기본자료!$H$2:$H$1001,$AB132)="","",INDEX(입력_기본자료!$H$2:$H$1001,$AB132)))</f>
        <v/>
      </c>
      <c r="K132" s="10">
        <f>IF($AB132="","",IF(INDEX(입력_기본자료!$I$2:$I$1001,$AB132)="","",INDEX(입력_기본자료!$I$2:$I$1001,$AB132)))</f>
        <v/>
      </c>
      <c r="L132" s="10">
        <f>IF($AB132="","",IF(INDEX(입력_기본자료!$A$2:$A$1001,$AB132)="","",INDEX(입력_기본자료!$A$2:$A$1001,$AB132)))</f>
        <v/>
      </c>
      <c r="M132" s="15" t="n"/>
      <c r="N132" s="10">
        <f>IF($B132="","",IF(AND($U132="파견중",$Q132&lt;&gt;""),$Q132,IF(AND($AD132&lt;&gt;"",LEFT($AD132,1)&lt;&gt;"⚠"),LEFT($AD132,FIND(" ",$AD132)-1),IF($H132="","",IF(RIGHT($H132,2)="병원",$H132,$H132&amp;"병원")))))</f>
        <v/>
      </c>
      <c r="O132" s="10">
        <f>IF($B132="","",IF(AND($U132="파견중",$Q132&lt;&gt;""),IF($R132&lt;&gt;"",$R132,"파견과 미입력"),IF(AND($AD132&lt;&gt;"",LEFT($AD132,1)&lt;&gt;"⚠"),MID($AD132,FIND(" ",$AD132)+1,60),IF($F132="","",IF($F132="인턴","수련교육부(인턴)",$F132)))))</f>
        <v/>
      </c>
      <c r="P132" s="10">
        <f>IF($B132="","",IF($AK132&lt;&gt;"",IF(AND(TODAY()&gt;=INDEX(입력_파견수련계획!$AB$4:$AB$803,$AK132),OR(NOT(ISNUMBER(INDEX(입력_파견수련계획!$AC$4:$AC$803,$AK132))),TODAY()&lt;=INDEX(입력_파견수련계획!$AC$4:$AC$803,$AK132))),"다기관",IF($AF132="","",INDEX(입력_파견수련계획!$T$4:$T$803,$AF132))),IF($AF132="","",INDEX(입력_파견수련계획!$T$4:$T$803,$AF132))))</f>
        <v/>
      </c>
      <c r="Q132" s="10">
        <f>IF($AF132="","",INDEX(입력_파견수련계획!$S$4:$S$803,$AF132))</f>
        <v/>
      </c>
      <c r="R132" s="10">
        <f>IF($AF132="","",INDEX(입력_파견수련계획!$U$4:$U$803,$AF132))</f>
        <v/>
      </c>
      <c r="S132" s="11">
        <f>IF($AF132="","",IF(INDEX(입력_파견수련계획!$H$4:$H$803,$AF132)="","",INDEX(입력_파견수련계획!$H$4:$H$803,$AF132)))</f>
        <v/>
      </c>
      <c r="T132" s="11">
        <f>IF($AF132="","",IF(INDEX(입력_파견수련계획!$I$4:$I$803,$AF132)="","",INDEX(입력_파견수련계획!$I$4:$I$803,$AF132)))</f>
        <v/>
      </c>
      <c r="U132" s="10">
        <f>IF($AF132="","",INDEX(입력_파견수련계획!$X$4:$X$803,$AF132))</f>
        <v/>
      </c>
      <c r="V132" s="17">
        <f>IF($AF132="","",INDEX(입력_파견수련계획!$V$4:$V$803,$AF132))</f>
        <v/>
      </c>
      <c r="W132" s="17">
        <f>IF(AND($U132="파견중",$T132&lt;&gt;""),$T132-TODAY(),"")</f>
        <v/>
      </c>
      <c r="X132" s="17">
        <f>IF(OR($B132="",TRIM($J132&amp;"")=""),"",SUMPRODUCT((입력_파견수련계획!$Q$4:$Q$803=TRIM($J132&amp;""))*입력_파견수련계획!$W$4:$W$803))</f>
        <v/>
      </c>
      <c r="Y132" s="10">
        <f>IF($B132="","",IF($AG132="","",IF(IF(TRIM($J132&amp;"")="",0,SUMPRODUCT((입력_파견수련계획!$Q$4:$Q$803=TRIM($J132&amp;""))*입력_파견수련계획!$AD$4:$AD$803))&gt;0,$AE132,IF(AND(N($X132)&lt;=0,$AQ132=""),$AG132,IF($AH132+$AI132=DAY(EOMONTH(출력_요약!$B$3,0)),IF(AND($AH132&gt;=출력_요약!$E$3,$AI132&lt;출력_요약!$E$3),"서울병원",IF(AND($AI132&gt;=출력_요약!$E$3,$AH132&lt;출력_요약!$E$3),"구리병원","⚠15일 판정불가(서울 "&amp;$AH132&amp;"일/구리 "&amp;$AI132&amp;"일)")),IF($AJ132="",$AE132,IF(INDEX(입력_파견수련계획!$T$4:$T$803,$AJ132)="통합수련",INDEX(입력_파견수련계획!$S$4:$S$803,$AJ132),$AE132)))))))</f>
        <v/>
      </c>
      <c r="Z132" s="20">
        <f>IF($B132="","",IF($AB132="","기본자료에 없는 사번",IF(COUNTIF($B$2:$B$401,$B132)&gt;1,"중복 사번",IF($AE132="","소속(입사장소) 입력",IF(IF(TRIM($J132&amp;"")="",0,SUMPRODUCT((입력_파견수련계획!$Q$4:$Q$803=TRIM($J132&amp;""))*(입력_파견수련계획!$AA$4:$AA$803&lt;&gt;"")))&gt;0,"파견수련계획 입력오류 확인",IF(LEFT($Y132,1)="⚠","서울·구리 15일 판정 불가(양쪽 모두 이상/미만)",IF(IF($AC132="",0,N(INDEX(입력_인턴근무계획!$T$3:$T$402,$AC132)))&gt;0,"인턴계획 입력오류 확인",IF(AND($AQ132&lt;&gt;"",$AG132&lt;&gt;"구리병원",IF(TRIM($J132&amp;"")="",0,SUMPRODUCT((입력_파견수련계획!$Q$4:$Q$803=TRIM($J132&amp;""))*(입력_파견수련계획!$S$4:$S$803="구리병원")*입력_파견수련계획!$W$4:$W$803))=0),"구리 근무자명단에만 있음(파견수련계획 확인)",IF(AND($AC132&lt;&gt;"",$U132&lt;&gt;"파견중",$N132&lt;&gt;$AE132),"인턴 타지역 근무: 파견 여부 확인","정상")))))))))</f>
        <v/>
      </c>
      <c r="AA132" s="5" t="n"/>
      <c r="AB132" s="10">
        <f>IF($B132="","",IFERROR(MATCH($B132,입력_기본자료!$B$2:$B$1001,0),IFERROR(MATCH($B132&amp;"",입력_기본자료!$B$2:$B$1001,0),IFERROR(MATCH(VALUE($B132),입력_기본자료!$B$2:$B$1001,0),""))))</f>
        <v/>
      </c>
      <c r="AC132" s="10">
        <f>IF($B132="","",IFERROR(MATCH($B132,입력_인턴근무계획!$D$3:$D$402,0),IFERROR(MATCH($B132&amp;"",입력_인턴근무계획!$D$3:$D$402,0),IFERROR(MATCH(VALUE($B132),입력_인턴근무계획!$D$3:$D$402,0),""))))</f>
        <v/>
      </c>
      <c r="AD132" s="10">
        <f>IF(OR($AC132="",출력_인턴현황!$G$3=""),"",INDEX(입력_인턴근무계획!$M$3:$R$402,$AC132,출력_인턴현황!$G$3)&amp;"")</f>
        <v/>
      </c>
      <c r="AE132" s="10">
        <f>IF($B132="","",IF($M132&lt;&gt;"",$M132,IF(IF($AQ132="",FALSE,INDEX(출력_구리근무자!$J$6:$J$305,$AQ132)="구리독자"),"구리병원",IF($AF132&lt;&gt;"",IF(LEFT(INDEX(입력_파견수련계획!$R$4:$R$803,$AF132),1)&lt;&gt;"⚠",INDEX(입력_파견수련계획!$R$4:$R$803,$AF132),IF($H132="","",IF(RIGHT($H132,2)="병원",$H132,$H132&amp;"병원"))),IF($H132="","",IF(RIGHT($H132,2)="병원",$H132,$H132&amp;"병원"))))))</f>
        <v/>
      </c>
      <c r="AF132" s="10">
        <f>IF(OR($B132="",TRIM($J132&amp;"")=""),"",IFERROR(MATCH(TRIM($J132&amp;"")&amp;"|파견중",입력_파견수련계획!$Y$4:$Y$803,0),IFERROR(MATCH(TRIM($J132&amp;"")&amp;"|파견예정",입력_파견수련계획!$Y$4:$Y$803,0),IFERROR(MATCH(TRIM($J132&amp;"")&amp;"|파견종료",입력_파견수련계획!$Y$4:$Y$803,0),""))))</f>
        <v/>
      </c>
      <c r="AG132" s="10">
        <f>IF($B132="","",IF(AND(IF(OR($AC132="",출력_인턴현황!$K$2=""),"",INDEX(입력_인턴근무계획!$M$3:$R$402,$AC132,출력_인턴현황!$K$2)&amp;"")&lt;&gt;"",LEFT(IF(OR($AC132="",출력_인턴현황!$K$2=""),"",INDEX(입력_인턴근무계획!$M$3:$R$402,$AC132,출력_인턴현황!$K$2)&amp;""),1)&lt;&gt;"⚠"),LEFT(IF(OR($AC132="",출력_인턴현황!$K$2=""),"",INDEX(입력_인턴근무계획!$M$3:$R$402,$AC132,출력_인턴현황!$K$2)&amp;""),FIND(" ",IF(OR($AC132="",출력_인턴현황!$K$2=""),"",INDEX(입력_인턴근무계획!$M$3:$R$402,$AC132,출력_인턴현황!$K$2)&amp;""))-1),$AE132))</f>
        <v/>
      </c>
      <c r="AH132" s="17">
        <f>IF($B132="","",IF($AQ132&lt;&gt;"",MAX(0,DAY(EOMONTH(출력_요약!$B$3,0))-N($AR132)),IF(TRIM($J132&amp;"")="",0,SUMPRODUCT((입력_파견수련계획!$Q$4:$Q$803=TRIM($J132&amp;""))*(입력_파견수련계획!$S$4:$S$803="서울병원")*입력_파견수련계획!$W$4:$W$803))+IF($AG132="서울병원",MAX(0,DAY(EOMONTH(출력_요약!$B$3,0))-N($X132)),0)))</f>
        <v/>
      </c>
      <c r="AI132" s="17">
        <f>IF($B132="","",IF($AQ132&lt;&gt;"",N($AR132),IF(TRIM($J132&amp;"")="",0,SUMPRODUCT((입력_파견수련계획!$Q$4:$Q$803=TRIM($J132&amp;""))*(입력_파견수련계획!$S$4:$S$803="구리병원")*입력_파견수련계획!$W$4:$W$803))+IF($AG132="구리병원",MAX(0,DAY(EOMONTH(출력_요약!$B$3,0))-N($X132)),0)))</f>
        <v/>
      </c>
      <c r="AJ132" s="10">
        <f>IF(OR($B132="",TRIM($J132&amp;"")=""),"",IFERROR(MATCH(TRIM($J132&amp;"")&amp;"|월",입력_파견수련계획!$Z$4:$Z$803,0),""))</f>
        <v/>
      </c>
      <c r="AK132" s="10">
        <f>IF(OR($B132="",TRIM($J132&amp;"")=""),"",IFERROR(MATCH(TRIM($J132&amp;"")&amp;"|다기관",입력_파견수련계획!$AE$4:$AE$803,0),""))</f>
        <v/>
      </c>
      <c r="AL132" s="10">
        <f>IF($AK132="","","다기관 "&amp;TEXT(INDEX(입력_파견수련계획!$AB$4:$AB$803,$AK132),"yyyy-mm-dd")&amp;"~"&amp;IF(ISNUMBER(INDEX(입력_파견수련계획!$AC$4:$AC$803,$AK132)),TEXT(INDEX(입력_파견수련계획!$AC$4:$AC$803,$AK132),"yyyy-mm-dd"),""))</f>
        <v/>
      </c>
      <c r="AM132" s="10">
        <f>IF($Y132="서울병원",COUNTIF($Y$2:$Y132,"서울병원"),"")</f>
        <v/>
      </c>
      <c r="AN132" s="10">
        <f>IF(LEFT($Y132,1)="⚠",COUNTIF($Y$2:$Y132,"⚠*"),"")</f>
        <v/>
      </c>
      <c r="AO132" s="10">
        <f>IF(OR($B132="",$Y132=""),"",IF(IF(TRIM($J132&amp;"")="",0,SUMPRODUCT((입력_파견수련계획!$Q$4:$Q$803=TRIM($J132&amp;""))*입력_파견수련계획!$AD$4:$AD$803))&gt;0,"다기관 기간 → 소속병원 지급",IF(AND(N($X132)&lt;=0,$AQ132=""),"파견 없음 → 그 달 근무병원 지급",IF($AH132+$AI132=DAY(EOMONTH(출력_요약!$B$3,0)),"서울 "&amp;$AH132&amp;"일 / 구리 "&amp;$AI132&amp;"일"&amp;IF($AQ132&lt;&gt;""," (구리 근무자명단 반영)","")&amp;" → 15일 이상 근무 병원 지급","타 병원 포함 → "&amp;IF($AJ132="","소속",INDEX(입력_파견수련계획!$T$4:$T$803,$AJ132))&amp;" 규칙"))))</f>
        <v/>
      </c>
      <c r="AP132" s="10">
        <f>IF($B132="","",$C132&amp;"|"&amp;$F132)</f>
        <v/>
      </c>
      <c r="AQ132" s="10">
        <f>IF($B132="","",IFERROR(MATCH(ROW()-1,출력_구리근무자!$K$6:$K$305,0),""))</f>
        <v/>
      </c>
      <c r="AR132" s="10">
        <f>IF($AQ132="","",INDEX(출력_구리근무자!$H$6:$H$305,$AQ132))</f>
        <v/>
      </c>
    </row>
    <row r="133">
      <c r="A133" s="10">
        <f>IF(B133="","",ROW()-1)</f>
        <v/>
      </c>
      <c r="B133" s="19" t="n"/>
      <c r="C133" s="10">
        <f>IF($AB133="","",IF(INDEX(입력_기본자료!$C$2:$C$1001,$AB133)="","",INDEX(입력_기본자료!$C$2:$C$1001,$AB133)))</f>
        <v/>
      </c>
      <c r="D133" s="10">
        <f>IF($AB133="","",IF(INDEX(입력_기본자료!$J$2:$J$1001,$AB133)="","",INDEX(입력_기본자료!$J$2:$J$1001,$AB133)))</f>
        <v/>
      </c>
      <c r="E133" s="11">
        <f>IF($AB133="","",IF(INDEX(입력_기본자료!$K$2:$K$1001,$AB133)="","",IF(NOT(ISNUMBER(INDEX(입력_기본자료!$K$2:$K$1001,$AB133))),INDEX(입력_기본자료!$K$2:$K$1001,$AB133),IF(INDEX(입력_기본자료!$K$2:$K$1001,$AB133)&lt;1000000,INDEX(입력_기본자료!$K$2:$K$1001,$AB133),IF(AND(INDEX(입력_기본자료!$K$2:$K$1001,$AB133)&gt;=10000101,INT(MOD(INDEX(입력_기본자료!$K$2:$K$1001,$AB133),10000)/100)&gt;=1,INT(MOD(INDEX(입력_기본자료!$K$2:$K$1001,$AB133),10000)/100)&lt;=12,MOD(INDEX(입력_기본자료!$K$2:$K$1001,$AB133),100)&gt;=1,MOD(INDEX(입력_기본자료!$K$2:$K$1001,$AB133),100)&lt;=31),DATE(INT(INDEX(입력_기본자료!$K$2:$K$1001,$AB133)/10000),INT(MOD(INDEX(입력_기본자료!$K$2:$K$1001,$AB133),10000)/100),MOD(INDEX(입력_기본자료!$K$2:$K$1001,$AB133),100)),INDEX(입력_기본자료!$K$2:$K$1001,$AB133)&amp;"")))))</f>
        <v/>
      </c>
      <c r="F133" s="10">
        <f>IF($AB133="","",IF(INDEX(입력_기본자료!$D$2:$D$1001,$AB133)="","",INDEX(입력_기본자료!$D$2:$D$1001,$AB133)))</f>
        <v/>
      </c>
      <c r="G133" s="10">
        <f>IF($AB133="","",IF(INDEX(입력_기본자료!$E$2:$E$1001,$AB133)="","",INDEX(입력_기본자료!$E$2:$E$1001,$AB133)))</f>
        <v/>
      </c>
      <c r="H133" s="10">
        <f>IF($AB133="","",IF(INDEX(입력_기본자료!$F$2:$F$1001,$AB133)="","",INDEX(입력_기본자료!$F$2:$F$1001,$AB133)))</f>
        <v/>
      </c>
      <c r="I133" s="11">
        <f>IF($AB133="","",IF(INDEX(입력_기본자료!$G$2:$G$1001,$AB133)="","",IF(NOT(ISNUMBER(INDEX(입력_기본자료!$G$2:$G$1001,$AB133))),INDEX(입력_기본자료!$G$2:$G$1001,$AB133),IF(INDEX(입력_기본자료!$G$2:$G$1001,$AB133)&lt;1000000,INDEX(입력_기본자료!$G$2:$G$1001,$AB133),IF(AND(INDEX(입력_기본자료!$G$2:$G$1001,$AB133)&gt;=10000101,INT(MOD(INDEX(입력_기본자료!$G$2:$G$1001,$AB133),10000)/100)&gt;=1,INT(MOD(INDEX(입력_기본자료!$G$2:$G$1001,$AB133),10000)/100)&lt;=12,MOD(INDEX(입력_기본자료!$G$2:$G$1001,$AB133),100)&gt;=1,MOD(INDEX(입력_기본자료!$G$2:$G$1001,$AB133),100)&lt;=31),DATE(INT(INDEX(입력_기본자료!$G$2:$G$1001,$AB133)/10000),INT(MOD(INDEX(입력_기본자료!$G$2:$G$1001,$AB133),10000)/100),MOD(INDEX(입력_기본자료!$G$2:$G$1001,$AB133),100)),INDEX(입력_기본자료!$G$2:$G$1001,$AB133)&amp;"")))))</f>
        <v/>
      </c>
      <c r="J133" s="10">
        <f>IF($AB133="","",IF(INDEX(입력_기본자료!$H$2:$H$1001,$AB133)="","",INDEX(입력_기본자료!$H$2:$H$1001,$AB133)))</f>
        <v/>
      </c>
      <c r="K133" s="10">
        <f>IF($AB133="","",IF(INDEX(입력_기본자료!$I$2:$I$1001,$AB133)="","",INDEX(입력_기본자료!$I$2:$I$1001,$AB133)))</f>
        <v/>
      </c>
      <c r="L133" s="10">
        <f>IF($AB133="","",IF(INDEX(입력_기본자료!$A$2:$A$1001,$AB133)="","",INDEX(입력_기본자료!$A$2:$A$1001,$AB133)))</f>
        <v/>
      </c>
      <c r="M133" s="15" t="n"/>
      <c r="N133" s="10">
        <f>IF($B133="","",IF(AND($U133="파견중",$Q133&lt;&gt;""),$Q133,IF(AND($AD133&lt;&gt;"",LEFT($AD133,1)&lt;&gt;"⚠"),LEFT($AD133,FIND(" ",$AD133)-1),IF($H133="","",IF(RIGHT($H133,2)="병원",$H133,$H133&amp;"병원")))))</f>
        <v/>
      </c>
      <c r="O133" s="10">
        <f>IF($B133="","",IF(AND($U133="파견중",$Q133&lt;&gt;""),IF($R133&lt;&gt;"",$R133,"파견과 미입력"),IF(AND($AD133&lt;&gt;"",LEFT($AD133,1)&lt;&gt;"⚠"),MID($AD133,FIND(" ",$AD133)+1,60),IF($F133="","",IF($F133="인턴","수련교육부(인턴)",$F133)))))</f>
        <v/>
      </c>
      <c r="P133" s="10">
        <f>IF($B133="","",IF($AK133&lt;&gt;"",IF(AND(TODAY()&gt;=INDEX(입력_파견수련계획!$AB$4:$AB$803,$AK133),OR(NOT(ISNUMBER(INDEX(입력_파견수련계획!$AC$4:$AC$803,$AK133))),TODAY()&lt;=INDEX(입력_파견수련계획!$AC$4:$AC$803,$AK133))),"다기관",IF($AF133="","",INDEX(입력_파견수련계획!$T$4:$T$803,$AF133))),IF($AF133="","",INDEX(입력_파견수련계획!$T$4:$T$803,$AF133))))</f>
        <v/>
      </c>
      <c r="Q133" s="10">
        <f>IF($AF133="","",INDEX(입력_파견수련계획!$S$4:$S$803,$AF133))</f>
        <v/>
      </c>
      <c r="R133" s="10">
        <f>IF($AF133="","",INDEX(입력_파견수련계획!$U$4:$U$803,$AF133))</f>
        <v/>
      </c>
      <c r="S133" s="11">
        <f>IF($AF133="","",IF(INDEX(입력_파견수련계획!$H$4:$H$803,$AF133)="","",INDEX(입력_파견수련계획!$H$4:$H$803,$AF133)))</f>
        <v/>
      </c>
      <c r="T133" s="11">
        <f>IF($AF133="","",IF(INDEX(입력_파견수련계획!$I$4:$I$803,$AF133)="","",INDEX(입력_파견수련계획!$I$4:$I$803,$AF133)))</f>
        <v/>
      </c>
      <c r="U133" s="10">
        <f>IF($AF133="","",INDEX(입력_파견수련계획!$X$4:$X$803,$AF133))</f>
        <v/>
      </c>
      <c r="V133" s="17">
        <f>IF($AF133="","",INDEX(입력_파견수련계획!$V$4:$V$803,$AF133))</f>
        <v/>
      </c>
      <c r="W133" s="17">
        <f>IF(AND($U133="파견중",$T133&lt;&gt;""),$T133-TODAY(),"")</f>
        <v/>
      </c>
      <c r="X133" s="17">
        <f>IF(OR($B133="",TRIM($J133&amp;"")=""),"",SUMPRODUCT((입력_파견수련계획!$Q$4:$Q$803=TRIM($J133&amp;""))*입력_파견수련계획!$W$4:$W$803))</f>
        <v/>
      </c>
      <c r="Y133" s="10">
        <f>IF($B133="","",IF($AG133="","",IF(IF(TRIM($J133&amp;"")="",0,SUMPRODUCT((입력_파견수련계획!$Q$4:$Q$803=TRIM($J133&amp;""))*입력_파견수련계획!$AD$4:$AD$803))&gt;0,$AE133,IF(AND(N($X133)&lt;=0,$AQ133=""),$AG133,IF($AH133+$AI133=DAY(EOMONTH(출력_요약!$B$3,0)),IF(AND($AH133&gt;=출력_요약!$E$3,$AI133&lt;출력_요약!$E$3),"서울병원",IF(AND($AI133&gt;=출력_요약!$E$3,$AH133&lt;출력_요약!$E$3),"구리병원","⚠15일 판정불가(서울 "&amp;$AH133&amp;"일/구리 "&amp;$AI133&amp;"일)")),IF($AJ133="",$AE133,IF(INDEX(입력_파견수련계획!$T$4:$T$803,$AJ133)="통합수련",INDEX(입력_파견수련계획!$S$4:$S$803,$AJ133),$AE133)))))))</f>
        <v/>
      </c>
      <c r="Z133" s="20">
        <f>IF($B133="","",IF($AB133="","기본자료에 없는 사번",IF(COUNTIF($B$2:$B$401,$B133)&gt;1,"중복 사번",IF($AE133="","소속(입사장소) 입력",IF(IF(TRIM($J133&amp;"")="",0,SUMPRODUCT((입력_파견수련계획!$Q$4:$Q$803=TRIM($J133&amp;""))*(입력_파견수련계획!$AA$4:$AA$803&lt;&gt;"")))&gt;0,"파견수련계획 입력오류 확인",IF(LEFT($Y133,1)="⚠","서울·구리 15일 판정 불가(양쪽 모두 이상/미만)",IF(IF($AC133="",0,N(INDEX(입력_인턴근무계획!$T$3:$T$402,$AC133)))&gt;0,"인턴계획 입력오류 확인",IF(AND($AQ133&lt;&gt;"",$AG133&lt;&gt;"구리병원",IF(TRIM($J133&amp;"")="",0,SUMPRODUCT((입력_파견수련계획!$Q$4:$Q$803=TRIM($J133&amp;""))*(입력_파견수련계획!$S$4:$S$803="구리병원")*입력_파견수련계획!$W$4:$W$803))=0),"구리 근무자명단에만 있음(파견수련계획 확인)",IF(AND($AC133&lt;&gt;"",$U133&lt;&gt;"파견중",$N133&lt;&gt;$AE133),"인턴 타지역 근무: 파견 여부 확인","정상")))))))))</f>
        <v/>
      </c>
      <c r="AA133" s="5" t="n"/>
      <c r="AB133" s="10">
        <f>IF($B133="","",IFERROR(MATCH($B133,입력_기본자료!$B$2:$B$1001,0),IFERROR(MATCH($B133&amp;"",입력_기본자료!$B$2:$B$1001,0),IFERROR(MATCH(VALUE($B133),입력_기본자료!$B$2:$B$1001,0),""))))</f>
        <v/>
      </c>
      <c r="AC133" s="10">
        <f>IF($B133="","",IFERROR(MATCH($B133,입력_인턴근무계획!$D$3:$D$402,0),IFERROR(MATCH($B133&amp;"",입력_인턴근무계획!$D$3:$D$402,0),IFERROR(MATCH(VALUE($B133),입력_인턴근무계획!$D$3:$D$402,0),""))))</f>
        <v/>
      </c>
      <c r="AD133" s="10">
        <f>IF(OR($AC133="",출력_인턴현황!$G$3=""),"",INDEX(입력_인턴근무계획!$M$3:$R$402,$AC133,출력_인턴현황!$G$3)&amp;"")</f>
        <v/>
      </c>
      <c r="AE133" s="10">
        <f>IF($B133="","",IF($M133&lt;&gt;"",$M133,IF(IF($AQ133="",FALSE,INDEX(출력_구리근무자!$J$6:$J$305,$AQ133)="구리독자"),"구리병원",IF($AF133&lt;&gt;"",IF(LEFT(INDEX(입력_파견수련계획!$R$4:$R$803,$AF133),1)&lt;&gt;"⚠",INDEX(입력_파견수련계획!$R$4:$R$803,$AF133),IF($H133="","",IF(RIGHT($H133,2)="병원",$H133,$H133&amp;"병원"))),IF($H133="","",IF(RIGHT($H133,2)="병원",$H133,$H133&amp;"병원"))))))</f>
        <v/>
      </c>
      <c r="AF133" s="10">
        <f>IF(OR($B133="",TRIM($J133&amp;"")=""),"",IFERROR(MATCH(TRIM($J133&amp;"")&amp;"|파견중",입력_파견수련계획!$Y$4:$Y$803,0),IFERROR(MATCH(TRIM($J133&amp;"")&amp;"|파견예정",입력_파견수련계획!$Y$4:$Y$803,0),IFERROR(MATCH(TRIM($J133&amp;"")&amp;"|파견종료",입력_파견수련계획!$Y$4:$Y$803,0),""))))</f>
        <v/>
      </c>
      <c r="AG133" s="10">
        <f>IF($B133="","",IF(AND(IF(OR($AC133="",출력_인턴현황!$K$2=""),"",INDEX(입력_인턴근무계획!$M$3:$R$402,$AC133,출력_인턴현황!$K$2)&amp;"")&lt;&gt;"",LEFT(IF(OR($AC133="",출력_인턴현황!$K$2=""),"",INDEX(입력_인턴근무계획!$M$3:$R$402,$AC133,출력_인턴현황!$K$2)&amp;""),1)&lt;&gt;"⚠"),LEFT(IF(OR($AC133="",출력_인턴현황!$K$2=""),"",INDEX(입력_인턴근무계획!$M$3:$R$402,$AC133,출력_인턴현황!$K$2)&amp;""),FIND(" ",IF(OR($AC133="",출력_인턴현황!$K$2=""),"",INDEX(입력_인턴근무계획!$M$3:$R$402,$AC133,출력_인턴현황!$K$2)&amp;""))-1),$AE133))</f>
        <v/>
      </c>
      <c r="AH133" s="17">
        <f>IF($B133="","",IF($AQ133&lt;&gt;"",MAX(0,DAY(EOMONTH(출력_요약!$B$3,0))-N($AR133)),IF(TRIM($J133&amp;"")="",0,SUMPRODUCT((입력_파견수련계획!$Q$4:$Q$803=TRIM($J133&amp;""))*(입력_파견수련계획!$S$4:$S$803="서울병원")*입력_파견수련계획!$W$4:$W$803))+IF($AG133="서울병원",MAX(0,DAY(EOMONTH(출력_요약!$B$3,0))-N($X133)),0)))</f>
        <v/>
      </c>
      <c r="AI133" s="17">
        <f>IF($B133="","",IF($AQ133&lt;&gt;"",N($AR133),IF(TRIM($J133&amp;"")="",0,SUMPRODUCT((입력_파견수련계획!$Q$4:$Q$803=TRIM($J133&amp;""))*(입력_파견수련계획!$S$4:$S$803="구리병원")*입력_파견수련계획!$W$4:$W$803))+IF($AG133="구리병원",MAX(0,DAY(EOMONTH(출력_요약!$B$3,0))-N($X133)),0)))</f>
        <v/>
      </c>
      <c r="AJ133" s="10">
        <f>IF(OR($B133="",TRIM($J133&amp;"")=""),"",IFERROR(MATCH(TRIM($J133&amp;"")&amp;"|월",입력_파견수련계획!$Z$4:$Z$803,0),""))</f>
        <v/>
      </c>
      <c r="AK133" s="10">
        <f>IF(OR($B133="",TRIM($J133&amp;"")=""),"",IFERROR(MATCH(TRIM($J133&amp;"")&amp;"|다기관",입력_파견수련계획!$AE$4:$AE$803,0),""))</f>
        <v/>
      </c>
      <c r="AL133" s="10">
        <f>IF($AK133="","","다기관 "&amp;TEXT(INDEX(입력_파견수련계획!$AB$4:$AB$803,$AK133),"yyyy-mm-dd")&amp;"~"&amp;IF(ISNUMBER(INDEX(입력_파견수련계획!$AC$4:$AC$803,$AK133)),TEXT(INDEX(입력_파견수련계획!$AC$4:$AC$803,$AK133),"yyyy-mm-dd"),""))</f>
        <v/>
      </c>
      <c r="AM133" s="10">
        <f>IF($Y133="서울병원",COUNTIF($Y$2:$Y133,"서울병원"),"")</f>
        <v/>
      </c>
      <c r="AN133" s="10">
        <f>IF(LEFT($Y133,1)="⚠",COUNTIF($Y$2:$Y133,"⚠*"),"")</f>
        <v/>
      </c>
      <c r="AO133" s="10">
        <f>IF(OR($B133="",$Y133=""),"",IF(IF(TRIM($J133&amp;"")="",0,SUMPRODUCT((입력_파견수련계획!$Q$4:$Q$803=TRIM($J133&amp;""))*입력_파견수련계획!$AD$4:$AD$803))&gt;0,"다기관 기간 → 소속병원 지급",IF(AND(N($X133)&lt;=0,$AQ133=""),"파견 없음 → 그 달 근무병원 지급",IF($AH133+$AI133=DAY(EOMONTH(출력_요약!$B$3,0)),"서울 "&amp;$AH133&amp;"일 / 구리 "&amp;$AI133&amp;"일"&amp;IF($AQ133&lt;&gt;""," (구리 근무자명단 반영)","")&amp;" → 15일 이상 근무 병원 지급","타 병원 포함 → "&amp;IF($AJ133="","소속",INDEX(입력_파견수련계획!$T$4:$T$803,$AJ133))&amp;" 규칙"))))</f>
        <v/>
      </c>
      <c r="AP133" s="10">
        <f>IF($B133="","",$C133&amp;"|"&amp;$F133)</f>
        <v/>
      </c>
      <c r="AQ133" s="10">
        <f>IF($B133="","",IFERROR(MATCH(ROW()-1,출력_구리근무자!$K$6:$K$305,0),""))</f>
        <v/>
      </c>
      <c r="AR133" s="10">
        <f>IF($AQ133="","",INDEX(출력_구리근무자!$H$6:$H$305,$AQ133))</f>
        <v/>
      </c>
    </row>
    <row r="134">
      <c r="A134" s="10">
        <f>IF(B134="","",ROW()-1)</f>
        <v/>
      </c>
      <c r="B134" s="19" t="n"/>
      <c r="C134" s="10">
        <f>IF($AB134="","",IF(INDEX(입력_기본자료!$C$2:$C$1001,$AB134)="","",INDEX(입력_기본자료!$C$2:$C$1001,$AB134)))</f>
        <v/>
      </c>
      <c r="D134" s="10">
        <f>IF($AB134="","",IF(INDEX(입력_기본자료!$J$2:$J$1001,$AB134)="","",INDEX(입력_기본자료!$J$2:$J$1001,$AB134)))</f>
        <v/>
      </c>
      <c r="E134" s="11">
        <f>IF($AB134="","",IF(INDEX(입력_기본자료!$K$2:$K$1001,$AB134)="","",IF(NOT(ISNUMBER(INDEX(입력_기본자료!$K$2:$K$1001,$AB134))),INDEX(입력_기본자료!$K$2:$K$1001,$AB134),IF(INDEX(입력_기본자료!$K$2:$K$1001,$AB134)&lt;1000000,INDEX(입력_기본자료!$K$2:$K$1001,$AB134),IF(AND(INDEX(입력_기본자료!$K$2:$K$1001,$AB134)&gt;=10000101,INT(MOD(INDEX(입력_기본자료!$K$2:$K$1001,$AB134),10000)/100)&gt;=1,INT(MOD(INDEX(입력_기본자료!$K$2:$K$1001,$AB134),10000)/100)&lt;=12,MOD(INDEX(입력_기본자료!$K$2:$K$1001,$AB134),100)&gt;=1,MOD(INDEX(입력_기본자료!$K$2:$K$1001,$AB134),100)&lt;=31),DATE(INT(INDEX(입력_기본자료!$K$2:$K$1001,$AB134)/10000),INT(MOD(INDEX(입력_기본자료!$K$2:$K$1001,$AB134),10000)/100),MOD(INDEX(입력_기본자료!$K$2:$K$1001,$AB134),100)),INDEX(입력_기본자료!$K$2:$K$1001,$AB134)&amp;"")))))</f>
        <v/>
      </c>
      <c r="F134" s="10">
        <f>IF($AB134="","",IF(INDEX(입력_기본자료!$D$2:$D$1001,$AB134)="","",INDEX(입력_기본자료!$D$2:$D$1001,$AB134)))</f>
        <v/>
      </c>
      <c r="G134" s="10">
        <f>IF($AB134="","",IF(INDEX(입력_기본자료!$E$2:$E$1001,$AB134)="","",INDEX(입력_기본자료!$E$2:$E$1001,$AB134)))</f>
        <v/>
      </c>
      <c r="H134" s="10">
        <f>IF($AB134="","",IF(INDEX(입력_기본자료!$F$2:$F$1001,$AB134)="","",INDEX(입력_기본자료!$F$2:$F$1001,$AB134)))</f>
        <v/>
      </c>
      <c r="I134" s="11">
        <f>IF($AB134="","",IF(INDEX(입력_기본자료!$G$2:$G$1001,$AB134)="","",IF(NOT(ISNUMBER(INDEX(입력_기본자료!$G$2:$G$1001,$AB134))),INDEX(입력_기본자료!$G$2:$G$1001,$AB134),IF(INDEX(입력_기본자료!$G$2:$G$1001,$AB134)&lt;1000000,INDEX(입력_기본자료!$G$2:$G$1001,$AB134),IF(AND(INDEX(입력_기본자료!$G$2:$G$1001,$AB134)&gt;=10000101,INT(MOD(INDEX(입력_기본자료!$G$2:$G$1001,$AB134),10000)/100)&gt;=1,INT(MOD(INDEX(입력_기본자료!$G$2:$G$1001,$AB134),10000)/100)&lt;=12,MOD(INDEX(입력_기본자료!$G$2:$G$1001,$AB134),100)&gt;=1,MOD(INDEX(입력_기본자료!$G$2:$G$1001,$AB134),100)&lt;=31),DATE(INT(INDEX(입력_기본자료!$G$2:$G$1001,$AB134)/10000),INT(MOD(INDEX(입력_기본자료!$G$2:$G$1001,$AB134),10000)/100),MOD(INDEX(입력_기본자료!$G$2:$G$1001,$AB134),100)),INDEX(입력_기본자료!$G$2:$G$1001,$AB134)&amp;"")))))</f>
        <v/>
      </c>
      <c r="J134" s="10">
        <f>IF($AB134="","",IF(INDEX(입력_기본자료!$H$2:$H$1001,$AB134)="","",INDEX(입력_기본자료!$H$2:$H$1001,$AB134)))</f>
        <v/>
      </c>
      <c r="K134" s="10">
        <f>IF($AB134="","",IF(INDEX(입력_기본자료!$I$2:$I$1001,$AB134)="","",INDEX(입력_기본자료!$I$2:$I$1001,$AB134)))</f>
        <v/>
      </c>
      <c r="L134" s="10">
        <f>IF($AB134="","",IF(INDEX(입력_기본자료!$A$2:$A$1001,$AB134)="","",INDEX(입력_기본자료!$A$2:$A$1001,$AB134)))</f>
        <v/>
      </c>
      <c r="M134" s="15" t="n"/>
      <c r="N134" s="10">
        <f>IF($B134="","",IF(AND($U134="파견중",$Q134&lt;&gt;""),$Q134,IF(AND($AD134&lt;&gt;"",LEFT($AD134,1)&lt;&gt;"⚠"),LEFT($AD134,FIND(" ",$AD134)-1),IF($H134="","",IF(RIGHT($H134,2)="병원",$H134,$H134&amp;"병원")))))</f>
        <v/>
      </c>
      <c r="O134" s="10">
        <f>IF($B134="","",IF(AND($U134="파견중",$Q134&lt;&gt;""),IF($R134&lt;&gt;"",$R134,"파견과 미입력"),IF(AND($AD134&lt;&gt;"",LEFT($AD134,1)&lt;&gt;"⚠"),MID($AD134,FIND(" ",$AD134)+1,60),IF($F134="","",IF($F134="인턴","수련교육부(인턴)",$F134)))))</f>
        <v/>
      </c>
      <c r="P134" s="10">
        <f>IF($B134="","",IF($AK134&lt;&gt;"",IF(AND(TODAY()&gt;=INDEX(입력_파견수련계획!$AB$4:$AB$803,$AK134),OR(NOT(ISNUMBER(INDEX(입력_파견수련계획!$AC$4:$AC$803,$AK134))),TODAY()&lt;=INDEX(입력_파견수련계획!$AC$4:$AC$803,$AK134))),"다기관",IF($AF134="","",INDEX(입력_파견수련계획!$T$4:$T$803,$AF134))),IF($AF134="","",INDEX(입력_파견수련계획!$T$4:$T$803,$AF134))))</f>
        <v/>
      </c>
      <c r="Q134" s="10">
        <f>IF($AF134="","",INDEX(입력_파견수련계획!$S$4:$S$803,$AF134))</f>
        <v/>
      </c>
      <c r="R134" s="10">
        <f>IF($AF134="","",INDEX(입력_파견수련계획!$U$4:$U$803,$AF134))</f>
        <v/>
      </c>
      <c r="S134" s="11">
        <f>IF($AF134="","",IF(INDEX(입력_파견수련계획!$H$4:$H$803,$AF134)="","",INDEX(입력_파견수련계획!$H$4:$H$803,$AF134)))</f>
        <v/>
      </c>
      <c r="T134" s="11">
        <f>IF($AF134="","",IF(INDEX(입력_파견수련계획!$I$4:$I$803,$AF134)="","",INDEX(입력_파견수련계획!$I$4:$I$803,$AF134)))</f>
        <v/>
      </c>
      <c r="U134" s="10">
        <f>IF($AF134="","",INDEX(입력_파견수련계획!$X$4:$X$803,$AF134))</f>
        <v/>
      </c>
      <c r="V134" s="17">
        <f>IF($AF134="","",INDEX(입력_파견수련계획!$V$4:$V$803,$AF134))</f>
        <v/>
      </c>
      <c r="W134" s="17">
        <f>IF(AND($U134="파견중",$T134&lt;&gt;""),$T134-TODAY(),"")</f>
        <v/>
      </c>
      <c r="X134" s="17">
        <f>IF(OR($B134="",TRIM($J134&amp;"")=""),"",SUMPRODUCT((입력_파견수련계획!$Q$4:$Q$803=TRIM($J134&amp;""))*입력_파견수련계획!$W$4:$W$803))</f>
        <v/>
      </c>
      <c r="Y134" s="10">
        <f>IF($B134="","",IF($AG134="","",IF(IF(TRIM($J134&amp;"")="",0,SUMPRODUCT((입력_파견수련계획!$Q$4:$Q$803=TRIM($J134&amp;""))*입력_파견수련계획!$AD$4:$AD$803))&gt;0,$AE134,IF(AND(N($X134)&lt;=0,$AQ134=""),$AG134,IF($AH134+$AI134=DAY(EOMONTH(출력_요약!$B$3,0)),IF(AND($AH134&gt;=출력_요약!$E$3,$AI134&lt;출력_요약!$E$3),"서울병원",IF(AND($AI134&gt;=출력_요약!$E$3,$AH134&lt;출력_요약!$E$3),"구리병원","⚠15일 판정불가(서울 "&amp;$AH134&amp;"일/구리 "&amp;$AI134&amp;"일)")),IF($AJ134="",$AE134,IF(INDEX(입력_파견수련계획!$T$4:$T$803,$AJ134)="통합수련",INDEX(입력_파견수련계획!$S$4:$S$803,$AJ134),$AE134)))))))</f>
        <v/>
      </c>
      <c r="Z134" s="20">
        <f>IF($B134="","",IF($AB134="","기본자료에 없는 사번",IF(COUNTIF($B$2:$B$401,$B134)&gt;1,"중복 사번",IF($AE134="","소속(입사장소) 입력",IF(IF(TRIM($J134&amp;"")="",0,SUMPRODUCT((입력_파견수련계획!$Q$4:$Q$803=TRIM($J134&amp;""))*(입력_파견수련계획!$AA$4:$AA$803&lt;&gt;"")))&gt;0,"파견수련계획 입력오류 확인",IF(LEFT($Y134,1)="⚠","서울·구리 15일 판정 불가(양쪽 모두 이상/미만)",IF(IF($AC134="",0,N(INDEX(입력_인턴근무계획!$T$3:$T$402,$AC134)))&gt;0,"인턴계획 입력오류 확인",IF(AND($AQ134&lt;&gt;"",$AG134&lt;&gt;"구리병원",IF(TRIM($J134&amp;"")="",0,SUMPRODUCT((입력_파견수련계획!$Q$4:$Q$803=TRIM($J134&amp;""))*(입력_파견수련계획!$S$4:$S$803="구리병원")*입력_파견수련계획!$W$4:$W$803))=0),"구리 근무자명단에만 있음(파견수련계획 확인)",IF(AND($AC134&lt;&gt;"",$U134&lt;&gt;"파견중",$N134&lt;&gt;$AE134),"인턴 타지역 근무: 파견 여부 확인","정상")))))))))</f>
        <v/>
      </c>
      <c r="AA134" s="5" t="n"/>
      <c r="AB134" s="10">
        <f>IF($B134="","",IFERROR(MATCH($B134,입력_기본자료!$B$2:$B$1001,0),IFERROR(MATCH($B134&amp;"",입력_기본자료!$B$2:$B$1001,0),IFERROR(MATCH(VALUE($B134),입력_기본자료!$B$2:$B$1001,0),""))))</f>
        <v/>
      </c>
      <c r="AC134" s="10">
        <f>IF($B134="","",IFERROR(MATCH($B134,입력_인턴근무계획!$D$3:$D$402,0),IFERROR(MATCH($B134&amp;"",입력_인턴근무계획!$D$3:$D$402,0),IFERROR(MATCH(VALUE($B134),입력_인턴근무계획!$D$3:$D$402,0),""))))</f>
        <v/>
      </c>
      <c r="AD134" s="10">
        <f>IF(OR($AC134="",출력_인턴현황!$G$3=""),"",INDEX(입력_인턴근무계획!$M$3:$R$402,$AC134,출력_인턴현황!$G$3)&amp;"")</f>
        <v/>
      </c>
      <c r="AE134" s="10">
        <f>IF($B134="","",IF($M134&lt;&gt;"",$M134,IF(IF($AQ134="",FALSE,INDEX(출력_구리근무자!$J$6:$J$305,$AQ134)="구리독자"),"구리병원",IF($AF134&lt;&gt;"",IF(LEFT(INDEX(입력_파견수련계획!$R$4:$R$803,$AF134),1)&lt;&gt;"⚠",INDEX(입력_파견수련계획!$R$4:$R$803,$AF134),IF($H134="","",IF(RIGHT($H134,2)="병원",$H134,$H134&amp;"병원"))),IF($H134="","",IF(RIGHT($H134,2)="병원",$H134,$H134&amp;"병원"))))))</f>
        <v/>
      </c>
      <c r="AF134" s="10">
        <f>IF(OR($B134="",TRIM($J134&amp;"")=""),"",IFERROR(MATCH(TRIM($J134&amp;"")&amp;"|파견중",입력_파견수련계획!$Y$4:$Y$803,0),IFERROR(MATCH(TRIM($J134&amp;"")&amp;"|파견예정",입력_파견수련계획!$Y$4:$Y$803,0),IFERROR(MATCH(TRIM($J134&amp;"")&amp;"|파견종료",입력_파견수련계획!$Y$4:$Y$803,0),""))))</f>
        <v/>
      </c>
      <c r="AG134" s="10">
        <f>IF($B134="","",IF(AND(IF(OR($AC134="",출력_인턴현황!$K$2=""),"",INDEX(입력_인턴근무계획!$M$3:$R$402,$AC134,출력_인턴현황!$K$2)&amp;"")&lt;&gt;"",LEFT(IF(OR($AC134="",출력_인턴현황!$K$2=""),"",INDEX(입력_인턴근무계획!$M$3:$R$402,$AC134,출력_인턴현황!$K$2)&amp;""),1)&lt;&gt;"⚠"),LEFT(IF(OR($AC134="",출력_인턴현황!$K$2=""),"",INDEX(입력_인턴근무계획!$M$3:$R$402,$AC134,출력_인턴현황!$K$2)&amp;""),FIND(" ",IF(OR($AC134="",출력_인턴현황!$K$2=""),"",INDEX(입력_인턴근무계획!$M$3:$R$402,$AC134,출력_인턴현황!$K$2)&amp;""))-1),$AE134))</f>
        <v/>
      </c>
      <c r="AH134" s="17">
        <f>IF($B134="","",IF($AQ134&lt;&gt;"",MAX(0,DAY(EOMONTH(출력_요약!$B$3,0))-N($AR134)),IF(TRIM($J134&amp;"")="",0,SUMPRODUCT((입력_파견수련계획!$Q$4:$Q$803=TRIM($J134&amp;""))*(입력_파견수련계획!$S$4:$S$803="서울병원")*입력_파견수련계획!$W$4:$W$803))+IF($AG134="서울병원",MAX(0,DAY(EOMONTH(출력_요약!$B$3,0))-N($X134)),0)))</f>
        <v/>
      </c>
      <c r="AI134" s="17">
        <f>IF($B134="","",IF($AQ134&lt;&gt;"",N($AR134),IF(TRIM($J134&amp;"")="",0,SUMPRODUCT((입력_파견수련계획!$Q$4:$Q$803=TRIM($J134&amp;""))*(입력_파견수련계획!$S$4:$S$803="구리병원")*입력_파견수련계획!$W$4:$W$803))+IF($AG134="구리병원",MAX(0,DAY(EOMONTH(출력_요약!$B$3,0))-N($X134)),0)))</f>
        <v/>
      </c>
      <c r="AJ134" s="10">
        <f>IF(OR($B134="",TRIM($J134&amp;"")=""),"",IFERROR(MATCH(TRIM($J134&amp;"")&amp;"|월",입력_파견수련계획!$Z$4:$Z$803,0),""))</f>
        <v/>
      </c>
      <c r="AK134" s="10">
        <f>IF(OR($B134="",TRIM($J134&amp;"")=""),"",IFERROR(MATCH(TRIM($J134&amp;"")&amp;"|다기관",입력_파견수련계획!$AE$4:$AE$803,0),""))</f>
        <v/>
      </c>
      <c r="AL134" s="10">
        <f>IF($AK134="","","다기관 "&amp;TEXT(INDEX(입력_파견수련계획!$AB$4:$AB$803,$AK134),"yyyy-mm-dd")&amp;"~"&amp;IF(ISNUMBER(INDEX(입력_파견수련계획!$AC$4:$AC$803,$AK134)),TEXT(INDEX(입력_파견수련계획!$AC$4:$AC$803,$AK134),"yyyy-mm-dd"),""))</f>
        <v/>
      </c>
      <c r="AM134" s="10">
        <f>IF($Y134="서울병원",COUNTIF($Y$2:$Y134,"서울병원"),"")</f>
        <v/>
      </c>
      <c r="AN134" s="10">
        <f>IF(LEFT($Y134,1)="⚠",COUNTIF($Y$2:$Y134,"⚠*"),"")</f>
        <v/>
      </c>
      <c r="AO134" s="10">
        <f>IF(OR($B134="",$Y134=""),"",IF(IF(TRIM($J134&amp;"")="",0,SUMPRODUCT((입력_파견수련계획!$Q$4:$Q$803=TRIM($J134&amp;""))*입력_파견수련계획!$AD$4:$AD$803))&gt;0,"다기관 기간 → 소속병원 지급",IF(AND(N($X134)&lt;=0,$AQ134=""),"파견 없음 → 그 달 근무병원 지급",IF($AH134+$AI134=DAY(EOMONTH(출력_요약!$B$3,0)),"서울 "&amp;$AH134&amp;"일 / 구리 "&amp;$AI134&amp;"일"&amp;IF($AQ134&lt;&gt;""," (구리 근무자명단 반영)","")&amp;" → 15일 이상 근무 병원 지급","타 병원 포함 → "&amp;IF($AJ134="","소속",INDEX(입력_파견수련계획!$T$4:$T$803,$AJ134))&amp;" 규칙"))))</f>
        <v/>
      </c>
      <c r="AP134" s="10">
        <f>IF($B134="","",$C134&amp;"|"&amp;$F134)</f>
        <v/>
      </c>
      <c r="AQ134" s="10">
        <f>IF($B134="","",IFERROR(MATCH(ROW()-1,출력_구리근무자!$K$6:$K$305,0),""))</f>
        <v/>
      </c>
      <c r="AR134" s="10">
        <f>IF($AQ134="","",INDEX(출력_구리근무자!$H$6:$H$305,$AQ134))</f>
        <v/>
      </c>
    </row>
    <row r="135">
      <c r="A135" s="10">
        <f>IF(B135="","",ROW()-1)</f>
        <v/>
      </c>
      <c r="B135" s="19" t="n"/>
      <c r="C135" s="10">
        <f>IF($AB135="","",IF(INDEX(입력_기본자료!$C$2:$C$1001,$AB135)="","",INDEX(입력_기본자료!$C$2:$C$1001,$AB135)))</f>
        <v/>
      </c>
      <c r="D135" s="10">
        <f>IF($AB135="","",IF(INDEX(입력_기본자료!$J$2:$J$1001,$AB135)="","",INDEX(입력_기본자료!$J$2:$J$1001,$AB135)))</f>
        <v/>
      </c>
      <c r="E135" s="11">
        <f>IF($AB135="","",IF(INDEX(입력_기본자료!$K$2:$K$1001,$AB135)="","",IF(NOT(ISNUMBER(INDEX(입력_기본자료!$K$2:$K$1001,$AB135))),INDEX(입력_기본자료!$K$2:$K$1001,$AB135),IF(INDEX(입력_기본자료!$K$2:$K$1001,$AB135)&lt;1000000,INDEX(입력_기본자료!$K$2:$K$1001,$AB135),IF(AND(INDEX(입력_기본자료!$K$2:$K$1001,$AB135)&gt;=10000101,INT(MOD(INDEX(입력_기본자료!$K$2:$K$1001,$AB135),10000)/100)&gt;=1,INT(MOD(INDEX(입력_기본자료!$K$2:$K$1001,$AB135),10000)/100)&lt;=12,MOD(INDEX(입력_기본자료!$K$2:$K$1001,$AB135),100)&gt;=1,MOD(INDEX(입력_기본자료!$K$2:$K$1001,$AB135),100)&lt;=31),DATE(INT(INDEX(입력_기본자료!$K$2:$K$1001,$AB135)/10000),INT(MOD(INDEX(입력_기본자료!$K$2:$K$1001,$AB135),10000)/100),MOD(INDEX(입력_기본자료!$K$2:$K$1001,$AB135),100)),INDEX(입력_기본자료!$K$2:$K$1001,$AB135)&amp;"")))))</f>
        <v/>
      </c>
      <c r="F135" s="10">
        <f>IF($AB135="","",IF(INDEX(입력_기본자료!$D$2:$D$1001,$AB135)="","",INDEX(입력_기본자료!$D$2:$D$1001,$AB135)))</f>
        <v/>
      </c>
      <c r="G135" s="10">
        <f>IF($AB135="","",IF(INDEX(입력_기본자료!$E$2:$E$1001,$AB135)="","",INDEX(입력_기본자료!$E$2:$E$1001,$AB135)))</f>
        <v/>
      </c>
      <c r="H135" s="10">
        <f>IF($AB135="","",IF(INDEX(입력_기본자료!$F$2:$F$1001,$AB135)="","",INDEX(입력_기본자료!$F$2:$F$1001,$AB135)))</f>
        <v/>
      </c>
      <c r="I135" s="11">
        <f>IF($AB135="","",IF(INDEX(입력_기본자료!$G$2:$G$1001,$AB135)="","",IF(NOT(ISNUMBER(INDEX(입력_기본자료!$G$2:$G$1001,$AB135))),INDEX(입력_기본자료!$G$2:$G$1001,$AB135),IF(INDEX(입력_기본자료!$G$2:$G$1001,$AB135)&lt;1000000,INDEX(입력_기본자료!$G$2:$G$1001,$AB135),IF(AND(INDEX(입력_기본자료!$G$2:$G$1001,$AB135)&gt;=10000101,INT(MOD(INDEX(입력_기본자료!$G$2:$G$1001,$AB135),10000)/100)&gt;=1,INT(MOD(INDEX(입력_기본자료!$G$2:$G$1001,$AB135),10000)/100)&lt;=12,MOD(INDEX(입력_기본자료!$G$2:$G$1001,$AB135),100)&gt;=1,MOD(INDEX(입력_기본자료!$G$2:$G$1001,$AB135),100)&lt;=31),DATE(INT(INDEX(입력_기본자료!$G$2:$G$1001,$AB135)/10000),INT(MOD(INDEX(입력_기본자료!$G$2:$G$1001,$AB135),10000)/100),MOD(INDEX(입력_기본자료!$G$2:$G$1001,$AB135),100)),INDEX(입력_기본자료!$G$2:$G$1001,$AB135)&amp;"")))))</f>
        <v/>
      </c>
      <c r="J135" s="10">
        <f>IF($AB135="","",IF(INDEX(입력_기본자료!$H$2:$H$1001,$AB135)="","",INDEX(입력_기본자료!$H$2:$H$1001,$AB135)))</f>
        <v/>
      </c>
      <c r="K135" s="10">
        <f>IF($AB135="","",IF(INDEX(입력_기본자료!$I$2:$I$1001,$AB135)="","",INDEX(입력_기본자료!$I$2:$I$1001,$AB135)))</f>
        <v/>
      </c>
      <c r="L135" s="10">
        <f>IF($AB135="","",IF(INDEX(입력_기본자료!$A$2:$A$1001,$AB135)="","",INDEX(입력_기본자료!$A$2:$A$1001,$AB135)))</f>
        <v/>
      </c>
      <c r="M135" s="15" t="n"/>
      <c r="N135" s="10">
        <f>IF($B135="","",IF(AND($U135="파견중",$Q135&lt;&gt;""),$Q135,IF(AND($AD135&lt;&gt;"",LEFT($AD135,1)&lt;&gt;"⚠"),LEFT($AD135,FIND(" ",$AD135)-1),IF($H135="","",IF(RIGHT($H135,2)="병원",$H135,$H135&amp;"병원")))))</f>
        <v/>
      </c>
      <c r="O135" s="10">
        <f>IF($B135="","",IF(AND($U135="파견중",$Q135&lt;&gt;""),IF($R135&lt;&gt;"",$R135,"파견과 미입력"),IF(AND($AD135&lt;&gt;"",LEFT($AD135,1)&lt;&gt;"⚠"),MID($AD135,FIND(" ",$AD135)+1,60),IF($F135="","",IF($F135="인턴","수련교육부(인턴)",$F135)))))</f>
        <v/>
      </c>
      <c r="P135" s="10">
        <f>IF($B135="","",IF($AK135&lt;&gt;"",IF(AND(TODAY()&gt;=INDEX(입력_파견수련계획!$AB$4:$AB$803,$AK135),OR(NOT(ISNUMBER(INDEX(입력_파견수련계획!$AC$4:$AC$803,$AK135))),TODAY()&lt;=INDEX(입력_파견수련계획!$AC$4:$AC$803,$AK135))),"다기관",IF($AF135="","",INDEX(입력_파견수련계획!$T$4:$T$803,$AF135))),IF($AF135="","",INDEX(입력_파견수련계획!$T$4:$T$803,$AF135))))</f>
        <v/>
      </c>
      <c r="Q135" s="10">
        <f>IF($AF135="","",INDEX(입력_파견수련계획!$S$4:$S$803,$AF135))</f>
        <v/>
      </c>
      <c r="R135" s="10">
        <f>IF($AF135="","",INDEX(입력_파견수련계획!$U$4:$U$803,$AF135))</f>
        <v/>
      </c>
      <c r="S135" s="11">
        <f>IF($AF135="","",IF(INDEX(입력_파견수련계획!$H$4:$H$803,$AF135)="","",INDEX(입력_파견수련계획!$H$4:$H$803,$AF135)))</f>
        <v/>
      </c>
      <c r="T135" s="11">
        <f>IF($AF135="","",IF(INDEX(입력_파견수련계획!$I$4:$I$803,$AF135)="","",INDEX(입력_파견수련계획!$I$4:$I$803,$AF135)))</f>
        <v/>
      </c>
      <c r="U135" s="10">
        <f>IF($AF135="","",INDEX(입력_파견수련계획!$X$4:$X$803,$AF135))</f>
        <v/>
      </c>
      <c r="V135" s="17">
        <f>IF($AF135="","",INDEX(입력_파견수련계획!$V$4:$V$803,$AF135))</f>
        <v/>
      </c>
      <c r="W135" s="17">
        <f>IF(AND($U135="파견중",$T135&lt;&gt;""),$T135-TODAY(),"")</f>
        <v/>
      </c>
      <c r="X135" s="17">
        <f>IF(OR($B135="",TRIM($J135&amp;"")=""),"",SUMPRODUCT((입력_파견수련계획!$Q$4:$Q$803=TRIM($J135&amp;""))*입력_파견수련계획!$W$4:$W$803))</f>
        <v/>
      </c>
      <c r="Y135" s="10">
        <f>IF($B135="","",IF($AG135="","",IF(IF(TRIM($J135&amp;"")="",0,SUMPRODUCT((입력_파견수련계획!$Q$4:$Q$803=TRIM($J135&amp;""))*입력_파견수련계획!$AD$4:$AD$803))&gt;0,$AE135,IF(AND(N($X135)&lt;=0,$AQ135=""),$AG135,IF($AH135+$AI135=DAY(EOMONTH(출력_요약!$B$3,0)),IF(AND($AH135&gt;=출력_요약!$E$3,$AI135&lt;출력_요약!$E$3),"서울병원",IF(AND($AI135&gt;=출력_요약!$E$3,$AH135&lt;출력_요약!$E$3),"구리병원","⚠15일 판정불가(서울 "&amp;$AH135&amp;"일/구리 "&amp;$AI135&amp;"일)")),IF($AJ135="",$AE135,IF(INDEX(입력_파견수련계획!$T$4:$T$803,$AJ135)="통합수련",INDEX(입력_파견수련계획!$S$4:$S$803,$AJ135),$AE135)))))))</f>
        <v/>
      </c>
      <c r="Z135" s="20">
        <f>IF($B135="","",IF($AB135="","기본자료에 없는 사번",IF(COUNTIF($B$2:$B$401,$B135)&gt;1,"중복 사번",IF($AE135="","소속(입사장소) 입력",IF(IF(TRIM($J135&amp;"")="",0,SUMPRODUCT((입력_파견수련계획!$Q$4:$Q$803=TRIM($J135&amp;""))*(입력_파견수련계획!$AA$4:$AA$803&lt;&gt;"")))&gt;0,"파견수련계획 입력오류 확인",IF(LEFT($Y135,1)="⚠","서울·구리 15일 판정 불가(양쪽 모두 이상/미만)",IF(IF($AC135="",0,N(INDEX(입력_인턴근무계획!$T$3:$T$402,$AC135)))&gt;0,"인턴계획 입력오류 확인",IF(AND($AQ135&lt;&gt;"",$AG135&lt;&gt;"구리병원",IF(TRIM($J135&amp;"")="",0,SUMPRODUCT((입력_파견수련계획!$Q$4:$Q$803=TRIM($J135&amp;""))*(입력_파견수련계획!$S$4:$S$803="구리병원")*입력_파견수련계획!$W$4:$W$803))=0),"구리 근무자명단에만 있음(파견수련계획 확인)",IF(AND($AC135&lt;&gt;"",$U135&lt;&gt;"파견중",$N135&lt;&gt;$AE135),"인턴 타지역 근무: 파견 여부 확인","정상")))))))))</f>
        <v/>
      </c>
      <c r="AA135" s="5" t="n"/>
      <c r="AB135" s="10">
        <f>IF($B135="","",IFERROR(MATCH($B135,입력_기본자료!$B$2:$B$1001,0),IFERROR(MATCH($B135&amp;"",입력_기본자료!$B$2:$B$1001,0),IFERROR(MATCH(VALUE($B135),입력_기본자료!$B$2:$B$1001,0),""))))</f>
        <v/>
      </c>
      <c r="AC135" s="10">
        <f>IF($B135="","",IFERROR(MATCH($B135,입력_인턴근무계획!$D$3:$D$402,0),IFERROR(MATCH($B135&amp;"",입력_인턴근무계획!$D$3:$D$402,0),IFERROR(MATCH(VALUE($B135),입력_인턴근무계획!$D$3:$D$402,0),""))))</f>
        <v/>
      </c>
      <c r="AD135" s="10">
        <f>IF(OR($AC135="",출력_인턴현황!$G$3=""),"",INDEX(입력_인턴근무계획!$M$3:$R$402,$AC135,출력_인턴현황!$G$3)&amp;"")</f>
        <v/>
      </c>
      <c r="AE135" s="10">
        <f>IF($B135="","",IF($M135&lt;&gt;"",$M135,IF(IF($AQ135="",FALSE,INDEX(출력_구리근무자!$J$6:$J$305,$AQ135)="구리독자"),"구리병원",IF($AF135&lt;&gt;"",IF(LEFT(INDEX(입력_파견수련계획!$R$4:$R$803,$AF135),1)&lt;&gt;"⚠",INDEX(입력_파견수련계획!$R$4:$R$803,$AF135),IF($H135="","",IF(RIGHT($H135,2)="병원",$H135,$H135&amp;"병원"))),IF($H135="","",IF(RIGHT($H135,2)="병원",$H135,$H135&amp;"병원"))))))</f>
        <v/>
      </c>
      <c r="AF135" s="10">
        <f>IF(OR($B135="",TRIM($J135&amp;"")=""),"",IFERROR(MATCH(TRIM($J135&amp;"")&amp;"|파견중",입력_파견수련계획!$Y$4:$Y$803,0),IFERROR(MATCH(TRIM($J135&amp;"")&amp;"|파견예정",입력_파견수련계획!$Y$4:$Y$803,0),IFERROR(MATCH(TRIM($J135&amp;"")&amp;"|파견종료",입력_파견수련계획!$Y$4:$Y$803,0),""))))</f>
        <v/>
      </c>
      <c r="AG135" s="10">
        <f>IF($B135="","",IF(AND(IF(OR($AC135="",출력_인턴현황!$K$2=""),"",INDEX(입력_인턴근무계획!$M$3:$R$402,$AC135,출력_인턴현황!$K$2)&amp;"")&lt;&gt;"",LEFT(IF(OR($AC135="",출력_인턴현황!$K$2=""),"",INDEX(입력_인턴근무계획!$M$3:$R$402,$AC135,출력_인턴현황!$K$2)&amp;""),1)&lt;&gt;"⚠"),LEFT(IF(OR($AC135="",출력_인턴현황!$K$2=""),"",INDEX(입력_인턴근무계획!$M$3:$R$402,$AC135,출력_인턴현황!$K$2)&amp;""),FIND(" ",IF(OR($AC135="",출력_인턴현황!$K$2=""),"",INDEX(입력_인턴근무계획!$M$3:$R$402,$AC135,출력_인턴현황!$K$2)&amp;""))-1),$AE135))</f>
        <v/>
      </c>
      <c r="AH135" s="17">
        <f>IF($B135="","",IF($AQ135&lt;&gt;"",MAX(0,DAY(EOMONTH(출력_요약!$B$3,0))-N($AR135)),IF(TRIM($J135&amp;"")="",0,SUMPRODUCT((입력_파견수련계획!$Q$4:$Q$803=TRIM($J135&amp;""))*(입력_파견수련계획!$S$4:$S$803="서울병원")*입력_파견수련계획!$W$4:$W$803))+IF($AG135="서울병원",MAX(0,DAY(EOMONTH(출력_요약!$B$3,0))-N($X135)),0)))</f>
        <v/>
      </c>
      <c r="AI135" s="17">
        <f>IF($B135="","",IF($AQ135&lt;&gt;"",N($AR135),IF(TRIM($J135&amp;"")="",0,SUMPRODUCT((입력_파견수련계획!$Q$4:$Q$803=TRIM($J135&amp;""))*(입력_파견수련계획!$S$4:$S$803="구리병원")*입력_파견수련계획!$W$4:$W$803))+IF($AG135="구리병원",MAX(0,DAY(EOMONTH(출력_요약!$B$3,0))-N($X135)),0)))</f>
        <v/>
      </c>
      <c r="AJ135" s="10">
        <f>IF(OR($B135="",TRIM($J135&amp;"")=""),"",IFERROR(MATCH(TRIM($J135&amp;"")&amp;"|월",입력_파견수련계획!$Z$4:$Z$803,0),""))</f>
        <v/>
      </c>
      <c r="AK135" s="10">
        <f>IF(OR($B135="",TRIM($J135&amp;"")=""),"",IFERROR(MATCH(TRIM($J135&amp;"")&amp;"|다기관",입력_파견수련계획!$AE$4:$AE$803,0),""))</f>
        <v/>
      </c>
      <c r="AL135" s="10">
        <f>IF($AK135="","","다기관 "&amp;TEXT(INDEX(입력_파견수련계획!$AB$4:$AB$803,$AK135),"yyyy-mm-dd")&amp;"~"&amp;IF(ISNUMBER(INDEX(입력_파견수련계획!$AC$4:$AC$803,$AK135)),TEXT(INDEX(입력_파견수련계획!$AC$4:$AC$803,$AK135),"yyyy-mm-dd"),""))</f>
        <v/>
      </c>
      <c r="AM135" s="10">
        <f>IF($Y135="서울병원",COUNTIF($Y$2:$Y135,"서울병원"),"")</f>
        <v/>
      </c>
      <c r="AN135" s="10">
        <f>IF(LEFT($Y135,1)="⚠",COUNTIF($Y$2:$Y135,"⚠*"),"")</f>
        <v/>
      </c>
      <c r="AO135" s="10">
        <f>IF(OR($B135="",$Y135=""),"",IF(IF(TRIM($J135&amp;"")="",0,SUMPRODUCT((입력_파견수련계획!$Q$4:$Q$803=TRIM($J135&amp;""))*입력_파견수련계획!$AD$4:$AD$803))&gt;0,"다기관 기간 → 소속병원 지급",IF(AND(N($X135)&lt;=0,$AQ135=""),"파견 없음 → 그 달 근무병원 지급",IF($AH135+$AI135=DAY(EOMONTH(출력_요약!$B$3,0)),"서울 "&amp;$AH135&amp;"일 / 구리 "&amp;$AI135&amp;"일"&amp;IF($AQ135&lt;&gt;""," (구리 근무자명단 반영)","")&amp;" → 15일 이상 근무 병원 지급","타 병원 포함 → "&amp;IF($AJ135="","소속",INDEX(입력_파견수련계획!$T$4:$T$803,$AJ135))&amp;" 규칙"))))</f>
        <v/>
      </c>
      <c r="AP135" s="10">
        <f>IF($B135="","",$C135&amp;"|"&amp;$F135)</f>
        <v/>
      </c>
      <c r="AQ135" s="10">
        <f>IF($B135="","",IFERROR(MATCH(ROW()-1,출력_구리근무자!$K$6:$K$305,0),""))</f>
        <v/>
      </c>
      <c r="AR135" s="10">
        <f>IF($AQ135="","",INDEX(출력_구리근무자!$H$6:$H$305,$AQ135))</f>
        <v/>
      </c>
    </row>
    <row r="136">
      <c r="A136" s="10">
        <f>IF(B136="","",ROW()-1)</f>
        <v/>
      </c>
      <c r="B136" s="19" t="n"/>
      <c r="C136" s="10">
        <f>IF($AB136="","",IF(INDEX(입력_기본자료!$C$2:$C$1001,$AB136)="","",INDEX(입력_기본자료!$C$2:$C$1001,$AB136)))</f>
        <v/>
      </c>
      <c r="D136" s="10">
        <f>IF($AB136="","",IF(INDEX(입력_기본자료!$J$2:$J$1001,$AB136)="","",INDEX(입력_기본자료!$J$2:$J$1001,$AB136)))</f>
        <v/>
      </c>
      <c r="E136" s="11">
        <f>IF($AB136="","",IF(INDEX(입력_기본자료!$K$2:$K$1001,$AB136)="","",IF(NOT(ISNUMBER(INDEX(입력_기본자료!$K$2:$K$1001,$AB136))),INDEX(입력_기본자료!$K$2:$K$1001,$AB136),IF(INDEX(입력_기본자료!$K$2:$K$1001,$AB136)&lt;1000000,INDEX(입력_기본자료!$K$2:$K$1001,$AB136),IF(AND(INDEX(입력_기본자료!$K$2:$K$1001,$AB136)&gt;=10000101,INT(MOD(INDEX(입력_기본자료!$K$2:$K$1001,$AB136),10000)/100)&gt;=1,INT(MOD(INDEX(입력_기본자료!$K$2:$K$1001,$AB136),10000)/100)&lt;=12,MOD(INDEX(입력_기본자료!$K$2:$K$1001,$AB136),100)&gt;=1,MOD(INDEX(입력_기본자료!$K$2:$K$1001,$AB136),100)&lt;=31),DATE(INT(INDEX(입력_기본자료!$K$2:$K$1001,$AB136)/10000),INT(MOD(INDEX(입력_기본자료!$K$2:$K$1001,$AB136),10000)/100),MOD(INDEX(입력_기본자료!$K$2:$K$1001,$AB136),100)),INDEX(입력_기본자료!$K$2:$K$1001,$AB136)&amp;"")))))</f>
        <v/>
      </c>
      <c r="F136" s="10">
        <f>IF($AB136="","",IF(INDEX(입력_기본자료!$D$2:$D$1001,$AB136)="","",INDEX(입력_기본자료!$D$2:$D$1001,$AB136)))</f>
        <v/>
      </c>
      <c r="G136" s="10">
        <f>IF($AB136="","",IF(INDEX(입력_기본자료!$E$2:$E$1001,$AB136)="","",INDEX(입력_기본자료!$E$2:$E$1001,$AB136)))</f>
        <v/>
      </c>
      <c r="H136" s="10">
        <f>IF($AB136="","",IF(INDEX(입력_기본자료!$F$2:$F$1001,$AB136)="","",INDEX(입력_기본자료!$F$2:$F$1001,$AB136)))</f>
        <v/>
      </c>
      <c r="I136" s="11">
        <f>IF($AB136="","",IF(INDEX(입력_기본자료!$G$2:$G$1001,$AB136)="","",IF(NOT(ISNUMBER(INDEX(입력_기본자료!$G$2:$G$1001,$AB136))),INDEX(입력_기본자료!$G$2:$G$1001,$AB136),IF(INDEX(입력_기본자료!$G$2:$G$1001,$AB136)&lt;1000000,INDEX(입력_기본자료!$G$2:$G$1001,$AB136),IF(AND(INDEX(입력_기본자료!$G$2:$G$1001,$AB136)&gt;=10000101,INT(MOD(INDEX(입력_기본자료!$G$2:$G$1001,$AB136),10000)/100)&gt;=1,INT(MOD(INDEX(입력_기본자료!$G$2:$G$1001,$AB136),10000)/100)&lt;=12,MOD(INDEX(입력_기본자료!$G$2:$G$1001,$AB136),100)&gt;=1,MOD(INDEX(입력_기본자료!$G$2:$G$1001,$AB136),100)&lt;=31),DATE(INT(INDEX(입력_기본자료!$G$2:$G$1001,$AB136)/10000),INT(MOD(INDEX(입력_기본자료!$G$2:$G$1001,$AB136),10000)/100),MOD(INDEX(입력_기본자료!$G$2:$G$1001,$AB136),100)),INDEX(입력_기본자료!$G$2:$G$1001,$AB136)&amp;"")))))</f>
        <v/>
      </c>
      <c r="J136" s="10">
        <f>IF($AB136="","",IF(INDEX(입력_기본자료!$H$2:$H$1001,$AB136)="","",INDEX(입력_기본자료!$H$2:$H$1001,$AB136)))</f>
        <v/>
      </c>
      <c r="K136" s="10">
        <f>IF($AB136="","",IF(INDEX(입력_기본자료!$I$2:$I$1001,$AB136)="","",INDEX(입력_기본자료!$I$2:$I$1001,$AB136)))</f>
        <v/>
      </c>
      <c r="L136" s="10">
        <f>IF($AB136="","",IF(INDEX(입력_기본자료!$A$2:$A$1001,$AB136)="","",INDEX(입력_기본자료!$A$2:$A$1001,$AB136)))</f>
        <v/>
      </c>
      <c r="M136" s="15" t="n"/>
      <c r="N136" s="10">
        <f>IF($B136="","",IF(AND($U136="파견중",$Q136&lt;&gt;""),$Q136,IF(AND($AD136&lt;&gt;"",LEFT($AD136,1)&lt;&gt;"⚠"),LEFT($AD136,FIND(" ",$AD136)-1),IF($H136="","",IF(RIGHT($H136,2)="병원",$H136,$H136&amp;"병원")))))</f>
        <v/>
      </c>
      <c r="O136" s="10">
        <f>IF($B136="","",IF(AND($U136="파견중",$Q136&lt;&gt;""),IF($R136&lt;&gt;"",$R136,"파견과 미입력"),IF(AND($AD136&lt;&gt;"",LEFT($AD136,1)&lt;&gt;"⚠"),MID($AD136,FIND(" ",$AD136)+1,60),IF($F136="","",IF($F136="인턴","수련교육부(인턴)",$F136)))))</f>
        <v/>
      </c>
      <c r="P136" s="10">
        <f>IF($B136="","",IF($AK136&lt;&gt;"",IF(AND(TODAY()&gt;=INDEX(입력_파견수련계획!$AB$4:$AB$803,$AK136),OR(NOT(ISNUMBER(INDEX(입력_파견수련계획!$AC$4:$AC$803,$AK136))),TODAY()&lt;=INDEX(입력_파견수련계획!$AC$4:$AC$803,$AK136))),"다기관",IF($AF136="","",INDEX(입력_파견수련계획!$T$4:$T$803,$AF136))),IF($AF136="","",INDEX(입력_파견수련계획!$T$4:$T$803,$AF136))))</f>
        <v/>
      </c>
      <c r="Q136" s="10">
        <f>IF($AF136="","",INDEX(입력_파견수련계획!$S$4:$S$803,$AF136))</f>
        <v/>
      </c>
      <c r="R136" s="10">
        <f>IF($AF136="","",INDEX(입력_파견수련계획!$U$4:$U$803,$AF136))</f>
        <v/>
      </c>
      <c r="S136" s="11">
        <f>IF($AF136="","",IF(INDEX(입력_파견수련계획!$H$4:$H$803,$AF136)="","",INDEX(입력_파견수련계획!$H$4:$H$803,$AF136)))</f>
        <v/>
      </c>
      <c r="T136" s="11">
        <f>IF($AF136="","",IF(INDEX(입력_파견수련계획!$I$4:$I$803,$AF136)="","",INDEX(입력_파견수련계획!$I$4:$I$803,$AF136)))</f>
        <v/>
      </c>
      <c r="U136" s="10">
        <f>IF($AF136="","",INDEX(입력_파견수련계획!$X$4:$X$803,$AF136))</f>
        <v/>
      </c>
      <c r="V136" s="17">
        <f>IF($AF136="","",INDEX(입력_파견수련계획!$V$4:$V$803,$AF136))</f>
        <v/>
      </c>
      <c r="W136" s="17">
        <f>IF(AND($U136="파견중",$T136&lt;&gt;""),$T136-TODAY(),"")</f>
        <v/>
      </c>
      <c r="X136" s="17">
        <f>IF(OR($B136="",TRIM($J136&amp;"")=""),"",SUMPRODUCT((입력_파견수련계획!$Q$4:$Q$803=TRIM($J136&amp;""))*입력_파견수련계획!$W$4:$W$803))</f>
        <v/>
      </c>
      <c r="Y136" s="10">
        <f>IF($B136="","",IF($AG136="","",IF(IF(TRIM($J136&amp;"")="",0,SUMPRODUCT((입력_파견수련계획!$Q$4:$Q$803=TRIM($J136&amp;""))*입력_파견수련계획!$AD$4:$AD$803))&gt;0,$AE136,IF(AND(N($X136)&lt;=0,$AQ136=""),$AG136,IF($AH136+$AI136=DAY(EOMONTH(출력_요약!$B$3,0)),IF(AND($AH136&gt;=출력_요약!$E$3,$AI136&lt;출력_요약!$E$3),"서울병원",IF(AND($AI136&gt;=출력_요약!$E$3,$AH136&lt;출력_요약!$E$3),"구리병원","⚠15일 판정불가(서울 "&amp;$AH136&amp;"일/구리 "&amp;$AI136&amp;"일)")),IF($AJ136="",$AE136,IF(INDEX(입력_파견수련계획!$T$4:$T$803,$AJ136)="통합수련",INDEX(입력_파견수련계획!$S$4:$S$803,$AJ136),$AE136)))))))</f>
        <v/>
      </c>
      <c r="Z136" s="20">
        <f>IF($B136="","",IF($AB136="","기본자료에 없는 사번",IF(COUNTIF($B$2:$B$401,$B136)&gt;1,"중복 사번",IF($AE136="","소속(입사장소) 입력",IF(IF(TRIM($J136&amp;"")="",0,SUMPRODUCT((입력_파견수련계획!$Q$4:$Q$803=TRIM($J136&amp;""))*(입력_파견수련계획!$AA$4:$AA$803&lt;&gt;"")))&gt;0,"파견수련계획 입력오류 확인",IF(LEFT($Y136,1)="⚠","서울·구리 15일 판정 불가(양쪽 모두 이상/미만)",IF(IF($AC136="",0,N(INDEX(입력_인턴근무계획!$T$3:$T$402,$AC136)))&gt;0,"인턴계획 입력오류 확인",IF(AND($AQ136&lt;&gt;"",$AG136&lt;&gt;"구리병원",IF(TRIM($J136&amp;"")="",0,SUMPRODUCT((입력_파견수련계획!$Q$4:$Q$803=TRIM($J136&amp;""))*(입력_파견수련계획!$S$4:$S$803="구리병원")*입력_파견수련계획!$W$4:$W$803))=0),"구리 근무자명단에만 있음(파견수련계획 확인)",IF(AND($AC136&lt;&gt;"",$U136&lt;&gt;"파견중",$N136&lt;&gt;$AE136),"인턴 타지역 근무: 파견 여부 확인","정상")))))))))</f>
        <v/>
      </c>
      <c r="AA136" s="5" t="n"/>
      <c r="AB136" s="10">
        <f>IF($B136="","",IFERROR(MATCH($B136,입력_기본자료!$B$2:$B$1001,0),IFERROR(MATCH($B136&amp;"",입력_기본자료!$B$2:$B$1001,0),IFERROR(MATCH(VALUE($B136),입력_기본자료!$B$2:$B$1001,0),""))))</f>
        <v/>
      </c>
      <c r="AC136" s="10">
        <f>IF($B136="","",IFERROR(MATCH($B136,입력_인턴근무계획!$D$3:$D$402,0),IFERROR(MATCH($B136&amp;"",입력_인턴근무계획!$D$3:$D$402,0),IFERROR(MATCH(VALUE($B136),입력_인턴근무계획!$D$3:$D$402,0),""))))</f>
        <v/>
      </c>
      <c r="AD136" s="10">
        <f>IF(OR($AC136="",출력_인턴현황!$G$3=""),"",INDEX(입력_인턴근무계획!$M$3:$R$402,$AC136,출력_인턴현황!$G$3)&amp;"")</f>
        <v/>
      </c>
      <c r="AE136" s="10">
        <f>IF($B136="","",IF($M136&lt;&gt;"",$M136,IF(IF($AQ136="",FALSE,INDEX(출력_구리근무자!$J$6:$J$305,$AQ136)="구리독자"),"구리병원",IF($AF136&lt;&gt;"",IF(LEFT(INDEX(입력_파견수련계획!$R$4:$R$803,$AF136),1)&lt;&gt;"⚠",INDEX(입력_파견수련계획!$R$4:$R$803,$AF136),IF($H136="","",IF(RIGHT($H136,2)="병원",$H136,$H136&amp;"병원"))),IF($H136="","",IF(RIGHT($H136,2)="병원",$H136,$H136&amp;"병원"))))))</f>
        <v/>
      </c>
      <c r="AF136" s="10">
        <f>IF(OR($B136="",TRIM($J136&amp;"")=""),"",IFERROR(MATCH(TRIM($J136&amp;"")&amp;"|파견중",입력_파견수련계획!$Y$4:$Y$803,0),IFERROR(MATCH(TRIM($J136&amp;"")&amp;"|파견예정",입력_파견수련계획!$Y$4:$Y$803,0),IFERROR(MATCH(TRIM($J136&amp;"")&amp;"|파견종료",입력_파견수련계획!$Y$4:$Y$803,0),""))))</f>
        <v/>
      </c>
      <c r="AG136" s="10">
        <f>IF($B136="","",IF(AND(IF(OR($AC136="",출력_인턴현황!$K$2=""),"",INDEX(입력_인턴근무계획!$M$3:$R$402,$AC136,출력_인턴현황!$K$2)&amp;"")&lt;&gt;"",LEFT(IF(OR($AC136="",출력_인턴현황!$K$2=""),"",INDEX(입력_인턴근무계획!$M$3:$R$402,$AC136,출력_인턴현황!$K$2)&amp;""),1)&lt;&gt;"⚠"),LEFT(IF(OR($AC136="",출력_인턴현황!$K$2=""),"",INDEX(입력_인턴근무계획!$M$3:$R$402,$AC136,출력_인턴현황!$K$2)&amp;""),FIND(" ",IF(OR($AC136="",출력_인턴현황!$K$2=""),"",INDEX(입력_인턴근무계획!$M$3:$R$402,$AC136,출력_인턴현황!$K$2)&amp;""))-1),$AE136))</f>
        <v/>
      </c>
      <c r="AH136" s="17">
        <f>IF($B136="","",IF($AQ136&lt;&gt;"",MAX(0,DAY(EOMONTH(출력_요약!$B$3,0))-N($AR136)),IF(TRIM($J136&amp;"")="",0,SUMPRODUCT((입력_파견수련계획!$Q$4:$Q$803=TRIM($J136&amp;""))*(입력_파견수련계획!$S$4:$S$803="서울병원")*입력_파견수련계획!$W$4:$W$803))+IF($AG136="서울병원",MAX(0,DAY(EOMONTH(출력_요약!$B$3,0))-N($X136)),0)))</f>
        <v/>
      </c>
      <c r="AI136" s="17">
        <f>IF($B136="","",IF($AQ136&lt;&gt;"",N($AR136),IF(TRIM($J136&amp;"")="",0,SUMPRODUCT((입력_파견수련계획!$Q$4:$Q$803=TRIM($J136&amp;""))*(입력_파견수련계획!$S$4:$S$803="구리병원")*입력_파견수련계획!$W$4:$W$803))+IF($AG136="구리병원",MAX(0,DAY(EOMONTH(출력_요약!$B$3,0))-N($X136)),0)))</f>
        <v/>
      </c>
      <c r="AJ136" s="10">
        <f>IF(OR($B136="",TRIM($J136&amp;"")=""),"",IFERROR(MATCH(TRIM($J136&amp;"")&amp;"|월",입력_파견수련계획!$Z$4:$Z$803,0),""))</f>
        <v/>
      </c>
      <c r="AK136" s="10">
        <f>IF(OR($B136="",TRIM($J136&amp;"")=""),"",IFERROR(MATCH(TRIM($J136&amp;"")&amp;"|다기관",입력_파견수련계획!$AE$4:$AE$803,0),""))</f>
        <v/>
      </c>
      <c r="AL136" s="10">
        <f>IF($AK136="","","다기관 "&amp;TEXT(INDEX(입력_파견수련계획!$AB$4:$AB$803,$AK136),"yyyy-mm-dd")&amp;"~"&amp;IF(ISNUMBER(INDEX(입력_파견수련계획!$AC$4:$AC$803,$AK136)),TEXT(INDEX(입력_파견수련계획!$AC$4:$AC$803,$AK136),"yyyy-mm-dd"),""))</f>
        <v/>
      </c>
      <c r="AM136" s="10">
        <f>IF($Y136="서울병원",COUNTIF($Y$2:$Y136,"서울병원"),"")</f>
        <v/>
      </c>
      <c r="AN136" s="10">
        <f>IF(LEFT($Y136,1)="⚠",COUNTIF($Y$2:$Y136,"⚠*"),"")</f>
        <v/>
      </c>
      <c r="AO136" s="10">
        <f>IF(OR($B136="",$Y136=""),"",IF(IF(TRIM($J136&amp;"")="",0,SUMPRODUCT((입력_파견수련계획!$Q$4:$Q$803=TRIM($J136&amp;""))*입력_파견수련계획!$AD$4:$AD$803))&gt;0,"다기관 기간 → 소속병원 지급",IF(AND(N($X136)&lt;=0,$AQ136=""),"파견 없음 → 그 달 근무병원 지급",IF($AH136+$AI136=DAY(EOMONTH(출력_요약!$B$3,0)),"서울 "&amp;$AH136&amp;"일 / 구리 "&amp;$AI136&amp;"일"&amp;IF($AQ136&lt;&gt;""," (구리 근무자명단 반영)","")&amp;" → 15일 이상 근무 병원 지급","타 병원 포함 → "&amp;IF($AJ136="","소속",INDEX(입력_파견수련계획!$T$4:$T$803,$AJ136))&amp;" 규칙"))))</f>
        <v/>
      </c>
      <c r="AP136" s="10">
        <f>IF($B136="","",$C136&amp;"|"&amp;$F136)</f>
        <v/>
      </c>
      <c r="AQ136" s="10">
        <f>IF($B136="","",IFERROR(MATCH(ROW()-1,출력_구리근무자!$K$6:$K$305,0),""))</f>
        <v/>
      </c>
      <c r="AR136" s="10">
        <f>IF($AQ136="","",INDEX(출력_구리근무자!$H$6:$H$305,$AQ136))</f>
        <v/>
      </c>
    </row>
    <row r="137">
      <c r="A137" s="10">
        <f>IF(B137="","",ROW()-1)</f>
        <v/>
      </c>
      <c r="B137" s="19" t="n"/>
      <c r="C137" s="10">
        <f>IF($AB137="","",IF(INDEX(입력_기본자료!$C$2:$C$1001,$AB137)="","",INDEX(입력_기본자료!$C$2:$C$1001,$AB137)))</f>
        <v/>
      </c>
      <c r="D137" s="10">
        <f>IF($AB137="","",IF(INDEX(입력_기본자료!$J$2:$J$1001,$AB137)="","",INDEX(입력_기본자료!$J$2:$J$1001,$AB137)))</f>
        <v/>
      </c>
      <c r="E137" s="11">
        <f>IF($AB137="","",IF(INDEX(입력_기본자료!$K$2:$K$1001,$AB137)="","",IF(NOT(ISNUMBER(INDEX(입력_기본자료!$K$2:$K$1001,$AB137))),INDEX(입력_기본자료!$K$2:$K$1001,$AB137),IF(INDEX(입력_기본자료!$K$2:$K$1001,$AB137)&lt;1000000,INDEX(입력_기본자료!$K$2:$K$1001,$AB137),IF(AND(INDEX(입력_기본자료!$K$2:$K$1001,$AB137)&gt;=10000101,INT(MOD(INDEX(입력_기본자료!$K$2:$K$1001,$AB137),10000)/100)&gt;=1,INT(MOD(INDEX(입력_기본자료!$K$2:$K$1001,$AB137),10000)/100)&lt;=12,MOD(INDEX(입력_기본자료!$K$2:$K$1001,$AB137),100)&gt;=1,MOD(INDEX(입력_기본자료!$K$2:$K$1001,$AB137),100)&lt;=31),DATE(INT(INDEX(입력_기본자료!$K$2:$K$1001,$AB137)/10000),INT(MOD(INDEX(입력_기본자료!$K$2:$K$1001,$AB137),10000)/100),MOD(INDEX(입력_기본자료!$K$2:$K$1001,$AB137),100)),INDEX(입력_기본자료!$K$2:$K$1001,$AB137)&amp;"")))))</f>
        <v/>
      </c>
      <c r="F137" s="10">
        <f>IF($AB137="","",IF(INDEX(입력_기본자료!$D$2:$D$1001,$AB137)="","",INDEX(입력_기본자료!$D$2:$D$1001,$AB137)))</f>
        <v/>
      </c>
      <c r="G137" s="10">
        <f>IF($AB137="","",IF(INDEX(입력_기본자료!$E$2:$E$1001,$AB137)="","",INDEX(입력_기본자료!$E$2:$E$1001,$AB137)))</f>
        <v/>
      </c>
      <c r="H137" s="10">
        <f>IF($AB137="","",IF(INDEX(입력_기본자료!$F$2:$F$1001,$AB137)="","",INDEX(입력_기본자료!$F$2:$F$1001,$AB137)))</f>
        <v/>
      </c>
      <c r="I137" s="11">
        <f>IF($AB137="","",IF(INDEX(입력_기본자료!$G$2:$G$1001,$AB137)="","",IF(NOT(ISNUMBER(INDEX(입력_기본자료!$G$2:$G$1001,$AB137))),INDEX(입력_기본자료!$G$2:$G$1001,$AB137),IF(INDEX(입력_기본자료!$G$2:$G$1001,$AB137)&lt;1000000,INDEX(입력_기본자료!$G$2:$G$1001,$AB137),IF(AND(INDEX(입력_기본자료!$G$2:$G$1001,$AB137)&gt;=10000101,INT(MOD(INDEX(입력_기본자료!$G$2:$G$1001,$AB137),10000)/100)&gt;=1,INT(MOD(INDEX(입력_기본자료!$G$2:$G$1001,$AB137),10000)/100)&lt;=12,MOD(INDEX(입력_기본자료!$G$2:$G$1001,$AB137),100)&gt;=1,MOD(INDEX(입력_기본자료!$G$2:$G$1001,$AB137),100)&lt;=31),DATE(INT(INDEX(입력_기본자료!$G$2:$G$1001,$AB137)/10000),INT(MOD(INDEX(입력_기본자료!$G$2:$G$1001,$AB137),10000)/100),MOD(INDEX(입력_기본자료!$G$2:$G$1001,$AB137),100)),INDEX(입력_기본자료!$G$2:$G$1001,$AB137)&amp;"")))))</f>
        <v/>
      </c>
      <c r="J137" s="10">
        <f>IF($AB137="","",IF(INDEX(입력_기본자료!$H$2:$H$1001,$AB137)="","",INDEX(입력_기본자료!$H$2:$H$1001,$AB137)))</f>
        <v/>
      </c>
      <c r="K137" s="10">
        <f>IF($AB137="","",IF(INDEX(입력_기본자료!$I$2:$I$1001,$AB137)="","",INDEX(입력_기본자료!$I$2:$I$1001,$AB137)))</f>
        <v/>
      </c>
      <c r="L137" s="10">
        <f>IF($AB137="","",IF(INDEX(입력_기본자료!$A$2:$A$1001,$AB137)="","",INDEX(입력_기본자료!$A$2:$A$1001,$AB137)))</f>
        <v/>
      </c>
      <c r="M137" s="15" t="n"/>
      <c r="N137" s="10">
        <f>IF($B137="","",IF(AND($U137="파견중",$Q137&lt;&gt;""),$Q137,IF(AND($AD137&lt;&gt;"",LEFT($AD137,1)&lt;&gt;"⚠"),LEFT($AD137,FIND(" ",$AD137)-1),IF($H137="","",IF(RIGHT($H137,2)="병원",$H137,$H137&amp;"병원")))))</f>
        <v/>
      </c>
      <c r="O137" s="10">
        <f>IF($B137="","",IF(AND($U137="파견중",$Q137&lt;&gt;""),IF($R137&lt;&gt;"",$R137,"파견과 미입력"),IF(AND($AD137&lt;&gt;"",LEFT($AD137,1)&lt;&gt;"⚠"),MID($AD137,FIND(" ",$AD137)+1,60),IF($F137="","",IF($F137="인턴","수련교육부(인턴)",$F137)))))</f>
        <v/>
      </c>
      <c r="P137" s="10">
        <f>IF($B137="","",IF($AK137&lt;&gt;"",IF(AND(TODAY()&gt;=INDEX(입력_파견수련계획!$AB$4:$AB$803,$AK137),OR(NOT(ISNUMBER(INDEX(입력_파견수련계획!$AC$4:$AC$803,$AK137))),TODAY()&lt;=INDEX(입력_파견수련계획!$AC$4:$AC$803,$AK137))),"다기관",IF($AF137="","",INDEX(입력_파견수련계획!$T$4:$T$803,$AF137))),IF($AF137="","",INDEX(입력_파견수련계획!$T$4:$T$803,$AF137))))</f>
        <v/>
      </c>
      <c r="Q137" s="10">
        <f>IF($AF137="","",INDEX(입력_파견수련계획!$S$4:$S$803,$AF137))</f>
        <v/>
      </c>
      <c r="R137" s="10">
        <f>IF($AF137="","",INDEX(입력_파견수련계획!$U$4:$U$803,$AF137))</f>
        <v/>
      </c>
      <c r="S137" s="11">
        <f>IF($AF137="","",IF(INDEX(입력_파견수련계획!$H$4:$H$803,$AF137)="","",INDEX(입력_파견수련계획!$H$4:$H$803,$AF137)))</f>
        <v/>
      </c>
      <c r="T137" s="11">
        <f>IF($AF137="","",IF(INDEX(입력_파견수련계획!$I$4:$I$803,$AF137)="","",INDEX(입력_파견수련계획!$I$4:$I$803,$AF137)))</f>
        <v/>
      </c>
      <c r="U137" s="10">
        <f>IF($AF137="","",INDEX(입력_파견수련계획!$X$4:$X$803,$AF137))</f>
        <v/>
      </c>
      <c r="V137" s="17">
        <f>IF($AF137="","",INDEX(입력_파견수련계획!$V$4:$V$803,$AF137))</f>
        <v/>
      </c>
      <c r="W137" s="17">
        <f>IF(AND($U137="파견중",$T137&lt;&gt;""),$T137-TODAY(),"")</f>
        <v/>
      </c>
      <c r="X137" s="17">
        <f>IF(OR($B137="",TRIM($J137&amp;"")=""),"",SUMPRODUCT((입력_파견수련계획!$Q$4:$Q$803=TRIM($J137&amp;""))*입력_파견수련계획!$W$4:$W$803))</f>
        <v/>
      </c>
      <c r="Y137" s="10">
        <f>IF($B137="","",IF($AG137="","",IF(IF(TRIM($J137&amp;"")="",0,SUMPRODUCT((입력_파견수련계획!$Q$4:$Q$803=TRIM($J137&amp;""))*입력_파견수련계획!$AD$4:$AD$803))&gt;0,$AE137,IF(AND(N($X137)&lt;=0,$AQ137=""),$AG137,IF($AH137+$AI137=DAY(EOMONTH(출력_요약!$B$3,0)),IF(AND($AH137&gt;=출력_요약!$E$3,$AI137&lt;출력_요약!$E$3),"서울병원",IF(AND($AI137&gt;=출력_요약!$E$3,$AH137&lt;출력_요약!$E$3),"구리병원","⚠15일 판정불가(서울 "&amp;$AH137&amp;"일/구리 "&amp;$AI137&amp;"일)")),IF($AJ137="",$AE137,IF(INDEX(입력_파견수련계획!$T$4:$T$803,$AJ137)="통합수련",INDEX(입력_파견수련계획!$S$4:$S$803,$AJ137),$AE137)))))))</f>
        <v/>
      </c>
      <c r="Z137" s="20">
        <f>IF($B137="","",IF($AB137="","기본자료에 없는 사번",IF(COUNTIF($B$2:$B$401,$B137)&gt;1,"중복 사번",IF($AE137="","소속(입사장소) 입력",IF(IF(TRIM($J137&amp;"")="",0,SUMPRODUCT((입력_파견수련계획!$Q$4:$Q$803=TRIM($J137&amp;""))*(입력_파견수련계획!$AA$4:$AA$803&lt;&gt;"")))&gt;0,"파견수련계획 입력오류 확인",IF(LEFT($Y137,1)="⚠","서울·구리 15일 판정 불가(양쪽 모두 이상/미만)",IF(IF($AC137="",0,N(INDEX(입력_인턴근무계획!$T$3:$T$402,$AC137)))&gt;0,"인턴계획 입력오류 확인",IF(AND($AQ137&lt;&gt;"",$AG137&lt;&gt;"구리병원",IF(TRIM($J137&amp;"")="",0,SUMPRODUCT((입력_파견수련계획!$Q$4:$Q$803=TRIM($J137&amp;""))*(입력_파견수련계획!$S$4:$S$803="구리병원")*입력_파견수련계획!$W$4:$W$803))=0),"구리 근무자명단에만 있음(파견수련계획 확인)",IF(AND($AC137&lt;&gt;"",$U137&lt;&gt;"파견중",$N137&lt;&gt;$AE137),"인턴 타지역 근무: 파견 여부 확인","정상")))))))))</f>
        <v/>
      </c>
      <c r="AA137" s="5" t="n"/>
      <c r="AB137" s="10">
        <f>IF($B137="","",IFERROR(MATCH($B137,입력_기본자료!$B$2:$B$1001,0),IFERROR(MATCH($B137&amp;"",입력_기본자료!$B$2:$B$1001,0),IFERROR(MATCH(VALUE($B137),입력_기본자료!$B$2:$B$1001,0),""))))</f>
        <v/>
      </c>
      <c r="AC137" s="10">
        <f>IF($B137="","",IFERROR(MATCH($B137,입력_인턴근무계획!$D$3:$D$402,0),IFERROR(MATCH($B137&amp;"",입력_인턴근무계획!$D$3:$D$402,0),IFERROR(MATCH(VALUE($B137),입력_인턴근무계획!$D$3:$D$402,0),""))))</f>
        <v/>
      </c>
      <c r="AD137" s="10">
        <f>IF(OR($AC137="",출력_인턴현황!$G$3=""),"",INDEX(입력_인턴근무계획!$M$3:$R$402,$AC137,출력_인턴현황!$G$3)&amp;"")</f>
        <v/>
      </c>
      <c r="AE137" s="10">
        <f>IF($B137="","",IF($M137&lt;&gt;"",$M137,IF(IF($AQ137="",FALSE,INDEX(출력_구리근무자!$J$6:$J$305,$AQ137)="구리독자"),"구리병원",IF($AF137&lt;&gt;"",IF(LEFT(INDEX(입력_파견수련계획!$R$4:$R$803,$AF137),1)&lt;&gt;"⚠",INDEX(입력_파견수련계획!$R$4:$R$803,$AF137),IF($H137="","",IF(RIGHT($H137,2)="병원",$H137,$H137&amp;"병원"))),IF($H137="","",IF(RIGHT($H137,2)="병원",$H137,$H137&amp;"병원"))))))</f>
        <v/>
      </c>
      <c r="AF137" s="10">
        <f>IF(OR($B137="",TRIM($J137&amp;"")=""),"",IFERROR(MATCH(TRIM($J137&amp;"")&amp;"|파견중",입력_파견수련계획!$Y$4:$Y$803,0),IFERROR(MATCH(TRIM($J137&amp;"")&amp;"|파견예정",입력_파견수련계획!$Y$4:$Y$803,0),IFERROR(MATCH(TRIM($J137&amp;"")&amp;"|파견종료",입력_파견수련계획!$Y$4:$Y$803,0),""))))</f>
        <v/>
      </c>
      <c r="AG137" s="10">
        <f>IF($B137="","",IF(AND(IF(OR($AC137="",출력_인턴현황!$K$2=""),"",INDEX(입력_인턴근무계획!$M$3:$R$402,$AC137,출력_인턴현황!$K$2)&amp;"")&lt;&gt;"",LEFT(IF(OR($AC137="",출력_인턴현황!$K$2=""),"",INDEX(입력_인턴근무계획!$M$3:$R$402,$AC137,출력_인턴현황!$K$2)&amp;""),1)&lt;&gt;"⚠"),LEFT(IF(OR($AC137="",출력_인턴현황!$K$2=""),"",INDEX(입력_인턴근무계획!$M$3:$R$402,$AC137,출력_인턴현황!$K$2)&amp;""),FIND(" ",IF(OR($AC137="",출력_인턴현황!$K$2=""),"",INDEX(입력_인턴근무계획!$M$3:$R$402,$AC137,출력_인턴현황!$K$2)&amp;""))-1),$AE137))</f>
        <v/>
      </c>
      <c r="AH137" s="17">
        <f>IF($B137="","",IF($AQ137&lt;&gt;"",MAX(0,DAY(EOMONTH(출력_요약!$B$3,0))-N($AR137)),IF(TRIM($J137&amp;"")="",0,SUMPRODUCT((입력_파견수련계획!$Q$4:$Q$803=TRIM($J137&amp;""))*(입력_파견수련계획!$S$4:$S$803="서울병원")*입력_파견수련계획!$W$4:$W$803))+IF($AG137="서울병원",MAX(0,DAY(EOMONTH(출력_요약!$B$3,0))-N($X137)),0)))</f>
        <v/>
      </c>
      <c r="AI137" s="17">
        <f>IF($B137="","",IF($AQ137&lt;&gt;"",N($AR137),IF(TRIM($J137&amp;"")="",0,SUMPRODUCT((입력_파견수련계획!$Q$4:$Q$803=TRIM($J137&amp;""))*(입력_파견수련계획!$S$4:$S$803="구리병원")*입력_파견수련계획!$W$4:$W$803))+IF($AG137="구리병원",MAX(0,DAY(EOMONTH(출력_요약!$B$3,0))-N($X137)),0)))</f>
        <v/>
      </c>
      <c r="AJ137" s="10">
        <f>IF(OR($B137="",TRIM($J137&amp;"")=""),"",IFERROR(MATCH(TRIM($J137&amp;"")&amp;"|월",입력_파견수련계획!$Z$4:$Z$803,0),""))</f>
        <v/>
      </c>
      <c r="AK137" s="10">
        <f>IF(OR($B137="",TRIM($J137&amp;"")=""),"",IFERROR(MATCH(TRIM($J137&amp;"")&amp;"|다기관",입력_파견수련계획!$AE$4:$AE$803,0),""))</f>
        <v/>
      </c>
      <c r="AL137" s="10">
        <f>IF($AK137="","","다기관 "&amp;TEXT(INDEX(입력_파견수련계획!$AB$4:$AB$803,$AK137),"yyyy-mm-dd")&amp;"~"&amp;IF(ISNUMBER(INDEX(입력_파견수련계획!$AC$4:$AC$803,$AK137)),TEXT(INDEX(입력_파견수련계획!$AC$4:$AC$803,$AK137),"yyyy-mm-dd"),""))</f>
        <v/>
      </c>
      <c r="AM137" s="10">
        <f>IF($Y137="서울병원",COUNTIF($Y$2:$Y137,"서울병원"),"")</f>
        <v/>
      </c>
      <c r="AN137" s="10">
        <f>IF(LEFT($Y137,1)="⚠",COUNTIF($Y$2:$Y137,"⚠*"),"")</f>
        <v/>
      </c>
      <c r="AO137" s="10">
        <f>IF(OR($B137="",$Y137=""),"",IF(IF(TRIM($J137&amp;"")="",0,SUMPRODUCT((입력_파견수련계획!$Q$4:$Q$803=TRIM($J137&amp;""))*입력_파견수련계획!$AD$4:$AD$803))&gt;0,"다기관 기간 → 소속병원 지급",IF(AND(N($X137)&lt;=0,$AQ137=""),"파견 없음 → 그 달 근무병원 지급",IF($AH137+$AI137=DAY(EOMONTH(출력_요약!$B$3,0)),"서울 "&amp;$AH137&amp;"일 / 구리 "&amp;$AI137&amp;"일"&amp;IF($AQ137&lt;&gt;""," (구리 근무자명단 반영)","")&amp;" → 15일 이상 근무 병원 지급","타 병원 포함 → "&amp;IF($AJ137="","소속",INDEX(입력_파견수련계획!$T$4:$T$803,$AJ137))&amp;" 규칙"))))</f>
        <v/>
      </c>
      <c r="AP137" s="10">
        <f>IF($B137="","",$C137&amp;"|"&amp;$F137)</f>
        <v/>
      </c>
      <c r="AQ137" s="10">
        <f>IF($B137="","",IFERROR(MATCH(ROW()-1,출력_구리근무자!$K$6:$K$305,0),""))</f>
        <v/>
      </c>
      <c r="AR137" s="10">
        <f>IF($AQ137="","",INDEX(출력_구리근무자!$H$6:$H$305,$AQ137))</f>
        <v/>
      </c>
    </row>
    <row r="138">
      <c r="A138" s="10">
        <f>IF(B138="","",ROW()-1)</f>
        <v/>
      </c>
      <c r="B138" s="19" t="n"/>
      <c r="C138" s="10">
        <f>IF($AB138="","",IF(INDEX(입력_기본자료!$C$2:$C$1001,$AB138)="","",INDEX(입력_기본자료!$C$2:$C$1001,$AB138)))</f>
        <v/>
      </c>
      <c r="D138" s="10">
        <f>IF($AB138="","",IF(INDEX(입력_기본자료!$J$2:$J$1001,$AB138)="","",INDEX(입력_기본자료!$J$2:$J$1001,$AB138)))</f>
        <v/>
      </c>
      <c r="E138" s="11">
        <f>IF($AB138="","",IF(INDEX(입력_기본자료!$K$2:$K$1001,$AB138)="","",IF(NOT(ISNUMBER(INDEX(입력_기본자료!$K$2:$K$1001,$AB138))),INDEX(입력_기본자료!$K$2:$K$1001,$AB138),IF(INDEX(입력_기본자료!$K$2:$K$1001,$AB138)&lt;1000000,INDEX(입력_기본자료!$K$2:$K$1001,$AB138),IF(AND(INDEX(입력_기본자료!$K$2:$K$1001,$AB138)&gt;=10000101,INT(MOD(INDEX(입력_기본자료!$K$2:$K$1001,$AB138),10000)/100)&gt;=1,INT(MOD(INDEX(입력_기본자료!$K$2:$K$1001,$AB138),10000)/100)&lt;=12,MOD(INDEX(입력_기본자료!$K$2:$K$1001,$AB138),100)&gt;=1,MOD(INDEX(입력_기본자료!$K$2:$K$1001,$AB138),100)&lt;=31),DATE(INT(INDEX(입력_기본자료!$K$2:$K$1001,$AB138)/10000),INT(MOD(INDEX(입력_기본자료!$K$2:$K$1001,$AB138),10000)/100),MOD(INDEX(입력_기본자료!$K$2:$K$1001,$AB138),100)),INDEX(입력_기본자료!$K$2:$K$1001,$AB138)&amp;"")))))</f>
        <v/>
      </c>
      <c r="F138" s="10">
        <f>IF($AB138="","",IF(INDEX(입력_기본자료!$D$2:$D$1001,$AB138)="","",INDEX(입력_기본자료!$D$2:$D$1001,$AB138)))</f>
        <v/>
      </c>
      <c r="G138" s="10">
        <f>IF($AB138="","",IF(INDEX(입력_기본자료!$E$2:$E$1001,$AB138)="","",INDEX(입력_기본자료!$E$2:$E$1001,$AB138)))</f>
        <v/>
      </c>
      <c r="H138" s="10">
        <f>IF($AB138="","",IF(INDEX(입력_기본자료!$F$2:$F$1001,$AB138)="","",INDEX(입력_기본자료!$F$2:$F$1001,$AB138)))</f>
        <v/>
      </c>
      <c r="I138" s="11">
        <f>IF($AB138="","",IF(INDEX(입력_기본자료!$G$2:$G$1001,$AB138)="","",IF(NOT(ISNUMBER(INDEX(입력_기본자료!$G$2:$G$1001,$AB138))),INDEX(입력_기본자료!$G$2:$G$1001,$AB138),IF(INDEX(입력_기본자료!$G$2:$G$1001,$AB138)&lt;1000000,INDEX(입력_기본자료!$G$2:$G$1001,$AB138),IF(AND(INDEX(입력_기본자료!$G$2:$G$1001,$AB138)&gt;=10000101,INT(MOD(INDEX(입력_기본자료!$G$2:$G$1001,$AB138),10000)/100)&gt;=1,INT(MOD(INDEX(입력_기본자료!$G$2:$G$1001,$AB138),10000)/100)&lt;=12,MOD(INDEX(입력_기본자료!$G$2:$G$1001,$AB138),100)&gt;=1,MOD(INDEX(입력_기본자료!$G$2:$G$1001,$AB138),100)&lt;=31),DATE(INT(INDEX(입력_기본자료!$G$2:$G$1001,$AB138)/10000),INT(MOD(INDEX(입력_기본자료!$G$2:$G$1001,$AB138),10000)/100),MOD(INDEX(입력_기본자료!$G$2:$G$1001,$AB138),100)),INDEX(입력_기본자료!$G$2:$G$1001,$AB138)&amp;"")))))</f>
        <v/>
      </c>
      <c r="J138" s="10">
        <f>IF($AB138="","",IF(INDEX(입력_기본자료!$H$2:$H$1001,$AB138)="","",INDEX(입력_기본자료!$H$2:$H$1001,$AB138)))</f>
        <v/>
      </c>
      <c r="K138" s="10">
        <f>IF($AB138="","",IF(INDEX(입력_기본자료!$I$2:$I$1001,$AB138)="","",INDEX(입력_기본자료!$I$2:$I$1001,$AB138)))</f>
        <v/>
      </c>
      <c r="L138" s="10">
        <f>IF($AB138="","",IF(INDEX(입력_기본자료!$A$2:$A$1001,$AB138)="","",INDEX(입력_기본자료!$A$2:$A$1001,$AB138)))</f>
        <v/>
      </c>
      <c r="M138" s="15" t="n"/>
      <c r="N138" s="10">
        <f>IF($B138="","",IF(AND($U138="파견중",$Q138&lt;&gt;""),$Q138,IF(AND($AD138&lt;&gt;"",LEFT($AD138,1)&lt;&gt;"⚠"),LEFT($AD138,FIND(" ",$AD138)-1),IF($H138="","",IF(RIGHT($H138,2)="병원",$H138,$H138&amp;"병원")))))</f>
        <v/>
      </c>
      <c r="O138" s="10">
        <f>IF($B138="","",IF(AND($U138="파견중",$Q138&lt;&gt;""),IF($R138&lt;&gt;"",$R138,"파견과 미입력"),IF(AND($AD138&lt;&gt;"",LEFT($AD138,1)&lt;&gt;"⚠"),MID($AD138,FIND(" ",$AD138)+1,60),IF($F138="","",IF($F138="인턴","수련교육부(인턴)",$F138)))))</f>
        <v/>
      </c>
      <c r="P138" s="10">
        <f>IF($B138="","",IF($AK138&lt;&gt;"",IF(AND(TODAY()&gt;=INDEX(입력_파견수련계획!$AB$4:$AB$803,$AK138),OR(NOT(ISNUMBER(INDEX(입력_파견수련계획!$AC$4:$AC$803,$AK138))),TODAY()&lt;=INDEX(입력_파견수련계획!$AC$4:$AC$803,$AK138))),"다기관",IF($AF138="","",INDEX(입력_파견수련계획!$T$4:$T$803,$AF138))),IF($AF138="","",INDEX(입력_파견수련계획!$T$4:$T$803,$AF138))))</f>
        <v/>
      </c>
      <c r="Q138" s="10">
        <f>IF($AF138="","",INDEX(입력_파견수련계획!$S$4:$S$803,$AF138))</f>
        <v/>
      </c>
      <c r="R138" s="10">
        <f>IF($AF138="","",INDEX(입력_파견수련계획!$U$4:$U$803,$AF138))</f>
        <v/>
      </c>
      <c r="S138" s="11">
        <f>IF($AF138="","",IF(INDEX(입력_파견수련계획!$H$4:$H$803,$AF138)="","",INDEX(입력_파견수련계획!$H$4:$H$803,$AF138)))</f>
        <v/>
      </c>
      <c r="T138" s="11">
        <f>IF($AF138="","",IF(INDEX(입력_파견수련계획!$I$4:$I$803,$AF138)="","",INDEX(입력_파견수련계획!$I$4:$I$803,$AF138)))</f>
        <v/>
      </c>
      <c r="U138" s="10">
        <f>IF($AF138="","",INDEX(입력_파견수련계획!$X$4:$X$803,$AF138))</f>
        <v/>
      </c>
      <c r="V138" s="17">
        <f>IF($AF138="","",INDEX(입력_파견수련계획!$V$4:$V$803,$AF138))</f>
        <v/>
      </c>
      <c r="W138" s="17">
        <f>IF(AND($U138="파견중",$T138&lt;&gt;""),$T138-TODAY(),"")</f>
        <v/>
      </c>
      <c r="X138" s="17">
        <f>IF(OR($B138="",TRIM($J138&amp;"")=""),"",SUMPRODUCT((입력_파견수련계획!$Q$4:$Q$803=TRIM($J138&amp;""))*입력_파견수련계획!$W$4:$W$803))</f>
        <v/>
      </c>
      <c r="Y138" s="10">
        <f>IF($B138="","",IF($AG138="","",IF(IF(TRIM($J138&amp;"")="",0,SUMPRODUCT((입력_파견수련계획!$Q$4:$Q$803=TRIM($J138&amp;""))*입력_파견수련계획!$AD$4:$AD$803))&gt;0,$AE138,IF(AND(N($X138)&lt;=0,$AQ138=""),$AG138,IF($AH138+$AI138=DAY(EOMONTH(출력_요약!$B$3,0)),IF(AND($AH138&gt;=출력_요약!$E$3,$AI138&lt;출력_요약!$E$3),"서울병원",IF(AND($AI138&gt;=출력_요약!$E$3,$AH138&lt;출력_요약!$E$3),"구리병원","⚠15일 판정불가(서울 "&amp;$AH138&amp;"일/구리 "&amp;$AI138&amp;"일)")),IF($AJ138="",$AE138,IF(INDEX(입력_파견수련계획!$T$4:$T$803,$AJ138)="통합수련",INDEX(입력_파견수련계획!$S$4:$S$803,$AJ138),$AE138)))))))</f>
        <v/>
      </c>
      <c r="Z138" s="20">
        <f>IF($B138="","",IF($AB138="","기본자료에 없는 사번",IF(COUNTIF($B$2:$B$401,$B138)&gt;1,"중복 사번",IF($AE138="","소속(입사장소) 입력",IF(IF(TRIM($J138&amp;"")="",0,SUMPRODUCT((입력_파견수련계획!$Q$4:$Q$803=TRIM($J138&amp;""))*(입력_파견수련계획!$AA$4:$AA$803&lt;&gt;"")))&gt;0,"파견수련계획 입력오류 확인",IF(LEFT($Y138,1)="⚠","서울·구리 15일 판정 불가(양쪽 모두 이상/미만)",IF(IF($AC138="",0,N(INDEX(입력_인턴근무계획!$T$3:$T$402,$AC138)))&gt;0,"인턴계획 입력오류 확인",IF(AND($AQ138&lt;&gt;"",$AG138&lt;&gt;"구리병원",IF(TRIM($J138&amp;"")="",0,SUMPRODUCT((입력_파견수련계획!$Q$4:$Q$803=TRIM($J138&amp;""))*(입력_파견수련계획!$S$4:$S$803="구리병원")*입력_파견수련계획!$W$4:$W$803))=0),"구리 근무자명단에만 있음(파견수련계획 확인)",IF(AND($AC138&lt;&gt;"",$U138&lt;&gt;"파견중",$N138&lt;&gt;$AE138),"인턴 타지역 근무: 파견 여부 확인","정상")))))))))</f>
        <v/>
      </c>
      <c r="AA138" s="5" t="n"/>
      <c r="AB138" s="10">
        <f>IF($B138="","",IFERROR(MATCH($B138,입력_기본자료!$B$2:$B$1001,0),IFERROR(MATCH($B138&amp;"",입력_기본자료!$B$2:$B$1001,0),IFERROR(MATCH(VALUE($B138),입력_기본자료!$B$2:$B$1001,0),""))))</f>
        <v/>
      </c>
      <c r="AC138" s="10">
        <f>IF($B138="","",IFERROR(MATCH($B138,입력_인턴근무계획!$D$3:$D$402,0),IFERROR(MATCH($B138&amp;"",입력_인턴근무계획!$D$3:$D$402,0),IFERROR(MATCH(VALUE($B138),입력_인턴근무계획!$D$3:$D$402,0),""))))</f>
        <v/>
      </c>
      <c r="AD138" s="10">
        <f>IF(OR($AC138="",출력_인턴현황!$G$3=""),"",INDEX(입력_인턴근무계획!$M$3:$R$402,$AC138,출력_인턴현황!$G$3)&amp;"")</f>
        <v/>
      </c>
      <c r="AE138" s="10">
        <f>IF($B138="","",IF($M138&lt;&gt;"",$M138,IF(IF($AQ138="",FALSE,INDEX(출력_구리근무자!$J$6:$J$305,$AQ138)="구리독자"),"구리병원",IF($AF138&lt;&gt;"",IF(LEFT(INDEX(입력_파견수련계획!$R$4:$R$803,$AF138),1)&lt;&gt;"⚠",INDEX(입력_파견수련계획!$R$4:$R$803,$AF138),IF($H138="","",IF(RIGHT($H138,2)="병원",$H138,$H138&amp;"병원"))),IF($H138="","",IF(RIGHT($H138,2)="병원",$H138,$H138&amp;"병원"))))))</f>
        <v/>
      </c>
      <c r="AF138" s="10">
        <f>IF(OR($B138="",TRIM($J138&amp;"")=""),"",IFERROR(MATCH(TRIM($J138&amp;"")&amp;"|파견중",입력_파견수련계획!$Y$4:$Y$803,0),IFERROR(MATCH(TRIM($J138&amp;"")&amp;"|파견예정",입력_파견수련계획!$Y$4:$Y$803,0),IFERROR(MATCH(TRIM($J138&amp;"")&amp;"|파견종료",입력_파견수련계획!$Y$4:$Y$803,0),""))))</f>
        <v/>
      </c>
      <c r="AG138" s="10">
        <f>IF($B138="","",IF(AND(IF(OR($AC138="",출력_인턴현황!$K$2=""),"",INDEX(입력_인턴근무계획!$M$3:$R$402,$AC138,출력_인턴현황!$K$2)&amp;"")&lt;&gt;"",LEFT(IF(OR($AC138="",출력_인턴현황!$K$2=""),"",INDEX(입력_인턴근무계획!$M$3:$R$402,$AC138,출력_인턴현황!$K$2)&amp;""),1)&lt;&gt;"⚠"),LEFT(IF(OR($AC138="",출력_인턴현황!$K$2=""),"",INDEX(입력_인턴근무계획!$M$3:$R$402,$AC138,출력_인턴현황!$K$2)&amp;""),FIND(" ",IF(OR($AC138="",출력_인턴현황!$K$2=""),"",INDEX(입력_인턴근무계획!$M$3:$R$402,$AC138,출력_인턴현황!$K$2)&amp;""))-1),$AE138))</f>
        <v/>
      </c>
      <c r="AH138" s="17">
        <f>IF($B138="","",IF($AQ138&lt;&gt;"",MAX(0,DAY(EOMONTH(출력_요약!$B$3,0))-N($AR138)),IF(TRIM($J138&amp;"")="",0,SUMPRODUCT((입력_파견수련계획!$Q$4:$Q$803=TRIM($J138&amp;""))*(입력_파견수련계획!$S$4:$S$803="서울병원")*입력_파견수련계획!$W$4:$W$803))+IF($AG138="서울병원",MAX(0,DAY(EOMONTH(출력_요약!$B$3,0))-N($X138)),0)))</f>
        <v/>
      </c>
      <c r="AI138" s="17">
        <f>IF($B138="","",IF($AQ138&lt;&gt;"",N($AR138),IF(TRIM($J138&amp;"")="",0,SUMPRODUCT((입력_파견수련계획!$Q$4:$Q$803=TRIM($J138&amp;""))*(입력_파견수련계획!$S$4:$S$803="구리병원")*입력_파견수련계획!$W$4:$W$803))+IF($AG138="구리병원",MAX(0,DAY(EOMONTH(출력_요약!$B$3,0))-N($X138)),0)))</f>
        <v/>
      </c>
      <c r="AJ138" s="10">
        <f>IF(OR($B138="",TRIM($J138&amp;"")=""),"",IFERROR(MATCH(TRIM($J138&amp;"")&amp;"|월",입력_파견수련계획!$Z$4:$Z$803,0),""))</f>
        <v/>
      </c>
      <c r="AK138" s="10">
        <f>IF(OR($B138="",TRIM($J138&amp;"")=""),"",IFERROR(MATCH(TRIM($J138&amp;"")&amp;"|다기관",입력_파견수련계획!$AE$4:$AE$803,0),""))</f>
        <v/>
      </c>
      <c r="AL138" s="10">
        <f>IF($AK138="","","다기관 "&amp;TEXT(INDEX(입력_파견수련계획!$AB$4:$AB$803,$AK138),"yyyy-mm-dd")&amp;"~"&amp;IF(ISNUMBER(INDEX(입력_파견수련계획!$AC$4:$AC$803,$AK138)),TEXT(INDEX(입력_파견수련계획!$AC$4:$AC$803,$AK138),"yyyy-mm-dd"),""))</f>
        <v/>
      </c>
      <c r="AM138" s="10">
        <f>IF($Y138="서울병원",COUNTIF($Y$2:$Y138,"서울병원"),"")</f>
        <v/>
      </c>
      <c r="AN138" s="10">
        <f>IF(LEFT($Y138,1)="⚠",COUNTIF($Y$2:$Y138,"⚠*"),"")</f>
        <v/>
      </c>
      <c r="AO138" s="10">
        <f>IF(OR($B138="",$Y138=""),"",IF(IF(TRIM($J138&amp;"")="",0,SUMPRODUCT((입력_파견수련계획!$Q$4:$Q$803=TRIM($J138&amp;""))*입력_파견수련계획!$AD$4:$AD$803))&gt;0,"다기관 기간 → 소속병원 지급",IF(AND(N($X138)&lt;=0,$AQ138=""),"파견 없음 → 그 달 근무병원 지급",IF($AH138+$AI138=DAY(EOMONTH(출력_요약!$B$3,0)),"서울 "&amp;$AH138&amp;"일 / 구리 "&amp;$AI138&amp;"일"&amp;IF($AQ138&lt;&gt;""," (구리 근무자명단 반영)","")&amp;" → 15일 이상 근무 병원 지급","타 병원 포함 → "&amp;IF($AJ138="","소속",INDEX(입력_파견수련계획!$T$4:$T$803,$AJ138))&amp;" 규칙"))))</f>
        <v/>
      </c>
      <c r="AP138" s="10">
        <f>IF($B138="","",$C138&amp;"|"&amp;$F138)</f>
        <v/>
      </c>
      <c r="AQ138" s="10">
        <f>IF($B138="","",IFERROR(MATCH(ROW()-1,출력_구리근무자!$K$6:$K$305,0),""))</f>
        <v/>
      </c>
      <c r="AR138" s="10">
        <f>IF($AQ138="","",INDEX(출력_구리근무자!$H$6:$H$305,$AQ138))</f>
        <v/>
      </c>
    </row>
    <row r="139">
      <c r="A139" s="10">
        <f>IF(B139="","",ROW()-1)</f>
        <v/>
      </c>
      <c r="B139" s="19" t="n"/>
      <c r="C139" s="10">
        <f>IF($AB139="","",IF(INDEX(입력_기본자료!$C$2:$C$1001,$AB139)="","",INDEX(입력_기본자료!$C$2:$C$1001,$AB139)))</f>
        <v/>
      </c>
      <c r="D139" s="10">
        <f>IF($AB139="","",IF(INDEX(입력_기본자료!$J$2:$J$1001,$AB139)="","",INDEX(입력_기본자료!$J$2:$J$1001,$AB139)))</f>
        <v/>
      </c>
      <c r="E139" s="11">
        <f>IF($AB139="","",IF(INDEX(입력_기본자료!$K$2:$K$1001,$AB139)="","",IF(NOT(ISNUMBER(INDEX(입력_기본자료!$K$2:$K$1001,$AB139))),INDEX(입력_기본자료!$K$2:$K$1001,$AB139),IF(INDEX(입력_기본자료!$K$2:$K$1001,$AB139)&lt;1000000,INDEX(입력_기본자료!$K$2:$K$1001,$AB139),IF(AND(INDEX(입력_기본자료!$K$2:$K$1001,$AB139)&gt;=10000101,INT(MOD(INDEX(입력_기본자료!$K$2:$K$1001,$AB139),10000)/100)&gt;=1,INT(MOD(INDEX(입력_기본자료!$K$2:$K$1001,$AB139),10000)/100)&lt;=12,MOD(INDEX(입력_기본자료!$K$2:$K$1001,$AB139),100)&gt;=1,MOD(INDEX(입력_기본자료!$K$2:$K$1001,$AB139),100)&lt;=31),DATE(INT(INDEX(입력_기본자료!$K$2:$K$1001,$AB139)/10000),INT(MOD(INDEX(입력_기본자료!$K$2:$K$1001,$AB139),10000)/100),MOD(INDEX(입력_기본자료!$K$2:$K$1001,$AB139),100)),INDEX(입력_기본자료!$K$2:$K$1001,$AB139)&amp;"")))))</f>
        <v/>
      </c>
      <c r="F139" s="10">
        <f>IF($AB139="","",IF(INDEX(입력_기본자료!$D$2:$D$1001,$AB139)="","",INDEX(입력_기본자료!$D$2:$D$1001,$AB139)))</f>
        <v/>
      </c>
      <c r="G139" s="10">
        <f>IF($AB139="","",IF(INDEX(입력_기본자료!$E$2:$E$1001,$AB139)="","",INDEX(입력_기본자료!$E$2:$E$1001,$AB139)))</f>
        <v/>
      </c>
      <c r="H139" s="10">
        <f>IF($AB139="","",IF(INDEX(입력_기본자료!$F$2:$F$1001,$AB139)="","",INDEX(입력_기본자료!$F$2:$F$1001,$AB139)))</f>
        <v/>
      </c>
      <c r="I139" s="11">
        <f>IF($AB139="","",IF(INDEX(입력_기본자료!$G$2:$G$1001,$AB139)="","",IF(NOT(ISNUMBER(INDEX(입력_기본자료!$G$2:$G$1001,$AB139))),INDEX(입력_기본자료!$G$2:$G$1001,$AB139),IF(INDEX(입력_기본자료!$G$2:$G$1001,$AB139)&lt;1000000,INDEX(입력_기본자료!$G$2:$G$1001,$AB139),IF(AND(INDEX(입력_기본자료!$G$2:$G$1001,$AB139)&gt;=10000101,INT(MOD(INDEX(입력_기본자료!$G$2:$G$1001,$AB139),10000)/100)&gt;=1,INT(MOD(INDEX(입력_기본자료!$G$2:$G$1001,$AB139),10000)/100)&lt;=12,MOD(INDEX(입력_기본자료!$G$2:$G$1001,$AB139),100)&gt;=1,MOD(INDEX(입력_기본자료!$G$2:$G$1001,$AB139),100)&lt;=31),DATE(INT(INDEX(입력_기본자료!$G$2:$G$1001,$AB139)/10000),INT(MOD(INDEX(입력_기본자료!$G$2:$G$1001,$AB139),10000)/100),MOD(INDEX(입력_기본자료!$G$2:$G$1001,$AB139),100)),INDEX(입력_기본자료!$G$2:$G$1001,$AB139)&amp;"")))))</f>
        <v/>
      </c>
      <c r="J139" s="10">
        <f>IF($AB139="","",IF(INDEX(입력_기본자료!$H$2:$H$1001,$AB139)="","",INDEX(입력_기본자료!$H$2:$H$1001,$AB139)))</f>
        <v/>
      </c>
      <c r="K139" s="10">
        <f>IF($AB139="","",IF(INDEX(입력_기본자료!$I$2:$I$1001,$AB139)="","",INDEX(입력_기본자료!$I$2:$I$1001,$AB139)))</f>
        <v/>
      </c>
      <c r="L139" s="10">
        <f>IF($AB139="","",IF(INDEX(입력_기본자료!$A$2:$A$1001,$AB139)="","",INDEX(입력_기본자료!$A$2:$A$1001,$AB139)))</f>
        <v/>
      </c>
      <c r="M139" s="15" t="n"/>
      <c r="N139" s="10">
        <f>IF($B139="","",IF(AND($U139="파견중",$Q139&lt;&gt;""),$Q139,IF(AND($AD139&lt;&gt;"",LEFT($AD139,1)&lt;&gt;"⚠"),LEFT($AD139,FIND(" ",$AD139)-1),IF($H139="","",IF(RIGHT($H139,2)="병원",$H139,$H139&amp;"병원")))))</f>
        <v/>
      </c>
      <c r="O139" s="10">
        <f>IF($B139="","",IF(AND($U139="파견중",$Q139&lt;&gt;""),IF($R139&lt;&gt;"",$R139,"파견과 미입력"),IF(AND($AD139&lt;&gt;"",LEFT($AD139,1)&lt;&gt;"⚠"),MID($AD139,FIND(" ",$AD139)+1,60),IF($F139="","",IF($F139="인턴","수련교육부(인턴)",$F139)))))</f>
        <v/>
      </c>
      <c r="P139" s="10">
        <f>IF($B139="","",IF($AK139&lt;&gt;"",IF(AND(TODAY()&gt;=INDEX(입력_파견수련계획!$AB$4:$AB$803,$AK139),OR(NOT(ISNUMBER(INDEX(입력_파견수련계획!$AC$4:$AC$803,$AK139))),TODAY()&lt;=INDEX(입력_파견수련계획!$AC$4:$AC$803,$AK139))),"다기관",IF($AF139="","",INDEX(입력_파견수련계획!$T$4:$T$803,$AF139))),IF($AF139="","",INDEX(입력_파견수련계획!$T$4:$T$803,$AF139))))</f>
        <v/>
      </c>
      <c r="Q139" s="10">
        <f>IF($AF139="","",INDEX(입력_파견수련계획!$S$4:$S$803,$AF139))</f>
        <v/>
      </c>
      <c r="R139" s="10">
        <f>IF($AF139="","",INDEX(입력_파견수련계획!$U$4:$U$803,$AF139))</f>
        <v/>
      </c>
      <c r="S139" s="11">
        <f>IF($AF139="","",IF(INDEX(입력_파견수련계획!$H$4:$H$803,$AF139)="","",INDEX(입력_파견수련계획!$H$4:$H$803,$AF139)))</f>
        <v/>
      </c>
      <c r="T139" s="11">
        <f>IF($AF139="","",IF(INDEX(입력_파견수련계획!$I$4:$I$803,$AF139)="","",INDEX(입력_파견수련계획!$I$4:$I$803,$AF139)))</f>
        <v/>
      </c>
      <c r="U139" s="10">
        <f>IF($AF139="","",INDEX(입력_파견수련계획!$X$4:$X$803,$AF139))</f>
        <v/>
      </c>
      <c r="V139" s="17">
        <f>IF($AF139="","",INDEX(입력_파견수련계획!$V$4:$V$803,$AF139))</f>
        <v/>
      </c>
      <c r="W139" s="17">
        <f>IF(AND($U139="파견중",$T139&lt;&gt;""),$T139-TODAY(),"")</f>
        <v/>
      </c>
      <c r="X139" s="17">
        <f>IF(OR($B139="",TRIM($J139&amp;"")=""),"",SUMPRODUCT((입력_파견수련계획!$Q$4:$Q$803=TRIM($J139&amp;""))*입력_파견수련계획!$W$4:$W$803))</f>
        <v/>
      </c>
      <c r="Y139" s="10">
        <f>IF($B139="","",IF($AG139="","",IF(IF(TRIM($J139&amp;"")="",0,SUMPRODUCT((입력_파견수련계획!$Q$4:$Q$803=TRIM($J139&amp;""))*입력_파견수련계획!$AD$4:$AD$803))&gt;0,$AE139,IF(AND(N($X139)&lt;=0,$AQ139=""),$AG139,IF($AH139+$AI139=DAY(EOMONTH(출력_요약!$B$3,0)),IF(AND($AH139&gt;=출력_요약!$E$3,$AI139&lt;출력_요약!$E$3),"서울병원",IF(AND($AI139&gt;=출력_요약!$E$3,$AH139&lt;출력_요약!$E$3),"구리병원","⚠15일 판정불가(서울 "&amp;$AH139&amp;"일/구리 "&amp;$AI139&amp;"일)")),IF($AJ139="",$AE139,IF(INDEX(입력_파견수련계획!$T$4:$T$803,$AJ139)="통합수련",INDEX(입력_파견수련계획!$S$4:$S$803,$AJ139),$AE139)))))))</f>
        <v/>
      </c>
      <c r="Z139" s="20">
        <f>IF($B139="","",IF($AB139="","기본자료에 없는 사번",IF(COUNTIF($B$2:$B$401,$B139)&gt;1,"중복 사번",IF($AE139="","소속(입사장소) 입력",IF(IF(TRIM($J139&amp;"")="",0,SUMPRODUCT((입력_파견수련계획!$Q$4:$Q$803=TRIM($J139&amp;""))*(입력_파견수련계획!$AA$4:$AA$803&lt;&gt;"")))&gt;0,"파견수련계획 입력오류 확인",IF(LEFT($Y139,1)="⚠","서울·구리 15일 판정 불가(양쪽 모두 이상/미만)",IF(IF($AC139="",0,N(INDEX(입력_인턴근무계획!$T$3:$T$402,$AC139)))&gt;0,"인턴계획 입력오류 확인",IF(AND($AQ139&lt;&gt;"",$AG139&lt;&gt;"구리병원",IF(TRIM($J139&amp;"")="",0,SUMPRODUCT((입력_파견수련계획!$Q$4:$Q$803=TRIM($J139&amp;""))*(입력_파견수련계획!$S$4:$S$803="구리병원")*입력_파견수련계획!$W$4:$W$803))=0),"구리 근무자명단에만 있음(파견수련계획 확인)",IF(AND($AC139&lt;&gt;"",$U139&lt;&gt;"파견중",$N139&lt;&gt;$AE139),"인턴 타지역 근무: 파견 여부 확인","정상")))))))))</f>
        <v/>
      </c>
      <c r="AA139" s="5" t="n"/>
      <c r="AB139" s="10">
        <f>IF($B139="","",IFERROR(MATCH($B139,입력_기본자료!$B$2:$B$1001,0),IFERROR(MATCH($B139&amp;"",입력_기본자료!$B$2:$B$1001,0),IFERROR(MATCH(VALUE($B139),입력_기본자료!$B$2:$B$1001,0),""))))</f>
        <v/>
      </c>
      <c r="AC139" s="10">
        <f>IF($B139="","",IFERROR(MATCH($B139,입력_인턴근무계획!$D$3:$D$402,0),IFERROR(MATCH($B139&amp;"",입력_인턴근무계획!$D$3:$D$402,0),IFERROR(MATCH(VALUE($B139),입력_인턴근무계획!$D$3:$D$402,0),""))))</f>
        <v/>
      </c>
      <c r="AD139" s="10">
        <f>IF(OR($AC139="",출력_인턴현황!$G$3=""),"",INDEX(입력_인턴근무계획!$M$3:$R$402,$AC139,출력_인턴현황!$G$3)&amp;"")</f>
        <v/>
      </c>
      <c r="AE139" s="10">
        <f>IF($B139="","",IF($M139&lt;&gt;"",$M139,IF(IF($AQ139="",FALSE,INDEX(출력_구리근무자!$J$6:$J$305,$AQ139)="구리독자"),"구리병원",IF($AF139&lt;&gt;"",IF(LEFT(INDEX(입력_파견수련계획!$R$4:$R$803,$AF139),1)&lt;&gt;"⚠",INDEX(입력_파견수련계획!$R$4:$R$803,$AF139),IF($H139="","",IF(RIGHT($H139,2)="병원",$H139,$H139&amp;"병원"))),IF($H139="","",IF(RIGHT($H139,2)="병원",$H139,$H139&amp;"병원"))))))</f>
        <v/>
      </c>
      <c r="AF139" s="10">
        <f>IF(OR($B139="",TRIM($J139&amp;"")=""),"",IFERROR(MATCH(TRIM($J139&amp;"")&amp;"|파견중",입력_파견수련계획!$Y$4:$Y$803,0),IFERROR(MATCH(TRIM($J139&amp;"")&amp;"|파견예정",입력_파견수련계획!$Y$4:$Y$803,0),IFERROR(MATCH(TRIM($J139&amp;"")&amp;"|파견종료",입력_파견수련계획!$Y$4:$Y$803,0),""))))</f>
        <v/>
      </c>
      <c r="AG139" s="10">
        <f>IF($B139="","",IF(AND(IF(OR($AC139="",출력_인턴현황!$K$2=""),"",INDEX(입력_인턴근무계획!$M$3:$R$402,$AC139,출력_인턴현황!$K$2)&amp;"")&lt;&gt;"",LEFT(IF(OR($AC139="",출력_인턴현황!$K$2=""),"",INDEX(입력_인턴근무계획!$M$3:$R$402,$AC139,출력_인턴현황!$K$2)&amp;""),1)&lt;&gt;"⚠"),LEFT(IF(OR($AC139="",출력_인턴현황!$K$2=""),"",INDEX(입력_인턴근무계획!$M$3:$R$402,$AC139,출력_인턴현황!$K$2)&amp;""),FIND(" ",IF(OR($AC139="",출력_인턴현황!$K$2=""),"",INDEX(입력_인턴근무계획!$M$3:$R$402,$AC139,출력_인턴현황!$K$2)&amp;""))-1),$AE139))</f>
        <v/>
      </c>
      <c r="AH139" s="17">
        <f>IF($B139="","",IF($AQ139&lt;&gt;"",MAX(0,DAY(EOMONTH(출력_요약!$B$3,0))-N($AR139)),IF(TRIM($J139&amp;"")="",0,SUMPRODUCT((입력_파견수련계획!$Q$4:$Q$803=TRIM($J139&amp;""))*(입력_파견수련계획!$S$4:$S$803="서울병원")*입력_파견수련계획!$W$4:$W$803))+IF($AG139="서울병원",MAX(0,DAY(EOMONTH(출력_요약!$B$3,0))-N($X139)),0)))</f>
        <v/>
      </c>
      <c r="AI139" s="17">
        <f>IF($B139="","",IF($AQ139&lt;&gt;"",N($AR139),IF(TRIM($J139&amp;"")="",0,SUMPRODUCT((입력_파견수련계획!$Q$4:$Q$803=TRIM($J139&amp;""))*(입력_파견수련계획!$S$4:$S$803="구리병원")*입력_파견수련계획!$W$4:$W$803))+IF($AG139="구리병원",MAX(0,DAY(EOMONTH(출력_요약!$B$3,0))-N($X139)),0)))</f>
        <v/>
      </c>
      <c r="AJ139" s="10">
        <f>IF(OR($B139="",TRIM($J139&amp;"")=""),"",IFERROR(MATCH(TRIM($J139&amp;"")&amp;"|월",입력_파견수련계획!$Z$4:$Z$803,0),""))</f>
        <v/>
      </c>
      <c r="AK139" s="10">
        <f>IF(OR($B139="",TRIM($J139&amp;"")=""),"",IFERROR(MATCH(TRIM($J139&amp;"")&amp;"|다기관",입력_파견수련계획!$AE$4:$AE$803,0),""))</f>
        <v/>
      </c>
      <c r="AL139" s="10">
        <f>IF($AK139="","","다기관 "&amp;TEXT(INDEX(입력_파견수련계획!$AB$4:$AB$803,$AK139),"yyyy-mm-dd")&amp;"~"&amp;IF(ISNUMBER(INDEX(입력_파견수련계획!$AC$4:$AC$803,$AK139)),TEXT(INDEX(입력_파견수련계획!$AC$4:$AC$803,$AK139),"yyyy-mm-dd"),""))</f>
        <v/>
      </c>
      <c r="AM139" s="10">
        <f>IF($Y139="서울병원",COUNTIF($Y$2:$Y139,"서울병원"),"")</f>
        <v/>
      </c>
      <c r="AN139" s="10">
        <f>IF(LEFT($Y139,1)="⚠",COUNTIF($Y$2:$Y139,"⚠*"),"")</f>
        <v/>
      </c>
      <c r="AO139" s="10">
        <f>IF(OR($B139="",$Y139=""),"",IF(IF(TRIM($J139&amp;"")="",0,SUMPRODUCT((입력_파견수련계획!$Q$4:$Q$803=TRIM($J139&amp;""))*입력_파견수련계획!$AD$4:$AD$803))&gt;0,"다기관 기간 → 소속병원 지급",IF(AND(N($X139)&lt;=0,$AQ139=""),"파견 없음 → 그 달 근무병원 지급",IF($AH139+$AI139=DAY(EOMONTH(출력_요약!$B$3,0)),"서울 "&amp;$AH139&amp;"일 / 구리 "&amp;$AI139&amp;"일"&amp;IF($AQ139&lt;&gt;""," (구리 근무자명단 반영)","")&amp;" → 15일 이상 근무 병원 지급","타 병원 포함 → "&amp;IF($AJ139="","소속",INDEX(입력_파견수련계획!$T$4:$T$803,$AJ139))&amp;" 규칙"))))</f>
        <v/>
      </c>
      <c r="AP139" s="10">
        <f>IF($B139="","",$C139&amp;"|"&amp;$F139)</f>
        <v/>
      </c>
      <c r="AQ139" s="10">
        <f>IF($B139="","",IFERROR(MATCH(ROW()-1,출력_구리근무자!$K$6:$K$305,0),""))</f>
        <v/>
      </c>
      <c r="AR139" s="10">
        <f>IF($AQ139="","",INDEX(출력_구리근무자!$H$6:$H$305,$AQ139))</f>
        <v/>
      </c>
    </row>
    <row r="140">
      <c r="A140" s="10">
        <f>IF(B140="","",ROW()-1)</f>
        <v/>
      </c>
      <c r="B140" s="19" t="n"/>
      <c r="C140" s="10">
        <f>IF($AB140="","",IF(INDEX(입력_기본자료!$C$2:$C$1001,$AB140)="","",INDEX(입력_기본자료!$C$2:$C$1001,$AB140)))</f>
        <v/>
      </c>
      <c r="D140" s="10">
        <f>IF($AB140="","",IF(INDEX(입력_기본자료!$J$2:$J$1001,$AB140)="","",INDEX(입력_기본자료!$J$2:$J$1001,$AB140)))</f>
        <v/>
      </c>
      <c r="E140" s="11">
        <f>IF($AB140="","",IF(INDEX(입력_기본자료!$K$2:$K$1001,$AB140)="","",IF(NOT(ISNUMBER(INDEX(입력_기본자료!$K$2:$K$1001,$AB140))),INDEX(입력_기본자료!$K$2:$K$1001,$AB140),IF(INDEX(입력_기본자료!$K$2:$K$1001,$AB140)&lt;1000000,INDEX(입력_기본자료!$K$2:$K$1001,$AB140),IF(AND(INDEX(입력_기본자료!$K$2:$K$1001,$AB140)&gt;=10000101,INT(MOD(INDEX(입력_기본자료!$K$2:$K$1001,$AB140),10000)/100)&gt;=1,INT(MOD(INDEX(입력_기본자료!$K$2:$K$1001,$AB140),10000)/100)&lt;=12,MOD(INDEX(입력_기본자료!$K$2:$K$1001,$AB140),100)&gt;=1,MOD(INDEX(입력_기본자료!$K$2:$K$1001,$AB140),100)&lt;=31),DATE(INT(INDEX(입력_기본자료!$K$2:$K$1001,$AB140)/10000),INT(MOD(INDEX(입력_기본자료!$K$2:$K$1001,$AB140),10000)/100),MOD(INDEX(입력_기본자료!$K$2:$K$1001,$AB140),100)),INDEX(입력_기본자료!$K$2:$K$1001,$AB140)&amp;"")))))</f>
        <v/>
      </c>
      <c r="F140" s="10">
        <f>IF($AB140="","",IF(INDEX(입력_기본자료!$D$2:$D$1001,$AB140)="","",INDEX(입력_기본자료!$D$2:$D$1001,$AB140)))</f>
        <v/>
      </c>
      <c r="G140" s="10">
        <f>IF($AB140="","",IF(INDEX(입력_기본자료!$E$2:$E$1001,$AB140)="","",INDEX(입력_기본자료!$E$2:$E$1001,$AB140)))</f>
        <v/>
      </c>
      <c r="H140" s="10">
        <f>IF($AB140="","",IF(INDEX(입력_기본자료!$F$2:$F$1001,$AB140)="","",INDEX(입력_기본자료!$F$2:$F$1001,$AB140)))</f>
        <v/>
      </c>
      <c r="I140" s="11">
        <f>IF($AB140="","",IF(INDEX(입력_기본자료!$G$2:$G$1001,$AB140)="","",IF(NOT(ISNUMBER(INDEX(입력_기본자료!$G$2:$G$1001,$AB140))),INDEX(입력_기본자료!$G$2:$G$1001,$AB140),IF(INDEX(입력_기본자료!$G$2:$G$1001,$AB140)&lt;1000000,INDEX(입력_기본자료!$G$2:$G$1001,$AB140),IF(AND(INDEX(입력_기본자료!$G$2:$G$1001,$AB140)&gt;=10000101,INT(MOD(INDEX(입력_기본자료!$G$2:$G$1001,$AB140),10000)/100)&gt;=1,INT(MOD(INDEX(입력_기본자료!$G$2:$G$1001,$AB140),10000)/100)&lt;=12,MOD(INDEX(입력_기본자료!$G$2:$G$1001,$AB140),100)&gt;=1,MOD(INDEX(입력_기본자료!$G$2:$G$1001,$AB140),100)&lt;=31),DATE(INT(INDEX(입력_기본자료!$G$2:$G$1001,$AB140)/10000),INT(MOD(INDEX(입력_기본자료!$G$2:$G$1001,$AB140),10000)/100),MOD(INDEX(입력_기본자료!$G$2:$G$1001,$AB140),100)),INDEX(입력_기본자료!$G$2:$G$1001,$AB140)&amp;"")))))</f>
        <v/>
      </c>
      <c r="J140" s="10">
        <f>IF($AB140="","",IF(INDEX(입력_기본자료!$H$2:$H$1001,$AB140)="","",INDEX(입력_기본자료!$H$2:$H$1001,$AB140)))</f>
        <v/>
      </c>
      <c r="K140" s="10">
        <f>IF($AB140="","",IF(INDEX(입력_기본자료!$I$2:$I$1001,$AB140)="","",INDEX(입력_기본자료!$I$2:$I$1001,$AB140)))</f>
        <v/>
      </c>
      <c r="L140" s="10">
        <f>IF($AB140="","",IF(INDEX(입력_기본자료!$A$2:$A$1001,$AB140)="","",INDEX(입력_기본자료!$A$2:$A$1001,$AB140)))</f>
        <v/>
      </c>
      <c r="M140" s="15" t="n"/>
      <c r="N140" s="10">
        <f>IF($B140="","",IF(AND($U140="파견중",$Q140&lt;&gt;""),$Q140,IF(AND($AD140&lt;&gt;"",LEFT($AD140,1)&lt;&gt;"⚠"),LEFT($AD140,FIND(" ",$AD140)-1),IF($H140="","",IF(RIGHT($H140,2)="병원",$H140,$H140&amp;"병원")))))</f>
        <v/>
      </c>
      <c r="O140" s="10">
        <f>IF($B140="","",IF(AND($U140="파견중",$Q140&lt;&gt;""),IF($R140&lt;&gt;"",$R140,"파견과 미입력"),IF(AND($AD140&lt;&gt;"",LEFT($AD140,1)&lt;&gt;"⚠"),MID($AD140,FIND(" ",$AD140)+1,60),IF($F140="","",IF($F140="인턴","수련교육부(인턴)",$F140)))))</f>
        <v/>
      </c>
      <c r="P140" s="10">
        <f>IF($B140="","",IF($AK140&lt;&gt;"",IF(AND(TODAY()&gt;=INDEX(입력_파견수련계획!$AB$4:$AB$803,$AK140),OR(NOT(ISNUMBER(INDEX(입력_파견수련계획!$AC$4:$AC$803,$AK140))),TODAY()&lt;=INDEX(입력_파견수련계획!$AC$4:$AC$803,$AK140))),"다기관",IF($AF140="","",INDEX(입력_파견수련계획!$T$4:$T$803,$AF140))),IF($AF140="","",INDEX(입력_파견수련계획!$T$4:$T$803,$AF140))))</f>
        <v/>
      </c>
      <c r="Q140" s="10">
        <f>IF($AF140="","",INDEX(입력_파견수련계획!$S$4:$S$803,$AF140))</f>
        <v/>
      </c>
      <c r="R140" s="10">
        <f>IF($AF140="","",INDEX(입력_파견수련계획!$U$4:$U$803,$AF140))</f>
        <v/>
      </c>
      <c r="S140" s="11">
        <f>IF($AF140="","",IF(INDEX(입력_파견수련계획!$H$4:$H$803,$AF140)="","",INDEX(입력_파견수련계획!$H$4:$H$803,$AF140)))</f>
        <v/>
      </c>
      <c r="T140" s="11">
        <f>IF($AF140="","",IF(INDEX(입력_파견수련계획!$I$4:$I$803,$AF140)="","",INDEX(입력_파견수련계획!$I$4:$I$803,$AF140)))</f>
        <v/>
      </c>
      <c r="U140" s="10">
        <f>IF($AF140="","",INDEX(입력_파견수련계획!$X$4:$X$803,$AF140))</f>
        <v/>
      </c>
      <c r="V140" s="17">
        <f>IF($AF140="","",INDEX(입력_파견수련계획!$V$4:$V$803,$AF140))</f>
        <v/>
      </c>
      <c r="W140" s="17">
        <f>IF(AND($U140="파견중",$T140&lt;&gt;""),$T140-TODAY(),"")</f>
        <v/>
      </c>
      <c r="X140" s="17">
        <f>IF(OR($B140="",TRIM($J140&amp;"")=""),"",SUMPRODUCT((입력_파견수련계획!$Q$4:$Q$803=TRIM($J140&amp;""))*입력_파견수련계획!$W$4:$W$803))</f>
        <v/>
      </c>
      <c r="Y140" s="10">
        <f>IF($B140="","",IF($AG140="","",IF(IF(TRIM($J140&amp;"")="",0,SUMPRODUCT((입력_파견수련계획!$Q$4:$Q$803=TRIM($J140&amp;""))*입력_파견수련계획!$AD$4:$AD$803))&gt;0,$AE140,IF(AND(N($X140)&lt;=0,$AQ140=""),$AG140,IF($AH140+$AI140=DAY(EOMONTH(출력_요약!$B$3,0)),IF(AND($AH140&gt;=출력_요약!$E$3,$AI140&lt;출력_요약!$E$3),"서울병원",IF(AND($AI140&gt;=출력_요약!$E$3,$AH140&lt;출력_요약!$E$3),"구리병원","⚠15일 판정불가(서울 "&amp;$AH140&amp;"일/구리 "&amp;$AI140&amp;"일)")),IF($AJ140="",$AE140,IF(INDEX(입력_파견수련계획!$T$4:$T$803,$AJ140)="통합수련",INDEX(입력_파견수련계획!$S$4:$S$803,$AJ140),$AE140)))))))</f>
        <v/>
      </c>
      <c r="Z140" s="20">
        <f>IF($B140="","",IF($AB140="","기본자료에 없는 사번",IF(COUNTIF($B$2:$B$401,$B140)&gt;1,"중복 사번",IF($AE140="","소속(입사장소) 입력",IF(IF(TRIM($J140&amp;"")="",0,SUMPRODUCT((입력_파견수련계획!$Q$4:$Q$803=TRIM($J140&amp;""))*(입력_파견수련계획!$AA$4:$AA$803&lt;&gt;"")))&gt;0,"파견수련계획 입력오류 확인",IF(LEFT($Y140,1)="⚠","서울·구리 15일 판정 불가(양쪽 모두 이상/미만)",IF(IF($AC140="",0,N(INDEX(입력_인턴근무계획!$T$3:$T$402,$AC140)))&gt;0,"인턴계획 입력오류 확인",IF(AND($AQ140&lt;&gt;"",$AG140&lt;&gt;"구리병원",IF(TRIM($J140&amp;"")="",0,SUMPRODUCT((입력_파견수련계획!$Q$4:$Q$803=TRIM($J140&amp;""))*(입력_파견수련계획!$S$4:$S$803="구리병원")*입력_파견수련계획!$W$4:$W$803))=0),"구리 근무자명단에만 있음(파견수련계획 확인)",IF(AND($AC140&lt;&gt;"",$U140&lt;&gt;"파견중",$N140&lt;&gt;$AE140),"인턴 타지역 근무: 파견 여부 확인","정상")))))))))</f>
        <v/>
      </c>
      <c r="AA140" s="5" t="n"/>
      <c r="AB140" s="10">
        <f>IF($B140="","",IFERROR(MATCH($B140,입력_기본자료!$B$2:$B$1001,0),IFERROR(MATCH($B140&amp;"",입력_기본자료!$B$2:$B$1001,0),IFERROR(MATCH(VALUE($B140),입력_기본자료!$B$2:$B$1001,0),""))))</f>
        <v/>
      </c>
      <c r="AC140" s="10">
        <f>IF($B140="","",IFERROR(MATCH($B140,입력_인턴근무계획!$D$3:$D$402,0),IFERROR(MATCH($B140&amp;"",입력_인턴근무계획!$D$3:$D$402,0),IFERROR(MATCH(VALUE($B140),입력_인턴근무계획!$D$3:$D$402,0),""))))</f>
        <v/>
      </c>
      <c r="AD140" s="10">
        <f>IF(OR($AC140="",출력_인턴현황!$G$3=""),"",INDEX(입력_인턴근무계획!$M$3:$R$402,$AC140,출력_인턴현황!$G$3)&amp;"")</f>
        <v/>
      </c>
      <c r="AE140" s="10">
        <f>IF($B140="","",IF($M140&lt;&gt;"",$M140,IF(IF($AQ140="",FALSE,INDEX(출력_구리근무자!$J$6:$J$305,$AQ140)="구리독자"),"구리병원",IF($AF140&lt;&gt;"",IF(LEFT(INDEX(입력_파견수련계획!$R$4:$R$803,$AF140),1)&lt;&gt;"⚠",INDEX(입력_파견수련계획!$R$4:$R$803,$AF140),IF($H140="","",IF(RIGHT($H140,2)="병원",$H140,$H140&amp;"병원"))),IF($H140="","",IF(RIGHT($H140,2)="병원",$H140,$H140&amp;"병원"))))))</f>
        <v/>
      </c>
      <c r="AF140" s="10">
        <f>IF(OR($B140="",TRIM($J140&amp;"")=""),"",IFERROR(MATCH(TRIM($J140&amp;"")&amp;"|파견중",입력_파견수련계획!$Y$4:$Y$803,0),IFERROR(MATCH(TRIM($J140&amp;"")&amp;"|파견예정",입력_파견수련계획!$Y$4:$Y$803,0),IFERROR(MATCH(TRIM($J140&amp;"")&amp;"|파견종료",입력_파견수련계획!$Y$4:$Y$803,0),""))))</f>
        <v/>
      </c>
      <c r="AG140" s="10">
        <f>IF($B140="","",IF(AND(IF(OR($AC140="",출력_인턴현황!$K$2=""),"",INDEX(입력_인턴근무계획!$M$3:$R$402,$AC140,출력_인턴현황!$K$2)&amp;"")&lt;&gt;"",LEFT(IF(OR($AC140="",출력_인턴현황!$K$2=""),"",INDEX(입력_인턴근무계획!$M$3:$R$402,$AC140,출력_인턴현황!$K$2)&amp;""),1)&lt;&gt;"⚠"),LEFT(IF(OR($AC140="",출력_인턴현황!$K$2=""),"",INDEX(입력_인턴근무계획!$M$3:$R$402,$AC140,출력_인턴현황!$K$2)&amp;""),FIND(" ",IF(OR($AC140="",출력_인턴현황!$K$2=""),"",INDEX(입력_인턴근무계획!$M$3:$R$402,$AC140,출력_인턴현황!$K$2)&amp;""))-1),$AE140))</f>
        <v/>
      </c>
      <c r="AH140" s="17">
        <f>IF($B140="","",IF($AQ140&lt;&gt;"",MAX(0,DAY(EOMONTH(출력_요약!$B$3,0))-N($AR140)),IF(TRIM($J140&amp;"")="",0,SUMPRODUCT((입력_파견수련계획!$Q$4:$Q$803=TRIM($J140&amp;""))*(입력_파견수련계획!$S$4:$S$803="서울병원")*입력_파견수련계획!$W$4:$W$803))+IF($AG140="서울병원",MAX(0,DAY(EOMONTH(출력_요약!$B$3,0))-N($X140)),0)))</f>
        <v/>
      </c>
      <c r="AI140" s="17">
        <f>IF($B140="","",IF($AQ140&lt;&gt;"",N($AR140),IF(TRIM($J140&amp;"")="",0,SUMPRODUCT((입력_파견수련계획!$Q$4:$Q$803=TRIM($J140&amp;""))*(입력_파견수련계획!$S$4:$S$803="구리병원")*입력_파견수련계획!$W$4:$W$803))+IF($AG140="구리병원",MAX(0,DAY(EOMONTH(출력_요약!$B$3,0))-N($X140)),0)))</f>
        <v/>
      </c>
      <c r="AJ140" s="10">
        <f>IF(OR($B140="",TRIM($J140&amp;"")=""),"",IFERROR(MATCH(TRIM($J140&amp;"")&amp;"|월",입력_파견수련계획!$Z$4:$Z$803,0),""))</f>
        <v/>
      </c>
      <c r="AK140" s="10">
        <f>IF(OR($B140="",TRIM($J140&amp;"")=""),"",IFERROR(MATCH(TRIM($J140&amp;"")&amp;"|다기관",입력_파견수련계획!$AE$4:$AE$803,0),""))</f>
        <v/>
      </c>
      <c r="AL140" s="10">
        <f>IF($AK140="","","다기관 "&amp;TEXT(INDEX(입력_파견수련계획!$AB$4:$AB$803,$AK140),"yyyy-mm-dd")&amp;"~"&amp;IF(ISNUMBER(INDEX(입력_파견수련계획!$AC$4:$AC$803,$AK140)),TEXT(INDEX(입력_파견수련계획!$AC$4:$AC$803,$AK140),"yyyy-mm-dd"),""))</f>
        <v/>
      </c>
      <c r="AM140" s="10">
        <f>IF($Y140="서울병원",COUNTIF($Y$2:$Y140,"서울병원"),"")</f>
        <v/>
      </c>
      <c r="AN140" s="10">
        <f>IF(LEFT($Y140,1)="⚠",COUNTIF($Y$2:$Y140,"⚠*"),"")</f>
        <v/>
      </c>
      <c r="AO140" s="10">
        <f>IF(OR($B140="",$Y140=""),"",IF(IF(TRIM($J140&amp;"")="",0,SUMPRODUCT((입력_파견수련계획!$Q$4:$Q$803=TRIM($J140&amp;""))*입력_파견수련계획!$AD$4:$AD$803))&gt;0,"다기관 기간 → 소속병원 지급",IF(AND(N($X140)&lt;=0,$AQ140=""),"파견 없음 → 그 달 근무병원 지급",IF($AH140+$AI140=DAY(EOMONTH(출력_요약!$B$3,0)),"서울 "&amp;$AH140&amp;"일 / 구리 "&amp;$AI140&amp;"일"&amp;IF($AQ140&lt;&gt;""," (구리 근무자명단 반영)","")&amp;" → 15일 이상 근무 병원 지급","타 병원 포함 → "&amp;IF($AJ140="","소속",INDEX(입력_파견수련계획!$T$4:$T$803,$AJ140))&amp;" 규칙"))))</f>
        <v/>
      </c>
      <c r="AP140" s="10">
        <f>IF($B140="","",$C140&amp;"|"&amp;$F140)</f>
        <v/>
      </c>
      <c r="AQ140" s="10">
        <f>IF($B140="","",IFERROR(MATCH(ROW()-1,출력_구리근무자!$K$6:$K$305,0),""))</f>
        <v/>
      </c>
      <c r="AR140" s="10">
        <f>IF($AQ140="","",INDEX(출력_구리근무자!$H$6:$H$305,$AQ140))</f>
        <v/>
      </c>
    </row>
    <row r="141">
      <c r="A141" s="10">
        <f>IF(B141="","",ROW()-1)</f>
        <v/>
      </c>
      <c r="B141" s="19" t="n"/>
      <c r="C141" s="10">
        <f>IF($AB141="","",IF(INDEX(입력_기본자료!$C$2:$C$1001,$AB141)="","",INDEX(입력_기본자료!$C$2:$C$1001,$AB141)))</f>
        <v/>
      </c>
      <c r="D141" s="10">
        <f>IF($AB141="","",IF(INDEX(입력_기본자료!$J$2:$J$1001,$AB141)="","",INDEX(입력_기본자료!$J$2:$J$1001,$AB141)))</f>
        <v/>
      </c>
      <c r="E141" s="11">
        <f>IF($AB141="","",IF(INDEX(입력_기본자료!$K$2:$K$1001,$AB141)="","",IF(NOT(ISNUMBER(INDEX(입력_기본자료!$K$2:$K$1001,$AB141))),INDEX(입력_기본자료!$K$2:$K$1001,$AB141),IF(INDEX(입력_기본자료!$K$2:$K$1001,$AB141)&lt;1000000,INDEX(입력_기본자료!$K$2:$K$1001,$AB141),IF(AND(INDEX(입력_기본자료!$K$2:$K$1001,$AB141)&gt;=10000101,INT(MOD(INDEX(입력_기본자료!$K$2:$K$1001,$AB141),10000)/100)&gt;=1,INT(MOD(INDEX(입력_기본자료!$K$2:$K$1001,$AB141),10000)/100)&lt;=12,MOD(INDEX(입력_기본자료!$K$2:$K$1001,$AB141),100)&gt;=1,MOD(INDEX(입력_기본자료!$K$2:$K$1001,$AB141),100)&lt;=31),DATE(INT(INDEX(입력_기본자료!$K$2:$K$1001,$AB141)/10000),INT(MOD(INDEX(입력_기본자료!$K$2:$K$1001,$AB141),10000)/100),MOD(INDEX(입력_기본자료!$K$2:$K$1001,$AB141),100)),INDEX(입력_기본자료!$K$2:$K$1001,$AB141)&amp;"")))))</f>
        <v/>
      </c>
      <c r="F141" s="10">
        <f>IF($AB141="","",IF(INDEX(입력_기본자료!$D$2:$D$1001,$AB141)="","",INDEX(입력_기본자료!$D$2:$D$1001,$AB141)))</f>
        <v/>
      </c>
      <c r="G141" s="10">
        <f>IF($AB141="","",IF(INDEX(입력_기본자료!$E$2:$E$1001,$AB141)="","",INDEX(입력_기본자료!$E$2:$E$1001,$AB141)))</f>
        <v/>
      </c>
      <c r="H141" s="10">
        <f>IF($AB141="","",IF(INDEX(입력_기본자료!$F$2:$F$1001,$AB141)="","",INDEX(입력_기본자료!$F$2:$F$1001,$AB141)))</f>
        <v/>
      </c>
      <c r="I141" s="11">
        <f>IF($AB141="","",IF(INDEX(입력_기본자료!$G$2:$G$1001,$AB141)="","",IF(NOT(ISNUMBER(INDEX(입력_기본자료!$G$2:$G$1001,$AB141))),INDEX(입력_기본자료!$G$2:$G$1001,$AB141),IF(INDEX(입력_기본자료!$G$2:$G$1001,$AB141)&lt;1000000,INDEX(입력_기본자료!$G$2:$G$1001,$AB141),IF(AND(INDEX(입력_기본자료!$G$2:$G$1001,$AB141)&gt;=10000101,INT(MOD(INDEX(입력_기본자료!$G$2:$G$1001,$AB141),10000)/100)&gt;=1,INT(MOD(INDEX(입력_기본자료!$G$2:$G$1001,$AB141),10000)/100)&lt;=12,MOD(INDEX(입력_기본자료!$G$2:$G$1001,$AB141),100)&gt;=1,MOD(INDEX(입력_기본자료!$G$2:$G$1001,$AB141),100)&lt;=31),DATE(INT(INDEX(입력_기본자료!$G$2:$G$1001,$AB141)/10000),INT(MOD(INDEX(입력_기본자료!$G$2:$G$1001,$AB141),10000)/100),MOD(INDEX(입력_기본자료!$G$2:$G$1001,$AB141),100)),INDEX(입력_기본자료!$G$2:$G$1001,$AB141)&amp;"")))))</f>
        <v/>
      </c>
      <c r="J141" s="10">
        <f>IF($AB141="","",IF(INDEX(입력_기본자료!$H$2:$H$1001,$AB141)="","",INDEX(입력_기본자료!$H$2:$H$1001,$AB141)))</f>
        <v/>
      </c>
      <c r="K141" s="10">
        <f>IF($AB141="","",IF(INDEX(입력_기본자료!$I$2:$I$1001,$AB141)="","",INDEX(입력_기본자료!$I$2:$I$1001,$AB141)))</f>
        <v/>
      </c>
      <c r="L141" s="10">
        <f>IF($AB141="","",IF(INDEX(입력_기본자료!$A$2:$A$1001,$AB141)="","",INDEX(입력_기본자료!$A$2:$A$1001,$AB141)))</f>
        <v/>
      </c>
      <c r="M141" s="15" t="n"/>
      <c r="N141" s="10">
        <f>IF($B141="","",IF(AND($U141="파견중",$Q141&lt;&gt;""),$Q141,IF(AND($AD141&lt;&gt;"",LEFT($AD141,1)&lt;&gt;"⚠"),LEFT($AD141,FIND(" ",$AD141)-1),IF($H141="","",IF(RIGHT($H141,2)="병원",$H141,$H141&amp;"병원")))))</f>
        <v/>
      </c>
      <c r="O141" s="10">
        <f>IF($B141="","",IF(AND($U141="파견중",$Q141&lt;&gt;""),IF($R141&lt;&gt;"",$R141,"파견과 미입력"),IF(AND($AD141&lt;&gt;"",LEFT($AD141,1)&lt;&gt;"⚠"),MID($AD141,FIND(" ",$AD141)+1,60),IF($F141="","",IF($F141="인턴","수련교육부(인턴)",$F141)))))</f>
        <v/>
      </c>
      <c r="P141" s="10">
        <f>IF($B141="","",IF($AK141&lt;&gt;"",IF(AND(TODAY()&gt;=INDEX(입력_파견수련계획!$AB$4:$AB$803,$AK141),OR(NOT(ISNUMBER(INDEX(입력_파견수련계획!$AC$4:$AC$803,$AK141))),TODAY()&lt;=INDEX(입력_파견수련계획!$AC$4:$AC$803,$AK141))),"다기관",IF($AF141="","",INDEX(입력_파견수련계획!$T$4:$T$803,$AF141))),IF($AF141="","",INDEX(입력_파견수련계획!$T$4:$T$803,$AF141))))</f>
        <v/>
      </c>
      <c r="Q141" s="10">
        <f>IF($AF141="","",INDEX(입력_파견수련계획!$S$4:$S$803,$AF141))</f>
        <v/>
      </c>
      <c r="R141" s="10">
        <f>IF($AF141="","",INDEX(입력_파견수련계획!$U$4:$U$803,$AF141))</f>
        <v/>
      </c>
      <c r="S141" s="11">
        <f>IF($AF141="","",IF(INDEX(입력_파견수련계획!$H$4:$H$803,$AF141)="","",INDEX(입력_파견수련계획!$H$4:$H$803,$AF141)))</f>
        <v/>
      </c>
      <c r="T141" s="11">
        <f>IF($AF141="","",IF(INDEX(입력_파견수련계획!$I$4:$I$803,$AF141)="","",INDEX(입력_파견수련계획!$I$4:$I$803,$AF141)))</f>
        <v/>
      </c>
      <c r="U141" s="10">
        <f>IF($AF141="","",INDEX(입력_파견수련계획!$X$4:$X$803,$AF141))</f>
        <v/>
      </c>
      <c r="V141" s="17">
        <f>IF($AF141="","",INDEX(입력_파견수련계획!$V$4:$V$803,$AF141))</f>
        <v/>
      </c>
      <c r="W141" s="17">
        <f>IF(AND($U141="파견중",$T141&lt;&gt;""),$T141-TODAY(),"")</f>
        <v/>
      </c>
      <c r="X141" s="17">
        <f>IF(OR($B141="",TRIM($J141&amp;"")=""),"",SUMPRODUCT((입력_파견수련계획!$Q$4:$Q$803=TRIM($J141&amp;""))*입력_파견수련계획!$W$4:$W$803))</f>
        <v/>
      </c>
      <c r="Y141" s="10">
        <f>IF($B141="","",IF($AG141="","",IF(IF(TRIM($J141&amp;"")="",0,SUMPRODUCT((입력_파견수련계획!$Q$4:$Q$803=TRIM($J141&amp;""))*입력_파견수련계획!$AD$4:$AD$803))&gt;0,$AE141,IF(AND(N($X141)&lt;=0,$AQ141=""),$AG141,IF($AH141+$AI141=DAY(EOMONTH(출력_요약!$B$3,0)),IF(AND($AH141&gt;=출력_요약!$E$3,$AI141&lt;출력_요약!$E$3),"서울병원",IF(AND($AI141&gt;=출력_요약!$E$3,$AH141&lt;출력_요약!$E$3),"구리병원","⚠15일 판정불가(서울 "&amp;$AH141&amp;"일/구리 "&amp;$AI141&amp;"일)")),IF($AJ141="",$AE141,IF(INDEX(입력_파견수련계획!$T$4:$T$803,$AJ141)="통합수련",INDEX(입력_파견수련계획!$S$4:$S$803,$AJ141),$AE141)))))))</f>
        <v/>
      </c>
      <c r="Z141" s="20">
        <f>IF($B141="","",IF($AB141="","기본자료에 없는 사번",IF(COUNTIF($B$2:$B$401,$B141)&gt;1,"중복 사번",IF($AE141="","소속(입사장소) 입력",IF(IF(TRIM($J141&amp;"")="",0,SUMPRODUCT((입력_파견수련계획!$Q$4:$Q$803=TRIM($J141&amp;""))*(입력_파견수련계획!$AA$4:$AA$803&lt;&gt;"")))&gt;0,"파견수련계획 입력오류 확인",IF(LEFT($Y141,1)="⚠","서울·구리 15일 판정 불가(양쪽 모두 이상/미만)",IF(IF($AC141="",0,N(INDEX(입력_인턴근무계획!$T$3:$T$402,$AC141)))&gt;0,"인턴계획 입력오류 확인",IF(AND($AQ141&lt;&gt;"",$AG141&lt;&gt;"구리병원",IF(TRIM($J141&amp;"")="",0,SUMPRODUCT((입력_파견수련계획!$Q$4:$Q$803=TRIM($J141&amp;""))*(입력_파견수련계획!$S$4:$S$803="구리병원")*입력_파견수련계획!$W$4:$W$803))=0),"구리 근무자명단에만 있음(파견수련계획 확인)",IF(AND($AC141&lt;&gt;"",$U141&lt;&gt;"파견중",$N141&lt;&gt;$AE141),"인턴 타지역 근무: 파견 여부 확인","정상")))))))))</f>
        <v/>
      </c>
      <c r="AA141" s="5" t="n"/>
      <c r="AB141" s="10">
        <f>IF($B141="","",IFERROR(MATCH($B141,입력_기본자료!$B$2:$B$1001,0),IFERROR(MATCH($B141&amp;"",입력_기본자료!$B$2:$B$1001,0),IFERROR(MATCH(VALUE($B141),입력_기본자료!$B$2:$B$1001,0),""))))</f>
        <v/>
      </c>
      <c r="AC141" s="10">
        <f>IF($B141="","",IFERROR(MATCH($B141,입력_인턴근무계획!$D$3:$D$402,0),IFERROR(MATCH($B141&amp;"",입력_인턴근무계획!$D$3:$D$402,0),IFERROR(MATCH(VALUE($B141),입력_인턴근무계획!$D$3:$D$402,0),""))))</f>
        <v/>
      </c>
      <c r="AD141" s="10">
        <f>IF(OR($AC141="",출력_인턴현황!$G$3=""),"",INDEX(입력_인턴근무계획!$M$3:$R$402,$AC141,출력_인턴현황!$G$3)&amp;"")</f>
        <v/>
      </c>
      <c r="AE141" s="10">
        <f>IF($B141="","",IF($M141&lt;&gt;"",$M141,IF(IF($AQ141="",FALSE,INDEX(출력_구리근무자!$J$6:$J$305,$AQ141)="구리독자"),"구리병원",IF($AF141&lt;&gt;"",IF(LEFT(INDEX(입력_파견수련계획!$R$4:$R$803,$AF141),1)&lt;&gt;"⚠",INDEX(입력_파견수련계획!$R$4:$R$803,$AF141),IF($H141="","",IF(RIGHT($H141,2)="병원",$H141,$H141&amp;"병원"))),IF($H141="","",IF(RIGHT($H141,2)="병원",$H141,$H141&amp;"병원"))))))</f>
        <v/>
      </c>
      <c r="AF141" s="10">
        <f>IF(OR($B141="",TRIM($J141&amp;"")=""),"",IFERROR(MATCH(TRIM($J141&amp;"")&amp;"|파견중",입력_파견수련계획!$Y$4:$Y$803,0),IFERROR(MATCH(TRIM($J141&amp;"")&amp;"|파견예정",입력_파견수련계획!$Y$4:$Y$803,0),IFERROR(MATCH(TRIM($J141&amp;"")&amp;"|파견종료",입력_파견수련계획!$Y$4:$Y$803,0),""))))</f>
        <v/>
      </c>
      <c r="AG141" s="10">
        <f>IF($B141="","",IF(AND(IF(OR($AC141="",출력_인턴현황!$K$2=""),"",INDEX(입력_인턴근무계획!$M$3:$R$402,$AC141,출력_인턴현황!$K$2)&amp;"")&lt;&gt;"",LEFT(IF(OR($AC141="",출력_인턴현황!$K$2=""),"",INDEX(입력_인턴근무계획!$M$3:$R$402,$AC141,출력_인턴현황!$K$2)&amp;""),1)&lt;&gt;"⚠"),LEFT(IF(OR($AC141="",출력_인턴현황!$K$2=""),"",INDEX(입력_인턴근무계획!$M$3:$R$402,$AC141,출력_인턴현황!$K$2)&amp;""),FIND(" ",IF(OR($AC141="",출력_인턴현황!$K$2=""),"",INDEX(입력_인턴근무계획!$M$3:$R$402,$AC141,출력_인턴현황!$K$2)&amp;""))-1),$AE141))</f>
        <v/>
      </c>
      <c r="AH141" s="17">
        <f>IF($B141="","",IF($AQ141&lt;&gt;"",MAX(0,DAY(EOMONTH(출력_요약!$B$3,0))-N($AR141)),IF(TRIM($J141&amp;"")="",0,SUMPRODUCT((입력_파견수련계획!$Q$4:$Q$803=TRIM($J141&amp;""))*(입력_파견수련계획!$S$4:$S$803="서울병원")*입력_파견수련계획!$W$4:$W$803))+IF($AG141="서울병원",MAX(0,DAY(EOMONTH(출력_요약!$B$3,0))-N($X141)),0)))</f>
        <v/>
      </c>
      <c r="AI141" s="17">
        <f>IF($B141="","",IF($AQ141&lt;&gt;"",N($AR141),IF(TRIM($J141&amp;"")="",0,SUMPRODUCT((입력_파견수련계획!$Q$4:$Q$803=TRIM($J141&amp;""))*(입력_파견수련계획!$S$4:$S$803="구리병원")*입력_파견수련계획!$W$4:$W$803))+IF($AG141="구리병원",MAX(0,DAY(EOMONTH(출력_요약!$B$3,0))-N($X141)),0)))</f>
        <v/>
      </c>
      <c r="AJ141" s="10">
        <f>IF(OR($B141="",TRIM($J141&amp;"")=""),"",IFERROR(MATCH(TRIM($J141&amp;"")&amp;"|월",입력_파견수련계획!$Z$4:$Z$803,0),""))</f>
        <v/>
      </c>
      <c r="AK141" s="10">
        <f>IF(OR($B141="",TRIM($J141&amp;"")=""),"",IFERROR(MATCH(TRIM($J141&amp;"")&amp;"|다기관",입력_파견수련계획!$AE$4:$AE$803,0),""))</f>
        <v/>
      </c>
      <c r="AL141" s="10">
        <f>IF($AK141="","","다기관 "&amp;TEXT(INDEX(입력_파견수련계획!$AB$4:$AB$803,$AK141),"yyyy-mm-dd")&amp;"~"&amp;IF(ISNUMBER(INDEX(입력_파견수련계획!$AC$4:$AC$803,$AK141)),TEXT(INDEX(입력_파견수련계획!$AC$4:$AC$803,$AK141),"yyyy-mm-dd"),""))</f>
        <v/>
      </c>
      <c r="AM141" s="10">
        <f>IF($Y141="서울병원",COUNTIF($Y$2:$Y141,"서울병원"),"")</f>
        <v/>
      </c>
      <c r="AN141" s="10">
        <f>IF(LEFT($Y141,1)="⚠",COUNTIF($Y$2:$Y141,"⚠*"),"")</f>
        <v/>
      </c>
      <c r="AO141" s="10">
        <f>IF(OR($B141="",$Y141=""),"",IF(IF(TRIM($J141&amp;"")="",0,SUMPRODUCT((입력_파견수련계획!$Q$4:$Q$803=TRIM($J141&amp;""))*입력_파견수련계획!$AD$4:$AD$803))&gt;0,"다기관 기간 → 소속병원 지급",IF(AND(N($X141)&lt;=0,$AQ141=""),"파견 없음 → 그 달 근무병원 지급",IF($AH141+$AI141=DAY(EOMONTH(출력_요약!$B$3,0)),"서울 "&amp;$AH141&amp;"일 / 구리 "&amp;$AI141&amp;"일"&amp;IF($AQ141&lt;&gt;""," (구리 근무자명단 반영)","")&amp;" → 15일 이상 근무 병원 지급","타 병원 포함 → "&amp;IF($AJ141="","소속",INDEX(입력_파견수련계획!$T$4:$T$803,$AJ141))&amp;" 규칙"))))</f>
        <v/>
      </c>
      <c r="AP141" s="10">
        <f>IF($B141="","",$C141&amp;"|"&amp;$F141)</f>
        <v/>
      </c>
      <c r="AQ141" s="10">
        <f>IF($B141="","",IFERROR(MATCH(ROW()-1,출력_구리근무자!$K$6:$K$305,0),""))</f>
        <v/>
      </c>
      <c r="AR141" s="10">
        <f>IF($AQ141="","",INDEX(출력_구리근무자!$H$6:$H$305,$AQ141))</f>
        <v/>
      </c>
    </row>
    <row r="142">
      <c r="A142" s="10">
        <f>IF(B142="","",ROW()-1)</f>
        <v/>
      </c>
      <c r="B142" s="19" t="n"/>
      <c r="C142" s="10">
        <f>IF($AB142="","",IF(INDEX(입력_기본자료!$C$2:$C$1001,$AB142)="","",INDEX(입력_기본자료!$C$2:$C$1001,$AB142)))</f>
        <v/>
      </c>
      <c r="D142" s="10">
        <f>IF($AB142="","",IF(INDEX(입력_기본자료!$J$2:$J$1001,$AB142)="","",INDEX(입력_기본자료!$J$2:$J$1001,$AB142)))</f>
        <v/>
      </c>
      <c r="E142" s="11">
        <f>IF($AB142="","",IF(INDEX(입력_기본자료!$K$2:$K$1001,$AB142)="","",IF(NOT(ISNUMBER(INDEX(입력_기본자료!$K$2:$K$1001,$AB142))),INDEX(입력_기본자료!$K$2:$K$1001,$AB142),IF(INDEX(입력_기본자료!$K$2:$K$1001,$AB142)&lt;1000000,INDEX(입력_기본자료!$K$2:$K$1001,$AB142),IF(AND(INDEX(입력_기본자료!$K$2:$K$1001,$AB142)&gt;=10000101,INT(MOD(INDEX(입력_기본자료!$K$2:$K$1001,$AB142),10000)/100)&gt;=1,INT(MOD(INDEX(입력_기본자료!$K$2:$K$1001,$AB142),10000)/100)&lt;=12,MOD(INDEX(입력_기본자료!$K$2:$K$1001,$AB142),100)&gt;=1,MOD(INDEX(입력_기본자료!$K$2:$K$1001,$AB142),100)&lt;=31),DATE(INT(INDEX(입력_기본자료!$K$2:$K$1001,$AB142)/10000),INT(MOD(INDEX(입력_기본자료!$K$2:$K$1001,$AB142),10000)/100),MOD(INDEX(입력_기본자료!$K$2:$K$1001,$AB142),100)),INDEX(입력_기본자료!$K$2:$K$1001,$AB142)&amp;"")))))</f>
        <v/>
      </c>
      <c r="F142" s="10">
        <f>IF($AB142="","",IF(INDEX(입력_기본자료!$D$2:$D$1001,$AB142)="","",INDEX(입력_기본자료!$D$2:$D$1001,$AB142)))</f>
        <v/>
      </c>
      <c r="G142" s="10">
        <f>IF($AB142="","",IF(INDEX(입력_기본자료!$E$2:$E$1001,$AB142)="","",INDEX(입력_기본자료!$E$2:$E$1001,$AB142)))</f>
        <v/>
      </c>
      <c r="H142" s="10">
        <f>IF($AB142="","",IF(INDEX(입력_기본자료!$F$2:$F$1001,$AB142)="","",INDEX(입력_기본자료!$F$2:$F$1001,$AB142)))</f>
        <v/>
      </c>
      <c r="I142" s="11">
        <f>IF($AB142="","",IF(INDEX(입력_기본자료!$G$2:$G$1001,$AB142)="","",IF(NOT(ISNUMBER(INDEX(입력_기본자료!$G$2:$G$1001,$AB142))),INDEX(입력_기본자료!$G$2:$G$1001,$AB142),IF(INDEX(입력_기본자료!$G$2:$G$1001,$AB142)&lt;1000000,INDEX(입력_기본자료!$G$2:$G$1001,$AB142),IF(AND(INDEX(입력_기본자료!$G$2:$G$1001,$AB142)&gt;=10000101,INT(MOD(INDEX(입력_기본자료!$G$2:$G$1001,$AB142),10000)/100)&gt;=1,INT(MOD(INDEX(입력_기본자료!$G$2:$G$1001,$AB142),10000)/100)&lt;=12,MOD(INDEX(입력_기본자료!$G$2:$G$1001,$AB142),100)&gt;=1,MOD(INDEX(입력_기본자료!$G$2:$G$1001,$AB142),100)&lt;=31),DATE(INT(INDEX(입력_기본자료!$G$2:$G$1001,$AB142)/10000),INT(MOD(INDEX(입력_기본자료!$G$2:$G$1001,$AB142),10000)/100),MOD(INDEX(입력_기본자료!$G$2:$G$1001,$AB142),100)),INDEX(입력_기본자료!$G$2:$G$1001,$AB142)&amp;"")))))</f>
        <v/>
      </c>
      <c r="J142" s="10">
        <f>IF($AB142="","",IF(INDEX(입력_기본자료!$H$2:$H$1001,$AB142)="","",INDEX(입력_기본자료!$H$2:$H$1001,$AB142)))</f>
        <v/>
      </c>
      <c r="K142" s="10">
        <f>IF($AB142="","",IF(INDEX(입력_기본자료!$I$2:$I$1001,$AB142)="","",INDEX(입력_기본자료!$I$2:$I$1001,$AB142)))</f>
        <v/>
      </c>
      <c r="L142" s="10">
        <f>IF($AB142="","",IF(INDEX(입력_기본자료!$A$2:$A$1001,$AB142)="","",INDEX(입력_기본자료!$A$2:$A$1001,$AB142)))</f>
        <v/>
      </c>
      <c r="M142" s="15" t="n"/>
      <c r="N142" s="10">
        <f>IF($B142="","",IF(AND($U142="파견중",$Q142&lt;&gt;""),$Q142,IF(AND($AD142&lt;&gt;"",LEFT($AD142,1)&lt;&gt;"⚠"),LEFT($AD142,FIND(" ",$AD142)-1),IF($H142="","",IF(RIGHT($H142,2)="병원",$H142,$H142&amp;"병원")))))</f>
        <v/>
      </c>
      <c r="O142" s="10">
        <f>IF($B142="","",IF(AND($U142="파견중",$Q142&lt;&gt;""),IF($R142&lt;&gt;"",$R142,"파견과 미입력"),IF(AND($AD142&lt;&gt;"",LEFT($AD142,1)&lt;&gt;"⚠"),MID($AD142,FIND(" ",$AD142)+1,60),IF($F142="","",IF($F142="인턴","수련교육부(인턴)",$F142)))))</f>
        <v/>
      </c>
      <c r="P142" s="10">
        <f>IF($B142="","",IF($AK142&lt;&gt;"",IF(AND(TODAY()&gt;=INDEX(입력_파견수련계획!$AB$4:$AB$803,$AK142),OR(NOT(ISNUMBER(INDEX(입력_파견수련계획!$AC$4:$AC$803,$AK142))),TODAY()&lt;=INDEX(입력_파견수련계획!$AC$4:$AC$803,$AK142))),"다기관",IF($AF142="","",INDEX(입력_파견수련계획!$T$4:$T$803,$AF142))),IF($AF142="","",INDEX(입력_파견수련계획!$T$4:$T$803,$AF142))))</f>
        <v/>
      </c>
      <c r="Q142" s="10">
        <f>IF($AF142="","",INDEX(입력_파견수련계획!$S$4:$S$803,$AF142))</f>
        <v/>
      </c>
      <c r="R142" s="10">
        <f>IF($AF142="","",INDEX(입력_파견수련계획!$U$4:$U$803,$AF142))</f>
        <v/>
      </c>
      <c r="S142" s="11">
        <f>IF($AF142="","",IF(INDEX(입력_파견수련계획!$H$4:$H$803,$AF142)="","",INDEX(입력_파견수련계획!$H$4:$H$803,$AF142)))</f>
        <v/>
      </c>
      <c r="T142" s="11">
        <f>IF($AF142="","",IF(INDEX(입력_파견수련계획!$I$4:$I$803,$AF142)="","",INDEX(입력_파견수련계획!$I$4:$I$803,$AF142)))</f>
        <v/>
      </c>
      <c r="U142" s="10">
        <f>IF($AF142="","",INDEX(입력_파견수련계획!$X$4:$X$803,$AF142))</f>
        <v/>
      </c>
      <c r="V142" s="17">
        <f>IF($AF142="","",INDEX(입력_파견수련계획!$V$4:$V$803,$AF142))</f>
        <v/>
      </c>
      <c r="W142" s="17">
        <f>IF(AND($U142="파견중",$T142&lt;&gt;""),$T142-TODAY(),"")</f>
        <v/>
      </c>
      <c r="X142" s="17">
        <f>IF(OR($B142="",TRIM($J142&amp;"")=""),"",SUMPRODUCT((입력_파견수련계획!$Q$4:$Q$803=TRIM($J142&amp;""))*입력_파견수련계획!$W$4:$W$803))</f>
        <v/>
      </c>
      <c r="Y142" s="10">
        <f>IF($B142="","",IF($AG142="","",IF(IF(TRIM($J142&amp;"")="",0,SUMPRODUCT((입력_파견수련계획!$Q$4:$Q$803=TRIM($J142&amp;""))*입력_파견수련계획!$AD$4:$AD$803))&gt;0,$AE142,IF(AND(N($X142)&lt;=0,$AQ142=""),$AG142,IF($AH142+$AI142=DAY(EOMONTH(출력_요약!$B$3,0)),IF(AND($AH142&gt;=출력_요약!$E$3,$AI142&lt;출력_요약!$E$3),"서울병원",IF(AND($AI142&gt;=출력_요약!$E$3,$AH142&lt;출력_요약!$E$3),"구리병원","⚠15일 판정불가(서울 "&amp;$AH142&amp;"일/구리 "&amp;$AI142&amp;"일)")),IF($AJ142="",$AE142,IF(INDEX(입력_파견수련계획!$T$4:$T$803,$AJ142)="통합수련",INDEX(입력_파견수련계획!$S$4:$S$803,$AJ142),$AE142)))))))</f>
        <v/>
      </c>
      <c r="Z142" s="20">
        <f>IF($B142="","",IF($AB142="","기본자료에 없는 사번",IF(COUNTIF($B$2:$B$401,$B142)&gt;1,"중복 사번",IF($AE142="","소속(입사장소) 입력",IF(IF(TRIM($J142&amp;"")="",0,SUMPRODUCT((입력_파견수련계획!$Q$4:$Q$803=TRIM($J142&amp;""))*(입력_파견수련계획!$AA$4:$AA$803&lt;&gt;"")))&gt;0,"파견수련계획 입력오류 확인",IF(LEFT($Y142,1)="⚠","서울·구리 15일 판정 불가(양쪽 모두 이상/미만)",IF(IF($AC142="",0,N(INDEX(입력_인턴근무계획!$T$3:$T$402,$AC142)))&gt;0,"인턴계획 입력오류 확인",IF(AND($AQ142&lt;&gt;"",$AG142&lt;&gt;"구리병원",IF(TRIM($J142&amp;"")="",0,SUMPRODUCT((입력_파견수련계획!$Q$4:$Q$803=TRIM($J142&amp;""))*(입력_파견수련계획!$S$4:$S$803="구리병원")*입력_파견수련계획!$W$4:$W$803))=0),"구리 근무자명단에만 있음(파견수련계획 확인)",IF(AND($AC142&lt;&gt;"",$U142&lt;&gt;"파견중",$N142&lt;&gt;$AE142),"인턴 타지역 근무: 파견 여부 확인","정상")))))))))</f>
        <v/>
      </c>
      <c r="AA142" s="5" t="n"/>
      <c r="AB142" s="10">
        <f>IF($B142="","",IFERROR(MATCH($B142,입력_기본자료!$B$2:$B$1001,0),IFERROR(MATCH($B142&amp;"",입력_기본자료!$B$2:$B$1001,0),IFERROR(MATCH(VALUE($B142),입력_기본자료!$B$2:$B$1001,0),""))))</f>
        <v/>
      </c>
      <c r="AC142" s="10">
        <f>IF($B142="","",IFERROR(MATCH($B142,입력_인턴근무계획!$D$3:$D$402,0),IFERROR(MATCH($B142&amp;"",입력_인턴근무계획!$D$3:$D$402,0),IFERROR(MATCH(VALUE($B142),입력_인턴근무계획!$D$3:$D$402,0),""))))</f>
        <v/>
      </c>
      <c r="AD142" s="10">
        <f>IF(OR($AC142="",출력_인턴현황!$G$3=""),"",INDEX(입력_인턴근무계획!$M$3:$R$402,$AC142,출력_인턴현황!$G$3)&amp;"")</f>
        <v/>
      </c>
      <c r="AE142" s="10">
        <f>IF($B142="","",IF($M142&lt;&gt;"",$M142,IF(IF($AQ142="",FALSE,INDEX(출력_구리근무자!$J$6:$J$305,$AQ142)="구리독자"),"구리병원",IF($AF142&lt;&gt;"",IF(LEFT(INDEX(입력_파견수련계획!$R$4:$R$803,$AF142),1)&lt;&gt;"⚠",INDEX(입력_파견수련계획!$R$4:$R$803,$AF142),IF($H142="","",IF(RIGHT($H142,2)="병원",$H142,$H142&amp;"병원"))),IF($H142="","",IF(RIGHT($H142,2)="병원",$H142,$H142&amp;"병원"))))))</f>
        <v/>
      </c>
      <c r="AF142" s="10">
        <f>IF(OR($B142="",TRIM($J142&amp;"")=""),"",IFERROR(MATCH(TRIM($J142&amp;"")&amp;"|파견중",입력_파견수련계획!$Y$4:$Y$803,0),IFERROR(MATCH(TRIM($J142&amp;"")&amp;"|파견예정",입력_파견수련계획!$Y$4:$Y$803,0),IFERROR(MATCH(TRIM($J142&amp;"")&amp;"|파견종료",입력_파견수련계획!$Y$4:$Y$803,0),""))))</f>
        <v/>
      </c>
      <c r="AG142" s="10">
        <f>IF($B142="","",IF(AND(IF(OR($AC142="",출력_인턴현황!$K$2=""),"",INDEX(입력_인턴근무계획!$M$3:$R$402,$AC142,출력_인턴현황!$K$2)&amp;"")&lt;&gt;"",LEFT(IF(OR($AC142="",출력_인턴현황!$K$2=""),"",INDEX(입력_인턴근무계획!$M$3:$R$402,$AC142,출력_인턴현황!$K$2)&amp;""),1)&lt;&gt;"⚠"),LEFT(IF(OR($AC142="",출력_인턴현황!$K$2=""),"",INDEX(입력_인턴근무계획!$M$3:$R$402,$AC142,출력_인턴현황!$K$2)&amp;""),FIND(" ",IF(OR($AC142="",출력_인턴현황!$K$2=""),"",INDEX(입력_인턴근무계획!$M$3:$R$402,$AC142,출력_인턴현황!$K$2)&amp;""))-1),$AE142))</f>
        <v/>
      </c>
      <c r="AH142" s="17">
        <f>IF($B142="","",IF($AQ142&lt;&gt;"",MAX(0,DAY(EOMONTH(출력_요약!$B$3,0))-N($AR142)),IF(TRIM($J142&amp;"")="",0,SUMPRODUCT((입력_파견수련계획!$Q$4:$Q$803=TRIM($J142&amp;""))*(입력_파견수련계획!$S$4:$S$803="서울병원")*입력_파견수련계획!$W$4:$W$803))+IF($AG142="서울병원",MAX(0,DAY(EOMONTH(출력_요약!$B$3,0))-N($X142)),0)))</f>
        <v/>
      </c>
      <c r="AI142" s="17">
        <f>IF($B142="","",IF($AQ142&lt;&gt;"",N($AR142),IF(TRIM($J142&amp;"")="",0,SUMPRODUCT((입력_파견수련계획!$Q$4:$Q$803=TRIM($J142&amp;""))*(입력_파견수련계획!$S$4:$S$803="구리병원")*입력_파견수련계획!$W$4:$W$803))+IF($AG142="구리병원",MAX(0,DAY(EOMONTH(출력_요약!$B$3,0))-N($X142)),0)))</f>
        <v/>
      </c>
      <c r="AJ142" s="10">
        <f>IF(OR($B142="",TRIM($J142&amp;"")=""),"",IFERROR(MATCH(TRIM($J142&amp;"")&amp;"|월",입력_파견수련계획!$Z$4:$Z$803,0),""))</f>
        <v/>
      </c>
      <c r="AK142" s="10">
        <f>IF(OR($B142="",TRIM($J142&amp;"")=""),"",IFERROR(MATCH(TRIM($J142&amp;"")&amp;"|다기관",입력_파견수련계획!$AE$4:$AE$803,0),""))</f>
        <v/>
      </c>
      <c r="AL142" s="10">
        <f>IF($AK142="","","다기관 "&amp;TEXT(INDEX(입력_파견수련계획!$AB$4:$AB$803,$AK142),"yyyy-mm-dd")&amp;"~"&amp;IF(ISNUMBER(INDEX(입력_파견수련계획!$AC$4:$AC$803,$AK142)),TEXT(INDEX(입력_파견수련계획!$AC$4:$AC$803,$AK142),"yyyy-mm-dd"),""))</f>
        <v/>
      </c>
      <c r="AM142" s="10">
        <f>IF($Y142="서울병원",COUNTIF($Y$2:$Y142,"서울병원"),"")</f>
        <v/>
      </c>
      <c r="AN142" s="10">
        <f>IF(LEFT($Y142,1)="⚠",COUNTIF($Y$2:$Y142,"⚠*"),"")</f>
        <v/>
      </c>
      <c r="AO142" s="10">
        <f>IF(OR($B142="",$Y142=""),"",IF(IF(TRIM($J142&amp;"")="",0,SUMPRODUCT((입력_파견수련계획!$Q$4:$Q$803=TRIM($J142&amp;""))*입력_파견수련계획!$AD$4:$AD$803))&gt;0,"다기관 기간 → 소속병원 지급",IF(AND(N($X142)&lt;=0,$AQ142=""),"파견 없음 → 그 달 근무병원 지급",IF($AH142+$AI142=DAY(EOMONTH(출력_요약!$B$3,0)),"서울 "&amp;$AH142&amp;"일 / 구리 "&amp;$AI142&amp;"일"&amp;IF($AQ142&lt;&gt;""," (구리 근무자명단 반영)","")&amp;" → 15일 이상 근무 병원 지급","타 병원 포함 → "&amp;IF($AJ142="","소속",INDEX(입력_파견수련계획!$T$4:$T$803,$AJ142))&amp;" 규칙"))))</f>
        <v/>
      </c>
      <c r="AP142" s="10">
        <f>IF($B142="","",$C142&amp;"|"&amp;$F142)</f>
        <v/>
      </c>
      <c r="AQ142" s="10">
        <f>IF($B142="","",IFERROR(MATCH(ROW()-1,출력_구리근무자!$K$6:$K$305,0),""))</f>
        <v/>
      </c>
      <c r="AR142" s="10">
        <f>IF($AQ142="","",INDEX(출력_구리근무자!$H$6:$H$305,$AQ142))</f>
        <v/>
      </c>
    </row>
    <row r="143">
      <c r="A143" s="10">
        <f>IF(B143="","",ROW()-1)</f>
        <v/>
      </c>
      <c r="B143" s="19" t="n"/>
      <c r="C143" s="10">
        <f>IF($AB143="","",IF(INDEX(입력_기본자료!$C$2:$C$1001,$AB143)="","",INDEX(입력_기본자료!$C$2:$C$1001,$AB143)))</f>
        <v/>
      </c>
      <c r="D143" s="10">
        <f>IF($AB143="","",IF(INDEX(입력_기본자료!$J$2:$J$1001,$AB143)="","",INDEX(입력_기본자료!$J$2:$J$1001,$AB143)))</f>
        <v/>
      </c>
      <c r="E143" s="11">
        <f>IF($AB143="","",IF(INDEX(입력_기본자료!$K$2:$K$1001,$AB143)="","",IF(NOT(ISNUMBER(INDEX(입력_기본자료!$K$2:$K$1001,$AB143))),INDEX(입력_기본자료!$K$2:$K$1001,$AB143),IF(INDEX(입력_기본자료!$K$2:$K$1001,$AB143)&lt;1000000,INDEX(입력_기본자료!$K$2:$K$1001,$AB143),IF(AND(INDEX(입력_기본자료!$K$2:$K$1001,$AB143)&gt;=10000101,INT(MOD(INDEX(입력_기본자료!$K$2:$K$1001,$AB143),10000)/100)&gt;=1,INT(MOD(INDEX(입력_기본자료!$K$2:$K$1001,$AB143),10000)/100)&lt;=12,MOD(INDEX(입력_기본자료!$K$2:$K$1001,$AB143),100)&gt;=1,MOD(INDEX(입력_기본자료!$K$2:$K$1001,$AB143),100)&lt;=31),DATE(INT(INDEX(입력_기본자료!$K$2:$K$1001,$AB143)/10000),INT(MOD(INDEX(입력_기본자료!$K$2:$K$1001,$AB143),10000)/100),MOD(INDEX(입력_기본자료!$K$2:$K$1001,$AB143),100)),INDEX(입력_기본자료!$K$2:$K$1001,$AB143)&amp;"")))))</f>
        <v/>
      </c>
      <c r="F143" s="10">
        <f>IF($AB143="","",IF(INDEX(입력_기본자료!$D$2:$D$1001,$AB143)="","",INDEX(입력_기본자료!$D$2:$D$1001,$AB143)))</f>
        <v/>
      </c>
      <c r="G143" s="10">
        <f>IF($AB143="","",IF(INDEX(입력_기본자료!$E$2:$E$1001,$AB143)="","",INDEX(입력_기본자료!$E$2:$E$1001,$AB143)))</f>
        <v/>
      </c>
      <c r="H143" s="10">
        <f>IF($AB143="","",IF(INDEX(입력_기본자료!$F$2:$F$1001,$AB143)="","",INDEX(입력_기본자료!$F$2:$F$1001,$AB143)))</f>
        <v/>
      </c>
      <c r="I143" s="11">
        <f>IF($AB143="","",IF(INDEX(입력_기본자료!$G$2:$G$1001,$AB143)="","",IF(NOT(ISNUMBER(INDEX(입력_기본자료!$G$2:$G$1001,$AB143))),INDEX(입력_기본자료!$G$2:$G$1001,$AB143),IF(INDEX(입력_기본자료!$G$2:$G$1001,$AB143)&lt;1000000,INDEX(입력_기본자료!$G$2:$G$1001,$AB143),IF(AND(INDEX(입력_기본자료!$G$2:$G$1001,$AB143)&gt;=10000101,INT(MOD(INDEX(입력_기본자료!$G$2:$G$1001,$AB143),10000)/100)&gt;=1,INT(MOD(INDEX(입력_기본자료!$G$2:$G$1001,$AB143),10000)/100)&lt;=12,MOD(INDEX(입력_기본자료!$G$2:$G$1001,$AB143),100)&gt;=1,MOD(INDEX(입력_기본자료!$G$2:$G$1001,$AB143),100)&lt;=31),DATE(INT(INDEX(입력_기본자료!$G$2:$G$1001,$AB143)/10000),INT(MOD(INDEX(입력_기본자료!$G$2:$G$1001,$AB143),10000)/100),MOD(INDEX(입력_기본자료!$G$2:$G$1001,$AB143),100)),INDEX(입력_기본자료!$G$2:$G$1001,$AB143)&amp;"")))))</f>
        <v/>
      </c>
      <c r="J143" s="10">
        <f>IF($AB143="","",IF(INDEX(입력_기본자료!$H$2:$H$1001,$AB143)="","",INDEX(입력_기본자료!$H$2:$H$1001,$AB143)))</f>
        <v/>
      </c>
      <c r="K143" s="10">
        <f>IF($AB143="","",IF(INDEX(입력_기본자료!$I$2:$I$1001,$AB143)="","",INDEX(입력_기본자료!$I$2:$I$1001,$AB143)))</f>
        <v/>
      </c>
      <c r="L143" s="10">
        <f>IF($AB143="","",IF(INDEX(입력_기본자료!$A$2:$A$1001,$AB143)="","",INDEX(입력_기본자료!$A$2:$A$1001,$AB143)))</f>
        <v/>
      </c>
      <c r="M143" s="15" t="n"/>
      <c r="N143" s="10">
        <f>IF($B143="","",IF(AND($U143="파견중",$Q143&lt;&gt;""),$Q143,IF(AND($AD143&lt;&gt;"",LEFT($AD143,1)&lt;&gt;"⚠"),LEFT($AD143,FIND(" ",$AD143)-1),IF($H143="","",IF(RIGHT($H143,2)="병원",$H143,$H143&amp;"병원")))))</f>
        <v/>
      </c>
      <c r="O143" s="10">
        <f>IF($B143="","",IF(AND($U143="파견중",$Q143&lt;&gt;""),IF($R143&lt;&gt;"",$R143,"파견과 미입력"),IF(AND($AD143&lt;&gt;"",LEFT($AD143,1)&lt;&gt;"⚠"),MID($AD143,FIND(" ",$AD143)+1,60),IF($F143="","",IF($F143="인턴","수련교육부(인턴)",$F143)))))</f>
        <v/>
      </c>
      <c r="P143" s="10">
        <f>IF($B143="","",IF($AK143&lt;&gt;"",IF(AND(TODAY()&gt;=INDEX(입력_파견수련계획!$AB$4:$AB$803,$AK143),OR(NOT(ISNUMBER(INDEX(입력_파견수련계획!$AC$4:$AC$803,$AK143))),TODAY()&lt;=INDEX(입력_파견수련계획!$AC$4:$AC$803,$AK143))),"다기관",IF($AF143="","",INDEX(입력_파견수련계획!$T$4:$T$803,$AF143))),IF($AF143="","",INDEX(입력_파견수련계획!$T$4:$T$803,$AF143))))</f>
        <v/>
      </c>
      <c r="Q143" s="10">
        <f>IF($AF143="","",INDEX(입력_파견수련계획!$S$4:$S$803,$AF143))</f>
        <v/>
      </c>
      <c r="R143" s="10">
        <f>IF($AF143="","",INDEX(입력_파견수련계획!$U$4:$U$803,$AF143))</f>
        <v/>
      </c>
      <c r="S143" s="11">
        <f>IF($AF143="","",IF(INDEX(입력_파견수련계획!$H$4:$H$803,$AF143)="","",INDEX(입력_파견수련계획!$H$4:$H$803,$AF143)))</f>
        <v/>
      </c>
      <c r="T143" s="11">
        <f>IF($AF143="","",IF(INDEX(입력_파견수련계획!$I$4:$I$803,$AF143)="","",INDEX(입력_파견수련계획!$I$4:$I$803,$AF143)))</f>
        <v/>
      </c>
      <c r="U143" s="10">
        <f>IF($AF143="","",INDEX(입력_파견수련계획!$X$4:$X$803,$AF143))</f>
        <v/>
      </c>
      <c r="V143" s="17">
        <f>IF($AF143="","",INDEX(입력_파견수련계획!$V$4:$V$803,$AF143))</f>
        <v/>
      </c>
      <c r="W143" s="17">
        <f>IF(AND($U143="파견중",$T143&lt;&gt;""),$T143-TODAY(),"")</f>
        <v/>
      </c>
      <c r="X143" s="17">
        <f>IF(OR($B143="",TRIM($J143&amp;"")=""),"",SUMPRODUCT((입력_파견수련계획!$Q$4:$Q$803=TRIM($J143&amp;""))*입력_파견수련계획!$W$4:$W$803))</f>
        <v/>
      </c>
      <c r="Y143" s="10">
        <f>IF($B143="","",IF($AG143="","",IF(IF(TRIM($J143&amp;"")="",0,SUMPRODUCT((입력_파견수련계획!$Q$4:$Q$803=TRIM($J143&amp;""))*입력_파견수련계획!$AD$4:$AD$803))&gt;0,$AE143,IF(AND(N($X143)&lt;=0,$AQ143=""),$AG143,IF($AH143+$AI143=DAY(EOMONTH(출력_요약!$B$3,0)),IF(AND($AH143&gt;=출력_요약!$E$3,$AI143&lt;출력_요약!$E$3),"서울병원",IF(AND($AI143&gt;=출력_요약!$E$3,$AH143&lt;출력_요약!$E$3),"구리병원","⚠15일 판정불가(서울 "&amp;$AH143&amp;"일/구리 "&amp;$AI143&amp;"일)")),IF($AJ143="",$AE143,IF(INDEX(입력_파견수련계획!$T$4:$T$803,$AJ143)="통합수련",INDEX(입력_파견수련계획!$S$4:$S$803,$AJ143),$AE143)))))))</f>
        <v/>
      </c>
      <c r="Z143" s="20">
        <f>IF($B143="","",IF($AB143="","기본자료에 없는 사번",IF(COUNTIF($B$2:$B$401,$B143)&gt;1,"중복 사번",IF($AE143="","소속(입사장소) 입력",IF(IF(TRIM($J143&amp;"")="",0,SUMPRODUCT((입력_파견수련계획!$Q$4:$Q$803=TRIM($J143&amp;""))*(입력_파견수련계획!$AA$4:$AA$803&lt;&gt;"")))&gt;0,"파견수련계획 입력오류 확인",IF(LEFT($Y143,1)="⚠","서울·구리 15일 판정 불가(양쪽 모두 이상/미만)",IF(IF($AC143="",0,N(INDEX(입력_인턴근무계획!$T$3:$T$402,$AC143)))&gt;0,"인턴계획 입력오류 확인",IF(AND($AQ143&lt;&gt;"",$AG143&lt;&gt;"구리병원",IF(TRIM($J143&amp;"")="",0,SUMPRODUCT((입력_파견수련계획!$Q$4:$Q$803=TRIM($J143&amp;""))*(입력_파견수련계획!$S$4:$S$803="구리병원")*입력_파견수련계획!$W$4:$W$803))=0),"구리 근무자명단에만 있음(파견수련계획 확인)",IF(AND($AC143&lt;&gt;"",$U143&lt;&gt;"파견중",$N143&lt;&gt;$AE143),"인턴 타지역 근무: 파견 여부 확인","정상")))))))))</f>
        <v/>
      </c>
      <c r="AA143" s="5" t="n"/>
      <c r="AB143" s="10">
        <f>IF($B143="","",IFERROR(MATCH($B143,입력_기본자료!$B$2:$B$1001,0),IFERROR(MATCH($B143&amp;"",입력_기본자료!$B$2:$B$1001,0),IFERROR(MATCH(VALUE($B143),입력_기본자료!$B$2:$B$1001,0),""))))</f>
        <v/>
      </c>
      <c r="AC143" s="10">
        <f>IF($B143="","",IFERROR(MATCH($B143,입력_인턴근무계획!$D$3:$D$402,0),IFERROR(MATCH($B143&amp;"",입력_인턴근무계획!$D$3:$D$402,0),IFERROR(MATCH(VALUE($B143),입력_인턴근무계획!$D$3:$D$402,0),""))))</f>
        <v/>
      </c>
      <c r="AD143" s="10">
        <f>IF(OR($AC143="",출력_인턴현황!$G$3=""),"",INDEX(입력_인턴근무계획!$M$3:$R$402,$AC143,출력_인턴현황!$G$3)&amp;"")</f>
        <v/>
      </c>
      <c r="AE143" s="10">
        <f>IF($B143="","",IF($M143&lt;&gt;"",$M143,IF(IF($AQ143="",FALSE,INDEX(출력_구리근무자!$J$6:$J$305,$AQ143)="구리독자"),"구리병원",IF($AF143&lt;&gt;"",IF(LEFT(INDEX(입력_파견수련계획!$R$4:$R$803,$AF143),1)&lt;&gt;"⚠",INDEX(입력_파견수련계획!$R$4:$R$803,$AF143),IF($H143="","",IF(RIGHT($H143,2)="병원",$H143,$H143&amp;"병원"))),IF($H143="","",IF(RIGHT($H143,2)="병원",$H143,$H143&amp;"병원"))))))</f>
        <v/>
      </c>
      <c r="AF143" s="10">
        <f>IF(OR($B143="",TRIM($J143&amp;"")=""),"",IFERROR(MATCH(TRIM($J143&amp;"")&amp;"|파견중",입력_파견수련계획!$Y$4:$Y$803,0),IFERROR(MATCH(TRIM($J143&amp;"")&amp;"|파견예정",입력_파견수련계획!$Y$4:$Y$803,0),IFERROR(MATCH(TRIM($J143&amp;"")&amp;"|파견종료",입력_파견수련계획!$Y$4:$Y$803,0),""))))</f>
        <v/>
      </c>
      <c r="AG143" s="10">
        <f>IF($B143="","",IF(AND(IF(OR($AC143="",출력_인턴현황!$K$2=""),"",INDEX(입력_인턴근무계획!$M$3:$R$402,$AC143,출력_인턴현황!$K$2)&amp;"")&lt;&gt;"",LEFT(IF(OR($AC143="",출력_인턴현황!$K$2=""),"",INDEX(입력_인턴근무계획!$M$3:$R$402,$AC143,출력_인턴현황!$K$2)&amp;""),1)&lt;&gt;"⚠"),LEFT(IF(OR($AC143="",출력_인턴현황!$K$2=""),"",INDEX(입력_인턴근무계획!$M$3:$R$402,$AC143,출력_인턴현황!$K$2)&amp;""),FIND(" ",IF(OR($AC143="",출력_인턴현황!$K$2=""),"",INDEX(입력_인턴근무계획!$M$3:$R$402,$AC143,출력_인턴현황!$K$2)&amp;""))-1),$AE143))</f>
        <v/>
      </c>
      <c r="AH143" s="17">
        <f>IF($B143="","",IF($AQ143&lt;&gt;"",MAX(0,DAY(EOMONTH(출력_요약!$B$3,0))-N($AR143)),IF(TRIM($J143&amp;"")="",0,SUMPRODUCT((입력_파견수련계획!$Q$4:$Q$803=TRIM($J143&amp;""))*(입력_파견수련계획!$S$4:$S$803="서울병원")*입력_파견수련계획!$W$4:$W$803))+IF($AG143="서울병원",MAX(0,DAY(EOMONTH(출력_요약!$B$3,0))-N($X143)),0)))</f>
        <v/>
      </c>
      <c r="AI143" s="17">
        <f>IF($B143="","",IF($AQ143&lt;&gt;"",N($AR143),IF(TRIM($J143&amp;"")="",0,SUMPRODUCT((입력_파견수련계획!$Q$4:$Q$803=TRIM($J143&amp;""))*(입력_파견수련계획!$S$4:$S$803="구리병원")*입력_파견수련계획!$W$4:$W$803))+IF($AG143="구리병원",MAX(0,DAY(EOMONTH(출력_요약!$B$3,0))-N($X143)),0)))</f>
        <v/>
      </c>
      <c r="AJ143" s="10">
        <f>IF(OR($B143="",TRIM($J143&amp;"")=""),"",IFERROR(MATCH(TRIM($J143&amp;"")&amp;"|월",입력_파견수련계획!$Z$4:$Z$803,0),""))</f>
        <v/>
      </c>
      <c r="AK143" s="10">
        <f>IF(OR($B143="",TRIM($J143&amp;"")=""),"",IFERROR(MATCH(TRIM($J143&amp;"")&amp;"|다기관",입력_파견수련계획!$AE$4:$AE$803,0),""))</f>
        <v/>
      </c>
      <c r="AL143" s="10">
        <f>IF($AK143="","","다기관 "&amp;TEXT(INDEX(입력_파견수련계획!$AB$4:$AB$803,$AK143),"yyyy-mm-dd")&amp;"~"&amp;IF(ISNUMBER(INDEX(입력_파견수련계획!$AC$4:$AC$803,$AK143)),TEXT(INDEX(입력_파견수련계획!$AC$4:$AC$803,$AK143),"yyyy-mm-dd"),""))</f>
        <v/>
      </c>
      <c r="AM143" s="10">
        <f>IF($Y143="서울병원",COUNTIF($Y$2:$Y143,"서울병원"),"")</f>
        <v/>
      </c>
      <c r="AN143" s="10">
        <f>IF(LEFT($Y143,1)="⚠",COUNTIF($Y$2:$Y143,"⚠*"),"")</f>
        <v/>
      </c>
      <c r="AO143" s="10">
        <f>IF(OR($B143="",$Y143=""),"",IF(IF(TRIM($J143&amp;"")="",0,SUMPRODUCT((입력_파견수련계획!$Q$4:$Q$803=TRIM($J143&amp;""))*입력_파견수련계획!$AD$4:$AD$803))&gt;0,"다기관 기간 → 소속병원 지급",IF(AND(N($X143)&lt;=0,$AQ143=""),"파견 없음 → 그 달 근무병원 지급",IF($AH143+$AI143=DAY(EOMONTH(출력_요약!$B$3,0)),"서울 "&amp;$AH143&amp;"일 / 구리 "&amp;$AI143&amp;"일"&amp;IF($AQ143&lt;&gt;""," (구리 근무자명단 반영)","")&amp;" → 15일 이상 근무 병원 지급","타 병원 포함 → "&amp;IF($AJ143="","소속",INDEX(입력_파견수련계획!$T$4:$T$803,$AJ143))&amp;" 규칙"))))</f>
        <v/>
      </c>
      <c r="AP143" s="10">
        <f>IF($B143="","",$C143&amp;"|"&amp;$F143)</f>
        <v/>
      </c>
      <c r="AQ143" s="10">
        <f>IF($B143="","",IFERROR(MATCH(ROW()-1,출력_구리근무자!$K$6:$K$305,0),""))</f>
        <v/>
      </c>
      <c r="AR143" s="10">
        <f>IF($AQ143="","",INDEX(출력_구리근무자!$H$6:$H$305,$AQ143))</f>
        <v/>
      </c>
    </row>
    <row r="144">
      <c r="A144" s="10">
        <f>IF(B144="","",ROW()-1)</f>
        <v/>
      </c>
      <c r="B144" s="19" t="n"/>
      <c r="C144" s="10">
        <f>IF($AB144="","",IF(INDEX(입력_기본자료!$C$2:$C$1001,$AB144)="","",INDEX(입력_기본자료!$C$2:$C$1001,$AB144)))</f>
        <v/>
      </c>
      <c r="D144" s="10">
        <f>IF($AB144="","",IF(INDEX(입력_기본자료!$J$2:$J$1001,$AB144)="","",INDEX(입력_기본자료!$J$2:$J$1001,$AB144)))</f>
        <v/>
      </c>
      <c r="E144" s="11">
        <f>IF($AB144="","",IF(INDEX(입력_기본자료!$K$2:$K$1001,$AB144)="","",IF(NOT(ISNUMBER(INDEX(입력_기본자료!$K$2:$K$1001,$AB144))),INDEX(입력_기본자료!$K$2:$K$1001,$AB144),IF(INDEX(입력_기본자료!$K$2:$K$1001,$AB144)&lt;1000000,INDEX(입력_기본자료!$K$2:$K$1001,$AB144),IF(AND(INDEX(입력_기본자료!$K$2:$K$1001,$AB144)&gt;=10000101,INT(MOD(INDEX(입력_기본자료!$K$2:$K$1001,$AB144),10000)/100)&gt;=1,INT(MOD(INDEX(입력_기본자료!$K$2:$K$1001,$AB144),10000)/100)&lt;=12,MOD(INDEX(입력_기본자료!$K$2:$K$1001,$AB144),100)&gt;=1,MOD(INDEX(입력_기본자료!$K$2:$K$1001,$AB144),100)&lt;=31),DATE(INT(INDEX(입력_기본자료!$K$2:$K$1001,$AB144)/10000),INT(MOD(INDEX(입력_기본자료!$K$2:$K$1001,$AB144),10000)/100),MOD(INDEX(입력_기본자료!$K$2:$K$1001,$AB144),100)),INDEX(입력_기본자료!$K$2:$K$1001,$AB144)&amp;"")))))</f>
        <v/>
      </c>
      <c r="F144" s="10">
        <f>IF($AB144="","",IF(INDEX(입력_기본자료!$D$2:$D$1001,$AB144)="","",INDEX(입력_기본자료!$D$2:$D$1001,$AB144)))</f>
        <v/>
      </c>
      <c r="G144" s="10">
        <f>IF($AB144="","",IF(INDEX(입력_기본자료!$E$2:$E$1001,$AB144)="","",INDEX(입력_기본자료!$E$2:$E$1001,$AB144)))</f>
        <v/>
      </c>
      <c r="H144" s="10">
        <f>IF($AB144="","",IF(INDEX(입력_기본자료!$F$2:$F$1001,$AB144)="","",INDEX(입력_기본자료!$F$2:$F$1001,$AB144)))</f>
        <v/>
      </c>
      <c r="I144" s="11">
        <f>IF($AB144="","",IF(INDEX(입력_기본자료!$G$2:$G$1001,$AB144)="","",IF(NOT(ISNUMBER(INDEX(입력_기본자료!$G$2:$G$1001,$AB144))),INDEX(입력_기본자료!$G$2:$G$1001,$AB144),IF(INDEX(입력_기본자료!$G$2:$G$1001,$AB144)&lt;1000000,INDEX(입력_기본자료!$G$2:$G$1001,$AB144),IF(AND(INDEX(입력_기본자료!$G$2:$G$1001,$AB144)&gt;=10000101,INT(MOD(INDEX(입력_기본자료!$G$2:$G$1001,$AB144),10000)/100)&gt;=1,INT(MOD(INDEX(입력_기본자료!$G$2:$G$1001,$AB144),10000)/100)&lt;=12,MOD(INDEX(입력_기본자료!$G$2:$G$1001,$AB144),100)&gt;=1,MOD(INDEX(입력_기본자료!$G$2:$G$1001,$AB144),100)&lt;=31),DATE(INT(INDEX(입력_기본자료!$G$2:$G$1001,$AB144)/10000),INT(MOD(INDEX(입력_기본자료!$G$2:$G$1001,$AB144),10000)/100),MOD(INDEX(입력_기본자료!$G$2:$G$1001,$AB144),100)),INDEX(입력_기본자료!$G$2:$G$1001,$AB144)&amp;"")))))</f>
        <v/>
      </c>
      <c r="J144" s="10">
        <f>IF($AB144="","",IF(INDEX(입력_기본자료!$H$2:$H$1001,$AB144)="","",INDEX(입력_기본자료!$H$2:$H$1001,$AB144)))</f>
        <v/>
      </c>
      <c r="K144" s="10">
        <f>IF($AB144="","",IF(INDEX(입력_기본자료!$I$2:$I$1001,$AB144)="","",INDEX(입력_기본자료!$I$2:$I$1001,$AB144)))</f>
        <v/>
      </c>
      <c r="L144" s="10">
        <f>IF($AB144="","",IF(INDEX(입력_기본자료!$A$2:$A$1001,$AB144)="","",INDEX(입력_기본자료!$A$2:$A$1001,$AB144)))</f>
        <v/>
      </c>
      <c r="M144" s="15" t="n"/>
      <c r="N144" s="10">
        <f>IF($B144="","",IF(AND($U144="파견중",$Q144&lt;&gt;""),$Q144,IF(AND($AD144&lt;&gt;"",LEFT($AD144,1)&lt;&gt;"⚠"),LEFT($AD144,FIND(" ",$AD144)-1),IF($H144="","",IF(RIGHT($H144,2)="병원",$H144,$H144&amp;"병원")))))</f>
        <v/>
      </c>
      <c r="O144" s="10">
        <f>IF($B144="","",IF(AND($U144="파견중",$Q144&lt;&gt;""),IF($R144&lt;&gt;"",$R144,"파견과 미입력"),IF(AND($AD144&lt;&gt;"",LEFT($AD144,1)&lt;&gt;"⚠"),MID($AD144,FIND(" ",$AD144)+1,60),IF($F144="","",IF($F144="인턴","수련교육부(인턴)",$F144)))))</f>
        <v/>
      </c>
      <c r="P144" s="10">
        <f>IF($B144="","",IF($AK144&lt;&gt;"",IF(AND(TODAY()&gt;=INDEX(입력_파견수련계획!$AB$4:$AB$803,$AK144),OR(NOT(ISNUMBER(INDEX(입력_파견수련계획!$AC$4:$AC$803,$AK144))),TODAY()&lt;=INDEX(입력_파견수련계획!$AC$4:$AC$803,$AK144))),"다기관",IF($AF144="","",INDEX(입력_파견수련계획!$T$4:$T$803,$AF144))),IF($AF144="","",INDEX(입력_파견수련계획!$T$4:$T$803,$AF144))))</f>
        <v/>
      </c>
      <c r="Q144" s="10">
        <f>IF($AF144="","",INDEX(입력_파견수련계획!$S$4:$S$803,$AF144))</f>
        <v/>
      </c>
      <c r="R144" s="10">
        <f>IF($AF144="","",INDEX(입력_파견수련계획!$U$4:$U$803,$AF144))</f>
        <v/>
      </c>
      <c r="S144" s="11">
        <f>IF($AF144="","",IF(INDEX(입력_파견수련계획!$H$4:$H$803,$AF144)="","",INDEX(입력_파견수련계획!$H$4:$H$803,$AF144)))</f>
        <v/>
      </c>
      <c r="T144" s="11">
        <f>IF($AF144="","",IF(INDEX(입력_파견수련계획!$I$4:$I$803,$AF144)="","",INDEX(입력_파견수련계획!$I$4:$I$803,$AF144)))</f>
        <v/>
      </c>
      <c r="U144" s="10">
        <f>IF($AF144="","",INDEX(입력_파견수련계획!$X$4:$X$803,$AF144))</f>
        <v/>
      </c>
      <c r="V144" s="17">
        <f>IF($AF144="","",INDEX(입력_파견수련계획!$V$4:$V$803,$AF144))</f>
        <v/>
      </c>
      <c r="W144" s="17">
        <f>IF(AND($U144="파견중",$T144&lt;&gt;""),$T144-TODAY(),"")</f>
        <v/>
      </c>
      <c r="X144" s="17">
        <f>IF(OR($B144="",TRIM($J144&amp;"")=""),"",SUMPRODUCT((입력_파견수련계획!$Q$4:$Q$803=TRIM($J144&amp;""))*입력_파견수련계획!$W$4:$W$803))</f>
        <v/>
      </c>
      <c r="Y144" s="10">
        <f>IF($B144="","",IF($AG144="","",IF(IF(TRIM($J144&amp;"")="",0,SUMPRODUCT((입력_파견수련계획!$Q$4:$Q$803=TRIM($J144&amp;""))*입력_파견수련계획!$AD$4:$AD$803))&gt;0,$AE144,IF(AND(N($X144)&lt;=0,$AQ144=""),$AG144,IF($AH144+$AI144=DAY(EOMONTH(출력_요약!$B$3,0)),IF(AND($AH144&gt;=출력_요약!$E$3,$AI144&lt;출력_요약!$E$3),"서울병원",IF(AND($AI144&gt;=출력_요약!$E$3,$AH144&lt;출력_요약!$E$3),"구리병원","⚠15일 판정불가(서울 "&amp;$AH144&amp;"일/구리 "&amp;$AI144&amp;"일)")),IF($AJ144="",$AE144,IF(INDEX(입력_파견수련계획!$T$4:$T$803,$AJ144)="통합수련",INDEX(입력_파견수련계획!$S$4:$S$803,$AJ144),$AE144)))))))</f>
        <v/>
      </c>
      <c r="Z144" s="20">
        <f>IF($B144="","",IF($AB144="","기본자료에 없는 사번",IF(COUNTIF($B$2:$B$401,$B144)&gt;1,"중복 사번",IF($AE144="","소속(입사장소) 입력",IF(IF(TRIM($J144&amp;"")="",0,SUMPRODUCT((입력_파견수련계획!$Q$4:$Q$803=TRIM($J144&amp;""))*(입력_파견수련계획!$AA$4:$AA$803&lt;&gt;"")))&gt;0,"파견수련계획 입력오류 확인",IF(LEFT($Y144,1)="⚠","서울·구리 15일 판정 불가(양쪽 모두 이상/미만)",IF(IF($AC144="",0,N(INDEX(입력_인턴근무계획!$T$3:$T$402,$AC144)))&gt;0,"인턴계획 입력오류 확인",IF(AND($AQ144&lt;&gt;"",$AG144&lt;&gt;"구리병원",IF(TRIM($J144&amp;"")="",0,SUMPRODUCT((입력_파견수련계획!$Q$4:$Q$803=TRIM($J144&amp;""))*(입력_파견수련계획!$S$4:$S$803="구리병원")*입력_파견수련계획!$W$4:$W$803))=0),"구리 근무자명단에만 있음(파견수련계획 확인)",IF(AND($AC144&lt;&gt;"",$U144&lt;&gt;"파견중",$N144&lt;&gt;$AE144),"인턴 타지역 근무: 파견 여부 확인","정상")))))))))</f>
        <v/>
      </c>
      <c r="AA144" s="5" t="n"/>
      <c r="AB144" s="10">
        <f>IF($B144="","",IFERROR(MATCH($B144,입력_기본자료!$B$2:$B$1001,0),IFERROR(MATCH($B144&amp;"",입력_기본자료!$B$2:$B$1001,0),IFERROR(MATCH(VALUE($B144),입력_기본자료!$B$2:$B$1001,0),""))))</f>
        <v/>
      </c>
      <c r="AC144" s="10">
        <f>IF($B144="","",IFERROR(MATCH($B144,입력_인턴근무계획!$D$3:$D$402,0),IFERROR(MATCH($B144&amp;"",입력_인턴근무계획!$D$3:$D$402,0),IFERROR(MATCH(VALUE($B144),입력_인턴근무계획!$D$3:$D$402,0),""))))</f>
        <v/>
      </c>
      <c r="AD144" s="10">
        <f>IF(OR($AC144="",출력_인턴현황!$G$3=""),"",INDEX(입력_인턴근무계획!$M$3:$R$402,$AC144,출력_인턴현황!$G$3)&amp;"")</f>
        <v/>
      </c>
      <c r="AE144" s="10">
        <f>IF($B144="","",IF($M144&lt;&gt;"",$M144,IF(IF($AQ144="",FALSE,INDEX(출력_구리근무자!$J$6:$J$305,$AQ144)="구리독자"),"구리병원",IF($AF144&lt;&gt;"",IF(LEFT(INDEX(입력_파견수련계획!$R$4:$R$803,$AF144),1)&lt;&gt;"⚠",INDEX(입력_파견수련계획!$R$4:$R$803,$AF144),IF($H144="","",IF(RIGHT($H144,2)="병원",$H144,$H144&amp;"병원"))),IF($H144="","",IF(RIGHT($H144,2)="병원",$H144,$H144&amp;"병원"))))))</f>
        <v/>
      </c>
      <c r="AF144" s="10">
        <f>IF(OR($B144="",TRIM($J144&amp;"")=""),"",IFERROR(MATCH(TRIM($J144&amp;"")&amp;"|파견중",입력_파견수련계획!$Y$4:$Y$803,0),IFERROR(MATCH(TRIM($J144&amp;"")&amp;"|파견예정",입력_파견수련계획!$Y$4:$Y$803,0),IFERROR(MATCH(TRIM($J144&amp;"")&amp;"|파견종료",입력_파견수련계획!$Y$4:$Y$803,0),""))))</f>
        <v/>
      </c>
      <c r="AG144" s="10">
        <f>IF($B144="","",IF(AND(IF(OR($AC144="",출력_인턴현황!$K$2=""),"",INDEX(입력_인턴근무계획!$M$3:$R$402,$AC144,출력_인턴현황!$K$2)&amp;"")&lt;&gt;"",LEFT(IF(OR($AC144="",출력_인턴현황!$K$2=""),"",INDEX(입력_인턴근무계획!$M$3:$R$402,$AC144,출력_인턴현황!$K$2)&amp;""),1)&lt;&gt;"⚠"),LEFT(IF(OR($AC144="",출력_인턴현황!$K$2=""),"",INDEX(입력_인턴근무계획!$M$3:$R$402,$AC144,출력_인턴현황!$K$2)&amp;""),FIND(" ",IF(OR($AC144="",출력_인턴현황!$K$2=""),"",INDEX(입력_인턴근무계획!$M$3:$R$402,$AC144,출력_인턴현황!$K$2)&amp;""))-1),$AE144))</f>
        <v/>
      </c>
      <c r="AH144" s="17">
        <f>IF($B144="","",IF($AQ144&lt;&gt;"",MAX(0,DAY(EOMONTH(출력_요약!$B$3,0))-N($AR144)),IF(TRIM($J144&amp;"")="",0,SUMPRODUCT((입력_파견수련계획!$Q$4:$Q$803=TRIM($J144&amp;""))*(입력_파견수련계획!$S$4:$S$803="서울병원")*입력_파견수련계획!$W$4:$W$803))+IF($AG144="서울병원",MAX(0,DAY(EOMONTH(출력_요약!$B$3,0))-N($X144)),0)))</f>
        <v/>
      </c>
      <c r="AI144" s="17">
        <f>IF($B144="","",IF($AQ144&lt;&gt;"",N($AR144),IF(TRIM($J144&amp;"")="",0,SUMPRODUCT((입력_파견수련계획!$Q$4:$Q$803=TRIM($J144&amp;""))*(입력_파견수련계획!$S$4:$S$803="구리병원")*입력_파견수련계획!$W$4:$W$803))+IF($AG144="구리병원",MAX(0,DAY(EOMONTH(출력_요약!$B$3,0))-N($X144)),0)))</f>
        <v/>
      </c>
      <c r="AJ144" s="10">
        <f>IF(OR($B144="",TRIM($J144&amp;"")=""),"",IFERROR(MATCH(TRIM($J144&amp;"")&amp;"|월",입력_파견수련계획!$Z$4:$Z$803,0),""))</f>
        <v/>
      </c>
      <c r="AK144" s="10">
        <f>IF(OR($B144="",TRIM($J144&amp;"")=""),"",IFERROR(MATCH(TRIM($J144&amp;"")&amp;"|다기관",입력_파견수련계획!$AE$4:$AE$803,0),""))</f>
        <v/>
      </c>
      <c r="AL144" s="10">
        <f>IF($AK144="","","다기관 "&amp;TEXT(INDEX(입력_파견수련계획!$AB$4:$AB$803,$AK144),"yyyy-mm-dd")&amp;"~"&amp;IF(ISNUMBER(INDEX(입력_파견수련계획!$AC$4:$AC$803,$AK144)),TEXT(INDEX(입력_파견수련계획!$AC$4:$AC$803,$AK144),"yyyy-mm-dd"),""))</f>
        <v/>
      </c>
      <c r="AM144" s="10">
        <f>IF($Y144="서울병원",COUNTIF($Y$2:$Y144,"서울병원"),"")</f>
        <v/>
      </c>
      <c r="AN144" s="10">
        <f>IF(LEFT($Y144,1)="⚠",COUNTIF($Y$2:$Y144,"⚠*"),"")</f>
        <v/>
      </c>
      <c r="AO144" s="10">
        <f>IF(OR($B144="",$Y144=""),"",IF(IF(TRIM($J144&amp;"")="",0,SUMPRODUCT((입력_파견수련계획!$Q$4:$Q$803=TRIM($J144&amp;""))*입력_파견수련계획!$AD$4:$AD$803))&gt;0,"다기관 기간 → 소속병원 지급",IF(AND(N($X144)&lt;=0,$AQ144=""),"파견 없음 → 그 달 근무병원 지급",IF($AH144+$AI144=DAY(EOMONTH(출력_요약!$B$3,0)),"서울 "&amp;$AH144&amp;"일 / 구리 "&amp;$AI144&amp;"일"&amp;IF($AQ144&lt;&gt;""," (구리 근무자명단 반영)","")&amp;" → 15일 이상 근무 병원 지급","타 병원 포함 → "&amp;IF($AJ144="","소속",INDEX(입력_파견수련계획!$T$4:$T$803,$AJ144))&amp;" 규칙"))))</f>
        <v/>
      </c>
      <c r="AP144" s="10">
        <f>IF($B144="","",$C144&amp;"|"&amp;$F144)</f>
        <v/>
      </c>
      <c r="AQ144" s="10">
        <f>IF($B144="","",IFERROR(MATCH(ROW()-1,출력_구리근무자!$K$6:$K$305,0),""))</f>
        <v/>
      </c>
      <c r="AR144" s="10">
        <f>IF($AQ144="","",INDEX(출력_구리근무자!$H$6:$H$305,$AQ144))</f>
        <v/>
      </c>
    </row>
    <row r="145">
      <c r="A145" s="10">
        <f>IF(B145="","",ROW()-1)</f>
        <v/>
      </c>
      <c r="B145" s="19" t="n"/>
      <c r="C145" s="10">
        <f>IF($AB145="","",IF(INDEX(입력_기본자료!$C$2:$C$1001,$AB145)="","",INDEX(입력_기본자료!$C$2:$C$1001,$AB145)))</f>
        <v/>
      </c>
      <c r="D145" s="10">
        <f>IF($AB145="","",IF(INDEX(입력_기본자료!$J$2:$J$1001,$AB145)="","",INDEX(입력_기본자료!$J$2:$J$1001,$AB145)))</f>
        <v/>
      </c>
      <c r="E145" s="11">
        <f>IF($AB145="","",IF(INDEX(입력_기본자료!$K$2:$K$1001,$AB145)="","",IF(NOT(ISNUMBER(INDEX(입력_기본자료!$K$2:$K$1001,$AB145))),INDEX(입력_기본자료!$K$2:$K$1001,$AB145),IF(INDEX(입력_기본자료!$K$2:$K$1001,$AB145)&lt;1000000,INDEX(입력_기본자료!$K$2:$K$1001,$AB145),IF(AND(INDEX(입력_기본자료!$K$2:$K$1001,$AB145)&gt;=10000101,INT(MOD(INDEX(입력_기본자료!$K$2:$K$1001,$AB145),10000)/100)&gt;=1,INT(MOD(INDEX(입력_기본자료!$K$2:$K$1001,$AB145),10000)/100)&lt;=12,MOD(INDEX(입력_기본자료!$K$2:$K$1001,$AB145),100)&gt;=1,MOD(INDEX(입력_기본자료!$K$2:$K$1001,$AB145),100)&lt;=31),DATE(INT(INDEX(입력_기본자료!$K$2:$K$1001,$AB145)/10000),INT(MOD(INDEX(입력_기본자료!$K$2:$K$1001,$AB145),10000)/100),MOD(INDEX(입력_기본자료!$K$2:$K$1001,$AB145),100)),INDEX(입력_기본자료!$K$2:$K$1001,$AB145)&amp;"")))))</f>
        <v/>
      </c>
      <c r="F145" s="10">
        <f>IF($AB145="","",IF(INDEX(입력_기본자료!$D$2:$D$1001,$AB145)="","",INDEX(입력_기본자료!$D$2:$D$1001,$AB145)))</f>
        <v/>
      </c>
      <c r="G145" s="10">
        <f>IF($AB145="","",IF(INDEX(입력_기본자료!$E$2:$E$1001,$AB145)="","",INDEX(입력_기본자료!$E$2:$E$1001,$AB145)))</f>
        <v/>
      </c>
      <c r="H145" s="10">
        <f>IF($AB145="","",IF(INDEX(입력_기본자료!$F$2:$F$1001,$AB145)="","",INDEX(입력_기본자료!$F$2:$F$1001,$AB145)))</f>
        <v/>
      </c>
      <c r="I145" s="11">
        <f>IF($AB145="","",IF(INDEX(입력_기본자료!$G$2:$G$1001,$AB145)="","",IF(NOT(ISNUMBER(INDEX(입력_기본자료!$G$2:$G$1001,$AB145))),INDEX(입력_기본자료!$G$2:$G$1001,$AB145),IF(INDEX(입력_기본자료!$G$2:$G$1001,$AB145)&lt;1000000,INDEX(입력_기본자료!$G$2:$G$1001,$AB145),IF(AND(INDEX(입력_기본자료!$G$2:$G$1001,$AB145)&gt;=10000101,INT(MOD(INDEX(입력_기본자료!$G$2:$G$1001,$AB145),10000)/100)&gt;=1,INT(MOD(INDEX(입력_기본자료!$G$2:$G$1001,$AB145),10000)/100)&lt;=12,MOD(INDEX(입력_기본자료!$G$2:$G$1001,$AB145),100)&gt;=1,MOD(INDEX(입력_기본자료!$G$2:$G$1001,$AB145),100)&lt;=31),DATE(INT(INDEX(입력_기본자료!$G$2:$G$1001,$AB145)/10000),INT(MOD(INDEX(입력_기본자료!$G$2:$G$1001,$AB145),10000)/100),MOD(INDEX(입력_기본자료!$G$2:$G$1001,$AB145),100)),INDEX(입력_기본자료!$G$2:$G$1001,$AB145)&amp;"")))))</f>
        <v/>
      </c>
      <c r="J145" s="10">
        <f>IF($AB145="","",IF(INDEX(입력_기본자료!$H$2:$H$1001,$AB145)="","",INDEX(입력_기본자료!$H$2:$H$1001,$AB145)))</f>
        <v/>
      </c>
      <c r="K145" s="10">
        <f>IF($AB145="","",IF(INDEX(입력_기본자료!$I$2:$I$1001,$AB145)="","",INDEX(입력_기본자료!$I$2:$I$1001,$AB145)))</f>
        <v/>
      </c>
      <c r="L145" s="10">
        <f>IF($AB145="","",IF(INDEX(입력_기본자료!$A$2:$A$1001,$AB145)="","",INDEX(입력_기본자료!$A$2:$A$1001,$AB145)))</f>
        <v/>
      </c>
      <c r="M145" s="15" t="n"/>
      <c r="N145" s="10">
        <f>IF($B145="","",IF(AND($U145="파견중",$Q145&lt;&gt;""),$Q145,IF(AND($AD145&lt;&gt;"",LEFT($AD145,1)&lt;&gt;"⚠"),LEFT($AD145,FIND(" ",$AD145)-1),IF($H145="","",IF(RIGHT($H145,2)="병원",$H145,$H145&amp;"병원")))))</f>
        <v/>
      </c>
      <c r="O145" s="10">
        <f>IF($B145="","",IF(AND($U145="파견중",$Q145&lt;&gt;""),IF($R145&lt;&gt;"",$R145,"파견과 미입력"),IF(AND($AD145&lt;&gt;"",LEFT($AD145,1)&lt;&gt;"⚠"),MID($AD145,FIND(" ",$AD145)+1,60),IF($F145="","",IF($F145="인턴","수련교육부(인턴)",$F145)))))</f>
        <v/>
      </c>
      <c r="P145" s="10">
        <f>IF($B145="","",IF($AK145&lt;&gt;"",IF(AND(TODAY()&gt;=INDEX(입력_파견수련계획!$AB$4:$AB$803,$AK145),OR(NOT(ISNUMBER(INDEX(입력_파견수련계획!$AC$4:$AC$803,$AK145))),TODAY()&lt;=INDEX(입력_파견수련계획!$AC$4:$AC$803,$AK145))),"다기관",IF($AF145="","",INDEX(입력_파견수련계획!$T$4:$T$803,$AF145))),IF($AF145="","",INDEX(입력_파견수련계획!$T$4:$T$803,$AF145))))</f>
        <v/>
      </c>
      <c r="Q145" s="10">
        <f>IF($AF145="","",INDEX(입력_파견수련계획!$S$4:$S$803,$AF145))</f>
        <v/>
      </c>
      <c r="R145" s="10">
        <f>IF($AF145="","",INDEX(입력_파견수련계획!$U$4:$U$803,$AF145))</f>
        <v/>
      </c>
      <c r="S145" s="11">
        <f>IF($AF145="","",IF(INDEX(입력_파견수련계획!$H$4:$H$803,$AF145)="","",INDEX(입력_파견수련계획!$H$4:$H$803,$AF145)))</f>
        <v/>
      </c>
      <c r="T145" s="11">
        <f>IF($AF145="","",IF(INDEX(입력_파견수련계획!$I$4:$I$803,$AF145)="","",INDEX(입력_파견수련계획!$I$4:$I$803,$AF145)))</f>
        <v/>
      </c>
      <c r="U145" s="10">
        <f>IF($AF145="","",INDEX(입력_파견수련계획!$X$4:$X$803,$AF145))</f>
        <v/>
      </c>
      <c r="V145" s="17">
        <f>IF($AF145="","",INDEX(입력_파견수련계획!$V$4:$V$803,$AF145))</f>
        <v/>
      </c>
      <c r="W145" s="17">
        <f>IF(AND($U145="파견중",$T145&lt;&gt;""),$T145-TODAY(),"")</f>
        <v/>
      </c>
      <c r="X145" s="17">
        <f>IF(OR($B145="",TRIM($J145&amp;"")=""),"",SUMPRODUCT((입력_파견수련계획!$Q$4:$Q$803=TRIM($J145&amp;""))*입력_파견수련계획!$W$4:$W$803))</f>
        <v/>
      </c>
      <c r="Y145" s="10">
        <f>IF($B145="","",IF($AG145="","",IF(IF(TRIM($J145&amp;"")="",0,SUMPRODUCT((입력_파견수련계획!$Q$4:$Q$803=TRIM($J145&amp;""))*입력_파견수련계획!$AD$4:$AD$803))&gt;0,$AE145,IF(AND(N($X145)&lt;=0,$AQ145=""),$AG145,IF($AH145+$AI145=DAY(EOMONTH(출력_요약!$B$3,0)),IF(AND($AH145&gt;=출력_요약!$E$3,$AI145&lt;출력_요약!$E$3),"서울병원",IF(AND($AI145&gt;=출력_요약!$E$3,$AH145&lt;출력_요약!$E$3),"구리병원","⚠15일 판정불가(서울 "&amp;$AH145&amp;"일/구리 "&amp;$AI145&amp;"일)")),IF($AJ145="",$AE145,IF(INDEX(입력_파견수련계획!$T$4:$T$803,$AJ145)="통합수련",INDEX(입력_파견수련계획!$S$4:$S$803,$AJ145),$AE145)))))))</f>
        <v/>
      </c>
      <c r="Z145" s="20">
        <f>IF($B145="","",IF($AB145="","기본자료에 없는 사번",IF(COUNTIF($B$2:$B$401,$B145)&gt;1,"중복 사번",IF($AE145="","소속(입사장소) 입력",IF(IF(TRIM($J145&amp;"")="",0,SUMPRODUCT((입력_파견수련계획!$Q$4:$Q$803=TRIM($J145&amp;""))*(입력_파견수련계획!$AA$4:$AA$803&lt;&gt;"")))&gt;0,"파견수련계획 입력오류 확인",IF(LEFT($Y145,1)="⚠","서울·구리 15일 판정 불가(양쪽 모두 이상/미만)",IF(IF($AC145="",0,N(INDEX(입력_인턴근무계획!$T$3:$T$402,$AC145)))&gt;0,"인턴계획 입력오류 확인",IF(AND($AQ145&lt;&gt;"",$AG145&lt;&gt;"구리병원",IF(TRIM($J145&amp;"")="",0,SUMPRODUCT((입력_파견수련계획!$Q$4:$Q$803=TRIM($J145&amp;""))*(입력_파견수련계획!$S$4:$S$803="구리병원")*입력_파견수련계획!$W$4:$W$803))=0),"구리 근무자명단에만 있음(파견수련계획 확인)",IF(AND($AC145&lt;&gt;"",$U145&lt;&gt;"파견중",$N145&lt;&gt;$AE145),"인턴 타지역 근무: 파견 여부 확인","정상")))))))))</f>
        <v/>
      </c>
      <c r="AA145" s="5" t="n"/>
      <c r="AB145" s="10">
        <f>IF($B145="","",IFERROR(MATCH($B145,입력_기본자료!$B$2:$B$1001,0),IFERROR(MATCH($B145&amp;"",입력_기본자료!$B$2:$B$1001,0),IFERROR(MATCH(VALUE($B145),입력_기본자료!$B$2:$B$1001,0),""))))</f>
        <v/>
      </c>
      <c r="AC145" s="10">
        <f>IF($B145="","",IFERROR(MATCH($B145,입력_인턴근무계획!$D$3:$D$402,0),IFERROR(MATCH($B145&amp;"",입력_인턴근무계획!$D$3:$D$402,0),IFERROR(MATCH(VALUE($B145),입력_인턴근무계획!$D$3:$D$402,0),""))))</f>
        <v/>
      </c>
      <c r="AD145" s="10">
        <f>IF(OR($AC145="",출력_인턴현황!$G$3=""),"",INDEX(입력_인턴근무계획!$M$3:$R$402,$AC145,출력_인턴현황!$G$3)&amp;"")</f>
        <v/>
      </c>
      <c r="AE145" s="10">
        <f>IF($B145="","",IF($M145&lt;&gt;"",$M145,IF(IF($AQ145="",FALSE,INDEX(출력_구리근무자!$J$6:$J$305,$AQ145)="구리독자"),"구리병원",IF($AF145&lt;&gt;"",IF(LEFT(INDEX(입력_파견수련계획!$R$4:$R$803,$AF145),1)&lt;&gt;"⚠",INDEX(입력_파견수련계획!$R$4:$R$803,$AF145),IF($H145="","",IF(RIGHT($H145,2)="병원",$H145,$H145&amp;"병원"))),IF($H145="","",IF(RIGHT($H145,2)="병원",$H145,$H145&amp;"병원"))))))</f>
        <v/>
      </c>
      <c r="AF145" s="10">
        <f>IF(OR($B145="",TRIM($J145&amp;"")=""),"",IFERROR(MATCH(TRIM($J145&amp;"")&amp;"|파견중",입력_파견수련계획!$Y$4:$Y$803,0),IFERROR(MATCH(TRIM($J145&amp;"")&amp;"|파견예정",입력_파견수련계획!$Y$4:$Y$803,0),IFERROR(MATCH(TRIM($J145&amp;"")&amp;"|파견종료",입력_파견수련계획!$Y$4:$Y$803,0),""))))</f>
        <v/>
      </c>
      <c r="AG145" s="10">
        <f>IF($B145="","",IF(AND(IF(OR($AC145="",출력_인턴현황!$K$2=""),"",INDEX(입력_인턴근무계획!$M$3:$R$402,$AC145,출력_인턴현황!$K$2)&amp;"")&lt;&gt;"",LEFT(IF(OR($AC145="",출력_인턴현황!$K$2=""),"",INDEX(입력_인턴근무계획!$M$3:$R$402,$AC145,출력_인턴현황!$K$2)&amp;""),1)&lt;&gt;"⚠"),LEFT(IF(OR($AC145="",출력_인턴현황!$K$2=""),"",INDEX(입력_인턴근무계획!$M$3:$R$402,$AC145,출력_인턴현황!$K$2)&amp;""),FIND(" ",IF(OR($AC145="",출력_인턴현황!$K$2=""),"",INDEX(입력_인턴근무계획!$M$3:$R$402,$AC145,출력_인턴현황!$K$2)&amp;""))-1),$AE145))</f>
        <v/>
      </c>
      <c r="AH145" s="17">
        <f>IF($B145="","",IF($AQ145&lt;&gt;"",MAX(0,DAY(EOMONTH(출력_요약!$B$3,0))-N($AR145)),IF(TRIM($J145&amp;"")="",0,SUMPRODUCT((입력_파견수련계획!$Q$4:$Q$803=TRIM($J145&amp;""))*(입력_파견수련계획!$S$4:$S$803="서울병원")*입력_파견수련계획!$W$4:$W$803))+IF($AG145="서울병원",MAX(0,DAY(EOMONTH(출력_요약!$B$3,0))-N($X145)),0)))</f>
        <v/>
      </c>
      <c r="AI145" s="17">
        <f>IF($B145="","",IF($AQ145&lt;&gt;"",N($AR145),IF(TRIM($J145&amp;"")="",0,SUMPRODUCT((입력_파견수련계획!$Q$4:$Q$803=TRIM($J145&amp;""))*(입력_파견수련계획!$S$4:$S$803="구리병원")*입력_파견수련계획!$W$4:$W$803))+IF($AG145="구리병원",MAX(0,DAY(EOMONTH(출력_요약!$B$3,0))-N($X145)),0)))</f>
        <v/>
      </c>
      <c r="AJ145" s="10">
        <f>IF(OR($B145="",TRIM($J145&amp;"")=""),"",IFERROR(MATCH(TRIM($J145&amp;"")&amp;"|월",입력_파견수련계획!$Z$4:$Z$803,0),""))</f>
        <v/>
      </c>
      <c r="AK145" s="10">
        <f>IF(OR($B145="",TRIM($J145&amp;"")=""),"",IFERROR(MATCH(TRIM($J145&amp;"")&amp;"|다기관",입력_파견수련계획!$AE$4:$AE$803,0),""))</f>
        <v/>
      </c>
      <c r="AL145" s="10">
        <f>IF($AK145="","","다기관 "&amp;TEXT(INDEX(입력_파견수련계획!$AB$4:$AB$803,$AK145),"yyyy-mm-dd")&amp;"~"&amp;IF(ISNUMBER(INDEX(입력_파견수련계획!$AC$4:$AC$803,$AK145)),TEXT(INDEX(입력_파견수련계획!$AC$4:$AC$803,$AK145),"yyyy-mm-dd"),""))</f>
        <v/>
      </c>
      <c r="AM145" s="10">
        <f>IF($Y145="서울병원",COUNTIF($Y$2:$Y145,"서울병원"),"")</f>
        <v/>
      </c>
      <c r="AN145" s="10">
        <f>IF(LEFT($Y145,1)="⚠",COUNTIF($Y$2:$Y145,"⚠*"),"")</f>
        <v/>
      </c>
      <c r="AO145" s="10">
        <f>IF(OR($B145="",$Y145=""),"",IF(IF(TRIM($J145&amp;"")="",0,SUMPRODUCT((입력_파견수련계획!$Q$4:$Q$803=TRIM($J145&amp;""))*입력_파견수련계획!$AD$4:$AD$803))&gt;0,"다기관 기간 → 소속병원 지급",IF(AND(N($X145)&lt;=0,$AQ145=""),"파견 없음 → 그 달 근무병원 지급",IF($AH145+$AI145=DAY(EOMONTH(출력_요약!$B$3,0)),"서울 "&amp;$AH145&amp;"일 / 구리 "&amp;$AI145&amp;"일"&amp;IF($AQ145&lt;&gt;""," (구리 근무자명단 반영)","")&amp;" → 15일 이상 근무 병원 지급","타 병원 포함 → "&amp;IF($AJ145="","소속",INDEX(입력_파견수련계획!$T$4:$T$803,$AJ145))&amp;" 규칙"))))</f>
        <v/>
      </c>
      <c r="AP145" s="10">
        <f>IF($B145="","",$C145&amp;"|"&amp;$F145)</f>
        <v/>
      </c>
      <c r="AQ145" s="10">
        <f>IF($B145="","",IFERROR(MATCH(ROW()-1,출력_구리근무자!$K$6:$K$305,0),""))</f>
        <v/>
      </c>
      <c r="AR145" s="10">
        <f>IF($AQ145="","",INDEX(출력_구리근무자!$H$6:$H$305,$AQ145))</f>
        <v/>
      </c>
    </row>
    <row r="146">
      <c r="A146" s="10">
        <f>IF(B146="","",ROW()-1)</f>
        <v/>
      </c>
      <c r="B146" s="19" t="n"/>
      <c r="C146" s="10">
        <f>IF($AB146="","",IF(INDEX(입력_기본자료!$C$2:$C$1001,$AB146)="","",INDEX(입력_기본자료!$C$2:$C$1001,$AB146)))</f>
        <v/>
      </c>
      <c r="D146" s="10">
        <f>IF($AB146="","",IF(INDEX(입력_기본자료!$J$2:$J$1001,$AB146)="","",INDEX(입력_기본자료!$J$2:$J$1001,$AB146)))</f>
        <v/>
      </c>
      <c r="E146" s="11">
        <f>IF($AB146="","",IF(INDEX(입력_기본자료!$K$2:$K$1001,$AB146)="","",IF(NOT(ISNUMBER(INDEX(입력_기본자료!$K$2:$K$1001,$AB146))),INDEX(입력_기본자료!$K$2:$K$1001,$AB146),IF(INDEX(입력_기본자료!$K$2:$K$1001,$AB146)&lt;1000000,INDEX(입력_기본자료!$K$2:$K$1001,$AB146),IF(AND(INDEX(입력_기본자료!$K$2:$K$1001,$AB146)&gt;=10000101,INT(MOD(INDEX(입력_기본자료!$K$2:$K$1001,$AB146),10000)/100)&gt;=1,INT(MOD(INDEX(입력_기본자료!$K$2:$K$1001,$AB146),10000)/100)&lt;=12,MOD(INDEX(입력_기본자료!$K$2:$K$1001,$AB146),100)&gt;=1,MOD(INDEX(입력_기본자료!$K$2:$K$1001,$AB146),100)&lt;=31),DATE(INT(INDEX(입력_기본자료!$K$2:$K$1001,$AB146)/10000),INT(MOD(INDEX(입력_기본자료!$K$2:$K$1001,$AB146),10000)/100),MOD(INDEX(입력_기본자료!$K$2:$K$1001,$AB146),100)),INDEX(입력_기본자료!$K$2:$K$1001,$AB146)&amp;"")))))</f>
        <v/>
      </c>
      <c r="F146" s="10">
        <f>IF($AB146="","",IF(INDEX(입력_기본자료!$D$2:$D$1001,$AB146)="","",INDEX(입력_기본자료!$D$2:$D$1001,$AB146)))</f>
        <v/>
      </c>
      <c r="G146" s="10">
        <f>IF($AB146="","",IF(INDEX(입력_기본자료!$E$2:$E$1001,$AB146)="","",INDEX(입력_기본자료!$E$2:$E$1001,$AB146)))</f>
        <v/>
      </c>
      <c r="H146" s="10">
        <f>IF($AB146="","",IF(INDEX(입력_기본자료!$F$2:$F$1001,$AB146)="","",INDEX(입력_기본자료!$F$2:$F$1001,$AB146)))</f>
        <v/>
      </c>
      <c r="I146" s="11">
        <f>IF($AB146="","",IF(INDEX(입력_기본자료!$G$2:$G$1001,$AB146)="","",IF(NOT(ISNUMBER(INDEX(입력_기본자료!$G$2:$G$1001,$AB146))),INDEX(입력_기본자료!$G$2:$G$1001,$AB146),IF(INDEX(입력_기본자료!$G$2:$G$1001,$AB146)&lt;1000000,INDEX(입력_기본자료!$G$2:$G$1001,$AB146),IF(AND(INDEX(입력_기본자료!$G$2:$G$1001,$AB146)&gt;=10000101,INT(MOD(INDEX(입력_기본자료!$G$2:$G$1001,$AB146),10000)/100)&gt;=1,INT(MOD(INDEX(입력_기본자료!$G$2:$G$1001,$AB146),10000)/100)&lt;=12,MOD(INDEX(입력_기본자료!$G$2:$G$1001,$AB146),100)&gt;=1,MOD(INDEX(입력_기본자료!$G$2:$G$1001,$AB146),100)&lt;=31),DATE(INT(INDEX(입력_기본자료!$G$2:$G$1001,$AB146)/10000),INT(MOD(INDEX(입력_기본자료!$G$2:$G$1001,$AB146),10000)/100),MOD(INDEX(입력_기본자료!$G$2:$G$1001,$AB146),100)),INDEX(입력_기본자료!$G$2:$G$1001,$AB146)&amp;"")))))</f>
        <v/>
      </c>
      <c r="J146" s="10">
        <f>IF($AB146="","",IF(INDEX(입력_기본자료!$H$2:$H$1001,$AB146)="","",INDEX(입력_기본자료!$H$2:$H$1001,$AB146)))</f>
        <v/>
      </c>
      <c r="K146" s="10">
        <f>IF($AB146="","",IF(INDEX(입력_기본자료!$I$2:$I$1001,$AB146)="","",INDEX(입력_기본자료!$I$2:$I$1001,$AB146)))</f>
        <v/>
      </c>
      <c r="L146" s="10">
        <f>IF($AB146="","",IF(INDEX(입력_기본자료!$A$2:$A$1001,$AB146)="","",INDEX(입력_기본자료!$A$2:$A$1001,$AB146)))</f>
        <v/>
      </c>
      <c r="M146" s="15" t="n"/>
      <c r="N146" s="10">
        <f>IF($B146="","",IF(AND($U146="파견중",$Q146&lt;&gt;""),$Q146,IF(AND($AD146&lt;&gt;"",LEFT($AD146,1)&lt;&gt;"⚠"),LEFT($AD146,FIND(" ",$AD146)-1),IF($H146="","",IF(RIGHT($H146,2)="병원",$H146,$H146&amp;"병원")))))</f>
        <v/>
      </c>
      <c r="O146" s="10">
        <f>IF($B146="","",IF(AND($U146="파견중",$Q146&lt;&gt;""),IF($R146&lt;&gt;"",$R146,"파견과 미입력"),IF(AND($AD146&lt;&gt;"",LEFT($AD146,1)&lt;&gt;"⚠"),MID($AD146,FIND(" ",$AD146)+1,60),IF($F146="","",IF($F146="인턴","수련교육부(인턴)",$F146)))))</f>
        <v/>
      </c>
      <c r="P146" s="10">
        <f>IF($B146="","",IF($AK146&lt;&gt;"",IF(AND(TODAY()&gt;=INDEX(입력_파견수련계획!$AB$4:$AB$803,$AK146),OR(NOT(ISNUMBER(INDEX(입력_파견수련계획!$AC$4:$AC$803,$AK146))),TODAY()&lt;=INDEX(입력_파견수련계획!$AC$4:$AC$803,$AK146))),"다기관",IF($AF146="","",INDEX(입력_파견수련계획!$T$4:$T$803,$AF146))),IF($AF146="","",INDEX(입력_파견수련계획!$T$4:$T$803,$AF146))))</f>
        <v/>
      </c>
      <c r="Q146" s="10">
        <f>IF($AF146="","",INDEX(입력_파견수련계획!$S$4:$S$803,$AF146))</f>
        <v/>
      </c>
      <c r="R146" s="10">
        <f>IF($AF146="","",INDEX(입력_파견수련계획!$U$4:$U$803,$AF146))</f>
        <v/>
      </c>
      <c r="S146" s="11">
        <f>IF($AF146="","",IF(INDEX(입력_파견수련계획!$H$4:$H$803,$AF146)="","",INDEX(입력_파견수련계획!$H$4:$H$803,$AF146)))</f>
        <v/>
      </c>
      <c r="T146" s="11">
        <f>IF($AF146="","",IF(INDEX(입력_파견수련계획!$I$4:$I$803,$AF146)="","",INDEX(입력_파견수련계획!$I$4:$I$803,$AF146)))</f>
        <v/>
      </c>
      <c r="U146" s="10">
        <f>IF($AF146="","",INDEX(입력_파견수련계획!$X$4:$X$803,$AF146))</f>
        <v/>
      </c>
      <c r="V146" s="17">
        <f>IF($AF146="","",INDEX(입력_파견수련계획!$V$4:$V$803,$AF146))</f>
        <v/>
      </c>
      <c r="W146" s="17">
        <f>IF(AND($U146="파견중",$T146&lt;&gt;""),$T146-TODAY(),"")</f>
        <v/>
      </c>
      <c r="X146" s="17">
        <f>IF(OR($B146="",TRIM($J146&amp;"")=""),"",SUMPRODUCT((입력_파견수련계획!$Q$4:$Q$803=TRIM($J146&amp;""))*입력_파견수련계획!$W$4:$W$803))</f>
        <v/>
      </c>
      <c r="Y146" s="10">
        <f>IF($B146="","",IF($AG146="","",IF(IF(TRIM($J146&amp;"")="",0,SUMPRODUCT((입력_파견수련계획!$Q$4:$Q$803=TRIM($J146&amp;""))*입력_파견수련계획!$AD$4:$AD$803))&gt;0,$AE146,IF(AND(N($X146)&lt;=0,$AQ146=""),$AG146,IF($AH146+$AI146=DAY(EOMONTH(출력_요약!$B$3,0)),IF(AND($AH146&gt;=출력_요약!$E$3,$AI146&lt;출력_요약!$E$3),"서울병원",IF(AND($AI146&gt;=출력_요약!$E$3,$AH146&lt;출력_요약!$E$3),"구리병원","⚠15일 판정불가(서울 "&amp;$AH146&amp;"일/구리 "&amp;$AI146&amp;"일)")),IF($AJ146="",$AE146,IF(INDEX(입력_파견수련계획!$T$4:$T$803,$AJ146)="통합수련",INDEX(입력_파견수련계획!$S$4:$S$803,$AJ146),$AE146)))))))</f>
        <v/>
      </c>
      <c r="Z146" s="20">
        <f>IF($B146="","",IF($AB146="","기본자료에 없는 사번",IF(COUNTIF($B$2:$B$401,$B146)&gt;1,"중복 사번",IF($AE146="","소속(입사장소) 입력",IF(IF(TRIM($J146&amp;"")="",0,SUMPRODUCT((입력_파견수련계획!$Q$4:$Q$803=TRIM($J146&amp;""))*(입력_파견수련계획!$AA$4:$AA$803&lt;&gt;"")))&gt;0,"파견수련계획 입력오류 확인",IF(LEFT($Y146,1)="⚠","서울·구리 15일 판정 불가(양쪽 모두 이상/미만)",IF(IF($AC146="",0,N(INDEX(입력_인턴근무계획!$T$3:$T$402,$AC146)))&gt;0,"인턴계획 입력오류 확인",IF(AND($AQ146&lt;&gt;"",$AG146&lt;&gt;"구리병원",IF(TRIM($J146&amp;"")="",0,SUMPRODUCT((입력_파견수련계획!$Q$4:$Q$803=TRIM($J146&amp;""))*(입력_파견수련계획!$S$4:$S$803="구리병원")*입력_파견수련계획!$W$4:$W$803))=0),"구리 근무자명단에만 있음(파견수련계획 확인)",IF(AND($AC146&lt;&gt;"",$U146&lt;&gt;"파견중",$N146&lt;&gt;$AE146),"인턴 타지역 근무: 파견 여부 확인","정상")))))))))</f>
        <v/>
      </c>
      <c r="AA146" s="5" t="n"/>
      <c r="AB146" s="10">
        <f>IF($B146="","",IFERROR(MATCH($B146,입력_기본자료!$B$2:$B$1001,0),IFERROR(MATCH($B146&amp;"",입력_기본자료!$B$2:$B$1001,0),IFERROR(MATCH(VALUE($B146),입력_기본자료!$B$2:$B$1001,0),""))))</f>
        <v/>
      </c>
      <c r="AC146" s="10">
        <f>IF($B146="","",IFERROR(MATCH($B146,입력_인턴근무계획!$D$3:$D$402,0),IFERROR(MATCH($B146&amp;"",입력_인턴근무계획!$D$3:$D$402,0),IFERROR(MATCH(VALUE($B146),입력_인턴근무계획!$D$3:$D$402,0),""))))</f>
        <v/>
      </c>
      <c r="AD146" s="10">
        <f>IF(OR($AC146="",출력_인턴현황!$G$3=""),"",INDEX(입력_인턴근무계획!$M$3:$R$402,$AC146,출력_인턴현황!$G$3)&amp;"")</f>
        <v/>
      </c>
      <c r="AE146" s="10">
        <f>IF($B146="","",IF($M146&lt;&gt;"",$M146,IF(IF($AQ146="",FALSE,INDEX(출력_구리근무자!$J$6:$J$305,$AQ146)="구리독자"),"구리병원",IF($AF146&lt;&gt;"",IF(LEFT(INDEX(입력_파견수련계획!$R$4:$R$803,$AF146),1)&lt;&gt;"⚠",INDEX(입력_파견수련계획!$R$4:$R$803,$AF146),IF($H146="","",IF(RIGHT($H146,2)="병원",$H146,$H146&amp;"병원"))),IF($H146="","",IF(RIGHT($H146,2)="병원",$H146,$H146&amp;"병원"))))))</f>
        <v/>
      </c>
      <c r="AF146" s="10">
        <f>IF(OR($B146="",TRIM($J146&amp;"")=""),"",IFERROR(MATCH(TRIM($J146&amp;"")&amp;"|파견중",입력_파견수련계획!$Y$4:$Y$803,0),IFERROR(MATCH(TRIM($J146&amp;"")&amp;"|파견예정",입력_파견수련계획!$Y$4:$Y$803,0),IFERROR(MATCH(TRIM($J146&amp;"")&amp;"|파견종료",입력_파견수련계획!$Y$4:$Y$803,0),""))))</f>
        <v/>
      </c>
      <c r="AG146" s="10">
        <f>IF($B146="","",IF(AND(IF(OR($AC146="",출력_인턴현황!$K$2=""),"",INDEX(입력_인턴근무계획!$M$3:$R$402,$AC146,출력_인턴현황!$K$2)&amp;"")&lt;&gt;"",LEFT(IF(OR($AC146="",출력_인턴현황!$K$2=""),"",INDEX(입력_인턴근무계획!$M$3:$R$402,$AC146,출력_인턴현황!$K$2)&amp;""),1)&lt;&gt;"⚠"),LEFT(IF(OR($AC146="",출력_인턴현황!$K$2=""),"",INDEX(입력_인턴근무계획!$M$3:$R$402,$AC146,출력_인턴현황!$K$2)&amp;""),FIND(" ",IF(OR($AC146="",출력_인턴현황!$K$2=""),"",INDEX(입력_인턴근무계획!$M$3:$R$402,$AC146,출력_인턴현황!$K$2)&amp;""))-1),$AE146))</f>
        <v/>
      </c>
      <c r="AH146" s="17">
        <f>IF($B146="","",IF($AQ146&lt;&gt;"",MAX(0,DAY(EOMONTH(출력_요약!$B$3,0))-N($AR146)),IF(TRIM($J146&amp;"")="",0,SUMPRODUCT((입력_파견수련계획!$Q$4:$Q$803=TRIM($J146&amp;""))*(입력_파견수련계획!$S$4:$S$803="서울병원")*입력_파견수련계획!$W$4:$W$803))+IF($AG146="서울병원",MAX(0,DAY(EOMONTH(출력_요약!$B$3,0))-N($X146)),0)))</f>
        <v/>
      </c>
      <c r="AI146" s="17">
        <f>IF($B146="","",IF($AQ146&lt;&gt;"",N($AR146),IF(TRIM($J146&amp;"")="",0,SUMPRODUCT((입력_파견수련계획!$Q$4:$Q$803=TRIM($J146&amp;""))*(입력_파견수련계획!$S$4:$S$803="구리병원")*입력_파견수련계획!$W$4:$W$803))+IF($AG146="구리병원",MAX(0,DAY(EOMONTH(출력_요약!$B$3,0))-N($X146)),0)))</f>
        <v/>
      </c>
      <c r="AJ146" s="10">
        <f>IF(OR($B146="",TRIM($J146&amp;"")=""),"",IFERROR(MATCH(TRIM($J146&amp;"")&amp;"|월",입력_파견수련계획!$Z$4:$Z$803,0),""))</f>
        <v/>
      </c>
      <c r="AK146" s="10">
        <f>IF(OR($B146="",TRIM($J146&amp;"")=""),"",IFERROR(MATCH(TRIM($J146&amp;"")&amp;"|다기관",입력_파견수련계획!$AE$4:$AE$803,0),""))</f>
        <v/>
      </c>
      <c r="AL146" s="10">
        <f>IF($AK146="","","다기관 "&amp;TEXT(INDEX(입력_파견수련계획!$AB$4:$AB$803,$AK146),"yyyy-mm-dd")&amp;"~"&amp;IF(ISNUMBER(INDEX(입력_파견수련계획!$AC$4:$AC$803,$AK146)),TEXT(INDEX(입력_파견수련계획!$AC$4:$AC$803,$AK146),"yyyy-mm-dd"),""))</f>
        <v/>
      </c>
      <c r="AM146" s="10">
        <f>IF($Y146="서울병원",COUNTIF($Y$2:$Y146,"서울병원"),"")</f>
        <v/>
      </c>
      <c r="AN146" s="10">
        <f>IF(LEFT($Y146,1)="⚠",COUNTIF($Y$2:$Y146,"⚠*"),"")</f>
        <v/>
      </c>
      <c r="AO146" s="10">
        <f>IF(OR($B146="",$Y146=""),"",IF(IF(TRIM($J146&amp;"")="",0,SUMPRODUCT((입력_파견수련계획!$Q$4:$Q$803=TRIM($J146&amp;""))*입력_파견수련계획!$AD$4:$AD$803))&gt;0,"다기관 기간 → 소속병원 지급",IF(AND(N($X146)&lt;=0,$AQ146=""),"파견 없음 → 그 달 근무병원 지급",IF($AH146+$AI146=DAY(EOMONTH(출력_요약!$B$3,0)),"서울 "&amp;$AH146&amp;"일 / 구리 "&amp;$AI146&amp;"일"&amp;IF($AQ146&lt;&gt;""," (구리 근무자명단 반영)","")&amp;" → 15일 이상 근무 병원 지급","타 병원 포함 → "&amp;IF($AJ146="","소속",INDEX(입력_파견수련계획!$T$4:$T$803,$AJ146))&amp;" 규칙"))))</f>
        <v/>
      </c>
      <c r="AP146" s="10">
        <f>IF($B146="","",$C146&amp;"|"&amp;$F146)</f>
        <v/>
      </c>
      <c r="AQ146" s="10">
        <f>IF($B146="","",IFERROR(MATCH(ROW()-1,출력_구리근무자!$K$6:$K$305,0),""))</f>
        <v/>
      </c>
      <c r="AR146" s="10">
        <f>IF($AQ146="","",INDEX(출력_구리근무자!$H$6:$H$305,$AQ146))</f>
        <v/>
      </c>
    </row>
    <row r="147">
      <c r="A147" s="10">
        <f>IF(B147="","",ROW()-1)</f>
        <v/>
      </c>
      <c r="B147" s="19" t="n"/>
      <c r="C147" s="10">
        <f>IF($AB147="","",IF(INDEX(입력_기본자료!$C$2:$C$1001,$AB147)="","",INDEX(입력_기본자료!$C$2:$C$1001,$AB147)))</f>
        <v/>
      </c>
      <c r="D147" s="10">
        <f>IF($AB147="","",IF(INDEX(입력_기본자료!$J$2:$J$1001,$AB147)="","",INDEX(입력_기본자료!$J$2:$J$1001,$AB147)))</f>
        <v/>
      </c>
      <c r="E147" s="11">
        <f>IF($AB147="","",IF(INDEX(입력_기본자료!$K$2:$K$1001,$AB147)="","",IF(NOT(ISNUMBER(INDEX(입력_기본자료!$K$2:$K$1001,$AB147))),INDEX(입력_기본자료!$K$2:$K$1001,$AB147),IF(INDEX(입력_기본자료!$K$2:$K$1001,$AB147)&lt;1000000,INDEX(입력_기본자료!$K$2:$K$1001,$AB147),IF(AND(INDEX(입력_기본자료!$K$2:$K$1001,$AB147)&gt;=10000101,INT(MOD(INDEX(입력_기본자료!$K$2:$K$1001,$AB147),10000)/100)&gt;=1,INT(MOD(INDEX(입력_기본자료!$K$2:$K$1001,$AB147),10000)/100)&lt;=12,MOD(INDEX(입력_기본자료!$K$2:$K$1001,$AB147),100)&gt;=1,MOD(INDEX(입력_기본자료!$K$2:$K$1001,$AB147),100)&lt;=31),DATE(INT(INDEX(입력_기본자료!$K$2:$K$1001,$AB147)/10000),INT(MOD(INDEX(입력_기본자료!$K$2:$K$1001,$AB147),10000)/100),MOD(INDEX(입력_기본자료!$K$2:$K$1001,$AB147),100)),INDEX(입력_기본자료!$K$2:$K$1001,$AB147)&amp;"")))))</f>
        <v/>
      </c>
      <c r="F147" s="10">
        <f>IF($AB147="","",IF(INDEX(입력_기본자료!$D$2:$D$1001,$AB147)="","",INDEX(입력_기본자료!$D$2:$D$1001,$AB147)))</f>
        <v/>
      </c>
      <c r="G147" s="10">
        <f>IF($AB147="","",IF(INDEX(입력_기본자료!$E$2:$E$1001,$AB147)="","",INDEX(입력_기본자료!$E$2:$E$1001,$AB147)))</f>
        <v/>
      </c>
      <c r="H147" s="10">
        <f>IF($AB147="","",IF(INDEX(입력_기본자료!$F$2:$F$1001,$AB147)="","",INDEX(입력_기본자료!$F$2:$F$1001,$AB147)))</f>
        <v/>
      </c>
      <c r="I147" s="11">
        <f>IF($AB147="","",IF(INDEX(입력_기본자료!$G$2:$G$1001,$AB147)="","",IF(NOT(ISNUMBER(INDEX(입력_기본자료!$G$2:$G$1001,$AB147))),INDEX(입력_기본자료!$G$2:$G$1001,$AB147),IF(INDEX(입력_기본자료!$G$2:$G$1001,$AB147)&lt;1000000,INDEX(입력_기본자료!$G$2:$G$1001,$AB147),IF(AND(INDEX(입력_기본자료!$G$2:$G$1001,$AB147)&gt;=10000101,INT(MOD(INDEX(입력_기본자료!$G$2:$G$1001,$AB147),10000)/100)&gt;=1,INT(MOD(INDEX(입력_기본자료!$G$2:$G$1001,$AB147),10000)/100)&lt;=12,MOD(INDEX(입력_기본자료!$G$2:$G$1001,$AB147),100)&gt;=1,MOD(INDEX(입력_기본자료!$G$2:$G$1001,$AB147),100)&lt;=31),DATE(INT(INDEX(입력_기본자료!$G$2:$G$1001,$AB147)/10000),INT(MOD(INDEX(입력_기본자료!$G$2:$G$1001,$AB147),10000)/100),MOD(INDEX(입력_기본자료!$G$2:$G$1001,$AB147),100)),INDEX(입력_기본자료!$G$2:$G$1001,$AB147)&amp;"")))))</f>
        <v/>
      </c>
      <c r="J147" s="10">
        <f>IF($AB147="","",IF(INDEX(입력_기본자료!$H$2:$H$1001,$AB147)="","",INDEX(입력_기본자료!$H$2:$H$1001,$AB147)))</f>
        <v/>
      </c>
      <c r="K147" s="10">
        <f>IF($AB147="","",IF(INDEX(입력_기본자료!$I$2:$I$1001,$AB147)="","",INDEX(입력_기본자료!$I$2:$I$1001,$AB147)))</f>
        <v/>
      </c>
      <c r="L147" s="10">
        <f>IF($AB147="","",IF(INDEX(입력_기본자료!$A$2:$A$1001,$AB147)="","",INDEX(입력_기본자료!$A$2:$A$1001,$AB147)))</f>
        <v/>
      </c>
      <c r="M147" s="15" t="n"/>
      <c r="N147" s="10">
        <f>IF($B147="","",IF(AND($U147="파견중",$Q147&lt;&gt;""),$Q147,IF(AND($AD147&lt;&gt;"",LEFT($AD147,1)&lt;&gt;"⚠"),LEFT($AD147,FIND(" ",$AD147)-1),IF($H147="","",IF(RIGHT($H147,2)="병원",$H147,$H147&amp;"병원")))))</f>
        <v/>
      </c>
      <c r="O147" s="10">
        <f>IF($B147="","",IF(AND($U147="파견중",$Q147&lt;&gt;""),IF($R147&lt;&gt;"",$R147,"파견과 미입력"),IF(AND($AD147&lt;&gt;"",LEFT($AD147,1)&lt;&gt;"⚠"),MID($AD147,FIND(" ",$AD147)+1,60),IF($F147="","",IF($F147="인턴","수련교육부(인턴)",$F147)))))</f>
        <v/>
      </c>
      <c r="P147" s="10">
        <f>IF($B147="","",IF($AK147&lt;&gt;"",IF(AND(TODAY()&gt;=INDEX(입력_파견수련계획!$AB$4:$AB$803,$AK147),OR(NOT(ISNUMBER(INDEX(입력_파견수련계획!$AC$4:$AC$803,$AK147))),TODAY()&lt;=INDEX(입력_파견수련계획!$AC$4:$AC$803,$AK147))),"다기관",IF($AF147="","",INDEX(입력_파견수련계획!$T$4:$T$803,$AF147))),IF($AF147="","",INDEX(입력_파견수련계획!$T$4:$T$803,$AF147))))</f>
        <v/>
      </c>
      <c r="Q147" s="10">
        <f>IF($AF147="","",INDEX(입력_파견수련계획!$S$4:$S$803,$AF147))</f>
        <v/>
      </c>
      <c r="R147" s="10">
        <f>IF($AF147="","",INDEX(입력_파견수련계획!$U$4:$U$803,$AF147))</f>
        <v/>
      </c>
      <c r="S147" s="11">
        <f>IF($AF147="","",IF(INDEX(입력_파견수련계획!$H$4:$H$803,$AF147)="","",INDEX(입력_파견수련계획!$H$4:$H$803,$AF147)))</f>
        <v/>
      </c>
      <c r="T147" s="11">
        <f>IF($AF147="","",IF(INDEX(입력_파견수련계획!$I$4:$I$803,$AF147)="","",INDEX(입력_파견수련계획!$I$4:$I$803,$AF147)))</f>
        <v/>
      </c>
      <c r="U147" s="10">
        <f>IF($AF147="","",INDEX(입력_파견수련계획!$X$4:$X$803,$AF147))</f>
        <v/>
      </c>
      <c r="V147" s="17">
        <f>IF($AF147="","",INDEX(입력_파견수련계획!$V$4:$V$803,$AF147))</f>
        <v/>
      </c>
      <c r="W147" s="17">
        <f>IF(AND($U147="파견중",$T147&lt;&gt;""),$T147-TODAY(),"")</f>
        <v/>
      </c>
      <c r="X147" s="17">
        <f>IF(OR($B147="",TRIM($J147&amp;"")=""),"",SUMPRODUCT((입력_파견수련계획!$Q$4:$Q$803=TRIM($J147&amp;""))*입력_파견수련계획!$W$4:$W$803))</f>
        <v/>
      </c>
      <c r="Y147" s="10">
        <f>IF($B147="","",IF($AG147="","",IF(IF(TRIM($J147&amp;"")="",0,SUMPRODUCT((입력_파견수련계획!$Q$4:$Q$803=TRIM($J147&amp;""))*입력_파견수련계획!$AD$4:$AD$803))&gt;0,$AE147,IF(AND(N($X147)&lt;=0,$AQ147=""),$AG147,IF($AH147+$AI147=DAY(EOMONTH(출력_요약!$B$3,0)),IF(AND($AH147&gt;=출력_요약!$E$3,$AI147&lt;출력_요약!$E$3),"서울병원",IF(AND($AI147&gt;=출력_요약!$E$3,$AH147&lt;출력_요약!$E$3),"구리병원","⚠15일 판정불가(서울 "&amp;$AH147&amp;"일/구리 "&amp;$AI147&amp;"일)")),IF($AJ147="",$AE147,IF(INDEX(입력_파견수련계획!$T$4:$T$803,$AJ147)="통합수련",INDEX(입력_파견수련계획!$S$4:$S$803,$AJ147),$AE147)))))))</f>
        <v/>
      </c>
      <c r="Z147" s="20">
        <f>IF($B147="","",IF($AB147="","기본자료에 없는 사번",IF(COUNTIF($B$2:$B$401,$B147)&gt;1,"중복 사번",IF($AE147="","소속(입사장소) 입력",IF(IF(TRIM($J147&amp;"")="",0,SUMPRODUCT((입력_파견수련계획!$Q$4:$Q$803=TRIM($J147&amp;""))*(입력_파견수련계획!$AA$4:$AA$803&lt;&gt;"")))&gt;0,"파견수련계획 입력오류 확인",IF(LEFT($Y147,1)="⚠","서울·구리 15일 판정 불가(양쪽 모두 이상/미만)",IF(IF($AC147="",0,N(INDEX(입력_인턴근무계획!$T$3:$T$402,$AC147)))&gt;0,"인턴계획 입력오류 확인",IF(AND($AQ147&lt;&gt;"",$AG147&lt;&gt;"구리병원",IF(TRIM($J147&amp;"")="",0,SUMPRODUCT((입력_파견수련계획!$Q$4:$Q$803=TRIM($J147&amp;""))*(입력_파견수련계획!$S$4:$S$803="구리병원")*입력_파견수련계획!$W$4:$W$803))=0),"구리 근무자명단에만 있음(파견수련계획 확인)",IF(AND($AC147&lt;&gt;"",$U147&lt;&gt;"파견중",$N147&lt;&gt;$AE147),"인턴 타지역 근무: 파견 여부 확인","정상")))))))))</f>
        <v/>
      </c>
      <c r="AA147" s="5" t="n"/>
      <c r="AB147" s="10">
        <f>IF($B147="","",IFERROR(MATCH($B147,입력_기본자료!$B$2:$B$1001,0),IFERROR(MATCH($B147&amp;"",입력_기본자료!$B$2:$B$1001,0),IFERROR(MATCH(VALUE($B147),입력_기본자료!$B$2:$B$1001,0),""))))</f>
        <v/>
      </c>
      <c r="AC147" s="10">
        <f>IF($B147="","",IFERROR(MATCH($B147,입력_인턴근무계획!$D$3:$D$402,0),IFERROR(MATCH($B147&amp;"",입력_인턴근무계획!$D$3:$D$402,0),IFERROR(MATCH(VALUE($B147),입력_인턴근무계획!$D$3:$D$402,0),""))))</f>
        <v/>
      </c>
      <c r="AD147" s="10">
        <f>IF(OR($AC147="",출력_인턴현황!$G$3=""),"",INDEX(입력_인턴근무계획!$M$3:$R$402,$AC147,출력_인턴현황!$G$3)&amp;"")</f>
        <v/>
      </c>
      <c r="AE147" s="10">
        <f>IF($B147="","",IF($M147&lt;&gt;"",$M147,IF(IF($AQ147="",FALSE,INDEX(출력_구리근무자!$J$6:$J$305,$AQ147)="구리독자"),"구리병원",IF($AF147&lt;&gt;"",IF(LEFT(INDEX(입력_파견수련계획!$R$4:$R$803,$AF147),1)&lt;&gt;"⚠",INDEX(입력_파견수련계획!$R$4:$R$803,$AF147),IF($H147="","",IF(RIGHT($H147,2)="병원",$H147,$H147&amp;"병원"))),IF($H147="","",IF(RIGHT($H147,2)="병원",$H147,$H147&amp;"병원"))))))</f>
        <v/>
      </c>
      <c r="AF147" s="10">
        <f>IF(OR($B147="",TRIM($J147&amp;"")=""),"",IFERROR(MATCH(TRIM($J147&amp;"")&amp;"|파견중",입력_파견수련계획!$Y$4:$Y$803,0),IFERROR(MATCH(TRIM($J147&amp;"")&amp;"|파견예정",입력_파견수련계획!$Y$4:$Y$803,0),IFERROR(MATCH(TRIM($J147&amp;"")&amp;"|파견종료",입력_파견수련계획!$Y$4:$Y$803,0),""))))</f>
        <v/>
      </c>
      <c r="AG147" s="10">
        <f>IF($B147="","",IF(AND(IF(OR($AC147="",출력_인턴현황!$K$2=""),"",INDEX(입력_인턴근무계획!$M$3:$R$402,$AC147,출력_인턴현황!$K$2)&amp;"")&lt;&gt;"",LEFT(IF(OR($AC147="",출력_인턴현황!$K$2=""),"",INDEX(입력_인턴근무계획!$M$3:$R$402,$AC147,출력_인턴현황!$K$2)&amp;""),1)&lt;&gt;"⚠"),LEFT(IF(OR($AC147="",출력_인턴현황!$K$2=""),"",INDEX(입력_인턴근무계획!$M$3:$R$402,$AC147,출력_인턴현황!$K$2)&amp;""),FIND(" ",IF(OR($AC147="",출력_인턴현황!$K$2=""),"",INDEX(입력_인턴근무계획!$M$3:$R$402,$AC147,출력_인턴현황!$K$2)&amp;""))-1),$AE147))</f>
        <v/>
      </c>
      <c r="AH147" s="17">
        <f>IF($B147="","",IF($AQ147&lt;&gt;"",MAX(0,DAY(EOMONTH(출력_요약!$B$3,0))-N($AR147)),IF(TRIM($J147&amp;"")="",0,SUMPRODUCT((입력_파견수련계획!$Q$4:$Q$803=TRIM($J147&amp;""))*(입력_파견수련계획!$S$4:$S$803="서울병원")*입력_파견수련계획!$W$4:$W$803))+IF($AG147="서울병원",MAX(0,DAY(EOMONTH(출력_요약!$B$3,0))-N($X147)),0)))</f>
        <v/>
      </c>
      <c r="AI147" s="17">
        <f>IF($B147="","",IF($AQ147&lt;&gt;"",N($AR147),IF(TRIM($J147&amp;"")="",0,SUMPRODUCT((입력_파견수련계획!$Q$4:$Q$803=TRIM($J147&amp;""))*(입력_파견수련계획!$S$4:$S$803="구리병원")*입력_파견수련계획!$W$4:$W$803))+IF($AG147="구리병원",MAX(0,DAY(EOMONTH(출력_요약!$B$3,0))-N($X147)),0)))</f>
        <v/>
      </c>
      <c r="AJ147" s="10">
        <f>IF(OR($B147="",TRIM($J147&amp;"")=""),"",IFERROR(MATCH(TRIM($J147&amp;"")&amp;"|월",입력_파견수련계획!$Z$4:$Z$803,0),""))</f>
        <v/>
      </c>
      <c r="AK147" s="10">
        <f>IF(OR($B147="",TRIM($J147&amp;"")=""),"",IFERROR(MATCH(TRIM($J147&amp;"")&amp;"|다기관",입력_파견수련계획!$AE$4:$AE$803,0),""))</f>
        <v/>
      </c>
      <c r="AL147" s="10">
        <f>IF($AK147="","","다기관 "&amp;TEXT(INDEX(입력_파견수련계획!$AB$4:$AB$803,$AK147),"yyyy-mm-dd")&amp;"~"&amp;IF(ISNUMBER(INDEX(입력_파견수련계획!$AC$4:$AC$803,$AK147)),TEXT(INDEX(입력_파견수련계획!$AC$4:$AC$803,$AK147),"yyyy-mm-dd"),""))</f>
        <v/>
      </c>
      <c r="AM147" s="10">
        <f>IF($Y147="서울병원",COUNTIF($Y$2:$Y147,"서울병원"),"")</f>
        <v/>
      </c>
      <c r="AN147" s="10">
        <f>IF(LEFT($Y147,1)="⚠",COUNTIF($Y$2:$Y147,"⚠*"),"")</f>
        <v/>
      </c>
      <c r="AO147" s="10">
        <f>IF(OR($B147="",$Y147=""),"",IF(IF(TRIM($J147&amp;"")="",0,SUMPRODUCT((입력_파견수련계획!$Q$4:$Q$803=TRIM($J147&amp;""))*입력_파견수련계획!$AD$4:$AD$803))&gt;0,"다기관 기간 → 소속병원 지급",IF(AND(N($X147)&lt;=0,$AQ147=""),"파견 없음 → 그 달 근무병원 지급",IF($AH147+$AI147=DAY(EOMONTH(출력_요약!$B$3,0)),"서울 "&amp;$AH147&amp;"일 / 구리 "&amp;$AI147&amp;"일"&amp;IF($AQ147&lt;&gt;""," (구리 근무자명단 반영)","")&amp;" → 15일 이상 근무 병원 지급","타 병원 포함 → "&amp;IF($AJ147="","소속",INDEX(입력_파견수련계획!$T$4:$T$803,$AJ147))&amp;" 규칙"))))</f>
        <v/>
      </c>
      <c r="AP147" s="10">
        <f>IF($B147="","",$C147&amp;"|"&amp;$F147)</f>
        <v/>
      </c>
      <c r="AQ147" s="10">
        <f>IF($B147="","",IFERROR(MATCH(ROW()-1,출력_구리근무자!$K$6:$K$305,0),""))</f>
        <v/>
      </c>
      <c r="AR147" s="10">
        <f>IF($AQ147="","",INDEX(출력_구리근무자!$H$6:$H$305,$AQ147))</f>
        <v/>
      </c>
    </row>
    <row r="148">
      <c r="A148" s="10">
        <f>IF(B148="","",ROW()-1)</f>
        <v/>
      </c>
      <c r="B148" s="19" t="n"/>
      <c r="C148" s="10">
        <f>IF($AB148="","",IF(INDEX(입력_기본자료!$C$2:$C$1001,$AB148)="","",INDEX(입력_기본자료!$C$2:$C$1001,$AB148)))</f>
        <v/>
      </c>
      <c r="D148" s="10">
        <f>IF($AB148="","",IF(INDEX(입력_기본자료!$J$2:$J$1001,$AB148)="","",INDEX(입력_기본자료!$J$2:$J$1001,$AB148)))</f>
        <v/>
      </c>
      <c r="E148" s="11">
        <f>IF($AB148="","",IF(INDEX(입력_기본자료!$K$2:$K$1001,$AB148)="","",IF(NOT(ISNUMBER(INDEX(입력_기본자료!$K$2:$K$1001,$AB148))),INDEX(입력_기본자료!$K$2:$K$1001,$AB148),IF(INDEX(입력_기본자료!$K$2:$K$1001,$AB148)&lt;1000000,INDEX(입력_기본자료!$K$2:$K$1001,$AB148),IF(AND(INDEX(입력_기본자료!$K$2:$K$1001,$AB148)&gt;=10000101,INT(MOD(INDEX(입력_기본자료!$K$2:$K$1001,$AB148),10000)/100)&gt;=1,INT(MOD(INDEX(입력_기본자료!$K$2:$K$1001,$AB148),10000)/100)&lt;=12,MOD(INDEX(입력_기본자료!$K$2:$K$1001,$AB148),100)&gt;=1,MOD(INDEX(입력_기본자료!$K$2:$K$1001,$AB148),100)&lt;=31),DATE(INT(INDEX(입력_기본자료!$K$2:$K$1001,$AB148)/10000),INT(MOD(INDEX(입력_기본자료!$K$2:$K$1001,$AB148),10000)/100),MOD(INDEX(입력_기본자료!$K$2:$K$1001,$AB148),100)),INDEX(입력_기본자료!$K$2:$K$1001,$AB148)&amp;"")))))</f>
        <v/>
      </c>
      <c r="F148" s="10">
        <f>IF($AB148="","",IF(INDEX(입력_기본자료!$D$2:$D$1001,$AB148)="","",INDEX(입력_기본자료!$D$2:$D$1001,$AB148)))</f>
        <v/>
      </c>
      <c r="G148" s="10">
        <f>IF($AB148="","",IF(INDEX(입력_기본자료!$E$2:$E$1001,$AB148)="","",INDEX(입력_기본자료!$E$2:$E$1001,$AB148)))</f>
        <v/>
      </c>
      <c r="H148" s="10">
        <f>IF($AB148="","",IF(INDEX(입력_기본자료!$F$2:$F$1001,$AB148)="","",INDEX(입력_기본자료!$F$2:$F$1001,$AB148)))</f>
        <v/>
      </c>
      <c r="I148" s="11">
        <f>IF($AB148="","",IF(INDEX(입력_기본자료!$G$2:$G$1001,$AB148)="","",IF(NOT(ISNUMBER(INDEX(입력_기본자료!$G$2:$G$1001,$AB148))),INDEX(입력_기본자료!$G$2:$G$1001,$AB148),IF(INDEX(입력_기본자료!$G$2:$G$1001,$AB148)&lt;1000000,INDEX(입력_기본자료!$G$2:$G$1001,$AB148),IF(AND(INDEX(입력_기본자료!$G$2:$G$1001,$AB148)&gt;=10000101,INT(MOD(INDEX(입력_기본자료!$G$2:$G$1001,$AB148),10000)/100)&gt;=1,INT(MOD(INDEX(입력_기본자료!$G$2:$G$1001,$AB148),10000)/100)&lt;=12,MOD(INDEX(입력_기본자료!$G$2:$G$1001,$AB148),100)&gt;=1,MOD(INDEX(입력_기본자료!$G$2:$G$1001,$AB148),100)&lt;=31),DATE(INT(INDEX(입력_기본자료!$G$2:$G$1001,$AB148)/10000),INT(MOD(INDEX(입력_기본자료!$G$2:$G$1001,$AB148),10000)/100),MOD(INDEX(입력_기본자료!$G$2:$G$1001,$AB148),100)),INDEX(입력_기본자료!$G$2:$G$1001,$AB148)&amp;"")))))</f>
        <v/>
      </c>
      <c r="J148" s="10">
        <f>IF($AB148="","",IF(INDEX(입력_기본자료!$H$2:$H$1001,$AB148)="","",INDEX(입력_기본자료!$H$2:$H$1001,$AB148)))</f>
        <v/>
      </c>
      <c r="K148" s="10">
        <f>IF($AB148="","",IF(INDEX(입력_기본자료!$I$2:$I$1001,$AB148)="","",INDEX(입력_기본자료!$I$2:$I$1001,$AB148)))</f>
        <v/>
      </c>
      <c r="L148" s="10">
        <f>IF($AB148="","",IF(INDEX(입력_기본자료!$A$2:$A$1001,$AB148)="","",INDEX(입력_기본자료!$A$2:$A$1001,$AB148)))</f>
        <v/>
      </c>
      <c r="M148" s="15" t="n"/>
      <c r="N148" s="10">
        <f>IF($B148="","",IF(AND($U148="파견중",$Q148&lt;&gt;""),$Q148,IF(AND($AD148&lt;&gt;"",LEFT($AD148,1)&lt;&gt;"⚠"),LEFT($AD148,FIND(" ",$AD148)-1),IF($H148="","",IF(RIGHT($H148,2)="병원",$H148,$H148&amp;"병원")))))</f>
        <v/>
      </c>
      <c r="O148" s="10">
        <f>IF($B148="","",IF(AND($U148="파견중",$Q148&lt;&gt;""),IF($R148&lt;&gt;"",$R148,"파견과 미입력"),IF(AND($AD148&lt;&gt;"",LEFT($AD148,1)&lt;&gt;"⚠"),MID($AD148,FIND(" ",$AD148)+1,60),IF($F148="","",IF($F148="인턴","수련교육부(인턴)",$F148)))))</f>
        <v/>
      </c>
      <c r="P148" s="10">
        <f>IF($B148="","",IF($AK148&lt;&gt;"",IF(AND(TODAY()&gt;=INDEX(입력_파견수련계획!$AB$4:$AB$803,$AK148),OR(NOT(ISNUMBER(INDEX(입력_파견수련계획!$AC$4:$AC$803,$AK148))),TODAY()&lt;=INDEX(입력_파견수련계획!$AC$4:$AC$803,$AK148))),"다기관",IF($AF148="","",INDEX(입력_파견수련계획!$T$4:$T$803,$AF148))),IF($AF148="","",INDEX(입력_파견수련계획!$T$4:$T$803,$AF148))))</f>
        <v/>
      </c>
      <c r="Q148" s="10">
        <f>IF($AF148="","",INDEX(입력_파견수련계획!$S$4:$S$803,$AF148))</f>
        <v/>
      </c>
      <c r="R148" s="10">
        <f>IF($AF148="","",INDEX(입력_파견수련계획!$U$4:$U$803,$AF148))</f>
        <v/>
      </c>
      <c r="S148" s="11">
        <f>IF($AF148="","",IF(INDEX(입력_파견수련계획!$H$4:$H$803,$AF148)="","",INDEX(입력_파견수련계획!$H$4:$H$803,$AF148)))</f>
        <v/>
      </c>
      <c r="T148" s="11">
        <f>IF($AF148="","",IF(INDEX(입력_파견수련계획!$I$4:$I$803,$AF148)="","",INDEX(입력_파견수련계획!$I$4:$I$803,$AF148)))</f>
        <v/>
      </c>
      <c r="U148" s="10">
        <f>IF($AF148="","",INDEX(입력_파견수련계획!$X$4:$X$803,$AF148))</f>
        <v/>
      </c>
      <c r="V148" s="17">
        <f>IF($AF148="","",INDEX(입력_파견수련계획!$V$4:$V$803,$AF148))</f>
        <v/>
      </c>
      <c r="W148" s="17">
        <f>IF(AND($U148="파견중",$T148&lt;&gt;""),$T148-TODAY(),"")</f>
        <v/>
      </c>
      <c r="X148" s="17">
        <f>IF(OR($B148="",TRIM($J148&amp;"")=""),"",SUMPRODUCT((입력_파견수련계획!$Q$4:$Q$803=TRIM($J148&amp;""))*입력_파견수련계획!$W$4:$W$803))</f>
        <v/>
      </c>
      <c r="Y148" s="10">
        <f>IF($B148="","",IF($AG148="","",IF(IF(TRIM($J148&amp;"")="",0,SUMPRODUCT((입력_파견수련계획!$Q$4:$Q$803=TRIM($J148&amp;""))*입력_파견수련계획!$AD$4:$AD$803))&gt;0,$AE148,IF(AND(N($X148)&lt;=0,$AQ148=""),$AG148,IF($AH148+$AI148=DAY(EOMONTH(출력_요약!$B$3,0)),IF(AND($AH148&gt;=출력_요약!$E$3,$AI148&lt;출력_요약!$E$3),"서울병원",IF(AND($AI148&gt;=출력_요약!$E$3,$AH148&lt;출력_요약!$E$3),"구리병원","⚠15일 판정불가(서울 "&amp;$AH148&amp;"일/구리 "&amp;$AI148&amp;"일)")),IF($AJ148="",$AE148,IF(INDEX(입력_파견수련계획!$T$4:$T$803,$AJ148)="통합수련",INDEX(입력_파견수련계획!$S$4:$S$803,$AJ148),$AE148)))))))</f>
        <v/>
      </c>
      <c r="Z148" s="20">
        <f>IF($B148="","",IF($AB148="","기본자료에 없는 사번",IF(COUNTIF($B$2:$B$401,$B148)&gt;1,"중복 사번",IF($AE148="","소속(입사장소) 입력",IF(IF(TRIM($J148&amp;"")="",0,SUMPRODUCT((입력_파견수련계획!$Q$4:$Q$803=TRIM($J148&amp;""))*(입력_파견수련계획!$AA$4:$AA$803&lt;&gt;"")))&gt;0,"파견수련계획 입력오류 확인",IF(LEFT($Y148,1)="⚠","서울·구리 15일 판정 불가(양쪽 모두 이상/미만)",IF(IF($AC148="",0,N(INDEX(입력_인턴근무계획!$T$3:$T$402,$AC148)))&gt;0,"인턴계획 입력오류 확인",IF(AND($AQ148&lt;&gt;"",$AG148&lt;&gt;"구리병원",IF(TRIM($J148&amp;"")="",0,SUMPRODUCT((입력_파견수련계획!$Q$4:$Q$803=TRIM($J148&amp;""))*(입력_파견수련계획!$S$4:$S$803="구리병원")*입력_파견수련계획!$W$4:$W$803))=0),"구리 근무자명단에만 있음(파견수련계획 확인)",IF(AND($AC148&lt;&gt;"",$U148&lt;&gt;"파견중",$N148&lt;&gt;$AE148),"인턴 타지역 근무: 파견 여부 확인","정상")))))))))</f>
        <v/>
      </c>
      <c r="AA148" s="5" t="n"/>
      <c r="AB148" s="10">
        <f>IF($B148="","",IFERROR(MATCH($B148,입력_기본자료!$B$2:$B$1001,0),IFERROR(MATCH($B148&amp;"",입력_기본자료!$B$2:$B$1001,0),IFERROR(MATCH(VALUE($B148),입력_기본자료!$B$2:$B$1001,0),""))))</f>
        <v/>
      </c>
      <c r="AC148" s="10">
        <f>IF($B148="","",IFERROR(MATCH($B148,입력_인턴근무계획!$D$3:$D$402,0),IFERROR(MATCH($B148&amp;"",입력_인턴근무계획!$D$3:$D$402,0),IFERROR(MATCH(VALUE($B148),입력_인턴근무계획!$D$3:$D$402,0),""))))</f>
        <v/>
      </c>
      <c r="AD148" s="10">
        <f>IF(OR($AC148="",출력_인턴현황!$G$3=""),"",INDEX(입력_인턴근무계획!$M$3:$R$402,$AC148,출력_인턴현황!$G$3)&amp;"")</f>
        <v/>
      </c>
      <c r="AE148" s="10">
        <f>IF($B148="","",IF($M148&lt;&gt;"",$M148,IF(IF($AQ148="",FALSE,INDEX(출력_구리근무자!$J$6:$J$305,$AQ148)="구리독자"),"구리병원",IF($AF148&lt;&gt;"",IF(LEFT(INDEX(입력_파견수련계획!$R$4:$R$803,$AF148),1)&lt;&gt;"⚠",INDEX(입력_파견수련계획!$R$4:$R$803,$AF148),IF($H148="","",IF(RIGHT($H148,2)="병원",$H148,$H148&amp;"병원"))),IF($H148="","",IF(RIGHT($H148,2)="병원",$H148,$H148&amp;"병원"))))))</f>
        <v/>
      </c>
      <c r="AF148" s="10">
        <f>IF(OR($B148="",TRIM($J148&amp;"")=""),"",IFERROR(MATCH(TRIM($J148&amp;"")&amp;"|파견중",입력_파견수련계획!$Y$4:$Y$803,0),IFERROR(MATCH(TRIM($J148&amp;"")&amp;"|파견예정",입력_파견수련계획!$Y$4:$Y$803,0),IFERROR(MATCH(TRIM($J148&amp;"")&amp;"|파견종료",입력_파견수련계획!$Y$4:$Y$803,0),""))))</f>
        <v/>
      </c>
      <c r="AG148" s="10">
        <f>IF($B148="","",IF(AND(IF(OR($AC148="",출력_인턴현황!$K$2=""),"",INDEX(입력_인턴근무계획!$M$3:$R$402,$AC148,출력_인턴현황!$K$2)&amp;"")&lt;&gt;"",LEFT(IF(OR($AC148="",출력_인턴현황!$K$2=""),"",INDEX(입력_인턴근무계획!$M$3:$R$402,$AC148,출력_인턴현황!$K$2)&amp;""),1)&lt;&gt;"⚠"),LEFT(IF(OR($AC148="",출력_인턴현황!$K$2=""),"",INDEX(입력_인턴근무계획!$M$3:$R$402,$AC148,출력_인턴현황!$K$2)&amp;""),FIND(" ",IF(OR($AC148="",출력_인턴현황!$K$2=""),"",INDEX(입력_인턴근무계획!$M$3:$R$402,$AC148,출력_인턴현황!$K$2)&amp;""))-1),$AE148))</f>
        <v/>
      </c>
      <c r="AH148" s="17">
        <f>IF($B148="","",IF($AQ148&lt;&gt;"",MAX(0,DAY(EOMONTH(출력_요약!$B$3,0))-N($AR148)),IF(TRIM($J148&amp;"")="",0,SUMPRODUCT((입력_파견수련계획!$Q$4:$Q$803=TRIM($J148&amp;""))*(입력_파견수련계획!$S$4:$S$803="서울병원")*입력_파견수련계획!$W$4:$W$803))+IF($AG148="서울병원",MAX(0,DAY(EOMONTH(출력_요약!$B$3,0))-N($X148)),0)))</f>
        <v/>
      </c>
      <c r="AI148" s="17">
        <f>IF($B148="","",IF($AQ148&lt;&gt;"",N($AR148),IF(TRIM($J148&amp;"")="",0,SUMPRODUCT((입력_파견수련계획!$Q$4:$Q$803=TRIM($J148&amp;""))*(입력_파견수련계획!$S$4:$S$803="구리병원")*입력_파견수련계획!$W$4:$W$803))+IF($AG148="구리병원",MAX(0,DAY(EOMONTH(출력_요약!$B$3,0))-N($X148)),0)))</f>
        <v/>
      </c>
      <c r="AJ148" s="10">
        <f>IF(OR($B148="",TRIM($J148&amp;"")=""),"",IFERROR(MATCH(TRIM($J148&amp;"")&amp;"|월",입력_파견수련계획!$Z$4:$Z$803,0),""))</f>
        <v/>
      </c>
      <c r="AK148" s="10">
        <f>IF(OR($B148="",TRIM($J148&amp;"")=""),"",IFERROR(MATCH(TRIM($J148&amp;"")&amp;"|다기관",입력_파견수련계획!$AE$4:$AE$803,0),""))</f>
        <v/>
      </c>
      <c r="AL148" s="10">
        <f>IF($AK148="","","다기관 "&amp;TEXT(INDEX(입력_파견수련계획!$AB$4:$AB$803,$AK148),"yyyy-mm-dd")&amp;"~"&amp;IF(ISNUMBER(INDEX(입력_파견수련계획!$AC$4:$AC$803,$AK148)),TEXT(INDEX(입력_파견수련계획!$AC$4:$AC$803,$AK148),"yyyy-mm-dd"),""))</f>
        <v/>
      </c>
      <c r="AM148" s="10">
        <f>IF($Y148="서울병원",COUNTIF($Y$2:$Y148,"서울병원"),"")</f>
        <v/>
      </c>
      <c r="AN148" s="10">
        <f>IF(LEFT($Y148,1)="⚠",COUNTIF($Y$2:$Y148,"⚠*"),"")</f>
        <v/>
      </c>
      <c r="AO148" s="10">
        <f>IF(OR($B148="",$Y148=""),"",IF(IF(TRIM($J148&amp;"")="",0,SUMPRODUCT((입력_파견수련계획!$Q$4:$Q$803=TRIM($J148&amp;""))*입력_파견수련계획!$AD$4:$AD$803))&gt;0,"다기관 기간 → 소속병원 지급",IF(AND(N($X148)&lt;=0,$AQ148=""),"파견 없음 → 그 달 근무병원 지급",IF($AH148+$AI148=DAY(EOMONTH(출력_요약!$B$3,0)),"서울 "&amp;$AH148&amp;"일 / 구리 "&amp;$AI148&amp;"일"&amp;IF($AQ148&lt;&gt;""," (구리 근무자명단 반영)","")&amp;" → 15일 이상 근무 병원 지급","타 병원 포함 → "&amp;IF($AJ148="","소속",INDEX(입력_파견수련계획!$T$4:$T$803,$AJ148))&amp;" 규칙"))))</f>
        <v/>
      </c>
      <c r="AP148" s="10">
        <f>IF($B148="","",$C148&amp;"|"&amp;$F148)</f>
        <v/>
      </c>
      <c r="AQ148" s="10">
        <f>IF($B148="","",IFERROR(MATCH(ROW()-1,출력_구리근무자!$K$6:$K$305,0),""))</f>
        <v/>
      </c>
      <c r="AR148" s="10">
        <f>IF($AQ148="","",INDEX(출력_구리근무자!$H$6:$H$305,$AQ148))</f>
        <v/>
      </c>
    </row>
    <row r="149">
      <c r="A149" s="10">
        <f>IF(B149="","",ROW()-1)</f>
        <v/>
      </c>
      <c r="B149" s="19" t="n"/>
      <c r="C149" s="10">
        <f>IF($AB149="","",IF(INDEX(입력_기본자료!$C$2:$C$1001,$AB149)="","",INDEX(입력_기본자료!$C$2:$C$1001,$AB149)))</f>
        <v/>
      </c>
      <c r="D149" s="10">
        <f>IF($AB149="","",IF(INDEX(입력_기본자료!$J$2:$J$1001,$AB149)="","",INDEX(입력_기본자료!$J$2:$J$1001,$AB149)))</f>
        <v/>
      </c>
      <c r="E149" s="11">
        <f>IF($AB149="","",IF(INDEX(입력_기본자료!$K$2:$K$1001,$AB149)="","",IF(NOT(ISNUMBER(INDEX(입력_기본자료!$K$2:$K$1001,$AB149))),INDEX(입력_기본자료!$K$2:$K$1001,$AB149),IF(INDEX(입력_기본자료!$K$2:$K$1001,$AB149)&lt;1000000,INDEX(입력_기본자료!$K$2:$K$1001,$AB149),IF(AND(INDEX(입력_기본자료!$K$2:$K$1001,$AB149)&gt;=10000101,INT(MOD(INDEX(입력_기본자료!$K$2:$K$1001,$AB149),10000)/100)&gt;=1,INT(MOD(INDEX(입력_기본자료!$K$2:$K$1001,$AB149),10000)/100)&lt;=12,MOD(INDEX(입력_기본자료!$K$2:$K$1001,$AB149),100)&gt;=1,MOD(INDEX(입력_기본자료!$K$2:$K$1001,$AB149),100)&lt;=31),DATE(INT(INDEX(입력_기본자료!$K$2:$K$1001,$AB149)/10000),INT(MOD(INDEX(입력_기본자료!$K$2:$K$1001,$AB149),10000)/100),MOD(INDEX(입력_기본자료!$K$2:$K$1001,$AB149),100)),INDEX(입력_기본자료!$K$2:$K$1001,$AB149)&amp;"")))))</f>
        <v/>
      </c>
      <c r="F149" s="10">
        <f>IF($AB149="","",IF(INDEX(입력_기본자료!$D$2:$D$1001,$AB149)="","",INDEX(입력_기본자료!$D$2:$D$1001,$AB149)))</f>
        <v/>
      </c>
      <c r="G149" s="10">
        <f>IF($AB149="","",IF(INDEX(입력_기본자료!$E$2:$E$1001,$AB149)="","",INDEX(입력_기본자료!$E$2:$E$1001,$AB149)))</f>
        <v/>
      </c>
      <c r="H149" s="10">
        <f>IF($AB149="","",IF(INDEX(입력_기본자료!$F$2:$F$1001,$AB149)="","",INDEX(입력_기본자료!$F$2:$F$1001,$AB149)))</f>
        <v/>
      </c>
      <c r="I149" s="11">
        <f>IF($AB149="","",IF(INDEX(입력_기본자료!$G$2:$G$1001,$AB149)="","",IF(NOT(ISNUMBER(INDEX(입력_기본자료!$G$2:$G$1001,$AB149))),INDEX(입력_기본자료!$G$2:$G$1001,$AB149),IF(INDEX(입력_기본자료!$G$2:$G$1001,$AB149)&lt;1000000,INDEX(입력_기본자료!$G$2:$G$1001,$AB149),IF(AND(INDEX(입력_기본자료!$G$2:$G$1001,$AB149)&gt;=10000101,INT(MOD(INDEX(입력_기본자료!$G$2:$G$1001,$AB149),10000)/100)&gt;=1,INT(MOD(INDEX(입력_기본자료!$G$2:$G$1001,$AB149),10000)/100)&lt;=12,MOD(INDEX(입력_기본자료!$G$2:$G$1001,$AB149),100)&gt;=1,MOD(INDEX(입력_기본자료!$G$2:$G$1001,$AB149),100)&lt;=31),DATE(INT(INDEX(입력_기본자료!$G$2:$G$1001,$AB149)/10000),INT(MOD(INDEX(입력_기본자료!$G$2:$G$1001,$AB149),10000)/100),MOD(INDEX(입력_기본자료!$G$2:$G$1001,$AB149),100)),INDEX(입력_기본자료!$G$2:$G$1001,$AB149)&amp;"")))))</f>
        <v/>
      </c>
      <c r="J149" s="10">
        <f>IF($AB149="","",IF(INDEX(입력_기본자료!$H$2:$H$1001,$AB149)="","",INDEX(입력_기본자료!$H$2:$H$1001,$AB149)))</f>
        <v/>
      </c>
      <c r="K149" s="10">
        <f>IF($AB149="","",IF(INDEX(입력_기본자료!$I$2:$I$1001,$AB149)="","",INDEX(입력_기본자료!$I$2:$I$1001,$AB149)))</f>
        <v/>
      </c>
      <c r="L149" s="10">
        <f>IF($AB149="","",IF(INDEX(입력_기본자료!$A$2:$A$1001,$AB149)="","",INDEX(입력_기본자료!$A$2:$A$1001,$AB149)))</f>
        <v/>
      </c>
      <c r="M149" s="15" t="n"/>
      <c r="N149" s="10">
        <f>IF($B149="","",IF(AND($U149="파견중",$Q149&lt;&gt;""),$Q149,IF(AND($AD149&lt;&gt;"",LEFT($AD149,1)&lt;&gt;"⚠"),LEFT($AD149,FIND(" ",$AD149)-1),IF($H149="","",IF(RIGHT($H149,2)="병원",$H149,$H149&amp;"병원")))))</f>
        <v/>
      </c>
      <c r="O149" s="10">
        <f>IF($B149="","",IF(AND($U149="파견중",$Q149&lt;&gt;""),IF($R149&lt;&gt;"",$R149,"파견과 미입력"),IF(AND($AD149&lt;&gt;"",LEFT($AD149,1)&lt;&gt;"⚠"),MID($AD149,FIND(" ",$AD149)+1,60),IF($F149="","",IF($F149="인턴","수련교육부(인턴)",$F149)))))</f>
        <v/>
      </c>
      <c r="P149" s="10">
        <f>IF($B149="","",IF($AK149&lt;&gt;"",IF(AND(TODAY()&gt;=INDEX(입력_파견수련계획!$AB$4:$AB$803,$AK149),OR(NOT(ISNUMBER(INDEX(입력_파견수련계획!$AC$4:$AC$803,$AK149))),TODAY()&lt;=INDEX(입력_파견수련계획!$AC$4:$AC$803,$AK149))),"다기관",IF($AF149="","",INDEX(입력_파견수련계획!$T$4:$T$803,$AF149))),IF($AF149="","",INDEX(입력_파견수련계획!$T$4:$T$803,$AF149))))</f>
        <v/>
      </c>
      <c r="Q149" s="10">
        <f>IF($AF149="","",INDEX(입력_파견수련계획!$S$4:$S$803,$AF149))</f>
        <v/>
      </c>
      <c r="R149" s="10">
        <f>IF($AF149="","",INDEX(입력_파견수련계획!$U$4:$U$803,$AF149))</f>
        <v/>
      </c>
      <c r="S149" s="11">
        <f>IF($AF149="","",IF(INDEX(입력_파견수련계획!$H$4:$H$803,$AF149)="","",INDEX(입력_파견수련계획!$H$4:$H$803,$AF149)))</f>
        <v/>
      </c>
      <c r="T149" s="11">
        <f>IF($AF149="","",IF(INDEX(입력_파견수련계획!$I$4:$I$803,$AF149)="","",INDEX(입력_파견수련계획!$I$4:$I$803,$AF149)))</f>
        <v/>
      </c>
      <c r="U149" s="10">
        <f>IF($AF149="","",INDEX(입력_파견수련계획!$X$4:$X$803,$AF149))</f>
        <v/>
      </c>
      <c r="V149" s="17">
        <f>IF($AF149="","",INDEX(입력_파견수련계획!$V$4:$V$803,$AF149))</f>
        <v/>
      </c>
      <c r="W149" s="17">
        <f>IF(AND($U149="파견중",$T149&lt;&gt;""),$T149-TODAY(),"")</f>
        <v/>
      </c>
      <c r="X149" s="17">
        <f>IF(OR($B149="",TRIM($J149&amp;"")=""),"",SUMPRODUCT((입력_파견수련계획!$Q$4:$Q$803=TRIM($J149&amp;""))*입력_파견수련계획!$W$4:$W$803))</f>
        <v/>
      </c>
      <c r="Y149" s="10">
        <f>IF($B149="","",IF($AG149="","",IF(IF(TRIM($J149&amp;"")="",0,SUMPRODUCT((입력_파견수련계획!$Q$4:$Q$803=TRIM($J149&amp;""))*입력_파견수련계획!$AD$4:$AD$803))&gt;0,$AE149,IF(AND(N($X149)&lt;=0,$AQ149=""),$AG149,IF($AH149+$AI149=DAY(EOMONTH(출력_요약!$B$3,0)),IF(AND($AH149&gt;=출력_요약!$E$3,$AI149&lt;출력_요약!$E$3),"서울병원",IF(AND($AI149&gt;=출력_요약!$E$3,$AH149&lt;출력_요약!$E$3),"구리병원","⚠15일 판정불가(서울 "&amp;$AH149&amp;"일/구리 "&amp;$AI149&amp;"일)")),IF($AJ149="",$AE149,IF(INDEX(입력_파견수련계획!$T$4:$T$803,$AJ149)="통합수련",INDEX(입력_파견수련계획!$S$4:$S$803,$AJ149),$AE149)))))))</f>
        <v/>
      </c>
      <c r="Z149" s="20">
        <f>IF($B149="","",IF($AB149="","기본자료에 없는 사번",IF(COUNTIF($B$2:$B$401,$B149)&gt;1,"중복 사번",IF($AE149="","소속(입사장소) 입력",IF(IF(TRIM($J149&amp;"")="",0,SUMPRODUCT((입력_파견수련계획!$Q$4:$Q$803=TRIM($J149&amp;""))*(입력_파견수련계획!$AA$4:$AA$803&lt;&gt;"")))&gt;0,"파견수련계획 입력오류 확인",IF(LEFT($Y149,1)="⚠","서울·구리 15일 판정 불가(양쪽 모두 이상/미만)",IF(IF($AC149="",0,N(INDEX(입력_인턴근무계획!$T$3:$T$402,$AC149)))&gt;0,"인턴계획 입력오류 확인",IF(AND($AQ149&lt;&gt;"",$AG149&lt;&gt;"구리병원",IF(TRIM($J149&amp;"")="",0,SUMPRODUCT((입력_파견수련계획!$Q$4:$Q$803=TRIM($J149&amp;""))*(입력_파견수련계획!$S$4:$S$803="구리병원")*입력_파견수련계획!$W$4:$W$803))=0),"구리 근무자명단에만 있음(파견수련계획 확인)",IF(AND($AC149&lt;&gt;"",$U149&lt;&gt;"파견중",$N149&lt;&gt;$AE149),"인턴 타지역 근무: 파견 여부 확인","정상")))))))))</f>
        <v/>
      </c>
      <c r="AA149" s="5" t="n"/>
      <c r="AB149" s="10">
        <f>IF($B149="","",IFERROR(MATCH($B149,입력_기본자료!$B$2:$B$1001,0),IFERROR(MATCH($B149&amp;"",입력_기본자료!$B$2:$B$1001,0),IFERROR(MATCH(VALUE($B149),입력_기본자료!$B$2:$B$1001,0),""))))</f>
        <v/>
      </c>
      <c r="AC149" s="10">
        <f>IF($B149="","",IFERROR(MATCH($B149,입력_인턴근무계획!$D$3:$D$402,0),IFERROR(MATCH($B149&amp;"",입력_인턴근무계획!$D$3:$D$402,0),IFERROR(MATCH(VALUE($B149),입력_인턴근무계획!$D$3:$D$402,0),""))))</f>
        <v/>
      </c>
      <c r="AD149" s="10">
        <f>IF(OR($AC149="",출력_인턴현황!$G$3=""),"",INDEX(입력_인턴근무계획!$M$3:$R$402,$AC149,출력_인턴현황!$G$3)&amp;"")</f>
        <v/>
      </c>
      <c r="AE149" s="10">
        <f>IF($B149="","",IF($M149&lt;&gt;"",$M149,IF(IF($AQ149="",FALSE,INDEX(출력_구리근무자!$J$6:$J$305,$AQ149)="구리독자"),"구리병원",IF($AF149&lt;&gt;"",IF(LEFT(INDEX(입력_파견수련계획!$R$4:$R$803,$AF149),1)&lt;&gt;"⚠",INDEX(입력_파견수련계획!$R$4:$R$803,$AF149),IF($H149="","",IF(RIGHT($H149,2)="병원",$H149,$H149&amp;"병원"))),IF($H149="","",IF(RIGHT($H149,2)="병원",$H149,$H149&amp;"병원"))))))</f>
        <v/>
      </c>
      <c r="AF149" s="10">
        <f>IF(OR($B149="",TRIM($J149&amp;"")=""),"",IFERROR(MATCH(TRIM($J149&amp;"")&amp;"|파견중",입력_파견수련계획!$Y$4:$Y$803,0),IFERROR(MATCH(TRIM($J149&amp;"")&amp;"|파견예정",입력_파견수련계획!$Y$4:$Y$803,0),IFERROR(MATCH(TRIM($J149&amp;"")&amp;"|파견종료",입력_파견수련계획!$Y$4:$Y$803,0),""))))</f>
        <v/>
      </c>
      <c r="AG149" s="10">
        <f>IF($B149="","",IF(AND(IF(OR($AC149="",출력_인턴현황!$K$2=""),"",INDEX(입력_인턴근무계획!$M$3:$R$402,$AC149,출력_인턴현황!$K$2)&amp;"")&lt;&gt;"",LEFT(IF(OR($AC149="",출력_인턴현황!$K$2=""),"",INDEX(입력_인턴근무계획!$M$3:$R$402,$AC149,출력_인턴현황!$K$2)&amp;""),1)&lt;&gt;"⚠"),LEFT(IF(OR($AC149="",출력_인턴현황!$K$2=""),"",INDEX(입력_인턴근무계획!$M$3:$R$402,$AC149,출력_인턴현황!$K$2)&amp;""),FIND(" ",IF(OR($AC149="",출력_인턴현황!$K$2=""),"",INDEX(입력_인턴근무계획!$M$3:$R$402,$AC149,출력_인턴현황!$K$2)&amp;""))-1),$AE149))</f>
        <v/>
      </c>
      <c r="AH149" s="17">
        <f>IF($B149="","",IF($AQ149&lt;&gt;"",MAX(0,DAY(EOMONTH(출력_요약!$B$3,0))-N($AR149)),IF(TRIM($J149&amp;"")="",0,SUMPRODUCT((입력_파견수련계획!$Q$4:$Q$803=TRIM($J149&amp;""))*(입력_파견수련계획!$S$4:$S$803="서울병원")*입력_파견수련계획!$W$4:$W$803))+IF($AG149="서울병원",MAX(0,DAY(EOMONTH(출력_요약!$B$3,0))-N($X149)),0)))</f>
        <v/>
      </c>
      <c r="AI149" s="17">
        <f>IF($B149="","",IF($AQ149&lt;&gt;"",N($AR149),IF(TRIM($J149&amp;"")="",0,SUMPRODUCT((입력_파견수련계획!$Q$4:$Q$803=TRIM($J149&amp;""))*(입력_파견수련계획!$S$4:$S$803="구리병원")*입력_파견수련계획!$W$4:$W$803))+IF($AG149="구리병원",MAX(0,DAY(EOMONTH(출력_요약!$B$3,0))-N($X149)),0)))</f>
        <v/>
      </c>
      <c r="AJ149" s="10">
        <f>IF(OR($B149="",TRIM($J149&amp;"")=""),"",IFERROR(MATCH(TRIM($J149&amp;"")&amp;"|월",입력_파견수련계획!$Z$4:$Z$803,0),""))</f>
        <v/>
      </c>
      <c r="AK149" s="10">
        <f>IF(OR($B149="",TRIM($J149&amp;"")=""),"",IFERROR(MATCH(TRIM($J149&amp;"")&amp;"|다기관",입력_파견수련계획!$AE$4:$AE$803,0),""))</f>
        <v/>
      </c>
      <c r="AL149" s="10">
        <f>IF($AK149="","","다기관 "&amp;TEXT(INDEX(입력_파견수련계획!$AB$4:$AB$803,$AK149),"yyyy-mm-dd")&amp;"~"&amp;IF(ISNUMBER(INDEX(입력_파견수련계획!$AC$4:$AC$803,$AK149)),TEXT(INDEX(입력_파견수련계획!$AC$4:$AC$803,$AK149),"yyyy-mm-dd"),""))</f>
        <v/>
      </c>
      <c r="AM149" s="10">
        <f>IF($Y149="서울병원",COUNTIF($Y$2:$Y149,"서울병원"),"")</f>
        <v/>
      </c>
      <c r="AN149" s="10">
        <f>IF(LEFT($Y149,1)="⚠",COUNTIF($Y$2:$Y149,"⚠*"),"")</f>
        <v/>
      </c>
      <c r="AO149" s="10">
        <f>IF(OR($B149="",$Y149=""),"",IF(IF(TRIM($J149&amp;"")="",0,SUMPRODUCT((입력_파견수련계획!$Q$4:$Q$803=TRIM($J149&amp;""))*입력_파견수련계획!$AD$4:$AD$803))&gt;0,"다기관 기간 → 소속병원 지급",IF(AND(N($X149)&lt;=0,$AQ149=""),"파견 없음 → 그 달 근무병원 지급",IF($AH149+$AI149=DAY(EOMONTH(출력_요약!$B$3,0)),"서울 "&amp;$AH149&amp;"일 / 구리 "&amp;$AI149&amp;"일"&amp;IF($AQ149&lt;&gt;""," (구리 근무자명단 반영)","")&amp;" → 15일 이상 근무 병원 지급","타 병원 포함 → "&amp;IF($AJ149="","소속",INDEX(입력_파견수련계획!$T$4:$T$803,$AJ149))&amp;" 규칙"))))</f>
        <v/>
      </c>
      <c r="AP149" s="10">
        <f>IF($B149="","",$C149&amp;"|"&amp;$F149)</f>
        <v/>
      </c>
      <c r="AQ149" s="10">
        <f>IF($B149="","",IFERROR(MATCH(ROW()-1,출력_구리근무자!$K$6:$K$305,0),""))</f>
        <v/>
      </c>
      <c r="AR149" s="10">
        <f>IF($AQ149="","",INDEX(출력_구리근무자!$H$6:$H$305,$AQ149))</f>
        <v/>
      </c>
    </row>
    <row r="150">
      <c r="A150" s="10">
        <f>IF(B150="","",ROW()-1)</f>
        <v/>
      </c>
      <c r="B150" s="19" t="n"/>
      <c r="C150" s="10">
        <f>IF($AB150="","",IF(INDEX(입력_기본자료!$C$2:$C$1001,$AB150)="","",INDEX(입력_기본자료!$C$2:$C$1001,$AB150)))</f>
        <v/>
      </c>
      <c r="D150" s="10">
        <f>IF($AB150="","",IF(INDEX(입력_기본자료!$J$2:$J$1001,$AB150)="","",INDEX(입력_기본자료!$J$2:$J$1001,$AB150)))</f>
        <v/>
      </c>
      <c r="E150" s="11">
        <f>IF($AB150="","",IF(INDEX(입력_기본자료!$K$2:$K$1001,$AB150)="","",IF(NOT(ISNUMBER(INDEX(입력_기본자료!$K$2:$K$1001,$AB150))),INDEX(입력_기본자료!$K$2:$K$1001,$AB150),IF(INDEX(입력_기본자료!$K$2:$K$1001,$AB150)&lt;1000000,INDEX(입력_기본자료!$K$2:$K$1001,$AB150),IF(AND(INDEX(입력_기본자료!$K$2:$K$1001,$AB150)&gt;=10000101,INT(MOD(INDEX(입력_기본자료!$K$2:$K$1001,$AB150),10000)/100)&gt;=1,INT(MOD(INDEX(입력_기본자료!$K$2:$K$1001,$AB150),10000)/100)&lt;=12,MOD(INDEX(입력_기본자료!$K$2:$K$1001,$AB150),100)&gt;=1,MOD(INDEX(입력_기본자료!$K$2:$K$1001,$AB150),100)&lt;=31),DATE(INT(INDEX(입력_기본자료!$K$2:$K$1001,$AB150)/10000),INT(MOD(INDEX(입력_기본자료!$K$2:$K$1001,$AB150),10000)/100),MOD(INDEX(입력_기본자료!$K$2:$K$1001,$AB150),100)),INDEX(입력_기본자료!$K$2:$K$1001,$AB150)&amp;"")))))</f>
        <v/>
      </c>
      <c r="F150" s="10">
        <f>IF($AB150="","",IF(INDEX(입력_기본자료!$D$2:$D$1001,$AB150)="","",INDEX(입력_기본자료!$D$2:$D$1001,$AB150)))</f>
        <v/>
      </c>
      <c r="G150" s="10">
        <f>IF($AB150="","",IF(INDEX(입력_기본자료!$E$2:$E$1001,$AB150)="","",INDEX(입력_기본자료!$E$2:$E$1001,$AB150)))</f>
        <v/>
      </c>
      <c r="H150" s="10">
        <f>IF($AB150="","",IF(INDEX(입력_기본자료!$F$2:$F$1001,$AB150)="","",INDEX(입력_기본자료!$F$2:$F$1001,$AB150)))</f>
        <v/>
      </c>
      <c r="I150" s="11">
        <f>IF($AB150="","",IF(INDEX(입력_기본자료!$G$2:$G$1001,$AB150)="","",IF(NOT(ISNUMBER(INDEX(입력_기본자료!$G$2:$G$1001,$AB150))),INDEX(입력_기본자료!$G$2:$G$1001,$AB150),IF(INDEX(입력_기본자료!$G$2:$G$1001,$AB150)&lt;1000000,INDEX(입력_기본자료!$G$2:$G$1001,$AB150),IF(AND(INDEX(입력_기본자료!$G$2:$G$1001,$AB150)&gt;=10000101,INT(MOD(INDEX(입력_기본자료!$G$2:$G$1001,$AB150),10000)/100)&gt;=1,INT(MOD(INDEX(입력_기본자료!$G$2:$G$1001,$AB150),10000)/100)&lt;=12,MOD(INDEX(입력_기본자료!$G$2:$G$1001,$AB150),100)&gt;=1,MOD(INDEX(입력_기본자료!$G$2:$G$1001,$AB150),100)&lt;=31),DATE(INT(INDEX(입력_기본자료!$G$2:$G$1001,$AB150)/10000),INT(MOD(INDEX(입력_기본자료!$G$2:$G$1001,$AB150),10000)/100),MOD(INDEX(입력_기본자료!$G$2:$G$1001,$AB150),100)),INDEX(입력_기본자료!$G$2:$G$1001,$AB150)&amp;"")))))</f>
        <v/>
      </c>
      <c r="J150" s="10">
        <f>IF($AB150="","",IF(INDEX(입력_기본자료!$H$2:$H$1001,$AB150)="","",INDEX(입력_기본자료!$H$2:$H$1001,$AB150)))</f>
        <v/>
      </c>
      <c r="K150" s="10">
        <f>IF($AB150="","",IF(INDEX(입력_기본자료!$I$2:$I$1001,$AB150)="","",INDEX(입력_기본자료!$I$2:$I$1001,$AB150)))</f>
        <v/>
      </c>
      <c r="L150" s="10">
        <f>IF($AB150="","",IF(INDEX(입력_기본자료!$A$2:$A$1001,$AB150)="","",INDEX(입력_기본자료!$A$2:$A$1001,$AB150)))</f>
        <v/>
      </c>
      <c r="M150" s="15" t="n"/>
      <c r="N150" s="10">
        <f>IF($B150="","",IF(AND($U150="파견중",$Q150&lt;&gt;""),$Q150,IF(AND($AD150&lt;&gt;"",LEFT($AD150,1)&lt;&gt;"⚠"),LEFT($AD150,FIND(" ",$AD150)-1),IF($H150="","",IF(RIGHT($H150,2)="병원",$H150,$H150&amp;"병원")))))</f>
        <v/>
      </c>
      <c r="O150" s="10">
        <f>IF($B150="","",IF(AND($U150="파견중",$Q150&lt;&gt;""),IF($R150&lt;&gt;"",$R150,"파견과 미입력"),IF(AND($AD150&lt;&gt;"",LEFT($AD150,1)&lt;&gt;"⚠"),MID($AD150,FIND(" ",$AD150)+1,60),IF($F150="","",IF($F150="인턴","수련교육부(인턴)",$F150)))))</f>
        <v/>
      </c>
      <c r="P150" s="10">
        <f>IF($B150="","",IF($AK150&lt;&gt;"",IF(AND(TODAY()&gt;=INDEX(입력_파견수련계획!$AB$4:$AB$803,$AK150),OR(NOT(ISNUMBER(INDEX(입력_파견수련계획!$AC$4:$AC$803,$AK150))),TODAY()&lt;=INDEX(입력_파견수련계획!$AC$4:$AC$803,$AK150))),"다기관",IF($AF150="","",INDEX(입력_파견수련계획!$T$4:$T$803,$AF150))),IF($AF150="","",INDEX(입력_파견수련계획!$T$4:$T$803,$AF150))))</f>
        <v/>
      </c>
      <c r="Q150" s="10">
        <f>IF($AF150="","",INDEX(입력_파견수련계획!$S$4:$S$803,$AF150))</f>
        <v/>
      </c>
      <c r="R150" s="10">
        <f>IF($AF150="","",INDEX(입력_파견수련계획!$U$4:$U$803,$AF150))</f>
        <v/>
      </c>
      <c r="S150" s="11">
        <f>IF($AF150="","",IF(INDEX(입력_파견수련계획!$H$4:$H$803,$AF150)="","",INDEX(입력_파견수련계획!$H$4:$H$803,$AF150)))</f>
        <v/>
      </c>
      <c r="T150" s="11">
        <f>IF($AF150="","",IF(INDEX(입력_파견수련계획!$I$4:$I$803,$AF150)="","",INDEX(입력_파견수련계획!$I$4:$I$803,$AF150)))</f>
        <v/>
      </c>
      <c r="U150" s="10">
        <f>IF($AF150="","",INDEX(입력_파견수련계획!$X$4:$X$803,$AF150))</f>
        <v/>
      </c>
      <c r="V150" s="17">
        <f>IF($AF150="","",INDEX(입력_파견수련계획!$V$4:$V$803,$AF150))</f>
        <v/>
      </c>
      <c r="W150" s="17">
        <f>IF(AND($U150="파견중",$T150&lt;&gt;""),$T150-TODAY(),"")</f>
        <v/>
      </c>
      <c r="X150" s="17">
        <f>IF(OR($B150="",TRIM($J150&amp;"")=""),"",SUMPRODUCT((입력_파견수련계획!$Q$4:$Q$803=TRIM($J150&amp;""))*입력_파견수련계획!$W$4:$W$803))</f>
        <v/>
      </c>
      <c r="Y150" s="10">
        <f>IF($B150="","",IF($AG150="","",IF(IF(TRIM($J150&amp;"")="",0,SUMPRODUCT((입력_파견수련계획!$Q$4:$Q$803=TRIM($J150&amp;""))*입력_파견수련계획!$AD$4:$AD$803))&gt;0,$AE150,IF(AND(N($X150)&lt;=0,$AQ150=""),$AG150,IF($AH150+$AI150=DAY(EOMONTH(출력_요약!$B$3,0)),IF(AND($AH150&gt;=출력_요약!$E$3,$AI150&lt;출력_요약!$E$3),"서울병원",IF(AND($AI150&gt;=출력_요약!$E$3,$AH150&lt;출력_요약!$E$3),"구리병원","⚠15일 판정불가(서울 "&amp;$AH150&amp;"일/구리 "&amp;$AI150&amp;"일)")),IF($AJ150="",$AE150,IF(INDEX(입력_파견수련계획!$T$4:$T$803,$AJ150)="통합수련",INDEX(입력_파견수련계획!$S$4:$S$803,$AJ150),$AE150)))))))</f>
        <v/>
      </c>
      <c r="Z150" s="20">
        <f>IF($B150="","",IF($AB150="","기본자료에 없는 사번",IF(COUNTIF($B$2:$B$401,$B150)&gt;1,"중복 사번",IF($AE150="","소속(입사장소) 입력",IF(IF(TRIM($J150&amp;"")="",0,SUMPRODUCT((입력_파견수련계획!$Q$4:$Q$803=TRIM($J150&amp;""))*(입력_파견수련계획!$AA$4:$AA$803&lt;&gt;"")))&gt;0,"파견수련계획 입력오류 확인",IF(LEFT($Y150,1)="⚠","서울·구리 15일 판정 불가(양쪽 모두 이상/미만)",IF(IF($AC150="",0,N(INDEX(입력_인턴근무계획!$T$3:$T$402,$AC150)))&gt;0,"인턴계획 입력오류 확인",IF(AND($AQ150&lt;&gt;"",$AG150&lt;&gt;"구리병원",IF(TRIM($J150&amp;"")="",0,SUMPRODUCT((입력_파견수련계획!$Q$4:$Q$803=TRIM($J150&amp;""))*(입력_파견수련계획!$S$4:$S$803="구리병원")*입력_파견수련계획!$W$4:$W$803))=0),"구리 근무자명단에만 있음(파견수련계획 확인)",IF(AND($AC150&lt;&gt;"",$U150&lt;&gt;"파견중",$N150&lt;&gt;$AE150),"인턴 타지역 근무: 파견 여부 확인","정상")))))))))</f>
        <v/>
      </c>
      <c r="AA150" s="5" t="n"/>
      <c r="AB150" s="10">
        <f>IF($B150="","",IFERROR(MATCH($B150,입력_기본자료!$B$2:$B$1001,0),IFERROR(MATCH($B150&amp;"",입력_기본자료!$B$2:$B$1001,0),IFERROR(MATCH(VALUE($B150),입력_기본자료!$B$2:$B$1001,0),""))))</f>
        <v/>
      </c>
      <c r="AC150" s="10">
        <f>IF($B150="","",IFERROR(MATCH($B150,입력_인턴근무계획!$D$3:$D$402,0),IFERROR(MATCH($B150&amp;"",입력_인턴근무계획!$D$3:$D$402,0),IFERROR(MATCH(VALUE($B150),입력_인턴근무계획!$D$3:$D$402,0),""))))</f>
        <v/>
      </c>
      <c r="AD150" s="10">
        <f>IF(OR($AC150="",출력_인턴현황!$G$3=""),"",INDEX(입력_인턴근무계획!$M$3:$R$402,$AC150,출력_인턴현황!$G$3)&amp;"")</f>
        <v/>
      </c>
      <c r="AE150" s="10">
        <f>IF($B150="","",IF($M150&lt;&gt;"",$M150,IF(IF($AQ150="",FALSE,INDEX(출력_구리근무자!$J$6:$J$305,$AQ150)="구리독자"),"구리병원",IF($AF150&lt;&gt;"",IF(LEFT(INDEX(입력_파견수련계획!$R$4:$R$803,$AF150),1)&lt;&gt;"⚠",INDEX(입력_파견수련계획!$R$4:$R$803,$AF150),IF($H150="","",IF(RIGHT($H150,2)="병원",$H150,$H150&amp;"병원"))),IF($H150="","",IF(RIGHT($H150,2)="병원",$H150,$H150&amp;"병원"))))))</f>
        <v/>
      </c>
      <c r="AF150" s="10">
        <f>IF(OR($B150="",TRIM($J150&amp;"")=""),"",IFERROR(MATCH(TRIM($J150&amp;"")&amp;"|파견중",입력_파견수련계획!$Y$4:$Y$803,0),IFERROR(MATCH(TRIM($J150&amp;"")&amp;"|파견예정",입력_파견수련계획!$Y$4:$Y$803,0),IFERROR(MATCH(TRIM($J150&amp;"")&amp;"|파견종료",입력_파견수련계획!$Y$4:$Y$803,0),""))))</f>
        <v/>
      </c>
      <c r="AG150" s="10">
        <f>IF($B150="","",IF(AND(IF(OR($AC150="",출력_인턴현황!$K$2=""),"",INDEX(입력_인턴근무계획!$M$3:$R$402,$AC150,출력_인턴현황!$K$2)&amp;"")&lt;&gt;"",LEFT(IF(OR($AC150="",출력_인턴현황!$K$2=""),"",INDEX(입력_인턴근무계획!$M$3:$R$402,$AC150,출력_인턴현황!$K$2)&amp;""),1)&lt;&gt;"⚠"),LEFT(IF(OR($AC150="",출력_인턴현황!$K$2=""),"",INDEX(입력_인턴근무계획!$M$3:$R$402,$AC150,출력_인턴현황!$K$2)&amp;""),FIND(" ",IF(OR($AC150="",출력_인턴현황!$K$2=""),"",INDEX(입력_인턴근무계획!$M$3:$R$402,$AC150,출력_인턴현황!$K$2)&amp;""))-1),$AE150))</f>
        <v/>
      </c>
      <c r="AH150" s="17">
        <f>IF($B150="","",IF($AQ150&lt;&gt;"",MAX(0,DAY(EOMONTH(출력_요약!$B$3,0))-N($AR150)),IF(TRIM($J150&amp;"")="",0,SUMPRODUCT((입력_파견수련계획!$Q$4:$Q$803=TRIM($J150&amp;""))*(입력_파견수련계획!$S$4:$S$803="서울병원")*입력_파견수련계획!$W$4:$W$803))+IF($AG150="서울병원",MAX(0,DAY(EOMONTH(출력_요약!$B$3,0))-N($X150)),0)))</f>
        <v/>
      </c>
      <c r="AI150" s="17">
        <f>IF($B150="","",IF($AQ150&lt;&gt;"",N($AR150),IF(TRIM($J150&amp;"")="",0,SUMPRODUCT((입력_파견수련계획!$Q$4:$Q$803=TRIM($J150&amp;""))*(입력_파견수련계획!$S$4:$S$803="구리병원")*입력_파견수련계획!$W$4:$W$803))+IF($AG150="구리병원",MAX(0,DAY(EOMONTH(출력_요약!$B$3,0))-N($X150)),0)))</f>
        <v/>
      </c>
      <c r="AJ150" s="10">
        <f>IF(OR($B150="",TRIM($J150&amp;"")=""),"",IFERROR(MATCH(TRIM($J150&amp;"")&amp;"|월",입력_파견수련계획!$Z$4:$Z$803,0),""))</f>
        <v/>
      </c>
      <c r="AK150" s="10">
        <f>IF(OR($B150="",TRIM($J150&amp;"")=""),"",IFERROR(MATCH(TRIM($J150&amp;"")&amp;"|다기관",입력_파견수련계획!$AE$4:$AE$803,0),""))</f>
        <v/>
      </c>
      <c r="AL150" s="10">
        <f>IF($AK150="","","다기관 "&amp;TEXT(INDEX(입력_파견수련계획!$AB$4:$AB$803,$AK150),"yyyy-mm-dd")&amp;"~"&amp;IF(ISNUMBER(INDEX(입력_파견수련계획!$AC$4:$AC$803,$AK150)),TEXT(INDEX(입력_파견수련계획!$AC$4:$AC$803,$AK150),"yyyy-mm-dd"),""))</f>
        <v/>
      </c>
      <c r="AM150" s="10">
        <f>IF($Y150="서울병원",COUNTIF($Y$2:$Y150,"서울병원"),"")</f>
        <v/>
      </c>
      <c r="AN150" s="10">
        <f>IF(LEFT($Y150,1)="⚠",COUNTIF($Y$2:$Y150,"⚠*"),"")</f>
        <v/>
      </c>
      <c r="AO150" s="10">
        <f>IF(OR($B150="",$Y150=""),"",IF(IF(TRIM($J150&amp;"")="",0,SUMPRODUCT((입력_파견수련계획!$Q$4:$Q$803=TRIM($J150&amp;""))*입력_파견수련계획!$AD$4:$AD$803))&gt;0,"다기관 기간 → 소속병원 지급",IF(AND(N($X150)&lt;=0,$AQ150=""),"파견 없음 → 그 달 근무병원 지급",IF($AH150+$AI150=DAY(EOMONTH(출력_요약!$B$3,0)),"서울 "&amp;$AH150&amp;"일 / 구리 "&amp;$AI150&amp;"일"&amp;IF($AQ150&lt;&gt;""," (구리 근무자명단 반영)","")&amp;" → 15일 이상 근무 병원 지급","타 병원 포함 → "&amp;IF($AJ150="","소속",INDEX(입력_파견수련계획!$T$4:$T$803,$AJ150))&amp;" 규칙"))))</f>
        <v/>
      </c>
      <c r="AP150" s="10">
        <f>IF($B150="","",$C150&amp;"|"&amp;$F150)</f>
        <v/>
      </c>
      <c r="AQ150" s="10">
        <f>IF($B150="","",IFERROR(MATCH(ROW()-1,출력_구리근무자!$K$6:$K$305,0),""))</f>
        <v/>
      </c>
      <c r="AR150" s="10">
        <f>IF($AQ150="","",INDEX(출력_구리근무자!$H$6:$H$305,$AQ150))</f>
        <v/>
      </c>
    </row>
    <row r="151">
      <c r="A151" s="10">
        <f>IF(B151="","",ROW()-1)</f>
        <v/>
      </c>
      <c r="B151" s="19" t="n"/>
      <c r="C151" s="10">
        <f>IF($AB151="","",IF(INDEX(입력_기본자료!$C$2:$C$1001,$AB151)="","",INDEX(입력_기본자료!$C$2:$C$1001,$AB151)))</f>
        <v/>
      </c>
      <c r="D151" s="10">
        <f>IF($AB151="","",IF(INDEX(입력_기본자료!$J$2:$J$1001,$AB151)="","",INDEX(입력_기본자료!$J$2:$J$1001,$AB151)))</f>
        <v/>
      </c>
      <c r="E151" s="11">
        <f>IF($AB151="","",IF(INDEX(입력_기본자료!$K$2:$K$1001,$AB151)="","",IF(NOT(ISNUMBER(INDEX(입력_기본자료!$K$2:$K$1001,$AB151))),INDEX(입력_기본자료!$K$2:$K$1001,$AB151),IF(INDEX(입력_기본자료!$K$2:$K$1001,$AB151)&lt;1000000,INDEX(입력_기본자료!$K$2:$K$1001,$AB151),IF(AND(INDEX(입력_기본자료!$K$2:$K$1001,$AB151)&gt;=10000101,INT(MOD(INDEX(입력_기본자료!$K$2:$K$1001,$AB151),10000)/100)&gt;=1,INT(MOD(INDEX(입력_기본자료!$K$2:$K$1001,$AB151),10000)/100)&lt;=12,MOD(INDEX(입력_기본자료!$K$2:$K$1001,$AB151),100)&gt;=1,MOD(INDEX(입력_기본자료!$K$2:$K$1001,$AB151),100)&lt;=31),DATE(INT(INDEX(입력_기본자료!$K$2:$K$1001,$AB151)/10000),INT(MOD(INDEX(입력_기본자료!$K$2:$K$1001,$AB151),10000)/100),MOD(INDEX(입력_기본자료!$K$2:$K$1001,$AB151),100)),INDEX(입력_기본자료!$K$2:$K$1001,$AB151)&amp;"")))))</f>
        <v/>
      </c>
      <c r="F151" s="10">
        <f>IF($AB151="","",IF(INDEX(입력_기본자료!$D$2:$D$1001,$AB151)="","",INDEX(입력_기본자료!$D$2:$D$1001,$AB151)))</f>
        <v/>
      </c>
      <c r="G151" s="10">
        <f>IF($AB151="","",IF(INDEX(입력_기본자료!$E$2:$E$1001,$AB151)="","",INDEX(입력_기본자료!$E$2:$E$1001,$AB151)))</f>
        <v/>
      </c>
      <c r="H151" s="10">
        <f>IF($AB151="","",IF(INDEX(입력_기본자료!$F$2:$F$1001,$AB151)="","",INDEX(입력_기본자료!$F$2:$F$1001,$AB151)))</f>
        <v/>
      </c>
      <c r="I151" s="11">
        <f>IF($AB151="","",IF(INDEX(입력_기본자료!$G$2:$G$1001,$AB151)="","",IF(NOT(ISNUMBER(INDEX(입력_기본자료!$G$2:$G$1001,$AB151))),INDEX(입력_기본자료!$G$2:$G$1001,$AB151),IF(INDEX(입력_기본자료!$G$2:$G$1001,$AB151)&lt;1000000,INDEX(입력_기본자료!$G$2:$G$1001,$AB151),IF(AND(INDEX(입력_기본자료!$G$2:$G$1001,$AB151)&gt;=10000101,INT(MOD(INDEX(입력_기본자료!$G$2:$G$1001,$AB151),10000)/100)&gt;=1,INT(MOD(INDEX(입력_기본자료!$G$2:$G$1001,$AB151),10000)/100)&lt;=12,MOD(INDEX(입력_기본자료!$G$2:$G$1001,$AB151),100)&gt;=1,MOD(INDEX(입력_기본자료!$G$2:$G$1001,$AB151),100)&lt;=31),DATE(INT(INDEX(입력_기본자료!$G$2:$G$1001,$AB151)/10000),INT(MOD(INDEX(입력_기본자료!$G$2:$G$1001,$AB151),10000)/100),MOD(INDEX(입력_기본자료!$G$2:$G$1001,$AB151),100)),INDEX(입력_기본자료!$G$2:$G$1001,$AB151)&amp;"")))))</f>
        <v/>
      </c>
      <c r="J151" s="10">
        <f>IF($AB151="","",IF(INDEX(입력_기본자료!$H$2:$H$1001,$AB151)="","",INDEX(입력_기본자료!$H$2:$H$1001,$AB151)))</f>
        <v/>
      </c>
      <c r="K151" s="10">
        <f>IF($AB151="","",IF(INDEX(입력_기본자료!$I$2:$I$1001,$AB151)="","",INDEX(입력_기본자료!$I$2:$I$1001,$AB151)))</f>
        <v/>
      </c>
      <c r="L151" s="10">
        <f>IF($AB151="","",IF(INDEX(입력_기본자료!$A$2:$A$1001,$AB151)="","",INDEX(입력_기본자료!$A$2:$A$1001,$AB151)))</f>
        <v/>
      </c>
      <c r="M151" s="15" t="n"/>
      <c r="N151" s="10">
        <f>IF($B151="","",IF(AND($U151="파견중",$Q151&lt;&gt;""),$Q151,IF(AND($AD151&lt;&gt;"",LEFT($AD151,1)&lt;&gt;"⚠"),LEFT($AD151,FIND(" ",$AD151)-1),IF($H151="","",IF(RIGHT($H151,2)="병원",$H151,$H151&amp;"병원")))))</f>
        <v/>
      </c>
      <c r="O151" s="10">
        <f>IF($B151="","",IF(AND($U151="파견중",$Q151&lt;&gt;""),IF($R151&lt;&gt;"",$R151,"파견과 미입력"),IF(AND($AD151&lt;&gt;"",LEFT($AD151,1)&lt;&gt;"⚠"),MID($AD151,FIND(" ",$AD151)+1,60),IF($F151="","",IF($F151="인턴","수련교육부(인턴)",$F151)))))</f>
        <v/>
      </c>
      <c r="P151" s="10">
        <f>IF($B151="","",IF($AK151&lt;&gt;"",IF(AND(TODAY()&gt;=INDEX(입력_파견수련계획!$AB$4:$AB$803,$AK151),OR(NOT(ISNUMBER(INDEX(입력_파견수련계획!$AC$4:$AC$803,$AK151))),TODAY()&lt;=INDEX(입력_파견수련계획!$AC$4:$AC$803,$AK151))),"다기관",IF($AF151="","",INDEX(입력_파견수련계획!$T$4:$T$803,$AF151))),IF($AF151="","",INDEX(입력_파견수련계획!$T$4:$T$803,$AF151))))</f>
        <v/>
      </c>
      <c r="Q151" s="10">
        <f>IF($AF151="","",INDEX(입력_파견수련계획!$S$4:$S$803,$AF151))</f>
        <v/>
      </c>
      <c r="R151" s="10">
        <f>IF($AF151="","",INDEX(입력_파견수련계획!$U$4:$U$803,$AF151))</f>
        <v/>
      </c>
      <c r="S151" s="11">
        <f>IF($AF151="","",IF(INDEX(입력_파견수련계획!$H$4:$H$803,$AF151)="","",INDEX(입력_파견수련계획!$H$4:$H$803,$AF151)))</f>
        <v/>
      </c>
      <c r="T151" s="11">
        <f>IF($AF151="","",IF(INDEX(입력_파견수련계획!$I$4:$I$803,$AF151)="","",INDEX(입력_파견수련계획!$I$4:$I$803,$AF151)))</f>
        <v/>
      </c>
      <c r="U151" s="10">
        <f>IF($AF151="","",INDEX(입력_파견수련계획!$X$4:$X$803,$AF151))</f>
        <v/>
      </c>
      <c r="V151" s="17">
        <f>IF($AF151="","",INDEX(입력_파견수련계획!$V$4:$V$803,$AF151))</f>
        <v/>
      </c>
      <c r="W151" s="17">
        <f>IF(AND($U151="파견중",$T151&lt;&gt;""),$T151-TODAY(),"")</f>
        <v/>
      </c>
      <c r="X151" s="17">
        <f>IF(OR($B151="",TRIM($J151&amp;"")=""),"",SUMPRODUCT((입력_파견수련계획!$Q$4:$Q$803=TRIM($J151&amp;""))*입력_파견수련계획!$W$4:$W$803))</f>
        <v/>
      </c>
      <c r="Y151" s="10">
        <f>IF($B151="","",IF($AG151="","",IF(IF(TRIM($J151&amp;"")="",0,SUMPRODUCT((입력_파견수련계획!$Q$4:$Q$803=TRIM($J151&amp;""))*입력_파견수련계획!$AD$4:$AD$803))&gt;0,$AE151,IF(AND(N($X151)&lt;=0,$AQ151=""),$AG151,IF($AH151+$AI151=DAY(EOMONTH(출력_요약!$B$3,0)),IF(AND($AH151&gt;=출력_요약!$E$3,$AI151&lt;출력_요약!$E$3),"서울병원",IF(AND($AI151&gt;=출력_요약!$E$3,$AH151&lt;출력_요약!$E$3),"구리병원","⚠15일 판정불가(서울 "&amp;$AH151&amp;"일/구리 "&amp;$AI151&amp;"일)")),IF($AJ151="",$AE151,IF(INDEX(입력_파견수련계획!$T$4:$T$803,$AJ151)="통합수련",INDEX(입력_파견수련계획!$S$4:$S$803,$AJ151),$AE151)))))))</f>
        <v/>
      </c>
      <c r="Z151" s="20">
        <f>IF($B151="","",IF($AB151="","기본자료에 없는 사번",IF(COUNTIF($B$2:$B$401,$B151)&gt;1,"중복 사번",IF($AE151="","소속(입사장소) 입력",IF(IF(TRIM($J151&amp;"")="",0,SUMPRODUCT((입력_파견수련계획!$Q$4:$Q$803=TRIM($J151&amp;""))*(입력_파견수련계획!$AA$4:$AA$803&lt;&gt;"")))&gt;0,"파견수련계획 입력오류 확인",IF(LEFT($Y151,1)="⚠","서울·구리 15일 판정 불가(양쪽 모두 이상/미만)",IF(IF($AC151="",0,N(INDEX(입력_인턴근무계획!$T$3:$T$402,$AC151)))&gt;0,"인턴계획 입력오류 확인",IF(AND($AQ151&lt;&gt;"",$AG151&lt;&gt;"구리병원",IF(TRIM($J151&amp;"")="",0,SUMPRODUCT((입력_파견수련계획!$Q$4:$Q$803=TRIM($J151&amp;""))*(입력_파견수련계획!$S$4:$S$803="구리병원")*입력_파견수련계획!$W$4:$W$803))=0),"구리 근무자명단에만 있음(파견수련계획 확인)",IF(AND($AC151&lt;&gt;"",$U151&lt;&gt;"파견중",$N151&lt;&gt;$AE151),"인턴 타지역 근무: 파견 여부 확인","정상")))))))))</f>
        <v/>
      </c>
      <c r="AA151" s="5" t="n"/>
      <c r="AB151" s="10">
        <f>IF($B151="","",IFERROR(MATCH($B151,입력_기본자료!$B$2:$B$1001,0),IFERROR(MATCH($B151&amp;"",입력_기본자료!$B$2:$B$1001,0),IFERROR(MATCH(VALUE($B151),입력_기본자료!$B$2:$B$1001,0),""))))</f>
        <v/>
      </c>
      <c r="AC151" s="10">
        <f>IF($B151="","",IFERROR(MATCH($B151,입력_인턴근무계획!$D$3:$D$402,0),IFERROR(MATCH($B151&amp;"",입력_인턴근무계획!$D$3:$D$402,0),IFERROR(MATCH(VALUE($B151),입력_인턴근무계획!$D$3:$D$402,0),""))))</f>
        <v/>
      </c>
      <c r="AD151" s="10">
        <f>IF(OR($AC151="",출력_인턴현황!$G$3=""),"",INDEX(입력_인턴근무계획!$M$3:$R$402,$AC151,출력_인턴현황!$G$3)&amp;"")</f>
        <v/>
      </c>
      <c r="AE151" s="10">
        <f>IF($B151="","",IF($M151&lt;&gt;"",$M151,IF(IF($AQ151="",FALSE,INDEX(출력_구리근무자!$J$6:$J$305,$AQ151)="구리독자"),"구리병원",IF($AF151&lt;&gt;"",IF(LEFT(INDEX(입력_파견수련계획!$R$4:$R$803,$AF151),1)&lt;&gt;"⚠",INDEX(입력_파견수련계획!$R$4:$R$803,$AF151),IF($H151="","",IF(RIGHT($H151,2)="병원",$H151,$H151&amp;"병원"))),IF($H151="","",IF(RIGHT($H151,2)="병원",$H151,$H151&amp;"병원"))))))</f>
        <v/>
      </c>
      <c r="AF151" s="10">
        <f>IF(OR($B151="",TRIM($J151&amp;"")=""),"",IFERROR(MATCH(TRIM($J151&amp;"")&amp;"|파견중",입력_파견수련계획!$Y$4:$Y$803,0),IFERROR(MATCH(TRIM($J151&amp;"")&amp;"|파견예정",입력_파견수련계획!$Y$4:$Y$803,0),IFERROR(MATCH(TRIM($J151&amp;"")&amp;"|파견종료",입력_파견수련계획!$Y$4:$Y$803,0),""))))</f>
        <v/>
      </c>
      <c r="AG151" s="10">
        <f>IF($B151="","",IF(AND(IF(OR($AC151="",출력_인턴현황!$K$2=""),"",INDEX(입력_인턴근무계획!$M$3:$R$402,$AC151,출력_인턴현황!$K$2)&amp;"")&lt;&gt;"",LEFT(IF(OR($AC151="",출력_인턴현황!$K$2=""),"",INDEX(입력_인턴근무계획!$M$3:$R$402,$AC151,출력_인턴현황!$K$2)&amp;""),1)&lt;&gt;"⚠"),LEFT(IF(OR($AC151="",출력_인턴현황!$K$2=""),"",INDEX(입력_인턴근무계획!$M$3:$R$402,$AC151,출력_인턴현황!$K$2)&amp;""),FIND(" ",IF(OR($AC151="",출력_인턴현황!$K$2=""),"",INDEX(입력_인턴근무계획!$M$3:$R$402,$AC151,출력_인턴현황!$K$2)&amp;""))-1),$AE151))</f>
        <v/>
      </c>
      <c r="AH151" s="17">
        <f>IF($B151="","",IF($AQ151&lt;&gt;"",MAX(0,DAY(EOMONTH(출력_요약!$B$3,0))-N($AR151)),IF(TRIM($J151&amp;"")="",0,SUMPRODUCT((입력_파견수련계획!$Q$4:$Q$803=TRIM($J151&amp;""))*(입력_파견수련계획!$S$4:$S$803="서울병원")*입력_파견수련계획!$W$4:$W$803))+IF($AG151="서울병원",MAX(0,DAY(EOMONTH(출력_요약!$B$3,0))-N($X151)),0)))</f>
        <v/>
      </c>
      <c r="AI151" s="17">
        <f>IF($B151="","",IF($AQ151&lt;&gt;"",N($AR151),IF(TRIM($J151&amp;"")="",0,SUMPRODUCT((입력_파견수련계획!$Q$4:$Q$803=TRIM($J151&amp;""))*(입력_파견수련계획!$S$4:$S$803="구리병원")*입력_파견수련계획!$W$4:$W$803))+IF($AG151="구리병원",MAX(0,DAY(EOMONTH(출력_요약!$B$3,0))-N($X151)),0)))</f>
        <v/>
      </c>
      <c r="AJ151" s="10">
        <f>IF(OR($B151="",TRIM($J151&amp;"")=""),"",IFERROR(MATCH(TRIM($J151&amp;"")&amp;"|월",입력_파견수련계획!$Z$4:$Z$803,0),""))</f>
        <v/>
      </c>
      <c r="AK151" s="10">
        <f>IF(OR($B151="",TRIM($J151&amp;"")=""),"",IFERROR(MATCH(TRIM($J151&amp;"")&amp;"|다기관",입력_파견수련계획!$AE$4:$AE$803,0),""))</f>
        <v/>
      </c>
      <c r="AL151" s="10">
        <f>IF($AK151="","","다기관 "&amp;TEXT(INDEX(입력_파견수련계획!$AB$4:$AB$803,$AK151),"yyyy-mm-dd")&amp;"~"&amp;IF(ISNUMBER(INDEX(입력_파견수련계획!$AC$4:$AC$803,$AK151)),TEXT(INDEX(입력_파견수련계획!$AC$4:$AC$803,$AK151),"yyyy-mm-dd"),""))</f>
        <v/>
      </c>
      <c r="AM151" s="10">
        <f>IF($Y151="서울병원",COUNTIF($Y$2:$Y151,"서울병원"),"")</f>
        <v/>
      </c>
      <c r="AN151" s="10">
        <f>IF(LEFT($Y151,1)="⚠",COUNTIF($Y$2:$Y151,"⚠*"),"")</f>
        <v/>
      </c>
      <c r="AO151" s="10">
        <f>IF(OR($B151="",$Y151=""),"",IF(IF(TRIM($J151&amp;"")="",0,SUMPRODUCT((입력_파견수련계획!$Q$4:$Q$803=TRIM($J151&amp;""))*입력_파견수련계획!$AD$4:$AD$803))&gt;0,"다기관 기간 → 소속병원 지급",IF(AND(N($X151)&lt;=0,$AQ151=""),"파견 없음 → 그 달 근무병원 지급",IF($AH151+$AI151=DAY(EOMONTH(출력_요약!$B$3,0)),"서울 "&amp;$AH151&amp;"일 / 구리 "&amp;$AI151&amp;"일"&amp;IF($AQ151&lt;&gt;""," (구리 근무자명단 반영)","")&amp;" → 15일 이상 근무 병원 지급","타 병원 포함 → "&amp;IF($AJ151="","소속",INDEX(입력_파견수련계획!$T$4:$T$803,$AJ151))&amp;" 규칙"))))</f>
        <v/>
      </c>
      <c r="AP151" s="10">
        <f>IF($B151="","",$C151&amp;"|"&amp;$F151)</f>
        <v/>
      </c>
      <c r="AQ151" s="10">
        <f>IF($B151="","",IFERROR(MATCH(ROW()-1,출력_구리근무자!$K$6:$K$305,0),""))</f>
        <v/>
      </c>
      <c r="AR151" s="10">
        <f>IF($AQ151="","",INDEX(출력_구리근무자!$H$6:$H$305,$AQ151))</f>
        <v/>
      </c>
    </row>
    <row r="152">
      <c r="A152" s="10">
        <f>IF(B152="","",ROW()-1)</f>
        <v/>
      </c>
      <c r="B152" s="19" t="n"/>
      <c r="C152" s="10">
        <f>IF($AB152="","",IF(INDEX(입력_기본자료!$C$2:$C$1001,$AB152)="","",INDEX(입력_기본자료!$C$2:$C$1001,$AB152)))</f>
        <v/>
      </c>
      <c r="D152" s="10">
        <f>IF($AB152="","",IF(INDEX(입력_기본자료!$J$2:$J$1001,$AB152)="","",INDEX(입력_기본자료!$J$2:$J$1001,$AB152)))</f>
        <v/>
      </c>
      <c r="E152" s="11">
        <f>IF($AB152="","",IF(INDEX(입력_기본자료!$K$2:$K$1001,$AB152)="","",IF(NOT(ISNUMBER(INDEX(입력_기본자료!$K$2:$K$1001,$AB152))),INDEX(입력_기본자료!$K$2:$K$1001,$AB152),IF(INDEX(입력_기본자료!$K$2:$K$1001,$AB152)&lt;1000000,INDEX(입력_기본자료!$K$2:$K$1001,$AB152),IF(AND(INDEX(입력_기본자료!$K$2:$K$1001,$AB152)&gt;=10000101,INT(MOD(INDEX(입력_기본자료!$K$2:$K$1001,$AB152),10000)/100)&gt;=1,INT(MOD(INDEX(입력_기본자료!$K$2:$K$1001,$AB152),10000)/100)&lt;=12,MOD(INDEX(입력_기본자료!$K$2:$K$1001,$AB152),100)&gt;=1,MOD(INDEX(입력_기본자료!$K$2:$K$1001,$AB152),100)&lt;=31),DATE(INT(INDEX(입력_기본자료!$K$2:$K$1001,$AB152)/10000),INT(MOD(INDEX(입력_기본자료!$K$2:$K$1001,$AB152),10000)/100),MOD(INDEX(입력_기본자료!$K$2:$K$1001,$AB152),100)),INDEX(입력_기본자료!$K$2:$K$1001,$AB152)&amp;"")))))</f>
        <v/>
      </c>
      <c r="F152" s="10">
        <f>IF($AB152="","",IF(INDEX(입력_기본자료!$D$2:$D$1001,$AB152)="","",INDEX(입력_기본자료!$D$2:$D$1001,$AB152)))</f>
        <v/>
      </c>
      <c r="G152" s="10">
        <f>IF($AB152="","",IF(INDEX(입력_기본자료!$E$2:$E$1001,$AB152)="","",INDEX(입력_기본자료!$E$2:$E$1001,$AB152)))</f>
        <v/>
      </c>
      <c r="H152" s="10">
        <f>IF($AB152="","",IF(INDEX(입력_기본자료!$F$2:$F$1001,$AB152)="","",INDEX(입력_기본자료!$F$2:$F$1001,$AB152)))</f>
        <v/>
      </c>
      <c r="I152" s="11">
        <f>IF($AB152="","",IF(INDEX(입력_기본자료!$G$2:$G$1001,$AB152)="","",IF(NOT(ISNUMBER(INDEX(입력_기본자료!$G$2:$G$1001,$AB152))),INDEX(입력_기본자료!$G$2:$G$1001,$AB152),IF(INDEX(입력_기본자료!$G$2:$G$1001,$AB152)&lt;1000000,INDEX(입력_기본자료!$G$2:$G$1001,$AB152),IF(AND(INDEX(입력_기본자료!$G$2:$G$1001,$AB152)&gt;=10000101,INT(MOD(INDEX(입력_기본자료!$G$2:$G$1001,$AB152),10000)/100)&gt;=1,INT(MOD(INDEX(입력_기본자료!$G$2:$G$1001,$AB152),10000)/100)&lt;=12,MOD(INDEX(입력_기본자료!$G$2:$G$1001,$AB152),100)&gt;=1,MOD(INDEX(입력_기본자료!$G$2:$G$1001,$AB152),100)&lt;=31),DATE(INT(INDEX(입력_기본자료!$G$2:$G$1001,$AB152)/10000),INT(MOD(INDEX(입력_기본자료!$G$2:$G$1001,$AB152),10000)/100),MOD(INDEX(입력_기본자료!$G$2:$G$1001,$AB152),100)),INDEX(입력_기본자료!$G$2:$G$1001,$AB152)&amp;"")))))</f>
        <v/>
      </c>
      <c r="J152" s="10">
        <f>IF($AB152="","",IF(INDEX(입력_기본자료!$H$2:$H$1001,$AB152)="","",INDEX(입력_기본자료!$H$2:$H$1001,$AB152)))</f>
        <v/>
      </c>
      <c r="K152" s="10">
        <f>IF($AB152="","",IF(INDEX(입력_기본자료!$I$2:$I$1001,$AB152)="","",INDEX(입력_기본자료!$I$2:$I$1001,$AB152)))</f>
        <v/>
      </c>
      <c r="L152" s="10">
        <f>IF($AB152="","",IF(INDEX(입력_기본자료!$A$2:$A$1001,$AB152)="","",INDEX(입력_기본자료!$A$2:$A$1001,$AB152)))</f>
        <v/>
      </c>
      <c r="M152" s="15" t="n"/>
      <c r="N152" s="10">
        <f>IF($B152="","",IF(AND($U152="파견중",$Q152&lt;&gt;""),$Q152,IF(AND($AD152&lt;&gt;"",LEFT($AD152,1)&lt;&gt;"⚠"),LEFT($AD152,FIND(" ",$AD152)-1),IF($H152="","",IF(RIGHT($H152,2)="병원",$H152,$H152&amp;"병원")))))</f>
        <v/>
      </c>
      <c r="O152" s="10">
        <f>IF($B152="","",IF(AND($U152="파견중",$Q152&lt;&gt;""),IF($R152&lt;&gt;"",$R152,"파견과 미입력"),IF(AND($AD152&lt;&gt;"",LEFT($AD152,1)&lt;&gt;"⚠"),MID($AD152,FIND(" ",$AD152)+1,60),IF($F152="","",IF($F152="인턴","수련교육부(인턴)",$F152)))))</f>
        <v/>
      </c>
      <c r="P152" s="10">
        <f>IF($B152="","",IF($AK152&lt;&gt;"",IF(AND(TODAY()&gt;=INDEX(입력_파견수련계획!$AB$4:$AB$803,$AK152),OR(NOT(ISNUMBER(INDEX(입력_파견수련계획!$AC$4:$AC$803,$AK152))),TODAY()&lt;=INDEX(입력_파견수련계획!$AC$4:$AC$803,$AK152))),"다기관",IF($AF152="","",INDEX(입력_파견수련계획!$T$4:$T$803,$AF152))),IF($AF152="","",INDEX(입력_파견수련계획!$T$4:$T$803,$AF152))))</f>
        <v/>
      </c>
      <c r="Q152" s="10">
        <f>IF($AF152="","",INDEX(입력_파견수련계획!$S$4:$S$803,$AF152))</f>
        <v/>
      </c>
      <c r="R152" s="10">
        <f>IF($AF152="","",INDEX(입력_파견수련계획!$U$4:$U$803,$AF152))</f>
        <v/>
      </c>
      <c r="S152" s="11">
        <f>IF($AF152="","",IF(INDEX(입력_파견수련계획!$H$4:$H$803,$AF152)="","",INDEX(입력_파견수련계획!$H$4:$H$803,$AF152)))</f>
        <v/>
      </c>
      <c r="T152" s="11">
        <f>IF($AF152="","",IF(INDEX(입력_파견수련계획!$I$4:$I$803,$AF152)="","",INDEX(입력_파견수련계획!$I$4:$I$803,$AF152)))</f>
        <v/>
      </c>
      <c r="U152" s="10">
        <f>IF($AF152="","",INDEX(입력_파견수련계획!$X$4:$X$803,$AF152))</f>
        <v/>
      </c>
      <c r="V152" s="17">
        <f>IF($AF152="","",INDEX(입력_파견수련계획!$V$4:$V$803,$AF152))</f>
        <v/>
      </c>
      <c r="W152" s="17">
        <f>IF(AND($U152="파견중",$T152&lt;&gt;""),$T152-TODAY(),"")</f>
        <v/>
      </c>
      <c r="X152" s="17">
        <f>IF(OR($B152="",TRIM($J152&amp;"")=""),"",SUMPRODUCT((입력_파견수련계획!$Q$4:$Q$803=TRIM($J152&amp;""))*입력_파견수련계획!$W$4:$W$803))</f>
        <v/>
      </c>
      <c r="Y152" s="10">
        <f>IF($B152="","",IF($AG152="","",IF(IF(TRIM($J152&amp;"")="",0,SUMPRODUCT((입력_파견수련계획!$Q$4:$Q$803=TRIM($J152&amp;""))*입력_파견수련계획!$AD$4:$AD$803))&gt;0,$AE152,IF(AND(N($X152)&lt;=0,$AQ152=""),$AG152,IF($AH152+$AI152=DAY(EOMONTH(출력_요약!$B$3,0)),IF(AND($AH152&gt;=출력_요약!$E$3,$AI152&lt;출력_요약!$E$3),"서울병원",IF(AND($AI152&gt;=출력_요약!$E$3,$AH152&lt;출력_요약!$E$3),"구리병원","⚠15일 판정불가(서울 "&amp;$AH152&amp;"일/구리 "&amp;$AI152&amp;"일)")),IF($AJ152="",$AE152,IF(INDEX(입력_파견수련계획!$T$4:$T$803,$AJ152)="통합수련",INDEX(입력_파견수련계획!$S$4:$S$803,$AJ152),$AE152)))))))</f>
        <v/>
      </c>
      <c r="Z152" s="20">
        <f>IF($B152="","",IF($AB152="","기본자료에 없는 사번",IF(COUNTIF($B$2:$B$401,$B152)&gt;1,"중복 사번",IF($AE152="","소속(입사장소) 입력",IF(IF(TRIM($J152&amp;"")="",0,SUMPRODUCT((입력_파견수련계획!$Q$4:$Q$803=TRIM($J152&amp;""))*(입력_파견수련계획!$AA$4:$AA$803&lt;&gt;"")))&gt;0,"파견수련계획 입력오류 확인",IF(LEFT($Y152,1)="⚠","서울·구리 15일 판정 불가(양쪽 모두 이상/미만)",IF(IF($AC152="",0,N(INDEX(입력_인턴근무계획!$T$3:$T$402,$AC152)))&gt;0,"인턴계획 입력오류 확인",IF(AND($AQ152&lt;&gt;"",$AG152&lt;&gt;"구리병원",IF(TRIM($J152&amp;"")="",0,SUMPRODUCT((입력_파견수련계획!$Q$4:$Q$803=TRIM($J152&amp;""))*(입력_파견수련계획!$S$4:$S$803="구리병원")*입력_파견수련계획!$W$4:$W$803))=0),"구리 근무자명단에만 있음(파견수련계획 확인)",IF(AND($AC152&lt;&gt;"",$U152&lt;&gt;"파견중",$N152&lt;&gt;$AE152),"인턴 타지역 근무: 파견 여부 확인","정상")))))))))</f>
        <v/>
      </c>
      <c r="AA152" s="5" t="n"/>
      <c r="AB152" s="10">
        <f>IF($B152="","",IFERROR(MATCH($B152,입력_기본자료!$B$2:$B$1001,0),IFERROR(MATCH($B152&amp;"",입력_기본자료!$B$2:$B$1001,0),IFERROR(MATCH(VALUE($B152),입력_기본자료!$B$2:$B$1001,0),""))))</f>
        <v/>
      </c>
      <c r="AC152" s="10">
        <f>IF($B152="","",IFERROR(MATCH($B152,입력_인턴근무계획!$D$3:$D$402,0),IFERROR(MATCH($B152&amp;"",입력_인턴근무계획!$D$3:$D$402,0),IFERROR(MATCH(VALUE($B152),입력_인턴근무계획!$D$3:$D$402,0),""))))</f>
        <v/>
      </c>
      <c r="AD152" s="10">
        <f>IF(OR($AC152="",출력_인턴현황!$G$3=""),"",INDEX(입력_인턴근무계획!$M$3:$R$402,$AC152,출력_인턴현황!$G$3)&amp;"")</f>
        <v/>
      </c>
      <c r="AE152" s="10">
        <f>IF($B152="","",IF($M152&lt;&gt;"",$M152,IF(IF($AQ152="",FALSE,INDEX(출력_구리근무자!$J$6:$J$305,$AQ152)="구리독자"),"구리병원",IF($AF152&lt;&gt;"",IF(LEFT(INDEX(입력_파견수련계획!$R$4:$R$803,$AF152),1)&lt;&gt;"⚠",INDEX(입력_파견수련계획!$R$4:$R$803,$AF152),IF($H152="","",IF(RIGHT($H152,2)="병원",$H152,$H152&amp;"병원"))),IF($H152="","",IF(RIGHT($H152,2)="병원",$H152,$H152&amp;"병원"))))))</f>
        <v/>
      </c>
      <c r="AF152" s="10">
        <f>IF(OR($B152="",TRIM($J152&amp;"")=""),"",IFERROR(MATCH(TRIM($J152&amp;"")&amp;"|파견중",입력_파견수련계획!$Y$4:$Y$803,0),IFERROR(MATCH(TRIM($J152&amp;"")&amp;"|파견예정",입력_파견수련계획!$Y$4:$Y$803,0),IFERROR(MATCH(TRIM($J152&amp;"")&amp;"|파견종료",입력_파견수련계획!$Y$4:$Y$803,0),""))))</f>
        <v/>
      </c>
      <c r="AG152" s="10">
        <f>IF($B152="","",IF(AND(IF(OR($AC152="",출력_인턴현황!$K$2=""),"",INDEX(입력_인턴근무계획!$M$3:$R$402,$AC152,출력_인턴현황!$K$2)&amp;"")&lt;&gt;"",LEFT(IF(OR($AC152="",출력_인턴현황!$K$2=""),"",INDEX(입력_인턴근무계획!$M$3:$R$402,$AC152,출력_인턴현황!$K$2)&amp;""),1)&lt;&gt;"⚠"),LEFT(IF(OR($AC152="",출력_인턴현황!$K$2=""),"",INDEX(입력_인턴근무계획!$M$3:$R$402,$AC152,출력_인턴현황!$K$2)&amp;""),FIND(" ",IF(OR($AC152="",출력_인턴현황!$K$2=""),"",INDEX(입력_인턴근무계획!$M$3:$R$402,$AC152,출력_인턴현황!$K$2)&amp;""))-1),$AE152))</f>
        <v/>
      </c>
      <c r="AH152" s="17">
        <f>IF($B152="","",IF($AQ152&lt;&gt;"",MAX(0,DAY(EOMONTH(출력_요약!$B$3,0))-N($AR152)),IF(TRIM($J152&amp;"")="",0,SUMPRODUCT((입력_파견수련계획!$Q$4:$Q$803=TRIM($J152&amp;""))*(입력_파견수련계획!$S$4:$S$803="서울병원")*입력_파견수련계획!$W$4:$W$803))+IF($AG152="서울병원",MAX(0,DAY(EOMONTH(출력_요약!$B$3,0))-N($X152)),0)))</f>
        <v/>
      </c>
      <c r="AI152" s="17">
        <f>IF($B152="","",IF($AQ152&lt;&gt;"",N($AR152),IF(TRIM($J152&amp;"")="",0,SUMPRODUCT((입력_파견수련계획!$Q$4:$Q$803=TRIM($J152&amp;""))*(입력_파견수련계획!$S$4:$S$803="구리병원")*입력_파견수련계획!$W$4:$W$803))+IF($AG152="구리병원",MAX(0,DAY(EOMONTH(출력_요약!$B$3,0))-N($X152)),0)))</f>
        <v/>
      </c>
      <c r="AJ152" s="10">
        <f>IF(OR($B152="",TRIM($J152&amp;"")=""),"",IFERROR(MATCH(TRIM($J152&amp;"")&amp;"|월",입력_파견수련계획!$Z$4:$Z$803,0),""))</f>
        <v/>
      </c>
      <c r="AK152" s="10">
        <f>IF(OR($B152="",TRIM($J152&amp;"")=""),"",IFERROR(MATCH(TRIM($J152&amp;"")&amp;"|다기관",입력_파견수련계획!$AE$4:$AE$803,0),""))</f>
        <v/>
      </c>
      <c r="AL152" s="10">
        <f>IF($AK152="","","다기관 "&amp;TEXT(INDEX(입력_파견수련계획!$AB$4:$AB$803,$AK152),"yyyy-mm-dd")&amp;"~"&amp;IF(ISNUMBER(INDEX(입력_파견수련계획!$AC$4:$AC$803,$AK152)),TEXT(INDEX(입력_파견수련계획!$AC$4:$AC$803,$AK152),"yyyy-mm-dd"),""))</f>
        <v/>
      </c>
      <c r="AM152" s="10">
        <f>IF($Y152="서울병원",COUNTIF($Y$2:$Y152,"서울병원"),"")</f>
        <v/>
      </c>
      <c r="AN152" s="10">
        <f>IF(LEFT($Y152,1)="⚠",COUNTIF($Y$2:$Y152,"⚠*"),"")</f>
        <v/>
      </c>
      <c r="AO152" s="10">
        <f>IF(OR($B152="",$Y152=""),"",IF(IF(TRIM($J152&amp;"")="",0,SUMPRODUCT((입력_파견수련계획!$Q$4:$Q$803=TRIM($J152&amp;""))*입력_파견수련계획!$AD$4:$AD$803))&gt;0,"다기관 기간 → 소속병원 지급",IF(AND(N($X152)&lt;=0,$AQ152=""),"파견 없음 → 그 달 근무병원 지급",IF($AH152+$AI152=DAY(EOMONTH(출력_요약!$B$3,0)),"서울 "&amp;$AH152&amp;"일 / 구리 "&amp;$AI152&amp;"일"&amp;IF($AQ152&lt;&gt;""," (구리 근무자명단 반영)","")&amp;" → 15일 이상 근무 병원 지급","타 병원 포함 → "&amp;IF($AJ152="","소속",INDEX(입력_파견수련계획!$T$4:$T$803,$AJ152))&amp;" 규칙"))))</f>
        <v/>
      </c>
      <c r="AP152" s="10">
        <f>IF($B152="","",$C152&amp;"|"&amp;$F152)</f>
        <v/>
      </c>
      <c r="AQ152" s="10">
        <f>IF($B152="","",IFERROR(MATCH(ROW()-1,출력_구리근무자!$K$6:$K$305,0),""))</f>
        <v/>
      </c>
      <c r="AR152" s="10">
        <f>IF($AQ152="","",INDEX(출력_구리근무자!$H$6:$H$305,$AQ152))</f>
        <v/>
      </c>
    </row>
    <row r="153">
      <c r="A153" s="10">
        <f>IF(B153="","",ROW()-1)</f>
        <v/>
      </c>
      <c r="B153" s="19" t="n"/>
      <c r="C153" s="10">
        <f>IF($AB153="","",IF(INDEX(입력_기본자료!$C$2:$C$1001,$AB153)="","",INDEX(입력_기본자료!$C$2:$C$1001,$AB153)))</f>
        <v/>
      </c>
      <c r="D153" s="10">
        <f>IF($AB153="","",IF(INDEX(입력_기본자료!$J$2:$J$1001,$AB153)="","",INDEX(입력_기본자료!$J$2:$J$1001,$AB153)))</f>
        <v/>
      </c>
      <c r="E153" s="11">
        <f>IF($AB153="","",IF(INDEX(입력_기본자료!$K$2:$K$1001,$AB153)="","",IF(NOT(ISNUMBER(INDEX(입력_기본자료!$K$2:$K$1001,$AB153))),INDEX(입력_기본자료!$K$2:$K$1001,$AB153),IF(INDEX(입력_기본자료!$K$2:$K$1001,$AB153)&lt;1000000,INDEX(입력_기본자료!$K$2:$K$1001,$AB153),IF(AND(INDEX(입력_기본자료!$K$2:$K$1001,$AB153)&gt;=10000101,INT(MOD(INDEX(입력_기본자료!$K$2:$K$1001,$AB153),10000)/100)&gt;=1,INT(MOD(INDEX(입력_기본자료!$K$2:$K$1001,$AB153),10000)/100)&lt;=12,MOD(INDEX(입력_기본자료!$K$2:$K$1001,$AB153),100)&gt;=1,MOD(INDEX(입력_기본자료!$K$2:$K$1001,$AB153),100)&lt;=31),DATE(INT(INDEX(입력_기본자료!$K$2:$K$1001,$AB153)/10000),INT(MOD(INDEX(입력_기본자료!$K$2:$K$1001,$AB153),10000)/100),MOD(INDEX(입력_기본자료!$K$2:$K$1001,$AB153),100)),INDEX(입력_기본자료!$K$2:$K$1001,$AB153)&amp;"")))))</f>
        <v/>
      </c>
      <c r="F153" s="10">
        <f>IF($AB153="","",IF(INDEX(입력_기본자료!$D$2:$D$1001,$AB153)="","",INDEX(입력_기본자료!$D$2:$D$1001,$AB153)))</f>
        <v/>
      </c>
      <c r="G153" s="10">
        <f>IF($AB153="","",IF(INDEX(입력_기본자료!$E$2:$E$1001,$AB153)="","",INDEX(입력_기본자료!$E$2:$E$1001,$AB153)))</f>
        <v/>
      </c>
      <c r="H153" s="10">
        <f>IF($AB153="","",IF(INDEX(입력_기본자료!$F$2:$F$1001,$AB153)="","",INDEX(입력_기본자료!$F$2:$F$1001,$AB153)))</f>
        <v/>
      </c>
      <c r="I153" s="11">
        <f>IF($AB153="","",IF(INDEX(입력_기본자료!$G$2:$G$1001,$AB153)="","",IF(NOT(ISNUMBER(INDEX(입력_기본자료!$G$2:$G$1001,$AB153))),INDEX(입력_기본자료!$G$2:$G$1001,$AB153),IF(INDEX(입력_기본자료!$G$2:$G$1001,$AB153)&lt;1000000,INDEX(입력_기본자료!$G$2:$G$1001,$AB153),IF(AND(INDEX(입력_기본자료!$G$2:$G$1001,$AB153)&gt;=10000101,INT(MOD(INDEX(입력_기본자료!$G$2:$G$1001,$AB153),10000)/100)&gt;=1,INT(MOD(INDEX(입력_기본자료!$G$2:$G$1001,$AB153),10000)/100)&lt;=12,MOD(INDEX(입력_기본자료!$G$2:$G$1001,$AB153),100)&gt;=1,MOD(INDEX(입력_기본자료!$G$2:$G$1001,$AB153),100)&lt;=31),DATE(INT(INDEX(입력_기본자료!$G$2:$G$1001,$AB153)/10000),INT(MOD(INDEX(입력_기본자료!$G$2:$G$1001,$AB153),10000)/100),MOD(INDEX(입력_기본자료!$G$2:$G$1001,$AB153),100)),INDEX(입력_기본자료!$G$2:$G$1001,$AB153)&amp;"")))))</f>
        <v/>
      </c>
      <c r="J153" s="10">
        <f>IF($AB153="","",IF(INDEX(입력_기본자료!$H$2:$H$1001,$AB153)="","",INDEX(입력_기본자료!$H$2:$H$1001,$AB153)))</f>
        <v/>
      </c>
      <c r="K153" s="10">
        <f>IF($AB153="","",IF(INDEX(입력_기본자료!$I$2:$I$1001,$AB153)="","",INDEX(입력_기본자료!$I$2:$I$1001,$AB153)))</f>
        <v/>
      </c>
      <c r="L153" s="10">
        <f>IF($AB153="","",IF(INDEX(입력_기본자료!$A$2:$A$1001,$AB153)="","",INDEX(입력_기본자료!$A$2:$A$1001,$AB153)))</f>
        <v/>
      </c>
      <c r="M153" s="15" t="n"/>
      <c r="N153" s="10">
        <f>IF($B153="","",IF(AND($U153="파견중",$Q153&lt;&gt;""),$Q153,IF(AND($AD153&lt;&gt;"",LEFT($AD153,1)&lt;&gt;"⚠"),LEFT($AD153,FIND(" ",$AD153)-1),IF($H153="","",IF(RIGHT($H153,2)="병원",$H153,$H153&amp;"병원")))))</f>
        <v/>
      </c>
      <c r="O153" s="10">
        <f>IF($B153="","",IF(AND($U153="파견중",$Q153&lt;&gt;""),IF($R153&lt;&gt;"",$R153,"파견과 미입력"),IF(AND($AD153&lt;&gt;"",LEFT($AD153,1)&lt;&gt;"⚠"),MID($AD153,FIND(" ",$AD153)+1,60),IF($F153="","",IF($F153="인턴","수련교육부(인턴)",$F153)))))</f>
        <v/>
      </c>
      <c r="P153" s="10">
        <f>IF($B153="","",IF($AK153&lt;&gt;"",IF(AND(TODAY()&gt;=INDEX(입력_파견수련계획!$AB$4:$AB$803,$AK153),OR(NOT(ISNUMBER(INDEX(입력_파견수련계획!$AC$4:$AC$803,$AK153))),TODAY()&lt;=INDEX(입력_파견수련계획!$AC$4:$AC$803,$AK153))),"다기관",IF($AF153="","",INDEX(입력_파견수련계획!$T$4:$T$803,$AF153))),IF($AF153="","",INDEX(입력_파견수련계획!$T$4:$T$803,$AF153))))</f>
        <v/>
      </c>
      <c r="Q153" s="10">
        <f>IF($AF153="","",INDEX(입력_파견수련계획!$S$4:$S$803,$AF153))</f>
        <v/>
      </c>
      <c r="R153" s="10">
        <f>IF($AF153="","",INDEX(입력_파견수련계획!$U$4:$U$803,$AF153))</f>
        <v/>
      </c>
      <c r="S153" s="11">
        <f>IF($AF153="","",IF(INDEX(입력_파견수련계획!$H$4:$H$803,$AF153)="","",INDEX(입력_파견수련계획!$H$4:$H$803,$AF153)))</f>
        <v/>
      </c>
      <c r="T153" s="11">
        <f>IF($AF153="","",IF(INDEX(입력_파견수련계획!$I$4:$I$803,$AF153)="","",INDEX(입력_파견수련계획!$I$4:$I$803,$AF153)))</f>
        <v/>
      </c>
      <c r="U153" s="10">
        <f>IF($AF153="","",INDEX(입력_파견수련계획!$X$4:$X$803,$AF153))</f>
        <v/>
      </c>
      <c r="V153" s="17">
        <f>IF($AF153="","",INDEX(입력_파견수련계획!$V$4:$V$803,$AF153))</f>
        <v/>
      </c>
      <c r="W153" s="17">
        <f>IF(AND($U153="파견중",$T153&lt;&gt;""),$T153-TODAY(),"")</f>
        <v/>
      </c>
      <c r="X153" s="17">
        <f>IF(OR($B153="",TRIM($J153&amp;"")=""),"",SUMPRODUCT((입력_파견수련계획!$Q$4:$Q$803=TRIM($J153&amp;""))*입력_파견수련계획!$W$4:$W$803))</f>
        <v/>
      </c>
      <c r="Y153" s="10">
        <f>IF($B153="","",IF($AG153="","",IF(IF(TRIM($J153&amp;"")="",0,SUMPRODUCT((입력_파견수련계획!$Q$4:$Q$803=TRIM($J153&amp;""))*입력_파견수련계획!$AD$4:$AD$803))&gt;0,$AE153,IF(AND(N($X153)&lt;=0,$AQ153=""),$AG153,IF($AH153+$AI153=DAY(EOMONTH(출력_요약!$B$3,0)),IF(AND($AH153&gt;=출력_요약!$E$3,$AI153&lt;출력_요약!$E$3),"서울병원",IF(AND($AI153&gt;=출력_요약!$E$3,$AH153&lt;출력_요약!$E$3),"구리병원","⚠15일 판정불가(서울 "&amp;$AH153&amp;"일/구리 "&amp;$AI153&amp;"일)")),IF($AJ153="",$AE153,IF(INDEX(입력_파견수련계획!$T$4:$T$803,$AJ153)="통합수련",INDEX(입력_파견수련계획!$S$4:$S$803,$AJ153),$AE153)))))))</f>
        <v/>
      </c>
      <c r="Z153" s="20">
        <f>IF($B153="","",IF($AB153="","기본자료에 없는 사번",IF(COUNTIF($B$2:$B$401,$B153)&gt;1,"중복 사번",IF($AE153="","소속(입사장소) 입력",IF(IF(TRIM($J153&amp;"")="",0,SUMPRODUCT((입력_파견수련계획!$Q$4:$Q$803=TRIM($J153&amp;""))*(입력_파견수련계획!$AA$4:$AA$803&lt;&gt;"")))&gt;0,"파견수련계획 입력오류 확인",IF(LEFT($Y153,1)="⚠","서울·구리 15일 판정 불가(양쪽 모두 이상/미만)",IF(IF($AC153="",0,N(INDEX(입력_인턴근무계획!$T$3:$T$402,$AC153)))&gt;0,"인턴계획 입력오류 확인",IF(AND($AQ153&lt;&gt;"",$AG153&lt;&gt;"구리병원",IF(TRIM($J153&amp;"")="",0,SUMPRODUCT((입력_파견수련계획!$Q$4:$Q$803=TRIM($J153&amp;""))*(입력_파견수련계획!$S$4:$S$803="구리병원")*입력_파견수련계획!$W$4:$W$803))=0),"구리 근무자명단에만 있음(파견수련계획 확인)",IF(AND($AC153&lt;&gt;"",$U153&lt;&gt;"파견중",$N153&lt;&gt;$AE153),"인턴 타지역 근무: 파견 여부 확인","정상")))))))))</f>
        <v/>
      </c>
      <c r="AA153" s="5" t="n"/>
      <c r="AB153" s="10">
        <f>IF($B153="","",IFERROR(MATCH($B153,입력_기본자료!$B$2:$B$1001,0),IFERROR(MATCH($B153&amp;"",입력_기본자료!$B$2:$B$1001,0),IFERROR(MATCH(VALUE($B153),입력_기본자료!$B$2:$B$1001,0),""))))</f>
        <v/>
      </c>
      <c r="AC153" s="10">
        <f>IF($B153="","",IFERROR(MATCH($B153,입력_인턴근무계획!$D$3:$D$402,0),IFERROR(MATCH($B153&amp;"",입력_인턴근무계획!$D$3:$D$402,0),IFERROR(MATCH(VALUE($B153),입력_인턴근무계획!$D$3:$D$402,0),""))))</f>
        <v/>
      </c>
      <c r="AD153" s="10">
        <f>IF(OR($AC153="",출력_인턴현황!$G$3=""),"",INDEX(입력_인턴근무계획!$M$3:$R$402,$AC153,출력_인턴현황!$G$3)&amp;"")</f>
        <v/>
      </c>
      <c r="AE153" s="10">
        <f>IF($B153="","",IF($M153&lt;&gt;"",$M153,IF(IF($AQ153="",FALSE,INDEX(출력_구리근무자!$J$6:$J$305,$AQ153)="구리독자"),"구리병원",IF($AF153&lt;&gt;"",IF(LEFT(INDEX(입력_파견수련계획!$R$4:$R$803,$AF153),1)&lt;&gt;"⚠",INDEX(입력_파견수련계획!$R$4:$R$803,$AF153),IF($H153="","",IF(RIGHT($H153,2)="병원",$H153,$H153&amp;"병원"))),IF($H153="","",IF(RIGHT($H153,2)="병원",$H153,$H153&amp;"병원"))))))</f>
        <v/>
      </c>
      <c r="AF153" s="10">
        <f>IF(OR($B153="",TRIM($J153&amp;"")=""),"",IFERROR(MATCH(TRIM($J153&amp;"")&amp;"|파견중",입력_파견수련계획!$Y$4:$Y$803,0),IFERROR(MATCH(TRIM($J153&amp;"")&amp;"|파견예정",입력_파견수련계획!$Y$4:$Y$803,0),IFERROR(MATCH(TRIM($J153&amp;"")&amp;"|파견종료",입력_파견수련계획!$Y$4:$Y$803,0),""))))</f>
        <v/>
      </c>
      <c r="AG153" s="10">
        <f>IF($B153="","",IF(AND(IF(OR($AC153="",출력_인턴현황!$K$2=""),"",INDEX(입력_인턴근무계획!$M$3:$R$402,$AC153,출력_인턴현황!$K$2)&amp;"")&lt;&gt;"",LEFT(IF(OR($AC153="",출력_인턴현황!$K$2=""),"",INDEX(입력_인턴근무계획!$M$3:$R$402,$AC153,출력_인턴현황!$K$2)&amp;""),1)&lt;&gt;"⚠"),LEFT(IF(OR($AC153="",출력_인턴현황!$K$2=""),"",INDEX(입력_인턴근무계획!$M$3:$R$402,$AC153,출력_인턴현황!$K$2)&amp;""),FIND(" ",IF(OR($AC153="",출력_인턴현황!$K$2=""),"",INDEX(입력_인턴근무계획!$M$3:$R$402,$AC153,출력_인턴현황!$K$2)&amp;""))-1),$AE153))</f>
        <v/>
      </c>
      <c r="AH153" s="17">
        <f>IF($B153="","",IF($AQ153&lt;&gt;"",MAX(0,DAY(EOMONTH(출력_요약!$B$3,0))-N($AR153)),IF(TRIM($J153&amp;"")="",0,SUMPRODUCT((입력_파견수련계획!$Q$4:$Q$803=TRIM($J153&amp;""))*(입력_파견수련계획!$S$4:$S$803="서울병원")*입력_파견수련계획!$W$4:$W$803))+IF($AG153="서울병원",MAX(0,DAY(EOMONTH(출력_요약!$B$3,0))-N($X153)),0)))</f>
        <v/>
      </c>
      <c r="AI153" s="17">
        <f>IF($B153="","",IF($AQ153&lt;&gt;"",N($AR153),IF(TRIM($J153&amp;"")="",0,SUMPRODUCT((입력_파견수련계획!$Q$4:$Q$803=TRIM($J153&amp;""))*(입력_파견수련계획!$S$4:$S$803="구리병원")*입력_파견수련계획!$W$4:$W$803))+IF($AG153="구리병원",MAX(0,DAY(EOMONTH(출력_요약!$B$3,0))-N($X153)),0)))</f>
        <v/>
      </c>
      <c r="AJ153" s="10">
        <f>IF(OR($B153="",TRIM($J153&amp;"")=""),"",IFERROR(MATCH(TRIM($J153&amp;"")&amp;"|월",입력_파견수련계획!$Z$4:$Z$803,0),""))</f>
        <v/>
      </c>
      <c r="AK153" s="10">
        <f>IF(OR($B153="",TRIM($J153&amp;"")=""),"",IFERROR(MATCH(TRIM($J153&amp;"")&amp;"|다기관",입력_파견수련계획!$AE$4:$AE$803,0),""))</f>
        <v/>
      </c>
      <c r="AL153" s="10">
        <f>IF($AK153="","","다기관 "&amp;TEXT(INDEX(입력_파견수련계획!$AB$4:$AB$803,$AK153),"yyyy-mm-dd")&amp;"~"&amp;IF(ISNUMBER(INDEX(입력_파견수련계획!$AC$4:$AC$803,$AK153)),TEXT(INDEX(입력_파견수련계획!$AC$4:$AC$803,$AK153),"yyyy-mm-dd"),""))</f>
        <v/>
      </c>
      <c r="AM153" s="10">
        <f>IF($Y153="서울병원",COUNTIF($Y$2:$Y153,"서울병원"),"")</f>
        <v/>
      </c>
      <c r="AN153" s="10">
        <f>IF(LEFT($Y153,1)="⚠",COUNTIF($Y$2:$Y153,"⚠*"),"")</f>
        <v/>
      </c>
      <c r="AO153" s="10">
        <f>IF(OR($B153="",$Y153=""),"",IF(IF(TRIM($J153&amp;"")="",0,SUMPRODUCT((입력_파견수련계획!$Q$4:$Q$803=TRIM($J153&amp;""))*입력_파견수련계획!$AD$4:$AD$803))&gt;0,"다기관 기간 → 소속병원 지급",IF(AND(N($X153)&lt;=0,$AQ153=""),"파견 없음 → 그 달 근무병원 지급",IF($AH153+$AI153=DAY(EOMONTH(출력_요약!$B$3,0)),"서울 "&amp;$AH153&amp;"일 / 구리 "&amp;$AI153&amp;"일"&amp;IF($AQ153&lt;&gt;""," (구리 근무자명단 반영)","")&amp;" → 15일 이상 근무 병원 지급","타 병원 포함 → "&amp;IF($AJ153="","소속",INDEX(입력_파견수련계획!$T$4:$T$803,$AJ153))&amp;" 규칙"))))</f>
        <v/>
      </c>
      <c r="AP153" s="10">
        <f>IF($B153="","",$C153&amp;"|"&amp;$F153)</f>
        <v/>
      </c>
      <c r="AQ153" s="10">
        <f>IF($B153="","",IFERROR(MATCH(ROW()-1,출력_구리근무자!$K$6:$K$305,0),""))</f>
        <v/>
      </c>
      <c r="AR153" s="10">
        <f>IF($AQ153="","",INDEX(출력_구리근무자!$H$6:$H$305,$AQ153))</f>
        <v/>
      </c>
    </row>
    <row r="154">
      <c r="A154" s="10">
        <f>IF(B154="","",ROW()-1)</f>
        <v/>
      </c>
      <c r="B154" s="19" t="n"/>
      <c r="C154" s="10">
        <f>IF($AB154="","",IF(INDEX(입력_기본자료!$C$2:$C$1001,$AB154)="","",INDEX(입력_기본자료!$C$2:$C$1001,$AB154)))</f>
        <v/>
      </c>
      <c r="D154" s="10">
        <f>IF($AB154="","",IF(INDEX(입력_기본자료!$J$2:$J$1001,$AB154)="","",INDEX(입력_기본자료!$J$2:$J$1001,$AB154)))</f>
        <v/>
      </c>
      <c r="E154" s="11">
        <f>IF($AB154="","",IF(INDEX(입력_기본자료!$K$2:$K$1001,$AB154)="","",IF(NOT(ISNUMBER(INDEX(입력_기본자료!$K$2:$K$1001,$AB154))),INDEX(입력_기본자료!$K$2:$K$1001,$AB154),IF(INDEX(입력_기본자료!$K$2:$K$1001,$AB154)&lt;1000000,INDEX(입력_기본자료!$K$2:$K$1001,$AB154),IF(AND(INDEX(입력_기본자료!$K$2:$K$1001,$AB154)&gt;=10000101,INT(MOD(INDEX(입력_기본자료!$K$2:$K$1001,$AB154),10000)/100)&gt;=1,INT(MOD(INDEX(입력_기본자료!$K$2:$K$1001,$AB154),10000)/100)&lt;=12,MOD(INDEX(입력_기본자료!$K$2:$K$1001,$AB154),100)&gt;=1,MOD(INDEX(입력_기본자료!$K$2:$K$1001,$AB154),100)&lt;=31),DATE(INT(INDEX(입력_기본자료!$K$2:$K$1001,$AB154)/10000),INT(MOD(INDEX(입력_기본자료!$K$2:$K$1001,$AB154),10000)/100),MOD(INDEX(입력_기본자료!$K$2:$K$1001,$AB154),100)),INDEX(입력_기본자료!$K$2:$K$1001,$AB154)&amp;"")))))</f>
        <v/>
      </c>
      <c r="F154" s="10">
        <f>IF($AB154="","",IF(INDEX(입력_기본자료!$D$2:$D$1001,$AB154)="","",INDEX(입력_기본자료!$D$2:$D$1001,$AB154)))</f>
        <v/>
      </c>
      <c r="G154" s="10">
        <f>IF($AB154="","",IF(INDEX(입력_기본자료!$E$2:$E$1001,$AB154)="","",INDEX(입력_기본자료!$E$2:$E$1001,$AB154)))</f>
        <v/>
      </c>
      <c r="H154" s="10">
        <f>IF($AB154="","",IF(INDEX(입력_기본자료!$F$2:$F$1001,$AB154)="","",INDEX(입력_기본자료!$F$2:$F$1001,$AB154)))</f>
        <v/>
      </c>
      <c r="I154" s="11">
        <f>IF($AB154="","",IF(INDEX(입력_기본자료!$G$2:$G$1001,$AB154)="","",IF(NOT(ISNUMBER(INDEX(입력_기본자료!$G$2:$G$1001,$AB154))),INDEX(입력_기본자료!$G$2:$G$1001,$AB154),IF(INDEX(입력_기본자료!$G$2:$G$1001,$AB154)&lt;1000000,INDEX(입력_기본자료!$G$2:$G$1001,$AB154),IF(AND(INDEX(입력_기본자료!$G$2:$G$1001,$AB154)&gt;=10000101,INT(MOD(INDEX(입력_기본자료!$G$2:$G$1001,$AB154),10000)/100)&gt;=1,INT(MOD(INDEX(입력_기본자료!$G$2:$G$1001,$AB154),10000)/100)&lt;=12,MOD(INDEX(입력_기본자료!$G$2:$G$1001,$AB154),100)&gt;=1,MOD(INDEX(입력_기본자료!$G$2:$G$1001,$AB154),100)&lt;=31),DATE(INT(INDEX(입력_기본자료!$G$2:$G$1001,$AB154)/10000),INT(MOD(INDEX(입력_기본자료!$G$2:$G$1001,$AB154),10000)/100),MOD(INDEX(입력_기본자료!$G$2:$G$1001,$AB154),100)),INDEX(입력_기본자료!$G$2:$G$1001,$AB154)&amp;"")))))</f>
        <v/>
      </c>
      <c r="J154" s="10">
        <f>IF($AB154="","",IF(INDEX(입력_기본자료!$H$2:$H$1001,$AB154)="","",INDEX(입력_기본자료!$H$2:$H$1001,$AB154)))</f>
        <v/>
      </c>
      <c r="K154" s="10">
        <f>IF($AB154="","",IF(INDEX(입력_기본자료!$I$2:$I$1001,$AB154)="","",INDEX(입력_기본자료!$I$2:$I$1001,$AB154)))</f>
        <v/>
      </c>
      <c r="L154" s="10">
        <f>IF($AB154="","",IF(INDEX(입력_기본자료!$A$2:$A$1001,$AB154)="","",INDEX(입력_기본자료!$A$2:$A$1001,$AB154)))</f>
        <v/>
      </c>
      <c r="M154" s="15" t="n"/>
      <c r="N154" s="10">
        <f>IF($B154="","",IF(AND($U154="파견중",$Q154&lt;&gt;""),$Q154,IF(AND($AD154&lt;&gt;"",LEFT($AD154,1)&lt;&gt;"⚠"),LEFT($AD154,FIND(" ",$AD154)-1),IF($H154="","",IF(RIGHT($H154,2)="병원",$H154,$H154&amp;"병원")))))</f>
        <v/>
      </c>
      <c r="O154" s="10">
        <f>IF($B154="","",IF(AND($U154="파견중",$Q154&lt;&gt;""),IF($R154&lt;&gt;"",$R154,"파견과 미입력"),IF(AND($AD154&lt;&gt;"",LEFT($AD154,1)&lt;&gt;"⚠"),MID($AD154,FIND(" ",$AD154)+1,60),IF($F154="","",IF($F154="인턴","수련교육부(인턴)",$F154)))))</f>
        <v/>
      </c>
      <c r="P154" s="10">
        <f>IF($B154="","",IF($AK154&lt;&gt;"",IF(AND(TODAY()&gt;=INDEX(입력_파견수련계획!$AB$4:$AB$803,$AK154),OR(NOT(ISNUMBER(INDEX(입력_파견수련계획!$AC$4:$AC$803,$AK154))),TODAY()&lt;=INDEX(입력_파견수련계획!$AC$4:$AC$803,$AK154))),"다기관",IF($AF154="","",INDEX(입력_파견수련계획!$T$4:$T$803,$AF154))),IF($AF154="","",INDEX(입력_파견수련계획!$T$4:$T$803,$AF154))))</f>
        <v/>
      </c>
      <c r="Q154" s="10">
        <f>IF($AF154="","",INDEX(입력_파견수련계획!$S$4:$S$803,$AF154))</f>
        <v/>
      </c>
      <c r="R154" s="10">
        <f>IF($AF154="","",INDEX(입력_파견수련계획!$U$4:$U$803,$AF154))</f>
        <v/>
      </c>
      <c r="S154" s="11">
        <f>IF($AF154="","",IF(INDEX(입력_파견수련계획!$H$4:$H$803,$AF154)="","",INDEX(입력_파견수련계획!$H$4:$H$803,$AF154)))</f>
        <v/>
      </c>
      <c r="T154" s="11">
        <f>IF($AF154="","",IF(INDEX(입력_파견수련계획!$I$4:$I$803,$AF154)="","",INDEX(입력_파견수련계획!$I$4:$I$803,$AF154)))</f>
        <v/>
      </c>
      <c r="U154" s="10">
        <f>IF($AF154="","",INDEX(입력_파견수련계획!$X$4:$X$803,$AF154))</f>
        <v/>
      </c>
      <c r="V154" s="17">
        <f>IF($AF154="","",INDEX(입력_파견수련계획!$V$4:$V$803,$AF154))</f>
        <v/>
      </c>
      <c r="W154" s="17">
        <f>IF(AND($U154="파견중",$T154&lt;&gt;""),$T154-TODAY(),"")</f>
        <v/>
      </c>
      <c r="X154" s="17">
        <f>IF(OR($B154="",TRIM($J154&amp;"")=""),"",SUMPRODUCT((입력_파견수련계획!$Q$4:$Q$803=TRIM($J154&amp;""))*입력_파견수련계획!$W$4:$W$803))</f>
        <v/>
      </c>
      <c r="Y154" s="10">
        <f>IF($B154="","",IF($AG154="","",IF(IF(TRIM($J154&amp;"")="",0,SUMPRODUCT((입력_파견수련계획!$Q$4:$Q$803=TRIM($J154&amp;""))*입력_파견수련계획!$AD$4:$AD$803))&gt;0,$AE154,IF(AND(N($X154)&lt;=0,$AQ154=""),$AG154,IF($AH154+$AI154=DAY(EOMONTH(출력_요약!$B$3,0)),IF(AND($AH154&gt;=출력_요약!$E$3,$AI154&lt;출력_요약!$E$3),"서울병원",IF(AND($AI154&gt;=출력_요약!$E$3,$AH154&lt;출력_요약!$E$3),"구리병원","⚠15일 판정불가(서울 "&amp;$AH154&amp;"일/구리 "&amp;$AI154&amp;"일)")),IF($AJ154="",$AE154,IF(INDEX(입력_파견수련계획!$T$4:$T$803,$AJ154)="통합수련",INDEX(입력_파견수련계획!$S$4:$S$803,$AJ154),$AE154)))))))</f>
        <v/>
      </c>
      <c r="Z154" s="20">
        <f>IF($B154="","",IF($AB154="","기본자료에 없는 사번",IF(COUNTIF($B$2:$B$401,$B154)&gt;1,"중복 사번",IF($AE154="","소속(입사장소) 입력",IF(IF(TRIM($J154&amp;"")="",0,SUMPRODUCT((입력_파견수련계획!$Q$4:$Q$803=TRIM($J154&amp;""))*(입력_파견수련계획!$AA$4:$AA$803&lt;&gt;"")))&gt;0,"파견수련계획 입력오류 확인",IF(LEFT($Y154,1)="⚠","서울·구리 15일 판정 불가(양쪽 모두 이상/미만)",IF(IF($AC154="",0,N(INDEX(입력_인턴근무계획!$T$3:$T$402,$AC154)))&gt;0,"인턴계획 입력오류 확인",IF(AND($AQ154&lt;&gt;"",$AG154&lt;&gt;"구리병원",IF(TRIM($J154&amp;"")="",0,SUMPRODUCT((입력_파견수련계획!$Q$4:$Q$803=TRIM($J154&amp;""))*(입력_파견수련계획!$S$4:$S$803="구리병원")*입력_파견수련계획!$W$4:$W$803))=0),"구리 근무자명단에만 있음(파견수련계획 확인)",IF(AND($AC154&lt;&gt;"",$U154&lt;&gt;"파견중",$N154&lt;&gt;$AE154),"인턴 타지역 근무: 파견 여부 확인","정상")))))))))</f>
        <v/>
      </c>
      <c r="AA154" s="5" t="n"/>
      <c r="AB154" s="10">
        <f>IF($B154="","",IFERROR(MATCH($B154,입력_기본자료!$B$2:$B$1001,0),IFERROR(MATCH($B154&amp;"",입력_기본자료!$B$2:$B$1001,0),IFERROR(MATCH(VALUE($B154),입력_기본자료!$B$2:$B$1001,0),""))))</f>
        <v/>
      </c>
      <c r="AC154" s="10">
        <f>IF($B154="","",IFERROR(MATCH($B154,입력_인턴근무계획!$D$3:$D$402,0),IFERROR(MATCH($B154&amp;"",입력_인턴근무계획!$D$3:$D$402,0),IFERROR(MATCH(VALUE($B154),입력_인턴근무계획!$D$3:$D$402,0),""))))</f>
        <v/>
      </c>
      <c r="AD154" s="10">
        <f>IF(OR($AC154="",출력_인턴현황!$G$3=""),"",INDEX(입력_인턴근무계획!$M$3:$R$402,$AC154,출력_인턴현황!$G$3)&amp;"")</f>
        <v/>
      </c>
      <c r="AE154" s="10">
        <f>IF($B154="","",IF($M154&lt;&gt;"",$M154,IF(IF($AQ154="",FALSE,INDEX(출력_구리근무자!$J$6:$J$305,$AQ154)="구리독자"),"구리병원",IF($AF154&lt;&gt;"",IF(LEFT(INDEX(입력_파견수련계획!$R$4:$R$803,$AF154),1)&lt;&gt;"⚠",INDEX(입력_파견수련계획!$R$4:$R$803,$AF154),IF($H154="","",IF(RIGHT($H154,2)="병원",$H154,$H154&amp;"병원"))),IF($H154="","",IF(RIGHT($H154,2)="병원",$H154,$H154&amp;"병원"))))))</f>
        <v/>
      </c>
      <c r="AF154" s="10">
        <f>IF(OR($B154="",TRIM($J154&amp;"")=""),"",IFERROR(MATCH(TRIM($J154&amp;"")&amp;"|파견중",입력_파견수련계획!$Y$4:$Y$803,0),IFERROR(MATCH(TRIM($J154&amp;"")&amp;"|파견예정",입력_파견수련계획!$Y$4:$Y$803,0),IFERROR(MATCH(TRIM($J154&amp;"")&amp;"|파견종료",입력_파견수련계획!$Y$4:$Y$803,0),""))))</f>
        <v/>
      </c>
      <c r="AG154" s="10">
        <f>IF($B154="","",IF(AND(IF(OR($AC154="",출력_인턴현황!$K$2=""),"",INDEX(입력_인턴근무계획!$M$3:$R$402,$AC154,출력_인턴현황!$K$2)&amp;"")&lt;&gt;"",LEFT(IF(OR($AC154="",출력_인턴현황!$K$2=""),"",INDEX(입력_인턴근무계획!$M$3:$R$402,$AC154,출력_인턴현황!$K$2)&amp;""),1)&lt;&gt;"⚠"),LEFT(IF(OR($AC154="",출력_인턴현황!$K$2=""),"",INDEX(입력_인턴근무계획!$M$3:$R$402,$AC154,출력_인턴현황!$K$2)&amp;""),FIND(" ",IF(OR($AC154="",출력_인턴현황!$K$2=""),"",INDEX(입력_인턴근무계획!$M$3:$R$402,$AC154,출력_인턴현황!$K$2)&amp;""))-1),$AE154))</f>
        <v/>
      </c>
      <c r="AH154" s="17">
        <f>IF($B154="","",IF($AQ154&lt;&gt;"",MAX(0,DAY(EOMONTH(출력_요약!$B$3,0))-N($AR154)),IF(TRIM($J154&amp;"")="",0,SUMPRODUCT((입력_파견수련계획!$Q$4:$Q$803=TRIM($J154&amp;""))*(입력_파견수련계획!$S$4:$S$803="서울병원")*입력_파견수련계획!$W$4:$W$803))+IF($AG154="서울병원",MAX(0,DAY(EOMONTH(출력_요약!$B$3,0))-N($X154)),0)))</f>
        <v/>
      </c>
      <c r="AI154" s="17">
        <f>IF($B154="","",IF($AQ154&lt;&gt;"",N($AR154),IF(TRIM($J154&amp;"")="",0,SUMPRODUCT((입력_파견수련계획!$Q$4:$Q$803=TRIM($J154&amp;""))*(입력_파견수련계획!$S$4:$S$803="구리병원")*입력_파견수련계획!$W$4:$W$803))+IF($AG154="구리병원",MAX(0,DAY(EOMONTH(출력_요약!$B$3,0))-N($X154)),0)))</f>
        <v/>
      </c>
      <c r="AJ154" s="10">
        <f>IF(OR($B154="",TRIM($J154&amp;"")=""),"",IFERROR(MATCH(TRIM($J154&amp;"")&amp;"|월",입력_파견수련계획!$Z$4:$Z$803,0),""))</f>
        <v/>
      </c>
      <c r="AK154" s="10">
        <f>IF(OR($B154="",TRIM($J154&amp;"")=""),"",IFERROR(MATCH(TRIM($J154&amp;"")&amp;"|다기관",입력_파견수련계획!$AE$4:$AE$803,0),""))</f>
        <v/>
      </c>
      <c r="AL154" s="10">
        <f>IF($AK154="","","다기관 "&amp;TEXT(INDEX(입력_파견수련계획!$AB$4:$AB$803,$AK154),"yyyy-mm-dd")&amp;"~"&amp;IF(ISNUMBER(INDEX(입력_파견수련계획!$AC$4:$AC$803,$AK154)),TEXT(INDEX(입력_파견수련계획!$AC$4:$AC$803,$AK154),"yyyy-mm-dd"),""))</f>
        <v/>
      </c>
      <c r="AM154" s="10">
        <f>IF($Y154="서울병원",COUNTIF($Y$2:$Y154,"서울병원"),"")</f>
        <v/>
      </c>
      <c r="AN154" s="10">
        <f>IF(LEFT($Y154,1)="⚠",COUNTIF($Y$2:$Y154,"⚠*"),"")</f>
        <v/>
      </c>
      <c r="AO154" s="10">
        <f>IF(OR($B154="",$Y154=""),"",IF(IF(TRIM($J154&amp;"")="",0,SUMPRODUCT((입력_파견수련계획!$Q$4:$Q$803=TRIM($J154&amp;""))*입력_파견수련계획!$AD$4:$AD$803))&gt;0,"다기관 기간 → 소속병원 지급",IF(AND(N($X154)&lt;=0,$AQ154=""),"파견 없음 → 그 달 근무병원 지급",IF($AH154+$AI154=DAY(EOMONTH(출력_요약!$B$3,0)),"서울 "&amp;$AH154&amp;"일 / 구리 "&amp;$AI154&amp;"일"&amp;IF($AQ154&lt;&gt;""," (구리 근무자명단 반영)","")&amp;" → 15일 이상 근무 병원 지급","타 병원 포함 → "&amp;IF($AJ154="","소속",INDEX(입력_파견수련계획!$T$4:$T$803,$AJ154))&amp;" 규칙"))))</f>
        <v/>
      </c>
      <c r="AP154" s="10">
        <f>IF($B154="","",$C154&amp;"|"&amp;$F154)</f>
        <v/>
      </c>
      <c r="AQ154" s="10">
        <f>IF($B154="","",IFERROR(MATCH(ROW()-1,출력_구리근무자!$K$6:$K$305,0),""))</f>
        <v/>
      </c>
      <c r="AR154" s="10">
        <f>IF($AQ154="","",INDEX(출력_구리근무자!$H$6:$H$305,$AQ154))</f>
        <v/>
      </c>
    </row>
    <row r="155">
      <c r="A155" s="10">
        <f>IF(B155="","",ROW()-1)</f>
        <v/>
      </c>
      <c r="B155" s="19" t="n"/>
      <c r="C155" s="10">
        <f>IF($AB155="","",IF(INDEX(입력_기본자료!$C$2:$C$1001,$AB155)="","",INDEX(입력_기본자료!$C$2:$C$1001,$AB155)))</f>
        <v/>
      </c>
      <c r="D155" s="10">
        <f>IF($AB155="","",IF(INDEX(입력_기본자료!$J$2:$J$1001,$AB155)="","",INDEX(입력_기본자료!$J$2:$J$1001,$AB155)))</f>
        <v/>
      </c>
      <c r="E155" s="11">
        <f>IF($AB155="","",IF(INDEX(입력_기본자료!$K$2:$K$1001,$AB155)="","",IF(NOT(ISNUMBER(INDEX(입력_기본자료!$K$2:$K$1001,$AB155))),INDEX(입력_기본자료!$K$2:$K$1001,$AB155),IF(INDEX(입력_기본자료!$K$2:$K$1001,$AB155)&lt;1000000,INDEX(입력_기본자료!$K$2:$K$1001,$AB155),IF(AND(INDEX(입력_기본자료!$K$2:$K$1001,$AB155)&gt;=10000101,INT(MOD(INDEX(입력_기본자료!$K$2:$K$1001,$AB155),10000)/100)&gt;=1,INT(MOD(INDEX(입력_기본자료!$K$2:$K$1001,$AB155),10000)/100)&lt;=12,MOD(INDEX(입력_기본자료!$K$2:$K$1001,$AB155),100)&gt;=1,MOD(INDEX(입력_기본자료!$K$2:$K$1001,$AB155),100)&lt;=31),DATE(INT(INDEX(입력_기본자료!$K$2:$K$1001,$AB155)/10000),INT(MOD(INDEX(입력_기본자료!$K$2:$K$1001,$AB155),10000)/100),MOD(INDEX(입력_기본자료!$K$2:$K$1001,$AB155),100)),INDEX(입력_기본자료!$K$2:$K$1001,$AB155)&amp;"")))))</f>
        <v/>
      </c>
      <c r="F155" s="10">
        <f>IF($AB155="","",IF(INDEX(입력_기본자료!$D$2:$D$1001,$AB155)="","",INDEX(입력_기본자료!$D$2:$D$1001,$AB155)))</f>
        <v/>
      </c>
      <c r="G155" s="10">
        <f>IF($AB155="","",IF(INDEX(입력_기본자료!$E$2:$E$1001,$AB155)="","",INDEX(입력_기본자료!$E$2:$E$1001,$AB155)))</f>
        <v/>
      </c>
      <c r="H155" s="10">
        <f>IF($AB155="","",IF(INDEX(입력_기본자료!$F$2:$F$1001,$AB155)="","",INDEX(입력_기본자료!$F$2:$F$1001,$AB155)))</f>
        <v/>
      </c>
      <c r="I155" s="11">
        <f>IF($AB155="","",IF(INDEX(입력_기본자료!$G$2:$G$1001,$AB155)="","",IF(NOT(ISNUMBER(INDEX(입력_기본자료!$G$2:$G$1001,$AB155))),INDEX(입력_기본자료!$G$2:$G$1001,$AB155),IF(INDEX(입력_기본자료!$G$2:$G$1001,$AB155)&lt;1000000,INDEX(입력_기본자료!$G$2:$G$1001,$AB155),IF(AND(INDEX(입력_기본자료!$G$2:$G$1001,$AB155)&gt;=10000101,INT(MOD(INDEX(입력_기본자료!$G$2:$G$1001,$AB155),10000)/100)&gt;=1,INT(MOD(INDEX(입력_기본자료!$G$2:$G$1001,$AB155),10000)/100)&lt;=12,MOD(INDEX(입력_기본자료!$G$2:$G$1001,$AB155),100)&gt;=1,MOD(INDEX(입력_기본자료!$G$2:$G$1001,$AB155),100)&lt;=31),DATE(INT(INDEX(입력_기본자료!$G$2:$G$1001,$AB155)/10000),INT(MOD(INDEX(입력_기본자료!$G$2:$G$1001,$AB155),10000)/100),MOD(INDEX(입력_기본자료!$G$2:$G$1001,$AB155),100)),INDEX(입력_기본자료!$G$2:$G$1001,$AB155)&amp;"")))))</f>
        <v/>
      </c>
      <c r="J155" s="10">
        <f>IF($AB155="","",IF(INDEX(입력_기본자료!$H$2:$H$1001,$AB155)="","",INDEX(입력_기본자료!$H$2:$H$1001,$AB155)))</f>
        <v/>
      </c>
      <c r="K155" s="10">
        <f>IF($AB155="","",IF(INDEX(입력_기본자료!$I$2:$I$1001,$AB155)="","",INDEX(입력_기본자료!$I$2:$I$1001,$AB155)))</f>
        <v/>
      </c>
      <c r="L155" s="10">
        <f>IF($AB155="","",IF(INDEX(입력_기본자료!$A$2:$A$1001,$AB155)="","",INDEX(입력_기본자료!$A$2:$A$1001,$AB155)))</f>
        <v/>
      </c>
      <c r="M155" s="15" t="n"/>
      <c r="N155" s="10">
        <f>IF($B155="","",IF(AND($U155="파견중",$Q155&lt;&gt;""),$Q155,IF(AND($AD155&lt;&gt;"",LEFT($AD155,1)&lt;&gt;"⚠"),LEFT($AD155,FIND(" ",$AD155)-1),IF($H155="","",IF(RIGHT($H155,2)="병원",$H155,$H155&amp;"병원")))))</f>
        <v/>
      </c>
      <c r="O155" s="10">
        <f>IF($B155="","",IF(AND($U155="파견중",$Q155&lt;&gt;""),IF($R155&lt;&gt;"",$R155,"파견과 미입력"),IF(AND($AD155&lt;&gt;"",LEFT($AD155,1)&lt;&gt;"⚠"),MID($AD155,FIND(" ",$AD155)+1,60),IF($F155="","",IF($F155="인턴","수련교육부(인턴)",$F155)))))</f>
        <v/>
      </c>
      <c r="P155" s="10">
        <f>IF($B155="","",IF($AK155&lt;&gt;"",IF(AND(TODAY()&gt;=INDEX(입력_파견수련계획!$AB$4:$AB$803,$AK155),OR(NOT(ISNUMBER(INDEX(입력_파견수련계획!$AC$4:$AC$803,$AK155))),TODAY()&lt;=INDEX(입력_파견수련계획!$AC$4:$AC$803,$AK155))),"다기관",IF($AF155="","",INDEX(입력_파견수련계획!$T$4:$T$803,$AF155))),IF($AF155="","",INDEX(입력_파견수련계획!$T$4:$T$803,$AF155))))</f>
        <v/>
      </c>
      <c r="Q155" s="10">
        <f>IF($AF155="","",INDEX(입력_파견수련계획!$S$4:$S$803,$AF155))</f>
        <v/>
      </c>
      <c r="R155" s="10">
        <f>IF($AF155="","",INDEX(입력_파견수련계획!$U$4:$U$803,$AF155))</f>
        <v/>
      </c>
      <c r="S155" s="11">
        <f>IF($AF155="","",IF(INDEX(입력_파견수련계획!$H$4:$H$803,$AF155)="","",INDEX(입력_파견수련계획!$H$4:$H$803,$AF155)))</f>
        <v/>
      </c>
      <c r="T155" s="11">
        <f>IF($AF155="","",IF(INDEX(입력_파견수련계획!$I$4:$I$803,$AF155)="","",INDEX(입력_파견수련계획!$I$4:$I$803,$AF155)))</f>
        <v/>
      </c>
      <c r="U155" s="10">
        <f>IF($AF155="","",INDEX(입력_파견수련계획!$X$4:$X$803,$AF155))</f>
        <v/>
      </c>
      <c r="V155" s="17">
        <f>IF($AF155="","",INDEX(입력_파견수련계획!$V$4:$V$803,$AF155))</f>
        <v/>
      </c>
      <c r="W155" s="17">
        <f>IF(AND($U155="파견중",$T155&lt;&gt;""),$T155-TODAY(),"")</f>
        <v/>
      </c>
      <c r="X155" s="17">
        <f>IF(OR($B155="",TRIM($J155&amp;"")=""),"",SUMPRODUCT((입력_파견수련계획!$Q$4:$Q$803=TRIM($J155&amp;""))*입력_파견수련계획!$W$4:$W$803))</f>
        <v/>
      </c>
      <c r="Y155" s="10">
        <f>IF($B155="","",IF($AG155="","",IF(IF(TRIM($J155&amp;"")="",0,SUMPRODUCT((입력_파견수련계획!$Q$4:$Q$803=TRIM($J155&amp;""))*입력_파견수련계획!$AD$4:$AD$803))&gt;0,$AE155,IF(AND(N($X155)&lt;=0,$AQ155=""),$AG155,IF($AH155+$AI155=DAY(EOMONTH(출력_요약!$B$3,0)),IF(AND($AH155&gt;=출력_요약!$E$3,$AI155&lt;출력_요약!$E$3),"서울병원",IF(AND($AI155&gt;=출력_요약!$E$3,$AH155&lt;출력_요약!$E$3),"구리병원","⚠15일 판정불가(서울 "&amp;$AH155&amp;"일/구리 "&amp;$AI155&amp;"일)")),IF($AJ155="",$AE155,IF(INDEX(입력_파견수련계획!$T$4:$T$803,$AJ155)="통합수련",INDEX(입력_파견수련계획!$S$4:$S$803,$AJ155),$AE155)))))))</f>
        <v/>
      </c>
      <c r="Z155" s="20">
        <f>IF($B155="","",IF($AB155="","기본자료에 없는 사번",IF(COUNTIF($B$2:$B$401,$B155)&gt;1,"중복 사번",IF($AE155="","소속(입사장소) 입력",IF(IF(TRIM($J155&amp;"")="",0,SUMPRODUCT((입력_파견수련계획!$Q$4:$Q$803=TRIM($J155&amp;""))*(입력_파견수련계획!$AA$4:$AA$803&lt;&gt;"")))&gt;0,"파견수련계획 입력오류 확인",IF(LEFT($Y155,1)="⚠","서울·구리 15일 판정 불가(양쪽 모두 이상/미만)",IF(IF($AC155="",0,N(INDEX(입력_인턴근무계획!$T$3:$T$402,$AC155)))&gt;0,"인턴계획 입력오류 확인",IF(AND($AQ155&lt;&gt;"",$AG155&lt;&gt;"구리병원",IF(TRIM($J155&amp;"")="",0,SUMPRODUCT((입력_파견수련계획!$Q$4:$Q$803=TRIM($J155&amp;""))*(입력_파견수련계획!$S$4:$S$803="구리병원")*입력_파견수련계획!$W$4:$W$803))=0),"구리 근무자명단에만 있음(파견수련계획 확인)",IF(AND($AC155&lt;&gt;"",$U155&lt;&gt;"파견중",$N155&lt;&gt;$AE155),"인턴 타지역 근무: 파견 여부 확인","정상")))))))))</f>
        <v/>
      </c>
      <c r="AA155" s="5" t="n"/>
      <c r="AB155" s="10">
        <f>IF($B155="","",IFERROR(MATCH($B155,입력_기본자료!$B$2:$B$1001,0),IFERROR(MATCH($B155&amp;"",입력_기본자료!$B$2:$B$1001,0),IFERROR(MATCH(VALUE($B155),입력_기본자료!$B$2:$B$1001,0),""))))</f>
        <v/>
      </c>
      <c r="AC155" s="10">
        <f>IF($B155="","",IFERROR(MATCH($B155,입력_인턴근무계획!$D$3:$D$402,0),IFERROR(MATCH($B155&amp;"",입력_인턴근무계획!$D$3:$D$402,0),IFERROR(MATCH(VALUE($B155),입력_인턴근무계획!$D$3:$D$402,0),""))))</f>
        <v/>
      </c>
      <c r="AD155" s="10">
        <f>IF(OR($AC155="",출력_인턴현황!$G$3=""),"",INDEX(입력_인턴근무계획!$M$3:$R$402,$AC155,출력_인턴현황!$G$3)&amp;"")</f>
        <v/>
      </c>
      <c r="AE155" s="10">
        <f>IF($B155="","",IF($M155&lt;&gt;"",$M155,IF(IF($AQ155="",FALSE,INDEX(출력_구리근무자!$J$6:$J$305,$AQ155)="구리독자"),"구리병원",IF($AF155&lt;&gt;"",IF(LEFT(INDEX(입력_파견수련계획!$R$4:$R$803,$AF155),1)&lt;&gt;"⚠",INDEX(입력_파견수련계획!$R$4:$R$803,$AF155),IF($H155="","",IF(RIGHT($H155,2)="병원",$H155,$H155&amp;"병원"))),IF($H155="","",IF(RIGHT($H155,2)="병원",$H155,$H155&amp;"병원"))))))</f>
        <v/>
      </c>
      <c r="AF155" s="10">
        <f>IF(OR($B155="",TRIM($J155&amp;"")=""),"",IFERROR(MATCH(TRIM($J155&amp;"")&amp;"|파견중",입력_파견수련계획!$Y$4:$Y$803,0),IFERROR(MATCH(TRIM($J155&amp;"")&amp;"|파견예정",입력_파견수련계획!$Y$4:$Y$803,0),IFERROR(MATCH(TRIM($J155&amp;"")&amp;"|파견종료",입력_파견수련계획!$Y$4:$Y$803,0),""))))</f>
        <v/>
      </c>
      <c r="AG155" s="10">
        <f>IF($B155="","",IF(AND(IF(OR($AC155="",출력_인턴현황!$K$2=""),"",INDEX(입력_인턴근무계획!$M$3:$R$402,$AC155,출력_인턴현황!$K$2)&amp;"")&lt;&gt;"",LEFT(IF(OR($AC155="",출력_인턴현황!$K$2=""),"",INDEX(입력_인턴근무계획!$M$3:$R$402,$AC155,출력_인턴현황!$K$2)&amp;""),1)&lt;&gt;"⚠"),LEFT(IF(OR($AC155="",출력_인턴현황!$K$2=""),"",INDEX(입력_인턴근무계획!$M$3:$R$402,$AC155,출력_인턴현황!$K$2)&amp;""),FIND(" ",IF(OR($AC155="",출력_인턴현황!$K$2=""),"",INDEX(입력_인턴근무계획!$M$3:$R$402,$AC155,출력_인턴현황!$K$2)&amp;""))-1),$AE155))</f>
        <v/>
      </c>
      <c r="AH155" s="17">
        <f>IF($B155="","",IF($AQ155&lt;&gt;"",MAX(0,DAY(EOMONTH(출력_요약!$B$3,0))-N($AR155)),IF(TRIM($J155&amp;"")="",0,SUMPRODUCT((입력_파견수련계획!$Q$4:$Q$803=TRIM($J155&amp;""))*(입력_파견수련계획!$S$4:$S$803="서울병원")*입력_파견수련계획!$W$4:$W$803))+IF($AG155="서울병원",MAX(0,DAY(EOMONTH(출력_요약!$B$3,0))-N($X155)),0)))</f>
        <v/>
      </c>
      <c r="AI155" s="17">
        <f>IF($B155="","",IF($AQ155&lt;&gt;"",N($AR155),IF(TRIM($J155&amp;"")="",0,SUMPRODUCT((입력_파견수련계획!$Q$4:$Q$803=TRIM($J155&amp;""))*(입력_파견수련계획!$S$4:$S$803="구리병원")*입력_파견수련계획!$W$4:$W$803))+IF($AG155="구리병원",MAX(0,DAY(EOMONTH(출력_요약!$B$3,0))-N($X155)),0)))</f>
        <v/>
      </c>
      <c r="AJ155" s="10">
        <f>IF(OR($B155="",TRIM($J155&amp;"")=""),"",IFERROR(MATCH(TRIM($J155&amp;"")&amp;"|월",입력_파견수련계획!$Z$4:$Z$803,0),""))</f>
        <v/>
      </c>
      <c r="AK155" s="10">
        <f>IF(OR($B155="",TRIM($J155&amp;"")=""),"",IFERROR(MATCH(TRIM($J155&amp;"")&amp;"|다기관",입력_파견수련계획!$AE$4:$AE$803,0),""))</f>
        <v/>
      </c>
      <c r="AL155" s="10">
        <f>IF($AK155="","","다기관 "&amp;TEXT(INDEX(입력_파견수련계획!$AB$4:$AB$803,$AK155),"yyyy-mm-dd")&amp;"~"&amp;IF(ISNUMBER(INDEX(입력_파견수련계획!$AC$4:$AC$803,$AK155)),TEXT(INDEX(입력_파견수련계획!$AC$4:$AC$803,$AK155),"yyyy-mm-dd"),""))</f>
        <v/>
      </c>
      <c r="AM155" s="10">
        <f>IF($Y155="서울병원",COUNTIF($Y$2:$Y155,"서울병원"),"")</f>
        <v/>
      </c>
      <c r="AN155" s="10">
        <f>IF(LEFT($Y155,1)="⚠",COUNTIF($Y$2:$Y155,"⚠*"),"")</f>
        <v/>
      </c>
      <c r="AO155" s="10">
        <f>IF(OR($B155="",$Y155=""),"",IF(IF(TRIM($J155&amp;"")="",0,SUMPRODUCT((입력_파견수련계획!$Q$4:$Q$803=TRIM($J155&amp;""))*입력_파견수련계획!$AD$4:$AD$803))&gt;0,"다기관 기간 → 소속병원 지급",IF(AND(N($X155)&lt;=0,$AQ155=""),"파견 없음 → 그 달 근무병원 지급",IF($AH155+$AI155=DAY(EOMONTH(출력_요약!$B$3,0)),"서울 "&amp;$AH155&amp;"일 / 구리 "&amp;$AI155&amp;"일"&amp;IF($AQ155&lt;&gt;""," (구리 근무자명단 반영)","")&amp;" → 15일 이상 근무 병원 지급","타 병원 포함 → "&amp;IF($AJ155="","소속",INDEX(입력_파견수련계획!$T$4:$T$803,$AJ155))&amp;" 규칙"))))</f>
        <v/>
      </c>
      <c r="AP155" s="10">
        <f>IF($B155="","",$C155&amp;"|"&amp;$F155)</f>
        <v/>
      </c>
      <c r="AQ155" s="10">
        <f>IF($B155="","",IFERROR(MATCH(ROW()-1,출력_구리근무자!$K$6:$K$305,0),""))</f>
        <v/>
      </c>
      <c r="AR155" s="10">
        <f>IF($AQ155="","",INDEX(출력_구리근무자!$H$6:$H$305,$AQ155))</f>
        <v/>
      </c>
    </row>
    <row r="156">
      <c r="A156" s="10">
        <f>IF(B156="","",ROW()-1)</f>
        <v/>
      </c>
      <c r="B156" s="19" t="n"/>
      <c r="C156" s="10">
        <f>IF($AB156="","",IF(INDEX(입력_기본자료!$C$2:$C$1001,$AB156)="","",INDEX(입력_기본자료!$C$2:$C$1001,$AB156)))</f>
        <v/>
      </c>
      <c r="D156" s="10">
        <f>IF($AB156="","",IF(INDEX(입력_기본자료!$J$2:$J$1001,$AB156)="","",INDEX(입력_기본자료!$J$2:$J$1001,$AB156)))</f>
        <v/>
      </c>
      <c r="E156" s="11">
        <f>IF($AB156="","",IF(INDEX(입력_기본자료!$K$2:$K$1001,$AB156)="","",IF(NOT(ISNUMBER(INDEX(입력_기본자료!$K$2:$K$1001,$AB156))),INDEX(입력_기본자료!$K$2:$K$1001,$AB156),IF(INDEX(입력_기본자료!$K$2:$K$1001,$AB156)&lt;1000000,INDEX(입력_기본자료!$K$2:$K$1001,$AB156),IF(AND(INDEX(입력_기본자료!$K$2:$K$1001,$AB156)&gt;=10000101,INT(MOD(INDEX(입력_기본자료!$K$2:$K$1001,$AB156),10000)/100)&gt;=1,INT(MOD(INDEX(입력_기본자료!$K$2:$K$1001,$AB156),10000)/100)&lt;=12,MOD(INDEX(입력_기본자료!$K$2:$K$1001,$AB156),100)&gt;=1,MOD(INDEX(입력_기본자료!$K$2:$K$1001,$AB156),100)&lt;=31),DATE(INT(INDEX(입력_기본자료!$K$2:$K$1001,$AB156)/10000),INT(MOD(INDEX(입력_기본자료!$K$2:$K$1001,$AB156),10000)/100),MOD(INDEX(입력_기본자료!$K$2:$K$1001,$AB156),100)),INDEX(입력_기본자료!$K$2:$K$1001,$AB156)&amp;"")))))</f>
        <v/>
      </c>
      <c r="F156" s="10">
        <f>IF($AB156="","",IF(INDEX(입력_기본자료!$D$2:$D$1001,$AB156)="","",INDEX(입력_기본자료!$D$2:$D$1001,$AB156)))</f>
        <v/>
      </c>
      <c r="G156" s="10">
        <f>IF($AB156="","",IF(INDEX(입력_기본자료!$E$2:$E$1001,$AB156)="","",INDEX(입력_기본자료!$E$2:$E$1001,$AB156)))</f>
        <v/>
      </c>
      <c r="H156" s="10">
        <f>IF($AB156="","",IF(INDEX(입력_기본자료!$F$2:$F$1001,$AB156)="","",INDEX(입력_기본자료!$F$2:$F$1001,$AB156)))</f>
        <v/>
      </c>
      <c r="I156" s="11">
        <f>IF($AB156="","",IF(INDEX(입력_기본자료!$G$2:$G$1001,$AB156)="","",IF(NOT(ISNUMBER(INDEX(입력_기본자료!$G$2:$G$1001,$AB156))),INDEX(입력_기본자료!$G$2:$G$1001,$AB156),IF(INDEX(입력_기본자료!$G$2:$G$1001,$AB156)&lt;1000000,INDEX(입력_기본자료!$G$2:$G$1001,$AB156),IF(AND(INDEX(입력_기본자료!$G$2:$G$1001,$AB156)&gt;=10000101,INT(MOD(INDEX(입력_기본자료!$G$2:$G$1001,$AB156),10000)/100)&gt;=1,INT(MOD(INDEX(입력_기본자료!$G$2:$G$1001,$AB156),10000)/100)&lt;=12,MOD(INDEX(입력_기본자료!$G$2:$G$1001,$AB156),100)&gt;=1,MOD(INDEX(입력_기본자료!$G$2:$G$1001,$AB156),100)&lt;=31),DATE(INT(INDEX(입력_기본자료!$G$2:$G$1001,$AB156)/10000),INT(MOD(INDEX(입력_기본자료!$G$2:$G$1001,$AB156),10000)/100),MOD(INDEX(입력_기본자료!$G$2:$G$1001,$AB156),100)),INDEX(입력_기본자료!$G$2:$G$1001,$AB156)&amp;"")))))</f>
        <v/>
      </c>
      <c r="J156" s="10">
        <f>IF($AB156="","",IF(INDEX(입력_기본자료!$H$2:$H$1001,$AB156)="","",INDEX(입력_기본자료!$H$2:$H$1001,$AB156)))</f>
        <v/>
      </c>
      <c r="K156" s="10">
        <f>IF($AB156="","",IF(INDEX(입력_기본자료!$I$2:$I$1001,$AB156)="","",INDEX(입력_기본자료!$I$2:$I$1001,$AB156)))</f>
        <v/>
      </c>
      <c r="L156" s="10">
        <f>IF($AB156="","",IF(INDEX(입력_기본자료!$A$2:$A$1001,$AB156)="","",INDEX(입력_기본자료!$A$2:$A$1001,$AB156)))</f>
        <v/>
      </c>
      <c r="M156" s="15" t="n"/>
      <c r="N156" s="10">
        <f>IF($B156="","",IF(AND($U156="파견중",$Q156&lt;&gt;""),$Q156,IF(AND($AD156&lt;&gt;"",LEFT($AD156,1)&lt;&gt;"⚠"),LEFT($AD156,FIND(" ",$AD156)-1),IF($H156="","",IF(RIGHT($H156,2)="병원",$H156,$H156&amp;"병원")))))</f>
        <v/>
      </c>
      <c r="O156" s="10">
        <f>IF($B156="","",IF(AND($U156="파견중",$Q156&lt;&gt;""),IF($R156&lt;&gt;"",$R156,"파견과 미입력"),IF(AND($AD156&lt;&gt;"",LEFT($AD156,1)&lt;&gt;"⚠"),MID($AD156,FIND(" ",$AD156)+1,60),IF($F156="","",IF($F156="인턴","수련교육부(인턴)",$F156)))))</f>
        <v/>
      </c>
      <c r="P156" s="10">
        <f>IF($B156="","",IF($AK156&lt;&gt;"",IF(AND(TODAY()&gt;=INDEX(입력_파견수련계획!$AB$4:$AB$803,$AK156),OR(NOT(ISNUMBER(INDEX(입력_파견수련계획!$AC$4:$AC$803,$AK156))),TODAY()&lt;=INDEX(입력_파견수련계획!$AC$4:$AC$803,$AK156))),"다기관",IF($AF156="","",INDEX(입력_파견수련계획!$T$4:$T$803,$AF156))),IF($AF156="","",INDEX(입력_파견수련계획!$T$4:$T$803,$AF156))))</f>
        <v/>
      </c>
      <c r="Q156" s="10">
        <f>IF($AF156="","",INDEX(입력_파견수련계획!$S$4:$S$803,$AF156))</f>
        <v/>
      </c>
      <c r="R156" s="10">
        <f>IF($AF156="","",INDEX(입력_파견수련계획!$U$4:$U$803,$AF156))</f>
        <v/>
      </c>
      <c r="S156" s="11">
        <f>IF($AF156="","",IF(INDEX(입력_파견수련계획!$H$4:$H$803,$AF156)="","",INDEX(입력_파견수련계획!$H$4:$H$803,$AF156)))</f>
        <v/>
      </c>
      <c r="T156" s="11">
        <f>IF($AF156="","",IF(INDEX(입력_파견수련계획!$I$4:$I$803,$AF156)="","",INDEX(입력_파견수련계획!$I$4:$I$803,$AF156)))</f>
        <v/>
      </c>
      <c r="U156" s="10">
        <f>IF($AF156="","",INDEX(입력_파견수련계획!$X$4:$X$803,$AF156))</f>
        <v/>
      </c>
      <c r="V156" s="17">
        <f>IF($AF156="","",INDEX(입력_파견수련계획!$V$4:$V$803,$AF156))</f>
        <v/>
      </c>
      <c r="W156" s="17">
        <f>IF(AND($U156="파견중",$T156&lt;&gt;""),$T156-TODAY(),"")</f>
        <v/>
      </c>
      <c r="X156" s="17">
        <f>IF(OR($B156="",TRIM($J156&amp;"")=""),"",SUMPRODUCT((입력_파견수련계획!$Q$4:$Q$803=TRIM($J156&amp;""))*입력_파견수련계획!$W$4:$W$803))</f>
        <v/>
      </c>
      <c r="Y156" s="10">
        <f>IF($B156="","",IF($AG156="","",IF(IF(TRIM($J156&amp;"")="",0,SUMPRODUCT((입력_파견수련계획!$Q$4:$Q$803=TRIM($J156&amp;""))*입력_파견수련계획!$AD$4:$AD$803))&gt;0,$AE156,IF(AND(N($X156)&lt;=0,$AQ156=""),$AG156,IF($AH156+$AI156=DAY(EOMONTH(출력_요약!$B$3,0)),IF(AND($AH156&gt;=출력_요약!$E$3,$AI156&lt;출력_요약!$E$3),"서울병원",IF(AND($AI156&gt;=출력_요약!$E$3,$AH156&lt;출력_요약!$E$3),"구리병원","⚠15일 판정불가(서울 "&amp;$AH156&amp;"일/구리 "&amp;$AI156&amp;"일)")),IF($AJ156="",$AE156,IF(INDEX(입력_파견수련계획!$T$4:$T$803,$AJ156)="통합수련",INDEX(입력_파견수련계획!$S$4:$S$803,$AJ156),$AE156)))))))</f>
        <v/>
      </c>
      <c r="Z156" s="20">
        <f>IF($B156="","",IF($AB156="","기본자료에 없는 사번",IF(COUNTIF($B$2:$B$401,$B156)&gt;1,"중복 사번",IF($AE156="","소속(입사장소) 입력",IF(IF(TRIM($J156&amp;"")="",0,SUMPRODUCT((입력_파견수련계획!$Q$4:$Q$803=TRIM($J156&amp;""))*(입력_파견수련계획!$AA$4:$AA$803&lt;&gt;"")))&gt;0,"파견수련계획 입력오류 확인",IF(LEFT($Y156,1)="⚠","서울·구리 15일 판정 불가(양쪽 모두 이상/미만)",IF(IF($AC156="",0,N(INDEX(입력_인턴근무계획!$T$3:$T$402,$AC156)))&gt;0,"인턴계획 입력오류 확인",IF(AND($AQ156&lt;&gt;"",$AG156&lt;&gt;"구리병원",IF(TRIM($J156&amp;"")="",0,SUMPRODUCT((입력_파견수련계획!$Q$4:$Q$803=TRIM($J156&amp;""))*(입력_파견수련계획!$S$4:$S$803="구리병원")*입력_파견수련계획!$W$4:$W$803))=0),"구리 근무자명단에만 있음(파견수련계획 확인)",IF(AND($AC156&lt;&gt;"",$U156&lt;&gt;"파견중",$N156&lt;&gt;$AE156),"인턴 타지역 근무: 파견 여부 확인","정상")))))))))</f>
        <v/>
      </c>
      <c r="AA156" s="5" t="n"/>
      <c r="AB156" s="10">
        <f>IF($B156="","",IFERROR(MATCH($B156,입력_기본자료!$B$2:$B$1001,0),IFERROR(MATCH($B156&amp;"",입력_기본자료!$B$2:$B$1001,0),IFERROR(MATCH(VALUE($B156),입력_기본자료!$B$2:$B$1001,0),""))))</f>
        <v/>
      </c>
      <c r="AC156" s="10">
        <f>IF($B156="","",IFERROR(MATCH($B156,입력_인턴근무계획!$D$3:$D$402,0),IFERROR(MATCH($B156&amp;"",입력_인턴근무계획!$D$3:$D$402,0),IFERROR(MATCH(VALUE($B156),입력_인턴근무계획!$D$3:$D$402,0),""))))</f>
        <v/>
      </c>
      <c r="AD156" s="10">
        <f>IF(OR($AC156="",출력_인턴현황!$G$3=""),"",INDEX(입력_인턴근무계획!$M$3:$R$402,$AC156,출력_인턴현황!$G$3)&amp;"")</f>
        <v/>
      </c>
      <c r="AE156" s="10">
        <f>IF($B156="","",IF($M156&lt;&gt;"",$M156,IF(IF($AQ156="",FALSE,INDEX(출력_구리근무자!$J$6:$J$305,$AQ156)="구리독자"),"구리병원",IF($AF156&lt;&gt;"",IF(LEFT(INDEX(입력_파견수련계획!$R$4:$R$803,$AF156),1)&lt;&gt;"⚠",INDEX(입력_파견수련계획!$R$4:$R$803,$AF156),IF($H156="","",IF(RIGHT($H156,2)="병원",$H156,$H156&amp;"병원"))),IF($H156="","",IF(RIGHT($H156,2)="병원",$H156,$H156&amp;"병원"))))))</f>
        <v/>
      </c>
      <c r="AF156" s="10">
        <f>IF(OR($B156="",TRIM($J156&amp;"")=""),"",IFERROR(MATCH(TRIM($J156&amp;"")&amp;"|파견중",입력_파견수련계획!$Y$4:$Y$803,0),IFERROR(MATCH(TRIM($J156&amp;"")&amp;"|파견예정",입력_파견수련계획!$Y$4:$Y$803,0),IFERROR(MATCH(TRIM($J156&amp;"")&amp;"|파견종료",입력_파견수련계획!$Y$4:$Y$803,0),""))))</f>
        <v/>
      </c>
      <c r="AG156" s="10">
        <f>IF($B156="","",IF(AND(IF(OR($AC156="",출력_인턴현황!$K$2=""),"",INDEX(입력_인턴근무계획!$M$3:$R$402,$AC156,출력_인턴현황!$K$2)&amp;"")&lt;&gt;"",LEFT(IF(OR($AC156="",출력_인턴현황!$K$2=""),"",INDEX(입력_인턴근무계획!$M$3:$R$402,$AC156,출력_인턴현황!$K$2)&amp;""),1)&lt;&gt;"⚠"),LEFT(IF(OR($AC156="",출력_인턴현황!$K$2=""),"",INDEX(입력_인턴근무계획!$M$3:$R$402,$AC156,출력_인턴현황!$K$2)&amp;""),FIND(" ",IF(OR($AC156="",출력_인턴현황!$K$2=""),"",INDEX(입력_인턴근무계획!$M$3:$R$402,$AC156,출력_인턴현황!$K$2)&amp;""))-1),$AE156))</f>
        <v/>
      </c>
      <c r="AH156" s="17">
        <f>IF($B156="","",IF($AQ156&lt;&gt;"",MAX(0,DAY(EOMONTH(출력_요약!$B$3,0))-N($AR156)),IF(TRIM($J156&amp;"")="",0,SUMPRODUCT((입력_파견수련계획!$Q$4:$Q$803=TRIM($J156&amp;""))*(입력_파견수련계획!$S$4:$S$803="서울병원")*입력_파견수련계획!$W$4:$W$803))+IF($AG156="서울병원",MAX(0,DAY(EOMONTH(출력_요약!$B$3,0))-N($X156)),0)))</f>
        <v/>
      </c>
      <c r="AI156" s="17">
        <f>IF($B156="","",IF($AQ156&lt;&gt;"",N($AR156),IF(TRIM($J156&amp;"")="",0,SUMPRODUCT((입력_파견수련계획!$Q$4:$Q$803=TRIM($J156&amp;""))*(입력_파견수련계획!$S$4:$S$803="구리병원")*입력_파견수련계획!$W$4:$W$803))+IF($AG156="구리병원",MAX(0,DAY(EOMONTH(출력_요약!$B$3,0))-N($X156)),0)))</f>
        <v/>
      </c>
      <c r="AJ156" s="10">
        <f>IF(OR($B156="",TRIM($J156&amp;"")=""),"",IFERROR(MATCH(TRIM($J156&amp;"")&amp;"|월",입력_파견수련계획!$Z$4:$Z$803,0),""))</f>
        <v/>
      </c>
      <c r="AK156" s="10">
        <f>IF(OR($B156="",TRIM($J156&amp;"")=""),"",IFERROR(MATCH(TRIM($J156&amp;"")&amp;"|다기관",입력_파견수련계획!$AE$4:$AE$803,0),""))</f>
        <v/>
      </c>
      <c r="AL156" s="10">
        <f>IF($AK156="","","다기관 "&amp;TEXT(INDEX(입력_파견수련계획!$AB$4:$AB$803,$AK156),"yyyy-mm-dd")&amp;"~"&amp;IF(ISNUMBER(INDEX(입력_파견수련계획!$AC$4:$AC$803,$AK156)),TEXT(INDEX(입력_파견수련계획!$AC$4:$AC$803,$AK156),"yyyy-mm-dd"),""))</f>
        <v/>
      </c>
      <c r="AM156" s="10">
        <f>IF($Y156="서울병원",COUNTIF($Y$2:$Y156,"서울병원"),"")</f>
        <v/>
      </c>
      <c r="AN156" s="10">
        <f>IF(LEFT($Y156,1)="⚠",COUNTIF($Y$2:$Y156,"⚠*"),"")</f>
        <v/>
      </c>
      <c r="AO156" s="10">
        <f>IF(OR($B156="",$Y156=""),"",IF(IF(TRIM($J156&amp;"")="",0,SUMPRODUCT((입력_파견수련계획!$Q$4:$Q$803=TRIM($J156&amp;""))*입력_파견수련계획!$AD$4:$AD$803))&gt;0,"다기관 기간 → 소속병원 지급",IF(AND(N($X156)&lt;=0,$AQ156=""),"파견 없음 → 그 달 근무병원 지급",IF($AH156+$AI156=DAY(EOMONTH(출력_요약!$B$3,0)),"서울 "&amp;$AH156&amp;"일 / 구리 "&amp;$AI156&amp;"일"&amp;IF($AQ156&lt;&gt;""," (구리 근무자명단 반영)","")&amp;" → 15일 이상 근무 병원 지급","타 병원 포함 → "&amp;IF($AJ156="","소속",INDEX(입력_파견수련계획!$T$4:$T$803,$AJ156))&amp;" 규칙"))))</f>
        <v/>
      </c>
      <c r="AP156" s="10">
        <f>IF($B156="","",$C156&amp;"|"&amp;$F156)</f>
        <v/>
      </c>
      <c r="AQ156" s="10">
        <f>IF($B156="","",IFERROR(MATCH(ROW()-1,출력_구리근무자!$K$6:$K$305,0),""))</f>
        <v/>
      </c>
      <c r="AR156" s="10">
        <f>IF($AQ156="","",INDEX(출력_구리근무자!$H$6:$H$305,$AQ156))</f>
        <v/>
      </c>
    </row>
    <row r="157">
      <c r="A157" s="10">
        <f>IF(B157="","",ROW()-1)</f>
        <v/>
      </c>
      <c r="B157" s="19" t="n"/>
      <c r="C157" s="10">
        <f>IF($AB157="","",IF(INDEX(입력_기본자료!$C$2:$C$1001,$AB157)="","",INDEX(입력_기본자료!$C$2:$C$1001,$AB157)))</f>
        <v/>
      </c>
      <c r="D157" s="10">
        <f>IF($AB157="","",IF(INDEX(입력_기본자료!$J$2:$J$1001,$AB157)="","",INDEX(입력_기본자료!$J$2:$J$1001,$AB157)))</f>
        <v/>
      </c>
      <c r="E157" s="11">
        <f>IF($AB157="","",IF(INDEX(입력_기본자료!$K$2:$K$1001,$AB157)="","",IF(NOT(ISNUMBER(INDEX(입력_기본자료!$K$2:$K$1001,$AB157))),INDEX(입력_기본자료!$K$2:$K$1001,$AB157),IF(INDEX(입력_기본자료!$K$2:$K$1001,$AB157)&lt;1000000,INDEX(입력_기본자료!$K$2:$K$1001,$AB157),IF(AND(INDEX(입력_기본자료!$K$2:$K$1001,$AB157)&gt;=10000101,INT(MOD(INDEX(입력_기본자료!$K$2:$K$1001,$AB157),10000)/100)&gt;=1,INT(MOD(INDEX(입력_기본자료!$K$2:$K$1001,$AB157),10000)/100)&lt;=12,MOD(INDEX(입력_기본자료!$K$2:$K$1001,$AB157),100)&gt;=1,MOD(INDEX(입력_기본자료!$K$2:$K$1001,$AB157),100)&lt;=31),DATE(INT(INDEX(입력_기본자료!$K$2:$K$1001,$AB157)/10000),INT(MOD(INDEX(입력_기본자료!$K$2:$K$1001,$AB157),10000)/100),MOD(INDEX(입력_기본자료!$K$2:$K$1001,$AB157),100)),INDEX(입력_기본자료!$K$2:$K$1001,$AB157)&amp;"")))))</f>
        <v/>
      </c>
      <c r="F157" s="10">
        <f>IF($AB157="","",IF(INDEX(입력_기본자료!$D$2:$D$1001,$AB157)="","",INDEX(입력_기본자료!$D$2:$D$1001,$AB157)))</f>
        <v/>
      </c>
      <c r="G157" s="10">
        <f>IF($AB157="","",IF(INDEX(입력_기본자료!$E$2:$E$1001,$AB157)="","",INDEX(입력_기본자료!$E$2:$E$1001,$AB157)))</f>
        <v/>
      </c>
      <c r="H157" s="10">
        <f>IF($AB157="","",IF(INDEX(입력_기본자료!$F$2:$F$1001,$AB157)="","",INDEX(입력_기본자료!$F$2:$F$1001,$AB157)))</f>
        <v/>
      </c>
      <c r="I157" s="11">
        <f>IF($AB157="","",IF(INDEX(입력_기본자료!$G$2:$G$1001,$AB157)="","",IF(NOT(ISNUMBER(INDEX(입력_기본자료!$G$2:$G$1001,$AB157))),INDEX(입력_기본자료!$G$2:$G$1001,$AB157),IF(INDEX(입력_기본자료!$G$2:$G$1001,$AB157)&lt;1000000,INDEX(입력_기본자료!$G$2:$G$1001,$AB157),IF(AND(INDEX(입력_기본자료!$G$2:$G$1001,$AB157)&gt;=10000101,INT(MOD(INDEX(입력_기본자료!$G$2:$G$1001,$AB157),10000)/100)&gt;=1,INT(MOD(INDEX(입력_기본자료!$G$2:$G$1001,$AB157),10000)/100)&lt;=12,MOD(INDEX(입력_기본자료!$G$2:$G$1001,$AB157),100)&gt;=1,MOD(INDEX(입력_기본자료!$G$2:$G$1001,$AB157),100)&lt;=31),DATE(INT(INDEX(입력_기본자료!$G$2:$G$1001,$AB157)/10000),INT(MOD(INDEX(입력_기본자료!$G$2:$G$1001,$AB157),10000)/100),MOD(INDEX(입력_기본자료!$G$2:$G$1001,$AB157),100)),INDEX(입력_기본자료!$G$2:$G$1001,$AB157)&amp;"")))))</f>
        <v/>
      </c>
      <c r="J157" s="10">
        <f>IF($AB157="","",IF(INDEX(입력_기본자료!$H$2:$H$1001,$AB157)="","",INDEX(입력_기본자료!$H$2:$H$1001,$AB157)))</f>
        <v/>
      </c>
      <c r="K157" s="10">
        <f>IF($AB157="","",IF(INDEX(입력_기본자료!$I$2:$I$1001,$AB157)="","",INDEX(입력_기본자료!$I$2:$I$1001,$AB157)))</f>
        <v/>
      </c>
      <c r="L157" s="10">
        <f>IF($AB157="","",IF(INDEX(입력_기본자료!$A$2:$A$1001,$AB157)="","",INDEX(입력_기본자료!$A$2:$A$1001,$AB157)))</f>
        <v/>
      </c>
      <c r="M157" s="15" t="n"/>
      <c r="N157" s="10">
        <f>IF($B157="","",IF(AND($U157="파견중",$Q157&lt;&gt;""),$Q157,IF(AND($AD157&lt;&gt;"",LEFT($AD157,1)&lt;&gt;"⚠"),LEFT($AD157,FIND(" ",$AD157)-1),IF($H157="","",IF(RIGHT($H157,2)="병원",$H157,$H157&amp;"병원")))))</f>
        <v/>
      </c>
      <c r="O157" s="10">
        <f>IF($B157="","",IF(AND($U157="파견중",$Q157&lt;&gt;""),IF($R157&lt;&gt;"",$R157,"파견과 미입력"),IF(AND($AD157&lt;&gt;"",LEFT($AD157,1)&lt;&gt;"⚠"),MID($AD157,FIND(" ",$AD157)+1,60),IF($F157="","",IF($F157="인턴","수련교육부(인턴)",$F157)))))</f>
        <v/>
      </c>
      <c r="P157" s="10">
        <f>IF($B157="","",IF($AK157&lt;&gt;"",IF(AND(TODAY()&gt;=INDEX(입력_파견수련계획!$AB$4:$AB$803,$AK157),OR(NOT(ISNUMBER(INDEX(입력_파견수련계획!$AC$4:$AC$803,$AK157))),TODAY()&lt;=INDEX(입력_파견수련계획!$AC$4:$AC$803,$AK157))),"다기관",IF($AF157="","",INDEX(입력_파견수련계획!$T$4:$T$803,$AF157))),IF($AF157="","",INDEX(입력_파견수련계획!$T$4:$T$803,$AF157))))</f>
        <v/>
      </c>
      <c r="Q157" s="10">
        <f>IF($AF157="","",INDEX(입력_파견수련계획!$S$4:$S$803,$AF157))</f>
        <v/>
      </c>
      <c r="R157" s="10">
        <f>IF($AF157="","",INDEX(입력_파견수련계획!$U$4:$U$803,$AF157))</f>
        <v/>
      </c>
      <c r="S157" s="11">
        <f>IF($AF157="","",IF(INDEX(입력_파견수련계획!$H$4:$H$803,$AF157)="","",INDEX(입력_파견수련계획!$H$4:$H$803,$AF157)))</f>
        <v/>
      </c>
      <c r="T157" s="11">
        <f>IF($AF157="","",IF(INDEX(입력_파견수련계획!$I$4:$I$803,$AF157)="","",INDEX(입력_파견수련계획!$I$4:$I$803,$AF157)))</f>
        <v/>
      </c>
      <c r="U157" s="10">
        <f>IF($AF157="","",INDEX(입력_파견수련계획!$X$4:$X$803,$AF157))</f>
        <v/>
      </c>
      <c r="V157" s="17">
        <f>IF($AF157="","",INDEX(입력_파견수련계획!$V$4:$V$803,$AF157))</f>
        <v/>
      </c>
      <c r="W157" s="17">
        <f>IF(AND($U157="파견중",$T157&lt;&gt;""),$T157-TODAY(),"")</f>
        <v/>
      </c>
      <c r="X157" s="17">
        <f>IF(OR($B157="",TRIM($J157&amp;"")=""),"",SUMPRODUCT((입력_파견수련계획!$Q$4:$Q$803=TRIM($J157&amp;""))*입력_파견수련계획!$W$4:$W$803))</f>
        <v/>
      </c>
      <c r="Y157" s="10">
        <f>IF($B157="","",IF($AG157="","",IF(IF(TRIM($J157&amp;"")="",0,SUMPRODUCT((입력_파견수련계획!$Q$4:$Q$803=TRIM($J157&amp;""))*입력_파견수련계획!$AD$4:$AD$803))&gt;0,$AE157,IF(AND(N($X157)&lt;=0,$AQ157=""),$AG157,IF($AH157+$AI157=DAY(EOMONTH(출력_요약!$B$3,0)),IF(AND($AH157&gt;=출력_요약!$E$3,$AI157&lt;출력_요약!$E$3),"서울병원",IF(AND($AI157&gt;=출력_요약!$E$3,$AH157&lt;출력_요약!$E$3),"구리병원","⚠15일 판정불가(서울 "&amp;$AH157&amp;"일/구리 "&amp;$AI157&amp;"일)")),IF($AJ157="",$AE157,IF(INDEX(입력_파견수련계획!$T$4:$T$803,$AJ157)="통합수련",INDEX(입력_파견수련계획!$S$4:$S$803,$AJ157),$AE157)))))))</f>
        <v/>
      </c>
      <c r="Z157" s="20">
        <f>IF($B157="","",IF($AB157="","기본자료에 없는 사번",IF(COUNTIF($B$2:$B$401,$B157)&gt;1,"중복 사번",IF($AE157="","소속(입사장소) 입력",IF(IF(TRIM($J157&amp;"")="",0,SUMPRODUCT((입력_파견수련계획!$Q$4:$Q$803=TRIM($J157&amp;""))*(입력_파견수련계획!$AA$4:$AA$803&lt;&gt;"")))&gt;0,"파견수련계획 입력오류 확인",IF(LEFT($Y157,1)="⚠","서울·구리 15일 판정 불가(양쪽 모두 이상/미만)",IF(IF($AC157="",0,N(INDEX(입력_인턴근무계획!$T$3:$T$402,$AC157)))&gt;0,"인턴계획 입력오류 확인",IF(AND($AQ157&lt;&gt;"",$AG157&lt;&gt;"구리병원",IF(TRIM($J157&amp;"")="",0,SUMPRODUCT((입력_파견수련계획!$Q$4:$Q$803=TRIM($J157&amp;""))*(입력_파견수련계획!$S$4:$S$803="구리병원")*입력_파견수련계획!$W$4:$W$803))=0),"구리 근무자명단에만 있음(파견수련계획 확인)",IF(AND($AC157&lt;&gt;"",$U157&lt;&gt;"파견중",$N157&lt;&gt;$AE157),"인턴 타지역 근무: 파견 여부 확인","정상")))))))))</f>
        <v/>
      </c>
      <c r="AA157" s="5" t="n"/>
      <c r="AB157" s="10">
        <f>IF($B157="","",IFERROR(MATCH($B157,입력_기본자료!$B$2:$B$1001,0),IFERROR(MATCH($B157&amp;"",입력_기본자료!$B$2:$B$1001,0),IFERROR(MATCH(VALUE($B157),입력_기본자료!$B$2:$B$1001,0),""))))</f>
        <v/>
      </c>
      <c r="AC157" s="10">
        <f>IF($B157="","",IFERROR(MATCH($B157,입력_인턴근무계획!$D$3:$D$402,0),IFERROR(MATCH($B157&amp;"",입력_인턴근무계획!$D$3:$D$402,0),IFERROR(MATCH(VALUE($B157),입력_인턴근무계획!$D$3:$D$402,0),""))))</f>
        <v/>
      </c>
      <c r="AD157" s="10">
        <f>IF(OR($AC157="",출력_인턴현황!$G$3=""),"",INDEX(입력_인턴근무계획!$M$3:$R$402,$AC157,출력_인턴현황!$G$3)&amp;"")</f>
        <v/>
      </c>
      <c r="AE157" s="10">
        <f>IF($B157="","",IF($M157&lt;&gt;"",$M157,IF(IF($AQ157="",FALSE,INDEX(출력_구리근무자!$J$6:$J$305,$AQ157)="구리독자"),"구리병원",IF($AF157&lt;&gt;"",IF(LEFT(INDEX(입력_파견수련계획!$R$4:$R$803,$AF157),1)&lt;&gt;"⚠",INDEX(입력_파견수련계획!$R$4:$R$803,$AF157),IF($H157="","",IF(RIGHT($H157,2)="병원",$H157,$H157&amp;"병원"))),IF($H157="","",IF(RIGHT($H157,2)="병원",$H157,$H157&amp;"병원"))))))</f>
        <v/>
      </c>
      <c r="AF157" s="10">
        <f>IF(OR($B157="",TRIM($J157&amp;"")=""),"",IFERROR(MATCH(TRIM($J157&amp;"")&amp;"|파견중",입력_파견수련계획!$Y$4:$Y$803,0),IFERROR(MATCH(TRIM($J157&amp;"")&amp;"|파견예정",입력_파견수련계획!$Y$4:$Y$803,0),IFERROR(MATCH(TRIM($J157&amp;"")&amp;"|파견종료",입력_파견수련계획!$Y$4:$Y$803,0),""))))</f>
        <v/>
      </c>
      <c r="AG157" s="10">
        <f>IF($B157="","",IF(AND(IF(OR($AC157="",출력_인턴현황!$K$2=""),"",INDEX(입력_인턴근무계획!$M$3:$R$402,$AC157,출력_인턴현황!$K$2)&amp;"")&lt;&gt;"",LEFT(IF(OR($AC157="",출력_인턴현황!$K$2=""),"",INDEX(입력_인턴근무계획!$M$3:$R$402,$AC157,출력_인턴현황!$K$2)&amp;""),1)&lt;&gt;"⚠"),LEFT(IF(OR($AC157="",출력_인턴현황!$K$2=""),"",INDEX(입력_인턴근무계획!$M$3:$R$402,$AC157,출력_인턴현황!$K$2)&amp;""),FIND(" ",IF(OR($AC157="",출력_인턴현황!$K$2=""),"",INDEX(입력_인턴근무계획!$M$3:$R$402,$AC157,출력_인턴현황!$K$2)&amp;""))-1),$AE157))</f>
        <v/>
      </c>
      <c r="AH157" s="17">
        <f>IF($B157="","",IF($AQ157&lt;&gt;"",MAX(0,DAY(EOMONTH(출력_요약!$B$3,0))-N($AR157)),IF(TRIM($J157&amp;"")="",0,SUMPRODUCT((입력_파견수련계획!$Q$4:$Q$803=TRIM($J157&amp;""))*(입력_파견수련계획!$S$4:$S$803="서울병원")*입력_파견수련계획!$W$4:$W$803))+IF($AG157="서울병원",MAX(0,DAY(EOMONTH(출력_요약!$B$3,0))-N($X157)),0)))</f>
        <v/>
      </c>
      <c r="AI157" s="17">
        <f>IF($B157="","",IF($AQ157&lt;&gt;"",N($AR157),IF(TRIM($J157&amp;"")="",0,SUMPRODUCT((입력_파견수련계획!$Q$4:$Q$803=TRIM($J157&amp;""))*(입력_파견수련계획!$S$4:$S$803="구리병원")*입력_파견수련계획!$W$4:$W$803))+IF($AG157="구리병원",MAX(0,DAY(EOMONTH(출력_요약!$B$3,0))-N($X157)),0)))</f>
        <v/>
      </c>
      <c r="AJ157" s="10">
        <f>IF(OR($B157="",TRIM($J157&amp;"")=""),"",IFERROR(MATCH(TRIM($J157&amp;"")&amp;"|월",입력_파견수련계획!$Z$4:$Z$803,0),""))</f>
        <v/>
      </c>
      <c r="AK157" s="10">
        <f>IF(OR($B157="",TRIM($J157&amp;"")=""),"",IFERROR(MATCH(TRIM($J157&amp;"")&amp;"|다기관",입력_파견수련계획!$AE$4:$AE$803,0),""))</f>
        <v/>
      </c>
      <c r="AL157" s="10">
        <f>IF($AK157="","","다기관 "&amp;TEXT(INDEX(입력_파견수련계획!$AB$4:$AB$803,$AK157),"yyyy-mm-dd")&amp;"~"&amp;IF(ISNUMBER(INDEX(입력_파견수련계획!$AC$4:$AC$803,$AK157)),TEXT(INDEX(입력_파견수련계획!$AC$4:$AC$803,$AK157),"yyyy-mm-dd"),""))</f>
        <v/>
      </c>
      <c r="AM157" s="10">
        <f>IF($Y157="서울병원",COUNTIF($Y$2:$Y157,"서울병원"),"")</f>
        <v/>
      </c>
      <c r="AN157" s="10">
        <f>IF(LEFT($Y157,1)="⚠",COUNTIF($Y$2:$Y157,"⚠*"),"")</f>
        <v/>
      </c>
      <c r="AO157" s="10">
        <f>IF(OR($B157="",$Y157=""),"",IF(IF(TRIM($J157&amp;"")="",0,SUMPRODUCT((입력_파견수련계획!$Q$4:$Q$803=TRIM($J157&amp;""))*입력_파견수련계획!$AD$4:$AD$803))&gt;0,"다기관 기간 → 소속병원 지급",IF(AND(N($X157)&lt;=0,$AQ157=""),"파견 없음 → 그 달 근무병원 지급",IF($AH157+$AI157=DAY(EOMONTH(출력_요약!$B$3,0)),"서울 "&amp;$AH157&amp;"일 / 구리 "&amp;$AI157&amp;"일"&amp;IF($AQ157&lt;&gt;""," (구리 근무자명단 반영)","")&amp;" → 15일 이상 근무 병원 지급","타 병원 포함 → "&amp;IF($AJ157="","소속",INDEX(입력_파견수련계획!$T$4:$T$803,$AJ157))&amp;" 규칙"))))</f>
        <v/>
      </c>
      <c r="AP157" s="10">
        <f>IF($B157="","",$C157&amp;"|"&amp;$F157)</f>
        <v/>
      </c>
      <c r="AQ157" s="10">
        <f>IF($B157="","",IFERROR(MATCH(ROW()-1,출력_구리근무자!$K$6:$K$305,0),""))</f>
        <v/>
      </c>
      <c r="AR157" s="10">
        <f>IF($AQ157="","",INDEX(출력_구리근무자!$H$6:$H$305,$AQ157))</f>
        <v/>
      </c>
    </row>
    <row r="158">
      <c r="A158" s="10">
        <f>IF(B158="","",ROW()-1)</f>
        <v/>
      </c>
      <c r="B158" s="19" t="n"/>
      <c r="C158" s="10">
        <f>IF($AB158="","",IF(INDEX(입력_기본자료!$C$2:$C$1001,$AB158)="","",INDEX(입력_기본자료!$C$2:$C$1001,$AB158)))</f>
        <v/>
      </c>
      <c r="D158" s="10">
        <f>IF($AB158="","",IF(INDEX(입력_기본자료!$J$2:$J$1001,$AB158)="","",INDEX(입력_기본자료!$J$2:$J$1001,$AB158)))</f>
        <v/>
      </c>
      <c r="E158" s="11">
        <f>IF($AB158="","",IF(INDEX(입력_기본자료!$K$2:$K$1001,$AB158)="","",IF(NOT(ISNUMBER(INDEX(입력_기본자료!$K$2:$K$1001,$AB158))),INDEX(입력_기본자료!$K$2:$K$1001,$AB158),IF(INDEX(입력_기본자료!$K$2:$K$1001,$AB158)&lt;1000000,INDEX(입력_기본자료!$K$2:$K$1001,$AB158),IF(AND(INDEX(입력_기본자료!$K$2:$K$1001,$AB158)&gt;=10000101,INT(MOD(INDEX(입력_기본자료!$K$2:$K$1001,$AB158),10000)/100)&gt;=1,INT(MOD(INDEX(입력_기본자료!$K$2:$K$1001,$AB158),10000)/100)&lt;=12,MOD(INDEX(입력_기본자료!$K$2:$K$1001,$AB158),100)&gt;=1,MOD(INDEX(입력_기본자료!$K$2:$K$1001,$AB158),100)&lt;=31),DATE(INT(INDEX(입력_기본자료!$K$2:$K$1001,$AB158)/10000),INT(MOD(INDEX(입력_기본자료!$K$2:$K$1001,$AB158),10000)/100),MOD(INDEX(입력_기본자료!$K$2:$K$1001,$AB158),100)),INDEX(입력_기본자료!$K$2:$K$1001,$AB158)&amp;"")))))</f>
        <v/>
      </c>
      <c r="F158" s="10">
        <f>IF($AB158="","",IF(INDEX(입력_기본자료!$D$2:$D$1001,$AB158)="","",INDEX(입력_기본자료!$D$2:$D$1001,$AB158)))</f>
        <v/>
      </c>
      <c r="G158" s="10">
        <f>IF($AB158="","",IF(INDEX(입력_기본자료!$E$2:$E$1001,$AB158)="","",INDEX(입력_기본자료!$E$2:$E$1001,$AB158)))</f>
        <v/>
      </c>
      <c r="H158" s="10">
        <f>IF($AB158="","",IF(INDEX(입력_기본자료!$F$2:$F$1001,$AB158)="","",INDEX(입력_기본자료!$F$2:$F$1001,$AB158)))</f>
        <v/>
      </c>
      <c r="I158" s="11">
        <f>IF($AB158="","",IF(INDEX(입력_기본자료!$G$2:$G$1001,$AB158)="","",IF(NOT(ISNUMBER(INDEX(입력_기본자료!$G$2:$G$1001,$AB158))),INDEX(입력_기본자료!$G$2:$G$1001,$AB158),IF(INDEX(입력_기본자료!$G$2:$G$1001,$AB158)&lt;1000000,INDEX(입력_기본자료!$G$2:$G$1001,$AB158),IF(AND(INDEX(입력_기본자료!$G$2:$G$1001,$AB158)&gt;=10000101,INT(MOD(INDEX(입력_기본자료!$G$2:$G$1001,$AB158),10000)/100)&gt;=1,INT(MOD(INDEX(입력_기본자료!$G$2:$G$1001,$AB158),10000)/100)&lt;=12,MOD(INDEX(입력_기본자료!$G$2:$G$1001,$AB158),100)&gt;=1,MOD(INDEX(입력_기본자료!$G$2:$G$1001,$AB158),100)&lt;=31),DATE(INT(INDEX(입력_기본자료!$G$2:$G$1001,$AB158)/10000),INT(MOD(INDEX(입력_기본자료!$G$2:$G$1001,$AB158),10000)/100),MOD(INDEX(입력_기본자료!$G$2:$G$1001,$AB158),100)),INDEX(입력_기본자료!$G$2:$G$1001,$AB158)&amp;"")))))</f>
        <v/>
      </c>
      <c r="J158" s="10">
        <f>IF($AB158="","",IF(INDEX(입력_기본자료!$H$2:$H$1001,$AB158)="","",INDEX(입력_기본자료!$H$2:$H$1001,$AB158)))</f>
        <v/>
      </c>
      <c r="K158" s="10">
        <f>IF($AB158="","",IF(INDEX(입력_기본자료!$I$2:$I$1001,$AB158)="","",INDEX(입력_기본자료!$I$2:$I$1001,$AB158)))</f>
        <v/>
      </c>
      <c r="L158" s="10">
        <f>IF($AB158="","",IF(INDEX(입력_기본자료!$A$2:$A$1001,$AB158)="","",INDEX(입력_기본자료!$A$2:$A$1001,$AB158)))</f>
        <v/>
      </c>
      <c r="M158" s="15" t="n"/>
      <c r="N158" s="10">
        <f>IF($B158="","",IF(AND($U158="파견중",$Q158&lt;&gt;""),$Q158,IF(AND($AD158&lt;&gt;"",LEFT($AD158,1)&lt;&gt;"⚠"),LEFT($AD158,FIND(" ",$AD158)-1),IF($H158="","",IF(RIGHT($H158,2)="병원",$H158,$H158&amp;"병원")))))</f>
        <v/>
      </c>
      <c r="O158" s="10">
        <f>IF($B158="","",IF(AND($U158="파견중",$Q158&lt;&gt;""),IF($R158&lt;&gt;"",$R158,"파견과 미입력"),IF(AND($AD158&lt;&gt;"",LEFT($AD158,1)&lt;&gt;"⚠"),MID($AD158,FIND(" ",$AD158)+1,60),IF($F158="","",IF($F158="인턴","수련교육부(인턴)",$F158)))))</f>
        <v/>
      </c>
      <c r="P158" s="10">
        <f>IF($B158="","",IF($AK158&lt;&gt;"",IF(AND(TODAY()&gt;=INDEX(입력_파견수련계획!$AB$4:$AB$803,$AK158),OR(NOT(ISNUMBER(INDEX(입력_파견수련계획!$AC$4:$AC$803,$AK158))),TODAY()&lt;=INDEX(입력_파견수련계획!$AC$4:$AC$803,$AK158))),"다기관",IF($AF158="","",INDEX(입력_파견수련계획!$T$4:$T$803,$AF158))),IF($AF158="","",INDEX(입력_파견수련계획!$T$4:$T$803,$AF158))))</f>
        <v/>
      </c>
      <c r="Q158" s="10">
        <f>IF($AF158="","",INDEX(입력_파견수련계획!$S$4:$S$803,$AF158))</f>
        <v/>
      </c>
      <c r="R158" s="10">
        <f>IF($AF158="","",INDEX(입력_파견수련계획!$U$4:$U$803,$AF158))</f>
        <v/>
      </c>
      <c r="S158" s="11">
        <f>IF($AF158="","",IF(INDEX(입력_파견수련계획!$H$4:$H$803,$AF158)="","",INDEX(입력_파견수련계획!$H$4:$H$803,$AF158)))</f>
        <v/>
      </c>
      <c r="T158" s="11">
        <f>IF($AF158="","",IF(INDEX(입력_파견수련계획!$I$4:$I$803,$AF158)="","",INDEX(입력_파견수련계획!$I$4:$I$803,$AF158)))</f>
        <v/>
      </c>
      <c r="U158" s="10">
        <f>IF($AF158="","",INDEX(입력_파견수련계획!$X$4:$X$803,$AF158))</f>
        <v/>
      </c>
      <c r="V158" s="17">
        <f>IF($AF158="","",INDEX(입력_파견수련계획!$V$4:$V$803,$AF158))</f>
        <v/>
      </c>
      <c r="W158" s="17">
        <f>IF(AND($U158="파견중",$T158&lt;&gt;""),$T158-TODAY(),"")</f>
        <v/>
      </c>
      <c r="X158" s="17">
        <f>IF(OR($B158="",TRIM($J158&amp;"")=""),"",SUMPRODUCT((입력_파견수련계획!$Q$4:$Q$803=TRIM($J158&amp;""))*입력_파견수련계획!$W$4:$W$803))</f>
        <v/>
      </c>
      <c r="Y158" s="10">
        <f>IF($B158="","",IF($AG158="","",IF(IF(TRIM($J158&amp;"")="",0,SUMPRODUCT((입력_파견수련계획!$Q$4:$Q$803=TRIM($J158&amp;""))*입력_파견수련계획!$AD$4:$AD$803))&gt;0,$AE158,IF(AND(N($X158)&lt;=0,$AQ158=""),$AG158,IF($AH158+$AI158=DAY(EOMONTH(출력_요약!$B$3,0)),IF(AND($AH158&gt;=출력_요약!$E$3,$AI158&lt;출력_요약!$E$3),"서울병원",IF(AND($AI158&gt;=출력_요약!$E$3,$AH158&lt;출력_요약!$E$3),"구리병원","⚠15일 판정불가(서울 "&amp;$AH158&amp;"일/구리 "&amp;$AI158&amp;"일)")),IF($AJ158="",$AE158,IF(INDEX(입력_파견수련계획!$T$4:$T$803,$AJ158)="통합수련",INDEX(입력_파견수련계획!$S$4:$S$803,$AJ158),$AE158)))))))</f>
        <v/>
      </c>
      <c r="Z158" s="20">
        <f>IF($B158="","",IF($AB158="","기본자료에 없는 사번",IF(COUNTIF($B$2:$B$401,$B158)&gt;1,"중복 사번",IF($AE158="","소속(입사장소) 입력",IF(IF(TRIM($J158&amp;"")="",0,SUMPRODUCT((입력_파견수련계획!$Q$4:$Q$803=TRIM($J158&amp;""))*(입력_파견수련계획!$AA$4:$AA$803&lt;&gt;"")))&gt;0,"파견수련계획 입력오류 확인",IF(LEFT($Y158,1)="⚠","서울·구리 15일 판정 불가(양쪽 모두 이상/미만)",IF(IF($AC158="",0,N(INDEX(입력_인턴근무계획!$T$3:$T$402,$AC158)))&gt;0,"인턴계획 입력오류 확인",IF(AND($AQ158&lt;&gt;"",$AG158&lt;&gt;"구리병원",IF(TRIM($J158&amp;"")="",0,SUMPRODUCT((입력_파견수련계획!$Q$4:$Q$803=TRIM($J158&amp;""))*(입력_파견수련계획!$S$4:$S$803="구리병원")*입력_파견수련계획!$W$4:$W$803))=0),"구리 근무자명단에만 있음(파견수련계획 확인)",IF(AND($AC158&lt;&gt;"",$U158&lt;&gt;"파견중",$N158&lt;&gt;$AE158),"인턴 타지역 근무: 파견 여부 확인","정상")))))))))</f>
        <v/>
      </c>
      <c r="AA158" s="5" t="n"/>
      <c r="AB158" s="10">
        <f>IF($B158="","",IFERROR(MATCH($B158,입력_기본자료!$B$2:$B$1001,0),IFERROR(MATCH($B158&amp;"",입력_기본자료!$B$2:$B$1001,0),IFERROR(MATCH(VALUE($B158),입력_기본자료!$B$2:$B$1001,0),""))))</f>
        <v/>
      </c>
      <c r="AC158" s="10">
        <f>IF($B158="","",IFERROR(MATCH($B158,입력_인턴근무계획!$D$3:$D$402,0),IFERROR(MATCH($B158&amp;"",입력_인턴근무계획!$D$3:$D$402,0),IFERROR(MATCH(VALUE($B158),입력_인턴근무계획!$D$3:$D$402,0),""))))</f>
        <v/>
      </c>
      <c r="AD158" s="10">
        <f>IF(OR($AC158="",출력_인턴현황!$G$3=""),"",INDEX(입력_인턴근무계획!$M$3:$R$402,$AC158,출력_인턴현황!$G$3)&amp;"")</f>
        <v/>
      </c>
      <c r="AE158" s="10">
        <f>IF($B158="","",IF($M158&lt;&gt;"",$M158,IF(IF($AQ158="",FALSE,INDEX(출력_구리근무자!$J$6:$J$305,$AQ158)="구리독자"),"구리병원",IF($AF158&lt;&gt;"",IF(LEFT(INDEX(입력_파견수련계획!$R$4:$R$803,$AF158),1)&lt;&gt;"⚠",INDEX(입력_파견수련계획!$R$4:$R$803,$AF158),IF($H158="","",IF(RIGHT($H158,2)="병원",$H158,$H158&amp;"병원"))),IF($H158="","",IF(RIGHT($H158,2)="병원",$H158,$H158&amp;"병원"))))))</f>
        <v/>
      </c>
      <c r="AF158" s="10">
        <f>IF(OR($B158="",TRIM($J158&amp;"")=""),"",IFERROR(MATCH(TRIM($J158&amp;"")&amp;"|파견중",입력_파견수련계획!$Y$4:$Y$803,0),IFERROR(MATCH(TRIM($J158&amp;"")&amp;"|파견예정",입력_파견수련계획!$Y$4:$Y$803,0),IFERROR(MATCH(TRIM($J158&amp;"")&amp;"|파견종료",입력_파견수련계획!$Y$4:$Y$803,0),""))))</f>
        <v/>
      </c>
      <c r="AG158" s="10">
        <f>IF($B158="","",IF(AND(IF(OR($AC158="",출력_인턴현황!$K$2=""),"",INDEX(입력_인턴근무계획!$M$3:$R$402,$AC158,출력_인턴현황!$K$2)&amp;"")&lt;&gt;"",LEFT(IF(OR($AC158="",출력_인턴현황!$K$2=""),"",INDEX(입력_인턴근무계획!$M$3:$R$402,$AC158,출력_인턴현황!$K$2)&amp;""),1)&lt;&gt;"⚠"),LEFT(IF(OR($AC158="",출력_인턴현황!$K$2=""),"",INDEX(입력_인턴근무계획!$M$3:$R$402,$AC158,출력_인턴현황!$K$2)&amp;""),FIND(" ",IF(OR($AC158="",출력_인턴현황!$K$2=""),"",INDEX(입력_인턴근무계획!$M$3:$R$402,$AC158,출력_인턴현황!$K$2)&amp;""))-1),$AE158))</f>
        <v/>
      </c>
      <c r="AH158" s="17">
        <f>IF($B158="","",IF($AQ158&lt;&gt;"",MAX(0,DAY(EOMONTH(출력_요약!$B$3,0))-N($AR158)),IF(TRIM($J158&amp;"")="",0,SUMPRODUCT((입력_파견수련계획!$Q$4:$Q$803=TRIM($J158&amp;""))*(입력_파견수련계획!$S$4:$S$803="서울병원")*입력_파견수련계획!$W$4:$W$803))+IF($AG158="서울병원",MAX(0,DAY(EOMONTH(출력_요약!$B$3,0))-N($X158)),0)))</f>
        <v/>
      </c>
      <c r="AI158" s="17">
        <f>IF($B158="","",IF($AQ158&lt;&gt;"",N($AR158),IF(TRIM($J158&amp;"")="",0,SUMPRODUCT((입력_파견수련계획!$Q$4:$Q$803=TRIM($J158&amp;""))*(입력_파견수련계획!$S$4:$S$803="구리병원")*입력_파견수련계획!$W$4:$W$803))+IF($AG158="구리병원",MAX(0,DAY(EOMONTH(출력_요약!$B$3,0))-N($X158)),0)))</f>
        <v/>
      </c>
      <c r="AJ158" s="10">
        <f>IF(OR($B158="",TRIM($J158&amp;"")=""),"",IFERROR(MATCH(TRIM($J158&amp;"")&amp;"|월",입력_파견수련계획!$Z$4:$Z$803,0),""))</f>
        <v/>
      </c>
      <c r="AK158" s="10">
        <f>IF(OR($B158="",TRIM($J158&amp;"")=""),"",IFERROR(MATCH(TRIM($J158&amp;"")&amp;"|다기관",입력_파견수련계획!$AE$4:$AE$803,0),""))</f>
        <v/>
      </c>
      <c r="AL158" s="10">
        <f>IF($AK158="","","다기관 "&amp;TEXT(INDEX(입력_파견수련계획!$AB$4:$AB$803,$AK158),"yyyy-mm-dd")&amp;"~"&amp;IF(ISNUMBER(INDEX(입력_파견수련계획!$AC$4:$AC$803,$AK158)),TEXT(INDEX(입력_파견수련계획!$AC$4:$AC$803,$AK158),"yyyy-mm-dd"),""))</f>
        <v/>
      </c>
      <c r="AM158" s="10">
        <f>IF($Y158="서울병원",COUNTIF($Y$2:$Y158,"서울병원"),"")</f>
        <v/>
      </c>
      <c r="AN158" s="10">
        <f>IF(LEFT($Y158,1)="⚠",COUNTIF($Y$2:$Y158,"⚠*"),"")</f>
        <v/>
      </c>
      <c r="AO158" s="10">
        <f>IF(OR($B158="",$Y158=""),"",IF(IF(TRIM($J158&amp;"")="",0,SUMPRODUCT((입력_파견수련계획!$Q$4:$Q$803=TRIM($J158&amp;""))*입력_파견수련계획!$AD$4:$AD$803))&gt;0,"다기관 기간 → 소속병원 지급",IF(AND(N($X158)&lt;=0,$AQ158=""),"파견 없음 → 그 달 근무병원 지급",IF($AH158+$AI158=DAY(EOMONTH(출력_요약!$B$3,0)),"서울 "&amp;$AH158&amp;"일 / 구리 "&amp;$AI158&amp;"일"&amp;IF($AQ158&lt;&gt;""," (구리 근무자명단 반영)","")&amp;" → 15일 이상 근무 병원 지급","타 병원 포함 → "&amp;IF($AJ158="","소속",INDEX(입력_파견수련계획!$T$4:$T$803,$AJ158))&amp;" 규칙"))))</f>
        <v/>
      </c>
      <c r="AP158" s="10">
        <f>IF($B158="","",$C158&amp;"|"&amp;$F158)</f>
        <v/>
      </c>
      <c r="AQ158" s="10">
        <f>IF($B158="","",IFERROR(MATCH(ROW()-1,출력_구리근무자!$K$6:$K$305,0),""))</f>
        <v/>
      </c>
      <c r="AR158" s="10">
        <f>IF($AQ158="","",INDEX(출력_구리근무자!$H$6:$H$305,$AQ158))</f>
        <v/>
      </c>
    </row>
    <row r="159">
      <c r="A159" s="10">
        <f>IF(B159="","",ROW()-1)</f>
        <v/>
      </c>
      <c r="B159" s="19" t="n"/>
      <c r="C159" s="10">
        <f>IF($AB159="","",IF(INDEX(입력_기본자료!$C$2:$C$1001,$AB159)="","",INDEX(입력_기본자료!$C$2:$C$1001,$AB159)))</f>
        <v/>
      </c>
      <c r="D159" s="10">
        <f>IF($AB159="","",IF(INDEX(입력_기본자료!$J$2:$J$1001,$AB159)="","",INDEX(입력_기본자료!$J$2:$J$1001,$AB159)))</f>
        <v/>
      </c>
      <c r="E159" s="11">
        <f>IF($AB159="","",IF(INDEX(입력_기본자료!$K$2:$K$1001,$AB159)="","",IF(NOT(ISNUMBER(INDEX(입력_기본자료!$K$2:$K$1001,$AB159))),INDEX(입력_기본자료!$K$2:$K$1001,$AB159),IF(INDEX(입력_기본자료!$K$2:$K$1001,$AB159)&lt;1000000,INDEX(입력_기본자료!$K$2:$K$1001,$AB159),IF(AND(INDEX(입력_기본자료!$K$2:$K$1001,$AB159)&gt;=10000101,INT(MOD(INDEX(입력_기본자료!$K$2:$K$1001,$AB159),10000)/100)&gt;=1,INT(MOD(INDEX(입력_기본자료!$K$2:$K$1001,$AB159),10000)/100)&lt;=12,MOD(INDEX(입력_기본자료!$K$2:$K$1001,$AB159),100)&gt;=1,MOD(INDEX(입력_기본자료!$K$2:$K$1001,$AB159),100)&lt;=31),DATE(INT(INDEX(입력_기본자료!$K$2:$K$1001,$AB159)/10000),INT(MOD(INDEX(입력_기본자료!$K$2:$K$1001,$AB159),10000)/100),MOD(INDEX(입력_기본자료!$K$2:$K$1001,$AB159),100)),INDEX(입력_기본자료!$K$2:$K$1001,$AB159)&amp;"")))))</f>
        <v/>
      </c>
      <c r="F159" s="10">
        <f>IF($AB159="","",IF(INDEX(입력_기본자료!$D$2:$D$1001,$AB159)="","",INDEX(입력_기본자료!$D$2:$D$1001,$AB159)))</f>
        <v/>
      </c>
      <c r="G159" s="10">
        <f>IF($AB159="","",IF(INDEX(입력_기본자료!$E$2:$E$1001,$AB159)="","",INDEX(입력_기본자료!$E$2:$E$1001,$AB159)))</f>
        <v/>
      </c>
      <c r="H159" s="10">
        <f>IF($AB159="","",IF(INDEX(입력_기본자료!$F$2:$F$1001,$AB159)="","",INDEX(입력_기본자료!$F$2:$F$1001,$AB159)))</f>
        <v/>
      </c>
      <c r="I159" s="11">
        <f>IF($AB159="","",IF(INDEX(입력_기본자료!$G$2:$G$1001,$AB159)="","",IF(NOT(ISNUMBER(INDEX(입력_기본자료!$G$2:$G$1001,$AB159))),INDEX(입력_기본자료!$G$2:$G$1001,$AB159),IF(INDEX(입력_기본자료!$G$2:$G$1001,$AB159)&lt;1000000,INDEX(입력_기본자료!$G$2:$G$1001,$AB159),IF(AND(INDEX(입력_기본자료!$G$2:$G$1001,$AB159)&gt;=10000101,INT(MOD(INDEX(입력_기본자료!$G$2:$G$1001,$AB159),10000)/100)&gt;=1,INT(MOD(INDEX(입력_기본자료!$G$2:$G$1001,$AB159),10000)/100)&lt;=12,MOD(INDEX(입력_기본자료!$G$2:$G$1001,$AB159),100)&gt;=1,MOD(INDEX(입력_기본자료!$G$2:$G$1001,$AB159),100)&lt;=31),DATE(INT(INDEX(입력_기본자료!$G$2:$G$1001,$AB159)/10000),INT(MOD(INDEX(입력_기본자료!$G$2:$G$1001,$AB159),10000)/100),MOD(INDEX(입력_기본자료!$G$2:$G$1001,$AB159),100)),INDEX(입력_기본자료!$G$2:$G$1001,$AB159)&amp;"")))))</f>
        <v/>
      </c>
      <c r="J159" s="10">
        <f>IF($AB159="","",IF(INDEX(입력_기본자료!$H$2:$H$1001,$AB159)="","",INDEX(입력_기본자료!$H$2:$H$1001,$AB159)))</f>
        <v/>
      </c>
      <c r="K159" s="10">
        <f>IF($AB159="","",IF(INDEX(입력_기본자료!$I$2:$I$1001,$AB159)="","",INDEX(입력_기본자료!$I$2:$I$1001,$AB159)))</f>
        <v/>
      </c>
      <c r="L159" s="10">
        <f>IF($AB159="","",IF(INDEX(입력_기본자료!$A$2:$A$1001,$AB159)="","",INDEX(입력_기본자료!$A$2:$A$1001,$AB159)))</f>
        <v/>
      </c>
      <c r="M159" s="15" t="n"/>
      <c r="N159" s="10">
        <f>IF($B159="","",IF(AND($U159="파견중",$Q159&lt;&gt;""),$Q159,IF(AND($AD159&lt;&gt;"",LEFT($AD159,1)&lt;&gt;"⚠"),LEFT($AD159,FIND(" ",$AD159)-1),IF($H159="","",IF(RIGHT($H159,2)="병원",$H159,$H159&amp;"병원")))))</f>
        <v/>
      </c>
      <c r="O159" s="10">
        <f>IF($B159="","",IF(AND($U159="파견중",$Q159&lt;&gt;""),IF($R159&lt;&gt;"",$R159,"파견과 미입력"),IF(AND($AD159&lt;&gt;"",LEFT($AD159,1)&lt;&gt;"⚠"),MID($AD159,FIND(" ",$AD159)+1,60),IF($F159="","",IF($F159="인턴","수련교육부(인턴)",$F159)))))</f>
        <v/>
      </c>
      <c r="P159" s="10">
        <f>IF($B159="","",IF($AK159&lt;&gt;"",IF(AND(TODAY()&gt;=INDEX(입력_파견수련계획!$AB$4:$AB$803,$AK159),OR(NOT(ISNUMBER(INDEX(입력_파견수련계획!$AC$4:$AC$803,$AK159))),TODAY()&lt;=INDEX(입력_파견수련계획!$AC$4:$AC$803,$AK159))),"다기관",IF($AF159="","",INDEX(입력_파견수련계획!$T$4:$T$803,$AF159))),IF($AF159="","",INDEX(입력_파견수련계획!$T$4:$T$803,$AF159))))</f>
        <v/>
      </c>
      <c r="Q159" s="10">
        <f>IF($AF159="","",INDEX(입력_파견수련계획!$S$4:$S$803,$AF159))</f>
        <v/>
      </c>
      <c r="R159" s="10">
        <f>IF($AF159="","",INDEX(입력_파견수련계획!$U$4:$U$803,$AF159))</f>
        <v/>
      </c>
      <c r="S159" s="11">
        <f>IF($AF159="","",IF(INDEX(입력_파견수련계획!$H$4:$H$803,$AF159)="","",INDEX(입력_파견수련계획!$H$4:$H$803,$AF159)))</f>
        <v/>
      </c>
      <c r="T159" s="11">
        <f>IF($AF159="","",IF(INDEX(입력_파견수련계획!$I$4:$I$803,$AF159)="","",INDEX(입력_파견수련계획!$I$4:$I$803,$AF159)))</f>
        <v/>
      </c>
      <c r="U159" s="10">
        <f>IF($AF159="","",INDEX(입력_파견수련계획!$X$4:$X$803,$AF159))</f>
        <v/>
      </c>
      <c r="V159" s="17">
        <f>IF($AF159="","",INDEX(입력_파견수련계획!$V$4:$V$803,$AF159))</f>
        <v/>
      </c>
      <c r="W159" s="17">
        <f>IF(AND($U159="파견중",$T159&lt;&gt;""),$T159-TODAY(),"")</f>
        <v/>
      </c>
      <c r="X159" s="17">
        <f>IF(OR($B159="",TRIM($J159&amp;"")=""),"",SUMPRODUCT((입력_파견수련계획!$Q$4:$Q$803=TRIM($J159&amp;""))*입력_파견수련계획!$W$4:$W$803))</f>
        <v/>
      </c>
      <c r="Y159" s="10">
        <f>IF($B159="","",IF($AG159="","",IF(IF(TRIM($J159&amp;"")="",0,SUMPRODUCT((입력_파견수련계획!$Q$4:$Q$803=TRIM($J159&amp;""))*입력_파견수련계획!$AD$4:$AD$803))&gt;0,$AE159,IF(AND(N($X159)&lt;=0,$AQ159=""),$AG159,IF($AH159+$AI159=DAY(EOMONTH(출력_요약!$B$3,0)),IF(AND($AH159&gt;=출력_요약!$E$3,$AI159&lt;출력_요약!$E$3),"서울병원",IF(AND($AI159&gt;=출력_요약!$E$3,$AH159&lt;출력_요약!$E$3),"구리병원","⚠15일 판정불가(서울 "&amp;$AH159&amp;"일/구리 "&amp;$AI159&amp;"일)")),IF($AJ159="",$AE159,IF(INDEX(입력_파견수련계획!$T$4:$T$803,$AJ159)="통합수련",INDEX(입력_파견수련계획!$S$4:$S$803,$AJ159),$AE159)))))))</f>
        <v/>
      </c>
      <c r="Z159" s="20">
        <f>IF($B159="","",IF($AB159="","기본자료에 없는 사번",IF(COUNTIF($B$2:$B$401,$B159)&gt;1,"중복 사번",IF($AE159="","소속(입사장소) 입력",IF(IF(TRIM($J159&amp;"")="",0,SUMPRODUCT((입력_파견수련계획!$Q$4:$Q$803=TRIM($J159&amp;""))*(입력_파견수련계획!$AA$4:$AA$803&lt;&gt;"")))&gt;0,"파견수련계획 입력오류 확인",IF(LEFT($Y159,1)="⚠","서울·구리 15일 판정 불가(양쪽 모두 이상/미만)",IF(IF($AC159="",0,N(INDEX(입력_인턴근무계획!$T$3:$T$402,$AC159)))&gt;0,"인턴계획 입력오류 확인",IF(AND($AQ159&lt;&gt;"",$AG159&lt;&gt;"구리병원",IF(TRIM($J159&amp;"")="",0,SUMPRODUCT((입력_파견수련계획!$Q$4:$Q$803=TRIM($J159&amp;""))*(입력_파견수련계획!$S$4:$S$803="구리병원")*입력_파견수련계획!$W$4:$W$803))=0),"구리 근무자명단에만 있음(파견수련계획 확인)",IF(AND($AC159&lt;&gt;"",$U159&lt;&gt;"파견중",$N159&lt;&gt;$AE159),"인턴 타지역 근무: 파견 여부 확인","정상")))))))))</f>
        <v/>
      </c>
      <c r="AA159" s="5" t="n"/>
      <c r="AB159" s="10">
        <f>IF($B159="","",IFERROR(MATCH($B159,입력_기본자료!$B$2:$B$1001,0),IFERROR(MATCH($B159&amp;"",입력_기본자료!$B$2:$B$1001,0),IFERROR(MATCH(VALUE($B159),입력_기본자료!$B$2:$B$1001,0),""))))</f>
        <v/>
      </c>
      <c r="AC159" s="10">
        <f>IF($B159="","",IFERROR(MATCH($B159,입력_인턴근무계획!$D$3:$D$402,0),IFERROR(MATCH($B159&amp;"",입력_인턴근무계획!$D$3:$D$402,0),IFERROR(MATCH(VALUE($B159),입력_인턴근무계획!$D$3:$D$402,0),""))))</f>
        <v/>
      </c>
      <c r="AD159" s="10">
        <f>IF(OR($AC159="",출력_인턴현황!$G$3=""),"",INDEX(입력_인턴근무계획!$M$3:$R$402,$AC159,출력_인턴현황!$G$3)&amp;"")</f>
        <v/>
      </c>
      <c r="AE159" s="10">
        <f>IF($B159="","",IF($M159&lt;&gt;"",$M159,IF(IF($AQ159="",FALSE,INDEX(출력_구리근무자!$J$6:$J$305,$AQ159)="구리독자"),"구리병원",IF($AF159&lt;&gt;"",IF(LEFT(INDEX(입력_파견수련계획!$R$4:$R$803,$AF159),1)&lt;&gt;"⚠",INDEX(입력_파견수련계획!$R$4:$R$803,$AF159),IF($H159="","",IF(RIGHT($H159,2)="병원",$H159,$H159&amp;"병원"))),IF($H159="","",IF(RIGHT($H159,2)="병원",$H159,$H159&amp;"병원"))))))</f>
        <v/>
      </c>
      <c r="AF159" s="10">
        <f>IF(OR($B159="",TRIM($J159&amp;"")=""),"",IFERROR(MATCH(TRIM($J159&amp;"")&amp;"|파견중",입력_파견수련계획!$Y$4:$Y$803,0),IFERROR(MATCH(TRIM($J159&amp;"")&amp;"|파견예정",입력_파견수련계획!$Y$4:$Y$803,0),IFERROR(MATCH(TRIM($J159&amp;"")&amp;"|파견종료",입력_파견수련계획!$Y$4:$Y$803,0),""))))</f>
        <v/>
      </c>
      <c r="AG159" s="10">
        <f>IF($B159="","",IF(AND(IF(OR($AC159="",출력_인턴현황!$K$2=""),"",INDEX(입력_인턴근무계획!$M$3:$R$402,$AC159,출력_인턴현황!$K$2)&amp;"")&lt;&gt;"",LEFT(IF(OR($AC159="",출력_인턴현황!$K$2=""),"",INDEX(입력_인턴근무계획!$M$3:$R$402,$AC159,출력_인턴현황!$K$2)&amp;""),1)&lt;&gt;"⚠"),LEFT(IF(OR($AC159="",출력_인턴현황!$K$2=""),"",INDEX(입력_인턴근무계획!$M$3:$R$402,$AC159,출력_인턴현황!$K$2)&amp;""),FIND(" ",IF(OR($AC159="",출력_인턴현황!$K$2=""),"",INDEX(입력_인턴근무계획!$M$3:$R$402,$AC159,출력_인턴현황!$K$2)&amp;""))-1),$AE159))</f>
        <v/>
      </c>
      <c r="AH159" s="17">
        <f>IF($B159="","",IF($AQ159&lt;&gt;"",MAX(0,DAY(EOMONTH(출력_요약!$B$3,0))-N($AR159)),IF(TRIM($J159&amp;"")="",0,SUMPRODUCT((입력_파견수련계획!$Q$4:$Q$803=TRIM($J159&amp;""))*(입력_파견수련계획!$S$4:$S$803="서울병원")*입력_파견수련계획!$W$4:$W$803))+IF($AG159="서울병원",MAX(0,DAY(EOMONTH(출력_요약!$B$3,0))-N($X159)),0)))</f>
        <v/>
      </c>
      <c r="AI159" s="17">
        <f>IF($B159="","",IF($AQ159&lt;&gt;"",N($AR159),IF(TRIM($J159&amp;"")="",0,SUMPRODUCT((입력_파견수련계획!$Q$4:$Q$803=TRIM($J159&amp;""))*(입력_파견수련계획!$S$4:$S$803="구리병원")*입력_파견수련계획!$W$4:$W$803))+IF($AG159="구리병원",MAX(0,DAY(EOMONTH(출력_요약!$B$3,0))-N($X159)),0)))</f>
        <v/>
      </c>
      <c r="AJ159" s="10">
        <f>IF(OR($B159="",TRIM($J159&amp;"")=""),"",IFERROR(MATCH(TRIM($J159&amp;"")&amp;"|월",입력_파견수련계획!$Z$4:$Z$803,0),""))</f>
        <v/>
      </c>
      <c r="AK159" s="10">
        <f>IF(OR($B159="",TRIM($J159&amp;"")=""),"",IFERROR(MATCH(TRIM($J159&amp;"")&amp;"|다기관",입력_파견수련계획!$AE$4:$AE$803,0),""))</f>
        <v/>
      </c>
      <c r="AL159" s="10">
        <f>IF($AK159="","","다기관 "&amp;TEXT(INDEX(입력_파견수련계획!$AB$4:$AB$803,$AK159),"yyyy-mm-dd")&amp;"~"&amp;IF(ISNUMBER(INDEX(입력_파견수련계획!$AC$4:$AC$803,$AK159)),TEXT(INDEX(입력_파견수련계획!$AC$4:$AC$803,$AK159),"yyyy-mm-dd"),""))</f>
        <v/>
      </c>
      <c r="AM159" s="10">
        <f>IF($Y159="서울병원",COUNTIF($Y$2:$Y159,"서울병원"),"")</f>
        <v/>
      </c>
      <c r="AN159" s="10">
        <f>IF(LEFT($Y159,1)="⚠",COUNTIF($Y$2:$Y159,"⚠*"),"")</f>
        <v/>
      </c>
      <c r="AO159" s="10">
        <f>IF(OR($B159="",$Y159=""),"",IF(IF(TRIM($J159&amp;"")="",0,SUMPRODUCT((입력_파견수련계획!$Q$4:$Q$803=TRIM($J159&amp;""))*입력_파견수련계획!$AD$4:$AD$803))&gt;0,"다기관 기간 → 소속병원 지급",IF(AND(N($X159)&lt;=0,$AQ159=""),"파견 없음 → 그 달 근무병원 지급",IF($AH159+$AI159=DAY(EOMONTH(출력_요약!$B$3,0)),"서울 "&amp;$AH159&amp;"일 / 구리 "&amp;$AI159&amp;"일"&amp;IF($AQ159&lt;&gt;""," (구리 근무자명단 반영)","")&amp;" → 15일 이상 근무 병원 지급","타 병원 포함 → "&amp;IF($AJ159="","소속",INDEX(입력_파견수련계획!$T$4:$T$803,$AJ159))&amp;" 규칙"))))</f>
        <v/>
      </c>
      <c r="AP159" s="10">
        <f>IF($B159="","",$C159&amp;"|"&amp;$F159)</f>
        <v/>
      </c>
      <c r="AQ159" s="10">
        <f>IF($B159="","",IFERROR(MATCH(ROW()-1,출력_구리근무자!$K$6:$K$305,0),""))</f>
        <v/>
      </c>
      <c r="AR159" s="10">
        <f>IF($AQ159="","",INDEX(출력_구리근무자!$H$6:$H$305,$AQ159))</f>
        <v/>
      </c>
    </row>
    <row r="160">
      <c r="A160" s="10">
        <f>IF(B160="","",ROW()-1)</f>
        <v/>
      </c>
      <c r="B160" s="19" t="n"/>
      <c r="C160" s="10">
        <f>IF($AB160="","",IF(INDEX(입력_기본자료!$C$2:$C$1001,$AB160)="","",INDEX(입력_기본자료!$C$2:$C$1001,$AB160)))</f>
        <v/>
      </c>
      <c r="D160" s="10">
        <f>IF($AB160="","",IF(INDEX(입력_기본자료!$J$2:$J$1001,$AB160)="","",INDEX(입력_기본자료!$J$2:$J$1001,$AB160)))</f>
        <v/>
      </c>
      <c r="E160" s="11">
        <f>IF($AB160="","",IF(INDEX(입력_기본자료!$K$2:$K$1001,$AB160)="","",IF(NOT(ISNUMBER(INDEX(입력_기본자료!$K$2:$K$1001,$AB160))),INDEX(입력_기본자료!$K$2:$K$1001,$AB160),IF(INDEX(입력_기본자료!$K$2:$K$1001,$AB160)&lt;1000000,INDEX(입력_기본자료!$K$2:$K$1001,$AB160),IF(AND(INDEX(입력_기본자료!$K$2:$K$1001,$AB160)&gt;=10000101,INT(MOD(INDEX(입력_기본자료!$K$2:$K$1001,$AB160),10000)/100)&gt;=1,INT(MOD(INDEX(입력_기본자료!$K$2:$K$1001,$AB160),10000)/100)&lt;=12,MOD(INDEX(입력_기본자료!$K$2:$K$1001,$AB160),100)&gt;=1,MOD(INDEX(입력_기본자료!$K$2:$K$1001,$AB160),100)&lt;=31),DATE(INT(INDEX(입력_기본자료!$K$2:$K$1001,$AB160)/10000),INT(MOD(INDEX(입력_기본자료!$K$2:$K$1001,$AB160),10000)/100),MOD(INDEX(입력_기본자료!$K$2:$K$1001,$AB160),100)),INDEX(입력_기본자료!$K$2:$K$1001,$AB160)&amp;"")))))</f>
        <v/>
      </c>
      <c r="F160" s="10">
        <f>IF($AB160="","",IF(INDEX(입력_기본자료!$D$2:$D$1001,$AB160)="","",INDEX(입력_기본자료!$D$2:$D$1001,$AB160)))</f>
        <v/>
      </c>
      <c r="G160" s="10">
        <f>IF($AB160="","",IF(INDEX(입력_기본자료!$E$2:$E$1001,$AB160)="","",INDEX(입력_기본자료!$E$2:$E$1001,$AB160)))</f>
        <v/>
      </c>
      <c r="H160" s="10">
        <f>IF($AB160="","",IF(INDEX(입력_기본자료!$F$2:$F$1001,$AB160)="","",INDEX(입력_기본자료!$F$2:$F$1001,$AB160)))</f>
        <v/>
      </c>
      <c r="I160" s="11">
        <f>IF($AB160="","",IF(INDEX(입력_기본자료!$G$2:$G$1001,$AB160)="","",IF(NOT(ISNUMBER(INDEX(입력_기본자료!$G$2:$G$1001,$AB160))),INDEX(입력_기본자료!$G$2:$G$1001,$AB160),IF(INDEX(입력_기본자료!$G$2:$G$1001,$AB160)&lt;1000000,INDEX(입력_기본자료!$G$2:$G$1001,$AB160),IF(AND(INDEX(입력_기본자료!$G$2:$G$1001,$AB160)&gt;=10000101,INT(MOD(INDEX(입력_기본자료!$G$2:$G$1001,$AB160),10000)/100)&gt;=1,INT(MOD(INDEX(입력_기본자료!$G$2:$G$1001,$AB160),10000)/100)&lt;=12,MOD(INDEX(입력_기본자료!$G$2:$G$1001,$AB160),100)&gt;=1,MOD(INDEX(입력_기본자료!$G$2:$G$1001,$AB160),100)&lt;=31),DATE(INT(INDEX(입력_기본자료!$G$2:$G$1001,$AB160)/10000),INT(MOD(INDEX(입력_기본자료!$G$2:$G$1001,$AB160),10000)/100),MOD(INDEX(입력_기본자료!$G$2:$G$1001,$AB160),100)),INDEX(입력_기본자료!$G$2:$G$1001,$AB160)&amp;"")))))</f>
        <v/>
      </c>
      <c r="J160" s="10">
        <f>IF($AB160="","",IF(INDEX(입력_기본자료!$H$2:$H$1001,$AB160)="","",INDEX(입력_기본자료!$H$2:$H$1001,$AB160)))</f>
        <v/>
      </c>
      <c r="K160" s="10">
        <f>IF($AB160="","",IF(INDEX(입력_기본자료!$I$2:$I$1001,$AB160)="","",INDEX(입력_기본자료!$I$2:$I$1001,$AB160)))</f>
        <v/>
      </c>
      <c r="L160" s="10">
        <f>IF($AB160="","",IF(INDEX(입력_기본자료!$A$2:$A$1001,$AB160)="","",INDEX(입력_기본자료!$A$2:$A$1001,$AB160)))</f>
        <v/>
      </c>
      <c r="M160" s="15" t="n"/>
      <c r="N160" s="10">
        <f>IF($B160="","",IF(AND($U160="파견중",$Q160&lt;&gt;""),$Q160,IF(AND($AD160&lt;&gt;"",LEFT($AD160,1)&lt;&gt;"⚠"),LEFT($AD160,FIND(" ",$AD160)-1),IF($H160="","",IF(RIGHT($H160,2)="병원",$H160,$H160&amp;"병원")))))</f>
        <v/>
      </c>
      <c r="O160" s="10">
        <f>IF($B160="","",IF(AND($U160="파견중",$Q160&lt;&gt;""),IF($R160&lt;&gt;"",$R160,"파견과 미입력"),IF(AND($AD160&lt;&gt;"",LEFT($AD160,1)&lt;&gt;"⚠"),MID($AD160,FIND(" ",$AD160)+1,60),IF($F160="","",IF($F160="인턴","수련교육부(인턴)",$F160)))))</f>
        <v/>
      </c>
      <c r="P160" s="10">
        <f>IF($B160="","",IF($AK160&lt;&gt;"",IF(AND(TODAY()&gt;=INDEX(입력_파견수련계획!$AB$4:$AB$803,$AK160),OR(NOT(ISNUMBER(INDEX(입력_파견수련계획!$AC$4:$AC$803,$AK160))),TODAY()&lt;=INDEX(입력_파견수련계획!$AC$4:$AC$803,$AK160))),"다기관",IF($AF160="","",INDEX(입력_파견수련계획!$T$4:$T$803,$AF160))),IF($AF160="","",INDEX(입력_파견수련계획!$T$4:$T$803,$AF160))))</f>
        <v/>
      </c>
      <c r="Q160" s="10">
        <f>IF($AF160="","",INDEX(입력_파견수련계획!$S$4:$S$803,$AF160))</f>
        <v/>
      </c>
      <c r="R160" s="10">
        <f>IF($AF160="","",INDEX(입력_파견수련계획!$U$4:$U$803,$AF160))</f>
        <v/>
      </c>
      <c r="S160" s="11">
        <f>IF($AF160="","",IF(INDEX(입력_파견수련계획!$H$4:$H$803,$AF160)="","",INDEX(입력_파견수련계획!$H$4:$H$803,$AF160)))</f>
        <v/>
      </c>
      <c r="T160" s="11">
        <f>IF($AF160="","",IF(INDEX(입력_파견수련계획!$I$4:$I$803,$AF160)="","",INDEX(입력_파견수련계획!$I$4:$I$803,$AF160)))</f>
        <v/>
      </c>
      <c r="U160" s="10">
        <f>IF($AF160="","",INDEX(입력_파견수련계획!$X$4:$X$803,$AF160))</f>
        <v/>
      </c>
      <c r="V160" s="17">
        <f>IF($AF160="","",INDEX(입력_파견수련계획!$V$4:$V$803,$AF160))</f>
        <v/>
      </c>
      <c r="W160" s="17">
        <f>IF(AND($U160="파견중",$T160&lt;&gt;""),$T160-TODAY(),"")</f>
        <v/>
      </c>
      <c r="X160" s="17">
        <f>IF(OR($B160="",TRIM($J160&amp;"")=""),"",SUMPRODUCT((입력_파견수련계획!$Q$4:$Q$803=TRIM($J160&amp;""))*입력_파견수련계획!$W$4:$W$803))</f>
        <v/>
      </c>
      <c r="Y160" s="10">
        <f>IF($B160="","",IF($AG160="","",IF(IF(TRIM($J160&amp;"")="",0,SUMPRODUCT((입력_파견수련계획!$Q$4:$Q$803=TRIM($J160&amp;""))*입력_파견수련계획!$AD$4:$AD$803))&gt;0,$AE160,IF(AND(N($X160)&lt;=0,$AQ160=""),$AG160,IF($AH160+$AI160=DAY(EOMONTH(출력_요약!$B$3,0)),IF(AND($AH160&gt;=출력_요약!$E$3,$AI160&lt;출력_요약!$E$3),"서울병원",IF(AND($AI160&gt;=출력_요약!$E$3,$AH160&lt;출력_요약!$E$3),"구리병원","⚠15일 판정불가(서울 "&amp;$AH160&amp;"일/구리 "&amp;$AI160&amp;"일)")),IF($AJ160="",$AE160,IF(INDEX(입력_파견수련계획!$T$4:$T$803,$AJ160)="통합수련",INDEX(입력_파견수련계획!$S$4:$S$803,$AJ160),$AE160)))))))</f>
        <v/>
      </c>
      <c r="Z160" s="20">
        <f>IF($B160="","",IF($AB160="","기본자료에 없는 사번",IF(COUNTIF($B$2:$B$401,$B160)&gt;1,"중복 사번",IF($AE160="","소속(입사장소) 입력",IF(IF(TRIM($J160&amp;"")="",0,SUMPRODUCT((입력_파견수련계획!$Q$4:$Q$803=TRIM($J160&amp;""))*(입력_파견수련계획!$AA$4:$AA$803&lt;&gt;"")))&gt;0,"파견수련계획 입력오류 확인",IF(LEFT($Y160,1)="⚠","서울·구리 15일 판정 불가(양쪽 모두 이상/미만)",IF(IF($AC160="",0,N(INDEX(입력_인턴근무계획!$T$3:$T$402,$AC160)))&gt;0,"인턴계획 입력오류 확인",IF(AND($AQ160&lt;&gt;"",$AG160&lt;&gt;"구리병원",IF(TRIM($J160&amp;"")="",0,SUMPRODUCT((입력_파견수련계획!$Q$4:$Q$803=TRIM($J160&amp;""))*(입력_파견수련계획!$S$4:$S$803="구리병원")*입력_파견수련계획!$W$4:$W$803))=0),"구리 근무자명단에만 있음(파견수련계획 확인)",IF(AND($AC160&lt;&gt;"",$U160&lt;&gt;"파견중",$N160&lt;&gt;$AE160),"인턴 타지역 근무: 파견 여부 확인","정상")))))))))</f>
        <v/>
      </c>
      <c r="AA160" s="5" t="n"/>
      <c r="AB160" s="10">
        <f>IF($B160="","",IFERROR(MATCH($B160,입력_기본자료!$B$2:$B$1001,0),IFERROR(MATCH($B160&amp;"",입력_기본자료!$B$2:$B$1001,0),IFERROR(MATCH(VALUE($B160),입력_기본자료!$B$2:$B$1001,0),""))))</f>
        <v/>
      </c>
      <c r="AC160" s="10">
        <f>IF($B160="","",IFERROR(MATCH($B160,입력_인턴근무계획!$D$3:$D$402,0),IFERROR(MATCH($B160&amp;"",입력_인턴근무계획!$D$3:$D$402,0),IFERROR(MATCH(VALUE($B160),입력_인턴근무계획!$D$3:$D$402,0),""))))</f>
        <v/>
      </c>
      <c r="AD160" s="10">
        <f>IF(OR($AC160="",출력_인턴현황!$G$3=""),"",INDEX(입력_인턴근무계획!$M$3:$R$402,$AC160,출력_인턴현황!$G$3)&amp;"")</f>
        <v/>
      </c>
      <c r="AE160" s="10">
        <f>IF($B160="","",IF($M160&lt;&gt;"",$M160,IF(IF($AQ160="",FALSE,INDEX(출력_구리근무자!$J$6:$J$305,$AQ160)="구리독자"),"구리병원",IF($AF160&lt;&gt;"",IF(LEFT(INDEX(입력_파견수련계획!$R$4:$R$803,$AF160),1)&lt;&gt;"⚠",INDEX(입력_파견수련계획!$R$4:$R$803,$AF160),IF($H160="","",IF(RIGHT($H160,2)="병원",$H160,$H160&amp;"병원"))),IF($H160="","",IF(RIGHT($H160,2)="병원",$H160,$H160&amp;"병원"))))))</f>
        <v/>
      </c>
      <c r="AF160" s="10">
        <f>IF(OR($B160="",TRIM($J160&amp;"")=""),"",IFERROR(MATCH(TRIM($J160&amp;"")&amp;"|파견중",입력_파견수련계획!$Y$4:$Y$803,0),IFERROR(MATCH(TRIM($J160&amp;"")&amp;"|파견예정",입력_파견수련계획!$Y$4:$Y$803,0),IFERROR(MATCH(TRIM($J160&amp;"")&amp;"|파견종료",입력_파견수련계획!$Y$4:$Y$803,0),""))))</f>
        <v/>
      </c>
      <c r="AG160" s="10">
        <f>IF($B160="","",IF(AND(IF(OR($AC160="",출력_인턴현황!$K$2=""),"",INDEX(입력_인턴근무계획!$M$3:$R$402,$AC160,출력_인턴현황!$K$2)&amp;"")&lt;&gt;"",LEFT(IF(OR($AC160="",출력_인턴현황!$K$2=""),"",INDEX(입력_인턴근무계획!$M$3:$R$402,$AC160,출력_인턴현황!$K$2)&amp;""),1)&lt;&gt;"⚠"),LEFT(IF(OR($AC160="",출력_인턴현황!$K$2=""),"",INDEX(입력_인턴근무계획!$M$3:$R$402,$AC160,출력_인턴현황!$K$2)&amp;""),FIND(" ",IF(OR($AC160="",출력_인턴현황!$K$2=""),"",INDEX(입력_인턴근무계획!$M$3:$R$402,$AC160,출력_인턴현황!$K$2)&amp;""))-1),$AE160))</f>
        <v/>
      </c>
      <c r="AH160" s="17">
        <f>IF($B160="","",IF($AQ160&lt;&gt;"",MAX(0,DAY(EOMONTH(출력_요약!$B$3,0))-N($AR160)),IF(TRIM($J160&amp;"")="",0,SUMPRODUCT((입력_파견수련계획!$Q$4:$Q$803=TRIM($J160&amp;""))*(입력_파견수련계획!$S$4:$S$803="서울병원")*입력_파견수련계획!$W$4:$W$803))+IF($AG160="서울병원",MAX(0,DAY(EOMONTH(출력_요약!$B$3,0))-N($X160)),0)))</f>
        <v/>
      </c>
      <c r="AI160" s="17">
        <f>IF($B160="","",IF($AQ160&lt;&gt;"",N($AR160),IF(TRIM($J160&amp;"")="",0,SUMPRODUCT((입력_파견수련계획!$Q$4:$Q$803=TRIM($J160&amp;""))*(입력_파견수련계획!$S$4:$S$803="구리병원")*입력_파견수련계획!$W$4:$W$803))+IF($AG160="구리병원",MAX(0,DAY(EOMONTH(출력_요약!$B$3,0))-N($X160)),0)))</f>
        <v/>
      </c>
      <c r="AJ160" s="10">
        <f>IF(OR($B160="",TRIM($J160&amp;"")=""),"",IFERROR(MATCH(TRIM($J160&amp;"")&amp;"|월",입력_파견수련계획!$Z$4:$Z$803,0),""))</f>
        <v/>
      </c>
      <c r="AK160" s="10">
        <f>IF(OR($B160="",TRIM($J160&amp;"")=""),"",IFERROR(MATCH(TRIM($J160&amp;"")&amp;"|다기관",입력_파견수련계획!$AE$4:$AE$803,0),""))</f>
        <v/>
      </c>
      <c r="AL160" s="10">
        <f>IF($AK160="","","다기관 "&amp;TEXT(INDEX(입력_파견수련계획!$AB$4:$AB$803,$AK160),"yyyy-mm-dd")&amp;"~"&amp;IF(ISNUMBER(INDEX(입력_파견수련계획!$AC$4:$AC$803,$AK160)),TEXT(INDEX(입력_파견수련계획!$AC$4:$AC$803,$AK160),"yyyy-mm-dd"),""))</f>
        <v/>
      </c>
      <c r="AM160" s="10">
        <f>IF($Y160="서울병원",COUNTIF($Y$2:$Y160,"서울병원"),"")</f>
        <v/>
      </c>
      <c r="AN160" s="10">
        <f>IF(LEFT($Y160,1)="⚠",COUNTIF($Y$2:$Y160,"⚠*"),"")</f>
        <v/>
      </c>
      <c r="AO160" s="10">
        <f>IF(OR($B160="",$Y160=""),"",IF(IF(TRIM($J160&amp;"")="",0,SUMPRODUCT((입력_파견수련계획!$Q$4:$Q$803=TRIM($J160&amp;""))*입력_파견수련계획!$AD$4:$AD$803))&gt;0,"다기관 기간 → 소속병원 지급",IF(AND(N($X160)&lt;=0,$AQ160=""),"파견 없음 → 그 달 근무병원 지급",IF($AH160+$AI160=DAY(EOMONTH(출력_요약!$B$3,0)),"서울 "&amp;$AH160&amp;"일 / 구리 "&amp;$AI160&amp;"일"&amp;IF($AQ160&lt;&gt;""," (구리 근무자명단 반영)","")&amp;" → 15일 이상 근무 병원 지급","타 병원 포함 → "&amp;IF($AJ160="","소속",INDEX(입력_파견수련계획!$T$4:$T$803,$AJ160))&amp;" 규칙"))))</f>
        <v/>
      </c>
      <c r="AP160" s="10">
        <f>IF($B160="","",$C160&amp;"|"&amp;$F160)</f>
        <v/>
      </c>
      <c r="AQ160" s="10">
        <f>IF($B160="","",IFERROR(MATCH(ROW()-1,출력_구리근무자!$K$6:$K$305,0),""))</f>
        <v/>
      </c>
      <c r="AR160" s="10">
        <f>IF($AQ160="","",INDEX(출력_구리근무자!$H$6:$H$305,$AQ160))</f>
        <v/>
      </c>
    </row>
    <row r="161">
      <c r="A161" s="10">
        <f>IF(B161="","",ROW()-1)</f>
        <v/>
      </c>
      <c r="B161" s="19" t="n"/>
      <c r="C161" s="10">
        <f>IF($AB161="","",IF(INDEX(입력_기본자료!$C$2:$C$1001,$AB161)="","",INDEX(입력_기본자료!$C$2:$C$1001,$AB161)))</f>
        <v/>
      </c>
      <c r="D161" s="10">
        <f>IF($AB161="","",IF(INDEX(입력_기본자료!$J$2:$J$1001,$AB161)="","",INDEX(입력_기본자료!$J$2:$J$1001,$AB161)))</f>
        <v/>
      </c>
      <c r="E161" s="11">
        <f>IF($AB161="","",IF(INDEX(입력_기본자료!$K$2:$K$1001,$AB161)="","",IF(NOT(ISNUMBER(INDEX(입력_기본자료!$K$2:$K$1001,$AB161))),INDEX(입력_기본자료!$K$2:$K$1001,$AB161),IF(INDEX(입력_기본자료!$K$2:$K$1001,$AB161)&lt;1000000,INDEX(입력_기본자료!$K$2:$K$1001,$AB161),IF(AND(INDEX(입력_기본자료!$K$2:$K$1001,$AB161)&gt;=10000101,INT(MOD(INDEX(입력_기본자료!$K$2:$K$1001,$AB161),10000)/100)&gt;=1,INT(MOD(INDEX(입력_기본자료!$K$2:$K$1001,$AB161),10000)/100)&lt;=12,MOD(INDEX(입력_기본자료!$K$2:$K$1001,$AB161),100)&gt;=1,MOD(INDEX(입력_기본자료!$K$2:$K$1001,$AB161),100)&lt;=31),DATE(INT(INDEX(입력_기본자료!$K$2:$K$1001,$AB161)/10000),INT(MOD(INDEX(입력_기본자료!$K$2:$K$1001,$AB161),10000)/100),MOD(INDEX(입력_기본자료!$K$2:$K$1001,$AB161),100)),INDEX(입력_기본자료!$K$2:$K$1001,$AB161)&amp;"")))))</f>
        <v/>
      </c>
      <c r="F161" s="10">
        <f>IF($AB161="","",IF(INDEX(입력_기본자료!$D$2:$D$1001,$AB161)="","",INDEX(입력_기본자료!$D$2:$D$1001,$AB161)))</f>
        <v/>
      </c>
      <c r="G161" s="10">
        <f>IF($AB161="","",IF(INDEX(입력_기본자료!$E$2:$E$1001,$AB161)="","",INDEX(입력_기본자료!$E$2:$E$1001,$AB161)))</f>
        <v/>
      </c>
      <c r="H161" s="10">
        <f>IF($AB161="","",IF(INDEX(입력_기본자료!$F$2:$F$1001,$AB161)="","",INDEX(입력_기본자료!$F$2:$F$1001,$AB161)))</f>
        <v/>
      </c>
      <c r="I161" s="11">
        <f>IF($AB161="","",IF(INDEX(입력_기본자료!$G$2:$G$1001,$AB161)="","",IF(NOT(ISNUMBER(INDEX(입력_기본자료!$G$2:$G$1001,$AB161))),INDEX(입력_기본자료!$G$2:$G$1001,$AB161),IF(INDEX(입력_기본자료!$G$2:$G$1001,$AB161)&lt;1000000,INDEX(입력_기본자료!$G$2:$G$1001,$AB161),IF(AND(INDEX(입력_기본자료!$G$2:$G$1001,$AB161)&gt;=10000101,INT(MOD(INDEX(입력_기본자료!$G$2:$G$1001,$AB161),10000)/100)&gt;=1,INT(MOD(INDEX(입력_기본자료!$G$2:$G$1001,$AB161),10000)/100)&lt;=12,MOD(INDEX(입력_기본자료!$G$2:$G$1001,$AB161),100)&gt;=1,MOD(INDEX(입력_기본자료!$G$2:$G$1001,$AB161),100)&lt;=31),DATE(INT(INDEX(입력_기본자료!$G$2:$G$1001,$AB161)/10000),INT(MOD(INDEX(입력_기본자료!$G$2:$G$1001,$AB161),10000)/100),MOD(INDEX(입력_기본자료!$G$2:$G$1001,$AB161),100)),INDEX(입력_기본자료!$G$2:$G$1001,$AB161)&amp;"")))))</f>
        <v/>
      </c>
      <c r="J161" s="10">
        <f>IF($AB161="","",IF(INDEX(입력_기본자료!$H$2:$H$1001,$AB161)="","",INDEX(입력_기본자료!$H$2:$H$1001,$AB161)))</f>
        <v/>
      </c>
      <c r="K161" s="10">
        <f>IF($AB161="","",IF(INDEX(입력_기본자료!$I$2:$I$1001,$AB161)="","",INDEX(입력_기본자료!$I$2:$I$1001,$AB161)))</f>
        <v/>
      </c>
      <c r="L161" s="10">
        <f>IF($AB161="","",IF(INDEX(입력_기본자료!$A$2:$A$1001,$AB161)="","",INDEX(입력_기본자료!$A$2:$A$1001,$AB161)))</f>
        <v/>
      </c>
      <c r="M161" s="15" t="n"/>
      <c r="N161" s="10">
        <f>IF($B161="","",IF(AND($U161="파견중",$Q161&lt;&gt;""),$Q161,IF(AND($AD161&lt;&gt;"",LEFT($AD161,1)&lt;&gt;"⚠"),LEFT($AD161,FIND(" ",$AD161)-1),IF($H161="","",IF(RIGHT($H161,2)="병원",$H161,$H161&amp;"병원")))))</f>
        <v/>
      </c>
      <c r="O161" s="10">
        <f>IF($B161="","",IF(AND($U161="파견중",$Q161&lt;&gt;""),IF($R161&lt;&gt;"",$R161,"파견과 미입력"),IF(AND($AD161&lt;&gt;"",LEFT($AD161,1)&lt;&gt;"⚠"),MID($AD161,FIND(" ",$AD161)+1,60),IF($F161="","",IF($F161="인턴","수련교육부(인턴)",$F161)))))</f>
        <v/>
      </c>
      <c r="P161" s="10">
        <f>IF($B161="","",IF($AK161&lt;&gt;"",IF(AND(TODAY()&gt;=INDEX(입력_파견수련계획!$AB$4:$AB$803,$AK161),OR(NOT(ISNUMBER(INDEX(입력_파견수련계획!$AC$4:$AC$803,$AK161))),TODAY()&lt;=INDEX(입력_파견수련계획!$AC$4:$AC$803,$AK161))),"다기관",IF($AF161="","",INDEX(입력_파견수련계획!$T$4:$T$803,$AF161))),IF($AF161="","",INDEX(입력_파견수련계획!$T$4:$T$803,$AF161))))</f>
        <v/>
      </c>
      <c r="Q161" s="10">
        <f>IF($AF161="","",INDEX(입력_파견수련계획!$S$4:$S$803,$AF161))</f>
        <v/>
      </c>
      <c r="R161" s="10">
        <f>IF($AF161="","",INDEX(입력_파견수련계획!$U$4:$U$803,$AF161))</f>
        <v/>
      </c>
      <c r="S161" s="11">
        <f>IF($AF161="","",IF(INDEX(입력_파견수련계획!$H$4:$H$803,$AF161)="","",INDEX(입력_파견수련계획!$H$4:$H$803,$AF161)))</f>
        <v/>
      </c>
      <c r="T161" s="11">
        <f>IF($AF161="","",IF(INDEX(입력_파견수련계획!$I$4:$I$803,$AF161)="","",INDEX(입력_파견수련계획!$I$4:$I$803,$AF161)))</f>
        <v/>
      </c>
      <c r="U161" s="10">
        <f>IF($AF161="","",INDEX(입력_파견수련계획!$X$4:$X$803,$AF161))</f>
        <v/>
      </c>
      <c r="V161" s="17">
        <f>IF($AF161="","",INDEX(입력_파견수련계획!$V$4:$V$803,$AF161))</f>
        <v/>
      </c>
      <c r="W161" s="17">
        <f>IF(AND($U161="파견중",$T161&lt;&gt;""),$T161-TODAY(),"")</f>
        <v/>
      </c>
      <c r="X161" s="17">
        <f>IF(OR($B161="",TRIM($J161&amp;"")=""),"",SUMPRODUCT((입력_파견수련계획!$Q$4:$Q$803=TRIM($J161&amp;""))*입력_파견수련계획!$W$4:$W$803))</f>
        <v/>
      </c>
      <c r="Y161" s="10">
        <f>IF($B161="","",IF($AG161="","",IF(IF(TRIM($J161&amp;"")="",0,SUMPRODUCT((입력_파견수련계획!$Q$4:$Q$803=TRIM($J161&amp;""))*입력_파견수련계획!$AD$4:$AD$803))&gt;0,$AE161,IF(AND(N($X161)&lt;=0,$AQ161=""),$AG161,IF($AH161+$AI161=DAY(EOMONTH(출력_요약!$B$3,0)),IF(AND($AH161&gt;=출력_요약!$E$3,$AI161&lt;출력_요약!$E$3),"서울병원",IF(AND($AI161&gt;=출력_요약!$E$3,$AH161&lt;출력_요약!$E$3),"구리병원","⚠15일 판정불가(서울 "&amp;$AH161&amp;"일/구리 "&amp;$AI161&amp;"일)")),IF($AJ161="",$AE161,IF(INDEX(입력_파견수련계획!$T$4:$T$803,$AJ161)="통합수련",INDEX(입력_파견수련계획!$S$4:$S$803,$AJ161),$AE161)))))))</f>
        <v/>
      </c>
      <c r="Z161" s="20">
        <f>IF($B161="","",IF($AB161="","기본자료에 없는 사번",IF(COUNTIF($B$2:$B$401,$B161)&gt;1,"중복 사번",IF($AE161="","소속(입사장소) 입력",IF(IF(TRIM($J161&amp;"")="",0,SUMPRODUCT((입력_파견수련계획!$Q$4:$Q$803=TRIM($J161&amp;""))*(입력_파견수련계획!$AA$4:$AA$803&lt;&gt;"")))&gt;0,"파견수련계획 입력오류 확인",IF(LEFT($Y161,1)="⚠","서울·구리 15일 판정 불가(양쪽 모두 이상/미만)",IF(IF($AC161="",0,N(INDEX(입력_인턴근무계획!$T$3:$T$402,$AC161)))&gt;0,"인턴계획 입력오류 확인",IF(AND($AQ161&lt;&gt;"",$AG161&lt;&gt;"구리병원",IF(TRIM($J161&amp;"")="",0,SUMPRODUCT((입력_파견수련계획!$Q$4:$Q$803=TRIM($J161&amp;""))*(입력_파견수련계획!$S$4:$S$803="구리병원")*입력_파견수련계획!$W$4:$W$803))=0),"구리 근무자명단에만 있음(파견수련계획 확인)",IF(AND($AC161&lt;&gt;"",$U161&lt;&gt;"파견중",$N161&lt;&gt;$AE161),"인턴 타지역 근무: 파견 여부 확인","정상")))))))))</f>
        <v/>
      </c>
      <c r="AA161" s="5" t="n"/>
      <c r="AB161" s="10">
        <f>IF($B161="","",IFERROR(MATCH($B161,입력_기본자료!$B$2:$B$1001,0),IFERROR(MATCH($B161&amp;"",입력_기본자료!$B$2:$B$1001,0),IFERROR(MATCH(VALUE($B161),입력_기본자료!$B$2:$B$1001,0),""))))</f>
        <v/>
      </c>
      <c r="AC161" s="10">
        <f>IF($B161="","",IFERROR(MATCH($B161,입력_인턴근무계획!$D$3:$D$402,0),IFERROR(MATCH($B161&amp;"",입력_인턴근무계획!$D$3:$D$402,0),IFERROR(MATCH(VALUE($B161),입력_인턴근무계획!$D$3:$D$402,0),""))))</f>
        <v/>
      </c>
      <c r="AD161" s="10">
        <f>IF(OR($AC161="",출력_인턴현황!$G$3=""),"",INDEX(입력_인턴근무계획!$M$3:$R$402,$AC161,출력_인턴현황!$G$3)&amp;"")</f>
        <v/>
      </c>
      <c r="AE161" s="10">
        <f>IF($B161="","",IF($M161&lt;&gt;"",$M161,IF(IF($AQ161="",FALSE,INDEX(출력_구리근무자!$J$6:$J$305,$AQ161)="구리독자"),"구리병원",IF($AF161&lt;&gt;"",IF(LEFT(INDEX(입력_파견수련계획!$R$4:$R$803,$AF161),1)&lt;&gt;"⚠",INDEX(입력_파견수련계획!$R$4:$R$803,$AF161),IF($H161="","",IF(RIGHT($H161,2)="병원",$H161,$H161&amp;"병원"))),IF($H161="","",IF(RIGHT($H161,2)="병원",$H161,$H161&amp;"병원"))))))</f>
        <v/>
      </c>
      <c r="AF161" s="10">
        <f>IF(OR($B161="",TRIM($J161&amp;"")=""),"",IFERROR(MATCH(TRIM($J161&amp;"")&amp;"|파견중",입력_파견수련계획!$Y$4:$Y$803,0),IFERROR(MATCH(TRIM($J161&amp;"")&amp;"|파견예정",입력_파견수련계획!$Y$4:$Y$803,0),IFERROR(MATCH(TRIM($J161&amp;"")&amp;"|파견종료",입력_파견수련계획!$Y$4:$Y$803,0),""))))</f>
        <v/>
      </c>
      <c r="AG161" s="10">
        <f>IF($B161="","",IF(AND(IF(OR($AC161="",출력_인턴현황!$K$2=""),"",INDEX(입력_인턴근무계획!$M$3:$R$402,$AC161,출력_인턴현황!$K$2)&amp;"")&lt;&gt;"",LEFT(IF(OR($AC161="",출력_인턴현황!$K$2=""),"",INDEX(입력_인턴근무계획!$M$3:$R$402,$AC161,출력_인턴현황!$K$2)&amp;""),1)&lt;&gt;"⚠"),LEFT(IF(OR($AC161="",출력_인턴현황!$K$2=""),"",INDEX(입력_인턴근무계획!$M$3:$R$402,$AC161,출력_인턴현황!$K$2)&amp;""),FIND(" ",IF(OR($AC161="",출력_인턴현황!$K$2=""),"",INDEX(입력_인턴근무계획!$M$3:$R$402,$AC161,출력_인턴현황!$K$2)&amp;""))-1),$AE161))</f>
        <v/>
      </c>
      <c r="AH161" s="17">
        <f>IF($B161="","",IF($AQ161&lt;&gt;"",MAX(0,DAY(EOMONTH(출력_요약!$B$3,0))-N($AR161)),IF(TRIM($J161&amp;"")="",0,SUMPRODUCT((입력_파견수련계획!$Q$4:$Q$803=TRIM($J161&amp;""))*(입력_파견수련계획!$S$4:$S$803="서울병원")*입력_파견수련계획!$W$4:$W$803))+IF($AG161="서울병원",MAX(0,DAY(EOMONTH(출력_요약!$B$3,0))-N($X161)),0)))</f>
        <v/>
      </c>
      <c r="AI161" s="17">
        <f>IF($B161="","",IF($AQ161&lt;&gt;"",N($AR161),IF(TRIM($J161&amp;"")="",0,SUMPRODUCT((입력_파견수련계획!$Q$4:$Q$803=TRIM($J161&amp;""))*(입력_파견수련계획!$S$4:$S$803="구리병원")*입력_파견수련계획!$W$4:$W$803))+IF($AG161="구리병원",MAX(0,DAY(EOMONTH(출력_요약!$B$3,0))-N($X161)),0)))</f>
        <v/>
      </c>
      <c r="AJ161" s="10">
        <f>IF(OR($B161="",TRIM($J161&amp;"")=""),"",IFERROR(MATCH(TRIM($J161&amp;"")&amp;"|월",입력_파견수련계획!$Z$4:$Z$803,0),""))</f>
        <v/>
      </c>
      <c r="AK161" s="10">
        <f>IF(OR($B161="",TRIM($J161&amp;"")=""),"",IFERROR(MATCH(TRIM($J161&amp;"")&amp;"|다기관",입력_파견수련계획!$AE$4:$AE$803,0),""))</f>
        <v/>
      </c>
      <c r="AL161" s="10">
        <f>IF($AK161="","","다기관 "&amp;TEXT(INDEX(입력_파견수련계획!$AB$4:$AB$803,$AK161),"yyyy-mm-dd")&amp;"~"&amp;IF(ISNUMBER(INDEX(입력_파견수련계획!$AC$4:$AC$803,$AK161)),TEXT(INDEX(입력_파견수련계획!$AC$4:$AC$803,$AK161),"yyyy-mm-dd"),""))</f>
        <v/>
      </c>
      <c r="AM161" s="10">
        <f>IF($Y161="서울병원",COUNTIF($Y$2:$Y161,"서울병원"),"")</f>
        <v/>
      </c>
      <c r="AN161" s="10">
        <f>IF(LEFT($Y161,1)="⚠",COUNTIF($Y$2:$Y161,"⚠*"),"")</f>
        <v/>
      </c>
      <c r="AO161" s="10">
        <f>IF(OR($B161="",$Y161=""),"",IF(IF(TRIM($J161&amp;"")="",0,SUMPRODUCT((입력_파견수련계획!$Q$4:$Q$803=TRIM($J161&amp;""))*입력_파견수련계획!$AD$4:$AD$803))&gt;0,"다기관 기간 → 소속병원 지급",IF(AND(N($X161)&lt;=0,$AQ161=""),"파견 없음 → 그 달 근무병원 지급",IF($AH161+$AI161=DAY(EOMONTH(출력_요약!$B$3,0)),"서울 "&amp;$AH161&amp;"일 / 구리 "&amp;$AI161&amp;"일"&amp;IF($AQ161&lt;&gt;""," (구리 근무자명단 반영)","")&amp;" → 15일 이상 근무 병원 지급","타 병원 포함 → "&amp;IF($AJ161="","소속",INDEX(입력_파견수련계획!$T$4:$T$803,$AJ161))&amp;" 규칙"))))</f>
        <v/>
      </c>
      <c r="AP161" s="10">
        <f>IF($B161="","",$C161&amp;"|"&amp;$F161)</f>
        <v/>
      </c>
      <c r="AQ161" s="10">
        <f>IF($B161="","",IFERROR(MATCH(ROW()-1,출력_구리근무자!$K$6:$K$305,0),""))</f>
        <v/>
      </c>
      <c r="AR161" s="10">
        <f>IF($AQ161="","",INDEX(출력_구리근무자!$H$6:$H$305,$AQ161))</f>
        <v/>
      </c>
    </row>
    <row r="162">
      <c r="A162" s="10">
        <f>IF(B162="","",ROW()-1)</f>
        <v/>
      </c>
      <c r="B162" s="19" t="n"/>
      <c r="C162" s="10">
        <f>IF($AB162="","",IF(INDEX(입력_기본자료!$C$2:$C$1001,$AB162)="","",INDEX(입력_기본자료!$C$2:$C$1001,$AB162)))</f>
        <v/>
      </c>
      <c r="D162" s="10">
        <f>IF($AB162="","",IF(INDEX(입력_기본자료!$J$2:$J$1001,$AB162)="","",INDEX(입력_기본자료!$J$2:$J$1001,$AB162)))</f>
        <v/>
      </c>
      <c r="E162" s="11">
        <f>IF($AB162="","",IF(INDEX(입력_기본자료!$K$2:$K$1001,$AB162)="","",IF(NOT(ISNUMBER(INDEX(입력_기본자료!$K$2:$K$1001,$AB162))),INDEX(입력_기본자료!$K$2:$K$1001,$AB162),IF(INDEX(입력_기본자료!$K$2:$K$1001,$AB162)&lt;1000000,INDEX(입력_기본자료!$K$2:$K$1001,$AB162),IF(AND(INDEX(입력_기본자료!$K$2:$K$1001,$AB162)&gt;=10000101,INT(MOD(INDEX(입력_기본자료!$K$2:$K$1001,$AB162),10000)/100)&gt;=1,INT(MOD(INDEX(입력_기본자료!$K$2:$K$1001,$AB162),10000)/100)&lt;=12,MOD(INDEX(입력_기본자료!$K$2:$K$1001,$AB162),100)&gt;=1,MOD(INDEX(입력_기본자료!$K$2:$K$1001,$AB162),100)&lt;=31),DATE(INT(INDEX(입력_기본자료!$K$2:$K$1001,$AB162)/10000),INT(MOD(INDEX(입력_기본자료!$K$2:$K$1001,$AB162),10000)/100),MOD(INDEX(입력_기본자료!$K$2:$K$1001,$AB162),100)),INDEX(입력_기본자료!$K$2:$K$1001,$AB162)&amp;"")))))</f>
        <v/>
      </c>
      <c r="F162" s="10">
        <f>IF($AB162="","",IF(INDEX(입력_기본자료!$D$2:$D$1001,$AB162)="","",INDEX(입력_기본자료!$D$2:$D$1001,$AB162)))</f>
        <v/>
      </c>
      <c r="G162" s="10">
        <f>IF($AB162="","",IF(INDEX(입력_기본자료!$E$2:$E$1001,$AB162)="","",INDEX(입력_기본자료!$E$2:$E$1001,$AB162)))</f>
        <v/>
      </c>
      <c r="H162" s="10">
        <f>IF($AB162="","",IF(INDEX(입력_기본자료!$F$2:$F$1001,$AB162)="","",INDEX(입력_기본자료!$F$2:$F$1001,$AB162)))</f>
        <v/>
      </c>
      <c r="I162" s="11">
        <f>IF($AB162="","",IF(INDEX(입력_기본자료!$G$2:$G$1001,$AB162)="","",IF(NOT(ISNUMBER(INDEX(입력_기본자료!$G$2:$G$1001,$AB162))),INDEX(입력_기본자료!$G$2:$G$1001,$AB162),IF(INDEX(입력_기본자료!$G$2:$G$1001,$AB162)&lt;1000000,INDEX(입력_기본자료!$G$2:$G$1001,$AB162),IF(AND(INDEX(입력_기본자료!$G$2:$G$1001,$AB162)&gt;=10000101,INT(MOD(INDEX(입력_기본자료!$G$2:$G$1001,$AB162),10000)/100)&gt;=1,INT(MOD(INDEX(입력_기본자료!$G$2:$G$1001,$AB162),10000)/100)&lt;=12,MOD(INDEX(입력_기본자료!$G$2:$G$1001,$AB162),100)&gt;=1,MOD(INDEX(입력_기본자료!$G$2:$G$1001,$AB162),100)&lt;=31),DATE(INT(INDEX(입력_기본자료!$G$2:$G$1001,$AB162)/10000),INT(MOD(INDEX(입력_기본자료!$G$2:$G$1001,$AB162),10000)/100),MOD(INDEX(입력_기본자료!$G$2:$G$1001,$AB162),100)),INDEX(입력_기본자료!$G$2:$G$1001,$AB162)&amp;"")))))</f>
        <v/>
      </c>
      <c r="J162" s="10">
        <f>IF($AB162="","",IF(INDEX(입력_기본자료!$H$2:$H$1001,$AB162)="","",INDEX(입력_기본자료!$H$2:$H$1001,$AB162)))</f>
        <v/>
      </c>
      <c r="K162" s="10">
        <f>IF($AB162="","",IF(INDEX(입력_기본자료!$I$2:$I$1001,$AB162)="","",INDEX(입력_기본자료!$I$2:$I$1001,$AB162)))</f>
        <v/>
      </c>
      <c r="L162" s="10">
        <f>IF($AB162="","",IF(INDEX(입력_기본자료!$A$2:$A$1001,$AB162)="","",INDEX(입력_기본자료!$A$2:$A$1001,$AB162)))</f>
        <v/>
      </c>
      <c r="M162" s="15" t="n"/>
      <c r="N162" s="10">
        <f>IF($B162="","",IF(AND($U162="파견중",$Q162&lt;&gt;""),$Q162,IF(AND($AD162&lt;&gt;"",LEFT($AD162,1)&lt;&gt;"⚠"),LEFT($AD162,FIND(" ",$AD162)-1),IF($H162="","",IF(RIGHT($H162,2)="병원",$H162,$H162&amp;"병원")))))</f>
        <v/>
      </c>
      <c r="O162" s="10">
        <f>IF($B162="","",IF(AND($U162="파견중",$Q162&lt;&gt;""),IF($R162&lt;&gt;"",$R162,"파견과 미입력"),IF(AND($AD162&lt;&gt;"",LEFT($AD162,1)&lt;&gt;"⚠"),MID($AD162,FIND(" ",$AD162)+1,60),IF($F162="","",IF($F162="인턴","수련교육부(인턴)",$F162)))))</f>
        <v/>
      </c>
      <c r="P162" s="10">
        <f>IF($B162="","",IF($AK162&lt;&gt;"",IF(AND(TODAY()&gt;=INDEX(입력_파견수련계획!$AB$4:$AB$803,$AK162),OR(NOT(ISNUMBER(INDEX(입력_파견수련계획!$AC$4:$AC$803,$AK162))),TODAY()&lt;=INDEX(입력_파견수련계획!$AC$4:$AC$803,$AK162))),"다기관",IF($AF162="","",INDEX(입력_파견수련계획!$T$4:$T$803,$AF162))),IF($AF162="","",INDEX(입력_파견수련계획!$T$4:$T$803,$AF162))))</f>
        <v/>
      </c>
      <c r="Q162" s="10">
        <f>IF($AF162="","",INDEX(입력_파견수련계획!$S$4:$S$803,$AF162))</f>
        <v/>
      </c>
      <c r="R162" s="10">
        <f>IF($AF162="","",INDEX(입력_파견수련계획!$U$4:$U$803,$AF162))</f>
        <v/>
      </c>
      <c r="S162" s="11">
        <f>IF($AF162="","",IF(INDEX(입력_파견수련계획!$H$4:$H$803,$AF162)="","",INDEX(입력_파견수련계획!$H$4:$H$803,$AF162)))</f>
        <v/>
      </c>
      <c r="T162" s="11">
        <f>IF($AF162="","",IF(INDEX(입력_파견수련계획!$I$4:$I$803,$AF162)="","",INDEX(입력_파견수련계획!$I$4:$I$803,$AF162)))</f>
        <v/>
      </c>
      <c r="U162" s="10">
        <f>IF($AF162="","",INDEX(입력_파견수련계획!$X$4:$X$803,$AF162))</f>
        <v/>
      </c>
      <c r="V162" s="17">
        <f>IF($AF162="","",INDEX(입력_파견수련계획!$V$4:$V$803,$AF162))</f>
        <v/>
      </c>
      <c r="W162" s="17">
        <f>IF(AND($U162="파견중",$T162&lt;&gt;""),$T162-TODAY(),"")</f>
        <v/>
      </c>
      <c r="X162" s="17">
        <f>IF(OR($B162="",TRIM($J162&amp;"")=""),"",SUMPRODUCT((입력_파견수련계획!$Q$4:$Q$803=TRIM($J162&amp;""))*입력_파견수련계획!$W$4:$W$803))</f>
        <v/>
      </c>
      <c r="Y162" s="10">
        <f>IF($B162="","",IF($AG162="","",IF(IF(TRIM($J162&amp;"")="",0,SUMPRODUCT((입력_파견수련계획!$Q$4:$Q$803=TRIM($J162&amp;""))*입력_파견수련계획!$AD$4:$AD$803))&gt;0,$AE162,IF(AND(N($X162)&lt;=0,$AQ162=""),$AG162,IF($AH162+$AI162=DAY(EOMONTH(출력_요약!$B$3,0)),IF(AND($AH162&gt;=출력_요약!$E$3,$AI162&lt;출력_요약!$E$3),"서울병원",IF(AND($AI162&gt;=출력_요약!$E$3,$AH162&lt;출력_요약!$E$3),"구리병원","⚠15일 판정불가(서울 "&amp;$AH162&amp;"일/구리 "&amp;$AI162&amp;"일)")),IF($AJ162="",$AE162,IF(INDEX(입력_파견수련계획!$T$4:$T$803,$AJ162)="통합수련",INDEX(입력_파견수련계획!$S$4:$S$803,$AJ162),$AE162)))))))</f>
        <v/>
      </c>
      <c r="Z162" s="20">
        <f>IF($B162="","",IF($AB162="","기본자료에 없는 사번",IF(COUNTIF($B$2:$B$401,$B162)&gt;1,"중복 사번",IF($AE162="","소속(입사장소) 입력",IF(IF(TRIM($J162&amp;"")="",0,SUMPRODUCT((입력_파견수련계획!$Q$4:$Q$803=TRIM($J162&amp;""))*(입력_파견수련계획!$AA$4:$AA$803&lt;&gt;"")))&gt;0,"파견수련계획 입력오류 확인",IF(LEFT($Y162,1)="⚠","서울·구리 15일 판정 불가(양쪽 모두 이상/미만)",IF(IF($AC162="",0,N(INDEX(입력_인턴근무계획!$T$3:$T$402,$AC162)))&gt;0,"인턴계획 입력오류 확인",IF(AND($AQ162&lt;&gt;"",$AG162&lt;&gt;"구리병원",IF(TRIM($J162&amp;"")="",0,SUMPRODUCT((입력_파견수련계획!$Q$4:$Q$803=TRIM($J162&amp;""))*(입력_파견수련계획!$S$4:$S$803="구리병원")*입력_파견수련계획!$W$4:$W$803))=0),"구리 근무자명단에만 있음(파견수련계획 확인)",IF(AND($AC162&lt;&gt;"",$U162&lt;&gt;"파견중",$N162&lt;&gt;$AE162),"인턴 타지역 근무: 파견 여부 확인","정상")))))))))</f>
        <v/>
      </c>
      <c r="AA162" s="5" t="n"/>
      <c r="AB162" s="10">
        <f>IF($B162="","",IFERROR(MATCH($B162,입력_기본자료!$B$2:$B$1001,0),IFERROR(MATCH($B162&amp;"",입력_기본자료!$B$2:$B$1001,0),IFERROR(MATCH(VALUE($B162),입력_기본자료!$B$2:$B$1001,0),""))))</f>
        <v/>
      </c>
      <c r="AC162" s="10">
        <f>IF($B162="","",IFERROR(MATCH($B162,입력_인턴근무계획!$D$3:$D$402,0),IFERROR(MATCH($B162&amp;"",입력_인턴근무계획!$D$3:$D$402,0),IFERROR(MATCH(VALUE($B162),입력_인턴근무계획!$D$3:$D$402,0),""))))</f>
        <v/>
      </c>
      <c r="AD162" s="10">
        <f>IF(OR($AC162="",출력_인턴현황!$G$3=""),"",INDEX(입력_인턴근무계획!$M$3:$R$402,$AC162,출력_인턴현황!$G$3)&amp;"")</f>
        <v/>
      </c>
      <c r="AE162" s="10">
        <f>IF($B162="","",IF($M162&lt;&gt;"",$M162,IF(IF($AQ162="",FALSE,INDEX(출력_구리근무자!$J$6:$J$305,$AQ162)="구리독자"),"구리병원",IF($AF162&lt;&gt;"",IF(LEFT(INDEX(입력_파견수련계획!$R$4:$R$803,$AF162),1)&lt;&gt;"⚠",INDEX(입력_파견수련계획!$R$4:$R$803,$AF162),IF($H162="","",IF(RIGHT($H162,2)="병원",$H162,$H162&amp;"병원"))),IF($H162="","",IF(RIGHT($H162,2)="병원",$H162,$H162&amp;"병원"))))))</f>
        <v/>
      </c>
      <c r="AF162" s="10">
        <f>IF(OR($B162="",TRIM($J162&amp;"")=""),"",IFERROR(MATCH(TRIM($J162&amp;"")&amp;"|파견중",입력_파견수련계획!$Y$4:$Y$803,0),IFERROR(MATCH(TRIM($J162&amp;"")&amp;"|파견예정",입력_파견수련계획!$Y$4:$Y$803,0),IFERROR(MATCH(TRIM($J162&amp;"")&amp;"|파견종료",입력_파견수련계획!$Y$4:$Y$803,0),""))))</f>
        <v/>
      </c>
      <c r="AG162" s="10">
        <f>IF($B162="","",IF(AND(IF(OR($AC162="",출력_인턴현황!$K$2=""),"",INDEX(입력_인턴근무계획!$M$3:$R$402,$AC162,출력_인턴현황!$K$2)&amp;"")&lt;&gt;"",LEFT(IF(OR($AC162="",출력_인턴현황!$K$2=""),"",INDEX(입력_인턴근무계획!$M$3:$R$402,$AC162,출력_인턴현황!$K$2)&amp;""),1)&lt;&gt;"⚠"),LEFT(IF(OR($AC162="",출력_인턴현황!$K$2=""),"",INDEX(입력_인턴근무계획!$M$3:$R$402,$AC162,출력_인턴현황!$K$2)&amp;""),FIND(" ",IF(OR($AC162="",출력_인턴현황!$K$2=""),"",INDEX(입력_인턴근무계획!$M$3:$R$402,$AC162,출력_인턴현황!$K$2)&amp;""))-1),$AE162))</f>
        <v/>
      </c>
      <c r="AH162" s="17">
        <f>IF($B162="","",IF($AQ162&lt;&gt;"",MAX(0,DAY(EOMONTH(출력_요약!$B$3,0))-N($AR162)),IF(TRIM($J162&amp;"")="",0,SUMPRODUCT((입력_파견수련계획!$Q$4:$Q$803=TRIM($J162&amp;""))*(입력_파견수련계획!$S$4:$S$803="서울병원")*입력_파견수련계획!$W$4:$W$803))+IF($AG162="서울병원",MAX(0,DAY(EOMONTH(출력_요약!$B$3,0))-N($X162)),0)))</f>
        <v/>
      </c>
      <c r="AI162" s="17">
        <f>IF($B162="","",IF($AQ162&lt;&gt;"",N($AR162),IF(TRIM($J162&amp;"")="",0,SUMPRODUCT((입력_파견수련계획!$Q$4:$Q$803=TRIM($J162&amp;""))*(입력_파견수련계획!$S$4:$S$803="구리병원")*입력_파견수련계획!$W$4:$W$803))+IF($AG162="구리병원",MAX(0,DAY(EOMONTH(출력_요약!$B$3,0))-N($X162)),0)))</f>
        <v/>
      </c>
      <c r="AJ162" s="10">
        <f>IF(OR($B162="",TRIM($J162&amp;"")=""),"",IFERROR(MATCH(TRIM($J162&amp;"")&amp;"|월",입력_파견수련계획!$Z$4:$Z$803,0),""))</f>
        <v/>
      </c>
      <c r="AK162" s="10">
        <f>IF(OR($B162="",TRIM($J162&amp;"")=""),"",IFERROR(MATCH(TRIM($J162&amp;"")&amp;"|다기관",입력_파견수련계획!$AE$4:$AE$803,0),""))</f>
        <v/>
      </c>
      <c r="AL162" s="10">
        <f>IF($AK162="","","다기관 "&amp;TEXT(INDEX(입력_파견수련계획!$AB$4:$AB$803,$AK162),"yyyy-mm-dd")&amp;"~"&amp;IF(ISNUMBER(INDEX(입력_파견수련계획!$AC$4:$AC$803,$AK162)),TEXT(INDEX(입력_파견수련계획!$AC$4:$AC$803,$AK162),"yyyy-mm-dd"),""))</f>
        <v/>
      </c>
      <c r="AM162" s="10">
        <f>IF($Y162="서울병원",COUNTIF($Y$2:$Y162,"서울병원"),"")</f>
        <v/>
      </c>
      <c r="AN162" s="10">
        <f>IF(LEFT($Y162,1)="⚠",COUNTIF($Y$2:$Y162,"⚠*"),"")</f>
        <v/>
      </c>
      <c r="AO162" s="10">
        <f>IF(OR($B162="",$Y162=""),"",IF(IF(TRIM($J162&amp;"")="",0,SUMPRODUCT((입력_파견수련계획!$Q$4:$Q$803=TRIM($J162&amp;""))*입력_파견수련계획!$AD$4:$AD$803))&gt;0,"다기관 기간 → 소속병원 지급",IF(AND(N($X162)&lt;=0,$AQ162=""),"파견 없음 → 그 달 근무병원 지급",IF($AH162+$AI162=DAY(EOMONTH(출력_요약!$B$3,0)),"서울 "&amp;$AH162&amp;"일 / 구리 "&amp;$AI162&amp;"일"&amp;IF($AQ162&lt;&gt;""," (구리 근무자명단 반영)","")&amp;" → 15일 이상 근무 병원 지급","타 병원 포함 → "&amp;IF($AJ162="","소속",INDEX(입력_파견수련계획!$T$4:$T$803,$AJ162))&amp;" 규칙"))))</f>
        <v/>
      </c>
      <c r="AP162" s="10">
        <f>IF($B162="","",$C162&amp;"|"&amp;$F162)</f>
        <v/>
      </c>
      <c r="AQ162" s="10">
        <f>IF($B162="","",IFERROR(MATCH(ROW()-1,출력_구리근무자!$K$6:$K$305,0),""))</f>
        <v/>
      </c>
      <c r="AR162" s="10">
        <f>IF($AQ162="","",INDEX(출력_구리근무자!$H$6:$H$305,$AQ162))</f>
        <v/>
      </c>
    </row>
    <row r="163">
      <c r="A163" s="10">
        <f>IF(B163="","",ROW()-1)</f>
        <v/>
      </c>
      <c r="B163" s="19" t="n"/>
      <c r="C163" s="10">
        <f>IF($AB163="","",IF(INDEX(입력_기본자료!$C$2:$C$1001,$AB163)="","",INDEX(입력_기본자료!$C$2:$C$1001,$AB163)))</f>
        <v/>
      </c>
      <c r="D163" s="10">
        <f>IF($AB163="","",IF(INDEX(입력_기본자료!$J$2:$J$1001,$AB163)="","",INDEX(입력_기본자료!$J$2:$J$1001,$AB163)))</f>
        <v/>
      </c>
      <c r="E163" s="11">
        <f>IF($AB163="","",IF(INDEX(입력_기본자료!$K$2:$K$1001,$AB163)="","",IF(NOT(ISNUMBER(INDEX(입력_기본자료!$K$2:$K$1001,$AB163))),INDEX(입력_기본자료!$K$2:$K$1001,$AB163),IF(INDEX(입력_기본자료!$K$2:$K$1001,$AB163)&lt;1000000,INDEX(입력_기본자료!$K$2:$K$1001,$AB163),IF(AND(INDEX(입력_기본자료!$K$2:$K$1001,$AB163)&gt;=10000101,INT(MOD(INDEX(입력_기본자료!$K$2:$K$1001,$AB163),10000)/100)&gt;=1,INT(MOD(INDEX(입력_기본자료!$K$2:$K$1001,$AB163),10000)/100)&lt;=12,MOD(INDEX(입력_기본자료!$K$2:$K$1001,$AB163),100)&gt;=1,MOD(INDEX(입력_기본자료!$K$2:$K$1001,$AB163),100)&lt;=31),DATE(INT(INDEX(입력_기본자료!$K$2:$K$1001,$AB163)/10000),INT(MOD(INDEX(입력_기본자료!$K$2:$K$1001,$AB163),10000)/100),MOD(INDEX(입력_기본자료!$K$2:$K$1001,$AB163),100)),INDEX(입력_기본자료!$K$2:$K$1001,$AB163)&amp;"")))))</f>
        <v/>
      </c>
      <c r="F163" s="10">
        <f>IF($AB163="","",IF(INDEX(입력_기본자료!$D$2:$D$1001,$AB163)="","",INDEX(입력_기본자료!$D$2:$D$1001,$AB163)))</f>
        <v/>
      </c>
      <c r="G163" s="10">
        <f>IF($AB163="","",IF(INDEX(입력_기본자료!$E$2:$E$1001,$AB163)="","",INDEX(입력_기본자료!$E$2:$E$1001,$AB163)))</f>
        <v/>
      </c>
      <c r="H163" s="10">
        <f>IF($AB163="","",IF(INDEX(입력_기본자료!$F$2:$F$1001,$AB163)="","",INDEX(입력_기본자료!$F$2:$F$1001,$AB163)))</f>
        <v/>
      </c>
      <c r="I163" s="11">
        <f>IF($AB163="","",IF(INDEX(입력_기본자료!$G$2:$G$1001,$AB163)="","",IF(NOT(ISNUMBER(INDEX(입력_기본자료!$G$2:$G$1001,$AB163))),INDEX(입력_기본자료!$G$2:$G$1001,$AB163),IF(INDEX(입력_기본자료!$G$2:$G$1001,$AB163)&lt;1000000,INDEX(입력_기본자료!$G$2:$G$1001,$AB163),IF(AND(INDEX(입력_기본자료!$G$2:$G$1001,$AB163)&gt;=10000101,INT(MOD(INDEX(입력_기본자료!$G$2:$G$1001,$AB163),10000)/100)&gt;=1,INT(MOD(INDEX(입력_기본자료!$G$2:$G$1001,$AB163),10000)/100)&lt;=12,MOD(INDEX(입력_기본자료!$G$2:$G$1001,$AB163),100)&gt;=1,MOD(INDEX(입력_기본자료!$G$2:$G$1001,$AB163),100)&lt;=31),DATE(INT(INDEX(입력_기본자료!$G$2:$G$1001,$AB163)/10000),INT(MOD(INDEX(입력_기본자료!$G$2:$G$1001,$AB163),10000)/100),MOD(INDEX(입력_기본자료!$G$2:$G$1001,$AB163),100)),INDEX(입력_기본자료!$G$2:$G$1001,$AB163)&amp;"")))))</f>
        <v/>
      </c>
      <c r="J163" s="10">
        <f>IF($AB163="","",IF(INDEX(입력_기본자료!$H$2:$H$1001,$AB163)="","",INDEX(입력_기본자료!$H$2:$H$1001,$AB163)))</f>
        <v/>
      </c>
      <c r="K163" s="10">
        <f>IF($AB163="","",IF(INDEX(입력_기본자료!$I$2:$I$1001,$AB163)="","",INDEX(입력_기본자료!$I$2:$I$1001,$AB163)))</f>
        <v/>
      </c>
      <c r="L163" s="10">
        <f>IF($AB163="","",IF(INDEX(입력_기본자료!$A$2:$A$1001,$AB163)="","",INDEX(입력_기본자료!$A$2:$A$1001,$AB163)))</f>
        <v/>
      </c>
      <c r="M163" s="15" t="n"/>
      <c r="N163" s="10">
        <f>IF($B163="","",IF(AND($U163="파견중",$Q163&lt;&gt;""),$Q163,IF(AND($AD163&lt;&gt;"",LEFT($AD163,1)&lt;&gt;"⚠"),LEFT($AD163,FIND(" ",$AD163)-1),IF($H163="","",IF(RIGHT($H163,2)="병원",$H163,$H163&amp;"병원")))))</f>
        <v/>
      </c>
      <c r="O163" s="10">
        <f>IF($B163="","",IF(AND($U163="파견중",$Q163&lt;&gt;""),IF($R163&lt;&gt;"",$R163,"파견과 미입력"),IF(AND($AD163&lt;&gt;"",LEFT($AD163,1)&lt;&gt;"⚠"),MID($AD163,FIND(" ",$AD163)+1,60),IF($F163="","",IF($F163="인턴","수련교육부(인턴)",$F163)))))</f>
        <v/>
      </c>
      <c r="P163" s="10">
        <f>IF($B163="","",IF($AK163&lt;&gt;"",IF(AND(TODAY()&gt;=INDEX(입력_파견수련계획!$AB$4:$AB$803,$AK163),OR(NOT(ISNUMBER(INDEX(입력_파견수련계획!$AC$4:$AC$803,$AK163))),TODAY()&lt;=INDEX(입력_파견수련계획!$AC$4:$AC$803,$AK163))),"다기관",IF($AF163="","",INDEX(입력_파견수련계획!$T$4:$T$803,$AF163))),IF($AF163="","",INDEX(입력_파견수련계획!$T$4:$T$803,$AF163))))</f>
        <v/>
      </c>
      <c r="Q163" s="10">
        <f>IF($AF163="","",INDEX(입력_파견수련계획!$S$4:$S$803,$AF163))</f>
        <v/>
      </c>
      <c r="R163" s="10">
        <f>IF($AF163="","",INDEX(입력_파견수련계획!$U$4:$U$803,$AF163))</f>
        <v/>
      </c>
      <c r="S163" s="11">
        <f>IF($AF163="","",IF(INDEX(입력_파견수련계획!$H$4:$H$803,$AF163)="","",INDEX(입력_파견수련계획!$H$4:$H$803,$AF163)))</f>
        <v/>
      </c>
      <c r="T163" s="11">
        <f>IF($AF163="","",IF(INDEX(입력_파견수련계획!$I$4:$I$803,$AF163)="","",INDEX(입력_파견수련계획!$I$4:$I$803,$AF163)))</f>
        <v/>
      </c>
      <c r="U163" s="10">
        <f>IF($AF163="","",INDEX(입력_파견수련계획!$X$4:$X$803,$AF163))</f>
        <v/>
      </c>
      <c r="V163" s="17">
        <f>IF($AF163="","",INDEX(입력_파견수련계획!$V$4:$V$803,$AF163))</f>
        <v/>
      </c>
      <c r="W163" s="17">
        <f>IF(AND($U163="파견중",$T163&lt;&gt;""),$T163-TODAY(),"")</f>
        <v/>
      </c>
      <c r="X163" s="17">
        <f>IF(OR($B163="",TRIM($J163&amp;"")=""),"",SUMPRODUCT((입력_파견수련계획!$Q$4:$Q$803=TRIM($J163&amp;""))*입력_파견수련계획!$W$4:$W$803))</f>
        <v/>
      </c>
      <c r="Y163" s="10">
        <f>IF($B163="","",IF($AG163="","",IF(IF(TRIM($J163&amp;"")="",0,SUMPRODUCT((입력_파견수련계획!$Q$4:$Q$803=TRIM($J163&amp;""))*입력_파견수련계획!$AD$4:$AD$803))&gt;0,$AE163,IF(AND(N($X163)&lt;=0,$AQ163=""),$AG163,IF($AH163+$AI163=DAY(EOMONTH(출력_요약!$B$3,0)),IF(AND($AH163&gt;=출력_요약!$E$3,$AI163&lt;출력_요약!$E$3),"서울병원",IF(AND($AI163&gt;=출력_요약!$E$3,$AH163&lt;출력_요약!$E$3),"구리병원","⚠15일 판정불가(서울 "&amp;$AH163&amp;"일/구리 "&amp;$AI163&amp;"일)")),IF($AJ163="",$AE163,IF(INDEX(입력_파견수련계획!$T$4:$T$803,$AJ163)="통합수련",INDEX(입력_파견수련계획!$S$4:$S$803,$AJ163),$AE163)))))))</f>
        <v/>
      </c>
      <c r="Z163" s="20">
        <f>IF($B163="","",IF($AB163="","기본자료에 없는 사번",IF(COUNTIF($B$2:$B$401,$B163)&gt;1,"중복 사번",IF($AE163="","소속(입사장소) 입력",IF(IF(TRIM($J163&amp;"")="",0,SUMPRODUCT((입력_파견수련계획!$Q$4:$Q$803=TRIM($J163&amp;""))*(입력_파견수련계획!$AA$4:$AA$803&lt;&gt;"")))&gt;0,"파견수련계획 입력오류 확인",IF(LEFT($Y163,1)="⚠","서울·구리 15일 판정 불가(양쪽 모두 이상/미만)",IF(IF($AC163="",0,N(INDEX(입력_인턴근무계획!$T$3:$T$402,$AC163)))&gt;0,"인턴계획 입력오류 확인",IF(AND($AQ163&lt;&gt;"",$AG163&lt;&gt;"구리병원",IF(TRIM($J163&amp;"")="",0,SUMPRODUCT((입력_파견수련계획!$Q$4:$Q$803=TRIM($J163&amp;""))*(입력_파견수련계획!$S$4:$S$803="구리병원")*입력_파견수련계획!$W$4:$W$803))=0),"구리 근무자명단에만 있음(파견수련계획 확인)",IF(AND($AC163&lt;&gt;"",$U163&lt;&gt;"파견중",$N163&lt;&gt;$AE163),"인턴 타지역 근무: 파견 여부 확인","정상")))))))))</f>
        <v/>
      </c>
      <c r="AA163" s="5" t="n"/>
      <c r="AB163" s="10">
        <f>IF($B163="","",IFERROR(MATCH($B163,입력_기본자료!$B$2:$B$1001,0),IFERROR(MATCH($B163&amp;"",입력_기본자료!$B$2:$B$1001,0),IFERROR(MATCH(VALUE($B163),입력_기본자료!$B$2:$B$1001,0),""))))</f>
        <v/>
      </c>
      <c r="AC163" s="10">
        <f>IF($B163="","",IFERROR(MATCH($B163,입력_인턴근무계획!$D$3:$D$402,0),IFERROR(MATCH($B163&amp;"",입력_인턴근무계획!$D$3:$D$402,0),IFERROR(MATCH(VALUE($B163),입력_인턴근무계획!$D$3:$D$402,0),""))))</f>
        <v/>
      </c>
      <c r="AD163" s="10">
        <f>IF(OR($AC163="",출력_인턴현황!$G$3=""),"",INDEX(입력_인턴근무계획!$M$3:$R$402,$AC163,출력_인턴현황!$G$3)&amp;"")</f>
        <v/>
      </c>
      <c r="AE163" s="10">
        <f>IF($B163="","",IF($M163&lt;&gt;"",$M163,IF(IF($AQ163="",FALSE,INDEX(출력_구리근무자!$J$6:$J$305,$AQ163)="구리독자"),"구리병원",IF($AF163&lt;&gt;"",IF(LEFT(INDEX(입력_파견수련계획!$R$4:$R$803,$AF163),1)&lt;&gt;"⚠",INDEX(입력_파견수련계획!$R$4:$R$803,$AF163),IF($H163="","",IF(RIGHT($H163,2)="병원",$H163,$H163&amp;"병원"))),IF($H163="","",IF(RIGHT($H163,2)="병원",$H163,$H163&amp;"병원"))))))</f>
        <v/>
      </c>
      <c r="AF163" s="10">
        <f>IF(OR($B163="",TRIM($J163&amp;"")=""),"",IFERROR(MATCH(TRIM($J163&amp;"")&amp;"|파견중",입력_파견수련계획!$Y$4:$Y$803,0),IFERROR(MATCH(TRIM($J163&amp;"")&amp;"|파견예정",입력_파견수련계획!$Y$4:$Y$803,0),IFERROR(MATCH(TRIM($J163&amp;"")&amp;"|파견종료",입력_파견수련계획!$Y$4:$Y$803,0),""))))</f>
        <v/>
      </c>
      <c r="AG163" s="10">
        <f>IF($B163="","",IF(AND(IF(OR($AC163="",출력_인턴현황!$K$2=""),"",INDEX(입력_인턴근무계획!$M$3:$R$402,$AC163,출력_인턴현황!$K$2)&amp;"")&lt;&gt;"",LEFT(IF(OR($AC163="",출력_인턴현황!$K$2=""),"",INDEX(입력_인턴근무계획!$M$3:$R$402,$AC163,출력_인턴현황!$K$2)&amp;""),1)&lt;&gt;"⚠"),LEFT(IF(OR($AC163="",출력_인턴현황!$K$2=""),"",INDEX(입력_인턴근무계획!$M$3:$R$402,$AC163,출력_인턴현황!$K$2)&amp;""),FIND(" ",IF(OR($AC163="",출력_인턴현황!$K$2=""),"",INDEX(입력_인턴근무계획!$M$3:$R$402,$AC163,출력_인턴현황!$K$2)&amp;""))-1),$AE163))</f>
        <v/>
      </c>
      <c r="AH163" s="17">
        <f>IF($B163="","",IF($AQ163&lt;&gt;"",MAX(0,DAY(EOMONTH(출력_요약!$B$3,0))-N($AR163)),IF(TRIM($J163&amp;"")="",0,SUMPRODUCT((입력_파견수련계획!$Q$4:$Q$803=TRIM($J163&amp;""))*(입력_파견수련계획!$S$4:$S$803="서울병원")*입력_파견수련계획!$W$4:$W$803))+IF($AG163="서울병원",MAX(0,DAY(EOMONTH(출력_요약!$B$3,0))-N($X163)),0)))</f>
        <v/>
      </c>
      <c r="AI163" s="17">
        <f>IF($B163="","",IF($AQ163&lt;&gt;"",N($AR163),IF(TRIM($J163&amp;"")="",0,SUMPRODUCT((입력_파견수련계획!$Q$4:$Q$803=TRIM($J163&amp;""))*(입력_파견수련계획!$S$4:$S$803="구리병원")*입력_파견수련계획!$W$4:$W$803))+IF($AG163="구리병원",MAX(0,DAY(EOMONTH(출력_요약!$B$3,0))-N($X163)),0)))</f>
        <v/>
      </c>
      <c r="AJ163" s="10">
        <f>IF(OR($B163="",TRIM($J163&amp;"")=""),"",IFERROR(MATCH(TRIM($J163&amp;"")&amp;"|월",입력_파견수련계획!$Z$4:$Z$803,0),""))</f>
        <v/>
      </c>
      <c r="AK163" s="10">
        <f>IF(OR($B163="",TRIM($J163&amp;"")=""),"",IFERROR(MATCH(TRIM($J163&amp;"")&amp;"|다기관",입력_파견수련계획!$AE$4:$AE$803,0),""))</f>
        <v/>
      </c>
      <c r="AL163" s="10">
        <f>IF($AK163="","","다기관 "&amp;TEXT(INDEX(입력_파견수련계획!$AB$4:$AB$803,$AK163),"yyyy-mm-dd")&amp;"~"&amp;IF(ISNUMBER(INDEX(입력_파견수련계획!$AC$4:$AC$803,$AK163)),TEXT(INDEX(입력_파견수련계획!$AC$4:$AC$803,$AK163),"yyyy-mm-dd"),""))</f>
        <v/>
      </c>
      <c r="AM163" s="10">
        <f>IF($Y163="서울병원",COUNTIF($Y$2:$Y163,"서울병원"),"")</f>
        <v/>
      </c>
      <c r="AN163" s="10">
        <f>IF(LEFT($Y163,1)="⚠",COUNTIF($Y$2:$Y163,"⚠*"),"")</f>
        <v/>
      </c>
      <c r="AO163" s="10">
        <f>IF(OR($B163="",$Y163=""),"",IF(IF(TRIM($J163&amp;"")="",0,SUMPRODUCT((입력_파견수련계획!$Q$4:$Q$803=TRIM($J163&amp;""))*입력_파견수련계획!$AD$4:$AD$803))&gt;0,"다기관 기간 → 소속병원 지급",IF(AND(N($X163)&lt;=0,$AQ163=""),"파견 없음 → 그 달 근무병원 지급",IF($AH163+$AI163=DAY(EOMONTH(출력_요약!$B$3,0)),"서울 "&amp;$AH163&amp;"일 / 구리 "&amp;$AI163&amp;"일"&amp;IF($AQ163&lt;&gt;""," (구리 근무자명단 반영)","")&amp;" → 15일 이상 근무 병원 지급","타 병원 포함 → "&amp;IF($AJ163="","소속",INDEX(입력_파견수련계획!$T$4:$T$803,$AJ163))&amp;" 규칙"))))</f>
        <v/>
      </c>
      <c r="AP163" s="10">
        <f>IF($B163="","",$C163&amp;"|"&amp;$F163)</f>
        <v/>
      </c>
      <c r="AQ163" s="10">
        <f>IF($B163="","",IFERROR(MATCH(ROW()-1,출력_구리근무자!$K$6:$K$305,0),""))</f>
        <v/>
      </c>
      <c r="AR163" s="10">
        <f>IF($AQ163="","",INDEX(출력_구리근무자!$H$6:$H$305,$AQ163))</f>
        <v/>
      </c>
    </row>
    <row r="164">
      <c r="A164" s="10">
        <f>IF(B164="","",ROW()-1)</f>
        <v/>
      </c>
      <c r="B164" s="19" t="n"/>
      <c r="C164" s="10">
        <f>IF($AB164="","",IF(INDEX(입력_기본자료!$C$2:$C$1001,$AB164)="","",INDEX(입력_기본자료!$C$2:$C$1001,$AB164)))</f>
        <v/>
      </c>
      <c r="D164" s="10">
        <f>IF($AB164="","",IF(INDEX(입력_기본자료!$J$2:$J$1001,$AB164)="","",INDEX(입력_기본자료!$J$2:$J$1001,$AB164)))</f>
        <v/>
      </c>
      <c r="E164" s="11">
        <f>IF($AB164="","",IF(INDEX(입력_기본자료!$K$2:$K$1001,$AB164)="","",IF(NOT(ISNUMBER(INDEX(입력_기본자료!$K$2:$K$1001,$AB164))),INDEX(입력_기본자료!$K$2:$K$1001,$AB164),IF(INDEX(입력_기본자료!$K$2:$K$1001,$AB164)&lt;1000000,INDEX(입력_기본자료!$K$2:$K$1001,$AB164),IF(AND(INDEX(입력_기본자료!$K$2:$K$1001,$AB164)&gt;=10000101,INT(MOD(INDEX(입력_기본자료!$K$2:$K$1001,$AB164),10000)/100)&gt;=1,INT(MOD(INDEX(입력_기본자료!$K$2:$K$1001,$AB164),10000)/100)&lt;=12,MOD(INDEX(입력_기본자료!$K$2:$K$1001,$AB164),100)&gt;=1,MOD(INDEX(입력_기본자료!$K$2:$K$1001,$AB164),100)&lt;=31),DATE(INT(INDEX(입력_기본자료!$K$2:$K$1001,$AB164)/10000),INT(MOD(INDEX(입력_기본자료!$K$2:$K$1001,$AB164),10000)/100),MOD(INDEX(입력_기본자료!$K$2:$K$1001,$AB164),100)),INDEX(입력_기본자료!$K$2:$K$1001,$AB164)&amp;"")))))</f>
        <v/>
      </c>
      <c r="F164" s="10">
        <f>IF($AB164="","",IF(INDEX(입력_기본자료!$D$2:$D$1001,$AB164)="","",INDEX(입력_기본자료!$D$2:$D$1001,$AB164)))</f>
        <v/>
      </c>
      <c r="G164" s="10">
        <f>IF($AB164="","",IF(INDEX(입력_기본자료!$E$2:$E$1001,$AB164)="","",INDEX(입력_기본자료!$E$2:$E$1001,$AB164)))</f>
        <v/>
      </c>
      <c r="H164" s="10">
        <f>IF($AB164="","",IF(INDEX(입력_기본자료!$F$2:$F$1001,$AB164)="","",INDEX(입력_기본자료!$F$2:$F$1001,$AB164)))</f>
        <v/>
      </c>
      <c r="I164" s="11">
        <f>IF($AB164="","",IF(INDEX(입력_기본자료!$G$2:$G$1001,$AB164)="","",IF(NOT(ISNUMBER(INDEX(입력_기본자료!$G$2:$G$1001,$AB164))),INDEX(입력_기본자료!$G$2:$G$1001,$AB164),IF(INDEX(입력_기본자료!$G$2:$G$1001,$AB164)&lt;1000000,INDEX(입력_기본자료!$G$2:$G$1001,$AB164),IF(AND(INDEX(입력_기본자료!$G$2:$G$1001,$AB164)&gt;=10000101,INT(MOD(INDEX(입력_기본자료!$G$2:$G$1001,$AB164),10000)/100)&gt;=1,INT(MOD(INDEX(입력_기본자료!$G$2:$G$1001,$AB164),10000)/100)&lt;=12,MOD(INDEX(입력_기본자료!$G$2:$G$1001,$AB164),100)&gt;=1,MOD(INDEX(입력_기본자료!$G$2:$G$1001,$AB164),100)&lt;=31),DATE(INT(INDEX(입력_기본자료!$G$2:$G$1001,$AB164)/10000),INT(MOD(INDEX(입력_기본자료!$G$2:$G$1001,$AB164),10000)/100),MOD(INDEX(입력_기본자료!$G$2:$G$1001,$AB164),100)),INDEX(입력_기본자료!$G$2:$G$1001,$AB164)&amp;"")))))</f>
        <v/>
      </c>
      <c r="J164" s="10">
        <f>IF($AB164="","",IF(INDEX(입력_기본자료!$H$2:$H$1001,$AB164)="","",INDEX(입력_기본자료!$H$2:$H$1001,$AB164)))</f>
        <v/>
      </c>
      <c r="K164" s="10">
        <f>IF($AB164="","",IF(INDEX(입력_기본자료!$I$2:$I$1001,$AB164)="","",INDEX(입력_기본자료!$I$2:$I$1001,$AB164)))</f>
        <v/>
      </c>
      <c r="L164" s="10">
        <f>IF($AB164="","",IF(INDEX(입력_기본자료!$A$2:$A$1001,$AB164)="","",INDEX(입력_기본자료!$A$2:$A$1001,$AB164)))</f>
        <v/>
      </c>
      <c r="M164" s="15" t="n"/>
      <c r="N164" s="10">
        <f>IF($B164="","",IF(AND($U164="파견중",$Q164&lt;&gt;""),$Q164,IF(AND($AD164&lt;&gt;"",LEFT($AD164,1)&lt;&gt;"⚠"),LEFT($AD164,FIND(" ",$AD164)-1),IF($H164="","",IF(RIGHT($H164,2)="병원",$H164,$H164&amp;"병원")))))</f>
        <v/>
      </c>
      <c r="O164" s="10">
        <f>IF($B164="","",IF(AND($U164="파견중",$Q164&lt;&gt;""),IF($R164&lt;&gt;"",$R164,"파견과 미입력"),IF(AND($AD164&lt;&gt;"",LEFT($AD164,1)&lt;&gt;"⚠"),MID($AD164,FIND(" ",$AD164)+1,60),IF($F164="","",IF($F164="인턴","수련교육부(인턴)",$F164)))))</f>
        <v/>
      </c>
      <c r="P164" s="10">
        <f>IF($B164="","",IF($AK164&lt;&gt;"",IF(AND(TODAY()&gt;=INDEX(입력_파견수련계획!$AB$4:$AB$803,$AK164),OR(NOT(ISNUMBER(INDEX(입력_파견수련계획!$AC$4:$AC$803,$AK164))),TODAY()&lt;=INDEX(입력_파견수련계획!$AC$4:$AC$803,$AK164))),"다기관",IF($AF164="","",INDEX(입력_파견수련계획!$T$4:$T$803,$AF164))),IF($AF164="","",INDEX(입력_파견수련계획!$T$4:$T$803,$AF164))))</f>
        <v/>
      </c>
      <c r="Q164" s="10">
        <f>IF($AF164="","",INDEX(입력_파견수련계획!$S$4:$S$803,$AF164))</f>
        <v/>
      </c>
      <c r="R164" s="10">
        <f>IF($AF164="","",INDEX(입력_파견수련계획!$U$4:$U$803,$AF164))</f>
        <v/>
      </c>
      <c r="S164" s="11">
        <f>IF($AF164="","",IF(INDEX(입력_파견수련계획!$H$4:$H$803,$AF164)="","",INDEX(입력_파견수련계획!$H$4:$H$803,$AF164)))</f>
        <v/>
      </c>
      <c r="T164" s="11">
        <f>IF($AF164="","",IF(INDEX(입력_파견수련계획!$I$4:$I$803,$AF164)="","",INDEX(입력_파견수련계획!$I$4:$I$803,$AF164)))</f>
        <v/>
      </c>
      <c r="U164" s="10">
        <f>IF($AF164="","",INDEX(입력_파견수련계획!$X$4:$X$803,$AF164))</f>
        <v/>
      </c>
      <c r="V164" s="17">
        <f>IF($AF164="","",INDEX(입력_파견수련계획!$V$4:$V$803,$AF164))</f>
        <v/>
      </c>
      <c r="W164" s="17">
        <f>IF(AND($U164="파견중",$T164&lt;&gt;""),$T164-TODAY(),"")</f>
        <v/>
      </c>
      <c r="X164" s="17">
        <f>IF(OR($B164="",TRIM($J164&amp;"")=""),"",SUMPRODUCT((입력_파견수련계획!$Q$4:$Q$803=TRIM($J164&amp;""))*입력_파견수련계획!$W$4:$W$803))</f>
        <v/>
      </c>
      <c r="Y164" s="10">
        <f>IF($B164="","",IF($AG164="","",IF(IF(TRIM($J164&amp;"")="",0,SUMPRODUCT((입력_파견수련계획!$Q$4:$Q$803=TRIM($J164&amp;""))*입력_파견수련계획!$AD$4:$AD$803))&gt;0,$AE164,IF(AND(N($X164)&lt;=0,$AQ164=""),$AG164,IF($AH164+$AI164=DAY(EOMONTH(출력_요약!$B$3,0)),IF(AND($AH164&gt;=출력_요약!$E$3,$AI164&lt;출력_요약!$E$3),"서울병원",IF(AND($AI164&gt;=출력_요약!$E$3,$AH164&lt;출력_요약!$E$3),"구리병원","⚠15일 판정불가(서울 "&amp;$AH164&amp;"일/구리 "&amp;$AI164&amp;"일)")),IF($AJ164="",$AE164,IF(INDEX(입력_파견수련계획!$T$4:$T$803,$AJ164)="통합수련",INDEX(입력_파견수련계획!$S$4:$S$803,$AJ164),$AE164)))))))</f>
        <v/>
      </c>
      <c r="Z164" s="20">
        <f>IF($B164="","",IF($AB164="","기본자료에 없는 사번",IF(COUNTIF($B$2:$B$401,$B164)&gt;1,"중복 사번",IF($AE164="","소속(입사장소) 입력",IF(IF(TRIM($J164&amp;"")="",0,SUMPRODUCT((입력_파견수련계획!$Q$4:$Q$803=TRIM($J164&amp;""))*(입력_파견수련계획!$AA$4:$AA$803&lt;&gt;"")))&gt;0,"파견수련계획 입력오류 확인",IF(LEFT($Y164,1)="⚠","서울·구리 15일 판정 불가(양쪽 모두 이상/미만)",IF(IF($AC164="",0,N(INDEX(입력_인턴근무계획!$T$3:$T$402,$AC164)))&gt;0,"인턴계획 입력오류 확인",IF(AND($AQ164&lt;&gt;"",$AG164&lt;&gt;"구리병원",IF(TRIM($J164&amp;"")="",0,SUMPRODUCT((입력_파견수련계획!$Q$4:$Q$803=TRIM($J164&amp;""))*(입력_파견수련계획!$S$4:$S$803="구리병원")*입력_파견수련계획!$W$4:$W$803))=0),"구리 근무자명단에만 있음(파견수련계획 확인)",IF(AND($AC164&lt;&gt;"",$U164&lt;&gt;"파견중",$N164&lt;&gt;$AE164),"인턴 타지역 근무: 파견 여부 확인","정상")))))))))</f>
        <v/>
      </c>
      <c r="AA164" s="5" t="n"/>
      <c r="AB164" s="10">
        <f>IF($B164="","",IFERROR(MATCH($B164,입력_기본자료!$B$2:$B$1001,0),IFERROR(MATCH($B164&amp;"",입력_기본자료!$B$2:$B$1001,0),IFERROR(MATCH(VALUE($B164),입력_기본자료!$B$2:$B$1001,0),""))))</f>
        <v/>
      </c>
      <c r="AC164" s="10">
        <f>IF($B164="","",IFERROR(MATCH($B164,입력_인턴근무계획!$D$3:$D$402,0),IFERROR(MATCH($B164&amp;"",입력_인턴근무계획!$D$3:$D$402,0),IFERROR(MATCH(VALUE($B164),입력_인턴근무계획!$D$3:$D$402,0),""))))</f>
        <v/>
      </c>
      <c r="AD164" s="10">
        <f>IF(OR($AC164="",출력_인턴현황!$G$3=""),"",INDEX(입력_인턴근무계획!$M$3:$R$402,$AC164,출력_인턴현황!$G$3)&amp;"")</f>
        <v/>
      </c>
      <c r="AE164" s="10">
        <f>IF($B164="","",IF($M164&lt;&gt;"",$M164,IF(IF($AQ164="",FALSE,INDEX(출력_구리근무자!$J$6:$J$305,$AQ164)="구리독자"),"구리병원",IF($AF164&lt;&gt;"",IF(LEFT(INDEX(입력_파견수련계획!$R$4:$R$803,$AF164),1)&lt;&gt;"⚠",INDEX(입력_파견수련계획!$R$4:$R$803,$AF164),IF($H164="","",IF(RIGHT($H164,2)="병원",$H164,$H164&amp;"병원"))),IF($H164="","",IF(RIGHT($H164,2)="병원",$H164,$H164&amp;"병원"))))))</f>
        <v/>
      </c>
      <c r="AF164" s="10">
        <f>IF(OR($B164="",TRIM($J164&amp;"")=""),"",IFERROR(MATCH(TRIM($J164&amp;"")&amp;"|파견중",입력_파견수련계획!$Y$4:$Y$803,0),IFERROR(MATCH(TRIM($J164&amp;"")&amp;"|파견예정",입력_파견수련계획!$Y$4:$Y$803,0),IFERROR(MATCH(TRIM($J164&amp;"")&amp;"|파견종료",입력_파견수련계획!$Y$4:$Y$803,0),""))))</f>
        <v/>
      </c>
      <c r="AG164" s="10">
        <f>IF($B164="","",IF(AND(IF(OR($AC164="",출력_인턴현황!$K$2=""),"",INDEX(입력_인턴근무계획!$M$3:$R$402,$AC164,출력_인턴현황!$K$2)&amp;"")&lt;&gt;"",LEFT(IF(OR($AC164="",출력_인턴현황!$K$2=""),"",INDEX(입력_인턴근무계획!$M$3:$R$402,$AC164,출력_인턴현황!$K$2)&amp;""),1)&lt;&gt;"⚠"),LEFT(IF(OR($AC164="",출력_인턴현황!$K$2=""),"",INDEX(입력_인턴근무계획!$M$3:$R$402,$AC164,출력_인턴현황!$K$2)&amp;""),FIND(" ",IF(OR($AC164="",출력_인턴현황!$K$2=""),"",INDEX(입력_인턴근무계획!$M$3:$R$402,$AC164,출력_인턴현황!$K$2)&amp;""))-1),$AE164))</f>
        <v/>
      </c>
      <c r="AH164" s="17">
        <f>IF($B164="","",IF($AQ164&lt;&gt;"",MAX(0,DAY(EOMONTH(출력_요약!$B$3,0))-N($AR164)),IF(TRIM($J164&amp;"")="",0,SUMPRODUCT((입력_파견수련계획!$Q$4:$Q$803=TRIM($J164&amp;""))*(입력_파견수련계획!$S$4:$S$803="서울병원")*입력_파견수련계획!$W$4:$W$803))+IF($AG164="서울병원",MAX(0,DAY(EOMONTH(출력_요약!$B$3,0))-N($X164)),0)))</f>
        <v/>
      </c>
      <c r="AI164" s="17">
        <f>IF($B164="","",IF($AQ164&lt;&gt;"",N($AR164),IF(TRIM($J164&amp;"")="",0,SUMPRODUCT((입력_파견수련계획!$Q$4:$Q$803=TRIM($J164&amp;""))*(입력_파견수련계획!$S$4:$S$803="구리병원")*입력_파견수련계획!$W$4:$W$803))+IF($AG164="구리병원",MAX(0,DAY(EOMONTH(출력_요약!$B$3,0))-N($X164)),0)))</f>
        <v/>
      </c>
      <c r="AJ164" s="10">
        <f>IF(OR($B164="",TRIM($J164&amp;"")=""),"",IFERROR(MATCH(TRIM($J164&amp;"")&amp;"|월",입력_파견수련계획!$Z$4:$Z$803,0),""))</f>
        <v/>
      </c>
      <c r="AK164" s="10">
        <f>IF(OR($B164="",TRIM($J164&amp;"")=""),"",IFERROR(MATCH(TRIM($J164&amp;"")&amp;"|다기관",입력_파견수련계획!$AE$4:$AE$803,0),""))</f>
        <v/>
      </c>
      <c r="AL164" s="10">
        <f>IF($AK164="","","다기관 "&amp;TEXT(INDEX(입력_파견수련계획!$AB$4:$AB$803,$AK164),"yyyy-mm-dd")&amp;"~"&amp;IF(ISNUMBER(INDEX(입력_파견수련계획!$AC$4:$AC$803,$AK164)),TEXT(INDEX(입력_파견수련계획!$AC$4:$AC$803,$AK164),"yyyy-mm-dd"),""))</f>
        <v/>
      </c>
      <c r="AM164" s="10">
        <f>IF($Y164="서울병원",COUNTIF($Y$2:$Y164,"서울병원"),"")</f>
        <v/>
      </c>
      <c r="AN164" s="10">
        <f>IF(LEFT($Y164,1)="⚠",COUNTIF($Y$2:$Y164,"⚠*"),"")</f>
        <v/>
      </c>
      <c r="AO164" s="10">
        <f>IF(OR($B164="",$Y164=""),"",IF(IF(TRIM($J164&amp;"")="",0,SUMPRODUCT((입력_파견수련계획!$Q$4:$Q$803=TRIM($J164&amp;""))*입력_파견수련계획!$AD$4:$AD$803))&gt;0,"다기관 기간 → 소속병원 지급",IF(AND(N($X164)&lt;=0,$AQ164=""),"파견 없음 → 그 달 근무병원 지급",IF($AH164+$AI164=DAY(EOMONTH(출력_요약!$B$3,0)),"서울 "&amp;$AH164&amp;"일 / 구리 "&amp;$AI164&amp;"일"&amp;IF($AQ164&lt;&gt;""," (구리 근무자명단 반영)","")&amp;" → 15일 이상 근무 병원 지급","타 병원 포함 → "&amp;IF($AJ164="","소속",INDEX(입력_파견수련계획!$T$4:$T$803,$AJ164))&amp;" 규칙"))))</f>
        <v/>
      </c>
      <c r="AP164" s="10">
        <f>IF($B164="","",$C164&amp;"|"&amp;$F164)</f>
        <v/>
      </c>
      <c r="AQ164" s="10">
        <f>IF($B164="","",IFERROR(MATCH(ROW()-1,출력_구리근무자!$K$6:$K$305,0),""))</f>
        <v/>
      </c>
      <c r="AR164" s="10">
        <f>IF($AQ164="","",INDEX(출력_구리근무자!$H$6:$H$305,$AQ164))</f>
        <v/>
      </c>
    </row>
    <row r="165">
      <c r="A165" s="10">
        <f>IF(B165="","",ROW()-1)</f>
        <v/>
      </c>
      <c r="B165" s="19" t="n"/>
      <c r="C165" s="10">
        <f>IF($AB165="","",IF(INDEX(입력_기본자료!$C$2:$C$1001,$AB165)="","",INDEX(입력_기본자료!$C$2:$C$1001,$AB165)))</f>
        <v/>
      </c>
      <c r="D165" s="10">
        <f>IF($AB165="","",IF(INDEX(입력_기본자료!$J$2:$J$1001,$AB165)="","",INDEX(입력_기본자료!$J$2:$J$1001,$AB165)))</f>
        <v/>
      </c>
      <c r="E165" s="11">
        <f>IF($AB165="","",IF(INDEX(입력_기본자료!$K$2:$K$1001,$AB165)="","",IF(NOT(ISNUMBER(INDEX(입력_기본자료!$K$2:$K$1001,$AB165))),INDEX(입력_기본자료!$K$2:$K$1001,$AB165),IF(INDEX(입력_기본자료!$K$2:$K$1001,$AB165)&lt;1000000,INDEX(입력_기본자료!$K$2:$K$1001,$AB165),IF(AND(INDEX(입력_기본자료!$K$2:$K$1001,$AB165)&gt;=10000101,INT(MOD(INDEX(입력_기본자료!$K$2:$K$1001,$AB165),10000)/100)&gt;=1,INT(MOD(INDEX(입력_기본자료!$K$2:$K$1001,$AB165),10000)/100)&lt;=12,MOD(INDEX(입력_기본자료!$K$2:$K$1001,$AB165),100)&gt;=1,MOD(INDEX(입력_기본자료!$K$2:$K$1001,$AB165),100)&lt;=31),DATE(INT(INDEX(입력_기본자료!$K$2:$K$1001,$AB165)/10000),INT(MOD(INDEX(입력_기본자료!$K$2:$K$1001,$AB165),10000)/100),MOD(INDEX(입력_기본자료!$K$2:$K$1001,$AB165),100)),INDEX(입력_기본자료!$K$2:$K$1001,$AB165)&amp;"")))))</f>
        <v/>
      </c>
      <c r="F165" s="10">
        <f>IF($AB165="","",IF(INDEX(입력_기본자료!$D$2:$D$1001,$AB165)="","",INDEX(입력_기본자료!$D$2:$D$1001,$AB165)))</f>
        <v/>
      </c>
      <c r="G165" s="10">
        <f>IF($AB165="","",IF(INDEX(입력_기본자료!$E$2:$E$1001,$AB165)="","",INDEX(입력_기본자료!$E$2:$E$1001,$AB165)))</f>
        <v/>
      </c>
      <c r="H165" s="10">
        <f>IF($AB165="","",IF(INDEX(입력_기본자료!$F$2:$F$1001,$AB165)="","",INDEX(입력_기본자료!$F$2:$F$1001,$AB165)))</f>
        <v/>
      </c>
      <c r="I165" s="11">
        <f>IF($AB165="","",IF(INDEX(입력_기본자료!$G$2:$G$1001,$AB165)="","",IF(NOT(ISNUMBER(INDEX(입력_기본자료!$G$2:$G$1001,$AB165))),INDEX(입력_기본자료!$G$2:$G$1001,$AB165),IF(INDEX(입력_기본자료!$G$2:$G$1001,$AB165)&lt;1000000,INDEX(입력_기본자료!$G$2:$G$1001,$AB165),IF(AND(INDEX(입력_기본자료!$G$2:$G$1001,$AB165)&gt;=10000101,INT(MOD(INDEX(입력_기본자료!$G$2:$G$1001,$AB165),10000)/100)&gt;=1,INT(MOD(INDEX(입력_기본자료!$G$2:$G$1001,$AB165),10000)/100)&lt;=12,MOD(INDEX(입력_기본자료!$G$2:$G$1001,$AB165),100)&gt;=1,MOD(INDEX(입력_기본자료!$G$2:$G$1001,$AB165),100)&lt;=31),DATE(INT(INDEX(입력_기본자료!$G$2:$G$1001,$AB165)/10000),INT(MOD(INDEX(입력_기본자료!$G$2:$G$1001,$AB165),10000)/100),MOD(INDEX(입력_기본자료!$G$2:$G$1001,$AB165),100)),INDEX(입력_기본자료!$G$2:$G$1001,$AB165)&amp;"")))))</f>
        <v/>
      </c>
      <c r="J165" s="10">
        <f>IF($AB165="","",IF(INDEX(입력_기본자료!$H$2:$H$1001,$AB165)="","",INDEX(입력_기본자료!$H$2:$H$1001,$AB165)))</f>
        <v/>
      </c>
      <c r="K165" s="10">
        <f>IF($AB165="","",IF(INDEX(입력_기본자료!$I$2:$I$1001,$AB165)="","",INDEX(입력_기본자료!$I$2:$I$1001,$AB165)))</f>
        <v/>
      </c>
      <c r="L165" s="10">
        <f>IF($AB165="","",IF(INDEX(입력_기본자료!$A$2:$A$1001,$AB165)="","",INDEX(입력_기본자료!$A$2:$A$1001,$AB165)))</f>
        <v/>
      </c>
      <c r="M165" s="15" t="n"/>
      <c r="N165" s="10">
        <f>IF($B165="","",IF(AND($U165="파견중",$Q165&lt;&gt;""),$Q165,IF(AND($AD165&lt;&gt;"",LEFT($AD165,1)&lt;&gt;"⚠"),LEFT($AD165,FIND(" ",$AD165)-1),IF($H165="","",IF(RIGHT($H165,2)="병원",$H165,$H165&amp;"병원")))))</f>
        <v/>
      </c>
      <c r="O165" s="10">
        <f>IF($B165="","",IF(AND($U165="파견중",$Q165&lt;&gt;""),IF($R165&lt;&gt;"",$R165,"파견과 미입력"),IF(AND($AD165&lt;&gt;"",LEFT($AD165,1)&lt;&gt;"⚠"),MID($AD165,FIND(" ",$AD165)+1,60),IF($F165="","",IF($F165="인턴","수련교육부(인턴)",$F165)))))</f>
        <v/>
      </c>
      <c r="P165" s="10">
        <f>IF($B165="","",IF($AK165&lt;&gt;"",IF(AND(TODAY()&gt;=INDEX(입력_파견수련계획!$AB$4:$AB$803,$AK165),OR(NOT(ISNUMBER(INDEX(입력_파견수련계획!$AC$4:$AC$803,$AK165))),TODAY()&lt;=INDEX(입력_파견수련계획!$AC$4:$AC$803,$AK165))),"다기관",IF($AF165="","",INDEX(입력_파견수련계획!$T$4:$T$803,$AF165))),IF($AF165="","",INDEX(입력_파견수련계획!$T$4:$T$803,$AF165))))</f>
        <v/>
      </c>
      <c r="Q165" s="10">
        <f>IF($AF165="","",INDEX(입력_파견수련계획!$S$4:$S$803,$AF165))</f>
        <v/>
      </c>
      <c r="R165" s="10">
        <f>IF($AF165="","",INDEX(입력_파견수련계획!$U$4:$U$803,$AF165))</f>
        <v/>
      </c>
      <c r="S165" s="11">
        <f>IF($AF165="","",IF(INDEX(입력_파견수련계획!$H$4:$H$803,$AF165)="","",INDEX(입력_파견수련계획!$H$4:$H$803,$AF165)))</f>
        <v/>
      </c>
      <c r="T165" s="11">
        <f>IF($AF165="","",IF(INDEX(입력_파견수련계획!$I$4:$I$803,$AF165)="","",INDEX(입력_파견수련계획!$I$4:$I$803,$AF165)))</f>
        <v/>
      </c>
      <c r="U165" s="10">
        <f>IF($AF165="","",INDEX(입력_파견수련계획!$X$4:$X$803,$AF165))</f>
        <v/>
      </c>
      <c r="V165" s="17">
        <f>IF($AF165="","",INDEX(입력_파견수련계획!$V$4:$V$803,$AF165))</f>
        <v/>
      </c>
      <c r="W165" s="17">
        <f>IF(AND($U165="파견중",$T165&lt;&gt;""),$T165-TODAY(),"")</f>
        <v/>
      </c>
      <c r="X165" s="17">
        <f>IF(OR($B165="",TRIM($J165&amp;"")=""),"",SUMPRODUCT((입력_파견수련계획!$Q$4:$Q$803=TRIM($J165&amp;""))*입력_파견수련계획!$W$4:$W$803))</f>
        <v/>
      </c>
      <c r="Y165" s="10">
        <f>IF($B165="","",IF($AG165="","",IF(IF(TRIM($J165&amp;"")="",0,SUMPRODUCT((입력_파견수련계획!$Q$4:$Q$803=TRIM($J165&amp;""))*입력_파견수련계획!$AD$4:$AD$803))&gt;0,$AE165,IF(AND(N($X165)&lt;=0,$AQ165=""),$AG165,IF($AH165+$AI165=DAY(EOMONTH(출력_요약!$B$3,0)),IF(AND($AH165&gt;=출력_요약!$E$3,$AI165&lt;출력_요약!$E$3),"서울병원",IF(AND($AI165&gt;=출력_요약!$E$3,$AH165&lt;출력_요약!$E$3),"구리병원","⚠15일 판정불가(서울 "&amp;$AH165&amp;"일/구리 "&amp;$AI165&amp;"일)")),IF($AJ165="",$AE165,IF(INDEX(입력_파견수련계획!$T$4:$T$803,$AJ165)="통합수련",INDEX(입력_파견수련계획!$S$4:$S$803,$AJ165),$AE165)))))))</f>
        <v/>
      </c>
      <c r="Z165" s="20">
        <f>IF($B165="","",IF($AB165="","기본자료에 없는 사번",IF(COUNTIF($B$2:$B$401,$B165)&gt;1,"중복 사번",IF($AE165="","소속(입사장소) 입력",IF(IF(TRIM($J165&amp;"")="",0,SUMPRODUCT((입력_파견수련계획!$Q$4:$Q$803=TRIM($J165&amp;""))*(입력_파견수련계획!$AA$4:$AA$803&lt;&gt;"")))&gt;0,"파견수련계획 입력오류 확인",IF(LEFT($Y165,1)="⚠","서울·구리 15일 판정 불가(양쪽 모두 이상/미만)",IF(IF($AC165="",0,N(INDEX(입력_인턴근무계획!$T$3:$T$402,$AC165)))&gt;0,"인턴계획 입력오류 확인",IF(AND($AQ165&lt;&gt;"",$AG165&lt;&gt;"구리병원",IF(TRIM($J165&amp;"")="",0,SUMPRODUCT((입력_파견수련계획!$Q$4:$Q$803=TRIM($J165&amp;""))*(입력_파견수련계획!$S$4:$S$803="구리병원")*입력_파견수련계획!$W$4:$W$803))=0),"구리 근무자명단에만 있음(파견수련계획 확인)",IF(AND($AC165&lt;&gt;"",$U165&lt;&gt;"파견중",$N165&lt;&gt;$AE165),"인턴 타지역 근무: 파견 여부 확인","정상")))))))))</f>
        <v/>
      </c>
      <c r="AA165" s="5" t="n"/>
      <c r="AB165" s="10">
        <f>IF($B165="","",IFERROR(MATCH($B165,입력_기본자료!$B$2:$B$1001,0),IFERROR(MATCH($B165&amp;"",입력_기본자료!$B$2:$B$1001,0),IFERROR(MATCH(VALUE($B165),입력_기본자료!$B$2:$B$1001,0),""))))</f>
        <v/>
      </c>
      <c r="AC165" s="10">
        <f>IF($B165="","",IFERROR(MATCH($B165,입력_인턴근무계획!$D$3:$D$402,0),IFERROR(MATCH($B165&amp;"",입력_인턴근무계획!$D$3:$D$402,0),IFERROR(MATCH(VALUE($B165),입력_인턴근무계획!$D$3:$D$402,0),""))))</f>
        <v/>
      </c>
      <c r="AD165" s="10">
        <f>IF(OR($AC165="",출력_인턴현황!$G$3=""),"",INDEX(입력_인턴근무계획!$M$3:$R$402,$AC165,출력_인턴현황!$G$3)&amp;"")</f>
        <v/>
      </c>
      <c r="AE165" s="10">
        <f>IF($B165="","",IF($M165&lt;&gt;"",$M165,IF(IF($AQ165="",FALSE,INDEX(출력_구리근무자!$J$6:$J$305,$AQ165)="구리독자"),"구리병원",IF($AF165&lt;&gt;"",IF(LEFT(INDEX(입력_파견수련계획!$R$4:$R$803,$AF165),1)&lt;&gt;"⚠",INDEX(입력_파견수련계획!$R$4:$R$803,$AF165),IF($H165="","",IF(RIGHT($H165,2)="병원",$H165,$H165&amp;"병원"))),IF($H165="","",IF(RIGHT($H165,2)="병원",$H165,$H165&amp;"병원"))))))</f>
        <v/>
      </c>
      <c r="AF165" s="10">
        <f>IF(OR($B165="",TRIM($J165&amp;"")=""),"",IFERROR(MATCH(TRIM($J165&amp;"")&amp;"|파견중",입력_파견수련계획!$Y$4:$Y$803,0),IFERROR(MATCH(TRIM($J165&amp;"")&amp;"|파견예정",입력_파견수련계획!$Y$4:$Y$803,0),IFERROR(MATCH(TRIM($J165&amp;"")&amp;"|파견종료",입력_파견수련계획!$Y$4:$Y$803,0),""))))</f>
        <v/>
      </c>
      <c r="AG165" s="10">
        <f>IF($B165="","",IF(AND(IF(OR($AC165="",출력_인턴현황!$K$2=""),"",INDEX(입력_인턴근무계획!$M$3:$R$402,$AC165,출력_인턴현황!$K$2)&amp;"")&lt;&gt;"",LEFT(IF(OR($AC165="",출력_인턴현황!$K$2=""),"",INDEX(입력_인턴근무계획!$M$3:$R$402,$AC165,출력_인턴현황!$K$2)&amp;""),1)&lt;&gt;"⚠"),LEFT(IF(OR($AC165="",출력_인턴현황!$K$2=""),"",INDEX(입력_인턴근무계획!$M$3:$R$402,$AC165,출력_인턴현황!$K$2)&amp;""),FIND(" ",IF(OR($AC165="",출력_인턴현황!$K$2=""),"",INDEX(입력_인턴근무계획!$M$3:$R$402,$AC165,출력_인턴현황!$K$2)&amp;""))-1),$AE165))</f>
        <v/>
      </c>
      <c r="AH165" s="17">
        <f>IF($B165="","",IF($AQ165&lt;&gt;"",MAX(0,DAY(EOMONTH(출력_요약!$B$3,0))-N($AR165)),IF(TRIM($J165&amp;"")="",0,SUMPRODUCT((입력_파견수련계획!$Q$4:$Q$803=TRIM($J165&amp;""))*(입력_파견수련계획!$S$4:$S$803="서울병원")*입력_파견수련계획!$W$4:$W$803))+IF($AG165="서울병원",MAX(0,DAY(EOMONTH(출력_요약!$B$3,0))-N($X165)),0)))</f>
        <v/>
      </c>
      <c r="AI165" s="17">
        <f>IF($B165="","",IF($AQ165&lt;&gt;"",N($AR165),IF(TRIM($J165&amp;"")="",0,SUMPRODUCT((입력_파견수련계획!$Q$4:$Q$803=TRIM($J165&amp;""))*(입력_파견수련계획!$S$4:$S$803="구리병원")*입력_파견수련계획!$W$4:$W$803))+IF($AG165="구리병원",MAX(0,DAY(EOMONTH(출력_요약!$B$3,0))-N($X165)),0)))</f>
        <v/>
      </c>
      <c r="AJ165" s="10">
        <f>IF(OR($B165="",TRIM($J165&amp;"")=""),"",IFERROR(MATCH(TRIM($J165&amp;"")&amp;"|월",입력_파견수련계획!$Z$4:$Z$803,0),""))</f>
        <v/>
      </c>
      <c r="AK165" s="10">
        <f>IF(OR($B165="",TRIM($J165&amp;"")=""),"",IFERROR(MATCH(TRIM($J165&amp;"")&amp;"|다기관",입력_파견수련계획!$AE$4:$AE$803,0),""))</f>
        <v/>
      </c>
      <c r="AL165" s="10">
        <f>IF($AK165="","","다기관 "&amp;TEXT(INDEX(입력_파견수련계획!$AB$4:$AB$803,$AK165),"yyyy-mm-dd")&amp;"~"&amp;IF(ISNUMBER(INDEX(입력_파견수련계획!$AC$4:$AC$803,$AK165)),TEXT(INDEX(입력_파견수련계획!$AC$4:$AC$803,$AK165),"yyyy-mm-dd"),""))</f>
        <v/>
      </c>
      <c r="AM165" s="10">
        <f>IF($Y165="서울병원",COUNTIF($Y$2:$Y165,"서울병원"),"")</f>
        <v/>
      </c>
      <c r="AN165" s="10">
        <f>IF(LEFT($Y165,1)="⚠",COUNTIF($Y$2:$Y165,"⚠*"),"")</f>
        <v/>
      </c>
      <c r="AO165" s="10">
        <f>IF(OR($B165="",$Y165=""),"",IF(IF(TRIM($J165&amp;"")="",0,SUMPRODUCT((입력_파견수련계획!$Q$4:$Q$803=TRIM($J165&amp;""))*입력_파견수련계획!$AD$4:$AD$803))&gt;0,"다기관 기간 → 소속병원 지급",IF(AND(N($X165)&lt;=0,$AQ165=""),"파견 없음 → 그 달 근무병원 지급",IF($AH165+$AI165=DAY(EOMONTH(출력_요약!$B$3,0)),"서울 "&amp;$AH165&amp;"일 / 구리 "&amp;$AI165&amp;"일"&amp;IF($AQ165&lt;&gt;""," (구리 근무자명단 반영)","")&amp;" → 15일 이상 근무 병원 지급","타 병원 포함 → "&amp;IF($AJ165="","소속",INDEX(입력_파견수련계획!$T$4:$T$803,$AJ165))&amp;" 규칙"))))</f>
        <v/>
      </c>
      <c r="AP165" s="10">
        <f>IF($B165="","",$C165&amp;"|"&amp;$F165)</f>
        <v/>
      </c>
      <c r="AQ165" s="10">
        <f>IF($B165="","",IFERROR(MATCH(ROW()-1,출력_구리근무자!$K$6:$K$305,0),""))</f>
        <v/>
      </c>
      <c r="AR165" s="10">
        <f>IF($AQ165="","",INDEX(출력_구리근무자!$H$6:$H$305,$AQ165))</f>
        <v/>
      </c>
    </row>
    <row r="166">
      <c r="A166" s="10">
        <f>IF(B166="","",ROW()-1)</f>
        <v/>
      </c>
      <c r="B166" s="19" t="n"/>
      <c r="C166" s="10">
        <f>IF($AB166="","",IF(INDEX(입력_기본자료!$C$2:$C$1001,$AB166)="","",INDEX(입력_기본자료!$C$2:$C$1001,$AB166)))</f>
        <v/>
      </c>
      <c r="D166" s="10">
        <f>IF($AB166="","",IF(INDEX(입력_기본자료!$J$2:$J$1001,$AB166)="","",INDEX(입력_기본자료!$J$2:$J$1001,$AB166)))</f>
        <v/>
      </c>
      <c r="E166" s="11">
        <f>IF($AB166="","",IF(INDEX(입력_기본자료!$K$2:$K$1001,$AB166)="","",IF(NOT(ISNUMBER(INDEX(입력_기본자료!$K$2:$K$1001,$AB166))),INDEX(입력_기본자료!$K$2:$K$1001,$AB166),IF(INDEX(입력_기본자료!$K$2:$K$1001,$AB166)&lt;1000000,INDEX(입력_기본자료!$K$2:$K$1001,$AB166),IF(AND(INDEX(입력_기본자료!$K$2:$K$1001,$AB166)&gt;=10000101,INT(MOD(INDEX(입력_기본자료!$K$2:$K$1001,$AB166),10000)/100)&gt;=1,INT(MOD(INDEX(입력_기본자료!$K$2:$K$1001,$AB166),10000)/100)&lt;=12,MOD(INDEX(입력_기본자료!$K$2:$K$1001,$AB166),100)&gt;=1,MOD(INDEX(입력_기본자료!$K$2:$K$1001,$AB166),100)&lt;=31),DATE(INT(INDEX(입력_기본자료!$K$2:$K$1001,$AB166)/10000),INT(MOD(INDEX(입력_기본자료!$K$2:$K$1001,$AB166),10000)/100),MOD(INDEX(입력_기본자료!$K$2:$K$1001,$AB166),100)),INDEX(입력_기본자료!$K$2:$K$1001,$AB166)&amp;"")))))</f>
        <v/>
      </c>
      <c r="F166" s="10">
        <f>IF($AB166="","",IF(INDEX(입력_기본자료!$D$2:$D$1001,$AB166)="","",INDEX(입력_기본자료!$D$2:$D$1001,$AB166)))</f>
        <v/>
      </c>
      <c r="G166" s="10">
        <f>IF($AB166="","",IF(INDEX(입력_기본자료!$E$2:$E$1001,$AB166)="","",INDEX(입력_기본자료!$E$2:$E$1001,$AB166)))</f>
        <v/>
      </c>
      <c r="H166" s="10">
        <f>IF($AB166="","",IF(INDEX(입력_기본자료!$F$2:$F$1001,$AB166)="","",INDEX(입력_기본자료!$F$2:$F$1001,$AB166)))</f>
        <v/>
      </c>
      <c r="I166" s="11">
        <f>IF($AB166="","",IF(INDEX(입력_기본자료!$G$2:$G$1001,$AB166)="","",IF(NOT(ISNUMBER(INDEX(입력_기본자료!$G$2:$G$1001,$AB166))),INDEX(입력_기본자료!$G$2:$G$1001,$AB166),IF(INDEX(입력_기본자료!$G$2:$G$1001,$AB166)&lt;1000000,INDEX(입력_기본자료!$G$2:$G$1001,$AB166),IF(AND(INDEX(입력_기본자료!$G$2:$G$1001,$AB166)&gt;=10000101,INT(MOD(INDEX(입력_기본자료!$G$2:$G$1001,$AB166),10000)/100)&gt;=1,INT(MOD(INDEX(입력_기본자료!$G$2:$G$1001,$AB166),10000)/100)&lt;=12,MOD(INDEX(입력_기본자료!$G$2:$G$1001,$AB166),100)&gt;=1,MOD(INDEX(입력_기본자료!$G$2:$G$1001,$AB166),100)&lt;=31),DATE(INT(INDEX(입력_기본자료!$G$2:$G$1001,$AB166)/10000),INT(MOD(INDEX(입력_기본자료!$G$2:$G$1001,$AB166),10000)/100),MOD(INDEX(입력_기본자료!$G$2:$G$1001,$AB166),100)),INDEX(입력_기본자료!$G$2:$G$1001,$AB166)&amp;"")))))</f>
        <v/>
      </c>
      <c r="J166" s="10">
        <f>IF($AB166="","",IF(INDEX(입력_기본자료!$H$2:$H$1001,$AB166)="","",INDEX(입력_기본자료!$H$2:$H$1001,$AB166)))</f>
        <v/>
      </c>
      <c r="K166" s="10">
        <f>IF($AB166="","",IF(INDEX(입력_기본자료!$I$2:$I$1001,$AB166)="","",INDEX(입력_기본자료!$I$2:$I$1001,$AB166)))</f>
        <v/>
      </c>
      <c r="L166" s="10">
        <f>IF($AB166="","",IF(INDEX(입력_기본자료!$A$2:$A$1001,$AB166)="","",INDEX(입력_기본자료!$A$2:$A$1001,$AB166)))</f>
        <v/>
      </c>
      <c r="M166" s="15" t="n"/>
      <c r="N166" s="10">
        <f>IF($B166="","",IF(AND($U166="파견중",$Q166&lt;&gt;""),$Q166,IF(AND($AD166&lt;&gt;"",LEFT($AD166,1)&lt;&gt;"⚠"),LEFT($AD166,FIND(" ",$AD166)-1),IF($H166="","",IF(RIGHT($H166,2)="병원",$H166,$H166&amp;"병원")))))</f>
        <v/>
      </c>
      <c r="O166" s="10">
        <f>IF($B166="","",IF(AND($U166="파견중",$Q166&lt;&gt;""),IF($R166&lt;&gt;"",$R166,"파견과 미입력"),IF(AND($AD166&lt;&gt;"",LEFT($AD166,1)&lt;&gt;"⚠"),MID($AD166,FIND(" ",$AD166)+1,60),IF($F166="","",IF($F166="인턴","수련교육부(인턴)",$F166)))))</f>
        <v/>
      </c>
      <c r="P166" s="10">
        <f>IF($B166="","",IF($AK166&lt;&gt;"",IF(AND(TODAY()&gt;=INDEX(입력_파견수련계획!$AB$4:$AB$803,$AK166),OR(NOT(ISNUMBER(INDEX(입력_파견수련계획!$AC$4:$AC$803,$AK166))),TODAY()&lt;=INDEX(입력_파견수련계획!$AC$4:$AC$803,$AK166))),"다기관",IF($AF166="","",INDEX(입력_파견수련계획!$T$4:$T$803,$AF166))),IF($AF166="","",INDEX(입력_파견수련계획!$T$4:$T$803,$AF166))))</f>
        <v/>
      </c>
      <c r="Q166" s="10">
        <f>IF($AF166="","",INDEX(입력_파견수련계획!$S$4:$S$803,$AF166))</f>
        <v/>
      </c>
      <c r="R166" s="10">
        <f>IF($AF166="","",INDEX(입력_파견수련계획!$U$4:$U$803,$AF166))</f>
        <v/>
      </c>
      <c r="S166" s="11">
        <f>IF($AF166="","",IF(INDEX(입력_파견수련계획!$H$4:$H$803,$AF166)="","",INDEX(입력_파견수련계획!$H$4:$H$803,$AF166)))</f>
        <v/>
      </c>
      <c r="T166" s="11">
        <f>IF($AF166="","",IF(INDEX(입력_파견수련계획!$I$4:$I$803,$AF166)="","",INDEX(입력_파견수련계획!$I$4:$I$803,$AF166)))</f>
        <v/>
      </c>
      <c r="U166" s="10">
        <f>IF($AF166="","",INDEX(입력_파견수련계획!$X$4:$X$803,$AF166))</f>
        <v/>
      </c>
      <c r="V166" s="17">
        <f>IF($AF166="","",INDEX(입력_파견수련계획!$V$4:$V$803,$AF166))</f>
        <v/>
      </c>
      <c r="W166" s="17">
        <f>IF(AND($U166="파견중",$T166&lt;&gt;""),$T166-TODAY(),"")</f>
        <v/>
      </c>
      <c r="X166" s="17">
        <f>IF(OR($B166="",TRIM($J166&amp;"")=""),"",SUMPRODUCT((입력_파견수련계획!$Q$4:$Q$803=TRIM($J166&amp;""))*입력_파견수련계획!$W$4:$W$803))</f>
        <v/>
      </c>
      <c r="Y166" s="10">
        <f>IF($B166="","",IF($AG166="","",IF(IF(TRIM($J166&amp;"")="",0,SUMPRODUCT((입력_파견수련계획!$Q$4:$Q$803=TRIM($J166&amp;""))*입력_파견수련계획!$AD$4:$AD$803))&gt;0,$AE166,IF(AND(N($X166)&lt;=0,$AQ166=""),$AG166,IF($AH166+$AI166=DAY(EOMONTH(출력_요약!$B$3,0)),IF(AND($AH166&gt;=출력_요약!$E$3,$AI166&lt;출력_요약!$E$3),"서울병원",IF(AND($AI166&gt;=출력_요약!$E$3,$AH166&lt;출력_요약!$E$3),"구리병원","⚠15일 판정불가(서울 "&amp;$AH166&amp;"일/구리 "&amp;$AI166&amp;"일)")),IF($AJ166="",$AE166,IF(INDEX(입력_파견수련계획!$T$4:$T$803,$AJ166)="통합수련",INDEX(입력_파견수련계획!$S$4:$S$803,$AJ166),$AE166)))))))</f>
        <v/>
      </c>
      <c r="Z166" s="20">
        <f>IF($B166="","",IF($AB166="","기본자료에 없는 사번",IF(COUNTIF($B$2:$B$401,$B166)&gt;1,"중복 사번",IF($AE166="","소속(입사장소) 입력",IF(IF(TRIM($J166&amp;"")="",0,SUMPRODUCT((입력_파견수련계획!$Q$4:$Q$803=TRIM($J166&amp;""))*(입력_파견수련계획!$AA$4:$AA$803&lt;&gt;"")))&gt;0,"파견수련계획 입력오류 확인",IF(LEFT($Y166,1)="⚠","서울·구리 15일 판정 불가(양쪽 모두 이상/미만)",IF(IF($AC166="",0,N(INDEX(입력_인턴근무계획!$T$3:$T$402,$AC166)))&gt;0,"인턴계획 입력오류 확인",IF(AND($AQ166&lt;&gt;"",$AG166&lt;&gt;"구리병원",IF(TRIM($J166&amp;"")="",0,SUMPRODUCT((입력_파견수련계획!$Q$4:$Q$803=TRIM($J166&amp;""))*(입력_파견수련계획!$S$4:$S$803="구리병원")*입력_파견수련계획!$W$4:$W$803))=0),"구리 근무자명단에만 있음(파견수련계획 확인)",IF(AND($AC166&lt;&gt;"",$U166&lt;&gt;"파견중",$N166&lt;&gt;$AE166),"인턴 타지역 근무: 파견 여부 확인","정상")))))))))</f>
        <v/>
      </c>
      <c r="AA166" s="5" t="n"/>
      <c r="AB166" s="10">
        <f>IF($B166="","",IFERROR(MATCH($B166,입력_기본자료!$B$2:$B$1001,0),IFERROR(MATCH($B166&amp;"",입력_기본자료!$B$2:$B$1001,0),IFERROR(MATCH(VALUE($B166),입력_기본자료!$B$2:$B$1001,0),""))))</f>
        <v/>
      </c>
      <c r="AC166" s="10">
        <f>IF($B166="","",IFERROR(MATCH($B166,입력_인턴근무계획!$D$3:$D$402,0),IFERROR(MATCH($B166&amp;"",입력_인턴근무계획!$D$3:$D$402,0),IFERROR(MATCH(VALUE($B166),입력_인턴근무계획!$D$3:$D$402,0),""))))</f>
        <v/>
      </c>
      <c r="AD166" s="10">
        <f>IF(OR($AC166="",출력_인턴현황!$G$3=""),"",INDEX(입력_인턴근무계획!$M$3:$R$402,$AC166,출력_인턴현황!$G$3)&amp;"")</f>
        <v/>
      </c>
      <c r="AE166" s="10">
        <f>IF($B166="","",IF($M166&lt;&gt;"",$M166,IF(IF($AQ166="",FALSE,INDEX(출력_구리근무자!$J$6:$J$305,$AQ166)="구리독자"),"구리병원",IF($AF166&lt;&gt;"",IF(LEFT(INDEX(입력_파견수련계획!$R$4:$R$803,$AF166),1)&lt;&gt;"⚠",INDEX(입력_파견수련계획!$R$4:$R$803,$AF166),IF($H166="","",IF(RIGHT($H166,2)="병원",$H166,$H166&amp;"병원"))),IF($H166="","",IF(RIGHT($H166,2)="병원",$H166,$H166&amp;"병원"))))))</f>
        <v/>
      </c>
      <c r="AF166" s="10">
        <f>IF(OR($B166="",TRIM($J166&amp;"")=""),"",IFERROR(MATCH(TRIM($J166&amp;"")&amp;"|파견중",입력_파견수련계획!$Y$4:$Y$803,0),IFERROR(MATCH(TRIM($J166&amp;"")&amp;"|파견예정",입력_파견수련계획!$Y$4:$Y$803,0),IFERROR(MATCH(TRIM($J166&amp;"")&amp;"|파견종료",입력_파견수련계획!$Y$4:$Y$803,0),""))))</f>
        <v/>
      </c>
      <c r="AG166" s="10">
        <f>IF($B166="","",IF(AND(IF(OR($AC166="",출력_인턴현황!$K$2=""),"",INDEX(입력_인턴근무계획!$M$3:$R$402,$AC166,출력_인턴현황!$K$2)&amp;"")&lt;&gt;"",LEFT(IF(OR($AC166="",출력_인턴현황!$K$2=""),"",INDEX(입력_인턴근무계획!$M$3:$R$402,$AC166,출력_인턴현황!$K$2)&amp;""),1)&lt;&gt;"⚠"),LEFT(IF(OR($AC166="",출력_인턴현황!$K$2=""),"",INDEX(입력_인턴근무계획!$M$3:$R$402,$AC166,출력_인턴현황!$K$2)&amp;""),FIND(" ",IF(OR($AC166="",출력_인턴현황!$K$2=""),"",INDEX(입력_인턴근무계획!$M$3:$R$402,$AC166,출력_인턴현황!$K$2)&amp;""))-1),$AE166))</f>
        <v/>
      </c>
      <c r="AH166" s="17">
        <f>IF($B166="","",IF($AQ166&lt;&gt;"",MAX(0,DAY(EOMONTH(출력_요약!$B$3,0))-N($AR166)),IF(TRIM($J166&amp;"")="",0,SUMPRODUCT((입력_파견수련계획!$Q$4:$Q$803=TRIM($J166&amp;""))*(입력_파견수련계획!$S$4:$S$803="서울병원")*입력_파견수련계획!$W$4:$W$803))+IF($AG166="서울병원",MAX(0,DAY(EOMONTH(출력_요약!$B$3,0))-N($X166)),0)))</f>
        <v/>
      </c>
      <c r="AI166" s="17">
        <f>IF($B166="","",IF($AQ166&lt;&gt;"",N($AR166),IF(TRIM($J166&amp;"")="",0,SUMPRODUCT((입력_파견수련계획!$Q$4:$Q$803=TRIM($J166&amp;""))*(입력_파견수련계획!$S$4:$S$803="구리병원")*입력_파견수련계획!$W$4:$W$803))+IF($AG166="구리병원",MAX(0,DAY(EOMONTH(출력_요약!$B$3,0))-N($X166)),0)))</f>
        <v/>
      </c>
      <c r="AJ166" s="10">
        <f>IF(OR($B166="",TRIM($J166&amp;"")=""),"",IFERROR(MATCH(TRIM($J166&amp;"")&amp;"|월",입력_파견수련계획!$Z$4:$Z$803,0),""))</f>
        <v/>
      </c>
      <c r="AK166" s="10">
        <f>IF(OR($B166="",TRIM($J166&amp;"")=""),"",IFERROR(MATCH(TRIM($J166&amp;"")&amp;"|다기관",입력_파견수련계획!$AE$4:$AE$803,0),""))</f>
        <v/>
      </c>
      <c r="AL166" s="10">
        <f>IF($AK166="","","다기관 "&amp;TEXT(INDEX(입력_파견수련계획!$AB$4:$AB$803,$AK166),"yyyy-mm-dd")&amp;"~"&amp;IF(ISNUMBER(INDEX(입력_파견수련계획!$AC$4:$AC$803,$AK166)),TEXT(INDEX(입력_파견수련계획!$AC$4:$AC$803,$AK166),"yyyy-mm-dd"),""))</f>
        <v/>
      </c>
      <c r="AM166" s="10">
        <f>IF($Y166="서울병원",COUNTIF($Y$2:$Y166,"서울병원"),"")</f>
        <v/>
      </c>
      <c r="AN166" s="10">
        <f>IF(LEFT($Y166,1)="⚠",COUNTIF($Y$2:$Y166,"⚠*"),"")</f>
        <v/>
      </c>
      <c r="AO166" s="10">
        <f>IF(OR($B166="",$Y166=""),"",IF(IF(TRIM($J166&amp;"")="",0,SUMPRODUCT((입력_파견수련계획!$Q$4:$Q$803=TRIM($J166&amp;""))*입력_파견수련계획!$AD$4:$AD$803))&gt;0,"다기관 기간 → 소속병원 지급",IF(AND(N($X166)&lt;=0,$AQ166=""),"파견 없음 → 그 달 근무병원 지급",IF($AH166+$AI166=DAY(EOMONTH(출력_요약!$B$3,0)),"서울 "&amp;$AH166&amp;"일 / 구리 "&amp;$AI166&amp;"일"&amp;IF($AQ166&lt;&gt;""," (구리 근무자명단 반영)","")&amp;" → 15일 이상 근무 병원 지급","타 병원 포함 → "&amp;IF($AJ166="","소속",INDEX(입력_파견수련계획!$T$4:$T$803,$AJ166))&amp;" 규칙"))))</f>
        <v/>
      </c>
      <c r="AP166" s="10">
        <f>IF($B166="","",$C166&amp;"|"&amp;$F166)</f>
        <v/>
      </c>
      <c r="AQ166" s="10">
        <f>IF($B166="","",IFERROR(MATCH(ROW()-1,출력_구리근무자!$K$6:$K$305,0),""))</f>
        <v/>
      </c>
      <c r="AR166" s="10">
        <f>IF($AQ166="","",INDEX(출력_구리근무자!$H$6:$H$305,$AQ166))</f>
        <v/>
      </c>
    </row>
    <row r="167">
      <c r="A167" s="10">
        <f>IF(B167="","",ROW()-1)</f>
        <v/>
      </c>
      <c r="B167" s="19" t="n"/>
      <c r="C167" s="10">
        <f>IF($AB167="","",IF(INDEX(입력_기본자료!$C$2:$C$1001,$AB167)="","",INDEX(입력_기본자료!$C$2:$C$1001,$AB167)))</f>
        <v/>
      </c>
      <c r="D167" s="10">
        <f>IF($AB167="","",IF(INDEX(입력_기본자료!$J$2:$J$1001,$AB167)="","",INDEX(입력_기본자료!$J$2:$J$1001,$AB167)))</f>
        <v/>
      </c>
      <c r="E167" s="11">
        <f>IF($AB167="","",IF(INDEX(입력_기본자료!$K$2:$K$1001,$AB167)="","",IF(NOT(ISNUMBER(INDEX(입력_기본자료!$K$2:$K$1001,$AB167))),INDEX(입력_기본자료!$K$2:$K$1001,$AB167),IF(INDEX(입력_기본자료!$K$2:$K$1001,$AB167)&lt;1000000,INDEX(입력_기본자료!$K$2:$K$1001,$AB167),IF(AND(INDEX(입력_기본자료!$K$2:$K$1001,$AB167)&gt;=10000101,INT(MOD(INDEX(입력_기본자료!$K$2:$K$1001,$AB167),10000)/100)&gt;=1,INT(MOD(INDEX(입력_기본자료!$K$2:$K$1001,$AB167),10000)/100)&lt;=12,MOD(INDEX(입력_기본자료!$K$2:$K$1001,$AB167),100)&gt;=1,MOD(INDEX(입력_기본자료!$K$2:$K$1001,$AB167),100)&lt;=31),DATE(INT(INDEX(입력_기본자료!$K$2:$K$1001,$AB167)/10000),INT(MOD(INDEX(입력_기본자료!$K$2:$K$1001,$AB167),10000)/100),MOD(INDEX(입력_기본자료!$K$2:$K$1001,$AB167),100)),INDEX(입력_기본자료!$K$2:$K$1001,$AB167)&amp;"")))))</f>
        <v/>
      </c>
      <c r="F167" s="10">
        <f>IF($AB167="","",IF(INDEX(입력_기본자료!$D$2:$D$1001,$AB167)="","",INDEX(입력_기본자료!$D$2:$D$1001,$AB167)))</f>
        <v/>
      </c>
      <c r="G167" s="10">
        <f>IF($AB167="","",IF(INDEX(입력_기본자료!$E$2:$E$1001,$AB167)="","",INDEX(입력_기본자료!$E$2:$E$1001,$AB167)))</f>
        <v/>
      </c>
      <c r="H167" s="10">
        <f>IF($AB167="","",IF(INDEX(입력_기본자료!$F$2:$F$1001,$AB167)="","",INDEX(입력_기본자료!$F$2:$F$1001,$AB167)))</f>
        <v/>
      </c>
      <c r="I167" s="11">
        <f>IF($AB167="","",IF(INDEX(입력_기본자료!$G$2:$G$1001,$AB167)="","",IF(NOT(ISNUMBER(INDEX(입력_기본자료!$G$2:$G$1001,$AB167))),INDEX(입력_기본자료!$G$2:$G$1001,$AB167),IF(INDEX(입력_기본자료!$G$2:$G$1001,$AB167)&lt;1000000,INDEX(입력_기본자료!$G$2:$G$1001,$AB167),IF(AND(INDEX(입력_기본자료!$G$2:$G$1001,$AB167)&gt;=10000101,INT(MOD(INDEX(입력_기본자료!$G$2:$G$1001,$AB167),10000)/100)&gt;=1,INT(MOD(INDEX(입력_기본자료!$G$2:$G$1001,$AB167),10000)/100)&lt;=12,MOD(INDEX(입력_기본자료!$G$2:$G$1001,$AB167),100)&gt;=1,MOD(INDEX(입력_기본자료!$G$2:$G$1001,$AB167),100)&lt;=31),DATE(INT(INDEX(입력_기본자료!$G$2:$G$1001,$AB167)/10000),INT(MOD(INDEX(입력_기본자료!$G$2:$G$1001,$AB167),10000)/100),MOD(INDEX(입력_기본자료!$G$2:$G$1001,$AB167),100)),INDEX(입력_기본자료!$G$2:$G$1001,$AB167)&amp;"")))))</f>
        <v/>
      </c>
      <c r="J167" s="10">
        <f>IF($AB167="","",IF(INDEX(입력_기본자료!$H$2:$H$1001,$AB167)="","",INDEX(입력_기본자료!$H$2:$H$1001,$AB167)))</f>
        <v/>
      </c>
      <c r="K167" s="10">
        <f>IF($AB167="","",IF(INDEX(입력_기본자료!$I$2:$I$1001,$AB167)="","",INDEX(입력_기본자료!$I$2:$I$1001,$AB167)))</f>
        <v/>
      </c>
      <c r="L167" s="10">
        <f>IF($AB167="","",IF(INDEX(입력_기본자료!$A$2:$A$1001,$AB167)="","",INDEX(입력_기본자료!$A$2:$A$1001,$AB167)))</f>
        <v/>
      </c>
      <c r="M167" s="15" t="n"/>
      <c r="N167" s="10">
        <f>IF($B167="","",IF(AND($U167="파견중",$Q167&lt;&gt;""),$Q167,IF(AND($AD167&lt;&gt;"",LEFT($AD167,1)&lt;&gt;"⚠"),LEFT($AD167,FIND(" ",$AD167)-1),IF($H167="","",IF(RIGHT($H167,2)="병원",$H167,$H167&amp;"병원")))))</f>
        <v/>
      </c>
      <c r="O167" s="10">
        <f>IF($B167="","",IF(AND($U167="파견중",$Q167&lt;&gt;""),IF($R167&lt;&gt;"",$R167,"파견과 미입력"),IF(AND($AD167&lt;&gt;"",LEFT($AD167,1)&lt;&gt;"⚠"),MID($AD167,FIND(" ",$AD167)+1,60),IF($F167="","",IF($F167="인턴","수련교육부(인턴)",$F167)))))</f>
        <v/>
      </c>
      <c r="P167" s="10">
        <f>IF($B167="","",IF($AK167&lt;&gt;"",IF(AND(TODAY()&gt;=INDEX(입력_파견수련계획!$AB$4:$AB$803,$AK167),OR(NOT(ISNUMBER(INDEX(입력_파견수련계획!$AC$4:$AC$803,$AK167))),TODAY()&lt;=INDEX(입력_파견수련계획!$AC$4:$AC$803,$AK167))),"다기관",IF($AF167="","",INDEX(입력_파견수련계획!$T$4:$T$803,$AF167))),IF($AF167="","",INDEX(입력_파견수련계획!$T$4:$T$803,$AF167))))</f>
        <v/>
      </c>
      <c r="Q167" s="10">
        <f>IF($AF167="","",INDEX(입력_파견수련계획!$S$4:$S$803,$AF167))</f>
        <v/>
      </c>
      <c r="R167" s="10">
        <f>IF($AF167="","",INDEX(입력_파견수련계획!$U$4:$U$803,$AF167))</f>
        <v/>
      </c>
      <c r="S167" s="11">
        <f>IF($AF167="","",IF(INDEX(입력_파견수련계획!$H$4:$H$803,$AF167)="","",INDEX(입력_파견수련계획!$H$4:$H$803,$AF167)))</f>
        <v/>
      </c>
      <c r="T167" s="11">
        <f>IF($AF167="","",IF(INDEX(입력_파견수련계획!$I$4:$I$803,$AF167)="","",INDEX(입력_파견수련계획!$I$4:$I$803,$AF167)))</f>
        <v/>
      </c>
      <c r="U167" s="10">
        <f>IF($AF167="","",INDEX(입력_파견수련계획!$X$4:$X$803,$AF167))</f>
        <v/>
      </c>
      <c r="V167" s="17">
        <f>IF($AF167="","",INDEX(입력_파견수련계획!$V$4:$V$803,$AF167))</f>
        <v/>
      </c>
      <c r="W167" s="17">
        <f>IF(AND($U167="파견중",$T167&lt;&gt;""),$T167-TODAY(),"")</f>
        <v/>
      </c>
      <c r="X167" s="17">
        <f>IF(OR($B167="",TRIM($J167&amp;"")=""),"",SUMPRODUCT((입력_파견수련계획!$Q$4:$Q$803=TRIM($J167&amp;""))*입력_파견수련계획!$W$4:$W$803))</f>
        <v/>
      </c>
      <c r="Y167" s="10">
        <f>IF($B167="","",IF($AG167="","",IF(IF(TRIM($J167&amp;"")="",0,SUMPRODUCT((입력_파견수련계획!$Q$4:$Q$803=TRIM($J167&amp;""))*입력_파견수련계획!$AD$4:$AD$803))&gt;0,$AE167,IF(AND(N($X167)&lt;=0,$AQ167=""),$AG167,IF($AH167+$AI167=DAY(EOMONTH(출력_요약!$B$3,0)),IF(AND($AH167&gt;=출력_요약!$E$3,$AI167&lt;출력_요약!$E$3),"서울병원",IF(AND($AI167&gt;=출력_요약!$E$3,$AH167&lt;출력_요약!$E$3),"구리병원","⚠15일 판정불가(서울 "&amp;$AH167&amp;"일/구리 "&amp;$AI167&amp;"일)")),IF($AJ167="",$AE167,IF(INDEX(입력_파견수련계획!$T$4:$T$803,$AJ167)="통합수련",INDEX(입력_파견수련계획!$S$4:$S$803,$AJ167),$AE167)))))))</f>
        <v/>
      </c>
      <c r="Z167" s="20">
        <f>IF($B167="","",IF($AB167="","기본자료에 없는 사번",IF(COUNTIF($B$2:$B$401,$B167)&gt;1,"중복 사번",IF($AE167="","소속(입사장소) 입력",IF(IF(TRIM($J167&amp;"")="",0,SUMPRODUCT((입력_파견수련계획!$Q$4:$Q$803=TRIM($J167&amp;""))*(입력_파견수련계획!$AA$4:$AA$803&lt;&gt;"")))&gt;0,"파견수련계획 입력오류 확인",IF(LEFT($Y167,1)="⚠","서울·구리 15일 판정 불가(양쪽 모두 이상/미만)",IF(IF($AC167="",0,N(INDEX(입력_인턴근무계획!$T$3:$T$402,$AC167)))&gt;0,"인턴계획 입력오류 확인",IF(AND($AQ167&lt;&gt;"",$AG167&lt;&gt;"구리병원",IF(TRIM($J167&amp;"")="",0,SUMPRODUCT((입력_파견수련계획!$Q$4:$Q$803=TRIM($J167&amp;""))*(입력_파견수련계획!$S$4:$S$803="구리병원")*입력_파견수련계획!$W$4:$W$803))=0),"구리 근무자명단에만 있음(파견수련계획 확인)",IF(AND($AC167&lt;&gt;"",$U167&lt;&gt;"파견중",$N167&lt;&gt;$AE167),"인턴 타지역 근무: 파견 여부 확인","정상")))))))))</f>
        <v/>
      </c>
      <c r="AA167" s="5" t="n"/>
      <c r="AB167" s="10">
        <f>IF($B167="","",IFERROR(MATCH($B167,입력_기본자료!$B$2:$B$1001,0),IFERROR(MATCH($B167&amp;"",입력_기본자료!$B$2:$B$1001,0),IFERROR(MATCH(VALUE($B167),입력_기본자료!$B$2:$B$1001,0),""))))</f>
        <v/>
      </c>
      <c r="AC167" s="10">
        <f>IF($B167="","",IFERROR(MATCH($B167,입력_인턴근무계획!$D$3:$D$402,0),IFERROR(MATCH($B167&amp;"",입력_인턴근무계획!$D$3:$D$402,0),IFERROR(MATCH(VALUE($B167),입력_인턴근무계획!$D$3:$D$402,0),""))))</f>
        <v/>
      </c>
      <c r="AD167" s="10">
        <f>IF(OR($AC167="",출력_인턴현황!$G$3=""),"",INDEX(입력_인턴근무계획!$M$3:$R$402,$AC167,출력_인턴현황!$G$3)&amp;"")</f>
        <v/>
      </c>
      <c r="AE167" s="10">
        <f>IF($B167="","",IF($M167&lt;&gt;"",$M167,IF(IF($AQ167="",FALSE,INDEX(출력_구리근무자!$J$6:$J$305,$AQ167)="구리독자"),"구리병원",IF($AF167&lt;&gt;"",IF(LEFT(INDEX(입력_파견수련계획!$R$4:$R$803,$AF167),1)&lt;&gt;"⚠",INDEX(입력_파견수련계획!$R$4:$R$803,$AF167),IF($H167="","",IF(RIGHT($H167,2)="병원",$H167,$H167&amp;"병원"))),IF($H167="","",IF(RIGHT($H167,2)="병원",$H167,$H167&amp;"병원"))))))</f>
        <v/>
      </c>
      <c r="AF167" s="10">
        <f>IF(OR($B167="",TRIM($J167&amp;"")=""),"",IFERROR(MATCH(TRIM($J167&amp;"")&amp;"|파견중",입력_파견수련계획!$Y$4:$Y$803,0),IFERROR(MATCH(TRIM($J167&amp;"")&amp;"|파견예정",입력_파견수련계획!$Y$4:$Y$803,0),IFERROR(MATCH(TRIM($J167&amp;"")&amp;"|파견종료",입력_파견수련계획!$Y$4:$Y$803,0),""))))</f>
        <v/>
      </c>
      <c r="AG167" s="10">
        <f>IF($B167="","",IF(AND(IF(OR($AC167="",출력_인턴현황!$K$2=""),"",INDEX(입력_인턴근무계획!$M$3:$R$402,$AC167,출력_인턴현황!$K$2)&amp;"")&lt;&gt;"",LEFT(IF(OR($AC167="",출력_인턴현황!$K$2=""),"",INDEX(입력_인턴근무계획!$M$3:$R$402,$AC167,출력_인턴현황!$K$2)&amp;""),1)&lt;&gt;"⚠"),LEFT(IF(OR($AC167="",출력_인턴현황!$K$2=""),"",INDEX(입력_인턴근무계획!$M$3:$R$402,$AC167,출력_인턴현황!$K$2)&amp;""),FIND(" ",IF(OR($AC167="",출력_인턴현황!$K$2=""),"",INDEX(입력_인턴근무계획!$M$3:$R$402,$AC167,출력_인턴현황!$K$2)&amp;""))-1),$AE167))</f>
        <v/>
      </c>
      <c r="AH167" s="17">
        <f>IF($B167="","",IF($AQ167&lt;&gt;"",MAX(0,DAY(EOMONTH(출력_요약!$B$3,0))-N($AR167)),IF(TRIM($J167&amp;"")="",0,SUMPRODUCT((입력_파견수련계획!$Q$4:$Q$803=TRIM($J167&amp;""))*(입력_파견수련계획!$S$4:$S$803="서울병원")*입력_파견수련계획!$W$4:$W$803))+IF($AG167="서울병원",MAX(0,DAY(EOMONTH(출력_요약!$B$3,0))-N($X167)),0)))</f>
        <v/>
      </c>
      <c r="AI167" s="17">
        <f>IF($B167="","",IF($AQ167&lt;&gt;"",N($AR167),IF(TRIM($J167&amp;"")="",0,SUMPRODUCT((입력_파견수련계획!$Q$4:$Q$803=TRIM($J167&amp;""))*(입력_파견수련계획!$S$4:$S$803="구리병원")*입력_파견수련계획!$W$4:$W$803))+IF($AG167="구리병원",MAX(0,DAY(EOMONTH(출력_요약!$B$3,0))-N($X167)),0)))</f>
        <v/>
      </c>
      <c r="AJ167" s="10">
        <f>IF(OR($B167="",TRIM($J167&amp;"")=""),"",IFERROR(MATCH(TRIM($J167&amp;"")&amp;"|월",입력_파견수련계획!$Z$4:$Z$803,0),""))</f>
        <v/>
      </c>
      <c r="AK167" s="10">
        <f>IF(OR($B167="",TRIM($J167&amp;"")=""),"",IFERROR(MATCH(TRIM($J167&amp;"")&amp;"|다기관",입력_파견수련계획!$AE$4:$AE$803,0),""))</f>
        <v/>
      </c>
      <c r="AL167" s="10">
        <f>IF($AK167="","","다기관 "&amp;TEXT(INDEX(입력_파견수련계획!$AB$4:$AB$803,$AK167),"yyyy-mm-dd")&amp;"~"&amp;IF(ISNUMBER(INDEX(입력_파견수련계획!$AC$4:$AC$803,$AK167)),TEXT(INDEX(입력_파견수련계획!$AC$4:$AC$803,$AK167),"yyyy-mm-dd"),""))</f>
        <v/>
      </c>
      <c r="AM167" s="10">
        <f>IF($Y167="서울병원",COUNTIF($Y$2:$Y167,"서울병원"),"")</f>
        <v/>
      </c>
      <c r="AN167" s="10">
        <f>IF(LEFT($Y167,1)="⚠",COUNTIF($Y$2:$Y167,"⚠*"),"")</f>
        <v/>
      </c>
      <c r="AO167" s="10">
        <f>IF(OR($B167="",$Y167=""),"",IF(IF(TRIM($J167&amp;"")="",0,SUMPRODUCT((입력_파견수련계획!$Q$4:$Q$803=TRIM($J167&amp;""))*입력_파견수련계획!$AD$4:$AD$803))&gt;0,"다기관 기간 → 소속병원 지급",IF(AND(N($X167)&lt;=0,$AQ167=""),"파견 없음 → 그 달 근무병원 지급",IF($AH167+$AI167=DAY(EOMONTH(출력_요약!$B$3,0)),"서울 "&amp;$AH167&amp;"일 / 구리 "&amp;$AI167&amp;"일"&amp;IF($AQ167&lt;&gt;""," (구리 근무자명단 반영)","")&amp;" → 15일 이상 근무 병원 지급","타 병원 포함 → "&amp;IF($AJ167="","소속",INDEX(입력_파견수련계획!$T$4:$T$803,$AJ167))&amp;" 규칙"))))</f>
        <v/>
      </c>
      <c r="AP167" s="10">
        <f>IF($B167="","",$C167&amp;"|"&amp;$F167)</f>
        <v/>
      </c>
      <c r="AQ167" s="10">
        <f>IF($B167="","",IFERROR(MATCH(ROW()-1,출력_구리근무자!$K$6:$K$305,0),""))</f>
        <v/>
      </c>
      <c r="AR167" s="10">
        <f>IF($AQ167="","",INDEX(출력_구리근무자!$H$6:$H$305,$AQ167))</f>
        <v/>
      </c>
    </row>
    <row r="168">
      <c r="A168" s="10">
        <f>IF(B168="","",ROW()-1)</f>
        <v/>
      </c>
      <c r="B168" s="19" t="n"/>
      <c r="C168" s="10">
        <f>IF($AB168="","",IF(INDEX(입력_기본자료!$C$2:$C$1001,$AB168)="","",INDEX(입력_기본자료!$C$2:$C$1001,$AB168)))</f>
        <v/>
      </c>
      <c r="D168" s="10">
        <f>IF($AB168="","",IF(INDEX(입력_기본자료!$J$2:$J$1001,$AB168)="","",INDEX(입력_기본자료!$J$2:$J$1001,$AB168)))</f>
        <v/>
      </c>
      <c r="E168" s="11">
        <f>IF($AB168="","",IF(INDEX(입력_기본자료!$K$2:$K$1001,$AB168)="","",IF(NOT(ISNUMBER(INDEX(입력_기본자료!$K$2:$K$1001,$AB168))),INDEX(입력_기본자료!$K$2:$K$1001,$AB168),IF(INDEX(입력_기본자료!$K$2:$K$1001,$AB168)&lt;1000000,INDEX(입력_기본자료!$K$2:$K$1001,$AB168),IF(AND(INDEX(입력_기본자료!$K$2:$K$1001,$AB168)&gt;=10000101,INT(MOD(INDEX(입력_기본자료!$K$2:$K$1001,$AB168),10000)/100)&gt;=1,INT(MOD(INDEX(입력_기본자료!$K$2:$K$1001,$AB168),10000)/100)&lt;=12,MOD(INDEX(입력_기본자료!$K$2:$K$1001,$AB168),100)&gt;=1,MOD(INDEX(입력_기본자료!$K$2:$K$1001,$AB168),100)&lt;=31),DATE(INT(INDEX(입력_기본자료!$K$2:$K$1001,$AB168)/10000),INT(MOD(INDEX(입력_기본자료!$K$2:$K$1001,$AB168),10000)/100),MOD(INDEX(입력_기본자료!$K$2:$K$1001,$AB168),100)),INDEX(입력_기본자료!$K$2:$K$1001,$AB168)&amp;"")))))</f>
        <v/>
      </c>
      <c r="F168" s="10">
        <f>IF($AB168="","",IF(INDEX(입력_기본자료!$D$2:$D$1001,$AB168)="","",INDEX(입력_기본자료!$D$2:$D$1001,$AB168)))</f>
        <v/>
      </c>
      <c r="G168" s="10">
        <f>IF($AB168="","",IF(INDEX(입력_기본자료!$E$2:$E$1001,$AB168)="","",INDEX(입력_기본자료!$E$2:$E$1001,$AB168)))</f>
        <v/>
      </c>
      <c r="H168" s="10">
        <f>IF($AB168="","",IF(INDEX(입력_기본자료!$F$2:$F$1001,$AB168)="","",INDEX(입력_기본자료!$F$2:$F$1001,$AB168)))</f>
        <v/>
      </c>
      <c r="I168" s="11">
        <f>IF($AB168="","",IF(INDEX(입력_기본자료!$G$2:$G$1001,$AB168)="","",IF(NOT(ISNUMBER(INDEX(입력_기본자료!$G$2:$G$1001,$AB168))),INDEX(입력_기본자료!$G$2:$G$1001,$AB168),IF(INDEX(입력_기본자료!$G$2:$G$1001,$AB168)&lt;1000000,INDEX(입력_기본자료!$G$2:$G$1001,$AB168),IF(AND(INDEX(입력_기본자료!$G$2:$G$1001,$AB168)&gt;=10000101,INT(MOD(INDEX(입력_기본자료!$G$2:$G$1001,$AB168),10000)/100)&gt;=1,INT(MOD(INDEX(입력_기본자료!$G$2:$G$1001,$AB168),10000)/100)&lt;=12,MOD(INDEX(입력_기본자료!$G$2:$G$1001,$AB168),100)&gt;=1,MOD(INDEX(입력_기본자료!$G$2:$G$1001,$AB168),100)&lt;=31),DATE(INT(INDEX(입력_기본자료!$G$2:$G$1001,$AB168)/10000),INT(MOD(INDEX(입력_기본자료!$G$2:$G$1001,$AB168),10000)/100),MOD(INDEX(입력_기본자료!$G$2:$G$1001,$AB168),100)),INDEX(입력_기본자료!$G$2:$G$1001,$AB168)&amp;"")))))</f>
        <v/>
      </c>
      <c r="J168" s="10">
        <f>IF($AB168="","",IF(INDEX(입력_기본자료!$H$2:$H$1001,$AB168)="","",INDEX(입력_기본자료!$H$2:$H$1001,$AB168)))</f>
        <v/>
      </c>
      <c r="K168" s="10">
        <f>IF($AB168="","",IF(INDEX(입력_기본자료!$I$2:$I$1001,$AB168)="","",INDEX(입력_기본자료!$I$2:$I$1001,$AB168)))</f>
        <v/>
      </c>
      <c r="L168" s="10">
        <f>IF($AB168="","",IF(INDEX(입력_기본자료!$A$2:$A$1001,$AB168)="","",INDEX(입력_기본자료!$A$2:$A$1001,$AB168)))</f>
        <v/>
      </c>
      <c r="M168" s="15" t="n"/>
      <c r="N168" s="10">
        <f>IF($B168="","",IF(AND($U168="파견중",$Q168&lt;&gt;""),$Q168,IF(AND($AD168&lt;&gt;"",LEFT($AD168,1)&lt;&gt;"⚠"),LEFT($AD168,FIND(" ",$AD168)-1),IF($H168="","",IF(RIGHT($H168,2)="병원",$H168,$H168&amp;"병원")))))</f>
        <v/>
      </c>
      <c r="O168" s="10">
        <f>IF($B168="","",IF(AND($U168="파견중",$Q168&lt;&gt;""),IF($R168&lt;&gt;"",$R168,"파견과 미입력"),IF(AND($AD168&lt;&gt;"",LEFT($AD168,1)&lt;&gt;"⚠"),MID($AD168,FIND(" ",$AD168)+1,60),IF($F168="","",IF($F168="인턴","수련교육부(인턴)",$F168)))))</f>
        <v/>
      </c>
      <c r="P168" s="10">
        <f>IF($B168="","",IF($AK168&lt;&gt;"",IF(AND(TODAY()&gt;=INDEX(입력_파견수련계획!$AB$4:$AB$803,$AK168),OR(NOT(ISNUMBER(INDEX(입력_파견수련계획!$AC$4:$AC$803,$AK168))),TODAY()&lt;=INDEX(입력_파견수련계획!$AC$4:$AC$803,$AK168))),"다기관",IF($AF168="","",INDEX(입력_파견수련계획!$T$4:$T$803,$AF168))),IF($AF168="","",INDEX(입력_파견수련계획!$T$4:$T$803,$AF168))))</f>
        <v/>
      </c>
      <c r="Q168" s="10">
        <f>IF($AF168="","",INDEX(입력_파견수련계획!$S$4:$S$803,$AF168))</f>
        <v/>
      </c>
      <c r="R168" s="10">
        <f>IF($AF168="","",INDEX(입력_파견수련계획!$U$4:$U$803,$AF168))</f>
        <v/>
      </c>
      <c r="S168" s="11">
        <f>IF($AF168="","",IF(INDEX(입력_파견수련계획!$H$4:$H$803,$AF168)="","",INDEX(입력_파견수련계획!$H$4:$H$803,$AF168)))</f>
        <v/>
      </c>
      <c r="T168" s="11">
        <f>IF($AF168="","",IF(INDEX(입력_파견수련계획!$I$4:$I$803,$AF168)="","",INDEX(입력_파견수련계획!$I$4:$I$803,$AF168)))</f>
        <v/>
      </c>
      <c r="U168" s="10">
        <f>IF($AF168="","",INDEX(입력_파견수련계획!$X$4:$X$803,$AF168))</f>
        <v/>
      </c>
      <c r="V168" s="17">
        <f>IF($AF168="","",INDEX(입력_파견수련계획!$V$4:$V$803,$AF168))</f>
        <v/>
      </c>
      <c r="W168" s="17">
        <f>IF(AND($U168="파견중",$T168&lt;&gt;""),$T168-TODAY(),"")</f>
        <v/>
      </c>
      <c r="X168" s="17">
        <f>IF(OR($B168="",TRIM($J168&amp;"")=""),"",SUMPRODUCT((입력_파견수련계획!$Q$4:$Q$803=TRIM($J168&amp;""))*입력_파견수련계획!$W$4:$W$803))</f>
        <v/>
      </c>
      <c r="Y168" s="10">
        <f>IF($B168="","",IF($AG168="","",IF(IF(TRIM($J168&amp;"")="",0,SUMPRODUCT((입력_파견수련계획!$Q$4:$Q$803=TRIM($J168&amp;""))*입력_파견수련계획!$AD$4:$AD$803))&gt;0,$AE168,IF(AND(N($X168)&lt;=0,$AQ168=""),$AG168,IF($AH168+$AI168=DAY(EOMONTH(출력_요약!$B$3,0)),IF(AND($AH168&gt;=출력_요약!$E$3,$AI168&lt;출력_요약!$E$3),"서울병원",IF(AND($AI168&gt;=출력_요약!$E$3,$AH168&lt;출력_요약!$E$3),"구리병원","⚠15일 판정불가(서울 "&amp;$AH168&amp;"일/구리 "&amp;$AI168&amp;"일)")),IF($AJ168="",$AE168,IF(INDEX(입력_파견수련계획!$T$4:$T$803,$AJ168)="통합수련",INDEX(입력_파견수련계획!$S$4:$S$803,$AJ168),$AE168)))))))</f>
        <v/>
      </c>
      <c r="Z168" s="20">
        <f>IF($B168="","",IF($AB168="","기본자료에 없는 사번",IF(COUNTIF($B$2:$B$401,$B168)&gt;1,"중복 사번",IF($AE168="","소속(입사장소) 입력",IF(IF(TRIM($J168&amp;"")="",0,SUMPRODUCT((입력_파견수련계획!$Q$4:$Q$803=TRIM($J168&amp;""))*(입력_파견수련계획!$AA$4:$AA$803&lt;&gt;"")))&gt;0,"파견수련계획 입력오류 확인",IF(LEFT($Y168,1)="⚠","서울·구리 15일 판정 불가(양쪽 모두 이상/미만)",IF(IF($AC168="",0,N(INDEX(입력_인턴근무계획!$T$3:$T$402,$AC168)))&gt;0,"인턴계획 입력오류 확인",IF(AND($AQ168&lt;&gt;"",$AG168&lt;&gt;"구리병원",IF(TRIM($J168&amp;"")="",0,SUMPRODUCT((입력_파견수련계획!$Q$4:$Q$803=TRIM($J168&amp;""))*(입력_파견수련계획!$S$4:$S$803="구리병원")*입력_파견수련계획!$W$4:$W$803))=0),"구리 근무자명단에만 있음(파견수련계획 확인)",IF(AND($AC168&lt;&gt;"",$U168&lt;&gt;"파견중",$N168&lt;&gt;$AE168),"인턴 타지역 근무: 파견 여부 확인","정상")))))))))</f>
        <v/>
      </c>
      <c r="AA168" s="5" t="n"/>
      <c r="AB168" s="10">
        <f>IF($B168="","",IFERROR(MATCH($B168,입력_기본자료!$B$2:$B$1001,0),IFERROR(MATCH($B168&amp;"",입력_기본자료!$B$2:$B$1001,0),IFERROR(MATCH(VALUE($B168),입력_기본자료!$B$2:$B$1001,0),""))))</f>
        <v/>
      </c>
      <c r="AC168" s="10">
        <f>IF($B168="","",IFERROR(MATCH($B168,입력_인턴근무계획!$D$3:$D$402,0),IFERROR(MATCH($B168&amp;"",입력_인턴근무계획!$D$3:$D$402,0),IFERROR(MATCH(VALUE($B168),입력_인턴근무계획!$D$3:$D$402,0),""))))</f>
        <v/>
      </c>
      <c r="AD168" s="10">
        <f>IF(OR($AC168="",출력_인턴현황!$G$3=""),"",INDEX(입력_인턴근무계획!$M$3:$R$402,$AC168,출력_인턴현황!$G$3)&amp;"")</f>
        <v/>
      </c>
      <c r="AE168" s="10">
        <f>IF($B168="","",IF($M168&lt;&gt;"",$M168,IF(IF($AQ168="",FALSE,INDEX(출력_구리근무자!$J$6:$J$305,$AQ168)="구리독자"),"구리병원",IF($AF168&lt;&gt;"",IF(LEFT(INDEX(입력_파견수련계획!$R$4:$R$803,$AF168),1)&lt;&gt;"⚠",INDEX(입력_파견수련계획!$R$4:$R$803,$AF168),IF($H168="","",IF(RIGHT($H168,2)="병원",$H168,$H168&amp;"병원"))),IF($H168="","",IF(RIGHT($H168,2)="병원",$H168,$H168&amp;"병원"))))))</f>
        <v/>
      </c>
      <c r="AF168" s="10">
        <f>IF(OR($B168="",TRIM($J168&amp;"")=""),"",IFERROR(MATCH(TRIM($J168&amp;"")&amp;"|파견중",입력_파견수련계획!$Y$4:$Y$803,0),IFERROR(MATCH(TRIM($J168&amp;"")&amp;"|파견예정",입력_파견수련계획!$Y$4:$Y$803,0),IFERROR(MATCH(TRIM($J168&amp;"")&amp;"|파견종료",입력_파견수련계획!$Y$4:$Y$803,0),""))))</f>
        <v/>
      </c>
      <c r="AG168" s="10">
        <f>IF($B168="","",IF(AND(IF(OR($AC168="",출력_인턴현황!$K$2=""),"",INDEX(입력_인턴근무계획!$M$3:$R$402,$AC168,출력_인턴현황!$K$2)&amp;"")&lt;&gt;"",LEFT(IF(OR($AC168="",출력_인턴현황!$K$2=""),"",INDEX(입력_인턴근무계획!$M$3:$R$402,$AC168,출력_인턴현황!$K$2)&amp;""),1)&lt;&gt;"⚠"),LEFT(IF(OR($AC168="",출력_인턴현황!$K$2=""),"",INDEX(입력_인턴근무계획!$M$3:$R$402,$AC168,출력_인턴현황!$K$2)&amp;""),FIND(" ",IF(OR($AC168="",출력_인턴현황!$K$2=""),"",INDEX(입력_인턴근무계획!$M$3:$R$402,$AC168,출력_인턴현황!$K$2)&amp;""))-1),$AE168))</f>
        <v/>
      </c>
      <c r="AH168" s="17">
        <f>IF($B168="","",IF($AQ168&lt;&gt;"",MAX(0,DAY(EOMONTH(출력_요약!$B$3,0))-N($AR168)),IF(TRIM($J168&amp;"")="",0,SUMPRODUCT((입력_파견수련계획!$Q$4:$Q$803=TRIM($J168&amp;""))*(입력_파견수련계획!$S$4:$S$803="서울병원")*입력_파견수련계획!$W$4:$W$803))+IF($AG168="서울병원",MAX(0,DAY(EOMONTH(출력_요약!$B$3,0))-N($X168)),0)))</f>
        <v/>
      </c>
      <c r="AI168" s="17">
        <f>IF($B168="","",IF($AQ168&lt;&gt;"",N($AR168),IF(TRIM($J168&amp;"")="",0,SUMPRODUCT((입력_파견수련계획!$Q$4:$Q$803=TRIM($J168&amp;""))*(입력_파견수련계획!$S$4:$S$803="구리병원")*입력_파견수련계획!$W$4:$W$803))+IF($AG168="구리병원",MAX(0,DAY(EOMONTH(출력_요약!$B$3,0))-N($X168)),0)))</f>
        <v/>
      </c>
      <c r="AJ168" s="10">
        <f>IF(OR($B168="",TRIM($J168&amp;"")=""),"",IFERROR(MATCH(TRIM($J168&amp;"")&amp;"|월",입력_파견수련계획!$Z$4:$Z$803,0),""))</f>
        <v/>
      </c>
      <c r="AK168" s="10">
        <f>IF(OR($B168="",TRIM($J168&amp;"")=""),"",IFERROR(MATCH(TRIM($J168&amp;"")&amp;"|다기관",입력_파견수련계획!$AE$4:$AE$803,0),""))</f>
        <v/>
      </c>
      <c r="AL168" s="10">
        <f>IF($AK168="","","다기관 "&amp;TEXT(INDEX(입력_파견수련계획!$AB$4:$AB$803,$AK168),"yyyy-mm-dd")&amp;"~"&amp;IF(ISNUMBER(INDEX(입력_파견수련계획!$AC$4:$AC$803,$AK168)),TEXT(INDEX(입력_파견수련계획!$AC$4:$AC$803,$AK168),"yyyy-mm-dd"),""))</f>
        <v/>
      </c>
      <c r="AM168" s="10">
        <f>IF($Y168="서울병원",COUNTIF($Y$2:$Y168,"서울병원"),"")</f>
        <v/>
      </c>
      <c r="AN168" s="10">
        <f>IF(LEFT($Y168,1)="⚠",COUNTIF($Y$2:$Y168,"⚠*"),"")</f>
        <v/>
      </c>
      <c r="AO168" s="10">
        <f>IF(OR($B168="",$Y168=""),"",IF(IF(TRIM($J168&amp;"")="",0,SUMPRODUCT((입력_파견수련계획!$Q$4:$Q$803=TRIM($J168&amp;""))*입력_파견수련계획!$AD$4:$AD$803))&gt;0,"다기관 기간 → 소속병원 지급",IF(AND(N($X168)&lt;=0,$AQ168=""),"파견 없음 → 그 달 근무병원 지급",IF($AH168+$AI168=DAY(EOMONTH(출력_요약!$B$3,0)),"서울 "&amp;$AH168&amp;"일 / 구리 "&amp;$AI168&amp;"일"&amp;IF($AQ168&lt;&gt;""," (구리 근무자명단 반영)","")&amp;" → 15일 이상 근무 병원 지급","타 병원 포함 → "&amp;IF($AJ168="","소속",INDEX(입력_파견수련계획!$T$4:$T$803,$AJ168))&amp;" 규칙"))))</f>
        <v/>
      </c>
      <c r="AP168" s="10">
        <f>IF($B168="","",$C168&amp;"|"&amp;$F168)</f>
        <v/>
      </c>
      <c r="AQ168" s="10">
        <f>IF($B168="","",IFERROR(MATCH(ROW()-1,출력_구리근무자!$K$6:$K$305,0),""))</f>
        <v/>
      </c>
      <c r="AR168" s="10">
        <f>IF($AQ168="","",INDEX(출력_구리근무자!$H$6:$H$305,$AQ168))</f>
        <v/>
      </c>
    </row>
    <row r="169">
      <c r="A169" s="10">
        <f>IF(B169="","",ROW()-1)</f>
        <v/>
      </c>
      <c r="B169" s="19" t="n"/>
      <c r="C169" s="10">
        <f>IF($AB169="","",IF(INDEX(입력_기본자료!$C$2:$C$1001,$AB169)="","",INDEX(입력_기본자료!$C$2:$C$1001,$AB169)))</f>
        <v/>
      </c>
      <c r="D169" s="10">
        <f>IF($AB169="","",IF(INDEX(입력_기본자료!$J$2:$J$1001,$AB169)="","",INDEX(입력_기본자료!$J$2:$J$1001,$AB169)))</f>
        <v/>
      </c>
      <c r="E169" s="11">
        <f>IF($AB169="","",IF(INDEX(입력_기본자료!$K$2:$K$1001,$AB169)="","",IF(NOT(ISNUMBER(INDEX(입력_기본자료!$K$2:$K$1001,$AB169))),INDEX(입력_기본자료!$K$2:$K$1001,$AB169),IF(INDEX(입력_기본자료!$K$2:$K$1001,$AB169)&lt;1000000,INDEX(입력_기본자료!$K$2:$K$1001,$AB169),IF(AND(INDEX(입력_기본자료!$K$2:$K$1001,$AB169)&gt;=10000101,INT(MOD(INDEX(입력_기본자료!$K$2:$K$1001,$AB169),10000)/100)&gt;=1,INT(MOD(INDEX(입력_기본자료!$K$2:$K$1001,$AB169),10000)/100)&lt;=12,MOD(INDEX(입력_기본자료!$K$2:$K$1001,$AB169),100)&gt;=1,MOD(INDEX(입력_기본자료!$K$2:$K$1001,$AB169),100)&lt;=31),DATE(INT(INDEX(입력_기본자료!$K$2:$K$1001,$AB169)/10000),INT(MOD(INDEX(입력_기본자료!$K$2:$K$1001,$AB169),10000)/100),MOD(INDEX(입력_기본자료!$K$2:$K$1001,$AB169),100)),INDEX(입력_기본자료!$K$2:$K$1001,$AB169)&amp;"")))))</f>
        <v/>
      </c>
      <c r="F169" s="10">
        <f>IF($AB169="","",IF(INDEX(입력_기본자료!$D$2:$D$1001,$AB169)="","",INDEX(입력_기본자료!$D$2:$D$1001,$AB169)))</f>
        <v/>
      </c>
      <c r="G169" s="10">
        <f>IF($AB169="","",IF(INDEX(입력_기본자료!$E$2:$E$1001,$AB169)="","",INDEX(입력_기본자료!$E$2:$E$1001,$AB169)))</f>
        <v/>
      </c>
      <c r="H169" s="10">
        <f>IF($AB169="","",IF(INDEX(입력_기본자료!$F$2:$F$1001,$AB169)="","",INDEX(입력_기본자료!$F$2:$F$1001,$AB169)))</f>
        <v/>
      </c>
      <c r="I169" s="11">
        <f>IF($AB169="","",IF(INDEX(입력_기본자료!$G$2:$G$1001,$AB169)="","",IF(NOT(ISNUMBER(INDEX(입력_기본자료!$G$2:$G$1001,$AB169))),INDEX(입력_기본자료!$G$2:$G$1001,$AB169),IF(INDEX(입력_기본자료!$G$2:$G$1001,$AB169)&lt;1000000,INDEX(입력_기본자료!$G$2:$G$1001,$AB169),IF(AND(INDEX(입력_기본자료!$G$2:$G$1001,$AB169)&gt;=10000101,INT(MOD(INDEX(입력_기본자료!$G$2:$G$1001,$AB169),10000)/100)&gt;=1,INT(MOD(INDEX(입력_기본자료!$G$2:$G$1001,$AB169),10000)/100)&lt;=12,MOD(INDEX(입력_기본자료!$G$2:$G$1001,$AB169),100)&gt;=1,MOD(INDEX(입력_기본자료!$G$2:$G$1001,$AB169),100)&lt;=31),DATE(INT(INDEX(입력_기본자료!$G$2:$G$1001,$AB169)/10000),INT(MOD(INDEX(입력_기본자료!$G$2:$G$1001,$AB169),10000)/100),MOD(INDEX(입력_기본자료!$G$2:$G$1001,$AB169),100)),INDEX(입력_기본자료!$G$2:$G$1001,$AB169)&amp;"")))))</f>
        <v/>
      </c>
      <c r="J169" s="10">
        <f>IF($AB169="","",IF(INDEX(입력_기본자료!$H$2:$H$1001,$AB169)="","",INDEX(입력_기본자료!$H$2:$H$1001,$AB169)))</f>
        <v/>
      </c>
      <c r="K169" s="10">
        <f>IF($AB169="","",IF(INDEX(입력_기본자료!$I$2:$I$1001,$AB169)="","",INDEX(입력_기본자료!$I$2:$I$1001,$AB169)))</f>
        <v/>
      </c>
      <c r="L169" s="10">
        <f>IF($AB169="","",IF(INDEX(입력_기본자료!$A$2:$A$1001,$AB169)="","",INDEX(입력_기본자료!$A$2:$A$1001,$AB169)))</f>
        <v/>
      </c>
      <c r="M169" s="15" t="n"/>
      <c r="N169" s="10">
        <f>IF($B169="","",IF(AND($U169="파견중",$Q169&lt;&gt;""),$Q169,IF(AND($AD169&lt;&gt;"",LEFT($AD169,1)&lt;&gt;"⚠"),LEFT($AD169,FIND(" ",$AD169)-1),IF($H169="","",IF(RIGHT($H169,2)="병원",$H169,$H169&amp;"병원")))))</f>
        <v/>
      </c>
      <c r="O169" s="10">
        <f>IF($B169="","",IF(AND($U169="파견중",$Q169&lt;&gt;""),IF($R169&lt;&gt;"",$R169,"파견과 미입력"),IF(AND($AD169&lt;&gt;"",LEFT($AD169,1)&lt;&gt;"⚠"),MID($AD169,FIND(" ",$AD169)+1,60),IF($F169="","",IF($F169="인턴","수련교육부(인턴)",$F169)))))</f>
        <v/>
      </c>
      <c r="P169" s="10">
        <f>IF($B169="","",IF($AK169&lt;&gt;"",IF(AND(TODAY()&gt;=INDEX(입력_파견수련계획!$AB$4:$AB$803,$AK169),OR(NOT(ISNUMBER(INDEX(입력_파견수련계획!$AC$4:$AC$803,$AK169))),TODAY()&lt;=INDEX(입력_파견수련계획!$AC$4:$AC$803,$AK169))),"다기관",IF($AF169="","",INDEX(입력_파견수련계획!$T$4:$T$803,$AF169))),IF($AF169="","",INDEX(입력_파견수련계획!$T$4:$T$803,$AF169))))</f>
        <v/>
      </c>
      <c r="Q169" s="10">
        <f>IF($AF169="","",INDEX(입력_파견수련계획!$S$4:$S$803,$AF169))</f>
        <v/>
      </c>
      <c r="R169" s="10">
        <f>IF($AF169="","",INDEX(입력_파견수련계획!$U$4:$U$803,$AF169))</f>
        <v/>
      </c>
      <c r="S169" s="11">
        <f>IF($AF169="","",IF(INDEX(입력_파견수련계획!$H$4:$H$803,$AF169)="","",INDEX(입력_파견수련계획!$H$4:$H$803,$AF169)))</f>
        <v/>
      </c>
      <c r="T169" s="11">
        <f>IF($AF169="","",IF(INDEX(입력_파견수련계획!$I$4:$I$803,$AF169)="","",INDEX(입력_파견수련계획!$I$4:$I$803,$AF169)))</f>
        <v/>
      </c>
      <c r="U169" s="10">
        <f>IF($AF169="","",INDEX(입력_파견수련계획!$X$4:$X$803,$AF169))</f>
        <v/>
      </c>
      <c r="V169" s="17">
        <f>IF($AF169="","",INDEX(입력_파견수련계획!$V$4:$V$803,$AF169))</f>
        <v/>
      </c>
      <c r="W169" s="17">
        <f>IF(AND($U169="파견중",$T169&lt;&gt;""),$T169-TODAY(),"")</f>
        <v/>
      </c>
      <c r="X169" s="17">
        <f>IF(OR($B169="",TRIM($J169&amp;"")=""),"",SUMPRODUCT((입력_파견수련계획!$Q$4:$Q$803=TRIM($J169&amp;""))*입력_파견수련계획!$W$4:$W$803))</f>
        <v/>
      </c>
      <c r="Y169" s="10">
        <f>IF($B169="","",IF($AG169="","",IF(IF(TRIM($J169&amp;"")="",0,SUMPRODUCT((입력_파견수련계획!$Q$4:$Q$803=TRIM($J169&amp;""))*입력_파견수련계획!$AD$4:$AD$803))&gt;0,$AE169,IF(AND(N($X169)&lt;=0,$AQ169=""),$AG169,IF($AH169+$AI169=DAY(EOMONTH(출력_요약!$B$3,0)),IF(AND($AH169&gt;=출력_요약!$E$3,$AI169&lt;출력_요약!$E$3),"서울병원",IF(AND($AI169&gt;=출력_요약!$E$3,$AH169&lt;출력_요약!$E$3),"구리병원","⚠15일 판정불가(서울 "&amp;$AH169&amp;"일/구리 "&amp;$AI169&amp;"일)")),IF($AJ169="",$AE169,IF(INDEX(입력_파견수련계획!$T$4:$T$803,$AJ169)="통합수련",INDEX(입력_파견수련계획!$S$4:$S$803,$AJ169),$AE169)))))))</f>
        <v/>
      </c>
      <c r="Z169" s="20">
        <f>IF($B169="","",IF($AB169="","기본자료에 없는 사번",IF(COUNTIF($B$2:$B$401,$B169)&gt;1,"중복 사번",IF($AE169="","소속(입사장소) 입력",IF(IF(TRIM($J169&amp;"")="",0,SUMPRODUCT((입력_파견수련계획!$Q$4:$Q$803=TRIM($J169&amp;""))*(입력_파견수련계획!$AA$4:$AA$803&lt;&gt;"")))&gt;0,"파견수련계획 입력오류 확인",IF(LEFT($Y169,1)="⚠","서울·구리 15일 판정 불가(양쪽 모두 이상/미만)",IF(IF($AC169="",0,N(INDEX(입력_인턴근무계획!$T$3:$T$402,$AC169)))&gt;0,"인턴계획 입력오류 확인",IF(AND($AQ169&lt;&gt;"",$AG169&lt;&gt;"구리병원",IF(TRIM($J169&amp;"")="",0,SUMPRODUCT((입력_파견수련계획!$Q$4:$Q$803=TRIM($J169&amp;""))*(입력_파견수련계획!$S$4:$S$803="구리병원")*입력_파견수련계획!$W$4:$W$803))=0),"구리 근무자명단에만 있음(파견수련계획 확인)",IF(AND($AC169&lt;&gt;"",$U169&lt;&gt;"파견중",$N169&lt;&gt;$AE169),"인턴 타지역 근무: 파견 여부 확인","정상")))))))))</f>
        <v/>
      </c>
      <c r="AA169" s="5" t="n"/>
      <c r="AB169" s="10">
        <f>IF($B169="","",IFERROR(MATCH($B169,입력_기본자료!$B$2:$B$1001,0),IFERROR(MATCH($B169&amp;"",입력_기본자료!$B$2:$B$1001,0),IFERROR(MATCH(VALUE($B169),입력_기본자료!$B$2:$B$1001,0),""))))</f>
        <v/>
      </c>
      <c r="AC169" s="10">
        <f>IF($B169="","",IFERROR(MATCH($B169,입력_인턴근무계획!$D$3:$D$402,0),IFERROR(MATCH($B169&amp;"",입력_인턴근무계획!$D$3:$D$402,0),IFERROR(MATCH(VALUE($B169),입력_인턴근무계획!$D$3:$D$402,0),""))))</f>
        <v/>
      </c>
      <c r="AD169" s="10">
        <f>IF(OR($AC169="",출력_인턴현황!$G$3=""),"",INDEX(입력_인턴근무계획!$M$3:$R$402,$AC169,출력_인턴현황!$G$3)&amp;"")</f>
        <v/>
      </c>
      <c r="AE169" s="10">
        <f>IF($B169="","",IF($M169&lt;&gt;"",$M169,IF(IF($AQ169="",FALSE,INDEX(출력_구리근무자!$J$6:$J$305,$AQ169)="구리독자"),"구리병원",IF($AF169&lt;&gt;"",IF(LEFT(INDEX(입력_파견수련계획!$R$4:$R$803,$AF169),1)&lt;&gt;"⚠",INDEX(입력_파견수련계획!$R$4:$R$803,$AF169),IF($H169="","",IF(RIGHT($H169,2)="병원",$H169,$H169&amp;"병원"))),IF($H169="","",IF(RIGHT($H169,2)="병원",$H169,$H169&amp;"병원"))))))</f>
        <v/>
      </c>
      <c r="AF169" s="10">
        <f>IF(OR($B169="",TRIM($J169&amp;"")=""),"",IFERROR(MATCH(TRIM($J169&amp;"")&amp;"|파견중",입력_파견수련계획!$Y$4:$Y$803,0),IFERROR(MATCH(TRIM($J169&amp;"")&amp;"|파견예정",입력_파견수련계획!$Y$4:$Y$803,0),IFERROR(MATCH(TRIM($J169&amp;"")&amp;"|파견종료",입력_파견수련계획!$Y$4:$Y$803,0),""))))</f>
        <v/>
      </c>
      <c r="AG169" s="10">
        <f>IF($B169="","",IF(AND(IF(OR($AC169="",출력_인턴현황!$K$2=""),"",INDEX(입력_인턴근무계획!$M$3:$R$402,$AC169,출력_인턴현황!$K$2)&amp;"")&lt;&gt;"",LEFT(IF(OR($AC169="",출력_인턴현황!$K$2=""),"",INDEX(입력_인턴근무계획!$M$3:$R$402,$AC169,출력_인턴현황!$K$2)&amp;""),1)&lt;&gt;"⚠"),LEFT(IF(OR($AC169="",출력_인턴현황!$K$2=""),"",INDEX(입력_인턴근무계획!$M$3:$R$402,$AC169,출력_인턴현황!$K$2)&amp;""),FIND(" ",IF(OR($AC169="",출력_인턴현황!$K$2=""),"",INDEX(입력_인턴근무계획!$M$3:$R$402,$AC169,출력_인턴현황!$K$2)&amp;""))-1),$AE169))</f>
        <v/>
      </c>
      <c r="AH169" s="17">
        <f>IF($B169="","",IF($AQ169&lt;&gt;"",MAX(0,DAY(EOMONTH(출력_요약!$B$3,0))-N($AR169)),IF(TRIM($J169&amp;"")="",0,SUMPRODUCT((입력_파견수련계획!$Q$4:$Q$803=TRIM($J169&amp;""))*(입력_파견수련계획!$S$4:$S$803="서울병원")*입력_파견수련계획!$W$4:$W$803))+IF($AG169="서울병원",MAX(0,DAY(EOMONTH(출력_요약!$B$3,0))-N($X169)),0)))</f>
        <v/>
      </c>
      <c r="AI169" s="17">
        <f>IF($B169="","",IF($AQ169&lt;&gt;"",N($AR169),IF(TRIM($J169&amp;"")="",0,SUMPRODUCT((입력_파견수련계획!$Q$4:$Q$803=TRIM($J169&amp;""))*(입력_파견수련계획!$S$4:$S$803="구리병원")*입력_파견수련계획!$W$4:$W$803))+IF($AG169="구리병원",MAX(0,DAY(EOMONTH(출력_요약!$B$3,0))-N($X169)),0)))</f>
        <v/>
      </c>
      <c r="AJ169" s="10">
        <f>IF(OR($B169="",TRIM($J169&amp;"")=""),"",IFERROR(MATCH(TRIM($J169&amp;"")&amp;"|월",입력_파견수련계획!$Z$4:$Z$803,0),""))</f>
        <v/>
      </c>
      <c r="AK169" s="10">
        <f>IF(OR($B169="",TRIM($J169&amp;"")=""),"",IFERROR(MATCH(TRIM($J169&amp;"")&amp;"|다기관",입력_파견수련계획!$AE$4:$AE$803,0),""))</f>
        <v/>
      </c>
      <c r="AL169" s="10">
        <f>IF($AK169="","","다기관 "&amp;TEXT(INDEX(입력_파견수련계획!$AB$4:$AB$803,$AK169),"yyyy-mm-dd")&amp;"~"&amp;IF(ISNUMBER(INDEX(입력_파견수련계획!$AC$4:$AC$803,$AK169)),TEXT(INDEX(입력_파견수련계획!$AC$4:$AC$803,$AK169),"yyyy-mm-dd"),""))</f>
        <v/>
      </c>
      <c r="AM169" s="10">
        <f>IF($Y169="서울병원",COUNTIF($Y$2:$Y169,"서울병원"),"")</f>
        <v/>
      </c>
      <c r="AN169" s="10">
        <f>IF(LEFT($Y169,1)="⚠",COUNTIF($Y$2:$Y169,"⚠*"),"")</f>
        <v/>
      </c>
      <c r="AO169" s="10">
        <f>IF(OR($B169="",$Y169=""),"",IF(IF(TRIM($J169&amp;"")="",0,SUMPRODUCT((입력_파견수련계획!$Q$4:$Q$803=TRIM($J169&amp;""))*입력_파견수련계획!$AD$4:$AD$803))&gt;0,"다기관 기간 → 소속병원 지급",IF(AND(N($X169)&lt;=0,$AQ169=""),"파견 없음 → 그 달 근무병원 지급",IF($AH169+$AI169=DAY(EOMONTH(출력_요약!$B$3,0)),"서울 "&amp;$AH169&amp;"일 / 구리 "&amp;$AI169&amp;"일"&amp;IF($AQ169&lt;&gt;""," (구리 근무자명단 반영)","")&amp;" → 15일 이상 근무 병원 지급","타 병원 포함 → "&amp;IF($AJ169="","소속",INDEX(입력_파견수련계획!$T$4:$T$803,$AJ169))&amp;" 규칙"))))</f>
        <v/>
      </c>
      <c r="AP169" s="10">
        <f>IF($B169="","",$C169&amp;"|"&amp;$F169)</f>
        <v/>
      </c>
      <c r="AQ169" s="10">
        <f>IF($B169="","",IFERROR(MATCH(ROW()-1,출력_구리근무자!$K$6:$K$305,0),""))</f>
        <v/>
      </c>
      <c r="AR169" s="10">
        <f>IF($AQ169="","",INDEX(출력_구리근무자!$H$6:$H$305,$AQ169))</f>
        <v/>
      </c>
    </row>
    <row r="170">
      <c r="A170" s="10">
        <f>IF(B170="","",ROW()-1)</f>
        <v/>
      </c>
      <c r="B170" s="19" t="n"/>
      <c r="C170" s="10">
        <f>IF($AB170="","",IF(INDEX(입력_기본자료!$C$2:$C$1001,$AB170)="","",INDEX(입력_기본자료!$C$2:$C$1001,$AB170)))</f>
        <v/>
      </c>
      <c r="D170" s="10">
        <f>IF($AB170="","",IF(INDEX(입력_기본자료!$J$2:$J$1001,$AB170)="","",INDEX(입력_기본자료!$J$2:$J$1001,$AB170)))</f>
        <v/>
      </c>
      <c r="E170" s="11">
        <f>IF($AB170="","",IF(INDEX(입력_기본자료!$K$2:$K$1001,$AB170)="","",IF(NOT(ISNUMBER(INDEX(입력_기본자료!$K$2:$K$1001,$AB170))),INDEX(입력_기본자료!$K$2:$K$1001,$AB170),IF(INDEX(입력_기본자료!$K$2:$K$1001,$AB170)&lt;1000000,INDEX(입력_기본자료!$K$2:$K$1001,$AB170),IF(AND(INDEX(입력_기본자료!$K$2:$K$1001,$AB170)&gt;=10000101,INT(MOD(INDEX(입력_기본자료!$K$2:$K$1001,$AB170),10000)/100)&gt;=1,INT(MOD(INDEX(입력_기본자료!$K$2:$K$1001,$AB170),10000)/100)&lt;=12,MOD(INDEX(입력_기본자료!$K$2:$K$1001,$AB170),100)&gt;=1,MOD(INDEX(입력_기본자료!$K$2:$K$1001,$AB170),100)&lt;=31),DATE(INT(INDEX(입력_기본자료!$K$2:$K$1001,$AB170)/10000),INT(MOD(INDEX(입력_기본자료!$K$2:$K$1001,$AB170),10000)/100),MOD(INDEX(입력_기본자료!$K$2:$K$1001,$AB170),100)),INDEX(입력_기본자료!$K$2:$K$1001,$AB170)&amp;"")))))</f>
        <v/>
      </c>
      <c r="F170" s="10">
        <f>IF($AB170="","",IF(INDEX(입력_기본자료!$D$2:$D$1001,$AB170)="","",INDEX(입력_기본자료!$D$2:$D$1001,$AB170)))</f>
        <v/>
      </c>
      <c r="G170" s="10">
        <f>IF($AB170="","",IF(INDEX(입력_기본자료!$E$2:$E$1001,$AB170)="","",INDEX(입력_기본자료!$E$2:$E$1001,$AB170)))</f>
        <v/>
      </c>
      <c r="H170" s="10">
        <f>IF($AB170="","",IF(INDEX(입력_기본자료!$F$2:$F$1001,$AB170)="","",INDEX(입력_기본자료!$F$2:$F$1001,$AB170)))</f>
        <v/>
      </c>
      <c r="I170" s="11">
        <f>IF($AB170="","",IF(INDEX(입력_기본자료!$G$2:$G$1001,$AB170)="","",IF(NOT(ISNUMBER(INDEX(입력_기본자료!$G$2:$G$1001,$AB170))),INDEX(입력_기본자료!$G$2:$G$1001,$AB170),IF(INDEX(입력_기본자료!$G$2:$G$1001,$AB170)&lt;1000000,INDEX(입력_기본자료!$G$2:$G$1001,$AB170),IF(AND(INDEX(입력_기본자료!$G$2:$G$1001,$AB170)&gt;=10000101,INT(MOD(INDEX(입력_기본자료!$G$2:$G$1001,$AB170),10000)/100)&gt;=1,INT(MOD(INDEX(입력_기본자료!$G$2:$G$1001,$AB170),10000)/100)&lt;=12,MOD(INDEX(입력_기본자료!$G$2:$G$1001,$AB170),100)&gt;=1,MOD(INDEX(입력_기본자료!$G$2:$G$1001,$AB170),100)&lt;=31),DATE(INT(INDEX(입력_기본자료!$G$2:$G$1001,$AB170)/10000),INT(MOD(INDEX(입력_기본자료!$G$2:$G$1001,$AB170),10000)/100),MOD(INDEX(입력_기본자료!$G$2:$G$1001,$AB170),100)),INDEX(입력_기본자료!$G$2:$G$1001,$AB170)&amp;"")))))</f>
        <v/>
      </c>
      <c r="J170" s="10">
        <f>IF($AB170="","",IF(INDEX(입력_기본자료!$H$2:$H$1001,$AB170)="","",INDEX(입력_기본자료!$H$2:$H$1001,$AB170)))</f>
        <v/>
      </c>
      <c r="K170" s="10">
        <f>IF($AB170="","",IF(INDEX(입력_기본자료!$I$2:$I$1001,$AB170)="","",INDEX(입력_기본자료!$I$2:$I$1001,$AB170)))</f>
        <v/>
      </c>
      <c r="L170" s="10">
        <f>IF($AB170="","",IF(INDEX(입력_기본자료!$A$2:$A$1001,$AB170)="","",INDEX(입력_기본자료!$A$2:$A$1001,$AB170)))</f>
        <v/>
      </c>
      <c r="M170" s="15" t="n"/>
      <c r="N170" s="10">
        <f>IF($B170="","",IF(AND($U170="파견중",$Q170&lt;&gt;""),$Q170,IF(AND($AD170&lt;&gt;"",LEFT($AD170,1)&lt;&gt;"⚠"),LEFT($AD170,FIND(" ",$AD170)-1),IF($H170="","",IF(RIGHT($H170,2)="병원",$H170,$H170&amp;"병원")))))</f>
        <v/>
      </c>
      <c r="O170" s="10">
        <f>IF($B170="","",IF(AND($U170="파견중",$Q170&lt;&gt;""),IF($R170&lt;&gt;"",$R170,"파견과 미입력"),IF(AND($AD170&lt;&gt;"",LEFT($AD170,1)&lt;&gt;"⚠"),MID($AD170,FIND(" ",$AD170)+1,60),IF($F170="","",IF($F170="인턴","수련교육부(인턴)",$F170)))))</f>
        <v/>
      </c>
      <c r="P170" s="10">
        <f>IF($B170="","",IF($AK170&lt;&gt;"",IF(AND(TODAY()&gt;=INDEX(입력_파견수련계획!$AB$4:$AB$803,$AK170),OR(NOT(ISNUMBER(INDEX(입력_파견수련계획!$AC$4:$AC$803,$AK170))),TODAY()&lt;=INDEX(입력_파견수련계획!$AC$4:$AC$803,$AK170))),"다기관",IF($AF170="","",INDEX(입력_파견수련계획!$T$4:$T$803,$AF170))),IF($AF170="","",INDEX(입력_파견수련계획!$T$4:$T$803,$AF170))))</f>
        <v/>
      </c>
      <c r="Q170" s="10">
        <f>IF($AF170="","",INDEX(입력_파견수련계획!$S$4:$S$803,$AF170))</f>
        <v/>
      </c>
      <c r="R170" s="10">
        <f>IF($AF170="","",INDEX(입력_파견수련계획!$U$4:$U$803,$AF170))</f>
        <v/>
      </c>
      <c r="S170" s="11">
        <f>IF($AF170="","",IF(INDEX(입력_파견수련계획!$H$4:$H$803,$AF170)="","",INDEX(입력_파견수련계획!$H$4:$H$803,$AF170)))</f>
        <v/>
      </c>
      <c r="T170" s="11">
        <f>IF($AF170="","",IF(INDEX(입력_파견수련계획!$I$4:$I$803,$AF170)="","",INDEX(입력_파견수련계획!$I$4:$I$803,$AF170)))</f>
        <v/>
      </c>
      <c r="U170" s="10">
        <f>IF($AF170="","",INDEX(입력_파견수련계획!$X$4:$X$803,$AF170))</f>
        <v/>
      </c>
      <c r="V170" s="17">
        <f>IF($AF170="","",INDEX(입력_파견수련계획!$V$4:$V$803,$AF170))</f>
        <v/>
      </c>
      <c r="W170" s="17">
        <f>IF(AND($U170="파견중",$T170&lt;&gt;""),$T170-TODAY(),"")</f>
        <v/>
      </c>
      <c r="X170" s="17">
        <f>IF(OR($B170="",TRIM($J170&amp;"")=""),"",SUMPRODUCT((입력_파견수련계획!$Q$4:$Q$803=TRIM($J170&amp;""))*입력_파견수련계획!$W$4:$W$803))</f>
        <v/>
      </c>
      <c r="Y170" s="10">
        <f>IF($B170="","",IF($AG170="","",IF(IF(TRIM($J170&amp;"")="",0,SUMPRODUCT((입력_파견수련계획!$Q$4:$Q$803=TRIM($J170&amp;""))*입력_파견수련계획!$AD$4:$AD$803))&gt;0,$AE170,IF(AND(N($X170)&lt;=0,$AQ170=""),$AG170,IF($AH170+$AI170=DAY(EOMONTH(출력_요약!$B$3,0)),IF(AND($AH170&gt;=출력_요약!$E$3,$AI170&lt;출력_요약!$E$3),"서울병원",IF(AND($AI170&gt;=출력_요약!$E$3,$AH170&lt;출력_요약!$E$3),"구리병원","⚠15일 판정불가(서울 "&amp;$AH170&amp;"일/구리 "&amp;$AI170&amp;"일)")),IF($AJ170="",$AE170,IF(INDEX(입력_파견수련계획!$T$4:$T$803,$AJ170)="통합수련",INDEX(입력_파견수련계획!$S$4:$S$803,$AJ170),$AE170)))))))</f>
        <v/>
      </c>
      <c r="Z170" s="20">
        <f>IF($B170="","",IF($AB170="","기본자료에 없는 사번",IF(COUNTIF($B$2:$B$401,$B170)&gt;1,"중복 사번",IF($AE170="","소속(입사장소) 입력",IF(IF(TRIM($J170&amp;"")="",0,SUMPRODUCT((입력_파견수련계획!$Q$4:$Q$803=TRIM($J170&amp;""))*(입력_파견수련계획!$AA$4:$AA$803&lt;&gt;"")))&gt;0,"파견수련계획 입력오류 확인",IF(LEFT($Y170,1)="⚠","서울·구리 15일 판정 불가(양쪽 모두 이상/미만)",IF(IF($AC170="",0,N(INDEX(입력_인턴근무계획!$T$3:$T$402,$AC170)))&gt;0,"인턴계획 입력오류 확인",IF(AND($AQ170&lt;&gt;"",$AG170&lt;&gt;"구리병원",IF(TRIM($J170&amp;"")="",0,SUMPRODUCT((입력_파견수련계획!$Q$4:$Q$803=TRIM($J170&amp;""))*(입력_파견수련계획!$S$4:$S$803="구리병원")*입력_파견수련계획!$W$4:$W$803))=0),"구리 근무자명단에만 있음(파견수련계획 확인)",IF(AND($AC170&lt;&gt;"",$U170&lt;&gt;"파견중",$N170&lt;&gt;$AE170),"인턴 타지역 근무: 파견 여부 확인","정상")))))))))</f>
        <v/>
      </c>
      <c r="AA170" s="5" t="n"/>
      <c r="AB170" s="10">
        <f>IF($B170="","",IFERROR(MATCH($B170,입력_기본자료!$B$2:$B$1001,0),IFERROR(MATCH($B170&amp;"",입력_기본자료!$B$2:$B$1001,0),IFERROR(MATCH(VALUE($B170),입력_기본자료!$B$2:$B$1001,0),""))))</f>
        <v/>
      </c>
      <c r="AC170" s="10">
        <f>IF($B170="","",IFERROR(MATCH($B170,입력_인턴근무계획!$D$3:$D$402,0),IFERROR(MATCH($B170&amp;"",입력_인턴근무계획!$D$3:$D$402,0),IFERROR(MATCH(VALUE($B170),입력_인턴근무계획!$D$3:$D$402,0),""))))</f>
        <v/>
      </c>
      <c r="AD170" s="10">
        <f>IF(OR($AC170="",출력_인턴현황!$G$3=""),"",INDEX(입력_인턴근무계획!$M$3:$R$402,$AC170,출력_인턴현황!$G$3)&amp;"")</f>
        <v/>
      </c>
      <c r="AE170" s="10">
        <f>IF($B170="","",IF($M170&lt;&gt;"",$M170,IF(IF($AQ170="",FALSE,INDEX(출력_구리근무자!$J$6:$J$305,$AQ170)="구리독자"),"구리병원",IF($AF170&lt;&gt;"",IF(LEFT(INDEX(입력_파견수련계획!$R$4:$R$803,$AF170),1)&lt;&gt;"⚠",INDEX(입력_파견수련계획!$R$4:$R$803,$AF170),IF($H170="","",IF(RIGHT($H170,2)="병원",$H170,$H170&amp;"병원"))),IF($H170="","",IF(RIGHT($H170,2)="병원",$H170,$H170&amp;"병원"))))))</f>
        <v/>
      </c>
      <c r="AF170" s="10">
        <f>IF(OR($B170="",TRIM($J170&amp;"")=""),"",IFERROR(MATCH(TRIM($J170&amp;"")&amp;"|파견중",입력_파견수련계획!$Y$4:$Y$803,0),IFERROR(MATCH(TRIM($J170&amp;"")&amp;"|파견예정",입력_파견수련계획!$Y$4:$Y$803,0),IFERROR(MATCH(TRIM($J170&amp;"")&amp;"|파견종료",입력_파견수련계획!$Y$4:$Y$803,0),""))))</f>
        <v/>
      </c>
      <c r="AG170" s="10">
        <f>IF($B170="","",IF(AND(IF(OR($AC170="",출력_인턴현황!$K$2=""),"",INDEX(입력_인턴근무계획!$M$3:$R$402,$AC170,출력_인턴현황!$K$2)&amp;"")&lt;&gt;"",LEFT(IF(OR($AC170="",출력_인턴현황!$K$2=""),"",INDEX(입력_인턴근무계획!$M$3:$R$402,$AC170,출력_인턴현황!$K$2)&amp;""),1)&lt;&gt;"⚠"),LEFT(IF(OR($AC170="",출력_인턴현황!$K$2=""),"",INDEX(입력_인턴근무계획!$M$3:$R$402,$AC170,출력_인턴현황!$K$2)&amp;""),FIND(" ",IF(OR($AC170="",출력_인턴현황!$K$2=""),"",INDEX(입력_인턴근무계획!$M$3:$R$402,$AC170,출력_인턴현황!$K$2)&amp;""))-1),$AE170))</f>
        <v/>
      </c>
      <c r="AH170" s="17">
        <f>IF($B170="","",IF($AQ170&lt;&gt;"",MAX(0,DAY(EOMONTH(출력_요약!$B$3,0))-N($AR170)),IF(TRIM($J170&amp;"")="",0,SUMPRODUCT((입력_파견수련계획!$Q$4:$Q$803=TRIM($J170&amp;""))*(입력_파견수련계획!$S$4:$S$803="서울병원")*입력_파견수련계획!$W$4:$W$803))+IF($AG170="서울병원",MAX(0,DAY(EOMONTH(출력_요약!$B$3,0))-N($X170)),0)))</f>
        <v/>
      </c>
      <c r="AI170" s="17">
        <f>IF($B170="","",IF($AQ170&lt;&gt;"",N($AR170),IF(TRIM($J170&amp;"")="",0,SUMPRODUCT((입력_파견수련계획!$Q$4:$Q$803=TRIM($J170&amp;""))*(입력_파견수련계획!$S$4:$S$803="구리병원")*입력_파견수련계획!$W$4:$W$803))+IF($AG170="구리병원",MAX(0,DAY(EOMONTH(출력_요약!$B$3,0))-N($X170)),0)))</f>
        <v/>
      </c>
      <c r="AJ170" s="10">
        <f>IF(OR($B170="",TRIM($J170&amp;"")=""),"",IFERROR(MATCH(TRIM($J170&amp;"")&amp;"|월",입력_파견수련계획!$Z$4:$Z$803,0),""))</f>
        <v/>
      </c>
      <c r="AK170" s="10">
        <f>IF(OR($B170="",TRIM($J170&amp;"")=""),"",IFERROR(MATCH(TRIM($J170&amp;"")&amp;"|다기관",입력_파견수련계획!$AE$4:$AE$803,0),""))</f>
        <v/>
      </c>
      <c r="AL170" s="10">
        <f>IF($AK170="","","다기관 "&amp;TEXT(INDEX(입력_파견수련계획!$AB$4:$AB$803,$AK170),"yyyy-mm-dd")&amp;"~"&amp;IF(ISNUMBER(INDEX(입력_파견수련계획!$AC$4:$AC$803,$AK170)),TEXT(INDEX(입력_파견수련계획!$AC$4:$AC$803,$AK170),"yyyy-mm-dd"),""))</f>
        <v/>
      </c>
      <c r="AM170" s="10">
        <f>IF($Y170="서울병원",COUNTIF($Y$2:$Y170,"서울병원"),"")</f>
        <v/>
      </c>
      <c r="AN170" s="10">
        <f>IF(LEFT($Y170,1)="⚠",COUNTIF($Y$2:$Y170,"⚠*"),"")</f>
        <v/>
      </c>
      <c r="AO170" s="10">
        <f>IF(OR($B170="",$Y170=""),"",IF(IF(TRIM($J170&amp;"")="",0,SUMPRODUCT((입력_파견수련계획!$Q$4:$Q$803=TRIM($J170&amp;""))*입력_파견수련계획!$AD$4:$AD$803))&gt;0,"다기관 기간 → 소속병원 지급",IF(AND(N($X170)&lt;=0,$AQ170=""),"파견 없음 → 그 달 근무병원 지급",IF($AH170+$AI170=DAY(EOMONTH(출력_요약!$B$3,0)),"서울 "&amp;$AH170&amp;"일 / 구리 "&amp;$AI170&amp;"일"&amp;IF($AQ170&lt;&gt;""," (구리 근무자명단 반영)","")&amp;" → 15일 이상 근무 병원 지급","타 병원 포함 → "&amp;IF($AJ170="","소속",INDEX(입력_파견수련계획!$T$4:$T$803,$AJ170))&amp;" 규칙"))))</f>
        <v/>
      </c>
      <c r="AP170" s="10">
        <f>IF($B170="","",$C170&amp;"|"&amp;$F170)</f>
        <v/>
      </c>
      <c r="AQ170" s="10">
        <f>IF($B170="","",IFERROR(MATCH(ROW()-1,출력_구리근무자!$K$6:$K$305,0),""))</f>
        <v/>
      </c>
      <c r="AR170" s="10">
        <f>IF($AQ170="","",INDEX(출력_구리근무자!$H$6:$H$305,$AQ170))</f>
        <v/>
      </c>
    </row>
    <row r="171">
      <c r="A171" s="10">
        <f>IF(B171="","",ROW()-1)</f>
        <v/>
      </c>
      <c r="B171" s="19" t="n"/>
      <c r="C171" s="10">
        <f>IF($AB171="","",IF(INDEX(입력_기본자료!$C$2:$C$1001,$AB171)="","",INDEX(입력_기본자료!$C$2:$C$1001,$AB171)))</f>
        <v/>
      </c>
      <c r="D171" s="10">
        <f>IF($AB171="","",IF(INDEX(입력_기본자료!$J$2:$J$1001,$AB171)="","",INDEX(입력_기본자료!$J$2:$J$1001,$AB171)))</f>
        <v/>
      </c>
      <c r="E171" s="11">
        <f>IF($AB171="","",IF(INDEX(입력_기본자료!$K$2:$K$1001,$AB171)="","",IF(NOT(ISNUMBER(INDEX(입력_기본자료!$K$2:$K$1001,$AB171))),INDEX(입력_기본자료!$K$2:$K$1001,$AB171),IF(INDEX(입력_기본자료!$K$2:$K$1001,$AB171)&lt;1000000,INDEX(입력_기본자료!$K$2:$K$1001,$AB171),IF(AND(INDEX(입력_기본자료!$K$2:$K$1001,$AB171)&gt;=10000101,INT(MOD(INDEX(입력_기본자료!$K$2:$K$1001,$AB171),10000)/100)&gt;=1,INT(MOD(INDEX(입력_기본자료!$K$2:$K$1001,$AB171),10000)/100)&lt;=12,MOD(INDEX(입력_기본자료!$K$2:$K$1001,$AB171),100)&gt;=1,MOD(INDEX(입력_기본자료!$K$2:$K$1001,$AB171),100)&lt;=31),DATE(INT(INDEX(입력_기본자료!$K$2:$K$1001,$AB171)/10000),INT(MOD(INDEX(입력_기본자료!$K$2:$K$1001,$AB171),10000)/100),MOD(INDEX(입력_기본자료!$K$2:$K$1001,$AB171),100)),INDEX(입력_기본자료!$K$2:$K$1001,$AB171)&amp;"")))))</f>
        <v/>
      </c>
      <c r="F171" s="10">
        <f>IF($AB171="","",IF(INDEX(입력_기본자료!$D$2:$D$1001,$AB171)="","",INDEX(입력_기본자료!$D$2:$D$1001,$AB171)))</f>
        <v/>
      </c>
      <c r="G171" s="10">
        <f>IF($AB171="","",IF(INDEX(입력_기본자료!$E$2:$E$1001,$AB171)="","",INDEX(입력_기본자료!$E$2:$E$1001,$AB171)))</f>
        <v/>
      </c>
      <c r="H171" s="10">
        <f>IF($AB171="","",IF(INDEX(입력_기본자료!$F$2:$F$1001,$AB171)="","",INDEX(입력_기본자료!$F$2:$F$1001,$AB171)))</f>
        <v/>
      </c>
      <c r="I171" s="11">
        <f>IF($AB171="","",IF(INDEX(입력_기본자료!$G$2:$G$1001,$AB171)="","",IF(NOT(ISNUMBER(INDEX(입력_기본자료!$G$2:$G$1001,$AB171))),INDEX(입력_기본자료!$G$2:$G$1001,$AB171),IF(INDEX(입력_기본자료!$G$2:$G$1001,$AB171)&lt;1000000,INDEX(입력_기본자료!$G$2:$G$1001,$AB171),IF(AND(INDEX(입력_기본자료!$G$2:$G$1001,$AB171)&gt;=10000101,INT(MOD(INDEX(입력_기본자료!$G$2:$G$1001,$AB171),10000)/100)&gt;=1,INT(MOD(INDEX(입력_기본자료!$G$2:$G$1001,$AB171),10000)/100)&lt;=12,MOD(INDEX(입력_기본자료!$G$2:$G$1001,$AB171),100)&gt;=1,MOD(INDEX(입력_기본자료!$G$2:$G$1001,$AB171),100)&lt;=31),DATE(INT(INDEX(입력_기본자료!$G$2:$G$1001,$AB171)/10000),INT(MOD(INDEX(입력_기본자료!$G$2:$G$1001,$AB171),10000)/100),MOD(INDEX(입력_기본자료!$G$2:$G$1001,$AB171),100)),INDEX(입력_기본자료!$G$2:$G$1001,$AB171)&amp;"")))))</f>
        <v/>
      </c>
      <c r="J171" s="10">
        <f>IF($AB171="","",IF(INDEX(입력_기본자료!$H$2:$H$1001,$AB171)="","",INDEX(입력_기본자료!$H$2:$H$1001,$AB171)))</f>
        <v/>
      </c>
      <c r="K171" s="10">
        <f>IF($AB171="","",IF(INDEX(입력_기본자료!$I$2:$I$1001,$AB171)="","",INDEX(입력_기본자료!$I$2:$I$1001,$AB171)))</f>
        <v/>
      </c>
      <c r="L171" s="10">
        <f>IF($AB171="","",IF(INDEX(입력_기본자료!$A$2:$A$1001,$AB171)="","",INDEX(입력_기본자료!$A$2:$A$1001,$AB171)))</f>
        <v/>
      </c>
      <c r="M171" s="15" t="n"/>
      <c r="N171" s="10">
        <f>IF($B171="","",IF(AND($U171="파견중",$Q171&lt;&gt;""),$Q171,IF(AND($AD171&lt;&gt;"",LEFT($AD171,1)&lt;&gt;"⚠"),LEFT($AD171,FIND(" ",$AD171)-1),IF($H171="","",IF(RIGHT($H171,2)="병원",$H171,$H171&amp;"병원")))))</f>
        <v/>
      </c>
      <c r="O171" s="10">
        <f>IF($B171="","",IF(AND($U171="파견중",$Q171&lt;&gt;""),IF($R171&lt;&gt;"",$R171,"파견과 미입력"),IF(AND($AD171&lt;&gt;"",LEFT($AD171,1)&lt;&gt;"⚠"),MID($AD171,FIND(" ",$AD171)+1,60),IF($F171="","",IF($F171="인턴","수련교육부(인턴)",$F171)))))</f>
        <v/>
      </c>
      <c r="P171" s="10">
        <f>IF($B171="","",IF($AK171&lt;&gt;"",IF(AND(TODAY()&gt;=INDEX(입력_파견수련계획!$AB$4:$AB$803,$AK171),OR(NOT(ISNUMBER(INDEX(입력_파견수련계획!$AC$4:$AC$803,$AK171))),TODAY()&lt;=INDEX(입력_파견수련계획!$AC$4:$AC$803,$AK171))),"다기관",IF($AF171="","",INDEX(입력_파견수련계획!$T$4:$T$803,$AF171))),IF($AF171="","",INDEX(입력_파견수련계획!$T$4:$T$803,$AF171))))</f>
        <v/>
      </c>
      <c r="Q171" s="10">
        <f>IF($AF171="","",INDEX(입력_파견수련계획!$S$4:$S$803,$AF171))</f>
        <v/>
      </c>
      <c r="R171" s="10">
        <f>IF($AF171="","",INDEX(입력_파견수련계획!$U$4:$U$803,$AF171))</f>
        <v/>
      </c>
      <c r="S171" s="11">
        <f>IF($AF171="","",IF(INDEX(입력_파견수련계획!$H$4:$H$803,$AF171)="","",INDEX(입력_파견수련계획!$H$4:$H$803,$AF171)))</f>
        <v/>
      </c>
      <c r="T171" s="11">
        <f>IF($AF171="","",IF(INDEX(입력_파견수련계획!$I$4:$I$803,$AF171)="","",INDEX(입력_파견수련계획!$I$4:$I$803,$AF171)))</f>
        <v/>
      </c>
      <c r="U171" s="10">
        <f>IF($AF171="","",INDEX(입력_파견수련계획!$X$4:$X$803,$AF171))</f>
        <v/>
      </c>
      <c r="V171" s="17">
        <f>IF($AF171="","",INDEX(입력_파견수련계획!$V$4:$V$803,$AF171))</f>
        <v/>
      </c>
      <c r="W171" s="17">
        <f>IF(AND($U171="파견중",$T171&lt;&gt;""),$T171-TODAY(),"")</f>
        <v/>
      </c>
      <c r="X171" s="17">
        <f>IF(OR($B171="",TRIM($J171&amp;"")=""),"",SUMPRODUCT((입력_파견수련계획!$Q$4:$Q$803=TRIM($J171&amp;""))*입력_파견수련계획!$W$4:$W$803))</f>
        <v/>
      </c>
      <c r="Y171" s="10">
        <f>IF($B171="","",IF($AG171="","",IF(IF(TRIM($J171&amp;"")="",0,SUMPRODUCT((입력_파견수련계획!$Q$4:$Q$803=TRIM($J171&amp;""))*입력_파견수련계획!$AD$4:$AD$803))&gt;0,$AE171,IF(AND(N($X171)&lt;=0,$AQ171=""),$AG171,IF($AH171+$AI171=DAY(EOMONTH(출력_요약!$B$3,0)),IF(AND($AH171&gt;=출력_요약!$E$3,$AI171&lt;출력_요약!$E$3),"서울병원",IF(AND($AI171&gt;=출력_요약!$E$3,$AH171&lt;출력_요약!$E$3),"구리병원","⚠15일 판정불가(서울 "&amp;$AH171&amp;"일/구리 "&amp;$AI171&amp;"일)")),IF($AJ171="",$AE171,IF(INDEX(입력_파견수련계획!$T$4:$T$803,$AJ171)="통합수련",INDEX(입력_파견수련계획!$S$4:$S$803,$AJ171),$AE171)))))))</f>
        <v/>
      </c>
      <c r="Z171" s="20">
        <f>IF($B171="","",IF($AB171="","기본자료에 없는 사번",IF(COUNTIF($B$2:$B$401,$B171)&gt;1,"중복 사번",IF($AE171="","소속(입사장소) 입력",IF(IF(TRIM($J171&amp;"")="",0,SUMPRODUCT((입력_파견수련계획!$Q$4:$Q$803=TRIM($J171&amp;""))*(입력_파견수련계획!$AA$4:$AA$803&lt;&gt;"")))&gt;0,"파견수련계획 입력오류 확인",IF(LEFT($Y171,1)="⚠","서울·구리 15일 판정 불가(양쪽 모두 이상/미만)",IF(IF($AC171="",0,N(INDEX(입력_인턴근무계획!$T$3:$T$402,$AC171)))&gt;0,"인턴계획 입력오류 확인",IF(AND($AQ171&lt;&gt;"",$AG171&lt;&gt;"구리병원",IF(TRIM($J171&amp;"")="",0,SUMPRODUCT((입력_파견수련계획!$Q$4:$Q$803=TRIM($J171&amp;""))*(입력_파견수련계획!$S$4:$S$803="구리병원")*입력_파견수련계획!$W$4:$W$803))=0),"구리 근무자명단에만 있음(파견수련계획 확인)",IF(AND($AC171&lt;&gt;"",$U171&lt;&gt;"파견중",$N171&lt;&gt;$AE171),"인턴 타지역 근무: 파견 여부 확인","정상")))))))))</f>
        <v/>
      </c>
      <c r="AA171" s="5" t="n"/>
      <c r="AB171" s="10">
        <f>IF($B171="","",IFERROR(MATCH($B171,입력_기본자료!$B$2:$B$1001,0),IFERROR(MATCH($B171&amp;"",입력_기본자료!$B$2:$B$1001,0),IFERROR(MATCH(VALUE($B171),입력_기본자료!$B$2:$B$1001,0),""))))</f>
        <v/>
      </c>
      <c r="AC171" s="10">
        <f>IF($B171="","",IFERROR(MATCH($B171,입력_인턴근무계획!$D$3:$D$402,0),IFERROR(MATCH($B171&amp;"",입력_인턴근무계획!$D$3:$D$402,0),IFERROR(MATCH(VALUE($B171),입력_인턴근무계획!$D$3:$D$402,0),""))))</f>
        <v/>
      </c>
      <c r="AD171" s="10">
        <f>IF(OR($AC171="",출력_인턴현황!$G$3=""),"",INDEX(입력_인턴근무계획!$M$3:$R$402,$AC171,출력_인턴현황!$G$3)&amp;"")</f>
        <v/>
      </c>
      <c r="AE171" s="10">
        <f>IF($B171="","",IF($M171&lt;&gt;"",$M171,IF(IF($AQ171="",FALSE,INDEX(출력_구리근무자!$J$6:$J$305,$AQ171)="구리독자"),"구리병원",IF($AF171&lt;&gt;"",IF(LEFT(INDEX(입력_파견수련계획!$R$4:$R$803,$AF171),1)&lt;&gt;"⚠",INDEX(입력_파견수련계획!$R$4:$R$803,$AF171),IF($H171="","",IF(RIGHT($H171,2)="병원",$H171,$H171&amp;"병원"))),IF($H171="","",IF(RIGHT($H171,2)="병원",$H171,$H171&amp;"병원"))))))</f>
        <v/>
      </c>
      <c r="AF171" s="10">
        <f>IF(OR($B171="",TRIM($J171&amp;"")=""),"",IFERROR(MATCH(TRIM($J171&amp;"")&amp;"|파견중",입력_파견수련계획!$Y$4:$Y$803,0),IFERROR(MATCH(TRIM($J171&amp;"")&amp;"|파견예정",입력_파견수련계획!$Y$4:$Y$803,0),IFERROR(MATCH(TRIM($J171&amp;"")&amp;"|파견종료",입력_파견수련계획!$Y$4:$Y$803,0),""))))</f>
        <v/>
      </c>
      <c r="AG171" s="10">
        <f>IF($B171="","",IF(AND(IF(OR($AC171="",출력_인턴현황!$K$2=""),"",INDEX(입력_인턴근무계획!$M$3:$R$402,$AC171,출력_인턴현황!$K$2)&amp;"")&lt;&gt;"",LEFT(IF(OR($AC171="",출력_인턴현황!$K$2=""),"",INDEX(입력_인턴근무계획!$M$3:$R$402,$AC171,출력_인턴현황!$K$2)&amp;""),1)&lt;&gt;"⚠"),LEFT(IF(OR($AC171="",출력_인턴현황!$K$2=""),"",INDEX(입력_인턴근무계획!$M$3:$R$402,$AC171,출력_인턴현황!$K$2)&amp;""),FIND(" ",IF(OR($AC171="",출력_인턴현황!$K$2=""),"",INDEX(입력_인턴근무계획!$M$3:$R$402,$AC171,출력_인턴현황!$K$2)&amp;""))-1),$AE171))</f>
        <v/>
      </c>
      <c r="AH171" s="17">
        <f>IF($B171="","",IF($AQ171&lt;&gt;"",MAX(0,DAY(EOMONTH(출력_요약!$B$3,0))-N($AR171)),IF(TRIM($J171&amp;"")="",0,SUMPRODUCT((입력_파견수련계획!$Q$4:$Q$803=TRIM($J171&amp;""))*(입력_파견수련계획!$S$4:$S$803="서울병원")*입력_파견수련계획!$W$4:$W$803))+IF($AG171="서울병원",MAX(0,DAY(EOMONTH(출력_요약!$B$3,0))-N($X171)),0)))</f>
        <v/>
      </c>
      <c r="AI171" s="17">
        <f>IF($B171="","",IF($AQ171&lt;&gt;"",N($AR171),IF(TRIM($J171&amp;"")="",0,SUMPRODUCT((입력_파견수련계획!$Q$4:$Q$803=TRIM($J171&amp;""))*(입력_파견수련계획!$S$4:$S$803="구리병원")*입력_파견수련계획!$W$4:$W$803))+IF($AG171="구리병원",MAX(0,DAY(EOMONTH(출력_요약!$B$3,0))-N($X171)),0)))</f>
        <v/>
      </c>
      <c r="AJ171" s="10">
        <f>IF(OR($B171="",TRIM($J171&amp;"")=""),"",IFERROR(MATCH(TRIM($J171&amp;"")&amp;"|월",입력_파견수련계획!$Z$4:$Z$803,0),""))</f>
        <v/>
      </c>
      <c r="AK171" s="10">
        <f>IF(OR($B171="",TRIM($J171&amp;"")=""),"",IFERROR(MATCH(TRIM($J171&amp;"")&amp;"|다기관",입력_파견수련계획!$AE$4:$AE$803,0),""))</f>
        <v/>
      </c>
      <c r="AL171" s="10">
        <f>IF($AK171="","","다기관 "&amp;TEXT(INDEX(입력_파견수련계획!$AB$4:$AB$803,$AK171),"yyyy-mm-dd")&amp;"~"&amp;IF(ISNUMBER(INDEX(입력_파견수련계획!$AC$4:$AC$803,$AK171)),TEXT(INDEX(입력_파견수련계획!$AC$4:$AC$803,$AK171),"yyyy-mm-dd"),""))</f>
        <v/>
      </c>
      <c r="AM171" s="10">
        <f>IF($Y171="서울병원",COUNTIF($Y$2:$Y171,"서울병원"),"")</f>
        <v/>
      </c>
      <c r="AN171" s="10">
        <f>IF(LEFT($Y171,1)="⚠",COUNTIF($Y$2:$Y171,"⚠*"),"")</f>
        <v/>
      </c>
      <c r="AO171" s="10">
        <f>IF(OR($B171="",$Y171=""),"",IF(IF(TRIM($J171&amp;"")="",0,SUMPRODUCT((입력_파견수련계획!$Q$4:$Q$803=TRIM($J171&amp;""))*입력_파견수련계획!$AD$4:$AD$803))&gt;0,"다기관 기간 → 소속병원 지급",IF(AND(N($X171)&lt;=0,$AQ171=""),"파견 없음 → 그 달 근무병원 지급",IF($AH171+$AI171=DAY(EOMONTH(출력_요약!$B$3,0)),"서울 "&amp;$AH171&amp;"일 / 구리 "&amp;$AI171&amp;"일"&amp;IF($AQ171&lt;&gt;""," (구리 근무자명단 반영)","")&amp;" → 15일 이상 근무 병원 지급","타 병원 포함 → "&amp;IF($AJ171="","소속",INDEX(입력_파견수련계획!$T$4:$T$803,$AJ171))&amp;" 규칙"))))</f>
        <v/>
      </c>
      <c r="AP171" s="10">
        <f>IF($B171="","",$C171&amp;"|"&amp;$F171)</f>
        <v/>
      </c>
      <c r="AQ171" s="10">
        <f>IF($B171="","",IFERROR(MATCH(ROW()-1,출력_구리근무자!$K$6:$K$305,0),""))</f>
        <v/>
      </c>
      <c r="AR171" s="10">
        <f>IF($AQ171="","",INDEX(출력_구리근무자!$H$6:$H$305,$AQ171))</f>
        <v/>
      </c>
    </row>
    <row r="172">
      <c r="A172" s="10">
        <f>IF(B172="","",ROW()-1)</f>
        <v/>
      </c>
      <c r="B172" s="19" t="n"/>
      <c r="C172" s="10">
        <f>IF($AB172="","",IF(INDEX(입력_기본자료!$C$2:$C$1001,$AB172)="","",INDEX(입력_기본자료!$C$2:$C$1001,$AB172)))</f>
        <v/>
      </c>
      <c r="D172" s="10">
        <f>IF($AB172="","",IF(INDEX(입력_기본자료!$J$2:$J$1001,$AB172)="","",INDEX(입력_기본자료!$J$2:$J$1001,$AB172)))</f>
        <v/>
      </c>
      <c r="E172" s="11">
        <f>IF($AB172="","",IF(INDEX(입력_기본자료!$K$2:$K$1001,$AB172)="","",IF(NOT(ISNUMBER(INDEX(입력_기본자료!$K$2:$K$1001,$AB172))),INDEX(입력_기본자료!$K$2:$K$1001,$AB172),IF(INDEX(입력_기본자료!$K$2:$K$1001,$AB172)&lt;1000000,INDEX(입력_기본자료!$K$2:$K$1001,$AB172),IF(AND(INDEX(입력_기본자료!$K$2:$K$1001,$AB172)&gt;=10000101,INT(MOD(INDEX(입력_기본자료!$K$2:$K$1001,$AB172),10000)/100)&gt;=1,INT(MOD(INDEX(입력_기본자료!$K$2:$K$1001,$AB172),10000)/100)&lt;=12,MOD(INDEX(입력_기본자료!$K$2:$K$1001,$AB172),100)&gt;=1,MOD(INDEX(입력_기본자료!$K$2:$K$1001,$AB172),100)&lt;=31),DATE(INT(INDEX(입력_기본자료!$K$2:$K$1001,$AB172)/10000),INT(MOD(INDEX(입력_기본자료!$K$2:$K$1001,$AB172),10000)/100),MOD(INDEX(입력_기본자료!$K$2:$K$1001,$AB172),100)),INDEX(입력_기본자료!$K$2:$K$1001,$AB172)&amp;"")))))</f>
        <v/>
      </c>
      <c r="F172" s="10">
        <f>IF($AB172="","",IF(INDEX(입력_기본자료!$D$2:$D$1001,$AB172)="","",INDEX(입력_기본자료!$D$2:$D$1001,$AB172)))</f>
        <v/>
      </c>
      <c r="G172" s="10">
        <f>IF($AB172="","",IF(INDEX(입력_기본자료!$E$2:$E$1001,$AB172)="","",INDEX(입력_기본자료!$E$2:$E$1001,$AB172)))</f>
        <v/>
      </c>
      <c r="H172" s="10">
        <f>IF($AB172="","",IF(INDEX(입력_기본자료!$F$2:$F$1001,$AB172)="","",INDEX(입력_기본자료!$F$2:$F$1001,$AB172)))</f>
        <v/>
      </c>
      <c r="I172" s="11">
        <f>IF($AB172="","",IF(INDEX(입력_기본자료!$G$2:$G$1001,$AB172)="","",IF(NOT(ISNUMBER(INDEX(입력_기본자료!$G$2:$G$1001,$AB172))),INDEX(입력_기본자료!$G$2:$G$1001,$AB172),IF(INDEX(입력_기본자료!$G$2:$G$1001,$AB172)&lt;1000000,INDEX(입력_기본자료!$G$2:$G$1001,$AB172),IF(AND(INDEX(입력_기본자료!$G$2:$G$1001,$AB172)&gt;=10000101,INT(MOD(INDEX(입력_기본자료!$G$2:$G$1001,$AB172),10000)/100)&gt;=1,INT(MOD(INDEX(입력_기본자료!$G$2:$G$1001,$AB172),10000)/100)&lt;=12,MOD(INDEX(입력_기본자료!$G$2:$G$1001,$AB172),100)&gt;=1,MOD(INDEX(입력_기본자료!$G$2:$G$1001,$AB172),100)&lt;=31),DATE(INT(INDEX(입력_기본자료!$G$2:$G$1001,$AB172)/10000),INT(MOD(INDEX(입력_기본자료!$G$2:$G$1001,$AB172),10000)/100),MOD(INDEX(입력_기본자료!$G$2:$G$1001,$AB172),100)),INDEX(입력_기본자료!$G$2:$G$1001,$AB172)&amp;"")))))</f>
        <v/>
      </c>
      <c r="J172" s="10">
        <f>IF($AB172="","",IF(INDEX(입력_기본자료!$H$2:$H$1001,$AB172)="","",INDEX(입력_기본자료!$H$2:$H$1001,$AB172)))</f>
        <v/>
      </c>
      <c r="K172" s="10">
        <f>IF($AB172="","",IF(INDEX(입력_기본자료!$I$2:$I$1001,$AB172)="","",INDEX(입력_기본자료!$I$2:$I$1001,$AB172)))</f>
        <v/>
      </c>
      <c r="L172" s="10">
        <f>IF($AB172="","",IF(INDEX(입력_기본자료!$A$2:$A$1001,$AB172)="","",INDEX(입력_기본자료!$A$2:$A$1001,$AB172)))</f>
        <v/>
      </c>
      <c r="M172" s="15" t="n"/>
      <c r="N172" s="10">
        <f>IF($B172="","",IF(AND($U172="파견중",$Q172&lt;&gt;""),$Q172,IF(AND($AD172&lt;&gt;"",LEFT($AD172,1)&lt;&gt;"⚠"),LEFT($AD172,FIND(" ",$AD172)-1),IF($H172="","",IF(RIGHT($H172,2)="병원",$H172,$H172&amp;"병원")))))</f>
        <v/>
      </c>
      <c r="O172" s="10">
        <f>IF($B172="","",IF(AND($U172="파견중",$Q172&lt;&gt;""),IF($R172&lt;&gt;"",$R172,"파견과 미입력"),IF(AND($AD172&lt;&gt;"",LEFT($AD172,1)&lt;&gt;"⚠"),MID($AD172,FIND(" ",$AD172)+1,60),IF($F172="","",IF($F172="인턴","수련교육부(인턴)",$F172)))))</f>
        <v/>
      </c>
      <c r="P172" s="10">
        <f>IF($B172="","",IF($AK172&lt;&gt;"",IF(AND(TODAY()&gt;=INDEX(입력_파견수련계획!$AB$4:$AB$803,$AK172),OR(NOT(ISNUMBER(INDEX(입력_파견수련계획!$AC$4:$AC$803,$AK172))),TODAY()&lt;=INDEX(입력_파견수련계획!$AC$4:$AC$803,$AK172))),"다기관",IF($AF172="","",INDEX(입력_파견수련계획!$T$4:$T$803,$AF172))),IF($AF172="","",INDEX(입력_파견수련계획!$T$4:$T$803,$AF172))))</f>
        <v/>
      </c>
      <c r="Q172" s="10">
        <f>IF($AF172="","",INDEX(입력_파견수련계획!$S$4:$S$803,$AF172))</f>
        <v/>
      </c>
      <c r="R172" s="10">
        <f>IF($AF172="","",INDEX(입력_파견수련계획!$U$4:$U$803,$AF172))</f>
        <v/>
      </c>
      <c r="S172" s="11">
        <f>IF($AF172="","",IF(INDEX(입력_파견수련계획!$H$4:$H$803,$AF172)="","",INDEX(입력_파견수련계획!$H$4:$H$803,$AF172)))</f>
        <v/>
      </c>
      <c r="T172" s="11">
        <f>IF($AF172="","",IF(INDEX(입력_파견수련계획!$I$4:$I$803,$AF172)="","",INDEX(입력_파견수련계획!$I$4:$I$803,$AF172)))</f>
        <v/>
      </c>
      <c r="U172" s="10">
        <f>IF($AF172="","",INDEX(입력_파견수련계획!$X$4:$X$803,$AF172))</f>
        <v/>
      </c>
      <c r="V172" s="17">
        <f>IF($AF172="","",INDEX(입력_파견수련계획!$V$4:$V$803,$AF172))</f>
        <v/>
      </c>
      <c r="W172" s="17">
        <f>IF(AND($U172="파견중",$T172&lt;&gt;""),$T172-TODAY(),"")</f>
        <v/>
      </c>
      <c r="X172" s="17">
        <f>IF(OR($B172="",TRIM($J172&amp;"")=""),"",SUMPRODUCT((입력_파견수련계획!$Q$4:$Q$803=TRIM($J172&amp;""))*입력_파견수련계획!$W$4:$W$803))</f>
        <v/>
      </c>
      <c r="Y172" s="10">
        <f>IF($B172="","",IF($AG172="","",IF(IF(TRIM($J172&amp;"")="",0,SUMPRODUCT((입력_파견수련계획!$Q$4:$Q$803=TRIM($J172&amp;""))*입력_파견수련계획!$AD$4:$AD$803))&gt;0,$AE172,IF(AND(N($X172)&lt;=0,$AQ172=""),$AG172,IF($AH172+$AI172=DAY(EOMONTH(출력_요약!$B$3,0)),IF(AND($AH172&gt;=출력_요약!$E$3,$AI172&lt;출력_요약!$E$3),"서울병원",IF(AND($AI172&gt;=출력_요약!$E$3,$AH172&lt;출력_요약!$E$3),"구리병원","⚠15일 판정불가(서울 "&amp;$AH172&amp;"일/구리 "&amp;$AI172&amp;"일)")),IF($AJ172="",$AE172,IF(INDEX(입력_파견수련계획!$T$4:$T$803,$AJ172)="통합수련",INDEX(입력_파견수련계획!$S$4:$S$803,$AJ172),$AE172)))))))</f>
        <v/>
      </c>
      <c r="Z172" s="20">
        <f>IF($B172="","",IF($AB172="","기본자료에 없는 사번",IF(COUNTIF($B$2:$B$401,$B172)&gt;1,"중복 사번",IF($AE172="","소속(입사장소) 입력",IF(IF(TRIM($J172&amp;"")="",0,SUMPRODUCT((입력_파견수련계획!$Q$4:$Q$803=TRIM($J172&amp;""))*(입력_파견수련계획!$AA$4:$AA$803&lt;&gt;"")))&gt;0,"파견수련계획 입력오류 확인",IF(LEFT($Y172,1)="⚠","서울·구리 15일 판정 불가(양쪽 모두 이상/미만)",IF(IF($AC172="",0,N(INDEX(입력_인턴근무계획!$T$3:$T$402,$AC172)))&gt;0,"인턴계획 입력오류 확인",IF(AND($AQ172&lt;&gt;"",$AG172&lt;&gt;"구리병원",IF(TRIM($J172&amp;"")="",0,SUMPRODUCT((입력_파견수련계획!$Q$4:$Q$803=TRIM($J172&amp;""))*(입력_파견수련계획!$S$4:$S$803="구리병원")*입력_파견수련계획!$W$4:$W$803))=0),"구리 근무자명단에만 있음(파견수련계획 확인)",IF(AND($AC172&lt;&gt;"",$U172&lt;&gt;"파견중",$N172&lt;&gt;$AE172),"인턴 타지역 근무: 파견 여부 확인","정상")))))))))</f>
        <v/>
      </c>
      <c r="AA172" s="5" t="n"/>
      <c r="AB172" s="10">
        <f>IF($B172="","",IFERROR(MATCH($B172,입력_기본자료!$B$2:$B$1001,0),IFERROR(MATCH($B172&amp;"",입력_기본자료!$B$2:$B$1001,0),IFERROR(MATCH(VALUE($B172),입력_기본자료!$B$2:$B$1001,0),""))))</f>
        <v/>
      </c>
      <c r="AC172" s="10">
        <f>IF($B172="","",IFERROR(MATCH($B172,입력_인턴근무계획!$D$3:$D$402,0),IFERROR(MATCH($B172&amp;"",입력_인턴근무계획!$D$3:$D$402,0),IFERROR(MATCH(VALUE($B172),입력_인턴근무계획!$D$3:$D$402,0),""))))</f>
        <v/>
      </c>
      <c r="AD172" s="10">
        <f>IF(OR($AC172="",출력_인턴현황!$G$3=""),"",INDEX(입력_인턴근무계획!$M$3:$R$402,$AC172,출력_인턴현황!$G$3)&amp;"")</f>
        <v/>
      </c>
      <c r="AE172" s="10">
        <f>IF($B172="","",IF($M172&lt;&gt;"",$M172,IF(IF($AQ172="",FALSE,INDEX(출력_구리근무자!$J$6:$J$305,$AQ172)="구리독자"),"구리병원",IF($AF172&lt;&gt;"",IF(LEFT(INDEX(입력_파견수련계획!$R$4:$R$803,$AF172),1)&lt;&gt;"⚠",INDEX(입력_파견수련계획!$R$4:$R$803,$AF172),IF($H172="","",IF(RIGHT($H172,2)="병원",$H172,$H172&amp;"병원"))),IF($H172="","",IF(RIGHT($H172,2)="병원",$H172,$H172&amp;"병원"))))))</f>
        <v/>
      </c>
      <c r="AF172" s="10">
        <f>IF(OR($B172="",TRIM($J172&amp;"")=""),"",IFERROR(MATCH(TRIM($J172&amp;"")&amp;"|파견중",입력_파견수련계획!$Y$4:$Y$803,0),IFERROR(MATCH(TRIM($J172&amp;"")&amp;"|파견예정",입력_파견수련계획!$Y$4:$Y$803,0),IFERROR(MATCH(TRIM($J172&amp;"")&amp;"|파견종료",입력_파견수련계획!$Y$4:$Y$803,0),""))))</f>
        <v/>
      </c>
      <c r="AG172" s="10">
        <f>IF($B172="","",IF(AND(IF(OR($AC172="",출력_인턴현황!$K$2=""),"",INDEX(입력_인턴근무계획!$M$3:$R$402,$AC172,출력_인턴현황!$K$2)&amp;"")&lt;&gt;"",LEFT(IF(OR($AC172="",출력_인턴현황!$K$2=""),"",INDEX(입력_인턴근무계획!$M$3:$R$402,$AC172,출력_인턴현황!$K$2)&amp;""),1)&lt;&gt;"⚠"),LEFT(IF(OR($AC172="",출력_인턴현황!$K$2=""),"",INDEX(입력_인턴근무계획!$M$3:$R$402,$AC172,출력_인턴현황!$K$2)&amp;""),FIND(" ",IF(OR($AC172="",출력_인턴현황!$K$2=""),"",INDEX(입력_인턴근무계획!$M$3:$R$402,$AC172,출력_인턴현황!$K$2)&amp;""))-1),$AE172))</f>
        <v/>
      </c>
      <c r="AH172" s="17">
        <f>IF($B172="","",IF($AQ172&lt;&gt;"",MAX(0,DAY(EOMONTH(출력_요약!$B$3,0))-N($AR172)),IF(TRIM($J172&amp;"")="",0,SUMPRODUCT((입력_파견수련계획!$Q$4:$Q$803=TRIM($J172&amp;""))*(입력_파견수련계획!$S$4:$S$803="서울병원")*입력_파견수련계획!$W$4:$W$803))+IF($AG172="서울병원",MAX(0,DAY(EOMONTH(출력_요약!$B$3,0))-N($X172)),0)))</f>
        <v/>
      </c>
      <c r="AI172" s="17">
        <f>IF($B172="","",IF($AQ172&lt;&gt;"",N($AR172),IF(TRIM($J172&amp;"")="",0,SUMPRODUCT((입력_파견수련계획!$Q$4:$Q$803=TRIM($J172&amp;""))*(입력_파견수련계획!$S$4:$S$803="구리병원")*입력_파견수련계획!$W$4:$W$803))+IF($AG172="구리병원",MAX(0,DAY(EOMONTH(출력_요약!$B$3,0))-N($X172)),0)))</f>
        <v/>
      </c>
      <c r="AJ172" s="10">
        <f>IF(OR($B172="",TRIM($J172&amp;"")=""),"",IFERROR(MATCH(TRIM($J172&amp;"")&amp;"|월",입력_파견수련계획!$Z$4:$Z$803,0),""))</f>
        <v/>
      </c>
      <c r="AK172" s="10">
        <f>IF(OR($B172="",TRIM($J172&amp;"")=""),"",IFERROR(MATCH(TRIM($J172&amp;"")&amp;"|다기관",입력_파견수련계획!$AE$4:$AE$803,0),""))</f>
        <v/>
      </c>
      <c r="AL172" s="10">
        <f>IF($AK172="","","다기관 "&amp;TEXT(INDEX(입력_파견수련계획!$AB$4:$AB$803,$AK172),"yyyy-mm-dd")&amp;"~"&amp;IF(ISNUMBER(INDEX(입력_파견수련계획!$AC$4:$AC$803,$AK172)),TEXT(INDEX(입력_파견수련계획!$AC$4:$AC$803,$AK172),"yyyy-mm-dd"),""))</f>
        <v/>
      </c>
      <c r="AM172" s="10">
        <f>IF($Y172="서울병원",COUNTIF($Y$2:$Y172,"서울병원"),"")</f>
        <v/>
      </c>
      <c r="AN172" s="10">
        <f>IF(LEFT($Y172,1)="⚠",COUNTIF($Y$2:$Y172,"⚠*"),"")</f>
        <v/>
      </c>
      <c r="AO172" s="10">
        <f>IF(OR($B172="",$Y172=""),"",IF(IF(TRIM($J172&amp;"")="",0,SUMPRODUCT((입력_파견수련계획!$Q$4:$Q$803=TRIM($J172&amp;""))*입력_파견수련계획!$AD$4:$AD$803))&gt;0,"다기관 기간 → 소속병원 지급",IF(AND(N($X172)&lt;=0,$AQ172=""),"파견 없음 → 그 달 근무병원 지급",IF($AH172+$AI172=DAY(EOMONTH(출력_요약!$B$3,0)),"서울 "&amp;$AH172&amp;"일 / 구리 "&amp;$AI172&amp;"일"&amp;IF($AQ172&lt;&gt;""," (구리 근무자명단 반영)","")&amp;" → 15일 이상 근무 병원 지급","타 병원 포함 → "&amp;IF($AJ172="","소속",INDEX(입력_파견수련계획!$T$4:$T$803,$AJ172))&amp;" 규칙"))))</f>
        <v/>
      </c>
      <c r="AP172" s="10">
        <f>IF($B172="","",$C172&amp;"|"&amp;$F172)</f>
        <v/>
      </c>
      <c r="AQ172" s="10">
        <f>IF($B172="","",IFERROR(MATCH(ROW()-1,출력_구리근무자!$K$6:$K$305,0),""))</f>
        <v/>
      </c>
      <c r="AR172" s="10">
        <f>IF($AQ172="","",INDEX(출력_구리근무자!$H$6:$H$305,$AQ172))</f>
        <v/>
      </c>
    </row>
    <row r="173">
      <c r="A173" s="10">
        <f>IF(B173="","",ROW()-1)</f>
        <v/>
      </c>
      <c r="B173" s="19" t="n"/>
      <c r="C173" s="10">
        <f>IF($AB173="","",IF(INDEX(입력_기본자료!$C$2:$C$1001,$AB173)="","",INDEX(입력_기본자료!$C$2:$C$1001,$AB173)))</f>
        <v/>
      </c>
      <c r="D173" s="10">
        <f>IF($AB173="","",IF(INDEX(입력_기본자료!$J$2:$J$1001,$AB173)="","",INDEX(입력_기본자료!$J$2:$J$1001,$AB173)))</f>
        <v/>
      </c>
      <c r="E173" s="11">
        <f>IF($AB173="","",IF(INDEX(입력_기본자료!$K$2:$K$1001,$AB173)="","",IF(NOT(ISNUMBER(INDEX(입력_기본자료!$K$2:$K$1001,$AB173))),INDEX(입력_기본자료!$K$2:$K$1001,$AB173),IF(INDEX(입력_기본자료!$K$2:$K$1001,$AB173)&lt;1000000,INDEX(입력_기본자료!$K$2:$K$1001,$AB173),IF(AND(INDEX(입력_기본자료!$K$2:$K$1001,$AB173)&gt;=10000101,INT(MOD(INDEX(입력_기본자료!$K$2:$K$1001,$AB173),10000)/100)&gt;=1,INT(MOD(INDEX(입력_기본자료!$K$2:$K$1001,$AB173),10000)/100)&lt;=12,MOD(INDEX(입력_기본자료!$K$2:$K$1001,$AB173),100)&gt;=1,MOD(INDEX(입력_기본자료!$K$2:$K$1001,$AB173),100)&lt;=31),DATE(INT(INDEX(입력_기본자료!$K$2:$K$1001,$AB173)/10000),INT(MOD(INDEX(입력_기본자료!$K$2:$K$1001,$AB173),10000)/100),MOD(INDEX(입력_기본자료!$K$2:$K$1001,$AB173),100)),INDEX(입력_기본자료!$K$2:$K$1001,$AB173)&amp;"")))))</f>
        <v/>
      </c>
      <c r="F173" s="10">
        <f>IF($AB173="","",IF(INDEX(입력_기본자료!$D$2:$D$1001,$AB173)="","",INDEX(입력_기본자료!$D$2:$D$1001,$AB173)))</f>
        <v/>
      </c>
      <c r="G173" s="10">
        <f>IF($AB173="","",IF(INDEX(입력_기본자료!$E$2:$E$1001,$AB173)="","",INDEX(입력_기본자료!$E$2:$E$1001,$AB173)))</f>
        <v/>
      </c>
      <c r="H173" s="10">
        <f>IF($AB173="","",IF(INDEX(입력_기본자료!$F$2:$F$1001,$AB173)="","",INDEX(입력_기본자료!$F$2:$F$1001,$AB173)))</f>
        <v/>
      </c>
      <c r="I173" s="11">
        <f>IF($AB173="","",IF(INDEX(입력_기본자료!$G$2:$G$1001,$AB173)="","",IF(NOT(ISNUMBER(INDEX(입력_기본자료!$G$2:$G$1001,$AB173))),INDEX(입력_기본자료!$G$2:$G$1001,$AB173),IF(INDEX(입력_기본자료!$G$2:$G$1001,$AB173)&lt;1000000,INDEX(입력_기본자료!$G$2:$G$1001,$AB173),IF(AND(INDEX(입력_기본자료!$G$2:$G$1001,$AB173)&gt;=10000101,INT(MOD(INDEX(입력_기본자료!$G$2:$G$1001,$AB173),10000)/100)&gt;=1,INT(MOD(INDEX(입력_기본자료!$G$2:$G$1001,$AB173),10000)/100)&lt;=12,MOD(INDEX(입력_기본자료!$G$2:$G$1001,$AB173),100)&gt;=1,MOD(INDEX(입력_기본자료!$G$2:$G$1001,$AB173),100)&lt;=31),DATE(INT(INDEX(입력_기본자료!$G$2:$G$1001,$AB173)/10000),INT(MOD(INDEX(입력_기본자료!$G$2:$G$1001,$AB173),10000)/100),MOD(INDEX(입력_기본자료!$G$2:$G$1001,$AB173),100)),INDEX(입력_기본자료!$G$2:$G$1001,$AB173)&amp;"")))))</f>
        <v/>
      </c>
      <c r="J173" s="10">
        <f>IF($AB173="","",IF(INDEX(입력_기본자료!$H$2:$H$1001,$AB173)="","",INDEX(입력_기본자료!$H$2:$H$1001,$AB173)))</f>
        <v/>
      </c>
      <c r="K173" s="10">
        <f>IF($AB173="","",IF(INDEX(입력_기본자료!$I$2:$I$1001,$AB173)="","",INDEX(입력_기본자료!$I$2:$I$1001,$AB173)))</f>
        <v/>
      </c>
      <c r="L173" s="10">
        <f>IF($AB173="","",IF(INDEX(입력_기본자료!$A$2:$A$1001,$AB173)="","",INDEX(입력_기본자료!$A$2:$A$1001,$AB173)))</f>
        <v/>
      </c>
      <c r="M173" s="15" t="n"/>
      <c r="N173" s="10">
        <f>IF($B173="","",IF(AND($U173="파견중",$Q173&lt;&gt;""),$Q173,IF(AND($AD173&lt;&gt;"",LEFT($AD173,1)&lt;&gt;"⚠"),LEFT($AD173,FIND(" ",$AD173)-1),IF($H173="","",IF(RIGHT($H173,2)="병원",$H173,$H173&amp;"병원")))))</f>
        <v/>
      </c>
      <c r="O173" s="10">
        <f>IF($B173="","",IF(AND($U173="파견중",$Q173&lt;&gt;""),IF($R173&lt;&gt;"",$R173,"파견과 미입력"),IF(AND($AD173&lt;&gt;"",LEFT($AD173,1)&lt;&gt;"⚠"),MID($AD173,FIND(" ",$AD173)+1,60),IF($F173="","",IF($F173="인턴","수련교육부(인턴)",$F173)))))</f>
        <v/>
      </c>
      <c r="P173" s="10">
        <f>IF($B173="","",IF($AK173&lt;&gt;"",IF(AND(TODAY()&gt;=INDEX(입력_파견수련계획!$AB$4:$AB$803,$AK173),OR(NOT(ISNUMBER(INDEX(입력_파견수련계획!$AC$4:$AC$803,$AK173))),TODAY()&lt;=INDEX(입력_파견수련계획!$AC$4:$AC$803,$AK173))),"다기관",IF($AF173="","",INDEX(입력_파견수련계획!$T$4:$T$803,$AF173))),IF($AF173="","",INDEX(입력_파견수련계획!$T$4:$T$803,$AF173))))</f>
        <v/>
      </c>
      <c r="Q173" s="10">
        <f>IF($AF173="","",INDEX(입력_파견수련계획!$S$4:$S$803,$AF173))</f>
        <v/>
      </c>
      <c r="R173" s="10">
        <f>IF($AF173="","",INDEX(입력_파견수련계획!$U$4:$U$803,$AF173))</f>
        <v/>
      </c>
      <c r="S173" s="11">
        <f>IF($AF173="","",IF(INDEX(입력_파견수련계획!$H$4:$H$803,$AF173)="","",INDEX(입력_파견수련계획!$H$4:$H$803,$AF173)))</f>
        <v/>
      </c>
      <c r="T173" s="11">
        <f>IF($AF173="","",IF(INDEX(입력_파견수련계획!$I$4:$I$803,$AF173)="","",INDEX(입력_파견수련계획!$I$4:$I$803,$AF173)))</f>
        <v/>
      </c>
      <c r="U173" s="10">
        <f>IF($AF173="","",INDEX(입력_파견수련계획!$X$4:$X$803,$AF173))</f>
        <v/>
      </c>
      <c r="V173" s="17">
        <f>IF($AF173="","",INDEX(입력_파견수련계획!$V$4:$V$803,$AF173))</f>
        <v/>
      </c>
      <c r="W173" s="17">
        <f>IF(AND($U173="파견중",$T173&lt;&gt;""),$T173-TODAY(),"")</f>
        <v/>
      </c>
      <c r="X173" s="17">
        <f>IF(OR($B173="",TRIM($J173&amp;"")=""),"",SUMPRODUCT((입력_파견수련계획!$Q$4:$Q$803=TRIM($J173&amp;""))*입력_파견수련계획!$W$4:$W$803))</f>
        <v/>
      </c>
      <c r="Y173" s="10">
        <f>IF($B173="","",IF($AG173="","",IF(IF(TRIM($J173&amp;"")="",0,SUMPRODUCT((입력_파견수련계획!$Q$4:$Q$803=TRIM($J173&amp;""))*입력_파견수련계획!$AD$4:$AD$803))&gt;0,$AE173,IF(AND(N($X173)&lt;=0,$AQ173=""),$AG173,IF($AH173+$AI173=DAY(EOMONTH(출력_요약!$B$3,0)),IF(AND($AH173&gt;=출력_요약!$E$3,$AI173&lt;출력_요약!$E$3),"서울병원",IF(AND($AI173&gt;=출력_요약!$E$3,$AH173&lt;출력_요약!$E$3),"구리병원","⚠15일 판정불가(서울 "&amp;$AH173&amp;"일/구리 "&amp;$AI173&amp;"일)")),IF($AJ173="",$AE173,IF(INDEX(입력_파견수련계획!$T$4:$T$803,$AJ173)="통합수련",INDEX(입력_파견수련계획!$S$4:$S$803,$AJ173),$AE173)))))))</f>
        <v/>
      </c>
      <c r="Z173" s="20">
        <f>IF($B173="","",IF($AB173="","기본자료에 없는 사번",IF(COUNTIF($B$2:$B$401,$B173)&gt;1,"중복 사번",IF($AE173="","소속(입사장소) 입력",IF(IF(TRIM($J173&amp;"")="",0,SUMPRODUCT((입력_파견수련계획!$Q$4:$Q$803=TRIM($J173&amp;""))*(입력_파견수련계획!$AA$4:$AA$803&lt;&gt;"")))&gt;0,"파견수련계획 입력오류 확인",IF(LEFT($Y173,1)="⚠","서울·구리 15일 판정 불가(양쪽 모두 이상/미만)",IF(IF($AC173="",0,N(INDEX(입력_인턴근무계획!$T$3:$T$402,$AC173)))&gt;0,"인턴계획 입력오류 확인",IF(AND($AQ173&lt;&gt;"",$AG173&lt;&gt;"구리병원",IF(TRIM($J173&amp;"")="",0,SUMPRODUCT((입력_파견수련계획!$Q$4:$Q$803=TRIM($J173&amp;""))*(입력_파견수련계획!$S$4:$S$803="구리병원")*입력_파견수련계획!$W$4:$W$803))=0),"구리 근무자명단에만 있음(파견수련계획 확인)",IF(AND($AC173&lt;&gt;"",$U173&lt;&gt;"파견중",$N173&lt;&gt;$AE173),"인턴 타지역 근무: 파견 여부 확인","정상")))))))))</f>
        <v/>
      </c>
      <c r="AA173" s="5" t="n"/>
      <c r="AB173" s="10">
        <f>IF($B173="","",IFERROR(MATCH($B173,입력_기본자료!$B$2:$B$1001,0),IFERROR(MATCH($B173&amp;"",입력_기본자료!$B$2:$B$1001,0),IFERROR(MATCH(VALUE($B173),입력_기본자료!$B$2:$B$1001,0),""))))</f>
        <v/>
      </c>
      <c r="AC173" s="10">
        <f>IF($B173="","",IFERROR(MATCH($B173,입력_인턴근무계획!$D$3:$D$402,0),IFERROR(MATCH($B173&amp;"",입력_인턴근무계획!$D$3:$D$402,0),IFERROR(MATCH(VALUE($B173),입력_인턴근무계획!$D$3:$D$402,0),""))))</f>
        <v/>
      </c>
      <c r="AD173" s="10">
        <f>IF(OR($AC173="",출력_인턴현황!$G$3=""),"",INDEX(입력_인턴근무계획!$M$3:$R$402,$AC173,출력_인턴현황!$G$3)&amp;"")</f>
        <v/>
      </c>
      <c r="AE173" s="10">
        <f>IF($B173="","",IF($M173&lt;&gt;"",$M173,IF(IF($AQ173="",FALSE,INDEX(출력_구리근무자!$J$6:$J$305,$AQ173)="구리독자"),"구리병원",IF($AF173&lt;&gt;"",IF(LEFT(INDEX(입력_파견수련계획!$R$4:$R$803,$AF173),1)&lt;&gt;"⚠",INDEX(입력_파견수련계획!$R$4:$R$803,$AF173),IF($H173="","",IF(RIGHT($H173,2)="병원",$H173,$H173&amp;"병원"))),IF($H173="","",IF(RIGHT($H173,2)="병원",$H173,$H173&amp;"병원"))))))</f>
        <v/>
      </c>
      <c r="AF173" s="10">
        <f>IF(OR($B173="",TRIM($J173&amp;"")=""),"",IFERROR(MATCH(TRIM($J173&amp;"")&amp;"|파견중",입력_파견수련계획!$Y$4:$Y$803,0),IFERROR(MATCH(TRIM($J173&amp;"")&amp;"|파견예정",입력_파견수련계획!$Y$4:$Y$803,0),IFERROR(MATCH(TRIM($J173&amp;"")&amp;"|파견종료",입력_파견수련계획!$Y$4:$Y$803,0),""))))</f>
        <v/>
      </c>
      <c r="AG173" s="10">
        <f>IF($B173="","",IF(AND(IF(OR($AC173="",출력_인턴현황!$K$2=""),"",INDEX(입력_인턴근무계획!$M$3:$R$402,$AC173,출력_인턴현황!$K$2)&amp;"")&lt;&gt;"",LEFT(IF(OR($AC173="",출력_인턴현황!$K$2=""),"",INDEX(입력_인턴근무계획!$M$3:$R$402,$AC173,출력_인턴현황!$K$2)&amp;""),1)&lt;&gt;"⚠"),LEFT(IF(OR($AC173="",출력_인턴현황!$K$2=""),"",INDEX(입력_인턴근무계획!$M$3:$R$402,$AC173,출력_인턴현황!$K$2)&amp;""),FIND(" ",IF(OR($AC173="",출력_인턴현황!$K$2=""),"",INDEX(입력_인턴근무계획!$M$3:$R$402,$AC173,출력_인턴현황!$K$2)&amp;""))-1),$AE173))</f>
        <v/>
      </c>
      <c r="AH173" s="17">
        <f>IF($B173="","",IF($AQ173&lt;&gt;"",MAX(0,DAY(EOMONTH(출력_요약!$B$3,0))-N($AR173)),IF(TRIM($J173&amp;"")="",0,SUMPRODUCT((입력_파견수련계획!$Q$4:$Q$803=TRIM($J173&amp;""))*(입력_파견수련계획!$S$4:$S$803="서울병원")*입력_파견수련계획!$W$4:$W$803))+IF($AG173="서울병원",MAX(0,DAY(EOMONTH(출력_요약!$B$3,0))-N($X173)),0)))</f>
        <v/>
      </c>
      <c r="AI173" s="17">
        <f>IF($B173="","",IF($AQ173&lt;&gt;"",N($AR173),IF(TRIM($J173&amp;"")="",0,SUMPRODUCT((입력_파견수련계획!$Q$4:$Q$803=TRIM($J173&amp;""))*(입력_파견수련계획!$S$4:$S$803="구리병원")*입력_파견수련계획!$W$4:$W$803))+IF($AG173="구리병원",MAX(0,DAY(EOMONTH(출력_요약!$B$3,0))-N($X173)),0)))</f>
        <v/>
      </c>
      <c r="AJ173" s="10">
        <f>IF(OR($B173="",TRIM($J173&amp;"")=""),"",IFERROR(MATCH(TRIM($J173&amp;"")&amp;"|월",입력_파견수련계획!$Z$4:$Z$803,0),""))</f>
        <v/>
      </c>
      <c r="AK173" s="10">
        <f>IF(OR($B173="",TRIM($J173&amp;"")=""),"",IFERROR(MATCH(TRIM($J173&amp;"")&amp;"|다기관",입력_파견수련계획!$AE$4:$AE$803,0),""))</f>
        <v/>
      </c>
      <c r="AL173" s="10">
        <f>IF($AK173="","","다기관 "&amp;TEXT(INDEX(입력_파견수련계획!$AB$4:$AB$803,$AK173),"yyyy-mm-dd")&amp;"~"&amp;IF(ISNUMBER(INDEX(입력_파견수련계획!$AC$4:$AC$803,$AK173)),TEXT(INDEX(입력_파견수련계획!$AC$4:$AC$803,$AK173),"yyyy-mm-dd"),""))</f>
        <v/>
      </c>
      <c r="AM173" s="10">
        <f>IF($Y173="서울병원",COUNTIF($Y$2:$Y173,"서울병원"),"")</f>
        <v/>
      </c>
      <c r="AN173" s="10">
        <f>IF(LEFT($Y173,1)="⚠",COUNTIF($Y$2:$Y173,"⚠*"),"")</f>
        <v/>
      </c>
      <c r="AO173" s="10">
        <f>IF(OR($B173="",$Y173=""),"",IF(IF(TRIM($J173&amp;"")="",0,SUMPRODUCT((입력_파견수련계획!$Q$4:$Q$803=TRIM($J173&amp;""))*입력_파견수련계획!$AD$4:$AD$803))&gt;0,"다기관 기간 → 소속병원 지급",IF(AND(N($X173)&lt;=0,$AQ173=""),"파견 없음 → 그 달 근무병원 지급",IF($AH173+$AI173=DAY(EOMONTH(출력_요약!$B$3,0)),"서울 "&amp;$AH173&amp;"일 / 구리 "&amp;$AI173&amp;"일"&amp;IF($AQ173&lt;&gt;""," (구리 근무자명단 반영)","")&amp;" → 15일 이상 근무 병원 지급","타 병원 포함 → "&amp;IF($AJ173="","소속",INDEX(입력_파견수련계획!$T$4:$T$803,$AJ173))&amp;" 규칙"))))</f>
        <v/>
      </c>
      <c r="AP173" s="10">
        <f>IF($B173="","",$C173&amp;"|"&amp;$F173)</f>
        <v/>
      </c>
      <c r="AQ173" s="10">
        <f>IF($B173="","",IFERROR(MATCH(ROW()-1,출력_구리근무자!$K$6:$K$305,0),""))</f>
        <v/>
      </c>
      <c r="AR173" s="10">
        <f>IF($AQ173="","",INDEX(출력_구리근무자!$H$6:$H$305,$AQ173))</f>
        <v/>
      </c>
    </row>
    <row r="174">
      <c r="A174" s="10">
        <f>IF(B174="","",ROW()-1)</f>
        <v/>
      </c>
      <c r="B174" s="19" t="n"/>
      <c r="C174" s="10">
        <f>IF($AB174="","",IF(INDEX(입력_기본자료!$C$2:$C$1001,$AB174)="","",INDEX(입력_기본자료!$C$2:$C$1001,$AB174)))</f>
        <v/>
      </c>
      <c r="D174" s="10">
        <f>IF($AB174="","",IF(INDEX(입력_기본자료!$J$2:$J$1001,$AB174)="","",INDEX(입력_기본자료!$J$2:$J$1001,$AB174)))</f>
        <v/>
      </c>
      <c r="E174" s="11">
        <f>IF($AB174="","",IF(INDEX(입력_기본자료!$K$2:$K$1001,$AB174)="","",IF(NOT(ISNUMBER(INDEX(입력_기본자료!$K$2:$K$1001,$AB174))),INDEX(입력_기본자료!$K$2:$K$1001,$AB174),IF(INDEX(입력_기본자료!$K$2:$K$1001,$AB174)&lt;1000000,INDEX(입력_기본자료!$K$2:$K$1001,$AB174),IF(AND(INDEX(입력_기본자료!$K$2:$K$1001,$AB174)&gt;=10000101,INT(MOD(INDEX(입력_기본자료!$K$2:$K$1001,$AB174),10000)/100)&gt;=1,INT(MOD(INDEX(입력_기본자료!$K$2:$K$1001,$AB174),10000)/100)&lt;=12,MOD(INDEX(입력_기본자료!$K$2:$K$1001,$AB174),100)&gt;=1,MOD(INDEX(입력_기본자료!$K$2:$K$1001,$AB174),100)&lt;=31),DATE(INT(INDEX(입력_기본자료!$K$2:$K$1001,$AB174)/10000),INT(MOD(INDEX(입력_기본자료!$K$2:$K$1001,$AB174),10000)/100),MOD(INDEX(입력_기본자료!$K$2:$K$1001,$AB174),100)),INDEX(입력_기본자료!$K$2:$K$1001,$AB174)&amp;"")))))</f>
        <v/>
      </c>
      <c r="F174" s="10">
        <f>IF($AB174="","",IF(INDEX(입력_기본자료!$D$2:$D$1001,$AB174)="","",INDEX(입력_기본자료!$D$2:$D$1001,$AB174)))</f>
        <v/>
      </c>
      <c r="G174" s="10">
        <f>IF($AB174="","",IF(INDEX(입력_기본자료!$E$2:$E$1001,$AB174)="","",INDEX(입력_기본자료!$E$2:$E$1001,$AB174)))</f>
        <v/>
      </c>
      <c r="H174" s="10">
        <f>IF($AB174="","",IF(INDEX(입력_기본자료!$F$2:$F$1001,$AB174)="","",INDEX(입력_기본자료!$F$2:$F$1001,$AB174)))</f>
        <v/>
      </c>
      <c r="I174" s="11">
        <f>IF($AB174="","",IF(INDEX(입력_기본자료!$G$2:$G$1001,$AB174)="","",IF(NOT(ISNUMBER(INDEX(입력_기본자료!$G$2:$G$1001,$AB174))),INDEX(입력_기본자료!$G$2:$G$1001,$AB174),IF(INDEX(입력_기본자료!$G$2:$G$1001,$AB174)&lt;1000000,INDEX(입력_기본자료!$G$2:$G$1001,$AB174),IF(AND(INDEX(입력_기본자료!$G$2:$G$1001,$AB174)&gt;=10000101,INT(MOD(INDEX(입력_기본자료!$G$2:$G$1001,$AB174),10000)/100)&gt;=1,INT(MOD(INDEX(입력_기본자료!$G$2:$G$1001,$AB174),10000)/100)&lt;=12,MOD(INDEX(입력_기본자료!$G$2:$G$1001,$AB174),100)&gt;=1,MOD(INDEX(입력_기본자료!$G$2:$G$1001,$AB174),100)&lt;=31),DATE(INT(INDEX(입력_기본자료!$G$2:$G$1001,$AB174)/10000),INT(MOD(INDEX(입력_기본자료!$G$2:$G$1001,$AB174),10000)/100),MOD(INDEX(입력_기본자료!$G$2:$G$1001,$AB174),100)),INDEX(입력_기본자료!$G$2:$G$1001,$AB174)&amp;"")))))</f>
        <v/>
      </c>
      <c r="J174" s="10">
        <f>IF($AB174="","",IF(INDEX(입력_기본자료!$H$2:$H$1001,$AB174)="","",INDEX(입력_기본자료!$H$2:$H$1001,$AB174)))</f>
        <v/>
      </c>
      <c r="K174" s="10">
        <f>IF($AB174="","",IF(INDEX(입력_기본자료!$I$2:$I$1001,$AB174)="","",INDEX(입력_기본자료!$I$2:$I$1001,$AB174)))</f>
        <v/>
      </c>
      <c r="L174" s="10">
        <f>IF($AB174="","",IF(INDEX(입력_기본자료!$A$2:$A$1001,$AB174)="","",INDEX(입력_기본자료!$A$2:$A$1001,$AB174)))</f>
        <v/>
      </c>
      <c r="M174" s="15" t="n"/>
      <c r="N174" s="10">
        <f>IF($B174="","",IF(AND($U174="파견중",$Q174&lt;&gt;""),$Q174,IF(AND($AD174&lt;&gt;"",LEFT($AD174,1)&lt;&gt;"⚠"),LEFT($AD174,FIND(" ",$AD174)-1),IF($H174="","",IF(RIGHT($H174,2)="병원",$H174,$H174&amp;"병원")))))</f>
        <v/>
      </c>
      <c r="O174" s="10">
        <f>IF($B174="","",IF(AND($U174="파견중",$Q174&lt;&gt;""),IF($R174&lt;&gt;"",$R174,"파견과 미입력"),IF(AND($AD174&lt;&gt;"",LEFT($AD174,1)&lt;&gt;"⚠"),MID($AD174,FIND(" ",$AD174)+1,60),IF($F174="","",IF($F174="인턴","수련교육부(인턴)",$F174)))))</f>
        <v/>
      </c>
      <c r="P174" s="10">
        <f>IF($B174="","",IF($AK174&lt;&gt;"",IF(AND(TODAY()&gt;=INDEX(입력_파견수련계획!$AB$4:$AB$803,$AK174),OR(NOT(ISNUMBER(INDEX(입력_파견수련계획!$AC$4:$AC$803,$AK174))),TODAY()&lt;=INDEX(입력_파견수련계획!$AC$4:$AC$803,$AK174))),"다기관",IF($AF174="","",INDEX(입력_파견수련계획!$T$4:$T$803,$AF174))),IF($AF174="","",INDEX(입력_파견수련계획!$T$4:$T$803,$AF174))))</f>
        <v/>
      </c>
      <c r="Q174" s="10">
        <f>IF($AF174="","",INDEX(입력_파견수련계획!$S$4:$S$803,$AF174))</f>
        <v/>
      </c>
      <c r="R174" s="10">
        <f>IF($AF174="","",INDEX(입력_파견수련계획!$U$4:$U$803,$AF174))</f>
        <v/>
      </c>
      <c r="S174" s="11">
        <f>IF($AF174="","",IF(INDEX(입력_파견수련계획!$H$4:$H$803,$AF174)="","",INDEX(입력_파견수련계획!$H$4:$H$803,$AF174)))</f>
        <v/>
      </c>
      <c r="T174" s="11">
        <f>IF($AF174="","",IF(INDEX(입력_파견수련계획!$I$4:$I$803,$AF174)="","",INDEX(입력_파견수련계획!$I$4:$I$803,$AF174)))</f>
        <v/>
      </c>
      <c r="U174" s="10">
        <f>IF($AF174="","",INDEX(입력_파견수련계획!$X$4:$X$803,$AF174))</f>
        <v/>
      </c>
      <c r="V174" s="17">
        <f>IF($AF174="","",INDEX(입력_파견수련계획!$V$4:$V$803,$AF174))</f>
        <v/>
      </c>
      <c r="W174" s="17">
        <f>IF(AND($U174="파견중",$T174&lt;&gt;""),$T174-TODAY(),"")</f>
        <v/>
      </c>
      <c r="X174" s="17">
        <f>IF(OR($B174="",TRIM($J174&amp;"")=""),"",SUMPRODUCT((입력_파견수련계획!$Q$4:$Q$803=TRIM($J174&amp;""))*입력_파견수련계획!$W$4:$W$803))</f>
        <v/>
      </c>
      <c r="Y174" s="10">
        <f>IF($B174="","",IF($AG174="","",IF(IF(TRIM($J174&amp;"")="",0,SUMPRODUCT((입력_파견수련계획!$Q$4:$Q$803=TRIM($J174&amp;""))*입력_파견수련계획!$AD$4:$AD$803))&gt;0,$AE174,IF(AND(N($X174)&lt;=0,$AQ174=""),$AG174,IF($AH174+$AI174=DAY(EOMONTH(출력_요약!$B$3,0)),IF(AND($AH174&gt;=출력_요약!$E$3,$AI174&lt;출력_요약!$E$3),"서울병원",IF(AND($AI174&gt;=출력_요약!$E$3,$AH174&lt;출력_요약!$E$3),"구리병원","⚠15일 판정불가(서울 "&amp;$AH174&amp;"일/구리 "&amp;$AI174&amp;"일)")),IF($AJ174="",$AE174,IF(INDEX(입력_파견수련계획!$T$4:$T$803,$AJ174)="통합수련",INDEX(입력_파견수련계획!$S$4:$S$803,$AJ174),$AE174)))))))</f>
        <v/>
      </c>
      <c r="Z174" s="20">
        <f>IF($B174="","",IF($AB174="","기본자료에 없는 사번",IF(COUNTIF($B$2:$B$401,$B174)&gt;1,"중복 사번",IF($AE174="","소속(입사장소) 입력",IF(IF(TRIM($J174&amp;"")="",0,SUMPRODUCT((입력_파견수련계획!$Q$4:$Q$803=TRIM($J174&amp;""))*(입력_파견수련계획!$AA$4:$AA$803&lt;&gt;"")))&gt;0,"파견수련계획 입력오류 확인",IF(LEFT($Y174,1)="⚠","서울·구리 15일 판정 불가(양쪽 모두 이상/미만)",IF(IF($AC174="",0,N(INDEX(입력_인턴근무계획!$T$3:$T$402,$AC174)))&gt;0,"인턴계획 입력오류 확인",IF(AND($AQ174&lt;&gt;"",$AG174&lt;&gt;"구리병원",IF(TRIM($J174&amp;"")="",0,SUMPRODUCT((입력_파견수련계획!$Q$4:$Q$803=TRIM($J174&amp;""))*(입력_파견수련계획!$S$4:$S$803="구리병원")*입력_파견수련계획!$W$4:$W$803))=0),"구리 근무자명단에만 있음(파견수련계획 확인)",IF(AND($AC174&lt;&gt;"",$U174&lt;&gt;"파견중",$N174&lt;&gt;$AE174),"인턴 타지역 근무: 파견 여부 확인","정상")))))))))</f>
        <v/>
      </c>
      <c r="AA174" s="5" t="n"/>
      <c r="AB174" s="10">
        <f>IF($B174="","",IFERROR(MATCH($B174,입력_기본자료!$B$2:$B$1001,0),IFERROR(MATCH($B174&amp;"",입력_기본자료!$B$2:$B$1001,0),IFERROR(MATCH(VALUE($B174),입력_기본자료!$B$2:$B$1001,0),""))))</f>
        <v/>
      </c>
      <c r="AC174" s="10">
        <f>IF($B174="","",IFERROR(MATCH($B174,입력_인턴근무계획!$D$3:$D$402,0),IFERROR(MATCH($B174&amp;"",입력_인턴근무계획!$D$3:$D$402,0),IFERROR(MATCH(VALUE($B174),입력_인턴근무계획!$D$3:$D$402,0),""))))</f>
        <v/>
      </c>
      <c r="AD174" s="10">
        <f>IF(OR($AC174="",출력_인턴현황!$G$3=""),"",INDEX(입력_인턴근무계획!$M$3:$R$402,$AC174,출력_인턴현황!$G$3)&amp;"")</f>
        <v/>
      </c>
      <c r="AE174" s="10">
        <f>IF($B174="","",IF($M174&lt;&gt;"",$M174,IF(IF($AQ174="",FALSE,INDEX(출력_구리근무자!$J$6:$J$305,$AQ174)="구리독자"),"구리병원",IF($AF174&lt;&gt;"",IF(LEFT(INDEX(입력_파견수련계획!$R$4:$R$803,$AF174),1)&lt;&gt;"⚠",INDEX(입력_파견수련계획!$R$4:$R$803,$AF174),IF($H174="","",IF(RIGHT($H174,2)="병원",$H174,$H174&amp;"병원"))),IF($H174="","",IF(RIGHT($H174,2)="병원",$H174,$H174&amp;"병원"))))))</f>
        <v/>
      </c>
      <c r="AF174" s="10">
        <f>IF(OR($B174="",TRIM($J174&amp;"")=""),"",IFERROR(MATCH(TRIM($J174&amp;"")&amp;"|파견중",입력_파견수련계획!$Y$4:$Y$803,0),IFERROR(MATCH(TRIM($J174&amp;"")&amp;"|파견예정",입력_파견수련계획!$Y$4:$Y$803,0),IFERROR(MATCH(TRIM($J174&amp;"")&amp;"|파견종료",입력_파견수련계획!$Y$4:$Y$803,0),""))))</f>
        <v/>
      </c>
      <c r="AG174" s="10">
        <f>IF($B174="","",IF(AND(IF(OR($AC174="",출력_인턴현황!$K$2=""),"",INDEX(입력_인턴근무계획!$M$3:$R$402,$AC174,출력_인턴현황!$K$2)&amp;"")&lt;&gt;"",LEFT(IF(OR($AC174="",출력_인턴현황!$K$2=""),"",INDEX(입력_인턴근무계획!$M$3:$R$402,$AC174,출력_인턴현황!$K$2)&amp;""),1)&lt;&gt;"⚠"),LEFT(IF(OR($AC174="",출력_인턴현황!$K$2=""),"",INDEX(입력_인턴근무계획!$M$3:$R$402,$AC174,출력_인턴현황!$K$2)&amp;""),FIND(" ",IF(OR($AC174="",출력_인턴현황!$K$2=""),"",INDEX(입력_인턴근무계획!$M$3:$R$402,$AC174,출력_인턴현황!$K$2)&amp;""))-1),$AE174))</f>
        <v/>
      </c>
      <c r="AH174" s="17">
        <f>IF($B174="","",IF($AQ174&lt;&gt;"",MAX(0,DAY(EOMONTH(출력_요약!$B$3,0))-N($AR174)),IF(TRIM($J174&amp;"")="",0,SUMPRODUCT((입력_파견수련계획!$Q$4:$Q$803=TRIM($J174&amp;""))*(입력_파견수련계획!$S$4:$S$803="서울병원")*입력_파견수련계획!$W$4:$W$803))+IF($AG174="서울병원",MAX(0,DAY(EOMONTH(출력_요약!$B$3,0))-N($X174)),0)))</f>
        <v/>
      </c>
      <c r="AI174" s="17">
        <f>IF($B174="","",IF($AQ174&lt;&gt;"",N($AR174),IF(TRIM($J174&amp;"")="",0,SUMPRODUCT((입력_파견수련계획!$Q$4:$Q$803=TRIM($J174&amp;""))*(입력_파견수련계획!$S$4:$S$803="구리병원")*입력_파견수련계획!$W$4:$W$803))+IF($AG174="구리병원",MAX(0,DAY(EOMONTH(출력_요약!$B$3,0))-N($X174)),0)))</f>
        <v/>
      </c>
      <c r="AJ174" s="10">
        <f>IF(OR($B174="",TRIM($J174&amp;"")=""),"",IFERROR(MATCH(TRIM($J174&amp;"")&amp;"|월",입력_파견수련계획!$Z$4:$Z$803,0),""))</f>
        <v/>
      </c>
      <c r="AK174" s="10">
        <f>IF(OR($B174="",TRIM($J174&amp;"")=""),"",IFERROR(MATCH(TRIM($J174&amp;"")&amp;"|다기관",입력_파견수련계획!$AE$4:$AE$803,0),""))</f>
        <v/>
      </c>
      <c r="AL174" s="10">
        <f>IF($AK174="","","다기관 "&amp;TEXT(INDEX(입력_파견수련계획!$AB$4:$AB$803,$AK174),"yyyy-mm-dd")&amp;"~"&amp;IF(ISNUMBER(INDEX(입력_파견수련계획!$AC$4:$AC$803,$AK174)),TEXT(INDEX(입력_파견수련계획!$AC$4:$AC$803,$AK174),"yyyy-mm-dd"),""))</f>
        <v/>
      </c>
      <c r="AM174" s="10">
        <f>IF($Y174="서울병원",COUNTIF($Y$2:$Y174,"서울병원"),"")</f>
        <v/>
      </c>
      <c r="AN174" s="10">
        <f>IF(LEFT($Y174,1)="⚠",COUNTIF($Y$2:$Y174,"⚠*"),"")</f>
        <v/>
      </c>
      <c r="AO174" s="10">
        <f>IF(OR($B174="",$Y174=""),"",IF(IF(TRIM($J174&amp;"")="",0,SUMPRODUCT((입력_파견수련계획!$Q$4:$Q$803=TRIM($J174&amp;""))*입력_파견수련계획!$AD$4:$AD$803))&gt;0,"다기관 기간 → 소속병원 지급",IF(AND(N($X174)&lt;=0,$AQ174=""),"파견 없음 → 그 달 근무병원 지급",IF($AH174+$AI174=DAY(EOMONTH(출력_요약!$B$3,0)),"서울 "&amp;$AH174&amp;"일 / 구리 "&amp;$AI174&amp;"일"&amp;IF($AQ174&lt;&gt;""," (구리 근무자명단 반영)","")&amp;" → 15일 이상 근무 병원 지급","타 병원 포함 → "&amp;IF($AJ174="","소속",INDEX(입력_파견수련계획!$T$4:$T$803,$AJ174))&amp;" 규칙"))))</f>
        <v/>
      </c>
      <c r="AP174" s="10">
        <f>IF($B174="","",$C174&amp;"|"&amp;$F174)</f>
        <v/>
      </c>
      <c r="AQ174" s="10">
        <f>IF($B174="","",IFERROR(MATCH(ROW()-1,출력_구리근무자!$K$6:$K$305,0),""))</f>
        <v/>
      </c>
      <c r="AR174" s="10">
        <f>IF($AQ174="","",INDEX(출력_구리근무자!$H$6:$H$305,$AQ174))</f>
        <v/>
      </c>
    </row>
    <row r="175">
      <c r="A175" s="10">
        <f>IF(B175="","",ROW()-1)</f>
        <v/>
      </c>
      <c r="B175" s="19" t="n"/>
      <c r="C175" s="10">
        <f>IF($AB175="","",IF(INDEX(입력_기본자료!$C$2:$C$1001,$AB175)="","",INDEX(입력_기본자료!$C$2:$C$1001,$AB175)))</f>
        <v/>
      </c>
      <c r="D175" s="10">
        <f>IF($AB175="","",IF(INDEX(입력_기본자료!$J$2:$J$1001,$AB175)="","",INDEX(입력_기본자료!$J$2:$J$1001,$AB175)))</f>
        <v/>
      </c>
      <c r="E175" s="11">
        <f>IF($AB175="","",IF(INDEX(입력_기본자료!$K$2:$K$1001,$AB175)="","",IF(NOT(ISNUMBER(INDEX(입력_기본자료!$K$2:$K$1001,$AB175))),INDEX(입력_기본자료!$K$2:$K$1001,$AB175),IF(INDEX(입력_기본자료!$K$2:$K$1001,$AB175)&lt;1000000,INDEX(입력_기본자료!$K$2:$K$1001,$AB175),IF(AND(INDEX(입력_기본자료!$K$2:$K$1001,$AB175)&gt;=10000101,INT(MOD(INDEX(입력_기본자료!$K$2:$K$1001,$AB175),10000)/100)&gt;=1,INT(MOD(INDEX(입력_기본자료!$K$2:$K$1001,$AB175),10000)/100)&lt;=12,MOD(INDEX(입력_기본자료!$K$2:$K$1001,$AB175),100)&gt;=1,MOD(INDEX(입력_기본자료!$K$2:$K$1001,$AB175),100)&lt;=31),DATE(INT(INDEX(입력_기본자료!$K$2:$K$1001,$AB175)/10000),INT(MOD(INDEX(입력_기본자료!$K$2:$K$1001,$AB175),10000)/100),MOD(INDEX(입력_기본자료!$K$2:$K$1001,$AB175),100)),INDEX(입력_기본자료!$K$2:$K$1001,$AB175)&amp;"")))))</f>
        <v/>
      </c>
      <c r="F175" s="10">
        <f>IF($AB175="","",IF(INDEX(입력_기본자료!$D$2:$D$1001,$AB175)="","",INDEX(입력_기본자료!$D$2:$D$1001,$AB175)))</f>
        <v/>
      </c>
      <c r="G175" s="10">
        <f>IF($AB175="","",IF(INDEX(입력_기본자료!$E$2:$E$1001,$AB175)="","",INDEX(입력_기본자료!$E$2:$E$1001,$AB175)))</f>
        <v/>
      </c>
      <c r="H175" s="10">
        <f>IF($AB175="","",IF(INDEX(입력_기본자료!$F$2:$F$1001,$AB175)="","",INDEX(입력_기본자료!$F$2:$F$1001,$AB175)))</f>
        <v/>
      </c>
      <c r="I175" s="11">
        <f>IF($AB175="","",IF(INDEX(입력_기본자료!$G$2:$G$1001,$AB175)="","",IF(NOT(ISNUMBER(INDEX(입력_기본자료!$G$2:$G$1001,$AB175))),INDEX(입력_기본자료!$G$2:$G$1001,$AB175),IF(INDEX(입력_기본자료!$G$2:$G$1001,$AB175)&lt;1000000,INDEX(입력_기본자료!$G$2:$G$1001,$AB175),IF(AND(INDEX(입력_기본자료!$G$2:$G$1001,$AB175)&gt;=10000101,INT(MOD(INDEX(입력_기본자료!$G$2:$G$1001,$AB175),10000)/100)&gt;=1,INT(MOD(INDEX(입력_기본자료!$G$2:$G$1001,$AB175),10000)/100)&lt;=12,MOD(INDEX(입력_기본자료!$G$2:$G$1001,$AB175),100)&gt;=1,MOD(INDEX(입력_기본자료!$G$2:$G$1001,$AB175),100)&lt;=31),DATE(INT(INDEX(입력_기본자료!$G$2:$G$1001,$AB175)/10000),INT(MOD(INDEX(입력_기본자료!$G$2:$G$1001,$AB175),10000)/100),MOD(INDEX(입력_기본자료!$G$2:$G$1001,$AB175),100)),INDEX(입력_기본자료!$G$2:$G$1001,$AB175)&amp;"")))))</f>
        <v/>
      </c>
      <c r="J175" s="10">
        <f>IF($AB175="","",IF(INDEX(입력_기본자료!$H$2:$H$1001,$AB175)="","",INDEX(입력_기본자료!$H$2:$H$1001,$AB175)))</f>
        <v/>
      </c>
      <c r="K175" s="10">
        <f>IF($AB175="","",IF(INDEX(입력_기본자료!$I$2:$I$1001,$AB175)="","",INDEX(입력_기본자료!$I$2:$I$1001,$AB175)))</f>
        <v/>
      </c>
      <c r="L175" s="10">
        <f>IF($AB175="","",IF(INDEX(입력_기본자료!$A$2:$A$1001,$AB175)="","",INDEX(입력_기본자료!$A$2:$A$1001,$AB175)))</f>
        <v/>
      </c>
      <c r="M175" s="15" t="n"/>
      <c r="N175" s="10">
        <f>IF($B175="","",IF(AND($U175="파견중",$Q175&lt;&gt;""),$Q175,IF(AND($AD175&lt;&gt;"",LEFT($AD175,1)&lt;&gt;"⚠"),LEFT($AD175,FIND(" ",$AD175)-1),IF($H175="","",IF(RIGHT($H175,2)="병원",$H175,$H175&amp;"병원")))))</f>
        <v/>
      </c>
      <c r="O175" s="10">
        <f>IF($B175="","",IF(AND($U175="파견중",$Q175&lt;&gt;""),IF($R175&lt;&gt;"",$R175,"파견과 미입력"),IF(AND($AD175&lt;&gt;"",LEFT($AD175,1)&lt;&gt;"⚠"),MID($AD175,FIND(" ",$AD175)+1,60),IF($F175="","",IF($F175="인턴","수련교육부(인턴)",$F175)))))</f>
        <v/>
      </c>
      <c r="P175" s="10">
        <f>IF($B175="","",IF($AK175&lt;&gt;"",IF(AND(TODAY()&gt;=INDEX(입력_파견수련계획!$AB$4:$AB$803,$AK175),OR(NOT(ISNUMBER(INDEX(입력_파견수련계획!$AC$4:$AC$803,$AK175))),TODAY()&lt;=INDEX(입력_파견수련계획!$AC$4:$AC$803,$AK175))),"다기관",IF($AF175="","",INDEX(입력_파견수련계획!$T$4:$T$803,$AF175))),IF($AF175="","",INDEX(입력_파견수련계획!$T$4:$T$803,$AF175))))</f>
        <v/>
      </c>
      <c r="Q175" s="10">
        <f>IF($AF175="","",INDEX(입력_파견수련계획!$S$4:$S$803,$AF175))</f>
        <v/>
      </c>
      <c r="R175" s="10">
        <f>IF($AF175="","",INDEX(입력_파견수련계획!$U$4:$U$803,$AF175))</f>
        <v/>
      </c>
      <c r="S175" s="11">
        <f>IF($AF175="","",IF(INDEX(입력_파견수련계획!$H$4:$H$803,$AF175)="","",INDEX(입력_파견수련계획!$H$4:$H$803,$AF175)))</f>
        <v/>
      </c>
      <c r="T175" s="11">
        <f>IF($AF175="","",IF(INDEX(입력_파견수련계획!$I$4:$I$803,$AF175)="","",INDEX(입력_파견수련계획!$I$4:$I$803,$AF175)))</f>
        <v/>
      </c>
      <c r="U175" s="10">
        <f>IF($AF175="","",INDEX(입력_파견수련계획!$X$4:$X$803,$AF175))</f>
        <v/>
      </c>
      <c r="V175" s="17">
        <f>IF($AF175="","",INDEX(입력_파견수련계획!$V$4:$V$803,$AF175))</f>
        <v/>
      </c>
      <c r="W175" s="17">
        <f>IF(AND($U175="파견중",$T175&lt;&gt;""),$T175-TODAY(),"")</f>
        <v/>
      </c>
      <c r="X175" s="17">
        <f>IF(OR($B175="",TRIM($J175&amp;"")=""),"",SUMPRODUCT((입력_파견수련계획!$Q$4:$Q$803=TRIM($J175&amp;""))*입력_파견수련계획!$W$4:$W$803))</f>
        <v/>
      </c>
      <c r="Y175" s="10">
        <f>IF($B175="","",IF($AG175="","",IF(IF(TRIM($J175&amp;"")="",0,SUMPRODUCT((입력_파견수련계획!$Q$4:$Q$803=TRIM($J175&amp;""))*입력_파견수련계획!$AD$4:$AD$803))&gt;0,$AE175,IF(AND(N($X175)&lt;=0,$AQ175=""),$AG175,IF($AH175+$AI175=DAY(EOMONTH(출력_요약!$B$3,0)),IF(AND($AH175&gt;=출력_요약!$E$3,$AI175&lt;출력_요약!$E$3),"서울병원",IF(AND($AI175&gt;=출력_요약!$E$3,$AH175&lt;출력_요약!$E$3),"구리병원","⚠15일 판정불가(서울 "&amp;$AH175&amp;"일/구리 "&amp;$AI175&amp;"일)")),IF($AJ175="",$AE175,IF(INDEX(입력_파견수련계획!$T$4:$T$803,$AJ175)="통합수련",INDEX(입력_파견수련계획!$S$4:$S$803,$AJ175),$AE175)))))))</f>
        <v/>
      </c>
      <c r="Z175" s="20">
        <f>IF($B175="","",IF($AB175="","기본자료에 없는 사번",IF(COUNTIF($B$2:$B$401,$B175)&gt;1,"중복 사번",IF($AE175="","소속(입사장소) 입력",IF(IF(TRIM($J175&amp;"")="",0,SUMPRODUCT((입력_파견수련계획!$Q$4:$Q$803=TRIM($J175&amp;""))*(입력_파견수련계획!$AA$4:$AA$803&lt;&gt;"")))&gt;0,"파견수련계획 입력오류 확인",IF(LEFT($Y175,1)="⚠","서울·구리 15일 판정 불가(양쪽 모두 이상/미만)",IF(IF($AC175="",0,N(INDEX(입력_인턴근무계획!$T$3:$T$402,$AC175)))&gt;0,"인턴계획 입력오류 확인",IF(AND($AQ175&lt;&gt;"",$AG175&lt;&gt;"구리병원",IF(TRIM($J175&amp;"")="",0,SUMPRODUCT((입력_파견수련계획!$Q$4:$Q$803=TRIM($J175&amp;""))*(입력_파견수련계획!$S$4:$S$803="구리병원")*입력_파견수련계획!$W$4:$W$803))=0),"구리 근무자명단에만 있음(파견수련계획 확인)",IF(AND($AC175&lt;&gt;"",$U175&lt;&gt;"파견중",$N175&lt;&gt;$AE175),"인턴 타지역 근무: 파견 여부 확인","정상")))))))))</f>
        <v/>
      </c>
      <c r="AA175" s="5" t="n"/>
      <c r="AB175" s="10">
        <f>IF($B175="","",IFERROR(MATCH($B175,입력_기본자료!$B$2:$B$1001,0),IFERROR(MATCH($B175&amp;"",입력_기본자료!$B$2:$B$1001,0),IFERROR(MATCH(VALUE($B175),입력_기본자료!$B$2:$B$1001,0),""))))</f>
        <v/>
      </c>
      <c r="AC175" s="10">
        <f>IF($B175="","",IFERROR(MATCH($B175,입력_인턴근무계획!$D$3:$D$402,0),IFERROR(MATCH($B175&amp;"",입력_인턴근무계획!$D$3:$D$402,0),IFERROR(MATCH(VALUE($B175),입력_인턴근무계획!$D$3:$D$402,0),""))))</f>
        <v/>
      </c>
      <c r="AD175" s="10">
        <f>IF(OR($AC175="",출력_인턴현황!$G$3=""),"",INDEX(입력_인턴근무계획!$M$3:$R$402,$AC175,출력_인턴현황!$G$3)&amp;"")</f>
        <v/>
      </c>
      <c r="AE175" s="10">
        <f>IF($B175="","",IF($M175&lt;&gt;"",$M175,IF(IF($AQ175="",FALSE,INDEX(출력_구리근무자!$J$6:$J$305,$AQ175)="구리독자"),"구리병원",IF($AF175&lt;&gt;"",IF(LEFT(INDEX(입력_파견수련계획!$R$4:$R$803,$AF175),1)&lt;&gt;"⚠",INDEX(입력_파견수련계획!$R$4:$R$803,$AF175),IF($H175="","",IF(RIGHT($H175,2)="병원",$H175,$H175&amp;"병원"))),IF($H175="","",IF(RIGHT($H175,2)="병원",$H175,$H175&amp;"병원"))))))</f>
        <v/>
      </c>
      <c r="AF175" s="10">
        <f>IF(OR($B175="",TRIM($J175&amp;"")=""),"",IFERROR(MATCH(TRIM($J175&amp;"")&amp;"|파견중",입력_파견수련계획!$Y$4:$Y$803,0),IFERROR(MATCH(TRIM($J175&amp;"")&amp;"|파견예정",입력_파견수련계획!$Y$4:$Y$803,0),IFERROR(MATCH(TRIM($J175&amp;"")&amp;"|파견종료",입력_파견수련계획!$Y$4:$Y$803,0),""))))</f>
        <v/>
      </c>
      <c r="AG175" s="10">
        <f>IF($B175="","",IF(AND(IF(OR($AC175="",출력_인턴현황!$K$2=""),"",INDEX(입력_인턴근무계획!$M$3:$R$402,$AC175,출력_인턴현황!$K$2)&amp;"")&lt;&gt;"",LEFT(IF(OR($AC175="",출력_인턴현황!$K$2=""),"",INDEX(입력_인턴근무계획!$M$3:$R$402,$AC175,출력_인턴현황!$K$2)&amp;""),1)&lt;&gt;"⚠"),LEFT(IF(OR($AC175="",출력_인턴현황!$K$2=""),"",INDEX(입력_인턴근무계획!$M$3:$R$402,$AC175,출력_인턴현황!$K$2)&amp;""),FIND(" ",IF(OR($AC175="",출력_인턴현황!$K$2=""),"",INDEX(입력_인턴근무계획!$M$3:$R$402,$AC175,출력_인턴현황!$K$2)&amp;""))-1),$AE175))</f>
        <v/>
      </c>
      <c r="AH175" s="17">
        <f>IF($B175="","",IF($AQ175&lt;&gt;"",MAX(0,DAY(EOMONTH(출력_요약!$B$3,0))-N($AR175)),IF(TRIM($J175&amp;"")="",0,SUMPRODUCT((입력_파견수련계획!$Q$4:$Q$803=TRIM($J175&amp;""))*(입력_파견수련계획!$S$4:$S$803="서울병원")*입력_파견수련계획!$W$4:$W$803))+IF($AG175="서울병원",MAX(0,DAY(EOMONTH(출력_요약!$B$3,0))-N($X175)),0)))</f>
        <v/>
      </c>
      <c r="AI175" s="17">
        <f>IF($B175="","",IF($AQ175&lt;&gt;"",N($AR175),IF(TRIM($J175&amp;"")="",0,SUMPRODUCT((입력_파견수련계획!$Q$4:$Q$803=TRIM($J175&amp;""))*(입력_파견수련계획!$S$4:$S$803="구리병원")*입력_파견수련계획!$W$4:$W$803))+IF($AG175="구리병원",MAX(0,DAY(EOMONTH(출력_요약!$B$3,0))-N($X175)),0)))</f>
        <v/>
      </c>
      <c r="AJ175" s="10">
        <f>IF(OR($B175="",TRIM($J175&amp;"")=""),"",IFERROR(MATCH(TRIM($J175&amp;"")&amp;"|월",입력_파견수련계획!$Z$4:$Z$803,0),""))</f>
        <v/>
      </c>
      <c r="AK175" s="10">
        <f>IF(OR($B175="",TRIM($J175&amp;"")=""),"",IFERROR(MATCH(TRIM($J175&amp;"")&amp;"|다기관",입력_파견수련계획!$AE$4:$AE$803,0),""))</f>
        <v/>
      </c>
      <c r="AL175" s="10">
        <f>IF($AK175="","","다기관 "&amp;TEXT(INDEX(입력_파견수련계획!$AB$4:$AB$803,$AK175),"yyyy-mm-dd")&amp;"~"&amp;IF(ISNUMBER(INDEX(입력_파견수련계획!$AC$4:$AC$803,$AK175)),TEXT(INDEX(입력_파견수련계획!$AC$4:$AC$803,$AK175),"yyyy-mm-dd"),""))</f>
        <v/>
      </c>
      <c r="AM175" s="10">
        <f>IF($Y175="서울병원",COUNTIF($Y$2:$Y175,"서울병원"),"")</f>
        <v/>
      </c>
      <c r="AN175" s="10">
        <f>IF(LEFT($Y175,1)="⚠",COUNTIF($Y$2:$Y175,"⚠*"),"")</f>
        <v/>
      </c>
      <c r="AO175" s="10">
        <f>IF(OR($B175="",$Y175=""),"",IF(IF(TRIM($J175&amp;"")="",0,SUMPRODUCT((입력_파견수련계획!$Q$4:$Q$803=TRIM($J175&amp;""))*입력_파견수련계획!$AD$4:$AD$803))&gt;0,"다기관 기간 → 소속병원 지급",IF(AND(N($X175)&lt;=0,$AQ175=""),"파견 없음 → 그 달 근무병원 지급",IF($AH175+$AI175=DAY(EOMONTH(출력_요약!$B$3,0)),"서울 "&amp;$AH175&amp;"일 / 구리 "&amp;$AI175&amp;"일"&amp;IF($AQ175&lt;&gt;""," (구리 근무자명단 반영)","")&amp;" → 15일 이상 근무 병원 지급","타 병원 포함 → "&amp;IF($AJ175="","소속",INDEX(입력_파견수련계획!$T$4:$T$803,$AJ175))&amp;" 규칙"))))</f>
        <v/>
      </c>
      <c r="AP175" s="10">
        <f>IF($B175="","",$C175&amp;"|"&amp;$F175)</f>
        <v/>
      </c>
      <c r="AQ175" s="10">
        <f>IF($B175="","",IFERROR(MATCH(ROW()-1,출력_구리근무자!$K$6:$K$305,0),""))</f>
        <v/>
      </c>
      <c r="AR175" s="10">
        <f>IF($AQ175="","",INDEX(출력_구리근무자!$H$6:$H$305,$AQ175))</f>
        <v/>
      </c>
    </row>
    <row r="176">
      <c r="A176" s="10">
        <f>IF(B176="","",ROW()-1)</f>
        <v/>
      </c>
      <c r="B176" s="19" t="n"/>
      <c r="C176" s="10">
        <f>IF($AB176="","",IF(INDEX(입력_기본자료!$C$2:$C$1001,$AB176)="","",INDEX(입력_기본자료!$C$2:$C$1001,$AB176)))</f>
        <v/>
      </c>
      <c r="D176" s="10">
        <f>IF($AB176="","",IF(INDEX(입력_기본자료!$J$2:$J$1001,$AB176)="","",INDEX(입력_기본자료!$J$2:$J$1001,$AB176)))</f>
        <v/>
      </c>
      <c r="E176" s="11">
        <f>IF($AB176="","",IF(INDEX(입력_기본자료!$K$2:$K$1001,$AB176)="","",IF(NOT(ISNUMBER(INDEX(입력_기본자료!$K$2:$K$1001,$AB176))),INDEX(입력_기본자료!$K$2:$K$1001,$AB176),IF(INDEX(입력_기본자료!$K$2:$K$1001,$AB176)&lt;1000000,INDEX(입력_기본자료!$K$2:$K$1001,$AB176),IF(AND(INDEX(입력_기본자료!$K$2:$K$1001,$AB176)&gt;=10000101,INT(MOD(INDEX(입력_기본자료!$K$2:$K$1001,$AB176),10000)/100)&gt;=1,INT(MOD(INDEX(입력_기본자료!$K$2:$K$1001,$AB176),10000)/100)&lt;=12,MOD(INDEX(입력_기본자료!$K$2:$K$1001,$AB176),100)&gt;=1,MOD(INDEX(입력_기본자료!$K$2:$K$1001,$AB176),100)&lt;=31),DATE(INT(INDEX(입력_기본자료!$K$2:$K$1001,$AB176)/10000),INT(MOD(INDEX(입력_기본자료!$K$2:$K$1001,$AB176),10000)/100),MOD(INDEX(입력_기본자료!$K$2:$K$1001,$AB176),100)),INDEX(입력_기본자료!$K$2:$K$1001,$AB176)&amp;"")))))</f>
        <v/>
      </c>
      <c r="F176" s="10">
        <f>IF($AB176="","",IF(INDEX(입력_기본자료!$D$2:$D$1001,$AB176)="","",INDEX(입력_기본자료!$D$2:$D$1001,$AB176)))</f>
        <v/>
      </c>
      <c r="G176" s="10">
        <f>IF($AB176="","",IF(INDEX(입력_기본자료!$E$2:$E$1001,$AB176)="","",INDEX(입력_기본자료!$E$2:$E$1001,$AB176)))</f>
        <v/>
      </c>
      <c r="H176" s="10">
        <f>IF($AB176="","",IF(INDEX(입력_기본자료!$F$2:$F$1001,$AB176)="","",INDEX(입력_기본자료!$F$2:$F$1001,$AB176)))</f>
        <v/>
      </c>
      <c r="I176" s="11">
        <f>IF($AB176="","",IF(INDEX(입력_기본자료!$G$2:$G$1001,$AB176)="","",IF(NOT(ISNUMBER(INDEX(입력_기본자료!$G$2:$G$1001,$AB176))),INDEX(입력_기본자료!$G$2:$G$1001,$AB176),IF(INDEX(입력_기본자료!$G$2:$G$1001,$AB176)&lt;1000000,INDEX(입력_기본자료!$G$2:$G$1001,$AB176),IF(AND(INDEX(입력_기본자료!$G$2:$G$1001,$AB176)&gt;=10000101,INT(MOD(INDEX(입력_기본자료!$G$2:$G$1001,$AB176),10000)/100)&gt;=1,INT(MOD(INDEX(입력_기본자료!$G$2:$G$1001,$AB176),10000)/100)&lt;=12,MOD(INDEX(입력_기본자료!$G$2:$G$1001,$AB176),100)&gt;=1,MOD(INDEX(입력_기본자료!$G$2:$G$1001,$AB176),100)&lt;=31),DATE(INT(INDEX(입력_기본자료!$G$2:$G$1001,$AB176)/10000),INT(MOD(INDEX(입력_기본자료!$G$2:$G$1001,$AB176),10000)/100),MOD(INDEX(입력_기본자료!$G$2:$G$1001,$AB176),100)),INDEX(입력_기본자료!$G$2:$G$1001,$AB176)&amp;"")))))</f>
        <v/>
      </c>
      <c r="J176" s="10">
        <f>IF($AB176="","",IF(INDEX(입력_기본자료!$H$2:$H$1001,$AB176)="","",INDEX(입력_기본자료!$H$2:$H$1001,$AB176)))</f>
        <v/>
      </c>
      <c r="K176" s="10">
        <f>IF($AB176="","",IF(INDEX(입력_기본자료!$I$2:$I$1001,$AB176)="","",INDEX(입력_기본자료!$I$2:$I$1001,$AB176)))</f>
        <v/>
      </c>
      <c r="L176" s="10">
        <f>IF($AB176="","",IF(INDEX(입력_기본자료!$A$2:$A$1001,$AB176)="","",INDEX(입력_기본자료!$A$2:$A$1001,$AB176)))</f>
        <v/>
      </c>
      <c r="M176" s="15" t="n"/>
      <c r="N176" s="10">
        <f>IF($B176="","",IF(AND($U176="파견중",$Q176&lt;&gt;""),$Q176,IF(AND($AD176&lt;&gt;"",LEFT($AD176,1)&lt;&gt;"⚠"),LEFT($AD176,FIND(" ",$AD176)-1),IF($H176="","",IF(RIGHT($H176,2)="병원",$H176,$H176&amp;"병원")))))</f>
        <v/>
      </c>
      <c r="O176" s="10">
        <f>IF($B176="","",IF(AND($U176="파견중",$Q176&lt;&gt;""),IF($R176&lt;&gt;"",$R176,"파견과 미입력"),IF(AND($AD176&lt;&gt;"",LEFT($AD176,1)&lt;&gt;"⚠"),MID($AD176,FIND(" ",$AD176)+1,60),IF($F176="","",IF($F176="인턴","수련교육부(인턴)",$F176)))))</f>
        <v/>
      </c>
      <c r="P176" s="10">
        <f>IF($B176="","",IF($AK176&lt;&gt;"",IF(AND(TODAY()&gt;=INDEX(입력_파견수련계획!$AB$4:$AB$803,$AK176),OR(NOT(ISNUMBER(INDEX(입력_파견수련계획!$AC$4:$AC$803,$AK176))),TODAY()&lt;=INDEX(입력_파견수련계획!$AC$4:$AC$803,$AK176))),"다기관",IF($AF176="","",INDEX(입력_파견수련계획!$T$4:$T$803,$AF176))),IF($AF176="","",INDEX(입력_파견수련계획!$T$4:$T$803,$AF176))))</f>
        <v/>
      </c>
      <c r="Q176" s="10">
        <f>IF($AF176="","",INDEX(입력_파견수련계획!$S$4:$S$803,$AF176))</f>
        <v/>
      </c>
      <c r="R176" s="10">
        <f>IF($AF176="","",INDEX(입력_파견수련계획!$U$4:$U$803,$AF176))</f>
        <v/>
      </c>
      <c r="S176" s="11">
        <f>IF($AF176="","",IF(INDEX(입력_파견수련계획!$H$4:$H$803,$AF176)="","",INDEX(입력_파견수련계획!$H$4:$H$803,$AF176)))</f>
        <v/>
      </c>
      <c r="T176" s="11">
        <f>IF($AF176="","",IF(INDEX(입력_파견수련계획!$I$4:$I$803,$AF176)="","",INDEX(입력_파견수련계획!$I$4:$I$803,$AF176)))</f>
        <v/>
      </c>
      <c r="U176" s="10">
        <f>IF($AF176="","",INDEX(입력_파견수련계획!$X$4:$X$803,$AF176))</f>
        <v/>
      </c>
      <c r="V176" s="17">
        <f>IF($AF176="","",INDEX(입력_파견수련계획!$V$4:$V$803,$AF176))</f>
        <v/>
      </c>
      <c r="W176" s="17">
        <f>IF(AND($U176="파견중",$T176&lt;&gt;""),$T176-TODAY(),"")</f>
        <v/>
      </c>
      <c r="X176" s="17">
        <f>IF(OR($B176="",TRIM($J176&amp;"")=""),"",SUMPRODUCT((입력_파견수련계획!$Q$4:$Q$803=TRIM($J176&amp;""))*입력_파견수련계획!$W$4:$W$803))</f>
        <v/>
      </c>
      <c r="Y176" s="10">
        <f>IF($B176="","",IF($AG176="","",IF(IF(TRIM($J176&amp;"")="",0,SUMPRODUCT((입력_파견수련계획!$Q$4:$Q$803=TRIM($J176&amp;""))*입력_파견수련계획!$AD$4:$AD$803))&gt;0,$AE176,IF(AND(N($X176)&lt;=0,$AQ176=""),$AG176,IF($AH176+$AI176=DAY(EOMONTH(출력_요약!$B$3,0)),IF(AND($AH176&gt;=출력_요약!$E$3,$AI176&lt;출력_요약!$E$3),"서울병원",IF(AND($AI176&gt;=출력_요약!$E$3,$AH176&lt;출력_요약!$E$3),"구리병원","⚠15일 판정불가(서울 "&amp;$AH176&amp;"일/구리 "&amp;$AI176&amp;"일)")),IF($AJ176="",$AE176,IF(INDEX(입력_파견수련계획!$T$4:$T$803,$AJ176)="통합수련",INDEX(입력_파견수련계획!$S$4:$S$803,$AJ176),$AE176)))))))</f>
        <v/>
      </c>
      <c r="Z176" s="20">
        <f>IF($B176="","",IF($AB176="","기본자료에 없는 사번",IF(COUNTIF($B$2:$B$401,$B176)&gt;1,"중복 사번",IF($AE176="","소속(입사장소) 입력",IF(IF(TRIM($J176&amp;"")="",0,SUMPRODUCT((입력_파견수련계획!$Q$4:$Q$803=TRIM($J176&amp;""))*(입력_파견수련계획!$AA$4:$AA$803&lt;&gt;"")))&gt;0,"파견수련계획 입력오류 확인",IF(LEFT($Y176,1)="⚠","서울·구리 15일 판정 불가(양쪽 모두 이상/미만)",IF(IF($AC176="",0,N(INDEX(입력_인턴근무계획!$T$3:$T$402,$AC176)))&gt;0,"인턴계획 입력오류 확인",IF(AND($AQ176&lt;&gt;"",$AG176&lt;&gt;"구리병원",IF(TRIM($J176&amp;"")="",0,SUMPRODUCT((입력_파견수련계획!$Q$4:$Q$803=TRIM($J176&amp;""))*(입력_파견수련계획!$S$4:$S$803="구리병원")*입력_파견수련계획!$W$4:$W$803))=0),"구리 근무자명단에만 있음(파견수련계획 확인)",IF(AND($AC176&lt;&gt;"",$U176&lt;&gt;"파견중",$N176&lt;&gt;$AE176),"인턴 타지역 근무: 파견 여부 확인","정상")))))))))</f>
        <v/>
      </c>
      <c r="AA176" s="5" t="n"/>
      <c r="AB176" s="10">
        <f>IF($B176="","",IFERROR(MATCH($B176,입력_기본자료!$B$2:$B$1001,0),IFERROR(MATCH($B176&amp;"",입력_기본자료!$B$2:$B$1001,0),IFERROR(MATCH(VALUE($B176),입력_기본자료!$B$2:$B$1001,0),""))))</f>
        <v/>
      </c>
      <c r="AC176" s="10">
        <f>IF($B176="","",IFERROR(MATCH($B176,입력_인턴근무계획!$D$3:$D$402,0),IFERROR(MATCH($B176&amp;"",입력_인턴근무계획!$D$3:$D$402,0),IFERROR(MATCH(VALUE($B176),입력_인턴근무계획!$D$3:$D$402,0),""))))</f>
        <v/>
      </c>
      <c r="AD176" s="10">
        <f>IF(OR($AC176="",출력_인턴현황!$G$3=""),"",INDEX(입력_인턴근무계획!$M$3:$R$402,$AC176,출력_인턴현황!$G$3)&amp;"")</f>
        <v/>
      </c>
      <c r="AE176" s="10">
        <f>IF($B176="","",IF($M176&lt;&gt;"",$M176,IF(IF($AQ176="",FALSE,INDEX(출력_구리근무자!$J$6:$J$305,$AQ176)="구리독자"),"구리병원",IF($AF176&lt;&gt;"",IF(LEFT(INDEX(입력_파견수련계획!$R$4:$R$803,$AF176),1)&lt;&gt;"⚠",INDEX(입력_파견수련계획!$R$4:$R$803,$AF176),IF($H176="","",IF(RIGHT($H176,2)="병원",$H176,$H176&amp;"병원"))),IF($H176="","",IF(RIGHT($H176,2)="병원",$H176,$H176&amp;"병원"))))))</f>
        <v/>
      </c>
      <c r="AF176" s="10">
        <f>IF(OR($B176="",TRIM($J176&amp;"")=""),"",IFERROR(MATCH(TRIM($J176&amp;"")&amp;"|파견중",입력_파견수련계획!$Y$4:$Y$803,0),IFERROR(MATCH(TRIM($J176&amp;"")&amp;"|파견예정",입력_파견수련계획!$Y$4:$Y$803,0),IFERROR(MATCH(TRIM($J176&amp;"")&amp;"|파견종료",입력_파견수련계획!$Y$4:$Y$803,0),""))))</f>
        <v/>
      </c>
      <c r="AG176" s="10">
        <f>IF($B176="","",IF(AND(IF(OR($AC176="",출력_인턴현황!$K$2=""),"",INDEX(입력_인턴근무계획!$M$3:$R$402,$AC176,출력_인턴현황!$K$2)&amp;"")&lt;&gt;"",LEFT(IF(OR($AC176="",출력_인턴현황!$K$2=""),"",INDEX(입력_인턴근무계획!$M$3:$R$402,$AC176,출력_인턴현황!$K$2)&amp;""),1)&lt;&gt;"⚠"),LEFT(IF(OR($AC176="",출력_인턴현황!$K$2=""),"",INDEX(입력_인턴근무계획!$M$3:$R$402,$AC176,출력_인턴현황!$K$2)&amp;""),FIND(" ",IF(OR($AC176="",출력_인턴현황!$K$2=""),"",INDEX(입력_인턴근무계획!$M$3:$R$402,$AC176,출력_인턴현황!$K$2)&amp;""))-1),$AE176))</f>
        <v/>
      </c>
      <c r="AH176" s="17">
        <f>IF($B176="","",IF($AQ176&lt;&gt;"",MAX(0,DAY(EOMONTH(출력_요약!$B$3,0))-N($AR176)),IF(TRIM($J176&amp;"")="",0,SUMPRODUCT((입력_파견수련계획!$Q$4:$Q$803=TRIM($J176&amp;""))*(입력_파견수련계획!$S$4:$S$803="서울병원")*입력_파견수련계획!$W$4:$W$803))+IF($AG176="서울병원",MAX(0,DAY(EOMONTH(출력_요약!$B$3,0))-N($X176)),0)))</f>
        <v/>
      </c>
      <c r="AI176" s="17">
        <f>IF($B176="","",IF($AQ176&lt;&gt;"",N($AR176),IF(TRIM($J176&amp;"")="",0,SUMPRODUCT((입력_파견수련계획!$Q$4:$Q$803=TRIM($J176&amp;""))*(입력_파견수련계획!$S$4:$S$803="구리병원")*입력_파견수련계획!$W$4:$W$803))+IF($AG176="구리병원",MAX(0,DAY(EOMONTH(출력_요약!$B$3,0))-N($X176)),0)))</f>
        <v/>
      </c>
      <c r="AJ176" s="10">
        <f>IF(OR($B176="",TRIM($J176&amp;"")=""),"",IFERROR(MATCH(TRIM($J176&amp;"")&amp;"|월",입력_파견수련계획!$Z$4:$Z$803,0),""))</f>
        <v/>
      </c>
      <c r="AK176" s="10">
        <f>IF(OR($B176="",TRIM($J176&amp;"")=""),"",IFERROR(MATCH(TRIM($J176&amp;"")&amp;"|다기관",입력_파견수련계획!$AE$4:$AE$803,0),""))</f>
        <v/>
      </c>
      <c r="AL176" s="10">
        <f>IF($AK176="","","다기관 "&amp;TEXT(INDEX(입력_파견수련계획!$AB$4:$AB$803,$AK176),"yyyy-mm-dd")&amp;"~"&amp;IF(ISNUMBER(INDEX(입력_파견수련계획!$AC$4:$AC$803,$AK176)),TEXT(INDEX(입력_파견수련계획!$AC$4:$AC$803,$AK176),"yyyy-mm-dd"),""))</f>
        <v/>
      </c>
      <c r="AM176" s="10">
        <f>IF($Y176="서울병원",COUNTIF($Y$2:$Y176,"서울병원"),"")</f>
        <v/>
      </c>
      <c r="AN176" s="10">
        <f>IF(LEFT($Y176,1)="⚠",COUNTIF($Y$2:$Y176,"⚠*"),"")</f>
        <v/>
      </c>
      <c r="AO176" s="10">
        <f>IF(OR($B176="",$Y176=""),"",IF(IF(TRIM($J176&amp;"")="",0,SUMPRODUCT((입력_파견수련계획!$Q$4:$Q$803=TRIM($J176&amp;""))*입력_파견수련계획!$AD$4:$AD$803))&gt;0,"다기관 기간 → 소속병원 지급",IF(AND(N($X176)&lt;=0,$AQ176=""),"파견 없음 → 그 달 근무병원 지급",IF($AH176+$AI176=DAY(EOMONTH(출력_요약!$B$3,0)),"서울 "&amp;$AH176&amp;"일 / 구리 "&amp;$AI176&amp;"일"&amp;IF($AQ176&lt;&gt;""," (구리 근무자명단 반영)","")&amp;" → 15일 이상 근무 병원 지급","타 병원 포함 → "&amp;IF($AJ176="","소속",INDEX(입력_파견수련계획!$T$4:$T$803,$AJ176))&amp;" 규칙"))))</f>
        <v/>
      </c>
      <c r="AP176" s="10">
        <f>IF($B176="","",$C176&amp;"|"&amp;$F176)</f>
        <v/>
      </c>
      <c r="AQ176" s="10">
        <f>IF($B176="","",IFERROR(MATCH(ROW()-1,출력_구리근무자!$K$6:$K$305,0),""))</f>
        <v/>
      </c>
      <c r="AR176" s="10">
        <f>IF($AQ176="","",INDEX(출력_구리근무자!$H$6:$H$305,$AQ176))</f>
        <v/>
      </c>
    </row>
    <row r="177">
      <c r="A177" s="10">
        <f>IF(B177="","",ROW()-1)</f>
        <v/>
      </c>
      <c r="B177" s="19" t="n"/>
      <c r="C177" s="10">
        <f>IF($AB177="","",IF(INDEX(입력_기본자료!$C$2:$C$1001,$AB177)="","",INDEX(입력_기본자료!$C$2:$C$1001,$AB177)))</f>
        <v/>
      </c>
      <c r="D177" s="10">
        <f>IF($AB177="","",IF(INDEX(입력_기본자료!$J$2:$J$1001,$AB177)="","",INDEX(입력_기본자료!$J$2:$J$1001,$AB177)))</f>
        <v/>
      </c>
      <c r="E177" s="11">
        <f>IF($AB177="","",IF(INDEX(입력_기본자료!$K$2:$K$1001,$AB177)="","",IF(NOT(ISNUMBER(INDEX(입력_기본자료!$K$2:$K$1001,$AB177))),INDEX(입력_기본자료!$K$2:$K$1001,$AB177),IF(INDEX(입력_기본자료!$K$2:$K$1001,$AB177)&lt;1000000,INDEX(입력_기본자료!$K$2:$K$1001,$AB177),IF(AND(INDEX(입력_기본자료!$K$2:$K$1001,$AB177)&gt;=10000101,INT(MOD(INDEX(입력_기본자료!$K$2:$K$1001,$AB177),10000)/100)&gt;=1,INT(MOD(INDEX(입력_기본자료!$K$2:$K$1001,$AB177),10000)/100)&lt;=12,MOD(INDEX(입력_기본자료!$K$2:$K$1001,$AB177),100)&gt;=1,MOD(INDEX(입력_기본자료!$K$2:$K$1001,$AB177),100)&lt;=31),DATE(INT(INDEX(입력_기본자료!$K$2:$K$1001,$AB177)/10000),INT(MOD(INDEX(입력_기본자료!$K$2:$K$1001,$AB177),10000)/100),MOD(INDEX(입력_기본자료!$K$2:$K$1001,$AB177),100)),INDEX(입력_기본자료!$K$2:$K$1001,$AB177)&amp;"")))))</f>
        <v/>
      </c>
      <c r="F177" s="10">
        <f>IF($AB177="","",IF(INDEX(입력_기본자료!$D$2:$D$1001,$AB177)="","",INDEX(입력_기본자료!$D$2:$D$1001,$AB177)))</f>
        <v/>
      </c>
      <c r="G177" s="10">
        <f>IF($AB177="","",IF(INDEX(입력_기본자료!$E$2:$E$1001,$AB177)="","",INDEX(입력_기본자료!$E$2:$E$1001,$AB177)))</f>
        <v/>
      </c>
      <c r="H177" s="10">
        <f>IF($AB177="","",IF(INDEX(입력_기본자료!$F$2:$F$1001,$AB177)="","",INDEX(입력_기본자료!$F$2:$F$1001,$AB177)))</f>
        <v/>
      </c>
      <c r="I177" s="11">
        <f>IF($AB177="","",IF(INDEX(입력_기본자료!$G$2:$G$1001,$AB177)="","",IF(NOT(ISNUMBER(INDEX(입력_기본자료!$G$2:$G$1001,$AB177))),INDEX(입력_기본자료!$G$2:$G$1001,$AB177),IF(INDEX(입력_기본자료!$G$2:$G$1001,$AB177)&lt;1000000,INDEX(입력_기본자료!$G$2:$G$1001,$AB177),IF(AND(INDEX(입력_기본자료!$G$2:$G$1001,$AB177)&gt;=10000101,INT(MOD(INDEX(입력_기본자료!$G$2:$G$1001,$AB177),10000)/100)&gt;=1,INT(MOD(INDEX(입력_기본자료!$G$2:$G$1001,$AB177),10000)/100)&lt;=12,MOD(INDEX(입력_기본자료!$G$2:$G$1001,$AB177),100)&gt;=1,MOD(INDEX(입력_기본자료!$G$2:$G$1001,$AB177),100)&lt;=31),DATE(INT(INDEX(입력_기본자료!$G$2:$G$1001,$AB177)/10000),INT(MOD(INDEX(입력_기본자료!$G$2:$G$1001,$AB177),10000)/100),MOD(INDEX(입력_기본자료!$G$2:$G$1001,$AB177),100)),INDEX(입력_기본자료!$G$2:$G$1001,$AB177)&amp;"")))))</f>
        <v/>
      </c>
      <c r="J177" s="10">
        <f>IF($AB177="","",IF(INDEX(입력_기본자료!$H$2:$H$1001,$AB177)="","",INDEX(입력_기본자료!$H$2:$H$1001,$AB177)))</f>
        <v/>
      </c>
      <c r="K177" s="10">
        <f>IF($AB177="","",IF(INDEX(입력_기본자료!$I$2:$I$1001,$AB177)="","",INDEX(입력_기본자료!$I$2:$I$1001,$AB177)))</f>
        <v/>
      </c>
      <c r="L177" s="10">
        <f>IF($AB177="","",IF(INDEX(입력_기본자료!$A$2:$A$1001,$AB177)="","",INDEX(입력_기본자료!$A$2:$A$1001,$AB177)))</f>
        <v/>
      </c>
      <c r="M177" s="15" t="n"/>
      <c r="N177" s="10">
        <f>IF($B177="","",IF(AND($U177="파견중",$Q177&lt;&gt;""),$Q177,IF(AND($AD177&lt;&gt;"",LEFT($AD177,1)&lt;&gt;"⚠"),LEFT($AD177,FIND(" ",$AD177)-1),IF($H177="","",IF(RIGHT($H177,2)="병원",$H177,$H177&amp;"병원")))))</f>
        <v/>
      </c>
      <c r="O177" s="10">
        <f>IF($B177="","",IF(AND($U177="파견중",$Q177&lt;&gt;""),IF($R177&lt;&gt;"",$R177,"파견과 미입력"),IF(AND($AD177&lt;&gt;"",LEFT($AD177,1)&lt;&gt;"⚠"),MID($AD177,FIND(" ",$AD177)+1,60),IF($F177="","",IF($F177="인턴","수련교육부(인턴)",$F177)))))</f>
        <v/>
      </c>
      <c r="P177" s="10">
        <f>IF($B177="","",IF($AK177&lt;&gt;"",IF(AND(TODAY()&gt;=INDEX(입력_파견수련계획!$AB$4:$AB$803,$AK177),OR(NOT(ISNUMBER(INDEX(입력_파견수련계획!$AC$4:$AC$803,$AK177))),TODAY()&lt;=INDEX(입력_파견수련계획!$AC$4:$AC$803,$AK177))),"다기관",IF($AF177="","",INDEX(입력_파견수련계획!$T$4:$T$803,$AF177))),IF($AF177="","",INDEX(입력_파견수련계획!$T$4:$T$803,$AF177))))</f>
        <v/>
      </c>
      <c r="Q177" s="10">
        <f>IF($AF177="","",INDEX(입력_파견수련계획!$S$4:$S$803,$AF177))</f>
        <v/>
      </c>
      <c r="R177" s="10">
        <f>IF($AF177="","",INDEX(입력_파견수련계획!$U$4:$U$803,$AF177))</f>
        <v/>
      </c>
      <c r="S177" s="11">
        <f>IF($AF177="","",IF(INDEX(입력_파견수련계획!$H$4:$H$803,$AF177)="","",INDEX(입력_파견수련계획!$H$4:$H$803,$AF177)))</f>
        <v/>
      </c>
      <c r="T177" s="11">
        <f>IF($AF177="","",IF(INDEX(입력_파견수련계획!$I$4:$I$803,$AF177)="","",INDEX(입력_파견수련계획!$I$4:$I$803,$AF177)))</f>
        <v/>
      </c>
      <c r="U177" s="10">
        <f>IF($AF177="","",INDEX(입력_파견수련계획!$X$4:$X$803,$AF177))</f>
        <v/>
      </c>
      <c r="V177" s="17">
        <f>IF($AF177="","",INDEX(입력_파견수련계획!$V$4:$V$803,$AF177))</f>
        <v/>
      </c>
      <c r="W177" s="17">
        <f>IF(AND($U177="파견중",$T177&lt;&gt;""),$T177-TODAY(),"")</f>
        <v/>
      </c>
      <c r="X177" s="17">
        <f>IF(OR($B177="",TRIM($J177&amp;"")=""),"",SUMPRODUCT((입력_파견수련계획!$Q$4:$Q$803=TRIM($J177&amp;""))*입력_파견수련계획!$W$4:$W$803))</f>
        <v/>
      </c>
      <c r="Y177" s="10">
        <f>IF($B177="","",IF($AG177="","",IF(IF(TRIM($J177&amp;"")="",0,SUMPRODUCT((입력_파견수련계획!$Q$4:$Q$803=TRIM($J177&amp;""))*입력_파견수련계획!$AD$4:$AD$803))&gt;0,$AE177,IF(AND(N($X177)&lt;=0,$AQ177=""),$AG177,IF($AH177+$AI177=DAY(EOMONTH(출력_요약!$B$3,0)),IF(AND($AH177&gt;=출력_요약!$E$3,$AI177&lt;출력_요약!$E$3),"서울병원",IF(AND($AI177&gt;=출력_요약!$E$3,$AH177&lt;출력_요약!$E$3),"구리병원","⚠15일 판정불가(서울 "&amp;$AH177&amp;"일/구리 "&amp;$AI177&amp;"일)")),IF($AJ177="",$AE177,IF(INDEX(입력_파견수련계획!$T$4:$T$803,$AJ177)="통합수련",INDEX(입력_파견수련계획!$S$4:$S$803,$AJ177),$AE177)))))))</f>
        <v/>
      </c>
      <c r="Z177" s="20">
        <f>IF($B177="","",IF($AB177="","기본자료에 없는 사번",IF(COUNTIF($B$2:$B$401,$B177)&gt;1,"중복 사번",IF($AE177="","소속(입사장소) 입력",IF(IF(TRIM($J177&amp;"")="",0,SUMPRODUCT((입력_파견수련계획!$Q$4:$Q$803=TRIM($J177&amp;""))*(입력_파견수련계획!$AA$4:$AA$803&lt;&gt;"")))&gt;0,"파견수련계획 입력오류 확인",IF(LEFT($Y177,1)="⚠","서울·구리 15일 판정 불가(양쪽 모두 이상/미만)",IF(IF($AC177="",0,N(INDEX(입력_인턴근무계획!$T$3:$T$402,$AC177)))&gt;0,"인턴계획 입력오류 확인",IF(AND($AQ177&lt;&gt;"",$AG177&lt;&gt;"구리병원",IF(TRIM($J177&amp;"")="",0,SUMPRODUCT((입력_파견수련계획!$Q$4:$Q$803=TRIM($J177&amp;""))*(입력_파견수련계획!$S$4:$S$803="구리병원")*입력_파견수련계획!$W$4:$W$803))=0),"구리 근무자명단에만 있음(파견수련계획 확인)",IF(AND($AC177&lt;&gt;"",$U177&lt;&gt;"파견중",$N177&lt;&gt;$AE177),"인턴 타지역 근무: 파견 여부 확인","정상")))))))))</f>
        <v/>
      </c>
      <c r="AA177" s="5" t="n"/>
      <c r="AB177" s="10">
        <f>IF($B177="","",IFERROR(MATCH($B177,입력_기본자료!$B$2:$B$1001,0),IFERROR(MATCH($B177&amp;"",입력_기본자료!$B$2:$B$1001,0),IFERROR(MATCH(VALUE($B177),입력_기본자료!$B$2:$B$1001,0),""))))</f>
        <v/>
      </c>
      <c r="AC177" s="10">
        <f>IF($B177="","",IFERROR(MATCH($B177,입력_인턴근무계획!$D$3:$D$402,0),IFERROR(MATCH($B177&amp;"",입력_인턴근무계획!$D$3:$D$402,0),IFERROR(MATCH(VALUE($B177),입력_인턴근무계획!$D$3:$D$402,0),""))))</f>
        <v/>
      </c>
      <c r="AD177" s="10">
        <f>IF(OR($AC177="",출력_인턴현황!$G$3=""),"",INDEX(입력_인턴근무계획!$M$3:$R$402,$AC177,출력_인턴현황!$G$3)&amp;"")</f>
        <v/>
      </c>
      <c r="AE177" s="10">
        <f>IF($B177="","",IF($M177&lt;&gt;"",$M177,IF(IF($AQ177="",FALSE,INDEX(출력_구리근무자!$J$6:$J$305,$AQ177)="구리독자"),"구리병원",IF($AF177&lt;&gt;"",IF(LEFT(INDEX(입력_파견수련계획!$R$4:$R$803,$AF177),1)&lt;&gt;"⚠",INDEX(입력_파견수련계획!$R$4:$R$803,$AF177),IF($H177="","",IF(RIGHT($H177,2)="병원",$H177,$H177&amp;"병원"))),IF($H177="","",IF(RIGHT($H177,2)="병원",$H177,$H177&amp;"병원"))))))</f>
        <v/>
      </c>
      <c r="AF177" s="10">
        <f>IF(OR($B177="",TRIM($J177&amp;"")=""),"",IFERROR(MATCH(TRIM($J177&amp;"")&amp;"|파견중",입력_파견수련계획!$Y$4:$Y$803,0),IFERROR(MATCH(TRIM($J177&amp;"")&amp;"|파견예정",입력_파견수련계획!$Y$4:$Y$803,0),IFERROR(MATCH(TRIM($J177&amp;"")&amp;"|파견종료",입력_파견수련계획!$Y$4:$Y$803,0),""))))</f>
        <v/>
      </c>
      <c r="AG177" s="10">
        <f>IF($B177="","",IF(AND(IF(OR($AC177="",출력_인턴현황!$K$2=""),"",INDEX(입력_인턴근무계획!$M$3:$R$402,$AC177,출력_인턴현황!$K$2)&amp;"")&lt;&gt;"",LEFT(IF(OR($AC177="",출력_인턴현황!$K$2=""),"",INDEX(입력_인턴근무계획!$M$3:$R$402,$AC177,출력_인턴현황!$K$2)&amp;""),1)&lt;&gt;"⚠"),LEFT(IF(OR($AC177="",출력_인턴현황!$K$2=""),"",INDEX(입력_인턴근무계획!$M$3:$R$402,$AC177,출력_인턴현황!$K$2)&amp;""),FIND(" ",IF(OR($AC177="",출력_인턴현황!$K$2=""),"",INDEX(입력_인턴근무계획!$M$3:$R$402,$AC177,출력_인턴현황!$K$2)&amp;""))-1),$AE177))</f>
        <v/>
      </c>
      <c r="AH177" s="17">
        <f>IF($B177="","",IF($AQ177&lt;&gt;"",MAX(0,DAY(EOMONTH(출력_요약!$B$3,0))-N($AR177)),IF(TRIM($J177&amp;"")="",0,SUMPRODUCT((입력_파견수련계획!$Q$4:$Q$803=TRIM($J177&amp;""))*(입력_파견수련계획!$S$4:$S$803="서울병원")*입력_파견수련계획!$W$4:$W$803))+IF($AG177="서울병원",MAX(0,DAY(EOMONTH(출력_요약!$B$3,0))-N($X177)),0)))</f>
        <v/>
      </c>
      <c r="AI177" s="17">
        <f>IF($B177="","",IF($AQ177&lt;&gt;"",N($AR177),IF(TRIM($J177&amp;"")="",0,SUMPRODUCT((입력_파견수련계획!$Q$4:$Q$803=TRIM($J177&amp;""))*(입력_파견수련계획!$S$4:$S$803="구리병원")*입력_파견수련계획!$W$4:$W$803))+IF($AG177="구리병원",MAX(0,DAY(EOMONTH(출력_요약!$B$3,0))-N($X177)),0)))</f>
        <v/>
      </c>
      <c r="AJ177" s="10">
        <f>IF(OR($B177="",TRIM($J177&amp;"")=""),"",IFERROR(MATCH(TRIM($J177&amp;"")&amp;"|월",입력_파견수련계획!$Z$4:$Z$803,0),""))</f>
        <v/>
      </c>
      <c r="AK177" s="10">
        <f>IF(OR($B177="",TRIM($J177&amp;"")=""),"",IFERROR(MATCH(TRIM($J177&amp;"")&amp;"|다기관",입력_파견수련계획!$AE$4:$AE$803,0),""))</f>
        <v/>
      </c>
      <c r="AL177" s="10">
        <f>IF($AK177="","","다기관 "&amp;TEXT(INDEX(입력_파견수련계획!$AB$4:$AB$803,$AK177),"yyyy-mm-dd")&amp;"~"&amp;IF(ISNUMBER(INDEX(입력_파견수련계획!$AC$4:$AC$803,$AK177)),TEXT(INDEX(입력_파견수련계획!$AC$4:$AC$803,$AK177),"yyyy-mm-dd"),""))</f>
        <v/>
      </c>
      <c r="AM177" s="10">
        <f>IF($Y177="서울병원",COUNTIF($Y$2:$Y177,"서울병원"),"")</f>
        <v/>
      </c>
      <c r="AN177" s="10">
        <f>IF(LEFT($Y177,1)="⚠",COUNTIF($Y$2:$Y177,"⚠*"),"")</f>
        <v/>
      </c>
      <c r="AO177" s="10">
        <f>IF(OR($B177="",$Y177=""),"",IF(IF(TRIM($J177&amp;"")="",0,SUMPRODUCT((입력_파견수련계획!$Q$4:$Q$803=TRIM($J177&amp;""))*입력_파견수련계획!$AD$4:$AD$803))&gt;0,"다기관 기간 → 소속병원 지급",IF(AND(N($X177)&lt;=0,$AQ177=""),"파견 없음 → 그 달 근무병원 지급",IF($AH177+$AI177=DAY(EOMONTH(출력_요약!$B$3,0)),"서울 "&amp;$AH177&amp;"일 / 구리 "&amp;$AI177&amp;"일"&amp;IF($AQ177&lt;&gt;""," (구리 근무자명단 반영)","")&amp;" → 15일 이상 근무 병원 지급","타 병원 포함 → "&amp;IF($AJ177="","소속",INDEX(입력_파견수련계획!$T$4:$T$803,$AJ177))&amp;" 규칙"))))</f>
        <v/>
      </c>
      <c r="AP177" s="10">
        <f>IF($B177="","",$C177&amp;"|"&amp;$F177)</f>
        <v/>
      </c>
      <c r="AQ177" s="10">
        <f>IF($B177="","",IFERROR(MATCH(ROW()-1,출력_구리근무자!$K$6:$K$305,0),""))</f>
        <v/>
      </c>
      <c r="AR177" s="10">
        <f>IF($AQ177="","",INDEX(출력_구리근무자!$H$6:$H$305,$AQ177))</f>
        <v/>
      </c>
    </row>
    <row r="178">
      <c r="A178" s="10">
        <f>IF(B178="","",ROW()-1)</f>
        <v/>
      </c>
      <c r="B178" s="19" t="n"/>
      <c r="C178" s="10">
        <f>IF($AB178="","",IF(INDEX(입력_기본자료!$C$2:$C$1001,$AB178)="","",INDEX(입력_기본자료!$C$2:$C$1001,$AB178)))</f>
        <v/>
      </c>
      <c r="D178" s="10">
        <f>IF($AB178="","",IF(INDEX(입력_기본자료!$J$2:$J$1001,$AB178)="","",INDEX(입력_기본자료!$J$2:$J$1001,$AB178)))</f>
        <v/>
      </c>
      <c r="E178" s="11">
        <f>IF($AB178="","",IF(INDEX(입력_기본자료!$K$2:$K$1001,$AB178)="","",IF(NOT(ISNUMBER(INDEX(입력_기본자료!$K$2:$K$1001,$AB178))),INDEX(입력_기본자료!$K$2:$K$1001,$AB178),IF(INDEX(입력_기본자료!$K$2:$K$1001,$AB178)&lt;1000000,INDEX(입력_기본자료!$K$2:$K$1001,$AB178),IF(AND(INDEX(입력_기본자료!$K$2:$K$1001,$AB178)&gt;=10000101,INT(MOD(INDEX(입력_기본자료!$K$2:$K$1001,$AB178),10000)/100)&gt;=1,INT(MOD(INDEX(입력_기본자료!$K$2:$K$1001,$AB178),10000)/100)&lt;=12,MOD(INDEX(입력_기본자료!$K$2:$K$1001,$AB178),100)&gt;=1,MOD(INDEX(입력_기본자료!$K$2:$K$1001,$AB178),100)&lt;=31),DATE(INT(INDEX(입력_기본자료!$K$2:$K$1001,$AB178)/10000),INT(MOD(INDEX(입력_기본자료!$K$2:$K$1001,$AB178),10000)/100),MOD(INDEX(입력_기본자료!$K$2:$K$1001,$AB178),100)),INDEX(입력_기본자료!$K$2:$K$1001,$AB178)&amp;"")))))</f>
        <v/>
      </c>
      <c r="F178" s="10">
        <f>IF($AB178="","",IF(INDEX(입력_기본자료!$D$2:$D$1001,$AB178)="","",INDEX(입력_기본자료!$D$2:$D$1001,$AB178)))</f>
        <v/>
      </c>
      <c r="G178" s="10">
        <f>IF($AB178="","",IF(INDEX(입력_기본자료!$E$2:$E$1001,$AB178)="","",INDEX(입력_기본자료!$E$2:$E$1001,$AB178)))</f>
        <v/>
      </c>
      <c r="H178" s="10">
        <f>IF($AB178="","",IF(INDEX(입력_기본자료!$F$2:$F$1001,$AB178)="","",INDEX(입력_기본자료!$F$2:$F$1001,$AB178)))</f>
        <v/>
      </c>
      <c r="I178" s="11">
        <f>IF($AB178="","",IF(INDEX(입력_기본자료!$G$2:$G$1001,$AB178)="","",IF(NOT(ISNUMBER(INDEX(입력_기본자료!$G$2:$G$1001,$AB178))),INDEX(입력_기본자료!$G$2:$G$1001,$AB178),IF(INDEX(입력_기본자료!$G$2:$G$1001,$AB178)&lt;1000000,INDEX(입력_기본자료!$G$2:$G$1001,$AB178),IF(AND(INDEX(입력_기본자료!$G$2:$G$1001,$AB178)&gt;=10000101,INT(MOD(INDEX(입력_기본자료!$G$2:$G$1001,$AB178),10000)/100)&gt;=1,INT(MOD(INDEX(입력_기본자료!$G$2:$G$1001,$AB178),10000)/100)&lt;=12,MOD(INDEX(입력_기본자료!$G$2:$G$1001,$AB178),100)&gt;=1,MOD(INDEX(입력_기본자료!$G$2:$G$1001,$AB178),100)&lt;=31),DATE(INT(INDEX(입력_기본자료!$G$2:$G$1001,$AB178)/10000),INT(MOD(INDEX(입력_기본자료!$G$2:$G$1001,$AB178),10000)/100),MOD(INDEX(입력_기본자료!$G$2:$G$1001,$AB178),100)),INDEX(입력_기본자료!$G$2:$G$1001,$AB178)&amp;"")))))</f>
        <v/>
      </c>
      <c r="J178" s="10">
        <f>IF($AB178="","",IF(INDEX(입력_기본자료!$H$2:$H$1001,$AB178)="","",INDEX(입력_기본자료!$H$2:$H$1001,$AB178)))</f>
        <v/>
      </c>
      <c r="K178" s="10">
        <f>IF($AB178="","",IF(INDEX(입력_기본자료!$I$2:$I$1001,$AB178)="","",INDEX(입력_기본자료!$I$2:$I$1001,$AB178)))</f>
        <v/>
      </c>
      <c r="L178" s="10">
        <f>IF($AB178="","",IF(INDEX(입력_기본자료!$A$2:$A$1001,$AB178)="","",INDEX(입력_기본자료!$A$2:$A$1001,$AB178)))</f>
        <v/>
      </c>
      <c r="M178" s="15" t="n"/>
      <c r="N178" s="10">
        <f>IF($B178="","",IF(AND($U178="파견중",$Q178&lt;&gt;""),$Q178,IF(AND($AD178&lt;&gt;"",LEFT($AD178,1)&lt;&gt;"⚠"),LEFT($AD178,FIND(" ",$AD178)-1),IF($H178="","",IF(RIGHT($H178,2)="병원",$H178,$H178&amp;"병원")))))</f>
        <v/>
      </c>
      <c r="O178" s="10">
        <f>IF($B178="","",IF(AND($U178="파견중",$Q178&lt;&gt;""),IF($R178&lt;&gt;"",$R178,"파견과 미입력"),IF(AND($AD178&lt;&gt;"",LEFT($AD178,1)&lt;&gt;"⚠"),MID($AD178,FIND(" ",$AD178)+1,60),IF($F178="","",IF($F178="인턴","수련교육부(인턴)",$F178)))))</f>
        <v/>
      </c>
      <c r="P178" s="10">
        <f>IF($B178="","",IF($AK178&lt;&gt;"",IF(AND(TODAY()&gt;=INDEX(입력_파견수련계획!$AB$4:$AB$803,$AK178),OR(NOT(ISNUMBER(INDEX(입력_파견수련계획!$AC$4:$AC$803,$AK178))),TODAY()&lt;=INDEX(입력_파견수련계획!$AC$4:$AC$803,$AK178))),"다기관",IF($AF178="","",INDEX(입력_파견수련계획!$T$4:$T$803,$AF178))),IF($AF178="","",INDEX(입력_파견수련계획!$T$4:$T$803,$AF178))))</f>
        <v/>
      </c>
      <c r="Q178" s="10">
        <f>IF($AF178="","",INDEX(입력_파견수련계획!$S$4:$S$803,$AF178))</f>
        <v/>
      </c>
      <c r="R178" s="10">
        <f>IF($AF178="","",INDEX(입력_파견수련계획!$U$4:$U$803,$AF178))</f>
        <v/>
      </c>
      <c r="S178" s="11">
        <f>IF($AF178="","",IF(INDEX(입력_파견수련계획!$H$4:$H$803,$AF178)="","",INDEX(입력_파견수련계획!$H$4:$H$803,$AF178)))</f>
        <v/>
      </c>
      <c r="T178" s="11">
        <f>IF($AF178="","",IF(INDEX(입력_파견수련계획!$I$4:$I$803,$AF178)="","",INDEX(입력_파견수련계획!$I$4:$I$803,$AF178)))</f>
        <v/>
      </c>
      <c r="U178" s="10">
        <f>IF($AF178="","",INDEX(입력_파견수련계획!$X$4:$X$803,$AF178))</f>
        <v/>
      </c>
      <c r="V178" s="17">
        <f>IF($AF178="","",INDEX(입력_파견수련계획!$V$4:$V$803,$AF178))</f>
        <v/>
      </c>
      <c r="W178" s="17">
        <f>IF(AND($U178="파견중",$T178&lt;&gt;""),$T178-TODAY(),"")</f>
        <v/>
      </c>
      <c r="X178" s="17">
        <f>IF(OR($B178="",TRIM($J178&amp;"")=""),"",SUMPRODUCT((입력_파견수련계획!$Q$4:$Q$803=TRIM($J178&amp;""))*입력_파견수련계획!$W$4:$W$803))</f>
        <v/>
      </c>
      <c r="Y178" s="10">
        <f>IF($B178="","",IF($AG178="","",IF(IF(TRIM($J178&amp;"")="",0,SUMPRODUCT((입력_파견수련계획!$Q$4:$Q$803=TRIM($J178&amp;""))*입력_파견수련계획!$AD$4:$AD$803))&gt;0,$AE178,IF(AND(N($X178)&lt;=0,$AQ178=""),$AG178,IF($AH178+$AI178=DAY(EOMONTH(출력_요약!$B$3,0)),IF(AND($AH178&gt;=출력_요약!$E$3,$AI178&lt;출력_요약!$E$3),"서울병원",IF(AND($AI178&gt;=출력_요약!$E$3,$AH178&lt;출력_요약!$E$3),"구리병원","⚠15일 판정불가(서울 "&amp;$AH178&amp;"일/구리 "&amp;$AI178&amp;"일)")),IF($AJ178="",$AE178,IF(INDEX(입력_파견수련계획!$T$4:$T$803,$AJ178)="통합수련",INDEX(입력_파견수련계획!$S$4:$S$803,$AJ178),$AE178)))))))</f>
        <v/>
      </c>
      <c r="Z178" s="20">
        <f>IF($B178="","",IF($AB178="","기본자료에 없는 사번",IF(COUNTIF($B$2:$B$401,$B178)&gt;1,"중복 사번",IF($AE178="","소속(입사장소) 입력",IF(IF(TRIM($J178&amp;"")="",0,SUMPRODUCT((입력_파견수련계획!$Q$4:$Q$803=TRIM($J178&amp;""))*(입력_파견수련계획!$AA$4:$AA$803&lt;&gt;"")))&gt;0,"파견수련계획 입력오류 확인",IF(LEFT($Y178,1)="⚠","서울·구리 15일 판정 불가(양쪽 모두 이상/미만)",IF(IF($AC178="",0,N(INDEX(입력_인턴근무계획!$T$3:$T$402,$AC178)))&gt;0,"인턴계획 입력오류 확인",IF(AND($AQ178&lt;&gt;"",$AG178&lt;&gt;"구리병원",IF(TRIM($J178&amp;"")="",0,SUMPRODUCT((입력_파견수련계획!$Q$4:$Q$803=TRIM($J178&amp;""))*(입력_파견수련계획!$S$4:$S$803="구리병원")*입력_파견수련계획!$W$4:$W$803))=0),"구리 근무자명단에만 있음(파견수련계획 확인)",IF(AND($AC178&lt;&gt;"",$U178&lt;&gt;"파견중",$N178&lt;&gt;$AE178),"인턴 타지역 근무: 파견 여부 확인","정상")))))))))</f>
        <v/>
      </c>
      <c r="AA178" s="5" t="n"/>
      <c r="AB178" s="10">
        <f>IF($B178="","",IFERROR(MATCH($B178,입력_기본자료!$B$2:$B$1001,0),IFERROR(MATCH($B178&amp;"",입력_기본자료!$B$2:$B$1001,0),IFERROR(MATCH(VALUE($B178),입력_기본자료!$B$2:$B$1001,0),""))))</f>
        <v/>
      </c>
      <c r="AC178" s="10">
        <f>IF($B178="","",IFERROR(MATCH($B178,입력_인턴근무계획!$D$3:$D$402,0),IFERROR(MATCH($B178&amp;"",입력_인턴근무계획!$D$3:$D$402,0),IFERROR(MATCH(VALUE($B178),입력_인턴근무계획!$D$3:$D$402,0),""))))</f>
        <v/>
      </c>
      <c r="AD178" s="10">
        <f>IF(OR($AC178="",출력_인턴현황!$G$3=""),"",INDEX(입력_인턴근무계획!$M$3:$R$402,$AC178,출력_인턴현황!$G$3)&amp;"")</f>
        <v/>
      </c>
      <c r="AE178" s="10">
        <f>IF($B178="","",IF($M178&lt;&gt;"",$M178,IF(IF($AQ178="",FALSE,INDEX(출력_구리근무자!$J$6:$J$305,$AQ178)="구리독자"),"구리병원",IF($AF178&lt;&gt;"",IF(LEFT(INDEX(입력_파견수련계획!$R$4:$R$803,$AF178),1)&lt;&gt;"⚠",INDEX(입력_파견수련계획!$R$4:$R$803,$AF178),IF($H178="","",IF(RIGHT($H178,2)="병원",$H178,$H178&amp;"병원"))),IF($H178="","",IF(RIGHT($H178,2)="병원",$H178,$H178&amp;"병원"))))))</f>
        <v/>
      </c>
      <c r="AF178" s="10">
        <f>IF(OR($B178="",TRIM($J178&amp;"")=""),"",IFERROR(MATCH(TRIM($J178&amp;"")&amp;"|파견중",입력_파견수련계획!$Y$4:$Y$803,0),IFERROR(MATCH(TRIM($J178&amp;"")&amp;"|파견예정",입력_파견수련계획!$Y$4:$Y$803,0),IFERROR(MATCH(TRIM($J178&amp;"")&amp;"|파견종료",입력_파견수련계획!$Y$4:$Y$803,0),""))))</f>
        <v/>
      </c>
      <c r="AG178" s="10">
        <f>IF($B178="","",IF(AND(IF(OR($AC178="",출력_인턴현황!$K$2=""),"",INDEX(입력_인턴근무계획!$M$3:$R$402,$AC178,출력_인턴현황!$K$2)&amp;"")&lt;&gt;"",LEFT(IF(OR($AC178="",출력_인턴현황!$K$2=""),"",INDEX(입력_인턴근무계획!$M$3:$R$402,$AC178,출력_인턴현황!$K$2)&amp;""),1)&lt;&gt;"⚠"),LEFT(IF(OR($AC178="",출력_인턴현황!$K$2=""),"",INDEX(입력_인턴근무계획!$M$3:$R$402,$AC178,출력_인턴현황!$K$2)&amp;""),FIND(" ",IF(OR($AC178="",출력_인턴현황!$K$2=""),"",INDEX(입력_인턴근무계획!$M$3:$R$402,$AC178,출력_인턴현황!$K$2)&amp;""))-1),$AE178))</f>
        <v/>
      </c>
      <c r="AH178" s="17">
        <f>IF($B178="","",IF($AQ178&lt;&gt;"",MAX(0,DAY(EOMONTH(출력_요약!$B$3,0))-N($AR178)),IF(TRIM($J178&amp;"")="",0,SUMPRODUCT((입력_파견수련계획!$Q$4:$Q$803=TRIM($J178&amp;""))*(입력_파견수련계획!$S$4:$S$803="서울병원")*입력_파견수련계획!$W$4:$W$803))+IF($AG178="서울병원",MAX(0,DAY(EOMONTH(출력_요약!$B$3,0))-N($X178)),0)))</f>
        <v/>
      </c>
      <c r="AI178" s="17">
        <f>IF($B178="","",IF($AQ178&lt;&gt;"",N($AR178),IF(TRIM($J178&amp;"")="",0,SUMPRODUCT((입력_파견수련계획!$Q$4:$Q$803=TRIM($J178&amp;""))*(입력_파견수련계획!$S$4:$S$803="구리병원")*입력_파견수련계획!$W$4:$W$803))+IF($AG178="구리병원",MAX(0,DAY(EOMONTH(출력_요약!$B$3,0))-N($X178)),0)))</f>
        <v/>
      </c>
      <c r="AJ178" s="10">
        <f>IF(OR($B178="",TRIM($J178&amp;"")=""),"",IFERROR(MATCH(TRIM($J178&amp;"")&amp;"|월",입력_파견수련계획!$Z$4:$Z$803,0),""))</f>
        <v/>
      </c>
      <c r="AK178" s="10">
        <f>IF(OR($B178="",TRIM($J178&amp;"")=""),"",IFERROR(MATCH(TRIM($J178&amp;"")&amp;"|다기관",입력_파견수련계획!$AE$4:$AE$803,0),""))</f>
        <v/>
      </c>
      <c r="AL178" s="10">
        <f>IF($AK178="","","다기관 "&amp;TEXT(INDEX(입력_파견수련계획!$AB$4:$AB$803,$AK178),"yyyy-mm-dd")&amp;"~"&amp;IF(ISNUMBER(INDEX(입력_파견수련계획!$AC$4:$AC$803,$AK178)),TEXT(INDEX(입력_파견수련계획!$AC$4:$AC$803,$AK178),"yyyy-mm-dd"),""))</f>
        <v/>
      </c>
      <c r="AM178" s="10">
        <f>IF($Y178="서울병원",COUNTIF($Y$2:$Y178,"서울병원"),"")</f>
        <v/>
      </c>
      <c r="AN178" s="10">
        <f>IF(LEFT($Y178,1)="⚠",COUNTIF($Y$2:$Y178,"⚠*"),"")</f>
        <v/>
      </c>
      <c r="AO178" s="10">
        <f>IF(OR($B178="",$Y178=""),"",IF(IF(TRIM($J178&amp;"")="",0,SUMPRODUCT((입력_파견수련계획!$Q$4:$Q$803=TRIM($J178&amp;""))*입력_파견수련계획!$AD$4:$AD$803))&gt;0,"다기관 기간 → 소속병원 지급",IF(AND(N($X178)&lt;=0,$AQ178=""),"파견 없음 → 그 달 근무병원 지급",IF($AH178+$AI178=DAY(EOMONTH(출력_요약!$B$3,0)),"서울 "&amp;$AH178&amp;"일 / 구리 "&amp;$AI178&amp;"일"&amp;IF($AQ178&lt;&gt;""," (구리 근무자명단 반영)","")&amp;" → 15일 이상 근무 병원 지급","타 병원 포함 → "&amp;IF($AJ178="","소속",INDEX(입력_파견수련계획!$T$4:$T$803,$AJ178))&amp;" 규칙"))))</f>
        <v/>
      </c>
      <c r="AP178" s="10">
        <f>IF($B178="","",$C178&amp;"|"&amp;$F178)</f>
        <v/>
      </c>
      <c r="AQ178" s="10">
        <f>IF($B178="","",IFERROR(MATCH(ROW()-1,출력_구리근무자!$K$6:$K$305,0),""))</f>
        <v/>
      </c>
      <c r="AR178" s="10">
        <f>IF($AQ178="","",INDEX(출력_구리근무자!$H$6:$H$305,$AQ178))</f>
        <v/>
      </c>
    </row>
    <row r="179">
      <c r="A179" s="10">
        <f>IF(B179="","",ROW()-1)</f>
        <v/>
      </c>
      <c r="B179" s="19" t="n"/>
      <c r="C179" s="10">
        <f>IF($AB179="","",IF(INDEX(입력_기본자료!$C$2:$C$1001,$AB179)="","",INDEX(입력_기본자료!$C$2:$C$1001,$AB179)))</f>
        <v/>
      </c>
      <c r="D179" s="10">
        <f>IF($AB179="","",IF(INDEX(입력_기본자료!$J$2:$J$1001,$AB179)="","",INDEX(입력_기본자료!$J$2:$J$1001,$AB179)))</f>
        <v/>
      </c>
      <c r="E179" s="11">
        <f>IF($AB179="","",IF(INDEX(입력_기본자료!$K$2:$K$1001,$AB179)="","",IF(NOT(ISNUMBER(INDEX(입력_기본자료!$K$2:$K$1001,$AB179))),INDEX(입력_기본자료!$K$2:$K$1001,$AB179),IF(INDEX(입력_기본자료!$K$2:$K$1001,$AB179)&lt;1000000,INDEX(입력_기본자료!$K$2:$K$1001,$AB179),IF(AND(INDEX(입력_기본자료!$K$2:$K$1001,$AB179)&gt;=10000101,INT(MOD(INDEX(입력_기본자료!$K$2:$K$1001,$AB179),10000)/100)&gt;=1,INT(MOD(INDEX(입력_기본자료!$K$2:$K$1001,$AB179),10000)/100)&lt;=12,MOD(INDEX(입력_기본자료!$K$2:$K$1001,$AB179),100)&gt;=1,MOD(INDEX(입력_기본자료!$K$2:$K$1001,$AB179),100)&lt;=31),DATE(INT(INDEX(입력_기본자료!$K$2:$K$1001,$AB179)/10000),INT(MOD(INDEX(입력_기본자료!$K$2:$K$1001,$AB179),10000)/100),MOD(INDEX(입력_기본자료!$K$2:$K$1001,$AB179),100)),INDEX(입력_기본자료!$K$2:$K$1001,$AB179)&amp;"")))))</f>
        <v/>
      </c>
      <c r="F179" s="10">
        <f>IF($AB179="","",IF(INDEX(입력_기본자료!$D$2:$D$1001,$AB179)="","",INDEX(입력_기본자료!$D$2:$D$1001,$AB179)))</f>
        <v/>
      </c>
      <c r="G179" s="10">
        <f>IF($AB179="","",IF(INDEX(입력_기본자료!$E$2:$E$1001,$AB179)="","",INDEX(입력_기본자료!$E$2:$E$1001,$AB179)))</f>
        <v/>
      </c>
      <c r="H179" s="10">
        <f>IF($AB179="","",IF(INDEX(입력_기본자료!$F$2:$F$1001,$AB179)="","",INDEX(입력_기본자료!$F$2:$F$1001,$AB179)))</f>
        <v/>
      </c>
      <c r="I179" s="11">
        <f>IF($AB179="","",IF(INDEX(입력_기본자료!$G$2:$G$1001,$AB179)="","",IF(NOT(ISNUMBER(INDEX(입력_기본자료!$G$2:$G$1001,$AB179))),INDEX(입력_기본자료!$G$2:$G$1001,$AB179),IF(INDEX(입력_기본자료!$G$2:$G$1001,$AB179)&lt;1000000,INDEX(입력_기본자료!$G$2:$G$1001,$AB179),IF(AND(INDEX(입력_기본자료!$G$2:$G$1001,$AB179)&gt;=10000101,INT(MOD(INDEX(입력_기본자료!$G$2:$G$1001,$AB179),10000)/100)&gt;=1,INT(MOD(INDEX(입력_기본자료!$G$2:$G$1001,$AB179),10000)/100)&lt;=12,MOD(INDEX(입력_기본자료!$G$2:$G$1001,$AB179),100)&gt;=1,MOD(INDEX(입력_기본자료!$G$2:$G$1001,$AB179),100)&lt;=31),DATE(INT(INDEX(입력_기본자료!$G$2:$G$1001,$AB179)/10000),INT(MOD(INDEX(입력_기본자료!$G$2:$G$1001,$AB179),10000)/100),MOD(INDEX(입력_기본자료!$G$2:$G$1001,$AB179),100)),INDEX(입력_기본자료!$G$2:$G$1001,$AB179)&amp;"")))))</f>
        <v/>
      </c>
      <c r="J179" s="10">
        <f>IF($AB179="","",IF(INDEX(입력_기본자료!$H$2:$H$1001,$AB179)="","",INDEX(입력_기본자료!$H$2:$H$1001,$AB179)))</f>
        <v/>
      </c>
      <c r="K179" s="10">
        <f>IF($AB179="","",IF(INDEX(입력_기본자료!$I$2:$I$1001,$AB179)="","",INDEX(입력_기본자료!$I$2:$I$1001,$AB179)))</f>
        <v/>
      </c>
      <c r="L179" s="10">
        <f>IF($AB179="","",IF(INDEX(입력_기본자료!$A$2:$A$1001,$AB179)="","",INDEX(입력_기본자료!$A$2:$A$1001,$AB179)))</f>
        <v/>
      </c>
      <c r="M179" s="15" t="n"/>
      <c r="N179" s="10">
        <f>IF($B179="","",IF(AND($U179="파견중",$Q179&lt;&gt;""),$Q179,IF(AND($AD179&lt;&gt;"",LEFT($AD179,1)&lt;&gt;"⚠"),LEFT($AD179,FIND(" ",$AD179)-1),IF($H179="","",IF(RIGHT($H179,2)="병원",$H179,$H179&amp;"병원")))))</f>
        <v/>
      </c>
      <c r="O179" s="10">
        <f>IF($B179="","",IF(AND($U179="파견중",$Q179&lt;&gt;""),IF($R179&lt;&gt;"",$R179,"파견과 미입력"),IF(AND($AD179&lt;&gt;"",LEFT($AD179,1)&lt;&gt;"⚠"),MID($AD179,FIND(" ",$AD179)+1,60),IF($F179="","",IF($F179="인턴","수련교육부(인턴)",$F179)))))</f>
        <v/>
      </c>
      <c r="P179" s="10">
        <f>IF($B179="","",IF($AK179&lt;&gt;"",IF(AND(TODAY()&gt;=INDEX(입력_파견수련계획!$AB$4:$AB$803,$AK179),OR(NOT(ISNUMBER(INDEX(입력_파견수련계획!$AC$4:$AC$803,$AK179))),TODAY()&lt;=INDEX(입력_파견수련계획!$AC$4:$AC$803,$AK179))),"다기관",IF($AF179="","",INDEX(입력_파견수련계획!$T$4:$T$803,$AF179))),IF($AF179="","",INDEX(입력_파견수련계획!$T$4:$T$803,$AF179))))</f>
        <v/>
      </c>
      <c r="Q179" s="10">
        <f>IF($AF179="","",INDEX(입력_파견수련계획!$S$4:$S$803,$AF179))</f>
        <v/>
      </c>
      <c r="R179" s="10">
        <f>IF($AF179="","",INDEX(입력_파견수련계획!$U$4:$U$803,$AF179))</f>
        <v/>
      </c>
      <c r="S179" s="11">
        <f>IF($AF179="","",IF(INDEX(입력_파견수련계획!$H$4:$H$803,$AF179)="","",INDEX(입력_파견수련계획!$H$4:$H$803,$AF179)))</f>
        <v/>
      </c>
      <c r="T179" s="11">
        <f>IF($AF179="","",IF(INDEX(입력_파견수련계획!$I$4:$I$803,$AF179)="","",INDEX(입력_파견수련계획!$I$4:$I$803,$AF179)))</f>
        <v/>
      </c>
      <c r="U179" s="10">
        <f>IF($AF179="","",INDEX(입력_파견수련계획!$X$4:$X$803,$AF179))</f>
        <v/>
      </c>
      <c r="V179" s="17">
        <f>IF($AF179="","",INDEX(입력_파견수련계획!$V$4:$V$803,$AF179))</f>
        <v/>
      </c>
      <c r="W179" s="17">
        <f>IF(AND($U179="파견중",$T179&lt;&gt;""),$T179-TODAY(),"")</f>
        <v/>
      </c>
      <c r="X179" s="17">
        <f>IF(OR($B179="",TRIM($J179&amp;"")=""),"",SUMPRODUCT((입력_파견수련계획!$Q$4:$Q$803=TRIM($J179&amp;""))*입력_파견수련계획!$W$4:$W$803))</f>
        <v/>
      </c>
      <c r="Y179" s="10">
        <f>IF($B179="","",IF($AG179="","",IF(IF(TRIM($J179&amp;"")="",0,SUMPRODUCT((입력_파견수련계획!$Q$4:$Q$803=TRIM($J179&amp;""))*입력_파견수련계획!$AD$4:$AD$803))&gt;0,$AE179,IF(AND(N($X179)&lt;=0,$AQ179=""),$AG179,IF($AH179+$AI179=DAY(EOMONTH(출력_요약!$B$3,0)),IF(AND($AH179&gt;=출력_요약!$E$3,$AI179&lt;출력_요약!$E$3),"서울병원",IF(AND($AI179&gt;=출력_요약!$E$3,$AH179&lt;출력_요약!$E$3),"구리병원","⚠15일 판정불가(서울 "&amp;$AH179&amp;"일/구리 "&amp;$AI179&amp;"일)")),IF($AJ179="",$AE179,IF(INDEX(입력_파견수련계획!$T$4:$T$803,$AJ179)="통합수련",INDEX(입력_파견수련계획!$S$4:$S$803,$AJ179),$AE179)))))))</f>
        <v/>
      </c>
      <c r="Z179" s="20">
        <f>IF($B179="","",IF($AB179="","기본자료에 없는 사번",IF(COUNTIF($B$2:$B$401,$B179)&gt;1,"중복 사번",IF($AE179="","소속(입사장소) 입력",IF(IF(TRIM($J179&amp;"")="",0,SUMPRODUCT((입력_파견수련계획!$Q$4:$Q$803=TRIM($J179&amp;""))*(입력_파견수련계획!$AA$4:$AA$803&lt;&gt;"")))&gt;0,"파견수련계획 입력오류 확인",IF(LEFT($Y179,1)="⚠","서울·구리 15일 판정 불가(양쪽 모두 이상/미만)",IF(IF($AC179="",0,N(INDEX(입력_인턴근무계획!$T$3:$T$402,$AC179)))&gt;0,"인턴계획 입력오류 확인",IF(AND($AQ179&lt;&gt;"",$AG179&lt;&gt;"구리병원",IF(TRIM($J179&amp;"")="",0,SUMPRODUCT((입력_파견수련계획!$Q$4:$Q$803=TRIM($J179&amp;""))*(입력_파견수련계획!$S$4:$S$803="구리병원")*입력_파견수련계획!$W$4:$W$803))=0),"구리 근무자명단에만 있음(파견수련계획 확인)",IF(AND($AC179&lt;&gt;"",$U179&lt;&gt;"파견중",$N179&lt;&gt;$AE179),"인턴 타지역 근무: 파견 여부 확인","정상")))))))))</f>
        <v/>
      </c>
      <c r="AA179" s="5" t="n"/>
      <c r="AB179" s="10">
        <f>IF($B179="","",IFERROR(MATCH($B179,입력_기본자료!$B$2:$B$1001,0),IFERROR(MATCH($B179&amp;"",입력_기본자료!$B$2:$B$1001,0),IFERROR(MATCH(VALUE($B179),입력_기본자료!$B$2:$B$1001,0),""))))</f>
        <v/>
      </c>
      <c r="AC179" s="10">
        <f>IF($B179="","",IFERROR(MATCH($B179,입력_인턴근무계획!$D$3:$D$402,0),IFERROR(MATCH($B179&amp;"",입력_인턴근무계획!$D$3:$D$402,0),IFERROR(MATCH(VALUE($B179),입력_인턴근무계획!$D$3:$D$402,0),""))))</f>
        <v/>
      </c>
      <c r="AD179" s="10">
        <f>IF(OR($AC179="",출력_인턴현황!$G$3=""),"",INDEX(입력_인턴근무계획!$M$3:$R$402,$AC179,출력_인턴현황!$G$3)&amp;"")</f>
        <v/>
      </c>
      <c r="AE179" s="10">
        <f>IF($B179="","",IF($M179&lt;&gt;"",$M179,IF(IF($AQ179="",FALSE,INDEX(출력_구리근무자!$J$6:$J$305,$AQ179)="구리독자"),"구리병원",IF($AF179&lt;&gt;"",IF(LEFT(INDEX(입력_파견수련계획!$R$4:$R$803,$AF179),1)&lt;&gt;"⚠",INDEX(입력_파견수련계획!$R$4:$R$803,$AF179),IF($H179="","",IF(RIGHT($H179,2)="병원",$H179,$H179&amp;"병원"))),IF($H179="","",IF(RIGHT($H179,2)="병원",$H179,$H179&amp;"병원"))))))</f>
        <v/>
      </c>
      <c r="AF179" s="10">
        <f>IF(OR($B179="",TRIM($J179&amp;"")=""),"",IFERROR(MATCH(TRIM($J179&amp;"")&amp;"|파견중",입력_파견수련계획!$Y$4:$Y$803,0),IFERROR(MATCH(TRIM($J179&amp;"")&amp;"|파견예정",입력_파견수련계획!$Y$4:$Y$803,0),IFERROR(MATCH(TRIM($J179&amp;"")&amp;"|파견종료",입력_파견수련계획!$Y$4:$Y$803,0),""))))</f>
        <v/>
      </c>
      <c r="AG179" s="10">
        <f>IF($B179="","",IF(AND(IF(OR($AC179="",출력_인턴현황!$K$2=""),"",INDEX(입력_인턴근무계획!$M$3:$R$402,$AC179,출력_인턴현황!$K$2)&amp;"")&lt;&gt;"",LEFT(IF(OR($AC179="",출력_인턴현황!$K$2=""),"",INDEX(입력_인턴근무계획!$M$3:$R$402,$AC179,출력_인턴현황!$K$2)&amp;""),1)&lt;&gt;"⚠"),LEFT(IF(OR($AC179="",출력_인턴현황!$K$2=""),"",INDEX(입력_인턴근무계획!$M$3:$R$402,$AC179,출력_인턴현황!$K$2)&amp;""),FIND(" ",IF(OR($AC179="",출력_인턴현황!$K$2=""),"",INDEX(입력_인턴근무계획!$M$3:$R$402,$AC179,출력_인턴현황!$K$2)&amp;""))-1),$AE179))</f>
        <v/>
      </c>
      <c r="AH179" s="17">
        <f>IF($B179="","",IF($AQ179&lt;&gt;"",MAX(0,DAY(EOMONTH(출력_요약!$B$3,0))-N($AR179)),IF(TRIM($J179&amp;"")="",0,SUMPRODUCT((입력_파견수련계획!$Q$4:$Q$803=TRIM($J179&amp;""))*(입력_파견수련계획!$S$4:$S$803="서울병원")*입력_파견수련계획!$W$4:$W$803))+IF($AG179="서울병원",MAX(0,DAY(EOMONTH(출력_요약!$B$3,0))-N($X179)),0)))</f>
        <v/>
      </c>
      <c r="AI179" s="17">
        <f>IF($B179="","",IF($AQ179&lt;&gt;"",N($AR179),IF(TRIM($J179&amp;"")="",0,SUMPRODUCT((입력_파견수련계획!$Q$4:$Q$803=TRIM($J179&amp;""))*(입력_파견수련계획!$S$4:$S$803="구리병원")*입력_파견수련계획!$W$4:$W$803))+IF($AG179="구리병원",MAX(0,DAY(EOMONTH(출력_요약!$B$3,0))-N($X179)),0)))</f>
        <v/>
      </c>
      <c r="AJ179" s="10">
        <f>IF(OR($B179="",TRIM($J179&amp;"")=""),"",IFERROR(MATCH(TRIM($J179&amp;"")&amp;"|월",입력_파견수련계획!$Z$4:$Z$803,0),""))</f>
        <v/>
      </c>
      <c r="AK179" s="10">
        <f>IF(OR($B179="",TRIM($J179&amp;"")=""),"",IFERROR(MATCH(TRIM($J179&amp;"")&amp;"|다기관",입력_파견수련계획!$AE$4:$AE$803,0),""))</f>
        <v/>
      </c>
      <c r="AL179" s="10">
        <f>IF($AK179="","","다기관 "&amp;TEXT(INDEX(입력_파견수련계획!$AB$4:$AB$803,$AK179),"yyyy-mm-dd")&amp;"~"&amp;IF(ISNUMBER(INDEX(입력_파견수련계획!$AC$4:$AC$803,$AK179)),TEXT(INDEX(입력_파견수련계획!$AC$4:$AC$803,$AK179),"yyyy-mm-dd"),""))</f>
        <v/>
      </c>
      <c r="AM179" s="10">
        <f>IF($Y179="서울병원",COUNTIF($Y$2:$Y179,"서울병원"),"")</f>
        <v/>
      </c>
      <c r="AN179" s="10">
        <f>IF(LEFT($Y179,1)="⚠",COUNTIF($Y$2:$Y179,"⚠*"),"")</f>
        <v/>
      </c>
      <c r="AO179" s="10">
        <f>IF(OR($B179="",$Y179=""),"",IF(IF(TRIM($J179&amp;"")="",0,SUMPRODUCT((입력_파견수련계획!$Q$4:$Q$803=TRIM($J179&amp;""))*입력_파견수련계획!$AD$4:$AD$803))&gt;0,"다기관 기간 → 소속병원 지급",IF(AND(N($X179)&lt;=0,$AQ179=""),"파견 없음 → 그 달 근무병원 지급",IF($AH179+$AI179=DAY(EOMONTH(출력_요약!$B$3,0)),"서울 "&amp;$AH179&amp;"일 / 구리 "&amp;$AI179&amp;"일"&amp;IF($AQ179&lt;&gt;""," (구리 근무자명단 반영)","")&amp;" → 15일 이상 근무 병원 지급","타 병원 포함 → "&amp;IF($AJ179="","소속",INDEX(입력_파견수련계획!$T$4:$T$803,$AJ179))&amp;" 규칙"))))</f>
        <v/>
      </c>
      <c r="AP179" s="10">
        <f>IF($B179="","",$C179&amp;"|"&amp;$F179)</f>
        <v/>
      </c>
      <c r="AQ179" s="10">
        <f>IF($B179="","",IFERROR(MATCH(ROW()-1,출력_구리근무자!$K$6:$K$305,0),""))</f>
        <v/>
      </c>
      <c r="AR179" s="10">
        <f>IF($AQ179="","",INDEX(출력_구리근무자!$H$6:$H$305,$AQ179))</f>
        <v/>
      </c>
    </row>
    <row r="180">
      <c r="A180" s="10">
        <f>IF(B180="","",ROW()-1)</f>
        <v/>
      </c>
      <c r="B180" s="19" t="n"/>
      <c r="C180" s="10">
        <f>IF($AB180="","",IF(INDEX(입력_기본자료!$C$2:$C$1001,$AB180)="","",INDEX(입력_기본자료!$C$2:$C$1001,$AB180)))</f>
        <v/>
      </c>
      <c r="D180" s="10">
        <f>IF($AB180="","",IF(INDEX(입력_기본자료!$J$2:$J$1001,$AB180)="","",INDEX(입력_기본자료!$J$2:$J$1001,$AB180)))</f>
        <v/>
      </c>
      <c r="E180" s="11">
        <f>IF($AB180="","",IF(INDEX(입력_기본자료!$K$2:$K$1001,$AB180)="","",IF(NOT(ISNUMBER(INDEX(입력_기본자료!$K$2:$K$1001,$AB180))),INDEX(입력_기본자료!$K$2:$K$1001,$AB180),IF(INDEX(입력_기본자료!$K$2:$K$1001,$AB180)&lt;1000000,INDEX(입력_기본자료!$K$2:$K$1001,$AB180),IF(AND(INDEX(입력_기본자료!$K$2:$K$1001,$AB180)&gt;=10000101,INT(MOD(INDEX(입력_기본자료!$K$2:$K$1001,$AB180),10000)/100)&gt;=1,INT(MOD(INDEX(입력_기본자료!$K$2:$K$1001,$AB180),10000)/100)&lt;=12,MOD(INDEX(입력_기본자료!$K$2:$K$1001,$AB180),100)&gt;=1,MOD(INDEX(입력_기본자료!$K$2:$K$1001,$AB180),100)&lt;=31),DATE(INT(INDEX(입력_기본자료!$K$2:$K$1001,$AB180)/10000),INT(MOD(INDEX(입력_기본자료!$K$2:$K$1001,$AB180),10000)/100),MOD(INDEX(입력_기본자료!$K$2:$K$1001,$AB180),100)),INDEX(입력_기본자료!$K$2:$K$1001,$AB180)&amp;"")))))</f>
        <v/>
      </c>
      <c r="F180" s="10">
        <f>IF($AB180="","",IF(INDEX(입력_기본자료!$D$2:$D$1001,$AB180)="","",INDEX(입력_기본자료!$D$2:$D$1001,$AB180)))</f>
        <v/>
      </c>
      <c r="G180" s="10">
        <f>IF($AB180="","",IF(INDEX(입력_기본자료!$E$2:$E$1001,$AB180)="","",INDEX(입력_기본자료!$E$2:$E$1001,$AB180)))</f>
        <v/>
      </c>
      <c r="H180" s="10">
        <f>IF($AB180="","",IF(INDEX(입력_기본자료!$F$2:$F$1001,$AB180)="","",INDEX(입력_기본자료!$F$2:$F$1001,$AB180)))</f>
        <v/>
      </c>
      <c r="I180" s="11">
        <f>IF($AB180="","",IF(INDEX(입력_기본자료!$G$2:$G$1001,$AB180)="","",IF(NOT(ISNUMBER(INDEX(입력_기본자료!$G$2:$G$1001,$AB180))),INDEX(입력_기본자료!$G$2:$G$1001,$AB180),IF(INDEX(입력_기본자료!$G$2:$G$1001,$AB180)&lt;1000000,INDEX(입력_기본자료!$G$2:$G$1001,$AB180),IF(AND(INDEX(입력_기본자료!$G$2:$G$1001,$AB180)&gt;=10000101,INT(MOD(INDEX(입력_기본자료!$G$2:$G$1001,$AB180),10000)/100)&gt;=1,INT(MOD(INDEX(입력_기본자료!$G$2:$G$1001,$AB180),10000)/100)&lt;=12,MOD(INDEX(입력_기본자료!$G$2:$G$1001,$AB180),100)&gt;=1,MOD(INDEX(입력_기본자료!$G$2:$G$1001,$AB180),100)&lt;=31),DATE(INT(INDEX(입력_기본자료!$G$2:$G$1001,$AB180)/10000),INT(MOD(INDEX(입력_기본자료!$G$2:$G$1001,$AB180),10000)/100),MOD(INDEX(입력_기본자료!$G$2:$G$1001,$AB180),100)),INDEX(입력_기본자료!$G$2:$G$1001,$AB180)&amp;"")))))</f>
        <v/>
      </c>
      <c r="J180" s="10">
        <f>IF($AB180="","",IF(INDEX(입력_기본자료!$H$2:$H$1001,$AB180)="","",INDEX(입력_기본자료!$H$2:$H$1001,$AB180)))</f>
        <v/>
      </c>
      <c r="K180" s="10">
        <f>IF($AB180="","",IF(INDEX(입력_기본자료!$I$2:$I$1001,$AB180)="","",INDEX(입력_기본자료!$I$2:$I$1001,$AB180)))</f>
        <v/>
      </c>
      <c r="L180" s="10">
        <f>IF($AB180="","",IF(INDEX(입력_기본자료!$A$2:$A$1001,$AB180)="","",INDEX(입력_기본자료!$A$2:$A$1001,$AB180)))</f>
        <v/>
      </c>
      <c r="M180" s="15" t="n"/>
      <c r="N180" s="10">
        <f>IF($B180="","",IF(AND($U180="파견중",$Q180&lt;&gt;""),$Q180,IF(AND($AD180&lt;&gt;"",LEFT($AD180,1)&lt;&gt;"⚠"),LEFT($AD180,FIND(" ",$AD180)-1),IF($H180="","",IF(RIGHT($H180,2)="병원",$H180,$H180&amp;"병원")))))</f>
        <v/>
      </c>
      <c r="O180" s="10">
        <f>IF($B180="","",IF(AND($U180="파견중",$Q180&lt;&gt;""),IF($R180&lt;&gt;"",$R180,"파견과 미입력"),IF(AND($AD180&lt;&gt;"",LEFT($AD180,1)&lt;&gt;"⚠"),MID($AD180,FIND(" ",$AD180)+1,60),IF($F180="","",IF($F180="인턴","수련교육부(인턴)",$F180)))))</f>
        <v/>
      </c>
      <c r="P180" s="10">
        <f>IF($B180="","",IF($AK180&lt;&gt;"",IF(AND(TODAY()&gt;=INDEX(입력_파견수련계획!$AB$4:$AB$803,$AK180),OR(NOT(ISNUMBER(INDEX(입력_파견수련계획!$AC$4:$AC$803,$AK180))),TODAY()&lt;=INDEX(입력_파견수련계획!$AC$4:$AC$803,$AK180))),"다기관",IF($AF180="","",INDEX(입력_파견수련계획!$T$4:$T$803,$AF180))),IF($AF180="","",INDEX(입력_파견수련계획!$T$4:$T$803,$AF180))))</f>
        <v/>
      </c>
      <c r="Q180" s="10">
        <f>IF($AF180="","",INDEX(입력_파견수련계획!$S$4:$S$803,$AF180))</f>
        <v/>
      </c>
      <c r="R180" s="10">
        <f>IF($AF180="","",INDEX(입력_파견수련계획!$U$4:$U$803,$AF180))</f>
        <v/>
      </c>
      <c r="S180" s="11">
        <f>IF($AF180="","",IF(INDEX(입력_파견수련계획!$H$4:$H$803,$AF180)="","",INDEX(입력_파견수련계획!$H$4:$H$803,$AF180)))</f>
        <v/>
      </c>
      <c r="T180" s="11">
        <f>IF($AF180="","",IF(INDEX(입력_파견수련계획!$I$4:$I$803,$AF180)="","",INDEX(입력_파견수련계획!$I$4:$I$803,$AF180)))</f>
        <v/>
      </c>
      <c r="U180" s="10">
        <f>IF($AF180="","",INDEX(입력_파견수련계획!$X$4:$X$803,$AF180))</f>
        <v/>
      </c>
      <c r="V180" s="17">
        <f>IF($AF180="","",INDEX(입력_파견수련계획!$V$4:$V$803,$AF180))</f>
        <v/>
      </c>
      <c r="W180" s="17">
        <f>IF(AND($U180="파견중",$T180&lt;&gt;""),$T180-TODAY(),"")</f>
        <v/>
      </c>
      <c r="X180" s="17">
        <f>IF(OR($B180="",TRIM($J180&amp;"")=""),"",SUMPRODUCT((입력_파견수련계획!$Q$4:$Q$803=TRIM($J180&amp;""))*입력_파견수련계획!$W$4:$W$803))</f>
        <v/>
      </c>
      <c r="Y180" s="10">
        <f>IF($B180="","",IF($AG180="","",IF(IF(TRIM($J180&amp;"")="",0,SUMPRODUCT((입력_파견수련계획!$Q$4:$Q$803=TRIM($J180&amp;""))*입력_파견수련계획!$AD$4:$AD$803))&gt;0,$AE180,IF(AND(N($X180)&lt;=0,$AQ180=""),$AG180,IF($AH180+$AI180=DAY(EOMONTH(출력_요약!$B$3,0)),IF(AND($AH180&gt;=출력_요약!$E$3,$AI180&lt;출력_요약!$E$3),"서울병원",IF(AND($AI180&gt;=출력_요약!$E$3,$AH180&lt;출력_요약!$E$3),"구리병원","⚠15일 판정불가(서울 "&amp;$AH180&amp;"일/구리 "&amp;$AI180&amp;"일)")),IF($AJ180="",$AE180,IF(INDEX(입력_파견수련계획!$T$4:$T$803,$AJ180)="통합수련",INDEX(입력_파견수련계획!$S$4:$S$803,$AJ180),$AE180)))))))</f>
        <v/>
      </c>
      <c r="Z180" s="20">
        <f>IF($B180="","",IF($AB180="","기본자료에 없는 사번",IF(COUNTIF($B$2:$B$401,$B180)&gt;1,"중복 사번",IF($AE180="","소속(입사장소) 입력",IF(IF(TRIM($J180&amp;"")="",0,SUMPRODUCT((입력_파견수련계획!$Q$4:$Q$803=TRIM($J180&amp;""))*(입력_파견수련계획!$AA$4:$AA$803&lt;&gt;"")))&gt;0,"파견수련계획 입력오류 확인",IF(LEFT($Y180,1)="⚠","서울·구리 15일 판정 불가(양쪽 모두 이상/미만)",IF(IF($AC180="",0,N(INDEX(입력_인턴근무계획!$T$3:$T$402,$AC180)))&gt;0,"인턴계획 입력오류 확인",IF(AND($AQ180&lt;&gt;"",$AG180&lt;&gt;"구리병원",IF(TRIM($J180&amp;"")="",0,SUMPRODUCT((입력_파견수련계획!$Q$4:$Q$803=TRIM($J180&amp;""))*(입력_파견수련계획!$S$4:$S$803="구리병원")*입력_파견수련계획!$W$4:$W$803))=0),"구리 근무자명단에만 있음(파견수련계획 확인)",IF(AND($AC180&lt;&gt;"",$U180&lt;&gt;"파견중",$N180&lt;&gt;$AE180),"인턴 타지역 근무: 파견 여부 확인","정상")))))))))</f>
        <v/>
      </c>
      <c r="AA180" s="5" t="n"/>
      <c r="AB180" s="10">
        <f>IF($B180="","",IFERROR(MATCH($B180,입력_기본자료!$B$2:$B$1001,0),IFERROR(MATCH($B180&amp;"",입력_기본자료!$B$2:$B$1001,0),IFERROR(MATCH(VALUE($B180),입력_기본자료!$B$2:$B$1001,0),""))))</f>
        <v/>
      </c>
      <c r="AC180" s="10">
        <f>IF($B180="","",IFERROR(MATCH($B180,입력_인턴근무계획!$D$3:$D$402,0),IFERROR(MATCH($B180&amp;"",입력_인턴근무계획!$D$3:$D$402,0),IFERROR(MATCH(VALUE($B180),입력_인턴근무계획!$D$3:$D$402,0),""))))</f>
        <v/>
      </c>
      <c r="AD180" s="10">
        <f>IF(OR($AC180="",출력_인턴현황!$G$3=""),"",INDEX(입력_인턴근무계획!$M$3:$R$402,$AC180,출력_인턴현황!$G$3)&amp;"")</f>
        <v/>
      </c>
      <c r="AE180" s="10">
        <f>IF($B180="","",IF($M180&lt;&gt;"",$M180,IF(IF($AQ180="",FALSE,INDEX(출력_구리근무자!$J$6:$J$305,$AQ180)="구리독자"),"구리병원",IF($AF180&lt;&gt;"",IF(LEFT(INDEX(입력_파견수련계획!$R$4:$R$803,$AF180),1)&lt;&gt;"⚠",INDEX(입력_파견수련계획!$R$4:$R$803,$AF180),IF($H180="","",IF(RIGHT($H180,2)="병원",$H180,$H180&amp;"병원"))),IF($H180="","",IF(RIGHT($H180,2)="병원",$H180,$H180&amp;"병원"))))))</f>
        <v/>
      </c>
      <c r="AF180" s="10">
        <f>IF(OR($B180="",TRIM($J180&amp;"")=""),"",IFERROR(MATCH(TRIM($J180&amp;"")&amp;"|파견중",입력_파견수련계획!$Y$4:$Y$803,0),IFERROR(MATCH(TRIM($J180&amp;"")&amp;"|파견예정",입력_파견수련계획!$Y$4:$Y$803,0),IFERROR(MATCH(TRIM($J180&amp;"")&amp;"|파견종료",입력_파견수련계획!$Y$4:$Y$803,0),""))))</f>
        <v/>
      </c>
      <c r="AG180" s="10">
        <f>IF($B180="","",IF(AND(IF(OR($AC180="",출력_인턴현황!$K$2=""),"",INDEX(입력_인턴근무계획!$M$3:$R$402,$AC180,출력_인턴현황!$K$2)&amp;"")&lt;&gt;"",LEFT(IF(OR($AC180="",출력_인턴현황!$K$2=""),"",INDEX(입력_인턴근무계획!$M$3:$R$402,$AC180,출력_인턴현황!$K$2)&amp;""),1)&lt;&gt;"⚠"),LEFT(IF(OR($AC180="",출력_인턴현황!$K$2=""),"",INDEX(입력_인턴근무계획!$M$3:$R$402,$AC180,출력_인턴현황!$K$2)&amp;""),FIND(" ",IF(OR($AC180="",출력_인턴현황!$K$2=""),"",INDEX(입력_인턴근무계획!$M$3:$R$402,$AC180,출력_인턴현황!$K$2)&amp;""))-1),$AE180))</f>
        <v/>
      </c>
      <c r="AH180" s="17">
        <f>IF($B180="","",IF($AQ180&lt;&gt;"",MAX(0,DAY(EOMONTH(출력_요약!$B$3,0))-N($AR180)),IF(TRIM($J180&amp;"")="",0,SUMPRODUCT((입력_파견수련계획!$Q$4:$Q$803=TRIM($J180&amp;""))*(입력_파견수련계획!$S$4:$S$803="서울병원")*입력_파견수련계획!$W$4:$W$803))+IF($AG180="서울병원",MAX(0,DAY(EOMONTH(출력_요약!$B$3,0))-N($X180)),0)))</f>
        <v/>
      </c>
      <c r="AI180" s="17">
        <f>IF($B180="","",IF($AQ180&lt;&gt;"",N($AR180),IF(TRIM($J180&amp;"")="",0,SUMPRODUCT((입력_파견수련계획!$Q$4:$Q$803=TRIM($J180&amp;""))*(입력_파견수련계획!$S$4:$S$803="구리병원")*입력_파견수련계획!$W$4:$W$803))+IF($AG180="구리병원",MAX(0,DAY(EOMONTH(출력_요약!$B$3,0))-N($X180)),0)))</f>
        <v/>
      </c>
      <c r="AJ180" s="10">
        <f>IF(OR($B180="",TRIM($J180&amp;"")=""),"",IFERROR(MATCH(TRIM($J180&amp;"")&amp;"|월",입력_파견수련계획!$Z$4:$Z$803,0),""))</f>
        <v/>
      </c>
      <c r="AK180" s="10">
        <f>IF(OR($B180="",TRIM($J180&amp;"")=""),"",IFERROR(MATCH(TRIM($J180&amp;"")&amp;"|다기관",입력_파견수련계획!$AE$4:$AE$803,0),""))</f>
        <v/>
      </c>
      <c r="AL180" s="10">
        <f>IF($AK180="","","다기관 "&amp;TEXT(INDEX(입력_파견수련계획!$AB$4:$AB$803,$AK180),"yyyy-mm-dd")&amp;"~"&amp;IF(ISNUMBER(INDEX(입력_파견수련계획!$AC$4:$AC$803,$AK180)),TEXT(INDEX(입력_파견수련계획!$AC$4:$AC$803,$AK180),"yyyy-mm-dd"),""))</f>
        <v/>
      </c>
      <c r="AM180" s="10">
        <f>IF($Y180="서울병원",COUNTIF($Y$2:$Y180,"서울병원"),"")</f>
        <v/>
      </c>
      <c r="AN180" s="10">
        <f>IF(LEFT($Y180,1)="⚠",COUNTIF($Y$2:$Y180,"⚠*"),"")</f>
        <v/>
      </c>
      <c r="AO180" s="10">
        <f>IF(OR($B180="",$Y180=""),"",IF(IF(TRIM($J180&amp;"")="",0,SUMPRODUCT((입력_파견수련계획!$Q$4:$Q$803=TRIM($J180&amp;""))*입력_파견수련계획!$AD$4:$AD$803))&gt;0,"다기관 기간 → 소속병원 지급",IF(AND(N($X180)&lt;=0,$AQ180=""),"파견 없음 → 그 달 근무병원 지급",IF($AH180+$AI180=DAY(EOMONTH(출력_요약!$B$3,0)),"서울 "&amp;$AH180&amp;"일 / 구리 "&amp;$AI180&amp;"일"&amp;IF($AQ180&lt;&gt;""," (구리 근무자명단 반영)","")&amp;" → 15일 이상 근무 병원 지급","타 병원 포함 → "&amp;IF($AJ180="","소속",INDEX(입력_파견수련계획!$T$4:$T$803,$AJ180))&amp;" 규칙"))))</f>
        <v/>
      </c>
      <c r="AP180" s="10">
        <f>IF($B180="","",$C180&amp;"|"&amp;$F180)</f>
        <v/>
      </c>
      <c r="AQ180" s="10">
        <f>IF($B180="","",IFERROR(MATCH(ROW()-1,출력_구리근무자!$K$6:$K$305,0),""))</f>
        <v/>
      </c>
      <c r="AR180" s="10">
        <f>IF($AQ180="","",INDEX(출력_구리근무자!$H$6:$H$305,$AQ180))</f>
        <v/>
      </c>
    </row>
    <row r="181">
      <c r="A181" s="10">
        <f>IF(B181="","",ROW()-1)</f>
        <v/>
      </c>
      <c r="B181" s="19" t="n"/>
      <c r="C181" s="10">
        <f>IF($AB181="","",IF(INDEX(입력_기본자료!$C$2:$C$1001,$AB181)="","",INDEX(입력_기본자료!$C$2:$C$1001,$AB181)))</f>
        <v/>
      </c>
      <c r="D181" s="10">
        <f>IF($AB181="","",IF(INDEX(입력_기본자료!$J$2:$J$1001,$AB181)="","",INDEX(입력_기본자료!$J$2:$J$1001,$AB181)))</f>
        <v/>
      </c>
      <c r="E181" s="11">
        <f>IF($AB181="","",IF(INDEX(입력_기본자료!$K$2:$K$1001,$AB181)="","",IF(NOT(ISNUMBER(INDEX(입력_기본자료!$K$2:$K$1001,$AB181))),INDEX(입력_기본자료!$K$2:$K$1001,$AB181),IF(INDEX(입력_기본자료!$K$2:$K$1001,$AB181)&lt;1000000,INDEX(입력_기본자료!$K$2:$K$1001,$AB181),IF(AND(INDEX(입력_기본자료!$K$2:$K$1001,$AB181)&gt;=10000101,INT(MOD(INDEX(입력_기본자료!$K$2:$K$1001,$AB181),10000)/100)&gt;=1,INT(MOD(INDEX(입력_기본자료!$K$2:$K$1001,$AB181),10000)/100)&lt;=12,MOD(INDEX(입력_기본자료!$K$2:$K$1001,$AB181),100)&gt;=1,MOD(INDEX(입력_기본자료!$K$2:$K$1001,$AB181),100)&lt;=31),DATE(INT(INDEX(입력_기본자료!$K$2:$K$1001,$AB181)/10000),INT(MOD(INDEX(입력_기본자료!$K$2:$K$1001,$AB181),10000)/100),MOD(INDEX(입력_기본자료!$K$2:$K$1001,$AB181),100)),INDEX(입력_기본자료!$K$2:$K$1001,$AB181)&amp;"")))))</f>
        <v/>
      </c>
      <c r="F181" s="10">
        <f>IF($AB181="","",IF(INDEX(입력_기본자료!$D$2:$D$1001,$AB181)="","",INDEX(입력_기본자료!$D$2:$D$1001,$AB181)))</f>
        <v/>
      </c>
      <c r="G181" s="10">
        <f>IF($AB181="","",IF(INDEX(입력_기본자료!$E$2:$E$1001,$AB181)="","",INDEX(입력_기본자료!$E$2:$E$1001,$AB181)))</f>
        <v/>
      </c>
      <c r="H181" s="10">
        <f>IF($AB181="","",IF(INDEX(입력_기본자료!$F$2:$F$1001,$AB181)="","",INDEX(입력_기본자료!$F$2:$F$1001,$AB181)))</f>
        <v/>
      </c>
      <c r="I181" s="11">
        <f>IF($AB181="","",IF(INDEX(입력_기본자료!$G$2:$G$1001,$AB181)="","",IF(NOT(ISNUMBER(INDEX(입력_기본자료!$G$2:$G$1001,$AB181))),INDEX(입력_기본자료!$G$2:$G$1001,$AB181),IF(INDEX(입력_기본자료!$G$2:$G$1001,$AB181)&lt;1000000,INDEX(입력_기본자료!$G$2:$G$1001,$AB181),IF(AND(INDEX(입력_기본자료!$G$2:$G$1001,$AB181)&gt;=10000101,INT(MOD(INDEX(입력_기본자료!$G$2:$G$1001,$AB181),10000)/100)&gt;=1,INT(MOD(INDEX(입력_기본자료!$G$2:$G$1001,$AB181),10000)/100)&lt;=12,MOD(INDEX(입력_기본자료!$G$2:$G$1001,$AB181),100)&gt;=1,MOD(INDEX(입력_기본자료!$G$2:$G$1001,$AB181),100)&lt;=31),DATE(INT(INDEX(입력_기본자료!$G$2:$G$1001,$AB181)/10000),INT(MOD(INDEX(입력_기본자료!$G$2:$G$1001,$AB181),10000)/100),MOD(INDEX(입력_기본자료!$G$2:$G$1001,$AB181),100)),INDEX(입력_기본자료!$G$2:$G$1001,$AB181)&amp;"")))))</f>
        <v/>
      </c>
      <c r="J181" s="10">
        <f>IF($AB181="","",IF(INDEX(입력_기본자료!$H$2:$H$1001,$AB181)="","",INDEX(입력_기본자료!$H$2:$H$1001,$AB181)))</f>
        <v/>
      </c>
      <c r="K181" s="10">
        <f>IF($AB181="","",IF(INDEX(입력_기본자료!$I$2:$I$1001,$AB181)="","",INDEX(입력_기본자료!$I$2:$I$1001,$AB181)))</f>
        <v/>
      </c>
      <c r="L181" s="10">
        <f>IF($AB181="","",IF(INDEX(입력_기본자료!$A$2:$A$1001,$AB181)="","",INDEX(입력_기본자료!$A$2:$A$1001,$AB181)))</f>
        <v/>
      </c>
      <c r="M181" s="15" t="n"/>
      <c r="N181" s="10">
        <f>IF($B181="","",IF(AND($U181="파견중",$Q181&lt;&gt;""),$Q181,IF(AND($AD181&lt;&gt;"",LEFT($AD181,1)&lt;&gt;"⚠"),LEFT($AD181,FIND(" ",$AD181)-1),IF($H181="","",IF(RIGHT($H181,2)="병원",$H181,$H181&amp;"병원")))))</f>
        <v/>
      </c>
      <c r="O181" s="10">
        <f>IF($B181="","",IF(AND($U181="파견중",$Q181&lt;&gt;""),IF($R181&lt;&gt;"",$R181,"파견과 미입력"),IF(AND($AD181&lt;&gt;"",LEFT($AD181,1)&lt;&gt;"⚠"),MID($AD181,FIND(" ",$AD181)+1,60),IF($F181="","",IF($F181="인턴","수련교육부(인턴)",$F181)))))</f>
        <v/>
      </c>
      <c r="P181" s="10">
        <f>IF($B181="","",IF($AK181&lt;&gt;"",IF(AND(TODAY()&gt;=INDEX(입력_파견수련계획!$AB$4:$AB$803,$AK181),OR(NOT(ISNUMBER(INDEX(입력_파견수련계획!$AC$4:$AC$803,$AK181))),TODAY()&lt;=INDEX(입력_파견수련계획!$AC$4:$AC$803,$AK181))),"다기관",IF($AF181="","",INDEX(입력_파견수련계획!$T$4:$T$803,$AF181))),IF($AF181="","",INDEX(입력_파견수련계획!$T$4:$T$803,$AF181))))</f>
        <v/>
      </c>
      <c r="Q181" s="10">
        <f>IF($AF181="","",INDEX(입력_파견수련계획!$S$4:$S$803,$AF181))</f>
        <v/>
      </c>
      <c r="R181" s="10">
        <f>IF($AF181="","",INDEX(입력_파견수련계획!$U$4:$U$803,$AF181))</f>
        <v/>
      </c>
      <c r="S181" s="11">
        <f>IF($AF181="","",IF(INDEX(입력_파견수련계획!$H$4:$H$803,$AF181)="","",INDEX(입력_파견수련계획!$H$4:$H$803,$AF181)))</f>
        <v/>
      </c>
      <c r="T181" s="11">
        <f>IF($AF181="","",IF(INDEX(입력_파견수련계획!$I$4:$I$803,$AF181)="","",INDEX(입력_파견수련계획!$I$4:$I$803,$AF181)))</f>
        <v/>
      </c>
      <c r="U181" s="10">
        <f>IF($AF181="","",INDEX(입력_파견수련계획!$X$4:$X$803,$AF181))</f>
        <v/>
      </c>
      <c r="V181" s="17">
        <f>IF($AF181="","",INDEX(입력_파견수련계획!$V$4:$V$803,$AF181))</f>
        <v/>
      </c>
      <c r="W181" s="17">
        <f>IF(AND($U181="파견중",$T181&lt;&gt;""),$T181-TODAY(),"")</f>
        <v/>
      </c>
      <c r="X181" s="17">
        <f>IF(OR($B181="",TRIM($J181&amp;"")=""),"",SUMPRODUCT((입력_파견수련계획!$Q$4:$Q$803=TRIM($J181&amp;""))*입력_파견수련계획!$W$4:$W$803))</f>
        <v/>
      </c>
      <c r="Y181" s="10">
        <f>IF($B181="","",IF($AG181="","",IF(IF(TRIM($J181&amp;"")="",0,SUMPRODUCT((입력_파견수련계획!$Q$4:$Q$803=TRIM($J181&amp;""))*입력_파견수련계획!$AD$4:$AD$803))&gt;0,$AE181,IF(AND(N($X181)&lt;=0,$AQ181=""),$AG181,IF($AH181+$AI181=DAY(EOMONTH(출력_요약!$B$3,0)),IF(AND($AH181&gt;=출력_요약!$E$3,$AI181&lt;출력_요약!$E$3),"서울병원",IF(AND($AI181&gt;=출력_요약!$E$3,$AH181&lt;출력_요약!$E$3),"구리병원","⚠15일 판정불가(서울 "&amp;$AH181&amp;"일/구리 "&amp;$AI181&amp;"일)")),IF($AJ181="",$AE181,IF(INDEX(입력_파견수련계획!$T$4:$T$803,$AJ181)="통합수련",INDEX(입력_파견수련계획!$S$4:$S$803,$AJ181),$AE181)))))))</f>
        <v/>
      </c>
      <c r="Z181" s="20">
        <f>IF($B181="","",IF($AB181="","기본자료에 없는 사번",IF(COUNTIF($B$2:$B$401,$B181)&gt;1,"중복 사번",IF($AE181="","소속(입사장소) 입력",IF(IF(TRIM($J181&amp;"")="",0,SUMPRODUCT((입력_파견수련계획!$Q$4:$Q$803=TRIM($J181&amp;""))*(입력_파견수련계획!$AA$4:$AA$803&lt;&gt;"")))&gt;0,"파견수련계획 입력오류 확인",IF(LEFT($Y181,1)="⚠","서울·구리 15일 판정 불가(양쪽 모두 이상/미만)",IF(IF($AC181="",0,N(INDEX(입력_인턴근무계획!$T$3:$T$402,$AC181)))&gt;0,"인턴계획 입력오류 확인",IF(AND($AQ181&lt;&gt;"",$AG181&lt;&gt;"구리병원",IF(TRIM($J181&amp;"")="",0,SUMPRODUCT((입력_파견수련계획!$Q$4:$Q$803=TRIM($J181&amp;""))*(입력_파견수련계획!$S$4:$S$803="구리병원")*입력_파견수련계획!$W$4:$W$803))=0),"구리 근무자명단에만 있음(파견수련계획 확인)",IF(AND($AC181&lt;&gt;"",$U181&lt;&gt;"파견중",$N181&lt;&gt;$AE181),"인턴 타지역 근무: 파견 여부 확인","정상")))))))))</f>
        <v/>
      </c>
      <c r="AA181" s="5" t="n"/>
      <c r="AB181" s="10">
        <f>IF($B181="","",IFERROR(MATCH($B181,입력_기본자료!$B$2:$B$1001,0),IFERROR(MATCH($B181&amp;"",입력_기본자료!$B$2:$B$1001,0),IFERROR(MATCH(VALUE($B181),입력_기본자료!$B$2:$B$1001,0),""))))</f>
        <v/>
      </c>
      <c r="AC181" s="10">
        <f>IF($B181="","",IFERROR(MATCH($B181,입력_인턴근무계획!$D$3:$D$402,0),IFERROR(MATCH($B181&amp;"",입력_인턴근무계획!$D$3:$D$402,0),IFERROR(MATCH(VALUE($B181),입력_인턴근무계획!$D$3:$D$402,0),""))))</f>
        <v/>
      </c>
      <c r="AD181" s="10">
        <f>IF(OR($AC181="",출력_인턴현황!$G$3=""),"",INDEX(입력_인턴근무계획!$M$3:$R$402,$AC181,출력_인턴현황!$G$3)&amp;"")</f>
        <v/>
      </c>
      <c r="AE181" s="10">
        <f>IF($B181="","",IF($M181&lt;&gt;"",$M181,IF(IF($AQ181="",FALSE,INDEX(출력_구리근무자!$J$6:$J$305,$AQ181)="구리독자"),"구리병원",IF($AF181&lt;&gt;"",IF(LEFT(INDEX(입력_파견수련계획!$R$4:$R$803,$AF181),1)&lt;&gt;"⚠",INDEX(입력_파견수련계획!$R$4:$R$803,$AF181),IF($H181="","",IF(RIGHT($H181,2)="병원",$H181,$H181&amp;"병원"))),IF($H181="","",IF(RIGHT($H181,2)="병원",$H181,$H181&amp;"병원"))))))</f>
        <v/>
      </c>
      <c r="AF181" s="10">
        <f>IF(OR($B181="",TRIM($J181&amp;"")=""),"",IFERROR(MATCH(TRIM($J181&amp;"")&amp;"|파견중",입력_파견수련계획!$Y$4:$Y$803,0),IFERROR(MATCH(TRIM($J181&amp;"")&amp;"|파견예정",입력_파견수련계획!$Y$4:$Y$803,0),IFERROR(MATCH(TRIM($J181&amp;"")&amp;"|파견종료",입력_파견수련계획!$Y$4:$Y$803,0),""))))</f>
        <v/>
      </c>
      <c r="AG181" s="10">
        <f>IF($B181="","",IF(AND(IF(OR($AC181="",출력_인턴현황!$K$2=""),"",INDEX(입력_인턴근무계획!$M$3:$R$402,$AC181,출력_인턴현황!$K$2)&amp;"")&lt;&gt;"",LEFT(IF(OR($AC181="",출력_인턴현황!$K$2=""),"",INDEX(입력_인턴근무계획!$M$3:$R$402,$AC181,출력_인턴현황!$K$2)&amp;""),1)&lt;&gt;"⚠"),LEFT(IF(OR($AC181="",출력_인턴현황!$K$2=""),"",INDEX(입력_인턴근무계획!$M$3:$R$402,$AC181,출력_인턴현황!$K$2)&amp;""),FIND(" ",IF(OR($AC181="",출력_인턴현황!$K$2=""),"",INDEX(입력_인턴근무계획!$M$3:$R$402,$AC181,출력_인턴현황!$K$2)&amp;""))-1),$AE181))</f>
        <v/>
      </c>
      <c r="AH181" s="17">
        <f>IF($B181="","",IF($AQ181&lt;&gt;"",MAX(0,DAY(EOMONTH(출력_요약!$B$3,0))-N($AR181)),IF(TRIM($J181&amp;"")="",0,SUMPRODUCT((입력_파견수련계획!$Q$4:$Q$803=TRIM($J181&amp;""))*(입력_파견수련계획!$S$4:$S$803="서울병원")*입력_파견수련계획!$W$4:$W$803))+IF($AG181="서울병원",MAX(0,DAY(EOMONTH(출력_요약!$B$3,0))-N($X181)),0)))</f>
        <v/>
      </c>
      <c r="AI181" s="17">
        <f>IF($B181="","",IF($AQ181&lt;&gt;"",N($AR181),IF(TRIM($J181&amp;"")="",0,SUMPRODUCT((입력_파견수련계획!$Q$4:$Q$803=TRIM($J181&amp;""))*(입력_파견수련계획!$S$4:$S$803="구리병원")*입력_파견수련계획!$W$4:$W$803))+IF($AG181="구리병원",MAX(0,DAY(EOMONTH(출력_요약!$B$3,0))-N($X181)),0)))</f>
        <v/>
      </c>
      <c r="AJ181" s="10">
        <f>IF(OR($B181="",TRIM($J181&amp;"")=""),"",IFERROR(MATCH(TRIM($J181&amp;"")&amp;"|월",입력_파견수련계획!$Z$4:$Z$803,0),""))</f>
        <v/>
      </c>
      <c r="AK181" s="10">
        <f>IF(OR($B181="",TRIM($J181&amp;"")=""),"",IFERROR(MATCH(TRIM($J181&amp;"")&amp;"|다기관",입력_파견수련계획!$AE$4:$AE$803,0),""))</f>
        <v/>
      </c>
      <c r="AL181" s="10">
        <f>IF($AK181="","","다기관 "&amp;TEXT(INDEX(입력_파견수련계획!$AB$4:$AB$803,$AK181),"yyyy-mm-dd")&amp;"~"&amp;IF(ISNUMBER(INDEX(입력_파견수련계획!$AC$4:$AC$803,$AK181)),TEXT(INDEX(입력_파견수련계획!$AC$4:$AC$803,$AK181),"yyyy-mm-dd"),""))</f>
        <v/>
      </c>
      <c r="AM181" s="10">
        <f>IF($Y181="서울병원",COUNTIF($Y$2:$Y181,"서울병원"),"")</f>
        <v/>
      </c>
      <c r="AN181" s="10">
        <f>IF(LEFT($Y181,1)="⚠",COUNTIF($Y$2:$Y181,"⚠*"),"")</f>
        <v/>
      </c>
      <c r="AO181" s="10">
        <f>IF(OR($B181="",$Y181=""),"",IF(IF(TRIM($J181&amp;"")="",0,SUMPRODUCT((입력_파견수련계획!$Q$4:$Q$803=TRIM($J181&amp;""))*입력_파견수련계획!$AD$4:$AD$803))&gt;0,"다기관 기간 → 소속병원 지급",IF(AND(N($X181)&lt;=0,$AQ181=""),"파견 없음 → 그 달 근무병원 지급",IF($AH181+$AI181=DAY(EOMONTH(출력_요약!$B$3,0)),"서울 "&amp;$AH181&amp;"일 / 구리 "&amp;$AI181&amp;"일"&amp;IF($AQ181&lt;&gt;""," (구리 근무자명단 반영)","")&amp;" → 15일 이상 근무 병원 지급","타 병원 포함 → "&amp;IF($AJ181="","소속",INDEX(입력_파견수련계획!$T$4:$T$803,$AJ181))&amp;" 규칙"))))</f>
        <v/>
      </c>
      <c r="AP181" s="10">
        <f>IF($B181="","",$C181&amp;"|"&amp;$F181)</f>
        <v/>
      </c>
      <c r="AQ181" s="10">
        <f>IF($B181="","",IFERROR(MATCH(ROW()-1,출력_구리근무자!$K$6:$K$305,0),""))</f>
        <v/>
      </c>
      <c r="AR181" s="10">
        <f>IF($AQ181="","",INDEX(출력_구리근무자!$H$6:$H$305,$AQ181))</f>
        <v/>
      </c>
    </row>
    <row r="182">
      <c r="A182" s="10">
        <f>IF(B182="","",ROW()-1)</f>
        <v/>
      </c>
      <c r="B182" s="19" t="n"/>
      <c r="C182" s="10">
        <f>IF($AB182="","",IF(INDEX(입력_기본자료!$C$2:$C$1001,$AB182)="","",INDEX(입력_기본자료!$C$2:$C$1001,$AB182)))</f>
        <v/>
      </c>
      <c r="D182" s="10">
        <f>IF($AB182="","",IF(INDEX(입력_기본자료!$J$2:$J$1001,$AB182)="","",INDEX(입력_기본자료!$J$2:$J$1001,$AB182)))</f>
        <v/>
      </c>
      <c r="E182" s="11">
        <f>IF($AB182="","",IF(INDEX(입력_기본자료!$K$2:$K$1001,$AB182)="","",IF(NOT(ISNUMBER(INDEX(입력_기본자료!$K$2:$K$1001,$AB182))),INDEX(입력_기본자료!$K$2:$K$1001,$AB182),IF(INDEX(입력_기본자료!$K$2:$K$1001,$AB182)&lt;1000000,INDEX(입력_기본자료!$K$2:$K$1001,$AB182),IF(AND(INDEX(입력_기본자료!$K$2:$K$1001,$AB182)&gt;=10000101,INT(MOD(INDEX(입력_기본자료!$K$2:$K$1001,$AB182),10000)/100)&gt;=1,INT(MOD(INDEX(입력_기본자료!$K$2:$K$1001,$AB182),10000)/100)&lt;=12,MOD(INDEX(입력_기본자료!$K$2:$K$1001,$AB182),100)&gt;=1,MOD(INDEX(입력_기본자료!$K$2:$K$1001,$AB182),100)&lt;=31),DATE(INT(INDEX(입력_기본자료!$K$2:$K$1001,$AB182)/10000),INT(MOD(INDEX(입력_기본자료!$K$2:$K$1001,$AB182),10000)/100),MOD(INDEX(입력_기본자료!$K$2:$K$1001,$AB182),100)),INDEX(입력_기본자료!$K$2:$K$1001,$AB182)&amp;"")))))</f>
        <v/>
      </c>
      <c r="F182" s="10">
        <f>IF($AB182="","",IF(INDEX(입력_기본자료!$D$2:$D$1001,$AB182)="","",INDEX(입력_기본자료!$D$2:$D$1001,$AB182)))</f>
        <v/>
      </c>
      <c r="G182" s="10">
        <f>IF($AB182="","",IF(INDEX(입력_기본자료!$E$2:$E$1001,$AB182)="","",INDEX(입력_기본자료!$E$2:$E$1001,$AB182)))</f>
        <v/>
      </c>
      <c r="H182" s="10">
        <f>IF($AB182="","",IF(INDEX(입력_기본자료!$F$2:$F$1001,$AB182)="","",INDEX(입력_기본자료!$F$2:$F$1001,$AB182)))</f>
        <v/>
      </c>
      <c r="I182" s="11">
        <f>IF($AB182="","",IF(INDEX(입력_기본자료!$G$2:$G$1001,$AB182)="","",IF(NOT(ISNUMBER(INDEX(입력_기본자료!$G$2:$G$1001,$AB182))),INDEX(입력_기본자료!$G$2:$G$1001,$AB182),IF(INDEX(입력_기본자료!$G$2:$G$1001,$AB182)&lt;1000000,INDEX(입력_기본자료!$G$2:$G$1001,$AB182),IF(AND(INDEX(입력_기본자료!$G$2:$G$1001,$AB182)&gt;=10000101,INT(MOD(INDEX(입력_기본자료!$G$2:$G$1001,$AB182),10000)/100)&gt;=1,INT(MOD(INDEX(입력_기본자료!$G$2:$G$1001,$AB182),10000)/100)&lt;=12,MOD(INDEX(입력_기본자료!$G$2:$G$1001,$AB182),100)&gt;=1,MOD(INDEX(입력_기본자료!$G$2:$G$1001,$AB182),100)&lt;=31),DATE(INT(INDEX(입력_기본자료!$G$2:$G$1001,$AB182)/10000),INT(MOD(INDEX(입력_기본자료!$G$2:$G$1001,$AB182),10000)/100),MOD(INDEX(입력_기본자료!$G$2:$G$1001,$AB182),100)),INDEX(입력_기본자료!$G$2:$G$1001,$AB182)&amp;"")))))</f>
        <v/>
      </c>
      <c r="J182" s="10">
        <f>IF($AB182="","",IF(INDEX(입력_기본자료!$H$2:$H$1001,$AB182)="","",INDEX(입력_기본자료!$H$2:$H$1001,$AB182)))</f>
        <v/>
      </c>
      <c r="K182" s="10">
        <f>IF($AB182="","",IF(INDEX(입력_기본자료!$I$2:$I$1001,$AB182)="","",INDEX(입력_기본자료!$I$2:$I$1001,$AB182)))</f>
        <v/>
      </c>
      <c r="L182" s="10">
        <f>IF($AB182="","",IF(INDEX(입력_기본자료!$A$2:$A$1001,$AB182)="","",INDEX(입력_기본자료!$A$2:$A$1001,$AB182)))</f>
        <v/>
      </c>
      <c r="M182" s="15" t="n"/>
      <c r="N182" s="10">
        <f>IF($B182="","",IF(AND($U182="파견중",$Q182&lt;&gt;""),$Q182,IF(AND($AD182&lt;&gt;"",LEFT($AD182,1)&lt;&gt;"⚠"),LEFT($AD182,FIND(" ",$AD182)-1),IF($H182="","",IF(RIGHT($H182,2)="병원",$H182,$H182&amp;"병원")))))</f>
        <v/>
      </c>
      <c r="O182" s="10">
        <f>IF($B182="","",IF(AND($U182="파견중",$Q182&lt;&gt;""),IF($R182&lt;&gt;"",$R182,"파견과 미입력"),IF(AND($AD182&lt;&gt;"",LEFT($AD182,1)&lt;&gt;"⚠"),MID($AD182,FIND(" ",$AD182)+1,60),IF($F182="","",IF($F182="인턴","수련교육부(인턴)",$F182)))))</f>
        <v/>
      </c>
      <c r="P182" s="10">
        <f>IF($B182="","",IF($AK182&lt;&gt;"",IF(AND(TODAY()&gt;=INDEX(입력_파견수련계획!$AB$4:$AB$803,$AK182),OR(NOT(ISNUMBER(INDEX(입력_파견수련계획!$AC$4:$AC$803,$AK182))),TODAY()&lt;=INDEX(입력_파견수련계획!$AC$4:$AC$803,$AK182))),"다기관",IF($AF182="","",INDEX(입력_파견수련계획!$T$4:$T$803,$AF182))),IF($AF182="","",INDEX(입력_파견수련계획!$T$4:$T$803,$AF182))))</f>
        <v/>
      </c>
      <c r="Q182" s="10">
        <f>IF($AF182="","",INDEX(입력_파견수련계획!$S$4:$S$803,$AF182))</f>
        <v/>
      </c>
      <c r="R182" s="10">
        <f>IF($AF182="","",INDEX(입력_파견수련계획!$U$4:$U$803,$AF182))</f>
        <v/>
      </c>
      <c r="S182" s="11">
        <f>IF($AF182="","",IF(INDEX(입력_파견수련계획!$H$4:$H$803,$AF182)="","",INDEX(입력_파견수련계획!$H$4:$H$803,$AF182)))</f>
        <v/>
      </c>
      <c r="T182" s="11">
        <f>IF($AF182="","",IF(INDEX(입력_파견수련계획!$I$4:$I$803,$AF182)="","",INDEX(입력_파견수련계획!$I$4:$I$803,$AF182)))</f>
        <v/>
      </c>
      <c r="U182" s="10">
        <f>IF($AF182="","",INDEX(입력_파견수련계획!$X$4:$X$803,$AF182))</f>
        <v/>
      </c>
      <c r="V182" s="17">
        <f>IF($AF182="","",INDEX(입력_파견수련계획!$V$4:$V$803,$AF182))</f>
        <v/>
      </c>
      <c r="W182" s="17">
        <f>IF(AND($U182="파견중",$T182&lt;&gt;""),$T182-TODAY(),"")</f>
        <v/>
      </c>
      <c r="X182" s="17">
        <f>IF(OR($B182="",TRIM($J182&amp;"")=""),"",SUMPRODUCT((입력_파견수련계획!$Q$4:$Q$803=TRIM($J182&amp;""))*입력_파견수련계획!$W$4:$W$803))</f>
        <v/>
      </c>
      <c r="Y182" s="10">
        <f>IF($B182="","",IF($AG182="","",IF(IF(TRIM($J182&amp;"")="",0,SUMPRODUCT((입력_파견수련계획!$Q$4:$Q$803=TRIM($J182&amp;""))*입력_파견수련계획!$AD$4:$AD$803))&gt;0,$AE182,IF(AND(N($X182)&lt;=0,$AQ182=""),$AG182,IF($AH182+$AI182=DAY(EOMONTH(출력_요약!$B$3,0)),IF(AND($AH182&gt;=출력_요약!$E$3,$AI182&lt;출력_요약!$E$3),"서울병원",IF(AND($AI182&gt;=출력_요약!$E$3,$AH182&lt;출력_요약!$E$3),"구리병원","⚠15일 판정불가(서울 "&amp;$AH182&amp;"일/구리 "&amp;$AI182&amp;"일)")),IF($AJ182="",$AE182,IF(INDEX(입력_파견수련계획!$T$4:$T$803,$AJ182)="통합수련",INDEX(입력_파견수련계획!$S$4:$S$803,$AJ182),$AE182)))))))</f>
        <v/>
      </c>
      <c r="Z182" s="20">
        <f>IF($B182="","",IF($AB182="","기본자료에 없는 사번",IF(COUNTIF($B$2:$B$401,$B182)&gt;1,"중복 사번",IF($AE182="","소속(입사장소) 입력",IF(IF(TRIM($J182&amp;"")="",0,SUMPRODUCT((입력_파견수련계획!$Q$4:$Q$803=TRIM($J182&amp;""))*(입력_파견수련계획!$AA$4:$AA$803&lt;&gt;"")))&gt;0,"파견수련계획 입력오류 확인",IF(LEFT($Y182,1)="⚠","서울·구리 15일 판정 불가(양쪽 모두 이상/미만)",IF(IF($AC182="",0,N(INDEX(입력_인턴근무계획!$T$3:$T$402,$AC182)))&gt;0,"인턴계획 입력오류 확인",IF(AND($AQ182&lt;&gt;"",$AG182&lt;&gt;"구리병원",IF(TRIM($J182&amp;"")="",0,SUMPRODUCT((입력_파견수련계획!$Q$4:$Q$803=TRIM($J182&amp;""))*(입력_파견수련계획!$S$4:$S$803="구리병원")*입력_파견수련계획!$W$4:$W$803))=0),"구리 근무자명단에만 있음(파견수련계획 확인)",IF(AND($AC182&lt;&gt;"",$U182&lt;&gt;"파견중",$N182&lt;&gt;$AE182),"인턴 타지역 근무: 파견 여부 확인","정상")))))))))</f>
        <v/>
      </c>
      <c r="AA182" s="5" t="n"/>
      <c r="AB182" s="10">
        <f>IF($B182="","",IFERROR(MATCH($B182,입력_기본자료!$B$2:$B$1001,0),IFERROR(MATCH($B182&amp;"",입력_기본자료!$B$2:$B$1001,0),IFERROR(MATCH(VALUE($B182),입력_기본자료!$B$2:$B$1001,0),""))))</f>
        <v/>
      </c>
      <c r="AC182" s="10">
        <f>IF($B182="","",IFERROR(MATCH($B182,입력_인턴근무계획!$D$3:$D$402,0),IFERROR(MATCH($B182&amp;"",입력_인턴근무계획!$D$3:$D$402,0),IFERROR(MATCH(VALUE($B182),입력_인턴근무계획!$D$3:$D$402,0),""))))</f>
        <v/>
      </c>
      <c r="AD182" s="10">
        <f>IF(OR($AC182="",출력_인턴현황!$G$3=""),"",INDEX(입력_인턴근무계획!$M$3:$R$402,$AC182,출력_인턴현황!$G$3)&amp;"")</f>
        <v/>
      </c>
      <c r="AE182" s="10">
        <f>IF($B182="","",IF($M182&lt;&gt;"",$M182,IF(IF($AQ182="",FALSE,INDEX(출력_구리근무자!$J$6:$J$305,$AQ182)="구리독자"),"구리병원",IF($AF182&lt;&gt;"",IF(LEFT(INDEX(입력_파견수련계획!$R$4:$R$803,$AF182),1)&lt;&gt;"⚠",INDEX(입력_파견수련계획!$R$4:$R$803,$AF182),IF($H182="","",IF(RIGHT($H182,2)="병원",$H182,$H182&amp;"병원"))),IF($H182="","",IF(RIGHT($H182,2)="병원",$H182,$H182&amp;"병원"))))))</f>
        <v/>
      </c>
      <c r="AF182" s="10">
        <f>IF(OR($B182="",TRIM($J182&amp;"")=""),"",IFERROR(MATCH(TRIM($J182&amp;"")&amp;"|파견중",입력_파견수련계획!$Y$4:$Y$803,0),IFERROR(MATCH(TRIM($J182&amp;"")&amp;"|파견예정",입력_파견수련계획!$Y$4:$Y$803,0),IFERROR(MATCH(TRIM($J182&amp;"")&amp;"|파견종료",입력_파견수련계획!$Y$4:$Y$803,0),""))))</f>
        <v/>
      </c>
      <c r="AG182" s="10">
        <f>IF($B182="","",IF(AND(IF(OR($AC182="",출력_인턴현황!$K$2=""),"",INDEX(입력_인턴근무계획!$M$3:$R$402,$AC182,출력_인턴현황!$K$2)&amp;"")&lt;&gt;"",LEFT(IF(OR($AC182="",출력_인턴현황!$K$2=""),"",INDEX(입력_인턴근무계획!$M$3:$R$402,$AC182,출력_인턴현황!$K$2)&amp;""),1)&lt;&gt;"⚠"),LEFT(IF(OR($AC182="",출력_인턴현황!$K$2=""),"",INDEX(입력_인턴근무계획!$M$3:$R$402,$AC182,출력_인턴현황!$K$2)&amp;""),FIND(" ",IF(OR($AC182="",출력_인턴현황!$K$2=""),"",INDEX(입력_인턴근무계획!$M$3:$R$402,$AC182,출력_인턴현황!$K$2)&amp;""))-1),$AE182))</f>
        <v/>
      </c>
      <c r="AH182" s="17">
        <f>IF($B182="","",IF($AQ182&lt;&gt;"",MAX(0,DAY(EOMONTH(출력_요약!$B$3,0))-N($AR182)),IF(TRIM($J182&amp;"")="",0,SUMPRODUCT((입력_파견수련계획!$Q$4:$Q$803=TRIM($J182&amp;""))*(입력_파견수련계획!$S$4:$S$803="서울병원")*입력_파견수련계획!$W$4:$W$803))+IF($AG182="서울병원",MAX(0,DAY(EOMONTH(출력_요약!$B$3,0))-N($X182)),0)))</f>
        <v/>
      </c>
      <c r="AI182" s="17">
        <f>IF($B182="","",IF($AQ182&lt;&gt;"",N($AR182),IF(TRIM($J182&amp;"")="",0,SUMPRODUCT((입력_파견수련계획!$Q$4:$Q$803=TRIM($J182&amp;""))*(입력_파견수련계획!$S$4:$S$803="구리병원")*입력_파견수련계획!$W$4:$W$803))+IF($AG182="구리병원",MAX(0,DAY(EOMONTH(출력_요약!$B$3,0))-N($X182)),0)))</f>
        <v/>
      </c>
      <c r="AJ182" s="10">
        <f>IF(OR($B182="",TRIM($J182&amp;"")=""),"",IFERROR(MATCH(TRIM($J182&amp;"")&amp;"|월",입력_파견수련계획!$Z$4:$Z$803,0),""))</f>
        <v/>
      </c>
      <c r="AK182" s="10">
        <f>IF(OR($B182="",TRIM($J182&amp;"")=""),"",IFERROR(MATCH(TRIM($J182&amp;"")&amp;"|다기관",입력_파견수련계획!$AE$4:$AE$803,0),""))</f>
        <v/>
      </c>
      <c r="AL182" s="10">
        <f>IF($AK182="","","다기관 "&amp;TEXT(INDEX(입력_파견수련계획!$AB$4:$AB$803,$AK182),"yyyy-mm-dd")&amp;"~"&amp;IF(ISNUMBER(INDEX(입력_파견수련계획!$AC$4:$AC$803,$AK182)),TEXT(INDEX(입력_파견수련계획!$AC$4:$AC$803,$AK182),"yyyy-mm-dd"),""))</f>
        <v/>
      </c>
      <c r="AM182" s="10">
        <f>IF($Y182="서울병원",COUNTIF($Y$2:$Y182,"서울병원"),"")</f>
        <v/>
      </c>
      <c r="AN182" s="10">
        <f>IF(LEFT($Y182,1)="⚠",COUNTIF($Y$2:$Y182,"⚠*"),"")</f>
        <v/>
      </c>
      <c r="AO182" s="10">
        <f>IF(OR($B182="",$Y182=""),"",IF(IF(TRIM($J182&amp;"")="",0,SUMPRODUCT((입력_파견수련계획!$Q$4:$Q$803=TRIM($J182&amp;""))*입력_파견수련계획!$AD$4:$AD$803))&gt;0,"다기관 기간 → 소속병원 지급",IF(AND(N($X182)&lt;=0,$AQ182=""),"파견 없음 → 그 달 근무병원 지급",IF($AH182+$AI182=DAY(EOMONTH(출력_요약!$B$3,0)),"서울 "&amp;$AH182&amp;"일 / 구리 "&amp;$AI182&amp;"일"&amp;IF($AQ182&lt;&gt;""," (구리 근무자명단 반영)","")&amp;" → 15일 이상 근무 병원 지급","타 병원 포함 → "&amp;IF($AJ182="","소속",INDEX(입력_파견수련계획!$T$4:$T$803,$AJ182))&amp;" 규칙"))))</f>
        <v/>
      </c>
      <c r="AP182" s="10">
        <f>IF($B182="","",$C182&amp;"|"&amp;$F182)</f>
        <v/>
      </c>
      <c r="AQ182" s="10">
        <f>IF($B182="","",IFERROR(MATCH(ROW()-1,출력_구리근무자!$K$6:$K$305,0),""))</f>
        <v/>
      </c>
      <c r="AR182" s="10">
        <f>IF($AQ182="","",INDEX(출력_구리근무자!$H$6:$H$305,$AQ182))</f>
        <v/>
      </c>
    </row>
    <row r="183">
      <c r="A183" s="10">
        <f>IF(B183="","",ROW()-1)</f>
        <v/>
      </c>
      <c r="B183" s="19" t="n"/>
      <c r="C183" s="10">
        <f>IF($AB183="","",IF(INDEX(입력_기본자료!$C$2:$C$1001,$AB183)="","",INDEX(입력_기본자료!$C$2:$C$1001,$AB183)))</f>
        <v/>
      </c>
      <c r="D183" s="10">
        <f>IF($AB183="","",IF(INDEX(입력_기본자료!$J$2:$J$1001,$AB183)="","",INDEX(입력_기본자료!$J$2:$J$1001,$AB183)))</f>
        <v/>
      </c>
      <c r="E183" s="11">
        <f>IF($AB183="","",IF(INDEX(입력_기본자료!$K$2:$K$1001,$AB183)="","",IF(NOT(ISNUMBER(INDEX(입력_기본자료!$K$2:$K$1001,$AB183))),INDEX(입력_기본자료!$K$2:$K$1001,$AB183),IF(INDEX(입력_기본자료!$K$2:$K$1001,$AB183)&lt;1000000,INDEX(입력_기본자료!$K$2:$K$1001,$AB183),IF(AND(INDEX(입력_기본자료!$K$2:$K$1001,$AB183)&gt;=10000101,INT(MOD(INDEX(입력_기본자료!$K$2:$K$1001,$AB183),10000)/100)&gt;=1,INT(MOD(INDEX(입력_기본자료!$K$2:$K$1001,$AB183),10000)/100)&lt;=12,MOD(INDEX(입력_기본자료!$K$2:$K$1001,$AB183),100)&gt;=1,MOD(INDEX(입력_기본자료!$K$2:$K$1001,$AB183),100)&lt;=31),DATE(INT(INDEX(입력_기본자료!$K$2:$K$1001,$AB183)/10000),INT(MOD(INDEX(입력_기본자료!$K$2:$K$1001,$AB183),10000)/100),MOD(INDEX(입력_기본자료!$K$2:$K$1001,$AB183),100)),INDEX(입력_기본자료!$K$2:$K$1001,$AB183)&amp;"")))))</f>
        <v/>
      </c>
      <c r="F183" s="10">
        <f>IF($AB183="","",IF(INDEX(입력_기본자료!$D$2:$D$1001,$AB183)="","",INDEX(입력_기본자료!$D$2:$D$1001,$AB183)))</f>
        <v/>
      </c>
      <c r="G183" s="10">
        <f>IF($AB183="","",IF(INDEX(입력_기본자료!$E$2:$E$1001,$AB183)="","",INDEX(입력_기본자료!$E$2:$E$1001,$AB183)))</f>
        <v/>
      </c>
      <c r="H183" s="10">
        <f>IF($AB183="","",IF(INDEX(입력_기본자료!$F$2:$F$1001,$AB183)="","",INDEX(입력_기본자료!$F$2:$F$1001,$AB183)))</f>
        <v/>
      </c>
      <c r="I183" s="11">
        <f>IF($AB183="","",IF(INDEX(입력_기본자료!$G$2:$G$1001,$AB183)="","",IF(NOT(ISNUMBER(INDEX(입력_기본자료!$G$2:$G$1001,$AB183))),INDEX(입력_기본자료!$G$2:$G$1001,$AB183),IF(INDEX(입력_기본자료!$G$2:$G$1001,$AB183)&lt;1000000,INDEX(입력_기본자료!$G$2:$G$1001,$AB183),IF(AND(INDEX(입력_기본자료!$G$2:$G$1001,$AB183)&gt;=10000101,INT(MOD(INDEX(입력_기본자료!$G$2:$G$1001,$AB183),10000)/100)&gt;=1,INT(MOD(INDEX(입력_기본자료!$G$2:$G$1001,$AB183),10000)/100)&lt;=12,MOD(INDEX(입력_기본자료!$G$2:$G$1001,$AB183),100)&gt;=1,MOD(INDEX(입력_기본자료!$G$2:$G$1001,$AB183),100)&lt;=31),DATE(INT(INDEX(입력_기본자료!$G$2:$G$1001,$AB183)/10000),INT(MOD(INDEX(입력_기본자료!$G$2:$G$1001,$AB183),10000)/100),MOD(INDEX(입력_기본자료!$G$2:$G$1001,$AB183),100)),INDEX(입력_기본자료!$G$2:$G$1001,$AB183)&amp;"")))))</f>
        <v/>
      </c>
      <c r="J183" s="10">
        <f>IF($AB183="","",IF(INDEX(입력_기본자료!$H$2:$H$1001,$AB183)="","",INDEX(입력_기본자료!$H$2:$H$1001,$AB183)))</f>
        <v/>
      </c>
      <c r="K183" s="10">
        <f>IF($AB183="","",IF(INDEX(입력_기본자료!$I$2:$I$1001,$AB183)="","",INDEX(입력_기본자료!$I$2:$I$1001,$AB183)))</f>
        <v/>
      </c>
      <c r="L183" s="10">
        <f>IF($AB183="","",IF(INDEX(입력_기본자료!$A$2:$A$1001,$AB183)="","",INDEX(입력_기본자료!$A$2:$A$1001,$AB183)))</f>
        <v/>
      </c>
      <c r="M183" s="15" t="n"/>
      <c r="N183" s="10">
        <f>IF($B183="","",IF(AND($U183="파견중",$Q183&lt;&gt;""),$Q183,IF(AND($AD183&lt;&gt;"",LEFT($AD183,1)&lt;&gt;"⚠"),LEFT($AD183,FIND(" ",$AD183)-1),IF($H183="","",IF(RIGHT($H183,2)="병원",$H183,$H183&amp;"병원")))))</f>
        <v/>
      </c>
      <c r="O183" s="10">
        <f>IF($B183="","",IF(AND($U183="파견중",$Q183&lt;&gt;""),IF($R183&lt;&gt;"",$R183,"파견과 미입력"),IF(AND($AD183&lt;&gt;"",LEFT($AD183,1)&lt;&gt;"⚠"),MID($AD183,FIND(" ",$AD183)+1,60),IF($F183="","",IF($F183="인턴","수련교육부(인턴)",$F183)))))</f>
        <v/>
      </c>
      <c r="P183" s="10">
        <f>IF($B183="","",IF($AK183&lt;&gt;"",IF(AND(TODAY()&gt;=INDEX(입력_파견수련계획!$AB$4:$AB$803,$AK183),OR(NOT(ISNUMBER(INDEX(입력_파견수련계획!$AC$4:$AC$803,$AK183))),TODAY()&lt;=INDEX(입력_파견수련계획!$AC$4:$AC$803,$AK183))),"다기관",IF($AF183="","",INDEX(입력_파견수련계획!$T$4:$T$803,$AF183))),IF($AF183="","",INDEX(입력_파견수련계획!$T$4:$T$803,$AF183))))</f>
        <v/>
      </c>
      <c r="Q183" s="10">
        <f>IF($AF183="","",INDEX(입력_파견수련계획!$S$4:$S$803,$AF183))</f>
        <v/>
      </c>
      <c r="R183" s="10">
        <f>IF($AF183="","",INDEX(입력_파견수련계획!$U$4:$U$803,$AF183))</f>
        <v/>
      </c>
      <c r="S183" s="11">
        <f>IF($AF183="","",IF(INDEX(입력_파견수련계획!$H$4:$H$803,$AF183)="","",INDEX(입력_파견수련계획!$H$4:$H$803,$AF183)))</f>
        <v/>
      </c>
      <c r="T183" s="11">
        <f>IF($AF183="","",IF(INDEX(입력_파견수련계획!$I$4:$I$803,$AF183)="","",INDEX(입력_파견수련계획!$I$4:$I$803,$AF183)))</f>
        <v/>
      </c>
      <c r="U183" s="10">
        <f>IF($AF183="","",INDEX(입력_파견수련계획!$X$4:$X$803,$AF183))</f>
        <v/>
      </c>
      <c r="V183" s="17">
        <f>IF($AF183="","",INDEX(입력_파견수련계획!$V$4:$V$803,$AF183))</f>
        <v/>
      </c>
      <c r="W183" s="17">
        <f>IF(AND($U183="파견중",$T183&lt;&gt;""),$T183-TODAY(),"")</f>
        <v/>
      </c>
      <c r="X183" s="17">
        <f>IF(OR($B183="",TRIM($J183&amp;"")=""),"",SUMPRODUCT((입력_파견수련계획!$Q$4:$Q$803=TRIM($J183&amp;""))*입력_파견수련계획!$W$4:$W$803))</f>
        <v/>
      </c>
      <c r="Y183" s="10">
        <f>IF($B183="","",IF($AG183="","",IF(IF(TRIM($J183&amp;"")="",0,SUMPRODUCT((입력_파견수련계획!$Q$4:$Q$803=TRIM($J183&amp;""))*입력_파견수련계획!$AD$4:$AD$803))&gt;0,$AE183,IF(AND(N($X183)&lt;=0,$AQ183=""),$AG183,IF($AH183+$AI183=DAY(EOMONTH(출력_요약!$B$3,0)),IF(AND($AH183&gt;=출력_요약!$E$3,$AI183&lt;출력_요약!$E$3),"서울병원",IF(AND($AI183&gt;=출력_요약!$E$3,$AH183&lt;출력_요약!$E$3),"구리병원","⚠15일 판정불가(서울 "&amp;$AH183&amp;"일/구리 "&amp;$AI183&amp;"일)")),IF($AJ183="",$AE183,IF(INDEX(입력_파견수련계획!$T$4:$T$803,$AJ183)="통합수련",INDEX(입력_파견수련계획!$S$4:$S$803,$AJ183),$AE183)))))))</f>
        <v/>
      </c>
      <c r="Z183" s="20">
        <f>IF($B183="","",IF($AB183="","기본자료에 없는 사번",IF(COUNTIF($B$2:$B$401,$B183)&gt;1,"중복 사번",IF($AE183="","소속(입사장소) 입력",IF(IF(TRIM($J183&amp;"")="",0,SUMPRODUCT((입력_파견수련계획!$Q$4:$Q$803=TRIM($J183&amp;""))*(입력_파견수련계획!$AA$4:$AA$803&lt;&gt;"")))&gt;0,"파견수련계획 입력오류 확인",IF(LEFT($Y183,1)="⚠","서울·구리 15일 판정 불가(양쪽 모두 이상/미만)",IF(IF($AC183="",0,N(INDEX(입력_인턴근무계획!$T$3:$T$402,$AC183)))&gt;0,"인턴계획 입력오류 확인",IF(AND($AQ183&lt;&gt;"",$AG183&lt;&gt;"구리병원",IF(TRIM($J183&amp;"")="",0,SUMPRODUCT((입력_파견수련계획!$Q$4:$Q$803=TRIM($J183&amp;""))*(입력_파견수련계획!$S$4:$S$803="구리병원")*입력_파견수련계획!$W$4:$W$803))=0),"구리 근무자명단에만 있음(파견수련계획 확인)",IF(AND($AC183&lt;&gt;"",$U183&lt;&gt;"파견중",$N183&lt;&gt;$AE183),"인턴 타지역 근무: 파견 여부 확인","정상")))))))))</f>
        <v/>
      </c>
      <c r="AA183" s="5" t="n"/>
      <c r="AB183" s="10">
        <f>IF($B183="","",IFERROR(MATCH($B183,입력_기본자료!$B$2:$B$1001,0),IFERROR(MATCH($B183&amp;"",입력_기본자료!$B$2:$B$1001,0),IFERROR(MATCH(VALUE($B183),입력_기본자료!$B$2:$B$1001,0),""))))</f>
        <v/>
      </c>
      <c r="AC183" s="10">
        <f>IF($B183="","",IFERROR(MATCH($B183,입력_인턴근무계획!$D$3:$D$402,0),IFERROR(MATCH($B183&amp;"",입력_인턴근무계획!$D$3:$D$402,0),IFERROR(MATCH(VALUE($B183),입력_인턴근무계획!$D$3:$D$402,0),""))))</f>
        <v/>
      </c>
      <c r="AD183" s="10">
        <f>IF(OR($AC183="",출력_인턴현황!$G$3=""),"",INDEX(입력_인턴근무계획!$M$3:$R$402,$AC183,출력_인턴현황!$G$3)&amp;"")</f>
        <v/>
      </c>
      <c r="AE183" s="10">
        <f>IF($B183="","",IF($M183&lt;&gt;"",$M183,IF(IF($AQ183="",FALSE,INDEX(출력_구리근무자!$J$6:$J$305,$AQ183)="구리독자"),"구리병원",IF($AF183&lt;&gt;"",IF(LEFT(INDEX(입력_파견수련계획!$R$4:$R$803,$AF183),1)&lt;&gt;"⚠",INDEX(입력_파견수련계획!$R$4:$R$803,$AF183),IF($H183="","",IF(RIGHT($H183,2)="병원",$H183,$H183&amp;"병원"))),IF($H183="","",IF(RIGHT($H183,2)="병원",$H183,$H183&amp;"병원"))))))</f>
        <v/>
      </c>
      <c r="AF183" s="10">
        <f>IF(OR($B183="",TRIM($J183&amp;"")=""),"",IFERROR(MATCH(TRIM($J183&amp;"")&amp;"|파견중",입력_파견수련계획!$Y$4:$Y$803,0),IFERROR(MATCH(TRIM($J183&amp;"")&amp;"|파견예정",입력_파견수련계획!$Y$4:$Y$803,0),IFERROR(MATCH(TRIM($J183&amp;"")&amp;"|파견종료",입력_파견수련계획!$Y$4:$Y$803,0),""))))</f>
        <v/>
      </c>
      <c r="AG183" s="10">
        <f>IF($B183="","",IF(AND(IF(OR($AC183="",출력_인턴현황!$K$2=""),"",INDEX(입력_인턴근무계획!$M$3:$R$402,$AC183,출력_인턴현황!$K$2)&amp;"")&lt;&gt;"",LEFT(IF(OR($AC183="",출력_인턴현황!$K$2=""),"",INDEX(입력_인턴근무계획!$M$3:$R$402,$AC183,출력_인턴현황!$K$2)&amp;""),1)&lt;&gt;"⚠"),LEFT(IF(OR($AC183="",출력_인턴현황!$K$2=""),"",INDEX(입력_인턴근무계획!$M$3:$R$402,$AC183,출력_인턴현황!$K$2)&amp;""),FIND(" ",IF(OR($AC183="",출력_인턴현황!$K$2=""),"",INDEX(입력_인턴근무계획!$M$3:$R$402,$AC183,출력_인턴현황!$K$2)&amp;""))-1),$AE183))</f>
        <v/>
      </c>
      <c r="AH183" s="17">
        <f>IF($B183="","",IF($AQ183&lt;&gt;"",MAX(0,DAY(EOMONTH(출력_요약!$B$3,0))-N($AR183)),IF(TRIM($J183&amp;"")="",0,SUMPRODUCT((입력_파견수련계획!$Q$4:$Q$803=TRIM($J183&amp;""))*(입력_파견수련계획!$S$4:$S$803="서울병원")*입력_파견수련계획!$W$4:$W$803))+IF($AG183="서울병원",MAX(0,DAY(EOMONTH(출력_요약!$B$3,0))-N($X183)),0)))</f>
        <v/>
      </c>
      <c r="AI183" s="17">
        <f>IF($B183="","",IF($AQ183&lt;&gt;"",N($AR183),IF(TRIM($J183&amp;"")="",0,SUMPRODUCT((입력_파견수련계획!$Q$4:$Q$803=TRIM($J183&amp;""))*(입력_파견수련계획!$S$4:$S$803="구리병원")*입력_파견수련계획!$W$4:$W$803))+IF($AG183="구리병원",MAX(0,DAY(EOMONTH(출력_요약!$B$3,0))-N($X183)),0)))</f>
        <v/>
      </c>
      <c r="AJ183" s="10">
        <f>IF(OR($B183="",TRIM($J183&amp;"")=""),"",IFERROR(MATCH(TRIM($J183&amp;"")&amp;"|월",입력_파견수련계획!$Z$4:$Z$803,0),""))</f>
        <v/>
      </c>
      <c r="AK183" s="10">
        <f>IF(OR($B183="",TRIM($J183&amp;"")=""),"",IFERROR(MATCH(TRIM($J183&amp;"")&amp;"|다기관",입력_파견수련계획!$AE$4:$AE$803,0),""))</f>
        <v/>
      </c>
      <c r="AL183" s="10">
        <f>IF($AK183="","","다기관 "&amp;TEXT(INDEX(입력_파견수련계획!$AB$4:$AB$803,$AK183),"yyyy-mm-dd")&amp;"~"&amp;IF(ISNUMBER(INDEX(입력_파견수련계획!$AC$4:$AC$803,$AK183)),TEXT(INDEX(입력_파견수련계획!$AC$4:$AC$803,$AK183),"yyyy-mm-dd"),""))</f>
        <v/>
      </c>
      <c r="AM183" s="10">
        <f>IF($Y183="서울병원",COUNTIF($Y$2:$Y183,"서울병원"),"")</f>
        <v/>
      </c>
      <c r="AN183" s="10">
        <f>IF(LEFT($Y183,1)="⚠",COUNTIF($Y$2:$Y183,"⚠*"),"")</f>
        <v/>
      </c>
      <c r="AO183" s="10">
        <f>IF(OR($B183="",$Y183=""),"",IF(IF(TRIM($J183&amp;"")="",0,SUMPRODUCT((입력_파견수련계획!$Q$4:$Q$803=TRIM($J183&amp;""))*입력_파견수련계획!$AD$4:$AD$803))&gt;0,"다기관 기간 → 소속병원 지급",IF(AND(N($X183)&lt;=0,$AQ183=""),"파견 없음 → 그 달 근무병원 지급",IF($AH183+$AI183=DAY(EOMONTH(출력_요약!$B$3,0)),"서울 "&amp;$AH183&amp;"일 / 구리 "&amp;$AI183&amp;"일"&amp;IF($AQ183&lt;&gt;""," (구리 근무자명단 반영)","")&amp;" → 15일 이상 근무 병원 지급","타 병원 포함 → "&amp;IF($AJ183="","소속",INDEX(입력_파견수련계획!$T$4:$T$803,$AJ183))&amp;" 규칙"))))</f>
        <v/>
      </c>
      <c r="AP183" s="10">
        <f>IF($B183="","",$C183&amp;"|"&amp;$F183)</f>
        <v/>
      </c>
      <c r="AQ183" s="10">
        <f>IF($B183="","",IFERROR(MATCH(ROW()-1,출력_구리근무자!$K$6:$K$305,0),""))</f>
        <v/>
      </c>
      <c r="AR183" s="10">
        <f>IF($AQ183="","",INDEX(출력_구리근무자!$H$6:$H$305,$AQ183))</f>
        <v/>
      </c>
    </row>
    <row r="184">
      <c r="A184" s="10">
        <f>IF(B184="","",ROW()-1)</f>
        <v/>
      </c>
      <c r="B184" s="19" t="n"/>
      <c r="C184" s="10">
        <f>IF($AB184="","",IF(INDEX(입력_기본자료!$C$2:$C$1001,$AB184)="","",INDEX(입력_기본자료!$C$2:$C$1001,$AB184)))</f>
        <v/>
      </c>
      <c r="D184" s="10">
        <f>IF($AB184="","",IF(INDEX(입력_기본자료!$J$2:$J$1001,$AB184)="","",INDEX(입력_기본자료!$J$2:$J$1001,$AB184)))</f>
        <v/>
      </c>
      <c r="E184" s="11">
        <f>IF($AB184="","",IF(INDEX(입력_기본자료!$K$2:$K$1001,$AB184)="","",IF(NOT(ISNUMBER(INDEX(입력_기본자료!$K$2:$K$1001,$AB184))),INDEX(입력_기본자료!$K$2:$K$1001,$AB184),IF(INDEX(입력_기본자료!$K$2:$K$1001,$AB184)&lt;1000000,INDEX(입력_기본자료!$K$2:$K$1001,$AB184),IF(AND(INDEX(입력_기본자료!$K$2:$K$1001,$AB184)&gt;=10000101,INT(MOD(INDEX(입력_기본자료!$K$2:$K$1001,$AB184),10000)/100)&gt;=1,INT(MOD(INDEX(입력_기본자료!$K$2:$K$1001,$AB184),10000)/100)&lt;=12,MOD(INDEX(입력_기본자료!$K$2:$K$1001,$AB184),100)&gt;=1,MOD(INDEX(입력_기본자료!$K$2:$K$1001,$AB184),100)&lt;=31),DATE(INT(INDEX(입력_기본자료!$K$2:$K$1001,$AB184)/10000),INT(MOD(INDEX(입력_기본자료!$K$2:$K$1001,$AB184),10000)/100),MOD(INDEX(입력_기본자료!$K$2:$K$1001,$AB184),100)),INDEX(입력_기본자료!$K$2:$K$1001,$AB184)&amp;"")))))</f>
        <v/>
      </c>
      <c r="F184" s="10">
        <f>IF($AB184="","",IF(INDEX(입력_기본자료!$D$2:$D$1001,$AB184)="","",INDEX(입력_기본자료!$D$2:$D$1001,$AB184)))</f>
        <v/>
      </c>
      <c r="G184" s="10">
        <f>IF($AB184="","",IF(INDEX(입력_기본자료!$E$2:$E$1001,$AB184)="","",INDEX(입력_기본자료!$E$2:$E$1001,$AB184)))</f>
        <v/>
      </c>
      <c r="H184" s="10">
        <f>IF($AB184="","",IF(INDEX(입력_기본자료!$F$2:$F$1001,$AB184)="","",INDEX(입력_기본자료!$F$2:$F$1001,$AB184)))</f>
        <v/>
      </c>
      <c r="I184" s="11">
        <f>IF($AB184="","",IF(INDEX(입력_기본자료!$G$2:$G$1001,$AB184)="","",IF(NOT(ISNUMBER(INDEX(입력_기본자료!$G$2:$G$1001,$AB184))),INDEX(입력_기본자료!$G$2:$G$1001,$AB184),IF(INDEX(입력_기본자료!$G$2:$G$1001,$AB184)&lt;1000000,INDEX(입력_기본자료!$G$2:$G$1001,$AB184),IF(AND(INDEX(입력_기본자료!$G$2:$G$1001,$AB184)&gt;=10000101,INT(MOD(INDEX(입력_기본자료!$G$2:$G$1001,$AB184),10000)/100)&gt;=1,INT(MOD(INDEX(입력_기본자료!$G$2:$G$1001,$AB184),10000)/100)&lt;=12,MOD(INDEX(입력_기본자료!$G$2:$G$1001,$AB184),100)&gt;=1,MOD(INDEX(입력_기본자료!$G$2:$G$1001,$AB184),100)&lt;=31),DATE(INT(INDEX(입력_기본자료!$G$2:$G$1001,$AB184)/10000),INT(MOD(INDEX(입력_기본자료!$G$2:$G$1001,$AB184),10000)/100),MOD(INDEX(입력_기본자료!$G$2:$G$1001,$AB184),100)),INDEX(입력_기본자료!$G$2:$G$1001,$AB184)&amp;"")))))</f>
        <v/>
      </c>
      <c r="J184" s="10">
        <f>IF($AB184="","",IF(INDEX(입력_기본자료!$H$2:$H$1001,$AB184)="","",INDEX(입력_기본자료!$H$2:$H$1001,$AB184)))</f>
        <v/>
      </c>
      <c r="K184" s="10">
        <f>IF($AB184="","",IF(INDEX(입력_기본자료!$I$2:$I$1001,$AB184)="","",INDEX(입력_기본자료!$I$2:$I$1001,$AB184)))</f>
        <v/>
      </c>
      <c r="L184" s="10">
        <f>IF($AB184="","",IF(INDEX(입력_기본자료!$A$2:$A$1001,$AB184)="","",INDEX(입력_기본자료!$A$2:$A$1001,$AB184)))</f>
        <v/>
      </c>
      <c r="M184" s="15" t="n"/>
      <c r="N184" s="10">
        <f>IF($B184="","",IF(AND($U184="파견중",$Q184&lt;&gt;""),$Q184,IF(AND($AD184&lt;&gt;"",LEFT($AD184,1)&lt;&gt;"⚠"),LEFT($AD184,FIND(" ",$AD184)-1),IF($H184="","",IF(RIGHT($H184,2)="병원",$H184,$H184&amp;"병원")))))</f>
        <v/>
      </c>
      <c r="O184" s="10">
        <f>IF($B184="","",IF(AND($U184="파견중",$Q184&lt;&gt;""),IF($R184&lt;&gt;"",$R184,"파견과 미입력"),IF(AND($AD184&lt;&gt;"",LEFT($AD184,1)&lt;&gt;"⚠"),MID($AD184,FIND(" ",$AD184)+1,60),IF($F184="","",IF($F184="인턴","수련교육부(인턴)",$F184)))))</f>
        <v/>
      </c>
      <c r="P184" s="10">
        <f>IF($B184="","",IF($AK184&lt;&gt;"",IF(AND(TODAY()&gt;=INDEX(입력_파견수련계획!$AB$4:$AB$803,$AK184),OR(NOT(ISNUMBER(INDEX(입력_파견수련계획!$AC$4:$AC$803,$AK184))),TODAY()&lt;=INDEX(입력_파견수련계획!$AC$4:$AC$803,$AK184))),"다기관",IF($AF184="","",INDEX(입력_파견수련계획!$T$4:$T$803,$AF184))),IF($AF184="","",INDEX(입력_파견수련계획!$T$4:$T$803,$AF184))))</f>
        <v/>
      </c>
      <c r="Q184" s="10">
        <f>IF($AF184="","",INDEX(입력_파견수련계획!$S$4:$S$803,$AF184))</f>
        <v/>
      </c>
      <c r="R184" s="10">
        <f>IF($AF184="","",INDEX(입력_파견수련계획!$U$4:$U$803,$AF184))</f>
        <v/>
      </c>
      <c r="S184" s="11">
        <f>IF($AF184="","",IF(INDEX(입력_파견수련계획!$H$4:$H$803,$AF184)="","",INDEX(입력_파견수련계획!$H$4:$H$803,$AF184)))</f>
        <v/>
      </c>
      <c r="T184" s="11">
        <f>IF($AF184="","",IF(INDEX(입력_파견수련계획!$I$4:$I$803,$AF184)="","",INDEX(입력_파견수련계획!$I$4:$I$803,$AF184)))</f>
        <v/>
      </c>
      <c r="U184" s="10">
        <f>IF($AF184="","",INDEX(입력_파견수련계획!$X$4:$X$803,$AF184))</f>
        <v/>
      </c>
      <c r="V184" s="17">
        <f>IF($AF184="","",INDEX(입력_파견수련계획!$V$4:$V$803,$AF184))</f>
        <v/>
      </c>
      <c r="W184" s="17">
        <f>IF(AND($U184="파견중",$T184&lt;&gt;""),$T184-TODAY(),"")</f>
        <v/>
      </c>
      <c r="X184" s="17">
        <f>IF(OR($B184="",TRIM($J184&amp;"")=""),"",SUMPRODUCT((입력_파견수련계획!$Q$4:$Q$803=TRIM($J184&amp;""))*입력_파견수련계획!$W$4:$W$803))</f>
        <v/>
      </c>
      <c r="Y184" s="10">
        <f>IF($B184="","",IF($AG184="","",IF(IF(TRIM($J184&amp;"")="",0,SUMPRODUCT((입력_파견수련계획!$Q$4:$Q$803=TRIM($J184&amp;""))*입력_파견수련계획!$AD$4:$AD$803))&gt;0,$AE184,IF(AND(N($X184)&lt;=0,$AQ184=""),$AG184,IF($AH184+$AI184=DAY(EOMONTH(출력_요약!$B$3,0)),IF(AND($AH184&gt;=출력_요약!$E$3,$AI184&lt;출력_요약!$E$3),"서울병원",IF(AND($AI184&gt;=출력_요약!$E$3,$AH184&lt;출력_요약!$E$3),"구리병원","⚠15일 판정불가(서울 "&amp;$AH184&amp;"일/구리 "&amp;$AI184&amp;"일)")),IF($AJ184="",$AE184,IF(INDEX(입력_파견수련계획!$T$4:$T$803,$AJ184)="통합수련",INDEX(입력_파견수련계획!$S$4:$S$803,$AJ184),$AE184)))))))</f>
        <v/>
      </c>
      <c r="Z184" s="20">
        <f>IF($B184="","",IF($AB184="","기본자료에 없는 사번",IF(COUNTIF($B$2:$B$401,$B184)&gt;1,"중복 사번",IF($AE184="","소속(입사장소) 입력",IF(IF(TRIM($J184&amp;"")="",0,SUMPRODUCT((입력_파견수련계획!$Q$4:$Q$803=TRIM($J184&amp;""))*(입력_파견수련계획!$AA$4:$AA$803&lt;&gt;"")))&gt;0,"파견수련계획 입력오류 확인",IF(LEFT($Y184,1)="⚠","서울·구리 15일 판정 불가(양쪽 모두 이상/미만)",IF(IF($AC184="",0,N(INDEX(입력_인턴근무계획!$T$3:$T$402,$AC184)))&gt;0,"인턴계획 입력오류 확인",IF(AND($AQ184&lt;&gt;"",$AG184&lt;&gt;"구리병원",IF(TRIM($J184&amp;"")="",0,SUMPRODUCT((입력_파견수련계획!$Q$4:$Q$803=TRIM($J184&amp;""))*(입력_파견수련계획!$S$4:$S$803="구리병원")*입력_파견수련계획!$W$4:$W$803))=0),"구리 근무자명단에만 있음(파견수련계획 확인)",IF(AND($AC184&lt;&gt;"",$U184&lt;&gt;"파견중",$N184&lt;&gt;$AE184),"인턴 타지역 근무: 파견 여부 확인","정상")))))))))</f>
        <v/>
      </c>
      <c r="AA184" s="5" t="n"/>
      <c r="AB184" s="10">
        <f>IF($B184="","",IFERROR(MATCH($B184,입력_기본자료!$B$2:$B$1001,0),IFERROR(MATCH($B184&amp;"",입력_기본자료!$B$2:$B$1001,0),IFERROR(MATCH(VALUE($B184),입력_기본자료!$B$2:$B$1001,0),""))))</f>
        <v/>
      </c>
      <c r="AC184" s="10">
        <f>IF($B184="","",IFERROR(MATCH($B184,입력_인턴근무계획!$D$3:$D$402,0),IFERROR(MATCH($B184&amp;"",입력_인턴근무계획!$D$3:$D$402,0),IFERROR(MATCH(VALUE($B184),입력_인턴근무계획!$D$3:$D$402,0),""))))</f>
        <v/>
      </c>
      <c r="AD184" s="10">
        <f>IF(OR($AC184="",출력_인턴현황!$G$3=""),"",INDEX(입력_인턴근무계획!$M$3:$R$402,$AC184,출력_인턴현황!$G$3)&amp;"")</f>
        <v/>
      </c>
      <c r="AE184" s="10">
        <f>IF($B184="","",IF($M184&lt;&gt;"",$M184,IF(IF($AQ184="",FALSE,INDEX(출력_구리근무자!$J$6:$J$305,$AQ184)="구리독자"),"구리병원",IF($AF184&lt;&gt;"",IF(LEFT(INDEX(입력_파견수련계획!$R$4:$R$803,$AF184),1)&lt;&gt;"⚠",INDEX(입력_파견수련계획!$R$4:$R$803,$AF184),IF($H184="","",IF(RIGHT($H184,2)="병원",$H184,$H184&amp;"병원"))),IF($H184="","",IF(RIGHT($H184,2)="병원",$H184,$H184&amp;"병원"))))))</f>
        <v/>
      </c>
      <c r="AF184" s="10">
        <f>IF(OR($B184="",TRIM($J184&amp;"")=""),"",IFERROR(MATCH(TRIM($J184&amp;"")&amp;"|파견중",입력_파견수련계획!$Y$4:$Y$803,0),IFERROR(MATCH(TRIM($J184&amp;"")&amp;"|파견예정",입력_파견수련계획!$Y$4:$Y$803,0),IFERROR(MATCH(TRIM($J184&amp;"")&amp;"|파견종료",입력_파견수련계획!$Y$4:$Y$803,0),""))))</f>
        <v/>
      </c>
      <c r="AG184" s="10">
        <f>IF($B184="","",IF(AND(IF(OR($AC184="",출력_인턴현황!$K$2=""),"",INDEX(입력_인턴근무계획!$M$3:$R$402,$AC184,출력_인턴현황!$K$2)&amp;"")&lt;&gt;"",LEFT(IF(OR($AC184="",출력_인턴현황!$K$2=""),"",INDEX(입력_인턴근무계획!$M$3:$R$402,$AC184,출력_인턴현황!$K$2)&amp;""),1)&lt;&gt;"⚠"),LEFT(IF(OR($AC184="",출력_인턴현황!$K$2=""),"",INDEX(입력_인턴근무계획!$M$3:$R$402,$AC184,출력_인턴현황!$K$2)&amp;""),FIND(" ",IF(OR($AC184="",출력_인턴현황!$K$2=""),"",INDEX(입력_인턴근무계획!$M$3:$R$402,$AC184,출력_인턴현황!$K$2)&amp;""))-1),$AE184))</f>
        <v/>
      </c>
      <c r="AH184" s="17">
        <f>IF($B184="","",IF($AQ184&lt;&gt;"",MAX(0,DAY(EOMONTH(출력_요약!$B$3,0))-N($AR184)),IF(TRIM($J184&amp;"")="",0,SUMPRODUCT((입력_파견수련계획!$Q$4:$Q$803=TRIM($J184&amp;""))*(입력_파견수련계획!$S$4:$S$803="서울병원")*입력_파견수련계획!$W$4:$W$803))+IF($AG184="서울병원",MAX(0,DAY(EOMONTH(출력_요약!$B$3,0))-N($X184)),0)))</f>
        <v/>
      </c>
      <c r="AI184" s="17">
        <f>IF($B184="","",IF($AQ184&lt;&gt;"",N($AR184),IF(TRIM($J184&amp;"")="",0,SUMPRODUCT((입력_파견수련계획!$Q$4:$Q$803=TRIM($J184&amp;""))*(입력_파견수련계획!$S$4:$S$803="구리병원")*입력_파견수련계획!$W$4:$W$803))+IF($AG184="구리병원",MAX(0,DAY(EOMONTH(출력_요약!$B$3,0))-N($X184)),0)))</f>
        <v/>
      </c>
      <c r="AJ184" s="10">
        <f>IF(OR($B184="",TRIM($J184&amp;"")=""),"",IFERROR(MATCH(TRIM($J184&amp;"")&amp;"|월",입력_파견수련계획!$Z$4:$Z$803,0),""))</f>
        <v/>
      </c>
      <c r="AK184" s="10">
        <f>IF(OR($B184="",TRIM($J184&amp;"")=""),"",IFERROR(MATCH(TRIM($J184&amp;"")&amp;"|다기관",입력_파견수련계획!$AE$4:$AE$803,0),""))</f>
        <v/>
      </c>
      <c r="AL184" s="10">
        <f>IF($AK184="","","다기관 "&amp;TEXT(INDEX(입력_파견수련계획!$AB$4:$AB$803,$AK184),"yyyy-mm-dd")&amp;"~"&amp;IF(ISNUMBER(INDEX(입력_파견수련계획!$AC$4:$AC$803,$AK184)),TEXT(INDEX(입력_파견수련계획!$AC$4:$AC$803,$AK184),"yyyy-mm-dd"),""))</f>
        <v/>
      </c>
      <c r="AM184" s="10">
        <f>IF($Y184="서울병원",COUNTIF($Y$2:$Y184,"서울병원"),"")</f>
        <v/>
      </c>
      <c r="AN184" s="10">
        <f>IF(LEFT($Y184,1)="⚠",COUNTIF($Y$2:$Y184,"⚠*"),"")</f>
        <v/>
      </c>
      <c r="AO184" s="10">
        <f>IF(OR($B184="",$Y184=""),"",IF(IF(TRIM($J184&amp;"")="",0,SUMPRODUCT((입력_파견수련계획!$Q$4:$Q$803=TRIM($J184&amp;""))*입력_파견수련계획!$AD$4:$AD$803))&gt;0,"다기관 기간 → 소속병원 지급",IF(AND(N($X184)&lt;=0,$AQ184=""),"파견 없음 → 그 달 근무병원 지급",IF($AH184+$AI184=DAY(EOMONTH(출력_요약!$B$3,0)),"서울 "&amp;$AH184&amp;"일 / 구리 "&amp;$AI184&amp;"일"&amp;IF($AQ184&lt;&gt;""," (구리 근무자명단 반영)","")&amp;" → 15일 이상 근무 병원 지급","타 병원 포함 → "&amp;IF($AJ184="","소속",INDEX(입력_파견수련계획!$T$4:$T$803,$AJ184))&amp;" 규칙"))))</f>
        <v/>
      </c>
      <c r="AP184" s="10">
        <f>IF($B184="","",$C184&amp;"|"&amp;$F184)</f>
        <v/>
      </c>
      <c r="AQ184" s="10">
        <f>IF($B184="","",IFERROR(MATCH(ROW()-1,출력_구리근무자!$K$6:$K$305,0),""))</f>
        <v/>
      </c>
      <c r="AR184" s="10">
        <f>IF($AQ184="","",INDEX(출력_구리근무자!$H$6:$H$305,$AQ184))</f>
        <v/>
      </c>
    </row>
    <row r="185">
      <c r="A185" s="10">
        <f>IF(B185="","",ROW()-1)</f>
        <v/>
      </c>
      <c r="B185" s="19" t="n"/>
      <c r="C185" s="10">
        <f>IF($AB185="","",IF(INDEX(입력_기본자료!$C$2:$C$1001,$AB185)="","",INDEX(입력_기본자료!$C$2:$C$1001,$AB185)))</f>
        <v/>
      </c>
      <c r="D185" s="10">
        <f>IF($AB185="","",IF(INDEX(입력_기본자료!$J$2:$J$1001,$AB185)="","",INDEX(입력_기본자료!$J$2:$J$1001,$AB185)))</f>
        <v/>
      </c>
      <c r="E185" s="11">
        <f>IF($AB185="","",IF(INDEX(입력_기본자료!$K$2:$K$1001,$AB185)="","",IF(NOT(ISNUMBER(INDEX(입력_기본자료!$K$2:$K$1001,$AB185))),INDEX(입력_기본자료!$K$2:$K$1001,$AB185),IF(INDEX(입력_기본자료!$K$2:$K$1001,$AB185)&lt;1000000,INDEX(입력_기본자료!$K$2:$K$1001,$AB185),IF(AND(INDEX(입력_기본자료!$K$2:$K$1001,$AB185)&gt;=10000101,INT(MOD(INDEX(입력_기본자료!$K$2:$K$1001,$AB185),10000)/100)&gt;=1,INT(MOD(INDEX(입력_기본자료!$K$2:$K$1001,$AB185),10000)/100)&lt;=12,MOD(INDEX(입력_기본자료!$K$2:$K$1001,$AB185),100)&gt;=1,MOD(INDEX(입력_기본자료!$K$2:$K$1001,$AB185),100)&lt;=31),DATE(INT(INDEX(입력_기본자료!$K$2:$K$1001,$AB185)/10000),INT(MOD(INDEX(입력_기본자료!$K$2:$K$1001,$AB185),10000)/100),MOD(INDEX(입력_기본자료!$K$2:$K$1001,$AB185),100)),INDEX(입력_기본자료!$K$2:$K$1001,$AB185)&amp;"")))))</f>
        <v/>
      </c>
      <c r="F185" s="10">
        <f>IF($AB185="","",IF(INDEX(입력_기본자료!$D$2:$D$1001,$AB185)="","",INDEX(입력_기본자료!$D$2:$D$1001,$AB185)))</f>
        <v/>
      </c>
      <c r="G185" s="10">
        <f>IF($AB185="","",IF(INDEX(입력_기본자료!$E$2:$E$1001,$AB185)="","",INDEX(입력_기본자료!$E$2:$E$1001,$AB185)))</f>
        <v/>
      </c>
      <c r="H185" s="10">
        <f>IF($AB185="","",IF(INDEX(입력_기본자료!$F$2:$F$1001,$AB185)="","",INDEX(입력_기본자료!$F$2:$F$1001,$AB185)))</f>
        <v/>
      </c>
      <c r="I185" s="11">
        <f>IF($AB185="","",IF(INDEX(입력_기본자료!$G$2:$G$1001,$AB185)="","",IF(NOT(ISNUMBER(INDEX(입력_기본자료!$G$2:$G$1001,$AB185))),INDEX(입력_기본자료!$G$2:$G$1001,$AB185),IF(INDEX(입력_기본자료!$G$2:$G$1001,$AB185)&lt;1000000,INDEX(입력_기본자료!$G$2:$G$1001,$AB185),IF(AND(INDEX(입력_기본자료!$G$2:$G$1001,$AB185)&gt;=10000101,INT(MOD(INDEX(입력_기본자료!$G$2:$G$1001,$AB185),10000)/100)&gt;=1,INT(MOD(INDEX(입력_기본자료!$G$2:$G$1001,$AB185),10000)/100)&lt;=12,MOD(INDEX(입력_기본자료!$G$2:$G$1001,$AB185),100)&gt;=1,MOD(INDEX(입력_기본자료!$G$2:$G$1001,$AB185),100)&lt;=31),DATE(INT(INDEX(입력_기본자료!$G$2:$G$1001,$AB185)/10000),INT(MOD(INDEX(입력_기본자료!$G$2:$G$1001,$AB185),10000)/100),MOD(INDEX(입력_기본자료!$G$2:$G$1001,$AB185),100)),INDEX(입력_기본자료!$G$2:$G$1001,$AB185)&amp;"")))))</f>
        <v/>
      </c>
      <c r="J185" s="10">
        <f>IF($AB185="","",IF(INDEX(입력_기본자료!$H$2:$H$1001,$AB185)="","",INDEX(입력_기본자료!$H$2:$H$1001,$AB185)))</f>
        <v/>
      </c>
      <c r="K185" s="10">
        <f>IF($AB185="","",IF(INDEX(입력_기본자료!$I$2:$I$1001,$AB185)="","",INDEX(입력_기본자료!$I$2:$I$1001,$AB185)))</f>
        <v/>
      </c>
      <c r="L185" s="10">
        <f>IF($AB185="","",IF(INDEX(입력_기본자료!$A$2:$A$1001,$AB185)="","",INDEX(입력_기본자료!$A$2:$A$1001,$AB185)))</f>
        <v/>
      </c>
      <c r="M185" s="15" t="n"/>
      <c r="N185" s="10">
        <f>IF($B185="","",IF(AND($U185="파견중",$Q185&lt;&gt;""),$Q185,IF(AND($AD185&lt;&gt;"",LEFT($AD185,1)&lt;&gt;"⚠"),LEFT($AD185,FIND(" ",$AD185)-1),IF($H185="","",IF(RIGHT($H185,2)="병원",$H185,$H185&amp;"병원")))))</f>
        <v/>
      </c>
      <c r="O185" s="10">
        <f>IF($B185="","",IF(AND($U185="파견중",$Q185&lt;&gt;""),IF($R185&lt;&gt;"",$R185,"파견과 미입력"),IF(AND($AD185&lt;&gt;"",LEFT($AD185,1)&lt;&gt;"⚠"),MID($AD185,FIND(" ",$AD185)+1,60),IF($F185="","",IF($F185="인턴","수련교육부(인턴)",$F185)))))</f>
        <v/>
      </c>
      <c r="P185" s="10">
        <f>IF($B185="","",IF($AK185&lt;&gt;"",IF(AND(TODAY()&gt;=INDEX(입력_파견수련계획!$AB$4:$AB$803,$AK185),OR(NOT(ISNUMBER(INDEX(입력_파견수련계획!$AC$4:$AC$803,$AK185))),TODAY()&lt;=INDEX(입력_파견수련계획!$AC$4:$AC$803,$AK185))),"다기관",IF($AF185="","",INDEX(입력_파견수련계획!$T$4:$T$803,$AF185))),IF($AF185="","",INDEX(입력_파견수련계획!$T$4:$T$803,$AF185))))</f>
        <v/>
      </c>
      <c r="Q185" s="10">
        <f>IF($AF185="","",INDEX(입력_파견수련계획!$S$4:$S$803,$AF185))</f>
        <v/>
      </c>
      <c r="R185" s="10">
        <f>IF($AF185="","",INDEX(입력_파견수련계획!$U$4:$U$803,$AF185))</f>
        <v/>
      </c>
      <c r="S185" s="11">
        <f>IF($AF185="","",IF(INDEX(입력_파견수련계획!$H$4:$H$803,$AF185)="","",INDEX(입력_파견수련계획!$H$4:$H$803,$AF185)))</f>
        <v/>
      </c>
      <c r="T185" s="11">
        <f>IF($AF185="","",IF(INDEX(입력_파견수련계획!$I$4:$I$803,$AF185)="","",INDEX(입력_파견수련계획!$I$4:$I$803,$AF185)))</f>
        <v/>
      </c>
      <c r="U185" s="10">
        <f>IF($AF185="","",INDEX(입력_파견수련계획!$X$4:$X$803,$AF185))</f>
        <v/>
      </c>
      <c r="V185" s="17">
        <f>IF($AF185="","",INDEX(입력_파견수련계획!$V$4:$V$803,$AF185))</f>
        <v/>
      </c>
      <c r="W185" s="17">
        <f>IF(AND($U185="파견중",$T185&lt;&gt;""),$T185-TODAY(),"")</f>
        <v/>
      </c>
      <c r="X185" s="17">
        <f>IF(OR($B185="",TRIM($J185&amp;"")=""),"",SUMPRODUCT((입력_파견수련계획!$Q$4:$Q$803=TRIM($J185&amp;""))*입력_파견수련계획!$W$4:$W$803))</f>
        <v/>
      </c>
      <c r="Y185" s="10">
        <f>IF($B185="","",IF($AG185="","",IF(IF(TRIM($J185&amp;"")="",0,SUMPRODUCT((입력_파견수련계획!$Q$4:$Q$803=TRIM($J185&amp;""))*입력_파견수련계획!$AD$4:$AD$803))&gt;0,$AE185,IF(AND(N($X185)&lt;=0,$AQ185=""),$AG185,IF($AH185+$AI185=DAY(EOMONTH(출력_요약!$B$3,0)),IF(AND($AH185&gt;=출력_요약!$E$3,$AI185&lt;출력_요약!$E$3),"서울병원",IF(AND($AI185&gt;=출력_요약!$E$3,$AH185&lt;출력_요약!$E$3),"구리병원","⚠15일 판정불가(서울 "&amp;$AH185&amp;"일/구리 "&amp;$AI185&amp;"일)")),IF($AJ185="",$AE185,IF(INDEX(입력_파견수련계획!$T$4:$T$803,$AJ185)="통합수련",INDEX(입력_파견수련계획!$S$4:$S$803,$AJ185),$AE185)))))))</f>
        <v/>
      </c>
      <c r="Z185" s="20">
        <f>IF($B185="","",IF($AB185="","기본자료에 없는 사번",IF(COUNTIF($B$2:$B$401,$B185)&gt;1,"중복 사번",IF($AE185="","소속(입사장소) 입력",IF(IF(TRIM($J185&amp;"")="",0,SUMPRODUCT((입력_파견수련계획!$Q$4:$Q$803=TRIM($J185&amp;""))*(입력_파견수련계획!$AA$4:$AA$803&lt;&gt;"")))&gt;0,"파견수련계획 입력오류 확인",IF(LEFT($Y185,1)="⚠","서울·구리 15일 판정 불가(양쪽 모두 이상/미만)",IF(IF($AC185="",0,N(INDEX(입력_인턴근무계획!$T$3:$T$402,$AC185)))&gt;0,"인턴계획 입력오류 확인",IF(AND($AQ185&lt;&gt;"",$AG185&lt;&gt;"구리병원",IF(TRIM($J185&amp;"")="",0,SUMPRODUCT((입력_파견수련계획!$Q$4:$Q$803=TRIM($J185&amp;""))*(입력_파견수련계획!$S$4:$S$803="구리병원")*입력_파견수련계획!$W$4:$W$803))=0),"구리 근무자명단에만 있음(파견수련계획 확인)",IF(AND($AC185&lt;&gt;"",$U185&lt;&gt;"파견중",$N185&lt;&gt;$AE185),"인턴 타지역 근무: 파견 여부 확인","정상")))))))))</f>
        <v/>
      </c>
      <c r="AA185" s="5" t="n"/>
      <c r="AB185" s="10">
        <f>IF($B185="","",IFERROR(MATCH($B185,입력_기본자료!$B$2:$B$1001,0),IFERROR(MATCH($B185&amp;"",입력_기본자료!$B$2:$B$1001,0),IFERROR(MATCH(VALUE($B185),입력_기본자료!$B$2:$B$1001,0),""))))</f>
        <v/>
      </c>
      <c r="AC185" s="10">
        <f>IF($B185="","",IFERROR(MATCH($B185,입력_인턴근무계획!$D$3:$D$402,0),IFERROR(MATCH($B185&amp;"",입력_인턴근무계획!$D$3:$D$402,0),IFERROR(MATCH(VALUE($B185),입력_인턴근무계획!$D$3:$D$402,0),""))))</f>
        <v/>
      </c>
      <c r="AD185" s="10">
        <f>IF(OR($AC185="",출력_인턴현황!$G$3=""),"",INDEX(입력_인턴근무계획!$M$3:$R$402,$AC185,출력_인턴현황!$G$3)&amp;"")</f>
        <v/>
      </c>
      <c r="AE185" s="10">
        <f>IF($B185="","",IF($M185&lt;&gt;"",$M185,IF(IF($AQ185="",FALSE,INDEX(출력_구리근무자!$J$6:$J$305,$AQ185)="구리독자"),"구리병원",IF($AF185&lt;&gt;"",IF(LEFT(INDEX(입력_파견수련계획!$R$4:$R$803,$AF185),1)&lt;&gt;"⚠",INDEX(입력_파견수련계획!$R$4:$R$803,$AF185),IF($H185="","",IF(RIGHT($H185,2)="병원",$H185,$H185&amp;"병원"))),IF($H185="","",IF(RIGHT($H185,2)="병원",$H185,$H185&amp;"병원"))))))</f>
        <v/>
      </c>
      <c r="AF185" s="10">
        <f>IF(OR($B185="",TRIM($J185&amp;"")=""),"",IFERROR(MATCH(TRIM($J185&amp;"")&amp;"|파견중",입력_파견수련계획!$Y$4:$Y$803,0),IFERROR(MATCH(TRIM($J185&amp;"")&amp;"|파견예정",입력_파견수련계획!$Y$4:$Y$803,0),IFERROR(MATCH(TRIM($J185&amp;"")&amp;"|파견종료",입력_파견수련계획!$Y$4:$Y$803,0),""))))</f>
        <v/>
      </c>
      <c r="AG185" s="10">
        <f>IF($B185="","",IF(AND(IF(OR($AC185="",출력_인턴현황!$K$2=""),"",INDEX(입력_인턴근무계획!$M$3:$R$402,$AC185,출력_인턴현황!$K$2)&amp;"")&lt;&gt;"",LEFT(IF(OR($AC185="",출력_인턴현황!$K$2=""),"",INDEX(입력_인턴근무계획!$M$3:$R$402,$AC185,출력_인턴현황!$K$2)&amp;""),1)&lt;&gt;"⚠"),LEFT(IF(OR($AC185="",출력_인턴현황!$K$2=""),"",INDEX(입력_인턴근무계획!$M$3:$R$402,$AC185,출력_인턴현황!$K$2)&amp;""),FIND(" ",IF(OR($AC185="",출력_인턴현황!$K$2=""),"",INDEX(입력_인턴근무계획!$M$3:$R$402,$AC185,출력_인턴현황!$K$2)&amp;""))-1),$AE185))</f>
        <v/>
      </c>
      <c r="AH185" s="17">
        <f>IF($B185="","",IF($AQ185&lt;&gt;"",MAX(0,DAY(EOMONTH(출력_요약!$B$3,0))-N($AR185)),IF(TRIM($J185&amp;"")="",0,SUMPRODUCT((입력_파견수련계획!$Q$4:$Q$803=TRIM($J185&amp;""))*(입력_파견수련계획!$S$4:$S$803="서울병원")*입력_파견수련계획!$W$4:$W$803))+IF($AG185="서울병원",MAX(0,DAY(EOMONTH(출력_요약!$B$3,0))-N($X185)),0)))</f>
        <v/>
      </c>
      <c r="AI185" s="17">
        <f>IF($B185="","",IF($AQ185&lt;&gt;"",N($AR185),IF(TRIM($J185&amp;"")="",0,SUMPRODUCT((입력_파견수련계획!$Q$4:$Q$803=TRIM($J185&amp;""))*(입력_파견수련계획!$S$4:$S$803="구리병원")*입력_파견수련계획!$W$4:$W$803))+IF($AG185="구리병원",MAX(0,DAY(EOMONTH(출력_요약!$B$3,0))-N($X185)),0)))</f>
        <v/>
      </c>
      <c r="AJ185" s="10">
        <f>IF(OR($B185="",TRIM($J185&amp;"")=""),"",IFERROR(MATCH(TRIM($J185&amp;"")&amp;"|월",입력_파견수련계획!$Z$4:$Z$803,0),""))</f>
        <v/>
      </c>
      <c r="AK185" s="10">
        <f>IF(OR($B185="",TRIM($J185&amp;"")=""),"",IFERROR(MATCH(TRIM($J185&amp;"")&amp;"|다기관",입력_파견수련계획!$AE$4:$AE$803,0),""))</f>
        <v/>
      </c>
      <c r="AL185" s="10">
        <f>IF($AK185="","","다기관 "&amp;TEXT(INDEX(입력_파견수련계획!$AB$4:$AB$803,$AK185),"yyyy-mm-dd")&amp;"~"&amp;IF(ISNUMBER(INDEX(입력_파견수련계획!$AC$4:$AC$803,$AK185)),TEXT(INDEX(입력_파견수련계획!$AC$4:$AC$803,$AK185),"yyyy-mm-dd"),""))</f>
        <v/>
      </c>
      <c r="AM185" s="10">
        <f>IF($Y185="서울병원",COUNTIF($Y$2:$Y185,"서울병원"),"")</f>
        <v/>
      </c>
      <c r="AN185" s="10">
        <f>IF(LEFT($Y185,1)="⚠",COUNTIF($Y$2:$Y185,"⚠*"),"")</f>
        <v/>
      </c>
      <c r="AO185" s="10">
        <f>IF(OR($B185="",$Y185=""),"",IF(IF(TRIM($J185&amp;"")="",0,SUMPRODUCT((입력_파견수련계획!$Q$4:$Q$803=TRIM($J185&amp;""))*입력_파견수련계획!$AD$4:$AD$803))&gt;0,"다기관 기간 → 소속병원 지급",IF(AND(N($X185)&lt;=0,$AQ185=""),"파견 없음 → 그 달 근무병원 지급",IF($AH185+$AI185=DAY(EOMONTH(출력_요약!$B$3,0)),"서울 "&amp;$AH185&amp;"일 / 구리 "&amp;$AI185&amp;"일"&amp;IF($AQ185&lt;&gt;""," (구리 근무자명단 반영)","")&amp;" → 15일 이상 근무 병원 지급","타 병원 포함 → "&amp;IF($AJ185="","소속",INDEX(입력_파견수련계획!$T$4:$T$803,$AJ185))&amp;" 규칙"))))</f>
        <v/>
      </c>
      <c r="AP185" s="10">
        <f>IF($B185="","",$C185&amp;"|"&amp;$F185)</f>
        <v/>
      </c>
      <c r="AQ185" s="10">
        <f>IF($B185="","",IFERROR(MATCH(ROW()-1,출력_구리근무자!$K$6:$K$305,0),""))</f>
        <v/>
      </c>
      <c r="AR185" s="10">
        <f>IF($AQ185="","",INDEX(출력_구리근무자!$H$6:$H$305,$AQ185))</f>
        <v/>
      </c>
    </row>
    <row r="186">
      <c r="A186" s="10">
        <f>IF(B186="","",ROW()-1)</f>
        <v/>
      </c>
      <c r="B186" s="19" t="n"/>
      <c r="C186" s="10">
        <f>IF($AB186="","",IF(INDEX(입력_기본자료!$C$2:$C$1001,$AB186)="","",INDEX(입력_기본자료!$C$2:$C$1001,$AB186)))</f>
        <v/>
      </c>
      <c r="D186" s="10">
        <f>IF($AB186="","",IF(INDEX(입력_기본자료!$J$2:$J$1001,$AB186)="","",INDEX(입력_기본자료!$J$2:$J$1001,$AB186)))</f>
        <v/>
      </c>
      <c r="E186" s="11">
        <f>IF($AB186="","",IF(INDEX(입력_기본자료!$K$2:$K$1001,$AB186)="","",IF(NOT(ISNUMBER(INDEX(입력_기본자료!$K$2:$K$1001,$AB186))),INDEX(입력_기본자료!$K$2:$K$1001,$AB186),IF(INDEX(입력_기본자료!$K$2:$K$1001,$AB186)&lt;1000000,INDEX(입력_기본자료!$K$2:$K$1001,$AB186),IF(AND(INDEX(입력_기본자료!$K$2:$K$1001,$AB186)&gt;=10000101,INT(MOD(INDEX(입력_기본자료!$K$2:$K$1001,$AB186),10000)/100)&gt;=1,INT(MOD(INDEX(입력_기본자료!$K$2:$K$1001,$AB186),10000)/100)&lt;=12,MOD(INDEX(입력_기본자료!$K$2:$K$1001,$AB186),100)&gt;=1,MOD(INDEX(입력_기본자료!$K$2:$K$1001,$AB186),100)&lt;=31),DATE(INT(INDEX(입력_기본자료!$K$2:$K$1001,$AB186)/10000),INT(MOD(INDEX(입력_기본자료!$K$2:$K$1001,$AB186),10000)/100),MOD(INDEX(입력_기본자료!$K$2:$K$1001,$AB186),100)),INDEX(입력_기본자료!$K$2:$K$1001,$AB186)&amp;"")))))</f>
        <v/>
      </c>
      <c r="F186" s="10">
        <f>IF($AB186="","",IF(INDEX(입력_기본자료!$D$2:$D$1001,$AB186)="","",INDEX(입력_기본자료!$D$2:$D$1001,$AB186)))</f>
        <v/>
      </c>
      <c r="G186" s="10">
        <f>IF($AB186="","",IF(INDEX(입력_기본자료!$E$2:$E$1001,$AB186)="","",INDEX(입력_기본자료!$E$2:$E$1001,$AB186)))</f>
        <v/>
      </c>
      <c r="H186" s="10">
        <f>IF($AB186="","",IF(INDEX(입력_기본자료!$F$2:$F$1001,$AB186)="","",INDEX(입력_기본자료!$F$2:$F$1001,$AB186)))</f>
        <v/>
      </c>
      <c r="I186" s="11">
        <f>IF($AB186="","",IF(INDEX(입력_기본자료!$G$2:$G$1001,$AB186)="","",IF(NOT(ISNUMBER(INDEX(입력_기본자료!$G$2:$G$1001,$AB186))),INDEX(입력_기본자료!$G$2:$G$1001,$AB186),IF(INDEX(입력_기본자료!$G$2:$G$1001,$AB186)&lt;1000000,INDEX(입력_기본자료!$G$2:$G$1001,$AB186),IF(AND(INDEX(입력_기본자료!$G$2:$G$1001,$AB186)&gt;=10000101,INT(MOD(INDEX(입력_기본자료!$G$2:$G$1001,$AB186),10000)/100)&gt;=1,INT(MOD(INDEX(입력_기본자료!$G$2:$G$1001,$AB186),10000)/100)&lt;=12,MOD(INDEX(입력_기본자료!$G$2:$G$1001,$AB186),100)&gt;=1,MOD(INDEX(입력_기본자료!$G$2:$G$1001,$AB186),100)&lt;=31),DATE(INT(INDEX(입력_기본자료!$G$2:$G$1001,$AB186)/10000),INT(MOD(INDEX(입력_기본자료!$G$2:$G$1001,$AB186),10000)/100),MOD(INDEX(입력_기본자료!$G$2:$G$1001,$AB186),100)),INDEX(입력_기본자료!$G$2:$G$1001,$AB186)&amp;"")))))</f>
        <v/>
      </c>
      <c r="J186" s="10">
        <f>IF($AB186="","",IF(INDEX(입력_기본자료!$H$2:$H$1001,$AB186)="","",INDEX(입력_기본자료!$H$2:$H$1001,$AB186)))</f>
        <v/>
      </c>
      <c r="K186" s="10">
        <f>IF($AB186="","",IF(INDEX(입력_기본자료!$I$2:$I$1001,$AB186)="","",INDEX(입력_기본자료!$I$2:$I$1001,$AB186)))</f>
        <v/>
      </c>
      <c r="L186" s="10">
        <f>IF($AB186="","",IF(INDEX(입력_기본자료!$A$2:$A$1001,$AB186)="","",INDEX(입력_기본자료!$A$2:$A$1001,$AB186)))</f>
        <v/>
      </c>
      <c r="M186" s="15" t="n"/>
      <c r="N186" s="10">
        <f>IF($B186="","",IF(AND($U186="파견중",$Q186&lt;&gt;""),$Q186,IF(AND($AD186&lt;&gt;"",LEFT($AD186,1)&lt;&gt;"⚠"),LEFT($AD186,FIND(" ",$AD186)-1),IF($H186="","",IF(RIGHT($H186,2)="병원",$H186,$H186&amp;"병원")))))</f>
        <v/>
      </c>
      <c r="O186" s="10">
        <f>IF($B186="","",IF(AND($U186="파견중",$Q186&lt;&gt;""),IF($R186&lt;&gt;"",$R186,"파견과 미입력"),IF(AND($AD186&lt;&gt;"",LEFT($AD186,1)&lt;&gt;"⚠"),MID($AD186,FIND(" ",$AD186)+1,60),IF($F186="","",IF($F186="인턴","수련교육부(인턴)",$F186)))))</f>
        <v/>
      </c>
      <c r="P186" s="10">
        <f>IF($B186="","",IF($AK186&lt;&gt;"",IF(AND(TODAY()&gt;=INDEX(입력_파견수련계획!$AB$4:$AB$803,$AK186),OR(NOT(ISNUMBER(INDEX(입력_파견수련계획!$AC$4:$AC$803,$AK186))),TODAY()&lt;=INDEX(입력_파견수련계획!$AC$4:$AC$803,$AK186))),"다기관",IF($AF186="","",INDEX(입력_파견수련계획!$T$4:$T$803,$AF186))),IF($AF186="","",INDEX(입력_파견수련계획!$T$4:$T$803,$AF186))))</f>
        <v/>
      </c>
      <c r="Q186" s="10">
        <f>IF($AF186="","",INDEX(입력_파견수련계획!$S$4:$S$803,$AF186))</f>
        <v/>
      </c>
      <c r="R186" s="10">
        <f>IF($AF186="","",INDEX(입력_파견수련계획!$U$4:$U$803,$AF186))</f>
        <v/>
      </c>
      <c r="S186" s="11">
        <f>IF($AF186="","",IF(INDEX(입력_파견수련계획!$H$4:$H$803,$AF186)="","",INDEX(입력_파견수련계획!$H$4:$H$803,$AF186)))</f>
        <v/>
      </c>
      <c r="T186" s="11">
        <f>IF($AF186="","",IF(INDEX(입력_파견수련계획!$I$4:$I$803,$AF186)="","",INDEX(입력_파견수련계획!$I$4:$I$803,$AF186)))</f>
        <v/>
      </c>
      <c r="U186" s="10">
        <f>IF($AF186="","",INDEX(입력_파견수련계획!$X$4:$X$803,$AF186))</f>
        <v/>
      </c>
      <c r="V186" s="17">
        <f>IF($AF186="","",INDEX(입력_파견수련계획!$V$4:$V$803,$AF186))</f>
        <v/>
      </c>
      <c r="W186" s="17">
        <f>IF(AND($U186="파견중",$T186&lt;&gt;""),$T186-TODAY(),"")</f>
        <v/>
      </c>
      <c r="X186" s="17">
        <f>IF(OR($B186="",TRIM($J186&amp;"")=""),"",SUMPRODUCT((입력_파견수련계획!$Q$4:$Q$803=TRIM($J186&amp;""))*입력_파견수련계획!$W$4:$W$803))</f>
        <v/>
      </c>
      <c r="Y186" s="10">
        <f>IF($B186="","",IF($AG186="","",IF(IF(TRIM($J186&amp;"")="",0,SUMPRODUCT((입력_파견수련계획!$Q$4:$Q$803=TRIM($J186&amp;""))*입력_파견수련계획!$AD$4:$AD$803))&gt;0,$AE186,IF(AND(N($X186)&lt;=0,$AQ186=""),$AG186,IF($AH186+$AI186=DAY(EOMONTH(출력_요약!$B$3,0)),IF(AND($AH186&gt;=출력_요약!$E$3,$AI186&lt;출력_요약!$E$3),"서울병원",IF(AND($AI186&gt;=출력_요약!$E$3,$AH186&lt;출력_요약!$E$3),"구리병원","⚠15일 판정불가(서울 "&amp;$AH186&amp;"일/구리 "&amp;$AI186&amp;"일)")),IF($AJ186="",$AE186,IF(INDEX(입력_파견수련계획!$T$4:$T$803,$AJ186)="통합수련",INDEX(입력_파견수련계획!$S$4:$S$803,$AJ186),$AE186)))))))</f>
        <v/>
      </c>
      <c r="Z186" s="20">
        <f>IF($B186="","",IF($AB186="","기본자료에 없는 사번",IF(COUNTIF($B$2:$B$401,$B186)&gt;1,"중복 사번",IF($AE186="","소속(입사장소) 입력",IF(IF(TRIM($J186&amp;"")="",0,SUMPRODUCT((입력_파견수련계획!$Q$4:$Q$803=TRIM($J186&amp;""))*(입력_파견수련계획!$AA$4:$AA$803&lt;&gt;"")))&gt;0,"파견수련계획 입력오류 확인",IF(LEFT($Y186,1)="⚠","서울·구리 15일 판정 불가(양쪽 모두 이상/미만)",IF(IF($AC186="",0,N(INDEX(입력_인턴근무계획!$T$3:$T$402,$AC186)))&gt;0,"인턴계획 입력오류 확인",IF(AND($AQ186&lt;&gt;"",$AG186&lt;&gt;"구리병원",IF(TRIM($J186&amp;"")="",0,SUMPRODUCT((입력_파견수련계획!$Q$4:$Q$803=TRIM($J186&amp;""))*(입력_파견수련계획!$S$4:$S$803="구리병원")*입력_파견수련계획!$W$4:$W$803))=0),"구리 근무자명단에만 있음(파견수련계획 확인)",IF(AND($AC186&lt;&gt;"",$U186&lt;&gt;"파견중",$N186&lt;&gt;$AE186),"인턴 타지역 근무: 파견 여부 확인","정상")))))))))</f>
        <v/>
      </c>
      <c r="AA186" s="5" t="n"/>
      <c r="AB186" s="10">
        <f>IF($B186="","",IFERROR(MATCH($B186,입력_기본자료!$B$2:$B$1001,0),IFERROR(MATCH($B186&amp;"",입력_기본자료!$B$2:$B$1001,0),IFERROR(MATCH(VALUE($B186),입력_기본자료!$B$2:$B$1001,0),""))))</f>
        <v/>
      </c>
      <c r="AC186" s="10">
        <f>IF($B186="","",IFERROR(MATCH($B186,입력_인턴근무계획!$D$3:$D$402,0),IFERROR(MATCH($B186&amp;"",입력_인턴근무계획!$D$3:$D$402,0),IFERROR(MATCH(VALUE($B186),입력_인턴근무계획!$D$3:$D$402,0),""))))</f>
        <v/>
      </c>
      <c r="AD186" s="10">
        <f>IF(OR($AC186="",출력_인턴현황!$G$3=""),"",INDEX(입력_인턴근무계획!$M$3:$R$402,$AC186,출력_인턴현황!$G$3)&amp;"")</f>
        <v/>
      </c>
      <c r="AE186" s="10">
        <f>IF($B186="","",IF($M186&lt;&gt;"",$M186,IF(IF($AQ186="",FALSE,INDEX(출력_구리근무자!$J$6:$J$305,$AQ186)="구리독자"),"구리병원",IF($AF186&lt;&gt;"",IF(LEFT(INDEX(입력_파견수련계획!$R$4:$R$803,$AF186),1)&lt;&gt;"⚠",INDEX(입력_파견수련계획!$R$4:$R$803,$AF186),IF($H186="","",IF(RIGHT($H186,2)="병원",$H186,$H186&amp;"병원"))),IF($H186="","",IF(RIGHT($H186,2)="병원",$H186,$H186&amp;"병원"))))))</f>
        <v/>
      </c>
      <c r="AF186" s="10">
        <f>IF(OR($B186="",TRIM($J186&amp;"")=""),"",IFERROR(MATCH(TRIM($J186&amp;"")&amp;"|파견중",입력_파견수련계획!$Y$4:$Y$803,0),IFERROR(MATCH(TRIM($J186&amp;"")&amp;"|파견예정",입력_파견수련계획!$Y$4:$Y$803,0),IFERROR(MATCH(TRIM($J186&amp;"")&amp;"|파견종료",입력_파견수련계획!$Y$4:$Y$803,0),""))))</f>
        <v/>
      </c>
      <c r="AG186" s="10">
        <f>IF($B186="","",IF(AND(IF(OR($AC186="",출력_인턴현황!$K$2=""),"",INDEX(입력_인턴근무계획!$M$3:$R$402,$AC186,출력_인턴현황!$K$2)&amp;"")&lt;&gt;"",LEFT(IF(OR($AC186="",출력_인턴현황!$K$2=""),"",INDEX(입력_인턴근무계획!$M$3:$R$402,$AC186,출력_인턴현황!$K$2)&amp;""),1)&lt;&gt;"⚠"),LEFT(IF(OR($AC186="",출력_인턴현황!$K$2=""),"",INDEX(입력_인턴근무계획!$M$3:$R$402,$AC186,출력_인턴현황!$K$2)&amp;""),FIND(" ",IF(OR($AC186="",출력_인턴현황!$K$2=""),"",INDEX(입력_인턴근무계획!$M$3:$R$402,$AC186,출력_인턴현황!$K$2)&amp;""))-1),$AE186))</f>
        <v/>
      </c>
      <c r="AH186" s="17">
        <f>IF($B186="","",IF($AQ186&lt;&gt;"",MAX(0,DAY(EOMONTH(출력_요약!$B$3,0))-N($AR186)),IF(TRIM($J186&amp;"")="",0,SUMPRODUCT((입력_파견수련계획!$Q$4:$Q$803=TRIM($J186&amp;""))*(입력_파견수련계획!$S$4:$S$803="서울병원")*입력_파견수련계획!$W$4:$W$803))+IF($AG186="서울병원",MAX(0,DAY(EOMONTH(출력_요약!$B$3,0))-N($X186)),0)))</f>
        <v/>
      </c>
      <c r="AI186" s="17">
        <f>IF($B186="","",IF($AQ186&lt;&gt;"",N($AR186),IF(TRIM($J186&amp;"")="",0,SUMPRODUCT((입력_파견수련계획!$Q$4:$Q$803=TRIM($J186&amp;""))*(입력_파견수련계획!$S$4:$S$803="구리병원")*입력_파견수련계획!$W$4:$W$803))+IF($AG186="구리병원",MAX(0,DAY(EOMONTH(출력_요약!$B$3,0))-N($X186)),0)))</f>
        <v/>
      </c>
      <c r="AJ186" s="10">
        <f>IF(OR($B186="",TRIM($J186&amp;"")=""),"",IFERROR(MATCH(TRIM($J186&amp;"")&amp;"|월",입력_파견수련계획!$Z$4:$Z$803,0),""))</f>
        <v/>
      </c>
      <c r="AK186" s="10">
        <f>IF(OR($B186="",TRIM($J186&amp;"")=""),"",IFERROR(MATCH(TRIM($J186&amp;"")&amp;"|다기관",입력_파견수련계획!$AE$4:$AE$803,0),""))</f>
        <v/>
      </c>
      <c r="AL186" s="10">
        <f>IF($AK186="","","다기관 "&amp;TEXT(INDEX(입력_파견수련계획!$AB$4:$AB$803,$AK186),"yyyy-mm-dd")&amp;"~"&amp;IF(ISNUMBER(INDEX(입력_파견수련계획!$AC$4:$AC$803,$AK186)),TEXT(INDEX(입력_파견수련계획!$AC$4:$AC$803,$AK186),"yyyy-mm-dd"),""))</f>
        <v/>
      </c>
      <c r="AM186" s="10">
        <f>IF($Y186="서울병원",COUNTIF($Y$2:$Y186,"서울병원"),"")</f>
        <v/>
      </c>
      <c r="AN186" s="10">
        <f>IF(LEFT($Y186,1)="⚠",COUNTIF($Y$2:$Y186,"⚠*"),"")</f>
        <v/>
      </c>
      <c r="AO186" s="10">
        <f>IF(OR($B186="",$Y186=""),"",IF(IF(TRIM($J186&amp;"")="",0,SUMPRODUCT((입력_파견수련계획!$Q$4:$Q$803=TRIM($J186&amp;""))*입력_파견수련계획!$AD$4:$AD$803))&gt;0,"다기관 기간 → 소속병원 지급",IF(AND(N($X186)&lt;=0,$AQ186=""),"파견 없음 → 그 달 근무병원 지급",IF($AH186+$AI186=DAY(EOMONTH(출력_요약!$B$3,0)),"서울 "&amp;$AH186&amp;"일 / 구리 "&amp;$AI186&amp;"일"&amp;IF($AQ186&lt;&gt;""," (구리 근무자명단 반영)","")&amp;" → 15일 이상 근무 병원 지급","타 병원 포함 → "&amp;IF($AJ186="","소속",INDEX(입력_파견수련계획!$T$4:$T$803,$AJ186))&amp;" 규칙"))))</f>
        <v/>
      </c>
      <c r="AP186" s="10">
        <f>IF($B186="","",$C186&amp;"|"&amp;$F186)</f>
        <v/>
      </c>
      <c r="AQ186" s="10">
        <f>IF($B186="","",IFERROR(MATCH(ROW()-1,출력_구리근무자!$K$6:$K$305,0),""))</f>
        <v/>
      </c>
      <c r="AR186" s="10">
        <f>IF($AQ186="","",INDEX(출력_구리근무자!$H$6:$H$305,$AQ186))</f>
        <v/>
      </c>
    </row>
    <row r="187">
      <c r="A187" s="10">
        <f>IF(B187="","",ROW()-1)</f>
        <v/>
      </c>
      <c r="B187" s="19" t="n"/>
      <c r="C187" s="10">
        <f>IF($AB187="","",IF(INDEX(입력_기본자료!$C$2:$C$1001,$AB187)="","",INDEX(입력_기본자료!$C$2:$C$1001,$AB187)))</f>
        <v/>
      </c>
      <c r="D187" s="10">
        <f>IF($AB187="","",IF(INDEX(입력_기본자료!$J$2:$J$1001,$AB187)="","",INDEX(입력_기본자료!$J$2:$J$1001,$AB187)))</f>
        <v/>
      </c>
      <c r="E187" s="11">
        <f>IF($AB187="","",IF(INDEX(입력_기본자료!$K$2:$K$1001,$AB187)="","",IF(NOT(ISNUMBER(INDEX(입력_기본자료!$K$2:$K$1001,$AB187))),INDEX(입력_기본자료!$K$2:$K$1001,$AB187),IF(INDEX(입력_기본자료!$K$2:$K$1001,$AB187)&lt;1000000,INDEX(입력_기본자료!$K$2:$K$1001,$AB187),IF(AND(INDEX(입력_기본자료!$K$2:$K$1001,$AB187)&gt;=10000101,INT(MOD(INDEX(입력_기본자료!$K$2:$K$1001,$AB187),10000)/100)&gt;=1,INT(MOD(INDEX(입력_기본자료!$K$2:$K$1001,$AB187),10000)/100)&lt;=12,MOD(INDEX(입력_기본자료!$K$2:$K$1001,$AB187),100)&gt;=1,MOD(INDEX(입력_기본자료!$K$2:$K$1001,$AB187),100)&lt;=31),DATE(INT(INDEX(입력_기본자료!$K$2:$K$1001,$AB187)/10000),INT(MOD(INDEX(입력_기본자료!$K$2:$K$1001,$AB187),10000)/100),MOD(INDEX(입력_기본자료!$K$2:$K$1001,$AB187),100)),INDEX(입력_기본자료!$K$2:$K$1001,$AB187)&amp;"")))))</f>
        <v/>
      </c>
      <c r="F187" s="10">
        <f>IF($AB187="","",IF(INDEX(입력_기본자료!$D$2:$D$1001,$AB187)="","",INDEX(입력_기본자료!$D$2:$D$1001,$AB187)))</f>
        <v/>
      </c>
      <c r="G187" s="10">
        <f>IF($AB187="","",IF(INDEX(입력_기본자료!$E$2:$E$1001,$AB187)="","",INDEX(입력_기본자료!$E$2:$E$1001,$AB187)))</f>
        <v/>
      </c>
      <c r="H187" s="10">
        <f>IF($AB187="","",IF(INDEX(입력_기본자료!$F$2:$F$1001,$AB187)="","",INDEX(입력_기본자료!$F$2:$F$1001,$AB187)))</f>
        <v/>
      </c>
      <c r="I187" s="11">
        <f>IF($AB187="","",IF(INDEX(입력_기본자료!$G$2:$G$1001,$AB187)="","",IF(NOT(ISNUMBER(INDEX(입력_기본자료!$G$2:$G$1001,$AB187))),INDEX(입력_기본자료!$G$2:$G$1001,$AB187),IF(INDEX(입력_기본자료!$G$2:$G$1001,$AB187)&lt;1000000,INDEX(입력_기본자료!$G$2:$G$1001,$AB187),IF(AND(INDEX(입력_기본자료!$G$2:$G$1001,$AB187)&gt;=10000101,INT(MOD(INDEX(입력_기본자료!$G$2:$G$1001,$AB187),10000)/100)&gt;=1,INT(MOD(INDEX(입력_기본자료!$G$2:$G$1001,$AB187),10000)/100)&lt;=12,MOD(INDEX(입력_기본자료!$G$2:$G$1001,$AB187),100)&gt;=1,MOD(INDEX(입력_기본자료!$G$2:$G$1001,$AB187),100)&lt;=31),DATE(INT(INDEX(입력_기본자료!$G$2:$G$1001,$AB187)/10000),INT(MOD(INDEX(입력_기본자료!$G$2:$G$1001,$AB187),10000)/100),MOD(INDEX(입력_기본자료!$G$2:$G$1001,$AB187),100)),INDEX(입력_기본자료!$G$2:$G$1001,$AB187)&amp;"")))))</f>
        <v/>
      </c>
      <c r="J187" s="10">
        <f>IF($AB187="","",IF(INDEX(입력_기본자료!$H$2:$H$1001,$AB187)="","",INDEX(입력_기본자료!$H$2:$H$1001,$AB187)))</f>
        <v/>
      </c>
      <c r="K187" s="10">
        <f>IF($AB187="","",IF(INDEX(입력_기본자료!$I$2:$I$1001,$AB187)="","",INDEX(입력_기본자료!$I$2:$I$1001,$AB187)))</f>
        <v/>
      </c>
      <c r="L187" s="10">
        <f>IF($AB187="","",IF(INDEX(입력_기본자료!$A$2:$A$1001,$AB187)="","",INDEX(입력_기본자료!$A$2:$A$1001,$AB187)))</f>
        <v/>
      </c>
      <c r="M187" s="15" t="n"/>
      <c r="N187" s="10">
        <f>IF($B187="","",IF(AND($U187="파견중",$Q187&lt;&gt;""),$Q187,IF(AND($AD187&lt;&gt;"",LEFT($AD187,1)&lt;&gt;"⚠"),LEFT($AD187,FIND(" ",$AD187)-1),IF($H187="","",IF(RIGHT($H187,2)="병원",$H187,$H187&amp;"병원")))))</f>
        <v/>
      </c>
      <c r="O187" s="10">
        <f>IF($B187="","",IF(AND($U187="파견중",$Q187&lt;&gt;""),IF($R187&lt;&gt;"",$R187,"파견과 미입력"),IF(AND($AD187&lt;&gt;"",LEFT($AD187,1)&lt;&gt;"⚠"),MID($AD187,FIND(" ",$AD187)+1,60),IF($F187="","",IF($F187="인턴","수련교육부(인턴)",$F187)))))</f>
        <v/>
      </c>
      <c r="P187" s="10">
        <f>IF($B187="","",IF($AK187&lt;&gt;"",IF(AND(TODAY()&gt;=INDEX(입력_파견수련계획!$AB$4:$AB$803,$AK187),OR(NOT(ISNUMBER(INDEX(입력_파견수련계획!$AC$4:$AC$803,$AK187))),TODAY()&lt;=INDEX(입력_파견수련계획!$AC$4:$AC$803,$AK187))),"다기관",IF($AF187="","",INDEX(입력_파견수련계획!$T$4:$T$803,$AF187))),IF($AF187="","",INDEX(입력_파견수련계획!$T$4:$T$803,$AF187))))</f>
        <v/>
      </c>
      <c r="Q187" s="10">
        <f>IF($AF187="","",INDEX(입력_파견수련계획!$S$4:$S$803,$AF187))</f>
        <v/>
      </c>
      <c r="R187" s="10">
        <f>IF($AF187="","",INDEX(입력_파견수련계획!$U$4:$U$803,$AF187))</f>
        <v/>
      </c>
      <c r="S187" s="11">
        <f>IF($AF187="","",IF(INDEX(입력_파견수련계획!$H$4:$H$803,$AF187)="","",INDEX(입력_파견수련계획!$H$4:$H$803,$AF187)))</f>
        <v/>
      </c>
      <c r="T187" s="11">
        <f>IF($AF187="","",IF(INDEX(입력_파견수련계획!$I$4:$I$803,$AF187)="","",INDEX(입력_파견수련계획!$I$4:$I$803,$AF187)))</f>
        <v/>
      </c>
      <c r="U187" s="10">
        <f>IF($AF187="","",INDEX(입력_파견수련계획!$X$4:$X$803,$AF187))</f>
        <v/>
      </c>
      <c r="V187" s="17">
        <f>IF($AF187="","",INDEX(입력_파견수련계획!$V$4:$V$803,$AF187))</f>
        <v/>
      </c>
      <c r="W187" s="17">
        <f>IF(AND($U187="파견중",$T187&lt;&gt;""),$T187-TODAY(),"")</f>
        <v/>
      </c>
      <c r="X187" s="17">
        <f>IF(OR($B187="",TRIM($J187&amp;"")=""),"",SUMPRODUCT((입력_파견수련계획!$Q$4:$Q$803=TRIM($J187&amp;""))*입력_파견수련계획!$W$4:$W$803))</f>
        <v/>
      </c>
      <c r="Y187" s="10">
        <f>IF($B187="","",IF($AG187="","",IF(IF(TRIM($J187&amp;"")="",0,SUMPRODUCT((입력_파견수련계획!$Q$4:$Q$803=TRIM($J187&amp;""))*입력_파견수련계획!$AD$4:$AD$803))&gt;0,$AE187,IF(AND(N($X187)&lt;=0,$AQ187=""),$AG187,IF($AH187+$AI187=DAY(EOMONTH(출력_요약!$B$3,0)),IF(AND($AH187&gt;=출력_요약!$E$3,$AI187&lt;출력_요약!$E$3),"서울병원",IF(AND($AI187&gt;=출력_요약!$E$3,$AH187&lt;출력_요약!$E$3),"구리병원","⚠15일 판정불가(서울 "&amp;$AH187&amp;"일/구리 "&amp;$AI187&amp;"일)")),IF($AJ187="",$AE187,IF(INDEX(입력_파견수련계획!$T$4:$T$803,$AJ187)="통합수련",INDEX(입력_파견수련계획!$S$4:$S$803,$AJ187),$AE187)))))))</f>
        <v/>
      </c>
      <c r="Z187" s="20">
        <f>IF($B187="","",IF($AB187="","기본자료에 없는 사번",IF(COUNTIF($B$2:$B$401,$B187)&gt;1,"중복 사번",IF($AE187="","소속(입사장소) 입력",IF(IF(TRIM($J187&amp;"")="",0,SUMPRODUCT((입력_파견수련계획!$Q$4:$Q$803=TRIM($J187&amp;""))*(입력_파견수련계획!$AA$4:$AA$803&lt;&gt;"")))&gt;0,"파견수련계획 입력오류 확인",IF(LEFT($Y187,1)="⚠","서울·구리 15일 판정 불가(양쪽 모두 이상/미만)",IF(IF($AC187="",0,N(INDEX(입력_인턴근무계획!$T$3:$T$402,$AC187)))&gt;0,"인턴계획 입력오류 확인",IF(AND($AQ187&lt;&gt;"",$AG187&lt;&gt;"구리병원",IF(TRIM($J187&amp;"")="",0,SUMPRODUCT((입력_파견수련계획!$Q$4:$Q$803=TRIM($J187&amp;""))*(입력_파견수련계획!$S$4:$S$803="구리병원")*입력_파견수련계획!$W$4:$W$803))=0),"구리 근무자명단에만 있음(파견수련계획 확인)",IF(AND($AC187&lt;&gt;"",$U187&lt;&gt;"파견중",$N187&lt;&gt;$AE187),"인턴 타지역 근무: 파견 여부 확인","정상")))))))))</f>
        <v/>
      </c>
      <c r="AA187" s="5" t="n"/>
      <c r="AB187" s="10">
        <f>IF($B187="","",IFERROR(MATCH($B187,입력_기본자료!$B$2:$B$1001,0),IFERROR(MATCH($B187&amp;"",입력_기본자료!$B$2:$B$1001,0),IFERROR(MATCH(VALUE($B187),입력_기본자료!$B$2:$B$1001,0),""))))</f>
        <v/>
      </c>
      <c r="AC187" s="10">
        <f>IF($B187="","",IFERROR(MATCH($B187,입력_인턴근무계획!$D$3:$D$402,0),IFERROR(MATCH($B187&amp;"",입력_인턴근무계획!$D$3:$D$402,0),IFERROR(MATCH(VALUE($B187),입력_인턴근무계획!$D$3:$D$402,0),""))))</f>
        <v/>
      </c>
      <c r="AD187" s="10">
        <f>IF(OR($AC187="",출력_인턴현황!$G$3=""),"",INDEX(입력_인턴근무계획!$M$3:$R$402,$AC187,출력_인턴현황!$G$3)&amp;"")</f>
        <v/>
      </c>
      <c r="AE187" s="10">
        <f>IF($B187="","",IF($M187&lt;&gt;"",$M187,IF(IF($AQ187="",FALSE,INDEX(출력_구리근무자!$J$6:$J$305,$AQ187)="구리독자"),"구리병원",IF($AF187&lt;&gt;"",IF(LEFT(INDEX(입력_파견수련계획!$R$4:$R$803,$AF187),1)&lt;&gt;"⚠",INDEX(입력_파견수련계획!$R$4:$R$803,$AF187),IF($H187="","",IF(RIGHT($H187,2)="병원",$H187,$H187&amp;"병원"))),IF($H187="","",IF(RIGHT($H187,2)="병원",$H187,$H187&amp;"병원"))))))</f>
        <v/>
      </c>
      <c r="AF187" s="10">
        <f>IF(OR($B187="",TRIM($J187&amp;"")=""),"",IFERROR(MATCH(TRIM($J187&amp;"")&amp;"|파견중",입력_파견수련계획!$Y$4:$Y$803,0),IFERROR(MATCH(TRIM($J187&amp;"")&amp;"|파견예정",입력_파견수련계획!$Y$4:$Y$803,0),IFERROR(MATCH(TRIM($J187&amp;"")&amp;"|파견종료",입력_파견수련계획!$Y$4:$Y$803,0),""))))</f>
        <v/>
      </c>
      <c r="AG187" s="10">
        <f>IF($B187="","",IF(AND(IF(OR($AC187="",출력_인턴현황!$K$2=""),"",INDEX(입력_인턴근무계획!$M$3:$R$402,$AC187,출력_인턴현황!$K$2)&amp;"")&lt;&gt;"",LEFT(IF(OR($AC187="",출력_인턴현황!$K$2=""),"",INDEX(입력_인턴근무계획!$M$3:$R$402,$AC187,출력_인턴현황!$K$2)&amp;""),1)&lt;&gt;"⚠"),LEFT(IF(OR($AC187="",출력_인턴현황!$K$2=""),"",INDEX(입력_인턴근무계획!$M$3:$R$402,$AC187,출력_인턴현황!$K$2)&amp;""),FIND(" ",IF(OR($AC187="",출력_인턴현황!$K$2=""),"",INDEX(입력_인턴근무계획!$M$3:$R$402,$AC187,출력_인턴현황!$K$2)&amp;""))-1),$AE187))</f>
        <v/>
      </c>
      <c r="AH187" s="17">
        <f>IF($B187="","",IF($AQ187&lt;&gt;"",MAX(0,DAY(EOMONTH(출력_요약!$B$3,0))-N($AR187)),IF(TRIM($J187&amp;"")="",0,SUMPRODUCT((입력_파견수련계획!$Q$4:$Q$803=TRIM($J187&amp;""))*(입력_파견수련계획!$S$4:$S$803="서울병원")*입력_파견수련계획!$W$4:$W$803))+IF($AG187="서울병원",MAX(0,DAY(EOMONTH(출력_요약!$B$3,0))-N($X187)),0)))</f>
        <v/>
      </c>
      <c r="AI187" s="17">
        <f>IF($B187="","",IF($AQ187&lt;&gt;"",N($AR187),IF(TRIM($J187&amp;"")="",0,SUMPRODUCT((입력_파견수련계획!$Q$4:$Q$803=TRIM($J187&amp;""))*(입력_파견수련계획!$S$4:$S$803="구리병원")*입력_파견수련계획!$W$4:$W$803))+IF($AG187="구리병원",MAX(0,DAY(EOMONTH(출력_요약!$B$3,0))-N($X187)),0)))</f>
        <v/>
      </c>
      <c r="AJ187" s="10">
        <f>IF(OR($B187="",TRIM($J187&amp;"")=""),"",IFERROR(MATCH(TRIM($J187&amp;"")&amp;"|월",입력_파견수련계획!$Z$4:$Z$803,0),""))</f>
        <v/>
      </c>
      <c r="AK187" s="10">
        <f>IF(OR($B187="",TRIM($J187&amp;"")=""),"",IFERROR(MATCH(TRIM($J187&amp;"")&amp;"|다기관",입력_파견수련계획!$AE$4:$AE$803,0),""))</f>
        <v/>
      </c>
      <c r="AL187" s="10">
        <f>IF($AK187="","","다기관 "&amp;TEXT(INDEX(입력_파견수련계획!$AB$4:$AB$803,$AK187),"yyyy-mm-dd")&amp;"~"&amp;IF(ISNUMBER(INDEX(입력_파견수련계획!$AC$4:$AC$803,$AK187)),TEXT(INDEX(입력_파견수련계획!$AC$4:$AC$803,$AK187),"yyyy-mm-dd"),""))</f>
        <v/>
      </c>
      <c r="AM187" s="10">
        <f>IF($Y187="서울병원",COUNTIF($Y$2:$Y187,"서울병원"),"")</f>
        <v/>
      </c>
      <c r="AN187" s="10">
        <f>IF(LEFT($Y187,1)="⚠",COUNTIF($Y$2:$Y187,"⚠*"),"")</f>
        <v/>
      </c>
      <c r="AO187" s="10">
        <f>IF(OR($B187="",$Y187=""),"",IF(IF(TRIM($J187&amp;"")="",0,SUMPRODUCT((입력_파견수련계획!$Q$4:$Q$803=TRIM($J187&amp;""))*입력_파견수련계획!$AD$4:$AD$803))&gt;0,"다기관 기간 → 소속병원 지급",IF(AND(N($X187)&lt;=0,$AQ187=""),"파견 없음 → 그 달 근무병원 지급",IF($AH187+$AI187=DAY(EOMONTH(출력_요약!$B$3,0)),"서울 "&amp;$AH187&amp;"일 / 구리 "&amp;$AI187&amp;"일"&amp;IF($AQ187&lt;&gt;""," (구리 근무자명단 반영)","")&amp;" → 15일 이상 근무 병원 지급","타 병원 포함 → "&amp;IF($AJ187="","소속",INDEX(입력_파견수련계획!$T$4:$T$803,$AJ187))&amp;" 규칙"))))</f>
        <v/>
      </c>
      <c r="AP187" s="10">
        <f>IF($B187="","",$C187&amp;"|"&amp;$F187)</f>
        <v/>
      </c>
      <c r="AQ187" s="10">
        <f>IF($B187="","",IFERROR(MATCH(ROW()-1,출력_구리근무자!$K$6:$K$305,0),""))</f>
        <v/>
      </c>
      <c r="AR187" s="10">
        <f>IF($AQ187="","",INDEX(출력_구리근무자!$H$6:$H$305,$AQ187))</f>
        <v/>
      </c>
    </row>
    <row r="188">
      <c r="A188" s="10">
        <f>IF(B188="","",ROW()-1)</f>
        <v/>
      </c>
      <c r="B188" s="19" t="n"/>
      <c r="C188" s="10">
        <f>IF($AB188="","",IF(INDEX(입력_기본자료!$C$2:$C$1001,$AB188)="","",INDEX(입력_기본자료!$C$2:$C$1001,$AB188)))</f>
        <v/>
      </c>
      <c r="D188" s="10">
        <f>IF($AB188="","",IF(INDEX(입력_기본자료!$J$2:$J$1001,$AB188)="","",INDEX(입력_기본자료!$J$2:$J$1001,$AB188)))</f>
        <v/>
      </c>
      <c r="E188" s="11">
        <f>IF($AB188="","",IF(INDEX(입력_기본자료!$K$2:$K$1001,$AB188)="","",IF(NOT(ISNUMBER(INDEX(입력_기본자료!$K$2:$K$1001,$AB188))),INDEX(입력_기본자료!$K$2:$K$1001,$AB188),IF(INDEX(입력_기본자료!$K$2:$K$1001,$AB188)&lt;1000000,INDEX(입력_기본자료!$K$2:$K$1001,$AB188),IF(AND(INDEX(입력_기본자료!$K$2:$K$1001,$AB188)&gt;=10000101,INT(MOD(INDEX(입력_기본자료!$K$2:$K$1001,$AB188),10000)/100)&gt;=1,INT(MOD(INDEX(입력_기본자료!$K$2:$K$1001,$AB188),10000)/100)&lt;=12,MOD(INDEX(입력_기본자료!$K$2:$K$1001,$AB188),100)&gt;=1,MOD(INDEX(입력_기본자료!$K$2:$K$1001,$AB188),100)&lt;=31),DATE(INT(INDEX(입력_기본자료!$K$2:$K$1001,$AB188)/10000),INT(MOD(INDEX(입력_기본자료!$K$2:$K$1001,$AB188),10000)/100),MOD(INDEX(입력_기본자료!$K$2:$K$1001,$AB188),100)),INDEX(입력_기본자료!$K$2:$K$1001,$AB188)&amp;"")))))</f>
        <v/>
      </c>
      <c r="F188" s="10">
        <f>IF($AB188="","",IF(INDEX(입력_기본자료!$D$2:$D$1001,$AB188)="","",INDEX(입력_기본자료!$D$2:$D$1001,$AB188)))</f>
        <v/>
      </c>
      <c r="G188" s="10">
        <f>IF($AB188="","",IF(INDEX(입력_기본자료!$E$2:$E$1001,$AB188)="","",INDEX(입력_기본자료!$E$2:$E$1001,$AB188)))</f>
        <v/>
      </c>
      <c r="H188" s="10">
        <f>IF($AB188="","",IF(INDEX(입력_기본자료!$F$2:$F$1001,$AB188)="","",INDEX(입력_기본자료!$F$2:$F$1001,$AB188)))</f>
        <v/>
      </c>
      <c r="I188" s="11">
        <f>IF($AB188="","",IF(INDEX(입력_기본자료!$G$2:$G$1001,$AB188)="","",IF(NOT(ISNUMBER(INDEX(입력_기본자료!$G$2:$G$1001,$AB188))),INDEX(입력_기본자료!$G$2:$G$1001,$AB188),IF(INDEX(입력_기본자료!$G$2:$G$1001,$AB188)&lt;1000000,INDEX(입력_기본자료!$G$2:$G$1001,$AB188),IF(AND(INDEX(입력_기본자료!$G$2:$G$1001,$AB188)&gt;=10000101,INT(MOD(INDEX(입력_기본자료!$G$2:$G$1001,$AB188),10000)/100)&gt;=1,INT(MOD(INDEX(입력_기본자료!$G$2:$G$1001,$AB188),10000)/100)&lt;=12,MOD(INDEX(입력_기본자료!$G$2:$G$1001,$AB188),100)&gt;=1,MOD(INDEX(입력_기본자료!$G$2:$G$1001,$AB188),100)&lt;=31),DATE(INT(INDEX(입력_기본자료!$G$2:$G$1001,$AB188)/10000),INT(MOD(INDEX(입력_기본자료!$G$2:$G$1001,$AB188),10000)/100),MOD(INDEX(입력_기본자료!$G$2:$G$1001,$AB188),100)),INDEX(입력_기본자료!$G$2:$G$1001,$AB188)&amp;"")))))</f>
        <v/>
      </c>
      <c r="J188" s="10">
        <f>IF($AB188="","",IF(INDEX(입력_기본자료!$H$2:$H$1001,$AB188)="","",INDEX(입력_기본자료!$H$2:$H$1001,$AB188)))</f>
        <v/>
      </c>
      <c r="K188" s="10">
        <f>IF($AB188="","",IF(INDEX(입력_기본자료!$I$2:$I$1001,$AB188)="","",INDEX(입력_기본자료!$I$2:$I$1001,$AB188)))</f>
        <v/>
      </c>
      <c r="L188" s="10">
        <f>IF($AB188="","",IF(INDEX(입력_기본자료!$A$2:$A$1001,$AB188)="","",INDEX(입력_기본자료!$A$2:$A$1001,$AB188)))</f>
        <v/>
      </c>
      <c r="M188" s="15" t="n"/>
      <c r="N188" s="10">
        <f>IF($B188="","",IF(AND($U188="파견중",$Q188&lt;&gt;""),$Q188,IF(AND($AD188&lt;&gt;"",LEFT($AD188,1)&lt;&gt;"⚠"),LEFT($AD188,FIND(" ",$AD188)-1),IF($H188="","",IF(RIGHT($H188,2)="병원",$H188,$H188&amp;"병원")))))</f>
        <v/>
      </c>
      <c r="O188" s="10">
        <f>IF($B188="","",IF(AND($U188="파견중",$Q188&lt;&gt;""),IF($R188&lt;&gt;"",$R188,"파견과 미입력"),IF(AND($AD188&lt;&gt;"",LEFT($AD188,1)&lt;&gt;"⚠"),MID($AD188,FIND(" ",$AD188)+1,60),IF($F188="","",IF($F188="인턴","수련교육부(인턴)",$F188)))))</f>
        <v/>
      </c>
      <c r="P188" s="10">
        <f>IF($B188="","",IF($AK188&lt;&gt;"",IF(AND(TODAY()&gt;=INDEX(입력_파견수련계획!$AB$4:$AB$803,$AK188),OR(NOT(ISNUMBER(INDEX(입력_파견수련계획!$AC$4:$AC$803,$AK188))),TODAY()&lt;=INDEX(입력_파견수련계획!$AC$4:$AC$803,$AK188))),"다기관",IF($AF188="","",INDEX(입력_파견수련계획!$T$4:$T$803,$AF188))),IF($AF188="","",INDEX(입력_파견수련계획!$T$4:$T$803,$AF188))))</f>
        <v/>
      </c>
      <c r="Q188" s="10">
        <f>IF($AF188="","",INDEX(입력_파견수련계획!$S$4:$S$803,$AF188))</f>
        <v/>
      </c>
      <c r="R188" s="10">
        <f>IF($AF188="","",INDEX(입력_파견수련계획!$U$4:$U$803,$AF188))</f>
        <v/>
      </c>
      <c r="S188" s="11">
        <f>IF($AF188="","",IF(INDEX(입력_파견수련계획!$H$4:$H$803,$AF188)="","",INDEX(입력_파견수련계획!$H$4:$H$803,$AF188)))</f>
        <v/>
      </c>
      <c r="T188" s="11">
        <f>IF($AF188="","",IF(INDEX(입력_파견수련계획!$I$4:$I$803,$AF188)="","",INDEX(입력_파견수련계획!$I$4:$I$803,$AF188)))</f>
        <v/>
      </c>
      <c r="U188" s="10">
        <f>IF($AF188="","",INDEX(입력_파견수련계획!$X$4:$X$803,$AF188))</f>
        <v/>
      </c>
      <c r="V188" s="17">
        <f>IF($AF188="","",INDEX(입력_파견수련계획!$V$4:$V$803,$AF188))</f>
        <v/>
      </c>
      <c r="W188" s="17">
        <f>IF(AND($U188="파견중",$T188&lt;&gt;""),$T188-TODAY(),"")</f>
        <v/>
      </c>
      <c r="X188" s="17">
        <f>IF(OR($B188="",TRIM($J188&amp;"")=""),"",SUMPRODUCT((입력_파견수련계획!$Q$4:$Q$803=TRIM($J188&amp;""))*입력_파견수련계획!$W$4:$W$803))</f>
        <v/>
      </c>
      <c r="Y188" s="10">
        <f>IF($B188="","",IF($AG188="","",IF(IF(TRIM($J188&amp;"")="",0,SUMPRODUCT((입력_파견수련계획!$Q$4:$Q$803=TRIM($J188&amp;""))*입력_파견수련계획!$AD$4:$AD$803))&gt;0,$AE188,IF(AND(N($X188)&lt;=0,$AQ188=""),$AG188,IF($AH188+$AI188=DAY(EOMONTH(출력_요약!$B$3,0)),IF(AND($AH188&gt;=출력_요약!$E$3,$AI188&lt;출력_요약!$E$3),"서울병원",IF(AND($AI188&gt;=출력_요약!$E$3,$AH188&lt;출력_요약!$E$3),"구리병원","⚠15일 판정불가(서울 "&amp;$AH188&amp;"일/구리 "&amp;$AI188&amp;"일)")),IF($AJ188="",$AE188,IF(INDEX(입력_파견수련계획!$T$4:$T$803,$AJ188)="통합수련",INDEX(입력_파견수련계획!$S$4:$S$803,$AJ188),$AE188)))))))</f>
        <v/>
      </c>
      <c r="Z188" s="20">
        <f>IF($B188="","",IF($AB188="","기본자료에 없는 사번",IF(COUNTIF($B$2:$B$401,$B188)&gt;1,"중복 사번",IF($AE188="","소속(입사장소) 입력",IF(IF(TRIM($J188&amp;"")="",0,SUMPRODUCT((입력_파견수련계획!$Q$4:$Q$803=TRIM($J188&amp;""))*(입력_파견수련계획!$AA$4:$AA$803&lt;&gt;"")))&gt;0,"파견수련계획 입력오류 확인",IF(LEFT($Y188,1)="⚠","서울·구리 15일 판정 불가(양쪽 모두 이상/미만)",IF(IF($AC188="",0,N(INDEX(입력_인턴근무계획!$T$3:$T$402,$AC188)))&gt;0,"인턴계획 입력오류 확인",IF(AND($AQ188&lt;&gt;"",$AG188&lt;&gt;"구리병원",IF(TRIM($J188&amp;"")="",0,SUMPRODUCT((입력_파견수련계획!$Q$4:$Q$803=TRIM($J188&amp;""))*(입력_파견수련계획!$S$4:$S$803="구리병원")*입력_파견수련계획!$W$4:$W$803))=0),"구리 근무자명단에만 있음(파견수련계획 확인)",IF(AND($AC188&lt;&gt;"",$U188&lt;&gt;"파견중",$N188&lt;&gt;$AE188),"인턴 타지역 근무: 파견 여부 확인","정상")))))))))</f>
        <v/>
      </c>
      <c r="AA188" s="5" t="n"/>
      <c r="AB188" s="10">
        <f>IF($B188="","",IFERROR(MATCH($B188,입력_기본자료!$B$2:$B$1001,0),IFERROR(MATCH($B188&amp;"",입력_기본자료!$B$2:$B$1001,0),IFERROR(MATCH(VALUE($B188),입력_기본자료!$B$2:$B$1001,0),""))))</f>
        <v/>
      </c>
      <c r="AC188" s="10">
        <f>IF($B188="","",IFERROR(MATCH($B188,입력_인턴근무계획!$D$3:$D$402,0),IFERROR(MATCH($B188&amp;"",입력_인턴근무계획!$D$3:$D$402,0),IFERROR(MATCH(VALUE($B188),입력_인턴근무계획!$D$3:$D$402,0),""))))</f>
        <v/>
      </c>
      <c r="AD188" s="10">
        <f>IF(OR($AC188="",출력_인턴현황!$G$3=""),"",INDEX(입력_인턴근무계획!$M$3:$R$402,$AC188,출력_인턴현황!$G$3)&amp;"")</f>
        <v/>
      </c>
      <c r="AE188" s="10">
        <f>IF($B188="","",IF($M188&lt;&gt;"",$M188,IF(IF($AQ188="",FALSE,INDEX(출력_구리근무자!$J$6:$J$305,$AQ188)="구리독자"),"구리병원",IF($AF188&lt;&gt;"",IF(LEFT(INDEX(입력_파견수련계획!$R$4:$R$803,$AF188),1)&lt;&gt;"⚠",INDEX(입력_파견수련계획!$R$4:$R$803,$AF188),IF($H188="","",IF(RIGHT($H188,2)="병원",$H188,$H188&amp;"병원"))),IF($H188="","",IF(RIGHT($H188,2)="병원",$H188,$H188&amp;"병원"))))))</f>
        <v/>
      </c>
      <c r="AF188" s="10">
        <f>IF(OR($B188="",TRIM($J188&amp;"")=""),"",IFERROR(MATCH(TRIM($J188&amp;"")&amp;"|파견중",입력_파견수련계획!$Y$4:$Y$803,0),IFERROR(MATCH(TRIM($J188&amp;"")&amp;"|파견예정",입력_파견수련계획!$Y$4:$Y$803,0),IFERROR(MATCH(TRIM($J188&amp;"")&amp;"|파견종료",입력_파견수련계획!$Y$4:$Y$803,0),""))))</f>
        <v/>
      </c>
      <c r="AG188" s="10">
        <f>IF($B188="","",IF(AND(IF(OR($AC188="",출력_인턴현황!$K$2=""),"",INDEX(입력_인턴근무계획!$M$3:$R$402,$AC188,출력_인턴현황!$K$2)&amp;"")&lt;&gt;"",LEFT(IF(OR($AC188="",출력_인턴현황!$K$2=""),"",INDEX(입력_인턴근무계획!$M$3:$R$402,$AC188,출력_인턴현황!$K$2)&amp;""),1)&lt;&gt;"⚠"),LEFT(IF(OR($AC188="",출력_인턴현황!$K$2=""),"",INDEX(입력_인턴근무계획!$M$3:$R$402,$AC188,출력_인턴현황!$K$2)&amp;""),FIND(" ",IF(OR($AC188="",출력_인턴현황!$K$2=""),"",INDEX(입력_인턴근무계획!$M$3:$R$402,$AC188,출력_인턴현황!$K$2)&amp;""))-1),$AE188))</f>
        <v/>
      </c>
      <c r="AH188" s="17">
        <f>IF($B188="","",IF($AQ188&lt;&gt;"",MAX(0,DAY(EOMONTH(출력_요약!$B$3,0))-N($AR188)),IF(TRIM($J188&amp;"")="",0,SUMPRODUCT((입력_파견수련계획!$Q$4:$Q$803=TRIM($J188&amp;""))*(입력_파견수련계획!$S$4:$S$803="서울병원")*입력_파견수련계획!$W$4:$W$803))+IF($AG188="서울병원",MAX(0,DAY(EOMONTH(출력_요약!$B$3,0))-N($X188)),0)))</f>
        <v/>
      </c>
      <c r="AI188" s="17">
        <f>IF($B188="","",IF($AQ188&lt;&gt;"",N($AR188),IF(TRIM($J188&amp;"")="",0,SUMPRODUCT((입력_파견수련계획!$Q$4:$Q$803=TRIM($J188&amp;""))*(입력_파견수련계획!$S$4:$S$803="구리병원")*입력_파견수련계획!$W$4:$W$803))+IF($AG188="구리병원",MAX(0,DAY(EOMONTH(출력_요약!$B$3,0))-N($X188)),0)))</f>
        <v/>
      </c>
      <c r="AJ188" s="10">
        <f>IF(OR($B188="",TRIM($J188&amp;"")=""),"",IFERROR(MATCH(TRIM($J188&amp;"")&amp;"|월",입력_파견수련계획!$Z$4:$Z$803,0),""))</f>
        <v/>
      </c>
      <c r="AK188" s="10">
        <f>IF(OR($B188="",TRIM($J188&amp;"")=""),"",IFERROR(MATCH(TRIM($J188&amp;"")&amp;"|다기관",입력_파견수련계획!$AE$4:$AE$803,0),""))</f>
        <v/>
      </c>
      <c r="AL188" s="10">
        <f>IF($AK188="","","다기관 "&amp;TEXT(INDEX(입력_파견수련계획!$AB$4:$AB$803,$AK188),"yyyy-mm-dd")&amp;"~"&amp;IF(ISNUMBER(INDEX(입력_파견수련계획!$AC$4:$AC$803,$AK188)),TEXT(INDEX(입력_파견수련계획!$AC$4:$AC$803,$AK188),"yyyy-mm-dd"),""))</f>
        <v/>
      </c>
      <c r="AM188" s="10">
        <f>IF($Y188="서울병원",COUNTIF($Y$2:$Y188,"서울병원"),"")</f>
        <v/>
      </c>
      <c r="AN188" s="10">
        <f>IF(LEFT($Y188,1)="⚠",COUNTIF($Y$2:$Y188,"⚠*"),"")</f>
        <v/>
      </c>
      <c r="AO188" s="10">
        <f>IF(OR($B188="",$Y188=""),"",IF(IF(TRIM($J188&amp;"")="",0,SUMPRODUCT((입력_파견수련계획!$Q$4:$Q$803=TRIM($J188&amp;""))*입력_파견수련계획!$AD$4:$AD$803))&gt;0,"다기관 기간 → 소속병원 지급",IF(AND(N($X188)&lt;=0,$AQ188=""),"파견 없음 → 그 달 근무병원 지급",IF($AH188+$AI188=DAY(EOMONTH(출력_요약!$B$3,0)),"서울 "&amp;$AH188&amp;"일 / 구리 "&amp;$AI188&amp;"일"&amp;IF($AQ188&lt;&gt;""," (구리 근무자명단 반영)","")&amp;" → 15일 이상 근무 병원 지급","타 병원 포함 → "&amp;IF($AJ188="","소속",INDEX(입력_파견수련계획!$T$4:$T$803,$AJ188))&amp;" 규칙"))))</f>
        <v/>
      </c>
      <c r="AP188" s="10">
        <f>IF($B188="","",$C188&amp;"|"&amp;$F188)</f>
        <v/>
      </c>
      <c r="AQ188" s="10">
        <f>IF($B188="","",IFERROR(MATCH(ROW()-1,출력_구리근무자!$K$6:$K$305,0),""))</f>
        <v/>
      </c>
      <c r="AR188" s="10">
        <f>IF($AQ188="","",INDEX(출력_구리근무자!$H$6:$H$305,$AQ188))</f>
        <v/>
      </c>
    </row>
    <row r="189">
      <c r="A189" s="10">
        <f>IF(B189="","",ROW()-1)</f>
        <v/>
      </c>
      <c r="B189" s="19" t="n"/>
      <c r="C189" s="10">
        <f>IF($AB189="","",IF(INDEX(입력_기본자료!$C$2:$C$1001,$AB189)="","",INDEX(입력_기본자료!$C$2:$C$1001,$AB189)))</f>
        <v/>
      </c>
      <c r="D189" s="10">
        <f>IF($AB189="","",IF(INDEX(입력_기본자료!$J$2:$J$1001,$AB189)="","",INDEX(입력_기본자료!$J$2:$J$1001,$AB189)))</f>
        <v/>
      </c>
      <c r="E189" s="11">
        <f>IF($AB189="","",IF(INDEX(입력_기본자료!$K$2:$K$1001,$AB189)="","",IF(NOT(ISNUMBER(INDEX(입력_기본자료!$K$2:$K$1001,$AB189))),INDEX(입력_기본자료!$K$2:$K$1001,$AB189),IF(INDEX(입력_기본자료!$K$2:$K$1001,$AB189)&lt;1000000,INDEX(입력_기본자료!$K$2:$K$1001,$AB189),IF(AND(INDEX(입력_기본자료!$K$2:$K$1001,$AB189)&gt;=10000101,INT(MOD(INDEX(입력_기본자료!$K$2:$K$1001,$AB189),10000)/100)&gt;=1,INT(MOD(INDEX(입력_기본자료!$K$2:$K$1001,$AB189),10000)/100)&lt;=12,MOD(INDEX(입력_기본자료!$K$2:$K$1001,$AB189),100)&gt;=1,MOD(INDEX(입력_기본자료!$K$2:$K$1001,$AB189),100)&lt;=31),DATE(INT(INDEX(입력_기본자료!$K$2:$K$1001,$AB189)/10000),INT(MOD(INDEX(입력_기본자료!$K$2:$K$1001,$AB189),10000)/100),MOD(INDEX(입력_기본자료!$K$2:$K$1001,$AB189),100)),INDEX(입력_기본자료!$K$2:$K$1001,$AB189)&amp;"")))))</f>
        <v/>
      </c>
      <c r="F189" s="10">
        <f>IF($AB189="","",IF(INDEX(입력_기본자료!$D$2:$D$1001,$AB189)="","",INDEX(입력_기본자료!$D$2:$D$1001,$AB189)))</f>
        <v/>
      </c>
      <c r="G189" s="10">
        <f>IF($AB189="","",IF(INDEX(입력_기본자료!$E$2:$E$1001,$AB189)="","",INDEX(입력_기본자료!$E$2:$E$1001,$AB189)))</f>
        <v/>
      </c>
      <c r="H189" s="10">
        <f>IF($AB189="","",IF(INDEX(입력_기본자료!$F$2:$F$1001,$AB189)="","",INDEX(입력_기본자료!$F$2:$F$1001,$AB189)))</f>
        <v/>
      </c>
      <c r="I189" s="11">
        <f>IF($AB189="","",IF(INDEX(입력_기본자료!$G$2:$G$1001,$AB189)="","",IF(NOT(ISNUMBER(INDEX(입력_기본자료!$G$2:$G$1001,$AB189))),INDEX(입력_기본자료!$G$2:$G$1001,$AB189),IF(INDEX(입력_기본자료!$G$2:$G$1001,$AB189)&lt;1000000,INDEX(입력_기본자료!$G$2:$G$1001,$AB189),IF(AND(INDEX(입력_기본자료!$G$2:$G$1001,$AB189)&gt;=10000101,INT(MOD(INDEX(입력_기본자료!$G$2:$G$1001,$AB189),10000)/100)&gt;=1,INT(MOD(INDEX(입력_기본자료!$G$2:$G$1001,$AB189),10000)/100)&lt;=12,MOD(INDEX(입력_기본자료!$G$2:$G$1001,$AB189),100)&gt;=1,MOD(INDEX(입력_기본자료!$G$2:$G$1001,$AB189),100)&lt;=31),DATE(INT(INDEX(입력_기본자료!$G$2:$G$1001,$AB189)/10000),INT(MOD(INDEX(입력_기본자료!$G$2:$G$1001,$AB189),10000)/100),MOD(INDEX(입력_기본자료!$G$2:$G$1001,$AB189),100)),INDEX(입력_기본자료!$G$2:$G$1001,$AB189)&amp;"")))))</f>
        <v/>
      </c>
      <c r="J189" s="10">
        <f>IF($AB189="","",IF(INDEX(입력_기본자료!$H$2:$H$1001,$AB189)="","",INDEX(입력_기본자료!$H$2:$H$1001,$AB189)))</f>
        <v/>
      </c>
      <c r="K189" s="10">
        <f>IF($AB189="","",IF(INDEX(입력_기본자료!$I$2:$I$1001,$AB189)="","",INDEX(입력_기본자료!$I$2:$I$1001,$AB189)))</f>
        <v/>
      </c>
      <c r="L189" s="10">
        <f>IF($AB189="","",IF(INDEX(입력_기본자료!$A$2:$A$1001,$AB189)="","",INDEX(입력_기본자료!$A$2:$A$1001,$AB189)))</f>
        <v/>
      </c>
      <c r="M189" s="15" t="n"/>
      <c r="N189" s="10">
        <f>IF($B189="","",IF(AND($U189="파견중",$Q189&lt;&gt;""),$Q189,IF(AND($AD189&lt;&gt;"",LEFT($AD189,1)&lt;&gt;"⚠"),LEFT($AD189,FIND(" ",$AD189)-1),IF($H189="","",IF(RIGHT($H189,2)="병원",$H189,$H189&amp;"병원")))))</f>
        <v/>
      </c>
      <c r="O189" s="10">
        <f>IF($B189="","",IF(AND($U189="파견중",$Q189&lt;&gt;""),IF($R189&lt;&gt;"",$R189,"파견과 미입력"),IF(AND($AD189&lt;&gt;"",LEFT($AD189,1)&lt;&gt;"⚠"),MID($AD189,FIND(" ",$AD189)+1,60),IF($F189="","",IF($F189="인턴","수련교육부(인턴)",$F189)))))</f>
        <v/>
      </c>
      <c r="P189" s="10">
        <f>IF($B189="","",IF($AK189&lt;&gt;"",IF(AND(TODAY()&gt;=INDEX(입력_파견수련계획!$AB$4:$AB$803,$AK189),OR(NOT(ISNUMBER(INDEX(입력_파견수련계획!$AC$4:$AC$803,$AK189))),TODAY()&lt;=INDEX(입력_파견수련계획!$AC$4:$AC$803,$AK189))),"다기관",IF($AF189="","",INDEX(입력_파견수련계획!$T$4:$T$803,$AF189))),IF($AF189="","",INDEX(입력_파견수련계획!$T$4:$T$803,$AF189))))</f>
        <v/>
      </c>
      <c r="Q189" s="10">
        <f>IF($AF189="","",INDEX(입력_파견수련계획!$S$4:$S$803,$AF189))</f>
        <v/>
      </c>
      <c r="R189" s="10">
        <f>IF($AF189="","",INDEX(입력_파견수련계획!$U$4:$U$803,$AF189))</f>
        <v/>
      </c>
      <c r="S189" s="11">
        <f>IF($AF189="","",IF(INDEX(입력_파견수련계획!$H$4:$H$803,$AF189)="","",INDEX(입력_파견수련계획!$H$4:$H$803,$AF189)))</f>
        <v/>
      </c>
      <c r="T189" s="11">
        <f>IF($AF189="","",IF(INDEX(입력_파견수련계획!$I$4:$I$803,$AF189)="","",INDEX(입력_파견수련계획!$I$4:$I$803,$AF189)))</f>
        <v/>
      </c>
      <c r="U189" s="10">
        <f>IF($AF189="","",INDEX(입력_파견수련계획!$X$4:$X$803,$AF189))</f>
        <v/>
      </c>
      <c r="V189" s="17">
        <f>IF($AF189="","",INDEX(입력_파견수련계획!$V$4:$V$803,$AF189))</f>
        <v/>
      </c>
      <c r="W189" s="17">
        <f>IF(AND($U189="파견중",$T189&lt;&gt;""),$T189-TODAY(),"")</f>
        <v/>
      </c>
      <c r="X189" s="17">
        <f>IF(OR($B189="",TRIM($J189&amp;"")=""),"",SUMPRODUCT((입력_파견수련계획!$Q$4:$Q$803=TRIM($J189&amp;""))*입력_파견수련계획!$W$4:$W$803))</f>
        <v/>
      </c>
      <c r="Y189" s="10">
        <f>IF($B189="","",IF($AG189="","",IF(IF(TRIM($J189&amp;"")="",0,SUMPRODUCT((입력_파견수련계획!$Q$4:$Q$803=TRIM($J189&amp;""))*입력_파견수련계획!$AD$4:$AD$803))&gt;0,$AE189,IF(AND(N($X189)&lt;=0,$AQ189=""),$AG189,IF($AH189+$AI189=DAY(EOMONTH(출력_요약!$B$3,0)),IF(AND($AH189&gt;=출력_요약!$E$3,$AI189&lt;출력_요약!$E$3),"서울병원",IF(AND($AI189&gt;=출력_요약!$E$3,$AH189&lt;출력_요약!$E$3),"구리병원","⚠15일 판정불가(서울 "&amp;$AH189&amp;"일/구리 "&amp;$AI189&amp;"일)")),IF($AJ189="",$AE189,IF(INDEX(입력_파견수련계획!$T$4:$T$803,$AJ189)="통합수련",INDEX(입력_파견수련계획!$S$4:$S$803,$AJ189),$AE189)))))))</f>
        <v/>
      </c>
      <c r="Z189" s="20">
        <f>IF($B189="","",IF($AB189="","기본자료에 없는 사번",IF(COUNTIF($B$2:$B$401,$B189)&gt;1,"중복 사번",IF($AE189="","소속(입사장소) 입력",IF(IF(TRIM($J189&amp;"")="",0,SUMPRODUCT((입력_파견수련계획!$Q$4:$Q$803=TRIM($J189&amp;""))*(입력_파견수련계획!$AA$4:$AA$803&lt;&gt;"")))&gt;0,"파견수련계획 입력오류 확인",IF(LEFT($Y189,1)="⚠","서울·구리 15일 판정 불가(양쪽 모두 이상/미만)",IF(IF($AC189="",0,N(INDEX(입력_인턴근무계획!$T$3:$T$402,$AC189)))&gt;0,"인턴계획 입력오류 확인",IF(AND($AQ189&lt;&gt;"",$AG189&lt;&gt;"구리병원",IF(TRIM($J189&amp;"")="",0,SUMPRODUCT((입력_파견수련계획!$Q$4:$Q$803=TRIM($J189&amp;""))*(입력_파견수련계획!$S$4:$S$803="구리병원")*입력_파견수련계획!$W$4:$W$803))=0),"구리 근무자명단에만 있음(파견수련계획 확인)",IF(AND($AC189&lt;&gt;"",$U189&lt;&gt;"파견중",$N189&lt;&gt;$AE189),"인턴 타지역 근무: 파견 여부 확인","정상")))))))))</f>
        <v/>
      </c>
      <c r="AA189" s="5" t="n"/>
      <c r="AB189" s="10">
        <f>IF($B189="","",IFERROR(MATCH($B189,입력_기본자료!$B$2:$B$1001,0),IFERROR(MATCH($B189&amp;"",입력_기본자료!$B$2:$B$1001,0),IFERROR(MATCH(VALUE($B189),입력_기본자료!$B$2:$B$1001,0),""))))</f>
        <v/>
      </c>
      <c r="AC189" s="10">
        <f>IF($B189="","",IFERROR(MATCH($B189,입력_인턴근무계획!$D$3:$D$402,0),IFERROR(MATCH($B189&amp;"",입력_인턴근무계획!$D$3:$D$402,0),IFERROR(MATCH(VALUE($B189),입력_인턴근무계획!$D$3:$D$402,0),""))))</f>
        <v/>
      </c>
      <c r="AD189" s="10">
        <f>IF(OR($AC189="",출력_인턴현황!$G$3=""),"",INDEX(입력_인턴근무계획!$M$3:$R$402,$AC189,출력_인턴현황!$G$3)&amp;"")</f>
        <v/>
      </c>
      <c r="AE189" s="10">
        <f>IF($B189="","",IF($M189&lt;&gt;"",$M189,IF(IF($AQ189="",FALSE,INDEX(출력_구리근무자!$J$6:$J$305,$AQ189)="구리독자"),"구리병원",IF($AF189&lt;&gt;"",IF(LEFT(INDEX(입력_파견수련계획!$R$4:$R$803,$AF189),1)&lt;&gt;"⚠",INDEX(입력_파견수련계획!$R$4:$R$803,$AF189),IF($H189="","",IF(RIGHT($H189,2)="병원",$H189,$H189&amp;"병원"))),IF($H189="","",IF(RIGHT($H189,2)="병원",$H189,$H189&amp;"병원"))))))</f>
        <v/>
      </c>
      <c r="AF189" s="10">
        <f>IF(OR($B189="",TRIM($J189&amp;"")=""),"",IFERROR(MATCH(TRIM($J189&amp;"")&amp;"|파견중",입력_파견수련계획!$Y$4:$Y$803,0),IFERROR(MATCH(TRIM($J189&amp;"")&amp;"|파견예정",입력_파견수련계획!$Y$4:$Y$803,0),IFERROR(MATCH(TRIM($J189&amp;"")&amp;"|파견종료",입력_파견수련계획!$Y$4:$Y$803,0),""))))</f>
        <v/>
      </c>
      <c r="AG189" s="10">
        <f>IF($B189="","",IF(AND(IF(OR($AC189="",출력_인턴현황!$K$2=""),"",INDEX(입력_인턴근무계획!$M$3:$R$402,$AC189,출력_인턴현황!$K$2)&amp;"")&lt;&gt;"",LEFT(IF(OR($AC189="",출력_인턴현황!$K$2=""),"",INDEX(입력_인턴근무계획!$M$3:$R$402,$AC189,출력_인턴현황!$K$2)&amp;""),1)&lt;&gt;"⚠"),LEFT(IF(OR($AC189="",출력_인턴현황!$K$2=""),"",INDEX(입력_인턴근무계획!$M$3:$R$402,$AC189,출력_인턴현황!$K$2)&amp;""),FIND(" ",IF(OR($AC189="",출력_인턴현황!$K$2=""),"",INDEX(입력_인턴근무계획!$M$3:$R$402,$AC189,출력_인턴현황!$K$2)&amp;""))-1),$AE189))</f>
        <v/>
      </c>
      <c r="AH189" s="17">
        <f>IF($B189="","",IF($AQ189&lt;&gt;"",MAX(0,DAY(EOMONTH(출력_요약!$B$3,0))-N($AR189)),IF(TRIM($J189&amp;"")="",0,SUMPRODUCT((입력_파견수련계획!$Q$4:$Q$803=TRIM($J189&amp;""))*(입력_파견수련계획!$S$4:$S$803="서울병원")*입력_파견수련계획!$W$4:$W$803))+IF($AG189="서울병원",MAX(0,DAY(EOMONTH(출력_요약!$B$3,0))-N($X189)),0)))</f>
        <v/>
      </c>
      <c r="AI189" s="17">
        <f>IF($B189="","",IF($AQ189&lt;&gt;"",N($AR189),IF(TRIM($J189&amp;"")="",0,SUMPRODUCT((입력_파견수련계획!$Q$4:$Q$803=TRIM($J189&amp;""))*(입력_파견수련계획!$S$4:$S$803="구리병원")*입력_파견수련계획!$W$4:$W$803))+IF($AG189="구리병원",MAX(0,DAY(EOMONTH(출력_요약!$B$3,0))-N($X189)),0)))</f>
        <v/>
      </c>
      <c r="AJ189" s="10">
        <f>IF(OR($B189="",TRIM($J189&amp;"")=""),"",IFERROR(MATCH(TRIM($J189&amp;"")&amp;"|월",입력_파견수련계획!$Z$4:$Z$803,0),""))</f>
        <v/>
      </c>
      <c r="AK189" s="10">
        <f>IF(OR($B189="",TRIM($J189&amp;"")=""),"",IFERROR(MATCH(TRIM($J189&amp;"")&amp;"|다기관",입력_파견수련계획!$AE$4:$AE$803,0),""))</f>
        <v/>
      </c>
      <c r="AL189" s="10">
        <f>IF($AK189="","","다기관 "&amp;TEXT(INDEX(입력_파견수련계획!$AB$4:$AB$803,$AK189),"yyyy-mm-dd")&amp;"~"&amp;IF(ISNUMBER(INDEX(입력_파견수련계획!$AC$4:$AC$803,$AK189)),TEXT(INDEX(입력_파견수련계획!$AC$4:$AC$803,$AK189),"yyyy-mm-dd"),""))</f>
        <v/>
      </c>
      <c r="AM189" s="10">
        <f>IF($Y189="서울병원",COUNTIF($Y$2:$Y189,"서울병원"),"")</f>
        <v/>
      </c>
      <c r="AN189" s="10">
        <f>IF(LEFT($Y189,1)="⚠",COUNTIF($Y$2:$Y189,"⚠*"),"")</f>
        <v/>
      </c>
      <c r="AO189" s="10">
        <f>IF(OR($B189="",$Y189=""),"",IF(IF(TRIM($J189&amp;"")="",0,SUMPRODUCT((입력_파견수련계획!$Q$4:$Q$803=TRIM($J189&amp;""))*입력_파견수련계획!$AD$4:$AD$803))&gt;0,"다기관 기간 → 소속병원 지급",IF(AND(N($X189)&lt;=0,$AQ189=""),"파견 없음 → 그 달 근무병원 지급",IF($AH189+$AI189=DAY(EOMONTH(출력_요약!$B$3,0)),"서울 "&amp;$AH189&amp;"일 / 구리 "&amp;$AI189&amp;"일"&amp;IF($AQ189&lt;&gt;""," (구리 근무자명단 반영)","")&amp;" → 15일 이상 근무 병원 지급","타 병원 포함 → "&amp;IF($AJ189="","소속",INDEX(입력_파견수련계획!$T$4:$T$803,$AJ189))&amp;" 규칙"))))</f>
        <v/>
      </c>
      <c r="AP189" s="10">
        <f>IF($B189="","",$C189&amp;"|"&amp;$F189)</f>
        <v/>
      </c>
      <c r="AQ189" s="10">
        <f>IF($B189="","",IFERROR(MATCH(ROW()-1,출력_구리근무자!$K$6:$K$305,0),""))</f>
        <v/>
      </c>
      <c r="AR189" s="10">
        <f>IF($AQ189="","",INDEX(출력_구리근무자!$H$6:$H$305,$AQ189))</f>
        <v/>
      </c>
    </row>
    <row r="190">
      <c r="A190" s="10">
        <f>IF(B190="","",ROW()-1)</f>
        <v/>
      </c>
      <c r="B190" s="19" t="n"/>
      <c r="C190" s="10">
        <f>IF($AB190="","",IF(INDEX(입력_기본자료!$C$2:$C$1001,$AB190)="","",INDEX(입력_기본자료!$C$2:$C$1001,$AB190)))</f>
        <v/>
      </c>
      <c r="D190" s="10">
        <f>IF($AB190="","",IF(INDEX(입력_기본자료!$J$2:$J$1001,$AB190)="","",INDEX(입력_기본자료!$J$2:$J$1001,$AB190)))</f>
        <v/>
      </c>
      <c r="E190" s="11">
        <f>IF($AB190="","",IF(INDEX(입력_기본자료!$K$2:$K$1001,$AB190)="","",IF(NOT(ISNUMBER(INDEX(입력_기본자료!$K$2:$K$1001,$AB190))),INDEX(입력_기본자료!$K$2:$K$1001,$AB190),IF(INDEX(입력_기본자료!$K$2:$K$1001,$AB190)&lt;1000000,INDEX(입력_기본자료!$K$2:$K$1001,$AB190),IF(AND(INDEX(입력_기본자료!$K$2:$K$1001,$AB190)&gt;=10000101,INT(MOD(INDEX(입력_기본자료!$K$2:$K$1001,$AB190),10000)/100)&gt;=1,INT(MOD(INDEX(입력_기본자료!$K$2:$K$1001,$AB190),10000)/100)&lt;=12,MOD(INDEX(입력_기본자료!$K$2:$K$1001,$AB190),100)&gt;=1,MOD(INDEX(입력_기본자료!$K$2:$K$1001,$AB190),100)&lt;=31),DATE(INT(INDEX(입력_기본자료!$K$2:$K$1001,$AB190)/10000),INT(MOD(INDEX(입력_기본자료!$K$2:$K$1001,$AB190),10000)/100),MOD(INDEX(입력_기본자료!$K$2:$K$1001,$AB190),100)),INDEX(입력_기본자료!$K$2:$K$1001,$AB190)&amp;"")))))</f>
        <v/>
      </c>
      <c r="F190" s="10">
        <f>IF($AB190="","",IF(INDEX(입력_기본자료!$D$2:$D$1001,$AB190)="","",INDEX(입력_기본자료!$D$2:$D$1001,$AB190)))</f>
        <v/>
      </c>
      <c r="G190" s="10">
        <f>IF($AB190="","",IF(INDEX(입력_기본자료!$E$2:$E$1001,$AB190)="","",INDEX(입력_기본자료!$E$2:$E$1001,$AB190)))</f>
        <v/>
      </c>
      <c r="H190" s="10">
        <f>IF($AB190="","",IF(INDEX(입력_기본자료!$F$2:$F$1001,$AB190)="","",INDEX(입력_기본자료!$F$2:$F$1001,$AB190)))</f>
        <v/>
      </c>
      <c r="I190" s="11">
        <f>IF($AB190="","",IF(INDEX(입력_기본자료!$G$2:$G$1001,$AB190)="","",IF(NOT(ISNUMBER(INDEX(입력_기본자료!$G$2:$G$1001,$AB190))),INDEX(입력_기본자료!$G$2:$G$1001,$AB190),IF(INDEX(입력_기본자료!$G$2:$G$1001,$AB190)&lt;1000000,INDEX(입력_기본자료!$G$2:$G$1001,$AB190),IF(AND(INDEX(입력_기본자료!$G$2:$G$1001,$AB190)&gt;=10000101,INT(MOD(INDEX(입력_기본자료!$G$2:$G$1001,$AB190),10000)/100)&gt;=1,INT(MOD(INDEX(입력_기본자료!$G$2:$G$1001,$AB190),10000)/100)&lt;=12,MOD(INDEX(입력_기본자료!$G$2:$G$1001,$AB190),100)&gt;=1,MOD(INDEX(입력_기본자료!$G$2:$G$1001,$AB190),100)&lt;=31),DATE(INT(INDEX(입력_기본자료!$G$2:$G$1001,$AB190)/10000),INT(MOD(INDEX(입력_기본자료!$G$2:$G$1001,$AB190),10000)/100),MOD(INDEX(입력_기본자료!$G$2:$G$1001,$AB190),100)),INDEX(입력_기본자료!$G$2:$G$1001,$AB190)&amp;"")))))</f>
        <v/>
      </c>
      <c r="J190" s="10">
        <f>IF($AB190="","",IF(INDEX(입력_기본자료!$H$2:$H$1001,$AB190)="","",INDEX(입력_기본자료!$H$2:$H$1001,$AB190)))</f>
        <v/>
      </c>
      <c r="K190" s="10">
        <f>IF($AB190="","",IF(INDEX(입력_기본자료!$I$2:$I$1001,$AB190)="","",INDEX(입력_기본자료!$I$2:$I$1001,$AB190)))</f>
        <v/>
      </c>
      <c r="L190" s="10">
        <f>IF($AB190="","",IF(INDEX(입력_기본자료!$A$2:$A$1001,$AB190)="","",INDEX(입력_기본자료!$A$2:$A$1001,$AB190)))</f>
        <v/>
      </c>
      <c r="M190" s="15" t="n"/>
      <c r="N190" s="10">
        <f>IF($B190="","",IF(AND($U190="파견중",$Q190&lt;&gt;""),$Q190,IF(AND($AD190&lt;&gt;"",LEFT($AD190,1)&lt;&gt;"⚠"),LEFT($AD190,FIND(" ",$AD190)-1),IF($H190="","",IF(RIGHT($H190,2)="병원",$H190,$H190&amp;"병원")))))</f>
        <v/>
      </c>
      <c r="O190" s="10">
        <f>IF($B190="","",IF(AND($U190="파견중",$Q190&lt;&gt;""),IF($R190&lt;&gt;"",$R190,"파견과 미입력"),IF(AND($AD190&lt;&gt;"",LEFT($AD190,1)&lt;&gt;"⚠"),MID($AD190,FIND(" ",$AD190)+1,60),IF($F190="","",IF($F190="인턴","수련교육부(인턴)",$F190)))))</f>
        <v/>
      </c>
      <c r="P190" s="10">
        <f>IF($B190="","",IF($AK190&lt;&gt;"",IF(AND(TODAY()&gt;=INDEX(입력_파견수련계획!$AB$4:$AB$803,$AK190),OR(NOT(ISNUMBER(INDEX(입력_파견수련계획!$AC$4:$AC$803,$AK190))),TODAY()&lt;=INDEX(입력_파견수련계획!$AC$4:$AC$803,$AK190))),"다기관",IF($AF190="","",INDEX(입력_파견수련계획!$T$4:$T$803,$AF190))),IF($AF190="","",INDEX(입력_파견수련계획!$T$4:$T$803,$AF190))))</f>
        <v/>
      </c>
      <c r="Q190" s="10">
        <f>IF($AF190="","",INDEX(입력_파견수련계획!$S$4:$S$803,$AF190))</f>
        <v/>
      </c>
      <c r="R190" s="10">
        <f>IF($AF190="","",INDEX(입력_파견수련계획!$U$4:$U$803,$AF190))</f>
        <v/>
      </c>
      <c r="S190" s="11">
        <f>IF($AF190="","",IF(INDEX(입력_파견수련계획!$H$4:$H$803,$AF190)="","",INDEX(입력_파견수련계획!$H$4:$H$803,$AF190)))</f>
        <v/>
      </c>
      <c r="T190" s="11">
        <f>IF($AF190="","",IF(INDEX(입력_파견수련계획!$I$4:$I$803,$AF190)="","",INDEX(입력_파견수련계획!$I$4:$I$803,$AF190)))</f>
        <v/>
      </c>
      <c r="U190" s="10">
        <f>IF($AF190="","",INDEX(입력_파견수련계획!$X$4:$X$803,$AF190))</f>
        <v/>
      </c>
      <c r="V190" s="17">
        <f>IF($AF190="","",INDEX(입력_파견수련계획!$V$4:$V$803,$AF190))</f>
        <v/>
      </c>
      <c r="W190" s="17">
        <f>IF(AND($U190="파견중",$T190&lt;&gt;""),$T190-TODAY(),"")</f>
        <v/>
      </c>
      <c r="X190" s="17">
        <f>IF(OR($B190="",TRIM($J190&amp;"")=""),"",SUMPRODUCT((입력_파견수련계획!$Q$4:$Q$803=TRIM($J190&amp;""))*입력_파견수련계획!$W$4:$W$803))</f>
        <v/>
      </c>
      <c r="Y190" s="10">
        <f>IF($B190="","",IF($AG190="","",IF(IF(TRIM($J190&amp;"")="",0,SUMPRODUCT((입력_파견수련계획!$Q$4:$Q$803=TRIM($J190&amp;""))*입력_파견수련계획!$AD$4:$AD$803))&gt;0,$AE190,IF(AND(N($X190)&lt;=0,$AQ190=""),$AG190,IF($AH190+$AI190=DAY(EOMONTH(출력_요약!$B$3,0)),IF(AND($AH190&gt;=출력_요약!$E$3,$AI190&lt;출력_요약!$E$3),"서울병원",IF(AND($AI190&gt;=출력_요약!$E$3,$AH190&lt;출력_요약!$E$3),"구리병원","⚠15일 판정불가(서울 "&amp;$AH190&amp;"일/구리 "&amp;$AI190&amp;"일)")),IF($AJ190="",$AE190,IF(INDEX(입력_파견수련계획!$T$4:$T$803,$AJ190)="통합수련",INDEX(입력_파견수련계획!$S$4:$S$803,$AJ190),$AE190)))))))</f>
        <v/>
      </c>
      <c r="Z190" s="20">
        <f>IF($B190="","",IF($AB190="","기본자료에 없는 사번",IF(COUNTIF($B$2:$B$401,$B190)&gt;1,"중복 사번",IF($AE190="","소속(입사장소) 입력",IF(IF(TRIM($J190&amp;"")="",0,SUMPRODUCT((입력_파견수련계획!$Q$4:$Q$803=TRIM($J190&amp;""))*(입력_파견수련계획!$AA$4:$AA$803&lt;&gt;"")))&gt;0,"파견수련계획 입력오류 확인",IF(LEFT($Y190,1)="⚠","서울·구리 15일 판정 불가(양쪽 모두 이상/미만)",IF(IF($AC190="",0,N(INDEX(입력_인턴근무계획!$T$3:$T$402,$AC190)))&gt;0,"인턴계획 입력오류 확인",IF(AND($AQ190&lt;&gt;"",$AG190&lt;&gt;"구리병원",IF(TRIM($J190&amp;"")="",0,SUMPRODUCT((입력_파견수련계획!$Q$4:$Q$803=TRIM($J190&amp;""))*(입력_파견수련계획!$S$4:$S$803="구리병원")*입력_파견수련계획!$W$4:$W$803))=0),"구리 근무자명단에만 있음(파견수련계획 확인)",IF(AND($AC190&lt;&gt;"",$U190&lt;&gt;"파견중",$N190&lt;&gt;$AE190),"인턴 타지역 근무: 파견 여부 확인","정상")))))))))</f>
        <v/>
      </c>
      <c r="AA190" s="5" t="n"/>
      <c r="AB190" s="10">
        <f>IF($B190="","",IFERROR(MATCH($B190,입력_기본자료!$B$2:$B$1001,0),IFERROR(MATCH($B190&amp;"",입력_기본자료!$B$2:$B$1001,0),IFERROR(MATCH(VALUE($B190),입력_기본자료!$B$2:$B$1001,0),""))))</f>
        <v/>
      </c>
      <c r="AC190" s="10">
        <f>IF($B190="","",IFERROR(MATCH($B190,입력_인턴근무계획!$D$3:$D$402,0),IFERROR(MATCH($B190&amp;"",입력_인턴근무계획!$D$3:$D$402,0),IFERROR(MATCH(VALUE($B190),입력_인턴근무계획!$D$3:$D$402,0),""))))</f>
        <v/>
      </c>
      <c r="AD190" s="10">
        <f>IF(OR($AC190="",출력_인턴현황!$G$3=""),"",INDEX(입력_인턴근무계획!$M$3:$R$402,$AC190,출력_인턴현황!$G$3)&amp;"")</f>
        <v/>
      </c>
      <c r="AE190" s="10">
        <f>IF($B190="","",IF($M190&lt;&gt;"",$M190,IF(IF($AQ190="",FALSE,INDEX(출력_구리근무자!$J$6:$J$305,$AQ190)="구리독자"),"구리병원",IF($AF190&lt;&gt;"",IF(LEFT(INDEX(입력_파견수련계획!$R$4:$R$803,$AF190),1)&lt;&gt;"⚠",INDEX(입력_파견수련계획!$R$4:$R$803,$AF190),IF($H190="","",IF(RIGHT($H190,2)="병원",$H190,$H190&amp;"병원"))),IF($H190="","",IF(RIGHT($H190,2)="병원",$H190,$H190&amp;"병원"))))))</f>
        <v/>
      </c>
      <c r="AF190" s="10">
        <f>IF(OR($B190="",TRIM($J190&amp;"")=""),"",IFERROR(MATCH(TRIM($J190&amp;"")&amp;"|파견중",입력_파견수련계획!$Y$4:$Y$803,0),IFERROR(MATCH(TRIM($J190&amp;"")&amp;"|파견예정",입력_파견수련계획!$Y$4:$Y$803,0),IFERROR(MATCH(TRIM($J190&amp;"")&amp;"|파견종료",입력_파견수련계획!$Y$4:$Y$803,0),""))))</f>
        <v/>
      </c>
      <c r="AG190" s="10">
        <f>IF($B190="","",IF(AND(IF(OR($AC190="",출력_인턴현황!$K$2=""),"",INDEX(입력_인턴근무계획!$M$3:$R$402,$AC190,출력_인턴현황!$K$2)&amp;"")&lt;&gt;"",LEFT(IF(OR($AC190="",출력_인턴현황!$K$2=""),"",INDEX(입력_인턴근무계획!$M$3:$R$402,$AC190,출력_인턴현황!$K$2)&amp;""),1)&lt;&gt;"⚠"),LEFT(IF(OR($AC190="",출력_인턴현황!$K$2=""),"",INDEX(입력_인턴근무계획!$M$3:$R$402,$AC190,출력_인턴현황!$K$2)&amp;""),FIND(" ",IF(OR($AC190="",출력_인턴현황!$K$2=""),"",INDEX(입력_인턴근무계획!$M$3:$R$402,$AC190,출력_인턴현황!$K$2)&amp;""))-1),$AE190))</f>
        <v/>
      </c>
      <c r="AH190" s="17">
        <f>IF($B190="","",IF($AQ190&lt;&gt;"",MAX(0,DAY(EOMONTH(출력_요약!$B$3,0))-N($AR190)),IF(TRIM($J190&amp;"")="",0,SUMPRODUCT((입력_파견수련계획!$Q$4:$Q$803=TRIM($J190&amp;""))*(입력_파견수련계획!$S$4:$S$803="서울병원")*입력_파견수련계획!$W$4:$W$803))+IF($AG190="서울병원",MAX(0,DAY(EOMONTH(출력_요약!$B$3,0))-N($X190)),0)))</f>
        <v/>
      </c>
      <c r="AI190" s="17">
        <f>IF($B190="","",IF($AQ190&lt;&gt;"",N($AR190),IF(TRIM($J190&amp;"")="",0,SUMPRODUCT((입력_파견수련계획!$Q$4:$Q$803=TRIM($J190&amp;""))*(입력_파견수련계획!$S$4:$S$803="구리병원")*입력_파견수련계획!$W$4:$W$803))+IF($AG190="구리병원",MAX(0,DAY(EOMONTH(출력_요약!$B$3,0))-N($X190)),0)))</f>
        <v/>
      </c>
      <c r="AJ190" s="10">
        <f>IF(OR($B190="",TRIM($J190&amp;"")=""),"",IFERROR(MATCH(TRIM($J190&amp;"")&amp;"|월",입력_파견수련계획!$Z$4:$Z$803,0),""))</f>
        <v/>
      </c>
      <c r="AK190" s="10">
        <f>IF(OR($B190="",TRIM($J190&amp;"")=""),"",IFERROR(MATCH(TRIM($J190&amp;"")&amp;"|다기관",입력_파견수련계획!$AE$4:$AE$803,0),""))</f>
        <v/>
      </c>
      <c r="AL190" s="10">
        <f>IF($AK190="","","다기관 "&amp;TEXT(INDEX(입력_파견수련계획!$AB$4:$AB$803,$AK190),"yyyy-mm-dd")&amp;"~"&amp;IF(ISNUMBER(INDEX(입력_파견수련계획!$AC$4:$AC$803,$AK190)),TEXT(INDEX(입력_파견수련계획!$AC$4:$AC$803,$AK190),"yyyy-mm-dd"),""))</f>
        <v/>
      </c>
      <c r="AM190" s="10">
        <f>IF($Y190="서울병원",COUNTIF($Y$2:$Y190,"서울병원"),"")</f>
        <v/>
      </c>
      <c r="AN190" s="10">
        <f>IF(LEFT($Y190,1)="⚠",COUNTIF($Y$2:$Y190,"⚠*"),"")</f>
        <v/>
      </c>
      <c r="AO190" s="10">
        <f>IF(OR($B190="",$Y190=""),"",IF(IF(TRIM($J190&amp;"")="",0,SUMPRODUCT((입력_파견수련계획!$Q$4:$Q$803=TRIM($J190&amp;""))*입력_파견수련계획!$AD$4:$AD$803))&gt;0,"다기관 기간 → 소속병원 지급",IF(AND(N($X190)&lt;=0,$AQ190=""),"파견 없음 → 그 달 근무병원 지급",IF($AH190+$AI190=DAY(EOMONTH(출력_요약!$B$3,0)),"서울 "&amp;$AH190&amp;"일 / 구리 "&amp;$AI190&amp;"일"&amp;IF($AQ190&lt;&gt;""," (구리 근무자명단 반영)","")&amp;" → 15일 이상 근무 병원 지급","타 병원 포함 → "&amp;IF($AJ190="","소속",INDEX(입력_파견수련계획!$T$4:$T$803,$AJ190))&amp;" 규칙"))))</f>
        <v/>
      </c>
      <c r="AP190" s="10">
        <f>IF($B190="","",$C190&amp;"|"&amp;$F190)</f>
        <v/>
      </c>
      <c r="AQ190" s="10">
        <f>IF($B190="","",IFERROR(MATCH(ROW()-1,출력_구리근무자!$K$6:$K$305,0),""))</f>
        <v/>
      </c>
      <c r="AR190" s="10">
        <f>IF($AQ190="","",INDEX(출력_구리근무자!$H$6:$H$305,$AQ190))</f>
        <v/>
      </c>
    </row>
    <row r="191">
      <c r="A191" s="10">
        <f>IF(B191="","",ROW()-1)</f>
        <v/>
      </c>
      <c r="B191" s="19" t="n"/>
      <c r="C191" s="10">
        <f>IF($AB191="","",IF(INDEX(입력_기본자료!$C$2:$C$1001,$AB191)="","",INDEX(입력_기본자료!$C$2:$C$1001,$AB191)))</f>
        <v/>
      </c>
      <c r="D191" s="10">
        <f>IF($AB191="","",IF(INDEX(입력_기본자료!$J$2:$J$1001,$AB191)="","",INDEX(입력_기본자료!$J$2:$J$1001,$AB191)))</f>
        <v/>
      </c>
      <c r="E191" s="11">
        <f>IF($AB191="","",IF(INDEX(입력_기본자료!$K$2:$K$1001,$AB191)="","",IF(NOT(ISNUMBER(INDEX(입력_기본자료!$K$2:$K$1001,$AB191))),INDEX(입력_기본자료!$K$2:$K$1001,$AB191),IF(INDEX(입력_기본자료!$K$2:$K$1001,$AB191)&lt;1000000,INDEX(입력_기본자료!$K$2:$K$1001,$AB191),IF(AND(INDEX(입력_기본자료!$K$2:$K$1001,$AB191)&gt;=10000101,INT(MOD(INDEX(입력_기본자료!$K$2:$K$1001,$AB191),10000)/100)&gt;=1,INT(MOD(INDEX(입력_기본자료!$K$2:$K$1001,$AB191),10000)/100)&lt;=12,MOD(INDEX(입력_기본자료!$K$2:$K$1001,$AB191),100)&gt;=1,MOD(INDEX(입력_기본자료!$K$2:$K$1001,$AB191),100)&lt;=31),DATE(INT(INDEX(입력_기본자료!$K$2:$K$1001,$AB191)/10000),INT(MOD(INDEX(입력_기본자료!$K$2:$K$1001,$AB191),10000)/100),MOD(INDEX(입력_기본자료!$K$2:$K$1001,$AB191),100)),INDEX(입력_기본자료!$K$2:$K$1001,$AB191)&amp;"")))))</f>
        <v/>
      </c>
      <c r="F191" s="10">
        <f>IF($AB191="","",IF(INDEX(입력_기본자료!$D$2:$D$1001,$AB191)="","",INDEX(입력_기본자료!$D$2:$D$1001,$AB191)))</f>
        <v/>
      </c>
      <c r="G191" s="10">
        <f>IF($AB191="","",IF(INDEX(입력_기본자료!$E$2:$E$1001,$AB191)="","",INDEX(입력_기본자료!$E$2:$E$1001,$AB191)))</f>
        <v/>
      </c>
      <c r="H191" s="10">
        <f>IF($AB191="","",IF(INDEX(입력_기본자료!$F$2:$F$1001,$AB191)="","",INDEX(입력_기본자료!$F$2:$F$1001,$AB191)))</f>
        <v/>
      </c>
      <c r="I191" s="11">
        <f>IF($AB191="","",IF(INDEX(입력_기본자료!$G$2:$G$1001,$AB191)="","",IF(NOT(ISNUMBER(INDEX(입력_기본자료!$G$2:$G$1001,$AB191))),INDEX(입력_기본자료!$G$2:$G$1001,$AB191),IF(INDEX(입력_기본자료!$G$2:$G$1001,$AB191)&lt;1000000,INDEX(입력_기본자료!$G$2:$G$1001,$AB191),IF(AND(INDEX(입력_기본자료!$G$2:$G$1001,$AB191)&gt;=10000101,INT(MOD(INDEX(입력_기본자료!$G$2:$G$1001,$AB191),10000)/100)&gt;=1,INT(MOD(INDEX(입력_기본자료!$G$2:$G$1001,$AB191),10000)/100)&lt;=12,MOD(INDEX(입력_기본자료!$G$2:$G$1001,$AB191),100)&gt;=1,MOD(INDEX(입력_기본자료!$G$2:$G$1001,$AB191),100)&lt;=31),DATE(INT(INDEX(입력_기본자료!$G$2:$G$1001,$AB191)/10000),INT(MOD(INDEX(입력_기본자료!$G$2:$G$1001,$AB191),10000)/100),MOD(INDEX(입력_기본자료!$G$2:$G$1001,$AB191),100)),INDEX(입력_기본자료!$G$2:$G$1001,$AB191)&amp;"")))))</f>
        <v/>
      </c>
      <c r="J191" s="10">
        <f>IF($AB191="","",IF(INDEX(입력_기본자료!$H$2:$H$1001,$AB191)="","",INDEX(입력_기본자료!$H$2:$H$1001,$AB191)))</f>
        <v/>
      </c>
      <c r="K191" s="10">
        <f>IF($AB191="","",IF(INDEX(입력_기본자료!$I$2:$I$1001,$AB191)="","",INDEX(입력_기본자료!$I$2:$I$1001,$AB191)))</f>
        <v/>
      </c>
      <c r="L191" s="10">
        <f>IF($AB191="","",IF(INDEX(입력_기본자료!$A$2:$A$1001,$AB191)="","",INDEX(입력_기본자료!$A$2:$A$1001,$AB191)))</f>
        <v/>
      </c>
      <c r="M191" s="15" t="n"/>
      <c r="N191" s="10">
        <f>IF($B191="","",IF(AND($U191="파견중",$Q191&lt;&gt;""),$Q191,IF(AND($AD191&lt;&gt;"",LEFT($AD191,1)&lt;&gt;"⚠"),LEFT($AD191,FIND(" ",$AD191)-1),IF($H191="","",IF(RIGHT($H191,2)="병원",$H191,$H191&amp;"병원")))))</f>
        <v/>
      </c>
      <c r="O191" s="10">
        <f>IF($B191="","",IF(AND($U191="파견중",$Q191&lt;&gt;""),IF($R191&lt;&gt;"",$R191,"파견과 미입력"),IF(AND($AD191&lt;&gt;"",LEFT($AD191,1)&lt;&gt;"⚠"),MID($AD191,FIND(" ",$AD191)+1,60),IF($F191="","",IF($F191="인턴","수련교육부(인턴)",$F191)))))</f>
        <v/>
      </c>
      <c r="P191" s="10">
        <f>IF($B191="","",IF($AK191&lt;&gt;"",IF(AND(TODAY()&gt;=INDEX(입력_파견수련계획!$AB$4:$AB$803,$AK191),OR(NOT(ISNUMBER(INDEX(입력_파견수련계획!$AC$4:$AC$803,$AK191))),TODAY()&lt;=INDEX(입력_파견수련계획!$AC$4:$AC$803,$AK191))),"다기관",IF($AF191="","",INDEX(입력_파견수련계획!$T$4:$T$803,$AF191))),IF($AF191="","",INDEX(입력_파견수련계획!$T$4:$T$803,$AF191))))</f>
        <v/>
      </c>
      <c r="Q191" s="10">
        <f>IF($AF191="","",INDEX(입력_파견수련계획!$S$4:$S$803,$AF191))</f>
        <v/>
      </c>
      <c r="R191" s="10">
        <f>IF($AF191="","",INDEX(입력_파견수련계획!$U$4:$U$803,$AF191))</f>
        <v/>
      </c>
      <c r="S191" s="11">
        <f>IF($AF191="","",IF(INDEX(입력_파견수련계획!$H$4:$H$803,$AF191)="","",INDEX(입력_파견수련계획!$H$4:$H$803,$AF191)))</f>
        <v/>
      </c>
      <c r="T191" s="11">
        <f>IF($AF191="","",IF(INDEX(입력_파견수련계획!$I$4:$I$803,$AF191)="","",INDEX(입력_파견수련계획!$I$4:$I$803,$AF191)))</f>
        <v/>
      </c>
      <c r="U191" s="10">
        <f>IF($AF191="","",INDEX(입력_파견수련계획!$X$4:$X$803,$AF191))</f>
        <v/>
      </c>
      <c r="V191" s="17">
        <f>IF($AF191="","",INDEX(입력_파견수련계획!$V$4:$V$803,$AF191))</f>
        <v/>
      </c>
      <c r="W191" s="17">
        <f>IF(AND($U191="파견중",$T191&lt;&gt;""),$T191-TODAY(),"")</f>
        <v/>
      </c>
      <c r="X191" s="17">
        <f>IF(OR($B191="",TRIM($J191&amp;"")=""),"",SUMPRODUCT((입력_파견수련계획!$Q$4:$Q$803=TRIM($J191&amp;""))*입력_파견수련계획!$W$4:$W$803))</f>
        <v/>
      </c>
      <c r="Y191" s="10">
        <f>IF($B191="","",IF($AG191="","",IF(IF(TRIM($J191&amp;"")="",0,SUMPRODUCT((입력_파견수련계획!$Q$4:$Q$803=TRIM($J191&amp;""))*입력_파견수련계획!$AD$4:$AD$803))&gt;0,$AE191,IF(AND(N($X191)&lt;=0,$AQ191=""),$AG191,IF($AH191+$AI191=DAY(EOMONTH(출력_요약!$B$3,0)),IF(AND($AH191&gt;=출력_요약!$E$3,$AI191&lt;출력_요약!$E$3),"서울병원",IF(AND($AI191&gt;=출력_요약!$E$3,$AH191&lt;출력_요약!$E$3),"구리병원","⚠15일 판정불가(서울 "&amp;$AH191&amp;"일/구리 "&amp;$AI191&amp;"일)")),IF($AJ191="",$AE191,IF(INDEX(입력_파견수련계획!$T$4:$T$803,$AJ191)="통합수련",INDEX(입력_파견수련계획!$S$4:$S$803,$AJ191),$AE191)))))))</f>
        <v/>
      </c>
      <c r="Z191" s="20">
        <f>IF($B191="","",IF($AB191="","기본자료에 없는 사번",IF(COUNTIF($B$2:$B$401,$B191)&gt;1,"중복 사번",IF($AE191="","소속(입사장소) 입력",IF(IF(TRIM($J191&amp;"")="",0,SUMPRODUCT((입력_파견수련계획!$Q$4:$Q$803=TRIM($J191&amp;""))*(입력_파견수련계획!$AA$4:$AA$803&lt;&gt;"")))&gt;0,"파견수련계획 입력오류 확인",IF(LEFT($Y191,1)="⚠","서울·구리 15일 판정 불가(양쪽 모두 이상/미만)",IF(IF($AC191="",0,N(INDEX(입력_인턴근무계획!$T$3:$T$402,$AC191)))&gt;0,"인턴계획 입력오류 확인",IF(AND($AQ191&lt;&gt;"",$AG191&lt;&gt;"구리병원",IF(TRIM($J191&amp;"")="",0,SUMPRODUCT((입력_파견수련계획!$Q$4:$Q$803=TRIM($J191&amp;""))*(입력_파견수련계획!$S$4:$S$803="구리병원")*입력_파견수련계획!$W$4:$W$803))=0),"구리 근무자명단에만 있음(파견수련계획 확인)",IF(AND($AC191&lt;&gt;"",$U191&lt;&gt;"파견중",$N191&lt;&gt;$AE191),"인턴 타지역 근무: 파견 여부 확인","정상")))))))))</f>
        <v/>
      </c>
      <c r="AA191" s="5" t="n"/>
      <c r="AB191" s="10">
        <f>IF($B191="","",IFERROR(MATCH($B191,입력_기본자료!$B$2:$B$1001,0),IFERROR(MATCH($B191&amp;"",입력_기본자료!$B$2:$B$1001,0),IFERROR(MATCH(VALUE($B191),입력_기본자료!$B$2:$B$1001,0),""))))</f>
        <v/>
      </c>
      <c r="AC191" s="10">
        <f>IF($B191="","",IFERROR(MATCH($B191,입력_인턴근무계획!$D$3:$D$402,0),IFERROR(MATCH($B191&amp;"",입력_인턴근무계획!$D$3:$D$402,0),IFERROR(MATCH(VALUE($B191),입력_인턴근무계획!$D$3:$D$402,0),""))))</f>
        <v/>
      </c>
      <c r="AD191" s="10">
        <f>IF(OR($AC191="",출력_인턴현황!$G$3=""),"",INDEX(입력_인턴근무계획!$M$3:$R$402,$AC191,출력_인턴현황!$G$3)&amp;"")</f>
        <v/>
      </c>
      <c r="AE191" s="10">
        <f>IF($B191="","",IF($M191&lt;&gt;"",$M191,IF(IF($AQ191="",FALSE,INDEX(출력_구리근무자!$J$6:$J$305,$AQ191)="구리독자"),"구리병원",IF($AF191&lt;&gt;"",IF(LEFT(INDEX(입력_파견수련계획!$R$4:$R$803,$AF191),1)&lt;&gt;"⚠",INDEX(입력_파견수련계획!$R$4:$R$803,$AF191),IF($H191="","",IF(RIGHT($H191,2)="병원",$H191,$H191&amp;"병원"))),IF($H191="","",IF(RIGHT($H191,2)="병원",$H191,$H191&amp;"병원"))))))</f>
        <v/>
      </c>
      <c r="AF191" s="10">
        <f>IF(OR($B191="",TRIM($J191&amp;"")=""),"",IFERROR(MATCH(TRIM($J191&amp;"")&amp;"|파견중",입력_파견수련계획!$Y$4:$Y$803,0),IFERROR(MATCH(TRIM($J191&amp;"")&amp;"|파견예정",입력_파견수련계획!$Y$4:$Y$803,0),IFERROR(MATCH(TRIM($J191&amp;"")&amp;"|파견종료",입력_파견수련계획!$Y$4:$Y$803,0),""))))</f>
        <v/>
      </c>
      <c r="AG191" s="10">
        <f>IF($B191="","",IF(AND(IF(OR($AC191="",출력_인턴현황!$K$2=""),"",INDEX(입력_인턴근무계획!$M$3:$R$402,$AC191,출력_인턴현황!$K$2)&amp;"")&lt;&gt;"",LEFT(IF(OR($AC191="",출력_인턴현황!$K$2=""),"",INDEX(입력_인턴근무계획!$M$3:$R$402,$AC191,출력_인턴현황!$K$2)&amp;""),1)&lt;&gt;"⚠"),LEFT(IF(OR($AC191="",출력_인턴현황!$K$2=""),"",INDEX(입력_인턴근무계획!$M$3:$R$402,$AC191,출력_인턴현황!$K$2)&amp;""),FIND(" ",IF(OR($AC191="",출력_인턴현황!$K$2=""),"",INDEX(입력_인턴근무계획!$M$3:$R$402,$AC191,출력_인턴현황!$K$2)&amp;""))-1),$AE191))</f>
        <v/>
      </c>
      <c r="AH191" s="17">
        <f>IF($B191="","",IF($AQ191&lt;&gt;"",MAX(0,DAY(EOMONTH(출력_요약!$B$3,0))-N($AR191)),IF(TRIM($J191&amp;"")="",0,SUMPRODUCT((입력_파견수련계획!$Q$4:$Q$803=TRIM($J191&amp;""))*(입력_파견수련계획!$S$4:$S$803="서울병원")*입력_파견수련계획!$W$4:$W$803))+IF($AG191="서울병원",MAX(0,DAY(EOMONTH(출력_요약!$B$3,0))-N($X191)),0)))</f>
        <v/>
      </c>
      <c r="AI191" s="17">
        <f>IF($B191="","",IF($AQ191&lt;&gt;"",N($AR191),IF(TRIM($J191&amp;"")="",0,SUMPRODUCT((입력_파견수련계획!$Q$4:$Q$803=TRIM($J191&amp;""))*(입력_파견수련계획!$S$4:$S$803="구리병원")*입력_파견수련계획!$W$4:$W$803))+IF($AG191="구리병원",MAX(0,DAY(EOMONTH(출력_요약!$B$3,0))-N($X191)),0)))</f>
        <v/>
      </c>
      <c r="AJ191" s="10">
        <f>IF(OR($B191="",TRIM($J191&amp;"")=""),"",IFERROR(MATCH(TRIM($J191&amp;"")&amp;"|월",입력_파견수련계획!$Z$4:$Z$803,0),""))</f>
        <v/>
      </c>
      <c r="AK191" s="10">
        <f>IF(OR($B191="",TRIM($J191&amp;"")=""),"",IFERROR(MATCH(TRIM($J191&amp;"")&amp;"|다기관",입력_파견수련계획!$AE$4:$AE$803,0),""))</f>
        <v/>
      </c>
      <c r="AL191" s="10">
        <f>IF($AK191="","","다기관 "&amp;TEXT(INDEX(입력_파견수련계획!$AB$4:$AB$803,$AK191),"yyyy-mm-dd")&amp;"~"&amp;IF(ISNUMBER(INDEX(입력_파견수련계획!$AC$4:$AC$803,$AK191)),TEXT(INDEX(입력_파견수련계획!$AC$4:$AC$803,$AK191),"yyyy-mm-dd"),""))</f>
        <v/>
      </c>
      <c r="AM191" s="10">
        <f>IF($Y191="서울병원",COUNTIF($Y$2:$Y191,"서울병원"),"")</f>
        <v/>
      </c>
      <c r="AN191" s="10">
        <f>IF(LEFT($Y191,1)="⚠",COUNTIF($Y$2:$Y191,"⚠*"),"")</f>
        <v/>
      </c>
      <c r="AO191" s="10">
        <f>IF(OR($B191="",$Y191=""),"",IF(IF(TRIM($J191&amp;"")="",0,SUMPRODUCT((입력_파견수련계획!$Q$4:$Q$803=TRIM($J191&amp;""))*입력_파견수련계획!$AD$4:$AD$803))&gt;0,"다기관 기간 → 소속병원 지급",IF(AND(N($X191)&lt;=0,$AQ191=""),"파견 없음 → 그 달 근무병원 지급",IF($AH191+$AI191=DAY(EOMONTH(출력_요약!$B$3,0)),"서울 "&amp;$AH191&amp;"일 / 구리 "&amp;$AI191&amp;"일"&amp;IF($AQ191&lt;&gt;""," (구리 근무자명단 반영)","")&amp;" → 15일 이상 근무 병원 지급","타 병원 포함 → "&amp;IF($AJ191="","소속",INDEX(입력_파견수련계획!$T$4:$T$803,$AJ191))&amp;" 규칙"))))</f>
        <v/>
      </c>
      <c r="AP191" s="10">
        <f>IF($B191="","",$C191&amp;"|"&amp;$F191)</f>
        <v/>
      </c>
      <c r="AQ191" s="10">
        <f>IF($B191="","",IFERROR(MATCH(ROW()-1,출력_구리근무자!$K$6:$K$305,0),""))</f>
        <v/>
      </c>
      <c r="AR191" s="10">
        <f>IF($AQ191="","",INDEX(출력_구리근무자!$H$6:$H$305,$AQ191))</f>
        <v/>
      </c>
    </row>
    <row r="192">
      <c r="A192" s="10">
        <f>IF(B192="","",ROW()-1)</f>
        <v/>
      </c>
      <c r="B192" s="19" t="n"/>
      <c r="C192" s="10">
        <f>IF($AB192="","",IF(INDEX(입력_기본자료!$C$2:$C$1001,$AB192)="","",INDEX(입력_기본자료!$C$2:$C$1001,$AB192)))</f>
        <v/>
      </c>
      <c r="D192" s="10">
        <f>IF($AB192="","",IF(INDEX(입력_기본자료!$J$2:$J$1001,$AB192)="","",INDEX(입력_기본자료!$J$2:$J$1001,$AB192)))</f>
        <v/>
      </c>
      <c r="E192" s="11">
        <f>IF($AB192="","",IF(INDEX(입력_기본자료!$K$2:$K$1001,$AB192)="","",IF(NOT(ISNUMBER(INDEX(입력_기본자료!$K$2:$K$1001,$AB192))),INDEX(입력_기본자료!$K$2:$K$1001,$AB192),IF(INDEX(입력_기본자료!$K$2:$K$1001,$AB192)&lt;1000000,INDEX(입력_기본자료!$K$2:$K$1001,$AB192),IF(AND(INDEX(입력_기본자료!$K$2:$K$1001,$AB192)&gt;=10000101,INT(MOD(INDEX(입력_기본자료!$K$2:$K$1001,$AB192),10000)/100)&gt;=1,INT(MOD(INDEX(입력_기본자료!$K$2:$K$1001,$AB192),10000)/100)&lt;=12,MOD(INDEX(입력_기본자료!$K$2:$K$1001,$AB192),100)&gt;=1,MOD(INDEX(입력_기본자료!$K$2:$K$1001,$AB192),100)&lt;=31),DATE(INT(INDEX(입력_기본자료!$K$2:$K$1001,$AB192)/10000),INT(MOD(INDEX(입력_기본자료!$K$2:$K$1001,$AB192),10000)/100),MOD(INDEX(입력_기본자료!$K$2:$K$1001,$AB192),100)),INDEX(입력_기본자료!$K$2:$K$1001,$AB192)&amp;"")))))</f>
        <v/>
      </c>
      <c r="F192" s="10">
        <f>IF($AB192="","",IF(INDEX(입력_기본자료!$D$2:$D$1001,$AB192)="","",INDEX(입력_기본자료!$D$2:$D$1001,$AB192)))</f>
        <v/>
      </c>
      <c r="G192" s="10">
        <f>IF($AB192="","",IF(INDEX(입력_기본자료!$E$2:$E$1001,$AB192)="","",INDEX(입력_기본자료!$E$2:$E$1001,$AB192)))</f>
        <v/>
      </c>
      <c r="H192" s="10">
        <f>IF($AB192="","",IF(INDEX(입력_기본자료!$F$2:$F$1001,$AB192)="","",INDEX(입력_기본자료!$F$2:$F$1001,$AB192)))</f>
        <v/>
      </c>
      <c r="I192" s="11">
        <f>IF($AB192="","",IF(INDEX(입력_기본자료!$G$2:$G$1001,$AB192)="","",IF(NOT(ISNUMBER(INDEX(입력_기본자료!$G$2:$G$1001,$AB192))),INDEX(입력_기본자료!$G$2:$G$1001,$AB192),IF(INDEX(입력_기본자료!$G$2:$G$1001,$AB192)&lt;1000000,INDEX(입력_기본자료!$G$2:$G$1001,$AB192),IF(AND(INDEX(입력_기본자료!$G$2:$G$1001,$AB192)&gt;=10000101,INT(MOD(INDEX(입력_기본자료!$G$2:$G$1001,$AB192),10000)/100)&gt;=1,INT(MOD(INDEX(입력_기본자료!$G$2:$G$1001,$AB192),10000)/100)&lt;=12,MOD(INDEX(입력_기본자료!$G$2:$G$1001,$AB192),100)&gt;=1,MOD(INDEX(입력_기본자료!$G$2:$G$1001,$AB192),100)&lt;=31),DATE(INT(INDEX(입력_기본자료!$G$2:$G$1001,$AB192)/10000),INT(MOD(INDEX(입력_기본자료!$G$2:$G$1001,$AB192),10000)/100),MOD(INDEX(입력_기본자료!$G$2:$G$1001,$AB192),100)),INDEX(입력_기본자료!$G$2:$G$1001,$AB192)&amp;"")))))</f>
        <v/>
      </c>
      <c r="J192" s="10">
        <f>IF($AB192="","",IF(INDEX(입력_기본자료!$H$2:$H$1001,$AB192)="","",INDEX(입력_기본자료!$H$2:$H$1001,$AB192)))</f>
        <v/>
      </c>
      <c r="K192" s="10">
        <f>IF($AB192="","",IF(INDEX(입력_기본자료!$I$2:$I$1001,$AB192)="","",INDEX(입력_기본자료!$I$2:$I$1001,$AB192)))</f>
        <v/>
      </c>
      <c r="L192" s="10">
        <f>IF($AB192="","",IF(INDEX(입력_기본자료!$A$2:$A$1001,$AB192)="","",INDEX(입력_기본자료!$A$2:$A$1001,$AB192)))</f>
        <v/>
      </c>
      <c r="M192" s="15" t="n"/>
      <c r="N192" s="10">
        <f>IF($B192="","",IF(AND($U192="파견중",$Q192&lt;&gt;""),$Q192,IF(AND($AD192&lt;&gt;"",LEFT($AD192,1)&lt;&gt;"⚠"),LEFT($AD192,FIND(" ",$AD192)-1),IF($H192="","",IF(RIGHT($H192,2)="병원",$H192,$H192&amp;"병원")))))</f>
        <v/>
      </c>
      <c r="O192" s="10">
        <f>IF($B192="","",IF(AND($U192="파견중",$Q192&lt;&gt;""),IF($R192&lt;&gt;"",$R192,"파견과 미입력"),IF(AND($AD192&lt;&gt;"",LEFT($AD192,1)&lt;&gt;"⚠"),MID($AD192,FIND(" ",$AD192)+1,60),IF($F192="","",IF($F192="인턴","수련교육부(인턴)",$F192)))))</f>
        <v/>
      </c>
      <c r="P192" s="10">
        <f>IF($B192="","",IF($AK192&lt;&gt;"",IF(AND(TODAY()&gt;=INDEX(입력_파견수련계획!$AB$4:$AB$803,$AK192),OR(NOT(ISNUMBER(INDEX(입력_파견수련계획!$AC$4:$AC$803,$AK192))),TODAY()&lt;=INDEX(입력_파견수련계획!$AC$4:$AC$803,$AK192))),"다기관",IF($AF192="","",INDEX(입력_파견수련계획!$T$4:$T$803,$AF192))),IF($AF192="","",INDEX(입력_파견수련계획!$T$4:$T$803,$AF192))))</f>
        <v/>
      </c>
      <c r="Q192" s="10">
        <f>IF($AF192="","",INDEX(입력_파견수련계획!$S$4:$S$803,$AF192))</f>
        <v/>
      </c>
      <c r="R192" s="10">
        <f>IF($AF192="","",INDEX(입력_파견수련계획!$U$4:$U$803,$AF192))</f>
        <v/>
      </c>
      <c r="S192" s="11">
        <f>IF($AF192="","",IF(INDEX(입력_파견수련계획!$H$4:$H$803,$AF192)="","",INDEX(입력_파견수련계획!$H$4:$H$803,$AF192)))</f>
        <v/>
      </c>
      <c r="T192" s="11">
        <f>IF($AF192="","",IF(INDEX(입력_파견수련계획!$I$4:$I$803,$AF192)="","",INDEX(입력_파견수련계획!$I$4:$I$803,$AF192)))</f>
        <v/>
      </c>
      <c r="U192" s="10">
        <f>IF($AF192="","",INDEX(입력_파견수련계획!$X$4:$X$803,$AF192))</f>
        <v/>
      </c>
      <c r="V192" s="17">
        <f>IF($AF192="","",INDEX(입력_파견수련계획!$V$4:$V$803,$AF192))</f>
        <v/>
      </c>
      <c r="W192" s="17">
        <f>IF(AND($U192="파견중",$T192&lt;&gt;""),$T192-TODAY(),"")</f>
        <v/>
      </c>
      <c r="X192" s="17">
        <f>IF(OR($B192="",TRIM($J192&amp;"")=""),"",SUMPRODUCT((입력_파견수련계획!$Q$4:$Q$803=TRIM($J192&amp;""))*입력_파견수련계획!$W$4:$W$803))</f>
        <v/>
      </c>
      <c r="Y192" s="10">
        <f>IF($B192="","",IF($AG192="","",IF(IF(TRIM($J192&amp;"")="",0,SUMPRODUCT((입력_파견수련계획!$Q$4:$Q$803=TRIM($J192&amp;""))*입력_파견수련계획!$AD$4:$AD$803))&gt;0,$AE192,IF(AND(N($X192)&lt;=0,$AQ192=""),$AG192,IF($AH192+$AI192=DAY(EOMONTH(출력_요약!$B$3,0)),IF(AND($AH192&gt;=출력_요약!$E$3,$AI192&lt;출력_요약!$E$3),"서울병원",IF(AND($AI192&gt;=출력_요약!$E$3,$AH192&lt;출력_요약!$E$3),"구리병원","⚠15일 판정불가(서울 "&amp;$AH192&amp;"일/구리 "&amp;$AI192&amp;"일)")),IF($AJ192="",$AE192,IF(INDEX(입력_파견수련계획!$T$4:$T$803,$AJ192)="통합수련",INDEX(입력_파견수련계획!$S$4:$S$803,$AJ192),$AE192)))))))</f>
        <v/>
      </c>
      <c r="Z192" s="20">
        <f>IF($B192="","",IF($AB192="","기본자료에 없는 사번",IF(COUNTIF($B$2:$B$401,$B192)&gt;1,"중복 사번",IF($AE192="","소속(입사장소) 입력",IF(IF(TRIM($J192&amp;"")="",0,SUMPRODUCT((입력_파견수련계획!$Q$4:$Q$803=TRIM($J192&amp;""))*(입력_파견수련계획!$AA$4:$AA$803&lt;&gt;"")))&gt;0,"파견수련계획 입력오류 확인",IF(LEFT($Y192,1)="⚠","서울·구리 15일 판정 불가(양쪽 모두 이상/미만)",IF(IF($AC192="",0,N(INDEX(입력_인턴근무계획!$T$3:$T$402,$AC192)))&gt;0,"인턴계획 입력오류 확인",IF(AND($AQ192&lt;&gt;"",$AG192&lt;&gt;"구리병원",IF(TRIM($J192&amp;"")="",0,SUMPRODUCT((입력_파견수련계획!$Q$4:$Q$803=TRIM($J192&amp;""))*(입력_파견수련계획!$S$4:$S$803="구리병원")*입력_파견수련계획!$W$4:$W$803))=0),"구리 근무자명단에만 있음(파견수련계획 확인)",IF(AND($AC192&lt;&gt;"",$U192&lt;&gt;"파견중",$N192&lt;&gt;$AE192),"인턴 타지역 근무: 파견 여부 확인","정상")))))))))</f>
        <v/>
      </c>
      <c r="AA192" s="5" t="n"/>
      <c r="AB192" s="10">
        <f>IF($B192="","",IFERROR(MATCH($B192,입력_기본자료!$B$2:$B$1001,0),IFERROR(MATCH($B192&amp;"",입력_기본자료!$B$2:$B$1001,0),IFERROR(MATCH(VALUE($B192),입력_기본자료!$B$2:$B$1001,0),""))))</f>
        <v/>
      </c>
      <c r="AC192" s="10">
        <f>IF($B192="","",IFERROR(MATCH($B192,입력_인턴근무계획!$D$3:$D$402,0),IFERROR(MATCH($B192&amp;"",입력_인턴근무계획!$D$3:$D$402,0),IFERROR(MATCH(VALUE($B192),입력_인턴근무계획!$D$3:$D$402,0),""))))</f>
        <v/>
      </c>
      <c r="AD192" s="10">
        <f>IF(OR($AC192="",출력_인턴현황!$G$3=""),"",INDEX(입력_인턴근무계획!$M$3:$R$402,$AC192,출력_인턴현황!$G$3)&amp;"")</f>
        <v/>
      </c>
      <c r="AE192" s="10">
        <f>IF($B192="","",IF($M192&lt;&gt;"",$M192,IF(IF($AQ192="",FALSE,INDEX(출력_구리근무자!$J$6:$J$305,$AQ192)="구리독자"),"구리병원",IF($AF192&lt;&gt;"",IF(LEFT(INDEX(입력_파견수련계획!$R$4:$R$803,$AF192),1)&lt;&gt;"⚠",INDEX(입력_파견수련계획!$R$4:$R$803,$AF192),IF($H192="","",IF(RIGHT($H192,2)="병원",$H192,$H192&amp;"병원"))),IF($H192="","",IF(RIGHT($H192,2)="병원",$H192,$H192&amp;"병원"))))))</f>
        <v/>
      </c>
      <c r="AF192" s="10">
        <f>IF(OR($B192="",TRIM($J192&amp;"")=""),"",IFERROR(MATCH(TRIM($J192&amp;"")&amp;"|파견중",입력_파견수련계획!$Y$4:$Y$803,0),IFERROR(MATCH(TRIM($J192&amp;"")&amp;"|파견예정",입력_파견수련계획!$Y$4:$Y$803,0),IFERROR(MATCH(TRIM($J192&amp;"")&amp;"|파견종료",입력_파견수련계획!$Y$4:$Y$803,0),""))))</f>
        <v/>
      </c>
      <c r="AG192" s="10">
        <f>IF($B192="","",IF(AND(IF(OR($AC192="",출력_인턴현황!$K$2=""),"",INDEX(입력_인턴근무계획!$M$3:$R$402,$AC192,출력_인턴현황!$K$2)&amp;"")&lt;&gt;"",LEFT(IF(OR($AC192="",출력_인턴현황!$K$2=""),"",INDEX(입력_인턴근무계획!$M$3:$R$402,$AC192,출력_인턴현황!$K$2)&amp;""),1)&lt;&gt;"⚠"),LEFT(IF(OR($AC192="",출력_인턴현황!$K$2=""),"",INDEX(입력_인턴근무계획!$M$3:$R$402,$AC192,출력_인턴현황!$K$2)&amp;""),FIND(" ",IF(OR($AC192="",출력_인턴현황!$K$2=""),"",INDEX(입력_인턴근무계획!$M$3:$R$402,$AC192,출력_인턴현황!$K$2)&amp;""))-1),$AE192))</f>
        <v/>
      </c>
      <c r="AH192" s="17">
        <f>IF($B192="","",IF($AQ192&lt;&gt;"",MAX(0,DAY(EOMONTH(출력_요약!$B$3,0))-N($AR192)),IF(TRIM($J192&amp;"")="",0,SUMPRODUCT((입력_파견수련계획!$Q$4:$Q$803=TRIM($J192&amp;""))*(입력_파견수련계획!$S$4:$S$803="서울병원")*입력_파견수련계획!$W$4:$W$803))+IF($AG192="서울병원",MAX(0,DAY(EOMONTH(출력_요약!$B$3,0))-N($X192)),0)))</f>
        <v/>
      </c>
      <c r="AI192" s="17">
        <f>IF($B192="","",IF($AQ192&lt;&gt;"",N($AR192),IF(TRIM($J192&amp;"")="",0,SUMPRODUCT((입력_파견수련계획!$Q$4:$Q$803=TRIM($J192&amp;""))*(입력_파견수련계획!$S$4:$S$803="구리병원")*입력_파견수련계획!$W$4:$W$803))+IF($AG192="구리병원",MAX(0,DAY(EOMONTH(출력_요약!$B$3,0))-N($X192)),0)))</f>
        <v/>
      </c>
      <c r="AJ192" s="10">
        <f>IF(OR($B192="",TRIM($J192&amp;"")=""),"",IFERROR(MATCH(TRIM($J192&amp;"")&amp;"|월",입력_파견수련계획!$Z$4:$Z$803,0),""))</f>
        <v/>
      </c>
      <c r="AK192" s="10">
        <f>IF(OR($B192="",TRIM($J192&amp;"")=""),"",IFERROR(MATCH(TRIM($J192&amp;"")&amp;"|다기관",입력_파견수련계획!$AE$4:$AE$803,0),""))</f>
        <v/>
      </c>
      <c r="AL192" s="10">
        <f>IF($AK192="","","다기관 "&amp;TEXT(INDEX(입력_파견수련계획!$AB$4:$AB$803,$AK192),"yyyy-mm-dd")&amp;"~"&amp;IF(ISNUMBER(INDEX(입력_파견수련계획!$AC$4:$AC$803,$AK192)),TEXT(INDEX(입력_파견수련계획!$AC$4:$AC$803,$AK192),"yyyy-mm-dd"),""))</f>
        <v/>
      </c>
      <c r="AM192" s="10">
        <f>IF($Y192="서울병원",COUNTIF($Y$2:$Y192,"서울병원"),"")</f>
        <v/>
      </c>
      <c r="AN192" s="10">
        <f>IF(LEFT($Y192,1)="⚠",COUNTIF($Y$2:$Y192,"⚠*"),"")</f>
        <v/>
      </c>
      <c r="AO192" s="10">
        <f>IF(OR($B192="",$Y192=""),"",IF(IF(TRIM($J192&amp;"")="",0,SUMPRODUCT((입력_파견수련계획!$Q$4:$Q$803=TRIM($J192&amp;""))*입력_파견수련계획!$AD$4:$AD$803))&gt;0,"다기관 기간 → 소속병원 지급",IF(AND(N($X192)&lt;=0,$AQ192=""),"파견 없음 → 그 달 근무병원 지급",IF($AH192+$AI192=DAY(EOMONTH(출력_요약!$B$3,0)),"서울 "&amp;$AH192&amp;"일 / 구리 "&amp;$AI192&amp;"일"&amp;IF($AQ192&lt;&gt;""," (구리 근무자명단 반영)","")&amp;" → 15일 이상 근무 병원 지급","타 병원 포함 → "&amp;IF($AJ192="","소속",INDEX(입력_파견수련계획!$T$4:$T$803,$AJ192))&amp;" 규칙"))))</f>
        <v/>
      </c>
      <c r="AP192" s="10">
        <f>IF($B192="","",$C192&amp;"|"&amp;$F192)</f>
        <v/>
      </c>
      <c r="AQ192" s="10">
        <f>IF($B192="","",IFERROR(MATCH(ROW()-1,출력_구리근무자!$K$6:$K$305,0),""))</f>
        <v/>
      </c>
      <c r="AR192" s="10">
        <f>IF($AQ192="","",INDEX(출력_구리근무자!$H$6:$H$305,$AQ192))</f>
        <v/>
      </c>
    </row>
    <row r="193">
      <c r="A193" s="10">
        <f>IF(B193="","",ROW()-1)</f>
        <v/>
      </c>
      <c r="B193" s="19" t="n"/>
      <c r="C193" s="10">
        <f>IF($AB193="","",IF(INDEX(입력_기본자료!$C$2:$C$1001,$AB193)="","",INDEX(입력_기본자료!$C$2:$C$1001,$AB193)))</f>
        <v/>
      </c>
      <c r="D193" s="10">
        <f>IF($AB193="","",IF(INDEX(입력_기본자료!$J$2:$J$1001,$AB193)="","",INDEX(입력_기본자료!$J$2:$J$1001,$AB193)))</f>
        <v/>
      </c>
      <c r="E193" s="11">
        <f>IF($AB193="","",IF(INDEX(입력_기본자료!$K$2:$K$1001,$AB193)="","",IF(NOT(ISNUMBER(INDEX(입력_기본자료!$K$2:$K$1001,$AB193))),INDEX(입력_기본자료!$K$2:$K$1001,$AB193),IF(INDEX(입력_기본자료!$K$2:$K$1001,$AB193)&lt;1000000,INDEX(입력_기본자료!$K$2:$K$1001,$AB193),IF(AND(INDEX(입력_기본자료!$K$2:$K$1001,$AB193)&gt;=10000101,INT(MOD(INDEX(입력_기본자료!$K$2:$K$1001,$AB193),10000)/100)&gt;=1,INT(MOD(INDEX(입력_기본자료!$K$2:$K$1001,$AB193),10000)/100)&lt;=12,MOD(INDEX(입력_기본자료!$K$2:$K$1001,$AB193),100)&gt;=1,MOD(INDEX(입력_기본자료!$K$2:$K$1001,$AB193),100)&lt;=31),DATE(INT(INDEX(입력_기본자료!$K$2:$K$1001,$AB193)/10000),INT(MOD(INDEX(입력_기본자료!$K$2:$K$1001,$AB193),10000)/100),MOD(INDEX(입력_기본자료!$K$2:$K$1001,$AB193),100)),INDEX(입력_기본자료!$K$2:$K$1001,$AB193)&amp;"")))))</f>
        <v/>
      </c>
      <c r="F193" s="10">
        <f>IF($AB193="","",IF(INDEX(입력_기본자료!$D$2:$D$1001,$AB193)="","",INDEX(입력_기본자료!$D$2:$D$1001,$AB193)))</f>
        <v/>
      </c>
      <c r="G193" s="10">
        <f>IF($AB193="","",IF(INDEX(입력_기본자료!$E$2:$E$1001,$AB193)="","",INDEX(입력_기본자료!$E$2:$E$1001,$AB193)))</f>
        <v/>
      </c>
      <c r="H193" s="10">
        <f>IF($AB193="","",IF(INDEX(입력_기본자료!$F$2:$F$1001,$AB193)="","",INDEX(입력_기본자료!$F$2:$F$1001,$AB193)))</f>
        <v/>
      </c>
      <c r="I193" s="11">
        <f>IF($AB193="","",IF(INDEX(입력_기본자료!$G$2:$G$1001,$AB193)="","",IF(NOT(ISNUMBER(INDEX(입력_기본자료!$G$2:$G$1001,$AB193))),INDEX(입력_기본자료!$G$2:$G$1001,$AB193),IF(INDEX(입력_기본자료!$G$2:$G$1001,$AB193)&lt;1000000,INDEX(입력_기본자료!$G$2:$G$1001,$AB193),IF(AND(INDEX(입력_기본자료!$G$2:$G$1001,$AB193)&gt;=10000101,INT(MOD(INDEX(입력_기본자료!$G$2:$G$1001,$AB193),10000)/100)&gt;=1,INT(MOD(INDEX(입력_기본자료!$G$2:$G$1001,$AB193),10000)/100)&lt;=12,MOD(INDEX(입력_기본자료!$G$2:$G$1001,$AB193),100)&gt;=1,MOD(INDEX(입력_기본자료!$G$2:$G$1001,$AB193),100)&lt;=31),DATE(INT(INDEX(입력_기본자료!$G$2:$G$1001,$AB193)/10000),INT(MOD(INDEX(입력_기본자료!$G$2:$G$1001,$AB193),10000)/100),MOD(INDEX(입력_기본자료!$G$2:$G$1001,$AB193),100)),INDEX(입력_기본자료!$G$2:$G$1001,$AB193)&amp;"")))))</f>
        <v/>
      </c>
      <c r="J193" s="10">
        <f>IF($AB193="","",IF(INDEX(입력_기본자료!$H$2:$H$1001,$AB193)="","",INDEX(입력_기본자료!$H$2:$H$1001,$AB193)))</f>
        <v/>
      </c>
      <c r="K193" s="10">
        <f>IF($AB193="","",IF(INDEX(입력_기본자료!$I$2:$I$1001,$AB193)="","",INDEX(입력_기본자료!$I$2:$I$1001,$AB193)))</f>
        <v/>
      </c>
      <c r="L193" s="10">
        <f>IF($AB193="","",IF(INDEX(입력_기본자료!$A$2:$A$1001,$AB193)="","",INDEX(입력_기본자료!$A$2:$A$1001,$AB193)))</f>
        <v/>
      </c>
      <c r="M193" s="15" t="n"/>
      <c r="N193" s="10">
        <f>IF($B193="","",IF(AND($U193="파견중",$Q193&lt;&gt;""),$Q193,IF(AND($AD193&lt;&gt;"",LEFT($AD193,1)&lt;&gt;"⚠"),LEFT($AD193,FIND(" ",$AD193)-1),IF($H193="","",IF(RIGHT($H193,2)="병원",$H193,$H193&amp;"병원")))))</f>
        <v/>
      </c>
      <c r="O193" s="10">
        <f>IF($B193="","",IF(AND($U193="파견중",$Q193&lt;&gt;""),IF($R193&lt;&gt;"",$R193,"파견과 미입력"),IF(AND($AD193&lt;&gt;"",LEFT($AD193,1)&lt;&gt;"⚠"),MID($AD193,FIND(" ",$AD193)+1,60),IF($F193="","",IF($F193="인턴","수련교육부(인턴)",$F193)))))</f>
        <v/>
      </c>
      <c r="P193" s="10">
        <f>IF($B193="","",IF($AK193&lt;&gt;"",IF(AND(TODAY()&gt;=INDEX(입력_파견수련계획!$AB$4:$AB$803,$AK193),OR(NOT(ISNUMBER(INDEX(입력_파견수련계획!$AC$4:$AC$803,$AK193))),TODAY()&lt;=INDEX(입력_파견수련계획!$AC$4:$AC$803,$AK193))),"다기관",IF($AF193="","",INDEX(입력_파견수련계획!$T$4:$T$803,$AF193))),IF($AF193="","",INDEX(입력_파견수련계획!$T$4:$T$803,$AF193))))</f>
        <v/>
      </c>
      <c r="Q193" s="10">
        <f>IF($AF193="","",INDEX(입력_파견수련계획!$S$4:$S$803,$AF193))</f>
        <v/>
      </c>
      <c r="R193" s="10">
        <f>IF($AF193="","",INDEX(입력_파견수련계획!$U$4:$U$803,$AF193))</f>
        <v/>
      </c>
      <c r="S193" s="11">
        <f>IF($AF193="","",IF(INDEX(입력_파견수련계획!$H$4:$H$803,$AF193)="","",INDEX(입력_파견수련계획!$H$4:$H$803,$AF193)))</f>
        <v/>
      </c>
      <c r="T193" s="11">
        <f>IF($AF193="","",IF(INDEX(입력_파견수련계획!$I$4:$I$803,$AF193)="","",INDEX(입력_파견수련계획!$I$4:$I$803,$AF193)))</f>
        <v/>
      </c>
      <c r="U193" s="10">
        <f>IF($AF193="","",INDEX(입력_파견수련계획!$X$4:$X$803,$AF193))</f>
        <v/>
      </c>
      <c r="V193" s="17">
        <f>IF($AF193="","",INDEX(입력_파견수련계획!$V$4:$V$803,$AF193))</f>
        <v/>
      </c>
      <c r="W193" s="17">
        <f>IF(AND($U193="파견중",$T193&lt;&gt;""),$T193-TODAY(),"")</f>
        <v/>
      </c>
      <c r="X193" s="17">
        <f>IF(OR($B193="",TRIM($J193&amp;"")=""),"",SUMPRODUCT((입력_파견수련계획!$Q$4:$Q$803=TRIM($J193&amp;""))*입력_파견수련계획!$W$4:$W$803))</f>
        <v/>
      </c>
      <c r="Y193" s="10">
        <f>IF($B193="","",IF($AG193="","",IF(IF(TRIM($J193&amp;"")="",0,SUMPRODUCT((입력_파견수련계획!$Q$4:$Q$803=TRIM($J193&amp;""))*입력_파견수련계획!$AD$4:$AD$803))&gt;0,$AE193,IF(AND(N($X193)&lt;=0,$AQ193=""),$AG193,IF($AH193+$AI193=DAY(EOMONTH(출력_요약!$B$3,0)),IF(AND($AH193&gt;=출력_요약!$E$3,$AI193&lt;출력_요약!$E$3),"서울병원",IF(AND($AI193&gt;=출력_요약!$E$3,$AH193&lt;출력_요약!$E$3),"구리병원","⚠15일 판정불가(서울 "&amp;$AH193&amp;"일/구리 "&amp;$AI193&amp;"일)")),IF($AJ193="",$AE193,IF(INDEX(입력_파견수련계획!$T$4:$T$803,$AJ193)="통합수련",INDEX(입력_파견수련계획!$S$4:$S$803,$AJ193),$AE193)))))))</f>
        <v/>
      </c>
      <c r="Z193" s="20">
        <f>IF($B193="","",IF($AB193="","기본자료에 없는 사번",IF(COUNTIF($B$2:$B$401,$B193)&gt;1,"중복 사번",IF($AE193="","소속(입사장소) 입력",IF(IF(TRIM($J193&amp;"")="",0,SUMPRODUCT((입력_파견수련계획!$Q$4:$Q$803=TRIM($J193&amp;""))*(입력_파견수련계획!$AA$4:$AA$803&lt;&gt;"")))&gt;0,"파견수련계획 입력오류 확인",IF(LEFT($Y193,1)="⚠","서울·구리 15일 판정 불가(양쪽 모두 이상/미만)",IF(IF($AC193="",0,N(INDEX(입력_인턴근무계획!$T$3:$T$402,$AC193)))&gt;0,"인턴계획 입력오류 확인",IF(AND($AQ193&lt;&gt;"",$AG193&lt;&gt;"구리병원",IF(TRIM($J193&amp;"")="",0,SUMPRODUCT((입력_파견수련계획!$Q$4:$Q$803=TRIM($J193&amp;""))*(입력_파견수련계획!$S$4:$S$803="구리병원")*입력_파견수련계획!$W$4:$W$803))=0),"구리 근무자명단에만 있음(파견수련계획 확인)",IF(AND($AC193&lt;&gt;"",$U193&lt;&gt;"파견중",$N193&lt;&gt;$AE193),"인턴 타지역 근무: 파견 여부 확인","정상")))))))))</f>
        <v/>
      </c>
      <c r="AA193" s="5" t="n"/>
      <c r="AB193" s="10">
        <f>IF($B193="","",IFERROR(MATCH($B193,입력_기본자료!$B$2:$B$1001,0),IFERROR(MATCH($B193&amp;"",입력_기본자료!$B$2:$B$1001,0),IFERROR(MATCH(VALUE($B193),입력_기본자료!$B$2:$B$1001,0),""))))</f>
        <v/>
      </c>
      <c r="AC193" s="10">
        <f>IF($B193="","",IFERROR(MATCH($B193,입력_인턴근무계획!$D$3:$D$402,0),IFERROR(MATCH($B193&amp;"",입력_인턴근무계획!$D$3:$D$402,0),IFERROR(MATCH(VALUE($B193),입력_인턴근무계획!$D$3:$D$402,0),""))))</f>
        <v/>
      </c>
      <c r="AD193" s="10">
        <f>IF(OR($AC193="",출력_인턴현황!$G$3=""),"",INDEX(입력_인턴근무계획!$M$3:$R$402,$AC193,출력_인턴현황!$G$3)&amp;"")</f>
        <v/>
      </c>
      <c r="AE193" s="10">
        <f>IF($B193="","",IF($M193&lt;&gt;"",$M193,IF(IF($AQ193="",FALSE,INDEX(출력_구리근무자!$J$6:$J$305,$AQ193)="구리독자"),"구리병원",IF($AF193&lt;&gt;"",IF(LEFT(INDEX(입력_파견수련계획!$R$4:$R$803,$AF193),1)&lt;&gt;"⚠",INDEX(입력_파견수련계획!$R$4:$R$803,$AF193),IF($H193="","",IF(RIGHT($H193,2)="병원",$H193,$H193&amp;"병원"))),IF($H193="","",IF(RIGHT($H193,2)="병원",$H193,$H193&amp;"병원"))))))</f>
        <v/>
      </c>
      <c r="AF193" s="10">
        <f>IF(OR($B193="",TRIM($J193&amp;"")=""),"",IFERROR(MATCH(TRIM($J193&amp;"")&amp;"|파견중",입력_파견수련계획!$Y$4:$Y$803,0),IFERROR(MATCH(TRIM($J193&amp;"")&amp;"|파견예정",입력_파견수련계획!$Y$4:$Y$803,0),IFERROR(MATCH(TRIM($J193&amp;"")&amp;"|파견종료",입력_파견수련계획!$Y$4:$Y$803,0),""))))</f>
        <v/>
      </c>
      <c r="AG193" s="10">
        <f>IF($B193="","",IF(AND(IF(OR($AC193="",출력_인턴현황!$K$2=""),"",INDEX(입력_인턴근무계획!$M$3:$R$402,$AC193,출력_인턴현황!$K$2)&amp;"")&lt;&gt;"",LEFT(IF(OR($AC193="",출력_인턴현황!$K$2=""),"",INDEX(입력_인턴근무계획!$M$3:$R$402,$AC193,출력_인턴현황!$K$2)&amp;""),1)&lt;&gt;"⚠"),LEFT(IF(OR($AC193="",출력_인턴현황!$K$2=""),"",INDEX(입력_인턴근무계획!$M$3:$R$402,$AC193,출력_인턴현황!$K$2)&amp;""),FIND(" ",IF(OR($AC193="",출력_인턴현황!$K$2=""),"",INDEX(입력_인턴근무계획!$M$3:$R$402,$AC193,출력_인턴현황!$K$2)&amp;""))-1),$AE193))</f>
        <v/>
      </c>
      <c r="AH193" s="17">
        <f>IF($B193="","",IF($AQ193&lt;&gt;"",MAX(0,DAY(EOMONTH(출력_요약!$B$3,0))-N($AR193)),IF(TRIM($J193&amp;"")="",0,SUMPRODUCT((입력_파견수련계획!$Q$4:$Q$803=TRIM($J193&amp;""))*(입력_파견수련계획!$S$4:$S$803="서울병원")*입력_파견수련계획!$W$4:$W$803))+IF($AG193="서울병원",MAX(0,DAY(EOMONTH(출력_요약!$B$3,0))-N($X193)),0)))</f>
        <v/>
      </c>
      <c r="AI193" s="17">
        <f>IF($B193="","",IF($AQ193&lt;&gt;"",N($AR193),IF(TRIM($J193&amp;"")="",0,SUMPRODUCT((입력_파견수련계획!$Q$4:$Q$803=TRIM($J193&amp;""))*(입력_파견수련계획!$S$4:$S$803="구리병원")*입력_파견수련계획!$W$4:$W$803))+IF($AG193="구리병원",MAX(0,DAY(EOMONTH(출력_요약!$B$3,0))-N($X193)),0)))</f>
        <v/>
      </c>
      <c r="AJ193" s="10">
        <f>IF(OR($B193="",TRIM($J193&amp;"")=""),"",IFERROR(MATCH(TRIM($J193&amp;"")&amp;"|월",입력_파견수련계획!$Z$4:$Z$803,0),""))</f>
        <v/>
      </c>
      <c r="AK193" s="10">
        <f>IF(OR($B193="",TRIM($J193&amp;"")=""),"",IFERROR(MATCH(TRIM($J193&amp;"")&amp;"|다기관",입력_파견수련계획!$AE$4:$AE$803,0),""))</f>
        <v/>
      </c>
      <c r="AL193" s="10">
        <f>IF($AK193="","","다기관 "&amp;TEXT(INDEX(입력_파견수련계획!$AB$4:$AB$803,$AK193),"yyyy-mm-dd")&amp;"~"&amp;IF(ISNUMBER(INDEX(입력_파견수련계획!$AC$4:$AC$803,$AK193)),TEXT(INDEX(입력_파견수련계획!$AC$4:$AC$803,$AK193),"yyyy-mm-dd"),""))</f>
        <v/>
      </c>
      <c r="AM193" s="10">
        <f>IF($Y193="서울병원",COUNTIF($Y$2:$Y193,"서울병원"),"")</f>
        <v/>
      </c>
      <c r="AN193" s="10">
        <f>IF(LEFT($Y193,1)="⚠",COUNTIF($Y$2:$Y193,"⚠*"),"")</f>
        <v/>
      </c>
      <c r="AO193" s="10">
        <f>IF(OR($B193="",$Y193=""),"",IF(IF(TRIM($J193&amp;"")="",0,SUMPRODUCT((입력_파견수련계획!$Q$4:$Q$803=TRIM($J193&amp;""))*입력_파견수련계획!$AD$4:$AD$803))&gt;0,"다기관 기간 → 소속병원 지급",IF(AND(N($X193)&lt;=0,$AQ193=""),"파견 없음 → 그 달 근무병원 지급",IF($AH193+$AI193=DAY(EOMONTH(출력_요약!$B$3,0)),"서울 "&amp;$AH193&amp;"일 / 구리 "&amp;$AI193&amp;"일"&amp;IF($AQ193&lt;&gt;""," (구리 근무자명단 반영)","")&amp;" → 15일 이상 근무 병원 지급","타 병원 포함 → "&amp;IF($AJ193="","소속",INDEX(입력_파견수련계획!$T$4:$T$803,$AJ193))&amp;" 규칙"))))</f>
        <v/>
      </c>
      <c r="AP193" s="10">
        <f>IF($B193="","",$C193&amp;"|"&amp;$F193)</f>
        <v/>
      </c>
      <c r="AQ193" s="10">
        <f>IF($B193="","",IFERROR(MATCH(ROW()-1,출력_구리근무자!$K$6:$K$305,0),""))</f>
        <v/>
      </c>
      <c r="AR193" s="10">
        <f>IF($AQ193="","",INDEX(출력_구리근무자!$H$6:$H$305,$AQ193))</f>
        <v/>
      </c>
    </row>
    <row r="194">
      <c r="A194" s="10">
        <f>IF(B194="","",ROW()-1)</f>
        <v/>
      </c>
      <c r="B194" s="19" t="n"/>
      <c r="C194" s="10">
        <f>IF($AB194="","",IF(INDEX(입력_기본자료!$C$2:$C$1001,$AB194)="","",INDEX(입력_기본자료!$C$2:$C$1001,$AB194)))</f>
        <v/>
      </c>
      <c r="D194" s="10">
        <f>IF($AB194="","",IF(INDEX(입력_기본자료!$J$2:$J$1001,$AB194)="","",INDEX(입력_기본자료!$J$2:$J$1001,$AB194)))</f>
        <v/>
      </c>
      <c r="E194" s="11">
        <f>IF($AB194="","",IF(INDEX(입력_기본자료!$K$2:$K$1001,$AB194)="","",IF(NOT(ISNUMBER(INDEX(입력_기본자료!$K$2:$K$1001,$AB194))),INDEX(입력_기본자료!$K$2:$K$1001,$AB194),IF(INDEX(입력_기본자료!$K$2:$K$1001,$AB194)&lt;1000000,INDEX(입력_기본자료!$K$2:$K$1001,$AB194),IF(AND(INDEX(입력_기본자료!$K$2:$K$1001,$AB194)&gt;=10000101,INT(MOD(INDEX(입력_기본자료!$K$2:$K$1001,$AB194),10000)/100)&gt;=1,INT(MOD(INDEX(입력_기본자료!$K$2:$K$1001,$AB194),10000)/100)&lt;=12,MOD(INDEX(입력_기본자료!$K$2:$K$1001,$AB194),100)&gt;=1,MOD(INDEX(입력_기본자료!$K$2:$K$1001,$AB194),100)&lt;=31),DATE(INT(INDEX(입력_기본자료!$K$2:$K$1001,$AB194)/10000),INT(MOD(INDEX(입력_기본자료!$K$2:$K$1001,$AB194),10000)/100),MOD(INDEX(입력_기본자료!$K$2:$K$1001,$AB194),100)),INDEX(입력_기본자료!$K$2:$K$1001,$AB194)&amp;"")))))</f>
        <v/>
      </c>
      <c r="F194" s="10">
        <f>IF($AB194="","",IF(INDEX(입력_기본자료!$D$2:$D$1001,$AB194)="","",INDEX(입력_기본자료!$D$2:$D$1001,$AB194)))</f>
        <v/>
      </c>
      <c r="G194" s="10">
        <f>IF($AB194="","",IF(INDEX(입력_기본자료!$E$2:$E$1001,$AB194)="","",INDEX(입력_기본자료!$E$2:$E$1001,$AB194)))</f>
        <v/>
      </c>
      <c r="H194" s="10">
        <f>IF($AB194="","",IF(INDEX(입력_기본자료!$F$2:$F$1001,$AB194)="","",INDEX(입력_기본자료!$F$2:$F$1001,$AB194)))</f>
        <v/>
      </c>
      <c r="I194" s="11">
        <f>IF($AB194="","",IF(INDEX(입력_기본자료!$G$2:$G$1001,$AB194)="","",IF(NOT(ISNUMBER(INDEX(입력_기본자료!$G$2:$G$1001,$AB194))),INDEX(입력_기본자료!$G$2:$G$1001,$AB194),IF(INDEX(입력_기본자료!$G$2:$G$1001,$AB194)&lt;1000000,INDEX(입력_기본자료!$G$2:$G$1001,$AB194),IF(AND(INDEX(입력_기본자료!$G$2:$G$1001,$AB194)&gt;=10000101,INT(MOD(INDEX(입력_기본자료!$G$2:$G$1001,$AB194),10000)/100)&gt;=1,INT(MOD(INDEX(입력_기본자료!$G$2:$G$1001,$AB194),10000)/100)&lt;=12,MOD(INDEX(입력_기본자료!$G$2:$G$1001,$AB194),100)&gt;=1,MOD(INDEX(입력_기본자료!$G$2:$G$1001,$AB194),100)&lt;=31),DATE(INT(INDEX(입력_기본자료!$G$2:$G$1001,$AB194)/10000),INT(MOD(INDEX(입력_기본자료!$G$2:$G$1001,$AB194),10000)/100),MOD(INDEX(입력_기본자료!$G$2:$G$1001,$AB194),100)),INDEX(입력_기본자료!$G$2:$G$1001,$AB194)&amp;"")))))</f>
        <v/>
      </c>
      <c r="J194" s="10">
        <f>IF($AB194="","",IF(INDEX(입력_기본자료!$H$2:$H$1001,$AB194)="","",INDEX(입력_기본자료!$H$2:$H$1001,$AB194)))</f>
        <v/>
      </c>
      <c r="K194" s="10">
        <f>IF($AB194="","",IF(INDEX(입력_기본자료!$I$2:$I$1001,$AB194)="","",INDEX(입력_기본자료!$I$2:$I$1001,$AB194)))</f>
        <v/>
      </c>
      <c r="L194" s="10">
        <f>IF($AB194="","",IF(INDEX(입력_기본자료!$A$2:$A$1001,$AB194)="","",INDEX(입력_기본자료!$A$2:$A$1001,$AB194)))</f>
        <v/>
      </c>
      <c r="M194" s="15" t="n"/>
      <c r="N194" s="10">
        <f>IF($B194="","",IF(AND($U194="파견중",$Q194&lt;&gt;""),$Q194,IF(AND($AD194&lt;&gt;"",LEFT($AD194,1)&lt;&gt;"⚠"),LEFT($AD194,FIND(" ",$AD194)-1),IF($H194="","",IF(RIGHT($H194,2)="병원",$H194,$H194&amp;"병원")))))</f>
        <v/>
      </c>
      <c r="O194" s="10">
        <f>IF($B194="","",IF(AND($U194="파견중",$Q194&lt;&gt;""),IF($R194&lt;&gt;"",$R194,"파견과 미입력"),IF(AND($AD194&lt;&gt;"",LEFT($AD194,1)&lt;&gt;"⚠"),MID($AD194,FIND(" ",$AD194)+1,60),IF($F194="","",IF($F194="인턴","수련교육부(인턴)",$F194)))))</f>
        <v/>
      </c>
      <c r="P194" s="10">
        <f>IF($B194="","",IF($AK194&lt;&gt;"",IF(AND(TODAY()&gt;=INDEX(입력_파견수련계획!$AB$4:$AB$803,$AK194),OR(NOT(ISNUMBER(INDEX(입력_파견수련계획!$AC$4:$AC$803,$AK194))),TODAY()&lt;=INDEX(입력_파견수련계획!$AC$4:$AC$803,$AK194))),"다기관",IF($AF194="","",INDEX(입력_파견수련계획!$T$4:$T$803,$AF194))),IF($AF194="","",INDEX(입력_파견수련계획!$T$4:$T$803,$AF194))))</f>
        <v/>
      </c>
      <c r="Q194" s="10">
        <f>IF($AF194="","",INDEX(입력_파견수련계획!$S$4:$S$803,$AF194))</f>
        <v/>
      </c>
      <c r="R194" s="10">
        <f>IF($AF194="","",INDEX(입력_파견수련계획!$U$4:$U$803,$AF194))</f>
        <v/>
      </c>
      <c r="S194" s="11">
        <f>IF($AF194="","",IF(INDEX(입력_파견수련계획!$H$4:$H$803,$AF194)="","",INDEX(입력_파견수련계획!$H$4:$H$803,$AF194)))</f>
        <v/>
      </c>
      <c r="T194" s="11">
        <f>IF($AF194="","",IF(INDEX(입력_파견수련계획!$I$4:$I$803,$AF194)="","",INDEX(입력_파견수련계획!$I$4:$I$803,$AF194)))</f>
        <v/>
      </c>
      <c r="U194" s="10">
        <f>IF($AF194="","",INDEX(입력_파견수련계획!$X$4:$X$803,$AF194))</f>
        <v/>
      </c>
      <c r="V194" s="17">
        <f>IF($AF194="","",INDEX(입력_파견수련계획!$V$4:$V$803,$AF194))</f>
        <v/>
      </c>
      <c r="W194" s="17">
        <f>IF(AND($U194="파견중",$T194&lt;&gt;""),$T194-TODAY(),"")</f>
        <v/>
      </c>
      <c r="X194" s="17">
        <f>IF(OR($B194="",TRIM($J194&amp;"")=""),"",SUMPRODUCT((입력_파견수련계획!$Q$4:$Q$803=TRIM($J194&amp;""))*입력_파견수련계획!$W$4:$W$803))</f>
        <v/>
      </c>
      <c r="Y194" s="10">
        <f>IF($B194="","",IF($AG194="","",IF(IF(TRIM($J194&amp;"")="",0,SUMPRODUCT((입력_파견수련계획!$Q$4:$Q$803=TRIM($J194&amp;""))*입력_파견수련계획!$AD$4:$AD$803))&gt;0,$AE194,IF(AND(N($X194)&lt;=0,$AQ194=""),$AG194,IF($AH194+$AI194=DAY(EOMONTH(출력_요약!$B$3,0)),IF(AND($AH194&gt;=출력_요약!$E$3,$AI194&lt;출력_요약!$E$3),"서울병원",IF(AND($AI194&gt;=출력_요약!$E$3,$AH194&lt;출력_요약!$E$3),"구리병원","⚠15일 판정불가(서울 "&amp;$AH194&amp;"일/구리 "&amp;$AI194&amp;"일)")),IF($AJ194="",$AE194,IF(INDEX(입력_파견수련계획!$T$4:$T$803,$AJ194)="통합수련",INDEX(입력_파견수련계획!$S$4:$S$803,$AJ194),$AE194)))))))</f>
        <v/>
      </c>
      <c r="Z194" s="20">
        <f>IF($B194="","",IF($AB194="","기본자료에 없는 사번",IF(COUNTIF($B$2:$B$401,$B194)&gt;1,"중복 사번",IF($AE194="","소속(입사장소) 입력",IF(IF(TRIM($J194&amp;"")="",0,SUMPRODUCT((입력_파견수련계획!$Q$4:$Q$803=TRIM($J194&amp;""))*(입력_파견수련계획!$AA$4:$AA$803&lt;&gt;"")))&gt;0,"파견수련계획 입력오류 확인",IF(LEFT($Y194,1)="⚠","서울·구리 15일 판정 불가(양쪽 모두 이상/미만)",IF(IF($AC194="",0,N(INDEX(입력_인턴근무계획!$T$3:$T$402,$AC194)))&gt;0,"인턴계획 입력오류 확인",IF(AND($AQ194&lt;&gt;"",$AG194&lt;&gt;"구리병원",IF(TRIM($J194&amp;"")="",0,SUMPRODUCT((입력_파견수련계획!$Q$4:$Q$803=TRIM($J194&amp;""))*(입력_파견수련계획!$S$4:$S$803="구리병원")*입력_파견수련계획!$W$4:$W$803))=0),"구리 근무자명단에만 있음(파견수련계획 확인)",IF(AND($AC194&lt;&gt;"",$U194&lt;&gt;"파견중",$N194&lt;&gt;$AE194),"인턴 타지역 근무: 파견 여부 확인","정상")))))))))</f>
        <v/>
      </c>
      <c r="AA194" s="5" t="n"/>
      <c r="AB194" s="10">
        <f>IF($B194="","",IFERROR(MATCH($B194,입력_기본자료!$B$2:$B$1001,0),IFERROR(MATCH($B194&amp;"",입력_기본자료!$B$2:$B$1001,0),IFERROR(MATCH(VALUE($B194),입력_기본자료!$B$2:$B$1001,0),""))))</f>
        <v/>
      </c>
      <c r="AC194" s="10">
        <f>IF($B194="","",IFERROR(MATCH($B194,입력_인턴근무계획!$D$3:$D$402,0),IFERROR(MATCH($B194&amp;"",입력_인턴근무계획!$D$3:$D$402,0),IFERROR(MATCH(VALUE($B194),입력_인턴근무계획!$D$3:$D$402,0),""))))</f>
        <v/>
      </c>
      <c r="AD194" s="10">
        <f>IF(OR($AC194="",출력_인턴현황!$G$3=""),"",INDEX(입력_인턴근무계획!$M$3:$R$402,$AC194,출력_인턴현황!$G$3)&amp;"")</f>
        <v/>
      </c>
      <c r="AE194" s="10">
        <f>IF($B194="","",IF($M194&lt;&gt;"",$M194,IF(IF($AQ194="",FALSE,INDEX(출력_구리근무자!$J$6:$J$305,$AQ194)="구리독자"),"구리병원",IF($AF194&lt;&gt;"",IF(LEFT(INDEX(입력_파견수련계획!$R$4:$R$803,$AF194),1)&lt;&gt;"⚠",INDEX(입력_파견수련계획!$R$4:$R$803,$AF194),IF($H194="","",IF(RIGHT($H194,2)="병원",$H194,$H194&amp;"병원"))),IF($H194="","",IF(RIGHT($H194,2)="병원",$H194,$H194&amp;"병원"))))))</f>
        <v/>
      </c>
      <c r="AF194" s="10">
        <f>IF(OR($B194="",TRIM($J194&amp;"")=""),"",IFERROR(MATCH(TRIM($J194&amp;"")&amp;"|파견중",입력_파견수련계획!$Y$4:$Y$803,0),IFERROR(MATCH(TRIM($J194&amp;"")&amp;"|파견예정",입력_파견수련계획!$Y$4:$Y$803,0),IFERROR(MATCH(TRIM($J194&amp;"")&amp;"|파견종료",입력_파견수련계획!$Y$4:$Y$803,0),""))))</f>
        <v/>
      </c>
      <c r="AG194" s="10">
        <f>IF($B194="","",IF(AND(IF(OR($AC194="",출력_인턴현황!$K$2=""),"",INDEX(입력_인턴근무계획!$M$3:$R$402,$AC194,출력_인턴현황!$K$2)&amp;"")&lt;&gt;"",LEFT(IF(OR($AC194="",출력_인턴현황!$K$2=""),"",INDEX(입력_인턴근무계획!$M$3:$R$402,$AC194,출력_인턴현황!$K$2)&amp;""),1)&lt;&gt;"⚠"),LEFT(IF(OR($AC194="",출력_인턴현황!$K$2=""),"",INDEX(입력_인턴근무계획!$M$3:$R$402,$AC194,출력_인턴현황!$K$2)&amp;""),FIND(" ",IF(OR($AC194="",출력_인턴현황!$K$2=""),"",INDEX(입력_인턴근무계획!$M$3:$R$402,$AC194,출력_인턴현황!$K$2)&amp;""))-1),$AE194))</f>
        <v/>
      </c>
      <c r="AH194" s="17">
        <f>IF($B194="","",IF($AQ194&lt;&gt;"",MAX(0,DAY(EOMONTH(출력_요약!$B$3,0))-N($AR194)),IF(TRIM($J194&amp;"")="",0,SUMPRODUCT((입력_파견수련계획!$Q$4:$Q$803=TRIM($J194&amp;""))*(입력_파견수련계획!$S$4:$S$803="서울병원")*입력_파견수련계획!$W$4:$W$803))+IF($AG194="서울병원",MAX(0,DAY(EOMONTH(출력_요약!$B$3,0))-N($X194)),0)))</f>
        <v/>
      </c>
      <c r="AI194" s="17">
        <f>IF($B194="","",IF($AQ194&lt;&gt;"",N($AR194),IF(TRIM($J194&amp;"")="",0,SUMPRODUCT((입력_파견수련계획!$Q$4:$Q$803=TRIM($J194&amp;""))*(입력_파견수련계획!$S$4:$S$803="구리병원")*입력_파견수련계획!$W$4:$W$803))+IF($AG194="구리병원",MAX(0,DAY(EOMONTH(출력_요약!$B$3,0))-N($X194)),0)))</f>
        <v/>
      </c>
      <c r="AJ194" s="10">
        <f>IF(OR($B194="",TRIM($J194&amp;"")=""),"",IFERROR(MATCH(TRIM($J194&amp;"")&amp;"|월",입력_파견수련계획!$Z$4:$Z$803,0),""))</f>
        <v/>
      </c>
      <c r="AK194" s="10">
        <f>IF(OR($B194="",TRIM($J194&amp;"")=""),"",IFERROR(MATCH(TRIM($J194&amp;"")&amp;"|다기관",입력_파견수련계획!$AE$4:$AE$803,0),""))</f>
        <v/>
      </c>
      <c r="AL194" s="10">
        <f>IF($AK194="","","다기관 "&amp;TEXT(INDEX(입력_파견수련계획!$AB$4:$AB$803,$AK194),"yyyy-mm-dd")&amp;"~"&amp;IF(ISNUMBER(INDEX(입력_파견수련계획!$AC$4:$AC$803,$AK194)),TEXT(INDEX(입력_파견수련계획!$AC$4:$AC$803,$AK194),"yyyy-mm-dd"),""))</f>
        <v/>
      </c>
      <c r="AM194" s="10">
        <f>IF($Y194="서울병원",COUNTIF($Y$2:$Y194,"서울병원"),"")</f>
        <v/>
      </c>
      <c r="AN194" s="10">
        <f>IF(LEFT($Y194,1)="⚠",COUNTIF($Y$2:$Y194,"⚠*"),"")</f>
        <v/>
      </c>
      <c r="AO194" s="10">
        <f>IF(OR($B194="",$Y194=""),"",IF(IF(TRIM($J194&amp;"")="",0,SUMPRODUCT((입력_파견수련계획!$Q$4:$Q$803=TRIM($J194&amp;""))*입력_파견수련계획!$AD$4:$AD$803))&gt;0,"다기관 기간 → 소속병원 지급",IF(AND(N($X194)&lt;=0,$AQ194=""),"파견 없음 → 그 달 근무병원 지급",IF($AH194+$AI194=DAY(EOMONTH(출력_요약!$B$3,0)),"서울 "&amp;$AH194&amp;"일 / 구리 "&amp;$AI194&amp;"일"&amp;IF($AQ194&lt;&gt;""," (구리 근무자명단 반영)","")&amp;" → 15일 이상 근무 병원 지급","타 병원 포함 → "&amp;IF($AJ194="","소속",INDEX(입력_파견수련계획!$T$4:$T$803,$AJ194))&amp;" 규칙"))))</f>
        <v/>
      </c>
      <c r="AP194" s="10">
        <f>IF($B194="","",$C194&amp;"|"&amp;$F194)</f>
        <v/>
      </c>
      <c r="AQ194" s="10">
        <f>IF($B194="","",IFERROR(MATCH(ROW()-1,출력_구리근무자!$K$6:$K$305,0),""))</f>
        <v/>
      </c>
      <c r="AR194" s="10">
        <f>IF($AQ194="","",INDEX(출력_구리근무자!$H$6:$H$305,$AQ194))</f>
        <v/>
      </c>
    </row>
    <row r="195">
      <c r="A195" s="10">
        <f>IF(B195="","",ROW()-1)</f>
        <v/>
      </c>
      <c r="B195" s="19" t="n"/>
      <c r="C195" s="10">
        <f>IF($AB195="","",IF(INDEX(입력_기본자료!$C$2:$C$1001,$AB195)="","",INDEX(입력_기본자료!$C$2:$C$1001,$AB195)))</f>
        <v/>
      </c>
      <c r="D195" s="10">
        <f>IF($AB195="","",IF(INDEX(입력_기본자료!$J$2:$J$1001,$AB195)="","",INDEX(입력_기본자료!$J$2:$J$1001,$AB195)))</f>
        <v/>
      </c>
      <c r="E195" s="11">
        <f>IF($AB195="","",IF(INDEX(입력_기본자료!$K$2:$K$1001,$AB195)="","",IF(NOT(ISNUMBER(INDEX(입력_기본자료!$K$2:$K$1001,$AB195))),INDEX(입력_기본자료!$K$2:$K$1001,$AB195),IF(INDEX(입력_기본자료!$K$2:$K$1001,$AB195)&lt;1000000,INDEX(입력_기본자료!$K$2:$K$1001,$AB195),IF(AND(INDEX(입력_기본자료!$K$2:$K$1001,$AB195)&gt;=10000101,INT(MOD(INDEX(입력_기본자료!$K$2:$K$1001,$AB195),10000)/100)&gt;=1,INT(MOD(INDEX(입력_기본자료!$K$2:$K$1001,$AB195),10000)/100)&lt;=12,MOD(INDEX(입력_기본자료!$K$2:$K$1001,$AB195),100)&gt;=1,MOD(INDEX(입력_기본자료!$K$2:$K$1001,$AB195),100)&lt;=31),DATE(INT(INDEX(입력_기본자료!$K$2:$K$1001,$AB195)/10000),INT(MOD(INDEX(입력_기본자료!$K$2:$K$1001,$AB195),10000)/100),MOD(INDEX(입력_기본자료!$K$2:$K$1001,$AB195),100)),INDEX(입력_기본자료!$K$2:$K$1001,$AB195)&amp;"")))))</f>
        <v/>
      </c>
      <c r="F195" s="10">
        <f>IF($AB195="","",IF(INDEX(입력_기본자료!$D$2:$D$1001,$AB195)="","",INDEX(입력_기본자료!$D$2:$D$1001,$AB195)))</f>
        <v/>
      </c>
      <c r="G195" s="10">
        <f>IF($AB195="","",IF(INDEX(입력_기본자료!$E$2:$E$1001,$AB195)="","",INDEX(입력_기본자료!$E$2:$E$1001,$AB195)))</f>
        <v/>
      </c>
      <c r="H195" s="10">
        <f>IF($AB195="","",IF(INDEX(입력_기본자료!$F$2:$F$1001,$AB195)="","",INDEX(입력_기본자료!$F$2:$F$1001,$AB195)))</f>
        <v/>
      </c>
      <c r="I195" s="11">
        <f>IF($AB195="","",IF(INDEX(입력_기본자료!$G$2:$G$1001,$AB195)="","",IF(NOT(ISNUMBER(INDEX(입력_기본자료!$G$2:$G$1001,$AB195))),INDEX(입력_기본자료!$G$2:$G$1001,$AB195),IF(INDEX(입력_기본자료!$G$2:$G$1001,$AB195)&lt;1000000,INDEX(입력_기본자료!$G$2:$G$1001,$AB195),IF(AND(INDEX(입력_기본자료!$G$2:$G$1001,$AB195)&gt;=10000101,INT(MOD(INDEX(입력_기본자료!$G$2:$G$1001,$AB195),10000)/100)&gt;=1,INT(MOD(INDEX(입력_기본자료!$G$2:$G$1001,$AB195),10000)/100)&lt;=12,MOD(INDEX(입력_기본자료!$G$2:$G$1001,$AB195),100)&gt;=1,MOD(INDEX(입력_기본자료!$G$2:$G$1001,$AB195),100)&lt;=31),DATE(INT(INDEX(입력_기본자료!$G$2:$G$1001,$AB195)/10000),INT(MOD(INDEX(입력_기본자료!$G$2:$G$1001,$AB195),10000)/100),MOD(INDEX(입력_기본자료!$G$2:$G$1001,$AB195),100)),INDEX(입력_기본자료!$G$2:$G$1001,$AB195)&amp;"")))))</f>
        <v/>
      </c>
      <c r="J195" s="10">
        <f>IF($AB195="","",IF(INDEX(입력_기본자료!$H$2:$H$1001,$AB195)="","",INDEX(입력_기본자료!$H$2:$H$1001,$AB195)))</f>
        <v/>
      </c>
      <c r="K195" s="10">
        <f>IF($AB195="","",IF(INDEX(입력_기본자료!$I$2:$I$1001,$AB195)="","",INDEX(입력_기본자료!$I$2:$I$1001,$AB195)))</f>
        <v/>
      </c>
      <c r="L195" s="10">
        <f>IF($AB195="","",IF(INDEX(입력_기본자료!$A$2:$A$1001,$AB195)="","",INDEX(입력_기본자료!$A$2:$A$1001,$AB195)))</f>
        <v/>
      </c>
      <c r="M195" s="15" t="n"/>
      <c r="N195" s="10">
        <f>IF($B195="","",IF(AND($U195="파견중",$Q195&lt;&gt;""),$Q195,IF(AND($AD195&lt;&gt;"",LEFT($AD195,1)&lt;&gt;"⚠"),LEFT($AD195,FIND(" ",$AD195)-1),IF($H195="","",IF(RIGHT($H195,2)="병원",$H195,$H195&amp;"병원")))))</f>
        <v/>
      </c>
      <c r="O195" s="10">
        <f>IF($B195="","",IF(AND($U195="파견중",$Q195&lt;&gt;""),IF($R195&lt;&gt;"",$R195,"파견과 미입력"),IF(AND($AD195&lt;&gt;"",LEFT($AD195,1)&lt;&gt;"⚠"),MID($AD195,FIND(" ",$AD195)+1,60),IF($F195="","",IF($F195="인턴","수련교육부(인턴)",$F195)))))</f>
        <v/>
      </c>
      <c r="P195" s="10">
        <f>IF($B195="","",IF($AK195&lt;&gt;"",IF(AND(TODAY()&gt;=INDEX(입력_파견수련계획!$AB$4:$AB$803,$AK195),OR(NOT(ISNUMBER(INDEX(입력_파견수련계획!$AC$4:$AC$803,$AK195))),TODAY()&lt;=INDEX(입력_파견수련계획!$AC$4:$AC$803,$AK195))),"다기관",IF($AF195="","",INDEX(입력_파견수련계획!$T$4:$T$803,$AF195))),IF($AF195="","",INDEX(입력_파견수련계획!$T$4:$T$803,$AF195))))</f>
        <v/>
      </c>
      <c r="Q195" s="10">
        <f>IF($AF195="","",INDEX(입력_파견수련계획!$S$4:$S$803,$AF195))</f>
        <v/>
      </c>
      <c r="R195" s="10">
        <f>IF($AF195="","",INDEX(입력_파견수련계획!$U$4:$U$803,$AF195))</f>
        <v/>
      </c>
      <c r="S195" s="11">
        <f>IF($AF195="","",IF(INDEX(입력_파견수련계획!$H$4:$H$803,$AF195)="","",INDEX(입력_파견수련계획!$H$4:$H$803,$AF195)))</f>
        <v/>
      </c>
      <c r="T195" s="11">
        <f>IF($AF195="","",IF(INDEX(입력_파견수련계획!$I$4:$I$803,$AF195)="","",INDEX(입력_파견수련계획!$I$4:$I$803,$AF195)))</f>
        <v/>
      </c>
      <c r="U195" s="10">
        <f>IF($AF195="","",INDEX(입력_파견수련계획!$X$4:$X$803,$AF195))</f>
        <v/>
      </c>
      <c r="V195" s="17">
        <f>IF($AF195="","",INDEX(입력_파견수련계획!$V$4:$V$803,$AF195))</f>
        <v/>
      </c>
      <c r="W195" s="17">
        <f>IF(AND($U195="파견중",$T195&lt;&gt;""),$T195-TODAY(),"")</f>
        <v/>
      </c>
      <c r="X195" s="17">
        <f>IF(OR($B195="",TRIM($J195&amp;"")=""),"",SUMPRODUCT((입력_파견수련계획!$Q$4:$Q$803=TRIM($J195&amp;""))*입력_파견수련계획!$W$4:$W$803))</f>
        <v/>
      </c>
      <c r="Y195" s="10">
        <f>IF($B195="","",IF($AG195="","",IF(IF(TRIM($J195&amp;"")="",0,SUMPRODUCT((입력_파견수련계획!$Q$4:$Q$803=TRIM($J195&amp;""))*입력_파견수련계획!$AD$4:$AD$803))&gt;0,$AE195,IF(AND(N($X195)&lt;=0,$AQ195=""),$AG195,IF($AH195+$AI195=DAY(EOMONTH(출력_요약!$B$3,0)),IF(AND($AH195&gt;=출력_요약!$E$3,$AI195&lt;출력_요약!$E$3),"서울병원",IF(AND($AI195&gt;=출력_요약!$E$3,$AH195&lt;출력_요약!$E$3),"구리병원","⚠15일 판정불가(서울 "&amp;$AH195&amp;"일/구리 "&amp;$AI195&amp;"일)")),IF($AJ195="",$AE195,IF(INDEX(입력_파견수련계획!$T$4:$T$803,$AJ195)="통합수련",INDEX(입력_파견수련계획!$S$4:$S$803,$AJ195),$AE195)))))))</f>
        <v/>
      </c>
      <c r="Z195" s="20">
        <f>IF($B195="","",IF($AB195="","기본자료에 없는 사번",IF(COUNTIF($B$2:$B$401,$B195)&gt;1,"중복 사번",IF($AE195="","소속(입사장소) 입력",IF(IF(TRIM($J195&amp;"")="",0,SUMPRODUCT((입력_파견수련계획!$Q$4:$Q$803=TRIM($J195&amp;""))*(입력_파견수련계획!$AA$4:$AA$803&lt;&gt;"")))&gt;0,"파견수련계획 입력오류 확인",IF(LEFT($Y195,1)="⚠","서울·구리 15일 판정 불가(양쪽 모두 이상/미만)",IF(IF($AC195="",0,N(INDEX(입력_인턴근무계획!$T$3:$T$402,$AC195)))&gt;0,"인턴계획 입력오류 확인",IF(AND($AQ195&lt;&gt;"",$AG195&lt;&gt;"구리병원",IF(TRIM($J195&amp;"")="",0,SUMPRODUCT((입력_파견수련계획!$Q$4:$Q$803=TRIM($J195&amp;""))*(입력_파견수련계획!$S$4:$S$803="구리병원")*입력_파견수련계획!$W$4:$W$803))=0),"구리 근무자명단에만 있음(파견수련계획 확인)",IF(AND($AC195&lt;&gt;"",$U195&lt;&gt;"파견중",$N195&lt;&gt;$AE195),"인턴 타지역 근무: 파견 여부 확인","정상")))))))))</f>
        <v/>
      </c>
      <c r="AA195" s="5" t="n"/>
      <c r="AB195" s="10">
        <f>IF($B195="","",IFERROR(MATCH($B195,입력_기본자료!$B$2:$B$1001,0),IFERROR(MATCH($B195&amp;"",입력_기본자료!$B$2:$B$1001,0),IFERROR(MATCH(VALUE($B195),입력_기본자료!$B$2:$B$1001,0),""))))</f>
        <v/>
      </c>
      <c r="AC195" s="10">
        <f>IF($B195="","",IFERROR(MATCH($B195,입력_인턴근무계획!$D$3:$D$402,0),IFERROR(MATCH($B195&amp;"",입력_인턴근무계획!$D$3:$D$402,0),IFERROR(MATCH(VALUE($B195),입력_인턴근무계획!$D$3:$D$402,0),""))))</f>
        <v/>
      </c>
      <c r="AD195" s="10">
        <f>IF(OR($AC195="",출력_인턴현황!$G$3=""),"",INDEX(입력_인턴근무계획!$M$3:$R$402,$AC195,출력_인턴현황!$G$3)&amp;"")</f>
        <v/>
      </c>
      <c r="AE195" s="10">
        <f>IF($B195="","",IF($M195&lt;&gt;"",$M195,IF(IF($AQ195="",FALSE,INDEX(출력_구리근무자!$J$6:$J$305,$AQ195)="구리독자"),"구리병원",IF($AF195&lt;&gt;"",IF(LEFT(INDEX(입력_파견수련계획!$R$4:$R$803,$AF195),1)&lt;&gt;"⚠",INDEX(입력_파견수련계획!$R$4:$R$803,$AF195),IF($H195="","",IF(RIGHT($H195,2)="병원",$H195,$H195&amp;"병원"))),IF($H195="","",IF(RIGHT($H195,2)="병원",$H195,$H195&amp;"병원"))))))</f>
        <v/>
      </c>
      <c r="AF195" s="10">
        <f>IF(OR($B195="",TRIM($J195&amp;"")=""),"",IFERROR(MATCH(TRIM($J195&amp;"")&amp;"|파견중",입력_파견수련계획!$Y$4:$Y$803,0),IFERROR(MATCH(TRIM($J195&amp;"")&amp;"|파견예정",입력_파견수련계획!$Y$4:$Y$803,0),IFERROR(MATCH(TRIM($J195&amp;"")&amp;"|파견종료",입력_파견수련계획!$Y$4:$Y$803,0),""))))</f>
        <v/>
      </c>
      <c r="AG195" s="10">
        <f>IF($B195="","",IF(AND(IF(OR($AC195="",출력_인턴현황!$K$2=""),"",INDEX(입력_인턴근무계획!$M$3:$R$402,$AC195,출력_인턴현황!$K$2)&amp;"")&lt;&gt;"",LEFT(IF(OR($AC195="",출력_인턴현황!$K$2=""),"",INDEX(입력_인턴근무계획!$M$3:$R$402,$AC195,출력_인턴현황!$K$2)&amp;""),1)&lt;&gt;"⚠"),LEFT(IF(OR($AC195="",출력_인턴현황!$K$2=""),"",INDEX(입력_인턴근무계획!$M$3:$R$402,$AC195,출력_인턴현황!$K$2)&amp;""),FIND(" ",IF(OR($AC195="",출력_인턴현황!$K$2=""),"",INDEX(입력_인턴근무계획!$M$3:$R$402,$AC195,출력_인턴현황!$K$2)&amp;""))-1),$AE195))</f>
        <v/>
      </c>
      <c r="AH195" s="17">
        <f>IF($B195="","",IF($AQ195&lt;&gt;"",MAX(0,DAY(EOMONTH(출력_요약!$B$3,0))-N($AR195)),IF(TRIM($J195&amp;"")="",0,SUMPRODUCT((입력_파견수련계획!$Q$4:$Q$803=TRIM($J195&amp;""))*(입력_파견수련계획!$S$4:$S$803="서울병원")*입력_파견수련계획!$W$4:$W$803))+IF($AG195="서울병원",MAX(0,DAY(EOMONTH(출력_요약!$B$3,0))-N($X195)),0)))</f>
        <v/>
      </c>
      <c r="AI195" s="17">
        <f>IF($B195="","",IF($AQ195&lt;&gt;"",N($AR195),IF(TRIM($J195&amp;"")="",0,SUMPRODUCT((입력_파견수련계획!$Q$4:$Q$803=TRIM($J195&amp;""))*(입력_파견수련계획!$S$4:$S$803="구리병원")*입력_파견수련계획!$W$4:$W$803))+IF($AG195="구리병원",MAX(0,DAY(EOMONTH(출력_요약!$B$3,0))-N($X195)),0)))</f>
        <v/>
      </c>
      <c r="AJ195" s="10">
        <f>IF(OR($B195="",TRIM($J195&amp;"")=""),"",IFERROR(MATCH(TRIM($J195&amp;"")&amp;"|월",입력_파견수련계획!$Z$4:$Z$803,0),""))</f>
        <v/>
      </c>
      <c r="AK195" s="10">
        <f>IF(OR($B195="",TRIM($J195&amp;"")=""),"",IFERROR(MATCH(TRIM($J195&amp;"")&amp;"|다기관",입력_파견수련계획!$AE$4:$AE$803,0),""))</f>
        <v/>
      </c>
      <c r="AL195" s="10">
        <f>IF($AK195="","","다기관 "&amp;TEXT(INDEX(입력_파견수련계획!$AB$4:$AB$803,$AK195),"yyyy-mm-dd")&amp;"~"&amp;IF(ISNUMBER(INDEX(입력_파견수련계획!$AC$4:$AC$803,$AK195)),TEXT(INDEX(입력_파견수련계획!$AC$4:$AC$803,$AK195),"yyyy-mm-dd"),""))</f>
        <v/>
      </c>
      <c r="AM195" s="10">
        <f>IF($Y195="서울병원",COUNTIF($Y$2:$Y195,"서울병원"),"")</f>
        <v/>
      </c>
      <c r="AN195" s="10">
        <f>IF(LEFT($Y195,1)="⚠",COUNTIF($Y$2:$Y195,"⚠*"),"")</f>
        <v/>
      </c>
      <c r="AO195" s="10">
        <f>IF(OR($B195="",$Y195=""),"",IF(IF(TRIM($J195&amp;"")="",0,SUMPRODUCT((입력_파견수련계획!$Q$4:$Q$803=TRIM($J195&amp;""))*입력_파견수련계획!$AD$4:$AD$803))&gt;0,"다기관 기간 → 소속병원 지급",IF(AND(N($X195)&lt;=0,$AQ195=""),"파견 없음 → 그 달 근무병원 지급",IF($AH195+$AI195=DAY(EOMONTH(출력_요약!$B$3,0)),"서울 "&amp;$AH195&amp;"일 / 구리 "&amp;$AI195&amp;"일"&amp;IF($AQ195&lt;&gt;""," (구리 근무자명단 반영)","")&amp;" → 15일 이상 근무 병원 지급","타 병원 포함 → "&amp;IF($AJ195="","소속",INDEX(입력_파견수련계획!$T$4:$T$803,$AJ195))&amp;" 규칙"))))</f>
        <v/>
      </c>
      <c r="AP195" s="10">
        <f>IF($B195="","",$C195&amp;"|"&amp;$F195)</f>
        <v/>
      </c>
      <c r="AQ195" s="10">
        <f>IF($B195="","",IFERROR(MATCH(ROW()-1,출력_구리근무자!$K$6:$K$305,0),""))</f>
        <v/>
      </c>
      <c r="AR195" s="10">
        <f>IF($AQ195="","",INDEX(출력_구리근무자!$H$6:$H$305,$AQ195))</f>
        <v/>
      </c>
    </row>
    <row r="196">
      <c r="A196" s="10">
        <f>IF(B196="","",ROW()-1)</f>
        <v/>
      </c>
      <c r="B196" s="19" t="n"/>
      <c r="C196" s="10">
        <f>IF($AB196="","",IF(INDEX(입력_기본자료!$C$2:$C$1001,$AB196)="","",INDEX(입력_기본자료!$C$2:$C$1001,$AB196)))</f>
        <v/>
      </c>
      <c r="D196" s="10">
        <f>IF($AB196="","",IF(INDEX(입력_기본자료!$J$2:$J$1001,$AB196)="","",INDEX(입력_기본자료!$J$2:$J$1001,$AB196)))</f>
        <v/>
      </c>
      <c r="E196" s="11">
        <f>IF($AB196="","",IF(INDEX(입력_기본자료!$K$2:$K$1001,$AB196)="","",IF(NOT(ISNUMBER(INDEX(입력_기본자료!$K$2:$K$1001,$AB196))),INDEX(입력_기본자료!$K$2:$K$1001,$AB196),IF(INDEX(입력_기본자료!$K$2:$K$1001,$AB196)&lt;1000000,INDEX(입력_기본자료!$K$2:$K$1001,$AB196),IF(AND(INDEX(입력_기본자료!$K$2:$K$1001,$AB196)&gt;=10000101,INT(MOD(INDEX(입력_기본자료!$K$2:$K$1001,$AB196),10000)/100)&gt;=1,INT(MOD(INDEX(입력_기본자료!$K$2:$K$1001,$AB196),10000)/100)&lt;=12,MOD(INDEX(입력_기본자료!$K$2:$K$1001,$AB196),100)&gt;=1,MOD(INDEX(입력_기본자료!$K$2:$K$1001,$AB196),100)&lt;=31),DATE(INT(INDEX(입력_기본자료!$K$2:$K$1001,$AB196)/10000),INT(MOD(INDEX(입력_기본자료!$K$2:$K$1001,$AB196),10000)/100),MOD(INDEX(입력_기본자료!$K$2:$K$1001,$AB196),100)),INDEX(입력_기본자료!$K$2:$K$1001,$AB196)&amp;"")))))</f>
        <v/>
      </c>
      <c r="F196" s="10">
        <f>IF($AB196="","",IF(INDEX(입력_기본자료!$D$2:$D$1001,$AB196)="","",INDEX(입력_기본자료!$D$2:$D$1001,$AB196)))</f>
        <v/>
      </c>
      <c r="G196" s="10">
        <f>IF($AB196="","",IF(INDEX(입력_기본자료!$E$2:$E$1001,$AB196)="","",INDEX(입력_기본자료!$E$2:$E$1001,$AB196)))</f>
        <v/>
      </c>
      <c r="H196" s="10">
        <f>IF($AB196="","",IF(INDEX(입력_기본자료!$F$2:$F$1001,$AB196)="","",INDEX(입력_기본자료!$F$2:$F$1001,$AB196)))</f>
        <v/>
      </c>
      <c r="I196" s="11">
        <f>IF($AB196="","",IF(INDEX(입력_기본자료!$G$2:$G$1001,$AB196)="","",IF(NOT(ISNUMBER(INDEX(입력_기본자료!$G$2:$G$1001,$AB196))),INDEX(입력_기본자료!$G$2:$G$1001,$AB196),IF(INDEX(입력_기본자료!$G$2:$G$1001,$AB196)&lt;1000000,INDEX(입력_기본자료!$G$2:$G$1001,$AB196),IF(AND(INDEX(입력_기본자료!$G$2:$G$1001,$AB196)&gt;=10000101,INT(MOD(INDEX(입력_기본자료!$G$2:$G$1001,$AB196),10000)/100)&gt;=1,INT(MOD(INDEX(입력_기본자료!$G$2:$G$1001,$AB196),10000)/100)&lt;=12,MOD(INDEX(입력_기본자료!$G$2:$G$1001,$AB196),100)&gt;=1,MOD(INDEX(입력_기본자료!$G$2:$G$1001,$AB196),100)&lt;=31),DATE(INT(INDEX(입력_기본자료!$G$2:$G$1001,$AB196)/10000),INT(MOD(INDEX(입력_기본자료!$G$2:$G$1001,$AB196),10000)/100),MOD(INDEX(입력_기본자료!$G$2:$G$1001,$AB196),100)),INDEX(입력_기본자료!$G$2:$G$1001,$AB196)&amp;"")))))</f>
        <v/>
      </c>
      <c r="J196" s="10">
        <f>IF($AB196="","",IF(INDEX(입력_기본자료!$H$2:$H$1001,$AB196)="","",INDEX(입력_기본자료!$H$2:$H$1001,$AB196)))</f>
        <v/>
      </c>
      <c r="K196" s="10">
        <f>IF($AB196="","",IF(INDEX(입력_기본자료!$I$2:$I$1001,$AB196)="","",INDEX(입력_기본자료!$I$2:$I$1001,$AB196)))</f>
        <v/>
      </c>
      <c r="L196" s="10">
        <f>IF($AB196="","",IF(INDEX(입력_기본자료!$A$2:$A$1001,$AB196)="","",INDEX(입력_기본자료!$A$2:$A$1001,$AB196)))</f>
        <v/>
      </c>
      <c r="M196" s="15" t="n"/>
      <c r="N196" s="10">
        <f>IF($B196="","",IF(AND($U196="파견중",$Q196&lt;&gt;""),$Q196,IF(AND($AD196&lt;&gt;"",LEFT($AD196,1)&lt;&gt;"⚠"),LEFT($AD196,FIND(" ",$AD196)-1),IF($H196="","",IF(RIGHT($H196,2)="병원",$H196,$H196&amp;"병원")))))</f>
        <v/>
      </c>
      <c r="O196" s="10">
        <f>IF($B196="","",IF(AND($U196="파견중",$Q196&lt;&gt;""),IF($R196&lt;&gt;"",$R196,"파견과 미입력"),IF(AND($AD196&lt;&gt;"",LEFT($AD196,1)&lt;&gt;"⚠"),MID($AD196,FIND(" ",$AD196)+1,60),IF($F196="","",IF($F196="인턴","수련교육부(인턴)",$F196)))))</f>
        <v/>
      </c>
      <c r="P196" s="10">
        <f>IF($B196="","",IF($AK196&lt;&gt;"",IF(AND(TODAY()&gt;=INDEX(입력_파견수련계획!$AB$4:$AB$803,$AK196),OR(NOT(ISNUMBER(INDEX(입력_파견수련계획!$AC$4:$AC$803,$AK196))),TODAY()&lt;=INDEX(입력_파견수련계획!$AC$4:$AC$803,$AK196))),"다기관",IF($AF196="","",INDEX(입력_파견수련계획!$T$4:$T$803,$AF196))),IF($AF196="","",INDEX(입력_파견수련계획!$T$4:$T$803,$AF196))))</f>
        <v/>
      </c>
      <c r="Q196" s="10">
        <f>IF($AF196="","",INDEX(입력_파견수련계획!$S$4:$S$803,$AF196))</f>
        <v/>
      </c>
      <c r="R196" s="10">
        <f>IF($AF196="","",INDEX(입력_파견수련계획!$U$4:$U$803,$AF196))</f>
        <v/>
      </c>
      <c r="S196" s="11">
        <f>IF($AF196="","",IF(INDEX(입력_파견수련계획!$H$4:$H$803,$AF196)="","",INDEX(입력_파견수련계획!$H$4:$H$803,$AF196)))</f>
        <v/>
      </c>
      <c r="T196" s="11">
        <f>IF($AF196="","",IF(INDEX(입력_파견수련계획!$I$4:$I$803,$AF196)="","",INDEX(입력_파견수련계획!$I$4:$I$803,$AF196)))</f>
        <v/>
      </c>
      <c r="U196" s="10">
        <f>IF($AF196="","",INDEX(입력_파견수련계획!$X$4:$X$803,$AF196))</f>
        <v/>
      </c>
      <c r="V196" s="17">
        <f>IF($AF196="","",INDEX(입력_파견수련계획!$V$4:$V$803,$AF196))</f>
        <v/>
      </c>
      <c r="W196" s="17">
        <f>IF(AND($U196="파견중",$T196&lt;&gt;""),$T196-TODAY(),"")</f>
        <v/>
      </c>
      <c r="X196" s="17">
        <f>IF(OR($B196="",TRIM($J196&amp;"")=""),"",SUMPRODUCT((입력_파견수련계획!$Q$4:$Q$803=TRIM($J196&amp;""))*입력_파견수련계획!$W$4:$W$803))</f>
        <v/>
      </c>
      <c r="Y196" s="10">
        <f>IF($B196="","",IF($AG196="","",IF(IF(TRIM($J196&amp;"")="",0,SUMPRODUCT((입력_파견수련계획!$Q$4:$Q$803=TRIM($J196&amp;""))*입력_파견수련계획!$AD$4:$AD$803))&gt;0,$AE196,IF(AND(N($X196)&lt;=0,$AQ196=""),$AG196,IF($AH196+$AI196=DAY(EOMONTH(출력_요약!$B$3,0)),IF(AND($AH196&gt;=출력_요약!$E$3,$AI196&lt;출력_요약!$E$3),"서울병원",IF(AND($AI196&gt;=출력_요약!$E$3,$AH196&lt;출력_요약!$E$3),"구리병원","⚠15일 판정불가(서울 "&amp;$AH196&amp;"일/구리 "&amp;$AI196&amp;"일)")),IF($AJ196="",$AE196,IF(INDEX(입력_파견수련계획!$T$4:$T$803,$AJ196)="통합수련",INDEX(입력_파견수련계획!$S$4:$S$803,$AJ196),$AE196)))))))</f>
        <v/>
      </c>
      <c r="Z196" s="20">
        <f>IF($B196="","",IF($AB196="","기본자료에 없는 사번",IF(COUNTIF($B$2:$B$401,$B196)&gt;1,"중복 사번",IF($AE196="","소속(입사장소) 입력",IF(IF(TRIM($J196&amp;"")="",0,SUMPRODUCT((입력_파견수련계획!$Q$4:$Q$803=TRIM($J196&amp;""))*(입력_파견수련계획!$AA$4:$AA$803&lt;&gt;"")))&gt;0,"파견수련계획 입력오류 확인",IF(LEFT($Y196,1)="⚠","서울·구리 15일 판정 불가(양쪽 모두 이상/미만)",IF(IF($AC196="",0,N(INDEX(입력_인턴근무계획!$T$3:$T$402,$AC196)))&gt;0,"인턴계획 입력오류 확인",IF(AND($AQ196&lt;&gt;"",$AG196&lt;&gt;"구리병원",IF(TRIM($J196&amp;"")="",0,SUMPRODUCT((입력_파견수련계획!$Q$4:$Q$803=TRIM($J196&amp;""))*(입력_파견수련계획!$S$4:$S$803="구리병원")*입력_파견수련계획!$W$4:$W$803))=0),"구리 근무자명단에만 있음(파견수련계획 확인)",IF(AND($AC196&lt;&gt;"",$U196&lt;&gt;"파견중",$N196&lt;&gt;$AE196),"인턴 타지역 근무: 파견 여부 확인","정상")))))))))</f>
        <v/>
      </c>
      <c r="AA196" s="5" t="n"/>
      <c r="AB196" s="10">
        <f>IF($B196="","",IFERROR(MATCH($B196,입력_기본자료!$B$2:$B$1001,0),IFERROR(MATCH($B196&amp;"",입력_기본자료!$B$2:$B$1001,0),IFERROR(MATCH(VALUE($B196),입력_기본자료!$B$2:$B$1001,0),""))))</f>
        <v/>
      </c>
      <c r="AC196" s="10">
        <f>IF($B196="","",IFERROR(MATCH($B196,입력_인턴근무계획!$D$3:$D$402,0),IFERROR(MATCH($B196&amp;"",입력_인턴근무계획!$D$3:$D$402,0),IFERROR(MATCH(VALUE($B196),입력_인턴근무계획!$D$3:$D$402,0),""))))</f>
        <v/>
      </c>
      <c r="AD196" s="10">
        <f>IF(OR($AC196="",출력_인턴현황!$G$3=""),"",INDEX(입력_인턴근무계획!$M$3:$R$402,$AC196,출력_인턴현황!$G$3)&amp;"")</f>
        <v/>
      </c>
      <c r="AE196" s="10">
        <f>IF($B196="","",IF($M196&lt;&gt;"",$M196,IF(IF($AQ196="",FALSE,INDEX(출력_구리근무자!$J$6:$J$305,$AQ196)="구리독자"),"구리병원",IF($AF196&lt;&gt;"",IF(LEFT(INDEX(입력_파견수련계획!$R$4:$R$803,$AF196),1)&lt;&gt;"⚠",INDEX(입력_파견수련계획!$R$4:$R$803,$AF196),IF($H196="","",IF(RIGHT($H196,2)="병원",$H196,$H196&amp;"병원"))),IF($H196="","",IF(RIGHT($H196,2)="병원",$H196,$H196&amp;"병원"))))))</f>
        <v/>
      </c>
      <c r="AF196" s="10">
        <f>IF(OR($B196="",TRIM($J196&amp;"")=""),"",IFERROR(MATCH(TRIM($J196&amp;"")&amp;"|파견중",입력_파견수련계획!$Y$4:$Y$803,0),IFERROR(MATCH(TRIM($J196&amp;"")&amp;"|파견예정",입력_파견수련계획!$Y$4:$Y$803,0),IFERROR(MATCH(TRIM($J196&amp;"")&amp;"|파견종료",입력_파견수련계획!$Y$4:$Y$803,0),""))))</f>
        <v/>
      </c>
      <c r="AG196" s="10">
        <f>IF($B196="","",IF(AND(IF(OR($AC196="",출력_인턴현황!$K$2=""),"",INDEX(입력_인턴근무계획!$M$3:$R$402,$AC196,출력_인턴현황!$K$2)&amp;"")&lt;&gt;"",LEFT(IF(OR($AC196="",출력_인턴현황!$K$2=""),"",INDEX(입력_인턴근무계획!$M$3:$R$402,$AC196,출력_인턴현황!$K$2)&amp;""),1)&lt;&gt;"⚠"),LEFT(IF(OR($AC196="",출력_인턴현황!$K$2=""),"",INDEX(입력_인턴근무계획!$M$3:$R$402,$AC196,출력_인턴현황!$K$2)&amp;""),FIND(" ",IF(OR($AC196="",출력_인턴현황!$K$2=""),"",INDEX(입력_인턴근무계획!$M$3:$R$402,$AC196,출력_인턴현황!$K$2)&amp;""))-1),$AE196))</f>
        <v/>
      </c>
      <c r="AH196" s="17">
        <f>IF($B196="","",IF($AQ196&lt;&gt;"",MAX(0,DAY(EOMONTH(출력_요약!$B$3,0))-N($AR196)),IF(TRIM($J196&amp;"")="",0,SUMPRODUCT((입력_파견수련계획!$Q$4:$Q$803=TRIM($J196&amp;""))*(입력_파견수련계획!$S$4:$S$803="서울병원")*입력_파견수련계획!$W$4:$W$803))+IF($AG196="서울병원",MAX(0,DAY(EOMONTH(출력_요약!$B$3,0))-N($X196)),0)))</f>
        <v/>
      </c>
      <c r="AI196" s="17">
        <f>IF($B196="","",IF($AQ196&lt;&gt;"",N($AR196),IF(TRIM($J196&amp;"")="",0,SUMPRODUCT((입력_파견수련계획!$Q$4:$Q$803=TRIM($J196&amp;""))*(입력_파견수련계획!$S$4:$S$803="구리병원")*입력_파견수련계획!$W$4:$W$803))+IF($AG196="구리병원",MAX(0,DAY(EOMONTH(출력_요약!$B$3,0))-N($X196)),0)))</f>
        <v/>
      </c>
      <c r="AJ196" s="10">
        <f>IF(OR($B196="",TRIM($J196&amp;"")=""),"",IFERROR(MATCH(TRIM($J196&amp;"")&amp;"|월",입력_파견수련계획!$Z$4:$Z$803,0),""))</f>
        <v/>
      </c>
      <c r="AK196" s="10">
        <f>IF(OR($B196="",TRIM($J196&amp;"")=""),"",IFERROR(MATCH(TRIM($J196&amp;"")&amp;"|다기관",입력_파견수련계획!$AE$4:$AE$803,0),""))</f>
        <v/>
      </c>
      <c r="AL196" s="10">
        <f>IF($AK196="","","다기관 "&amp;TEXT(INDEX(입력_파견수련계획!$AB$4:$AB$803,$AK196),"yyyy-mm-dd")&amp;"~"&amp;IF(ISNUMBER(INDEX(입력_파견수련계획!$AC$4:$AC$803,$AK196)),TEXT(INDEX(입력_파견수련계획!$AC$4:$AC$803,$AK196),"yyyy-mm-dd"),""))</f>
        <v/>
      </c>
      <c r="AM196" s="10">
        <f>IF($Y196="서울병원",COUNTIF($Y$2:$Y196,"서울병원"),"")</f>
        <v/>
      </c>
      <c r="AN196" s="10">
        <f>IF(LEFT($Y196,1)="⚠",COUNTIF($Y$2:$Y196,"⚠*"),"")</f>
        <v/>
      </c>
      <c r="AO196" s="10">
        <f>IF(OR($B196="",$Y196=""),"",IF(IF(TRIM($J196&amp;"")="",0,SUMPRODUCT((입력_파견수련계획!$Q$4:$Q$803=TRIM($J196&amp;""))*입력_파견수련계획!$AD$4:$AD$803))&gt;0,"다기관 기간 → 소속병원 지급",IF(AND(N($X196)&lt;=0,$AQ196=""),"파견 없음 → 그 달 근무병원 지급",IF($AH196+$AI196=DAY(EOMONTH(출력_요약!$B$3,0)),"서울 "&amp;$AH196&amp;"일 / 구리 "&amp;$AI196&amp;"일"&amp;IF($AQ196&lt;&gt;""," (구리 근무자명단 반영)","")&amp;" → 15일 이상 근무 병원 지급","타 병원 포함 → "&amp;IF($AJ196="","소속",INDEX(입력_파견수련계획!$T$4:$T$803,$AJ196))&amp;" 규칙"))))</f>
        <v/>
      </c>
      <c r="AP196" s="10">
        <f>IF($B196="","",$C196&amp;"|"&amp;$F196)</f>
        <v/>
      </c>
      <c r="AQ196" s="10">
        <f>IF($B196="","",IFERROR(MATCH(ROW()-1,출력_구리근무자!$K$6:$K$305,0),""))</f>
        <v/>
      </c>
      <c r="AR196" s="10">
        <f>IF($AQ196="","",INDEX(출력_구리근무자!$H$6:$H$305,$AQ196))</f>
        <v/>
      </c>
    </row>
    <row r="197">
      <c r="A197" s="10">
        <f>IF(B197="","",ROW()-1)</f>
        <v/>
      </c>
      <c r="B197" s="19" t="n"/>
      <c r="C197" s="10">
        <f>IF($AB197="","",IF(INDEX(입력_기본자료!$C$2:$C$1001,$AB197)="","",INDEX(입력_기본자료!$C$2:$C$1001,$AB197)))</f>
        <v/>
      </c>
      <c r="D197" s="10">
        <f>IF($AB197="","",IF(INDEX(입력_기본자료!$J$2:$J$1001,$AB197)="","",INDEX(입력_기본자료!$J$2:$J$1001,$AB197)))</f>
        <v/>
      </c>
      <c r="E197" s="11">
        <f>IF($AB197="","",IF(INDEX(입력_기본자료!$K$2:$K$1001,$AB197)="","",IF(NOT(ISNUMBER(INDEX(입력_기본자료!$K$2:$K$1001,$AB197))),INDEX(입력_기본자료!$K$2:$K$1001,$AB197),IF(INDEX(입력_기본자료!$K$2:$K$1001,$AB197)&lt;1000000,INDEX(입력_기본자료!$K$2:$K$1001,$AB197),IF(AND(INDEX(입력_기본자료!$K$2:$K$1001,$AB197)&gt;=10000101,INT(MOD(INDEX(입력_기본자료!$K$2:$K$1001,$AB197),10000)/100)&gt;=1,INT(MOD(INDEX(입력_기본자료!$K$2:$K$1001,$AB197),10000)/100)&lt;=12,MOD(INDEX(입력_기본자료!$K$2:$K$1001,$AB197),100)&gt;=1,MOD(INDEX(입력_기본자료!$K$2:$K$1001,$AB197),100)&lt;=31),DATE(INT(INDEX(입력_기본자료!$K$2:$K$1001,$AB197)/10000),INT(MOD(INDEX(입력_기본자료!$K$2:$K$1001,$AB197),10000)/100),MOD(INDEX(입력_기본자료!$K$2:$K$1001,$AB197),100)),INDEX(입력_기본자료!$K$2:$K$1001,$AB197)&amp;"")))))</f>
        <v/>
      </c>
      <c r="F197" s="10">
        <f>IF($AB197="","",IF(INDEX(입력_기본자료!$D$2:$D$1001,$AB197)="","",INDEX(입력_기본자료!$D$2:$D$1001,$AB197)))</f>
        <v/>
      </c>
      <c r="G197" s="10">
        <f>IF($AB197="","",IF(INDEX(입력_기본자료!$E$2:$E$1001,$AB197)="","",INDEX(입력_기본자료!$E$2:$E$1001,$AB197)))</f>
        <v/>
      </c>
      <c r="H197" s="10">
        <f>IF($AB197="","",IF(INDEX(입력_기본자료!$F$2:$F$1001,$AB197)="","",INDEX(입력_기본자료!$F$2:$F$1001,$AB197)))</f>
        <v/>
      </c>
      <c r="I197" s="11">
        <f>IF($AB197="","",IF(INDEX(입력_기본자료!$G$2:$G$1001,$AB197)="","",IF(NOT(ISNUMBER(INDEX(입력_기본자료!$G$2:$G$1001,$AB197))),INDEX(입력_기본자료!$G$2:$G$1001,$AB197),IF(INDEX(입력_기본자료!$G$2:$G$1001,$AB197)&lt;1000000,INDEX(입력_기본자료!$G$2:$G$1001,$AB197),IF(AND(INDEX(입력_기본자료!$G$2:$G$1001,$AB197)&gt;=10000101,INT(MOD(INDEX(입력_기본자료!$G$2:$G$1001,$AB197),10000)/100)&gt;=1,INT(MOD(INDEX(입력_기본자료!$G$2:$G$1001,$AB197),10000)/100)&lt;=12,MOD(INDEX(입력_기본자료!$G$2:$G$1001,$AB197),100)&gt;=1,MOD(INDEX(입력_기본자료!$G$2:$G$1001,$AB197),100)&lt;=31),DATE(INT(INDEX(입력_기본자료!$G$2:$G$1001,$AB197)/10000),INT(MOD(INDEX(입력_기본자료!$G$2:$G$1001,$AB197),10000)/100),MOD(INDEX(입력_기본자료!$G$2:$G$1001,$AB197),100)),INDEX(입력_기본자료!$G$2:$G$1001,$AB197)&amp;"")))))</f>
        <v/>
      </c>
      <c r="J197" s="10">
        <f>IF($AB197="","",IF(INDEX(입력_기본자료!$H$2:$H$1001,$AB197)="","",INDEX(입력_기본자료!$H$2:$H$1001,$AB197)))</f>
        <v/>
      </c>
      <c r="K197" s="10">
        <f>IF($AB197="","",IF(INDEX(입력_기본자료!$I$2:$I$1001,$AB197)="","",INDEX(입력_기본자료!$I$2:$I$1001,$AB197)))</f>
        <v/>
      </c>
      <c r="L197" s="10">
        <f>IF($AB197="","",IF(INDEX(입력_기본자료!$A$2:$A$1001,$AB197)="","",INDEX(입력_기본자료!$A$2:$A$1001,$AB197)))</f>
        <v/>
      </c>
      <c r="M197" s="15" t="n"/>
      <c r="N197" s="10">
        <f>IF($B197="","",IF(AND($U197="파견중",$Q197&lt;&gt;""),$Q197,IF(AND($AD197&lt;&gt;"",LEFT($AD197,1)&lt;&gt;"⚠"),LEFT($AD197,FIND(" ",$AD197)-1),IF($H197="","",IF(RIGHT($H197,2)="병원",$H197,$H197&amp;"병원")))))</f>
        <v/>
      </c>
      <c r="O197" s="10">
        <f>IF($B197="","",IF(AND($U197="파견중",$Q197&lt;&gt;""),IF($R197&lt;&gt;"",$R197,"파견과 미입력"),IF(AND($AD197&lt;&gt;"",LEFT($AD197,1)&lt;&gt;"⚠"),MID($AD197,FIND(" ",$AD197)+1,60),IF($F197="","",IF($F197="인턴","수련교육부(인턴)",$F197)))))</f>
        <v/>
      </c>
      <c r="P197" s="10">
        <f>IF($B197="","",IF($AK197&lt;&gt;"",IF(AND(TODAY()&gt;=INDEX(입력_파견수련계획!$AB$4:$AB$803,$AK197),OR(NOT(ISNUMBER(INDEX(입력_파견수련계획!$AC$4:$AC$803,$AK197))),TODAY()&lt;=INDEX(입력_파견수련계획!$AC$4:$AC$803,$AK197))),"다기관",IF($AF197="","",INDEX(입력_파견수련계획!$T$4:$T$803,$AF197))),IF($AF197="","",INDEX(입력_파견수련계획!$T$4:$T$803,$AF197))))</f>
        <v/>
      </c>
      <c r="Q197" s="10">
        <f>IF($AF197="","",INDEX(입력_파견수련계획!$S$4:$S$803,$AF197))</f>
        <v/>
      </c>
      <c r="R197" s="10">
        <f>IF($AF197="","",INDEX(입력_파견수련계획!$U$4:$U$803,$AF197))</f>
        <v/>
      </c>
      <c r="S197" s="11">
        <f>IF($AF197="","",IF(INDEX(입력_파견수련계획!$H$4:$H$803,$AF197)="","",INDEX(입력_파견수련계획!$H$4:$H$803,$AF197)))</f>
        <v/>
      </c>
      <c r="T197" s="11">
        <f>IF($AF197="","",IF(INDEX(입력_파견수련계획!$I$4:$I$803,$AF197)="","",INDEX(입력_파견수련계획!$I$4:$I$803,$AF197)))</f>
        <v/>
      </c>
      <c r="U197" s="10">
        <f>IF($AF197="","",INDEX(입력_파견수련계획!$X$4:$X$803,$AF197))</f>
        <v/>
      </c>
      <c r="V197" s="17">
        <f>IF($AF197="","",INDEX(입력_파견수련계획!$V$4:$V$803,$AF197))</f>
        <v/>
      </c>
      <c r="W197" s="17">
        <f>IF(AND($U197="파견중",$T197&lt;&gt;""),$T197-TODAY(),"")</f>
        <v/>
      </c>
      <c r="X197" s="17">
        <f>IF(OR($B197="",TRIM($J197&amp;"")=""),"",SUMPRODUCT((입력_파견수련계획!$Q$4:$Q$803=TRIM($J197&amp;""))*입력_파견수련계획!$W$4:$W$803))</f>
        <v/>
      </c>
      <c r="Y197" s="10">
        <f>IF($B197="","",IF($AG197="","",IF(IF(TRIM($J197&amp;"")="",0,SUMPRODUCT((입력_파견수련계획!$Q$4:$Q$803=TRIM($J197&amp;""))*입력_파견수련계획!$AD$4:$AD$803))&gt;0,$AE197,IF(AND(N($X197)&lt;=0,$AQ197=""),$AG197,IF($AH197+$AI197=DAY(EOMONTH(출력_요약!$B$3,0)),IF(AND($AH197&gt;=출력_요약!$E$3,$AI197&lt;출력_요약!$E$3),"서울병원",IF(AND($AI197&gt;=출력_요약!$E$3,$AH197&lt;출력_요약!$E$3),"구리병원","⚠15일 판정불가(서울 "&amp;$AH197&amp;"일/구리 "&amp;$AI197&amp;"일)")),IF($AJ197="",$AE197,IF(INDEX(입력_파견수련계획!$T$4:$T$803,$AJ197)="통합수련",INDEX(입력_파견수련계획!$S$4:$S$803,$AJ197),$AE197)))))))</f>
        <v/>
      </c>
      <c r="Z197" s="20">
        <f>IF($B197="","",IF($AB197="","기본자료에 없는 사번",IF(COUNTIF($B$2:$B$401,$B197)&gt;1,"중복 사번",IF($AE197="","소속(입사장소) 입력",IF(IF(TRIM($J197&amp;"")="",0,SUMPRODUCT((입력_파견수련계획!$Q$4:$Q$803=TRIM($J197&amp;""))*(입력_파견수련계획!$AA$4:$AA$803&lt;&gt;"")))&gt;0,"파견수련계획 입력오류 확인",IF(LEFT($Y197,1)="⚠","서울·구리 15일 판정 불가(양쪽 모두 이상/미만)",IF(IF($AC197="",0,N(INDEX(입력_인턴근무계획!$T$3:$T$402,$AC197)))&gt;0,"인턴계획 입력오류 확인",IF(AND($AQ197&lt;&gt;"",$AG197&lt;&gt;"구리병원",IF(TRIM($J197&amp;"")="",0,SUMPRODUCT((입력_파견수련계획!$Q$4:$Q$803=TRIM($J197&amp;""))*(입력_파견수련계획!$S$4:$S$803="구리병원")*입력_파견수련계획!$W$4:$W$803))=0),"구리 근무자명단에만 있음(파견수련계획 확인)",IF(AND($AC197&lt;&gt;"",$U197&lt;&gt;"파견중",$N197&lt;&gt;$AE197),"인턴 타지역 근무: 파견 여부 확인","정상")))))))))</f>
        <v/>
      </c>
      <c r="AA197" s="5" t="n"/>
      <c r="AB197" s="10">
        <f>IF($B197="","",IFERROR(MATCH($B197,입력_기본자료!$B$2:$B$1001,0),IFERROR(MATCH($B197&amp;"",입력_기본자료!$B$2:$B$1001,0),IFERROR(MATCH(VALUE($B197),입력_기본자료!$B$2:$B$1001,0),""))))</f>
        <v/>
      </c>
      <c r="AC197" s="10">
        <f>IF($B197="","",IFERROR(MATCH($B197,입력_인턴근무계획!$D$3:$D$402,0),IFERROR(MATCH($B197&amp;"",입력_인턴근무계획!$D$3:$D$402,0),IFERROR(MATCH(VALUE($B197),입력_인턴근무계획!$D$3:$D$402,0),""))))</f>
        <v/>
      </c>
      <c r="AD197" s="10">
        <f>IF(OR($AC197="",출력_인턴현황!$G$3=""),"",INDEX(입력_인턴근무계획!$M$3:$R$402,$AC197,출력_인턴현황!$G$3)&amp;"")</f>
        <v/>
      </c>
      <c r="AE197" s="10">
        <f>IF($B197="","",IF($M197&lt;&gt;"",$M197,IF(IF($AQ197="",FALSE,INDEX(출력_구리근무자!$J$6:$J$305,$AQ197)="구리독자"),"구리병원",IF($AF197&lt;&gt;"",IF(LEFT(INDEX(입력_파견수련계획!$R$4:$R$803,$AF197),1)&lt;&gt;"⚠",INDEX(입력_파견수련계획!$R$4:$R$803,$AF197),IF($H197="","",IF(RIGHT($H197,2)="병원",$H197,$H197&amp;"병원"))),IF($H197="","",IF(RIGHT($H197,2)="병원",$H197,$H197&amp;"병원"))))))</f>
        <v/>
      </c>
      <c r="AF197" s="10">
        <f>IF(OR($B197="",TRIM($J197&amp;"")=""),"",IFERROR(MATCH(TRIM($J197&amp;"")&amp;"|파견중",입력_파견수련계획!$Y$4:$Y$803,0),IFERROR(MATCH(TRIM($J197&amp;"")&amp;"|파견예정",입력_파견수련계획!$Y$4:$Y$803,0),IFERROR(MATCH(TRIM($J197&amp;"")&amp;"|파견종료",입력_파견수련계획!$Y$4:$Y$803,0),""))))</f>
        <v/>
      </c>
      <c r="AG197" s="10">
        <f>IF($B197="","",IF(AND(IF(OR($AC197="",출력_인턴현황!$K$2=""),"",INDEX(입력_인턴근무계획!$M$3:$R$402,$AC197,출력_인턴현황!$K$2)&amp;"")&lt;&gt;"",LEFT(IF(OR($AC197="",출력_인턴현황!$K$2=""),"",INDEX(입력_인턴근무계획!$M$3:$R$402,$AC197,출력_인턴현황!$K$2)&amp;""),1)&lt;&gt;"⚠"),LEFT(IF(OR($AC197="",출력_인턴현황!$K$2=""),"",INDEX(입력_인턴근무계획!$M$3:$R$402,$AC197,출력_인턴현황!$K$2)&amp;""),FIND(" ",IF(OR($AC197="",출력_인턴현황!$K$2=""),"",INDEX(입력_인턴근무계획!$M$3:$R$402,$AC197,출력_인턴현황!$K$2)&amp;""))-1),$AE197))</f>
        <v/>
      </c>
      <c r="AH197" s="17">
        <f>IF($B197="","",IF($AQ197&lt;&gt;"",MAX(0,DAY(EOMONTH(출력_요약!$B$3,0))-N($AR197)),IF(TRIM($J197&amp;"")="",0,SUMPRODUCT((입력_파견수련계획!$Q$4:$Q$803=TRIM($J197&amp;""))*(입력_파견수련계획!$S$4:$S$803="서울병원")*입력_파견수련계획!$W$4:$W$803))+IF($AG197="서울병원",MAX(0,DAY(EOMONTH(출력_요약!$B$3,0))-N($X197)),0)))</f>
        <v/>
      </c>
      <c r="AI197" s="17">
        <f>IF($B197="","",IF($AQ197&lt;&gt;"",N($AR197),IF(TRIM($J197&amp;"")="",0,SUMPRODUCT((입력_파견수련계획!$Q$4:$Q$803=TRIM($J197&amp;""))*(입력_파견수련계획!$S$4:$S$803="구리병원")*입력_파견수련계획!$W$4:$W$803))+IF($AG197="구리병원",MAX(0,DAY(EOMONTH(출력_요약!$B$3,0))-N($X197)),0)))</f>
        <v/>
      </c>
      <c r="AJ197" s="10">
        <f>IF(OR($B197="",TRIM($J197&amp;"")=""),"",IFERROR(MATCH(TRIM($J197&amp;"")&amp;"|월",입력_파견수련계획!$Z$4:$Z$803,0),""))</f>
        <v/>
      </c>
      <c r="AK197" s="10">
        <f>IF(OR($B197="",TRIM($J197&amp;"")=""),"",IFERROR(MATCH(TRIM($J197&amp;"")&amp;"|다기관",입력_파견수련계획!$AE$4:$AE$803,0),""))</f>
        <v/>
      </c>
      <c r="AL197" s="10">
        <f>IF($AK197="","","다기관 "&amp;TEXT(INDEX(입력_파견수련계획!$AB$4:$AB$803,$AK197),"yyyy-mm-dd")&amp;"~"&amp;IF(ISNUMBER(INDEX(입력_파견수련계획!$AC$4:$AC$803,$AK197)),TEXT(INDEX(입력_파견수련계획!$AC$4:$AC$803,$AK197),"yyyy-mm-dd"),""))</f>
        <v/>
      </c>
      <c r="AM197" s="10">
        <f>IF($Y197="서울병원",COUNTIF($Y$2:$Y197,"서울병원"),"")</f>
        <v/>
      </c>
      <c r="AN197" s="10">
        <f>IF(LEFT($Y197,1)="⚠",COUNTIF($Y$2:$Y197,"⚠*"),"")</f>
        <v/>
      </c>
      <c r="AO197" s="10">
        <f>IF(OR($B197="",$Y197=""),"",IF(IF(TRIM($J197&amp;"")="",0,SUMPRODUCT((입력_파견수련계획!$Q$4:$Q$803=TRIM($J197&amp;""))*입력_파견수련계획!$AD$4:$AD$803))&gt;0,"다기관 기간 → 소속병원 지급",IF(AND(N($X197)&lt;=0,$AQ197=""),"파견 없음 → 그 달 근무병원 지급",IF($AH197+$AI197=DAY(EOMONTH(출력_요약!$B$3,0)),"서울 "&amp;$AH197&amp;"일 / 구리 "&amp;$AI197&amp;"일"&amp;IF($AQ197&lt;&gt;""," (구리 근무자명단 반영)","")&amp;" → 15일 이상 근무 병원 지급","타 병원 포함 → "&amp;IF($AJ197="","소속",INDEX(입력_파견수련계획!$T$4:$T$803,$AJ197))&amp;" 규칙"))))</f>
        <v/>
      </c>
      <c r="AP197" s="10">
        <f>IF($B197="","",$C197&amp;"|"&amp;$F197)</f>
        <v/>
      </c>
      <c r="AQ197" s="10">
        <f>IF($B197="","",IFERROR(MATCH(ROW()-1,출력_구리근무자!$K$6:$K$305,0),""))</f>
        <v/>
      </c>
      <c r="AR197" s="10">
        <f>IF($AQ197="","",INDEX(출력_구리근무자!$H$6:$H$305,$AQ197))</f>
        <v/>
      </c>
    </row>
    <row r="198">
      <c r="A198" s="10">
        <f>IF(B198="","",ROW()-1)</f>
        <v/>
      </c>
      <c r="B198" s="19" t="n"/>
      <c r="C198" s="10">
        <f>IF($AB198="","",IF(INDEX(입력_기본자료!$C$2:$C$1001,$AB198)="","",INDEX(입력_기본자료!$C$2:$C$1001,$AB198)))</f>
        <v/>
      </c>
      <c r="D198" s="10">
        <f>IF($AB198="","",IF(INDEX(입력_기본자료!$J$2:$J$1001,$AB198)="","",INDEX(입력_기본자료!$J$2:$J$1001,$AB198)))</f>
        <v/>
      </c>
      <c r="E198" s="11">
        <f>IF($AB198="","",IF(INDEX(입력_기본자료!$K$2:$K$1001,$AB198)="","",IF(NOT(ISNUMBER(INDEX(입력_기본자료!$K$2:$K$1001,$AB198))),INDEX(입력_기본자료!$K$2:$K$1001,$AB198),IF(INDEX(입력_기본자료!$K$2:$K$1001,$AB198)&lt;1000000,INDEX(입력_기본자료!$K$2:$K$1001,$AB198),IF(AND(INDEX(입력_기본자료!$K$2:$K$1001,$AB198)&gt;=10000101,INT(MOD(INDEX(입력_기본자료!$K$2:$K$1001,$AB198),10000)/100)&gt;=1,INT(MOD(INDEX(입력_기본자료!$K$2:$K$1001,$AB198),10000)/100)&lt;=12,MOD(INDEX(입력_기본자료!$K$2:$K$1001,$AB198),100)&gt;=1,MOD(INDEX(입력_기본자료!$K$2:$K$1001,$AB198),100)&lt;=31),DATE(INT(INDEX(입력_기본자료!$K$2:$K$1001,$AB198)/10000),INT(MOD(INDEX(입력_기본자료!$K$2:$K$1001,$AB198),10000)/100),MOD(INDEX(입력_기본자료!$K$2:$K$1001,$AB198),100)),INDEX(입력_기본자료!$K$2:$K$1001,$AB198)&amp;"")))))</f>
        <v/>
      </c>
      <c r="F198" s="10">
        <f>IF($AB198="","",IF(INDEX(입력_기본자료!$D$2:$D$1001,$AB198)="","",INDEX(입력_기본자료!$D$2:$D$1001,$AB198)))</f>
        <v/>
      </c>
      <c r="G198" s="10">
        <f>IF($AB198="","",IF(INDEX(입력_기본자료!$E$2:$E$1001,$AB198)="","",INDEX(입력_기본자료!$E$2:$E$1001,$AB198)))</f>
        <v/>
      </c>
      <c r="H198" s="10">
        <f>IF($AB198="","",IF(INDEX(입력_기본자료!$F$2:$F$1001,$AB198)="","",INDEX(입력_기본자료!$F$2:$F$1001,$AB198)))</f>
        <v/>
      </c>
      <c r="I198" s="11">
        <f>IF($AB198="","",IF(INDEX(입력_기본자료!$G$2:$G$1001,$AB198)="","",IF(NOT(ISNUMBER(INDEX(입력_기본자료!$G$2:$G$1001,$AB198))),INDEX(입력_기본자료!$G$2:$G$1001,$AB198),IF(INDEX(입력_기본자료!$G$2:$G$1001,$AB198)&lt;1000000,INDEX(입력_기본자료!$G$2:$G$1001,$AB198),IF(AND(INDEX(입력_기본자료!$G$2:$G$1001,$AB198)&gt;=10000101,INT(MOD(INDEX(입력_기본자료!$G$2:$G$1001,$AB198),10000)/100)&gt;=1,INT(MOD(INDEX(입력_기본자료!$G$2:$G$1001,$AB198),10000)/100)&lt;=12,MOD(INDEX(입력_기본자료!$G$2:$G$1001,$AB198),100)&gt;=1,MOD(INDEX(입력_기본자료!$G$2:$G$1001,$AB198),100)&lt;=31),DATE(INT(INDEX(입력_기본자료!$G$2:$G$1001,$AB198)/10000),INT(MOD(INDEX(입력_기본자료!$G$2:$G$1001,$AB198),10000)/100),MOD(INDEX(입력_기본자료!$G$2:$G$1001,$AB198),100)),INDEX(입력_기본자료!$G$2:$G$1001,$AB198)&amp;"")))))</f>
        <v/>
      </c>
      <c r="J198" s="10">
        <f>IF($AB198="","",IF(INDEX(입력_기본자료!$H$2:$H$1001,$AB198)="","",INDEX(입력_기본자료!$H$2:$H$1001,$AB198)))</f>
        <v/>
      </c>
      <c r="K198" s="10">
        <f>IF($AB198="","",IF(INDEX(입력_기본자료!$I$2:$I$1001,$AB198)="","",INDEX(입력_기본자료!$I$2:$I$1001,$AB198)))</f>
        <v/>
      </c>
      <c r="L198" s="10">
        <f>IF($AB198="","",IF(INDEX(입력_기본자료!$A$2:$A$1001,$AB198)="","",INDEX(입력_기본자료!$A$2:$A$1001,$AB198)))</f>
        <v/>
      </c>
      <c r="M198" s="15" t="n"/>
      <c r="N198" s="10">
        <f>IF($B198="","",IF(AND($U198="파견중",$Q198&lt;&gt;""),$Q198,IF(AND($AD198&lt;&gt;"",LEFT($AD198,1)&lt;&gt;"⚠"),LEFT($AD198,FIND(" ",$AD198)-1),IF($H198="","",IF(RIGHT($H198,2)="병원",$H198,$H198&amp;"병원")))))</f>
        <v/>
      </c>
      <c r="O198" s="10">
        <f>IF($B198="","",IF(AND($U198="파견중",$Q198&lt;&gt;""),IF($R198&lt;&gt;"",$R198,"파견과 미입력"),IF(AND($AD198&lt;&gt;"",LEFT($AD198,1)&lt;&gt;"⚠"),MID($AD198,FIND(" ",$AD198)+1,60),IF($F198="","",IF($F198="인턴","수련교육부(인턴)",$F198)))))</f>
        <v/>
      </c>
      <c r="P198" s="10">
        <f>IF($B198="","",IF($AK198&lt;&gt;"",IF(AND(TODAY()&gt;=INDEX(입력_파견수련계획!$AB$4:$AB$803,$AK198),OR(NOT(ISNUMBER(INDEX(입력_파견수련계획!$AC$4:$AC$803,$AK198))),TODAY()&lt;=INDEX(입력_파견수련계획!$AC$4:$AC$803,$AK198))),"다기관",IF($AF198="","",INDEX(입력_파견수련계획!$T$4:$T$803,$AF198))),IF($AF198="","",INDEX(입력_파견수련계획!$T$4:$T$803,$AF198))))</f>
        <v/>
      </c>
      <c r="Q198" s="10">
        <f>IF($AF198="","",INDEX(입력_파견수련계획!$S$4:$S$803,$AF198))</f>
        <v/>
      </c>
      <c r="R198" s="10">
        <f>IF($AF198="","",INDEX(입력_파견수련계획!$U$4:$U$803,$AF198))</f>
        <v/>
      </c>
      <c r="S198" s="11">
        <f>IF($AF198="","",IF(INDEX(입력_파견수련계획!$H$4:$H$803,$AF198)="","",INDEX(입력_파견수련계획!$H$4:$H$803,$AF198)))</f>
        <v/>
      </c>
      <c r="T198" s="11">
        <f>IF($AF198="","",IF(INDEX(입력_파견수련계획!$I$4:$I$803,$AF198)="","",INDEX(입력_파견수련계획!$I$4:$I$803,$AF198)))</f>
        <v/>
      </c>
      <c r="U198" s="10">
        <f>IF($AF198="","",INDEX(입력_파견수련계획!$X$4:$X$803,$AF198))</f>
        <v/>
      </c>
      <c r="V198" s="17">
        <f>IF($AF198="","",INDEX(입력_파견수련계획!$V$4:$V$803,$AF198))</f>
        <v/>
      </c>
      <c r="W198" s="17">
        <f>IF(AND($U198="파견중",$T198&lt;&gt;""),$T198-TODAY(),"")</f>
        <v/>
      </c>
      <c r="X198" s="17">
        <f>IF(OR($B198="",TRIM($J198&amp;"")=""),"",SUMPRODUCT((입력_파견수련계획!$Q$4:$Q$803=TRIM($J198&amp;""))*입력_파견수련계획!$W$4:$W$803))</f>
        <v/>
      </c>
      <c r="Y198" s="10">
        <f>IF($B198="","",IF($AG198="","",IF(IF(TRIM($J198&amp;"")="",0,SUMPRODUCT((입력_파견수련계획!$Q$4:$Q$803=TRIM($J198&amp;""))*입력_파견수련계획!$AD$4:$AD$803))&gt;0,$AE198,IF(AND(N($X198)&lt;=0,$AQ198=""),$AG198,IF($AH198+$AI198=DAY(EOMONTH(출력_요약!$B$3,0)),IF(AND($AH198&gt;=출력_요약!$E$3,$AI198&lt;출력_요약!$E$3),"서울병원",IF(AND($AI198&gt;=출력_요약!$E$3,$AH198&lt;출력_요약!$E$3),"구리병원","⚠15일 판정불가(서울 "&amp;$AH198&amp;"일/구리 "&amp;$AI198&amp;"일)")),IF($AJ198="",$AE198,IF(INDEX(입력_파견수련계획!$T$4:$T$803,$AJ198)="통합수련",INDEX(입력_파견수련계획!$S$4:$S$803,$AJ198),$AE198)))))))</f>
        <v/>
      </c>
      <c r="Z198" s="20">
        <f>IF($B198="","",IF($AB198="","기본자료에 없는 사번",IF(COUNTIF($B$2:$B$401,$B198)&gt;1,"중복 사번",IF($AE198="","소속(입사장소) 입력",IF(IF(TRIM($J198&amp;"")="",0,SUMPRODUCT((입력_파견수련계획!$Q$4:$Q$803=TRIM($J198&amp;""))*(입력_파견수련계획!$AA$4:$AA$803&lt;&gt;"")))&gt;0,"파견수련계획 입력오류 확인",IF(LEFT($Y198,1)="⚠","서울·구리 15일 판정 불가(양쪽 모두 이상/미만)",IF(IF($AC198="",0,N(INDEX(입력_인턴근무계획!$T$3:$T$402,$AC198)))&gt;0,"인턴계획 입력오류 확인",IF(AND($AQ198&lt;&gt;"",$AG198&lt;&gt;"구리병원",IF(TRIM($J198&amp;"")="",0,SUMPRODUCT((입력_파견수련계획!$Q$4:$Q$803=TRIM($J198&amp;""))*(입력_파견수련계획!$S$4:$S$803="구리병원")*입력_파견수련계획!$W$4:$W$803))=0),"구리 근무자명단에만 있음(파견수련계획 확인)",IF(AND($AC198&lt;&gt;"",$U198&lt;&gt;"파견중",$N198&lt;&gt;$AE198),"인턴 타지역 근무: 파견 여부 확인","정상")))))))))</f>
        <v/>
      </c>
      <c r="AA198" s="5" t="n"/>
      <c r="AB198" s="10">
        <f>IF($B198="","",IFERROR(MATCH($B198,입력_기본자료!$B$2:$B$1001,0),IFERROR(MATCH($B198&amp;"",입력_기본자료!$B$2:$B$1001,0),IFERROR(MATCH(VALUE($B198),입력_기본자료!$B$2:$B$1001,0),""))))</f>
        <v/>
      </c>
      <c r="AC198" s="10">
        <f>IF($B198="","",IFERROR(MATCH($B198,입력_인턴근무계획!$D$3:$D$402,0),IFERROR(MATCH($B198&amp;"",입력_인턴근무계획!$D$3:$D$402,0),IFERROR(MATCH(VALUE($B198),입력_인턴근무계획!$D$3:$D$402,0),""))))</f>
        <v/>
      </c>
      <c r="AD198" s="10">
        <f>IF(OR($AC198="",출력_인턴현황!$G$3=""),"",INDEX(입력_인턴근무계획!$M$3:$R$402,$AC198,출력_인턴현황!$G$3)&amp;"")</f>
        <v/>
      </c>
      <c r="AE198" s="10">
        <f>IF($B198="","",IF($M198&lt;&gt;"",$M198,IF(IF($AQ198="",FALSE,INDEX(출력_구리근무자!$J$6:$J$305,$AQ198)="구리독자"),"구리병원",IF($AF198&lt;&gt;"",IF(LEFT(INDEX(입력_파견수련계획!$R$4:$R$803,$AF198),1)&lt;&gt;"⚠",INDEX(입력_파견수련계획!$R$4:$R$803,$AF198),IF($H198="","",IF(RIGHT($H198,2)="병원",$H198,$H198&amp;"병원"))),IF($H198="","",IF(RIGHT($H198,2)="병원",$H198,$H198&amp;"병원"))))))</f>
        <v/>
      </c>
      <c r="AF198" s="10">
        <f>IF(OR($B198="",TRIM($J198&amp;"")=""),"",IFERROR(MATCH(TRIM($J198&amp;"")&amp;"|파견중",입력_파견수련계획!$Y$4:$Y$803,0),IFERROR(MATCH(TRIM($J198&amp;"")&amp;"|파견예정",입력_파견수련계획!$Y$4:$Y$803,0),IFERROR(MATCH(TRIM($J198&amp;"")&amp;"|파견종료",입력_파견수련계획!$Y$4:$Y$803,0),""))))</f>
        <v/>
      </c>
      <c r="AG198" s="10">
        <f>IF($B198="","",IF(AND(IF(OR($AC198="",출력_인턴현황!$K$2=""),"",INDEX(입력_인턴근무계획!$M$3:$R$402,$AC198,출력_인턴현황!$K$2)&amp;"")&lt;&gt;"",LEFT(IF(OR($AC198="",출력_인턴현황!$K$2=""),"",INDEX(입력_인턴근무계획!$M$3:$R$402,$AC198,출력_인턴현황!$K$2)&amp;""),1)&lt;&gt;"⚠"),LEFT(IF(OR($AC198="",출력_인턴현황!$K$2=""),"",INDEX(입력_인턴근무계획!$M$3:$R$402,$AC198,출력_인턴현황!$K$2)&amp;""),FIND(" ",IF(OR($AC198="",출력_인턴현황!$K$2=""),"",INDEX(입력_인턴근무계획!$M$3:$R$402,$AC198,출력_인턴현황!$K$2)&amp;""))-1),$AE198))</f>
        <v/>
      </c>
      <c r="AH198" s="17">
        <f>IF($B198="","",IF($AQ198&lt;&gt;"",MAX(0,DAY(EOMONTH(출력_요약!$B$3,0))-N($AR198)),IF(TRIM($J198&amp;"")="",0,SUMPRODUCT((입력_파견수련계획!$Q$4:$Q$803=TRIM($J198&amp;""))*(입력_파견수련계획!$S$4:$S$803="서울병원")*입력_파견수련계획!$W$4:$W$803))+IF($AG198="서울병원",MAX(0,DAY(EOMONTH(출력_요약!$B$3,0))-N($X198)),0)))</f>
        <v/>
      </c>
      <c r="AI198" s="17">
        <f>IF($B198="","",IF($AQ198&lt;&gt;"",N($AR198),IF(TRIM($J198&amp;"")="",0,SUMPRODUCT((입력_파견수련계획!$Q$4:$Q$803=TRIM($J198&amp;""))*(입력_파견수련계획!$S$4:$S$803="구리병원")*입력_파견수련계획!$W$4:$W$803))+IF($AG198="구리병원",MAX(0,DAY(EOMONTH(출력_요약!$B$3,0))-N($X198)),0)))</f>
        <v/>
      </c>
      <c r="AJ198" s="10">
        <f>IF(OR($B198="",TRIM($J198&amp;"")=""),"",IFERROR(MATCH(TRIM($J198&amp;"")&amp;"|월",입력_파견수련계획!$Z$4:$Z$803,0),""))</f>
        <v/>
      </c>
      <c r="AK198" s="10">
        <f>IF(OR($B198="",TRIM($J198&amp;"")=""),"",IFERROR(MATCH(TRIM($J198&amp;"")&amp;"|다기관",입력_파견수련계획!$AE$4:$AE$803,0),""))</f>
        <v/>
      </c>
      <c r="AL198" s="10">
        <f>IF($AK198="","","다기관 "&amp;TEXT(INDEX(입력_파견수련계획!$AB$4:$AB$803,$AK198),"yyyy-mm-dd")&amp;"~"&amp;IF(ISNUMBER(INDEX(입력_파견수련계획!$AC$4:$AC$803,$AK198)),TEXT(INDEX(입력_파견수련계획!$AC$4:$AC$803,$AK198),"yyyy-mm-dd"),""))</f>
        <v/>
      </c>
      <c r="AM198" s="10">
        <f>IF($Y198="서울병원",COUNTIF($Y$2:$Y198,"서울병원"),"")</f>
        <v/>
      </c>
      <c r="AN198" s="10">
        <f>IF(LEFT($Y198,1)="⚠",COUNTIF($Y$2:$Y198,"⚠*"),"")</f>
        <v/>
      </c>
      <c r="AO198" s="10">
        <f>IF(OR($B198="",$Y198=""),"",IF(IF(TRIM($J198&amp;"")="",0,SUMPRODUCT((입력_파견수련계획!$Q$4:$Q$803=TRIM($J198&amp;""))*입력_파견수련계획!$AD$4:$AD$803))&gt;0,"다기관 기간 → 소속병원 지급",IF(AND(N($X198)&lt;=0,$AQ198=""),"파견 없음 → 그 달 근무병원 지급",IF($AH198+$AI198=DAY(EOMONTH(출력_요약!$B$3,0)),"서울 "&amp;$AH198&amp;"일 / 구리 "&amp;$AI198&amp;"일"&amp;IF($AQ198&lt;&gt;""," (구리 근무자명단 반영)","")&amp;" → 15일 이상 근무 병원 지급","타 병원 포함 → "&amp;IF($AJ198="","소속",INDEX(입력_파견수련계획!$T$4:$T$803,$AJ198))&amp;" 규칙"))))</f>
        <v/>
      </c>
      <c r="AP198" s="10">
        <f>IF($B198="","",$C198&amp;"|"&amp;$F198)</f>
        <v/>
      </c>
      <c r="AQ198" s="10">
        <f>IF($B198="","",IFERROR(MATCH(ROW()-1,출력_구리근무자!$K$6:$K$305,0),""))</f>
        <v/>
      </c>
      <c r="AR198" s="10">
        <f>IF($AQ198="","",INDEX(출력_구리근무자!$H$6:$H$305,$AQ198))</f>
        <v/>
      </c>
    </row>
    <row r="199">
      <c r="A199" s="10">
        <f>IF(B199="","",ROW()-1)</f>
        <v/>
      </c>
      <c r="B199" s="19" t="n"/>
      <c r="C199" s="10">
        <f>IF($AB199="","",IF(INDEX(입력_기본자료!$C$2:$C$1001,$AB199)="","",INDEX(입력_기본자료!$C$2:$C$1001,$AB199)))</f>
        <v/>
      </c>
      <c r="D199" s="10">
        <f>IF($AB199="","",IF(INDEX(입력_기본자료!$J$2:$J$1001,$AB199)="","",INDEX(입력_기본자료!$J$2:$J$1001,$AB199)))</f>
        <v/>
      </c>
      <c r="E199" s="11">
        <f>IF($AB199="","",IF(INDEX(입력_기본자료!$K$2:$K$1001,$AB199)="","",IF(NOT(ISNUMBER(INDEX(입력_기본자료!$K$2:$K$1001,$AB199))),INDEX(입력_기본자료!$K$2:$K$1001,$AB199),IF(INDEX(입력_기본자료!$K$2:$K$1001,$AB199)&lt;1000000,INDEX(입력_기본자료!$K$2:$K$1001,$AB199),IF(AND(INDEX(입력_기본자료!$K$2:$K$1001,$AB199)&gt;=10000101,INT(MOD(INDEX(입력_기본자료!$K$2:$K$1001,$AB199),10000)/100)&gt;=1,INT(MOD(INDEX(입력_기본자료!$K$2:$K$1001,$AB199),10000)/100)&lt;=12,MOD(INDEX(입력_기본자료!$K$2:$K$1001,$AB199),100)&gt;=1,MOD(INDEX(입력_기본자료!$K$2:$K$1001,$AB199),100)&lt;=31),DATE(INT(INDEX(입력_기본자료!$K$2:$K$1001,$AB199)/10000),INT(MOD(INDEX(입력_기본자료!$K$2:$K$1001,$AB199),10000)/100),MOD(INDEX(입력_기본자료!$K$2:$K$1001,$AB199),100)),INDEX(입력_기본자료!$K$2:$K$1001,$AB199)&amp;"")))))</f>
        <v/>
      </c>
      <c r="F199" s="10">
        <f>IF($AB199="","",IF(INDEX(입력_기본자료!$D$2:$D$1001,$AB199)="","",INDEX(입력_기본자료!$D$2:$D$1001,$AB199)))</f>
        <v/>
      </c>
      <c r="G199" s="10">
        <f>IF($AB199="","",IF(INDEX(입력_기본자료!$E$2:$E$1001,$AB199)="","",INDEX(입력_기본자료!$E$2:$E$1001,$AB199)))</f>
        <v/>
      </c>
      <c r="H199" s="10">
        <f>IF($AB199="","",IF(INDEX(입력_기본자료!$F$2:$F$1001,$AB199)="","",INDEX(입력_기본자료!$F$2:$F$1001,$AB199)))</f>
        <v/>
      </c>
      <c r="I199" s="11">
        <f>IF($AB199="","",IF(INDEX(입력_기본자료!$G$2:$G$1001,$AB199)="","",IF(NOT(ISNUMBER(INDEX(입력_기본자료!$G$2:$G$1001,$AB199))),INDEX(입력_기본자료!$G$2:$G$1001,$AB199),IF(INDEX(입력_기본자료!$G$2:$G$1001,$AB199)&lt;1000000,INDEX(입력_기본자료!$G$2:$G$1001,$AB199),IF(AND(INDEX(입력_기본자료!$G$2:$G$1001,$AB199)&gt;=10000101,INT(MOD(INDEX(입력_기본자료!$G$2:$G$1001,$AB199),10000)/100)&gt;=1,INT(MOD(INDEX(입력_기본자료!$G$2:$G$1001,$AB199),10000)/100)&lt;=12,MOD(INDEX(입력_기본자료!$G$2:$G$1001,$AB199),100)&gt;=1,MOD(INDEX(입력_기본자료!$G$2:$G$1001,$AB199),100)&lt;=31),DATE(INT(INDEX(입력_기본자료!$G$2:$G$1001,$AB199)/10000),INT(MOD(INDEX(입력_기본자료!$G$2:$G$1001,$AB199),10000)/100),MOD(INDEX(입력_기본자료!$G$2:$G$1001,$AB199),100)),INDEX(입력_기본자료!$G$2:$G$1001,$AB199)&amp;"")))))</f>
        <v/>
      </c>
      <c r="J199" s="10">
        <f>IF($AB199="","",IF(INDEX(입력_기본자료!$H$2:$H$1001,$AB199)="","",INDEX(입력_기본자료!$H$2:$H$1001,$AB199)))</f>
        <v/>
      </c>
      <c r="K199" s="10">
        <f>IF($AB199="","",IF(INDEX(입력_기본자료!$I$2:$I$1001,$AB199)="","",INDEX(입력_기본자료!$I$2:$I$1001,$AB199)))</f>
        <v/>
      </c>
      <c r="L199" s="10">
        <f>IF($AB199="","",IF(INDEX(입력_기본자료!$A$2:$A$1001,$AB199)="","",INDEX(입력_기본자료!$A$2:$A$1001,$AB199)))</f>
        <v/>
      </c>
      <c r="M199" s="15" t="n"/>
      <c r="N199" s="10">
        <f>IF($B199="","",IF(AND($U199="파견중",$Q199&lt;&gt;""),$Q199,IF(AND($AD199&lt;&gt;"",LEFT($AD199,1)&lt;&gt;"⚠"),LEFT($AD199,FIND(" ",$AD199)-1),IF($H199="","",IF(RIGHT($H199,2)="병원",$H199,$H199&amp;"병원")))))</f>
        <v/>
      </c>
      <c r="O199" s="10">
        <f>IF($B199="","",IF(AND($U199="파견중",$Q199&lt;&gt;""),IF($R199&lt;&gt;"",$R199,"파견과 미입력"),IF(AND($AD199&lt;&gt;"",LEFT($AD199,1)&lt;&gt;"⚠"),MID($AD199,FIND(" ",$AD199)+1,60),IF($F199="","",IF($F199="인턴","수련교육부(인턴)",$F199)))))</f>
        <v/>
      </c>
      <c r="P199" s="10">
        <f>IF($B199="","",IF($AK199&lt;&gt;"",IF(AND(TODAY()&gt;=INDEX(입력_파견수련계획!$AB$4:$AB$803,$AK199),OR(NOT(ISNUMBER(INDEX(입력_파견수련계획!$AC$4:$AC$803,$AK199))),TODAY()&lt;=INDEX(입력_파견수련계획!$AC$4:$AC$803,$AK199))),"다기관",IF($AF199="","",INDEX(입력_파견수련계획!$T$4:$T$803,$AF199))),IF($AF199="","",INDEX(입력_파견수련계획!$T$4:$T$803,$AF199))))</f>
        <v/>
      </c>
      <c r="Q199" s="10">
        <f>IF($AF199="","",INDEX(입력_파견수련계획!$S$4:$S$803,$AF199))</f>
        <v/>
      </c>
      <c r="R199" s="10">
        <f>IF($AF199="","",INDEX(입력_파견수련계획!$U$4:$U$803,$AF199))</f>
        <v/>
      </c>
      <c r="S199" s="11">
        <f>IF($AF199="","",IF(INDEX(입력_파견수련계획!$H$4:$H$803,$AF199)="","",INDEX(입력_파견수련계획!$H$4:$H$803,$AF199)))</f>
        <v/>
      </c>
      <c r="T199" s="11">
        <f>IF($AF199="","",IF(INDEX(입력_파견수련계획!$I$4:$I$803,$AF199)="","",INDEX(입력_파견수련계획!$I$4:$I$803,$AF199)))</f>
        <v/>
      </c>
      <c r="U199" s="10">
        <f>IF($AF199="","",INDEX(입력_파견수련계획!$X$4:$X$803,$AF199))</f>
        <v/>
      </c>
      <c r="V199" s="17">
        <f>IF($AF199="","",INDEX(입력_파견수련계획!$V$4:$V$803,$AF199))</f>
        <v/>
      </c>
      <c r="W199" s="17">
        <f>IF(AND($U199="파견중",$T199&lt;&gt;""),$T199-TODAY(),"")</f>
        <v/>
      </c>
      <c r="X199" s="17">
        <f>IF(OR($B199="",TRIM($J199&amp;"")=""),"",SUMPRODUCT((입력_파견수련계획!$Q$4:$Q$803=TRIM($J199&amp;""))*입력_파견수련계획!$W$4:$W$803))</f>
        <v/>
      </c>
      <c r="Y199" s="10">
        <f>IF($B199="","",IF($AG199="","",IF(IF(TRIM($J199&amp;"")="",0,SUMPRODUCT((입력_파견수련계획!$Q$4:$Q$803=TRIM($J199&amp;""))*입력_파견수련계획!$AD$4:$AD$803))&gt;0,$AE199,IF(AND(N($X199)&lt;=0,$AQ199=""),$AG199,IF($AH199+$AI199=DAY(EOMONTH(출력_요약!$B$3,0)),IF(AND($AH199&gt;=출력_요약!$E$3,$AI199&lt;출력_요약!$E$3),"서울병원",IF(AND($AI199&gt;=출력_요약!$E$3,$AH199&lt;출력_요약!$E$3),"구리병원","⚠15일 판정불가(서울 "&amp;$AH199&amp;"일/구리 "&amp;$AI199&amp;"일)")),IF($AJ199="",$AE199,IF(INDEX(입력_파견수련계획!$T$4:$T$803,$AJ199)="통합수련",INDEX(입력_파견수련계획!$S$4:$S$803,$AJ199),$AE199)))))))</f>
        <v/>
      </c>
      <c r="Z199" s="20">
        <f>IF($B199="","",IF($AB199="","기본자료에 없는 사번",IF(COUNTIF($B$2:$B$401,$B199)&gt;1,"중복 사번",IF($AE199="","소속(입사장소) 입력",IF(IF(TRIM($J199&amp;"")="",0,SUMPRODUCT((입력_파견수련계획!$Q$4:$Q$803=TRIM($J199&amp;""))*(입력_파견수련계획!$AA$4:$AA$803&lt;&gt;"")))&gt;0,"파견수련계획 입력오류 확인",IF(LEFT($Y199,1)="⚠","서울·구리 15일 판정 불가(양쪽 모두 이상/미만)",IF(IF($AC199="",0,N(INDEX(입력_인턴근무계획!$T$3:$T$402,$AC199)))&gt;0,"인턴계획 입력오류 확인",IF(AND($AQ199&lt;&gt;"",$AG199&lt;&gt;"구리병원",IF(TRIM($J199&amp;"")="",0,SUMPRODUCT((입력_파견수련계획!$Q$4:$Q$803=TRIM($J199&amp;""))*(입력_파견수련계획!$S$4:$S$803="구리병원")*입력_파견수련계획!$W$4:$W$803))=0),"구리 근무자명단에만 있음(파견수련계획 확인)",IF(AND($AC199&lt;&gt;"",$U199&lt;&gt;"파견중",$N199&lt;&gt;$AE199),"인턴 타지역 근무: 파견 여부 확인","정상")))))))))</f>
        <v/>
      </c>
      <c r="AA199" s="5" t="n"/>
      <c r="AB199" s="10">
        <f>IF($B199="","",IFERROR(MATCH($B199,입력_기본자료!$B$2:$B$1001,0),IFERROR(MATCH($B199&amp;"",입력_기본자료!$B$2:$B$1001,0),IFERROR(MATCH(VALUE($B199),입력_기본자료!$B$2:$B$1001,0),""))))</f>
        <v/>
      </c>
      <c r="AC199" s="10">
        <f>IF($B199="","",IFERROR(MATCH($B199,입력_인턴근무계획!$D$3:$D$402,0),IFERROR(MATCH($B199&amp;"",입력_인턴근무계획!$D$3:$D$402,0),IFERROR(MATCH(VALUE($B199),입력_인턴근무계획!$D$3:$D$402,0),""))))</f>
        <v/>
      </c>
      <c r="AD199" s="10">
        <f>IF(OR($AC199="",출력_인턴현황!$G$3=""),"",INDEX(입력_인턴근무계획!$M$3:$R$402,$AC199,출력_인턴현황!$G$3)&amp;"")</f>
        <v/>
      </c>
      <c r="AE199" s="10">
        <f>IF($B199="","",IF($M199&lt;&gt;"",$M199,IF(IF($AQ199="",FALSE,INDEX(출력_구리근무자!$J$6:$J$305,$AQ199)="구리독자"),"구리병원",IF($AF199&lt;&gt;"",IF(LEFT(INDEX(입력_파견수련계획!$R$4:$R$803,$AF199),1)&lt;&gt;"⚠",INDEX(입력_파견수련계획!$R$4:$R$803,$AF199),IF($H199="","",IF(RIGHT($H199,2)="병원",$H199,$H199&amp;"병원"))),IF($H199="","",IF(RIGHT($H199,2)="병원",$H199,$H199&amp;"병원"))))))</f>
        <v/>
      </c>
      <c r="AF199" s="10">
        <f>IF(OR($B199="",TRIM($J199&amp;"")=""),"",IFERROR(MATCH(TRIM($J199&amp;"")&amp;"|파견중",입력_파견수련계획!$Y$4:$Y$803,0),IFERROR(MATCH(TRIM($J199&amp;"")&amp;"|파견예정",입력_파견수련계획!$Y$4:$Y$803,0),IFERROR(MATCH(TRIM($J199&amp;"")&amp;"|파견종료",입력_파견수련계획!$Y$4:$Y$803,0),""))))</f>
        <v/>
      </c>
      <c r="AG199" s="10">
        <f>IF($B199="","",IF(AND(IF(OR($AC199="",출력_인턴현황!$K$2=""),"",INDEX(입력_인턴근무계획!$M$3:$R$402,$AC199,출력_인턴현황!$K$2)&amp;"")&lt;&gt;"",LEFT(IF(OR($AC199="",출력_인턴현황!$K$2=""),"",INDEX(입력_인턴근무계획!$M$3:$R$402,$AC199,출력_인턴현황!$K$2)&amp;""),1)&lt;&gt;"⚠"),LEFT(IF(OR($AC199="",출력_인턴현황!$K$2=""),"",INDEX(입력_인턴근무계획!$M$3:$R$402,$AC199,출력_인턴현황!$K$2)&amp;""),FIND(" ",IF(OR($AC199="",출력_인턴현황!$K$2=""),"",INDEX(입력_인턴근무계획!$M$3:$R$402,$AC199,출력_인턴현황!$K$2)&amp;""))-1),$AE199))</f>
        <v/>
      </c>
      <c r="AH199" s="17">
        <f>IF($B199="","",IF($AQ199&lt;&gt;"",MAX(0,DAY(EOMONTH(출력_요약!$B$3,0))-N($AR199)),IF(TRIM($J199&amp;"")="",0,SUMPRODUCT((입력_파견수련계획!$Q$4:$Q$803=TRIM($J199&amp;""))*(입력_파견수련계획!$S$4:$S$803="서울병원")*입력_파견수련계획!$W$4:$W$803))+IF($AG199="서울병원",MAX(0,DAY(EOMONTH(출력_요약!$B$3,0))-N($X199)),0)))</f>
        <v/>
      </c>
      <c r="AI199" s="17">
        <f>IF($B199="","",IF($AQ199&lt;&gt;"",N($AR199),IF(TRIM($J199&amp;"")="",0,SUMPRODUCT((입력_파견수련계획!$Q$4:$Q$803=TRIM($J199&amp;""))*(입력_파견수련계획!$S$4:$S$803="구리병원")*입력_파견수련계획!$W$4:$W$803))+IF($AG199="구리병원",MAX(0,DAY(EOMONTH(출력_요약!$B$3,0))-N($X199)),0)))</f>
        <v/>
      </c>
      <c r="AJ199" s="10">
        <f>IF(OR($B199="",TRIM($J199&amp;"")=""),"",IFERROR(MATCH(TRIM($J199&amp;"")&amp;"|월",입력_파견수련계획!$Z$4:$Z$803,0),""))</f>
        <v/>
      </c>
      <c r="AK199" s="10">
        <f>IF(OR($B199="",TRIM($J199&amp;"")=""),"",IFERROR(MATCH(TRIM($J199&amp;"")&amp;"|다기관",입력_파견수련계획!$AE$4:$AE$803,0),""))</f>
        <v/>
      </c>
      <c r="AL199" s="10">
        <f>IF($AK199="","","다기관 "&amp;TEXT(INDEX(입력_파견수련계획!$AB$4:$AB$803,$AK199),"yyyy-mm-dd")&amp;"~"&amp;IF(ISNUMBER(INDEX(입력_파견수련계획!$AC$4:$AC$803,$AK199)),TEXT(INDEX(입력_파견수련계획!$AC$4:$AC$803,$AK199),"yyyy-mm-dd"),""))</f>
        <v/>
      </c>
      <c r="AM199" s="10">
        <f>IF($Y199="서울병원",COUNTIF($Y$2:$Y199,"서울병원"),"")</f>
        <v/>
      </c>
      <c r="AN199" s="10">
        <f>IF(LEFT($Y199,1)="⚠",COUNTIF($Y$2:$Y199,"⚠*"),"")</f>
        <v/>
      </c>
      <c r="AO199" s="10">
        <f>IF(OR($B199="",$Y199=""),"",IF(IF(TRIM($J199&amp;"")="",0,SUMPRODUCT((입력_파견수련계획!$Q$4:$Q$803=TRIM($J199&amp;""))*입력_파견수련계획!$AD$4:$AD$803))&gt;0,"다기관 기간 → 소속병원 지급",IF(AND(N($X199)&lt;=0,$AQ199=""),"파견 없음 → 그 달 근무병원 지급",IF($AH199+$AI199=DAY(EOMONTH(출력_요약!$B$3,0)),"서울 "&amp;$AH199&amp;"일 / 구리 "&amp;$AI199&amp;"일"&amp;IF($AQ199&lt;&gt;""," (구리 근무자명단 반영)","")&amp;" → 15일 이상 근무 병원 지급","타 병원 포함 → "&amp;IF($AJ199="","소속",INDEX(입력_파견수련계획!$T$4:$T$803,$AJ199))&amp;" 규칙"))))</f>
        <v/>
      </c>
      <c r="AP199" s="10">
        <f>IF($B199="","",$C199&amp;"|"&amp;$F199)</f>
        <v/>
      </c>
      <c r="AQ199" s="10">
        <f>IF($B199="","",IFERROR(MATCH(ROW()-1,출력_구리근무자!$K$6:$K$305,0),""))</f>
        <v/>
      </c>
      <c r="AR199" s="10">
        <f>IF($AQ199="","",INDEX(출력_구리근무자!$H$6:$H$305,$AQ199))</f>
        <v/>
      </c>
    </row>
    <row r="200">
      <c r="A200" s="10">
        <f>IF(B200="","",ROW()-1)</f>
        <v/>
      </c>
      <c r="B200" s="19" t="n"/>
      <c r="C200" s="10">
        <f>IF($AB200="","",IF(INDEX(입력_기본자료!$C$2:$C$1001,$AB200)="","",INDEX(입력_기본자료!$C$2:$C$1001,$AB200)))</f>
        <v/>
      </c>
      <c r="D200" s="10">
        <f>IF($AB200="","",IF(INDEX(입력_기본자료!$J$2:$J$1001,$AB200)="","",INDEX(입력_기본자료!$J$2:$J$1001,$AB200)))</f>
        <v/>
      </c>
      <c r="E200" s="11">
        <f>IF($AB200="","",IF(INDEX(입력_기본자료!$K$2:$K$1001,$AB200)="","",IF(NOT(ISNUMBER(INDEX(입력_기본자료!$K$2:$K$1001,$AB200))),INDEX(입력_기본자료!$K$2:$K$1001,$AB200),IF(INDEX(입력_기본자료!$K$2:$K$1001,$AB200)&lt;1000000,INDEX(입력_기본자료!$K$2:$K$1001,$AB200),IF(AND(INDEX(입력_기본자료!$K$2:$K$1001,$AB200)&gt;=10000101,INT(MOD(INDEX(입력_기본자료!$K$2:$K$1001,$AB200),10000)/100)&gt;=1,INT(MOD(INDEX(입력_기본자료!$K$2:$K$1001,$AB200),10000)/100)&lt;=12,MOD(INDEX(입력_기본자료!$K$2:$K$1001,$AB200),100)&gt;=1,MOD(INDEX(입력_기본자료!$K$2:$K$1001,$AB200),100)&lt;=31),DATE(INT(INDEX(입력_기본자료!$K$2:$K$1001,$AB200)/10000),INT(MOD(INDEX(입력_기본자료!$K$2:$K$1001,$AB200),10000)/100),MOD(INDEX(입력_기본자료!$K$2:$K$1001,$AB200),100)),INDEX(입력_기본자료!$K$2:$K$1001,$AB200)&amp;"")))))</f>
        <v/>
      </c>
      <c r="F200" s="10">
        <f>IF($AB200="","",IF(INDEX(입력_기본자료!$D$2:$D$1001,$AB200)="","",INDEX(입력_기본자료!$D$2:$D$1001,$AB200)))</f>
        <v/>
      </c>
      <c r="G200" s="10">
        <f>IF($AB200="","",IF(INDEX(입력_기본자료!$E$2:$E$1001,$AB200)="","",INDEX(입력_기본자료!$E$2:$E$1001,$AB200)))</f>
        <v/>
      </c>
      <c r="H200" s="10">
        <f>IF($AB200="","",IF(INDEX(입력_기본자료!$F$2:$F$1001,$AB200)="","",INDEX(입력_기본자료!$F$2:$F$1001,$AB200)))</f>
        <v/>
      </c>
      <c r="I200" s="11">
        <f>IF($AB200="","",IF(INDEX(입력_기본자료!$G$2:$G$1001,$AB200)="","",IF(NOT(ISNUMBER(INDEX(입력_기본자료!$G$2:$G$1001,$AB200))),INDEX(입력_기본자료!$G$2:$G$1001,$AB200),IF(INDEX(입력_기본자료!$G$2:$G$1001,$AB200)&lt;1000000,INDEX(입력_기본자료!$G$2:$G$1001,$AB200),IF(AND(INDEX(입력_기본자료!$G$2:$G$1001,$AB200)&gt;=10000101,INT(MOD(INDEX(입력_기본자료!$G$2:$G$1001,$AB200),10000)/100)&gt;=1,INT(MOD(INDEX(입력_기본자료!$G$2:$G$1001,$AB200),10000)/100)&lt;=12,MOD(INDEX(입력_기본자료!$G$2:$G$1001,$AB200),100)&gt;=1,MOD(INDEX(입력_기본자료!$G$2:$G$1001,$AB200),100)&lt;=31),DATE(INT(INDEX(입력_기본자료!$G$2:$G$1001,$AB200)/10000),INT(MOD(INDEX(입력_기본자료!$G$2:$G$1001,$AB200),10000)/100),MOD(INDEX(입력_기본자료!$G$2:$G$1001,$AB200),100)),INDEX(입력_기본자료!$G$2:$G$1001,$AB200)&amp;"")))))</f>
        <v/>
      </c>
      <c r="J200" s="10">
        <f>IF($AB200="","",IF(INDEX(입력_기본자료!$H$2:$H$1001,$AB200)="","",INDEX(입력_기본자료!$H$2:$H$1001,$AB200)))</f>
        <v/>
      </c>
      <c r="K200" s="10">
        <f>IF($AB200="","",IF(INDEX(입력_기본자료!$I$2:$I$1001,$AB200)="","",INDEX(입력_기본자료!$I$2:$I$1001,$AB200)))</f>
        <v/>
      </c>
      <c r="L200" s="10">
        <f>IF($AB200="","",IF(INDEX(입력_기본자료!$A$2:$A$1001,$AB200)="","",INDEX(입력_기본자료!$A$2:$A$1001,$AB200)))</f>
        <v/>
      </c>
      <c r="M200" s="15" t="n"/>
      <c r="N200" s="10">
        <f>IF($B200="","",IF(AND($U200="파견중",$Q200&lt;&gt;""),$Q200,IF(AND($AD200&lt;&gt;"",LEFT($AD200,1)&lt;&gt;"⚠"),LEFT($AD200,FIND(" ",$AD200)-1),IF($H200="","",IF(RIGHT($H200,2)="병원",$H200,$H200&amp;"병원")))))</f>
        <v/>
      </c>
      <c r="O200" s="10">
        <f>IF($B200="","",IF(AND($U200="파견중",$Q200&lt;&gt;""),IF($R200&lt;&gt;"",$R200,"파견과 미입력"),IF(AND($AD200&lt;&gt;"",LEFT($AD200,1)&lt;&gt;"⚠"),MID($AD200,FIND(" ",$AD200)+1,60),IF($F200="","",IF($F200="인턴","수련교육부(인턴)",$F200)))))</f>
        <v/>
      </c>
      <c r="P200" s="10">
        <f>IF($B200="","",IF($AK200&lt;&gt;"",IF(AND(TODAY()&gt;=INDEX(입력_파견수련계획!$AB$4:$AB$803,$AK200),OR(NOT(ISNUMBER(INDEX(입력_파견수련계획!$AC$4:$AC$803,$AK200))),TODAY()&lt;=INDEX(입력_파견수련계획!$AC$4:$AC$803,$AK200))),"다기관",IF($AF200="","",INDEX(입력_파견수련계획!$T$4:$T$803,$AF200))),IF($AF200="","",INDEX(입력_파견수련계획!$T$4:$T$803,$AF200))))</f>
        <v/>
      </c>
      <c r="Q200" s="10">
        <f>IF($AF200="","",INDEX(입력_파견수련계획!$S$4:$S$803,$AF200))</f>
        <v/>
      </c>
      <c r="R200" s="10">
        <f>IF($AF200="","",INDEX(입력_파견수련계획!$U$4:$U$803,$AF200))</f>
        <v/>
      </c>
      <c r="S200" s="11">
        <f>IF($AF200="","",IF(INDEX(입력_파견수련계획!$H$4:$H$803,$AF200)="","",INDEX(입력_파견수련계획!$H$4:$H$803,$AF200)))</f>
        <v/>
      </c>
      <c r="T200" s="11">
        <f>IF($AF200="","",IF(INDEX(입력_파견수련계획!$I$4:$I$803,$AF200)="","",INDEX(입력_파견수련계획!$I$4:$I$803,$AF200)))</f>
        <v/>
      </c>
      <c r="U200" s="10">
        <f>IF($AF200="","",INDEX(입력_파견수련계획!$X$4:$X$803,$AF200))</f>
        <v/>
      </c>
      <c r="V200" s="17">
        <f>IF($AF200="","",INDEX(입력_파견수련계획!$V$4:$V$803,$AF200))</f>
        <v/>
      </c>
      <c r="W200" s="17">
        <f>IF(AND($U200="파견중",$T200&lt;&gt;""),$T200-TODAY(),"")</f>
        <v/>
      </c>
      <c r="X200" s="17">
        <f>IF(OR($B200="",TRIM($J200&amp;"")=""),"",SUMPRODUCT((입력_파견수련계획!$Q$4:$Q$803=TRIM($J200&amp;""))*입력_파견수련계획!$W$4:$W$803))</f>
        <v/>
      </c>
      <c r="Y200" s="10">
        <f>IF($B200="","",IF($AG200="","",IF(IF(TRIM($J200&amp;"")="",0,SUMPRODUCT((입력_파견수련계획!$Q$4:$Q$803=TRIM($J200&amp;""))*입력_파견수련계획!$AD$4:$AD$803))&gt;0,$AE200,IF(AND(N($X200)&lt;=0,$AQ200=""),$AG200,IF($AH200+$AI200=DAY(EOMONTH(출력_요약!$B$3,0)),IF(AND($AH200&gt;=출력_요약!$E$3,$AI200&lt;출력_요약!$E$3),"서울병원",IF(AND($AI200&gt;=출력_요약!$E$3,$AH200&lt;출력_요약!$E$3),"구리병원","⚠15일 판정불가(서울 "&amp;$AH200&amp;"일/구리 "&amp;$AI200&amp;"일)")),IF($AJ200="",$AE200,IF(INDEX(입력_파견수련계획!$T$4:$T$803,$AJ200)="통합수련",INDEX(입력_파견수련계획!$S$4:$S$803,$AJ200),$AE200)))))))</f>
        <v/>
      </c>
      <c r="Z200" s="20">
        <f>IF($B200="","",IF($AB200="","기본자료에 없는 사번",IF(COUNTIF($B$2:$B$401,$B200)&gt;1,"중복 사번",IF($AE200="","소속(입사장소) 입력",IF(IF(TRIM($J200&amp;"")="",0,SUMPRODUCT((입력_파견수련계획!$Q$4:$Q$803=TRIM($J200&amp;""))*(입력_파견수련계획!$AA$4:$AA$803&lt;&gt;"")))&gt;0,"파견수련계획 입력오류 확인",IF(LEFT($Y200,1)="⚠","서울·구리 15일 판정 불가(양쪽 모두 이상/미만)",IF(IF($AC200="",0,N(INDEX(입력_인턴근무계획!$T$3:$T$402,$AC200)))&gt;0,"인턴계획 입력오류 확인",IF(AND($AQ200&lt;&gt;"",$AG200&lt;&gt;"구리병원",IF(TRIM($J200&amp;"")="",0,SUMPRODUCT((입력_파견수련계획!$Q$4:$Q$803=TRIM($J200&amp;""))*(입력_파견수련계획!$S$4:$S$803="구리병원")*입력_파견수련계획!$W$4:$W$803))=0),"구리 근무자명단에만 있음(파견수련계획 확인)",IF(AND($AC200&lt;&gt;"",$U200&lt;&gt;"파견중",$N200&lt;&gt;$AE200),"인턴 타지역 근무: 파견 여부 확인","정상")))))))))</f>
        <v/>
      </c>
      <c r="AA200" s="5" t="n"/>
      <c r="AB200" s="10">
        <f>IF($B200="","",IFERROR(MATCH($B200,입력_기본자료!$B$2:$B$1001,0),IFERROR(MATCH($B200&amp;"",입력_기본자료!$B$2:$B$1001,0),IFERROR(MATCH(VALUE($B200),입력_기본자료!$B$2:$B$1001,0),""))))</f>
        <v/>
      </c>
      <c r="AC200" s="10">
        <f>IF($B200="","",IFERROR(MATCH($B200,입력_인턴근무계획!$D$3:$D$402,0),IFERROR(MATCH($B200&amp;"",입력_인턴근무계획!$D$3:$D$402,0),IFERROR(MATCH(VALUE($B200),입력_인턴근무계획!$D$3:$D$402,0),""))))</f>
        <v/>
      </c>
      <c r="AD200" s="10">
        <f>IF(OR($AC200="",출력_인턴현황!$G$3=""),"",INDEX(입력_인턴근무계획!$M$3:$R$402,$AC200,출력_인턴현황!$G$3)&amp;"")</f>
        <v/>
      </c>
      <c r="AE200" s="10">
        <f>IF($B200="","",IF($M200&lt;&gt;"",$M200,IF(IF($AQ200="",FALSE,INDEX(출력_구리근무자!$J$6:$J$305,$AQ200)="구리독자"),"구리병원",IF($AF200&lt;&gt;"",IF(LEFT(INDEX(입력_파견수련계획!$R$4:$R$803,$AF200),1)&lt;&gt;"⚠",INDEX(입력_파견수련계획!$R$4:$R$803,$AF200),IF($H200="","",IF(RIGHT($H200,2)="병원",$H200,$H200&amp;"병원"))),IF($H200="","",IF(RIGHT($H200,2)="병원",$H200,$H200&amp;"병원"))))))</f>
        <v/>
      </c>
      <c r="AF200" s="10">
        <f>IF(OR($B200="",TRIM($J200&amp;"")=""),"",IFERROR(MATCH(TRIM($J200&amp;"")&amp;"|파견중",입력_파견수련계획!$Y$4:$Y$803,0),IFERROR(MATCH(TRIM($J200&amp;"")&amp;"|파견예정",입력_파견수련계획!$Y$4:$Y$803,0),IFERROR(MATCH(TRIM($J200&amp;"")&amp;"|파견종료",입력_파견수련계획!$Y$4:$Y$803,0),""))))</f>
        <v/>
      </c>
      <c r="AG200" s="10">
        <f>IF($B200="","",IF(AND(IF(OR($AC200="",출력_인턴현황!$K$2=""),"",INDEX(입력_인턴근무계획!$M$3:$R$402,$AC200,출력_인턴현황!$K$2)&amp;"")&lt;&gt;"",LEFT(IF(OR($AC200="",출력_인턴현황!$K$2=""),"",INDEX(입력_인턴근무계획!$M$3:$R$402,$AC200,출력_인턴현황!$K$2)&amp;""),1)&lt;&gt;"⚠"),LEFT(IF(OR($AC200="",출력_인턴현황!$K$2=""),"",INDEX(입력_인턴근무계획!$M$3:$R$402,$AC200,출력_인턴현황!$K$2)&amp;""),FIND(" ",IF(OR($AC200="",출력_인턴현황!$K$2=""),"",INDEX(입력_인턴근무계획!$M$3:$R$402,$AC200,출력_인턴현황!$K$2)&amp;""))-1),$AE200))</f>
        <v/>
      </c>
      <c r="AH200" s="17">
        <f>IF($B200="","",IF($AQ200&lt;&gt;"",MAX(0,DAY(EOMONTH(출력_요약!$B$3,0))-N($AR200)),IF(TRIM($J200&amp;"")="",0,SUMPRODUCT((입력_파견수련계획!$Q$4:$Q$803=TRIM($J200&amp;""))*(입력_파견수련계획!$S$4:$S$803="서울병원")*입력_파견수련계획!$W$4:$W$803))+IF($AG200="서울병원",MAX(0,DAY(EOMONTH(출력_요약!$B$3,0))-N($X200)),0)))</f>
        <v/>
      </c>
      <c r="AI200" s="17">
        <f>IF($B200="","",IF($AQ200&lt;&gt;"",N($AR200),IF(TRIM($J200&amp;"")="",0,SUMPRODUCT((입력_파견수련계획!$Q$4:$Q$803=TRIM($J200&amp;""))*(입력_파견수련계획!$S$4:$S$803="구리병원")*입력_파견수련계획!$W$4:$W$803))+IF($AG200="구리병원",MAX(0,DAY(EOMONTH(출력_요약!$B$3,0))-N($X200)),0)))</f>
        <v/>
      </c>
      <c r="AJ200" s="10">
        <f>IF(OR($B200="",TRIM($J200&amp;"")=""),"",IFERROR(MATCH(TRIM($J200&amp;"")&amp;"|월",입력_파견수련계획!$Z$4:$Z$803,0),""))</f>
        <v/>
      </c>
      <c r="AK200" s="10">
        <f>IF(OR($B200="",TRIM($J200&amp;"")=""),"",IFERROR(MATCH(TRIM($J200&amp;"")&amp;"|다기관",입력_파견수련계획!$AE$4:$AE$803,0),""))</f>
        <v/>
      </c>
      <c r="AL200" s="10">
        <f>IF($AK200="","","다기관 "&amp;TEXT(INDEX(입력_파견수련계획!$AB$4:$AB$803,$AK200),"yyyy-mm-dd")&amp;"~"&amp;IF(ISNUMBER(INDEX(입력_파견수련계획!$AC$4:$AC$803,$AK200)),TEXT(INDEX(입력_파견수련계획!$AC$4:$AC$803,$AK200),"yyyy-mm-dd"),""))</f>
        <v/>
      </c>
      <c r="AM200" s="10">
        <f>IF($Y200="서울병원",COUNTIF($Y$2:$Y200,"서울병원"),"")</f>
        <v/>
      </c>
      <c r="AN200" s="10">
        <f>IF(LEFT($Y200,1)="⚠",COUNTIF($Y$2:$Y200,"⚠*"),"")</f>
        <v/>
      </c>
      <c r="AO200" s="10">
        <f>IF(OR($B200="",$Y200=""),"",IF(IF(TRIM($J200&amp;"")="",0,SUMPRODUCT((입력_파견수련계획!$Q$4:$Q$803=TRIM($J200&amp;""))*입력_파견수련계획!$AD$4:$AD$803))&gt;0,"다기관 기간 → 소속병원 지급",IF(AND(N($X200)&lt;=0,$AQ200=""),"파견 없음 → 그 달 근무병원 지급",IF($AH200+$AI200=DAY(EOMONTH(출력_요약!$B$3,0)),"서울 "&amp;$AH200&amp;"일 / 구리 "&amp;$AI200&amp;"일"&amp;IF($AQ200&lt;&gt;""," (구리 근무자명단 반영)","")&amp;" → 15일 이상 근무 병원 지급","타 병원 포함 → "&amp;IF($AJ200="","소속",INDEX(입력_파견수련계획!$T$4:$T$803,$AJ200))&amp;" 규칙"))))</f>
        <v/>
      </c>
      <c r="AP200" s="10">
        <f>IF($B200="","",$C200&amp;"|"&amp;$F200)</f>
        <v/>
      </c>
      <c r="AQ200" s="10">
        <f>IF($B200="","",IFERROR(MATCH(ROW()-1,출력_구리근무자!$K$6:$K$305,0),""))</f>
        <v/>
      </c>
      <c r="AR200" s="10">
        <f>IF($AQ200="","",INDEX(출력_구리근무자!$H$6:$H$305,$AQ200))</f>
        <v/>
      </c>
    </row>
    <row r="201">
      <c r="A201" s="10">
        <f>IF(B201="","",ROW()-1)</f>
        <v/>
      </c>
      <c r="B201" s="19" t="n"/>
      <c r="C201" s="10">
        <f>IF($AB201="","",IF(INDEX(입력_기본자료!$C$2:$C$1001,$AB201)="","",INDEX(입력_기본자료!$C$2:$C$1001,$AB201)))</f>
        <v/>
      </c>
      <c r="D201" s="10">
        <f>IF($AB201="","",IF(INDEX(입력_기본자료!$J$2:$J$1001,$AB201)="","",INDEX(입력_기본자료!$J$2:$J$1001,$AB201)))</f>
        <v/>
      </c>
      <c r="E201" s="11">
        <f>IF($AB201="","",IF(INDEX(입력_기본자료!$K$2:$K$1001,$AB201)="","",IF(NOT(ISNUMBER(INDEX(입력_기본자료!$K$2:$K$1001,$AB201))),INDEX(입력_기본자료!$K$2:$K$1001,$AB201),IF(INDEX(입력_기본자료!$K$2:$K$1001,$AB201)&lt;1000000,INDEX(입력_기본자료!$K$2:$K$1001,$AB201),IF(AND(INDEX(입력_기본자료!$K$2:$K$1001,$AB201)&gt;=10000101,INT(MOD(INDEX(입력_기본자료!$K$2:$K$1001,$AB201),10000)/100)&gt;=1,INT(MOD(INDEX(입력_기본자료!$K$2:$K$1001,$AB201),10000)/100)&lt;=12,MOD(INDEX(입력_기본자료!$K$2:$K$1001,$AB201),100)&gt;=1,MOD(INDEX(입력_기본자료!$K$2:$K$1001,$AB201),100)&lt;=31),DATE(INT(INDEX(입력_기본자료!$K$2:$K$1001,$AB201)/10000),INT(MOD(INDEX(입력_기본자료!$K$2:$K$1001,$AB201),10000)/100),MOD(INDEX(입력_기본자료!$K$2:$K$1001,$AB201),100)),INDEX(입력_기본자료!$K$2:$K$1001,$AB201)&amp;"")))))</f>
        <v/>
      </c>
      <c r="F201" s="10">
        <f>IF($AB201="","",IF(INDEX(입력_기본자료!$D$2:$D$1001,$AB201)="","",INDEX(입력_기본자료!$D$2:$D$1001,$AB201)))</f>
        <v/>
      </c>
      <c r="G201" s="10">
        <f>IF($AB201="","",IF(INDEX(입력_기본자료!$E$2:$E$1001,$AB201)="","",INDEX(입력_기본자료!$E$2:$E$1001,$AB201)))</f>
        <v/>
      </c>
      <c r="H201" s="10">
        <f>IF($AB201="","",IF(INDEX(입력_기본자료!$F$2:$F$1001,$AB201)="","",INDEX(입력_기본자료!$F$2:$F$1001,$AB201)))</f>
        <v/>
      </c>
      <c r="I201" s="11">
        <f>IF($AB201="","",IF(INDEX(입력_기본자료!$G$2:$G$1001,$AB201)="","",IF(NOT(ISNUMBER(INDEX(입력_기본자료!$G$2:$G$1001,$AB201))),INDEX(입력_기본자료!$G$2:$G$1001,$AB201),IF(INDEX(입력_기본자료!$G$2:$G$1001,$AB201)&lt;1000000,INDEX(입력_기본자료!$G$2:$G$1001,$AB201),IF(AND(INDEX(입력_기본자료!$G$2:$G$1001,$AB201)&gt;=10000101,INT(MOD(INDEX(입력_기본자료!$G$2:$G$1001,$AB201),10000)/100)&gt;=1,INT(MOD(INDEX(입력_기본자료!$G$2:$G$1001,$AB201),10000)/100)&lt;=12,MOD(INDEX(입력_기본자료!$G$2:$G$1001,$AB201),100)&gt;=1,MOD(INDEX(입력_기본자료!$G$2:$G$1001,$AB201),100)&lt;=31),DATE(INT(INDEX(입력_기본자료!$G$2:$G$1001,$AB201)/10000),INT(MOD(INDEX(입력_기본자료!$G$2:$G$1001,$AB201),10000)/100),MOD(INDEX(입력_기본자료!$G$2:$G$1001,$AB201),100)),INDEX(입력_기본자료!$G$2:$G$1001,$AB201)&amp;"")))))</f>
        <v/>
      </c>
      <c r="J201" s="10">
        <f>IF($AB201="","",IF(INDEX(입력_기본자료!$H$2:$H$1001,$AB201)="","",INDEX(입력_기본자료!$H$2:$H$1001,$AB201)))</f>
        <v/>
      </c>
      <c r="K201" s="10">
        <f>IF($AB201="","",IF(INDEX(입력_기본자료!$I$2:$I$1001,$AB201)="","",INDEX(입력_기본자료!$I$2:$I$1001,$AB201)))</f>
        <v/>
      </c>
      <c r="L201" s="10">
        <f>IF($AB201="","",IF(INDEX(입력_기본자료!$A$2:$A$1001,$AB201)="","",INDEX(입력_기본자료!$A$2:$A$1001,$AB201)))</f>
        <v/>
      </c>
      <c r="M201" s="15" t="n"/>
      <c r="N201" s="10">
        <f>IF($B201="","",IF(AND($U201="파견중",$Q201&lt;&gt;""),$Q201,IF(AND($AD201&lt;&gt;"",LEFT($AD201,1)&lt;&gt;"⚠"),LEFT($AD201,FIND(" ",$AD201)-1),IF($H201="","",IF(RIGHT($H201,2)="병원",$H201,$H201&amp;"병원")))))</f>
        <v/>
      </c>
      <c r="O201" s="10">
        <f>IF($B201="","",IF(AND($U201="파견중",$Q201&lt;&gt;""),IF($R201&lt;&gt;"",$R201,"파견과 미입력"),IF(AND($AD201&lt;&gt;"",LEFT($AD201,1)&lt;&gt;"⚠"),MID($AD201,FIND(" ",$AD201)+1,60),IF($F201="","",IF($F201="인턴","수련교육부(인턴)",$F201)))))</f>
        <v/>
      </c>
      <c r="P201" s="10">
        <f>IF($B201="","",IF($AK201&lt;&gt;"",IF(AND(TODAY()&gt;=INDEX(입력_파견수련계획!$AB$4:$AB$803,$AK201),OR(NOT(ISNUMBER(INDEX(입력_파견수련계획!$AC$4:$AC$803,$AK201))),TODAY()&lt;=INDEX(입력_파견수련계획!$AC$4:$AC$803,$AK201))),"다기관",IF($AF201="","",INDEX(입력_파견수련계획!$T$4:$T$803,$AF201))),IF($AF201="","",INDEX(입력_파견수련계획!$T$4:$T$803,$AF201))))</f>
        <v/>
      </c>
      <c r="Q201" s="10">
        <f>IF($AF201="","",INDEX(입력_파견수련계획!$S$4:$S$803,$AF201))</f>
        <v/>
      </c>
      <c r="R201" s="10">
        <f>IF($AF201="","",INDEX(입력_파견수련계획!$U$4:$U$803,$AF201))</f>
        <v/>
      </c>
      <c r="S201" s="11">
        <f>IF($AF201="","",IF(INDEX(입력_파견수련계획!$H$4:$H$803,$AF201)="","",INDEX(입력_파견수련계획!$H$4:$H$803,$AF201)))</f>
        <v/>
      </c>
      <c r="T201" s="11">
        <f>IF($AF201="","",IF(INDEX(입력_파견수련계획!$I$4:$I$803,$AF201)="","",INDEX(입력_파견수련계획!$I$4:$I$803,$AF201)))</f>
        <v/>
      </c>
      <c r="U201" s="10">
        <f>IF($AF201="","",INDEX(입력_파견수련계획!$X$4:$X$803,$AF201))</f>
        <v/>
      </c>
      <c r="V201" s="17">
        <f>IF($AF201="","",INDEX(입력_파견수련계획!$V$4:$V$803,$AF201))</f>
        <v/>
      </c>
      <c r="W201" s="17">
        <f>IF(AND($U201="파견중",$T201&lt;&gt;""),$T201-TODAY(),"")</f>
        <v/>
      </c>
      <c r="X201" s="17">
        <f>IF(OR($B201="",TRIM($J201&amp;"")=""),"",SUMPRODUCT((입력_파견수련계획!$Q$4:$Q$803=TRIM($J201&amp;""))*입력_파견수련계획!$W$4:$W$803))</f>
        <v/>
      </c>
      <c r="Y201" s="10">
        <f>IF($B201="","",IF($AG201="","",IF(IF(TRIM($J201&amp;"")="",0,SUMPRODUCT((입력_파견수련계획!$Q$4:$Q$803=TRIM($J201&amp;""))*입력_파견수련계획!$AD$4:$AD$803))&gt;0,$AE201,IF(AND(N($X201)&lt;=0,$AQ201=""),$AG201,IF($AH201+$AI201=DAY(EOMONTH(출력_요약!$B$3,0)),IF(AND($AH201&gt;=출력_요약!$E$3,$AI201&lt;출력_요약!$E$3),"서울병원",IF(AND($AI201&gt;=출력_요약!$E$3,$AH201&lt;출력_요약!$E$3),"구리병원","⚠15일 판정불가(서울 "&amp;$AH201&amp;"일/구리 "&amp;$AI201&amp;"일)")),IF($AJ201="",$AE201,IF(INDEX(입력_파견수련계획!$T$4:$T$803,$AJ201)="통합수련",INDEX(입력_파견수련계획!$S$4:$S$803,$AJ201),$AE201)))))))</f>
        <v/>
      </c>
      <c r="Z201" s="20">
        <f>IF($B201="","",IF($AB201="","기본자료에 없는 사번",IF(COUNTIF($B$2:$B$401,$B201)&gt;1,"중복 사번",IF($AE201="","소속(입사장소) 입력",IF(IF(TRIM($J201&amp;"")="",0,SUMPRODUCT((입력_파견수련계획!$Q$4:$Q$803=TRIM($J201&amp;""))*(입력_파견수련계획!$AA$4:$AA$803&lt;&gt;"")))&gt;0,"파견수련계획 입력오류 확인",IF(LEFT($Y201,1)="⚠","서울·구리 15일 판정 불가(양쪽 모두 이상/미만)",IF(IF($AC201="",0,N(INDEX(입력_인턴근무계획!$T$3:$T$402,$AC201)))&gt;0,"인턴계획 입력오류 확인",IF(AND($AQ201&lt;&gt;"",$AG201&lt;&gt;"구리병원",IF(TRIM($J201&amp;"")="",0,SUMPRODUCT((입력_파견수련계획!$Q$4:$Q$803=TRIM($J201&amp;""))*(입력_파견수련계획!$S$4:$S$803="구리병원")*입력_파견수련계획!$W$4:$W$803))=0),"구리 근무자명단에만 있음(파견수련계획 확인)",IF(AND($AC201&lt;&gt;"",$U201&lt;&gt;"파견중",$N201&lt;&gt;$AE201),"인턴 타지역 근무: 파견 여부 확인","정상")))))))))</f>
        <v/>
      </c>
      <c r="AA201" s="5" t="n"/>
      <c r="AB201" s="10">
        <f>IF($B201="","",IFERROR(MATCH($B201,입력_기본자료!$B$2:$B$1001,0),IFERROR(MATCH($B201&amp;"",입력_기본자료!$B$2:$B$1001,0),IFERROR(MATCH(VALUE($B201),입력_기본자료!$B$2:$B$1001,0),""))))</f>
        <v/>
      </c>
      <c r="AC201" s="10">
        <f>IF($B201="","",IFERROR(MATCH($B201,입력_인턴근무계획!$D$3:$D$402,0),IFERROR(MATCH($B201&amp;"",입력_인턴근무계획!$D$3:$D$402,0),IFERROR(MATCH(VALUE($B201),입력_인턴근무계획!$D$3:$D$402,0),""))))</f>
        <v/>
      </c>
      <c r="AD201" s="10">
        <f>IF(OR($AC201="",출력_인턴현황!$G$3=""),"",INDEX(입력_인턴근무계획!$M$3:$R$402,$AC201,출력_인턴현황!$G$3)&amp;"")</f>
        <v/>
      </c>
      <c r="AE201" s="10">
        <f>IF($B201="","",IF($M201&lt;&gt;"",$M201,IF(IF($AQ201="",FALSE,INDEX(출력_구리근무자!$J$6:$J$305,$AQ201)="구리독자"),"구리병원",IF($AF201&lt;&gt;"",IF(LEFT(INDEX(입력_파견수련계획!$R$4:$R$803,$AF201),1)&lt;&gt;"⚠",INDEX(입력_파견수련계획!$R$4:$R$803,$AF201),IF($H201="","",IF(RIGHT($H201,2)="병원",$H201,$H201&amp;"병원"))),IF($H201="","",IF(RIGHT($H201,2)="병원",$H201,$H201&amp;"병원"))))))</f>
        <v/>
      </c>
      <c r="AF201" s="10">
        <f>IF(OR($B201="",TRIM($J201&amp;"")=""),"",IFERROR(MATCH(TRIM($J201&amp;"")&amp;"|파견중",입력_파견수련계획!$Y$4:$Y$803,0),IFERROR(MATCH(TRIM($J201&amp;"")&amp;"|파견예정",입력_파견수련계획!$Y$4:$Y$803,0),IFERROR(MATCH(TRIM($J201&amp;"")&amp;"|파견종료",입력_파견수련계획!$Y$4:$Y$803,0),""))))</f>
        <v/>
      </c>
      <c r="AG201" s="10">
        <f>IF($B201="","",IF(AND(IF(OR($AC201="",출력_인턴현황!$K$2=""),"",INDEX(입력_인턴근무계획!$M$3:$R$402,$AC201,출력_인턴현황!$K$2)&amp;"")&lt;&gt;"",LEFT(IF(OR($AC201="",출력_인턴현황!$K$2=""),"",INDEX(입력_인턴근무계획!$M$3:$R$402,$AC201,출력_인턴현황!$K$2)&amp;""),1)&lt;&gt;"⚠"),LEFT(IF(OR($AC201="",출력_인턴현황!$K$2=""),"",INDEX(입력_인턴근무계획!$M$3:$R$402,$AC201,출력_인턴현황!$K$2)&amp;""),FIND(" ",IF(OR($AC201="",출력_인턴현황!$K$2=""),"",INDEX(입력_인턴근무계획!$M$3:$R$402,$AC201,출력_인턴현황!$K$2)&amp;""))-1),$AE201))</f>
        <v/>
      </c>
      <c r="AH201" s="17">
        <f>IF($B201="","",IF($AQ201&lt;&gt;"",MAX(0,DAY(EOMONTH(출력_요약!$B$3,0))-N($AR201)),IF(TRIM($J201&amp;"")="",0,SUMPRODUCT((입력_파견수련계획!$Q$4:$Q$803=TRIM($J201&amp;""))*(입력_파견수련계획!$S$4:$S$803="서울병원")*입력_파견수련계획!$W$4:$W$803))+IF($AG201="서울병원",MAX(0,DAY(EOMONTH(출력_요약!$B$3,0))-N($X201)),0)))</f>
        <v/>
      </c>
      <c r="AI201" s="17">
        <f>IF($B201="","",IF($AQ201&lt;&gt;"",N($AR201),IF(TRIM($J201&amp;"")="",0,SUMPRODUCT((입력_파견수련계획!$Q$4:$Q$803=TRIM($J201&amp;""))*(입력_파견수련계획!$S$4:$S$803="구리병원")*입력_파견수련계획!$W$4:$W$803))+IF($AG201="구리병원",MAX(0,DAY(EOMONTH(출력_요약!$B$3,0))-N($X201)),0)))</f>
        <v/>
      </c>
      <c r="AJ201" s="10">
        <f>IF(OR($B201="",TRIM($J201&amp;"")=""),"",IFERROR(MATCH(TRIM($J201&amp;"")&amp;"|월",입력_파견수련계획!$Z$4:$Z$803,0),""))</f>
        <v/>
      </c>
      <c r="AK201" s="10">
        <f>IF(OR($B201="",TRIM($J201&amp;"")=""),"",IFERROR(MATCH(TRIM($J201&amp;"")&amp;"|다기관",입력_파견수련계획!$AE$4:$AE$803,0),""))</f>
        <v/>
      </c>
      <c r="AL201" s="10">
        <f>IF($AK201="","","다기관 "&amp;TEXT(INDEX(입력_파견수련계획!$AB$4:$AB$803,$AK201),"yyyy-mm-dd")&amp;"~"&amp;IF(ISNUMBER(INDEX(입력_파견수련계획!$AC$4:$AC$803,$AK201)),TEXT(INDEX(입력_파견수련계획!$AC$4:$AC$803,$AK201),"yyyy-mm-dd"),""))</f>
        <v/>
      </c>
      <c r="AM201" s="10">
        <f>IF($Y201="서울병원",COUNTIF($Y$2:$Y201,"서울병원"),"")</f>
        <v/>
      </c>
      <c r="AN201" s="10">
        <f>IF(LEFT($Y201,1)="⚠",COUNTIF($Y$2:$Y201,"⚠*"),"")</f>
        <v/>
      </c>
      <c r="AO201" s="10">
        <f>IF(OR($B201="",$Y201=""),"",IF(IF(TRIM($J201&amp;"")="",0,SUMPRODUCT((입력_파견수련계획!$Q$4:$Q$803=TRIM($J201&amp;""))*입력_파견수련계획!$AD$4:$AD$803))&gt;0,"다기관 기간 → 소속병원 지급",IF(AND(N($X201)&lt;=0,$AQ201=""),"파견 없음 → 그 달 근무병원 지급",IF($AH201+$AI201=DAY(EOMONTH(출력_요약!$B$3,0)),"서울 "&amp;$AH201&amp;"일 / 구리 "&amp;$AI201&amp;"일"&amp;IF($AQ201&lt;&gt;""," (구리 근무자명단 반영)","")&amp;" → 15일 이상 근무 병원 지급","타 병원 포함 → "&amp;IF($AJ201="","소속",INDEX(입력_파견수련계획!$T$4:$T$803,$AJ201))&amp;" 규칙"))))</f>
        <v/>
      </c>
      <c r="AP201" s="10">
        <f>IF($B201="","",$C201&amp;"|"&amp;$F201)</f>
        <v/>
      </c>
      <c r="AQ201" s="10">
        <f>IF($B201="","",IFERROR(MATCH(ROW()-1,출력_구리근무자!$K$6:$K$305,0),""))</f>
        <v/>
      </c>
      <c r="AR201" s="10">
        <f>IF($AQ201="","",INDEX(출력_구리근무자!$H$6:$H$305,$AQ201))</f>
        <v/>
      </c>
    </row>
    <row r="202">
      <c r="A202" s="10">
        <f>IF(B202="","",ROW()-1)</f>
        <v/>
      </c>
      <c r="B202" s="19" t="n"/>
      <c r="C202" s="10">
        <f>IF($AB202="","",IF(INDEX(입력_기본자료!$C$2:$C$1001,$AB202)="","",INDEX(입력_기본자료!$C$2:$C$1001,$AB202)))</f>
        <v/>
      </c>
      <c r="D202" s="10">
        <f>IF($AB202="","",IF(INDEX(입력_기본자료!$J$2:$J$1001,$AB202)="","",INDEX(입력_기본자료!$J$2:$J$1001,$AB202)))</f>
        <v/>
      </c>
      <c r="E202" s="11">
        <f>IF($AB202="","",IF(INDEX(입력_기본자료!$K$2:$K$1001,$AB202)="","",IF(NOT(ISNUMBER(INDEX(입력_기본자료!$K$2:$K$1001,$AB202))),INDEX(입력_기본자료!$K$2:$K$1001,$AB202),IF(INDEX(입력_기본자료!$K$2:$K$1001,$AB202)&lt;1000000,INDEX(입력_기본자료!$K$2:$K$1001,$AB202),IF(AND(INDEX(입력_기본자료!$K$2:$K$1001,$AB202)&gt;=10000101,INT(MOD(INDEX(입력_기본자료!$K$2:$K$1001,$AB202),10000)/100)&gt;=1,INT(MOD(INDEX(입력_기본자료!$K$2:$K$1001,$AB202),10000)/100)&lt;=12,MOD(INDEX(입력_기본자료!$K$2:$K$1001,$AB202),100)&gt;=1,MOD(INDEX(입력_기본자료!$K$2:$K$1001,$AB202),100)&lt;=31),DATE(INT(INDEX(입력_기본자료!$K$2:$K$1001,$AB202)/10000),INT(MOD(INDEX(입력_기본자료!$K$2:$K$1001,$AB202),10000)/100),MOD(INDEX(입력_기본자료!$K$2:$K$1001,$AB202),100)),INDEX(입력_기본자료!$K$2:$K$1001,$AB202)&amp;"")))))</f>
        <v/>
      </c>
      <c r="F202" s="10">
        <f>IF($AB202="","",IF(INDEX(입력_기본자료!$D$2:$D$1001,$AB202)="","",INDEX(입력_기본자료!$D$2:$D$1001,$AB202)))</f>
        <v/>
      </c>
      <c r="G202" s="10">
        <f>IF($AB202="","",IF(INDEX(입력_기본자료!$E$2:$E$1001,$AB202)="","",INDEX(입력_기본자료!$E$2:$E$1001,$AB202)))</f>
        <v/>
      </c>
      <c r="H202" s="10">
        <f>IF($AB202="","",IF(INDEX(입력_기본자료!$F$2:$F$1001,$AB202)="","",INDEX(입력_기본자료!$F$2:$F$1001,$AB202)))</f>
        <v/>
      </c>
      <c r="I202" s="11">
        <f>IF($AB202="","",IF(INDEX(입력_기본자료!$G$2:$G$1001,$AB202)="","",IF(NOT(ISNUMBER(INDEX(입력_기본자료!$G$2:$G$1001,$AB202))),INDEX(입력_기본자료!$G$2:$G$1001,$AB202),IF(INDEX(입력_기본자료!$G$2:$G$1001,$AB202)&lt;1000000,INDEX(입력_기본자료!$G$2:$G$1001,$AB202),IF(AND(INDEX(입력_기본자료!$G$2:$G$1001,$AB202)&gt;=10000101,INT(MOD(INDEX(입력_기본자료!$G$2:$G$1001,$AB202),10000)/100)&gt;=1,INT(MOD(INDEX(입력_기본자료!$G$2:$G$1001,$AB202),10000)/100)&lt;=12,MOD(INDEX(입력_기본자료!$G$2:$G$1001,$AB202),100)&gt;=1,MOD(INDEX(입력_기본자료!$G$2:$G$1001,$AB202),100)&lt;=31),DATE(INT(INDEX(입력_기본자료!$G$2:$G$1001,$AB202)/10000),INT(MOD(INDEX(입력_기본자료!$G$2:$G$1001,$AB202),10000)/100),MOD(INDEX(입력_기본자료!$G$2:$G$1001,$AB202),100)),INDEX(입력_기본자료!$G$2:$G$1001,$AB202)&amp;"")))))</f>
        <v/>
      </c>
      <c r="J202" s="10">
        <f>IF($AB202="","",IF(INDEX(입력_기본자료!$H$2:$H$1001,$AB202)="","",INDEX(입력_기본자료!$H$2:$H$1001,$AB202)))</f>
        <v/>
      </c>
      <c r="K202" s="10">
        <f>IF($AB202="","",IF(INDEX(입력_기본자료!$I$2:$I$1001,$AB202)="","",INDEX(입력_기본자료!$I$2:$I$1001,$AB202)))</f>
        <v/>
      </c>
      <c r="L202" s="10">
        <f>IF($AB202="","",IF(INDEX(입력_기본자료!$A$2:$A$1001,$AB202)="","",INDEX(입력_기본자료!$A$2:$A$1001,$AB202)))</f>
        <v/>
      </c>
      <c r="M202" s="15" t="n"/>
      <c r="N202" s="10">
        <f>IF($B202="","",IF(AND($U202="파견중",$Q202&lt;&gt;""),$Q202,IF(AND($AD202&lt;&gt;"",LEFT($AD202,1)&lt;&gt;"⚠"),LEFT($AD202,FIND(" ",$AD202)-1),IF($H202="","",IF(RIGHT($H202,2)="병원",$H202,$H202&amp;"병원")))))</f>
        <v/>
      </c>
      <c r="O202" s="10">
        <f>IF($B202="","",IF(AND($U202="파견중",$Q202&lt;&gt;""),IF($R202&lt;&gt;"",$R202,"파견과 미입력"),IF(AND($AD202&lt;&gt;"",LEFT($AD202,1)&lt;&gt;"⚠"),MID($AD202,FIND(" ",$AD202)+1,60),IF($F202="","",IF($F202="인턴","수련교육부(인턴)",$F202)))))</f>
        <v/>
      </c>
      <c r="P202" s="10">
        <f>IF($B202="","",IF($AK202&lt;&gt;"",IF(AND(TODAY()&gt;=INDEX(입력_파견수련계획!$AB$4:$AB$803,$AK202),OR(NOT(ISNUMBER(INDEX(입력_파견수련계획!$AC$4:$AC$803,$AK202))),TODAY()&lt;=INDEX(입력_파견수련계획!$AC$4:$AC$803,$AK202))),"다기관",IF($AF202="","",INDEX(입력_파견수련계획!$T$4:$T$803,$AF202))),IF($AF202="","",INDEX(입력_파견수련계획!$T$4:$T$803,$AF202))))</f>
        <v/>
      </c>
      <c r="Q202" s="10">
        <f>IF($AF202="","",INDEX(입력_파견수련계획!$S$4:$S$803,$AF202))</f>
        <v/>
      </c>
      <c r="R202" s="10">
        <f>IF($AF202="","",INDEX(입력_파견수련계획!$U$4:$U$803,$AF202))</f>
        <v/>
      </c>
      <c r="S202" s="11">
        <f>IF($AF202="","",IF(INDEX(입력_파견수련계획!$H$4:$H$803,$AF202)="","",INDEX(입력_파견수련계획!$H$4:$H$803,$AF202)))</f>
        <v/>
      </c>
      <c r="T202" s="11">
        <f>IF($AF202="","",IF(INDEX(입력_파견수련계획!$I$4:$I$803,$AF202)="","",INDEX(입력_파견수련계획!$I$4:$I$803,$AF202)))</f>
        <v/>
      </c>
      <c r="U202" s="10">
        <f>IF($AF202="","",INDEX(입력_파견수련계획!$X$4:$X$803,$AF202))</f>
        <v/>
      </c>
      <c r="V202" s="17">
        <f>IF($AF202="","",INDEX(입력_파견수련계획!$V$4:$V$803,$AF202))</f>
        <v/>
      </c>
      <c r="W202" s="17">
        <f>IF(AND($U202="파견중",$T202&lt;&gt;""),$T202-TODAY(),"")</f>
        <v/>
      </c>
      <c r="X202" s="17">
        <f>IF(OR($B202="",TRIM($J202&amp;"")=""),"",SUMPRODUCT((입력_파견수련계획!$Q$4:$Q$803=TRIM($J202&amp;""))*입력_파견수련계획!$W$4:$W$803))</f>
        <v/>
      </c>
      <c r="Y202" s="10">
        <f>IF($B202="","",IF($AG202="","",IF(IF(TRIM($J202&amp;"")="",0,SUMPRODUCT((입력_파견수련계획!$Q$4:$Q$803=TRIM($J202&amp;""))*입력_파견수련계획!$AD$4:$AD$803))&gt;0,$AE202,IF(AND(N($X202)&lt;=0,$AQ202=""),$AG202,IF($AH202+$AI202=DAY(EOMONTH(출력_요약!$B$3,0)),IF(AND($AH202&gt;=출력_요약!$E$3,$AI202&lt;출력_요약!$E$3),"서울병원",IF(AND($AI202&gt;=출력_요약!$E$3,$AH202&lt;출력_요약!$E$3),"구리병원","⚠15일 판정불가(서울 "&amp;$AH202&amp;"일/구리 "&amp;$AI202&amp;"일)")),IF($AJ202="",$AE202,IF(INDEX(입력_파견수련계획!$T$4:$T$803,$AJ202)="통합수련",INDEX(입력_파견수련계획!$S$4:$S$803,$AJ202),$AE202)))))))</f>
        <v/>
      </c>
      <c r="Z202" s="20">
        <f>IF($B202="","",IF($AB202="","기본자료에 없는 사번",IF(COUNTIF($B$2:$B$401,$B202)&gt;1,"중복 사번",IF($AE202="","소속(입사장소) 입력",IF(IF(TRIM($J202&amp;"")="",0,SUMPRODUCT((입력_파견수련계획!$Q$4:$Q$803=TRIM($J202&amp;""))*(입력_파견수련계획!$AA$4:$AA$803&lt;&gt;"")))&gt;0,"파견수련계획 입력오류 확인",IF(LEFT($Y202,1)="⚠","서울·구리 15일 판정 불가(양쪽 모두 이상/미만)",IF(IF($AC202="",0,N(INDEX(입력_인턴근무계획!$T$3:$T$402,$AC202)))&gt;0,"인턴계획 입력오류 확인",IF(AND($AQ202&lt;&gt;"",$AG202&lt;&gt;"구리병원",IF(TRIM($J202&amp;"")="",0,SUMPRODUCT((입력_파견수련계획!$Q$4:$Q$803=TRIM($J202&amp;""))*(입력_파견수련계획!$S$4:$S$803="구리병원")*입력_파견수련계획!$W$4:$W$803))=0),"구리 근무자명단에만 있음(파견수련계획 확인)",IF(AND($AC202&lt;&gt;"",$U202&lt;&gt;"파견중",$N202&lt;&gt;$AE202),"인턴 타지역 근무: 파견 여부 확인","정상")))))))))</f>
        <v/>
      </c>
      <c r="AA202" s="5" t="n"/>
      <c r="AB202" s="10">
        <f>IF($B202="","",IFERROR(MATCH($B202,입력_기본자료!$B$2:$B$1001,0),IFERROR(MATCH($B202&amp;"",입력_기본자료!$B$2:$B$1001,0),IFERROR(MATCH(VALUE($B202),입력_기본자료!$B$2:$B$1001,0),""))))</f>
        <v/>
      </c>
      <c r="AC202" s="10">
        <f>IF($B202="","",IFERROR(MATCH($B202,입력_인턴근무계획!$D$3:$D$402,0),IFERROR(MATCH($B202&amp;"",입력_인턴근무계획!$D$3:$D$402,0),IFERROR(MATCH(VALUE($B202),입력_인턴근무계획!$D$3:$D$402,0),""))))</f>
        <v/>
      </c>
      <c r="AD202" s="10">
        <f>IF(OR($AC202="",출력_인턴현황!$G$3=""),"",INDEX(입력_인턴근무계획!$M$3:$R$402,$AC202,출력_인턴현황!$G$3)&amp;"")</f>
        <v/>
      </c>
      <c r="AE202" s="10">
        <f>IF($B202="","",IF($M202&lt;&gt;"",$M202,IF(IF($AQ202="",FALSE,INDEX(출력_구리근무자!$J$6:$J$305,$AQ202)="구리독자"),"구리병원",IF($AF202&lt;&gt;"",IF(LEFT(INDEX(입력_파견수련계획!$R$4:$R$803,$AF202),1)&lt;&gt;"⚠",INDEX(입력_파견수련계획!$R$4:$R$803,$AF202),IF($H202="","",IF(RIGHT($H202,2)="병원",$H202,$H202&amp;"병원"))),IF($H202="","",IF(RIGHT($H202,2)="병원",$H202,$H202&amp;"병원"))))))</f>
        <v/>
      </c>
      <c r="AF202" s="10">
        <f>IF(OR($B202="",TRIM($J202&amp;"")=""),"",IFERROR(MATCH(TRIM($J202&amp;"")&amp;"|파견중",입력_파견수련계획!$Y$4:$Y$803,0),IFERROR(MATCH(TRIM($J202&amp;"")&amp;"|파견예정",입력_파견수련계획!$Y$4:$Y$803,0),IFERROR(MATCH(TRIM($J202&amp;"")&amp;"|파견종료",입력_파견수련계획!$Y$4:$Y$803,0),""))))</f>
        <v/>
      </c>
      <c r="AG202" s="10">
        <f>IF($B202="","",IF(AND(IF(OR($AC202="",출력_인턴현황!$K$2=""),"",INDEX(입력_인턴근무계획!$M$3:$R$402,$AC202,출력_인턴현황!$K$2)&amp;"")&lt;&gt;"",LEFT(IF(OR($AC202="",출력_인턴현황!$K$2=""),"",INDEX(입력_인턴근무계획!$M$3:$R$402,$AC202,출력_인턴현황!$K$2)&amp;""),1)&lt;&gt;"⚠"),LEFT(IF(OR($AC202="",출력_인턴현황!$K$2=""),"",INDEX(입력_인턴근무계획!$M$3:$R$402,$AC202,출력_인턴현황!$K$2)&amp;""),FIND(" ",IF(OR($AC202="",출력_인턴현황!$K$2=""),"",INDEX(입력_인턴근무계획!$M$3:$R$402,$AC202,출력_인턴현황!$K$2)&amp;""))-1),$AE202))</f>
        <v/>
      </c>
      <c r="AH202" s="17">
        <f>IF($B202="","",IF($AQ202&lt;&gt;"",MAX(0,DAY(EOMONTH(출력_요약!$B$3,0))-N($AR202)),IF(TRIM($J202&amp;"")="",0,SUMPRODUCT((입력_파견수련계획!$Q$4:$Q$803=TRIM($J202&amp;""))*(입력_파견수련계획!$S$4:$S$803="서울병원")*입력_파견수련계획!$W$4:$W$803))+IF($AG202="서울병원",MAX(0,DAY(EOMONTH(출력_요약!$B$3,0))-N($X202)),0)))</f>
        <v/>
      </c>
      <c r="AI202" s="17">
        <f>IF($B202="","",IF($AQ202&lt;&gt;"",N($AR202),IF(TRIM($J202&amp;"")="",0,SUMPRODUCT((입력_파견수련계획!$Q$4:$Q$803=TRIM($J202&amp;""))*(입력_파견수련계획!$S$4:$S$803="구리병원")*입력_파견수련계획!$W$4:$W$803))+IF($AG202="구리병원",MAX(0,DAY(EOMONTH(출력_요약!$B$3,0))-N($X202)),0)))</f>
        <v/>
      </c>
      <c r="AJ202" s="10">
        <f>IF(OR($B202="",TRIM($J202&amp;"")=""),"",IFERROR(MATCH(TRIM($J202&amp;"")&amp;"|월",입력_파견수련계획!$Z$4:$Z$803,0),""))</f>
        <v/>
      </c>
      <c r="AK202" s="10">
        <f>IF(OR($B202="",TRIM($J202&amp;"")=""),"",IFERROR(MATCH(TRIM($J202&amp;"")&amp;"|다기관",입력_파견수련계획!$AE$4:$AE$803,0),""))</f>
        <v/>
      </c>
      <c r="AL202" s="10">
        <f>IF($AK202="","","다기관 "&amp;TEXT(INDEX(입력_파견수련계획!$AB$4:$AB$803,$AK202),"yyyy-mm-dd")&amp;"~"&amp;IF(ISNUMBER(INDEX(입력_파견수련계획!$AC$4:$AC$803,$AK202)),TEXT(INDEX(입력_파견수련계획!$AC$4:$AC$803,$AK202),"yyyy-mm-dd"),""))</f>
        <v/>
      </c>
      <c r="AM202" s="10">
        <f>IF($Y202="서울병원",COUNTIF($Y$2:$Y202,"서울병원"),"")</f>
        <v/>
      </c>
      <c r="AN202" s="10">
        <f>IF(LEFT($Y202,1)="⚠",COUNTIF($Y$2:$Y202,"⚠*"),"")</f>
        <v/>
      </c>
      <c r="AO202" s="10">
        <f>IF(OR($B202="",$Y202=""),"",IF(IF(TRIM($J202&amp;"")="",0,SUMPRODUCT((입력_파견수련계획!$Q$4:$Q$803=TRIM($J202&amp;""))*입력_파견수련계획!$AD$4:$AD$803))&gt;0,"다기관 기간 → 소속병원 지급",IF(AND(N($X202)&lt;=0,$AQ202=""),"파견 없음 → 그 달 근무병원 지급",IF($AH202+$AI202=DAY(EOMONTH(출력_요약!$B$3,0)),"서울 "&amp;$AH202&amp;"일 / 구리 "&amp;$AI202&amp;"일"&amp;IF($AQ202&lt;&gt;""," (구리 근무자명단 반영)","")&amp;" → 15일 이상 근무 병원 지급","타 병원 포함 → "&amp;IF($AJ202="","소속",INDEX(입력_파견수련계획!$T$4:$T$803,$AJ202))&amp;" 규칙"))))</f>
        <v/>
      </c>
      <c r="AP202" s="10">
        <f>IF($B202="","",$C202&amp;"|"&amp;$F202)</f>
        <v/>
      </c>
      <c r="AQ202" s="10">
        <f>IF($B202="","",IFERROR(MATCH(ROW()-1,출력_구리근무자!$K$6:$K$305,0),""))</f>
        <v/>
      </c>
      <c r="AR202" s="10">
        <f>IF($AQ202="","",INDEX(출력_구리근무자!$H$6:$H$305,$AQ202))</f>
        <v/>
      </c>
    </row>
    <row r="203">
      <c r="A203" s="10">
        <f>IF(B203="","",ROW()-1)</f>
        <v/>
      </c>
      <c r="B203" s="19" t="n"/>
      <c r="C203" s="10">
        <f>IF($AB203="","",IF(INDEX(입력_기본자료!$C$2:$C$1001,$AB203)="","",INDEX(입력_기본자료!$C$2:$C$1001,$AB203)))</f>
        <v/>
      </c>
      <c r="D203" s="10">
        <f>IF($AB203="","",IF(INDEX(입력_기본자료!$J$2:$J$1001,$AB203)="","",INDEX(입력_기본자료!$J$2:$J$1001,$AB203)))</f>
        <v/>
      </c>
      <c r="E203" s="11">
        <f>IF($AB203="","",IF(INDEX(입력_기본자료!$K$2:$K$1001,$AB203)="","",IF(NOT(ISNUMBER(INDEX(입력_기본자료!$K$2:$K$1001,$AB203))),INDEX(입력_기본자료!$K$2:$K$1001,$AB203),IF(INDEX(입력_기본자료!$K$2:$K$1001,$AB203)&lt;1000000,INDEX(입력_기본자료!$K$2:$K$1001,$AB203),IF(AND(INDEX(입력_기본자료!$K$2:$K$1001,$AB203)&gt;=10000101,INT(MOD(INDEX(입력_기본자료!$K$2:$K$1001,$AB203),10000)/100)&gt;=1,INT(MOD(INDEX(입력_기본자료!$K$2:$K$1001,$AB203),10000)/100)&lt;=12,MOD(INDEX(입력_기본자료!$K$2:$K$1001,$AB203),100)&gt;=1,MOD(INDEX(입력_기본자료!$K$2:$K$1001,$AB203),100)&lt;=31),DATE(INT(INDEX(입력_기본자료!$K$2:$K$1001,$AB203)/10000),INT(MOD(INDEX(입력_기본자료!$K$2:$K$1001,$AB203),10000)/100),MOD(INDEX(입력_기본자료!$K$2:$K$1001,$AB203),100)),INDEX(입력_기본자료!$K$2:$K$1001,$AB203)&amp;"")))))</f>
        <v/>
      </c>
      <c r="F203" s="10">
        <f>IF($AB203="","",IF(INDEX(입력_기본자료!$D$2:$D$1001,$AB203)="","",INDEX(입력_기본자료!$D$2:$D$1001,$AB203)))</f>
        <v/>
      </c>
      <c r="G203" s="10">
        <f>IF($AB203="","",IF(INDEX(입력_기본자료!$E$2:$E$1001,$AB203)="","",INDEX(입력_기본자료!$E$2:$E$1001,$AB203)))</f>
        <v/>
      </c>
      <c r="H203" s="10">
        <f>IF($AB203="","",IF(INDEX(입력_기본자료!$F$2:$F$1001,$AB203)="","",INDEX(입력_기본자료!$F$2:$F$1001,$AB203)))</f>
        <v/>
      </c>
      <c r="I203" s="11">
        <f>IF($AB203="","",IF(INDEX(입력_기본자료!$G$2:$G$1001,$AB203)="","",IF(NOT(ISNUMBER(INDEX(입력_기본자료!$G$2:$G$1001,$AB203))),INDEX(입력_기본자료!$G$2:$G$1001,$AB203),IF(INDEX(입력_기본자료!$G$2:$G$1001,$AB203)&lt;1000000,INDEX(입력_기본자료!$G$2:$G$1001,$AB203),IF(AND(INDEX(입력_기본자료!$G$2:$G$1001,$AB203)&gt;=10000101,INT(MOD(INDEX(입력_기본자료!$G$2:$G$1001,$AB203),10000)/100)&gt;=1,INT(MOD(INDEX(입력_기본자료!$G$2:$G$1001,$AB203),10000)/100)&lt;=12,MOD(INDEX(입력_기본자료!$G$2:$G$1001,$AB203),100)&gt;=1,MOD(INDEX(입력_기본자료!$G$2:$G$1001,$AB203),100)&lt;=31),DATE(INT(INDEX(입력_기본자료!$G$2:$G$1001,$AB203)/10000),INT(MOD(INDEX(입력_기본자료!$G$2:$G$1001,$AB203),10000)/100),MOD(INDEX(입력_기본자료!$G$2:$G$1001,$AB203),100)),INDEX(입력_기본자료!$G$2:$G$1001,$AB203)&amp;"")))))</f>
        <v/>
      </c>
      <c r="J203" s="10">
        <f>IF($AB203="","",IF(INDEX(입력_기본자료!$H$2:$H$1001,$AB203)="","",INDEX(입력_기본자료!$H$2:$H$1001,$AB203)))</f>
        <v/>
      </c>
      <c r="K203" s="10">
        <f>IF($AB203="","",IF(INDEX(입력_기본자료!$I$2:$I$1001,$AB203)="","",INDEX(입력_기본자료!$I$2:$I$1001,$AB203)))</f>
        <v/>
      </c>
      <c r="L203" s="10">
        <f>IF($AB203="","",IF(INDEX(입력_기본자료!$A$2:$A$1001,$AB203)="","",INDEX(입력_기본자료!$A$2:$A$1001,$AB203)))</f>
        <v/>
      </c>
      <c r="M203" s="15" t="n"/>
      <c r="N203" s="10">
        <f>IF($B203="","",IF(AND($U203="파견중",$Q203&lt;&gt;""),$Q203,IF(AND($AD203&lt;&gt;"",LEFT($AD203,1)&lt;&gt;"⚠"),LEFT($AD203,FIND(" ",$AD203)-1),IF($H203="","",IF(RIGHT($H203,2)="병원",$H203,$H203&amp;"병원")))))</f>
        <v/>
      </c>
      <c r="O203" s="10">
        <f>IF($B203="","",IF(AND($U203="파견중",$Q203&lt;&gt;""),IF($R203&lt;&gt;"",$R203,"파견과 미입력"),IF(AND($AD203&lt;&gt;"",LEFT($AD203,1)&lt;&gt;"⚠"),MID($AD203,FIND(" ",$AD203)+1,60),IF($F203="","",IF($F203="인턴","수련교육부(인턴)",$F203)))))</f>
        <v/>
      </c>
      <c r="P203" s="10">
        <f>IF($B203="","",IF($AK203&lt;&gt;"",IF(AND(TODAY()&gt;=INDEX(입력_파견수련계획!$AB$4:$AB$803,$AK203),OR(NOT(ISNUMBER(INDEX(입력_파견수련계획!$AC$4:$AC$803,$AK203))),TODAY()&lt;=INDEX(입력_파견수련계획!$AC$4:$AC$803,$AK203))),"다기관",IF($AF203="","",INDEX(입력_파견수련계획!$T$4:$T$803,$AF203))),IF($AF203="","",INDEX(입력_파견수련계획!$T$4:$T$803,$AF203))))</f>
        <v/>
      </c>
      <c r="Q203" s="10">
        <f>IF($AF203="","",INDEX(입력_파견수련계획!$S$4:$S$803,$AF203))</f>
        <v/>
      </c>
      <c r="R203" s="10">
        <f>IF($AF203="","",INDEX(입력_파견수련계획!$U$4:$U$803,$AF203))</f>
        <v/>
      </c>
      <c r="S203" s="11">
        <f>IF($AF203="","",IF(INDEX(입력_파견수련계획!$H$4:$H$803,$AF203)="","",INDEX(입력_파견수련계획!$H$4:$H$803,$AF203)))</f>
        <v/>
      </c>
      <c r="T203" s="11">
        <f>IF($AF203="","",IF(INDEX(입력_파견수련계획!$I$4:$I$803,$AF203)="","",INDEX(입력_파견수련계획!$I$4:$I$803,$AF203)))</f>
        <v/>
      </c>
      <c r="U203" s="10">
        <f>IF($AF203="","",INDEX(입력_파견수련계획!$X$4:$X$803,$AF203))</f>
        <v/>
      </c>
      <c r="V203" s="17">
        <f>IF($AF203="","",INDEX(입력_파견수련계획!$V$4:$V$803,$AF203))</f>
        <v/>
      </c>
      <c r="W203" s="17">
        <f>IF(AND($U203="파견중",$T203&lt;&gt;""),$T203-TODAY(),"")</f>
        <v/>
      </c>
      <c r="X203" s="17">
        <f>IF(OR($B203="",TRIM($J203&amp;"")=""),"",SUMPRODUCT((입력_파견수련계획!$Q$4:$Q$803=TRIM($J203&amp;""))*입력_파견수련계획!$W$4:$W$803))</f>
        <v/>
      </c>
      <c r="Y203" s="10">
        <f>IF($B203="","",IF($AG203="","",IF(IF(TRIM($J203&amp;"")="",0,SUMPRODUCT((입력_파견수련계획!$Q$4:$Q$803=TRIM($J203&amp;""))*입력_파견수련계획!$AD$4:$AD$803))&gt;0,$AE203,IF(AND(N($X203)&lt;=0,$AQ203=""),$AG203,IF($AH203+$AI203=DAY(EOMONTH(출력_요약!$B$3,0)),IF(AND($AH203&gt;=출력_요약!$E$3,$AI203&lt;출력_요약!$E$3),"서울병원",IF(AND($AI203&gt;=출력_요약!$E$3,$AH203&lt;출력_요약!$E$3),"구리병원","⚠15일 판정불가(서울 "&amp;$AH203&amp;"일/구리 "&amp;$AI203&amp;"일)")),IF($AJ203="",$AE203,IF(INDEX(입력_파견수련계획!$T$4:$T$803,$AJ203)="통합수련",INDEX(입력_파견수련계획!$S$4:$S$803,$AJ203),$AE203)))))))</f>
        <v/>
      </c>
      <c r="Z203" s="20">
        <f>IF($B203="","",IF($AB203="","기본자료에 없는 사번",IF(COUNTIF($B$2:$B$401,$B203)&gt;1,"중복 사번",IF($AE203="","소속(입사장소) 입력",IF(IF(TRIM($J203&amp;"")="",0,SUMPRODUCT((입력_파견수련계획!$Q$4:$Q$803=TRIM($J203&amp;""))*(입력_파견수련계획!$AA$4:$AA$803&lt;&gt;"")))&gt;0,"파견수련계획 입력오류 확인",IF(LEFT($Y203,1)="⚠","서울·구리 15일 판정 불가(양쪽 모두 이상/미만)",IF(IF($AC203="",0,N(INDEX(입력_인턴근무계획!$T$3:$T$402,$AC203)))&gt;0,"인턴계획 입력오류 확인",IF(AND($AQ203&lt;&gt;"",$AG203&lt;&gt;"구리병원",IF(TRIM($J203&amp;"")="",0,SUMPRODUCT((입력_파견수련계획!$Q$4:$Q$803=TRIM($J203&amp;""))*(입력_파견수련계획!$S$4:$S$803="구리병원")*입력_파견수련계획!$W$4:$W$803))=0),"구리 근무자명단에만 있음(파견수련계획 확인)",IF(AND($AC203&lt;&gt;"",$U203&lt;&gt;"파견중",$N203&lt;&gt;$AE203),"인턴 타지역 근무: 파견 여부 확인","정상")))))))))</f>
        <v/>
      </c>
      <c r="AA203" s="5" t="n"/>
      <c r="AB203" s="10">
        <f>IF($B203="","",IFERROR(MATCH($B203,입력_기본자료!$B$2:$B$1001,0),IFERROR(MATCH($B203&amp;"",입력_기본자료!$B$2:$B$1001,0),IFERROR(MATCH(VALUE($B203),입력_기본자료!$B$2:$B$1001,0),""))))</f>
        <v/>
      </c>
      <c r="AC203" s="10">
        <f>IF($B203="","",IFERROR(MATCH($B203,입력_인턴근무계획!$D$3:$D$402,0),IFERROR(MATCH($B203&amp;"",입력_인턴근무계획!$D$3:$D$402,0),IFERROR(MATCH(VALUE($B203),입력_인턴근무계획!$D$3:$D$402,0),""))))</f>
        <v/>
      </c>
      <c r="AD203" s="10">
        <f>IF(OR($AC203="",출력_인턴현황!$G$3=""),"",INDEX(입력_인턴근무계획!$M$3:$R$402,$AC203,출력_인턴현황!$G$3)&amp;"")</f>
        <v/>
      </c>
      <c r="AE203" s="10">
        <f>IF($B203="","",IF($M203&lt;&gt;"",$M203,IF(IF($AQ203="",FALSE,INDEX(출력_구리근무자!$J$6:$J$305,$AQ203)="구리독자"),"구리병원",IF($AF203&lt;&gt;"",IF(LEFT(INDEX(입력_파견수련계획!$R$4:$R$803,$AF203),1)&lt;&gt;"⚠",INDEX(입력_파견수련계획!$R$4:$R$803,$AF203),IF($H203="","",IF(RIGHT($H203,2)="병원",$H203,$H203&amp;"병원"))),IF($H203="","",IF(RIGHT($H203,2)="병원",$H203,$H203&amp;"병원"))))))</f>
        <v/>
      </c>
      <c r="AF203" s="10">
        <f>IF(OR($B203="",TRIM($J203&amp;"")=""),"",IFERROR(MATCH(TRIM($J203&amp;"")&amp;"|파견중",입력_파견수련계획!$Y$4:$Y$803,0),IFERROR(MATCH(TRIM($J203&amp;"")&amp;"|파견예정",입력_파견수련계획!$Y$4:$Y$803,0),IFERROR(MATCH(TRIM($J203&amp;"")&amp;"|파견종료",입력_파견수련계획!$Y$4:$Y$803,0),""))))</f>
        <v/>
      </c>
      <c r="AG203" s="10">
        <f>IF($B203="","",IF(AND(IF(OR($AC203="",출력_인턴현황!$K$2=""),"",INDEX(입력_인턴근무계획!$M$3:$R$402,$AC203,출력_인턴현황!$K$2)&amp;"")&lt;&gt;"",LEFT(IF(OR($AC203="",출력_인턴현황!$K$2=""),"",INDEX(입력_인턴근무계획!$M$3:$R$402,$AC203,출력_인턴현황!$K$2)&amp;""),1)&lt;&gt;"⚠"),LEFT(IF(OR($AC203="",출력_인턴현황!$K$2=""),"",INDEX(입력_인턴근무계획!$M$3:$R$402,$AC203,출력_인턴현황!$K$2)&amp;""),FIND(" ",IF(OR($AC203="",출력_인턴현황!$K$2=""),"",INDEX(입력_인턴근무계획!$M$3:$R$402,$AC203,출력_인턴현황!$K$2)&amp;""))-1),$AE203))</f>
        <v/>
      </c>
      <c r="AH203" s="17">
        <f>IF($B203="","",IF($AQ203&lt;&gt;"",MAX(0,DAY(EOMONTH(출력_요약!$B$3,0))-N($AR203)),IF(TRIM($J203&amp;"")="",0,SUMPRODUCT((입력_파견수련계획!$Q$4:$Q$803=TRIM($J203&amp;""))*(입력_파견수련계획!$S$4:$S$803="서울병원")*입력_파견수련계획!$W$4:$W$803))+IF($AG203="서울병원",MAX(0,DAY(EOMONTH(출력_요약!$B$3,0))-N($X203)),0)))</f>
        <v/>
      </c>
      <c r="AI203" s="17">
        <f>IF($B203="","",IF($AQ203&lt;&gt;"",N($AR203),IF(TRIM($J203&amp;"")="",0,SUMPRODUCT((입력_파견수련계획!$Q$4:$Q$803=TRIM($J203&amp;""))*(입력_파견수련계획!$S$4:$S$803="구리병원")*입력_파견수련계획!$W$4:$W$803))+IF($AG203="구리병원",MAX(0,DAY(EOMONTH(출력_요약!$B$3,0))-N($X203)),0)))</f>
        <v/>
      </c>
      <c r="AJ203" s="10">
        <f>IF(OR($B203="",TRIM($J203&amp;"")=""),"",IFERROR(MATCH(TRIM($J203&amp;"")&amp;"|월",입력_파견수련계획!$Z$4:$Z$803,0),""))</f>
        <v/>
      </c>
      <c r="AK203" s="10">
        <f>IF(OR($B203="",TRIM($J203&amp;"")=""),"",IFERROR(MATCH(TRIM($J203&amp;"")&amp;"|다기관",입력_파견수련계획!$AE$4:$AE$803,0),""))</f>
        <v/>
      </c>
      <c r="AL203" s="10">
        <f>IF($AK203="","","다기관 "&amp;TEXT(INDEX(입력_파견수련계획!$AB$4:$AB$803,$AK203),"yyyy-mm-dd")&amp;"~"&amp;IF(ISNUMBER(INDEX(입력_파견수련계획!$AC$4:$AC$803,$AK203)),TEXT(INDEX(입력_파견수련계획!$AC$4:$AC$803,$AK203),"yyyy-mm-dd"),""))</f>
        <v/>
      </c>
      <c r="AM203" s="10">
        <f>IF($Y203="서울병원",COUNTIF($Y$2:$Y203,"서울병원"),"")</f>
        <v/>
      </c>
      <c r="AN203" s="10">
        <f>IF(LEFT($Y203,1)="⚠",COUNTIF($Y$2:$Y203,"⚠*"),"")</f>
        <v/>
      </c>
      <c r="AO203" s="10">
        <f>IF(OR($B203="",$Y203=""),"",IF(IF(TRIM($J203&amp;"")="",0,SUMPRODUCT((입력_파견수련계획!$Q$4:$Q$803=TRIM($J203&amp;""))*입력_파견수련계획!$AD$4:$AD$803))&gt;0,"다기관 기간 → 소속병원 지급",IF(AND(N($X203)&lt;=0,$AQ203=""),"파견 없음 → 그 달 근무병원 지급",IF($AH203+$AI203=DAY(EOMONTH(출력_요약!$B$3,0)),"서울 "&amp;$AH203&amp;"일 / 구리 "&amp;$AI203&amp;"일"&amp;IF($AQ203&lt;&gt;""," (구리 근무자명단 반영)","")&amp;" → 15일 이상 근무 병원 지급","타 병원 포함 → "&amp;IF($AJ203="","소속",INDEX(입력_파견수련계획!$T$4:$T$803,$AJ203))&amp;" 규칙"))))</f>
        <v/>
      </c>
      <c r="AP203" s="10">
        <f>IF($B203="","",$C203&amp;"|"&amp;$F203)</f>
        <v/>
      </c>
      <c r="AQ203" s="10">
        <f>IF($B203="","",IFERROR(MATCH(ROW()-1,출력_구리근무자!$K$6:$K$305,0),""))</f>
        <v/>
      </c>
      <c r="AR203" s="10">
        <f>IF($AQ203="","",INDEX(출력_구리근무자!$H$6:$H$305,$AQ203))</f>
        <v/>
      </c>
    </row>
    <row r="204">
      <c r="A204" s="10">
        <f>IF(B204="","",ROW()-1)</f>
        <v/>
      </c>
      <c r="B204" s="19" t="n"/>
      <c r="C204" s="10">
        <f>IF($AB204="","",IF(INDEX(입력_기본자료!$C$2:$C$1001,$AB204)="","",INDEX(입력_기본자료!$C$2:$C$1001,$AB204)))</f>
        <v/>
      </c>
      <c r="D204" s="10">
        <f>IF($AB204="","",IF(INDEX(입력_기본자료!$J$2:$J$1001,$AB204)="","",INDEX(입력_기본자료!$J$2:$J$1001,$AB204)))</f>
        <v/>
      </c>
      <c r="E204" s="11">
        <f>IF($AB204="","",IF(INDEX(입력_기본자료!$K$2:$K$1001,$AB204)="","",IF(NOT(ISNUMBER(INDEX(입력_기본자료!$K$2:$K$1001,$AB204))),INDEX(입력_기본자료!$K$2:$K$1001,$AB204),IF(INDEX(입력_기본자료!$K$2:$K$1001,$AB204)&lt;1000000,INDEX(입력_기본자료!$K$2:$K$1001,$AB204),IF(AND(INDEX(입력_기본자료!$K$2:$K$1001,$AB204)&gt;=10000101,INT(MOD(INDEX(입력_기본자료!$K$2:$K$1001,$AB204),10000)/100)&gt;=1,INT(MOD(INDEX(입력_기본자료!$K$2:$K$1001,$AB204),10000)/100)&lt;=12,MOD(INDEX(입력_기본자료!$K$2:$K$1001,$AB204),100)&gt;=1,MOD(INDEX(입력_기본자료!$K$2:$K$1001,$AB204),100)&lt;=31),DATE(INT(INDEX(입력_기본자료!$K$2:$K$1001,$AB204)/10000),INT(MOD(INDEX(입력_기본자료!$K$2:$K$1001,$AB204),10000)/100),MOD(INDEX(입력_기본자료!$K$2:$K$1001,$AB204),100)),INDEX(입력_기본자료!$K$2:$K$1001,$AB204)&amp;"")))))</f>
        <v/>
      </c>
      <c r="F204" s="10">
        <f>IF($AB204="","",IF(INDEX(입력_기본자료!$D$2:$D$1001,$AB204)="","",INDEX(입력_기본자료!$D$2:$D$1001,$AB204)))</f>
        <v/>
      </c>
      <c r="G204" s="10">
        <f>IF($AB204="","",IF(INDEX(입력_기본자료!$E$2:$E$1001,$AB204)="","",INDEX(입력_기본자료!$E$2:$E$1001,$AB204)))</f>
        <v/>
      </c>
      <c r="H204" s="10">
        <f>IF($AB204="","",IF(INDEX(입력_기본자료!$F$2:$F$1001,$AB204)="","",INDEX(입력_기본자료!$F$2:$F$1001,$AB204)))</f>
        <v/>
      </c>
      <c r="I204" s="11">
        <f>IF($AB204="","",IF(INDEX(입력_기본자료!$G$2:$G$1001,$AB204)="","",IF(NOT(ISNUMBER(INDEX(입력_기본자료!$G$2:$G$1001,$AB204))),INDEX(입력_기본자료!$G$2:$G$1001,$AB204),IF(INDEX(입력_기본자료!$G$2:$G$1001,$AB204)&lt;1000000,INDEX(입력_기본자료!$G$2:$G$1001,$AB204),IF(AND(INDEX(입력_기본자료!$G$2:$G$1001,$AB204)&gt;=10000101,INT(MOD(INDEX(입력_기본자료!$G$2:$G$1001,$AB204),10000)/100)&gt;=1,INT(MOD(INDEX(입력_기본자료!$G$2:$G$1001,$AB204),10000)/100)&lt;=12,MOD(INDEX(입력_기본자료!$G$2:$G$1001,$AB204),100)&gt;=1,MOD(INDEX(입력_기본자료!$G$2:$G$1001,$AB204),100)&lt;=31),DATE(INT(INDEX(입력_기본자료!$G$2:$G$1001,$AB204)/10000),INT(MOD(INDEX(입력_기본자료!$G$2:$G$1001,$AB204),10000)/100),MOD(INDEX(입력_기본자료!$G$2:$G$1001,$AB204),100)),INDEX(입력_기본자료!$G$2:$G$1001,$AB204)&amp;"")))))</f>
        <v/>
      </c>
      <c r="J204" s="10">
        <f>IF($AB204="","",IF(INDEX(입력_기본자료!$H$2:$H$1001,$AB204)="","",INDEX(입력_기본자료!$H$2:$H$1001,$AB204)))</f>
        <v/>
      </c>
      <c r="K204" s="10">
        <f>IF($AB204="","",IF(INDEX(입력_기본자료!$I$2:$I$1001,$AB204)="","",INDEX(입력_기본자료!$I$2:$I$1001,$AB204)))</f>
        <v/>
      </c>
      <c r="L204" s="10">
        <f>IF($AB204="","",IF(INDEX(입력_기본자료!$A$2:$A$1001,$AB204)="","",INDEX(입력_기본자료!$A$2:$A$1001,$AB204)))</f>
        <v/>
      </c>
      <c r="M204" s="15" t="n"/>
      <c r="N204" s="10">
        <f>IF($B204="","",IF(AND($U204="파견중",$Q204&lt;&gt;""),$Q204,IF(AND($AD204&lt;&gt;"",LEFT($AD204,1)&lt;&gt;"⚠"),LEFT($AD204,FIND(" ",$AD204)-1),IF($H204="","",IF(RIGHT($H204,2)="병원",$H204,$H204&amp;"병원")))))</f>
        <v/>
      </c>
      <c r="O204" s="10">
        <f>IF($B204="","",IF(AND($U204="파견중",$Q204&lt;&gt;""),IF($R204&lt;&gt;"",$R204,"파견과 미입력"),IF(AND($AD204&lt;&gt;"",LEFT($AD204,1)&lt;&gt;"⚠"),MID($AD204,FIND(" ",$AD204)+1,60),IF($F204="","",IF($F204="인턴","수련교육부(인턴)",$F204)))))</f>
        <v/>
      </c>
      <c r="P204" s="10">
        <f>IF($B204="","",IF($AK204&lt;&gt;"",IF(AND(TODAY()&gt;=INDEX(입력_파견수련계획!$AB$4:$AB$803,$AK204),OR(NOT(ISNUMBER(INDEX(입력_파견수련계획!$AC$4:$AC$803,$AK204))),TODAY()&lt;=INDEX(입력_파견수련계획!$AC$4:$AC$803,$AK204))),"다기관",IF($AF204="","",INDEX(입력_파견수련계획!$T$4:$T$803,$AF204))),IF($AF204="","",INDEX(입력_파견수련계획!$T$4:$T$803,$AF204))))</f>
        <v/>
      </c>
      <c r="Q204" s="10">
        <f>IF($AF204="","",INDEX(입력_파견수련계획!$S$4:$S$803,$AF204))</f>
        <v/>
      </c>
      <c r="R204" s="10">
        <f>IF($AF204="","",INDEX(입력_파견수련계획!$U$4:$U$803,$AF204))</f>
        <v/>
      </c>
      <c r="S204" s="11">
        <f>IF($AF204="","",IF(INDEX(입력_파견수련계획!$H$4:$H$803,$AF204)="","",INDEX(입력_파견수련계획!$H$4:$H$803,$AF204)))</f>
        <v/>
      </c>
      <c r="T204" s="11">
        <f>IF($AF204="","",IF(INDEX(입력_파견수련계획!$I$4:$I$803,$AF204)="","",INDEX(입력_파견수련계획!$I$4:$I$803,$AF204)))</f>
        <v/>
      </c>
      <c r="U204" s="10">
        <f>IF($AF204="","",INDEX(입력_파견수련계획!$X$4:$X$803,$AF204))</f>
        <v/>
      </c>
      <c r="V204" s="17">
        <f>IF($AF204="","",INDEX(입력_파견수련계획!$V$4:$V$803,$AF204))</f>
        <v/>
      </c>
      <c r="W204" s="17">
        <f>IF(AND($U204="파견중",$T204&lt;&gt;""),$T204-TODAY(),"")</f>
        <v/>
      </c>
      <c r="X204" s="17">
        <f>IF(OR($B204="",TRIM($J204&amp;"")=""),"",SUMPRODUCT((입력_파견수련계획!$Q$4:$Q$803=TRIM($J204&amp;""))*입력_파견수련계획!$W$4:$W$803))</f>
        <v/>
      </c>
      <c r="Y204" s="10">
        <f>IF($B204="","",IF($AG204="","",IF(IF(TRIM($J204&amp;"")="",0,SUMPRODUCT((입력_파견수련계획!$Q$4:$Q$803=TRIM($J204&amp;""))*입력_파견수련계획!$AD$4:$AD$803))&gt;0,$AE204,IF(AND(N($X204)&lt;=0,$AQ204=""),$AG204,IF($AH204+$AI204=DAY(EOMONTH(출력_요약!$B$3,0)),IF(AND($AH204&gt;=출력_요약!$E$3,$AI204&lt;출력_요약!$E$3),"서울병원",IF(AND($AI204&gt;=출력_요약!$E$3,$AH204&lt;출력_요약!$E$3),"구리병원","⚠15일 판정불가(서울 "&amp;$AH204&amp;"일/구리 "&amp;$AI204&amp;"일)")),IF($AJ204="",$AE204,IF(INDEX(입력_파견수련계획!$T$4:$T$803,$AJ204)="통합수련",INDEX(입력_파견수련계획!$S$4:$S$803,$AJ204),$AE204)))))))</f>
        <v/>
      </c>
      <c r="Z204" s="20">
        <f>IF($B204="","",IF($AB204="","기본자료에 없는 사번",IF(COUNTIF($B$2:$B$401,$B204)&gt;1,"중복 사번",IF($AE204="","소속(입사장소) 입력",IF(IF(TRIM($J204&amp;"")="",0,SUMPRODUCT((입력_파견수련계획!$Q$4:$Q$803=TRIM($J204&amp;""))*(입력_파견수련계획!$AA$4:$AA$803&lt;&gt;"")))&gt;0,"파견수련계획 입력오류 확인",IF(LEFT($Y204,1)="⚠","서울·구리 15일 판정 불가(양쪽 모두 이상/미만)",IF(IF($AC204="",0,N(INDEX(입력_인턴근무계획!$T$3:$T$402,$AC204)))&gt;0,"인턴계획 입력오류 확인",IF(AND($AQ204&lt;&gt;"",$AG204&lt;&gt;"구리병원",IF(TRIM($J204&amp;"")="",0,SUMPRODUCT((입력_파견수련계획!$Q$4:$Q$803=TRIM($J204&amp;""))*(입력_파견수련계획!$S$4:$S$803="구리병원")*입력_파견수련계획!$W$4:$W$803))=0),"구리 근무자명단에만 있음(파견수련계획 확인)",IF(AND($AC204&lt;&gt;"",$U204&lt;&gt;"파견중",$N204&lt;&gt;$AE204),"인턴 타지역 근무: 파견 여부 확인","정상")))))))))</f>
        <v/>
      </c>
      <c r="AA204" s="5" t="n"/>
      <c r="AB204" s="10">
        <f>IF($B204="","",IFERROR(MATCH($B204,입력_기본자료!$B$2:$B$1001,0),IFERROR(MATCH($B204&amp;"",입력_기본자료!$B$2:$B$1001,0),IFERROR(MATCH(VALUE($B204),입력_기본자료!$B$2:$B$1001,0),""))))</f>
        <v/>
      </c>
      <c r="AC204" s="10">
        <f>IF($B204="","",IFERROR(MATCH($B204,입력_인턴근무계획!$D$3:$D$402,0),IFERROR(MATCH($B204&amp;"",입력_인턴근무계획!$D$3:$D$402,0),IFERROR(MATCH(VALUE($B204),입력_인턴근무계획!$D$3:$D$402,0),""))))</f>
        <v/>
      </c>
      <c r="AD204" s="10">
        <f>IF(OR($AC204="",출력_인턴현황!$G$3=""),"",INDEX(입력_인턴근무계획!$M$3:$R$402,$AC204,출력_인턴현황!$G$3)&amp;"")</f>
        <v/>
      </c>
      <c r="AE204" s="10">
        <f>IF($B204="","",IF($M204&lt;&gt;"",$M204,IF(IF($AQ204="",FALSE,INDEX(출력_구리근무자!$J$6:$J$305,$AQ204)="구리독자"),"구리병원",IF($AF204&lt;&gt;"",IF(LEFT(INDEX(입력_파견수련계획!$R$4:$R$803,$AF204),1)&lt;&gt;"⚠",INDEX(입력_파견수련계획!$R$4:$R$803,$AF204),IF($H204="","",IF(RIGHT($H204,2)="병원",$H204,$H204&amp;"병원"))),IF($H204="","",IF(RIGHT($H204,2)="병원",$H204,$H204&amp;"병원"))))))</f>
        <v/>
      </c>
      <c r="AF204" s="10">
        <f>IF(OR($B204="",TRIM($J204&amp;"")=""),"",IFERROR(MATCH(TRIM($J204&amp;"")&amp;"|파견중",입력_파견수련계획!$Y$4:$Y$803,0),IFERROR(MATCH(TRIM($J204&amp;"")&amp;"|파견예정",입력_파견수련계획!$Y$4:$Y$803,0),IFERROR(MATCH(TRIM($J204&amp;"")&amp;"|파견종료",입력_파견수련계획!$Y$4:$Y$803,0),""))))</f>
        <v/>
      </c>
      <c r="AG204" s="10">
        <f>IF($B204="","",IF(AND(IF(OR($AC204="",출력_인턴현황!$K$2=""),"",INDEX(입력_인턴근무계획!$M$3:$R$402,$AC204,출력_인턴현황!$K$2)&amp;"")&lt;&gt;"",LEFT(IF(OR($AC204="",출력_인턴현황!$K$2=""),"",INDEX(입력_인턴근무계획!$M$3:$R$402,$AC204,출력_인턴현황!$K$2)&amp;""),1)&lt;&gt;"⚠"),LEFT(IF(OR($AC204="",출력_인턴현황!$K$2=""),"",INDEX(입력_인턴근무계획!$M$3:$R$402,$AC204,출력_인턴현황!$K$2)&amp;""),FIND(" ",IF(OR($AC204="",출력_인턴현황!$K$2=""),"",INDEX(입력_인턴근무계획!$M$3:$R$402,$AC204,출력_인턴현황!$K$2)&amp;""))-1),$AE204))</f>
        <v/>
      </c>
      <c r="AH204" s="17">
        <f>IF($B204="","",IF($AQ204&lt;&gt;"",MAX(0,DAY(EOMONTH(출력_요약!$B$3,0))-N($AR204)),IF(TRIM($J204&amp;"")="",0,SUMPRODUCT((입력_파견수련계획!$Q$4:$Q$803=TRIM($J204&amp;""))*(입력_파견수련계획!$S$4:$S$803="서울병원")*입력_파견수련계획!$W$4:$W$803))+IF($AG204="서울병원",MAX(0,DAY(EOMONTH(출력_요약!$B$3,0))-N($X204)),0)))</f>
        <v/>
      </c>
      <c r="AI204" s="17">
        <f>IF($B204="","",IF($AQ204&lt;&gt;"",N($AR204),IF(TRIM($J204&amp;"")="",0,SUMPRODUCT((입력_파견수련계획!$Q$4:$Q$803=TRIM($J204&amp;""))*(입력_파견수련계획!$S$4:$S$803="구리병원")*입력_파견수련계획!$W$4:$W$803))+IF($AG204="구리병원",MAX(0,DAY(EOMONTH(출력_요약!$B$3,0))-N($X204)),0)))</f>
        <v/>
      </c>
      <c r="AJ204" s="10">
        <f>IF(OR($B204="",TRIM($J204&amp;"")=""),"",IFERROR(MATCH(TRIM($J204&amp;"")&amp;"|월",입력_파견수련계획!$Z$4:$Z$803,0),""))</f>
        <v/>
      </c>
      <c r="AK204" s="10">
        <f>IF(OR($B204="",TRIM($J204&amp;"")=""),"",IFERROR(MATCH(TRIM($J204&amp;"")&amp;"|다기관",입력_파견수련계획!$AE$4:$AE$803,0),""))</f>
        <v/>
      </c>
      <c r="AL204" s="10">
        <f>IF($AK204="","","다기관 "&amp;TEXT(INDEX(입력_파견수련계획!$AB$4:$AB$803,$AK204),"yyyy-mm-dd")&amp;"~"&amp;IF(ISNUMBER(INDEX(입력_파견수련계획!$AC$4:$AC$803,$AK204)),TEXT(INDEX(입력_파견수련계획!$AC$4:$AC$803,$AK204),"yyyy-mm-dd"),""))</f>
        <v/>
      </c>
      <c r="AM204" s="10">
        <f>IF($Y204="서울병원",COUNTIF($Y$2:$Y204,"서울병원"),"")</f>
        <v/>
      </c>
      <c r="AN204" s="10">
        <f>IF(LEFT($Y204,1)="⚠",COUNTIF($Y$2:$Y204,"⚠*"),"")</f>
        <v/>
      </c>
      <c r="AO204" s="10">
        <f>IF(OR($B204="",$Y204=""),"",IF(IF(TRIM($J204&amp;"")="",0,SUMPRODUCT((입력_파견수련계획!$Q$4:$Q$803=TRIM($J204&amp;""))*입력_파견수련계획!$AD$4:$AD$803))&gt;0,"다기관 기간 → 소속병원 지급",IF(AND(N($X204)&lt;=0,$AQ204=""),"파견 없음 → 그 달 근무병원 지급",IF($AH204+$AI204=DAY(EOMONTH(출력_요약!$B$3,0)),"서울 "&amp;$AH204&amp;"일 / 구리 "&amp;$AI204&amp;"일"&amp;IF($AQ204&lt;&gt;""," (구리 근무자명단 반영)","")&amp;" → 15일 이상 근무 병원 지급","타 병원 포함 → "&amp;IF($AJ204="","소속",INDEX(입력_파견수련계획!$T$4:$T$803,$AJ204))&amp;" 규칙"))))</f>
        <v/>
      </c>
      <c r="AP204" s="10">
        <f>IF($B204="","",$C204&amp;"|"&amp;$F204)</f>
        <v/>
      </c>
      <c r="AQ204" s="10">
        <f>IF($B204="","",IFERROR(MATCH(ROW()-1,출력_구리근무자!$K$6:$K$305,0),""))</f>
        <v/>
      </c>
      <c r="AR204" s="10">
        <f>IF($AQ204="","",INDEX(출력_구리근무자!$H$6:$H$305,$AQ204))</f>
        <v/>
      </c>
    </row>
    <row r="205">
      <c r="A205" s="10">
        <f>IF(B205="","",ROW()-1)</f>
        <v/>
      </c>
      <c r="B205" s="19" t="n"/>
      <c r="C205" s="10">
        <f>IF($AB205="","",IF(INDEX(입력_기본자료!$C$2:$C$1001,$AB205)="","",INDEX(입력_기본자료!$C$2:$C$1001,$AB205)))</f>
        <v/>
      </c>
      <c r="D205" s="10">
        <f>IF($AB205="","",IF(INDEX(입력_기본자료!$J$2:$J$1001,$AB205)="","",INDEX(입력_기본자료!$J$2:$J$1001,$AB205)))</f>
        <v/>
      </c>
      <c r="E205" s="11">
        <f>IF($AB205="","",IF(INDEX(입력_기본자료!$K$2:$K$1001,$AB205)="","",IF(NOT(ISNUMBER(INDEX(입력_기본자료!$K$2:$K$1001,$AB205))),INDEX(입력_기본자료!$K$2:$K$1001,$AB205),IF(INDEX(입력_기본자료!$K$2:$K$1001,$AB205)&lt;1000000,INDEX(입력_기본자료!$K$2:$K$1001,$AB205),IF(AND(INDEX(입력_기본자료!$K$2:$K$1001,$AB205)&gt;=10000101,INT(MOD(INDEX(입력_기본자료!$K$2:$K$1001,$AB205),10000)/100)&gt;=1,INT(MOD(INDEX(입력_기본자료!$K$2:$K$1001,$AB205),10000)/100)&lt;=12,MOD(INDEX(입력_기본자료!$K$2:$K$1001,$AB205),100)&gt;=1,MOD(INDEX(입력_기본자료!$K$2:$K$1001,$AB205),100)&lt;=31),DATE(INT(INDEX(입력_기본자료!$K$2:$K$1001,$AB205)/10000),INT(MOD(INDEX(입력_기본자료!$K$2:$K$1001,$AB205),10000)/100),MOD(INDEX(입력_기본자료!$K$2:$K$1001,$AB205),100)),INDEX(입력_기본자료!$K$2:$K$1001,$AB205)&amp;"")))))</f>
        <v/>
      </c>
      <c r="F205" s="10">
        <f>IF($AB205="","",IF(INDEX(입력_기본자료!$D$2:$D$1001,$AB205)="","",INDEX(입력_기본자료!$D$2:$D$1001,$AB205)))</f>
        <v/>
      </c>
      <c r="G205" s="10">
        <f>IF($AB205="","",IF(INDEX(입력_기본자료!$E$2:$E$1001,$AB205)="","",INDEX(입력_기본자료!$E$2:$E$1001,$AB205)))</f>
        <v/>
      </c>
      <c r="H205" s="10">
        <f>IF($AB205="","",IF(INDEX(입력_기본자료!$F$2:$F$1001,$AB205)="","",INDEX(입력_기본자료!$F$2:$F$1001,$AB205)))</f>
        <v/>
      </c>
      <c r="I205" s="11">
        <f>IF($AB205="","",IF(INDEX(입력_기본자료!$G$2:$G$1001,$AB205)="","",IF(NOT(ISNUMBER(INDEX(입력_기본자료!$G$2:$G$1001,$AB205))),INDEX(입력_기본자료!$G$2:$G$1001,$AB205),IF(INDEX(입력_기본자료!$G$2:$G$1001,$AB205)&lt;1000000,INDEX(입력_기본자료!$G$2:$G$1001,$AB205),IF(AND(INDEX(입력_기본자료!$G$2:$G$1001,$AB205)&gt;=10000101,INT(MOD(INDEX(입력_기본자료!$G$2:$G$1001,$AB205),10000)/100)&gt;=1,INT(MOD(INDEX(입력_기본자료!$G$2:$G$1001,$AB205),10000)/100)&lt;=12,MOD(INDEX(입력_기본자료!$G$2:$G$1001,$AB205),100)&gt;=1,MOD(INDEX(입력_기본자료!$G$2:$G$1001,$AB205),100)&lt;=31),DATE(INT(INDEX(입력_기본자료!$G$2:$G$1001,$AB205)/10000),INT(MOD(INDEX(입력_기본자료!$G$2:$G$1001,$AB205),10000)/100),MOD(INDEX(입력_기본자료!$G$2:$G$1001,$AB205),100)),INDEX(입력_기본자료!$G$2:$G$1001,$AB205)&amp;"")))))</f>
        <v/>
      </c>
      <c r="J205" s="10">
        <f>IF($AB205="","",IF(INDEX(입력_기본자료!$H$2:$H$1001,$AB205)="","",INDEX(입력_기본자료!$H$2:$H$1001,$AB205)))</f>
        <v/>
      </c>
      <c r="K205" s="10">
        <f>IF($AB205="","",IF(INDEX(입력_기본자료!$I$2:$I$1001,$AB205)="","",INDEX(입력_기본자료!$I$2:$I$1001,$AB205)))</f>
        <v/>
      </c>
      <c r="L205" s="10">
        <f>IF($AB205="","",IF(INDEX(입력_기본자료!$A$2:$A$1001,$AB205)="","",INDEX(입력_기본자료!$A$2:$A$1001,$AB205)))</f>
        <v/>
      </c>
      <c r="M205" s="15" t="n"/>
      <c r="N205" s="10">
        <f>IF($B205="","",IF(AND($U205="파견중",$Q205&lt;&gt;""),$Q205,IF(AND($AD205&lt;&gt;"",LEFT($AD205,1)&lt;&gt;"⚠"),LEFT($AD205,FIND(" ",$AD205)-1),IF($H205="","",IF(RIGHT($H205,2)="병원",$H205,$H205&amp;"병원")))))</f>
        <v/>
      </c>
      <c r="O205" s="10">
        <f>IF($B205="","",IF(AND($U205="파견중",$Q205&lt;&gt;""),IF($R205&lt;&gt;"",$R205,"파견과 미입력"),IF(AND($AD205&lt;&gt;"",LEFT($AD205,1)&lt;&gt;"⚠"),MID($AD205,FIND(" ",$AD205)+1,60),IF($F205="","",IF($F205="인턴","수련교육부(인턴)",$F205)))))</f>
        <v/>
      </c>
      <c r="P205" s="10">
        <f>IF($B205="","",IF($AK205&lt;&gt;"",IF(AND(TODAY()&gt;=INDEX(입력_파견수련계획!$AB$4:$AB$803,$AK205),OR(NOT(ISNUMBER(INDEX(입력_파견수련계획!$AC$4:$AC$803,$AK205))),TODAY()&lt;=INDEX(입력_파견수련계획!$AC$4:$AC$803,$AK205))),"다기관",IF($AF205="","",INDEX(입력_파견수련계획!$T$4:$T$803,$AF205))),IF($AF205="","",INDEX(입력_파견수련계획!$T$4:$T$803,$AF205))))</f>
        <v/>
      </c>
      <c r="Q205" s="10">
        <f>IF($AF205="","",INDEX(입력_파견수련계획!$S$4:$S$803,$AF205))</f>
        <v/>
      </c>
      <c r="R205" s="10">
        <f>IF($AF205="","",INDEX(입력_파견수련계획!$U$4:$U$803,$AF205))</f>
        <v/>
      </c>
      <c r="S205" s="11">
        <f>IF($AF205="","",IF(INDEX(입력_파견수련계획!$H$4:$H$803,$AF205)="","",INDEX(입력_파견수련계획!$H$4:$H$803,$AF205)))</f>
        <v/>
      </c>
      <c r="T205" s="11">
        <f>IF($AF205="","",IF(INDEX(입력_파견수련계획!$I$4:$I$803,$AF205)="","",INDEX(입력_파견수련계획!$I$4:$I$803,$AF205)))</f>
        <v/>
      </c>
      <c r="U205" s="10">
        <f>IF($AF205="","",INDEX(입력_파견수련계획!$X$4:$X$803,$AF205))</f>
        <v/>
      </c>
      <c r="V205" s="17">
        <f>IF($AF205="","",INDEX(입력_파견수련계획!$V$4:$V$803,$AF205))</f>
        <v/>
      </c>
      <c r="W205" s="17">
        <f>IF(AND($U205="파견중",$T205&lt;&gt;""),$T205-TODAY(),"")</f>
        <v/>
      </c>
      <c r="X205" s="17">
        <f>IF(OR($B205="",TRIM($J205&amp;"")=""),"",SUMPRODUCT((입력_파견수련계획!$Q$4:$Q$803=TRIM($J205&amp;""))*입력_파견수련계획!$W$4:$W$803))</f>
        <v/>
      </c>
      <c r="Y205" s="10">
        <f>IF($B205="","",IF($AG205="","",IF(IF(TRIM($J205&amp;"")="",0,SUMPRODUCT((입력_파견수련계획!$Q$4:$Q$803=TRIM($J205&amp;""))*입력_파견수련계획!$AD$4:$AD$803))&gt;0,$AE205,IF(AND(N($X205)&lt;=0,$AQ205=""),$AG205,IF($AH205+$AI205=DAY(EOMONTH(출력_요약!$B$3,0)),IF(AND($AH205&gt;=출력_요약!$E$3,$AI205&lt;출력_요약!$E$3),"서울병원",IF(AND($AI205&gt;=출력_요약!$E$3,$AH205&lt;출력_요약!$E$3),"구리병원","⚠15일 판정불가(서울 "&amp;$AH205&amp;"일/구리 "&amp;$AI205&amp;"일)")),IF($AJ205="",$AE205,IF(INDEX(입력_파견수련계획!$T$4:$T$803,$AJ205)="통합수련",INDEX(입력_파견수련계획!$S$4:$S$803,$AJ205),$AE205)))))))</f>
        <v/>
      </c>
      <c r="Z205" s="20">
        <f>IF($B205="","",IF($AB205="","기본자료에 없는 사번",IF(COUNTIF($B$2:$B$401,$B205)&gt;1,"중복 사번",IF($AE205="","소속(입사장소) 입력",IF(IF(TRIM($J205&amp;"")="",0,SUMPRODUCT((입력_파견수련계획!$Q$4:$Q$803=TRIM($J205&amp;""))*(입력_파견수련계획!$AA$4:$AA$803&lt;&gt;"")))&gt;0,"파견수련계획 입력오류 확인",IF(LEFT($Y205,1)="⚠","서울·구리 15일 판정 불가(양쪽 모두 이상/미만)",IF(IF($AC205="",0,N(INDEX(입력_인턴근무계획!$T$3:$T$402,$AC205)))&gt;0,"인턴계획 입력오류 확인",IF(AND($AQ205&lt;&gt;"",$AG205&lt;&gt;"구리병원",IF(TRIM($J205&amp;"")="",0,SUMPRODUCT((입력_파견수련계획!$Q$4:$Q$803=TRIM($J205&amp;""))*(입력_파견수련계획!$S$4:$S$803="구리병원")*입력_파견수련계획!$W$4:$W$803))=0),"구리 근무자명단에만 있음(파견수련계획 확인)",IF(AND($AC205&lt;&gt;"",$U205&lt;&gt;"파견중",$N205&lt;&gt;$AE205),"인턴 타지역 근무: 파견 여부 확인","정상")))))))))</f>
        <v/>
      </c>
      <c r="AA205" s="5" t="n"/>
      <c r="AB205" s="10">
        <f>IF($B205="","",IFERROR(MATCH($B205,입력_기본자료!$B$2:$B$1001,0),IFERROR(MATCH($B205&amp;"",입력_기본자료!$B$2:$B$1001,0),IFERROR(MATCH(VALUE($B205),입력_기본자료!$B$2:$B$1001,0),""))))</f>
        <v/>
      </c>
      <c r="AC205" s="10">
        <f>IF($B205="","",IFERROR(MATCH($B205,입력_인턴근무계획!$D$3:$D$402,0),IFERROR(MATCH($B205&amp;"",입력_인턴근무계획!$D$3:$D$402,0),IFERROR(MATCH(VALUE($B205),입력_인턴근무계획!$D$3:$D$402,0),""))))</f>
        <v/>
      </c>
      <c r="AD205" s="10">
        <f>IF(OR($AC205="",출력_인턴현황!$G$3=""),"",INDEX(입력_인턴근무계획!$M$3:$R$402,$AC205,출력_인턴현황!$G$3)&amp;"")</f>
        <v/>
      </c>
      <c r="AE205" s="10">
        <f>IF($B205="","",IF($M205&lt;&gt;"",$M205,IF(IF($AQ205="",FALSE,INDEX(출력_구리근무자!$J$6:$J$305,$AQ205)="구리독자"),"구리병원",IF($AF205&lt;&gt;"",IF(LEFT(INDEX(입력_파견수련계획!$R$4:$R$803,$AF205),1)&lt;&gt;"⚠",INDEX(입력_파견수련계획!$R$4:$R$803,$AF205),IF($H205="","",IF(RIGHT($H205,2)="병원",$H205,$H205&amp;"병원"))),IF($H205="","",IF(RIGHT($H205,2)="병원",$H205,$H205&amp;"병원"))))))</f>
        <v/>
      </c>
      <c r="AF205" s="10">
        <f>IF(OR($B205="",TRIM($J205&amp;"")=""),"",IFERROR(MATCH(TRIM($J205&amp;"")&amp;"|파견중",입력_파견수련계획!$Y$4:$Y$803,0),IFERROR(MATCH(TRIM($J205&amp;"")&amp;"|파견예정",입력_파견수련계획!$Y$4:$Y$803,0),IFERROR(MATCH(TRIM($J205&amp;"")&amp;"|파견종료",입력_파견수련계획!$Y$4:$Y$803,0),""))))</f>
        <v/>
      </c>
      <c r="AG205" s="10">
        <f>IF($B205="","",IF(AND(IF(OR($AC205="",출력_인턴현황!$K$2=""),"",INDEX(입력_인턴근무계획!$M$3:$R$402,$AC205,출력_인턴현황!$K$2)&amp;"")&lt;&gt;"",LEFT(IF(OR($AC205="",출력_인턴현황!$K$2=""),"",INDEX(입력_인턴근무계획!$M$3:$R$402,$AC205,출력_인턴현황!$K$2)&amp;""),1)&lt;&gt;"⚠"),LEFT(IF(OR($AC205="",출력_인턴현황!$K$2=""),"",INDEX(입력_인턴근무계획!$M$3:$R$402,$AC205,출력_인턴현황!$K$2)&amp;""),FIND(" ",IF(OR($AC205="",출력_인턴현황!$K$2=""),"",INDEX(입력_인턴근무계획!$M$3:$R$402,$AC205,출력_인턴현황!$K$2)&amp;""))-1),$AE205))</f>
        <v/>
      </c>
      <c r="AH205" s="17">
        <f>IF($B205="","",IF($AQ205&lt;&gt;"",MAX(0,DAY(EOMONTH(출력_요약!$B$3,0))-N($AR205)),IF(TRIM($J205&amp;"")="",0,SUMPRODUCT((입력_파견수련계획!$Q$4:$Q$803=TRIM($J205&amp;""))*(입력_파견수련계획!$S$4:$S$803="서울병원")*입력_파견수련계획!$W$4:$W$803))+IF($AG205="서울병원",MAX(0,DAY(EOMONTH(출력_요약!$B$3,0))-N($X205)),0)))</f>
        <v/>
      </c>
      <c r="AI205" s="17">
        <f>IF($B205="","",IF($AQ205&lt;&gt;"",N($AR205),IF(TRIM($J205&amp;"")="",0,SUMPRODUCT((입력_파견수련계획!$Q$4:$Q$803=TRIM($J205&amp;""))*(입력_파견수련계획!$S$4:$S$803="구리병원")*입력_파견수련계획!$W$4:$W$803))+IF($AG205="구리병원",MAX(0,DAY(EOMONTH(출력_요약!$B$3,0))-N($X205)),0)))</f>
        <v/>
      </c>
      <c r="AJ205" s="10">
        <f>IF(OR($B205="",TRIM($J205&amp;"")=""),"",IFERROR(MATCH(TRIM($J205&amp;"")&amp;"|월",입력_파견수련계획!$Z$4:$Z$803,0),""))</f>
        <v/>
      </c>
      <c r="AK205" s="10">
        <f>IF(OR($B205="",TRIM($J205&amp;"")=""),"",IFERROR(MATCH(TRIM($J205&amp;"")&amp;"|다기관",입력_파견수련계획!$AE$4:$AE$803,0),""))</f>
        <v/>
      </c>
      <c r="AL205" s="10">
        <f>IF($AK205="","","다기관 "&amp;TEXT(INDEX(입력_파견수련계획!$AB$4:$AB$803,$AK205),"yyyy-mm-dd")&amp;"~"&amp;IF(ISNUMBER(INDEX(입력_파견수련계획!$AC$4:$AC$803,$AK205)),TEXT(INDEX(입력_파견수련계획!$AC$4:$AC$803,$AK205),"yyyy-mm-dd"),""))</f>
        <v/>
      </c>
      <c r="AM205" s="10">
        <f>IF($Y205="서울병원",COUNTIF($Y$2:$Y205,"서울병원"),"")</f>
        <v/>
      </c>
      <c r="AN205" s="10">
        <f>IF(LEFT($Y205,1)="⚠",COUNTIF($Y$2:$Y205,"⚠*"),"")</f>
        <v/>
      </c>
      <c r="AO205" s="10">
        <f>IF(OR($B205="",$Y205=""),"",IF(IF(TRIM($J205&amp;"")="",0,SUMPRODUCT((입력_파견수련계획!$Q$4:$Q$803=TRIM($J205&amp;""))*입력_파견수련계획!$AD$4:$AD$803))&gt;0,"다기관 기간 → 소속병원 지급",IF(AND(N($X205)&lt;=0,$AQ205=""),"파견 없음 → 그 달 근무병원 지급",IF($AH205+$AI205=DAY(EOMONTH(출력_요약!$B$3,0)),"서울 "&amp;$AH205&amp;"일 / 구리 "&amp;$AI205&amp;"일"&amp;IF($AQ205&lt;&gt;""," (구리 근무자명단 반영)","")&amp;" → 15일 이상 근무 병원 지급","타 병원 포함 → "&amp;IF($AJ205="","소속",INDEX(입력_파견수련계획!$T$4:$T$803,$AJ205))&amp;" 규칙"))))</f>
        <v/>
      </c>
      <c r="AP205" s="10">
        <f>IF($B205="","",$C205&amp;"|"&amp;$F205)</f>
        <v/>
      </c>
      <c r="AQ205" s="10">
        <f>IF($B205="","",IFERROR(MATCH(ROW()-1,출력_구리근무자!$K$6:$K$305,0),""))</f>
        <v/>
      </c>
      <c r="AR205" s="10">
        <f>IF($AQ205="","",INDEX(출력_구리근무자!$H$6:$H$305,$AQ205))</f>
        <v/>
      </c>
    </row>
    <row r="206">
      <c r="A206" s="10">
        <f>IF(B206="","",ROW()-1)</f>
        <v/>
      </c>
      <c r="B206" s="19" t="n"/>
      <c r="C206" s="10">
        <f>IF($AB206="","",IF(INDEX(입력_기본자료!$C$2:$C$1001,$AB206)="","",INDEX(입력_기본자료!$C$2:$C$1001,$AB206)))</f>
        <v/>
      </c>
      <c r="D206" s="10">
        <f>IF($AB206="","",IF(INDEX(입력_기본자료!$J$2:$J$1001,$AB206)="","",INDEX(입력_기본자료!$J$2:$J$1001,$AB206)))</f>
        <v/>
      </c>
      <c r="E206" s="11">
        <f>IF($AB206="","",IF(INDEX(입력_기본자료!$K$2:$K$1001,$AB206)="","",IF(NOT(ISNUMBER(INDEX(입력_기본자료!$K$2:$K$1001,$AB206))),INDEX(입력_기본자료!$K$2:$K$1001,$AB206),IF(INDEX(입력_기본자료!$K$2:$K$1001,$AB206)&lt;1000000,INDEX(입력_기본자료!$K$2:$K$1001,$AB206),IF(AND(INDEX(입력_기본자료!$K$2:$K$1001,$AB206)&gt;=10000101,INT(MOD(INDEX(입력_기본자료!$K$2:$K$1001,$AB206),10000)/100)&gt;=1,INT(MOD(INDEX(입력_기본자료!$K$2:$K$1001,$AB206),10000)/100)&lt;=12,MOD(INDEX(입력_기본자료!$K$2:$K$1001,$AB206),100)&gt;=1,MOD(INDEX(입력_기본자료!$K$2:$K$1001,$AB206),100)&lt;=31),DATE(INT(INDEX(입력_기본자료!$K$2:$K$1001,$AB206)/10000),INT(MOD(INDEX(입력_기본자료!$K$2:$K$1001,$AB206),10000)/100),MOD(INDEX(입력_기본자료!$K$2:$K$1001,$AB206),100)),INDEX(입력_기본자료!$K$2:$K$1001,$AB206)&amp;"")))))</f>
        <v/>
      </c>
      <c r="F206" s="10">
        <f>IF($AB206="","",IF(INDEX(입력_기본자료!$D$2:$D$1001,$AB206)="","",INDEX(입력_기본자료!$D$2:$D$1001,$AB206)))</f>
        <v/>
      </c>
      <c r="G206" s="10">
        <f>IF($AB206="","",IF(INDEX(입력_기본자료!$E$2:$E$1001,$AB206)="","",INDEX(입력_기본자료!$E$2:$E$1001,$AB206)))</f>
        <v/>
      </c>
      <c r="H206" s="10">
        <f>IF($AB206="","",IF(INDEX(입력_기본자료!$F$2:$F$1001,$AB206)="","",INDEX(입력_기본자료!$F$2:$F$1001,$AB206)))</f>
        <v/>
      </c>
      <c r="I206" s="11">
        <f>IF($AB206="","",IF(INDEX(입력_기본자료!$G$2:$G$1001,$AB206)="","",IF(NOT(ISNUMBER(INDEX(입력_기본자료!$G$2:$G$1001,$AB206))),INDEX(입력_기본자료!$G$2:$G$1001,$AB206),IF(INDEX(입력_기본자료!$G$2:$G$1001,$AB206)&lt;1000000,INDEX(입력_기본자료!$G$2:$G$1001,$AB206),IF(AND(INDEX(입력_기본자료!$G$2:$G$1001,$AB206)&gt;=10000101,INT(MOD(INDEX(입력_기본자료!$G$2:$G$1001,$AB206),10000)/100)&gt;=1,INT(MOD(INDEX(입력_기본자료!$G$2:$G$1001,$AB206),10000)/100)&lt;=12,MOD(INDEX(입력_기본자료!$G$2:$G$1001,$AB206),100)&gt;=1,MOD(INDEX(입력_기본자료!$G$2:$G$1001,$AB206),100)&lt;=31),DATE(INT(INDEX(입력_기본자료!$G$2:$G$1001,$AB206)/10000),INT(MOD(INDEX(입력_기본자료!$G$2:$G$1001,$AB206),10000)/100),MOD(INDEX(입력_기본자료!$G$2:$G$1001,$AB206),100)),INDEX(입력_기본자료!$G$2:$G$1001,$AB206)&amp;"")))))</f>
        <v/>
      </c>
      <c r="J206" s="10">
        <f>IF($AB206="","",IF(INDEX(입력_기본자료!$H$2:$H$1001,$AB206)="","",INDEX(입력_기본자료!$H$2:$H$1001,$AB206)))</f>
        <v/>
      </c>
      <c r="K206" s="10">
        <f>IF($AB206="","",IF(INDEX(입력_기본자료!$I$2:$I$1001,$AB206)="","",INDEX(입력_기본자료!$I$2:$I$1001,$AB206)))</f>
        <v/>
      </c>
      <c r="L206" s="10">
        <f>IF($AB206="","",IF(INDEX(입력_기본자료!$A$2:$A$1001,$AB206)="","",INDEX(입력_기본자료!$A$2:$A$1001,$AB206)))</f>
        <v/>
      </c>
      <c r="M206" s="15" t="n"/>
      <c r="N206" s="10">
        <f>IF($B206="","",IF(AND($U206="파견중",$Q206&lt;&gt;""),$Q206,IF(AND($AD206&lt;&gt;"",LEFT($AD206,1)&lt;&gt;"⚠"),LEFT($AD206,FIND(" ",$AD206)-1),IF($H206="","",IF(RIGHT($H206,2)="병원",$H206,$H206&amp;"병원")))))</f>
        <v/>
      </c>
      <c r="O206" s="10">
        <f>IF($B206="","",IF(AND($U206="파견중",$Q206&lt;&gt;""),IF($R206&lt;&gt;"",$R206,"파견과 미입력"),IF(AND($AD206&lt;&gt;"",LEFT($AD206,1)&lt;&gt;"⚠"),MID($AD206,FIND(" ",$AD206)+1,60),IF($F206="","",IF($F206="인턴","수련교육부(인턴)",$F206)))))</f>
        <v/>
      </c>
      <c r="P206" s="10">
        <f>IF($B206="","",IF($AK206&lt;&gt;"",IF(AND(TODAY()&gt;=INDEX(입력_파견수련계획!$AB$4:$AB$803,$AK206),OR(NOT(ISNUMBER(INDEX(입력_파견수련계획!$AC$4:$AC$803,$AK206))),TODAY()&lt;=INDEX(입력_파견수련계획!$AC$4:$AC$803,$AK206))),"다기관",IF($AF206="","",INDEX(입력_파견수련계획!$T$4:$T$803,$AF206))),IF($AF206="","",INDEX(입력_파견수련계획!$T$4:$T$803,$AF206))))</f>
        <v/>
      </c>
      <c r="Q206" s="10">
        <f>IF($AF206="","",INDEX(입력_파견수련계획!$S$4:$S$803,$AF206))</f>
        <v/>
      </c>
      <c r="R206" s="10">
        <f>IF($AF206="","",INDEX(입력_파견수련계획!$U$4:$U$803,$AF206))</f>
        <v/>
      </c>
      <c r="S206" s="11">
        <f>IF($AF206="","",IF(INDEX(입력_파견수련계획!$H$4:$H$803,$AF206)="","",INDEX(입력_파견수련계획!$H$4:$H$803,$AF206)))</f>
        <v/>
      </c>
      <c r="T206" s="11">
        <f>IF($AF206="","",IF(INDEX(입력_파견수련계획!$I$4:$I$803,$AF206)="","",INDEX(입력_파견수련계획!$I$4:$I$803,$AF206)))</f>
        <v/>
      </c>
      <c r="U206" s="10">
        <f>IF($AF206="","",INDEX(입력_파견수련계획!$X$4:$X$803,$AF206))</f>
        <v/>
      </c>
      <c r="V206" s="17">
        <f>IF($AF206="","",INDEX(입력_파견수련계획!$V$4:$V$803,$AF206))</f>
        <v/>
      </c>
      <c r="W206" s="17">
        <f>IF(AND($U206="파견중",$T206&lt;&gt;""),$T206-TODAY(),"")</f>
        <v/>
      </c>
      <c r="X206" s="17">
        <f>IF(OR($B206="",TRIM($J206&amp;"")=""),"",SUMPRODUCT((입력_파견수련계획!$Q$4:$Q$803=TRIM($J206&amp;""))*입력_파견수련계획!$W$4:$W$803))</f>
        <v/>
      </c>
      <c r="Y206" s="10">
        <f>IF($B206="","",IF($AG206="","",IF(IF(TRIM($J206&amp;"")="",0,SUMPRODUCT((입력_파견수련계획!$Q$4:$Q$803=TRIM($J206&amp;""))*입력_파견수련계획!$AD$4:$AD$803))&gt;0,$AE206,IF(AND(N($X206)&lt;=0,$AQ206=""),$AG206,IF($AH206+$AI206=DAY(EOMONTH(출력_요약!$B$3,0)),IF(AND($AH206&gt;=출력_요약!$E$3,$AI206&lt;출력_요약!$E$3),"서울병원",IF(AND($AI206&gt;=출력_요약!$E$3,$AH206&lt;출력_요약!$E$3),"구리병원","⚠15일 판정불가(서울 "&amp;$AH206&amp;"일/구리 "&amp;$AI206&amp;"일)")),IF($AJ206="",$AE206,IF(INDEX(입력_파견수련계획!$T$4:$T$803,$AJ206)="통합수련",INDEX(입력_파견수련계획!$S$4:$S$803,$AJ206),$AE206)))))))</f>
        <v/>
      </c>
      <c r="Z206" s="20">
        <f>IF($B206="","",IF($AB206="","기본자료에 없는 사번",IF(COUNTIF($B$2:$B$401,$B206)&gt;1,"중복 사번",IF($AE206="","소속(입사장소) 입력",IF(IF(TRIM($J206&amp;"")="",0,SUMPRODUCT((입력_파견수련계획!$Q$4:$Q$803=TRIM($J206&amp;""))*(입력_파견수련계획!$AA$4:$AA$803&lt;&gt;"")))&gt;0,"파견수련계획 입력오류 확인",IF(LEFT($Y206,1)="⚠","서울·구리 15일 판정 불가(양쪽 모두 이상/미만)",IF(IF($AC206="",0,N(INDEX(입력_인턴근무계획!$T$3:$T$402,$AC206)))&gt;0,"인턴계획 입력오류 확인",IF(AND($AQ206&lt;&gt;"",$AG206&lt;&gt;"구리병원",IF(TRIM($J206&amp;"")="",0,SUMPRODUCT((입력_파견수련계획!$Q$4:$Q$803=TRIM($J206&amp;""))*(입력_파견수련계획!$S$4:$S$803="구리병원")*입력_파견수련계획!$W$4:$W$803))=0),"구리 근무자명단에만 있음(파견수련계획 확인)",IF(AND($AC206&lt;&gt;"",$U206&lt;&gt;"파견중",$N206&lt;&gt;$AE206),"인턴 타지역 근무: 파견 여부 확인","정상")))))))))</f>
        <v/>
      </c>
      <c r="AA206" s="5" t="n"/>
      <c r="AB206" s="10">
        <f>IF($B206="","",IFERROR(MATCH($B206,입력_기본자료!$B$2:$B$1001,0),IFERROR(MATCH($B206&amp;"",입력_기본자료!$B$2:$B$1001,0),IFERROR(MATCH(VALUE($B206),입력_기본자료!$B$2:$B$1001,0),""))))</f>
        <v/>
      </c>
      <c r="AC206" s="10">
        <f>IF($B206="","",IFERROR(MATCH($B206,입력_인턴근무계획!$D$3:$D$402,0),IFERROR(MATCH($B206&amp;"",입력_인턴근무계획!$D$3:$D$402,0),IFERROR(MATCH(VALUE($B206),입력_인턴근무계획!$D$3:$D$402,0),""))))</f>
        <v/>
      </c>
      <c r="AD206" s="10">
        <f>IF(OR($AC206="",출력_인턴현황!$G$3=""),"",INDEX(입력_인턴근무계획!$M$3:$R$402,$AC206,출력_인턴현황!$G$3)&amp;"")</f>
        <v/>
      </c>
      <c r="AE206" s="10">
        <f>IF($B206="","",IF($M206&lt;&gt;"",$M206,IF(IF($AQ206="",FALSE,INDEX(출력_구리근무자!$J$6:$J$305,$AQ206)="구리독자"),"구리병원",IF($AF206&lt;&gt;"",IF(LEFT(INDEX(입력_파견수련계획!$R$4:$R$803,$AF206),1)&lt;&gt;"⚠",INDEX(입력_파견수련계획!$R$4:$R$803,$AF206),IF($H206="","",IF(RIGHT($H206,2)="병원",$H206,$H206&amp;"병원"))),IF($H206="","",IF(RIGHT($H206,2)="병원",$H206,$H206&amp;"병원"))))))</f>
        <v/>
      </c>
      <c r="AF206" s="10">
        <f>IF(OR($B206="",TRIM($J206&amp;"")=""),"",IFERROR(MATCH(TRIM($J206&amp;"")&amp;"|파견중",입력_파견수련계획!$Y$4:$Y$803,0),IFERROR(MATCH(TRIM($J206&amp;"")&amp;"|파견예정",입력_파견수련계획!$Y$4:$Y$803,0),IFERROR(MATCH(TRIM($J206&amp;"")&amp;"|파견종료",입력_파견수련계획!$Y$4:$Y$803,0),""))))</f>
        <v/>
      </c>
      <c r="AG206" s="10">
        <f>IF($B206="","",IF(AND(IF(OR($AC206="",출력_인턴현황!$K$2=""),"",INDEX(입력_인턴근무계획!$M$3:$R$402,$AC206,출력_인턴현황!$K$2)&amp;"")&lt;&gt;"",LEFT(IF(OR($AC206="",출력_인턴현황!$K$2=""),"",INDEX(입력_인턴근무계획!$M$3:$R$402,$AC206,출력_인턴현황!$K$2)&amp;""),1)&lt;&gt;"⚠"),LEFT(IF(OR($AC206="",출력_인턴현황!$K$2=""),"",INDEX(입력_인턴근무계획!$M$3:$R$402,$AC206,출력_인턴현황!$K$2)&amp;""),FIND(" ",IF(OR($AC206="",출력_인턴현황!$K$2=""),"",INDEX(입력_인턴근무계획!$M$3:$R$402,$AC206,출력_인턴현황!$K$2)&amp;""))-1),$AE206))</f>
        <v/>
      </c>
      <c r="AH206" s="17">
        <f>IF($B206="","",IF($AQ206&lt;&gt;"",MAX(0,DAY(EOMONTH(출력_요약!$B$3,0))-N($AR206)),IF(TRIM($J206&amp;"")="",0,SUMPRODUCT((입력_파견수련계획!$Q$4:$Q$803=TRIM($J206&amp;""))*(입력_파견수련계획!$S$4:$S$803="서울병원")*입력_파견수련계획!$W$4:$W$803))+IF($AG206="서울병원",MAX(0,DAY(EOMONTH(출력_요약!$B$3,0))-N($X206)),0)))</f>
        <v/>
      </c>
      <c r="AI206" s="17">
        <f>IF($B206="","",IF($AQ206&lt;&gt;"",N($AR206),IF(TRIM($J206&amp;"")="",0,SUMPRODUCT((입력_파견수련계획!$Q$4:$Q$803=TRIM($J206&amp;""))*(입력_파견수련계획!$S$4:$S$803="구리병원")*입력_파견수련계획!$W$4:$W$803))+IF($AG206="구리병원",MAX(0,DAY(EOMONTH(출력_요약!$B$3,0))-N($X206)),0)))</f>
        <v/>
      </c>
      <c r="AJ206" s="10">
        <f>IF(OR($B206="",TRIM($J206&amp;"")=""),"",IFERROR(MATCH(TRIM($J206&amp;"")&amp;"|월",입력_파견수련계획!$Z$4:$Z$803,0),""))</f>
        <v/>
      </c>
      <c r="AK206" s="10">
        <f>IF(OR($B206="",TRIM($J206&amp;"")=""),"",IFERROR(MATCH(TRIM($J206&amp;"")&amp;"|다기관",입력_파견수련계획!$AE$4:$AE$803,0),""))</f>
        <v/>
      </c>
      <c r="AL206" s="10">
        <f>IF($AK206="","","다기관 "&amp;TEXT(INDEX(입력_파견수련계획!$AB$4:$AB$803,$AK206),"yyyy-mm-dd")&amp;"~"&amp;IF(ISNUMBER(INDEX(입력_파견수련계획!$AC$4:$AC$803,$AK206)),TEXT(INDEX(입력_파견수련계획!$AC$4:$AC$803,$AK206),"yyyy-mm-dd"),""))</f>
        <v/>
      </c>
      <c r="AM206" s="10">
        <f>IF($Y206="서울병원",COUNTIF($Y$2:$Y206,"서울병원"),"")</f>
        <v/>
      </c>
      <c r="AN206" s="10">
        <f>IF(LEFT($Y206,1)="⚠",COUNTIF($Y$2:$Y206,"⚠*"),"")</f>
        <v/>
      </c>
      <c r="AO206" s="10">
        <f>IF(OR($B206="",$Y206=""),"",IF(IF(TRIM($J206&amp;"")="",0,SUMPRODUCT((입력_파견수련계획!$Q$4:$Q$803=TRIM($J206&amp;""))*입력_파견수련계획!$AD$4:$AD$803))&gt;0,"다기관 기간 → 소속병원 지급",IF(AND(N($X206)&lt;=0,$AQ206=""),"파견 없음 → 그 달 근무병원 지급",IF($AH206+$AI206=DAY(EOMONTH(출력_요약!$B$3,0)),"서울 "&amp;$AH206&amp;"일 / 구리 "&amp;$AI206&amp;"일"&amp;IF($AQ206&lt;&gt;""," (구리 근무자명단 반영)","")&amp;" → 15일 이상 근무 병원 지급","타 병원 포함 → "&amp;IF($AJ206="","소속",INDEX(입력_파견수련계획!$T$4:$T$803,$AJ206))&amp;" 규칙"))))</f>
        <v/>
      </c>
      <c r="AP206" s="10">
        <f>IF($B206="","",$C206&amp;"|"&amp;$F206)</f>
        <v/>
      </c>
      <c r="AQ206" s="10">
        <f>IF($B206="","",IFERROR(MATCH(ROW()-1,출력_구리근무자!$K$6:$K$305,0),""))</f>
        <v/>
      </c>
      <c r="AR206" s="10">
        <f>IF($AQ206="","",INDEX(출력_구리근무자!$H$6:$H$305,$AQ206))</f>
        <v/>
      </c>
    </row>
    <row r="207">
      <c r="A207" s="10">
        <f>IF(B207="","",ROW()-1)</f>
        <v/>
      </c>
      <c r="B207" s="19" t="n"/>
      <c r="C207" s="10">
        <f>IF($AB207="","",IF(INDEX(입력_기본자료!$C$2:$C$1001,$AB207)="","",INDEX(입력_기본자료!$C$2:$C$1001,$AB207)))</f>
        <v/>
      </c>
      <c r="D207" s="10">
        <f>IF($AB207="","",IF(INDEX(입력_기본자료!$J$2:$J$1001,$AB207)="","",INDEX(입력_기본자료!$J$2:$J$1001,$AB207)))</f>
        <v/>
      </c>
      <c r="E207" s="11">
        <f>IF($AB207="","",IF(INDEX(입력_기본자료!$K$2:$K$1001,$AB207)="","",IF(NOT(ISNUMBER(INDEX(입력_기본자료!$K$2:$K$1001,$AB207))),INDEX(입력_기본자료!$K$2:$K$1001,$AB207),IF(INDEX(입력_기본자료!$K$2:$K$1001,$AB207)&lt;1000000,INDEX(입력_기본자료!$K$2:$K$1001,$AB207),IF(AND(INDEX(입력_기본자료!$K$2:$K$1001,$AB207)&gt;=10000101,INT(MOD(INDEX(입력_기본자료!$K$2:$K$1001,$AB207),10000)/100)&gt;=1,INT(MOD(INDEX(입력_기본자료!$K$2:$K$1001,$AB207),10000)/100)&lt;=12,MOD(INDEX(입력_기본자료!$K$2:$K$1001,$AB207),100)&gt;=1,MOD(INDEX(입력_기본자료!$K$2:$K$1001,$AB207),100)&lt;=31),DATE(INT(INDEX(입력_기본자료!$K$2:$K$1001,$AB207)/10000),INT(MOD(INDEX(입력_기본자료!$K$2:$K$1001,$AB207),10000)/100),MOD(INDEX(입력_기본자료!$K$2:$K$1001,$AB207),100)),INDEX(입력_기본자료!$K$2:$K$1001,$AB207)&amp;"")))))</f>
        <v/>
      </c>
      <c r="F207" s="10">
        <f>IF($AB207="","",IF(INDEX(입력_기본자료!$D$2:$D$1001,$AB207)="","",INDEX(입력_기본자료!$D$2:$D$1001,$AB207)))</f>
        <v/>
      </c>
      <c r="G207" s="10">
        <f>IF($AB207="","",IF(INDEX(입력_기본자료!$E$2:$E$1001,$AB207)="","",INDEX(입력_기본자료!$E$2:$E$1001,$AB207)))</f>
        <v/>
      </c>
      <c r="H207" s="10">
        <f>IF($AB207="","",IF(INDEX(입력_기본자료!$F$2:$F$1001,$AB207)="","",INDEX(입력_기본자료!$F$2:$F$1001,$AB207)))</f>
        <v/>
      </c>
      <c r="I207" s="11">
        <f>IF($AB207="","",IF(INDEX(입력_기본자료!$G$2:$G$1001,$AB207)="","",IF(NOT(ISNUMBER(INDEX(입력_기본자료!$G$2:$G$1001,$AB207))),INDEX(입력_기본자료!$G$2:$G$1001,$AB207),IF(INDEX(입력_기본자료!$G$2:$G$1001,$AB207)&lt;1000000,INDEX(입력_기본자료!$G$2:$G$1001,$AB207),IF(AND(INDEX(입력_기본자료!$G$2:$G$1001,$AB207)&gt;=10000101,INT(MOD(INDEX(입력_기본자료!$G$2:$G$1001,$AB207),10000)/100)&gt;=1,INT(MOD(INDEX(입력_기본자료!$G$2:$G$1001,$AB207),10000)/100)&lt;=12,MOD(INDEX(입력_기본자료!$G$2:$G$1001,$AB207),100)&gt;=1,MOD(INDEX(입력_기본자료!$G$2:$G$1001,$AB207),100)&lt;=31),DATE(INT(INDEX(입력_기본자료!$G$2:$G$1001,$AB207)/10000),INT(MOD(INDEX(입력_기본자료!$G$2:$G$1001,$AB207),10000)/100),MOD(INDEX(입력_기본자료!$G$2:$G$1001,$AB207),100)),INDEX(입력_기본자료!$G$2:$G$1001,$AB207)&amp;"")))))</f>
        <v/>
      </c>
      <c r="J207" s="10">
        <f>IF($AB207="","",IF(INDEX(입력_기본자료!$H$2:$H$1001,$AB207)="","",INDEX(입력_기본자료!$H$2:$H$1001,$AB207)))</f>
        <v/>
      </c>
      <c r="K207" s="10">
        <f>IF($AB207="","",IF(INDEX(입력_기본자료!$I$2:$I$1001,$AB207)="","",INDEX(입력_기본자료!$I$2:$I$1001,$AB207)))</f>
        <v/>
      </c>
      <c r="L207" s="10">
        <f>IF($AB207="","",IF(INDEX(입력_기본자료!$A$2:$A$1001,$AB207)="","",INDEX(입력_기본자료!$A$2:$A$1001,$AB207)))</f>
        <v/>
      </c>
      <c r="M207" s="15" t="n"/>
      <c r="N207" s="10">
        <f>IF($B207="","",IF(AND($U207="파견중",$Q207&lt;&gt;""),$Q207,IF(AND($AD207&lt;&gt;"",LEFT($AD207,1)&lt;&gt;"⚠"),LEFT($AD207,FIND(" ",$AD207)-1),IF($H207="","",IF(RIGHT($H207,2)="병원",$H207,$H207&amp;"병원")))))</f>
        <v/>
      </c>
      <c r="O207" s="10">
        <f>IF($B207="","",IF(AND($U207="파견중",$Q207&lt;&gt;""),IF($R207&lt;&gt;"",$R207,"파견과 미입력"),IF(AND($AD207&lt;&gt;"",LEFT($AD207,1)&lt;&gt;"⚠"),MID($AD207,FIND(" ",$AD207)+1,60),IF($F207="","",IF($F207="인턴","수련교육부(인턴)",$F207)))))</f>
        <v/>
      </c>
      <c r="P207" s="10">
        <f>IF($B207="","",IF($AK207&lt;&gt;"",IF(AND(TODAY()&gt;=INDEX(입력_파견수련계획!$AB$4:$AB$803,$AK207),OR(NOT(ISNUMBER(INDEX(입력_파견수련계획!$AC$4:$AC$803,$AK207))),TODAY()&lt;=INDEX(입력_파견수련계획!$AC$4:$AC$803,$AK207))),"다기관",IF($AF207="","",INDEX(입력_파견수련계획!$T$4:$T$803,$AF207))),IF($AF207="","",INDEX(입력_파견수련계획!$T$4:$T$803,$AF207))))</f>
        <v/>
      </c>
      <c r="Q207" s="10">
        <f>IF($AF207="","",INDEX(입력_파견수련계획!$S$4:$S$803,$AF207))</f>
        <v/>
      </c>
      <c r="R207" s="10">
        <f>IF($AF207="","",INDEX(입력_파견수련계획!$U$4:$U$803,$AF207))</f>
        <v/>
      </c>
      <c r="S207" s="11">
        <f>IF($AF207="","",IF(INDEX(입력_파견수련계획!$H$4:$H$803,$AF207)="","",INDEX(입력_파견수련계획!$H$4:$H$803,$AF207)))</f>
        <v/>
      </c>
      <c r="T207" s="11">
        <f>IF($AF207="","",IF(INDEX(입력_파견수련계획!$I$4:$I$803,$AF207)="","",INDEX(입력_파견수련계획!$I$4:$I$803,$AF207)))</f>
        <v/>
      </c>
      <c r="U207" s="10">
        <f>IF($AF207="","",INDEX(입력_파견수련계획!$X$4:$X$803,$AF207))</f>
        <v/>
      </c>
      <c r="V207" s="17">
        <f>IF($AF207="","",INDEX(입력_파견수련계획!$V$4:$V$803,$AF207))</f>
        <v/>
      </c>
      <c r="W207" s="17">
        <f>IF(AND($U207="파견중",$T207&lt;&gt;""),$T207-TODAY(),"")</f>
        <v/>
      </c>
      <c r="X207" s="17">
        <f>IF(OR($B207="",TRIM($J207&amp;"")=""),"",SUMPRODUCT((입력_파견수련계획!$Q$4:$Q$803=TRIM($J207&amp;""))*입력_파견수련계획!$W$4:$W$803))</f>
        <v/>
      </c>
      <c r="Y207" s="10">
        <f>IF($B207="","",IF($AG207="","",IF(IF(TRIM($J207&amp;"")="",0,SUMPRODUCT((입력_파견수련계획!$Q$4:$Q$803=TRIM($J207&amp;""))*입력_파견수련계획!$AD$4:$AD$803))&gt;0,$AE207,IF(AND(N($X207)&lt;=0,$AQ207=""),$AG207,IF($AH207+$AI207=DAY(EOMONTH(출력_요약!$B$3,0)),IF(AND($AH207&gt;=출력_요약!$E$3,$AI207&lt;출력_요약!$E$3),"서울병원",IF(AND($AI207&gt;=출력_요약!$E$3,$AH207&lt;출력_요약!$E$3),"구리병원","⚠15일 판정불가(서울 "&amp;$AH207&amp;"일/구리 "&amp;$AI207&amp;"일)")),IF($AJ207="",$AE207,IF(INDEX(입력_파견수련계획!$T$4:$T$803,$AJ207)="통합수련",INDEX(입력_파견수련계획!$S$4:$S$803,$AJ207),$AE207)))))))</f>
        <v/>
      </c>
      <c r="Z207" s="20">
        <f>IF($B207="","",IF($AB207="","기본자료에 없는 사번",IF(COUNTIF($B$2:$B$401,$B207)&gt;1,"중복 사번",IF($AE207="","소속(입사장소) 입력",IF(IF(TRIM($J207&amp;"")="",0,SUMPRODUCT((입력_파견수련계획!$Q$4:$Q$803=TRIM($J207&amp;""))*(입력_파견수련계획!$AA$4:$AA$803&lt;&gt;"")))&gt;0,"파견수련계획 입력오류 확인",IF(LEFT($Y207,1)="⚠","서울·구리 15일 판정 불가(양쪽 모두 이상/미만)",IF(IF($AC207="",0,N(INDEX(입력_인턴근무계획!$T$3:$T$402,$AC207)))&gt;0,"인턴계획 입력오류 확인",IF(AND($AQ207&lt;&gt;"",$AG207&lt;&gt;"구리병원",IF(TRIM($J207&amp;"")="",0,SUMPRODUCT((입력_파견수련계획!$Q$4:$Q$803=TRIM($J207&amp;""))*(입력_파견수련계획!$S$4:$S$803="구리병원")*입력_파견수련계획!$W$4:$W$803))=0),"구리 근무자명단에만 있음(파견수련계획 확인)",IF(AND($AC207&lt;&gt;"",$U207&lt;&gt;"파견중",$N207&lt;&gt;$AE207),"인턴 타지역 근무: 파견 여부 확인","정상")))))))))</f>
        <v/>
      </c>
      <c r="AA207" s="5" t="n"/>
      <c r="AB207" s="10">
        <f>IF($B207="","",IFERROR(MATCH($B207,입력_기본자료!$B$2:$B$1001,0),IFERROR(MATCH($B207&amp;"",입력_기본자료!$B$2:$B$1001,0),IFERROR(MATCH(VALUE($B207),입력_기본자료!$B$2:$B$1001,0),""))))</f>
        <v/>
      </c>
      <c r="AC207" s="10">
        <f>IF($B207="","",IFERROR(MATCH($B207,입력_인턴근무계획!$D$3:$D$402,0),IFERROR(MATCH($B207&amp;"",입력_인턴근무계획!$D$3:$D$402,0),IFERROR(MATCH(VALUE($B207),입력_인턴근무계획!$D$3:$D$402,0),""))))</f>
        <v/>
      </c>
      <c r="AD207" s="10">
        <f>IF(OR($AC207="",출력_인턴현황!$G$3=""),"",INDEX(입력_인턴근무계획!$M$3:$R$402,$AC207,출력_인턴현황!$G$3)&amp;"")</f>
        <v/>
      </c>
      <c r="AE207" s="10">
        <f>IF($B207="","",IF($M207&lt;&gt;"",$M207,IF(IF($AQ207="",FALSE,INDEX(출력_구리근무자!$J$6:$J$305,$AQ207)="구리독자"),"구리병원",IF($AF207&lt;&gt;"",IF(LEFT(INDEX(입력_파견수련계획!$R$4:$R$803,$AF207),1)&lt;&gt;"⚠",INDEX(입력_파견수련계획!$R$4:$R$803,$AF207),IF($H207="","",IF(RIGHT($H207,2)="병원",$H207,$H207&amp;"병원"))),IF($H207="","",IF(RIGHT($H207,2)="병원",$H207,$H207&amp;"병원"))))))</f>
        <v/>
      </c>
      <c r="AF207" s="10">
        <f>IF(OR($B207="",TRIM($J207&amp;"")=""),"",IFERROR(MATCH(TRIM($J207&amp;"")&amp;"|파견중",입력_파견수련계획!$Y$4:$Y$803,0),IFERROR(MATCH(TRIM($J207&amp;"")&amp;"|파견예정",입력_파견수련계획!$Y$4:$Y$803,0),IFERROR(MATCH(TRIM($J207&amp;"")&amp;"|파견종료",입력_파견수련계획!$Y$4:$Y$803,0),""))))</f>
        <v/>
      </c>
      <c r="AG207" s="10">
        <f>IF($B207="","",IF(AND(IF(OR($AC207="",출력_인턴현황!$K$2=""),"",INDEX(입력_인턴근무계획!$M$3:$R$402,$AC207,출력_인턴현황!$K$2)&amp;"")&lt;&gt;"",LEFT(IF(OR($AC207="",출력_인턴현황!$K$2=""),"",INDEX(입력_인턴근무계획!$M$3:$R$402,$AC207,출력_인턴현황!$K$2)&amp;""),1)&lt;&gt;"⚠"),LEFT(IF(OR($AC207="",출력_인턴현황!$K$2=""),"",INDEX(입력_인턴근무계획!$M$3:$R$402,$AC207,출력_인턴현황!$K$2)&amp;""),FIND(" ",IF(OR($AC207="",출력_인턴현황!$K$2=""),"",INDEX(입력_인턴근무계획!$M$3:$R$402,$AC207,출력_인턴현황!$K$2)&amp;""))-1),$AE207))</f>
        <v/>
      </c>
      <c r="AH207" s="17">
        <f>IF($B207="","",IF($AQ207&lt;&gt;"",MAX(0,DAY(EOMONTH(출력_요약!$B$3,0))-N($AR207)),IF(TRIM($J207&amp;"")="",0,SUMPRODUCT((입력_파견수련계획!$Q$4:$Q$803=TRIM($J207&amp;""))*(입력_파견수련계획!$S$4:$S$803="서울병원")*입력_파견수련계획!$W$4:$W$803))+IF($AG207="서울병원",MAX(0,DAY(EOMONTH(출력_요약!$B$3,0))-N($X207)),0)))</f>
        <v/>
      </c>
      <c r="AI207" s="17">
        <f>IF($B207="","",IF($AQ207&lt;&gt;"",N($AR207),IF(TRIM($J207&amp;"")="",0,SUMPRODUCT((입력_파견수련계획!$Q$4:$Q$803=TRIM($J207&amp;""))*(입력_파견수련계획!$S$4:$S$803="구리병원")*입력_파견수련계획!$W$4:$W$803))+IF($AG207="구리병원",MAX(0,DAY(EOMONTH(출력_요약!$B$3,0))-N($X207)),0)))</f>
        <v/>
      </c>
      <c r="AJ207" s="10">
        <f>IF(OR($B207="",TRIM($J207&amp;"")=""),"",IFERROR(MATCH(TRIM($J207&amp;"")&amp;"|월",입력_파견수련계획!$Z$4:$Z$803,0),""))</f>
        <v/>
      </c>
      <c r="AK207" s="10">
        <f>IF(OR($B207="",TRIM($J207&amp;"")=""),"",IFERROR(MATCH(TRIM($J207&amp;"")&amp;"|다기관",입력_파견수련계획!$AE$4:$AE$803,0),""))</f>
        <v/>
      </c>
      <c r="AL207" s="10">
        <f>IF($AK207="","","다기관 "&amp;TEXT(INDEX(입력_파견수련계획!$AB$4:$AB$803,$AK207),"yyyy-mm-dd")&amp;"~"&amp;IF(ISNUMBER(INDEX(입력_파견수련계획!$AC$4:$AC$803,$AK207)),TEXT(INDEX(입력_파견수련계획!$AC$4:$AC$803,$AK207),"yyyy-mm-dd"),""))</f>
        <v/>
      </c>
      <c r="AM207" s="10">
        <f>IF($Y207="서울병원",COUNTIF($Y$2:$Y207,"서울병원"),"")</f>
        <v/>
      </c>
      <c r="AN207" s="10">
        <f>IF(LEFT($Y207,1)="⚠",COUNTIF($Y$2:$Y207,"⚠*"),"")</f>
        <v/>
      </c>
      <c r="AO207" s="10">
        <f>IF(OR($B207="",$Y207=""),"",IF(IF(TRIM($J207&amp;"")="",0,SUMPRODUCT((입력_파견수련계획!$Q$4:$Q$803=TRIM($J207&amp;""))*입력_파견수련계획!$AD$4:$AD$803))&gt;0,"다기관 기간 → 소속병원 지급",IF(AND(N($X207)&lt;=0,$AQ207=""),"파견 없음 → 그 달 근무병원 지급",IF($AH207+$AI207=DAY(EOMONTH(출력_요약!$B$3,0)),"서울 "&amp;$AH207&amp;"일 / 구리 "&amp;$AI207&amp;"일"&amp;IF($AQ207&lt;&gt;""," (구리 근무자명단 반영)","")&amp;" → 15일 이상 근무 병원 지급","타 병원 포함 → "&amp;IF($AJ207="","소속",INDEX(입력_파견수련계획!$T$4:$T$803,$AJ207))&amp;" 규칙"))))</f>
        <v/>
      </c>
      <c r="AP207" s="10">
        <f>IF($B207="","",$C207&amp;"|"&amp;$F207)</f>
        <v/>
      </c>
      <c r="AQ207" s="10">
        <f>IF($B207="","",IFERROR(MATCH(ROW()-1,출력_구리근무자!$K$6:$K$305,0),""))</f>
        <v/>
      </c>
      <c r="AR207" s="10">
        <f>IF($AQ207="","",INDEX(출력_구리근무자!$H$6:$H$305,$AQ207))</f>
        <v/>
      </c>
    </row>
    <row r="208">
      <c r="A208" s="10">
        <f>IF(B208="","",ROW()-1)</f>
        <v/>
      </c>
      <c r="B208" s="19" t="n"/>
      <c r="C208" s="10">
        <f>IF($AB208="","",IF(INDEX(입력_기본자료!$C$2:$C$1001,$AB208)="","",INDEX(입력_기본자료!$C$2:$C$1001,$AB208)))</f>
        <v/>
      </c>
      <c r="D208" s="10">
        <f>IF($AB208="","",IF(INDEX(입력_기본자료!$J$2:$J$1001,$AB208)="","",INDEX(입력_기본자료!$J$2:$J$1001,$AB208)))</f>
        <v/>
      </c>
      <c r="E208" s="11">
        <f>IF($AB208="","",IF(INDEX(입력_기본자료!$K$2:$K$1001,$AB208)="","",IF(NOT(ISNUMBER(INDEX(입력_기본자료!$K$2:$K$1001,$AB208))),INDEX(입력_기본자료!$K$2:$K$1001,$AB208),IF(INDEX(입력_기본자료!$K$2:$K$1001,$AB208)&lt;1000000,INDEX(입력_기본자료!$K$2:$K$1001,$AB208),IF(AND(INDEX(입력_기본자료!$K$2:$K$1001,$AB208)&gt;=10000101,INT(MOD(INDEX(입력_기본자료!$K$2:$K$1001,$AB208),10000)/100)&gt;=1,INT(MOD(INDEX(입력_기본자료!$K$2:$K$1001,$AB208),10000)/100)&lt;=12,MOD(INDEX(입력_기본자료!$K$2:$K$1001,$AB208),100)&gt;=1,MOD(INDEX(입력_기본자료!$K$2:$K$1001,$AB208),100)&lt;=31),DATE(INT(INDEX(입력_기본자료!$K$2:$K$1001,$AB208)/10000),INT(MOD(INDEX(입력_기본자료!$K$2:$K$1001,$AB208),10000)/100),MOD(INDEX(입력_기본자료!$K$2:$K$1001,$AB208),100)),INDEX(입력_기본자료!$K$2:$K$1001,$AB208)&amp;"")))))</f>
        <v/>
      </c>
      <c r="F208" s="10">
        <f>IF($AB208="","",IF(INDEX(입력_기본자료!$D$2:$D$1001,$AB208)="","",INDEX(입력_기본자료!$D$2:$D$1001,$AB208)))</f>
        <v/>
      </c>
      <c r="G208" s="10">
        <f>IF($AB208="","",IF(INDEX(입력_기본자료!$E$2:$E$1001,$AB208)="","",INDEX(입력_기본자료!$E$2:$E$1001,$AB208)))</f>
        <v/>
      </c>
      <c r="H208" s="10">
        <f>IF($AB208="","",IF(INDEX(입력_기본자료!$F$2:$F$1001,$AB208)="","",INDEX(입력_기본자료!$F$2:$F$1001,$AB208)))</f>
        <v/>
      </c>
      <c r="I208" s="11">
        <f>IF($AB208="","",IF(INDEX(입력_기본자료!$G$2:$G$1001,$AB208)="","",IF(NOT(ISNUMBER(INDEX(입력_기본자료!$G$2:$G$1001,$AB208))),INDEX(입력_기본자료!$G$2:$G$1001,$AB208),IF(INDEX(입력_기본자료!$G$2:$G$1001,$AB208)&lt;1000000,INDEX(입력_기본자료!$G$2:$G$1001,$AB208),IF(AND(INDEX(입력_기본자료!$G$2:$G$1001,$AB208)&gt;=10000101,INT(MOD(INDEX(입력_기본자료!$G$2:$G$1001,$AB208),10000)/100)&gt;=1,INT(MOD(INDEX(입력_기본자료!$G$2:$G$1001,$AB208),10000)/100)&lt;=12,MOD(INDEX(입력_기본자료!$G$2:$G$1001,$AB208),100)&gt;=1,MOD(INDEX(입력_기본자료!$G$2:$G$1001,$AB208),100)&lt;=31),DATE(INT(INDEX(입력_기본자료!$G$2:$G$1001,$AB208)/10000),INT(MOD(INDEX(입력_기본자료!$G$2:$G$1001,$AB208),10000)/100),MOD(INDEX(입력_기본자료!$G$2:$G$1001,$AB208),100)),INDEX(입력_기본자료!$G$2:$G$1001,$AB208)&amp;"")))))</f>
        <v/>
      </c>
      <c r="J208" s="10">
        <f>IF($AB208="","",IF(INDEX(입력_기본자료!$H$2:$H$1001,$AB208)="","",INDEX(입력_기본자료!$H$2:$H$1001,$AB208)))</f>
        <v/>
      </c>
      <c r="K208" s="10">
        <f>IF($AB208="","",IF(INDEX(입력_기본자료!$I$2:$I$1001,$AB208)="","",INDEX(입력_기본자료!$I$2:$I$1001,$AB208)))</f>
        <v/>
      </c>
      <c r="L208" s="10">
        <f>IF($AB208="","",IF(INDEX(입력_기본자료!$A$2:$A$1001,$AB208)="","",INDEX(입력_기본자료!$A$2:$A$1001,$AB208)))</f>
        <v/>
      </c>
      <c r="M208" s="15" t="n"/>
      <c r="N208" s="10">
        <f>IF($B208="","",IF(AND($U208="파견중",$Q208&lt;&gt;""),$Q208,IF(AND($AD208&lt;&gt;"",LEFT($AD208,1)&lt;&gt;"⚠"),LEFT($AD208,FIND(" ",$AD208)-1),IF($H208="","",IF(RIGHT($H208,2)="병원",$H208,$H208&amp;"병원")))))</f>
        <v/>
      </c>
      <c r="O208" s="10">
        <f>IF($B208="","",IF(AND($U208="파견중",$Q208&lt;&gt;""),IF($R208&lt;&gt;"",$R208,"파견과 미입력"),IF(AND($AD208&lt;&gt;"",LEFT($AD208,1)&lt;&gt;"⚠"),MID($AD208,FIND(" ",$AD208)+1,60),IF($F208="","",IF($F208="인턴","수련교육부(인턴)",$F208)))))</f>
        <v/>
      </c>
      <c r="P208" s="10">
        <f>IF($B208="","",IF($AK208&lt;&gt;"",IF(AND(TODAY()&gt;=INDEX(입력_파견수련계획!$AB$4:$AB$803,$AK208),OR(NOT(ISNUMBER(INDEX(입력_파견수련계획!$AC$4:$AC$803,$AK208))),TODAY()&lt;=INDEX(입력_파견수련계획!$AC$4:$AC$803,$AK208))),"다기관",IF($AF208="","",INDEX(입력_파견수련계획!$T$4:$T$803,$AF208))),IF($AF208="","",INDEX(입력_파견수련계획!$T$4:$T$803,$AF208))))</f>
        <v/>
      </c>
      <c r="Q208" s="10">
        <f>IF($AF208="","",INDEX(입력_파견수련계획!$S$4:$S$803,$AF208))</f>
        <v/>
      </c>
      <c r="R208" s="10">
        <f>IF($AF208="","",INDEX(입력_파견수련계획!$U$4:$U$803,$AF208))</f>
        <v/>
      </c>
      <c r="S208" s="11">
        <f>IF($AF208="","",IF(INDEX(입력_파견수련계획!$H$4:$H$803,$AF208)="","",INDEX(입력_파견수련계획!$H$4:$H$803,$AF208)))</f>
        <v/>
      </c>
      <c r="T208" s="11">
        <f>IF($AF208="","",IF(INDEX(입력_파견수련계획!$I$4:$I$803,$AF208)="","",INDEX(입력_파견수련계획!$I$4:$I$803,$AF208)))</f>
        <v/>
      </c>
      <c r="U208" s="10">
        <f>IF($AF208="","",INDEX(입력_파견수련계획!$X$4:$X$803,$AF208))</f>
        <v/>
      </c>
      <c r="V208" s="17">
        <f>IF($AF208="","",INDEX(입력_파견수련계획!$V$4:$V$803,$AF208))</f>
        <v/>
      </c>
      <c r="W208" s="17">
        <f>IF(AND($U208="파견중",$T208&lt;&gt;""),$T208-TODAY(),"")</f>
        <v/>
      </c>
      <c r="X208" s="17">
        <f>IF(OR($B208="",TRIM($J208&amp;"")=""),"",SUMPRODUCT((입력_파견수련계획!$Q$4:$Q$803=TRIM($J208&amp;""))*입력_파견수련계획!$W$4:$W$803))</f>
        <v/>
      </c>
      <c r="Y208" s="10">
        <f>IF($B208="","",IF($AG208="","",IF(IF(TRIM($J208&amp;"")="",0,SUMPRODUCT((입력_파견수련계획!$Q$4:$Q$803=TRIM($J208&amp;""))*입력_파견수련계획!$AD$4:$AD$803))&gt;0,$AE208,IF(AND(N($X208)&lt;=0,$AQ208=""),$AG208,IF($AH208+$AI208=DAY(EOMONTH(출력_요약!$B$3,0)),IF(AND($AH208&gt;=출력_요약!$E$3,$AI208&lt;출력_요약!$E$3),"서울병원",IF(AND($AI208&gt;=출력_요약!$E$3,$AH208&lt;출력_요약!$E$3),"구리병원","⚠15일 판정불가(서울 "&amp;$AH208&amp;"일/구리 "&amp;$AI208&amp;"일)")),IF($AJ208="",$AE208,IF(INDEX(입력_파견수련계획!$T$4:$T$803,$AJ208)="통합수련",INDEX(입력_파견수련계획!$S$4:$S$803,$AJ208),$AE208)))))))</f>
        <v/>
      </c>
      <c r="Z208" s="20">
        <f>IF($B208="","",IF($AB208="","기본자료에 없는 사번",IF(COUNTIF($B$2:$B$401,$B208)&gt;1,"중복 사번",IF($AE208="","소속(입사장소) 입력",IF(IF(TRIM($J208&amp;"")="",0,SUMPRODUCT((입력_파견수련계획!$Q$4:$Q$803=TRIM($J208&amp;""))*(입력_파견수련계획!$AA$4:$AA$803&lt;&gt;"")))&gt;0,"파견수련계획 입력오류 확인",IF(LEFT($Y208,1)="⚠","서울·구리 15일 판정 불가(양쪽 모두 이상/미만)",IF(IF($AC208="",0,N(INDEX(입력_인턴근무계획!$T$3:$T$402,$AC208)))&gt;0,"인턴계획 입력오류 확인",IF(AND($AQ208&lt;&gt;"",$AG208&lt;&gt;"구리병원",IF(TRIM($J208&amp;"")="",0,SUMPRODUCT((입력_파견수련계획!$Q$4:$Q$803=TRIM($J208&amp;""))*(입력_파견수련계획!$S$4:$S$803="구리병원")*입력_파견수련계획!$W$4:$W$803))=0),"구리 근무자명단에만 있음(파견수련계획 확인)",IF(AND($AC208&lt;&gt;"",$U208&lt;&gt;"파견중",$N208&lt;&gt;$AE208),"인턴 타지역 근무: 파견 여부 확인","정상")))))))))</f>
        <v/>
      </c>
      <c r="AA208" s="5" t="n"/>
      <c r="AB208" s="10">
        <f>IF($B208="","",IFERROR(MATCH($B208,입력_기본자료!$B$2:$B$1001,0),IFERROR(MATCH($B208&amp;"",입력_기본자료!$B$2:$B$1001,0),IFERROR(MATCH(VALUE($B208),입력_기본자료!$B$2:$B$1001,0),""))))</f>
        <v/>
      </c>
      <c r="AC208" s="10">
        <f>IF($B208="","",IFERROR(MATCH($B208,입력_인턴근무계획!$D$3:$D$402,0),IFERROR(MATCH($B208&amp;"",입력_인턴근무계획!$D$3:$D$402,0),IFERROR(MATCH(VALUE($B208),입력_인턴근무계획!$D$3:$D$402,0),""))))</f>
        <v/>
      </c>
      <c r="AD208" s="10">
        <f>IF(OR($AC208="",출력_인턴현황!$G$3=""),"",INDEX(입력_인턴근무계획!$M$3:$R$402,$AC208,출력_인턴현황!$G$3)&amp;"")</f>
        <v/>
      </c>
      <c r="AE208" s="10">
        <f>IF($B208="","",IF($M208&lt;&gt;"",$M208,IF(IF($AQ208="",FALSE,INDEX(출력_구리근무자!$J$6:$J$305,$AQ208)="구리독자"),"구리병원",IF($AF208&lt;&gt;"",IF(LEFT(INDEX(입력_파견수련계획!$R$4:$R$803,$AF208),1)&lt;&gt;"⚠",INDEX(입력_파견수련계획!$R$4:$R$803,$AF208),IF($H208="","",IF(RIGHT($H208,2)="병원",$H208,$H208&amp;"병원"))),IF($H208="","",IF(RIGHT($H208,2)="병원",$H208,$H208&amp;"병원"))))))</f>
        <v/>
      </c>
      <c r="AF208" s="10">
        <f>IF(OR($B208="",TRIM($J208&amp;"")=""),"",IFERROR(MATCH(TRIM($J208&amp;"")&amp;"|파견중",입력_파견수련계획!$Y$4:$Y$803,0),IFERROR(MATCH(TRIM($J208&amp;"")&amp;"|파견예정",입력_파견수련계획!$Y$4:$Y$803,0),IFERROR(MATCH(TRIM($J208&amp;"")&amp;"|파견종료",입력_파견수련계획!$Y$4:$Y$803,0),""))))</f>
        <v/>
      </c>
      <c r="AG208" s="10">
        <f>IF($B208="","",IF(AND(IF(OR($AC208="",출력_인턴현황!$K$2=""),"",INDEX(입력_인턴근무계획!$M$3:$R$402,$AC208,출력_인턴현황!$K$2)&amp;"")&lt;&gt;"",LEFT(IF(OR($AC208="",출력_인턴현황!$K$2=""),"",INDEX(입력_인턴근무계획!$M$3:$R$402,$AC208,출력_인턴현황!$K$2)&amp;""),1)&lt;&gt;"⚠"),LEFT(IF(OR($AC208="",출력_인턴현황!$K$2=""),"",INDEX(입력_인턴근무계획!$M$3:$R$402,$AC208,출력_인턴현황!$K$2)&amp;""),FIND(" ",IF(OR($AC208="",출력_인턴현황!$K$2=""),"",INDEX(입력_인턴근무계획!$M$3:$R$402,$AC208,출력_인턴현황!$K$2)&amp;""))-1),$AE208))</f>
        <v/>
      </c>
      <c r="AH208" s="17">
        <f>IF($B208="","",IF($AQ208&lt;&gt;"",MAX(0,DAY(EOMONTH(출력_요약!$B$3,0))-N($AR208)),IF(TRIM($J208&amp;"")="",0,SUMPRODUCT((입력_파견수련계획!$Q$4:$Q$803=TRIM($J208&amp;""))*(입력_파견수련계획!$S$4:$S$803="서울병원")*입력_파견수련계획!$W$4:$W$803))+IF($AG208="서울병원",MAX(0,DAY(EOMONTH(출력_요약!$B$3,0))-N($X208)),0)))</f>
        <v/>
      </c>
      <c r="AI208" s="17">
        <f>IF($B208="","",IF($AQ208&lt;&gt;"",N($AR208),IF(TRIM($J208&amp;"")="",0,SUMPRODUCT((입력_파견수련계획!$Q$4:$Q$803=TRIM($J208&amp;""))*(입력_파견수련계획!$S$4:$S$803="구리병원")*입력_파견수련계획!$W$4:$W$803))+IF($AG208="구리병원",MAX(0,DAY(EOMONTH(출력_요약!$B$3,0))-N($X208)),0)))</f>
        <v/>
      </c>
      <c r="AJ208" s="10">
        <f>IF(OR($B208="",TRIM($J208&amp;"")=""),"",IFERROR(MATCH(TRIM($J208&amp;"")&amp;"|월",입력_파견수련계획!$Z$4:$Z$803,0),""))</f>
        <v/>
      </c>
      <c r="AK208" s="10">
        <f>IF(OR($B208="",TRIM($J208&amp;"")=""),"",IFERROR(MATCH(TRIM($J208&amp;"")&amp;"|다기관",입력_파견수련계획!$AE$4:$AE$803,0),""))</f>
        <v/>
      </c>
      <c r="AL208" s="10">
        <f>IF($AK208="","","다기관 "&amp;TEXT(INDEX(입력_파견수련계획!$AB$4:$AB$803,$AK208),"yyyy-mm-dd")&amp;"~"&amp;IF(ISNUMBER(INDEX(입력_파견수련계획!$AC$4:$AC$803,$AK208)),TEXT(INDEX(입력_파견수련계획!$AC$4:$AC$803,$AK208),"yyyy-mm-dd"),""))</f>
        <v/>
      </c>
      <c r="AM208" s="10">
        <f>IF($Y208="서울병원",COUNTIF($Y$2:$Y208,"서울병원"),"")</f>
        <v/>
      </c>
      <c r="AN208" s="10">
        <f>IF(LEFT($Y208,1)="⚠",COUNTIF($Y$2:$Y208,"⚠*"),"")</f>
        <v/>
      </c>
      <c r="AO208" s="10">
        <f>IF(OR($B208="",$Y208=""),"",IF(IF(TRIM($J208&amp;"")="",0,SUMPRODUCT((입력_파견수련계획!$Q$4:$Q$803=TRIM($J208&amp;""))*입력_파견수련계획!$AD$4:$AD$803))&gt;0,"다기관 기간 → 소속병원 지급",IF(AND(N($X208)&lt;=0,$AQ208=""),"파견 없음 → 그 달 근무병원 지급",IF($AH208+$AI208=DAY(EOMONTH(출력_요약!$B$3,0)),"서울 "&amp;$AH208&amp;"일 / 구리 "&amp;$AI208&amp;"일"&amp;IF($AQ208&lt;&gt;""," (구리 근무자명단 반영)","")&amp;" → 15일 이상 근무 병원 지급","타 병원 포함 → "&amp;IF($AJ208="","소속",INDEX(입력_파견수련계획!$T$4:$T$803,$AJ208))&amp;" 규칙"))))</f>
        <v/>
      </c>
      <c r="AP208" s="10">
        <f>IF($B208="","",$C208&amp;"|"&amp;$F208)</f>
        <v/>
      </c>
      <c r="AQ208" s="10">
        <f>IF($B208="","",IFERROR(MATCH(ROW()-1,출력_구리근무자!$K$6:$K$305,0),""))</f>
        <v/>
      </c>
      <c r="AR208" s="10">
        <f>IF($AQ208="","",INDEX(출력_구리근무자!$H$6:$H$305,$AQ208))</f>
        <v/>
      </c>
    </row>
    <row r="209">
      <c r="A209" s="10">
        <f>IF(B209="","",ROW()-1)</f>
        <v/>
      </c>
      <c r="B209" s="19" t="n"/>
      <c r="C209" s="10">
        <f>IF($AB209="","",IF(INDEX(입력_기본자료!$C$2:$C$1001,$AB209)="","",INDEX(입력_기본자료!$C$2:$C$1001,$AB209)))</f>
        <v/>
      </c>
      <c r="D209" s="10">
        <f>IF($AB209="","",IF(INDEX(입력_기본자료!$J$2:$J$1001,$AB209)="","",INDEX(입력_기본자료!$J$2:$J$1001,$AB209)))</f>
        <v/>
      </c>
      <c r="E209" s="11">
        <f>IF($AB209="","",IF(INDEX(입력_기본자료!$K$2:$K$1001,$AB209)="","",IF(NOT(ISNUMBER(INDEX(입력_기본자료!$K$2:$K$1001,$AB209))),INDEX(입력_기본자료!$K$2:$K$1001,$AB209),IF(INDEX(입력_기본자료!$K$2:$K$1001,$AB209)&lt;1000000,INDEX(입력_기본자료!$K$2:$K$1001,$AB209),IF(AND(INDEX(입력_기본자료!$K$2:$K$1001,$AB209)&gt;=10000101,INT(MOD(INDEX(입력_기본자료!$K$2:$K$1001,$AB209),10000)/100)&gt;=1,INT(MOD(INDEX(입력_기본자료!$K$2:$K$1001,$AB209),10000)/100)&lt;=12,MOD(INDEX(입력_기본자료!$K$2:$K$1001,$AB209),100)&gt;=1,MOD(INDEX(입력_기본자료!$K$2:$K$1001,$AB209),100)&lt;=31),DATE(INT(INDEX(입력_기본자료!$K$2:$K$1001,$AB209)/10000),INT(MOD(INDEX(입력_기본자료!$K$2:$K$1001,$AB209),10000)/100),MOD(INDEX(입력_기본자료!$K$2:$K$1001,$AB209),100)),INDEX(입력_기본자료!$K$2:$K$1001,$AB209)&amp;"")))))</f>
        <v/>
      </c>
      <c r="F209" s="10">
        <f>IF($AB209="","",IF(INDEX(입력_기본자료!$D$2:$D$1001,$AB209)="","",INDEX(입력_기본자료!$D$2:$D$1001,$AB209)))</f>
        <v/>
      </c>
      <c r="G209" s="10">
        <f>IF($AB209="","",IF(INDEX(입력_기본자료!$E$2:$E$1001,$AB209)="","",INDEX(입력_기본자료!$E$2:$E$1001,$AB209)))</f>
        <v/>
      </c>
      <c r="H209" s="10">
        <f>IF($AB209="","",IF(INDEX(입력_기본자료!$F$2:$F$1001,$AB209)="","",INDEX(입력_기본자료!$F$2:$F$1001,$AB209)))</f>
        <v/>
      </c>
      <c r="I209" s="11">
        <f>IF($AB209="","",IF(INDEX(입력_기본자료!$G$2:$G$1001,$AB209)="","",IF(NOT(ISNUMBER(INDEX(입력_기본자료!$G$2:$G$1001,$AB209))),INDEX(입력_기본자료!$G$2:$G$1001,$AB209),IF(INDEX(입력_기본자료!$G$2:$G$1001,$AB209)&lt;1000000,INDEX(입력_기본자료!$G$2:$G$1001,$AB209),IF(AND(INDEX(입력_기본자료!$G$2:$G$1001,$AB209)&gt;=10000101,INT(MOD(INDEX(입력_기본자료!$G$2:$G$1001,$AB209),10000)/100)&gt;=1,INT(MOD(INDEX(입력_기본자료!$G$2:$G$1001,$AB209),10000)/100)&lt;=12,MOD(INDEX(입력_기본자료!$G$2:$G$1001,$AB209),100)&gt;=1,MOD(INDEX(입력_기본자료!$G$2:$G$1001,$AB209),100)&lt;=31),DATE(INT(INDEX(입력_기본자료!$G$2:$G$1001,$AB209)/10000),INT(MOD(INDEX(입력_기본자료!$G$2:$G$1001,$AB209),10000)/100),MOD(INDEX(입력_기본자료!$G$2:$G$1001,$AB209),100)),INDEX(입력_기본자료!$G$2:$G$1001,$AB209)&amp;"")))))</f>
        <v/>
      </c>
      <c r="J209" s="10">
        <f>IF($AB209="","",IF(INDEX(입력_기본자료!$H$2:$H$1001,$AB209)="","",INDEX(입력_기본자료!$H$2:$H$1001,$AB209)))</f>
        <v/>
      </c>
      <c r="K209" s="10">
        <f>IF($AB209="","",IF(INDEX(입력_기본자료!$I$2:$I$1001,$AB209)="","",INDEX(입력_기본자료!$I$2:$I$1001,$AB209)))</f>
        <v/>
      </c>
      <c r="L209" s="10">
        <f>IF($AB209="","",IF(INDEX(입력_기본자료!$A$2:$A$1001,$AB209)="","",INDEX(입력_기본자료!$A$2:$A$1001,$AB209)))</f>
        <v/>
      </c>
      <c r="M209" s="15" t="n"/>
      <c r="N209" s="10">
        <f>IF($B209="","",IF(AND($U209="파견중",$Q209&lt;&gt;""),$Q209,IF(AND($AD209&lt;&gt;"",LEFT($AD209,1)&lt;&gt;"⚠"),LEFT($AD209,FIND(" ",$AD209)-1),IF($H209="","",IF(RIGHT($H209,2)="병원",$H209,$H209&amp;"병원")))))</f>
        <v/>
      </c>
      <c r="O209" s="10">
        <f>IF($B209="","",IF(AND($U209="파견중",$Q209&lt;&gt;""),IF($R209&lt;&gt;"",$R209,"파견과 미입력"),IF(AND($AD209&lt;&gt;"",LEFT($AD209,1)&lt;&gt;"⚠"),MID($AD209,FIND(" ",$AD209)+1,60),IF($F209="","",IF($F209="인턴","수련교육부(인턴)",$F209)))))</f>
        <v/>
      </c>
      <c r="P209" s="10">
        <f>IF($B209="","",IF($AK209&lt;&gt;"",IF(AND(TODAY()&gt;=INDEX(입력_파견수련계획!$AB$4:$AB$803,$AK209),OR(NOT(ISNUMBER(INDEX(입력_파견수련계획!$AC$4:$AC$803,$AK209))),TODAY()&lt;=INDEX(입력_파견수련계획!$AC$4:$AC$803,$AK209))),"다기관",IF($AF209="","",INDEX(입력_파견수련계획!$T$4:$T$803,$AF209))),IF($AF209="","",INDEX(입력_파견수련계획!$T$4:$T$803,$AF209))))</f>
        <v/>
      </c>
      <c r="Q209" s="10">
        <f>IF($AF209="","",INDEX(입력_파견수련계획!$S$4:$S$803,$AF209))</f>
        <v/>
      </c>
      <c r="R209" s="10">
        <f>IF($AF209="","",INDEX(입력_파견수련계획!$U$4:$U$803,$AF209))</f>
        <v/>
      </c>
      <c r="S209" s="11">
        <f>IF($AF209="","",IF(INDEX(입력_파견수련계획!$H$4:$H$803,$AF209)="","",INDEX(입력_파견수련계획!$H$4:$H$803,$AF209)))</f>
        <v/>
      </c>
      <c r="T209" s="11">
        <f>IF($AF209="","",IF(INDEX(입력_파견수련계획!$I$4:$I$803,$AF209)="","",INDEX(입력_파견수련계획!$I$4:$I$803,$AF209)))</f>
        <v/>
      </c>
      <c r="U209" s="10">
        <f>IF($AF209="","",INDEX(입력_파견수련계획!$X$4:$X$803,$AF209))</f>
        <v/>
      </c>
      <c r="V209" s="17">
        <f>IF($AF209="","",INDEX(입력_파견수련계획!$V$4:$V$803,$AF209))</f>
        <v/>
      </c>
      <c r="W209" s="17">
        <f>IF(AND($U209="파견중",$T209&lt;&gt;""),$T209-TODAY(),"")</f>
        <v/>
      </c>
      <c r="X209" s="17">
        <f>IF(OR($B209="",TRIM($J209&amp;"")=""),"",SUMPRODUCT((입력_파견수련계획!$Q$4:$Q$803=TRIM($J209&amp;""))*입력_파견수련계획!$W$4:$W$803))</f>
        <v/>
      </c>
      <c r="Y209" s="10">
        <f>IF($B209="","",IF($AG209="","",IF(IF(TRIM($J209&amp;"")="",0,SUMPRODUCT((입력_파견수련계획!$Q$4:$Q$803=TRIM($J209&amp;""))*입력_파견수련계획!$AD$4:$AD$803))&gt;0,$AE209,IF(AND(N($X209)&lt;=0,$AQ209=""),$AG209,IF($AH209+$AI209=DAY(EOMONTH(출력_요약!$B$3,0)),IF(AND($AH209&gt;=출력_요약!$E$3,$AI209&lt;출력_요약!$E$3),"서울병원",IF(AND($AI209&gt;=출력_요약!$E$3,$AH209&lt;출력_요약!$E$3),"구리병원","⚠15일 판정불가(서울 "&amp;$AH209&amp;"일/구리 "&amp;$AI209&amp;"일)")),IF($AJ209="",$AE209,IF(INDEX(입력_파견수련계획!$T$4:$T$803,$AJ209)="통합수련",INDEX(입력_파견수련계획!$S$4:$S$803,$AJ209),$AE209)))))))</f>
        <v/>
      </c>
      <c r="Z209" s="20">
        <f>IF($B209="","",IF($AB209="","기본자료에 없는 사번",IF(COUNTIF($B$2:$B$401,$B209)&gt;1,"중복 사번",IF($AE209="","소속(입사장소) 입력",IF(IF(TRIM($J209&amp;"")="",0,SUMPRODUCT((입력_파견수련계획!$Q$4:$Q$803=TRIM($J209&amp;""))*(입력_파견수련계획!$AA$4:$AA$803&lt;&gt;"")))&gt;0,"파견수련계획 입력오류 확인",IF(LEFT($Y209,1)="⚠","서울·구리 15일 판정 불가(양쪽 모두 이상/미만)",IF(IF($AC209="",0,N(INDEX(입력_인턴근무계획!$T$3:$T$402,$AC209)))&gt;0,"인턴계획 입력오류 확인",IF(AND($AQ209&lt;&gt;"",$AG209&lt;&gt;"구리병원",IF(TRIM($J209&amp;"")="",0,SUMPRODUCT((입력_파견수련계획!$Q$4:$Q$803=TRIM($J209&amp;""))*(입력_파견수련계획!$S$4:$S$803="구리병원")*입력_파견수련계획!$W$4:$W$803))=0),"구리 근무자명단에만 있음(파견수련계획 확인)",IF(AND($AC209&lt;&gt;"",$U209&lt;&gt;"파견중",$N209&lt;&gt;$AE209),"인턴 타지역 근무: 파견 여부 확인","정상")))))))))</f>
        <v/>
      </c>
      <c r="AA209" s="5" t="n"/>
      <c r="AB209" s="10">
        <f>IF($B209="","",IFERROR(MATCH($B209,입력_기본자료!$B$2:$B$1001,0),IFERROR(MATCH($B209&amp;"",입력_기본자료!$B$2:$B$1001,0),IFERROR(MATCH(VALUE($B209),입력_기본자료!$B$2:$B$1001,0),""))))</f>
        <v/>
      </c>
      <c r="AC209" s="10">
        <f>IF($B209="","",IFERROR(MATCH($B209,입력_인턴근무계획!$D$3:$D$402,0),IFERROR(MATCH($B209&amp;"",입력_인턴근무계획!$D$3:$D$402,0),IFERROR(MATCH(VALUE($B209),입력_인턴근무계획!$D$3:$D$402,0),""))))</f>
        <v/>
      </c>
      <c r="AD209" s="10">
        <f>IF(OR($AC209="",출력_인턴현황!$G$3=""),"",INDEX(입력_인턴근무계획!$M$3:$R$402,$AC209,출력_인턴현황!$G$3)&amp;"")</f>
        <v/>
      </c>
      <c r="AE209" s="10">
        <f>IF($B209="","",IF($M209&lt;&gt;"",$M209,IF(IF($AQ209="",FALSE,INDEX(출력_구리근무자!$J$6:$J$305,$AQ209)="구리독자"),"구리병원",IF($AF209&lt;&gt;"",IF(LEFT(INDEX(입력_파견수련계획!$R$4:$R$803,$AF209),1)&lt;&gt;"⚠",INDEX(입력_파견수련계획!$R$4:$R$803,$AF209),IF($H209="","",IF(RIGHT($H209,2)="병원",$H209,$H209&amp;"병원"))),IF($H209="","",IF(RIGHT($H209,2)="병원",$H209,$H209&amp;"병원"))))))</f>
        <v/>
      </c>
      <c r="AF209" s="10">
        <f>IF(OR($B209="",TRIM($J209&amp;"")=""),"",IFERROR(MATCH(TRIM($J209&amp;"")&amp;"|파견중",입력_파견수련계획!$Y$4:$Y$803,0),IFERROR(MATCH(TRIM($J209&amp;"")&amp;"|파견예정",입력_파견수련계획!$Y$4:$Y$803,0),IFERROR(MATCH(TRIM($J209&amp;"")&amp;"|파견종료",입력_파견수련계획!$Y$4:$Y$803,0),""))))</f>
        <v/>
      </c>
      <c r="AG209" s="10">
        <f>IF($B209="","",IF(AND(IF(OR($AC209="",출력_인턴현황!$K$2=""),"",INDEX(입력_인턴근무계획!$M$3:$R$402,$AC209,출력_인턴현황!$K$2)&amp;"")&lt;&gt;"",LEFT(IF(OR($AC209="",출력_인턴현황!$K$2=""),"",INDEX(입력_인턴근무계획!$M$3:$R$402,$AC209,출력_인턴현황!$K$2)&amp;""),1)&lt;&gt;"⚠"),LEFT(IF(OR($AC209="",출력_인턴현황!$K$2=""),"",INDEX(입력_인턴근무계획!$M$3:$R$402,$AC209,출력_인턴현황!$K$2)&amp;""),FIND(" ",IF(OR($AC209="",출력_인턴현황!$K$2=""),"",INDEX(입력_인턴근무계획!$M$3:$R$402,$AC209,출력_인턴현황!$K$2)&amp;""))-1),$AE209))</f>
        <v/>
      </c>
      <c r="AH209" s="17">
        <f>IF($B209="","",IF($AQ209&lt;&gt;"",MAX(0,DAY(EOMONTH(출력_요약!$B$3,0))-N($AR209)),IF(TRIM($J209&amp;"")="",0,SUMPRODUCT((입력_파견수련계획!$Q$4:$Q$803=TRIM($J209&amp;""))*(입력_파견수련계획!$S$4:$S$803="서울병원")*입력_파견수련계획!$W$4:$W$803))+IF($AG209="서울병원",MAX(0,DAY(EOMONTH(출력_요약!$B$3,0))-N($X209)),0)))</f>
        <v/>
      </c>
      <c r="AI209" s="17">
        <f>IF($B209="","",IF($AQ209&lt;&gt;"",N($AR209),IF(TRIM($J209&amp;"")="",0,SUMPRODUCT((입력_파견수련계획!$Q$4:$Q$803=TRIM($J209&amp;""))*(입력_파견수련계획!$S$4:$S$803="구리병원")*입력_파견수련계획!$W$4:$W$803))+IF($AG209="구리병원",MAX(0,DAY(EOMONTH(출력_요약!$B$3,0))-N($X209)),0)))</f>
        <v/>
      </c>
      <c r="AJ209" s="10">
        <f>IF(OR($B209="",TRIM($J209&amp;"")=""),"",IFERROR(MATCH(TRIM($J209&amp;"")&amp;"|월",입력_파견수련계획!$Z$4:$Z$803,0),""))</f>
        <v/>
      </c>
      <c r="AK209" s="10">
        <f>IF(OR($B209="",TRIM($J209&amp;"")=""),"",IFERROR(MATCH(TRIM($J209&amp;"")&amp;"|다기관",입력_파견수련계획!$AE$4:$AE$803,0),""))</f>
        <v/>
      </c>
      <c r="AL209" s="10">
        <f>IF($AK209="","","다기관 "&amp;TEXT(INDEX(입력_파견수련계획!$AB$4:$AB$803,$AK209),"yyyy-mm-dd")&amp;"~"&amp;IF(ISNUMBER(INDEX(입력_파견수련계획!$AC$4:$AC$803,$AK209)),TEXT(INDEX(입력_파견수련계획!$AC$4:$AC$803,$AK209),"yyyy-mm-dd"),""))</f>
        <v/>
      </c>
      <c r="AM209" s="10">
        <f>IF($Y209="서울병원",COUNTIF($Y$2:$Y209,"서울병원"),"")</f>
        <v/>
      </c>
      <c r="AN209" s="10">
        <f>IF(LEFT($Y209,1)="⚠",COUNTIF($Y$2:$Y209,"⚠*"),"")</f>
        <v/>
      </c>
      <c r="AO209" s="10">
        <f>IF(OR($B209="",$Y209=""),"",IF(IF(TRIM($J209&amp;"")="",0,SUMPRODUCT((입력_파견수련계획!$Q$4:$Q$803=TRIM($J209&amp;""))*입력_파견수련계획!$AD$4:$AD$803))&gt;0,"다기관 기간 → 소속병원 지급",IF(AND(N($X209)&lt;=0,$AQ209=""),"파견 없음 → 그 달 근무병원 지급",IF($AH209+$AI209=DAY(EOMONTH(출력_요약!$B$3,0)),"서울 "&amp;$AH209&amp;"일 / 구리 "&amp;$AI209&amp;"일"&amp;IF($AQ209&lt;&gt;""," (구리 근무자명단 반영)","")&amp;" → 15일 이상 근무 병원 지급","타 병원 포함 → "&amp;IF($AJ209="","소속",INDEX(입력_파견수련계획!$T$4:$T$803,$AJ209))&amp;" 규칙"))))</f>
        <v/>
      </c>
      <c r="AP209" s="10">
        <f>IF($B209="","",$C209&amp;"|"&amp;$F209)</f>
        <v/>
      </c>
      <c r="AQ209" s="10">
        <f>IF($B209="","",IFERROR(MATCH(ROW()-1,출력_구리근무자!$K$6:$K$305,0),""))</f>
        <v/>
      </c>
      <c r="AR209" s="10">
        <f>IF($AQ209="","",INDEX(출력_구리근무자!$H$6:$H$305,$AQ209))</f>
        <v/>
      </c>
    </row>
    <row r="210">
      <c r="A210" s="10">
        <f>IF(B210="","",ROW()-1)</f>
        <v/>
      </c>
      <c r="B210" s="19" t="n"/>
      <c r="C210" s="10">
        <f>IF($AB210="","",IF(INDEX(입력_기본자료!$C$2:$C$1001,$AB210)="","",INDEX(입력_기본자료!$C$2:$C$1001,$AB210)))</f>
        <v/>
      </c>
      <c r="D210" s="10">
        <f>IF($AB210="","",IF(INDEX(입력_기본자료!$J$2:$J$1001,$AB210)="","",INDEX(입력_기본자료!$J$2:$J$1001,$AB210)))</f>
        <v/>
      </c>
      <c r="E210" s="11">
        <f>IF($AB210="","",IF(INDEX(입력_기본자료!$K$2:$K$1001,$AB210)="","",IF(NOT(ISNUMBER(INDEX(입력_기본자료!$K$2:$K$1001,$AB210))),INDEX(입력_기본자료!$K$2:$K$1001,$AB210),IF(INDEX(입력_기본자료!$K$2:$K$1001,$AB210)&lt;1000000,INDEX(입력_기본자료!$K$2:$K$1001,$AB210),IF(AND(INDEX(입력_기본자료!$K$2:$K$1001,$AB210)&gt;=10000101,INT(MOD(INDEX(입력_기본자료!$K$2:$K$1001,$AB210),10000)/100)&gt;=1,INT(MOD(INDEX(입력_기본자료!$K$2:$K$1001,$AB210),10000)/100)&lt;=12,MOD(INDEX(입력_기본자료!$K$2:$K$1001,$AB210),100)&gt;=1,MOD(INDEX(입력_기본자료!$K$2:$K$1001,$AB210),100)&lt;=31),DATE(INT(INDEX(입력_기본자료!$K$2:$K$1001,$AB210)/10000),INT(MOD(INDEX(입력_기본자료!$K$2:$K$1001,$AB210),10000)/100),MOD(INDEX(입력_기본자료!$K$2:$K$1001,$AB210),100)),INDEX(입력_기본자료!$K$2:$K$1001,$AB210)&amp;"")))))</f>
        <v/>
      </c>
      <c r="F210" s="10">
        <f>IF($AB210="","",IF(INDEX(입력_기본자료!$D$2:$D$1001,$AB210)="","",INDEX(입력_기본자료!$D$2:$D$1001,$AB210)))</f>
        <v/>
      </c>
      <c r="G210" s="10">
        <f>IF($AB210="","",IF(INDEX(입력_기본자료!$E$2:$E$1001,$AB210)="","",INDEX(입력_기본자료!$E$2:$E$1001,$AB210)))</f>
        <v/>
      </c>
      <c r="H210" s="10">
        <f>IF($AB210="","",IF(INDEX(입력_기본자료!$F$2:$F$1001,$AB210)="","",INDEX(입력_기본자료!$F$2:$F$1001,$AB210)))</f>
        <v/>
      </c>
      <c r="I210" s="11">
        <f>IF($AB210="","",IF(INDEX(입력_기본자료!$G$2:$G$1001,$AB210)="","",IF(NOT(ISNUMBER(INDEX(입력_기본자료!$G$2:$G$1001,$AB210))),INDEX(입력_기본자료!$G$2:$G$1001,$AB210),IF(INDEX(입력_기본자료!$G$2:$G$1001,$AB210)&lt;1000000,INDEX(입력_기본자료!$G$2:$G$1001,$AB210),IF(AND(INDEX(입력_기본자료!$G$2:$G$1001,$AB210)&gt;=10000101,INT(MOD(INDEX(입력_기본자료!$G$2:$G$1001,$AB210),10000)/100)&gt;=1,INT(MOD(INDEX(입력_기본자료!$G$2:$G$1001,$AB210),10000)/100)&lt;=12,MOD(INDEX(입력_기본자료!$G$2:$G$1001,$AB210),100)&gt;=1,MOD(INDEX(입력_기본자료!$G$2:$G$1001,$AB210),100)&lt;=31),DATE(INT(INDEX(입력_기본자료!$G$2:$G$1001,$AB210)/10000),INT(MOD(INDEX(입력_기본자료!$G$2:$G$1001,$AB210),10000)/100),MOD(INDEX(입력_기본자료!$G$2:$G$1001,$AB210),100)),INDEX(입력_기본자료!$G$2:$G$1001,$AB210)&amp;"")))))</f>
        <v/>
      </c>
      <c r="J210" s="10">
        <f>IF($AB210="","",IF(INDEX(입력_기본자료!$H$2:$H$1001,$AB210)="","",INDEX(입력_기본자료!$H$2:$H$1001,$AB210)))</f>
        <v/>
      </c>
      <c r="K210" s="10">
        <f>IF($AB210="","",IF(INDEX(입력_기본자료!$I$2:$I$1001,$AB210)="","",INDEX(입력_기본자료!$I$2:$I$1001,$AB210)))</f>
        <v/>
      </c>
      <c r="L210" s="10">
        <f>IF($AB210="","",IF(INDEX(입력_기본자료!$A$2:$A$1001,$AB210)="","",INDEX(입력_기본자료!$A$2:$A$1001,$AB210)))</f>
        <v/>
      </c>
      <c r="M210" s="15" t="n"/>
      <c r="N210" s="10">
        <f>IF($B210="","",IF(AND($U210="파견중",$Q210&lt;&gt;""),$Q210,IF(AND($AD210&lt;&gt;"",LEFT($AD210,1)&lt;&gt;"⚠"),LEFT($AD210,FIND(" ",$AD210)-1),IF($H210="","",IF(RIGHT($H210,2)="병원",$H210,$H210&amp;"병원")))))</f>
        <v/>
      </c>
      <c r="O210" s="10">
        <f>IF($B210="","",IF(AND($U210="파견중",$Q210&lt;&gt;""),IF($R210&lt;&gt;"",$R210,"파견과 미입력"),IF(AND($AD210&lt;&gt;"",LEFT($AD210,1)&lt;&gt;"⚠"),MID($AD210,FIND(" ",$AD210)+1,60),IF($F210="","",IF($F210="인턴","수련교육부(인턴)",$F210)))))</f>
        <v/>
      </c>
      <c r="P210" s="10">
        <f>IF($B210="","",IF($AK210&lt;&gt;"",IF(AND(TODAY()&gt;=INDEX(입력_파견수련계획!$AB$4:$AB$803,$AK210),OR(NOT(ISNUMBER(INDEX(입력_파견수련계획!$AC$4:$AC$803,$AK210))),TODAY()&lt;=INDEX(입력_파견수련계획!$AC$4:$AC$803,$AK210))),"다기관",IF($AF210="","",INDEX(입력_파견수련계획!$T$4:$T$803,$AF210))),IF($AF210="","",INDEX(입력_파견수련계획!$T$4:$T$803,$AF210))))</f>
        <v/>
      </c>
      <c r="Q210" s="10">
        <f>IF($AF210="","",INDEX(입력_파견수련계획!$S$4:$S$803,$AF210))</f>
        <v/>
      </c>
      <c r="R210" s="10">
        <f>IF($AF210="","",INDEX(입력_파견수련계획!$U$4:$U$803,$AF210))</f>
        <v/>
      </c>
      <c r="S210" s="11">
        <f>IF($AF210="","",IF(INDEX(입력_파견수련계획!$H$4:$H$803,$AF210)="","",INDEX(입력_파견수련계획!$H$4:$H$803,$AF210)))</f>
        <v/>
      </c>
      <c r="T210" s="11">
        <f>IF($AF210="","",IF(INDEX(입력_파견수련계획!$I$4:$I$803,$AF210)="","",INDEX(입력_파견수련계획!$I$4:$I$803,$AF210)))</f>
        <v/>
      </c>
      <c r="U210" s="10">
        <f>IF($AF210="","",INDEX(입력_파견수련계획!$X$4:$X$803,$AF210))</f>
        <v/>
      </c>
      <c r="V210" s="17">
        <f>IF($AF210="","",INDEX(입력_파견수련계획!$V$4:$V$803,$AF210))</f>
        <v/>
      </c>
      <c r="W210" s="17">
        <f>IF(AND($U210="파견중",$T210&lt;&gt;""),$T210-TODAY(),"")</f>
        <v/>
      </c>
      <c r="X210" s="17">
        <f>IF(OR($B210="",TRIM($J210&amp;"")=""),"",SUMPRODUCT((입력_파견수련계획!$Q$4:$Q$803=TRIM($J210&amp;""))*입력_파견수련계획!$W$4:$W$803))</f>
        <v/>
      </c>
      <c r="Y210" s="10">
        <f>IF($B210="","",IF($AG210="","",IF(IF(TRIM($J210&amp;"")="",0,SUMPRODUCT((입력_파견수련계획!$Q$4:$Q$803=TRIM($J210&amp;""))*입력_파견수련계획!$AD$4:$AD$803))&gt;0,$AE210,IF(AND(N($X210)&lt;=0,$AQ210=""),$AG210,IF($AH210+$AI210=DAY(EOMONTH(출력_요약!$B$3,0)),IF(AND($AH210&gt;=출력_요약!$E$3,$AI210&lt;출력_요약!$E$3),"서울병원",IF(AND($AI210&gt;=출력_요약!$E$3,$AH210&lt;출력_요약!$E$3),"구리병원","⚠15일 판정불가(서울 "&amp;$AH210&amp;"일/구리 "&amp;$AI210&amp;"일)")),IF($AJ210="",$AE210,IF(INDEX(입력_파견수련계획!$T$4:$T$803,$AJ210)="통합수련",INDEX(입력_파견수련계획!$S$4:$S$803,$AJ210),$AE210)))))))</f>
        <v/>
      </c>
      <c r="Z210" s="20">
        <f>IF($B210="","",IF($AB210="","기본자료에 없는 사번",IF(COUNTIF($B$2:$B$401,$B210)&gt;1,"중복 사번",IF($AE210="","소속(입사장소) 입력",IF(IF(TRIM($J210&amp;"")="",0,SUMPRODUCT((입력_파견수련계획!$Q$4:$Q$803=TRIM($J210&amp;""))*(입력_파견수련계획!$AA$4:$AA$803&lt;&gt;"")))&gt;0,"파견수련계획 입력오류 확인",IF(LEFT($Y210,1)="⚠","서울·구리 15일 판정 불가(양쪽 모두 이상/미만)",IF(IF($AC210="",0,N(INDEX(입력_인턴근무계획!$T$3:$T$402,$AC210)))&gt;0,"인턴계획 입력오류 확인",IF(AND($AQ210&lt;&gt;"",$AG210&lt;&gt;"구리병원",IF(TRIM($J210&amp;"")="",0,SUMPRODUCT((입력_파견수련계획!$Q$4:$Q$803=TRIM($J210&amp;""))*(입력_파견수련계획!$S$4:$S$803="구리병원")*입력_파견수련계획!$W$4:$W$803))=0),"구리 근무자명단에만 있음(파견수련계획 확인)",IF(AND($AC210&lt;&gt;"",$U210&lt;&gt;"파견중",$N210&lt;&gt;$AE210),"인턴 타지역 근무: 파견 여부 확인","정상")))))))))</f>
        <v/>
      </c>
      <c r="AA210" s="5" t="n"/>
      <c r="AB210" s="10">
        <f>IF($B210="","",IFERROR(MATCH($B210,입력_기본자료!$B$2:$B$1001,0),IFERROR(MATCH($B210&amp;"",입력_기본자료!$B$2:$B$1001,0),IFERROR(MATCH(VALUE($B210),입력_기본자료!$B$2:$B$1001,0),""))))</f>
        <v/>
      </c>
      <c r="AC210" s="10">
        <f>IF($B210="","",IFERROR(MATCH($B210,입력_인턴근무계획!$D$3:$D$402,0),IFERROR(MATCH($B210&amp;"",입력_인턴근무계획!$D$3:$D$402,0),IFERROR(MATCH(VALUE($B210),입력_인턴근무계획!$D$3:$D$402,0),""))))</f>
        <v/>
      </c>
      <c r="AD210" s="10">
        <f>IF(OR($AC210="",출력_인턴현황!$G$3=""),"",INDEX(입력_인턴근무계획!$M$3:$R$402,$AC210,출력_인턴현황!$G$3)&amp;"")</f>
        <v/>
      </c>
      <c r="AE210" s="10">
        <f>IF($B210="","",IF($M210&lt;&gt;"",$M210,IF(IF($AQ210="",FALSE,INDEX(출력_구리근무자!$J$6:$J$305,$AQ210)="구리독자"),"구리병원",IF($AF210&lt;&gt;"",IF(LEFT(INDEX(입력_파견수련계획!$R$4:$R$803,$AF210),1)&lt;&gt;"⚠",INDEX(입력_파견수련계획!$R$4:$R$803,$AF210),IF($H210="","",IF(RIGHT($H210,2)="병원",$H210,$H210&amp;"병원"))),IF($H210="","",IF(RIGHT($H210,2)="병원",$H210,$H210&amp;"병원"))))))</f>
        <v/>
      </c>
      <c r="AF210" s="10">
        <f>IF(OR($B210="",TRIM($J210&amp;"")=""),"",IFERROR(MATCH(TRIM($J210&amp;"")&amp;"|파견중",입력_파견수련계획!$Y$4:$Y$803,0),IFERROR(MATCH(TRIM($J210&amp;"")&amp;"|파견예정",입력_파견수련계획!$Y$4:$Y$803,0),IFERROR(MATCH(TRIM($J210&amp;"")&amp;"|파견종료",입력_파견수련계획!$Y$4:$Y$803,0),""))))</f>
        <v/>
      </c>
      <c r="AG210" s="10">
        <f>IF($B210="","",IF(AND(IF(OR($AC210="",출력_인턴현황!$K$2=""),"",INDEX(입력_인턴근무계획!$M$3:$R$402,$AC210,출력_인턴현황!$K$2)&amp;"")&lt;&gt;"",LEFT(IF(OR($AC210="",출력_인턴현황!$K$2=""),"",INDEX(입력_인턴근무계획!$M$3:$R$402,$AC210,출력_인턴현황!$K$2)&amp;""),1)&lt;&gt;"⚠"),LEFT(IF(OR($AC210="",출력_인턴현황!$K$2=""),"",INDEX(입력_인턴근무계획!$M$3:$R$402,$AC210,출력_인턴현황!$K$2)&amp;""),FIND(" ",IF(OR($AC210="",출력_인턴현황!$K$2=""),"",INDEX(입력_인턴근무계획!$M$3:$R$402,$AC210,출력_인턴현황!$K$2)&amp;""))-1),$AE210))</f>
        <v/>
      </c>
      <c r="AH210" s="17">
        <f>IF($B210="","",IF($AQ210&lt;&gt;"",MAX(0,DAY(EOMONTH(출력_요약!$B$3,0))-N($AR210)),IF(TRIM($J210&amp;"")="",0,SUMPRODUCT((입력_파견수련계획!$Q$4:$Q$803=TRIM($J210&amp;""))*(입력_파견수련계획!$S$4:$S$803="서울병원")*입력_파견수련계획!$W$4:$W$803))+IF($AG210="서울병원",MAX(0,DAY(EOMONTH(출력_요약!$B$3,0))-N($X210)),0)))</f>
        <v/>
      </c>
      <c r="AI210" s="17">
        <f>IF($B210="","",IF($AQ210&lt;&gt;"",N($AR210),IF(TRIM($J210&amp;"")="",0,SUMPRODUCT((입력_파견수련계획!$Q$4:$Q$803=TRIM($J210&amp;""))*(입력_파견수련계획!$S$4:$S$803="구리병원")*입력_파견수련계획!$W$4:$W$803))+IF($AG210="구리병원",MAX(0,DAY(EOMONTH(출력_요약!$B$3,0))-N($X210)),0)))</f>
        <v/>
      </c>
      <c r="AJ210" s="10">
        <f>IF(OR($B210="",TRIM($J210&amp;"")=""),"",IFERROR(MATCH(TRIM($J210&amp;"")&amp;"|월",입력_파견수련계획!$Z$4:$Z$803,0),""))</f>
        <v/>
      </c>
      <c r="AK210" s="10">
        <f>IF(OR($B210="",TRIM($J210&amp;"")=""),"",IFERROR(MATCH(TRIM($J210&amp;"")&amp;"|다기관",입력_파견수련계획!$AE$4:$AE$803,0),""))</f>
        <v/>
      </c>
      <c r="AL210" s="10">
        <f>IF($AK210="","","다기관 "&amp;TEXT(INDEX(입력_파견수련계획!$AB$4:$AB$803,$AK210),"yyyy-mm-dd")&amp;"~"&amp;IF(ISNUMBER(INDEX(입력_파견수련계획!$AC$4:$AC$803,$AK210)),TEXT(INDEX(입력_파견수련계획!$AC$4:$AC$803,$AK210),"yyyy-mm-dd"),""))</f>
        <v/>
      </c>
      <c r="AM210" s="10">
        <f>IF($Y210="서울병원",COUNTIF($Y$2:$Y210,"서울병원"),"")</f>
        <v/>
      </c>
      <c r="AN210" s="10">
        <f>IF(LEFT($Y210,1)="⚠",COUNTIF($Y$2:$Y210,"⚠*"),"")</f>
        <v/>
      </c>
      <c r="AO210" s="10">
        <f>IF(OR($B210="",$Y210=""),"",IF(IF(TRIM($J210&amp;"")="",0,SUMPRODUCT((입력_파견수련계획!$Q$4:$Q$803=TRIM($J210&amp;""))*입력_파견수련계획!$AD$4:$AD$803))&gt;0,"다기관 기간 → 소속병원 지급",IF(AND(N($X210)&lt;=0,$AQ210=""),"파견 없음 → 그 달 근무병원 지급",IF($AH210+$AI210=DAY(EOMONTH(출력_요약!$B$3,0)),"서울 "&amp;$AH210&amp;"일 / 구리 "&amp;$AI210&amp;"일"&amp;IF($AQ210&lt;&gt;""," (구리 근무자명단 반영)","")&amp;" → 15일 이상 근무 병원 지급","타 병원 포함 → "&amp;IF($AJ210="","소속",INDEX(입력_파견수련계획!$T$4:$T$803,$AJ210))&amp;" 규칙"))))</f>
        <v/>
      </c>
      <c r="AP210" s="10">
        <f>IF($B210="","",$C210&amp;"|"&amp;$F210)</f>
        <v/>
      </c>
      <c r="AQ210" s="10">
        <f>IF($B210="","",IFERROR(MATCH(ROW()-1,출력_구리근무자!$K$6:$K$305,0),""))</f>
        <v/>
      </c>
      <c r="AR210" s="10">
        <f>IF($AQ210="","",INDEX(출력_구리근무자!$H$6:$H$305,$AQ210))</f>
        <v/>
      </c>
    </row>
    <row r="211">
      <c r="A211" s="10">
        <f>IF(B211="","",ROW()-1)</f>
        <v/>
      </c>
      <c r="B211" s="19" t="n"/>
      <c r="C211" s="10">
        <f>IF($AB211="","",IF(INDEX(입력_기본자료!$C$2:$C$1001,$AB211)="","",INDEX(입력_기본자료!$C$2:$C$1001,$AB211)))</f>
        <v/>
      </c>
      <c r="D211" s="10">
        <f>IF($AB211="","",IF(INDEX(입력_기본자료!$J$2:$J$1001,$AB211)="","",INDEX(입력_기본자료!$J$2:$J$1001,$AB211)))</f>
        <v/>
      </c>
      <c r="E211" s="11">
        <f>IF($AB211="","",IF(INDEX(입력_기본자료!$K$2:$K$1001,$AB211)="","",IF(NOT(ISNUMBER(INDEX(입력_기본자료!$K$2:$K$1001,$AB211))),INDEX(입력_기본자료!$K$2:$K$1001,$AB211),IF(INDEX(입력_기본자료!$K$2:$K$1001,$AB211)&lt;1000000,INDEX(입력_기본자료!$K$2:$K$1001,$AB211),IF(AND(INDEX(입력_기본자료!$K$2:$K$1001,$AB211)&gt;=10000101,INT(MOD(INDEX(입력_기본자료!$K$2:$K$1001,$AB211),10000)/100)&gt;=1,INT(MOD(INDEX(입력_기본자료!$K$2:$K$1001,$AB211),10000)/100)&lt;=12,MOD(INDEX(입력_기본자료!$K$2:$K$1001,$AB211),100)&gt;=1,MOD(INDEX(입력_기본자료!$K$2:$K$1001,$AB211),100)&lt;=31),DATE(INT(INDEX(입력_기본자료!$K$2:$K$1001,$AB211)/10000),INT(MOD(INDEX(입력_기본자료!$K$2:$K$1001,$AB211),10000)/100),MOD(INDEX(입력_기본자료!$K$2:$K$1001,$AB211),100)),INDEX(입력_기본자료!$K$2:$K$1001,$AB211)&amp;"")))))</f>
        <v/>
      </c>
      <c r="F211" s="10">
        <f>IF($AB211="","",IF(INDEX(입력_기본자료!$D$2:$D$1001,$AB211)="","",INDEX(입력_기본자료!$D$2:$D$1001,$AB211)))</f>
        <v/>
      </c>
      <c r="G211" s="10">
        <f>IF($AB211="","",IF(INDEX(입력_기본자료!$E$2:$E$1001,$AB211)="","",INDEX(입력_기본자료!$E$2:$E$1001,$AB211)))</f>
        <v/>
      </c>
      <c r="H211" s="10">
        <f>IF($AB211="","",IF(INDEX(입력_기본자료!$F$2:$F$1001,$AB211)="","",INDEX(입력_기본자료!$F$2:$F$1001,$AB211)))</f>
        <v/>
      </c>
      <c r="I211" s="11">
        <f>IF($AB211="","",IF(INDEX(입력_기본자료!$G$2:$G$1001,$AB211)="","",IF(NOT(ISNUMBER(INDEX(입력_기본자료!$G$2:$G$1001,$AB211))),INDEX(입력_기본자료!$G$2:$G$1001,$AB211),IF(INDEX(입력_기본자료!$G$2:$G$1001,$AB211)&lt;1000000,INDEX(입력_기본자료!$G$2:$G$1001,$AB211),IF(AND(INDEX(입력_기본자료!$G$2:$G$1001,$AB211)&gt;=10000101,INT(MOD(INDEX(입력_기본자료!$G$2:$G$1001,$AB211),10000)/100)&gt;=1,INT(MOD(INDEX(입력_기본자료!$G$2:$G$1001,$AB211),10000)/100)&lt;=12,MOD(INDEX(입력_기본자료!$G$2:$G$1001,$AB211),100)&gt;=1,MOD(INDEX(입력_기본자료!$G$2:$G$1001,$AB211),100)&lt;=31),DATE(INT(INDEX(입력_기본자료!$G$2:$G$1001,$AB211)/10000),INT(MOD(INDEX(입력_기본자료!$G$2:$G$1001,$AB211),10000)/100),MOD(INDEX(입력_기본자료!$G$2:$G$1001,$AB211),100)),INDEX(입력_기본자료!$G$2:$G$1001,$AB211)&amp;"")))))</f>
        <v/>
      </c>
      <c r="J211" s="10">
        <f>IF($AB211="","",IF(INDEX(입력_기본자료!$H$2:$H$1001,$AB211)="","",INDEX(입력_기본자료!$H$2:$H$1001,$AB211)))</f>
        <v/>
      </c>
      <c r="K211" s="10">
        <f>IF($AB211="","",IF(INDEX(입력_기본자료!$I$2:$I$1001,$AB211)="","",INDEX(입력_기본자료!$I$2:$I$1001,$AB211)))</f>
        <v/>
      </c>
      <c r="L211" s="10">
        <f>IF($AB211="","",IF(INDEX(입력_기본자료!$A$2:$A$1001,$AB211)="","",INDEX(입력_기본자료!$A$2:$A$1001,$AB211)))</f>
        <v/>
      </c>
      <c r="M211" s="15" t="n"/>
      <c r="N211" s="10">
        <f>IF($B211="","",IF(AND($U211="파견중",$Q211&lt;&gt;""),$Q211,IF(AND($AD211&lt;&gt;"",LEFT($AD211,1)&lt;&gt;"⚠"),LEFT($AD211,FIND(" ",$AD211)-1),IF($H211="","",IF(RIGHT($H211,2)="병원",$H211,$H211&amp;"병원")))))</f>
        <v/>
      </c>
      <c r="O211" s="10">
        <f>IF($B211="","",IF(AND($U211="파견중",$Q211&lt;&gt;""),IF($R211&lt;&gt;"",$R211,"파견과 미입력"),IF(AND($AD211&lt;&gt;"",LEFT($AD211,1)&lt;&gt;"⚠"),MID($AD211,FIND(" ",$AD211)+1,60),IF($F211="","",IF($F211="인턴","수련교육부(인턴)",$F211)))))</f>
        <v/>
      </c>
      <c r="P211" s="10">
        <f>IF($B211="","",IF($AK211&lt;&gt;"",IF(AND(TODAY()&gt;=INDEX(입력_파견수련계획!$AB$4:$AB$803,$AK211),OR(NOT(ISNUMBER(INDEX(입력_파견수련계획!$AC$4:$AC$803,$AK211))),TODAY()&lt;=INDEX(입력_파견수련계획!$AC$4:$AC$803,$AK211))),"다기관",IF($AF211="","",INDEX(입력_파견수련계획!$T$4:$T$803,$AF211))),IF($AF211="","",INDEX(입력_파견수련계획!$T$4:$T$803,$AF211))))</f>
        <v/>
      </c>
      <c r="Q211" s="10">
        <f>IF($AF211="","",INDEX(입력_파견수련계획!$S$4:$S$803,$AF211))</f>
        <v/>
      </c>
      <c r="R211" s="10">
        <f>IF($AF211="","",INDEX(입력_파견수련계획!$U$4:$U$803,$AF211))</f>
        <v/>
      </c>
      <c r="S211" s="11">
        <f>IF($AF211="","",IF(INDEX(입력_파견수련계획!$H$4:$H$803,$AF211)="","",INDEX(입력_파견수련계획!$H$4:$H$803,$AF211)))</f>
        <v/>
      </c>
      <c r="T211" s="11">
        <f>IF($AF211="","",IF(INDEX(입력_파견수련계획!$I$4:$I$803,$AF211)="","",INDEX(입력_파견수련계획!$I$4:$I$803,$AF211)))</f>
        <v/>
      </c>
      <c r="U211" s="10">
        <f>IF($AF211="","",INDEX(입력_파견수련계획!$X$4:$X$803,$AF211))</f>
        <v/>
      </c>
      <c r="V211" s="17">
        <f>IF($AF211="","",INDEX(입력_파견수련계획!$V$4:$V$803,$AF211))</f>
        <v/>
      </c>
      <c r="W211" s="17">
        <f>IF(AND($U211="파견중",$T211&lt;&gt;""),$T211-TODAY(),"")</f>
        <v/>
      </c>
      <c r="X211" s="17">
        <f>IF(OR($B211="",TRIM($J211&amp;"")=""),"",SUMPRODUCT((입력_파견수련계획!$Q$4:$Q$803=TRIM($J211&amp;""))*입력_파견수련계획!$W$4:$W$803))</f>
        <v/>
      </c>
      <c r="Y211" s="10">
        <f>IF($B211="","",IF($AG211="","",IF(IF(TRIM($J211&amp;"")="",0,SUMPRODUCT((입력_파견수련계획!$Q$4:$Q$803=TRIM($J211&amp;""))*입력_파견수련계획!$AD$4:$AD$803))&gt;0,$AE211,IF(AND(N($X211)&lt;=0,$AQ211=""),$AG211,IF($AH211+$AI211=DAY(EOMONTH(출력_요약!$B$3,0)),IF(AND($AH211&gt;=출력_요약!$E$3,$AI211&lt;출력_요약!$E$3),"서울병원",IF(AND($AI211&gt;=출력_요약!$E$3,$AH211&lt;출력_요약!$E$3),"구리병원","⚠15일 판정불가(서울 "&amp;$AH211&amp;"일/구리 "&amp;$AI211&amp;"일)")),IF($AJ211="",$AE211,IF(INDEX(입력_파견수련계획!$T$4:$T$803,$AJ211)="통합수련",INDEX(입력_파견수련계획!$S$4:$S$803,$AJ211),$AE211)))))))</f>
        <v/>
      </c>
      <c r="Z211" s="20">
        <f>IF($B211="","",IF($AB211="","기본자료에 없는 사번",IF(COUNTIF($B$2:$B$401,$B211)&gt;1,"중복 사번",IF($AE211="","소속(입사장소) 입력",IF(IF(TRIM($J211&amp;"")="",0,SUMPRODUCT((입력_파견수련계획!$Q$4:$Q$803=TRIM($J211&amp;""))*(입력_파견수련계획!$AA$4:$AA$803&lt;&gt;"")))&gt;0,"파견수련계획 입력오류 확인",IF(LEFT($Y211,1)="⚠","서울·구리 15일 판정 불가(양쪽 모두 이상/미만)",IF(IF($AC211="",0,N(INDEX(입력_인턴근무계획!$T$3:$T$402,$AC211)))&gt;0,"인턴계획 입력오류 확인",IF(AND($AQ211&lt;&gt;"",$AG211&lt;&gt;"구리병원",IF(TRIM($J211&amp;"")="",0,SUMPRODUCT((입력_파견수련계획!$Q$4:$Q$803=TRIM($J211&amp;""))*(입력_파견수련계획!$S$4:$S$803="구리병원")*입력_파견수련계획!$W$4:$W$803))=0),"구리 근무자명단에만 있음(파견수련계획 확인)",IF(AND($AC211&lt;&gt;"",$U211&lt;&gt;"파견중",$N211&lt;&gt;$AE211),"인턴 타지역 근무: 파견 여부 확인","정상")))))))))</f>
        <v/>
      </c>
      <c r="AA211" s="5" t="n"/>
      <c r="AB211" s="10">
        <f>IF($B211="","",IFERROR(MATCH($B211,입력_기본자료!$B$2:$B$1001,0),IFERROR(MATCH($B211&amp;"",입력_기본자료!$B$2:$B$1001,0),IFERROR(MATCH(VALUE($B211),입력_기본자료!$B$2:$B$1001,0),""))))</f>
        <v/>
      </c>
      <c r="AC211" s="10">
        <f>IF($B211="","",IFERROR(MATCH($B211,입력_인턴근무계획!$D$3:$D$402,0),IFERROR(MATCH($B211&amp;"",입력_인턴근무계획!$D$3:$D$402,0),IFERROR(MATCH(VALUE($B211),입력_인턴근무계획!$D$3:$D$402,0),""))))</f>
        <v/>
      </c>
      <c r="AD211" s="10">
        <f>IF(OR($AC211="",출력_인턴현황!$G$3=""),"",INDEX(입력_인턴근무계획!$M$3:$R$402,$AC211,출력_인턴현황!$G$3)&amp;"")</f>
        <v/>
      </c>
      <c r="AE211" s="10">
        <f>IF($B211="","",IF($M211&lt;&gt;"",$M211,IF(IF($AQ211="",FALSE,INDEX(출력_구리근무자!$J$6:$J$305,$AQ211)="구리독자"),"구리병원",IF($AF211&lt;&gt;"",IF(LEFT(INDEX(입력_파견수련계획!$R$4:$R$803,$AF211),1)&lt;&gt;"⚠",INDEX(입력_파견수련계획!$R$4:$R$803,$AF211),IF($H211="","",IF(RIGHT($H211,2)="병원",$H211,$H211&amp;"병원"))),IF($H211="","",IF(RIGHT($H211,2)="병원",$H211,$H211&amp;"병원"))))))</f>
        <v/>
      </c>
      <c r="AF211" s="10">
        <f>IF(OR($B211="",TRIM($J211&amp;"")=""),"",IFERROR(MATCH(TRIM($J211&amp;"")&amp;"|파견중",입력_파견수련계획!$Y$4:$Y$803,0),IFERROR(MATCH(TRIM($J211&amp;"")&amp;"|파견예정",입력_파견수련계획!$Y$4:$Y$803,0),IFERROR(MATCH(TRIM($J211&amp;"")&amp;"|파견종료",입력_파견수련계획!$Y$4:$Y$803,0),""))))</f>
        <v/>
      </c>
      <c r="AG211" s="10">
        <f>IF($B211="","",IF(AND(IF(OR($AC211="",출력_인턴현황!$K$2=""),"",INDEX(입력_인턴근무계획!$M$3:$R$402,$AC211,출력_인턴현황!$K$2)&amp;"")&lt;&gt;"",LEFT(IF(OR($AC211="",출력_인턴현황!$K$2=""),"",INDEX(입력_인턴근무계획!$M$3:$R$402,$AC211,출력_인턴현황!$K$2)&amp;""),1)&lt;&gt;"⚠"),LEFT(IF(OR($AC211="",출력_인턴현황!$K$2=""),"",INDEX(입력_인턴근무계획!$M$3:$R$402,$AC211,출력_인턴현황!$K$2)&amp;""),FIND(" ",IF(OR($AC211="",출력_인턴현황!$K$2=""),"",INDEX(입력_인턴근무계획!$M$3:$R$402,$AC211,출력_인턴현황!$K$2)&amp;""))-1),$AE211))</f>
        <v/>
      </c>
      <c r="AH211" s="17">
        <f>IF($B211="","",IF($AQ211&lt;&gt;"",MAX(0,DAY(EOMONTH(출력_요약!$B$3,0))-N($AR211)),IF(TRIM($J211&amp;"")="",0,SUMPRODUCT((입력_파견수련계획!$Q$4:$Q$803=TRIM($J211&amp;""))*(입력_파견수련계획!$S$4:$S$803="서울병원")*입력_파견수련계획!$W$4:$W$803))+IF($AG211="서울병원",MAX(0,DAY(EOMONTH(출력_요약!$B$3,0))-N($X211)),0)))</f>
        <v/>
      </c>
      <c r="AI211" s="17">
        <f>IF($B211="","",IF($AQ211&lt;&gt;"",N($AR211),IF(TRIM($J211&amp;"")="",0,SUMPRODUCT((입력_파견수련계획!$Q$4:$Q$803=TRIM($J211&amp;""))*(입력_파견수련계획!$S$4:$S$803="구리병원")*입력_파견수련계획!$W$4:$W$803))+IF($AG211="구리병원",MAX(0,DAY(EOMONTH(출력_요약!$B$3,0))-N($X211)),0)))</f>
        <v/>
      </c>
      <c r="AJ211" s="10">
        <f>IF(OR($B211="",TRIM($J211&amp;"")=""),"",IFERROR(MATCH(TRIM($J211&amp;"")&amp;"|월",입력_파견수련계획!$Z$4:$Z$803,0),""))</f>
        <v/>
      </c>
      <c r="AK211" s="10">
        <f>IF(OR($B211="",TRIM($J211&amp;"")=""),"",IFERROR(MATCH(TRIM($J211&amp;"")&amp;"|다기관",입력_파견수련계획!$AE$4:$AE$803,0),""))</f>
        <v/>
      </c>
      <c r="AL211" s="10">
        <f>IF($AK211="","","다기관 "&amp;TEXT(INDEX(입력_파견수련계획!$AB$4:$AB$803,$AK211),"yyyy-mm-dd")&amp;"~"&amp;IF(ISNUMBER(INDEX(입력_파견수련계획!$AC$4:$AC$803,$AK211)),TEXT(INDEX(입력_파견수련계획!$AC$4:$AC$803,$AK211),"yyyy-mm-dd"),""))</f>
        <v/>
      </c>
      <c r="AM211" s="10">
        <f>IF($Y211="서울병원",COUNTIF($Y$2:$Y211,"서울병원"),"")</f>
        <v/>
      </c>
      <c r="AN211" s="10">
        <f>IF(LEFT($Y211,1)="⚠",COUNTIF($Y$2:$Y211,"⚠*"),"")</f>
        <v/>
      </c>
      <c r="AO211" s="10">
        <f>IF(OR($B211="",$Y211=""),"",IF(IF(TRIM($J211&amp;"")="",0,SUMPRODUCT((입력_파견수련계획!$Q$4:$Q$803=TRIM($J211&amp;""))*입력_파견수련계획!$AD$4:$AD$803))&gt;0,"다기관 기간 → 소속병원 지급",IF(AND(N($X211)&lt;=0,$AQ211=""),"파견 없음 → 그 달 근무병원 지급",IF($AH211+$AI211=DAY(EOMONTH(출력_요약!$B$3,0)),"서울 "&amp;$AH211&amp;"일 / 구리 "&amp;$AI211&amp;"일"&amp;IF($AQ211&lt;&gt;""," (구리 근무자명단 반영)","")&amp;" → 15일 이상 근무 병원 지급","타 병원 포함 → "&amp;IF($AJ211="","소속",INDEX(입력_파견수련계획!$T$4:$T$803,$AJ211))&amp;" 규칙"))))</f>
        <v/>
      </c>
      <c r="AP211" s="10">
        <f>IF($B211="","",$C211&amp;"|"&amp;$F211)</f>
        <v/>
      </c>
      <c r="AQ211" s="10">
        <f>IF($B211="","",IFERROR(MATCH(ROW()-1,출력_구리근무자!$K$6:$K$305,0),""))</f>
        <v/>
      </c>
      <c r="AR211" s="10">
        <f>IF($AQ211="","",INDEX(출력_구리근무자!$H$6:$H$305,$AQ211))</f>
        <v/>
      </c>
    </row>
    <row r="212">
      <c r="A212" s="10">
        <f>IF(B212="","",ROW()-1)</f>
        <v/>
      </c>
      <c r="B212" s="19" t="n"/>
      <c r="C212" s="10">
        <f>IF($AB212="","",IF(INDEX(입력_기본자료!$C$2:$C$1001,$AB212)="","",INDEX(입력_기본자료!$C$2:$C$1001,$AB212)))</f>
        <v/>
      </c>
      <c r="D212" s="10">
        <f>IF($AB212="","",IF(INDEX(입력_기본자료!$J$2:$J$1001,$AB212)="","",INDEX(입력_기본자료!$J$2:$J$1001,$AB212)))</f>
        <v/>
      </c>
      <c r="E212" s="11">
        <f>IF($AB212="","",IF(INDEX(입력_기본자료!$K$2:$K$1001,$AB212)="","",IF(NOT(ISNUMBER(INDEX(입력_기본자료!$K$2:$K$1001,$AB212))),INDEX(입력_기본자료!$K$2:$K$1001,$AB212),IF(INDEX(입력_기본자료!$K$2:$K$1001,$AB212)&lt;1000000,INDEX(입력_기본자료!$K$2:$K$1001,$AB212),IF(AND(INDEX(입력_기본자료!$K$2:$K$1001,$AB212)&gt;=10000101,INT(MOD(INDEX(입력_기본자료!$K$2:$K$1001,$AB212),10000)/100)&gt;=1,INT(MOD(INDEX(입력_기본자료!$K$2:$K$1001,$AB212),10000)/100)&lt;=12,MOD(INDEX(입력_기본자료!$K$2:$K$1001,$AB212),100)&gt;=1,MOD(INDEX(입력_기본자료!$K$2:$K$1001,$AB212),100)&lt;=31),DATE(INT(INDEX(입력_기본자료!$K$2:$K$1001,$AB212)/10000),INT(MOD(INDEX(입력_기본자료!$K$2:$K$1001,$AB212),10000)/100),MOD(INDEX(입력_기본자료!$K$2:$K$1001,$AB212),100)),INDEX(입력_기본자료!$K$2:$K$1001,$AB212)&amp;"")))))</f>
        <v/>
      </c>
      <c r="F212" s="10">
        <f>IF($AB212="","",IF(INDEX(입력_기본자료!$D$2:$D$1001,$AB212)="","",INDEX(입력_기본자료!$D$2:$D$1001,$AB212)))</f>
        <v/>
      </c>
      <c r="G212" s="10">
        <f>IF($AB212="","",IF(INDEX(입력_기본자료!$E$2:$E$1001,$AB212)="","",INDEX(입력_기본자료!$E$2:$E$1001,$AB212)))</f>
        <v/>
      </c>
      <c r="H212" s="10">
        <f>IF($AB212="","",IF(INDEX(입력_기본자료!$F$2:$F$1001,$AB212)="","",INDEX(입력_기본자료!$F$2:$F$1001,$AB212)))</f>
        <v/>
      </c>
      <c r="I212" s="11">
        <f>IF($AB212="","",IF(INDEX(입력_기본자료!$G$2:$G$1001,$AB212)="","",IF(NOT(ISNUMBER(INDEX(입력_기본자료!$G$2:$G$1001,$AB212))),INDEX(입력_기본자료!$G$2:$G$1001,$AB212),IF(INDEX(입력_기본자료!$G$2:$G$1001,$AB212)&lt;1000000,INDEX(입력_기본자료!$G$2:$G$1001,$AB212),IF(AND(INDEX(입력_기본자료!$G$2:$G$1001,$AB212)&gt;=10000101,INT(MOD(INDEX(입력_기본자료!$G$2:$G$1001,$AB212),10000)/100)&gt;=1,INT(MOD(INDEX(입력_기본자료!$G$2:$G$1001,$AB212),10000)/100)&lt;=12,MOD(INDEX(입력_기본자료!$G$2:$G$1001,$AB212),100)&gt;=1,MOD(INDEX(입력_기본자료!$G$2:$G$1001,$AB212),100)&lt;=31),DATE(INT(INDEX(입력_기본자료!$G$2:$G$1001,$AB212)/10000),INT(MOD(INDEX(입력_기본자료!$G$2:$G$1001,$AB212),10000)/100),MOD(INDEX(입력_기본자료!$G$2:$G$1001,$AB212),100)),INDEX(입력_기본자료!$G$2:$G$1001,$AB212)&amp;"")))))</f>
        <v/>
      </c>
      <c r="J212" s="10">
        <f>IF($AB212="","",IF(INDEX(입력_기본자료!$H$2:$H$1001,$AB212)="","",INDEX(입력_기본자료!$H$2:$H$1001,$AB212)))</f>
        <v/>
      </c>
      <c r="K212" s="10">
        <f>IF($AB212="","",IF(INDEX(입력_기본자료!$I$2:$I$1001,$AB212)="","",INDEX(입력_기본자료!$I$2:$I$1001,$AB212)))</f>
        <v/>
      </c>
      <c r="L212" s="10">
        <f>IF($AB212="","",IF(INDEX(입력_기본자료!$A$2:$A$1001,$AB212)="","",INDEX(입력_기본자료!$A$2:$A$1001,$AB212)))</f>
        <v/>
      </c>
      <c r="M212" s="15" t="n"/>
      <c r="N212" s="10">
        <f>IF($B212="","",IF(AND($U212="파견중",$Q212&lt;&gt;""),$Q212,IF(AND($AD212&lt;&gt;"",LEFT($AD212,1)&lt;&gt;"⚠"),LEFT($AD212,FIND(" ",$AD212)-1),IF($H212="","",IF(RIGHT($H212,2)="병원",$H212,$H212&amp;"병원")))))</f>
        <v/>
      </c>
      <c r="O212" s="10">
        <f>IF($B212="","",IF(AND($U212="파견중",$Q212&lt;&gt;""),IF($R212&lt;&gt;"",$R212,"파견과 미입력"),IF(AND($AD212&lt;&gt;"",LEFT($AD212,1)&lt;&gt;"⚠"),MID($AD212,FIND(" ",$AD212)+1,60),IF($F212="","",IF($F212="인턴","수련교육부(인턴)",$F212)))))</f>
        <v/>
      </c>
      <c r="P212" s="10">
        <f>IF($B212="","",IF($AK212&lt;&gt;"",IF(AND(TODAY()&gt;=INDEX(입력_파견수련계획!$AB$4:$AB$803,$AK212),OR(NOT(ISNUMBER(INDEX(입력_파견수련계획!$AC$4:$AC$803,$AK212))),TODAY()&lt;=INDEX(입력_파견수련계획!$AC$4:$AC$803,$AK212))),"다기관",IF($AF212="","",INDEX(입력_파견수련계획!$T$4:$T$803,$AF212))),IF($AF212="","",INDEX(입력_파견수련계획!$T$4:$T$803,$AF212))))</f>
        <v/>
      </c>
      <c r="Q212" s="10">
        <f>IF($AF212="","",INDEX(입력_파견수련계획!$S$4:$S$803,$AF212))</f>
        <v/>
      </c>
      <c r="R212" s="10">
        <f>IF($AF212="","",INDEX(입력_파견수련계획!$U$4:$U$803,$AF212))</f>
        <v/>
      </c>
      <c r="S212" s="11">
        <f>IF($AF212="","",IF(INDEX(입력_파견수련계획!$H$4:$H$803,$AF212)="","",INDEX(입력_파견수련계획!$H$4:$H$803,$AF212)))</f>
        <v/>
      </c>
      <c r="T212" s="11">
        <f>IF($AF212="","",IF(INDEX(입력_파견수련계획!$I$4:$I$803,$AF212)="","",INDEX(입력_파견수련계획!$I$4:$I$803,$AF212)))</f>
        <v/>
      </c>
      <c r="U212" s="10">
        <f>IF($AF212="","",INDEX(입력_파견수련계획!$X$4:$X$803,$AF212))</f>
        <v/>
      </c>
      <c r="V212" s="17">
        <f>IF($AF212="","",INDEX(입력_파견수련계획!$V$4:$V$803,$AF212))</f>
        <v/>
      </c>
      <c r="W212" s="17">
        <f>IF(AND($U212="파견중",$T212&lt;&gt;""),$T212-TODAY(),"")</f>
        <v/>
      </c>
      <c r="X212" s="17">
        <f>IF(OR($B212="",TRIM($J212&amp;"")=""),"",SUMPRODUCT((입력_파견수련계획!$Q$4:$Q$803=TRIM($J212&amp;""))*입력_파견수련계획!$W$4:$W$803))</f>
        <v/>
      </c>
      <c r="Y212" s="10">
        <f>IF($B212="","",IF($AG212="","",IF(IF(TRIM($J212&amp;"")="",0,SUMPRODUCT((입력_파견수련계획!$Q$4:$Q$803=TRIM($J212&amp;""))*입력_파견수련계획!$AD$4:$AD$803))&gt;0,$AE212,IF(AND(N($X212)&lt;=0,$AQ212=""),$AG212,IF($AH212+$AI212=DAY(EOMONTH(출력_요약!$B$3,0)),IF(AND($AH212&gt;=출력_요약!$E$3,$AI212&lt;출력_요약!$E$3),"서울병원",IF(AND($AI212&gt;=출력_요약!$E$3,$AH212&lt;출력_요약!$E$3),"구리병원","⚠15일 판정불가(서울 "&amp;$AH212&amp;"일/구리 "&amp;$AI212&amp;"일)")),IF($AJ212="",$AE212,IF(INDEX(입력_파견수련계획!$T$4:$T$803,$AJ212)="통합수련",INDEX(입력_파견수련계획!$S$4:$S$803,$AJ212),$AE212)))))))</f>
        <v/>
      </c>
      <c r="Z212" s="20">
        <f>IF($B212="","",IF($AB212="","기본자료에 없는 사번",IF(COUNTIF($B$2:$B$401,$B212)&gt;1,"중복 사번",IF($AE212="","소속(입사장소) 입력",IF(IF(TRIM($J212&amp;"")="",0,SUMPRODUCT((입력_파견수련계획!$Q$4:$Q$803=TRIM($J212&amp;""))*(입력_파견수련계획!$AA$4:$AA$803&lt;&gt;"")))&gt;0,"파견수련계획 입력오류 확인",IF(LEFT($Y212,1)="⚠","서울·구리 15일 판정 불가(양쪽 모두 이상/미만)",IF(IF($AC212="",0,N(INDEX(입력_인턴근무계획!$T$3:$T$402,$AC212)))&gt;0,"인턴계획 입력오류 확인",IF(AND($AQ212&lt;&gt;"",$AG212&lt;&gt;"구리병원",IF(TRIM($J212&amp;"")="",0,SUMPRODUCT((입력_파견수련계획!$Q$4:$Q$803=TRIM($J212&amp;""))*(입력_파견수련계획!$S$4:$S$803="구리병원")*입력_파견수련계획!$W$4:$W$803))=0),"구리 근무자명단에만 있음(파견수련계획 확인)",IF(AND($AC212&lt;&gt;"",$U212&lt;&gt;"파견중",$N212&lt;&gt;$AE212),"인턴 타지역 근무: 파견 여부 확인","정상")))))))))</f>
        <v/>
      </c>
      <c r="AA212" s="5" t="n"/>
      <c r="AB212" s="10">
        <f>IF($B212="","",IFERROR(MATCH($B212,입력_기본자료!$B$2:$B$1001,0),IFERROR(MATCH($B212&amp;"",입력_기본자료!$B$2:$B$1001,0),IFERROR(MATCH(VALUE($B212),입력_기본자료!$B$2:$B$1001,0),""))))</f>
        <v/>
      </c>
      <c r="AC212" s="10">
        <f>IF($B212="","",IFERROR(MATCH($B212,입력_인턴근무계획!$D$3:$D$402,0),IFERROR(MATCH($B212&amp;"",입력_인턴근무계획!$D$3:$D$402,0),IFERROR(MATCH(VALUE($B212),입력_인턴근무계획!$D$3:$D$402,0),""))))</f>
        <v/>
      </c>
      <c r="AD212" s="10">
        <f>IF(OR($AC212="",출력_인턴현황!$G$3=""),"",INDEX(입력_인턴근무계획!$M$3:$R$402,$AC212,출력_인턴현황!$G$3)&amp;"")</f>
        <v/>
      </c>
      <c r="AE212" s="10">
        <f>IF($B212="","",IF($M212&lt;&gt;"",$M212,IF(IF($AQ212="",FALSE,INDEX(출력_구리근무자!$J$6:$J$305,$AQ212)="구리독자"),"구리병원",IF($AF212&lt;&gt;"",IF(LEFT(INDEX(입력_파견수련계획!$R$4:$R$803,$AF212),1)&lt;&gt;"⚠",INDEX(입력_파견수련계획!$R$4:$R$803,$AF212),IF($H212="","",IF(RIGHT($H212,2)="병원",$H212,$H212&amp;"병원"))),IF($H212="","",IF(RIGHT($H212,2)="병원",$H212,$H212&amp;"병원"))))))</f>
        <v/>
      </c>
      <c r="AF212" s="10">
        <f>IF(OR($B212="",TRIM($J212&amp;"")=""),"",IFERROR(MATCH(TRIM($J212&amp;"")&amp;"|파견중",입력_파견수련계획!$Y$4:$Y$803,0),IFERROR(MATCH(TRIM($J212&amp;"")&amp;"|파견예정",입력_파견수련계획!$Y$4:$Y$803,0),IFERROR(MATCH(TRIM($J212&amp;"")&amp;"|파견종료",입력_파견수련계획!$Y$4:$Y$803,0),""))))</f>
        <v/>
      </c>
      <c r="AG212" s="10">
        <f>IF($B212="","",IF(AND(IF(OR($AC212="",출력_인턴현황!$K$2=""),"",INDEX(입력_인턴근무계획!$M$3:$R$402,$AC212,출력_인턴현황!$K$2)&amp;"")&lt;&gt;"",LEFT(IF(OR($AC212="",출력_인턴현황!$K$2=""),"",INDEX(입력_인턴근무계획!$M$3:$R$402,$AC212,출력_인턴현황!$K$2)&amp;""),1)&lt;&gt;"⚠"),LEFT(IF(OR($AC212="",출력_인턴현황!$K$2=""),"",INDEX(입력_인턴근무계획!$M$3:$R$402,$AC212,출력_인턴현황!$K$2)&amp;""),FIND(" ",IF(OR($AC212="",출력_인턴현황!$K$2=""),"",INDEX(입력_인턴근무계획!$M$3:$R$402,$AC212,출력_인턴현황!$K$2)&amp;""))-1),$AE212))</f>
        <v/>
      </c>
      <c r="AH212" s="17">
        <f>IF($B212="","",IF($AQ212&lt;&gt;"",MAX(0,DAY(EOMONTH(출력_요약!$B$3,0))-N($AR212)),IF(TRIM($J212&amp;"")="",0,SUMPRODUCT((입력_파견수련계획!$Q$4:$Q$803=TRIM($J212&amp;""))*(입력_파견수련계획!$S$4:$S$803="서울병원")*입력_파견수련계획!$W$4:$W$803))+IF($AG212="서울병원",MAX(0,DAY(EOMONTH(출력_요약!$B$3,0))-N($X212)),0)))</f>
        <v/>
      </c>
      <c r="AI212" s="17">
        <f>IF($B212="","",IF($AQ212&lt;&gt;"",N($AR212),IF(TRIM($J212&amp;"")="",0,SUMPRODUCT((입력_파견수련계획!$Q$4:$Q$803=TRIM($J212&amp;""))*(입력_파견수련계획!$S$4:$S$803="구리병원")*입력_파견수련계획!$W$4:$W$803))+IF($AG212="구리병원",MAX(0,DAY(EOMONTH(출력_요약!$B$3,0))-N($X212)),0)))</f>
        <v/>
      </c>
      <c r="AJ212" s="10">
        <f>IF(OR($B212="",TRIM($J212&amp;"")=""),"",IFERROR(MATCH(TRIM($J212&amp;"")&amp;"|월",입력_파견수련계획!$Z$4:$Z$803,0),""))</f>
        <v/>
      </c>
      <c r="AK212" s="10">
        <f>IF(OR($B212="",TRIM($J212&amp;"")=""),"",IFERROR(MATCH(TRIM($J212&amp;"")&amp;"|다기관",입력_파견수련계획!$AE$4:$AE$803,0),""))</f>
        <v/>
      </c>
      <c r="AL212" s="10">
        <f>IF($AK212="","","다기관 "&amp;TEXT(INDEX(입력_파견수련계획!$AB$4:$AB$803,$AK212),"yyyy-mm-dd")&amp;"~"&amp;IF(ISNUMBER(INDEX(입력_파견수련계획!$AC$4:$AC$803,$AK212)),TEXT(INDEX(입력_파견수련계획!$AC$4:$AC$803,$AK212),"yyyy-mm-dd"),""))</f>
        <v/>
      </c>
      <c r="AM212" s="10">
        <f>IF($Y212="서울병원",COUNTIF($Y$2:$Y212,"서울병원"),"")</f>
        <v/>
      </c>
      <c r="AN212" s="10">
        <f>IF(LEFT($Y212,1)="⚠",COUNTIF($Y$2:$Y212,"⚠*"),"")</f>
        <v/>
      </c>
      <c r="AO212" s="10">
        <f>IF(OR($B212="",$Y212=""),"",IF(IF(TRIM($J212&amp;"")="",0,SUMPRODUCT((입력_파견수련계획!$Q$4:$Q$803=TRIM($J212&amp;""))*입력_파견수련계획!$AD$4:$AD$803))&gt;0,"다기관 기간 → 소속병원 지급",IF(AND(N($X212)&lt;=0,$AQ212=""),"파견 없음 → 그 달 근무병원 지급",IF($AH212+$AI212=DAY(EOMONTH(출력_요약!$B$3,0)),"서울 "&amp;$AH212&amp;"일 / 구리 "&amp;$AI212&amp;"일"&amp;IF($AQ212&lt;&gt;""," (구리 근무자명단 반영)","")&amp;" → 15일 이상 근무 병원 지급","타 병원 포함 → "&amp;IF($AJ212="","소속",INDEX(입력_파견수련계획!$T$4:$T$803,$AJ212))&amp;" 규칙"))))</f>
        <v/>
      </c>
      <c r="AP212" s="10">
        <f>IF($B212="","",$C212&amp;"|"&amp;$F212)</f>
        <v/>
      </c>
      <c r="AQ212" s="10">
        <f>IF($B212="","",IFERROR(MATCH(ROW()-1,출력_구리근무자!$K$6:$K$305,0),""))</f>
        <v/>
      </c>
      <c r="AR212" s="10">
        <f>IF($AQ212="","",INDEX(출력_구리근무자!$H$6:$H$305,$AQ212))</f>
        <v/>
      </c>
    </row>
    <row r="213">
      <c r="A213" s="10">
        <f>IF(B213="","",ROW()-1)</f>
        <v/>
      </c>
      <c r="B213" s="19" t="n"/>
      <c r="C213" s="10">
        <f>IF($AB213="","",IF(INDEX(입력_기본자료!$C$2:$C$1001,$AB213)="","",INDEX(입력_기본자료!$C$2:$C$1001,$AB213)))</f>
        <v/>
      </c>
      <c r="D213" s="10">
        <f>IF($AB213="","",IF(INDEX(입력_기본자료!$J$2:$J$1001,$AB213)="","",INDEX(입력_기본자료!$J$2:$J$1001,$AB213)))</f>
        <v/>
      </c>
      <c r="E213" s="11">
        <f>IF($AB213="","",IF(INDEX(입력_기본자료!$K$2:$K$1001,$AB213)="","",IF(NOT(ISNUMBER(INDEX(입력_기본자료!$K$2:$K$1001,$AB213))),INDEX(입력_기본자료!$K$2:$K$1001,$AB213),IF(INDEX(입력_기본자료!$K$2:$K$1001,$AB213)&lt;1000000,INDEX(입력_기본자료!$K$2:$K$1001,$AB213),IF(AND(INDEX(입력_기본자료!$K$2:$K$1001,$AB213)&gt;=10000101,INT(MOD(INDEX(입력_기본자료!$K$2:$K$1001,$AB213),10000)/100)&gt;=1,INT(MOD(INDEX(입력_기본자료!$K$2:$K$1001,$AB213),10000)/100)&lt;=12,MOD(INDEX(입력_기본자료!$K$2:$K$1001,$AB213),100)&gt;=1,MOD(INDEX(입력_기본자료!$K$2:$K$1001,$AB213),100)&lt;=31),DATE(INT(INDEX(입력_기본자료!$K$2:$K$1001,$AB213)/10000),INT(MOD(INDEX(입력_기본자료!$K$2:$K$1001,$AB213),10000)/100),MOD(INDEX(입력_기본자료!$K$2:$K$1001,$AB213),100)),INDEX(입력_기본자료!$K$2:$K$1001,$AB213)&amp;"")))))</f>
        <v/>
      </c>
      <c r="F213" s="10">
        <f>IF($AB213="","",IF(INDEX(입력_기본자료!$D$2:$D$1001,$AB213)="","",INDEX(입력_기본자료!$D$2:$D$1001,$AB213)))</f>
        <v/>
      </c>
      <c r="G213" s="10">
        <f>IF($AB213="","",IF(INDEX(입력_기본자료!$E$2:$E$1001,$AB213)="","",INDEX(입력_기본자료!$E$2:$E$1001,$AB213)))</f>
        <v/>
      </c>
      <c r="H213" s="10">
        <f>IF($AB213="","",IF(INDEX(입력_기본자료!$F$2:$F$1001,$AB213)="","",INDEX(입력_기본자료!$F$2:$F$1001,$AB213)))</f>
        <v/>
      </c>
      <c r="I213" s="11">
        <f>IF($AB213="","",IF(INDEX(입력_기본자료!$G$2:$G$1001,$AB213)="","",IF(NOT(ISNUMBER(INDEX(입력_기본자료!$G$2:$G$1001,$AB213))),INDEX(입력_기본자료!$G$2:$G$1001,$AB213),IF(INDEX(입력_기본자료!$G$2:$G$1001,$AB213)&lt;1000000,INDEX(입력_기본자료!$G$2:$G$1001,$AB213),IF(AND(INDEX(입력_기본자료!$G$2:$G$1001,$AB213)&gt;=10000101,INT(MOD(INDEX(입력_기본자료!$G$2:$G$1001,$AB213),10000)/100)&gt;=1,INT(MOD(INDEX(입력_기본자료!$G$2:$G$1001,$AB213),10000)/100)&lt;=12,MOD(INDEX(입력_기본자료!$G$2:$G$1001,$AB213),100)&gt;=1,MOD(INDEX(입력_기본자료!$G$2:$G$1001,$AB213),100)&lt;=31),DATE(INT(INDEX(입력_기본자료!$G$2:$G$1001,$AB213)/10000),INT(MOD(INDEX(입력_기본자료!$G$2:$G$1001,$AB213),10000)/100),MOD(INDEX(입력_기본자료!$G$2:$G$1001,$AB213),100)),INDEX(입력_기본자료!$G$2:$G$1001,$AB213)&amp;"")))))</f>
        <v/>
      </c>
      <c r="J213" s="10">
        <f>IF($AB213="","",IF(INDEX(입력_기본자료!$H$2:$H$1001,$AB213)="","",INDEX(입력_기본자료!$H$2:$H$1001,$AB213)))</f>
        <v/>
      </c>
      <c r="K213" s="10">
        <f>IF($AB213="","",IF(INDEX(입력_기본자료!$I$2:$I$1001,$AB213)="","",INDEX(입력_기본자료!$I$2:$I$1001,$AB213)))</f>
        <v/>
      </c>
      <c r="L213" s="10">
        <f>IF($AB213="","",IF(INDEX(입력_기본자료!$A$2:$A$1001,$AB213)="","",INDEX(입력_기본자료!$A$2:$A$1001,$AB213)))</f>
        <v/>
      </c>
      <c r="M213" s="15" t="n"/>
      <c r="N213" s="10">
        <f>IF($B213="","",IF(AND($U213="파견중",$Q213&lt;&gt;""),$Q213,IF(AND($AD213&lt;&gt;"",LEFT($AD213,1)&lt;&gt;"⚠"),LEFT($AD213,FIND(" ",$AD213)-1),IF($H213="","",IF(RIGHT($H213,2)="병원",$H213,$H213&amp;"병원")))))</f>
        <v/>
      </c>
      <c r="O213" s="10">
        <f>IF($B213="","",IF(AND($U213="파견중",$Q213&lt;&gt;""),IF($R213&lt;&gt;"",$R213,"파견과 미입력"),IF(AND($AD213&lt;&gt;"",LEFT($AD213,1)&lt;&gt;"⚠"),MID($AD213,FIND(" ",$AD213)+1,60),IF($F213="","",IF($F213="인턴","수련교육부(인턴)",$F213)))))</f>
        <v/>
      </c>
      <c r="P213" s="10">
        <f>IF($B213="","",IF($AK213&lt;&gt;"",IF(AND(TODAY()&gt;=INDEX(입력_파견수련계획!$AB$4:$AB$803,$AK213),OR(NOT(ISNUMBER(INDEX(입력_파견수련계획!$AC$4:$AC$803,$AK213))),TODAY()&lt;=INDEX(입력_파견수련계획!$AC$4:$AC$803,$AK213))),"다기관",IF($AF213="","",INDEX(입력_파견수련계획!$T$4:$T$803,$AF213))),IF($AF213="","",INDEX(입력_파견수련계획!$T$4:$T$803,$AF213))))</f>
        <v/>
      </c>
      <c r="Q213" s="10">
        <f>IF($AF213="","",INDEX(입력_파견수련계획!$S$4:$S$803,$AF213))</f>
        <v/>
      </c>
      <c r="R213" s="10">
        <f>IF($AF213="","",INDEX(입력_파견수련계획!$U$4:$U$803,$AF213))</f>
        <v/>
      </c>
      <c r="S213" s="11">
        <f>IF($AF213="","",IF(INDEX(입력_파견수련계획!$H$4:$H$803,$AF213)="","",INDEX(입력_파견수련계획!$H$4:$H$803,$AF213)))</f>
        <v/>
      </c>
      <c r="T213" s="11">
        <f>IF($AF213="","",IF(INDEX(입력_파견수련계획!$I$4:$I$803,$AF213)="","",INDEX(입력_파견수련계획!$I$4:$I$803,$AF213)))</f>
        <v/>
      </c>
      <c r="U213" s="10">
        <f>IF($AF213="","",INDEX(입력_파견수련계획!$X$4:$X$803,$AF213))</f>
        <v/>
      </c>
      <c r="V213" s="17">
        <f>IF($AF213="","",INDEX(입력_파견수련계획!$V$4:$V$803,$AF213))</f>
        <v/>
      </c>
      <c r="W213" s="17">
        <f>IF(AND($U213="파견중",$T213&lt;&gt;""),$T213-TODAY(),"")</f>
        <v/>
      </c>
      <c r="X213" s="17">
        <f>IF(OR($B213="",TRIM($J213&amp;"")=""),"",SUMPRODUCT((입력_파견수련계획!$Q$4:$Q$803=TRIM($J213&amp;""))*입력_파견수련계획!$W$4:$W$803))</f>
        <v/>
      </c>
      <c r="Y213" s="10">
        <f>IF($B213="","",IF($AG213="","",IF(IF(TRIM($J213&amp;"")="",0,SUMPRODUCT((입력_파견수련계획!$Q$4:$Q$803=TRIM($J213&amp;""))*입력_파견수련계획!$AD$4:$AD$803))&gt;0,$AE213,IF(AND(N($X213)&lt;=0,$AQ213=""),$AG213,IF($AH213+$AI213=DAY(EOMONTH(출력_요약!$B$3,0)),IF(AND($AH213&gt;=출력_요약!$E$3,$AI213&lt;출력_요약!$E$3),"서울병원",IF(AND($AI213&gt;=출력_요약!$E$3,$AH213&lt;출력_요약!$E$3),"구리병원","⚠15일 판정불가(서울 "&amp;$AH213&amp;"일/구리 "&amp;$AI213&amp;"일)")),IF($AJ213="",$AE213,IF(INDEX(입력_파견수련계획!$T$4:$T$803,$AJ213)="통합수련",INDEX(입력_파견수련계획!$S$4:$S$803,$AJ213),$AE213)))))))</f>
        <v/>
      </c>
      <c r="Z213" s="20">
        <f>IF($B213="","",IF($AB213="","기본자료에 없는 사번",IF(COUNTIF($B$2:$B$401,$B213)&gt;1,"중복 사번",IF($AE213="","소속(입사장소) 입력",IF(IF(TRIM($J213&amp;"")="",0,SUMPRODUCT((입력_파견수련계획!$Q$4:$Q$803=TRIM($J213&amp;""))*(입력_파견수련계획!$AA$4:$AA$803&lt;&gt;"")))&gt;0,"파견수련계획 입력오류 확인",IF(LEFT($Y213,1)="⚠","서울·구리 15일 판정 불가(양쪽 모두 이상/미만)",IF(IF($AC213="",0,N(INDEX(입력_인턴근무계획!$T$3:$T$402,$AC213)))&gt;0,"인턴계획 입력오류 확인",IF(AND($AQ213&lt;&gt;"",$AG213&lt;&gt;"구리병원",IF(TRIM($J213&amp;"")="",0,SUMPRODUCT((입력_파견수련계획!$Q$4:$Q$803=TRIM($J213&amp;""))*(입력_파견수련계획!$S$4:$S$803="구리병원")*입력_파견수련계획!$W$4:$W$803))=0),"구리 근무자명단에만 있음(파견수련계획 확인)",IF(AND($AC213&lt;&gt;"",$U213&lt;&gt;"파견중",$N213&lt;&gt;$AE213),"인턴 타지역 근무: 파견 여부 확인","정상")))))))))</f>
        <v/>
      </c>
      <c r="AA213" s="5" t="n"/>
      <c r="AB213" s="10">
        <f>IF($B213="","",IFERROR(MATCH($B213,입력_기본자료!$B$2:$B$1001,0),IFERROR(MATCH($B213&amp;"",입력_기본자료!$B$2:$B$1001,0),IFERROR(MATCH(VALUE($B213),입력_기본자료!$B$2:$B$1001,0),""))))</f>
        <v/>
      </c>
      <c r="AC213" s="10">
        <f>IF($B213="","",IFERROR(MATCH($B213,입력_인턴근무계획!$D$3:$D$402,0),IFERROR(MATCH($B213&amp;"",입력_인턴근무계획!$D$3:$D$402,0),IFERROR(MATCH(VALUE($B213),입력_인턴근무계획!$D$3:$D$402,0),""))))</f>
        <v/>
      </c>
      <c r="AD213" s="10">
        <f>IF(OR($AC213="",출력_인턴현황!$G$3=""),"",INDEX(입력_인턴근무계획!$M$3:$R$402,$AC213,출력_인턴현황!$G$3)&amp;"")</f>
        <v/>
      </c>
      <c r="AE213" s="10">
        <f>IF($B213="","",IF($M213&lt;&gt;"",$M213,IF(IF($AQ213="",FALSE,INDEX(출력_구리근무자!$J$6:$J$305,$AQ213)="구리독자"),"구리병원",IF($AF213&lt;&gt;"",IF(LEFT(INDEX(입력_파견수련계획!$R$4:$R$803,$AF213),1)&lt;&gt;"⚠",INDEX(입력_파견수련계획!$R$4:$R$803,$AF213),IF($H213="","",IF(RIGHT($H213,2)="병원",$H213,$H213&amp;"병원"))),IF($H213="","",IF(RIGHT($H213,2)="병원",$H213,$H213&amp;"병원"))))))</f>
        <v/>
      </c>
      <c r="AF213" s="10">
        <f>IF(OR($B213="",TRIM($J213&amp;"")=""),"",IFERROR(MATCH(TRIM($J213&amp;"")&amp;"|파견중",입력_파견수련계획!$Y$4:$Y$803,0),IFERROR(MATCH(TRIM($J213&amp;"")&amp;"|파견예정",입력_파견수련계획!$Y$4:$Y$803,0),IFERROR(MATCH(TRIM($J213&amp;"")&amp;"|파견종료",입력_파견수련계획!$Y$4:$Y$803,0),""))))</f>
        <v/>
      </c>
      <c r="AG213" s="10">
        <f>IF($B213="","",IF(AND(IF(OR($AC213="",출력_인턴현황!$K$2=""),"",INDEX(입력_인턴근무계획!$M$3:$R$402,$AC213,출력_인턴현황!$K$2)&amp;"")&lt;&gt;"",LEFT(IF(OR($AC213="",출력_인턴현황!$K$2=""),"",INDEX(입력_인턴근무계획!$M$3:$R$402,$AC213,출력_인턴현황!$K$2)&amp;""),1)&lt;&gt;"⚠"),LEFT(IF(OR($AC213="",출력_인턴현황!$K$2=""),"",INDEX(입력_인턴근무계획!$M$3:$R$402,$AC213,출력_인턴현황!$K$2)&amp;""),FIND(" ",IF(OR($AC213="",출력_인턴현황!$K$2=""),"",INDEX(입력_인턴근무계획!$M$3:$R$402,$AC213,출력_인턴현황!$K$2)&amp;""))-1),$AE213))</f>
        <v/>
      </c>
      <c r="AH213" s="17">
        <f>IF($B213="","",IF($AQ213&lt;&gt;"",MAX(0,DAY(EOMONTH(출력_요약!$B$3,0))-N($AR213)),IF(TRIM($J213&amp;"")="",0,SUMPRODUCT((입력_파견수련계획!$Q$4:$Q$803=TRIM($J213&amp;""))*(입력_파견수련계획!$S$4:$S$803="서울병원")*입력_파견수련계획!$W$4:$W$803))+IF($AG213="서울병원",MAX(0,DAY(EOMONTH(출력_요약!$B$3,0))-N($X213)),0)))</f>
        <v/>
      </c>
      <c r="AI213" s="17">
        <f>IF($B213="","",IF($AQ213&lt;&gt;"",N($AR213),IF(TRIM($J213&amp;"")="",0,SUMPRODUCT((입력_파견수련계획!$Q$4:$Q$803=TRIM($J213&amp;""))*(입력_파견수련계획!$S$4:$S$803="구리병원")*입력_파견수련계획!$W$4:$W$803))+IF($AG213="구리병원",MAX(0,DAY(EOMONTH(출력_요약!$B$3,0))-N($X213)),0)))</f>
        <v/>
      </c>
      <c r="AJ213" s="10">
        <f>IF(OR($B213="",TRIM($J213&amp;"")=""),"",IFERROR(MATCH(TRIM($J213&amp;"")&amp;"|월",입력_파견수련계획!$Z$4:$Z$803,0),""))</f>
        <v/>
      </c>
      <c r="AK213" s="10">
        <f>IF(OR($B213="",TRIM($J213&amp;"")=""),"",IFERROR(MATCH(TRIM($J213&amp;"")&amp;"|다기관",입력_파견수련계획!$AE$4:$AE$803,0),""))</f>
        <v/>
      </c>
      <c r="AL213" s="10">
        <f>IF($AK213="","","다기관 "&amp;TEXT(INDEX(입력_파견수련계획!$AB$4:$AB$803,$AK213),"yyyy-mm-dd")&amp;"~"&amp;IF(ISNUMBER(INDEX(입력_파견수련계획!$AC$4:$AC$803,$AK213)),TEXT(INDEX(입력_파견수련계획!$AC$4:$AC$803,$AK213),"yyyy-mm-dd"),""))</f>
        <v/>
      </c>
      <c r="AM213" s="10">
        <f>IF($Y213="서울병원",COUNTIF($Y$2:$Y213,"서울병원"),"")</f>
        <v/>
      </c>
      <c r="AN213" s="10">
        <f>IF(LEFT($Y213,1)="⚠",COUNTIF($Y$2:$Y213,"⚠*"),"")</f>
        <v/>
      </c>
      <c r="AO213" s="10">
        <f>IF(OR($B213="",$Y213=""),"",IF(IF(TRIM($J213&amp;"")="",0,SUMPRODUCT((입력_파견수련계획!$Q$4:$Q$803=TRIM($J213&amp;""))*입력_파견수련계획!$AD$4:$AD$803))&gt;0,"다기관 기간 → 소속병원 지급",IF(AND(N($X213)&lt;=0,$AQ213=""),"파견 없음 → 그 달 근무병원 지급",IF($AH213+$AI213=DAY(EOMONTH(출력_요약!$B$3,0)),"서울 "&amp;$AH213&amp;"일 / 구리 "&amp;$AI213&amp;"일"&amp;IF($AQ213&lt;&gt;""," (구리 근무자명단 반영)","")&amp;" → 15일 이상 근무 병원 지급","타 병원 포함 → "&amp;IF($AJ213="","소속",INDEX(입력_파견수련계획!$T$4:$T$803,$AJ213))&amp;" 규칙"))))</f>
        <v/>
      </c>
      <c r="AP213" s="10">
        <f>IF($B213="","",$C213&amp;"|"&amp;$F213)</f>
        <v/>
      </c>
      <c r="AQ213" s="10">
        <f>IF($B213="","",IFERROR(MATCH(ROW()-1,출력_구리근무자!$K$6:$K$305,0),""))</f>
        <v/>
      </c>
      <c r="AR213" s="10">
        <f>IF($AQ213="","",INDEX(출력_구리근무자!$H$6:$H$305,$AQ213))</f>
        <v/>
      </c>
    </row>
    <row r="214">
      <c r="A214" s="10">
        <f>IF(B214="","",ROW()-1)</f>
        <v/>
      </c>
      <c r="B214" s="19" t="n"/>
      <c r="C214" s="10">
        <f>IF($AB214="","",IF(INDEX(입력_기본자료!$C$2:$C$1001,$AB214)="","",INDEX(입력_기본자료!$C$2:$C$1001,$AB214)))</f>
        <v/>
      </c>
      <c r="D214" s="10">
        <f>IF($AB214="","",IF(INDEX(입력_기본자료!$J$2:$J$1001,$AB214)="","",INDEX(입력_기본자료!$J$2:$J$1001,$AB214)))</f>
        <v/>
      </c>
      <c r="E214" s="11">
        <f>IF($AB214="","",IF(INDEX(입력_기본자료!$K$2:$K$1001,$AB214)="","",IF(NOT(ISNUMBER(INDEX(입력_기본자료!$K$2:$K$1001,$AB214))),INDEX(입력_기본자료!$K$2:$K$1001,$AB214),IF(INDEX(입력_기본자료!$K$2:$K$1001,$AB214)&lt;1000000,INDEX(입력_기본자료!$K$2:$K$1001,$AB214),IF(AND(INDEX(입력_기본자료!$K$2:$K$1001,$AB214)&gt;=10000101,INT(MOD(INDEX(입력_기본자료!$K$2:$K$1001,$AB214),10000)/100)&gt;=1,INT(MOD(INDEX(입력_기본자료!$K$2:$K$1001,$AB214),10000)/100)&lt;=12,MOD(INDEX(입력_기본자료!$K$2:$K$1001,$AB214),100)&gt;=1,MOD(INDEX(입력_기본자료!$K$2:$K$1001,$AB214),100)&lt;=31),DATE(INT(INDEX(입력_기본자료!$K$2:$K$1001,$AB214)/10000),INT(MOD(INDEX(입력_기본자료!$K$2:$K$1001,$AB214),10000)/100),MOD(INDEX(입력_기본자료!$K$2:$K$1001,$AB214),100)),INDEX(입력_기본자료!$K$2:$K$1001,$AB214)&amp;"")))))</f>
        <v/>
      </c>
      <c r="F214" s="10">
        <f>IF($AB214="","",IF(INDEX(입력_기본자료!$D$2:$D$1001,$AB214)="","",INDEX(입력_기본자료!$D$2:$D$1001,$AB214)))</f>
        <v/>
      </c>
      <c r="G214" s="10">
        <f>IF($AB214="","",IF(INDEX(입력_기본자료!$E$2:$E$1001,$AB214)="","",INDEX(입력_기본자료!$E$2:$E$1001,$AB214)))</f>
        <v/>
      </c>
      <c r="H214" s="10">
        <f>IF($AB214="","",IF(INDEX(입력_기본자료!$F$2:$F$1001,$AB214)="","",INDEX(입력_기본자료!$F$2:$F$1001,$AB214)))</f>
        <v/>
      </c>
      <c r="I214" s="11">
        <f>IF($AB214="","",IF(INDEX(입력_기본자료!$G$2:$G$1001,$AB214)="","",IF(NOT(ISNUMBER(INDEX(입력_기본자료!$G$2:$G$1001,$AB214))),INDEX(입력_기본자료!$G$2:$G$1001,$AB214),IF(INDEX(입력_기본자료!$G$2:$G$1001,$AB214)&lt;1000000,INDEX(입력_기본자료!$G$2:$G$1001,$AB214),IF(AND(INDEX(입력_기본자료!$G$2:$G$1001,$AB214)&gt;=10000101,INT(MOD(INDEX(입력_기본자료!$G$2:$G$1001,$AB214),10000)/100)&gt;=1,INT(MOD(INDEX(입력_기본자료!$G$2:$G$1001,$AB214),10000)/100)&lt;=12,MOD(INDEX(입력_기본자료!$G$2:$G$1001,$AB214),100)&gt;=1,MOD(INDEX(입력_기본자료!$G$2:$G$1001,$AB214),100)&lt;=31),DATE(INT(INDEX(입력_기본자료!$G$2:$G$1001,$AB214)/10000),INT(MOD(INDEX(입력_기본자료!$G$2:$G$1001,$AB214),10000)/100),MOD(INDEX(입력_기본자료!$G$2:$G$1001,$AB214),100)),INDEX(입력_기본자료!$G$2:$G$1001,$AB214)&amp;"")))))</f>
        <v/>
      </c>
      <c r="J214" s="10">
        <f>IF($AB214="","",IF(INDEX(입력_기본자료!$H$2:$H$1001,$AB214)="","",INDEX(입력_기본자료!$H$2:$H$1001,$AB214)))</f>
        <v/>
      </c>
      <c r="K214" s="10">
        <f>IF($AB214="","",IF(INDEX(입력_기본자료!$I$2:$I$1001,$AB214)="","",INDEX(입력_기본자료!$I$2:$I$1001,$AB214)))</f>
        <v/>
      </c>
      <c r="L214" s="10">
        <f>IF($AB214="","",IF(INDEX(입력_기본자료!$A$2:$A$1001,$AB214)="","",INDEX(입력_기본자료!$A$2:$A$1001,$AB214)))</f>
        <v/>
      </c>
      <c r="M214" s="15" t="n"/>
      <c r="N214" s="10">
        <f>IF($B214="","",IF(AND($U214="파견중",$Q214&lt;&gt;""),$Q214,IF(AND($AD214&lt;&gt;"",LEFT($AD214,1)&lt;&gt;"⚠"),LEFT($AD214,FIND(" ",$AD214)-1),IF($H214="","",IF(RIGHT($H214,2)="병원",$H214,$H214&amp;"병원")))))</f>
        <v/>
      </c>
      <c r="O214" s="10">
        <f>IF($B214="","",IF(AND($U214="파견중",$Q214&lt;&gt;""),IF($R214&lt;&gt;"",$R214,"파견과 미입력"),IF(AND($AD214&lt;&gt;"",LEFT($AD214,1)&lt;&gt;"⚠"),MID($AD214,FIND(" ",$AD214)+1,60),IF($F214="","",IF($F214="인턴","수련교육부(인턴)",$F214)))))</f>
        <v/>
      </c>
      <c r="P214" s="10">
        <f>IF($B214="","",IF($AK214&lt;&gt;"",IF(AND(TODAY()&gt;=INDEX(입력_파견수련계획!$AB$4:$AB$803,$AK214),OR(NOT(ISNUMBER(INDEX(입력_파견수련계획!$AC$4:$AC$803,$AK214))),TODAY()&lt;=INDEX(입력_파견수련계획!$AC$4:$AC$803,$AK214))),"다기관",IF($AF214="","",INDEX(입력_파견수련계획!$T$4:$T$803,$AF214))),IF($AF214="","",INDEX(입력_파견수련계획!$T$4:$T$803,$AF214))))</f>
        <v/>
      </c>
      <c r="Q214" s="10">
        <f>IF($AF214="","",INDEX(입력_파견수련계획!$S$4:$S$803,$AF214))</f>
        <v/>
      </c>
      <c r="R214" s="10">
        <f>IF($AF214="","",INDEX(입력_파견수련계획!$U$4:$U$803,$AF214))</f>
        <v/>
      </c>
      <c r="S214" s="11">
        <f>IF($AF214="","",IF(INDEX(입력_파견수련계획!$H$4:$H$803,$AF214)="","",INDEX(입력_파견수련계획!$H$4:$H$803,$AF214)))</f>
        <v/>
      </c>
      <c r="T214" s="11">
        <f>IF($AF214="","",IF(INDEX(입력_파견수련계획!$I$4:$I$803,$AF214)="","",INDEX(입력_파견수련계획!$I$4:$I$803,$AF214)))</f>
        <v/>
      </c>
      <c r="U214" s="10">
        <f>IF($AF214="","",INDEX(입력_파견수련계획!$X$4:$X$803,$AF214))</f>
        <v/>
      </c>
      <c r="V214" s="17">
        <f>IF($AF214="","",INDEX(입력_파견수련계획!$V$4:$V$803,$AF214))</f>
        <v/>
      </c>
      <c r="W214" s="17">
        <f>IF(AND($U214="파견중",$T214&lt;&gt;""),$T214-TODAY(),"")</f>
        <v/>
      </c>
      <c r="X214" s="17">
        <f>IF(OR($B214="",TRIM($J214&amp;"")=""),"",SUMPRODUCT((입력_파견수련계획!$Q$4:$Q$803=TRIM($J214&amp;""))*입력_파견수련계획!$W$4:$W$803))</f>
        <v/>
      </c>
      <c r="Y214" s="10">
        <f>IF($B214="","",IF($AG214="","",IF(IF(TRIM($J214&amp;"")="",0,SUMPRODUCT((입력_파견수련계획!$Q$4:$Q$803=TRIM($J214&amp;""))*입력_파견수련계획!$AD$4:$AD$803))&gt;0,$AE214,IF(AND(N($X214)&lt;=0,$AQ214=""),$AG214,IF($AH214+$AI214=DAY(EOMONTH(출력_요약!$B$3,0)),IF(AND($AH214&gt;=출력_요약!$E$3,$AI214&lt;출력_요약!$E$3),"서울병원",IF(AND($AI214&gt;=출력_요약!$E$3,$AH214&lt;출력_요약!$E$3),"구리병원","⚠15일 판정불가(서울 "&amp;$AH214&amp;"일/구리 "&amp;$AI214&amp;"일)")),IF($AJ214="",$AE214,IF(INDEX(입력_파견수련계획!$T$4:$T$803,$AJ214)="통합수련",INDEX(입력_파견수련계획!$S$4:$S$803,$AJ214),$AE214)))))))</f>
        <v/>
      </c>
      <c r="Z214" s="20">
        <f>IF($B214="","",IF($AB214="","기본자료에 없는 사번",IF(COUNTIF($B$2:$B$401,$B214)&gt;1,"중복 사번",IF($AE214="","소속(입사장소) 입력",IF(IF(TRIM($J214&amp;"")="",0,SUMPRODUCT((입력_파견수련계획!$Q$4:$Q$803=TRIM($J214&amp;""))*(입력_파견수련계획!$AA$4:$AA$803&lt;&gt;"")))&gt;0,"파견수련계획 입력오류 확인",IF(LEFT($Y214,1)="⚠","서울·구리 15일 판정 불가(양쪽 모두 이상/미만)",IF(IF($AC214="",0,N(INDEX(입력_인턴근무계획!$T$3:$T$402,$AC214)))&gt;0,"인턴계획 입력오류 확인",IF(AND($AQ214&lt;&gt;"",$AG214&lt;&gt;"구리병원",IF(TRIM($J214&amp;"")="",0,SUMPRODUCT((입력_파견수련계획!$Q$4:$Q$803=TRIM($J214&amp;""))*(입력_파견수련계획!$S$4:$S$803="구리병원")*입력_파견수련계획!$W$4:$W$803))=0),"구리 근무자명단에만 있음(파견수련계획 확인)",IF(AND($AC214&lt;&gt;"",$U214&lt;&gt;"파견중",$N214&lt;&gt;$AE214),"인턴 타지역 근무: 파견 여부 확인","정상")))))))))</f>
        <v/>
      </c>
      <c r="AA214" s="5" t="n"/>
      <c r="AB214" s="10">
        <f>IF($B214="","",IFERROR(MATCH($B214,입력_기본자료!$B$2:$B$1001,0),IFERROR(MATCH($B214&amp;"",입력_기본자료!$B$2:$B$1001,0),IFERROR(MATCH(VALUE($B214),입력_기본자료!$B$2:$B$1001,0),""))))</f>
        <v/>
      </c>
      <c r="AC214" s="10">
        <f>IF($B214="","",IFERROR(MATCH($B214,입력_인턴근무계획!$D$3:$D$402,0),IFERROR(MATCH($B214&amp;"",입력_인턴근무계획!$D$3:$D$402,0),IFERROR(MATCH(VALUE($B214),입력_인턴근무계획!$D$3:$D$402,0),""))))</f>
        <v/>
      </c>
      <c r="AD214" s="10">
        <f>IF(OR($AC214="",출력_인턴현황!$G$3=""),"",INDEX(입력_인턴근무계획!$M$3:$R$402,$AC214,출력_인턴현황!$G$3)&amp;"")</f>
        <v/>
      </c>
      <c r="AE214" s="10">
        <f>IF($B214="","",IF($M214&lt;&gt;"",$M214,IF(IF($AQ214="",FALSE,INDEX(출력_구리근무자!$J$6:$J$305,$AQ214)="구리독자"),"구리병원",IF($AF214&lt;&gt;"",IF(LEFT(INDEX(입력_파견수련계획!$R$4:$R$803,$AF214),1)&lt;&gt;"⚠",INDEX(입력_파견수련계획!$R$4:$R$803,$AF214),IF($H214="","",IF(RIGHT($H214,2)="병원",$H214,$H214&amp;"병원"))),IF($H214="","",IF(RIGHT($H214,2)="병원",$H214,$H214&amp;"병원"))))))</f>
        <v/>
      </c>
      <c r="AF214" s="10">
        <f>IF(OR($B214="",TRIM($J214&amp;"")=""),"",IFERROR(MATCH(TRIM($J214&amp;"")&amp;"|파견중",입력_파견수련계획!$Y$4:$Y$803,0),IFERROR(MATCH(TRIM($J214&amp;"")&amp;"|파견예정",입력_파견수련계획!$Y$4:$Y$803,0),IFERROR(MATCH(TRIM($J214&amp;"")&amp;"|파견종료",입력_파견수련계획!$Y$4:$Y$803,0),""))))</f>
        <v/>
      </c>
      <c r="AG214" s="10">
        <f>IF($B214="","",IF(AND(IF(OR($AC214="",출력_인턴현황!$K$2=""),"",INDEX(입력_인턴근무계획!$M$3:$R$402,$AC214,출력_인턴현황!$K$2)&amp;"")&lt;&gt;"",LEFT(IF(OR($AC214="",출력_인턴현황!$K$2=""),"",INDEX(입력_인턴근무계획!$M$3:$R$402,$AC214,출력_인턴현황!$K$2)&amp;""),1)&lt;&gt;"⚠"),LEFT(IF(OR($AC214="",출력_인턴현황!$K$2=""),"",INDEX(입력_인턴근무계획!$M$3:$R$402,$AC214,출력_인턴현황!$K$2)&amp;""),FIND(" ",IF(OR($AC214="",출력_인턴현황!$K$2=""),"",INDEX(입력_인턴근무계획!$M$3:$R$402,$AC214,출력_인턴현황!$K$2)&amp;""))-1),$AE214))</f>
        <v/>
      </c>
      <c r="AH214" s="17">
        <f>IF($B214="","",IF($AQ214&lt;&gt;"",MAX(0,DAY(EOMONTH(출력_요약!$B$3,0))-N($AR214)),IF(TRIM($J214&amp;"")="",0,SUMPRODUCT((입력_파견수련계획!$Q$4:$Q$803=TRIM($J214&amp;""))*(입력_파견수련계획!$S$4:$S$803="서울병원")*입력_파견수련계획!$W$4:$W$803))+IF($AG214="서울병원",MAX(0,DAY(EOMONTH(출력_요약!$B$3,0))-N($X214)),0)))</f>
        <v/>
      </c>
      <c r="AI214" s="17">
        <f>IF($B214="","",IF($AQ214&lt;&gt;"",N($AR214),IF(TRIM($J214&amp;"")="",0,SUMPRODUCT((입력_파견수련계획!$Q$4:$Q$803=TRIM($J214&amp;""))*(입력_파견수련계획!$S$4:$S$803="구리병원")*입력_파견수련계획!$W$4:$W$803))+IF($AG214="구리병원",MAX(0,DAY(EOMONTH(출력_요약!$B$3,0))-N($X214)),0)))</f>
        <v/>
      </c>
      <c r="AJ214" s="10">
        <f>IF(OR($B214="",TRIM($J214&amp;"")=""),"",IFERROR(MATCH(TRIM($J214&amp;"")&amp;"|월",입력_파견수련계획!$Z$4:$Z$803,0),""))</f>
        <v/>
      </c>
      <c r="AK214" s="10">
        <f>IF(OR($B214="",TRIM($J214&amp;"")=""),"",IFERROR(MATCH(TRIM($J214&amp;"")&amp;"|다기관",입력_파견수련계획!$AE$4:$AE$803,0),""))</f>
        <v/>
      </c>
      <c r="AL214" s="10">
        <f>IF($AK214="","","다기관 "&amp;TEXT(INDEX(입력_파견수련계획!$AB$4:$AB$803,$AK214),"yyyy-mm-dd")&amp;"~"&amp;IF(ISNUMBER(INDEX(입력_파견수련계획!$AC$4:$AC$803,$AK214)),TEXT(INDEX(입력_파견수련계획!$AC$4:$AC$803,$AK214),"yyyy-mm-dd"),""))</f>
        <v/>
      </c>
      <c r="AM214" s="10">
        <f>IF($Y214="서울병원",COUNTIF($Y$2:$Y214,"서울병원"),"")</f>
        <v/>
      </c>
      <c r="AN214" s="10">
        <f>IF(LEFT($Y214,1)="⚠",COUNTIF($Y$2:$Y214,"⚠*"),"")</f>
        <v/>
      </c>
      <c r="AO214" s="10">
        <f>IF(OR($B214="",$Y214=""),"",IF(IF(TRIM($J214&amp;"")="",0,SUMPRODUCT((입력_파견수련계획!$Q$4:$Q$803=TRIM($J214&amp;""))*입력_파견수련계획!$AD$4:$AD$803))&gt;0,"다기관 기간 → 소속병원 지급",IF(AND(N($X214)&lt;=0,$AQ214=""),"파견 없음 → 그 달 근무병원 지급",IF($AH214+$AI214=DAY(EOMONTH(출력_요약!$B$3,0)),"서울 "&amp;$AH214&amp;"일 / 구리 "&amp;$AI214&amp;"일"&amp;IF($AQ214&lt;&gt;""," (구리 근무자명단 반영)","")&amp;" → 15일 이상 근무 병원 지급","타 병원 포함 → "&amp;IF($AJ214="","소속",INDEX(입력_파견수련계획!$T$4:$T$803,$AJ214))&amp;" 규칙"))))</f>
        <v/>
      </c>
      <c r="AP214" s="10">
        <f>IF($B214="","",$C214&amp;"|"&amp;$F214)</f>
        <v/>
      </c>
      <c r="AQ214" s="10">
        <f>IF($B214="","",IFERROR(MATCH(ROW()-1,출력_구리근무자!$K$6:$K$305,0),""))</f>
        <v/>
      </c>
      <c r="AR214" s="10">
        <f>IF($AQ214="","",INDEX(출력_구리근무자!$H$6:$H$305,$AQ214))</f>
        <v/>
      </c>
    </row>
    <row r="215">
      <c r="A215" s="10">
        <f>IF(B215="","",ROW()-1)</f>
        <v/>
      </c>
      <c r="B215" s="19" t="n"/>
      <c r="C215" s="10">
        <f>IF($AB215="","",IF(INDEX(입력_기본자료!$C$2:$C$1001,$AB215)="","",INDEX(입력_기본자료!$C$2:$C$1001,$AB215)))</f>
        <v/>
      </c>
      <c r="D215" s="10">
        <f>IF($AB215="","",IF(INDEX(입력_기본자료!$J$2:$J$1001,$AB215)="","",INDEX(입력_기본자료!$J$2:$J$1001,$AB215)))</f>
        <v/>
      </c>
      <c r="E215" s="11">
        <f>IF($AB215="","",IF(INDEX(입력_기본자료!$K$2:$K$1001,$AB215)="","",IF(NOT(ISNUMBER(INDEX(입력_기본자료!$K$2:$K$1001,$AB215))),INDEX(입력_기본자료!$K$2:$K$1001,$AB215),IF(INDEX(입력_기본자료!$K$2:$K$1001,$AB215)&lt;1000000,INDEX(입력_기본자료!$K$2:$K$1001,$AB215),IF(AND(INDEX(입력_기본자료!$K$2:$K$1001,$AB215)&gt;=10000101,INT(MOD(INDEX(입력_기본자료!$K$2:$K$1001,$AB215),10000)/100)&gt;=1,INT(MOD(INDEX(입력_기본자료!$K$2:$K$1001,$AB215),10000)/100)&lt;=12,MOD(INDEX(입력_기본자료!$K$2:$K$1001,$AB215),100)&gt;=1,MOD(INDEX(입력_기본자료!$K$2:$K$1001,$AB215),100)&lt;=31),DATE(INT(INDEX(입력_기본자료!$K$2:$K$1001,$AB215)/10000),INT(MOD(INDEX(입력_기본자료!$K$2:$K$1001,$AB215),10000)/100),MOD(INDEX(입력_기본자료!$K$2:$K$1001,$AB215),100)),INDEX(입력_기본자료!$K$2:$K$1001,$AB215)&amp;"")))))</f>
        <v/>
      </c>
      <c r="F215" s="10">
        <f>IF($AB215="","",IF(INDEX(입력_기본자료!$D$2:$D$1001,$AB215)="","",INDEX(입력_기본자료!$D$2:$D$1001,$AB215)))</f>
        <v/>
      </c>
      <c r="G215" s="10">
        <f>IF($AB215="","",IF(INDEX(입력_기본자료!$E$2:$E$1001,$AB215)="","",INDEX(입력_기본자료!$E$2:$E$1001,$AB215)))</f>
        <v/>
      </c>
      <c r="H215" s="10">
        <f>IF($AB215="","",IF(INDEX(입력_기본자료!$F$2:$F$1001,$AB215)="","",INDEX(입력_기본자료!$F$2:$F$1001,$AB215)))</f>
        <v/>
      </c>
      <c r="I215" s="11">
        <f>IF($AB215="","",IF(INDEX(입력_기본자료!$G$2:$G$1001,$AB215)="","",IF(NOT(ISNUMBER(INDEX(입력_기본자료!$G$2:$G$1001,$AB215))),INDEX(입력_기본자료!$G$2:$G$1001,$AB215),IF(INDEX(입력_기본자료!$G$2:$G$1001,$AB215)&lt;1000000,INDEX(입력_기본자료!$G$2:$G$1001,$AB215),IF(AND(INDEX(입력_기본자료!$G$2:$G$1001,$AB215)&gt;=10000101,INT(MOD(INDEX(입력_기본자료!$G$2:$G$1001,$AB215),10000)/100)&gt;=1,INT(MOD(INDEX(입력_기본자료!$G$2:$G$1001,$AB215),10000)/100)&lt;=12,MOD(INDEX(입력_기본자료!$G$2:$G$1001,$AB215),100)&gt;=1,MOD(INDEX(입력_기본자료!$G$2:$G$1001,$AB215),100)&lt;=31),DATE(INT(INDEX(입력_기본자료!$G$2:$G$1001,$AB215)/10000),INT(MOD(INDEX(입력_기본자료!$G$2:$G$1001,$AB215),10000)/100),MOD(INDEX(입력_기본자료!$G$2:$G$1001,$AB215),100)),INDEX(입력_기본자료!$G$2:$G$1001,$AB215)&amp;"")))))</f>
        <v/>
      </c>
      <c r="J215" s="10">
        <f>IF($AB215="","",IF(INDEX(입력_기본자료!$H$2:$H$1001,$AB215)="","",INDEX(입력_기본자료!$H$2:$H$1001,$AB215)))</f>
        <v/>
      </c>
      <c r="K215" s="10">
        <f>IF($AB215="","",IF(INDEX(입력_기본자료!$I$2:$I$1001,$AB215)="","",INDEX(입력_기본자료!$I$2:$I$1001,$AB215)))</f>
        <v/>
      </c>
      <c r="L215" s="10">
        <f>IF($AB215="","",IF(INDEX(입력_기본자료!$A$2:$A$1001,$AB215)="","",INDEX(입력_기본자료!$A$2:$A$1001,$AB215)))</f>
        <v/>
      </c>
      <c r="M215" s="15" t="n"/>
      <c r="N215" s="10">
        <f>IF($B215="","",IF(AND($U215="파견중",$Q215&lt;&gt;""),$Q215,IF(AND($AD215&lt;&gt;"",LEFT($AD215,1)&lt;&gt;"⚠"),LEFT($AD215,FIND(" ",$AD215)-1),IF($H215="","",IF(RIGHT($H215,2)="병원",$H215,$H215&amp;"병원")))))</f>
        <v/>
      </c>
      <c r="O215" s="10">
        <f>IF($B215="","",IF(AND($U215="파견중",$Q215&lt;&gt;""),IF($R215&lt;&gt;"",$R215,"파견과 미입력"),IF(AND($AD215&lt;&gt;"",LEFT($AD215,1)&lt;&gt;"⚠"),MID($AD215,FIND(" ",$AD215)+1,60),IF($F215="","",IF($F215="인턴","수련교육부(인턴)",$F215)))))</f>
        <v/>
      </c>
      <c r="P215" s="10">
        <f>IF($B215="","",IF($AK215&lt;&gt;"",IF(AND(TODAY()&gt;=INDEX(입력_파견수련계획!$AB$4:$AB$803,$AK215),OR(NOT(ISNUMBER(INDEX(입력_파견수련계획!$AC$4:$AC$803,$AK215))),TODAY()&lt;=INDEX(입력_파견수련계획!$AC$4:$AC$803,$AK215))),"다기관",IF($AF215="","",INDEX(입력_파견수련계획!$T$4:$T$803,$AF215))),IF($AF215="","",INDEX(입력_파견수련계획!$T$4:$T$803,$AF215))))</f>
        <v/>
      </c>
      <c r="Q215" s="10">
        <f>IF($AF215="","",INDEX(입력_파견수련계획!$S$4:$S$803,$AF215))</f>
        <v/>
      </c>
      <c r="R215" s="10">
        <f>IF($AF215="","",INDEX(입력_파견수련계획!$U$4:$U$803,$AF215))</f>
        <v/>
      </c>
      <c r="S215" s="11">
        <f>IF($AF215="","",IF(INDEX(입력_파견수련계획!$H$4:$H$803,$AF215)="","",INDEX(입력_파견수련계획!$H$4:$H$803,$AF215)))</f>
        <v/>
      </c>
      <c r="T215" s="11">
        <f>IF($AF215="","",IF(INDEX(입력_파견수련계획!$I$4:$I$803,$AF215)="","",INDEX(입력_파견수련계획!$I$4:$I$803,$AF215)))</f>
        <v/>
      </c>
      <c r="U215" s="10">
        <f>IF($AF215="","",INDEX(입력_파견수련계획!$X$4:$X$803,$AF215))</f>
        <v/>
      </c>
      <c r="V215" s="17">
        <f>IF($AF215="","",INDEX(입력_파견수련계획!$V$4:$V$803,$AF215))</f>
        <v/>
      </c>
      <c r="W215" s="17">
        <f>IF(AND($U215="파견중",$T215&lt;&gt;""),$T215-TODAY(),"")</f>
        <v/>
      </c>
      <c r="X215" s="17">
        <f>IF(OR($B215="",TRIM($J215&amp;"")=""),"",SUMPRODUCT((입력_파견수련계획!$Q$4:$Q$803=TRIM($J215&amp;""))*입력_파견수련계획!$W$4:$W$803))</f>
        <v/>
      </c>
      <c r="Y215" s="10">
        <f>IF($B215="","",IF($AG215="","",IF(IF(TRIM($J215&amp;"")="",0,SUMPRODUCT((입력_파견수련계획!$Q$4:$Q$803=TRIM($J215&amp;""))*입력_파견수련계획!$AD$4:$AD$803))&gt;0,$AE215,IF(AND(N($X215)&lt;=0,$AQ215=""),$AG215,IF($AH215+$AI215=DAY(EOMONTH(출력_요약!$B$3,0)),IF(AND($AH215&gt;=출력_요약!$E$3,$AI215&lt;출력_요약!$E$3),"서울병원",IF(AND($AI215&gt;=출력_요약!$E$3,$AH215&lt;출력_요약!$E$3),"구리병원","⚠15일 판정불가(서울 "&amp;$AH215&amp;"일/구리 "&amp;$AI215&amp;"일)")),IF($AJ215="",$AE215,IF(INDEX(입력_파견수련계획!$T$4:$T$803,$AJ215)="통합수련",INDEX(입력_파견수련계획!$S$4:$S$803,$AJ215),$AE215)))))))</f>
        <v/>
      </c>
      <c r="Z215" s="20">
        <f>IF($B215="","",IF($AB215="","기본자료에 없는 사번",IF(COUNTIF($B$2:$B$401,$B215)&gt;1,"중복 사번",IF($AE215="","소속(입사장소) 입력",IF(IF(TRIM($J215&amp;"")="",0,SUMPRODUCT((입력_파견수련계획!$Q$4:$Q$803=TRIM($J215&amp;""))*(입력_파견수련계획!$AA$4:$AA$803&lt;&gt;"")))&gt;0,"파견수련계획 입력오류 확인",IF(LEFT($Y215,1)="⚠","서울·구리 15일 판정 불가(양쪽 모두 이상/미만)",IF(IF($AC215="",0,N(INDEX(입력_인턴근무계획!$T$3:$T$402,$AC215)))&gt;0,"인턴계획 입력오류 확인",IF(AND($AQ215&lt;&gt;"",$AG215&lt;&gt;"구리병원",IF(TRIM($J215&amp;"")="",0,SUMPRODUCT((입력_파견수련계획!$Q$4:$Q$803=TRIM($J215&amp;""))*(입력_파견수련계획!$S$4:$S$803="구리병원")*입력_파견수련계획!$W$4:$W$803))=0),"구리 근무자명단에만 있음(파견수련계획 확인)",IF(AND($AC215&lt;&gt;"",$U215&lt;&gt;"파견중",$N215&lt;&gt;$AE215),"인턴 타지역 근무: 파견 여부 확인","정상")))))))))</f>
        <v/>
      </c>
      <c r="AA215" s="5" t="n"/>
      <c r="AB215" s="10">
        <f>IF($B215="","",IFERROR(MATCH($B215,입력_기본자료!$B$2:$B$1001,0),IFERROR(MATCH($B215&amp;"",입력_기본자료!$B$2:$B$1001,0),IFERROR(MATCH(VALUE($B215),입력_기본자료!$B$2:$B$1001,0),""))))</f>
        <v/>
      </c>
      <c r="AC215" s="10">
        <f>IF($B215="","",IFERROR(MATCH($B215,입력_인턴근무계획!$D$3:$D$402,0),IFERROR(MATCH($B215&amp;"",입력_인턴근무계획!$D$3:$D$402,0),IFERROR(MATCH(VALUE($B215),입력_인턴근무계획!$D$3:$D$402,0),""))))</f>
        <v/>
      </c>
      <c r="AD215" s="10">
        <f>IF(OR($AC215="",출력_인턴현황!$G$3=""),"",INDEX(입력_인턴근무계획!$M$3:$R$402,$AC215,출력_인턴현황!$G$3)&amp;"")</f>
        <v/>
      </c>
      <c r="AE215" s="10">
        <f>IF($B215="","",IF($M215&lt;&gt;"",$M215,IF(IF($AQ215="",FALSE,INDEX(출력_구리근무자!$J$6:$J$305,$AQ215)="구리독자"),"구리병원",IF($AF215&lt;&gt;"",IF(LEFT(INDEX(입력_파견수련계획!$R$4:$R$803,$AF215),1)&lt;&gt;"⚠",INDEX(입력_파견수련계획!$R$4:$R$803,$AF215),IF($H215="","",IF(RIGHT($H215,2)="병원",$H215,$H215&amp;"병원"))),IF($H215="","",IF(RIGHT($H215,2)="병원",$H215,$H215&amp;"병원"))))))</f>
        <v/>
      </c>
      <c r="AF215" s="10">
        <f>IF(OR($B215="",TRIM($J215&amp;"")=""),"",IFERROR(MATCH(TRIM($J215&amp;"")&amp;"|파견중",입력_파견수련계획!$Y$4:$Y$803,0),IFERROR(MATCH(TRIM($J215&amp;"")&amp;"|파견예정",입력_파견수련계획!$Y$4:$Y$803,0),IFERROR(MATCH(TRIM($J215&amp;"")&amp;"|파견종료",입력_파견수련계획!$Y$4:$Y$803,0),""))))</f>
        <v/>
      </c>
      <c r="AG215" s="10">
        <f>IF($B215="","",IF(AND(IF(OR($AC215="",출력_인턴현황!$K$2=""),"",INDEX(입력_인턴근무계획!$M$3:$R$402,$AC215,출력_인턴현황!$K$2)&amp;"")&lt;&gt;"",LEFT(IF(OR($AC215="",출력_인턴현황!$K$2=""),"",INDEX(입력_인턴근무계획!$M$3:$R$402,$AC215,출력_인턴현황!$K$2)&amp;""),1)&lt;&gt;"⚠"),LEFT(IF(OR($AC215="",출력_인턴현황!$K$2=""),"",INDEX(입력_인턴근무계획!$M$3:$R$402,$AC215,출력_인턴현황!$K$2)&amp;""),FIND(" ",IF(OR($AC215="",출력_인턴현황!$K$2=""),"",INDEX(입력_인턴근무계획!$M$3:$R$402,$AC215,출력_인턴현황!$K$2)&amp;""))-1),$AE215))</f>
        <v/>
      </c>
      <c r="AH215" s="17">
        <f>IF($B215="","",IF($AQ215&lt;&gt;"",MAX(0,DAY(EOMONTH(출력_요약!$B$3,0))-N($AR215)),IF(TRIM($J215&amp;"")="",0,SUMPRODUCT((입력_파견수련계획!$Q$4:$Q$803=TRIM($J215&amp;""))*(입력_파견수련계획!$S$4:$S$803="서울병원")*입력_파견수련계획!$W$4:$W$803))+IF($AG215="서울병원",MAX(0,DAY(EOMONTH(출력_요약!$B$3,0))-N($X215)),0)))</f>
        <v/>
      </c>
      <c r="AI215" s="17">
        <f>IF($B215="","",IF($AQ215&lt;&gt;"",N($AR215),IF(TRIM($J215&amp;"")="",0,SUMPRODUCT((입력_파견수련계획!$Q$4:$Q$803=TRIM($J215&amp;""))*(입력_파견수련계획!$S$4:$S$803="구리병원")*입력_파견수련계획!$W$4:$W$803))+IF($AG215="구리병원",MAX(0,DAY(EOMONTH(출력_요약!$B$3,0))-N($X215)),0)))</f>
        <v/>
      </c>
      <c r="AJ215" s="10">
        <f>IF(OR($B215="",TRIM($J215&amp;"")=""),"",IFERROR(MATCH(TRIM($J215&amp;"")&amp;"|월",입력_파견수련계획!$Z$4:$Z$803,0),""))</f>
        <v/>
      </c>
      <c r="AK215" s="10">
        <f>IF(OR($B215="",TRIM($J215&amp;"")=""),"",IFERROR(MATCH(TRIM($J215&amp;"")&amp;"|다기관",입력_파견수련계획!$AE$4:$AE$803,0),""))</f>
        <v/>
      </c>
      <c r="AL215" s="10">
        <f>IF($AK215="","","다기관 "&amp;TEXT(INDEX(입력_파견수련계획!$AB$4:$AB$803,$AK215),"yyyy-mm-dd")&amp;"~"&amp;IF(ISNUMBER(INDEX(입력_파견수련계획!$AC$4:$AC$803,$AK215)),TEXT(INDEX(입력_파견수련계획!$AC$4:$AC$803,$AK215),"yyyy-mm-dd"),""))</f>
        <v/>
      </c>
      <c r="AM215" s="10">
        <f>IF($Y215="서울병원",COUNTIF($Y$2:$Y215,"서울병원"),"")</f>
        <v/>
      </c>
      <c r="AN215" s="10">
        <f>IF(LEFT($Y215,1)="⚠",COUNTIF($Y$2:$Y215,"⚠*"),"")</f>
        <v/>
      </c>
      <c r="AO215" s="10">
        <f>IF(OR($B215="",$Y215=""),"",IF(IF(TRIM($J215&amp;"")="",0,SUMPRODUCT((입력_파견수련계획!$Q$4:$Q$803=TRIM($J215&amp;""))*입력_파견수련계획!$AD$4:$AD$803))&gt;0,"다기관 기간 → 소속병원 지급",IF(AND(N($X215)&lt;=0,$AQ215=""),"파견 없음 → 그 달 근무병원 지급",IF($AH215+$AI215=DAY(EOMONTH(출력_요약!$B$3,0)),"서울 "&amp;$AH215&amp;"일 / 구리 "&amp;$AI215&amp;"일"&amp;IF($AQ215&lt;&gt;""," (구리 근무자명단 반영)","")&amp;" → 15일 이상 근무 병원 지급","타 병원 포함 → "&amp;IF($AJ215="","소속",INDEX(입력_파견수련계획!$T$4:$T$803,$AJ215))&amp;" 규칙"))))</f>
        <v/>
      </c>
      <c r="AP215" s="10">
        <f>IF($B215="","",$C215&amp;"|"&amp;$F215)</f>
        <v/>
      </c>
      <c r="AQ215" s="10">
        <f>IF($B215="","",IFERROR(MATCH(ROW()-1,출력_구리근무자!$K$6:$K$305,0),""))</f>
        <v/>
      </c>
      <c r="AR215" s="10">
        <f>IF($AQ215="","",INDEX(출력_구리근무자!$H$6:$H$305,$AQ215))</f>
        <v/>
      </c>
    </row>
    <row r="216">
      <c r="A216" s="10">
        <f>IF(B216="","",ROW()-1)</f>
        <v/>
      </c>
      <c r="B216" s="19" t="n"/>
      <c r="C216" s="10">
        <f>IF($AB216="","",IF(INDEX(입력_기본자료!$C$2:$C$1001,$AB216)="","",INDEX(입력_기본자료!$C$2:$C$1001,$AB216)))</f>
        <v/>
      </c>
      <c r="D216" s="10">
        <f>IF($AB216="","",IF(INDEX(입력_기본자료!$J$2:$J$1001,$AB216)="","",INDEX(입력_기본자료!$J$2:$J$1001,$AB216)))</f>
        <v/>
      </c>
      <c r="E216" s="11">
        <f>IF($AB216="","",IF(INDEX(입력_기본자료!$K$2:$K$1001,$AB216)="","",IF(NOT(ISNUMBER(INDEX(입력_기본자료!$K$2:$K$1001,$AB216))),INDEX(입력_기본자료!$K$2:$K$1001,$AB216),IF(INDEX(입력_기본자료!$K$2:$K$1001,$AB216)&lt;1000000,INDEX(입력_기본자료!$K$2:$K$1001,$AB216),IF(AND(INDEX(입력_기본자료!$K$2:$K$1001,$AB216)&gt;=10000101,INT(MOD(INDEX(입력_기본자료!$K$2:$K$1001,$AB216),10000)/100)&gt;=1,INT(MOD(INDEX(입력_기본자료!$K$2:$K$1001,$AB216),10000)/100)&lt;=12,MOD(INDEX(입력_기본자료!$K$2:$K$1001,$AB216),100)&gt;=1,MOD(INDEX(입력_기본자료!$K$2:$K$1001,$AB216),100)&lt;=31),DATE(INT(INDEX(입력_기본자료!$K$2:$K$1001,$AB216)/10000),INT(MOD(INDEX(입력_기본자료!$K$2:$K$1001,$AB216),10000)/100),MOD(INDEX(입력_기본자료!$K$2:$K$1001,$AB216),100)),INDEX(입력_기본자료!$K$2:$K$1001,$AB216)&amp;"")))))</f>
        <v/>
      </c>
      <c r="F216" s="10">
        <f>IF($AB216="","",IF(INDEX(입력_기본자료!$D$2:$D$1001,$AB216)="","",INDEX(입력_기본자료!$D$2:$D$1001,$AB216)))</f>
        <v/>
      </c>
      <c r="G216" s="10">
        <f>IF($AB216="","",IF(INDEX(입력_기본자료!$E$2:$E$1001,$AB216)="","",INDEX(입력_기본자료!$E$2:$E$1001,$AB216)))</f>
        <v/>
      </c>
      <c r="H216" s="10">
        <f>IF($AB216="","",IF(INDEX(입력_기본자료!$F$2:$F$1001,$AB216)="","",INDEX(입력_기본자료!$F$2:$F$1001,$AB216)))</f>
        <v/>
      </c>
      <c r="I216" s="11">
        <f>IF($AB216="","",IF(INDEX(입력_기본자료!$G$2:$G$1001,$AB216)="","",IF(NOT(ISNUMBER(INDEX(입력_기본자료!$G$2:$G$1001,$AB216))),INDEX(입력_기본자료!$G$2:$G$1001,$AB216),IF(INDEX(입력_기본자료!$G$2:$G$1001,$AB216)&lt;1000000,INDEX(입력_기본자료!$G$2:$G$1001,$AB216),IF(AND(INDEX(입력_기본자료!$G$2:$G$1001,$AB216)&gt;=10000101,INT(MOD(INDEX(입력_기본자료!$G$2:$G$1001,$AB216),10000)/100)&gt;=1,INT(MOD(INDEX(입력_기본자료!$G$2:$G$1001,$AB216),10000)/100)&lt;=12,MOD(INDEX(입력_기본자료!$G$2:$G$1001,$AB216),100)&gt;=1,MOD(INDEX(입력_기본자료!$G$2:$G$1001,$AB216),100)&lt;=31),DATE(INT(INDEX(입력_기본자료!$G$2:$G$1001,$AB216)/10000),INT(MOD(INDEX(입력_기본자료!$G$2:$G$1001,$AB216),10000)/100),MOD(INDEX(입력_기본자료!$G$2:$G$1001,$AB216),100)),INDEX(입력_기본자료!$G$2:$G$1001,$AB216)&amp;"")))))</f>
        <v/>
      </c>
      <c r="J216" s="10">
        <f>IF($AB216="","",IF(INDEX(입력_기본자료!$H$2:$H$1001,$AB216)="","",INDEX(입력_기본자료!$H$2:$H$1001,$AB216)))</f>
        <v/>
      </c>
      <c r="K216" s="10">
        <f>IF($AB216="","",IF(INDEX(입력_기본자료!$I$2:$I$1001,$AB216)="","",INDEX(입력_기본자료!$I$2:$I$1001,$AB216)))</f>
        <v/>
      </c>
      <c r="L216" s="10">
        <f>IF($AB216="","",IF(INDEX(입력_기본자료!$A$2:$A$1001,$AB216)="","",INDEX(입력_기본자료!$A$2:$A$1001,$AB216)))</f>
        <v/>
      </c>
      <c r="M216" s="15" t="n"/>
      <c r="N216" s="10">
        <f>IF($B216="","",IF(AND($U216="파견중",$Q216&lt;&gt;""),$Q216,IF(AND($AD216&lt;&gt;"",LEFT($AD216,1)&lt;&gt;"⚠"),LEFT($AD216,FIND(" ",$AD216)-1),IF($H216="","",IF(RIGHT($H216,2)="병원",$H216,$H216&amp;"병원")))))</f>
        <v/>
      </c>
      <c r="O216" s="10">
        <f>IF($B216="","",IF(AND($U216="파견중",$Q216&lt;&gt;""),IF($R216&lt;&gt;"",$R216,"파견과 미입력"),IF(AND($AD216&lt;&gt;"",LEFT($AD216,1)&lt;&gt;"⚠"),MID($AD216,FIND(" ",$AD216)+1,60),IF($F216="","",IF($F216="인턴","수련교육부(인턴)",$F216)))))</f>
        <v/>
      </c>
      <c r="P216" s="10">
        <f>IF($B216="","",IF($AK216&lt;&gt;"",IF(AND(TODAY()&gt;=INDEX(입력_파견수련계획!$AB$4:$AB$803,$AK216),OR(NOT(ISNUMBER(INDEX(입력_파견수련계획!$AC$4:$AC$803,$AK216))),TODAY()&lt;=INDEX(입력_파견수련계획!$AC$4:$AC$803,$AK216))),"다기관",IF($AF216="","",INDEX(입력_파견수련계획!$T$4:$T$803,$AF216))),IF($AF216="","",INDEX(입력_파견수련계획!$T$4:$T$803,$AF216))))</f>
        <v/>
      </c>
      <c r="Q216" s="10">
        <f>IF($AF216="","",INDEX(입력_파견수련계획!$S$4:$S$803,$AF216))</f>
        <v/>
      </c>
      <c r="R216" s="10">
        <f>IF($AF216="","",INDEX(입력_파견수련계획!$U$4:$U$803,$AF216))</f>
        <v/>
      </c>
      <c r="S216" s="11">
        <f>IF($AF216="","",IF(INDEX(입력_파견수련계획!$H$4:$H$803,$AF216)="","",INDEX(입력_파견수련계획!$H$4:$H$803,$AF216)))</f>
        <v/>
      </c>
      <c r="T216" s="11">
        <f>IF($AF216="","",IF(INDEX(입력_파견수련계획!$I$4:$I$803,$AF216)="","",INDEX(입력_파견수련계획!$I$4:$I$803,$AF216)))</f>
        <v/>
      </c>
      <c r="U216" s="10">
        <f>IF($AF216="","",INDEX(입력_파견수련계획!$X$4:$X$803,$AF216))</f>
        <v/>
      </c>
      <c r="V216" s="17">
        <f>IF($AF216="","",INDEX(입력_파견수련계획!$V$4:$V$803,$AF216))</f>
        <v/>
      </c>
      <c r="W216" s="17">
        <f>IF(AND($U216="파견중",$T216&lt;&gt;""),$T216-TODAY(),"")</f>
        <v/>
      </c>
      <c r="X216" s="17">
        <f>IF(OR($B216="",TRIM($J216&amp;"")=""),"",SUMPRODUCT((입력_파견수련계획!$Q$4:$Q$803=TRIM($J216&amp;""))*입력_파견수련계획!$W$4:$W$803))</f>
        <v/>
      </c>
      <c r="Y216" s="10">
        <f>IF($B216="","",IF($AG216="","",IF(IF(TRIM($J216&amp;"")="",0,SUMPRODUCT((입력_파견수련계획!$Q$4:$Q$803=TRIM($J216&amp;""))*입력_파견수련계획!$AD$4:$AD$803))&gt;0,$AE216,IF(AND(N($X216)&lt;=0,$AQ216=""),$AG216,IF($AH216+$AI216=DAY(EOMONTH(출력_요약!$B$3,0)),IF(AND($AH216&gt;=출력_요약!$E$3,$AI216&lt;출력_요약!$E$3),"서울병원",IF(AND($AI216&gt;=출력_요약!$E$3,$AH216&lt;출력_요약!$E$3),"구리병원","⚠15일 판정불가(서울 "&amp;$AH216&amp;"일/구리 "&amp;$AI216&amp;"일)")),IF($AJ216="",$AE216,IF(INDEX(입력_파견수련계획!$T$4:$T$803,$AJ216)="통합수련",INDEX(입력_파견수련계획!$S$4:$S$803,$AJ216),$AE216)))))))</f>
        <v/>
      </c>
      <c r="Z216" s="20">
        <f>IF($B216="","",IF($AB216="","기본자료에 없는 사번",IF(COUNTIF($B$2:$B$401,$B216)&gt;1,"중복 사번",IF($AE216="","소속(입사장소) 입력",IF(IF(TRIM($J216&amp;"")="",0,SUMPRODUCT((입력_파견수련계획!$Q$4:$Q$803=TRIM($J216&amp;""))*(입력_파견수련계획!$AA$4:$AA$803&lt;&gt;"")))&gt;0,"파견수련계획 입력오류 확인",IF(LEFT($Y216,1)="⚠","서울·구리 15일 판정 불가(양쪽 모두 이상/미만)",IF(IF($AC216="",0,N(INDEX(입력_인턴근무계획!$T$3:$T$402,$AC216)))&gt;0,"인턴계획 입력오류 확인",IF(AND($AQ216&lt;&gt;"",$AG216&lt;&gt;"구리병원",IF(TRIM($J216&amp;"")="",0,SUMPRODUCT((입력_파견수련계획!$Q$4:$Q$803=TRIM($J216&amp;""))*(입력_파견수련계획!$S$4:$S$803="구리병원")*입력_파견수련계획!$W$4:$W$803))=0),"구리 근무자명단에만 있음(파견수련계획 확인)",IF(AND($AC216&lt;&gt;"",$U216&lt;&gt;"파견중",$N216&lt;&gt;$AE216),"인턴 타지역 근무: 파견 여부 확인","정상")))))))))</f>
        <v/>
      </c>
      <c r="AA216" s="5" t="n"/>
      <c r="AB216" s="10">
        <f>IF($B216="","",IFERROR(MATCH($B216,입력_기본자료!$B$2:$B$1001,0),IFERROR(MATCH($B216&amp;"",입력_기본자료!$B$2:$B$1001,0),IFERROR(MATCH(VALUE($B216),입력_기본자료!$B$2:$B$1001,0),""))))</f>
        <v/>
      </c>
      <c r="AC216" s="10">
        <f>IF($B216="","",IFERROR(MATCH($B216,입력_인턴근무계획!$D$3:$D$402,0),IFERROR(MATCH($B216&amp;"",입력_인턴근무계획!$D$3:$D$402,0),IFERROR(MATCH(VALUE($B216),입력_인턴근무계획!$D$3:$D$402,0),""))))</f>
        <v/>
      </c>
      <c r="AD216" s="10">
        <f>IF(OR($AC216="",출력_인턴현황!$G$3=""),"",INDEX(입력_인턴근무계획!$M$3:$R$402,$AC216,출력_인턴현황!$G$3)&amp;"")</f>
        <v/>
      </c>
      <c r="AE216" s="10">
        <f>IF($B216="","",IF($M216&lt;&gt;"",$M216,IF(IF($AQ216="",FALSE,INDEX(출력_구리근무자!$J$6:$J$305,$AQ216)="구리독자"),"구리병원",IF($AF216&lt;&gt;"",IF(LEFT(INDEX(입력_파견수련계획!$R$4:$R$803,$AF216),1)&lt;&gt;"⚠",INDEX(입력_파견수련계획!$R$4:$R$803,$AF216),IF($H216="","",IF(RIGHT($H216,2)="병원",$H216,$H216&amp;"병원"))),IF($H216="","",IF(RIGHT($H216,2)="병원",$H216,$H216&amp;"병원"))))))</f>
        <v/>
      </c>
      <c r="AF216" s="10">
        <f>IF(OR($B216="",TRIM($J216&amp;"")=""),"",IFERROR(MATCH(TRIM($J216&amp;"")&amp;"|파견중",입력_파견수련계획!$Y$4:$Y$803,0),IFERROR(MATCH(TRIM($J216&amp;"")&amp;"|파견예정",입력_파견수련계획!$Y$4:$Y$803,0),IFERROR(MATCH(TRIM($J216&amp;"")&amp;"|파견종료",입력_파견수련계획!$Y$4:$Y$803,0),""))))</f>
        <v/>
      </c>
      <c r="AG216" s="10">
        <f>IF($B216="","",IF(AND(IF(OR($AC216="",출력_인턴현황!$K$2=""),"",INDEX(입력_인턴근무계획!$M$3:$R$402,$AC216,출력_인턴현황!$K$2)&amp;"")&lt;&gt;"",LEFT(IF(OR($AC216="",출력_인턴현황!$K$2=""),"",INDEX(입력_인턴근무계획!$M$3:$R$402,$AC216,출력_인턴현황!$K$2)&amp;""),1)&lt;&gt;"⚠"),LEFT(IF(OR($AC216="",출력_인턴현황!$K$2=""),"",INDEX(입력_인턴근무계획!$M$3:$R$402,$AC216,출력_인턴현황!$K$2)&amp;""),FIND(" ",IF(OR($AC216="",출력_인턴현황!$K$2=""),"",INDEX(입력_인턴근무계획!$M$3:$R$402,$AC216,출력_인턴현황!$K$2)&amp;""))-1),$AE216))</f>
        <v/>
      </c>
      <c r="AH216" s="17">
        <f>IF($B216="","",IF($AQ216&lt;&gt;"",MAX(0,DAY(EOMONTH(출력_요약!$B$3,0))-N($AR216)),IF(TRIM($J216&amp;"")="",0,SUMPRODUCT((입력_파견수련계획!$Q$4:$Q$803=TRIM($J216&amp;""))*(입력_파견수련계획!$S$4:$S$803="서울병원")*입력_파견수련계획!$W$4:$W$803))+IF($AG216="서울병원",MAX(0,DAY(EOMONTH(출력_요약!$B$3,0))-N($X216)),0)))</f>
        <v/>
      </c>
      <c r="AI216" s="17">
        <f>IF($B216="","",IF($AQ216&lt;&gt;"",N($AR216),IF(TRIM($J216&amp;"")="",0,SUMPRODUCT((입력_파견수련계획!$Q$4:$Q$803=TRIM($J216&amp;""))*(입력_파견수련계획!$S$4:$S$803="구리병원")*입력_파견수련계획!$W$4:$W$803))+IF($AG216="구리병원",MAX(0,DAY(EOMONTH(출력_요약!$B$3,0))-N($X216)),0)))</f>
        <v/>
      </c>
      <c r="AJ216" s="10">
        <f>IF(OR($B216="",TRIM($J216&amp;"")=""),"",IFERROR(MATCH(TRIM($J216&amp;"")&amp;"|월",입력_파견수련계획!$Z$4:$Z$803,0),""))</f>
        <v/>
      </c>
      <c r="AK216" s="10">
        <f>IF(OR($B216="",TRIM($J216&amp;"")=""),"",IFERROR(MATCH(TRIM($J216&amp;"")&amp;"|다기관",입력_파견수련계획!$AE$4:$AE$803,0),""))</f>
        <v/>
      </c>
      <c r="AL216" s="10">
        <f>IF($AK216="","","다기관 "&amp;TEXT(INDEX(입력_파견수련계획!$AB$4:$AB$803,$AK216),"yyyy-mm-dd")&amp;"~"&amp;IF(ISNUMBER(INDEX(입력_파견수련계획!$AC$4:$AC$803,$AK216)),TEXT(INDEX(입력_파견수련계획!$AC$4:$AC$803,$AK216),"yyyy-mm-dd"),""))</f>
        <v/>
      </c>
      <c r="AM216" s="10">
        <f>IF($Y216="서울병원",COUNTIF($Y$2:$Y216,"서울병원"),"")</f>
        <v/>
      </c>
      <c r="AN216" s="10">
        <f>IF(LEFT($Y216,1)="⚠",COUNTIF($Y$2:$Y216,"⚠*"),"")</f>
        <v/>
      </c>
      <c r="AO216" s="10">
        <f>IF(OR($B216="",$Y216=""),"",IF(IF(TRIM($J216&amp;"")="",0,SUMPRODUCT((입력_파견수련계획!$Q$4:$Q$803=TRIM($J216&amp;""))*입력_파견수련계획!$AD$4:$AD$803))&gt;0,"다기관 기간 → 소속병원 지급",IF(AND(N($X216)&lt;=0,$AQ216=""),"파견 없음 → 그 달 근무병원 지급",IF($AH216+$AI216=DAY(EOMONTH(출력_요약!$B$3,0)),"서울 "&amp;$AH216&amp;"일 / 구리 "&amp;$AI216&amp;"일"&amp;IF($AQ216&lt;&gt;""," (구리 근무자명단 반영)","")&amp;" → 15일 이상 근무 병원 지급","타 병원 포함 → "&amp;IF($AJ216="","소속",INDEX(입력_파견수련계획!$T$4:$T$803,$AJ216))&amp;" 규칙"))))</f>
        <v/>
      </c>
      <c r="AP216" s="10">
        <f>IF($B216="","",$C216&amp;"|"&amp;$F216)</f>
        <v/>
      </c>
      <c r="AQ216" s="10">
        <f>IF($B216="","",IFERROR(MATCH(ROW()-1,출력_구리근무자!$K$6:$K$305,0),""))</f>
        <v/>
      </c>
      <c r="AR216" s="10">
        <f>IF($AQ216="","",INDEX(출력_구리근무자!$H$6:$H$305,$AQ216))</f>
        <v/>
      </c>
    </row>
    <row r="217">
      <c r="A217" s="10">
        <f>IF(B217="","",ROW()-1)</f>
        <v/>
      </c>
      <c r="B217" s="19" t="n"/>
      <c r="C217" s="10">
        <f>IF($AB217="","",IF(INDEX(입력_기본자료!$C$2:$C$1001,$AB217)="","",INDEX(입력_기본자료!$C$2:$C$1001,$AB217)))</f>
        <v/>
      </c>
      <c r="D217" s="10">
        <f>IF($AB217="","",IF(INDEX(입력_기본자료!$J$2:$J$1001,$AB217)="","",INDEX(입력_기본자료!$J$2:$J$1001,$AB217)))</f>
        <v/>
      </c>
      <c r="E217" s="11">
        <f>IF($AB217="","",IF(INDEX(입력_기본자료!$K$2:$K$1001,$AB217)="","",IF(NOT(ISNUMBER(INDEX(입력_기본자료!$K$2:$K$1001,$AB217))),INDEX(입력_기본자료!$K$2:$K$1001,$AB217),IF(INDEX(입력_기본자료!$K$2:$K$1001,$AB217)&lt;1000000,INDEX(입력_기본자료!$K$2:$K$1001,$AB217),IF(AND(INDEX(입력_기본자료!$K$2:$K$1001,$AB217)&gt;=10000101,INT(MOD(INDEX(입력_기본자료!$K$2:$K$1001,$AB217),10000)/100)&gt;=1,INT(MOD(INDEX(입력_기본자료!$K$2:$K$1001,$AB217),10000)/100)&lt;=12,MOD(INDEX(입력_기본자료!$K$2:$K$1001,$AB217),100)&gt;=1,MOD(INDEX(입력_기본자료!$K$2:$K$1001,$AB217),100)&lt;=31),DATE(INT(INDEX(입력_기본자료!$K$2:$K$1001,$AB217)/10000),INT(MOD(INDEX(입력_기본자료!$K$2:$K$1001,$AB217),10000)/100),MOD(INDEX(입력_기본자료!$K$2:$K$1001,$AB217),100)),INDEX(입력_기본자료!$K$2:$K$1001,$AB217)&amp;"")))))</f>
        <v/>
      </c>
      <c r="F217" s="10">
        <f>IF($AB217="","",IF(INDEX(입력_기본자료!$D$2:$D$1001,$AB217)="","",INDEX(입력_기본자료!$D$2:$D$1001,$AB217)))</f>
        <v/>
      </c>
      <c r="G217" s="10">
        <f>IF($AB217="","",IF(INDEX(입력_기본자료!$E$2:$E$1001,$AB217)="","",INDEX(입력_기본자료!$E$2:$E$1001,$AB217)))</f>
        <v/>
      </c>
      <c r="H217" s="10">
        <f>IF($AB217="","",IF(INDEX(입력_기본자료!$F$2:$F$1001,$AB217)="","",INDEX(입력_기본자료!$F$2:$F$1001,$AB217)))</f>
        <v/>
      </c>
      <c r="I217" s="11">
        <f>IF($AB217="","",IF(INDEX(입력_기본자료!$G$2:$G$1001,$AB217)="","",IF(NOT(ISNUMBER(INDEX(입력_기본자료!$G$2:$G$1001,$AB217))),INDEX(입력_기본자료!$G$2:$G$1001,$AB217),IF(INDEX(입력_기본자료!$G$2:$G$1001,$AB217)&lt;1000000,INDEX(입력_기본자료!$G$2:$G$1001,$AB217),IF(AND(INDEX(입력_기본자료!$G$2:$G$1001,$AB217)&gt;=10000101,INT(MOD(INDEX(입력_기본자료!$G$2:$G$1001,$AB217),10000)/100)&gt;=1,INT(MOD(INDEX(입력_기본자료!$G$2:$G$1001,$AB217),10000)/100)&lt;=12,MOD(INDEX(입력_기본자료!$G$2:$G$1001,$AB217),100)&gt;=1,MOD(INDEX(입력_기본자료!$G$2:$G$1001,$AB217),100)&lt;=31),DATE(INT(INDEX(입력_기본자료!$G$2:$G$1001,$AB217)/10000),INT(MOD(INDEX(입력_기본자료!$G$2:$G$1001,$AB217),10000)/100),MOD(INDEX(입력_기본자료!$G$2:$G$1001,$AB217),100)),INDEX(입력_기본자료!$G$2:$G$1001,$AB217)&amp;"")))))</f>
        <v/>
      </c>
      <c r="J217" s="10">
        <f>IF($AB217="","",IF(INDEX(입력_기본자료!$H$2:$H$1001,$AB217)="","",INDEX(입력_기본자료!$H$2:$H$1001,$AB217)))</f>
        <v/>
      </c>
      <c r="K217" s="10">
        <f>IF($AB217="","",IF(INDEX(입력_기본자료!$I$2:$I$1001,$AB217)="","",INDEX(입력_기본자료!$I$2:$I$1001,$AB217)))</f>
        <v/>
      </c>
      <c r="L217" s="10">
        <f>IF($AB217="","",IF(INDEX(입력_기본자료!$A$2:$A$1001,$AB217)="","",INDEX(입력_기본자료!$A$2:$A$1001,$AB217)))</f>
        <v/>
      </c>
      <c r="M217" s="15" t="n"/>
      <c r="N217" s="10">
        <f>IF($B217="","",IF(AND($U217="파견중",$Q217&lt;&gt;""),$Q217,IF(AND($AD217&lt;&gt;"",LEFT($AD217,1)&lt;&gt;"⚠"),LEFT($AD217,FIND(" ",$AD217)-1),IF($H217="","",IF(RIGHT($H217,2)="병원",$H217,$H217&amp;"병원")))))</f>
        <v/>
      </c>
      <c r="O217" s="10">
        <f>IF($B217="","",IF(AND($U217="파견중",$Q217&lt;&gt;""),IF($R217&lt;&gt;"",$R217,"파견과 미입력"),IF(AND($AD217&lt;&gt;"",LEFT($AD217,1)&lt;&gt;"⚠"),MID($AD217,FIND(" ",$AD217)+1,60),IF($F217="","",IF($F217="인턴","수련교육부(인턴)",$F217)))))</f>
        <v/>
      </c>
      <c r="P217" s="10">
        <f>IF($B217="","",IF($AK217&lt;&gt;"",IF(AND(TODAY()&gt;=INDEX(입력_파견수련계획!$AB$4:$AB$803,$AK217),OR(NOT(ISNUMBER(INDEX(입력_파견수련계획!$AC$4:$AC$803,$AK217))),TODAY()&lt;=INDEX(입력_파견수련계획!$AC$4:$AC$803,$AK217))),"다기관",IF($AF217="","",INDEX(입력_파견수련계획!$T$4:$T$803,$AF217))),IF($AF217="","",INDEX(입력_파견수련계획!$T$4:$T$803,$AF217))))</f>
        <v/>
      </c>
      <c r="Q217" s="10">
        <f>IF($AF217="","",INDEX(입력_파견수련계획!$S$4:$S$803,$AF217))</f>
        <v/>
      </c>
      <c r="R217" s="10">
        <f>IF($AF217="","",INDEX(입력_파견수련계획!$U$4:$U$803,$AF217))</f>
        <v/>
      </c>
      <c r="S217" s="11">
        <f>IF($AF217="","",IF(INDEX(입력_파견수련계획!$H$4:$H$803,$AF217)="","",INDEX(입력_파견수련계획!$H$4:$H$803,$AF217)))</f>
        <v/>
      </c>
      <c r="T217" s="11">
        <f>IF($AF217="","",IF(INDEX(입력_파견수련계획!$I$4:$I$803,$AF217)="","",INDEX(입력_파견수련계획!$I$4:$I$803,$AF217)))</f>
        <v/>
      </c>
      <c r="U217" s="10">
        <f>IF($AF217="","",INDEX(입력_파견수련계획!$X$4:$X$803,$AF217))</f>
        <v/>
      </c>
      <c r="V217" s="17">
        <f>IF($AF217="","",INDEX(입력_파견수련계획!$V$4:$V$803,$AF217))</f>
        <v/>
      </c>
      <c r="W217" s="17">
        <f>IF(AND($U217="파견중",$T217&lt;&gt;""),$T217-TODAY(),"")</f>
        <v/>
      </c>
      <c r="X217" s="17">
        <f>IF(OR($B217="",TRIM($J217&amp;"")=""),"",SUMPRODUCT((입력_파견수련계획!$Q$4:$Q$803=TRIM($J217&amp;""))*입력_파견수련계획!$W$4:$W$803))</f>
        <v/>
      </c>
      <c r="Y217" s="10">
        <f>IF($B217="","",IF($AG217="","",IF(IF(TRIM($J217&amp;"")="",0,SUMPRODUCT((입력_파견수련계획!$Q$4:$Q$803=TRIM($J217&amp;""))*입력_파견수련계획!$AD$4:$AD$803))&gt;0,$AE217,IF(AND(N($X217)&lt;=0,$AQ217=""),$AG217,IF($AH217+$AI217=DAY(EOMONTH(출력_요약!$B$3,0)),IF(AND($AH217&gt;=출력_요약!$E$3,$AI217&lt;출력_요약!$E$3),"서울병원",IF(AND($AI217&gt;=출력_요약!$E$3,$AH217&lt;출력_요약!$E$3),"구리병원","⚠15일 판정불가(서울 "&amp;$AH217&amp;"일/구리 "&amp;$AI217&amp;"일)")),IF($AJ217="",$AE217,IF(INDEX(입력_파견수련계획!$T$4:$T$803,$AJ217)="통합수련",INDEX(입력_파견수련계획!$S$4:$S$803,$AJ217),$AE217)))))))</f>
        <v/>
      </c>
      <c r="Z217" s="20">
        <f>IF($B217="","",IF($AB217="","기본자료에 없는 사번",IF(COUNTIF($B$2:$B$401,$B217)&gt;1,"중복 사번",IF($AE217="","소속(입사장소) 입력",IF(IF(TRIM($J217&amp;"")="",0,SUMPRODUCT((입력_파견수련계획!$Q$4:$Q$803=TRIM($J217&amp;""))*(입력_파견수련계획!$AA$4:$AA$803&lt;&gt;"")))&gt;0,"파견수련계획 입력오류 확인",IF(LEFT($Y217,1)="⚠","서울·구리 15일 판정 불가(양쪽 모두 이상/미만)",IF(IF($AC217="",0,N(INDEX(입력_인턴근무계획!$T$3:$T$402,$AC217)))&gt;0,"인턴계획 입력오류 확인",IF(AND($AQ217&lt;&gt;"",$AG217&lt;&gt;"구리병원",IF(TRIM($J217&amp;"")="",0,SUMPRODUCT((입력_파견수련계획!$Q$4:$Q$803=TRIM($J217&amp;""))*(입력_파견수련계획!$S$4:$S$803="구리병원")*입력_파견수련계획!$W$4:$W$803))=0),"구리 근무자명단에만 있음(파견수련계획 확인)",IF(AND($AC217&lt;&gt;"",$U217&lt;&gt;"파견중",$N217&lt;&gt;$AE217),"인턴 타지역 근무: 파견 여부 확인","정상")))))))))</f>
        <v/>
      </c>
      <c r="AA217" s="5" t="n"/>
      <c r="AB217" s="10">
        <f>IF($B217="","",IFERROR(MATCH($B217,입력_기본자료!$B$2:$B$1001,0),IFERROR(MATCH($B217&amp;"",입력_기본자료!$B$2:$B$1001,0),IFERROR(MATCH(VALUE($B217),입력_기본자료!$B$2:$B$1001,0),""))))</f>
        <v/>
      </c>
      <c r="AC217" s="10">
        <f>IF($B217="","",IFERROR(MATCH($B217,입력_인턴근무계획!$D$3:$D$402,0),IFERROR(MATCH($B217&amp;"",입력_인턴근무계획!$D$3:$D$402,0),IFERROR(MATCH(VALUE($B217),입력_인턴근무계획!$D$3:$D$402,0),""))))</f>
        <v/>
      </c>
      <c r="AD217" s="10">
        <f>IF(OR($AC217="",출력_인턴현황!$G$3=""),"",INDEX(입력_인턴근무계획!$M$3:$R$402,$AC217,출력_인턴현황!$G$3)&amp;"")</f>
        <v/>
      </c>
      <c r="AE217" s="10">
        <f>IF($B217="","",IF($M217&lt;&gt;"",$M217,IF(IF($AQ217="",FALSE,INDEX(출력_구리근무자!$J$6:$J$305,$AQ217)="구리독자"),"구리병원",IF($AF217&lt;&gt;"",IF(LEFT(INDEX(입력_파견수련계획!$R$4:$R$803,$AF217),1)&lt;&gt;"⚠",INDEX(입력_파견수련계획!$R$4:$R$803,$AF217),IF($H217="","",IF(RIGHT($H217,2)="병원",$H217,$H217&amp;"병원"))),IF($H217="","",IF(RIGHT($H217,2)="병원",$H217,$H217&amp;"병원"))))))</f>
        <v/>
      </c>
      <c r="AF217" s="10">
        <f>IF(OR($B217="",TRIM($J217&amp;"")=""),"",IFERROR(MATCH(TRIM($J217&amp;"")&amp;"|파견중",입력_파견수련계획!$Y$4:$Y$803,0),IFERROR(MATCH(TRIM($J217&amp;"")&amp;"|파견예정",입력_파견수련계획!$Y$4:$Y$803,0),IFERROR(MATCH(TRIM($J217&amp;"")&amp;"|파견종료",입력_파견수련계획!$Y$4:$Y$803,0),""))))</f>
        <v/>
      </c>
      <c r="AG217" s="10">
        <f>IF($B217="","",IF(AND(IF(OR($AC217="",출력_인턴현황!$K$2=""),"",INDEX(입력_인턴근무계획!$M$3:$R$402,$AC217,출력_인턴현황!$K$2)&amp;"")&lt;&gt;"",LEFT(IF(OR($AC217="",출력_인턴현황!$K$2=""),"",INDEX(입력_인턴근무계획!$M$3:$R$402,$AC217,출력_인턴현황!$K$2)&amp;""),1)&lt;&gt;"⚠"),LEFT(IF(OR($AC217="",출력_인턴현황!$K$2=""),"",INDEX(입력_인턴근무계획!$M$3:$R$402,$AC217,출력_인턴현황!$K$2)&amp;""),FIND(" ",IF(OR($AC217="",출력_인턴현황!$K$2=""),"",INDEX(입력_인턴근무계획!$M$3:$R$402,$AC217,출력_인턴현황!$K$2)&amp;""))-1),$AE217))</f>
        <v/>
      </c>
      <c r="AH217" s="17">
        <f>IF($B217="","",IF($AQ217&lt;&gt;"",MAX(0,DAY(EOMONTH(출력_요약!$B$3,0))-N($AR217)),IF(TRIM($J217&amp;"")="",0,SUMPRODUCT((입력_파견수련계획!$Q$4:$Q$803=TRIM($J217&amp;""))*(입력_파견수련계획!$S$4:$S$803="서울병원")*입력_파견수련계획!$W$4:$W$803))+IF($AG217="서울병원",MAX(0,DAY(EOMONTH(출력_요약!$B$3,0))-N($X217)),0)))</f>
        <v/>
      </c>
      <c r="AI217" s="17">
        <f>IF($B217="","",IF($AQ217&lt;&gt;"",N($AR217),IF(TRIM($J217&amp;"")="",0,SUMPRODUCT((입력_파견수련계획!$Q$4:$Q$803=TRIM($J217&amp;""))*(입력_파견수련계획!$S$4:$S$803="구리병원")*입력_파견수련계획!$W$4:$W$803))+IF($AG217="구리병원",MAX(0,DAY(EOMONTH(출력_요약!$B$3,0))-N($X217)),0)))</f>
        <v/>
      </c>
      <c r="AJ217" s="10">
        <f>IF(OR($B217="",TRIM($J217&amp;"")=""),"",IFERROR(MATCH(TRIM($J217&amp;"")&amp;"|월",입력_파견수련계획!$Z$4:$Z$803,0),""))</f>
        <v/>
      </c>
      <c r="AK217" s="10">
        <f>IF(OR($B217="",TRIM($J217&amp;"")=""),"",IFERROR(MATCH(TRIM($J217&amp;"")&amp;"|다기관",입력_파견수련계획!$AE$4:$AE$803,0),""))</f>
        <v/>
      </c>
      <c r="AL217" s="10">
        <f>IF($AK217="","","다기관 "&amp;TEXT(INDEX(입력_파견수련계획!$AB$4:$AB$803,$AK217),"yyyy-mm-dd")&amp;"~"&amp;IF(ISNUMBER(INDEX(입력_파견수련계획!$AC$4:$AC$803,$AK217)),TEXT(INDEX(입력_파견수련계획!$AC$4:$AC$803,$AK217),"yyyy-mm-dd"),""))</f>
        <v/>
      </c>
      <c r="AM217" s="10">
        <f>IF($Y217="서울병원",COUNTIF($Y$2:$Y217,"서울병원"),"")</f>
        <v/>
      </c>
      <c r="AN217" s="10">
        <f>IF(LEFT($Y217,1)="⚠",COUNTIF($Y$2:$Y217,"⚠*"),"")</f>
        <v/>
      </c>
      <c r="AO217" s="10">
        <f>IF(OR($B217="",$Y217=""),"",IF(IF(TRIM($J217&amp;"")="",0,SUMPRODUCT((입력_파견수련계획!$Q$4:$Q$803=TRIM($J217&amp;""))*입력_파견수련계획!$AD$4:$AD$803))&gt;0,"다기관 기간 → 소속병원 지급",IF(AND(N($X217)&lt;=0,$AQ217=""),"파견 없음 → 그 달 근무병원 지급",IF($AH217+$AI217=DAY(EOMONTH(출력_요약!$B$3,0)),"서울 "&amp;$AH217&amp;"일 / 구리 "&amp;$AI217&amp;"일"&amp;IF($AQ217&lt;&gt;""," (구리 근무자명단 반영)","")&amp;" → 15일 이상 근무 병원 지급","타 병원 포함 → "&amp;IF($AJ217="","소속",INDEX(입력_파견수련계획!$T$4:$T$803,$AJ217))&amp;" 규칙"))))</f>
        <v/>
      </c>
      <c r="AP217" s="10">
        <f>IF($B217="","",$C217&amp;"|"&amp;$F217)</f>
        <v/>
      </c>
      <c r="AQ217" s="10">
        <f>IF($B217="","",IFERROR(MATCH(ROW()-1,출력_구리근무자!$K$6:$K$305,0),""))</f>
        <v/>
      </c>
      <c r="AR217" s="10">
        <f>IF($AQ217="","",INDEX(출력_구리근무자!$H$6:$H$305,$AQ217))</f>
        <v/>
      </c>
    </row>
    <row r="218">
      <c r="A218" s="10">
        <f>IF(B218="","",ROW()-1)</f>
        <v/>
      </c>
      <c r="B218" s="19" t="n"/>
      <c r="C218" s="10">
        <f>IF($AB218="","",IF(INDEX(입력_기본자료!$C$2:$C$1001,$AB218)="","",INDEX(입력_기본자료!$C$2:$C$1001,$AB218)))</f>
        <v/>
      </c>
      <c r="D218" s="10">
        <f>IF($AB218="","",IF(INDEX(입력_기본자료!$J$2:$J$1001,$AB218)="","",INDEX(입력_기본자료!$J$2:$J$1001,$AB218)))</f>
        <v/>
      </c>
      <c r="E218" s="11">
        <f>IF($AB218="","",IF(INDEX(입력_기본자료!$K$2:$K$1001,$AB218)="","",IF(NOT(ISNUMBER(INDEX(입력_기본자료!$K$2:$K$1001,$AB218))),INDEX(입력_기본자료!$K$2:$K$1001,$AB218),IF(INDEX(입력_기본자료!$K$2:$K$1001,$AB218)&lt;1000000,INDEX(입력_기본자료!$K$2:$K$1001,$AB218),IF(AND(INDEX(입력_기본자료!$K$2:$K$1001,$AB218)&gt;=10000101,INT(MOD(INDEX(입력_기본자료!$K$2:$K$1001,$AB218),10000)/100)&gt;=1,INT(MOD(INDEX(입력_기본자료!$K$2:$K$1001,$AB218),10000)/100)&lt;=12,MOD(INDEX(입력_기본자료!$K$2:$K$1001,$AB218),100)&gt;=1,MOD(INDEX(입력_기본자료!$K$2:$K$1001,$AB218),100)&lt;=31),DATE(INT(INDEX(입력_기본자료!$K$2:$K$1001,$AB218)/10000),INT(MOD(INDEX(입력_기본자료!$K$2:$K$1001,$AB218),10000)/100),MOD(INDEX(입력_기본자료!$K$2:$K$1001,$AB218),100)),INDEX(입력_기본자료!$K$2:$K$1001,$AB218)&amp;"")))))</f>
        <v/>
      </c>
      <c r="F218" s="10">
        <f>IF($AB218="","",IF(INDEX(입력_기본자료!$D$2:$D$1001,$AB218)="","",INDEX(입력_기본자료!$D$2:$D$1001,$AB218)))</f>
        <v/>
      </c>
      <c r="G218" s="10">
        <f>IF($AB218="","",IF(INDEX(입력_기본자료!$E$2:$E$1001,$AB218)="","",INDEX(입력_기본자료!$E$2:$E$1001,$AB218)))</f>
        <v/>
      </c>
      <c r="H218" s="10">
        <f>IF($AB218="","",IF(INDEX(입력_기본자료!$F$2:$F$1001,$AB218)="","",INDEX(입력_기본자료!$F$2:$F$1001,$AB218)))</f>
        <v/>
      </c>
      <c r="I218" s="11">
        <f>IF($AB218="","",IF(INDEX(입력_기본자료!$G$2:$G$1001,$AB218)="","",IF(NOT(ISNUMBER(INDEX(입력_기본자료!$G$2:$G$1001,$AB218))),INDEX(입력_기본자료!$G$2:$G$1001,$AB218),IF(INDEX(입력_기본자료!$G$2:$G$1001,$AB218)&lt;1000000,INDEX(입력_기본자료!$G$2:$G$1001,$AB218),IF(AND(INDEX(입력_기본자료!$G$2:$G$1001,$AB218)&gt;=10000101,INT(MOD(INDEX(입력_기본자료!$G$2:$G$1001,$AB218),10000)/100)&gt;=1,INT(MOD(INDEX(입력_기본자료!$G$2:$G$1001,$AB218),10000)/100)&lt;=12,MOD(INDEX(입력_기본자료!$G$2:$G$1001,$AB218),100)&gt;=1,MOD(INDEX(입력_기본자료!$G$2:$G$1001,$AB218),100)&lt;=31),DATE(INT(INDEX(입력_기본자료!$G$2:$G$1001,$AB218)/10000),INT(MOD(INDEX(입력_기본자료!$G$2:$G$1001,$AB218),10000)/100),MOD(INDEX(입력_기본자료!$G$2:$G$1001,$AB218),100)),INDEX(입력_기본자료!$G$2:$G$1001,$AB218)&amp;"")))))</f>
        <v/>
      </c>
      <c r="J218" s="10">
        <f>IF($AB218="","",IF(INDEX(입력_기본자료!$H$2:$H$1001,$AB218)="","",INDEX(입력_기본자료!$H$2:$H$1001,$AB218)))</f>
        <v/>
      </c>
      <c r="K218" s="10">
        <f>IF($AB218="","",IF(INDEX(입력_기본자료!$I$2:$I$1001,$AB218)="","",INDEX(입력_기본자료!$I$2:$I$1001,$AB218)))</f>
        <v/>
      </c>
      <c r="L218" s="10">
        <f>IF($AB218="","",IF(INDEX(입력_기본자료!$A$2:$A$1001,$AB218)="","",INDEX(입력_기본자료!$A$2:$A$1001,$AB218)))</f>
        <v/>
      </c>
      <c r="M218" s="15" t="n"/>
      <c r="N218" s="10">
        <f>IF($B218="","",IF(AND($U218="파견중",$Q218&lt;&gt;""),$Q218,IF(AND($AD218&lt;&gt;"",LEFT($AD218,1)&lt;&gt;"⚠"),LEFT($AD218,FIND(" ",$AD218)-1),IF($H218="","",IF(RIGHT($H218,2)="병원",$H218,$H218&amp;"병원")))))</f>
        <v/>
      </c>
      <c r="O218" s="10">
        <f>IF($B218="","",IF(AND($U218="파견중",$Q218&lt;&gt;""),IF($R218&lt;&gt;"",$R218,"파견과 미입력"),IF(AND($AD218&lt;&gt;"",LEFT($AD218,1)&lt;&gt;"⚠"),MID($AD218,FIND(" ",$AD218)+1,60),IF($F218="","",IF($F218="인턴","수련교육부(인턴)",$F218)))))</f>
        <v/>
      </c>
      <c r="P218" s="10">
        <f>IF($B218="","",IF($AK218&lt;&gt;"",IF(AND(TODAY()&gt;=INDEX(입력_파견수련계획!$AB$4:$AB$803,$AK218),OR(NOT(ISNUMBER(INDEX(입력_파견수련계획!$AC$4:$AC$803,$AK218))),TODAY()&lt;=INDEX(입력_파견수련계획!$AC$4:$AC$803,$AK218))),"다기관",IF($AF218="","",INDEX(입력_파견수련계획!$T$4:$T$803,$AF218))),IF($AF218="","",INDEX(입력_파견수련계획!$T$4:$T$803,$AF218))))</f>
        <v/>
      </c>
      <c r="Q218" s="10">
        <f>IF($AF218="","",INDEX(입력_파견수련계획!$S$4:$S$803,$AF218))</f>
        <v/>
      </c>
      <c r="R218" s="10">
        <f>IF($AF218="","",INDEX(입력_파견수련계획!$U$4:$U$803,$AF218))</f>
        <v/>
      </c>
      <c r="S218" s="11">
        <f>IF($AF218="","",IF(INDEX(입력_파견수련계획!$H$4:$H$803,$AF218)="","",INDEX(입력_파견수련계획!$H$4:$H$803,$AF218)))</f>
        <v/>
      </c>
      <c r="T218" s="11">
        <f>IF($AF218="","",IF(INDEX(입력_파견수련계획!$I$4:$I$803,$AF218)="","",INDEX(입력_파견수련계획!$I$4:$I$803,$AF218)))</f>
        <v/>
      </c>
      <c r="U218" s="10">
        <f>IF($AF218="","",INDEX(입력_파견수련계획!$X$4:$X$803,$AF218))</f>
        <v/>
      </c>
      <c r="V218" s="17">
        <f>IF($AF218="","",INDEX(입력_파견수련계획!$V$4:$V$803,$AF218))</f>
        <v/>
      </c>
      <c r="W218" s="17">
        <f>IF(AND($U218="파견중",$T218&lt;&gt;""),$T218-TODAY(),"")</f>
        <v/>
      </c>
      <c r="X218" s="17">
        <f>IF(OR($B218="",TRIM($J218&amp;"")=""),"",SUMPRODUCT((입력_파견수련계획!$Q$4:$Q$803=TRIM($J218&amp;""))*입력_파견수련계획!$W$4:$W$803))</f>
        <v/>
      </c>
      <c r="Y218" s="10">
        <f>IF($B218="","",IF($AG218="","",IF(IF(TRIM($J218&amp;"")="",0,SUMPRODUCT((입력_파견수련계획!$Q$4:$Q$803=TRIM($J218&amp;""))*입력_파견수련계획!$AD$4:$AD$803))&gt;0,$AE218,IF(AND(N($X218)&lt;=0,$AQ218=""),$AG218,IF($AH218+$AI218=DAY(EOMONTH(출력_요약!$B$3,0)),IF(AND($AH218&gt;=출력_요약!$E$3,$AI218&lt;출력_요약!$E$3),"서울병원",IF(AND($AI218&gt;=출력_요약!$E$3,$AH218&lt;출력_요약!$E$3),"구리병원","⚠15일 판정불가(서울 "&amp;$AH218&amp;"일/구리 "&amp;$AI218&amp;"일)")),IF($AJ218="",$AE218,IF(INDEX(입력_파견수련계획!$T$4:$T$803,$AJ218)="통합수련",INDEX(입력_파견수련계획!$S$4:$S$803,$AJ218),$AE218)))))))</f>
        <v/>
      </c>
      <c r="Z218" s="20">
        <f>IF($B218="","",IF($AB218="","기본자료에 없는 사번",IF(COUNTIF($B$2:$B$401,$B218)&gt;1,"중복 사번",IF($AE218="","소속(입사장소) 입력",IF(IF(TRIM($J218&amp;"")="",0,SUMPRODUCT((입력_파견수련계획!$Q$4:$Q$803=TRIM($J218&amp;""))*(입력_파견수련계획!$AA$4:$AA$803&lt;&gt;"")))&gt;0,"파견수련계획 입력오류 확인",IF(LEFT($Y218,1)="⚠","서울·구리 15일 판정 불가(양쪽 모두 이상/미만)",IF(IF($AC218="",0,N(INDEX(입력_인턴근무계획!$T$3:$T$402,$AC218)))&gt;0,"인턴계획 입력오류 확인",IF(AND($AQ218&lt;&gt;"",$AG218&lt;&gt;"구리병원",IF(TRIM($J218&amp;"")="",0,SUMPRODUCT((입력_파견수련계획!$Q$4:$Q$803=TRIM($J218&amp;""))*(입력_파견수련계획!$S$4:$S$803="구리병원")*입력_파견수련계획!$W$4:$W$803))=0),"구리 근무자명단에만 있음(파견수련계획 확인)",IF(AND($AC218&lt;&gt;"",$U218&lt;&gt;"파견중",$N218&lt;&gt;$AE218),"인턴 타지역 근무: 파견 여부 확인","정상")))))))))</f>
        <v/>
      </c>
      <c r="AA218" s="5" t="n"/>
      <c r="AB218" s="10">
        <f>IF($B218="","",IFERROR(MATCH($B218,입력_기본자료!$B$2:$B$1001,0),IFERROR(MATCH($B218&amp;"",입력_기본자료!$B$2:$B$1001,0),IFERROR(MATCH(VALUE($B218),입력_기본자료!$B$2:$B$1001,0),""))))</f>
        <v/>
      </c>
      <c r="AC218" s="10">
        <f>IF($B218="","",IFERROR(MATCH($B218,입력_인턴근무계획!$D$3:$D$402,0),IFERROR(MATCH($B218&amp;"",입력_인턴근무계획!$D$3:$D$402,0),IFERROR(MATCH(VALUE($B218),입력_인턴근무계획!$D$3:$D$402,0),""))))</f>
        <v/>
      </c>
      <c r="AD218" s="10">
        <f>IF(OR($AC218="",출력_인턴현황!$G$3=""),"",INDEX(입력_인턴근무계획!$M$3:$R$402,$AC218,출력_인턴현황!$G$3)&amp;"")</f>
        <v/>
      </c>
      <c r="AE218" s="10">
        <f>IF($B218="","",IF($M218&lt;&gt;"",$M218,IF(IF($AQ218="",FALSE,INDEX(출력_구리근무자!$J$6:$J$305,$AQ218)="구리독자"),"구리병원",IF($AF218&lt;&gt;"",IF(LEFT(INDEX(입력_파견수련계획!$R$4:$R$803,$AF218),1)&lt;&gt;"⚠",INDEX(입력_파견수련계획!$R$4:$R$803,$AF218),IF($H218="","",IF(RIGHT($H218,2)="병원",$H218,$H218&amp;"병원"))),IF($H218="","",IF(RIGHT($H218,2)="병원",$H218,$H218&amp;"병원"))))))</f>
        <v/>
      </c>
      <c r="AF218" s="10">
        <f>IF(OR($B218="",TRIM($J218&amp;"")=""),"",IFERROR(MATCH(TRIM($J218&amp;"")&amp;"|파견중",입력_파견수련계획!$Y$4:$Y$803,0),IFERROR(MATCH(TRIM($J218&amp;"")&amp;"|파견예정",입력_파견수련계획!$Y$4:$Y$803,0),IFERROR(MATCH(TRIM($J218&amp;"")&amp;"|파견종료",입력_파견수련계획!$Y$4:$Y$803,0),""))))</f>
        <v/>
      </c>
      <c r="AG218" s="10">
        <f>IF($B218="","",IF(AND(IF(OR($AC218="",출력_인턴현황!$K$2=""),"",INDEX(입력_인턴근무계획!$M$3:$R$402,$AC218,출력_인턴현황!$K$2)&amp;"")&lt;&gt;"",LEFT(IF(OR($AC218="",출력_인턴현황!$K$2=""),"",INDEX(입력_인턴근무계획!$M$3:$R$402,$AC218,출력_인턴현황!$K$2)&amp;""),1)&lt;&gt;"⚠"),LEFT(IF(OR($AC218="",출력_인턴현황!$K$2=""),"",INDEX(입력_인턴근무계획!$M$3:$R$402,$AC218,출력_인턴현황!$K$2)&amp;""),FIND(" ",IF(OR($AC218="",출력_인턴현황!$K$2=""),"",INDEX(입력_인턴근무계획!$M$3:$R$402,$AC218,출력_인턴현황!$K$2)&amp;""))-1),$AE218))</f>
        <v/>
      </c>
      <c r="AH218" s="17">
        <f>IF($B218="","",IF($AQ218&lt;&gt;"",MAX(0,DAY(EOMONTH(출력_요약!$B$3,0))-N($AR218)),IF(TRIM($J218&amp;"")="",0,SUMPRODUCT((입력_파견수련계획!$Q$4:$Q$803=TRIM($J218&amp;""))*(입력_파견수련계획!$S$4:$S$803="서울병원")*입력_파견수련계획!$W$4:$W$803))+IF($AG218="서울병원",MAX(0,DAY(EOMONTH(출력_요약!$B$3,0))-N($X218)),0)))</f>
        <v/>
      </c>
      <c r="AI218" s="17">
        <f>IF($B218="","",IF($AQ218&lt;&gt;"",N($AR218),IF(TRIM($J218&amp;"")="",0,SUMPRODUCT((입력_파견수련계획!$Q$4:$Q$803=TRIM($J218&amp;""))*(입력_파견수련계획!$S$4:$S$803="구리병원")*입력_파견수련계획!$W$4:$W$803))+IF($AG218="구리병원",MAX(0,DAY(EOMONTH(출력_요약!$B$3,0))-N($X218)),0)))</f>
        <v/>
      </c>
      <c r="AJ218" s="10">
        <f>IF(OR($B218="",TRIM($J218&amp;"")=""),"",IFERROR(MATCH(TRIM($J218&amp;"")&amp;"|월",입력_파견수련계획!$Z$4:$Z$803,0),""))</f>
        <v/>
      </c>
      <c r="AK218" s="10">
        <f>IF(OR($B218="",TRIM($J218&amp;"")=""),"",IFERROR(MATCH(TRIM($J218&amp;"")&amp;"|다기관",입력_파견수련계획!$AE$4:$AE$803,0),""))</f>
        <v/>
      </c>
      <c r="AL218" s="10">
        <f>IF($AK218="","","다기관 "&amp;TEXT(INDEX(입력_파견수련계획!$AB$4:$AB$803,$AK218),"yyyy-mm-dd")&amp;"~"&amp;IF(ISNUMBER(INDEX(입력_파견수련계획!$AC$4:$AC$803,$AK218)),TEXT(INDEX(입력_파견수련계획!$AC$4:$AC$803,$AK218),"yyyy-mm-dd"),""))</f>
        <v/>
      </c>
      <c r="AM218" s="10">
        <f>IF($Y218="서울병원",COUNTIF($Y$2:$Y218,"서울병원"),"")</f>
        <v/>
      </c>
      <c r="AN218" s="10">
        <f>IF(LEFT($Y218,1)="⚠",COUNTIF($Y$2:$Y218,"⚠*"),"")</f>
        <v/>
      </c>
      <c r="AO218" s="10">
        <f>IF(OR($B218="",$Y218=""),"",IF(IF(TRIM($J218&amp;"")="",0,SUMPRODUCT((입력_파견수련계획!$Q$4:$Q$803=TRIM($J218&amp;""))*입력_파견수련계획!$AD$4:$AD$803))&gt;0,"다기관 기간 → 소속병원 지급",IF(AND(N($X218)&lt;=0,$AQ218=""),"파견 없음 → 그 달 근무병원 지급",IF($AH218+$AI218=DAY(EOMONTH(출력_요약!$B$3,0)),"서울 "&amp;$AH218&amp;"일 / 구리 "&amp;$AI218&amp;"일"&amp;IF($AQ218&lt;&gt;""," (구리 근무자명단 반영)","")&amp;" → 15일 이상 근무 병원 지급","타 병원 포함 → "&amp;IF($AJ218="","소속",INDEX(입력_파견수련계획!$T$4:$T$803,$AJ218))&amp;" 규칙"))))</f>
        <v/>
      </c>
      <c r="AP218" s="10">
        <f>IF($B218="","",$C218&amp;"|"&amp;$F218)</f>
        <v/>
      </c>
      <c r="AQ218" s="10">
        <f>IF($B218="","",IFERROR(MATCH(ROW()-1,출력_구리근무자!$K$6:$K$305,0),""))</f>
        <v/>
      </c>
      <c r="AR218" s="10">
        <f>IF($AQ218="","",INDEX(출력_구리근무자!$H$6:$H$305,$AQ218))</f>
        <v/>
      </c>
    </row>
    <row r="219">
      <c r="A219" s="10">
        <f>IF(B219="","",ROW()-1)</f>
        <v/>
      </c>
      <c r="B219" s="19" t="n"/>
      <c r="C219" s="10">
        <f>IF($AB219="","",IF(INDEX(입력_기본자료!$C$2:$C$1001,$AB219)="","",INDEX(입력_기본자료!$C$2:$C$1001,$AB219)))</f>
        <v/>
      </c>
      <c r="D219" s="10">
        <f>IF($AB219="","",IF(INDEX(입력_기본자료!$J$2:$J$1001,$AB219)="","",INDEX(입력_기본자료!$J$2:$J$1001,$AB219)))</f>
        <v/>
      </c>
      <c r="E219" s="11">
        <f>IF($AB219="","",IF(INDEX(입력_기본자료!$K$2:$K$1001,$AB219)="","",IF(NOT(ISNUMBER(INDEX(입력_기본자료!$K$2:$K$1001,$AB219))),INDEX(입력_기본자료!$K$2:$K$1001,$AB219),IF(INDEX(입력_기본자료!$K$2:$K$1001,$AB219)&lt;1000000,INDEX(입력_기본자료!$K$2:$K$1001,$AB219),IF(AND(INDEX(입력_기본자료!$K$2:$K$1001,$AB219)&gt;=10000101,INT(MOD(INDEX(입력_기본자료!$K$2:$K$1001,$AB219),10000)/100)&gt;=1,INT(MOD(INDEX(입력_기본자료!$K$2:$K$1001,$AB219),10000)/100)&lt;=12,MOD(INDEX(입력_기본자료!$K$2:$K$1001,$AB219),100)&gt;=1,MOD(INDEX(입력_기본자료!$K$2:$K$1001,$AB219),100)&lt;=31),DATE(INT(INDEX(입력_기본자료!$K$2:$K$1001,$AB219)/10000),INT(MOD(INDEX(입력_기본자료!$K$2:$K$1001,$AB219),10000)/100),MOD(INDEX(입력_기본자료!$K$2:$K$1001,$AB219),100)),INDEX(입력_기본자료!$K$2:$K$1001,$AB219)&amp;"")))))</f>
        <v/>
      </c>
      <c r="F219" s="10">
        <f>IF($AB219="","",IF(INDEX(입력_기본자료!$D$2:$D$1001,$AB219)="","",INDEX(입력_기본자료!$D$2:$D$1001,$AB219)))</f>
        <v/>
      </c>
      <c r="G219" s="10">
        <f>IF($AB219="","",IF(INDEX(입력_기본자료!$E$2:$E$1001,$AB219)="","",INDEX(입력_기본자료!$E$2:$E$1001,$AB219)))</f>
        <v/>
      </c>
      <c r="H219" s="10">
        <f>IF($AB219="","",IF(INDEX(입력_기본자료!$F$2:$F$1001,$AB219)="","",INDEX(입력_기본자료!$F$2:$F$1001,$AB219)))</f>
        <v/>
      </c>
      <c r="I219" s="11">
        <f>IF($AB219="","",IF(INDEX(입력_기본자료!$G$2:$G$1001,$AB219)="","",IF(NOT(ISNUMBER(INDEX(입력_기본자료!$G$2:$G$1001,$AB219))),INDEX(입력_기본자료!$G$2:$G$1001,$AB219),IF(INDEX(입력_기본자료!$G$2:$G$1001,$AB219)&lt;1000000,INDEX(입력_기본자료!$G$2:$G$1001,$AB219),IF(AND(INDEX(입력_기본자료!$G$2:$G$1001,$AB219)&gt;=10000101,INT(MOD(INDEX(입력_기본자료!$G$2:$G$1001,$AB219),10000)/100)&gt;=1,INT(MOD(INDEX(입력_기본자료!$G$2:$G$1001,$AB219),10000)/100)&lt;=12,MOD(INDEX(입력_기본자료!$G$2:$G$1001,$AB219),100)&gt;=1,MOD(INDEX(입력_기본자료!$G$2:$G$1001,$AB219),100)&lt;=31),DATE(INT(INDEX(입력_기본자료!$G$2:$G$1001,$AB219)/10000),INT(MOD(INDEX(입력_기본자료!$G$2:$G$1001,$AB219),10000)/100),MOD(INDEX(입력_기본자료!$G$2:$G$1001,$AB219),100)),INDEX(입력_기본자료!$G$2:$G$1001,$AB219)&amp;"")))))</f>
        <v/>
      </c>
      <c r="J219" s="10">
        <f>IF($AB219="","",IF(INDEX(입력_기본자료!$H$2:$H$1001,$AB219)="","",INDEX(입력_기본자료!$H$2:$H$1001,$AB219)))</f>
        <v/>
      </c>
      <c r="K219" s="10">
        <f>IF($AB219="","",IF(INDEX(입력_기본자료!$I$2:$I$1001,$AB219)="","",INDEX(입력_기본자료!$I$2:$I$1001,$AB219)))</f>
        <v/>
      </c>
      <c r="L219" s="10">
        <f>IF($AB219="","",IF(INDEX(입력_기본자료!$A$2:$A$1001,$AB219)="","",INDEX(입력_기본자료!$A$2:$A$1001,$AB219)))</f>
        <v/>
      </c>
      <c r="M219" s="15" t="n"/>
      <c r="N219" s="10">
        <f>IF($B219="","",IF(AND($U219="파견중",$Q219&lt;&gt;""),$Q219,IF(AND($AD219&lt;&gt;"",LEFT($AD219,1)&lt;&gt;"⚠"),LEFT($AD219,FIND(" ",$AD219)-1),IF($H219="","",IF(RIGHT($H219,2)="병원",$H219,$H219&amp;"병원")))))</f>
        <v/>
      </c>
      <c r="O219" s="10">
        <f>IF($B219="","",IF(AND($U219="파견중",$Q219&lt;&gt;""),IF($R219&lt;&gt;"",$R219,"파견과 미입력"),IF(AND($AD219&lt;&gt;"",LEFT($AD219,1)&lt;&gt;"⚠"),MID($AD219,FIND(" ",$AD219)+1,60),IF($F219="","",IF($F219="인턴","수련교육부(인턴)",$F219)))))</f>
        <v/>
      </c>
      <c r="P219" s="10">
        <f>IF($B219="","",IF($AK219&lt;&gt;"",IF(AND(TODAY()&gt;=INDEX(입력_파견수련계획!$AB$4:$AB$803,$AK219),OR(NOT(ISNUMBER(INDEX(입력_파견수련계획!$AC$4:$AC$803,$AK219))),TODAY()&lt;=INDEX(입력_파견수련계획!$AC$4:$AC$803,$AK219))),"다기관",IF($AF219="","",INDEX(입력_파견수련계획!$T$4:$T$803,$AF219))),IF($AF219="","",INDEX(입력_파견수련계획!$T$4:$T$803,$AF219))))</f>
        <v/>
      </c>
      <c r="Q219" s="10">
        <f>IF($AF219="","",INDEX(입력_파견수련계획!$S$4:$S$803,$AF219))</f>
        <v/>
      </c>
      <c r="R219" s="10">
        <f>IF($AF219="","",INDEX(입력_파견수련계획!$U$4:$U$803,$AF219))</f>
        <v/>
      </c>
      <c r="S219" s="11">
        <f>IF($AF219="","",IF(INDEX(입력_파견수련계획!$H$4:$H$803,$AF219)="","",INDEX(입력_파견수련계획!$H$4:$H$803,$AF219)))</f>
        <v/>
      </c>
      <c r="T219" s="11">
        <f>IF($AF219="","",IF(INDEX(입력_파견수련계획!$I$4:$I$803,$AF219)="","",INDEX(입력_파견수련계획!$I$4:$I$803,$AF219)))</f>
        <v/>
      </c>
      <c r="U219" s="10">
        <f>IF($AF219="","",INDEX(입력_파견수련계획!$X$4:$X$803,$AF219))</f>
        <v/>
      </c>
      <c r="V219" s="17">
        <f>IF($AF219="","",INDEX(입력_파견수련계획!$V$4:$V$803,$AF219))</f>
        <v/>
      </c>
      <c r="W219" s="17">
        <f>IF(AND($U219="파견중",$T219&lt;&gt;""),$T219-TODAY(),"")</f>
        <v/>
      </c>
      <c r="X219" s="17">
        <f>IF(OR($B219="",TRIM($J219&amp;"")=""),"",SUMPRODUCT((입력_파견수련계획!$Q$4:$Q$803=TRIM($J219&amp;""))*입력_파견수련계획!$W$4:$W$803))</f>
        <v/>
      </c>
      <c r="Y219" s="10">
        <f>IF($B219="","",IF($AG219="","",IF(IF(TRIM($J219&amp;"")="",0,SUMPRODUCT((입력_파견수련계획!$Q$4:$Q$803=TRIM($J219&amp;""))*입력_파견수련계획!$AD$4:$AD$803))&gt;0,$AE219,IF(AND(N($X219)&lt;=0,$AQ219=""),$AG219,IF($AH219+$AI219=DAY(EOMONTH(출력_요약!$B$3,0)),IF(AND($AH219&gt;=출력_요약!$E$3,$AI219&lt;출력_요약!$E$3),"서울병원",IF(AND($AI219&gt;=출력_요약!$E$3,$AH219&lt;출력_요약!$E$3),"구리병원","⚠15일 판정불가(서울 "&amp;$AH219&amp;"일/구리 "&amp;$AI219&amp;"일)")),IF($AJ219="",$AE219,IF(INDEX(입력_파견수련계획!$T$4:$T$803,$AJ219)="통합수련",INDEX(입력_파견수련계획!$S$4:$S$803,$AJ219),$AE219)))))))</f>
        <v/>
      </c>
      <c r="Z219" s="20">
        <f>IF($B219="","",IF($AB219="","기본자료에 없는 사번",IF(COUNTIF($B$2:$B$401,$B219)&gt;1,"중복 사번",IF($AE219="","소속(입사장소) 입력",IF(IF(TRIM($J219&amp;"")="",0,SUMPRODUCT((입력_파견수련계획!$Q$4:$Q$803=TRIM($J219&amp;""))*(입력_파견수련계획!$AA$4:$AA$803&lt;&gt;"")))&gt;0,"파견수련계획 입력오류 확인",IF(LEFT($Y219,1)="⚠","서울·구리 15일 판정 불가(양쪽 모두 이상/미만)",IF(IF($AC219="",0,N(INDEX(입력_인턴근무계획!$T$3:$T$402,$AC219)))&gt;0,"인턴계획 입력오류 확인",IF(AND($AQ219&lt;&gt;"",$AG219&lt;&gt;"구리병원",IF(TRIM($J219&amp;"")="",0,SUMPRODUCT((입력_파견수련계획!$Q$4:$Q$803=TRIM($J219&amp;""))*(입력_파견수련계획!$S$4:$S$803="구리병원")*입력_파견수련계획!$W$4:$W$803))=0),"구리 근무자명단에만 있음(파견수련계획 확인)",IF(AND($AC219&lt;&gt;"",$U219&lt;&gt;"파견중",$N219&lt;&gt;$AE219),"인턴 타지역 근무: 파견 여부 확인","정상")))))))))</f>
        <v/>
      </c>
      <c r="AA219" s="5" t="n"/>
      <c r="AB219" s="10">
        <f>IF($B219="","",IFERROR(MATCH($B219,입력_기본자료!$B$2:$B$1001,0),IFERROR(MATCH($B219&amp;"",입력_기본자료!$B$2:$B$1001,0),IFERROR(MATCH(VALUE($B219),입력_기본자료!$B$2:$B$1001,0),""))))</f>
        <v/>
      </c>
      <c r="AC219" s="10">
        <f>IF($B219="","",IFERROR(MATCH($B219,입력_인턴근무계획!$D$3:$D$402,0),IFERROR(MATCH($B219&amp;"",입력_인턴근무계획!$D$3:$D$402,0),IFERROR(MATCH(VALUE($B219),입력_인턴근무계획!$D$3:$D$402,0),""))))</f>
        <v/>
      </c>
      <c r="AD219" s="10">
        <f>IF(OR($AC219="",출력_인턴현황!$G$3=""),"",INDEX(입력_인턴근무계획!$M$3:$R$402,$AC219,출력_인턴현황!$G$3)&amp;"")</f>
        <v/>
      </c>
      <c r="AE219" s="10">
        <f>IF($B219="","",IF($M219&lt;&gt;"",$M219,IF(IF($AQ219="",FALSE,INDEX(출력_구리근무자!$J$6:$J$305,$AQ219)="구리독자"),"구리병원",IF($AF219&lt;&gt;"",IF(LEFT(INDEX(입력_파견수련계획!$R$4:$R$803,$AF219),1)&lt;&gt;"⚠",INDEX(입력_파견수련계획!$R$4:$R$803,$AF219),IF($H219="","",IF(RIGHT($H219,2)="병원",$H219,$H219&amp;"병원"))),IF($H219="","",IF(RIGHT($H219,2)="병원",$H219,$H219&amp;"병원"))))))</f>
        <v/>
      </c>
      <c r="AF219" s="10">
        <f>IF(OR($B219="",TRIM($J219&amp;"")=""),"",IFERROR(MATCH(TRIM($J219&amp;"")&amp;"|파견중",입력_파견수련계획!$Y$4:$Y$803,0),IFERROR(MATCH(TRIM($J219&amp;"")&amp;"|파견예정",입력_파견수련계획!$Y$4:$Y$803,0),IFERROR(MATCH(TRIM($J219&amp;"")&amp;"|파견종료",입력_파견수련계획!$Y$4:$Y$803,0),""))))</f>
        <v/>
      </c>
      <c r="AG219" s="10">
        <f>IF($B219="","",IF(AND(IF(OR($AC219="",출력_인턴현황!$K$2=""),"",INDEX(입력_인턴근무계획!$M$3:$R$402,$AC219,출력_인턴현황!$K$2)&amp;"")&lt;&gt;"",LEFT(IF(OR($AC219="",출력_인턴현황!$K$2=""),"",INDEX(입력_인턴근무계획!$M$3:$R$402,$AC219,출력_인턴현황!$K$2)&amp;""),1)&lt;&gt;"⚠"),LEFT(IF(OR($AC219="",출력_인턴현황!$K$2=""),"",INDEX(입력_인턴근무계획!$M$3:$R$402,$AC219,출력_인턴현황!$K$2)&amp;""),FIND(" ",IF(OR($AC219="",출력_인턴현황!$K$2=""),"",INDEX(입력_인턴근무계획!$M$3:$R$402,$AC219,출력_인턴현황!$K$2)&amp;""))-1),$AE219))</f>
        <v/>
      </c>
      <c r="AH219" s="17">
        <f>IF($B219="","",IF($AQ219&lt;&gt;"",MAX(0,DAY(EOMONTH(출력_요약!$B$3,0))-N($AR219)),IF(TRIM($J219&amp;"")="",0,SUMPRODUCT((입력_파견수련계획!$Q$4:$Q$803=TRIM($J219&amp;""))*(입력_파견수련계획!$S$4:$S$803="서울병원")*입력_파견수련계획!$W$4:$W$803))+IF($AG219="서울병원",MAX(0,DAY(EOMONTH(출력_요약!$B$3,0))-N($X219)),0)))</f>
        <v/>
      </c>
      <c r="AI219" s="17">
        <f>IF($B219="","",IF($AQ219&lt;&gt;"",N($AR219),IF(TRIM($J219&amp;"")="",0,SUMPRODUCT((입력_파견수련계획!$Q$4:$Q$803=TRIM($J219&amp;""))*(입력_파견수련계획!$S$4:$S$803="구리병원")*입력_파견수련계획!$W$4:$W$803))+IF($AG219="구리병원",MAX(0,DAY(EOMONTH(출력_요약!$B$3,0))-N($X219)),0)))</f>
        <v/>
      </c>
      <c r="AJ219" s="10">
        <f>IF(OR($B219="",TRIM($J219&amp;"")=""),"",IFERROR(MATCH(TRIM($J219&amp;"")&amp;"|월",입력_파견수련계획!$Z$4:$Z$803,0),""))</f>
        <v/>
      </c>
      <c r="AK219" s="10">
        <f>IF(OR($B219="",TRIM($J219&amp;"")=""),"",IFERROR(MATCH(TRIM($J219&amp;"")&amp;"|다기관",입력_파견수련계획!$AE$4:$AE$803,0),""))</f>
        <v/>
      </c>
      <c r="AL219" s="10">
        <f>IF($AK219="","","다기관 "&amp;TEXT(INDEX(입력_파견수련계획!$AB$4:$AB$803,$AK219),"yyyy-mm-dd")&amp;"~"&amp;IF(ISNUMBER(INDEX(입력_파견수련계획!$AC$4:$AC$803,$AK219)),TEXT(INDEX(입력_파견수련계획!$AC$4:$AC$803,$AK219),"yyyy-mm-dd"),""))</f>
        <v/>
      </c>
      <c r="AM219" s="10">
        <f>IF($Y219="서울병원",COUNTIF($Y$2:$Y219,"서울병원"),"")</f>
        <v/>
      </c>
      <c r="AN219" s="10">
        <f>IF(LEFT($Y219,1)="⚠",COUNTIF($Y$2:$Y219,"⚠*"),"")</f>
        <v/>
      </c>
      <c r="AO219" s="10">
        <f>IF(OR($B219="",$Y219=""),"",IF(IF(TRIM($J219&amp;"")="",0,SUMPRODUCT((입력_파견수련계획!$Q$4:$Q$803=TRIM($J219&amp;""))*입력_파견수련계획!$AD$4:$AD$803))&gt;0,"다기관 기간 → 소속병원 지급",IF(AND(N($X219)&lt;=0,$AQ219=""),"파견 없음 → 그 달 근무병원 지급",IF($AH219+$AI219=DAY(EOMONTH(출력_요약!$B$3,0)),"서울 "&amp;$AH219&amp;"일 / 구리 "&amp;$AI219&amp;"일"&amp;IF($AQ219&lt;&gt;""," (구리 근무자명단 반영)","")&amp;" → 15일 이상 근무 병원 지급","타 병원 포함 → "&amp;IF($AJ219="","소속",INDEX(입력_파견수련계획!$T$4:$T$803,$AJ219))&amp;" 규칙"))))</f>
        <v/>
      </c>
      <c r="AP219" s="10">
        <f>IF($B219="","",$C219&amp;"|"&amp;$F219)</f>
        <v/>
      </c>
      <c r="AQ219" s="10">
        <f>IF($B219="","",IFERROR(MATCH(ROW()-1,출력_구리근무자!$K$6:$K$305,0),""))</f>
        <v/>
      </c>
      <c r="AR219" s="10">
        <f>IF($AQ219="","",INDEX(출력_구리근무자!$H$6:$H$305,$AQ219))</f>
        <v/>
      </c>
    </row>
    <row r="220">
      <c r="A220" s="10">
        <f>IF(B220="","",ROW()-1)</f>
        <v/>
      </c>
      <c r="B220" s="19" t="n"/>
      <c r="C220" s="10">
        <f>IF($AB220="","",IF(INDEX(입력_기본자료!$C$2:$C$1001,$AB220)="","",INDEX(입력_기본자료!$C$2:$C$1001,$AB220)))</f>
        <v/>
      </c>
      <c r="D220" s="10">
        <f>IF($AB220="","",IF(INDEX(입력_기본자료!$J$2:$J$1001,$AB220)="","",INDEX(입력_기본자료!$J$2:$J$1001,$AB220)))</f>
        <v/>
      </c>
      <c r="E220" s="11">
        <f>IF($AB220="","",IF(INDEX(입력_기본자료!$K$2:$K$1001,$AB220)="","",IF(NOT(ISNUMBER(INDEX(입력_기본자료!$K$2:$K$1001,$AB220))),INDEX(입력_기본자료!$K$2:$K$1001,$AB220),IF(INDEX(입력_기본자료!$K$2:$K$1001,$AB220)&lt;1000000,INDEX(입력_기본자료!$K$2:$K$1001,$AB220),IF(AND(INDEX(입력_기본자료!$K$2:$K$1001,$AB220)&gt;=10000101,INT(MOD(INDEX(입력_기본자료!$K$2:$K$1001,$AB220),10000)/100)&gt;=1,INT(MOD(INDEX(입력_기본자료!$K$2:$K$1001,$AB220),10000)/100)&lt;=12,MOD(INDEX(입력_기본자료!$K$2:$K$1001,$AB220),100)&gt;=1,MOD(INDEX(입력_기본자료!$K$2:$K$1001,$AB220),100)&lt;=31),DATE(INT(INDEX(입력_기본자료!$K$2:$K$1001,$AB220)/10000),INT(MOD(INDEX(입력_기본자료!$K$2:$K$1001,$AB220),10000)/100),MOD(INDEX(입력_기본자료!$K$2:$K$1001,$AB220),100)),INDEX(입력_기본자료!$K$2:$K$1001,$AB220)&amp;"")))))</f>
        <v/>
      </c>
      <c r="F220" s="10">
        <f>IF($AB220="","",IF(INDEX(입력_기본자료!$D$2:$D$1001,$AB220)="","",INDEX(입력_기본자료!$D$2:$D$1001,$AB220)))</f>
        <v/>
      </c>
      <c r="G220" s="10">
        <f>IF($AB220="","",IF(INDEX(입력_기본자료!$E$2:$E$1001,$AB220)="","",INDEX(입력_기본자료!$E$2:$E$1001,$AB220)))</f>
        <v/>
      </c>
      <c r="H220" s="10">
        <f>IF($AB220="","",IF(INDEX(입력_기본자료!$F$2:$F$1001,$AB220)="","",INDEX(입력_기본자료!$F$2:$F$1001,$AB220)))</f>
        <v/>
      </c>
      <c r="I220" s="11">
        <f>IF($AB220="","",IF(INDEX(입력_기본자료!$G$2:$G$1001,$AB220)="","",IF(NOT(ISNUMBER(INDEX(입력_기본자료!$G$2:$G$1001,$AB220))),INDEX(입력_기본자료!$G$2:$G$1001,$AB220),IF(INDEX(입력_기본자료!$G$2:$G$1001,$AB220)&lt;1000000,INDEX(입력_기본자료!$G$2:$G$1001,$AB220),IF(AND(INDEX(입력_기본자료!$G$2:$G$1001,$AB220)&gt;=10000101,INT(MOD(INDEX(입력_기본자료!$G$2:$G$1001,$AB220),10000)/100)&gt;=1,INT(MOD(INDEX(입력_기본자료!$G$2:$G$1001,$AB220),10000)/100)&lt;=12,MOD(INDEX(입력_기본자료!$G$2:$G$1001,$AB220),100)&gt;=1,MOD(INDEX(입력_기본자료!$G$2:$G$1001,$AB220),100)&lt;=31),DATE(INT(INDEX(입력_기본자료!$G$2:$G$1001,$AB220)/10000),INT(MOD(INDEX(입력_기본자료!$G$2:$G$1001,$AB220),10000)/100),MOD(INDEX(입력_기본자료!$G$2:$G$1001,$AB220),100)),INDEX(입력_기본자료!$G$2:$G$1001,$AB220)&amp;"")))))</f>
        <v/>
      </c>
      <c r="J220" s="10">
        <f>IF($AB220="","",IF(INDEX(입력_기본자료!$H$2:$H$1001,$AB220)="","",INDEX(입력_기본자료!$H$2:$H$1001,$AB220)))</f>
        <v/>
      </c>
      <c r="K220" s="10">
        <f>IF($AB220="","",IF(INDEX(입력_기본자료!$I$2:$I$1001,$AB220)="","",INDEX(입력_기본자료!$I$2:$I$1001,$AB220)))</f>
        <v/>
      </c>
      <c r="L220" s="10">
        <f>IF($AB220="","",IF(INDEX(입력_기본자료!$A$2:$A$1001,$AB220)="","",INDEX(입력_기본자료!$A$2:$A$1001,$AB220)))</f>
        <v/>
      </c>
      <c r="M220" s="15" t="n"/>
      <c r="N220" s="10">
        <f>IF($B220="","",IF(AND($U220="파견중",$Q220&lt;&gt;""),$Q220,IF(AND($AD220&lt;&gt;"",LEFT($AD220,1)&lt;&gt;"⚠"),LEFT($AD220,FIND(" ",$AD220)-1),IF($H220="","",IF(RIGHT($H220,2)="병원",$H220,$H220&amp;"병원")))))</f>
        <v/>
      </c>
      <c r="O220" s="10">
        <f>IF($B220="","",IF(AND($U220="파견중",$Q220&lt;&gt;""),IF($R220&lt;&gt;"",$R220,"파견과 미입력"),IF(AND($AD220&lt;&gt;"",LEFT($AD220,1)&lt;&gt;"⚠"),MID($AD220,FIND(" ",$AD220)+1,60),IF($F220="","",IF($F220="인턴","수련교육부(인턴)",$F220)))))</f>
        <v/>
      </c>
      <c r="P220" s="10">
        <f>IF($B220="","",IF($AK220&lt;&gt;"",IF(AND(TODAY()&gt;=INDEX(입력_파견수련계획!$AB$4:$AB$803,$AK220),OR(NOT(ISNUMBER(INDEX(입력_파견수련계획!$AC$4:$AC$803,$AK220))),TODAY()&lt;=INDEX(입력_파견수련계획!$AC$4:$AC$803,$AK220))),"다기관",IF($AF220="","",INDEX(입력_파견수련계획!$T$4:$T$803,$AF220))),IF($AF220="","",INDEX(입력_파견수련계획!$T$4:$T$803,$AF220))))</f>
        <v/>
      </c>
      <c r="Q220" s="10">
        <f>IF($AF220="","",INDEX(입력_파견수련계획!$S$4:$S$803,$AF220))</f>
        <v/>
      </c>
      <c r="R220" s="10">
        <f>IF($AF220="","",INDEX(입력_파견수련계획!$U$4:$U$803,$AF220))</f>
        <v/>
      </c>
      <c r="S220" s="11">
        <f>IF($AF220="","",IF(INDEX(입력_파견수련계획!$H$4:$H$803,$AF220)="","",INDEX(입력_파견수련계획!$H$4:$H$803,$AF220)))</f>
        <v/>
      </c>
      <c r="T220" s="11">
        <f>IF($AF220="","",IF(INDEX(입력_파견수련계획!$I$4:$I$803,$AF220)="","",INDEX(입력_파견수련계획!$I$4:$I$803,$AF220)))</f>
        <v/>
      </c>
      <c r="U220" s="10">
        <f>IF($AF220="","",INDEX(입력_파견수련계획!$X$4:$X$803,$AF220))</f>
        <v/>
      </c>
      <c r="V220" s="17">
        <f>IF($AF220="","",INDEX(입력_파견수련계획!$V$4:$V$803,$AF220))</f>
        <v/>
      </c>
      <c r="W220" s="17">
        <f>IF(AND($U220="파견중",$T220&lt;&gt;""),$T220-TODAY(),"")</f>
        <v/>
      </c>
      <c r="X220" s="17">
        <f>IF(OR($B220="",TRIM($J220&amp;"")=""),"",SUMPRODUCT((입력_파견수련계획!$Q$4:$Q$803=TRIM($J220&amp;""))*입력_파견수련계획!$W$4:$W$803))</f>
        <v/>
      </c>
      <c r="Y220" s="10">
        <f>IF($B220="","",IF($AG220="","",IF(IF(TRIM($J220&amp;"")="",0,SUMPRODUCT((입력_파견수련계획!$Q$4:$Q$803=TRIM($J220&amp;""))*입력_파견수련계획!$AD$4:$AD$803))&gt;0,$AE220,IF(AND(N($X220)&lt;=0,$AQ220=""),$AG220,IF($AH220+$AI220=DAY(EOMONTH(출력_요약!$B$3,0)),IF(AND($AH220&gt;=출력_요약!$E$3,$AI220&lt;출력_요약!$E$3),"서울병원",IF(AND($AI220&gt;=출력_요약!$E$3,$AH220&lt;출력_요약!$E$3),"구리병원","⚠15일 판정불가(서울 "&amp;$AH220&amp;"일/구리 "&amp;$AI220&amp;"일)")),IF($AJ220="",$AE220,IF(INDEX(입력_파견수련계획!$T$4:$T$803,$AJ220)="통합수련",INDEX(입력_파견수련계획!$S$4:$S$803,$AJ220),$AE220)))))))</f>
        <v/>
      </c>
      <c r="Z220" s="20">
        <f>IF($B220="","",IF($AB220="","기본자료에 없는 사번",IF(COUNTIF($B$2:$B$401,$B220)&gt;1,"중복 사번",IF($AE220="","소속(입사장소) 입력",IF(IF(TRIM($J220&amp;"")="",0,SUMPRODUCT((입력_파견수련계획!$Q$4:$Q$803=TRIM($J220&amp;""))*(입력_파견수련계획!$AA$4:$AA$803&lt;&gt;"")))&gt;0,"파견수련계획 입력오류 확인",IF(LEFT($Y220,1)="⚠","서울·구리 15일 판정 불가(양쪽 모두 이상/미만)",IF(IF($AC220="",0,N(INDEX(입력_인턴근무계획!$T$3:$T$402,$AC220)))&gt;0,"인턴계획 입력오류 확인",IF(AND($AQ220&lt;&gt;"",$AG220&lt;&gt;"구리병원",IF(TRIM($J220&amp;"")="",0,SUMPRODUCT((입력_파견수련계획!$Q$4:$Q$803=TRIM($J220&amp;""))*(입력_파견수련계획!$S$4:$S$803="구리병원")*입력_파견수련계획!$W$4:$W$803))=0),"구리 근무자명단에만 있음(파견수련계획 확인)",IF(AND($AC220&lt;&gt;"",$U220&lt;&gt;"파견중",$N220&lt;&gt;$AE220),"인턴 타지역 근무: 파견 여부 확인","정상")))))))))</f>
        <v/>
      </c>
      <c r="AA220" s="5" t="n"/>
      <c r="AB220" s="10">
        <f>IF($B220="","",IFERROR(MATCH($B220,입력_기본자료!$B$2:$B$1001,0),IFERROR(MATCH($B220&amp;"",입력_기본자료!$B$2:$B$1001,0),IFERROR(MATCH(VALUE($B220),입력_기본자료!$B$2:$B$1001,0),""))))</f>
        <v/>
      </c>
      <c r="AC220" s="10">
        <f>IF($B220="","",IFERROR(MATCH($B220,입력_인턴근무계획!$D$3:$D$402,0),IFERROR(MATCH($B220&amp;"",입력_인턴근무계획!$D$3:$D$402,0),IFERROR(MATCH(VALUE($B220),입력_인턴근무계획!$D$3:$D$402,0),""))))</f>
        <v/>
      </c>
      <c r="AD220" s="10">
        <f>IF(OR($AC220="",출력_인턴현황!$G$3=""),"",INDEX(입력_인턴근무계획!$M$3:$R$402,$AC220,출력_인턴현황!$G$3)&amp;"")</f>
        <v/>
      </c>
      <c r="AE220" s="10">
        <f>IF($B220="","",IF($M220&lt;&gt;"",$M220,IF(IF($AQ220="",FALSE,INDEX(출력_구리근무자!$J$6:$J$305,$AQ220)="구리독자"),"구리병원",IF($AF220&lt;&gt;"",IF(LEFT(INDEX(입력_파견수련계획!$R$4:$R$803,$AF220),1)&lt;&gt;"⚠",INDEX(입력_파견수련계획!$R$4:$R$803,$AF220),IF($H220="","",IF(RIGHT($H220,2)="병원",$H220,$H220&amp;"병원"))),IF($H220="","",IF(RIGHT($H220,2)="병원",$H220,$H220&amp;"병원"))))))</f>
        <v/>
      </c>
      <c r="AF220" s="10">
        <f>IF(OR($B220="",TRIM($J220&amp;"")=""),"",IFERROR(MATCH(TRIM($J220&amp;"")&amp;"|파견중",입력_파견수련계획!$Y$4:$Y$803,0),IFERROR(MATCH(TRIM($J220&amp;"")&amp;"|파견예정",입력_파견수련계획!$Y$4:$Y$803,0),IFERROR(MATCH(TRIM($J220&amp;"")&amp;"|파견종료",입력_파견수련계획!$Y$4:$Y$803,0),""))))</f>
        <v/>
      </c>
      <c r="AG220" s="10">
        <f>IF($B220="","",IF(AND(IF(OR($AC220="",출력_인턴현황!$K$2=""),"",INDEX(입력_인턴근무계획!$M$3:$R$402,$AC220,출력_인턴현황!$K$2)&amp;"")&lt;&gt;"",LEFT(IF(OR($AC220="",출력_인턴현황!$K$2=""),"",INDEX(입력_인턴근무계획!$M$3:$R$402,$AC220,출력_인턴현황!$K$2)&amp;""),1)&lt;&gt;"⚠"),LEFT(IF(OR($AC220="",출력_인턴현황!$K$2=""),"",INDEX(입력_인턴근무계획!$M$3:$R$402,$AC220,출력_인턴현황!$K$2)&amp;""),FIND(" ",IF(OR($AC220="",출력_인턴현황!$K$2=""),"",INDEX(입력_인턴근무계획!$M$3:$R$402,$AC220,출력_인턴현황!$K$2)&amp;""))-1),$AE220))</f>
        <v/>
      </c>
      <c r="AH220" s="17">
        <f>IF($B220="","",IF($AQ220&lt;&gt;"",MAX(0,DAY(EOMONTH(출력_요약!$B$3,0))-N($AR220)),IF(TRIM($J220&amp;"")="",0,SUMPRODUCT((입력_파견수련계획!$Q$4:$Q$803=TRIM($J220&amp;""))*(입력_파견수련계획!$S$4:$S$803="서울병원")*입력_파견수련계획!$W$4:$W$803))+IF($AG220="서울병원",MAX(0,DAY(EOMONTH(출력_요약!$B$3,0))-N($X220)),0)))</f>
        <v/>
      </c>
      <c r="AI220" s="17">
        <f>IF($B220="","",IF($AQ220&lt;&gt;"",N($AR220),IF(TRIM($J220&amp;"")="",0,SUMPRODUCT((입력_파견수련계획!$Q$4:$Q$803=TRIM($J220&amp;""))*(입력_파견수련계획!$S$4:$S$803="구리병원")*입력_파견수련계획!$W$4:$W$803))+IF($AG220="구리병원",MAX(0,DAY(EOMONTH(출력_요약!$B$3,0))-N($X220)),0)))</f>
        <v/>
      </c>
      <c r="AJ220" s="10">
        <f>IF(OR($B220="",TRIM($J220&amp;"")=""),"",IFERROR(MATCH(TRIM($J220&amp;"")&amp;"|월",입력_파견수련계획!$Z$4:$Z$803,0),""))</f>
        <v/>
      </c>
      <c r="AK220" s="10">
        <f>IF(OR($B220="",TRIM($J220&amp;"")=""),"",IFERROR(MATCH(TRIM($J220&amp;"")&amp;"|다기관",입력_파견수련계획!$AE$4:$AE$803,0),""))</f>
        <v/>
      </c>
      <c r="AL220" s="10">
        <f>IF($AK220="","","다기관 "&amp;TEXT(INDEX(입력_파견수련계획!$AB$4:$AB$803,$AK220),"yyyy-mm-dd")&amp;"~"&amp;IF(ISNUMBER(INDEX(입력_파견수련계획!$AC$4:$AC$803,$AK220)),TEXT(INDEX(입력_파견수련계획!$AC$4:$AC$803,$AK220),"yyyy-mm-dd"),""))</f>
        <v/>
      </c>
      <c r="AM220" s="10">
        <f>IF($Y220="서울병원",COUNTIF($Y$2:$Y220,"서울병원"),"")</f>
        <v/>
      </c>
      <c r="AN220" s="10">
        <f>IF(LEFT($Y220,1)="⚠",COUNTIF($Y$2:$Y220,"⚠*"),"")</f>
        <v/>
      </c>
      <c r="AO220" s="10">
        <f>IF(OR($B220="",$Y220=""),"",IF(IF(TRIM($J220&amp;"")="",0,SUMPRODUCT((입력_파견수련계획!$Q$4:$Q$803=TRIM($J220&amp;""))*입력_파견수련계획!$AD$4:$AD$803))&gt;0,"다기관 기간 → 소속병원 지급",IF(AND(N($X220)&lt;=0,$AQ220=""),"파견 없음 → 그 달 근무병원 지급",IF($AH220+$AI220=DAY(EOMONTH(출력_요약!$B$3,0)),"서울 "&amp;$AH220&amp;"일 / 구리 "&amp;$AI220&amp;"일"&amp;IF($AQ220&lt;&gt;""," (구리 근무자명단 반영)","")&amp;" → 15일 이상 근무 병원 지급","타 병원 포함 → "&amp;IF($AJ220="","소속",INDEX(입력_파견수련계획!$T$4:$T$803,$AJ220))&amp;" 규칙"))))</f>
        <v/>
      </c>
      <c r="AP220" s="10">
        <f>IF($B220="","",$C220&amp;"|"&amp;$F220)</f>
        <v/>
      </c>
      <c r="AQ220" s="10">
        <f>IF($B220="","",IFERROR(MATCH(ROW()-1,출력_구리근무자!$K$6:$K$305,0),""))</f>
        <v/>
      </c>
      <c r="AR220" s="10">
        <f>IF($AQ220="","",INDEX(출력_구리근무자!$H$6:$H$305,$AQ220))</f>
        <v/>
      </c>
    </row>
    <row r="221">
      <c r="A221" s="10">
        <f>IF(B221="","",ROW()-1)</f>
        <v/>
      </c>
      <c r="B221" s="19" t="n"/>
      <c r="C221" s="10">
        <f>IF($AB221="","",IF(INDEX(입력_기본자료!$C$2:$C$1001,$AB221)="","",INDEX(입력_기본자료!$C$2:$C$1001,$AB221)))</f>
        <v/>
      </c>
      <c r="D221" s="10">
        <f>IF($AB221="","",IF(INDEX(입력_기본자료!$J$2:$J$1001,$AB221)="","",INDEX(입력_기본자료!$J$2:$J$1001,$AB221)))</f>
        <v/>
      </c>
      <c r="E221" s="11">
        <f>IF($AB221="","",IF(INDEX(입력_기본자료!$K$2:$K$1001,$AB221)="","",IF(NOT(ISNUMBER(INDEX(입력_기본자료!$K$2:$K$1001,$AB221))),INDEX(입력_기본자료!$K$2:$K$1001,$AB221),IF(INDEX(입력_기본자료!$K$2:$K$1001,$AB221)&lt;1000000,INDEX(입력_기본자료!$K$2:$K$1001,$AB221),IF(AND(INDEX(입력_기본자료!$K$2:$K$1001,$AB221)&gt;=10000101,INT(MOD(INDEX(입력_기본자료!$K$2:$K$1001,$AB221),10000)/100)&gt;=1,INT(MOD(INDEX(입력_기본자료!$K$2:$K$1001,$AB221),10000)/100)&lt;=12,MOD(INDEX(입력_기본자료!$K$2:$K$1001,$AB221),100)&gt;=1,MOD(INDEX(입력_기본자료!$K$2:$K$1001,$AB221),100)&lt;=31),DATE(INT(INDEX(입력_기본자료!$K$2:$K$1001,$AB221)/10000),INT(MOD(INDEX(입력_기본자료!$K$2:$K$1001,$AB221),10000)/100),MOD(INDEX(입력_기본자료!$K$2:$K$1001,$AB221),100)),INDEX(입력_기본자료!$K$2:$K$1001,$AB221)&amp;"")))))</f>
        <v/>
      </c>
      <c r="F221" s="10">
        <f>IF($AB221="","",IF(INDEX(입력_기본자료!$D$2:$D$1001,$AB221)="","",INDEX(입력_기본자료!$D$2:$D$1001,$AB221)))</f>
        <v/>
      </c>
      <c r="G221" s="10">
        <f>IF($AB221="","",IF(INDEX(입력_기본자료!$E$2:$E$1001,$AB221)="","",INDEX(입력_기본자료!$E$2:$E$1001,$AB221)))</f>
        <v/>
      </c>
      <c r="H221" s="10">
        <f>IF($AB221="","",IF(INDEX(입력_기본자료!$F$2:$F$1001,$AB221)="","",INDEX(입력_기본자료!$F$2:$F$1001,$AB221)))</f>
        <v/>
      </c>
      <c r="I221" s="11">
        <f>IF($AB221="","",IF(INDEX(입력_기본자료!$G$2:$G$1001,$AB221)="","",IF(NOT(ISNUMBER(INDEX(입력_기본자료!$G$2:$G$1001,$AB221))),INDEX(입력_기본자료!$G$2:$G$1001,$AB221),IF(INDEX(입력_기본자료!$G$2:$G$1001,$AB221)&lt;1000000,INDEX(입력_기본자료!$G$2:$G$1001,$AB221),IF(AND(INDEX(입력_기본자료!$G$2:$G$1001,$AB221)&gt;=10000101,INT(MOD(INDEX(입력_기본자료!$G$2:$G$1001,$AB221),10000)/100)&gt;=1,INT(MOD(INDEX(입력_기본자료!$G$2:$G$1001,$AB221),10000)/100)&lt;=12,MOD(INDEX(입력_기본자료!$G$2:$G$1001,$AB221),100)&gt;=1,MOD(INDEX(입력_기본자료!$G$2:$G$1001,$AB221),100)&lt;=31),DATE(INT(INDEX(입력_기본자료!$G$2:$G$1001,$AB221)/10000),INT(MOD(INDEX(입력_기본자료!$G$2:$G$1001,$AB221),10000)/100),MOD(INDEX(입력_기본자료!$G$2:$G$1001,$AB221),100)),INDEX(입력_기본자료!$G$2:$G$1001,$AB221)&amp;"")))))</f>
        <v/>
      </c>
      <c r="J221" s="10">
        <f>IF($AB221="","",IF(INDEX(입력_기본자료!$H$2:$H$1001,$AB221)="","",INDEX(입력_기본자료!$H$2:$H$1001,$AB221)))</f>
        <v/>
      </c>
      <c r="K221" s="10">
        <f>IF($AB221="","",IF(INDEX(입력_기본자료!$I$2:$I$1001,$AB221)="","",INDEX(입력_기본자료!$I$2:$I$1001,$AB221)))</f>
        <v/>
      </c>
      <c r="L221" s="10">
        <f>IF($AB221="","",IF(INDEX(입력_기본자료!$A$2:$A$1001,$AB221)="","",INDEX(입력_기본자료!$A$2:$A$1001,$AB221)))</f>
        <v/>
      </c>
      <c r="M221" s="15" t="n"/>
      <c r="N221" s="10">
        <f>IF($B221="","",IF(AND($U221="파견중",$Q221&lt;&gt;""),$Q221,IF(AND($AD221&lt;&gt;"",LEFT($AD221,1)&lt;&gt;"⚠"),LEFT($AD221,FIND(" ",$AD221)-1),IF($H221="","",IF(RIGHT($H221,2)="병원",$H221,$H221&amp;"병원")))))</f>
        <v/>
      </c>
      <c r="O221" s="10">
        <f>IF($B221="","",IF(AND($U221="파견중",$Q221&lt;&gt;""),IF($R221&lt;&gt;"",$R221,"파견과 미입력"),IF(AND($AD221&lt;&gt;"",LEFT($AD221,1)&lt;&gt;"⚠"),MID($AD221,FIND(" ",$AD221)+1,60),IF($F221="","",IF($F221="인턴","수련교육부(인턴)",$F221)))))</f>
        <v/>
      </c>
      <c r="P221" s="10">
        <f>IF($B221="","",IF($AK221&lt;&gt;"",IF(AND(TODAY()&gt;=INDEX(입력_파견수련계획!$AB$4:$AB$803,$AK221),OR(NOT(ISNUMBER(INDEX(입력_파견수련계획!$AC$4:$AC$803,$AK221))),TODAY()&lt;=INDEX(입력_파견수련계획!$AC$4:$AC$803,$AK221))),"다기관",IF($AF221="","",INDEX(입력_파견수련계획!$T$4:$T$803,$AF221))),IF($AF221="","",INDEX(입력_파견수련계획!$T$4:$T$803,$AF221))))</f>
        <v/>
      </c>
      <c r="Q221" s="10">
        <f>IF($AF221="","",INDEX(입력_파견수련계획!$S$4:$S$803,$AF221))</f>
        <v/>
      </c>
      <c r="R221" s="10">
        <f>IF($AF221="","",INDEX(입력_파견수련계획!$U$4:$U$803,$AF221))</f>
        <v/>
      </c>
      <c r="S221" s="11">
        <f>IF($AF221="","",IF(INDEX(입력_파견수련계획!$H$4:$H$803,$AF221)="","",INDEX(입력_파견수련계획!$H$4:$H$803,$AF221)))</f>
        <v/>
      </c>
      <c r="T221" s="11">
        <f>IF($AF221="","",IF(INDEX(입력_파견수련계획!$I$4:$I$803,$AF221)="","",INDEX(입력_파견수련계획!$I$4:$I$803,$AF221)))</f>
        <v/>
      </c>
      <c r="U221" s="10">
        <f>IF($AF221="","",INDEX(입력_파견수련계획!$X$4:$X$803,$AF221))</f>
        <v/>
      </c>
      <c r="V221" s="17">
        <f>IF($AF221="","",INDEX(입력_파견수련계획!$V$4:$V$803,$AF221))</f>
        <v/>
      </c>
      <c r="W221" s="17">
        <f>IF(AND($U221="파견중",$T221&lt;&gt;""),$T221-TODAY(),"")</f>
        <v/>
      </c>
      <c r="X221" s="17">
        <f>IF(OR($B221="",TRIM($J221&amp;"")=""),"",SUMPRODUCT((입력_파견수련계획!$Q$4:$Q$803=TRIM($J221&amp;""))*입력_파견수련계획!$W$4:$W$803))</f>
        <v/>
      </c>
      <c r="Y221" s="10">
        <f>IF($B221="","",IF($AG221="","",IF(IF(TRIM($J221&amp;"")="",0,SUMPRODUCT((입력_파견수련계획!$Q$4:$Q$803=TRIM($J221&amp;""))*입력_파견수련계획!$AD$4:$AD$803))&gt;0,$AE221,IF(AND(N($X221)&lt;=0,$AQ221=""),$AG221,IF($AH221+$AI221=DAY(EOMONTH(출력_요약!$B$3,0)),IF(AND($AH221&gt;=출력_요약!$E$3,$AI221&lt;출력_요약!$E$3),"서울병원",IF(AND($AI221&gt;=출력_요약!$E$3,$AH221&lt;출력_요약!$E$3),"구리병원","⚠15일 판정불가(서울 "&amp;$AH221&amp;"일/구리 "&amp;$AI221&amp;"일)")),IF($AJ221="",$AE221,IF(INDEX(입력_파견수련계획!$T$4:$T$803,$AJ221)="통합수련",INDEX(입력_파견수련계획!$S$4:$S$803,$AJ221),$AE221)))))))</f>
        <v/>
      </c>
      <c r="Z221" s="20">
        <f>IF($B221="","",IF($AB221="","기본자료에 없는 사번",IF(COUNTIF($B$2:$B$401,$B221)&gt;1,"중복 사번",IF($AE221="","소속(입사장소) 입력",IF(IF(TRIM($J221&amp;"")="",0,SUMPRODUCT((입력_파견수련계획!$Q$4:$Q$803=TRIM($J221&amp;""))*(입력_파견수련계획!$AA$4:$AA$803&lt;&gt;"")))&gt;0,"파견수련계획 입력오류 확인",IF(LEFT($Y221,1)="⚠","서울·구리 15일 판정 불가(양쪽 모두 이상/미만)",IF(IF($AC221="",0,N(INDEX(입력_인턴근무계획!$T$3:$T$402,$AC221)))&gt;0,"인턴계획 입력오류 확인",IF(AND($AQ221&lt;&gt;"",$AG221&lt;&gt;"구리병원",IF(TRIM($J221&amp;"")="",0,SUMPRODUCT((입력_파견수련계획!$Q$4:$Q$803=TRIM($J221&amp;""))*(입력_파견수련계획!$S$4:$S$803="구리병원")*입력_파견수련계획!$W$4:$W$803))=0),"구리 근무자명단에만 있음(파견수련계획 확인)",IF(AND($AC221&lt;&gt;"",$U221&lt;&gt;"파견중",$N221&lt;&gt;$AE221),"인턴 타지역 근무: 파견 여부 확인","정상")))))))))</f>
        <v/>
      </c>
      <c r="AA221" s="5" t="n"/>
      <c r="AB221" s="10">
        <f>IF($B221="","",IFERROR(MATCH($B221,입력_기본자료!$B$2:$B$1001,0),IFERROR(MATCH($B221&amp;"",입력_기본자료!$B$2:$B$1001,0),IFERROR(MATCH(VALUE($B221),입력_기본자료!$B$2:$B$1001,0),""))))</f>
        <v/>
      </c>
      <c r="AC221" s="10">
        <f>IF($B221="","",IFERROR(MATCH($B221,입력_인턴근무계획!$D$3:$D$402,0),IFERROR(MATCH($B221&amp;"",입력_인턴근무계획!$D$3:$D$402,0),IFERROR(MATCH(VALUE($B221),입력_인턴근무계획!$D$3:$D$402,0),""))))</f>
        <v/>
      </c>
      <c r="AD221" s="10">
        <f>IF(OR($AC221="",출력_인턴현황!$G$3=""),"",INDEX(입력_인턴근무계획!$M$3:$R$402,$AC221,출력_인턴현황!$G$3)&amp;"")</f>
        <v/>
      </c>
      <c r="AE221" s="10">
        <f>IF($B221="","",IF($M221&lt;&gt;"",$M221,IF(IF($AQ221="",FALSE,INDEX(출력_구리근무자!$J$6:$J$305,$AQ221)="구리독자"),"구리병원",IF($AF221&lt;&gt;"",IF(LEFT(INDEX(입력_파견수련계획!$R$4:$R$803,$AF221),1)&lt;&gt;"⚠",INDEX(입력_파견수련계획!$R$4:$R$803,$AF221),IF($H221="","",IF(RIGHT($H221,2)="병원",$H221,$H221&amp;"병원"))),IF($H221="","",IF(RIGHT($H221,2)="병원",$H221,$H221&amp;"병원"))))))</f>
        <v/>
      </c>
      <c r="AF221" s="10">
        <f>IF(OR($B221="",TRIM($J221&amp;"")=""),"",IFERROR(MATCH(TRIM($J221&amp;"")&amp;"|파견중",입력_파견수련계획!$Y$4:$Y$803,0),IFERROR(MATCH(TRIM($J221&amp;"")&amp;"|파견예정",입력_파견수련계획!$Y$4:$Y$803,0),IFERROR(MATCH(TRIM($J221&amp;"")&amp;"|파견종료",입력_파견수련계획!$Y$4:$Y$803,0),""))))</f>
        <v/>
      </c>
      <c r="AG221" s="10">
        <f>IF($B221="","",IF(AND(IF(OR($AC221="",출력_인턴현황!$K$2=""),"",INDEX(입력_인턴근무계획!$M$3:$R$402,$AC221,출력_인턴현황!$K$2)&amp;"")&lt;&gt;"",LEFT(IF(OR($AC221="",출력_인턴현황!$K$2=""),"",INDEX(입력_인턴근무계획!$M$3:$R$402,$AC221,출력_인턴현황!$K$2)&amp;""),1)&lt;&gt;"⚠"),LEFT(IF(OR($AC221="",출력_인턴현황!$K$2=""),"",INDEX(입력_인턴근무계획!$M$3:$R$402,$AC221,출력_인턴현황!$K$2)&amp;""),FIND(" ",IF(OR($AC221="",출력_인턴현황!$K$2=""),"",INDEX(입력_인턴근무계획!$M$3:$R$402,$AC221,출력_인턴현황!$K$2)&amp;""))-1),$AE221))</f>
        <v/>
      </c>
      <c r="AH221" s="17">
        <f>IF($B221="","",IF($AQ221&lt;&gt;"",MAX(0,DAY(EOMONTH(출력_요약!$B$3,0))-N($AR221)),IF(TRIM($J221&amp;"")="",0,SUMPRODUCT((입력_파견수련계획!$Q$4:$Q$803=TRIM($J221&amp;""))*(입력_파견수련계획!$S$4:$S$803="서울병원")*입력_파견수련계획!$W$4:$W$803))+IF($AG221="서울병원",MAX(0,DAY(EOMONTH(출력_요약!$B$3,0))-N($X221)),0)))</f>
        <v/>
      </c>
      <c r="AI221" s="17">
        <f>IF($B221="","",IF($AQ221&lt;&gt;"",N($AR221),IF(TRIM($J221&amp;"")="",0,SUMPRODUCT((입력_파견수련계획!$Q$4:$Q$803=TRIM($J221&amp;""))*(입력_파견수련계획!$S$4:$S$803="구리병원")*입력_파견수련계획!$W$4:$W$803))+IF($AG221="구리병원",MAX(0,DAY(EOMONTH(출력_요약!$B$3,0))-N($X221)),0)))</f>
        <v/>
      </c>
      <c r="AJ221" s="10">
        <f>IF(OR($B221="",TRIM($J221&amp;"")=""),"",IFERROR(MATCH(TRIM($J221&amp;"")&amp;"|월",입력_파견수련계획!$Z$4:$Z$803,0),""))</f>
        <v/>
      </c>
      <c r="AK221" s="10">
        <f>IF(OR($B221="",TRIM($J221&amp;"")=""),"",IFERROR(MATCH(TRIM($J221&amp;"")&amp;"|다기관",입력_파견수련계획!$AE$4:$AE$803,0),""))</f>
        <v/>
      </c>
      <c r="AL221" s="10">
        <f>IF($AK221="","","다기관 "&amp;TEXT(INDEX(입력_파견수련계획!$AB$4:$AB$803,$AK221),"yyyy-mm-dd")&amp;"~"&amp;IF(ISNUMBER(INDEX(입력_파견수련계획!$AC$4:$AC$803,$AK221)),TEXT(INDEX(입력_파견수련계획!$AC$4:$AC$803,$AK221),"yyyy-mm-dd"),""))</f>
        <v/>
      </c>
      <c r="AM221" s="10">
        <f>IF($Y221="서울병원",COUNTIF($Y$2:$Y221,"서울병원"),"")</f>
        <v/>
      </c>
      <c r="AN221" s="10">
        <f>IF(LEFT($Y221,1)="⚠",COUNTIF($Y$2:$Y221,"⚠*"),"")</f>
        <v/>
      </c>
      <c r="AO221" s="10">
        <f>IF(OR($B221="",$Y221=""),"",IF(IF(TRIM($J221&amp;"")="",0,SUMPRODUCT((입력_파견수련계획!$Q$4:$Q$803=TRIM($J221&amp;""))*입력_파견수련계획!$AD$4:$AD$803))&gt;0,"다기관 기간 → 소속병원 지급",IF(AND(N($X221)&lt;=0,$AQ221=""),"파견 없음 → 그 달 근무병원 지급",IF($AH221+$AI221=DAY(EOMONTH(출력_요약!$B$3,0)),"서울 "&amp;$AH221&amp;"일 / 구리 "&amp;$AI221&amp;"일"&amp;IF($AQ221&lt;&gt;""," (구리 근무자명단 반영)","")&amp;" → 15일 이상 근무 병원 지급","타 병원 포함 → "&amp;IF($AJ221="","소속",INDEX(입력_파견수련계획!$T$4:$T$803,$AJ221))&amp;" 규칙"))))</f>
        <v/>
      </c>
      <c r="AP221" s="10">
        <f>IF($B221="","",$C221&amp;"|"&amp;$F221)</f>
        <v/>
      </c>
      <c r="AQ221" s="10">
        <f>IF($B221="","",IFERROR(MATCH(ROW()-1,출력_구리근무자!$K$6:$K$305,0),""))</f>
        <v/>
      </c>
      <c r="AR221" s="10">
        <f>IF($AQ221="","",INDEX(출력_구리근무자!$H$6:$H$305,$AQ221))</f>
        <v/>
      </c>
    </row>
    <row r="222">
      <c r="A222" s="10">
        <f>IF(B222="","",ROW()-1)</f>
        <v/>
      </c>
      <c r="B222" s="19" t="n"/>
      <c r="C222" s="10">
        <f>IF($AB222="","",IF(INDEX(입력_기본자료!$C$2:$C$1001,$AB222)="","",INDEX(입력_기본자료!$C$2:$C$1001,$AB222)))</f>
        <v/>
      </c>
      <c r="D222" s="10">
        <f>IF($AB222="","",IF(INDEX(입력_기본자료!$J$2:$J$1001,$AB222)="","",INDEX(입력_기본자료!$J$2:$J$1001,$AB222)))</f>
        <v/>
      </c>
      <c r="E222" s="11">
        <f>IF($AB222="","",IF(INDEX(입력_기본자료!$K$2:$K$1001,$AB222)="","",IF(NOT(ISNUMBER(INDEX(입력_기본자료!$K$2:$K$1001,$AB222))),INDEX(입력_기본자료!$K$2:$K$1001,$AB222),IF(INDEX(입력_기본자료!$K$2:$K$1001,$AB222)&lt;1000000,INDEX(입력_기본자료!$K$2:$K$1001,$AB222),IF(AND(INDEX(입력_기본자료!$K$2:$K$1001,$AB222)&gt;=10000101,INT(MOD(INDEX(입력_기본자료!$K$2:$K$1001,$AB222),10000)/100)&gt;=1,INT(MOD(INDEX(입력_기본자료!$K$2:$K$1001,$AB222),10000)/100)&lt;=12,MOD(INDEX(입력_기본자료!$K$2:$K$1001,$AB222),100)&gt;=1,MOD(INDEX(입력_기본자료!$K$2:$K$1001,$AB222),100)&lt;=31),DATE(INT(INDEX(입력_기본자료!$K$2:$K$1001,$AB222)/10000),INT(MOD(INDEX(입력_기본자료!$K$2:$K$1001,$AB222),10000)/100),MOD(INDEX(입력_기본자료!$K$2:$K$1001,$AB222),100)),INDEX(입력_기본자료!$K$2:$K$1001,$AB222)&amp;"")))))</f>
        <v/>
      </c>
      <c r="F222" s="10">
        <f>IF($AB222="","",IF(INDEX(입력_기본자료!$D$2:$D$1001,$AB222)="","",INDEX(입력_기본자료!$D$2:$D$1001,$AB222)))</f>
        <v/>
      </c>
      <c r="G222" s="10">
        <f>IF($AB222="","",IF(INDEX(입력_기본자료!$E$2:$E$1001,$AB222)="","",INDEX(입력_기본자료!$E$2:$E$1001,$AB222)))</f>
        <v/>
      </c>
      <c r="H222" s="10">
        <f>IF($AB222="","",IF(INDEX(입력_기본자료!$F$2:$F$1001,$AB222)="","",INDEX(입력_기본자료!$F$2:$F$1001,$AB222)))</f>
        <v/>
      </c>
      <c r="I222" s="11">
        <f>IF($AB222="","",IF(INDEX(입력_기본자료!$G$2:$G$1001,$AB222)="","",IF(NOT(ISNUMBER(INDEX(입력_기본자료!$G$2:$G$1001,$AB222))),INDEX(입력_기본자료!$G$2:$G$1001,$AB222),IF(INDEX(입력_기본자료!$G$2:$G$1001,$AB222)&lt;1000000,INDEX(입력_기본자료!$G$2:$G$1001,$AB222),IF(AND(INDEX(입력_기본자료!$G$2:$G$1001,$AB222)&gt;=10000101,INT(MOD(INDEX(입력_기본자료!$G$2:$G$1001,$AB222),10000)/100)&gt;=1,INT(MOD(INDEX(입력_기본자료!$G$2:$G$1001,$AB222),10000)/100)&lt;=12,MOD(INDEX(입력_기본자료!$G$2:$G$1001,$AB222),100)&gt;=1,MOD(INDEX(입력_기본자료!$G$2:$G$1001,$AB222),100)&lt;=31),DATE(INT(INDEX(입력_기본자료!$G$2:$G$1001,$AB222)/10000),INT(MOD(INDEX(입력_기본자료!$G$2:$G$1001,$AB222),10000)/100),MOD(INDEX(입력_기본자료!$G$2:$G$1001,$AB222),100)),INDEX(입력_기본자료!$G$2:$G$1001,$AB222)&amp;"")))))</f>
        <v/>
      </c>
      <c r="J222" s="10">
        <f>IF($AB222="","",IF(INDEX(입력_기본자료!$H$2:$H$1001,$AB222)="","",INDEX(입력_기본자료!$H$2:$H$1001,$AB222)))</f>
        <v/>
      </c>
      <c r="K222" s="10">
        <f>IF($AB222="","",IF(INDEX(입력_기본자료!$I$2:$I$1001,$AB222)="","",INDEX(입력_기본자료!$I$2:$I$1001,$AB222)))</f>
        <v/>
      </c>
      <c r="L222" s="10">
        <f>IF($AB222="","",IF(INDEX(입력_기본자료!$A$2:$A$1001,$AB222)="","",INDEX(입력_기본자료!$A$2:$A$1001,$AB222)))</f>
        <v/>
      </c>
      <c r="M222" s="15" t="n"/>
      <c r="N222" s="10">
        <f>IF($B222="","",IF(AND($U222="파견중",$Q222&lt;&gt;""),$Q222,IF(AND($AD222&lt;&gt;"",LEFT($AD222,1)&lt;&gt;"⚠"),LEFT($AD222,FIND(" ",$AD222)-1),IF($H222="","",IF(RIGHT($H222,2)="병원",$H222,$H222&amp;"병원")))))</f>
        <v/>
      </c>
      <c r="O222" s="10">
        <f>IF($B222="","",IF(AND($U222="파견중",$Q222&lt;&gt;""),IF($R222&lt;&gt;"",$R222,"파견과 미입력"),IF(AND($AD222&lt;&gt;"",LEFT($AD222,1)&lt;&gt;"⚠"),MID($AD222,FIND(" ",$AD222)+1,60),IF($F222="","",IF($F222="인턴","수련교육부(인턴)",$F222)))))</f>
        <v/>
      </c>
      <c r="P222" s="10">
        <f>IF($B222="","",IF($AK222&lt;&gt;"",IF(AND(TODAY()&gt;=INDEX(입력_파견수련계획!$AB$4:$AB$803,$AK222),OR(NOT(ISNUMBER(INDEX(입력_파견수련계획!$AC$4:$AC$803,$AK222))),TODAY()&lt;=INDEX(입력_파견수련계획!$AC$4:$AC$803,$AK222))),"다기관",IF($AF222="","",INDEX(입력_파견수련계획!$T$4:$T$803,$AF222))),IF($AF222="","",INDEX(입력_파견수련계획!$T$4:$T$803,$AF222))))</f>
        <v/>
      </c>
      <c r="Q222" s="10">
        <f>IF($AF222="","",INDEX(입력_파견수련계획!$S$4:$S$803,$AF222))</f>
        <v/>
      </c>
      <c r="R222" s="10">
        <f>IF($AF222="","",INDEX(입력_파견수련계획!$U$4:$U$803,$AF222))</f>
        <v/>
      </c>
      <c r="S222" s="11">
        <f>IF($AF222="","",IF(INDEX(입력_파견수련계획!$H$4:$H$803,$AF222)="","",INDEX(입력_파견수련계획!$H$4:$H$803,$AF222)))</f>
        <v/>
      </c>
      <c r="T222" s="11">
        <f>IF($AF222="","",IF(INDEX(입력_파견수련계획!$I$4:$I$803,$AF222)="","",INDEX(입력_파견수련계획!$I$4:$I$803,$AF222)))</f>
        <v/>
      </c>
      <c r="U222" s="10">
        <f>IF($AF222="","",INDEX(입력_파견수련계획!$X$4:$X$803,$AF222))</f>
        <v/>
      </c>
      <c r="V222" s="17">
        <f>IF($AF222="","",INDEX(입력_파견수련계획!$V$4:$V$803,$AF222))</f>
        <v/>
      </c>
      <c r="W222" s="17">
        <f>IF(AND($U222="파견중",$T222&lt;&gt;""),$T222-TODAY(),"")</f>
        <v/>
      </c>
      <c r="X222" s="17">
        <f>IF(OR($B222="",TRIM($J222&amp;"")=""),"",SUMPRODUCT((입력_파견수련계획!$Q$4:$Q$803=TRIM($J222&amp;""))*입력_파견수련계획!$W$4:$W$803))</f>
        <v/>
      </c>
      <c r="Y222" s="10">
        <f>IF($B222="","",IF($AG222="","",IF(IF(TRIM($J222&amp;"")="",0,SUMPRODUCT((입력_파견수련계획!$Q$4:$Q$803=TRIM($J222&amp;""))*입력_파견수련계획!$AD$4:$AD$803))&gt;0,$AE222,IF(AND(N($X222)&lt;=0,$AQ222=""),$AG222,IF($AH222+$AI222=DAY(EOMONTH(출력_요약!$B$3,0)),IF(AND($AH222&gt;=출력_요약!$E$3,$AI222&lt;출력_요약!$E$3),"서울병원",IF(AND($AI222&gt;=출력_요약!$E$3,$AH222&lt;출력_요약!$E$3),"구리병원","⚠15일 판정불가(서울 "&amp;$AH222&amp;"일/구리 "&amp;$AI222&amp;"일)")),IF($AJ222="",$AE222,IF(INDEX(입력_파견수련계획!$T$4:$T$803,$AJ222)="통합수련",INDEX(입력_파견수련계획!$S$4:$S$803,$AJ222),$AE222)))))))</f>
        <v/>
      </c>
      <c r="Z222" s="20">
        <f>IF($B222="","",IF($AB222="","기본자료에 없는 사번",IF(COUNTIF($B$2:$B$401,$B222)&gt;1,"중복 사번",IF($AE222="","소속(입사장소) 입력",IF(IF(TRIM($J222&amp;"")="",0,SUMPRODUCT((입력_파견수련계획!$Q$4:$Q$803=TRIM($J222&amp;""))*(입력_파견수련계획!$AA$4:$AA$803&lt;&gt;"")))&gt;0,"파견수련계획 입력오류 확인",IF(LEFT($Y222,1)="⚠","서울·구리 15일 판정 불가(양쪽 모두 이상/미만)",IF(IF($AC222="",0,N(INDEX(입력_인턴근무계획!$T$3:$T$402,$AC222)))&gt;0,"인턴계획 입력오류 확인",IF(AND($AQ222&lt;&gt;"",$AG222&lt;&gt;"구리병원",IF(TRIM($J222&amp;"")="",0,SUMPRODUCT((입력_파견수련계획!$Q$4:$Q$803=TRIM($J222&amp;""))*(입력_파견수련계획!$S$4:$S$803="구리병원")*입력_파견수련계획!$W$4:$W$803))=0),"구리 근무자명단에만 있음(파견수련계획 확인)",IF(AND($AC222&lt;&gt;"",$U222&lt;&gt;"파견중",$N222&lt;&gt;$AE222),"인턴 타지역 근무: 파견 여부 확인","정상")))))))))</f>
        <v/>
      </c>
      <c r="AA222" s="5" t="n"/>
      <c r="AB222" s="10">
        <f>IF($B222="","",IFERROR(MATCH($B222,입력_기본자료!$B$2:$B$1001,0),IFERROR(MATCH($B222&amp;"",입력_기본자료!$B$2:$B$1001,0),IFERROR(MATCH(VALUE($B222),입력_기본자료!$B$2:$B$1001,0),""))))</f>
        <v/>
      </c>
      <c r="AC222" s="10">
        <f>IF($B222="","",IFERROR(MATCH($B222,입력_인턴근무계획!$D$3:$D$402,0),IFERROR(MATCH($B222&amp;"",입력_인턴근무계획!$D$3:$D$402,0),IFERROR(MATCH(VALUE($B222),입력_인턴근무계획!$D$3:$D$402,0),""))))</f>
        <v/>
      </c>
      <c r="AD222" s="10">
        <f>IF(OR($AC222="",출력_인턴현황!$G$3=""),"",INDEX(입력_인턴근무계획!$M$3:$R$402,$AC222,출력_인턴현황!$G$3)&amp;"")</f>
        <v/>
      </c>
      <c r="AE222" s="10">
        <f>IF($B222="","",IF($M222&lt;&gt;"",$M222,IF(IF($AQ222="",FALSE,INDEX(출력_구리근무자!$J$6:$J$305,$AQ222)="구리독자"),"구리병원",IF($AF222&lt;&gt;"",IF(LEFT(INDEX(입력_파견수련계획!$R$4:$R$803,$AF222),1)&lt;&gt;"⚠",INDEX(입력_파견수련계획!$R$4:$R$803,$AF222),IF($H222="","",IF(RIGHT($H222,2)="병원",$H222,$H222&amp;"병원"))),IF($H222="","",IF(RIGHT($H222,2)="병원",$H222,$H222&amp;"병원"))))))</f>
        <v/>
      </c>
      <c r="AF222" s="10">
        <f>IF(OR($B222="",TRIM($J222&amp;"")=""),"",IFERROR(MATCH(TRIM($J222&amp;"")&amp;"|파견중",입력_파견수련계획!$Y$4:$Y$803,0),IFERROR(MATCH(TRIM($J222&amp;"")&amp;"|파견예정",입력_파견수련계획!$Y$4:$Y$803,0),IFERROR(MATCH(TRIM($J222&amp;"")&amp;"|파견종료",입력_파견수련계획!$Y$4:$Y$803,0),""))))</f>
        <v/>
      </c>
      <c r="AG222" s="10">
        <f>IF($B222="","",IF(AND(IF(OR($AC222="",출력_인턴현황!$K$2=""),"",INDEX(입력_인턴근무계획!$M$3:$R$402,$AC222,출력_인턴현황!$K$2)&amp;"")&lt;&gt;"",LEFT(IF(OR($AC222="",출력_인턴현황!$K$2=""),"",INDEX(입력_인턴근무계획!$M$3:$R$402,$AC222,출력_인턴현황!$K$2)&amp;""),1)&lt;&gt;"⚠"),LEFT(IF(OR($AC222="",출력_인턴현황!$K$2=""),"",INDEX(입력_인턴근무계획!$M$3:$R$402,$AC222,출력_인턴현황!$K$2)&amp;""),FIND(" ",IF(OR($AC222="",출력_인턴현황!$K$2=""),"",INDEX(입력_인턴근무계획!$M$3:$R$402,$AC222,출력_인턴현황!$K$2)&amp;""))-1),$AE222))</f>
        <v/>
      </c>
      <c r="AH222" s="17">
        <f>IF($B222="","",IF($AQ222&lt;&gt;"",MAX(0,DAY(EOMONTH(출력_요약!$B$3,0))-N($AR222)),IF(TRIM($J222&amp;"")="",0,SUMPRODUCT((입력_파견수련계획!$Q$4:$Q$803=TRIM($J222&amp;""))*(입력_파견수련계획!$S$4:$S$803="서울병원")*입력_파견수련계획!$W$4:$W$803))+IF($AG222="서울병원",MAX(0,DAY(EOMONTH(출력_요약!$B$3,0))-N($X222)),0)))</f>
        <v/>
      </c>
      <c r="AI222" s="17">
        <f>IF($B222="","",IF($AQ222&lt;&gt;"",N($AR222),IF(TRIM($J222&amp;"")="",0,SUMPRODUCT((입력_파견수련계획!$Q$4:$Q$803=TRIM($J222&amp;""))*(입력_파견수련계획!$S$4:$S$803="구리병원")*입력_파견수련계획!$W$4:$W$803))+IF($AG222="구리병원",MAX(0,DAY(EOMONTH(출력_요약!$B$3,0))-N($X222)),0)))</f>
        <v/>
      </c>
      <c r="AJ222" s="10">
        <f>IF(OR($B222="",TRIM($J222&amp;"")=""),"",IFERROR(MATCH(TRIM($J222&amp;"")&amp;"|월",입력_파견수련계획!$Z$4:$Z$803,0),""))</f>
        <v/>
      </c>
      <c r="AK222" s="10">
        <f>IF(OR($B222="",TRIM($J222&amp;"")=""),"",IFERROR(MATCH(TRIM($J222&amp;"")&amp;"|다기관",입력_파견수련계획!$AE$4:$AE$803,0),""))</f>
        <v/>
      </c>
      <c r="AL222" s="10">
        <f>IF($AK222="","","다기관 "&amp;TEXT(INDEX(입력_파견수련계획!$AB$4:$AB$803,$AK222),"yyyy-mm-dd")&amp;"~"&amp;IF(ISNUMBER(INDEX(입력_파견수련계획!$AC$4:$AC$803,$AK222)),TEXT(INDEX(입력_파견수련계획!$AC$4:$AC$803,$AK222),"yyyy-mm-dd"),""))</f>
        <v/>
      </c>
      <c r="AM222" s="10">
        <f>IF($Y222="서울병원",COUNTIF($Y$2:$Y222,"서울병원"),"")</f>
        <v/>
      </c>
      <c r="AN222" s="10">
        <f>IF(LEFT($Y222,1)="⚠",COUNTIF($Y$2:$Y222,"⚠*"),"")</f>
        <v/>
      </c>
      <c r="AO222" s="10">
        <f>IF(OR($B222="",$Y222=""),"",IF(IF(TRIM($J222&amp;"")="",0,SUMPRODUCT((입력_파견수련계획!$Q$4:$Q$803=TRIM($J222&amp;""))*입력_파견수련계획!$AD$4:$AD$803))&gt;0,"다기관 기간 → 소속병원 지급",IF(AND(N($X222)&lt;=0,$AQ222=""),"파견 없음 → 그 달 근무병원 지급",IF($AH222+$AI222=DAY(EOMONTH(출력_요약!$B$3,0)),"서울 "&amp;$AH222&amp;"일 / 구리 "&amp;$AI222&amp;"일"&amp;IF($AQ222&lt;&gt;""," (구리 근무자명단 반영)","")&amp;" → 15일 이상 근무 병원 지급","타 병원 포함 → "&amp;IF($AJ222="","소속",INDEX(입력_파견수련계획!$T$4:$T$803,$AJ222))&amp;" 규칙"))))</f>
        <v/>
      </c>
      <c r="AP222" s="10">
        <f>IF($B222="","",$C222&amp;"|"&amp;$F222)</f>
        <v/>
      </c>
      <c r="AQ222" s="10">
        <f>IF($B222="","",IFERROR(MATCH(ROW()-1,출력_구리근무자!$K$6:$K$305,0),""))</f>
        <v/>
      </c>
      <c r="AR222" s="10">
        <f>IF($AQ222="","",INDEX(출력_구리근무자!$H$6:$H$305,$AQ222))</f>
        <v/>
      </c>
    </row>
    <row r="223">
      <c r="A223" s="10">
        <f>IF(B223="","",ROW()-1)</f>
        <v/>
      </c>
      <c r="B223" s="19" t="n"/>
      <c r="C223" s="10">
        <f>IF($AB223="","",IF(INDEX(입력_기본자료!$C$2:$C$1001,$AB223)="","",INDEX(입력_기본자료!$C$2:$C$1001,$AB223)))</f>
        <v/>
      </c>
      <c r="D223" s="10">
        <f>IF($AB223="","",IF(INDEX(입력_기본자료!$J$2:$J$1001,$AB223)="","",INDEX(입력_기본자료!$J$2:$J$1001,$AB223)))</f>
        <v/>
      </c>
      <c r="E223" s="11">
        <f>IF($AB223="","",IF(INDEX(입력_기본자료!$K$2:$K$1001,$AB223)="","",IF(NOT(ISNUMBER(INDEX(입력_기본자료!$K$2:$K$1001,$AB223))),INDEX(입력_기본자료!$K$2:$K$1001,$AB223),IF(INDEX(입력_기본자료!$K$2:$K$1001,$AB223)&lt;1000000,INDEX(입력_기본자료!$K$2:$K$1001,$AB223),IF(AND(INDEX(입력_기본자료!$K$2:$K$1001,$AB223)&gt;=10000101,INT(MOD(INDEX(입력_기본자료!$K$2:$K$1001,$AB223),10000)/100)&gt;=1,INT(MOD(INDEX(입력_기본자료!$K$2:$K$1001,$AB223),10000)/100)&lt;=12,MOD(INDEX(입력_기본자료!$K$2:$K$1001,$AB223),100)&gt;=1,MOD(INDEX(입력_기본자료!$K$2:$K$1001,$AB223),100)&lt;=31),DATE(INT(INDEX(입력_기본자료!$K$2:$K$1001,$AB223)/10000),INT(MOD(INDEX(입력_기본자료!$K$2:$K$1001,$AB223),10000)/100),MOD(INDEX(입력_기본자료!$K$2:$K$1001,$AB223),100)),INDEX(입력_기본자료!$K$2:$K$1001,$AB223)&amp;"")))))</f>
        <v/>
      </c>
      <c r="F223" s="10">
        <f>IF($AB223="","",IF(INDEX(입력_기본자료!$D$2:$D$1001,$AB223)="","",INDEX(입력_기본자료!$D$2:$D$1001,$AB223)))</f>
        <v/>
      </c>
      <c r="G223" s="10">
        <f>IF($AB223="","",IF(INDEX(입력_기본자료!$E$2:$E$1001,$AB223)="","",INDEX(입력_기본자료!$E$2:$E$1001,$AB223)))</f>
        <v/>
      </c>
      <c r="H223" s="10">
        <f>IF($AB223="","",IF(INDEX(입력_기본자료!$F$2:$F$1001,$AB223)="","",INDEX(입력_기본자료!$F$2:$F$1001,$AB223)))</f>
        <v/>
      </c>
      <c r="I223" s="11">
        <f>IF($AB223="","",IF(INDEX(입력_기본자료!$G$2:$G$1001,$AB223)="","",IF(NOT(ISNUMBER(INDEX(입력_기본자료!$G$2:$G$1001,$AB223))),INDEX(입력_기본자료!$G$2:$G$1001,$AB223),IF(INDEX(입력_기본자료!$G$2:$G$1001,$AB223)&lt;1000000,INDEX(입력_기본자료!$G$2:$G$1001,$AB223),IF(AND(INDEX(입력_기본자료!$G$2:$G$1001,$AB223)&gt;=10000101,INT(MOD(INDEX(입력_기본자료!$G$2:$G$1001,$AB223),10000)/100)&gt;=1,INT(MOD(INDEX(입력_기본자료!$G$2:$G$1001,$AB223),10000)/100)&lt;=12,MOD(INDEX(입력_기본자료!$G$2:$G$1001,$AB223),100)&gt;=1,MOD(INDEX(입력_기본자료!$G$2:$G$1001,$AB223),100)&lt;=31),DATE(INT(INDEX(입력_기본자료!$G$2:$G$1001,$AB223)/10000),INT(MOD(INDEX(입력_기본자료!$G$2:$G$1001,$AB223),10000)/100),MOD(INDEX(입력_기본자료!$G$2:$G$1001,$AB223),100)),INDEX(입력_기본자료!$G$2:$G$1001,$AB223)&amp;"")))))</f>
        <v/>
      </c>
      <c r="J223" s="10">
        <f>IF($AB223="","",IF(INDEX(입력_기본자료!$H$2:$H$1001,$AB223)="","",INDEX(입력_기본자료!$H$2:$H$1001,$AB223)))</f>
        <v/>
      </c>
      <c r="K223" s="10">
        <f>IF($AB223="","",IF(INDEX(입력_기본자료!$I$2:$I$1001,$AB223)="","",INDEX(입력_기본자료!$I$2:$I$1001,$AB223)))</f>
        <v/>
      </c>
      <c r="L223" s="10">
        <f>IF($AB223="","",IF(INDEX(입력_기본자료!$A$2:$A$1001,$AB223)="","",INDEX(입력_기본자료!$A$2:$A$1001,$AB223)))</f>
        <v/>
      </c>
      <c r="M223" s="15" t="n"/>
      <c r="N223" s="10">
        <f>IF($B223="","",IF(AND($U223="파견중",$Q223&lt;&gt;""),$Q223,IF(AND($AD223&lt;&gt;"",LEFT($AD223,1)&lt;&gt;"⚠"),LEFT($AD223,FIND(" ",$AD223)-1),IF($H223="","",IF(RIGHT($H223,2)="병원",$H223,$H223&amp;"병원")))))</f>
        <v/>
      </c>
      <c r="O223" s="10">
        <f>IF($B223="","",IF(AND($U223="파견중",$Q223&lt;&gt;""),IF($R223&lt;&gt;"",$R223,"파견과 미입력"),IF(AND($AD223&lt;&gt;"",LEFT($AD223,1)&lt;&gt;"⚠"),MID($AD223,FIND(" ",$AD223)+1,60),IF($F223="","",IF($F223="인턴","수련교육부(인턴)",$F223)))))</f>
        <v/>
      </c>
      <c r="P223" s="10">
        <f>IF($B223="","",IF($AK223&lt;&gt;"",IF(AND(TODAY()&gt;=INDEX(입력_파견수련계획!$AB$4:$AB$803,$AK223),OR(NOT(ISNUMBER(INDEX(입력_파견수련계획!$AC$4:$AC$803,$AK223))),TODAY()&lt;=INDEX(입력_파견수련계획!$AC$4:$AC$803,$AK223))),"다기관",IF($AF223="","",INDEX(입력_파견수련계획!$T$4:$T$803,$AF223))),IF($AF223="","",INDEX(입력_파견수련계획!$T$4:$T$803,$AF223))))</f>
        <v/>
      </c>
      <c r="Q223" s="10">
        <f>IF($AF223="","",INDEX(입력_파견수련계획!$S$4:$S$803,$AF223))</f>
        <v/>
      </c>
      <c r="R223" s="10">
        <f>IF($AF223="","",INDEX(입력_파견수련계획!$U$4:$U$803,$AF223))</f>
        <v/>
      </c>
      <c r="S223" s="11">
        <f>IF($AF223="","",IF(INDEX(입력_파견수련계획!$H$4:$H$803,$AF223)="","",INDEX(입력_파견수련계획!$H$4:$H$803,$AF223)))</f>
        <v/>
      </c>
      <c r="T223" s="11">
        <f>IF($AF223="","",IF(INDEX(입력_파견수련계획!$I$4:$I$803,$AF223)="","",INDEX(입력_파견수련계획!$I$4:$I$803,$AF223)))</f>
        <v/>
      </c>
      <c r="U223" s="10">
        <f>IF($AF223="","",INDEX(입력_파견수련계획!$X$4:$X$803,$AF223))</f>
        <v/>
      </c>
      <c r="V223" s="17">
        <f>IF($AF223="","",INDEX(입력_파견수련계획!$V$4:$V$803,$AF223))</f>
        <v/>
      </c>
      <c r="W223" s="17">
        <f>IF(AND($U223="파견중",$T223&lt;&gt;""),$T223-TODAY(),"")</f>
        <v/>
      </c>
      <c r="X223" s="17">
        <f>IF(OR($B223="",TRIM($J223&amp;"")=""),"",SUMPRODUCT((입력_파견수련계획!$Q$4:$Q$803=TRIM($J223&amp;""))*입력_파견수련계획!$W$4:$W$803))</f>
        <v/>
      </c>
      <c r="Y223" s="10">
        <f>IF($B223="","",IF($AG223="","",IF(IF(TRIM($J223&amp;"")="",0,SUMPRODUCT((입력_파견수련계획!$Q$4:$Q$803=TRIM($J223&amp;""))*입력_파견수련계획!$AD$4:$AD$803))&gt;0,$AE223,IF(AND(N($X223)&lt;=0,$AQ223=""),$AG223,IF($AH223+$AI223=DAY(EOMONTH(출력_요약!$B$3,0)),IF(AND($AH223&gt;=출력_요약!$E$3,$AI223&lt;출력_요약!$E$3),"서울병원",IF(AND($AI223&gt;=출력_요약!$E$3,$AH223&lt;출력_요약!$E$3),"구리병원","⚠15일 판정불가(서울 "&amp;$AH223&amp;"일/구리 "&amp;$AI223&amp;"일)")),IF($AJ223="",$AE223,IF(INDEX(입력_파견수련계획!$T$4:$T$803,$AJ223)="통합수련",INDEX(입력_파견수련계획!$S$4:$S$803,$AJ223),$AE223)))))))</f>
        <v/>
      </c>
      <c r="Z223" s="20">
        <f>IF($B223="","",IF($AB223="","기본자료에 없는 사번",IF(COUNTIF($B$2:$B$401,$B223)&gt;1,"중복 사번",IF($AE223="","소속(입사장소) 입력",IF(IF(TRIM($J223&amp;"")="",0,SUMPRODUCT((입력_파견수련계획!$Q$4:$Q$803=TRIM($J223&amp;""))*(입력_파견수련계획!$AA$4:$AA$803&lt;&gt;"")))&gt;0,"파견수련계획 입력오류 확인",IF(LEFT($Y223,1)="⚠","서울·구리 15일 판정 불가(양쪽 모두 이상/미만)",IF(IF($AC223="",0,N(INDEX(입력_인턴근무계획!$T$3:$T$402,$AC223)))&gt;0,"인턴계획 입력오류 확인",IF(AND($AQ223&lt;&gt;"",$AG223&lt;&gt;"구리병원",IF(TRIM($J223&amp;"")="",0,SUMPRODUCT((입력_파견수련계획!$Q$4:$Q$803=TRIM($J223&amp;""))*(입력_파견수련계획!$S$4:$S$803="구리병원")*입력_파견수련계획!$W$4:$W$803))=0),"구리 근무자명단에만 있음(파견수련계획 확인)",IF(AND($AC223&lt;&gt;"",$U223&lt;&gt;"파견중",$N223&lt;&gt;$AE223),"인턴 타지역 근무: 파견 여부 확인","정상")))))))))</f>
        <v/>
      </c>
      <c r="AA223" s="5" t="n"/>
      <c r="AB223" s="10">
        <f>IF($B223="","",IFERROR(MATCH($B223,입력_기본자료!$B$2:$B$1001,0),IFERROR(MATCH($B223&amp;"",입력_기본자료!$B$2:$B$1001,0),IFERROR(MATCH(VALUE($B223),입력_기본자료!$B$2:$B$1001,0),""))))</f>
        <v/>
      </c>
      <c r="AC223" s="10">
        <f>IF($B223="","",IFERROR(MATCH($B223,입력_인턴근무계획!$D$3:$D$402,0),IFERROR(MATCH($B223&amp;"",입력_인턴근무계획!$D$3:$D$402,0),IFERROR(MATCH(VALUE($B223),입력_인턴근무계획!$D$3:$D$402,0),""))))</f>
        <v/>
      </c>
      <c r="AD223" s="10">
        <f>IF(OR($AC223="",출력_인턴현황!$G$3=""),"",INDEX(입력_인턴근무계획!$M$3:$R$402,$AC223,출력_인턴현황!$G$3)&amp;"")</f>
        <v/>
      </c>
      <c r="AE223" s="10">
        <f>IF($B223="","",IF($M223&lt;&gt;"",$M223,IF(IF($AQ223="",FALSE,INDEX(출력_구리근무자!$J$6:$J$305,$AQ223)="구리독자"),"구리병원",IF($AF223&lt;&gt;"",IF(LEFT(INDEX(입력_파견수련계획!$R$4:$R$803,$AF223),1)&lt;&gt;"⚠",INDEX(입력_파견수련계획!$R$4:$R$803,$AF223),IF($H223="","",IF(RIGHT($H223,2)="병원",$H223,$H223&amp;"병원"))),IF($H223="","",IF(RIGHT($H223,2)="병원",$H223,$H223&amp;"병원"))))))</f>
        <v/>
      </c>
      <c r="AF223" s="10">
        <f>IF(OR($B223="",TRIM($J223&amp;"")=""),"",IFERROR(MATCH(TRIM($J223&amp;"")&amp;"|파견중",입력_파견수련계획!$Y$4:$Y$803,0),IFERROR(MATCH(TRIM($J223&amp;"")&amp;"|파견예정",입력_파견수련계획!$Y$4:$Y$803,0),IFERROR(MATCH(TRIM($J223&amp;"")&amp;"|파견종료",입력_파견수련계획!$Y$4:$Y$803,0),""))))</f>
        <v/>
      </c>
      <c r="AG223" s="10">
        <f>IF($B223="","",IF(AND(IF(OR($AC223="",출력_인턴현황!$K$2=""),"",INDEX(입력_인턴근무계획!$M$3:$R$402,$AC223,출력_인턴현황!$K$2)&amp;"")&lt;&gt;"",LEFT(IF(OR($AC223="",출력_인턴현황!$K$2=""),"",INDEX(입력_인턴근무계획!$M$3:$R$402,$AC223,출력_인턴현황!$K$2)&amp;""),1)&lt;&gt;"⚠"),LEFT(IF(OR($AC223="",출력_인턴현황!$K$2=""),"",INDEX(입력_인턴근무계획!$M$3:$R$402,$AC223,출력_인턴현황!$K$2)&amp;""),FIND(" ",IF(OR($AC223="",출력_인턴현황!$K$2=""),"",INDEX(입력_인턴근무계획!$M$3:$R$402,$AC223,출력_인턴현황!$K$2)&amp;""))-1),$AE223))</f>
        <v/>
      </c>
      <c r="AH223" s="17">
        <f>IF($B223="","",IF($AQ223&lt;&gt;"",MAX(0,DAY(EOMONTH(출력_요약!$B$3,0))-N($AR223)),IF(TRIM($J223&amp;"")="",0,SUMPRODUCT((입력_파견수련계획!$Q$4:$Q$803=TRIM($J223&amp;""))*(입력_파견수련계획!$S$4:$S$803="서울병원")*입력_파견수련계획!$W$4:$W$803))+IF($AG223="서울병원",MAX(0,DAY(EOMONTH(출력_요약!$B$3,0))-N($X223)),0)))</f>
        <v/>
      </c>
      <c r="AI223" s="17">
        <f>IF($B223="","",IF($AQ223&lt;&gt;"",N($AR223),IF(TRIM($J223&amp;"")="",0,SUMPRODUCT((입력_파견수련계획!$Q$4:$Q$803=TRIM($J223&amp;""))*(입력_파견수련계획!$S$4:$S$803="구리병원")*입력_파견수련계획!$W$4:$W$803))+IF($AG223="구리병원",MAX(0,DAY(EOMONTH(출력_요약!$B$3,0))-N($X223)),0)))</f>
        <v/>
      </c>
      <c r="AJ223" s="10">
        <f>IF(OR($B223="",TRIM($J223&amp;"")=""),"",IFERROR(MATCH(TRIM($J223&amp;"")&amp;"|월",입력_파견수련계획!$Z$4:$Z$803,0),""))</f>
        <v/>
      </c>
      <c r="AK223" s="10">
        <f>IF(OR($B223="",TRIM($J223&amp;"")=""),"",IFERROR(MATCH(TRIM($J223&amp;"")&amp;"|다기관",입력_파견수련계획!$AE$4:$AE$803,0),""))</f>
        <v/>
      </c>
      <c r="AL223" s="10">
        <f>IF($AK223="","","다기관 "&amp;TEXT(INDEX(입력_파견수련계획!$AB$4:$AB$803,$AK223),"yyyy-mm-dd")&amp;"~"&amp;IF(ISNUMBER(INDEX(입력_파견수련계획!$AC$4:$AC$803,$AK223)),TEXT(INDEX(입력_파견수련계획!$AC$4:$AC$803,$AK223),"yyyy-mm-dd"),""))</f>
        <v/>
      </c>
      <c r="AM223" s="10">
        <f>IF($Y223="서울병원",COUNTIF($Y$2:$Y223,"서울병원"),"")</f>
        <v/>
      </c>
      <c r="AN223" s="10">
        <f>IF(LEFT($Y223,1)="⚠",COUNTIF($Y$2:$Y223,"⚠*"),"")</f>
        <v/>
      </c>
      <c r="AO223" s="10">
        <f>IF(OR($B223="",$Y223=""),"",IF(IF(TRIM($J223&amp;"")="",0,SUMPRODUCT((입력_파견수련계획!$Q$4:$Q$803=TRIM($J223&amp;""))*입력_파견수련계획!$AD$4:$AD$803))&gt;0,"다기관 기간 → 소속병원 지급",IF(AND(N($X223)&lt;=0,$AQ223=""),"파견 없음 → 그 달 근무병원 지급",IF($AH223+$AI223=DAY(EOMONTH(출력_요약!$B$3,0)),"서울 "&amp;$AH223&amp;"일 / 구리 "&amp;$AI223&amp;"일"&amp;IF($AQ223&lt;&gt;""," (구리 근무자명단 반영)","")&amp;" → 15일 이상 근무 병원 지급","타 병원 포함 → "&amp;IF($AJ223="","소속",INDEX(입력_파견수련계획!$T$4:$T$803,$AJ223))&amp;" 규칙"))))</f>
        <v/>
      </c>
      <c r="AP223" s="10">
        <f>IF($B223="","",$C223&amp;"|"&amp;$F223)</f>
        <v/>
      </c>
      <c r="AQ223" s="10">
        <f>IF($B223="","",IFERROR(MATCH(ROW()-1,출력_구리근무자!$K$6:$K$305,0),""))</f>
        <v/>
      </c>
      <c r="AR223" s="10">
        <f>IF($AQ223="","",INDEX(출력_구리근무자!$H$6:$H$305,$AQ223))</f>
        <v/>
      </c>
    </row>
    <row r="224">
      <c r="A224" s="10">
        <f>IF(B224="","",ROW()-1)</f>
        <v/>
      </c>
      <c r="B224" s="19" t="n"/>
      <c r="C224" s="10">
        <f>IF($AB224="","",IF(INDEX(입력_기본자료!$C$2:$C$1001,$AB224)="","",INDEX(입력_기본자료!$C$2:$C$1001,$AB224)))</f>
        <v/>
      </c>
      <c r="D224" s="10">
        <f>IF($AB224="","",IF(INDEX(입력_기본자료!$J$2:$J$1001,$AB224)="","",INDEX(입력_기본자료!$J$2:$J$1001,$AB224)))</f>
        <v/>
      </c>
      <c r="E224" s="11">
        <f>IF($AB224="","",IF(INDEX(입력_기본자료!$K$2:$K$1001,$AB224)="","",IF(NOT(ISNUMBER(INDEX(입력_기본자료!$K$2:$K$1001,$AB224))),INDEX(입력_기본자료!$K$2:$K$1001,$AB224),IF(INDEX(입력_기본자료!$K$2:$K$1001,$AB224)&lt;1000000,INDEX(입력_기본자료!$K$2:$K$1001,$AB224),IF(AND(INDEX(입력_기본자료!$K$2:$K$1001,$AB224)&gt;=10000101,INT(MOD(INDEX(입력_기본자료!$K$2:$K$1001,$AB224),10000)/100)&gt;=1,INT(MOD(INDEX(입력_기본자료!$K$2:$K$1001,$AB224),10000)/100)&lt;=12,MOD(INDEX(입력_기본자료!$K$2:$K$1001,$AB224),100)&gt;=1,MOD(INDEX(입력_기본자료!$K$2:$K$1001,$AB224),100)&lt;=31),DATE(INT(INDEX(입력_기본자료!$K$2:$K$1001,$AB224)/10000),INT(MOD(INDEX(입력_기본자료!$K$2:$K$1001,$AB224),10000)/100),MOD(INDEX(입력_기본자료!$K$2:$K$1001,$AB224),100)),INDEX(입력_기본자료!$K$2:$K$1001,$AB224)&amp;"")))))</f>
        <v/>
      </c>
      <c r="F224" s="10">
        <f>IF($AB224="","",IF(INDEX(입력_기본자료!$D$2:$D$1001,$AB224)="","",INDEX(입력_기본자료!$D$2:$D$1001,$AB224)))</f>
        <v/>
      </c>
      <c r="G224" s="10">
        <f>IF($AB224="","",IF(INDEX(입력_기본자료!$E$2:$E$1001,$AB224)="","",INDEX(입력_기본자료!$E$2:$E$1001,$AB224)))</f>
        <v/>
      </c>
      <c r="H224" s="10">
        <f>IF($AB224="","",IF(INDEX(입력_기본자료!$F$2:$F$1001,$AB224)="","",INDEX(입력_기본자료!$F$2:$F$1001,$AB224)))</f>
        <v/>
      </c>
      <c r="I224" s="11">
        <f>IF($AB224="","",IF(INDEX(입력_기본자료!$G$2:$G$1001,$AB224)="","",IF(NOT(ISNUMBER(INDEX(입력_기본자료!$G$2:$G$1001,$AB224))),INDEX(입력_기본자료!$G$2:$G$1001,$AB224),IF(INDEX(입력_기본자료!$G$2:$G$1001,$AB224)&lt;1000000,INDEX(입력_기본자료!$G$2:$G$1001,$AB224),IF(AND(INDEX(입력_기본자료!$G$2:$G$1001,$AB224)&gt;=10000101,INT(MOD(INDEX(입력_기본자료!$G$2:$G$1001,$AB224),10000)/100)&gt;=1,INT(MOD(INDEX(입력_기본자료!$G$2:$G$1001,$AB224),10000)/100)&lt;=12,MOD(INDEX(입력_기본자료!$G$2:$G$1001,$AB224),100)&gt;=1,MOD(INDEX(입력_기본자료!$G$2:$G$1001,$AB224),100)&lt;=31),DATE(INT(INDEX(입력_기본자료!$G$2:$G$1001,$AB224)/10000),INT(MOD(INDEX(입력_기본자료!$G$2:$G$1001,$AB224),10000)/100),MOD(INDEX(입력_기본자료!$G$2:$G$1001,$AB224),100)),INDEX(입력_기본자료!$G$2:$G$1001,$AB224)&amp;"")))))</f>
        <v/>
      </c>
      <c r="J224" s="10">
        <f>IF($AB224="","",IF(INDEX(입력_기본자료!$H$2:$H$1001,$AB224)="","",INDEX(입력_기본자료!$H$2:$H$1001,$AB224)))</f>
        <v/>
      </c>
      <c r="K224" s="10">
        <f>IF($AB224="","",IF(INDEX(입력_기본자료!$I$2:$I$1001,$AB224)="","",INDEX(입력_기본자료!$I$2:$I$1001,$AB224)))</f>
        <v/>
      </c>
      <c r="L224" s="10">
        <f>IF($AB224="","",IF(INDEX(입력_기본자료!$A$2:$A$1001,$AB224)="","",INDEX(입력_기본자료!$A$2:$A$1001,$AB224)))</f>
        <v/>
      </c>
      <c r="M224" s="15" t="n"/>
      <c r="N224" s="10">
        <f>IF($B224="","",IF(AND($U224="파견중",$Q224&lt;&gt;""),$Q224,IF(AND($AD224&lt;&gt;"",LEFT($AD224,1)&lt;&gt;"⚠"),LEFT($AD224,FIND(" ",$AD224)-1),IF($H224="","",IF(RIGHT($H224,2)="병원",$H224,$H224&amp;"병원")))))</f>
        <v/>
      </c>
      <c r="O224" s="10">
        <f>IF($B224="","",IF(AND($U224="파견중",$Q224&lt;&gt;""),IF($R224&lt;&gt;"",$R224,"파견과 미입력"),IF(AND($AD224&lt;&gt;"",LEFT($AD224,1)&lt;&gt;"⚠"),MID($AD224,FIND(" ",$AD224)+1,60),IF($F224="","",IF($F224="인턴","수련교육부(인턴)",$F224)))))</f>
        <v/>
      </c>
      <c r="P224" s="10">
        <f>IF($B224="","",IF($AK224&lt;&gt;"",IF(AND(TODAY()&gt;=INDEX(입력_파견수련계획!$AB$4:$AB$803,$AK224),OR(NOT(ISNUMBER(INDEX(입력_파견수련계획!$AC$4:$AC$803,$AK224))),TODAY()&lt;=INDEX(입력_파견수련계획!$AC$4:$AC$803,$AK224))),"다기관",IF($AF224="","",INDEX(입력_파견수련계획!$T$4:$T$803,$AF224))),IF($AF224="","",INDEX(입력_파견수련계획!$T$4:$T$803,$AF224))))</f>
        <v/>
      </c>
      <c r="Q224" s="10">
        <f>IF($AF224="","",INDEX(입력_파견수련계획!$S$4:$S$803,$AF224))</f>
        <v/>
      </c>
      <c r="R224" s="10">
        <f>IF($AF224="","",INDEX(입력_파견수련계획!$U$4:$U$803,$AF224))</f>
        <v/>
      </c>
      <c r="S224" s="11">
        <f>IF($AF224="","",IF(INDEX(입력_파견수련계획!$H$4:$H$803,$AF224)="","",INDEX(입력_파견수련계획!$H$4:$H$803,$AF224)))</f>
        <v/>
      </c>
      <c r="T224" s="11">
        <f>IF($AF224="","",IF(INDEX(입력_파견수련계획!$I$4:$I$803,$AF224)="","",INDEX(입력_파견수련계획!$I$4:$I$803,$AF224)))</f>
        <v/>
      </c>
      <c r="U224" s="10">
        <f>IF($AF224="","",INDEX(입력_파견수련계획!$X$4:$X$803,$AF224))</f>
        <v/>
      </c>
      <c r="V224" s="17">
        <f>IF($AF224="","",INDEX(입력_파견수련계획!$V$4:$V$803,$AF224))</f>
        <v/>
      </c>
      <c r="W224" s="17">
        <f>IF(AND($U224="파견중",$T224&lt;&gt;""),$T224-TODAY(),"")</f>
        <v/>
      </c>
      <c r="X224" s="17">
        <f>IF(OR($B224="",TRIM($J224&amp;"")=""),"",SUMPRODUCT((입력_파견수련계획!$Q$4:$Q$803=TRIM($J224&amp;""))*입력_파견수련계획!$W$4:$W$803))</f>
        <v/>
      </c>
      <c r="Y224" s="10">
        <f>IF($B224="","",IF($AG224="","",IF(IF(TRIM($J224&amp;"")="",0,SUMPRODUCT((입력_파견수련계획!$Q$4:$Q$803=TRIM($J224&amp;""))*입력_파견수련계획!$AD$4:$AD$803))&gt;0,$AE224,IF(AND(N($X224)&lt;=0,$AQ224=""),$AG224,IF($AH224+$AI224=DAY(EOMONTH(출력_요약!$B$3,0)),IF(AND($AH224&gt;=출력_요약!$E$3,$AI224&lt;출력_요약!$E$3),"서울병원",IF(AND($AI224&gt;=출력_요약!$E$3,$AH224&lt;출력_요약!$E$3),"구리병원","⚠15일 판정불가(서울 "&amp;$AH224&amp;"일/구리 "&amp;$AI224&amp;"일)")),IF($AJ224="",$AE224,IF(INDEX(입력_파견수련계획!$T$4:$T$803,$AJ224)="통합수련",INDEX(입력_파견수련계획!$S$4:$S$803,$AJ224),$AE224)))))))</f>
        <v/>
      </c>
      <c r="Z224" s="20">
        <f>IF($B224="","",IF($AB224="","기본자료에 없는 사번",IF(COUNTIF($B$2:$B$401,$B224)&gt;1,"중복 사번",IF($AE224="","소속(입사장소) 입력",IF(IF(TRIM($J224&amp;"")="",0,SUMPRODUCT((입력_파견수련계획!$Q$4:$Q$803=TRIM($J224&amp;""))*(입력_파견수련계획!$AA$4:$AA$803&lt;&gt;"")))&gt;0,"파견수련계획 입력오류 확인",IF(LEFT($Y224,1)="⚠","서울·구리 15일 판정 불가(양쪽 모두 이상/미만)",IF(IF($AC224="",0,N(INDEX(입력_인턴근무계획!$T$3:$T$402,$AC224)))&gt;0,"인턴계획 입력오류 확인",IF(AND($AQ224&lt;&gt;"",$AG224&lt;&gt;"구리병원",IF(TRIM($J224&amp;"")="",0,SUMPRODUCT((입력_파견수련계획!$Q$4:$Q$803=TRIM($J224&amp;""))*(입력_파견수련계획!$S$4:$S$803="구리병원")*입력_파견수련계획!$W$4:$W$803))=0),"구리 근무자명단에만 있음(파견수련계획 확인)",IF(AND($AC224&lt;&gt;"",$U224&lt;&gt;"파견중",$N224&lt;&gt;$AE224),"인턴 타지역 근무: 파견 여부 확인","정상")))))))))</f>
        <v/>
      </c>
      <c r="AA224" s="5" t="n"/>
      <c r="AB224" s="10">
        <f>IF($B224="","",IFERROR(MATCH($B224,입력_기본자료!$B$2:$B$1001,0),IFERROR(MATCH($B224&amp;"",입력_기본자료!$B$2:$B$1001,0),IFERROR(MATCH(VALUE($B224),입력_기본자료!$B$2:$B$1001,0),""))))</f>
        <v/>
      </c>
      <c r="AC224" s="10">
        <f>IF($B224="","",IFERROR(MATCH($B224,입력_인턴근무계획!$D$3:$D$402,0),IFERROR(MATCH($B224&amp;"",입력_인턴근무계획!$D$3:$D$402,0),IFERROR(MATCH(VALUE($B224),입력_인턴근무계획!$D$3:$D$402,0),""))))</f>
        <v/>
      </c>
      <c r="AD224" s="10">
        <f>IF(OR($AC224="",출력_인턴현황!$G$3=""),"",INDEX(입력_인턴근무계획!$M$3:$R$402,$AC224,출력_인턴현황!$G$3)&amp;"")</f>
        <v/>
      </c>
      <c r="AE224" s="10">
        <f>IF($B224="","",IF($M224&lt;&gt;"",$M224,IF(IF($AQ224="",FALSE,INDEX(출력_구리근무자!$J$6:$J$305,$AQ224)="구리독자"),"구리병원",IF($AF224&lt;&gt;"",IF(LEFT(INDEX(입력_파견수련계획!$R$4:$R$803,$AF224),1)&lt;&gt;"⚠",INDEX(입력_파견수련계획!$R$4:$R$803,$AF224),IF($H224="","",IF(RIGHT($H224,2)="병원",$H224,$H224&amp;"병원"))),IF($H224="","",IF(RIGHT($H224,2)="병원",$H224,$H224&amp;"병원"))))))</f>
        <v/>
      </c>
      <c r="AF224" s="10">
        <f>IF(OR($B224="",TRIM($J224&amp;"")=""),"",IFERROR(MATCH(TRIM($J224&amp;"")&amp;"|파견중",입력_파견수련계획!$Y$4:$Y$803,0),IFERROR(MATCH(TRIM($J224&amp;"")&amp;"|파견예정",입력_파견수련계획!$Y$4:$Y$803,0),IFERROR(MATCH(TRIM($J224&amp;"")&amp;"|파견종료",입력_파견수련계획!$Y$4:$Y$803,0),""))))</f>
        <v/>
      </c>
      <c r="AG224" s="10">
        <f>IF($B224="","",IF(AND(IF(OR($AC224="",출력_인턴현황!$K$2=""),"",INDEX(입력_인턴근무계획!$M$3:$R$402,$AC224,출력_인턴현황!$K$2)&amp;"")&lt;&gt;"",LEFT(IF(OR($AC224="",출력_인턴현황!$K$2=""),"",INDEX(입력_인턴근무계획!$M$3:$R$402,$AC224,출력_인턴현황!$K$2)&amp;""),1)&lt;&gt;"⚠"),LEFT(IF(OR($AC224="",출력_인턴현황!$K$2=""),"",INDEX(입력_인턴근무계획!$M$3:$R$402,$AC224,출력_인턴현황!$K$2)&amp;""),FIND(" ",IF(OR($AC224="",출력_인턴현황!$K$2=""),"",INDEX(입력_인턴근무계획!$M$3:$R$402,$AC224,출력_인턴현황!$K$2)&amp;""))-1),$AE224))</f>
        <v/>
      </c>
      <c r="AH224" s="17">
        <f>IF($B224="","",IF($AQ224&lt;&gt;"",MAX(0,DAY(EOMONTH(출력_요약!$B$3,0))-N($AR224)),IF(TRIM($J224&amp;"")="",0,SUMPRODUCT((입력_파견수련계획!$Q$4:$Q$803=TRIM($J224&amp;""))*(입력_파견수련계획!$S$4:$S$803="서울병원")*입력_파견수련계획!$W$4:$W$803))+IF($AG224="서울병원",MAX(0,DAY(EOMONTH(출력_요약!$B$3,0))-N($X224)),0)))</f>
        <v/>
      </c>
      <c r="AI224" s="17">
        <f>IF($B224="","",IF($AQ224&lt;&gt;"",N($AR224),IF(TRIM($J224&amp;"")="",0,SUMPRODUCT((입력_파견수련계획!$Q$4:$Q$803=TRIM($J224&amp;""))*(입력_파견수련계획!$S$4:$S$803="구리병원")*입력_파견수련계획!$W$4:$W$803))+IF($AG224="구리병원",MAX(0,DAY(EOMONTH(출력_요약!$B$3,0))-N($X224)),0)))</f>
        <v/>
      </c>
      <c r="AJ224" s="10">
        <f>IF(OR($B224="",TRIM($J224&amp;"")=""),"",IFERROR(MATCH(TRIM($J224&amp;"")&amp;"|월",입력_파견수련계획!$Z$4:$Z$803,0),""))</f>
        <v/>
      </c>
      <c r="AK224" s="10">
        <f>IF(OR($B224="",TRIM($J224&amp;"")=""),"",IFERROR(MATCH(TRIM($J224&amp;"")&amp;"|다기관",입력_파견수련계획!$AE$4:$AE$803,0),""))</f>
        <v/>
      </c>
      <c r="AL224" s="10">
        <f>IF($AK224="","","다기관 "&amp;TEXT(INDEX(입력_파견수련계획!$AB$4:$AB$803,$AK224),"yyyy-mm-dd")&amp;"~"&amp;IF(ISNUMBER(INDEX(입력_파견수련계획!$AC$4:$AC$803,$AK224)),TEXT(INDEX(입력_파견수련계획!$AC$4:$AC$803,$AK224),"yyyy-mm-dd"),""))</f>
        <v/>
      </c>
      <c r="AM224" s="10">
        <f>IF($Y224="서울병원",COUNTIF($Y$2:$Y224,"서울병원"),"")</f>
        <v/>
      </c>
      <c r="AN224" s="10">
        <f>IF(LEFT($Y224,1)="⚠",COUNTIF($Y$2:$Y224,"⚠*"),"")</f>
        <v/>
      </c>
      <c r="AO224" s="10">
        <f>IF(OR($B224="",$Y224=""),"",IF(IF(TRIM($J224&amp;"")="",0,SUMPRODUCT((입력_파견수련계획!$Q$4:$Q$803=TRIM($J224&amp;""))*입력_파견수련계획!$AD$4:$AD$803))&gt;0,"다기관 기간 → 소속병원 지급",IF(AND(N($X224)&lt;=0,$AQ224=""),"파견 없음 → 그 달 근무병원 지급",IF($AH224+$AI224=DAY(EOMONTH(출력_요약!$B$3,0)),"서울 "&amp;$AH224&amp;"일 / 구리 "&amp;$AI224&amp;"일"&amp;IF($AQ224&lt;&gt;""," (구리 근무자명단 반영)","")&amp;" → 15일 이상 근무 병원 지급","타 병원 포함 → "&amp;IF($AJ224="","소속",INDEX(입력_파견수련계획!$T$4:$T$803,$AJ224))&amp;" 규칙"))))</f>
        <v/>
      </c>
      <c r="AP224" s="10">
        <f>IF($B224="","",$C224&amp;"|"&amp;$F224)</f>
        <v/>
      </c>
      <c r="AQ224" s="10">
        <f>IF($B224="","",IFERROR(MATCH(ROW()-1,출력_구리근무자!$K$6:$K$305,0),""))</f>
        <v/>
      </c>
      <c r="AR224" s="10">
        <f>IF($AQ224="","",INDEX(출력_구리근무자!$H$6:$H$305,$AQ224))</f>
        <v/>
      </c>
    </row>
    <row r="225">
      <c r="A225" s="10">
        <f>IF(B225="","",ROW()-1)</f>
        <v/>
      </c>
      <c r="B225" s="19" t="n"/>
      <c r="C225" s="10">
        <f>IF($AB225="","",IF(INDEX(입력_기본자료!$C$2:$C$1001,$AB225)="","",INDEX(입력_기본자료!$C$2:$C$1001,$AB225)))</f>
        <v/>
      </c>
      <c r="D225" s="10">
        <f>IF($AB225="","",IF(INDEX(입력_기본자료!$J$2:$J$1001,$AB225)="","",INDEX(입력_기본자료!$J$2:$J$1001,$AB225)))</f>
        <v/>
      </c>
      <c r="E225" s="11">
        <f>IF($AB225="","",IF(INDEX(입력_기본자료!$K$2:$K$1001,$AB225)="","",IF(NOT(ISNUMBER(INDEX(입력_기본자료!$K$2:$K$1001,$AB225))),INDEX(입력_기본자료!$K$2:$K$1001,$AB225),IF(INDEX(입력_기본자료!$K$2:$K$1001,$AB225)&lt;1000000,INDEX(입력_기본자료!$K$2:$K$1001,$AB225),IF(AND(INDEX(입력_기본자료!$K$2:$K$1001,$AB225)&gt;=10000101,INT(MOD(INDEX(입력_기본자료!$K$2:$K$1001,$AB225),10000)/100)&gt;=1,INT(MOD(INDEX(입력_기본자료!$K$2:$K$1001,$AB225),10000)/100)&lt;=12,MOD(INDEX(입력_기본자료!$K$2:$K$1001,$AB225),100)&gt;=1,MOD(INDEX(입력_기본자료!$K$2:$K$1001,$AB225),100)&lt;=31),DATE(INT(INDEX(입력_기본자료!$K$2:$K$1001,$AB225)/10000),INT(MOD(INDEX(입력_기본자료!$K$2:$K$1001,$AB225),10000)/100),MOD(INDEX(입력_기본자료!$K$2:$K$1001,$AB225),100)),INDEX(입력_기본자료!$K$2:$K$1001,$AB225)&amp;"")))))</f>
        <v/>
      </c>
      <c r="F225" s="10">
        <f>IF($AB225="","",IF(INDEX(입력_기본자료!$D$2:$D$1001,$AB225)="","",INDEX(입력_기본자료!$D$2:$D$1001,$AB225)))</f>
        <v/>
      </c>
      <c r="G225" s="10">
        <f>IF($AB225="","",IF(INDEX(입력_기본자료!$E$2:$E$1001,$AB225)="","",INDEX(입력_기본자료!$E$2:$E$1001,$AB225)))</f>
        <v/>
      </c>
      <c r="H225" s="10">
        <f>IF($AB225="","",IF(INDEX(입력_기본자료!$F$2:$F$1001,$AB225)="","",INDEX(입력_기본자료!$F$2:$F$1001,$AB225)))</f>
        <v/>
      </c>
      <c r="I225" s="11">
        <f>IF($AB225="","",IF(INDEX(입력_기본자료!$G$2:$G$1001,$AB225)="","",IF(NOT(ISNUMBER(INDEX(입력_기본자료!$G$2:$G$1001,$AB225))),INDEX(입력_기본자료!$G$2:$G$1001,$AB225),IF(INDEX(입력_기본자료!$G$2:$G$1001,$AB225)&lt;1000000,INDEX(입력_기본자료!$G$2:$G$1001,$AB225),IF(AND(INDEX(입력_기본자료!$G$2:$G$1001,$AB225)&gt;=10000101,INT(MOD(INDEX(입력_기본자료!$G$2:$G$1001,$AB225),10000)/100)&gt;=1,INT(MOD(INDEX(입력_기본자료!$G$2:$G$1001,$AB225),10000)/100)&lt;=12,MOD(INDEX(입력_기본자료!$G$2:$G$1001,$AB225),100)&gt;=1,MOD(INDEX(입력_기본자료!$G$2:$G$1001,$AB225),100)&lt;=31),DATE(INT(INDEX(입력_기본자료!$G$2:$G$1001,$AB225)/10000),INT(MOD(INDEX(입력_기본자료!$G$2:$G$1001,$AB225),10000)/100),MOD(INDEX(입력_기본자료!$G$2:$G$1001,$AB225),100)),INDEX(입력_기본자료!$G$2:$G$1001,$AB225)&amp;"")))))</f>
        <v/>
      </c>
      <c r="J225" s="10">
        <f>IF($AB225="","",IF(INDEX(입력_기본자료!$H$2:$H$1001,$AB225)="","",INDEX(입력_기본자료!$H$2:$H$1001,$AB225)))</f>
        <v/>
      </c>
      <c r="K225" s="10">
        <f>IF($AB225="","",IF(INDEX(입력_기본자료!$I$2:$I$1001,$AB225)="","",INDEX(입력_기본자료!$I$2:$I$1001,$AB225)))</f>
        <v/>
      </c>
      <c r="L225" s="10">
        <f>IF($AB225="","",IF(INDEX(입력_기본자료!$A$2:$A$1001,$AB225)="","",INDEX(입력_기본자료!$A$2:$A$1001,$AB225)))</f>
        <v/>
      </c>
      <c r="M225" s="15" t="n"/>
      <c r="N225" s="10">
        <f>IF($B225="","",IF(AND($U225="파견중",$Q225&lt;&gt;""),$Q225,IF(AND($AD225&lt;&gt;"",LEFT($AD225,1)&lt;&gt;"⚠"),LEFT($AD225,FIND(" ",$AD225)-1),IF($H225="","",IF(RIGHT($H225,2)="병원",$H225,$H225&amp;"병원")))))</f>
        <v/>
      </c>
      <c r="O225" s="10">
        <f>IF($B225="","",IF(AND($U225="파견중",$Q225&lt;&gt;""),IF($R225&lt;&gt;"",$R225,"파견과 미입력"),IF(AND($AD225&lt;&gt;"",LEFT($AD225,1)&lt;&gt;"⚠"),MID($AD225,FIND(" ",$AD225)+1,60),IF($F225="","",IF($F225="인턴","수련교육부(인턴)",$F225)))))</f>
        <v/>
      </c>
      <c r="P225" s="10">
        <f>IF($B225="","",IF($AK225&lt;&gt;"",IF(AND(TODAY()&gt;=INDEX(입력_파견수련계획!$AB$4:$AB$803,$AK225),OR(NOT(ISNUMBER(INDEX(입력_파견수련계획!$AC$4:$AC$803,$AK225))),TODAY()&lt;=INDEX(입력_파견수련계획!$AC$4:$AC$803,$AK225))),"다기관",IF($AF225="","",INDEX(입력_파견수련계획!$T$4:$T$803,$AF225))),IF($AF225="","",INDEX(입력_파견수련계획!$T$4:$T$803,$AF225))))</f>
        <v/>
      </c>
      <c r="Q225" s="10">
        <f>IF($AF225="","",INDEX(입력_파견수련계획!$S$4:$S$803,$AF225))</f>
        <v/>
      </c>
      <c r="R225" s="10">
        <f>IF($AF225="","",INDEX(입력_파견수련계획!$U$4:$U$803,$AF225))</f>
        <v/>
      </c>
      <c r="S225" s="11">
        <f>IF($AF225="","",IF(INDEX(입력_파견수련계획!$H$4:$H$803,$AF225)="","",INDEX(입력_파견수련계획!$H$4:$H$803,$AF225)))</f>
        <v/>
      </c>
      <c r="T225" s="11">
        <f>IF($AF225="","",IF(INDEX(입력_파견수련계획!$I$4:$I$803,$AF225)="","",INDEX(입력_파견수련계획!$I$4:$I$803,$AF225)))</f>
        <v/>
      </c>
      <c r="U225" s="10">
        <f>IF($AF225="","",INDEX(입력_파견수련계획!$X$4:$X$803,$AF225))</f>
        <v/>
      </c>
      <c r="V225" s="17">
        <f>IF($AF225="","",INDEX(입력_파견수련계획!$V$4:$V$803,$AF225))</f>
        <v/>
      </c>
      <c r="W225" s="17">
        <f>IF(AND($U225="파견중",$T225&lt;&gt;""),$T225-TODAY(),"")</f>
        <v/>
      </c>
      <c r="X225" s="17">
        <f>IF(OR($B225="",TRIM($J225&amp;"")=""),"",SUMPRODUCT((입력_파견수련계획!$Q$4:$Q$803=TRIM($J225&amp;""))*입력_파견수련계획!$W$4:$W$803))</f>
        <v/>
      </c>
      <c r="Y225" s="10">
        <f>IF($B225="","",IF($AG225="","",IF(IF(TRIM($J225&amp;"")="",0,SUMPRODUCT((입력_파견수련계획!$Q$4:$Q$803=TRIM($J225&amp;""))*입력_파견수련계획!$AD$4:$AD$803))&gt;0,$AE225,IF(AND(N($X225)&lt;=0,$AQ225=""),$AG225,IF($AH225+$AI225=DAY(EOMONTH(출력_요약!$B$3,0)),IF(AND($AH225&gt;=출력_요약!$E$3,$AI225&lt;출력_요약!$E$3),"서울병원",IF(AND($AI225&gt;=출력_요약!$E$3,$AH225&lt;출력_요약!$E$3),"구리병원","⚠15일 판정불가(서울 "&amp;$AH225&amp;"일/구리 "&amp;$AI225&amp;"일)")),IF($AJ225="",$AE225,IF(INDEX(입력_파견수련계획!$T$4:$T$803,$AJ225)="통합수련",INDEX(입력_파견수련계획!$S$4:$S$803,$AJ225),$AE225)))))))</f>
        <v/>
      </c>
      <c r="Z225" s="20">
        <f>IF($B225="","",IF($AB225="","기본자료에 없는 사번",IF(COUNTIF($B$2:$B$401,$B225)&gt;1,"중복 사번",IF($AE225="","소속(입사장소) 입력",IF(IF(TRIM($J225&amp;"")="",0,SUMPRODUCT((입력_파견수련계획!$Q$4:$Q$803=TRIM($J225&amp;""))*(입력_파견수련계획!$AA$4:$AA$803&lt;&gt;"")))&gt;0,"파견수련계획 입력오류 확인",IF(LEFT($Y225,1)="⚠","서울·구리 15일 판정 불가(양쪽 모두 이상/미만)",IF(IF($AC225="",0,N(INDEX(입력_인턴근무계획!$T$3:$T$402,$AC225)))&gt;0,"인턴계획 입력오류 확인",IF(AND($AQ225&lt;&gt;"",$AG225&lt;&gt;"구리병원",IF(TRIM($J225&amp;"")="",0,SUMPRODUCT((입력_파견수련계획!$Q$4:$Q$803=TRIM($J225&amp;""))*(입력_파견수련계획!$S$4:$S$803="구리병원")*입력_파견수련계획!$W$4:$W$803))=0),"구리 근무자명단에만 있음(파견수련계획 확인)",IF(AND($AC225&lt;&gt;"",$U225&lt;&gt;"파견중",$N225&lt;&gt;$AE225),"인턴 타지역 근무: 파견 여부 확인","정상")))))))))</f>
        <v/>
      </c>
      <c r="AA225" s="5" t="n"/>
      <c r="AB225" s="10">
        <f>IF($B225="","",IFERROR(MATCH($B225,입력_기본자료!$B$2:$B$1001,0),IFERROR(MATCH($B225&amp;"",입력_기본자료!$B$2:$B$1001,0),IFERROR(MATCH(VALUE($B225),입력_기본자료!$B$2:$B$1001,0),""))))</f>
        <v/>
      </c>
      <c r="AC225" s="10">
        <f>IF($B225="","",IFERROR(MATCH($B225,입력_인턴근무계획!$D$3:$D$402,0),IFERROR(MATCH($B225&amp;"",입력_인턴근무계획!$D$3:$D$402,0),IFERROR(MATCH(VALUE($B225),입력_인턴근무계획!$D$3:$D$402,0),""))))</f>
        <v/>
      </c>
      <c r="AD225" s="10">
        <f>IF(OR($AC225="",출력_인턴현황!$G$3=""),"",INDEX(입력_인턴근무계획!$M$3:$R$402,$AC225,출력_인턴현황!$G$3)&amp;"")</f>
        <v/>
      </c>
      <c r="AE225" s="10">
        <f>IF($B225="","",IF($M225&lt;&gt;"",$M225,IF(IF($AQ225="",FALSE,INDEX(출력_구리근무자!$J$6:$J$305,$AQ225)="구리독자"),"구리병원",IF($AF225&lt;&gt;"",IF(LEFT(INDEX(입력_파견수련계획!$R$4:$R$803,$AF225),1)&lt;&gt;"⚠",INDEX(입력_파견수련계획!$R$4:$R$803,$AF225),IF($H225="","",IF(RIGHT($H225,2)="병원",$H225,$H225&amp;"병원"))),IF($H225="","",IF(RIGHT($H225,2)="병원",$H225,$H225&amp;"병원"))))))</f>
        <v/>
      </c>
      <c r="AF225" s="10">
        <f>IF(OR($B225="",TRIM($J225&amp;"")=""),"",IFERROR(MATCH(TRIM($J225&amp;"")&amp;"|파견중",입력_파견수련계획!$Y$4:$Y$803,0),IFERROR(MATCH(TRIM($J225&amp;"")&amp;"|파견예정",입력_파견수련계획!$Y$4:$Y$803,0),IFERROR(MATCH(TRIM($J225&amp;"")&amp;"|파견종료",입력_파견수련계획!$Y$4:$Y$803,0),""))))</f>
        <v/>
      </c>
      <c r="AG225" s="10">
        <f>IF($B225="","",IF(AND(IF(OR($AC225="",출력_인턴현황!$K$2=""),"",INDEX(입력_인턴근무계획!$M$3:$R$402,$AC225,출력_인턴현황!$K$2)&amp;"")&lt;&gt;"",LEFT(IF(OR($AC225="",출력_인턴현황!$K$2=""),"",INDEX(입력_인턴근무계획!$M$3:$R$402,$AC225,출력_인턴현황!$K$2)&amp;""),1)&lt;&gt;"⚠"),LEFT(IF(OR($AC225="",출력_인턴현황!$K$2=""),"",INDEX(입력_인턴근무계획!$M$3:$R$402,$AC225,출력_인턴현황!$K$2)&amp;""),FIND(" ",IF(OR($AC225="",출력_인턴현황!$K$2=""),"",INDEX(입력_인턴근무계획!$M$3:$R$402,$AC225,출력_인턴현황!$K$2)&amp;""))-1),$AE225))</f>
        <v/>
      </c>
      <c r="AH225" s="17">
        <f>IF($B225="","",IF($AQ225&lt;&gt;"",MAX(0,DAY(EOMONTH(출력_요약!$B$3,0))-N($AR225)),IF(TRIM($J225&amp;"")="",0,SUMPRODUCT((입력_파견수련계획!$Q$4:$Q$803=TRIM($J225&amp;""))*(입력_파견수련계획!$S$4:$S$803="서울병원")*입력_파견수련계획!$W$4:$W$803))+IF($AG225="서울병원",MAX(0,DAY(EOMONTH(출력_요약!$B$3,0))-N($X225)),0)))</f>
        <v/>
      </c>
      <c r="AI225" s="17">
        <f>IF($B225="","",IF($AQ225&lt;&gt;"",N($AR225),IF(TRIM($J225&amp;"")="",0,SUMPRODUCT((입력_파견수련계획!$Q$4:$Q$803=TRIM($J225&amp;""))*(입력_파견수련계획!$S$4:$S$803="구리병원")*입력_파견수련계획!$W$4:$W$803))+IF($AG225="구리병원",MAX(0,DAY(EOMONTH(출력_요약!$B$3,0))-N($X225)),0)))</f>
        <v/>
      </c>
      <c r="AJ225" s="10">
        <f>IF(OR($B225="",TRIM($J225&amp;"")=""),"",IFERROR(MATCH(TRIM($J225&amp;"")&amp;"|월",입력_파견수련계획!$Z$4:$Z$803,0),""))</f>
        <v/>
      </c>
      <c r="AK225" s="10">
        <f>IF(OR($B225="",TRIM($J225&amp;"")=""),"",IFERROR(MATCH(TRIM($J225&amp;"")&amp;"|다기관",입력_파견수련계획!$AE$4:$AE$803,0),""))</f>
        <v/>
      </c>
      <c r="AL225" s="10">
        <f>IF($AK225="","","다기관 "&amp;TEXT(INDEX(입력_파견수련계획!$AB$4:$AB$803,$AK225),"yyyy-mm-dd")&amp;"~"&amp;IF(ISNUMBER(INDEX(입력_파견수련계획!$AC$4:$AC$803,$AK225)),TEXT(INDEX(입력_파견수련계획!$AC$4:$AC$803,$AK225),"yyyy-mm-dd"),""))</f>
        <v/>
      </c>
      <c r="AM225" s="10">
        <f>IF($Y225="서울병원",COUNTIF($Y$2:$Y225,"서울병원"),"")</f>
        <v/>
      </c>
      <c r="AN225" s="10">
        <f>IF(LEFT($Y225,1)="⚠",COUNTIF($Y$2:$Y225,"⚠*"),"")</f>
        <v/>
      </c>
      <c r="AO225" s="10">
        <f>IF(OR($B225="",$Y225=""),"",IF(IF(TRIM($J225&amp;"")="",0,SUMPRODUCT((입력_파견수련계획!$Q$4:$Q$803=TRIM($J225&amp;""))*입력_파견수련계획!$AD$4:$AD$803))&gt;0,"다기관 기간 → 소속병원 지급",IF(AND(N($X225)&lt;=0,$AQ225=""),"파견 없음 → 그 달 근무병원 지급",IF($AH225+$AI225=DAY(EOMONTH(출력_요약!$B$3,0)),"서울 "&amp;$AH225&amp;"일 / 구리 "&amp;$AI225&amp;"일"&amp;IF($AQ225&lt;&gt;""," (구리 근무자명단 반영)","")&amp;" → 15일 이상 근무 병원 지급","타 병원 포함 → "&amp;IF($AJ225="","소속",INDEX(입력_파견수련계획!$T$4:$T$803,$AJ225))&amp;" 규칙"))))</f>
        <v/>
      </c>
      <c r="AP225" s="10">
        <f>IF($B225="","",$C225&amp;"|"&amp;$F225)</f>
        <v/>
      </c>
      <c r="AQ225" s="10">
        <f>IF($B225="","",IFERROR(MATCH(ROW()-1,출력_구리근무자!$K$6:$K$305,0),""))</f>
        <v/>
      </c>
      <c r="AR225" s="10">
        <f>IF($AQ225="","",INDEX(출력_구리근무자!$H$6:$H$305,$AQ225))</f>
        <v/>
      </c>
    </row>
    <row r="226">
      <c r="A226" s="10">
        <f>IF(B226="","",ROW()-1)</f>
        <v/>
      </c>
      <c r="B226" s="19" t="n"/>
      <c r="C226" s="10">
        <f>IF($AB226="","",IF(INDEX(입력_기본자료!$C$2:$C$1001,$AB226)="","",INDEX(입력_기본자료!$C$2:$C$1001,$AB226)))</f>
        <v/>
      </c>
      <c r="D226" s="10">
        <f>IF($AB226="","",IF(INDEX(입력_기본자료!$J$2:$J$1001,$AB226)="","",INDEX(입력_기본자료!$J$2:$J$1001,$AB226)))</f>
        <v/>
      </c>
      <c r="E226" s="11">
        <f>IF($AB226="","",IF(INDEX(입력_기본자료!$K$2:$K$1001,$AB226)="","",IF(NOT(ISNUMBER(INDEX(입력_기본자료!$K$2:$K$1001,$AB226))),INDEX(입력_기본자료!$K$2:$K$1001,$AB226),IF(INDEX(입력_기본자료!$K$2:$K$1001,$AB226)&lt;1000000,INDEX(입력_기본자료!$K$2:$K$1001,$AB226),IF(AND(INDEX(입력_기본자료!$K$2:$K$1001,$AB226)&gt;=10000101,INT(MOD(INDEX(입력_기본자료!$K$2:$K$1001,$AB226),10000)/100)&gt;=1,INT(MOD(INDEX(입력_기본자료!$K$2:$K$1001,$AB226),10000)/100)&lt;=12,MOD(INDEX(입력_기본자료!$K$2:$K$1001,$AB226),100)&gt;=1,MOD(INDEX(입력_기본자료!$K$2:$K$1001,$AB226),100)&lt;=31),DATE(INT(INDEX(입력_기본자료!$K$2:$K$1001,$AB226)/10000),INT(MOD(INDEX(입력_기본자료!$K$2:$K$1001,$AB226),10000)/100),MOD(INDEX(입력_기본자료!$K$2:$K$1001,$AB226),100)),INDEX(입력_기본자료!$K$2:$K$1001,$AB226)&amp;"")))))</f>
        <v/>
      </c>
      <c r="F226" s="10">
        <f>IF($AB226="","",IF(INDEX(입력_기본자료!$D$2:$D$1001,$AB226)="","",INDEX(입력_기본자료!$D$2:$D$1001,$AB226)))</f>
        <v/>
      </c>
      <c r="G226" s="10">
        <f>IF($AB226="","",IF(INDEX(입력_기본자료!$E$2:$E$1001,$AB226)="","",INDEX(입력_기본자료!$E$2:$E$1001,$AB226)))</f>
        <v/>
      </c>
      <c r="H226" s="10">
        <f>IF($AB226="","",IF(INDEX(입력_기본자료!$F$2:$F$1001,$AB226)="","",INDEX(입력_기본자료!$F$2:$F$1001,$AB226)))</f>
        <v/>
      </c>
      <c r="I226" s="11">
        <f>IF($AB226="","",IF(INDEX(입력_기본자료!$G$2:$G$1001,$AB226)="","",IF(NOT(ISNUMBER(INDEX(입력_기본자료!$G$2:$G$1001,$AB226))),INDEX(입력_기본자료!$G$2:$G$1001,$AB226),IF(INDEX(입력_기본자료!$G$2:$G$1001,$AB226)&lt;1000000,INDEX(입력_기본자료!$G$2:$G$1001,$AB226),IF(AND(INDEX(입력_기본자료!$G$2:$G$1001,$AB226)&gt;=10000101,INT(MOD(INDEX(입력_기본자료!$G$2:$G$1001,$AB226),10000)/100)&gt;=1,INT(MOD(INDEX(입력_기본자료!$G$2:$G$1001,$AB226),10000)/100)&lt;=12,MOD(INDEX(입력_기본자료!$G$2:$G$1001,$AB226),100)&gt;=1,MOD(INDEX(입력_기본자료!$G$2:$G$1001,$AB226),100)&lt;=31),DATE(INT(INDEX(입력_기본자료!$G$2:$G$1001,$AB226)/10000),INT(MOD(INDEX(입력_기본자료!$G$2:$G$1001,$AB226),10000)/100),MOD(INDEX(입력_기본자료!$G$2:$G$1001,$AB226),100)),INDEX(입력_기본자료!$G$2:$G$1001,$AB226)&amp;"")))))</f>
        <v/>
      </c>
      <c r="J226" s="10">
        <f>IF($AB226="","",IF(INDEX(입력_기본자료!$H$2:$H$1001,$AB226)="","",INDEX(입력_기본자료!$H$2:$H$1001,$AB226)))</f>
        <v/>
      </c>
      <c r="K226" s="10">
        <f>IF($AB226="","",IF(INDEX(입력_기본자료!$I$2:$I$1001,$AB226)="","",INDEX(입력_기본자료!$I$2:$I$1001,$AB226)))</f>
        <v/>
      </c>
      <c r="L226" s="10">
        <f>IF($AB226="","",IF(INDEX(입력_기본자료!$A$2:$A$1001,$AB226)="","",INDEX(입력_기본자료!$A$2:$A$1001,$AB226)))</f>
        <v/>
      </c>
      <c r="M226" s="15" t="n"/>
      <c r="N226" s="10">
        <f>IF($B226="","",IF(AND($U226="파견중",$Q226&lt;&gt;""),$Q226,IF(AND($AD226&lt;&gt;"",LEFT($AD226,1)&lt;&gt;"⚠"),LEFT($AD226,FIND(" ",$AD226)-1),IF($H226="","",IF(RIGHT($H226,2)="병원",$H226,$H226&amp;"병원")))))</f>
        <v/>
      </c>
      <c r="O226" s="10">
        <f>IF($B226="","",IF(AND($U226="파견중",$Q226&lt;&gt;""),IF($R226&lt;&gt;"",$R226,"파견과 미입력"),IF(AND($AD226&lt;&gt;"",LEFT($AD226,1)&lt;&gt;"⚠"),MID($AD226,FIND(" ",$AD226)+1,60),IF($F226="","",IF($F226="인턴","수련교육부(인턴)",$F226)))))</f>
        <v/>
      </c>
      <c r="P226" s="10">
        <f>IF($B226="","",IF($AK226&lt;&gt;"",IF(AND(TODAY()&gt;=INDEX(입력_파견수련계획!$AB$4:$AB$803,$AK226),OR(NOT(ISNUMBER(INDEX(입력_파견수련계획!$AC$4:$AC$803,$AK226))),TODAY()&lt;=INDEX(입력_파견수련계획!$AC$4:$AC$803,$AK226))),"다기관",IF($AF226="","",INDEX(입력_파견수련계획!$T$4:$T$803,$AF226))),IF($AF226="","",INDEX(입력_파견수련계획!$T$4:$T$803,$AF226))))</f>
        <v/>
      </c>
      <c r="Q226" s="10">
        <f>IF($AF226="","",INDEX(입력_파견수련계획!$S$4:$S$803,$AF226))</f>
        <v/>
      </c>
      <c r="R226" s="10">
        <f>IF($AF226="","",INDEX(입력_파견수련계획!$U$4:$U$803,$AF226))</f>
        <v/>
      </c>
      <c r="S226" s="11">
        <f>IF($AF226="","",IF(INDEX(입력_파견수련계획!$H$4:$H$803,$AF226)="","",INDEX(입력_파견수련계획!$H$4:$H$803,$AF226)))</f>
        <v/>
      </c>
      <c r="T226" s="11">
        <f>IF($AF226="","",IF(INDEX(입력_파견수련계획!$I$4:$I$803,$AF226)="","",INDEX(입력_파견수련계획!$I$4:$I$803,$AF226)))</f>
        <v/>
      </c>
      <c r="U226" s="10">
        <f>IF($AF226="","",INDEX(입력_파견수련계획!$X$4:$X$803,$AF226))</f>
        <v/>
      </c>
      <c r="V226" s="17">
        <f>IF($AF226="","",INDEX(입력_파견수련계획!$V$4:$V$803,$AF226))</f>
        <v/>
      </c>
      <c r="W226" s="17">
        <f>IF(AND($U226="파견중",$T226&lt;&gt;""),$T226-TODAY(),"")</f>
        <v/>
      </c>
      <c r="X226" s="17">
        <f>IF(OR($B226="",TRIM($J226&amp;"")=""),"",SUMPRODUCT((입력_파견수련계획!$Q$4:$Q$803=TRIM($J226&amp;""))*입력_파견수련계획!$W$4:$W$803))</f>
        <v/>
      </c>
      <c r="Y226" s="10">
        <f>IF($B226="","",IF($AG226="","",IF(IF(TRIM($J226&amp;"")="",0,SUMPRODUCT((입력_파견수련계획!$Q$4:$Q$803=TRIM($J226&amp;""))*입력_파견수련계획!$AD$4:$AD$803))&gt;0,$AE226,IF(AND(N($X226)&lt;=0,$AQ226=""),$AG226,IF($AH226+$AI226=DAY(EOMONTH(출력_요약!$B$3,0)),IF(AND($AH226&gt;=출력_요약!$E$3,$AI226&lt;출력_요약!$E$3),"서울병원",IF(AND($AI226&gt;=출력_요약!$E$3,$AH226&lt;출력_요약!$E$3),"구리병원","⚠15일 판정불가(서울 "&amp;$AH226&amp;"일/구리 "&amp;$AI226&amp;"일)")),IF($AJ226="",$AE226,IF(INDEX(입력_파견수련계획!$T$4:$T$803,$AJ226)="통합수련",INDEX(입력_파견수련계획!$S$4:$S$803,$AJ226),$AE226)))))))</f>
        <v/>
      </c>
      <c r="Z226" s="20">
        <f>IF($B226="","",IF($AB226="","기본자료에 없는 사번",IF(COUNTIF($B$2:$B$401,$B226)&gt;1,"중복 사번",IF($AE226="","소속(입사장소) 입력",IF(IF(TRIM($J226&amp;"")="",0,SUMPRODUCT((입력_파견수련계획!$Q$4:$Q$803=TRIM($J226&amp;""))*(입력_파견수련계획!$AA$4:$AA$803&lt;&gt;"")))&gt;0,"파견수련계획 입력오류 확인",IF(LEFT($Y226,1)="⚠","서울·구리 15일 판정 불가(양쪽 모두 이상/미만)",IF(IF($AC226="",0,N(INDEX(입력_인턴근무계획!$T$3:$T$402,$AC226)))&gt;0,"인턴계획 입력오류 확인",IF(AND($AQ226&lt;&gt;"",$AG226&lt;&gt;"구리병원",IF(TRIM($J226&amp;"")="",0,SUMPRODUCT((입력_파견수련계획!$Q$4:$Q$803=TRIM($J226&amp;""))*(입력_파견수련계획!$S$4:$S$803="구리병원")*입력_파견수련계획!$W$4:$W$803))=0),"구리 근무자명단에만 있음(파견수련계획 확인)",IF(AND($AC226&lt;&gt;"",$U226&lt;&gt;"파견중",$N226&lt;&gt;$AE226),"인턴 타지역 근무: 파견 여부 확인","정상")))))))))</f>
        <v/>
      </c>
      <c r="AA226" s="5" t="n"/>
      <c r="AB226" s="10">
        <f>IF($B226="","",IFERROR(MATCH($B226,입력_기본자료!$B$2:$B$1001,0),IFERROR(MATCH($B226&amp;"",입력_기본자료!$B$2:$B$1001,0),IFERROR(MATCH(VALUE($B226),입력_기본자료!$B$2:$B$1001,0),""))))</f>
        <v/>
      </c>
      <c r="AC226" s="10">
        <f>IF($B226="","",IFERROR(MATCH($B226,입력_인턴근무계획!$D$3:$D$402,0),IFERROR(MATCH($B226&amp;"",입력_인턴근무계획!$D$3:$D$402,0),IFERROR(MATCH(VALUE($B226),입력_인턴근무계획!$D$3:$D$402,0),""))))</f>
        <v/>
      </c>
      <c r="AD226" s="10">
        <f>IF(OR($AC226="",출력_인턴현황!$G$3=""),"",INDEX(입력_인턴근무계획!$M$3:$R$402,$AC226,출력_인턴현황!$G$3)&amp;"")</f>
        <v/>
      </c>
      <c r="AE226" s="10">
        <f>IF($B226="","",IF($M226&lt;&gt;"",$M226,IF(IF($AQ226="",FALSE,INDEX(출력_구리근무자!$J$6:$J$305,$AQ226)="구리독자"),"구리병원",IF($AF226&lt;&gt;"",IF(LEFT(INDEX(입력_파견수련계획!$R$4:$R$803,$AF226),1)&lt;&gt;"⚠",INDEX(입력_파견수련계획!$R$4:$R$803,$AF226),IF($H226="","",IF(RIGHT($H226,2)="병원",$H226,$H226&amp;"병원"))),IF($H226="","",IF(RIGHT($H226,2)="병원",$H226,$H226&amp;"병원"))))))</f>
        <v/>
      </c>
      <c r="AF226" s="10">
        <f>IF(OR($B226="",TRIM($J226&amp;"")=""),"",IFERROR(MATCH(TRIM($J226&amp;"")&amp;"|파견중",입력_파견수련계획!$Y$4:$Y$803,0),IFERROR(MATCH(TRIM($J226&amp;"")&amp;"|파견예정",입력_파견수련계획!$Y$4:$Y$803,0),IFERROR(MATCH(TRIM($J226&amp;"")&amp;"|파견종료",입력_파견수련계획!$Y$4:$Y$803,0),""))))</f>
        <v/>
      </c>
      <c r="AG226" s="10">
        <f>IF($B226="","",IF(AND(IF(OR($AC226="",출력_인턴현황!$K$2=""),"",INDEX(입력_인턴근무계획!$M$3:$R$402,$AC226,출력_인턴현황!$K$2)&amp;"")&lt;&gt;"",LEFT(IF(OR($AC226="",출력_인턴현황!$K$2=""),"",INDEX(입력_인턴근무계획!$M$3:$R$402,$AC226,출력_인턴현황!$K$2)&amp;""),1)&lt;&gt;"⚠"),LEFT(IF(OR($AC226="",출력_인턴현황!$K$2=""),"",INDEX(입력_인턴근무계획!$M$3:$R$402,$AC226,출력_인턴현황!$K$2)&amp;""),FIND(" ",IF(OR($AC226="",출력_인턴현황!$K$2=""),"",INDEX(입력_인턴근무계획!$M$3:$R$402,$AC226,출력_인턴현황!$K$2)&amp;""))-1),$AE226))</f>
        <v/>
      </c>
      <c r="AH226" s="17">
        <f>IF($B226="","",IF($AQ226&lt;&gt;"",MAX(0,DAY(EOMONTH(출력_요약!$B$3,0))-N($AR226)),IF(TRIM($J226&amp;"")="",0,SUMPRODUCT((입력_파견수련계획!$Q$4:$Q$803=TRIM($J226&amp;""))*(입력_파견수련계획!$S$4:$S$803="서울병원")*입력_파견수련계획!$W$4:$W$803))+IF($AG226="서울병원",MAX(0,DAY(EOMONTH(출력_요약!$B$3,0))-N($X226)),0)))</f>
        <v/>
      </c>
      <c r="AI226" s="17">
        <f>IF($B226="","",IF($AQ226&lt;&gt;"",N($AR226),IF(TRIM($J226&amp;"")="",0,SUMPRODUCT((입력_파견수련계획!$Q$4:$Q$803=TRIM($J226&amp;""))*(입력_파견수련계획!$S$4:$S$803="구리병원")*입력_파견수련계획!$W$4:$W$803))+IF($AG226="구리병원",MAX(0,DAY(EOMONTH(출력_요약!$B$3,0))-N($X226)),0)))</f>
        <v/>
      </c>
      <c r="AJ226" s="10">
        <f>IF(OR($B226="",TRIM($J226&amp;"")=""),"",IFERROR(MATCH(TRIM($J226&amp;"")&amp;"|월",입력_파견수련계획!$Z$4:$Z$803,0),""))</f>
        <v/>
      </c>
      <c r="AK226" s="10">
        <f>IF(OR($B226="",TRIM($J226&amp;"")=""),"",IFERROR(MATCH(TRIM($J226&amp;"")&amp;"|다기관",입력_파견수련계획!$AE$4:$AE$803,0),""))</f>
        <v/>
      </c>
      <c r="AL226" s="10">
        <f>IF($AK226="","","다기관 "&amp;TEXT(INDEX(입력_파견수련계획!$AB$4:$AB$803,$AK226),"yyyy-mm-dd")&amp;"~"&amp;IF(ISNUMBER(INDEX(입력_파견수련계획!$AC$4:$AC$803,$AK226)),TEXT(INDEX(입력_파견수련계획!$AC$4:$AC$803,$AK226),"yyyy-mm-dd"),""))</f>
        <v/>
      </c>
      <c r="AM226" s="10">
        <f>IF($Y226="서울병원",COUNTIF($Y$2:$Y226,"서울병원"),"")</f>
        <v/>
      </c>
      <c r="AN226" s="10">
        <f>IF(LEFT($Y226,1)="⚠",COUNTIF($Y$2:$Y226,"⚠*"),"")</f>
        <v/>
      </c>
      <c r="AO226" s="10">
        <f>IF(OR($B226="",$Y226=""),"",IF(IF(TRIM($J226&amp;"")="",0,SUMPRODUCT((입력_파견수련계획!$Q$4:$Q$803=TRIM($J226&amp;""))*입력_파견수련계획!$AD$4:$AD$803))&gt;0,"다기관 기간 → 소속병원 지급",IF(AND(N($X226)&lt;=0,$AQ226=""),"파견 없음 → 그 달 근무병원 지급",IF($AH226+$AI226=DAY(EOMONTH(출력_요약!$B$3,0)),"서울 "&amp;$AH226&amp;"일 / 구리 "&amp;$AI226&amp;"일"&amp;IF($AQ226&lt;&gt;""," (구리 근무자명단 반영)","")&amp;" → 15일 이상 근무 병원 지급","타 병원 포함 → "&amp;IF($AJ226="","소속",INDEX(입력_파견수련계획!$T$4:$T$803,$AJ226))&amp;" 규칙"))))</f>
        <v/>
      </c>
      <c r="AP226" s="10">
        <f>IF($B226="","",$C226&amp;"|"&amp;$F226)</f>
        <v/>
      </c>
      <c r="AQ226" s="10">
        <f>IF($B226="","",IFERROR(MATCH(ROW()-1,출력_구리근무자!$K$6:$K$305,0),""))</f>
        <v/>
      </c>
      <c r="AR226" s="10">
        <f>IF($AQ226="","",INDEX(출력_구리근무자!$H$6:$H$305,$AQ226))</f>
        <v/>
      </c>
    </row>
    <row r="227">
      <c r="A227" s="10">
        <f>IF(B227="","",ROW()-1)</f>
        <v/>
      </c>
      <c r="B227" s="19" t="n"/>
      <c r="C227" s="10">
        <f>IF($AB227="","",IF(INDEX(입력_기본자료!$C$2:$C$1001,$AB227)="","",INDEX(입력_기본자료!$C$2:$C$1001,$AB227)))</f>
        <v/>
      </c>
      <c r="D227" s="10">
        <f>IF($AB227="","",IF(INDEX(입력_기본자료!$J$2:$J$1001,$AB227)="","",INDEX(입력_기본자료!$J$2:$J$1001,$AB227)))</f>
        <v/>
      </c>
      <c r="E227" s="11">
        <f>IF($AB227="","",IF(INDEX(입력_기본자료!$K$2:$K$1001,$AB227)="","",IF(NOT(ISNUMBER(INDEX(입력_기본자료!$K$2:$K$1001,$AB227))),INDEX(입력_기본자료!$K$2:$K$1001,$AB227),IF(INDEX(입력_기본자료!$K$2:$K$1001,$AB227)&lt;1000000,INDEX(입력_기본자료!$K$2:$K$1001,$AB227),IF(AND(INDEX(입력_기본자료!$K$2:$K$1001,$AB227)&gt;=10000101,INT(MOD(INDEX(입력_기본자료!$K$2:$K$1001,$AB227),10000)/100)&gt;=1,INT(MOD(INDEX(입력_기본자료!$K$2:$K$1001,$AB227),10000)/100)&lt;=12,MOD(INDEX(입력_기본자료!$K$2:$K$1001,$AB227),100)&gt;=1,MOD(INDEX(입력_기본자료!$K$2:$K$1001,$AB227),100)&lt;=31),DATE(INT(INDEX(입력_기본자료!$K$2:$K$1001,$AB227)/10000),INT(MOD(INDEX(입력_기본자료!$K$2:$K$1001,$AB227),10000)/100),MOD(INDEX(입력_기본자료!$K$2:$K$1001,$AB227),100)),INDEX(입력_기본자료!$K$2:$K$1001,$AB227)&amp;"")))))</f>
        <v/>
      </c>
      <c r="F227" s="10">
        <f>IF($AB227="","",IF(INDEX(입력_기본자료!$D$2:$D$1001,$AB227)="","",INDEX(입력_기본자료!$D$2:$D$1001,$AB227)))</f>
        <v/>
      </c>
      <c r="G227" s="10">
        <f>IF($AB227="","",IF(INDEX(입력_기본자료!$E$2:$E$1001,$AB227)="","",INDEX(입력_기본자료!$E$2:$E$1001,$AB227)))</f>
        <v/>
      </c>
      <c r="H227" s="10">
        <f>IF($AB227="","",IF(INDEX(입력_기본자료!$F$2:$F$1001,$AB227)="","",INDEX(입력_기본자료!$F$2:$F$1001,$AB227)))</f>
        <v/>
      </c>
      <c r="I227" s="11">
        <f>IF($AB227="","",IF(INDEX(입력_기본자료!$G$2:$G$1001,$AB227)="","",IF(NOT(ISNUMBER(INDEX(입력_기본자료!$G$2:$G$1001,$AB227))),INDEX(입력_기본자료!$G$2:$G$1001,$AB227),IF(INDEX(입력_기본자료!$G$2:$G$1001,$AB227)&lt;1000000,INDEX(입력_기본자료!$G$2:$G$1001,$AB227),IF(AND(INDEX(입력_기본자료!$G$2:$G$1001,$AB227)&gt;=10000101,INT(MOD(INDEX(입력_기본자료!$G$2:$G$1001,$AB227),10000)/100)&gt;=1,INT(MOD(INDEX(입력_기본자료!$G$2:$G$1001,$AB227),10000)/100)&lt;=12,MOD(INDEX(입력_기본자료!$G$2:$G$1001,$AB227),100)&gt;=1,MOD(INDEX(입력_기본자료!$G$2:$G$1001,$AB227),100)&lt;=31),DATE(INT(INDEX(입력_기본자료!$G$2:$G$1001,$AB227)/10000),INT(MOD(INDEX(입력_기본자료!$G$2:$G$1001,$AB227),10000)/100),MOD(INDEX(입력_기본자료!$G$2:$G$1001,$AB227),100)),INDEX(입력_기본자료!$G$2:$G$1001,$AB227)&amp;"")))))</f>
        <v/>
      </c>
      <c r="J227" s="10">
        <f>IF($AB227="","",IF(INDEX(입력_기본자료!$H$2:$H$1001,$AB227)="","",INDEX(입력_기본자료!$H$2:$H$1001,$AB227)))</f>
        <v/>
      </c>
      <c r="K227" s="10">
        <f>IF($AB227="","",IF(INDEX(입력_기본자료!$I$2:$I$1001,$AB227)="","",INDEX(입력_기본자료!$I$2:$I$1001,$AB227)))</f>
        <v/>
      </c>
      <c r="L227" s="10">
        <f>IF($AB227="","",IF(INDEX(입력_기본자료!$A$2:$A$1001,$AB227)="","",INDEX(입력_기본자료!$A$2:$A$1001,$AB227)))</f>
        <v/>
      </c>
      <c r="M227" s="15" t="n"/>
      <c r="N227" s="10">
        <f>IF($B227="","",IF(AND($U227="파견중",$Q227&lt;&gt;""),$Q227,IF(AND($AD227&lt;&gt;"",LEFT($AD227,1)&lt;&gt;"⚠"),LEFT($AD227,FIND(" ",$AD227)-1),IF($H227="","",IF(RIGHT($H227,2)="병원",$H227,$H227&amp;"병원")))))</f>
        <v/>
      </c>
      <c r="O227" s="10">
        <f>IF($B227="","",IF(AND($U227="파견중",$Q227&lt;&gt;""),IF($R227&lt;&gt;"",$R227,"파견과 미입력"),IF(AND($AD227&lt;&gt;"",LEFT($AD227,1)&lt;&gt;"⚠"),MID($AD227,FIND(" ",$AD227)+1,60),IF($F227="","",IF($F227="인턴","수련교육부(인턴)",$F227)))))</f>
        <v/>
      </c>
      <c r="P227" s="10">
        <f>IF($B227="","",IF($AK227&lt;&gt;"",IF(AND(TODAY()&gt;=INDEX(입력_파견수련계획!$AB$4:$AB$803,$AK227),OR(NOT(ISNUMBER(INDEX(입력_파견수련계획!$AC$4:$AC$803,$AK227))),TODAY()&lt;=INDEX(입력_파견수련계획!$AC$4:$AC$803,$AK227))),"다기관",IF($AF227="","",INDEX(입력_파견수련계획!$T$4:$T$803,$AF227))),IF($AF227="","",INDEX(입력_파견수련계획!$T$4:$T$803,$AF227))))</f>
        <v/>
      </c>
      <c r="Q227" s="10">
        <f>IF($AF227="","",INDEX(입력_파견수련계획!$S$4:$S$803,$AF227))</f>
        <v/>
      </c>
      <c r="R227" s="10">
        <f>IF($AF227="","",INDEX(입력_파견수련계획!$U$4:$U$803,$AF227))</f>
        <v/>
      </c>
      <c r="S227" s="11">
        <f>IF($AF227="","",IF(INDEX(입력_파견수련계획!$H$4:$H$803,$AF227)="","",INDEX(입력_파견수련계획!$H$4:$H$803,$AF227)))</f>
        <v/>
      </c>
      <c r="T227" s="11">
        <f>IF($AF227="","",IF(INDEX(입력_파견수련계획!$I$4:$I$803,$AF227)="","",INDEX(입력_파견수련계획!$I$4:$I$803,$AF227)))</f>
        <v/>
      </c>
      <c r="U227" s="10">
        <f>IF($AF227="","",INDEX(입력_파견수련계획!$X$4:$X$803,$AF227))</f>
        <v/>
      </c>
      <c r="V227" s="17">
        <f>IF($AF227="","",INDEX(입력_파견수련계획!$V$4:$V$803,$AF227))</f>
        <v/>
      </c>
      <c r="W227" s="17">
        <f>IF(AND($U227="파견중",$T227&lt;&gt;""),$T227-TODAY(),"")</f>
        <v/>
      </c>
      <c r="X227" s="17">
        <f>IF(OR($B227="",TRIM($J227&amp;"")=""),"",SUMPRODUCT((입력_파견수련계획!$Q$4:$Q$803=TRIM($J227&amp;""))*입력_파견수련계획!$W$4:$W$803))</f>
        <v/>
      </c>
      <c r="Y227" s="10">
        <f>IF($B227="","",IF($AG227="","",IF(IF(TRIM($J227&amp;"")="",0,SUMPRODUCT((입력_파견수련계획!$Q$4:$Q$803=TRIM($J227&amp;""))*입력_파견수련계획!$AD$4:$AD$803))&gt;0,$AE227,IF(AND(N($X227)&lt;=0,$AQ227=""),$AG227,IF($AH227+$AI227=DAY(EOMONTH(출력_요약!$B$3,0)),IF(AND($AH227&gt;=출력_요약!$E$3,$AI227&lt;출력_요약!$E$3),"서울병원",IF(AND($AI227&gt;=출력_요약!$E$3,$AH227&lt;출력_요약!$E$3),"구리병원","⚠15일 판정불가(서울 "&amp;$AH227&amp;"일/구리 "&amp;$AI227&amp;"일)")),IF($AJ227="",$AE227,IF(INDEX(입력_파견수련계획!$T$4:$T$803,$AJ227)="통합수련",INDEX(입력_파견수련계획!$S$4:$S$803,$AJ227),$AE227)))))))</f>
        <v/>
      </c>
      <c r="Z227" s="20">
        <f>IF($B227="","",IF($AB227="","기본자료에 없는 사번",IF(COUNTIF($B$2:$B$401,$B227)&gt;1,"중복 사번",IF($AE227="","소속(입사장소) 입력",IF(IF(TRIM($J227&amp;"")="",0,SUMPRODUCT((입력_파견수련계획!$Q$4:$Q$803=TRIM($J227&amp;""))*(입력_파견수련계획!$AA$4:$AA$803&lt;&gt;"")))&gt;0,"파견수련계획 입력오류 확인",IF(LEFT($Y227,1)="⚠","서울·구리 15일 판정 불가(양쪽 모두 이상/미만)",IF(IF($AC227="",0,N(INDEX(입력_인턴근무계획!$T$3:$T$402,$AC227)))&gt;0,"인턴계획 입력오류 확인",IF(AND($AQ227&lt;&gt;"",$AG227&lt;&gt;"구리병원",IF(TRIM($J227&amp;"")="",0,SUMPRODUCT((입력_파견수련계획!$Q$4:$Q$803=TRIM($J227&amp;""))*(입력_파견수련계획!$S$4:$S$803="구리병원")*입력_파견수련계획!$W$4:$W$803))=0),"구리 근무자명단에만 있음(파견수련계획 확인)",IF(AND($AC227&lt;&gt;"",$U227&lt;&gt;"파견중",$N227&lt;&gt;$AE227),"인턴 타지역 근무: 파견 여부 확인","정상")))))))))</f>
        <v/>
      </c>
      <c r="AA227" s="5" t="n"/>
      <c r="AB227" s="10">
        <f>IF($B227="","",IFERROR(MATCH($B227,입력_기본자료!$B$2:$B$1001,0),IFERROR(MATCH($B227&amp;"",입력_기본자료!$B$2:$B$1001,0),IFERROR(MATCH(VALUE($B227),입력_기본자료!$B$2:$B$1001,0),""))))</f>
        <v/>
      </c>
      <c r="AC227" s="10">
        <f>IF($B227="","",IFERROR(MATCH($B227,입력_인턴근무계획!$D$3:$D$402,0),IFERROR(MATCH($B227&amp;"",입력_인턴근무계획!$D$3:$D$402,0),IFERROR(MATCH(VALUE($B227),입력_인턴근무계획!$D$3:$D$402,0),""))))</f>
        <v/>
      </c>
      <c r="AD227" s="10">
        <f>IF(OR($AC227="",출력_인턴현황!$G$3=""),"",INDEX(입력_인턴근무계획!$M$3:$R$402,$AC227,출력_인턴현황!$G$3)&amp;"")</f>
        <v/>
      </c>
      <c r="AE227" s="10">
        <f>IF($B227="","",IF($M227&lt;&gt;"",$M227,IF(IF($AQ227="",FALSE,INDEX(출력_구리근무자!$J$6:$J$305,$AQ227)="구리독자"),"구리병원",IF($AF227&lt;&gt;"",IF(LEFT(INDEX(입력_파견수련계획!$R$4:$R$803,$AF227),1)&lt;&gt;"⚠",INDEX(입력_파견수련계획!$R$4:$R$803,$AF227),IF($H227="","",IF(RIGHT($H227,2)="병원",$H227,$H227&amp;"병원"))),IF($H227="","",IF(RIGHT($H227,2)="병원",$H227,$H227&amp;"병원"))))))</f>
        <v/>
      </c>
      <c r="AF227" s="10">
        <f>IF(OR($B227="",TRIM($J227&amp;"")=""),"",IFERROR(MATCH(TRIM($J227&amp;"")&amp;"|파견중",입력_파견수련계획!$Y$4:$Y$803,0),IFERROR(MATCH(TRIM($J227&amp;"")&amp;"|파견예정",입력_파견수련계획!$Y$4:$Y$803,0),IFERROR(MATCH(TRIM($J227&amp;"")&amp;"|파견종료",입력_파견수련계획!$Y$4:$Y$803,0),""))))</f>
        <v/>
      </c>
      <c r="AG227" s="10">
        <f>IF($B227="","",IF(AND(IF(OR($AC227="",출력_인턴현황!$K$2=""),"",INDEX(입력_인턴근무계획!$M$3:$R$402,$AC227,출력_인턴현황!$K$2)&amp;"")&lt;&gt;"",LEFT(IF(OR($AC227="",출력_인턴현황!$K$2=""),"",INDEX(입력_인턴근무계획!$M$3:$R$402,$AC227,출력_인턴현황!$K$2)&amp;""),1)&lt;&gt;"⚠"),LEFT(IF(OR($AC227="",출력_인턴현황!$K$2=""),"",INDEX(입력_인턴근무계획!$M$3:$R$402,$AC227,출력_인턴현황!$K$2)&amp;""),FIND(" ",IF(OR($AC227="",출력_인턴현황!$K$2=""),"",INDEX(입력_인턴근무계획!$M$3:$R$402,$AC227,출력_인턴현황!$K$2)&amp;""))-1),$AE227))</f>
        <v/>
      </c>
      <c r="AH227" s="17">
        <f>IF($B227="","",IF($AQ227&lt;&gt;"",MAX(0,DAY(EOMONTH(출력_요약!$B$3,0))-N($AR227)),IF(TRIM($J227&amp;"")="",0,SUMPRODUCT((입력_파견수련계획!$Q$4:$Q$803=TRIM($J227&amp;""))*(입력_파견수련계획!$S$4:$S$803="서울병원")*입력_파견수련계획!$W$4:$W$803))+IF($AG227="서울병원",MAX(0,DAY(EOMONTH(출력_요약!$B$3,0))-N($X227)),0)))</f>
        <v/>
      </c>
      <c r="AI227" s="17">
        <f>IF($B227="","",IF($AQ227&lt;&gt;"",N($AR227),IF(TRIM($J227&amp;"")="",0,SUMPRODUCT((입력_파견수련계획!$Q$4:$Q$803=TRIM($J227&amp;""))*(입력_파견수련계획!$S$4:$S$803="구리병원")*입력_파견수련계획!$W$4:$W$803))+IF($AG227="구리병원",MAX(0,DAY(EOMONTH(출력_요약!$B$3,0))-N($X227)),0)))</f>
        <v/>
      </c>
      <c r="AJ227" s="10">
        <f>IF(OR($B227="",TRIM($J227&amp;"")=""),"",IFERROR(MATCH(TRIM($J227&amp;"")&amp;"|월",입력_파견수련계획!$Z$4:$Z$803,0),""))</f>
        <v/>
      </c>
      <c r="AK227" s="10">
        <f>IF(OR($B227="",TRIM($J227&amp;"")=""),"",IFERROR(MATCH(TRIM($J227&amp;"")&amp;"|다기관",입력_파견수련계획!$AE$4:$AE$803,0),""))</f>
        <v/>
      </c>
      <c r="AL227" s="10">
        <f>IF($AK227="","","다기관 "&amp;TEXT(INDEX(입력_파견수련계획!$AB$4:$AB$803,$AK227),"yyyy-mm-dd")&amp;"~"&amp;IF(ISNUMBER(INDEX(입력_파견수련계획!$AC$4:$AC$803,$AK227)),TEXT(INDEX(입력_파견수련계획!$AC$4:$AC$803,$AK227),"yyyy-mm-dd"),""))</f>
        <v/>
      </c>
      <c r="AM227" s="10">
        <f>IF($Y227="서울병원",COUNTIF($Y$2:$Y227,"서울병원"),"")</f>
        <v/>
      </c>
      <c r="AN227" s="10">
        <f>IF(LEFT($Y227,1)="⚠",COUNTIF($Y$2:$Y227,"⚠*"),"")</f>
        <v/>
      </c>
      <c r="AO227" s="10">
        <f>IF(OR($B227="",$Y227=""),"",IF(IF(TRIM($J227&amp;"")="",0,SUMPRODUCT((입력_파견수련계획!$Q$4:$Q$803=TRIM($J227&amp;""))*입력_파견수련계획!$AD$4:$AD$803))&gt;0,"다기관 기간 → 소속병원 지급",IF(AND(N($X227)&lt;=0,$AQ227=""),"파견 없음 → 그 달 근무병원 지급",IF($AH227+$AI227=DAY(EOMONTH(출력_요약!$B$3,0)),"서울 "&amp;$AH227&amp;"일 / 구리 "&amp;$AI227&amp;"일"&amp;IF($AQ227&lt;&gt;""," (구리 근무자명단 반영)","")&amp;" → 15일 이상 근무 병원 지급","타 병원 포함 → "&amp;IF($AJ227="","소속",INDEX(입력_파견수련계획!$T$4:$T$803,$AJ227))&amp;" 규칙"))))</f>
        <v/>
      </c>
      <c r="AP227" s="10">
        <f>IF($B227="","",$C227&amp;"|"&amp;$F227)</f>
        <v/>
      </c>
      <c r="AQ227" s="10">
        <f>IF($B227="","",IFERROR(MATCH(ROW()-1,출력_구리근무자!$K$6:$K$305,0),""))</f>
        <v/>
      </c>
      <c r="AR227" s="10">
        <f>IF($AQ227="","",INDEX(출력_구리근무자!$H$6:$H$305,$AQ227))</f>
        <v/>
      </c>
    </row>
    <row r="228">
      <c r="A228" s="10">
        <f>IF(B228="","",ROW()-1)</f>
        <v/>
      </c>
      <c r="B228" s="19" t="n"/>
      <c r="C228" s="10">
        <f>IF($AB228="","",IF(INDEX(입력_기본자료!$C$2:$C$1001,$AB228)="","",INDEX(입력_기본자료!$C$2:$C$1001,$AB228)))</f>
        <v/>
      </c>
      <c r="D228" s="10">
        <f>IF($AB228="","",IF(INDEX(입력_기본자료!$J$2:$J$1001,$AB228)="","",INDEX(입력_기본자료!$J$2:$J$1001,$AB228)))</f>
        <v/>
      </c>
      <c r="E228" s="11">
        <f>IF($AB228="","",IF(INDEX(입력_기본자료!$K$2:$K$1001,$AB228)="","",IF(NOT(ISNUMBER(INDEX(입력_기본자료!$K$2:$K$1001,$AB228))),INDEX(입력_기본자료!$K$2:$K$1001,$AB228),IF(INDEX(입력_기본자료!$K$2:$K$1001,$AB228)&lt;1000000,INDEX(입력_기본자료!$K$2:$K$1001,$AB228),IF(AND(INDEX(입력_기본자료!$K$2:$K$1001,$AB228)&gt;=10000101,INT(MOD(INDEX(입력_기본자료!$K$2:$K$1001,$AB228),10000)/100)&gt;=1,INT(MOD(INDEX(입력_기본자료!$K$2:$K$1001,$AB228),10000)/100)&lt;=12,MOD(INDEX(입력_기본자료!$K$2:$K$1001,$AB228),100)&gt;=1,MOD(INDEX(입력_기본자료!$K$2:$K$1001,$AB228),100)&lt;=31),DATE(INT(INDEX(입력_기본자료!$K$2:$K$1001,$AB228)/10000),INT(MOD(INDEX(입력_기본자료!$K$2:$K$1001,$AB228),10000)/100),MOD(INDEX(입력_기본자료!$K$2:$K$1001,$AB228),100)),INDEX(입력_기본자료!$K$2:$K$1001,$AB228)&amp;"")))))</f>
        <v/>
      </c>
      <c r="F228" s="10">
        <f>IF($AB228="","",IF(INDEX(입력_기본자료!$D$2:$D$1001,$AB228)="","",INDEX(입력_기본자료!$D$2:$D$1001,$AB228)))</f>
        <v/>
      </c>
      <c r="G228" s="10">
        <f>IF($AB228="","",IF(INDEX(입력_기본자료!$E$2:$E$1001,$AB228)="","",INDEX(입력_기본자료!$E$2:$E$1001,$AB228)))</f>
        <v/>
      </c>
      <c r="H228" s="10">
        <f>IF($AB228="","",IF(INDEX(입력_기본자료!$F$2:$F$1001,$AB228)="","",INDEX(입력_기본자료!$F$2:$F$1001,$AB228)))</f>
        <v/>
      </c>
      <c r="I228" s="11">
        <f>IF($AB228="","",IF(INDEX(입력_기본자료!$G$2:$G$1001,$AB228)="","",IF(NOT(ISNUMBER(INDEX(입력_기본자료!$G$2:$G$1001,$AB228))),INDEX(입력_기본자료!$G$2:$G$1001,$AB228),IF(INDEX(입력_기본자료!$G$2:$G$1001,$AB228)&lt;1000000,INDEX(입력_기본자료!$G$2:$G$1001,$AB228),IF(AND(INDEX(입력_기본자료!$G$2:$G$1001,$AB228)&gt;=10000101,INT(MOD(INDEX(입력_기본자료!$G$2:$G$1001,$AB228),10000)/100)&gt;=1,INT(MOD(INDEX(입력_기본자료!$G$2:$G$1001,$AB228),10000)/100)&lt;=12,MOD(INDEX(입력_기본자료!$G$2:$G$1001,$AB228),100)&gt;=1,MOD(INDEX(입력_기본자료!$G$2:$G$1001,$AB228),100)&lt;=31),DATE(INT(INDEX(입력_기본자료!$G$2:$G$1001,$AB228)/10000),INT(MOD(INDEX(입력_기본자료!$G$2:$G$1001,$AB228),10000)/100),MOD(INDEX(입력_기본자료!$G$2:$G$1001,$AB228),100)),INDEX(입력_기본자료!$G$2:$G$1001,$AB228)&amp;"")))))</f>
        <v/>
      </c>
      <c r="J228" s="10">
        <f>IF($AB228="","",IF(INDEX(입력_기본자료!$H$2:$H$1001,$AB228)="","",INDEX(입력_기본자료!$H$2:$H$1001,$AB228)))</f>
        <v/>
      </c>
      <c r="K228" s="10">
        <f>IF($AB228="","",IF(INDEX(입력_기본자료!$I$2:$I$1001,$AB228)="","",INDEX(입력_기본자료!$I$2:$I$1001,$AB228)))</f>
        <v/>
      </c>
      <c r="L228" s="10">
        <f>IF($AB228="","",IF(INDEX(입력_기본자료!$A$2:$A$1001,$AB228)="","",INDEX(입력_기본자료!$A$2:$A$1001,$AB228)))</f>
        <v/>
      </c>
      <c r="M228" s="15" t="n"/>
      <c r="N228" s="10">
        <f>IF($B228="","",IF(AND($U228="파견중",$Q228&lt;&gt;""),$Q228,IF(AND($AD228&lt;&gt;"",LEFT($AD228,1)&lt;&gt;"⚠"),LEFT($AD228,FIND(" ",$AD228)-1),IF($H228="","",IF(RIGHT($H228,2)="병원",$H228,$H228&amp;"병원")))))</f>
        <v/>
      </c>
      <c r="O228" s="10">
        <f>IF($B228="","",IF(AND($U228="파견중",$Q228&lt;&gt;""),IF($R228&lt;&gt;"",$R228,"파견과 미입력"),IF(AND($AD228&lt;&gt;"",LEFT($AD228,1)&lt;&gt;"⚠"),MID($AD228,FIND(" ",$AD228)+1,60),IF($F228="","",IF($F228="인턴","수련교육부(인턴)",$F228)))))</f>
        <v/>
      </c>
      <c r="P228" s="10">
        <f>IF($B228="","",IF($AK228&lt;&gt;"",IF(AND(TODAY()&gt;=INDEX(입력_파견수련계획!$AB$4:$AB$803,$AK228),OR(NOT(ISNUMBER(INDEX(입력_파견수련계획!$AC$4:$AC$803,$AK228))),TODAY()&lt;=INDEX(입력_파견수련계획!$AC$4:$AC$803,$AK228))),"다기관",IF($AF228="","",INDEX(입력_파견수련계획!$T$4:$T$803,$AF228))),IF($AF228="","",INDEX(입력_파견수련계획!$T$4:$T$803,$AF228))))</f>
        <v/>
      </c>
      <c r="Q228" s="10">
        <f>IF($AF228="","",INDEX(입력_파견수련계획!$S$4:$S$803,$AF228))</f>
        <v/>
      </c>
      <c r="R228" s="10">
        <f>IF($AF228="","",INDEX(입력_파견수련계획!$U$4:$U$803,$AF228))</f>
        <v/>
      </c>
      <c r="S228" s="11">
        <f>IF($AF228="","",IF(INDEX(입력_파견수련계획!$H$4:$H$803,$AF228)="","",INDEX(입력_파견수련계획!$H$4:$H$803,$AF228)))</f>
        <v/>
      </c>
      <c r="T228" s="11">
        <f>IF($AF228="","",IF(INDEX(입력_파견수련계획!$I$4:$I$803,$AF228)="","",INDEX(입력_파견수련계획!$I$4:$I$803,$AF228)))</f>
        <v/>
      </c>
      <c r="U228" s="10">
        <f>IF($AF228="","",INDEX(입력_파견수련계획!$X$4:$X$803,$AF228))</f>
        <v/>
      </c>
      <c r="V228" s="17">
        <f>IF($AF228="","",INDEX(입력_파견수련계획!$V$4:$V$803,$AF228))</f>
        <v/>
      </c>
      <c r="W228" s="17">
        <f>IF(AND($U228="파견중",$T228&lt;&gt;""),$T228-TODAY(),"")</f>
        <v/>
      </c>
      <c r="X228" s="17">
        <f>IF(OR($B228="",TRIM($J228&amp;"")=""),"",SUMPRODUCT((입력_파견수련계획!$Q$4:$Q$803=TRIM($J228&amp;""))*입력_파견수련계획!$W$4:$W$803))</f>
        <v/>
      </c>
      <c r="Y228" s="10">
        <f>IF($B228="","",IF($AG228="","",IF(IF(TRIM($J228&amp;"")="",0,SUMPRODUCT((입력_파견수련계획!$Q$4:$Q$803=TRIM($J228&amp;""))*입력_파견수련계획!$AD$4:$AD$803))&gt;0,$AE228,IF(AND(N($X228)&lt;=0,$AQ228=""),$AG228,IF($AH228+$AI228=DAY(EOMONTH(출력_요약!$B$3,0)),IF(AND($AH228&gt;=출력_요약!$E$3,$AI228&lt;출력_요약!$E$3),"서울병원",IF(AND($AI228&gt;=출력_요약!$E$3,$AH228&lt;출력_요약!$E$3),"구리병원","⚠15일 판정불가(서울 "&amp;$AH228&amp;"일/구리 "&amp;$AI228&amp;"일)")),IF($AJ228="",$AE228,IF(INDEX(입력_파견수련계획!$T$4:$T$803,$AJ228)="통합수련",INDEX(입력_파견수련계획!$S$4:$S$803,$AJ228),$AE228)))))))</f>
        <v/>
      </c>
      <c r="Z228" s="20">
        <f>IF($B228="","",IF($AB228="","기본자료에 없는 사번",IF(COUNTIF($B$2:$B$401,$B228)&gt;1,"중복 사번",IF($AE228="","소속(입사장소) 입력",IF(IF(TRIM($J228&amp;"")="",0,SUMPRODUCT((입력_파견수련계획!$Q$4:$Q$803=TRIM($J228&amp;""))*(입력_파견수련계획!$AA$4:$AA$803&lt;&gt;"")))&gt;0,"파견수련계획 입력오류 확인",IF(LEFT($Y228,1)="⚠","서울·구리 15일 판정 불가(양쪽 모두 이상/미만)",IF(IF($AC228="",0,N(INDEX(입력_인턴근무계획!$T$3:$T$402,$AC228)))&gt;0,"인턴계획 입력오류 확인",IF(AND($AQ228&lt;&gt;"",$AG228&lt;&gt;"구리병원",IF(TRIM($J228&amp;"")="",0,SUMPRODUCT((입력_파견수련계획!$Q$4:$Q$803=TRIM($J228&amp;""))*(입력_파견수련계획!$S$4:$S$803="구리병원")*입력_파견수련계획!$W$4:$W$803))=0),"구리 근무자명단에만 있음(파견수련계획 확인)",IF(AND($AC228&lt;&gt;"",$U228&lt;&gt;"파견중",$N228&lt;&gt;$AE228),"인턴 타지역 근무: 파견 여부 확인","정상")))))))))</f>
        <v/>
      </c>
      <c r="AA228" s="5" t="n"/>
      <c r="AB228" s="10">
        <f>IF($B228="","",IFERROR(MATCH($B228,입력_기본자료!$B$2:$B$1001,0),IFERROR(MATCH($B228&amp;"",입력_기본자료!$B$2:$B$1001,0),IFERROR(MATCH(VALUE($B228),입력_기본자료!$B$2:$B$1001,0),""))))</f>
        <v/>
      </c>
      <c r="AC228" s="10">
        <f>IF($B228="","",IFERROR(MATCH($B228,입력_인턴근무계획!$D$3:$D$402,0),IFERROR(MATCH($B228&amp;"",입력_인턴근무계획!$D$3:$D$402,0),IFERROR(MATCH(VALUE($B228),입력_인턴근무계획!$D$3:$D$402,0),""))))</f>
        <v/>
      </c>
      <c r="AD228" s="10">
        <f>IF(OR($AC228="",출력_인턴현황!$G$3=""),"",INDEX(입력_인턴근무계획!$M$3:$R$402,$AC228,출력_인턴현황!$G$3)&amp;"")</f>
        <v/>
      </c>
      <c r="AE228" s="10">
        <f>IF($B228="","",IF($M228&lt;&gt;"",$M228,IF(IF($AQ228="",FALSE,INDEX(출력_구리근무자!$J$6:$J$305,$AQ228)="구리독자"),"구리병원",IF($AF228&lt;&gt;"",IF(LEFT(INDEX(입력_파견수련계획!$R$4:$R$803,$AF228),1)&lt;&gt;"⚠",INDEX(입력_파견수련계획!$R$4:$R$803,$AF228),IF($H228="","",IF(RIGHT($H228,2)="병원",$H228,$H228&amp;"병원"))),IF($H228="","",IF(RIGHT($H228,2)="병원",$H228,$H228&amp;"병원"))))))</f>
        <v/>
      </c>
      <c r="AF228" s="10">
        <f>IF(OR($B228="",TRIM($J228&amp;"")=""),"",IFERROR(MATCH(TRIM($J228&amp;"")&amp;"|파견중",입력_파견수련계획!$Y$4:$Y$803,0),IFERROR(MATCH(TRIM($J228&amp;"")&amp;"|파견예정",입력_파견수련계획!$Y$4:$Y$803,0),IFERROR(MATCH(TRIM($J228&amp;"")&amp;"|파견종료",입력_파견수련계획!$Y$4:$Y$803,0),""))))</f>
        <v/>
      </c>
      <c r="AG228" s="10">
        <f>IF($B228="","",IF(AND(IF(OR($AC228="",출력_인턴현황!$K$2=""),"",INDEX(입력_인턴근무계획!$M$3:$R$402,$AC228,출력_인턴현황!$K$2)&amp;"")&lt;&gt;"",LEFT(IF(OR($AC228="",출력_인턴현황!$K$2=""),"",INDEX(입력_인턴근무계획!$M$3:$R$402,$AC228,출력_인턴현황!$K$2)&amp;""),1)&lt;&gt;"⚠"),LEFT(IF(OR($AC228="",출력_인턴현황!$K$2=""),"",INDEX(입력_인턴근무계획!$M$3:$R$402,$AC228,출력_인턴현황!$K$2)&amp;""),FIND(" ",IF(OR($AC228="",출력_인턴현황!$K$2=""),"",INDEX(입력_인턴근무계획!$M$3:$R$402,$AC228,출력_인턴현황!$K$2)&amp;""))-1),$AE228))</f>
        <v/>
      </c>
      <c r="AH228" s="17">
        <f>IF($B228="","",IF($AQ228&lt;&gt;"",MAX(0,DAY(EOMONTH(출력_요약!$B$3,0))-N($AR228)),IF(TRIM($J228&amp;"")="",0,SUMPRODUCT((입력_파견수련계획!$Q$4:$Q$803=TRIM($J228&amp;""))*(입력_파견수련계획!$S$4:$S$803="서울병원")*입력_파견수련계획!$W$4:$W$803))+IF($AG228="서울병원",MAX(0,DAY(EOMONTH(출력_요약!$B$3,0))-N($X228)),0)))</f>
        <v/>
      </c>
      <c r="AI228" s="17">
        <f>IF($B228="","",IF($AQ228&lt;&gt;"",N($AR228),IF(TRIM($J228&amp;"")="",0,SUMPRODUCT((입력_파견수련계획!$Q$4:$Q$803=TRIM($J228&amp;""))*(입력_파견수련계획!$S$4:$S$803="구리병원")*입력_파견수련계획!$W$4:$W$803))+IF($AG228="구리병원",MAX(0,DAY(EOMONTH(출력_요약!$B$3,0))-N($X228)),0)))</f>
        <v/>
      </c>
      <c r="AJ228" s="10">
        <f>IF(OR($B228="",TRIM($J228&amp;"")=""),"",IFERROR(MATCH(TRIM($J228&amp;"")&amp;"|월",입력_파견수련계획!$Z$4:$Z$803,0),""))</f>
        <v/>
      </c>
      <c r="AK228" s="10">
        <f>IF(OR($B228="",TRIM($J228&amp;"")=""),"",IFERROR(MATCH(TRIM($J228&amp;"")&amp;"|다기관",입력_파견수련계획!$AE$4:$AE$803,0),""))</f>
        <v/>
      </c>
      <c r="AL228" s="10">
        <f>IF($AK228="","","다기관 "&amp;TEXT(INDEX(입력_파견수련계획!$AB$4:$AB$803,$AK228),"yyyy-mm-dd")&amp;"~"&amp;IF(ISNUMBER(INDEX(입력_파견수련계획!$AC$4:$AC$803,$AK228)),TEXT(INDEX(입력_파견수련계획!$AC$4:$AC$803,$AK228),"yyyy-mm-dd"),""))</f>
        <v/>
      </c>
      <c r="AM228" s="10">
        <f>IF($Y228="서울병원",COUNTIF($Y$2:$Y228,"서울병원"),"")</f>
        <v/>
      </c>
      <c r="AN228" s="10">
        <f>IF(LEFT($Y228,1)="⚠",COUNTIF($Y$2:$Y228,"⚠*"),"")</f>
        <v/>
      </c>
      <c r="AO228" s="10">
        <f>IF(OR($B228="",$Y228=""),"",IF(IF(TRIM($J228&amp;"")="",0,SUMPRODUCT((입력_파견수련계획!$Q$4:$Q$803=TRIM($J228&amp;""))*입력_파견수련계획!$AD$4:$AD$803))&gt;0,"다기관 기간 → 소속병원 지급",IF(AND(N($X228)&lt;=0,$AQ228=""),"파견 없음 → 그 달 근무병원 지급",IF($AH228+$AI228=DAY(EOMONTH(출력_요약!$B$3,0)),"서울 "&amp;$AH228&amp;"일 / 구리 "&amp;$AI228&amp;"일"&amp;IF($AQ228&lt;&gt;""," (구리 근무자명단 반영)","")&amp;" → 15일 이상 근무 병원 지급","타 병원 포함 → "&amp;IF($AJ228="","소속",INDEX(입력_파견수련계획!$T$4:$T$803,$AJ228))&amp;" 규칙"))))</f>
        <v/>
      </c>
      <c r="AP228" s="10">
        <f>IF($B228="","",$C228&amp;"|"&amp;$F228)</f>
        <v/>
      </c>
      <c r="AQ228" s="10">
        <f>IF($B228="","",IFERROR(MATCH(ROW()-1,출력_구리근무자!$K$6:$K$305,0),""))</f>
        <v/>
      </c>
      <c r="AR228" s="10">
        <f>IF($AQ228="","",INDEX(출력_구리근무자!$H$6:$H$305,$AQ228))</f>
        <v/>
      </c>
    </row>
    <row r="229">
      <c r="A229" s="10">
        <f>IF(B229="","",ROW()-1)</f>
        <v/>
      </c>
      <c r="B229" s="19" t="n"/>
      <c r="C229" s="10">
        <f>IF($AB229="","",IF(INDEX(입력_기본자료!$C$2:$C$1001,$AB229)="","",INDEX(입력_기본자료!$C$2:$C$1001,$AB229)))</f>
        <v/>
      </c>
      <c r="D229" s="10">
        <f>IF($AB229="","",IF(INDEX(입력_기본자료!$J$2:$J$1001,$AB229)="","",INDEX(입력_기본자료!$J$2:$J$1001,$AB229)))</f>
        <v/>
      </c>
      <c r="E229" s="11">
        <f>IF($AB229="","",IF(INDEX(입력_기본자료!$K$2:$K$1001,$AB229)="","",IF(NOT(ISNUMBER(INDEX(입력_기본자료!$K$2:$K$1001,$AB229))),INDEX(입력_기본자료!$K$2:$K$1001,$AB229),IF(INDEX(입력_기본자료!$K$2:$K$1001,$AB229)&lt;1000000,INDEX(입력_기본자료!$K$2:$K$1001,$AB229),IF(AND(INDEX(입력_기본자료!$K$2:$K$1001,$AB229)&gt;=10000101,INT(MOD(INDEX(입력_기본자료!$K$2:$K$1001,$AB229),10000)/100)&gt;=1,INT(MOD(INDEX(입력_기본자료!$K$2:$K$1001,$AB229),10000)/100)&lt;=12,MOD(INDEX(입력_기본자료!$K$2:$K$1001,$AB229),100)&gt;=1,MOD(INDEX(입력_기본자료!$K$2:$K$1001,$AB229),100)&lt;=31),DATE(INT(INDEX(입력_기본자료!$K$2:$K$1001,$AB229)/10000),INT(MOD(INDEX(입력_기본자료!$K$2:$K$1001,$AB229),10000)/100),MOD(INDEX(입력_기본자료!$K$2:$K$1001,$AB229),100)),INDEX(입력_기본자료!$K$2:$K$1001,$AB229)&amp;"")))))</f>
        <v/>
      </c>
      <c r="F229" s="10">
        <f>IF($AB229="","",IF(INDEX(입력_기본자료!$D$2:$D$1001,$AB229)="","",INDEX(입력_기본자료!$D$2:$D$1001,$AB229)))</f>
        <v/>
      </c>
      <c r="G229" s="10">
        <f>IF($AB229="","",IF(INDEX(입력_기본자료!$E$2:$E$1001,$AB229)="","",INDEX(입력_기본자료!$E$2:$E$1001,$AB229)))</f>
        <v/>
      </c>
      <c r="H229" s="10">
        <f>IF($AB229="","",IF(INDEX(입력_기본자료!$F$2:$F$1001,$AB229)="","",INDEX(입력_기본자료!$F$2:$F$1001,$AB229)))</f>
        <v/>
      </c>
      <c r="I229" s="11">
        <f>IF($AB229="","",IF(INDEX(입력_기본자료!$G$2:$G$1001,$AB229)="","",IF(NOT(ISNUMBER(INDEX(입력_기본자료!$G$2:$G$1001,$AB229))),INDEX(입력_기본자료!$G$2:$G$1001,$AB229),IF(INDEX(입력_기본자료!$G$2:$G$1001,$AB229)&lt;1000000,INDEX(입력_기본자료!$G$2:$G$1001,$AB229),IF(AND(INDEX(입력_기본자료!$G$2:$G$1001,$AB229)&gt;=10000101,INT(MOD(INDEX(입력_기본자료!$G$2:$G$1001,$AB229),10000)/100)&gt;=1,INT(MOD(INDEX(입력_기본자료!$G$2:$G$1001,$AB229),10000)/100)&lt;=12,MOD(INDEX(입력_기본자료!$G$2:$G$1001,$AB229),100)&gt;=1,MOD(INDEX(입력_기본자료!$G$2:$G$1001,$AB229),100)&lt;=31),DATE(INT(INDEX(입력_기본자료!$G$2:$G$1001,$AB229)/10000),INT(MOD(INDEX(입력_기본자료!$G$2:$G$1001,$AB229),10000)/100),MOD(INDEX(입력_기본자료!$G$2:$G$1001,$AB229),100)),INDEX(입력_기본자료!$G$2:$G$1001,$AB229)&amp;"")))))</f>
        <v/>
      </c>
      <c r="J229" s="10">
        <f>IF($AB229="","",IF(INDEX(입력_기본자료!$H$2:$H$1001,$AB229)="","",INDEX(입력_기본자료!$H$2:$H$1001,$AB229)))</f>
        <v/>
      </c>
      <c r="K229" s="10">
        <f>IF($AB229="","",IF(INDEX(입력_기본자료!$I$2:$I$1001,$AB229)="","",INDEX(입력_기본자료!$I$2:$I$1001,$AB229)))</f>
        <v/>
      </c>
      <c r="L229" s="10">
        <f>IF($AB229="","",IF(INDEX(입력_기본자료!$A$2:$A$1001,$AB229)="","",INDEX(입력_기본자료!$A$2:$A$1001,$AB229)))</f>
        <v/>
      </c>
      <c r="M229" s="15" t="n"/>
      <c r="N229" s="10">
        <f>IF($B229="","",IF(AND($U229="파견중",$Q229&lt;&gt;""),$Q229,IF(AND($AD229&lt;&gt;"",LEFT($AD229,1)&lt;&gt;"⚠"),LEFT($AD229,FIND(" ",$AD229)-1),IF($H229="","",IF(RIGHT($H229,2)="병원",$H229,$H229&amp;"병원")))))</f>
        <v/>
      </c>
      <c r="O229" s="10">
        <f>IF($B229="","",IF(AND($U229="파견중",$Q229&lt;&gt;""),IF($R229&lt;&gt;"",$R229,"파견과 미입력"),IF(AND($AD229&lt;&gt;"",LEFT($AD229,1)&lt;&gt;"⚠"),MID($AD229,FIND(" ",$AD229)+1,60),IF($F229="","",IF($F229="인턴","수련교육부(인턴)",$F229)))))</f>
        <v/>
      </c>
      <c r="P229" s="10">
        <f>IF($B229="","",IF($AK229&lt;&gt;"",IF(AND(TODAY()&gt;=INDEX(입력_파견수련계획!$AB$4:$AB$803,$AK229),OR(NOT(ISNUMBER(INDEX(입력_파견수련계획!$AC$4:$AC$803,$AK229))),TODAY()&lt;=INDEX(입력_파견수련계획!$AC$4:$AC$803,$AK229))),"다기관",IF($AF229="","",INDEX(입력_파견수련계획!$T$4:$T$803,$AF229))),IF($AF229="","",INDEX(입력_파견수련계획!$T$4:$T$803,$AF229))))</f>
        <v/>
      </c>
      <c r="Q229" s="10">
        <f>IF($AF229="","",INDEX(입력_파견수련계획!$S$4:$S$803,$AF229))</f>
        <v/>
      </c>
      <c r="R229" s="10">
        <f>IF($AF229="","",INDEX(입력_파견수련계획!$U$4:$U$803,$AF229))</f>
        <v/>
      </c>
      <c r="S229" s="11">
        <f>IF($AF229="","",IF(INDEX(입력_파견수련계획!$H$4:$H$803,$AF229)="","",INDEX(입력_파견수련계획!$H$4:$H$803,$AF229)))</f>
        <v/>
      </c>
      <c r="T229" s="11">
        <f>IF($AF229="","",IF(INDEX(입력_파견수련계획!$I$4:$I$803,$AF229)="","",INDEX(입력_파견수련계획!$I$4:$I$803,$AF229)))</f>
        <v/>
      </c>
      <c r="U229" s="10">
        <f>IF($AF229="","",INDEX(입력_파견수련계획!$X$4:$X$803,$AF229))</f>
        <v/>
      </c>
      <c r="V229" s="17">
        <f>IF($AF229="","",INDEX(입력_파견수련계획!$V$4:$V$803,$AF229))</f>
        <v/>
      </c>
      <c r="W229" s="17">
        <f>IF(AND($U229="파견중",$T229&lt;&gt;""),$T229-TODAY(),"")</f>
        <v/>
      </c>
      <c r="X229" s="17">
        <f>IF(OR($B229="",TRIM($J229&amp;"")=""),"",SUMPRODUCT((입력_파견수련계획!$Q$4:$Q$803=TRIM($J229&amp;""))*입력_파견수련계획!$W$4:$W$803))</f>
        <v/>
      </c>
      <c r="Y229" s="10">
        <f>IF($B229="","",IF($AG229="","",IF(IF(TRIM($J229&amp;"")="",0,SUMPRODUCT((입력_파견수련계획!$Q$4:$Q$803=TRIM($J229&amp;""))*입력_파견수련계획!$AD$4:$AD$803))&gt;0,$AE229,IF(AND(N($X229)&lt;=0,$AQ229=""),$AG229,IF($AH229+$AI229=DAY(EOMONTH(출력_요약!$B$3,0)),IF(AND($AH229&gt;=출력_요약!$E$3,$AI229&lt;출력_요약!$E$3),"서울병원",IF(AND($AI229&gt;=출력_요약!$E$3,$AH229&lt;출력_요약!$E$3),"구리병원","⚠15일 판정불가(서울 "&amp;$AH229&amp;"일/구리 "&amp;$AI229&amp;"일)")),IF($AJ229="",$AE229,IF(INDEX(입력_파견수련계획!$T$4:$T$803,$AJ229)="통합수련",INDEX(입력_파견수련계획!$S$4:$S$803,$AJ229),$AE229)))))))</f>
        <v/>
      </c>
      <c r="Z229" s="20">
        <f>IF($B229="","",IF($AB229="","기본자료에 없는 사번",IF(COUNTIF($B$2:$B$401,$B229)&gt;1,"중복 사번",IF($AE229="","소속(입사장소) 입력",IF(IF(TRIM($J229&amp;"")="",0,SUMPRODUCT((입력_파견수련계획!$Q$4:$Q$803=TRIM($J229&amp;""))*(입력_파견수련계획!$AA$4:$AA$803&lt;&gt;"")))&gt;0,"파견수련계획 입력오류 확인",IF(LEFT($Y229,1)="⚠","서울·구리 15일 판정 불가(양쪽 모두 이상/미만)",IF(IF($AC229="",0,N(INDEX(입력_인턴근무계획!$T$3:$T$402,$AC229)))&gt;0,"인턴계획 입력오류 확인",IF(AND($AQ229&lt;&gt;"",$AG229&lt;&gt;"구리병원",IF(TRIM($J229&amp;"")="",0,SUMPRODUCT((입력_파견수련계획!$Q$4:$Q$803=TRIM($J229&amp;""))*(입력_파견수련계획!$S$4:$S$803="구리병원")*입력_파견수련계획!$W$4:$W$803))=0),"구리 근무자명단에만 있음(파견수련계획 확인)",IF(AND($AC229&lt;&gt;"",$U229&lt;&gt;"파견중",$N229&lt;&gt;$AE229),"인턴 타지역 근무: 파견 여부 확인","정상")))))))))</f>
        <v/>
      </c>
      <c r="AA229" s="5" t="n"/>
      <c r="AB229" s="10">
        <f>IF($B229="","",IFERROR(MATCH($B229,입력_기본자료!$B$2:$B$1001,0),IFERROR(MATCH($B229&amp;"",입력_기본자료!$B$2:$B$1001,0),IFERROR(MATCH(VALUE($B229),입력_기본자료!$B$2:$B$1001,0),""))))</f>
        <v/>
      </c>
      <c r="AC229" s="10">
        <f>IF($B229="","",IFERROR(MATCH($B229,입력_인턴근무계획!$D$3:$D$402,0),IFERROR(MATCH($B229&amp;"",입력_인턴근무계획!$D$3:$D$402,0),IFERROR(MATCH(VALUE($B229),입력_인턴근무계획!$D$3:$D$402,0),""))))</f>
        <v/>
      </c>
      <c r="AD229" s="10">
        <f>IF(OR($AC229="",출력_인턴현황!$G$3=""),"",INDEX(입력_인턴근무계획!$M$3:$R$402,$AC229,출력_인턴현황!$G$3)&amp;"")</f>
        <v/>
      </c>
      <c r="AE229" s="10">
        <f>IF($B229="","",IF($M229&lt;&gt;"",$M229,IF(IF($AQ229="",FALSE,INDEX(출력_구리근무자!$J$6:$J$305,$AQ229)="구리독자"),"구리병원",IF($AF229&lt;&gt;"",IF(LEFT(INDEX(입력_파견수련계획!$R$4:$R$803,$AF229),1)&lt;&gt;"⚠",INDEX(입력_파견수련계획!$R$4:$R$803,$AF229),IF($H229="","",IF(RIGHT($H229,2)="병원",$H229,$H229&amp;"병원"))),IF($H229="","",IF(RIGHT($H229,2)="병원",$H229,$H229&amp;"병원"))))))</f>
        <v/>
      </c>
      <c r="AF229" s="10">
        <f>IF(OR($B229="",TRIM($J229&amp;"")=""),"",IFERROR(MATCH(TRIM($J229&amp;"")&amp;"|파견중",입력_파견수련계획!$Y$4:$Y$803,0),IFERROR(MATCH(TRIM($J229&amp;"")&amp;"|파견예정",입력_파견수련계획!$Y$4:$Y$803,0),IFERROR(MATCH(TRIM($J229&amp;"")&amp;"|파견종료",입력_파견수련계획!$Y$4:$Y$803,0),""))))</f>
        <v/>
      </c>
      <c r="AG229" s="10">
        <f>IF($B229="","",IF(AND(IF(OR($AC229="",출력_인턴현황!$K$2=""),"",INDEX(입력_인턴근무계획!$M$3:$R$402,$AC229,출력_인턴현황!$K$2)&amp;"")&lt;&gt;"",LEFT(IF(OR($AC229="",출력_인턴현황!$K$2=""),"",INDEX(입력_인턴근무계획!$M$3:$R$402,$AC229,출력_인턴현황!$K$2)&amp;""),1)&lt;&gt;"⚠"),LEFT(IF(OR($AC229="",출력_인턴현황!$K$2=""),"",INDEX(입력_인턴근무계획!$M$3:$R$402,$AC229,출력_인턴현황!$K$2)&amp;""),FIND(" ",IF(OR($AC229="",출력_인턴현황!$K$2=""),"",INDEX(입력_인턴근무계획!$M$3:$R$402,$AC229,출력_인턴현황!$K$2)&amp;""))-1),$AE229))</f>
        <v/>
      </c>
      <c r="AH229" s="17">
        <f>IF($B229="","",IF($AQ229&lt;&gt;"",MAX(0,DAY(EOMONTH(출력_요약!$B$3,0))-N($AR229)),IF(TRIM($J229&amp;"")="",0,SUMPRODUCT((입력_파견수련계획!$Q$4:$Q$803=TRIM($J229&amp;""))*(입력_파견수련계획!$S$4:$S$803="서울병원")*입력_파견수련계획!$W$4:$W$803))+IF($AG229="서울병원",MAX(0,DAY(EOMONTH(출력_요약!$B$3,0))-N($X229)),0)))</f>
        <v/>
      </c>
      <c r="AI229" s="17">
        <f>IF($B229="","",IF($AQ229&lt;&gt;"",N($AR229),IF(TRIM($J229&amp;"")="",0,SUMPRODUCT((입력_파견수련계획!$Q$4:$Q$803=TRIM($J229&amp;""))*(입력_파견수련계획!$S$4:$S$803="구리병원")*입력_파견수련계획!$W$4:$W$803))+IF($AG229="구리병원",MAX(0,DAY(EOMONTH(출력_요약!$B$3,0))-N($X229)),0)))</f>
        <v/>
      </c>
      <c r="AJ229" s="10">
        <f>IF(OR($B229="",TRIM($J229&amp;"")=""),"",IFERROR(MATCH(TRIM($J229&amp;"")&amp;"|월",입력_파견수련계획!$Z$4:$Z$803,0),""))</f>
        <v/>
      </c>
      <c r="AK229" s="10">
        <f>IF(OR($B229="",TRIM($J229&amp;"")=""),"",IFERROR(MATCH(TRIM($J229&amp;"")&amp;"|다기관",입력_파견수련계획!$AE$4:$AE$803,0),""))</f>
        <v/>
      </c>
      <c r="AL229" s="10">
        <f>IF($AK229="","","다기관 "&amp;TEXT(INDEX(입력_파견수련계획!$AB$4:$AB$803,$AK229),"yyyy-mm-dd")&amp;"~"&amp;IF(ISNUMBER(INDEX(입력_파견수련계획!$AC$4:$AC$803,$AK229)),TEXT(INDEX(입력_파견수련계획!$AC$4:$AC$803,$AK229),"yyyy-mm-dd"),""))</f>
        <v/>
      </c>
      <c r="AM229" s="10">
        <f>IF($Y229="서울병원",COUNTIF($Y$2:$Y229,"서울병원"),"")</f>
        <v/>
      </c>
      <c r="AN229" s="10">
        <f>IF(LEFT($Y229,1)="⚠",COUNTIF($Y$2:$Y229,"⚠*"),"")</f>
        <v/>
      </c>
      <c r="AO229" s="10">
        <f>IF(OR($B229="",$Y229=""),"",IF(IF(TRIM($J229&amp;"")="",0,SUMPRODUCT((입력_파견수련계획!$Q$4:$Q$803=TRIM($J229&amp;""))*입력_파견수련계획!$AD$4:$AD$803))&gt;0,"다기관 기간 → 소속병원 지급",IF(AND(N($X229)&lt;=0,$AQ229=""),"파견 없음 → 그 달 근무병원 지급",IF($AH229+$AI229=DAY(EOMONTH(출력_요약!$B$3,0)),"서울 "&amp;$AH229&amp;"일 / 구리 "&amp;$AI229&amp;"일"&amp;IF($AQ229&lt;&gt;""," (구리 근무자명단 반영)","")&amp;" → 15일 이상 근무 병원 지급","타 병원 포함 → "&amp;IF($AJ229="","소속",INDEX(입력_파견수련계획!$T$4:$T$803,$AJ229))&amp;" 규칙"))))</f>
        <v/>
      </c>
      <c r="AP229" s="10">
        <f>IF($B229="","",$C229&amp;"|"&amp;$F229)</f>
        <v/>
      </c>
      <c r="AQ229" s="10">
        <f>IF($B229="","",IFERROR(MATCH(ROW()-1,출력_구리근무자!$K$6:$K$305,0),""))</f>
        <v/>
      </c>
      <c r="AR229" s="10">
        <f>IF($AQ229="","",INDEX(출력_구리근무자!$H$6:$H$305,$AQ229))</f>
        <v/>
      </c>
    </row>
    <row r="230">
      <c r="A230" s="10">
        <f>IF(B230="","",ROW()-1)</f>
        <v/>
      </c>
      <c r="B230" s="19" t="n"/>
      <c r="C230" s="10">
        <f>IF($AB230="","",IF(INDEX(입력_기본자료!$C$2:$C$1001,$AB230)="","",INDEX(입력_기본자료!$C$2:$C$1001,$AB230)))</f>
        <v/>
      </c>
      <c r="D230" s="10">
        <f>IF($AB230="","",IF(INDEX(입력_기본자료!$J$2:$J$1001,$AB230)="","",INDEX(입력_기본자료!$J$2:$J$1001,$AB230)))</f>
        <v/>
      </c>
      <c r="E230" s="11">
        <f>IF($AB230="","",IF(INDEX(입력_기본자료!$K$2:$K$1001,$AB230)="","",IF(NOT(ISNUMBER(INDEX(입력_기본자료!$K$2:$K$1001,$AB230))),INDEX(입력_기본자료!$K$2:$K$1001,$AB230),IF(INDEX(입력_기본자료!$K$2:$K$1001,$AB230)&lt;1000000,INDEX(입력_기본자료!$K$2:$K$1001,$AB230),IF(AND(INDEX(입력_기본자료!$K$2:$K$1001,$AB230)&gt;=10000101,INT(MOD(INDEX(입력_기본자료!$K$2:$K$1001,$AB230),10000)/100)&gt;=1,INT(MOD(INDEX(입력_기본자료!$K$2:$K$1001,$AB230),10000)/100)&lt;=12,MOD(INDEX(입력_기본자료!$K$2:$K$1001,$AB230),100)&gt;=1,MOD(INDEX(입력_기본자료!$K$2:$K$1001,$AB230),100)&lt;=31),DATE(INT(INDEX(입력_기본자료!$K$2:$K$1001,$AB230)/10000),INT(MOD(INDEX(입력_기본자료!$K$2:$K$1001,$AB230),10000)/100),MOD(INDEX(입력_기본자료!$K$2:$K$1001,$AB230),100)),INDEX(입력_기본자료!$K$2:$K$1001,$AB230)&amp;"")))))</f>
        <v/>
      </c>
      <c r="F230" s="10">
        <f>IF($AB230="","",IF(INDEX(입력_기본자료!$D$2:$D$1001,$AB230)="","",INDEX(입력_기본자료!$D$2:$D$1001,$AB230)))</f>
        <v/>
      </c>
      <c r="G230" s="10">
        <f>IF($AB230="","",IF(INDEX(입력_기본자료!$E$2:$E$1001,$AB230)="","",INDEX(입력_기본자료!$E$2:$E$1001,$AB230)))</f>
        <v/>
      </c>
      <c r="H230" s="10">
        <f>IF($AB230="","",IF(INDEX(입력_기본자료!$F$2:$F$1001,$AB230)="","",INDEX(입력_기본자료!$F$2:$F$1001,$AB230)))</f>
        <v/>
      </c>
      <c r="I230" s="11">
        <f>IF($AB230="","",IF(INDEX(입력_기본자료!$G$2:$G$1001,$AB230)="","",IF(NOT(ISNUMBER(INDEX(입력_기본자료!$G$2:$G$1001,$AB230))),INDEX(입력_기본자료!$G$2:$G$1001,$AB230),IF(INDEX(입력_기본자료!$G$2:$G$1001,$AB230)&lt;1000000,INDEX(입력_기본자료!$G$2:$G$1001,$AB230),IF(AND(INDEX(입력_기본자료!$G$2:$G$1001,$AB230)&gt;=10000101,INT(MOD(INDEX(입력_기본자료!$G$2:$G$1001,$AB230),10000)/100)&gt;=1,INT(MOD(INDEX(입력_기본자료!$G$2:$G$1001,$AB230),10000)/100)&lt;=12,MOD(INDEX(입력_기본자료!$G$2:$G$1001,$AB230),100)&gt;=1,MOD(INDEX(입력_기본자료!$G$2:$G$1001,$AB230),100)&lt;=31),DATE(INT(INDEX(입력_기본자료!$G$2:$G$1001,$AB230)/10000),INT(MOD(INDEX(입력_기본자료!$G$2:$G$1001,$AB230),10000)/100),MOD(INDEX(입력_기본자료!$G$2:$G$1001,$AB230),100)),INDEX(입력_기본자료!$G$2:$G$1001,$AB230)&amp;"")))))</f>
        <v/>
      </c>
      <c r="J230" s="10">
        <f>IF($AB230="","",IF(INDEX(입력_기본자료!$H$2:$H$1001,$AB230)="","",INDEX(입력_기본자료!$H$2:$H$1001,$AB230)))</f>
        <v/>
      </c>
      <c r="K230" s="10">
        <f>IF($AB230="","",IF(INDEX(입력_기본자료!$I$2:$I$1001,$AB230)="","",INDEX(입력_기본자료!$I$2:$I$1001,$AB230)))</f>
        <v/>
      </c>
      <c r="L230" s="10">
        <f>IF($AB230="","",IF(INDEX(입력_기본자료!$A$2:$A$1001,$AB230)="","",INDEX(입력_기본자료!$A$2:$A$1001,$AB230)))</f>
        <v/>
      </c>
      <c r="M230" s="15" t="n"/>
      <c r="N230" s="10">
        <f>IF($B230="","",IF(AND($U230="파견중",$Q230&lt;&gt;""),$Q230,IF(AND($AD230&lt;&gt;"",LEFT($AD230,1)&lt;&gt;"⚠"),LEFT($AD230,FIND(" ",$AD230)-1),IF($H230="","",IF(RIGHT($H230,2)="병원",$H230,$H230&amp;"병원")))))</f>
        <v/>
      </c>
      <c r="O230" s="10">
        <f>IF($B230="","",IF(AND($U230="파견중",$Q230&lt;&gt;""),IF($R230&lt;&gt;"",$R230,"파견과 미입력"),IF(AND($AD230&lt;&gt;"",LEFT($AD230,1)&lt;&gt;"⚠"),MID($AD230,FIND(" ",$AD230)+1,60),IF($F230="","",IF($F230="인턴","수련교육부(인턴)",$F230)))))</f>
        <v/>
      </c>
      <c r="P230" s="10">
        <f>IF($B230="","",IF($AK230&lt;&gt;"",IF(AND(TODAY()&gt;=INDEX(입력_파견수련계획!$AB$4:$AB$803,$AK230),OR(NOT(ISNUMBER(INDEX(입력_파견수련계획!$AC$4:$AC$803,$AK230))),TODAY()&lt;=INDEX(입력_파견수련계획!$AC$4:$AC$803,$AK230))),"다기관",IF($AF230="","",INDEX(입력_파견수련계획!$T$4:$T$803,$AF230))),IF($AF230="","",INDEX(입력_파견수련계획!$T$4:$T$803,$AF230))))</f>
        <v/>
      </c>
      <c r="Q230" s="10">
        <f>IF($AF230="","",INDEX(입력_파견수련계획!$S$4:$S$803,$AF230))</f>
        <v/>
      </c>
      <c r="R230" s="10">
        <f>IF($AF230="","",INDEX(입력_파견수련계획!$U$4:$U$803,$AF230))</f>
        <v/>
      </c>
      <c r="S230" s="11">
        <f>IF($AF230="","",IF(INDEX(입력_파견수련계획!$H$4:$H$803,$AF230)="","",INDEX(입력_파견수련계획!$H$4:$H$803,$AF230)))</f>
        <v/>
      </c>
      <c r="T230" s="11">
        <f>IF($AF230="","",IF(INDEX(입력_파견수련계획!$I$4:$I$803,$AF230)="","",INDEX(입력_파견수련계획!$I$4:$I$803,$AF230)))</f>
        <v/>
      </c>
      <c r="U230" s="10">
        <f>IF($AF230="","",INDEX(입력_파견수련계획!$X$4:$X$803,$AF230))</f>
        <v/>
      </c>
      <c r="V230" s="17">
        <f>IF($AF230="","",INDEX(입력_파견수련계획!$V$4:$V$803,$AF230))</f>
        <v/>
      </c>
      <c r="W230" s="17">
        <f>IF(AND($U230="파견중",$T230&lt;&gt;""),$T230-TODAY(),"")</f>
        <v/>
      </c>
      <c r="X230" s="17">
        <f>IF(OR($B230="",TRIM($J230&amp;"")=""),"",SUMPRODUCT((입력_파견수련계획!$Q$4:$Q$803=TRIM($J230&amp;""))*입력_파견수련계획!$W$4:$W$803))</f>
        <v/>
      </c>
      <c r="Y230" s="10">
        <f>IF($B230="","",IF($AG230="","",IF(IF(TRIM($J230&amp;"")="",0,SUMPRODUCT((입력_파견수련계획!$Q$4:$Q$803=TRIM($J230&amp;""))*입력_파견수련계획!$AD$4:$AD$803))&gt;0,$AE230,IF(AND(N($X230)&lt;=0,$AQ230=""),$AG230,IF($AH230+$AI230=DAY(EOMONTH(출력_요약!$B$3,0)),IF(AND($AH230&gt;=출력_요약!$E$3,$AI230&lt;출력_요약!$E$3),"서울병원",IF(AND($AI230&gt;=출력_요약!$E$3,$AH230&lt;출력_요약!$E$3),"구리병원","⚠15일 판정불가(서울 "&amp;$AH230&amp;"일/구리 "&amp;$AI230&amp;"일)")),IF($AJ230="",$AE230,IF(INDEX(입력_파견수련계획!$T$4:$T$803,$AJ230)="통합수련",INDEX(입력_파견수련계획!$S$4:$S$803,$AJ230),$AE230)))))))</f>
        <v/>
      </c>
      <c r="Z230" s="20">
        <f>IF($B230="","",IF($AB230="","기본자료에 없는 사번",IF(COUNTIF($B$2:$B$401,$B230)&gt;1,"중복 사번",IF($AE230="","소속(입사장소) 입력",IF(IF(TRIM($J230&amp;"")="",0,SUMPRODUCT((입력_파견수련계획!$Q$4:$Q$803=TRIM($J230&amp;""))*(입력_파견수련계획!$AA$4:$AA$803&lt;&gt;"")))&gt;0,"파견수련계획 입력오류 확인",IF(LEFT($Y230,1)="⚠","서울·구리 15일 판정 불가(양쪽 모두 이상/미만)",IF(IF($AC230="",0,N(INDEX(입력_인턴근무계획!$T$3:$T$402,$AC230)))&gt;0,"인턴계획 입력오류 확인",IF(AND($AQ230&lt;&gt;"",$AG230&lt;&gt;"구리병원",IF(TRIM($J230&amp;"")="",0,SUMPRODUCT((입력_파견수련계획!$Q$4:$Q$803=TRIM($J230&amp;""))*(입력_파견수련계획!$S$4:$S$803="구리병원")*입력_파견수련계획!$W$4:$W$803))=0),"구리 근무자명단에만 있음(파견수련계획 확인)",IF(AND($AC230&lt;&gt;"",$U230&lt;&gt;"파견중",$N230&lt;&gt;$AE230),"인턴 타지역 근무: 파견 여부 확인","정상")))))))))</f>
        <v/>
      </c>
      <c r="AA230" s="5" t="n"/>
      <c r="AB230" s="10">
        <f>IF($B230="","",IFERROR(MATCH($B230,입력_기본자료!$B$2:$B$1001,0),IFERROR(MATCH($B230&amp;"",입력_기본자료!$B$2:$B$1001,0),IFERROR(MATCH(VALUE($B230),입력_기본자료!$B$2:$B$1001,0),""))))</f>
        <v/>
      </c>
      <c r="AC230" s="10">
        <f>IF($B230="","",IFERROR(MATCH($B230,입력_인턴근무계획!$D$3:$D$402,0),IFERROR(MATCH($B230&amp;"",입력_인턴근무계획!$D$3:$D$402,0),IFERROR(MATCH(VALUE($B230),입력_인턴근무계획!$D$3:$D$402,0),""))))</f>
        <v/>
      </c>
      <c r="AD230" s="10">
        <f>IF(OR($AC230="",출력_인턴현황!$G$3=""),"",INDEX(입력_인턴근무계획!$M$3:$R$402,$AC230,출력_인턴현황!$G$3)&amp;"")</f>
        <v/>
      </c>
      <c r="AE230" s="10">
        <f>IF($B230="","",IF($M230&lt;&gt;"",$M230,IF(IF($AQ230="",FALSE,INDEX(출력_구리근무자!$J$6:$J$305,$AQ230)="구리독자"),"구리병원",IF($AF230&lt;&gt;"",IF(LEFT(INDEX(입력_파견수련계획!$R$4:$R$803,$AF230),1)&lt;&gt;"⚠",INDEX(입력_파견수련계획!$R$4:$R$803,$AF230),IF($H230="","",IF(RIGHT($H230,2)="병원",$H230,$H230&amp;"병원"))),IF($H230="","",IF(RIGHT($H230,2)="병원",$H230,$H230&amp;"병원"))))))</f>
        <v/>
      </c>
      <c r="AF230" s="10">
        <f>IF(OR($B230="",TRIM($J230&amp;"")=""),"",IFERROR(MATCH(TRIM($J230&amp;"")&amp;"|파견중",입력_파견수련계획!$Y$4:$Y$803,0),IFERROR(MATCH(TRIM($J230&amp;"")&amp;"|파견예정",입력_파견수련계획!$Y$4:$Y$803,0),IFERROR(MATCH(TRIM($J230&amp;"")&amp;"|파견종료",입력_파견수련계획!$Y$4:$Y$803,0),""))))</f>
        <v/>
      </c>
      <c r="AG230" s="10">
        <f>IF($B230="","",IF(AND(IF(OR($AC230="",출력_인턴현황!$K$2=""),"",INDEX(입력_인턴근무계획!$M$3:$R$402,$AC230,출력_인턴현황!$K$2)&amp;"")&lt;&gt;"",LEFT(IF(OR($AC230="",출력_인턴현황!$K$2=""),"",INDEX(입력_인턴근무계획!$M$3:$R$402,$AC230,출력_인턴현황!$K$2)&amp;""),1)&lt;&gt;"⚠"),LEFT(IF(OR($AC230="",출력_인턴현황!$K$2=""),"",INDEX(입력_인턴근무계획!$M$3:$R$402,$AC230,출력_인턴현황!$K$2)&amp;""),FIND(" ",IF(OR($AC230="",출력_인턴현황!$K$2=""),"",INDEX(입력_인턴근무계획!$M$3:$R$402,$AC230,출력_인턴현황!$K$2)&amp;""))-1),$AE230))</f>
        <v/>
      </c>
      <c r="AH230" s="17">
        <f>IF($B230="","",IF($AQ230&lt;&gt;"",MAX(0,DAY(EOMONTH(출력_요약!$B$3,0))-N($AR230)),IF(TRIM($J230&amp;"")="",0,SUMPRODUCT((입력_파견수련계획!$Q$4:$Q$803=TRIM($J230&amp;""))*(입력_파견수련계획!$S$4:$S$803="서울병원")*입력_파견수련계획!$W$4:$W$803))+IF($AG230="서울병원",MAX(0,DAY(EOMONTH(출력_요약!$B$3,0))-N($X230)),0)))</f>
        <v/>
      </c>
      <c r="AI230" s="17">
        <f>IF($B230="","",IF($AQ230&lt;&gt;"",N($AR230),IF(TRIM($J230&amp;"")="",0,SUMPRODUCT((입력_파견수련계획!$Q$4:$Q$803=TRIM($J230&amp;""))*(입력_파견수련계획!$S$4:$S$803="구리병원")*입력_파견수련계획!$W$4:$W$803))+IF($AG230="구리병원",MAX(0,DAY(EOMONTH(출력_요약!$B$3,0))-N($X230)),0)))</f>
        <v/>
      </c>
      <c r="AJ230" s="10">
        <f>IF(OR($B230="",TRIM($J230&amp;"")=""),"",IFERROR(MATCH(TRIM($J230&amp;"")&amp;"|월",입력_파견수련계획!$Z$4:$Z$803,0),""))</f>
        <v/>
      </c>
      <c r="AK230" s="10">
        <f>IF(OR($B230="",TRIM($J230&amp;"")=""),"",IFERROR(MATCH(TRIM($J230&amp;"")&amp;"|다기관",입력_파견수련계획!$AE$4:$AE$803,0),""))</f>
        <v/>
      </c>
      <c r="AL230" s="10">
        <f>IF($AK230="","","다기관 "&amp;TEXT(INDEX(입력_파견수련계획!$AB$4:$AB$803,$AK230),"yyyy-mm-dd")&amp;"~"&amp;IF(ISNUMBER(INDEX(입력_파견수련계획!$AC$4:$AC$803,$AK230)),TEXT(INDEX(입력_파견수련계획!$AC$4:$AC$803,$AK230),"yyyy-mm-dd"),""))</f>
        <v/>
      </c>
      <c r="AM230" s="10">
        <f>IF($Y230="서울병원",COUNTIF($Y$2:$Y230,"서울병원"),"")</f>
        <v/>
      </c>
      <c r="AN230" s="10">
        <f>IF(LEFT($Y230,1)="⚠",COUNTIF($Y$2:$Y230,"⚠*"),"")</f>
        <v/>
      </c>
      <c r="AO230" s="10">
        <f>IF(OR($B230="",$Y230=""),"",IF(IF(TRIM($J230&amp;"")="",0,SUMPRODUCT((입력_파견수련계획!$Q$4:$Q$803=TRIM($J230&amp;""))*입력_파견수련계획!$AD$4:$AD$803))&gt;0,"다기관 기간 → 소속병원 지급",IF(AND(N($X230)&lt;=0,$AQ230=""),"파견 없음 → 그 달 근무병원 지급",IF($AH230+$AI230=DAY(EOMONTH(출력_요약!$B$3,0)),"서울 "&amp;$AH230&amp;"일 / 구리 "&amp;$AI230&amp;"일"&amp;IF($AQ230&lt;&gt;""," (구리 근무자명단 반영)","")&amp;" → 15일 이상 근무 병원 지급","타 병원 포함 → "&amp;IF($AJ230="","소속",INDEX(입력_파견수련계획!$T$4:$T$803,$AJ230))&amp;" 규칙"))))</f>
        <v/>
      </c>
      <c r="AP230" s="10">
        <f>IF($B230="","",$C230&amp;"|"&amp;$F230)</f>
        <v/>
      </c>
      <c r="AQ230" s="10">
        <f>IF($B230="","",IFERROR(MATCH(ROW()-1,출력_구리근무자!$K$6:$K$305,0),""))</f>
        <v/>
      </c>
      <c r="AR230" s="10">
        <f>IF($AQ230="","",INDEX(출력_구리근무자!$H$6:$H$305,$AQ230))</f>
        <v/>
      </c>
    </row>
    <row r="231">
      <c r="A231" s="10">
        <f>IF(B231="","",ROW()-1)</f>
        <v/>
      </c>
      <c r="B231" s="19" t="n"/>
      <c r="C231" s="10">
        <f>IF($AB231="","",IF(INDEX(입력_기본자료!$C$2:$C$1001,$AB231)="","",INDEX(입력_기본자료!$C$2:$C$1001,$AB231)))</f>
        <v/>
      </c>
      <c r="D231" s="10">
        <f>IF($AB231="","",IF(INDEX(입력_기본자료!$J$2:$J$1001,$AB231)="","",INDEX(입력_기본자료!$J$2:$J$1001,$AB231)))</f>
        <v/>
      </c>
      <c r="E231" s="11">
        <f>IF($AB231="","",IF(INDEX(입력_기본자료!$K$2:$K$1001,$AB231)="","",IF(NOT(ISNUMBER(INDEX(입력_기본자료!$K$2:$K$1001,$AB231))),INDEX(입력_기본자료!$K$2:$K$1001,$AB231),IF(INDEX(입력_기본자료!$K$2:$K$1001,$AB231)&lt;1000000,INDEX(입력_기본자료!$K$2:$K$1001,$AB231),IF(AND(INDEX(입력_기본자료!$K$2:$K$1001,$AB231)&gt;=10000101,INT(MOD(INDEX(입력_기본자료!$K$2:$K$1001,$AB231),10000)/100)&gt;=1,INT(MOD(INDEX(입력_기본자료!$K$2:$K$1001,$AB231),10000)/100)&lt;=12,MOD(INDEX(입력_기본자료!$K$2:$K$1001,$AB231),100)&gt;=1,MOD(INDEX(입력_기본자료!$K$2:$K$1001,$AB231),100)&lt;=31),DATE(INT(INDEX(입력_기본자료!$K$2:$K$1001,$AB231)/10000),INT(MOD(INDEX(입력_기본자료!$K$2:$K$1001,$AB231),10000)/100),MOD(INDEX(입력_기본자료!$K$2:$K$1001,$AB231),100)),INDEX(입력_기본자료!$K$2:$K$1001,$AB231)&amp;"")))))</f>
        <v/>
      </c>
      <c r="F231" s="10">
        <f>IF($AB231="","",IF(INDEX(입력_기본자료!$D$2:$D$1001,$AB231)="","",INDEX(입력_기본자료!$D$2:$D$1001,$AB231)))</f>
        <v/>
      </c>
      <c r="G231" s="10">
        <f>IF($AB231="","",IF(INDEX(입력_기본자료!$E$2:$E$1001,$AB231)="","",INDEX(입력_기본자료!$E$2:$E$1001,$AB231)))</f>
        <v/>
      </c>
      <c r="H231" s="10">
        <f>IF($AB231="","",IF(INDEX(입력_기본자료!$F$2:$F$1001,$AB231)="","",INDEX(입력_기본자료!$F$2:$F$1001,$AB231)))</f>
        <v/>
      </c>
      <c r="I231" s="11">
        <f>IF($AB231="","",IF(INDEX(입력_기본자료!$G$2:$G$1001,$AB231)="","",IF(NOT(ISNUMBER(INDEX(입력_기본자료!$G$2:$G$1001,$AB231))),INDEX(입력_기본자료!$G$2:$G$1001,$AB231),IF(INDEX(입력_기본자료!$G$2:$G$1001,$AB231)&lt;1000000,INDEX(입력_기본자료!$G$2:$G$1001,$AB231),IF(AND(INDEX(입력_기본자료!$G$2:$G$1001,$AB231)&gt;=10000101,INT(MOD(INDEX(입력_기본자료!$G$2:$G$1001,$AB231),10000)/100)&gt;=1,INT(MOD(INDEX(입력_기본자료!$G$2:$G$1001,$AB231),10000)/100)&lt;=12,MOD(INDEX(입력_기본자료!$G$2:$G$1001,$AB231),100)&gt;=1,MOD(INDEX(입력_기본자료!$G$2:$G$1001,$AB231),100)&lt;=31),DATE(INT(INDEX(입력_기본자료!$G$2:$G$1001,$AB231)/10000),INT(MOD(INDEX(입력_기본자료!$G$2:$G$1001,$AB231),10000)/100),MOD(INDEX(입력_기본자료!$G$2:$G$1001,$AB231),100)),INDEX(입력_기본자료!$G$2:$G$1001,$AB231)&amp;"")))))</f>
        <v/>
      </c>
      <c r="J231" s="10">
        <f>IF($AB231="","",IF(INDEX(입력_기본자료!$H$2:$H$1001,$AB231)="","",INDEX(입력_기본자료!$H$2:$H$1001,$AB231)))</f>
        <v/>
      </c>
      <c r="K231" s="10">
        <f>IF($AB231="","",IF(INDEX(입력_기본자료!$I$2:$I$1001,$AB231)="","",INDEX(입력_기본자료!$I$2:$I$1001,$AB231)))</f>
        <v/>
      </c>
      <c r="L231" s="10">
        <f>IF($AB231="","",IF(INDEX(입력_기본자료!$A$2:$A$1001,$AB231)="","",INDEX(입력_기본자료!$A$2:$A$1001,$AB231)))</f>
        <v/>
      </c>
      <c r="M231" s="15" t="n"/>
      <c r="N231" s="10">
        <f>IF($B231="","",IF(AND($U231="파견중",$Q231&lt;&gt;""),$Q231,IF(AND($AD231&lt;&gt;"",LEFT($AD231,1)&lt;&gt;"⚠"),LEFT($AD231,FIND(" ",$AD231)-1),IF($H231="","",IF(RIGHT($H231,2)="병원",$H231,$H231&amp;"병원")))))</f>
        <v/>
      </c>
      <c r="O231" s="10">
        <f>IF($B231="","",IF(AND($U231="파견중",$Q231&lt;&gt;""),IF($R231&lt;&gt;"",$R231,"파견과 미입력"),IF(AND($AD231&lt;&gt;"",LEFT($AD231,1)&lt;&gt;"⚠"),MID($AD231,FIND(" ",$AD231)+1,60),IF($F231="","",IF($F231="인턴","수련교육부(인턴)",$F231)))))</f>
        <v/>
      </c>
      <c r="P231" s="10">
        <f>IF($B231="","",IF($AK231&lt;&gt;"",IF(AND(TODAY()&gt;=INDEX(입력_파견수련계획!$AB$4:$AB$803,$AK231),OR(NOT(ISNUMBER(INDEX(입력_파견수련계획!$AC$4:$AC$803,$AK231))),TODAY()&lt;=INDEX(입력_파견수련계획!$AC$4:$AC$803,$AK231))),"다기관",IF($AF231="","",INDEX(입력_파견수련계획!$T$4:$T$803,$AF231))),IF($AF231="","",INDEX(입력_파견수련계획!$T$4:$T$803,$AF231))))</f>
        <v/>
      </c>
      <c r="Q231" s="10">
        <f>IF($AF231="","",INDEX(입력_파견수련계획!$S$4:$S$803,$AF231))</f>
        <v/>
      </c>
      <c r="R231" s="10">
        <f>IF($AF231="","",INDEX(입력_파견수련계획!$U$4:$U$803,$AF231))</f>
        <v/>
      </c>
      <c r="S231" s="11">
        <f>IF($AF231="","",IF(INDEX(입력_파견수련계획!$H$4:$H$803,$AF231)="","",INDEX(입력_파견수련계획!$H$4:$H$803,$AF231)))</f>
        <v/>
      </c>
      <c r="T231" s="11">
        <f>IF($AF231="","",IF(INDEX(입력_파견수련계획!$I$4:$I$803,$AF231)="","",INDEX(입력_파견수련계획!$I$4:$I$803,$AF231)))</f>
        <v/>
      </c>
      <c r="U231" s="10">
        <f>IF($AF231="","",INDEX(입력_파견수련계획!$X$4:$X$803,$AF231))</f>
        <v/>
      </c>
      <c r="V231" s="17">
        <f>IF($AF231="","",INDEX(입력_파견수련계획!$V$4:$V$803,$AF231))</f>
        <v/>
      </c>
      <c r="W231" s="17">
        <f>IF(AND($U231="파견중",$T231&lt;&gt;""),$T231-TODAY(),"")</f>
        <v/>
      </c>
      <c r="X231" s="17">
        <f>IF(OR($B231="",TRIM($J231&amp;"")=""),"",SUMPRODUCT((입력_파견수련계획!$Q$4:$Q$803=TRIM($J231&amp;""))*입력_파견수련계획!$W$4:$W$803))</f>
        <v/>
      </c>
      <c r="Y231" s="10">
        <f>IF($B231="","",IF($AG231="","",IF(IF(TRIM($J231&amp;"")="",0,SUMPRODUCT((입력_파견수련계획!$Q$4:$Q$803=TRIM($J231&amp;""))*입력_파견수련계획!$AD$4:$AD$803))&gt;0,$AE231,IF(AND(N($X231)&lt;=0,$AQ231=""),$AG231,IF($AH231+$AI231=DAY(EOMONTH(출력_요약!$B$3,0)),IF(AND($AH231&gt;=출력_요약!$E$3,$AI231&lt;출력_요약!$E$3),"서울병원",IF(AND($AI231&gt;=출력_요약!$E$3,$AH231&lt;출력_요약!$E$3),"구리병원","⚠15일 판정불가(서울 "&amp;$AH231&amp;"일/구리 "&amp;$AI231&amp;"일)")),IF($AJ231="",$AE231,IF(INDEX(입력_파견수련계획!$T$4:$T$803,$AJ231)="통합수련",INDEX(입력_파견수련계획!$S$4:$S$803,$AJ231),$AE231)))))))</f>
        <v/>
      </c>
      <c r="Z231" s="20">
        <f>IF($B231="","",IF($AB231="","기본자료에 없는 사번",IF(COUNTIF($B$2:$B$401,$B231)&gt;1,"중복 사번",IF($AE231="","소속(입사장소) 입력",IF(IF(TRIM($J231&amp;"")="",0,SUMPRODUCT((입력_파견수련계획!$Q$4:$Q$803=TRIM($J231&amp;""))*(입력_파견수련계획!$AA$4:$AA$803&lt;&gt;"")))&gt;0,"파견수련계획 입력오류 확인",IF(LEFT($Y231,1)="⚠","서울·구리 15일 판정 불가(양쪽 모두 이상/미만)",IF(IF($AC231="",0,N(INDEX(입력_인턴근무계획!$T$3:$T$402,$AC231)))&gt;0,"인턴계획 입력오류 확인",IF(AND($AQ231&lt;&gt;"",$AG231&lt;&gt;"구리병원",IF(TRIM($J231&amp;"")="",0,SUMPRODUCT((입력_파견수련계획!$Q$4:$Q$803=TRIM($J231&amp;""))*(입력_파견수련계획!$S$4:$S$803="구리병원")*입력_파견수련계획!$W$4:$W$803))=0),"구리 근무자명단에만 있음(파견수련계획 확인)",IF(AND($AC231&lt;&gt;"",$U231&lt;&gt;"파견중",$N231&lt;&gt;$AE231),"인턴 타지역 근무: 파견 여부 확인","정상")))))))))</f>
        <v/>
      </c>
      <c r="AA231" s="5" t="n"/>
      <c r="AB231" s="10">
        <f>IF($B231="","",IFERROR(MATCH($B231,입력_기본자료!$B$2:$B$1001,0),IFERROR(MATCH($B231&amp;"",입력_기본자료!$B$2:$B$1001,0),IFERROR(MATCH(VALUE($B231),입력_기본자료!$B$2:$B$1001,0),""))))</f>
        <v/>
      </c>
      <c r="AC231" s="10">
        <f>IF($B231="","",IFERROR(MATCH($B231,입력_인턴근무계획!$D$3:$D$402,0),IFERROR(MATCH($B231&amp;"",입력_인턴근무계획!$D$3:$D$402,0),IFERROR(MATCH(VALUE($B231),입력_인턴근무계획!$D$3:$D$402,0),""))))</f>
        <v/>
      </c>
      <c r="AD231" s="10">
        <f>IF(OR($AC231="",출력_인턴현황!$G$3=""),"",INDEX(입력_인턴근무계획!$M$3:$R$402,$AC231,출력_인턴현황!$G$3)&amp;"")</f>
        <v/>
      </c>
      <c r="AE231" s="10">
        <f>IF($B231="","",IF($M231&lt;&gt;"",$M231,IF(IF($AQ231="",FALSE,INDEX(출력_구리근무자!$J$6:$J$305,$AQ231)="구리독자"),"구리병원",IF($AF231&lt;&gt;"",IF(LEFT(INDEX(입력_파견수련계획!$R$4:$R$803,$AF231),1)&lt;&gt;"⚠",INDEX(입력_파견수련계획!$R$4:$R$803,$AF231),IF($H231="","",IF(RIGHT($H231,2)="병원",$H231,$H231&amp;"병원"))),IF($H231="","",IF(RIGHT($H231,2)="병원",$H231,$H231&amp;"병원"))))))</f>
        <v/>
      </c>
      <c r="AF231" s="10">
        <f>IF(OR($B231="",TRIM($J231&amp;"")=""),"",IFERROR(MATCH(TRIM($J231&amp;"")&amp;"|파견중",입력_파견수련계획!$Y$4:$Y$803,0),IFERROR(MATCH(TRIM($J231&amp;"")&amp;"|파견예정",입력_파견수련계획!$Y$4:$Y$803,0),IFERROR(MATCH(TRIM($J231&amp;"")&amp;"|파견종료",입력_파견수련계획!$Y$4:$Y$803,0),""))))</f>
        <v/>
      </c>
      <c r="AG231" s="10">
        <f>IF($B231="","",IF(AND(IF(OR($AC231="",출력_인턴현황!$K$2=""),"",INDEX(입력_인턴근무계획!$M$3:$R$402,$AC231,출력_인턴현황!$K$2)&amp;"")&lt;&gt;"",LEFT(IF(OR($AC231="",출력_인턴현황!$K$2=""),"",INDEX(입력_인턴근무계획!$M$3:$R$402,$AC231,출력_인턴현황!$K$2)&amp;""),1)&lt;&gt;"⚠"),LEFT(IF(OR($AC231="",출력_인턴현황!$K$2=""),"",INDEX(입력_인턴근무계획!$M$3:$R$402,$AC231,출력_인턴현황!$K$2)&amp;""),FIND(" ",IF(OR($AC231="",출력_인턴현황!$K$2=""),"",INDEX(입력_인턴근무계획!$M$3:$R$402,$AC231,출력_인턴현황!$K$2)&amp;""))-1),$AE231))</f>
        <v/>
      </c>
      <c r="AH231" s="17">
        <f>IF($B231="","",IF($AQ231&lt;&gt;"",MAX(0,DAY(EOMONTH(출력_요약!$B$3,0))-N($AR231)),IF(TRIM($J231&amp;"")="",0,SUMPRODUCT((입력_파견수련계획!$Q$4:$Q$803=TRIM($J231&amp;""))*(입력_파견수련계획!$S$4:$S$803="서울병원")*입력_파견수련계획!$W$4:$W$803))+IF($AG231="서울병원",MAX(0,DAY(EOMONTH(출력_요약!$B$3,0))-N($X231)),0)))</f>
        <v/>
      </c>
      <c r="AI231" s="17">
        <f>IF($B231="","",IF($AQ231&lt;&gt;"",N($AR231),IF(TRIM($J231&amp;"")="",0,SUMPRODUCT((입력_파견수련계획!$Q$4:$Q$803=TRIM($J231&amp;""))*(입력_파견수련계획!$S$4:$S$803="구리병원")*입력_파견수련계획!$W$4:$W$803))+IF($AG231="구리병원",MAX(0,DAY(EOMONTH(출력_요약!$B$3,0))-N($X231)),0)))</f>
        <v/>
      </c>
      <c r="AJ231" s="10">
        <f>IF(OR($B231="",TRIM($J231&amp;"")=""),"",IFERROR(MATCH(TRIM($J231&amp;"")&amp;"|월",입력_파견수련계획!$Z$4:$Z$803,0),""))</f>
        <v/>
      </c>
      <c r="AK231" s="10">
        <f>IF(OR($B231="",TRIM($J231&amp;"")=""),"",IFERROR(MATCH(TRIM($J231&amp;"")&amp;"|다기관",입력_파견수련계획!$AE$4:$AE$803,0),""))</f>
        <v/>
      </c>
      <c r="AL231" s="10">
        <f>IF($AK231="","","다기관 "&amp;TEXT(INDEX(입력_파견수련계획!$AB$4:$AB$803,$AK231),"yyyy-mm-dd")&amp;"~"&amp;IF(ISNUMBER(INDEX(입력_파견수련계획!$AC$4:$AC$803,$AK231)),TEXT(INDEX(입력_파견수련계획!$AC$4:$AC$803,$AK231),"yyyy-mm-dd"),""))</f>
        <v/>
      </c>
      <c r="AM231" s="10">
        <f>IF($Y231="서울병원",COUNTIF($Y$2:$Y231,"서울병원"),"")</f>
        <v/>
      </c>
      <c r="AN231" s="10">
        <f>IF(LEFT($Y231,1)="⚠",COUNTIF($Y$2:$Y231,"⚠*"),"")</f>
        <v/>
      </c>
      <c r="AO231" s="10">
        <f>IF(OR($B231="",$Y231=""),"",IF(IF(TRIM($J231&amp;"")="",0,SUMPRODUCT((입력_파견수련계획!$Q$4:$Q$803=TRIM($J231&amp;""))*입력_파견수련계획!$AD$4:$AD$803))&gt;0,"다기관 기간 → 소속병원 지급",IF(AND(N($X231)&lt;=0,$AQ231=""),"파견 없음 → 그 달 근무병원 지급",IF($AH231+$AI231=DAY(EOMONTH(출력_요약!$B$3,0)),"서울 "&amp;$AH231&amp;"일 / 구리 "&amp;$AI231&amp;"일"&amp;IF($AQ231&lt;&gt;""," (구리 근무자명단 반영)","")&amp;" → 15일 이상 근무 병원 지급","타 병원 포함 → "&amp;IF($AJ231="","소속",INDEX(입력_파견수련계획!$T$4:$T$803,$AJ231))&amp;" 규칙"))))</f>
        <v/>
      </c>
      <c r="AP231" s="10">
        <f>IF($B231="","",$C231&amp;"|"&amp;$F231)</f>
        <v/>
      </c>
      <c r="AQ231" s="10">
        <f>IF($B231="","",IFERROR(MATCH(ROW()-1,출력_구리근무자!$K$6:$K$305,0),""))</f>
        <v/>
      </c>
      <c r="AR231" s="10">
        <f>IF($AQ231="","",INDEX(출력_구리근무자!$H$6:$H$305,$AQ231))</f>
        <v/>
      </c>
    </row>
    <row r="232">
      <c r="A232" s="10">
        <f>IF(B232="","",ROW()-1)</f>
        <v/>
      </c>
      <c r="B232" s="19" t="n"/>
      <c r="C232" s="10">
        <f>IF($AB232="","",IF(INDEX(입력_기본자료!$C$2:$C$1001,$AB232)="","",INDEX(입력_기본자료!$C$2:$C$1001,$AB232)))</f>
        <v/>
      </c>
      <c r="D232" s="10">
        <f>IF($AB232="","",IF(INDEX(입력_기본자료!$J$2:$J$1001,$AB232)="","",INDEX(입력_기본자료!$J$2:$J$1001,$AB232)))</f>
        <v/>
      </c>
      <c r="E232" s="11">
        <f>IF($AB232="","",IF(INDEX(입력_기본자료!$K$2:$K$1001,$AB232)="","",IF(NOT(ISNUMBER(INDEX(입력_기본자료!$K$2:$K$1001,$AB232))),INDEX(입력_기본자료!$K$2:$K$1001,$AB232),IF(INDEX(입력_기본자료!$K$2:$K$1001,$AB232)&lt;1000000,INDEX(입력_기본자료!$K$2:$K$1001,$AB232),IF(AND(INDEX(입력_기본자료!$K$2:$K$1001,$AB232)&gt;=10000101,INT(MOD(INDEX(입력_기본자료!$K$2:$K$1001,$AB232),10000)/100)&gt;=1,INT(MOD(INDEX(입력_기본자료!$K$2:$K$1001,$AB232),10000)/100)&lt;=12,MOD(INDEX(입력_기본자료!$K$2:$K$1001,$AB232),100)&gt;=1,MOD(INDEX(입력_기본자료!$K$2:$K$1001,$AB232),100)&lt;=31),DATE(INT(INDEX(입력_기본자료!$K$2:$K$1001,$AB232)/10000),INT(MOD(INDEX(입력_기본자료!$K$2:$K$1001,$AB232),10000)/100),MOD(INDEX(입력_기본자료!$K$2:$K$1001,$AB232),100)),INDEX(입력_기본자료!$K$2:$K$1001,$AB232)&amp;"")))))</f>
        <v/>
      </c>
      <c r="F232" s="10">
        <f>IF($AB232="","",IF(INDEX(입력_기본자료!$D$2:$D$1001,$AB232)="","",INDEX(입력_기본자료!$D$2:$D$1001,$AB232)))</f>
        <v/>
      </c>
      <c r="G232" s="10">
        <f>IF($AB232="","",IF(INDEX(입력_기본자료!$E$2:$E$1001,$AB232)="","",INDEX(입력_기본자료!$E$2:$E$1001,$AB232)))</f>
        <v/>
      </c>
      <c r="H232" s="10">
        <f>IF($AB232="","",IF(INDEX(입력_기본자료!$F$2:$F$1001,$AB232)="","",INDEX(입력_기본자료!$F$2:$F$1001,$AB232)))</f>
        <v/>
      </c>
      <c r="I232" s="11">
        <f>IF($AB232="","",IF(INDEX(입력_기본자료!$G$2:$G$1001,$AB232)="","",IF(NOT(ISNUMBER(INDEX(입력_기본자료!$G$2:$G$1001,$AB232))),INDEX(입력_기본자료!$G$2:$G$1001,$AB232),IF(INDEX(입력_기본자료!$G$2:$G$1001,$AB232)&lt;1000000,INDEX(입력_기본자료!$G$2:$G$1001,$AB232),IF(AND(INDEX(입력_기본자료!$G$2:$G$1001,$AB232)&gt;=10000101,INT(MOD(INDEX(입력_기본자료!$G$2:$G$1001,$AB232),10000)/100)&gt;=1,INT(MOD(INDEX(입력_기본자료!$G$2:$G$1001,$AB232),10000)/100)&lt;=12,MOD(INDEX(입력_기본자료!$G$2:$G$1001,$AB232),100)&gt;=1,MOD(INDEX(입력_기본자료!$G$2:$G$1001,$AB232),100)&lt;=31),DATE(INT(INDEX(입력_기본자료!$G$2:$G$1001,$AB232)/10000),INT(MOD(INDEX(입력_기본자료!$G$2:$G$1001,$AB232),10000)/100),MOD(INDEX(입력_기본자료!$G$2:$G$1001,$AB232),100)),INDEX(입력_기본자료!$G$2:$G$1001,$AB232)&amp;"")))))</f>
        <v/>
      </c>
      <c r="J232" s="10">
        <f>IF($AB232="","",IF(INDEX(입력_기본자료!$H$2:$H$1001,$AB232)="","",INDEX(입력_기본자료!$H$2:$H$1001,$AB232)))</f>
        <v/>
      </c>
      <c r="K232" s="10">
        <f>IF($AB232="","",IF(INDEX(입력_기본자료!$I$2:$I$1001,$AB232)="","",INDEX(입력_기본자료!$I$2:$I$1001,$AB232)))</f>
        <v/>
      </c>
      <c r="L232" s="10">
        <f>IF($AB232="","",IF(INDEX(입력_기본자료!$A$2:$A$1001,$AB232)="","",INDEX(입력_기본자료!$A$2:$A$1001,$AB232)))</f>
        <v/>
      </c>
      <c r="M232" s="15" t="n"/>
      <c r="N232" s="10">
        <f>IF($B232="","",IF(AND($U232="파견중",$Q232&lt;&gt;""),$Q232,IF(AND($AD232&lt;&gt;"",LEFT($AD232,1)&lt;&gt;"⚠"),LEFT($AD232,FIND(" ",$AD232)-1),IF($H232="","",IF(RIGHT($H232,2)="병원",$H232,$H232&amp;"병원")))))</f>
        <v/>
      </c>
      <c r="O232" s="10">
        <f>IF($B232="","",IF(AND($U232="파견중",$Q232&lt;&gt;""),IF($R232&lt;&gt;"",$R232,"파견과 미입력"),IF(AND($AD232&lt;&gt;"",LEFT($AD232,1)&lt;&gt;"⚠"),MID($AD232,FIND(" ",$AD232)+1,60),IF($F232="","",IF($F232="인턴","수련교육부(인턴)",$F232)))))</f>
        <v/>
      </c>
      <c r="P232" s="10">
        <f>IF($B232="","",IF($AK232&lt;&gt;"",IF(AND(TODAY()&gt;=INDEX(입력_파견수련계획!$AB$4:$AB$803,$AK232),OR(NOT(ISNUMBER(INDEX(입력_파견수련계획!$AC$4:$AC$803,$AK232))),TODAY()&lt;=INDEX(입력_파견수련계획!$AC$4:$AC$803,$AK232))),"다기관",IF($AF232="","",INDEX(입력_파견수련계획!$T$4:$T$803,$AF232))),IF($AF232="","",INDEX(입력_파견수련계획!$T$4:$T$803,$AF232))))</f>
        <v/>
      </c>
      <c r="Q232" s="10">
        <f>IF($AF232="","",INDEX(입력_파견수련계획!$S$4:$S$803,$AF232))</f>
        <v/>
      </c>
      <c r="R232" s="10">
        <f>IF($AF232="","",INDEX(입력_파견수련계획!$U$4:$U$803,$AF232))</f>
        <v/>
      </c>
      <c r="S232" s="11">
        <f>IF($AF232="","",IF(INDEX(입력_파견수련계획!$H$4:$H$803,$AF232)="","",INDEX(입력_파견수련계획!$H$4:$H$803,$AF232)))</f>
        <v/>
      </c>
      <c r="T232" s="11">
        <f>IF($AF232="","",IF(INDEX(입력_파견수련계획!$I$4:$I$803,$AF232)="","",INDEX(입력_파견수련계획!$I$4:$I$803,$AF232)))</f>
        <v/>
      </c>
      <c r="U232" s="10">
        <f>IF($AF232="","",INDEX(입력_파견수련계획!$X$4:$X$803,$AF232))</f>
        <v/>
      </c>
      <c r="V232" s="17">
        <f>IF($AF232="","",INDEX(입력_파견수련계획!$V$4:$V$803,$AF232))</f>
        <v/>
      </c>
      <c r="W232" s="17">
        <f>IF(AND($U232="파견중",$T232&lt;&gt;""),$T232-TODAY(),"")</f>
        <v/>
      </c>
      <c r="X232" s="17">
        <f>IF(OR($B232="",TRIM($J232&amp;"")=""),"",SUMPRODUCT((입력_파견수련계획!$Q$4:$Q$803=TRIM($J232&amp;""))*입력_파견수련계획!$W$4:$W$803))</f>
        <v/>
      </c>
      <c r="Y232" s="10">
        <f>IF($B232="","",IF($AG232="","",IF(IF(TRIM($J232&amp;"")="",0,SUMPRODUCT((입력_파견수련계획!$Q$4:$Q$803=TRIM($J232&amp;""))*입력_파견수련계획!$AD$4:$AD$803))&gt;0,$AE232,IF(AND(N($X232)&lt;=0,$AQ232=""),$AG232,IF($AH232+$AI232=DAY(EOMONTH(출력_요약!$B$3,0)),IF(AND($AH232&gt;=출력_요약!$E$3,$AI232&lt;출력_요약!$E$3),"서울병원",IF(AND($AI232&gt;=출력_요약!$E$3,$AH232&lt;출력_요약!$E$3),"구리병원","⚠15일 판정불가(서울 "&amp;$AH232&amp;"일/구리 "&amp;$AI232&amp;"일)")),IF($AJ232="",$AE232,IF(INDEX(입력_파견수련계획!$T$4:$T$803,$AJ232)="통합수련",INDEX(입력_파견수련계획!$S$4:$S$803,$AJ232),$AE232)))))))</f>
        <v/>
      </c>
      <c r="Z232" s="20">
        <f>IF($B232="","",IF($AB232="","기본자료에 없는 사번",IF(COUNTIF($B$2:$B$401,$B232)&gt;1,"중복 사번",IF($AE232="","소속(입사장소) 입력",IF(IF(TRIM($J232&amp;"")="",0,SUMPRODUCT((입력_파견수련계획!$Q$4:$Q$803=TRIM($J232&amp;""))*(입력_파견수련계획!$AA$4:$AA$803&lt;&gt;"")))&gt;0,"파견수련계획 입력오류 확인",IF(LEFT($Y232,1)="⚠","서울·구리 15일 판정 불가(양쪽 모두 이상/미만)",IF(IF($AC232="",0,N(INDEX(입력_인턴근무계획!$T$3:$T$402,$AC232)))&gt;0,"인턴계획 입력오류 확인",IF(AND($AQ232&lt;&gt;"",$AG232&lt;&gt;"구리병원",IF(TRIM($J232&amp;"")="",0,SUMPRODUCT((입력_파견수련계획!$Q$4:$Q$803=TRIM($J232&amp;""))*(입력_파견수련계획!$S$4:$S$803="구리병원")*입력_파견수련계획!$W$4:$W$803))=0),"구리 근무자명단에만 있음(파견수련계획 확인)",IF(AND($AC232&lt;&gt;"",$U232&lt;&gt;"파견중",$N232&lt;&gt;$AE232),"인턴 타지역 근무: 파견 여부 확인","정상")))))))))</f>
        <v/>
      </c>
      <c r="AA232" s="5" t="n"/>
      <c r="AB232" s="10">
        <f>IF($B232="","",IFERROR(MATCH($B232,입력_기본자료!$B$2:$B$1001,0),IFERROR(MATCH($B232&amp;"",입력_기본자료!$B$2:$B$1001,0),IFERROR(MATCH(VALUE($B232),입력_기본자료!$B$2:$B$1001,0),""))))</f>
        <v/>
      </c>
      <c r="AC232" s="10">
        <f>IF($B232="","",IFERROR(MATCH($B232,입력_인턴근무계획!$D$3:$D$402,0),IFERROR(MATCH($B232&amp;"",입력_인턴근무계획!$D$3:$D$402,0),IFERROR(MATCH(VALUE($B232),입력_인턴근무계획!$D$3:$D$402,0),""))))</f>
        <v/>
      </c>
      <c r="AD232" s="10">
        <f>IF(OR($AC232="",출력_인턴현황!$G$3=""),"",INDEX(입력_인턴근무계획!$M$3:$R$402,$AC232,출력_인턴현황!$G$3)&amp;"")</f>
        <v/>
      </c>
      <c r="AE232" s="10">
        <f>IF($B232="","",IF($M232&lt;&gt;"",$M232,IF(IF($AQ232="",FALSE,INDEX(출력_구리근무자!$J$6:$J$305,$AQ232)="구리독자"),"구리병원",IF($AF232&lt;&gt;"",IF(LEFT(INDEX(입력_파견수련계획!$R$4:$R$803,$AF232),1)&lt;&gt;"⚠",INDEX(입력_파견수련계획!$R$4:$R$803,$AF232),IF($H232="","",IF(RIGHT($H232,2)="병원",$H232,$H232&amp;"병원"))),IF($H232="","",IF(RIGHT($H232,2)="병원",$H232,$H232&amp;"병원"))))))</f>
        <v/>
      </c>
      <c r="AF232" s="10">
        <f>IF(OR($B232="",TRIM($J232&amp;"")=""),"",IFERROR(MATCH(TRIM($J232&amp;"")&amp;"|파견중",입력_파견수련계획!$Y$4:$Y$803,0),IFERROR(MATCH(TRIM($J232&amp;"")&amp;"|파견예정",입력_파견수련계획!$Y$4:$Y$803,0),IFERROR(MATCH(TRIM($J232&amp;"")&amp;"|파견종료",입력_파견수련계획!$Y$4:$Y$803,0),""))))</f>
        <v/>
      </c>
      <c r="AG232" s="10">
        <f>IF($B232="","",IF(AND(IF(OR($AC232="",출력_인턴현황!$K$2=""),"",INDEX(입력_인턴근무계획!$M$3:$R$402,$AC232,출력_인턴현황!$K$2)&amp;"")&lt;&gt;"",LEFT(IF(OR($AC232="",출력_인턴현황!$K$2=""),"",INDEX(입력_인턴근무계획!$M$3:$R$402,$AC232,출력_인턴현황!$K$2)&amp;""),1)&lt;&gt;"⚠"),LEFT(IF(OR($AC232="",출력_인턴현황!$K$2=""),"",INDEX(입력_인턴근무계획!$M$3:$R$402,$AC232,출력_인턴현황!$K$2)&amp;""),FIND(" ",IF(OR($AC232="",출력_인턴현황!$K$2=""),"",INDEX(입력_인턴근무계획!$M$3:$R$402,$AC232,출력_인턴현황!$K$2)&amp;""))-1),$AE232))</f>
        <v/>
      </c>
      <c r="AH232" s="17">
        <f>IF($B232="","",IF($AQ232&lt;&gt;"",MAX(0,DAY(EOMONTH(출력_요약!$B$3,0))-N($AR232)),IF(TRIM($J232&amp;"")="",0,SUMPRODUCT((입력_파견수련계획!$Q$4:$Q$803=TRIM($J232&amp;""))*(입력_파견수련계획!$S$4:$S$803="서울병원")*입력_파견수련계획!$W$4:$W$803))+IF($AG232="서울병원",MAX(0,DAY(EOMONTH(출력_요약!$B$3,0))-N($X232)),0)))</f>
        <v/>
      </c>
      <c r="AI232" s="17">
        <f>IF($B232="","",IF($AQ232&lt;&gt;"",N($AR232),IF(TRIM($J232&amp;"")="",0,SUMPRODUCT((입력_파견수련계획!$Q$4:$Q$803=TRIM($J232&amp;""))*(입력_파견수련계획!$S$4:$S$803="구리병원")*입력_파견수련계획!$W$4:$W$803))+IF($AG232="구리병원",MAX(0,DAY(EOMONTH(출력_요약!$B$3,0))-N($X232)),0)))</f>
        <v/>
      </c>
      <c r="AJ232" s="10">
        <f>IF(OR($B232="",TRIM($J232&amp;"")=""),"",IFERROR(MATCH(TRIM($J232&amp;"")&amp;"|월",입력_파견수련계획!$Z$4:$Z$803,0),""))</f>
        <v/>
      </c>
      <c r="AK232" s="10">
        <f>IF(OR($B232="",TRIM($J232&amp;"")=""),"",IFERROR(MATCH(TRIM($J232&amp;"")&amp;"|다기관",입력_파견수련계획!$AE$4:$AE$803,0),""))</f>
        <v/>
      </c>
      <c r="AL232" s="10">
        <f>IF($AK232="","","다기관 "&amp;TEXT(INDEX(입력_파견수련계획!$AB$4:$AB$803,$AK232),"yyyy-mm-dd")&amp;"~"&amp;IF(ISNUMBER(INDEX(입력_파견수련계획!$AC$4:$AC$803,$AK232)),TEXT(INDEX(입력_파견수련계획!$AC$4:$AC$803,$AK232),"yyyy-mm-dd"),""))</f>
        <v/>
      </c>
      <c r="AM232" s="10">
        <f>IF($Y232="서울병원",COUNTIF($Y$2:$Y232,"서울병원"),"")</f>
        <v/>
      </c>
      <c r="AN232" s="10">
        <f>IF(LEFT($Y232,1)="⚠",COUNTIF($Y$2:$Y232,"⚠*"),"")</f>
        <v/>
      </c>
      <c r="AO232" s="10">
        <f>IF(OR($B232="",$Y232=""),"",IF(IF(TRIM($J232&amp;"")="",0,SUMPRODUCT((입력_파견수련계획!$Q$4:$Q$803=TRIM($J232&amp;""))*입력_파견수련계획!$AD$4:$AD$803))&gt;0,"다기관 기간 → 소속병원 지급",IF(AND(N($X232)&lt;=0,$AQ232=""),"파견 없음 → 그 달 근무병원 지급",IF($AH232+$AI232=DAY(EOMONTH(출력_요약!$B$3,0)),"서울 "&amp;$AH232&amp;"일 / 구리 "&amp;$AI232&amp;"일"&amp;IF($AQ232&lt;&gt;""," (구리 근무자명단 반영)","")&amp;" → 15일 이상 근무 병원 지급","타 병원 포함 → "&amp;IF($AJ232="","소속",INDEX(입력_파견수련계획!$T$4:$T$803,$AJ232))&amp;" 규칙"))))</f>
        <v/>
      </c>
      <c r="AP232" s="10">
        <f>IF($B232="","",$C232&amp;"|"&amp;$F232)</f>
        <v/>
      </c>
      <c r="AQ232" s="10">
        <f>IF($B232="","",IFERROR(MATCH(ROW()-1,출력_구리근무자!$K$6:$K$305,0),""))</f>
        <v/>
      </c>
      <c r="AR232" s="10">
        <f>IF($AQ232="","",INDEX(출력_구리근무자!$H$6:$H$305,$AQ232))</f>
        <v/>
      </c>
    </row>
    <row r="233">
      <c r="A233" s="10">
        <f>IF(B233="","",ROW()-1)</f>
        <v/>
      </c>
      <c r="B233" s="19" t="n"/>
      <c r="C233" s="10">
        <f>IF($AB233="","",IF(INDEX(입력_기본자료!$C$2:$C$1001,$AB233)="","",INDEX(입력_기본자료!$C$2:$C$1001,$AB233)))</f>
        <v/>
      </c>
      <c r="D233" s="10">
        <f>IF($AB233="","",IF(INDEX(입력_기본자료!$J$2:$J$1001,$AB233)="","",INDEX(입력_기본자료!$J$2:$J$1001,$AB233)))</f>
        <v/>
      </c>
      <c r="E233" s="11">
        <f>IF($AB233="","",IF(INDEX(입력_기본자료!$K$2:$K$1001,$AB233)="","",IF(NOT(ISNUMBER(INDEX(입력_기본자료!$K$2:$K$1001,$AB233))),INDEX(입력_기본자료!$K$2:$K$1001,$AB233),IF(INDEX(입력_기본자료!$K$2:$K$1001,$AB233)&lt;1000000,INDEX(입력_기본자료!$K$2:$K$1001,$AB233),IF(AND(INDEX(입력_기본자료!$K$2:$K$1001,$AB233)&gt;=10000101,INT(MOD(INDEX(입력_기본자료!$K$2:$K$1001,$AB233),10000)/100)&gt;=1,INT(MOD(INDEX(입력_기본자료!$K$2:$K$1001,$AB233),10000)/100)&lt;=12,MOD(INDEX(입력_기본자료!$K$2:$K$1001,$AB233),100)&gt;=1,MOD(INDEX(입력_기본자료!$K$2:$K$1001,$AB233),100)&lt;=31),DATE(INT(INDEX(입력_기본자료!$K$2:$K$1001,$AB233)/10000),INT(MOD(INDEX(입력_기본자료!$K$2:$K$1001,$AB233),10000)/100),MOD(INDEX(입력_기본자료!$K$2:$K$1001,$AB233),100)),INDEX(입력_기본자료!$K$2:$K$1001,$AB233)&amp;"")))))</f>
        <v/>
      </c>
      <c r="F233" s="10">
        <f>IF($AB233="","",IF(INDEX(입력_기본자료!$D$2:$D$1001,$AB233)="","",INDEX(입력_기본자료!$D$2:$D$1001,$AB233)))</f>
        <v/>
      </c>
      <c r="G233" s="10">
        <f>IF($AB233="","",IF(INDEX(입력_기본자료!$E$2:$E$1001,$AB233)="","",INDEX(입력_기본자료!$E$2:$E$1001,$AB233)))</f>
        <v/>
      </c>
      <c r="H233" s="10">
        <f>IF($AB233="","",IF(INDEX(입력_기본자료!$F$2:$F$1001,$AB233)="","",INDEX(입력_기본자료!$F$2:$F$1001,$AB233)))</f>
        <v/>
      </c>
      <c r="I233" s="11">
        <f>IF($AB233="","",IF(INDEX(입력_기본자료!$G$2:$G$1001,$AB233)="","",IF(NOT(ISNUMBER(INDEX(입력_기본자료!$G$2:$G$1001,$AB233))),INDEX(입력_기본자료!$G$2:$G$1001,$AB233),IF(INDEX(입력_기본자료!$G$2:$G$1001,$AB233)&lt;1000000,INDEX(입력_기본자료!$G$2:$G$1001,$AB233),IF(AND(INDEX(입력_기본자료!$G$2:$G$1001,$AB233)&gt;=10000101,INT(MOD(INDEX(입력_기본자료!$G$2:$G$1001,$AB233),10000)/100)&gt;=1,INT(MOD(INDEX(입력_기본자료!$G$2:$G$1001,$AB233),10000)/100)&lt;=12,MOD(INDEX(입력_기본자료!$G$2:$G$1001,$AB233),100)&gt;=1,MOD(INDEX(입력_기본자료!$G$2:$G$1001,$AB233),100)&lt;=31),DATE(INT(INDEX(입력_기본자료!$G$2:$G$1001,$AB233)/10000),INT(MOD(INDEX(입력_기본자료!$G$2:$G$1001,$AB233),10000)/100),MOD(INDEX(입력_기본자료!$G$2:$G$1001,$AB233),100)),INDEX(입력_기본자료!$G$2:$G$1001,$AB233)&amp;"")))))</f>
        <v/>
      </c>
      <c r="J233" s="10">
        <f>IF($AB233="","",IF(INDEX(입력_기본자료!$H$2:$H$1001,$AB233)="","",INDEX(입력_기본자료!$H$2:$H$1001,$AB233)))</f>
        <v/>
      </c>
      <c r="K233" s="10">
        <f>IF($AB233="","",IF(INDEX(입력_기본자료!$I$2:$I$1001,$AB233)="","",INDEX(입력_기본자료!$I$2:$I$1001,$AB233)))</f>
        <v/>
      </c>
      <c r="L233" s="10">
        <f>IF($AB233="","",IF(INDEX(입력_기본자료!$A$2:$A$1001,$AB233)="","",INDEX(입력_기본자료!$A$2:$A$1001,$AB233)))</f>
        <v/>
      </c>
      <c r="M233" s="15" t="n"/>
      <c r="N233" s="10">
        <f>IF($B233="","",IF(AND($U233="파견중",$Q233&lt;&gt;""),$Q233,IF(AND($AD233&lt;&gt;"",LEFT($AD233,1)&lt;&gt;"⚠"),LEFT($AD233,FIND(" ",$AD233)-1),IF($H233="","",IF(RIGHT($H233,2)="병원",$H233,$H233&amp;"병원")))))</f>
        <v/>
      </c>
      <c r="O233" s="10">
        <f>IF($B233="","",IF(AND($U233="파견중",$Q233&lt;&gt;""),IF($R233&lt;&gt;"",$R233,"파견과 미입력"),IF(AND($AD233&lt;&gt;"",LEFT($AD233,1)&lt;&gt;"⚠"),MID($AD233,FIND(" ",$AD233)+1,60),IF($F233="","",IF($F233="인턴","수련교육부(인턴)",$F233)))))</f>
        <v/>
      </c>
      <c r="P233" s="10">
        <f>IF($B233="","",IF($AK233&lt;&gt;"",IF(AND(TODAY()&gt;=INDEX(입력_파견수련계획!$AB$4:$AB$803,$AK233),OR(NOT(ISNUMBER(INDEX(입력_파견수련계획!$AC$4:$AC$803,$AK233))),TODAY()&lt;=INDEX(입력_파견수련계획!$AC$4:$AC$803,$AK233))),"다기관",IF($AF233="","",INDEX(입력_파견수련계획!$T$4:$T$803,$AF233))),IF($AF233="","",INDEX(입력_파견수련계획!$T$4:$T$803,$AF233))))</f>
        <v/>
      </c>
      <c r="Q233" s="10">
        <f>IF($AF233="","",INDEX(입력_파견수련계획!$S$4:$S$803,$AF233))</f>
        <v/>
      </c>
      <c r="R233" s="10">
        <f>IF($AF233="","",INDEX(입력_파견수련계획!$U$4:$U$803,$AF233))</f>
        <v/>
      </c>
      <c r="S233" s="11">
        <f>IF($AF233="","",IF(INDEX(입력_파견수련계획!$H$4:$H$803,$AF233)="","",INDEX(입력_파견수련계획!$H$4:$H$803,$AF233)))</f>
        <v/>
      </c>
      <c r="T233" s="11">
        <f>IF($AF233="","",IF(INDEX(입력_파견수련계획!$I$4:$I$803,$AF233)="","",INDEX(입력_파견수련계획!$I$4:$I$803,$AF233)))</f>
        <v/>
      </c>
      <c r="U233" s="10">
        <f>IF($AF233="","",INDEX(입력_파견수련계획!$X$4:$X$803,$AF233))</f>
        <v/>
      </c>
      <c r="V233" s="17">
        <f>IF($AF233="","",INDEX(입력_파견수련계획!$V$4:$V$803,$AF233))</f>
        <v/>
      </c>
      <c r="W233" s="17">
        <f>IF(AND($U233="파견중",$T233&lt;&gt;""),$T233-TODAY(),"")</f>
        <v/>
      </c>
      <c r="X233" s="17">
        <f>IF(OR($B233="",TRIM($J233&amp;"")=""),"",SUMPRODUCT((입력_파견수련계획!$Q$4:$Q$803=TRIM($J233&amp;""))*입력_파견수련계획!$W$4:$W$803))</f>
        <v/>
      </c>
      <c r="Y233" s="10">
        <f>IF($B233="","",IF($AG233="","",IF(IF(TRIM($J233&amp;"")="",0,SUMPRODUCT((입력_파견수련계획!$Q$4:$Q$803=TRIM($J233&amp;""))*입력_파견수련계획!$AD$4:$AD$803))&gt;0,$AE233,IF(AND(N($X233)&lt;=0,$AQ233=""),$AG233,IF($AH233+$AI233=DAY(EOMONTH(출력_요약!$B$3,0)),IF(AND($AH233&gt;=출력_요약!$E$3,$AI233&lt;출력_요약!$E$3),"서울병원",IF(AND($AI233&gt;=출력_요약!$E$3,$AH233&lt;출력_요약!$E$3),"구리병원","⚠15일 판정불가(서울 "&amp;$AH233&amp;"일/구리 "&amp;$AI233&amp;"일)")),IF($AJ233="",$AE233,IF(INDEX(입력_파견수련계획!$T$4:$T$803,$AJ233)="통합수련",INDEX(입력_파견수련계획!$S$4:$S$803,$AJ233),$AE233)))))))</f>
        <v/>
      </c>
      <c r="Z233" s="20">
        <f>IF($B233="","",IF($AB233="","기본자료에 없는 사번",IF(COUNTIF($B$2:$B$401,$B233)&gt;1,"중복 사번",IF($AE233="","소속(입사장소) 입력",IF(IF(TRIM($J233&amp;"")="",0,SUMPRODUCT((입력_파견수련계획!$Q$4:$Q$803=TRIM($J233&amp;""))*(입력_파견수련계획!$AA$4:$AA$803&lt;&gt;"")))&gt;0,"파견수련계획 입력오류 확인",IF(LEFT($Y233,1)="⚠","서울·구리 15일 판정 불가(양쪽 모두 이상/미만)",IF(IF($AC233="",0,N(INDEX(입력_인턴근무계획!$T$3:$T$402,$AC233)))&gt;0,"인턴계획 입력오류 확인",IF(AND($AQ233&lt;&gt;"",$AG233&lt;&gt;"구리병원",IF(TRIM($J233&amp;"")="",0,SUMPRODUCT((입력_파견수련계획!$Q$4:$Q$803=TRIM($J233&amp;""))*(입력_파견수련계획!$S$4:$S$803="구리병원")*입력_파견수련계획!$W$4:$W$803))=0),"구리 근무자명단에만 있음(파견수련계획 확인)",IF(AND($AC233&lt;&gt;"",$U233&lt;&gt;"파견중",$N233&lt;&gt;$AE233),"인턴 타지역 근무: 파견 여부 확인","정상")))))))))</f>
        <v/>
      </c>
      <c r="AA233" s="5" t="n"/>
      <c r="AB233" s="10">
        <f>IF($B233="","",IFERROR(MATCH($B233,입력_기본자료!$B$2:$B$1001,0),IFERROR(MATCH($B233&amp;"",입력_기본자료!$B$2:$B$1001,0),IFERROR(MATCH(VALUE($B233),입력_기본자료!$B$2:$B$1001,0),""))))</f>
        <v/>
      </c>
      <c r="AC233" s="10">
        <f>IF($B233="","",IFERROR(MATCH($B233,입력_인턴근무계획!$D$3:$D$402,0),IFERROR(MATCH($B233&amp;"",입력_인턴근무계획!$D$3:$D$402,0),IFERROR(MATCH(VALUE($B233),입력_인턴근무계획!$D$3:$D$402,0),""))))</f>
        <v/>
      </c>
      <c r="AD233" s="10">
        <f>IF(OR($AC233="",출력_인턴현황!$G$3=""),"",INDEX(입력_인턴근무계획!$M$3:$R$402,$AC233,출력_인턴현황!$G$3)&amp;"")</f>
        <v/>
      </c>
      <c r="AE233" s="10">
        <f>IF($B233="","",IF($M233&lt;&gt;"",$M233,IF(IF($AQ233="",FALSE,INDEX(출력_구리근무자!$J$6:$J$305,$AQ233)="구리독자"),"구리병원",IF($AF233&lt;&gt;"",IF(LEFT(INDEX(입력_파견수련계획!$R$4:$R$803,$AF233),1)&lt;&gt;"⚠",INDEX(입력_파견수련계획!$R$4:$R$803,$AF233),IF($H233="","",IF(RIGHT($H233,2)="병원",$H233,$H233&amp;"병원"))),IF($H233="","",IF(RIGHT($H233,2)="병원",$H233,$H233&amp;"병원"))))))</f>
        <v/>
      </c>
      <c r="AF233" s="10">
        <f>IF(OR($B233="",TRIM($J233&amp;"")=""),"",IFERROR(MATCH(TRIM($J233&amp;"")&amp;"|파견중",입력_파견수련계획!$Y$4:$Y$803,0),IFERROR(MATCH(TRIM($J233&amp;"")&amp;"|파견예정",입력_파견수련계획!$Y$4:$Y$803,0),IFERROR(MATCH(TRIM($J233&amp;"")&amp;"|파견종료",입력_파견수련계획!$Y$4:$Y$803,0),""))))</f>
        <v/>
      </c>
      <c r="AG233" s="10">
        <f>IF($B233="","",IF(AND(IF(OR($AC233="",출력_인턴현황!$K$2=""),"",INDEX(입력_인턴근무계획!$M$3:$R$402,$AC233,출력_인턴현황!$K$2)&amp;"")&lt;&gt;"",LEFT(IF(OR($AC233="",출력_인턴현황!$K$2=""),"",INDEX(입력_인턴근무계획!$M$3:$R$402,$AC233,출력_인턴현황!$K$2)&amp;""),1)&lt;&gt;"⚠"),LEFT(IF(OR($AC233="",출력_인턴현황!$K$2=""),"",INDEX(입력_인턴근무계획!$M$3:$R$402,$AC233,출력_인턴현황!$K$2)&amp;""),FIND(" ",IF(OR($AC233="",출력_인턴현황!$K$2=""),"",INDEX(입력_인턴근무계획!$M$3:$R$402,$AC233,출력_인턴현황!$K$2)&amp;""))-1),$AE233))</f>
        <v/>
      </c>
      <c r="AH233" s="17">
        <f>IF($B233="","",IF($AQ233&lt;&gt;"",MAX(0,DAY(EOMONTH(출력_요약!$B$3,0))-N($AR233)),IF(TRIM($J233&amp;"")="",0,SUMPRODUCT((입력_파견수련계획!$Q$4:$Q$803=TRIM($J233&amp;""))*(입력_파견수련계획!$S$4:$S$803="서울병원")*입력_파견수련계획!$W$4:$W$803))+IF($AG233="서울병원",MAX(0,DAY(EOMONTH(출력_요약!$B$3,0))-N($X233)),0)))</f>
        <v/>
      </c>
      <c r="AI233" s="17">
        <f>IF($B233="","",IF($AQ233&lt;&gt;"",N($AR233),IF(TRIM($J233&amp;"")="",0,SUMPRODUCT((입력_파견수련계획!$Q$4:$Q$803=TRIM($J233&amp;""))*(입력_파견수련계획!$S$4:$S$803="구리병원")*입력_파견수련계획!$W$4:$W$803))+IF($AG233="구리병원",MAX(0,DAY(EOMONTH(출력_요약!$B$3,0))-N($X233)),0)))</f>
        <v/>
      </c>
      <c r="AJ233" s="10">
        <f>IF(OR($B233="",TRIM($J233&amp;"")=""),"",IFERROR(MATCH(TRIM($J233&amp;"")&amp;"|월",입력_파견수련계획!$Z$4:$Z$803,0),""))</f>
        <v/>
      </c>
      <c r="AK233" s="10">
        <f>IF(OR($B233="",TRIM($J233&amp;"")=""),"",IFERROR(MATCH(TRIM($J233&amp;"")&amp;"|다기관",입력_파견수련계획!$AE$4:$AE$803,0),""))</f>
        <v/>
      </c>
      <c r="AL233" s="10">
        <f>IF($AK233="","","다기관 "&amp;TEXT(INDEX(입력_파견수련계획!$AB$4:$AB$803,$AK233),"yyyy-mm-dd")&amp;"~"&amp;IF(ISNUMBER(INDEX(입력_파견수련계획!$AC$4:$AC$803,$AK233)),TEXT(INDEX(입력_파견수련계획!$AC$4:$AC$803,$AK233),"yyyy-mm-dd"),""))</f>
        <v/>
      </c>
      <c r="AM233" s="10">
        <f>IF($Y233="서울병원",COUNTIF($Y$2:$Y233,"서울병원"),"")</f>
        <v/>
      </c>
      <c r="AN233" s="10">
        <f>IF(LEFT($Y233,1)="⚠",COUNTIF($Y$2:$Y233,"⚠*"),"")</f>
        <v/>
      </c>
      <c r="AO233" s="10">
        <f>IF(OR($B233="",$Y233=""),"",IF(IF(TRIM($J233&amp;"")="",0,SUMPRODUCT((입력_파견수련계획!$Q$4:$Q$803=TRIM($J233&amp;""))*입력_파견수련계획!$AD$4:$AD$803))&gt;0,"다기관 기간 → 소속병원 지급",IF(AND(N($X233)&lt;=0,$AQ233=""),"파견 없음 → 그 달 근무병원 지급",IF($AH233+$AI233=DAY(EOMONTH(출력_요약!$B$3,0)),"서울 "&amp;$AH233&amp;"일 / 구리 "&amp;$AI233&amp;"일"&amp;IF($AQ233&lt;&gt;""," (구리 근무자명단 반영)","")&amp;" → 15일 이상 근무 병원 지급","타 병원 포함 → "&amp;IF($AJ233="","소속",INDEX(입력_파견수련계획!$T$4:$T$803,$AJ233))&amp;" 규칙"))))</f>
        <v/>
      </c>
      <c r="AP233" s="10">
        <f>IF($B233="","",$C233&amp;"|"&amp;$F233)</f>
        <v/>
      </c>
      <c r="AQ233" s="10">
        <f>IF($B233="","",IFERROR(MATCH(ROW()-1,출력_구리근무자!$K$6:$K$305,0),""))</f>
        <v/>
      </c>
      <c r="AR233" s="10">
        <f>IF($AQ233="","",INDEX(출력_구리근무자!$H$6:$H$305,$AQ233))</f>
        <v/>
      </c>
    </row>
    <row r="234">
      <c r="A234" s="10">
        <f>IF(B234="","",ROW()-1)</f>
        <v/>
      </c>
      <c r="B234" s="19" t="n"/>
      <c r="C234" s="10">
        <f>IF($AB234="","",IF(INDEX(입력_기본자료!$C$2:$C$1001,$AB234)="","",INDEX(입력_기본자료!$C$2:$C$1001,$AB234)))</f>
        <v/>
      </c>
      <c r="D234" s="10">
        <f>IF($AB234="","",IF(INDEX(입력_기본자료!$J$2:$J$1001,$AB234)="","",INDEX(입력_기본자료!$J$2:$J$1001,$AB234)))</f>
        <v/>
      </c>
      <c r="E234" s="11">
        <f>IF($AB234="","",IF(INDEX(입력_기본자료!$K$2:$K$1001,$AB234)="","",IF(NOT(ISNUMBER(INDEX(입력_기본자료!$K$2:$K$1001,$AB234))),INDEX(입력_기본자료!$K$2:$K$1001,$AB234),IF(INDEX(입력_기본자료!$K$2:$K$1001,$AB234)&lt;1000000,INDEX(입력_기본자료!$K$2:$K$1001,$AB234),IF(AND(INDEX(입력_기본자료!$K$2:$K$1001,$AB234)&gt;=10000101,INT(MOD(INDEX(입력_기본자료!$K$2:$K$1001,$AB234),10000)/100)&gt;=1,INT(MOD(INDEX(입력_기본자료!$K$2:$K$1001,$AB234),10000)/100)&lt;=12,MOD(INDEX(입력_기본자료!$K$2:$K$1001,$AB234),100)&gt;=1,MOD(INDEX(입력_기본자료!$K$2:$K$1001,$AB234),100)&lt;=31),DATE(INT(INDEX(입력_기본자료!$K$2:$K$1001,$AB234)/10000),INT(MOD(INDEX(입력_기본자료!$K$2:$K$1001,$AB234),10000)/100),MOD(INDEX(입력_기본자료!$K$2:$K$1001,$AB234),100)),INDEX(입력_기본자료!$K$2:$K$1001,$AB234)&amp;"")))))</f>
        <v/>
      </c>
      <c r="F234" s="10">
        <f>IF($AB234="","",IF(INDEX(입력_기본자료!$D$2:$D$1001,$AB234)="","",INDEX(입력_기본자료!$D$2:$D$1001,$AB234)))</f>
        <v/>
      </c>
      <c r="G234" s="10">
        <f>IF($AB234="","",IF(INDEX(입력_기본자료!$E$2:$E$1001,$AB234)="","",INDEX(입력_기본자료!$E$2:$E$1001,$AB234)))</f>
        <v/>
      </c>
      <c r="H234" s="10">
        <f>IF($AB234="","",IF(INDEX(입력_기본자료!$F$2:$F$1001,$AB234)="","",INDEX(입력_기본자료!$F$2:$F$1001,$AB234)))</f>
        <v/>
      </c>
      <c r="I234" s="11">
        <f>IF($AB234="","",IF(INDEX(입력_기본자료!$G$2:$G$1001,$AB234)="","",IF(NOT(ISNUMBER(INDEX(입력_기본자료!$G$2:$G$1001,$AB234))),INDEX(입력_기본자료!$G$2:$G$1001,$AB234),IF(INDEX(입력_기본자료!$G$2:$G$1001,$AB234)&lt;1000000,INDEX(입력_기본자료!$G$2:$G$1001,$AB234),IF(AND(INDEX(입력_기본자료!$G$2:$G$1001,$AB234)&gt;=10000101,INT(MOD(INDEX(입력_기본자료!$G$2:$G$1001,$AB234),10000)/100)&gt;=1,INT(MOD(INDEX(입력_기본자료!$G$2:$G$1001,$AB234),10000)/100)&lt;=12,MOD(INDEX(입력_기본자료!$G$2:$G$1001,$AB234),100)&gt;=1,MOD(INDEX(입력_기본자료!$G$2:$G$1001,$AB234),100)&lt;=31),DATE(INT(INDEX(입력_기본자료!$G$2:$G$1001,$AB234)/10000),INT(MOD(INDEX(입력_기본자료!$G$2:$G$1001,$AB234),10000)/100),MOD(INDEX(입력_기본자료!$G$2:$G$1001,$AB234),100)),INDEX(입력_기본자료!$G$2:$G$1001,$AB234)&amp;"")))))</f>
        <v/>
      </c>
      <c r="J234" s="10">
        <f>IF($AB234="","",IF(INDEX(입력_기본자료!$H$2:$H$1001,$AB234)="","",INDEX(입력_기본자료!$H$2:$H$1001,$AB234)))</f>
        <v/>
      </c>
      <c r="K234" s="10">
        <f>IF($AB234="","",IF(INDEX(입력_기본자료!$I$2:$I$1001,$AB234)="","",INDEX(입력_기본자료!$I$2:$I$1001,$AB234)))</f>
        <v/>
      </c>
      <c r="L234" s="10">
        <f>IF($AB234="","",IF(INDEX(입력_기본자료!$A$2:$A$1001,$AB234)="","",INDEX(입력_기본자료!$A$2:$A$1001,$AB234)))</f>
        <v/>
      </c>
      <c r="M234" s="15" t="n"/>
      <c r="N234" s="10">
        <f>IF($B234="","",IF(AND($U234="파견중",$Q234&lt;&gt;""),$Q234,IF(AND($AD234&lt;&gt;"",LEFT($AD234,1)&lt;&gt;"⚠"),LEFT($AD234,FIND(" ",$AD234)-1),IF($H234="","",IF(RIGHT($H234,2)="병원",$H234,$H234&amp;"병원")))))</f>
        <v/>
      </c>
      <c r="O234" s="10">
        <f>IF($B234="","",IF(AND($U234="파견중",$Q234&lt;&gt;""),IF($R234&lt;&gt;"",$R234,"파견과 미입력"),IF(AND($AD234&lt;&gt;"",LEFT($AD234,1)&lt;&gt;"⚠"),MID($AD234,FIND(" ",$AD234)+1,60),IF($F234="","",IF($F234="인턴","수련교육부(인턴)",$F234)))))</f>
        <v/>
      </c>
      <c r="P234" s="10">
        <f>IF($B234="","",IF($AK234&lt;&gt;"",IF(AND(TODAY()&gt;=INDEX(입력_파견수련계획!$AB$4:$AB$803,$AK234),OR(NOT(ISNUMBER(INDEX(입력_파견수련계획!$AC$4:$AC$803,$AK234))),TODAY()&lt;=INDEX(입력_파견수련계획!$AC$4:$AC$803,$AK234))),"다기관",IF($AF234="","",INDEX(입력_파견수련계획!$T$4:$T$803,$AF234))),IF($AF234="","",INDEX(입력_파견수련계획!$T$4:$T$803,$AF234))))</f>
        <v/>
      </c>
      <c r="Q234" s="10">
        <f>IF($AF234="","",INDEX(입력_파견수련계획!$S$4:$S$803,$AF234))</f>
        <v/>
      </c>
      <c r="R234" s="10">
        <f>IF($AF234="","",INDEX(입력_파견수련계획!$U$4:$U$803,$AF234))</f>
        <v/>
      </c>
      <c r="S234" s="11">
        <f>IF($AF234="","",IF(INDEX(입력_파견수련계획!$H$4:$H$803,$AF234)="","",INDEX(입력_파견수련계획!$H$4:$H$803,$AF234)))</f>
        <v/>
      </c>
      <c r="T234" s="11">
        <f>IF($AF234="","",IF(INDEX(입력_파견수련계획!$I$4:$I$803,$AF234)="","",INDEX(입력_파견수련계획!$I$4:$I$803,$AF234)))</f>
        <v/>
      </c>
      <c r="U234" s="10">
        <f>IF($AF234="","",INDEX(입력_파견수련계획!$X$4:$X$803,$AF234))</f>
        <v/>
      </c>
      <c r="V234" s="17">
        <f>IF($AF234="","",INDEX(입력_파견수련계획!$V$4:$V$803,$AF234))</f>
        <v/>
      </c>
      <c r="W234" s="17">
        <f>IF(AND($U234="파견중",$T234&lt;&gt;""),$T234-TODAY(),"")</f>
        <v/>
      </c>
      <c r="X234" s="17">
        <f>IF(OR($B234="",TRIM($J234&amp;"")=""),"",SUMPRODUCT((입력_파견수련계획!$Q$4:$Q$803=TRIM($J234&amp;""))*입력_파견수련계획!$W$4:$W$803))</f>
        <v/>
      </c>
      <c r="Y234" s="10">
        <f>IF($B234="","",IF($AG234="","",IF(IF(TRIM($J234&amp;"")="",0,SUMPRODUCT((입력_파견수련계획!$Q$4:$Q$803=TRIM($J234&amp;""))*입력_파견수련계획!$AD$4:$AD$803))&gt;0,$AE234,IF(AND(N($X234)&lt;=0,$AQ234=""),$AG234,IF($AH234+$AI234=DAY(EOMONTH(출력_요약!$B$3,0)),IF(AND($AH234&gt;=출력_요약!$E$3,$AI234&lt;출력_요약!$E$3),"서울병원",IF(AND($AI234&gt;=출력_요약!$E$3,$AH234&lt;출력_요약!$E$3),"구리병원","⚠15일 판정불가(서울 "&amp;$AH234&amp;"일/구리 "&amp;$AI234&amp;"일)")),IF($AJ234="",$AE234,IF(INDEX(입력_파견수련계획!$T$4:$T$803,$AJ234)="통합수련",INDEX(입력_파견수련계획!$S$4:$S$803,$AJ234),$AE234)))))))</f>
        <v/>
      </c>
      <c r="Z234" s="20">
        <f>IF($B234="","",IF($AB234="","기본자료에 없는 사번",IF(COUNTIF($B$2:$B$401,$B234)&gt;1,"중복 사번",IF($AE234="","소속(입사장소) 입력",IF(IF(TRIM($J234&amp;"")="",0,SUMPRODUCT((입력_파견수련계획!$Q$4:$Q$803=TRIM($J234&amp;""))*(입력_파견수련계획!$AA$4:$AA$803&lt;&gt;"")))&gt;0,"파견수련계획 입력오류 확인",IF(LEFT($Y234,1)="⚠","서울·구리 15일 판정 불가(양쪽 모두 이상/미만)",IF(IF($AC234="",0,N(INDEX(입력_인턴근무계획!$T$3:$T$402,$AC234)))&gt;0,"인턴계획 입력오류 확인",IF(AND($AQ234&lt;&gt;"",$AG234&lt;&gt;"구리병원",IF(TRIM($J234&amp;"")="",0,SUMPRODUCT((입력_파견수련계획!$Q$4:$Q$803=TRIM($J234&amp;""))*(입력_파견수련계획!$S$4:$S$803="구리병원")*입력_파견수련계획!$W$4:$W$803))=0),"구리 근무자명단에만 있음(파견수련계획 확인)",IF(AND($AC234&lt;&gt;"",$U234&lt;&gt;"파견중",$N234&lt;&gt;$AE234),"인턴 타지역 근무: 파견 여부 확인","정상")))))))))</f>
        <v/>
      </c>
      <c r="AA234" s="5" t="n"/>
      <c r="AB234" s="10">
        <f>IF($B234="","",IFERROR(MATCH($B234,입력_기본자료!$B$2:$B$1001,0),IFERROR(MATCH($B234&amp;"",입력_기본자료!$B$2:$B$1001,0),IFERROR(MATCH(VALUE($B234),입력_기본자료!$B$2:$B$1001,0),""))))</f>
        <v/>
      </c>
      <c r="AC234" s="10">
        <f>IF($B234="","",IFERROR(MATCH($B234,입력_인턴근무계획!$D$3:$D$402,0),IFERROR(MATCH($B234&amp;"",입력_인턴근무계획!$D$3:$D$402,0),IFERROR(MATCH(VALUE($B234),입력_인턴근무계획!$D$3:$D$402,0),""))))</f>
        <v/>
      </c>
      <c r="AD234" s="10">
        <f>IF(OR($AC234="",출력_인턴현황!$G$3=""),"",INDEX(입력_인턴근무계획!$M$3:$R$402,$AC234,출력_인턴현황!$G$3)&amp;"")</f>
        <v/>
      </c>
      <c r="AE234" s="10">
        <f>IF($B234="","",IF($M234&lt;&gt;"",$M234,IF(IF($AQ234="",FALSE,INDEX(출력_구리근무자!$J$6:$J$305,$AQ234)="구리독자"),"구리병원",IF($AF234&lt;&gt;"",IF(LEFT(INDEX(입력_파견수련계획!$R$4:$R$803,$AF234),1)&lt;&gt;"⚠",INDEX(입력_파견수련계획!$R$4:$R$803,$AF234),IF($H234="","",IF(RIGHT($H234,2)="병원",$H234,$H234&amp;"병원"))),IF($H234="","",IF(RIGHT($H234,2)="병원",$H234,$H234&amp;"병원"))))))</f>
        <v/>
      </c>
      <c r="AF234" s="10">
        <f>IF(OR($B234="",TRIM($J234&amp;"")=""),"",IFERROR(MATCH(TRIM($J234&amp;"")&amp;"|파견중",입력_파견수련계획!$Y$4:$Y$803,0),IFERROR(MATCH(TRIM($J234&amp;"")&amp;"|파견예정",입력_파견수련계획!$Y$4:$Y$803,0),IFERROR(MATCH(TRIM($J234&amp;"")&amp;"|파견종료",입력_파견수련계획!$Y$4:$Y$803,0),""))))</f>
        <v/>
      </c>
      <c r="AG234" s="10">
        <f>IF($B234="","",IF(AND(IF(OR($AC234="",출력_인턴현황!$K$2=""),"",INDEX(입력_인턴근무계획!$M$3:$R$402,$AC234,출력_인턴현황!$K$2)&amp;"")&lt;&gt;"",LEFT(IF(OR($AC234="",출력_인턴현황!$K$2=""),"",INDEX(입력_인턴근무계획!$M$3:$R$402,$AC234,출력_인턴현황!$K$2)&amp;""),1)&lt;&gt;"⚠"),LEFT(IF(OR($AC234="",출력_인턴현황!$K$2=""),"",INDEX(입력_인턴근무계획!$M$3:$R$402,$AC234,출력_인턴현황!$K$2)&amp;""),FIND(" ",IF(OR($AC234="",출력_인턴현황!$K$2=""),"",INDEX(입력_인턴근무계획!$M$3:$R$402,$AC234,출력_인턴현황!$K$2)&amp;""))-1),$AE234))</f>
        <v/>
      </c>
      <c r="AH234" s="17">
        <f>IF($B234="","",IF($AQ234&lt;&gt;"",MAX(0,DAY(EOMONTH(출력_요약!$B$3,0))-N($AR234)),IF(TRIM($J234&amp;"")="",0,SUMPRODUCT((입력_파견수련계획!$Q$4:$Q$803=TRIM($J234&amp;""))*(입력_파견수련계획!$S$4:$S$803="서울병원")*입력_파견수련계획!$W$4:$W$803))+IF($AG234="서울병원",MAX(0,DAY(EOMONTH(출력_요약!$B$3,0))-N($X234)),0)))</f>
        <v/>
      </c>
      <c r="AI234" s="17">
        <f>IF($B234="","",IF($AQ234&lt;&gt;"",N($AR234),IF(TRIM($J234&amp;"")="",0,SUMPRODUCT((입력_파견수련계획!$Q$4:$Q$803=TRIM($J234&amp;""))*(입력_파견수련계획!$S$4:$S$803="구리병원")*입력_파견수련계획!$W$4:$W$803))+IF($AG234="구리병원",MAX(0,DAY(EOMONTH(출력_요약!$B$3,0))-N($X234)),0)))</f>
        <v/>
      </c>
      <c r="AJ234" s="10">
        <f>IF(OR($B234="",TRIM($J234&amp;"")=""),"",IFERROR(MATCH(TRIM($J234&amp;"")&amp;"|월",입력_파견수련계획!$Z$4:$Z$803,0),""))</f>
        <v/>
      </c>
      <c r="AK234" s="10">
        <f>IF(OR($B234="",TRIM($J234&amp;"")=""),"",IFERROR(MATCH(TRIM($J234&amp;"")&amp;"|다기관",입력_파견수련계획!$AE$4:$AE$803,0),""))</f>
        <v/>
      </c>
      <c r="AL234" s="10">
        <f>IF($AK234="","","다기관 "&amp;TEXT(INDEX(입력_파견수련계획!$AB$4:$AB$803,$AK234),"yyyy-mm-dd")&amp;"~"&amp;IF(ISNUMBER(INDEX(입력_파견수련계획!$AC$4:$AC$803,$AK234)),TEXT(INDEX(입력_파견수련계획!$AC$4:$AC$803,$AK234),"yyyy-mm-dd"),""))</f>
        <v/>
      </c>
      <c r="AM234" s="10">
        <f>IF($Y234="서울병원",COUNTIF($Y$2:$Y234,"서울병원"),"")</f>
        <v/>
      </c>
      <c r="AN234" s="10">
        <f>IF(LEFT($Y234,1)="⚠",COUNTIF($Y$2:$Y234,"⚠*"),"")</f>
        <v/>
      </c>
      <c r="AO234" s="10">
        <f>IF(OR($B234="",$Y234=""),"",IF(IF(TRIM($J234&amp;"")="",0,SUMPRODUCT((입력_파견수련계획!$Q$4:$Q$803=TRIM($J234&amp;""))*입력_파견수련계획!$AD$4:$AD$803))&gt;0,"다기관 기간 → 소속병원 지급",IF(AND(N($X234)&lt;=0,$AQ234=""),"파견 없음 → 그 달 근무병원 지급",IF($AH234+$AI234=DAY(EOMONTH(출력_요약!$B$3,0)),"서울 "&amp;$AH234&amp;"일 / 구리 "&amp;$AI234&amp;"일"&amp;IF($AQ234&lt;&gt;""," (구리 근무자명단 반영)","")&amp;" → 15일 이상 근무 병원 지급","타 병원 포함 → "&amp;IF($AJ234="","소속",INDEX(입력_파견수련계획!$T$4:$T$803,$AJ234))&amp;" 규칙"))))</f>
        <v/>
      </c>
      <c r="AP234" s="10">
        <f>IF($B234="","",$C234&amp;"|"&amp;$F234)</f>
        <v/>
      </c>
      <c r="AQ234" s="10">
        <f>IF($B234="","",IFERROR(MATCH(ROW()-1,출력_구리근무자!$K$6:$K$305,0),""))</f>
        <v/>
      </c>
      <c r="AR234" s="10">
        <f>IF($AQ234="","",INDEX(출력_구리근무자!$H$6:$H$305,$AQ234))</f>
        <v/>
      </c>
    </row>
    <row r="235">
      <c r="A235" s="10">
        <f>IF(B235="","",ROW()-1)</f>
        <v/>
      </c>
      <c r="B235" s="19" t="n"/>
      <c r="C235" s="10">
        <f>IF($AB235="","",IF(INDEX(입력_기본자료!$C$2:$C$1001,$AB235)="","",INDEX(입력_기본자료!$C$2:$C$1001,$AB235)))</f>
        <v/>
      </c>
      <c r="D235" s="10">
        <f>IF($AB235="","",IF(INDEX(입력_기본자료!$J$2:$J$1001,$AB235)="","",INDEX(입력_기본자료!$J$2:$J$1001,$AB235)))</f>
        <v/>
      </c>
      <c r="E235" s="11">
        <f>IF($AB235="","",IF(INDEX(입력_기본자료!$K$2:$K$1001,$AB235)="","",IF(NOT(ISNUMBER(INDEX(입력_기본자료!$K$2:$K$1001,$AB235))),INDEX(입력_기본자료!$K$2:$K$1001,$AB235),IF(INDEX(입력_기본자료!$K$2:$K$1001,$AB235)&lt;1000000,INDEX(입력_기본자료!$K$2:$K$1001,$AB235),IF(AND(INDEX(입력_기본자료!$K$2:$K$1001,$AB235)&gt;=10000101,INT(MOD(INDEX(입력_기본자료!$K$2:$K$1001,$AB235),10000)/100)&gt;=1,INT(MOD(INDEX(입력_기본자료!$K$2:$K$1001,$AB235),10000)/100)&lt;=12,MOD(INDEX(입력_기본자료!$K$2:$K$1001,$AB235),100)&gt;=1,MOD(INDEX(입력_기본자료!$K$2:$K$1001,$AB235),100)&lt;=31),DATE(INT(INDEX(입력_기본자료!$K$2:$K$1001,$AB235)/10000),INT(MOD(INDEX(입력_기본자료!$K$2:$K$1001,$AB235),10000)/100),MOD(INDEX(입력_기본자료!$K$2:$K$1001,$AB235),100)),INDEX(입력_기본자료!$K$2:$K$1001,$AB235)&amp;"")))))</f>
        <v/>
      </c>
      <c r="F235" s="10">
        <f>IF($AB235="","",IF(INDEX(입력_기본자료!$D$2:$D$1001,$AB235)="","",INDEX(입력_기본자료!$D$2:$D$1001,$AB235)))</f>
        <v/>
      </c>
      <c r="G235" s="10">
        <f>IF($AB235="","",IF(INDEX(입력_기본자료!$E$2:$E$1001,$AB235)="","",INDEX(입력_기본자료!$E$2:$E$1001,$AB235)))</f>
        <v/>
      </c>
      <c r="H235" s="10">
        <f>IF($AB235="","",IF(INDEX(입력_기본자료!$F$2:$F$1001,$AB235)="","",INDEX(입력_기본자료!$F$2:$F$1001,$AB235)))</f>
        <v/>
      </c>
      <c r="I235" s="11">
        <f>IF($AB235="","",IF(INDEX(입력_기본자료!$G$2:$G$1001,$AB235)="","",IF(NOT(ISNUMBER(INDEX(입력_기본자료!$G$2:$G$1001,$AB235))),INDEX(입력_기본자료!$G$2:$G$1001,$AB235),IF(INDEX(입력_기본자료!$G$2:$G$1001,$AB235)&lt;1000000,INDEX(입력_기본자료!$G$2:$G$1001,$AB235),IF(AND(INDEX(입력_기본자료!$G$2:$G$1001,$AB235)&gt;=10000101,INT(MOD(INDEX(입력_기본자료!$G$2:$G$1001,$AB235),10000)/100)&gt;=1,INT(MOD(INDEX(입력_기본자료!$G$2:$G$1001,$AB235),10000)/100)&lt;=12,MOD(INDEX(입력_기본자료!$G$2:$G$1001,$AB235),100)&gt;=1,MOD(INDEX(입력_기본자료!$G$2:$G$1001,$AB235),100)&lt;=31),DATE(INT(INDEX(입력_기본자료!$G$2:$G$1001,$AB235)/10000),INT(MOD(INDEX(입력_기본자료!$G$2:$G$1001,$AB235),10000)/100),MOD(INDEX(입력_기본자료!$G$2:$G$1001,$AB235),100)),INDEX(입력_기본자료!$G$2:$G$1001,$AB235)&amp;"")))))</f>
        <v/>
      </c>
      <c r="J235" s="10">
        <f>IF($AB235="","",IF(INDEX(입력_기본자료!$H$2:$H$1001,$AB235)="","",INDEX(입력_기본자료!$H$2:$H$1001,$AB235)))</f>
        <v/>
      </c>
      <c r="K235" s="10">
        <f>IF($AB235="","",IF(INDEX(입력_기본자료!$I$2:$I$1001,$AB235)="","",INDEX(입력_기본자료!$I$2:$I$1001,$AB235)))</f>
        <v/>
      </c>
      <c r="L235" s="10">
        <f>IF($AB235="","",IF(INDEX(입력_기본자료!$A$2:$A$1001,$AB235)="","",INDEX(입력_기본자료!$A$2:$A$1001,$AB235)))</f>
        <v/>
      </c>
      <c r="M235" s="15" t="n"/>
      <c r="N235" s="10">
        <f>IF($B235="","",IF(AND($U235="파견중",$Q235&lt;&gt;""),$Q235,IF(AND($AD235&lt;&gt;"",LEFT($AD235,1)&lt;&gt;"⚠"),LEFT($AD235,FIND(" ",$AD235)-1),IF($H235="","",IF(RIGHT($H235,2)="병원",$H235,$H235&amp;"병원")))))</f>
        <v/>
      </c>
      <c r="O235" s="10">
        <f>IF($B235="","",IF(AND($U235="파견중",$Q235&lt;&gt;""),IF($R235&lt;&gt;"",$R235,"파견과 미입력"),IF(AND($AD235&lt;&gt;"",LEFT($AD235,1)&lt;&gt;"⚠"),MID($AD235,FIND(" ",$AD235)+1,60),IF($F235="","",IF($F235="인턴","수련교육부(인턴)",$F235)))))</f>
        <v/>
      </c>
      <c r="P235" s="10">
        <f>IF($B235="","",IF($AK235&lt;&gt;"",IF(AND(TODAY()&gt;=INDEX(입력_파견수련계획!$AB$4:$AB$803,$AK235),OR(NOT(ISNUMBER(INDEX(입력_파견수련계획!$AC$4:$AC$803,$AK235))),TODAY()&lt;=INDEX(입력_파견수련계획!$AC$4:$AC$803,$AK235))),"다기관",IF($AF235="","",INDEX(입력_파견수련계획!$T$4:$T$803,$AF235))),IF($AF235="","",INDEX(입력_파견수련계획!$T$4:$T$803,$AF235))))</f>
        <v/>
      </c>
      <c r="Q235" s="10">
        <f>IF($AF235="","",INDEX(입력_파견수련계획!$S$4:$S$803,$AF235))</f>
        <v/>
      </c>
      <c r="R235" s="10">
        <f>IF($AF235="","",INDEX(입력_파견수련계획!$U$4:$U$803,$AF235))</f>
        <v/>
      </c>
      <c r="S235" s="11">
        <f>IF($AF235="","",IF(INDEX(입력_파견수련계획!$H$4:$H$803,$AF235)="","",INDEX(입력_파견수련계획!$H$4:$H$803,$AF235)))</f>
        <v/>
      </c>
      <c r="T235" s="11">
        <f>IF($AF235="","",IF(INDEX(입력_파견수련계획!$I$4:$I$803,$AF235)="","",INDEX(입력_파견수련계획!$I$4:$I$803,$AF235)))</f>
        <v/>
      </c>
      <c r="U235" s="10">
        <f>IF($AF235="","",INDEX(입력_파견수련계획!$X$4:$X$803,$AF235))</f>
        <v/>
      </c>
      <c r="V235" s="17">
        <f>IF($AF235="","",INDEX(입력_파견수련계획!$V$4:$V$803,$AF235))</f>
        <v/>
      </c>
      <c r="W235" s="17">
        <f>IF(AND($U235="파견중",$T235&lt;&gt;""),$T235-TODAY(),"")</f>
        <v/>
      </c>
      <c r="X235" s="17">
        <f>IF(OR($B235="",TRIM($J235&amp;"")=""),"",SUMPRODUCT((입력_파견수련계획!$Q$4:$Q$803=TRIM($J235&amp;""))*입력_파견수련계획!$W$4:$W$803))</f>
        <v/>
      </c>
      <c r="Y235" s="10">
        <f>IF($B235="","",IF($AG235="","",IF(IF(TRIM($J235&amp;"")="",0,SUMPRODUCT((입력_파견수련계획!$Q$4:$Q$803=TRIM($J235&amp;""))*입력_파견수련계획!$AD$4:$AD$803))&gt;0,$AE235,IF(AND(N($X235)&lt;=0,$AQ235=""),$AG235,IF($AH235+$AI235=DAY(EOMONTH(출력_요약!$B$3,0)),IF(AND($AH235&gt;=출력_요약!$E$3,$AI235&lt;출력_요약!$E$3),"서울병원",IF(AND($AI235&gt;=출력_요약!$E$3,$AH235&lt;출력_요약!$E$3),"구리병원","⚠15일 판정불가(서울 "&amp;$AH235&amp;"일/구리 "&amp;$AI235&amp;"일)")),IF($AJ235="",$AE235,IF(INDEX(입력_파견수련계획!$T$4:$T$803,$AJ235)="통합수련",INDEX(입력_파견수련계획!$S$4:$S$803,$AJ235),$AE235)))))))</f>
        <v/>
      </c>
      <c r="Z235" s="20">
        <f>IF($B235="","",IF($AB235="","기본자료에 없는 사번",IF(COUNTIF($B$2:$B$401,$B235)&gt;1,"중복 사번",IF($AE235="","소속(입사장소) 입력",IF(IF(TRIM($J235&amp;"")="",0,SUMPRODUCT((입력_파견수련계획!$Q$4:$Q$803=TRIM($J235&amp;""))*(입력_파견수련계획!$AA$4:$AA$803&lt;&gt;"")))&gt;0,"파견수련계획 입력오류 확인",IF(LEFT($Y235,1)="⚠","서울·구리 15일 판정 불가(양쪽 모두 이상/미만)",IF(IF($AC235="",0,N(INDEX(입력_인턴근무계획!$T$3:$T$402,$AC235)))&gt;0,"인턴계획 입력오류 확인",IF(AND($AQ235&lt;&gt;"",$AG235&lt;&gt;"구리병원",IF(TRIM($J235&amp;"")="",0,SUMPRODUCT((입력_파견수련계획!$Q$4:$Q$803=TRIM($J235&amp;""))*(입력_파견수련계획!$S$4:$S$803="구리병원")*입력_파견수련계획!$W$4:$W$803))=0),"구리 근무자명단에만 있음(파견수련계획 확인)",IF(AND($AC235&lt;&gt;"",$U235&lt;&gt;"파견중",$N235&lt;&gt;$AE235),"인턴 타지역 근무: 파견 여부 확인","정상")))))))))</f>
        <v/>
      </c>
      <c r="AA235" s="5" t="n"/>
      <c r="AB235" s="10">
        <f>IF($B235="","",IFERROR(MATCH($B235,입력_기본자료!$B$2:$B$1001,0),IFERROR(MATCH($B235&amp;"",입력_기본자료!$B$2:$B$1001,0),IFERROR(MATCH(VALUE($B235),입력_기본자료!$B$2:$B$1001,0),""))))</f>
        <v/>
      </c>
      <c r="AC235" s="10">
        <f>IF($B235="","",IFERROR(MATCH($B235,입력_인턴근무계획!$D$3:$D$402,0),IFERROR(MATCH($B235&amp;"",입력_인턴근무계획!$D$3:$D$402,0),IFERROR(MATCH(VALUE($B235),입력_인턴근무계획!$D$3:$D$402,0),""))))</f>
        <v/>
      </c>
      <c r="AD235" s="10">
        <f>IF(OR($AC235="",출력_인턴현황!$G$3=""),"",INDEX(입력_인턴근무계획!$M$3:$R$402,$AC235,출력_인턴현황!$G$3)&amp;"")</f>
        <v/>
      </c>
      <c r="AE235" s="10">
        <f>IF($B235="","",IF($M235&lt;&gt;"",$M235,IF(IF($AQ235="",FALSE,INDEX(출력_구리근무자!$J$6:$J$305,$AQ235)="구리독자"),"구리병원",IF($AF235&lt;&gt;"",IF(LEFT(INDEX(입력_파견수련계획!$R$4:$R$803,$AF235),1)&lt;&gt;"⚠",INDEX(입력_파견수련계획!$R$4:$R$803,$AF235),IF($H235="","",IF(RIGHT($H235,2)="병원",$H235,$H235&amp;"병원"))),IF($H235="","",IF(RIGHT($H235,2)="병원",$H235,$H235&amp;"병원"))))))</f>
        <v/>
      </c>
      <c r="AF235" s="10">
        <f>IF(OR($B235="",TRIM($J235&amp;"")=""),"",IFERROR(MATCH(TRIM($J235&amp;"")&amp;"|파견중",입력_파견수련계획!$Y$4:$Y$803,0),IFERROR(MATCH(TRIM($J235&amp;"")&amp;"|파견예정",입력_파견수련계획!$Y$4:$Y$803,0),IFERROR(MATCH(TRIM($J235&amp;"")&amp;"|파견종료",입력_파견수련계획!$Y$4:$Y$803,0),""))))</f>
        <v/>
      </c>
      <c r="AG235" s="10">
        <f>IF($B235="","",IF(AND(IF(OR($AC235="",출력_인턴현황!$K$2=""),"",INDEX(입력_인턴근무계획!$M$3:$R$402,$AC235,출력_인턴현황!$K$2)&amp;"")&lt;&gt;"",LEFT(IF(OR($AC235="",출력_인턴현황!$K$2=""),"",INDEX(입력_인턴근무계획!$M$3:$R$402,$AC235,출력_인턴현황!$K$2)&amp;""),1)&lt;&gt;"⚠"),LEFT(IF(OR($AC235="",출력_인턴현황!$K$2=""),"",INDEX(입력_인턴근무계획!$M$3:$R$402,$AC235,출력_인턴현황!$K$2)&amp;""),FIND(" ",IF(OR($AC235="",출력_인턴현황!$K$2=""),"",INDEX(입력_인턴근무계획!$M$3:$R$402,$AC235,출력_인턴현황!$K$2)&amp;""))-1),$AE235))</f>
        <v/>
      </c>
      <c r="AH235" s="17">
        <f>IF($B235="","",IF($AQ235&lt;&gt;"",MAX(0,DAY(EOMONTH(출력_요약!$B$3,0))-N($AR235)),IF(TRIM($J235&amp;"")="",0,SUMPRODUCT((입력_파견수련계획!$Q$4:$Q$803=TRIM($J235&amp;""))*(입력_파견수련계획!$S$4:$S$803="서울병원")*입력_파견수련계획!$W$4:$W$803))+IF($AG235="서울병원",MAX(0,DAY(EOMONTH(출력_요약!$B$3,0))-N($X235)),0)))</f>
        <v/>
      </c>
      <c r="AI235" s="17">
        <f>IF($B235="","",IF($AQ235&lt;&gt;"",N($AR235),IF(TRIM($J235&amp;"")="",0,SUMPRODUCT((입력_파견수련계획!$Q$4:$Q$803=TRIM($J235&amp;""))*(입력_파견수련계획!$S$4:$S$803="구리병원")*입력_파견수련계획!$W$4:$W$803))+IF($AG235="구리병원",MAX(0,DAY(EOMONTH(출력_요약!$B$3,0))-N($X235)),0)))</f>
        <v/>
      </c>
      <c r="AJ235" s="10">
        <f>IF(OR($B235="",TRIM($J235&amp;"")=""),"",IFERROR(MATCH(TRIM($J235&amp;"")&amp;"|월",입력_파견수련계획!$Z$4:$Z$803,0),""))</f>
        <v/>
      </c>
      <c r="AK235" s="10">
        <f>IF(OR($B235="",TRIM($J235&amp;"")=""),"",IFERROR(MATCH(TRIM($J235&amp;"")&amp;"|다기관",입력_파견수련계획!$AE$4:$AE$803,0),""))</f>
        <v/>
      </c>
      <c r="AL235" s="10">
        <f>IF($AK235="","","다기관 "&amp;TEXT(INDEX(입력_파견수련계획!$AB$4:$AB$803,$AK235),"yyyy-mm-dd")&amp;"~"&amp;IF(ISNUMBER(INDEX(입력_파견수련계획!$AC$4:$AC$803,$AK235)),TEXT(INDEX(입력_파견수련계획!$AC$4:$AC$803,$AK235),"yyyy-mm-dd"),""))</f>
        <v/>
      </c>
      <c r="AM235" s="10">
        <f>IF($Y235="서울병원",COUNTIF($Y$2:$Y235,"서울병원"),"")</f>
        <v/>
      </c>
      <c r="AN235" s="10">
        <f>IF(LEFT($Y235,1)="⚠",COUNTIF($Y$2:$Y235,"⚠*"),"")</f>
        <v/>
      </c>
      <c r="AO235" s="10">
        <f>IF(OR($B235="",$Y235=""),"",IF(IF(TRIM($J235&amp;"")="",0,SUMPRODUCT((입력_파견수련계획!$Q$4:$Q$803=TRIM($J235&amp;""))*입력_파견수련계획!$AD$4:$AD$803))&gt;0,"다기관 기간 → 소속병원 지급",IF(AND(N($X235)&lt;=0,$AQ235=""),"파견 없음 → 그 달 근무병원 지급",IF($AH235+$AI235=DAY(EOMONTH(출력_요약!$B$3,0)),"서울 "&amp;$AH235&amp;"일 / 구리 "&amp;$AI235&amp;"일"&amp;IF($AQ235&lt;&gt;""," (구리 근무자명단 반영)","")&amp;" → 15일 이상 근무 병원 지급","타 병원 포함 → "&amp;IF($AJ235="","소속",INDEX(입력_파견수련계획!$T$4:$T$803,$AJ235))&amp;" 규칙"))))</f>
        <v/>
      </c>
      <c r="AP235" s="10">
        <f>IF($B235="","",$C235&amp;"|"&amp;$F235)</f>
        <v/>
      </c>
      <c r="AQ235" s="10">
        <f>IF($B235="","",IFERROR(MATCH(ROW()-1,출력_구리근무자!$K$6:$K$305,0),""))</f>
        <v/>
      </c>
      <c r="AR235" s="10">
        <f>IF($AQ235="","",INDEX(출력_구리근무자!$H$6:$H$305,$AQ235))</f>
        <v/>
      </c>
    </row>
    <row r="236">
      <c r="A236" s="10">
        <f>IF(B236="","",ROW()-1)</f>
        <v/>
      </c>
      <c r="B236" s="19" t="n"/>
      <c r="C236" s="10">
        <f>IF($AB236="","",IF(INDEX(입력_기본자료!$C$2:$C$1001,$AB236)="","",INDEX(입력_기본자료!$C$2:$C$1001,$AB236)))</f>
        <v/>
      </c>
      <c r="D236" s="10">
        <f>IF($AB236="","",IF(INDEX(입력_기본자료!$J$2:$J$1001,$AB236)="","",INDEX(입력_기본자료!$J$2:$J$1001,$AB236)))</f>
        <v/>
      </c>
      <c r="E236" s="11">
        <f>IF($AB236="","",IF(INDEX(입력_기본자료!$K$2:$K$1001,$AB236)="","",IF(NOT(ISNUMBER(INDEX(입력_기본자료!$K$2:$K$1001,$AB236))),INDEX(입력_기본자료!$K$2:$K$1001,$AB236),IF(INDEX(입력_기본자료!$K$2:$K$1001,$AB236)&lt;1000000,INDEX(입력_기본자료!$K$2:$K$1001,$AB236),IF(AND(INDEX(입력_기본자료!$K$2:$K$1001,$AB236)&gt;=10000101,INT(MOD(INDEX(입력_기본자료!$K$2:$K$1001,$AB236),10000)/100)&gt;=1,INT(MOD(INDEX(입력_기본자료!$K$2:$K$1001,$AB236),10000)/100)&lt;=12,MOD(INDEX(입력_기본자료!$K$2:$K$1001,$AB236),100)&gt;=1,MOD(INDEX(입력_기본자료!$K$2:$K$1001,$AB236),100)&lt;=31),DATE(INT(INDEX(입력_기본자료!$K$2:$K$1001,$AB236)/10000),INT(MOD(INDEX(입력_기본자료!$K$2:$K$1001,$AB236),10000)/100),MOD(INDEX(입력_기본자료!$K$2:$K$1001,$AB236),100)),INDEX(입력_기본자료!$K$2:$K$1001,$AB236)&amp;"")))))</f>
        <v/>
      </c>
      <c r="F236" s="10">
        <f>IF($AB236="","",IF(INDEX(입력_기본자료!$D$2:$D$1001,$AB236)="","",INDEX(입력_기본자료!$D$2:$D$1001,$AB236)))</f>
        <v/>
      </c>
      <c r="G236" s="10">
        <f>IF($AB236="","",IF(INDEX(입력_기본자료!$E$2:$E$1001,$AB236)="","",INDEX(입력_기본자료!$E$2:$E$1001,$AB236)))</f>
        <v/>
      </c>
      <c r="H236" s="10">
        <f>IF($AB236="","",IF(INDEX(입력_기본자료!$F$2:$F$1001,$AB236)="","",INDEX(입력_기본자료!$F$2:$F$1001,$AB236)))</f>
        <v/>
      </c>
      <c r="I236" s="11">
        <f>IF($AB236="","",IF(INDEX(입력_기본자료!$G$2:$G$1001,$AB236)="","",IF(NOT(ISNUMBER(INDEX(입력_기본자료!$G$2:$G$1001,$AB236))),INDEX(입력_기본자료!$G$2:$G$1001,$AB236),IF(INDEX(입력_기본자료!$G$2:$G$1001,$AB236)&lt;1000000,INDEX(입력_기본자료!$G$2:$G$1001,$AB236),IF(AND(INDEX(입력_기본자료!$G$2:$G$1001,$AB236)&gt;=10000101,INT(MOD(INDEX(입력_기본자료!$G$2:$G$1001,$AB236),10000)/100)&gt;=1,INT(MOD(INDEX(입력_기본자료!$G$2:$G$1001,$AB236),10000)/100)&lt;=12,MOD(INDEX(입력_기본자료!$G$2:$G$1001,$AB236),100)&gt;=1,MOD(INDEX(입력_기본자료!$G$2:$G$1001,$AB236),100)&lt;=31),DATE(INT(INDEX(입력_기본자료!$G$2:$G$1001,$AB236)/10000),INT(MOD(INDEX(입력_기본자료!$G$2:$G$1001,$AB236),10000)/100),MOD(INDEX(입력_기본자료!$G$2:$G$1001,$AB236),100)),INDEX(입력_기본자료!$G$2:$G$1001,$AB236)&amp;"")))))</f>
        <v/>
      </c>
      <c r="J236" s="10">
        <f>IF($AB236="","",IF(INDEX(입력_기본자료!$H$2:$H$1001,$AB236)="","",INDEX(입력_기본자료!$H$2:$H$1001,$AB236)))</f>
        <v/>
      </c>
      <c r="K236" s="10">
        <f>IF($AB236="","",IF(INDEX(입력_기본자료!$I$2:$I$1001,$AB236)="","",INDEX(입력_기본자료!$I$2:$I$1001,$AB236)))</f>
        <v/>
      </c>
      <c r="L236" s="10">
        <f>IF($AB236="","",IF(INDEX(입력_기본자료!$A$2:$A$1001,$AB236)="","",INDEX(입력_기본자료!$A$2:$A$1001,$AB236)))</f>
        <v/>
      </c>
      <c r="M236" s="15" t="n"/>
      <c r="N236" s="10">
        <f>IF($B236="","",IF(AND($U236="파견중",$Q236&lt;&gt;""),$Q236,IF(AND($AD236&lt;&gt;"",LEFT($AD236,1)&lt;&gt;"⚠"),LEFT($AD236,FIND(" ",$AD236)-1),IF($H236="","",IF(RIGHT($H236,2)="병원",$H236,$H236&amp;"병원")))))</f>
        <v/>
      </c>
      <c r="O236" s="10">
        <f>IF($B236="","",IF(AND($U236="파견중",$Q236&lt;&gt;""),IF($R236&lt;&gt;"",$R236,"파견과 미입력"),IF(AND($AD236&lt;&gt;"",LEFT($AD236,1)&lt;&gt;"⚠"),MID($AD236,FIND(" ",$AD236)+1,60),IF($F236="","",IF($F236="인턴","수련교육부(인턴)",$F236)))))</f>
        <v/>
      </c>
      <c r="P236" s="10">
        <f>IF($B236="","",IF($AK236&lt;&gt;"",IF(AND(TODAY()&gt;=INDEX(입력_파견수련계획!$AB$4:$AB$803,$AK236),OR(NOT(ISNUMBER(INDEX(입력_파견수련계획!$AC$4:$AC$803,$AK236))),TODAY()&lt;=INDEX(입력_파견수련계획!$AC$4:$AC$803,$AK236))),"다기관",IF($AF236="","",INDEX(입력_파견수련계획!$T$4:$T$803,$AF236))),IF($AF236="","",INDEX(입력_파견수련계획!$T$4:$T$803,$AF236))))</f>
        <v/>
      </c>
      <c r="Q236" s="10">
        <f>IF($AF236="","",INDEX(입력_파견수련계획!$S$4:$S$803,$AF236))</f>
        <v/>
      </c>
      <c r="R236" s="10">
        <f>IF($AF236="","",INDEX(입력_파견수련계획!$U$4:$U$803,$AF236))</f>
        <v/>
      </c>
      <c r="S236" s="11">
        <f>IF($AF236="","",IF(INDEX(입력_파견수련계획!$H$4:$H$803,$AF236)="","",INDEX(입력_파견수련계획!$H$4:$H$803,$AF236)))</f>
        <v/>
      </c>
      <c r="T236" s="11">
        <f>IF($AF236="","",IF(INDEX(입력_파견수련계획!$I$4:$I$803,$AF236)="","",INDEX(입력_파견수련계획!$I$4:$I$803,$AF236)))</f>
        <v/>
      </c>
      <c r="U236" s="10">
        <f>IF($AF236="","",INDEX(입력_파견수련계획!$X$4:$X$803,$AF236))</f>
        <v/>
      </c>
      <c r="V236" s="17">
        <f>IF($AF236="","",INDEX(입력_파견수련계획!$V$4:$V$803,$AF236))</f>
        <v/>
      </c>
      <c r="W236" s="17">
        <f>IF(AND($U236="파견중",$T236&lt;&gt;""),$T236-TODAY(),"")</f>
        <v/>
      </c>
      <c r="X236" s="17">
        <f>IF(OR($B236="",TRIM($J236&amp;"")=""),"",SUMPRODUCT((입력_파견수련계획!$Q$4:$Q$803=TRIM($J236&amp;""))*입력_파견수련계획!$W$4:$W$803))</f>
        <v/>
      </c>
      <c r="Y236" s="10">
        <f>IF($B236="","",IF($AG236="","",IF(IF(TRIM($J236&amp;"")="",0,SUMPRODUCT((입력_파견수련계획!$Q$4:$Q$803=TRIM($J236&amp;""))*입력_파견수련계획!$AD$4:$AD$803))&gt;0,$AE236,IF(AND(N($X236)&lt;=0,$AQ236=""),$AG236,IF($AH236+$AI236=DAY(EOMONTH(출력_요약!$B$3,0)),IF(AND($AH236&gt;=출력_요약!$E$3,$AI236&lt;출력_요약!$E$3),"서울병원",IF(AND($AI236&gt;=출력_요약!$E$3,$AH236&lt;출력_요약!$E$3),"구리병원","⚠15일 판정불가(서울 "&amp;$AH236&amp;"일/구리 "&amp;$AI236&amp;"일)")),IF($AJ236="",$AE236,IF(INDEX(입력_파견수련계획!$T$4:$T$803,$AJ236)="통합수련",INDEX(입력_파견수련계획!$S$4:$S$803,$AJ236),$AE236)))))))</f>
        <v/>
      </c>
      <c r="Z236" s="20">
        <f>IF($B236="","",IF($AB236="","기본자료에 없는 사번",IF(COUNTIF($B$2:$B$401,$B236)&gt;1,"중복 사번",IF($AE236="","소속(입사장소) 입력",IF(IF(TRIM($J236&amp;"")="",0,SUMPRODUCT((입력_파견수련계획!$Q$4:$Q$803=TRIM($J236&amp;""))*(입력_파견수련계획!$AA$4:$AA$803&lt;&gt;"")))&gt;0,"파견수련계획 입력오류 확인",IF(LEFT($Y236,1)="⚠","서울·구리 15일 판정 불가(양쪽 모두 이상/미만)",IF(IF($AC236="",0,N(INDEX(입력_인턴근무계획!$T$3:$T$402,$AC236)))&gt;0,"인턴계획 입력오류 확인",IF(AND($AQ236&lt;&gt;"",$AG236&lt;&gt;"구리병원",IF(TRIM($J236&amp;"")="",0,SUMPRODUCT((입력_파견수련계획!$Q$4:$Q$803=TRIM($J236&amp;""))*(입력_파견수련계획!$S$4:$S$803="구리병원")*입력_파견수련계획!$W$4:$W$803))=0),"구리 근무자명단에만 있음(파견수련계획 확인)",IF(AND($AC236&lt;&gt;"",$U236&lt;&gt;"파견중",$N236&lt;&gt;$AE236),"인턴 타지역 근무: 파견 여부 확인","정상")))))))))</f>
        <v/>
      </c>
      <c r="AA236" s="5" t="n"/>
      <c r="AB236" s="10">
        <f>IF($B236="","",IFERROR(MATCH($B236,입력_기본자료!$B$2:$B$1001,0),IFERROR(MATCH($B236&amp;"",입력_기본자료!$B$2:$B$1001,0),IFERROR(MATCH(VALUE($B236),입력_기본자료!$B$2:$B$1001,0),""))))</f>
        <v/>
      </c>
      <c r="AC236" s="10">
        <f>IF($B236="","",IFERROR(MATCH($B236,입력_인턴근무계획!$D$3:$D$402,0),IFERROR(MATCH($B236&amp;"",입력_인턴근무계획!$D$3:$D$402,0),IFERROR(MATCH(VALUE($B236),입력_인턴근무계획!$D$3:$D$402,0),""))))</f>
        <v/>
      </c>
      <c r="AD236" s="10">
        <f>IF(OR($AC236="",출력_인턴현황!$G$3=""),"",INDEX(입력_인턴근무계획!$M$3:$R$402,$AC236,출력_인턴현황!$G$3)&amp;"")</f>
        <v/>
      </c>
      <c r="AE236" s="10">
        <f>IF($B236="","",IF($M236&lt;&gt;"",$M236,IF(IF($AQ236="",FALSE,INDEX(출력_구리근무자!$J$6:$J$305,$AQ236)="구리독자"),"구리병원",IF($AF236&lt;&gt;"",IF(LEFT(INDEX(입력_파견수련계획!$R$4:$R$803,$AF236),1)&lt;&gt;"⚠",INDEX(입력_파견수련계획!$R$4:$R$803,$AF236),IF($H236="","",IF(RIGHT($H236,2)="병원",$H236,$H236&amp;"병원"))),IF($H236="","",IF(RIGHT($H236,2)="병원",$H236,$H236&amp;"병원"))))))</f>
        <v/>
      </c>
      <c r="AF236" s="10">
        <f>IF(OR($B236="",TRIM($J236&amp;"")=""),"",IFERROR(MATCH(TRIM($J236&amp;"")&amp;"|파견중",입력_파견수련계획!$Y$4:$Y$803,0),IFERROR(MATCH(TRIM($J236&amp;"")&amp;"|파견예정",입력_파견수련계획!$Y$4:$Y$803,0),IFERROR(MATCH(TRIM($J236&amp;"")&amp;"|파견종료",입력_파견수련계획!$Y$4:$Y$803,0),""))))</f>
        <v/>
      </c>
      <c r="AG236" s="10">
        <f>IF($B236="","",IF(AND(IF(OR($AC236="",출력_인턴현황!$K$2=""),"",INDEX(입력_인턴근무계획!$M$3:$R$402,$AC236,출력_인턴현황!$K$2)&amp;"")&lt;&gt;"",LEFT(IF(OR($AC236="",출력_인턴현황!$K$2=""),"",INDEX(입력_인턴근무계획!$M$3:$R$402,$AC236,출력_인턴현황!$K$2)&amp;""),1)&lt;&gt;"⚠"),LEFT(IF(OR($AC236="",출력_인턴현황!$K$2=""),"",INDEX(입력_인턴근무계획!$M$3:$R$402,$AC236,출력_인턴현황!$K$2)&amp;""),FIND(" ",IF(OR($AC236="",출력_인턴현황!$K$2=""),"",INDEX(입력_인턴근무계획!$M$3:$R$402,$AC236,출력_인턴현황!$K$2)&amp;""))-1),$AE236))</f>
        <v/>
      </c>
      <c r="AH236" s="17">
        <f>IF($B236="","",IF($AQ236&lt;&gt;"",MAX(0,DAY(EOMONTH(출력_요약!$B$3,0))-N($AR236)),IF(TRIM($J236&amp;"")="",0,SUMPRODUCT((입력_파견수련계획!$Q$4:$Q$803=TRIM($J236&amp;""))*(입력_파견수련계획!$S$4:$S$803="서울병원")*입력_파견수련계획!$W$4:$W$803))+IF($AG236="서울병원",MAX(0,DAY(EOMONTH(출력_요약!$B$3,0))-N($X236)),0)))</f>
        <v/>
      </c>
      <c r="AI236" s="17">
        <f>IF($B236="","",IF($AQ236&lt;&gt;"",N($AR236),IF(TRIM($J236&amp;"")="",0,SUMPRODUCT((입력_파견수련계획!$Q$4:$Q$803=TRIM($J236&amp;""))*(입력_파견수련계획!$S$4:$S$803="구리병원")*입력_파견수련계획!$W$4:$W$803))+IF($AG236="구리병원",MAX(0,DAY(EOMONTH(출력_요약!$B$3,0))-N($X236)),0)))</f>
        <v/>
      </c>
      <c r="AJ236" s="10">
        <f>IF(OR($B236="",TRIM($J236&amp;"")=""),"",IFERROR(MATCH(TRIM($J236&amp;"")&amp;"|월",입력_파견수련계획!$Z$4:$Z$803,0),""))</f>
        <v/>
      </c>
      <c r="AK236" s="10">
        <f>IF(OR($B236="",TRIM($J236&amp;"")=""),"",IFERROR(MATCH(TRIM($J236&amp;"")&amp;"|다기관",입력_파견수련계획!$AE$4:$AE$803,0),""))</f>
        <v/>
      </c>
      <c r="AL236" s="10">
        <f>IF($AK236="","","다기관 "&amp;TEXT(INDEX(입력_파견수련계획!$AB$4:$AB$803,$AK236),"yyyy-mm-dd")&amp;"~"&amp;IF(ISNUMBER(INDEX(입력_파견수련계획!$AC$4:$AC$803,$AK236)),TEXT(INDEX(입력_파견수련계획!$AC$4:$AC$803,$AK236),"yyyy-mm-dd"),""))</f>
        <v/>
      </c>
      <c r="AM236" s="10">
        <f>IF($Y236="서울병원",COUNTIF($Y$2:$Y236,"서울병원"),"")</f>
        <v/>
      </c>
      <c r="AN236" s="10">
        <f>IF(LEFT($Y236,1)="⚠",COUNTIF($Y$2:$Y236,"⚠*"),"")</f>
        <v/>
      </c>
      <c r="AO236" s="10">
        <f>IF(OR($B236="",$Y236=""),"",IF(IF(TRIM($J236&amp;"")="",0,SUMPRODUCT((입력_파견수련계획!$Q$4:$Q$803=TRIM($J236&amp;""))*입력_파견수련계획!$AD$4:$AD$803))&gt;0,"다기관 기간 → 소속병원 지급",IF(AND(N($X236)&lt;=0,$AQ236=""),"파견 없음 → 그 달 근무병원 지급",IF($AH236+$AI236=DAY(EOMONTH(출력_요약!$B$3,0)),"서울 "&amp;$AH236&amp;"일 / 구리 "&amp;$AI236&amp;"일"&amp;IF($AQ236&lt;&gt;""," (구리 근무자명단 반영)","")&amp;" → 15일 이상 근무 병원 지급","타 병원 포함 → "&amp;IF($AJ236="","소속",INDEX(입력_파견수련계획!$T$4:$T$803,$AJ236))&amp;" 규칙"))))</f>
        <v/>
      </c>
      <c r="AP236" s="10">
        <f>IF($B236="","",$C236&amp;"|"&amp;$F236)</f>
        <v/>
      </c>
      <c r="AQ236" s="10">
        <f>IF($B236="","",IFERROR(MATCH(ROW()-1,출력_구리근무자!$K$6:$K$305,0),""))</f>
        <v/>
      </c>
      <c r="AR236" s="10">
        <f>IF($AQ236="","",INDEX(출력_구리근무자!$H$6:$H$305,$AQ236))</f>
        <v/>
      </c>
    </row>
    <row r="237">
      <c r="A237" s="10">
        <f>IF(B237="","",ROW()-1)</f>
        <v/>
      </c>
      <c r="B237" s="19" t="n"/>
      <c r="C237" s="10">
        <f>IF($AB237="","",IF(INDEX(입력_기본자료!$C$2:$C$1001,$AB237)="","",INDEX(입력_기본자료!$C$2:$C$1001,$AB237)))</f>
        <v/>
      </c>
      <c r="D237" s="10">
        <f>IF($AB237="","",IF(INDEX(입력_기본자료!$J$2:$J$1001,$AB237)="","",INDEX(입력_기본자료!$J$2:$J$1001,$AB237)))</f>
        <v/>
      </c>
      <c r="E237" s="11">
        <f>IF($AB237="","",IF(INDEX(입력_기본자료!$K$2:$K$1001,$AB237)="","",IF(NOT(ISNUMBER(INDEX(입력_기본자료!$K$2:$K$1001,$AB237))),INDEX(입력_기본자료!$K$2:$K$1001,$AB237),IF(INDEX(입력_기본자료!$K$2:$K$1001,$AB237)&lt;1000000,INDEX(입력_기본자료!$K$2:$K$1001,$AB237),IF(AND(INDEX(입력_기본자료!$K$2:$K$1001,$AB237)&gt;=10000101,INT(MOD(INDEX(입력_기본자료!$K$2:$K$1001,$AB237),10000)/100)&gt;=1,INT(MOD(INDEX(입력_기본자료!$K$2:$K$1001,$AB237),10000)/100)&lt;=12,MOD(INDEX(입력_기본자료!$K$2:$K$1001,$AB237),100)&gt;=1,MOD(INDEX(입력_기본자료!$K$2:$K$1001,$AB237),100)&lt;=31),DATE(INT(INDEX(입력_기본자료!$K$2:$K$1001,$AB237)/10000),INT(MOD(INDEX(입력_기본자료!$K$2:$K$1001,$AB237),10000)/100),MOD(INDEX(입력_기본자료!$K$2:$K$1001,$AB237),100)),INDEX(입력_기본자료!$K$2:$K$1001,$AB237)&amp;"")))))</f>
        <v/>
      </c>
      <c r="F237" s="10">
        <f>IF($AB237="","",IF(INDEX(입력_기본자료!$D$2:$D$1001,$AB237)="","",INDEX(입력_기본자료!$D$2:$D$1001,$AB237)))</f>
        <v/>
      </c>
      <c r="G237" s="10">
        <f>IF($AB237="","",IF(INDEX(입력_기본자료!$E$2:$E$1001,$AB237)="","",INDEX(입력_기본자료!$E$2:$E$1001,$AB237)))</f>
        <v/>
      </c>
      <c r="H237" s="10">
        <f>IF($AB237="","",IF(INDEX(입력_기본자료!$F$2:$F$1001,$AB237)="","",INDEX(입력_기본자료!$F$2:$F$1001,$AB237)))</f>
        <v/>
      </c>
      <c r="I237" s="11">
        <f>IF($AB237="","",IF(INDEX(입력_기본자료!$G$2:$G$1001,$AB237)="","",IF(NOT(ISNUMBER(INDEX(입력_기본자료!$G$2:$G$1001,$AB237))),INDEX(입력_기본자료!$G$2:$G$1001,$AB237),IF(INDEX(입력_기본자료!$G$2:$G$1001,$AB237)&lt;1000000,INDEX(입력_기본자료!$G$2:$G$1001,$AB237),IF(AND(INDEX(입력_기본자료!$G$2:$G$1001,$AB237)&gt;=10000101,INT(MOD(INDEX(입력_기본자료!$G$2:$G$1001,$AB237),10000)/100)&gt;=1,INT(MOD(INDEX(입력_기본자료!$G$2:$G$1001,$AB237),10000)/100)&lt;=12,MOD(INDEX(입력_기본자료!$G$2:$G$1001,$AB237),100)&gt;=1,MOD(INDEX(입력_기본자료!$G$2:$G$1001,$AB237),100)&lt;=31),DATE(INT(INDEX(입력_기본자료!$G$2:$G$1001,$AB237)/10000),INT(MOD(INDEX(입력_기본자료!$G$2:$G$1001,$AB237),10000)/100),MOD(INDEX(입력_기본자료!$G$2:$G$1001,$AB237),100)),INDEX(입력_기본자료!$G$2:$G$1001,$AB237)&amp;"")))))</f>
        <v/>
      </c>
      <c r="J237" s="10">
        <f>IF($AB237="","",IF(INDEX(입력_기본자료!$H$2:$H$1001,$AB237)="","",INDEX(입력_기본자료!$H$2:$H$1001,$AB237)))</f>
        <v/>
      </c>
      <c r="K237" s="10">
        <f>IF($AB237="","",IF(INDEX(입력_기본자료!$I$2:$I$1001,$AB237)="","",INDEX(입력_기본자료!$I$2:$I$1001,$AB237)))</f>
        <v/>
      </c>
      <c r="L237" s="10">
        <f>IF($AB237="","",IF(INDEX(입력_기본자료!$A$2:$A$1001,$AB237)="","",INDEX(입력_기본자료!$A$2:$A$1001,$AB237)))</f>
        <v/>
      </c>
      <c r="M237" s="15" t="n"/>
      <c r="N237" s="10">
        <f>IF($B237="","",IF(AND($U237="파견중",$Q237&lt;&gt;""),$Q237,IF(AND($AD237&lt;&gt;"",LEFT($AD237,1)&lt;&gt;"⚠"),LEFT($AD237,FIND(" ",$AD237)-1),IF($H237="","",IF(RIGHT($H237,2)="병원",$H237,$H237&amp;"병원")))))</f>
        <v/>
      </c>
      <c r="O237" s="10">
        <f>IF($B237="","",IF(AND($U237="파견중",$Q237&lt;&gt;""),IF($R237&lt;&gt;"",$R237,"파견과 미입력"),IF(AND($AD237&lt;&gt;"",LEFT($AD237,1)&lt;&gt;"⚠"),MID($AD237,FIND(" ",$AD237)+1,60),IF($F237="","",IF($F237="인턴","수련교육부(인턴)",$F237)))))</f>
        <v/>
      </c>
      <c r="P237" s="10">
        <f>IF($B237="","",IF($AK237&lt;&gt;"",IF(AND(TODAY()&gt;=INDEX(입력_파견수련계획!$AB$4:$AB$803,$AK237),OR(NOT(ISNUMBER(INDEX(입력_파견수련계획!$AC$4:$AC$803,$AK237))),TODAY()&lt;=INDEX(입력_파견수련계획!$AC$4:$AC$803,$AK237))),"다기관",IF($AF237="","",INDEX(입력_파견수련계획!$T$4:$T$803,$AF237))),IF($AF237="","",INDEX(입력_파견수련계획!$T$4:$T$803,$AF237))))</f>
        <v/>
      </c>
      <c r="Q237" s="10">
        <f>IF($AF237="","",INDEX(입력_파견수련계획!$S$4:$S$803,$AF237))</f>
        <v/>
      </c>
      <c r="R237" s="10">
        <f>IF($AF237="","",INDEX(입력_파견수련계획!$U$4:$U$803,$AF237))</f>
        <v/>
      </c>
      <c r="S237" s="11">
        <f>IF($AF237="","",IF(INDEX(입력_파견수련계획!$H$4:$H$803,$AF237)="","",INDEX(입력_파견수련계획!$H$4:$H$803,$AF237)))</f>
        <v/>
      </c>
      <c r="T237" s="11">
        <f>IF($AF237="","",IF(INDEX(입력_파견수련계획!$I$4:$I$803,$AF237)="","",INDEX(입력_파견수련계획!$I$4:$I$803,$AF237)))</f>
        <v/>
      </c>
      <c r="U237" s="10">
        <f>IF($AF237="","",INDEX(입력_파견수련계획!$X$4:$X$803,$AF237))</f>
        <v/>
      </c>
      <c r="V237" s="17">
        <f>IF($AF237="","",INDEX(입력_파견수련계획!$V$4:$V$803,$AF237))</f>
        <v/>
      </c>
      <c r="W237" s="17">
        <f>IF(AND($U237="파견중",$T237&lt;&gt;""),$T237-TODAY(),"")</f>
        <v/>
      </c>
      <c r="X237" s="17">
        <f>IF(OR($B237="",TRIM($J237&amp;"")=""),"",SUMPRODUCT((입력_파견수련계획!$Q$4:$Q$803=TRIM($J237&amp;""))*입력_파견수련계획!$W$4:$W$803))</f>
        <v/>
      </c>
      <c r="Y237" s="10">
        <f>IF($B237="","",IF($AG237="","",IF(IF(TRIM($J237&amp;"")="",0,SUMPRODUCT((입력_파견수련계획!$Q$4:$Q$803=TRIM($J237&amp;""))*입력_파견수련계획!$AD$4:$AD$803))&gt;0,$AE237,IF(AND(N($X237)&lt;=0,$AQ237=""),$AG237,IF($AH237+$AI237=DAY(EOMONTH(출력_요약!$B$3,0)),IF(AND($AH237&gt;=출력_요약!$E$3,$AI237&lt;출력_요약!$E$3),"서울병원",IF(AND($AI237&gt;=출력_요약!$E$3,$AH237&lt;출력_요약!$E$3),"구리병원","⚠15일 판정불가(서울 "&amp;$AH237&amp;"일/구리 "&amp;$AI237&amp;"일)")),IF($AJ237="",$AE237,IF(INDEX(입력_파견수련계획!$T$4:$T$803,$AJ237)="통합수련",INDEX(입력_파견수련계획!$S$4:$S$803,$AJ237),$AE237)))))))</f>
        <v/>
      </c>
      <c r="Z237" s="20">
        <f>IF($B237="","",IF($AB237="","기본자료에 없는 사번",IF(COUNTIF($B$2:$B$401,$B237)&gt;1,"중복 사번",IF($AE237="","소속(입사장소) 입력",IF(IF(TRIM($J237&amp;"")="",0,SUMPRODUCT((입력_파견수련계획!$Q$4:$Q$803=TRIM($J237&amp;""))*(입력_파견수련계획!$AA$4:$AA$803&lt;&gt;"")))&gt;0,"파견수련계획 입력오류 확인",IF(LEFT($Y237,1)="⚠","서울·구리 15일 판정 불가(양쪽 모두 이상/미만)",IF(IF($AC237="",0,N(INDEX(입력_인턴근무계획!$T$3:$T$402,$AC237)))&gt;0,"인턴계획 입력오류 확인",IF(AND($AQ237&lt;&gt;"",$AG237&lt;&gt;"구리병원",IF(TRIM($J237&amp;"")="",0,SUMPRODUCT((입력_파견수련계획!$Q$4:$Q$803=TRIM($J237&amp;""))*(입력_파견수련계획!$S$4:$S$803="구리병원")*입력_파견수련계획!$W$4:$W$803))=0),"구리 근무자명단에만 있음(파견수련계획 확인)",IF(AND($AC237&lt;&gt;"",$U237&lt;&gt;"파견중",$N237&lt;&gt;$AE237),"인턴 타지역 근무: 파견 여부 확인","정상")))))))))</f>
        <v/>
      </c>
      <c r="AA237" s="5" t="n"/>
      <c r="AB237" s="10">
        <f>IF($B237="","",IFERROR(MATCH($B237,입력_기본자료!$B$2:$B$1001,0),IFERROR(MATCH($B237&amp;"",입력_기본자료!$B$2:$B$1001,0),IFERROR(MATCH(VALUE($B237),입력_기본자료!$B$2:$B$1001,0),""))))</f>
        <v/>
      </c>
      <c r="AC237" s="10">
        <f>IF($B237="","",IFERROR(MATCH($B237,입력_인턴근무계획!$D$3:$D$402,0),IFERROR(MATCH($B237&amp;"",입력_인턴근무계획!$D$3:$D$402,0),IFERROR(MATCH(VALUE($B237),입력_인턴근무계획!$D$3:$D$402,0),""))))</f>
        <v/>
      </c>
      <c r="AD237" s="10">
        <f>IF(OR($AC237="",출력_인턴현황!$G$3=""),"",INDEX(입력_인턴근무계획!$M$3:$R$402,$AC237,출력_인턴현황!$G$3)&amp;"")</f>
        <v/>
      </c>
      <c r="AE237" s="10">
        <f>IF($B237="","",IF($M237&lt;&gt;"",$M237,IF(IF($AQ237="",FALSE,INDEX(출력_구리근무자!$J$6:$J$305,$AQ237)="구리독자"),"구리병원",IF($AF237&lt;&gt;"",IF(LEFT(INDEX(입력_파견수련계획!$R$4:$R$803,$AF237),1)&lt;&gt;"⚠",INDEX(입력_파견수련계획!$R$4:$R$803,$AF237),IF($H237="","",IF(RIGHT($H237,2)="병원",$H237,$H237&amp;"병원"))),IF($H237="","",IF(RIGHT($H237,2)="병원",$H237,$H237&amp;"병원"))))))</f>
        <v/>
      </c>
      <c r="AF237" s="10">
        <f>IF(OR($B237="",TRIM($J237&amp;"")=""),"",IFERROR(MATCH(TRIM($J237&amp;"")&amp;"|파견중",입력_파견수련계획!$Y$4:$Y$803,0),IFERROR(MATCH(TRIM($J237&amp;"")&amp;"|파견예정",입력_파견수련계획!$Y$4:$Y$803,0),IFERROR(MATCH(TRIM($J237&amp;"")&amp;"|파견종료",입력_파견수련계획!$Y$4:$Y$803,0),""))))</f>
        <v/>
      </c>
      <c r="AG237" s="10">
        <f>IF($B237="","",IF(AND(IF(OR($AC237="",출력_인턴현황!$K$2=""),"",INDEX(입력_인턴근무계획!$M$3:$R$402,$AC237,출력_인턴현황!$K$2)&amp;"")&lt;&gt;"",LEFT(IF(OR($AC237="",출력_인턴현황!$K$2=""),"",INDEX(입력_인턴근무계획!$M$3:$R$402,$AC237,출력_인턴현황!$K$2)&amp;""),1)&lt;&gt;"⚠"),LEFT(IF(OR($AC237="",출력_인턴현황!$K$2=""),"",INDEX(입력_인턴근무계획!$M$3:$R$402,$AC237,출력_인턴현황!$K$2)&amp;""),FIND(" ",IF(OR($AC237="",출력_인턴현황!$K$2=""),"",INDEX(입력_인턴근무계획!$M$3:$R$402,$AC237,출력_인턴현황!$K$2)&amp;""))-1),$AE237))</f>
        <v/>
      </c>
      <c r="AH237" s="17">
        <f>IF($B237="","",IF($AQ237&lt;&gt;"",MAX(0,DAY(EOMONTH(출력_요약!$B$3,0))-N($AR237)),IF(TRIM($J237&amp;"")="",0,SUMPRODUCT((입력_파견수련계획!$Q$4:$Q$803=TRIM($J237&amp;""))*(입력_파견수련계획!$S$4:$S$803="서울병원")*입력_파견수련계획!$W$4:$W$803))+IF($AG237="서울병원",MAX(0,DAY(EOMONTH(출력_요약!$B$3,0))-N($X237)),0)))</f>
        <v/>
      </c>
      <c r="AI237" s="17">
        <f>IF($B237="","",IF($AQ237&lt;&gt;"",N($AR237),IF(TRIM($J237&amp;"")="",0,SUMPRODUCT((입력_파견수련계획!$Q$4:$Q$803=TRIM($J237&amp;""))*(입력_파견수련계획!$S$4:$S$803="구리병원")*입력_파견수련계획!$W$4:$W$803))+IF($AG237="구리병원",MAX(0,DAY(EOMONTH(출력_요약!$B$3,0))-N($X237)),0)))</f>
        <v/>
      </c>
      <c r="AJ237" s="10">
        <f>IF(OR($B237="",TRIM($J237&amp;"")=""),"",IFERROR(MATCH(TRIM($J237&amp;"")&amp;"|월",입력_파견수련계획!$Z$4:$Z$803,0),""))</f>
        <v/>
      </c>
      <c r="AK237" s="10">
        <f>IF(OR($B237="",TRIM($J237&amp;"")=""),"",IFERROR(MATCH(TRIM($J237&amp;"")&amp;"|다기관",입력_파견수련계획!$AE$4:$AE$803,0),""))</f>
        <v/>
      </c>
      <c r="AL237" s="10">
        <f>IF($AK237="","","다기관 "&amp;TEXT(INDEX(입력_파견수련계획!$AB$4:$AB$803,$AK237),"yyyy-mm-dd")&amp;"~"&amp;IF(ISNUMBER(INDEX(입력_파견수련계획!$AC$4:$AC$803,$AK237)),TEXT(INDEX(입력_파견수련계획!$AC$4:$AC$803,$AK237),"yyyy-mm-dd"),""))</f>
        <v/>
      </c>
      <c r="AM237" s="10">
        <f>IF($Y237="서울병원",COUNTIF($Y$2:$Y237,"서울병원"),"")</f>
        <v/>
      </c>
      <c r="AN237" s="10">
        <f>IF(LEFT($Y237,1)="⚠",COUNTIF($Y$2:$Y237,"⚠*"),"")</f>
        <v/>
      </c>
      <c r="AO237" s="10">
        <f>IF(OR($B237="",$Y237=""),"",IF(IF(TRIM($J237&amp;"")="",0,SUMPRODUCT((입력_파견수련계획!$Q$4:$Q$803=TRIM($J237&amp;""))*입력_파견수련계획!$AD$4:$AD$803))&gt;0,"다기관 기간 → 소속병원 지급",IF(AND(N($X237)&lt;=0,$AQ237=""),"파견 없음 → 그 달 근무병원 지급",IF($AH237+$AI237=DAY(EOMONTH(출력_요약!$B$3,0)),"서울 "&amp;$AH237&amp;"일 / 구리 "&amp;$AI237&amp;"일"&amp;IF($AQ237&lt;&gt;""," (구리 근무자명단 반영)","")&amp;" → 15일 이상 근무 병원 지급","타 병원 포함 → "&amp;IF($AJ237="","소속",INDEX(입력_파견수련계획!$T$4:$T$803,$AJ237))&amp;" 규칙"))))</f>
        <v/>
      </c>
      <c r="AP237" s="10">
        <f>IF($B237="","",$C237&amp;"|"&amp;$F237)</f>
        <v/>
      </c>
      <c r="AQ237" s="10">
        <f>IF($B237="","",IFERROR(MATCH(ROW()-1,출력_구리근무자!$K$6:$K$305,0),""))</f>
        <v/>
      </c>
      <c r="AR237" s="10">
        <f>IF($AQ237="","",INDEX(출력_구리근무자!$H$6:$H$305,$AQ237))</f>
        <v/>
      </c>
    </row>
    <row r="238">
      <c r="A238" s="10">
        <f>IF(B238="","",ROW()-1)</f>
        <v/>
      </c>
      <c r="B238" s="19" t="n"/>
      <c r="C238" s="10">
        <f>IF($AB238="","",IF(INDEX(입력_기본자료!$C$2:$C$1001,$AB238)="","",INDEX(입력_기본자료!$C$2:$C$1001,$AB238)))</f>
        <v/>
      </c>
      <c r="D238" s="10">
        <f>IF($AB238="","",IF(INDEX(입력_기본자료!$J$2:$J$1001,$AB238)="","",INDEX(입력_기본자료!$J$2:$J$1001,$AB238)))</f>
        <v/>
      </c>
      <c r="E238" s="11">
        <f>IF($AB238="","",IF(INDEX(입력_기본자료!$K$2:$K$1001,$AB238)="","",IF(NOT(ISNUMBER(INDEX(입력_기본자료!$K$2:$K$1001,$AB238))),INDEX(입력_기본자료!$K$2:$K$1001,$AB238),IF(INDEX(입력_기본자료!$K$2:$K$1001,$AB238)&lt;1000000,INDEX(입력_기본자료!$K$2:$K$1001,$AB238),IF(AND(INDEX(입력_기본자료!$K$2:$K$1001,$AB238)&gt;=10000101,INT(MOD(INDEX(입력_기본자료!$K$2:$K$1001,$AB238),10000)/100)&gt;=1,INT(MOD(INDEX(입력_기본자료!$K$2:$K$1001,$AB238),10000)/100)&lt;=12,MOD(INDEX(입력_기본자료!$K$2:$K$1001,$AB238),100)&gt;=1,MOD(INDEX(입력_기본자료!$K$2:$K$1001,$AB238),100)&lt;=31),DATE(INT(INDEX(입력_기본자료!$K$2:$K$1001,$AB238)/10000),INT(MOD(INDEX(입력_기본자료!$K$2:$K$1001,$AB238),10000)/100),MOD(INDEX(입력_기본자료!$K$2:$K$1001,$AB238),100)),INDEX(입력_기본자료!$K$2:$K$1001,$AB238)&amp;"")))))</f>
        <v/>
      </c>
      <c r="F238" s="10">
        <f>IF($AB238="","",IF(INDEX(입력_기본자료!$D$2:$D$1001,$AB238)="","",INDEX(입력_기본자료!$D$2:$D$1001,$AB238)))</f>
        <v/>
      </c>
      <c r="G238" s="10">
        <f>IF($AB238="","",IF(INDEX(입력_기본자료!$E$2:$E$1001,$AB238)="","",INDEX(입력_기본자료!$E$2:$E$1001,$AB238)))</f>
        <v/>
      </c>
      <c r="H238" s="10">
        <f>IF($AB238="","",IF(INDEX(입력_기본자료!$F$2:$F$1001,$AB238)="","",INDEX(입력_기본자료!$F$2:$F$1001,$AB238)))</f>
        <v/>
      </c>
      <c r="I238" s="11">
        <f>IF($AB238="","",IF(INDEX(입력_기본자료!$G$2:$G$1001,$AB238)="","",IF(NOT(ISNUMBER(INDEX(입력_기본자료!$G$2:$G$1001,$AB238))),INDEX(입력_기본자료!$G$2:$G$1001,$AB238),IF(INDEX(입력_기본자료!$G$2:$G$1001,$AB238)&lt;1000000,INDEX(입력_기본자료!$G$2:$G$1001,$AB238),IF(AND(INDEX(입력_기본자료!$G$2:$G$1001,$AB238)&gt;=10000101,INT(MOD(INDEX(입력_기본자료!$G$2:$G$1001,$AB238),10000)/100)&gt;=1,INT(MOD(INDEX(입력_기본자료!$G$2:$G$1001,$AB238),10000)/100)&lt;=12,MOD(INDEX(입력_기본자료!$G$2:$G$1001,$AB238),100)&gt;=1,MOD(INDEX(입력_기본자료!$G$2:$G$1001,$AB238),100)&lt;=31),DATE(INT(INDEX(입력_기본자료!$G$2:$G$1001,$AB238)/10000),INT(MOD(INDEX(입력_기본자료!$G$2:$G$1001,$AB238),10000)/100),MOD(INDEX(입력_기본자료!$G$2:$G$1001,$AB238),100)),INDEX(입력_기본자료!$G$2:$G$1001,$AB238)&amp;"")))))</f>
        <v/>
      </c>
      <c r="J238" s="10">
        <f>IF($AB238="","",IF(INDEX(입력_기본자료!$H$2:$H$1001,$AB238)="","",INDEX(입력_기본자료!$H$2:$H$1001,$AB238)))</f>
        <v/>
      </c>
      <c r="K238" s="10">
        <f>IF($AB238="","",IF(INDEX(입력_기본자료!$I$2:$I$1001,$AB238)="","",INDEX(입력_기본자료!$I$2:$I$1001,$AB238)))</f>
        <v/>
      </c>
      <c r="L238" s="10">
        <f>IF($AB238="","",IF(INDEX(입력_기본자료!$A$2:$A$1001,$AB238)="","",INDEX(입력_기본자료!$A$2:$A$1001,$AB238)))</f>
        <v/>
      </c>
      <c r="M238" s="15" t="n"/>
      <c r="N238" s="10">
        <f>IF($B238="","",IF(AND($U238="파견중",$Q238&lt;&gt;""),$Q238,IF(AND($AD238&lt;&gt;"",LEFT($AD238,1)&lt;&gt;"⚠"),LEFT($AD238,FIND(" ",$AD238)-1),IF($H238="","",IF(RIGHT($H238,2)="병원",$H238,$H238&amp;"병원")))))</f>
        <v/>
      </c>
      <c r="O238" s="10">
        <f>IF($B238="","",IF(AND($U238="파견중",$Q238&lt;&gt;""),IF($R238&lt;&gt;"",$R238,"파견과 미입력"),IF(AND($AD238&lt;&gt;"",LEFT($AD238,1)&lt;&gt;"⚠"),MID($AD238,FIND(" ",$AD238)+1,60),IF($F238="","",IF($F238="인턴","수련교육부(인턴)",$F238)))))</f>
        <v/>
      </c>
      <c r="P238" s="10">
        <f>IF($B238="","",IF($AK238&lt;&gt;"",IF(AND(TODAY()&gt;=INDEX(입력_파견수련계획!$AB$4:$AB$803,$AK238),OR(NOT(ISNUMBER(INDEX(입력_파견수련계획!$AC$4:$AC$803,$AK238))),TODAY()&lt;=INDEX(입력_파견수련계획!$AC$4:$AC$803,$AK238))),"다기관",IF($AF238="","",INDEX(입력_파견수련계획!$T$4:$T$803,$AF238))),IF($AF238="","",INDEX(입력_파견수련계획!$T$4:$T$803,$AF238))))</f>
        <v/>
      </c>
      <c r="Q238" s="10">
        <f>IF($AF238="","",INDEX(입력_파견수련계획!$S$4:$S$803,$AF238))</f>
        <v/>
      </c>
      <c r="R238" s="10">
        <f>IF($AF238="","",INDEX(입력_파견수련계획!$U$4:$U$803,$AF238))</f>
        <v/>
      </c>
      <c r="S238" s="11">
        <f>IF($AF238="","",IF(INDEX(입력_파견수련계획!$H$4:$H$803,$AF238)="","",INDEX(입력_파견수련계획!$H$4:$H$803,$AF238)))</f>
        <v/>
      </c>
      <c r="T238" s="11">
        <f>IF($AF238="","",IF(INDEX(입력_파견수련계획!$I$4:$I$803,$AF238)="","",INDEX(입력_파견수련계획!$I$4:$I$803,$AF238)))</f>
        <v/>
      </c>
      <c r="U238" s="10">
        <f>IF($AF238="","",INDEX(입력_파견수련계획!$X$4:$X$803,$AF238))</f>
        <v/>
      </c>
      <c r="V238" s="17">
        <f>IF($AF238="","",INDEX(입력_파견수련계획!$V$4:$V$803,$AF238))</f>
        <v/>
      </c>
      <c r="W238" s="17">
        <f>IF(AND($U238="파견중",$T238&lt;&gt;""),$T238-TODAY(),"")</f>
        <v/>
      </c>
      <c r="X238" s="17">
        <f>IF(OR($B238="",TRIM($J238&amp;"")=""),"",SUMPRODUCT((입력_파견수련계획!$Q$4:$Q$803=TRIM($J238&amp;""))*입력_파견수련계획!$W$4:$W$803))</f>
        <v/>
      </c>
      <c r="Y238" s="10">
        <f>IF($B238="","",IF($AG238="","",IF(IF(TRIM($J238&amp;"")="",0,SUMPRODUCT((입력_파견수련계획!$Q$4:$Q$803=TRIM($J238&amp;""))*입력_파견수련계획!$AD$4:$AD$803))&gt;0,$AE238,IF(AND(N($X238)&lt;=0,$AQ238=""),$AG238,IF($AH238+$AI238=DAY(EOMONTH(출력_요약!$B$3,0)),IF(AND($AH238&gt;=출력_요약!$E$3,$AI238&lt;출력_요약!$E$3),"서울병원",IF(AND($AI238&gt;=출력_요약!$E$3,$AH238&lt;출력_요약!$E$3),"구리병원","⚠15일 판정불가(서울 "&amp;$AH238&amp;"일/구리 "&amp;$AI238&amp;"일)")),IF($AJ238="",$AE238,IF(INDEX(입력_파견수련계획!$T$4:$T$803,$AJ238)="통합수련",INDEX(입력_파견수련계획!$S$4:$S$803,$AJ238),$AE238)))))))</f>
        <v/>
      </c>
      <c r="Z238" s="20">
        <f>IF($B238="","",IF($AB238="","기본자료에 없는 사번",IF(COUNTIF($B$2:$B$401,$B238)&gt;1,"중복 사번",IF($AE238="","소속(입사장소) 입력",IF(IF(TRIM($J238&amp;"")="",0,SUMPRODUCT((입력_파견수련계획!$Q$4:$Q$803=TRIM($J238&amp;""))*(입력_파견수련계획!$AA$4:$AA$803&lt;&gt;"")))&gt;0,"파견수련계획 입력오류 확인",IF(LEFT($Y238,1)="⚠","서울·구리 15일 판정 불가(양쪽 모두 이상/미만)",IF(IF($AC238="",0,N(INDEX(입력_인턴근무계획!$T$3:$T$402,$AC238)))&gt;0,"인턴계획 입력오류 확인",IF(AND($AQ238&lt;&gt;"",$AG238&lt;&gt;"구리병원",IF(TRIM($J238&amp;"")="",0,SUMPRODUCT((입력_파견수련계획!$Q$4:$Q$803=TRIM($J238&amp;""))*(입력_파견수련계획!$S$4:$S$803="구리병원")*입력_파견수련계획!$W$4:$W$803))=0),"구리 근무자명단에만 있음(파견수련계획 확인)",IF(AND($AC238&lt;&gt;"",$U238&lt;&gt;"파견중",$N238&lt;&gt;$AE238),"인턴 타지역 근무: 파견 여부 확인","정상")))))))))</f>
        <v/>
      </c>
      <c r="AA238" s="5" t="n"/>
      <c r="AB238" s="10">
        <f>IF($B238="","",IFERROR(MATCH($B238,입력_기본자료!$B$2:$B$1001,0),IFERROR(MATCH($B238&amp;"",입력_기본자료!$B$2:$B$1001,0),IFERROR(MATCH(VALUE($B238),입력_기본자료!$B$2:$B$1001,0),""))))</f>
        <v/>
      </c>
      <c r="AC238" s="10">
        <f>IF($B238="","",IFERROR(MATCH($B238,입력_인턴근무계획!$D$3:$D$402,0),IFERROR(MATCH($B238&amp;"",입력_인턴근무계획!$D$3:$D$402,0),IFERROR(MATCH(VALUE($B238),입력_인턴근무계획!$D$3:$D$402,0),""))))</f>
        <v/>
      </c>
      <c r="AD238" s="10">
        <f>IF(OR($AC238="",출력_인턴현황!$G$3=""),"",INDEX(입력_인턴근무계획!$M$3:$R$402,$AC238,출력_인턴현황!$G$3)&amp;"")</f>
        <v/>
      </c>
      <c r="AE238" s="10">
        <f>IF($B238="","",IF($M238&lt;&gt;"",$M238,IF(IF($AQ238="",FALSE,INDEX(출력_구리근무자!$J$6:$J$305,$AQ238)="구리독자"),"구리병원",IF($AF238&lt;&gt;"",IF(LEFT(INDEX(입력_파견수련계획!$R$4:$R$803,$AF238),1)&lt;&gt;"⚠",INDEX(입력_파견수련계획!$R$4:$R$803,$AF238),IF($H238="","",IF(RIGHT($H238,2)="병원",$H238,$H238&amp;"병원"))),IF($H238="","",IF(RIGHT($H238,2)="병원",$H238,$H238&amp;"병원"))))))</f>
        <v/>
      </c>
      <c r="AF238" s="10">
        <f>IF(OR($B238="",TRIM($J238&amp;"")=""),"",IFERROR(MATCH(TRIM($J238&amp;"")&amp;"|파견중",입력_파견수련계획!$Y$4:$Y$803,0),IFERROR(MATCH(TRIM($J238&amp;"")&amp;"|파견예정",입력_파견수련계획!$Y$4:$Y$803,0),IFERROR(MATCH(TRIM($J238&amp;"")&amp;"|파견종료",입력_파견수련계획!$Y$4:$Y$803,0),""))))</f>
        <v/>
      </c>
      <c r="AG238" s="10">
        <f>IF($B238="","",IF(AND(IF(OR($AC238="",출력_인턴현황!$K$2=""),"",INDEX(입력_인턴근무계획!$M$3:$R$402,$AC238,출력_인턴현황!$K$2)&amp;"")&lt;&gt;"",LEFT(IF(OR($AC238="",출력_인턴현황!$K$2=""),"",INDEX(입력_인턴근무계획!$M$3:$R$402,$AC238,출력_인턴현황!$K$2)&amp;""),1)&lt;&gt;"⚠"),LEFT(IF(OR($AC238="",출력_인턴현황!$K$2=""),"",INDEX(입력_인턴근무계획!$M$3:$R$402,$AC238,출력_인턴현황!$K$2)&amp;""),FIND(" ",IF(OR($AC238="",출력_인턴현황!$K$2=""),"",INDEX(입력_인턴근무계획!$M$3:$R$402,$AC238,출력_인턴현황!$K$2)&amp;""))-1),$AE238))</f>
        <v/>
      </c>
      <c r="AH238" s="17">
        <f>IF($B238="","",IF($AQ238&lt;&gt;"",MAX(0,DAY(EOMONTH(출력_요약!$B$3,0))-N($AR238)),IF(TRIM($J238&amp;"")="",0,SUMPRODUCT((입력_파견수련계획!$Q$4:$Q$803=TRIM($J238&amp;""))*(입력_파견수련계획!$S$4:$S$803="서울병원")*입력_파견수련계획!$W$4:$W$803))+IF($AG238="서울병원",MAX(0,DAY(EOMONTH(출력_요약!$B$3,0))-N($X238)),0)))</f>
        <v/>
      </c>
      <c r="AI238" s="17">
        <f>IF($B238="","",IF($AQ238&lt;&gt;"",N($AR238),IF(TRIM($J238&amp;"")="",0,SUMPRODUCT((입력_파견수련계획!$Q$4:$Q$803=TRIM($J238&amp;""))*(입력_파견수련계획!$S$4:$S$803="구리병원")*입력_파견수련계획!$W$4:$W$803))+IF($AG238="구리병원",MAX(0,DAY(EOMONTH(출력_요약!$B$3,0))-N($X238)),0)))</f>
        <v/>
      </c>
      <c r="AJ238" s="10">
        <f>IF(OR($B238="",TRIM($J238&amp;"")=""),"",IFERROR(MATCH(TRIM($J238&amp;"")&amp;"|월",입력_파견수련계획!$Z$4:$Z$803,0),""))</f>
        <v/>
      </c>
      <c r="AK238" s="10">
        <f>IF(OR($B238="",TRIM($J238&amp;"")=""),"",IFERROR(MATCH(TRIM($J238&amp;"")&amp;"|다기관",입력_파견수련계획!$AE$4:$AE$803,0),""))</f>
        <v/>
      </c>
      <c r="AL238" s="10">
        <f>IF($AK238="","","다기관 "&amp;TEXT(INDEX(입력_파견수련계획!$AB$4:$AB$803,$AK238),"yyyy-mm-dd")&amp;"~"&amp;IF(ISNUMBER(INDEX(입력_파견수련계획!$AC$4:$AC$803,$AK238)),TEXT(INDEX(입력_파견수련계획!$AC$4:$AC$803,$AK238),"yyyy-mm-dd"),""))</f>
        <v/>
      </c>
      <c r="AM238" s="10">
        <f>IF($Y238="서울병원",COUNTIF($Y$2:$Y238,"서울병원"),"")</f>
        <v/>
      </c>
      <c r="AN238" s="10">
        <f>IF(LEFT($Y238,1)="⚠",COUNTIF($Y$2:$Y238,"⚠*"),"")</f>
        <v/>
      </c>
      <c r="AO238" s="10">
        <f>IF(OR($B238="",$Y238=""),"",IF(IF(TRIM($J238&amp;"")="",0,SUMPRODUCT((입력_파견수련계획!$Q$4:$Q$803=TRIM($J238&amp;""))*입력_파견수련계획!$AD$4:$AD$803))&gt;0,"다기관 기간 → 소속병원 지급",IF(AND(N($X238)&lt;=0,$AQ238=""),"파견 없음 → 그 달 근무병원 지급",IF($AH238+$AI238=DAY(EOMONTH(출력_요약!$B$3,0)),"서울 "&amp;$AH238&amp;"일 / 구리 "&amp;$AI238&amp;"일"&amp;IF($AQ238&lt;&gt;""," (구리 근무자명단 반영)","")&amp;" → 15일 이상 근무 병원 지급","타 병원 포함 → "&amp;IF($AJ238="","소속",INDEX(입력_파견수련계획!$T$4:$T$803,$AJ238))&amp;" 규칙"))))</f>
        <v/>
      </c>
      <c r="AP238" s="10">
        <f>IF($B238="","",$C238&amp;"|"&amp;$F238)</f>
        <v/>
      </c>
      <c r="AQ238" s="10">
        <f>IF($B238="","",IFERROR(MATCH(ROW()-1,출력_구리근무자!$K$6:$K$305,0),""))</f>
        <v/>
      </c>
      <c r="AR238" s="10">
        <f>IF($AQ238="","",INDEX(출력_구리근무자!$H$6:$H$305,$AQ238))</f>
        <v/>
      </c>
    </row>
    <row r="239">
      <c r="A239" s="10">
        <f>IF(B239="","",ROW()-1)</f>
        <v/>
      </c>
      <c r="B239" s="19" t="n"/>
      <c r="C239" s="10">
        <f>IF($AB239="","",IF(INDEX(입력_기본자료!$C$2:$C$1001,$AB239)="","",INDEX(입력_기본자료!$C$2:$C$1001,$AB239)))</f>
        <v/>
      </c>
      <c r="D239" s="10">
        <f>IF($AB239="","",IF(INDEX(입력_기본자료!$J$2:$J$1001,$AB239)="","",INDEX(입력_기본자료!$J$2:$J$1001,$AB239)))</f>
        <v/>
      </c>
      <c r="E239" s="11">
        <f>IF($AB239="","",IF(INDEX(입력_기본자료!$K$2:$K$1001,$AB239)="","",IF(NOT(ISNUMBER(INDEX(입력_기본자료!$K$2:$K$1001,$AB239))),INDEX(입력_기본자료!$K$2:$K$1001,$AB239),IF(INDEX(입력_기본자료!$K$2:$K$1001,$AB239)&lt;1000000,INDEX(입력_기본자료!$K$2:$K$1001,$AB239),IF(AND(INDEX(입력_기본자료!$K$2:$K$1001,$AB239)&gt;=10000101,INT(MOD(INDEX(입력_기본자료!$K$2:$K$1001,$AB239),10000)/100)&gt;=1,INT(MOD(INDEX(입력_기본자료!$K$2:$K$1001,$AB239),10000)/100)&lt;=12,MOD(INDEX(입력_기본자료!$K$2:$K$1001,$AB239),100)&gt;=1,MOD(INDEX(입력_기본자료!$K$2:$K$1001,$AB239),100)&lt;=31),DATE(INT(INDEX(입력_기본자료!$K$2:$K$1001,$AB239)/10000),INT(MOD(INDEX(입력_기본자료!$K$2:$K$1001,$AB239),10000)/100),MOD(INDEX(입력_기본자료!$K$2:$K$1001,$AB239),100)),INDEX(입력_기본자료!$K$2:$K$1001,$AB239)&amp;"")))))</f>
        <v/>
      </c>
      <c r="F239" s="10">
        <f>IF($AB239="","",IF(INDEX(입력_기본자료!$D$2:$D$1001,$AB239)="","",INDEX(입력_기본자료!$D$2:$D$1001,$AB239)))</f>
        <v/>
      </c>
      <c r="G239" s="10">
        <f>IF($AB239="","",IF(INDEX(입력_기본자료!$E$2:$E$1001,$AB239)="","",INDEX(입력_기본자료!$E$2:$E$1001,$AB239)))</f>
        <v/>
      </c>
      <c r="H239" s="10">
        <f>IF($AB239="","",IF(INDEX(입력_기본자료!$F$2:$F$1001,$AB239)="","",INDEX(입력_기본자료!$F$2:$F$1001,$AB239)))</f>
        <v/>
      </c>
      <c r="I239" s="11">
        <f>IF($AB239="","",IF(INDEX(입력_기본자료!$G$2:$G$1001,$AB239)="","",IF(NOT(ISNUMBER(INDEX(입력_기본자료!$G$2:$G$1001,$AB239))),INDEX(입력_기본자료!$G$2:$G$1001,$AB239),IF(INDEX(입력_기본자료!$G$2:$G$1001,$AB239)&lt;1000000,INDEX(입력_기본자료!$G$2:$G$1001,$AB239),IF(AND(INDEX(입력_기본자료!$G$2:$G$1001,$AB239)&gt;=10000101,INT(MOD(INDEX(입력_기본자료!$G$2:$G$1001,$AB239),10000)/100)&gt;=1,INT(MOD(INDEX(입력_기본자료!$G$2:$G$1001,$AB239),10000)/100)&lt;=12,MOD(INDEX(입력_기본자료!$G$2:$G$1001,$AB239),100)&gt;=1,MOD(INDEX(입력_기본자료!$G$2:$G$1001,$AB239),100)&lt;=31),DATE(INT(INDEX(입력_기본자료!$G$2:$G$1001,$AB239)/10000),INT(MOD(INDEX(입력_기본자료!$G$2:$G$1001,$AB239),10000)/100),MOD(INDEX(입력_기본자료!$G$2:$G$1001,$AB239),100)),INDEX(입력_기본자료!$G$2:$G$1001,$AB239)&amp;"")))))</f>
        <v/>
      </c>
      <c r="J239" s="10">
        <f>IF($AB239="","",IF(INDEX(입력_기본자료!$H$2:$H$1001,$AB239)="","",INDEX(입력_기본자료!$H$2:$H$1001,$AB239)))</f>
        <v/>
      </c>
      <c r="K239" s="10">
        <f>IF($AB239="","",IF(INDEX(입력_기본자료!$I$2:$I$1001,$AB239)="","",INDEX(입력_기본자료!$I$2:$I$1001,$AB239)))</f>
        <v/>
      </c>
      <c r="L239" s="10">
        <f>IF($AB239="","",IF(INDEX(입력_기본자료!$A$2:$A$1001,$AB239)="","",INDEX(입력_기본자료!$A$2:$A$1001,$AB239)))</f>
        <v/>
      </c>
      <c r="M239" s="15" t="n"/>
      <c r="N239" s="10">
        <f>IF($B239="","",IF(AND($U239="파견중",$Q239&lt;&gt;""),$Q239,IF(AND($AD239&lt;&gt;"",LEFT($AD239,1)&lt;&gt;"⚠"),LEFT($AD239,FIND(" ",$AD239)-1),IF($H239="","",IF(RIGHT($H239,2)="병원",$H239,$H239&amp;"병원")))))</f>
        <v/>
      </c>
      <c r="O239" s="10">
        <f>IF($B239="","",IF(AND($U239="파견중",$Q239&lt;&gt;""),IF($R239&lt;&gt;"",$R239,"파견과 미입력"),IF(AND($AD239&lt;&gt;"",LEFT($AD239,1)&lt;&gt;"⚠"),MID($AD239,FIND(" ",$AD239)+1,60),IF($F239="","",IF($F239="인턴","수련교육부(인턴)",$F239)))))</f>
        <v/>
      </c>
      <c r="P239" s="10">
        <f>IF($B239="","",IF($AK239&lt;&gt;"",IF(AND(TODAY()&gt;=INDEX(입력_파견수련계획!$AB$4:$AB$803,$AK239),OR(NOT(ISNUMBER(INDEX(입력_파견수련계획!$AC$4:$AC$803,$AK239))),TODAY()&lt;=INDEX(입력_파견수련계획!$AC$4:$AC$803,$AK239))),"다기관",IF($AF239="","",INDEX(입력_파견수련계획!$T$4:$T$803,$AF239))),IF($AF239="","",INDEX(입력_파견수련계획!$T$4:$T$803,$AF239))))</f>
        <v/>
      </c>
      <c r="Q239" s="10">
        <f>IF($AF239="","",INDEX(입력_파견수련계획!$S$4:$S$803,$AF239))</f>
        <v/>
      </c>
      <c r="R239" s="10">
        <f>IF($AF239="","",INDEX(입력_파견수련계획!$U$4:$U$803,$AF239))</f>
        <v/>
      </c>
      <c r="S239" s="11">
        <f>IF($AF239="","",IF(INDEX(입력_파견수련계획!$H$4:$H$803,$AF239)="","",INDEX(입력_파견수련계획!$H$4:$H$803,$AF239)))</f>
        <v/>
      </c>
      <c r="T239" s="11">
        <f>IF($AF239="","",IF(INDEX(입력_파견수련계획!$I$4:$I$803,$AF239)="","",INDEX(입력_파견수련계획!$I$4:$I$803,$AF239)))</f>
        <v/>
      </c>
      <c r="U239" s="10">
        <f>IF($AF239="","",INDEX(입력_파견수련계획!$X$4:$X$803,$AF239))</f>
        <v/>
      </c>
      <c r="V239" s="17">
        <f>IF($AF239="","",INDEX(입력_파견수련계획!$V$4:$V$803,$AF239))</f>
        <v/>
      </c>
      <c r="W239" s="17">
        <f>IF(AND($U239="파견중",$T239&lt;&gt;""),$T239-TODAY(),"")</f>
        <v/>
      </c>
      <c r="X239" s="17">
        <f>IF(OR($B239="",TRIM($J239&amp;"")=""),"",SUMPRODUCT((입력_파견수련계획!$Q$4:$Q$803=TRIM($J239&amp;""))*입력_파견수련계획!$W$4:$W$803))</f>
        <v/>
      </c>
      <c r="Y239" s="10">
        <f>IF($B239="","",IF($AG239="","",IF(IF(TRIM($J239&amp;"")="",0,SUMPRODUCT((입력_파견수련계획!$Q$4:$Q$803=TRIM($J239&amp;""))*입력_파견수련계획!$AD$4:$AD$803))&gt;0,$AE239,IF(AND(N($X239)&lt;=0,$AQ239=""),$AG239,IF($AH239+$AI239=DAY(EOMONTH(출력_요약!$B$3,0)),IF(AND($AH239&gt;=출력_요약!$E$3,$AI239&lt;출력_요약!$E$3),"서울병원",IF(AND($AI239&gt;=출력_요약!$E$3,$AH239&lt;출력_요약!$E$3),"구리병원","⚠15일 판정불가(서울 "&amp;$AH239&amp;"일/구리 "&amp;$AI239&amp;"일)")),IF($AJ239="",$AE239,IF(INDEX(입력_파견수련계획!$T$4:$T$803,$AJ239)="통합수련",INDEX(입력_파견수련계획!$S$4:$S$803,$AJ239),$AE239)))))))</f>
        <v/>
      </c>
      <c r="Z239" s="20">
        <f>IF($B239="","",IF($AB239="","기본자료에 없는 사번",IF(COUNTIF($B$2:$B$401,$B239)&gt;1,"중복 사번",IF($AE239="","소속(입사장소) 입력",IF(IF(TRIM($J239&amp;"")="",0,SUMPRODUCT((입력_파견수련계획!$Q$4:$Q$803=TRIM($J239&amp;""))*(입력_파견수련계획!$AA$4:$AA$803&lt;&gt;"")))&gt;0,"파견수련계획 입력오류 확인",IF(LEFT($Y239,1)="⚠","서울·구리 15일 판정 불가(양쪽 모두 이상/미만)",IF(IF($AC239="",0,N(INDEX(입력_인턴근무계획!$T$3:$T$402,$AC239)))&gt;0,"인턴계획 입력오류 확인",IF(AND($AQ239&lt;&gt;"",$AG239&lt;&gt;"구리병원",IF(TRIM($J239&amp;"")="",0,SUMPRODUCT((입력_파견수련계획!$Q$4:$Q$803=TRIM($J239&amp;""))*(입력_파견수련계획!$S$4:$S$803="구리병원")*입력_파견수련계획!$W$4:$W$803))=0),"구리 근무자명단에만 있음(파견수련계획 확인)",IF(AND($AC239&lt;&gt;"",$U239&lt;&gt;"파견중",$N239&lt;&gt;$AE239),"인턴 타지역 근무: 파견 여부 확인","정상")))))))))</f>
        <v/>
      </c>
      <c r="AA239" s="5" t="n"/>
      <c r="AB239" s="10">
        <f>IF($B239="","",IFERROR(MATCH($B239,입력_기본자료!$B$2:$B$1001,0),IFERROR(MATCH($B239&amp;"",입력_기본자료!$B$2:$B$1001,0),IFERROR(MATCH(VALUE($B239),입력_기본자료!$B$2:$B$1001,0),""))))</f>
        <v/>
      </c>
      <c r="AC239" s="10">
        <f>IF($B239="","",IFERROR(MATCH($B239,입력_인턴근무계획!$D$3:$D$402,0),IFERROR(MATCH($B239&amp;"",입력_인턴근무계획!$D$3:$D$402,0),IFERROR(MATCH(VALUE($B239),입력_인턴근무계획!$D$3:$D$402,0),""))))</f>
        <v/>
      </c>
      <c r="AD239" s="10">
        <f>IF(OR($AC239="",출력_인턴현황!$G$3=""),"",INDEX(입력_인턴근무계획!$M$3:$R$402,$AC239,출력_인턴현황!$G$3)&amp;"")</f>
        <v/>
      </c>
      <c r="AE239" s="10">
        <f>IF($B239="","",IF($M239&lt;&gt;"",$M239,IF(IF($AQ239="",FALSE,INDEX(출력_구리근무자!$J$6:$J$305,$AQ239)="구리독자"),"구리병원",IF($AF239&lt;&gt;"",IF(LEFT(INDEX(입력_파견수련계획!$R$4:$R$803,$AF239),1)&lt;&gt;"⚠",INDEX(입력_파견수련계획!$R$4:$R$803,$AF239),IF($H239="","",IF(RIGHT($H239,2)="병원",$H239,$H239&amp;"병원"))),IF($H239="","",IF(RIGHT($H239,2)="병원",$H239,$H239&amp;"병원"))))))</f>
        <v/>
      </c>
      <c r="AF239" s="10">
        <f>IF(OR($B239="",TRIM($J239&amp;"")=""),"",IFERROR(MATCH(TRIM($J239&amp;"")&amp;"|파견중",입력_파견수련계획!$Y$4:$Y$803,0),IFERROR(MATCH(TRIM($J239&amp;"")&amp;"|파견예정",입력_파견수련계획!$Y$4:$Y$803,0),IFERROR(MATCH(TRIM($J239&amp;"")&amp;"|파견종료",입력_파견수련계획!$Y$4:$Y$803,0),""))))</f>
        <v/>
      </c>
      <c r="AG239" s="10">
        <f>IF($B239="","",IF(AND(IF(OR($AC239="",출력_인턴현황!$K$2=""),"",INDEX(입력_인턴근무계획!$M$3:$R$402,$AC239,출력_인턴현황!$K$2)&amp;"")&lt;&gt;"",LEFT(IF(OR($AC239="",출력_인턴현황!$K$2=""),"",INDEX(입력_인턴근무계획!$M$3:$R$402,$AC239,출력_인턴현황!$K$2)&amp;""),1)&lt;&gt;"⚠"),LEFT(IF(OR($AC239="",출력_인턴현황!$K$2=""),"",INDEX(입력_인턴근무계획!$M$3:$R$402,$AC239,출력_인턴현황!$K$2)&amp;""),FIND(" ",IF(OR($AC239="",출력_인턴현황!$K$2=""),"",INDEX(입력_인턴근무계획!$M$3:$R$402,$AC239,출력_인턴현황!$K$2)&amp;""))-1),$AE239))</f>
        <v/>
      </c>
      <c r="AH239" s="17">
        <f>IF($B239="","",IF($AQ239&lt;&gt;"",MAX(0,DAY(EOMONTH(출력_요약!$B$3,0))-N($AR239)),IF(TRIM($J239&amp;"")="",0,SUMPRODUCT((입력_파견수련계획!$Q$4:$Q$803=TRIM($J239&amp;""))*(입력_파견수련계획!$S$4:$S$803="서울병원")*입력_파견수련계획!$W$4:$W$803))+IF($AG239="서울병원",MAX(0,DAY(EOMONTH(출력_요약!$B$3,0))-N($X239)),0)))</f>
        <v/>
      </c>
      <c r="AI239" s="17">
        <f>IF($B239="","",IF($AQ239&lt;&gt;"",N($AR239),IF(TRIM($J239&amp;"")="",0,SUMPRODUCT((입력_파견수련계획!$Q$4:$Q$803=TRIM($J239&amp;""))*(입력_파견수련계획!$S$4:$S$803="구리병원")*입력_파견수련계획!$W$4:$W$803))+IF($AG239="구리병원",MAX(0,DAY(EOMONTH(출력_요약!$B$3,0))-N($X239)),0)))</f>
        <v/>
      </c>
      <c r="AJ239" s="10">
        <f>IF(OR($B239="",TRIM($J239&amp;"")=""),"",IFERROR(MATCH(TRIM($J239&amp;"")&amp;"|월",입력_파견수련계획!$Z$4:$Z$803,0),""))</f>
        <v/>
      </c>
      <c r="AK239" s="10">
        <f>IF(OR($B239="",TRIM($J239&amp;"")=""),"",IFERROR(MATCH(TRIM($J239&amp;"")&amp;"|다기관",입력_파견수련계획!$AE$4:$AE$803,0),""))</f>
        <v/>
      </c>
      <c r="AL239" s="10">
        <f>IF($AK239="","","다기관 "&amp;TEXT(INDEX(입력_파견수련계획!$AB$4:$AB$803,$AK239),"yyyy-mm-dd")&amp;"~"&amp;IF(ISNUMBER(INDEX(입력_파견수련계획!$AC$4:$AC$803,$AK239)),TEXT(INDEX(입력_파견수련계획!$AC$4:$AC$803,$AK239),"yyyy-mm-dd"),""))</f>
        <v/>
      </c>
      <c r="AM239" s="10">
        <f>IF($Y239="서울병원",COUNTIF($Y$2:$Y239,"서울병원"),"")</f>
        <v/>
      </c>
      <c r="AN239" s="10">
        <f>IF(LEFT($Y239,1)="⚠",COUNTIF($Y$2:$Y239,"⚠*"),"")</f>
        <v/>
      </c>
      <c r="AO239" s="10">
        <f>IF(OR($B239="",$Y239=""),"",IF(IF(TRIM($J239&amp;"")="",0,SUMPRODUCT((입력_파견수련계획!$Q$4:$Q$803=TRIM($J239&amp;""))*입력_파견수련계획!$AD$4:$AD$803))&gt;0,"다기관 기간 → 소속병원 지급",IF(AND(N($X239)&lt;=0,$AQ239=""),"파견 없음 → 그 달 근무병원 지급",IF($AH239+$AI239=DAY(EOMONTH(출력_요약!$B$3,0)),"서울 "&amp;$AH239&amp;"일 / 구리 "&amp;$AI239&amp;"일"&amp;IF($AQ239&lt;&gt;""," (구리 근무자명단 반영)","")&amp;" → 15일 이상 근무 병원 지급","타 병원 포함 → "&amp;IF($AJ239="","소속",INDEX(입력_파견수련계획!$T$4:$T$803,$AJ239))&amp;" 규칙"))))</f>
        <v/>
      </c>
      <c r="AP239" s="10">
        <f>IF($B239="","",$C239&amp;"|"&amp;$F239)</f>
        <v/>
      </c>
      <c r="AQ239" s="10">
        <f>IF($B239="","",IFERROR(MATCH(ROW()-1,출력_구리근무자!$K$6:$K$305,0),""))</f>
        <v/>
      </c>
      <c r="AR239" s="10">
        <f>IF($AQ239="","",INDEX(출력_구리근무자!$H$6:$H$305,$AQ239))</f>
        <v/>
      </c>
    </row>
    <row r="240">
      <c r="A240" s="10">
        <f>IF(B240="","",ROW()-1)</f>
        <v/>
      </c>
      <c r="B240" s="19" t="n"/>
      <c r="C240" s="10">
        <f>IF($AB240="","",IF(INDEX(입력_기본자료!$C$2:$C$1001,$AB240)="","",INDEX(입력_기본자료!$C$2:$C$1001,$AB240)))</f>
        <v/>
      </c>
      <c r="D240" s="10">
        <f>IF($AB240="","",IF(INDEX(입력_기본자료!$J$2:$J$1001,$AB240)="","",INDEX(입력_기본자료!$J$2:$J$1001,$AB240)))</f>
        <v/>
      </c>
      <c r="E240" s="11">
        <f>IF($AB240="","",IF(INDEX(입력_기본자료!$K$2:$K$1001,$AB240)="","",IF(NOT(ISNUMBER(INDEX(입력_기본자료!$K$2:$K$1001,$AB240))),INDEX(입력_기본자료!$K$2:$K$1001,$AB240),IF(INDEX(입력_기본자료!$K$2:$K$1001,$AB240)&lt;1000000,INDEX(입력_기본자료!$K$2:$K$1001,$AB240),IF(AND(INDEX(입력_기본자료!$K$2:$K$1001,$AB240)&gt;=10000101,INT(MOD(INDEX(입력_기본자료!$K$2:$K$1001,$AB240),10000)/100)&gt;=1,INT(MOD(INDEX(입력_기본자료!$K$2:$K$1001,$AB240),10000)/100)&lt;=12,MOD(INDEX(입력_기본자료!$K$2:$K$1001,$AB240),100)&gt;=1,MOD(INDEX(입력_기본자료!$K$2:$K$1001,$AB240),100)&lt;=31),DATE(INT(INDEX(입력_기본자료!$K$2:$K$1001,$AB240)/10000),INT(MOD(INDEX(입력_기본자료!$K$2:$K$1001,$AB240),10000)/100),MOD(INDEX(입력_기본자료!$K$2:$K$1001,$AB240),100)),INDEX(입력_기본자료!$K$2:$K$1001,$AB240)&amp;"")))))</f>
        <v/>
      </c>
      <c r="F240" s="10">
        <f>IF($AB240="","",IF(INDEX(입력_기본자료!$D$2:$D$1001,$AB240)="","",INDEX(입력_기본자료!$D$2:$D$1001,$AB240)))</f>
        <v/>
      </c>
      <c r="G240" s="10">
        <f>IF($AB240="","",IF(INDEX(입력_기본자료!$E$2:$E$1001,$AB240)="","",INDEX(입력_기본자료!$E$2:$E$1001,$AB240)))</f>
        <v/>
      </c>
      <c r="H240" s="10">
        <f>IF($AB240="","",IF(INDEX(입력_기본자료!$F$2:$F$1001,$AB240)="","",INDEX(입력_기본자료!$F$2:$F$1001,$AB240)))</f>
        <v/>
      </c>
      <c r="I240" s="11">
        <f>IF($AB240="","",IF(INDEX(입력_기본자료!$G$2:$G$1001,$AB240)="","",IF(NOT(ISNUMBER(INDEX(입력_기본자료!$G$2:$G$1001,$AB240))),INDEX(입력_기본자료!$G$2:$G$1001,$AB240),IF(INDEX(입력_기본자료!$G$2:$G$1001,$AB240)&lt;1000000,INDEX(입력_기본자료!$G$2:$G$1001,$AB240),IF(AND(INDEX(입력_기본자료!$G$2:$G$1001,$AB240)&gt;=10000101,INT(MOD(INDEX(입력_기본자료!$G$2:$G$1001,$AB240),10000)/100)&gt;=1,INT(MOD(INDEX(입력_기본자료!$G$2:$G$1001,$AB240),10000)/100)&lt;=12,MOD(INDEX(입력_기본자료!$G$2:$G$1001,$AB240),100)&gt;=1,MOD(INDEX(입력_기본자료!$G$2:$G$1001,$AB240),100)&lt;=31),DATE(INT(INDEX(입력_기본자료!$G$2:$G$1001,$AB240)/10000),INT(MOD(INDEX(입력_기본자료!$G$2:$G$1001,$AB240),10000)/100),MOD(INDEX(입력_기본자료!$G$2:$G$1001,$AB240),100)),INDEX(입력_기본자료!$G$2:$G$1001,$AB240)&amp;"")))))</f>
        <v/>
      </c>
      <c r="J240" s="10">
        <f>IF($AB240="","",IF(INDEX(입력_기본자료!$H$2:$H$1001,$AB240)="","",INDEX(입력_기본자료!$H$2:$H$1001,$AB240)))</f>
        <v/>
      </c>
      <c r="K240" s="10">
        <f>IF($AB240="","",IF(INDEX(입력_기본자료!$I$2:$I$1001,$AB240)="","",INDEX(입력_기본자료!$I$2:$I$1001,$AB240)))</f>
        <v/>
      </c>
      <c r="L240" s="10">
        <f>IF($AB240="","",IF(INDEX(입력_기본자료!$A$2:$A$1001,$AB240)="","",INDEX(입력_기본자료!$A$2:$A$1001,$AB240)))</f>
        <v/>
      </c>
      <c r="M240" s="15" t="n"/>
      <c r="N240" s="10">
        <f>IF($B240="","",IF(AND($U240="파견중",$Q240&lt;&gt;""),$Q240,IF(AND($AD240&lt;&gt;"",LEFT($AD240,1)&lt;&gt;"⚠"),LEFT($AD240,FIND(" ",$AD240)-1),IF($H240="","",IF(RIGHT($H240,2)="병원",$H240,$H240&amp;"병원")))))</f>
        <v/>
      </c>
      <c r="O240" s="10">
        <f>IF($B240="","",IF(AND($U240="파견중",$Q240&lt;&gt;""),IF($R240&lt;&gt;"",$R240,"파견과 미입력"),IF(AND($AD240&lt;&gt;"",LEFT($AD240,1)&lt;&gt;"⚠"),MID($AD240,FIND(" ",$AD240)+1,60),IF($F240="","",IF($F240="인턴","수련교육부(인턴)",$F240)))))</f>
        <v/>
      </c>
      <c r="P240" s="10">
        <f>IF($B240="","",IF($AK240&lt;&gt;"",IF(AND(TODAY()&gt;=INDEX(입력_파견수련계획!$AB$4:$AB$803,$AK240),OR(NOT(ISNUMBER(INDEX(입력_파견수련계획!$AC$4:$AC$803,$AK240))),TODAY()&lt;=INDEX(입력_파견수련계획!$AC$4:$AC$803,$AK240))),"다기관",IF($AF240="","",INDEX(입력_파견수련계획!$T$4:$T$803,$AF240))),IF($AF240="","",INDEX(입력_파견수련계획!$T$4:$T$803,$AF240))))</f>
        <v/>
      </c>
      <c r="Q240" s="10">
        <f>IF($AF240="","",INDEX(입력_파견수련계획!$S$4:$S$803,$AF240))</f>
        <v/>
      </c>
      <c r="R240" s="10">
        <f>IF($AF240="","",INDEX(입력_파견수련계획!$U$4:$U$803,$AF240))</f>
        <v/>
      </c>
      <c r="S240" s="11">
        <f>IF($AF240="","",IF(INDEX(입력_파견수련계획!$H$4:$H$803,$AF240)="","",INDEX(입력_파견수련계획!$H$4:$H$803,$AF240)))</f>
        <v/>
      </c>
      <c r="T240" s="11">
        <f>IF($AF240="","",IF(INDEX(입력_파견수련계획!$I$4:$I$803,$AF240)="","",INDEX(입력_파견수련계획!$I$4:$I$803,$AF240)))</f>
        <v/>
      </c>
      <c r="U240" s="10">
        <f>IF($AF240="","",INDEX(입력_파견수련계획!$X$4:$X$803,$AF240))</f>
        <v/>
      </c>
      <c r="V240" s="17">
        <f>IF($AF240="","",INDEX(입력_파견수련계획!$V$4:$V$803,$AF240))</f>
        <v/>
      </c>
      <c r="W240" s="17">
        <f>IF(AND($U240="파견중",$T240&lt;&gt;""),$T240-TODAY(),"")</f>
        <v/>
      </c>
      <c r="X240" s="17">
        <f>IF(OR($B240="",TRIM($J240&amp;"")=""),"",SUMPRODUCT((입력_파견수련계획!$Q$4:$Q$803=TRIM($J240&amp;""))*입력_파견수련계획!$W$4:$W$803))</f>
        <v/>
      </c>
      <c r="Y240" s="10">
        <f>IF($B240="","",IF($AG240="","",IF(IF(TRIM($J240&amp;"")="",0,SUMPRODUCT((입력_파견수련계획!$Q$4:$Q$803=TRIM($J240&amp;""))*입력_파견수련계획!$AD$4:$AD$803))&gt;0,$AE240,IF(AND(N($X240)&lt;=0,$AQ240=""),$AG240,IF($AH240+$AI240=DAY(EOMONTH(출력_요약!$B$3,0)),IF(AND($AH240&gt;=출력_요약!$E$3,$AI240&lt;출력_요약!$E$3),"서울병원",IF(AND($AI240&gt;=출력_요약!$E$3,$AH240&lt;출력_요약!$E$3),"구리병원","⚠15일 판정불가(서울 "&amp;$AH240&amp;"일/구리 "&amp;$AI240&amp;"일)")),IF($AJ240="",$AE240,IF(INDEX(입력_파견수련계획!$T$4:$T$803,$AJ240)="통합수련",INDEX(입력_파견수련계획!$S$4:$S$803,$AJ240),$AE240)))))))</f>
        <v/>
      </c>
      <c r="Z240" s="20">
        <f>IF($B240="","",IF($AB240="","기본자료에 없는 사번",IF(COUNTIF($B$2:$B$401,$B240)&gt;1,"중복 사번",IF($AE240="","소속(입사장소) 입력",IF(IF(TRIM($J240&amp;"")="",0,SUMPRODUCT((입력_파견수련계획!$Q$4:$Q$803=TRIM($J240&amp;""))*(입력_파견수련계획!$AA$4:$AA$803&lt;&gt;"")))&gt;0,"파견수련계획 입력오류 확인",IF(LEFT($Y240,1)="⚠","서울·구리 15일 판정 불가(양쪽 모두 이상/미만)",IF(IF($AC240="",0,N(INDEX(입력_인턴근무계획!$T$3:$T$402,$AC240)))&gt;0,"인턴계획 입력오류 확인",IF(AND($AQ240&lt;&gt;"",$AG240&lt;&gt;"구리병원",IF(TRIM($J240&amp;"")="",0,SUMPRODUCT((입력_파견수련계획!$Q$4:$Q$803=TRIM($J240&amp;""))*(입력_파견수련계획!$S$4:$S$803="구리병원")*입력_파견수련계획!$W$4:$W$803))=0),"구리 근무자명단에만 있음(파견수련계획 확인)",IF(AND($AC240&lt;&gt;"",$U240&lt;&gt;"파견중",$N240&lt;&gt;$AE240),"인턴 타지역 근무: 파견 여부 확인","정상")))))))))</f>
        <v/>
      </c>
      <c r="AA240" s="5" t="n"/>
      <c r="AB240" s="10">
        <f>IF($B240="","",IFERROR(MATCH($B240,입력_기본자료!$B$2:$B$1001,0),IFERROR(MATCH($B240&amp;"",입력_기본자료!$B$2:$B$1001,0),IFERROR(MATCH(VALUE($B240),입력_기본자료!$B$2:$B$1001,0),""))))</f>
        <v/>
      </c>
      <c r="AC240" s="10">
        <f>IF($B240="","",IFERROR(MATCH($B240,입력_인턴근무계획!$D$3:$D$402,0),IFERROR(MATCH($B240&amp;"",입력_인턴근무계획!$D$3:$D$402,0),IFERROR(MATCH(VALUE($B240),입력_인턴근무계획!$D$3:$D$402,0),""))))</f>
        <v/>
      </c>
      <c r="AD240" s="10">
        <f>IF(OR($AC240="",출력_인턴현황!$G$3=""),"",INDEX(입력_인턴근무계획!$M$3:$R$402,$AC240,출력_인턴현황!$G$3)&amp;"")</f>
        <v/>
      </c>
      <c r="AE240" s="10">
        <f>IF($B240="","",IF($M240&lt;&gt;"",$M240,IF(IF($AQ240="",FALSE,INDEX(출력_구리근무자!$J$6:$J$305,$AQ240)="구리독자"),"구리병원",IF($AF240&lt;&gt;"",IF(LEFT(INDEX(입력_파견수련계획!$R$4:$R$803,$AF240),1)&lt;&gt;"⚠",INDEX(입력_파견수련계획!$R$4:$R$803,$AF240),IF($H240="","",IF(RIGHT($H240,2)="병원",$H240,$H240&amp;"병원"))),IF($H240="","",IF(RIGHT($H240,2)="병원",$H240,$H240&amp;"병원"))))))</f>
        <v/>
      </c>
      <c r="AF240" s="10">
        <f>IF(OR($B240="",TRIM($J240&amp;"")=""),"",IFERROR(MATCH(TRIM($J240&amp;"")&amp;"|파견중",입력_파견수련계획!$Y$4:$Y$803,0),IFERROR(MATCH(TRIM($J240&amp;"")&amp;"|파견예정",입력_파견수련계획!$Y$4:$Y$803,0),IFERROR(MATCH(TRIM($J240&amp;"")&amp;"|파견종료",입력_파견수련계획!$Y$4:$Y$803,0),""))))</f>
        <v/>
      </c>
      <c r="AG240" s="10">
        <f>IF($B240="","",IF(AND(IF(OR($AC240="",출력_인턴현황!$K$2=""),"",INDEX(입력_인턴근무계획!$M$3:$R$402,$AC240,출력_인턴현황!$K$2)&amp;"")&lt;&gt;"",LEFT(IF(OR($AC240="",출력_인턴현황!$K$2=""),"",INDEX(입력_인턴근무계획!$M$3:$R$402,$AC240,출력_인턴현황!$K$2)&amp;""),1)&lt;&gt;"⚠"),LEFT(IF(OR($AC240="",출력_인턴현황!$K$2=""),"",INDEX(입력_인턴근무계획!$M$3:$R$402,$AC240,출력_인턴현황!$K$2)&amp;""),FIND(" ",IF(OR($AC240="",출력_인턴현황!$K$2=""),"",INDEX(입력_인턴근무계획!$M$3:$R$402,$AC240,출력_인턴현황!$K$2)&amp;""))-1),$AE240))</f>
        <v/>
      </c>
      <c r="AH240" s="17">
        <f>IF($B240="","",IF($AQ240&lt;&gt;"",MAX(0,DAY(EOMONTH(출력_요약!$B$3,0))-N($AR240)),IF(TRIM($J240&amp;"")="",0,SUMPRODUCT((입력_파견수련계획!$Q$4:$Q$803=TRIM($J240&amp;""))*(입력_파견수련계획!$S$4:$S$803="서울병원")*입력_파견수련계획!$W$4:$W$803))+IF($AG240="서울병원",MAX(0,DAY(EOMONTH(출력_요약!$B$3,0))-N($X240)),0)))</f>
        <v/>
      </c>
      <c r="AI240" s="17">
        <f>IF($B240="","",IF($AQ240&lt;&gt;"",N($AR240),IF(TRIM($J240&amp;"")="",0,SUMPRODUCT((입력_파견수련계획!$Q$4:$Q$803=TRIM($J240&amp;""))*(입력_파견수련계획!$S$4:$S$803="구리병원")*입력_파견수련계획!$W$4:$W$803))+IF($AG240="구리병원",MAX(0,DAY(EOMONTH(출력_요약!$B$3,0))-N($X240)),0)))</f>
        <v/>
      </c>
      <c r="AJ240" s="10">
        <f>IF(OR($B240="",TRIM($J240&amp;"")=""),"",IFERROR(MATCH(TRIM($J240&amp;"")&amp;"|월",입력_파견수련계획!$Z$4:$Z$803,0),""))</f>
        <v/>
      </c>
      <c r="AK240" s="10">
        <f>IF(OR($B240="",TRIM($J240&amp;"")=""),"",IFERROR(MATCH(TRIM($J240&amp;"")&amp;"|다기관",입력_파견수련계획!$AE$4:$AE$803,0),""))</f>
        <v/>
      </c>
      <c r="AL240" s="10">
        <f>IF($AK240="","","다기관 "&amp;TEXT(INDEX(입력_파견수련계획!$AB$4:$AB$803,$AK240),"yyyy-mm-dd")&amp;"~"&amp;IF(ISNUMBER(INDEX(입력_파견수련계획!$AC$4:$AC$803,$AK240)),TEXT(INDEX(입력_파견수련계획!$AC$4:$AC$803,$AK240),"yyyy-mm-dd"),""))</f>
        <v/>
      </c>
      <c r="AM240" s="10">
        <f>IF($Y240="서울병원",COUNTIF($Y$2:$Y240,"서울병원"),"")</f>
        <v/>
      </c>
      <c r="AN240" s="10">
        <f>IF(LEFT($Y240,1)="⚠",COUNTIF($Y$2:$Y240,"⚠*"),"")</f>
        <v/>
      </c>
      <c r="AO240" s="10">
        <f>IF(OR($B240="",$Y240=""),"",IF(IF(TRIM($J240&amp;"")="",0,SUMPRODUCT((입력_파견수련계획!$Q$4:$Q$803=TRIM($J240&amp;""))*입력_파견수련계획!$AD$4:$AD$803))&gt;0,"다기관 기간 → 소속병원 지급",IF(AND(N($X240)&lt;=0,$AQ240=""),"파견 없음 → 그 달 근무병원 지급",IF($AH240+$AI240=DAY(EOMONTH(출력_요약!$B$3,0)),"서울 "&amp;$AH240&amp;"일 / 구리 "&amp;$AI240&amp;"일"&amp;IF($AQ240&lt;&gt;""," (구리 근무자명단 반영)","")&amp;" → 15일 이상 근무 병원 지급","타 병원 포함 → "&amp;IF($AJ240="","소속",INDEX(입력_파견수련계획!$T$4:$T$803,$AJ240))&amp;" 규칙"))))</f>
        <v/>
      </c>
      <c r="AP240" s="10">
        <f>IF($B240="","",$C240&amp;"|"&amp;$F240)</f>
        <v/>
      </c>
      <c r="AQ240" s="10">
        <f>IF($B240="","",IFERROR(MATCH(ROW()-1,출력_구리근무자!$K$6:$K$305,0),""))</f>
        <v/>
      </c>
      <c r="AR240" s="10">
        <f>IF($AQ240="","",INDEX(출력_구리근무자!$H$6:$H$305,$AQ240))</f>
        <v/>
      </c>
    </row>
    <row r="241">
      <c r="A241" s="10">
        <f>IF(B241="","",ROW()-1)</f>
        <v/>
      </c>
      <c r="B241" s="19" t="n"/>
      <c r="C241" s="10">
        <f>IF($AB241="","",IF(INDEX(입력_기본자료!$C$2:$C$1001,$AB241)="","",INDEX(입력_기본자료!$C$2:$C$1001,$AB241)))</f>
        <v/>
      </c>
      <c r="D241" s="10">
        <f>IF($AB241="","",IF(INDEX(입력_기본자료!$J$2:$J$1001,$AB241)="","",INDEX(입력_기본자료!$J$2:$J$1001,$AB241)))</f>
        <v/>
      </c>
      <c r="E241" s="11">
        <f>IF($AB241="","",IF(INDEX(입력_기본자료!$K$2:$K$1001,$AB241)="","",IF(NOT(ISNUMBER(INDEX(입력_기본자료!$K$2:$K$1001,$AB241))),INDEX(입력_기본자료!$K$2:$K$1001,$AB241),IF(INDEX(입력_기본자료!$K$2:$K$1001,$AB241)&lt;1000000,INDEX(입력_기본자료!$K$2:$K$1001,$AB241),IF(AND(INDEX(입력_기본자료!$K$2:$K$1001,$AB241)&gt;=10000101,INT(MOD(INDEX(입력_기본자료!$K$2:$K$1001,$AB241),10000)/100)&gt;=1,INT(MOD(INDEX(입력_기본자료!$K$2:$K$1001,$AB241),10000)/100)&lt;=12,MOD(INDEX(입력_기본자료!$K$2:$K$1001,$AB241),100)&gt;=1,MOD(INDEX(입력_기본자료!$K$2:$K$1001,$AB241),100)&lt;=31),DATE(INT(INDEX(입력_기본자료!$K$2:$K$1001,$AB241)/10000),INT(MOD(INDEX(입력_기본자료!$K$2:$K$1001,$AB241),10000)/100),MOD(INDEX(입력_기본자료!$K$2:$K$1001,$AB241),100)),INDEX(입력_기본자료!$K$2:$K$1001,$AB241)&amp;"")))))</f>
        <v/>
      </c>
      <c r="F241" s="10">
        <f>IF($AB241="","",IF(INDEX(입력_기본자료!$D$2:$D$1001,$AB241)="","",INDEX(입력_기본자료!$D$2:$D$1001,$AB241)))</f>
        <v/>
      </c>
      <c r="G241" s="10">
        <f>IF($AB241="","",IF(INDEX(입력_기본자료!$E$2:$E$1001,$AB241)="","",INDEX(입력_기본자료!$E$2:$E$1001,$AB241)))</f>
        <v/>
      </c>
      <c r="H241" s="10">
        <f>IF($AB241="","",IF(INDEX(입력_기본자료!$F$2:$F$1001,$AB241)="","",INDEX(입력_기본자료!$F$2:$F$1001,$AB241)))</f>
        <v/>
      </c>
      <c r="I241" s="11">
        <f>IF($AB241="","",IF(INDEX(입력_기본자료!$G$2:$G$1001,$AB241)="","",IF(NOT(ISNUMBER(INDEX(입력_기본자료!$G$2:$G$1001,$AB241))),INDEX(입력_기본자료!$G$2:$G$1001,$AB241),IF(INDEX(입력_기본자료!$G$2:$G$1001,$AB241)&lt;1000000,INDEX(입력_기본자료!$G$2:$G$1001,$AB241),IF(AND(INDEX(입력_기본자료!$G$2:$G$1001,$AB241)&gt;=10000101,INT(MOD(INDEX(입력_기본자료!$G$2:$G$1001,$AB241),10000)/100)&gt;=1,INT(MOD(INDEX(입력_기본자료!$G$2:$G$1001,$AB241),10000)/100)&lt;=12,MOD(INDEX(입력_기본자료!$G$2:$G$1001,$AB241),100)&gt;=1,MOD(INDEX(입력_기본자료!$G$2:$G$1001,$AB241),100)&lt;=31),DATE(INT(INDEX(입력_기본자료!$G$2:$G$1001,$AB241)/10000),INT(MOD(INDEX(입력_기본자료!$G$2:$G$1001,$AB241),10000)/100),MOD(INDEX(입력_기본자료!$G$2:$G$1001,$AB241),100)),INDEX(입력_기본자료!$G$2:$G$1001,$AB241)&amp;"")))))</f>
        <v/>
      </c>
      <c r="J241" s="10">
        <f>IF($AB241="","",IF(INDEX(입력_기본자료!$H$2:$H$1001,$AB241)="","",INDEX(입력_기본자료!$H$2:$H$1001,$AB241)))</f>
        <v/>
      </c>
      <c r="K241" s="10">
        <f>IF($AB241="","",IF(INDEX(입력_기본자료!$I$2:$I$1001,$AB241)="","",INDEX(입력_기본자료!$I$2:$I$1001,$AB241)))</f>
        <v/>
      </c>
      <c r="L241" s="10">
        <f>IF($AB241="","",IF(INDEX(입력_기본자료!$A$2:$A$1001,$AB241)="","",INDEX(입력_기본자료!$A$2:$A$1001,$AB241)))</f>
        <v/>
      </c>
      <c r="M241" s="15" t="n"/>
      <c r="N241" s="10">
        <f>IF($B241="","",IF(AND($U241="파견중",$Q241&lt;&gt;""),$Q241,IF(AND($AD241&lt;&gt;"",LEFT($AD241,1)&lt;&gt;"⚠"),LEFT($AD241,FIND(" ",$AD241)-1),IF($H241="","",IF(RIGHT($H241,2)="병원",$H241,$H241&amp;"병원")))))</f>
        <v/>
      </c>
      <c r="O241" s="10">
        <f>IF($B241="","",IF(AND($U241="파견중",$Q241&lt;&gt;""),IF($R241&lt;&gt;"",$R241,"파견과 미입력"),IF(AND($AD241&lt;&gt;"",LEFT($AD241,1)&lt;&gt;"⚠"),MID($AD241,FIND(" ",$AD241)+1,60),IF($F241="","",IF($F241="인턴","수련교육부(인턴)",$F241)))))</f>
        <v/>
      </c>
      <c r="P241" s="10">
        <f>IF($B241="","",IF($AK241&lt;&gt;"",IF(AND(TODAY()&gt;=INDEX(입력_파견수련계획!$AB$4:$AB$803,$AK241),OR(NOT(ISNUMBER(INDEX(입력_파견수련계획!$AC$4:$AC$803,$AK241))),TODAY()&lt;=INDEX(입력_파견수련계획!$AC$4:$AC$803,$AK241))),"다기관",IF($AF241="","",INDEX(입력_파견수련계획!$T$4:$T$803,$AF241))),IF($AF241="","",INDEX(입력_파견수련계획!$T$4:$T$803,$AF241))))</f>
        <v/>
      </c>
      <c r="Q241" s="10">
        <f>IF($AF241="","",INDEX(입력_파견수련계획!$S$4:$S$803,$AF241))</f>
        <v/>
      </c>
      <c r="R241" s="10">
        <f>IF($AF241="","",INDEX(입력_파견수련계획!$U$4:$U$803,$AF241))</f>
        <v/>
      </c>
      <c r="S241" s="11">
        <f>IF($AF241="","",IF(INDEX(입력_파견수련계획!$H$4:$H$803,$AF241)="","",INDEX(입력_파견수련계획!$H$4:$H$803,$AF241)))</f>
        <v/>
      </c>
      <c r="T241" s="11">
        <f>IF($AF241="","",IF(INDEX(입력_파견수련계획!$I$4:$I$803,$AF241)="","",INDEX(입력_파견수련계획!$I$4:$I$803,$AF241)))</f>
        <v/>
      </c>
      <c r="U241" s="10">
        <f>IF($AF241="","",INDEX(입력_파견수련계획!$X$4:$X$803,$AF241))</f>
        <v/>
      </c>
      <c r="V241" s="17">
        <f>IF($AF241="","",INDEX(입력_파견수련계획!$V$4:$V$803,$AF241))</f>
        <v/>
      </c>
      <c r="W241" s="17">
        <f>IF(AND($U241="파견중",$T241&lt;&gt;""),$T241-TODAY(),"")</f>
        <v/>
      </c>
      <c r="X241" s="17">
        <f>IF(OR($B241="",TRIM($J241&amp;"")=""),"",SUMPRODUCT((입력_파견수련계획!$Q$4:$Q$803=TRIM($J241&amp;""))*입력_파견수련계획!$W$4:$W$803))</f>
        <v/>
      </c>
      <c r="Y241" s="10">
        <f>IF($B241="","",IF($AG241="","",IF(IF(TRIM($J241&amp;"")="",0,SUMPRODUCT((입력_파견수련계획!$Q$4:$Q$803=TRIM($J241&amp;""))*입력_파견수련계획!$AD$4:$AD$803))&gt;0,$AE241,IF(AND(N($X241)&lt;=0,$AQ241=""),$AG241,IF($AH241+$AI241=DAY(EOMONTH(출력_요약!$B$3,0)),IF(AND($AH241&gt;=출력_요약!$E$3,$AI241&lt;출력_요약!$E$3),"서울병원",IF(AND($AI241&gt;=출력_요약!$E$3,$AH241&lt;출력_요약!$E$3),"구리병원","⚠15일 판정불가(서울 "&amp;$AH241&amp;"일/구리 "&amp;$AI241&amp;"일)")),IF($AJ241="",$AE241,IF(INDEX(입력_파견수련계획!$T$4:$T$803,$AJ241)="통합수련",INDEX(입력_파견수련계획!$S$4:$S$803,$AJ241),$AE241)))))))</f>
        <v/>
      </c>
      <c r="Z241" s="20">
        <f>IF($B241="","",IF($AB241="","기본자료에 없는 사번",IF(COUNTIF($B$2:$B$401,$B241)&gt;1,"중복 사번",IF($AE241="","소속(입사장소) 입력",IF(IF(TRIM($J241&amp;"")="",0,SUMPRODUCT((입력_파견수련계획!$Q$4:$Q$803=TRIM($J241&amp;""))*(입력_파견수련계획!$AA$4:$AA$803&lt;&gt;"")))&gt;0,"파견수련계획 입력오류 확인",IF(LEFT($Y241,1)="⚠","서울·구리 15일 판정 불가(양쪽 모두 이상/미만)",IF(IF($AC241="",0,N(INDEX(입력_인턴근무계획!$T$3:$T$402,$AC241)))&gt;0,"인턴계획 입력오류 확인",IF(AND($AQ241&lt;&gt;"",$AG241&lt;&gt;"구리병원",IF(TRIM($J241&amp;"")="",0,SUMPRODUCT((입력_파견수련계획!$Q$4:$Q$803=TRIM($J241&amp;""))*(입력_파견수련계획!$S$4:$S$803="구리병원")*입력_파견수련계획!$W$4:$W$803))=0),"구리 근무자명단에만 있음(파견수련계획 확인)",IF(AND($AC241&lt;&gt;"",$U241&lt;&gt;"파견중",$N241&lt;&gt;$AE241),"인턴 타지역 근무: 파견 여부 확인","정상")))))))))</f>
        <v/>
      </c>
      <c r="AA241" s="5" t="n"/>
      <c r="AB241" s="10">
        <f>IF($B241="","",IFERROR(MATCH($B241,입력_기본자료!$B$2:$B$1001,0),IFERROR(MATCH($B241&amp;"",입력_기본자료!$B$2:$B$1001,0),IFERROR(MATCH(VALUE($B241),입력_기본자료!$B$2:$B$1001,0),""))))</f>
        <v/>
      </c>
      <c r="AC241" s="10">
        <f>IF($B241="","",IFERROR(MATCH($B241,입력_인턴근무계획!$D$3:$D$402,0),IFERROR(MATCH($B241&amp;"",입력_인턴근무계획!$D$3:$D$402,0),IFERROR(MATCH(VALUE($B241),입력_인턴근무계획!$D$3:$D$402,0),""))))</f>
        <v/>
      </c>
      <c r="AD241" s="10">
        <f>IF(OR($AC241="",출력_인턴현황!$G$3=""),"",INDEX(입력_인턴근무계획!$M$3:$R$402,$AC241,출력_인턴현황!$G$3)&amp;"")</f>
        <v/>
      </c>
      <c r="AE241" s="10">
        <f>IF($B241="","",IF($M241&lt;&gt;"",$M241,IF(IF($AQ241="",FALSE,INDEX(출력_구리근무자!$J$6:$J$305,$AQ241)="구리독자"),"구리병원",IF($AF241&lt;&gt;"",IF(LEFT(INDEX(입력_파견수련계획!$R$4:$R$803,$AF241),1)&lt;&gt;"⚠",INDEX(입력_파견수련계획!$R$4:$R$803,$AF241),IF($H241="","",IF(RIGHT($H241,2)="병원",$H241,$H241&amp;"병원"))),IF($H241="","",IF(RIGHT($H241,2)="병원",$H241,$H241&amp;"병원"))))))</f>
        <v/>
      </c>
      <c r="AF241" s="10">
        <f>IF(OR($B241="",TRIM($J241&amp;"")=""),"",IFERROR(MATCH(TRIM($J241&amp;"")&amp;"|파견중",입력_파견수련계획!$Y$4:$Y$803,0),IFERROR(MATCH(TRIM($J241&amp;"")&amp;"|파견예정",입력_파견수련계획!$Y$4:$Y$803,0),IFERROR(MATCH(TRIM($J241&amp;"")&amp;"|파견종료",입력_파견수련계획!$Y$4:$Y$803,0),""))))</f>
        <v/>
      </c>
      <c r="AG241" s="10">
        <f>IF($B241="","",IF(AND(IF(OR($AC241="",출력_인턴현황!$K$2=""),"",INDEX(입력_인턴근무계획!$M$3:$R$402,$AC241,출력_인턴현황!$K$2)&amp;"")&lt;&gt;"",LEFT(IF(OR($AC241="",출력_인턴현황!$K$2=""),"",INDEX(입력_인턴근무계획!$M$3:$R$402,$AC241,출력_인턴현황!$K$2)&amp;""),1)&lt;&gt;"⚠"),LEFT(IF(OR($AC241="",출력_인턴현황!$K$2=""),"",INDEX(입력_인턴근무계획!$M$3:$R$402,$AC241,출력_인턴현황!$K$2)&amp;""),FIND(" ",IF(OR($AC241="",출력_인턴현황!$K$2=""),"",INDEX(입력_인턴근무계획!$M$3:$R$402,$AC241,출력_인턴현황!$K$2)&amp;""))-1),$AE241))</f>
        <v/>
      </c>
      <c r="AH241" s="17">
        <f>IF($B241="","",IF($AQ241&lt;&gt;"",MAX(0,DAY(EOMONTH(출력_요약!$B$3,0))-N($AR241)),IF(TRIM($J241&amp;"")="",0,SUMPRODUCT((입력_파견수련계획!$Q$4:$Q$803=TRIM($J241&amp;""))*(입력_파견수련계획!$S$4:$S$803="서울병원")*입력_파견수련계획!$W$4:$W$803))+IF($AG241="서울병원",MAX(0,DAY(EOMONTH(출력_요약!$B$3,0))-N($X241)),0)))</f>
        <v/>
      </c>
      <c r="AI241" s="17">
        <f>IF($B241="","",IF($AQ241&lt;&gt;"",N($AR241),IF(TRIM($J241&amp;"")="",0,SUMPRODUCT((입력_파견수련계획!$Q$4:$Q$803=TRIM($J241&amp;""))*(입력_파견수련계획!$S$4:$S$803="구리병원")*입력_파견수련계획!$W$4:$W$803))+IF($AG241="구리병원",MAX(0,DAY(EOMONTH(출력_요약!$B$3,0))-N($X241)),0)))</f>
        <v/>
      </c>
      <c r="AJ241" s="10">
        <f>IF(OR($B241="",TRIM($J241&amp;"")=""),"",IFERROR(MATCH(TRIM($J241&amp;"")&amp;"|월",입력_파견수련계획!$Z$4:$Z$803,0),""))</f>
        <v/>
      </c>
      <c r="AK241" s="10">
        <f>IF(OR($B241="",TRIM($J241&amp;"")=""),"",IFERROR(MATCH(TRIM($J241&amp;"")&amp;"|다기관",입력_파견수련계획!$AE$4:$AE$803,0),""))</f>
        <v/>
      </c>
      <c r="AL241" s="10">
        <f>IF($AK241="","","다기관 "&amp;TEXT(INDEX(입력_파견수련계획!$AB$4:$AB$803,$AK241),"yyyy-mm-dd")&amp;"~"&amp;IF(ISNUMBER(INDEX(입력_파견수련계획!$AC$4:$AC$803,$AK241)),TEXT(INDEX(입력_파견수련계획!$AC$4:$AC$803,$AK241),"yyyy-mm-dd"),""))</f>
        <v/>
      </c>
      <c r="AM241" s="10">
        <f>IF($Y241="서울병원",COUNTIF($Y$2:$Y241,"서울병원"),"")</f>
        <v/>
      </c>
      <c r="AN241" s="10">
        <f>IF(LEFT($Y241,1)="⚠",COUNTIF($Y$2:$Y241,"⚠*"),"")</f>
        <v/>
      </c>
      <c r="AO241" s="10">
        <f>IF(OR($B241="",$Y241=""),"",IF(IF(TRIM($J241&amp;"")="",0,SUMPRODUCT((입력_파견수련계획!$Q$4:$Q$803=TRIM($J241&amp;""))*입력_파견수련계획!$AD$4:$AD$803))&gt;0,"다기관 기간 → 소속병원 지급",IF(AND(N($X241)&lt;=0,$AQ241=""),"파견 없음 → 그 달 근무병원 지급",IF($AH241+$AI241=DAY(EOMONTH(출력_요약!$B$3,0)),"서울 "&amp;$AH241&amp;"일 / 구리 "&amp;$AI241&amp;"일"&amp;IF($AQ241&lt;&gt;""," (구리 근무자명단 반영)","")&amp;" → 15일 이상 근무 병원 지급","타 병원 포함 → "&amp;IF($AJ241="","소속",INDEX(입력_파견수련계획!$T$4:$T$803,$AJ241))&amp;" 규칙"))))</f>
        <v/>
      </c>
      <c r="AP241" s="10">
        <f>IF($B241="","",$C241&amp;"|"&amp;$F241)</f>
        <v/>
      </c>
      <c r="AQ241" s="10">
        <f>IF($B241="","",IFERROR(MATCH(ROW()-1,출력_구리근무자!$K$6:$K$305,0),""))</f>
        <v/>
      </c>
      <c r="AR241" s="10">
        <f>IF($AQ241="","",INDEX(출력_구리근무자!$H$6:$H$305,$AQ241))</f>
        <v/>
      </c>
    </row>
    <row r="242">
      <c r="A242" s="10">
        <f>IF(B242="","",ROW()-1)</f>
        <v/>
      </c>
      <c r="B242" s="19" t="n"/>
      <c r="C242" s="10">
        <f>IF($AB242="","",IF(INDEX(입력_기본자료!$C$2:$C$1001,$AB242)="","",INDEX(입력_기본자료!$C$2:$C$1001,$AB242)))</f>
        <v/>
      </c>
      <c r="D242" s="10">
        <f>IF($AB242="","",IF(INDEX(입력_기본자료!$J$2:$J$1001,$AB242)="","",INDEX(입력_기본자료!$J$2:$J$1001,$AB242)))</f>
        <v/>
      </c>
      <c r="E242" s="11">
        <f>IF($AB242="","",IF(INDEX(입력_기본자료!$K$2:$K$1001,$AB242)="","",IF(NOT(ISNUMBER(INDEX(입력_기본자료!$K$2:$K$1001,$AB242))),INDEX(입력_기본자료!$K$2:$K$1001,$AB242),IF(INDEX(입력_기본자료!$K$2:$K$1001,$AB242)&lt;1000000,INDEX(입력_기본자료!$K$2:$K$1001,$AB242),IF(AND(INDEX(입력_기본자료!$K$2:$K$1001,$AB242)&gt;=10000101,INT(MOD(INDEX(입력_기본자료!$K$2:$K$1001,$AB242),10000)/100)&gt;=1,INT(MOD(INDEX(입력_기본자료!$K$2:$K$1001,$AB242),10000)/100)&lt;=12,MOD(INDEX(입력_기본자료!$K$2:$K$1001,$AB242),100)&gt;=1,MOD(INDEX(입력_기본자료!$K$2:$K$1001,$AB242),100)&lt;=31),DATE(INT(INDEX(입력_기본자료!$K$2:$K$1001,$AB242)/10000),INT(MOD(INDEX(입력_기본자료!$K$2:$K$1001,$AB242),10000)/100),MOD(INDEX(입력_기본자료!$K$2:$K$1001,$AB242),100)),INDEX(입력_기본자료!$K$2:$K$1001,$AB242)&amp;"")))))</f>
        <v/>
      </c>
      <c r="F242" s="10">
        <f>IF($AB242="","",IF(INDEX(입력_기본자료!$D$2:$D$1001,$AB242)="","",INDEX(입력_기본자료!$D$2:$D$1001,$AB242)))</f>
        <v/>
      </c>
      <c r="G242" s="10">
        <f>IF($AB242="","",IF(INDEX(입력_기본자료!$E$2:$E$1001,$AB242)="","",INDEX(입력_기본자료!$E$2:$E$1001,$AB242)))</f>
        <v/>
      </c>
      <c r="H242" s="10">
        <f>IF($AB242="","",IF(INDEX(입력_기본자료!$F$2:$F$1001,$AB242)="","",INDEX(입력_기본자료!$F$2:$F$1001,$AB242)))</f>
        <v/>
      </c>
      <c r="I242" s="11">
        <f>IF($AB242="","",IF(INDEX(입력_기본자료!$G$2:$G$1001,$AB242)="","",IF(NOT(ISNUMBER(INDEX(입력_기본자료!$G$2:$G$1001,$AB242))),INDEX(입력_기본자료!$G$2:$G$1001,$AB242),IF(INDEX(입력_기본자료!$G$2:$G$1001,$AB242)&lt;1000000,INDEX(입력_기본자료!$G$2:$G$1001,$AB242),IF(AND(INDEX(입력_기본자료!$G$2:$G$1001,$AB242)&gt;=10000101,INT(MOD(INDEX(입력_기본자료!$G$2:$G$1001,$AB242),10000)/100)&gt;=1,INT(MOD(INDEX(입력_기본자료!$G$2:$G$1001,$AB242),10000)/100)&lt;=12,MOD(INDEX(입력_기본자료!$G$2:$G$1001,$AB242),100)&gt;=1,MOD(INDEX(입력_기본자료!$G$2:$G$1001,$AB242),100)&lt;=31),DATE(INT(INDEX(입력_기본자료!$G$2:$G$1001,$AB242)/10000),INT(MOD(INDEX(입력_기본자료!$G$2:$G$1001,$AB242),10000)/100),MOD(INDEX(입력_기본자료!$G$2:$G$1001,$AB242),100)),INDEX(입력_기본자료!$G$2:$G$1001,$AB242)&amp;"")))))</f>
        <v/>
      </c>
      <c r="J242" s="10">
        <f>IF($AB242="","",IF(INDEX(입력_기본자료!$H$2:$H$1001,$AB242)="","",INDEX(입력_기본자료!$H$2:$H$1001,$AB242)))</f>
        <v/>
      </c>
      <c r="K242" s="10">
        <f>IF($AB242="","",IF(INDEX(입력_기본자료!$I$2:$I$1001,$AB242)="","",INDEX(입력_기본자료!$I$2:$I$1001,$AB242)))</f>
        <v/>
      </c>
      <c r="L242" s="10">
        <f>IF($AB242="","",IF(INDEX(입력_기본자료!$A$2:$A$1001,$AB242)="","",INDEX(입력_기본자료!$A$2:$A$1001,$AB242)))</f>
        <v/>
      </c>
      <c r="M242" s="15" t="n"/>
      <c r="N242" s="10">
        <f>IF($B242="","",IF(AND($U242="파견중",$Q242&lt;&gt;""),$Q242,IF(AND($AD242&lt;&gt;"",LEFT($AD242,1)&lt;&gt;"⚠"),LEFT($AD242,FIND(" ",$AD242)-1),IF($H242="","",IF(RIGHT($H242,2)="병원",$H242,$H242&amp;"병원")))))</f>
        <v/>
      </c>
      <c r="O242" s="10">
        <f>IF($B242="","",IF(AND($U242="파견중",$Q242&lt;&gt;""),IF($R242&lt;&gt;"",$R242,"파견과 미입력"),IF(AND($AD242&lt;&gt;"",LEFT($AD242,1)&lt;&gt;"⚠"),MID($AD242,FIND(" ",$AD242)+1,60),IF($F242="","",IF($F242="인턴","수련교육부(인턴)",$F242)))))</f>
        <v/>
      </c>
      <c r="P242" s="10">
        <f>IF($B242="","",IF($AK242&lt;&gt;"",IF(AND(TODAY()&gt;=INDEX(입력_파견수련계획!$AB$4:$AB$803,$AK242),OR(NOT(ISNUMBER(INDEX(입력_파견수련계획!$AC$4:$AC$803,$AK242))),TODAY()&lt;=INDEX(입력_파견수련계획!$AC$4:$AC$803,$AK242))),"다기관",IF($AF242="","",INDEX(입력_파견수련계획!$T$4:$T$803,$AF242))),IF($AF242="","",INDEX(입력_파견수련계획!$T$4:$T$803,$AF242))))</f>
        <v/>
      </c>
      <c r="Q242" s="10">
        <f>IF($AF242="","",INDEX(입력_파견수련계획!$S$4:$S$803,$AF242))</f>
        <v/>
      </c>
      <c r="R242" s="10">
        <f>IF($AF242="","",INDEX(입력_파견수련계획!$U$4:$U$803,$AF242))</f>
        <v/>
      </c>
      <c r="S242" s="11">
        <f>IF($AF242="","",IF(INDEX(입력_파견수련계획!$H$4:$H$803,$AF242)="","",INDEX(입력_파견수련계획!$H$4:$H$803,$AF242)))</f>
        <v/>
      </c>
      <c r="T242" s="11">
        <f>IF($AF242="","",IF(INDEX(입력_파견수련계획!$I$4:$I$803,$AF242)="","",INDEX(입력_파견수련계획!$I$4:$I$803,$AF242)))</f>
        <v/>
      </c>
      <c r="U242" s="10">
        <f>IF($AF242="","",INDEX(입력_파견수련계획!$X$4:$X$803,$AF242))</f>
        <v/>
      </c>
      <c r="V242" s="17">
        <f>IF($AF242="","",INDEX(입력_파견수련계획!$V$4:$V$803,$AF242))</f>
        <v/>
      </c>
      <c r="W242" s="17">
        <f>IF(AND($U242="파견중",$T242&lt;&gt;""),$T242-TODAY(),"")</f>
        <v/>
      </c>
      <c r="X242" s="17">
        <f>IF(OR($B242="",TRIM($J242&amp;"")=""),"",SUMPRODUCT((입력_파견수련계획!$Q$4:$Q$803=TRIM($J242&amp;""))*입력_파견수련계획!$W$4:$W$803))</f>
        <v/>
      </c>
      <c r="Y242" s="10">
        <f>IF($B242="","",IF($AG242="","",IF(IF(TRIM($J242&amp;"")="",0,SUMPRODUCT((입력_파견수련계획!$Q$4:$Q$803=TRIM($J242&amp;""))*입력_파견수련계획!$AD$4:$AD$803))&gt;0,$AE242,IF(AND(N($X242)&lt;=0,$AQ242=""),$AG242,IF($AH242+$AI242=DAY(EOMONTH(출력_요약!$B$3,0)),IF(AND($AH242&gt;=출력_요약!$E$3,$AI242&lt;출력_요약!$E$3),"서울병원",IF(AND($AI242&gt;=출력_요약!$E$3,$AH242&lt;출력_요약!$E$3),"구리병원","⚠15일 판정불가(서울 "&amp;$AH242&amp;"일/구리 "&amp;$AI242&amp;"일)")),IF($AJ242="",$AE242,IF(INDEX(입력_파견수련계획!$T$4:$T$803,$AJ242)="통합수련",INDEX(입력_파견수련계획!$S$4:$S$803,$AJ242),$AE242)))))))</f>
        <v/>
      </c>
      <c r="Z242" s="20">
        <f>IF($B242="","",IF($AB242="","기본자료에 없는 사번",IF(COUNTIF($B$2:$B$401,$B242)&gt;1,"중복 사번",IF($AE242="","소속(입사장소) 입력",IF(IF(TRIM($J242&amp;"")="",0,SUMPRODUCT((입력_파견수련계획!$Q$4:$Q$803=TRIM($J242&amp;""))*(입력_파견수련계획!$AA$4:$AA$803&lt;&gt;"")))&gt;0,"파견수련계획 입력오류 확인",IF(LEFT($Y242,1)="⚠","서울·구리 15일 판정 불가(양쪽 모두 이상/미만)",IF(IF($AC242="",0,N(INDEX(입력_인턴근무계획!$T$3:$T$402,$AC242)))&gt;0,"인턴계획 입력오류 확인",IF(AND($AQ242&lt;&gt;"",$AG242&lt;&gt;"구리병원",IF(TRIM($J242&amp;"")="",0,SUMPRODUCT((입력_파견수련계획!$Q$4:$Q$803=TRIM($J242&amp;""))*(입력_파견수련계획!$S$4:$S$803="구리병원")*입력_파견수련계획!$W$4:$W$803))=0),"구리 근무자명단에만 있음(파견수련계획 확인)",IF(AND($AC242&lt;&gt;"",$U242&lt;&gt;"파견중",$N242&lt;&gt;$AE242),"인턴 타지역 근무: 파견 여부 확인","정상")))))))))</f>
        <v/>
      </c>
      <c r="AA242" s="5" t="n"/>
      <c r="AB242" s="10">
        <f>IF($B242="","",IFERROR(MATCH($B242,입력_기본자료!$B$2:$B$1001,0),IFERROR(MATCH($B242&amp;"",입력_기본자료!$B$2:$B$1001,0),IFERROR(MATCH(VALUE($B242),입력_기본자료!$B$2:$B$1001,0),""))))</f>
        <v/>
      </c>
      <c r="AC242" s="10">
        <f>IF($B242="","",IFERROR(MATCH($B242,입력_인턴근무계획!$D$3:$D$402,0),IFERROR(MATCH($B242&amp;"",입력_인턴근무계획!$D$3:$D$402,0),IFERROR(MATCH(VALUE($B242),입력_인턴근무계획!$D$3:$D$402,0),""))))</f>
        <v/>
      </c>
      <c r="AD242" s="10">
        <f>IF(OR($AC242="",출력_인턴현황!$G$3=""),"",INDEX(입력_인턴근무계획!$M$3:$R$402,$AC242,출력_인턴현황!$G$3)&amp;"")</f>
        <v/>
      </c>
      <c r="AE242" s="10">
        <f>IF($B242="","",IF($M242&lt;&gt;"",$M242,IF(IF($AQ242="",FALSE,INDEX(출력_구리근무자!$J$6:$J$305,$AQ242)="구리독자"),"구리병원",IF($AF242&lt;&gt;"",IF(LEFT(INDEX(입력_파견수련계획!$R$4:$R$803,$AF242),1)&lt;&gt;"⚠",INDEX(입력_파견수련계획!$R$4:$R$803,$AF242),IF($H242="","",IF(RIGHT($H242,2)="병원",$H242,$H242&amp;"병원"))),IF($H242="","",IF(RIGHT($H242,2)="병원",$H242,$H242&amp;"병원"))))))</f>
        <v/>
      </c>
      <c r="AF242" s="10">
        <f>IF(OR($B242="",TRIM($J242&amp;"")=""),"",IFERROR(MATCH(TRIM($J242&amp;"")&amp;"|파견중",입력_파견수련계획!$Y$4:$Y$803,0),IFERROR(MATCH(TRIM($J242&amp;"")&amp;"|파견예정",입력_파견수련계획!$Y$4:$Y$803,0),IFERROR(MATCH(TRIM($J242&amp;"")&amp;"|파견종료",입력_파견수련계획!$Y$4:$Y$803,0),""))))</f>
        <v/>
      </c>
      <c r="AG242" s="10">
        <f>IF($B242="","",IF(AND(IF(OR($AC242="",출력_인턴현황!$K$2=""),"",INDEX(입력_인턴근무계획!$M$3:$R$402,$AC242,출력_인턴현황!$K$2)&amp;"")&lt;&gt;"",LEFT(IF(OR($AC242="",출력_인턴현황!$K$2=""),"",INDEX(입력_인턴근무계획!$M$3:$R$402,$AC242,출력_인턴현황!$K$2)&amp;""),1)&lt;&gt;"⚠"),LEFT(IF(OR($AC242="",출력_인턴현황!$K$2=""),"",INDEX(입력_인턴근무계획!$M$3:$R$402,$AC242,출력_인턴현황!$K$2)&amp;""),FIND(" ",IF(OR($AC242="",출력_인턴현황!$K$2=""),"",INDEX(입력_인턴근무계획!$M$3:$R$402,$AC242,출력_인턴현황!$K$2)&amp;""))-1),$AE242))</f>
        <v/>
      </c>
      <c r="AH242" s="17">
        <f>IF($B242="","",IF($AQ242&lt;&gt;"",MAX(0,DAY(EOMONTH(출력_요약!$B$3,0))-N($AR242)),IF(TRIM($J242&amp;"")="",0,SUMPRODUCT((입력_파견수련계획!$Q$4:$Q$803=TRIM($J242&amp;""))*(입력_파견수련계획!$S$4:$S$803="서울병원")*입력_파견수련계획!$W$4:$W$803))+IF($AG242="서울병원",MAX(0,DAY(EOMONTH(출력_요약!$B$3,0))-N($X242)),0)))</f>
        <v/>
      </c>
      <c r="AI242" s="17">
        <f>IF($B242="","",IF($AQ242&lt;&gt;"",N($AR242),IF(TRIM($J242&amp;"")="",0,SUMPRODUCT((입력_파견수련계획!$Q$4:$Q$803=TRIM($J242&amp;""))*(입력_파견수련계획!$S$4:$S$803="구리병원")*입력_파견수련계획!$W$4:$W$803))+IF($AG242="구리병원",MAX(0,DAY(EOMONTH(출력_요약!$B$3,0))-N($X242)),0)))</f>
        <v/>
      </c>
      <c r="AJ242" s="10">
        <f>IF(OR($B242="",TRIM($J242&amp;"")=""),"",IFERROR(MATCH(TRIM($J242&amp;"")&amp;"|월",입력_파견수련계획!$Z$4:$Z$803,0),""))</f>
        <v/>
      </c>
      <c r="AK242" s="10">
        <f>IF(OR($B242="",TRIM($J242&amp;"")=""),"",IFERROR(MATCH(TRIM($J242&amp;"")&amp;"|다기관",입력_파견수련계획!$AE$4:$AE$803,0),""))</f>
        <v/>
      </c>
      <c r="AL242" s="10">
        <f>IF($AK242="","","다기관 "&amp;TEXT(INDEX(입력_파견수련계획!$AB$4:$AB$803,$AK242),"yyyy-mm-dd")&amp;"~"&amp;IF(ISNUMBER(INDEX(입력_파견수련계획!$AC$4:$AC$803,$AK242)),TEXT(INDEX(입력_파견수련계획!$AC$4:$AC$803,$AK242),"yyyy-mm-dd"),""))</f>
        <v/>
      </c>
      <c r="AM242" s="10">
        <f>IF($Y242="서울병원",COUNTIF($Y$2:$Y242,"서울병원"),"")</f>
        <v/>
      </c>
      <c r="AN242" s="10">
        <f>IF(LEFT($Y242,1)="⚠",COUNTIF($Y$2:$Y242,"⚠*"),"")</f>
        <v/>
      </c>
      <c r="AO242" s="10">
        <f>IF(OR($B242="",$Y242=""),"",IF(IF(TRIM($J242&amp;"")="",0,SUMPRODUCT((입력_파견수련계획!$Q$4:$Q$803=TRIM($J242&amp;""))*입력_파견수련계획!$AD$4:$AD$803))&gt;0,"다기관 기간 → 소속병원 지급",IF(AND(N($X242)&lt;=0,$AQ242=""),"파견 없음 → 그 달 근무병원 지급",IF($AH242+$AI242=DAY(EOMONTH(출력_요약!$B$3,0)),"서울 "&amp;$AH242&amp;"일 / 구리 "&amp;$AI242&amp;"일"&amp;IF($AQ242&lt;&gt;""," (구리 근무자명단 반영)","")&amp;" → 15일 이상 근무 병원 지급","타 병원 포함 → "&amp;IF($AJ242="","소속",INDEX(입력_파견수련계획!$T$4:$T$803,$AJ242))&amp;" 규칙"))))</f>
        <v/>
      </c>
      <c r="AP242" s="10">
        <f>IF($B242="","",$C242&amp;"|"&amp;$F242)</f>
        <v/>
      </c>
      <c r="AQ242" s="10">
        <f>IF($B242="","",IFERROR(MATCH(ROW()-1,출력_구리근무자!$K$6:$K$305,0),""))</f>
        <v/>
      </c>
      <c r="AR242" s="10">
        <f>IF($AQ242="","",INDEX(출력_구리근무자!$H$6:$H$305,$AQ242))</f>
        <v/>
      </c>
    </row>
    <row r="243">
      <c r="A243" s="10">
        <f>IF(B243="","",ROW()-1)</f>
        <v/>
      </c>
      <c r="B243" s="19" t="n"/>
      <c r="C243" s="10">
        <f>IF($AB243="","",IF(INDEX(입력_기본자료!$C$2:$C$1001,$AB243)="","",INDEX(입력_기본자료!$C$2:$C$1001,$AB243)))</f>
        <v/>
      </c>
      <c r="D243" s="10">
        <f>IF($AB243="","",IF(INDEX(입력_기본자료!$J$2:$J$1001,$AB243)="","",INDEX(입력_기본자료!$J$2:$J$1001,$AB243)))</f>
        <v/>
      </c>
      <c r="E243" s="11">
        <f>IF($AB243="","",IF(INDEX(입력_기본자료!$K$2:$K$1001,$AB243)="","",IF(NOT(ISNUMBER(INDEX(입력_기본자료!$K$2:$K$1001,$AB243))),INDEX(입력_기본자료!$K$2:$K$1001,$AB243),IF(INDEX(입력_기본자료!$K$2:$K$1001,$AB243)&lt;1000000,INDEX(입력_기본자료!$K$2:$K$1001,$AB243),IF(AND(INDEX(입력_기본자료!$K$2:$K$1001,$AB243)&gt;=10000101,INT(MOD(INDEX(입력_기본자료!$K$2:$K$1001,$AB243),10000)/100)&gt;=1,INT(MOD(INDEX(입력_기본자료!$K$2:$K$1001,$AB243),10000)/100)&lt;=12,MOD(INDEX(입력_기본자료!$K$2:$K$1001,$AB243),100)&gt;=1,MOD(INDEX(입력_기본자료!$K$2:$K$1001,$AB243),100)&lt;=31),DATE(INT(INDEX(입력_기본자료!$K$2:$K$1001,$AB243)/10000),INT(MOD(INDEX(입력_기본자료!$K$2:$K$1001,$AB243),10000)/100),MOD(INDEX(입력_기본자료!$K$2:$K$1001,$AB243),100)),INDEX(입력_기본자료!$K$2:$K$1001,$AB243)&amp;"")))))</f>
        <v/>
      </c>
      <c r="F243" s="10">
        <f>IF($AB243="","",IF(INDEX(입력_기본자료!$D$2:$D$1001,$AB243)="","",INDEX(입력_기본자료!$D$2:$D$1001,$AB243)))</f>
        <v/>
      </c>
      <c r="G243" s="10">
        <f>IF($AB243="","",IF(INDEX(입력_기본자료!$E$2:$E$1001,$AB243)="","",INDEX(입력_기본자료!$E$2:$E$1001,$AB243)))</f>
        <v/>
      </c>
      <c r="H243" s="10">
        <f>IF($AB243="","",IF(INDEX(입력_기본자료!$F$2:$F$1001,$AB243)="","",INDEX(입력_기본자료!$F$2:$F$1001,$AB243)))</f>
        <v/>
      </c>
      <c r="I243" s="11">
        <f>IF($AB243="","",IF(INDEX(입력_기본자료!$G$2:$G$1001,$AB243)="","",IF(NOT(ISNUMBER(INDEX(입력_기본자료!$G$2:$G$1001,$AB243))),INDEX(입력_기본자료!$G$2:$G$1001,$AB243),IF(INDEX(입력_기본자료!$G$2:$G$1001,$AB243)&lt;1000000,INDEX(입력_기본자료!$G$2:$G$1001,$AB243),IF(AND(INDEX(입력_기본자료!$G$2:$G$1001,$AB243)&gt;=10000101,INT(MOD(INDEX(입력_기본자료!$G$2:$G$1001,$AB243),10000)/100)&gt;=1,INT(MOD(INDEX(입력_기본자료!$G$2:$G$1001,$AB243),10000)/100)&lt;=12,MOD(INDEX(입력_기본자료!$G$2:$G$1001,$AB243),100)&gt;=1,MOD(INDEX(입력_기본자료!$G$2:$G$1001,$AB243),100)&lt;=31),DATE(INT(INDEX(입력_기본자료!$G$2:$G$1001,$AB243)/10000),INT(MOD(INDEX(입력_기본자료!$G$2:$G$1001,$AB243),10000)/100),MOD(INDEX(입력_기본자료!$G$2:$G$1001,$AB243),100)),INDEX(입력_기본자료!$G$2:$G$1001,$AB243)&amp;"")))))</f>
        <v/>
      </c>
      <c r="J243" s="10">
        <f>IF($AB243="","",IF(INDEX(입력_기본자료!$H$2:$H$1001,$AB243)="","",INDEX(입력_기본자료!$H$2:$H$1001,$AB243)))</f>
        <v/>
      </c>
      <c r="K243" s="10">
        <f>IF($AB243="","",IF(INDEX(입력_기본자료!$I$2:$I$1001,$AB243)="","",INDEX(입력_기본자료!$I$2:$I$1001,$AB243)))</f>
        <v/>
      </c>
      <c r="L243" s="10">
        <f>IF($AB243="","",IF(INDEX(입력_기본자료!$A$2:$A$1001,$AB243)="","",INDEX(입력_기본자료!$A$2:$A$1001,$AB243)))</f>
        <v/>
      </c>
      <c r="M243" s="15" t="n"/>
      <c r="N243" s="10">
        <f>IF($B243="","",IF(AND($U243="파견중",$Q243&lt;&gt;""),$Q243,IF(AND($AD243&lt;&gt;"",LEFT($AD243,1)&lt;&gt;"⚠"),LEFT($AD243,FIND(" ",$AD243)-1),IF($H243="","",IF(RIGHT($H243,2)="병원",$H243,$H243&amp;"병원")))))</f>
        <v/>
      </c>
      <c r="O243" s="10">
        <f>IF($B243="","",IF(AND($U243="파견중",$Q243&lt;&gt;""),IF($R243&lt;&gt;"",$R243,"파견과 미입력"),IF(AND($AD243&lt;&gt;"",LEFT($AD243,1)&lt;&gt;"⚠"),MID($AD243,FIND(" ",$AD243)+1,60),IF($F243="","",IF($F243="인턴","수련교육부(인턴)",$F243)))))</f>
        <v/>
      </c>
      <c r="P243" s="10">
        <f>IF($B243="","",IF($AK243&lt;&gt;"",IF(AND(TODAY()&gt;=INDEX(입력_파견수련계획!$AB$4:$AB$803,$AK243),OR(NOT(ISNUMBER(INDEX(입력_파견수련계획!$AC$4:$AC$803,$AK243))),TODAY()&lt;=INDEX(입력_파견수련계획!$AC$4:$AC$803,$AK243))),"다기관",IF($AF243="","",INDEX(입력_파견수련계획!$T$4:$T$803,$AF243))),IF($AF243="","",INDEX(입력_파견수련계획!$T$4:$T$803,$AF243))))</f>
        <v/>
      </c>
      <c r="Q243" s="10">
        <f>IF($AF243="","",INDEX(입력_파견수련계획!$S$4:$S$803,$AF243))</f>
        <v/>
      </c>
      <c r="R243" s="10">
        <f>IF($AF243="","",INDEX(입력_파견수련계획!$U$4:$U$803,$AF243))</f>
        <v/>
      </c>
      <c r="S243" s="11">
        <f>IF($AF243="","",IF(INDEX(입력_파견수련계획!$H$4:$H$803,$AF243)="","",INDEX(입력_파견수련계획!$H$4:$H$803,$AF243)))</f>
        <v/>
      </c>
      <c r="T243" s="11">
        <f>IF($AF243="","",IF(INDEX(입력_파견수련계획!$I$4:$I$803,$AF243)="","",INDEX(입력_파견수련계획!$I$4:$I$803,$AF243)))</f>
        <v/>
      </c>
      <c r="U243" s="10">
        <f>IF($AF243="","",INDEX(입력_파견수련계획!$X$4:$X$803,$AF243))</f>
        <v/>
      </c>
      <c r="V243" s="17">
        <f>IF($AF243="","",INDEX(입력_파견수련계획!$V$4:$V$803,$AF243))</f>
        <v/>
      </c>
      <c r="W243" s="17">
        <f>IF(AND($U243="파견중",$T243&lt;&gt;""),$T243-TODAY(),"")</f>
        <v/>
      </c>
      <c r="X243" s="17">
        <f>IF(OR($B243="",TRIM($J243&amp;"")=""),"",SUMPRODUCT((입력_파견수련계획!$Q$4:$Q$803=TRIM($J243&amp;""))*입력_파견수련계획!$W$4:$W$803))</f>
        <v/>
      </c>
      <c r="Y243" s="10">
        <f>IF($B243="","",IF($AG243="","",IF(IF(TRIM($J243&amp;"")="",0,SUMPRODUCT((입력_파견수련계획!$Q$4:$Q$803=TRIM($J243&amp;""))*입력_파견수련계획!$AD$4:$AD$803))&gt;0,$AE243,IF(AND(N($X243)&lt;=0,$AQ243=""),$AG243,IF($AH243+$AI243=DAY(EOMONTH(출력_요약!$B$3,0)),IF(AND($AH243&gt;=출력_요약!$E$3,$AI243&lt;출력_요약!$E$3),"서울병원",IF(AND($AI243&gt;=출력_요약!$E$3,$AH243&lt;출력_요약!$E$3),"구리병원","⚠15일 판정불가(서울 "&amp;$AH243&amp;"일/구리 "&amp;$AI243&amp;"일)")),IF($AJ243="",$AE243,IF(INDEX(입력_파견수련계획!$T$4:$T$803,$AJ243)="통합수련",INDEX(입력_파견수련계획!$S$4:$S$803,$AJ243),$AE243)))))))</f>
        <v/>
      </c>
      <c r="Z243" s="20">
        <f>IF($B243="","",IF($AB243="","기본자료에 없는 사번",IF(COUNTIF($B$2:$B$401,$B243)&gt;1,"중복 사번",IF($AE243="","소속(입사장소) 입력",IF(IF(TRIM($J243&amp;"")="",0,SUMPRODUCT((입력_파견수련계획!$Q$4:$Q$803=TRIM($J243&amp;""))*(입력_파견수련계획!$AA$4:$AA$803&lt;&gt;"")))&gt;0,"파견수련계획 입력오류 확인",IF(LEFT($Y243,1)="⚠","서울·구리 15일 판정 불가(양쪽 모두 이상/미만)",IF(IF($AC243="",0,N(INDEX(입력_인턴근무계획!$T$3:$T$402,$AC243)))&gt;0,"인턴계획 입력오류 확인",IF(AND($AQ243&lt;&gt;"",$AG243&lt;&gt;"구리병원",IF(TRIM($J243&amp;"")="",0,SUMPRODUCT((입력_파견수련계획!$Q$4:$Q$803=TRIM($J243&amp;""))*(입력_파견수련계획!$S$4:$S$803="구리병원")*입력_파견수련계획!$W$4:$W$803))=0),"구리 근무자명단에만 있음(파견수련계획 확인)",IF(AND($AC243&lt;&gt;"",$U243&lt;&gt;"파견중",$N243&lt;&gt;$AE243),"인턴 타지역 근무: 파견 여부 확인","정상")))))))))</f>
        <v/>
      </c>
      <c r="AA243" s="5" t="n"/>
      <c r="AB243" s="10">
        <f>IF($B243="","",IFERROR(MATCH($B243,입력_기본자료!$B$2:$B$1001,0),IFERROR(MATCH($B243&amp;"",입력_기본자료!$B$2:$B$1001,0),IFERROR(MATCH(VALUE($B243),입력_기본자료!$B$2:$B$1001,0),""))))</f>
        <v/>
      </c>
      <c r="AC243" s="10">
        <f>IF($B243="","",IFERROR(MATCH($B243,입력_인턴근무계획!$D$3:$D$402,0),IFERROR(MATCH($B243&amp;"",입력_인턴근무계획!$D$3:$D$402,0),IFERROR(MATCH(VALUE($B243),입력_인턴근무계획!$D$3:$D$402,0),""))))</f>
        <v/>
      </c>
      <c r="AD243" s="10">
        <f>IF(OR($AC243="",출력_인턴현황!$G$3=""),"",INDEX(입력_인턴근무계획!$M$3:$R$402,$AC243,출력_인턴현황!$G$3)&amp;"")</f>
        <v/>
      </c>
      <c r="AE243" s="10">
        <f>IF($B243="","",IF($M243&lt;&gt;"",$M243,IF(IF($AQ243="",FALSE,INDEX(출력_구리근무자!$J$6:$J$305,$AQ243)="구리독자"),"구리병원",IF($AF243&lt;&gt;"",IF(LEFT(INDEX(입력_파견수련계획!$R$4:$R$803,$AF243),1)&lt;&gt;"⚠",INDEX(입력_파견수련계획!$R$4:$R$803,$AF243),IF($H243="","",IF(RIGHT($H243,2)="병원",$H243,$H243&amp;"병원"))),IF($H243="","",IF(RIGHT($H243,2)="병원",$H243,$H243&amp;"병원"))))))</f>
        <v/>
      </c>
      <c r="AF243" s="10">
        <f>IF(OR($B243="",TRIM($J243&amp;"")=""),"",IFERROR(MATCH(TRIM($J243&amp;"")&amp;"|파견중",입력_파견수련계획!$Y$4:$Y$803,0),IFERROR(MATCH(TRIM($J243&amp;"")&amp;"|파견예정",입력_파견수련계획!$Y$4:$Y$803,0),IFERROR(MATCH(TRIM($J243&amp;"")&amp;"|파견종료",입력_파견수련계획!$Y$4:$Y$803,0),""))))</f>
        <v/>
      </c>
      <c r="AG243" s="10">
        <f>IF($B243="","",IF(AND(IF(OR($AC243="",출력_인턴현황!$K$2=""),"",INDEX(입력_인턴근무계획!$M$3:$R$402,$AC243,출력_인턴현황!$K$2)&amp;"")&lt;&gt;"",LEFT(IF(OR($AC243="",출력_인턴현황!$K$2=""),"",INDEX(입력_인턴근무계획!$M$3:$R$402,$AC243,출력_인턴현황!$K$2)&amp;""),1)&lt;&gt;"⚠"),LEFT(IF(OR($AC243="",출력_인턴현황!$K$2=""),"",INDEX(입력_인턴근무계획!$M$3:$R$402,$AC243,출력_인턴현황!$K$2)&amp;""),FIND(" ",IF(OR($AC243="",출력_인턴현황!$K$2=""),"",INDEX(입력_인턴근무계획!$M$3:$R$402,$AC243,출력_인턴현황!$K$2)&amp;""))-1),$AE243))</f>
        <v/>
      </c>
      <c r="AH243" s="17">
        <f>IF($B243="","",IF($AQ243&lt;&gt;"",MAX(0,DAY(EOMONTH(출력_요약!$B$3,0))-N($AR243)),IF(TRIM($J243&amp;"")="",0,SUMPRODUCT((입력_파견수련계획!$Q$4:$Q$803=TRIM($J243&amp;""))*(입력_파견수련계획!$S$4:$S$803="서울병원")*입력_파견수련계획!$W$4:$W$803))+IF($AG243="서울병원",MAX(0,DAY(EOMONTH(출력_요약!$B$3,0))-N($X243)),0)))</f>
        <v/>
      </c>
      <c r="AI243" s="17">
        <f>IF($B243="","",IF($AQ243&lt;&gt;"",N($AR243),IF(TRIM($J243&amp;"")="",0,SUMPRODUCT((입력_파견수련계획!$Q$4:$Q$803=TRIM($J243&amp;""))*(입력_파견수련계획!$S$4:$S$803="구리병원")*입력_파견수련계획!$W$4:$W$803))+IF($AG243="구리병원",MAX(0,DAY(EOMONTH(출력_요약!$B$3,0))-N($X243)),0)))</f>
        <v/>
      </c>
      <c r="AJ243" s="10">
        <f>IF(OR($B243="",TRIM($J243&amp;"")=""),"",IFERROR(MATCH(TRIM($J243&amp;"")&amp;"|월",입력_파견수련계획!$Z$4:$Z$803,0),""))</f>
        <v/>
      </c>
      <c r="AK243" s="10">
        <f>IF(OR($B243="",TRIM($J243&amp;"")=""),"",IFERROR(MATCH(TRIM($J243&amp;"")&amp;"|다기관",입력_파견수련계획!$AE$4:$AE$803,0),""))</f>
        <v/>
      </c>
      <c r="AL243" s="10">
        <f>IF($AK243="","","다기관 "&amp;TEXT(INDEX(입력_파견수련계획!$AB$4:$AB$803,$AK243),"yyyy-mm-dd")&amp;"~"&amp;IF(ISNUMBER(INDEX(입력_파견수련계획!$AC$4:$AC$803,$AK243)),TEXT(INDEX(입력_파견수련계획!$AC$4:$AC$803,$AK243),"yyyy-mm-dd"),""))</f>
        <v/>
      </c>
      <c r="AM243" s="10">
        <f>IF($Y243="서울병원",COUNTIF($Y$2:$Y243,"서울병원"),"")</f>
        <v/>
      </c>
      <c r="AN243" s="10">
        <f>IF(LEFT($Y243,1)="⚠",COUNTIF($Y$2:$Y243,"⚠*"),"")</f>
        <v/>
      </c>
      <c r="AO243" s="10">
        <f>IF(OR($B243="",$Y243=""),"",IF(IF(TRIM($J243&amp;"")="",0,SUMPRODUCT((입력_파견수련계획!$Q$4:$Q$803=TRIM($J243&amp;""))*입력_파견수련계획!$AD$4:$AD$803))&gt;0,"다기관 기간 → 소속병원 지급",IF(AND(N($X243)&lt;=0,$AQ243=""),"파견 없음 → 그 달 근무병원 지급",IF($AH243+$AI243=DAY(EOMONTH(출력_요약!$B$3,0)),"서울 "&amp;$AH243&amp;"일 / 구리 "&amp;$AI243&amp;"일"&amp;IF($AQ243&lt;&gt;""," (구리 근무자명단 반영)","")&amp;" → 15일 이상 근무 병원 지급","타 병원 포함 → "&amp;IF($AJ243="","소속",INDEX(입력_파견수련계획!$T$4:$T$803,$AJ243))&amp;" 규칙"))))</f>
        <v/>
      </c>
      <c r="AP243" s="10">
        <f>IF($B243="","",$C243&amp;"|"&amp;$F243)</f>
        <v/>
      </c>
      <c r="AQ243" s="10">
        <f>IF($B243="","",IFERROR(MATCH(ROW()-1,출력_구리근무자!$K$6:$K$305,0),""))</f>
        <v/>
      </c>
      <c r="AR243" s="10">
        <f>IF($AQ243="","",INDEX(출력_구리근무자!$H$6:$H$305,$AQ243))</f>
        <v/>
      </c>
    </row>
    <row r="244">
      <c r="A244" s="10">
        <f>IF(B244="","",ROW()-1)</f>
        <v/>
      </c>
      <c r="B244" s="19" t="n"/>
      <c r="C244" s="10">
        <f>IF($AB244="","",IF(INDEX(입력_기본자료!$C$2:$C$1001,$AB244)="","",INDEX(입력_기본자료!$C$2:$C$1001,$AB244)))</f>
        <v/>
      </c>
      <c r="D244" s="10">
        <f>IF($AB244="","",IF(INDEX(입력_기본자료!$J$2:$J$1001,$AB244)="","",INDEX(입력_기본자료!$J$2:$J$1001,$AB244)))</f>
        <v/>
      </c>
      <c r="E244" s="11">
        <f>IF($AB244="","",IF(INDEX(입력_기본자료!$K$2:$K$1001,$AB244)="","",IF(NOT(ISNUMBER(INDEX(입력_기본자료!$K$2:$K$1001,$AB244))),INDEX(입력_기본자료!$K$2:$K$1001,$AB244),IF(INDEX(입력_기본자료!$K$2:$K$1001,$AB244)&lt;1000000,INDEX(입력_기본자료!$K$2:$K$1001,$AB244),IF(AND(INDEX(입력_기본자료!$K$2:$K$1001,$AB244)&gt;=10000101,INT(MOD(INDEX(입력_기본자료!$K$2:$K$1001,$AB244),10000)/100)&gt;=1,INT(MOD(INDEX(입력_기본자료!$K$2:$K$1001,$AB244),10000)/100)&lt;=12,MOD(INDEX(입력_기본자료!$K$2:$K$1001,$AB244),100)&gt;=1,MOD(INDEX(입력_기본자료!$K$2:$K$1001,$AB244),100)&lt;=31),DATE(INT(INDEX(입력_기본자료!$K$2:$K$1001,$AB244)/10000),INT(MOD(INDEX(입력_기본자료!$K$2:$K$1001,$AB244),10000)/100),MOD(INDEX(입력_기본자료!$K$2:$K$1001,$AB244),100)),INDEX(입력_기본자료!$K$2:$K$1001,$AB244)&amp;"")))))</f>
        <v/>
      </c>
      <c r="F244" s="10">
        <f>IF($AB244="","",IF(INDEX(입력_기본자료!$D$2:$D$1001,$AB244)="","",INDEX(입력_기본자료!$D$2:$D$1001,$AB244)))</f>
        <v/>
      </c>
      <c r="G244" s="10">
        <f>IF($AB244="","",IF(INDEX(입력_기본자료!$E$2:$E$1001,$AB244)="","",INDEX(입력_기본자료!$E$2:$E$1001,$AB244)))</f>
        <v/>
      </c>
      <c r="H244" s="10">
        <f>IF($AB244="","",IF(INDEX(입력_기본자료!$F$2:$F$1001,$AB244)="","",INDEX(입력_기본자료!$F$2:$F$1001,$AB244)))</f>
        <v/>
      </c>
      <c r="I244" s="11">
        <f>IF($AB244="","",IF(INDEX(입력_기본자료!$G$2:$G$1001,$AB244)="","",IF(NOT(ISNUMBER(INDEX(입력_기본자료!$G$2:$G$1001,$AB244))),INDEX(입력_기본자료!$G$2:$G$1001,$AB244),IF(INDEX(입력_기본자료!$G$2:$G$1001,$AB244)&lt;1000000,INDEX(입력_기본자료!$G$2:$G$1001,$AB244),IF(AND(INDEX(입력_기본자료!$G$2:$G$1001,$AB244)&gt;=10000101,INT(MOD(INDEX(입력_기본자료!$G$2:$G$1001,$AB244),10000)/100)&gt;=1,INT(MOD(INDEX(입력_기본자료!$G$2:$G$1001,$AB244),10000)/100)&lt;=12,MOD(INDEX(입력_기본자료!$G$2:$G$1001,$AB244),100)&gt;=1,MOD(INDEX(입력_기본자료!$G$2:$G$1001,$AB244),100)&lt;=31),DATE(INT(INDEX(입력_기본자료!$G$2:$G$1001,$AB244)/10000),INT(MOD(INDEX(입력_기본자료!$G$2:$G$1001,$AB244),10000)/100),MOD(INDEX(입력_기본자료!$G$2:$G$1001,$AB244),100)),INDEX(입력_기본자료!$G$2:$G$1001,$AB244)&amp;"")))))</f>
        <v/>
      </c>
      <c r="J244" s="10">
        <f>IF($AB244="","",IF(INDEX(입력_기본자료!$H$2:$H$1001,$AB244)="","",INDEX(입력_기본자료!$H$2:$H$1001,$AB244)))</f>
        <v/>
      </c>
      <c r="K244" s="10">
        <f>IF($AB244="","",IF(INDEX(입력_기본자료!$I$2:$I$1001,$AB244)="","",INDEX(입력_기본자료!$I$2:$I$1001,$AB244)))</f>
        <v/>
      </c>
      <c r="L244" s="10">
        <f>IF($AB244="","",IF(INDEX(입력_기본자료!$A$2:$A$1001,$AB244)="","",INDEX(입력_기본자료!$A$2:$A$1001,$AB244)))</f>
        <v/>
      </c>
      <c r="M244" s="15" t="n"/>
      <c r="N244" s="10">
        <f>IF($B244="","",IF(AND($U244="파견중",$Q244&lt;&gt;""),$Q244,IF(AND($AD244&lt;&gt;"",LEFT($AD244,1)&lt;&gt;"⚠"),LEFT($AD244,FIND(" ",$AD244)-1),IF($H244="","",IF(RIGHT($H244,2)="병원",$H244,$H244&amp;"병원")))))</f>
        <v/>
      </c>
      <c r="O244" s="10">
        <f>IF($B244="","",IF(AND($U244="파견중",$Q244&lt;&gt;""),IF($R244&lt;&gt;"",$R244,"파견과 미입력"),IF(AND($AD244&lt;&gt;"",LEFT($AD244,1)&lt;&gt;"⚠"),MID($AD244,FIND(" ",$AD244)+1,60),IF($F244="","",IF($F244="인턴","수련교육부(인턴)",$F244)))))</f>
        <v/>
      </c>
      <c r="P244" s="10">
        <f>IF($B244="","",IF($AK244&lt;&gt;"",IF(AND(TODAY()&gt;=INDEX(입력_파견수련계획!$AB$4:$AB$803,$AK244),OR(NOT(ISNUMBER(INDEX(입력_파견수련계획!$AC$4:$AC$803,$AK244))),TODAY()&lt;=INDEX(입력_파견수련계획!$AC$4:$AC$803,$AK244))),"다기관",IF($AF244="","",INDEX(입력_파견수련계획!$T$4:$T$803,$AF244))),IF($AF244="","",INDEX(입력_파견수련계획!$T$4:$T$803,$AF244))))</f>
        <v/>
      </c>
      <c r="Q244" s="10">
        <f>IF($AF244="","",INDEX(입력_파견수련계획!$S$4:$S$803,$AF244))</f>
        <v/>
      </c>
      <c r="R244" s="10">
        <f>IF($AF244="","",INDEX(입력_파견수련계획!$U$4:$U$803,$AF244))</f>
        <v/>
      </c>
      <c r="S244" s="11">
        <f>IF($AF244="","",IF(INDEX(입력_파견수련계획!$H$4:$H$803,$AF244)="","",INDEX(입력_파견수련계획!$H$4:$H$803,$AF244)))</f>
        <v/>
      </c>
      <c r="T244" s="11">
        <f>IF($AF244="","",IF(INDEX(입력_파견수련계획!$I$4:$I$803,$AF244)="","",INDEX(입력_파견수련계획!$I$4:$I$803,$AF244)))</f>
        <v/>
      </c>
      <c r="U244" s="10">
        <f>IF($AF244="","",INDEX(입력_파견수련계획!$X$4:$X$803,$AF244))</f>
        <v/>
      </c>
      <c r="V244" s="17">
        <f>IF($AF244="","",INDEX(입력_파견수련계획!$V$4:$V$803,$AF244))</f>
        <v/>
      </c>
      <c r="W244" s="17">
        <f>IF(AND($U244="파견중",$T244&lt;&gt;""),$T244-TODAY(),"")</f>
        <v/>
      </c>
      <c r="X244" s="17">
        <f>IF(OR($B244="",TRIM($J244&amp;"")=""),"",SUMPRODUCT((입력_파견수련계획!$Q$4:$Q$803=TRIM($J244&amp;""))*입력_파견수련계획!$W$4:$W$803))</f>
        <v/>
      </c>
      <c r="Y244" s="10">
        <f>IF($B244="","",IF($AG244="","",IF(IF(TRIM($J244&amp;"")="",0,SUMPRODUCT((입력_파견수련계획!$Q$4:$Q$803=TRIM($J244&amp;""))*입력_파견수련계획!$AD$4:$AD$803))&gt;0,$AE244,IF(AND(N($X244)&lt;=0,$AQ244=""),$AG244,IF($AH244+$AI244=DAY(EOMONTH(출력_요약!$B$3,0)),IF(AND($AH244&gt;=출력_요약!$E$3,$AI244&lt;출력_요약!$E$3),"서울병원",IF(AND($AI244&gt;=출력_요약!$E$3,$AH244&lt;출력_요약!$E$3),"구리병원","⚠15일 판정불가(서울 "&amp;$AH244&amp;"일/구리 "&amp;$AI244&amp;"일)")),IF($AJ244="",$AE244,IF(INDEX(입력_파견수련계획!$T$4:$T$803,$AJ244)="통합수련",INDEX(입력_파견수련계획!$S$4:$S$803,$AJ244),$AE244)))))))</f>
        <v/>
      </c>
      <c r="Z244" s="20">
        <f>IF($B244="","",IF($AB244="","기본자료에 없는 사번",IF(COUNTIF($B$2:$B$401,$B244)&gt;1,"중복 사번",IF($AE244="","소속(입사장소) 입력",IF(IF(TRIM($J244&amp;"")="",0,SUMPRODUCT((입력_파견수련계획!$Q$4:$Q$803=TRIM($J244&amp;""))*(입력_파견수련계획!$AA$4:$AA$803&lt;&gt;"")))&gt;0,"파견수련계획 입력오류 확인",IF(LEFT($Y244,1)="⚠","서울·구리 15일 판정 불가(양쪽 모두 이상/미만)",IF(IF($AC244="",0,N(INDEX(입력_인턴근무계획!$T$3:$T$402,$AC244)))&gt;0,"인턴계획 입력오류 확인",IF(AND($AQ244&lt;&gt;"",$AG244&lt;&gt;"구리병원",IF(TRIM($J244&amp;"")="",0,SUMPRODUCT((입력_파견수련계획!$Q$4:$Q$803=TRIM($J244&amp;""))*(입력_파견수련계획!$S$4:$S$803="구리병원")*입력_파견수련계획!$W$4:$W$803))=0),"구리 근무자명단에만 있음(파견수련계획 확인)",IF(AND($AC244&lt;&gt;"",$U244&lt;&gt;"파견중",$N244&lt;&gt;$AE244),"인턴 타지역 근무: 파견 여부 확인","정상")))))))))</f>
        <v/>
      </c>
      <c r="AA244" s="5" t="n"/>
      <c r="AB244" s="10">
        <f>IF($B244="","",IFERROR(MATCH($B244,입력_기본자료!$B$2:$B$1001,0),IFERROR(MATCH($B244&amp;"",입력_기본자료!$B$2:$B$1001,0),IFERROR(MATCH(VALUE($B244),입력_기본자료!$B$2:$B$1001,0),""))))</f>
        <v/>
      </c>
      <c r="AC244" s="10">
        <f>IF($B244="","",IFERROR(MATCH($B244,입력_인턴근무계획!$D$3:$D$402,0),IFERROR(MATCH($B244&amp;"",입력_인턴근무계획!$D$3:$D$402,0),IFERROR(MATCH(VALUE($B244),입력_인턴근무계획!$D$3:$D$402,0),""))))</f>
        <v/>
      </c>
      <c r="AD244" s="10">
        <f>IF(OR($AC244="",출력_인턴현황!$G$3=""),"",INDEX(입력_인턴근무계획!$M$3:$R$402,$AC244,출력_인턴현황!$G$3)&amp;"")</f>
        <v/>
      </c>
      <c r="AE244" s="10">
        <f>IF($B244="","",IF($M244&lt;&gt;"",$M244,IF(IF($AQ244="",FALSE,INDEX(출력_구리근무자!$J$6:$J$305,$AQ244)="구리독자"),"구리병원",IF($AF244&lt;&gt;"",IF(LEFT(INDEX(입력_파견수련계획!$R$4:$R$803,$AF244),1)&lt;&gt;"⚠",INDEX(입력_파견수련계획!$R$4:$R$803,$AF244),IF($H244="","",IF(RIGHT($H244,2)="병원",$H244,$H244&amp;"병원"))),IF($H244="","",IF(RIGHT($H244,2)="병원",$H244,$H244&amp;"병원"))))))</f>
        <v/>
      </c>
      <c r="AF244" s="10">
        <f>IF(OR($B244="",TRIM($J244&amp;"")=""),"",IFERROR(MATCH(TRIM($J244&amp;"")&amp;"|파견중",입력_파견수련계획!$Y$4:$Y$803,0),IFERROR(MATCH(TRIM($J244&amp;"")&amp;"|파견예정",입력_파견수련계획!$Y$4:$Y$803,0),IFERROR(MATCH(TRIM($J244&amp;"")&amp;"|파견종료",입력_파견수련계획!$Y$4:$Y$803,0),""))))</f>
        <v/>
      </c>
      <c r="AG244" s="10">
        <f>IF($B244="","",IF(AND(IF(OR($AC244="",출력_인턴현황!$K$2=""),"",INDEX(입력_인턴근무계획!$M$3:$R$402,$AC244,출력_인턴현황!$K$2)&amp;"")&lt;&gt;"",LEFT(IF(OR($AC244="",출력_인턴현황!$K$2=""),"",INDEX(입력_인턴근무계획!$M$3:$R$402,$AC244,출력_인턴현황!$K$2)&amp;""),1)&lt;&gt;"⚠"),LEFT(IF(OR($AC244="",출력_인턴현황!$K$2=""),"",INDEX(입력_인턴근무계획!$M$3:$R$402,$AC244,출력_인턴현황!$K$2)&amp;""),FIND(" ",IF(OR($AC244="",출력_인턴현황!$K$2=""),"",INDEX(입력_인턴근무계획!$M$3:$R$402,$AC244,출력_인턴현황!$K$2)&amp;""))-1),$AE244))</f>
        <v/>
      </c>
      <c r="AH244" s="17">
        <f>IF($B244="","",IF($AQ244&lt;&gt;"",MAX(0,DAY(EOMONTH(출력_요약!$B$3,0))-N($AR244)),IF(TRIM($J244&amp;"")="",0,SUMPRODUCT((입력_파견수련계획!$Q$4:$Q$803=TRIM($J244&amp;""))*(입력_파견수련계획!$S$4:$S$803="서울병원")*입력_파견수련계획!$W$4:$W$803))+IF($AG244="서울병원",MAX(0,DAY(EOMONTH(출력_요약!$B$3,0))-N($X244)),0)))</f>
        <v/>
      </c>
      <c r="AI244" s="17">
        <f>IF($B244="","",IF($AQ244&lt;&gt;"",N($AR244),IF(TRIM($J244&amp;"")="",0,SUMPRODUCT((입력_파견수련계획!$Q$4:$Q$803=TRIM($J244&amp;""))*(입력_파견수련계획!$S$4:$S$803="구리병원")*입력_파견수련계획!$W$4:$W$803))+IF($AG244="구리병원",MAX(0,DAY(EOMONTH(출력_요약!$B$3,0))-N($X244)),0)))</f>
        <v/>
      </c>
      <c r="AJ244" s="10">
        <f>IF(OR($B244="",TRIM($J244&amp;"")=""),"",IFERROR(MATCH(TRIM($J244&amp;"")&amp;"|월",입력_파견수련계획!$Z$4:$Z$803,0),""))</f>
        <v/>
      </c>
      <c r="AK244" s="10">
        <f>IF(OR($B244="",TRIM($J244&amp;"")=""),"",IFERROR(MATCH(TRIM($J244&amp;"")&amp;"|다기관",입력_파견수련계획!$AE$4:$AE$803,0),""))</f>
        <v/>
      </c>
      <c r="AL244" s="10">
        <f>IF($AK244="","","다기관 "&amp;TEXT(INDEX(입력_파견수련계획!$AB$4:$AB$803,$AK244),"yyyy-mm-dd")&amp;"~"&amp;IF(ISNUMBER(INDEX(입력_파견수련계획!$AC$4:$AC$803,$AK244)),TEXT(INDEX(입력_파견수련계획!$AC$4:$AC$803,$AK244),"yyyy-mm-dd"),""))</f>
        <v/>
      </c>
      <c r="AM244" s="10">
        <f>IF($Y244="서울병원",COUNTIF($Y$2:$Y244,"서울병원"),"")</f>
        <v/>
      </c>
      <c r="AN244" s="10">
        <f>IF(LEFT($Y244,1)="⚠",COUNTIF($Y$2:$Y244,"⚠*"),"")</f>
        <v/>
      </c>
      <c r="AO244" s="10">
        <f>IF(OR($B244="",$Y244=""),"",IF(IF(TRIM($J244&amp;"")="",0,SUMPRODUCT((입력_파견수련계획!$Q$4:$Q$803=TRIM($J244&amp;""))*입력_파견수련계획!$AD$4:$AD$803))&gt;0,"다기관 기간 → 소속병원 지급",IF(AND(N($X244)&lt;=0,$AQ244=""),"파견 없음 → 그 달 근무병원 지급",IF($AH244+$AI244=DAY(EOMONTH(출력_요약!$B$3,0)),"서울 "&amp;$AH244&amp;"일 / 구리 "&amp;$AI244&amp;"일"&amp;IF($AQ244&lt;&gt;""," (구리 근무자명단 반영)","")&amp;" → 15일 이상 근무 병원 지급","타 병원 포함 → "&amp;IF($AJ244="","소속",INDEX(입력_파견수련계획!$T$4:$T$803,$AJ244))&amp;" 규칙"))))</f>
        <v/>
      </c>
      <c r="AP244" s="10">
        <f>IF($B244="","",$C244&amp;"|"&amp;$F244)</f>
        <v/>
      </c>
      <c r="AQ244" s="10">
        <f>IF($B244="","",IFERROR(MATCH(ROW()-1,출력_구리근무자!$K$6:$K$305,0),""))</f>
        <v/>
      </c>
      <c r="AR244" s="10">
        <f>IF($AQ244="","",INDEX(출력_구리근무자!$H$6:$H$305,$AQ244))</f>
        <v/>
      </c>
    </row>
    <row r="245">
      <c r="A245" s="10">
        <f>IF(B245="","",ROW()-1)</f>
        <v/>
      </c>
      <c r="B245" s="19" t="n"/>
      <c r="C245" s="10">
        <f>IF($AB245="","",IF(INDEX(입력_기본자료!$C$2:$C$1001,$AB245)="","",INDEX(입력_기본자료!$C$2:$C$1001,$AB245)))</f>
        <v/>
      </c>
      <c r="D245" s="10">
        <f>IF($AB245="","",IF(INDEX(입력_기본자료!$J$2:$J$1001,$AB245)="","",INDEX(입력_기본자료!$J$2:$J$1001,$AB245)))</f>
        <v/>
      </c>
      <c r="E245" s="11">
        <f>IF($AB245="","",IF(INDEX(입력_기본자료!$K$2:$K$1001,$AB245)="","",IF(NOT(ISNUMBER(INDEX(입력_기본자료!$K$2:$K$1001,$AB245))),INDEX(입력_기본자료!$K$2:$K$1001,$AB245),IF(INDEX(입력_기본자료!$K$2:$K$1001,$AB245)&lt;1000000,INDEX(입력_기본자료!$K$2:$K$1001,$AB245),IF(AND(INDEX(입력_기본자료!$K$2:$K$1001,$AB245)&gt;=10000101,INT(MOD(INDEX(입력_기본자료!$K$2:$K$1001,$AB245),10000)/100)&gt;=1,INT(MOD(INDEX(입력_기본자료!$K$2:$K$1001,$AB245),10000)/100)&lt;=12,MOD(INDEX(입력_기본자료!$K$2:$K$1001,$AB245),100)&gt;=1,MOD(INDEX(입력_기본자료!$K$2:$K$1001,$AB245),100)&lt;=31),DATE(INT(INDEX(입력_기본자료!$K$2:$K$1001,$AB245)/10000),INT(MOD(INDEX(입력_기본자료!$K$2:$K$1001,$AB245),10000)/100),MOD(INDEX(입력_기본자료!$K$2:$K$1001,$AB245),100)),INDEX(입력_기본자료!$K$2:$K$1001,$AB245)&amp;"")))))</f>
        <v/>
      </c>
      <c r="F245" s="10">
        <f>IF($AB245="","",IF(INDEX(입력_기본자료!$D$2:$D$1001,$AB245)="","",INDEX(입력_기본자료!$D$2:$D$1001,$AB245)))</f>
        <v/>
      </c>
      <c r="G245" s="10">
        <f>IF($AB245="","",IF(INDEX(입력_기본자료!$E$2:$E$1001,$AB245)="","",INDEX(입력_기본자료!$E$2:$E$1001,$AB245)))</f>
        <v/>
      </c>
      <c r="H245" s="10">
        <f>IF($AB245="","",IF(INDEX(입력_기본자료!$F$2:$F$1001,$AB245)="","",INDEX(입력_기본자료!$F$2:$F$1001,$AB245)))</f>
        <v/>
      </c>
      <c r="I245" s="11">
        <f>IF($AB245="","",IF(INDEX(입력_기본자료!$G$2:$G$1001,$AB245)="","",IF(NOT(ISNUMBER(INDEX(입력_기본자료!$G$2:$G$1001,$AB245))),INDEX(입력_기본자료!$G$2:$G$1001,$AB245),IF(INDEX(입력_기본자료!$G$2:$G$1001,$AB245)&lt;1000000,INDEX(입력_기본자료!$G$2:$G$1001,$AB245),IF(AND(INDEX(입력_기본자료!$G$2:$G$1001,$AB245)&gt;=10000101,INT(MOD(INDEX(입력_기본자료!$G$2:$G$1001,$AB245),10000)/100)&gt;=1,INT(MOD(INDEX(입력_기본자료!$G$2:$G$1001,$AB245),10000)/100)&lt;=12,MOD(INDEX(입력_기본자료!$G$2:$G$1001,$AB245),100)&gt;=1,MOD(INDEX(입력_기본자료!$G$2:$G$1001,$AB245),100)&lt;=31),DATE(INT(INDEX(입력_기본자료!$G$2:$G$1001,$AB245)/10000),INT(MOD(INDEX(입력_기본자료!$G$2:$G$1001,$AB245),10000)/100),MOD(INDEX(입력_기본자료!$G$2:$G$1001,$AB245),100)),INDEX(입력_기본자료!$G$2:$G$1001,$AB245)&amp;"")))))</f>
        <v/>
      </c>
      <c r="J245" s="10">
        <f>IF($AB245="","",IF(INDEX(입력_기본자료!$H$2:$H$1001,$AB245)="","",INDEX(입력_기본자료!$H$2:$H$1001,$AB245)))</f>
        <v/>
      </c>
      <c r="K245" s="10">
        <f>IF($AB245="","",IF(INDEX(입력_기본자료!$I$2:$I$1001,$AB245)="","",INDEX(입력_기본자료!$I$2:$I$1001,$AB245)))</f>
        <v/>
      </c>
      <c r="L245" s="10">
        <f>IF($AB245="","",IF(INDEX(입력_기본자료!$A$2:$A$1001,$AB245)="","",INDEX(입력_기본자료!$A$2:$A$1001,$AB245)))</f>
        <v/>
      </c>
      <c r="M245" s="15" t="n"/>
      <c r="N245" s="10">
        <f>IF($B245="","",IF(AND($U245="파견중",$Q245&lt;&gt;""),$Q245,IF(AND($AD245&lt;&gt;"",LEFT($AD245,1)&lt;&gt;"⚠"),LEFT($AD245,FIND(" ",$AD245)-1),IF($H245="","",IF(RIGHT($H245,2)="병원",$H245,$H245&amp;"병원")))))</f>
        <v/>
      </c>
      <c r="O245" s="10">
        <f>IF($B245="","",IF(AND($U245="파견중",$Q245&lt;&gt;""),IF($R245&lt;&gt;"",$R245,"파견과 미입력"),IF(AND($AD245&lt;&gt;"",LEFT($AD245,1)&lt;&gt;"⚠"),MID($AD245,FIND(" ",$AD245)+1,60),IF($F245="","",IF($F245="인턴","수련교육부(인턴)",$F245)))))</f>
        <v/>
      </c>
      <c r="P245" s="10">
        <f>IF($B245="","",IF($AK245&lt;&gt;"",IF(AND(TODAY()&gt;=INDEX(입력_파견수련계획!$AB$4:$AB$803,$AK245),OR(NOT(ISNUMBER(INDEX(입력_파견수련계획!$AC$4:$AC$803,$AK245))),TODAY()&lt;=INDEX(입력_파견수련계획!$AC$4:$AC$803,$AK245))),"다기관",IF($AF245="","",INDEX(입력_파견수련계획!$T$4:$T$803,$AF245))),IF($AF245="","",INDEX(입력_파견수련계획!$T$4:$T$803,$AF245))))</f>
        <v/>
      </c>
      <c r="Q245" s="10">
        <f>IF($AF245="","",INDEX(입력_파견수련계획!$S$4:$S$803,$AF245))</f>
        <v/>
      </c>
      <c r="R245" s="10">
        <f>IF($AF245="","",INDEX(입력_파견수련계획!$U$4:$U$803,$AF245))</f>
        <v/>
      </c>
      <c r="S245" s="11">
        <f>IF($AF245="","",IF(INDEX(입력_파견수련계획!$H$4:$H$803,$AF245)="","",INDEX(입력_파견수련계획!$H$4:$H$803,$AF245)))</f>
        <v/>
      </c>
      <c r="T245" s="11">
        <f>IF($AF245="","",IF(INDEX(입력_파견수련계획!$I$4:$I$803,$AF245)="","",INDEX(입력_파견수련계획!$I$4:$I$803,$AF245)))</f>
        <v/>
      </c>
      <c r="U245" s="10">
        <f>IF($AF245="","",INDEX(입력_파견수련계획!$X$4:$X$803,$AF245))</f>
        <v/>
      </c>
      <c r="V245" s="17">
        <f>IF($AF245="","",INDEX(입력_파견수련계획!$V$4:$V$803,$AF245))</f>
        <v/>
      </c>
      <c r="W245" s="17">
        <f>IF(AND($U245="파견중",$T245&lt;&gt;""),$T245-TODAY(),"")</f>
        <v/>
      </c>
      <c r="X245" s="17">
        <f>IF(OR($B245="",TRIM($J245&amp;"")=""),"",SUMPRODUCT((입력_파견수련계획!$Q$4:$Q$803=TRIM($J245&amp;""))*입력_파견수련계획!$W$4:$W$803))</f>
        <v/>
      </c>
      <c r="Y245" s="10">
        <f>IF($B245="","",IF($AG245="","",IF(IF(TRIM($J245&amp;"")="",0,SUMPRODUCT((입력_파견수련계획!$Q$4:$Q$803=TRIM($J245&amp;""))*입력_파견수련계획!$AD$4:$AD$803))&gt;0,$AE245,IF(AND(N($X245)&lt;=0,$AQ245=""),$AG245,IF($AH245+$AI245=DAY(EOMONTH(출력_요약!$B$3,0)),IF(AND($AH245&gt;=출력_요약!$E$3,$AI245&lt;출력_요약!$E$3),"서울병원",IF(AND($AI245&gt;=출력_요약!$E$3,$AH245&lt;출력_요약!$E$3),"구리병원","⚠15일 판정불가(서울 "&amp;$AH245&amp;"일/구리 "&amp;$AI245&amp;"일)")),IF($AJ245="",$AE245,IF(INDEX(입력_파견수련계획!$T$4:$T$803,$AJ245)="통합수련",INDEX(입력_파견수련계획!$S$4:$S$803,$AJ245),$AE245)))))))</f>
        <v/>
      </c>
      <c r="Z245" s="20">
        <f>IF($B245="","",IF($AB245="","기본자료에 없는 사번",IF(COUNTIF($B$2:$B$401,$B245)&gt;1,"중복 사번",IF($AE245="","소속(입사장소) 입력",IF(IF(TRIM($J245&amp;"")="",0,SUMPRODUCT((입력_파견수련계획!$Q$4:$Q$803=TRIM($J245&amp;""))*(입력_파견수련계획!$AA$4:$AA$803&lt;&gt;"")))&gt;0,"파견수련계획 입력오류 확인",IF(LEFT($Y245,1)="⚠","서울·구리 15일 판정 불가(양쪽 모두 이상/미만)",IF(IF($AC245="",0,N(INDEX(입력_인턴근무계획!$T$3:$T$402,$AC245)))&gt;0,"인턴계획 입력오류 확인",IF(AND($AQ245&lt;&gt;"",$AG245&lt;&gt;"구리병원",IF(TRIM($J245&amp;"")="",0,SUMPRODUCT((입력_파견수련계획!$Q$4:$Q$803=TRIM($J245&amp;""))*(입력_파견수련계획!$S$4:$S$803="구리병원")*입력_파견수련계획!$W$4:$W$803))=0),"구리 근무자명단에만 있음(파견수련계획 확인)",IF(AND($AC245&lt;&gt;"",$U245&lt;&gt;"파견중",$N245&lt;&gt;$AE245),"인턴 타지역 근무: 파견 여부 확인","정상")))))))))</f>
        <v/>
      </c>
      <c r="AA245" s="5" t="n"/>
      <c r="AB245" s="10">
        <f>IF($B245="","",IFERROR(MATCH($B245,입력_기본자료!$B$2:$B$1001,0),IFERROR(MATCH($B245&amp;"",입력_기본자료!$B$2:$B$1001,0),IFERROR(MATCH(VALUE($B245),입력_기본자료!$B$2:$B$1001,0),""))))</f>
        <v/>
      </c>
      <c r="AC245" s="10">
        <f>IF($B245="","",IFERROR(MATCH($B245,입력_인턴근무계획!$D$3:$D$402,0),IFERROR(MATCH($B245&amp;"",입력_인턴근무계획!$D$3:$D$402,0),IFERROR(MATCH(VALUE($B245),입력_인턴근무계획!$D$3:$D$402,0),""))))</f>
        <v/>
      </c>
      <c r="AD245" s="10">
        <f>IF(OR($AC245="",출력_인턴현황!$G$3=""),"",INDEX(입력_인턴근무계획!$M$3:$R$402,$AC245,출력_인턴현황!$G$3)&amp;"")</f>
        <v/>
      </c>
      <c r="AE245" s="10">
        <f>IF($B245="","",IF($M245&lt;&gt;"",$M245,IF(IF($AQ245="",FALSE,INDEX(출력_구리근무자!$J$6:$J$305,$AQ245)="구리독자"),"구리병원",IF($AF245&lt;&gt;"",IF(LEFT(INDEX(입력_파견수련계획!$R$4:$R$803,$AF245),1)&lt;&gt;"⚠",INDEX(입력_파견수련계획!$R$4:$R$803,$AF245),IF($H245="","",IF(RIGHT($H245,2)="병원",$H245,$H245&amp;"병원"))),IF($H245="","",IF(RIGHT($H245,2)="병원",$H245,$H245&amp;"병원"))))))</f>
        <v/>
      </c>
      <c r="AF245" s="10">
        <f>IF(OR($B245="",TRIM($J245&amp;"")=""),"",IFERROR(MATCH(TRIM($J245&amp;"")&amp;"|파견중",입력_파견수련계획!$Y$4:$Y$803,0),IFERROR(MATCH(TRIM($J245&amp;"")&amp;"|파견예정",입력_파견수련계획!$Y$4:$Y$803,0),IFERROR(MATCH(TRIM($J245&amp;"")&amp;"|파견종료",입력_파견수련계획!$Y$4:$Y$803,0),""))))</f>
        <v/>
      </c>
      <c r="AG245" s="10">
        <f>IF($B245="","",IF(AND(IF(OR($AC245="",출력_인턴현황!$K$2=""),"",INDEX(입력_인턴근무계획!$M$3:$R$402,$AC245,출력_인턴현황!$K$2)&amp;"")&lt;&gt;"",LEFT(IF(OR($AC245="",출력_인턴현황!$K$2=""),"",INDEX(입력_인턴근무계획!$M$3:$R$402,$AC245,출력_인턴현황!$K$2)&amp;""),1)&lt;&gt;"⚠"),LEFT(IF(OR($AC245="",출력_인턴현황!$K$2=""),"",INDEX(입력_인턴근무계획!$M$3:$R$402,$AC245,출력_인턴현황!$K$2)&amp;""),FIND(" ",IF(OR($AC245="",출력_인턴현황!$K$2=""),"",INDEX(입력_인턴근무계획!$M$3:$R$402,$AC245,출력_인턴현황!$K$2)&amp;""))-1),$AE245))</f>
        <v/>
      </c>
      <c r="AH245" s="17">
        <f>IF($B245="","",IF($AQ245&lt;&gt;"",MAX(0,DAY(EOMONTH(출력_요약!$B$3,0))-N($AR245)),IF(TRIM($J245&amp;"")="",0,SUMPRODUCT((입력_파견수련계획!$Q$4:$Q$803=TRIM($J245&amp;""))*(입력_파견수련계획!$S$4:$S$803="서울병원")*입력_파견수련계획!$W$4:$W$803))+IF($AG245="서울병원",MAX(0,DAY(EOMONTH(출력_요약!$B$3,0))-N($X245)),0)))</f>
        <v/>
      </c>
      <c r="AI245" s="17">
        <f>IF($B245="","",IF($AQ245&lt;&gt;"",N($AR245),IF(TRIM($J245&amp;"")="",0,SUMPRODUCT((입력_파견수련계획!$Q$4:$Q$803=TRIM($J245&amp;""))*(입력_파견수련계획!$S$4:$S$803="구리병원")*입력_파견수련계획!$W$4:$W$803))+IF($AG245="구리병원",MAX(0,DAY(EOMONTH(출력_요약!$B$3,0))-N($X245)),0)))</f>
        <v/>
      </c>
      <c r="AJ245" s="10">
        <f>IF(OR($B245="",TRIM($J245&amp;"")=""),"",IFERROR(MATCH(TRIM($J245&amp;"")&amp;"|월",입력_파견수련계획!$Z$4:$Z$803,0),""))</f>
        <v/>
      </c>
      <c r="AK245" s="10">
        <f>IF(OR($B245="",TRIM($J245&amp;"")=""),"",IFERROR(MATCH(TRIM($J245&amp;"")&amp;"|다기관",입력_파견수련계획!$AE$4:$AE$803,0),""))</f>
        <v/>
      </c>
      <c r="AL245" s="10">
        <f>IF($AK245="","","다기관 "&amp;TEXT(INDEX(입력_파견수련계획!$AB$4:$AB$803,$AK245),"yyyy-mm-dd")&amp;"~"&amp;IF(ISNUMBER(INDEX(입력_파견수련계획!$AC$4:$AC$803,$AK245)),TEXT(INDEX(입력_파견수련계획!$AC$4:$AC$803,$AK245),"yyyy-mm-dd"),""))</f>
        <v/>
      </c>
      <c r="AM245" s="10">
        <f>IF($Y245="서울병원",COUNTIF($Y$2:$Y245,"서울병원"),"")</f>
        <v/>
      </c>
      <c r="AN245" s="10">
        <f>IF(LEFT($Y245,1)="⚠",COUNTIF($Y$2:$Y245,"⚠*"),"")</f>
        <v/>
      </c>
      <c r="AO245" s="10">
        <f>IF(OR($B245="",$Y245=""),"",IF(IF(TRIM($J245&amp;"")="",0,SUMPRODUCT((입력_파견수련계획!$Q$4:$Q$803=TRIM($J245&amp;""))*입력_파견수련계획!$AD$4:$AD$803))&gt;0,"다기관 기간 → 소속병원 지급",IF(AND(N($X245)&lt;=0,$AQ245=""),"파견 없음 → 그 달 근무병원 지급",IF($AH245+$AI245=DAY(EOMONTH(출력_요약!$B$3,0)),"서울 "&amp;$AH245&amp;"일 / 구리 "&amp;$AI245&amp;"일"&amp;IF($AQ245&lt;&gt;""," (구리 근무자명단 반영)","")&amp;" → 15일 이상 근무 병원 지급","타 병원 포함 → "&amp;IF($AJ245="","소속",INDEX(입력_파견수련계획!$T$4:$T$803,$AJ245))&amp;" 규칙"))))</f>
        <v/>
      </c>
      <c r="AP245" s="10">
        <f>IF($B245="","",$C245&amp;"|"&amp;$F245)</f>
        <v/>
      </c>
      <c r="AQ245" s="10">
        <f>IF($B245="","",IFERROR(MATCH(ROW()-1,출력_구리근무자!$K$6:$K$305,0),""))</f>
        <v/>
      </c>
      <c r="AR245" s="10">
        <f>IF($AQ245="","",INDEX(출력_구리근무자!$H$6:$H$305,$AQ245))</f>
        <v/>
      </c>
    </row>
    <row r="246">
      <c r="A246" s="10">
        <f>IF(B246="","",ROW()-1)</f>
        <v/>
      </c>
      <c r="B246" s="19" t="n"/>
      <c r="C246" s="10">
        <f>IF($AB246="","",IF(INDEX(입력_기본자료!$C$2:$C$1001,$AB246)="","",INDEX(입력_기본자료!$C$2:$C$1001,$AB246)))</f>
        <v/>
      </c>
      <c r="D246" s="10">
        <f>IF($AB246="","",IF(INDEX(입력_기본자료!$J$2:$J$1001,$AB246)="","",INDEX(입력_기본자료!$J$2:$J$1001,$AB246)))</f>
        <v/>
      </c>
      <c r="E246" s="11">
        <f>IF($AB246="","",IF(INDEX(입력_기본자료!$K$2:$K$1001,$AB246)="","",IF(NOT(ISNUMBER(INDEX(입력_기본자료!$K$2:$K$1001,$AB246))),INDEX(입력_기본자료!$K$2:$K$1001,$AB246),IF(INDEX(입력_기본자료!$K$2:$K$1001,$AB246)&lt;1000000,INDEX(입력_기본자료!$K$2:$K$1001,$AB246),IF(AND(INDEX(입력_기본자료!$K$2:$K$1001,$AB246)&gt;=10000101,INT(MOD(INDEX(입력_기본자료!$K$2:$K$1001,$AB246),10000)/100)&gt;=1,INT(MOD(INDEX(입력_기본자료!$K$2:$K$1001,$AB246),10000)/100)&lt;=12,MOD(INDEX(입력_기본자료!$K$2:$K$1001,$AB246),100)&gt;=1,MOD(INDEX(입력_기본자료!$K$2:$K$1001,$AB246),100)&lt;=31),DATE(INT(INDEX(입력_기본자료!$K$2:$K$1001,$AB246)/10000),INT(MOD(INDEX(입력_기본자료!$K$2:$K$1001,$AB246),10000)/100),MOD(INDEX(입력_기본자료!$K$2:$K$1001,$AB246),100)),INDEX(입력_기본자료!$K$2:$K$1001,$AB246)&amp;"")))))</f>
        <v/>
      </c>
      <c r="F246" s="10">
        <f>IF($AB246="","",IF(INDEX(입력_기본자료!$D$2:$D$1001,$AB246)="","",INDEX(입력_기본자료!$D$2:$D$1001,$AB246)))</f>
        <v/>
      </c>
      <c r="G246" s="10">
        <f>IF($AB246="","",IF(INDEX(입력_기본자료!$E$2:$E$1001,$AB246)="","",INDEX(입력_기본자료!$E$2:$E$1001,$AB246)))</f>
        <v/>
      </c>
      <c r="H246" s="10">
        <f>IF($AB246="","",IF(INDEX(입력_기본자료!$F$2:$F$1001,$AB246)="","",INDEX(입력_기본자료!$F$2:$F$1001,$AB246)))</f>
        <v/>
      </c>
      <c r="I246" s="11">
        <f>IF($AB246="","",IF(INDEX(입력_기본자료!$G$2:$G$1001,$AB246)="","",IF(NOT(ISNUMBER(INDEX(입력_기본자료!$G$2:$G$1001,$AB246))),INDEX(입력_기본자료!$G$2:$G$1001,$AB246),IF(INDEX(입력_기본자료!$G$2:$G$1001,$AB246)&lt;1000000,INDEX(입력_기본자료!$G$2:$G$1001,$AB246),IF(AND(INDEX(입력_기본자료!$G$2:$G$1001,$AB246)&gt;=10000101,INT(MOD(INDEX(입력_기본자료!$G$2:$G$1001,$AB246),10000)/100)&gt;=1,INT(MOD(INDEX(입력_기본자료!$G$2:$G$1001,$AB246),10000)/100)&lt;=12,MOD(INDEX(입력_기본자료!$G$2:$G$1001,$AB246),100)&gt;=1,MOD(INDEX(입력_기본자료!$G$2:$G$1001,$AB246),100)&lt;=31),DATE(INT(INDEX(입력_기본자료!$G$2:$G$1001,$AB246)/10000),INT(MOD(INDEX(입력_기본자료!$G$2:$G$1001,$AB246),10000)/100),MOD(INDEX(입력_기본자료!$G$2:$G$1001,$AB246),100)),INDEX(입력_기본자료!$G$2:$G$1001,$AB246)&amp;"")))))</f>
        <v/>
      </c>
      <c r="J246" s="10">
        <f>IF($AB246="","",IF(INDEX(입력_기본자료!$H$2:$H$1001,$AB246)="","",INDEX(입력_기본자료!$H$2:$H$1001,$AB246)))</f>
        <v/>
      </c>
      <c r="K246" s="10">
        <f>IF($AB246="","",IF(INDEX(입력_기본자료!$I$2:$I$1001,$AB246)="","",INDEX(입력_기본자료!$I$2:$I$1001,$AB246)))</f>
        <v/>
      </c>
      <c r="L246" s="10">
        <f>IF($AB246="","",IF(INDEX(입력_기본자료!$A$2:$A$1001,$AB246)="","",INDEX(입력_기본자료!$A$2:$A$1001,$AB246)))</f>
        <v/>
      </c>
      <c r="M246" s="15" t="n"/>
      <c r="N246" s="10">
        <f>IF($B246="","",IF(AND($U246="파견중",$Q246&lt;&gt;""),$Q246,IF(AND($AD246&lt;&gt;"",LEFT($AD246,1)&lt;&gt;"⚠"),LEFT($AD246,FIND(" ",$AD246)-1),IF($H246="","",IF(RIGHT($H246,2)="병원",$H246,$H246&amp;"병원")))))</f>
        <v/>
      </c>
      <c r="O246" s="10">
        <f>IF($B246="","",IF(AND($U246="파견중",$Q246&lt;&gt;""),IF($R246&lt;&gt;"",$R246,"파견과 미입력"),IF(AND($AD246&lt;&gt;"",LEFT($AD246,1)&lt;&gt;"⚠"),MID($AD246,FIND(" ",$AD246)+1,60),IF($F246="","",IF($F246="인턴","수련교육부(인턴)",$F246)))))</f>
        <v/>
      </c>
      <c r="P246" s="10">
        <f>IF($B246="","",IF($AK246&lt;&gt;"",IF(AND(TODAY()&gt;=INDEX(입력_파견수련계획!$AB$4:$AB$803,$AK246),OR(NOT(ISNUMBER(INDEX(입력_파견수련계획!$AC$4:$AC$803,$AK246))),TODAY()&lt;=INDEX(입력_파견수련계획!$AC$4:$AC$803,$AK246))),"다기관",IF($AF246="","",INDEX(입력_파견수련계획!$T$4:$T$803,$AF246))),IF($AF246="","",INDEX(입력_파견수련계획!$T$4:$T$803,$AF246))))</f>
        <v/>
      </c>
      <c r="Q246" s="10">
        <f>IF($AF246="","",INDEX(입력_파견수련계획!$S$4:$S$803,$AF246))</f>
        <v/>
      </c>
      <c r="R246" s="10">
        <f>IF($AF246="","",INDEX(입력_파견수련계획!$U$4:$U$803,$AF246))</f>
        <v/>
      </c>
      <c r="S246" s="11">
        <f>IF($AF246="","",IF(INDEX(입력_파견수련계획!$H$4:$H$803,$AF246)="","",INDEX(입력_파견수련계획!$H$4:$H$803,$AF246)))</f>
        <v/>
      </c>
      <c r="T246" s="11">
        <f>IF($AF246="","",IF(INDEX(입력_파견수련계획!$I$4:$I$803,$AF246)="","",INDEX(입력_파견수련계획!$I$4:$I$803,$AF246)))</f>
        <v/>
      </c>
      <c r="U246" s="10">
        <f>IF($AF246="","",INDEX(입력_파견수련계획!$X$4:$X$803,$AF246))</f>
        <v/>
      </c>
      <c r="V246" s="17">
        <f>IF($AF246="","",INDEX(입력_파견수련계획!$V$4:$V$803,$AF246))</f>
        <v/>
      </c>
      <c r="W246" s="17">
        <f>IF(AND($U246="파견중",$T246&lt;&gt;""),$T246-TODAY(),"")</f>
        <v/>
      </c>
      <c r="X246" s="17">
        <f>IF(OR($B246="",TRIM($J246&amp;"")=""),"",SUMPRODUCT((입력_파견수련계획!$Q$4:$Q$803=TRIM($J246&amp;""))*입력_파견수련계획!$W$4:$W$803))</f>
        <v/>
      </c>
      <c r="Y246" s="10">
        <f>IF($B246="","",IF($AG246="","",IF(IF(TRIM($J246&amp;"")="",0,SUMPRODUCT((입력_파견수련계획!$Q$4:$Q$803=TRIM($J246&amp;""))*입력_파견수련계획!$AD$4:$AD$803))&gt;0,$AE246,IF(AND(N($X246)&lt;=0,$AQ246=""),$AG246,IF($AH246+$AI246=DAY(EOMONTH(출력_요약!$B$3,0)),IF(AND($AH246&gt;=출력_요약!$E$3,$AI246&lt;출력_요약!$E$3),"서울병원",IF(AND($AI246&gt;=출력_요약!$E$3,$AH246&lt;출력_요약!$E$3),"구리병원","⚠15일 판정불가(서울 "&amp;$AH246&amp;"일/구리 "&amp;$AI246&amp;"일)")),IF($AJ246="",$AE246,IF(INDEX(입력_파견수련계획!$T$4:$T$803,$AJ246)="통합수련",INDEX(입력_파견수련계획!$S$4:$S$803,$AJ246),$AE246)))))))</f>
        <v/>
      </c>
      <c r="Z246" s="20">
        <f>IF($B246="","",IF($AB246="","기본자료에 없는 사번",IF(COUNTIF($B$2:$B$401,$B246)&gt;1,"중복 사번",IF($AE246="","소속(입사장소) 입력",IF(IF(TRIM($J246&amp;"")="",0,SUMPRODUCT((입력_파견수련계획!$Q$4:$Q$803=TRIM($J246&amp;""))*(입력_파견수련계획!$AA$4:$AA$803&lt;&gt;"")))&gt;0,"파견수련계획 입력오류 확인",IF(LEFT($Y246,1)="⚠","서울·구리 15일 판정 불가(양쪽 모두 이상/미만)",IF(IF($AC246="",0,N(INDEX(입력_인턴근무계획!$T$3:$T$402,$AC246)))&gt;0,"인턴계획 입력오류 확인",IF(AND($AQ246&lt;&gt;"",$AG246&lt;&gt;"구리병원",IF(TRIM($J246&amp;"")="",0,SUMPRODUCT((입력_파견수련계획!$Q$4:$Q$803=TRIM($J246&amp;""))*(입력_파견수련계획!$S$4:$S$803="구리병원")*입력_파견수련계획!$W$4:$W$803))=0),"구리 근무자명단에만 있음(파견수련계획 확인)",IF(AND($AC246&lt;&gt;"",$U246&lt;&gt;"파견중",$N246&lt;&gt;$AE246),"인턴 타지역 근무: 파견 여부 확인","정상")))))))))</f>
        <v/>
      </c>
      <c r="AA246" s="5" t="n"/>
      <c r="AB246" s="10">
        <f>IF($B246="","",IFERROR(MATCH($B246,입력_기본자료!$B$2:$B$1001,0),IFERROR(MATCH($B246&amp;"",입력_기본자료!$B$2:$B$1001,0),IFERROR(MATCH(VALUE($B246),입력_기본자료!$B$2:$B$1001,0),""))))</f>
        <v/>
      </c>
      <c r="AC246" s="10">
        <f>IF($B246="","",IFERROR(MATCH($B246,입력_인턴근무계획!$D$3:$D$402,0),IFERROR(MATCH($B246&amp;"",입력_인턴근무계획!$D$3:$D$402,0),IFERROR(MATCH(VALUE($B246),입력_인턴근무계획!$D$3:$D$402,0),""))))</f>
        <v/>
      </c>
      <c r="AD246" s="10">
        <f>IF(OR($AC246="",출력_인턴현황!$G$3=""),"",INDEX(입력_인턴근무계획!$M$3:$R$402,$AC246,출력_인턴현황!$G$3)&amp;"")</f>
        <v/>
      </c>
      <c r="AE246" s="10">
        <f>IF($B246="","",IF($M246&lt;&gt;"",$M246,IF(IF($AQ246="",FALSE,INDEX(출력_구리근무자!$J$6:$J$305,$AQ246)="구리독자"),"구리병원",IF($AF246&lt;&gt;"",IF(LEFT(INDEX(입력_파견수련계획!$R$4:$R$803,$AF246),1)&lt;&gt;"⚠",INDEX(입력_파견수련계획!$R$4:$R$803,$AF246),IF($H246="","",IF(RIGHT($H246,2)="병원",$H246,$H246&amp;"병원"))),IF($H246="","",IF(RIGHT($H246,2)="병원",$H246,$H246&amp;"병원"))))))</f>
        <v/>
      </c>
      <c r="AF246" s="10">
        <f>IF(OR($B246="",TRIM($J246&amp;"")=""),"",IFERROR(MATCH(TRIM($J246&amp;"")&amp;"|파견중",입력_파견수련계획!$Y$4:$Y$803,0),IFERROR(MATCH(TRIM($J246&amp;"")&amp;"|파견예정",입력_파견수련계획!$Y$4:$Y$803,0),IFERROR(MATCH(TRIM($J246&amp;"")&amp;"|파견종료",입력_파견수련계획!$Y$4:$Y$803,0),""))))</f>
        <v/>
      </c>
      <c r="AG246" s="10">
        <f>IF($B246="","",IF(AND(IF(OR($AC246="",출력_인턴현황!$K$2=""),"",INDEX(입력_인턴근무계획!$M$3:$R$402,$AC246,출력_인턴현황!$K$2)&amp;"")&lt;&gt;"",LEFT(IF(OR($AC246="",출력_인턴현황!$K$2=""),"",INDEX(입력_인턴근무계획!$M$3:$R$402,$AC246,출력_인턴현황!$K$2)&amp;""),1)&lt;&gt;"⚠"),LEFT(IF(OR($AC246="",출력_인턴현황!$K$2=""),"",INDEX(입력_인턴근무계획!$M$3:$R$402,$AC246,출력_인턴현황!$K$2)&amp;""),FIND(" ",IF(OR($AC246="",출력_인턴현황!$K$2=""),"",INDEX(입력_인턴근무계획!$M$3:$R$402,$AC246,출력_인턴현황!$K$2)&amp;""))-1),$AE246))</f>
        <v/>
      </c>
      <c r="AH246" s="17">
        <f>IF($B246="","",IF($AQ246&lt;&gt;"",MAX(0,DAY(EOMONTH(출력_요약!$B$3,0))-N($AR246)),IF(TRIM($J246&amp;"")="",0,SUMPRODUCT((입력_파견수련계획!$Q$4:$Q$803=TRIM($J246&amp;""))*(입력_파견수련계획!$S$4:$S$803="서울병원")*입력_파견수련계획!$W$4:$W$803))+IF($AG246="서울병원",MAX(0,DAY(EOMONTH(출력_요약!$B$3,0))-N($X246)),0)))</f>
        <v/>
      </c>
      <c r="AI246" s="17">
        <f>IF($B246="","",IF($AQ246&lt;&gt;"",N($AR246),IF(TRIM($J246&amp;"")="",0,SUMPRODUCT((입력_파견수련계획!$Q$4:$Q$803=TRIM($J246&amp;""))*(입력_파견수련계획!$S$4:$S$803="구리병원")*입력_파견수련계획!$W$4:$W$803))+IF($AG246="구리병원",MAX(0,DAY(EOMONTH(출력_요약!$B$3,0))-N($X246)),0)))</f>
        <v/>
      </c>
      <c r="AJ246" s="10">
        <f>IF(OR($B246="",TRIM($J246&amp;"")=""),"",IFERROR(MATCH(TRIM($J246&amp;"")&amp;"|월",입력_파견수련계획!$Z$4:$Z$803,0),""))</f>
        <v/>
      </c>
      <c r="AK246" s="10">
        <f>IF(OR($B246="",TRIM($J246&amp;"")=""),"",IFERROR(MATCH(TRIM($J246&amp;"")&amp;"|다기관",입력_파견수련계획!$AE$4:$AE$803,0),""))</f>
        <v/>
      </c>
      <c r="AL246" s="10">
        <f>IF($AK246="","","다기관 "&amp;TEXT(INDEX(입력_파견수련계획!$AB$4:$AB$803,$AK246),"yyyy-mm-dd")&amp;"~"&amp;IF(ISNUMBER(INDEX(입력_파견수련계획!$AC$4:$AC$803,$AK246)),TEXT(INDEX(입력_파견수련계획!$AC$4:$AC$803,$AK246),"yyyy-mm-dd"),""))</f>
        <v/>
      </c>
      <c r="AM246" s="10">
        <f>IF($Y246="서울병원",COUNTIF($Y$2:$Y246,"서울병원"),"")</f>
        <v/>
      </c>
      <c r="AN246" s="10">
        <f>IF(LEFT($Y246,1)="⚠",COUNTIF($Y$2:$Y246,"⚠*"),"")</f>
        <v/>
      </c>
      <c r="AO246" s="10">
        <f>IF(OR($B246="",$Y246=""),"",IF(IF(TRIM($J246&amp;"")="",0,SUMPRODUCT((입력_파견수련계획!$Q$4:$Q$803=TRIM($J246&amp;""))*입력_파견수련계획!$AD$4:$AD$803))&gt;0,"다기관 기간 → 소속병원 지급",IF(AND(N($X246)&lt;=0,$AQ246=""),"파견 없음 → 그 달 근무병원 지급",IF($AH246+$AI246=DAY(EOMONTH(출력_요약!$B$3,0)),"서울 "&amp;$AH246&amp;"일 / 구리 "&amp;$AI246&amp;"일"&amp;IF($AQ246&lt;&gt;""," (구리 근무자명단 반영)","")&amp;" → 15일 이상 근무 병원 지급","타 병원 포함 → "&amp;IF($AJ246="","소속",INDEX(입력_파견수련계획!$T$4:$T$803,$AJ246))&amp;" 규칙"))))</f>
        <v/>
      </c>
      <c r="AP246" s="10">
        <f>IF($B246="","",$C246&amp;"|"&amp;$F246)</f>
        <v/>
      </c>
      <c r="AQ246" s="10">
        <f>IF($B246="","",IFERROR(MATCH(ROW()-1,출력_구리근무자!$K$6:$K$305,0),""))</f>
        <v/>
      </c>
      <c r="AR246" s="10">
        <f>IF($AQ246="","",INDEX(출력_구리근무자!$H$6:$H$305,$AQ246))</f>
        <v/>
      </c>
    </row>
    <row r="247">
      <c r="A247" s="10">
        <f>IF(B247="","",ROW()-1)</f>
        <v/>
      </c>
      <c r="B247" s="19" t="n"/>
      <c r="C247" s="10">
        <f>IF($AB247="","",IF(INDEX(입력_기본자료!$C$2:$C$1001,$AB247)="","",INDEX(입력_기본자료!$C$2:$C$1001,$AB247)))</f>
        <v/>
      </c>
      <c r="D247" s="10">
        <f>IF($AB247="","",IF(INDEX(입력_기본자료!$J$2:$J$1001,$AB247)="","",INDEX(입력_기본자료!$J$2:$J$1001,$AB247)))</f>
        <v/>
      </c>
      <c r="E247" s="11">
        <f>IF($AB247="","",IF(INDEX(입력_기본자료!$K$2:$K$1001,$AB247)="","",IF(NOT(ISNUMBER(INDEX(입력_기본자료!$K$2:$K$1001,$AB247))),INDEX(입력_기본자료!$K$2:$K$1001,$AB247),IF(INDEX(입력_기본자료!$K$2:$K$1001,$AB247)&lt;1000000,INDEX(입력_기본자료!$K$2:$K$1001,$AB247),IF(AND(INDEX(입력_기본자료!$K$2:$K$1001,$AB247)&gt;=10000101,INT(MOD(INDEX(입력_기본자료!$K$2:$K$1001,$AB247),10000)/100)&gt;=1,INT(MOD(INDEX(입력_기본자료!$K$2:$K$1001,$AB247),10000)/100)&lt;=12,MOD(INDEX(입력_기본자료!$K$2:$K$1001,$AB247),100)&gt;=1,MOD(INDEX(입력_기본자료!$K$2:$K$1001,$AB247),100)&lt;=31),DATE(INT(INDEX(입력_기본자료!$K$2:$K$1001,$AB247)/10000),INT(MOD(INDEX(입력_기본자료!$K$2:$K$1001,$AB247),10000)/100),MOD(INDEX(입력_기본자료!$K$2:$K$1001,$AB247),100)),INDEX(입력_기본자료!$K$2:$K$1001,$AB247)&amp;"")))))</f>
        <v/>
      </c>
      <c r="F247" s="10">
        <f>IF($AB247="","",IF(INDEX(입력_기본자료!$D$2:$D$1001,$AB247)="","",INDEX(입력_기본자료!$D$2:$D$1001,$AB247)))</f>
        <v/>
      </c>
      <c r="G247" s="10">
        <f>IF($AB247="","",IF(INDEX(입력_기본자료!$E$2:$E$1001,$AB247)="","",INDEX(입력_기본자료!$E$2:$E$1001,$AB247)))</f>
        <v/>
      </c>
      <c r="H247" s="10">
        <f>IF($AB247="","",IF(INDEX(입력_기본자료!$F$2:$F$1001,$AB247)="","",INDEX(입력_기본자료!$F$2:$F$1001,$AB247)))</f>
        <v/>
      </c>
      <c r="I247" s="11">
        <f>IF($AB247="","",IF(INDEX(입력_기본자료!$G$2:$G$1001,$AB247)="","",IF(NOT(ISNUMBER(INDEX(입력_기본자료!$G$2:$G$1001,$AB247))),INDEX(입력_기본자료!$G$2:$G$1001,$AB247),IF(INDEX(입력_기본자료!$G$2:$G$1001,$AB247)&lt;1000000,INDEX(입력_기본자료!$G$2:$G$1001,$AB247),IF(AND(INDEX(입력_기본자료!$G$2:$G$1001,$AB247)&gt;=10000101,INT(MOD(INDEX(입력_기본자료!$G$2:$G$1001,$AB247),10000)/100)&gt;=1,INT(MOD(INDEX(입력_기본자료!$G$2:$G$1001,$AB247),10000)/100)&lt;=12,MOD(INDEX(입력_기본자료!$G$2:$G$1001,$AB247),100)&gt;=1,MOD(INDEX(입력_기본자료!$G$2:$G$1001,$AB247),100)&lt;=31),DATE(INT(INDEX(입력_기본자료!$G$2:$G$1001,$AB247)/10000),INT(MOD(INDEX(입력_기본자료!$G$2:$G$1001,$AB247),10000)/100),MOD(INDEX(입력_기본자료!$G$2:$G$1001,$AB247),100)),INDEX(입력_기본자료!$G$2:$G$1001,$AB247)&amp;"")))))</f>
        <v/>
      </c>
      <c r="J247" s="10">
        <f>IF($AB247="","",IF(INDEX(입력_기본자료!$H$2:$H$1001,$AB247)="","",INDEX(입력_기본자료!$H$2:$H$1001,$AB247)))</f>
        <v/>
      </c>
      <c r="K247" s="10">
        <f>IF($AB247="","",IF(INDEX(입력_기본자료!$I$2:$I$1001,$AB247)="","",INDEX(입력_기본자료!$I$2:$I$1001,$AB247)))</f>
        <v/>
      </c>
      <c r="L247" s="10">
        <f>IF($AB247="","",IF(INDEX(입력_기본자료!$A$2:$A$1001,$AB247)="","",INDEX(입력_기본자료!$A$2:$A$1001,$AB247)))</f>
        <v/>
      </c>
      <c r="M247" s="15" t="n"/>
      <c r="N247" s="10">
        <f>IF($B247="","",IF(AND($U247="파견중",$Q247&lt;&gt;""),$Q247,IF(AND($AD247&lt;&gt;"",LEFT($AD247,1)&lt;&gt;"⚠"),LEFT($AD247,FIND(" ",$AD247)-1),IF($H247="","",IF(RIGHT($H247,2)="병원",$H247,$H247&amp;"병원")))))</f>
        <v/>
      </c>
      <c r="O247" s="10">
        <f>IF($B247="","",IF(AND($U247="파견중",$Q247&lt;&gt;""),IF($R247&lt;&gt;"",$R247,"파견과 미입력"),IF(AND($AD247&lt;&gt;"",LEFT($AD247,1)&lt;&gt;"⚠"),MID($AD247,FIND(" ",$AD247)+1,60),IF($F247="","",IF($F247="인턴","수련교육부(인턴)",$F247)))))</f>
        <v/>
      </c>
      <c r="P247" s="10">
        <f>IF($B247="","",IF($AK247&lt;&gt;"",IF(AND(TODAY()&gt;=INDEX(입력_파견수련계획!$AB$4:$AB$803,$AK247),OR(NOT(ISNUMBER(INDEX(입력_파견수련계획!$AC$4:$AC$803,$AK247))),TODAY()&lt;=INDEX(입력_파견수련계획!$AC$4:$AC$803,$AK247))),"다기관",IF($AF247="","",INDEX(입력_파견수련계획!$T$4:$T$803,$AF247))),IF($AF247="","",INDEX(입력_파견수련계획!$T$4:$T$803,$AF247))))</f>
        <v/>
      </c>
      <c r="Q247" s="10">
        <f>IF($AF247="","",INDEX(입력_파견수련계획!$S$4:$S$803,$AF247))</f>
        <v/>
      </c>
      <c r="R247" s="10">
        <f>IF($AF247="","",INDEX(입력_파견수련계획!$U$4:$U$803,$AF247))</f>
        <v/>
      </c>
      <c r="S247" s="11">
        <f>IF($AF247="","",IF(INDEX(입력_파견수련계획!$H$4:$H$803,$AF247)="","",INDEX(입력_파견수련계획!$H$4:$H$803,$AF247)))</f>
        <v/>
      </c>
      <c r="T247" s="11">
        <f>IF($AF247="","",IF(INDEX(입력_파견수련계획!$I$4:$I$803,$AF247)="","",INDEX(입력_파견수련계획!$I$4:$I$803,$AF247)))</f>
        <v/>
      </c>
      <c r="U247" s="10">
        <f>IF($AF247="","",INDEX(입력_파견수련계획!$X$4:$X$803,$AF247))</f>
        <v/>
      </c>
      <c r="V247" s="17">
        <f>IF($AF247="","",INDEX(입력_파견수련계획!$V$4:$V$803,$AF247))</f>
        <v/>
      </c>
      <c r="W247" s="17">
        <f>IF(AND($U247="파견중",$T247&lt;&gt;""),$T247-TODAY(),"")</f>
        <v/>
      </c>
      <c r="X247" s="17">
        <f>IF(OR($B247="",TRIM($J247&amp;"")=""),"",SUMPRODUCT((입력_파견수련계획!$Q$4:$Q$803=TRIM($J247&amp;""))*입력_파견수련계획!$W$4:$W$803))</f>
        <v/>
      </c>
      <c r="Y247" s="10">
        <f>IF($B247="","",IF($AG247="","",IF(IF(TRIM($J247&amp;"")="",0,SUMPRODUCT((입력_파견수련계획!$Q$4:$Q$803=TRIM($J247&amp;""))*입력_파견수련계획!$AD$4:$AD$803))&gt;0,$AE247,IF(AND(N($X247)&lt;=0,$AQ247=""),$AG247,IF($AH247+$AI247=DAY(EOMONTH(출력_요약!$B$3,0)),IF(AND($AH247&gt;=출력_요약!$E$3,$AI247&lt;출력_요약!$E$3),"서울병원",IF(AND($AI247&gt;=출력_요약!$E$3,$AH247&lt;출력_요약!$E$3),"구리병원","⚠15일 판정불가(서울 "&amp;$AH247&amp;"일/구리 "&amp;$AI247&amp;"일)")),IF($AJ247="",$AE247,IF(INDEX(입력_파견수련계획!$T$4:$T$803,$AJ247)="통합수련",INDEX(입력_파견수련계획!$S$4:$S$803,$AJ247),$AE247)))))))</f>
        <v/>
      </c>
      <c r="Z247" s="20">
        <f>IF($B247="","",IF($AB247="","기본자료에 없는 사번",IF(COUNTIF($B$2:$B$401,$B247)&gt;1,"중복 사번",IF($AE247="","소속(입사장소) 입력",IF(IF(TRIM($J247&amp;"")="",0,SUMPRODUCT((입력_파견수련계획!$Q$4:$Q$803=TRIM($J247&amp;""))*(입력_파견수련계획!$AA$4:$AA$803&lt;&gt;"")))&gt;0,"파견수련계획 입력오류 확인",IF(LEFT($Y247,1)="⚠","서울·구리 15일 판정 불가(양쪽 모두 이상/미만)",IF(IF($AC247="",0,N(INDEX(입력_인턴근무계획!$T$3:$T$402,$AC247)))&gt;0,"인턴계획 입력오류 확인",IF(AND($AQ247&lt;&gt;"",$AG247&lt;&gt;"구리병원",IF(TRIM($J247&amp;"")="",0,SUMPRODUCT((입력_파견수련계획!$Q$4:$Q$803=TRIM($J247&amp;""))*(입력_파견수련계획!$S$4:$S$803="구리병원")*입력_파견수련계획!$W$4:$W$803))=0),"구리 근무자명단에만 있음(파견수련계획 확인)",IF(AND($AC247&lt;&gt;"",$U247&lt;&gt;"파견중",$N247&lt;&gt;$AE247),"인턴 타지역 근무: 파견 여부 확인","정상")))))))))</f>
        <v/>
      </c>
      <c r="AA247" s="5" t="n"/>
      <c r="AB247" s="10">
        <f>IF($B247="","",IFERROR(MATCH($B247,입력_기본자료!$B$2:$B$1001,0),IFERROR(MATCH($B247&amp;"",입력_기본자료!$B$2:$B$1001,0),IFERROR(MATCH(VALUE($B247),입력_기본자료!$B$2:$B$1001,0),""))))</f>
        <v/>
      </c>
      <c r="AC247" s="10">
        <f>IF($B247="","",IFERROR(MATCH($B247,입력_인턴근무계획!$D$3:$D$402,0),IFERROR(MATCH($B247&amp;"",입력_인턴근무계획!$D$3:$D$402,0),IFERROR(MATCH(VALUE($B247),입력_인턴근무계획!$D$3:$D$402,0),""))))</f>
        <v/>
      </c>
      <c r="AD247" s="10">
        <f>IF(OR($AC247="",출력_인턴현황!$G$3=""),"",INDEX(입력_인턴근무계획!$M$3:$R$402,$AC247,출력_인턴현황!$G$3)&amp;"")</f>
        <v/>
      </c>
      <c r="AE247" s="10">
        <f>IF($B247="","",IF($M247&lt;&gt;"",$M247,IF(IF($AQ247="",FALSE,INDEX(출력_구리근무자!$J$6:$J$305,$AQ247)="구리독자"),"구리병원",IF($AF247&lt;&gt;"",IF(LEFT(INDEX(입력_파견수련계획!$R$4:$R$803,$AF247),1)&lt;&gt;"⚠",INDEX(입력_파견수련계획!$R$4:$R$803,$AF247),IF($H247="","",IF(RIGHT($H247,2)="병원",$H247,$H247&amp;"병원"))),IF($H247="","",IF(RIGHT($H247,2)="병원",$H247,$H247&amp;"병원"))))))</f>
        <v/>
      </c>
      <c r="AF247" s="10">
        <f>IF(OR($B247="",TRIM($J247&amp;"")=""),"",IFERROR(MATCH(TRIM($J247&amp;"")&amp;"|파견중",입력_파견수련계획!$Y$4:$Y$803,0),IFERROR(MATCH(TRIM($J247&amp;"")&amp;"|파견예정",입력_파견수련계획!$Y$4:$Y$803,0),IFERROR(MATCH(TRIM($J247&amp;"")&amp;"|파견종료",입력_파견수련계획!$Y$4:$Y$803,0),""))))</f>
        <v/>
      </c>
      <c r="AG247" s="10">
        <f>IF($B247="","",IF(AND(IF(OR($AC247="",출력_인턴현황!$K$2=""),"",INDEX(입력_인턴근무계획!$M$3:$R$402,$AC247,출력_인턴현황!$K$2)&amp;"")&lt;&gt;"",LEFT(IF(OR($AC247="",출력_인턴현황!$K$2=""),"",INDEX(입력_인턴근무계획!$M$3:$R$402,$AC247,출력_인턴현황!$K$2)&amp;""),1)&lt;&gt;"⚠"),LEFT(IF(OR($AC247="",출력_인턴현황!$K$2=""),"",INDEX(입력_인턴근무계획!$M$3:$R$402,$AC247,출력_인턴현황!$K$2)&amp;""),FIND(" ",IF(OR($AC247="",출력_인턴현황!$K$2=""),"",INDEX(입력_인턴근무계획!$M$3:$R$402,$AC247,출력_인턴현황!$K$2)&amp;""))-1),$AE247))</f>
        <v/>
      </c>
      <c r="AH247" s="17">
        <f>IF($B247="","",IF($AQ247&lt;&gt;"",MAX(0,DAY(EOMONTH(출력_요약!$B$3,0))-N($AR247)),IF(TRIM($J247&amp;"")="",0,SUMPRODUCT((입력_파견수련계획!$Q$4:$Q$803=TRIM($J247&amp;""))*(입력_파견수련계획!$S$4:$S$803="서울병원")*입력_파견수련계획!$W$4:$W$803))+IF($AG247="서울병원",MAX(0,DAY(EOMONTH(출력_요약!$B$3,0))-N($X247)),0)))</f>
        <v/>
      </c>
      <c r="AI247" s="17">
        <f>IF($B247="","",IF($AQ247&lt;&gt;"",N($AR247),IF(TRIM($J247&amp;"")="",0,SUMPRODUCT((입력_파견수련계획!$Q$4:$Q$803=TRIM($J247&amp;""))*(입력_파견수련계획!$S$4:$S$803="구리병원")*입력_파견수련계획!$W$4:$W$803))+IF($AG247="구리병원",MAX(0,DAY(EOMONTH(출력_요약!$B$3,0))-N($X247)),0)))</f>
        <v/>
      </c>
      <c r="AJ247" s="10">
        <f>IF(OR($B247="",TRIM($J247&amp;"")=""),"",IFERROR(MATCH(TRIM($J247&amp;"")&amp;"|월",입력_파견수련계획!$Z$4:$Z$803,0),""))</f>
        <v/>
      </c>
      <c r="AK247" s="10">
        <f>IF(OR($B247="",TRIM($J247&amp;"")=""),"",IFERROR(MATCH(TRIM($J247&amp;"")&amp;"|다기관",입력_파견수련계획!$AE$4:$AE$803,0),""))</f>
        <v/>
      </c>
      <c r="AL247" s="10">
        <f>IF($AK247="","","다기관 "&amp;TEXT(INDEX(입력_파견수련계획!$AB$4:$AB$803,$AK247),"yyyy-mm-dd")&amp;"~"&amp;IF(ISNUMBER(INDEX(입력_파견수련계획!$AC$4:$AC$803,$AK247)),TEXT(INDEX(입력_파견수련계획!$AC$4:$AC$803,$AK247),"yyyy-mm-dd"),""))</f>
        <v/>
      </c>
      <c r="AM247" s="10">
        <f>IF($Y247="서울병원",COUNTIF($Y$2:$Y247,"서울병원"),"")</f>
        <v/>
      </c>
      <c r="AN247" s="10">
        <f>IF(LEFT($Y247,1)="⚠",COUNTIF($Y$2:$Y247,"⚠*"),"")</f>
        <v/>
      </c>
      <c r="AO247" s="10">
        <f>IF(OR($B247="",$Y247=""),"",IF(IF(TRIM($J247&amp;"")="",0,SUMPRODUCT((입력_파견수련계획!$Q$4:$Q$803=TRIM($J247&amp;""))*입력_파견수련계획!$AD$4:$AD$803))&gt;0,"다기관 기간 → 소속병원 지급",IF(AND(N($X247)&lt;=0,$AQ247=""),"파견 없음 → 그 달 근무병원 지급",IF($AH247+$AI247=DAY(EOMONTH(출력_요약!$B$3,0)),"서울 "&amp;$AH247&amp;"일 / 구리 "&amp;$AI247&amp;"일"&amp;IF($AQ247&lt;&gt;""," (구리 근무자명단 반영)","")&amp;" → 15일 이상 근무 병원 지급","타 병원 포함 → "&amp;IF($AJ247="","소속",INDEX(입력_파견수련계획!$T$4:$T$803,$AJ247))&amp;" 규칙"))))</f>
        <v/>
      </c>
      <c r="AP247" s="10">
        <f>IF($B247="","",$C247&amp;"|"&amp;$F247)</f>
        <v/>
      </c>
      <c r="AQ247" s="10">
        <f>IF($B247="","",IFERROR(MATCH(ROW()-1,출력_구리근무자!$K$6:$K$305,0),""))</f>
        <v/>
      </c>
      <c r="AR247" s="10">
        <f>IF($AQ247="","",INDEX(출력_구리근무자!$H$6:$H$305,$AQ247))</f>
        <v/>
      </c>
    </row>
    <row r="248">
      <c r="A248" s="10">
        <f>IF(B248="","",ROW()-1)</f>
        <v/>
      </c>
      <c r="B248" s="19" t="n"/>
      <c r="C248" s="10">
        <f>IF($AB248="","",IF(INDEX(입력_기본자료!$C$2:$C$1001,$AB248)="","",INDEX(입력_기본자료!$C$2:$C$1001,$AB248)))</f>
        <v/>
      </c>
      <c r="D248" s="10">
        <f>IF($AB248="","",IF(INDEX(입력_기본자료!$J$2:$J$1001,$AB248)="","",INDEX(입력_기본자료!$J$2:$J$1001,$AB248)))</f>
        <v/>
      </c>
      <c r="E248" s="11">
        <f>IF($AB248="","",IF(INDEX(입력_기본자료!$K$2:$K$1001,$AB248)="","",IF(NOT(ISNUMBER(INDEX(입력_기본자료!$K$2:$K$1001,$AB248))),INDEX(입력_기본자료!$K$2:$K$1001,$AB248),IF(INDEX(입력_기본자료!$K$2:$K$1001,$AB248)&lt;1000000,INDEX(입력_기본자료!$K$2:$K$1001,$AB248),IF(AND(INDEX(입력_기본자료!$K$2:$K$1001,$AB248)&gt;=10000101,INT(MOD(INDEX(입력_기본자료!$K$2:$K$1001,$AB248),10000)/100)&gt;=1,INT(MOD(INDEX(입력_기본자료!$K$2:$K$1001,$AB248),10000)/100)&lt;=12,MOD(INDEX(입력_기본자료!$K$2:$K$1001,$AB248),100)&gt;=1,MOD(INDEX(입력_기본자료!$K$2:$K$1001,$AB248),100)&lt;=31),DATE(INT(INDEX(입력_기본자료!$K$2:$K$1001,$AB248)/10000),INT(MOD(INDEX(입력_기본자료!$K$2:$K$1001,$AB248),10000)/100),MOD(INDEX(입력_기본자료!$K$2:$K$1001,$AB248),100)),INDEX(입력_기본자료!$K$2:$K$1001,$AB248)&amp;"")))))</f>
        <v/>
      </c>
      <c r="F248" s="10">
        <f>IF($AB248="","",IF(INDEX(입력_기본자료!$D$2:$D$1001,$AB248)="","",INDEX(입력_기본자료!$D$2:$D$1001,$AB248)))</f>
        <v/>
      </c>
      <c r="G248" s="10">
        <f>IF($AB248="","",IF(INDEX(입력_기본자료!$E$2:$E$1001,$AB248)="","",INDEX(입력_기본자료!$E$2:$E$1001,$AB248)))</f>
        <v/>
      </c>
      <c r="H248" s="10">
        <f>IF($AB248="","",IF(INDEX(입력_기본자료!$F$2:$F$1001,$AB248)="","",INDEX(입력_기본자료!$F$2:$F$1001,$AB248)))</f>
        <v/>
      </c>
      <c r="I248" s="11">
        <f>IF($AB248="","",IF(INDEX(입력_기본자료!$G$2:$G$1001,$AB248)="","",IF(NOT(ISNUMBER(INDEX(입력_기본자료!$G$2:$G$1001,$AB248))),INDEX(입력_기본자료!$G$2:$G$1001,$AB248),IF(INDEX(입력_기본자료!$G$2:$G$1001,$AB248)&lt;1000000,INDEX(입력_기본자료!$G$2:$G$1001,$AB248),IF(AND(INDEX(입력_기본자료!$G$2:$G$1001,$AB248)&gt;=10000101,INT(MOD(INDEX(입력_기본자료!$G$2:$G$1001,$AB248),10000)/100)&gt;=1,INT(MOD(INDEX(입력_기본자료!$G$2:$G$1001,$AB248),10000)/100)&lt;=12,MOD(INDEX(입력_기본자료!$G$2:$G$1001,$AB248),100)&gt;=1,MOD(INDEX(입력_기본자료!$G$2:$G$1001,$AB248),100)&lt;=31),DATE(INT(INDEX(입력_기본자료!$G$2:$G$1001,$AB248)/10000),INT(MOD(INDEX(입력_기본자료!$G$2:$G$1001,$AB248),10000)/100),MOD(INDEX(입력_기본자료!$G$2:$G$1001,$AB248),100)),INDEX(입력_기본자료!$G$2:$G$1001,$AB248)&amp;"")))))</f>
        <v/>
      </c>
      <c r="J248" s="10">
        <f>IF($AB248="","",IF(INDEX(입력_기본자료!$H$2:$H$1001,$AB248)="","",INDEX(입력_기본자료!$H$2:$H$1001,$AB248)))</f>
        <v/>
      </c>
      <c r="K248" s="10">
        <f>IF($AB248="","",IF(INDEX(입력_기본자료!$I$2:$I$1001,$AB248)="","",INDEX(입력_기본자료!$I$2:$I$1001,$AB248)))</f>
        <v/>
      </c>
      <c r="L248" s="10">
        <f>IF($AB248="","",IF(INDEX(입력_기본자료!$A$2:$A$1001,$AB248)="","",INDEX(입력_기본자료!$A$2:$A$1001,$AB248)))</f>
        <v/>
      </c>
      <c r="M248" s="15" t="n"/>
      <c r="N248" s="10">
        <f>IF($B248="","",IF(AND($U248="파견중",$Q248&lt;&gt;""),$Q248,IF(AND($AD248&lt;&gt;"",LEFT($AD248,1)&lt;&gt;"⚠"),LEFT($AD248,FIND(" ",$AD248)-1),IF($H248="","",IF(RIGHT($H248,2)="병원",$H248,$H248&amp;"병원")))))</f>
        <v/>
      </c>
      <c r="O248" s="10">
        <f>IF($B248="","",IF(AND($U248="파견중",$Q248&lt;&gt;""),IF($R248&lt;&gt;"",$R248,"파견과 미입력"),IF(AND($AD248&lt;&gt;"",LEFT($AD248,1)&lt;&gt;"⚠"),MID($AD248,FIND(" ",$AD248)+1,60),IF($F248="","",IF($F248="인턴","수련교육부(인턴)",$F248)))))</f>
        <v/>
      </c>
      <c r="P248" s="10">
        <f>IF($B248="","",IF($AK248&lt;&gt;"",IF(AND(TODAY()&gt;=INDEX(입력_파견수련계획!$AB$4:$AB$803,$AK248),OR(NOT(ISNUMBER(INDEX(입력_파견수련계획!$AC$4:$AC$803,$AK248))),TODAY()&lt;=INDEX(입력_파견수련계획!$AC$4:$AC$803,$AK248))),"다기관",IF($AF248="","",INDEX(입력_파견수련계획!$T$4:$T$803,$AF248))),IF($AF248="","",INDEX(입력_파견수련계획!$T$4:$T$803,$AF248))))</f>
        <v/>
      </c>
      <c r="Q248" s="10">
        <f>IF($AF248="","",INDEX(입력_파견수련계획!$S$4:$S$803,$AF248))</f>
        <v/>
      </c>
      <c r="R248" s="10">
        <f>IF($AF248="","",INDEX(입력_파견수련계획!$U$4:$U$803,$AF248))</f>
        <v/>
      </c>
      <c r="S248" s="11">
        <f>IF($AF248="","",IF(INDEX(입력_파견수련계획!$H$4:$H$803,$AF248)="","",INDEX(입력_파견수련계획!$H$4:$H$803,$AF248)))</f>
        <v/>
      </c>
      <c r="T248" s="11">
        <f>IF($AF248="","",IF(INDEX(입력_파견수련계획!$I$4:$I$803,$AF248)="","",INDEX(입력_파견수련계획!$I$4:$I$803,$AF248)))</f>
        <v/>
      </c>
      <c r="U248" s="10">
        <f>IF($AF248="","",INDEX(입력_파견수련계획!$X$4:$X$803,$AF248))</f>
        <v/>
      </c>
      <c r="V248" s="17">
        <f>IF($AF248="","",INDEX(입력_파견수련계획!$V$4:$V$803,$AF248))</f>
        <v/>
      </c>
      <c r="W248" s="17">
        <f>IF(AND($U248="파견중",$T248&lt;&gt;""),$T248-TODAY(),"")</f>
        <v/>
      </c>
      <c r="X248" s="17">
        <f>IF(OR($B248="",TRIM($J248&amp;"")=""),"",SUMPRODUCT((입력_파견수련계획!$Q$4:$Q$803=TRIM($J248&amp;""))*입력_파견수련계획!$W$4:$W$803))</f>
        <v/>
      </c>
      <c r="Y248" s="10">
        <f>IF($B248="","",IF($AG248="","",IF(IF(TRIM($J248&amp;"")="",0,SUMPRODUCT((입력_파견수련계획!$Q$4:$Q$803=TRIM($J248&amp;""))*입력_파견수련계획!$AD$4:$AD$803))&gt;0,$AE248,IF(AND(N($X248)&lt;=0,$AQ248=""),$AG248,IF($AH248+$AI248=DAY(EOMONTH(출력_요약!$B$3,0)),IF(AND($AH248&gt;=출력_요약!$E$3,$AI248&lt;출력_요약!$E$3),"서울병원",IF(AND($AI248&gt;=출력_요약!$E$3,$AH248&lt;출력_요약!$E$3),"구리병원","⚠15일 판정불가(서울 "&amp;$AH248&amp;"일/구리 "&amp;$AI248&amp;"일)")),IF($AJ248="",$AE248,IF(INDEX(입력_파견수련계획!$T$4:$T$803,$AJ248)="통합수련",INDEX(입력_파견수련계획!$S$4:$S$803,$AJ248),$AE248)))))))</f>
        <v/>
      </c>
      <c r="Z248" s="20">
        <f>IF($B248="","",IF($AB248="","기본자료에 없는 사번",IF(COUNTIF($B$2:$B$401,$B248)&gt;1,"중복 사번",IF($AE248="","소속(입사장소) 입력",IF(IF(TRIM($J248&amp;"")="",0,SUMPRODUCT((입력_파견수련계획!$Q$4:$Q$803=TRIM($J248&amp;""))*(입력_파견수련계획!$AA$4:$AA$803&lt;&gt;"")))&gt;0,"파견수련계획 입력오류 확인",IF(LEFT($Y248,1)="⚠","서울·구리 15일 판정 불가(양쪽 모두 이상/미만)",IF(IF($AC248="",0,N(INDEX(입력_인턴근무계획!$T$3:$T$402,$AC248)))&gt;0,"인턴계획 입력오류 확인",IF(AND($AQ248&lt;&gt;"",$AG248&lt;&gt;"구리병원",IF(TRIM($J248&amp;"")="",0,SUMPRODUCT((입력_파견수련계획!$Q$4:$Q$803=TRIM($J248&amp;""))*(입력_파견수련계획!$S$4:$S$803="구리병원")*입력_파견수련계획!$W$4:$W$803))=0),"구리 근무자명단에만 있음(파견수련계획 확인)",IF(AND($AC248&lt;&gt;"",$U248&lt;&gt;"파견중",$N248&lt;&gt;$AE248),"인턴 타지역 근무: 파견 여부 확인","정상")))))))))</f>
        <v/>
      </c>
      <c r="AA248" s="5" t="n"/>
      <c r="AB248" s="10">
        <f>IF($B248="","",IFERROR(MATCH($B248,입력_기본자료!$B$2:$B$1001,0),IFERROR(MATCH($B248&amp;"",입력_기본자료!$B$2:$B$1001,0),IFERROR(MATCH(VALUE($B248),입력_기본자료!$B$2:$B$1001,0),""))))</f>
        <v/>
      </c>
      <c r="AC248" s="10">
        <f>IF($B248="","",IFERROR(MATCH($B248,입력_인턴근무계획!$D$3:$D$402,0),IFERROR(MATCH($B248&amp;"",입력_인턴근무계획!$D$3:$D$402,0),IFERROR(MATCH(VALUE($B248),입력_인턴근무계획!$D$3:$D$402,0),""))))</f>
        <v/>
      </c>
      <c r="AD248" s="10">
        <f>IF(OR($AC248="",출력_인턴현황!$G$3=""),"",INDEX(입력_인턴근무계획!$M$3:$R$402,$AC248,출력_인턴현황!$G$3)&amp;"")</f>
        <v/>
      </c>
      <c r="AE248" s="10">
        <f>IF($B248="","",IF($M248&lt;&gt;"",$M248,IF(IF($AQ248="",FALSE,INDEX(출력_구리근무자!$J$6:$J$305,$AQ248)="구리독자"),"구리병원",IF($AF248&lt;&gt;"",IF(LEFT(INDEX(입력_파견수련계획!$R$4:$R$803,$AF248),1)&lt;&gt;"⚠",INDEX(입력_파견수련계획!$R$4:$R$803,$AF248),IF($H248="","",IF(RIGHT($H248,2)="병원",$H248,$H248&amp;"병원"))),IF($H248="","",IF(RIGHT($H248,2)="병원",$H248,$H248&amp;"병원"))))))</f>
        <v/>
      </c>
      <c r="AF248" s="10">
        <f>IF(OR($B248="",TRIM($J248&amp;"")=""),"",IFERROR(MATCH(TRIM($J248&amp;"")&amp;"|파견중",입력_파견수련계획!$Y$4:$Y$803,0),IFERROR(MATCH(TRIM($J248&amp;"")&amp;"|파견예정",입력_파견수련계획!$Y$4:$Y$803,0),IFERROR(MATCH(TRIM($J248&amp;"")&amp;"|파견종료",입력_파견수련계획!$Y$4:$Y$803,0),""))))</f>
        <v/>
      </c>
      <c r="AG248" s="10">
        <f>IF($B248="","",IF(AND(IF(OR($AC248="",출력_인턴현황!$K$2=""),"",INDEX(입력_인턴근무계획!$M$3:$R$402,$AC248,출력_인턴현황!$K$2)&amp;"")&lt;&gt;"",LEFT(IF(OR($AC248="",출력_인턴현황!$K$2=""),"",INDEX(입력_인턴근무계획!$M$3:$R$402,$AC248,출력_인턴현황!$K$2)&amp;""),1)&lt;&gt;"⚠"),LEFT(IF(OR($AC248="",출력_인턴현황!$K$2=""),"",INDEX(입력_인턴근무계획!$M$3:$R$402,$AC248,출력_인턴현황!$K$2)&amp;""),FIND(" ",IF(OR($AC248="",출력_인턴현황!$K$2=""),"",INDEX(입력_인턴근무계획!$M$3:$R$402,$AC248,출력_인턴현황!$K$2)&amp;""))-1),$AE248))</f>
        <v/>
      </c>
      <c r="AH248" s="17">
        <f>IF($B248="","",IF($AQ248&lt;&gt;"",MAX(0,DAY(EOMONTH(출력_요약!$B$3,0))-N($AR248)),IF(TRIM($J248&amp;"")="",0,SUMPRODUCT((입력_파견수련계획!$Q$4:$Q$803=TRIM($J248&amp;""))*(입력_파견수련계획!$S$4:$S$803="서울병원")*입력_파견수련계획!$W$4:$W$803))+IF($AG248="서울병원",MAX(0,DAY(EOMONTH(출력_요약!$B$3,0))-N($X248)),0)))</f>
        <v/>
      </c>
      <c r="AI248" s="17">
        <f>IF($B248="","",IF($AQ248&lt;&gt;"",N($AR248),IF(TRIM($J248&amp;"")="",0,SUMPRODUCT((입력_파견수련계획!$Q$4:$Q$803=TRIM($J248&amp;""))*(입력_파견수련계획!$S$4:$S$803="구리병원")*입력_파견수련계획!$W$4:$W$803))+IF($AG248="구리병원",MAX(0,DAY(EOMONTH(출력_요약!$B$3,0))-N($X248)),0)))</f>
        <v/>
      </c>
      <c r="AJ248" s="10">
        <f>IF(OR($B248="",TRIM($J248&amp;"")=""),"",IFERROR(MATCH(TRIM($J248&amp;"")&amp;"|월",입력_파견수련계획!$Z$4:$Z$803,0),""))</f>
        <v/>
      </c>
      <c r="AK248" s="10">
        <f>IF(OR($B248="",TRIM($J248&amp;"")=""),"",IFERROR(MATCH(TRIM($J248&amp;"")&amp;"|다기관",입력_파견수련계획!$AE$4:$AE$803,0),""))</f>
        <v/>
      </c>
      <c r="AL248" s="10">
        <f>IF($AK248="","","다기관 "&amp;TEXT(INDEX(입력_파견수련계획!$AB$4:$AB$803,$AK248),"yyyy-mm-dd")&amp;"~"&amp;IF(ISNUMBER(INDEX(입력_파견수련계획!$AC$4:$AC$803,$AK248)),TEXT(INDEX(입력_파견수련계획!$AC$4:$AC$803,$AK248),"yyyy-mm-dd"),""))</f>
        <v/>
      </c>
      <c r="AM248" s="10">
        <f>IF($Y248="서울병원",COUNTIF($Y$2:$Y248,"서울병원"),"")</f>
        <v/>
      </c>
      <c r="AN248" s="10">
        <f>IF(LEFT($Y248,1)="⚠",COUNTIF($Y$2:$Y248,"⚠*"),"")</f>
        <v/>
      </c>
      <c r="AO248" s="10">
        <f>IF(OR($B248="",$Y248=""),"",IF(IF(TRIM($J248&amp;"")="",0,SUMPRODUCT((입력_파견수련계획!$Q$4:$Q$803=TRIM($J248&amp;""))*입력_파견수련계획!$AD$4:$AD$803))&gt;0,"다기관 기간 → 소속병원 지급",IF(AND(N($X248)&lt;=0,$AQ248=""),"파견 없음 → 그 달 근무병원 지급",IF($AH248+$AI248=DAY(EOMONTH(출력_요약!$B$3,0)),"서울 "&amp;$AH248&amp;"일 / 구리 "&amp;$AI248&amp;"일"&amp;IF($AQ248&lt;&gt;""," (구리 근무자명단 반영)","")&amp;" → 15일 이상 근무 병원 지급","타 병원 포함 → "&amp;IF($AJ248="","소속",INDEX(입력_파견수련계획!$T$4:$T$803,$AJ248))&amp;" 규칙"))))</f>
        <v/>
      </c>
      <c r="AP248" s="10">
        <f>IF($B248="","",$C248&amp;"|"&amp;$F248)</f>
        <v/>
      </c>
      <c r="AQ248" s="10">
        <f>IF($B248="","",IFERROR(MATCH(ROW()-1,출력_구리근무자!$K$6:$K$305,0),""))</f>
        <v/>
      </c>
      <c r="AR248" s="10">
        <f>IF($AQ248="","",INDEX(출력_구리근무자!$H$6:$H$305,$AQ248))</f>
        <v/>
      </c>
    </row>
    <row r="249">
      <c r="A249" s="10">
        <f>IF(B249="","",ROW()-1)</f>
        <v/>
      </c>
      <c r="B249" s="19" t="n"/>
      <c r="C249" s="10">
        <f>IF($AB249="","",IF(INDEX(입력_기본자료!$C$2:$C$1001,$AB249)="","",INDEX(입력_기본자료!$C$2:$C$1001,$AB249)))</f>
        <v/>
      </c>
      <c r="D249" s="10">
        <f>IF($AB249="","",IF(INDEX(입력_기본자료!$J$2:$J$1001,$AB249)="","",INDEX(입력_기본자료!$J$2:$J$1001,$AB249)))</f>
        <v/>
      </c>
      <c r="E249" s="11">
        <f>IF($AB249="","",IF(INDEX(입력_기본자료!$K$2:$K$1001,$AB249)="","",IF(NOT(ISNUMBER(INDEX(입력_기본자료!$K$2:$K$1001,$AB249))),INDEX(입력_기본자료!$K$2:$K$1001,$AB249),IF(INDEX(입력_기본자료!$K$2:$K$1001,$AB249)&lt;1000000,INDEX(입력_기본자료!$K$2:$K$1001,$AB249),IF(AND(INDEX(입력_기본자료!$K$2:$K$1001,$AB249)&gt;=10000101,INT(MOD(INDEX(입력_기본자료!$K$2:$K$1001,$AB249),10000)/100)&gt;=1,INT(MOD(INDEX(입력_기본자료!$K$2:$K$1001,$AB249),10000)/100)&lt;=12,MOD(INDEX(입력_기본자료!$K$2:$K$1001,$AB249),100)&gt;=1,MOD(INDEX(입력_기본자료!$K$2:$K$1001,$AB249),100)&lt;=31),DATE(INT(INDEX(입력_기본자료!$K$2:$K$1001,$AB249)/10000),INT(MOD(INDEX(입력_기본자료!$K$2:$K$1001,$AB249),10000)/100),MOD(INDEX(입력_기본자료!$K$2:$K$1001,$AB249),100)),INDEX(입력_기본자료!$K$2:$K$1001,$AB249)&amp;"")))))</f>
        <v/>
      </c>
      <c r="F249" s="10">
        <f>IF($AB249="","",IF(INDEX(입력_기본자료!$D$2:$D$1001,$AB249)="","",INDEX(입력_기본자료!$D$2:$D$1001,$AB249)))</f>
        <v/>
      </c>
      <c r="G249" s="10">
        <f>IF($AB249="","",IF(INDEX(입력_기본자료!$E$2:$E$1001,$AB249)="","",INDEX(입력_기본자료!$E$2:$E$1001,$AB249)))</f>
        <v/>
      </c>
      <c r="H249" s="10">
        <f>IF($AB249="","",IF(INDEX(입력_기본자료!$F$2:$F$1001,$AB249)="","",INDEX(입력_기본자료!$F$2:$F$1001,$AB249)))</f>
        <v/>
      </c>
      <c r="I249" s="11">
        <f>IF($AB249="","",IF(INDEX(입력_기본자료!$G$2:$G$1001,$AB249)="","",IF(NOT(ISNUMBER(INDEX(입력_기본자료!$G$2:$G$1001,$AB249))),INDEX(입력_기본자료!$G$2:$G$1001,$AB249),IF(INDEX(입력_기본자료!$G$2:$G$1001,$AB249)&lt;1000000,INDEX(입력_기본자료!$G$2:$G$1001,$AB249),IF(AND(INDEX(입력_기본자료!$G$2:$G$1001,$AB249)&gt;=10000101,INT(MOD(INDEX(입력_기본자료!$G$2:$G$1001,$AB249),10000)/100)&gt;=1,INT(MOD(INDEX(입력_기본자료!$G$2:$G$1001,$AB249),10000)/100)&lt;=12,MOD(INDEX(입력_기본자료!$G$2:$G$1001,$AB249),100)&gt;=1,MOD(INDEX(입력_기본자료!$G$2:$G$1001,$AB249),100)&lt;=31),DATE(INT(INDEX(입력_기본자료!$G$2:$G$1001,$AB249)/10000),INT(MOD(INDEX(입력_기본자료!$G$2:$G$1001,$AB249),10000)/100),MOD(INDEX(입력_기본자료!$G$2:$G$1001,$AB249),100)),INDEX(입력_기본자료!$G$2:$G$1001,$AB249)&amp;"")))))</f>
        <v/>
      </c>
      <c r="J249" s="10">
        <f>IF($AB249="","",IF(INDEX(입력_기본자료!$H$2:$H$1001,$AB249)="","",INDEX(입력_기본자료!$H$2:$H$1001,$AB249)))</f>
        <v/>
      </c>
      <c r="K249" s="10">
        <f>IF($AB249="","",IF(INDEX(입력_기본자료!$I$2:$I$1001,$AB249)="","",INDEX(입력_기본자료!$I$2:$I$1001,$AB249)))</f>
        <v/>
      </c>
      <c r="L249" s="10">
        <f>IF($AB249="","",IF(INDEX(입력_기본자료!$A$2:$A$1001,$AB249)="","",INDEX(입력_기본자료!$A$2:$A$1001,$AB249)))</f>
        <v/>
      </c>
      <c r="M249" s="15" t="n"/>
      <c r="N249" s="10">
        <f>IF($B249="","",IF(AND($U249="파견중",$Q249&lt;&gt;""),$Q249,IF(AND($AD249&lt;&gt;"",LEFT($AD249,1)&lt;&gt;"⚠"),LEFT($AD249,FIND(" ",$AD249)-1),IF($H249="","",IF(RIGHT($H249,2)="병원",$H249,$H249&amp;"병원")))))</f>
        <v/>
      </c>
      <c r="O249" s="10">
        <f>IF($B249="","",IF(AND($U249="파견중",$Q249&lt;&gt;""),IF($R249&lt;&gt;"",$R249,"파견과 미입력"),IF(AND($AD249&lt;&gt;"",LEFT($AD249,1)&lt;&gt;"⚠"),MID($AD249,FIND(" ",$AD249)+1,60),IF($F249="","",IF($F249="인턴","수련교육부(인턴)",$F249)))))</f>
        <v/>
      </c>
      <c r="P249" s="10">
        <f>IF($B249="","",IF($AK249&lt;&gt;"",IF(AND(TODAY()&gt;=INDEX(입력_파견수련계획!$AB$4:$AB$803,$AK249),OR(NOT(ISNUMBER(INDEX(입력_파견수련계획!$AC$4:$AC$803,$AK249))),TODAY()&lt;=INDEX(입력_파견수련계획!$AC$4:$AC$803,$AK249))),"다기관",IF($AF249="","",INDEX(입력_파견수련계획!$T$4:$T$803,$AF249))),IF($AF249="","",INDEX(입력_파견수련계획!$T$4:$T$803,$AF249))))</f>
        <v/>
      </c>
      <c r="Q249" s="10">
        <f>IF($AF249="","",INDEX(입력_파견수련계획!$S$4:$S$803,$AF249))</f>
        <v/>
      </c>
      <c r="R249" s="10">
        <f>IF($AF249="","",INDEX(입력_파견수련계획!$U$4:$U$803,$AF249))</f>
        <v/>
      </c>
      <c r="S249" s="11">
        <f>IF($AF249="","",IF(INDEX(입력_파견수련계획!$H$4:$H$803,$AF249)="","",INDEX(입력_파견수련계획!$H$4:$H$803,$AF249)))</f>
        <v/>
      </c>
      <c r="T249" s="11">
        <f>IF($AF249="","",IF(INDEX(입력_파견수련계획!$I$4:$I$803,$AF249)="","",INDEX(입력_파견수련계획!$I$4:$I$803,$AF249)))</f>
        <v/>
      </c>
      <c r="U249" s="10">
        <f>IF($AF249="","",INDEX(입력_파견수련계획!$X$4:$X$803,$AF249))</f>
        <v/>
      </c>
      <c r="V249" s="17">
        <f>IF($AF249="","",INDEX(입력_파견수련계획!$V$4:$V$803,$AF249))</f>
        <v/>
      </c>
      <c r="W249" s="17">
        <f>IF(AND($U249="파견중",$T249&lt;&gt;""),$T249-TODAY(),"")</f>
        <v/>
      </c>
      <c r="X249" s="17">
        <f>IF(OR($B249="",TRIM($J249&amp;"")=""),"",SUMPRODUCT((입력_파견수련계획!$Q$4:$Q$803=TRIM($J249&amp;""))*입력_파견수련계획!$W$4:$W$803))</f>
        <v/>
      </c>
      <c r="Y249" s="10">
        <f>IF($B249="","",IF($AG249="","",IF(IF(TRIM($J249&amp;"")="",0,SUMPRODUCT((입력_파견수련계획!$Q$4:$Q$803=TRIM($J249&amp;""))*입력_파견수련계획!$AD$4:$AD$803))&gt;0,$AE249,IF(AND(N($X249)&lt;=0,$AQ249=""),$AG249,IF($AH249+$AI249=DAY(EOMONTH(출력_요약!$B$3,0)),IF(AND($AH249&gt;=출력_요약!$E$3,$AI249&lt;출력_요약!$E$3),"서울병원",IF(AND($AI249&gt;=출력_요약!$E$3,$AH249&lt;출력_요약!$E$3),"구리병원","⚠15일 판정불가(서울 "&amp;$AH249&amp;"일/구리 "&amp;$AI249&amp;"일)")),IF($AJ249="",$AE249,IF(INDEX(입력_파견수련계획!$T$4:$T$803,$AJ249)="통합수련",INDEX(입력_파견수련계획!$S$4:$S$803,$AJ249),$AE249)))))))</f>
        <v/>
      </c>
      <c r="Z249" s="20">
        <f>IF($B249="","",IF($AB249="","기본자료에 없는 사번",IF(COUNTIF($B$2:$B$401,$B249)&gt;1,"중복 사번",IF($AE249="","소속(입사장소) 입력",IF(IF(TRIM($J249&amp;"")="",0,SUMPRODUCT((입력_파견수련계획!$Q$4:$Q$803=TRIM($J249&amp;""))*(입력_파견수련계획!$AA$4:$AA$803&lt;&gt;"")))&gt;0,"파견수련계획 입력오류 확인",IF(LEFT($Y249,1)="⚠","서울·구리 15일 판정 불가(양쪽 모두 이상/미만)",IF(IF($AC249="",0,N(INDEX(입력_인턴근무계획!$T$3:$T$402,$AC249)))&gt;0,"인턴계획 입력오류 확인",IF(AND($AQ249&lt;&gt;"",$AG249&lt;&gt;"구리병원",IF(TRIM($J249&amp;"")="",0,SUMPRODUCT((입력_파견수련계획!$Q$4:$Q$803=TRIM($J249&amp;""))*(입력_파견수련계획!$S$4:$S$803="구리병원")*입력_파견수련계획!$W$4:$W$803))=0),"구리 근무자명단에만 있음(파견수련계획 확인)",IF(AND($AC249&lt;&gt;"",$U249&lt;&gt;"파견중",$N249&lt;&gt;$AE249),"인턴 타지역 근무: 파견 여부 확인","정상")))))))))</f>
        <v/>
      </c>
      <c r="AA249" s="5" t="n"/>
      <c r="AB249" s="10">
        <f>IF($B249="","",IFERROR(MATCH($B249,입력_기본자료!$B$2:$B$1001,0),IFERROR(MATCH($B249&amp;"",입력_기본자료!$B$2:$B$1001,0),IFERROR(MATCH(VALUE($B249),입력_기본자료!$B$2:$B$1001,0),""))))</f>
        <v/>
      </c>
      <c r="AC249" s="10">
        <f>IF($B249="","",IFERROR(MATCH($B249,입력_인턴근무계획!$D$3:$D$402,0),IFERROR(MATCH($B249&amp;"",입력_인턴근무계획!$D$3:$D$402,0),IFERROR(MATCH(VALUE($B249),입력_인턴근무계획!$D$3:$D$402,0),""))))</f>
        <v/>
      </c>
      <c r="AD249" s="10">
        <f>IF(OR($AC249="",출력_인턴현황!$G$3=""),"",INDEX(입력_인턴근무계획!$M$3:$R$402,$AC249,출력_인턴현황!$G$3)&amp;"")</f>
        <v/>
      </c>
      <c r="AE249" s="10">
        <f>IF($B249="","",IF($M249&lt;&gt;"",$M249,IF(IF($AQ249="",FALSE,INDEX(출력_구리근무자!$J$6:$J$305,$AQ249)="구리독자"),"구리병원",IF($AF249&lt;&gt;"",IF(LEFT(INDEX(입력_파견수련계획!$R$4:$R$803,$AF249),1)&lt;&gt;"⚠",INDEX(입력_파견수련계획!$R$4:$R$803,$AF249),IF($H249="","",IF(RIGHT($H249,2)="병원",$H249,$H249&amp;"병원"))),IF($H249="","",IF(RIGHT($H249,2)="병원",$H249,$H249&amp;"병원"))))))</f>
        <v/>
      </c>
      <c r="AF249" s="10">
        <f>IF(OR($B249="",TRIM($J249&amp;"")=""),"",IFERROR(MATCH(TRIM($J249&amp;"")&amp;"|파견중",입력_파견수련계획!$Y$4:$Y$803,0),IFERROR(MATCH(TRIM($J249&amp;"")&amp;"|파견예정",입력_파견수련계획!$Y$4:$Y$803,0),IFERROR(MATCH(TRIM($J249&amp;"")&amp;"|파견종료",입력_파견수련계획!$Y$4:$Y$803,0),""))))</f>
        <v/>
      </c>
      <c r="AG249" s="10">
        <f>IF($B249="","",IF(AND(IF(OR($AC249="",출력_인턴현황!$K$2=""),"",INDEX(입력_인턴근무계획!$M$3:$R$402,$AC249,출력_인턴현황!$K$2)&amp;"")&lt;&gt;"",LEFT(IF(OR($AC249="",출력_인턴현황!$K$2=""),"",INDEX(입력_인턴근무계획!$M$3:$R$402,$AC249,출력_인턴현황!$K$2)&amp;""),1)&lt;&gt;"⚠"),LEFT(IF(OR($AC249="",출력_인턴현황!$K$2=""),"",INDEX(입력_인턴근무계획!$M$3:$R$402,$AC249,출력_인턴현황!$K$2)&amp;""),FIND(" ",IF(OR($AC249="",출력_인턴현황!$K$2=""),"",INDEX(입력_인턴근무계획!$M$3:$R$402,$AC249,출력_인턴현황!$K$2)&amp;""))-1),$AE249))</f>
        <v/>
      </c>
      <c r="AH249" s="17">
        <f>IF($B249="","",IF($AQ249&lt;&gt;"",MAX(0,DAY(EOMONTH(출력_요약!$B$3,0))-N($AR249)),IF(TRIM($J249&amp;"")="",0,SUMPRODUCT((입력_파견수련계획!$Q$4:$Q$803=TRIM($J249&amp;""))*(입력_파견수련계획!$S$4:$S$803="서울병원")*입력_파견수련계획!$W$4:$W$803))+IF($AG249="서울병원",MAX(0,DAY(EOMONTH(출력_요약!$B$3,0))-N($X249)),0)))</f>
        <v/>
      </c>
      <c r="AI249" s="17">
        <f>IF($B249="","",IF($AQ249&lt;&gt;"",N($AR249),IF(TRIM($J249&amp;"")="",0,SUMPRODUCT((입력_파견수련계획!$Q$4:$Q$803=TRIM($J249&amp;""))*(입력_파견수련계획!$S$4:$S$803="구리병원")*입력_파견수련계획!$W$4:$W$803))+IF($AG249="구리병원",MAX(0,DAY(EOMONTH(출력_요약!$B$3,0))-N($X249)),0)))</f>
        <v/>
      </c>
      <c r="AJ249" s="10">
        <f>IF(OR($B249="",TRIM($J249&amp;"")=""),"",IFERROR(MATCH(TRIM($J249&amp;"")&amp;"|월",입력_파견수련계획!$Z$4:$Z$803,0),""))</f>
        <v/>
      </c>
      <c r="AK249" s="10">
        <f>IF(OR($B249="",TRIM($J249&amp;"")=""),"",IFERROR(MATCH(TRIM($J249&amp;"")&amp;"|다기관",입력_파견수련계획!$AE$4:$AE$803,0),""))</f>
        <v/>
      </c>
      <c r="AL249" s="10">
        <f>IF($AK249="","","다기관 "&amp;TEXT(INDEX(입력_파견수련계획!$AB$4:$AB$803,$AK249),"yyyy-mm-dd")&amp;"~"&amp;IF(ISNUMBER(INDEX(입력_파견수련계획!$AC$4:$AC$803,$AK249)),TEXT(INDEX(입력_파견수련계획!$AC$4:$AC$803,$AK249),"yyyy-mm-dd"),""))</f>
        <v/>
      </c>
      <c r="AM249" s="10">
        <f>IF($Y249="서울병원",COUNTIF($Y$2:$Y249,"서울병원"),"")</f>
        <v/>
      </c>
      <c r="AN249" s="10">
        <f>IF(LEFT($Y249,1)="⚠",COUNTIF($Y$2:$Y249,"⚠*"),"")</f>
        <v/>
      </c>
      <c r="AO249" s="10">
        <f>IF(OR($B249="",$Y249=""),"",IF(IF(TRIM($J249&amp;"")="",0,SUMPRODUCT((입력_파견수련계획!$Q$4:$Q$803=TRIM($J249&amp;""))*입력_파견수련계획!$AD$4:$AD$803))&gt;0,"다기관 기간 → 소속병원 지급",IF(AND(N($X249)&lt;=0,$AQ249=""),"파견 없음 → 그 달 근무병원 지급",IF($AH249+$AI249=DAY(EOMONTH(출력_요약!$B$3,0)),"서울 "&amp;$AH249&amp;"일 / 구리 "&amp;$AI249&amp;"일"&amp;IF($AQ249&lt;&gt;""," (구리 근무자명단 반영)","")&amp;" → 15일 이상 근무 병원 지급","타 병원 포함 → "&amp;IF($AJ249="","소속",INDEX(입력_파견수련계획!$T$4:$T$803,$AJ249))&amp;" 규칙"))))</f>
        <v/>
      </c>
      <c r="AP249" s="10">
        <f>IF($B249="","",$C249&amp;"|"&amp;$F249)</f>
        <v/>
      </c>
      <c r="AQ249" s="10">
        <f>IF($B249="","",IFERROR(MATCH(ROW()-1,출력_구리근무자!$K$6:$K$305,0),""))</f>
        <v/>
      </c>
      <c r="AR249" s="10">
        <f>IF($AQ249="","",INDEX(출력_구리근무자!$H$6:$H$305,$AQ249))</f>
        <v/>
      </c>
    </row>
    <row r="250">
      <c r="A250" s="10">
        <f>IF(B250="","",ROW()-1)</f>
        <v/>
      </c>
      <c r="B250" s="19" t="n"/>
      <c r="C250" s="10">
        <f>IF($AB250="","",IF(INDEX(입력_기본자료!$C$2:$C$1001,$AB250)="","",INDEX(입력_기본자료!$C$2:$C$1001,$AB250)))</f>
        <v/>
      </c>
      <c r="D250" s="10">
        <f>IF($AB250="","",IF(INDEX(입력_기본자료!$J$2:$J$1001,$AB250)="","",INDEX(입력_기본자료!$J$2:$J$1001,$AB250)))</f>
        <v/>
      </c>
      <c r="E250" s="11">
        <f>IF($AB250="","",IF(INDEX(입력_기본자료!$K$2:$K$1001,$AB250)="","",IF(NOT(ISNUMBER(INDEX(입력_기본자료!$K$2:$K$1001,$AB250))),INDEX(입력_기본자료!$K$2:$K$1001,$AB250),IF(INDEX(입력_기본자료!$K$2:$K$1001,$AB250)&lt;1000000,INDEX(입력_기본자료!$K$2:$K$1001,$AB250),IF(AND(INDEX(입력_기본자료!$K$2:$K$1001,$AB250)&gt;=10000101,INT(MOD(INDEX(입력_기본자료!$K$2:$K$1001,$AB250),10000)/100)&gt;=1,INT(MOD(INDEX(입력_기본자료!$K$2:$K$1001,$AB250),10000)/100)&lt;=12,MOD(INDEX(입력_기본자료!$K$2:$K$1001,$AB250),100)&gt;=1,MOD(INDEX(입력_기본자료!$K$2:$K$1001,$AB250),100)&lt;=31),DATE(INT(INDEX(입력_기본자료!$K$2:$K$1001,$AB250)/10000),INT(MOD(INDEX(입력_기본자료!$K$2:$K$1001,$AB250),10000)/100),MOD(INDEX(입력_기본자료!$K$2:$K$1001,$AB250),100)),INDEX(입력_기본자료!$K$2:$K$1001,$AB250)&amp;"")))))</f>
        <v/>
      </c>
      <c r="F250" s="10">
        <f>IF($AB250="","",IF(INDEX(입력_기본자료!$D$2:$D$1001,$AB250)="","",INDEX(입력_기본자료!$D$2:$D$1001,$AB250)))</f>
        <v/>
      </c>
      <c r="G250" s="10">
        <f>IF($AB250="","",IF(INDEX(입력_기본자료!$E$2:$E$1001,$AB250)="","",INDEX(입력_기본자료!$E$2:$E$1001,$AB250)))</f>
        <v/>
      </c>
      <c r="H250" s="10">
        <f>IF($AB250="","",IF(INDEX(입력_기본자료!$F$2:$F$1001,$AB250)="","",INDEX(입력_기본자료!$F$2:$F$1001,$AB250)))</f>
        <v/>
      </c>
      <c r="I250" s="11">
        <f>IF($AB250="","",IF(INDEX(입력_기본자료!$G$2:$G$1001,$AB250)="","",IF(NOT(ISNUMBER(INDEX(입력_기본자료!$G$2:$G$1001,$AB250))),INDEX(입력_기본자료!$G$2:$G$1001,$AB250),IF(INDEX(입력_기본자료!$G$2:$G$1001,$AB250)&lt;1000000,INDEX(입력_기본자료!$G$2:$G$1001,$AB250),IF(AND(INDEX(입력_기본자료!$G$2:$G$1001,$AB250)&gt;=10000101,INT(MOD(INDEX(입력_기본자료!$G$2:$G$1001,$AB250),10000)/100)&gt;=1,INT(MOD(INDEX(입력_기본자료!$G$2:$G$1001,$AB250),10000)/100)&lt;=12,MOD(INDEX(입력_기본자료!$G$2:$G$1001,$AB250),100)&gt;=1,MOD(INDEX(입력_기본자료!$G$2:$G$1001,$AB250),100)&lt;=31),DATE(INT(INDEX(입력_기본자료!$G$2:$G$1001,$AB250)/10000),INT(MOD(INDEX(입력_기본자료!$G$2:$G$1001,$AB250),10000)/100),MOD(INDEX(입력_기본자료!$G$2:$G$1001,$AB250),100)),INDEX(입력_기본자료!$G$2:$G$1001,$AB250)&amp;"")))))</f>
        <v/>
      </c>
      <c r="J250" s="10">
        <f>IF($AB250="","",IF(INDEX(입력_기본자료!$H$2:$H$1001,$AB250)="","",INDEX(입력_기본자료!$H$2:$H$1001,$AB250)))</f>
        <v/>
      </c>
      <c r="K250" s="10">
        <f>IF($AB250="","",IF(INDEX(입력_기본자료!$I$2:$I$1001,$AB250)="","",INDEX(입력_기본자료!$I$2:$I$1001,$AB250)))</f>
        <v/>
      </c>
      <c r="L250" s="10">
        <f>IF($AB250="","",IF(INDEX(입력_기본자료!$A$2:$A$1001,$AB250)="","",INDEX(입력_기본자료!$A$2:$A$1001,$AB250)))</f>
        <v/>
      </c>
      <c r="M250" s="15" t="n"/>
      <c r="N250" s="10">
        <f>IF($B250="","",IF(AND($U250="파견중",$Q250&lt;&gt;""),$Q250,IF(AND($AD250&lt;&gt;"",LEFT($AD250,1)&lt;&gt;"⚠"),LEFT($AD250,FIND(" ",$AD250)-1),IF($H250="","",IF(RIGHT($H250,2)="병원",$H250,$H250&amp;"병원")))))</f>
        <v/>
      </c>
      <c r="O250" s="10">
        <f>IF($B250="","",IF(AND($U250="파견중",$Q250&lt;&gt;""),IF($R250&lt;&gt;"",$R250,"파견과 미입력"),IF(AND($AD250&lt;&gt;"",LEFT($AD250,1)&lt;&gt;"⚠"),MID($AD250,FIND(" ",$AD250)+1,60),IF($F250="","",IF($F250="인턴","수련교육부(인턴)",$F250)))))</f>
        <v/>
      </c>
      <c r="P250" s="10">
        <f>IF($B250="","",IF($AK250&lt;&gt;"",IF(AND(TODAY()&gt;=INDEX(입력_파견수련계획!$AB$4:$AB$803,$AK250),OR(NOT(ISNUMBER(INDEX(입력_파견수련계획!$AC$4:$AC$803,$AK250))),TODAY()&lt;=INDEX(입력_파견수련계획!$AC$4:$AC$803,$AK250))),"다기관",IF($AF250="","",INDEX(입력_파견수련계획!$T$4:$T$803,$AF250))),IF($AF250="","",INDEX(입력_파견수련계획!$T$4:$T$803,$AF250))))</f>
        <v/>
      </c>
      <c r="Q250" s="10">
        <f>IF($AF250="","",INDEX(입력_파견수련계획!$S$4:$S$803,$AF250))</f>
        <v/>
      </c>
      <c r="R250" s="10">
        <f>IF($AF250="","",INDEX(입력_파견수련계획!$U$4:$U$803,$AF250))</f>
        <v/>
      </c>
      <c r="S250" s="11">
        <f>IF($AF250="","",IF(INDEX(입력_파견수련계획!$H$4:$H$803,$AF250)="","",INDEX(입력_파견수련계획!$H$4:$H$803,$AF250)))</f>
        <v/>
      </c>
      <c r="T250" s="11">
        <f>IF($AF250="","",IF(INDEX(입력_파견수련계획!$I$4:$I$803,$AF250)="","",INDEX(입력_파견수련계획!$I$4:$I$803,$AF250)))</f>
        <v/>
      </c>
      <c r="U250" s="10">
        <f>IF($AF250="","",INDEX(입력_파견수련계획!$X$4:$X$803,$AF250))</f>
        <v/>
      </c>
      <c r="V250" s="17">
        <f>IF($AF250="","",INDEX(입력_파견수련계획!$V$4:$V$803,$AF250))</f>
        <v/>
      </c>
      <c r="W250" s="17">
        <f>IF(AND($U250="파견중",$T250&lt;&gt;""),$T250-TODAY(),"")</f>
        <v/>
      </c>
      <c r="X250" s="17">
        <f>IF(OR($B250="",TRIM($J250&amp;"")=""),"",SUMPRODUCT((입력_파견수련계획!$Q$4:$Q$803=TRIM($J250&amp;""))*입력_파견수련계획!$W$4:$W$803))</f>
        <v/>
      </c>
      <c r="Y250" s="10">
        <f>IF($B250="","",IF($AG250="","",IF(IF(TRIM($J250&amp;"")="",0,SUMPRODUCT((입력_파견수련계획!$Q$4:$Q$803=TRIM($J250&amp;""))*입력_파견수련계획!$AD$4:$AD$803))&gt;0,$AE250,IF(AND(N($X250)&lt;=0,$AQ250=""),$AG250,IF($AH250+$AI250=DAY(EOMONTH(출력_요약!$B$3,0)),IF(AND($AH250&gt;=출력_요약!$E$3,$AI250&lt;출력_요약!$E$3),"서울병원",IF(AND($AI250&gt;=출력_요약!$E$3,$AH250&lt;출력_요약!$E$3),"구리병원","⚠15일 판정불가(서울 "&amp;$AH250&amp;"일/구리 "&amp;$AI250&amp;"일)")),IF($AJ250="",$AE250,IF(INDEX(입력_파견수련계획!$T$4:$T$803,$AJ250)="통합수련",INDEX(입력_파견수련계획!$S$4:$S$803,$AJ250),$AE250)))))))</f>
        <v/>
      </c>
      <c r="Z250" s="20">
        <f>IF($B250="","",IF($AB250="","기본자료에 없는 사번",IF(COUNTIF($B$2:$B$401,$B250)&gt;1,"중복 사번",IF($AE250="","소속(입사장소) 입력",IF(IF(TRIM($J250&amp;"")="",0,SUMPRODUCT((입력_파견수련계획!$Q$4:$Q$803=TRIM($J250&amp;""))*(입력_파견수련계획!$AA$4:$AA$803&lt;&gt;"")))&gt;0,"파견수련계획 입력오류 확인",IF(LEFT($Y250,1)="⚠","서울·구리 15일 판정 불가(양쪽 모두 이상/미만)",IF(IF($AC250="",0,N(INDEX(입력_인턴근무계획!$T$3:$T$402,$AC250)))&gt;0,"인턴계획 입력오류 확인",IF(AND($AQ250&lt;&gt;"",$AG250&lt;&gt;"구리병원",IF(TRIM($J250&amp;"")="",0,SUMPRODUCT((입력_파견수련계획!$Q$4:$Q$803=TRIM($J250&amp;""))*(입력_파견수련계획!$S$4:$S$803="구리병원")*입력_파견수련계획!$W$4:$W$803))=0),"구리 근무자명단에만 있음(파견수련계획 확인)",IF(AND($AC250&lt;&gt;"",$U250&lt;&gt;"파견중",$N250&lt;&gt;$AE250),"인턴 타지역 근무: 파견 여부 확인","정상")))))))))</f>
        <v/>
      </c>
      <c r="AA250" s="5" t="n"/>
      <c r="AB250" s="10">
        <f>IF($B250="","",IFERROR(MATCH($B250,입력_기본자료!$B$2:$B$1001,0),IFERROR(MATCH($B250&amp;"",입력_기본자료!$B$2:$B$1001,0),IFERROR(MATCH(VALUE($B250),입력_기본자료!$B$2:$B$1001,0),""))))</f>
        <v/>
      </c>
      <c r="AC250" s="10">
        <f>IF($B250="","",IFERROR(MATCH($B250,입력_인턴근무계획!$D$3:$D$402,0),IFERROR(MATCH($B250&amp;"",입력_인턴근무계획!$D$3:$D$402,0),IFERROR(MATCH(VALUE($B250),입력_인턴근무계획!$D$3:$D$402,0),""))))</f>
        <v/>
      </c>
      <c r="AD250" s="10">
        <f>IF(OR($AC250="",출력_인턴현황!$G$3=""),"",INDEX(입력_인턴근무계획!$M$3:$R$402,$AC250,출력_인턴현황!$G$3)&amp;"")</f>
        <v/>
      </c>
      <c r="AE250" s="10">
        <f>IF($B250="","",IF($M250&lt;&gt;"",$M250,IF(IF($AQ250="",FALSE,INDEX(출력_구리근무자!$J$6:$J$305,$AQ250)="구리독자"),"구리병원",IF($AF250&lt;&gt;"",IF(LEFT(INDEX(입력_파견수련계획!$R$4:$R$803,$AF250),1)&lt;&gt;"⚠",INDEX(입력_파견수련계획!$R$4:$R$803,$AF250),IF($H250="","",IF(RIGHT($H250,2)="병원",$H250,$H250&amp;"병원"))),IF($H250="","",IF(RIGHT($H250,2)="병원",$H250,$H250&amp;"병원"))))))</f>
        <v/>
      </c>
      <c r="AF250" s="10">
        <f>IF(OR($B250="",TRIM($J250&amp;"")=""),"",IFERROR(MATCH(TRIM($J250&amp;"")&amp;"|파견중",입력_파견수련계획!$Y$4:$Y$803,0),IFERROR(MATCH(TRIM($J250&amp;"")&amp;"|파견예정",입력_파견수련계획!$Y$4:$Y$803,0),IFERROR(MATCH(TRIM($J250&amp;"")&amp;"|파견종료",입력_파견수련계획!$Y$4:$Y$803,0),""))))</f>
        <v/>
      </c>
      <c r="AG250" s="10">
        <f>IF($B250="","",IF(AND(IF(OR($AC250="",출력_인턴현황!$K$2=""),"",INDEX(입력_인턴근무계획!$M$3:$R$402,$AC250,출력_인턴현황!$K$2)&amp;"")&lt;&gt;"",LEFT(IF(OR($AC250="",출력_인턴현황!$K$2=""),"",INDEX(입력_인턴근무계획!$M$3:$R$402,$AC250,출력_인턴현황!$K$2)&amp;""),1)&lt;&gt;"⚠"),LEFT(IF(OR($AC250="",출력_인턴현황!$K$2=""),"",INDEX(입력_인턴근무계획!$M$3:$R$402,$AC250,출력_인턴현황!$K$2)&amp;""),FIND(" ",IF(OR($AC250="",출력_인턴현황!$K$2=""),"",INDEX(입력_인턴근무계획!$M$3:$R$402,$AC250,출력_인턴현황!$K$2)&amp;""))-1),$AE250))</f>
        <v/>
      </c>
      <c r="AH250" s="17">
        <f>IF($B250="","",IF($AQ250&lt;&gt;"",MAX(0,DAY(EOMONTH(출력_요약!$B$3,0))-N($AR250)),IF(TRIM($J250&amp;"")="",0,SUMPRODUCT((입력_파견수련계획!$Q$4:$Q$803=TRIM($J250&amp;""))*(입력_파견수련계획!$S$4:$S$803="서울병원")*입력_파견수련계획!$W$4:$W$803))+IF($AG250="서울병원",MAX(0,DAY(EOMONTH(출력_요약!$B$3,0))-N($X250)),0)))</f>
        <v/>
      </c>
      <c r="AI250" s="17">
        <f>IF($B250="","",IF($AQ250&lt;&gt;"",N($AR250),IF(TRIM($J250&amp;"")="",0,SUMPRODUCT((입력_파견수련계획!$Q$4:$Q$803=TRIM($J250&amp;""))*(입력_파견수련계획!$S$4:$S$803="구리병원")*입력_파견수련계획!$W$4:$W$803))+IF($AG250="구리병원",MAX(0,DAY(EOMONTH(출력_요약!$B$3,0))-N($X250)),0)))</f>
        <v/>
      </c>
      <c r="AJ250" s="10">
        <f>IF(OR($B250="",TRIM($J250&amp;"")=""),"",IFERROR(MATCH(TRIM($J250&amp;"")&amp;"|월",입력_파견수련계획!$Z$4:$Z$803,0),""))</f>
        <v/>
      </c>
      <c r="AK250" s="10">
        <f>IF(OR($B250="",TRIM($J250&amp;"")=""),"",IFERROR(MATCH(TRIM($J250&amp;"")&amp;"|다기관",입력_파견수련계획!$AE$4:$AE$803,0),""))</f>
        <v/>
      </c>
      <c r="AL250" s="10">
        <f>IF($AK250="","","다기관 "&amp;TEXT(INDEX(입력_파견수련계획!$AB$4:$AB$803,$AK250),"yyyy-mm-dd")&amp;"~"&amp;IF(ISNUMBER(INDEX(입력_파견수련계획!$AC$4:$AC$803,$AK250)),TEXT(INDEX(입력_파견수련계획!$AC$4:$AC$803,$AK250),"yyyy-mm-dd"),""))</f>
        <v/>
      </c>
      <c r="AM250" s="10">
        <f>IF($Y250="서울병원",COUNTIF($Y$2:$Y250,"서울병원"),"")</f>
        <v/>
      </c>
      <c r="AN250" s="10">
        <f>IF(LEFT($Y250,1)="⚠",COUNTIF($Y$2:$Y250,"⚠*"),"")</f>
        <v/>
      </c>
      <c r="AO250" s="10">
        <f>IF(OR($B250="",$Y250=""),"",IF(IF(TRIM($J250&amp;"")="",0,SUMPRODUCT((입력_파견수련계획!$Q$4:$Q$803=TRIM($J250&amp;""))*입력_파견수련계획!$AD$4:$AD$803))&gt;0,"다기관 기간 → 소속병원 지급",IF(AND(N($X250)&lt;=0,$AQ250=""),"파견 없음 → 그 달 근무병원 지급",IF($AH250+$AI250=DAY(EOMONTH(출력_요약!$B$3,0)),"서울 "&amp;$AH250&amp;"일 / 구리 "&amp;$AI250&amp;"일"&amp;IF($AQ250&lt;&gt;""," (구리 근무자명단 반영)","")&amp;" → 15일 이상 근무 병원 지급","타 병원 포함 → "&amp;IF($AJ250="","소속",INDEX(입력_파견수련계획!$T$4:$T$803,$AJ250))&amp;" 규칙"))))</f>
        <v/>
      </c>
      <c r="AP250" s="10">
        <f>IF($B250="","",$C250&amp;"|"&amp;$F250)</f>
        <v/>
      </c>
      <c r="AQ250" s="10">
        <f>IF($B250="","",IFERROR(MATCH(ROW()-1,출력_구리근무자!$K$6:$K$305,0),""))</f>
        <v/>
      </c>
      <c r="AR250" s="10">
        <f>IF($AQ250="","",INDEX(출력_구리근무자!$H$6:$H$305,$AQ250))</f>
        <v/>
      </c>
    </row>
    <row r="251">
      <c r="A251" s="10">
        <f>IF(B251="","",ROW()-1)</f>
        <v/>
      </c>
      <c r="B251" s="19" t="n"/>
      <c r="C251" s="10">
        <f>IF($AB251="","",IF(INDEX(입력_기본자료!$C$2:$C$1001,$AB251)="","",INDEX(입력_기본자료!$C$2:$C$1001,$AB251)))</f>
        <v/>
      </c>
      <c r="D251" s="10">
        <f>IF($AB251="","",IF(INDEX(입력_기본자료!$J$2:$J$1001,$AB251)="","",INDEX(입력_기본자료!$J$2:$J$1001,$AB251)))</f>
        <v/>
      </c>
      <c r="E251" s="11">
        <f>IF($AB251="","",IF(INDEX(입력_기본자료!$K$2:$K$1001,$AB251)="","",IF(NOT(ISNUMBER(INDEX(입력_기본자료!$K$2:$K$1001,$AB251))),INDEX(입력_기본자료!$K$2:$K$1001,$AB251),IF(INDEX(입력_기본자료!$K$2:$K$1001,$AB251)&lt;1000000,INDEX(입력_기본자료!$K$2:$K$1001,$AB251),IF(AND(INDEX(입력_기본자료!$K$2:$K$1001,$AB251)&gt;=10000101,INT(MOD(INDEX(입력_기본자료!$K$2:$K$1001,$AB251),10000)/100)&gt;=1,INT(MOD(INDEX(입력_기본자료!$K$2:$K$1001,$AB251),10000)/100)&lt;=12,MOD(INDEX(입력_기본자료!$K$2:$K$1001,$AB251),100)&gt;=1,MOD(INDEX(입력_기본자료!$K$2:$K$1001,$AB251),100)&lt;=31),DATE(INT(INDEX(입력_기본자료!$K$2:$K$1001,$AB251)/10000),INT(MOD(INDEX(입력_기본자료!$K$2:$K$1001,$AB251),10000)/100),MOD(INDEX(입력_기본자료!$K$2:$K$1001,$AB251),100)),INDEX(입력_기본자료!$K$2:$K$1001,$AB251)&amp;"")))))</f>
        <v/>
      </c>
      <c r="F251" s="10">
        <f>IF($AB251="","",IF(INDEX(입력_기본자료!$D$2:$D$1001,$AB251)="","",INDEX(입력_기본자료!$D$2:$D$1001,$AB251)))</f>
        <v/>
      </c>
      <c r="G251" s="10">
        <f>IF($AB251="","",IF(INDEX(입력_기본자료!$E$2:$E$1001,$AB251)="","",INDEX(입력_기본자료!$E$2:$E$1001,$AB251)))</f>
        <v/>
      </c>
      <c r="H251" s="10">
        <f>IF($AB251="","",IF(INDEX(입력_기본자료!$F$2:$F$1001,$AB251)="","",INDEX(입력_기본자료!$F$2:$F$1001,$AB251)))</f>
        <v/>
      </c>
      <c r="I251" s="11">
        <f>IF($AB251="","",IF(INDEX(입력_기본자료!$G$2:$G$1001,$AB251)="","",IF(NOT(ISNUMBER(INDEX(입력_기본자료!$G$2:$G$1001,$AB251))),INDEX(입력_기본자료!$G$2:$G$1001,$AB251),IF(INDEX(입력_기본자료!$G$2:$G$1001,$AB251)&lt;1000000,INDEX(입력_기본자료!$G$2:$G$1001,$AB251),IF(AND(INDEX(입력_기본자료!$G$2:$G$1001,$AB251)&gt;=10000101,INT(MOD(INDEX(입력_기본자료!$G$2:$G$1001,$AB251),10000)/100)&gt;=1,INT(MOD(INDEX(입력_기본자료!$G$2:$G$1001,$AB251),10000)/100)&lt;=12,MOD(INDEX(입력_기본자료!$G$2:$G$1001,$AB251),100)&gt;=1,MOD(INDEX(입력_기본자료!$G$2:$G$1001,$AB251),100)&lt;=31),DATE(INT(INDEX(입력_기본자료!$G$2:$G$1001,$AB251)/10000),INT(MOD(INDEX(입력_기본자료!$G$2:$G$1001,$AB251),10000)/100),MOD(INDEX(입력_기본자료!$G$2:$G$1001,$AB251),100)),INDEX(입력_기본자료!$G$2:$G$1001,$AB251)&amp;"")))))</f>
        <v/>
      </c>
      <c r="J251" s="10">
        <f>IF($AB251="","",IF(INDEX(입력_기본자료!$H$2:$H$1001,$AB251)="","",INDEX(입력_기본자료!$H$2:$H$1001,$AB251)))</f>
        <v/>
      </c>
      <c r="K251" s="10">
        <f>IF($AB251="","",IF(INDEX(입력_기본자료!$I$2:$I$1001,$AB251)="","",INDEX(입력_기본자료!$I$2:$I$1001,$AB251)))</f>
        <v/>
      </c>
      <c r="L251" s="10">
        <f>IF($AB251="","",IF(INDEX(입력_기본자료!$A$2:$A$1001,$AB251)="","",INDEX(입력_기본자료!$A$2:$A$1001,$AB251)))</f>
        <v/>
      </c>
      <c r="M251" s="15" t="n"/>
      <c r="N251" s="10">
        <f>IF($B251="","",IF(AND($U251="파견중",$Q251&lt;&gt;""),$Q251,IF(AND($AD251&lt;&gt;"",LEFT($AD251,1)&lt;&gt;"⚠"),LEFT($AD251,FIND(" ",$AD251)-1),IF($H251="","",IF(RIGHT($H251,2)="병원",$H251,$H251&amp;"병원")))))</f>
        <v/>
      </c>
      <c r="O251" s="10">
        <f>IF($B251="","",IF(AND($U251="파견중",$Q251&lt;&gt;""),IF($R251&lt;&gt;"",$R251,"파견과 미입력"),IF(AND($AD251&lt;&gt;"",LEFT($AD251,1)&lt;&gt;"⚠"),MID($AD251,FIND(" ",$AD251)+1,60),IF($F251="","",IF($F251="인턴","수련교육부(인턴)",$F251)))))</f>
        <v/>
      </c>
      <c r="P251" s="10">
        <f>IF($B251="","",IF($AK251&lt;&gt;"",IF(AND(TODAY()&gt;=INDEX(입력_파견수련계획!$AB$4:$AB$803,$AK251),OR(NOT(ISNUMBER(INDEX(입력_파견수련계획!$AC$4:$AC$803,$AK251))),TODAY()&lt;=INDEX(입력_파견수련계획!$AC$4:$AC$803,$AK251))),"다기관",IF($AF251="","",INDEX(입력_파견수련계획!$T$4:$T$803,$AF251))),IF($AF251="","",INDEX(입력_파견수련계획!$T$4:$T$803,$AF251))))</f>
        <v/>
      </c>
      <c r="Q251" s="10">
        <f>IF($AF251="","",INDEX(입력_파견수련계획!$S$4:$S$803,$AF251))</f>
        <v/>
      </c>
      <c r="R251" s="10">
        <f>IF($AF251="","",INDEX(입력_파견수련계획!$U$4:$U$803,$AF251))</f>
        <v/>
      </c>
      <c r="S251" s="11">
        <f>IF($AF251="","",IF(INDEX(입력_파견수련계획!$H$4:$H$803,$AF251)="","",INDEX(입력_파견수련계획!$H$4:$H$803,$AF251)))</f>
        <v/>
      </c>
      <c r="T251" s="11">
        <f>IF($AF251="","",IF(INDEX(입력_파견수련계획!$I$4:$I$803,$AF251)="","",INDEX(입력_파견수련계획!$I$4:$I$803,$AF251)))</f>
        <v/>
      </c>
      <c r="U251" s="10">
        <f>IF($AF251="","",INDEX(입력_파견수련계획!$X$4:$X$803,$AF251))</f>
        <v/>
      </c>
      <c r="V251" s="17">
        <f>IF($AF251="","",INDEX(입력_파견수련계획!$V$4:$V$803,$AF251))</f>
        <v/>
      </c>
      <c r="W251" s="17">
        <f>IF(AND($U251="파견중",$T251&lt;&gt;""),$T251-TODAY(),"")</f>
        <v/>
      </c>
      <c r="X251" s="17">
        <f>IF(OR($B251="",TRIM($J251&amp;"")=""),"",SUMPRODUCT((입력_파견수련계획!$Q$4:$Q$803=TRIM($J251&amp;""))*입력_파견수련계획!$W$4:$W$803))</f>
        <v/>
      </c>
      <c r="Y251" s="10">
        <f>IF($B251="","",IF($AG251="","",IF(IF(TRIM($J251&amp;"")="",0,SUMPRODUCT((입력_파견수련계획!$Q$4:$Q$803=TRIM($J251&amp;""))*입력_파견수련계획!$AD$4:$AD$803))&gt;0,$AE251,IF(AND(N($X251)&lt;=0,$AQ251=""),$AG251,IF($AH251+$AI251=DAY(EOMONTH(출력_요약!$B$3,0)),IF(AND($AH251&gt;=출력_요약!$E$3,$AI251&lt;출력_요약!$E$3),"서울병원",IF(AND($AI251&gt;=출력_요약!$E$3,$AH251&lt;출력_요약!$E$3),"구리병원","⚠15일 판정불가(서울 "&amp;$AH251&amp;"일/구리 "&amp;$AI251&amp;"일)")),IF($AJ251="",$AE251,IF(INDEX(입력_파견수련계획!$T$4:$T$803,$AJ251)="통합수련",INDEX(입력_파견수련계획!$S$4:$S$803,$AJ251),$AE251)))))))</f>
        <v/>
      </c>
      <c r="Z251" s="20">
        <f>IF($B251="","",IF($AB251="","기본자료에 없는 사번",IF(COUNTIF($B$2:$B$401,$B251)&gt;1,"중복 사번",IF($AE251="","소속(입사장소) 입력",IF(IF(TRIM($J251&amp;"")="",0,SUMPRODUCT((입력_파견수련계획!$Q$4:$Q$803=TRIM($J251&amp;""))*(입력_파견수련계획!$AA$4:$AA$803&lt;&gt;"")))&gt;0,"파견수련계획 입력오류 확인",IF(LEFT($Y251,1)="⚠","서울·구리 15일 판정 불가(양쪽 모두 이상/미만)",IF(IF($AC251="",0,N(INDEX(입력_인턴근무계획!$T$3:$T$402,$AC251)))&gt;0,"인턴계획 입력오류 확인",IF(AND($AQ251&lt;&gt;"",$AG251&lt;&gt;"구리병원",IF(TRIM($J251&amp;"")="",0,SUMPRODUCT((입력_파견수련계획!$Q$4:$Q$803=TRIM($J251&amp;""))*(입력_파견수련계획!$S$4:$S$803="구리병원")*입력_파견수련계획!$W$4:$W$803))=0),"구리 근무자명단에만 있음(파견수련계획 확인)",IF(AND($AC251&lt;&gt;"",$U251&lt;&gt;"파견중",$N251&lt;&gt;$AE251),"인턴 타지역 근무: 파견 여부 확인","정상")))))))))</f>
        <v/>
      </c>
      <c r="AA251" s="5" t="n"/>
      <c r="AB251" s="10">
        <f>IF($B251="","",IFERROR(MATCH($B251,입력_기본자료!$B$2:$B$1001,0),IFERROR(MATCH($B251&amp;"",입력_기본자료!$B$2:$B$1001,0),IFERROR(MATCH(VALUE($B251),입력_기본자료!$B$2:$B$1001,0),""))))</f>
        <v/>
      </c>
      <c r="AC251" s="10">
        <f>IF($B251="","",IFERROR(MATCH($B251,입력_인턴근무계획!$D$3:$D$402,0),IFERROR(MATCH($B251&amp;"",입력_인턴근무계획!$D$3:$D$402,0),IFERROR(MATCH(VALUE($B251),입력_인턴근무계획!$D$3:$D$402,0),""))))</f>
        <v/>
      </c>
      <c r="AD251" s="10">
        <f>IF(OR($AC251="",출력_인턴현황!$G$3=""),"",INDEX(입력_인턴근무계획!$M$3:$R$402,$AC251,출력_인턴현황!$G$3)&amp;"")</f>
        <v/>
      </c>
      <c r="AE251" s="10">
        <f>IF($B251="","",IF($M251&lt;&gt;"",$M251,IF(IF($AQ251="",FALSE,INDEX(출력_구리근무자!$J$6:$J$305,$AQ251)="구리독자"),"구리병원",IF($AF251&lt;&gt;"",IF(LEFT(INDEX(입력_파견수련계획!$R$4:$R$803,$AF251),1)&lt;&gt;"⚠",INDEX(입력_파견수련계획!$R$4:$R$803,$AF251),IF($H251="","",IF(RIGHT($H251,2)="병원",$H251,$H251&amp;"병원"))),IF($H251="","",IF(RIGHT($H251,2)="병원",$H251,$H251&amp;"병원"))))))</f>
        <v/>
      </c>
      <c r="AF251" s="10">
        <f>IF(OR($B251="",TRIM($J251&amp;"")=""),"",IFERROR(MATCH(TRIM($J251&amp;"")&amp;"|파견중",입력_파견수련계획!$Y$4:$Y$803,0),IFERROR(MATCH(TRIM($J251&amp;"")&amp;"|파견예정",입력_파견수련계획!$Y$4:$Y$803,0),IFERROR(MATCH(TRIM($J251&amp;"")&amp;"|파견종료",입력_파견수련계획!$Y$4:$Y$803,0),""))))</f>
        <v/>
      </c>
      <c r="AG251" s="10">
        <f>IF($B251="","",IF(AND(IF(OR($AC251="",출력_인턴현황!$K$2=""),"",INDEX(입력_인턴근무계획!$M$3:$R$402,$AC251,출력_인턴현황!$K$2)&amp;"")&lt;&gt;"",LEFT(IF(OR($AC251="",출력_인턴현황!$K$2=""),"",INDEX(입력_인턴근무계획!$M$3:$R$402,$AC251,출력_인턴현황!$K$2)&amp;""),1)&lt;&gt;"⚠"),LEFT(IF(OR($AC251="",출력_인턴현황!$K$2=""),"",INDEX(입력_인턴근무계획!$M$3:$R$402,$AC251,출력_인턴현황!$K$2)&amp;""),FIND(" ",IF(OR($AC251="",출력_인턴현황!$K$2=""),"",INDEX(입력_인턴근무계획!$M$3:$R$402,$AC251,출력_인턴현황!$K$2)&amp;""))-1),$AE251))</f>
        <v/>
      </c>
      <c r="AH251" s="17">
        <f>IF($B251="","",IF($AQ251&lt;&gt;"",MAX(0,DAY(EOMONTH(출력_요약!$B$3,0))-N($AR251)),IF(TRIM($J251&amp;"")="",0,SUMPRODUCT((입력_파견수련계획!$Q$4:$Q$803=TRIM($J251&amp;""))*(입력_파견수련계획!$S$4:$S$803="서울병원")*입력_파견수련계획!$W$4:$W$803))+IF($AG251="서울병원",MAX(0,DAY(EOMONTH(출력_요약!$B$3,0))-N($X251)),0)))</f>
        <v/>
      </c>
      <c r="AI251" s="17">
        <f>IF($B251="","",IF($AQ251&lt;&gt;"",N($AR251),IF(TRIM($J251&amp;"")="",0,SUMPRODUCT((입력_파견수련계획!$Q$4:$Q$803=TRIM($J251&amp;""))*(입력_파견수련계획!$S$4:$S$803="구리병원")*입력_파견수련계획!$W$4:$W$803))+IF($AG251="구리병원",MAX(0,DAY(EOMONTH(출력_요약!$B$3,0))-N($X251)),0)))</f>
        <v/>
      </c>
      <c r="AJ251" s="10">
        <f>IF(OR($B251="",TRIM($J251&amp;"")=""),"",IFERROR(MATCH(TRIM($J251&amp;"")&amp;"|월",입력_파견수련계획!$Z$4:$Z$803,0),""))</f>
        <v/>
      </c>
      <c r="AK251" s="10">
        <f>IF(OR($B251="",TRIM($J251&amp;"")=""),"",IFERROR(MATCH(TRIM($J251&amp;"")&amp;"|다기관",입력_파견수련계획!$AE$4:$AE$803,0),""))</f>
        <v/>
      </c>
      <c r="AL251" s="10">
        <f>IF($AK251="","","다기관 "&amp;TEXT(INDEX(입력_파견수련계획!$AB$4:$AB$803,$AK251),"yyyy-mm-dd")&amp;"~"&amp;IF(ISNUMBER(INDEX(입력_파견수련계획!$AC$4:$AC$803,$AK251)),TEXT(INDEX(입력_파견수련계획!$AC$4:$AC$803,$AK251),"yyyy-mm-dd"),""))</f>
        <v/>
      </c>
      <c r="AM251" s="10">
        <f>IF($Y251="서울병원",COUNTIF($Y$2:$Y251,"서울병원"),"")</f>
        <v/>
      </c>
      <c r="AN251" s="10">
        <f>IF(LEFT($Y251,1)="⚠",COUNTIF($Y$2:$Y251,"⚠*"),"")</f>
        <v/>
      </c>
      <c r="AO251" s="10">
        <f>IF(OR($B251="",$Y251=""),"",IF(IF(TRIM($J251&amp;"")="",0,SUMPRODUCT((입력_파견수련계획!$Q$4:$Q$803=TRIM($J251&amp;""))*입력_파견수련계획!$AD$4:$AD$803))&gt;0,"다기관 기간 → 소속병원 지급",IF(AND(N($X251)&lt;=0,$AQ251=""),"파견 없음 → 그 달 근무병원 지급",IF($AH251+$AI251=DAY(EOMONTH(출력_요약!$B$3,0)),"서울 "&amp;$AH251&amp;"일 / 구리 "&amp;$AI251&amp;"일"&amp;IF($AQ251&lt;&gt;""," (구리 근무자명단 반영)","")&amp;" → 15일 이상 근무 병원 지급","타 병원 포함 → "&amp;IF($AJ251="","소속",INDEX(입력_파견수련계획!$T$4:$T$803,$AJ251))&amp;" 규칙"))))</f>
        <v/>
      </c>
      <c r="AP251" s="10">
        <f>IF($B251="","",$C251&amp;"|"&amp;$F251)</f>
        <v/>
      </c>
      <c r="AQ251" s="10">
        <f>IF($B251="","",IFERROR(MATCH(ROW()-1,출력_구리근무자!$K$6:$K$305,0),""))</f>
        <v/>
      </c>
      <c r="AR251" s="10">
        <f>IF($AQ251="","",INDEX(출력_구리근무자!$H$6:$H$305,$AQ251))</f>
        <v/>
      </c>
    </row>
    <row r="252">
      <c r="A252" s="10">
        <f>IF(B252="","",ROW()-1)</f>
        <v/>
      </c>
      <c r="B252" s="19" t="n"/>
      <c r="C252" s="10">
        <f>IF($AB252="","",IF(INDEX(입력_기본자료!$C$2:$C$1001,$AB252)="","",INDEX(입력_기본자료!$C$2:$C$1001,$AB252)))</f>
        <v/>
      </c>
      <c r="D252" s="10">
        <f>IF($AB252="","",IF(INDEX(입력_기본자료!$J$2:$J$1001,$AB252)="","",INDEX(입력_기본자료!$J$2:$J$1001,$AB252)))</f>
        <v/>
      </c>
      <c r="E252" s="11">
        <f>IF($AB252="","",IF(INDEX(입력_기본자료!$K$2:$K$1001,$AB252)="","",IF(NOT(ISNUMBER(INDEX(입력_기본자료!$K$2:$K$1001,$AB252))),INDEX(입력_기본자료!$K$2:$K$1001,$AB252),IF(INDEX(입력_기본자료!$K$2:$K$1001,$AB252)&lt;1000000,INDEX(입력_기본자료!$K$2:$K$1001,$AB252),IF(AND(INDEX(입력_기본자료!$K$2:$K$1001,$AB252)&gt;=10000101,INT(MOD(INDEX(입력_기본자료!$K$2:$K$1001,$AB252),10000)/100)&gt;=1,INT(MOD(INDEX(입력_기본자료!$K$2:$K$1001,$AB252),10000)/100)&lt;=12,MOD(INDEX(입력_기본자료!$K$2:$K$1001,$AB252),100)&gt;=1,MOD(INDEX(입력_기본자료!$K$2:$K$1001,$AB252),100)&lt;=31),DATE(INT(INDEX(입력_기본자료!$K$2:$K$1001,$AB252)/10000),INT(MOD(INDEX(입력_기본자료!$K$2:$K$1001,$AB252),10000)/100),MOD(INDEX(입력_기본자료!$K$2:$K$1001,$AB252),100)),INDEX(입력_기본자료!$K$2:$K$1001,$AB252)&amp;"")))))</f>
        <v/>
      </c>
      <c r="F252" s="10">
        <f>IF($AB252="","",IF(INDEX(입력_기본자료!$D$2:$D$1001,$AB252)="","",INDEX(입력_기본자료!$D$2:$D$1001,$AB252)))</f>
        <v/>
      </c>
      <c r="G252" s="10">
        <f>IF($AB252="","",IF(INDEX(입력_기본자료!$E$2:$E$1001,$AB252)="","",INDEX(입력_기본자료!$E$2:$E$1001,$AB252)))</f>
        <v/>
      </c>
      <c r="H252" s="10">
        <f>IF($AB252="","",IF(INDEX(입력_기본자료!$F$2:$F$1001,$AB252)="","",INDEX(입력_기본자료!$F$2:$F$1001,$AB252)))</f>
        <v/>
      </c>
      <c r="I252" s="11">
        <f>IF($AB252="","",IF(INDEX(입력_기본자료!$G$2:$G$1001,$AB252)="","",IF(NOT(ISNUMBER(INDEX(입력_기본자료!$G$2:$G$1001,$AB252))),INDEX(입력_기본자료!$G$2:$G$1001,$AB252),IF(INDEX(입력_기본자료!$G$2:$G$1001,$AB252)&lt;1000000,INDEX(입력_기본자료!$G$2:$G$1001,$AB252),IF(AND(INDEX(입력_기본자료!$G$2:$G$1001,$AB252)&gt;=10000101,INT(MOD(INDEX(입력_기본자료!$G$2:$G$1001,$AB252),10000)/100)&gt;=1,INT(MOD(INDEX(입력_기본자료!$G$2:$G$1001,$AB252),10000)/100)&lt;=12,MOD(INDEX(입력_기본자료!$G$2:$G$1001,$AB252),100)&gt;=1,MOD(INDEX(입력_기본자료!$G$2:$G$1001,$AB252),100)&lt;=31),DATE(INT(INDEX(입력_기본자료!$G$2:$G$1001,$AB252)/10000),INT(MOD(INDEX(입력_기본자료!$G$2:$G$1001,$AB252),10000)/100),MOD(INDEX(입력_기본자료!$G$2:$G$1001,$AB252),100)),INDEX(입력_기본자료!$G$2:$G$1001,$AB252)&amp;"")))))</f>
        <v/>
      </c>
      <c r="J252" s="10">
        <f>IF($AB252="","",IF(INDEX(입력_기본자료!$H$2:$H$1001,$AB252)="","",INDEX(입력_기본자료!$H$2:$H$1001,$AB252)))</f>
        <v/>
      </c>
      <c r="K252" s="10">
        <f>IF($AB252="","",IF(INDEX(입력_기본자료!$I$2:$I$1001,$AB252)="","",INDEX(입력_기본자료!$I$2:$I$1001,$AB252)))</f>
        <v/>
      </c>
      <c r="L252" s="10">
        <f>IF($AB252="","",IF(INDEX(입력_기본자료!$A$2:$A$1001,$AB252)="","",INDEX(입력_기본자료!$A$2:$A$1001,$AB252)))</f>
        <v/>
      </c>
      <c r="M252" s="15" t="n"/>
      <c r="N252" s="10">
        <f>IF($B252="","",IF(AND($U252="파견중",$Q252&lt;&gt;""),$Q252,IF(AND($AD252&lt;&gt;"",LEFT($AD252,1)&lt;&gt;"⚠"),LEFT($AD252,FIND(" ",$AD252)-1),IF($H252="","",IF(RIGHT($H252,2)="병원",$H252,$H252&amp;"병원")))))</f>
        <v/>
      </c>
      <c r="O252" s="10">
        <f>IF($B252="","",IF(AND($U252="파견중",$Q252&lt;&gt;""),IF($R252&lt;&gt;"",$R252,"파견과 미입력"),IF(AND($AD252&lt;&gt;"",LEFT($AD252,1)&lt;&gt;"⚠"),MID($AD252,FIND(" ",$AD252)+1,60),IF($F252="","",IF($F252="인턴","수련교육부(인턴)",$F252)))))</f>
        <v/>
      </c>
      <c r="P252" s="10">
        <f>IF($B252="","",IF($AK252&lt;&gt;"",IF(AND(TODAY()&gt;=INDEX(입력_파견수련계획!$AB$4:$AB$803,$AK252),OR(NOT(ISNUMBER(INDEX(입력_파견수련계획!$AC$4:$AC$803,$AK252))),TODAY()&lt;=INDEX(입력_파견수련계획!$AC$4:$AC$803,$AK252))),"다기관",IF($AF252="","",INDEX(입력_파견수련계획!$T$4:$T$803,$AF252))),IF($AF252="","",INDEX(입력_파견수련계획!$T$4:$T$803,$AF252))))</f>
        <v/>
      </c>
      <c r="Q252" s="10">
        <f>IF($AF252="","",INDEX(입력_파견수련계획!$S$4:$S$803,$AF252))</f>
        <v/>
      </c>
      <c r="R252" s="10">
        <f>IF($AF252="","",INDEX(입력_파견수련계획!$U$4:$U$803,$AF252))</f>
        <v/>
      </c>
      <c r="S252" s="11">
        <f>IF($AF252="","",IF(INDEX(입력_파견수련계획!$H$4:$H$803,$AF252)="","",INDEX(입력_파견수련계획!$H$4:$H$803,$AF252)))</f>
        <v/>
      </c>
      <c r="T252" s="11">
        <f>IF($AF252="","",IF(INDEX(입력_파견수련계획!$I$4:$I$803,$AF252)="","",INDEX(입력_파견수련계획!$I$4:$I$803,$AF252)))</f>
        <v/>
      </c>
      <c r="U252" s="10">
        <f>IF($AF252="","",INDEX(입력_파견수련계획!$X$4:$X$803,$AF252))</f>
        <v/>
      </c>
      <c r="V252" s="17">
        <f>IF($AF252="","",INDEX(입력_파견수련계획!$V$4:$V$803,$AF252))</f>
        <v/>
      </c>
      <c r="W252" s="17">
        <f>IF(AND($U252="파견중",$T252&lt;&gt;""),$T252-TODAY(),"")</f>
        <v/>
      </c>
      <c r="X252" s="17">
        <f>IF(OR($B252="",TRIM($J252&amp;"")=""),"",SUMPRODUCT((입력_파견수련계획!$Q$4:$Q$803=TRIM($J252&amp;""))*입력_파견수련계획!$W$4:$W$803))</f>
        <v/>
      </c>
      <c r="Y252" s="10">
        <f>IF($B252="","",IF($AG252="","",IF(IF(TRIM($J252&amp;"")="",0,SUMPRODUCT((입력_파견수련계획!$Q$4:$Q$803=TRIM($J252&amp;""))*입력_파견수련계획!$AD$4:$AD$803))&gt;0,$AE252,IF(AND(N($X252)&lt;=0,$AQ252=""),$AG252,IF($AH252+$AI252=DAY(EOMONTH(출력_요약!$B$3,0)),IF(AND($AH252&gt;=출력_요약!$E$3,$AI252&lt;출력_요약!$E$3),"서울병원",IF(AND($AI252&gt;=출력_요약!$E$3,$AH252&lt;출력_요약!$E$3),"구리병원","⚠15일 판정불가(서울 "&amp;$AH252&amp;"일/구리 "&amp;$AI252&amp;"일)")),IF($AJ252="",$AE252,IF(INDEX(입력_파견수련계획!$T$4:$T$803,$AJ252)="통합수련",INDEX(입력_파견수련계획!$S$4:$S$803,$AJ252),$AE252)))))))</f>
        <v/>
      </c>
      <c r="Z252" s="20">
        <f>IF($B252="","",IF($AB252="","기본자료에 없는 사번",IF(COUNTIF($B$2:$B$401,$B252)&gt;1,"중복 사번",IF($AE252="","소속(입사장소) 입력",IF(IF(TRIM($J252&amp;"")="",0,SUMPRODUCT((입력_파견수련계획!$Q$4:$Q$803=TRIM($J252&amp;""))*(입력_파견수련계획!$AA$4:$AA$803&lt;&gt;"")))&gt;0,"파견수련계획 입력오류 확인",IF(LEFT($Y252,1)="⚠","서울·구리 15일 판정 불가(양쪽 모두 이상/미만)",IF(IF($AC252="",0,N(INDEX(입력_인턴근무계획!$T$3:$T$402,$AC252)))&gt;0,"인턴계획 입력오류 확인",IF(AND($AQ252&lt;&gt;"",$AG252&lt;&gt;"구리병원",IF(TRIM($J252&amp;"")="",0,SUMPRODUCT((입력_파견수련계획!$Q$4:$Q$803=TRIM($J252&amp;""))*(입력_파견수련계획!$S$4:$S$803="구리병원")*입력_파견수련계획!$W$4:$W$803))=0),"구리 근무자명단에만 있음(파견수련계획 확인)",IF(AND($AC252&lt;&gt;"",$U252&lt;&gt;"파견중",$N252&lt;&gt;$AE252),"인턴 타지역 근무: 파견 여부 확인","정상")))))))))</f>
        <v/>
      </c>
      <c r="AA252" s="5" t="n"/>
      <c r="AB252" s="10">
        <f>IF($B252="","",IFERROR(MATCH($B252,입력_기본자료!$B$2:$B$1001,0),IFERROR(MATCH($B252&amp;"",입력_기본자료!$B$2:$B$1001,0),IFERROR(MATCH(VALUE($B252),입력_기본자료!$B$2:$B$1001,0),""))))</f>
        <v/>
      </c>
      <c r="AC252" s="10">
        <f>IF($B252="","",IFERROR(MATCH($B252,입력_인턴근무계획!$D$3:$D$402,0),IFERROR(MATCH($B252&amp;"",입력_인턴근무계획!$D$3:$D$402,0),IFERROR(MATCH(VALUE($B252),입력_인턴근무계획!$D$3:$D$402,0),""))))</f>
        <v/>
      </c>
      <c r="AD252" s="10">
        <f>IF(OR($AC252="",출력_인턴현황!$G$3=""),"",INDEX(입력_인턴근무계획!$M$3:$R$402,$AC252,출력_인턴현황!$G$3)&amp;"")</f>
        <v/>
      </c>
      <c r="AE252" s="10">
        <f>IF($B252="","",IF($M252&lt;&gt;"",$M252,IF(IF($AQ252="",FALSE,INDEX(출력_구리근무자!$J$6:$J$305,$AQ252)="구리독자"),"구리병원",IF($AF252&lt;&gt;"",IF(LEFT(INDEX(입력_파견수련계획!$R$4:$R$803,$AF252),1)&lt;&gt;"⚠",INDEX(입력_파견수련계획!$R$4:$R$803,$AF252),IF($H252="","",IF(RIGHT($H252,2)="병원",$H252,$H252&amp;"병원"))),IF($H252="","",IF(RIGHT($H252,2)="병원",$H252,$H252&amp;"병원"))))))</f>
        <v/>
      </c>
      <c r="AF252" s="10">
        <f>IF(OR($B252="",TRIM($J252&amp;"")=""),"",IFERROR(MATCH(TRIM($J252&amp;"")&amp;"|파견중",입력_파견수련계획!$Y$4:$Y$803,0),IFERROR(MATCH(TRIM($J252&amp;"")&amp;"|파견예정",입력_파견수련계획!$Y$4:$Y$803,0),IFERROR(MATCH(TRIM($J252&amp;"")&amp;"|파견종료",입력_파견수련계획!$Y$4:$Y$803,0),""))))</f>
        <v/>
      </c>
      <c r="AG252" s="10">
        <f>IF($B252="","",IF(AND(IF(OR($AC252="",출력_인턴현황!$K$2=""),"",INDEX(입력_인턴근무계획!$M$3:$R$402,$AC252,출력_인턴현황!$K$2)&amp;"")&lt;&gt;"",LEFT(IF(OR($AC252="",출력_인턴현황!$K$2=""),"",INDEX(입력_인턴근무계획!$M$3:$R$402,$AC252,출력_인턴현황!$K$2)&amp;""),1)&lt;&gt;"⚠"),LEFT(IF(OR($AC252="",출력_인턴현황!$K$2=""),"",INDEX(입력_인턴근무계획!$M$3:$R$402,$AC252,출력_인턴현황!$K$2)&amp;""),FIND(" ",IF(OR($AC252="",출력_인턴현황!$K$2=""),"",INDEX(입력_인턴근무계획!$M$3:$R$402,$AC252,출력_인턴현황!$K$2)&amp;""))-1),$AE252))</f>
        <v/>
      </c>
      <c r="AH252" s="17">
        <f>IF($B252="","",IF($AQ252&lt;&gt;"",MAX(0,DAY(EOMONTH(출력_요약!$B$3,0))-N($AR252)),IF(TRIM($J252&amp;"")="",0,SUMPRODUCT((입력_파견수련계획!$Q$4:$Q$803=TRIM($J252&amp;""))*(입력_파견수련계획!$S$4:$S$803="서울병원")*입력_파견수련계획!$W$4:$W$803))+IF($AG252="서울병원",MAX(0,DAY(EOMONTH(출력_요약!$B$3,0))-N($X252)),0)))</f>
        <v/>
      </c>
      <c r="AI252" s="17">
        <f>IF($B252="","",IF($AQ252&lt;&gt;"",N($AR252),IF(TRIM($J252&amp;"")="",0,SUMPRODUCT((입력_파견수련계획!$Q$4:$Q$803=TRIM($J252&amp;""))*(입력_파견수련계획!$S$4:$S$803="구리병원")*입력_파견수련계획!$W$4:$W$803))+IF($AG252="구리병원",MAX(0,DAY(EOMONTH(출력_요약!$B$3,0))-N($X252)),0)))</f>
        <v/>
      </c>
      <c r="AJ252" s="10">
        <f>IF(OR($B252="",TRIM($J252&amp;"")=""),"",IFERROR(MATCH(TRIM($J252&amp;"")&amp;"|월",입력_파견수련계획!$Z$4:$Z$803,0),""))</f>
        <v/>
      </c>
      <c r="AK252" s="10">
        <f>IF(OR($B252="",TRIM($J252&amp;"")=""),"",IFERROR(MATCH(TRIM($J252&amp;"")&amp;"|다기관",입력_파견수련계획!$AE$4:$AE$803,0),""))</f>
        <v/>
      </c>
      <c r="AL252" s="10">
        <f>IF($AK252="","","다기관 "&amp;TEXT(INDEX(입력_파견수련계획!$AB$4:$AB$803,$AK252),"yyyy-mm-dd")&amp;"~"&amp;IF(ISNUMBER(INDEX(입력_파견수련계획!$AC$4:$AC$803,$AK252)),TEXT(INDEX(입력_파견수련계획!$AC$4:$AC$803,$AK252),"yyyy-mm-dd"),""))</f>
        <v/>
      </c>
      <c r="AM252" s="10">
        <f>IF($Y252="서울병원",COUNTIF($Y$2:$Y252,"서울병원"),"")</f>
        <v/>
      </c>
      <c r="AN252" s="10">
        <f>IF(LEFT($Y252,1)="⚠",COUNTIF($Y$2:$Y252,"⚠*"),"")</f>
        <v/>
      </c>
      <c r="AO252" s="10">
        <f>IF(OR($B252="",$Y252=""),"",IF(IF(TRIM($J252&amp;"")="",0,SUMPRODUCT((입력_파견수련계획!$Q$4:$Q$803=TRIM($J252&amp;""))*입력_파견수련계획!$AD$4:$AD$803))&gt;0,"다기관 기간 → 소속병원 지급",IF(AND(N($X252)&lt;=0,$AQ252=""),"파견 없음 → 그 달 근무병원 지급",IF($AH252+$AI252=DAY(EOMONTH(출력_요약!$B$3,0)),"서울 "&amp;$AH252&amp;"일 / 구리 "&amp;$AI252&amp;"일"&amp;IF($AQ252&lt;&gt;""," (구리 근무자명단 반영)","")&amp;" → 15일 이상 근무 병원 지급","타 병원 포함 → "&amp;IF($AJ252="","소속",INDEX(입력_파견수련계획!$T$4:$T$803,$AJ252))&amp;" 규칙"))))</f>
        <v/>
      </c>
      <c r="AP252" s="10">
        <f>IF($B252="","",$C252&amp;"|"&amp;$F252)</f>
        <v/>
      </c>
      <c r="AQ252" s="10">
        <f>IF($B252="","",IFERROR(MATCH(ROW()-1,출력_구리근무자!$K$6:$K$305,0),""))</f>
        <v/>
      </c>
      <c r="AR252" s="10">
        <f>IF($AQ252="","",INDEX(출력_구리근무자!$H$6:$H$305,$AQ252))</f>
        <v/>
      </c>
    </row>
    <row r="253">
      <c r="A253" s="10">
        <f>IF(B253="","",ROW()-1)</f>
        <v/>
      </c>
      <c r="B253" s="19" t="n"/>
      <c r="C253" s="10">
        <f>IF($AB253="","",IF(INDEX(입력_기본자료!$C$2:$C$1001,$AB253)="","",INDEX(입력_기본자료!$C$2:$C$1001,$AB253)))</f>
        <v/>
      </c>
      <c r="D253" s="10">
        <f>IF($AB253="","",IF(INDEX(입력_기본자료!$J$2:$J$1001,$AB253)="","",INDEX(입력_기본자료!$J$2:$J$1001,$AB253)))</f>
        <v/>
      </c>
      <c r="E253" s="11">
        <f>IF($AB253="","",IF(INDEX(입력_기본자료!$K$2:$K$1001,$AB253)="","",IF(NOT(ISNUMBER(INDEX(입력_기본자료!$K$2:$K$1001,$AB253))),INDEX(입력_기본자료!$K$2:$K$1001,$AB253),IF(INDEX(입력_기본자료!$K$2:$K$1001,$AB253)&lt;1000000,INDEX(입력_기본자료!$K$2:$K$1001,$AB253),IF(AND(INDEX(입력_기본자료!$K$2:$K$1001,$AB253)&gt;=10000101,INT(MOD(INDEX(입력_기본자료!$K$2:$K$1001,$AB253),10000)/100)&gt;=1,INT(MOD(INDEX(입력_기본자료!$K$2:$K$1001,$AB253),10000)/100)&lt;=12,MOD(INDEX(입력_기본자료!$K$2:$K$1001,$AB253),100)&gt;=1,MOD(INDEX(입력_기본자료!$K$2:$K$1001,$AB253),100)&lt;=31),DATE(INT(INDEX(입력_기본자료!$K$2:$K$1001,$AB253)/10000),INT(MOD(INDEX(입력_기본자료!$K$2:$K$1001,$AB253),10000)/100),MOD(INDEX(입력_기본자료!$K$2:$K$1001,$AB253),100)),INDEX(입력_기본자료!$K$2:$K$1001,$AB253)&amp;"")))))</f>
        <v/>
      </c>
      <c r="F253" s="10">
        <f>IF($AB253="","",IF(INDEX(입력_기본자료!$D$2:$D$1001,$AB253)="","",INDEX(입력_기본자료!$D$2:$D$1001,$AB253)))</f>
        <v/>
      </c>
      <c r="G253" s="10">
        <f>IF($AB253="","",IF(INDEX(입력_기본자료!$E$2:$E$1001,$AB253)="","",INDEX(입력_기본자료!$E$2:$E$1001,$AB253)))</f>
        <v/>
      </c>
      <c r="H253" s="10">
        <f>IF($AB253="","",IF(INDEX(입력_기본자료!$F$2:$F$1001,$AB253)="","",INDEX(입력_기본자료!$F$2:$F$1001,$AB253)))</f>
        <v/>
      </c>
      <c r="I253" s="11">
        <f>IF($AB253="","",IF(INDEX(입력_기본자료!$G$2:$G$1001,$AB253)="","",IF(NOT(ISNUMBER(INDEX(입력_기본자료!$G$2:$G$1001,$AB253))),INDEX(입력_기본자료!$G$2:$G$1001,$AB253),IF(INDEX(입력_기본자료!$G$2:$G$1001,$AB253)&lt;1000000,INDEX(입력_기본자료!$G$2:$G$1001,$AB253),IF(AND(INDEX(입력_기본자료!$G$2:$G$1001,$AB253)&gt;=10000101,INT(MOD(INDEX(입력_기본자료!$G$2:$G$1001,$AB253),10000)/100)&gt;=1,INT(MOD(INDEX(입력_기본자료!$G$2:$G$1001,$AB253),10000)/100)&lt;=12,MOD(INDEX(입력_기본자료!$G$2:$G$1001,$AB253),100)&gt;=1,MOD(INDEX(입력_기본자료!$G$2:$G$1001,$AB253),100)&lt;=31),DATE(INT(INDEX(입력_기본자료!$G$2:$G$1001,$AB253)/10000),INT(MOD(INDEX(입력_기본자료!$G$2:$G$1001,$AB253),10000)/100),MOD(INDEX(입력_기본자료!$G$2:$G$1001,$AB253),100)),INDEX(입력_기본자료!$G$2:$G$1001,$AB253)&amp;"")))))</f>
        <v/>
      </c>
      <c r="J253" s="10">
        <f>IF($AB253="","",IF(INDEX(입력_기본자료!$H$2:$H$1001,$AB253)="","",INDEX(입력_기본자료!$H$2:$H$1001,$AB253)))</f>
        <v/>
      </c>
      <c r="K253" s="10">
        <f>IF($AB253="","",IF(INDEX(입력_기본자료!$I$2:$I$1001,$AB253)="","",INDEX(입력_기본자료!$I$2:$I$1001,$AB253)))</f>
        <v/>
      </c>
      <c r="L253" s="10">
        <f>IF($AB253="","",IF(INDEX(입력_기본자료!$A$2:$A$1001,$AB253)="","",INDEX(입력_기본자료!$A$2:$A$1001,$AB253)))</f>
        <v/>
      </c>
      <c r="M253" s="15" t="n"/>
      <c r="N253" s="10">
        <f>IF($B253="","",IF(AND($U253="파견중",$Q253&lt;&gt;""),$Q253,IF(AND($AD253&lt;&gt;"",LEFT($AD253,1)&lt;&gt;"⚠"),LEFT($AD253,FIND(" ",$AD253)-1),IF($H253="","",IF(RIGHT($H253,2)="병원",$H253,$H253&amp;"병원")))))</f>
        <v/>
      </c>
      <c r="O253" s="10">
        <f>IF($B253="","",IF(AND($U253="파견중",$Q253&lt;&gt;""),IF($R253&lt;&gt;"",$R253,"파견과 미입력"),IF(AND($AD253&lt;&gt;"",LEFT($AD253,1)&lt;&gt;"⚠"),MID($AD253,FIND(" ",$AD253)+1,60),IF($F253="","",IF($F253="인턴","수련교육부(인턴)",$F253)))))</f>
        <v/>
      </c>
      <c r="P253" s="10">
        <f>IF($B253="","",IF($AK253&lt;&gt;"",IF(AND(TODAY()&gt;=INDEX(입력_파견수련계획!$AB$4:$AB$803,$AK253),OR(NOT(ISNUMBER(INDEX(입력_파견수련계획!$AC$4:$AC$803,$AK253))),TODAY()&lt;=INDEX(입력_파견수련계획!$AC$4:$AC$803,$AK253))),"다기관",IF($AF253="","",INDEX(입력_파견수련계획!$T$4:$T$803,$AF253))),IF($AF253="","",INDEX(입력_파견수련계획!$T$4:$T$803,$AF253))))</f>
        <v/>
      </c>
      <c r="Q253" s="10">
        <f>IF($AF253="","",INDEX(입력_파견수련계획!$S$4:$S$803,$AF253))</f>
        <v/>
      </c>
      <c r="R253" s="10">
        <f>IF($AF253="","",INDEX(입력_파견수련계획!$U$4:$U$803,$AF253))</f>
        <v/>
      </c>
      <c r="S253" s="11">
        <f>IF($AF253="","",IF(INDEX(입력_파견수련계획!$H$4:$H$803,$AF253)="","",INDEX(입력_파견수련계획!$H$4:$H$803,$AF253)))</f>
        <v/>
      </c>
      <c r="T253" s="11">
        <f>IF($AF253="","",IF(INDEX(입력_파견수련계획!$I$4:$I$803,$AF253)="","",INDEX(입력_파견수련계획!$I$4:$I$803,$AF253)))</f>
        <v/>
      </c>
      <c r="U253" s="10">
        <f>IF($AF253="","",INDEX(입력_파견수련계획!$X$4:$X$803,$AF253))</f>
        <v/>
      </c>
      <c r="V253" s="17">
        <f>IF($AF253="","",INDEX(입력_파견수련계획!$V$4:$V$803,$AF253))</f>
        <v/>
      </c>
      <c r="W253" s="17">
        <f>IF(AND($U253="파견중",$T253&lt;&gt;""),$T253-TODAY(),"")</f>
        <v/>
      </c>
      <c r="X253" s="17">
        <f>IF(OR($B253="",TRIM($J253&amp;"")=""),"",SUMPRODUCT((입력_파견수련계획!$Q$4:$Q$803=TRIM($J253&amp;""))*입력_파견수련계획!$W$4:$W$803))</f>
        <v/>
      </c>
      <c r="Y253" s="10">
        <f>IF($B253="","",IF($AG253="","",IF(IF(TRIM($J253&amp;"")="",0,SUMPRODUCT((입력_파견수련계획!$Q$4:$Q$803=TRIM($J253&amp;""))*입력_파견수련계획!$AD$4:$AD$803))&gt;0,$AE253,IF(AND(N($X253)&lt;=0,$AQ253=""),$AG253,IF($AH253+$AI253=DAY(EOMONTH(출력_요약!$B$3,0)),IF(AND($AH253&gt;=출력_요약!$E$3,$AI253&lt;출력_요약!$E$3),"서울병원",IF(AND($AI253&gt;=출력_요약!$E$3,$AH253&lt;출력_요약!$E$3),"구리병원","⚠15일 판정불가(서울 "&amp;$AH253&amp;"일/구리 "&amp;$AI253&amp;"일)")),IF($AJ253="",$AE253,IF(INDEX(입력_파견수련계획!$T$4:$T$803,$AJ253)="통합수련",INDEX(입력_파견수련계획!$S$4:$S$803,$AJ253),$AE253)))))))</f>
        <v/>
      </c>
      <c r="Z253" s="20">
        <f>IF($B253="","",IF($AB253="","기본자료에 없는 사번",IF(COUNTIF($B$2:$B$401,$B253)&gt;1,"중복 사번",IF($AE253="","소속(입사장소) 입력",IF(IF(TRIM($J253&amp;"")="",0,SUMPRODUCT((입력_파견수련계획!$Q$4:$Q$803=TRIM($J253&amp;""))*(입력_파견수련계획!$AA$4:$AA$803&lt;&gt;"")))&gt;0,"파견수련계획 입력오류 확인",IF(LEFT($Y253,1)="⚠","서울·구리 15일 판정 불가(양쪽 모두 이상/미만)",IF(IF($AC253="",0,N(INDEX(입력_인턴근무계획!$T$3:$T$402,$AC253)))&gt;0,"인턴계획 입력오류 확인",IF(AND($AQ253&lt;&gt;"",$AG253&lt;&gt;"구리병원",IF(TRIM($J253&amp;"")="",0,SUMPRODUCT((입력_파견수련계획!$Q$4:$Q$803=TRIM($J253&amp;""))*(입력_파견수련계획!$S$4:$S$803="구리병원")*입력_파견수련계획!$W$4:$W$803))=0),"구리 근무자명단에만 있음(파견수련계획 확인)",IF(AND($AC253&lt;&gt;"",$U253&lt;&gt;"파견중",$N253&lt;&gt;$AE253),"인턴 타지역 근무: 파견 여부 확인","정상")))))))))</f>
        <v/>
      </c>
      <c r="AA253" s="5" t="n"/>
      <c r="AB253" s="10">
        <f>IF($B253="","",IFERROR(MATCH($B253,입력_기본자료!$B$2:$B$1001,0),IFERROR(MATCH($B253&amp;"",입력_기본자료!$B$2:$B$1001,0),IFERROR(MATCH(VALUE($B253),입력_기본자료!$B$2:$B$1001,0),""))))</f>
        <v/>
      </c>
      <c r="AC253" s="10">
        <f>IF($B253="","",IFERROR(MATCH($B253,입력_인턴근무계획!$D$3:$D$402,0),IFERROR(MATCH($B253&amp;"",입력_인턴근무계획!$D$3:$D$402,0),IFERROR(MATCH(VALUE($B253),입력_인턴근무계획!$D$3:$D$402,0),""))))</f>
        <v/>
      </c>
      <c r="AD253" s="10">
        <f>IF(OR($AC253="",출력_인턴현황!$G$3=""),"",INDEX(입력_인턴근무계획!$M$3:$R$402,$AC253,출력_인턴현황!$G$3)&amp;"")</f>
        <v/>
      </c>
      <c r="AE253" s="10">
        <f>IF($B253="","",IF($M253&lt;&gt;"",$M253,IF(IF($AQ253="",FALSE,INDEX(출력_구리근무자!$J$6:$J$305,$AQ253)="구리독자"),"구리병원",IF($AF253&lt;&gt;"",IF(LEFT(INDEX(입력_파견수련계획!$R$4:$R$803,$AF253),1)&lt;&gt;"⚠",INDEX(입력_파견수련계획!$R$4:$R$803,$AF253),IF($H253="","",IF(RIGHT($H253,2)="병원",$H253,$H253&amp;"병원"))),IF($H253="","",IF(RIGHT($H253,2)="병원",$H253,$H253&amp;"병원"))))))</f>
        <v/>
      </c>
      <c r="AF253" s="10">
        <f>IF(OR($B253="",TRIM($J253&amp;"")=""),"",IFERROR(MATCH(TRIM($J253&amp;"")&amp;"|파견중",입력_파견수련계획!$Y$4:$Y$803,0),IFERROR(MATCH(TRIM($J253&amp;"")&amp;"|파견예정",입력_파견수련계획!$Y$4:$Y$803,0),IFERROR(MATCH(TRIM($J253&amp;"")&amp;"|파견종료",입력_파견수련계획!$Y$4:$Y$803,0),""))))</f>
        <v/>
      </c>
      <c r="AG253" s="10">
        <f>IF($B253="","",IF(AND(IF(OR($AC253="",출력_인턴현황!$K$2=""),"",INDEX(입력_인턴근무계획!$M$3:$R$402,$AC253,출력_인턴현황!$K$2)&amp;"")&lt;&gt;"",LEFT(IF(OR($AC253="",출력_인턴현황!$K$2=""),"",INDEX(입력_인턴근무계획!$M$3:$R$402,$AC253,출력_인턴현황!$K$2)&amp;""),1)&lt;&gt;"⚠"),LEFT(IF(OR($AC253="",출력_인턴현황!$K$2=""),"",INDEX(입력_인턴근무계획!$M$3:$R$402,$AC253,출력_인턴현황!$K$2)&amp;""),FIND(" ",IF(OR($AC253="",출력_인턴현황!$K$2=""),"",INDEX(입력_인턴근무계획!$M$3:$R$402,$AC253,출력_인턴현황!$K$2)&amp;""))-1),$AE253))</f>
        <v/>
      </c>
      <c r="AH253" s="17">
        <f>IF($B253="","",IF($AQ253&lt;&gt;"",MAX(0,DAY(EOMONTH(출력_요약!$B$3,0))-N($AR253)),IF(TRIM($J253&amp;"")="",0,SUMPRODUCT((입력_파견수련계획!$Q$4:$Q$803=TRIM($J253&amp;""))*(입력_파견수련계획!$S$4:$S$803="서울병원")*입력_파견수련계획!$W$4:$W$803))+IF($AG253="서울병원",MAX(0,DAY(EOMONTH(출력_요약!$B$3,0))-N($X253)),0)))</f>
        <v/>
      </c>
      <c r="AI253" s="17">
        <f>IF($B253="","",IF($AQ253&lt;&gt;"",N($AR253),IF(TRIM($J253&amp;"")="",0,SUMPRODUCT((입력_파견수련계획!$Q$4:$Q$803=TRIM($J253&amp;""))*(입력_파견수련계획!$S$4:$S$803="구리병원")*입력_파견수련계획!$W$4:$W$803))+IF($AG253="구리병원",MAX(0,DAY(EOMONTH(출력_요약!$B$3,0))-N($X253)),0)))</f>
        <v/>
      </c>
      <c r="AJ253" s="10">
        <f>IF(OR($B253="",TRIM($J253&amp;"")=""),"",IFERROR(MATCH(TRIM($J253&amp;"")&amp;"|월",입력_파견수련계획!$Z$4:$Z$803,0),""))</f>
        <v/>
      </c>
      <c r="AK253" s="10">
        <f>IF(OR($B253="",TRIM($J253&amp;"")=""),"",IFERROR(MATCH(TRIM($J253&amp;"")&amp;"|다기관",입력_파견수련계획!$AE$4:$AE$803,0),""))</f>
        <v/>
      </c>
      <c r="AL253" s="10">
        <f>IF($AK253="","","다기관 "&amp;TEXT(INDEX(입력_파견수련계획!$AB$4:$AB$803,$AK253),"yyyy-mm-dd")&amp;"~"&amp;IF(ISNUMBER(INDEX(입력_파견수련계획!$AC$4:$AC$803,$AK253)),TEXT(INDEX(입력_파견수련계획!$AC$4:$AC$803,$AK253),"yyyy-mm-dd"),""))</f>
        <v/>
      </c>
      <c r="AM253" s="10">
        <f>IF($Y253="서울병원",COUNTIF($Y$2:$Y253,"서울병원"),"")</f>
        <v/>
      </c>
      <c r="AN253" s="10">
        <f>IF(LEFT($Y253,1)="⚠",COUNTIF($Y$2:$Y253,"⚠*"),"")</f>
        <v/>
      </c>
      <c r="AO253" s="10">
        <f>IF(OR($B253="",$Y253=""),"",IF(IF(TRIM($J253&amp;"")="",0,SUMPRODUCT((입력_파견수련계획!$Q$4:$Q$803=TRIM($J253&amp;""))*입력_파견수련계획!$AD$4:$AD$803))&gt;0,"다기관 기간 → 소속병원 지급",IF(AND(N($X253)&lt;=0,$AQ253=""),"파견 없음 → 그 달 근무병원 지급",IF($AH253+$AI253=DAY(EOMONTH(출력_요약!$B$3,0)),"서울 "&amp;$AH253&amp;"일 / 구리 "&amp;$AI253&amp;"일"&amp;IF($AQ253&lt;&gt;""," (구리 근무자명단 반영)","")&amp;" → 15일 이상 근무 병원 지급","타 병원 포함 → "&amp;IF($AJ253="","소속",INDEX(입력_파견수련계획!$T$4:$T$803,$AJ253))&amp;" 규칙"))))</f>
        <v/>
      </c>
      <c r="AP253" s="10">
        <f>IF($B253="","",$C253&amp;"|"&amp;$F253)</f>
        <v/>
      </c>
      <c r="AQ253" s="10">
        <f>IF($B253="","",IFERROR(MATCH(ROW()-1,출력_구리근무자!$K$6:$K$305,0),""))</f>
        <v/>
      </c>
      <c r="AR253" s="10">
        <f>IF($AQ253="","",INDEX(출력_구리근무자!$H$6:$H$305,$AQ253))</f>
        <v/>
      </c>
    </row>
    <row r="254">
      <c r="A254" s="10">
        <f>IF(B254="","",ROW()-1)</f>
        <v/>
      </c>
      <c r="B254" s="19" t="n"/>
      <c r="C254" s="10">
        <f>IF($AB254="","",IF(INDEX(입력_기본자료!$C$2:$C$1001,$AB254)="","",INDEX(입력_기본자료!$C$2:$C$1001,$AB254)))</f>
        <v/>
      </c>
      <c r="D254" s="10">
        <f>IF($AB254="","",IF(INDEX(입력_기본자료!$J$2:$J$1001,$AB254)="","",INDEX(입력_기본자료!$J$2:$J$1001,$AB254)))</f>
        <v/>
      </c>
      <c r="E254" s="11">
        <f>IF($AB254="","",IF(INDEX(입력_기본자료!$K$2:$K$1001,$AB254)="","",IF(NOT(ISNUMBER(INDEX(입력_기본자료!$K$2:$K$1001,$AB254))),INDEX(입력_기본자료!$K$2:$K$1001,$AB254),IF(INDEX(입력_기본자료!$K$2:$K$1001,$AB254)&lt;1000000,INDEX(입력_기본자료!$K$2:$K$1001,$AB254),IF(AND(INDEX(입력_기본자료!$K$2:$K$1001,$AB254)&gt;=10000101,INT(MOD(INDEX(입력_기본자료!$K$2:$K$1001,$AB254),10000)/100)&gt;=1,INT(MOD(INDEX(입력_기본자료!$K$2:$K$1001,$AB254),10000)/100)&lt;=12,MOD(INDEX(입력_기본자료!$K$2:$K$1001,$AB254),100)&gt;=1,MOD(INDEX(입력_기본자료!$K$2:$K$1001,$AB254),100)&lt;=31),DATE(INT(INDEX(입력_기본자료!$K$2:$K$1001,$AB254)/10000),INT(MOD(INDEX(입력_기본자료!$K$2:$K$1001,$AB254),10000)/100),MOD(INDEX(입력_기본자료!$K$2:$K$1001,$AB254),100)),INDEX(입력_기본자료!$K$2:$K$1001,$AB254)&amp;"")))))</f>
        <v/>
      </c>
      <c r="F254" s="10">
        <f>IF($AB254="","",IF(INDEX(입력_기본자료!$D$2:$D$1001,$AB254)="","",INDEX(입력_기본자료!$D$2:$D$1001,$AB254)))</f>
        <v/>
      </c>
      <c r="G254" s="10">
        <f>IF($AB254="","",IF(INDEX(입력_기본자료!$E$2:$E$1001,$AB254)="","",INDEX(입력_기본자료!$E$2:$E$1001,$AB254)))</f>
        <v/>
      </c>
      <c r="H254" s="10">
        <f>IF($AB254="","",IF(INDEX(입력_기본자료!$F$2:$F$1001,$AB254)="","",INDEX(입력_기본자료!$F$2:$F$1001,$AB254)))</f>
        <v/>
      </c>
      <c r="I254" s="11">
        <f>IF($AB254="","",IF(INDEX(입력_기본자료!$G$2:$G$1001,$AB254)="","",IF(NOT(ISNUMBER(INDEX(입력_기본자료!$G$2:$G$1001,$AB254))),INDEX(입력_기본자료!$G$2:$G$1001,$AB254),IF(INDEX(입력_기본자료!$G$2:$G$1001,$AB254)&lt;1000000,INDEX(입력_기본자료!$G$2:$G$1001,$AB254),IF(AND(INDEX(입력_기본자료!$G$2:$G$1001,$AB254)&gt;=10000101,INT(MOD(INDEX(입력_기본자료!$G$2:$G$1001,$AB254),10000)/100)&gt;=1,INT(MOD(INDEX(입력_기본자료!$G$2:$G$1001,$AB254),10000)/100)&lt;=12,MOD(INDEX(입력_기본자료!$G$2:$G$1001,$AB254),100)&gt;=1,MOD(INDEX(입력_기본자료!$G$2:$G$1001,$AB254),100)&lt;=31),DATE(INT(INDEX(입력_기본자료!$G$2:$G$1001,$AB254)/10000),INT(MOD(INDEX(입력_기본자료!$G$2:$G$1001,$AB254),10000)/100),MOD(INDEX(입력_기본자료!$G$2:$G$1001,$AB254),100)),INDEX(입력_기본자료!$G$2:$G$1001,$AB254)&amp;"")))))</f>
        <v/>
      </c>
      <c r="J254" s="10">
        <f>IF($AB254="","",IF(INDEX(입력_기본자료!$H$2:$H$1001,$AB254)="","",INDEX(입력_기본자료!$H$2:$H$1001,$AB254)))</f>
        <v/>
      </c>
      <c r="K254" s="10">
        <f>IF($AB254="","",IF(INDEX(입력_기본자료!$I$2:$I$1001,$AB254)="","",INDEX(입력_기본자료!$I$2:$I$1001,$AB254)))</f>
        <v/>
      </c>
      <c r="L254" s="10">
        <f>IF($AB254="","",IF(INDEX(입력_기본자료!$A$2:$A$1001,$AB254)="","",INDEX(입력_기본자료!$A$2:$A$1001,$AB254)))</f>
        <v/>
      </c>
      <c r="M254" s="15" t="n"/>
      <c r="N254" s="10">
        <f>IF($B254="","",IF(AND($U254="파견중",$Q254&lt;&gt;""),$Q254,IF(AND($AD254&lt;&gt;"",LEFT($AD254,1)&lt;&gt;"⚠"),LEFT($AD254,FIND(" ",$AD254)-1),IF($H254="","",IF(RIGHT($H254,2)="병원",$H254,$H254&amp;"병원")))))</f>
        <v/>
      </c>
      <c r="O254" s="10">
        <f>IF($B254="","",IF(AND($U254="파견중",$Q254&lt;&gt;""),IF($R254&lt;&gt;"",$R254,"파견과 미입력"),IF(AND($AD254&lt;&gt;"",LEFT($AD254,1)&lt;&gt;"⚠"),MID($AD254,FIND(" ",$AD254)+1,60),IF($F254="","",IF($F254="인턴","수련교육부(인턴)",$F254)))))</f>
        <v/>
      </c>
      <c r="P254" s="10">
        <f>IF($B254="","",IF($AK254&lt;&gt;"",IF(AND(TODAY()&gt;=INDEX(입력_파견수련계획!$AB$4:$AB$803,$AK254),OR(NOT(ISNUMBER(INDEX(입력_파견수련계획!$AC$4:$AC$803,$AK254))),TODAY()&lt;=INDEX(입력_파견수련계획!$AC$4:$AC$803,$AK254))),"다기관",IF($AF254="","",INDEX(입력_파견수련계획!$T$4:$T$803,$AF254))),IF($AF254="","",INDEX(입력_파견수련계획!$T$4:$T$803,$AF254))))</f>
        <v/>
      </c>
      <c r="Q254" s="10">
        <f>IF($AF254="","",INDEX(입력_파견수련계획!$S$4:$S$803,$AF254))</f>
        <v/>
      </c>
      <c r="R254" s="10">
        <f>IF($AF254="","",INDEX(입력_파견수련계획!$U$4:$U$803,$AF254))</f>
        <v/>
      </c>
      <c r="S254" s="11">
        <f>IF($AF254="","",IF(INDEX(입력_파견수련계획!$H$4:$H$803,$AF254)="","",INDEX(입력_파견수련계획!$H$4:$H$803,$AF254)))</f>
        <v/>
      </c>
      <c r="T254" s="11">
        <f>IF($AF254="","",IF(INDEX(입력_파견수련계획!$I$4:$I$803,$AF254)="","",INDEX(입력_파견수련계획!$I$4:$I$803,$AF254)))</f>
        <v/>
      </c>
      <c r="U254" s="10">
        <f>IF($AF254="","",INDEX(입력_파견수련계획!$X$4:$X$803,$AF254))</f>
        <v/>
      </c>
      <c r="V254" s="17">
        <f>IF($AF254="","",INDEX(입력_파견수련계획!$V$4:$V$803,$AF254))</f>
        <v/>
      </c>
      <c r="W254" s="17">
        <f>IF(AND($U254="파견중",$T254&lt;&gt;""),$T254-TODAY(),"")</f>
        <v/>
      </c>
      <c r="X254" s="17">
        <f>IF(OR($B254="",TRIM($J254&amp;"")=""),"",SUMPRODUCT((입력_파견수련계획!$Q$4:$Q$803=TRIM($J254&amp;""))*입력_파견수련계획!$W$4:$W$803))</f>
        <v/>
      </c>
      <c r="Y254" s="10">
        <f>IF($B254="","",IF($AG254="","",IF(IF(TRIM($J254&amp;"")="",0,SUMPRODUCT((입력_파견수련계획!$Q$4:$Q$803=TRIM($J254&amp;""))*입력_파견수련계획!$AD$4:$AD$803))&gt;0,$AE254,IF(AND(N($X254)&lt;=0,$AQ254=""),$AG254,IF($AH254+$AI254=DAY(EOMONTH(출력_요약!$B$3,0)),IF(AND($AH254&gt;=출력_요약!$E$3,$AI254&lt;출력_요약!$E$3),"서울병원",IF(AND($AI254&gt;=출력_요약!$E$3,$AH254&lt;출력_요약!$E$3),"구리병원","⚠15일 판정불가(서울 "&amp;$AH254&amp;"일/구리 "&amp;$AI254&amp;"일)")),IF($AJ254="",$AE254,IF(INDEX(입력_파견수련계획!$T$4:$T$803,$AJ254)="통합수련",INDEX(입력_파견수련계획!$S$4:$S$803,$AJ254),$AE254)))))))</f>
        <v/>
      </c>
      <c r="Z254" s="20">
        <f>IF($B254="","",IF($AB254="","기본자료에 없는 사번",IF(COUNTIF($B$2:$B$401,$B254)&gt;1,"중복 사번",IF($AE254="","소속(입사장소) 입력",IF(IF(TRIM($J254&amp;"")="",0,SUMPRODUCT((입력_파견수련계획!$Q$4:$Q$803=TRIM($J254&amp;""))*(입력_파견수련계획!$AA$4:$AA$803&lt;&gt;"")))&gt;0,"파견수련계획 입력오류 확인",IF(LEFT($Y254,1)="⚠","서울·구리 15일 판정 불가(양쪽 모두 이상/미만)",IF(IF($AC254="",0,N(INDEX(입력_인턴근무계획!$T$3:$T$402,$AC254)))&gt;0,"인턴계획 입력오류 확인",IF(AND($AQ254&lt;&gt;"",$AG254&lt;&gt;"구리병원",IF(TRIM($J254&amp;"")="",0,SUMPRODUCT((입력_파견수련계획!$Q$4:$Q$803=TRIM($J254&amp;""))*(입력_파견수련계획!$S$4:$S$803="구리병원")*입력_파견수련계획!$W$4:$W$803))=0),"구리 근무자명단에만 있음(파견수련계획 확인)",IF(AND($AC254&lt;&gt;"",$U254&lt;&gt;"파견중",$N254&lt;&gt;$AE254),"인턴 타지역 근무: 파견 여부 확인","정상")))))))))</f>
        <v/>
      </c>
      <c r="AA254" s="5" t="n"/>
      <c r="AB254" s="10">
        <f>IF($B254="","",IFERROR(MATCH($B254,입력_기본자료!$B$2:$B$1001,0),IFERROR(MATCH($B254&amp;"",입력_기본자료!$B$2:$B$1001,0),IFERROR(MATCH(VALUE($B254),입력_기본자료!$B$2:$B$1001,0),""))))</f>
        <v/>
      </c>
      <c r="AC254" s="10">
        <f>IF($B254="","",IFERROR(MATCH($B254,입력_인턴근무계획!$D$3:$D$402,0),IFERROR(MATCH($B254&amp;"",입력_인턴근무계획!$D$3:$D$402,0),IFERROR(MATCH(VALUE($B254),입력_인턴근무계획!$D$3:$D$402,0),""))))</f>
        <v/>
      </c>
      <c r="AD254" s="10">
        <f>IF(OR($AC254="",출력_인턴현황!$G$3=""),"",INDEX(입력_인턴근무계획!$M$3:$R$402,$AC254,출력_인턴현황!$G$3)&amp;"")</f>
        <v/>
      </c>
      <c r="AE254" s="10">
        <f>IF($B254="","",IF($M254&lt;&gt;"",$M254,IF(IF($AQ254="",FALSE,INDEX(출력_구리근무자!$J$6:$J$305,$AQ254)="구리독자"),"구리병원",IF($AF254&lt;&gt;"",IF(LEFT(INDEX(입력_파견수련계획!$R$4:$R$803,$AF254),1)&lt;&gt;"⚠",INDEX(입력_파견수련계획!$R$4:$R$803,$AF254),IF($H254="","",IF(RIGHT($H254,2)="병원",$H254,$H254&amp;"병원"))),IF($H254="","",IF(RIGHT($H254,2)="병원",$H254,$H254&amp;"병원"))))))</f>
        <v/>
      </c>
      <c r="AF254" s="10">
        <f>IF(OR($B254="",TRIM($J254&amp;"")=""),"",IFERROR(MATCH(TRIM($J254&amp;"")&amp;"|파견중",입력_파견수련계획!$Y$4:$Y$803,0),IFERROR(MATCH(TRIM($J254&amp;"")&amp;"|파견예정",입력_파견수련계획!$Y$4:$Y$803,0),IFERROR(MATCH(TRIM($J254&amp;"")&amp;"|파견종료",입력_파견수련계획!$Y$4:$Y$803,0),""))))</f>
        <v/>
      </c>
      <c r="AG254" s="10">
        <f>IF($B254="","",IF(AND(IF(OR($AC254="",출력_인턴현황!$K$2=""),"",INDEX(입력_인턴근무계획!$M$3:$R$402,$AC254,출력_인턴현황!$K$2)&amp;"")&lt;&gt;"",LEFT(IF(OR($AC254="",출력_인턴현황!$K$2=""),"",INDEX(입력_인턴근무계획!$M$3:$R$402,$AC254,출력_인턴현황!$K$2)&amp;""),1)&lt;&gt;"⚠"),LEFT(IF(OR($AC254="",출력_인턴현황!$K$2=""),"",INDEX(입력_인턴근무계획!$M$3:$R$402,$AC254,출력_인턴현황!$K$2)&amp;""),FIND(" ",IF(OR($AC254="",출력_인턴현황!$K$2=""),"",INDEX(입력_인턴근무계획!$M$3:$R$402,$AC254,출력_인턴현황!$K$2)&amp;""))-1),$AE254))</f>
        <v/>
      </c>
      <c r="AH254" s="17">
        <f>IF($B254="","",IF($AQ254&lt;&gt;"",MAX(0,DAY(EOMONTH(출력_요약!$B$3,0))-N($AR254)),IF(TRIM($J254&amp;"")="",0,SUMPRODUCT((입력_파견수련계획!$Q$4:$Q$803=TRIM($J254&amp;""))*(입력_파견수련계획!$S$4:$S$803="서울병원")*입력_파견수련계획!$W$4:$W$803))+IF($AG254="서울병원",MAX(0,DAY(EOMONTH(출력_요약!$B$3,0))-N($X254)),0)))</f>
        <v/>
      </c>
      <c r="AI254" s="17">
        <f>IF($B254="","",IF($AQ254&lt;&gt;"",N($AR254),IF(TRIM($J254&amp;"")="",0,SUMPRODUCT((입력_파견수련계획!$Q$4:$Q$803=TRIM($J254&amp;""))*(입력_파견수련계획!$S$4:$S$803="구리병원")*입력_파견수련계획!$W$4:$W$803))+IF($AG254="구리병원",MAX(0,DAY(EOMONTH(출력_요약!$B$3,0))-N($X254)),0)))</f>
        <v/>
      </c>
      <c r="AJ254" s="10">
        <f>IF(OR($B254="",TRIM($J254&amp;"")=""),"",IFERROR(MATCH(TRIM($J254&amp;"")&amp;"|월",입력_파견수련계획!$Z$4:$Z$803,0),""))</f>
        <v/>
      </c>
      <c r="AK254" s="10">
        <f>IF(OR($B254="",TRIM($J254&amp;"")=""),"",IFERROR(MATCH(TRIM($J254&amp;"")&amp;"|다기관",입력_파견수련계획!$AE$4:$AE$803,0),""))</f>
        <v/>
      </c>
      <c r="AL254" s="10">
        <f>IF($AK254="","","다기관 "&amp;TEXT(INDEX(입력_파견수련계획!$AB$4:$AB$803,$AK254),"yyyy-mm-dd")&amp;"~"&amp;IF(ISNUMBER(INDEX(입력_파견수련계획!$AC$4:$AC$803,$AK254)),TEXT(INDEX(입력_파견수련계획!$AC$4:$AC$803,$AK254),"yyyy-mm-dd"),""))</f>
        <v/>
      </c>
      <c r="AM254" s="10">
        <f>IF($Y254="서울병원",COUNTIF($Y$2:$Y254,"서울병원"),"")</f>
        <v/>
      </c>
      <c r="AN254" s="10">
        <f>IF(LEFT($Y254,1)="⚠",COUNTIF($Y$2:$Y254,"⚠*"),"")</f>
        <v/>
      </c>
      <c r="AO254" s="10">
        <f>IF(OR($B254="",$Y254=""),"",IF(IF(TRIM($J254&amp;"")="",0,SUMPRODUCT((입력_파견수련계획!$Q$4:$Q$803=TRIM($J254&amp;""))*입력_파견수련계획!$AD$4:$AD$803))&gt;0,"다기관 기간 → 소속병원 지급",IF(AND(N($X254)&lt;=0,$AQ254=""),"파견 없음 → 그 달 근무병원 지급",IF($AH254+$AI254=DAY(EOMONTH(출력_요약!$B$3,0)),"서울 "&amp;$AH254&amp;"일 / 구리 "&amp;$AI254&amp;"일"&amp;IF($AQ254&lt;&gt;""," (구리 근무자명단 반영)","")&amp;" → 15일 이상 근무 병원 지급","타 병원 포함 → "&amp;IF($AJ254="","소속",INDEX(입력_파견수련계획!$T$4:$T$803,$AJ254))&amp;" 규칙"))))</f>
        <v/>
      </c>
      <c r="AP254" s="10">
        <f>IF($B254="","",$C254&amp;"|"&amp;$F254)</f>
        <v/>
      </c>
      <c r="AQ254" s="10">
        <f>IF($B254="","",IFERROR(MATCH(ROW()-1,출력_구리근무자!$K$6:$K$305,0),""))</f>
        <v/>
      </c>
      <c r="AR254" s="10">
        <f>IF($AQ254="","",INDEX(출력_구리근무자!$H$6:$H$305,$AQ254))</f>
        <v/>
      </c>
    </row>
    <row r="255">
      <c r="A255" s="10">
        <f>IF(B255="","",ROW()-1)</f>
        <v/>
      </c>
      <c r="B255" s="19" t="n"/>
      <c r="C255" s="10">
        <f>IF($AB255="","",IF(INDEX(입력_기본자료!$C$2:$C$1001,$AB255)="","",INDEX(입력_기본자료!$C$2:$C$1001,$AB255)))</f>
        <v/>
      </c>
      <c r="D255" s="10">
        <f>IF($AB255="","",IF(INDEX(입력_기본자료!$J$2:$J$1001,$AB255)="","",INDEX(입력_기본자료!$J$2:$J$1001,$AB255)))</f>
        <v/>
      </c>
      <c r="E255" s="11">
        <f>IF($AB255="","",IF(INDEX(입력_기본자료!$K$2:$K$1001,$AB255)="","",IF(NOT(ISNUMBER(INDEX(입력_기본자료!$K$2:$K$1001,$AB255))),INDEX(입력_기본자료!$K$2:$K$1001,$AB255),IF(INDEX(입력_기본자료!$K$2:$K$1001,$AB255)&lt;1000000,INDEX(입력_기본자료!$K$2:$K$1001,$AB255),IF(AND(INDEX(입력_기본자료!$K$2:$K$1001,$AB255)&gt;=10000101,INT(MOD(INDEX(입력_기본자료!$K$2:$K$1001,$AB255),10000)/100)&gt;=1,INT(MOD(INDEX(입력_기본자료!$K$2:$K$1001,$AB255),10000)/100)&lt;=12,MOD(INDEX(입력_기본자료!$K$2:$K$1001,$AB255),100)&gt;=1,MOD(INDEX(입력_기본자료!$K$2:$K$1001,$AB255),100)&lt;=31),DATE(INT(INDEX(입력_기본자료!$K$2:$K$1001,$AB255)/10000),INT(MOD(INDEX(입력_기본자료!$K$2:$K$1001,$AB255),10000)/100),MOD(INDEX(입력_기본자료!$K$2:$K$1001,$AB255),100)),INDEX(입력_기본자료!$K$2:$K$1001,$AB255)&amp;"")))))</f>
        <v/>
      </c>
      <c r="F255" s="10">
        <f>IF($AB255="","",IF(INDEX(입력_기본자료!$D$2:$D$1001,$AB255)="","",INDEX(입력_기본자료!$D$2:$D$1001,$AB255)))</f>
        <v/>
      </c>
      <c r="G255" s="10">
        <f>IF($AB255="","",IF(INDEX(입력_기본자료!$E$2:$E$1001,$AB255)="","",INDEX(입력_기본자료!$E$2:$E$1001,$AB255)))</f>
        <v/>
      </c>
      <c r="H255" s="10">
        <f>IF($AB255="","",IF(INDEX(입력_기본자료!$F$2:$F$1001,$AB255)="","",INDEX(입력_기본자료!$F$2:$F$1001,$AB255)))</f>
        <v/>
      </c>
      <c r="I255" s="11">
        <f>IF($AB255="","",IF(INDEX(입력_기본자료!$G$2:$G$1001,$AB255)="","",IF(NOT(ISNUMBER(INDEX(입력_기본자료!$G$2:$G$1001,$AB255))),INDEX(입력_기본자료!$G$2:$G$1001,$AB255),IF(INDEX(입력_기본자료!$G$2:$G$1001,$AB255)&lt;1000000,INDEX(입력_기본자료!$G$2:$G$1001,$AB255),IF(AND(INDEX(입력_기본자료!$G$2:$G$1001,$AB255)&gt;=10000101,INT(MOD(INDEX(입력_기본자료!$G$2:$G$1001,$AB255),10000)/100)&gt;=1,INT(MOD(INDEX(입력_기본자료!$G$2:$G$1001,$AB255),10000)/100)&lt;=12,MOD(INDEX(입력_기본자료!$G$2:$G$1001,$AB255),100)&gt;=1,MOD(INDEX(입력_기본자료!$G$2:$G$1001,$AB255),100)&lt;=31),DATE(INT(INDEX(입력_기본자료!$G$2:$G$1001,$AB255)/10000),INT(MOD(INDEX(입력_기본자료!$G$2:$G$1001,$AB255),10000)/100),MOD(INDEX(입력_기본자료!$G$2:$G$1001,$AB255),100)),INDEX(입력_기본자료!$G$2:$G$1001,$AB255)&amp;"")))))</f>
        <v/>
      </c>
      <c r="J255" s="10">
        <f>IF($AB255="","",IF(INDEX(입력_기본자료!$H$2:$H$1001,$AB255)="","",INDEX(입력_기본자료!$H$2:$H$1001,$AB255)))</f>
        <v/>
      </c>
      <c r="K255" s="10">
        <f>IF($AB255="","",IF(INDEX(입력_기본자료!$I$2:$I$1001,$AB255)="","",INDEX(입력_기본자료!$I$2:$I$1001,$AB255)))</f>
        <v/>
      </c>
      <c r="L255" s="10">
        <f>IF($AB255="","",IF(INDEX(입력_기본자료!$A$2:$A$1001,$AB255)="","",INDEX(입력_기본자료!$A$2:$A$1001,$AB255)))</f>
        <v/>
      </c>
      <c r="M255" s="15" t="n"/>
      <c r="N255" s="10">
        <f>IF($B255="","",IF(AND($U255="파견중",$Q255&lt;&gt;""),$Q255,IF(AND($AD255&lt;&gt;"",LEFT($AD255,1)&lt;&gt;"⚠"),LEFT($AD255,FIND(" ",$AD255)-1),IF($H255="","",IF(RIGHT($H255,2)="병원",$H255,$H255&amp;"병원")))))</f>
        <v/>
      </c>
      <c r="O255" s="10">
        <f>IF($B255="","",IF(AND($U255="파견중",$Q255&lt;&gt;""),IF($R255&lt;&gt;"",$R255,"파견과 미입력"),IF(AND($AD255&lt;&gt;"",LEFT($AD255,1)&lt;&gt;"⚠"),MID($AD255,FIND(" ",$AD255)+1,60),IF($F255="","",IF($F255="인턴","수련교육부(인턴)",$F255)))))</f>
        <v/>
      </c>
      <c r="P255" s="10">
        <f>IF($B255="","",IF($AK255&lt;&gt;"",IF(AND(TODAY()&gt;=INDEX(입력_파견수련계획!$AB$4:$AB$803,$AK255),OR(NOT(ISNUMBER(INDEX(입력_파견수련계획!$AC$4:$AC$803,$AK255))),TODAY()&lt;=INDEX(입력_파견수련계획!$AC$4:$AC$803,$AK255))),"다기관",IF($AF255="","",INDEX(입력_파견수련계획!$T$4:$T$803,$AF255))),IF($AF255="","",INDEX(입력_파견수련계획!$T$4:$T$803,$AF255))))</f>
        <v/>
      </c>
      <c r="Q255" s="10">
        <f>IF($AF255="","",INDEX(입력_파견수련계획!$S$4:$S$803,$AF255))</f>
        <v/>
      </c>
      <c r="R255" s="10">
        <f>IF($AF255="","",INDEX(입력_파견수련계획!$U$4:$U$803,$AF255))</f>
        <v/>
      </c>
      <c r="S255" s="11">
        <f>IF($AF255="","",IF(INDEX(입력_파견수련계획!$H$4:$H$803,$AF255)="","",INDEX(입력_파견수련계획!$H$4:$H$803,$AF255)))</f>
        <v/>
      </c>
      <c r="T255" s="11">
        <f>IF($AF255="","",IF(INDEX(입력_파견수련계획!$I$4:$I$803,$AF255)="","",INDEX(입력_파견수련계획!$I$4:$I$803,$AF255)))</f>
        <v/>
      </c>
      <c r="U255" s="10">
        <f>IF($AF255="","",INDEX(입력_파견수련계획!$X$4:$X$803,$AF255))</f>
        <v/>
      </c>
      <c r="V255" s="17">
        <f>IF($AF255="","",INDEX(입력_파견수련계획!$V$4:$V$803,$AF255))</f>
        <v/>
      </c>
      <c r="W255" s="17">
        <f>IF(AND($U255="파견중",$T255&lt;&gt;""),$T255-TODAY(),"")</f>
        <v/>
      </c>
      <c r="X255" s="17">
        <f>IF(OR($B255="",TRIM($J255&amp;"")=""),"",SUMPRODUCT((입력_파견수련계획!$Q$4:$Q$803=TRIM($J255&amp;""))*입력_파견수련계획!$W$4:$W$803))</f>
        <v/>
      </c>
      <c r="Y255" s="10">
        <f>IF($B255="","",IF($AG255="","",IF(IF(TRIM($J255&amp;"")="",0,SUMPRODUCT((입력_파견수련계획!$Q$4:$Q$803=TRIM($J255&amp;""))*입력_파견수련계획!$AD$4:$AD$803))&gt;0,$AE255,IF(AND(N($X255)&lt;=0,$AQ255=""),$AG255,IF($AH255+$AI255=DAY(EOMONTH(출력_요약!$B$3,0)),IF(AND($AH255&gt;=출력_요약!$E$3,$AI255&lt;출력_요약!$E$3),"서울병원",IF(AND($AI255&gt;=출력_요약!$E$3,$AH255&lt;출력_요약!$E$3),"구리병원","⚠15일 판정불가(서울 "&amp;$AH255&amp;"일/구리 "&amp;$AI255&amp;"일)")),IF($AJ255="",$AE255,IF(INDEX(입력_파견수련계획!$T$4:$T$803,$AJ255)="통합수련",INDEX(입력_파견수련계획!$S$4:$S$803,$AJ255),$AE255)))))))</f>
        <v/>
      </c>
      <c r="Z255" s="20">
        <f>IF($B255="","",IF($AB255="","기본자료에 없는 사번",IF(COUNTIF($B$2:$B$401,$B255)&gt;1,"중복 사번",IF($AE255="","소속(입사장소) 입력",IF(IF(TRIM($J255&amp;"")="",0,SUMPRODUCT((입력_파견수련계획!$Q$4:$Q$803=TRIM($J255&amp;""))*(입력_파견수련계획!$AA$4:$AA$803&lt;&gt;"")))&gt;0,"파견수련계획 입력오류 확인",IF(LEFT($Y255,1)="⚠","서울·구리 15일 판정 불가(양쪽 모두 이상/미만)",IF(IF($AC255="",0,N(INDEX(입력_인턴근무계획!$T$3:$T$402,$AC255)))&gt;0,"인턴계획 입력오류 확인",IF(AND($AQ255&lt;&gt;"",$AG255&lt;&gt;"구리병원",IF(TRIM($J255&amp;"")="",0,SUMPRODUCT((입력_파견수련계획!$Q$4:$Q$803=TRIM($J255&amp;""))*(입력_파견수련계획!$S$4:$S$803="구리병원")*입력_파견수련계획!$W$4:$W$803))=0),"구리 근무자명단에만 있음(파견수련계획 확인)",IF(AND($AC255&lt;&gt;"",$U255&lt;&gt;"파견중",$N255&lt;&gt;$AE255),"인턴 타지역 근무: 파견 여부 확인","정상")))))))))</f>
        <v/>
      </c>
      <c r="AA255" s="5" t="n"/>
      <c r="AB255" s="10">
        <f>IF($B255="","",IFERROR(MATCH($B255,입력_기본자료!$B$2:$B$1001,0),IFERROR(MATCH($B255&amp;"",입력_기본자료!$B$2:$B$1001,0),IFERROR(MATCH(VALUE($B255),입력_기본자료!$B$2:$B$1001,0),""))))</f>
        <v/>
      </c>
      <c r="AC255" s="10">
        <f>IF($B255="","",IFERROR(MATCH($B255,입력_인턴근무계획!$D$3:$D$402,0),IFERROR(MATCH($B255&amp;"",입력_인턴근무계획!$D$3:$D$402,0),IFERROR(MATCH(VALUE($B255),입력_인턴근무계획!$D$3:$D$402,0),""))))</f>
        <v/>
      </c>
      <c r="AD255" s="10">
        <f>IF(OR($AC255="",출력_인턴현황!$G$3=""),"",INDEX(입력_인턴근무계획!$M$3:$R$402,$AC255,출력_인턴현황!$G$3)&amp;"")</f>
        <v/>
      </c>
      <c r="AE255" s="10">
        <f>IF($B255="","",IF($M255&lt;&gt;"",$M255,IF(IF($AQ255="",FALSE,INDEX(출력_구리근무자!$J$6:$J$305,$AQ255)="구리독자"),"구리병원",IF($AF255&lt;&gt;"",IF(LEFT(INDEX(입력_파견수련계획!$R$4:$R$803,$AF255),1)&lt;&gt;"⚠",INDEX(입력_파견수련계획!$R$4:$R$803,$AF255),IF($H255="","",IF(RIGHT($H255,2)="병원",$H255,$H255&amp;"병원"))),IF($H255="","",IF(RIGHT($H255,2)="병원",$H255,$H255&amp;"병원"))))))</f>
        <v/>
      </c>
      <c r="AF255" s="10">
        <f>IF(OR($B255="",TRIM($J255&amp;"")=""),"",IFERROR(MATCH(TRIM($J255&amp;"")&amp;"|파견중",입력_파견수련계획!$Y$4:$Y$803,0),IFERROR(MATCH(TRIM($J255&amp;"")&amp;"|파견예정",입력_파견수련계획!$Y$4:$Y$803,0),IFERROR(MATCH(TRIM($J255&amp;"")&amp;"|파견종료",입력_파견수련계획!$Y$4:$Y$803,0),""))))</f>
        <v/>
      </c>
      <c r="AG255" s="10">
        <f>IF($B255="","",IF(AND(IF(OR($AC255="",출력_인턴현황!$K$2=""),"",INDEX(입력_인턴근무계획!$M$3:$R$402,$AC255,출력_인턴현황!$K$2)&amp;"")&lt;&gt;"",LEFT(IF(OR($AC255="",출력_인턴현황!$K$2=""),"",INDEX(입력_인턴근무계획!$M$3:$R$402,$AC255,출력_인턴현황!$K$2)&amp;""),1)&lt;&gt;"⚠"),LEFT(IF(OR($AC255="",출력_인턴현황!$K$2=""),"",INDEX(입력_인턴근무계획!$M$3:$R$402,$AC255,출력_인턴현황!$K$2)&amp;""),FIND(" ",IF(OR($AC255="",출력_인턴현황!$K$2=""),"",INDEX(입력_인턴근무계획!$M$3:$R$402,$AC255,출력_인턴현황!$K$2)&amp;""))-1),$AE255))</f>
        <v/>
      </c>
      <c r="AH255" s="17">
        <f>IF($B255="","",IF($AQ255&lt;&gt;"",MAX(0,DAY(EOMONTH(출력_요약!$B$3,0))-N($AR255)),IF(TRIM($J255&amp;"")="",0,SUMPRODUCT((입력_파견수련계획!$Q$4:$Q$803=TRIM($J255&amp;""))*(입력_파견수련계획!$S$4:$S$803="서울병원")*입력_파견수련계획!$W$4:$W$803))+IF($AG255="서울병원",MAX(0,DAY(EOMONTH(출력_요약!$B$3,0))-N($X255)),0)))</f>
        <v/>
      </c>
      <c r="AI255" s="17">
        <f>IF($B255="","",IF($AQ255&lt;&gt;"",N($AR255),IF(TRIM($J255&amp;"")="",0,SUMPRODUCT((입력_파견수련계획!$Q$4:$Q$803=TRIM($J255&amp;""))*(입력_파견수련계획!$S$4:$S$803="구리병원")*입력_파견수련계획!$W$4:$W$803))+IF($AG255="구리병원",MAX(0,DAY(EOMONTH(출력_요약!$B$3,0))-N($X255)),0)))</f>
        <v/>
      </c>
      <c r="AJ255" s="10">
        <f>IF(OR($B255="",TRIM($J255&amp;"")=""),"",IFERROR(MATCH(TRIM($J255&amp;"")&amp;"|월",입력_파견수련계획!$Z$4:$Z$803,0),""))</f>
        <v/>
      </c>
      <c r="AK255" s="10">
        <f>IF(OR($B255="",TRIM($J255&amp;"")=""),"",IFERROR(MATCH(TRIM($J255&amp;"")&amp;"|다기관",입력_파견수련계획!$AE$4:$AE$803,0),""))</f>
        <v/>
      </c>
      <c r="AL255" s="10">
        <f>IF($AK255="","","다기관 "&amp;TEXT(INDEX(입력_파견수련계획!$AB$4:$AB$803,$AK255),"yyyy-mm-dd")&amp;"~"&amp;IF(ISNUMBER(INDEX(입력_파견수련계획!$AC$4:$AC$803,$AK255)),TEXT(INDEX(입력_파견수련계획!$AC$4:$AC$803,$AK255),"yyyy-mm-dd"),""))</f>
        <v/>
      </c>
      <c r="AM255" s="10">
        <f>IF($Y255="서울병원",COUNTIF($Y$2:$Y255,"서울병원"),"")</f>
        <v/>
      </c>
      <c r="AN255" s="10">
        <f>IF(LEFT($Y255,1)="⚠",COUNTIF($Y$2:$Y255,"⚠*"),"")</f>
        <v/>
      </c>
      <c r="AO255" s="10">
        <f>IF(OR($B255="",$Y255=""),"",IF(IF(TRIM($J255&amp;"")="",0,SUMPRODUCT((입력_파견수련계획!$Q$4:$Q$803=TRIM($J255&amp;""))*입력_파견수련계획!$AD$4:$AD$803))&gt;0,"다기관 기간 → 소속병원 지급",IF(AND(N($X255)&lt;=0,$AQ255=""),"파견 없음 → 그 달 근무병원 지급",IF($AH255+$AI255=DAY(EOMONTH(출력_요약!$B$3,0)),"서울 "&amp;$AH255&amp;"일 / 구리 "&amp;$AI255&amp;"일"&amp;IF($AQ255&lt;&gt;""," (구리 근무자명단 반영)","")&amp;" → 15일 이상 근무 병원 지급","타 병원 포함 → "&amp;IF($AJ255="","소속",INDEX(입력_파견수련계획!$T$4:$T$803,$AJ255))&amp;" 규칙"))))</f>
        <v/>
      </c>
      <c r="AP255" s="10">
        <f>IF($B255="","",$C255&amp;"|"&amp;$F255)</f>
        <v/>
      </c>
      <c r="AQ255" s="10">
        <f>IF($B255="","",IFERROR(MATCH(ROW()-1,출력_구리근무자!$K$6:$K$305,0),""))</f>
        <v/>
      </c>
      <c r="AR255" s="10">
        <f>IF($AQ255="","",INDEX(출력_구리근무자!$H$6:$H$305,$AQ255))</f>
        <v/>
      </c>
    </row>
    <row r="256">
      <c r="A256" s="10">
        <f>IF(B256="","",ROW()-1)</f>
        <v/>
      </c>
      <c r="B256" s="19" t="n"/>
      <c r="C256" s="10">
        <f>IF($AB256="","",IF(INDEX(입력_기본자료!$C$2:$C$1001,$AB256)="","",INDEX(입력_기본자료!$C$2:$C$1001,$AB256)))</f>
        <v/>
      </c>
      <c r="D256" s="10">
        <f>IF($AB256="","",IF(INDEX(입력_기본자료!$J$2:$J$1001,$AB256)="","",INDEX(입력_기본자료!$J$2:$J$1001,$AB256)))</f>
        <v/>
      </c>
      <c r="E256" s="11">
        <f>IF($AB256="","",IF(INDEX(입력_기본자료!$K$2:$K$1001,$AB256)="","",IF(NOT(ISNUMBER(INDEX(입력_기본자료!$K$2:$K$1001,$AB256))),INDEX(입력_기본자료!$K$2:$K$1001,$AB256),IF(INDEX(입력_기본자료!$K$2:$K$1001,$AB256)&lt;1000000,INDEX(입력_기본자료!$K$2:$K$1001,$AB256),IF(AND(INDEX(입력_기본자료!$K$2:$K$1001,$AB256)&gt;=10000101,INT(MOD(INDEX(입력_기본자료!$K$2:$K$1001,$AB256),10000)/100)&gt;=1,INT(MOD(INDEX(입력_기본자료!$K$2:$K$1001,$AB256),10000)/100)&lt;=12,MOD(INDEX(입력_기본자료!$K$2:$K$1001,$AB256),100)&gt;=1,MOD(INDEX(입력_기본자료!$K$2:$K$1001,$AB256),100)&lt;=31),DATE(INT(INDEX(입력_기본자료!$K$2:$K$1001,$AB256)/10000),INT(MOD(INDEX(입력_기본자료!$K$2:$K$1001,$AB256),10000)/100),MOD(INDEX(입력_기본자료!$K$2:$K$1001,$AB256),100)),INDEX(입력_기본자료!$K$2:$K$1001,$AB256)&amp;"")))))</f>
        <v/>
      </c>
      <c r="F256" s="10">
        <f>IF($AB256="","",IF(INDEX(입력_기본자료!$D$2:$D$1001,$AB256)="","",INDEX(입력_기본자료!$D$2:$D$1001,$AB256)))</f>
        <v/>
      </c>
      <c r="G256" s="10">
        <f>IF($AB256="","",IF(INDEX(입력_기본자료!$E$2:$E$1001,$AB256)="","",INDEX(입력_기본자료!$E$2:$E$1001,$AB256)))</f>
        <v/>
      </c>
      <c r="H256" s="10">
        <f>IF($AB256="","",IF(INDEX(입력_기본자료!$F$2:$F$1001,$AB256)="","",INDEX(입력_기본자료!$F$2:$F$1001,$AB256)))</f>
        <v/>
      </c>
      <c r="I256" s="11">
        <f>IF($AB256="","",IF(INDEX(입력_기본자료!$G$2:$G$1001,$AB256)="","",IF(NOT(ISNUMBER(INDEX(입력_기본자료!$G$2:$G$1001,$AB256))),INDEX(입력_기본자료!$G$2:$G$1001,$AB256),IF(INDEX(입력_기본자료!$G$2:$G$1001,$AB256)&lt;1000000,INDEX(입력_기본자료!$G$2:$G$1001,$AB256),IF(AND(INDEX(입력_기본자료!$G$2:$G$1001,$AB256)&gt;=10000101,INT(MOD(INDEX(입력_기본자료!$G$2:$G$1001,$AB256),10000)/100)&gt;=1,INT(MOD(INDEX(입력_기본자료!$G$2:$G$1001,$AB256),10000)/100)&lt;=12,MOD(INDEX(입력_기본자료!$G$2:$G$1001,$AB256),100)&gt;=1,MOD(INDEX(입력_기본자료!$G$2:$G$1001,$AB256),100)&lt;=31),DATE(INT(INDEX(입력_기본자료!$G$2:$G$1001,$AB256)/10000),INT(MOD(INDEX(입력_기본자료!$G$2:$G$1001,$AB256),10000)/100),MOD(INDEX(입력_기본자료!$G$2:$G$1001,$AB256),100)),INDEX(입력_기본자료!$G$2:$G$1001,$AB256)&amp;"")))))</f>
        <v/>
      </c>
      <c r="J256" s="10">
        <f>IF($AB256="","",IF(INDEX(입력_기본자료!$H$2:$H$1001,$AB256)="","",INDEX(입력_기본자료!$H$2:$H$1001,$AB256)))</f>
        <v/>
      </c>
      <c r="K256" s="10">
        <f>IF($AB256="","",IF(INDEX(입력_기본자료!$I$2:$I$1001,$AB256)="","",INDEX(입력_기본자료!$I$2:$I$1001,$AB256)))</f>
        <v/>
      </c>
      <c r="L256" s="10">
        <f>IF($AB256="","",IF(INDEX(입력_기본자료!$A$2:$A$1001,$AB256)="","",INDEX(입력_기본자료!$A$2:$A$1001,$AB256)))</f>
        <v/>
      </c>
      <c r="M256" s="15" t="n"/>
      <c r="N256" s="10">
        <f>IF($B256="","",IF(AND($U256="파견중",$Q256&lt;&gt;""),$Q256,IF(AND($AD256&lt;&gt;"",LEFT($AD256,1)&lt;&gt;"⚠"),LEFT($AD256,FIND(" ",$AD256)-1),IF($H256="","",IF(RIGHT($H256,2)="병원",$H256,$H256&amp;"병원")))))</f>
        <v/>
      </c>
      <c r="O256" s="10">
        <f>IF($B256="","",IF(AND($U256="파견중",$Q256&lt;&gt;""),IF($R256&lt;&gt;"",$R256,"파견과 미입력"),IF(AND($AD256&lt;&gt;"",LEFT($AD256,1)&lt;&gt;"⚠"),MID($AD256,FIND(" ",$AD256)+1,60),IF($F256="","",IF($F256="인턴","수련교육부(인턴)",$F256)))))</f>
        <v/>
      </c>
      <c r="P256" s="10">
        <f>IF($B256="","",IF($AK256&lt;&gt;"",IF(AND(TODAY()&gt;=INDEX(입력_파견수련계획!$AB$4:$AB$803,$AK256),OR(NOT(ISNUMBER(INDEX(입력_파견수련계획!$AC$4:$AC$803,$AK256))),TODAY()&lt;=INDEX(입력_파견수련계획!$AC$4:$AC$803,$AK256))),"다기관",IF($AF256="","",INDEX(입력_파견수련계획!$T$4:$T$803,$AF256))),IF($AF256="","",INDEX(입력_파견수련계획!$T$4:$T$803,$AF256))))</f>
        <v/>
      </c>
      <c r="Q256" s="10">
        <f>IF($AF256="","",INDEX(입력_파견수련계획!$S$4:$S$803,$AF256))</f>
        <v/>
      </c>
      <c r="R256" s="10">
        <f>IF($AF256="","",INDEX(입력_파견수련계획!$U$4:$U$803,$AF256))</f>
        <v/>
      </c>
      <c r="S256" s="11">
        <f>IF($AF256="","",IF(INDEX(입력_파견수련계획!$H$4:$H$803,$AF256)="","",INDEX(입력_파견수련계획!$H$4:$H$803,$AF256)))</f>
        <v/>
      </c>
      <c r="T256" s="11">
        <f>IF($AF256="","",IF(INDEX(입력_파견수련계획!$I$4:$I$803,$AF256)="","",INDEX(입력_파견수련계획!$I$4:$I$803,$AF256)))</f>
        <v/>
      </c>
      <c r="U256" s="10">
        <f>IF($AF256="","",INDEX(입력_파견수련계획!$X$4:$X$803,$AF256))</f>
        <v/>
      </c>
      <c r="V256" s="17">
        <f>IF($AF256="","",INDEX(입력_파견수련계획!$V$4:$V$803,$AF256))</f>
        <v/>
      </c>
      <c r="W256" s="17">
        <f>IF(AND($U256="파견중",$T256&lt;&gt;""),$T256-TODAY(),"")</f>
        <v/>
      </c>
      <c r="X256" s="17">
        <f>IF(OR($B256="",TRIM($J256&amp;"")=""),"",SUMPRODUCT((입력_파견수련계획!$Q$4:$Q$803=TRIM($J256&amp;""))*입력_파견수련계획!$W$4:$W$803))</f>
        <v/>
      </c>
      <c r="Y256" s="10">
        <f>IF($B256="","",IF($AG256="","",IF(IF(TRIM($J256&amp;"")="",0,SUMPRODUCT((입력_파견수련계획!$Q$4:$Q$803=TRIM($J256&amp;""))*입력_파견수련계획!$AD$4:$AD$803))&gt;0,$AE256,IF(AND(N($X256)&lt;=0,$AQ256=""),$AG256,IF($AH256+$AI256=DAY(EOMONTH(출력_요약!$B$3,0)),IF(AND($AH256&gt;=출력_요약!$E$3,$AI256&lt;출력_요약!$E$3),"서울병원",IF(AND($AI256&gt;=출력_요약!$E$3,$AH256&lt;출력_요약!$E$3),"구리병원","⚠15일 판정불가(서울 "&amp;$AH256&amp;"일/구리 "&amp;$AI256&amp;"일)")),IF($AJ256="",$AE256,IF(INDEX(입력_파견수련계획!$T$4:$T$803,$AJ256)="통합수련",INDEX(입력_파견수련계획!$S$4:$S$803,$AJ256),$AE256)))))))</f>
        <v/>
      </c>
      <c r="Z256" s="20">
        <f>IF($B256="","",IF($AB256="","기본자료에 없는 사번",IF(COUNTIF($B$2:$B$401,$B256)&gt;1,"중복 사번",IF($AE256="","소속(입사장소) 입력",IF(IF(TRIM($J256&amp;"")="",0,SUMPRODUCT((입력_파견수련계획!$Q$4:$Q$803=TRIM($J256&amp;""))*(입력_파견수련계획!$AA$4:$AA$803&lt;&gt;"")))&gt;0,"파견수련계획 입력오류 확인",IF(LEFT($Y256,1)="⚠","서울·구리 15일 판정 불가(양쪽 모두 이상/미만)",IF(IF($AC256="",0,N(INDEX(입력_인턴근무계획!$T$3:$T$402,$AC256)))&gt;0,"인턴계획 입력오류 확인",IF(AND($AQ256&lt;&gt;"",$AG256&lt;&gt;"구리병원",IF(TRIM($J256&amp;"")="",0,SUMPRODUCT((입력_파견수련계획!$Q$4:$Q$803=TRIM($J256&amp;""))*(입력_파견수련계획!$S$4:$S$803="구리병원")*입력_파견수련계획!$W$4:$W$803))=0),"구리 근무자명단에만 있음(파견수련계획 확인)",IF(AND($AC256&lt;&gt;"",$U256&lt;&gt;"파견중",$N256&lt;&gt;$AE256),"인턴 타지역 근무: 파견 여부 확인","정상")))))))))</f>
        <v/>
      </c>
      <c r="AA256" s="5" t="n"/>
      <c r="AB256" s="10">
        <f>IF($B256="","",IFERROR(MATCH($B256,입력_기본자료!$B$2:$B$1001,0),IFERROR(MATCH($B256&amp;"",입력_기본자료!$B$2:$B$1001,0),IFERROR(MATCH(VALUE($B256),입력_기본자료!$B$2:$B$1001,0),""))))</f>
        <v/>
      </c>
      <c r="AC256" s="10">
        <f>IF($B256="","",IFERROR(MATCH($B256,입력_인턴근무계획!$D$3:$D$402,0),IFERROR(MATCH($B256&amp;"",입력_인턴근무계획!$D$3:$D$402,0),IFERROR(MATCH(VALUE($B256),입력_인턴근무계획!$D$3:$D$402,0),""))))</f>
        <v/>
      </c>
      <c r="AD256" s="10">
        <f>IF(OR($AC256="",출력_인턴현황!$G$3=""),"",INDEX(입력_인턴근무계획!$M$3:$R$402,$AC256,출력_인턴현황!$G$3)&amp;"")</f>
        <v/>
      </c>
      <c r="AE256" s="10">
        <f>IF($B256="","",IF($M256&lt;&gt;"",$M256,IF(IF($AQ256="",FALSE,INDEX(출력_구리근무자!$J$6:$J$305,$AQ256)="구리독자"),"구리병원",IF($AF256&lt;&gt;"",IF(LEFT(INDEX(입력_파견수련계획!$R$4:$R$803,$AF256),1)&lt;&gt;"⚠",INDEX(입력_파견수련계획!$R$4:$R$803,$AF256),IF($H256="","",IF(RIGHT($H256,2)="병원",$H256,$H256&amp;"병원"))),IF($H256="","",IF(RIGHT($H256,2)="병원",$H256,$H256&amp;"병원"))))))</f>
        <v/>
      </c>
      <c r="AF256" s="10">
        <f>IF(OR($B256="",TRIM($J256&amp;"")=""),"",IFERROR(MATCH(TRIM($J256&amp;"")&amp;"|파견중",입력_파견수련계획!$Y$4:$Y$803,0),IFERROR(MATCH(TRIM($J256&amp;"")&amp;"|파견예정",입력_파견수련계획!$Y$4:$Y$803,0),IFERROR(MATCH(TRIM($J256&amp;"")&amp;"|파견종료",입력_파견수련계획!$Y$4:$Y$803,0),""))))</f>
        <v/>
      </c>
      <c r="AG256" s="10">
        <f>IF($B256="","",IF(AND(IF(OR($AC256="",출력_인턴현황!$K$2=""),"",INDEX(입력_인턴근무계획!$M$3:$R$402,$AC256,출력_인턴현황!$K$2)&amp;"")&lt;&gt;"",LEFT(IF(OR($AC256="",출력_인턴현황!$K$2=""),"",INDEX(입력_인턴근무계획!$M$3:$R$402,$AC256,출력_인턴현황!$K$2)&amp;""),1)&lt;&gt;"⚠"),LEFT(IF(OR($AC256="",출력_인턴현황!$K$2=""),"",INDEX(입력_인턴근무계획!$M$3:$R$402,$AC256,출력_인턴현황!$K$2)&amp;""),FIND(" ",IF(OR($AC256="",출력_인턴현황!$K$2=""),"",INDEX(입력_인턴근무계획!$M$3:$R$402,$AC256,출력_인턴현황!$K$2)&amp;""))-1),$AE256))</f>
        <v/>
      </c>
      <c r="AH256" s="17">
        <f>IF($B256="","",IF($AQ256&lt;&gt;"",MAX(0,DAY(EOMONTH(출력_요약!$B$3,0))-N($AR256)),IF(TRIM($J256&amp;"")="",0,SUMPRODUCT((입력_파견수련계획!$Q$4:$Q$803=TRIM($J256&amp;""))*(입력_파견수련계획!$S$4:$S$803="서울병원")*입력_파견수련계획!$W$4:$W$803))+IF($AG256="서울병원",MAX(0,DAY(EOMONTH(출력_요약!$B$3,0))-N($X256)),0)))</f>
        <v/>
      </c>
      <c r="AI256" s="17">
        <f>IF($B256="","",IF($AQ256&lt;&gt;"",N($AR256),IF(TRIM($J256&amp;"")="",0,SUMPRODUCT((입력_파견수련계획!$Q$4:$Q$803=TRIM($J256&amp;""))*(입력_파견수련계획!$S$4:$S$803="구리병원")*입력_파견수련계획!$W$4:$W$803))+IF($AG256="구리병원",MAX(0,DAY(EOMONTH(출력_요약!$B$3,0))-N($X256)),0)))</f>
        <v/>
      </c>
      <c r="AJ256" s="10">
        <f>IF(OR($B256="",TRIM($J256&amp;"")=""),"",IFERROR(MATCH(TRIM($J256&amp;"")&amp;"|월",입력_파견수련계획!$Z$4:$Z$803,0),""))</f>
        <v/>
      </c>
      <c r="AK256" s="10">
        <f>IF(OR($B256="",TRIM($J256&amp;"")=""),"",IFERROR(MATCH(TRIM($J256&amp;"")&amp;"|다기관",입력_파견수련계획!$AE$4:$AE$803,0),""))</f>
        <v/>
      </c>
      <c r="AL256" s="10">
        <f>IF($AK256="","","다기관 "&amp;TEXT(INDEX(입력_파견수련계획!$AB$4:$AB$803,$AK256),"yyyy-mm-dd")&amp;"~"&amp;IF(ISNUMBER(INDEX(입력_파견수련계획!$AC$4:$AC$803,$AK256)),TEXT(INDEX(입력_파견수련계획!$AC$4:$AC$803,$AK256),"yyyy-mm-dd"),""))</f>
        <v/>
      </c>
      <c r="AM256" s="10">
        <f>IF($Y256="서울병원",COUNTIF($Y$2:$Y256,"서울병원"),"")</f>
        <v/>
      </c>
      <c r="AN256" s="10">
        <f>IF(LEFT($Y256,1)="⚠",COUNTIF($Y$2:$Y256,"⚠*"),"")</f>
        <v/>
      </c>
      <c r="AO256" s="10">
        <f>IF(OR($B256="",$Y256=""),"",IF(IF(TRIM($J256&amp;"")="",0,SUMPRODUCT((입력_파견수련계획!$Q$4:$Q$803=TRIM($J256&amp;""))*입력_파견수련계획!$AD$4:$AD$803))&gt;0,"다기관 기간 → 소속병원 지급",IF(AND(N($X256)&lt;=0,$AQ256=""),"파견 없음 → 그 달 근무병원 지급",IF($AH256+$AI256=DAY(EOMONTH(출력_요약!$B$3,0)),"서울 "&amp;$AH256&amp;"일 / 구리 "&amp;$AI256&amp;"일"&amp;IF($AQ256&lt;&gt;""," (구리 근무자명단 반영)","")&amp;" → 15일 이상 근무 병원 지급","타 병원 포함 → "&amp;IF($AJ256="","소속",INDEX(입력_파견수련계획!$T$4:$T$803,$AJ256))&amp;" 규칙"))))</f>
        <v/>
      </c>
      <c r="AP256" s="10">
        <f>IF($B256="","",$C256&amp;"|"&amp;$F256)</f>
        <v/>
      </c>
      <c r="AQ256" s="10">
        <f>IF($B256="","",IFERROR(MATCH(ROW()-1,출력_구리근무자!$K$6:$K$305,0),""))</f>
        <v/>
      </c>
      <c r="AR256" s="10">
        <f>IF($AQ256="","",INDEX(출력_구리근무자!$H$6:$H$305,$AQ256))</f>
        <v/>
      </c>
    </row>
    <row r="257">
      <c r="A257" s="10">
        <f>IF(B257="","",ROW()-1)</f>
        <v/>
      </c>
      <c r="B257" s="19" t="n"/>
      <c r="C257" s="10">
        <f>IF($AB257="","",IF(INDEX(입력_기본자료!$C$2:$C$1001,$AB257)="","",INDEX(입력_기본자료!$C$2:$C$1001,$AB257)))</f>
        <v/>
      </c>
      <c r="D257" s="10">
        <f>IF($AB257="","",IF(INDEX(입력_기본자료!$J$2:$J$1001,$AB257)="","",INDEX(입력_기본자료!$J$2:$J$1001,$AB257)))</f>
        <v/>
      </c>
      <c r="E257" s="11">
        <f>IF($AB257="","",IF(INDEX(입력_기본자료!$K$2:$K$1001,$AB257)="","",IF(NOT(ISNUMBER(INDEX(입력_기본자료!$K$2:$K$1001,$AB257))),INDEX(입력_기본자료!$K$2:$K$1001,$AB257),IF(INDEX(입력_기본자료!$K$2:$K$1001,$AB257)&lt;1000000,INDEX(입력_기본자료!$K$2:$K$1001,$AB257),IF(AND(INDEX(입력_기본자료!$K$2:$K$1001,$AB257)&gt;=10000101,INT(MOD(INDEX(입력_기본자료!$K$2:$K$1001,$AB257),10000)/100)&gt;=1,INT(MOD(INDEX(입력_기본자료!$K$2:$K$1001,$AB257),10000)/100)&lt;=12,MOD(INDEX(입력_기본자료!$K$2:$K$1001,$AB257),100)&gt;=1,MOD(INDEX(입력_기본자료!$K$2:$K$1001,$AB257),100)&lt;=31),DATE(INT(INDEX(입력_기본자료!$K$2:$K$1001,$AB257)/10000),INT(MOD(INDEX(입력_기본자료!$K$2:$K$1001,$AB257),10000)/100),MOD(INDEX(입력_기본자료!$K$2:$K$1001,$AB257),100)),INDEX(입력_기본자료!$K$2:$K$1001,$AB257)&amp;"")))))</f>
        <v/>
      </c>
      <c r="F257" s="10">
        <f>IF($AB257="","",IF(INDEX(입력_기본자료!$D$2:$D$1001,$AB257)="","",INDEX(입력_기본자료!$D$2:$D$1001,$AB257)))</f>
        <v/>
      </c>
      <c r="G257" s="10">
        <f>IF($AB257="","",IF(INDEX(입력_기본자료!$E$2:$E$1001,$AB257)="","",INDEX(입력_기본자료!$E$2:$E$1001,$AB257)))</f>
        <v/>
      </c>
      <c r="H257" s="10">
        <f>IF($AB257="","",IF(INDEX(입력_기본자료!$F$2:$F$1001,$AB257)="","",INDEX(입력_기본자료!$F$2:$F$1001,$AB257)))</f>
        <v/>
      </c>
      <c r="I257" s="11">
        <f>IF($AB257="","",IF(INDEX(입력_기본자료!$G$2:$G$1001,$AB257)="","",IF(NOT(ISNUMBER(INDEX(입력_기본자료!$G$2:$G$1001,$AB257))),INDEX(입력_기본자료!$G$2:$G$1001,$AB257),IF(INDEX(입력_기본자료!$G$2:$G$1001,$AB257)&lt;1000000,INDEX(입력_기본자료!$G$2:$G$1001,$AB257),IF(AND(INDEX(입력_기본자료!$G$2:$G$1001,$AB257)&gt;=10000101,INT(MOD(INDEX(입력_기본자료!$G$2:$G$1001,$AB257),10000)/100)&gt;=1,INT(MOD(INDEX(입력_기본자료!$G$2:$G$1001,$AB257),10000)/100)&lt;=12,MOD(INDEX(입력_기본자료!$G$2:$G$1001,$AB257),100)&gt;=1,MOD(INDEX(입력_기본자료!$G$2:$G$1001,$AB257),100)&lt;=31),DATE(INT(INDEX(입력_기본자료!$G$2:$G$1001,$AB257)/10000),INT(MOD(INDEX(입력_기본자료!$G$2:$G$1001,$AB257),10000)/100),MOD(INDEX(입력_기본자료!$G$2:$G$1001,$AB257),100)),INDEX(입력_기본자료!$G$2:$G$1001,$AB257)&amp;"")))))</f>
        <v/>
      </c>
      <c r="J257" s="10">
        <f>IF($AB257="","",IF(INDEX(입력_기본자료!$H$2:$H$1001,$AB257)="","",INDEX(입력_기본자료!$H$2:$H$1001,$AB257)))</f>
        <v/>
      </c>
      <c r="K257" s="10">
        <f>IF($AB257="","",IF(INDEX(입력_기본자료!$I$2:$I$1001,$AB257)="","",INDEX(입력_기본자료!$I$2:$I$1001,$AB257)))</f>
        <v/>
      </c>
      <c r="L257" s="10">
        <f>IF($AB257="","",IF(INDEX(입력_기본자료!$A$2:$A$1001,$AB257)="","",INDEX(입력_기본자료!$A$2:$A$1001,$AB257)))</f>
        <v/>
      </c>
      <c r="M257" s="15" t="n"/>
      <c r="N257" s="10">
        <f>IF($B257="","",IF(AND($U257="파견중",$Q257&lt;&gt;""),$Q257,IF(AND($AD257&lt;&gt;"",LEFT($AD257,1)&lt;&gt;"⚠"),LEFT($AD257,FIND(" ",$AD257)-1),IF($H257="","",IF(RIGHT($H257,2)="병원",$H257,$H257&amp;"병원")))))</f>
        <v/>
      </c>
      <c r="O257" s="10">
        <f>IF($B257="","",IF(AND($U257="파견중",$Q257&lt;&gt;""),IF($R257&lt;&gt;"",$R257,"파견과 미입력"),IF(AND($AD257&lt;&gt;"",LEFT($AD257,1)&lt;&gt;"⚠"),MID($AD257,FIND(" ",$AD257)+1,60),IF($F257="","",IF($F257="인턴","수련교육부(인턴)",$F257)))))</f>
        <v/>
      </c>
      <c r="P257" s="10">
        <f>IF($B257="","",IF($AK257&lt;&gt;"",IF(AND(TODAY()&gt;=INDEX(입력_파견수련계획!$AB$4:$AB$803,$AK257),OR(NOT(ISNUMBER(INDEX(입력_파견수련계획!$AC$4:$AC$803,$AK257))),TODAY()&lt;=INDEX(입력_파견수련계획!$AC$4:$AC$803,$AK257))),"다기관",IF($AF257="","",INDEX(입력_파견수련계획!$T$4:$T$803,$AF257))),IF($AF257="","",INDEX(입력_파견수련계획!$T$4:$T$803,$AF257))))</f>
        <v/>
      </c>
      <c r="Q257" s="10">
        <f>IF($AF257="","",INDEX(입력_파견수련계획!$S$4:$S$803,$AF257))</f>
        <v/>
      </c>
      <c r="R257" s="10">
        <f>IF($AF257="","",INDEX(입력_파견수련계획!$U$4:$U$803,$AF257))</f>
        <v/>
      </c>
      <c r="S257" s="11">
        <f>IF($AF257="","",IF(INDEX(입력_파견수련계획!$H$4:$H$803,$AF257)="","",INDEX(입력_파견수련계획!$H$4:$H$803,$AF257)))</f>
        <v/>
      </c>
      <c r="T257" s="11">
        <f>IF($AF257="","",IF(INDEX(입력_파견수련계획!$I$4:$I$803,$AF257)="","",INDEX(입력_파견수련계획!$I$4:$I$803,$AF257)))</f>
        <v/>
      </c>
      <c r="U257" s="10">
        <f>IF($AF257="","",INDEX(입력_파견수련계획!$X$4:$X$803,$AF257))</f>
        <v/>
      </c>
      <c r="V257" s="17">
        <f>IF($AF257="","",INDEX(입력_파견수련계획!$V$4:$V$803,$AF257))</f>
        <v/>
      </c>
      <c r="W257" s="17">
        <f>IF(AND($U257="파견중",$T257&lt;&gt;""),$T257-TODAY(),"")</f>
        <v/>
      </c>
      <c r="X257" s="17">
        <f>IF(OR($B257="",TRIM($J257&amp;"")=""),"",SUMPRODUCT((입력_파견수련계획!$Q$4:$Q$803=TRIM($J257&amp;""))*입력_파견수련계획!$W$4:$W$803))</f>
        <v/>
      </c>
      <c r="Y257" s="10">
        <f>IF($B257="","",IF($AG257="","",IF(IF(TRIM($J257&amp;"")="",0,SUMPRODUCT((입력_파견수련계획!$Q$4:$Q$803=TRIM($J257&amp;""))*입력_파견수련계획!$AD$4:$AD$803))&gt;0,$AE257,IF(AND(N($X257)&lt;=0,$AQ257=""),$AG257,IF($AH257+$AI257=DAY(EOMONTH(출력_요약!$B$3,0)),IF(AND($AH257&gt;=출력_요약!$E$3,$AI257&lt;출력_요약!$E$3),"서울병원",IF(AND($AI257&gt;=출력_요약!$E$3,$AH257&lt;출력_요약!$E$3),"구리병원","⚠15일 판정불가(서울 "&amp;$AH257&amp;"일/구리 "&amp;$AI257&amp;"일)")),IF($AJ257="",$AE257,IF(INDEX(입력_파견수련계획!$T$4:$T$803,$AJ257)="통합수련",INDEX(입력_파견수련계획!$S$4:$S$803,$AJ257),$AE257)))))))</f>
        <v/>
      </c>
      <c r="Z257" s="20">
        <f>IF($B257="","",IF($AB257="","기본자료에 없는 사번",IF(COUNTIF($B$2:$B$401,$B257)&gt;1,"중복 사번",IF($AE257="","소속(입사장소) 입력",IF(IF(TRIM($J257&amp;"")="",0,SUMPRODUCT((입력_파견수련계획!$Q$4:$Q$803=TRIM($J257&amp;""))*(입력_파견수련계획!$AA$4:$AA$803&lt;&gt;"")))&gt;0,"파견수련계획 입력오류 확인",IF(LEFT($Y257,1)="⚠","서울·구리 15일 판정 불가(양쪽 모두 이상/미만)",IF(IF($AC257="",0,N(INDEX(입력_인턴근무계획!$T$3:$T$402,$AC257)))&gt;0,"인턴계획 입력오류 확인",IF(AND($AQ257&lt;&gt;"",$AG257&lt;&gt;"구리병원",IF(TRIM($J257&amp;"")="",0,SUMPRODUCT((입력_파견수련계획!$Q$4:$Q$803=TRIM($J257&amp;""))*(입력_파견수련계획!$S$4:$S$803="구리병원")*입력_파견수련계획!$W$4:$W$803))=0),"구리 근무자명단에만 있음(파견수련계획 확인)",IF(AND($AC257&lt;&gt;"",$U257&lt;&gt;"파견중",$N257&lt;&gt;$AE257),"인턴 타지역 근무: 파견 여부 확인","정상")))))))))</f>
        <v/>
      </c>
      <c r="AA257" s="5" t="n"/>
      <c r="AB257" s="10">
        <f>IF($B257="","",IFERROR(MATCH($B257,입력_기본자료!$B$2:$B$1001,0),IFERROR(MATCH($B257&amp;"",입력_기본자료!$B$2:$B$1001,0),IFERROR(MATCH(VALUE($B257),입력_기본자료!$B$2:$B$1001,0),""))))</f>
        <v/>
      </c>
      <c r="AC257" s="10">
        <f>IF($B257="","",IFERROR(MATCH($B257,입력_인턴근무계획!$D$3:$D$402,0),IFERROR(MATCH($B257&amp;"",입력_인턴근무계획!$D$3:$D$402,0),IFERROR(MATCH(VALUE($B257),입력_인턴근무계획!$D$3:$D$402,0),""))))</f>
        <v/>
      </c>
      <c r="AD257" s="10">
        <f>IF(OR($AC257="",출력_인턴현황!$G$3=""),"",INDEX(입력_인턴근무계획!$M$3:$R$402,$AC257,출력_인턴현황!$G$3)&amp;"")</f>
        <v/>
      </c>
      <c r="AE257" s="10">
        <f>IF($B257="","",IF($M257&lt;&gt;"",$M257,IF(IF($AQ257="",FALSE,INDEX(출력_구리근무자!$J$6:$J$305,$AQ257)="구리독자"),"구리병원",IF($AF257&lt;&gt;"",IF(LEFT(INDEX(입력_파견수련계획!$R$4:$R$803,$AF257),1)&lt;&gt;"⚠",INDEX(입력_파견수련계획!$R$4:$R$803,$AF257),IF($H257="","",IF(RIGHT($H257,2)="병원",$H257,$H257&amp;"병원"))),IF($H257="","",IF(RIGHT($H257,2)="병원",$H257,$H257&amp;"병원"))))))</f>
        <v/>
      </c>
      <c r="AF257" s="10">
        <f>IF(OR($B257="",TRIM($J257&amp;"")=""),"",IFERROR(MATCH(TRIM($J257&amp;"")&amp;"|파견중",입력_파견수련계획!$Y$4:$Y$803,0),IFERROR(MATCH(TRIM($J257&amp;"")&amp;"|파견예정",입력_파견수련계획!$Y$4:$Y$803,0),IFERROR(MATCH(TRIM($J257&amp;"")&amp;"|파견종료",입력_파견수련계획!$Y$4:$Y$803,0),""))))</f>
        <v/>
      </c>
      <c r="AG257" s="10">
        <f>IF($B257="","",IF(AND(IF(OR($AC257="",출력_인턴현황!$K$2=""),"",INDEX(입력_인턴근무계획!$M$3:$R$402,$AC257,출력_인턴현황!$K$2)&amp;"")&lt;&gt;"",LEFT(IF(OR($AC257="",출력_인턴현황!$K$2=""),"",INDEX(입력_인턴근무계획!$M$3:$R$402,$AC257,출력_인턴현황!$K$2)&amp;""),1)&lt;&gt;"⚠"),LEFT(IF(OR($AC257="",출력_인턴현황!$K$2=""),"",INDEX(입력_인턴근무계획!$M$3:$R$402,$AC257,출력_인턴현황!$K$2)&amp;""),FIND(" ",IF(OR($AC257="",출력_인턴현황!$K$2=""),"",INDEX(입력_인턴근무계획!$M$3:$R$402,$AC257,출력_인턴현황!$K$2)&amp;""))-1),$AE257))</f>
        <v/>
      </c>
      <c r="AH257" s="17">
        <f>IF($B257="","",IF($AQ257&lt;&gt;"",MAX(0,DAY(EOMONTH(출력_요약!$B$3,0))-N($AR257)),IF(TRIM($J257&amp;"")="",0,SUMPRODUCT((입력_파견수련계획!$Q$4:$Q$803=TRIM($J257&amp;""))*(입력_파견수련계획!$S$4:$S$803="서울병원")*입력_파견수련계획!$W$4:$W$803))+IF($AG257="서울병원",MAX(0,DAY(EOMONTH(출력_요약!$B$3,0))-N($X257)),0)))</f>
        <v/>
      </c>
      <c r="AI257" s="17">
        <f>IF($B257="","",IF($AQ257&lt;&gt;"",N($AR257),IF(TRIM($J257&amp;"")="",0,SUMPRODUCT((입력_파견수련계획!$Q$4:$Q$803=TRIM($J257&amp;""))*(입력_파견수련계획!$S$4:$S$803="구리병원")*입력_파견수련계획!$W$4:$W$803))+IF($AG257="구리병원",MAX(0,DAY(EOMONTH(출력_요약!$B$3,0))-N($X257)),0)))</f>
        <v/>
      </c>
      <c r="AJ257" s="10">
        <f>IF(OR($B257="",TRIM($J257&amp;"")=""),"",IFERROR(MATCH(TRIM($J257&amp;"")&amp;"|월",입력_파견수련계획!$Z$4:$Z$803,0),""))</f>
        <v/>
      </c>
      <c r="AK257" s="10">
        <f>IF(OR($B257="",TRIM($J257&amp;"")=""),"",IFERROR(MATCH(TRIM($J257&amp;"")&amp;"|다기관",입력_파견수련계획!$AE$4:$AE$803,0),""))</f>
        <v/>
      </c>
      <c r="AL257" s="10">
        <f>IF($AK257="","","다기관 "&amp;TEXT(INDEX(입력_파견수련계획!$AB$4:$AB$803,$AK257),"yyyy-mm-dd")&amp;"~"&amp;IF(ISNUMBER(INDEX(입력_파견수련계획!$AC$4:$AC$803,$AK257)),TEXT(INDEX(입력_파견수련계획!$AC$4:$AC$803,$AK257),"yyyy-mm-dd"),""))</f>
        <v/>
      </c>
      <c r="AM257" s="10">
        <f>IF($Y257="서울병원",COUNTIF($Y$2:$Y257,"서울병원"),"")</f>
        <v/>
      </c>
      <c r="AN257" s="10">
        <f>IF(LEFT($Y257,1)="⚠",COUNTIF($Y$2:$Y257,"⚠*"),"")</f>
        <v/>
      </c>
      <c r="AO257" s="10">
        <f>IF(OR($B257="",$Y257=""),"",IF(IF(TRIM($J257&amp;"")="",0,SUMPRODUCT((입력_파견수련계획!$Q$4:$Q$803=TRIM($J257&amp;""))*입력_파견수련계획!$AD$4:$AD$803))&gt;0,"다기관 기간 → 소속병원 지급",IF(AND(N($X257)&lt;=0,$AQ257=""),"파견 없음 → 그 달 근무병원 지급",IF($AH257+$AI257=DAY(EOMONTH(출력_요약!$B$3,0)),"서울 "&amp;$AH257&amp;"일 / 구리 "&amp;$AI257&amp;"일"&amp;IF($AQ257&lt;&gt;""," (구리 근무자명단 반영)","")&amp;" → 15일 이상 근무 병원 지급","타 병원 포함 → "&amp;IF($AJ257="","소속",INDEX(입력_파견수련계획!$T$4:$T$803,$AJ257))&amp;" 규칙"))))</f>
        <v/>
      </c>
      <c r="AP257" s="10">
        <f>IF($B257="","",$C257&amp;"|"&amp;$F257)</f>
        <v/>
      </c>
      <c r="AQ257" s="10">
        <f>IF($B257="","",IFERROR(MATCH(ROW()-1,출력_구리근무자!$K$6:$K$305,0),""))</f>
        <v/>
      </c>
      <c r="AR257" s="10">
        <f>IF($AQ257="","",INDEX(출력_구리근무자!$H$6:$H$305,$AQ257))</f>
        <v/>
      </c>
    </row>
    <row r="258">
      <c r="A258" s="10">
        <f>IF(B258="","",ROW()-1)</f>
        <v/>
      </c>
      <c r="B258" s="19" t="n"/>
      <c r="C258" s="10">
        <f>IF($AB258="","",IF(INDEX(입력_기본자료!$C$2:$C$1001,$AB258)="","",INDEX(입력_기본자료!$C$2:$C$1001,$AB258)))</f>
        <v/>
      </c>
      <c r="D258" s="10">
        <f>IF($AB258="","",IF(INDEX(입력_기본자료!$J$2:$J$1001,$AB258)="","",INDEX(입력_기본자료!$J$2:$J$1001,$AB258)))</f>
        <v/>
      </c>
      <c r="E258" s="11">
        <f>IF($AB258="","",IF(INDEX(입력_기본자료!$K$2:$K$1001,$AB258)="","",IF(NOT(ISNUMBER(INDEX(입력_기본자료!$K$2:$K$1001,$AB258))),INDEX(입력_기본자료!$K$2:$K$1001,$AB258),IF(INDEX(입력_기본자료!$K$2:$K$1001,$AB258)&lt;1000000,INDEX(입력_기본자료!$K$2:$K$1001,$AB258),IF(AND(INDEX(입력_기본자료!$K$2:$K$1001,$AB258)&gt;=10000101,INT(MOD(INDEX(입력_기본자료!$K$2:$K$1001,$AB258),10000)/100)&gt;=1,INT(MOD(INDEX(입력_기본자료!$K$2:$K$1001,$AB258),10000)/100)&lt;=12,MOD(INDEX(입력_기본자료!$K$2:$K$1001,$AB258),100)&gt;=1,MOD(INDEX(입력_기본자료!$K$2:$K$1001,$AB258),100)&lt;=31),DATE(INT(INDEX(입력_기본자료!$K$2:$K$1001,$AB258)/10000),INT(MOD(INDEX(입력_기본자료!$K$2:$K$1001,$AB258),10000)/100),MOD(INDEX(입력_기본자료!$K$2:$K$1001,$AB258),100)),INDEX(입력_기본자료!$K$2:$K$1001,$AB258)&amp;"")))))</f>
        <v/>
      </c>
      <c r="F258" s="10">
        <f>IF($AB258="","",IF(INDEX(입력_기본자료!$D$2:$D$1001,$AB258)="","",INDEX(입력_기본자료!$D$2:$D$1001,$AB258)))</f>
        <v/>
      </c>
      <c r="G258" s="10">
        <f>IF($AB258="","",IF(INDEX(입력_기본자료!$E$2:$E$1001,$AB258)="","",INDEX(입력_기본자료!$E$2:$E$1001,$AB258)))</f>
        <v/>
      </c>
      <c r="H258" s="10">
        <f>IF($AB258="","",IF(INDEX(입력_기본자료!$F$2:$F$1001,$AB258)="","",INDEX(입력_기본자료!$F$2:$F$1001,$AB258)))</f>
        <v/>
      </c>
      <c r="I258" s="11">
        <f>IF($AB258="","",IF(INDEX(입력_기본자료!$G$2:$G$1001,$AB258)="","",IF(NOT(ISNUMBER(INDEX(입력_기본자료!$G$2:$G$1001,$AB258))),INDEX(입력_기본자료!$G$2:$G$1001,$AB258),IF(INDEX(입력_기본자료!$G$2:$G$1001,$AB258)&lt;1000000,INDEX(입력_기본자료!$G$2:$G$1001,$AB258),IF(AND(INDEX(입력_기본자료!$G$2:$G$1001,$AB258)&gt;=10000101,INT(MOD(INDEX(입력_기본자료!$G$2:$G$1001,$AB258),10000)/100)&gt;=1,INT(MOD(INDEX(입력_기본자료!$G$2:$G$1001,$AB258),10000)/100)&lt;=12,MOD(INDEX(입력_기본자료!$G$2:$G$1001,$AB258),100)&gt;=1,MOD(INDEX(입력_기본자료!$G$2:$G$1001,$AB258),100)&lt;=31),DATE(INT(INDEX(입력_기본자료!$G$2:$G$1001,$AB258)/10000),INT(MOD(INDEX(입력_기본자료!$G$2:$G$1001,$AB258),10000)/100),MOD(INDEX(입력_기본자료!$G$2:$G$1001,$AB258),100)),INDEX(입력_기본자료!$G$2:$G$1001,$AB258)&amp;"")))))</f>
        <v/>
      </c>
      <c r="J258" s="10">
        <f>IF($AB258="","",IF(INDEX(입력_기본자료!$H$2:$H$1001,$AB258)="","",INDEX(입력_기본자료!$H$2:$H$1001,$AB258)))</f>
        <v/>
      </c>
      <c r="K258" s="10">
        <f>IF($AB258="","",IF(INDEX(입력_기본자료!$I$2:$I$1001,$AB258)="","",INDEX(입력_기본자료!$I$2:$I$1001,$AB258)))</f>
        <v/>
      </c>
      <c r="L258" s="10">
        <f>IF($AB258="","",IF(INDEX(입력_기본자료!$A$2:$A$1001,$AB258)="","",INDEX(입력_기본자료!$A$2:$A$1001,$AB258)))</f>
        <v/>
      </c>
      <c r="M258" s="15" t="n"/>
      <c r="N258" s="10">
        <f>IF($B258="","",IF(AND($U258="파견중",$Q258&lt;&gt;""),$Q258,IF(AND($AD258&lt;&gt;"",LEFT($AD258,1)&lt;&gt;"⚠"),LEFT($AD258,FIND(" ",$AD258)-1),IF($H258="","",IF(RIGHT($H258,2)="병원",$H258,$H258&amp;"병원")))))</f>
        <v/>
      </c>
      <c r="O258" s="10">
        <f>IF($B258="","",IF(AND($U258="파견중",$Q258&lt;&gt;""),IF($R258&lt;&gt;"",$R258,"파견과 미입력"),IF(AND($AD258&lt;&gt;"",LEFT($AD258,1)&lt;&gt;"⚠"),MID($AD258,FIND(" ",$AD258)+1,60),IF($F258="","",IF($F258="인턴","수련교육부(인턴)",$F258)))))</f>
        <v/>
      </c>
      <c r="P258" s="10">
        <f>IF($B258="","",IF($AK258&lt;&gt;"",IF(AND(TODAY()&gt;=INDEX(입력_파견수련계획!$AB$4:$AB$803,$AK258),OR(NOT(ISNUMBER(INDEX(입력_파견수련계획!$AC$4:$AC$803,$AK258))),TODAY()&lt;=INDEX(입력_파견수련계획!$AC$4:$AC$803,$AK258))),"다기관",IF($AF258="","",INDEX(입력_파견수련계획!$T$4:$T$803,$AF258))),IF($AF258="","",INDEX(입력_파견수련계획!$T$4:$T$803,$AF258))))</f>
        <v/>
      </c>
      <c r="Q258" s="10">
        <f>IF($AF258="","",INDEX(입력_파견수련계획!$S$4:$S$803,$AF258))</f>
        <v/>
      </c>
      <c r="R258" s="10">
        <f>IF($AF258="","",INDEX(입력_파견수련계획!$U$4:$U$803,$AF258))</f>
        <v/>
      </c>
      <c r="S258" s="11">
        <f>IF($AF258="","",IF(INDEX(입력_파견수련계획!$H$4:$H$803,$AF258)="","",INDEX(입력_파견수련계획!$H$4:$H$803,$AF258)))</f>
        <v/>
      </c>
      <c r="T258" s="11">
        <f>IF($AF258="","",IF(INDEX(입력_파견수련계획!$I$4:$I$803,$AF258)="","",INDEX(입력_파견수련계획!$I$4:$I$803,$AF258)))</f>
        <v/>
      </c>
      <c r="U258" s="10">
        <f>IF($AF258="","",INDEX(입력_파견수련계획!$X$4:$X$803,$AF258))</f>
        <v/>
      </c>
      <c r="V258" s="17">
        <f>IF($AF258="","",INDEX(입력_파견수련계획!$V$4:$V$803,$AF258))</f>
        <v/>
      </c>
      <c r="W258" s="17">
        <f>IF(AND($U258="파견중",$T258&lt;&gt;""),$T258-TODAY(),"")</f>
        <v/>
      </c>
      <c r="X258" s="17">
        <f>IF(OR($B258="",TRIM($J258&amp;"")=""),"",SUMPRODUCT((입력_파견수련계획!$Q$4:$Q$803=TRIM($J258&amp;""))*입력_파견수련계획!$W$4:$W$803))</f>
        <v/>
      </c>
      <c r="Y258" s="10">
        <f>IF($B258="","",IF($AG258="","",IF(IF(TRIM($J258&amp;"")="",0,SUMPRODUCT((입력_파견수련계획!$Q$4:$Q$803=TRIM($J258&amp;""))*입력_파견수련계획!$AD$4:$AD$803))&gt;0,$AE258,IF(AND(N($X258)&lt;=0,$AQ258=""),$AG258,IF($AH258+$AI258=DAY(EOMONTH(출력_요약!$B$3,0)),IF(AND($AH258&gt;=출력_요약!$E$3,$AI258&lt;출력_요약!$E$3),"서울병원",IF(AND($AI258&gt;=출력_요약!$E$3,$AH258&lt;출력_요약!$E$3),"구리병원","⚠15일 판정불가(서울 "&amp;$AH258&amp;"일/구리 "&amp;$AI258&amp;"일)")),IF($AJ258="",$AE258,IF(INDEX(입력_파견수련계획!$T$4:$T$803,$AJ258)="통합수련",INDEX(입력_파견수련계획!$S$4:$S$803,$AJ258),$AE258)))))))</f>
        <v/>
      </c>
      <c r="Z258" s="20">
        <f>IF($B258="","",IF($AB258="","기본자료에 없는 사번",IF(COUNTIF($B$2:$B$401,$B258)&gt;1,"중복 사번",IF($AE258="","소속(입사장소) 입력",IF(IF(TRIM($J258&amp;"")="",0,SUMPRODUCT((입력_파견수련계획!$Q$4:$Q$803=TRIM($J258&amp;""))*(입력_파견수련계획!$AA$4:$AA$803&lt;&gt;"")))&gt;0,"파견수련계획 입력오류 확인",IF(LEFT($Y258,1)="⚠","서울·구리 15일 판정 불가(양쪽 모두 이상/미만)",IF(IF($AC258="",0,N(INDEX(입력_인턴근무계획!$T$3:$T$402,$AC258)))&gt;0,"인턴계획 입력오류 확인",IF(AND($AQ258&lt;&gt;"",$AG258&lt;&gt;"구리병원",IF(TRIM($J258&amp;"")="",0,SUMPRODUCT((입력_파견수련계획!$Q$4:$Q$803=TRIM($J258&amp;""))*(입력_파견수련계획!$S$4:$S$803="구리병원")*입력_파견수련계획!$W$4:$W$803))=0),"구리 근무자명단에만 있음(파견수련계획 확인)",IF(AND($AC258&lt;&gt;"",$U258&lt;&gt;"파견중",$N258&lt;&gt;$AE258),"인턴 타지역 근무: 파견 여부 확인","정상")))))))))</f>
        <v/>
      </c>
      <c r="AA258" s="5" t="n"/>
      <c r="AB258" s="10">
        <f>IF($B258="","",IFERROR(MATCH($B258,입력_기본자료!$B$2:$B$1001,0),IFERROR(MATCH($B258&amp;"",입력_기본자료!$B$2:$B$1001,0),IFERROR(MATCH(VALUE($B258),입력_기본자료!$B$2:$B$1001,0),""))))</f>
        <v/>
      </c>
      <c r="AC258" s="10">
        <f>IF($B258="","",IFERROR(MATCH($B258,입력_인턴근무계획!$D$3:$D$402,0),IFERROR(MATCH($B258&amp;"",입력_인턴근무계획!$D$3:$D$402,0),IFERROR(MATCH(VALUE($B258),입력_인턴근무계획!$D$3:$D$402,0),""))))</f>
        <v/>
      </c>
      <c r="AD258" s="10">
        <f>IF(OR($AC258="",출력_인턴현황!$G$3=""),"",INDEX(입력_인턴근무계획!$M$3:$R$402,$AC258,출력_인턴현황!$G$3)&amp;"")</f>
        <v/>
      </c>
      <c r="AE258" s="10">
        <f>IF($B258="","",IF($M258&lt;&gt;"",$M258,IF(IF($AQ258="",FALSE,INDEX(출력_구리근무자!$J$6:$J$305,$AQ258)="구리독자"),"구리병원",IF($AF258&lt;&gt;"",IF(LEFT(INDEX(입력_파견수련계획!$R$4:$R$803,$AF258),1)&lt;&gt;"⚠",INDEX(입력_파견수련계획!$R$4:$R$803,$AF258),IF($H258="","",IF(RIGHT($H258,2)="병원",$H258,$H258&amp;"병원"))),IF($H258="","",IF(RIGHT($H258,2)="병원",$H258,$H258&amp;"병원"))))))</f>
        <v/>
      </c>
      <c r="AF258" s="10">
        <f>IF(OR($B258="",TRIM($J258&amp;"")=""),"",IFERROR(MATCH(TRIM($J258&amp;"")&amp;"|파견중",입력_파견수련계획!$Y$4:$Y$803,0),IFERROR(MATCH(TRIM($J258&amp;"")&amp;"|파견예정",입력_파견수련계획!$Y$4:$Y$803,0),IFERROR(MATCH(TRIM($J258&amp;"")&amp;"|파견종료",입력_파견수련계획!$Y$4:$Y$803,0),""))))</f>
        <v/>
      </c>
      <c r="AG258" s="10">
        <f>IF($B258="","",IF(AND(IF(OR($AC258="",출력_인턴현황!$K$2=""),"",INDEX(입력_인턴근무계획!$M$3:$R$402,$AC258,출력_인턴현황!$K$2)&amp;"")&lt;&gt;"",LEFT(IF(OR($AC258="",출력_인턴현황!$K$2=""),"",INDEX(입력_인턴근무계획!$M$3:$R$402,$AC258,출력_인턴현황!$K$2)&amp;""),1)&lt;&gt;"⚠"),LEFT(IF(OR($AC258="",출력_인턴현황!$K$2=""),"",INDEX(입력_인턴근무계획!$M$3:$R$402,$AC258,출력_인턴현황!$K$2)&amp;""),FIND(" ",IF(OR($AC258="",출력_인턴현황!$K$2=""),"",INDEX(입력_인턴근무계획!$M$3:$R$402,$AC258,출력_인턴현황!$K$2)&amp;""))-1),$AE258))</f>
        <v/>
      </c>
      <c r="AH258" s="17">
        <f>IF($B258="","",IF($AQ258&lt;&gt;"",MAX(0,DAY(EOMONTH(출력_요약!$B$3,0))-N($AR258)),IF(TRIM($J258&amp;"")="",0,SUMPRODUCT((입력_파견수련계획!$Q$4:$Q$803=TRIM($J258&amp;""))*(입력_파견수련계획!$S$4:$S$803="서울병원")*입력_파견수련계획!$W$4:$W$803))+IF($AG258="서울병원",MAX(0,DAY(EOMONTH(출력_요약!$B$3,0))-N($X258)),0)))</f>
        <v/>
      </c>
      <c r="AI258" s="17">
        <f>IF($B258="","",IF($AQ258&lt;&gt;"",N($AR258),IF(TRIM($J258&amp;"")="",0,SUMPRODUCT((입력_파견수련계획!$Q$4:$Q$803=TRIM($J258&amp;""))*(입력_파견수련계획!$S$4:$S$803="구리병원")*입력_파견수련계획!$W$4:$W$803))+IF($AG258="구리병원",MAX(0,DAY(EOMONTH(출력_요약!$B$3,0))-N($X258)),0)))</f>
        <v/>
      </c>
      <c r="AJ258" s="10">
        <f>IF(OR($B258="",TRIM($J258&amp;"")=""),"",IFERROR(MATCH(TRIM($J258&amp;"")&amp;"|월",입력_파견수련계획!$Z$4:$Z$803,0),""))</f>
        <v/>
      </c>
      <c r="AK258" s="10">
        <f>IF(OR($B258="",TRIM($J258&amp;"")=""),"",IFERROR(MATCH(TRIM($J258&amp;"")&amp;"|다기관",입력_파견수련계획!$AE$4:$AE$803,0),""))</f>
        <v/>
      </c>
      <c r="AL258" s="10">
        <f>IF($AK258="","","다기관 "&amp;TEXT(INDEX(입력_파견수련계획!$AB$4:$AB$803,$AK258),"yyyy-mm-dd")&amp;"~"&amp;IF(ISNUMBER(INDEX(입력_파견수련계획!$AC$4:$AC$803,$AK258)),TEXT(INDEX(입력_파견수련계획!$AC$4:$AC$803,$AK258),"yyyy-mm-dd"),""))</f>
        <v/>
      </c>
      <c r="AM258" s="10">
        <f>IF($Y258="서울병원",COUNTIF($Y$2:$Y258,"서울병원"),"")</f>
        <v/>
      </c>
      <c r="AN258" s="10">
        <f>IF(LEFT($Y258,1)="⚠",COUNTIF($Y$2:$Y258,"⚠*"),"")</f>
        <v/>
      </c>
      <c r="AO258" s="10">
        <f>IF(OR($B258="",$Y258=""),"",IF(IF(TRIM($J258&amp;"")="",0,SUMPRODUCT((입력_파견수련계획!$Q$4:$Q$803=TRIM($J258&amp;""))*입력_파견수련계획!$AD$4:$AD$803))&gt;0,"다기관 기간 → 소속병원 지급",IF(AND(N($X258)&lt;=0,$AQ258=""),"파견 없음 → 그 달 근무병원 지급",IF($AH258+$AI258=DAY(EOMONTH(출력_요약!$B$3,0)),"서울 "&amp;$AH258&amp;"일 / 구리 "&amp;$AI258&amp;"일"&amp;IF($AQ258&lt;&gt;""," (구리 근무자명단 반영)","")&amp;" → 15일 이상 근무 병원 지급","타 병원 포함 → "&amp;IF($AJ258="","소속",INDEX(입력_파견수련계획!$T$4:$T$803,$AJ258))&amp;" 규칙"))))</f>
        <v/>
      </c>
      <c r="AP258" s="10">
        <f>IF($B258="","",$C258&amp;"|"&amp;$F258)</f>
        <v/>
      </c>
      <c r="AQ258" s="10">
        <f>IF($B258="","",IFERROR(MATCH(ROW()-1,출력_구리근무자!$K$6:$K$305,0),""))</f>
        <v/>
      </c>
      <c r="AR258" s="10">
        <f>IF($AQ258="","",INDEX(출력_구리근무자!$H$6:$H$305,$AQ258))</f>
        <v/>
      </c>
    </row>
    <row r="259">
      <c r="A259" s="10">
        <f>IF(B259="","",ROW()-1)</f>
        <v/>
      </c>
      <c r="B259" s="19" t="n"/>
      <c r="C259" s="10">
        <f>IF($AB259="","",IF(INDEX(입력_기본자료!$C$2:$C$1001,$AB259)="","",INDEX(입력_기본자료!$C$2:$C$1001,$AB259)))</f>
        <v/>
      </c>
      <c r="D259" s="10">
        <f>IF($AB259="","",IF(INDEX(입력_기본자료!$J$2:$J$1001,$AB259)="","",INDEX(입력_기본자료!$J$2:$J$1001,$AB259)))</f>
        <v/>
      </c>
      <c r="E259" s="11">
        <f>IF($AB259="","",IF(INDEX(입력_기본자료!$K$2:$K$1001,$AB259)="","",IF(NOT(ISNUMBER(INDEX(입력_기본자료!$K$2:$K$1001,$AB259))),INDEX(입력_기본자료!$K$2:$K$1001,$AB259),IF(INDEX(입력_기본자료!$K$2:$K$1001,$AB259)&lt;1000000,INDEX(입력_기본자료!$K$2:$K$1001,$AB259),IF(AND(INDEX(입력_기본자료!$K$2:$K$1001,$AB259)&gt;=10000101,INT(MOD(INDEX(입력_기본자료!$K$2:$K$1001,$AB259),10000)/100)&gt;=1,INT(MOD(INDEX(입력_기본자료!$K$2:$K$1001,$AB259),10000)/100)&lt;=12,MOD(INDEX(입력_기본자료!$K$2:$K$1001,$AB259),100)&gt;=1,MOD(INDEX(입력_기본자료!$K$2:$K$1001,$AB259),100)&lt;=31),DATE(INT(INDEX(입력_기본자료!$K$2:$K$1001,$AB259)/10000),INT(MOD(INDEX(입력_기본자료!$K$2:$K$1001,$AB259),10000)/100),MOD(INDEX(입력_기본자료!$K$2:$K$1001,$AB259),100)),INDEX(입력_기본자료!$K$2:$K$1001,$AB259)&amp;"")))))</f>
        <v/>
      </c>
      <c r="F259" s="10">
        <f>IF($AB259="","",IF(INDEX(입력_기본자료!$D$2:$D$1001,$AB259)="","",INDEX(입력_기본자료!$D$2:$D$1001,$AB259)))</f>
        <v/>
      </c>
      <c r="G259" s="10">
        <f>IF($AB259="","",IF(INDEX(입력_기본자료!$E$2:$E$1001,$AB259)="","",INDEX(입력_기본자료!$E$2:$E$1001,$AB259)))</f>
        <v/>
      </c>
      <c r="H259" s="10">
        <f>IF($AB259="","",IF(INDEX(입력_기본자료!$F$2:$F$1001,$AB259)="","",INDEX(입력_기본자료!$F$2:$F$1001,$AB259)))</f>
        <v/>
      </c>
      <c r="I259" s="11">
        <f>IF($AB259="","",IF(INDEX(입력_기본자료!$G$2:$G$1001,$AB259)="","",IF(NOT(ISNUMBER(INDEX(입력_기본자료!$G$2:$G$1001,$AB259))),INDEX(입력_기본자료!$G$2:$G$1001,$AB259),IF(INDEX(입력_기본자료!$G$2:$G$1001,$AB259)&lt;1000000,INDEX(입력_기본자료!$G$2:$G$1001,$AB259),IF(AND(INDEX(입력_기본자료!$G$2:$G$1001,$AB259)&gt;=10000101,INT(MOD(INDEX(입력_기본자료!$G$2:$G$1001,$AB259),10000)/100)&gt;=1,INT(MOD(INDEX(입력_기본자료!$G$2:$G$1001,$AB259),10000)/100)&lt;=12,MOD(INDEX(입력_기본자료!$G$2:$G$1001,$AB259),100)&gt;=1,MOD(INDEX(입력_기본자료!$G$2:$G$1001,$AB259),100)&lt;=31),DATE(INT(INDEX(입력_기본자료!$G$2:$G$1001,$AB259)/10000),INT(MOD(INDEX(입력_기본자료!$G$2:$G$1001,$AB259),10000)/100),MOD(INDEX(입력_기본자료!$G$2:$G$1001,$AB259),100)),INDEX(입력_기본자료!$G$2:$G$1001,$AB259)&amp;"")))))</f>
        <v/>
      </c>
      <c r="J259" s="10">
        <f>IF($AB259="","",IF(INDEX(입력_기본자료!$H$2:$H$1001,$AB259)="","",INDEX(입력_기본자료!$H$2:$H$1001,$AB259)))</f>
        <v/>
      </c>
      <c r="K259" s="10">
        <f>IF($AB259="","",IF(INDEX(입력_기본자료!$I$2:$I$1001,$AB259)="","",INDEX(입력_기본자료!$I$2:$I$1001,$AB259)))</f>
        <v/>
      </c>
      <c r="L259" s="10">
        <f>IF($AB259="","",IF(INDEX(입력_기본자료!$A$2:$A$1001,$AB259)="","",INDEX(입력_기본자료!$A$2:$A$1001,$AB259)))</f>
        <v/>
      </c>
      <c r="M259" s="15" t="n"/>
      <c r="N259" s="10">
        <f>IF($B259="","",IF(AND($U259="파견중",$Q259&lt;&gt;""),$Q259,IF(AND($AD259&lt;&gt;"",LEFT($AD259,1)&lt;&gt;"⚠"),LEFT($AD259,FIND(" ",$AD259)-1),IF($H259="","",IF(RIGHT($H259,2)="병원",$H259,$H259&amp;"병원")))))</f>
        <v/>
      </c>
      <c r="O259" s="10">
        <f>IF($B259="","",IF(AND($U259="파견중",$Q259&lt;&gt;""),IF($R259&lt;&gt;"",$R259,"파견과 미입력"),IF(AND($AD259&lt;&gt;"",LEFT($AD259,1)&lt;&gt;"⚠"),MID($AD259,FIND(" ",$AD259)+1,60),IF($F259="","",IF($F259="인턴","수련교육부(인턴)",$F259)))))</f>
        <v/>
      </c>
      <c r="P259" s="10">
        <f>IF($B259="","",IF($AK259&lt;&gt;"",IF(AND(TODAY()&gt;=INDEX(입력_파견수련계획!$AB$4:$AB$803,$AK259),OR(NOT(ISNUMBER(INDEX(입력_파견수련계획!$AC$4:$AC$803,$AK259))),TODAY()&lt;=INDEX(입력_파견수련계획!$AC$4:$AC$803,$AK259))),"다기관",IF($AF259="","",INDEX(입력_파견수련계획!$T$4:$T$803,$AF259))),IF($AF259="","",INDEX(입력_파견수련계획!$T$4:$T$803,$AF259))))</f>
        <v/>
      </c>
      <c r="Q259" s="10">
        <f>IF($AF259="","",INDEX(입력_파견수련계획!$S$4:$S$803,$AF259))</f>
        <v/>
      </c>
      <c r="R259" s="10">
        <f>IF($AF259="","",INDEX(입력_파견수련계획!$U$4:$U$803,$AF259))</f>
        <v/>
      </c>
      <c r="S259" s="11">
        <f>IF($AF259="","",IF(INDEX(입력_파견수련계획!$H$4:$H$803,$AF259)="","",INDEX(입력_파견수련계획!$H$4:$H$803,$AF259)))</f>
        <v/>
      </c>
      <c r="T259" s="11">
        <f>IF($AF259="","",IF(INDEX(입력_파견수련계획!$I$4:$I$803,$AF259)="","",INDEX(입력_파견수련계획!$I$4:$I$803,$AF259)))</f>
        <v/>
      </c>
      <c r="U259" s="10">
        <f>IF($AF259="","",INDEX(입력_파견수련계획!$X$4:$X$803,$AF259))</f>
        <v/>
      </c>
      <c r="V259" s="17">
        <f>IF($AF259="","",INDEX(입력_파견수련계획!$V$4:$V$803,$AF259))</f>
        <v/>
      </c>
      <c r="W259" s="17">
        <f>IF(AND($U259="파견중",$T259&lt;&gt;""),$T259-TODAY(),"")</f>
        <v/>
      </c>
      <c r="X259" s="17">
        <f>IF(OR($B259="",TRIM($J259&amp;"")=""),"",SUMPRODUCT((입력_파견수련계획!$Q$4:$Q$803=TRIM($J259&amp;""))*입력_파견수련계획!$W$4:$W$803))</f>
        <v/>
      </c>
      <c r="Y259" s="10">
        <f>IF($B259="","",IF($AG259="","",IF(IF(TRIM($J259&amp;"")="",0,SUMPRODUCT((입력_파견수련계획!$Q$4:$Q$803=TRIM($J259&amp;""))*입력_파견수련계획!$AD$4:$AD$803))&gt;0,$AE259,IF(AND(N($X259)&lt;=0,$AQ259=""),$AG259,IF($AH259+$AI259=DAY(EOMONTH(출력_요약!$B$3,0)),IF(AND($AH259&gt;=출력_요약!$E$3,$AI259&lt;출력_요약!$E$3),"서울병원",IF(AND($AI259&gt;=출력_요약!$E$3,$AH259&lt;출력_요약!$E$3),"구리병원","⚠15일 판정불가(서울 "&amp;$AH259&amp;"일/구리 "&amp;$AI259&amp;"일)")),IF($AJ259="",$AE259,IF(INDEX(입력_파견수련계획!$T$4:$T$803,$AJ259)="통합수련",INDEX(입력_파견수련계획!$S$4:$S$803,$AJ259),$AE259)))))))</f>
        <v/>
      </c>
      <c r="Z259" s="20">
        <f>IF($B259="","",IF($AB259="","기본자료에 없는 사번",IF(COUNTIF($B$2:$B$401,$B259)&gt;1,"중복 사번",IF($AE259="","소속(입사장소) 입력",IF(IF(TRIM($J259&amp;"")="",0,SUMPRODUCT((입력_파견수련계획!$Q$4:$Q$803=TRIM($J259&amp;""))*(입력_파견수련계획!$AA$4:$AA$803&lt;&gt;"")))&gt;0,"파견수련계획 입력오류 확인",IF(LEFT($Y259,1)="⚠","서울·구리 15일 판정 불가(양쪽 모두 이상/미만)",IF(IF($AC259="",0,N(INDEX(입력_인턴근무계획!$T$3:$T$402,$AC259)))&gt;0,"인턴계획 입력오류 확인",IF(AND($AQ259&lt;&gt;"",$AG259&lt;&gt;"구리병원",IF(TRIM($J259&amp;"")="",0,SUMPRODUCT((입력_파견수련계획!$Q$4:$Q$803=TRIM($J259&amp;""))*(입력_파견수련계획!$S$4:$S$803="구리병원")*입력_파견수련계획!$W$4:$W$803))=0),"구리 근무자명단에만 있음(파견수련계획 확인)",IF(AND($AC259&lt;&gt;"",$U259&lt;&gt;"파견중",$N259&lt;&gt;$AE259),"인턴 타지역 근무: 파견 여부 확인","정상")))))))))</f>
        <v/>
      </c>
      <c r="AA259" s="5" t="n"/>
      <c r="AB259" s="10">
        <f>IF($B259="","",IFERROR(MATCH($B259,입력_기본자료!$B$2:$B$1001,0),IFERROR(MATCH($B259&amp;"",입력_기본자료!$B$2:$B$1001,0),IFERROR(MATCH(VALUE($B259),입력_기본자료!$B$2:$B$1001,0),""))))</f>
        <v/>
      </c>
      <c r="AC259" s="10">
        <f>IF($B259="","",IFERROR(MATCH($B259,입력_인턴근무계획!$D$3:$D$402,0),IFERROR(MATCH($B259&amp;"",입력_인턴근무계획!$D$3:$D$402,0),IFERROR(MATCH(VALUE($B259),입력_인턴근무계획!$D$3:$D$402,0),""))))</f>
        <v/>
      </c>
      <c r="AD259" s="10">
        <f>IF(OR($AC259="",출력_인턴현황!$G$3=""),"",INDEX(입력_인턴근무계획!$M$3:$R$402,$AC259,출력_인턴현황!$G$3)&amp;"")</f>
        <v/>
      </c>
      <c r="AE259" s="10">
        <f>IF($B259="","",IF($M259&lt;&gt;"",$M259,IF(IF($AQ259="",FALSE,INDEX(출력_구리근무자!$J$6:$J$305,$AQ259)="구리독자"),"구리병원",IF($AF259&lt;&gt;"",IF(LEFT(INDEX(입력_파견수련계획!$R$4:$R$803,$AF259),1)&lt;&gt;"⚠",INDEX(입력_파견수련계획!$R$4:$R$803,$AF259),IF($H259="","",IF(RIGHT($H259,2)="병원",$H259,$H259&amp;"병원"))),IF($H259="","",IF(RIGHT($H259,2)="병원",$H259,$H259&amp;"병원"))))))</f>
        <v/>
      </c>
      <c r="AF259" s="10">
        <f>IF(OR($B259="",TRIM($J259&amp;"")=""),"",IFERROR(MATCH(TRIM($J259&amp;"")&amp;"|파견중",입력_파견수련계획!$Y$4:$Y$803,0),IFERROR(MATCH(TRIM($J259&amp;"")&amp;"|파견예정",입력_파견수련계획!$Y$4:$Y$803,0),IFERROR(MATCH(TRIM($J259&amp;"")&amp;"|파견종료",입력_파견수련계획!$Y$4:$Y$803,0),""))))</f>
        <v/>
      </c>
      <c r="AG259" s="10">
        <f>IF($B259="","",IF(AND(IF(OR($AC259="",출력_인턴현황!$K$2=""),"",INDEX(입력_인턴근무계획!$M$3:$R$402,$AC259,출력_인턴현황!$K$2)&amp;"")&lt;&gt;"",LEFT(IF(OR($AC259="",출력_인턴현황!$K$2=""),"",INDEX(입력_인턴근무계획!$M$3:$R$402,$AC259,출력_인턴현황!$K$2)&amp;""),1)&lt;&gt;"⚠"),LEFT(IF(OR($AC259="",출력_인턴현황!$K$2=""),"",INDEX(입력_인턴근무계획!$M$3:$R$402,$AC259,출력_인턴현황!$K$2)&amp;""),FIND(" ",IF(OR($AC259="",출력_인턴현황!$K$2=""),"",INDEX(입력_인턴근무계획!$M$3:$R$402,$AC259,출력_인턴현황!$K$2)&amp;""))-1),$AE259))</f>
        <v/>
      </c>
      <c r="AH259" s="17">
        <f>IF($B259="","",IF($AQ259&lt;&gt;"",MAX(0,DAY(EOMONTH(출력_요약!$B$3,0))-N($AR259)),IF(TRIM($J259&amp;"")="",0,SUMPRODUCT((입력_파견수련계획!$Q$4:$Q$803=TRIM($J259&amp;""))*(입력_파견수련계획!$S$4:$S$803="서울병원")*입력_파견수련계획!$W$4:$W$803))+IF($AG259="서울병원",MAX(0,DAY(EOMONTH(출력_요약!$B$3,0))-N($X259)),0)))</f>
        <v/>
      </c>
      <c r="AI259" s="17">
        <f>IF($B259="","",IF($AQ259&lt;&gt;"",N($AR259),IF(TRIM($J259&amp;"")="",0,SUMPRODUCT((입력_파견수련계획!$Q$4:$Q$803=TRIM($J259&amp;""))*(입력_파견수련계획!$S$4:$S$803="구리병원")*입력_파견수련계획!$W$4:$W$803))+IF($AG259="구리병원",MAX(0,DAY(EOMONTH(출력_요약!$B$3,0))-N($X259)),0)))</f>
        <v/>
      </c>
      <c r="AJ259" s="10">
        <f>IF(OR($B259="",TRIM($J259&amp;"")=""),"",IFERROR(MATCH(TRIM($J259&amp;"")&amp;"|월",입력_파견수련계획!$Z$4:$Z$803,0),""))</f>
        <v/>
      </c>
      <c r="AK259" s="10">
        <f>IF(OR($B259="",TRIM($J259&amp;"")=""),"",IFERROR(MATCH(TRIM($J259&amp;"")&amp;"|다기관",입력_파견수련계획!$AE$4:$AE$803,0),""))</f>
        <v/>
      </c>
      <c r="AL259" s="10">
        <f>IF($AK259="","","다기관 "&amp;TEXT(INDEX(입력_파견수련계획!$AB$4:$AB$803,$AK259),"yyyy-mm-dd")&amp;"~"&amp;IF(ISNUMBER(INDEX(입력_파견수련계획!$AC$4:$AC$803,$AK259)),TEXT(INDEX(입력_파견수련계획!$AC$4:$AC$803,$AK259),"yyyy-mm-dd"),""))</f>
        <v/>
      </c>
      <c r="AM259" s="10">
        <f>IF($Y259="서울병원",COUNTIF($Y$2:$Y259,"서울병원"),"")</f>
        <v/>
      </c>
      <c r="AN259" s="10">
        <f>IF(LEFT($Y259,1)="⚠",COUNTIF($Y$2:$Y259,"⚠*"),"")</f>
        <v/>
      </c>
      <c r="AO259" s="10">
        <f>IF(OR($B259="",$Y259=""),"",IF(IF(TRIM($J259&amp;"")="",0,SUMPRODUCT((입력_파견수련계획!$Q$4:$Q$803=TRIM($J259&amp;""))*입력_파견수련계획!$AD$4:$AD$803))&gt;0,"다기관 기간 → 소속병원 지급",IF(AND(N($X259)&lt;=0,$AQ259=""),"파견 없음 → 그 달 근무병원 지급",IF($AH259+$AI259=DAY(EOMONTH(출력_요약!$B$3,0)),"서울 "&amp;$AH259&amp;"일 / 구리 "&amp;$AI259&amp;"일"&amp;IF($AQ259&lt;&gt;""," (구리 근무자명단 반영)","")&amp;" → 15일 이상 근무 병원 지급","타 병원 포함 → "&amp;IF($AJ259="","소속",INDEX(입력_파견수련계획!$T$4:$T$803,$AJ259))&amp;" 규칙"))))</f>
        <v/>
      </c>
      <c r="AP259" s="10">
        <f>IF($B259="","",$C259&amp;"|"&amp;$F259)</f>
        <v/>
      </c>
      <c r="AQ259" s="10">
        <f>IF($B259="","",IFERROR(MATCH(ROW()-1,출력_구리근무자!$K$6:$K$305,0),""))</f>
        <v/>
      </c>
      <c r="AR259" s="10">
        <f>IF($AQ259="","",INDEX(출력_구리근무자!$H$6:$H$305,$AQ259))</f>
        <v/>
      </c>
    </row>
    <row r="260">
      <c r="A260" s="10">
        <f>IF(B260="","",ROW()-1)</f>
        <v/>
      </c>
      <c r="B260" s="19" t="n"/>
      <c r="C260" s="10">
        <f>IF($AB260="","",IF(INDEX(입력_기본자료!$C$2:$C$1001,$AB260)="","",INDEX(입력_기본자료!$C$2:$C$1001,$AB260)))</f>
        <v/>
      </c>
      <c r="D260" s="10">
        <f>IF($AB260="","",IF(INDEX(입력_기본자료!$J$2:$J$1001,$AB260)="","",INDEX(입력_기본자료!$J$2:$J$1001,$AB260)))</f>
        <v/>
      </c>
      <c r="E260" s="11">
        <f>IF($AB260="","",IF(INDEX(입력_기본자료!$K$2:$K$1001,$AB260)="","",IF(NOT(ISNUMBER(INDEX(입력_기본자료!$K$2:$K$1001,$AB260))),INDEX(입력_기본자료!$K$2:$K$1001,$AB260),IF(INDEX(입력_기본자료!$K$2:$K$1001,$AB260)&lt;1000000,INDEX(입력_기본자료!$K$2:$K$1001,$AB260),IF(AND(INDEX(입력_기본자료!$K$2:$K$1001,$AB260)&gt;=10000101,INT(MOD(INDEX(입력_기본자료!$K$2:$K$1001,$AB260),10000)/100)&gt;=1,INT(MOD(INDEX(입력_기본자료!$K$2:$K$1001,$AB260),10000)/100)&lt;=12,MOD(INDEX(입력_기본자료!$K$2:$K$1001,$AB260),100)&gt;=1,MOD(INDEX(입력_기본자료!$K$2:$K$1001,$AB260),100)&lt;=31),DATE(INT(INDEX(입력_기본자료!$K$2:$K$1001,$AB260)/10000),INT(MOD(INDEX(입력_기본자료!$K$2:$K$1001,$AB260),10000)/100),MOD(INDEX(입력_기본자료!$K$2:$K$1001,$AB260),100)),INDEX(입력_기본자료!$K$2:$K$1001,$AB260)&amp;"")))))</f>
        <v/>
      </c>
      <c r="F260" s="10">
        <f>IF($AB260="","",IF(INDEX(입력_기본자료!$D$2:$D$1001,$AB260)="","",INDEX(입력_기본자료!$D$2:$D$1001,$AB260)))</f>
        <v/>
      </c>
      <c r="G260" s="10">
        <f>IF($AB260="","",IF(INDEX(입력_기본자료!$E$2:$E$1001,$AB260)="","",INDEX(입력_기본자료!$E$2:$E$1001,$AB260)))</f>
        <v/>
      </c>
      <c r="H260" s="10">
        <f>IF($AB260="","",IF(INDEX(입력_기본자료!$F$2:$F$1001,$AB260)="","",INDEX(입력_기본자료!$F$2:$F$1001,$AB260)))</f>
        <v/>
      </c>
      <c r="I260" s="11">
        <f>IF($AB260="","",IF(INDEX(입력_기본자료!$G$2:$G$1001,$AB260)="","",IF(NOT(ISNUMBER(INDEX(입력_기본자료!$G$2:$G$1001,$AB260))),INDEX(입력_기본자료!$G$2:$G$1001,$AB260),IF(INDEX(입력_기본자료!$G$2:$G$1001,$AB260)&lt;1000000,INDEX(입력_기본자료!$G$2:$G$1001,$AB260),IF(AND(INDEX(입력_기본자료!$G$2:$G$1001,$AB260)&gt;=10000101,INT(MOD(INDEX(입력_기본자료!$G$2:$G$1001,$AB260),10000)/100)&gt;=1,INT(MOD(INDEX(입력_기본자료!$G$2:$G$1001,$AB260),10000)/100)&lt;=12,MOD(INDEX(입력_기본자료!$G$2:$G$1001,$AB260),100)&gt;=1,MOD(INDEX(입력_기본자료!$G$2:$G$1001,$AB260),100)&lt;=31),DATE(INT(INDEX(입력_기본자료!$G$2:$G$1001,$AB260)/10000),INT(MOD(INDEX(입력_기본자료!$G$2:$G$1001,$AB260),10000)/100),MOD(INDEX(입력_기본자료!$G$2:$G$1001,$AB260),100)),INDEX(입력_기본자료!$G$2:$G$1001,$AB260)&amp;"")))))</f>
        <v/>
      </c>
      <c r="J260" s="10">
        <f>IF($AB260="","",IF(INDEX(입력_기본자료!$H$2:$H$1001,$AB260)="","",INDEX(입력_기본자료!$H$2:$H$1001,$AB260)))</f>
        <v/>
      </c>
      <c r="K260" s="10">
        <f>IF($AB260="","",IF(INDEX(입력_기본자료!$I$2:$I$1001,$AB260)="","",INDEX(입력_기본자료!$I$2:$I$1001,$AB260)))</f>
        <v/>
      </c>
      <c r="L260" s="10">
        <f>IF($AB260="","",IF(INDEX(입력_기본자료!$A$2:$A$1001,$AB260)="","",INDEX(입력_기본자료!$A$2:$A$1001,$AB260)))</f>
        <v/>
      </c>
      <c r="M260" s="15" t="n"/>
      <c r="N260" s="10">
        <f>IF($B260="","",IF(AND($U260="파견중",$Q260&lt;&gt;""),$Q260,IF(AND($AD260&lt;&gt;"",LEFT($AD260,1)&lt;&gt;"⚠"),LEFT($AD260,FIND(" ",$AD260)-1),IF($H260="","",IF(RIGHT($H260,2)="병원",$H260,$H260&amp;"병원")))))</f>
        <v/>
      </c>
      <c r="O260" s="10">
        <f>IF($B260="","",IF(AND($U260="파견중",$Q260&lt;&gt;""),IF($R260&lt;&gt;"",$R260,"파견과 미입력"),IF(AND($AD260&lt;&gt;"",LEFT($AD260,1)&lt;&gt;"⚠"),MID($AD260,FIND(" ",$AD260)+1,60),IF($F260="","",IF($F260="인턴","수련교육부(인턴)",$F260)))))</f>
        <v/>
      </c>
      <c r="P260" s="10">
        <f>IF($B260="","",IF($AK260&lt;&gt;"",IF(AND(TODAY()&gt;=INDEX(입력_파견수련계획!$AB$4:$AB$803,$AK260),OR(NOT(ISNUMBER(INDEX(입력_파견수련계획!$AC$4:$AC$803,$AK260))),TODAY()&lt;=INDEX(입력_파견수련계획!$AC$4:$AC$803,$AK260))),"다기관",IF($AF260="","",INDEX(입력_파견수련계획!$T$4:$T$803,$AF260))),IF($AF260="","",INDEX(입력_파견수련계획!$T$4:$T$803,$AF260))))</f>
        <v/>
      </c>
      <c r="Q260" s="10">
        <f>IF($AF260="","",INDEX(입력_파견수련계획!$S$4:$S$803,$AF260))</f>
        <v/>
      </c>
      <c r="R260" s="10">
        <f>IF($AF260="","",INDEX(입력_파견수련계획!$U$4:$U$803,$AF260))</f>
        <v/>
      </c>
      <c r="S260" s="11">
        <f>IF($AF260="","",IF(INDEX(입력_파견수련계획!$H$4:$H$803,$AF260)="","",INDEX(입력_파견수련계획!$H$4:$H$803,$AF260)))</f>
        <v/>
      </c>
      <c r="T260" s="11">
        <f>IF($AF260="","",IF(INDEX(입력_파견수련계획!$I$4:$I$803,$AF260)="","",INDEX(입력_파견수련계획!$I$4:$I$803,$AF260)))</f>
        <v/>
      </c>
      <c r="U260" s="10">
        <f>IF($AF260="","",INDEX(입력_파견수련계획!$X$4:$X$803,$AF260))</f>
        <v/>
      </c>
      <c r="V260" s="17">
        <f>IF($AF260="","",INDEX(입력_파견수련계획!$V$4:$V$803,$AF260))</f>
        <v/>
      </c>
      <c r="W260" s="17">
        <f>IF(AND($U260="파견중",$T260&lt;&gt;""),$T260-TODAY(),"")</f>
        <v/>
      </c>
      <c r="X260" s="17">
        <f>IF(OR($B260="",TRIM($J260&amp;"")=""),"",SUMPRODUCT((입력_파견수련계획!$Q$4:$Q$803=TRIM($J260&amp;""))*입력_파견수련계획!$W$4:$W$803))</f>
        <v/>
      </c>
      <c r="Y260" s="10">
        <f>IF($B260="","",IF($AG260="","",IF(IF(TRIM($J260&amp;"")="",0,SUMPRODUCT((입력_파견수련계획!$Q$4:$Q$803=TRIM($J260&amp;""))*입력_파견수련계획!$AD$4:$AD$803))&gt;0,$AE260,IF(AND(N($X260)&lt;=0,$AQ260=""),$AG260,IF($AH260+$AI260=DAY(EOMONTH(출력_요약!$B$3,0)),IF(AND($AH260&gt;=출력_요약!$E$3,$AI260&lt;출력_요약!$E$3),"서울병원",IF(AND($AI260&gt;=출력_요약!$E$3,$AH260&lt;출력_요약!$E$3),"구리병원","⚠15일 판정불가(서울 "&amp;$AH260&amp;"일/구리 "&amp;$AI260&amp;"일)")),IF($AJ260="",$AE260,IF(INDEX(입력_파견수련계획!$T$4:$T$803,$AJ260)="통합수련",INDEX(입력_파견수련계획!$S$4:$S$803,$AJ260),$AE260)))))))</f>
        <v/>
      </c>
      <c r="Z260" s="20">
        <f>IF($B260="","",IF($AB260="","기본자료에 없는 사번",IF(COUNTIF($B$2:$B$401,$B260)&gt;1,"중복 사번",IF($AE260="","소속(입사장소) 입력",IF(IF(TRIM($J260&amp;"")="",0,SUMPRODUCT((입력_파견수련계획!$Q$4:$Q$803=TRIM($J260&amp;""))*(입력_파견수련계획!$AA$4:$AA$803&lt;&gt;"")))&gt;0,"파견수련계획 입력오류 확인",IF(LEFT($Y260,1)="⚠","서울·구리 15일 판정 불가(양쪽 모두 이상/미만)",IF(IF($AC260="",0,N(INDEX(입력_인턴근무계획!$T$3:$T$402,$AC260)))&gt;0,"인턴계획 입력오류 확인",IF(AND($AQ260&lt;&gt;"",$AG260&lt;&gt;"구리병원",IF(TRIM($J260&amp;"")="",0,SUMPRODUCT((입력_파견수련계획!$Q$4:$Q$803=TRIM($J260&amp;""))*(입력_파견수련계획!$S$4:$S$803="구리병원")*입력_파견수련계획!$W$4:$W$803))=0),"구리 근무자명단에만 있음(파견수련계획 확인)",IF(AND($AC260&lt;&gt;"",$U260&lt;&gt;"파견중",$N260&lt;&gt;$AE260),"인턴 타지역 근무: 파견 여부 확인","정상")))))))))</f>
        <v/>
      </c>
      <c r="AA260" s="5" t="n"/>
      <c r="AB260" s="10">
        <f>IF($B260="","",IFERROR(MATCH($B260,입력_기본자료!$B$2:$B$1001,0),IFERROR(MATCH($B260&amp;"",입력_기본자료!$B$2:$B$1001,0),IFERROR(MATCH(VALUE($B260),입력_기본자료!$B$2:$B$1001,0),""))))</f>
        <v/>
      </c>
      <c r="AC260" s="10">
        <f>IF($B260="","",IFERROR(MATCH($B260,입력_인턴근무계획!$D$3:$D$402,0),IFERROR(MATCH($B260&amp;"",입력_인턴근무계획!$D$3:$D$402,0),IFERROR(MATCH(VALUE($B260),입력_인턴근무계획!$D$3:$D$402,0),""))))</f>
        <v/>
      </c>
      <c r="AD260" s="10">
        <f>IF(OR($AC260="",출력_인턴현황!$G$3=""),"",INDEX(입력_인턴근무계획!$M$3:$R$402,$AC260,출력_인턴현황!$G$3)&amp;"")</f>
        <v/>
      </c>
      <c r="AE260" s="10">
        <f>IF($B260="","",IF($M260&lt;&gt;"",$M260,IF(IF($AQ260="",FALSE,INDEX(출력_구리근무자!$J$6:$J$305,$AQ260)="구리독자"),"구리병원",IF($AF260&lt;&gt;"",IF(LEFT(INDEX(입력_파견수련계획!$R$4:$R$803,$AF260),1)&lt;&gt;"⚠",INDEX(입력_파견수련계획!$R$4:$R$803,$AF260),IF($H260="","",IF(RIGHT($H260,2)="병원",$H260,$H260&amp;"병원"))),IF($H260="","",IF(RIGHT($H260,2)="병원",$H260,$H260&amp;"병원"))))))</f>
        <v/>
      </c>
      <c r="AF260" s="10">
        <f>IF(OR($B260="",TRIM($J260&amp;"")=""),"",IFERROR(MATCH(TRIM($J260&amp;"")&amp;"|파견중",입력_파견수련계획!$Y$4:$Y$803,0),IFERROR(MATCH(TRIM($J260&amp;"")&amp;"|파견예정",입력_파견수련계획!$Y$4:$Y$803,0),IFERROR(MATCH(TRIM($J260&amp;"")&amp;"|파견종료",입력_파견수련계획!$Y$4:$Y$803,0),""))))</f>
        <v/>
      </c>
      <c r="AG260" s="10">
        <f>IF($B260="","",IF(AND(IF(OR($AC260="",출력_인턴현황!$K$2=""),"",INDEX(입력_인턴근무계획!$M$3:$R$402,$AC260,출력_인턴현황!$K$2)&amp;"")&lt;&gt;"",LEFT(IF(OR($AC260="",출력_인턴현황!$K$2=""),"",INDEX(입력_인턴근무계획!$M$3:$R$402,$AC260,출력_인턴현황!$K$2)&amp;""),1)&lt;&gt;"⚠"),LEFT(IF(OR($AC260="",출력_인턴현황!$K$2=""),"",INDEX(입력_인턴근무계획!$M$3:$R$402,$AC260,출력_인턴현황!$K$2)&amp;""),FIND(" ",IF(OR($AC260="",출력_인턴현황!$K$2=""),"",INDEX(입력_인턴근무계획!$M$3:$R$402,$AC260,출력_인턴현황!$K$2)&amp;""))-1),$AE260))</f>
        <v/>
      </c>
      <c r="AH260" s="17">
        <f>IF($B260="","",IF($AQ260&lt;&gt;"",MAX(0,DAY(EOMONTH(출력_요약!$B$3,0))-N($AR260)),IF(TRIM($J260&amp;"")="",0,SUMPRODUCT((입력_파견수련계획!$Q$4:$Q$803=TRIM($J260&amp;""))*(입력_파견수련계획!$S$4:$S$803="서울병원")*입력_파견수련계획!$W$4:$W$803))+IF($AG260="서울병원",MAX(0,DAY(EOMONTH(출력_요약!$B$3,0))-N($X260)),0)))</f>
        <v/>
      </c>
      <c r="AI260" s="17">
        <f>IF($B260="","",IF($AQ260&lt;&gt;"",N($AR260),IF(TRIM($J260&amp;"")="",0,SUMPRODUCT((입력_파견수련계획!$Q$4:$Q$803=TRIM($J260&amp;""))*(입력_파견수련계획!$S$4:$S$803="구리병원")*입력_파견수련계획!$W$4:$W$803))+IF($AG260="구리병원",MAX(0,DAY(EOMONTH(출력_요약!$B$3,0))-N($X260)),0)))</f>
        <v/>
      </c>
      <c r="AJ260" s="10">
        <f>IF(OR($B260="",TRIM($J260&amp;"")=""),"",IFERROR(MATCH(TRIM($J260&amp;"")&amp;"|월",입력_파견수련계획!$Z$4:$Z$803,0),""))</f>
        <v/>
      </c>
      <c r="AK260" s="10">
        <f>IF(OR($B260="",TRIM($J260&amp;"")=""),"",IFERROR(MATCH(TRIM($J260&amp;"")&amp;"|다기관",입력_파견수련계획!$AE$4:$AE$803,0),""))</f>
        <v/>
      </c>
      <c r="AL260" s="10">
        <f>IF($AK260="","","다기관 "&amp;TEXT(INDEX(입력_파견수련계획!$AB$4:$AB$803,$AK260),"yyyy-mm-dd")&amp;"~"&amp;IF(ISNUMBER(INDEX(입력_파견수련계획!$AC$4:$AC$803,$AK260)),TEXT(INDEX(입력_파견수련계획!$AC$4:$AC$803,$AK260),"yyyy-mm-dd"),""))</f>
        <v/>
      </c>
      <c r="AM260" s="10">
        <f>IF($Y260="서울병원",COUNTIF($Y$2:$Y260,"서울병원"),"")</f>
        <v/>
      </c>
      <c r="AN260" s="10">
        <f>IF(LEFT($Y260,1)="⚠",COUNTIF($Y$2:$Y260,"⚠*"),"")</f>
        <v/>
      </c>
      <c r="AO260" s="10">
        <f>IF(OR($B260="",$Y260=""),"",IF(IF(TRIM($J260&amp;"")="",0,SUMPRODUCT((입력_파견수련계획!$Q$4:$Q$803=TRIM($J260&amp;""))*입력_파견수련계획!$AD$4:$AD$803))&gt;0,"다기관 기간 → 소속병원 지급",IF(AND(N($X260)&lt;=0,$AQ260=""),"파견 없음 → 그 달 근무병원 지급",IF($AH260+$AI260=DAY(EOMONTH(출력_요약!$B$3,0)),"서울 "&amp;$AH260&amp;"일 / 구리 "&amp;$AI260&amp;"일"&amp;IF($AQ260&lt;&gt;""," (구리 근무자명단 반영)","")&amp;" → 15일 이상 근무 병원 지급","타 병원 포함 → "&amp;IF($AJ260="","소속",INDEX(입력_파견수련계획!$T$4:$T$803,$AJ260))&amp;" 규칙"))))</f>
        <v/>
      </c>
      <c r="AP260" s="10">
        <f>IF($B260="","",$C260&amp;"|"&amp;$F260)</f>
        <v/>
      </c>
      <c r="AQ260" s="10">
        <f>IF($B260="","",IFERROR(MATCH(ROW()-1,출력_구리근무자!$K$6:$K$305,0),""))</f>
        <v/>
      </c>
      <c r="AR260" s="10">
        <f>IF($AQ260="","",INDEX(출력_구리근무자!$H$6:$H$305,$AQ260))</f>
        <v/>
      </c>
    </row>
    <row r="261">
      <c r="A261" s="10">
        <f>IF(B261="","",ROW()-1)</f>
        <v/>
      </c>
      <c r="B261" s="19" t="n"/>
      <c r="C261" s="10">
        <f>IF($AB261="","",IF(INDEX(입력_기본자료!$C$2:$C$1001,$AB261)="","",INDEX(입력_기본자료!$C$2:$C$1001,$AB261)))</f>
        <v/>
      </c>
      <c r="D261" s="10">
        <f>IF($AB261="","",IF(INDEX(입력_기본자료!$J$2:$J$1001,$AB261)="","",INDEX(입력_기본자료!$J$2:$J$1001,$AB261)))</f>
        <v/>
      </c>
      <c r="E261" s="11">
        <f>IF($AB261="","",IF(INDEX(입력_기본자료!$K$2:$K$1001,$AB261)="","",IF(NOT(ISNUMBER(INDEX(입력_기본자료!$K$2:$K$1001,$AB261))),INDEX(입력_기본자료!$K$2:$K$1001,$AB261),IF(INDEX(입력_기본자료!$K$2:$K$1001,$AB261)&lt;1000000,INDEX(입력_기본자료!$K$2:$K$1001,$AB261),IF(AND(INDEX(입력_기본자료!$K$2:$K$1001,$AB261)&gt;=10000101,INT(MOD(INDEX(입력_기본자료!$K$2:$K$1001,$AB261),10000)/100)&gt;=1,INT(MOD(INDEX(입력_기본자료!$K$2:$K$1001,$AB261),10000)/100)&lt;=12,MOD(INDEX(입력_기본자료!$K$2:$K$1001,$AB261),100)&gt;=1,MOD(INDEX(입력_기본자료!$K$2:$K$1001,$AB261),100)&lt;=31),DATE(INT(INDEX(입력_기본자료!$K$2:$K$1001,$AB261)/10000),INT(MOD(INDEX(입력_기본자료!$K$2:$K$1001,$AB261),10000)/100),MOD(INDEX(입력_기본자료!$K$2:$K$1001,$AB261),100)),INDEX(입력_기본자료!$K$2:$K$1001,$AB261)&amp;"")))))</f>
        <v/>
      </c>
      <c r="F261" s="10">
        <f>IF($AB261="","",IF(INDEX(입력_기본자료!$D$2:$D$1001,$AB261)="","",INDEX(입력_기본자료!$D$2:$D$1001,$AB261)))</f>
        <v/>
      </c>
      <c r="G261" s="10">
        <f>IF($AB261="","",IF(INDEX(입력_기본자료!$E$2:$E$1001,$AB261)="","",INDEX(입력_기본자료!$E$2:$E$1001,$AB261)))</f>
        <v/>
      </c>
      <c r="H261" s="10">
        <f>IF($AB261="","",IF(INDEX(입력_기본자료!$F$2:$F$1001,$AB261)="","",INDEX(입력_기본자료!$F$2:$F$1001,$AB261)))</f>
        <v/>
      </c>
      <c r="I261" s="11">
        <f>IF($AB261="","",IF(INDEX(입력_기본자료!$G$2:$G$1001,$AB261)="","",IF(NOT(ISNUMBER(INDEX(입력_기본자료!$G$2:$G$1001,$AB261))),INDEX(입력_기본자료!$G$2:$G$1001,$AB261),IF(INDEX(입력_기본자료!$G$2:$G$1001,$AB261)&lt;1000000,INDEX(입력_기본자료!$G$2:$G$1001,$AB261),IF(AND(INDEX(입력_기본자료!$G$2:$G$1001,$AB261)&gt;=10000101,INT(MOD(INDEX(입력_기본자료!$G$2:$G$1001,$AB261),10000)/100)&gt;=1,INT(MOD(INDEX(입력_기본자료!$G$2:$G$1001,$AB261),10000)/100)&lt;=12,MOD(INDEX(입력_기본자료!$G$2:$G$1001,$AB261),100)&gt;=1,MOD(INDEX(입력_기본자료!$G$2:$G$1001,$AB261),100)&lt;=31),DATE(INT(INDEX(입력_기본자료!$G$2:$G$1001,$AB261)/10000),INT(MOD(INDEX(입력_기본자료!$G$2:$G$1001,$AB261),10000)/100),MOD(INDEX(입력_기본자료!$G$2:$G$1001,$AB261),100)),INDEX(입력_기본자료!$G$2:$G$1001,$AB261)&amp;"")))))</f>
        <v/>
      </c>
      <c r="J261" s="10">
        <f>IF($AB261="","",IF(INDEX(입력_기본자료!$H$2:$H$1001,$AB261)="","",INDEX(입력_기본자료!$H$2:$H$1001,$AB261)))</f>
        <v/>
      </c>
      <c r="K261" s="10">
        <f>IF($AB261="","",IF(INDEX(입력_기본자료!$I$2:$I$1001,$AB261)="","",INDEX(입력_기본자료!$I$2:$I$1001,$AB261)))</f>
        <v/>
      </c>
      <c r="L261" s="10">
        <f>IF($AB261="","",IF(INDEX(입력_기본자료!$A$2:$A$1001,$AB261)="","",INDEX(입력_기본자료!$A$2:$A$1001,$AB261)))</f>
        <v/>
      </c>
      <c r="M261" s="15" t="n"/>
      <c r="N261" s="10">
        <f>IF($B261="","",IF(AND($U261="파견중",$Q261&lt;&gt;""),$Q261,IF(AND($AD261&lt;&gt;"",LEFT($AD261,1)&lt;&gt;"⚠"),LEFT($AD261,FIND(" ",$AD261)-1),IF($H261="","",IF(RIGHT($H261,2)="병원",$H261,$H261&amp;"병원")))))</f>
        <v/>
      </c>
      <c r="O261" s="10">
        <f>IF($B261="","",IF(AND($U261="파견중",$Q261&lt;&gt;""),IF($R261&lt;&gt;"",$R261,"파견과 미입력"),IF(AND($AD261&lt;&gt;"",LEFT($AD261,1)&lt;&gt;"⚠"),MID($AD261,FIND(" ",$AD261)+1,60),IF($F261="","",IF($F261="인턴","수련교육부(인턴)",$F261)))))</f>
        <v/>
      </c>
      <c r="P261" s="10">
        <f>IF($B261="","",IF($AK261&lt;&gt;"",IF(AND(TODAY()&gt;=INDEX(입력_파견수련계획!$AB$4:$AB$803,$AK261),OR(NOT(ISNUMBER(INDEX(입력_파견수련계획!$AC$4:$AC$803,$AK261))),TODAY()&lt;=INDEX(입력_파견수련계획!$AC$4:$AC$803,$AK261))),"다기관",IF($AF261="","",INDEX(입력_파견수련계획!$T$4:$T$803,$AF261))),IF($AF261="","",INDEX(입력_파견수련계획!$T$4:$T$803,$AF261))))</f>
        <v/>
      </c>
      <c r="Q261" s="10">
        <f>IF($AF261="","",INDEX(입력_파견수련계획!$S$4:$S$803,$AF261))</f>
        <v/>
      </c>
      <c r="R261" s="10">
        <f>IF($AF261="","",INDEX(입력_파견수련계획!$U$4:$U$803,$AF261))</f>
        <v/>
      </c>
      <c r="S261" s="11">
        <f>IF($AF261="","",IF(INDEX(입력_파견수련계획!$H$4:$H$803,$AF261)="","",INDEX(입력_파견수련계획!$H$4:$H$803,$AF261)))</f>
        <v/>
      </c>
      <c r="T261" s="11">
        <f>IF($AF261="","",IF(INDEX(입력_파견수련계획!$I$4:$I$803,$AF261)="","",INDEX(입력_파견수련계획!$I$4:$I$803,$AF261)))</f>
        <v/>
      </c>
      <c r="U261" s="10">
        <f>IF($AF261="","",INDEX(입력_파견수련계획!$X$4:$X$803,$AF261))</f>
        <v/>
      </c>
      <c r="V261" s="17">
        <f>IF($AF261="","",INDEX(입력_파견수련계획!$V$4:$V$803,$AF261))</f>
        <v/>
      </c>
      <c r="W261" s="17">
        <f>IF(AND($U261="파견중",$T261&lt;&gt;""),$T261-TODAY(),"")</f>
        <v/>
      </c>
      <c r="X261" s="17">
        <f>IF(OR($B261="",TRIM($J261&amp;"")=""),"",SUMPRODUCT((입력_파견수련계획!$Q$4:$Q$803=TRIM($J261&amp;""))*입력_파견수련계획!$W$4:$W$803))</f>
        <v/>
      </c>
      <c r="Y261" s="10">
        <f>IF($B261="","",IF($AG261="","",IF(IF(TRIM($J261&amp;"")="",0,SUMPRODUCT((입력_파견수련계획!$Q$4:$Q$803=TRIM($J261&amp;""))*입력_파견수련계획!$AD$4:$AD$803))&gt;0,$AE261,IF(AND(N($X261)&lt;=0,$AQ261=""),$AG261,IF($AH261+$AI261=DAY(EOMONTH(출력_요약!$B$3,0)),IF(AND($AH261&gt;=출력_요약!$E$3,$AI261&lt;출력_요약!$E$3),"서울병원",IF(AND($AI261&gt;=출력_요약!$E$3,$AH261&lt;출력_요약!$E$3),"구리병원","⚠15일 판정불가(서울 "&amp;$AH261&amp;"일/구리 "&amp;$AI261&amp;"일)")),IF($AJ261="",$AE261,IF(INDEX(입력_파견수련계획!$T$4:$T$803,$AJ261)="통합수련",INDEX(입력_파견수련계획!$S$4:$S$803,$AJ261),$AE261)))))))</f>
        <v/>
      </c>
      <c r="Z261" s="20">
        <f>IF($B261="","",IF($AB261="","기본자료에 없는 사번",IF(COUNTIF($B$2:$B$401,$B261)&gt;1,"중복 사번",IF($AE261="","소속(입사장소) 입력",IF(IF(TRIM($J261&amp;"")="",0,SUMPRODUCT((입력_파견수련계획!$Q$4:$Q$803=TRIM($J261&amp;""))*(입력_파견수련계획!$AA$4:$AA$803&lt;&gt;"")))&gt;0,"파견수련계획 입력오류 확인",IF(LEFT($Y261,1)="⚠","서울·구리 15일 판정 불가(양쪽 모두 이상/미만)",IF(IF($AC261="",0,N(INDEX(입력_인턴근무계획!$T$3:$T$402,$AC261)))&gt;0,"인턴계획 입력오류 확인",IF(AND($AQ261&lt;&gt;"",$AG261&lt;&gt;"구리병원",IF(TRIM($J261&amp;"")="",0,SUMPRODUCT((입력_파견수련계획!$Q$4:$Q$803=TRIM($J261&amp;""))*(입력_파견수련계획!$S$4:$S$803="구리병원")*입력_파견수련계획!$W$4:$W$803))=0),"구리 근무자명단에만 있음(파견수련계획 확인)",IF(AND($AC261&lt;&gt;"",$U261&lt;&gt;"파견중",$N261&lt;&gt;$AE261),"인턴 타지역 근무: 파견 여부 확인","정상")))))))))</f>
        <v/>
      </c>
      <c r="AA261" s="5" t="n"/>
      <c r="AB261" s="10">
        <f>IF($B261="","",IFERROR(MATCH($B261,입력_기본자료!$B$2:$B$1001,0),IFERROR(MATCH($B261&amp;"",입력_기본자료!$B$2:$B$1001,0),IFERROR(MATCH(VALUE($B261),입력_기본자료!$B$2:$B$1001,0),""))))</f>
        <v/>
      </c>
      <c r="AC261" s="10">
        <f>IF($B261="","",IFERROR(MATCH($B261,입력_인턴근무계획!$D$3:$D$402,0),IFERROR(MATCH($B261&amp;"",입력_인턴근무계획!$D$3:$D$402,0),IFERROR(MATCH(VALUE($B261),입력_인턴근무계획!$D$3:$D$402,0),""))))</f>
        <v/>
      </c>
      <c r="AD261" s="10">
        <f>IF(OR($AC261="",출력_인턴현황!$G$3=""),"",INDEX(입력_인턴근무계획!$M$3:$R$402,$AC261,출력_인턴현황!$G$3)&amp;"")</f>
        <v/>
      </c>
      <c r="AE261" s="10">
        <f>IF($B261="","",IF($M261&lt;&gt;"",$M261,IF(IF($AQ261="",FALSE,INDEX(출력_구리근무자!$J$6:$J$305,$AQ261)="구리독자"),"구리병원",IF($AF261&lt;&gt;"",IF(LEFT(INDEX(입력_파견수련계획!$R$4:$R$803,$AF261),1)&lt;&gt;"⚠",INDEX(입력_파견수련계획!$R$4:$R$803,$AF261),IF($H261="","",IF(RIGHT($H261,2)="병원",$H261,$H261&amp;"병원"))),IF($H261="","",IF(RIGHT($H261,2)="병원",$H261,$H261&amp;"병원"))))))</f>
        <v/>
      </c>
      <c r="AF261" s="10">
        <f>IF(OR($B261="",TRIM($J261&amp;"")=""),"",IFERROR(MATCH(TRIM($J261&amp;"")&amp;"|파견중",입력_파견수련계획!$Y$4:$Y$803,0),IFERROR(MATCH(TRIM($J261&amp;"")&amp;"|파견예정",입력_파견수련계획!$Y$4:$Y$803,0),IFERROR(MATCH(TRIM($J261&amp;"")&amp;"|파견종료",입력_파견수련계획!$Y$4:$Y$803,0),""))))</f>
        <v/>
      </c>
      <c r="AG261" s="10">
        <f>IF($B261="","",IF(AND(IF(OR($AC261="",출력_인턴현황!$K$2=""),"",INDEX(입력_인턴근무계획!$M$3:$R$402,$AC261,출력_인턴현황!$K$2)&amp;"")&lt;&gt;"",LEFT(IF(OR($AC261="",출력_인턴현황!$K$2=""),"",INDEX(입력_인턴근무계획!$M$3:$R$402,$AC261,출력_인턴현황!$K$2)&amp;""),1)&lt;&gt;"⚠"),LEFT(IF(OR($AC261="",출력_인턴현황!$K$2=""),"",INDEX(입력_인턴근무계획!$M$3:$R$402,$AC261,출력_인턴현황!$K$2)&amp;""),FIND(" ",IF(OR($AC261="",출력_인턴현황!$K$2=""),"",INDEX(입력_인턴근무계획!$M$3:$R$402,$AC261,출력_인턴현황!$K$2)&amp;""))-1),$AE261))</f>
        <v/>
      </c>
      <c r="AH261" s="17">
        <f>IF($B261="","",IF($AQ261&lt;&gt;"",MAX(0,DAY(EOMONTH(출력_요약!$B$3,0))-N($AR261)),IF(TRIM($J261&amp;"")="",0,SUMPRODUCT((입력_파견수련계획!$Q$4:$Q$803=TRIM($J261&amp;""))*(입력_파견수련계획!$S$4:$S$803="서울병원")*입력_파견수련계획!$W$4:$W$803))+IF($AG261="서울병원",MAX(0,DAY(EOMONTH(출력_요약!$B$3,0))-N($X261)),0)))</f>
        <v/>
      </c>
      <c r="AI261" s="17">
        <f>IF($B261="","",IF($AQ261&lt;&gt;"",N($AR261),IF(TRIM($J261&amp;"")="",0,SUMPRODUCT((입력_파견수련계획!$Q$4:$Q$803=TRIM($J261&amp;""))*(입력_파견수련계획!$S$4:$S$803="구리병원")*입력_파견수련계획!$W$4:$W$803))+IF($AG261="구리병원",MAX(0,DAY(EOMONTH(출력_요약!$B$3,0))-N($X261)),0)))</f>
        <v/>
      </c>
      <c r="AJ261" s="10">
        <f>IF(OR($B261="",TRIM($J261&amp;"")=""),"",IFERROR(MATCH(TRIM($J261&amp;"")&amp;"|월",입력_파견수련계획!$Z$4:$Z$803,0),""))</f>
        <v/>
      </c>
      <c r="AK261" s="10">
        <f>IF(OR($B261="",TRIM($J261&amp;"")=""),"",IFERROR(MATCH(TRIM($J261&amp;"")&amp;"|다기관",입력_파견수련계획!$AE$4:$AE$803,0),""))</f>
        <v/>
      </c>
      <c r="AL261" s="10">
        <f>IF($AK261="","","다기관 "&amp;TEXT(INDEX(입력_파견수련계획!$AB$4:$AB$803,$AK261),"yyyy-mm-dd")&amp;"~"&amp;IF(ISNUMBER(INDEX(입력_파견수련계획!$AC$4:$AC$803,$AK261)),TEXT(INDEX(입력_파견수련계획!$AC$4:$AC$803,$AK261),"yyyy-mm-dd"),""))</f>
        <v/>
      </c>
      <c r="AM261" s="10">
        <f>IF($Y261="서울병원",COUNTIF($Y$2:$Y261,"서울병원"),"")</f>
        <v/>
      </c>
      <c r="AN261" s="10">
        <f>IF(LEFT($Y261,1)="⚠",COUNTIF($Y$2:$Y261,"⚠*"),"")</f>
        <v/>
      </c>
      <c r="AO261" s="10">
        <f>IF(OR($B261="",$Y261=""),"",IF(IF(TRIM($J261&amp;"")="",0,SUMPRODUCT((입력_파견수련계획!$Q$4:$Q$803=TRIM($J261&amp;""))*입력_파견수련계획!$AD$4:$AD$803))&gt;0,"다기관 기간 → 소속병원 지급",IF(AND(N($X261)&lt;=0,$AQ261=""),"파견 없음 → 그 달 근무병원 지급",IF($AH261+$AI261=DAY(EOMONTH(출력_요약!$B$3,0)),"서울 "&amp;$AH261&amp;"일 / 구리 "&amp;$AI261&amp;"일"&amp;IF($AQ261&lt;&gt;""," (구리 근무자명단 반영)","")&amp;" → 15일 이상 근무 병원 지급","타 병원 포함 → "&amp;IF($AJ261="","소속",INDEX(입력_파견수련계획!$T$4:$T$803,$AJ261))&amp;" 규칙"))))</f>
        <v/>
      </c>
      <c r="AP261" s="10">
        <f>IF($B261="","",$C261&amp;"|"&amp;$F261)</f>
        <v/>
      </c>
      <c r="AQ261" s="10">
        <f>IF($B261="","",IFERROR(MATCH(ROW()-1,출력_구리근무자!$K$6:$K$305,0),""))</f>
        <v/>
      </c>
      <c r="AR261" s="10">
        <f>IF($AQ261="","",INDEX(출력_구리근무자!$H$6:$H$305,$AQ261))</f>
        <v/>
      </c>
    </row>
    <row r="262">
      <c r="A262" s="10">
        <f>IF(B262="","",ROW()-1)</f>
        <v/>
      </c>
      <c r="B262" s="19" t="n"/>
      <c r="C262" s="10">
        <f>IF($AB262="","",IF(INDEX(입력_기본자료!$C$2:$C$1001,$AB262)="","",INDEX(입력_기본자료!$C$2:$C$1001,$AB262)))</f>
        <v/>
      </c>
      <c r="D262" s="10">
        <f>IF($AB262="","",IF(INDEX(입력_기본자료!$J$2:$J$1001,$AB262)="","",INDEX(입력_기본자료!$J$2:$J$1001,$AB262)))</f>
        <v/>
      </c>
      <c r="E262" s="11">
        <f>IF($AB262="","",IF(INDEX(입력_기본자료!$K$2:$K$1001,$AB262)="","",IF(NOT(ISNUMBER(INDEX(입력_기본자료!$K$2:$K$1001,$AB262))),INDEX(입력_기본자료!$K$2:$K$1001,$AB262),IF(INDEX(입력_기본자료!$K$2:$K$1001,$AB262)&lt;1000000,INDEX(입력_기본자료!$K$2:$K$1001,$AB262),IF(AND(INDEX(입력_기본자료!$K$2:$K$1001,$AB262)&gt;=10000101,INT(MOD(INDEX(입력_기본자료!$K$2:$K$1001,$AB262),10000)/100)&gt;=1,INT(MOD(INDEX(입력_기본자료!$K$2:$K$1001,$AB262),10000)/100)&lt;=12,MOD(INDEX(입력_기본자료!$K$2:$K$1001,$AB262),100)&gt;=1,MOD(INDEX(입력_기본자료!$K$2:$K$1001,$AB262),100)&lt;=31),DATE(INT(INDEX(입력_기본자료!$K$2:$K$1001,$AB262)/10000),INT(MOD(INDEX(입력_기본자료!$K$2:$K$1001,$AB262),10000)/100),MOD(INDEX(입력_기본자료!$K$2:$K$1001,$AB262),100)),INDEX(입력_기본자료!$K$2:$K$1001,$AB262)&amp;"")))))</f>
        <v/>
      </c>
      <c r="F262" s="10">
        <f>IF($AB262="","",IF(INDEX(입력_기본자료!$D$2:$D$1001,$AB262)="","",INDEX(입력_기본자료!$D$2:$D$1001,$AB262)))</f>
        <v/>
      </c>
      <c r="G262" s="10">
        <f>IF($AB262="","",IF(INDEX(입력_기본자료!$E$2:$E$1001,$AB262)="","",INDEX(입력_기본자료!$E$2:$E$1001,$AB262)))</f>
        <v/>
      </c>
      <c r="H262" s="10">
        <f>IF($AB262="","",IF(INDEX(입력_기본자료!$F$2:$F$1001,$AB262)="","",INDEX(입력_기본자료!$F$2:$F$1001,$AB262)))</f>
        <v/>
      </c>
      <c r="I262" s="11">
        <f>IF($AB262="","",IF(INDEX(입력_기본자료!$G$2:$G$1001,$AB262)="","",IF(NOT(ISNUMBER(INDEX(입력_기본자료!$G$2:$G$1001,$AB262))),INDEX(입력_기본자료!$G$2:$G$1001,$AB262),IF(INDEX(입력_기본자료!$G$2:$G$1001,$AB262)&lt;1000000,INDEX(입력_기본자료!$G$2:$G$1001,$AB262),IF(AND(INDEX(입력_기본자료!$G$2:$G$1001,$AB262)&gt;=10000101,INT(MOD(INDEX(입력_기본자료!$G$2:$G$1001,$AB262),10000)/100)&gt;=1,INT(MOD(INDEX(입력_기본자료!$G$2:$G$1001,$AB262),10000)/100)&lt;=12,MOD(INDEX(입력_기본자료!$G$2:$G$1001,$AB262),100)&gt;=1,MOD(INDEX(입력_기본자료!$G$2:$G$1001,$AB262),100)&lt;=31),DATE(INT(INDEX(입력_기본자료!$G$2:$G$1001,$AB262)/10000),INT(MOD(INDEX(입력_기본자료!$G$2:$G$1001,$AB262),10000)/100),MOD(INDEX(입력_기본자료!$G$2:$G$1001,$AB262),100)),INDEX(입력_기본자료!$G$2:$G$1001,$AB262)&amp;"")))))</f>
        <v/>
      </c>
      <c r="J262" s="10">
        <f>IF($AB262="","",IF(INDEX(입력_기본자료!$H$2:$H$1001,$AB262)="","",INDEX(입력_기본자료!$H$2:$H$1001,$AB262)))</f>
        <v/>
      </c>
      <c r="K262" s="10">
        <f>IF($AB262="","",IF(INDEX(입력_기본자료!$I$2:$I$1001,$AB262)="","",INDEX(입력_기본자료!$I$2:$I$1001,$AB262)))</f>
        <v/>
      </c>
      <c r="L262" s="10">
        <f>IF($AB262="","",IF(INDEX(입력_기본자료!$A$2:$A$1001,$AB262)="","",INDEX(입력_기본자료!$A$2:$A$1001,$AB262)))</f>
        <v/>
      </c>
      <c r="M262" s="15" t="n"/>
      <c r="N262" s="10">
        <f>IF($B262="","",IF(AND($U262="파견중",$Q262&lt;&gt;""),$Q262,IF(AND($AD262&lt;&gt;"",LEFT($AD262,1)&lt;&gt;"⚠"),LEFT($AD262,FIND(" ",$AD262)-1),IF($H262="","",IF(RIGHT($H262,2)="병원",$H262,$H262&amp;"병원")))))</f>
        <v/>
      </c>
      <c r="O262" s="10">
        <f>IF($B262="","",IF(AND($U262="파견중",$Q262&lt;&gt;""),IF($R262&lt;&gt;"",$R262,"파견과 미입력"),IF(AND($AD262&lt;&gt;"",LEFT($AD262,1)&lt;&gt;"⚠"),MID($AD262,FIND(" ",$AD262)+1,60),IF($F262="","",IF($F262="인턴","수련교육부(인턴)",$F262)))))</f>
        <v/>
      </c>
      <c r="P262" s="10">
        <f>IF($B262="","",IF($AK262&lt;&gt;"",IF(AND(TODAY()&gt;=INDEX(입력_파견수련계획!$AB$4:$AB$803,$AK262),OR(NOT(ISNUMBER(INDEX(입력_파견수련계획!$AC$4:$AC$803,$AK262))),TODAY()&lt;=INDEX(입력_파견수련계획!$AC$4:$AC$803,$AK262))),"다기관",IF($AF262="","",INDEX(입력_파견수련계획!$T$4:$T$803,$AF262))),IF($AF262="","",INDEX(입력_파견수련계획!$T$4:$T$803,$AF262))))</f>
        <v/>
      </c>
      <c r="Q262" s="10">
        <f>IF($AF262="","",INDEX(입력_파견수련계획!$S$4:$S$803,$AF262))</f>
        <v/>
      </c>
      <c r="R262" s="10">
        <f>IF($AF262="","",INDEX(입력_파견수련계획!$U$4:$U$803,$AF262))</f>
        <v/>
      </c>
      <c r="S262" s="11">
        <f>IF($AF262="","",IF(INDEX(입력_파견수련계획!$H$4:$H$803,$AF262)="","",INDEX(입력_파견수련계획!$H$4:$H$803,$AF262)))</f>
        <v/>
      </c>
      <c r="T262" s="11">
        <f>IF($AF262="","",IF(INDEX(입력_파견수련계획!$I$4:$I$803,$AF262)="","",INDEX(입력_파견수련계획!$I$4:$I$803,$AF262)))</f>
        <v/>
      </c>
      <c r="U262" s="10">
        <f>IF($AF262="","",INDEX(입력_파견수련계획!$X$4:$X$803,$AF262))</f>
        <v/>
      </c>
      <c r="V262" s="17">
        <f>IF($AF262="","",INDEX(입력_파견수련계획!$V$4:$V$803,$AF262))</f>
        <v/>
      </c>
      <c r="W262" s="17">
        <f>IF(AND($U262="파견중",$T262&lt;&gt;""),$T262-TODAY(),"")</f>
        <v/>
      </c>
      <c r="X262" s="17">
        <f>IF(OR($B262="",TRIM($J262&amp;"")=""),"",SUMPRODUCT((입력_파견수련계획!$Q$4:$Q$803=TRIM($J262&amp;""))*입력_파견수련계획!$W$4:$W$803))</f>
        <v/>
      </c>
      <c r="Y262" s="10">
        <f>IF($B262="","",IF($AG262="","",IF(IF(TRIM($J262&amp;"")="",0,SUMPRODUCT((입력_파견수련계획!$Q$4:$Q$803=TRIM($J262&amp;""))*입력_파견수련계획!$AD$4:$AD$803))&gt;0,$AE262,IF(AND(N($X262)&lt;=0,$AQ262=""),$AG262,IF($AH262+$AI262=DAY(EOMONTH(출력_요약!$B$3,0)),IF(AND($AH262&gt;=출력_요약!$E$3,$AI262&lt;출력_요약!$E$3),"서울병원",IF(AND($AI262&gt;=출력_요약!$E$3,$AH262&lt;출력_요약!$E$3),"구리병원","⚠15일 판정불가(서울 "&amp;$AH262&amp;"일/구리 "&amp;$AI262&amp;"일)")),IF($AJ262="",$AE262,IF(INDEX(입력_파견수련계획!$T$4:$T$803,$AJ262)="통합수련",INDEX(입력_파견수련계획!$S$4:$S$803,$AJ262),$AE262)))))))</f>
        <v/>
      </c>
      <c r="Z262" s="20">
        <f>IF($B262="","",IF($AB262="","기본자료에 없는 사번",IF(COUNTIF($B$2:$B$401,$B262)&gt;1,"중복 사번",IF($AE262="","소속(입사장소) 입력",IF(IF(TRIM($J262&amp;"")="",0,SUMPRODUCT((입력_파견수련계획!$Q$4:$Q$803=TRIM($J262&amp;""))*(입력_파견수련계획!$AA$4:$AA$803&lt;&gt;"")))&gt;0,"파견수련계획 입력오류 확인",IF(LEFT($Y262,1)="⚠","서울·구리 15일 판정 불가(양쪽 모두 이상/미만)",IF(IF($AC262="",0,N(INDEX(입력_인턴근무계획!$T$3:$T$402,$AC262)))&gt;0,"인턴계획 입력오류 확인",IF(AND($AQ262&lt;&gt;"",$AG262&lt;&gt;"구리병원",IF(TRIM($J262&amp;"")="",0,SUMPRODUCT((입력_파견수련계획!$Q$4:$Q$803=TRIM($J262&amp;""))*(입력_파견수련계획!$S$4:$S$803="구리병원")*입력_파견수련계획!$W$4:$W$803))=0),"구리 근무자명단에만 있음(파견수련계획 확인)",IF(AND($AC262&lt;&gt;"",$U262&lt;&gt;"파견중",$N262&lt;&gt;$AE262),"인턴 타지역 근무: 파견 여부 확인","정상")))))))))</f>
        <v/>
      </c>
      <c r="AA262" s="5" t="n"/>
      <c r="AB262" s="10">
        <f>IF($B262="","",IFERROR(MATCH($B262,입력_기본자료!$B$2:$B$1001,0),IFERROR(MATCH($B262&amp;"",입력_기본자료!$B$2:$B$1001,0),IFERROR(MATCH(VALUE($B262),입력_기본자료!$B$2:$B$1001,0),""))))</f>
        <v/>
      </c>
      <c r="AC262" s="10">
        <f>IF($B262="","",IFERROR(MATCH($B262,입력_인턴근무계획!$D$3:$D$402,0),IFERROR(MATCH($B262&amp;"",입력_인턴근무계획!$D$3:$D$402,0),IFERROR(MATCH(VALUE($B262),입력_인턴근무계획!$D$3:$D$402,0),""))))</f>
        <v/>
      </c>
      <c r="AD262" s="10">
        <f>IF(OR($AC262="",출력_인턴현황!$G$3=""),"",INDEX(입력_인턴근무계획!$M$3:$R$402,$AC262,출력_인턴현황!$G$3)&amp;"")</f>
        <v/>
      </c>
      <c r="AE262" s="10">
        <f>IF($B262="","",IF($M262&lt;&gt;"",$M262,IF(IF($AQ262="",FALSE,INDEX(출력_구리근무자!$J$6:$J$305,$AQ262)="구리독자"),"구리병원",IF($AF262&lt;&gt;"",IF(LEFT(INDEX(입력_파견수련계획!$R$4:$R$803,$AF262),1)&lt;&gt;"⚠",INDEX(입력_파견수련계획!$R$4:$R$803,$AF262),IF($H262="","",IF(RIGHT($H262,2)="병원",$H262,$H262&amp;"병원"))),IF($H262="","",IF(RIGHT($H262,2)="병원",$H262,$H262&amp;"병원"))))))</f>
        <v/>
      </c>
      <c r="AF262" s="10">
        <f>IF(OR($B262="",TRIM($J262&amp;"")=""),"",IFERROR(MATCH(TRIM($J262&amp;"")&amp;"|파견중",입력_파견수련계획!$Y$4:$Y$803,0),IFERROR(MATCH(TRIM($J262&amp;"")&amp;"|파견예정",입력_파견수련계획!$Y$4:$Y$803,0),IFERROR(MATCH(TRIM($J262&amp;"")&amp;"|파견종료",입력_파견수련계획!$Y$4:$Y$803,0),""))))</f>
        <v/>
      </c>
      <c r="AG262" s="10">
        <f>IF($B262="","",IF(AND(IF(OR($AC262="",출력_인턴현황!$K$2=""),"",INDEX(입력_인턴근무계획!$M$3:$R$402,$AC262,출력_인턴현황!$K$2)&amp;"")&lt;&gt;"",LEFT(IF(OR($AC262="",출력_인턴현황!$K$2=""),"",INDEX(입력_인턴근무계획!$M$3:$R$402,$AC262,출력_인턴현황!$K$2)&amp;""),1)&lt;&gt;"⚠"),LEFT(IF(OR($AC262="",출력_인턴현황!$K$2=""),"",INDEX(입력_인턴근무계획!$M$3:$R$402,$AC262,출력_인턴현황!$K$2)&amp;""),FIND(" ",IF(OR($AC262="",출력_인턴현황!$K$2=""),"",INDEX(입력_인턴근무계획!$M$3:$R$402,$AC262,출력_인턴현황!$K$2)&amp;""))-1),$AE262))</f>
        <v/>
      </c>
      <c r="AH262" s="17">
        <f>IF($B262="","",IF($AQ262&lt;&gt;"",MAX(0,DAY(EOMONTH(출력_요약!$B$3,0))-N($AR262)),IF(TRIM($J262&amp;"")="",0,SUMPRODUCT((입력_파견수련계획!$Q$4:$Q$803=TRIM($J262&amp;""))*(입력_파견수련계획!$S$4:$S$803="서울병원")*입력_파견수련계획!$W$4:$W$803))+IF($AG262="서울병원",MAX(0,DAY(EOMONTH(출력_요약!$B$3,0))-N($X262)),0)))</f>
        <v/>
      </c>
      <c r="AI262" s="17">
        <f>IF($B262="","",IF($AQ262&lt;&gt;"",N($AR262),IF(TRIM($J262&amp;"")="",0,SUMPRODUCT((입력_파견수련계획!$Q$4:$Q$803=TRIM($J262&amp;""))*(입력_파견수련계획!$S$4:$S$803="구리병원")*입력_파견수련계획!$W$4:$W$803))+IF($AG262="구리병원",MAX(0,DAY(EOMONTH(출력_요약!$B$3,0))-N($X262)),0)))</f>
        <v/>
      </c>
      <c r="AJ262" s="10">
        <f>IF(OR($B262="",TRIM($J262&amp;"")=""),"",IFERROR(MATCH(TRIM($J262&amp;"")&amp;"|월",입력_파견수련계획!$Z$4:$Z$803,0),""))</f>
        <v/>
      </c>
      <c r="AK262" s="10">
        <f>IF(OR($B262="",TRIM($J262&amp;"")=""),"",IFERROR(MATCH(TRIM($J262&amp;"")&amp;"|다기관",입력_파견수련계획!$AE$4:$AE$803,0),""))</f>
        <v/>
      </c>
      <c r="AL262" s="10">
        <f>IF($AK262="","","다기관 "&amp;TEXT(INDEX(입력_파견수련계획!$AB$4:$AB$803,$AK262),"yyyy-mm-dd")&amp;"~"&amp;IF(ISNUMBER(INDEX(입력_파견수련계획!$AC$4:$AC$803,$AK262)),TEXT(INDEX(입력_파견수련계획!$AC$4:$AC$803,$AK262),"yyyy-mm-dd"),""))</f>
        <v/>
      </c>
      <c r="AM262" s="10">
        <f>IF($Y262="서울병원",COUNTIF($Y$2:$Y262,"서울병원"),"")</f>
        <v/>
      </c>
      <c r="AN262" s="10">
        <f>IF(LEFT($Y262,1)="⚠",COUNTIF($Y$2:$Y262,"⚠*"),"")</f>
        <v/>
      </c>
      <c r="AO262" s="10">
        <f>IF(OR($B262="",$Y262=""),"",IF(IF(TRIM($J262&amp;"")="",0,SUMPRODUCT((입력_파견수련계획!$Q$4:$Q$803=TRIM($J262&amp;""))*입력_파견수련계획!$AD$4:$AD$803))&gt;0,"다기관 기간 → 소속병원 지급",IF(AND(N($X262)&lt;=0,$AQ262=""),"파견 없음 → 그 달 근무병원 지급",IF($AH262+$AI262=DAY(EOMONTH(출력_요약!$B$3,0)),"서울 "&amp;$AH262&amp;"일 / 구리 "&amp;$AI262&amp;"일"&amp;IF($AQ262&lt;&gt;""," (구리 근무자명단 반영)","")&amp;" → 15일 이상 근무 병원 지급","타 병원 포함 → "&amp;IF($AJ262="","소속",INDEX(입력_파견수련계획!$T$4:$T$803,$AJ262))&amp;" 규칙"))))</f>
        <v/>
      </c>
      <c r="AP262" s="10">
        <f>IF($B262="","",$C262&amp;"|"&amp;$F262)</f>
        <v/>
      </c>
      <c r="AQ262" s="10">
        <f>IF($B262="","",IFERROR(MATCH(ROW()-1,출력_구리근무자!$K$6:$K$305,0),""))</f>
        <v/>
      </c>
      <c r="AR262" s="10">
        <f>IF($AQ262="","",INDEX(출력_구리근무자!$H$6:$H$305,$AQ262))</f>
        <v/>
      </c>
    </row>
    <row r="263">
      <c r="A263" s="10">
        <f>IF(B263="","",ROW()-1)</f>
        <v/>
      </c>
      <c r="B263" s="19" t="n"/>
      <c r="C263" s="10">
        <f>IF($AB263="","",IF(INDEX(입력_기본자료!$C$2:$C$1001,$AB263)="","",INDEX(입력_기본자료!$C$2:$C$1001,$AB263)))</f>
        <v/>
      </c>
      <c r="D263" s="10">
        <f>IF($AB263="","",IF(INDEX(입력_기본자료!$J$2:$J$1001,$AB263)="","",INDEX(입력_기본자료!$J$2:$J$1001,$AB263)))</f>
        <v/>
      </c>
      <c r="E263" s="11">
        <f>IF($AB263="","",IF(INDEX(입력_기본자료!$K$2:$K$1001,$AB263)="","",IF(NOT(ISNUMBER(INDEX(입력_기본자료!$K$2:$K$1001,$AB263))),INDEX(입력_기본자료!$K$2:$K$1001,$AB263),IF(INDEX(입력_기본자료!$K$2:$K$1001,$AB263)&lt;1000000,INDEX(입력_기본자료!$K$2:$K$1001,$AB263),IF(AND(INDEX(입력_기본자료!$K$2:$K$1001,$AB263)&gt;=10000101,INT(MOD(INDEX(입력_기본자료!$K$2:$K$1001,$AB263),10000)/100)&gt;=1,INT(MOD(INDEX(입력_기본자료!$K$2:$K$1001,$AB263),10000)/100)&lt;=12,MOD(INDEX(입력_기본자료!$K$2:$K$1001,$AB263),100)&gt;=1,MOD(INDEX(입력_기본자료!$K$2:$K$1001,$AB263),100)&lt;=31),DATE(INT(INDEX(입력_기본자료!$K$2:$K$1001,$AB263)/10000),INT(MOD(INDEX(입력_기본자료!$K$2:$K$1001,$AB263),10000)/100),MOD(INDEX(입력_기본자료!$K$2:$K$1001,$AB263),100)),INDEX(입력_기본자료!$K$2:$K$1001,$AB263)&amp;"")))))</f>
        <v/>
      </c>
      <c r="F263" s="10">
        <f>IF($AB263="","",IF(INDEX(입력_기본자료!$D$2:$D$1001,$AB263)="","",INDEX(입력_기본자료!$D$2:$D$1001,$AB263)))</f>
        <v/>
      </c>
      <c r="G263" s="10">
        <f>IF($AB263="","",IF(INDEX(입력_기본자료!$E$2:$E$1001,$AB263)="","",INDEX(입력_기본자료!$E$2:$E$1001,$AB263)))</f>
        <v/>
      </c>
      <c r="H263" s="10">
        <f>IF($AB263="","",IF(INDEX(입력_기본자료!$F$2:$F$1001,$AB263)="","",INDEX(입력_기본자료!$F$2:$F$1001,$AB263)))</f>
        <v/>
      </c>
      <c r="I263" s="11">
        <f>IF($AB263="","",IF(INDEX(입력_기본자료!$G$2:$G$1001,$AB263)="","",IF(NOT(ISNUMBER(INDEX(입력_기본자료!$G$2:$G$1001,$AB263))),INDEX(입력_기본자료!$G$2:$G$1001,$AB263),IF(INDEX(입력_기본자료!$G$2:$G$1001,$AB263)&lt;1000000,INDEX(입력_기본자료!$G$2:$G$1001,$AB263),IF(AND(INDEX(입력_기본자료!$G$2:$G$1001,$AB263)&gt;=10000101,INT(MOD(INDEX(입력_기본자료!$G$2:$G$1001,$AB263),10000)/100)&gt;=1,INT(MOD(INDEX(입력_기본자료!$G$2:$G$1001,$AB263),10000)/100)&lt;=12,MOD(INDEX(입력_기본자료!$G$2:$G$1001,$AB263),100)&gt;=1,MOD(INDEX(입력_기본자료!$G$2:$G$1001,$AB263),100)&lt;=31),DATE(INT(INDEX(입력_기본자료!$G$2:$G$1001,$AB263)/10000),INT(MOD(INDEX(입력_기본자료!$G$2:$G$1001,$AB263),10000)/100),MOD(INDEX(입력_기본자료!$G$2:$G$1001,$AB263),100)),INDEX(입력_기본자료!$G$2:$G$1001,$AB263)&amp;"")))))</f>
        <v/>
      </c>
      <c r="J263" s="10">
        <f>IF($AB263="","",IF(INDEX(입력_기본자료!$H$2:$H$1001,$AB263)="","",INDEX(입력_기본자료!$H$2:$H$1001,$AB263)))</f>
        <v/>
      </c>
      <c r="K263" s="10">
        <f>IF($AB263="","",IF(INDEX(입력_기본자료!$I$2:$I$1001,$AB263)="","",INDEX(입력_기본자료!$I$2:$I$1001,$AB263)))</f>
        <v/>
      </c>
      <c r="L263" s="10">
        <f>IF($AB263="","",IF(INDEX(입력_기본자료!$A$2:$A$1001,$AB263)="","",INDEX(입력_기본자료!$A$2:$A$1001,$AB263)))</f>
        <v/>
      </c>
      <c r="M263" s="15" t="n"/>
      <c r="N263" s="10">
        <f>IF($B263="","",IF(AND($U263="파견중",$Q263&lt;&gt;""),$Q263,IF(AND($AD263&lt;&gt;"",LEFT($AD263,1)&lt;&gt;"⚠"),LEFT($AD263,FIND(" ",$AD263)-1),IF($H263="","",IF(RIGHT($H263,2)="병원",$H263,$H263&amp;"병원")))))</f>
        <v/>
      </c>
      <c r="O263" s="10">
        <f>IF($B263="","",IF(AND($U263="파견중",$Q263&lt;&gt;""),IF($R263&lt;&gt;"",$R263,"파견과 미입력"),IF(AND($AD263&lt;&gt;"",LEFT($AD263,1)&lt;&gt;"⚠"),MID($AD263,FIND(" ",$AD263)+1,60),IF($F263="","",IF($F263="인턴","수련교육부(인턴)",$F263)))))</f>
        <v/>
      </c>
      <c r="P263" s="10">
        <f>IF($B263="","",IF($AK263&lt;&gt;"",IF(AND(TODAY()&gt;=INDEX(입력_파견수련계획!$AB$4:$AB$803,$AK263),OR(NOT(ISNUMBER(INDEX(입력_파견수련계획!$AC$4:$AC$803,$AK263))),TODAY()&lt;=INDEX(입력_파견수련계획!$AC$4:$AC$803,$AK263))),"다기관",IF($AF263="","",INDEX(입력_파견수련계획!$T$4:$T$803,$AF263))),IF($AF263="","",INDEX(입력_파견수련계획!$T$4:$T$803,$AF263))))</f>
        <v/>
      </c>
      <c r="Q263" s="10">
        <f>IF($AF263="","",INDEX(입력_파견수련계획!$S$4:$S$803,$AF263))</f>
        <v/>
      </c>
      <c r="R263" s="10">
        <f>IF($AF263="","",INDEX(입력_파견수련계획!$U$4:$U$803,$AF263))</f>
        <v/>
      </c>
      <c r="S263" s="11">
        <f>IF($AF263="","",IF(INDEX(입력_파견수련계획!$H$4:$H$803,$AF263)="","",INDEX(입력_파견수련계획!$H$4:$H$803,$AF263)))</f>
        <v/>
      </c>
      <c r="T263" s="11">
        <f>IF($AF263="","",IF(INDEX(입력_파견수련계획!$I$4:$I$803,$AF263)="","",INDEX(입력_파견수련계획!$I$4:$I$803,$AF263)))</f>
        <v/>
      </c>
      <c r="U263" s="10">
        <f>IF($AF263="","",INDEX(입력_파견수련계획!$X$4:$X$803,$AF263))</f>
        <v/>
      </c>
      <c r="V263" s="17">
        <f>IF($AF263="","",INDEX(입력_파견수련계획!$V$4:$V$803,$AF263))</f>
        <v/>
      </c>
      <c r="W263" s="17">
        <f>IF(AND($U263="파견중",$T263&lt;&gt;""),$T263-TODAY(),"")</f>
        <v/>
      </c>
      <c r="X263" s="17">
        <f>IF(OR($B263="",TRIM($J263&amp;"")=""),"",SUMPRODUCT((입력_파견수련계획!$Q$4:$Q$803=TRIM($J263&amp;""))*입력_파견수련계획!$W$4:$W$803))</f>
        <v/>
      </c>
      <c r="Y263" s="10">
        <f>IF($B263="","",IF($AG263="","",IF(IF(TRIM($J263&amp;"")="",0,SUMPRODUCT((입력_파견수련계획!$Q$4:$Q$803=TRIM($J263&amp;""))*입력_파견수련계획!$AD$4:$AD$803))&gt;0,$AE263,IF(AND(N($X263)&lt;=0,$AQ263=""),$AG263,IF($AH263+$AI263=DAY(EOMONTH(출력_요약!$B$3,0)),IF(AND($AH263&gt;=출력_요약!$E$3,$AI263&lt;출력_요약!$E$3),"서울병원",IF(AND($AI263&gt;=출력_요약!$E$3,$AH263&lt;출력_요약!$E$3),"구리병원","⚠15일 판정불가(서울 "&amp;$AH263&amp;"일/구리 "&amp;$AI263&amp;"일)")),IF($AJ263="",$AE263,IF(INDEX(입력_파견수련계획!$T$4:$T$803,$AJ263)="통합수련",INDEX(입력_파견수련계획!$S$4:$S$803,$AJ263),$AE263)))))))</f>
        <v/>
      </c>
      <c r="Z263" s="20">
        <f>IF($B263="","",IF($AB263="","기본자료에 없는 사번",IF(COUNTIF($B$2:$B$401,$B263)&gt;1,"중복 사번",IF($AE263="","소속(입사장소) 입력",IF(IF(TRIM($J263&amp;"")="",0,SUMPRODUCT((입력_파견수련계획!$Q$4:$Q$803=TRIM($J263&amp;""))*(입력_파견수련계획!$AA$4:$AA$803&lt;&gt;"")))&gt;0,"파견수련계획 입력오류 확인",IF(LEFT($Y263,1)="⚠","서울·구리 15일 판정 불가(양쪽 모두 이상/미만)",IF(IF($AC263="",0,N(INDEX(입력_인턴근무계획!$T$3:$T$402,$AC263)))&gt;0,"인턴계획 입력오류 확인",IF(AND($AQ263&lt;&gt;"",$AG263&lt;&gt;"구리병원",IF(TRIM($J263&amp;"")="",0,SUMPRODUCT((입력_파견수련계획!$Q$4:$Q$803=TRIM($J263&amp;""))*(입력_파견수련계획!$S$4:$S$803="구리병원")*입력_파견수련계획!$W$4:$W$803))=0),"구리 근무자명단에만 있음(파견수련계획 확인)",IF(AND($AC263&lt;&gt;"",$U263&lt;&gt;"파견중",$N263&lt;&gt;$AE263),"인턴 타지역 근무: 파견 여부 확인","정상")))))))))</f>
        <v/>
      </c>
      <c r="AA263" s="5" t="n"/>
      <c r="AB263" s="10">
        <f>IF($B263="","",IFERROR(MATCH($B263,입력_기본자료!$B$2:$B$1001,0),IFERROR(MATCH($B263&amp;"",입력_기본자료!$B$2:$B$1001,0),IFERROR(MATCH(VALUE($B263),입력_기본자료!$B$2:$B$1001,0),""))))</f>
        <v/>
      </c>
      <c r="AC263" s="10">
        <f>IF($B263="","",IFERROR(MATCH($B263,입력_인턴근무계획!$D$3:$D$402,0),IFERROR(MATCH($B263&amp;"",입력_인턴근무계획!$D$3:$D$402,0),IFERROR(MATCH(VALUE($B263),입력_인턴근무계획!$D$3:$D$402,0),""))))</f>
        <v/>
      </c>
      <c r="AD263" s="10">
        <f>IF(OR($AC263="",출력_인턴현황!$G$3=""),"",INDEX(입력_인턴근무계획!$M$3:$R$402,$AC263,출력_인턴현황!$G$3)&amp;"")</f>
        <v/>
      </c>
      <c r="AE263" s="10">
        <f>IF($B263="","",IF($M263&lt;&gt;"",$M263,IF(IF($AQ263="",FALSE,INDEX(출력_구리근무자!$J$6:$J$305,$AQ263)="구리독자"),"구리병원",IF($AF263&lt;&gt;"",IF(LEFT(INDEX(입력_파견수련계획!$R$4:$R$803,$AF263),1)&lt;&gt;"⚠",INDEX(입력_파견수련계획!$R$4:$R$803,$AF263),IF($H263="","",IF(RIGHT($H263,2)="병원",$H263,$H263&amp;"병원"))),IF($H263="","",IF(RIGHT($H263,2)="병원",$H263,$H263&amp;"병원"))))))</f>
        <v/>
      </c>
      <c r="AF263" s="10">
        <f>IF(OR($B263="",TRIM($J263&amp;"")=""),"",IFERROR(MATCH(TRIM($J263&amp;"")&amp;"|파견중",입력_파견수련계획!$Y$4:$Y$803,0),IFERROR(MATCH(TRIM($J263&amp;"")&amp;"|파견예정",입력_파견수련계획!$Y$4:$Y$803,0),IFERROR(MATCH(TRIM($J263&amp;"")&amp;"|파견종료",입력_파견수련계획!$Y$4:$Y$803,0),""))))</f>
        <v/>
      </c>
      <c r="AG263" s="10">
        <f>IF($B263="","",IF(AND(IF(OR($AC263="",출력_인턴현황!$K$2=""),"",INDEX(입력_인턴근무계획!$M$3:$R$402,$AC263,출력_인턴현황!$K$2)&amp;"")&lt;&gt;"",LEFT(IF(OR($AC263="",출력_인턴현황!$K$2=""),"",INDEX(입력_인턴근무계획!$M$3:$R$402,$AC263,출력_인턴현황!$K$2)&amp;""),1)&lt;&gt;"⚠"),LEFT(IF(OR($AC263="",출력_인턴현황!$K$2=""),"",INDEX(입력_인턴근무계획!$M$3:$R$402,$AC263,출력_인턴현황!$K$2)&amp;""),FIND(" ",IF(OR($AC263="",출력_인턴현황!$K$2=""),"",INDEX(입력_인턴근무계획!$M$3:$R$402,$AC263,출력_인턴현황!$K$2)&amp;""))-1),$AE263))</f>
        <v/>
      </c>
      <c r="AH263" s="17">
        <f>IF($B263="","",IF($AQ263&lt;&gt;"",MAX(0,DAY(EOMONTH(출력_요약!$B$3,0))-N($AR263)),IF(TRIM($J263&amp;"")="",0,SUMPRODUCT((입력_파견수련계획!$Q$4:$Q$803=TRIM($J263&amp;""))*(입력_파견수련계획!$S$4:$S$803="서울병원")*입력_파견수련계획!$W$4:$W$803))+IF($AG263="서울병원",MAX(0,DAY(EOMONTH(출력_요약!$B$3,0))-N($X263)),0)))</f>
        <v/>
      </c>
      <c r="AI263" s="17">
        <f>IF($B263="","",IF($AQ263&lt;&gt;"",N($AR263),IF(TRIM($J263&amp;"")="",0,SUMPRODUCT((입력_파견수련계획!$Q$4:$Q$803=TRIM($J263&amp;""))*(입력_파견수련계획!$S$4:$S$803="구리병원")*입력_파견수련계획!$W$4:$W$803))+IF($AG263="구리병원",MAX(0,DAY(EOMONTH(출력_요약!$B$3,0))-N($X263)),0)))</f>
        <v/>
      </c>
      <c r="AJ263" s="10">
        <f>IF(OR($B263="",TRIM($J263&amp;"")=""),"",IFERROR(MATCH(TRIM($J263&amp;"")&amp;"|월",입력_파견수련계획!$Z$4:$Z$803,0),""))</f>
        <v/>
      </c>
      <c r="AK263" s="10">
        <f>IF(OR($B263="",TRIM($J263&amp;"")=""),"",IFERROR(MATCH(TRIM($J263&amp;"")&amp;"|다기관",입력_파견수련계획!$AE$4:$AE$803,0),""))</f>
        <v/>
      </c>
      <c r="AL263" s="10">
        <f>IF($AK263="","","다기관 "&amp;TEXT(INDEX(입력_파견수련계획!$AB$4:$AB$803,$AK263),"yyyy-mm-dd")&amp;"~"&amp;IF(ISNUMBER(INDEX(입력_파견수련계획!$AC$4:$AC$803,$AK263)),TEXT(INDEX(입력_파견수련계획!$AC$4:$AC$803,$AK263),"yyyy-mm-dd"),""))</f>
        <v/>
      </c>
      <c r="AM263" s="10">
        <f>IF($Y263="서울병원",COUNTIF($Y$2:$Y263,"서울병원"),"")</f>
        <v/>
      </c>
      <c r="AN263" s="10">
        <f>IF(LEFT($Y263,1)="⚠",COUNTIF($Y$2:$Y263,"⚠*"),"")</f>
        <v/>
      </c>
      <c r="AO263" s="10">
        <f>IF(OR($B263="",$Y263=""),"",IF(IF(TRIM($J263&amp;"")="",0,SUMPRODUCT((입력_파견수련계획!$Q$4:$Q$803=TRIM($J263&amp;""))*입력_파견수련계획!$AD$4:$AD$803))&gt;0,"다기관 기간 → 소속병원 지급",IF(AND(N($X263)&lt;=0,$AQ263=""),"파견 없음 → 그 달 근무병원 지급",IF($AH263+$AI263=DAY(EOMONTH(출력_요약!$B$3,0)),"서울 "&amp;$AH263&amp;"일 / 구리 "&amp;$AI263&amp;"일"&amp;IF($AQ263&lt;&gt;""," (구리 근무자명단 반영)","")&amp;" → 15일 이상 근무 병원 지급","타 병원 포함 → "&amp;IF($AJ263="","소속",INDEX(입력_파견수련계획!$T$4:$T$803,$AJ263))&amp;" 규칙"))))</f>
        <v/>
      </c>
      <c r="AP263" s="10">
        <f>IF($B263="","",$C263&amp;"|"&amp;$F263)</f>
        <v/>
      </c>
      <c r="AQ263" s="10">
        <f>IF($B263="","",IFERROR(MATCH(ROW()-1,출력_구리근무자!$K$6:$K$305,0),""))</f>
        <v/>
      </c>
      <c r="AR263" s="10">
        <f>IF($AQ263="","",INDEX(출력_구리근무자!$H$6:$H$305,$AQ263))</f>
        <v/>
      </c>
    </row>
    <row r="264">
      <c r="A264" s="10">
        <f>IF(B264="","",ROW()-1)</f>
        <v/>
      </c>
      <c r="B264" s="19" t="n"/>
      <c r="C264" s="10">
        <f>IF($AB264="","",IF(INDEX(입력_기본자료!$C$2:$C$1001,$AB264)="","",INDEX(입력_기본자료!$C$2:$C$1001,$AB264)))</f>
        <v/>
      </c>
      <c r="D264" s="10">
        <f>IF($AB264="","",IF(INDEX(입력_기본자료!$J$2:$J$1001,$AB264)="","",INDEX(입력_기본자료!$J$2:$J$1001,$AB264)))</f>
        <v/>
      </c>
      <c r="E264" s="11">
        <f>IF($AB264="","",IF(INDEX(입력_기본자료!$K$2:$K$1001,$AB264)="","",IF(NOT(ISNUMBER(INDEX(입력_기본자료!$K$2:$K$1001,$AB264))),INDEX(입력_기본자료!$K$2:$K$1001,$AB264),IF(INDEX(입력_기본자료!$K$2:$K$1001,$AB264)&lt;1000000,INDEX(입력_기본자료!$K$2:$K$1001,$AB264),IF(AND(INDEX(입력_기본자료!$K$2:$K$1001,$AB264)&gt;=10000101,INT(MOD(INDEX(입력_기본자료!$K$2:$K$1001,$AB264),10000)/100)&gt;=1,INT(MOD(INDEX(입력_기본자료!$K$2:$K$1001,$AB264),10000)/100)&lt;=12,MOD(INDEX(입력_기본자료!$K$2:$K$1001,$AB264),100)&gt;=1,MOD(INDEX(입력_기본자료!$K$2:$K$1001,$AB264),100)&lt;=31),DATE(INT(INDEX(입력_기본자료!$K$2:$K$1001,$AB264)/10000),INT(MOD(INDEX(입력_기본자료!$K$2:$K$1001,$AB264),10000)/100),MOD(INDEX(입력_기본자료!$K$2:$K$1001,$AB264),100)),INDEX(입력_기본자료!$K$2:$K$1001,$AB264)&amp;"")))))</f>
        <v/>
      </c>
      <c r="F264" s="10">
        <f>IF($AB264="","",IF(INDEX(입력_기본자료!$D$2:$D$1001,$AB264)="","",INDEX(입력_기본자료!$D$2:$D$1001,$AB264)))</f>
        <v/>
      </c>
      <c r="G264" s="10">
        <f>IF($AB264="","",IF(INDEX(입력_기본자료!$E$2:$E$1001,$AB264)="","",INDEX(입력_기본자료!$E$2:$E$1001,$AB264)))</f>
        <v/>
      </c>
      <c r="H264" s="10">
        <f>IF($AB264="","",IF(INDEX(입력_기본자료!$F$2:$F$1001,$AB264)="","",INDEX(입력_기본자료!$F$2:$F$1001,$AB264)))</f>
        <v/>
      </c>
      <c r="I264" s="11">
        <f>IF($AB264="","",IF(INDEX(입력_기본자료!$G$2:$G$1001,$AB264)="","",IF(NOT(ISNUMBER(INDEX(입력_기본자료!$G$2:$G$1001,$AB264))),INDEX(입력_기본자료!$G$2:$G$1001,$AB264),IF(INDEX(입력_기본자료!$G$2:$G$1001,$AB264)&lt;1000000,INDEX(입력_기본자료!$G$2:$G$1001,$AB264),IF(AND(INDEX(입력_기본자료!$G$2:$G$1001,$AB264)&gt;=10000101,INT(MOD(INDEX(입력_기본자료!$G$2:$G$1001,$AB264),10000)/100)&gt;=1,INT(MOD(INDEX(입력_기본자료!$G$2:$G$1001,$AB264),10000)/100)&lt;=12,MOD(INDEX(입력_기본자료!$G$2:$G$1001,$AB264),100)&gt;=1,MOD(INDEX(입력_기본자료!$G$2:$G$1001,$AB264),100)&lt;=31),DATE(INT(INDEX(입력_기본자료!$G$2:$G$1001,$AB264)/10000),INT(MOD(INDEX(입력_기본자료!$G$2:$G$1001,$AB264),10000)/100),MOD(INDEX(입력_기본자료!$G$2:$G$1001,$AB264),100)),INDEX(입력_기본자료!$G$2:$G$1001,$AB264)&amp;"")))))</f>
        <v/>
      </c>
      <c r="J264" s="10">
        <f>IF($AB264="","",IF(INDEX(입력_기본자료!$H$2:$H$1001,$AB264)="","",INDEX(입력_기본자료!$H$2:$H$1001,$AB264)))</f>
        <v/>
      </c>
      <c r="K264" s="10">
        <f>IF($AB264="","",IF(INDEX(입력_기본자료!$I$2:$I$1001,$AB264)="","",INDEX(입력_기본자료!$I$2:$I$1001,$AB264)))</f>
        <v/>
      </c>
      <c r="L264" s="10">
        <f>IF($AB264="","",IF(INDEX(입력_기본자료!$A$2:$A$1001,$AB264)="","",INDEX(입력_기본자료!$A$2:$A$1001,$AB264)))</f>
        <v/>
      </c>
      <c r="M264" s="15" t="n"/>
      <c r="N264" s="10">
        <f>IF($B264="","",IF(AND($U264="파견중",$Q264&lt;&gt;""),$Q264,IF(AND($AD264&lt;&gt;"",LEFT($AD264,1)&lt;&gt;"⚠"),LEFT($AD264,FIND(" ",$AD264)-1),IF($H264="","",IF(RIGHT($H264,2)="병원",$H264,$H264&amp;"병원")))))</f>
        <v/>
      </c>
      <c r="O264" s="10">
        <f>IF($B264="","",IF(AND($U264="파견중",$Q264&lt;&gt;""),IF($R264&lt;&gt;"",$R264,"파견과 미입력"),IF(AND($AD264&lt;&gt;"",LEFT($AD264,1)&lt;&gt;"⚠"),MID($AD264,FIND(" ",$AD264)+1,60),IF($F264="","",IF($F264="인턴","수련교육부(인턴)",$F264)))))</f>
        <v/>
      </c>
      <c r="P264" s="10">
        <f>IF($B264="","",IF($AK264&lt;&gt;"",IF(AND(TODAY()&gt;=INDEX(입력_파견수련계획!$AB$4:$AB$803,$AK264),OR(NOT(ISNUMBER(INDEX(입력_파견수련계획!$AC$4:$AC$803,$AK264))),TODAY()&lt;=INDEX(입력_파견수련계획!$AC$4:$AC$803,$AK264))),"다기관",IF($AF264="","",INDEX(입력_파견수련계획!$T$4:$T$803,$AF264))),IF($AF264="","",INDEX(입력_파견수련계획!$T$4:$T$803,$AF264))))</f>
        <v/>
      </c>
      <c r="Q264" s="10">
        <f>IF($AF264="","",INDEX(입력_파견수련계획!$S$4:$S$803,$AF264))</f>
        <v/>
      </c>
      <c r="R264" s="10">
        <f>IF($AF264="","",INDEX(입력_파견수련계획!$U$4:$U$803,$AF264))</f>
        <v/>
      </c>
      <c r="S264" s="11">
        <f>IF($AF264="","",IF(INDEX(입력_파견수련계획!$H$4:$H$803,$AF264)="","",INDEX(입력_파견수련계획!$H$4:$H$803,$AF264)))</f>
        <v/>
      </c>
      <c r="T264" s="11">
        <f>IF($AF264="","",IF(INDEX(입력_파견수련계획!$I$4:$I$803,$AF264)="","",INDEX(입력_파견수련계획!$I$4:$I$803,$AF264)))</f>
        <v/>
      </c>
      <c r="U264" s="10">
        <f>IF($AF264="","",INDEX(입력_파견수련계획!$X$4:$X$803,$AF264))</f>
        <v/>
      </c>
      <c r="V264" s="17">
        <f>IF($AF264="","",INDEX(입력_파견수련계획!$V$4:$V$803,$AF264))</f>
        <v/>
      </c>
      <c r="W264" s="17">
        <f>IF(AND($U264="파견중",$T264&lt;&gt;""),$T264-TODAY(),"")</f>
        <v/>
      </c>
      <c r="X264" s="17">
        <f>IF(OR($B264="",TRIM($J264&amp;"")=""),"",SUMPRODUCT((입력_파견수련계획!$Q$4:$Q$803=TRIM($J264&amp;""))*입력_파견수련계획!$W$4:$W$803))</f>
        <v/>
      </c>
      <c r="Y264" s="10">
        <f>IF($B264="","",IF($AG264="","",IF(IF(TRIM($J264&amp;"")="",0,SUMPRODUCT((입력_파견수련계획!$Q$4:$Q$803=TRIM($J264&amp;""))*입력_파견수련계획!$AD$4:$AD$803))&gt;0,$AE264,IF(AND(N($X264)&lt;=0,$AQ264=""),$AG264,IF($AH264+$AI264=DAY(EOMONTH(출력_요약!$B$3,0)),IF(AND($AH264&gt;=출력_요약!$E$3,$AI264&lt;출력_요약!$E$3),"서울병원",IF(AND($AI264&gt;=출력_요약!$E$3,$AH264&lt;출력_요약!$E$3),"구리병원","⚠15일 판정불가(서울 "&amp;$AH264&amp;"일/구리 "&amp;$AI264&amp;"일)")),IF($AJ264="",$AE264,IF(INDEX(입력_파견수련계획!$T$4:$T$803,$AJ264)="통합수련",INDEX(입력_파견수련계획!$S$4:$S$803,$AJ264),$AE264)))))))</f>
        <v/>
      </c>
      <c r="Z264" s="20">
        <f>IF($B264="","",IF($AB264="","기본자료에 없는 사번",IF(COUNTIF($B$2:$B$401,$B264)&gt;1,"중복 사번",IF($AE264="","소속(입사장소) 입력",IF(IF(TRIM($J264&amp;"")="",0,SUMPRODUCT((입력_파견수련계획!$Q$4:$Q$803=TRIM($J264&amp;""))*(입력_파견수련계획!$AA$4:$AA$803&lt;&gt;"")))&gt;0,"파견수련계획 입력오류 확인",IF(LEFT($Y264,1)="⚠","서울·구리 15일 판정 불가(양쪽 모두 이상/미만)",IF(IF($AC264="",0,N(INDEX(입력_인턴근무계획!$T$3:$T$402,$AC264)))&gt;0,"인턴계획 입력오류 확인",IF(AND($AQ264&lt;&gt;"",$AG264&lt;&gt;"구리병원",IF(TRIM($J264&amp;"")="",0,SUMPRODUCT((입력_파견수련계획!$Q$4:$Q$803=TRIM($J264&amp;""))*(입력_파견수련계획!$S$4:$S$803="구리병원")*입력_파견수련계획!$W$4:$W$803))=0),"구리 근무자명단에만 있음(파견수련계획 확인)",IF(AND($AC264&lt;&gt;"",$U264&lt;&gt;"파견중",$N264&lt;&gt;$AE264),"인턴 타지역 근무: 파견 여부 확인","정상")))))))))</f>
        <v/>
      </c>
      <c r="AA264" s="5" t="n"/>
      <c r="AB264" s="10">
        <f>IF($B264="","",IFERROR(MATCH($B264,입력_기본자료!$B$2:$B$1001,0),IFERROR(MATCH($B264&amp;"",입력_기본자료!$B$2:$B$1001,0),IFERROR(MATCH(VALUE($B264),입력_기본자료!$B$2:$B$1001,0),""))))</f>
        <v/>
      </c>
      <c r="AC264" s="10">
        <f>IF($B264="","",IFERROR(MATCH($B264,입력_인턴근무계획!$D$3:$D$402,0),IFERROR(MATCH($B264&amp;"",입력_인턴근무계획!$D$3:$D$402,0),IFERROR(MATCH(VALUE($B264),입력_인턴근무계획!$D$3:$D$402,0),""))))</f>
        <v/>
      </c>
      <c r="AD264" s="10">
        <f>IF(OR($AC264="",출력_인턴현황!$G$3=""),"",INDEX(입력_인턴근무계획!$M$3:$R$402,$AC264,출력_인턴현황!$G$3)&amp;"")</f>
        <v/>
      </c>
      <c r="AE264" s="10">
        <f>IF($B264="","",IF($M264&lt;&gt;"",$M264,IF(IF($AQ264="",FALSE,INDEX(출력_구리근무자!$J$6:$J$305,$AQ264)="구리독자"),"구리병원",IF($AF264&lt;&gt;"",IF(LEFT(INDEX(입력_파견수련계획!$R$4:$R$803,$AF264),1)&lt;&gt;"⚠",INDEX(입력_파견수련계획!$R$4:$R$803,$AF264),IF($H264="","",IF(RIGHT($H264,2)="병원",$H264,$H264&amp;"병원"))),IF($H264="","",IF(RIGHT($H264,2)="병원",$H264,$H264&amp;"병원"))))))</f>
        <v/>
      </c>
      <c r="AF264" s="10">
        <f>IF(OR($B264="",TRIM($J264&amp;"")=""),"",IFERROR(MATCH(TRIM($J264&amp;"")&amp;"|파견중",입력_파견수련계획!$Y$4:$Y$803,0),IFERROR(MATCH(TRIM($J264&amp;"")&amp;"|파견예정",입력_파견수련계획!$Y$4:$Y$803,0),IFERROR(MATCH(TRIM($J264&amp;"")&amp;"|파견종료",입력_파견수련계획!$Y$4:$Y$803,0),""))))</f>
        <v/>
      </c>
      <c r="AG264" s="10">
        <f>IF($B264="","",IF(AND(IF(OR($AC264="",출력_인턴현황!$K$2=""),"",INDEX(입력_인턴근무계획!$M$3:$R$402,$AC264,출력_인턴현황!$K$2)&amp;"")&lt;&gt;"",LEFT(IF(OR($AC264="",출력_인턴현황!$K$2=""),"",INDEX(입력_인턴근무계획!$M$3:$R$402,$AC264,출력_인턴현황!$K$2)&amp;""),1)&lt;&gt;"⚠"),LEFT(IF(OR($AC264="",출력_인턴현황!$K$2=""),"",INDEX(입력_인턴근무계획!$M$3:$R$402,$AC264,출력_인턴현황!$K$2)&amp;""),FIND(" ",IF(OR($AC264="",출력_인턴현황!$K$2=""),"",INDEX(입력_인턴근무계획!$M$3:$R$402,$AC264,출력_인턴현황!$K$2)&amp;""))-1),$AE264))</f>
        <v/>
      </c>
      <c r="AH264" s="17">
        <f>IF($B264="","",IF($AQ264&lt;&gt;"",MAX(0,DAY(EOMONTH(출력_요약!$B$3,0))-N($AR264)),IF(TRIM($J264&amp;"")="",0,SUMPRODUCT((입력_파견수련계획!$Q$4:$Q$803=TRIM($J264&amp;""))*(입력_파견수련계획!$S$4:$S$803="서울병원")*입력_파견수련계획!$W$4:$W$803))+IF($AG264="서울병원",MAX(0,DAY(EOMONTH(출력_요약!$B$3,0))-N($X264)),0)))</f>
        <v/>
      </c>
      <c r="AI264" s="17">
        <f>IF($B264="","",IF($AQ264&lt;&gt;"",N($AR264),IF(TRIM($J264&amp;"")="",0,SUMPRODUCT((입력_파견수련계획!$Q$4:$Q$803=TRIM($J264&amp;""))*(입력_파견수련계획!$S$4:$S$803="구리병원")*입력_파견수련계획!$W$4:$W$803))+IF($AG264="구리병원",MAX(0,DAY(EOMONTH(출력_요약!$B$3,0))-N($X264)),0)))</f>
        <v/>
      </c>
      <c r="AJ264" s="10">
        <f>IF(OR($B264="",TRIM($J264&amp;"")=""),"",IFERROR(MATCH(TRIM($J264&amp;"")&amp;"|월",입력_파견수련계획!$Z$4:$Z$803,0),""))</f>
        <v/>
      </c>
      <c r="AK264" s="10">
        <f>IF(OR($B264="",TRIM($J264&amp;"")=""),"",IFERROR(MATCH(TRIM($J264&amp;"")&amp;"|다기관",입력_파견수련계획!$AE$4:$AE$803,0),""))</f>
        <v/>
      </c>
      <c r="AL264" s="10">
        <f>IF($AK264="","","다기관 "&amp;TEXT(INDEX(입력_파견수련계획!$AB$4:$AB$803,$AK264),"yyyy-mm-dd")&amp;"~"&amp;IF(ISNUMBER(INDEX(입력_파견수련계획!$AC$4:$AC$803,$AK264)),TEXT(INDEX(입력_파견수련계획!$AC$4:$AC$803,$AK264),"yyyy-mm-dd"),""))</f>
        <v/>
      </c>
      <c r="AM264" s="10">
        <f>IF($Y264="서울병원",COUNTIF($Y$2:$Y264,"서울병원"),"")</f>
        <v/>
      </c>
      <c r="AN264" s="10">
        <f>IF(LEFT($Y264,1)="⚠",COUNTIF($Y$2:$Y264,"⚠*"),"")</f>
        <v/>
      </c>
      <c r="AO264" s="10">
        <f>IF(OR($B264="",$Y264=""),"",IF(IF(TRIM($J264&amp;"")="",0,SUMPRODUCT((입력_파견수련계획!$Q$4:$Q$803=TRIM($J264&amp;""))*입력_파견수련계획!$AD$4:$AD$803))&gt;0,"다기관 기간 → 소속병원 지급",IF(AND(N($X264)&lt;=0,$AQ264=""),"파견 없음 → 그 달 근무병원 지급",IF($AH264+$AI264=DAY(EOMONTH(출력_요약!$B$3,0)),"서울 "&amp;$AH264&amp;"일 / 구리 "&amp;$AI264&amp;"일"&amp;IF($AQ264&lt;&gt;""," (구리 근무자명단 반영)","")&amp;" → 15일 이상 근무 병원 지급","타 병원 포함 → "&amp;IF($AJ264="","소속",INDEX(입력_파견수련계획!$T$4:$T$803,$AJ264))&amp;" 규칙"))))</f>
        <v/>
      </c>
      <c r="AP264" s="10">
        <f>IF($B264="","",$C264&amp;"|"&amp;$F264)</f>
        <v/>
      </c>
      <c r="AQ264" s="10">
        <f>IF($B264="","",IFERROR(MATCH(ROW()-1,출력_구리근무자!$K$6:$K$305,0),""))</f>
        <v/>
      </c>
      <c r="AR264" s="10">
        <f>IF($AQ264="","",INDEX(출력_구리근무자!$H$6:$H$305,$AQ264))</f>
        <v/>
      </c>
    </row>
    <row r="265">
      <c r="A265" s="10">
        <f>IF(B265="","",ROW()-1)</f>
        <v/>
      </c>
      <c r="B265" s="19" t="n"/>
      <c r="C265" s="10">
        <f>IF($AB265="","",IF(INDEX(입력_기본자료!$C$2:$C$1001,$AB265)="","",INDEX(입력_기본자료!$C$2:$C$1001,$AB265)))</f>
        <v/>
      </c>
      <c r="D265" s="10">
        <f>IF($AB265="","",IF(INDEX(입력_기본자료!$J$2:$J$1001,$AB265)="","",INDEX(입력_기본자료!$J$2:$J$1001,$AB265)))</f>
        <v/>
      </c>
      <c r="E265" s="11">
        <f>IF($AB265="","",IF(INDEX(입력_기본자료!$K$2:$K$1001,$AB265)="","",IF(NOT(ISNUMBER(INDEX(입력_기본자료!$K$2:$K$1001,$AB265))),INDEX(입력_기본자료!$K$2:$K$1001,$AB265),IF(INDEX(입력_기본자료!$K$2:$K$1001,$AB265)&lt;1000000,INDEX(입력_기본자료!$K$2:$K$1001,$AB265),IF(AND(INDEX(입력_기본자료!$K$2:$K$1001,$AB265)&gt;=10000101,INT(MOD(INDEX(입력_기본자료!$K$2:$K$1001,$AB265),10000)/100)&gt;=1,INT(MOD(INDEX(입력_기본자료!$K$2:$K$1001,$AB265),10000)/100)&lt;=12,MOD(INDEX(입력_기본자료!$K$2:$K$1001,$AB265),100)&gt;=1,MOD(INDEX(입력_기본자료!$K$2:$K$1001,$AB265),100)&lt;=31),DATE(INT(INDEX(입력_기본자료!$K$2:$K$1001,$AB265)/10000),INT(MOD(INDEX(입력_기본자료!$K$2:$K$1001,$AB265),10000)/100),MOD(INDEX(입력_기본자료!$K$2:$K$1001,$AB265),100)),INDEX(입력_기본자료!$K$2:$K$1001,$AB265)&amp;"")))))</f>
        <v/>
      </c>
      <c r="F265" s="10">
        <f>IF($AB265="","",IF(INDEX(입력_기본자료!$D$2:$D$1001,$AB265)="","",INDEX(입력_기본자료!$D$2:$D$1001,$AB265)))</f>
        <v/>
      </c>
      <c r="G265" s="10">
        <f>IF($AB265="","",IF(INDEX(입력_기본자료!$E$2:$E$1001,$AB265)="","",INDEX(입력_기본자료!$E$2:$E$1001,$AB265)))</f>
        <v/>
      </c>
      <c r="H265" s="10">
        <f>IF($AB265="","",IF(INDEX(입력_기본자료!$F$2:$F$1001,$AB265)="","",INDEX(입력_기본자료!$F$2:$F$1001,$AB265)))</f>
        <v/>
      </c>
      <c r="I265" s="11">
        <f>IF($AB265="","",IF(INDEX(입력_기본자료!$G$2:$G$1001,$AB265)="","",IF(NOT(ISNUMBER(INDEX(입력_기본자료!$G$2:$G$1001,$AB265))),INDEX(입력_기본자료!$G$2:$G$1001,$AB265),IF(INDEX(입력_기본자료!$G$2:$G$1001,$AB265)&lt;1000000,INDEX(입력_기본자료!$G$2:$G$1001,$AB265),IF(AND(INDEX(입력_기본자료!$G$2:$G$1001,$AB265)&gt;=10000101,INT(MOD(INDEX(입력_기본자료!$G$2:$G$1001,$AB265),10000)/100)&gt;=1,INT(MOD(INDEX(입력_기본자료!$G$2:$G$1001,$AB265),10000)/100)&lt;=12,MOD(INDEX(입력_기본자료!$G$2:$G$1001,$AB265),100)&gt;=1,MOD(INDEX(입력_기본자료!$G$2:$G$1001,$AB265),100)&lt;=31),DATE(INT(INDEX(입력_기본자료!$G$2:$G$1001,$AB265)/10000),INT(MOD(INDEX(입력_기본자료!$G$2:$G$1001,$AB265),10000)/100),MOD(INDEX(입력_기본자료!$G$2:$G$1001,$AB265),100)),INDEX(입력_기본자료!$G$2:$G$1001,$AB265)&amp;"")))))</f>
        <v/>
      </c>
      <c r="J265" s="10">
        <f>IF($AB265="","",IF(INDEX(입력_기본자료!$H$2:$H$1001,$AB265)="","",INDEX(입력_기본자료!$H$2:$H$1001,$AB265)))</f>
        <v/>
      </c>
      <c r="K265" s="10">
        <f>IF($AB265="","",IF(INDEX(입력_기본자료!$I$2:$I$1001,$AB265)="","",INDEX(입력_기본자료!$I$2:$I$1001,$AB265)))</f>
        <v/>
      </c>
      <c r="L265" s="10">
        <f>IF($AB265="","",IF(INDEX(입력_기본자료!$A$2:$A$1001,$AB265)="","",INDEX(입력_기본자료!$A$2:$A$1001,$AB265)))</f>
        <v/>
      </c>
      <c r="M265" s="15" t="n"/>
      <c r="N265" s="10">
        <f>IF($B265="","",IF(AND($U265="파견중",$Q265&lt;&gt;""),$Q265,IF(AND($AD265&lt;&gt;"",LEFT($AD265,1)&lt;&gt;"⚠"),LEFT($AD265,FIND(" ",$AD265)-1),IF($H265="","",IF(RIGHT($H265,2)="병원",$H265,$H265&amp;"병원")))))</f>
        <v/>
      </c>
      <c r="O265" s="10">
        <f>IF($B265="","",IF(AND($U265="파견중",$Q265&lt;&gt;""),IF($R265&lt;&gt;"",$R265,"파견과 미입력"),IF(AND($AD265&lt;&gt;"",LEFT($AD265,1)&lt;&gt;"⚠"),MID($AD265,FIND(" ",$AD265)+1,60),IF($F265="","",IF($F265="인턴","수련교육부(인턴)",$F265)))))</f>
        <v/>
      </c>
      <c r="P265" s="10">
        <f>IF($B265="","",IF($AK265&lt;&gt;"",IF(AND(TODAY()&gt;=INDEX(입력_파견수련계획!$AB$4:$AB$803,$AK265),OR(NOT(ISNUMBER(INDEX(입력_파견수련계획!$AC$4:$AC$803,$AK265))),TODAY()&lt;=INDEX(입력_파견수련계획!$AC$4:$AC$803,$AK265))),"다기관",IF($AF265="","",INDEX(입력_파견수련계획!$T$4:$T$803,$AF265))),IF($AF265="","",INDEX(입력_파견수련계획!$T$4:$T$803,$AF265))))</f>
        <v/>
      </c>
      <c r="Q265" s="10">
        <f>IF($AF265="","",INDEX(입력_파견수련계획!$S$4:$S$803,$AF265))</f>
        <v/>
      </c>
      <c r="R265" s="10">
        <f>IF($AF265="","",INDEX(입력_파견수련계획!$U$4:$U$803,$AF265))</f>
        <v/>
      </c>
      <c r="S265" s="11">
        <f>IF($AF265="","",IF(INDEX(입력_파견수련계획!$H$4:$H$803,$AF265)="","",INDEX(입력_파견수련계획!$H$4:$H$803,$AF265)))</f>
        <v/>
      </c>
      <c r="T265" s="11">
        <f>IF($AF265="","",IF(INDEX(입력_파견수련계획!$I$4:$I$803,$AF265)="","",INDEX(입력_파견수련계획!$I$4:$I$803,$AF265)))</f>
        <v/>
      </c>
      <c r="U265" s="10">
        <f>IF($AF265="","",INDEX(입력_파견수련계획!$X$4:$X$803,$AF265))</f>
        <v/>
      </c>
      <c r="V265" s="17">
        <f>IF($AF265="","",INDEX(입력_파견수련계획!$V$4:$V$803,$AF265))</f>
        <v/>
      </c>
      <c r="W265" s="17">
        <f>IF(AND($U265="파견중",$T265&lt;&gt;""),$T265-TODAY(),"")</f>
        <v/>
      </c>
      <c r="X265" s="17">
        <f>IF(OR($B265="",TRIM($J265&amp;"")=""),"",SUMPRODUCT((입력_파견수련계획!$Q$4:$Q$803=TRIM($J265&amp;""))*입력_파견수련계획!$W$4:$W$803))</f>
        <v/>
      </c>
      <c r="Y265" s="10">
        <f>IF($B265="","",IF($AG265="","",IF(IF(TRIM($J265&amp;"")="",0,SUMPRODUCT((입력_파견수련계획!$Q$4:$Q$803=TRIM($J265&amp;""))*입력_파견수련계획!$AD$4:$AD$803))&gt;0,$AE265,IF(AND(N($X265)&lt;=0,$AQ265=""),$AG265,IF($AH265+$AI265=DAY(EOMONTH(출력_요약!$B$3,0)),IF(AND($AH265&gt;=출력_요약!$E$3,$AI265&lt;출력_요약!$E$3),"서울병원",IF(AND($AI265&gt;=출력_요약!$E$3,$AH265&lt;출력_요약!$E$3),"구리병원","⚠15일 판정불가(서울 "&amp;$AH265&amp;"일/구리 "&amp;$AI265&amp;"일)")),IF($AJ265="",$AE265,IF(INDEX(입력_파견수련계획!$T$4:$T$803,$AJ265)="통합수련",INDEX(입력_파견수련계획!$S$4:$S$803,$AJ265),$AE265)))))))</f>
        <v/>
      </c>
      <c r="Z265" s="20">
        <f>IF($B265="","",IF($AB265="","기본자료에 없는 사번",IF(COUNTIF($B$2:$B$401,$B265)&gt;1,"중복 사번",IF($AE265="","소속(입사장소) 입력",IF(IF(TRIM($J265&amp;"")="",0,SUMPRODUCT((입력_파견수련계획!$Q$4:$Q$803=TRIM($J265&amp;""))*(입력_파견수련계획!$AA$4:$AA$803&lt;&gt;"")))&gt;0,"파견수련계획 입력오류 확인",IF(LEFT($Y265,1)="⚠","서울·구리 15일 판정 불가(양쪽 모두 이상/미만)",IF(IF($AC265="",0,N(INDEX(입력_인턴근무계획!$T$3:$T$402,$AC265)))&gt;0,"인턴계획 입력오류 확인",IF(AND($AQ265&lt;&gt;"",$AG265&lt;&gt;"구리병원",IF(TRIM($J265&amp;"")="",0,SUMPRODUCT((입력_파견수련계획!$Q$4:$Q$803=TRIM($J265&amp;""))*(입력_파견수련계획!$S$4:$S$803="구리병원")*입력_파견수련계획!$W$4:$W$803))=0),"구리 근무자명단에만 있음(파견수련계획 확인)",IF(AND($AC265&lt;&gt;"",$U265&lt;&gt;"파견중",$N265&lt;&gt;$AE265),"인턴 타지역 근무: 파견 여부 확인","정상")))))))))</f>
        <v/>
      </c>
      <c r="AA265" s="5" t="n"/>
      <c r="AB265" s="10">
        <f>IF($B265="","",IFERROR(MATCH($B265,입력_기본자료!$B$2:$B$1001,0),IFERROR(MATCH($B265&amp;"",입력_기본자료!$B$2:$B$1001,0),IFERROR(MATCH(VALUE($B265),입력_기본자료!$B$2:$B$1001,0),""))))</f>
        <v/>
      </c>
      <c r="AC265" s="10">
        <f>IF($B265="","",IFERROR(MATCH($B265,입력_인턴근무계획!$D$3:$D$402,0),IFERROR(MATCH($B265&amp;"",입력_인턴근무계획!$D$3:$D$402,0),IFERROR(MATCH(VALUE($B265),입력_인턴근무계획!$D$3:$D$402,0),""))))</f>
        <v/>
      </c>
      <c r="AD265" s="10">
        <f>IF(OR($AC265="",출력_인턴현황!$G$3=""),"",INDEX(입력_인턴근무계획!$M$3:$R$402,$AC265,출력_인턴현황!$G$3)&amp;"")</f>
        <v/>
      </c>
      <c r="AE265" s="10">
        <f>IF($B265="","",IF($M265&lt;&gt;"",$M265,IF(IF($AQ265="",FALSE,INDEX(출력_구리근무자!$J$6:$J$305,$AQ265)="구리독자"),"구리병원",IF($AF265&lt;&gt;"",IF(LEFT(INDEX(입력_파견수련계획!$R$4:$R$803,$AF265),1)&lt;&gt;"⚠",INDEX(입력_파견수련계획!$R$4:$R$803,$AF265),IF($H265="","",IF(RIGHT($H265,2)="병원",$H265,$H265&amp;"병원"))),IF($H265="","",IF(RIGHT($H265,2)="병원",$H265,$H265&amp;"병원"))))))</f>
        <v/>
      </c>
      <c r="AF265" s="10">
        <f>IF(OR($B265="",TRIM($J265&amp;"")=""),"",IFERROR(MATCH(TRIM($J265&amp;"")&amp;"|파견중",입력_파견수련계획!$Y$4:$Y$803,0),IFERROR(MATCH(TRIM($J265&amp;"")&amp;"|파견예정",입력_파견수련계획!$Y$4:$Y$803,0),IFERROR(MATCH(TRIM($J265&amp;"")&amp;"|파견종료",입력_파견수련계획!$Y$4:$Y$803,0),""))))</f>
        <v/>
      </c>
      <c r="AG265" s="10">
        <f>IF($B265="","",IF(AND(IF(OR($AC265="",출력_인턴현황!$K$2=""),"",INDEX(입력_인턴근무계획!$M$3:$R$402,$AC265,출력_인턴현황!$K$2)&amp;"")&lt;&gt;"",LEFT(IF(OR($AC265="",출력_인턴현황!$K$2=""),"",INDEX(입력_인턴근무계획!$M$3:$R$402,$AC265,출력_인턴현황!$K$2)&amp;""),1)&lt;&gt;"⚠"),LEFT(IF(OR($AC265="",출력_인턴현황!$K$2=""),"",INDEX(입력_인턴근무계획!$M$3:$R$402,$AC265,출력_인턴현황!$K$2)&amp;""),FIND(" ",IF(OR($AC265="",출력_인턴현황!$K$2=""),"",INDEX(입력_인턴근무계획!$M$3:$R$402,$AC265,출력_인턴현황!$K$2)&amp;""))-1),$AE265))</f>
        <v/>
      </c>
      <c r="AH265" s="17">
        <f>IF($B265="","",IF($AQ265&lt;&gt;"",MAX(0,DAY(EOMONTH(출력_요약!$B$3,0))-N($AR265)),IF(TRIM($J265&amp;"")="",0,SUMPRODUCT((입력_파견수련계획!$Q$4:$Q$803=TRIM($J265&amp;""))*(입력_파견수련계획!$S$4:$S$803="서울병원")*입력_파견수련계획!$W$4:$W$803))+IF($AG265="서울병원",MAX(0,DAY(EOMONTH(출력_요약!$B$3,0))-N($X265)),0)))</f>
        <v/>
      </c>
      <c r="AI265" s="17">
        <f>IF($B265="","",IF($AQ265&lt;&gt;"",N($AR265),IF(TRIM($J265&amp;"")="",0,SUMPRODUCT((입력_파견수련계획!$Q$4:$Q$803=TRIM($J265&amp;""))*(입력_파견수련계획!$S$4:$S$803="구리병원")*입력_파견수련계획!$W$4:$W$803))+IF($AG265="구리병원",MAX(0,DAY(EOMONTH(출력_요약!$B$3,0))-N($X265)),0)))</f>
        <v/>
      </c>
      <c r="AJ265" s="10">
        <f>IF(OR($B265="",TRIM($J265&amp;"")=""),"",IFERROR(MATCH(TRIM($J265&amp;"")&amp;"|월",입력_파견수련계획!$Z$4:$Z$803,0),""))</f>
        <v/>
      </c>
      <c r="AK265" s="10">
        <f>IF(OR($B265="",TRIM($J265&amp;"")=""),"",IFERROR(MATCH(TRIM($J265&amp;"")&amp;"|다기관",입력_파견수련계획!$AE$4:$AE$803,0),""))</f>
        <v/>
      </c>
      <c r="AL265" s="10">
        <f>IF($AK265="","","다기관 "&amp;TEXT(INDEX(입력_파견수련계획!$AB$4:$AB$803,$AK265),"yyyy-mm-dd")&amp;"~"&amp;IF(ISNUMBER(INDEX(입력_파견수련계획!$AC$4:$AC$803,$AK265)),TEXT(INDEX(입력_파견수련계획!$AC$4:$AC$803,$AK265),"yyyy-mm-dd"),""))</f>
        <v/>
      </c>
      <c r="AM265" s="10">
        <f>IF($Y265="서울병원",COUNTIF($Y$2:$Y265,"서울병원"),"")</f>
        <v/>
      </c>
      <c r="AN265" s="10">
        <f>IF(LEFT($Y265,1)="⚠",COUNTIF($Y$2:$Y265,"⚠*"),"")</f>
        <v/>
      </c>
      <c r="AO265" s="10">
        <f>IF(OR($B265="",$Y265=""),"",IF(IF(TRIM($J265&amp;"")="",0,SUMPRODUCT((입력_파견수련계획!$Q$4:$Q$803=TRIM($J265&amp;""))*입력_파견수련계획!$AD$4:$AD$803))&gt;0,"다기관 기간 → 소속병원 지급",IF(AND(N($X265)&lt;=0,$AQ265=""),"파견 없음 → 그 달 근무병원 지급",IF($AH265+$AI265=DAY(EOMONTH(출력_요약!$B$3,0)),"서울 "&amp;$AH265&amp;"일 / 구리 "&amp;$AI265&amp;"일"&amp;IF($AQ265&lt;&gt;""," (구리 근무자명단 반영)","")&amp;" → 15일 이상 근무 병원 지급","타 병원 포함 → "&amp;IF($AJ265="","소속",INDEX(입력_파견수련계획!$T$4:$T$803,$AJ265))&amp;" 규칙"))))</f>
        <v/>
      </c>
      <c r="AP265" s="10">
        <f>IF($B265="","",$C265&amp;"|"&amp;$F265)</f>
        <v/>
      </c>
      <c r="AQ265" s="10">
        <f>IF($B265="","",IFERROR(MATCH(ROW()-1,출력_구리근무자!$K$6:$K$305,0),""))</f>
        <v/>
      </c>
      <c r="AR265" s="10">
        <f>IF($AQ265="","",INDEX(출력_구리근무자!$H$6:$H$305,$AQ265))</f>
        <v/>
      </c>
    </row>
    <row r="266">
      <c r="A266" s="10">
        <f>IF(B266="","",ROW()-1)</f>
        <v/>
      </c>
      <c r="B266" s="19" t="n"/>
      <c r="C266" s="10">
        <f>IF($AB266="","",IF(INDEX(입력_기본자료!$C$2:$C$1001,$AB266)="","",INDEX(입력_기본자료!$C$2:$C$1001,$AB266)))</f>
        <v/>
      </c>
      <c r="D266" s="10">
        <f>IF($AB266="","",IF(INDEX(입력_기본자료!$J$2:$J$1001,$AB266)="","",INDEX(입력_기본자료!$J$2:$J$1001,$AB266)))</f>
        <v/>
      </c>
      <c r="E266" s="11">
        <f>IF($AB266="","",IF(INDEX(입력_기본자료!$K$2:$K$1001,$AB266)="","",IF(NOT(ISNUMBER(INDEX(입력_기본자료!$K$2:$K$1001,$AB266))),INDEX(입력_기본자료!$K$2:$K$1001,$AB266),IF(INDEX(입력_기본자료!$K$2:$K$1001,$AB266)&lt;1000000,INDEX(입력_기본자료!$K$2:$K$1001,$AB266),IF(AND(INDEX(입력_기본자료!$K$2:$K$1001,$AB266)&gt;=10000101,INT(MOD(INDEX(입력_기본자료!$K$2:$K$1001,$AB266),10000)/100)&gt;=1,INT(MOD(INDEX(입력_기본자료!$K$2:$K$1001,$AB266),10000)/100)&lt;=12,MOD(INDEX(입력_기본자료!$K$2:$K$1001,$AB266),100)&gt;=1,MOD(INDEX(입력_기본자료!$K$2:$K$1001,$AB266),100)&lt;=31),DATE(INT(INDEX(입력_기본자료!$K$2:$K$1001,$AB266)/10000),INT(MOD(INDEX(입력_기본자료!$K$2:$K$1001,$AB266),10000)/100),MOD(INDEX(입력_기본자료!$K$2:$K$1001,$AB266),100)),INDEX(입력_기본자료!$K$2:$K$1001,$AB266)&amp;"")))))</f>
        <v/>
      </c>
      <c r="F266" s="10">
        <f>IF($AB266="","",IF(INDEX(입력_기본자료!$D$2:$D$1001,$AB266)="","",INDEX(입력_기본자료!$D$2:$D$1001,$AB266)))</f>
        <v/>
      </c>
      <c r="G266" s="10">
        <f>IF($AB266="","",IF(INDEX(입력_기본자료!$E$2:$E$1001,$AB266)="","",INDEX(입력_기본자료!$E$2:$E$1001,$AB266)))</f>
        <v/>
      </c>
      <c r="H266" s="10">
        <f>IF($AB266="","",IF(INDEX(입력_기본자료!$F$2:$F$1001,$AB266)="","",INDEX(입력_기본자료!$F$2:$F$1001,$AB266)))</f>
        <v/>
      </c>
      <c r="I266" s="11">
        <f>IF($AB266="","",IF(INDEX(입력_기본자료!$G$2:$G$1001,$AB266)="","",IF(NOT(ISNUMBER(INDEX(입력_기본자료!$G$2:$G$1001,$AB266))),INDEX(입력_기본자료!$G$2:$G$1001,$AB266),IF(INDEX(입력_기본자료!$G$2:$G$1001,$AB266)&lt;1000000,INDEX(입력_기본자료!$G$2:$G$1001,$AB266),IF(AND(INDEX(입력_기본자료!$G$2:$G$1001,$AB266)&gt;=10000101,INT(MOD(INDEX(입력_기본자료!$G$2:$G$1001,$AB266),10000)/100)&gt;=1,INT(MOD(INDEX(입력_기본자료!$G$2:$G$1001,$AB266),10000)/100)&lt;=12,MOD(INDEX(입력_기본자료!$G$2:$G$1001,$AB266),100)&gt;=1,MOD(INDEX(입력_기본자료!$G$2:$G$1001,$AB266),100)&lt;=31),DATE(INT(INDEX(입력_기본자료!$G$2:$G$1001,$AB266)/10000),INT(MOD(INDEX(입력_기본자료!$G$2:$G$1001,$AB266),10000)/100),MOD(INDEX(입력_기본자료!$G$2:$G$1001,$AB266),100)),INDEX(입력_기본자료!$G$2:$G$1001,$AB266)&amp;"")))))</f>
        <v/>
      </c>
      <c r="J266" s="10">
        <f>IF($AB266="","",IF(INDEX(입력_기본자료!$H$2:$H$1001,$AB266)="","",INDEX(입력_기본자료!$H$2:$H$1001,$AB266)))</f>
        <v/>
      </c>
      <c r="K266" s="10">
        <f>IF($AB266="","",IF(INDEX(입력_기본자료!$I$2:$I$1001,$AB266)="","",INDEX(입력_기본자료!$I$2:$I$1001,$AB266)))</f>
        <v/>
      </c>
      <c r="L266" s="10">
        <f>IF($AB266="","",IF(INDEX(입력_기본자료!$A$2:$A$1001,$AB266)="","",INDEX(입력_기본자료!$A$2:$A$1001,$AB266)))</f>
        <v/>
      </c>
      <c r="M266" s="15" t="n"/>
      <c r="N266" s="10">
        <f>IF($B266="","",IF(AND($U266="파견중",$Q266&lt;&gt;""),$Q266,IF(AND($AD266&lt;&gt;"",LEFT($AD266,1)&lt;&gt;"⚠"),LEFT($AD266,FIND(" ",$AD266)-1),IF($H266="","",IF(RIGHT($H266,2)="병원",$H266,$H266&amp;"병원")))))</f>
        <v/>
      </c>
      <c r="O266" s="10">
        <f>IF($B266="","",IF(AND($U266="파견중",$Q266&lt;&gt;""),IF($R266&lt;&gt;"",$R266,"파견과 미입력"),IF(AND($AD266&lt;&gt;"",LEFT($AD266,1)&lt;&gt;"⚠"),MID($AD266,FIND(" ",$AD266)+1,60),IF($F266="","",IF($F266="인턴","수련교육부(인턴)",$F266)))))</f>
        <v/>
      </c>
      <c r="P266" s="10">
        <f>IF($B266="","",IF($AK266&lt;&gt;"",IF(AND(TODAY()&gt;=INDEX(입력_파견수련계획!$AB$4:$AB$803,$AK266),OR(NOT(ISNUMBER(INDEX(입력_파견수련계획!$AC$4:$AC$803,$AK266))),TODAY()&lt;=INDEX(입력_파견수련계획!$AC$4:$AC$803,$AK266))),"다기관",IF($AF266="","",INDEX(입력_파견수련계획!$T$4:$T$803,$AF266))),IF($AF266="","",INDEX(입력_파견수련계획!$T$4:$T$803,$AF266))))</f>
        <v/>
      </c>
      <c r="Q266" s="10">
        <f>IF($AF266="","",INDEX(입력_파견수련계획!$S$4:$S$803,$AF266))</f>
        <v/>
      </c>
      <c r="R266" s="10">
        <f>IF($AF266="","",INDEX(입력_파견수련계획!$U$4:$U$803,$AF266))</f>
        <v/>
      </c>
      <c r="S266" s="11">
        <f>IF($AF266="","",IF(INDEX(입력_파견수련계획!$H$4:$H$803,$AF266)="","",INDEX(입력_파견수련계획!$H$4:$H$803,$AF266)))</f>
        <v/>
      </c>
      <c r="T266" s="11">
        <f>IF($AF266="","",IF(INDEX(입력_파견수련계획!$I$4:$I$803,$AF266)="","",INDEX(입력_파견수련계획!$I$4:$I$803,$AF266)))</f>
        <v/>
      </c>
      <c r="U266" s="10">
        <f>IF($AF266="","",INDEX(입력_파견수련계획!$X$4:$X$803,$AF266))</f>
        <v/>
      </c>
      <c r="V266" s="17">
        <f>IF($AF266="","",INDEX(입력_파견수련계획!$V$4:$V$803,$AF266))</f>
        <v/>
      </c>
      <c r="W266" s="17">
        <f>IF(AND($U266="파견중",$T266&lt;&gt;""),$T266-TODAY(),"")</f>
        <v/>
      </c>
      <c r="X266" s="17">
        <f>IF(OR($B266="",TRIM($J266&amp;"")=""),"",SUMPRODUCT((입력_파견수련계획!$Q$4:$Q$803=TRIM($J266&amp;""))*입력_파견수련계획!$W$4:$W$803))</f>
        <v/>
      </c>
      <c r="Y266" s="10">
        <f>IF($B266="","",IF($AG266="","",IF(IF(TRIM($J266&amp;"")="",0,SUMPRODUCT((입력_파견수련계획!$Q$4:$Q$803=TRIM($J266&amp;""))*입력_파견수련계획!$AD$4:$AD$803))&gt;0,$AE266,IF(AND(N($X266)&lt;=0,$AQ266=""),$AG266,IF($AH266+$AI266=DAY(EOMONTH(출력_요약!$B$3,0)),IF(AND($AH266&gt;=출력_요약!$E$3,$AI266&lt;출력_요약!$E$3),"서울병원",IF(AND($AI266&gt;=출력_요약!$E$3,$AH266&lt;출력_요약!$E$3),"구리병원","⚠15일 판정불가(서울 "&amp;$AH266&amp;"일/구리 "&amp;$AI266&amp;"일)")),IF($AJ266="",$AE266,IF(INDEX(입력_파견수련계획!$T$4:$T$803,$AJ266)="통합수련",INDEX(입력_파견수련계획!$S$4:$S$803,$AJ266),$AE266)))))))</f>
        <v/>
      </c>
      <c r="Z266" s="20">
        <f>IF($B266="","",IF($AB266="","기본자료에 없는 사번",IF(COUNTIF($B$2:$B$401,$B266)&gt;1,"중복 사번",IF($AE266="","소속(입사장소) 입력",IF(IF(TRIM($J266&amp;"")="",0,SUMPRODUCT((입력_파견수련계획!$Q$4:$Q$803=TRIM($J266&amp;""))*(입력_파견수련계획!$AA$4:$AA$803&lt;&gt;"")))&gt;0,"파견수련계획 입력오류 확인",IF(LEFT($Y266,1)="⚠","서울·구리 15일 판정 불가(양쪽 모두 이상/미만)",IF(IF($AC266="",0,N(INDEX(입력_인턴근무계획!$T$3:$T$402,$AC266)))&gt;0,"인턴계획 입력오류 확인",IF(AND($AQ266&lt;&gt;"",$AG266&lt;&gt;"구리병원",IF(TRIM($J266&amp;"")="",0,SUMPRODUCT((입력_파견수련계획!$Q$4:$Q$803=TRIM($J266&amp;""))*(입력_파견수련계획!$S$4:$S$803="구리병원")*입력_파견수련계획!$W$4:$W$803))=0),"구리 근무자명단에만 있음(파견수련계획 확인)",IF(AND($AC266&lt;&gt;"",$U266&lt;&gt;"파견중",$N266&lt;&gt;$AE266),"인턴 타지역 근무: 파견 여부 확인","정상")))))))))</f>
        <v/>
      </c>
      <c r="AA266" s="5" t="n"/>
      <c r="AB266" s="10">
        <f>IF($B266="","",IFERROR(MATCH($B266,입력_기본자료!$B$2:$B$1001,0),IFERROR(MATCH($B266&amp;"",입력_기본자료!$B$2:$B$1001,0),IFERROR(MATCH(VALUE($B266),입력_기본자료!$B$2:$B$1001,0),""))))</f>
        <v/>
      </c>
      <c r="AC266" s="10">
        <f>IF($B266="","",IFERROR(MATCH($B266,입력_인턴근무계획!$D$3:$D$402,0),IFERROR(MATCH($B266&amp;"",입력_인턴근무계획!$D$3:$D$402,0),IFERROR(MATCH(VALUE($B266),입력_인턴근무계획!$D$3:$D$402,0),""))))</f>
        <v/>
      </c>
      <c r="AD266" s="10">
        <f>IF(OR($AC266="",출력_인턴현황!$G$3=""),"",INDEX(입력_인턴근무계획!$M$3:$R$402,$AC266,출력_인턴현황!$G$3)&amp;"")</f>
        <v/>
      </c>
      <c r="AE266" s="10">
        <f>IF($B266="","",IF($M266&lt;&gt;"",$M266,IF(IF($AQ266="",FALSE,INDEX(출력_구리근무자!$J$6:$J$305,$AQ266)="구리독자"),"구리병원",IF($AF266&lt;&gt;"",IF(LEFT(INDEX(입력_파견수련계획!$R$4:$R$803,$AF266),1)&lt;&gt;"⚠",INDEX(입력_파견수련계획!$R$4:$R$803,$AF266),IF($H266="","",IF(RIGHT($H266,2)="병원",$H266,$H266&amp;"병원"))),IF($H266="","",IF(RIGHT($H266,2)="병원",$H266,$H266&amp;"병원"))))))</f>
        <v/>
      </c>
      <c r="AF266" s="10">
        <f>IF(OR($B266="",TRIM($J266&amp;"")=""),"",IFERROR(MATCH(TRIM($J266&amp;"")&amp;"|파견중",입력_파견수련계획!$Y$4:$Y$803,0),IFERROR(MATCH(TRIM($J266&amp;"")&amp;"|파견예정",입력_파견수련계획!$Y$4:$Y$803,0),IFERROR(MATCH(TRIM($J266&amp;"")&amp;"|파견종료",입력_파견수련계획!$Y$4:$Y$803,0),""))))</f>
        <v/>
      </c>
      <c r="AG266" s="10">
        <f>IF($B266="","",IF(AND(IF(OR($AC266="",출력_인턴현황!$K$2=""),"",INDEX(입력_인턴근무계획!$M$3:$R$402,$AC266,출력_인턴현황!$K$2)&amp;"")&lt;&gt;"",LEFT(IF(OR($AC266="",출력_인턴현황!$K$2=""),"",INDEX(입력_인턴근무계획!$M$3:$R$402,$AC266,출력_인턴현황!$K$2)&amp;""),1)&lt;&gt;"⚠"),LEFT(IF(OR($AC266="",출력_인턴현황!$K$2=""),"",INDEX(입력_인턴근무계획!$M$3:$R$402,$AC266,출력_인턴현황!$K$2)&amp;""),FIND(" ",IF(OR($AC266="",출력_인턴현황!$K$2=""),"",INDEX(입력_인턴근무계획!$M$3:$R$402,$AC266,출력_인턴현황!$K$2)&amp;""))-1),$AE266))</f>
        <v/>
      </c>
      <c r="AH266" s="17">
        <f>IF($B266="","",IF($AQ266&lt;&gt;"",MAX(0,DAY(EOMONTH(출력_요약!$B$3,0))-N($AR266)),IF(TRIM($J266&amp;"")="",0,SUMPRODUCT((입력_파견수련계획!$Q$4:$Q$803=TRIM($J266&amp;""))*(입력_파견수련계획!$S$4:$S$803="서울병원")*입력_파견수련계획!$W$4:$W$803))+IF($AG266="서울병원",MAX(0,DAY(EOMONTH(출력_요약!$B$3,0))-N($X266)),0)))</f>
        <v/>
      </c>
      <c r="AI266" s="17">
        <f>IF($B266="","",IF($AQ266&lt;&gt;"",N($AR266),IF(TRIM($J266&amp;"")="",0,SUMPRODUCT((입력_파견수련계획!$Q$4:$Q$803=TRIM($J266&amp;""))*(입력_파견수련계획!$S$4:$S$803="구리병원")*입력_파견수련계획!$W$4:$W$803))+IF($AG266="구리병원",MAX(0,DAY(EOMONTH(출력_요약!$B$3,0))-N($X266)),0)))</f>
        <v/>
      </c>
      <c r="AJ266" s="10">
        <f>IF(OR($B266="",TRIM($J266&amp;"")=""),"",IFERROR(MATCH(TRIM($J266&amp;"")&amp;"|월",입력_파견수련계획!$Z$4:$Z$803,0),""))</f>
        <v/>
      </c>
      <c r="AK266" s="10">
        <f>IF(OR($B266="",TRIM($J266&amp;"")=""),"",IFERROR(MATCH(TRIM($J266&amp;"")&amp;"|다기관",입력_파견수련계획!$AE$4:$AE$803,0),""))</f>
        <v/>
      </c>
      <c r="AL266" s="10">
        <f>IF($AK266="","","다기관 "&amp;TEXT(INDEX(입력_파견수련계획!$AB$4:$AB$803,$AK266),"yyyy-mm-dd")&amp;"~"&amp;IF(ISNUMBER(INDEX(입력_파견수련계획!$AC$4:$AC$803,$AK266)),TEXT(INDEX(입력_파견수련계획!$AC$4:$AC$803,$AK266),"yyyy-mm-dd"),""))</f>
        <v/>
      </c>
      <c r="AM266" s="10">
        <f>IF($Y266="서울병원",COUNTIF($Y$2:$Y266,"서울병원"),"")</f>
        <v/>
      </c>
      <c r="AN266" s="10">
        <f>IF(LEFT($Y266,1)="⚠",COUNTIF($Y$2:$Y266,"⚠*"),"")</f>
        <v/>
      </c>
      <c r="AO266" s="10">
        <f>IF(OR($B266="",$Y266=""),"",IF(IF(TRIM($J266&amp;"")="",0,SUMPRODUCT((입력_파견수련계획!$Q$4:$Q$803=TRIM($J266&amp;""))*입력_파견수련계획!$AD$4:$AD$803))&gt;0,"다기관 기간 → 소속병원 지급",IF(AND(N($X266)&lt;=0,$AQ266=""),"파견 없음 → 그 달 근무병원 지급",IF($AH266+$AI266=DAY(EOMONTH(출력_요약!$B$3,0)),"서울 "&amp;$AH266&amp;"일 / 구리 "&amp;$AI266&amp;"일"&amp;IF($AQ266&lt;&gt;""," (구리 근무자명단 반영)","")&amp;" → 15일 이상 근무 병원 지급","타 병원 포함 → "&amp;IF($AJ266="","소속",INDEX(입력_파견수련계획!$T$4:$T$803,$AJ266))&amp;" 규칙"))))</f>
        <v/>
      </c>
      <c r="AP266" s="10">
        <f>IF($B266="","",$C266&amp;"|"&amp;$F266)</f>
        <v/>
      </c>
      <c r="AQ266" s="10">
        <f>IF($B266="","",IFERROR(MATCH(ROW()-1,출력_구리근무자!$K$6:$K$305,0),""))</f>
        <v/>
      </c>
      <c r="AR266" s="10">
        <f>IF($AQ266="","",INDEX(출력_구리근무자!$H$6:$H$305,$AQ266))</f>
        <v/>
      </c>
    </row>
    <row r="267">
      <c r="A267" s="10">
        <f>IF(B267="","",ROW()-1)</f>
        <v/>
      </c>
      <c r="B267" s="19" t="n"/>
      <c r="C267" s="10">
        <f>IF($AB267="","",IF(INDEX(입력_기본자료!$C$2:$C$1001,$AB267)="","",INDEX(입력_기본자료!$C$2:$C$1001,$AB267)))</f>
        <v/>
      </c>
      <c r="D267" s="10">
        <f>IF($AB267="","",IF(INDEX(입력_기본자료!$J$2:$J$1001,$AB267)="","",INDEX(입력_기본자료!$J$2:$J$1001,$AB267)))</f>
        <v/>
      </c>
      <c r="E267" s="11">
        <f>IF($AB267="","",IF(INDEX(입력_기본자료!$K$2:$K$1001,$AB267)="","",IF(NOT(ISNUMBER(INDEX(입력_기본자료!$K$2:$K$1001,$AB267))),INDEX(입력_기본자료!$K$2:$K$1001,$AB267),IF(INDEX(입력_기본자료!$K$2:$K$1001,$AB267)&lt;1000000,INDEX(입력_기본자료!$K$2:$K$1001,$AB267),IF(AND(INDEX(입력_기본자료!$K$2:$K$1001,$AB267)&gt;=10000101,INT(MOD(INDEX(입력_기본자료!$K$2:$K$1001,$AB267),10000)/100)&gt;=1,INT(MOD(INDEX(입력_기본자료!$K$2:$K$1001,$AB267),10000)/100)&lt;=12,MOD(INDEX(입력_기본자료!$K$2:$K$1001,$AB267),100)&gt;=1,MOD(INDEX(입력_기본자료!$K$2:$K$1001,$AB267),100)&lt;=31),DATE(INT(INDEX(입력_기본자료!$K$2:$K$1001,$AB267)/10000),INT(MOD(INDEX(입력_기본자료!$K$2:$K$1001,$AB267),10000)/100),MOD(INDEX(입력_기본자료!$K$2:$K$1001,$AB267),100)),INDEX(입력_기본자료!$K$2:$K$1001,$AB267)&amp;"")))))</f>
        <v/>
      </c>
      <c r="F267" s="10">
        <f>IF($AB267="","",IF(INDEX(입력_기본자료!$D$2:$D$1001,$AB267)="","",INDEX(입력_기본자료!$D$2:$D$1001,$AB267)))</f>
        <v/>
      </c>
      <c r="G267" s="10">
        <f>IF($AB267="","",IF(INDEX(입력_기본자료!$E$2:$E$1001,$AB267)="","",INDEX(입력_기본자료!$E$2:$E$1001,$AB267)))</f>
        <v/>
      </c>
      <c r="H267" s="10">
        <f>IF($AB267="","",IF(INDEX(입력_기본자료!$F$2:$F$1001,$AB267)="","",INDEX(입력_기본자료!$F$2:$F$1001,$AB267)))</f>
        <v/>
      </c>
      <c r="I267" s="11">
        <f>IF($AB267="","",IF(INDEX(입력_기본자료!$G$2:$G$1001,$AB267)="","",IF(NOT(ISNUMBER(INDEX(입력_기본자료!$G$2:$G$1001,$AB267))),INDEX(입력_기본자료!$G$2:$G$1001,$AB267),IF(INDEX(입력_기본자료!$G$2:$G$1001,$AB267)&lt;1000000,INDEX(입력_기본자료!$G$2:$G$1001,$AB267),IF(AND(INDEX(입력_기본자료!$G$2:$G$1001,$AB267)&gt;=10000101,INT(MOD(INDEX(입력_기본자료!$G$2:$G$1001,$AB267),10000)/100)&gt;=1,INT(MOD(INDEX(입력_기본자료!$G$2:$G$1001,$AB267),10000)/100)&lt;=12,MOD(INDEX(입력_기본자료!$G$2:$G$1001,$AB267),100)&gt;=1,MOD(INDEX(입력_기본자료!$G$2:$G$1001,$AB267),100)&lt;=31),DATE(INT(INDEX(입력_기본자료!$G$2:$G$1001,$AB267)/10000),INT(MOD(INDEX(입력_기본자료!$G$2:$G$1001,$AB267),10000)/100),MOD(INDEX(입력_기본자료!$G$2:$G$1001,$AB267),100)),INDEX(입력_기본자료!$G$2:$G$1001,$AB267)&amp;"")))))</f>
        <v/>
      </c>
      <c r="J267" s="10">
        <f>IF($AB267="","",IF(INDEX(입력_기본자료!$H$2:$H$1001,$AB267)="","",INDEX(입력_기본자료!$H$2:$H$1001,$AB267)))</f>
        <v/>
      </c>
      <c r="K267" s="10">
        <f>IF($AB267="","",IF(INDEX(입력_기본자료!$I$2:$I$1001,$AB267)="","",INDEX(입력_기본자료!$I$2:$I$1001,$AB267)))</f>
        <v/>
      </c>
      <c r="L267" s="10">
        <f>IF($AB267="","",IF(INDEX(입력_기본자료!$A$2:$A$1001,$AB267)="","",INDEX(입력_기본자료!$A$2:$A$1001,$AB267)))</f>
        <v/>
      </c>
      <c r="M267" s="15" t="n"/>
      <c r="N267" s="10">
        <f>IF($B267="","",IF(AND($U267="파견중",$Q267&lt;&gt;""),$Q267,IF(AND($AD267&lt;&gt;"",LEFT($AD267,1)&lt;&gt;"⚠"),LEFT($AD267,FIND(" ",$AD267)-1),IF($H267="","",IF(RIGHT($H267,2)="병원",$H267,$H267&amp;"병원")))))</f>
        <v/>
      </c>
      <c r="O267" s="10">
        <f>IF($B267="","",IF(AND($U267="파견중",$Q267&lt;&gt;""),IF($R267&lt;&gt;"",$R267,"파견과 미입력"),IF(AND($AD267&lt;&gt;"",LEFT($AD267,1)&lt;&gt;"⚠"),MID($AD267,FIND(" ",$AD267)+1,60),IF($F267="","",IF($F267="인턴","수련교육부(인턴)",$F267)))))</f>
        <v/>
      </c>
      <c r="P267" s="10">
        <f>IF($B267="","",IF($AK267&lt;&gt;"",IF(AND(TODAY()&gt;=INDEX(입력_파견수련계획!$AB$4:$AB$803,$AK267),OR(NOT(ISNUMBER(INDEX(입력_파견수련계획!$AC$4:$AC$803,$AK267))),TODAY()&lt;=INDEX(입력_파견수련계획!$AC$4:$AC$803,$AK267))),"다기관",IF($AF267="","",INDEX(입력_파견수련계획!$T$4:$T$803,$AF267))),IF($AF267="","",INDEX(입력_파견수련계획!$T$4:$T$803,$AF267))))</f>
        <v/>
      </c>
      <c r="Q267" s="10">
        <f>IF($AF267="","",INDEX(입력_파견수련계획!$S$4:$S$803,$AF267))</f>
        <v/>
      </c>
      <c r="R267" s="10">
        <f>IF($AF267="","",INDEX(입력_파견수련계획!$U$4:$U$803,$AF267))</f>
        <v/>
      </c>
      <c r="S267" s="11">
        <f>IF($AF267="","",IF(INDEX(입력_파견수련계획!$H$4:$H$803,$AF267)="","",INDEX(입력_파견수련계획!$H$4:$H$803,$AF267)))</f>
        <v/>
      </c>
      <c r="T267" s="11">
        <f>IF($AF267="","",IF(INDEX(입력_파견수련계획!$I$4:$I$803,$AF267)="","",INDEX(입력_파견수련계획!$I$4:$I$803,$AF267)))</f>
        <v/>
      </c>
      <c r="U267" s="10">
        <f>IF($AF267="","",INDEX(입력_파견수련계획!$X$4:$X$803,$AF267))</f>
        <v/>
      </c>
      <c r="V267" s="17">
        <f>IF($AF267="","",INDEX(입력_파견수련계획!$V$4:$V$803,$AF267))</f>
        <v/>
      </c>
      <c r="W267" s="17">
        <f>IF(AND($U267="파견중",$T267&lt;&gt;""),$T267-TODAY(),"")</f>
        <v/>
      </c>
      <c r="X267" s="17">
        <f>IF(OR($B267="",TRIM($J267&amp;"")=""),"",SUMPRODUCT((입력_파견수련계획!$Q$4:$Q$803=TRIM($J267&amp;""))*입력_파견수련계획!$W$4:$W$803))</f>
        <v/>
      </c>
      <c r="Y267" s="10">
        <f>IF($B267="","",IF($AG267="","",IF(IF(TRIM($J267&amp;"")="",0,SUMPRODUCT((입력_파견수련계획!$Q$4:$Q$803=TRIM($J267&amp;""))*입력_파견수련계획!$AD$4:$AD$803))&gt;0,$AE267,IF(AND(N($X267)&lt;=0,$AQ267=""),$AG267,IF($AH267+$AI267=DAY(EOMONTH(출력_요약!$B$3,0)),IF(AND($AH267&gt;=출력_요약!$E$3,$AI267&lt;출력_요약!$E$3),"서울병원",IF(AND($AI267&gt;=출력_요약!$E$3,$AH267&lt;출력_요약!$E$3),"구리병원","⚠15일 판정불가(서울 "&amp;$AH267&amp;"일/구리 "&amp;$AI267&amp;"일)")),IF($AJ267="",$AE267,IF(INDEX(입력_파견수련계획!$T$4:$T$803,$AJ267)="통합수련",INDEX(입력_파견수련계획!$S$4:$S$803,$AJ267),$AE267)))))))</f>
        <v/>
      </c>
      <c r="Z267" s="20">
        <f>IF($B267="","",IF($AB267="","기본자료에 없는 사번",IF(COUNTIF($B$2:$B$401,$B267)&gt;1,"중복 사번",IF($AE267="","소속(입사장소) 입력",IF(IF(TRIM($J267&amp;"")="",0,SUMPRODUCT((입력_파견수련계획!$Q$4:$Q$803=TRIM($J267&amp;""))*(입력_파견수련계획!$AA$4:$AA$803&lt;&gt;"")))&gt;0,"파견수련계획 입력오류 확인",IF(LEFT($Y267,1)="⚠","서울·구리 15일 판정 불가(양쪽 모두 이상/미만)",IF(IF($AC267="",0,N(INDEX(입력_인턴근무계획!$T$3:$T$402,$AC267)))&gt;0,"인턴계획 입력오류 확인",IF(AND($AQ267&lt;&gt;"",$AG267&lt;&gt;"구리병원",IF(TRIM($J267&amp;"")="",0,SUMPRODUCT((입력_파견수련계획!$Q$4:$Q$803=TRIM($J267&amp;""))*(입력_파견수련계획!$S$4:$S$803="구리병원")*입력_파견수련계획!$W$4:$W$803))=0),"구리 근무자명단에만 있음(파견수련계획 확인)",IF(AND($AC267&lt;&gt;"",$U267&lt;&gt;"파견중",$N267&lt;&gt;$AE267),"인턴 타지역 근무: 파견 여부 확인","정상")))))))))</f>
        <v/>
      </c>
      <c r="AA267" s="5" t="n"/>
      <c r="AB267" s="10">
        <f>IF($B267="","",IFERROR(MATCH($B267,입력_기본자료!$B$2:$B$1001,0),IFERROR(MATCH($B267&amp;"",입력_기본자료!$B$2:$B$1001,0),IFERROR(MATCH(VALUE($B267),입력_기본자료!$B$2:$B$1001,0),""))))</f>
        <v/>
      </c>
      <c r="AC267" s="10">
        <f>IF($B267="","",IFERROR(MATCH($B267,입력_인턴근무계획!$D$3:$D$402,0),IFERROR(MATCH($B267&amp;"",입력_인턴근무계획!$D$3:$D$402,0),IFERROR(MATCH(VALUE($B267),입력_인턴근무계획!$D$3:$D$402,0),""))))</f>
        <v/>
      </c>
      <c r="AD267" s="10">
        <f>IF(OR($AC267="",출력_인턴현황!$G$3=""),"",INDEX(입력_인턴근무계획!$M$3:$R$402,$AC267,출력_인턴현황!$G$3)&amp;"")</f>
        <v/>
      </c>
      <c r="AE267" s="10">
        <f>IF($B267="","",IF($M267&lt;&gt;"",$M267,IF(IF($AQ267="",FALSE,INDEX(출력_구리근무자!$J$6:$J$305,$AQ267)="구리독자"),"구리병원",IF($AF267&lt;&gt;"",IF(LEFT(INDEX(입력_파견수련계획!$R$4:$R$803,$AF267),1)&lt;&gt;"⚠",INDEX(입력_파견수련계획!$R$4:$R$803,$AF267),IF($H267="","",IF(RIGHT($H267,2)="병원",$H267,$H267&amp;"병원"))),IF($H267="","",IF(RIGHT($H267,2)="병원",$H267,$H267&amp;"병원"))))))</f>
        <v/>
      </c>
      <c r="AF267" s="10">
        <f>IF(OR($B267="",TRIM($J267&amp;"")=""),"",IFERROR(MATCH(TRIM($J267&amp;"")&amp;"|파견중",입력_파견수련계획!$Y$4:$Y$803,0),IFERROR(MATCH(TRIM($J267&amp;"")&amp;"|파견예정",입력_파견수련계획!$Y$4:$Y$803,0),IFERROR(MATCH(TRIM($J267&amp;"")&amp;"|파견종료",입력_파견수련계획!$Y$4:$Y$803,0),""))))</f>
        <v/>
      </c>
      <c r="AG267" s="10">
        <f>IF($B267="","",IF(AND(IF(OR($AC267="",출력_인턴현황!$K$2=""),"",INDEX(입력_인턴근무계획!$M$3:$R$402,$AC267,출력_인턴현황!$K$2)&amp;"")&lt;&gt;"",LEFT(IF(OR($AC267="",출력_인턴현황!$K$2=""),"",INDEX(입력_인턴근무계획!$M$3:$R$402,$AC267,출력_인턴현황!$K$2)&amp;""),1)&lt;&gt;"⚠"),LEFT(IF(OR($AC267="",출력_인턴현황!$K$2=""),"",INDEX(입력_인턴근무계획!$M$3:$R$402,$AC267,출력_인턴현황!$K$2)&amp;""),FIND(" ",IF(OR($AC267="",출력_인턴현황!$K$2=""),"",INDEX(입력_인턴근무계획!$M$3:$R$402,$AC267,출력_인턴현황!$K$2)&amp;""))-1),$AE267))</f>
        <v/>
      </c>
      <c r="AH267" s="17">
        <f>IF($B267="","",IF($AQ267&lt;&gt;"",MAX(0,DAY(EOMONTH(출력_요약!$B$3,0))-N($AR267)),IF(TRIM($J267&amp;"")="",0,SUMPRODUCT((입력_파견수련계획!$Q$4:$Q$803=TRIM($J267&amp;""))*(입력_파견수련계획!$S$4:$S$803="서울병원")*입력_파견수련계획!$W$4:$W$803))+IF($AG267="서울병원",MAX(0,DAY(EOMONTH(출력_요약!$B$3,0))-N($X267)),0)))</f>
        <v/>
      </c>
      <c r="AI267" s="17">
        <f>IF($B267="","",IF($AQ267&lt;&gt;"",N($AR267),IF(TRIM($J267&amp;"")="",0,SUMPRODUCT((입력_파견수련계획!$Q$4:$Q$803=TRIM($J267&amp;""))*(입력_파견수련계획!$S$4:$S$803="구리병원")*입력_파견수련계획!$W$4:$W$803))+IF($AG267="구리병원",MAX(0,DAY(EOMONTH(출력_요약!$B$3,0))-N($X267)),0)))</f>
        <v/>
      </c>
      <c r="AJ267" s="10">
        <f>IF(OR($B267="",TRIM($J267&amp;"")=""),"",IFERROR(MATCH(TRIM($J267&amp;"")&amp;"|월",입력_파견수련계획!$Z$4:$Z$803,0),""))</f>
        <v/>
      </c>
      <c r="AK267" s="10">
        <f>IF(OR($B267="",TRIM($J267&amp;"")=""),"",IFERROR(MATCH(TRIM($J267&amp;"")&amp;"|다기관",입력_파견수련계획!$AE$4:$AE$803,0),""))</f>
        <v/>
      </c>
      <c r="AL267" s="10">
        <f>IF($AK267="","","다기관 "&amp;TEXT(INDEX(입력_파견수련계획!$AB$4:$AB$803,$AK267),"yyyy-mm-dd")&amp;"~"&amp;IF(ISNUMBER(INDEX(입력_파견수련계획!$AC$4:$AC$803,$AK267)),TEXT(INDEX(입력_파견수련계획!$AC$4:$AC$803,$AK267),"yyyy-mm-dd"),""))</f>
        <v/>
      </c>
      <c r="AM267" s="10">
        <f>IF($Y267="서울병원",COUNTIF($Y$2:$Y267,"서울병원"),"")</f>
        <v/>
      </c>
      <c r="AN267" s="10">
        <f>IF(LEFT($Y267,1)="⚠",COUNTIF($Y$2:$Y267,"⚠*"),"")</f>
        <v/>
      </c>
      <c r="AO267" s="10">
        <f>IF(OR($B267="",$Y267=""),"",IF(IF(TRIM($J267&amp;"")="",0,SUMPRODUCT((입력_파견수련계획!$Q$4:$Q$803=TRIM($J267&amp;""))*입력_파견수련계획!$AD$4:$AD$803))&gt;0,"다기관 기간 → 소속병원 지급",IF(AND(N($X267)&lt;=0,$AQ267=""),"파견 없음 → 그 달 근무병원 지급",IF($AH267+$AI267=DAY(EOMONTH(출력_요약!$B$3,0)),"서울 "&amp;$AH267&amp;"일 / 구리 "&amp;$AI267&amp;"일"&amp;IF($AQ267&lt;&gt;""," (구리 근무자명단 반영)","")&amp;" → 15일 이상 근무 병원 지급","타 병원 포함 → "&amp;IF($AJ267="","소속",INDEX(입력_파견수련계획!$T$4:$T$803,$AJ267))&amp;" 규칙"))))</f>
        <v/>
      </c>
      <c r="AP267" s="10">
        <f>IF($B267="","",$C267&amp;"|"&amp;$F267)</f>
        <v/>
      </c>
      <c r="AQ267" s="10">
        <f>IF($B267="","",IFERROR(MATCH(ROW()-1,출력_구리근무자!$K$6:$K$305,0),""))</f>
        <v/>
      </c>
      <c r="AR267" s="10">
        <f>IF($AQ267="","",INDEX(출력_구리근무자!$H$6:$H$305,$AQ267))</f>
        <v/>
      </c>
    </row>
    <row r="268">
      <c r="A268" s="10">
        <f>IF(B268="","",ROW()-1)</f>
        <v/>
      </c>
      <c r="B268" s="19" t="n"/>
      <c r="C268" s="10">
        <f>IF($AB268="","",IF(INDEX(입력_기본자료!$C$2:$C$1001,$AB268)="","",INDEX(입력_기본자료!$C$2:$C$1001,$AB268)))</f>
        <v/>
      </c>
      <c r="D268" s="10">
        <f>IF($AB268="","",IF(INDEX(입력_기본자료!$J$2:$J$1001,$AB268)="","",INDEX(입력_기본자료!$J$2:$J$1001,$AB268)))</f>
        <v/>
      </c>
      <c r="E268" s="11">
        <f>IF($AB268="","",IF(INDEX(입력_기본자료!$K$2:$K$1001,$AB268)="","",IF(NOT(ISNUMBER(INDEX(입력_기본자료!$K$2:$K$1001,$AB268))),INDEX(입력_기본자료!$K$2:$K$1001,$AB268),IF(INDEX(입력_기본자료!$K$2:$K$1001,$AB268)&lt;1000000,INDEX(입력_기본자료!$K$2:$K$1001,$AB268),IF(AND(INDEX(입력_기본자료!$K$2:$K$1001,$AB268)&gt;=10000101,INT(MOD(INDEX(입력_기본자료!$K$2:$K$1001,$AB268),10000)/100)&gt;=1,INT(MOD(INDEX(입력_기본자료!$K$2:$K$1001,$AB268),10000)/100)&lt;=12,MOD(INDEX(입력_기본자료!$K$2:$K$1001,$AB268),100)&gt;=1,MOD(INDEX(입력_기본자료!$K$2:$K$1001,$AB268),100)&lt;=31),DATE(INT(INDEX(입력_기본자료!$K$2:$K$1001,$AB268)/10000),INT(MOD(INDEX(입력_기본자료!$K$2:$K$1001,$AB268),10000)/100),MOD(INDEX(입력_기본자료!$K$2:$K$1001,$AB268),100)),INDEX(입력_기본자료!$K$2:$K$1001,$AB268)&amp;"")))))</f>
        <v/>
      </c>
      <c r="F268" s="10">
        <f>IF($AB268="","",IF(INDEX(입력_기본자료!$D$2:$D$1001,$AB268)="","",INDEX(입력_기본자료!$D$2:$D$1001,$AB268)))</f>
        <v/>
      </c>
      <c r="G268" s="10">
        <f>IF($AB268="","",IF(INDEX(입력_기본자료!$E$2:$E$1001,$AB268)="","",INDEX(입력_기본자료!$E$2:$E$1001,$AB268)))</f>
        <v/>
      </c>
      <c r="H268" s="10">
        <f>IF($AB268="","",IF(INDEX(입력_기본자료!$F$2:$F$1001,$AB268)="","",INDEX(입력_기본자료!$F$2:$F$1001,$AB268)))</f>
        <v/>
      </c>
      <c r="I268" s="11">
        <f>IF($AB268="","",IF(INDEX(입력_기본자료!$G$2:$G$1001,$AB268)="","",IF(NOT(ISNUMBER(INDEX(입력_기본자료!$G$2:$G$1001,$AB268))),INDEX(입력_기본자료!$G$2:$G$1001,$AB268),IF(INDEX(입력_기본자료!$G$2:$G$1001,$AB268)&lt;1000000,INDEX(입력_기본자료!$G$2:$G$1001,$AB268),IF(AND(INDEX(입력_기본자료!$G$2:$G$1001,$AB268)&gt;=10000101,INT(MOD(INDEX(입력_기본자료!$G$2:$G$1001,$AB268),10000)/100)&gt;=1,INT(MOD(INDEX(입력_기본자료!$G$2:$G$1001,$AB268),10000)/100)&lt;=12,MOD(INDEX(입력_기본자료!$G$2:$G$1001,$AB268),100)&gt;=1,MOD(INDEX(입력_기본자료!$G$2:$G$1001,$AB268),100)&lt;=31),DATE(INT(INDEX(입력_기본자료!$G$2:$G$1001,$AB268)/10000),INT(MOD(INDEX(입력_기본자료!$G$2:$G$1001,$AB268),10000)/100),MOD(INDEX(입력_기본자료!$G$2:$G$1001,$AB268),100)),INDEX(입력_기본자료!$G$2:$G$1001,$AB268)&amp;"")))))</f>
        <v/>
      </c>
      <c r="J268" s="10">
        <f>IF($AB268="","",IF(INDEX(입력_기본자료!$H$2:$H$1001,$AB268)="","",INDEX(입력_기본자료!$H$2:$H$1001,$AB268)))</f>
        <v/>
      </c>
      <c r="K268" s="10">
        <f>IF($AB268="","",IF(INDEX(입력_기본자료!$I$2:$I$1001,$AB268)="","",INDEX(입력_기본자료!$I$2:$I$1001,$AB268)))</f>
        <v/>
      </c>
      <c r="L268" s="10">
        <f>IF($AB268="","",IF(INDEX(입력_기본자료!$A$2:$A$1001,$AB268)="","",INDEX(입력_기본자료!$A$2:$A$1001,$AB268)))</f>
        <v/>
      </c>
      <c r="M268" s="15" t="n"/>
      <c r="N268" s="10">
        <f>IF($B268="","",IF(AND($U268="파견중",$Q268&lt;&gt;""),$Q268,IF(AND($AD268&lt;&gt;"",LEFT($AD268,1)&lt;&gt;"⚠"),LEFT($AD268,FIND(" ",$AD268)-1),IF($H268="","",IF(RIGHT($H268,2)="병원",$H268,$H268&amp;"병원")))))</f>
        <v/>
      </c>
      <c r="O268" s="10">
        <f>IF($B268="","",IF(AND($U268="파견중",$Q268&lt;&gt;""),IF($R268&lt;&gt;"",$R268,"파견과 미입력"),IF(AND($AD268&lt;&gt;"",LEFT($AD268,1)&lt;&gt;"⚠"),MID($AD268,FIND(" ",$AD268)+1,60),IF($F268="","",IF($F268="인턴","수련교육부(인턴)",$F268)))))</f>
        <v/>
      </c>
      <c r="P268" s="10">
        <f>IF($B268="","",IF($AK268&lt;&gt;"",IF(AND(TODAY()&gt;=INDEX(입력_파견수련계획!$AB$4:$AB$803,$AK268),OR(NOT(ISNUMBER(INDEX(입력_파견수련계획!$AC$4:$AC$803,$AK268))),TODAY()&lt;=INDEX(입력_파견수련계획!$AC$4:$AC$803,$AK268))),"다기관",IF($AF268="","",INDEX(입력_파견수련계획!$T$4:$T$803,$AF268))),IF($AF268="","",INDEX(입력_파견수련계획!$T$4:$T$803,$AF268))))</f>
        <v/>
      </c>
      <c r="Q268" s="10">
        <f>IF($AF268="","",INDEX(입력_파견수련계획!$S$4:$S$803,$AF268))</f>
        <v/>
      </c>
      <c r="R268" s="10">
        <f>IF($AF268="","",INDEX(입력_파견수련계획!$U$4:$U$803,$AF268))</f>
        <v/>
      </c>
      <c r="S268" s="11">
        <f>IF($AF268="","",IF(INDEX(입력_파견수련계획!$H$4:$H$803,$AF268)="","",INDEX(입력_파견수련계획!$H$4:$H$803,$AF268)))</f>
        <v/>
      </c>
      <c r="T268" s="11">
        <f>IF($AF268="","",IF(INDEX(입력_파견수련계획!$I$4:$I$803,$AF268)="","",INDEX(입력_파견수련계획!$I$4:$I$803,$AF268)))</f>
        <v/>
      </c>
      <c r="U268" s="10">
        <f>IF($AF268="","",INDEX(입력_파견수련계획!$X$4:$X$803,$AF268))</f>
        <v/>
      </c>
      <c r="V268" s="17">
        <f>IF($AF268="","",INDEX(입력_파견수련계획!$V$4:$V$803,$AF268))</f>
        <v/>
      </c>
      <c r="W268" s="17">
        <f>IF(AND($U268="파견중",$T268&lt;&gt;""),$T268-TODAY(),"")</f>
        <v/>
      </c>
      <c r="X268" s="17">
        <f>IF(OR($B268="",TRIM($J268&amp;"")=""),"",SUMPRODUCT((입력_파견수련계획!$Q$4:$Q$803=TRIM($J268&amp;""))*입력_파견수련계획!$W$4:$W$803))</f>
        <v/>
      </c>
      <c r="Y268" s="10">
        <f>IF($B268="","",IF($AG268="","",IF(IF(TRIM($J268&amp;"")="",0,SUMPRODUCT((입력_파견수련계획!$Q$4:$Q$803=TRIM($J268&amp;""))*입력_파견수련계획!$AD$4:$AD$803))&gt;0,$AE268,IF(AND(N($X268)&lt;=0,$AQ268=""),$AG268,IF($AH268+$AI268=DAY(EOMONTH(출력_요약!$B$3,0)),IF(AND($AH268&gt;=출력_요약!$E$3,$AI268&lt;출력_요약!$E$3),"서울병원",IF(AND($AI268&gt;=출력_요약!$E$3,$AH268&lt;출력_요약!$E$3),"구리병원","⚠15일 판정불가(서울 "&amp;$AH268&amp;"일/구리 "&amp;$AI268&amp;"일)")),IF($AJ268="",$AE268,IF(INDEX(입력_파견수련계획!$T$4:$T$803,$AJ268)="통합수련",INDEX(입력_파견수련계획!$S$4:$S$803,$AJ268),$AE268)))))))</f>
        <v/>
      </c>
      <c r="Z268" s="20">
        <f>IF($B268="","",IF($AB268="","기본자료에 없는 사번",IF(COUNTIF($B$2:$B$401,$B268)&gt;1,"중복 사번",IF($AE268="","소속(입사장소) 입력",IF(IF(TRIM($J268&amp;"")="",0,SUMPRODUCT((입력_파견수련계획!$Q$4:$Q$803=TRIM($J268&amp;""))*(입력_파견수련계획!$AA$4:$AA$803&lt;&gt;"")))&gt;0,"파견수련계획 입력오류 확인",IF(LEFT($Y268,1)="⚠","서울·구리 15일 판정 불가(양쪽 모두 이상/미만)",IF(IF($AC268="",0,N(INDEX(입력_인턴근무계획!$T$3:$T$402,$AC268)))&gt;0,"인턴계획 입력오류 확인",IF(AND($AQ268&lt;&gt;"",$AG268&lt;&gt;"구리병원",IF(TRIM($J268&amp;"")="",0,SUMPRODUCT((입력_파견수련계획!$Q$4:$Q$803=TRIM($J268&amp;""))*(입력_파견수련계획!$S$4:$S$803="구리병원")*입력_파견수련계획!$W$4:$W$803))=0),"구리 근무자명단에만 있음(파견수련계획 확인)",IF(AND($AC268&lt;&gt;"",$U268&lt;&gt;"파견중",$N268&lt;&gt;$AE268),"인턴 타지역 근무: 파견 여부 확인","정상")))))))))</f>
        <v/>
      </c>
      <c r="AA268" s="5" t="n"/>
      <c r="AB268" s="10">
        <f>IF($B268="","",IFERROR(MATCH($B268,입력_기본자료!$B$2:$B$1001,0),IFERROR(MATCH($B268&amp;"",입력_기본자료!$B$2:$B$1001,0),IFERROR(MATCH(VALUE($B268),입력_기본자료!$B$2:$B$1001,0),""))))</f>
        <v/>
      </c>
      <c r="AC268" s="10">
        <f>IF($B268="","",IFERROR(MATCH($B268,입력_인턴근무계획!$D$3:$D$402,0),IFERROR(MATCH($B268&amp;"",입력_인턴근무계획!$D$3:$D$402,0),IFERROR(MATCH(VALUE($B268),입력_인턴근무계획!$D$3:$D$402,0),""))))</f>
        <v/>
      </c>
      <c r="AD268" s="10">
        <f>IF(OR($AC268="",출력_인턴현황!$G$3=""),"",INDEX(입력_인턴근무계획!$M$3:$R$402,$AC268,출력_인턴현황!$G$3)&amp;"")</f>
        <v/>
      </c>
      <c r="AE268" s="10">
        <f>IF($B268="","",IF($M268&lt;&gt;"",$M268,IF(IF($AQ268="",FALSE,INDEX(출력_구리근무자!$J$6:$J$305,$AQ268)="구리독자"),"구리병원",IF($AF268&lt;&gt;"",IF(LEFT(INDEX(입력_파견수련계획!$R$4:$R$803,$AF268),1)&lt;&gt;"⚠",INDEX(입력_파견수련계획!$R$4:$R$803,$AF268),IF($H268="","",IF(RIGHT($H268,2)="병원",$H268,$H268&amp;"병원"))),IF($H268="","",IF(RIGHT($H268,2)="병원",$H268,$H268&amp;"병원"))))))</f>
        <v/>
      </c>
      <c r="AF268" s="10">
        <f>IF(OR($B268="",TRIM($J268&amp;"")=""),"",IFERROR(MATCH(TRIM($J268&amp;"")&amp;"|파견중",입력_파견수련계획!$Y$4:$Y$803,0),IFERROR(MATCH(TRIM($J268&amp;"")&amp;"|파견예정",입력_파견수련계획!$Y$4:$Y$803,0),IFERROR(MATCH(TRIM($J268&amp;"")&amp;"|파견종료",입력_파견수련계획!$Y$4:$Y$803,0),""))))</f>
        <v/>
      </c>
      <c r="AG268" s="10">
        <f>IF($B268="","",IF(AND(IF(OR($AC268="",출력_인턴현황!$K$2=""),"",INDEX(입력_인턴근무계획!$M$3:$R$402,$AC268,출력_인턴현황!$K$2)&amp;"")&lt;&gt;"",LEFT(IF(OR($AC268="",출력_인턴현황!$K$2=""),"",INDEX(입력_인턴근무계획!$M$3:$R$402,$AC268,출력_인턴현황!$K$2)&amp;""),1)&lt;&gt;"⚠"),LEFT(IF(OR($AC268="",출력_인턴현황!$K$2=""),"",INDEX(입력_인턴근무계획!$M$3:$R$402,$AC268,출력_인턴현황!$K$2)&amp;""),FIND(" ",IF(OR($AC268="",출력_인턴현황!$K$2=""),"",INDEX(입력_인턴근무계획!$M$3:$R$402,$AC268,출력_인턴현황!$K$2)&amp;""))-1),$AE268))</f>
        <v/>
      </c>
      <c r="AH268" s="17">
        <f>IF($B268="","",IF($AQ268&lt;&gt;"",MAX(0,DAY(EOMONTH(출력_요약!$B$3,0))-N($AR268)),IF(TRIM($J268&amp;"")="",0,SUMPRODUCT((입력_파견수련계획!$Q$4:$Q$803=TRIM($J268&amp;""))*(입력_파견수련계획!$S$4:$S$803="서울병원")*입력_파견수련계획!$W$4:$W$803))+IF($AG268="서울병원",MAX(0,DAY(EOMONTH(출력_요약!$B$3,0))-N($X268)),0)))</f>
        <v/>
      </c>
      <c r="AI268" s="17">
        <f>IF($B268="","",IF($AQ268&lt;&gt;"",N($AR268),IF(TRIM($J268&amp;"")="",0,SUMPRODUCT((입력_파견수련계획!$Q$4:$Q$803=TRIM($J268&amp;""))*(입력_파견수련계획!$S$4:$S$803="구리병원")*입력_파견수련계획!$W$4:$W$803))+IF($AG268="구리병원",MAX(0,DAY(EOMONTH(출력_요약!$B$3,0))-N($X268)),0)))</f>
        <v/>
      </c>
      <c r="AJ268" s="10">
        <f>IF(OR($B268="",TRIM($J268&amp;"")=""),"",IFERROR(MATCH(TRIM($J268&amp;"")&amp;"|월",입력_파견수련계획!$Z$4:$Z$803,0),""))</f>
        <v/>
      </c>
      <c r="AK268" s="10">
        <f>IF(OR($B268="",TRIM($J268&amp;"")=""),"",IFERROR(MATCH(TRIM($J268&amp;"")&amp;"|다기관",입력_파견수련계획!$AE$4:$AE$803,0),""))</f>
        <v/>
      </c>
      <c r="AL268" s="10">
        <f>IF($AK268="","","다기관 "&amp;TEXT(INDEX(입력_파견수련계획!$AB$4:$AB$803,$AK268),"yyyy-mm-dd")&amp;"~"&amp;IF(ISNUMBER(INDEX(입력_파견수련계획!$AC$4:$AC$803,$AK268)),TEXT(INDEX(입력_파견수련계획!$AC$4:$AC$803,$AK268),"yyyy-mm-dd"),""))</f>
        <v/>
      </c>
      <c r="AM268" s="10">
        <f>IF($Y268="서울병원",COUNTIF($Y$2:$Y268,"서울병원"),"")</f>
        <v/>
      </c>
      <c r="AN268" s="10">
        <f>IF(LEFT($Y268,1)="⚠",COUNTIF($Y$2:$Y268,"⚠*"),"")</f>
        <v/>
      </c>
      <c r="AO268" s="10">
        <f>IF(OR($B268="",$Y268=""),"",IF(IF(TRIM($J268&amp;"")="",0,SUMPRODUCT((입력_파견수련계획!$Q$4:$Q$803=TRIM($J268&amp;""))*입력_파견수련계획!$AD$4:$AD$803))&gt;0,"다기관 기간 → 소속병원 지급",IF(AND(N($X268)&lt;=0,$AQ268=""),"파견 없음 → 그 달 근무병원 지급",IF($AH268+$AI268=DAY(EOMONTH(출력_요약!$B$3,0)),"서울 "&amp;$AH268&amp;"일 / 구리 "&amp;$AI268&amp;"일"&amp;IF($AQ268&lt;&gt;""," (구리 근무자명단 반영)","")&amp;" → 15일 이상 근무 병원 지급","타 병원 포함 → "&amp;IF($AJ268="","소속",INDEX(입력_파견수련계획!$T$4:$T$803,$AJ268))&amp;" 규칙"))))</f>
        <v/>
      </c>
      <c r="AP268" s="10">
        <f>IF($B268="","",$C268&amp;"|"&amp;$F268)</f>
        <v/>
      </c>
      <c r="AQ268" s="10">
        <f>IF($B268="","",IFERROR(MATCH(ROW()-1,출력_구리근무자!$K$6:$K$305,0),""))</f>
        <v/>
      </c>
      <c r="AR268" s="10">
        <f>IF($AQ268="","",INDEX(출력_구리근무자!$H$6:$H$305,$AQ268))</f>
        <v/>
      </c>
    </row>
    <row r="269">
      <c r="A269" s="10">
        <f>IF(B269="","",ROW()-1)</f>
        <v/>
      </c>
      <c r="B269" s="19" t="n"/>
      <c r="C269" s="10">
        <f>IF($AB269="","",IF(INDEX(입력_기본자료!$C$2:$C$1001,$AB269)="","",INDEX(입력_기본자료!$C$2:$C$1001,$AB269)))</f>
        <v/>
      </c>
      <c r="D269" s="10">
        <f>IF($AB269="","",IF(INDEX(입력_기본자료!$J$2:$J$1001,$AB269)="","",INDEX(입력_기본자료!$J$2:$J$1001,$AB269)))</f>
        <v/>
      </c>
      <c r="E269" s="11">
        <f>IF($AB269="","",IF(INDEX(입력_기본자료!$K$2:$K$1001,$AB269)="","",IF(NOT(ISNUMBER(INDEX(입력_기본자료!$K$2:$K$1001,$AB269))),INDEX(입력_기본자료!$K$2:$K$1001,$AB269),IF(INDEX(입력_기본자료!$K$2:$K$1001,$AB269)&lt;1000000,INDEX(입력_기본자료!$K$2:$K$1001,$AB269),IF(AND(INDEX(입력_기본자료!$K$2:$K$1001,$AB269)&gt;=10000101,INT(MOD(INDEX(입력_기본자료!$K$2:$K$1001,$AB269),10000)/100)&gt;=1,INT(MOD(INDEX(입력_기본자료!$K$2:$K$1001,$AB269),10000)/100)&lt;=12,MOD(INDEX(입력_기본자료!$K$2:$K$1001,$AB269),100)&gt;=1,MOD(INDEX(입력_기본자료!$K$2:$K$1001,$AB269),100)&lt;=31),DATE(INT(INDEX(입력_기본자료!$K$2:$K$1001,$AB269)/10000),INT(MOD(INDEX(입력_기본자료!$K$2:$K$1001,$AB269),10000)/100),MOD(INDEX(입력_기본자료!$K$2:$K$1001,$AB269),100)),INDEX(입력_기본자료!$K$2:$K$1001,$AB269)&amp;"")))))</f>
        <v/>
      </c>
      <c r="F269" s="10">
        <f>IF($AB269="","",IF(INDEX(입력_기본자료!$D$2:$D$1001,$AB269)="","",INDEX(입력_기본자료!$D$2:$D$1001,$AB269)))</f>
        <v/>
      </c>
      <c r="G269" s="10">
        <f>IF($AB269="","",IF(INDEX(입력_기본자료!$E$2:$E$1001,$AB269)="","",INDEX(입력_기본자료!$E$2:$E$1001,$AB269)))</f>
        <v/>
      </c>
      <c r="H269" s="10">
        <f>IF($AB269="","",IF(INDEX(입력_기본자료!$F$2:$F$1001,$AB269)="","",INDEX(입력_기본자료!$F$2:$F$1001,$AB269)))</f>
        <v/>
      </c>
      <c r="I269" s="11">
        <f>IF($AB269="","",IF(INDEX(입력_기본자료!$G$2:$G$1001,$AB269)="","",IF(NOT(ISNUMBER(INDEX(입력_기본자료!$G$2:$G$1001,$AB269))),INDEX(입력_기본자료!$G$2:$G$1001,$AB269),IF(INDEX(입력_기본자료!$G$2:$G$1001,$AB269)&lt;1000000,INDEX(입력_기본자료!$G$2:$G$1001,$AB269),IF(AND(INDEX(입력_기본자료!$G$2:$G$1001,$AB269)&gt;=10000101,INT(MOD(INDEX(입력_기본자료!$G$2:$G$1001,$AB269),10000)/100)&gt;=1,INT(MOD(INDEX(입력_기본자료!$G$2:$G$1001,$AB269),10000)/100)&lt;=12,MOD(INDEX(입력_기본자료!$G$2:$G$1001,$AB269),100)&gt;=1,MOD(INDEX(입력_기본자료!$G$2:$G$1001,$AB269),100)&lt;=31),DATE(INT(INDEX(입력_기본자료!$G$2:$G$1001,$AB269)/10000),INT(MOD(INDEX(입력_기본자료!$G$2:$G$1001,$AB269),10000)/100),MOD(INDEX(입력_기본자료!$G$2:$G$1001,$AB269),100)),INDEX(입력_기본자료!$G$2:$G$1001,$AB269)&amp;"")))))</f>
        <v/>
      </c>
      <c r="J269" s="10">
        <f>IF($AB269="","",IF(INDEX(입력_기본자료!$H$2:$H$1001,$AB269)="","",INDEX(입력_기본자료!$H$2:$H$1001,$AB269)))</f>
        <v/>
      </c>
      <c r="K269" s="10">
        <f>IF($AB269="","",IF(INDEX(입력_기본자료!$I$2:$I$1001,$AB269)="","",INDEX(입력_기본자료!$I$2:$I$1001,$AB269)))</f>
        <v/>
      </c>
      <c r="L269" s="10">
        <f>IF($AB269="","",IF(INDEX(입력_기본자료!$A$2:$A$1001,$AB269)="","",INDEX(입력_기본자료!$A$2:$A$1001,$AB269)))</f>
        <v/>
      </c>
      <c r="M269" s="15" t="n"/>
      <c r="N269" s="10">
        <f>IF($B269="","",IF(AND($U269="파견중",$Q269&lt;&gt;""),$Q269,IF(AND($AD269&lt;&gt;"",LEFT($AD269,1)&lt;&gt;"⚠"),LEFT($AD269,FIND(" ",$AD269)-1),IF($H269="","",IF(RIGHT($H269,2)="병원",$H269,$H269&amp;"병원")))))</f>
        <v/>
      </c>
      <c r="O269" s="10">
        <f>IF($B269="","",IF(AND($U269="파견중",$Q269&lt;&gt;""),IF($R269&lt;&gt;"",$R269,"파견과 미입력"),IF(AND($AD269&lt;&gt;"",LEFT($AD269,1)&lt;&gt;"⚠"),MID($AD269,FIND(" ",$AD269)+1,60),IF($F269="","",IF($F269="인턴","수련교육부(인턴)",$F269)))))</f>
        <v/>
      </c>
      <c r="P269" s="10">
        <f>IF($B269="","",IF($AK269&lt;&gt;"",IF(AND(TODAY()&gt;=INDEX(입력_파견수련계획!$AB$4:$AB$803,$AK269),OR(NOT(ISNUMBER(INDEX(입력_파견수련계획!$AC$4:$AC$803,$AK269))),TODAY()&lt;=INDEX(입력_파견수련계획!$AC$4:$AC$803,$AK269))),"다기관",IF($AF269="","",INDEX(입력_파견수련계획!$T$4:$T$803,$AF269))),IF($AF269="","",INDEX(입력_파견수련계획!$T$4:$T$803,$AF269))))</f>
        <v/>
      </c>
      <c r="Q269" s="10">
        <f>IF($AF269="","",INDEX(입력_파견수련계획!$S$4:$S$803,$AF269))</f>
        <v/>
      </c>
      <c r="R269" s="10">
        <f>IF($AF269="","",INDEX(입력_파견수련계획!$U$4:$U$803,$AF269))</f>
        <v/>
      </c>
      <c r="S269" s="11">
        <f>IF($AF269="","",IF(INDEX(입력_파견수련계획!$H$4:$H$803,$AF269)="","",INDEX(입력_파견수련계획!$H$4:$H$803,$AF269)))</f>
        <v/>
      </c>
      <c r="T269" s="11">
        <f>IF($AF269="","",IF(INDEX(입력_파견수련계획!$I$4:$I$803,$AF269)="","",INDEX(입력_파견수련계획!$I$4:$I$803,$AF269)))</f>
        <v/>
      </c>
      <c r="U269" s="10">
        <f>IF($AF269="","",INDEX(입력_파견수련계획!$X$4:$X$803,$AF269))</f>
        <v/>
      </c>
      <c r="V269" s="17">
        <f>IF($AF269="","",INDEX(입력_파견수련계획!$V$4:$V$803,$AF269))</f>
        <v/>
      </c>
      <c r="W269" s="17">
        <f>IF(AND($U269="파견중",$T269&lt;&gt;""),$T269-TODAY(),"")</f>
        <v/>
      </c>
      <c r="X269" s="17">
        <f>IF(OR($B269="",TRIM($J269&amp;"")=""),"",SUMPRODUCT((입력_파견수련계획!$Q$4:$Q$803=TRIM($J269&amp;""))*입력_파견수련계획!$W$4:$W$803))</f>
        <v/>
      </c>
      <c r="Y269" s="10">
        <f>IF($B269="","",IF($AG269="","",IF(IF(TRIM($J269&amp;"")="",0,SUMPRODUCT((입력_파견수련계획!$Q$4:$Q$803=TRIM($J269&amp;""))*입력_파견수련계획!$AD$4:$AD$803))&gt;0,$AE269,IF(AND(N($X269)&lt;=0,$AQ269=""),$AG269,IF($AH269+$AI269=DAY(EOMONTH(출력_요약!$B$3,0)),IF(AND($AH269&gt;=출력_요약!$E$3,$AI269&lt;출력_요약!$E$3),"서울병원",IF(AND($AI269&gt;=출력_요약!$E$3,$AH269&lt;출력_요약!$E$3),"구리병원","⚠15일 판정불가(서울 "&amp;$AH269&amp;"일/구리 "&amp;$AI269&amp;"일)")),IF($AJ269="",$AE269,IF(INDEX(입력_파견수련계획!$T$4:$T$803,$AJ269)="통합수련",INDEX(입력_파견수련계획!$S$4:$S$803,$AJ269),$AE269)))))))</f>
        <v/>
      </c>
      <c r="Z269" s="20">
        <f>IF($B269="","",IF($AB269="","기본자료에 없는 사번",IF(COUNTIF($B$2:$B$401,$B269)&gt;1,"중복 사번",IF($AE269="","소속(입사장소) 입력",IF(IF(TRIM($J269&amp;"")="",0,SUMPRODUCT((입력_파견수련계획!$Q$4:$Q$803=TRIM($J269&amp;""))*(입력_파견수련계획!$AA$4:$AA$803&lt;&gt;"")))&gt;0,"파견수련계획 입력오류 확인",IF(LEFT($Y269,1)="⚠","서울·구리 15일 판정 불가(양쪽 모두 이상/미만)",IF(IF($AC269="",0,N(INDEX(입력_인턴근무계획!$T$3:$T$402,$AC269)))&gt;0,"인턴계획 입력오류 확인",IF(AND($AQ269&lt;&gt;"",$AG269&lt;&gt;"구리병원",IF(TRIM($J269&amp;"")="",0,SUMPRODUCT((입력_파견수련계획!$Q$4:$Q$803=TRIM($J269&amp;""))*(입력_파견수련계획!$S$4:$S$803="구리병원")*입력_파견수련계획!$W$4:$W$803))=0),"구리 근무자명단에만 있음(파견수련계획 확인)",IF(AND($AC269&lt;&gt;"",$U269&lt;&gt;"파견중",$N269&lt;&gt;$AE269),"인턴 타지역 근무: 파견 여부 확인","정상")))))))))</f>
        <v/>
      </c>
      <c r="AA269" s="5" t="n"/>
      <c r="AB269" s="10">
        <f>IF($B269="","",IFERROR(MATCH($B269,입력_기본자료!$B$2:$B$1001,0),IFERROR(MATCH($B269&amp;"",입력_기본자료!$B$2:$B$1001,0),IFERROR(MATCH(VALUE($B269),입력_기본자료!$B$2:$B$1001,0),""))))</f>
        <v/>
      </c>
      <c r="AC269" s="10">
        <f>IF($B269="","",IFERROR(MATCH($B269,입력_인턴근무계획!$D$3:$D$402,0),IFERROR(MATCH($B269&amp;"",입력_인턴근무계획!$D$3:$D$402,0),IFERROR(MATCH(VALUE($B269),입력_인턴근무계획!$D$3:$D$402,0),""))))</f>
        <v/>
      </c>
      <c r="AD269" s="10">
        <f>IF(OR($AC269="",출력_인턴현황!$G$3=""),"",INDEX(입력_인턴근무계획!$M$3:$R$402,$AC269,출력_인턴현황!$G$3)&amp;"")</f>
        <v/>
      </c>
      <c r="AE269" s="10">
        <f>IF($B269="","",IF($M269&lt;&gt;"",$M269,IF(IF($AQ269="",FALSE,INDEX(출력_구리근무자!$J$6:$J$305,$AQ269)="구리독자"),"구리병원",IF($AF269&lt;&gt;"",IF(LEFT(INDEX(입력_파견수련계획!$R$4:$R$803,$AF269),1)&lt;&gt;"⚠",INDEX(입력_파견수련계획!$R$4:$R$803,$AF269),IF($H269="","",IF(RIGHT($H269,2)="병원",$H269,$H269&amp;"병원"))),IF($H269="","",IF(RIGHT($H269,2)="병원",$H269,$H269&amp;"병원"))))))</f>
        <v/>
      </c>
      <c r="AF269" s="10">
        <f>IF(OR($B269="",TRIM($J269&amp;"")=""),"",IFERROR(MATCH(TRIM($J269&amp;"")&amp;"|파견중",입력_파견수련계획!$Y$4:$Y$803,0),IFERROR(MATCH(TRIM($J269&amp;"")&amp;"|파견예정",입력_파견수련계획!$Y$4:$Y$803,0),IFERROR(MATCH(TRIM($J269&amp;"")&amp;"|파견종료",입력_파견수련계획!$Y$4:$Y$803,0),""))))</f>
        <v/>
      </c>
      <c r="AG269" s="10">
        <f>IF($B269="","",IF(AND(IF(OR($AC269="",출력_인턴현황!$K$2=""),"",INDEX(입력_인턴근무계획!$M$3:$R$402,$AC269,출력_인턴현황!$K$2)&amp;"")&lt;&gt;"",LEFT(IF(OR($AC269="",출력_인턴현황!$K$2=""),"",INDEX(입력_인턴근무계획!$M$3:$R$402,$AC269,출력_인턴현황!$K$2)&amp;""),1)&lt;&gt;"⚠"),LEFT(IF(OR($AC269="",출력_인턴현황!$K$2=""),"",INDEX(입력_인턴근무계획!$M$3:$R$402,$AC269,출력_인턴현황!$K$2)&amp;""),FIND(" ",IF(OR($AC269="",출력_인턴현황!$K$2=""),"",INDEX(입력_인턴근무계획!$M$3:$R$402,$AC269,출력_인턴현황!$K$2)&amp;""))-1),$AE269))</f>
        <v/>
      </c>
      <c r="AH269" s="17">
        <f>IF($B269="","",IF($AQ269&lt;&gt;"",MAX(0,DAY(EOMONTH(출력_요약!$B$3,0))-N($AR269)),IF(TRIM($J269&amp;"")="",0,SUMPRODUCT((입력_파견수련계획!$Q$4:$Q$803=TRIM($J269&amp;""))*(입력_파견수련계획!$S$4:$S$803="서울병원")*입력_파견수련계획!$W$4:$W$803))+IF($AG269="서울병원",MAX(0,DAY(EOMONTH(출력_요약!$B$3,0))-N($X269)),0)))</f>
        <v/>
      </c>
      <c r="AI269" s="17">
        <f>IF($B269="","",IF($AQ269&lt;&gt;"",N($AR269),IF(TRIM($J269&amp;"")="",0,SUMPRODUCT((입력_파견수련계획!$Q$4:$Q$803=TRIM($J269&amp;""))*(입력_파견수련계획!$S$4:$S$803="구리병원")*입력_파견수련계획!$W$4:$W$803))+IF($AG269="구리병원",MAX(0,DAY(EOMONTH(출력_요약!$B$3,0))-N($X269)),0)))</f>
        <v/>
      </c>
      <c r="AJ269" s="10">
        <f>IF(OR($B269="",TRIM($J269&amp;"")=""),"",IFERROR(MATCH(TRIM($J269&amp;"")&amp;"|월",입력_파견수련계획!$Z$4:$Z$803,0),""))</f>
        <v/>
      </c>
      <c r="AK269" s="10">
        <f>IF(OR($B269="",TRIM($J269&amp;"")=""),"",IFERROR(MATCH(TRIM($J269&amp;"")&amp;"|다기관",입력_파견수련계획!$AE$4:$AE$803,0),""))</f>
        <v/>
      </c>
      <c r="AL269" s="10">
        <f>IF($AK269="","","다기관 "&amp;TEXT(INDEX(입력_파견수련계획!$AB$4:$AB$803,$AK269),"yyyy-mm-dd")&amp;"~"&amp;IF(ISNUMBER(INDEX(입력_파견수련계획!$AC$4:$AC$803,$AK269)),TEXT(INDEX(입력_파견수련계획!$AC$4:$AC$803,$AK269),"yyyy-mm-dd"),""))</f>
        <v/>
      </c>
      <c r="AM269" s="10">
        <f>IF($Y269="서울병원",COUNTIF($Y$2:$Y269,"서울병원"),"")</f>
        <v/>
      </c>
      <c r="AN269" s="10">
        <f>IF(LEFT($Y269,1)="⚠",COUNTIF($Y$2:$Y269,"⚠*"),"")</f>
        <v/>
      </c>
      <c r="AO269" s="10">
        <f>IF(OR($B269="",$Y269=""),"",IF(IF(TRIM($J269&amp;"")="",0,SUMPRODUCT((입력_파견수련계획!$Q$4:$Q$803=TRIM($J269&amp;""))*입력_파견수련계획!$AD$4:$AD$803))&gt;0,"다기관 기간 → 소속병원 지급",IF(AND(N($X269)&lt;=0,$AQ269=""),"파견 없음 → 그 달 근무병원 지급",IF($AH269+$AI269=DAY(EOMONTH(출력_요약!$B$3,0)),"서울 "&amp;$AH269&amp;"일 / 구리 "&amp;$AI269&amp;"일"&amp;IF($AQ269&lt;&gt;""," (구리 근무자명단 반영)","")&amp;" → 15일 이상 근무 병원 지급","타 병원 포함 → "&amp;IF($AJ269="","소속",INDEX(입력_파견수련계획!$T$4:$T$803,$AJ269))&amp;" 규칙"))))</f>
        <v/>
      </c>
      <c r="AP269" s="10">
        <f>IF($B269="","",$C269&amp;"|"&amp;$F269)</f>
        <v/>
      </c>
      <c r="AQ269" s="10">
        <f>IF($B269="","",IFERROR(MATCH(ROW()-1,출력_구리근무자!$K$6:$K$305,0),""))</f>
        <v/>
      </c>
      <c r="AR269" s="10">
        <f>IF($AQ269="","",INDEX(출력_구리근무자!$H$6:$H$305,$AQ269))</f>
        <v/>
      </c>
    </row>
    <row r="270">
      <c r="A270" s="10">
        <f>IF(B270="","",ROW()-1)</f>
        <v/>
      </c>
      <c r="B270" s="19" t="n"/>
      <c r="C270" s="10">
        <f>IF($AB270="","",IF(INDEX(입력_기본자료!$C$2:$C$1001,$AB270)="","",INDEX(입력_기본자료!$C$2:$C$1001,$AB270)))</f>
        <v/>
      </c>
      <c r="D270" s="10">
        <f>IF($AB270="","",IF(INDEX(입력_기본자료!$J$2:$J$1001,$AB270)="","",INDEX(입력_기본자료!$J$2:$J$1001,$AB270)))</f>
        <v/>
      </c>
      <c r="E270" s="11">
        <f>IF($AB270="","",IF(INDEX(입력_기본자료!$K$2:$K$1001,$AB270)="","",IF(NOT(ISNUMBER(INDEX(입력_기본자료!$K$2:$K$1001,$AB270))),INDEX(입력_기본자료!$K$2:$K$1001,$AB270),IF(INDEX(입력_기본자료!$K$2:$K$1001,$AB270)&lt;1000000,INDEX(입력_기본자료!$K$2:$K$1001,$AB270),IF(AND(INDEX(입력_기본자료!$K$2:$K$1001,$AB270)&gt;=10000101,INT(MOD(INDEX(입력_기본자료!$K$2:$K$1001,$AB270),10000)/100)&gt;=1,INT(MOD(INDEX(입력_기본자료!$K$2:$K$1001,$AB270),10000)/100)&lt;=12,MOD(INDEX(입력_기본자료!$K$2:$K$1001,$AB270),100)&gt;=1,MOD(INDEX(입력_기본자료!$K$2:$K$1001,$AB270),100)&lt;=31),DATE(INT(INDEX(입력_기본자료!$K$2:$K$1001,$AB270)/10000),INT(MOD(INDEX(입력_기본자료!$K$2:$K$1001,$AB270),10000)/100),MOD(INDEX(입력_기본자료!$K$2:$K$1001,$AB270),100)),INDEX(입력_기본자료!$K$2:$K$1001,$AB270)&amp;"")))))</f>
        <v/>
      </c>
      <c r="F270" s="10">
        <f>IF($AB270="","",IF(INDEX(입력_기본자료!$D$2:$D$1001,$AB270)="","",INDEX(입력_기본자료!$D$2:$D$1001,$AB270)))</f>
        <v/>
      </c>
      <c r="G270" s="10">
        <f>IF($AB270="","",IF(INDEX(입력_기본자료!$E$2:$E$1001,$AB270)="","",INDEX(입력_기본자료!$E$2:$E$1001,$AB270)))</f>
        <v/>
      </c>
      <c r="H270" s="10">
        <f>IF($AB270="","",IF(INDEX(입력_기본자료!$F$2:$F$1001,$AB270)="","",INDEX(입력_기본자료!$F$2:$F$1001,$AB270)))</f>
        <v/>
      </c>
      <c r="I270" s="11">
        <f>IF($AB270="","",IF(INDEX(입력_기본자료!$G$2:$G$1001,$AB270)="","",IF(NOT(ISNUMBER(INDEX(입력_기본자료!$G$2:$G$1001,$AB270))),INDEX(입력_기본자료!$G$2:$G$1001,$AB270),IF(INDEX(입력_기본자료!$G$2:$G$1001,$AB270)&lt;1000000,INDEX(입력_기본자료!$G$2:$G$1001,$AB270),IF(AND(INDEX(입력_기본자료!$G$2:$G$1001,$AB270)&gt;=10000101,INT(MOD(INDEX(입력_기본자료!$G$2:$G$1001,$AB270),10000)/100)&gt;=1,INT(MOD(INDEX(입력_기본자료!$G$2:$G$1001,$AB270),10000)/100)&lt;=12,MOD(INDEX(입력_기본자료!$G$2:$G$1001,$AB270),100)&gt;=1,MOD(INDEX(입력_기본자료!$G$2:$G$1001,$AB270),100)&lt;=31),DATE(INT(INDEX(입력_기본자료!$G$2:$G$1001,$AB270)/10000),INT(MOD(INDEX(입력_기본자료!$G$2:$G$1001,$AB270),10000)/100),MOD(INDEX(입력_기본자료!$G$2:$G$1001,$AB270),100)),INDEX(입력_기본자료!$G$2:$G$1001,$AB270)&amp;"")))))</f>
        <v/>
      </c>
      <c r="J270" s="10">
        <f>IF($AB270="","",IF(INDEX(입력_기본자료!$H$2:$H$1001,$AB270)="","",INDEX(입력_기본자료!$H$2:$H$1001,$AB270)))</f>
        <v/>
      </c>
      <c r="K270" s="10">
        <f>IF($AB270="","",IF(INDEX(입력_기본자료!$I$2:$I$1001,$AB270)="","",INDEX(입력_기본자료!$I$2:$I$1001,$AB270)))</f>
        <v/>
      </c>
      <c r="L270" s="10">
        <f>IF($AB270="","",IF(INDEX(입력_기본자료!$A$2:$A$1001,$AB270)="","",INDEX(입력_기본자료!$A$2:$A$1001,$AB270)))</f>
        <v/>
      </c>
      <c r="M270" s="15" t="n"/>
      <c r="N270" s="10">
        <f>IF($B270="","",IF(AND($U270="파견중",$Q270&lt;&gt;""),$Q270,IF(AND($AD270&lt;&gt;"",LEFT($AD270,1)&lt;&gt;"⚠"),LEFT($AD270,FIND(" ",$AD270)-1),IF($H270="","",IF(RIGHT($H270,2)="병원",$H270,$H270&amp;"병원")))))</f>
        <v/>
      </c>
      <c r="O270" s="10">
        <f>IF($B270="","",IF(AND($U270="파견중",$Q270&lt;&gt;""),IF($R270&lt;&gt;"",$R270,"파견과 미입력"),IF(AND($AD270&lt;&gt;"",LEFT($AD270,1)&lt;&gt;"⚠"),MID($AD270,FIND(" ",$AD270)+1,60),IF($F270="","",IF($F270="인턴","수련교육부(인턴)",$F270)))))</f>
        <v/>
      </c>
      <c r="P270" s="10">
        <f>IF($B270="","",IF($AK270&lt;&gt;"",IF(AND(TODAY()&gt;=INDEX(입력_파견수련계획!$AB$4:$AB$803,$AK270),OR(NOT(ISNUMBER(INDEX(입력_파견수련계획!$AC$4:$AC$803,$AK270))),TODAY()&lt;=INDEX(입력_파견수련계획!$AC$4:$AC$803,$AK270))),"다기관",IF($AF270="","",INDEX(입력_파견수련계획!$T$4:$T$803,$AF270))),IF($AF270="","",INDEX(입력_파견수련계획!$T$4:$T$803,$AF270))))</f>
        <v/>
      </c>
      <c r="Q270" s="10">
        <f>IF($AF270="","",INDEX(입력_파견수련계획!$S$4:$S$803,$AF270))</f>
        <v/>
      </c>
      <c r="R270" s="10">
        <f>IF($AF270="","",INDEX(입력_파견수련계획!$U$4:$U$803,$AF270))</f>
        <v/>
      </c>
      <c r="S270" s="11">
        <f>IF($AF270="","",IF(INDEX(입력_파견수련계획!$H$4:$H$803,$AF270)="","",INDEX(입력_파견수련계획!$H$4:$H$803,$AF270)))</f>
        <v/>
      </c>
      <c r="T270" s="11">
        <f>IF($AF270="","",IF(INDEX(입력_파견수련계획!$I$4:$I$803,$AF270)="","",INDEX(입력_파견수련계획!$I$4:$I$803,$AF270)))</f>
        <v/>
      </c>
      <c r="U270" s="10">
        <f>IF($AF270="","",INDEX(입력_파견수련계획!$X$4:$X$803,$AF270))</f>
        <v/>
      </c>
      <c r="V270" s="17">
        <f>IF($AF270="","",INDEX(입력_파견수련계획!$V$4:$V$803,$AF270))</f>
        <v/>
      </c>
      <c r="W270" s="17">
        <f>IF(AND($U270="파견중",$T270&lt;&gt;""),$T270-TODAY(),"")</f>
        <v/>
      </c>
      <c r="X270" s="17">
        <f>IF(OR($B270="",TRIM($J270&amp;"")=""),"",SUMPRODUCT((입력_파견수련계획!$Q$4:$Q$803=TRIM($J270&amp;""))*입력_파견수련계획!$W$4:$W$803))</f>
        <v/>
      </c>
      <c r="Y270" s="10">
        <f>IF($B270="","",IF($AG270="","",IF(IF(TRIM($J270&amp;"")="",0,SUMPRODUCT((입력_파견수련계획!$Q$4:$Q$803=TRIM($J270&amp;""))*입력_파견수련계획!$AD$4:$AD$803))&gt;0,$AE270,IF(AND(N($X270)&lt;=0,$AQ270=""),$AG270,IF($AH270+$AI270=DAY(EOMONTH(출력_요약!$B$3,0)),IF(AND($AH270&gt;=출력_요약!$E$3,$AI270&lt;출력_요약!$E$3),"서울병원",IF(AND($AI270&gt;=출력_요약!$E$3,$AH270&lt;출력_요약!$E$3),"구리병원","⚠15일 판정불가(서울 "&amp;$AH270&amp;"일/구리 "&amp;$AI270&amp;"일)")),IF($AJ270="",$AE270,IF(INDEX(입력_파견수련계획!$T$4:$T$803,$AJ270)="통합수련",INDEX(입력_파견수련계획!$S$4:$S$803,$AJ270),$AE270)))))))</f>
        <v/>
      </c>
      <c r="Z270" s="20">
        <f>IF($B270="","",IF($AB270="","기본자료에 없는 사번",IF(COUNTIF($B$2:$B$401,$B270)&gt;1,"중복 사번",IF($AE270="","소속(입사장소) 입력",IF(IF(TRIM($J270&amp;"")="",0,SUMPRODUCT((입력_파견수련계획!$Q$4:$Q$803=TRIM($J270&amp;""))*(입력_파견수련계획!$AA$4:$AA$803&lt;&gt;"")))&gt;0,"파견수련계획 입력오류 확인",IF(LEFT($Y270,1)="⚠","서울·구리 15일 판정 불가(양쪽 모두 이상/미만)",IF(IF($AC270="",0,N(INDEX(입력_인턴근무계획!$T$3:$T$402,$AC270)))&gt;0,"인턴계획 입력오류 확인",IF(AND($AQ270&lt;&gt;"",$AG270&lt;&gt;"구리병원",IF(TRIM($J270&amp;"")="",0,SUMPRODUCT((입력_파견수련계획!$Q$4:$Q$803=TRIM($J270&amp;""))*(입력_파견수련계획!$S$4:$S$803="구리병원")*입력_파견수련계획!$W$4:$W$803))=0),"구리 근무자명단에만 있음(파견수련계획 확인)",IF(AND($AC270&lt;&gt;"",$U270&lt;&gt;"파견중",$N270&lt;&gt;$AE270),"인턴 타지역 근무: 파견 여부 확인","정상")))))))))</f>
        <v/>
      </c>
      <c r="AA270" s="5" t="n"/>
      <c r="AB270" s="10">
        <f>IF($B270="","",IFERROR(MATCH($B270,입력_기본자료!$B$2:$B$1001,0),IFERROR(MATCH($B270&amp;"",입력_기본자료!$B$2:$B$1001,0),IFERROR(MATCH(VALUE($B270),입력_기본자료!$B$2:$B$1001,0),""))))</f>
        <v/>
      </c>
      <c r="AC270" s="10">
        <f>IF($B270="","",IFERROR(MATCH($B270,입력_인턴근무계획!$D$3:$D$402,0),IFERROR(MATCH($B270&amp;"",입력_인턴근무계획!$D$3:$D$402,0),IFERROR(MATCH(VALUE($B270),입력_인턴근무계획!$D$3:$D$402,0),""))))</f>
        <v/>
      </c>
      <c r="AD270" s="10">
        <f>IF(OR($AC270="",출력_인턴현황!$G$3=""),"",INDEX(입력_인턴근무계획!$M$3:$R$402,$AC270,출력_인턴현황!$G$3)&amp;"")</f>
        <v/>
      </c>
      <c r="AE270" s="10">
        <f>IF($B270="","",IF($M270&lt;&gt;"",$M270,IF(IF($AQ270="",FALSE,INDEX(출력_구리근무자!$J$6:$J$305,$AQ270)="구리독자"),"구리병원",IF($AF270&lt;&gt;"",IF(LEFT(INDEX(입력_파견수련계획!$R$4:$R$803,$AF270),1)&lt;&gt;"⚠",INDEX(입력_파견수련계획!$R$4:$R$803,$AF270),IF($H270="","",IF(RIGHT($H270,2)="병원",$H270,$H270&amp;"병원"))),IF($H270="","",IF(RIGHT($H270,2)="병원",$H270,$H270&amp;"병원"))))))</f>
        <v/>
      </c>
      <c r="AF270" s="10">
        <f>IF(OR($B270="",TRIM($J270&amp;"")=""),"",IFERROR(MATCH(TRIM($J270&amp;"")&amp;"|파견중",입력_파견수련계획!$Y$4:$Y$803,0),IFERROR(MATCH(TRIM($J270&amp;"")&amp;"|파견예정",입력_파견수련계획!$Y$4:$Y$803,0),IFERROR(MATCH(TRIM($J270&amp;"")&amp;"|파견종료",입력_파견수련계획!$Y$4:$Y$803,0),""))))</f>
        <v/>
      </c>
      <c r="AG270" s="10">
        <f>IF($B270="","",IF(AND(IF(OR($AC270="",출력_인턴현황!$K$2=""),"",INDEX(입력_인턴근무계획!$M$3:$R$402,$AC270,출력_인턴현황!$K$2)&amp;"")&lt;&gt;"",LEFT(IF(OR($AC270="",출력_인턴현황!$K$2=""),"",INDEX(입력_인턴근무계획!$M$3:$R$402,$AC270,출력_인턴현황!$K$2)&amp;""),1)&lt;&gt;"⚠"),LEFT(IF(OR($AC270="",출력_인턴현황!$K$2=""),"",INDEX(입력_인턴근무계획!$M$3:$R$402,$AC270,출력_인턴현황!$K$2)&amp;""),FIND(" ",IF(OR($AC270="",출력_인턴현황!$K$2=""),"",INDEX(입력_인턴근무계획!$M$3:$R$402,$AC270,출력_인턴현황!$K$2)&amp;""))-1),$AE270))</f>
        <v/>
      </c>
      <c r="AH270" s="17">
        <f>IF($B270="","",IF($AQ270&lt;&gt;"",MAX(0,DAY(EOMONTH(출력_요약!$B$3,0))-N($AR270)),IF(TRIM($J270&amp;"")="",0,SUMPRODUCT((입력_파견수련계획!$Q$4:$Q$803=TRIM($J270&amp;""))*(입력_파견수련계획!$S$4:$S$803="서울병원")*입력_파견수련계획!$W$4:$W$803))+IF($AG270="서울병원",MAX(0,DAY(EOMONTH(출력_요약!$B$3,0))-N($X270)),0)))</f>
        <v/>
      </c>
      <c r="AI270" s="17">
        <f>IF($B270="","",IF($AQ270&lt;&gt;"",N($AR270),IF(TRIM($J270&amp;"")="",0,SUMPRODUCT((입력_파견수련계획!$Q$4:$Q$803=TRIM($J270&amp;""))*(입력_파견수련계획!$S$4:$S$803="구리병원")*입력_파견수련계획!$W$4:$W$803))+IF($AG270="구리병원",MAX(0,DAY(EOMONTH(출력_요약!$B$3,0))-N($X270)),0)))</f>
        <v/>
      </c>
      <c r="AJ270" s="10">
        <f>IF(OR($B270="",TRIM($J270&amp;"")=""),"",IFERROR(MATCH(TRIM($J270&amp;"")&amp;"|월",입력_파견수련계획!$Z$4:$Z$803,0),""))</f>
        <v/>
      </c>
      <c r="AK270" s="10">
        <f>IF(OR($B270="",TRIM($J270&amp;"")=""),"",IFERROR(MATCH(TRIM($J270&amp;"")&amp;"|다기관",입력_파견수련계획!$AE$4:$AE$803,0),""))</f>
        <v/>
      </c>
      <c r="AL270" s="10">
        <f>IF($AK270="","","다기관 "&amp;TEXT(INDEX(입력_파견수련계획!$AB$4:$AB$803,$AK270),"yyyy-mm-dd")&amp;"~"&amp;IF(ISNUMBER(INDEX(입력_파견수련계획!$AC$4:$AC$803,$AK270)),TEXT(INDEX(입력_파견수련계획!$AC$4:$AC$803,$AK270),"yyyy-mm-dd"),""))</f>
        <v/>
      </c>
      <c r="AM270" s="10">
        <f>IF($Y270="서울병원",COUNTIF($Y$2:$Y270,"서울병원"),"")</f>
        <v/>
      </c>
      <c r="AN270" s="10">
        <f>IF(LEFT($Y270,1)="⚠",COUNTIF($Y$2:$Y270,"⚠*"),"")</f>
        <v/>
      </c>
      <c r="AO270" s="10">
        <f>IF(OR($B270="",$Y270=""),"",IF(IF(TRIM($J270&amp;"")="",0,SUMPRODUCT((입력_파견수련계획!$Q$4:$Q$803=TRIM($J270&amp;""))*입력_파견수련계획!$AD$4:$AD$803))&gt;0,"다기관 기간 → 소속병원 지급",IF(AND(N($X270)&lt;=0,$AQ270=""),"파견 없음 → 그 달 근무병원 지급",IF($AH270+$AI270=DAY(EOMONTH(출력_요약!$B$3,0)),"서울 "&amp;$AH270&amp;"일 / 구리 "&amp;$AI270&amp;"일"&amp;IF($AQ270&lt;&gt;""," (구리 근무자명단 반영)","")&amp;" → 15일 이상 근무 병원 지급","타 병원 포함 → "&amp;IF($AJ270="","소속",INDEX(입력_파견수련계획!$T$4:$T$803,$AJ270))&amp;" 규칙"))))</f>
        <v/>
      </c>
      <c r="AP270" s="10">
        <f>IF($B270="","",$C270&amp;"|"&amp;$F270)</f>
        <v/>
      </c>
      <c r="AQ270" s="10">
        <f>IF($B270="","",IFERROR(MATCH(ROW()-1,출력_구리근무자!$K$6:$K$305,0),""))</f>
        <v/>
      </c>
      <c r="AR270" s="10">
        <f>IF($AQ270="","",INDEX(출력_구리근무자!$H$6:$H$305,$AQ270))</f>
        <v/>
      </c>
    </row>
    <row r="271">
      <c r="A271" s="10">
        <f>IF(B271="","",ROW()-1)</f>
        <v/>
      </c>
      <c r="B271" s="19" t="n"/>
      <c r="C271" s="10">
        <f>IF($AB271="","",IF(INDEX(입력_기본자료!$C$2:$C$1001,$AB271)="","",INDEX(입력_기본자료!$C$2:$C$1001,$AB271)))</f>
        <v/>
      </c>
      <c r="D271" s="10">
        <f>IF($AB271="","",IF(INDEX(입력_기본자료!$J$2:$J$1001,$AB271)="","",INDEX(입력_기본자료!$J$2:$J$1001,$AB271)))</f>
        <v/>
      </c>
      <c r="E271" s="11">
        <f>IF($AB271="","",IF(INDEX(입력_기본자료!$K$2:$K$1001,$AB271)="","",IF(NOT(ISNUMBER(INDEX(입력_기본자료!$K$2:$K$1001,$AB271))),INDEX(입력_기본자료!$K$2:$K$1001,$AB271),IF(INDEX(입력_기본자료!$K$2:$K$1001,$AB271)&lt;1000000,INDEX(입력_기본자료!$K$2:$K$1001,$AB271),IF(AND(INDEX(입력_기본자료!$K$2:$K$1001,$AB271)&gt;=10000101,INT(MOD(INDEX(입력_기본자료!$K$2:$K$1001,$AB271),10000)/100)&gt;=1,INT(MOD(INDEX(입력_기본자료!$K$2:$K$1001,$AB271),10000)/100)&lt;=12,MOD(INDEX(입력_기본자료!$K$2:$K$1001,$AB271),100)&gt;=1,MOD(INDEX(입력_기본자료!$K$2:$K$1001,$AB271),100)&lt;=31),DATE(INT(INDEX(입력_기본자료!$K$2:$K$1001,$AB271)/10000),INT(MOD(INDEX(입력_기본자료!$K$2:$K$1001,$AB271),10000)/100),MOD(INDEX(입력_기본자료!$K$2:$K$1001,$AB271),100)),INDEX(입력_기본자료!$K$2:$K$1001,$AB271)&amp;"")))))</f>
        <v/>
      </c>
      <c r="F271" s="10">
        <f>IF($AB271="","",IF(INDEX(입력_기본자료!$D$2:$D$1001,$AB271)="","",INDEX(입력_기본자료!$D$2:$D$1001,$AB271)))</f>
        <v/>
      </c>
      <c r="G271" s="10">
        <f>IF($AB271="","",IF(INDEX(입력_기본자료!$E$2:$E$1001,$AB271)="","",INDEX(입력_기본자료!$E$2:$E$1001,$AB271)))</f>
        <v/>
      </c>
      <c r="H271" s="10">
        <f>IF($AB271="","",IF(INDEX(입력_기본자료!$F$2:$F$1001,$AB271)="","",INDEX(입력_기본자료!$F$2:$F$1001,$AB271)))</f>
        <v/>
      </c>
      <c r="I271" s="11">
        <f>IF($AB271="","",IF(INDEX(입력_기본자료!$G$2:$G$1001,$AB271)="","",IF(NOT(ISNUMBER(INDEX(입력_기본자료!$G$2:$G$1001,$AB271))),INDEX(입력_기본자료!$G$2:$G$1001,$AB271),IF(INDEX(입력_기본자료!$G$2:$G$1001,$AB271)&lt;1000000,INDEX(입력_기본자료!$G$2:$G$1001,$AB271),IF(AND(INDEX(입력_기본자료!$G$2:$G$1001,$AB271)&gt;=10000101,INT(MOD(INDEX(입력_기본자료!$G$2:$G$1001,$AB271),10000)/100)&gt;=1,INT(MOD(INDEX(입력_기본자료!$G$2:$G$1001,$AB271),10000)/100)&lt;=12,MOD(INDEX(입력_기본자료!$G$2:$G$1001,$AB271),100)&gt;=1,MOD(INDEX(입력_기본자료!$G$2:$G$1001,$AB271),100)&lt;=31),DATE(INT(INDEX(입력_기본자료!$G$2:$G$1001,$AB271)/10000),INT(MOD(INDEX(입력_기본자료!$G$2:$G$1001,$AB271),10000)/100),MOD(INDEX(입력_기본자료!$G$2:$G$1001,$AB271),100)),INDEX(입력_기본자료!$G$2:$G$1001,$AB271)&amp;"")))))</f>
        <v/>
      </c>
      <c r="J271" s="10">
        <f>IF($AB271="","",IF(INDEX(입력_기본자료!$H$2:$H$1001,$AB271)="","",INDEX(입력_기본자료!$H$2:$H$1001,$AB271)))</f>
        <v/>
      </c>
      <c r="K271" s="10">
        <f>IF($AB271="","",IF(INDEX(입력_기본자료!$I$2:$I$1001,$AB271)="","",INDEX(입력_기본자료!$I$2:$I$1001,$AB271)))</f>
        <v/>
      </c>
      <c r="L271" s="10">
        <f>IF($AB271="","",IF(INDEX(입력_기본자료!$A$2:$A$1001,$AB271)="","",INDEX(입력_기본자료!$A$2:$A$1001,$AB271)))</f>
        <v/>
      </c>
      <c r="M271" s="15" t="n"/>
      <c r="N271" s="10">
        <f>IF($B271="","",IF(AND($U271="파견중",$Q271&lt;&gt;""),$Q271,IF(AND($AD271&lt;&gt;"",LEFT($AD271,1)&lt;&gt;"⚠"),LEFT($AD271,FIND(" ",$AD271)-1),IF($H271="","",IF(RIGHT($H271,2)="병원",$H271,$H271&amp;"병원")))))</f>
        <v/>
      </c>
      <c r="O271" s="10">
        <f>IF($B271="","",IF(AND($U271="파견중",$Q271&lt;&gt;""),IF($R271&lt;&gt;"",$R271,"파견과 미입력"),IF(AND($AD271&lt;&gt;"",LEFT($AD271,1)&lt;&gt;"⚠"),MID($AD271,FIND(" ",$AD271)+1,60),IF($F271="","",IF($F271="인턴","수련교육부(인턴)",$F271)))))</f>
        <v/>
      </c>
      <c r="P271" s="10">
        <f>IF($B271="","",IF($AK271&lt;&gt;"",IF(AND(TODAY()&gt;=INDEX(입력_파견수련계획!$AB$4:$AB$803,$AK271),OR(NOT(ISNUMBER(INDEX(입력_파견수련계획!$AC$4:$AC$803,$AK271))),TODAY()&lt;=INDEX(입력_파견수련계획!$AC$4:$AC$803,$AK271))),"다기관",IF($AF271="","",INDEX(입력_파견수련계획!$T$4:$T$803,$AF271))),IF($AF271="","",INDEX(입력_파견수련계획!$T$4:$T$803,$AF271))))</f>
        <v/>
      </c>
      <c r="Q271" s="10">
        <f>IF($AF271="","",INDEX(입력_파견수련계획!$S$4:$S$803,$AF271))</f>
        <v/>
      </c>
      <c r="R271" s="10">
        <f>IF($AF271="","",INDEX(입력_파견수련계획!$U$4:$U$803,$AF271))</f>
        <v/>
      </c>
      <c r="S271" s="11">
        <f>IF($AF271="","",IF(INDEX(입력_파견수련계획!$H$4:$H$803,$AF271)="","",INDEX(입력_파견수련계획!$H$4:$H$803,$AF271)))</f>
        <v/>
      </c>
      <c r="T271" s="11">
        <f>IF($AF271="","",IF(INDEX(입력_파견수련계획!$I$4:$I$803,$AF271)="","",INDEX(입력_파견수련계획!$I$4:$I$803,$AF271)))</f>
        <v/>
      </c>
      <c r="U271" s="10">
        <f>IF($AF271="","",INDEX(입력_파견수련계획!$X$4:$X$803,$AF271))</f>
        <v/>
      </c>
      <c r="V271" s="17">
        <f>IF($AF271="","",INDEX(입력_파견수련계획!$V$4:$V$803,$AF271))</f>
        <v/>
      </c>
      <c r="W271" s="17">
        <f>IF(AND($U271="파견중",$T271&lt;&gt;""),$T271-TODAY(),"")</f>
        <v/>
      </c>
      <c r="X271" s="17">
        <f>IF(OR($B271="",TRIM($J271&amp;"")=""),"",SUMPRODUCT((입력_파견수련계획!$Q$4:$Q$803=TRIM($J271&amp;""))*입력_파견수련계획!$W$4:$W$803))</f>
        <v/>
      </c>
      <c r="Y271" s="10">
        <f>IF($B271="","",IF($AG271="","",IF(IF(TRIM($J271&amp;"")="",0,SUMPRODUCT((입력_파견수련계획!$Q$4:$Q$803=TRIM($J271&amp;""))*입력_파견수련계획!$AD$4:$AD$803))&gt;0,$AE271,IF(AND(N($X271)&lt;=0,$AQ271=""),$AG271,IF($AH271+$AI271=DAY(EOMONTH(출력_요약!$B$3,0)),IF(AND($AH271&gt;=출력_요약!$E$3,$AI271&lt;출력_요약!$E$3),"서울병원",IF(AND($AI271&gt;=출력_요약!$E$3,$AH271&lt;출력_요약!$E$3),"구리병원","⚠15일 판정불가(서울 "&amp;$AH271&amp;"일/구리 "&amp;$AI271&amp;"일)")),IF($AJ271="",$AE271,IF(INDEX(입력_파견수련계획!$T$4:$T$803,$AJ271)="통합수련",INDEX(입력_파견수련계획!$S$4:$S$803,$AJ271),$AE271)))))))</f>
        <v/>
      </c>
      <c r="Z271" s="20">
        <f>IF($B271="","",IF($AB271="","기본자료에 없는 사번",IF(COUNTIF($B$2:$B$401,$B271)&gt;1,"중복 사번",IF($AE271="","소속(입사장소) 입력",IF(IF(TRIM($J271&amp;"")="",0,SUMPRODUCT((입력_파견수련계획!$Q$4:$Q$803=TRIM($J271&amp;""))*(입력_파견수련계획!$AA$4:$AA$803&lt;&gt;"")))&gt;0,"파견수련계획 입력오류 확인",IF(LEFT($Y271,1)="⚠","서울·구리 15일 판정 불가(양쪽 모두 이상/미만)",IF(IF($AC271="",0,N(INDEX(입력_인턴근무계획!$T$3:$T$402,$AC271)))&gt;0,"인턴계획 입력오류 확인",IF(AND($AQ271&lt;&gt;"",$AG271&lt;&gt;"구리병원",IF(TRIM($J271&amp;"")="",0,SUMPRODUCT((입력_파견수련계획!$Q$4:$Q$803=TRIM($J271&amp;""))*(입력_파견수련계획!$S$4:$S$803="구리병원")*입력_파견수련계획!$W$4:$W$803))=0),"구리 근무자명단에만 있음(파견수련계획 확인)",IF(AND($AC271&lt;&gt;"",$U271&lt;&gt;"파견중",$N271&lt;&gt;$AE271),"인턴 타지역 근무: 파견 여부 확인","정상")))))))))</f>
        <v/>
      </c>
      <c r="AA271" s="5" t="n"/>
      <c r="AB271" s="10">
        <f>IF($B271="","",IFERROR(MATCH($B271,입력_기본자료!$B$2:$B$1001,0),IFERROR(MATCH($B271&amp;"",입력_기본자료!$B$2:$B$1001,0),IFERROR(MATCH(VALUE($B271),입력_기본자료!$B$2:$B$1001,0),""))))</f>
        <v/>
      </c>
      <c r="AC271" s="10">
        <f>IF($B271="","",IFERROR(MATCH($B271,입력_인턴근무계획!$D$3:$D$402,0),IFERROR(MATCH($B271&amp;"",입력_인턴근무계획!$D$3:$D$402,0),IFERROR(MATCH(VALUE($B271),입력_인턴근무계획!$D$3:$D$402,0),""))))</f>
        <v/>
      </c>
      <c r="AD271" s="10">
        <f>IF(OR($AC271="",출력_인턴현황!$G$3=""),"",INDEX(입력_인턴근무계획!$M$3:$R$402,$AC271,출력_인턴현황!$G$3)&amp;"")</f>
        <v/>
      </c>
      <c r="AE271" s="10">
        <f>IF($B271="","",IF($M271&lt;&gt;"",$M271,IF(IF($AQ271="",FALSE,INDEX(출력_구리근무자!$J$6:$J$305,$AQ271)="구리독자"),"구리병원",IF($AF271&lt;&gt;"",IF(LEFT(INDEX(입력_파견수련계획!$R$4:$R$803,$AF271),1)&lt;&gt;"⚠",INDEX(입력_파견수련계획!$R$4:$R$803,$AF271),IF($H271="","",IF(RIGHT($H271,2)="병원",$H271,$H271&amp;"병원"))),IF($H271="","",IF(RIGHT($H271,2)="병원",$H271,$H271&amp;"병원"))))))</f>
        <v/>
      </c>
      <c r="AF271" s="10">
        <f>IF(OR($B271="",TRIM($J271&amp;"")=""),"",IFERROR(MATCH(TRIM($J271&amp;"")&amp;"|파견중",입력_파견수련계획!$Y$4:$Y$803,0),IFERROR(MATCH(TRIM($J271&amp;"")&amp;"|파견예정",입력_파견수련계획!$Y$4:$Y$803,0),IFERROR(MATCH(TRIM($J271&amp;"")&amp;"|파견종료",입력_파견수련계획!$Y$4:$Y$803,0),""))))</f>
        <v/>
      </c>
      <c r="AG271" s="10">
        <f>IF($B271="","",IF(AND(IF(OR($AC271="",출력_인턴현황!$K$2=""),"",INDEX(입력_인턴근무계획!$M$3:$R$402,$AC271,출력_인턴현황!$K$2)&amp;"")&lt;&gt;"",LEFT(IF(OR($AC271="",출력_인턴현황!$K$2=""),"",INDEX(입력_인턴근무계획!$M$3:$R$402,$AC271,출력_인턴현황!$K$2)&amp;""),1)&lt;&gt;"⚠"),LEFT(IF(OR($AC271="",출력_인턴현황!$K$2=""),"",INDEX(입력_인턴근무계획!$M$3:$R$402,$AC271,출력_인턴현황!$K$2)&amp;""),FIND(" ",IF(OR($AC271="",출력_인턴현황!$K$2=""),"",INDEX(입력_인턴근무계획!$M$3:$R$402,$AC271,출력_인턴현황!$K$2)&amp;""))-1),$AE271))</f>
        <v/>
      </c>
      <c r="AH271" s="17">
        <f>IF($B271="","",IF($AQ271&lt;&gt;"",MAX(0,DAY(EOMONTH(출력_요약!$B$3,0))-N($AR271)),IF(TRIM($J271&amp;"")="",0,SUMPRODUCT((입력_파견수련계획!$Q$4:$Q$803=TRIM($J271&amp;""))*(입력_파견수련계획!$S$4:$S$803="서울병원")*입력_파견수련계획!$W$4:$W$803))+IF($AG271="서울병원",MAX(0,DAY(EOMONTH(출력_요약!$B$3,0))-N($X271)),0)))</f>
        <v/>
      </c>
      <c r="AI271" s="17">
        <f>IF($B271="","",IF($AQ271&lt;&gt;"",N($AR271),IF(TRIM($J271&amp;"")="",0,SUMPRODUCT((입력_파견수련계획!$Q$4:$Q$803=TRIM($J271&amp;""))*(입력_파견수련계획!$S$4:$S$803="구리병원")*입력_파견수련계획!$W$4:$W$803))+IF($AG271="구리병원",MAX(0,DAY(EOMONTH(출력_요약!$B$3,0))-N($X271)),0)))</f>
        <v/>
      </c>
      <c r="AJ271" s="10">
        <f>IF(OR($B271="",TRIM($J271&amp;"")=""),"",IFERROR(MATCH(TRIM($J271&amp;"")&amp;"|월",입력_파견수련계획!$Z$4:$Z$803,0),""))</f>
        <v/>
      </c>
      <c r="AK271" s="10">
        <f>IF(OR($B271="",TRIM($J271&amp;"")=""),"",IFERROR(MATCH(TRIM($J271&amp;"")&amp;"|다기관",입력_파견수련계획!$AE$4:$AE$803,0),""))</f>
        <v/>
      </c>
      <c r="AL271" s="10">
        <f>IF($AK271="","","다기관 "&amp;TEXT(INDEX(입력_파견수련계획!$AB$4:$AB$803,$AK271),"yyyy-mm-dd")&amp;"~"&amp;IF(ISNUMBER(INDEX(입력_파견수련계획!$AC$4:$AC$803,$AK271)),TEXT(INDEX(입력_파견수련계획!$AC$4:$AC$803,$AK271),"yyyy-mm-dd"),""))</f>
        <v/>
      </c>
      <c r="AM271" s="10">
        <f>IF($Y271="서울병원",COUNTIF($Y$2:$Y271,"서울병원"),"")</f>
        <v/>
      </c>
      <c r="AN271" s="10">
        <f>IF(LEFT($Y271,1)="⚠",COUNTIF($Y$2:$Y271,"⚠*"),"")</f>
        <v/>
      </c>
      <c r="AO271" s="10">
        <f>IF(OR($B271="",$Y271=""),"",IF(IF(TRIM($J271&amp;"")="",0,SUMPRODUCT((입력_파견수련계획!$Q$4:$Q$803=TRIM($J271&amp;""))*입력_파견수련계획!$AD$4:$AD$803))&gt;0,"다기관 기간 → 소속병원 지급",IF(AND(N($X271)&lt;=0,$AQ271=""),"파견 없음 → 그 달 근무병원 지급",IF($AH271+$AI271=DAY(EOMONTH(출력_요약!$B$3,0)),"서울 "&amp;$AH271&amp;"일 / 구리 "&amp;$AI271&amp;"일"&amp;IF($AQ271&lt;&gt;""," (구리 근무자명단 반영)","")&amp;" → 15일 이상 근무 병원 지급","타 병원 포함 → "&amp;IF($AJ271="","소속",INDEX(입력_파견수련계획!$T$4:$T$803,$AJ271))&amp;" 규칙"))))</f>
        <v/>
      </c>
      <c r="AP271" s="10">
        <f>IF($B271="","",$C271&amp;"|"&amp;$F271)</f>
        <v/>
      </c>
      <c r="AQ271" s="10">
        <f>IF($B271="","",IFERROR(MATCH(ROW()-1,출력_구리근무자!$K$6:$K$305,0),""))</f>
        <v/>
      </c>
      <c r="AR271" s="10">
        <f>IF($AQ271="","",INDEX(출력_구리근무자!$H$6:$H$305,$AQ271))</f>
        <v/>
      </c>
    </row>
    <row r="272">
      <c r="A272" s="10">
        <f>IF(B272="","",ROW()-1)</f>
        <v/>
      </c>
      <c r="B272" s="19" t="n"/>
      <c r="C272" s="10">
        <f>IF($AB272="","",IF(INDEX(입력_기본자료!$C$2:$C$1001,$AB272)="","",INDEX(입력_기본자료!$C$2:$C$1001,$AB272)))</f>
        <v/>
      </c>
      <c r="D272" s="10">
        <f>IF($AB272="","",IF(INDEX(입력_기본자료!$J$2:$J$1001,$AB272)="","",INDEX(입력_기본자료!$J$2:$J$1001,$AB272)))</f>
        <v/>
      </c>
      <c r="E272" s="11">
        <f>IF($AB272="","",IF(INDEX(입력_기본자료!$K$2:$K$1001,$AB272)="","",IF(NOT(ISNUMBER(INDEX(입력_기본자료!$K$2:$K$1001,$AB272))),INDEX(입력_기본자료!$K$2:$K$1001,$AB272),IF(INDEX(입력_기본자료!$K$2:$K$1001,$AB272)&lt;1000000,INDEX(입력_기본자료!$K$2:$K$1001,$AB272),IF(AND(INDEX(입력_기본자료!$K$2:$K$1001,$AB272)&gt;=10000101,INT(MOD(INDEX(입력_기본자료!$K$2:$K$1001,$AB272),10000)/100)&gt;=1,INT(MOD(INDEX(입력_기본자료!$K$2:$K$1001,$AB272),10000)/100)&lt;=12,MOD(INDEX(입력_기본자료!$K$2:$K$1001,$AB272),100)&gt;=1,MOD(INDEX(입력_기본자료!$K$2:$K$1001,$AB272),100)&lt;=31),DATE(INT(INDEX(입력_기본자료!$K$2:$K$1001,$AB272)/10000),INT(MOD(INDEX(입력_기본자료!$K$2:$K$1001,$AB272),10000)/100),MOD(INDEX(입력_기본자료!$K$2:$K$1001,$AB272),100)),INDEX(입력_기본자료!$K$2:$K$1001,$AB272)&amp;"")))))</f>
        <v/>
      </c>
      <c r="F272" s="10">
        <f>IF($AB272="","",IF(INDEX(입력_기본자료!$D$2:$D$1001,$AB272)="","",INDEX(입력_기본자료!$D$2:$D$1001,$AB272)))</f>
        <v/>
      </c>
      <c r="G272" s="10">
        <f>IF($AB272="","",IF(INDEX(입력_기본자료!$E$2:$E$1001,$AB272)="","",INDEX(입력_기본자료!$E$2:$E$1001,$AB272)))</f>
        <v/>
      </c>
      <c r="H272" s="10">
        <f>IF($AB272="","",IF(INDEX(입력_기본자료!$F$2:$F$1001,$AB272)="","",INDEX(입력_기본자료!$F$2:$F$1001,$AB272)))</f>
        <v/>
      </c>
      <c r="I272" s="11">
        <f>IF($AB272="","",IF(INDEX(입력_기본자료!$G$2:$G$1001,$AB272)="","",IF(NOT(ISNUMBER(INDEX(입력_기본자료!$G$2:$G$1001,$AB272))),INDEX(입력_기본자료!$G$2:$G$1001,$AB272),IF(INDEX(입력_기본자료!$G$2:$G$1001,$AB272)&lt;1000000,INDEX(입력_기본자료!$G$2:$G$1001,$AB272),IF(AND(INDEX(입력_기본자료!$G$2:$G$1001,$AB272)&gt;=10000101,INT(MOD(INDEX(입력_기본자료!$G$2:$G$1001,$AB272),10000)/100)&gt;=1,INT(MOD(INDEX(입력_기본자료!$G$2:$G$1001,$AB272),10000)/100)&lt;=12,MOD(INDEX(입력_기본자료!$G$2:$G$1001,$AB272),100)&gt;=1,MOD(INDEX(입력_기본자료!$G$2:$G$1001,$AB272),100)&lt;=31),DATE(INT(INDEX(입력_기본자료!$G$2:$G$1001,$AB272)/10000),INT(MOD(INDEX(입력_기본자료!$G$2:$G$1001,$AB272),10000)/100),MOD(INDEX(입력_기본자료!$G$2:$G$1001,$AB272),100)),INDEX(입력_기본자료!$G$2:$G$1001,$AB272)&amp;"")))))</f>
        <v/>
      </c>
      <c r="J272" s="10">
        <f>IF($AB272="","",IF(INDEX(입력_기본자료!$H$2:$H$1001,$AB272)="","",INDEX(입력_기본자료!$H$2:$H$1001,$AB272)))</f>
        <v/>
      </c>
      <c r="K272" s="10">
        <f>IF($AB272="","",IF(INDEX(입력_기본자료!$I$2:$I$1001,$AB272)="","",INDEX(입력_기본자료!$I$2:$I$1001,$AB272)))</f>
        <v/>
      </c>
      <c r="L272" s="10">
        <f>IF($AB272="","",IF(INDEX(입력_기본자료!$A$2:$A$1001,$AB272)="","",INDEX(입력_기본자료!$A$2:$A$1001,$AB272)))</f>
        <v/>
      </c>
      <c r="M272" s="15" t="n"/>
      <c r="N272" s="10">
        <f>IF($B272="","",IF(AND($U272="파견중",$Q272&lt;&gt;""),$Q272,IF(AND($AD272&lt;&gt;"",LEFT($AD272,1)&lt;&gt;"⚠"),LEFT($AD272,FIND(" ",$AD272)-1),IF($H272="","",IF(RIGHT($H272,2)="병원",$H272,$H272&amp;"병원")))))</f>
        <v/>
      </c>
      <c r="O272" s="10">
        <f>IF($B272="","",IF(AND($U272="파견중",$Q272&lt;&gt;""),IF($R272&lt;&gt;"",$R272,"파견과 미입력"),IF(AND($AD272&lt;&gt;"",LEFT($AD272,1)&lt;&gt;"⚠"),MID($AD272,FIND(" ",$AD272)+1,60),IF($F272="","",IF($F272="인턴","수련교육부(인턴)",$F272)))))</f>
        <v/>
      </c>
      <c r="P272" s="10">
        <f>IF($B272="","",IF($AK272&lt;&gt;"",IF(AND(TODAY()&gt;=INDEX(입력_파견수련계획!$AB$4:$AB$803,$AK272),OR(NOT(ISNUMBER(INDEX(입력_파견수련계획!$AC$4:$AC$803,$AK272))),TODAY()&lt;=INDEX(입력_파견수련계획!$AC$4:$AC$803,$AK272))),"다기관",IF($AF272="","",INDEX(입력_파견수련계획!$T$4:$T$803,$AF272))),IF($AF272="","",INDEX(입력_파견수련계획!$T$4:$T$803,$AF272))))</f>
        <v/>
      </c>
      <c r="Q272" s="10">
        <f>IF($AF272="","",INDEX(입력_파견수련계획!$S$4:$S$803,$AF272))</f>
        <v/>
      </c>
      <c r="R272" s="10">
        <f>IF($AF272="","",INDEX(입력_파견수련계획!$U$4:$U$803,$AF272))</f>
        <v/>
      </c>
      <c r="S272" s="11">
        <f>IF($AF272="","",IF(INDEX(입력_파견수련계획!$H$4:$H$803,$AF272)="","",INDEX(입력_파견수련계획!$H$4:$H$803,$AF272)))</f>
        <v/>
      </c>
      <c r="T272" s="11">
        <f>IF($AF272="","",IF(INDEX(입력_파견수련계획!$I$4:$I$803,$AF272)="","",INDEX(입력_파견수련계획!$I$4:$I$803,$AF272)))</f>
        <v/>
      </c>
      <c r="U272" s="10">
        <f>IF($AF272="","",INDEX(입력_파견수련계획!$X$4:$X$803,$AF272))</f>
        <v/>
      </c>
      <c r="V272" s="17">
        <f>IF($AF272="","",INDEX(입력_파견수련계획!$V$4:$V$803,$AF272))</f>
        <v/>
      </c>
      <c r="W272" s="17">
        <f>IF(AND($U272="파견중",$T272&lt;&gt;""),$T272-TODAY(),"")</f>
        <v/>
      </c>
      <c r="X272" s="17">
        <f>IF(OR($B272="",TRIM($J272&amp;"")=""),"",SUMPRODUCT((입력_파견수련계획!$Q$4:$Q$803=TRIM($J272&amp;""))*입력_파견수련계획!$W$4:$W$803))</f>
        <v/>
      </c>
      <c r="Y272" s="10">
        <f>IF($B272="","",IF($AG272="","",IF(IF(TRIM($J272&amp;"")="",0,SUMPRODUCT((입력_파견수련계획!$Q$4:$Q$803=TRIM($J272&amp;""))*입력_파견수련계획!$AD$4:$AD$803))&gt;0,$AE272,IF(AND(N($X272)&lt;=0,$AQ272=""),$AG272,IF($AH272+$AI272=DAY(EOMONTH(출력_요약!$B$3,0)),IF(AND($AH272&gt;=출력_요약!$E$3,$AI272&lt;출력_요약!$E$3),"서울병원",IF(AND($AI272&gt;=출력_요약!$E$3,$AH272&lt;출력_요약!$E$3),"구리병원","⚠15일 판정불가(서울 "&amp;$AH272&amp;"일/구리 "&amp;$AI272&amp;"일)")),IF($AJ272="",$AE272,IF(INDEX(입력_파견수련계획!$T$4:$T$803,$AJ272)="통합수련",INDEX(입력_파견수련계획!$S$4:$S$803,$AJ272),$AE272)))))))</f>
        <v/>
      </c>
      <c r="Z272" s="20">
        <f>IF($B272="","",IF($AB272="","기본자료에 없는 사번",IF(COUNTIF($B$2:$B$401,$B272)&gt;1,"중복 사번",IF($AE272="","소속(입사장소) 입력",IF(IF(TRIM($J272&amp;"")="",0,SUMPRODUCT((입력_파견수련계획!$Q$4:$Q$803=TRIM($J272&amp;""))*(입력_파견수련계획!$AA$4:$AA$803&lt;&gt;"")))&gt;0,"파견수련계획 입력오류 확인",IF(LEFT($Y272,1)="⚠","서울·구리 15일 판정 불가(양쪽 모두 이상/미만)",IF(IF($AC272="",0,N(INDEX(입력_인턴근무계획!$T$3:$T$402,$AC272)))&gt;0,"인턴계획 입력오류 확인",IF(AND($AQ272&lt;&gt;"",$AG272&lt;&gt;"구리병원",IF(TRIM($J272&amp;"")="",0,SUMPRODUCT((입력_파견수련계획!$Q$4:$Q$803=TRIM($J272&amp;""))*(입력_파견수련계획!$S$4:$S$803="구리병원")*입력_파견수련계획!$W$4:$W$803))=0),"구리 근무자명단에만 있음(파견수련계획 확인)",IF(AND($AC272&lt;&gt;"",$U272&lt;&gt;"파견중",$N272&lt;&gt;$AE272),"인턴 타지역 근무: 파견 여부 확인","정상")))))))))</f>
        <v/>
      </c>
      <c r="AA272" s="5" t="n"/>
      <c r="AB272" s="10">
        <f>IF($B272="","",IFERROR(MATCH($B272,입력_기본자료!$B$2:$B$1001,0),IFERROR(MATCH($B272&amp;"",입력_기본자료!$B$2:$B$1001,0),IFERROR(MATCH(VALUE($B272),입력_기본자료!$B$2:$B$1001,0),""))))</f>
        <v/>
      </c>
      <c r="AC272" s="10">
        <f>IF($B272="","",IFERROR(MATCH($B272,입력_인턴근무계획!$D$3:$D$402,0),IFERROR(MATCH($B272&amp;"",입력_인턴근무계획!$D$3:$D$402,0),IFERROR(MATCH(VALUE($B272),입력_인턴근무계획!$D$3:$D$402,0),""))))</f>
        <v/>
      </c>
      <c r="AD272" s="10">
        <f>IF(OR($AC272="",출력_인턴현황!$G$3=""),"",INDEX(입력_인턴근무계획!$M$3:$R$402,$AC272,출력_인턴현황!$G$3)&amp;"")</f>
        <v/>
      </c>
      <c r="AE272" s="10">
        <f>IF($B272="","",IF($M272&lt;&gt;"",$M272,IF(IF($AQ272="",FALSE,INDEX(출력_구리근무자!$J$6:$J$305,$AQ272)="구리독자"),"구리병원",IF($AF272&lt;&gt;"",IF(LEFT(INDEX(입력_파견수련계획!$R$4:$R$803,$AF272),1)&lt;&gt;"⚠",INDEX(입력_파견수련계획!$R$4:$R$803,$AF272),IF($H272="","",IF(RIGHT($H272,2)="병원",$H272,$H272&amp;"병원"))),IF($H272="","",IF(RIGHT($H272,2)="병원",$H272,$H272&amp;"병원"))))))</f>
        <v/>
      </c>
      <c r="AF272" s="10">
        <f>IF(OR($B272="",TRIM($J272&amp;"")=""),"",IFERROR(MATCH(TRIM($J272&amp;"")&amp;"|파견중",입력_파견수련계획!$Y$4:$Y$803,0),IFERROR(MATCH(TRIM($J272&amp;"")&amp;"|파견예정",입력_파견수련계획!$Y$4:$Y$803,0),IFERROR(MATCH(TRIM($J272&amp;"")&amp;"|파견종료",입력_파견수련계획!$Y$4:$Y$803,0),""))))</f>
        <v/>
      </c>
      <c r="AG272" s="10">
        <f>IF($B272="","",IF(AND(IF(OR($AC272="",출력_인턴현황!$K$2=""),"",INDEX(입력_인턴근무계획!$M$3:$R$402,$AC272,출력_인턴현황!$K$2)&amp;"")&lt;&gt;"",LEFT(IF(OR($AC272="",출력_인턴현황!$K$2=""),"",INDEX(입력_인턴근무계획!$M$3:$R$402,$AC272,출력_인턴현황!$K$2)&amp;""),1)&lt;&gt;"⚠"),LEFT(IF(OR($AC272="",출력_인턴현황!$K$2=""),"",INDEX(입력_인턴근무계획!$M$3:$R$402,$AC272,출력_인턴현황!$K$2)&amp;""),FIND(" ",IF(OR($AC272="",출력_인턴현황!$K$2=""),"",INDEX(입력_인턴근무계획!$M$3:$R$402,$AC272,출력_인턴현황!$K$2)&amp;""))-1),$AE272))</f>
        <v/>
      </c>
      <c r="AH272" s="17">
        <f>IF($B272="","",IF($AQ272&lt;&gt;"",MAX(0,DAY(EOMONTH(출력_요약!$B$3,0))-N($AR272)),IF(TRIM($J272&amp;"")="",0,SUMPRODUCT((입력_파견수련계획!$Q$4:$Q$803=TRIM($J272&amp;""))*(입력_파견수련계획!$S$4:$S$803="서울병원")*입력_파견수련계획!$W$4:$W$803))+IF($AG272="서울병원",MAX(0,DAY(EOMONTH(출력_요약!$B$3,0))-N($X272)),0)))</f>
        <v/>
      </c>
      <c r="AI272" s="17">
        <f>IF($B272="","",IF($AQ272&lt;&gt;"",N($AR272),IF(TRIM($J272&amp;"")="",0,SUMPRODUCT((입력_파견수련계획!$Q$4:$Q$803=TRIM($J272&amp;""))*(입력_파견수련계획!$S$4:$S$803="구리병원")*입력_파견수련계획!$W$4:$W$803))+IF($AG272="구리병원",MAX(0,DAY(EOMONTH(출력_요약!$B$3,0))-N($X272)),0)))</f>
        <v/>
      </c>
      <c r="AJ272" s="10">
        <f>IF(OR($B272="",TRIM($J272&amp;"")=""),"",IFERROR(MATCH(TRIM($J272&amp;"")&amp;"|월",입력_파견수련계획!$Z$4:$Z$803,0),""))</f>
        <v/>
      </c>
      <c r="AK272" s="10">
        <f>IF(OR($B272="",TRIM($J272&amp;"")=""),"",IFERROR(MATCH(TRIM($J272&amp;"")&amp;"|다기관",입력_파견수련계획!$AE$4:$AE$803,0),""))</f>
        <v/>
      </c>
      <c r="AL272" s="10">
        <f>IF($AK272="","","다기관 "&amp;TEXT(INDEX(입력_파견수련계획!$AB$4:$AB$803,$AK272),"yyyy-mm-dd")&amp;"~"&amp;IF(ISNUMBER(INDEX(입력_파견수련계획!$AC$4:$AC$803,$AK272)),TEXT(INDEX(입력_파견수련계획!$AC$4:$AC$803,$AK272),"yyyy-mm-dd"),""))</f>
        <v/>
      </c>
      <c r="AM272" s="10">
        <f>IF($Y272="서울병원",COUNTIF($Y$2:$Y272,"서울병원"),"")</f>
        <v/>
      </c>
      <c r="AN272" s="10">
        <f>IF(LEFT($Y272,1)="⚠",COUNTIF($Y$2:$Y272,"⚠*"),"")</f>
        <v/>
      </c>
      <c r="AO272" s="10">
        <f>IF(OR($B272="",$Y272=""),"",IF(IF(TRIM($J272&amp;"")="",0,SUMPRODUCT((입력_파견수련계획!$Q$4:$Q$803=TRIM($J272&amp;""))*입력_파견수련계획!$AD$4:$AD$803))&gt;0,"다기관 기간 → 소속병원 지급",IF(AND(N($X272)&lt;=0,$AQ272=""),"파견 없음 → 그 달 근무병원 지급",IF($AH272+$AI272=DAY(EOMONTH(출력_요약!$B$3,0)),"서울 "&amp;$AH272&amp;"일 / 구리 "&amp;$AI272&amp;"일"&amp;IF($AQ272&lt;&gt;""," (구리 근무자명단 반영)","")&amp;" → 15일 이상 근무 병원 지급","타 병원 포함 → "&amp;IF($AJ272="","소속",INDEX(입력_파견수련계획!$T$4:$T$803,$AJ272))&amp;" 규칙"))))</f>
        <v/>
      </c>
      <c r="AP272" s="10">
        <f>IF($B272="","",$C272&amp;"|"&amp;$F272)</f>
        <v/>
      </c>
      <c r="AQ272" s="10">
        <f>IF($B272="","",IFERROR(MATCH(ROW()-1,출력_구리근무자!$K$6:$K$305,0),""))</f>
        <v/>
      </c>
      <c r="AR272" s="10">
        <f>IF($AQ272="","",INDEX(출력_구리근무자!$H$6:$H$305,$AQ272))</f>
        <v/>
      </c>
    </row>
    <row r="273">
      <c r="A273" s="10">
        <f>IF(B273="","",ROW()-1)</f>
        <v/>
      </c>
      <c r="B273" s="19" t="n"/>
      <c r="C273" s="10">
        <f>IF($AB273="","",IF(INDEX(입력_기본자료!$C$2:$C$1001,$AB273)="","",INDEX(입력_기본자료!$C$2:$C$1001,$AB273)))</f>
        <v/>
      </c>
      <c r="D273" s="10">
        <f>IF($AB273="","",IF(INDEX(입력_기본자료!$J$2:$J$1001,$AB273)="","",INDEX(입력_기본자료!$J$2:$J$1001,$AB273)))</f>
        <v/>
      </c>
      <c r="E273" s="11">
        <f>IF($AB273="","",IF(INDEX(입력_기본자료!$K$2:$K$1001,$AB273)="","",IF(NOT(ISNUMBER(INDEX(입력_기본자료!$K$2:$K$1001,$AB273))),INDEX(입력_기본자료!$K$2:$K$1001,$AB273),IF(INDEX(입력_기본자료!$K$2:$K$1001,$AB273)&lt;1000000,INDEX(입력_기본자료!$K$2:$K$1001,$AB273),IF(AND(INDEX(입력_기본자료!$K$2:$K$1001,$AB273)&gt;=10000101,INT(MOD(INDEX(입력_기본자료!$K$2:$K$1001,$AB273),10000)/100)&gt;=1,INT(MOD(INDEX(입력_기본자료!$K$2:$K$1001,$AB273),10000)/100)&lt;=12,MOD(INDEX(입력_기본자료!$K$2:$K$1001,$AB273),100)&gt;=1,MOD(INDEX(입력_기본자료!$K$2:$K$1001,$AB273),100)&lt;=31),DATE(INT(INDEX(입력_기본자료!$K$2:$K$1001,$AB273)/10000),INT(MOD(INDEX(입력_기본자료!$K$2:$K$1001,$AB273),10000)/100),MOD(INDEX(입력_기본자료!$K$2:$K$1001,$AB273),100)),INDEX(입력_기본자료!$K$2:$K$1001,$AB273)&amp;"")))))</f>
        <v/>
      </c>
      <c r="F273" s="10">
        <f>IF($AB273="","",IF(INDEX(입력_기본자료!$D$2:$D$1001,$AB273)="","",INDEX(입력_기본자료!$D$2:$D$1001,$AB273)))</f>
        <v/>
      </c>
      <c r="G273" s="10">
        <f>IF($AB273="","",IF(INDEX(입력_기본자료!$E$2:$E$1001,$AB273)="","",INDEX(입력_기본자료!$E$2:$E$1001,$AB273)))</f>
        <v/>
      </c>
      <c r="H273" s="10">
        <f>IF($AB273="","",IF(INDEX(입력_기본자료!$F$2:$F$1001,$AB273)="","",INDEX(입력_기본자료!$F$2:$F$1001,$AB273)))</f>
        <v/>
      </c>
      <c r="I273" s="11">
        <f>IF($AB273="","",IF(INDEX(입력_기본자료!$G$2:$G$1001,$AB273)="","",IF(NOT(ISNUMBER(INDEX(입력_기본자료!$G$2:$G$1001,$AB273))),INDEX(입력_기본자료!$G$2:$G$1001,$AB273),IF(INDEX(입력_기본자료!$G$2:$G$1001,$AB273)&lt;1000000,INDEX(입력_기본자료!$G$2:$G$1001,$AB273),IF(AND(INDEX(입력_기본자료!$G$2:$G$1001,$AB273)&gt;=10000101,INT(MOD(INDEX(입력_기본자료!$G$2:$G$1001,$AB273),10000)/100)&gt;=1,INT(MOD(INDEX(입력_기본자료!$G$2:$G$1001,$AB273),10000)/100)&lt;=12,MOD(INDEX(입력_기본자료!$G$2:$G$1001,$AB273),100)&gt;=1,MOD(INDEX(입력_기본자료!$G$2:$G$1001,$AB273),100)&lt;=31),DATE(INT(INDEX(입력_기본자료!$G$2:$G$1001,$AB273)/10000),INT(MOD(INDEX(입력_기본자료!$G$2:$G$1001,$AB273),10000)/100),MOD(INDEX(입력_기본자료!$G$2:$G$1001,$AB273),100)),INDEX(입력_기본자료!$G$2:$G$1001,$AB273)&amp;"")))))</f>
        <v/>
      </c>
      <c r="J273" s="10">
        <f>IF($AB273="","",IF(INDEX(입력_기본자료!$H$2:$H$1001,$AB273)="","",INDEX(입력_기본자료!$H$2:$H$1001,$AB273)))</f>
        <v/>
      </c>
      <c r="K273" s="10">
        <f>IF($AB273="","",IF(INDEX(입력_기본자료!$I$2:$I$1001,$AB273)="","",INDEX(입력_기본자료!$I$2:$I$1001,$AB273)))</f>
        <v/>
      </c>
      <c r="L273" s="10">
        <f>IF($AB273="","",IF(INDEX(입력_기본자료!$A$2:$A$1001,$AB273)="","",INDEX(입력_기본자료!$A$2:$A$1001,$AB273)))</f>
        <v/>
      </c>
      <c r="M273" s="15" t="n"/>
      <c r="N273" s="10">
        <f>IF($B273="","",IF(AND($U273="파견중",$Q273&lt;&gt;""),$Q273,IF(AND($AD273&lt;&gt;"",LEFT($AD273,1)&lt;&gt;"⚠"),LEFT($AD273,FIND(" ",$AD273)-1),IF($H273="","",IF(RIGHT($H273,2)="병원",$H273,$H273&amp;"병원")))))</f>
        <v/>
      </c>
      <c r="O273" s="10">
        <f>IF($B273="","",IF(AND($U273="파견중",$Q273&lt;&gt;""),IF($R273&lt;&gt;"",$R273,"파견과 미입력"),IF(AND($AD273&lt;&gt;"",LEFT($AD273,1)&lt;&gt;"⚠"),MID($AD273,FIND(" ",$AD273)+1,60),IF($F273="","",IF($F273="인턴","수련교육부(인턴)",$F273)))))</f>
        <v/>
      </c>
      <c r="P273" s="10">
        <f>IF($B273="","",IF($AK273&lt;&gt;"",IF(AND(TODAY()&gt;=INDEX(입력_파견수련계획!$AB$4:$AB$803,$AK273),OR(NOT(ISNUMBER(INDEX(입력_파견수련계획!$AC$4:$AC$803,$AK273))),TODAY()&lt;=INDEX(입력_파견수련계획!$AC$4:$AC$803,$AK273))),"다기관",IF($AF273="","",INDEX(입력_파견수련계획!$T$4:$T$803,$AF273))),IF($AF273="","",INDEX(입력_파견수련계획!$T$4:$T$803,$AF273))))</f>
        <v/>
      </c>
      <c r="Q273" s="10">
        <f>IF($AF273="","",INDEX(입력_파견수련계획!$S$4:$S$803,$AF273))</f>
        <v/>
      </c>
      <c r="R273" s="10">
        <f>IF($AF273="","",INDEX(입력_파견수련계획!$U$4:$U$803,$AF273))</f>
        <v/>
      </c>
      <c r="S273" s="11">
        <f>IF($AF273="","",IF(INDEX(입력_파견수련계획!$H$4:$H$803,$AF273)="","",INDEX(입력_파견수련계획!$H$4:$H$803,$AF273)))</f>
        <v/>
      </c>
      <c r="T273" s="11">
        <f>IF($AF273="","",IF(INDEX(입력_파견수련계획!$I$4:$I$803,$AF273)="","",INDEX(입력_파견수련계획!$I$4:$I$803,$AF273)))</f>
        <v/>
      </c>
      <c r="U273" s="10">
        <f>IF($AF273="","",INDEX(입력_파견수련계획!$X$4:$X$803,$AF273))</f>
        <v/>
      </c>
      <c r="V273" s="17">
        <f>IF($AF273="","",INDEX(입력_파견수련계획!$V$4:$V$803,$AF273))</f>
        <v/>
      </c>
      <c r="W273" s="17">
        <f>IF(AND($U273="파견중",$T273&lt;&gt;""),$T273-TODAY(),"")</f>
        <v/>
      </c>
      <c r="X273" s="17">
        <f>IF(OR($B273="",TRIM($J273&amp;"")=""),"",SUMPRODUCT((입력_파견수련계획!$Q$4:$Q$803=TRIM($J273&amp;""))*입력_파견수련계획!$W$4:$W$803))</f>
        <v/>
      </c>
      <c r="Y273" s="10">
        <f>IF($B273="","",IF($AG273="","",IF(IF(TRIM($J273&amp;"")="",0,SUMPRODUCT((입력_파견수련계획!$Q$4:$Q$803=TRIM($J273&amp;""))*입력_파견수련계획!$AD$4:$AD$803))&gt;0,$AE273,IF(AND(N($X273)&lt;=0,$AQ273=""),$AG273,IF($AH273+$AI273=DAY(EOMONTH(출력_요약!$B$3,0)),IF(AND($AH273&gt;=출력_요약!$E$3,$AI273&lt;출력_요약!$E$3),"서울병원",IF(AND($AI273&gt;=출력_요약!$E$3,$AH273&lt;출력_요약!$E$3),"구리병원","⚠15일 판정불가(서울 "&amp;$AH273&amp;"일/구리 "&amp;$AI273&amp;"일)")),IF($AJ273="",$AE273,IF(INDEX(입력_파견수련계획!$T$4:$T$803,$AJ273)="통합수련",INDEX(입력_파견수련계획!$S$4:$S$803,$AJ273),$AE273)))))))</f>
        <v/>
      </c>
      <c r="Z273" s="20">
        <f>IF($B273="","",IF($AB273="","기본자료에 없는 사번",IF(COUNTIF($B$2:$B$401,$B273)&gt;1,"중복 사번",IF($AE273="","소속(입사장소) 입력",IF(IF(TRIM($J273&amp;"")="",0,SUMPRODUCT((입력_파견수련계획!$Q$4:$Q$803=TRIM($J273&amp;""))*(입력_파견수련계획!$AA$4:$AA$803&lt;&gt;"")))&gt;0,"파견수련계획 입력오류 확인",IF(LEFT($Y273,1)="⚠","서울·구리 15일 판정 불가(양쪽 모두 이상/미만)",IF(IF($AC273="",0,N(INDEX(입력_인턴근무계획!$T$3:$T$402,$AC273)))&gt;0,"인턴계획 입력오류 확인",IF(AND($AQ273&lt;&gt;"",$AG273&lt;&gt;"구리병원",IF(TRIM($J273&amp;"")="",0,SUMPRODUCT((입력_파견수련계획!$Q$4:$Q$803=TRIM($J273&amp;""))*(입력_파견수련계획!$S$4:$S$803="구리병원")*입력_파견수련계획!$W$4:$W$803))=0),"구리 근무자명단에만 있음(파견수련계획 확인)",IF(AND($AC273&lt;&gt;"",$U273&lt;&gt;"파견중",$N273&lt;&gt;$AE273),"인턴 타지역 근무: 파견 여부 확인","정상")))))))))</f>
        <v/>
      </c>
      <c r="AA273" s="5" t="n"/>
      <c r="AB273" s="10">
        <f>IF($B273="","",IFERROR(MATCH($B273,입력_기본자료!$B$2:$B$1001,0),IFERROR(MATCH($B273&amp;"",입력_기본자료!$B$2:$B$1001,0),IFERROR(MATCH(VALUE($B273),입력_기본자료!$B$2:$B$1001,0),""))))</f>
        <v/>
      </c>
      <c r="AC273" s="10">
        <f>IF($B273="","",IFERROR(MATCH($B273,입력_인턴근무계획!$D$3:$D$402,0),IFERROR(MATCH($B273&amp;"",입력_인턴근무계획!$D$3:$D$402,0),IFERROR(MATCH(VALUE($B273),입력_인턴근무계획!$D$3:$D$402,0),""))))</f>
        <v/>
      </c>
      <c r="AD273" s="10">
        <f>IF(OR($AC273="",출력_인턴현황!$G$3=""),"",INDEX(입력_인턴근무계획!$M$3:$R$402,$AC273,출력_인턴현황!$G$3)&amp;"")</f>
        <v/>
      </c>
      <c r="AE273" s="10">
        <f>IF($B273="","",IF($M273&lt;&gt;"",$M273,IF(IF($AQ273="",FALSE,INDEX(출력_구리근무자!$J$6:$J$305,$AQ273)="구리독자"),"구리병원",IF($AF273&lt;&gt;"",IF(LEFT(INDEX(입력_파견수련계획!$R$4:$R$803,$AF273),1)&lt;&gt;"⚠",INDEX(입력_파견수련계획!$R$4:$R$803,$AF273),IF($H273="","",IF(RIGHT($H273,2)="병원",$H273,$H273&amp;"병원"))),IF($H273="","",IF(RIGHT($H273,2)="병원",$H273,$H273&amp;"병원"))))))</f>
        <v/>
      </c>
      <c r="AF273" s="10">
        <f>IF(OR($B273="",TRIM($J273&amp;"")=""),"",IFERROR(MATCH(TRIM($J273&amp;"")&amp;"|파견중",입력_파견수련계획!$Y$4:$Y$803,0),IFERROR(MATCH(TRIM($J273&amp;"")&amp;"|파견예정",입력_파견수련계획!$Y$4:$Y$803,0),IFERROR(MATCH(TRIM($J273&amp;"")&amp;"|파견종료",입력_파견수련계획!$Y$4:$Y$803,0),""))))</f>
        <v/>
      </c>
      <c r="AG273" s="10">
        <f>IF($B273="","",IF(AND(IF(OR($AC273="",출력_인턴현황!$K$2=""),"",INDEX(입력_인턴근무계획!$M$3:$R$402,$AC273,출력_인턴현황!$K$2)&amp;"")&lt;&gt;"",LEFT(IF(OR($AC273="",출력_인턴현황!$K$2=""),"",INDEX(입력_인턴근무계획!$M$3:$R$402,$AC273,출력_인턴현황!$K$2)&amp;""),1)&lt;&gt;"⚠"),LEFT(IF(OR($AC273="",출력_인턴현황!$K$2=""),"",INDEX(입력_인턴근무계획!$M$3:$R$402,$AC273,출력_인턴현황!$K$2)&amp;""),FIND(" ",IF(OR($AC273="",출력_인턴현황!$K$2=""),"",INDEX(입력_인턴근무계획!$M$3:$R$402,$AC273,출력_인턴현황!$K$2)&amp;""))-1),$AE273))</f>
        <v/>
      </c>
      <c r="AH273" s="17">
        <f>IF($B273="","",IF($AQ273&lt;&gt;"",MAX(0,DAY(EOMONTH(출력_요약!$B$3,0))-N($AR273)),IF(TRIM($J273&amp;"")="",0,SUMPRODUCT((입력_파견수련계획!$Q$4:$Q$803=TRIM($J273&amp;""))*(입력_파견수련계획!$S$4:$S$803="서울병원")*입력_파견수련계획!$W$4:$W$803))+IF($AG273="서울병원",MAX(0,DAY(EOMONTH(출력_요약!$B$3,0))-N($X273)),0)))</f>
        <v/>
      </c>
      <c r="AI273" s="17">
        <f>IF($B273="","",IF($AQ273&lt;&gt;"",N($AR273),IF(TRIM($J273&amp;"")="",0,SUMPRODUCT((입력_파견수련계획!$Q$4:$Q$803=TRIM($J273&amp;""))*(입력_파견수련계획!$S$4:$S$803="구리병원")*입력_파견수련계획!$W$4:$W$803))+IF($AG273="구리병원",MAX(0,DAY(EOMONTH(출력_요약!$B$3,0))-N($X273)),0)))</f>
        <v/>
      </c>
      <c r="AJ273" s="10">
        <f>IF(OR($B273="",TRIM($J273&amp;"")=""),"",IFERROR(MATCH(TRIM($J273&amp;"")&amp;"|월",입력_파견수련계획!$Z$4:$Z$803,0),""))</f>
        <v/>
      </c>
      <c r="AK273" s="10">
        <f>IF(OR($B273="",TRIM($J273&amp;"")=""),"",IFERROR(MATCH(TRIM($J273&amp;"")&amp;"|다기관",입력_파견수련계획!$AE$4:$AE$803,0),""))</f>
        <v/>
      </c>
      <c r="AL273" s="10">
        <f>IF($AK273="","","다기관 "&amp;TEXT(INDEX(입력_파견수련계획!$AB$4:$AB$803,$AK273),"yyyy-mm-dd")&amp;"~"&amp;IF(ISNUMBER(INDEX(입력_파견수련계획!$AC$4:$AC$803,$AK273)),TEXT(INDEX(입력_파견수련계획!$AC$4:$AC$803,$AK273),"yyyy-mm-dd"),""))</f>
        <v/>
      </c>
      <c r="AM273" s="10">
        <f>IF($Y273="서울병원",COUNTIF($Y$2:$Y273,"서울병원"),"")</f>
        <v/>
      </c>
      <c r="AN273" s="10">
        <f>IF(LEFT($Y273,1)="⚠",COUNTIF($Y$2:$Y273,"⚠*"),"")</f>
        <v/>
      </c>
      <c r="AO273" s="10">
        <f>IF(OR($B273="",$Y273=""),"",IF(IF(TRIM($J273&amp;"")="",0,SUMPRODUCT((입력_파견수련계획!$Q$4:$Q$803=TRIM($J273&amp;""))*입력_파견수련계획!$AD$4:$AD$803))&gt;0,"다기관 기간 → 소속병원 지급",IF(AND(N($X273)&lt;=0,$AQ273=""),"파견 없음 → 그 달 근무병원 지급",IF($AH273+$AI273=DAY(EOMONTH(출력_요약!$B$3,0)),"서울 "&amp;$AH273&amp;"일 / 구리 "&amp;$AI273&amp;"일"&amp;IF($AQ273&lt;&gt;""," (구리 근무자명단 반영)","")&amp;" → 15일 이상 근무 병원 지급","타 병원 포함 → "&amp;IF($AJ273="","소속",INDEX(입력_파견수련계획!$T$4:$T$803,$AJ273))&amp;" 규칙"))))</f>
        <v/>
      </c>
      <c r="AP273" s="10">
        <f>IF($B273="","",$C273&amp;"|"&amp;$F273)</f>
        <v/>
      </c>
      <c r="AQ273" s="10">
        <f>IF($B273="","",IFERROR(MATCH(ROW()-1,출력_구리근무자!$K$6:$K$305,0),""))</f>
        <v/>
      </c>
      <c r="AR273" s="10">
        <f>IF($AQ273="","",INDEX(출력_구리근무자!$H$6:$H$305,$AQ273))</f>
        <v/>
      </c>
    </row>
    <row r="274">
      <c r="A274" s="10">
        <f>IF(B274="","",ROW()-1)</f>
        <v/>
      </c>
      <c r="B274" s="19" t="n"/>
      <c r="C274" s="10">
        <f>IF($AB274="","",IF(INDEX(입력_기본자료!$C$2:$C$1001,$AB274)="","",INDEX(입력_기본자료!$C$2:$C$1001,$AB274)))</f>
        <v/>
      </c>
      <c r="D274" s="10">
        <f>IF($AB274="","",IF(INDEX(입력_기본자료!$J$2:$J$1001,$AB274)="","",INDEX(입력_기본자료!$J$2:$J$1001,$AB274)))</f>
        <v/>
      </c>
      <c r="E274" s="11">
        <f>IF($AB274="","",IF(INDEX(입력_기본자료!$K$2:$K$1001,$AB274)="","",IF(NOT(ISNUMBER(INDEX(입력_기본자료!$K$2:$K$1001,$AB274))),INDEX(입력_기본자료!$K$2:$K$1001,$AB274),IF(INDEX(입력_기본자료!$K$2:$K$1001,$AB274)&lt;1000000,INDEX(입력_기본자료!$K$2:$K$1001,$AB274),IF(AND(INDEX(입력_기본자료!$K$2:$K$1001,$AB274)&gt;=10000101,INT(MOD(INDEX(입력_기본자료!$K$2:$K$1001,$AB274),10000)/100)&gt;=1,INT(MOD(INDEX(입력_기본자료!$K$2:$K$1001,$AB274),10000)/100)&lt;=12,MOD(INDEX(입력_기본자료!$K$2:$K$1001,$AB274),100)&gt;=1,MOD(INDEX(입력_기본자료!$K$2:$K$1001,$AB274),100)&lt;=31),DATE(INT(INDEX(입력_기본자료!$K$2:$K$1001,$AB274)/10000),INT(MOD(INDEX(입력_기본자료!$K$2:$K$1001,$AB274),10000)/100),MOD(INDEX(입력_기본자료!$K$2:$K$1001,$AB274),100)),INDEX(입력_기본자료!$K$2:$K$1001,$AB274)&amp;"")))))</f>
        <v/>
      </c>
      <c r="F274" s="10">
        <f>IF($AB274="","",IF(INDEX(입력_기본자료!$D$2:$D$1001,$AB274)="","",INDEX(입력_기본자료!$D$2:$D$1001,$AB274)))</f>
        <v/>
      </c>
      <c r="G274" s="10">
        <f>IF($AB274="","",IF(INDEX(입력_기본자료!$E$2:$E$1001,$AB274)="","",INDEX(입력_기본자료!$E$2:$E$1001,$AB274)))</f>
        <v/>
      </c>
      <c r="H274" s="10">
        <f>IF($AB274="","",IF(INDEX(입력_기본자료!$F$2:$F$1001,$AB274)="","",INDEX(입력_기본자료!$F$2:$F$1001,$AB274)))</f>
        <v/>
      </c>
      <c r="I274" s="11">
        <f>IF($AB274="","",IF(INDEX(입력_기본자료!$G$2:$G$1001,$AB274)="","",IF(NOT(ISNUMBER(INDEX(입력_기본자료!$G$2:$G$1001,$AB274))),INDEX(입력_기본자료!$G$2:$G$1001,$AB274),IF(INDEX(입력_기본자료!$G$2:$G$1001,$AB274)&lt;1000000,INDEX(입력_기본자료!$G$2:$G$1001,$AB274),IF(AND(INDEX(입력_기본자료!$G$2:$G$1001,$AB274)&gt;=10000101,INT(MOD(INDEX(입력_기본자료!$G$2:$G$1001,$AB274),10000)/100)&gt;=1,INT(MOD(INDEX(입력_기본자료!$G$2:$G$1001,$AB274),10000)/100)&lt;=12,MOD(INDEX(입력_기본자료!$G$2:$G$1001,$AB274),100)&gt;=1,MOD(INDEX(입력_기본자료!$G$2:$G$1001,$AB274),100)&lt;=31),DATE(INT(INDEX(입력_기본자료!$G$2:$G$1001,$AB274)/10000),INT(MOD(INDEX(입력_기본자료!$G$2:$G$1001,$AB274),10000)/100),MOD(INDEX(입력_기본자료!$G$2:$G$1001,$AB274),100)),INDEX(입력_기본자료!$G$2:$G$1001,$AB274)&amp;"")))))</f>
        <v/>
      </c>
      <c r="J274" s="10">
        <f>IF($AB274="","",IF(INDEX(입력_기본자료!$H$2:$H$1001,$AB274)="","",INDEX(입력_기본자료!$H$2:$H$1001,$AB274)))</f>
        <v/>
      </c>
      <c r="K274" s="10">
        <f>IF($AB274="","",IF(INDEX(입력_기본자료!$I$2:$I$1001,$AB274)="","",INDEX(입력_기본자료!$I$2:$I$1001,$AB274)))</f>
        <v/>
      </c>
      <c r="L274" s="10">
        <f>IF($AB274="","",IF(INDEX(입력_기본자료!$A$2:$A$1001,$AB274)="","",INDEX(입력_기본자료!$A$2:$A$1001,$AB274)))</f>
        <v/>
      </c>
      <c r="M274" s="15" t="n"/>
      <c r="N274" s="10">
        <f>IF($B274="","",IF(AND($U274="파견중",$Q274&lt;&gt;""),$Q274,IF(AND($AD274&lt;&gt;"",LEFT($AD274,1)&lt;&gt;"⚠"),LEFT($AD274,FIND(" ",$AD274)-1),IF($H274="","",IF(RIGHT($H274,2)="병원",$H274,$H274&amp;"병원")))))</f>
        <v/>
      </c>
      <c r="O274" s="10">
        <f>IF($B274="","",IF(AND($U274="파견중",$Q274&lt;&gt;""),IF($R274&lt;&gt;"",$R274,"파견과 미입력"),IF(AND($AD274&lt;&gt;"",LEFT($AD274,1)&lt;&gt;"⚠"),MID($AD274,FIND(" ",$AD274)+1,60),IF($F274="","",IF($F274="인턴","수련교육부(인턴)",$F274)))))</f>
        <v/>
      </c>
      <c r="P274" s="10">
        <f>IF($B274="","",IF($AK274&lt;&gt;"",IF(AND(TODAY()&gt;=INDEX(입력_파견수련계획!$AB$4:$AB$803,$AK274),OR(NOT(ISNUMBER(INDEX(입력_파견수련계획!$AC$4:$AC$803,$AK274))),TODAY()&lt;=INDEX(입력_파견수련계획!$AC$4:$AC$803,$AK274))),"다기관",IF($AF274="","",INDEX(입력_파견수련계획!$T$4:$T$803,$AF274))),IF($AF274="","",INDEX(입력_파견수련계획!$T$4:$T$803,$AF274))))</f>
        <v/>
      </c>
      <c r="Q274" s="10">
        <f>IF($AF274="","",INDEX(입력_파견수련계획!$S$4:$S$803,$AF274))</f>
        <v/>
      </c>
      <c r="R274" s="10">
        <f>IF($AF274="","",INDEX(입력_파견수련계획!$U$4:$U$803,$AF274))</f>
        <v/>
      </c>
      <c r="S274" s="11">
        <f>IF($AF274="","",IF(INDEX(입력_파견수련계획!$H$4:$H$803,$AF274)="","",INDEX(입력_파견수련계획!$H$4:$H$803,$AF274)))</f>
        <v/>
      </c>
      <c r="T274" s="11">
        <f>IF($AF274="","",IF(INDEX(입력_파견수련계획!$I$4:$I$803,$AF274)="","",INDEX(입력_파견수련계획!$I$4:$I$803,$AF274)))</f>
        <v/>
      </c>
      <c r="U274" s="10">
        <f>IF($AF274="","",INDEX(입력_파견수련계획!$X$4:$X$803,$AF274))</f>
        <v/>
      </c>
      <c r="V274" s="17">
        <f>IF($AF274="","",INDEX(입력_파견수련계획!$V$4:$V$803,$AF274))</f>
        <v/>
      </c>
      <c r="W274" s="17">
        <f>IF(AND($U274="파견중",$T274&lt;&gt;""),$T274-TODAY(),"")</f>
        <v/>
      </c>
      <c r="X274" s="17">
        <f>IF(OR($B274="",TRIM($J274&amp;"")=""),"",SUMPRODUCT((입력_파견수련계획!$Q$4:$Q$803=TRIM($J274&amp;""))*입력_파견수련계획!$W$4:$W$803))</f>
        <v/>
      </c>
      <c r="Y274" s="10">
        <f>IF($B274="","",IF($AG274="","",IF(IF(TRIM($J274&amp;"")="",0,SUMPRODUCT((입력_파견수련계획!$Q$4:$Q$803=TRIM($J274&amp;""))*입력_파견수련계획!$AD$4:$AD$803))&gt;0,$AE274,IF(AND(N($X274)&lt;=0,$AQ274=""),$AG274,IF($AH274+$AI274=DAY(EOMONTH(출력_요약!$B$3,0)),IF(AND($AH274&gt;=출력_요약!$E$3,$AI274&lt;출력_요약!$E$3),"서울병원",IF(AND($AI274&gt;=출력_요약!$E$3,$AH274&lt;출력_요약!$E$3),"구리병원","⚠15일 판정불가(서울 "&amp;$AH274&amp;"일/구리 "&amp;$AI274&amp;"일)")),IF($AJ274="",$AE274,IF(INDEX(입력_파견수련계획!$T$4:$T$803,$AJ274)="통합수련",INDEX(입력_파견수련계획!$S$4:$S$803,$AJ274),$AE274)))))))</f>
        <v/>
      </c>
      <c r="Z274" s="20">
        <f>IF($B274="","",IF($AB274="","기본자료에 없는 사번",IF(COUNTIF($B$2:$B$401,$B274)&gt;1,"중복 사번",IF($AE274="","소속(입사장소) 입력",IF(IF(TRIM($J274&amp;"")="",0,SUMPRODUCT((입력_파견수련계획!$Q$4:$Q$803=TRIM($J274&amp;""))*(입력_파견수련계획!$AA$4:$AA$803&lt;&gt;"")))&gt;0,"파견수련계획 입력오류 확인",IF(LEFT($Y274,1)="⚠","서울·구리 15일 판정 불가(양쪽 모두 이상/미만)",IF(IF($AC274="",0,N(INDEX(입력_인턴근무계획!$T$3:$T$402,$AC274)))&gt;0,"인턴계획 입력오류 확인",IF(AND($AQ274&lt;&gt;"",$AG274&lt;&gt;"구리병원",IF(TRIM($J274&amp;"")="",0,SUMPRODUCT((입력_파견수련계획!$Q$4:$Q$803=TRIM($J274&amp;""))*(입력_파견수련계획!$S$4:$S$803="구리병원")*입력_파견수련계획!$W$4:$W$803))=0),"구리 근무자명단에만 있음(파견수련계획 확인)",IF(AND($AC274&lt;&gt;"",$U274&lt;&gt;"파견중",$N274&lt;&gt;$AE274),"인턴 타지역 근무: 파견 여부 확인","정상")))))))))</f>
        <v/>
      </c>
      <c r="AA274" s="5" t="n"/>
      <c r="AB274" s="10">
        <f>IF($B274="","",IFERROR(MATCH($B274,입력_기본자료!$B$2:$B$1001,0),IFERROR(MATCH($B274&amp;"",입력_기본자료!$B$2:$B$1001,0),IFERROR(MATCH(VALUE($B274),입력_기본자료!$B$2:$B$1001,0),""))))</f>
        <v/>
      </c>
      <c r="AC274" s="10">
        <f>IF($B274="","",IFERROR(MATCH($B274,입력_인턴근무계획!$D$3:$D$402,0),IFERROR(MATCH($B274&amp;"",입력_인턴근무계획!$D$3:$D$402,0),IFERROR(MATCH(VALUE($B274),입력_인턴근무계획!$D$3:$D$402,0),""))))</f>
        <v/>
      </c>
      <c r="AD274" s="10">
        <f>IF(OR($AC274="",출력_인턴현황!$G$3=""),"",INDEX(입력_인턴근무계획!$M$3:$R$402,$AC274,출력_인턴현황!$G$3)&amp;"")</f>
        <v/>
      </c>
      <c r="AE274" s="10">
        <f>IF($B274="","",IF($M274&lt;&gt;"",$M274,IF(IF($AQ274="",FALSE,INDEX(출력_구리근무자!$J$6:$J$305,$AQ274)="구리독자"),"구리병원",IF($AF274&lt;&gt;"",IF(LEFT(INDEX(입력_파견수련계획!$R$4:$R$803,$AF274),1)&lt;&gt;"⚠",INDEX(입력_파견수련계획!$R$4:$R$803,$AF274),IF($H274="","",IF(RIGHT($H274,2)="병원",$H274,$H274&amp;"병원"))),IF($H274="","",IF(RIGHT($H274,2)="병원",$H274,$H274&amp;"병원"))))))</f>
        <v/>
      </c>
      <c r="AF274" s="10">
        <f>IF(OR($B274="",TRIM($J274&amp;"")=""),"",IFERROR(MATCH(TRIM($J274&amp;"")&amp;"|파견중",입력_파견수련계획!$Y$4:$Y$803,0),IFERROR(MATCH(TRIM($J274&amp;"")&amp;"|파견예정",입력_파견수련계획!$Y$4:$Y$803,0),IFERROR(MATCH(TRIM($J274&amp;"")&amp;"|파견종료",입력_파견수련계획!$Y$4:$Y$803,0),""))))</f>
        <v/>
      </c>
      <c r="AG274" s="10">
        <f>IF($B274="","",IF(AND(IF(OR($AC274="",출력_인턴현황!$K$2=""),"",INDEX(입력_인턴근무계획!$M$3:$R$402,$AC274,출력_인턴현황!$K$2)&amp;"")&lt;&gt;"",LEFT(IF(OR($AC274="",출력_인턴현황!$K$2=""),"",INDEX(입력_인턴근무계획!$M$3:$R$402,$AC274,출력_인턴현황!$K$2)&amp;""),1)&lt;&gt;"⚠"),LEFT(IF(OR($AC274="",출력_인턴현황!$K$2=""),"",INDEX(입력_인턴근무계획!$M$3:$R$402,$AC274,출력_인턴현황!$K$2)&amp;""),FIND(" ",IF(OR($AC274="",출력_인턴현황!$K$2=""),"",INDEX(입력_인턴근무계획!$M$3:$R$402,$AC274,출력_인턴현황!$K$2)&amp;""))-1),$AE274))</f>
        <v/>
      </c>
      <c r="AH274" s="17">
        <f>IF($B274="","",IF($AQ274&lt;&gt;"",MAX(0,DAY(EOMONTH(출력_요약!$B$3,0))-N($AR274)),IF(TRIM($J274&amp;"")="",0,SUMPRODUCT((입력_파견수련계획!$Q$4:$Q$803=TRIM($J274&amp;""))*(입력_파견수련계획!$S$4:$S$803="서울병원")*입력_파견수련계획!$W$4:$W$803))+IF($AG274="서울병원",MAX(0,DAY(EOMONTH(출력_요약!$B$3,0))-N($X274)),0)))</f>
        <v/>
      </c>
      <c r="AI274" s="17">
        <f>IF($B274="","",IF($AQ274&lt;&gt;"",N($AR274),IF(TRIM($J274&amp;"")="",0,SUMPRODUCT((입력_파견수련계획!$Q$4:$Q$803=TRIM($J274&amp;""))*(입력_파견수련계획!$S$4:$S$803="구리병원")*입력_파견수련계획!$W$4:$W$803))+IF($AG274="구리병원",MAX(0,DAY(EOMONTH(출력_요약!$B$3,0))-N($X274)),0)))</f>
        <v/>
      </c>
      <c r="AJ274" s="10">
        <f>IF(OR($B274="",TRIM($J274&amp;"")=""),"",IFERROR(MATCH(TRIM($J274&amp;"")&amp;"|월",입력_파견수련계획!$Z$4:$Z$803,0),""))</f>
        <v/>
      </c>
      <c r="AK274" s="10">
        <f>IF(OR($B274="",TRIM($J274&amp;"")=""),"",IFERROR(MATCH(TRIM($J274&amp;"")&amp;"|다기관",입력_파견수련계획!$AE$4:$AE$803,0),""))</f>
        <v/>
      </c>
      <c r="AL274" s="10">
        <f>IF($AK274="","","다기관 "&amp;TEXT(INDEX(입력_파견수련계획!$AB$4:$AB$803,$AK274),"yyyy-mm-dd")&amp;"~"&amp;IF(ISNUMBER(INDEX(입력_파견수련계획!$AC$4:$AC$803,$AK274)),TEXT(INDEX(입력_파견수련계획!$AC$4:$AC$803,$AK274),"yyyy-mm-dd"),""))</f>
        <v/>
      </c>
      <c r="AM274" s="10">
        <f>IF($Y274="서울병원",COUNTIF($Y$2:$Y274,"서울병원"),"")</f>
        <v/>
      </c>
      <c r="AN274" s="10">
        <f>IF(LEFT($Y274,1)="⚠",COUNTIF($Y$2:$Y274,"⚠*"),"")</f>
        <v/>
      </c>
      <c r="AO274" s="10">
        <f>IF(OR($B274="",$Y274=""),"",IF(IF(TRIM($J274&amp;"")="",0,SUMPRODUCT((입력_파견수련계획!$Q$4:$Q$803=TRIM($J274&amp;""))*입력_파견수련계획!$AD$4:$AD$803))&gt;0,"다기관 기간 → 소속병원 지급",IF(AND(N($X274)&lt;=0,$AQ274=""),"파견 없음 → 그 달 근무병원 지급",IF($AH274+$AI274=DAY(EOMONTH(출력_요약!$B$3,0)),"서울 "&amp;$AH274&amp;"일 / 구리 "&amp;$AI274&amp;"일"&amp;IF($AQ274&lt;&gt;""," (구리 근무자명단 반영)","")&amp;" → 15일 이상 근무 병원 지급","타 병원 포함 → "&amp;IF($AJ274="","소속",INDEX(입력_파견수련계획!$T$4:$T$803,$AJ274))&amp;" 규칙"))))</f>
        <v/>
      </c>
      <c r="AP274" s="10">
        <f>IF($B274="","",$C274&amp;"|"&amp;$F274)</f>
        <v/>
      </c>
      <c r="AQ274" s="10">
        <f>IF($B274="","",IFERROR(MATCH(ROW()-1,출력_구리근무자!$K$6:$K$305,0),""))</f>
        <v/>
      </c>
      <c r="AR274" s="10">
        <f>IF($AQ274="","",INDEX(출력_구리근무자!$H$6:$H$305,$AQ274))</f>
        <v/>
      </c>
    </row>
    <row r="275">
      <c r="A275" s="10">
        <f>IF(B275="","",ROW()-1)</f>
        <v/>
      </c>
      <c r="B275" s="19" t="n"/>
      <c r="C275" s="10">
        <f>IF($AB275="","",IF(INDEX(입력_기본자료!$C$2:$C$1001,$AB275)="","",INDEX(입력_기본자료!$C$2:$C$1001,$AB275)))</f>
        <v/>
      </c>
      <c r="D275" s="10">
        <f>IF($AB275="","",IF(INDEX(입력_기본자료!$J$2:$J$1001,$AB275)="","",INDEX(입력_기본자료!$J$2:$J$1001,$AB275)))</f>
        <v/>
      </c>
      <c r="E275" s="11">
        <f>IF($AB275="","",IF(INDEX(입력_기본자료!$K$2:$K$1001,$AB275)="","",IF(NOT(ISNUMBER(INDEX(입력_기본자료!$K$2:$K$1001,$AB275))),INDEX(입력_기본자료!$K$2:$K$1001,$AB275),IF(INDEX(입력_기본자료!$K$2:$K$1001,$AB275)&lt;1000000,INDEX(입력_기본자료!$K$2:$K$1001,$AB275),IF(AND(INDEX(입력_기본자료!$K$2:$K$1001,$AB275)&gt;=10000101,INT(MOD(INDEX(입력_기본자료!$K$2:$K$1001,$AB275),10000)/100)&gt;=1,INT(MOD(INDEX(입력_기본자료!$K$2:$K$1001,$AB275),10000)/100)&lt;=12,MOD(INDEX(입력_기본자료!$K$2:$K$1001,$AB275),100)&gt;=1,MOD(INDEX(입력_기본자료!$K$2:$K$1001,$AB275),100)&lt;=31),DATE(INT(INDEX(입력_기본자료!$K$2:$K$1001,$AB275)/10000),INT(MOD(INDEX(입력_기본자료!$K$2:$K$1001,$AB275),10000)/100),MOD(INDEX(입력_기본자료!$K$2:$K$1001,$AB275),100)),INDEX(입력_기본자료!$K$2:$K$1001,$AB275)&amp;"")))))</f>
        <v/>
      </c>
      <c r="F275" s="10">
        <f>IF($AB275="","",IF(INDEX(입력_기본자료!$D$2:$D$1001,$AB275)="","",INDEX(입력_기본자료!$D$2:$D$1001,$AB275)))</f>
        <v/>
      </c>
      <c r="G275" s="10">
        <f>IF($AB275="","",IF(INDEX(입력_기본자료!$E$2:$E$1001,$AB275)="","",INDEX(입력_기본자료!$E$2:$E$1001,$AB275)))</f>
        <v/>
      </c>
      <c r="H275" s="10">
        <f>IF($AB275="","",IF(INDEX(입력_기본자료!$F$2:$F$1001,$AB275)="","",INDEX(입력_기본자료!$F$2:$F$1001,$AB275)))</f>
        <v/>
      </c>
      <c r="I275" s="11">
        <f>IF($AB275="","",IF(INDEX(입력_기본자료!$G$2:$G$1001,$AB275)="","",IF(NOT(ISNUMBER(INDEX(입력_기본자료!$G$2:$G$1001,$AB275))),INDEX(입력_기본자료!$G$2:$G$1001,$AB275),IF(INDEX(입력_기본자료!$G$2:$G$1001,$AB275)&lt;1000000,INDEX(입력_기본자료!$G$2:$G$1001,$AB275),IF(AND(INDEX(입력_기본자료!$G$2:$G$1001,$AB275)&gt;=10000101,INT(MOD(INDEX(입력_기본자료!$G$2:$G$1001,$AB275),10000)/100)&gt;=1,INT(MOD(INDEX(입력_기본자료!$G$2:$G$1001,$AB275),10000)/100)&lt;=12,MOD(INDEX(입력_기본자료!$G$2:$G$1001,$AB275),100)&gt;=1,MOD(INDEX(입력_기본자료!$G$2:$G$1001,$AB275),100)&lt;=31),DATE(INT(INDEX(입력_기본자료!$G$2:$G$1001,$AB275)/10000),INT(MOD(INDEX(입력_기본자료!$G$2:$G$1001,$AB275),10000)/100),MOD(INDEX(입력_기본자료!$G$2:$G$1001,$AB275),100)),INDEX(입력_기본자료!$G$2:$G$1001,$AB275)&amp;"")))))</f>
        <v/>
      </c>
      <c r="J275" s="10">
        <f>IF($AB275="","",IF(INDEX(입력_기본자료!$H$2:$H$1001,$AB275)="","",INDEX(입력_기본자료!$H$2:$H$1001,$AB275)))</f>
        <v/>
      </c>
      <c r="K275" s="10">
        <f>IF($AB275="","",IF(INDEX(입력_기본자료!$I$2:$I$1001,$AB275)="","",INDEX(입력_기본자료!$I$2:$I$1001,$AB275)))</f>
        <v/>
      </c>
      <c r="L275" s="10">
        <f>IF($AB275="","",IF(INDEX(입력_기본자료!$A$2:$A$1001,$AB275)="","",INDEX(입력_기본자료!$A$2:$A$1001,$AB275)))</f>
        <v/>
      </c>
      <c r="M275" s="15" t="n"/>
      <c r="N275" s="10">
        <f>IF($B275="","",IF(AND($U275="파견중",$Q275&lt;&gt;""),$Q275,IF(AND($AD275&lt;&gt;"",LEFT($AD275,1)&lt;&gt;"⚠"),LEFT($AD275,FIND(" ",$AD275)-1),IF($H275="","",IF(RIGHT($H275,2)="병원",$H275,$H275&amp;"병원")))))</f>
        <v/>
      </c>
      <c r="O275" s="10">
        <f>IF($B275="","",IF(AND($U275="파견중",$Q275&lt;&gt;""),IF($R275&lt;&gt;"",$R275,"파견과 미입력"),IF(AND($AD275&lt;&gt;"",LEFT($AD275,1)&lt;&gt;"⚠"),MID($AD275,FIND(" ",$AD275)+1,60),IF($F275="","",IF($F275="인턴","수련교육부(인턴)",$F275)))))</f>
        <v/>
      </c>
      <c r="P275" s="10">
        <f>IF($B275="","",IF($AK275&lt;&gt;"",IF(AND(TODAY()&gt;=INDEX(입력_파견수련계획!$AB$4:$AB$803,$AK275),OR(NOT(ISNUMBER(INDEX(입력_파견수련계획!$AC$4:$AC$803,$AK275))),TODAY()&lt;=INDEX(입력_파견수련계획!$AC$4:$AC$803,$AK275))),"다기관",IF($AF275="","",INDEX(입력_파견수련계획!$T$4:$T$803,$AF275))),IF($AF275="","",INDEX(입력_파견수련계획!$T$4:$T$803,$AF275))))</f>
        <v/>
      </c>
      <c r="Q275" s="10">
        <f>IF($AF275="","",INDEX(입력_파견수련계획!$S$4:$S$803,$AF275))</f>
        <v/>
      </c>
      <c r="R275" s="10">
        <f>IF($AF275="","",INDEX(입력_파견수련계획!$U$4:$U$803,$AF275))</f>
        <v/>
      </c>
      <c r="S275" s="11">
        <f>IF($AF275="","",IF(INDEX(입력_파견수련계획!$H$4:$H$803,$AF275)="","",INDEX(입력_파견수련계획!$H$4:$H$803,$AF275)))</f>
        <v/>
      </c>
      <c r="T275" s="11">
        <f>IF($AF275="","",IF(INDEX(입력_파견수련계획!$I$4:$I$803,$AF275)="","",INDEX(입력_파견수련계획!$I$4:$I$803,$AF275)))</f>
        <v/>
      </c>
      <c r="U275" s="10">
        <f>IF($AF275="","",INDEX(입력_파견수련계획!$X$4:$X$803,$AF275))</f>
        <v/>
      </c>
      <c r="V275" s="17">
        <f>IF($AF275="","",INDEX(입력_파견수련계획!$V$4:$V$803,$AF275))</f>
        <v/>
      </c>
      <c r="W275" s="17">
        <f>IF(AND($U275="파견중",$T275&lt;&gt;""),$T275-TODAY(),"")</f>
        <v/>
      </c>
      <c r="X275" s="17">
        <f>IF(OR($B275="",TRIM($J275&amp;"")=""),"",SUMPRODUCT((입력_파견수련계획!$Q$4:$Q$803=TRIM($J275&amp;""))*입력_파견수련계획!$W$4:$W$803))</f>
        <v/>
      </c>
      <c r="Y275" s="10">
        <f>IF($B275="","",IF($AG275="","",IF(IF(TRIM($J275&amp;"")="",0,SUMPRODUCT((입력_파견수련계획!$Q$4:$Q$803=TRIM($J275&amp;""))*입력_파견수련계획!$AD$4:$AD$803))&gt;0,$AE275,IF(AND(N($X275)&lt;=0,$AQ275=""),$AG275,IF($AH275+$AI275=DAY(EOMONTH(출력_요약!$B$3,0)),IF(AND($AH275&gt;=출력_요약!$E$3,$AI275&lt;출력_요약!$E$3),"서울병원",IF(AND($AI275&gt;=출력_요약!$E$3,$AH275&lt;출력_요약!$E$3),"구리병원","⚠15일 판정불가(서울 "&amp;$AH275&amp;"일/구리 "&amp;$AI275&amp;"일)")),IF($AJ275="",$AE275,IF(INDEX(입력_파견수련계획!$T$4:$T$803,$AJ275)="통합수련",INDEX(입력_파견수련계획!$S$4:$S$803,$AJ275),$AE275)))))))</f>
        <v/>
      </c>
      <c r="Z275" s="20">
        <f>IF($B275="","",IF($AB275="","기본자료에 없는 사번",IF(COUNTIF($B$2:$B$401,$B275)&gt;1,"중복 사번",IF($AE275="","소속(입사장소) 입력",IF(IF(TRIM($J275&amp;"")="",0,SUMPRODUCT((입력_파견수련계획!$Q$4:$Q$803=TRIM($J275&amp;""))*(입력_파견수련계획!$AA$4:$AA$803&lt;&gt;"")))&gt;0,"파견수련계획 입력오류 확인",IF(LEFT($Y275,1)="⚠","서울·구리 15일 판정 불가(양쪽 모두 이상/미만)",IF(IF($AC275="",0,N(INDEX(입력_인턴근무계획!$T$3:$T$402,$AC275)))&gt;0,"인턴계획 입력오류 확인",IF(AND($AQ275&lt;&gt;"",$AG275&lt;&gt;"구리병원",IF(TRIM($J275&amp;"")="",0,SUMPRODUCT((입력_파견수련계획!$Q$4:$Q$803=TRIM($J275&amp;""))*(입력_파견수련계획!$S$4:$S$803="구리병원")*입력_파견수련계획!$W$4:$W$803))=0),"구리 근무자명단에만 있음(파견수련계획 확인)",IF(AND($AC275&lt;&gt;"",$U275&lt;&gt;"파견중",$N275&lt;&gt;$AE275),"인턴 타지역 근무: 파견 여부 확인","정상")))))))))</f>
        <v/>
      </c>
      <c r="AA275" s="5" t="n"/>
      <c r="AB275" s="10">
        <f>IF($B275="","",IFERROR(MATCH($B275,입력_기본자료!$B$2:$B$1001,0),IFERROR(MATCH($B275&amp;"",입력_기본자료!$B$2:$B$1001,0),IFERROR(MATCH(VALUE($B275),입력_기본자료!$B$2:$B$1001,0),""))))</f>
        <v/>
      </c>
      <c r="AC275" s="10">
        <f>IF($B275="","",IFERROR(MATCH($B275,입력_인턴근무계획!$D$3:$D$402,0),IFERROR(MATCH($B275&amp;"",입력_인턴근무계획!$D$3:$D$402,0),IFERROR(MATCH(VALUE($B275),입력_인턴근무계획!$D$3:$D$402,0),""))))</f>
        <v/>
      </c>
      <c r="AD275" s="10">
        <f>IF(OR($AC275="",출력_인턴현황!$G$3=""),"",INDEX(입력_인턴근무계획!$M$3:$R$402,$AC275,출력_인턴현황!$G$3)&amp;"")</f>
        <v/>
      </c>
      <c r="AE275" s="10">
        <f>IF($B275="","",IF($M275&lt;&gt;"",$M275,IF(IF($AQ275="",FALSE,INDEX(출력_구리근무자!$J$6:$J$305,$AQ275)="구리독자"),"구리병원",IF($AF275&lt;&gt;"",IF(LEFT(INDEX(입력_파견수련계획!$R$4:$R$803,$AF275),1)&lt;&gt;"⚠",INDEX(입력_파견수련계획!$R$4:$R$803,$AF275),IF($H275="","",IF(RIGHT($H275,2)="병원",$H275,$H275&amp;"병원"))),IF($H275="","",IF(RIGHT($H275,2)="병원",$H275,$H275&amp;"병원"))))))</f>
        <v/>
      </c>
      <c r="AF275" s="10">
        <f>IF(OR($B275="",TRIM($J275&amp;"")=""),"",IFERROR(MATCH(TRIM($J275&amp;"")&amp;"|파견중",입력_파견수련계획!$Y$4:$Y$803,0),IFERROR(MATCH(TRIM($J275&amp;"")&amp;"|파견예정",입력_파견수련계획!$Y$4:$Y$803,0),IFERROR(MATCH(TRIM($J275&amp;"")&amp;"|파견종료",입력_파견수련계획!$Y$4:$Y$803,0),""))))</f>
        <v/>
      </c>
      <c r="AG275" s="10">
        <f>IF($B275="","",IF(AND(IF(OR($AC275="",출력_인턴현황!$K$2=""),"",INDEX(입력_인턴근무계획!$M$3:$R$402,$AC275,출력_인턴현황!$K$2)&amp;"")&lt;&gt;"",LEFT(IF(OR($AC275="",출력_인턴현황!$K$2=""),"",INDEX(입력_인턴근무계획!$M$3:$R$402,$AC275,출력_인턴현황!$K$2)&amp;""),1)&lt;&gt;"⚠"),LEFT(IF(OR($AC275="",출력_인턴현황!$K$2=""),"",INDEX(입력_인턴근무계획!$M$3:$R$402,$AC275,출력_인턴현황!$K$2)&amp;""),FIND(" ",IF(OR($AC275="",출력_인턴현황!$K$2=""),"",INDEX(입력_인턴근무계획!$M$3:$R$402,$AC275,출력_인턴현황!$K$2)&amp;""))-1),$AE275))</f>
        <v/>
      </c>
      <c r="AH275" s="17">
        <f>IF($B275="","",IF($AQ275&lt;&gt;"",MAX(0,DAY(EOMONTH(출력_요약!$B$3,0))-N($AR275)),IF(TRIM($J275&amp;"")="",0,SUMPRODUCT((입력_파견수련계획!$Q$4:$Q$803=TRIM($J275&amp;""))*(입력_파견수련계획!$S$4:$S$803="서울병원")*입력_파견수련계획!$W$4:$W$803))+IF($AG275="서울병원",MAX(0,DAY(EOMONTH(출력_요약!$B$3,0))-N($X275)),0)))</f>
        <v/>
      </c>
      <c r="AI275" s="17">
        <f>IF($B275="","",IF($AQ275&lt;&gt;"",N($AR275),IF(TRIM($J275&amp;"")="",0,SUMPRODUCT((입력_파견수련계획!$Q$4:$Q$803=TRIM($J275&amp;""))*(입력_파견수련계획!$S$4:$S$803="구리병원")*입력_파견수련계획!$W$4:$W$803))+IF($AG275="구리병원",MAX(0,DAY(EOMONTH(출력_요약!$B$3,0))-N($X275)),0)))</f>
        <v/>
      </c>
      <c r="AJ275" s="10">
        <f>IF(OR($B275="",TRIM($J275&amp;"")=""),"",IFERROR(MATCH(TRIM($J275&amp;"")&amp;"|월",입력_파견수련계획!$Z$4:$Z$803,0),""))</f>
        <v/>
      </c>
      <c r="AK275" s="10">
        <f>IF(OR($B275="",TRIM($J275&amp;"")=""),"",IFERROR(MATCH(TRIM($J275&amp;"")&amp;"|다기관",입력_파견수련계획!$AE$4:$AE$803,0),""))</f>
        <v/>
      </c>
      <c r="AL275" s="10">
        <f>IF($AK275="","","다기관 "&amp;TEXT(INDEX(입력_파견수련계획!$AB$4:$AB$803,$AK275),"yyyy-mm-dd")&amp;"~"&amp;IF(ISNUMBER(INDEX(입력_파견수련계획!$AC$4:$AC$803,$AK275)),TEXT(INDEX(입력_파견수련계획!$AC$4:$AC$803,$AK275),"yyyy-mm-dd"),""))</f>
        <v/>
      </c>
      <c r="AM275" s="10">
        <f>IF($Y275="서울병원",COUNTIF($Y$2:$Y275,"서울병원"),"")</f>
        <v/>
      </c>
      <c r="AN275" s="10">
        <f>IF(LEFT($Y275,1)="⚠",COUNTIF($Y$2:$Y275,"⚠*"),"")</f>
        <v/>
      </c>
      <c r="AO275" s="10">
        <f>IF(OR($B275="",$Y275=""),"",IF(IF(TRIM($J275&amp;"")="",0,SUMPRODUCT((입력_파견수련계획!$Q$4:$Q$803=TRIM($J275&amp;""))*입력_파견수련계획!$AD$4:$AD$803))&gt;0,"다기관 기간 → 소속병원 지급",IF(AND(N($X275)&lt;=0,$AQ275=""),"파견 없음 → 그 달 근무병원 지급",IF($AH275+$AI275=DAY(EOMONTH(출력_요약!$B$3,0)),"서울 "&amp;$AH275&amp;"일 / 구리 "&amp;$AI275&amp;"일"&amp;IF($AQ275&lt;&gt;""," (구리 근무자명단 반영)","")&amp;" → 15일 이상 근무 병원 지급","타 병원 포함 → "&amp;IF($AJ275="","소속",INDEX(입력_파견수련계획!$T$4:$T$803,$AJ275))&amp;" 규칙"))))</f>
        <v/>
      </c>
      <c r="AP275" s="10">
        <f>IF($B275="","",$C275&amp;"|"&amp;$F275)</f>
        <v/>
      </c>
      <c r="AQ275" s="10">
        <f>IF($B275="","",IFERROR(MATCH(ROW()-1,출력_구리근무자!$K$6:$K$305,0),""))</f>
        <v/>
      </c>
      <c r="AR275" s="10">
        <f>IF($AQ275="","",INDEX(출력_구리근무자!$H$6:$H$305,$AQ275))</f>
        <v/>
      </c>
    </row>
    <row r="276">
      <c r="A276" s="10">
        <f>IF(B276="","",ROW()-1)</f>
        <v/>
      </c>
      <c r="B276" s="19" t="n"/>
      <c r="C276" s="10">
        <f>IF($AB276="","",IF(INDEX(입력_기본자료!$C$2:$C$1001,$AB276)="","",INDEX(입력_기본자료!$C$2:$C$1001,$AB276)))</f>
        <v/>
      </c>
      <c r="D276" s="10">
        <f>IF($AB276="","",IF(INDEX(입력_기본자료!$J$2:$J$1001,$AB276)="","",INDEX(입력_기본자료!$J$2:$J$1001,$AB276)))</f>
        <v/>
      </c>
      <c r="E276" s="11">
        <f>IF($AB276="","",IF(INDEX(입력_기본자료!$K$2:$K$1001,$AB276)="","",IF(NOT(ISNUMBER(INDEX(입력_기본자료!$K$2:$K$1001,$AB276))),INDEX(입력_기본자료!$K$2:$K$1001,$AB276),IF(INDEX(입력_기본자료!$K$2:$K$1001,$AB276)&lt;1000000,INDEX(입력_기본자료!$K$2:$K$1001,$AB276),IF(AND(INDEX(입력_기본자료!$K$2:$K$1001,$AB276)&gt;=10000101,INT(MOD(INDEX(입력_기본자료!$K$2:$K$1001,$AB276),10000)/100)&gt;=1,INT(MOD(INDEX(입력_기본자료!$K$2:$K$1001,$AB276),10000)/100)&lt;=12,MOD(INDEX(입력_기본자료!$K$2:$K$1001,$AB276),100)&gt;=1,MOD(INDEX(입력_기본자료!$K$2:$K$1001,$AB276),100)&lt;=31),DATE(INT(INDEX(입력_기본자료!$K$2:$K$1001,$AB276)/10000),INT(MOD(INDEX(입력_기본자료!$K$2:$K$1001,$AB276),10000)/100),MOD(INDEX(입력_기본자료!$K$2:$K$1001,$AB276),100)),INDEX(입력_기본자료!$K$2:$K$1001,$AB276)&amp;"")))))</f>
        <v/>
      </c>
      <c r="F276" s="10">
        <f>IF($AB276="","",IF(INDEX(입력_기본자료!$D$2:$D$1001,$AB276)="","",INDEX(입력_기본자료!$D$2:$D$1001,$AB276)))</f>
        <v/>
      </c>
      <c r="G276" s="10">
        <f>IF($AB276="","",IF(INDEX(입력_기본자료!$E$2:$E$1001,$AB276)="","",INDEX(입력_기본자료!$E$2:$E$1001,$AB276)))</f>
        <v/>
      </c>
      <c r="H276" s="10">
        <f>IF($AB276="","",IF(INDEX(입력_기본자료!$F$2:$F$1001,$AB276)="","",INDEX(입력_기본자료!$F$2:$F$1001,$AB276)))</f>
        <v/>
      </c>
      <c r="I276" s="11">
        <f>IF($AB276="","",IF(INDEX(입력_기본자료!$G$2:$G$1001,$AB276)="","",IF(NOT(ISNUMBER(INDEX(입력_기본자료!$G$2:$G$1001,$AB276))),INDEX(입력_기본자료!$G$2:$G$1001,$AB276),IF(INDEX(입력_기본자료!$G$2:$G$1001,$AB276)&lt;1000000,INDEX(입력_기본자료!$G$2:$G$1001,$AB276),IF(AND(INDEX(입력_기본자료!$G$2:$G$1001,$AB276)&gt;=10000101,INT(MOD(INDEX(입력_기본자료!$G$2:$G$1001,$AB276),10000)/100)&gt;=1,INT(MOD(INDEX(입력_기본자료!$G$2:$G$1001,$AB276),10000)/100)&lt;=12,MOD(INDEX(입력_기본자료!$G$2:$G$1001,$AB276),100)&gt;=1,MOD(INDEX(입력_기본자료!$G$2:$G$1001,$AB276),100)&lt;=31),DATE(INT(INDEX(입력_기본자료!$G$2:$G$1001,$AB276)/10000),INT(MOD(INDEX(입력_기본자료!$G$2:$G$1001,$AB276),10000)/100),MOD(INDEX(입력_기본자료!$G$2:$G$1001,$AB276),100)),INDEX(입력_기본자료!$G$2:$G$1001,$AB276)&amp;"")))))</f>
        <v/>
      </c>
      <c r="J276" s="10">
        <f>IF($AB276="","",IF(INDEX(입력_기본자료!$H$2:$H$1001,$AB276)="","",INDEX(입력_기본자료!$H$2:$H$1001,$AB276)))</f>
        <v/>
      </c>
      <c r="K276" s="10">
        <f>IF($AB276="","",IF(INDEX(입력_기본자료!$I$2:$I$1001,$AB276)="","",INDEX(입력_기본자료!$I$2:$I$1001,$AB276)))</f>
        <v/>
      </c>
      <c r="L276" s="10">
        <f>IF($AB276="","",IF(INDEX(입력_기본자료!$A$2:$A$1001,$AB276)="","",INDEX(입력_기본자료!$A$2:$A$1001,$AB276)))</f>
        <v/>
      </c>
      <c r="M276" s="15" t="n"/>
      <c r="N276" s="10">
        <f>IF($B276="","",IF(AND($U276="파견중",$Q276&lt;&gt;""),$Q276,IF(AND($AD276&lt;&gt;"",LEFT($AD276,1)&lt;&gt;"⚠"),LEFT($AD276,FIND(" ",$AD276)-1),IF($H276="","",IF(RIGHT($H276,2)="병원",$H276,$H276&amp;"병원")))))</f>
        <v/>
      </c>
      <c r="O276" s="10">
        <f>IF($B276="","",IF(AND($U276="파견중",$Q276&lt;&gt;""),IF($R276&lt;&gt;"",$R276,"파견과 미입력"),IF(AND($AD276&lt;&gt;"",LEFT($AD276,1)&lt;&gt;"⚠"),MID($AD276,FIND(" ",$AD276)+1,60),IF($F276="","",IF($F276="인턴","수련교육부(인턴)",$F276)))))</f>
        <v/>
      </c>
      <c r="P276" s="10">
        <f>IF($B276="","",IF($AK276&lt;&gt;"",IF(AND(TODAY()&gt;=INDEX(입력_파견수련계획!$AB$4:$AB$803,$AK276),OR(NOT(ISNUMBER(INDEX(입력_파견수련계획!$AC$4:$AC$803,$AK276))),TODAY()&lt;=INDEX(입력_파견수련계획!$AC$4:$AC$803,$AK276))),"다기관",IF($AF276="","",INDEX(입력_파견수련계획!$T$4:$T$803,$AF276))),IF($AF276="","",INDEX(입력_파견수련계획!$T$4:$T$803,$AF276))))</f>
        <v/>
      </c>
      <c r="Q276" s="10">
        <f>IF($AF276="","",INDEX(입력_파견수련계획!$S$4:$S$803,$AF276))</f>
        <v/>
      </c>
      <c r="R276" s="10">
        <f>IF($AF276="","",INDEX(입력_파견수련계획!$U$4:$U$803,$AF276))</f>
        <v/>
      </c>
      <c r="S276" s="11">
        <f>IF($AF276="","",IF(INDEX(입력_파견수련계획!$H$4:$H$803,$AF276)="","",INDEX(입력_파견수련계획!$H$4:$H$803,$AF276)))</f>
        <v/>
      </c>
      <c r="T276" s="11">
        <f>IF($AF276="","",IF(INDEX(입력_파견수련계획!$I$4:$I$803,$AF276)="","",INDEX(입력_파견수련계획!$I$4:$I$803,$AF276)))</f>
        <v/>
      </c>
      <c r="U276" s="10">
        <f>IF($AF276="","",INDEX(입력_파견수련계획!$X$4:$X$803,$AF276))</f>
        <v/>
      </c>
      <c r="V276" s="17">
        <f>IF($AF276="","",INDEX(입력_파견수련계획!$V$4:$V$803,$AF276))</f>
        <v/>
      </c>
      <c r="W276" s="17">
        <f>IF(AND($U276="파견중",$T276&lt;&gt;""),$T276-TODAY(),"")</f>
        <v/>
      </c>
      <c r="X276" s="17">
        <f>IF(OR($B276="",TRIM($J276&amp;"")=""),"",SUMPRODUCT((입력_파견수련계획!$Q$4:$Q$803=TRIM($J276&amp;""))*입력_파견수련계획!$W$4:$W$803))</f>
        <v/>
      </c>
      <c r="Y276" s="10">
        <f>IF($B276="","",IF($AG276="","",IF(IF(TRIM($J276&amp;"")="",0,SUMPRODUCT((입력_파견수련계획!$Q$4:$Q$803=TRIM($J276&amp;""))*입력_파견수련계획!$AD$4:$AD$803))&gt;0,$AE276,IF(AND(N($X276)&lt;=0,$AQ276=""),$AG276,IF($AH276+$AI276=DAY(EOMONTH(출력_요약!$B$3,0)),IF(AND($AH276&gt;=출력_요약!$E$3,$AI276&lt;출력_요약!$E$3),"서울병원",IF(AND($AI276&gt;=출력_요약!$E$3,$AH276&lt;출력_요약!$E$3),"구리병원","⚠15일 판정불가(서울 "&amp;$AH276&amp;"일/구리 "&amp;$AI276&amp;"일)")),IF($AJ276="",$AE276,IF(INDEX(입력_파견수련계획!$T$4:$T$803,$AJ276)="통합수련",INDEX(입력_파견수련계획!$S$4:$S$803,$AJ276),$AE276)))))))</f>
        <v/>
      </c>
      <c r="Z276" s="20">
        <f>IF($B276="","",IF($AB276="","기본자료에 없는 사번",IF(COUNTIF($B$2:$B$401,$B276)&gt;1,"중복 사번",IF($AE276="","소속(입사장소) 입력",IF(IF(TRIM($J276&amp;"")="",0,SUMPRODUCT((입력_파견수련계획!$Q$4:$Q$803=TRIM($J276&amp;""))*(입력_파견수련계획!$AA$4:$AA$803&lt;&gt;"")))&gt;0,"파견수련계획 입력오류 확인",IF(LEFT($Y276,1)="⚠","서울·구리 15일 판정 불가(양쪽 모두 이상/미만)",IF(IF($AC276="",0,N(INDEX(입력_인턴근무계획!$T$3:$T$402,$AC276)))&gt;0,"인턴계획 입력오류 확인",IF(AND($AQ276&lt;&gt;"",$AG276&lt;&gt;"구리병원",IF(TRIM($J276&amp;"")="",0,SUMPRODUCT((입력_파견수련계획!$Q$4:$Q$803=TRIM($J276&amp;""))*(입력_파견수련계획!$S$4:$S$803="구리병원")*입력_파견수련계획!$W$4:$W$803))=0),"구리 근무자명단에만 있음(파견수련계획 확인)",IF(AND($AC276&lt;&gt;"",$U276&lt;&gt;"파견중",$N276&lt;&gt;$AE276),"인턴 타지역 근무: 파견 여부 확인","정상")))))))))</f>
        <v/>
      </c>
      <c r="AA276" s="5" t="n"/>
      <c r="AB276" s="10">
        <f>IF($B276="","",IFERROR(MATCH($B276,입력_기본자료!$B$2:$B$1001,0),IFERROR(MATCH($B276&amp;"",입력_기본자료!$B$2:$B$1001,0),IFERROR(MATCH(VALUE($B276),입력_기본자료!$B$2:$B$1001,0),""))))</f>
        <v/>
      </c>
      <c r="AC276" s="10">
        <f>IF($B276="","",IFERROR(MATCH($B276,입력_인턴근무계획!$D$3:$D$402,0),IFERROR(MATCH($B276&amp;"",입력_인턴근무계획!$D$3:$D$402,0),IFERROR(MATCH(VALUE($B276),입력_인턴근무계획!$D$3:$D$402,0),""))))</f>
        <v/>
      </c>
      <c r="AD276" s="10">
        <f>IF(OR($AC276="",출력_인턴현황!$G$3=""),"",INDEX(입력_인턴근무계획!$M$3:$R$402,$AC276,출력_인턴현황!$G$3)&amp;"")</f>
        <v/>
      </c>
      <c r="AE276" s="10">
        <f>IF($B276="","",IF($M276&lt;&gt;"",$M276,IF(IF($AQ276="",FALSE,INDEX(출력_구리근무자!$J$6:$J$305,$AQ276)="구리독자"),"구리병원",IF($AF276&lt;&gt;"",IF(LEFT(INDEX(입력_파견수련계획!$R$4:$R$803,$AF276),1)&lt;&gt;"⚠",INDEX(입력_파견수련계획!$R$4:$R$803,$AF276),IF($H276="","",IF(RIGHT($H276,2)="병원",$H276,$H276&amp;"병원"))),IF($H276="","",IF(RIGHT($H276,2)="병원",$H276,$H276&amp;"병원"))))))</f>
        <v/>
      </c>
      <c r="AF276" s="10">
        <f>IF(OR($B276="",TRIM($J276&amp;"")=""),"",IFERROR(MATCH(TRIM($J276&amp;"")&amp;"|파견중",입력_파견수련계획!$Y$4:$Y$803,0),IFERROR(MATCH(TRIM($J276&amp;"")&amp;"|파견예정",입력_파견수련계획!$Y$4:$Y$803,0),IFERROR(MATCH(TRIM($J276&amp;"")&amp;"|파견종료",입력_파견수련계획!$Y$4:$Y$803,0),""))))</f>
        <v/>
      </c>
      <c r="AG276" s="10">
        <f>IF($B276="","",IF(AND(IF(OR($AC276="",출력_인턴현황!$K$2=""),"",INDEX(입력_인턴근무계획!$M$3:$R$402,$AC276,출력_인턴현황!$K$2)&amp;"")&lt;&gt;"",LEFT(IF(OR($AC276="",출력_인턴현황!$K$2=""),"",INDEX(입력_인턴근무계획!$M$3:$R$402,$AC276,출력_인턴현황!$K$2)&amp;""),1)&lt;&gt;"⚠"),LEFT(IF(OR($AC276="",출력_인턴현황!$K$2=""),"",INDEX(입력_인턴근무계획!$M$3:$R$402,$AC276,출력_인턴현황!$K$2)&amp;""),FIND(" ",IF(OR($AC276="",출력_인턴현황!$K$2=""),"",INDEX(입력_인턴근무계획!$M$3:$R$402,$AC276,출력_인턴현황!$K$2)&amp;""))-1),$AE276))</f>
        <v/>
      </c>
      <c r="AH276" s="17">
        <f>IF($B276="","",IF($AQ276&lt;&gt;"",MAX(0,DAY(EOMONTH(출력_요약!$B$3,0))-N($AR276)),IF(TRIM($J276&amp;"")="",0,SUMPRODUCT((입력_파견수련계획!$Q$4:$Q$803=TRIM($J276&amp;""))*(입력_파견수련계획!$S$4:$S$803="서울병원")*입력_파견수련계획!$W$4:$W$803))+IF($AG276="서울병원",MAX(0,DAY(EOMONTH(출력_요약!$B$3,0))-N($X276)),0)))</f>
        <v/>
      </c>
      <c r="AI276" s="17">
        <f>IF($B276="","",IF($AQ276&lt;&gt;"",N($AR276),IF(TRIM($J276&amp;"")="",0,SUMPRODUCT((입력_파견수련계획!$Q$4:$Q$803=TRIM($J276&amp;""))*(입력_파견수련계획!$S$4:$S$803="구리병원")*입력_파견수련계획!$W$4:$W$803))+IF($AG276="구리병원",MAX(0,DAY(EOMONTH(출력_요약!$B$3,0))-N($X276)),0)))</f>
        <v/>
      </c>
      <c r="AJ276" s="10">
        <f>IF(OR($B276="",TRIM($J276&amp;"")=""),"",IFERROR(MATCH(TRIM($J276&amp;"")&amp;"|월",입력_파견수련계획!$Z$4:$Z$803,0),""))</f>
        <v/>
      </c>
      <c r="AK276" s="10">
        <f>IF(OR($B276="",TRIM($J276&amp;"")=""),"",IFERROR(MATCH(TRIM($J276&amp;"")&amp;"|다기관",입력_파견수련계획!$AE$4:$AE$803,0),""))</f>
        <v/>
      </c>
      <c r="AL276" s="10">
        <f>IF($AK276="","","다기관 "&amp;TEXT(INDEX(입력_파견수련계획!$AB$4:$AB$803,$AK276),"yyyy-mm-dd")&amp;"~"&amp;IF(ISNUMBER(INDEX(입력_파견수련계획!$AC$4:$AC$803,$AK276)),TEXT(INDEX(입력_파견수련계획!$AC$4:$AC$803,$AK276),"yyyy-mm-dd"),""))</f>
        <v/>
      </c>
      <c r="AM276" s="10">
        <f>IF($Y276="서울병원",COUNTIF($Y$2:$Y276,"서울병원"),"")</f>
        <v/>
      </c>
      <c r="AN276" s="10">
        <f>IF(LEFT($Y276,1)="⚠",COUNTIF($Y$2:$Y276,"⚠*"),"")</f>
        <v/>
      </c>
      <c r="AO276" s="10">
        <f>IF(OR($B276="",$Y276=""),"",IF(IF(TRIM($J276&amp;"")="",0,SUMPRODUCT((입력_파견수련계획!$Q$4:$Q$803=TRIM($J276&amp;""))*입력_파견수련계획!$AD$4:$AD$803))&gt;0,"다기관 기간 → 소속병원 지급",IF(AND(N($X276)&lt;=0,$AQ276=""),"파견 없음 → 그 달 근무병원 지급",IF($AH276+$AI276=DAY(EOMONTH(출력_요약!$B$3,0)),"서울 "&amp;$AH276&amp;"일 / 구리 "&amp;$AI276&amp;"일"&amp;IF($AQ276&lt;&gt;""," (구리 근무자명단 반영)","")&amp;" → 15일 이상 근무 병원 지급","타 병원 포함 → "&amp;IF($AJ276="","소속",INDEX(입력_파견수련계획!$T$4:$T$803,$AJ276))&amp;" 규칙"))))</f>
        <v/>
      </c>
      <c r="AP276" s="10">
        <f>IF($B276="","",$C276&amp;"|"&amp;$F276)</f>
        <v/>
      </c>
      <c r="AQ276" s="10">
        <f>IF($B276="","",IFERROR(MATCH(ROW()-1,출력_구리근무자!$K$6:$K$305,0),""))</f>
        <v/>
      </c>
      <c r="AR276" s="10">
        <f>IF($AQ276="","",INDEX(출력_구리근무자!$H$6:$H$305,$AQ276))</f>
        <v/>
      </c>
    </row>
    <row r="277">
      <c r="A277" s="10">
        <f>IF(B277="","",ROW()-1)</f>
        <v/>
      </c>
      <c r="B277" s="19" t="n"/>
      <c r="C277" s="10">
        <f>IF($AB277="","",IF(INDEX(입력_기본자료!$C$2:$C$1001,$AB277)="","",INDEX(입력_기본자료!$C$2:$C$1001,$AB277)))</f>
        <v/>
      </c>
      <c r="D277" s="10">
        <f>IF($AB277="","",IF(INDEX(입력_기본자료!$J$2:$J$1001,$AB277)="","",INDEX(입력_기본자료!$J$2:$J$1001,$AB277)))</f>
        <v/>
      </c>
      <c r="E277" s="11">
        <f>IF($AB277="","",IF(INDEX(입력_기본자료!$K$2:$K$1001,$AB277)="","",IF(NOT(ISNUMBER(INDEX(입력_기본자료!$K$2:$K$1001,$AB277))),INDEX(입력_기본자료!$K$2:$K$1001,$AB277),IF(INDEX(입력_기본자료!$K$2:$K$1001,$AB277)&lt;1000000,INDEX(입력_기본자료!$K$2:$K$1001,$AB277),IF(AND(INDEX(입력_기본자료!$K$2:$K$1001,$AB277)&gt;=10000101,INT(MOD(INDEX(입력_기본자료!$K$2:$K$1001,$AB277),10000)/100)&gt;=1,INT(MOD(INDEX(입력_기본자료!$K$2:$K$1001,$AB277),10000)/100)&lt;=12,MOD(INDEX(입력_기본자료!$K$2:$K$1001,$AB277),100)&gt;=1,MOD(INDEX(입력_기본자료!$K$2:$K$1001,$AB277),100)&lt;=31),DATE(INT(INDEX(입력_기본자료!$K$2:$K$1001,$AB277)/10000),INT(MOD(INDEX(입력_기본자료!$K$2:$K$1001,$AB277),10000)/100),MOD(INDEX(입력_기본자료!$K$2:$K$1001,$AB277),100)),INDEX(입력_기본자료!$K$2:$K$1001,$AB277)&amp;"")))))</f>
        <v/>
      </c>
      <c r="F277" s="10">
        <f>IF($AB277="","",IF(INDEX(입력_기본자료!$D$2:$D$1001,$AB277)="","",INDEX(입력_기본자료!$D$2:$D$1001,$AB277)))</f>
        <v/>
      </c>
      <c r="G277" s="10">
        <f>IF($AB277="","",IF(INDEX(입력_기본자료!$E$2:$E$1001,$AB277)="","",INDEX(입력_기본자료!$E$2:$E$1001,$AB277)))</f>
        <v/>
      </c>
      <c r="H277" s="10">
        <f>IF($AB277="","",IF(INDEX(입력_기본자료!$F$2:$F$1001,$AB277)="","",INDEX(입력_기본자료!$F$2:$F$1001,$AB277)))</f>
        <v/>
      </c>
      <c r="I277" s="11">
        <f>IF($AB277="","",IF(INDEX(입력_기본자료!$G$2:$G$1001,$AB277)="","",IF(NOT(ISNUMBER(INDEX(입력_기본자료!$G$2:$G$1001,$AB277))),INDEX(입력_기본자료!$G$2:$G$1001,$AB277),IF(INDEX(입력_기본자료!$G$2:$G$1001,$AB277)&lt;1000000,INDEX(입력_기본자료!$G$2:$G$1001,$AB277),IF(AND(INDEX(입력_기본자료!$G$2:$G$1001,$AB277)&gt;=10000101,INT(MOD(INDEX(입력_기본자료!$G$2:$G$1001,$AB277),10000)/100)&gt;=1,INT(MOD(INDEX(입력_기본자료!$G$2:$G$1001,$AB277),10000)/100)&lt;=12,MOD(INDEX(입력_기본자료!$G$2:$G$1001,$AB277),100)&gt;=1,MOD(INDEX(입력_기본자료!$G$2:$G$1001,$AB277),100)&lt;=31),DATE(INT(INDEX(입력_기본자료!$G$2:$G$1001,$AB277)/10000),INT(MOD(INDEX(입력_기본자료!$G$2:$G$1001,$AB277),10000)/100),MOD(INDEX(입력_기본자료!$G$2:$G$1001,$AB277),100)),INDEX(입력_기본자료!$G$2:$G$1001,$AB277)&amp;"")))))</f>
        <v/>
      </c>
      <c r="J277" s="10">
        <f>IF($AB277="","",IF(INDEX(입력_기본자료!$H$2:$H$1001,$AB277)="","",INDEX(입력_기본자료!$H$2:$H$1001,$AB277)))</f>
        <v/>
      </c>
      <c r="K277" s="10">
        <f>IF($AB277="","",IF(INDEX(입력_기본자료!$I$2:$I$1001,$AB277)="","",INDEX(입력_기본자료!$I$2:$I$1001,$AB277)))</f>
        <v/>
      </c>
      <c r="L277" s="10">
        <f>IF($AB277="","",IF(INDEX(입력_기본자료!$A$2:$A$1001,$AB277)="","",INDEX(입력_기본자료!$A$2:$A$1001,$AB277)))</f>
        <v/>
      </c>
      <c r="M277" s="15" t="n"/>
      <c r="N277" s="10">
        <f>IF($B277="","",IF(AND($U277="파견중",$Q277&lt;&gt;""),$Q277,IF(AND($AD277&lt;&gt;"",LEFT($AD277,1)&lt;&gt;"⚠"),LEFT($AD277,FIND(" ",$AD277)-1),IF($H277="","",IF(RIGHT($H277,2)="병원",$H277,$H277&amp;"병원")))))</f>
        <v/>
      </c>
      <c r="O277" s="10">
        <f>IF($B277="","",IF(AND($U277="파견중",$Q277&lt;&gt;""),IF($R277&lt;&gt;"",$R277,"파견과 미입력"),IF(AND($AD277&lt;&gt;"",LEFT($AD277,1)&lt;&gt;"⚠"),MID($AD277,FIND(" ",$AD277)+1,60),IF($F277="","",IF($F277="인턴","수련교육부(인턴)",$F277)))))</f>
        <v/>
      </c>
      <c r="P277" s="10">
        <f>IF($B277="","",IF($AK277&lt;&gt;"",IF(AND(TODAY()&gt;=INDEX(입력_파견수련계획!$AB$4:$AB$803,$AK277),OR(NOT(ISNUMBER(INDEX(입력_파견수련계획!$AC$4:$AC$803,$AK277))),TODAY()&lt;=INDEX(입력_파견수련계획!$AC$4:$AC$803,$AK277))),"다기관",IF($AF277="","",INDEX(입력_파견수련계획!$T$4:$T$803,$AF277))),IF($AF277="","",INDEX(입력_파견수련계획!$T$4:$T$803,$AF277))))</f>
        <v/>
      </c>
      <c r="Q277" s="10">
        <f>IF($AF277="","",INDEX(입력_파견수련계획!$S$4:$S$803,$AF277))</f>
        <v/>
      </c>
      <c r="R277" s="10">
        <f>IF($AF277="","",INDEX(입력_파견수련계획!$U$4:$U$803,$AF277))</f>
        <v/>
      </c>
      <c r="S277" s="11">
        <f>IF($AF277="","",IF(INDEX(입력_파견수련계획!$H$4:$H$803,$AF277)="","",INDEX(입력_파견수련계획!$H$4:$H$803,$AF277)))</f>
        <v/>
      </c>
      <c r="T277" s="11">
        <f>IF($AF277="","",IF(INDEX(입력_파견수련계획!$I$4:$I$803,$AF277)="","",INDEX(입력_파견수련계획!$I$4:$I$803,$AF277)))</f>
        <v/>
      </c>
      <c r="U277" s="10">
        <f>IF($AF277="","",INDEX(입력_파견수련계획!$X$4:$X$803,$AF277))</f>
        <v/>
      </c>
      <c r="V277" s="17">
        <f>IF($AF277="","",INDEX(입력_파견수련계획!$V$4:$V$803,$AF277))</f>
        <v/>
      </c>
      <c r="W277" s="17">
        <f>IF(AND($U277="파견중",$T277&lt;&gt;""),$T277-TODAY(),"")</f>
        <v/>
      </c>
      <c r="X277" s="17">
        <f>IF(OR($B277="",TRIM($J277&amp;"")=""),"",SUMPRODUCT((입력_파견수련계획!$Q$4:$Q$803=TRIM($J277&amp;""))*입력_파견수련계획!$W$4:$W$803))</f>
        <v/>
      </c>
      <c r="Y277" s="10">
        <f>IF($B277="","",IF($AG277="","",IF(IF(TRIM($J277&amp;"")="",0,SUMPRODUCT((입력_파견수련계획!$Q$4:$Q$803=TRIM($J277&amp;""))*입력_파견수련계획!$AD$4:$AD$803))&gt;0,$AE277,IF(AND(N($X277)&lt;=0,$AQ277=""),$AG277,IF($AH277+$AI277=DAY(EOMONTH(출력_요약!$B$3,0)),IF(AND($AH277&gt;=출력_요약!$E$3,$AI277&lt;출력_요약!$E$3),"서울병원",IF(AND($AI277&gt;=출력_요약!$E$3,$AH277&lt;출력_요약!$E$3),"구리병원","⚠15일 판정불가(서울 "&amp;$AH277&amp;"일/구리 "&amp;$AI277&amp;"일)")),IF($AJ277="",$AE277,IF(INDEX(입력_파견수련계획!$T$4:$T$803,$AJ277)="통합수련",INDEX(입력_파견수련계획!$S$4:$S$803,$AJ277),$AE277)))))))</f>
        <v/>
      </c>
      <c r="Z277" s="20">
        <f>IF($B277="","",IF($AB277="","기본자료에 없는 사번",IF(COUNTIF($B$2:$B$401,$B277)&gt;1,"중복 사번",IF($AE277="","소속(입사장소) 입력",IF(IF(TRIM($J277&amp;"")="",0,SUMPRODUCT((입력_파견수련계획!$Q$4:$Q$803=TRIM($J277&amp;""))*(입력_파견수련계획!$AA$4:$AA$803&lt;&gt;"")))&gt;0,"파견수련계획 입력오류 확인",IF(LEFT($Y277,1)="⚠","서울·구리 15일 판정 불가(양쪽 모두 이상/미만)",IF(IF($AC277="",0,N(INDEX(입력_인턴근무계획!$T$3:$T$402,$AC277)))&gt;0,"인턴계획 입력오류 확인",IF(AND($AQ277&lt;&gt;"",$AG277&lt;&gt;"구리병원",IF(TRIM($J277&amp;"")="",0,SUMPRODUCT((입력_파견수련계획!$Q$4:$Q$803=TRIM($J277&amp;""))*(입력_파견수련계획!$S$4:$S$803="구리병원")*입력_파견수련계획!$W$4:$W$803))=0),"구리 근무자명단에만 있음(파견수련계획 확인)",IF(AND($AC277&lt;&gt;"",$U277&lt;&gt;"파견중",$N277&lt;&gt;$AE277),"인턴 타지역 근무: 파견 여부 확인","정상")))))))))</f>
        <v/>
      </c>
      <c r="AA277" s="5" t="n"/>
      <c r="AB277" s="10">
        <f>IF($B277="","",IFERROR(MATCH($B277,입력_기본자료!$B$2:$B$1001,0),IFERROR(MATCH($B277&amp;"",입력_기본자료!$B$2:$B$1001,0),IFERROR(MATCH(VALUE($B277),입력_기본자료!$B$2:$B$1001,0),""))))</f>
        <v/>
      </c>
      <c r="AC277" s="10">
        <f>IF($B277="","",IFERROR(MATCH($B277,입력_인턴근무계획!$D$3:$D$402,0),IFERROR(MATCH($B277&amp;"",입력_인턴근무계획!$D$3:$D$402,0),IFERROR(MATCH(VALUE($B277),입력_인턴근무계획!$D$3:$D$402,0),""))))</f>
        <v/>
      </c>
      <c r="AD277" s="10">
        <f>IF(OR($AC277="",출력_인턴현황!$G$3=""),"",INDEX(입력_인턴근무계획!$M$3:$R$402,$AC277,출력_인턴현황!$G$3)&amp;"")</f>
        <v/>
      </c>
      <c r="AE277" s="10">
        <f>IF($B277="","",IF($M277&lt;&gt;"",$M277,IF(IF($AQ277="",FALSE,INDEX(출력_구리근무자!$J$6:$J$305,$AQ277)="구리독자"),"구리병원",IF($AF277&lt;&gt;"",IF(LEFT(INDEX(입력_파견수련계획!$R$4:$R$803,$AF277),1)&lt;&gt;"⚠",INDEX(입력_파견수련계획!$R$4:$R$803,$AF277),IF($H277="","",IF(RIGHT($H277,2)="병원",$H277,$H277&amp;"병원"))),IF($H277="","",IF(RIGHT($H277,2)="병원",$H277,$H277&amp;"병원"))))))</f>
        <v/>
      </c>
      <c r="AF277" s="10">
        <f>IF(OR($B277="",TRIM($J277&amp;"")=""),"",IFERROR(MATCH(TRIM($J277&amp;"")&amp;"|파견중",입력_파견수련계획!$Y$4:$Y$803,0),IFERROR(MATCH(TRIM($J277&amp;"")&amp;"|파견예정",입력_파견수련계획!$Y$4:$Y$803,0),IFERROR(MATCH(TRIM($J277&amp;"")&amp;"|파견종료",입력_파견수련계획!$Y$4:$Y$803,0),""))))</f>
        <v/>
      </c>
      <c r="AG277" s="10">
        <f>IF($B277="","",IF(AND(IF(OR($AC277="",출력_인턴현황!$K$2=""),"",INDEX(입력_인턴근무계획!$M$3:$R$402,$AC277,출력_인턴현황!$K$2)&amp;"")&lt;&gt;"",LEFT(IF(OR($AC277="",출력_인턴현황!$K$2=""),"",INDEX(입력_인턴근무계획!$M$3:$R$402,$AC277,출력_인턴현황!$K$2)&amp;""),1)&lt;&gt;"⚠"),LEFT(IF(OR($AC277="",출력_인턴현황!$K$2=""),"",INDEX(입력_인턴근무계획!$M$3:$R$402,$AC277,출력_인턴현황!$K$2)&amp;""),FIND(" ",IF(OR($AC277="",출력_인턴현황!$K$2=""),"",INDEX(입력_인턴근무계획!$M$3:$R$402,$AC277,출력_인턴현황!$K$2)&amp;""))-1),$AE277))</f>
        <v/>
      </c>
      <c r="AH277" s="17">
        <f>IF($B277="","",IF($AQ277&lt;&gt;"",MAX(0,DAY(EOMONTH(출력_요약!$B$3,0))-N($AR277)),IF(TRIM($J277&amp;"")="",0,SUMPRODUCT((입력_파견수련계획!$Q$4:$Q$803=TRIM($J277&amp;""))*(입력_파견수련계획!$S$4:$S$803="서울병원")*입력_파견수련계획!$W$4:$W$803))+IF($AG277="서울병원",MAX(0,DAY(EOMONTH(출력_요약!$B$3,0))-N($X277)),0)))</f>
        <v/>
      </c>
      <c r="AI277" s="17">
        <f>IF($B277="","",IF($AQ277&lt;&gt;"",N($AR277),IF(TRIM($J277&amp;"")="",0,SUMPRODUCT((입력_파견수련계획!$Q$4:$Q$803=TRIM($J277&amp;""))*(입력_파견수련계획!$S$4:$S$803="구리병원")*입력_파견수련계획!$W$4:$W$803))+IF($AG277="구리병원",MAX(0,DAY(EOMONTH(출력_요약!$B$3,0))-N($X277)),0)))</f>
        <v/>
      </c>
      <c r="AJ277" s="10">
        <f>IF(OR($B277="",TRIM($J277&amp;"")=""),"",IFERROR(MATCH(TRIM($J277&amp;"")&amp;"|월",입력_파견수련계획!$Z$4:$Z$803,0),""))</f>
        <v/>
      </c>
      <c r="AK277" s="10">
        <f>IF(OR($B277="",TRIM($J277&amp;"")=""),"",IFERROR(MATCH(TRIM($J277&amp;"")&amp;"|다기관",입력_파견수련계획!$AE$4:$AE$803,0),""))</f>
        <v/>
      </c>
      <c r="AL277" s="10">
        <f>IF($AK277="","","다기관 "&amp;TEXT(INDEX(입력_파견수련계획!$AB$4:$AB$803,$AK277),"yyyy-mm-dd")&amp;"~"&amp;IF(ISNUMBER(INDEX(입력_파견수련계획!$AC$4:$AC$803,$AK277)),TEXT(INDEX(입력_파견수련계획!$AC$4:$AC$803,$AK277),"yyyy-mm-dd"),""))</f>
        <v/>
      </c>
      <c r="AM277" s="10">
        <f>IF($Y277="서울병원",COUNTIF($Y$2:$Y277,"서울병원"),"")</f>
        <v/>
      </c>
      <c r="AN277" s="10">
        <f>IF(LEFT($Y277,1)="⚠",COUNTIF($Y$2:$Y277,"⚠*"),"")</f>
        <v/>
      </c>
      <c r="AO277" s="10">
        <f>IF(OR($B277="",$Y277=""),"",IF(IF(TRIM($J277&amp;"")="",0,SUMPRODUCT((입력_파견수련계획!$Q$4:$Q$803=TRIM($J277&amp;""))*입력_파견수련계획!$AD$4:$AD$803))&gt;0,"다기관 기간 → 소속병원 지급",IF(AND(N($X277)&lt;=0,$AQ277=""),"파견 없음 → 그 달 근무병원 지급",IF($AH277+$AI277=DAY(EOMONTH(출력_요약!$B$3,0)),"서울 "&amp;$AH277&amp;"일 / 구리 "&amp;$AI277&amp;"일"&amp;IF($AQ277&lt;&gt;""," (구리 근무자명단 반영)","")&amp;" → 15일 이상 근무 병원 지급","타 병원 포함 → "&amp;IF($AJ277="","소속",INDEX(입력_파견수련계획!$T$4:$T$803,$AJ277))&amp;" 규칙"))))</f>
        <v/>
      </c>
      <c r="AP277" s="10">
        <f>IF($B277="","",$C277&amp;"|"&amp;$F277)</f>
        <v/>
      </c>
      <c r="AQ277" s="10">
        <f>IF($B277="","",IFERROR(MATCH(ROW()-1,출력_구리근무자!$K$6:$K$305,0),""))</f>
        <v/>
      </c>
      <c r="AR277" s="10">
        <f>IF($AQ277="","",INDEX(출력_구리근무자!$H$6:$H$305,$AQ277))</f>
        <v/>
      </c>
    </row>
    <row r="278">
      <c r="A278" s="10">
        <f>IF(B278="","",ROW()-1)</f>
        <v/>
      </c>
      <c r="B278" s="19" t="n"/>
      <c r="C278" s="10">
        <f>IF($AB278="","",IF(INDEX(입력_기본자료!$C$2:$C$1001,$AB278)="","",INDEX(입력_기본자료!$C$2:$C$1001,$AB278)))</f>
        <v/>
      </c>
      <c r="D278" s="10">
        <f>IF($AB278="","",IF(INDEX(입력_기본자료!$J$2:$J$1001,$AB278)="","",INDEX(입력_기본자료!$J$2:$J$1001,$AB278)))</f>
        <v/>
      </c>
      <c r="E278" s="11">
        <f>IF($AB278="","",IF(INDEX(입력_기본자료!$K$2:$K$1001,$AB278)="","",IF(NOT(ISNUMBER(INDEX(입력_기본자료!$K$2:$K$1001,$AB278))),INDEX(입력_기본자료!$K$2:$K$1001,$AB278),IF(INDEX(입력_기본자료!$K$2:$K$1001,$AB278)&lt;1000000,INDEX(입력_기본자료!$K$2:$K$1001,$AB278),IF(AND(INDEX(입력_기본자료!$K$2:$K$1001,$AB278)&gt;=10000101,INT(MOD(INDEX(입력_기본자료!$K$2:$K$1001,$AB278),10000)/100)&gt;=1,INT(MOD(INDEX(입력_기본자료!$K$2:$K$1001,$AB278),10000)/100)&lt;=12,MOD(INDEX(입력_기본자료!$K$2:$K$1001,$AB278),100)&gt;=1,MOD(INDEX(입력_기본자료!$K$2:$K$1001,$AB278),100)&lt;=31),DATE(INT(INDEX(입력_기본자료!$K$2:$K$1001,$AB278)/10000),INT(MOD(INDEX(입력_기본자료!$K$2:$K$1001,$AB278),10000)/100),MOD(INDEX(입력_기본자료!$K$2:$K$1001,$AB278),100)),INDEX(입력_기본자료!$K$2:$K$1001,$AB278)&amp;"")))))</f>
        <v/>
      </c>
      <c r="F278" s="10">
        <f>IF($AB278="","",IF(INDEX(입력_기본자료!$D$2:$D$1001,$AB278)="","",INDEX(입력_기본자료!$D$2:$D$1001,$AB278)))</f>
        <v/>
      </c>
      <c r="G278" s="10">
        <f>IF($AB278="","",IF(INDEX(입력_기본자료!$E$2:$E$1001,$AB278)="","",INDEX(입력_기본자료!$E$2:$E$1001,$AB278)))</f>
        <v/>
      </c>
      <c r="H278" s="10">
        <f>IF($AB278="","",IF(INDEX(입력_기본자료!$F$2:$F$1001,$AB278)="","",INDEX(입력_기본자료!$F$2:$F$1001,$AB278)))</f>
        <v/>
      </c>
      <c r="I278" s="11">
        <f>IF($AB278="","",IF(INDEX(입력_기본자료!$G$2:$G$1001,$AB278)="","",IF(NOT(ISNUMBER(INDEX(입력_기본자료!$G$2:$G$1001,$AB278))),INDEX(입력_기본자료!$G$2:$G$1001,$AB278),IF(INDEX(입력_기본자료!$G$2:$G$1001,$AB278)&lt;1000000,INDEX(입력_기본자료!$G$2:$G$1001,$AB278),IF(AND(INDEX(입력_기본자료!$G$2:$G$1001,$AB278)&gt;=10000101,INT(MOD(INDEX(입력_기본자료!$G$2:$G$1001,$AB278),10000)/100)&gt;=1,INT(MOD(INDEX(입력_기본자료!$G$2:$G$1001,$AB278),10000)/100)&lt;=12,MOD(INDEX(입력_기본자료!$G$2:$G$1001,$AB278),100)&gt;=1,MOD(INDEX(입력_기본자료!$G$2:$G$1001,$AB278),100)&lt;=31),DATE(INT(INDEX(입력_기본자료!$G$2:$G$1001,$AB278)/10000),INT(MOD(INDEX(입력_기본자료!$G$2:$G$1001,$AB278),10000)/100),MOD(INDEX(입력_기본자료!$G$2:$G$1001,$AB278),100)),INDEX(입력_기본자료!$G$2:$G$1001,$AB278)&amp;"")))))</f>
        <v/>
      </c>
      <c r="J278" s="10">
        <f>IF($AB278="","",IF(INDEX(입력_기본자료!$H$2:$H$1001,$AB278)="","",INDEX(입력_기본자료!$H$2:$H$1001,$AB278)))</f>
        <v/>
      </c>
      <c r="K278" s="10">
        <f>IF($AB278="","",IF(INDEX(입력_기본자료!$I$2:$I$1001,$AB278)="","",INDEX(입력_기본자료!$I$2:$I$1001,$AB278)))</f>
        <v/>
      </c>
      <c r="L278" s="10">
        <f>IF($AB278="","",IF(INDEX(입력_기본자료!$A$2:$A$1001,$AB278)="","",INDEX(입력_기본자료!$A$2:$A$1001,$AB278)))</f>
        <v/>
      </c>
      <c r="M278" s="15" t="n"/>
      <c r="N278" s="10">
        <f>IF($B278="","",IF(AND($U278="파견중",$Q278&lt;&gt;""),$Q278,IF(AND($AD278&lt;&gt;"",LEFT($AD278,1)&lt;&gt;"⚠"),LEFT($AD278,FIND(" ",$AD278)-1),IF($H278="","",IF(RIGHT($H278,2)="병원",$H278,$H278&amp;"병원")))))</f>
        <v/>
      </c>
      <c r="O278" s="10">
        <f>IF($B278="","",IF(AND($U278="파견중",$Q278&lt;&gt;""),IF($R278&lt;&gt;"",$R278,"파견과 미입력"),IF(AND($AD278&lt;&gt;"",LEFT($AD278,1)&lt;&gt;"⚠"),MID($AD278,FIND(" ",$AD278)+1,60),IF($F278="","",IF($F278="인턴","수련교육부(인턴)",$F278)))))</f>
        <v/>
      </c>
      <c r="P278" s="10">
        <f>IF($B278="","",IF($AK278&lt;&gt;"",IF(AND(TODAY()&gt;=INDEX(입력_파견수련계획!$AB$4:$AB$803,$AK278),OR(NOT(ISNUMBER(INDEX(입력_파견수련계획!$AC$4:$AC$803,$AK278))),TODAY()&lt;=INDEX(입력_파견수련계획!$AC$4:$AC$803,$AK278))),"다기관",IF($AF278="","",INDEX(입력_파견수련계획!$T$4:$T$803,$AF278))),IF($AF278="","",INDEX(입력_파견수련계획!$T$4:$T$803,$AF278))))</f>
        <v/>
      </c>
      <c r="Q278" s="10">
        <f>IF($AF278="","",INDEX(입력_파견수련계획!$S$4:$S$803,$AF278))</f>
        <v/>
      </c>
      <c r="R278" s="10">
        <f>IF($AF278="","",INDEX(입력_파견수련계획!$U$4:$U$803,$AF278))</f>
        <v/>
      </c>
      <c r="S278" s="11">
        <f>IF($AF278="","",IF(INDEX(입력_파견수련계획!$H$4:$H$803,$AF278)="","",INDEX(입력_파견수련계획!$H$4:$H$803,$AF278)))</f>
        <v/>
      </c>
      <c r="T278" s="11">
        <f>IF($AF278="","",IF(INDEX(입력_파견수련계획!$I$4:$I$803,$AF278)="","",INDEX(입력_파견수련계획!$I$4:$I$803,$AF278)))</f>
        <v/>
      </c>
      <c r="U278" s="10">
        <f>IF($AF278="","",INDEX(입력_파견수련계획!$X$4:$X$803,$AF278))</f>
        <v/>
      </c>
      <c r="V278" s="17">
        <f>IF($AF278="","",INDEX(입력_파견수련계획!$V$4:$V$803,$AF278))</f>
        <v/>
      </c>
      <c r="W278" s="17">
        <f>IF(AND($U278="파견중",$T278&lt;&gt;""),$T278-TODAY(),"")</f>
        <v/>
      </c>
      <c r="X278" s="17">
        <f>IF(OR($B278="",TRIM($J278&amp;"")=""),"",SUMPRODUCT((입력_파견수련계획!$Q$4:$Q$803=TRIM($J278&amp;""))*입력_파견수련계획!$W$4:$W$803))</f>
        <v/>
      </c>
      <c r="Y278" s="10">
        <f>IF($B278="","",IF($AG278="","",IF(IF(TRIM($J278&amp;"")="",0,SUMPRODUCT((입력_파견수련계획!$Q$4:$Q$803=TRIM($J278&amp;""))*입력_파견수련계획!$AD$4:$AD$803))&gt;0,$AE278,IF(AND(N($X278)&lt;=0,$AQ278=""),$AG278,IF($AH278+$AI278=DAY(EOMONTH(출력_요약!$B$3,0)),IF(AND($AH278&gt;=출력_요약!$E$3,$AI278&lt;출력_요약!$E$3),"서울병원",IF(AND($AI278&gt;=출력_요약!$E$3,$AH278&lt;출력_요약!$E$3),"구리병원","⚠15일 판정불가(서울 "&amp;$AH278&amp;"일/구리 "&amp;$AI278&amp;"일)")),IF($AJ278="",$AE278,IF(INDEX(입력_파견수련계획!$T$4:$T$803,$AJ278)="통합수련",INDEX(입력_파견수련계획!$S$4:$S$803,$AJ278),$AE278)))))))</f>
        <v/>
      </c>
      <c r="Z278" s="20">
        <f>IF($B278="","",IF($AB278="","기본자료에 없는 사번",IF(COUNTIF($B$2:$B$401,$B278)&gt;1,"중복 사번",IF($AE278="","소속(입사장소) 입력",IF(IF(TRIM($J278&amp;"")="",0,SUMPRODUCT((입력_파견수련계획!$Q$4:$Q$803=TRIM($J278&amp;""))*(입력_파견수련계획!$AA$4:$AA$803&lt;&gt;"")))&gt;0,"파견수련계획 입력오류 확인",IF(LEFT($Y278,1)="⚠","서울·구리 15일 판정 불가(양쪽 모두 이상/미만)",IF(IF($AC278="",0,N(INDEX(입력_인턴근무계획!$T$3:$T$402,$AC278)))&gt;0,"인턴계획 입력오류 확인",IF(AND($AQ278&lt;&gt;"",$AG278&lt;&gt;"구리병원",IF(TRIM($J278&amp;"")="",0,SUMPRODUCT((입력_파견수련계획!$Q$4:$Q$803=TRIM($J278&amp;""))*(입력_파견수련계획!$S$4:$S$803="구리병원")*입력_파견수련계획!$W$4:$W$803))=0),"구리 근무자명단에만 있음(파견수련계획 확인)",IF(AND($AC278&lt;&gt;"",$U278&lt;&gt;"파견중",$N278&lt;&gt;$AE278),"인턴 타지역 근무: 파견 여부 확인","정상")))))))))</f>
        <v/>
      </c>
      <c r="AA278" s="5" t="n"/>
      <c r="AB278" s="10">
        <f>IF($B278="","",IFERROR(MATCH($B278,입력_기본자료!$B$2:$B$1001,0),IFERROR(MATCH($B278&amp;"",입력_기본자료!$B$2:$B$1001,0),IFERROR(MATCH(VALUE($B278),입력_기본자료!$B$2:$B$1001,0),""))))</f>
        <v/>
      </c>
      <c r="AC278" s="10">
        <f>IF($B278="","",IFERROR(MATCH($B278,입력_인턴근무계획!$D$3:$D$402,0),IFERROR(MATCH($B278&amp;"",입력_인턴근무계획!$D$3:$D$402,0),IFERROR(MATCH(VALUE($B278),입력_인턴근무계획!$D$3:$D$402,0),""))))</f>
        <v/>
      </c>
      <c r="AD278" s="10">
        <f>IF(OR($AC278="",출력_인턴현황!$G$3=""),"",INDEX(입력_인턴근무계획!$M$3:$R$402,$AC278,출력_인턴현황!$G$3)&amp;"")</f>
        <v/>
      </c>
      <c r="AE278" s="10">
        <f>IF($B278="","",IF($M278&lt;&gt;"",$M278,IF(IF($AQ278="",FALSE,INDEX(출력_구리근무자!$J$6:$J$305,$AQ278)="구리독자"),"구리병원",IF($AF278&lt;&gt;"",IF(LEFT(INDEX(입력_파견수련계획!$R$4:$R$803,$AF278),1)&lt;&gt;"⚠",INDEX(입력_파견수련계획!$R$4:$R$803,$AF278),IF($H278="","",IF(RIGHT($H278,2)="병원",$H278,$H278&amp;"병원"))),IF($H278="","",IF(RIGHT($H278,2)="병원",$H278,$H278&amp;"병원"))))))</f>
        <v/>
      </c>
      <c r="AF278" s="10">
        <f>IF(OR($B278="",TRIM($J278&amp;"")=""),"",IFERROR(MATCH(TRIM($J278&amp;"")&amp;"|파견중",입력_파견수련계획!$Y$4:$Y$803,0),IFERROR(MATCH(TRIM($J278&amp;"")&amp;"|파견예정",입력_파견수련계획!$Y$4:$Y$803,0),IFERROR(MATCH(TRIM($J278&amp;"")&amp;"|파견종료",입력_파견수련계획!$Y$4:$Y$803,0),""))))</f>
        <v/>
      </c>
      <c r="AG278" s="10">
        <f>IF($B278="","",IF(AND(IF(OR($AC278="",출력_인턴현황!$K$2=""),"",INDEX(입력_인턴근무계획!$M$3:$R$402,$AC278,출력_인턴현황!$K$2)&amp;"")&lt;&gt;"",LEFT(IF(OR($AC278="",출력_인턴현황!$K$2=""),"",INDEX(입력_인턴근무계획!$M$3:$R$402,$AC278,출력_인턴현황!$K$2)&amp;""),1)&lt;&gt;"⚠"),LEFT(IF(OR($AC278="",출력_인턴현황!$K$2=""),"",INDEX(입력_인턴근무계획!$M$3:$R$402,$AC278,출력_인턴현황!$K$2)&amp;""),FIND(" ",IF(OR($AC278="",출력_인턴현황!$K$2=""),"",INDEX(입력_인턴근무계획!$M$3:$R$402,$AC278,출력_인턴현황!$K$2)&amp;""))-1),$AE278))</f>
        <v/>
      </c>
      <c r="AH278" s="17">
        <f>IF($B278="","",IF($AQ278&lt;&gt;"",MAX(0,DAY(EOMONTH(출력_요약!$B$3,0))-N($AR278)),IF(TRIM($J278&amp;"")="",0,SUMPRODUCT((입력_파견수련계획!$Q$4:$Q$803=TRIM($J278&amp;""))*(입력_파견수련계획!$S$4:$S$803="서울병원")*입력_파견수련계획!$W$4:$W$803))+IF($AG278="서울병원",MAX(0,DAY(EOMONTH(출력_요약!$B$3,0))-N($X278)),0)))</f>
        <v/>
      </c>
      <c r="AI278" s="17">
        <f>IF($B278="","",IF($AQ278&lt;&gt;"",N($AR278),IF(TRIM($J278&amp;"")="",0,SUMPRODUCT((입력_파견수련계획!$Q$4:$Q$803=TRIM($J278&amp;""))*(입력_파견수련계획!$S$4:$S$803="구리병원")*입력_파견수련계획!$W$4:$W$803))+IF($AG278="구리병원",MAX(0,DAY(EOMONTH(출력_요약!$B$3,0))-N($X278)),0)))</f>
        <v/>
      </c>
      <c r="AJ278" s="10">
        <f>IF(OR($B278="",TRIM($J278&amp;"")=""),"",IFERROR(MATCH(TRIM($J278&amp;"")&amp;"|월",입력_파견수련계획!$Z$4:$Z$803,0),""))</f>
        <v/>
      </c>
      <c r="AK278" s="10">
        <f>IF(OR($B278="",TRIM($J278&amp;"")=""),"",IFERROR(MATCH(TRIM($J278&amp;"")&amp;"|다기관",입력_파견수련계획!$AE$4:$AE$803,0),""))</f>
        <v/>
      </c>
      <c r="AL278" s="10">
        <f>IF($AK278="","","다기관 "&amp;TEXT(INDEX(입력_파견수련계획!$AB$4:$AB$803,$AK278),"yyyy-mm-dd")&amp;"~"&amp;IF(ISNUMBER(INDEX(입력_파견수련계획!$AC$4:$AC$803,$AK278)),TEXT(INDEX(입력_파견수련계획!$AC$4:$AC$803,$AK278),"yyyy-mm-dd"),""))</f>
        <v/>
      </c>
      <c r="AM278" s="10">
        <f>IF($Y278="서울병원",COUNTIF($Y$2:$Y278,"서울병원"),"")</f>
        <v/>
      </c>
      <c r="AN278" s="10">
        <f>IF(LEFT($Y278,1)="⚠",COUNTIF($Y$2:$Y278,"⚠*"),"")</f>
        <v/>
      </c>
      <c r="AO278" s="10">
        <f>IF(OR($B278="",$Y278=""),"",IF(IF(TRIM($J278&amp;"")="",0,SUMPRODUCT((입력_파견수련계획!$Q$4:$Q$803=TRIM($J278&amp;""))*입력_파견수련계획!$AD$4:$AD$803))&gt;0,"다기관 기간 → 소속병원 지급",IF(AND(N($X278)&lt;=0,$AQ278=""),"파견 없음 → 그 달 근무병원 지급",IF($AH278+$AI278=DAY(EOMONTH(출력_요약!$B$3,0)),"서울 "&amp;$AH278&amp;"일 / 구리 "&amp;$AI278&amp;"일"&amp;IF($AQ278&lt;&gt;""," (구리 근무자명단 반영)","")&amp;" → 15일 이상 근무 병원 지급","타 병원 포함 → "&amp;IF($AJ278="","소속",INDEX(입력_파견수련계획!$T$4:$T$803,$AJ278))&amp;" 규칙"))))</f>
        <v/>
      </c>
      <c r="AP278" s="10">
        <f>IF($B278="","",$C278&amp;"|"&amp;$F278)</f>
        <v/>
      </c>
      <c r="AQ278" s="10">
        <f>IF($B278="","",IFERROR(MATCH(ROW()-1,출력_구리근무자!$K$6:$K$305,0),""))</f>
        <v/>
      </c>
      <c r="AR278" s="10">
        <f>IF($AQ278="","",INDEX(출력_구리근무자!$H$6:$H$305,$AQ278))</f>
        <v/>
      </c>
    </row>
    <row r="279">
      <c r="A279" s="10">
        <f>IF(B279="","",ROW()-1)</f>
        <v/>
      </c>
      <c r="B279" s="19" t="n"/>
      <c r="C279" s="10">
        <f>IF($AB279="","",IF(INDEX(입력_기본자료!$C$2:$C$1001,$AB279)="","",INDEX(입력_기본자료!$C$2:$C$1001,$AB279)))</f>
        <v/>
      </c>
      <c r="D279" s="10">
        <f>IF($AB279="","",IF(INDEX(입력_기본자료!$J$2:$J$1001,$AB279)="","",INDEX(입력_기본자료!$J$2:$J$1001,$AB279)))</f>
        <v/>
      </c>
      <c r="E279" s="11">
        <f>IF($AB279="","",IF(INDEX(입력_기본자료!$K$2:$K$1001,$AB279)="","",IF(NOT(ISNUMBER(INDEX(입력_기본자료!$K$2:$K$1001,$AB279))),INDEX(입력_기본자료!$K$2:$K$1001,$AB279),IF(INDEX(입력_기본자료!$K$2:$K$1001,$AB279)&lt;1000000,INDEX(입력_기본자료!$K$2:$K$1001,$AB279),IF(AND(INDEX(입력_기본자료!$K$2:$K$1001,$AB279)&gt;=10000101,INT(MOD(INDEX(입력_기본자료!$K$2:$K$1001,$AB279),10000)/100)&gt;=1,INT(MOD(INDEX(입력_기본자료!$K$2:$K$1001,$AB279),10000)/100)&lt;=12,MOD(INDEX(입력_기본자료!$K$2:$K$1001,$AB279),100)&gt;=1,MOD(INDEX(입력_기본자료!$K$2:$K$1001,$AB279),100)&lt;=31),DATE(INT(INDEX(입력_기본자료!$K$2:$K$1001,$AB279)/10000),INT(MOD(INDEX(입력_기본자료!$K$2:$K$1001,$AB279),10000)/100),MOD(INDEX(입력_기본자료!$K$2:$K$1001,$AB279),100)),INDEX(입력_기본자료!$K$2:$K$1001,$AB279)&amp;"")))))</f>
        <v/>
      </c>
      <c r="F279" s="10">
        <f>IF($AB279="","",IF(INDEX(입력_기본자료!$D$2:$D$1001,$AB279)="","",INDEX(입력_기본자료!$D$2:$D$1001,$AB279)))</f>
        <v/>
      </c>
      <c r="G279" s="10">
        <f>IF($AB279="","",IF(INDEX(입력_기본자료!$E$2:$E$1001,$AB279)="","",INDEX(입력_기본자료!$E$2:$E$1001,$AB279)))</f>
        <v/>
      </c>
      <c r="H279" s="10">
        <f>IF($AB279="","",IF(INDEX(입력_기본자료!$F$2:$F$1001,$AB279)="","",INDEX(입력_기본자료!$F$2:$F$1001,$AB279)))</f>
        <v/>
      </c>
      <c r="I279" s="11">
        <f>IF($AB279="","",IF(INDEX(입력_기본자료!$G$2:$G$1001,$AB279)="","",IF(NOT(ISNUMBER(INDEX(입력_기본자료!$G$2:$G$1001,$AB279))),INDEX(입력_기본자료!$G$2:$G$1001,$AB279),IF(INDEX(입력_기본자료!$G$2:$G$1001,$AB279)&lt;1000000,INDEX(입력_기본자료!$G$2:$G$1001,$AB279),IF(AND(INDEX(입력_기본자료!$G$2:$G$1001,$AB279)&gt;=10000101,INT(MOD(INDEX(입력_기본자료!$G$2:$G$1001,$AB279),10000)/100)&gt;=1,INT(MOD(INDEX(입력_기본자료!$G$2:$G$1001,$AB279),10000)/100)&lt;=12,MOD(INDEX(입력_기본자료!$G$2:$G$1001,$AB279),100)&gt;=1,MOD(INDEX(입력_기본자료!$G$2:$G$1001,$AB279),100)&lt;=31),DATE(INT(INDEX(입력_기본자료!$G$2:$G$1001,$AB279)/10000),INT(MOD(INDEX(입력_기본자료!$G$2:$G$1001,$AB279),10000)/100),MOD(INDEX(입력_기본자료!$G$2:$G$1001,$AB279),100)),INDEX(입력_기본자료!$G$2:$G$1001,$AB279)&amp;"")))))</f>
        <v/>
      </c>
      <c r="J279" s="10">
        <f>IF($AB279="","",IF(INDEX(입력_기본자료!$H$2:$H$1001,$AB279)="","",INDEX(입력_기본자료!$H$2:$H$1001,$AB279)))</f>
        <v/>
      </c>
      <c r="K279" s="10">
        <f>IF($AB279="","",IF(INDEX(입력_기본자료!$I$2:$I$1001,$AB279)="","",INDEX(입력_기본자료!$I$2:$I$1001,$AB279)))</f>
        <v/>
      </c>
      <c r="L279" s="10">
        <f>IF($AB279="","",IF(INDEX(입력_기본자료!$A$2:$A$1001,$AB279)="","",INDEX(입력_기본자료!$A$2:$A$1001,$AB279)))</f>
        <v/>
      </c>
      <c r="M279" s="15" t="n"/>
      <c r="N279" s="10">
        <f>IF($B279="","",IF(AND($U279="파견중",$Q279&lt;&gt;""),$Q279,IF(AND($AD279&lt;&gt;"",LEFT($AD279,1)&lt;&gt;"⚠"),LEFT($AD279,FIND(" ",$AD279)-1),IF($H279="","",IF(RIGHT($H279,2)="병원",$H279,$H279&amp;"병원")))))</f>
        <v/>
      </c>
      <c r="O279" s="10">
        <f>IF($B279="","",IF(AND($U279="파견중",$Q279&lt;&gt;""),IF($R279&lt;&gt;"",$R279,"파견과 미입력"),IF(AND($AD279&lt;&gt;"",LEFT($AD279,1)&lt;&gt;"⚠"),MID($AD279,FIND(" ",$AD279)+1,60),IF($F279="","",IF($F279="인턴","수련교육부(인턴)",$F279)))))</f>
        <v/>
      </c>
      <c r="P279" s="10">
        <f>IF($B279="","",IF($AK279&lt;&gt;"",IF(AND(TODAY()&gt;=INDEX(입력_파견수련계획!$AB$4:$AB$803,$AK279),OR(NOT(ISNUMBER(INDEX(입력_파견수련계획!$AC$4:$AC$803,$AK279))),TODAY()&lt;=INDEX(입력_파견수련계획!$AC$4:$AC$803,$AK279))),"다기관",IF($AF279="","",INDEX(입력_파견수련계획!$T$4:$T$803,$AF279))),IF($AF279="","",INDEX(입력_파견수련계획!$T$4:$T$803,$AF279))))</f>
        <v/>
      </c>
      <c r="Q279" s="10">
        <f>IF($AF279="","",INDEX(입력_파견수련계획!$S$4:$S$803,$AF279))</f>
        <v/>
      </c>
      <c r="R279" s="10">
        <f>IF($AF279="","",INDEX(입력_파견수련계획!$U$4:$U$803,$AF279))</f>
        <v/>
      </c>
      <c r="S279" s="11">
        <f>IF($AF279="","",IF(INDEX(입력_파견수련계획!$H$4:$H$803,$AF279)="","",INDEX(입력_파견수련계획!$H$4:$H$803,$AF279)))</f>
        <v/>
      </c>
      <c r="T279" s="11">
        <f>IF($AF279="","",IF(INDEX(입력_파견수련계획!$I$4:$I$803,$AF279)="","",INDEX(입력_파견수련계획!$I$4:$I$803,$AF279)))</f>
        <v/>
      </c>
      <c r="U279" s="10">
        <f>IF($AF279="","",INDEX(입력_파견수련계획!$X$4:$X$803,$AF279))</f>
        <v/>
      </c>
      <c r="V279" s="17">
        <f>IF($AF279="","",INDEX(입력_파견수련계획!$V$4:$V$803,$AF279))</f>
        <v/>
      </c>
      <c r="W279" s="17">
        <f>IF(AND($U279="파견중",$T279&lt;&gt;""),$T279-TODAY(),"")</f>
        <v/>
      </c>
      <c r="X279" s="17">
        <f>IF(OR($B279="",TRIM($J279&amp;"")=""),"",SUMPRODUCT((입력_파견수련계획!$Q$4:$Q$803=TRIM($J279&amp;""))*입력_파견수련계획!$W$4:$W$803))</f>
        <v/>
      </c>
      <c r="Y279" s="10">
        <f>IF($B279="","",IF($AG279="","",IF(IF(TRIM($J279&amp;"")="",0,SUMPRODUCT((입력_파견수련계획!$Q$4:$Q$803=TRIM($J279&amp;""))*입력_파견수련계획!$AD$4:$AD$803))&gt;0,$AE279,IF(AND(N($X279)&lt;=0,$AQ279=""),$AG279,IF($AH279+$AI279=DAY(EOMONTH(출력_요약!$B$3,0)),IF(AND($AH279&gt;=출력_요약!$E$3,$AI279&lt;출력_요약!$E$3),"서울병원",IF(AND($AI279&gt;=출력_요약!$E$3,$AH279&lt;출력_요약!$E$3),"구리병원","⚠15일 판정불가(서울 "&amp;$AH279&amp;"일/구리 "&amp;$AI279&amp;"일)")),IF($AJ279="",$AE279,IF(INDEX(입력_파견수련계획!$T$4:$T$803,$AJ279)="통합수련",INDEX(입력_파견수련계획!$S$4:$S$803,$AJ279),$AE279)))))))</f>
        <v/>
      </c>
      <c r="Z279" s="20">
        <f>IF($B279="","",IF($AB279="","기본자료에 없는 사번",IF(COUNTIF($B$2:$B$401,$B279)&gt;1,"중복 사번",IF($AE279="","소속(입사장소) 입력",IF(IF(TRIM($J279&amp;"")="",0,SUMPRODUCT((입력_파견수련계획!$Q$4:$Q$803=TRIM($J279&amp;""))*(입력_파견수련계획!$AA$4:$AA$803&lt;&gt;"")))&gt;0,"파견수련계획 입력오류 확인",IF(LEFT($Y279,1)="⚠","서울·구리 15일 판정 불가(양쪽 모두 이상/미만)",IF(IF($AC279="",0,N(INDEX(입력_인턴근무계획!$T$3:$T$402,$AC279)))&gt;0,"인턴계획 입력오류 확인",IF(AND($AQ279&lt;&gt;"",$AG279&lt;&gt;"구리병원",IF(TRIM($J279&amp;"")="",0,SUMPRODUCT((입력_파견수련계획!$Q$4:$Q$803=TRIM($J279&amp;""))*(입력_파견수련계획!$S$4:$S$803="구리병원")*입력_파견수련계획!$W$4:$W$803))=0),"구리 근무자명단에만 있음(파견수련계획 확인)",IF(AND($AC279&lt;&gt;"",$U279&lt;&gt;"파견중",$N279&lt;&gt;$AE279),"인턴 타지역 근무: 파견 여부 확인","정상")))))))))</f>
        <v/>
      </c>
      <c r="AA279" s="5" t="n"/>
      <c r="AB279" s="10">
        <f>IF($B279="","",IFERROR(MATCH($B279,입력_기본자료!$B$2:$B$1001,0),IFERROR(MATCH($B279&amp;"",입력_기본자료!$B$2:$B$1001,0),IFERROR(MATCH(VALUE($B279),입력_기본자료!$B$2:$B$1001,0),""))))</f>
        <v/>
      </c>
      <c r="AC279" s="10">
        <f>IF($B279="","",IFERROR(MATCH($B279,입력_인턴근무계획!$D$3:$D$402,0),IFERROR(MATCH($B279&amp;"",입력_인턴근무계획!$D$3:$D$402,0),IFERROR(MATCH(VALUE($B279),입력_인턴근무계획!$D$3:$D$402,0),""))))</f>
        <v/>
      </c>
      <c r="AD279" s="10">
        <f>IF(OR($AC279="",출력_인턴현황!$G$3=""),"",INDEX(입력_인턴근무계획!$M$3:$R$402,$AC279,출력_인턴현황!$G$3)&amp;"")</f>
        <v/>
      </c>
      <c r="AE279" s="10">
        <f>IF($B279="","",IF($M279&lt;&gt;"",$M279,IF(IF($AQ279="",FALSE,INDEX(출력_구리근무자!$J$6:$J$305,$AQ279)="구리독자"),"구리병원",IF($AF279&lt;&gt;"",IF(LEFT(INDEX(입력_파견수련계획!$R$4:$R$803,$AF279),1)&lt;&gt;"⚠",INDEX(입력_파견수련계획!$R$4:$R$803,$AF279),IF($H279="","",IF(RIGHT($H279,2)="병원",$H279,$H279&amp;"병원"))),IF($H279="","",IF(RIGHT($H279,2)="병원",$H279,$H279&amp;"병원"))))))</f>
        <v/>
      </c>
      <c r="AF279" s="10">
        <f>IF(OR($B279="",TRIM($J279&amp;"")=""),"",IFERROR(MATCH(TRIM($J279&amp;"")&amp;"|파견중",입력_파견수련계획!$Y$4:$Y$803,0),IFERROR(MATCH(TRIM($J279&amp;"")&amp;"|파견예정",입력_파견수련계획!$Y$4:$Y$803,0),IFERROR(MATCH(TRIM($J279&amp;"")&amp;"|파견종료",입력_파견수련계획!$Y$4:$Y$803,0),""))))</f>
        <v/>
      </c>
      <c r="AG279" s="10">
        <f>IF($B279="","",IF(AND(IF(OR($AC279="",출력_인턴현황!$K$2=""),"",INDEX(입력_인턴근무계획!$M$3:$R$402,$AC279,출력_인턴현황!$K$2)&amp;"")&lt;&gt;"",LEFT(IF(OR($AC279="",출력_인턴현황!$K$2=""),"",INDEX(입력_인턴근무계획!$M$3:$R$402,$AC279,출력_인턴현황!$K$2)&amp;""),1)&lt;&gt;"⚠"),LEFT(IF(OR($AC279="",출력_인턴현황!$K$2=""),"",INDEX(입력_인턴근무계획!$M$3:$R$402,$AC279,출력_인턴현황!$K$2)&amp;""),FIND(" ",IF(OR($AC279="",출력_인턴현황!$K$2=""),"",INDEX(입력_인턴근무계획!$M$3:$R$402,$AC279,출력_인턴현황!$K$2)&amp;""))-1),$AE279))</f>
        <v/>
      </c>
      <c r="AH279" s="17">
        <f>IF($B279="","",IF($AQ279&lt;&gt;"",MAX(0,DAY(EOMONTH(출력_요약!$B$3,0))-N($AR279)),IF(TRIM($J279&amp;"")="",0,SUMPRODUCT((입력_파견수련계획!$Q$4:$Q$803=TRIM($J279&amp;""))*(입력_파견수련계획!$S$4:$S$803="서울병원")*입력_파견수련계획!$W$4:$W$803))+IF($AG279="서울병원",MAX(0,DAY(EOMONTH(출력_요약!$B$3,0))-N($X279)),0)))</f>
        <v/>
      </c>
      <c r="AI279" s="17">
        <f>IF($B279="","",IF($AQ279&lt;&gt;"",N($AR279),IF(TRIM($J279&amp;"")="",0,SUMPRODUCT((입력_파견수련계획!$Q$4:$Q$803=TRIM($J279&amp;""))*(입력_파견수련계획!$S$4:$S$803="구리병원")*입력_파견수련계획!$W$4:$W$803))+IF($AG279="구리병원",MAX(0,DAY(EOMONTH(출력_요약!$B$3,0))-N($X279)),0)))</f>
        <v/>
      </c>
      <c r="AJ279" s="10">
        <f>IF(OR($B279="",TRIM($J279&amp;"")=""),"",IFERROR(MATCH(TRIM($J279&amp;"")&amp;"|월",입력_파견수련계획!$Z$4:$Z$803,0),""))</f>
        <v/>
      </c>
      <c r="AK279" s="10">
        <f>IF(OR($B279="",TRIM($J279&amp;"")=""),"",IFERROR(MATCH(TRIM($J279&amp;"")&amp;"|다기관",입력_파견수련계획!$AE$4:$AE$803,0),""))</f>
        <v/>
      </c>
      <c r="AL279" s="10">
        <f>IF($AK279="","","다기관 "&amp;TEXT(INDEX(입력_파견수련계획!$AB$4:$AB$803,$AK279),"yyyy-mm-dd")&amp;"~"&amp;IF(ISNUMBER(INDEX(입력_파견수련계획!$AC$4:$AC$803,$AK279)),TEXT(INDEX(입력_파견수련계획!$AC$4:$AC$803,$AK279),"yyyy-mm-dd"),""))</f>
        <v/>
      </c>
      <c r="AM279" s="10">
        <f>IF($Y279="서울병원",COUNTIF($Y$2:$Y279,"서울병원"),"")</f>
        <v/>
      </c>
      <c r="AN279" s="10">
        <f>IF(LEFT($Y279,1)="⚠",COUNTIF($Y$2:$Y279,"⚠*"),"")</f>
        <v/>
      </c>
      <c r="AO279" s="10">
        <f>IF(OR($B279="",$Y279=""),"",IF(IF(TRIM($J279&amp;"")="",0,SUMPRODUCT((입력_파견수련계획!$Q$4:$Q$803=TRIM($J279&amp;""))*입력_파견수련계획!$AD$4:$AD$803))&gt;0,"다기관 기간 → 소속병원 지급",IF(AND(N($X279)&lt;=0,$AQ279=""),"파견 없음 → 그 달 근무병원 지급",IF($AH279+$AI279=DAY(EOMONTH(출력_요약!$B$3,0)),"서울 "&amp;$AH279&amp;"일 / 구리 "&amp;$AI279&amp;"일"&amp;IF($AQ279&lt;&gt;""," (구리 근무자명단 반영)","")&amp;" → 15일 이상 근무 병원 지급","타 병원 포함 → "&amp;IF($AJ279="","소속",INDEX(입력_파견수련계획!$T$4:$T$803,$AJ279))&amp;" 규칙"))))</f>
        <v/>
      </c>
      <c r="AP279" s="10">
        <f>IF($B279="","",$C279&amp;"|"&amp;$F279)</f>
        <v/>
      </c>
      <c r="AQ279" s="10">
        <f>IF($B279="","",IFERROR(MATCH(ROW()-1,출력_구리근무자!$K$6:$K$305,0),""))</f>
        <v/>
      </c>
      <c r="AR279" s="10">
        <f>IF($AQ279="","",INDEX(출력_구리근무자!$H$6:$H$305,$AQ279))</f>
        <v/>
      </c>
    </row>
    <row r="280">
      <c r="A280" s="10">
        <f>IF(B280="","",ROW()-1)</f>
        <v/>
      </c>
      <c r="B280" s="19" t="n"/>
      <c r="C280" s="10">
        <f>IF($AB280="","",IF(INDEX(입력_기본자료!$C$2:$C$1001,$AB280)="","",INDEX(입력_기본자료!$C$2:$C$1001,$AB280)))</f>
        <v/>
      </c>
      <c r="D280" s="10">
        <f>IF($AB280="","",IF(INDEX(입력_기본자료!$J$2:$J$1001,$AB280)="","",INDEX(입력_기본자료!$J$2:$J$1001,$AB280)))</f>
        <v/>
      </c>
      <c r="E280" s="11">
        <f>IF($AB280="","",IF(INDEX(입력_기본자료!$K$2:$K$1001,$AB280)="","",IF(NOT(ISNUMBER(INDEX(입력_기본자료!$K$2:$K$1001,$AB280))),INDEX(입력_기본자료!$K$2:$K$1001,$AB280),IF(INDEX(입력_기본자료!$K$2:$K$1001,$AB280)&lt;1000000,INDEX(입력_기본자료!$K$2:$K$1001,$AB280),IF(AND(INDEX(입력_기본자료!$K$2:$K$1001,$AB280)&gt;=10000101,INT(MOD(INDEX(입력_기본자료!$K$2:$K$1001,$AB280),10000)/100)&gt;=1,INT(MOD(INDEX(입력_기본자료!$K$2:$K$1001,$AB280),10000)/100)&lt;=12,MOD(INDEX(입력_기본자료!$K$2:$K$1001,$AB280),100)&gt;=1,MOD(INDEX(입력_기본자료!$K$2:$K$1001,$AB280),100)&lt;=31),DATE(INT(INDEX(입력_기본자료!$K$2:$K$1001,$AB280)/10000),INT(MOD(INDEX(입력_기본자료!$K$2:$K$1001,$AB280),10000)/100),MOD(INDEX(입력_기본자료!$K$2:$K$1001,$AB280),100)),INDEX(입력_기본자료!$K$2:$K$1001,$AB280)&amp;"")))))</f>
        <v/>
      </c>
      <c r="F280" s="10">
        <f>IF($AB280="","",IF(INDEX(입력_기본자료!$D$2:$D$1001,$AB280)="","",INDEX(입력_기본자료!$D$2:$D$1001,$AB280)))</f>
        <v/>
      </c>
      <c r="G280" s="10">
        <f>IF($AB280="","",IF(INDEX(입력_기본자료!$E$2:$E$1001,$AB280)="","",INDEX(입력_기본자료!$E$2:$E$1001,$AB280)))</f>
        <v/>
      </c>
      <c r="H280" s="10">
        <f>IF($AB280="","",IF(INDEX(입력_기본자료!$F$2:$F$1001,$AB280)="","",INDEX(입력_기본자료!$F$2:$F$1001,$AB280)))</f>
        <v/>
      </c>
      <c r="I280" s="11">
        <f>IF($AB280="","",IF(INDEX(입력_기본자료!$G$2:$G$1001,$AB280)="","",IF(NOT(ISNUMBER(INDEX(입력_기본자료!$G$2:$G$1001,$AB280))),INDEX(입력_기본자료!$G$2:$G$1001,$AB280),IF(INDEX(입력_기본자료!$G$2:$G$1001,$AB280)&lt;1000000,INDEX(입력_기본자료!$G$2:$G$1001,$AB280),IF(AND(INDEX(입력_기본자료!$G$2:$G$1001,$AB280)&gt;=10000101,INT(MOD(INDEX(입력_기본자료!$G$2:$G$1001,$AB280),10000)/100)&gt;=1,INT(MOD(INDEX(입력_기본자료!$G$2:$G$1001,$AB280),10000)/100)&lt;=12,MOD(INDEX(입력_기본자료!$G$2:$G$1001,$AB280),100)&gt;=1,MOD(INDEX(입력_기본자료!$G$2:$G$1001,$AB280),100)&lt;=31),DATE(INT(INDEX(입력_기본자료!$G$2:$G$1001,$AB280)/10000),INT(MOD(INDEX(입력_기본자료!$G$2:$G$1001,$AB280),10000)/100),MOD(INDEX(입력_기본자료!$G$2:$G$1001,$AB280),100)),INDEX(입력_기본자료!$G$2:$G$1001,$AB280)&amp;"")))))</f>
        <v/>
      </c>
      <c r="J280" s="10">
        <f>IF($AB280="","",IF(INDEX(입력_기본자료!$H$2:$H$1001,$AB280)="","",INDEX(입력_기본자료!$H$2:$H$1001,$AB280)))</f>
        <v/>
      </c>
      <c r="K280" s="10">
        <f>IF($AB280="","",IF(INDEX(입력_기본자료!$I$2:$I$1001,$AB280)="","",INDEX(입력_기본자료!$I$2:$I$1001,$AB280)))</f>
        <v/>
      </c>
      <c r="L280" s="10">
        <f>IF($AB280="","",IF(INDEX(입력_기본자료!$A$2:$A$1001,$AB280)="","",INDEX(입력_기본자료!$A$2:$A$1001,$AB280)))</f>
        <v/>
      </c>
      <c r="M280" s="15" t="n"/>
      <c r="N280" s="10">
        <f>IF($B280="","",IF(AND($U280="파견중",$Q280&lt;&gt;""),$Q280,IF(AND($AD280&lt;&gt;"",LEFT($AD280,1)&lt;&gt;"⚠"),LEFT($AD280,FIND(" ",$AD280)-1),IF($H280="","",IF(RIGHT($H280,2)="병원",$H280,$H280&amp;"병원")))))</f>
        <v/>
      </c>
      <c r="O280" s="10">
        <f>IF($B280="","",IF(AND($U280="파견중",$Q280&lt;&gt;""),IF($R280&lt;&gt;"",$R280,"파견과 미입력"),IF(AND($AD280&lt;&gt;"",LEFT($AD280,1)&lt;&gt;"⚠"),MID($AD280,FIND(" ",$AD280)+1,60),IF($F280="","",IF($F280="인턴","수련교육부(인턴)",$F280)))))</f>
        <v/>
      </c>
      <c r="P280" s="10">
        <f>IF($B280="","",IF($AK280&lt;&gt;"",IF(AND(TODAY()&gt;=INDEX(입력_파견수련계획!$AB$4:$AB$803,$AK280),OR(NOT(ISNUMBER(INDEX(입력_파견수련계획!$AC$4:$AC$803,$AK280))),TODAY()&lt;=INDEX(입력_파견수련계획!$AC$4:$AC$803,$AK280))),"다기관",IF($AF280="","",INDEX(입력_파견수련계획!$T$4:$T$803,$AF280))),IF($AF280="","",INDEX(입력_파견수련계획!$T$4:$T$803,$AF280))))</f>
        <v/>
      </c>
      <c r="Q280" s="10">
        <f>IF($AF280="","",INDEX(입력_파견수련계획!$S$4:$S$803,$AF280))</f>
        <v/>
      </c>
      <c r="R280" s="10">
        <f>IF($AF280="","",INDEX(입력_파견수련계획!$U$4:$U$803,$AF280))</f>
        <v/>
      </c>
      <c r="S280" s="11">
        <f>IF($AF280="","",IF(INDEX(입력_파견수련계획!$H$4:$H$803,$AF280)="","",INDEX(입력_파견수련계획!$H$4:$H$803,$AF280)))</f>
        <v/>
      </c>
      <c r="T280" s="11">
        <f>IF($AF280="","",IF(INDEX(입력_파견수련계획!$I$4:$I$803,$AF280)="","",INDEX(입력_파견수련계획!$I$4:$I$803,$AF280)))</f>
        <v/>
      </c>
      <c r="U280" s="10">
        <f>IF($AF280="","",INDEX(입력_파견수련계획!$X$4:$X$803,$AF280))</f>
        <v/>
      </c>
      <c r="V280" s="17">
        <f>IF($AF280="","",INDEX(입력_파견수련계획!$V$4:$V$803,$AF280))</f>
        <v/>
      </c>
      <c r="W280" s="17">
        <f>IF(AND($U280="파견중",$T280&lt;&gt;""),$T280-TODAY(),"")</f>
        <v/>
      </c>
      <c r="X280" s="17">
        <f>IF(OR($B280="",TRIM($J280&amp;"")=""),"",SUMPRODUCT((입력_파견수련계획!$Q$4:$Q$803=TRIM($J280&amp;""))*입력_파견수련계획!$W$4:$W$803))</f>
        <v/>
      </c>
      <c r="Y280" s="10">
        <f>IF($B280="","",IF($AG280="","",IF(IF(TRIM($J280&amp;"")="",0,SUMPRODUCT((입력_파견수련계획!$Q$4:$Q$803=TRIM($J280&amp;""))*입력_파견수련계획!$AD$4:$AD$803))&gt;0,$AE280,IF(AND(N($X280)&lt;=0,$AQ280=""),$AG280,IF($AH280+$AI280=DAY(EOMONTH(출력_요약!$B$3,0)),IF(AND($AH280&gt;=출력_요약!$E$3,$AI280&lt;출력_요약!$E$3),"서울병원",IF(AND($AI280&gt;=출력_요약!$E$3,$AH280&lt;출력_요약!$E$3),"구리병원","⚠15일 판정불가(서울 "&amp;$AH280&amp;"일/구리 "&amp;$AI280&amp;"일)")),IF($AJ280="",$AE280,IF(INDEX(입력_파견수련계획!$T$4:$T$803,$AJ280)="통합수련",INDEX(입력_파견수련계획!$S$4:$S$803,$AJ280),$AE280)))))))</f>
        <v/>
      </c>
      <c r="Z280" s="20">
        <f>IF($B280="","",IF($AB280="","기본자료에 없는 사번",IF(COUNTIF($B$2:$B$401,$B280)&gt;1,"중복 사번",IF($AE280="","소속(입사장소) 입력",IF(IF(TRIM($J280&amp;"")="",0,SUMPRODUCT((입력_파견수련계획!$Q$4:$Q$803=TRIM($J280&amp;""))*(입력_파견수련계획!$AA$4:$AA$803&lt;&gt;"")))&gt;0,"파견수련계획 입력오류 확인",IF(LEFT($Y280,1)="⚠","서울·구리 15일 판정 불가(양쪽 모두 이상/미만)",IF(IF($AC280="",0,N(INDEX(입력_인턴근무계획!$T$3:$T$402,$AC280)))&gt;0,"인턴계획 입력오류 확인",IF(AND($AQ280&lt;&gt;"",$AG280&lt;&gt;"구리병원",IF(TRIM($J280&amp;"")="",0,SUMPRODUCT((입력_파견수련계획!$Q$4:$Q$803=TRIM($J280&amp;""))*(입력_파견수련계획!$S$4:$S$803="구리병원")*입력_파견수련계획!$W$4:$W$803))=0),"구리 근무자명단에만 있음(파견수련계획 확인)",IF(AND($AC280&lt;&gt;"",$U280&lt;&gt;"파견중",$N280&lt;&gt;$AE280),"인턴 타지역 근무: 파견 여부 확인","정상")))))))))</f>
        <v/>
      </c>
      <c r="AA280" s="5" t="n"/>
      <c r="AB280" s="10">
        <f>IF($B280="","",IFERROR(MATCH($B280,입력_기본자료!$B$2:$B$1001,0),IFERROR(MATCH($B280&amp;"",입력_기본자료!$B$2:$B$1001,0),IFERROR(MATCH(VALUE($B280),입력_기본자료!$B$2:$B$1001,0),""))))</f>
        <v/>
      </c>
      <c r="AC280" s="10">
        <f>IF($B280="","",IFERROR(MATCH($B280,입력_인턴근무계획!$D$3:$D$402,0),IFERROR(MATCH($B280&amp;"",입력_인턴근무계획!$D$3:$D$402,0),IFERROR(MATCH(VALUE($B280),입력_인턴근무계획!$D$3:$D$402,0),""))))</f>
        <v/>
      </c>
      <c r="AD280" s="10">
        <f>IF(OR($AC280="",출력_인턴현황!$G$3=""),"",INDEX(입력_인턴근무계획!$M$3:$R$402,$AC280,출력_인턴현황!$G$3)&amp;"")</f>
        <v/>
      </c>
      <c r="AE280" s="10">
        <f>IF($B280="","",IF($M280&lt;&gt;"",$M280,IF(IF($AQ280="",FALSE,INDEX(출력_구리근무자!$J$6:$J$305,$AQ280)="구리독자"),"구리병원",IF($AF280&lt;&gt;"",IF(LEFT(INDEX(입력_파견수련계획!$R$4:$R$803,$AF280),1)&lt;&gt;"⚠",INDEX(입력_파견수련계획!$R$4:$R$803,$AF280),IF($H280="","",IF(RIGHT($H280,2)="병원",$H280,$H280&amp;"병원"))),IF($H280="","",IF(RIGHT($H280,2)="병원",$H280,$H280&amp;"병원"))))))</f>
        <v/>
      </c>
      <c r="AF280" s="10">
        <f>IF(OR($B280="",TRIM($J280&amp;"")=""),"",IFERROR(MATCH(TRIM($J280&amp;"")&amp;"|파견중",입력_파견수련계획!$Y$4:$Y$803,0),IFERROR(MATCH(TRIM($J280&amp;"")&amp;"|파견예정",입력_파견수련계획!$Y$4:$Y$803,0),IFERROR(MATCH(TRIM($J280&amp;"")&amp;"|파견종료",입력_파견수련계획!$Y$4:$Y$803,0),""))))</f>
        <v/>
      </c>
      <c r="AG280" s="10">
        <f>IF($B280="","",IF(AND(IF(OR($AC280="",출력_인턴현황!$K$2=""),"",INDEX(입력_인턴근무계획!$M$3:$R$402,$AC280,출력_인턴현황!$K$2)&amp;"")&lt;&gt;"",LEFT(IF(OR($AC280="",출력_인턴현황!$K$2=""),"",INDEX(입력_인턴근무계획!$M$3:$R$402,$AC280,출력_인턴현황!$K$2)&amp;""),1)&lt;&gt;"⚠"),LEFT(IF(OR($AC280="",출력_인턴현황!$K$2=""),"",INDEX(입력_인턴근무계획!$M$3:$R$402,$AC280,출력_인턴현황!$K$2)&amp;""),FIND(" ",IF(OR($AC280="",출력_인턴현황!$K$2=""),"",INDEX(입력_인턴근무계획!$M$3:$R$402,$AC280,출력_인턴현황!$K$2)&amp;""))-1),$AE280))</f>
        <v/>
      </c>
      <c r="AH280" s="17">
        <f>IF($B280="","",IF($AQ280&lt;&gt;"",MAX(0,DAY(EOMONTH(출력_요약!$B$3,0))-N($AR280)),IF(TRIM($J280&amp;"")="",0,SUMPRODUCT((입력_파견수련계획!$Q$4:$Q$803=TRIM($J280&amp;""))*(입력_파견수련계획!$S$4:$S$803="서울병원")*입력_파견수련계획!$W$4:$W$803))+IF($AG280="서울병원",MAX(0,DAY(EOMONTH(출력_요약!$B$3,0))-N($X280)),0)))</f>
        <v/>
      </c>
      <c r="AI280" s="17">
        <f>IF($B280="","",IF($AQ280&lt;&gt;"",N($AR280),IF(TRIM($J280&amp;"")="",0,SUMPRODUCT((입력_파견수련계획!$Q$4:$Q$803=TRIM($J280&amp;""))*(입력_파견수련계획!$S$4:$S$803="구리병원")*입력_파견수련계획!$W$4:$W$803))+IF($AG280="구리병원",MAX(0,DAY(EOMONTH(출력_요약!$B$3,0))-N($X280)),0)))</f>
        <v/>
      </c>
      <c r="AJ280" s="10">
        <f>IF(OR($B280="",TRIM($J280&amp;"")=""),"",IFERROR(MATCH(TRIM($J280&amp;"")&amp;"|월",입력_파견수련계획!$Z$4:$Z$803,0),""))</f>
        <v/>
      </c>
      <c r="AK280" s="10">
        <f>IF(OR($B280="",TRIM($J280&amp;"")=""),"",IFERROR(MATCH(TRIM($J280&amp;"")&amp;"|다기관",입력_파견수련계획!$AE$4:$AE$803,0),""))</f>
        <v/>
      </c>
      <c r="AL280" s="10">
        <f>IF($AK280="","","다기관 "&amp;TEXT(INDEX(입력_파견수련계획!$AB$4:$AB$803,$AK280),"yyyy-mm-dd")&amp;"~"&amp;IF(ISNUMBER(INDEX(입력_파견수련계획!$AC$4:$AC$803,$AK280)),TEXT(INDEX(입력_파견수련계획!$AC$4:$AC$803,$AK280),"yyyy-mm-dd"),""))</f>
        <v/>
      </c>
      <c r="AM280" s="10">
        <f>IF($Y280="서울병원",COUNTIF($Y$2:$Y280,"서울병원"),"")</f>
        <v/>
      </c>
      <c r="AN280" s="10">
        <f>IF(LEFT($Y280,1)="⚠",COUNTIF($Y$2:$Y280,"⚠*"),"")</f>
        <v/>
      </c>
      <c r="AO280" s="10">
        <f>IF(OR($B280="",$Y280=""),"",IF(IF(TRIM($J280&amp;"")="",0,SUMPRODUCT((입력_파견수련계획!$Q$4:$Q$803=TRIM($J280&amp;""))*입력_파견수련계획!$AD$4:$AD$803))&gt;0,"다기관 기간 → 소속병원 지급",IF(AND(N($X280)&lt;=0,$AQ280=""),"파견 없음 → 그 달 근무병원 지급",IF($AH280+$AI280=DAY(EOMONTH(출력_요약!$B$3,0)),"서울 "&amp;$AH280&amp;"일 / 구리 "&amp;$AI280&amp;"일"&amp;IF($AQ280&lt;&gt;""," (구리 근무자명단 반영)","")&amp;" → 15일 이상 근무 병원 지급","타 병원 포함 → "&amp;IF($AJ280="","소속",INDEX(입력_파견수련계획!$T$4:$T$803,$AJ280))&amp;" 규칙"))))</f>
        <v/>
      </c>
      <c r="AP280" s="10">
        <f>IF($B280="","",$C280&amp;"|"&amp;$F280)</f>
        <v/>
      </c>
      <c r="AQ280" s="10">
        <f>IF($B280="","",IFERROR(MATCH(ROW()-1,출력_구리근무자!$K$6:$K$305,0),""))</f>
        <v/>
      </c>
      <c r="AR280" s="10">
        <f>IF($AQ280="","",INDEX(출력_구리근무자!$H$6:$H$305,$AQ280))</f>
        <v/>
      </c>
    </row>
    <row r="281">
      <c r="A281" s="10">
        <f>IF(B281="","",ROW()-1)</f>
        <v/>
      </c>
      <c r="B281" s="19" t="n"/>
      <c r="C281" s="10">
        <f>IF($AB281="","",IF(INDEX(입력_기본자료!$C$2:$C$1001,$AB281)="","",INDEX(입력_기본자료!$C$2:$C$1001,$AB281)))</f>
        <v/>
      </c>
      <c r="D281" s="10">
        <f>IF($AB281="","",IF(INDEX(입력_기본자료!$J$2:$J$1001,$AB281)="","",INDEX(입력_기본자료!$J$2:$J$1001,$AB281)))</f>
        <v/>
      </c>
      <c r="E281" s="11">
        <f>IF($AB281="","",IF(INDEX(입력_기본자료!$K$2:$K$1001,$AB281)="","",IF(NOT(ISNUMBER(INDEX(입력_기본자료!$K$2:$K$1001,$AB281))),INDEX(입력_기본자료!$K$2:$K$1001,$AB281),IF(INDEX(입력_기본자료!$K$2:$K$1001,$AB281)&lt;1000000,INDEX(입력_기본자료!$K$2:$K$1001,$AB281),IF(AND(INDEX(입력_기본자료!$K$2:$K$1001,$AB281)&gt;=10000101,INT(MOD(INDEX(입력_기본자료!$K$2:$K$1001,$AB281),10000)/100)&gt;=1,INT(MOD(INDEX(입력_기본자료!$K$2:$K$1001,$AB281),10000)/100)&lt;=12,MOD(INDEX(입력_기본자료!$K$2:$K$1001,$AB281),100)&gt;=1,MOD(INDEX(입력_기본자료!$K$2:$K$1001,$AB281),100)&lt;=31),DATE(INT(INDEX(입력_기본자료!$K$2:$K$1001,$AB281)/10000),INT(MOD(INDEX(입력_기본자료!$K$2:$K$1001,$AB281),10000)/100),MOD(INDEX(입력_기본자료!$K$2:$K$1001,$AB281),100)),INDEX(입력_기본자료!$K$2:$K$1001,$AB281)&amp;"")))))</f>
        <v/>
      </c>
      <c r="F281" s="10">
        <f>IF($AB281="","",IF(INDEX(입력_기본자료!$D$2:$D$1001,$AB281)="","",INDEX(입력_기본자료!$D$2:$D$1001,$AB281)))</f>
        <v/>
      </c>
      <c r="G281" s="10">
        <f>IF($AB281="","",IF(INDEX(입력_기본자료!$E$2:$E$1001,$AB281)="","",INDEX(입력_기본자료!$E$2:$E$1001,$AB281)))</f>
        <v/>
      </c>
      <c r="H281" s="10">
        <f>IF($AB281="","",IF(INDEX(입력_기본자료!$F$2:$F$1001,$AB281)="","",INDEX(입력_기본자료!$F$2:$F$1001,$AB281)))</f>
        <v/>
      </c>
      <c r="I281" s="11">
        <f>IF($AB281="","",IF(INDEX(입력_기본자료!$G$2:$G$1001,$AB281)="","",IF(NOT(ISNUMBER(INDEX(입력_기본자료!$G$2:$G$1001,$AB281))),INDEX(입력_기본자료!$G$2:$G$1001,$AB281),IF(INDEX(입력_기본자료!$G$2:$G$1001,$AB281)&lt;1000000,INDEX(입력_기본자료!$G$2:$G$1001,$AB281),IF(AND(INDEX(입력_기본자료!$G$2:$G$1001,$AB281)&gt;=10000101,INT(MOD(INDEX(입력_기본자료!$G$2:$G$1001,$AB281),10000)/100)&gt;=1,INT(MOD(INDEX(입력_기본자료!$G$2:$G$1001,$AB281),10000)/100)&lt;=12,MOD(INDEX(입력_기본자료!$G$2:$G$1001,$AB281),100)&gt;=1,MOD(INDEX(입력_기본자료!$G$2:$G$1001,$AB281),100)&lt;=31),DATE(INT(INDEX(입력_기본자료!$G$2:$G$1001,$AB281)/10000),INT(MOD(INDEX(입력_기본자료!$G$2:$G$1001,$AB281),10000)/100),MOD(INDEX(입력_기본자료!$G$2:$G$1001,$AB281),100)),INDEX(입력_기본자료!$G$2:$G$1001,$AB281)&amp;"")))))</f>
        <v/>
      </c>
      <c r="J281" s="10">
        <f>IF($AB281="","",IF(INDEX(입력_기본자료!$H$2:$H$1001,$AB281)="","",INDEX(입력_기본자료!$H$2:$H$1001,$AB281)))</f>
        <v/>
      </c>
      <c r="K281" s="10">
        <f>IF($AB281="","",IF(INDEX(입력_기본자료!$I$2:$I$1001,$AB281)="","",INDEX(입력_기본자료!$I$2:$I$1001,$AB281)))</f>
        <v/>
      </c>
      <c r="L281" s="10">
        <f>IF($AB281="","",IF(INDEX(입력_기본자료!$A$2:$A$1001,$AB281)="","",INDEX(입력_기본자료!$A$2:$A$1001,$AB281)))</f>
        <v/>
      </c>
      <c r="M281" s="15" t="n"/>
      <c r="N281" s="10">
        <f>IF($B281="","",IF(AND($U281="파견중",$Q281&lt;&gt;""),$Q281,IF(AND($AD281&lt;&gt;"",LEFT($AD281,1)&lt;&gt;"⚠"),LEFT($AD281,FIND(" ",$AD281)-1),IF($H281="","",IF(RIGHT($H281,2)="병원",$H281,$H281&amp;"병원")))))</f>
        <v/>
      </c>
      <c r="O281" s="10">
        <f>IF($B281="","",IF(AND($U281="파견중",$Q281&lt;&gt;""),IF($R281&lt;&gt;"",$R281,"파견과 미입력"),IF(AND($AD281&lt;&gt;"",LEFT($AD281,1)&lt;&gt;"⚠"),MID($AD281,FIND(" ",$AD281)+1,60),IF($F281="","",IF($F281="인턴","수련교육부(인턴)",$F281)))))</f>
        <v/>
      </c>
      <c r="P281" s="10">
        <f>IF($B281="","",IF($AK281&lt;&gt;"",IF(AND(TODAY()&gt;=INDEX(입력_파견수련계획!$AB$4:$AB$803,$AK281),OR(NOT(ISNUMBER(INDEX(입력_파견수련계획!$AC$4:$AC$803,$AK281))),TODAY()&lt;=INDEX(입력_파견수련계획!$AC$4:$AC$803,$AK281))),"다기관",IF($AF281="","",INDEX(입력_파견수련계획!$T$4:$T$803,$AF281))),IF($AF281="","",INDEX(입력_파견수련계획!$T$4:$T$803,$AF281))))</f>
        <v/>
      </c>
      <c r="Q281" s="10">
        <f>IF($AF281="","",INDEX(입력_파견수련계획!$S$4:$S$803,$AF281))</f>
        <v/>
      </c>
      <c r="R281" s="10">
        <f>IF($AF281="","",INDEX(입력_파견수련계획!$U$4:$U$803,$AF281))</f>
        <v/>
      </c>
      <c r="S281" s="11">
        <f>IF($AF281="","",IF(INDEX(입력_파견수련계획!$H$4:$H$803,$AF281)="","",INDEX(입력_파견수련계획!$H$4:$H$803,$AF281)))</f>
        <v/>
      </c>
      <c r="T281" s="11">
        <f>IF($AF281="","",IF(INDEX(입력_파견수련계획!$I$4:$I$803,$AF281)="","",INDEX(입력_파견수련계획!$I$4:$I$803,$AF281)))</f>
        <v/>
      </c>
      <c r="U281" s="10">
        <f>IF($AF281="","",INDEX(입력_파견수련계획!$X$4:$X$803,$AF281))</f>
        <v/>
      </c>
      <c r="V281" s="17">
        <f>IF($AF281="","",INDEX(입력_파견수련계획!$V$4:$V$803,$AF281))</f>
        <v/>
      </c>
      <c r="W281" s="17">
        <f>IF(AND($U281="파견중",$T281&lt;&gt;""),$T281-TODAY(),"")</f>
        <v/>
      </c>
      <c r="X281" s="17">
        <f>IF(OR($B281="",TRIM($J281&amp;"")=""),"",SUMPRODUCT((입력_파견수련계획!$Q$4:$Q$803=TRIM($J281&amp;""))*입력_파견수련계획!$W$4:$W$803))</f>
        <v/>
      </c>
      <c r="Y281" s="10">
        <f>IF($B281="","",IF($AG281="","",IF(IF(TRIM($J281&amp;"")="",0,SUMPRODUCT((입력_파견수련계획!$Q$4:$Q$803=TRIM($J281&amp;""))*입력_파견수련계획!$AD$4:$AD$803))&gt;0,$AE281,IF(AND(N($X281)&lt;=0,$AQ281=""),$AG281,IF($AH281+$AI281=DAY(EOMONTH(출력_요약!$B$3,0)),IF(AND($AH281&gt;=출력_요약!$E$3,$AI281&lt;출력_요약!$E$3),"서울병원",IF(AND($AI281&gt;=출력_요약!$E$3,$AH281&lt;출력_요약!$E$3),"구리병원","⚠15일 판정불가(서울 "&amp;$AH281&amp;"일/구리 "&amp;$AI281&amp;"일)")),IF($AJ281="",$AE281,IF(INDEX(입력_파견수련계획!$T$4:$T$803,$AJ281)="통합수련",INDEX(입력_파견수련계획!$S$4:$S$803,$AJ281),$AE281)))))))</f>
        <v/>
      </c>
      <c r="Z281" s="20">
        <f>IF($B281="","",IF($AB281="","기본자료에 없는 사번",IF(COUNTIF($B$2:$B$401,$B281)&gt;1,"중복 사번",IF($AE281="","소속(입사장소) 입력",IF(IF(TRIM($J281&amp;"")="",0,SUMPRODUCT((입력_파견수련계획!$Q$4:$Q$803=TRIM($J281&amp;""))*(입력_파견수련계획!$AA$4:$AA$803&lt;&gt;"")))&gt;0,"파견수련계획 입력오류 확인",IF(LEFT($Y281,1)="⚠","서울·구리 15일 판정 불가(양쪽 모두 이상/미만)",IF(IF($AC281="",0,N(INDEX(입력_인턴근무계획!$T$3:$T$402,$AC281)))&gt;0,"인턴계획 입력오류 확인",IF(AND($AQ281&lt;&gt;"",$AG281&lt;&gt;"구리병원",IF(TRIM($J281&amp;"")="",0,SUMPRODUCT((입력_파견수련계획!$Q$4:$Q$803=TRIM($J281&amp;""))*(입력_파견수련계획!$S$4:$S$803="구리병원")*입력_파견수련계획!$W$4:$W$803))=0),"구리 근무자명단에만 있음(파견수련계획 확인)",IF(AND($AC281&lt;&gt;"",$U281&lt;&gt;"파견중",$N281&lt;&gt;$AE281),"인턴 타지역 근무: 파견 여부 확인","정상")))))))))</f>
        <v/>
      </c>
      <c r="AA281" s="5" t="n"/>
      <c r="AB281" s="10">
        <f>IF($B281="","",IFERROR(MATCH($B281,입력_기본자료!$B$2:$B$1001,0),IFERROR(MATCH($B281&amp;"",입력_기본자료!$B$2:$B$1001,0),IFERROR(MATCH(VALUE($B281),입력_기본자료!$B$2:$B$1001,0),""))))</f>
        <v/>
      </c>
      <c r="AC281" s="10">
        <f>IF($B281="","",IFERROR(MATCH($B281,입력_인턴근무계획!$D$3:$D$402,0),IFERROR(MATCH($B281&amp;"",입력_인턴근무계획!$D$3:$D$402,0),IFERROR(MATCH(VALUE($B281),입력_인턴근무계획!$D$3:$D$402,0),""))))</f>
        <v/>
      </c>
      <c r="AD281" s="10">
        <f>IF(OR($AC281="",출력_인턴현황!$G$3=""),"",INDEX(입력_인턴근무계획!$M$3:$R$402,$AC281,출력_인턴현황!$G$3)&amp;"")</f>
        <v/>
      </c>
      <c r="AE281" s="10">
        <f>IF($B281="","",IF($M281&lt;&gt;"",$M281,IF(IF($AQ281="",FALSE,INDEX(출력_구리근무자!$J$6:$J$305,$AQ281)="구리독자"),"구리병원",IF($AF281&lt;&gt;"",IF(LEFT(INDEX(입력_파견수련계획!$R$4:$R$803,$AF281),1)&lt;&gt;"⚠",INDEX(입력_파견수련계획!$R$4:$R$803,$AF281),IF($H281="","",IF(RIGHT($H281,2)="병원",$H281,$H281&amp;"병원"))),IF($H281="","",IF(RIGHT($H281,2)="병원",$H281,$H281&amp;"병원"))))))</f>
        <v/>
      </c>
      <c r="AF281" s="10">
        <f>IF(OR($B281="",TRIM($J281&amp;"")=""),"",IFERROR(MATCH(TRIM($J281&amp;"")&amp;"|파견중",입력_파견수련계획!$Y$4:$Y$803,0),IFERROR(MATCH(TRIM($J281&amp;"")&amp;"|파견예정",입력_파견수련계획!$Y$4:$Y$803,0),IFERROR(MATCH(TRIM($J281&amp;"")&amp;"|파견종료",입력_파견수련계획!$Y$4:$Y$803,0),""))))</f>
        <v/>
      </c>
      <c r="AG281" s="10">
        <f>IF($B281="","",IF(AND(IF(OR($AC281="",출력_인턴현황!$K$2=""),"",INDEX(입력_인턴근무계획!$M$3:$R$402,$AC281,출력_인턴현황!$K$2)&amp;"")&lt;&gt;"",LEFT(IF(OR($AC281="",출력_인턴현황!$K$2=""),"",INDEX(입력_인턴근무계획!$M$3:$R$402,$AC281,출력_인턴현황!$K$2)&amp;""),1)&lt;&gt;"⚠"),LEFT(IF(OR($AC281="",출력_인턴현황!$K$2=""),"",INDEX(입력_인턴근무계획!$M$3:$R$402,$AC281,출력_인턴현황!$K$2)&amp;""),FIND(" ",IF(OR($AC281="",출력_인턴현황!$K$2=""),"",INDEX(입력_인턴근무계획!$M$3:$R$402,$AC281,출력_인턴현황!$K$2)&amp;""))-1),$AE281))</f>
        <v/>
      </c>
      <c r="AH281" s="17">
        <f>IF($B281="","",IF($AQ281&lt;&gt;"",MAX(0,DAY(EOMONTH(출력_요약!$B$3,0))-N($AR281)),IF(TRIM($J281&amp;"")="",0,SUMPRODUCT((입력_파견수련계획!$Q$4:$Q$803=TRIM($J281&amp;""))*(입력_파견수련계획!$S$4:$S$803="서울병원")*입력_파견수련계획!$W$4:$W$803))+IF($AG281="서울병원",MAX(0,DAY(EOMONTH(출력_요약!$B$3,0))-N($X281)),0)))</f>
        <v/>
      </c>
      <c r="AI281" s="17">
        <f>IF($B281="","",IF($AQ281&lt;&gt;"",N($AR281),IF(TRIM($J281&amp;"")="",0,SUMPRODUCT((입력_파견수련계획!$Q$4:$Q$803=TRIM($J281&amp;""))*(입력_파견수련계획!$S$4:$S$803="구리병원")*입력_파견수련계획!$W$4:$W$803))+IF($AG281="구리병원",MAX(0,DAY(EOMONTH(출력_요약!$B$3,0))-N($X281)),0)))</f>
        <v/>
      </c>
      <c r="AJ281" s="10">
        <f>IF(OR($B281="",TRIM($J281&amp;"")=""),"",IFERROR(MATCH(TRIM($J281&amp;"")&amp;"|월",입력_파견수련계획!$Z$4:$Z$803,0),""))</f>
        <v/>
      </c>
      <c r="AK281" s="10">
        <f>IF(OR($B281="",TRIM($J281&amp;"")=""),"",IFERROR(MATCH(TRIM($J281&amp;"")&amp;"|다기관",입력_파견수련계획!$AE$4:$AE$803,0),""))</f>
        <v/>
      </c>
      <c r="AL281" s="10">
        <f>IF($AK281="","","다기관 "&amp;TEXT(INDEX(입력_파견수련계획!$AB$4:$AB$803,$AK281),"yyyy-mm-dd")&amp;"~"&amp;IF(ISNUMBER(INDEX(입력_파견수련계획!$AC$4:$AC$803,$AK281)),TEXT(INDEX(입력_파견수련계획!$AC$4:$AC$803,$AK281),"yyyy-mm-dd"),""))</f>
        <v/>
      </c>
      <c r="AM281" s="10">
        <f>IF($Y281="서울병원",COUNTIF($Y$2:$Y281,"서울병원"),"")</f>
        <v/>
      </c>
      <c r="AN281" s="10">
        <f>IF(LEFT($Y281,1)="⚠",COUNTIF($Y$2:$Y281,"⚠*"),"")</f>
        <v/>
      </c>
      <c r="AO281" s="10">
        <f>IF(OR($B281="",$Y281=""),"",IF(IF(TRIM($J281&amp;"")="",0,SUMPRODUCT((입력_파견수련계획!$Q$4:$Q$803=TRIM($J281&amp;""))*입력_파견수련계획!$AD$4:$AD$803))&gt;0,"다기관 기간 → 소속병원 지급",IF(AND(N($X281)&lt;=0,$AQ281=""),"파견 없음 → 그 달 근무병원 지급",IF($AH281+$AI281=DAY(EOMONTH(출력_요약!$B$3,0)),"서울 "&amp;$AH281&amp;"일 / 구리 "&amp;$AI281&amp;"일"&amp;IF($AQ281&lt;&gt;""," (구리 근무자명단 반영)","")&amp;" → 15일 이상 근무 병원 지급","타 병원 포함 → "&amp;IF($AJ281="","소속",INDEX(입력_파견수련계획!$T$4:$T$803,$AJ281))&amp;" 규칙"))))</f>
        <v/>
      </c>
      <c r="AP281" s="10">
        <f>IF($B281="","",$C281&amp;"|"&amp;$F281)</f>
        <v/>
      </c>
      <c r="AQ281" s="10">
        <f>IF($B281="","",IFERROR(MATCH(ROW()-1,출력_구리근무자!$K$6:$K$305,0),""))</f>
        <v/>
      </c>
      <c r="AR281" s="10">
        <f>IF($AQ281="","",INDEX(출력_구리근무자!$H$6:$H$305,$AQ281))</f>
        <v/>
      </c>
    </row>
    <row r="282">
      <c r="A282" s="10">
        <f>IF(B282="","",ROW()-1)</f>
        <v/>
      </c>
      <c r="B282" s="19" t="n"/>
      <c r="C282" s="10">
        <f>IF($AB282="","",IF(INDEX(입력_기본자료!$C$2:$C$1001,$AB282)="","",INDEX(입력_기본자료!$C$2:$C$1001,$AB282)))</f>
        <v/>
      </c>
      <c r="D282" s="10">
        <f>IF($AB282="","",IF(INDEX(입력_기본자료!$J$2:$J$1001,$AB282)="","",INDEX(입력_기본자료!$J$2:$J$1001,$AB282)))</f>
        <v/>
      </c>
      <c r="E282" s="11">
        <f>IF($AB282="","",IF(INDEX(입력_기본자료!$K$2:$K$1001,$AB282)="","",IF(NOT(ISNUMBER(INDEX(입력_기본자료!$K$2:$K$1001,$AB282))),INDEX(입력_기본자료!$K$2:$K$1001,$AB282),IF(INDEX(입력_기본자료!$K$2:$K$1001,$AB282)&lt;1000000,INDEX(입력_기본자료!$K$2:$K$1001,$AB282),IF(AND(INDEX(입력_기본자료!$K$2:$K$1001,$AB282)&gt;=10000101,INT(MOD(INDEX(입력_기본자료!$K$2:$K$1001,$AB282),10000)/100)&gt;=1,INT(MOD(INDEX(입력_기본자료!$K$2:$K$1001,$AB282),10000)/100)&lt;=12,MOD(INDEX(입력_기본자료!$K$2:$K$1001,$AB282),100)&gt;=1,MOD(INDEX(입력_기본자료!$K$2:$K$1001,$AB282),100)&lt;=31),DATE(INT(INDEX(입력_기본자료!$K$2:$K$1001,$AB282)/10000),INT(MOD(INDEX(입력_기본자료!$K$2:$K$1001,$AB282),10000)/100),MOD(INDEX(입력_기본자료!$K$2:$K$1001,$AB282),100)),INDEX(입력_기본자료!$K$2:$K$1001,$AB282)&amp;"")))))</f>
        <v/>
      </c>
      <c r="F282" s="10">
        <f>IF($AB282="","",IF(INDEX(입력_기본자료!$D$2:$D$1001,$AB282)="","",INDEX(입력_기본자료!$D$2:$D$1001,$AB282)))</f>
        <v/>
      </c>
      <c r="G282" s="10">
        <f>IF($AB282="","",IF(INDEX(입력_기본자료!$E$2:$E$1001,$AB282)="","",INDEX(입력_기본자료!$E$2:$E$1001,$AB282)))</f>
        <v/>
      </c>
      <c r="H282" s="10">
        <f>IF($AB282="","",IF(INDEX(입력_기본자료!$F$2:$F$1001,$AB282)="","",INDEX(입력_기본자료!$F$2:$F$1001,$AB282)))</f>
        <v/>
      </c>
      <c r="I282" s="11">
        <f>IF($AB282="","",IF(INDEX(입력_기본자료!$G$2:$G$1001,$AB282)="","",IF(NOT(ISNUMBER(INDEX(입력_기본자료!$G$2:$G$1001,$AB282))),INDEX(입력_기본자료!$G$2:$G$1001,$AB282),IF(INDEX(입력_기본자료!$G$2:$G$1001,$AB282)&lt;1000000,INDEX(입력_기본자료!$G$2:$G$1001,$AB282),IF(AND(INDEX(입력_기본자료!$G$2:$G$1001,$AB282)&gt;=10000101,INT(MOD(INDEX(입력_기본자료!$G$2:$G$1001,$AB282),10000)/100)&gt;=1,INT(MOD(INDEX(입력_기본자료!$G$2:$G$1001,$AB282),10000)/100)&lt;=12,MOD(INDEX(입력_기본자료!$G$2:$G$1001,$AB282),100)&gt;=1,MOD(INDEX(입력_기본자료!$G$2:$G$1001,$AB282),100)&lt;=31),DATE(INT(INDEX(입력_기본자료!$G$2:$G$1001,$AB282)/10000),INT(MOD(INDEX(입력_기본자료!$G$2:$G$1001,$AB282),10000)/100),MOD(INDEX(입력_기본자료!$G$2:$G$1001,$AB282),100)),INDEX(입력_기본자료!$G$2:$G$1001,$AB282)&amp;"")))))</f>
        <v/>
      </c>
      <c r="J282" s="10">
        <f>IF($AB282="","",IF(INDEX(입력_기본자료!$H$2:$H$1001,$AB282)="","",INDEX(입력_기본자료!$H$2:$H$1001,$AB282)))</f>
        <v/>
      </c>
      <c r="K282" s="10">
        <f>IF($AB282="","",IF(INDEX(입력_기본자료!$I$2:$I$1001,$AB282)="","",INDEX(입력_기본자료!$I$2:$I$1001,$AB282)))</f>
        <v/>
      </c>
      <c r="L282" s="10">
        <f>IF($AB282="","",IF(INDEX(입력_기본자료!$A$2:$A$1001,$AB282)="","",INDEX(입력_기본자료!$A$2:$A$1001,$AB282)))</f>
        <v/>
      </c>
      <c r="M282" s="15" t="n"/>
      <c r="N282" s="10">
        <f>IF($B282="","",IF(AND($U282="파견중",$Q282&lt;&gt;""),$Q282,IF(AND($AD282&lt;&gt;"",LEFT($AD282,1)&lt;&gt;"⚠"),LEFT($AD282,FIND(" ",$AD282)-1),IF($H282="","",IF(RIGHT($H282,2)="병원",$H282,$H282&amp;"병원")))))</f>
        <v/>
      </c>
      <c r="O282" s="10">
        <f>IF($B282="","",IF(AND($U282="파견중",$Q282&lt;&gt;""),IF($R282&lt;&gt;"",$R282,"파견과 미입력"),IF(AND($AD282&lt;&gt;"",LEFT($AD282,1)&lt;&gt;"⚠"),MID($AD282,FIND(" ",$AD282)+1,60),IF($F282="","",IF($F282="인턴","수련교육부(인턴)",$F282)))))</f>
        <v/>
      </c>
      <c r="P282" s="10">
        <f>IF($B282="","",IF($AK282&lt;&gt;"",IF(AND(TODAY()&gt;=INDEX(입력_파견수련계획!$AB$4:$AB$803,$AK282),OR(NOT(ISNUMBER(INDEX(입력_파견수련계획!$AC$4:$AC$803,$AK282))),TODAY()&lt;=INDEX(입력_파견수련계획!$AC$4:$AC$803,$AK282))),"다기관",IF($AF282="","",INDEX(입력_파견수련계획!$T$4:$T$803,$AF282))),IF($AF282="","",INDEX(입력_파견수련계획!$T$4:$T$803,$AF282))))</f>
        <v/>
      </c>
      <c r="Q282" s="10">
        <f>IF($AF282="","",INDEX(입력_파견수련계획!$S$4:$S$803,$AF282))</f>
        <v/>
      </c>
      <c r="R282" s="10">
        <f>IF($AF282="","",INDEX(입력_파견수련계획!$U$4:$U$803,$AF282))</f>
        <v/>
      </c>
      <c r="S282" s="11">
        <f>IF($AF282="","",IF(INDEX(입력_파견수련계획!$H$4:$H$803,$AF282)="","",INDEX(입력_파견수련계획!$H$4:$H$803,$AF282)))</f>
        <v/>
      </c>
      <c r="T282" s="11">
        <f>IF($AF282="","",IF(INDEX(입력_파견수련계획!$I$4:$I$803,$AF282)="","",INDEX(입력_파견수련계획!$I$4:$I$803,$AF282)))</f>
        <v/>
      </c>
      <c r="U282" s="10">
        <f>IF($AF282="","",INDEX(입력_파견수련계획!$X$4:$X$803,$AF282))</f>
        <v/>
      </c>
      <c r="V282" s="17">
        <f>IF($AF282="","",INDEX(입력_파견수련계획!$V$4:$V$803,$AF282))</f>
        <v/>
      </c>
      <c r="W282" s="17">
        <f>IF(AND($U282="파견중",$T282&lt;&gt;""),$T282-TODAY(),"")</f>
        <v/>
      </c>
      <c r="X282" s="17">
        <f>IF(OR($B282="",TRIM($J282&amp;"")=""),"",SUMPRODUCT((입력_파견수련계획!$Q$4:$Q$803=TRIM($J282&amp;""))*입력_파견수련계획!$W$4:$W$803))</f>
        <v/>
      </c>
      <c r="Y282" s="10">
        <f>IF($B282="","",IF($AG282="","",IF(IF(TRIM($J282&amp;"")="",0,SUMPRODUCT((입력_파견수련계획!$Q$4:$Q$803=TRIM($J282&amp;""))*입력_파견수련계획!$AD$4:$AD$803))&gt;0,$AE282,IF(AND(N($X282)&lt;=0,$AQ282=""),$AG282,IF($AH282+$AI282=DAY(EOMONTH(출력_요약!$B$3,0)),IF(AND($AH282&gt;=출력_요약!$E$3,$AI282&lt;출력_요약!$E$3),"서울병원",IF(AND($AI282&gt;=출력_요약!$E$3,$AH282&lt;출력_요약!$E$3),"구리병원","⚠15일 판정불가(서울 "&amp;$AH282&amp;"일/구리 "&amp;$AI282&amp;"일)")),IF($AJ282="",$AE282,IF(INDEX(입력_파견수련계획!$T$4:$T$803,$AJ282)="통합수련",INDEX(입력_파견수련계획!$S$4:$S$803,$AJ282),$AE282)))))))</f>
        <v/>
      </c>
      <c r="Z282" s="20">
        <f>IF($B282="","",IF($AB282="","기본자료에 없는 사번",IF(COUNTIF($B$2:$B$401,$B282)&gt;1,"중복 사번",IF($AE282="","소속(입사장소) 입력",IF(IF(TRIM($J282&amp;"")="",0,SUMPRODUCT((입력_파견수련계획!$Q$4:$Q$803=TRIM($J282&amp;""))*(입력_파견수련계획!$AA$4:$AA$803&lt;&gt;"")))&gt;0,"파견수련계획 입력오류 확인",IF(LEFT($Y282,1)="⚠","서울·구리 15일 판정 불가(양쪽 모두 이상/미만)",IF(IF($AC282="",0,N(INDEX(입력_인턴근무계획!$T$3:$T$402,$AC282)))&gt;0,"인턴계획 입력오류 확인",IF(AND($AQ282&lt;&gt;"",$AG282&lt;&gt;"구리병원",IF(TRIM($J282&amp;"")="",0,SUMPRODUCT((입력_파견수련계획!$Q$4:$Q$803=TRIM($J282&amp;""))*(입력_파견수련계획!$S$4:$S$803="구리병원")*입력_파견수련계획!$W$4:$W$803))=0),"구리 근무자명단에만 있음(파견수련계획 확인)",IF(AND($AC282&lt;&gt;"",$U282&lt;&gt;"파견중",$N282&lt;&gt;$AE282),"인턴 타지역 근무: 파견 여부 확인","정상")))))))))</f>
        <v/>
      </c>
      <c r="AA282" s="5" t="n"/>
      <c r="AB282" s="10">
        <f>IF($B282="","",IFERROR(MATCH($B282,입력_기본자료!$B$2:$B$1001,0),IFERROR(MATCH($B282&amp;"",입력_기본자료!$B$2:$B$1001,0),IFERROR(MATCH(VALUE($B282),입력_기본자료!$B$2:$B$1001,0),""))))</f>
        <v/>
      </c>
      <c r="AC282" s="10">
        <f>IF($B282="","",IFERROR(MATCH($B282,입력_인턴근무계획!$D$3:$D$402,0),IFERROR(MATCH($B282&amp;"",입력_인턴근무계획!$D$3:$D$402,0),IFERROR(MATCH(VALUE($B282),입력_인턴근무계획!$D$3:$D$402,0),""))))</f>
        <v/>
      </c>
      <c r="AD282" s="10">
        <f>IF(OR($AC282="",출력_인턴현황!$G$3=""),"",INDEX(입력_인턴근무계획!$M$3:$R$402,$AC282,출력_인턴현황!$G$3)&amp;"")</f>
        <v/>
      </c>
      <c r="AE282" s="10">
        <f>IF($B282="","",IF($M282&lt;&gt;"",$M282,IF(IF($AQ282="",FALSE,INDEX(출력_구리근무자!$J$6:$J$305,$AQ282)="구리독자"),"구리병원",IF($AF282&lt;&gt;"",IF(LEFT(INDEX(입력_파견수련계획!$R$4:$R$803,$AF282),1)&lt;&gt;"⚠",INDEX(입력_파견수련계획!$R$4:$R$803,$AF282),IF($H282="","",IF(RIGHT($H282,2)="병원",$H282,$H282&amp;"병원"))),IF($H282="","",IF(RIGHT($H282,2)="병원",$H282,$H282&amp;"병원"))))))</f>
        <v/>
      </c>
      <c r="AF282" s="10">
        <f>IF(OR($B282="",TRIM($J282&amp;"")=""),"",IFERROR(MATCH(TRIM($J282&amp;"")&amp;"|파견중",입력_파견수련계획!$Y$4:$Y$803,0),IFERROR(MATCH(TRIM($J282&amp;"")&amp;"|파견예정",입력_파견수련계획!$Y$4:$Y$803,0),IFERROR(MATCH(TRIM($J282&amp;"")&amp;"|파견종료",입력_파견수련계획!$Y$4:$Y$803,0),""))))</f>
        <v/>
      </c>
      <c r="AG282" s="10">
        <f>IF($B282="","",IF(AND(IF(OR($AC282="",출력_인턴현황!$K$2=""),"",INDEX(입력_인턴근무계획!$M$3:$R$402,$AC282,출력_인턴현황!$K$2)&amp;"")&lt;&gt;"",LEFT(IF(OR($AC282="",출력_인턴현황!$K$2=""),"",INDEX(입력_인턴근무계획!$M$3:$R$402,$AC282,출력_인턴현황!$K$2)&amp;""),1)&lt;&gt;"⚠"),LEFT(IF(OR($AC282="",출력_인턴현황!$K$2=""),"",INDEX(입력_인턴근무계획!$M$3:$R$402,$AC282,출력_인턴현황!$K$2)&amp;""),FIND(" ",IF(OR($AC282="",출력_인턴현황!$K$2=""),"",INDEX(입력_인턴근무계획!$M$3:$R$402,$AC282,출력_인턴현황!$K$2)&amp;""))-1),$AE282))</f>
        <v/>
      </c>
      <c r="AH282" s="17">
        <f>IF($B282="","",IF($AQ282&lt;&gt;"",MAX(0,DAY(EOMONTH(출력_요약!$B$3,0))-N($AR282)),IF(TRIM($J282&amp;"")="",0,SUMPRODUCT((입력_파견수련계획!$Q$4:$Q$803=TRIM($J282&amp;""))*(입력_파견수련계획!$S$4:$S$803="서울병원")*입력_파견수련계획!$W$4:$W$803))+IF($AG282="서울병원",MAX(0,DAY(EOMONTH(출력_요약!$B$3,0))-N($X282)),0)))</f>
        <v/>
      </c>
      <c r="AI282" s="17">
        <f>IF($B282="","",IF($AQ282&lt;&gt;"",N($AR282),IF(TRIM($J282&amp;"")="",0,SUMPRODUCT((입력_파견수련계획!$Q$4:$Q$803=TRIM($J282&amp;""))*(입력_파견수련계획!$S$4:$S$803="구리병원")*입력_파견수련계획!$W$4:$W$803))+IF($AG282="구리병원",MAX(0,DAY(EOMONTH(출력_요약!$B$3,0))-N($X282)),0)))</f>
        <v/>
      </c>
      <c r="AJ282" s="10">
        <f>IF(OR($B282="",TRIM($J282&amp;"")=""),"",IFERROR(MATCH(TRIM($J282&amp;"")&amp;"|월",입력_파견수련계획!$Z$4:$Z$803,0),""))</f>
        <v/>
      </c>
      <c r="AK282" s="10">
        <f>IF(OR($B282="",TRIM($J282&amp;"")=""),"",IFERROR(MATCH(TRIM($J282&amp;"")&amp;"|다기관",입력_파견수련계획!$AE$4:$AE$803,0),""))</f>
        <v/>
      </c>
      <c r="AL282" s="10">
        <f>IF($AK282="","","다기관 "&amp;TEXT(INDEX(입력_파견수련계획!$AB$4:$AB$803,$AK282),"yyyy-mm-dd")&amp;"~"&amp;IF(ISNUMBER(INDEX(입력_파견수련계획!$AC$4:$AC$803,$AK282)),TEXT(INDEX(입력_파견수련계획!$AC$4:$AC$803,$AK282),"yyyy-mm-dd"),""))</f>
        <v/>
      </c>
      <c r="AM282" s="10">
        <f>IF($Y282="서울병원",COUNTIF($Y$2:$Y282,"서울병원"),"")</f>
        <v/>
      </c>
      <c r="AN282" s="10">
        <f>IF(LEFT($Y282,1)="⚠",COUNTIF($Y$2:$Y282,"⚠*"),"")</f>
        <v/>
      </c>
      <c r="AO282" s="10">
        <f>IF(OR($B282="",$Y282=""),"",IF(IF(TRIM($J282&amp;"")="",0,SUMPRODUCT((입력_파견수련계획!$Q$4:$Q$803=TRIM($J282&amp;""))*입력_파견수련계획!$AD$4:$AD$803))&gt;0,"다기관 기간 → 소속병원 지급",IF(AND(N($X282)&lt;=0,$AQ282=""),"파견 없음 → 그 달 근무병원 지급",IF($AH282+$AI282=DAY(EOMONTH(출력_요약!$B$3,0)),"서울 "&amp;$AH282&amp;"일 / 구리 "&amp;$AI282&amp;"일"&amp;IF($AQ282&lt;&gt;""," (구리 근무자명단 반영)","")&amp;" → 15일 이상 근무 병원 지급","타 병원 포함 → "&amp;IF($AJ282="","소속",INDEX(입력_파견수련계획!$T$4:$T$803,$AJ282))&amp;" 규칙"))))</f>
        <v/>
      </c>
      <c r="AP282" s="10">
        <f>IF($B282="","",$C282&amp;"|"&amp;$F282)</f>
        <v/>
      </c>
      <c r="AQ282" s="10">
        <f>IF($B282="","",IFERROR(MATCH(ROW()-1,출력_구리근무자!$K$6:$K$305,0),""))</f>
        <v/>
      </c>
      <c r="AR282" s="10">
        <f>IF($AQ282="","",INDEX(출력_구리근무자!$H$6:$H$305,$AQ282))</f>
        <v/>
      </c>
    </row>
    <row r="283">
      <c r="A283" s="10">
        <f>IF(B283="","",ROW()-1)</f>
        <v/>
      </c>
      <c r="B283" s="19" t="n"/>
      <c r="C283" s="10">
        <f>IF($AB283="","",IF(INDEX(입력_기본자료!$C$2:$C$1001,$AB283)="","",INDEX(입력_기본자료!$C$2:$C$1001,$AB283)))</f>
        <v/>
      </c>
      <c r="D283" s="10">
        <f>IF($AB283="","",IF(INDEX(입력_기본자료!$J$2:$J$1001,$AB283)="","",INDEX(입력_기본자료!$J$2:$J$1001,$AB283)))</f>
        <v/>
      </c>
      <c r="E283" s="11">
        <f>IF($AB283="","",IF(INDEX(입력_기본자료!$K$2:$K$1001,$AB283)="","",IF(NOT(ISNUMBER(INDEX(입력_기본자료!$K$2:$K$1001,$AB283))),INDEX(입력_기본자료!$K$2:$K$1001,$AB283),IF(INDEX(입력_기본자료!$K$2:$K$1001,$AB283)&lt;1000000,INDEX(입력_기본자료!$K$2:$K$1001,$AB283),IF(AND(INDEX(입력_기본자료!$K$2:$K$1001,$AB283)&gt;=10000101,INT(MOD(INDEX(입력_기본자료!$K$2:$K$1001,$AB283),10000)/100)&gt;=1,INT(MOD(INDEX(입력_기본자료!$K$2:$K$1001,$AB283),10000)/100)&lt;=12,MOD(INDEX(입력_기본자료!$K$2:$K$1001,$AB283),100)&gt;=1,MOD(INDEX(입력_기본자료!$K$2:$K$1001,$AB283),100)&lt;=31),DATE(INT(INDEX(입력_기본자료!$K$2:$K$1001,$AB283)/10000),INT(MOD(INDEX(입력_기본자료!$K$2:$K$1001,$AB283),10000)/100),MOD(INDEX(입력_기본자료!$K$2:$K$1001,$AB283),100)),INDEX(입력_기본자료!$K$2:$K$1001,$AB283)&amp;"")))))</f>
        <v/>
      </c>
      <c r="F283" s="10">
        <f>IF($AB283="","",IF(INDEX(입력_기본자료!$D$2:$D$1001,$AB283)="","",INDEX(입력_기본자료!$D$2:$D$1001,$AB283)))</f>
        <v/>
      </c>
      <c r="G283" s="10">
        <f>IF($AB283="","",IF(INDEX(입력_기본자료!$E$2:$E$1001,$AB283)="","",INDEX(입력_기본자료!$E$2:$E$1001,$AB283)))</f>
        <v/>
      </c>
      <c r="H283" s="10">
        <f>IF($AB283="","",IF(INDEX(입력_기본자료!$F$2:$F$1001,$AB283)="","",INDEX(입력_기본자료!$F$2:$F$1001,$AB283)))</f>
        <v/>
      </c>
      <c r="I283" s="11">
        <f>IF($AB283="","",IF(INDEX(입력_기본자료!$G$2:$G$1001,$AB283)="","",IF(NOT(ISNUMBER(INDEX(입력_기본자료!$G$2:$G$1001,$AB283))),INDEX(입력_기본자료!$G$2:$G$1001,$AB283),IF(INDEX(입력_기본자료!$G$2:$G$1001,$AB283)&lt;1000000,INDEX(입력_기본자료!$G$2:$G$1001,$AB283),IF(AND(INDEX(입력_기본자료!$G$2:$G$1001,$AB283)&gt;=10000101,INT(MOD(INDEX(입력_기본자료!$G$2:$G$1001,$AB283),10000)/100)&gt;=1,INT(MOD(INDEX(입력_기본자료!$G$2:$G$1001,$AB283),10000)/100)&lt;=12,MOD(INDEX(입력_기본자료!$G$2:$G$1001,$AB283),100)&gt;=1,MOD(INDEX(입력_기본자료!$G$2:$G$1001,$AB283),100)&lt;=31),DATE(INT(INDEX(입력_기본자료!$G$2:$G$1001,$AB283)/10000),INT(MOD(INDEX(입력_기본자료!$G$2:$G$1001,$AB283),10000)/100),MOD(INDEX(입력_기본자료!$G$2:$G$1001,$AB283),100)),INDEX(입력_기본자료!$G$2:$G$1001,$AB283)&amp;"")))))</f>
        <v/>
      </c>
      <c r="J283" s="10">
        <f>IF($AB283="","",IF(INDEX(입력_기본자료!$H$2:$H$1001,$AB283)="","",INDEX(입력_기본자료!$H$2:$H$1001,$AB283)))</f>
        <v/>
      </c>
      <c r="K283" s="10">
        <f>IF($AB283="","",IF(INDEX(입력_기본자료!$I$2:$I$1001,$AB283)="","",INDEX(입력_기본자료!$I$2:$I$1001,$AB283)))</f>
        <v/>
      </c>
      <c r="L283" s="10">
        <f>IF($AB283="","",IF(INDEX(입력_기본자료!$A$2:$A$1001,$AB283)="","",INDEX(입력_기본자료!$A$2:$A$1001,$AB283)))</f>
        <v/>
      </c>
      <c r="M283" s="15" t="n"/>
      <c r="N283" s="10">
        <f>IF($B283="","",IF(AND($U283="파견중",$Q283&lt;&gt;""),$Q283,IF(AND($AD283&lt;&gt;"",LEFT($AD283,1)&lt;&gt;"⚠"),LEFT($AD283,FIND(" ",$AD283)-1),IF($H283="","",IF(RIGHT($H283,2)="병원",$H283,$H283&amp;"병원")))))</f>
        <v/>
      </c>
      <c r="O283" s="10">
        <f>IF($B283="","",IF(AND($U283="파견중",$Q283&lt;&gt;""),IF($R283&lt;&gt;"",$R283,"파견과 미입력"),IF(AND($AD283&lt;&gt;"",LEFT($AD283,1)&lt;&gt;"⚠"),MID($AD283,FIND(" ",$AD283)+1,60),IF($F283="","",IF($F283="인턴","수련교육부(인턴)",$F283)))))</f>
        <v/>
      </c>
      <c r="P283" s="10">
        <f>IF($B283="","",IF($AK283&lt;&gt;"",IF(AND(TODAY()&gt;=INDEX(입력_파견수련계획!$AB$4:$AB$803,$AK283),OR(NOT(ISNUMBER(INDEX(입력_파견수련계획!$AC$4:$AC$803,$AK283))),TODAY()&lt;=INDEX(입력_파견수련계획!$AC$4:$AC$803,$AK283))),"다기관",IF($AF283="","",INDEX(입력_파견수련계획!$T$4:$T$803,$AF283))),IF($AF283="","",INDEX(입력_파견수련계획!$T$4:$T$803,$AF283))))</f>
        <v/>
      </c>
      <c r="Q283" s="10">
        <f>IF($AF283="","",INDEX(입력_파견수련계획!$S$4:$S$803,$AF283))</f>
        <v/>
      </c>
      <c r="R283" s="10">
        <f>IF($AF283="","",INDEX(입력_파견수련계획!$U$4:$U$803,$AF283))</f>
        <v/>
      </c>
      <c r="S283" s="11">
        <f>IF($AF283="","",IF(INDEX(입력_파견수련계획!$H$4:$H$803,$AF283)="","",INDEX(입력_파견수련계획!$H$4:$H$803,$AF283)))</f>
        <v/>
      </c>
      <c r="T283" s="11">
        <f>IF($AF283="","",IF(INDEX(입력_파견수련계획!$I$4:$I$803,$AF283)="","",INDEX(입력_파견수련계획!$I$4:$I$803,$AF283)))</f>
        <v/>
      </c>
      <c r="U283" s="10">
        <f>IF($AF283="","",INDEX(입력_파견수련계획!$X$4:$X$803,$AF283))</f>
        <v/>
      </c>
      <c r="V283" s="17">
        <f>IF($AF283="","",INDEX(입력_파견수련계획!$V$4:$V$803,$AF283))</f>
        <v/>
      </c>
      <c r="W283" s="17">
        <f>IF(AND($U283="파견중",$T283&lt;&gt;""),$T283-TODAY(),"")</f>
        <v/>
      </c>
      <c r="X283" s="17">
        <f>IF(OR($B283="",TRIM($J283&amp;"")=""),"",SUMPRODUCT((입력_파견수련계획!$Q$4:$Q$803=TRIM($J283&amp;""))*입력_파견수련계획!$W$4:$W$803))</f>
        <v/>
      </c>
      <c r="Y283" s="10">
        <f>IF($B283="","",IF($AG283="","",IF(IF(TRIM($J283&amp;"")="",0,SUMPRODUCT((입력_파견수련계획!$Q$4:$Q$803=TRIM($J283&amp;""))*입력_파견수련계획!$AD$4:$AD$803))&gt;0,$AE283,IF(AND(N($X283)&lt;=0,$AQ283=""),$AG283,IF($AH283+$AI283=DAY(EOMONTH(출력_요약!$B$3,0)),IF(AND($AH283&gt;=출력_요약!$E$3,$AI283&lt;출력_요약!$E$3),"서울병원",IF(AND($AI283&gt;=출력_요약!$E$3,$AH283&lt;출력_요약!$E$3),"구리병원","⚠15일 판정불가(서울 "&amp;$AH283&amp;"일/구리 "&amp;$AI283&amp;"일)")),IF($AJ283="",$AE283,IF(INDEX(입력_파견수련계획!$T$4:$T$803,$AJ283)="통합수련",INDEX(입력_파견수련계획!$S$4:$S$803,$AJ283),$AE283)))))))</f>
        <v/>
      </c>
      <c r="Z283" s="20">
        <f>IF($B283="","",IF($AB283="","기본자료에 없는 사번",IF(COUNTIF($B$2:$B$401,$B283)&gt;1,"중복 사번",IF($AE283="","소속(입사장소) 입력",IF(IF(TRIM($J283&amp;"")="",0,SUMPRODUCT((입력_파견수련계획!$Q$4:$Q$803=TRIM($J283&amp;""))*(입력_파견수련계획!$AA$4:$AA$803&lt;&gt;"")))&gt;0,"파견수련계획 입력오류 확인",IF(LEFT($Y283,1)="⚠","서울·구리 15일 판정 불가(양쪽 모두 이상/미만)",IF(IF($AC283="",0,N(INDEX(입력_인턴근무계획!$T$3:$T$402,$AC283)))&gt;0,"인턴계획 입력오류 확인",IF(AND($AQ283&lt;&gt;"",$AG283&lt;&gt;"구리병원",IF(TRIM($J283&amp;"")="",0,SUMPRODUCT((입력_파견수련계획!$Q$4:$Q$803=TRIM($J283&amp;""))*(입력_파견수련계획!$S$4:$S$803="구리병원")*입력_파견수련계획!$W$4:$W$803))=0),"구리 근무자명단에만 있음(파견수련계획 확인)",IF(AND($AC283&lt;&gt;"",$U283&lt;&gt;"파견중",$N283&lt;&gt;$AE283),"인턴 타지역 근무: 파견 여부 확인","정상")))))))))</f>
        <v/>
      </c>
      <c r="AA283" s="5" t="n"/>
      <c r="AB283" s="10">
        <f>IF($B283="","",IFERROR(MATCH($B283,입력_기본자료!$B$2:$B$1001,0),IFERROR(MATCH($B283&amp;"",입력_기본자료!$B$2:$B$1001,0),IFERROR(MATCH(VALUE($B283),입력_기본자료!$B$2:$B$1001,0),""))))</f>
        <v/>
      </c>
      <c r="AC283" s="10">
        <f>IF($B283="","",IFERROR(MATCH($B283,입력_인턴근무계획!$D$3:$D$402,0),IFERROR(MATCH($B283&amp;"",입력_인턴근무계획!$D$3:$D$402,0),IFERROR(MATCH(VALUE($B283),입력_인턴근무계획!$D$3:$D$402,0),""))))</f>
        <v/>
      </c>
      <c r="AD283" s="10">
        <f>IF(OR($AC283="",출력_인턴현황!$G$3=""),"",INDEX(입력_인턴근무계획!$M$3:$R$402,$AC283,출력_인턴현황!$G$3)&amp;"")</f>
        <v/>
      </c>
      <c r="AE283" s="10">
        <f>IF($B283="","",IF($M283&lt;&gt;"",$M283,IF(IF($AQ283="",FALSE,INDEX(출력_구리근무자!$J$6:$J$305,$AQ283)="구리독자"),"구리병원",IF($AF283&lt;&gt;"",IF(LEFT(INDEX(입력_파견수련계획!$R$4:$R$803,$AF283),1)&lt;&gt;"⚠",INDEX(입력_파견수련계획!$R$4:$R$803,$AF283),IF($H283="","",IF(RIGHT($H283,2)="병원",$H283,$H283&amp;"병원"))),IF($H283="","",IF(RIGHT($H283,2)="병원",$H283,$H283&amp;"병원"))))))</f>
        <v/>
      </c>
      <c r="AF283" s="10">
        <f>IF(OR($B283="",TRIM($J283&amp;"")=""),"",IFERROR(MATCH(TRIM($J283&amp;"")&amp;"|파견중",입력_파견수련계획!$Y$4:$Y$803,0),IFERROR(MATCH(TRIM($J283&amp;"")&amp;"|파견예정",입력_파견수련계획!$Y$4:$Y$803,0),IFERROR(MATCH(TRIM($J283&amp;"")&amp;"|파견종료",입력_파견수련계획!$Y$4:$Y$803,0),""))))</f>
        <v/>
      </c>
      <c r="AG283" s="10">
        <f>IF($B283="","",IF(AND(IF(OR($AC283="",출력_인턴현황!$K$2=""),"",INDEX(입력_인턴근무계획!$M$3:$R$402,$AC283,출력_인턴현황!$K$2)&amp;"")&lt;&gt;"",LEFT(IF(OR($AC283="",출력_인턴현황!$K$2=""),"",INDEX(입력_인턴근무계획!$M$3:$R$402,$AC283,출력_인턴현황!$K$2)&amp;""),1)&lt;&gt;"⚠"),LEFT(IF(OR($AC283="",출력_인턴현황!$K$2=""),"",INDEX(입력_인턴근무계획!$M$3:$R$402,$AC283,출력_인턴현황!$K$2)&amp;""),FIND(" ",IF(OR($AC283="",출력_인턴현황!$K$2=""),"",INDEX(입력_인턴근무계획!$M$3:$R$402,$AC283,출력_인턴현황!$K$2)&amp;""))-1),$AE283))</f>
        <v/>
      </c>
      <c r="AH283" s="17">
        <f>IF($B283="","",IF($AQ283&lt;&gt;"",MAX(0,DAY(EOMONTH(출력_요약!$B$3,0))-N($AR283)),IF(TRIM($J283&amp;"")="",0,SUMPRODUCT((입력_파견수련계획!$Q$4:$Q$803=TRIM($J283&amp;""))*(입력_파견수련계획!$S$4:$S$803="서울병원")*입력_파견수련계획!$W$4:$W$803))+IF($AG283="서울병원",MAX(0,DAY(EOMONTH(출력_요약!$B$3,0))-N($X283)),0)))</f>
        <v/>
      </c>
      <c r="AI283" s="17">
        <f>IF($B283="","",IF($AQ283&lt;&gt;"",N($AR283),IF(TRIM($J283&amp;"")="",0,SUMPRODUCT((입력_파견수련계획!$Q$4:$Q$803=TRIM($J283&amp;""))*(입력_파견수련계획!$S$4:$S$803="구리병원")*입력_파견수련계획!$W$4:$W$803))+IF($AG283="구리병원",MAX(0,DAY(EOMONTH(출력_요약!$B$3,0))-N($X283)),0)))</f>
        <v/>
      </c>
      <c r="AJ283" s="10">
        <f>IF(OR($B283="",TRIM($J283&amp;"")=""),"",IFERROR(MATCH(TRIM($J283&amp;"")&amp;"|월",입력_파견수련계획!$Z$4:$Z$803,0),""))</f>
        <v/>
      </c>
      <c r="AK283" s="10">
        <f>IF(OR($B283="",TRIM($J283&amp;"")=""),"",IFERROR(MATCH(TRIM($J283&amp;"")&amp;"|다기관",입력_파견수련계획!$AE$4:$AE$803,0),""))</f>
        <v/>
      </c>
      <c r="AL283" s="10">
        <f>IF($AK283="","","다기관 "&amp;TEXT(INDEX(입력_파견수련계획!$AB$4:$AB$803,$AK283),"yyyy-mm-dd")&amp;"~"&amp;IF(ISNUMBER(INDEX(입력_파견수련계획!$AC$4:$AC$803,$AK283)),TEXT(INDEX(입력_파견수련계획!$AC$4:$AC$803,$AK283),"yyyy-mm-dd"),""))</f>
        <v/>
      </c>
      <c r="AM283" s="10">
        <f>IF($Y283="서울병원",COUNTIF($Y$2:$Y283,"서울병원"),"")</f>
        <v/>
      </c>
      <c r="AN283" s="10">
        <f>IF(LEFT($Y283,1)="⚠",COUNTIF($Y$2:$Y283,"⚠*"),"")</f>
        <v/>
      </c>
      <c r="AO283" s="10">
        <f>IF(OR($B283="",$Y283=""),"",IF(IF(TRIM($J283&amp;"")="",0,SUMPRODUCT((입력_파견수련계획!$Q$4:$Q$803=TRIM($J283&amp;""))*입력_파견수련계획!$AD$4:$AD$803))&gt;0,"다기관 기간 → 소속병원 지급",IF(AND(N($X283)&lt;=0,$AQ283=""),"파견 없음 → 그 달 근무병원 지급",IF($AH283+$AI283=DAY(EOMONTH(출력_요약!$B$3,0)),"서울 "&amp;$AH283&amp;"일 / 구리 "&amp;$AI283&amp;"일"&amp;IF($AQ283&lt;&gt;""," (구리 근무자명단 반영)","")&amp;" → 15일 이상 근무 병원 지급","타 병원 포함 → "&amp;IF($AJ283="","소속",INDEX(입력_파견수련계획!$T$4:$T$803,$AJ283))&amp;" 규칙"))))</f>
        <v/>
      </c>
      <c r="AP283" s="10">
        <f>IF($B283="","",$C283&amp;"|"&amp;$F283)</f>
        <v/>
      </c>
      <c r="AQ283" s="10">
        <f>IF($B283="","",IFERROR(MATCH(ROW()-1,출력_구리근무자!$K$6:$K$305,0),""))</f>
        <v/>
      </c>
      <c r="AR283" s="10">
        <f>IF($AQ283="","",INDEX(출력_구리근무자!$H$6:$H$305,$AQ283))</f>
        <v/>
      </c>
    </row>
    <row r="284">
      <c r="A284" s="10">
        <f>IF(B284="","",ROW()-1)</f>
        <v/>
      </c>
      <c r="B284" s="19" t="n"/>
      <c r="C284" s="10">
        <f>IF($AB284="","",IF(INDEX(입력_기본자료!$C$2:$C$1001,$AB284)="","",INDEX(입력_기본자료!$C$2:$C$1001,$AB284)))</f>
        <v/>
      </c>
      <c r="D284" s="10">
        <f>IF($AB284="","",IF(INDEX(입력_기본자료!$J$2:$J$1001,$AB284)="","",INDEX(입력_기본자료!$J$2:$J$1001,$AB284)))</f>
        <v/>
      </c>
      <c r="E284" s="11">
        <f>IF($AB284="","",IF(INDEX(입력_기본자료!$K$2:$K$1001,$AB284)="","",IF(NOT(ISNUMBER(INDEX(입력_기본자료!$K$2:$K$1001,$AB284))),INDEX(입력_기본자료!$K$2:$K$1001,$AB284),IF(INDEX(입력_기본자료!$K$2:$K$1001,$AB284)&lt;1000000,INDEX(입력_기본자료!$K$2:$K$1001,$AB284),IF(AND(INDEX(입력_기본자료!$K$2:$K$1001,$AB284)&gt;=10000101,INT(MOD(INDEX(입력_기본자료!$K$2:$K$1001,$AB284),10000)/100)&gt;=1,INT(MOD(INDEX(입력_기본자료!$K$2:$K$1001,$AB284),10000)/100)&lt;=12,MOD(INDEX(입력_기본자료!$K$2:$K$1001,$AB284),100)&gt;=1,MOD(INDEX(입력_기본자료!$K$2:$K$1001,$AB284),100)&lt;=31),DATE(INT(INDEX(입력_기본자료!$K$2:$K$1001,$AB284)/10000),INT(MOD(INDEX(입력_기본자료!$K$2:$K$1001,$AB284),10000)/100),MOD(INDEX(입력_기본자료!$K$2:$K$1001,$AB284),100)),INDEX(입력_기본자료!$K$2:$K$1001,$AB284)&amp;"")))))</f>
        <v/>
      </c>
      <c r="F284" s="10">
        <f>IF($AB284="","",IF(INDEX(입력_기본자료!$D$2:$D$1001,$AB284)="","",INDEX(입력_기본자료!$D$2:$D$1001,$AB284)))</f>
        <v/>
      </c>
      <c r="G284" s="10">
        <f>IF($AB284="","",IF(INDEX(입력_기본자료!$E$2:$E$1001,$AB284)="","",INDEX(입력_기본자료!$E$2:$E$1001,$AB284)))</f>
        <v/>
      </c>
      <c r="H284" s="10">
        <f>IF($AB284="","",IF(INDEX(입력_기본자료!$F$2:$F$1001,$AB284)="","",INDEX(입력_기본자료!$F$2:$F$1001,$AB284)))</f>
        <v/>
      </c>
      <c r="I284" s="11">
        <f>IF($AB284="","",IF(INDEX(입력_기본자료!$G$2:$G$1001,$AB284)="","",IF(NOT(ISNUMBER(INDEX(입력_기본자료!$G$2:$G$1001,$AB284))),INDEX(입력_기본자료!$G$2:$G$1001,$AB284),IF(INDEX(입력_기본자료!$G$2:$G$1001,$AB284)&lt;1000000,INDEX(입력_기본자료!$G$2:$G$1001,$AB284),IF(AND(INDEX(입력_기본자료!$G$2:$G$1001,$AB284)&gt;=10000101,INT(MOD(INDEX(입력_기본자료!$G$2:$G$1001,$AB284),10000)/100)&gt;=1,INT(MOD(INDEX(입력_기본자료!$G$2:$G$1001,$AB284),10000)/100)&lt;=12,MOD(INDEX(입력_기본자료!$G$2:$G$1001,$AB284),100)&gt;=1,MOD(INDEX(입력_기본자료!$G$2:$G$1001,$AB284),100)&lt;=31),DATE(INT(INDEX(입력_기본자료!$G$2:$G$1001,$AB284)/10000),INT(MOD(INDEX(입력_기본자료!$G$2:$G$1001,$AB284),10000)/100),MOD(INDEX(입력_기본자료!$G$2:$G$1001,$AB284),100)),INDEX(입력_기본자료!$G$2:$G$1001,$AB284)&amp;"")))))</f>
        <v/>
      </c>
      <c r="J284" s="10">
        <f>IF($AB284="","",IF(INDEX(입력_기본자료!$H$2:$H$1001,$AB284)="","",INDEX(입력_기본자료!$H$2:$H$1001,$AB284)))</f>
        <v/>
      </c>
      <c r="K284" s="10">
        <f>IF($AB284="","",IF(INDEX(입력_기본자료!$I$2:$I$1001,$AB284)="","",INDEX(입력_기본자료!$I$2:$I$1001,$AB284)))</f>
        <v/>
      </c>
      <c r="L284" s="10">
        <f>IF($AB284="","",IF(INDEX(입력_기본자료!$A$2:$A$1001,$AB284)="","",INDEX(입력_기본자료!$A$2:$A$1001,$AB284)))</f>
        <v/>
      </c>
      <c r="M284" s="15" t="n"/>
      <c r="N284" s="10">
        <f>IF($B284="","",IF(AND($U284="파견중",$Q284&lt;&gt;""),$Q284,IF(AND($AD284&lt;&gt;"",LEFT($AD284,1)&lt;&gt;"⚠"),LEFT($AD284,FIND(" ",$AD284)-1),IF($H284="","",IF(RIGHT($H284,2)="병원",$H284,$H284&amp;"병원")))))</f>
        <v/>
      </c>
      <c r="O284" s="10">
        <f>IF($B284="","",IF(AND($U284="파견중",$Q284&lt;&gt;""),IF($R284&lt;&gt;"",$R284,"파견과 미입력"),IF(AND($AD284&lt;&gt;"",LEFT($AD284,1)&lt;&gt;"⚠"),MID($AD284,FIND(" ",$AD284)+1,60),IF($F284="","",IF($F284="인턴","수련교육부(인턴)",$F284)))))</f>
        <v/>
      </c>
      <c r="P284" s="10">
        <f>IF($B284="","",IF($AK284&lt;&gt;"",IF(AND(TODAY()&gt;=INDEX(입력_파견수련계획!$AB$4:$AB$803,$AK284),OR(NOT(ISNUMBER(INDEX(입력_파견수련계획!$AC$4:$AC$803,$AK284))),TODAY()&lt;=INDEX(입력_파견수련계획!$AC$4:$AC$803,$AK284))),"다기관",IF($AF284="","",INDEX(입력_파견수련계획!$T$4:$T$803,$AF284))),IF($AF284="","",INDEX(입력_파견수련계획!$T$4:$T$803,$AF284))))</f>
        <v/>
      </c>
      <c r="Q284" s="10">
        <f>IF($AF284="","",INDEX(입력_파견수련계획!$S$4:$S$803,$AF284))</f>
        <v/>
      </c>
      <c r="R284" s="10">
        <f>IF($AF284="","",INDEX(입력_파견수련계획!$U$4:$U$803,$AF284))</f>
        <v/>
      </c>
      <c r="S284" s="11">
        <f>IF($AF284="","",IF(INDEX(입력_파견수련계획!$H$4:$H$803,$AF284)="","",INDEX(입력_파견수련계획!$H$4:$H$803,$AF284)))</f>
        <v/>
      </c>
      <c r="T284" s="11">
        <f>IF($AF284="","",IF(INDEX(입력_파견수련계획!$I$4:$I$803,$AF284)="","",INDEX(입력_파견수련계획!$I$4:$I$803,$AF284)))</f>
        <v/>
      </c>
      <c r="U284" s="10">
        <f>IF($AF284="","",INDEX(입력_파견수련계획!$X$4:$X$803,$AF284))</f>
        <v/>
      </c>
      <c r="V284" s="17">
        <f>IF($AF284="","",INDEX(입력_파견수련계획!$V$4:$V$803,$AF284))</f>
        <v/>
      </c>
      <c r="W284" s="17">
        <f>IF(AND($U284="파견중",$T284&lt;&gt;""),$T284-TODAY(),"")</f>
        <v/>
      </c>
      <c r="X284" s="17">
        <f>IF(OR($B284="",TRIM($J284&amp;"")=""),"",SUMPRODUCT((입력_파견수련계획!$Q$4:$Q$803=TRIM($J284&amp;""))*입력_파견수련계획!$W$4:$W$803))</f>
        <v/>
      </c>
      <c r="Y284" s="10">
        <f>IF($B284="","",IF($AG284="","",IF(IF(TRIM($J284&amp;"")="",0,SUMPRODUCT((입력_파견수련계획!$Q$4:$Q$803=TRIM($J284&amp;""))*입력_파견수련계획!$AD$4:$AD$803))&gt;0,$AE284,IF(AND(N($X284)&lt;=0,$AQ284=""),$AG284,IF($AH284+$AI284=DAY(EOMONTH(출력_요약!$B$3,0)),IF(AND($AH284&gt;=출력_요약!$E$3,$AI284&lt;출력_요약!$E$3),"서울병원",IF(AND($AI284&gt;=출력_요약!$E$3,$AH284&lt;출력_요약!$E$3),"구리병원","⚠15일 판정불가(서울 "&amp;$AH284&amp;"일/구리 "&amp;$AI284&amp;"일)")),IF($AJ284="",$AE284,IF(INDEX(입력_파견수련계획!$T$4:$T$803,$AJ284)="통합수련",INDEX(입력_파견수련계획!$S$4:$S$803,$AJ284),$AE284)))))))</f>
        <v/>
      </c>
      <c r="Z284" s="20">
        <f>IF($B284="","",IF($AB284="","기본자료에 없는 사번",IF(COUNTIF($B$2:$B$401,$B284)&gt;1,"중복 사번",IF($AE284="","소속(입사장소) 입력",IF(IF(TRIM($J284&amp;"")="",0,SUMPRODUCT((입력_파견수련계획!$Q$4:$Q$803=TRIM($J284&amp;""))*(입력_파견수련계획!$AA$4:$AA$803&lt;&gt;"")))&gt;0,"파견수련계획 입력오류 확인",IF(LEFT($Y284,1)="⚠","서울·구리 15일 판정 불가(양쪽 모두 이상/미만)",IF(IF($AC284="",0,N(INDEX(입력_인턴근무계획!$T$3:$T$402,$AC284)))&gt;0,"인턴계획 입력오류 확인",IF(AND($AQ284&lt;&gt;"",$AG284&lt;&gt;"구리병원",IF(TRIM($J284&amp;"")="",0,SUMPRODUCT((입력_파견수련계획!$Q$4:$Q$803=TRIM($J284&amp;""))*(입력_파견수련계획!$S$4:$S$803="구리병원")*입력_파견수련계획!$W$4:$W$803))=0),"구리 근무자명단에만 있음(파견수련계획 확인)",IF(AND($AC284&lt;&gt;"",$U284&lt;&gt;"파견중",$N284&lt;&gt;$AE284),"인턴 타지역 근무: 파견 여부 확인","정상")))))))))</f>
        <v/>
      </c>
      <c r="AA284" s="5" t="n"/>
      <c r="AB284" s="10">
        <f>IF($B284="","",IFERROR(MATCH($B284,입력_기본자료!$B$2:$B$1001,0),IFERROR(MATCH($B284&amp;"",입력_기본자료!$B$2:$B$1001,0),IFERROR(MATCH(VALUE($B284),입력_기본자료!$B$2:$B$1001,0),""))))</f>
        <v/>
      </c>
      <c r="AC284" s="10">
        <f>IF($B284="","",IFERROR(MATCH($B284,입력_인턴근무계획!$D$3:$D$402,0),IFERROR(MATCH($B284&amp;"",입력_인턴근무계획!$D$3:$D$402,0),IFERROR(MATCH(VALUE($B284),입력_인턴근무계획!$D$3:$D$402,0),""))))</f>
        <v/>
      </c>
      <c r="AD284" s="10">
        <f>IF(OR($AC284="",출력_인턴현황!$G$3=""),"",INDEX(입력_인턴근무계획!$M$3:$R$402,$AC284,출력_인턴현황!$G$3)&amp;"")</f>
        <v/>
      </c>
      <c r="AE284" s="10">
        <f>IF($B284="","",IF($M284&lt;&gt;"",$M284,IF(IF($AQ284="",FALSE,INDEX(출력_구리근무자!$J$6:$J$305,$AQ284)="구리독자"),"구리병원",IF($AF284&lt;&gt;"",IF(LEFT(INDEX(입력_파견수련계획!$R$4:$R$803,$AF284),1)&lt;&gt;"⚠",INDEX(입력_파견수련계획!$R$4:$R$803,$AF284),IF($H284="","",IF(RIGHT($H284,2)="병원",$H284,$H284&amp;"병원"))),IF($H284="","",IF(RIGHT($H284,2)="병원",$H284,$H284&amp;"병원"))))))</f>
        <v/>
      </c>
      <c r="AF284" s="10">
        <f>IF(OR($B284="",TRIM($J284&amp;"")=""),"",IFERROR(MATCH(TRIM($J284&amp;"")&amp;"|파견중",입력_파견수련계획!$Y$4:$Y$803,0),IFERROR(MATCH(TRIM($J284&amp;"")&amp;"|파견예정",입력_파견수련계획!$Y$4:$Y$803,0),IFERROR(MATCH(TRIM($J284&amp;"")&amp;"|파견종료",입력_파견수련계획!$Y$4:$Y$803,0),""))))</f>
        <v/>
      </c>
      <c r="AG284" s="10">
        <f>IF($B284="","",IF(AND(IF(OR($AC284="",출력_인턴현황!$K$2=""),"",INDEX(입력_인턴근무계획!$M$3:$R$402,$AC284,출력_인턴현황!$K$2)&amp;"")&lt;&gt;"",LEFT(IF(OR($AC284="",출력_인턴현황!$K$2=""),"",INDEX(입력_인턴근무계획!$M$3:$R$402,$AC284,출력_인턴현황!$K$2)&amp;""),1)&lt;&gt;"⚠"),LEFT(IF(OR($AC284="",출력_인턴현황!$K$2=""),"",INDEX(입력_인턴근무계획!$M$3:$R$402,$AC284,출력_인턴현황!$K$2)&amp;""),FIND(" ",IF(OR($AC284="",출력_인턴현황!$K$2=""),"",INDEX(입력_인턴근무계획!$M$3:$R$402,$AC284,출력_인턴현황!$K$2)&amp;""))-1),$AE284))</f>
        <v/>
      </c>
      <c r="AH284" s="17">
        <f>IF($B284="","",IF($AQ284&lt;&gt;"",MAX(0,DAY(EOMONTH(출력_요약!$B$3,0))-N($AR284)),IF(TRIM($J284&amp;"")="",0,SUMPRODUCT((입력_파견수련계획!$Q$4:$Q$803=TRIM($J284&amp;""))*(입력_파견수련계획!$S$4:$S$803="서울병원")*입력_파견수련계획!$W$4:$W$803))+IF($AG284="서울병원",MAX(0,DAY(EOMONTH(출력_요약!$B$3,0))-N($X284)),0)))</f>
        <v/>
      </c>
      <c r="AI284" s="17">
        <f>IF($B284="","",IF($AQ284&lt;&gt;"",N($AR284),IF(TRIM($J284&amp;"")="",0,SUMPRODUCT((입력_파견수련계획!$Q$4:$Q$803=TRIM($J284&amp;""))*(입력_파견수련계획!$S$4:$S$803="구리병원")*입력_파견수련계획!$W$4:$W$803))+IF($AG284="구리병원",MAX(0,DAY(EOMONTH(출력_요약!$B$3,0))-N($X284)),0)))</f>
        <v/>
      </c>
      <c r="AJ284" s="10">
        <f>IF(OR($B284="",TRIM($J284&amp;"")=""),"",IFERROR(MATCH(TRIM($J284&amp;"")&amp;"|월",입력_파견수련계획!$Z$4:$Z$803,0),""))</f>
        <v/>
      </c>
      <c r="AK284" s="10">
        <f>IF(OR($B284="",TRIM($J284&amp;"")=""),"",IFERROR(MATCH(TRIM($J284&amp;"")&amp;"|다기관",입력_파견수련계획!$AE$4:$AE$803,0),""))</f>
        <v/>
      </c>
      <c r="AL284" s="10">
        <f>IF($AK284="","","다기관 "&amp;TEXT(INDEX(입력_파견수련계획!$AB$4:$AB$803,$AK284),"yyyy-mm-dd")&amp;"~"&amp;IF(ISNUMBER(INDEX(입력_파견수련계획!$AC$4:$AC$803,$AK284)),TEXT(INDEX(입력_파견수련계획!$AC$4:$AC$803,$AK284),"yyyy-mm-dd"),""))</f>
        <v/>
      </c>
      <c r="AM284" s="10">
        <f>IF($Y284="서울병원",COUNTIF($Y$2:$Y284,"서울병원"),"")</f>
        <v/>
      </c>
      <c r="AN284" s="10">
        <f>IF(LEFT($Y284,1)="⚠",COUNTIF($Y$2:$Y284,"⚠*"),"")</f>
        <v/>
      </c>
      <c r="AO284" s="10">
        <f>IF(OR($B284="",$Y284=""),"",IF(IF(TRIM($J284&amp;"")="",0,SUMPRODUCT((입력_파견수련계획!$Q$4:$Q$803=TRIM($J284&amp;""))*입력_파견수련계획!$AD$4:$AD$803))&gt;0,"다기관 기간 → 소속병원 지급",IF(AND(N($X284)&lt;=0,$AQ284=""),"파견 없음 → 그 달 근무병원 지급",IF($AH284+$AI284=DAY(EOMONTH(출력_요약!$B$3,0)),"서울 "&amp;$AH284&amp;"일 / 구리 "&amp;$AI284&amp;"일"&amp;IF($AQ284&lt;&gt;""," (구리 근무자명단 반영)","")&amp;" → 15일 이상 근무 병원 지급","타 병원 포함 → "&amp;IF($AJ284="","소속",INDEX(입력_파견수련계획!$T$4:$T$803,$AJ284))&amp;" 규칙"))))</f>
        <v/>
      </c>
      <c r="AP284" s="10">
        <f>IF($B284="","",$C284&amp;"|"&amp;$F284)</f>
        <v/>
      </c>
      <c r="AQ284" s="10">
        <f>IF($B284="","",IFERROR(MATCH(ROW()-1,출력_구리근무자!$K$6:$K$305,0),""))</f>
        <v/>
      </c>
      <c r="AR284" s="10">
        <f>IF($AQ284="","",INDEX(출력_구리근무자!$H$6:$H$305,$AQ284))</f>
        <v/>
      </c>
    </row>
    <row r="285">
      <c r="A285" s="10">
        <f>IF(B285="","",ROW()-1)</f>
        <v/>
      </c>
      <c r="B285" s="19" t="n"/>
      <c r="C285" s="10">
        <f>IF($AB285="","",IF(INDEX(입력_기본자료!$C$2:$C$1001,$AB285)="","",INDEX(입력_기본자료!$C$2:$C$1001,$AB285)))</f>
        <v/>
      </c>
      <c r="D285" s="10">
        <f>IF($AB285="","",IF(INDEX(입력_기본자료!$J$2:$J$1001,$AB285)="","",INDEX(입력_기본자료!$J$2:$J$1001,$AB285)))</f>
        <v/>
      </c>
      <c r="E285" s="11">
        <f>IF($AB285="","",IF(INDEX(입력_기본자료!$K$2:$K$1001,$AB285)="","",IF(NOT(ISNUMBER(INDEX(입력_기본자료!$K$2:$K$1001,$AB285))),INDEX(입력_기본자료!$K$2:$K$1001,$AB285),IF(INDEX(입력_기본자료!$K$2:$K$1001,$AB285)&lt;1000000,INDEX(입력_기본자료!$K$2:$K$1001,$AB285),IF(AND(INDEX(입력_기본자료!$K$2:$K$1001,$AB285)&gt;=10000101,INT(MOD(INDEX(입력_기본자료!$K$2:$K$1001,$AB285),10000)/100)&gt;=1,INT(MOD(INDEX(입력_기본자료!$K$2:$K$1001,$AB285),10000)/100)&lt;=12,MOD(INDEX(입력_기본자료!$K$2:$K$1001,$AB285),100)&gt;=1,MOD(INDEX(입력_기본자료!$K$2:$K$1001,$AB285),100)&lt;=31),DATE(INT(INDEX(입력_기본자료!$K$2:$K$1001,$AB285)/10000),INT(MOD(INDEX(입력_기본자료!$K$2:$K$1001,$AB285),10000)/100),MOD(INDEX(입력_기본자료!$K$2:$K$1001,$AB285),100)),INDEX(입력_기본자료!$K$2:$K$1001,$AB285)&amp;"")))))</f>
        <v/>
      </c>
      <c r="F285" s="10">
        <f>IF($AB285="","",IF(INDEX(입력_기본자료!$D$2:$D$1001,$AB285)="","",INDEX(입력_기본자료!$D$2:$D$1001,$AB285)))</f>
        <v/>
      </c>
      <c r="G285" s="10">
        <f>IF($AB285="","",IF(INDEX(입력_기본자료!$E$2:$E$1001,$AB285)="","",INDEX(입력_기본자료!$E$2:$E$1001,$AB285)))</f>
        <v/>
      </c>
      <c r="H285" s="10">
        <f>IF($AB285="","",IF(INDEX(입력_기본자료!$F$2:$F$1001,$AB285)="","",INDEX(입력_기본자료!$F$2:$F$1001,$AB285)))</f>
        <v/>
      </c>
      <c r="I285" s="11">
        <f>IF($AB285="","",IF(INDEX(입력_기본자료!$G$2:$G$1001,$AB285)="","",IF(NOT(ISNUMBER(INDEX(입력_기본자료!$G$2:$G$1001,$AB285))),INDEX(입력_기본자료!$G$2:$G$1001,$AB285),IF(INDEX(입력_기본자료!$G$2:$G$1001,$AB285)&lt;1000000,INDEX(입력_기본자료!$G$2:$G$1001,$AB285),IF(AND(INDEX(입력_기본자료!$G$2:$G$1001,$AB285)&gt;=10000101,INT(MOD(INDEX(입력_기본자료!$G$2:$G$1001,$AB285),10000)/100)&gt;=1,INT(MOD(INDEX(입력_기본자료!$G$2:$G$1001,$AB285),10000)/100)&lt;=12,MOD(INDEX(입력_기본자료!$G$2:$G$1001,$AB285),100)&gt;=1,MOD(INDEX(입력_기본자료!$G$2:$G$1001,$AB285),100)&lt;=31),DATE(INT(INDEX(입력_기본자료!$G$2:$G$1001,$AB285)/10000),INT(MOD(INDEX(입력_기본자료!$G$2:$G$1001,$AB285),10000)/100),MOD(INDEX(입력_기본자료!$G$2:$G$1001,$AB285),100)),INDEX(입력_기본자료!$G$2:$G$1001,$AB285)&amp;"")))))</f>
        <v/>
      </c>
      <c r="J285" s="10">
        <f>IF($AB285="","",IF(INDEX(입력_기본자료!$H$2:$H$1001,$AB285)="","",INDEX(입력_기본자료!$H$2:$H$1001,$AB285)))</f>
        <v/>
      </c>
      <c r="K285" s="10">
        <f>IF($AB285="","",IF(INDEX(입력_기본자료!$I$2:$I$1001,$AB285)="","",INDEX(입력_기본자료!$I$2:$I$1001,$AB285)))</f>
        <v/>
      </c>
      <c r="L285" s="10">
        <f>IF($AB285="","",IF(INDEX(입력_기본자료!$A$2:$A$1001,$AB285)="","",INDEX(입력_기본자료!$A$2:$A$1001,$AB285)))</f>
        <v/>
      </c>
      <c r="M285" s="15" t="n"/>
      <c r="N285" s="10">
        <f>IF($B285="","",IF(AND($U285="파견중",$Q285&lt;&gt;""),$Q285,IF(AND($AD285&lt;&gt;"",LEFT($AD285,1)&lt;&gt;"⚠"),LEFT($AD285,FIND(" ",$AD285)-1),IF($H285="","",IF(RIGHT($H285,2)="병원",$H285,$H285&amp;"병원")))))</f>
        <v/>
      </c>
      <c r="O285" s="10">
        <f>IF($B285="","",IF(AND($U285="파견중",$Q285&lt;&gt;""),IF($R285&lt;&gt;"",$R285,"파견과 미입력"),IF(AND($AD285&lt;&gt;"",LEFT($AD285,1)&lt;&gt;"⚠"),MID($AD285,FIND(" ",$AD285)+1,60),IF($F285="","",IF($F285="인턴","수련교육부(인턴)",$F285)))))</f>
        <v/>
      </c>
      <c r="P285" s="10">
        <f>IF($B285="","",IF($AK285&lt;&gt;"",IF(AND(TODAY()&gt;=INDEX(입력_파견수련계획!$AB$4:$AB$803,$AK285),OR(NOT(ISNUMBER(INDEX(입력_파견수련계획!$AC$4:$AC$803,$AK285))),TODAY()&lt;=INDEX(입력_파견수련계획!$AC$4:$AC$803,$AK285))),"다기관",IF($AF285="","",INDEX(입력_파견수련계획!$T$4:$T$803,$AF285))),IF($AF285="","",INDEX(입력_파견수련계획!$T$4:$T$803,$AF285))))</f>
        <v/>
      </c>
      <c r="Q285" s="10">
        <f>IF($AF285="","",INDEX(입력_파견수련계획!$S$4:$S$803,$AF285))</f>
        <v/>
      </c>
      <c r="R285" s="10">
        <f>IF($AF285="","",INDEX(입력_파견수련계획!$U$4:$U$803,$AF285))</f>
        <v/>
      </c>
      <c r="S285" s="11">
        <f>IF($AF285="","",IF(INDEX(입력_파견수련계획!$H$4:$H$803,$AF285)="","",INDEX(입력_파견수련계획!$H$4:$H$803,$AF285)))</f>
        <v/>
      </c>
      <c r="T285" s="11">
        <f>IF($AF285="","",IF(INDEX(입력_파견수련계획!$I$4:$I$803,$AF285)="","",INDEX(입력_파견수련계획!$I$4:$I$803,$AF285)))</f>
        <v/>
      </c>
      <c r="U285" s="10">
        <f>IF($AF285="","",INDEX(입력_파견수련계획!$X$4:$X$803,$AF285))</f>
        <v/>
      </c>
      <c r="V285" s="17">
        <f>IF($AF285="","",INDEX(입력_파견수련계획!$V$4:$V$803,$AF285))</f>
        <v/>
      </c>
      <c r="W285" s="17">
        <f>IF(AND($U285="파견중",$T285&lt;&gt;""),$T285-TODAY(),"")</f>
        <v/>
      </c>
      <c r="X285" s="17">
        <f>IF(OR($B285="",TRIM($J285&amp;"")=""),"",SUMPRODUCT((입력_파견수련계획!$Q$4:$Q$803=TRIM($J285&amp;""))*입력_파견수련계획!$W$4:$W$803))</f>
        <v/>
      </c>
      <c r="Y285" s="10">
        <f>IF($B285="","",IF($AG285="","",IF(IF(TRIM($J285&amp;"")="",0,SUMPRODUCT((입력_파견수련계획!$Q$4:$Q$803=TRIM($J285&amp;""))*입력_파견수련계획!$AD$4:$AD$803))&gt;0,$AE285,IF(AND(N($X285)&lt;=0,$AQ285=""),$AG285,IF($AH285+$AI285=DAY(EOMONTH(출력_요약!$B$3,0)),IF(AND($AH285&gt;=출력_요약!$E$3,$AI285&lt;출력_요약!$E$3),"서울병원",IF(AND($AI285&gt;=출력_요약!$E$3,$AH285&lt;출력_요약!$E$3),"구리병원","⚠15일 판정불가(서울 "&amp;$AH285&amp;"일/구리 "&amp;$AI285&amp;"일)")),IF($AJ285="",$AE285,IF(INDEX(입력_파견수련계획!$T$4:$T$803,$AJ285)="통합수련",INDEX(입력_파견수련계획!$S$4:$S$803,$AJ285),$AE285)))))))</f>
        <v/>
      </c>
      <c r="Z285" s="20">
        <f>IF($B285="","",IF($AB285="","기본자료에 없는 사번",IF(COUNTIF($B$2:$B$401,$B285)&gt;1,"중복 사번",IF($AE285="","소속(입사장소) 입력",IF(IF(TRIM($J285&amp;"")="",0,SUMPRODUCT((입력_파견수련계획!$Q$4:$Q$803=TRIM($J285&amp;""))*(입력_파견수련계획!$AA$4:$AA$803&lt;&gt;"")))&gt;0,"파견수련계획 입력오류 확인",IF(LEFT($Y285,1)="⚠","서울·구리 15일 판정 불가(양쪽 모두 이상/미만)",IF(IF($AC285="",0,N(INDEX(입력_인턴근무계획!$T$3:$T$402,$AC285)))&gt;0,"인턴계획 입력오류 확인",IF(AND($AQ285&lt;&gt;"",$AG285&lt;&gt;"구리병원",IF(TRIM($J285&amp;"")="",0,SUMPRODUCT((입력_파견수련계획!$Q$4:$Q$803=TRIM($J285&amp;""))*(입력_파견수련계획!$S$4:$S$803="구리병원")*입력_파견수련계획!$W$4:$W$803))=0),"구리 근무자명단에만 있음(파견수련계획 확인)",IF(AND($AC285&lt;&gt;"",$U285&lt;&gt;"파견중",$N285&lt;&gt;$AE285),"인턴 타지역 근무: 파견 여부 확인","정상")))))))))</f>
        <v/>
      </c>
      <c r="AA285" s="5" t="n"/>
      <c r="AB285" s="10">
        <f>IF($B285="","",IFERROR(MATCH($B285,입력_기본자료!$B$2:$B$1001,0),IFERROR(MATCH($B285&amp;"",입력_기본자료!$B$2:$B$1001,0),IFERROR(MATCH(VALUE($B285),입력_기본자료!$B$2:$B$1001,0),""))))</f>
        <v/>
      </c>
      <c r="AC285" s="10">
        <f>IF($B285="","",IFERROR(MATCH($B285,입력_인턴근무계획!$D$3:$D$402,0),IFERROR(MATCH($B285&amp;"",입력_인턴근무계획!$D$3:$D$402,0),IFERROR(MATCH(VALUE($B285),입력_인턴근무계획!$D$3:$D$402,0),""))))</f>
        <v/>
      </c>
      <c r="AD285" s="10">
        <f>IF(OR($AC285="",출력_인턴현황!$G$3=""),"",INDEX(입력_인턴근무계획!$M$3:$R$402,$AC285,출력_인턴현황!$G$3)&amp;"")</f>
        <v/>
      </c>
      <c r="AE285" s="10">
        <f>IF($B285="","",IF($M285&lt;&gt;"",$M285,IF(IF($AQ285="",FALSE,INDEX(출력_구리근무자!$J$6:$J$305,$AQ285)="구리독자"),"구리병원",IF($AF285&lt;&gt;"",IF(LEFT(INDEX(입력_파견수련계획!$R$4:$R$803,$AF285),1)&lt;&gt;"⚠",INDEX(입력_파견수련계획!$R$4:$R$803,$AF285),IF($H285="","",IF(RIGHT($H285,2)="병원",$H285,$H285&amp;"병원"))),IF($H285="","",IF(RIGHT($H285,2)="병원",$H285,$H285&amp;"병원"))))))</f>
        <v/>
      </c>
      <c r="AF285" s="10">
        <f>IF(OR($B285="",TRIM($J285&amp;"")=""),"",IFERROR(MATCH(TRIM($J285&amp;"")&amp;"|파견중",입력_파견수련계획!$Y$4:$Y$803,0),IFERROR(MATCH(TRIM($J285&amp;"")&amp;"|파견예정",입력_파견수련계획!$Y$4:$Y$803,0),IFERROR(MATCH(TRIM($J285&amp;"")&amp;"|파견종료",입력_파견수련계획!$Y$4:$Y$803,0),""))))</f>
        <v/>
      </c>
      <c r="AG285" s="10">
        <f>IF($B285="","",IF(AND(IF(OR($AC285="",출력_인턴현황!$K$2=""),"",INDEX(입력_인턴근무계획!$M$3:$R$402,$AC285,출력_인턴현황!$K$2)&amp;"")&lt;&gt;"",LEFT(IF(OR($AC285="",출력_인턴현황!$K$2=""),"",INDEX(입력_인턴근무계획!$M$3:$R$402,$AC285,출력_인턴현황!$K$2)&amp;""),1)&lt;&gt;"⚠"),LEFT(IF(OR($AC285="",출력_인턴현황!$K$2=""),"",INDEX(입력_인턴근무계획!$M$3:$R$402,$AC285,출력_인턴현황!$K$2)&amp;""),FIND(" ",IF(OR($AC285="",출력_인턴현황!$K$2=""),"",INDEX(입력_인턴근무계획!$M$3:$R$402,$AC285,출력_인턴현황!$K$2)&amp;""))-1),$AE285))</f>
        <v/>
      </c>
      <c r="AH285" s="17">
        <f>IF($B285="","",IF($AQ285&lt;&gt;"",MAX(0,DAY(EOMONTH(출력_요약!$B$3,0))-N($AR285)),IF(TRIM($J285&amp;"")="",0,SUMPRODUCT((입력_파견수련계획!$Q$4:$Q$803=TRIM($J285&amp;""))*(입력_파견수련계획!$S$4:$S$803="서울병원")*입력_파견수련계획!$W$4:$W$803))+IF($AG285="서울병원",MAX(0,DAY(EOMONTH(출력_요약!$B$3,0))-N($X285)),0)))</f>
        <v/>
      </c>
      <c r="AI285" s="17">
        <f>IF($B285="","",IF($AQ285&lt;&gt;"",N($AR285),IF(TRIM($J285&amp;"")="",0,SUMPRODUCT((입력_파견수련계획!$Q$4:$Q$803=TRIM($J285&amp;""))*(입력_파견수련계획!$S$4:$S$803="구리병원")*입력_파견수련계획!$W$4:$W$803))+IF($AG285="구리병원",MAX(0,DAY(EOMONTH(출력_요약!$B$3,0))-N($X285)),0)))</f>
        <v/>
      </c>
      <c r="AJ285" s="10">
        <f>IF(OR($B285="",TRIM($J285&amp;"")=""),"",IFERROR(MATCH(TRIM($J285&amp;"")&amp;"|월",입력_파견수련계획!$Z$4:$Z$803,0),""))</f>
        <v/>
      </c>
      <c r="AK285" s="10">
        <f>IF(OR($B285="",TRIM($J285&amp;"")=""),"",IFERROR(MATCH(TRIM($J285&amp;"")&amp;"|다기관",입력_파견수련계획!$AE$4:$AE$803,0),""))</f>
        <v/>
      </c>
      <c r="AL285" s="10">
        <f>IF($AK285="","","다기관 "&amp;TEXT(INDEX(입력_파견수련계획!$AB$4:$AB$803,$AK285),"yyyy-mm-dd")&amp;"~"&amp;IF(ISNUMBER(INDEX(입력_파견수련계획!$AC$4:$AC$803,$AK285)),TEXT(INDEX(입력_파견수련계획!$AC$4:$AC$803,$AK285),"yyyy-mm-dd"),""))</f>
        <v/>
      </c>
      <c r="AM285" s="10">
        <f>IF($Y285="서울병원",COUNTIF($Y$2:$Y285,"서울병원"),"")</f>
        <v/>
      </c>
      <c r="AN285" s="10">
        <f>IF(LEFT($Y285,1)="⚠",COUNTIF($Y$2:$Y285,"⚠*"),"")</f>
        <v/>
      </c>
      <c r="AO285" s="10">
        <f>IF(OR($B285="",$Y285=""),"",IF(IF(TRIM($J285&amp;"")="",0,SUMPRODUCT((입력_파견수련계획!$Q$4:$Q$803=TRIM($J285&amp;""))*입력_파견수련계획!$AD$4:$AD$803))&gt;0,"다기관 기간 → 소속병원 지급",IF(AND(N($X285)&lt;=0,$AQ285=""),"파견 없음 → 그 달 근무병원 지급",IF($AH285+$AI285=DAY(EOMONTH(출력_요약!$B$3,0)),"서울 "&amp;$AH285&amp;"일 / 구리 "&amp;$AI285&amp;"일"&amp;IF($AQ285&lt;&gt;""," (구리 근무자명단 반영)","")&amp;" → 15일 이상 근무 병원 지급","타 병원 포함 → "&amp;IF($AJ285="","소속",INDEX(입력_파견수련계획!$T$4:$T$803,$AJ285))&amp;" 규칙"))))</f>
        <v/>
      </c>
      <c r="AP285" s="10">
        <f>IF($B285="","",$C285&amp;"|"&amp;$F285)</f>
        <v/>
      </c>
      <c r="AQ285" s="10">
        <f>IF($B285="","",IFERROR(MATCH(ROW()-1,출력_구리근무자!$K$6:$K$305,0),""))</f>
        <v/>
      </c>
      <c r="AR285" s="10">
        <f>IF($AQ285="","",INDEX(출력_구리근무자!$H$6:$H$305,$AQ285))</f>
        <v/>
      </c>
    </row>
    <row r="286">
      <c r="A286" s="10">
        <f>IF(B286="","",ROW()-1)</f>
        <v/>
      </c>
      <c r="B286" s="19" t="n"/>
      <c r="C286" s="10">
        <f>IF($AB286="","",IF(INDEX(입력_기본자료!$C$2:$C$1001,$AB286)="","",INDEX(입력_기본자료!$C$2:$C$1001,$AB286)))</f>
        <v/>
      </c>
      <c r="D286" s="10">
        <f>IF($AB286="","",IF(INDEX(입력_기본자료!$J$2:$J$1001,$AB286)="","",INDEX(입력_기본자료!$J$2:$J$1001,$AB286)))</f>
        <v/>
      </c>
      <c r="E286" s="11">
        <f>IF($AB286="","",IF(INDEX(입력_기본자료!$K$2:$K$1001,$AB286)="","",IF(NOT(ISNUMBER(INDEX(입력_기본자료!$K$2:$K$1001,$AB286))),INDEX(입력_기본자료!$K$2:$K$1001,$AB286),IF(INDEX(입력_기본자료!$K$2:$K$1001,$AB286)&lt;1000000,INDEX(입력_기본자료!$K$2:$K$1001,$AB286),IF(AND(INDEX(입력_기본자료!$K$2:$K$1001,$AB286)&gt;=10000101,INT(MOD(INDEX(입력_기본자료!$K$2:$K$1001,$AB286),10000)/100)&gt;=1,INT(MOD(INDEX(입력_기본자료!$K$2:$K$1001,$AB286),10000)/100)&lt;=12,MOD(INDEX(입력_기본자료!$K$2:$K$1001,$AB286),100)&gt;=1,MOD(INDEX(입력_기본자료!$K$2:$K$1001,$AB286),100)&lt;=31),DATE(INT(INDEX(입력_기본자료!$K$2:$K$1001,$AB286)/10000),INT(MOD(INDEX(입력_기본자료!$K$2:$K$1001,$AB286),10000)/100),MOD(INDEX(입력_기본자료!$K$2:$K$1001,$AB286),100)),INDEX(입력_기본자료!$K$2:$K$1001,$AB286)&amp;"")))))</f>
        <v/>
      </c>
      <c r="F286" s="10">
        <f>IF($AB286="","",IF(INDEX(입력_기본자료!$D$2:$D$1001,$AB286)="","",INDEX(입력_기본자료!$D$2:$D$1001,$AB286)))</f>
        <v/>
      </c>
      <c r="G286" s="10">
        <f>IF($AB286="","",IF(INDEX(입력_기본자료!$E$2:$E$1001,$AB286)="","",INDEX(입력_기본자료!$E$2:$E$1001,$AB286)))</f>
        <v/>
      </c>
      <c r="H286" s="10">
        <f>IF($AB286="","",IF(INDEX(입력_기본자료!$F$2:$F$1001,$AB286)="","",INDEX(입력_기본자료!$F$2:$F$1001,$AB286)))</f>
        <v/>
      </c>
      <c r="I286" s="11">
        <f>IF($AB286="","",IF(INDEX(입력_기본자료!$G$2:$G$1001,$AB286)="","",IF(NOT(ISNUMBER(INDEX(입력_기본자료!$G$2:$G$1001,$AB286))),INDEX(입력_기본자료!$G$2:$G$1001,$AB286),IF(INDEX(입력_기본자료!$G$2:$G$1001,$AB286)&lt;1000000,INDEX(입력_기본자료!$G$2:$G$1001,$AB286),IF(AND(INDEX(입력_기본자료!$G$2:$G$1001,$AB286)&gt;=10000101,INT(MOD(INDEX(입력_기본자료!$G$2:$G$1001,$AB286),10000)/100)&gt;=1,INT(MOD(INDEX(입력_기본자료!$G$2:$G$1001,$AB286),10000)/100)&lt;=12,MOD(INDEX(입력_기본자료!$G$2:$G$1001,$AB286),100)&gt;=1,MOD(INDEX(입력_기본자료!$G$2:$G$1001,$AB286),100)&lt;=31),DATE(INT(INDEX(입력_기본자료!$G$2:$G$1001,$AB286)/10000),INT(MOD(INDEX(입력_기본자료!$G$2:$G$1001,$AB286),10000)/100),MOD(INDEX(입력_기본자료!$G$2:$G$1001,$AB286),100)),INDEX(입력_기본자료!$G$2:$G$1001,$AB286)&amp;"")))))</f>
        <v/>
      </c>
      <c r="J286" s="10">
        <f>IF($AB286="","",IF(INDEX(입력_기본자료!$H$2:$H$1001,$AB286)="","",INDEX(입력_기본자료!$H$2:$H$1001,$AB286)))</f>
        <v/>
      </c>
      <c r="K286" s="10">
        <f>IF($AB286="","",IF(INDEX(입력_기본자료!$I$2:$I$1001,$AB286)="","",INDEX(입력_기본자료!$I$2:$I$1001,$AB286)))</f>
        <v/>
      </c>
      <c r="L286" s="10">
        <f>IF($AB286="","",IF(INDEX(입력_기본자료!$A$2:$A$1001,$AB286)="","",INDEX(입력_기본자료!$A$2:$A$1001,$AB286)))</f>
        <v/>
      </c>
      <c r="M286" s="15" t="n"/>
      <c r="N286" s="10">
        <f>IF($B286="","",IF(AND($U286="파견중",$Q286&lt;&gt;""),$Q286,IF(AND($AD286&lt;&gt;"",LEFT($AD286,1)&lt;&gt;"⚠"),LEFT($AD286,FIND(" ",$AD286)-1),IF($H286="","",IF(RIGHT($H286,2)="병원",$H286,$H286&amp;"병원")))))</f>
        <v/>
      </c>
      <c r="O286" s="10">
        <f>IF($B286="","",IF(AND($U286="파견중",$Q286&lt;&gt;""),IF($R286&lt;&gt;"",$R286,"파견과 미입력"),IF(AND($AD286&lt;&gt;"",LEFT($AD286,1)&lt;&gt;"⚠"),MID($AD286,FIND(" ",$AD286)+1,60),IF($F286="","",IF($F286="인턴","수련교육부(인턴)",$F286)))))</f>
        <v/>
      </c>
      <c r="P286" s="10">
        <f>IF($B286="","",IF($AK286&lt;&gt;"",IF(AND(TODAY()&gt;=INDEX(입력_파견수련계획!$AB$4:$AB$803,$AK286),OR(NOT(ISNUMBER(INDEX(입력_파견수련계획!$AC$4:$AC$803,$AK286))),TODAY()&lt;=INDEX(입력_파견수련계획!$AC$4:$AC$803,$AK286))),"다기관",IF($AF286="","",INDEX(입력_파견수련계획!$T$4:$T$803,$AF286))),IF($AF286="","",INDEX(입력_파견수련계획!$T$4:$T$803,$AF286))))</f>
        <v/>
      </c>
      <c r="Q286" s="10">
        <f>IF($AF286="","",INDEX(입력_파견수련계획!$S$4:$S$803,$AF286))</f>
        <v/>
      </c>
      <c r="R286" s="10">
        <f>IF($AF286="","",INDEX(입력_파견수련계획!$U$4:$U$803,$AF286))</f>
        <v/>
      </c>
      <c r="S286" s="11">
        <f>IF($AF286="","",IF(INDEX(입력_파견수련계획!$H$4:$H$803,$AF286)="","",INDEX(입력_파견수련계획!$H$4:$H$803,$AF286)))</f>
        <v/>
      </c>
      <c r="T286" s="11">
        <f>IF($AF286="","",IF(INDEX(입력_파견수련계획!$I$4:$I$803,$AF286)="","",INDEX(입력_파견수련계획!$I$4:$I$803,$AF286)))</f>
        <v/>
      </c>
      <c r="U286" s="10">
        <f>IF($AF286="","",INDEX(입력_파견수련계획!$X$4:$X$803,$AF286))</f>
        <v/>
      </c>
      <c r="V286" s="17">
        <f>IF($AF286="","",INDEX(입력_파견수련계획!$V$4:$V$803,$AF286))</f>
        <v/>
      </c>
      <c r="W286" s="17">
        <f>IF(AND($U286="파견중",$T286&lt;&gt;""),$T286-TODAY(),"")</f>
        <v/>
      </c>
      <c r="X286" s="17">
        <f>IF(OR($B286="",TRIM($J286&amp;"")=""),"",SUMPRODUCT((입력_파견수련계획!$Q$4:$Q$803=TRIM($J286&amp;""))*입력_파견수련계획!$W$4:$W$803))</f>
        <v/>
      </c>
      <c r="Y286" s="10">
        <f>IF($B286="","",IF($AG286="","",IF(IF(TRIM($J286&amp;"")="",0,SUMPRODUCT((입력_파견수련계획!$Q$4:$Q$803=TRIM($J286&amp;""))*입력_파견수련계획!$AD$4:$AD$803))&gt;0,$AE286,IF(AND(N($X286)&lt;=0,$AQ286=""),$AG286,IF($AH286+$AI286=DAY(EOMONTH(출력_요약!$B$3,0)),IF(AND($AH286&gt;=출력_요약!$E$3,$AI286&lt;출력_요약!$E$3),"서울병원",IF(AND($AI286&gt;=출력_요약!$E$3,$AH286&lt;출력_요약!$E$3),"구리병원","⚠15일 판정불가(서울 "&amp;$AH286&amp;"일/구리 "&amp;$AI286&amp;"일)")),IF($AJ286="",$AE286,IF(INDEX(입력_파견수련계획!$T$4:$T$803,$AJ286)="통합수련",INDEX(입력_파견수련계획!$S$4:$S$803,$AJ286),$AE286)))))))</f>
        <v/>
      </c>
      <c r="Z286" s="20">
        <f>IF($B286="","",IF($AB286="","기본자료에 없는 사번",IF(COUNTIF($B$2:$B$401,$B286)&gt;1,"중복 사번",IF($AE286="","소속(입사장소) 입력",IF(IF(TRIM($J286&amp;"")="",0,SUMPRODUCT((입력_파견수련계획!$Q$4:$Q$803=TRIM($J286&amp;""))*(입력_파견수련계획!$AA$4:$AA$803&lt;&gt;"")))&gt;0,"파견수련계획 입력오류 확인",IF(LEFT($Y286,1)="⚠","서울·구리 15일 판정 불가(양쪽 모두 이상/미만)",IF(IF($AC286="",0,N(INDEX(입력_인턴근무계획!$T$3:$T$402,$AC286)))&gt;0,"인턴계획 입력오류 확인",IF(AND($AQ286&lt;&gt;"",$AG286&lt;&gt;"구리병원",IF(TRIM($J286&amp;"")="",0,SUMPRODUCT((입력_파견수련계획!$Q$4:$Q$803=TRIM($J286&amp;""))*(입력_파견수련계획!$S$4:$S$803="구리병원")*입력_파견수련계획!$W$4:$W$803))=0),"구리 근무자명단에만 있음(파견수련계획 확인)",IF(AND($AC286&lt;&gt;"",$U286&lt;&gt;"파견중",$N286&lt;&gt;$AE286),"인턴 타지역 근무: 파견 여부 확인","정상")))))))))</f>
        <v/>
      </c>
      <c r="AA286" s="5" t="n"/>
      <c r="AB286" s="10">
        <f>IF($B286="","",IFERROR(MATCH($B286,입력_기본자료!$B$2:$B$1001,0),IFERROR(MATCH($B286&amp;"",입력_기본자료!$B$2:$B$1001,0),IFERROR(MATCH(VALUE($B286),입력_기본자료!$B$2:$B$1001,0),""))))</f>
        <v/>
      </c>
      <c r="AC286" s="10">
        <f>IF($B286="","",IFERROR(MATCH($B286,입력_인턴근무계획!$D$3:$D$402,0),IFERROR(MATCH($B286&amp;"",입력_인턴근무계획!$D$3:$D$402,0),IFERROR(MATCH(VALUE($B286),입력_인턴근무계획!$D$3:$D$402,0),""))))</f>
        <v/>
      </c>
      <c r="AD286" s="10">
        <f>IF(OR($AC286="",출력_인턴현황!$G$3=""),"",INDEX(입력_인턴근무계획!$M$3:$R$402,$AC286,출력_인턴현황!$G$3)&amp;"")</f>
        <v/>
      </c>
      <c r="AE286" s="10">
        <f>IF($B286="","",IF($M286&lt;&gt;"",$M286,IF(IF($AQ286="",FALSE,INDEX(출력_구리근무자!$J$6:$J$305,$AQ286)="구리독자"),"구리병원",IF($AF286&lt;&gt;"",IF(LEFT(INDEX(입력_파견수련계획!$R$4:$R$803,$AF286),1)&lt;&gt;"⚠",INDEX(입력_파견수련계획!$R$4:$R$803,$AF286),IF($H286="","",IF(RIGHT($H286,2)="병원",$H286,$H286&amp;"병원"))),IF($H286="","",IF(RIGHT($H286,2)="병원",$H286,$H286&amp;"병원"))))))</f>
        <v/>
      </c>
      <c r="AF286" s="10">
        <f>IF(OR($B286="",TRIM($J286&amp;"")=""),"",IFERROR(MATCH(TRIM($J286&amp;"")&amp;"|파견중",입력_파견수련계획!$Y$4:$Y$803,0),IFERROR(MATCH(TRIM($J286&amp;"")&amp;"|파견예정",입력_파견수련계획!$Y$4:$Y$803,0),IFERROR(MATCH(TRIM($J286&amp;"")&amp;"|파견종료",입력_파견수련계획!$Y$4:$Y$803,0),""))))</f>
        <v/>
      </c>
      <c r="AG286" s="10">
        <f>IF($B286="","",IF(AND(IF(OR($AC286="",출력_인턴현황!$K$2=""),"",INDEX(입력_인턴근무계획!$M$3:$R$402,$AC286,출력_인턴현황!$K$2)&amp;"")&lt;&gt;"",LEFT(IF(OR($AC286="",출력_인턴현황!$K$2=""),"",INDEX(입력_인턴근무계획!$M$3:$R$402,$AC286,출력_인턴현황!$K$2)&amp;""),1)&lt;&gt;"⚠"),LEFT(IF(OR($AC286="",출력_인턴현황!$K$2=""),"",INDEX(입력_인턴근무계획!$M$3:$R$402,$AC286,출력_인턴현황!$K$2)&amp;""),FIND(" ",IF(OR($AC286="",출력_인턴현황!$K$2=""),"",INDEX(입력_인턴근무계획!$M$3:$R$402,$AC286,출력_인턴현황!$K$2)&amp;""))-1),$AE286))</f>
        <v/>
      </c>
      <c r="AH286" s="17">
        <f>IF($B286="","",IF($AQ286&lt;&gt;"",MAX(0,DAY(EOMONTH(출력_요약!$B$3,0))-N($AR286)),IF(TRIM($J286&amp;"")="",0,SUMPRODUCT((입력_파견수련계획!$Q$4:$Q$803=TRIM($J286&amp;""))*(입력_파견수련계획!$S$4:$S$803="서울병원")*입력_파견수련계획!$W$4:$W$803))+IF($AG286="서울병원",MAX(0,DAY(EOMONTH(출력_요약!$B$3,0))-N($X286)),0)))</f>
        <v/>
      </c>
      <c r="AI286" s="17">
        <f>IF($B286="","",IF($AQ286&lt;&gt;"",N($AR286),IF(TRIM($J286&amp;"")="",0,SUMPRODUCT((입력_파견수련계획!$Q$4:$Q$803=TRIM($J286&amp;""))*(입력_파견수련계획!$S$4:$S$803="구리병원")*입력_파견수련계획!$W$4:$W$803))+IF($AG286="구리병원",MAX(0,DAY(EOMONTH(출력_요약!$B$3,0))-N($X286)),0)))</f>
        <v/>
      </c>
      <c r="AJ286" s="10">
        <f>IF(OR($B286="",TRIM($J286&amp;"")=""),"",IFERROR(MATCH(TRIM($J286&amp;"")&amp;"|월",입력_파견수련계획!$Z$4:$Z$803,0),""))</f>
        <v/>
      </c>
      <c r="AK286" s="10">
        <f>IF(OR($B286="",TRIM($J286&amp;"")=""),"",IFERROR(MATCH(TRIM($J286&amp;"")&amp;"|다기관",입력_파견수련계획!$AE$4:$AE$803,0),""))</f>
        <v/>
      </c>
      <c r="AL286" s="10">
        <f>IF($AK286="","","다기관 "&amp;TEXT(INDEX(입력_파견수련계획!$AB$4:$AB$803,$AK286),"yyyy-mm-dd")&amp;"~"&amp;IF(ISNUMBER(INDEX(입력_파견수련계획!$AC$4:$AC$803,$AK286)),TEXT(INDEX(입력_파견수련계획!$AC$4:$AC$803,$AK286),"yyyy-mm-dd"),""))</f>
        <v/>
      </c>
      <c r="AM286" s="10">
        <f>IF($Y286="서울병원",COUNTIF($Y$2:$Y286,"서울병원"),"")</f>
        <v/>
      </c>
      <c r="AN286" s="10">
        <f>IF(LEFT($Y286,1)="⚠",COUNTIF($Y$2:$Y286,"⚠*"),"")</f>
        <v/>
      </c>
      <c r="AO286" s="10">
        <f>IF(OR($B286="",$Y286=""),"",IF(IF(TRIM($J286&amp;"")="",0,SUMPRODUCT((입력_파견수련계획!$Q$4:$Q$803=TRIM($J286&amp;""))*입력_파견수련계획!$AD$4:$AD$803))&gt;0,"다기관 기간 → 소속병원 지급",IF(AND(N($X286)&lt;=0,$AQ286=""),"파견 없음 → 그 달 근무병원 지급",IF($AH286+$AI286=DAY(EOMONTH(출력_요약!$B$3,0)),"서울 "&amp;$AH286&amp;"일 / 구리 "&amp;$AI286&amp;"일"&amp;IF($AQ286&lt;&gt;""," (구리 근무자명단 반영)","")&amp;" → 15일 이상 근무 병원 지급","타 병원 포함 → "&amp;IF($AJ286="","소속",INDEX(입력_파견수련계획!$T$4:$T$803,$AJ286))&amp;" 규칙"))))</f>
        <v/>
      </c>
      <c r="AP286" s="10">
        <f>IF($B286="","",$C286&amp;"|"&amp;$F286)</f>
        <v/>
      </c>
      <c r="AQ286" s="10">
        <f>IF($B286="","",IFERROR(MATCH(ROW()-1,출력_구리근무자!$K$6:$K$305,0),""))</f>
        <v/>
      </c>
      <c r="AR286" s="10">
        <f>IF($AQ286="","",INDEX(출력_구리근무자!$H$6:$H$305,$AQ286))</f>
        <v/>
      </c>
    </row>
    <row r="287">
      <c r="A287" s="10">
        <f>IF(B287="","",ROW()-1)</f>
        <v/>
      </c>
      <c r="B287" s="19" t="n"/>
      <c r="C287" s="10">
        <f>IF($AB287="","",IF(INDEX(입력_기본자료!$C$2:$C$1001,$AB287)="","",INDEX(입력_기본자료!$C$2:$C$1001,$AB287)))</f>
        <v/>
      </c>
      <c r="D287" s="10">
        <f>IF($AB287="","",IF(INDEX(입력_기본자료!$J$2:$J$1001,$AB287)="","",INDEX(입력_기본자료!$J$2:$J$1001,$AB287)))</f>
        <v/>
      </c>
      <c r="E287" s="11">
        <f>IF($AB287="","",IF(INDEX(입력_기본자료!$K$2:$K$1001,$AB287)="","",IF(NOT(ISNUMBER(INDEX(입력_기본자료!$K$2:$K$1001,$AB287))),INDEX(입력_기본자료!$K$2:$K$1001,$AB287),IF(INDEX(입력_기본자료!$K$2:$K$1001,$AB287)&lt;1000000,INDEX(입력_기본자료!$K$2:$K$1001,$AB287),IF(AND(INDEX(입력_기본자료!$K$2:$K$1001,$AB287)&gt;=10000101,INT(MOD(INDEX(입력_기본자료!$K$2:$K$1001,$AB287),10000)/100)&gt;=1,INT(MOD(INDEX(입력_기본자료!$K$2:$K$1001,$AB287),10000)/100)&lt;=12,MOD(INDEX(입력_기본자료!$K$2:$K$1001,$AB287),100)&gt;=1,MOD(INDEX(입력_기본자료!$K$2:$K$1001,$AB287),100)&lt;=31),DATE(INT(INDEX(입력_기본자료!$K$2:$K$1001,$AB287)/10000),INT(MOD(INDEX(입력_기본자료!$K$2:$K$1001,$AB287),10000)/100),MOD(INDEX(입력_기본자료!$K$2:$K$1001,$AB287),100)),INDEX(입력_기본자료!$K$2:$K$1001,$AB287)&amp;"")))))</f>
        <v/>
      </c>
      <c r="F287" s="10">
        <f>IF($AB287="","",IF(INDEX(입력_기본자료!$D$2:$D$1001,$AB287)="","",INDEX(입력_기본자료!$D$2:$D$1001,$AB287)))</f>
        <v/>
      </c>
      <c r="G287" s="10">
        <f>IF($AB287="","",IF(INDEX(입력_기본자료!$E$2:$E$1001,$AB287)="","",INDEX(입력_기본자료!$E$2:$E$1001,$AB287)))</f>
        <v/>
      </c>
      <c r="H287" s="10">
        <f>IF($AB287="","",IF(INDEX(입력_기본자료!$F$2:$F$1001,$AB287)="","",INDEX(입력_기본자료!$F$2:$F$1001,$AB287)))</f>
        <v/>
      </c>
      <c r="I287" s="11">
        <f>IF($AB287="","",IF(INDEX(입력_기본자료!$G$2:$G$1001,$AB287)="","",IF(NOT(ISNUMBER(INDEX(입력_기본자료!$G$2:$G$1001,$AB287))),INDEX(입력_기본자료!$G$2:$G$1001,$AB287),IF(INDEX(입력_기본자료!$G$2:$G$1001,$AB287)&lt;1000000,INDEX(입력_기본자료!$G$2:$G$1001,$AB287),IF(AND(INDEX(입력_기본자료!$G$2:$G$1001,$AB287)&gt;=10000101,INT(MOD(INDEX(입력_기본자료!$G$2:$G$1001,$AB287),10000)/100)&gt;=1,INT(MOD(INDEX(입력_기본자료!$G$2:$G$1001,$AB287),10000)/100)&lt;=12,MOD(INDEX(입력_기본자료!$G$2:$G$1001,$AB287),100)&gt;=1,MOD(INDEX(입력_기본자료!$G$2:$G$1001,$AB287),100)&lt;=31),DATE(INT(INDEX(입력_기본자료!$G$2:$G$1001,$AB287)/10000),INT(MOD(INDEX(입력_기본자료!$G$2:$G$1001,$AB287),10000)/100),MOD(INDEX(입력_기본자료!$G$2:$G$1001,$AB287),100)),INDEX(입력_기본자료!$G$2:$G$1001,$AB287)&amp;"")))))</f>
        <v/>
      </c>
      <c r="J287" s="10">
        <f>IF($AB287="","",IF(INDEX(입력_기본자료!$H$2:$H$1001,$AB287)="","",INDEX(입력_기본자료!$H$2:$H$1001,$AB287)))</f>
        <v/>
      </c>
      <c r="K287" s="10">
        <f>IF($AB287="","",IF(INDEX(입력_기본자료!$I$2:$I$1001,$AB287)="","",INDEX(입력_기본자료!$I$2:$I$1001,$AB287)))</f>
        <v/>
      </c>
      <c r="L287" s="10">
        <f>IF($AB287="","",IF(INDEX(입력_기본자료!$A$2:$A$1001,$AB287)="","",INDEX(입력_기본자료!$A$2:$A$1001,$AB287)))</f>
        <v/>
      </c>
      <c r="M287" s="15" t="n"/>
      <c r="N287" s="10">
        <f>IF($B287="","",IF(AND($U287="파견중",$Q287&lt;&gt;""),$Q287,IF(AND($AD287&lt;&gt;"",LEFT($AD287,1)&lt;&gt;"⚠"),LEFT($AD287,FIND(" ",$AD287)-1),IF($H287="","",IF(RIGHT($H287,2)="병원",$H287,$H287&amp;"병원")))))</f>
        <v/>
      </c>
      <c r="O287" s="10">
        <f>IF($B287="","",IF(AND($U287="파견중",$Q287&lt;&gt;""),IF($R287&lt;&gt;"",$R287,"파견과 미입력"),IF(AND($AD287&lt;&gt;"",LEFT($AD287,1)&lt;&gt;"⚠"),MID($AD287,FIND(" ",$AD287)+1,60),IF($F287="","",IF($F287="인턴","수련교육부(인턴)",$F287)))))</f>
        <v/>
      </c>
      <c r="P287" s="10">
        <f>IF($B287="","",IF($AK287&lt;&gt;"",IF(AND(TODAY()&gt;=INDEX(입력_파견수련계획!$AB$4:$AB$803,$AK287),OR(NOT(ISNUMBER(INDEX(입력_파견수련계획!$AC$4:$AC$803,$AK287))),TODAY()&lt;=INDEX(입력_파견수련계획!$AC$4:$AC$803,$AK287))),"다기관",IF($AF287="","",INDEX(입력_파견수련계획!$T$4:$T$803,$AF287))),IF($AF287="","",INDEX(입력_파견수련계획!$T$4:$T$803,$AF287))))</f>
        <v/>
      </c>
      <c r="Q287" s="10">
        <f>IF($AF287="","",INDEX(입력_파견수련계획!$S$4:$S$803,$AF287))</f>
        <v/>
      </c>
      <c r="R287" s="10">
        <f>IF($AF287="","",INDEX(입력_파견수련계획!$U$4:$U$803,$AF287))</f>
        <v/>
      </c>
      <c r="S287" s="11">
        <f>IF($AF287="","",IF(INDEX(입력_파견수련계획!$H$4:$H$803,$AF287)="","",INDEX(입력_파견수련계획!$H$4:$H$803,$AF287)))</f>
        <v/>
      </c>
      <c r="T287" s="11">
        <f>IF($AF287="","",IF(INDEX(입력_파견수련계획!$I$4:$I$803,$AF287)="","",INDEX(입력_파견수련계획!$I$4:$I$803,$AF287)))</f>
        <v/>
      </c>
      <c r="U287" s="10">
        <f>IF($AF287="","",INDEX(입력_파견수련계획!$X$4:$X$803,$AF287))</f>
        <v/>
      </c>
      <c r="V287" s="17">
        <f>IF($AF287="","",INDEX(입력_파견수련계획!$V$4:$V$803,$AF287))</f>
        <v/>
      </c>
      <c r="W287" s="17">
        <f>IF(AND($U287="파견중",$T287&lt;&gt;""),$T287-TODAY(),"")</f>
        <v/>
      </c>
      <c r="X287" s="17">
        <f>IF(OR($B287="",TRIM($J287&amp;"")=""),"",SUMPRODUCT((입력_파견수련계획!$Q$4:$Q$803=TRIM($J287&amp;""))*입력_파견수련계획!$W$4:$W$803))</f>
        <v/>
      </c>
      <c r="Y287" s="10">
        <f>IF($B287="","",IF($AG287="","",IF(IF(TRIM($J287&amp;"")="",0,SUMPRODUCT((입력_파견수련계획!$Q$4:$Q$803=TRIM($J287&amp;""))*입력_파견수련계획!$AD$4:$AD$803))&gt;0,$AE287,IF(AND(N($X287)&lt;=0,$AQ287=""),$AG287,IF($AH287+$AI287=DAY(EOMONTH(출력_요약!$B$3,0)),IF(AND($AH287&gt;=출력_요약!$E$3,$AI287&lt;출력_요약!$E$3),"서울병원",IF(AND($AI287&gt;=출력_요약!$E$3,$AH287&lt;출력_요약!$E$3),"구리병원","⚠15일 판정불가(서울 "&amp;$AH287&amp;"일/구리 "&amp;$AI287&amp;"일)")),IF($AJ287="",$AE287,IF(INDEX(입력_파견수련계획!$T$4:$T$803,$AJ287)="통합수련",INDEX(입력_파견수련계획!$S$4:$S$803,$AJ287),$AE287)))))))</f>
        <v/>
      </c>
      <c r="Z287" s="20">
        <f>IF($B287="","",IF($AB287="","기본자료에 없는 사번",IF(COUNTIF($B$2:$B$401,$B287)&gt;1,"중복 사번",IF($AE287="","소속(입사장소) 입력",IF(IF(TRIM($J287&amp;"")="",0,SUMPRODUCT((입력_파견수련계획!$Q$4:$Q$803=TRIM($J287&amp;""))*(입력_파견수련계획!$AA$4:$AA$803&lt;&gt;"")))&gt;0,"파견수련계획 입력오류 확인",IF(LEFT($Y287,1)="⚠","서울·구리 15일 판정 불가(양쪽 모두 이상/미만)",IF(IF($AC287="",0,N(INDEX(입력_인턴근무계획!$T$3:$T$402,$AC287)))&gt;0,"인턴계획 입력오류 확인",IF(AND($AQ287&lt;&gt;"",$AG287&lt;&gt;"구리병원",IF(TRIM($J287&amp;"")="",0,SUMPRODUCT((입력_파견수련계획!$Q$4:$Q$803=TRIM($J287&amp;""))*(입력_파견수련계획!$S$4:$S$803="구리병원")*입력_파견수련계획!$W$4:$W$803))=0),"구리 근무자명단에만 있음(파견수련계획 확인)",IF(AND($AC287&lt;&gt;"",$U287&lt;&gt;"파견중",$N287&lt;&gt;$AE287),"인턴 타지역 근무: 파견 여부 확인","정상")))))))))</f>
        <v/>
      </c>
      <c r="AA287" s="5" t="n"/>
      <c r="AB287" s="10">
        <f>IF($B287="","",IFERROR(MATCH($B287,입력_기본자료!$B$2:$B$1001,0),IFERROR(MATCH($B287&amp;"",입력_기본자료!$B$2:$B$1001,0),IFERROR(MATCH(VALUE($B287),입력_기본자료!$B$2:$B$1001,0),""))))</f>
        <v/>
      </c>
      <c r="AC287" s="10">
        <f>IF($B287="","",IFERROR(MATCH($B287,입력_인턴근무계획!$D$3:$D$402,0),IFERROR(MATCH($B287&amp;"",입력_인턴근무계획!$D$3:$D$402,0),IFERROR(MATCH(VALUE($B287),입력_인턴근무계획!$D$3:$D$402,0),""))))</f>
        <v/>
      </c>
      <c r="AD287" s="10">
        <f>IF(OR($AC287="",출력_인턴현황!$G$3=""),"",INDEX(입력_인턴근무계획!$M$3:$R$402,$AC287,출력_인턴현황!$G$3)&amp;"")</f>
        <v/>
      </c>
      <c r="AE287" s="10">
        <f>IF($B287="","",IF($M287&lt;&gt;"",$M287,IF(IF($AQ287="",FALSE,INDEX(출력_구리근무자!$J$6:$J$305,$AQ287)="구리독자"),"구리병원",IF($AF287&lt;&gt;"",IF(LEFT(INDEX(입력_파견수련계획!$R$4:$R$803,$AF287),1)&lt;&gt;"⚠",INDEX(입력_파견수련계획!$R$4:$R$803,$AF287),IF($H287="","",IF(RIGHT($H287,2)="병원",$H287,$H287&amp;"병원"))),IF($H287="","",IF(RIGHT($H287,2)="병원",$H287,$H287&amp;"병원"))))))</f>
        <v/>
      </c>
      <c r="AF287" s="10">
        <f>IF(OR($B287="",TRIM($J287&amp;"")=""),"",IFERROR(MATCH(TRIM($J287&amp;"")&amp;"|파견중",입력_파견수련계획!$Y$4:$Y$803,0),IFERROR(MATCH(TRIM($J287&amp;"")&amp;"|파견예정",입력_파견수련계획!$Y$4:$Y$803,0),IFERROR(MATCH(TRIM($J287&amp;"")&amp;"|파견종료",입력_파견수련계획!$Y$4:$Y$803,0),""))))</f>
        <v/>
      </c>
      <c r="AG287" s="10">
        <f>IF($B287="","",IF(AND(IF(OR($AC287="",출력_인턴현황!$K$2=""),"",INDEX(입력_인턴근무계획!$M$3:$R$402,$AC287,출력_인턴현황!$K$2)&amp;"")&lt;&gt;"",LEFT(IF(OR($AC287="",출력_인턴현황!$K$2=""),"",INDEX(입력_인턴근무계획!$M$3:$R$402,$AC287,출력_인턴현황!$K$2)&amp;""),1)&lt;&gt;"⚠"),LEFT(IF(OR($AC287="",출력_인턴현황!$K$2=""),"",INDEX(입력_인턴근무계획!$M$3:$R$402,$AC287,출력_인턴현황!$K$2)&amp;""),FIND(" ",IF(OR($AC287="",출력_인턴현황!$K$2=""),"",INDEX(입력_인턴근무계획!$M$3:$R$402,$AC287,출력_인턴현황!$K$2)&amp;""))-1),$AE287))</f>
        <v/>
      </c>
      <c r="AH287" s="17">
        <f>IF($B287="","",IF($AQ287&lt;&gt;"",MAX(0,DAY(EOMONTH(출력_요약!$B$3,0))-N($AR287)),IF(TRIM($J287&amp;"")="",0,SUMPRODUCT((입력_파견수련계획!$Q$4:$Q$803=TRIM($J287&amp;""))*(입력_파견수련계획!$S$4:$S$803="서울병원")*입력_파견수련계획!$W$4:$W$803))+IF($AG287="서울병원",MAX(0,DAY(EOMONTH(출력_요약!$B$3,0))-N($X287)),0)))</f>
        <v/>
      </c>
      <c r="AI287" s="17">
        <f>IF($B287="","",IF($AQ287&lt;&gt;"",N($AR287),IF(TRIM($J287&amp;"")="",0,SUMPRODUCT((입력_파견수련계획!$Q$4:$Q$803=TRIM($J287&amp;""))*(입력_파견수련계획!$S$4:$S$803="구리병원")*입력_파견수련계획!$W$4:$W$803))+IF($AG287="구리병원",MAX(0,DAY(EOMONTH(출력_요약!$B$3,0))-N($X287)),0)))</f>
        <v/>
      </c>
      <c r="AJ287" s="10">
        <f>IF(OR($B287="",TRIM($J287&amp;"")=""),"",IFERROR(MATCH(TRIM($J287&amp;"")&amp;"|월",입력_파견수련계획!$Z$4:$Z$803,0),""))</f>
        <v/>
      </c>
      <c r="AK287" s="10">
        <f>IF(OR($B287="",TRIM($J287&amp;"")=""),"",IFERROR(MATCH(TRIM($J287&amp;"")&amp;"|다기관",입력_파견수련계획!$AE$4:$AE$803,0),""))</f>
        <v/>
      </c>
      <c r="AL287" s="10">
        <f>IF($AK287="","","다기관 "&amp;TEXT(INDEX(입력_파견수련계획!$AB$4:$AB$803,$AK287),"yyyy-mm-dd")&amp;"~"&amp;IF(ISNUMBER(INDEX(입력_파견수련계획!$AC$4:$AC$803,$AK287)),TEXT(INDEX(입력_파견수련계획!$AC$4:$AC$803,$AK287),"yyyy-mm-dd"),""))</f>
        <v/>
      </c>
      <c r="AM287" s="10">
        <f>IF($Y287="서울병원",COUNTIF($Y$2:$Y287,"서울병원"),"")</f>
        <v/>
      </c>
      <c r="AN287" s="10">
        <f>IF(LEFT($Y287,1)="⚠",COUNTIF($Y$2:$Y287,"⚠*"),"")</f>
        <v/>
      </c>
      <c r="AO287" s="10">
        <f>IF(OR($B287="",$Y287=""),"",IF(IF(TRIM($J287&amp;"")="",0,SUMPRODUCT((입력_파견수련계획!$Q$4:$Q$803=TRIM($J287&amp;""))*입력_파견수련계획!$AD$4:$AD$803))&gt;0,"다기관 기간 → 소속병원 지급",IF(AND(N($X287)&lt;=0,$AQ287=""),"파견 없음 → 그 달 근무병원 지급",IF($AH287+$AI287=DAY(EOMONTH(출력_요약!$B$3,0)),"서울 "&amp;$AH287&amp;"일 / 구리 "&amp;$AI287&amp;"일"&amp;IF($AQ287&lt;&gt;""," (구리 근무자명단 반영)","")&amp;" → 15일 이상 근무 병원 지급","타 병원 포함 → "&amp;IF($AJ287="","소속",INDEX(입력_파견수련계획!$T$4:$T$803,$AJ287))&amp;" 규칙"))))</f>
        <v/>
      </c>
      <c r="AP287" s="10">
        <f>IF($B287="","",$C287&amp;"|"&amp;$F287)</f>
        <v/>
      </c>
      <c r="AQ287" s="10">
        <f>IF($B287="","",IFERROR(MATCH(ROW()-1,출력_구리근무자!$K$6:$K$305,0),""))</f>
        <v/>
      </c>
      <c r="AR287" s="10">
        <f>IF($AQ287="","",INDEX(출력_구리근무자!$H$6:$H$305,$AQ287))</f>
        <v/>
      </c>
    </row>
    <row r="288">
      <c r="A288" s="10">
        <f>IF(B288="","",ROW()-1)</f>
        <v/>
      </c>
      <c r="B288" s="19" t="n"/>
      <c r="C288" s="10">
        <f>IF($AB288="","",IF(INDEX(입력_기본자료!$C$2:$C$1001,$AB288)="","",INDEX(입력_기본자료!$C$2:$C$1001,$AB288)))</f>
        <v/>
      </c>
      <c r="D288" s="10">
        <f>IF($AB288="","",IF(INDEX(입력_기본자료!$J$2:$J$1001,$AB288)="","",INDEX(입력_기본자료!$J$2:$J$1001,$AB288)))</f>
        <v/>
      </c>
      <c r="E288" s="11">
        <f>IF($AB288="","",IF(INDEX(입력_기본자료!$K$2:$K$1001,$AB288)="","",IF(NOT(ISNUMBER(INDEX(입력_기본자료!$K$2:$K$1001,$AB288))),INDEX(입력_기본자료!$K$2:$K$1001,$AB288),IF(INDEX(입력_기본자료!$K$2:$K$1001,$AB288)&lt;1000000,INDEX(입력_기본자료!$K$2:$K$1001,$AB288),IF(AND(INDEX(입력_기본자료!$K$2:$K$1001,$AB288)&gt;=10000101,INT(MOD(INDEX(입력_기본자료!$K$2:$K$1001,$AB288),10000)/100)&gt;=1,INT(MOD(INDEX(입력_기본자료!$K$2:$K$1001,$AB288),10000)/100)&lt;=12,MOD(INDEX(입력_기본자료!$K$2:$K$1001,$AB288),100)&gt;=1,MOD(INDEX(입력_기본자료!$K$2:$K$1001,$AB288),100)&lt;=31),DATE(INT(INDEX(입력_기본자료!$K$2:$K$1001,$AB288)/10000),INT(MOD(INDEX(입력_기본자료!$K$2:$K$1001,$AB288),10000)/100),MOD(INDEX(입력_기본자료!$K$2:$K$1001,$AB288),100)),INDEX(입력_기본자료!$K$2:$K$1001,$AB288)&amp;"")))))</f>
        <v/>
      </c>
      <c r="F288" s="10">
        <f>IF($AB288="","",IF(INDEX(입력_기본자료!$D$2:$D$1001,$AB288)="","",INDEX(입력_기본자료!$D$2:$D$1001,$AB288)))</f>
        <v/>
      </c>
      <c r="G288" s="10">
        <f>IF($AB288="","",IF(INDEX(입력_기본자료!$E$2:$E$1001,$AB288)="","",INDEX(입력_기본자료!$E$2:$E$1001,$AB288)))</f>
        <v/>
      </c>
      <c r="H288" s="10">
        <f>IF($AB288="","",IF(INDEX(입력_기본자료!$F$2:$F$1001,$AB288)="","",INDEX(입력_기본자료!$F$2:$F$1001,$AB288)))</f>
        <v/>
      </c>
      <c r="I288" s="11">
        <f>IF($AB288="","",IF(INDEX(입력_기본자료!$G$2:$G$1001,$AB288)="","",IF(NOT(ISNUMBER(INDEX(입력_기본자료!$G$2:$G$1001,$AB288))),INDEX(입력_기본자료!$G$2:$G$1001,$AB288),IF(INDEX(입력_기본자료!$G$2:$G$1001,$AB288)&lt;1000000,INDEX(입력_기본자료!$G$2:$G$1001,$AB288),IF(AND(INDEX(입력_기본자료!$G$2:$G$1001,$AB288)&gt;=10000101,INT(MOD(INDEX(입력_기본자료!$G$2:$G$1001,$AB288),10000)/100)&gt;=1,INT(MOD(INDEX(입력_기본자료!$G$2:$G$1001,$AB288),10000)/100)&lt;=12,MOD(INDEX(입력_기본자료!$G$2:$G$1001,$AB288),100)&gt;=1,MOD(INDEX(입력_기본자료!$G$2:$G$1001,$AB288),100)&lt;=31),DATE(INT(INDEX(입력_기본자료!$G$2:$G$1001,$AB288)/10000),INT(MOD(INDEX(입력_기본자료!$G$2:$G$1001,$AB288),10000)/100),MOD(INDEX(입력_기본자료!$G$2:$G$1001,$AB288),100)),INDEX(입력_기본자료!$G$2:$G$1001,$AB288)&amp;"")))))</f>
        <v/>
      </c>
      <c r="J288" s="10">
        <f>IF($AB288="","",IF(INDEX(입력_기본자료!$H$2:$H$1001,$AB288)="","",INDEX(입력_기본자료!$H$2:$H$1001,$AB288)))</f>
        <v/>
      </c>
      <c r="K288" s="10">
        <f>IF($AB288="","",IF(INDEX(입력_기본자료!$I$2:$I$1001,$AB288)="","",INDEX(입력_기본자료!$I$2:$I$1001,$AB288)))</f>
        <v/>
      </c>
      <c r="L288" s="10">
        <f>IF($AB288="","",IF(INDEX(입력_기본자료!$A$2:$A$1001,$AB288)="","",INDEX(입력_기본자료!$A$2:$A$1001,$AB288)))</f>
        <v/>
      </c>
      <c r="M288" s="15" t="n"/>
      <c r="N288" s="10">
        <f>IF($B288="","",IF(AND($U288="파견중",$Q288&lt;&gt;""),$Q288,IF(AND($AD288&lt;&gt;"",LEFT($AD288,1)&lt;&gt;"⚠"),LEFT($AD288,FIND(" ",$AD288)-1),IF($H288="","",IF(RIGHT($H288,2)="병원",$H288,$H288&amp;"병원")))))</f>
        <v/>
      </c>
      <c r="O288" s="10">
        <f>IF($B288="","",IF(AND($U288="파견중",$Q288&lt;&gt;""),IF($R288&lt;&gt;"",$R288,"파견과 미입력"),IF(AND($AD288&lt;&gt;"",LEFT($AD288,1)&lt;&gt;"⚠"),MID($AD288,FIND(" ",$AD288)+1,60),IF($F288="","",IF($F288="인턴","수련교육부(인턴)",$F288)))))</f>
        <v/>
      </c>
      <c r="P288" s="10">
        <f>IF($B288="","",IF($AK288&lt;&gt;"",IF(AND(TODAY()&gt;=INDEX(입력_파견수련계획!$AB$4:$AB$803,$AK288),OR(NOT(ISNUMBER(INDEX(입력_파견수련계획!$AC$4:$AC$803,$AK288))),TODAY()&lt;=INDEX(입력_파견수련계획!$AC$4:$AC$803,$AK288))),"다기관",IF($AF288="","",INDEX(입력_파견수련계획!$T$4:$T$803,$AF288))),IF($AF288="","",INDEX(입력_파견수련계획!$T$4:$T$803,$AF288))))</f>
        <v/>
      </c>
      <c r="Q288" s="10">
        <f>IF($AF288="","",INDEX(입력_파견수련계획!$S$4:$S$803,$AF288))</f>
        <v/>
      </c>
      <c r="R288" s="10">
        <f>IF($AF288="","",INDEX(입력_파견수련계획!$U$4:$U$803,$AF288))</f>
        <v/>
      </c>
      <c r="S288" s="11">
        <f>IF($AF288="","",IF(INDEX(입력_파견수련계획!$H$4:$H$803,$AF288)="","",INDEX(입력_파견수련계획!$H$4:$H$803,$AF288)))</f>
        <v/>
      </c>
      <c r="T288" s="11">
        <f>IF($AF288="","",IF(INDEX(입력_파견수련계획!$I$4:$I$803,$AF288)="","",INDEX(입력_파견수련계획!$I$4:$I$803,$AF288)))</f>
        <v/>
      </c>
      <c r="U288" s="10">
        <f>IF($AF288="","",INDEX(입력_파견수련계획!$X$4:$X$803,$AF288))</f>
        <v/>
      </c>
      <c r="V288" s="17">
        <f>IF($AF288="","",INDEX(입력_파견수련계획!$V$4:$V$803,$AF288))</f>
        <v/>
      </c>
      <c r="W288" s="17">
        <f>IF(AND($U288="파견중",$T288&lt;&gt;""),$T288-TODAY(),"")</f>
        <v/>
      </c>
      <c r="X288" s="17">
        <f>IF(OR($B288="",TRIM($J288&amp;"")=""),"",SUMPRODUCT((입력_파견수련계획!$Q$4:$Q$803=TRIM($J288&amp;""))*입력_파견수련계획!$W$4:$W$803))</f>
        <v/>
      </c>
      <c r="Y288" s="10">
        <f>IF($B288="","",IF($AG288="","",IF(IF(TRIM($J288&amp;"")="",0,SUMPRODUCT((입력_파견수련계획!$Q$4:$Q$803=TRIM($J288&amp;""))*입력_파견수련계획!$AD$4:$AD$803))&gt;0,$AE288,IF(AND(N($X288)&lt;=0,$AQ288=""),$AG288,IF($AH288+$AI288=DAY(EOMONTH(출력_요약!$B$3,0)),IF(AND($AH288&gt;=출력_요약!$E$3,$AI288&lt;출력_요약!$E$3),"서울병원",IF(AND($AI288&gt;=출력_요약!$E$3,$AH288&lt;출력_요약!$E$3),"구리병원","⚠15일 판정불가(서울 "&amp;$AH288&amp;"일/구리 "&amp;$AI288&amp;"일)")),IF($AJ288="",$AE288,IF(INDEX(입력_파견수련계획!$T$4:$T$803,$AJ288)="통합수련",INDEX(입력_파견수련계획!$S$4:$S$803,$AJ288),$AE288)))))))</f>
        <v/>
      </c>
      <c r="Z288" s="20">
        <f>IF($B288="","",IF($AB288="","기본자료에 없는 사번",IF(COUNTIF($B$2:$B$401,$B288)&gt;1,"중복 사번",IF($AE288="","소속(입사장소) 입력",IF(IF(TRIM($J288&amp;"")="",0,SUMPRODUCT((입력_파견수련계획!$Q$4:$Q$803=TRIM($J288&amp;""))*(입력_파견수련계획!$AA$4:$AA$803&lt;&gt;"")))&gt;0,"파견수련계획 입력오류 확인",IF(LEFT($Y288,1)="⚠","서울·구리 15일 판정 불가(양쪽 모두 이상/미만)",IF(IF($AC288="",0,N(INDEX(입력_인턴근무계획!$T$3:$T$402,$AC288)))&gt;0,"인턴계획 입력오류 확인",IF(AND($AQ288&lt;&gt;"",$AG288&lt;&gt;"구리병원",IF(TRIM($J288&amp;"")="",0,SUMPRODUCT((입력_파견수련계획!$Q$4:$Q$803=TRIM($J288&amp;""))*(입력_파견수련계획!$S$4:$S$803="구리병원")*입력_파견수련계획!$W$4:$W$803))=0),"구리 근무자명단에만 있음(파견수련계획 확인)",IF(AND($AC288&lt;&gt;"",$U288&lt;&gt;"파견중",$N288&lt;&gt;$AE288),"인턴 타지역 근무: 파견 여부 확인","정상")))))))))</f>
        <v/>
      </c>
      <c r="AA288" s="5" t="n"/>
      <c r="AB288" s="10">
        <f>IF($B288="","",IFERROR(MATCH($B288,입력_기본자료!$B$2:$B$1001,0),IFERROR(MATCH($B288&amp;"",입력_기본자료!$B$2:$B$1001,0),IFERROR(MATCH(VALUE($B288),입력_기본자료!$B$2:$B$1001,0),""))))</f>
        <v/>
      </c>
      <c r="AC288" s="10">
        <f>IF($B288="","",IFERROR(MATCH($B288,입력_인턴근무계획!$D$3:$D$402,0),IFERROR(MATCH($B288&amp;"",입력_인턴근무계획!$D$3:$D$402,0),IFERROR(MATCH(VALUE($B288),입력_인턴근무계획!$D$3:$D$402,0),""))))</f>
        <v/>
      </c>
      <c r="AD288" s="10">
        <f>IF(OR($AC288="",출력_인턴현황!$G$3=""),"",INDEX(입력_인턴근무계획!$M$3:$R$402,$AC288,출력_인턴현황!$G$3)&amp;"")</f>
        <v/>
      </c>
      <c r="AE288" s="10">
        <f>IF($B288="","",IF($M288&lt;&gt;"",$M288,IF(IF($AQ288="",FALSE,INDEX(출력_구리근무자!$J$6:$J$305,$AQ288)="구리독자"),"구리병원",IF($AF288&lt;&gt;"",IF(LEFT(INDEX(입력_파견수련계획!$R$4:$R$803,$AF288),1)&lt;&gt;"⚠",INDEX(입력_파견수련계획!$R$4:$R$803,$AF288),IF($H288="","",IF(RIGHT($H288,2)="병원",$H288,$H288&amp;"병원"))),IF($H288="","",IF(RIGHT($H288,2)="병원",$H288,$H288&amp;"병원"))))))</f>
        <v/>
      </c>
      <c r="AF288" s="10">
        <f>IF(OR($B288="",TRIM($J288&amp;"")=""),"",IFERROR(MATCH(TRIM($J288&amp;"")&amp;"|파견중",입력_파견수련계획!$Y$4:$Y$803,0),IFERROR(MATCH(TRIM($J288&amp;"")&amp;"|파견예정",입력_파견수련계획!$Y$4:$Y$803,0),IFERROR(MATCH(TRIM($J288&amp;"")&amp;"|파견종료",입력_파견수련계획!$Y$4:$Y$803,0),""))))</f>
        <v/>
      </c>
      <c r="AG288" s="10">
        <f>IF($B288="","",IF(AND(IF(OR($AC288="",출력_인턴현황!$K$2=""),"",INDEX(입력_인턴근무계획!$M$3:$R$402,$AC288,출력_인턴현황!$K$2)&amp;"")&lt;&gt;"",LEFT(IF(OR($AC288="",출력_인턴현황!$K$2=""),"",INDEX(입력_인턴근무계획!$M$3:$R$402,$AC288,출력_인턴현황!$K$2)&amp;""),1)&lt;&gt;"⚠"),LEFT(IF(OR($AC288="",출력_인턴현황!$K$2=""),"",INDEX(입력_인턴근무계획!$M$3:$R$402,$AC288,출력_인턴현황!$K$2)&amp;""),FIND(" ",IF(OR($AC288="",출력_인턴현황!$K$2=""),"",INDEX(입력_인턴근무계획!$M$3:$R$402,$AC288,출력_인턴현황!$K$2)&amp;""))-1),$AE288))</f>
        <v/>
      </c>
      <c r="AH288" s="17">
        <f>IF($B288="","",IF($AQ288&lt;&gt;"",MAX(0,DAY(EOMONTH(출력_요약!$B$3,0))-N($AR288)),IF(TRIM($J288&amp;"")="",0,SUMPRODUCT((입력_파견수련계획!$Q$4:$Q$803=TRIM($J288&amp;""))*(입력_파견수련계획!$S$4:$S$803="서울병원")*입력_파견수련계획!$W$4:$W$803))+IF($AG288="서울병원",MAX(0,DAY(EOMONTH(출력_요약!$B$3,0))-N($X288)),0)))</f>
        <v/>
      </c>
      <c r="AI288" s="17">
        <f>IF($B288="","",IF($AQ288&lt;&gt;"",N($AR288),IF(TRIM($J288&amp;"")="",0,SUMPRODUCT((입력_파견수련계획!$Q$4:$Q$803=TRIM($J288&amp;""))*(입력_파견수련계획!$S$4:$S$803="구리병원")*입력_파견수련계획!$W$4:$W$803))+IF($AG288="구리병원",MAX(0,DAY(EOMONTH(출력_요약!$B$3,0))-N($X288)),0)))</f>
        <v/>
      </c>
      <c r="AJ288" s="10">
        <f>IF(OR($B288="",TRIM($J288&amp;"")=""),"",IFERROR(MATCH(TRIM($J288&amp;"")&amp;"|월",입력_파견수련계획!$Z$4:$Z$803,0),""))</f>
        <v/>
      </c>
      <c r="AK288" s="10">
        <f>IF(OR($B288="",TRIM($J288&amp;"")=""),"",IFERROR(MATCH(TRIM($J288&amp;"")&amp;"|다기관",입력_파견수련계획!$AE$4:$AE$803,0),""))</f>
        <v/>
      </c>
      <c r="AL288" s="10">
        <f>IF($AK288="","","다기관 "&amp;TEXT(INDEX(입력_파견수련계획!$AB$4:$AB$803,$AK288),"yyyy-mm-dd")&amp;"~"&amp;IF(ISNUMBER(INDEX(입력_파견수련계획!$AC$4:$AC$803,$AK288)),TEXT(INDEX(입력_파견수련계획!$AC$4:$AC$803,$AK288),"yyyy-mm-dd"),""))</f>
        <v/>
      </c>
      <c r="AM288" s="10">
        <f>IF($Y288="서울병원",COUNTIF($Y$2:$Y288,"서울병원"),"")</f>
        <v/>
      </c>
      <c r="AN288" s="10">
        <f>IF(LEFT($Y288,1)="⚠",COUNTIF($Y$2:$Y288,"⚠*"),"")</f>
        <v/>
      </c>
      <c r="AO288" s="10">
        <f>IF(OR($B288="",$Y288=""),"",IF(IF(TRIM($J288&amp;"")="",0,SUMPRODUCT((입력_파견수련계획!$Q$4:$Q$803=TRIM($J288&amp;""))*입력_파견수련계획!$AD$4:$AD$803))&gt;0,"다기관 기간 → 소속병원 지급",IF(AND(N($X288)&lt;=0,$AQ288=""),"파견 없음 → 그 달 근무병원 지급",IF($AH288+$AI288=DAY(EOMONTH(출력_요약!$B$3,0)),"서울 "&amp;$AH288&amp;"일 / 구리 "&amp;$AI288&amp;"일"&amp;IF($AQ288&lt;&gt;""," (구리 근무자명단 반영)","")&amp;" → 15일 이상 근무 병원 지급","타 병원 포함 → "&amp;IF($AJ288="","소속",INDEX(입력_파견수련계획!$T$4:$T$803,$AJ288))&amp;" 규칙"))))</f>
        <v/>
      </c>
      <c r="AP288" s="10">
        <f>IF($B288="","",$C288&amp;"|"&amp;$F288)</f>
        <v/>
      </c>
      <c r="AQ288" s="10">
        <f>IF($B288="","",IFERROR(MATCH(ROW()-1,출력_구리근무자!$K$6:$K$305,0),""))</f>
        <v/>
      </c>
      <c r="AR288" s="10">
        <f>IF($AQ288="","",INDEX(출력_구리근무자!$H$6:$H$305,$AQ288))</f>
        <v/>
      </c>
    </row>
    <row r="289">
      <c r="A289" s="10">
        <f>IF(B289="","",ROW()-1)</f>
        <v/>
      </c>
      <c r="B289" s="19" t="n"/>
      <c r="C289" s="10">
        <f>IF($AB289="","",IF(INDEX(입력_기본자료!$C$2:$C$1001,$AB289)="","",INDEX(입력_기본자료!$C$2:$C$1001,$AB289)))</f>
        <v/>
      </c>
      <c r="D289" s="10">
        <f>IF($AB289="","",IF(INDEX(입력_기본자료!$J$2:$J$1001,$AB289)="","",INDEX(입력_기본자료!$J$2:$J$1001,$AB289)))</f>
        <v/>
      </c>
      <c r="E289" s="11">
        <f>IF($AB289="","",IF(INDEX(입력_기본자료!$K$2:$K$1001,$AB289)="","",IF(NOT(ISNUMBER(INDEX(입력_기본자료!$K$2:$K$1001,$AB289))),INDEX(입력_기본자료!$K$2:$K$1001,$AB289),IF(INDEX(입력_기본자료!$K$2:$K$1001,$AB289)&lt;1000000,INDEX(입력_기본자료!$K$2:$K$1001,$AB289),IF(AND(INDEX(입력_기본자료!$K$2:$K$1001,$AB289)&gt;=10000101,INT(MOD(INDEX(입력_기본자료!$K$2:$K$1001,$AB289),10000)/100)&gt;=1,INT(MOD(INDEX(입력_기본자료!$K$2:$K$1001,$AB289),10000)/100)&lt;=12,MOD(INDEX(입력_기본자료!$K$2:$K$1001,$AB289),100)&gt;=1,MOD(INDEX(입력_기본자료!$K$2:$K$1001,$AB289),100)&lt;=31),DATE(INT(INDEX(입력_기본자료!$K$2:$K$1001,$AB289)/10000),INT(MOD(INDEX(입력_기본자료!$K$2:$K$1001,$AB289),10000)/100),MOD(INDEX(입력_기본자료!$K$2:$K$1001,$AB289),100)),INDEX(입력_기본자료!$K$2:$K$1001,$AB289)&amp;"")))))</f>
        <v/>
      </c>
      <c r="F289" s="10">
        <f>IF($AB289="","",IF(INDEX(입력_기본자료!$D$2:$D$1001,$AB289)="","",INDEX(입력_기본자료!$D$2:$D$1001,$AB289)))</f>
        <v/>
      </c>
      <c r="G289" s="10">
        <f>IF($AB289="","",IF(INDEX(입력_기본자료!$E$2:$E$1001,$AB289)="","",INDEX(입력_기본자료!$E$2:$E$1001,$AB289)))</f>
        <v/>
      </c>
      <c r="H289" s="10">
        <f>IF($AB289="","",IF(INDEX(입력_기본자료!$F$2:$F$1001,$AB289)="","",INDEX(입력_기본자료!$F$2:$F$1001,$AB289)))</f>
        <v/>
      </c>
      <c r="I289" s="11">
        <f>IF($AB289="","",IF(INDEX(입력_기본자료!$G$2:$G$1001,$AB289)="","",IF(NOT(ISNUMBER(INDEX(입력_기본자료!$G$2:$G$1001,$AB289))),INDEX(입력_기본자료!$G$2:$G$1001,$AB289),IF(INDEX(입력_기본자료!$G$2:$G$1001,$AB289)&lt;1000000,INDEX(입력_기본자료!$G$2:$G$1001,$AB289),IF(AND(INDEX(입력_기본자료!$G$2:$G$1001,$AB289)&gt;=10000101,INT(MOD(INDEX(입력_기본자료!$G$2:$G$1001,$AB289),10000)/100)&gt;=1,INT(MOD(INDEX(입력_기본자료!$G$2:$G$1001,$AB289),10000)/100)&lt;=12,MOD(INDEX(입력_기본자료!$G$2:$G$1001,$AB289),100)&gt;=1,MOD(INDEX(입력_기본자료!$G$2:$G$1001,$AB289),100)&lt;=31),DATE(INT(INDEX(입력_기본자료!$G$2:$G$1001,$AB289)/10000),INT(MOD(INDEX(입력_기본자료!$G$2:$G$1001,$AB289),10000)/100),MOD(INDEX(입력_기본자료!$G$2:$G$1001,$AB289),100)),INDEX(입력_기본자료!$G$2:$G$1001,$AB289)&amp;"")))))</f>
        <v/>
      </c>
      <c r="J289" s="10">
        <f>IF($AB289="","",IF(INDEX(입력_기본자료!$H$2:$H$1001,$AB289)="","",INDEX(입력_기본자료!$H$2:$H$1001,$AB289)))</f>
        <v/>
      </c>
      <c r="K289" s="10">
        <f>IF($AB289="","",IF(INDEX(입력_기본자료!$I$2:$I$1001,$AB289)="","",INDEX(입력_기본자료!$I$2:$I$1001,$AB289)))</f>
        <v/>
      </c>
      <c r="L289" s="10">
        <f>IF($AB289="","",IF(INDEX(입력_기본자료!$A$2:$A$1001,$AB289)="","",INDEX(입력_기본자료!$A$2:$A$1001,$AB289)))</f>
        <v/>
      </c>
      <c r="M289" s="15" t="n"/>
      <c r="N289" s="10">
        <f>IF($B289="","",IF(AND($U289="파견중",$Q289&lt;&gt;""),$Q289,IF(AND($AD289&lt;&gt;"",LEFT($AD289,1)&lt;&gt;"⚠"),LEFT($AD289,FIND(" ",$AD289)-1),IF($H289="","",IF(RIGHT($H289,2)="병원",$H289,$H289&amp;"병원")))))</f>
        <v/>
      </c>
      <c r="O289" s="10">
        <f>IF($B289="","",IF(AND($U289="파견중",$Q289&lt;&gt;""),IF($R289&lt;&gt;"",$R289,"파견과 미입력"),IF(AND($AD289&lt;&gt;"",LEFT($AD289,1)&lt;&gt;"⚠"),MID($AD289,FIND(" ",$AD289)+1,60),IF($F289="","",IF($F289="인턴","수련교육부(인턴)",$F289)))))</f>
        <v/>
      </c>
      <c r="P289" s="10">
        <f>IF($B289="","",IF($AK289&lt;&gt;"",IF(AND(TODAY()&gt;=INDEX(입력_파견수련계획!$AB$4:$AB$803,$AK289),OR(NOT(ISNUMBER(INDEX(입력_파견수련계획!$AC$4:$AC$803,$AK289))),TODAY()&lt;=INDEX(입력_파견수련계획!$AC$4:$AC$803,$AK289))),"다기관",IF($AF289="","",INDEX(입력_파견수련계획!$T$4:$T$803,$AF289))),IF($AF289="","",INDEX(입력_파견수련계획!$T$4:$T$803,$AF289))))</f>
        <v/>
      </c>
      <c r="Q289" s="10">
        <f>IF($AF289="","",INDEX(입력_파견수련계획!$S$4:$S$803,$AF289))</f>
        <v/>
      </c>
      <c r="R289" s="10">
        <f>IF($AF289="","",INDEX(입력_파견수련계획!$U$4:$U$803,$AF289))</f>
        <v/>
      </c>
      <c r="S289" s="11">
        <f>IF($AF289="","",IF(INDEX(입력_파견수련계획!$H$4:$H$803,$AF289)="","",INDEX(입력_파견수련계획!$H$4:$H$803,$AF289)))</f>
        <v/>
      </c>
      <c r="T289" s="11">
        <f>IF($AF289="","",IF(INDEX(입력_파견수련계획!$I$4:$I$803,$AF289)="","",INDEX(입력_파견수련계획!$I$4:$I$803,$AF289)))</f>
        <v/>
      </c>
      <c r="U289" s="10">
        <f>IF($AF289="","",INDEX(입력_파견수련계획!$X$4:$X$803,$AF289))</f>
        <v/>
      </c>
      <c r="V289" s="17">
        <f>IF($AF289="","",INDEX(입력_파견수련계획!$V$4:$V$803,$AF289))</f>
        <v/>
      </c>
      <c r="W289" s="17">
        <f>IF(AND($U289="파견중",$T289&lt;&gt;""),$T289-TODAY(),"")</f>
        <v/>
      </c>
      <c r="X289" s="17">
        <f>IF(OR($B289="",TRIM($J289&amp;"")=""),"",SUMPRODUCT((입력_파견수련계획!$Q$4:$Q$803=TRIM($J289&amp;""))*입력_파견수련계획!$W$4:$W$803))</f>
        <v/>
      </c>
      <c r="Y289" s="10">
        <f>IF($B289="","",IF($AG289="","",IF(IF(TRIM($J289&amp;"")="",0,SUMPRODUCT((입력_파견수련계획!$Q$4:$Q$803=TRIM($J289&amp;""))*입력_파견수련계획!$AD$4:$AD$803))&gt;0,$AE289,IF(AND(N($X289)&lt;=0,$AQ289=""),$AG289,IF($AH289+$AI289=DAY(EOMONTH(출력_요약!$B$3,0)),IF(AND($AH289&gt;=출력_요약!$E$3,$AI289&lt;출력_요약!$E$3),"서울병원",IF(AND($AI289&gt;=출력_요약!$E$3,$AH289&lt;출력_요약!$E$3),"구리병원","⚠15일 판정불가(서울 "&amp;$AH289&amp;"일/구리 "&amp;$AI289&amp;"일)")),IF($AJ289="",$AE289,IF(INDEX(입력_파견수련계획!$T$4:$T$803,$AJ289)="통합수련",INDEX(입력_파견수련계획!$S$4:$S$803,$AJ289),$AE289)))))))</f>
        <v/>
      </c>
      <c r="Z289" s="20">
        <f>IF($B289="","",IF($AB289="","기본자료에 없는 사번",IF(COUNTIF($B$2:$B$401,$B289)&gt;1,"중복 사번",IF($AE289="","소속(입사장소) 입력",IF(IF(TRIM($J289&amp;"")="",0,SUMPRODUCT((입력_파견수련계획!$Q$4:$Q$803=TRIM($J289&amp;""))*(입력_파견수련계획!$AA$4:$AA$803&lt;&gt;"")))&gt;0,"파견수련계획 입력오류 확인",IF(LEFT($Y289,1)="⚠","서울·구리 15일 판정 불가(양쪽 모두 이상/미만)",IF(IF($AC289="",0,N(INDEX(입력_인턴근무계획!$T$3:$T$402,$AC289)))&gt;0,"인턴계획 입력오류 확인",IF(AND($AQ289&lt;&gt;"",$AG289&lt;&gt;"구리병원",IF(TRIM($J289&amp;"")="",0,SUMPRODUCT((입력_파견수련계획!$Q$4:$Q$803=TRIM($J289&amp;""))*(입력_파견수련계획!$S$4:$S$803="구리병원")*입력_파견수련계획!$W$4:$W$803))=0),"구리 근무자명단에만 있음(파견수련계획 확인)",IF(AND($AC289&lt;&gt;"",$U289&lt;&gt;"파견중",$N289&lt;&gt;$AE289),"인턴 타지역 근무: 파견 여부 확인","정상")))))))))</f>
        <v/>
      </c>
      <c r="AA289" s="5" t="n"/>
      <c r="AB289" s="10">
        <f>IF($B289="","",IFERROR(MATCH($B289,입력_기본자료!$B$2:$B$1001,0),IFERROR(MATCH($B289&amp;"",입력_기본자료!$B$2:$B$1001,0),IFERROR(MATCH(VALUE($B289),입력_기본자료!$B$2:$B$1001,0),""))))</f>
        <v/>
      </c>
      <c r="AC289" s="10">
        <f>IF($B289="","",IFERROR(MATCH($B289,입력_인턴근무계획!$D$3:$D$402,0),IFERROR(MATCH($B289&amp;"",입력_인턴근무계획!$D$3:$D$402,0),IFERROR(MATCH(VALUE($B289),입력_인턴근무계획!$D$3:$D$402,0),""))))</f>
        <v/>
      </c>
      <c r="AD289" s="10">
        <f>IF(OR($AC289="",출력_인턴현황!$G$3=""),"",INDEX(입력_인턴근무계획!$M$3:$R$402,$AC289,출력_인턴현황!$G$3)&amp;"")</f>
        <v/>
      </c>
      <c r="AE289" s="10">
        <f>IF($B289="","",IF($M289&lt;&gt;"",$M289,IF(IF($AQ289="",FALSE,INDEX(출력_구리근무자!$J$6:$J$305,$AQ289)="구리독자"),"구리병원",IF($AF289&lt;&gt;"",IF(LEFT(INDEX(입력_파견수련계획!$R$4:$R$803,$AF289),1)&lt;&gt;"⚠",INDEX(입력_파견수련계획!$R$4:$R$803,$AF289),IF($H289="","",IF(RIGHT($H289,2)="병원",$H289,$H289&amp;"병원"))),IF($H289="","",IF(RIGHT($H289,2)="병원",$H289,$H289&amp;"병원"))))))</f>
        <v/>
      </c>
      <c r="AF289" s="10">
        <f>IF(OR($B289="",TRIM($J289&amp;"")=""),"",IFERROR(MATCH(TRIM($J289&amp;"")&amp;"|파견중",입력_파견수련계획!$Y$4:$Y$803,0),IFERROR(MATCH(TRIM($J289&amp;"")&amp;"|파견예정",입력_파견수련계획!$Y$4:$Y$803,0),IFERROR(MATCH(TRIM($J289&amp;"")&amp;"|파견종료",입력_파견수련계획!$Y$4:$Y$803,0),""))))</f>
        <v/>
      </c>
      <c r="AG289" s="10">
        <f>IF($B289="","",IF(AND(IF(OR($AC289="",출력_인턴현황!$K$2=""),"",INDEX(입력_인턴근무계획!$M$3:$R$402,$AC289,출력_인턴현황!$K$2)&amp;"")&lt;&gt;"",LEFT(IF(OR($AC289="",출력_인턴현황!$K$2=""),"",INDEX(입력_인턴근무계획!$M$3:$R$402,$AC289,출력_인턴현황!$K$2)&amp;""),1)&lt;&gt;"⚠"),LEFT(IF(OR($AC289="",출력_인턴현황!$K$2=""),"",INDEX(입력_인턴근무계획!$M$3:$R$402,$AC289,출력_인턴현황!$K$2)&amp;""),FIND(" ",IF(OR($AC289="",출력_인턴현황!$K$2=""),"",INDEX(입력_인턴근무계획!$M$3:$R$402,$AC289,출력_인턴현황!$K$2)&amp;""))-1),$AE289))</f>
        <v/>
      </c>
      <c r="AH289" s="17">
        <f>IF($B289="","",IF($AQ289&lt;&gt;"",MAX(0,DAY(EOMONTH(출력_요약!$B$3,0))-N($AR289)),IF(TRIM($J289&amp;"")="",0,SUMPRODUCT((입력_파견수련계획!$Q$4:$Q$803=TRIM($J289&amp;""))*(입력_파견수련계획!$S$4:$S$803="서울병원")*입력_파견수련계획!$W$4:$W$803))+IF($AG289="서울병원",MAX(0,DAY(EOMONTH(출력_요약!$B$3,0))-N($X289)),0)))</f>
        <v/>
      </c>
      <c r="AI289" s="17">
        <f>IF($B289="","",IF($AQ289&lt;&gt;"",N($AR289),IF(TRIM($J289&amp;"")="",0,SUMPRODUCT((입력_파견수련계획!$Q$4:$Q$803=TRIM($J289&amp;""))*(입력_파견수련계획!$S$4:$S$803="구리병원")*입력_파견수련계획!$W$4:$W$803))+IF($AG289="구리병원",MAX(0,DAY(EOMONTH(출력_요약!$B$3,0))-N($X289)),0)))</f>
        <v/>
      </c>
      <c r="AJ289" s="10">
        <f>IF(OR($B289="",TRIM($J289&amp;"")=""),"",IFERROR(MATCH(TRIM($J289&amp;"")&amp;"|월",입력_파견수련계획!$Z$4:$Z$803,0),""))</f>
        <v/>
      </c>
      <c r="AK289" s="10">
        <f>IF(OR($B289="",TRIM($J289&amp;"")=""),"",IFERROR(MATCH(TRIM($J289&amp;"")&amp;"|다기관",입력_파견수련계획!$AE$4:$AE$803,0),""))</f>
        <v/>
      </c>
      <c r="AL289" s="10">
        <f>IF($AK289="","","다기관 "&amp;TEXT(INDEX(입력_파견수련계획!$AB$4:$AB$803,$AK289),"yyyy-mm-dd")&amp;"~"&amp;IF(ISNUMBER(INDEX(입력_파견수련계획!$AC$4:$AC$803,$AK289)),TEXT(INDEX(입력_파견수련계획!$AC$4:$AC$803,$AK289),"yyyy-mm-dd"),""))</f>
        <v/>
      </c>
      <c r="AM289" s="10">
        <f>IF($Y289="서울병원",COUNTIF($Y$2:$Y289,"서울병원"),"")</f>
        <v/>
      </c>
      <c r="AN289" s="10">
        <f>IF(LEFT($Y289,1)="⚠",COUNTIF($Y$2:$Y289,"⚠*"),"")</f>
        <v/>
      </c>
      <c r="AO289" s="10">
        <f>IF(OR($B289="",$Y289=""),"",IF(IF(TRIM($J289&amp;"")="",0,SUMPRODUCT((입력_파견수련계획!$Q$4:$Q$803=TRIM($J289&amp;""))*입력_파견수련계획!$AD$4:$AD$803))&gt;0,"다기관 기간 → 소속병원 지급",IF(AND(N($X289)&lt;=0,$AQ289=""),"파견 없음 → 그 달 근무병원 지급",IF($AH289+$AI289=DAY(EOMONTH(출력_요약!$B$3,0)),"서울 "&amp;$AH289&amp;"일 / 구리 "&amp;$AI289&amp;"일"&amp;IF($AQ289&lt;&gt;""," (구리 근무자명단 반영)","")&amp;" → 15일 이상 근무 병원 지급","타 병원 포함 → "&amp;IF($AJ289="","소속",INDEX(입력_파견수련계획!$T$4:$T$803,$AJ289))&amp;" 규칙"))))</f>
        <v/>
      </c>
      <c r="AP289" s="10">
        <f>IF($B289="","",$C289&amp;"|"&amp;$F289)</f>
        <v/>
      </c>
      <c r="AQ289" s="10">
        <f>IF($B289="","",IFERROR(MATCH(ROW()-1,출력_구리근무자!$K$6:$K$305,0),""))</f>
        <v/>
      </c>
      <c r="AR289" s="10">
        <f>IF($AQ289="","",INDEX(출력_구리근무자!$H$6:$H$305,$AQ289))</f>
        <v/>
      </c>
    </row>
    <row r="290">
      <c r="A290" s="10">
        <f>IF(B290="","",ROW()-1)</f>
        <v/>
      </c>
      <c r="B290" s="19" t="n"/>
      <c r="C290" s="10">
        <f>IF($AB290="","",IF(INDEX(입력_기본자료!$C$2:$C$1001,$AB290)="","",INDEX(입력_기본자료!$C$2:$C$1001,$AB290)))</f>
        <v/>
      </c>
      <c r="D290" s="10">
        <f>IF($AB290="","",IF(INDEX(입력_기본자료!$J$2:$J$1001,$AB290)="","",INDEX(입력_기본자료!$J$2:$J$1001,$AB290)))</f>
        <v/>
      </c>
      <c r="E290" s="11">
        <f>IF($AB290="","",IF(INDEX(입력_기본자료!$K$2:$K$1001,$AB290)="","",IF(NOT(ISNUMBER(INDEX(입력_기본자료!$K$2:$K$1001,$AB290))),INDEX(입력_기본자료!$K$2:$K$1001,$AB290),IF(INDEX(입력_기본자료!$K$2:$K$1001,$AB290)&lt;1000000,INDEX(입력_기본자료!$K$2:$K$1001,$AB290),IF(AND(INDEX(입력_기본자료!$K$2:$K$1001,$AB290)&gt;=10000101,INT(MOD(INDEX(입력_기본자료!$K$2:$K$1001,$AB290),10000)/100)&gt;=1,INT(MOD(INDEX(입력_기본자료!$K$2:$K$1001,$AB290),10000)/100)&lt;=12,MOD(INDEX(입력_기본자료!$K$2:$K$1001,$AB290),100)&gt;=1,MOD(INDEX(입력_기본자료!$K$2:$K$1001,$AB290),100)&lt;=31),DATE(INT(INDEX(입력_기본자료!$K$2:$K$1001,$AB290)/10000),INT(MOD(INDEX(입력_기본자료!$K$2:$K$1001,$AB290),10000)/100),MOD(INDEX(입력_기본자료!$K$2:$K$1001,$AB290),100)),INDEX(입력_기본자료!$K$2:$K$1001,$AB290)&amp;"")))))</f>
        <v/>
      </c>
      <c r="F290" s="10">
        <f>IF($AB290="","",IF(INDEX(입력_기본자료!$D$2:$D$1001,$AB290)="","",INDEX(입력_기본자료!$D$2:$D$1001,$AB290)))</f>
        <v/>
      </c>
      <c r="G290" s="10">
        <f>IF($AB290="","",IF(INDEX(입력_기본자료!$E$2:$E$1001,$AB290)="","",INDEX(입력_기본자료!$E$2:$E$1001,$AB290)))</f>
        <v/>
      </c>
      <c r="H290" s="10">
        <f>IF($AB290="","",IF(INDEX(입력_기본자료!$F$2:$F$1001,$AB290)="","",INDEX(입력_기본자료!$F$2:$F$1001,$AB290)))</f>
        <v/>
      </c>
      <c r="I290" s="11">
        <f>IF($AB290="","",IF(INDEX(입력_기본자료!$G$2:$G$1001,$AB290)="","",IF(NOT(ISNUMBER(INDEX(입력_기본자료!$G$2:$G$1001,$AB290))),INDEX(입력_기본자료!$G$2:$G$1001,$AB290),IF(INDEX(입력_기본자료!$G$2:$G$1001,$AB290)&lt;1000000,INDEX(입력_기본자료!$G$2:$G$1001,$AB290),IF(AND(INDEX(입력_기본자료!$G$2:$G$1001,$AB290)&gt;=10000101,INT(MOD(INDEX(입력_기본자료!$G$2:$G$1001,$AB290),10000)/100)&gt;=1,INT(MOD(INDEX(입력_기본자료!$G$2:$G$1001,$AB290),10000)/100)&lt;=12,MOD(INDEX(입력_기본자료!$G$2:$G$1001,$AB290),100)&gt;=1,MOD(INDEX(입력_기본자료!$G$2:$G$1001,$AB290),100)&lt;=31),DATE(INT(INDEX(입력_기본자료!$G$2:$G$1001,$AB290)/10000),INT(MOD(INDEX(입력_기본자료!$G$2:$G$1001,$AB290),10000)/100),MOD(INDEX(입력_기본자료!$G$2:$G$1001,$AB290),100)),INDEX(입력_기본자료!$G$2:$G$1001,$AB290)&amp;"")))))</f>
        <v/>
      </c>
      <c r="J290" s="10">
        <f>IF($AB290="","",IF(INDEX(입력_기본자료!$H$2:$H$1001,$AB290)="","",INDEX(입력_기본자료!$H$2:$H$1001,$AB290)))</f>
        <v/>
      </c>
      <c r="K290" s="10">
        <f>IF($AB290="","",IF(INDEX(입력_기본자료!$I$2:$I$1001,$AB290)="","",INDEX(입력_기본자료!$I$2:$I$1001,$AB290)))</f>
        <v/>
      </c>
      <c r="L290" s="10">
        <f>IF($AB290="","",IF(INDEX(입력_기본자료!$A$2:$A$1001,$AB290)="","",INDEX(입력_기본자료!$A$2:$A$1001,$AB290)))</f>
        <v/>
      </c>
      <c r="M290" s="15" t="n"/>
      <c r="N290" s="10">
        <f>IF($B290="","",IF(AND($U290="파견중",$Q290&lt;&gt;""),$Q290,IF(AND($AD290&lt;&gt;"",LEFT($AD290,1)&lt;&gt;"⚠"),LEFT($AD290,FIND(" ",$AD290)-1),IF($H290="","",IF(RIGHT($H290,2)="병원",$H290,$H290&amp;"병원")))))</f>
        <v/>
      </c>
      <c r="O290" s="10">
        <f>IF($B290="","",IF(AND($U290="파견중",$Q290&lt;&gt;""),IF($R290&lt;&gt;"",$R290,"파견과 미입력"),IF(AND($AD290&lt;&gt;"",LEFT($AD290,1)&lt;&gt;"⚠"),MID($AD290,FIND(" ",$AD290)+1,60),IF($F290="","",IF($F290="인턴","수련교육부(인턴)",$F290)))))</f>
        <v/>
      </c>
      <c r="P290" s="10">
        <f>IF($B290="","",IF($AK290&lt;&gt;"",IF(AND(TODAY()&gt;=INDEX(입력_파견수련계획!$AB$4:$AB$803,$AK290),OR(NOT(ISNUMBER(INDEX(입력_파견수련계획!$AC$4:$AC$803,$AK290))),TODAY()&lt;=INDEX(입력_파견수련계획!$AC$4:$AC$803,$AK290))),"다기관",IF($AF290="","",INDEX(입력_파견수련계획!$T$4:$T$803,$AF290))),IF($AF290="","",INDEX(입력_파견수련계획!$T$4:$T$803,$AF290))))</f>
        <v/>
      </c>
      <c r="Q290" s="10">
        <f>IF($AF290="","",INDEX(입력_파견수련계획!$S$4:$S$803,$AF290))</f>
        <v/>
      </c>
      <c r="R290" s="10">
        <f>IF($AF290="","",INDEX(입력_파견수련계획!$U$4:$U$803,$AF290))</f>
        <v/>
      </c>
      <c r="S290" s="11">
        <f>IF($AF290="","",IF(INDEX(입력_파견수련계획!$H$4:$H$803,$AF290)="","",INDEX(입력_파견수련계획!$H$4:$H$803,$AF290)))</f>
        <v/>
      </c>
      <c r="T290" s="11">
        <f>IF($AF290="","",IF(INDEX(입력_파견수련계획!$I$4:$I$803,$AF290)="","",INDEX(입력_파견수련계획!$I$4:$I$803,$AF290)))</f>
        <v/>
      </c>
      <c r="U290" s="10">
        <f>IF($AF290="","",INDEX(입력_파견수련계획!$X$4:$X$803,$AF290))</f>
        <v/>
      </c>
      <c r="V290" s="17">
        <f>IF($AF290="","",INDEX(입력_파견수련계획!$V$4:$V$803,$AF290))</f>
        <v/>
      </c>
      <c r="W290" s="17">
        <f>IF(AND($U290="파견중",$T290&lt;&gt;""),$T290-TODAY(),"")</f>
        <v/>
      </c>
      <c r="X290" s="17">
        <f>IF(OR($B290="",TRIM($J290&amp;"")=""),"",SUMPRODUCT((입력_파견수련계획!$Q$4:$Q$803=TRIM($J290&amp;""))*입력_파견수련계획!$W$4:$W$803))</f>
        <v/>
      </c>
      <c r="Y290" s="10">
        <f>IF($B290="","",IF($AG290="","",IF(IF(TRIM($J290&amp;"")="",0,SUMPRODUCT((입력_파견수련계획!$Q$4:$Q$803=TRIM($J290&amp;""))*입력_파견수련계획!$AD$4:$AD$803))&gt;0,$AE290,IF(AND(N($X290)&lt;=0,$AQ290=""),$AG290,IF($AH290+$AI290=DAY(EOMONTH(출력_요약!$B$3,0)),IF(AND($AH290&gt;=출력_요약!$E$3,$AI290&lt;출력_요약!$E$3),"서울병원",IF(AND($AI290&gt;=출력_요약!$E$3,$AH290&lt;출력_요약!$E$3),"구리병원","⚠15일 판정불가(서울 "&amp;$AH290&amp;"일/구리 "&amp;$AI290&amp;"일)")),IF($AJ290="",$AE290,IF(INDEX(입력_파견수련계획!$T$4:$T$803,$AJ290)="통합수련",INDEX(입력_파견수련계획!$S$4:$S$803,$AJ290),$AE290)))))))</f>
        <v/>
      </c>
      <c r="Z290" s="20">
        <f>IF($B290="","",IF($AB290="","기본자료에 없는 사번",IF(COUNTIF($B$2:$B$401,$B290)&gt;1,"중복 사번",IF($AE290="","소속(입사장소) 입력",IF(IF(TRIM($J290&amp;"")="",0,SUMPRODUCT((입력_파견수련계획!$Q$4:$Q$803=TRIM($J290&amp;""))*(입력_파견수련계획!$AA$4:$AA$803&lt;&gt;"")))&gt;0,"파견수련계획 입력오류 확인",IF(LEFT($Y290,1)="⚠","서울·구리 15일 판정 불가(양쪽 모두 이상/미만)",IF(IF($AC290="",0,N(INDEX(입력_인턴근무계획!$T$3:$T$402,$AC290)))&gt;0,"인턴계획 입력오류 확인",IF(AND($AQ290&lt;&gt;"",$AG290&lt;&gt;"구리병원",IF(TRIM($J290&amp;"")="",0,SUMPRODUCT((입력_파견수련계획!$Q$4:$Q$803=TRIM($J290&amp;""))*(입력_파견수련계획!$S$4:$S$803="구리병원")*입력_파견수련계획!$W$4:$W$803))=0),"구리 근무자명단에만 있음(파견수련계획 확인)",IF(AND($AC290&lt;&gt;"",$U290&lt;&gt;"파견중",$N290&lt;&gt;$AE290),"인턴 타지역 근무: 파견 여부 확인","정상")))))))))</f>
        <v/>
      </c>
      <c r="AA290" s="5" t="n"/>
      <c r="AB290" s="10">
        <f>IF($B290="","",IFERROR(MATCH($B290,입력_기본자료!$B$2:$B$1001,0),IFERROR(MATCH($B290&amp;"",입력_기본자료!$B$2:$B$1001,0),IFERROR(MATCH(VALUE($B290),입력_기본자료!$B$2:$B$1001,0),""))))</f>
        <v/>
      </c>
      <c r="AC290" s="10">
        <f>IF($B290="","",IFERROR(MATCH($B290,입력_인턴근무계획!$D$3:$D$402,0),IFERROR(MATCH($B290&amp;"",입력_인턴근무계획!$D$3:$D$402,0),IFERROR(MATCH(VALUE($B290),입력_인턴근무계획!$D$3:$D$402,0),""))))</f>
        <v/>
      </c>
      <c r="AD290" s="10">
        <f>IF(OR($AC290="",출력_인턴현황!$G$3=""),"",INDEX(입력_인턴근무계획!$M$3:$R$402,$AC290,출력_인턴현황!$G$3)&amp;"")</f>
        <v/>
      </c>
      <c r="AE290" s="10">
        <f>IF($B290="","",IF($M290&lt;&gt;"",$M290,IF(IF($AQ290="",FALSE,INDEX(출력_구리근무자!$J$6:$J$305,$AQ290)="구리독자"),"구리병원",IF($AF290&lt;&gt;"",IF(LEFT(INDEX(입력_파견수련계획!$R$4:$R$803,$AF290),1)&lt;&gt;"⚠",INDEX(입력_파견수련계획!$R$4:$R$803,$AF290),IF($H290="","",IF(RIGHT($H290,2)="병원",$H290,$H290&amp;"병원"))),IF($H290="","",IF(RIGHT($H290,2)="병원",$H290,$H290&amp;"병원"))))))</f>
        <v/>
      </c>
      <c r="AF290" s="10">
        <f>IF(OR($B290="",TRIM($J290&amp;"")=""),"",IFERROR(MATCH(TRIM($J290&amp;"")&amp;"|파견중",입력_파견수련계획!$Y$4:$Y$803,0),IFERROR(MATCH(TRIM($J290&amp;"")&amp;"|파견예정",입력_파견수련계획!$Y$4:$Y$803,0),IFERROR(MATCH(TRIM($J290&amp;"")&amp;"|파견종료",입력_파견수련계획!$Y$4:$Y$803,0),""))))</f>
        <v/>
      </c>
      <c r="AG290" s="10">
        <f>IF($B290="","",IF(AND(IF(OR($AC290="",출력_인턴현황!$K$2=""),"",INDEX(입력_인턴근무계획!$M$3:$R$402,$AC290,출력_인턴현황!$K$2)&amp;"")&lt;&gt;"",LEFT(IF(OR($AC290="",출력_인턴현황!$K$2=""),"",INDEX(입력_인턴근무계획!$M$3:$R$402,$AC290,출력_인턴현황!$K$2)&amp;""),1)&lt;&gt;"⚠"),LEFT(IF(OR($AC290="",출력_인턴현황!$K$2=""),"",INDEX(입력_인턴근무계획!$M$3:$R$402,$AC290,출력_인턴현황!$K$2)&amp;""),FIND(" ",IF(OR($AC290="",출력_인턴현황!$K$2=""),"",INDEX(입력_인턴근무계획!$M$3:$R$402,$AC290,출력_인턴현황!$K$2)&amp;""))-1),$AE290))</f>
        <v/>
      </c>
      <c r="AH290" s="17">
        <f>IF($B290="","",IF($AQ290&lt;&gt;"",MAX(0,DAY(EOMONTH(출력_요약!$B$3,0))-N($AR290)),IF(TRIM($J290&amp;"")="",0,SUMPRODUCT((입력_파견수련계획!$Q$4:$Q$803=TRIM($J290&amp;""))*(입력_파견수련계획!$S$4:$S$803="서울병원")*입력_파견수련계획!$W$4:$W$803))+IF($AG290="서울병원",MAX(0,DAY(EOMONTH(출력_요약!$B$3,0))-N($X290)),0)))</f>
        <v/>
      </c>
      <c r="AI290" s="17">
        <f>IF($B290="","",IF($AQ290&lt;&gt;"",N($AR290),IF(TRIM($J290&amp;"")="",0,SUMPRODUCT((입력_파견수련계획!$Q$4:$Q$803=TRIM($J290&amp;""))*(입력_파견수련계획!$S$4:$S$803="구리병원")*입력_파견수련계획!$W$4:$W$803))+IF($AG290="구리병원",MAX(0,DAY(EOMONTH(출력_요약!$B$3,0))-N($X290)),0)))</f>
        <v/>
      </c>
      <c r="AJ290" s="10">
        <f>IF(OR($B290="",TRIM($J290&amp;"")=""),"",IFERROR(MATCH(TRIM($J290&amp;"")&amp;"|월",입력_파견수련계획!$Z$4:$Z$803,0),""))</f>
        <v/>
      </c>
      <c r="AK290" s="10">
        <f>IF(OR($B290="",TRIM($J290&amp;"")=""),"",IFERROR(MATCH(TRIM($J290&amp;"")&amp;"|다기관",입력_파견수련계획!$AE$4:$AE$803,0),""))</f>
        <v/>
      </c>
      <c r="AL290" s="10">
        <f>IF($AK290="","","다기관 "&amp;TEXT(INDEX(입력_파견수련계획!$AB$4:$AB$803,$AK290),"yyyy-mm-dd")&amp;"~"&amp;IF(ISNUMBER(INDEX(입력_파견수련계획!$AC$4:$AC$803,$AK290)),TEXT(INDEX(입력_파견수련계획!$AC$4:$AC$803,$AK290),"yyyy-mm-dd"),""))</f>
        <v/>
      </c>
      <c r="AM290" s="10">
        <f>IF($Y290="서울병원",COUNTIF($Y$2:$Y290,"서울병원"),"")</f>
        <v/>
      </c>
      <c r="AN290" s="10">
        <f>IF(LEFT($Y290,1)="⚠",COUNTIF($Y$2:$Y290,"⚠*"),"")</f>
        <v/>
      </c>
      <c r="AO290" s="10">
        <f>IF(OR($B290="",$Y290=""),"",IF(IF(TRIM($J290&amp;"")="",0,SUMPRODUCT((입력_파견수련계획!$Q$4:$Q$803=TRIM($J290&amp;""))*입력_파견수련계획!$AD$4:$AD$803))&gt;0,"다기관 기간 → 소속병원 지급",IF(AND(N($X290)&lt;=0,$AQ290=""),"파견 없음 → 그 달 근무병원 지급",IF($AH290+$AI290=DAY(EOMONTH(출력_요약!$B$3,0)),"서울 "&amp;$AH290&amp;"일 / 구리 "&amp;$AI290&amp;"일"&amp;IF($AQ290&lt;&gt;""," (구리 근무자명단 반영)","")&amp;" → 15일 이상 근무 병원 지급","타 병원 포함 → "&amp;IF($AJ290="","소속",INDEX(입력_파견수련계획!$T$4:$T$803,$AJ290))&amp;" 규칙"))))</f>
        <v/>
      </c>
      <c r="AP290" s="10">
        <f>IF($B290="","",$C290&amp;"|"&amp;$F290)</f>
        <v/>
      </c>
      <c r="AQ290" s="10">
        <f>IF($B290="","",IFERROR(MATCH(ROW()-1,출력_구리근무자!$K$6:$K$305,0),""))</f>
        <v/>
      </c>
      <c r="AR290" s="10">
        <f>IF($AQ290="","",INDEX(출력_구리근무자!$H$6:$H$305,$AQ290))</f>
        <v/>
      </c>
    </row>
    <row r="291">
      <c r="A291" s="10">
        <f>IF(B291="","",ROW()-1)</f>
        <v/>
      </c>
      <c r="B291" s="19" t="n"/>
      <c r="C291" s="10">
        <f>IF($AB291="","",IF(INDEX(입력_기본자료!$C$2:$C$1001,$AB291)="","",INDEX(입력_기본자료!$C$2:$C$1001,$AB291)))</f>
        <v/>
      </c>
      <c r="D291" s="10">
        <f>IF($AB291="","",IF(INDEX(입력_기본자료!$J$2:$J$1001,$AB291)="","",INDEX(입력_기본자료!$J$2:$J$1001,$AB291)))</f>
        <v/>
      </c>
      <c r="E291" s="11">
        <f>IF($AB291="","",IF(INDEX(입력_기본자료!$K$2:$K$1001,$AB291)="","",IF(NOT(ISNUMBER(INDEX(입력_기본자료!$K$2:$K$1001,$AB291))),INDEX(입력_기본자료!$K$2:$K$1001,$AB291),IF(INDEX(입력_기본자료!$K$2:$K$1001,$AB291)&lt;1000000,INDEX(입력_기본자료!$K$2:$K$1001,$AB291),IF(AND(INDEX(입력_기본자료!$K$2:$K$1001,$AB291)&gt;=10000101,INT(MOD(INDEX(입력_기본자료!$K$2:$K$1001,$AB291),10000)/100)&gt;=1,INT(MOD(INDEX(입력_기본자료!$K$2:$K$1001,$AB291),10000)/100)&lt;=12,MOD(INDEX(입력_기본자료!$K$2:$K$1001,$AB291),100)&gt;=1,MOD(INDEX(입력_기본자료!$K$2:$K$1001,$AB291),100)&lt;=31),DATE(INT(INDEX(입력_기본자료!$K$2:$K$1001,$AB291)/10000),INT(MOD(INDEX(입력_기본자료!$K$2:$K$1001,$AB291),10000)/100),MOD(INDEX(입력_기본자료!$K$2:$K$1001,$AB291),100)),INDEX(입력_기본자료!$K$2:$K$1001,$AB291)&amp;"")))))</f>
        <v/>
      </c>
      <c r="F291" s="10">
        <f>IF($AB291="","",IF(INDEX(입력_기본자료!$D$2:$D$1001,$AB291)="","",INDEX(입력_기본자료!$D$2:$D$1001,$AB291)))</f>
        <v/>
      </c>
      <c r="G291" s="10">
        <f>IF($AB291="","",IF(INDEX(입력_기본자료!$E$2:$E$1001,$AB291)="","",INDEX(입력_기본자료!$E$2:$E$1001,$AB291)))</f>
        <v/>
      </c>
      <c r="H291" s="10">
        <f>IF($AB291="","",IF(INDEX(입력_기본자료!$F$2:$F$1001,$AB291)="","",INDEX(입력_기본자료!$F$2:$F$1001,$AB291)))</f>
        <v/>
      </c>
      <c r="I291" s="11">
        <f>IF($AB291="","",IF(INDEX(입력_기본자료!$G$2:$G$1001,$AB291)="","",IF(NOT(ISNUMBER(INDEX(입력_기본자료!$G$2:$G$1001,$AB291))),INDEX(입력_기본자료!$G$2:$G$1001,$AB291),IF(INDEX(입력_기본자료!$G$2:$G$1001,$AB291)&lt;1000000,INDEX(입력_기본자료!$G$2:$G$1001,$AB291),IF(AND(INDEX(입력_기본자료!$G$2:$G$1001,$AB291)&gt;=10000101,INT(MOD(INDEX(입력_기본자료!$G$2:$G$1001,$AB291),10000)/100)&gt;=1,INT(MOD(INDEX(입력_기본자료!$G$2:$G$1001,$AB291),10000)/100)&lt;=12,MOD(INDEX(입력_기본자료!$G$2:$G$1001,$AB291),100)&gt;=1,MOD(INDEX(입력_기본자료!$G$2:$G$1001,$AB291),100)&lt;=31),DATE(INT(INDEX(입력_기본자료!$G$2:$G$1001,$AB291)/10000),INT(MOD(INDEX(입력_기본자료!$G$2:$G$1001,$AB291),10000)/100),MOD(INDEX(입력_기본자료!$G$2:$G$1001,$AB291),100)),INDEX(입력_기본자료!$G$2:$G$1001,$AB291)&amp;"")))))</f>
        <v/>
      </c>
      <c r="J291" s="10">
        <f>IF($AB291="","",IF(INDEX(입력_기본자료!$H$2:$H$1001,$AB291)="","",INDEX(입력_기본자료!$H$2:$H$1001,$AB291)))</f>
        <v/>
      </c>
      <c r="K291" s="10">
        <f>IF($AB291="","",IF(INDEX(입력_기본자료!$I$2:$I$1001,$AB291)="","",INDEX(입력_기본자료!$I$2:$I$1001,$AB291)))</f>
        <v/>
      </c>
      <c r="L291" s="10">
        <f>IF($AB291="","",IF(INDEX(입력_기본자료!$A$2:$A$1001,$AB291)="","",INDEX(입력_기본자료!$A$2:$A$1001,$AB291)))</f>
        <v/>
      </c>
      <c r="M291" s="15" t="n"/>
      <c r="N291" s="10">
        <f>IF($B291="","",IF(AND($U291="파견중",$Q291&lt;&gt;""),$Q291,IF(AND($AD291&lt;&gt;"",LEFT($AD291,1)&lt;&gt;"⚠"),LEFT($AD291,FIND(" ",$AD291)-1),IF($H291="","",IF(RIGHT($H291,2)="병원",$H291,$H291&amp;"병원")))))</f>
        <v/>
      </c>
      <c r="O291" s="10">
        <f>IF($B291="","",IF(AND($U291="파견중",$Q291&lt;&gt;""),IF($R291&lt;&gt;"",$R291,"파견과 미입력"),IF(AND($AD291&lt;&gt;"",LEFT($AD291,1)&lt;&gt;"⚠"),MID($AD291,FIND(" ",$AD291)+1,60),IF($F291="","",IF($F291="인턴","수련교육부(인턴)",$F291)))))</f>
        <v/>
      </c>
      <c r="P291" s="10">
        <f>IF($B291="","",IF($AK291&lt;&gt;"",IF(AND(TODAY()&gt;=INDEX(입력_파견수련계획!$AB$4:$AB$803,$AK291),OR(NOT(ISNUMBER(INDEX(입력_파견수련계획!$AC$4:$AC$803,$AK291))),TODAY()&lt;=INDEX(입력_파견수련계획!$AC$4:$AC$803,$AK291))),"다기관",IF($AF291="","",INDEX(입력_파견수련계획!$T$4:$T$803,$AF291))),IF($AF291="","",INDEX(입력_파견수련계획!$T$4:$T$803,$AF291))))</f>
        <v/>
      </c>
      <c r="Q291" s="10">
        <f>IF($AF291="","",INDEX(입력_파견수련계획!$S$4:$S$803,$AF291))</f>
        <v/>
      </c>
      <c r="R291" s="10">
        <f>IF($AF291="","",INDEX(입력_파견수련계획!$U$4:$U$803,$AF291))</f>
        <v/>
      </c>
      <c r="S291" s="11">
        <f>IF($AF291="","",IF(INDEX(입력_파견수련계획!$H$4:$H$803,$AF291)="","",INDEX(입력_파견수련계획!$H$4:$H$803,$AF291)))</f>
        <v/>
      </c>
      <c r="T291" s="11">
        <f>IF($AF291="","",IF(INDEX(입력_파견수련계획!$I$4:$I$803,$AF291)="","",INDEX(입력_파견수련계획!$I$4:$I$803,$AF291)))</f>
        <v/>
      </c>
      <c r="U291" s="10">
        <f>IF($AF291="","",INDEX(입력_파견수련계획!$X$4:$X$803,$AF291))</f>
        <v/>
      </c>
      <c r="V291" s="17">
        <f>IF($AF291="","",INDEX(입력_파견수련계획!$V$4:$V$803,$AF291))</f>
        <v/>
      </c>
      <c r="W291" s="17">
        <f>IF(AND($U291="파견중",$T291&lt;&gt;""),$T291-TODAY(),"")</f>
        <v/>
      </c>
      <c r="X291" s="17">
        <f>IF(OR($B291="",TRIM($J291&amp;"")=""),"",SUMPRODUCT((입력_파견수련계획!$Q$4:$Q$803=TRIM($J291&amp;""))*입력_파견수련계획!$W$4:$W$803))</f>
        <v/>
      </c>
      <c r="Y291" s="10">
        <f>IF($B291="","",IF($AG291="","",IF(IF(TRIM($J291&amp;"")="",0,SUMPRODUCT((입력_파견수련계획!$Q$4:$Q$803=TRIM($J291&amp;""))*입력_파견수련계획!$AD$4:$AD$803))&gt;0,$AE291,IF(AND(N($X291)&lt;=0,$AQ291=""),$AG291,IF($AH291+$AI291=DAY(EOMONTH(출력_요약!$B$3,0)),IF(AND($AH291&gt;=출력_요약!$E$3,$AI291&lt;출력_요약!$E$3),"서울병원",IF(AND($AI291&gt;=출력_요약!$E$3,$AH291&lt;출력_요약!$E$3),"구리병원","⚠15일 판정불가(서울 "&amp;$AH291&amp;"일/구리 "&amp;$AI291&amp;"일)")),IF($AJ291="",$AE291,IF(INDEX(입력_파견수련계획!$T$4:$T$803,$AJ291)="통합수련",INDEX(입력_파견수련계획!$S$4:$S$803,$AJ291),$AE291)))))))</f>
        <v/>
      </c>
      <c r="Z291" s="20">
        <f>IF($B291="","",IF($AB291="","기본자료에 없는 사번",IF(COUNTIF($B$2:$B$401,$B291)&gt;1,"중복 사번",IF($AE291="","소속(입사장소) 입력",IF(IF(TRIM($J291&amp;"")="",0,SUMPRODUCT((입력_파견수련계획!$Q$4:$Q$803=TRIM($J291&amp;""))*(입력_파견수련계획!$AA$4:$AA$803&lt;&gt;"")))&gt;0,"파견수련계획 입력오류 확인",IF(LEFT($Y291,1)="⚠","서울·구리 15일 판정 불가(양쪽 모두 이상/미만)",IF(IF($AC291="",0,N(INDEX(입력_인턴근무계획!$T$3:$T$402,$AC291)))&gt;0,"인턴계획 입력오류 확인",IF(AND($AQ291&lt;&gt;"",$AG291&lt;&gt;"구리병원",IF(TRIM($J291&amp;"")="",0,SUMPRODUCT((입력_파견수련계획!$Q$4:$Q$803=TRIM($J291&amp;""))*(입력_파견수련계획!$S$4:$S$803="구리병원")*입력_파견수련계획!$W$4:$W$803))=0),"구리 근무자명단에만 있음(파견수련계획 확인)",IF(AND($AC291&lt;&gt;"",$U291&lt;&gt;"파견중",$N291&lt;&gt;$AE291),"인턴 타지역 근무: 파견 여부 확인","정상")))))))))</f>
        <v/>
      </c>
      <c r="AA291" s="5" t="n"/>
      <c r="AB291" s="10">
        <f>IF($B291="","",IFERROR(MATCH($B291,입력_기본자료!$B$2:$B$1001,0),IFERROR(MATCH($B291&amp;"",입력_기본자료!$B$2:$B$1001,0),IFERROR(MATCH(VALUE($B291),입력_기본자료!$B$2:$B$1001,0),""))))</f>
        <v/>
      </c>
      <c r="AC291" s="10">
        <f>IF($B291="","",IFERROR(MATCH($B291,입력_인턴근무계획!$D$3:$D$402,0),IFERROR(MATCH($B291&amp;"",입력_인턴근무계획!$D$3:$D$402,0),IFERROR(MATCH(VALUE($B291),입력_인턴근무계획!$D$3:$D$402,0),""))))</f>
        <v/>
      </c>
      <c r="AD291" s="10">
        <f>IF(OR($AC291="",출력_인턴현황!$G$3=""),"",INDEX(입력_인턴근무계획!$M$3:$R$402,$AC291,출력_인턴현황!$G$3)&amp;"")</f>
        <v/>
      </c>
      <c r="AE291" s="10">
        <f>IF($B291="","",IF($M291&lt;&gt;"",$M291,IF(IF($AQ291="",FALSE,INDEX(출력_구리근무자!$J$6:$J$305,$AQ291)="구리독자"),"구리병원",IF($AF291&lt;&gt;"",IF(LEFT(INDEX(입력_파견수련계획!$R$4:$R$803,$AF291),1)&lt;&gt;"⚠",INDEX(입력_파견수련계획!$R$4:$R$803,$AF291),IF($H291="","",IF(RIGHT($H291,2)="병원",$H291,$H291&amp;"병원"))),IF($H291="","",IF(RIGHT($H291,2)="병원",$H291,$H291&amp;"병원"))))))</f>
        <v/>
      </c>
      <c r="AF291" s="10">
        <f>IF(OR($B291="",TRIM($J291&amp;"")=""),"",IFERROR(MATCH(TRIM($J291&amp;"")&amp;"|파견중",입력_파견수련계획!$Y$4:$Y$803,0),IFERROR(MATCH(TRIM($J291&amp;"")&amp;"|파견예정",입력_파견수련계획!$Y$4:$Y$803,0),IFERROR(MATCH(TRIM($J291&amp;"")&amp;"|파견종료",입력_파견수련계획!$Y$4:$Y$803,0),""))))</f>
        <v/>
      </c>
      <c r="AG291" s="10">
        <f>IF($B291="","",IF(AND(IF(OR($AC291="",출력_인턴현황!$K$2=""),"",INDEX(입력_인턴근무계획!$M$3:$R$402,$AC291,출력_인턴현황!$K$2)&amp;"")&lt;&gt;"",LEFT(IF(OR($AC291="",출력_인턴현황!$K$2=""),"",INDEX(입력_인턴근무계획!$M$3:$R$402,$AC291,출력_인턴현황!$K$2)&amp;""),1)&lt;&gt;"⚠"),LEFT(IF(OR($AC291="",출력_인턴현황!$K$2=""),"",INDEX(입력_인턴근무계획!$M$3:$R$402,$AC291,출력_인턴현황!$K$2)&amp;""),FIND(" ",IF(OR($AC291="",출력_인턴현황!$K$2=""),"",INDEX(입력_인턴근무계획!$M$3:$R$402,$AC291,출력_인턴현황!$K$2)&amp;""))-1),$AE291))</f>
        <v/>
      </c>
      <c r="AH291" s="17">
        <f>IF($B291="","",IF($AQ291&lt;&gt;"",MAX(0,DAY(EOMONTH(출력_요약!$B$3,0))-N($AR291)),IF(TRIM($J291&amp;"")="",0,SUMPRODUCT((입력_파견수련계획!$Q$4:$Q$803=TRIM($J291&amp;""))*(입력_파견수련계획!$S$4:$S$803="서울병원")*입력_파견수련계획!$W$4:$W$803))+IF($AG291="서울병원",MAX(0,DAY(EOMONTH(출력_요약!$B$3,0))-N($X291)),0)))</f>
        <v/>
      </c>
      <c r="AI291" s="17">
        <f>IF($B291="","",IF($AQ291&lt;&gt;"",N($AR291),IF(TRIM($J291&amp;"")="",0,SUMPRODUCT((입력_파견수련계획!$Q$4:$Q$803=TRIM($J291&amp;""))*(입력_파견수련계획!$S$4:$S$803="구리병원")*입력_파견수련계획!$W$4:$W$803))+IF($AG291="구리병원",MAX(0,DAY(EOMONTH(출력_요약!$B$3,0))-N($X291)),0)))</f>
        <v/>
      </c>
      <c r="AJ291" s="10">
        <f>IF(OR($B291="",TRIM($J291&amp;"")=""),"",IFERROR(MATCH(TRIM($J291&amp;"")&amp;"|월",입력_파견수련계획!$Z$4:$Z$803,0),""))</f>
        <v/>
      </c>
      <c r="AK291" s="10">
        <f>IF(OR($B291="",TRIM($J291&amp;"")=""),"",IFERROR(MATCH(TRIM($J291&amp;"")&amp;"|다기관",입력_파견수련계획!$AE$4:$AE$803,0),""))</f>
        <v/>
      </c>
      <c r="AL291" s="10">
        <f>IF($AK291="","","다기관 "&amp;TEXT(INDEX(입력_파견수련계획!$AB$4:$AB$803,$AK291),"yyyy-mm-dd")&amp;"~"&amp;IF(ISNUMBER(INDEX(입력_파견수련계획!$AC$4:$AC$803,$AK291)),TEXT(INDEX(입력_파견수련계획!$AC$4:$AC$803,$AK291),"yyyy-mm-dd"),""))</f>
        <v/>
      </c>
      <c r="AM291" s="10">
        <f>IF($Y291="서울병원",COUNTIF($Y$2:$Y291,"서울병원"),"")</f>
        <v/>
      </c>
      <c r="AN291" s="10">
        <f>IF(LEFT($Y291,1)="⚠",COUNTIF($Y$2:$Y291,"⚠*"),"")</f>
        <v/>
      </c>
      <c r="AO291" s="10">
        <f>IF(OR($B291="",$Y291=""),"",IF(IF(TRIM($J291&amp;"")="",0,SUMPRODUCT((입력_파견수련계획!$Q$4:$Q$803=TRIM($J291&amp;""))*입력_파견수련계획!$AD$4:$AD$803))&gt;0,"다기관 기간 → 소속병원 지급",IF(AND(N($X291)&lt;=0,$AQ291=""),"파견 없음 → 그 달 근무병원 지급",IF($AH291+$AI291=DAY(EOMONTH(출력_요약!$B$3,0)),"서울 "&amp;$AH291&amp;"일 / 구리 "&amp;$AI291&amp;"일"&amp;IF($AQ291&lt;&gt;""," (구리 근무자명단 반영)","")&amp;" → 15일 이상 근무 병원 지급","타 병원 포함 → "&amp;IF($AJ291="","소속",INDEX(입력_파견수련계획!$T$4:$T$803,$AJ291))&amp;" 규칙"))))</f>
        <v/>
      </c>
      <c r="AP291" s="10">
        <f>IF($B291="","",$C291&amp;"|"&amp;$F291)</f>
        <v/>
      </c>
      <c r="AQ291" s="10">
        <f>IF($B291="","",IFERROR(MATCH(ROW()-1,출력_구리근무자!$K$6:$K$305,0),""))</f>
        <v/>
      </c>
      <c r="AR291" s="10">
        <f>IF($AQ291="","",INDEX(출력_구리근무자!$H$6:$H$305,$AQ291))</f>
        <v/>
      </c>
    </row>
    <row r="292">
      <c r="A292" s="10">
        <f>IF(B292="","",ROW()-1)</f>
        <v/>
      </c>
      <c r="B292" s="19" t="n"/>
      <c r="C292" s="10">
        <f>IF($AB292="","",IF(INDEX(입력_기본자료!$C$2:$C$1001,$AB292)="","",INDEX(입력_기본자료!$C$2:$C$1001,$AB292)))</f>
        <v/>
      </c>
      <c r="D292" s="10">
        <f>IF($AB292="","",IF(INDEX(입력_기본자료!$J$2:$J$1001,$AB292)="","",INDEX(입력_기본자료!$J$2:$J$1001,$AB292)))</f>
        <v/>
      </c>
      <c r="E292" s="11">
        <f>IF($AB292="","",IF(INDEX(입력_기본자료!$K$2:$K$1001,$AB292)="","",IF(NOT(ISNUMBER(INDEX(입력_기본자료!$K$2:$K$1001,$AB292))),INDEX(입력_기본자료!$K$2:$K$1001,$AB292),IF(INDEX(입력_기본자료!$K$2:$K$1001,$AB292)&lt;1000000,INDEX(입력_기본자료!$K$2:$K$1001,$AB292),IF(AND(INDEX(입력_기본자료!$K$2:$K$1001,$AB292)&gt;=10000101,INT(MOD(INDEX(입력_기본자료!$K$2:$K$1001,$AB292),10000)/100)&gt;=1,INT(MOD(INDEX(입력_기본자료!$K$2:$K$1001,$AB292),10000)/100)&lt;=12,MOD(INDEX(입력_기본자료!$K$2:$K$1001,$AB292),100)&gt;=1,MOD(INDEX(입력_기본자료!$K$2:$K$1001,$AB292),100)&lt;=31),DATE(INT(INDEX(입력_기본자료!$K$2:$K$1001,$AB292)/10000),INT(MOD(INDEX(입력_기본자료!$K$2:$K$1001,$AB292),10000)/100),MOD(INDEX(입력_기본자료!$K$2:$K$1001,$AB292),100)),INDEX(입력_기본자료!$K$2:$K$1001,$AB292)&amp;"")))))</f>
        <v/>
      </c>
      <c r="F292" s="10">
        <f>IF($AB292="","",IF(INDEX(입력_기본자료!$D$2:$D$1001,$AB292)="","",INDEX(입력_기본자료!$D$2:$D$1001,$AB292)))</f>
        <v/>
      </c>
      <c r="G292" s="10">
        <f>IF($AB292="","",IF(INDEX(입력_기본자료!$E$2:$E$1001,$AB292)="","",INDEX(입력_기본자료!$E$2:$E$1001,$AB292)))</f>
        <v/>
      </c>
      <c r="H292" s="10">
        <f>IF($AB292="","",IF(INDEX(입력_기본자료!$F$2:$F$1001,$AB292)="","",INDEX(입력_기본자료!$F$2:$F$1001,$AB292)))</f>
        <v/>
      </c>
      <c r="I292" s="11">
        <f>IF($AB292="","",IF(INDEX(입력_기본자료!$G$2:$G$1001,$AB292)="","",IF(NOT(ISNUMBER(INDEX(입력_기본자료!$G$2:$G$1001,$AB292))),INDEX(입력_기본자료!$G$2:$G$1001,$AB292),IF(INDEX(입력_기본자료!$G$2:$G$1001,$AB292)&lt;1000000,INDEX(입력_기본자료!$G$2:$G$1001,$AB292),IF(AND(INDEX(입력_기본자료!$G$2:$G$1001,$AB292)&gt;=10000101,INT(MOD(INDEX(입력_기본자료!$G$2:$G$1001,$AB292),10000)/100)&gt;=1,INT(MOD(INDEX(입력_기본자료!$G$2:$G$1001,$AB292),10000)/100)&lt;=12,MOD(INDEX(입력_기본자료!$G$2:$G$1001,$AB292),100)&gt;=1,MOD(INDEX(입력_기본자료!$G$2:$G$1001,$AB292),100)&lt;=31),DATE(INT(INDEX(입력_기본자료!$G$2:$G$1001,$AB292)/10000),INT(MOD(INDEX(입력_기본자료!$G$2:$G$1001,$AB292),10000)/100),MOD(INDEX(입력_기본자료!$G$2:$G$1001,$AB292),100)),INDEX(입력_기본자료!$G$2:$G$1001,$AB292)&amp;"")))))</f>
        <v/>
      </c>
      <c r="J292" s="10">
        <f>IF($AB292="","",IF(INDEX(입력_기본자료!$H$2:$H$1001,$AB292)="","",INDEX(입력_기본자료!$H$2:$H$1001,$AB292)))</f>
        <v/>
      </c>
      <c r="K292" s="10">
        <f>IF($AB292="","",IF(INDEX(입력_기본자료!$I$2:$I$1001,$AB292)="","",INDEX(입력_기본자료!$I$2:$I$1001,$AB292)))</f>
        <v/>
      </c>
      <c r="L292" s="10">
        <f>IF($AB292="","",IF(INDEX(입력_기본자료!$A$2:$A$1001,$AB292)="","",INDEX(입력_기본자료!$A$2:$A$1001,$AB292)))</f>
        <v/>
      </c>
      <c r="M292" s="15" t="n"/>
      <c r="N292" s="10">
        <f>IF($B292="","",IF(AND($U292="파견중",$Q292&lt;&gt;""),$Q292,IF(AND($AD292&lt;&gt;"",LEFT($AD292,1)&lt;&gt;"⚠"),LEFT($AD292,FIND(" ",$AD292)-1),IF($H292="","",IF(RIGHT($H292,2)="병원",$H292,$H292&amp;"병원")))))</f>
        <v/>
      </c>
      <c r="O292" s="10">
        <f>IF($B292="","",IF(AND($U292="파견중",$Q292&lt;&gt;""),IF($R292&lt;&gt;"",$R292,"파견과 미입력"),IF(AND($AD292&lt;&gt;"",LEFT($AD292,1)&lt;&gt;"⚠"),MID($AD292,FIND(" ",$AD292)+1,60),IF($F292="","",IF($F292="인턴","수련교육부(인턴)",$F292)))))</f>
        <v/>
      </c>
      <c r="P292" s="10">
        <f>IF($B292="","",IF($AK292&lt;&gt;"",IF(AND(TODAY()&gt;=INDEX(입력_파견수련계획!$AB$4:$AB$803,$AK292),OR(NOT(ISNUMBER(INDEX(입력_파견수련계획!$AC$4:$AC$803,$AK292))),TODAY()&lt;=INDEX(입력_파견수련계획!$AC$4:$AC$803,$AK292))),"다기관",IF($AF292="","",INDEX(입력_파견수련계획!$T$4:$T$803,$AF292))),IF($AF292="","",INDEX(입력_파견수련계획!$T$4:$T$803,$AF292))))</f>
        <v/>
      </c>
      <c r="Q292" s="10">
        <f>IF($AF292="","",INDEX(입력_파견수련계획!$S$4:$S$803,$AF292))</f>
        <v/>
      </c>
      <c r="R292" s="10">
        <f>IF($AF292="","",INDEX(입력_파견수련계획!$U$4:$U$803,$AF292))</f>
        <v/>
      </c>
      <c r="S292" s="11">
        <f>IF($AF292="","",IF(INDEX(입력_파견수련계획!$H$4:$H$803,$AF292)="","",INDEX(입력_파견수련계획!$H$4:$H$803,$AF292)))</f>
        <v/>
      </c>
      <c r="T292" s="11">
        <f>IF($AF292="","",IF(INDEX(입력_파견수련계획!$I$4:$I$803,$AF292)="","",INDEX(입력_파견수련계획!$I$4:$I$803,$AF292)))</f>
        <v/>
      </c>
      <c r="U292" s="10">
        <f>IF($AF292="","",INDEX(입력_파견수련계획!$X$4:$X$803,$AF292))</f>
        <v/>
      </c>
      <c r="V292" s="17">
        <f>IF($AF292="","",INDEX(입력_파견수련계획!$V$4:$V$803,$AF292))</f>
        <v/>
      </c>
      <c r="W292" s="17">
        <f>IF(AND($U292="파견중",$T292&lt;&gt;""),$T292-TODAY(),"")</f>
        <v/>
      </c>
      <c r="X292" s="17">
        <f>IF(OR($B292="",TRIM($J292&amp;"")=""),"",SUMPRODUCT((입력_파견수련계획!$Q$4:$Q$803=TRIM($J292&amp;""))*입력_파견수련계획!$W$4:$W$803))</f>
        <v/>
      </c>
      <c r="Y292" s="10">
        <f>IF($B292="","",IF($AG292="","",IF(IF(TRIM($J292&amp;"")="",0,SUMPRODUCT((입력_파견수련계획!$Q$4:$Q$803=TRIM($J292&amp;""))*입력_파견수련계획!$AD$4:$AD$803))&gt;0,$AE292,IF(AND(N($X292)&lt;=0,$AQ292=""),$AG292,IF($AH292+$AI292=DAY(EOMONTH(출력_요약!$B$3,0)),IF(AND($AH292&gt;=출력_요약!$E$3,$AI292&lt;출력_요약!$E$3),"서울병원",IF(AND($AI292&gt;=출력_요약!$E$3,$AH292&lt;출력_요약!$E$3),"구리병원","⚠15일 판정불가(서울 "&amp;$AH292&amp;"일/구리 "&amp;$AI292&amp;"일)")),IF($AJ292="",$AE292,IF(INDEX(입력_파견수련계획!$T$4:$T$803,$AJ292)="통합수련",INDEX(입력_파견수련계획!$S$4:$S$803,$AJ292),$AE292)))))))</f>
        <v/>
      </c>
      <c r="Z292" s="20">
        <f>IF($B292="","",IF($AB292="","기본자료에 없는 사번",IF(COUNTIF($B$2:$B$401,$B292)&gt;1,"중복 사번",IF($AE292="","소속(입사장소) 입력",IF(IF(TRIM($J292&amp;"")="",0,SUMPRODUCT((입력_파견수련계획!$Q$4:$Q$803=TRIM($J292&amp;""))*(입력_파견수련계획!$AA$4:$AA$803&lt;&gt;"")))&gt;0,"파견수련계획 입력오류 확인",IF(LEFT($Y292,1)="⚠","서울·구리 15일 판정 불가(양쪽 모두 이상/미만)",IF(IF($AC292="",0,N(INDEX(입력_인턴근무계획!$T$3:$T$402,$AC292)))&gt;0,"인턴계획 입력오류 확인",IF(AND($AQ292&lt;&gt;"",$AG292&lt;&gt;"구리병원",IF(TRIM($J292&amp;"")="",0,SUMPRODUCT((입력_파견수련계획!$Q$4:$Q$803=TRIM($J292&amp;""))*(입력_파견수련계획!$S$4:$S$803="구리병원")*입력_파견수련계획!$W$4:$W$803))=0),"구리 근무자명단에만 있음(파견수련계획 확인)",IF(AND($AC292&lt;&gt;"",$U292&lt;&gt;"파견중",$N292&lt;&gt;$AE292),"인턴 타지역 근무: 파견 여부 확인","정상")))))))))</f>
        <v/>
      </c>
      <c r="AA292" s="5" t="n"/>
      <c r="AB292" s="10">
        <f>IF($B292="","",IFERROR(MATCH($B292,입력_기본자료!$B$2:$B$1001,0),IFERROR(MATCH($B292&amp;"",입력_기본자료!$B$2:$B$1001,0),IFERROR(MATCH(VALUE($B292),입력_기본자료!$B$2:$B$1001,0),""))))</f>
        <v/>
      </c>
      <c r="AC292" s="10">
        <f>IF($B292="","",IFERROR(MATCH($B292,입력_인턴근무계획!$D$3:$D$402,0),IFERROR(MATCH($B292&amp;"",입력_인턴근무계획!$D$3:$D$402,0),IFERROR(MATCH(VALUE($B292),입력_인턴근무계획!$D$3:$D$402,0),""))))</f>
        <v/>
      </c>
      <c r="AD292" s="10">
        <f>IF(OR($AC292="",출력_인턴현황!$G$3=""),"",INDEX(입력_인턴근무계획!$M$3:$R$402,$AC292,출력_인턴현황!$G$3)&amp;"")</f>
        <v/>
      </c>
      <c r="AE292" s="10">
        <f>IF($B292="","",IF($M292&lt;&gt;"",$M292,IF(IF($AQ292="",FALSE,INDEX(출력_구리근무자!$J$6:$J$305,$AQ292)="구리독자"),"구리병원",IF($AF292&lt;&gt;"",IF(LEFT(INDEX(입력_파견수련계획!$R$4:$R$803,$AF292),1)&lt;&gt;"⚠",INDEX(입력_파견수련계획!$R$4:$R$803,$AF292),IF($H292="","",IF(RIGHT($H292,2)="병원",$H292,$H292&amp;"병원"))),IF($H292="","",IF(RIGHT($H292,2)="병원",$H292,$H292&amp;"병원"))))))</f>
        <v/>
      </c>
      <c r="AF292" s="10">
        <f>IF(OR($B292="",TRIM($J292&amp;"")=""),"",IFERROR(MATCH(TRIM($J292&amp;"")&amp;"|파견중",입력_파견수련계획!$Y$4:$Y$803,0),IFERROR(MATCH(TRIM($J292&amp;"")&amp;"|파견예정",입력_파견수련계획!$Y$4:$Y$803,0),IFERROR(MATCH(TRIM($J292&amp;"")&amp;"|파견종료",입력_파견수련계획!$Y$4:$Y$803,0),""))))</f>
        <v/>
      </c>
      <c r="AG292" s="10">
        <f>IF($B292="","",IF(AND(IF(OR($AC292="",출력_인턴현황!$K$2=""),"",INDEX(입력_인턴근무계획!$M$3:$R$402,$AC292,출력_인턴현황!$K$2)&amp;"")&lt;&gt;"",LEFT(IF(OR($AC292="",출력_인턴현황!$K$2=""),"",INDEX(입력_인턴근무계획!$M$3:$R$402,$AC292,출력_인턴현황!$K$2)&amp;""),1)&lt;&gt;"⚠"),LEFT(IF(OR($AC292="",출력_인턴현황!$K$2=""),"",INDEX(입력_인턴근무계획!$M$3:$R$402,$AC292,출력_인턴현황!$K$2)&amp;""),FIND(" ",IF(OR($AC292="",출력_인턴현황!$K$2=""),"",INDEX(입력_인턴근무계획!$M$3:$R$402,$AC292,출력_인턴현황!$K$2)&amp;""))-1),$AE292))</f>
        <v/>
      </c>
      <c r="AH292" s="17">
        <f>IF($B292="","",IF($AQ292&lt;&gt;"",MAX(0,DAY(EOMONTH(출력_요약!$B$3,0))-N($AR292)),IF(TRIM($J292&amp;"")="",0,SUMPRODUCT((입력_파견수련계획!$Q$4:$Q$803=TRIM($J292&amp;""))*(입력_파견수련계획!$S$4:$S$803="서울병원")*입력_파견수련계획!$W$4:$W$803))+IF($AG292="서울병원",MAX(0,DAY(EOMONTH(출력_요약!$B$3,0))-N($X292)),0)))</f>
        <v/>
      </c>
      <c r="AI292" s="17">
        <f>IF($B292="","",IF($AQ292&lt;&gt;"",N($AR292),IF(TRIM($J292&amp;"")="",0,SUMPRODUCT((입력_파견수련계획!$Q$4:$Q$803=TRIM($J292&amp;""))*(입력_파견수련계획!$S$4:$S$803="구리병원")*입력_파견수련계획!$W$4:$W$803))+IF($AG292="구리병원",MAX(0,DAY(EOMONTH(출력_요약!$B$3,0))-N($X292)),0)))</f>
        <v/>
      </c>
      <c r="AJ292" s="10">
        <f>IF(OR($B292="",TRIM($J292&amp;"")=""),"",IFERROR(MATCH(TRIM($J292&amp;"")&amp;"|월",입력_파견수련계획!$Z$4:$Z$803,0),""))</f>
        <v/>
      </c>
      <c r="AK292" s="10">
        <f>IF(OR($B292="",TRIM($J292&amp;"")=""),"",IFERROR(MATCH(TRIM($J292&amp;"")&amp;"|다기관",입력_파견수련계획!$AE$4:$AE$803,0),""))</f>
        <v/>
      </c>
      <c r="AL292" s="10">
        <f>IF($AK292="","","다기관 "&amp;TEXT(INDEX(입력_파견수련계획!$AB$4:$AB$803,$AK292),"yyyy-mm-dd")&amp;"~"&amp;IF(ISNUMBER(INDEX(입력_파견수련계획!$AC$4:$AC$803,$AK292)),TEXT(INDEX(입력_파견수련계획!$AC$4:$AC$803,$AK292),"yyyy-mm-dd"),""))</f>
        <v/>
      </c>
      <c r="AM292" s="10">
        <f>IF($Y292="서울병원",COUNTIF($Y$2:$Y292,"서울병원"),"")</f>
        <v/>
      </c>
      <c r="AN292" s="10">
        <f>IF(LEFT($Y292,1)="⚠",COUNTIF($Y$2:$Y292,"⚠*"),"")</f>
        <v/>
      </c>
      <c r="AO292" s="10">
        <f>IF(OR($B292="",$Y292=""),"",IF(IF(TRIM($J292&amp;"")="",0,SUMPRODUCT((입력_파견수련계획!$Q$4:$Q$803=TRIM($J292&amp;""))*입력_파견수련계획!$AD$4:$AD$803))&gt;0,"다기관 기간 → 소속병원 지급",IF(AND(N($X292)&lt;=0,$AQ292=""),"파견 없음 → 그 달 근무병원 지급",IF($AH292+$AI292=DAY(EOMONTH(출력_요약!$B$3,0)),"서울 "&amp;$AH292&amp;"일 / 구리 "&amp;$AI292&amp;"일"&amp;IF($AQ292&lt;&gt;""," (구리 근무자명단 반영)","")&amp;" → 15일 이상 근무 병원 지급","타 병원 포함 → "&amp;IF($AJ292="","소속",INDEX(입력_파견수련계획!$T$4:$T$803,$AJ292))&amp;" 규칙"))))</f>
        <v/>
      </c>
      <c r="AP292" s="10">
        <f>IF($B292="","",$C292&amp;"|"&amp;$F292)</f>
        <v/>
      </c>
      <c r="AQ292" s="10">
        <f>IF($B292="","",IFERROR(MATCH(ROW()-1,출력_구리근무자!$K$6:$K$305,0),""))</f>
        <v/>
      </c>
      <c r="AR292" s="10">
        <f>IF($AQ292="","",INDEX(출력_구리근무자!$H$6:$H$305,$AQ292))</f>
        <v/>
      </c>
    </row>
    <row r="293">
      <c r="A293" s="10">
        <f>IF(B293="","",ROW()-1)</f>
        <v/>
      </c>
      <c r="B293" s="19" t="n"/>
      <c r="C293" s="10">
        <f>IF($AB293="","",IF(INDEX(입력_기본자료!$C$2:$C$1001,$AB293)="","",INDEX(입력_기본자료!$C$2:$C$1001,$AB293)))</f>
        <v/>
      </c>
      <c r="D293" s="10">
        <f>IF($AB293="","",IF(INDEX(입력_기본자료!$J$2:$J$1001,$AB293)="","",INDEX(입력_기본자료!$J$2:$J$1001,$AB293)))</f>
        <v/>
      </c>
      <c r="E293" s="11">
        <f>IF($AB293="","",IF(INDEX(입력_기본자료!$K$2:$K$1001,$AB293)="","",IF(NOT(ISNUMBER(INDEX(입력_기본자료!$K$2:$K$1001,$AB293))),INDEX(입력_기본자료!$K$2:$K$1001,$AB293),IF(INDEX(입력_기본자료!$K$2:$K$1001,$AB293)&lt;1000000,INDEX(입력_기본자료!$K$2:$K$1001,$AB293),IF(AND(INDEX(입력_기본자료!$K$2:$K$1001,$AB293)&gt;=10000101,INT(MOD(INDEX(입력_기본자료!$K$2:$K$1001,$AB293),10000)/100)&gt;=1,INT(MOD(INDEX(입력_기본자료!$K$2:$K$1001,$AB293),10000)/100)&lt;=12,MOD(INDEX(입력_기본자료!$K$2:$K$1001,$AB293),100)&gt;=1,MOD(INDEX(입력_기본자료!$K$2:$K$1001,$AB293),100)&lt;=31),DATE(INT(INDEX(입력_기본자료!$K$2:$K$1001,$AB293)/10000),INT(MOD(INDEX(입력_기본자료!$K$2:$K$1001,$AB293),10000)/100),MOD(INDEX(입력_기본자료!$K$2:$K$1001,$AB293),100)),INDEX(입력_기본자료!$K$2:$K$1001,$AB293)&amp;"")))))</f>
        <v/>
      </c>
      <c r="F293" s="10">
        <f>IF($AB293="","",IF(INDEX(입력_기본자료!$D$2:$D$1001,$AB293)="","",INDEX(입력_기본자료!$D$2:$D$1001,$AB293)))</f>
        <v/>
      </c>
      <c r="G293" s="10">
        <f>IF($AB293="","",IF(INDEX(입력_기본자료!$E$2:$E$1001,$AB293)="","",INDEX(입력_기본자료!$E$2:$E$1001,$AB293)))</f>
        <v/>
      </c>
      <c r="H293" s="10">
        <f>IF($AB293="","",IF(INDEX(입력_기본자료!$F$2:$F$1001,$AB293)="","",INDEX(입력_기본자료!$F$2:$F$1001,$AB293)))</f>
        <v/>
      </c>
      <c r="I293" s="11">
        <f>IF($AB293="","",IF(INDEX(입력_기본자료!$G$2:$G$1001,$AB293)="","",IF(NOT(ISNUMBER(INDEX(입력_기본자료!$G$2:$G$1001,$AB293))),INDEX(입력_기본자료!$G$2:$G$1001,$AB293),IF(INDEX(입력_기본자료!$G$2:$G$1001,$AB293)&lt;1000000,INDEX(입력_기본자료!$G$2:$G$1001,$AB293),IF(AND(INDEX(입력_기본자료!$G$2:$G$1001,$AB293)&gt;=10000101,INT(MOD(INDEX(입력_기본자료!$G$2:$G$1001,$AB293),10000)/100)&gt;=1,INT(MOD(INDEX(입력_기본자료!$G$2:$G$1001,$AB293),10000)/100)&lt;=12,MOD(INDEX(입력_기본자료!$G$2:$G$1001,$AB293),100)&gt;=1,MOD(INDEX(입력_기본자료!$G$2:$G$1001,$AB293),100)&lt;=31),DATE(INT(INDEX(입력_기본자료!$G$2:$G$1001,$AB293)/10000),INT(MOD(INDEX(입력_기본자료!$G$2:$G$1001,$AB293),10000)/100),MOD(INDEX(입력_기본자료!$G$2:$G$1001,$AB293),100)),INDEX(입력_기본자료!$G$2:$G$1001,$AB293)&amp;"")))))</f>
        <v/>
      </c>
      <c r="J293" s="10">
        <f>IF($AB293="","",IF(INDEX(입력_기본자료!$H$2:$H$1001,$AB293)="","",INDEX(입력_기본자료!$H$2:$H$1001,$AB293)))</f>
        <v/>
      </c>
      <c r="K293" s="10">
        <f>IF($AB293="","",IF(INDEX(입력_기본자료!$I$2:$I$1001,$AB293)="","",INDEX(입력_기본자료!$I$2:$I$1001,$AB293)))</f>
        <v/>
      </c>
      <c r="L293" s="10">
        <f>IF($AB293="","",IF(INDEX(입력_기본자료!$A$2:$A$1001,$AB293)="","",INDEX(입력_기본자료!$A$2:$A$1001,$AB293)))</f>
        <v/>
      </c>
      <c r="M293" s="15" t="n"/>
      <c r="N293" s="10">
        <f>IF($B293="","",IF(AND($U293="파견중",$Q293&lt;&gt;""),$Q293,IF(AND($AD293&lt;&gt;"",LEFT($AD293,1)&lt;&gt;"⚠"),LEFT($AD293,FIND(" ",$AD293)-1),IF($H293="","",IF(RIGHT($H293,2)="병원",$H293,$H293&amp;"병원")))))</f>
        <v/>
      </c>
      <c r="O293" s="10">
        <f>IF($B293="","",IF(AND($U293="파견중",$Q293&lt;&gt;""),IF($R293&lt;&gt;"",$R293,"파견과 미입력"),IF(AND($AD293&lt;&gt;"",LEFT($AD293,1)&lt;&gt;"⚠"),MID($AD293,FIND(" ",$AD293)+1,60),IF($F293="","",IF($F293="인턴","수련교육부(인턴)",$F293)))))</f>
        <v/>
      </c>
      <c r="P293" s="10">
        <f>IF($B293="","",IF($AK293&lt;&gt;"",IF(AND(TODAY()&gt;=INDEX(입력_파견수련계획!$AB$4:$AB$803,$AK293),OR(NOT(ISNUMBER(INDEX(입력_파견수련계획!$AC$4:$AC$803,$AK293))),TODAY()&lt;=INDEX(입력_파견수련계획!$AC$4:$AC$803,$AK293))),"다기관",IF($AF293="","",INDEX(입력_파견수련계획!$T$4:$T$803,$AF293))),IF($AF293="","",INDEX(입력_파견수련계획!$T$4:$T$803,$AF293))))</f>
        <v/>
      </c>
      <c r="Q293" s="10">
        <f>IF($AF293="","",INDEX(입력_파견수련계획!$S$4:$S$803,$AF293))</f>
        <v/>
      </c>
      <c r="R293" s="10">
        <f>IF($AF293="","",INDEX(입력_파견수련계획!$U$4:$U$803,$AF293))</f>
        <v/>
      </c>
      <c r="S293" s="11">
        <f>IF($AF293="","",IF(INDEX(입력_파견수련계획!$H$4:$H$803,$AF293)="","",INDEX(입력_파견수련계획!$H$4:$H$803,$AF293)))</f>
        <v/>
      </c>
      <c r="T293" s="11">
        <f>IF($AF293="","",IF(INDEX(입력_파견수련계획!$I$4:$I$803,$AF293)="","",INDEX(입력_파견수련계획!$I$4:$I$803,$AF293)))</f>
        <v/>
      </c>
      <c r="U293" s="10">
        <f>IF($AF293="","",INDEX(입력_파견수련계획!$X$4:$X$803,$AF293))</f>
        <v/>
      </c>
      <c r="V293" s="17">
        <f>IF($AF293="","",INDEX(입력_파견수련계획!$V$4:$V$803,$AF293))</f>
        <v/>
      </c>
      <c r="W293" s="17">
        <f>IF(AND($U293="파견중",$T293&lt;&gt;""),$T293-TODAY(),"")</f>
        <v/>
      </c>
      <c r="X293" s="17">
        <f>IF(OR($B293="",TRIM($J293&amp;"")=""),"",SUMPRODUCT((입력_파견수련계획!$Q$4:$Q$803=TRIM($J293&amp;""))*입력_파견수련계획!$W$4:$W$803))</f>
        <v/>
      </c>
      <c r="Y293" s="10">
        <f>IF($B293="","",IF($AG293="","",IF(IF(TRIM($J293&amp;"")="",0,SUMPRODUCT((입력_파견수련계획!$Q$4:$Q$803=TRIM($J293&amp;""))*입력_파견수련계획!$AD$4:$AD$803))&gt;0,$AE293,IF(AND(N($X293)&lt;=0,$AQ293=""),$AG293,IF($AH293+$AI293=DAY(EOMONTH(출력_요약!$B$3,0)),IF(AND($AH293&gt;=출력_요약!$E$3,$AI293&lt;출력_요약!$E$3),"서울병원",IF(AND($AI293&gt;=출력_요약!$E$3,$AH293&lt;출력_요약!$E$3),"구리병원","⚠15일 판정불가(서울 "&amp;$AH293&amp;"일/구리 "&amp;$AI293&amp;"일)")),IF($AJ293="",$AE293,IF(INDEX(입력_파견수련계획!$T$4:$T$803,$AJ293)="통합수련",INDEX(입력_파견수련계획!$S$4:$S$803,$AJ293),$AE293)))))))</f>
        <v/>
      </c>
      <c r="Z293" s="20">
        <f>IF($B293="","",IF($AB293="","기본자료에 없는 사번",IF(COUNTIF($B$2:$B$401,$B293)&gt;1,"중복 사번",IF($AE293="","소속(입사장소) 입력",IF(IF(TRIM($J293&amp;"")="",0,SUMPRODUCT((입력_파견수련계획!$Q$4:$Q$803=TRIM($J293&amp;""))*(입력_파견수련계획!$AA$4:$AA$803&lt;&gt;"")))&gt;0,"파견수련계획 입력오류 확인",IF(LEFT($Y293,1)="⚠","서울·구리 15일 판정 불가(양쪽 모두 이상/미만)",IF(IF($AC293="",0,N(INDEX(입력_인턴근무계획!$T$3:$T$402,$AC293)))&gt;0,"인턴계획 입력오류 확인",IF(AND($AQ293&lt;&gt;"",$AG293&lt;&gt;"구리병원",IF(TRIM($J293&amp;"")="",0,SUMPRODUCT((입력_파견수련계획!$Q$4:$Q$803=TRIM($J293&amp;""))*(입력_파견수련계획!$S$4:$S$803="구리병원")*입력_파견수련계획!$W$4:$W$803))=0),"구리 근무자명단에만 있음(파견수련계획 확인)",IF(AND($AC293&lt;&gt;"",$U293&lt;&gt;"파견중",$N293&lt;&gt;$AE293),"인턴 타지역 근무: 파견 여부 확인","정상")))))))))</f>
        <v/>
      </c>
      <c r="AA293" s="5" t="n"/>
      <c r="AB293" s="10">
        <f>IF($B293="","",IFERROR(MATCH($B293,입력_기본자료!$B$2:$B$1001,0),IFERROR(MATCH($B293&amp;"",입력_기본자료!$B$2:$B$1001,0),IFERROR(MATCH(VALUE($B293),입력_기본자료!$B$2:$B$1001,0),""))))</f>
        <v/>
      </c>
      <c r="AC293" s="10">
        <f>IF($B293="","",IFERROR(MATCH($B293,입력_인턴근무계획!$D$3:$D$402,0),IFERROR(MATCH($B293&amp;"",입력_인턴근무계획!$D$3:$D$402,0),IFERROR(MATCH(VALUE($B293),입력_인턴근무계획!$D$3:$D$402,0),""))))</f>
        <v/>
      </c>
      <c r="AD293" s="10">
        <f>IF(OR($AC293="",출력_인턴현황!$G$3=""),"",INDEX(입력_인턴근무계획!$M$3:$R$402,$AC293,출력_인턴현황!$G$3)&amp;"")</f>
        <v/>
      </c>
      <c r="AE293" s="10">
        <f>IF($B293="","",IF($M293&lt;&gt;"",$M293,IF(IF($AQ293="",FALSE,INDEX(출력_구리근무자!$J$6:$J$305,$AQ293)="구리독자"),"구리병원",IF($AF293&lt;&gt;"",IF(LEFT(INDEX(입력_파견수련계획!$R$4:$R$803,$AF293),1)&lt;&gt;"⚠",INDEX(입력_파견수련계획!$R$4:$R$803,$AF293),IF($H293="","",IF(RIGHT($H293,2)="병원",$H293,$H293&amp;"병원"))),IF($H293="","",IF(RIGHT($H293,2)="병원",$H293,$H293&amp;"병원"))))))</f>
        <v/>
      </c>
      <c r="AF293" s="10">
        <f>IF(OR($B293="",TRIM($J293&amp;"")=""),"",IFERROR(MATCH(TRIM($J293&amp;"")&amp;"|파견중",입력_파견수련계획!$Y$4:$Y$803,0),IFERROR(MATCH(TRIM($J293&amp;"")&amp;"|파견예정",입력_파견수련계획!$Y$4:$Y$803,0),IFERROR(MATCH(TRIM($J293&amp;"")&amp;"|파견종료",입력_파견수련계획!$Y$4:$Y$803,0),""))))</f>
        <v/>
      </c>
      <c r="AG293" s="10">
        <f>IF($B293="","",IF(AND(IF(OR($AC293="",출력_인턴현황!$K$2=""),"",INDEX(입력_인턴근무계획!$M$3:$R$402,$AC293,출력_인턴현황!$K$2)&amp;"")&lt;&gt;"",LEFT(IF(OR($AC293="",출력_인턴현황!$K$2=""),"",INDEX(입력_인턴근무계획!$M$3:$R$402,$AC293,출력_인턴현황!$K$2)&amp;""),1)&lt;&gt;"⚠"),LEFT(IF(OR($AC293="",출력_인턴현황!$K$2=""),"",INDEX(입력_인턴근무계획!$M$3:$R$402,$AC293,출력_인턴현황!$K$2)&amp;""),FIND(" ",IF(OR($AC293="",출력_인턴현황!$K$2=""),"",INDEX(입력_인턴근무계획!$M$3:$R$402,$AC293,출력_인턴현황!$K$2)&amp;""))-1),$AE293))</f>
        <v/>
      </c>
      <c r="AH293" s="17">
        <f>IF($B293="","",IF($AQ293&lt;&gt;"",MAX(0,DAY(EOMONTH(출력_요약!$B$3,0))-N($AR293)),IF(TRIM($J293&amp;"")="",0,SUMPRODUCT((입력_파견수련계획!$Q$4:$Q$803=TRIM($J293&amp;""))*(입력_파견수련계획!$S$4:$S$803="서울병원")*입력_파견수련계획!$W$4:$W$803))+IF($AG293="서울병원",MAX(0,DAY(EOMONTH(출력_요약!$B$3,0))-N($X293)),0)))</f>
        <v/>
      </c>
      <c r="AI293" s="17">
        <f>IF($B293="","",IF($AQ293&lt;&gt;"",N($AR293),IF(TRIM($J293&amp;"")="",0,SUMPRODUCT((입력_파견수련계획!$Q$4:$Q$803=TRIM($J293&amp;""))*(입력_파견수련계획!$S$4:$S$803="구리병원")*입력_파견수련계획!$W$4:$W$803))+IF($AG293="구리병원",MAX(0,DAY(EOMONTH(출력_요약!$B$3,0))-N($X293)),0)))</f>
        <v/>
      </c>
      <c r="AJ293" s="10">
        <f>IF(OR($B293="",TRIM($J293&amp;"")=""),"",IFERROR(MATCH(TRIM($J293&amp;"")&amp;"|월",입력_파견수련계획!$Z$4:$Z$803,0),""))</f>
        <v/>
      </c>
      <c r="AK293" s="10">
        <f>IF(OR($B293="",TRIM($J293&amp;"")=""),"",IFERROR(MATCH(TRIM($J293&amp;"")&amp;"|다기관",입력_파견수련계획!$AE$4:$AE$803,0),""))</f>
        <v/>
      </c>
      <c r="AL293" s="10">
        <f>IF($AK293="","","다기관 "&amp;TEXT(INDEX(입력_파견수련계획!$AB$4:$AB$803,$AK293),"yyyy-mm-dd")&amp;"~"&amp;IF(ISNUMBER(INDEX(입력_파견수련계획!$AC$4:$AC$803,$AK293)),TEXT(INDEX(입력_파견수련계획!$AC$4:$AC$803,$AK293),"yyyy-mm-dd"),""))</f>
        <v/>
      </c>
      <c r="AM293" s="10">
        <f>IF($Y293="서울병원",COUNTIF($Y$2:$Y293,"서울병원"),"")</f>
        <v/>
      </c>
      <c r="AN293" s="10">
        <f>IF(LEFT($Y293,1)="⚠",COUNTIF($Y$2:$Y293,"⚠*"),"")</f>
        <v/>
      </c>
      <c r="AO293" s="10">
        <f>IF(OR($B293="",$Y293=""),"",IF(IF(TRIM($J293&amp;"")="",0,SUMPRODUCT((입력_파견수련계획!$Q$4:$Q$803=TRIM($J293&amp;""))*입력_파견수련계획!$AD$4:$AD$803))&gt;0,"다기관 기간 → 소속병원 지급",IF(AND(N($X293)&lt;=0,$AQ293=""),"파견 없음 → 그 달 근무병원 지급",IF($AH293+$AI293=DAY(EOMONTH(출력_요약!$B$3,0)),"서울 "&amp;$AH293&amp;"일 / 구리 "&amp;$AI293&amp;"일"&amp;IF($AQ293&lt;&gt;""," (구리 근무자명단 반영)","")&amp;" → 15일 이상 근무 병원 지급","타 병원 포함 → "&amp;IF($AJ293="","소속",INDEX(입력_파견수련계획!$T$4:$T$803,$AJ293))&amp;" 규칙"))))</f>
        <v/>
      </c>
      <c r="AP293" s="10">
        <f>IF($B293="","",$C293&amp;"|"&amp;$F293)</f>
        <v/>
      </c>
      <c r="AQ293" s="10">
        <f>IF($B293="","",IFERROR(MATCH(ROW()-1,출력_구리근무자!$K$6:$K$305,0),""))</f>
        <v/>
      </c>
      <c r="AR293" s="10">
        <f>IF($AQ293="","",INDEX(출력_구리근무자!$H$6:$H$305,$AQ293))</f>
        <v/>
      </c>
    </row>
    <row r="294">
      <c r="A294" s="10">
        <f>IF(B294="","",ROW()-1)</f>
        <v/>
      </c>
      <c r="B294" s="19" t="n"/>
      <c r="C294" s="10">
        <f>IF($AB294="","",IF(INDEX(입력_기본자료!$C$2:$C$1001,$AB294)="","",INDEX(입력_기본자료!$C$2:$C$1001,$AB294)))</f>
        <v/>
      </c>
      <c r="D294" s="10">
        <f>IF($AB294="","",IF(INDEX(입력_기본자료!$J$2:$J$1001,$AB294)="","",INDEX(입력_기본자료!$J$2:$J$1001,$AB294)))</f>
        <v/>
      </c>
      <c r="E294" s="11">
        <f>IF($AB294="","",IF(INDEX(입력_기본자료!$K$2:$K$1001,$AB294)="","",IF(NOT(ISNUMBER(INDEX(입력_기본자료!$K$2:$K$1001,$AB294))),INDEX(입력_기본자료!$K$2:$K$1001,$AB294),IF(INDEX(입력_기본자료!$K$2:$K$1001,$AB294)&lt;1000000,INDEX(입력_기본자료!$K$2:$K$1001,$AB294),IF(AND(INDEX(입력_기본자료!$K$2:$K$1001,$AB294)&gt;=10000101,INT(MOD(INDEX(입력_기본자료!$K$2:$K$1001,$AB294),10000)/100)&gt;=1,INT(MOD(INDEX(입력_기본자료!$K$2:$K$1001,$AB294),10000)/100)&lt;=12,MOD(INDEX(입력_기본자료!$K$2:$K$1001,$AB294),100)&gt;=1,MOD(INDEX(입력_기본자료!$K$2:$K$1001,$AB294),100)&lt;=31),DATE(INT(INDEX(입력_기본자료!$K$2:$K$1001,$AB294)/10000),INT(MOD(INDEX(입력_기본자료!$K$2:$K$1001,$AB294),10000)/100),MOD(INDEX(입력_기본자료!$K$2:$K$1001,$AB294),100)),INDEX(입력_기본자료!$K$2:$K$1001,$AB294)&amp;"")))))</f>
        <v/>
      </c>
      <c r="F294" s="10">
        <f>IF($AB294="","",IF(INDEX(입력_기본자료!$D$2:$D$1001,$AB294)="","",INDEX(입력_기본자료!$D$2:$D$1001,$AB294)))</f>
        <v/>
      </c>
      <c r="G294" s="10">
        <f>IF($AB294="","",IF(INDEX(입력_기본자료!$E$2:$E$1001,$AB294)="","",INDEX(입력_기본자료!$E$2:$E$1001,$AB294)))</f>
        <v/>
      </c>
      <c r="H294" s="10">
        <f>IF($AB294="","",IF(INDEX(입력_기본자료!$F$2:$F$1001,$AB294)="","",INDEX(입력_기본자료!$F$2:$F$1001,$AB294)))</f>
        <v/>
      </c>
      <c r="I294" s="11">
        <f>IF($AB294="","",IF(INDEX(입력_기본자료!$G$2:$G$1001,$AB294)="","",IF(NOT(ISNUMBER(INDEX(입력_기본자료!$G$2:$G$1001,$AB294))),INDEX(입력_기본자료!$G$2:$G$1001,$AB294),IF(INDEX(입력_기본자료!$G$2:$G$1001,$AB294)&lt;1000000,INDEX(입력_기본자료!$G$2:$G$1001,$AB294),IF(AND(INDEX(입력_기본자료!$G$2:$G$1001,$AB294)&gt;=10000101,INT(MOD(INDEX(입력_기본자료!$G$2:$G$1001,$AB294),10000)/100)&gt;=1,INT(MOD(INDEX(입력_기본자료!$G$2:$G$1001,$AB294),10000)/100)&lt;=12,MOD(INDEX(입력_기본자료!$G$2:$G$1001,$AB294),100)&gt;=1,MOD(INDEX(입력_기본자료!$G$2:$G$1001,$AB294),100)&lt;=31),DATE(INT(INDEX(입력_기본자료!$G$2:$G$1001,$AB294)/10000),INT(MOD(INDEX(입력_기본자료!$G$2:$G$1001,$AB294),10000)/100),MOD(INDEX(입력_기본자료!$G$2:$G$1001,$AB294),100)),INDEX(입력_기본자료!$G$2:$G$1001,$AB294)&amp;"")))))</f>
        <v/>
      </c>
      <c r="J294" s="10">
        <f>IF($AB294="","",IF(INDEX(입력_기본자료!$H$2:$H$1001,$AB294)="","",INDEX(입력_기본자료!$H$2:$H$1001,$AB294)))</f>
        <v/>
      </c>
      <c r="K294" s="10">
        <f>IF($AB294="","",IF(INDEX(입력_기본자료!$I$2:$I$1001,$AB294)="","",INDEX(입력_기본자료!$I$2:$I$1001,$AB294)))</f>
        <v/>
      </c>
      <c r="L294" s="10">
        <f>IF($AB294="","",IF(INDEX(입력_기본자료!$A$2:$A$1001,$AB294)="","",INDEX(입력_기본자료!$A$2:$A$1001,$AB294)))</f>
        <v/>
      </c>
      <c r="M294" s="15" t="n"/>
      <c r="N294" s="10">
        <f>IF($B294="","",IF(AND($U294="파견중",$Q294&lt;&gt;""),$Q294,IF(AND($AD294&lt;&gt;"",LEFT($AD294,1)&lt;&gt;"⚠"),LEFT($AD294,FIND(" ",$AD294)-1),IF($H294="","",IF(RIGHT($H294,2)="병원",$H294,$H294&amp;"병원")))))</f>
        <v/>
      </c>
      <c r="O294" s="10">
        <f>IF($B294="","",IF(AND($U294="파견중",$Q294&lt;&gt;""),IF($R294&lt;&gt;"",$R294,"파견과 미입력"),IF(AND($AD294&lt;&gt;"",LEFT($AD294,1)&lt;&gt;"⚠"),MID($AD294,FIND(" ",$AD294)+1,60),IF($F294="","",IF($F294="인턴","수련교육부(인턴)",$F294)))))</f>
        <v/>
      </c>
      <c r="P294" s="10">
        <f>IF($B294="","",IF($AK294&lt;&gt;"",IF(AND(TODAY()&gt;=INDEX(입력_파견수련계획!$AB$4:$AB$803,$AK294),OR(NOT(ISNUMBER(INDEX(입력_파견수련계획!$AC$4:$AC$803,$AK294))),TODAY()&lt;=INDEX(입력_파견수련계획!$AC$4:$AC$803,$AK294))),"다기관",IF($AF294="","",INDEX(입력_파견수련계획!$T$4:$T$803,$AF294))),IF($AF294="","",INDEX(입력_파견수련계획!$T$4:$T$803,$AF294))))</f>
        <v/>
      </c>
      <c r="Q294" s="10">
        <f>IF($AF294="","",INDEX(입력_파견수련계획!$S$4:$S$803,$AF294))</f>
        <v/>
      </c>
      <c r="R294" s="10">
        <f>IF($AF294="","",INDEX(입력_파견수련계획!$U$4:$U$803,$AF294))</f>
        <v/>
      </c>
      <c r="S294" s="11">
        <f>IF($AF294="","",IF(INDEX(입력_파견수련계획!$H$4:$H$803,$AF294)="","",INDEX(입력_파견수련계획!$H$4:$H$803,$AF294)))</f>
        <v/>
      </c>
      <c r="T294" s="11">
        <f>IF($AF294="","",IF(INDEX(입력_파견수련계획!$I$4:$I$803,$AF294)="","",INDEX(입력_파견수련계획!$I$4:$I$803,$AF294)))</f>
        <v/>
      </c>
      <c r="U294" s="10">
        <f>IF($AF294="","",INDEX(입력_파견수련계획!$X$4:$X$803,$AF294))</f>
        <v/>
      </c>
      <c r="V294" s="17">
        <f>IF($AF294="","",INDEX(입력_파견수련계획!$V$4:$V$803,$AF294))</f>
        <v/>
      </c>
      <c r="W294" s="17">
        <f>IF(AND($U294="파견중",$T294&lt;&gt;""),$T294-TODAY(),"")</f>
        <v/>
      </c>
      <c r="X294" s="17">
        <f>IF(OR($B294="",TRIM($J294&amp;"")=""),"",SUMPRODUCT((입력_파견수련계획!$Q$4:$Q$803=TRIM($J294&amp;""))*입력_파견수련계획!$W$4:$W$803))</f>
        <v/>
      </c>
      <c r="Y294" s="10">
        <f>IF($B294="","",IF($AG294="","",IF(IF(TRIM($J294&amp;"")="",0,SUMPRODUCT((입력_파견수련계획!$Q$4:$Q$803=TRIM($J294&amp;""))*입력_파견수련계획!$AD$4:$AD$803))&gt;0,$AE294,IF(AND(N($X294)&lt;=0,$AQ294=""),$AG294,IF($AH294+$AI294=DAY(EOMONTH(출력_요약!$B$3,0)),IF(AND($AH294&gt;=출력_요약!$E$3,$AI294&lt;출력_요약!$E$3),"서울병원",IF(AND($AI294&gt;=출력_요약!$E$3,$AH294&lt;출력_요약!$E$3),"구리병원","⚠15일 판정불가(서울 "&amp;$AH294&amp;"일/구리 "&amp;$AI294&amp;"일)")),IF($AJ294="",$AE294,IF(INDEX(입력_파견수련계획!$T$4:$T$803,$AJ294)="통합수련",INDEX(입력_파견수련계획!$S$4:$S$803,$AJ294),$AE294)))))))</f>
        <v/>
      </c>
      <c r="Z294" s="20">
        <f>IF($B294="","",IF($AB294="","기본자료에 없는 사번",IF(COUNTIF($B$2:$B$401,$B294)&gt;1,"중복 사번",IF($AE294="","소속(입사장소) 입력",IF(IF(TRIM($J294&amp;"")="",0,SUMPRODUCT((입력_파견수련계획!$Q$4:$Q$803=TRIM($J294&amp;""))*(입력_파견수련계획!$AA$4:$AA$803&lt;&gt;"")))&gt;0,"파견수련계획 입력오류 확인",IF(LEFT($Y294,1)="⚠","서울·구리 15일 판정 불가(양쪽 모두 이상/미만)",IF(IF($AC294="",0,N(INDEX(입력_인턴근무계획!$T$3:$T$402,$AC294)))&gt;0,"인턴계획 입력오류 확인",IF(AND($AQ294&lt;&gt;"",$AG294&lt;&gt;"구리병원",IF(TRIM($J294&amp;"")="",0,SUMPRODUCT((입력_파견수련계획!$Q$4:$Q$803=TRIM($J294&amp;""))*(입력_파견수련계획!$S$4:$S$803="구리병원")*입력_파견수련계획!$W$4:$W$803))=0),"구리 근무자명단에만 있음(파견수련계획 확인)",IF(AND($AC294&lt;&gt;"",$U294&lt;&gt;"파견중",$N294&lt;&gt;$AE294),"인턴 타지역 근무: 파견 여부 확인","정상")))))))))</f>
        <v/>
      </c>
      <c r="AA294" s="5" t="n"/>
      <c r="AB294" s="10">
        <f>IF($B294="","",IFERROR(MATCH($B294,입력_기본자료!$B$2:$B$1001,0),IFERROR(MATCH($B294&amp;"",입력_기본자료!$B$2:$B$1001,0),IFERROR(MATCH(VALUE($B294),입력_기본자료!$B$2:$B$1001,0),""))))</f>
        <v/>
      </c>
      <c r="AC294" s="10">
        <f>IF($B294="","",IFERROR(MATCH($B294,입력_인턴근무계획!$D$3:$D$402,0),IFERROR(MATCH($B294&amp;"",입력_인턴근무계획!$D$3:$D$402,0),IFERROR(MATCH(VALUE($B294),입력_인턴근무계획!$D$3:$D$402,0),""))))</f>
        <v/>
      </c>
      <c r="AD294" s="10">
        <f>IF(OR($AC294="",출력_인턴현황!$G$3=""),"",INDEX(입력_인턴근무계획!$M$3:$R$402,$AC294,출력_인턴현황!$G$3)&amp;"")</f>
        <v/>
      </c>
      <c r="AE294" s="10">
        <f>IF($B294="","",IF($M294&lt;&gt;"",$M294,IF(IF($AQ294="",FALSE,INDEX(출력_구리근무자!$J$6:$J$305,$AQ294)="구리독자"),"구리병원",IF($AF294&lt;&gt;"",IF(LEFT(INDEX(입력_파견수련계획!$R$4:$R$803,$AF294),1)&lt;&gt;"⚠",INDEX(입력_파견수련계획!$R$4:$R$803,$AF294),IF($H294="","",IF(RIGHT($H294,2)="병원",$H294,$H294&amp;"병원"))),IF($H294="","",IF(RIGHT($H294,2)="병원",$H294,$H294&amp;"병원"))))))</f>
        <v/>
      </c>
      <c r="AF294" s="10">
        <f>IF(OR($B294="",TRIM($J294&amp;"")=""),"",IFERROR(MATCH(TRIM($J294&amp;"")&amp;"|파견중",입력_파견수련계획!$Y$4:$Y$803,0),IFERROR(MATCH(TRIM($J294&amp;"")&amp;"|파견예정",입력_파견수련계획!$Y$4:$Y$803,0),IFERROR(MATCH(TRIM($J294&amp;"")&amp;"|파견종료",입력_파견수련계획!$Y$4:$Y$803,0),""))))</f>
        <v/>
      </c>
      <c r="AG294" s="10">
        <f>IF($B294="","",IF(AND(IF(OR($AC294="",출력_인턴현황!$K$2=""),"",INDEX(입력_인턴근무계획!$M$3:$R$402,$AC294,출력_인턴현황!$K$2)&amp;"")&lt;&gt;"",LEFT(IF(OR($AC294="",출력_인턴현황!$K$2=""),"",INDEX(입력_인턴근무계획!$M$3:$R$402,$AC294,출력_인턴현황!$K$2)&amp;""),1)&lt;&gt;"⚠"),LEFT(IF(OR($AC294="",출력_인턴현황!$K$2=""),"",INDEX(입력_인턴근무계획!$M$3:$R$402,$AC294,출력_인턴현황!$K$2)&amp;""),FIND(" ",IF(OR($AC294="",출력_인턴현황!$K$2=""),"",INDEX(입력_인턴근무계획!$M$3:$R$402,$AC294,출력_인턴현황!$K$2)&amp;""))-1),$AE294))</f>
        <v/>
      </c>
      <c r="AH294" s="17">
        <f>IF($B294="","",IF($AQ294&lt;&gt;"",MAX(0,DAY(EOMONTH(출력_요약!$B$3,0))-N($AR294)),IF(TRIM($J294&amp;"")="",0,SUMPRODUCT((입력_파견수련계획!$Q$4:$Q$803=TRIM($J294&amp;""))*(입력_파견수련계획!$S$4:$S$803="서울병원")*입력_파견수련계획!$W$4:$W$803))+IF($AG294="서울병원",MAX(0,DAY(EOMONTH(출력_요약!$B$3,0))-N($X294)),0)))</f>
        <v/>
      </c>
      <c r="AI294" s="17">
        <f>IF($B294="","",IF($AQ294&lt;&gt;"",N($AR294),IF(TRIM($J294&amp;"")="",0,SUMPRODUCT((입력_파견수련계획!$Q$4:$Q$803=TRIM($J294&amp;""))*(입력_파견수련계획!$S$4:$S$803="구리병원")*입력_파견수련계획!$W$4:$W$803))+IF($AG294="구리병원",MAX(0,DAY(EOMONTH(출력_요약!$B$3,0))-N($X294)),0)))</f>
        <v/>
      </c>
      <c r="AJ294" s="10">
        <f>IF(OR($B294="",TRIM($J294&amp;"")=""),"",IFERROR(MATCH(TRIM($J294&amp;"")&amp;"|월",입력_파견수련계획!$Z$4:$Z$803,0),""))</f>
        <v/>
      </c>
      <c r="AK294" s="10">
        <f>IF(OR($B294="",TRIM($J294&amp;"")=""),"",IFERROR(MATCH(TRIM($J294&amp;"")&amp;"|다기관",입력_파견수련계획!$AE$4:$AE$803,0),""))</f>
        <v/>
      </c>
      <c r="AL294" s="10">
        <f>IF($AK294="","","다기관 "&amp;TEXT(INDEX(입력_파견수련계획!$AB$4:$AB$803,$AK294),"yyyy-mm-dd")&amp;"~"&amp;IF(ISNUMBER(INDEX(입력_파견수련계획!$AC$4:$AC$803,$AK294)),TEXT(INDEX(입력_파견수련계획!$AC$4:$AC$803,$AK294),"yyyy-mm-dd"),""))</f>
        <v/>
      </c>
      <c r="AM294" s="10">
        <f>IF($Y294="서울병원",COUNTIF($Y$2:$Y294,"서울병원"),"")</f>
        <v/>
      </c>
      <c r="AN294" s="10">
        <f>IF(LEFT($Y294,1)="⚠",COUNTIF($Y$2:$Y294,"⚠*"),"")</f>
        <v/>
      </c>
      <c r="AO294" s="10">
        <f>IF(OR($B294="",$Y294=""),"",IF(IF(TRIM($J294&amp;"")="",0,SUMPRODUCT((입력_파견수련계획!$Q$4:$Q$803=TRIM($J294&amp;""))*입력_파견수련계획!$AD$4:$AD$803))&gt;0,"다기관 기간 → 소속병원 지급",IF(AND(N($X294)&lt;=0,$AQ294=""),"파견 없음 → 그 달 근무병원 지급",IF($AH294+$AI294=DAY(EOMONTH(출력_요약!$B$3,0)),"서울 "&amp;$AH294&amp;"일 / 구리 "&amp;$AI294&amp;"일"&amp;IF($AQ294&lt;&gt;""," (구리 근무자명단 반영)","")&amp;" → 15일 이상 근무 병원 지급","타 병원 포함 → "&amp;IF($AJ294="","소속",INDEX(입력_파견수련계획!$T$4:$T$803,$AJ294))&amp;" 규칙"))))</f>
        <v/>
      </c>
      <c r="AP294" s="10">
        <f>IF($B294="","",$C294&amp;"|"&amp;$F294)</f>
        <v/>
      </c>
      <c r="AQ294" s="10">
        <f>IF($B294="","",IFERROR(MATCH(ROW()-1,출력_구리근무자!$K$6:$K$305,0),""))</f>
        <v/>
      </c>
      <c r="AR294" s="10">
        <f>IF($AQ294="","",INDEX(출력_구리근무자!$H$6:$H$305,$AQ294))</f>
        <v/>
      </c>
    </row>
    <row r="295">
      <c r="A295" s="10">
        <f>IF(B295="","",ROW()-1)</f>
        <v/>
      </c>
      <c r="B295" s="19" t="n"/>
      <c r="C295" s="10">
        <f>IF($AB295="","",IF(INDEX(입력_기본자료!$C$2:$C$1001,$AB295)="","",INDEX(입력_기본자료!$C$2:$C$1001,$AB295)))</f>
        <v/>
      </c>
      <c r="D295" s="10">
        <f>IF($AB295="","",IF(INDEX(입력_기본자료!$J$2:$J$1001,$AB295)="","",INDEX(입력_기본자료!$J$2:$J$1001,$AB295)))</f>
        <v/>
      </c>
      <c r="E295" s="11">
        <f>IF($AB295="","",IF(INDEX(입력_기본자료!$K$2:$K$1001,$AB295)="","",IF(NOT(ISNUMBER(INDEX(입력_기본자료!$K$2:$K$1001,$AB295))),INDEX(입력_기본자료!$K$2:$K$1001,$AB295),IF(INDEX(입력_기본자료!$K$2:$K$1001,$AB295)&lt;1000000,INDEX(입력_기본자료!$K$2:$K$1001,$AB295),IF(AND(INDEX(입력_기본자료!$K$2:$K$1001,$AB295)&gt;=10000101,INT(MOD(INDEX(입력_기본자료!$K$2:$K$1001,$AB295),10000)/100)&gt;=1,INT(MOD(INDEX(입력_기본자료!$K$2:$K$1001,$AB295),10000)/100)&lt;=12,MOD(INDEX(입력_기본자료!$K$2:$K$1001,$AB295),100)&gt;=1,MOD(INDEX(입력_기본자료!$K$2:$K$1001,$AB295),100)&lt;=31),DATE(INT(INDEX(입력_기본자료!$K$2:$K$1001,$AB295)/10000),INT(MOD(INDEX(입력_기본자료!$K$2:$K$1001,$AB295),10000)/100),MOD(INDEX(입력_기본자료!$K$2:$K$1001,$AB295),100)),INDEX(입력_기본자료!$K$2:$K$1001,$AB295)&amp;"")))))</f>
        <v/>
      </c>
      <c r="F295" s="10">
        <f>IF($AB295="","",IF(INDEX(입력_기본자료!$D$2:$D$1001,$AB295)="","",INDEX(입력_기본자료!$D$2:$D$1001,$AB295)))</f>
        <v/>
      </c>
      <c r="G295" s="10">
        <f>IF($AB295="","",IF(INDEX(입력_기본자료!$E$2:$E$1001,$AB295)="","",INDEX(입력_기본자료!$E$2:$E$1001,$AB295)))</f>
        <v/>
      </c>
      <c r="H295" s="10">
        <f>IF($AB295="","",IF(INDEX(입력_기본자료!$F$2:$F$1001,$AB295)="","",INDEX(입력_기본자료!$F$2:$F$1001,$AB295)))</f>
        <v/>
      </c>
      <c r="I295" s="11">
        <f>IF($AB295="","",IF(INDEX(입력_기본자료!$G$2:$G$1001,$AB295)="","",IF(NOT(ISNUMBER(INDEX(입력_기본자료!$G$2:$G$1001,$AB295))),INDEX(입력_기본자료!$G$2:$G$1001,$AB295),IF(INDEX(입력_기본자료!$G$2:$G$1001,$AB295)&lt;1000000,INDEX(입력_기본자료!$G$2:$G$1001,$AB295),IF(AND(INDEX(입력_기본자료!$G$2:$G$1001,$AB295)&gt;=10000101,INT(MOD(INDEX(입력_기본자료!$G$2:$G$1001,$AB295),10000)/100)&gt;=1,INT(MOD(INDEX(입력_기본자료!$G$2:$G$1001,$AB295),10000)/100)&lt;=12,MOD(INDEX(입력_기본자료!$G$2:$G$1001,$AB295),100)&gt;=1,MOD(INDEX(입력_기본자료!$G$2:$G$1001,$AB295),100)&lt;=31),DATE(INT(INDEX(입력_기본자료!$G$2:$G$1001,$AB295)/10000),INT(MOD(INDEX(입력_기본자료!$G$2:$G$1001,$AB295),10000)/100),MOD(INDEX(입력_기본자료!$G$2:$G$1001,$AB295),100)),INDEX(입력_기본자료!$G$2:$G$1001,$AB295)&amp;"")))))</f>
        <v/>
      </c>
      <c r="J295" s="10">
        <f>IF($AB295="","",IF(INDEX(입력_기본자료!$H$2:$H$1001,$AB295)="","",INDEX(입력_기본자료!$H$2:$H$1001,$AB295)))</f>
        <v/>
      </c>
      <c r="K295" s="10">
        <f>IF($AB295="","",IF(INDEX(입력_기본자료!$I$2:$I$1001,$AB295)="","",INDEX(입력_기본자료!$I$2:$I$1001,$AB295)))</f>
        <v/>
      </c>
      <c r="L295" s="10">
        <f>IF($AB295="","",IF(INDEX(입력_기본자료!$A$2:$A$1001,$AB295)="","",INDEX(입력_기본자료!$A$2:$A$1001,$AB295)))</f>
        <v/>
      </c>
      <c r="M295" s="15" t="n"/>
      <c r="N295" s="10">
        <f>IF($B295="","",IF(AND($U295="파견중",$Q295&lt;&gt;""),$Q295,IF(AND($AD295&lt;&gt;"",LEFT($AD295,1)&lt;&gt;"⚠"),LEFT($AD295,FIND(" ",$AD295)-1),IF($H295="","",IF(RIGHT($H295,2)="병원",$H295,$H295&amp;"병원")))))</f>
        <v/>
      </c>
      <c r="O295" s="10">
        <f>IF($B295="","",IF(AND($U295="파견중",$Q295&lt;&gt;""),IF($R295&lt;&gt;"",$R295,"파견과 미입력"),IF(AND($AD295&lt;&gt;"",LEFT($AD295,1)&lt;&gt;"⚠"),MID($AD295,FIND(" ",$AD295)+1,60),IF($F295="","",IF($F295="인턴","수련교육부(인턴)",$F295)))))</f>
        <v/>
      </c>
      <c r="P295" s="10">
        <f>IF($B295="","",IF($AK295&lt;&gt;"",IF(AND(TODAY()&gt;=INDEX(입력_파견수련계획!$AB$4:$AB$803,$AK295),OR(NOT(ISNUMBER(INDEX(입력_파견수련계획!$AC$4:$AC$803,$AK295))),TODAY()&lt;=INDEX(입력_파견수련계획!$AC$4:$AC$803,$AK295))),"다기관",IF($AF295="","",INDEX(입력_파견수련계획!$T$4:$T$803,$AF295))),IF($AF295="","",INDEX(입력_파견수련계획!$T$4:$T$803,$AF295))))</f>
        <v/>
      </c>
      <c r="Q295" s="10">
        <f>IF($AF295="","",INDEX(입력_파견수련계획!$S$4:$S$803,$AF295))</f>
        <v/>
      </c>
      <c r="R295" s="10">
        <f>IF($AF295="","",INDEX(입력_파견수련계획!$U$4:$U$803,$AF295))</f>
        <v/>
      </c>
      <c r="S295" s="11">
        <f>IF($AF295="","",IF(INDEX(입력_파견수련계획!$H$4:$H$803,$AF295)="","",INDEX(입력_파견수련계획!$H$4:$H$803,$AF295)))</f>
        <v/>
      </c>
      <c r="T295" s="11">
        <f>IF($AF295="","",IF(INDEX(입력_파견수련계획!$I$4:$I$803,$AF295)="","",INDEX(입력_파견수련계획!$I$4:$I$803,$AF295)))</f>
        <v/>
      </c>
      <c r="U295" s="10">
        <f>IF($AF295="","",INDEX(입력_파견수련계획!$X$4:$X$803,$AF295))</f>
        <v/>
      </c>
      <c r="V295" s="17">
        <f>IF($AF295="","",INDEX(입력_파견수련계획!$V$4:$V$803,$AF295))</f>
        <v/>
      </c>
      <c r="W295" s="17">
        <f>IF(AND($U295="파견중",$T295&lt;&gt;""),$T295-TODAY(),"")</f>
        <v/>
      </c>
      <c r="X295" s="17">
        <f>IF(OR($B295="",TRIM($J295&amp;"")=""),"",SUMPRODUCT((입력_파견수련계획!$Q$4:$Q$803=TRIM($J295&amp;""))*입력_파견수련계획!$W$4:$W$803))</f>
        <v/>
      </c>
      <c r="Y295" s="10">
        <f>IF($B295="","",IF($AG295="","",IF(IF(TRIM($J295&amp;"")="",0,SUMPRODUCT((입력_파견수련계획!$Q$4:$Q$803=TRIM($J295&amp;""))*입력_파견수련계획!$AD$4:$AD$803))&gt;0,$AE295,IF(AND(N($X295)&lt;=0,$AQ295=""),$AG295,IF($AH295+$AI295=DAY(EOMONTH(출력_요약!$B$3,0)),IF(AND($AH295&gt;=출력_요약!$E$3,$AI295&lt;출력_요약!$E$3),"서울병원",IF(AND($AI295&gt;=출력_요약!$E$3,$AH295&lt;출력_요약!$E$3),"구리병원","⚠15일 판정불가(서울 "&amp;$AH295&amp;"일/구리 "&amp;$AI295&amp;"일)")),IF($AJ295="",$AE295,IF(INDEX(입력_파견수련계획!$T$4:$T$803,$AJ295)="통합수련",INDEX(입력_파견수련계획!$S$4:$S$803,$AJ295),$AE295)))))))</f>
        <v/>
      </c>
      <c r="Z295" s="20">
        <f>IF($B295="","",IF($AB295="","기본자료에 없는 사번",IF(COUNTIF($B$2:$B$401,$B295)&gt;1,"중복 사번",IF($AE295="","소속(입사장소) 입력",IF(IF(TRIM($J295&amp;"")="",0,SUMPRODUCT((입력_파견수련계획!$Q$4:$Q$803=TRIM($J295&amp;""))*(입력_파견수련계획!$AA$4:$AA$803&lt;&gt;"")))&gt;0,"파견수련계획 입력오류 확인",IF(LEFT($Y295,1)="⚠","서울·구리 15일 판정 불가(양쪽 모두 이상/미만)",IF(IF($AC295="",0,N(INDEX(입력_인턴근무계획!$T$3:$T$402,$AC295)))&gt;0,"인턴계획 입력오류 확인",IF(AND($AQ295&lt;&gt;"",$AG295&lt;&gt;"구리병원",IF(TRIM($J295&amp;"")="",0,SUMPRODUCT((입력_파견수련계획!$Q$4:$Q$803=TRIM($J295&amp;""))*(입력_파견수련계획!$S$4:$S$803="구리병원")*입력_파견수련계획!$W$4:$W$803))=0),"구리 근무자명단에만 있음(파견수련계획 확인)",IF(AND($AC295&lt;&gt;"",$U295&lt;&gt;"파견중",$N295&lt;&gt;$AE295),"인턴 타지역 근무: 파견 여부 확인","정상")))))))))</f>
        <v/>
      </c>
      <c r="AA295" s="5" t="n"/>
      <c r="AB295" s="10">
        <f>IF($B295="","",IFERROR(MATCH($B295,입력_기본자료!$B$2:$B$1001,0),IFERROR(MATCH($B295&amp;"",입력_기본자료!$B$2:$B$1001,0),IFERROR(MATCH(VALUE($B295),입력_기본자료!$B$2:$B$1001,0),""))))</f>
        <v/>
      </c>
      <c r="AC295" s="10">
        <f>IF($B295="","",IFERROR(MATCH($B295,입력_인턴근무계획!$D$3:$D$402,0),IFERROR(MATCH($B295&amp;"",입력_인턴근무계획!$D$3:$D$402,0),IFERROR(MATCH(VALUE($B295),입력_인턴근무계획!$D$3:$D$402,0),""))))</f>
        <v/>
      </c>
      <c r="AD295" s="10">
        <f>IF(OR($AC295="",출력_인턴현황!$G$3=""),"",INDEX(입력_인턴근무계획!$M$3:$R$402,$AC295,출력_인턴현황!$G$3)&amp;"")</f>
        <v/>
      </c>
      <c r="AE295" s="10">
        <f>IF($B295="","",IF($M295&lt;&gt;"",$M295,IF(IF($AQ295="",FALSE,INDEX(출력_구리근무자!$J$6:$J$305,$AQ295)="구리독자"),"구리병원",IF($AF295&lt;&gt;"",IF(LEFT(INDEX(입력_파견수련계획!$R$4:$R$803,$AF295),1)&lt;&gt;"⚠",INDEX(입력_파견수련계획!$R$4:$R$803,$AF295),IF($H295="","",IF(RIGHT($H295,2)="병원",$H295,$H295&amp;"병원"))),IF($H295="","",IF(RIGHT($H295,2)="병원",$H295,$H295&amp;"병원"))))))</f>
        <v/>
      </c>
      <c r="AF295" s="10">
        <f>IF(OR($B295="",TRIM($J295&amp;"")=""),"",IFERROR(MATCH(TRIM($J295&amp;"")&amp;"|파견중",입력_파견수련계획!$Y$4:$Y$803,0),IFERROR(MATCH(TRIM($J295&amp;"")&amp;"|파견예정",입력_파견수련계획!$Y$4:$Y$803,0),IFERROR(MATCH(TRIM($J295&amp;"")&amp;"|파견종료",입력_파견수련계획!$Y$4:$Y$803,0),""))))</f>
        <v/>
      </c>
      <c r="AG295" s="10">
        <f>IF($B295="","",IF(AND(IF(OR($AC295="",출력_인턴현황!$K$2=""),"",INDEX(입력_인턴근무계획!$M$3:$R$402,$AC295,출력_인턴현황!$K$2)&amp;"")&lt;&gt;"",LEFT(IF(OR($AC295="",출력_인턴현황!$K$2=""),"",INDEX(입력_인턴근무계획!$M$3:$R$402,$AC295,출력_인턴현황!$K$2)&amp;""),1)&lt;&gt;"⚠"),LEFT(IF(OR($AC295="",출력_인턴현황!$K$2=""),"",INDEX(입력_인턴근무계획!$M$3:$R$402,$AC295,출력_인턴현황!$K$2)&amp;""),FIND(" ",IF(OR($AC295="",출력_인턴현황!$K$2=""),"",INDEX(입력_인턴근무계획!$M$3:$R$402,$AC295,출력_인턴현황!$K$2)&amp;""))-1),$AE295))</f>
        <v/>
      </c>
      <c r="AH295" s="17">
        <f>IF($B295="","",IF($AQ295&lt;&gt;"",MAX(0,DAY(EOMONTH(출력_요약!$B$3,0))-N($AR295)),IF(TRIM($J295&amp;"")="",0,SUMPRODUCT((입력_파견수련계획!$Q$4:$Q$803=TRIM($J295&amp;""))*(입력_파견수련계획!$S$4:$S$803="서울병원")*입력_파견수련계획!$W$4:$W$803))+IF($AG295="서울병원",MAX(0,DAY(EOMONTH(출력_요약!$B$3,0))-N($X295)),0)))</f>
        <v/>
      </c>
      <c r="AI295" s="17">
        <f>IF($B295="","",IF($AQ295&lt;&gt;"",N($AR295),IF(TRIM($J295&amp;"")="",0,SUMPRODUCT((입력_파견수련계획!$Q$4:$Q$803=TRIM($J295&amp;""))*(입력_파견수련계획!$S$4:$S$803="구리병원")*입력_파견수련계획!$W$4:$W$803))+IF($AG295="구리병원",MAX(0,DAY(EOMONTH(출력_요약!$B$3,0))-N($X295)),0)))</f>
        <v/>
      </c>
      <c r="AJ295" s="10">
        <f>IF(OR($B295="",TRIM($J295&amp;"")=""),"",IFERROR(MATCH(TRIM($J295&amp;"")&amp;"|월",입력_파견수련계획!$Z$4:$Z$803,0),""))</f>
        <v/>
      </c>
      <c r="AK295" s="10">
        <f>IF(OR($B295="",TRIM($J295&amp;"")=""),"",IFERROR(MATCH(TRIM($J295&amp;"")&amp;"|다기관",입력_파견수련계획!$AE$4:$AE$803,0),""))</f>
        <v/>
      </c>
      <c r="AL295" s="10">
        <f>IF($AK295="","","다기관 "&amp;TEXT(INDEX(입력_파견수련계획!$AB$4:$AB$803,$AK295),"yyyy-mm-dd")&amp;"~"&amp;IF(ISNUMBER(INDEX(입력_파견수련계획!$AC$4:$AC$803,$AK295)),TEXT(INDEX(입력_파견수련계획!$AC$4:$AC$803,$AK295),"yyyy-mm-dd"),""))</f>
        <v/>
      </c>
      <c r="AM295" s="10">
        <f>IF($Y295="서울병원",COUNTIF($Y$2:$Y295,"서울병원"),"")</f>
        <v/>
      </c>
      <c r="AN295" s="10">
        <f>IF(LEFT($Y295,1)="⚠",COUNTIF($Y$2:$Y295,"⚠*"),"")</f>
        <v/>
      </c>
      <c r="AO295" s="10">
        <f>IF(OR($B295="",$Y295=""),"",IF(IF(TRIM($J295&amp;"")="",0,SUMPRODUCT((입력_파견수련계획!$Q$4:$Q$803=TRIM($J295&amp;""))*입력_파견수련계획!$AD$4:$AD$803))&gt;0,"다기관 기간 → 소속병원 지급",IF(AND(N($X295)&lt;=0,$AQ295=""),"파견 없음 → 그 달 근무병원 지급",IF($AH295+$AI295=DAY(EOMONTH(출력_요약!$B$3,0)),"서울 "&amp;$AH295&amp;"일 / 구리 "&amp;$AI295&amp;"일"&amp;IF($AQ295&lt;&gt;""," (구리 근무자명단 반영)","")&amp;" → 15일 이상 근무 병원 지급","타 병원 포함 → "&amp;IF($AJ295="","소속",INDEX(입력_파견수련계획!$T$4:$T$803,$AJ295))&amp;" 규칙"))))</f>
        <v/>
      </c>
      <c r="AP295" s="10">
        <f>IF($B295="","",$C295&amp;"|"&amp;$F295)</f>
        <v/>
      </c>
      <c r="AQ295" s="10">
        <f>IF($B295="","",IFERROR(MATCH(ROW()-1,출력_구리근무자!$K$6:$K$305,0),""))</f>
        <v/>
      </c>
      <c r="AR295" s="10">
        <f>IF($AQ295="","",INDEX(출력_구리근무자!$H$6:$H$305,$AQ295))</f>
        <v/>
      </c>
    </row>
    <row r="296">
      <c r="A296" s="10">
        <f>IF(B296="","",ROW()-1)</f>
        <v/>
      </c>
      <c r="B296" s="19" t="n"/>
      <c r="C296" s="10">
        <f>IF($AB296="","",IF(INDEX(입력_기본자료!$C$2:$C$1001,$AB296)="","",INDEX(입력_기본자료!$C$2:$C$1001,$AB296)))</f>
        <v/>
      </c>
      <c r="D296" s="10">
        <f>IF($AB296="","",IF(INDEX(입력_기본자료!$J$2:$J$1001,$AB296)="","",INDEX(입력_기본자료!$J$2:$J$1001,$AB296)))</f>
        <v/>
      </c>
      <c r="E296" s="11">
        <f>IF($AB296="","",IF(INDEX(입력_기본자료!$K$2:$K$1001,$AB296)="","",IF(NOT(ISNUMBER(INDEX(입력_기본자료!$K$2:$K$1001,$AB296))),INDEX(입력_기본자료!$K$2:$K$1001,$AB296),IF(INDEX(입력_기본자료!$K$2:$K$1001,$AB296)&lt;1000000,INDEX(입력_기본자료!$K$2:$K$1001,$AB296),IF(AND(INDEX(입력_기본자료!$K$2:$K$1001,$AB296)&gt;=10000101,INT(MOD(INDEX(입력_기본자료!$K$2:$K$1001,$AB296),10000)/100)&gt;=1,INT(MOD(INDEX(입력_기본자료!$K$2:$K$1001,$AB296),10000)/100)&lt;=12,MOD(INDEX(입력_기본자료!$K$2:$K$1001,$AB296),100)&gt;=1,MOD(INDEX(입력_기본자료!$K$2:$K$1001,$AB296),100)&lt;=31),DATE(INT(INDEX(입력_기본자료!$K$2:$K$1001,$AB296)/10000),INT(MOD(INDEX(입력_기본자료!$K$2:$K$1001,$AB296),10000)/100),MOD(INDEX(입력_기본자료!$K$2:$K$1001,$AB296),100)),INDEX(입력_기본자료!$K$2:$K$1001,$AB296)&amp;"")))))</f>
        <v/>
      </c>
      <c r="F296" s="10">
        <f>IF($AB296="","",IF(INDEX(입력_기본자료!$D$2:$D$1001,$AB296)="","",INDEX(입력_기본자료!$D$2:$D$1001,$AB296)))</f>
        <v/>
      </c>
      <c r="G296" s="10">
        <f>IF($AB296="","",IF(INDEX(입력_기본자료!$E$2:$E$1001,$AB296)="","",INDEX(입력_기본자료!$E$2:$E$1001,$AB296)))</f>
        <v/>
      </c>
      <c r="H296" s="10">
        <f>IF($AB296="","",IF(INDEX(입력_기본자료!$F$2:$F$1001,$AB296)="","",INDEX(입력_기본자료!$F$2:$F$1001,$AB296)))</f>
        <v/>
      </c>
      <c r="I296" s="11">
        <f>IF($AB296="","",IF(INDEX(입력_기본자료!$G$2:$G$1001,$AB296)="","",IF(NOT(ISNUMBER(INDEX(입력_기본자료!$G$2:$G$1001,$AB296))),INDEX(입력_기본자료!$G$2:$G$1001,$AB296),IF(INDEX(입력_기본자료!$G$2:$G$1001,$AB296)&lt;1000000,INDEX(입력_기본자료!$G$2:$G$1001,$AB296),IF(AND(INDEX(입력_기본자료!$G$2:$G$1001,$AB296)&gt;=10000101,INT(MOD(INDEX(입력_기본자료!$G$2:$G$1001,$AB296),10000)/100)&gt;=1,INT(MOD(INDEX(입력_기본자료!$G$2:$G$1001,$AB296),10000)/100)&lt;=12,MOD(INDEX(입력_기본자료!$G$2:$G$1001,$AB296),100)&gt;=1,MOD(INDEX(입력_기본자료!$G$2:$G$1001,$AB296),100)&lt;=31),DATE(INT(INDEX(입력_기본자료!$G$2:$G$1001,$AB296)/10000),INT(MOD(INDEX(입력_기본자료!$G$2:$G$1001,$AB296),10000)/100),MOD(INDEX(입력_기본자료!$G$2:$G$1001,$AB296),100)),INDEX(입력_기본자료!$G$2:$G$1001,$AB296)&amp;"")))))</f>
        <v/>
      </c>
      <c r="J296" s="10">
        <f>IF($AB296="","",IF(INDEX(입력_기본자료!$H$2:$H$1001,$AB296)="","",INDEX(입력_기본자료!$H$2:$H$1001,$AB296)))</f>
        <v/>
      </c>
      <c r="K296" s="10">
        <f>IF($AB296="","",IF(INDEX(입력_기본자료!$I$2:$I$1001,$AB296)="","",INDEX(입력_기본자료!$I$2:$I$1001,$AB296)))</f>
        <v/>
      </c>
      <c r="L296" s="10">
        <f>IF($AB296="","",IF(INDEX(입력_기본자료!$A$2:$A$1001,$AB296)="","",INDEX(입력_기본자료!$A$2:$A$1001,$AB296)))</f>
        <v/>
      </c>
      <c r="M296" s="15" t="n"/>
      <c r="N296" s="10">
        <f>IF($B296="","",IF(AND($U296="파견중",$Q296&lt;&gt;""),$Q296,IF(AND($AD296&lt;&gt;"",LEFT($AD296,1)&lt;&gt;"⚠"),LEFT($AD296,FIND(" ",$AD296)-1),IF($H296="","",IF(RIGHT($H296,2)="병원",$H296,$H296&amp;"병원")))))</f>
        <v/>
      </c>
      <c r="O296" s="10">
        <f>IF($B296="","",IF(AND($U296="파견중",$Q296&lt;&gt;""),IF($R296&lt;&gt;"",$R296,"파견과 미입력"),IF(AND($AD296&lt;&gt;"",LEFT($AD296,1)&lt;&gt;"⚠"),MID($AD296,FIND(" ",$AD296)+1,60),IF($F296="","",IF($F296="인턴","수련교육부(인턴)",$F296)))))</f>
        <v/>
      </c>
      <c r="P296" s="10">
        <f>IF($B296="","",IF($AK296&lt;&gt;"",IF(AND(TODAY()&gt;=INDEX(입력_파견수련계획!$AB$4:$AB$803,$AK296),OR(NOT(ISNUMBER(INDEX(입력_파견수련계획!$AC$4:$AC$803,$AK296))),TODAY()&lt;=INDEX(입력_파견수련계획!$AC$4:$AC$803,$AK296))),"다기관",IF($AF296="","",INDEX(입력_파견수련계획!$T$4:$T$803,$AF296))),IF($AF296="","",INDEX(입력_파견수련계획!$T$4:$T$803,$AF296))))</f>
        <v/>
      </c>
      <c r="Q296" s="10">
        <f>IF($AF296="","",INDEX(입력_파견수련계획!$S$4:$S$803,$AF296))</f>
        <v/>
      </c>
      <c r="R296" s="10">
        <f>IF($AF296="","",INDEX(입력_파견수련계획!$U$4:$U$803,$AF296))</f>
        <v/>
      </c>
      <c r="S296" s="11">
        <f>IF($AF296="","",IF(INDEX(입력_파견수련계획!$H$4:$H$803,$AF296)="","",INDEX(입력_파견수련계획!$H$4:$H$803,$AF296)))</f>
        <v/>
      </c>
      <c r="T296" s="11">
        <f>IF($AF296="","",IF(INDEX(입력_파견수련계획!$I$4:$I$803,$AF296)="","",INDEX(입력_파견수련계획!$I$4:$I$803,$AF296)))</f>
        <v/>
      </c>
      <c r="U296" s="10">
        <f>IF($AF296="","",INDEX(입력_파견수련계획!$X$4:$X$803,$AF296))</f>
        <v/>
      </c>
      <c r="V296" s="17">
        <f>IF($AF296="","",INDEX(입력_파견수련계획!$V$4:$V$803,$AF296))</f>
        <v/>
      </c>
      <c r="W296" s="17">
        <f>IF(AND($U296="파견중",$T296&lt;&gt;""),$T296-TODAY(),"")</f>
        <v/>
      </c>
      <c r="X296" s="17">
        <f>IF(OR($B296="",TRIM($J296&amp;"")=""),"",SUMPRODUCT((입력_파견수련계획!$Q$4:$Q$803=TRIM($J296&amp;""))*입력_파견수련계획!$W$4:$W$803))</f>
        <v/>
      </c>
      <c r="Y296" s="10">
        <f>IF($B296="","",IF($AG296="","",IF(IF(TRIM($J296&amp;"")="",0,SUMPRODUCT((입력_파견수련계획!$Q$4:$Q$803=TRIM($J296&amp;""))*입력_파견수련계획!$AD$4:$AD$803))&gt;0,$AE296,IF(AND(N($X296)&lt;=0,$AQ296=""),$AG296,IF($AH296+$AI296=DAY(EOMONTH(출력_요약!$B$3,0)),IF(AND($AH296&gt;=출력_요약!$E$3,$AI296&lt;출력_요약!$E$3),"서울병원",IF(AND($AI296&gt;=출력_요약!$E$3,$AH296&lt;출력_요약!$E$3),"구리병원","⚠15일 판정불가(서울 "&amp;$AH296&amp;"일/구리 "&amp;$AI296&amp;"일)")),IF($AJ296="",$AE296,IF(INDEX(입력_파견수련계획!$T$4:$T$803,$AJ296)="통합수련",INDEX(입력_파견수련계획!$S$4:$S$803,$AJ296),$AE296)))))))</f>
        <v/>
      </c>
      <c r="Z296" s="20">
        <f>IF($B296="","",IF($AB296="","기본자료에 없는 사번",IF(COUNTIF($B$2:$B$401,$B296)&gt;1,"중복 사번",IF($AE296="","소속(입사장소) 입력",IF(IF(TRIM($J296&amp;"")="",0,SUMPRODUCT((입력_파견수련계획!$Q$4:$Q$803=TRIM($J296&amp;""))*(입력_파견수련계획!$AA$4:$AA$803&lt;&gt;"")))&gt;0,"파견수련계획 입력오류 확인",IF(LEFT($Y296,1)="⚠","서울·구리 15일 판정 불가(양쪽 모두 이상/미만)",IF(IF($AC296="",0,N(INDEX(입력_인턴근무계획!$T$3:$T$402,$AC296)))&gt;0,"인턴계획 입력오류 확인",IF(AND($AQ296&lt;&gt;"",$AG296&lt;&gt;"구리병원",IF(TRIM($J296&amp;"")="",0,SUMPRODUCT((입력_파견수련계획!$Q$4:$Q$803=TRIM($J296&amp;""))*(입력_파견수련계획!$S$4:$S$803="구리병원")*입력_파견수련계획!$W$4:$W$803))=0),"구리 근무자명단에만 있음(파견수련계획 확인)",IF(AND($AC296&lt;&gt;"",$U296&lt;&gt;"파견중",$N296&lt;&gt;$AE296),"인턴 타지역 근무: 파견 여부 확인","정상")))))))))</f>
        <v/>
      </c>
      <c r="AA296" s="5" t="n"/>
      <c r="AB296" s="10">
        <f>IF($B296="","",IFERROR(MATCH($B296,입력_기본자료!$B$2:$B$1001,0),IFERROR(MATCH($B296&amp;"",입력_기본자료!$B$2:$B$1001,0),IFERROR(MATCH(VALUE($B296),입력_기본자료!$B$2:$B$1001,0),""))))</f>
        <v/>
      </c>
      <c r="AC296" s="10">
        <f>IF($B296="","",IFERROR(MATCH($B296,입력_인턴근무계획!$D$3:$D$402,0),IFERROR(MATCH($B296&amp;"",입력_인턴근무계획!$D$3:$D$402,0),IFERROR(MATCH(VALUE($B296),입력_인턴근무계획!$D$3:$D$402,0),""))))</f>
        <v/>
      </c>
      <c r="AD296" s="10">
        <f>IF(OR($AC296="",출력_인턴현황!$G$3=""),"",INDEX(입력_인턴근무계획!$M$3:$R$402,$AC296,출력_인턴현황!$G$3)&amp;"")</f>
        <v/>
      </c>
      <c r="AE296" s="10">
        <f>IF($B296="","",IF($M296&lt;&gt;"",$M296,IF(IF($AQ296="",FALSE,INDEX(출력_구리근무자!$J$6:$J$305,$AQ296)="구리독자"),"구리병원",IF($AF296&lt;&gt;"",IF(LEFT(INDEX(입력_파견수련계획!$R$4:$R$803,$AF296),1)&lt;&gt;"⚠",INDEX(입력_파견수련계획!$R$4:$R$803,$AF296),IF($H296="","",IF(RIGHT($H296,2)="병원",$H296,$H296&amp;"병원"))),IF($H296="","",IF(RIGHT($H296,2)="병원",$H296,$H296&amp;"병원"))))))</f>
        <v/>
      </c>
      <c r="AF296" s="10">
        <f>IF(OR($B296="",TRIM($J296&amp;"")=""),"",IFERROR(MATCH(TRIM($J296&amp;"")&amp;"|파견중",입력_파견수련계획!$Y$4:$Y$803,0),IFERROR(MATCH(TRIM($J296&amp;"")&amp;"|파견예정",입력_파견수련계획!$Y$4:$Y$803,0),IFERROR(MATCH(TRIM($J296&amp;"")&amp;"|파견종료",입력_파견수련계획!$Y$4:$Y$803,0),""))))</f>
        <v/>
      </c>
      <c r="AG296" s="10">
        <f>IF($B296="","",IF(AND(IF(OR($AC296="",출력_인턴현황!$K$2=""),"",INDEX(입력_인턴근무계획!$M$3:$R$402,$AC296,출력_인턴현황!$K$2)&amp;"")&lt;&gt;"",LEFT(IF(OR($AC296="",출력_인턴현황!$K$2=""),"",INDEX(입력_인턴근무계획!$M$3:$R$402,$AC296,출력_인턴현황!$K$2)&amp;""),1)&lt;&gt;"⚠"),LEFT(IF(OR($AC296="",출력_인턴현황!$K$2=""),"",INDEX(입력_인턴근무계획!$M$3:$R$402,$AC296,출력_인턴현황!$K$2)&amp;""),FIND(" ",IF(OR($AC296="",출력_인턴현황!$K$2=""),"",INDEX(입력_인턴근무계획!$M$3:$R$402,$AC296,출력_인턴현황!$K$2)&amp;""))-1),$AE296))</f>
        <v/>
      </c>
      <c r="AH296" s="17">
        <f>IF($B296="","",IF($AQ296&lt;&gt;"",MAX(0,DAY(EOMONTH(출력_요약!$B$3,0))-N($AR296)),IF(TRIM($J296&amp;"")="",0,SUMPRODUCT((입력_파견수련계획!$Q$4:$Q$803=TRIM($J296&amp;""))*(입력_파견수련계획!$S$4:$S$803="서울병원")*입력_파견수련계획!$W$4:$W$803))+IF($AG296="서울병원",MAX(0,DAY(EOMONTH(출력_요약!$B$3,0))-N($X296)),0)))</f>
        <v/>
      </c>
      <c r="AI296" s="17">
        <f>IF($B296="","",IF($AQ296&lt;&gt;"",N($AR296),IF(TRIM($J296&amp;"")="",0,SUMPRODUCT((입력_파견수련계획!$Q$4:$Q$803=TRIM($J296&amp;""))*(입력_파견수련계획!$S$4:$S$803="구리병원")*입력_파견수련계획!$W$4:$W$803))+IF($AG296="구리병원",MAX(0,DAY(EOMONTH(출력_요약!$B$3,0))-N($X296)),0)))</f>
        <v/>
      </c>
      <c r="AJ296" s="10">
        <f>IF(OR($B296="",TRIM($J296&amp;"")=""),"",IFERROR(MATCH(TRIM($J296&amp;"")&amp;"|월",입력_파견수련계획!$Z$4:$Z$803,0),""))</f>
        <v/>
      </c>
      <c r="AK296" s="10">
        <f>IF(OR($B296="",TRIM($J296&amp;"")=""),"",IFERROR(MATCH(TRIM($J296&amp;"")&amp;"|다기관",입력_파견수련계획!$AE$4:$AE$803,0),""))</f>
        <v/>
      </c>
      <c r="AL296" s="10">
        <f>IF($AK296="","","다기관 "&amp;TEXT(INDEX(입력_파견수련계획!$AB$4:$AB$803,$AK296),"yyyy-mm-dd")&amp;"~"&amp;IF(ISNUMBER(INDEX(입력_파견수련계획!$AC$4:$AC$803,$AK296)),TEXT(INDEX(입력_파견수련계획!$AC$4:$AC$803,$AK296),"yyyy-mm-dd"),""))</f>
        <v/>
      </c>
      <c r="AM296" s="10">
        <f>IF($Y296="서울병원",COUNTIF($Y$2:$Y296,"서울병원"),"")</f>
        <v/>
      </c>
      <c r="AN296" s="10">
        <f>IF(LEFT($Y296,1)="⚠",COUNTIF($Y$2:$Y296,"⚠*"),"")</f>
        <v/>
      </c>
      <c r="AO296" s="10">
        <f>IF(OR($B296="",$Y296=""),"",IF(IF(TRIM($J296&amp;"")="",0,SUMPRODUCT((입력_파견수련계획!$Q$4:$Q$803=TRIM($J296&amp;""))*입력_파견수련계획!$AD$4:$AD$803))&gt;0,"다기관 기간 → 소속병원 지급",IF(AND(N($X296)&lt;=0,$AQ296=""),"파견 없음 → 그 달 근무병원 지급",IF($AH296+$AI296=DAY(EOMONTH(출력_요약!$B$3,0)),"서울 "&amp;$AH296&amp;"일 / 구리 "&amp;$AI296&amp;"일"&amp;IF($AQ296&lt;&gt;""," (구리 근무자명단 반영)","")&amp;" → 15일 이상 근무 병원 지급","타 병원 포함 → "&amp;IF($AJ296="","소속",INDEX(입력_파견수련계획!$T$4:$T$803,$AJ296))&amp;" 규칙"))))</f>
        <v/>
      </c>
      <c r="AP296" s="10">
        <f>IF($B296="","",$C296&amp;"|"&amp;$F296)</f>
        <v/>
      </c>
      <c r="AQ296" s="10">
        <f>IF($B296="","",IFERROR(MATCH(ROW()-1,출력_구리근무자!$K$6:$K$305,0),""))</f>
        <v/>
      </c>
      <c r="AR296" s="10">
        <f>IF($AQ296="","",INDEX(출력_구리근무자!$H$6:$H$305,$AQ296))</f>
        <v/>
      </c>
    </row>
    <row r="297">
      <c r="A297" s="10">
        <f>IF(B297="","",ROW()-1)</f>
        <v/>
      </c>
      <c r="B297" s="19" t="n"/>
      <c r="C297" s="10">
        <f>IF($AB297="","",IF(INDEX(입력_기본자료!$C$2:$C$1001,$AB297)="","",INDEX(입력_기본자료!$C$2:$C$1001,$AB297)))</f>
        <v/>
      </c>
      <c r="D297" s="10">
        <f>IF($AB297="","",IF(INDEX(입력_기본자료!$J$2:$J$1001,$AB297)="","",INDEX(입력_기본자료!$J$2:$J$1001,$AB297)))</f>
        <v/>
      </c>
      <c r="E297" s="11">
        <f>IF($AB297="","",IF(INDEX(입력_기본자료!$K$2:$K$1001,$AB297)="","",IF(NOT(ISNUMBER(INDEX(입력_기본자료!$K$2:$K$1001,$AB297))),INDEX(입력_기본자료!$K$2:$K$1001,$AB297),IF(INDEX(입력_기본자료!$K$2:$K$1001,$AB297)&lt;1000000,INDEX(입력_기본자료!$K$2:$K$1001,$AB297),IF(AND(INDEX(입력_기본자료!$K$2:$K$1001,$AB297)&gt;=10000101,INT(MOD(INDEX(입력_기본자료!$K$2:$K$1001,$AB297),10000)/100)&gt;=1,INT(MOD(INDEX(입력_기본자료!$K$2:$K$1001,$AB297),10000)/100)&lt;=12,MOD(INDEX(입력_기본자료!$K$2:$K$1001,$AB297),100)&gt;=1,MOD(INDEX(입력_기본자료!$K$2:$K$1001,$AB297),100)&lt;=31),DATE(INT(INDEX(입력_기본자료!$K$2:$K$1001,$AB297)/10000),INT(MOD(INDEX(입력_기본자료!$K$2:$K$1001,$AB297),10000)/100),MOD(INDEX(입력_기본자료!$K$2:$K$1001,$AB297),100)),INDEX(입력_기본자료!$K$2:$K$1001,$AB297)&amp;"")))))</f>
        <v/>
      </c>
      <c r="F297" s="10">
        <f>IF($AB297="","",IF(INDEX(입력_기본자료!$D$2:$D$1001,$AB297)="","",INDEX(입력_기본자료!$D$2:$D$1001,$AB297)))</f>
        <v/>
      </c>
      <c r="G297" s="10">
        <f>IF($AB297="","",IF(INDEX(입력_기본자료!$E$2:$E$1001,$AB297)="","",INDEX(입력_기본자료!$E$2:$E$1001,$AB297)))</f>
        <v/>
      </c>
      <c r="H297" s="10">
        <f>IF($AB297="","",IF(INDEX(입력_기본자료!$F$2:$F$1001,$AB297)="","",INDEX(입력_기본자료!$F$2:$F$1001,$AB297)))</f>
        <v/>
      </c>
      <c r="I297" s="11">
        <f>IF($AB297="","",IF(INDEX(입력_기본자료!$G$2:$G$1001,$AB297)="","",IF(NOT(ISNUMBER(INDEX(입력_기본자료!$G$2:$G$1001,$AB297))),INDEX(입력_기본자료!$G$2:$G$1001,$AB297),IF(INDEX(입력_기본자료!$G$2:$G$1001,$AB297)&lt;1000000,INDEX(입력_기본자료!$G$2:$G$1001,$AB297),IF(AND(INDEX(입력_기본자료!$G$2:$G$1001,$AB297)&gt;=10000101,INT(MOD(INDEX(입력_기본자료!$G$2:$G$1001,$AB297),10000)/100)&gt;=1,INT(MOD(INDEX(입력_기본자료!$G$2:$G$1001,$AB297),10000)/100)&lt;=12,MOD(INDEX(입력_기본자료!$G$2:$G$1001,$AB297),100)&gt;=1,MOD(INDEX(입력_기본자료!$G$2:$G$1001,$AB297),100)&lt;=31),DATE(INT(INDEX(입력_기본자료!$G$2:$G$1001,$AB297)/10000),INT(MOD(INDEX(입력_기본자료!$G$2:$G$1001,$AB297),10000)/100),MOD(INDEX(입력_기본자료!$G$2:$G$1001,$AB297),100)),INDEX(입력_기본자료!$G$2:$G$1001,$AB297)&amp;"")))))</f>
        <v/>
      </c>
      <c r="J297" s="10">
        <f>IF($AB297="","",IF(INDEX(입력_기본자료!$H$2:$H$1001,$AB297)="","",INDEX(입력_기본자료!$H$2:$H$1001,$AB297)))</f>
        <v/>
      </c>
      <c r="K297" s="10">
        <f>IF($AB297="","",IF(INDEX(입력_기본자료!$I$2:$I$1001,$AB297)="","",INDEX(입력_기본자료!$I$2:$I$1001,$AB297)))</f>
        <v/>
      </c>
      <c r="L297" s="10">
        <f>IF($AB297="","",IF(INDEX(입력_기본자료!$A$2:$A$1001,$AB297)="","",INDEX(입력_기본자료!$A$2:$A$1001,$AB297)))</f>
        <v/>
      </c>
      <c r="M297" s="15" t="n"/>
      <c r="N297" s="10">
        <f>IF($B297="","",IF(AND($U297="파견중",$Q297&lt;&gt;""),$Q297,IF(AND($AD297&lt;&gt;"",LEFT($AD297,1)&lt;&gt;"⚠"),LEFT($AD297,FIND(" ",$AD297)-1),IF($H297="","",IF(RIGHT($H297,2)="병원",$H297,$H297&amp;"병원")))))</f>
        <v/>
      </c>
      <c r="O297" s="10">
        <f>IF($B297="","",IF(AND($U297="파견중",$Q297&lt;&gt;""),IF($R297&lt;&gt;"",$R297,"파견과 미입력"),IF(AND($AD297&lt;&gt;"",LEFT($AD297,1)&lt;&gt;"⚠"),MID($AD297,FIND(" ",$AD297)+1,60),IF($F297="","",IF($F297="인턴","수련교육부(인턴)",$F297)))))</f>
        <v/>
      </c>
      <c r="P297" s="10">
        <f>IF($B297="","",IF($AK297&lt;&gt;"",IF(AND(TODAY()&gt;=INDEX(입력_파견수련계획!$AB$4:$AB$803,$AK297),OR(NOT(ISNUMBER(INDEX(입력_파견수련계획!$AC$4:$AC$803,$AK297))),TODAY()&lt;=INDEX(입력_파견수련계획!$AC$4:$AC$803,$AK297))),"다기관",IF($AF297="","",INDEX(입력_파견수련계획!$T$4:$T$803,$AF297))),IF($AF297="","",INDEX(입력_파견수련계획!$T$4:$T$803,$AF297))))</f>
        <v/>
      </c>
      <c r="Q297" s="10">
        <f>IF($AF297="","",INDEX(입력_파견수련계획!$S$4:$S$803,$AF297))</f>
        <v/>
      </c>
      <c r="R297" s="10">
        <f>IF($AF297="","",INDEX(입력_파견수련계획!$U$4:$U$803,$AF297))</f>
        <v/>
      </c>
      <c r="S297" s="11">
        <f>IF($AF297="","",IF(INDEX(입력_파견수련계획!$H$4:$H$803,$AF297)="","",INDEX(입력_파견수련계획!$H$4:$H$803,$AF297)))</f>
        <v/>
      </c>
      <c r="T297" s="11">
        <f>IF($AF297="","",IF(INDEX(입력_파견수련계획!$I$4:$I$803,$AF297)="","",INDEX(입력_파견수련계획!$I$4:$I$803,$AF297)))</f>
        <v/>
      </c>
      <c r="U297" s="10">
        <f>IF($AF297="","",INDEX(입력_파견수련계획!$X$4:$X$803,$AF297))</f>
        <v/>
      </c>
      <c r="V297" s="17">
        <f>IF($AF297="","",INDEX(입력_파견수련계획!$V$4:$V$803,$AF297))</f>
        <v/>
      </c>
      <c r="W297" s="17">
        <f>IF(AND($U297="파견중",$T297&lt;&gt;""),$T297-TODAY(),"")</f>
        <v/>
      </c>
      <c r="X297" s="17">
        <f>IF(OR($B297="",TRIM($J297&amp;"")=""),"",SUMPRODUCT((입력_파견수련계획!$Q$4:$Q$803=TRIM($J297&amp;""))*입력_파견수련계획!$W$4:$W$803))</f>
        <v/>
      </c>
      <c r="Y297" s="10">
        <f>IF($B297="","",IF($AG297="","",IF(IF(TRIM($J297&amp;"")="",0,SUMPRODUCT((입력_파견수련계획!$Q$4:$Q$803=TRIM($J297&amp;""))*입력_파견수련계획!$AD$4:$AD$803))&gt;0,$AE297,IF(AND(N($X297)&lt;=0,$AQ297=""),$AG297,IF($AH297+$AI297=DAY(EOMONTH(출력_요약!$B$3,0)),IF(AND($AH297&gt;=출력_요약!$E$3,$AI297&lt;출력_요약!$E$3),"서울병원",IF(AND($AI297&gt;=출력_요약!$E$3,$AH297&lt;출력_요약!$E$3),"구리병원","⚠15일 판정불가(서울 "&amp;$AH297&amp;"일/구리 "&amp;$AI297&amp;"일)")),IF($AJ297="",$AE297,IF(INDEX(입력_파견수련계획!$T$4:$T$803,$AJ297)="통합수련",INDEX(입력_파견수련계획!$S$4:$S$803,$AJ297),$AE297)))))))</f>
        <v/>
      </c>
      <c r="Z297" s="20">
        <f>IF($B297="","",IF($AB297="","기본자료에 없는 사번",IF(COUNTIF($B$2:$B$401,$B297)&gt;1,"중복 사번",IF($AE297="","소속(입사장소) 입력",IF(IF(TRIM($J297&amp;"")="",0,SUMPRODUCT((입력_파견수련계획!$Q$4:$Q$803=TRIM($J297&amp;""))*(입력_파견수련계획!$AA$4:$AA$803&lt;&gt;"")))&gt;0,"파견수련계획 입력오류 확인",IF(LEFT($Y297,1)="⚠","서울·구리 15일 판정 불가(양쪽 모두 이상/미만)",IF(IF($AC297="",0,N(INDEX(입력_인턴근무계획!$T$3:$T$402,$AC297)))&gt;0,"인턴계획 입력오류 확인",IF(AND($AQ297&lt;&gt;"",$AG297&lt;&gt;"구리병원",IF(TRIM($J297&amp;"")="",0,SUMPRODUCT((입력_파견수련계획!$Q$4:$Q$803=TRIM($J297&amp;""))*(입력_파견수련계획!$S$4:$S$803="구리병원")*입력_파견수련계획!$W$4:$W$803))=0),"구리 근무자명단에만 있음(파견수련계획 확인)",IF(AND($AC297&lt;&gt;"",$U297&lt;&gt;"파견중",$N297&lt;&gt;$AE297),"인턴 타지역 근무: 파견 여부 확인","정상")))))))))</f>
        <v/>
      </c>
      <c r="AA297" s="5" t="n"/>
      <c r="AB297" s="10">
        <f>IF($B297="","",IFERROR(MATCH($B297,입력_기본자료!$B$2:$B$1001,0),IFERROR(MATCH($B297&amp;"",입력_기본자료!$B$2:$B$1001,0),IFERROR(MATCH(VALUE($B297),입력_기본자료!$B$2:$B$1001,0),""))))</f>
        <v/>
      </c>
      <c r="AC297" s="10">
        <f>IF($B297="","",IFERROR(MATCH($B297,입력_인턴근무계획!$D$3:$D$402,0),IFERROR(MATCH($B297&amp;"",입력_인턴근무계획!$D$3:$D$402,0),IFERROR(MATCH(VALUE($B297),입력_인턴근무계획!$D$3:$D$402,0),""))))</f>
        <v/>
      </c>
      <c r="AD297" s="10">
        <f>IF(OR($AC297="",출력_인턴현황!$G$3=""),"",INDEX(입력_인턴근무계획!$M$3:$R$402,$AC297,출력_인턴현황!$G$3)&amp;"")</f>
        <v/>
      </c>
      <c r="AE297" s="10">
        <f>IF($B297="","",IF($M297&lt;&gt;"",$M297,IF(IF($AQ297="",FALSE,INDEX(출력_구리근무자!$J$6:$J$305,$AQ297)="구리독자"),"구리병원",IF($AF297&lt;&gt;"",IF(LEFT(INDEX(입력_파견수련계획!$R$4:$R$803,$AF297),1)&lt;&gt;"⚠",INDEX(입력_파견수련계획!$R$4:$R$803,$AF297),IF($H297="","",IF(RIGHT($H297,2)="병원",$H297,$H297&amp;"병원"))),IF($H297="","",IF(RIGHT($H297,2)="병원",$H297,$H297&amp;"병원"))))))</f>
        <v/>
      </c>
      <c r="AF297" s="10">
        <f>IF(OR($B297="",TRIM($J297&amp;"")=""),"",IFERROR(MATCH(TRIM($J297&amp;"")&amp;"|파견중",입력_파견수련계획!$Y$4:$Y$803,0),IFERROR(MATCH(TRIM($J297&amp;"")&amp;"|파견예정",입력_파견수련계획!$Y$4:$Y$803,0),IFERROR(MATCH(TRIM($J297&amp;"")&amp;"|파견종료",입력_파견수련계획!$Y$4:$Y$803,0),""))))</f>
        <v/>
      </c>
      <c r="AG297" s="10">
        <f>IF($B297="","",IF(AND(IF(OR($AC297="",출력_인턴현황!$K$2=""),"",INDEX(입력_인턴근무계획!$M$3:$R$402,$AC297,출력_인턴현황!$K$2)&amp;"")&lt;&gt;"",LEFT(IF(OR($AC297="",출력_인턴현황!$K$2=""),"",INDEX(입력_인턴근무계획!$M$3:$R$402,$AC297,출력_인턴현황!$K$2)&amp;""),1)&lt;&gt;"⚠"),LEFT(IF(OR($AC297="",출력_인턴현황!$K$2=""),"",INDEX(입력_인턴근무계획!$M$3:$R$402,$AC297,출력_인턴현황!$K$2)&amp;""),FIND(" ",IF(OR($AC297="",출력_인턴현황!$K$2=""),"",INDEX(입력_인턴근무계획!$M$3:$R$402,$AC297,출력_인턴현황!$K$2)&amp;""))-1),$AE297))</f>
        <v/>
      </c>
      <c r="AH297" s="17">
        <f>IF($B297="","",IF($AQ297&lt;&gt;"",MAX(0,DAY(EOMONTH(출력_요약!$B$3,0))-N($AR297)),IF(TRIM($J297&amp;"")="",0,SUMPRODUCT((입력_파견수련계획!$Q$4:$Q$803=TRIM($J297&amp;""))*(입력_파견수련계획!$S$4:$S$803="서울병원")*입력_파견수련계획!$W$4:$W$803))+IF($AG297="서울병원",MAX(0,DAY(EOMONTH(출력_요약!$B$3,0))-N($X297)),0)))</f>
        <v/>
      </c>
      <c r="AI297" s="17">
        <f>IF($B297="","",IF($AQ297&lt;&gt;"",N($AR297),IF(TRIM($J297&amp;"")="",0,SUMPRODUCT((입력_파견수련계획!$Q$4:$Q$803=TRIM($J297&amp;""))*(입력_파견수련계획!$S$4:$S$803="구리병원")*입력_파견수련계획!$W$4:$W$803))+IF($AG297="구리병원",MAX(0,DAY(EOMONTH(출력_요약!$B$3,0))-N($X297)),0)))</f>
        <v/>
      </c>
      <c r="AJ297" s="10">
        <f>IF(OR($B297="",TRIM($J297&amp;"")=""),"",IFERROR(MATCH(TRIM($J297&amp;"")&amp;"|월",입력_파견수련계획!$Z$4:$Z$803,0),""))</f>
        <v/>
      </c>
      <c r="AK297" s="10">
        <f>IF(OR($B297="",TRIM($J297&amp;"")=""),"",IFERROR(MATCH(TRIM($J297&amp;"")&amp;"|다기관",입력_파견수련계획!$AE$4:$AE$803,0),""))</f>
        <v/>
      </c>
      <c r="AL297" s="10">
        <f>IF($AK297="","","다기관 "&amp;TEXT(INDEX(입력_파견수련계획!$AB$4:$AB$803,$AK297),"yyyy-mm-dd")&amp;"~"&amp;IF(ISNUMBER(INDEX(입력_파견수련계획!$AC$4:$AC$803,$AK297)),TEXT(INDEX(입력_파견수련계획!$AC$4:$AC$803,$AK297),"yyyy-mm-dd"),""))</f>
        <v/>
      </c>
      <c r="AM297" s="10">
        <f>IF($Y297="서울병원",COUNTIF($Y$2:$Y297,"서울병원"),"")</f>
        <v/>
      </c>
      <c r="AN297" s="10">
        <f>IF(LEFT($Y297,1)="⚠",COUNTIF($Y$2:$Y297,"⚠*"),"")</f>
        <v/>
      </c>
      <c r="AO297" s="10">
        <f>IF(OR($B297="",$Y297=""),"",IF(IF(TRIM($J297&amp;"")="",0,SUMPRODUCT((입력_파견수련계획!$Q$4:$Q$803=TRIM($J297&amp;""))*입력_파견수련계획!$AD$4:$AD$803))&gt;0,"다기관 기간 → 소속병원 지급",IF(AND(N($X297)&lt;=0,$AQ297=""),"파견 없음 → 그 달 근무병원 지급",IF($AH297+$AI297=DAY(EOMONTH(출력_요약!$B$3,0)),"서울 "&amp;$AH297&amp;"일 / 구리 "&amp;$AI297&amp;"일"&amp;IF($AQ297&lt;&gt;""," (구리 근무자명단 반영)","")&amp;" → 15일 이상 근무 병원 지급","타 병원 포함 → "&amp;IF($AJ297="","소속",INDEX(입력_파견수련계획!$T$4:$T$803,$AJ297))&amp;" 규칙"))))</f>
        <v/>
      </c>
      <c r="AP297" s="10">
        <f>IF($B297="","",$C297&amp;"|"&amp;$F297)</f>
        <v/>
      </c>
      <c r="AQ297" s="10">
        <f>IF($B297="","",IFERROR(MATCH(ROW()-1,출력_구리근무자!$K$6:$K$305,0),""))</f>
        <v/>
      </c>
      <c r="AR297" s="10">
        <f>IF($AQ297="","",INDEX(출력_구리근무자!$H$6:$H$305,$AQ297))</f>
        <v/>
      </c>
    </row>
    <row r="298">
      <c r="A298" s="10">
        <f>IF(B298="","",ROW()-1)</f>
        <v/>
      </c>
      <c r="B298" s="19" t="n"/>
      <c r="C298" s="10">
        <f>IF($AB298="","",IF(INDEX(입력_기본자료!$C$2:$C$1001,$AB298)="","",INDEX(입력_기본자료!$C$2:$C$1001,$AB298)))</f>
        <v/>
      </c>
      <c r="D298" s="10">
        <f>IF($AB298="","",IF(INDEX(입력_기본자료!$J$2:$J$1001,$AB298)="","",INDEX(입력_기본자료!$J$2:$J$1001,$AB298)))</f>
        <v/>
      </c>
      <c r="E298" s="11">
        <f>IF($AB298="","",IF(INDEX(입력_기본자료!$K$2:$K$1001,$AB298)="","",IF(NOT(ISNUMBER(INDEX(입력_기본자료!$K$2:$K$1001,$AB298))),INDEX(입력_기본자료!$K$2:$K$1001,$AB298),IF(INDEX(입력_기본자료!$K$2:$K$1001,$AB298)&lt;1000000,INDEX(입력_기본자료!$K$2:$K$1001,$AB298),IF(AND(INDEX(입력_기본자료!$K$2:$K$1001,$AB298)&gt;=10000101,INT(MOD(INDEX(입력_기본자료!$K$2:$K$1001,$AB298),10000)/100)&gt;=1,INT(MOD(INDEX(입력_기본자료!$K$2:$K$1001,$AB298),10000)/100)&lt;=12,MOD(INDEX(입력_기본자료!$K$2:$K$1001,$AB298),100)&gt;=1,MOD(INDEX(입력_기본자료!$K$2:$K$1001,$AB298),100)&lt;=31),DATE(INT(INDEX(입력_기본자료!$K$2:$K$1001,$AB298)/10000),INT(MOD(INDEX(입력_기본자료!$K$2:$K$1001,$AB298),10000)/100),MOD(INDEX(입력_기본자료!$K$2:$K$1001,$AB298),100)),INDEX(입력_기본자료!$K$2:$K$1001,$AB298)&amp;"")))))</f>
        <v/>
      </c>
      <c r="F298" s="10">
        <f>IF($AB298="","",IF(INDEX(입력_기본자료!$D$2:$D$1001,$AB298)="","",INDEX(입력_기본자료!$D$2:$D$1001,$AB298)))</f>
        <v/>
      </c>
      <c r="G298" s="10">
        <f>IF($AB298="","",IF(INDEX(입력_기본자료!$E$2:$E$1001,$AB298)="","",INDEX(입력_기본자료!$E$2:$E$1001,$AB298)))</f>
        <v/>
      </c>
      <c r="H298" s="10">
        <f>IF($AB298="","",IF(INDEX(입력_기본자료!$F$2:$F$1001,$AB298)="","",INDEX(입력_기본자료!$F$2:$F$1001,$AB298)))</f>
        <v/>
      </c>
      <c r="I298" s="11">
        <f>IF($AB298="","",IF(INDEX(입력_기본자료!$G$2:$G$1001,$AB298)="","",IF(NOT(ISNUMBER(INDEX(입력_기본자료!$G$2:$G$1001,$AB298))),INDEX(입력_기본자료!$G$2:$G$1001,$AB298),IF(INDEX(입력_기본자료!$G$2:$G$1001,$AB298)&lt;1000000,INDEX(입력_기본자료!$G$2:$G$1001,$AB298),IF(AND(INDEX(입력_기본자료!$G$2:$G$1001,$AB298)&gt;=10000101,INT(MOD(INDEX(입력_기본자료!$G$2:$G$1001,$AB298),10000)/100)&gt;=1,INT(MOD(INDEX(입력_기본자료!$G$2:$G$1001,$AB298),10000)/100)&lt;=12,MOD(INDEX(입력_기본자료!$G$2:$G$1001,$AB298),100)&gt;=1,MOD(INDEX(입력_기본자료!$G$2:$G$1001,$AB298),100)&lt;=31),DATE(INT(INDEX(입력_기본자료!$G$2:$G$1001,$AB298)/10000),INT(MOD(INDEX(입력_기본자료!$G$2:$G$1001,$AB298),10000)/100),MOD(INDEX(입력_기본자료!$G$2:$G$1001,$AB298),100)),INDEX(입력_기본자료!$G$2:$G$1001,$AB298)&amp;"")))))</f>
        <v/>
      </c>
      <c r="J298" s="10">
        <f>IF($AB298="","",IF(INDEX(입력_기본자료!$H$2:$H$1001,$AB298)="","",INDEX(입력_기본자료!$H$2:$H$1001,$AB298)))</f>
        <v/>
      </c>
      <c r="K298" s="10">
        <f>IF($AB298="","",IF(INDEX(입력_기본자료!$I$2:$I$1001,$AB298)="","",INDEX(입력_기본자료!$I$2:$I$1001,$AB298)))</f>
        <v/>
      </c>
      <c r="L298" s="10">
        <f>IF($AB298="","",IF(INDEX(입력_기본자료!$A$2:$A$1001,$AB298)="","",INDEX(입력_기본자료!$A$2:$A$1001,$AB298)))</f>
        <v/>
      </c>
      <c r="M298" s="15" t="n"/>
      <c r="N298" s="10">
        <f>IF($B298="","",IF(AND($U298="파견중",$Q298&lt;&gt;""),$Q298,IF(AND($AD298&lt;&gt;"",LEFT($AD298,1)&lt;&gt;"⚠"),LEFT($AD298,FIND(" ",$AD298)-1),IF($H298="","",IF(RIGHT($H298,2)="병원",$H298,$H298&amp;"병원")))))</f>
        <v/>
      </c>
      <c r="O298" s="10">
        <f>IF($B298="","",IF(AND($U298="파견중",$Q298&lt;&gt;""),IF($R298&lt;&gt;"",$R298,"파견과 미입력"),IF(AND($AD298&lt;&gt;"",LEFT($AD298,1)&lt;&gt;"⚠"),MID($AD298,FIND(" ",$AD298)+1,60),IF($F298="","",IF($F298="인턴","수련교육부(인턴)",$F298)))))</f>
        <v/>
      </c>
      <c r="P298" s="10">
        <f>IF($B298="","",IF($AK298&lt;&gt;"",IF(AND(TODAY()&gt;=INDEX(입력_파견수련계획!$AB$4:$AB$803,$AK298),OR(NOT(ISNUMBER(INDEX(입력_파견수련계획!$AC$4:$AC$803,$AK298))),TODAY()&lt;=INDEX(입력_파견수련계획!$AC$4:$AC$803,$AK298))),"다기관",IF($AF298="","",INDEX(입력_파견수련계획!$T$4:$T$803,$AF298))),IF($AF298="","",INDEX(입력_파견수련계획!$T$4:$T$803,$AF298))))</f>
        <v/>
      </c>
      <c r="Q298" s="10">
        <f>IF($AF298="","",INDEX(입력_파견수련계획!$S$4:$S$803,$AF298))</f>
        <v/>
      </c>
      <c r="R298" s="10">
        <f>IF($AF298="","",INDEX(입력_파견수련계획!$U$4:$U$803,$AF298))</f>
        <v/>
      </c>
      <c r="S298" s="11">
        <f>IF($AF298="","",IF(INDEX(입력_파견수련계획!$H$4:$H$803,$AF298)="","",INDEX(입력_파견수련계획!$H$4:$H$803,$AF298)))</f>
        <v/>
      </c>
      <c r="T298" s="11">
        <f>IF($AF298="","",IF(INDEX(입력_파견수련계획!$I$4:$I$803,$AF298)="","",INDEX(입력_파견수련계획!$I$4:$I$803,$AF298)))</f>
        <v/>
      </c>
      <c r="U298" s="10">
        <f>IF($AF298="","",INDEX(입력_파견수련계획!$X$4:$X$803,$AF298))</f>
        <v/>
      </c>
      <c r="V298" s="17">
        <f>IF($AF298="","",INDEX(입력_파견수련계획!$V$4:$V$803,$AF298))</f>
        <v/>
      </c>
      <c r="W298" s="17">
        <f>IF(AND($U298="파견중",$T298&lt;&gt;""),$T298-TODAY(),"")</f>
        <v/>
      </c>
      <c r="X298" s="17">
        <f>IF(OR($B298="",TRIM($J298&amp;"")=""),"",SUMPRODUCT((입력_파견수련계획!$Q$4:$Q$803=TRIM($J298&amp;""))*입력_파견수련계획!$W$4:$W$803))</f>
        <v/>
      </c>
      <c r="Y298" s="10">
        <f>IF($B298="","",IF($AG298="","",IF(IF(TRIM($J298&amp;"")="",0,SUMPRODUCT((입력_파견수련계획!$Q$4:$Q$803=TRIM($J298&amp;""))*입력_파견수련계획!$AD$4:$AD$803))&gt;0,$AE298,IF(AND(N($X298)&lt;=0,$AQ298=""),$AG298,IF($AH298+$AI298=DAY(EOMONTH(출력_요약!$B$3,0)),IF(AND($AH298&gt;=출력_요약!$E$3,$AI298&lt;출력_요약!$E$3),"서울병원",IF(AND($AI298&gt;=출력_요약!$E$3,$AH298&lt;출력_요약!$E$3),"구리병원","⚠15일 판정불가(서울 "&amp;$AH298&amp;"일/구리 "&amp;$AI298&amp;"일)")),IF($AJ298="",$AE298,IF(INDEX(입력_파견수련계획!$T$4:$T$803,$AJ298)="통합수련",INDEX(입력_파견수련계획!$S$4:$S$803,$AJ298),$AE298)))))))</f>
        <v/>
      </c>
      <c r="Z298" s="20">
        <f>IF($B298="","",IF($AB298="","기본자료에 없는 사번",IF(COUNTIF($B$2:$B$401,$B298)&gt;1,"중복 사번",IF($AE298="","소속(입사장소) 입력",IF(IF(TRIM($J298&amp;"")="",0,SUMPRODUCT((입력_파견수련계획!$Q$4:$Q$803=TRIM($J298&amp;""))*(입력_파견수련계획!$AA$4:$AA$803&lt;&gt;"")))&gt;0,"파견수련계획 입력오류 확인",IF(LEFT($Y298,1)="⚠","서울·구리 15일 판정 불가(양쪽 모두 이상/미만)",IF(IF($AC298="",0,N(INDEX(입력_인턴근무계획!$T$3:$T$402,$AC298)))&gt;0,"인턴계획 입력오류 확인",IF(AND($AQ298&lt;&gt;"",$AG298&lt;&gt;"구리병원",IF(TRIM($J298&amp;"")="",0,SUMPRODUCT((입력_파견수련계획!$Q$4:$Q$803=TRIM($J298&amp;""))*(입력_파견수련계획!$S$4:$S$803="구리병원")*입력_파견수련계획!$W$4:$W$803))=0),"구리 근무자명단에만 있음(파견수련계획 확인)",IF(AND($AC298&lt;&gt;"",$U298&lt;&gt;"파견중",$N298&lt;&gt;$AE298),"인턴 타지역 근무: 파견 여부 확인","정상")))))))))</f>
        <v/>
      </c>
      <c r="AA298" s="5" t="n"/>
      <c r="AB298" s="10">
        <f>IF($B298="","",IFERROR(MATCH($B298,입력_기본자료!$B$2:$B$1001,0),IFERROR(MATCH($B298&amp;"",입력_기본자료!$B$2:$B$1001,0),IFERROR(MATCH(VALUE($B298),입력_기본자료!$B$2:$B$1001,0),""))))</f>
        <v/>
      </c>
      <c r="AC298" s="10">
        <f>IF($B298="","",IFERROR(MATCH($B298,입력_인턴근무계획!$D$3:$D$402,0),IFERROR(MATCH($B298&amp;"",입력_인턴근무계획!$D$3:$D$402,0),IFERROR(MATCH(VALUE($B298),입력_인턴근무계획!$D$3:$D$402,0),""))))</f>
        <v/>
      </c>
      <c r="AD298" s="10">
        <f>IF(OR($AC298="",출력_인턴현황!$G$3=""),"",INDEX(입력_인턴근무계획!$M$3:$R$402,$AC298,출력_인턴현황!$G$3)&amp;"")</f>
        <v/>
      </c>
      <c r="AE298" s="10">
        <f>IF($B298="","",IF($M298&lt;&gt;"",$M298,IF(IF($AQ298="",FALSE,INDEX(출력_구리근무자!$J$6:$J$305,$AQ298)="구리독자"),"구리병원",IF($AF298&lt;&gt;"",IF(LEFT(INDEX(입력_파견수련계획!$R$4:$R$803,$AF298),1)&lt;&gt;"⚠",INDEX(입력_파견수련계획!$R$4:$R$803,$AF298),IF($H298="","",IF(RIGHT($H298,2)="병원",$H298,$H298&amp;"병원"))),IF($H298="","",IF(RIGHT($H298,2)="병원",$H298,$H298&amp;"병원"))))))</f>
        <v/>
      </c>
      <c r="AF298" s="10">
        <f>IF(OR($B298="",TRIM($J298&amp;"")=""),"",IFERROR(MATCH(TRIM($J298&amp;"")&amp;"|파견중",입력_파견수련계획!$Y$4:$Y$803,0),IFERROR(MATCH(TRIM($J298&amp;"")&amp;"|파견예정",입력_파견수련계획!$Y$4:$Y$803,0),IFERROR(MATCH(TRIM($J298&amp;"")&amp;"|파견종료",입력_파견수련계획!$Y$4:$Y$803,0),""))))</f>
        <v/>
      </c>
      <c r="AG298" s="10">
        <f>IF($B298="","",IF(AND(IF(OR($AC298="",출력_인턴현황!$K$2=""),"",INDEX(입력_인턴근무계획!$M$3:$R$402,$AC298,출력_인턴현황!$K$2)&amp;"")&lt;&gt;"",LEFT(IF(OR($AC298="",출력_인턴현황!$K$2=""),"",INDEX(입력_인턴근무계획!$M$3:$R$402,$AC298,출력_인턴현황!$K$2)&amp;""),1)&lt;&gt;"⚠"),LEFT(IF(OR($AC298="",출력_인턴현황!$K$2=""),"",INDEX(입력_인턴근무계획!$M$3:$R$402,$AC298,출력_인턴현황!$K$2)&amp;""),FIND(" ",IF(OR($AC298="",출력_인턴현황!$K$2=""),"",INDEX(입력_인턴근무계획!$M$3:$R$402,$AC298,출력_인턴현황!$K$2)&amp;""))-1),$AE298))</f>
        <v/>
      </c>
      <c r="AH298" s="17">
        <f>IF($B298="","",IF($AQ298&lt;&gt;"",MAX(0,DAY(EOMONTH(출력_요약!$B$3,0))-N($AR298)),IF(TRIM($J298&amp;"")="",0,SUMPRODUCT((입력_파견수련계획!$Q$4:$Q$803=TRIM($J298&amp;""))*(입력_파견수련계획!$S$4:$S$803="서울병원")*입력_파견수련계획!$W$4:$W$803))+IF($AG298="서울병원",MAX(0,DAY(EOMONTH(출력_요약!$B$3,0))-N($X298)),0)))</f>
        <v/>
      </c>
      <c r="AI298" s="17">
        <f>IF($B298="","",IF($AQ298&lt;&gt;"",N($AR298),IF(TRIM($J298&amp;"")="",0,SUMPRODUCT((입력_파견수련계획!$Q$4:$Q$803=TRIM($J298&amp;""))*(입력_파견수련계획!$S$4:$S$803="구리병원")*입력_파견수련계획!$W$4:$W$803))+IF($AG298="구리병원",MAX(0,DAY(EOMONTH(출력_요약!$B$3,0))-N($X298)),0)))</f>
        <v/>
      </c>
      <c r="AJ298" s="10">
        <f>IF(OR($B298="",TRIM($J298&amp;"")=""),"",IFERROR(MATCH(TRIM($J298&amp;"")&amp;"|월",입력_파견수련계획!$Z$4:$Z$803,0),""))</f>
        <v/>
      </c>
      <c r="AK298" s="10">
        <f>IF(OR($B298="",TRIM($J298&amp;"")=""),"",IFERROR(MATCH(TRIM($J298&amp;"")&amp;"|다기관",입력_파견수련계획!$AE$4:$AE$803,0),""))</f>
        <v/>
      </c>
      <c r="AL298" s="10">
        <f>IF($AK298="","","다기관 "&amp;TEXT(INDEX(입력_파견수련계획!$AB$4:$AB$803,$AK298),"yyyy-mm-dd")&amp;"~"&amp;IF(ISNUMBER(INDEX(입력_파견수련계획!$AC$4:$AC$803,$AK298)),TEXT(INDEX(입력_파견수련계획!$AC$4:$AC$803,$AK298),"yyyy-mm-dd"),""))</f>
        <v/>
      </c>
      <c r="AM298" s="10">
        <f>IF($Y298="서울병원",COUNTIF($Y$2:$Y298,"서울병원"),"")</f>
        <v/>
      </c>
      <c r="AN298" s="10">
        <f>IF(LEFT($Y298,1)="⚠",COUNTIF($Y$2:$Y298,"⚠*"),"")</f>
        <v/>
      </c>
      <c r="AO298" s="10">
        <f>IF(OR($B298="",$Y298=""),"",IF(IF(TRIM($J298&amp;"")="",0,SUMPRODUCT((입력_파견수련계획!$Q$4:$Q$803=TRIM($J298&amp;""))*입력_파견수련계획!$AD$4:$AD$803))&gt;0,"다기관 기간 → 소속병원 지급",IF(AND(N($X298)&lt;=0,$AQ298=""),"파견 없음 → 그 달 근무병원 지급",IF($AH298+$AI298=DAY(EOMONTH(출력_요약!$B$3,0)),"서울 "&amp;$AH298&amp;"일 / 구리 "&amp;$AI298&amp;"일"&amp;IF($AQ298&lt;&gt;""," (구리 근무자명단 반영)","")&amp;" → 15일 이상 근무 병원 지급","타 병원 포함 → "&amp;IF($AJ298="","소속",INDEX(입력_파견수련계획!$T$4:$T$803,$AJ298))&amp;" 규칙"))))</f>
        <v/>
      </c>
      <c r="AP298" s="10">
        <f>IF($B298="","",$C298&amp;"|"&amp;$F298)</f>
        <v/>
      </c>
      <c r="AQ298" s="10">
        <f>IF($B298="","",IFERROR(MATCH(ROW()-1,출력_구리근무자!$K$6:$K$305,0),""))</f>
        <v/>
      </c>
      <c r="AR298" s="10">
        <f>IF($AQ298="","",INDEX(출력_구리근무자!$H$6:$H$305,$AQ298))</f>
        <v/>
      </c>
    </row>
    <row r="299">
      <c r="A299" s="10">
        <f>IF(B299="","",ROW()-1)</f>
        <v/>
      </c>
      <c r="B299" s="19" t="n"/>
      <c r="C299" s="10">
        <f>IF($AB299="","",IF(INDEX(입력_기본자료!$C$2:$C$1001,$AB299)="","",INDEX(입력_기본자료!$C$2:$C$1001,$AB299)))</f>
        <v/>
      </c>
      <c r="D299" s="10">
        <f>IF($AB299="","",IF(INDEX(입력_기본자료!$J$2:$J$1001,$AB299)="","",INDEX(입력_기본자료!$J$2:$J$1001,$AB299)))</f>
        <v/>
      </c>
      <c r="E299" s="11">
        <f>IF($AB299="","",IF(INDEX(입력_기본자료!$K$2:$K$1001,$AB299)="","",IF(NOT(ISNUMBER(INDEX(입력_기본자료!$K$2:$K$1001,$AB299))),INDEX(입력_기본자료!$K$2:$K$1001,$AB299),IF(INDEX(입력_기본자료!$K$2:$K$1001,$AB299)&lt;1000000,INDEX(입력_기본자료!$K$2:$K$1001,$AB299),IF(AND(INDEX(입력_기본자료!$K$2:$K$1001,$AB299)&gt;=10000101,INT(MOD(INDEX(입력_기본자료!$K$2:$K$1001,$AB299),10000)/100)&gt;=1,INT(MOD(INDEX(입력_기본자료!$K$2:$K$1001,$AB299),10000)/100)&lt;=12,MOD(INDEX(입력_기본자료!$K$2:$K$1001,$AB299),100)&gt;=1,MOD(INDEX(입력_기본자료!$K$2:$K$1001,$AB299),100)&lt;=31),DATE(INT(INDEX(입력_기본자료!$K$2:$K$1001,$AB299)/10000),INT(MOD(INDEX(입력_기본자료!$K$2:$K$1001,$AB299),10000)/100),MOD(INDEX(입력_기본자료!$K$2:$K$1001,$AB299),100)),INDEX(입력_기본자료!$K$2:$K$1001,$AB299)&amp;"")))))</f>
        <v/>
      </c>
      <c r="F299" s="10">
        <f>IF($AB299="","",IF(INDEX(입력_기본자료!$D$2:$D$1001,$AB299)="","",INDEX(입력_기본자료!$D$2:$D$1001,$AB299)))</f>
        <v/>
      </c>
      <c r="G299" s="10">
        <f>IF($AB299="","",IF(INDEX(입력_기본자료!$E$2:$E$1001,$AB299)="","",INDEX(입력_기본자료!$E$2:$E$1001,$AB299)))</f>
        <v/>
      </c>
      <c r="H299" s="10">
        <f>IF($AB299="","",IF(INDEX(입력_기본자료!$F$2:$F$1001,$AB299)="","",INDEX(입력_기본자료!$F$2:$F$1001,$AB299)))</f>
        <v/>
      </c>
      <c r="I299" s="11">
        <f>IF($AB299="","",IF(INDEX(입력_기본자료!$G$2:$G$1001,$AB299)="","",IF(NOT(ISNUMBER(INDEX(입력_기본자료!$G$2:$G$1001,$AB299))),INDEX(입력_기본자료!$G$2:$G$1001,$AB299),IF(INDEX(입력_기본자료!$G$2:$G$1001,$AB299)&lt;1000000,INDEX(입력_기본자료!$G$2:$G$1001,$AB299),IF(AND(INDEX(입력_기본자료!$G$2:$G$1001,$AB299)&gt;=10000101,INT(MOD(INDEX(입력_기본자료!$G$2:$G$1001,$AB299),10000)/100)&gt;=1,INT(MOD(INDEX(입력_기본자료!$G$2:$G$1001,$AB299),10000)/100)&lt;=12,MOD(INDEX(입력_기본자료!$G$2:$G$1001,$AB299),100)&gt;=1,MOD(INDEX(입력_기본자료!$G$2:$G$1001,$AB299),100)&lt;=31),DATE(INT(INDEX(입력_기본자료!$G$2:$G$1001,$AB299)/10000),INT(MOD(INDEX(입력_기본자료!$G$2:$G$1001,$AB299),10000)/100),MOD(INDEX(입력_기본자료!$G$2:$G$1001,$AB299),100)),INDEX(입력_기본자료!$G$2:$G$1001,$AB299)&amp;"")))))</f>
        <v/>
      </c>
      <c r="J299" s="10">
        <f>IF($AB299="","",IF(INDEX(입력_기본자료!$H$2:$H$1001,$AB299)="","",INDEX(입력_기본자료!$H$2:$H$1001,$AB299)))</f>
        <v/>
      </c>
      <c r="K299" s="10">
        <f>IF($AB299="","",IF(INDEX(입력_기본자료!$I$2:$I$1001,$AB299)="","",INDEX(입력_기본자료!$I$2:$I$1001,$AB299)))</f>
        <v/>
      </c>
      <c r="L299" s="10">
        <f>IF($AB299="","",IF(INDEX(입력_기본자료!$A$2:$A$1001,$AB299)="","",INDEX(입력_기본자료!$A$2:$A$1001,$AB299)))</f>
        <v/>
      </c>
      <c r="M299" s="15" t="n"/>
      <c r="N299" s="10">
        <f>IF($B299="","",IF(AND($U299="파견중",$Q299&lt;&gt;""),$Q299,IF(AND($AD299&lt;&gt;"",LEFT($AD299,1)&lt;&gt;"⚠"),LEFT($AD299,FIND(" ",$AD299)-1),IF($H299="","",IF(RIGHT($H299,2)="병원",$H299,$H299&amp;"병원")))))</f>
        <v/>
      </c>
      <c r="O299" s="10">
        <f>IF($B299="","",IF(AND($U299="파견중",$Q299&lt;&gt;""),IF($R299&lt;&gt;"",$R299,"파견과 미입력"),IF(AND($AD299&lt;&gt;"",LEFT($AD299,1)&lt;&gt;"⚠"),MID($AD299,FIND(" ",$AD299)+1,60),IF($F299="","",IF($F299="인턴","수련교육부(인턴)",$F299)))))</f>
        <v/>
      </c>
      <c r="P299" s="10">
        <f>IF($B299="","",IF($AK299&lt;&gt;"",IF(AND(TODAY()&gt;=INDEX(입력_파견수련계획!$AB$4:$AB$803,$AK299),OR(NOT(ISNUMBER(INDEX(입력_파견수련계획!$AC$4:$AC$803,$AK299))),TODAY()&lt;=INDEX(입력_파견수련계획!$AC$4:$AC$803,$AK299))),"다기관",IF($AF299="","",INDEX(입력_파견수련계획!$T$4:$T$803,$AF299))),IF($AF299="","",INDEX(입력_파견수련계획!$T$4:$T$803,$AF299))))</f>
        <v/>
      </c>
      <c r="Q299" s="10">
        <f>IF($AF299="","",INDEX(입력_파견수련계획!$S$4:$S$803,$AF299))</f>
        <v/>
      </c>
      <c r="R299" s="10">
        <f>IF($AF299="","",INDEX(입력_파견수련계획!$U$4:$U$803,$AF299))</f>
        <v/>
      </c>
      <c r="S299" s="11">
        <f>IF($AF299="","",IF(INDEX(입력_파견수련계획!$H$4:$H$803,$AF299)="","",INDEX(입력_파견수련계획!$H$4:$H$803,$AF299)))</f>
        <v/>
      </c>
      <c r="T299" s="11">
        <f>IF($AF299="","",IF(INDEX(입력_파견수련계획!$I$4:$I$803,$AF299)="","",INDEX(입력_파견수련계획!$I$4:$I$803,$AF299)))</f>
        <v/>
      </c>
      <c r="U299" s="10">
        <f>IF($AF299="","",INDEX(입력_파견수련계획!$X$4:$X$803,$AF299))</f>
        <v/>
      </c>
      <c r="V299" s="17">
        <f>IF($AF299="","",INDEX(입력_파견수련계획!$V$4:$V$803,$AF299))</f>
        <v/>
      </c>
      <c r="W299" s="17">
        <f>IF(AND($U299="파견중",$T299&lt;&gt;""),$T299-TODAY(),"")</f>
        <v/>
      </c>
      <c r="X299" s="17">
        <f>IF(OR($B299="",TRIM($J299&amp;"")=""),"",SUMPRODUCT((입력_파견수련계획!$Q$4:$Q$803=TRIM($J299&amp;""))*입력_파견수련계획!$W$4:$W$803))</f>
        <v/>
      </c>
      <c r="Y299" s="10">
        <f>IF($B299="","",IF($AG299="","",IF(IF(TRIM($J299&amp;"")="",0,SUMPRODUCT((입력_파견수련계획!$Q$4:$Q$803=TRIM($J299&amp;""))*입력_파견수련계획!$AD$4:$AD$803))&gt;0,$AE299,IF(AND(N($X299)&lt;=0,$AQ299=""),$AG299,IF($AH299+$AI299=DAY(EOMONTH(출력_요약!$B$3,0)),IF(AND($AH299&gt;=출력_요약!$E$3,$AI299&lt;출력_요약!$E$3),"서울병원",IF(AND($AI299&gt;=출력_요약!$E$3,$AH299&lt;출력_요약!$E$3),"구리병원","⚠15일 판정불가(서울 "&amp;$AH299&amp;"일/구리 "&amp;$AI299&amp;"일)")),IF($AJ299="",$AE299,IF(INDEX(입력_파견수련계획!$T$4:$T$803,$AJ299)="통합수련",INDEX(입력_파견수련계획!$S$4:$S$803,$AJ299),$AE299)))))))</f>
        <v/>
      </c>
      <c r="Z299" s="20">
        <f>IF($B299="","",IF($AB299="","기본자료에 없는 사번",IF(COUNTIF($B$2:$B$401,$B299)&gt;1,"중복 사번",IF($AE299="","소속(입사장소) 입력",IF(IF(TRIM($J299&amp;"")="",0,SUMPRODUCT((입력_파견수련계획!$Q$4:$Q$803=TRIM($J299&amp;""))*(입력_파견수련계획!$AA$4:$AA$803&lt;&gt;"")))&gt;0,"파견수련계획 입력오류 확인",IF(LEFT($Y299,1)="⚠","서울·구리 15일 판정 불가(양쪽 모두 이상/미만)",IF(IF($AC299="",0,N(INDEX(입력_인턴근무계획!$T$3:$T$402,$AC299)))&gt;0,"인턴계획 입력오류 확인",IF(AND($AQ299&lt;&gt;"",$AG299&lt;&gt;"구리병원",IF(TRIM($J299&amp;"")="",0,SUMPRODUCT((입력_파견수련계획!$Q$4:$Q$803=TRIM($J299&amp;""))*(입력_파견수련계획!$S$4:$S$803="구리병원")*입력_파견수련계획!$W$4:$W$803))=0),"구리 근무자명단에만 있음(파견수련계획 확인)",IF(AND($AC299&lt;&gt;"",$U299&lt;&gt;"파견중",$N299&lt;&gt;$AE299),"인턴 타지역 근무: 파견 여부 확인","정상")))))))))</f>
        <v/>
      </c>
      <c r="AA299" s="5" t="n"/>
      <c r="AB299" s="10">
        <f>IF($B299="","",IFERROR(MATCH($B299,입력_기본자료!$B$2:$B$1001,0),IFERROR(MATCH($B299&amp;"",입력_기본자료!$B$2:$B$1001,0),IFERROR(MATCH(VALUE($B299),입력_기본자료!$B$2:$B$1001,0),""))))</f>
        <v/>
      </c>
      <c r="AC299" s="10">
        <f>IF($B299="","",IFERROR(MATCH($B299,입력_인턴근무계획!$D$3:$D$402,0),IFERROR(MATCH($B299&amp;"",입력_인턴근무계획!$D$3:$D$402,0),IFERROR(MATCH(VALUE($B299),입력_인턴근무계획!$D$3:$D$402,0),""))))</f>
        <v/>
      </c>
      <c r="AD299" s="10">
        <f>IF(OR($AC299="",출력_인턴현황!$G$3=""),"",INDEX(입력_인턴근무계획!$M$3:$R$402,$AC299,출력_인턴현황!$G$3)&amp;"")</f>
        <v/>
      </c>
      <c r="AE299" s="10">
        <f>IF($B299="","",IF($M299&lt;&gt;"",$M299,IF(IF($AQ299="",FALSE,INDEX(출력_구리근무자!$J$6:$J$305,$AQ299)="구리독자"),"구리병원",IF($AF299&lt;&gt;"",IF(LEFT(INDEX(입력_파견수련계획!$R$4:$R$803,$AF299),1)&lt;&gt;"⚠",INDEX(입력_파견수련계획!$R$4:$R$803,$AF299),IF($H299="","",IF(RIGHT($H299,2)="병원",$H299,$H299&amp;"병원"))),IF($H299="","",IF(RIGHT($H299,2)="병원",$H299,$H299&amp;"병원"))))))</f>
        <v/>
      </c>
      <c r="AF299" s="10">
        <f>IF(OR($B299="",TRIM($J299&amp;"")=""),"",IFERROR(MATCH(TRIM($J299&amp;"")&amp;"|파견중",입력_파견수련계획!$Y$4:$Y$803,0),IFERROR(MATCH(TRIM($J299&amp;"")&amp;"|파견예정",입력_파견수련계획!$Y$4:$Y$803,0),IFERROR(MATCH(TRIM($J299&amp;"")&amp;"|파견종료",입력_파견수련계획!$Y$4:$Y$803,0),""))))</f>
        <v/>
      </c>
      <c r="AG299" s="10">
        <f>IF($B299="","",IF(AND(IF(OR($AC299="",출력_인턴현황!$K$2=""),"",INDEX(입력_인턴근무계획!$M$3:$R$402,$AC299,출력_인턴현황!$K$2)&amp;"")&lt;&gt;"",LEFT(IF(OR($AC299="",출력_인턴현황!$K$2=""),"",INDEX(입력_인턴근무계획!$M$3:$R$402,$AC299,출력_인턴현황!$K$2)&amp;""),1)&lt;&gt;"⚠"),LEFT(IF(OR($AC299="",출력_인턴현황!$K$2=""),"",INDEX(입력_인턴근무계획!$M$3:$R$402,$AC299,출력_인턴현황!$K$2)&amp;""),FIND(" ",IF(OR($AC299="",출력_인턴현황!$K$2=""),"",INDEX(입력_인턴근무계획!$M$3:$R$402,$AC299,출력_인턴현황!$K$2)&amp;""))-1),$AE299))</f>
        <v/>
      </c>
      <c r="AH299" s="17">
        <f>IF($B299="","",IF($AQ299&lt;&gt;"",MAX(0,DAY(EOMONTH(출력_요약!$B$3,0))-N($AR299)),IF(TRIM($J299&amp;"")="",0,SUMPRODUCT((입력_파견수련계획!$Q$4:$Q$803=TRIM($J299&amp;""))*(입력_파견수련계획!$S$4:$S$803="서울병원")*입력_파견수련계획!$W$4:$W$803))+IF($AG299="서울병원",MAX(0,DAY(EOMONTH(출력_요약!$B$3,0))-N($X299)),0)))</f>
        <v/>
      </c>
      <c r="AI299" s="17">
        <f>IF($B299="","",IF($AQ299&lt;&gt;"",N($AR299),IF(TRIM($J299&amp;"")="",0,SUMPRODUCT((입력_파견수련계획!$Q$4:$Q$803=TRIM($J299&amp;""))*(입력_파견수련계획!$S$4:$S$803="구리병원")*입력_파견수련계획!$W$4:$W$803))+IF($AG299="구리병원",MAX(0,DAY(EOMONTH(출력_요약!$B$3,0))-N($X299)),0)))</f>
        <v/>
      </c>
      <c r="AJ299" s="10">
        <f>IF(OR($B299="",TRIM($J299&amp;"")=""),"",IFERROR(MATCH(TRIM($J299&amp;"")&amp;"|월",입력_파견수련계획!$Z$4:$Z$803,0),""))</f>
        <v/>
      </c>
      <c r="AK299" s="10">
        <f>IF(OR($B299="",TRIM($J299&amp;"")=""),"",IFERROR(MATCH(TRIM($J299&amp;"")&amp;"|다기관",입력_파견수련계획!$AE$4:$AE$803,0),""))</f>
        <v/>
      </c>
      <c r="AL299" s="10">
        <f>IF($AK299="","","다기관 "&amp;TEXT(INDEX(입력_파견수련계획!$AB$4:$AB$803,$AK299),"yyyy-mm-dd")&amp;"~"&amp;IF(ISNUMBER(INDEX(입력_파견수련계획!$AC$4:$AC$803,$AK299)),TEXT(INDEX(입력_파견수련계획!$AC$4:$AC$803,$AK299),"yyyy-mm-dd"),""))</f>
        <v/>
      </c>
      <c r="AM299" s="10">
        <f>IF($Y299="서울병원",COUNTIF($Y$2:$Y299,"서울병원"),"")</f>
        <v/>
      </c>
      <c r="AN299" s="10">
        <f>IF(LEFT($Y299,1)="⚠",COUNTIF($Y$2:$Y299,"⚠*"),"")</f>
        <v/>
      </c>
      <c r="AO299" s="10">
        <f>IF(OR($B299="",$Y299=""),"",IF(IF(TRIM($J299&amp;"")="",0,SUMPRODUCT((입력_파견수련계획!$Q$4:$Q$803=TRIM($J299&amp;""))*입력_파견수련계획!$AD$4:$AD$803))&gt;0,"다기관 기간 → 소속병원 지급",IF(AND(N($X299)&lt;=0,$AQ299=""),"파견 없음 → 그 달 근무병원 지급",IF($AH299+$AI299=DAY(EOMONTH(출력_요약!$B$3,0)),"서울 "&amp;$AH299&amp;"일 / 구리 "&amp;$AI299&amp;"일"&amp;IF($AQ299&lt;&gt;""," (구리 근무자명단 반영)","")&amp;" → 15일 이상 근무 병원 지급","타 병원 포함 → "&amp;IF($AJ299="","소속",INDEX(입력_파견수련계획!$T$4:$T$803,$AJ299))&amp;" 규칙"))))</f>
        <v/>
      </c>
      <c r="AP299" s="10">
        <f>IF($B299="","",$C299&amp;"|"&amp;$F299)</f>
        <v/>
      </c>
      <c r="AQ299" s="10">
        <f>IF($B299="","",IFERROR(MATCH(ROW()-1,출력_구리근무자!$K$6:$K$305,0),""))</f>
        <v/>
      </c>
      <c r="AR299" s="10">
        <f>IF($AQ299="","",INDEX(출력_구리근무자!$H$6:$H$305,$AQ299))</f>
        <v/>
      </c>
    </row>
    <row r="300">
      <c r="A300" s="10">
        <f>IF(B300="","",ROW()-1)</f>
        <v/>
      </c>
      <c r="B300" s="19" t="n"/>
      <c r="C300" s="10">
        <f>IF($AB300="","",IF(INDEX(입력_기본자료!$C$2:$C$1001,$AB300)="","",INDEX(입력_기본자료!$C$2:$C$1001,$AB300)))</f>
        <v/>
      </c>
      <c r="D300" s="10">
        <f>IF($AB300="","",IF(INDEX(입력_기본자료!$J$2:$J$1001,$AB300)="","",INDEX(입력_기본자료!$J$2:$J$1001,$AB300)))</f>
        <v/>
      </c>
      <c r="E300" s="11">
        <f>IF($AB300="","",IF(INDEX(입력_기본자료!$K$2:$K$1001,$AB300)="","",IF(NOT(ISNUMBER(INDEX(입력_기본자료!$K$2:$K$1001,$AB300))),INDEX(입력_기본자료!$K$2:$K$1001,$AB300),IF(INDEX(입력_기본자료!$K$2:$K$1001,$AB300)&lt;1000000,INDEX(입력_기본자료!$K$2:$K$1001,$AB300),IF(AND(INDEX(입력_기본자료!$K$2:$K$1001,$AB300)&gt;=10000101,INT(MOD(INDEX(입력_기본자료!$K$2:$K$1001,$AB300),10000)/100)&gt;=1,INT(MOD(INDEX(입력_기본자료!$K$2:$K$1001,$AB300),10000)/100)&lt;=12,MOD(INDEX(입력_기본자료!$K$2:$K$1001,$AB300),100)&gt;=1,MOD(INDEX(입력_기본자료!$K$2:$K$1001,$AB300),100)&lt;=31),DATE(INT(INDEX(입력_기본자료!$K$2:$K$1001,$AB300)/10000),INT(MOD(INDEX(입력_기본자료!$K$2:$K$1001,$AB300),10000)/100),MOD(INDEX(입력_기본자료!$K$2:$K$1001,$AB300),100)),INDEX(입력_기본자료!$K$2:$K$1001,$AB300)&amp;"")))))</f>
        <v/>
      </c>
      <c r="F300" s="10">
        <f>IF($AB300="","",IF(INDEX(입력_기본자료!$D$2:$D$1001,$AB300)="","",INDEX(입력_기본자료!$D$2:$D$1001,$AB300)))</f>
        <v/>
      </c>
      <c r="G300" s="10">
        <f>IF($AB300="","",IF(INDEX(입력_기본자료!$E$2:$E$1001,$AB300)="","",INDEX(입력_기본자료!$E$2:$E$1001,$AB300)))</f>
        <v/>
      </c>
      <c r="H300" s="10">
        <f>IF($AB300="","",IF(INDEX(입력_기본자료!$F$2:$F$1001,$AB300)="","",INDEX(입력_기본자료!$F$2:$F$1001,$AB300)))</f>
        <v/>
      </c>
      <c r="I300" s="11">
        <f>IF($AB300="","",IF(INDEX(입력_기본자료!$G$2:$G$1001,$AB300)="","",IF(NOT(ISNUMBER(INDEX(입력_기본자료!$G$2:$G$1001,$AB300))),INDEX(입력_기본자료!$G$2:$G$1001,$AB300),IF(INDEX(입력_기본자료!$G$2:$G$1001,$AB300)&lt;1000000,INDEX(입력_기본자료!$G$2:$G$1001,$AB300),IF(AND(INDEX(입력_기본자료!$G$2:$G$1001,$AB300)&gt;=10000101,INT(MOD(INDEX(입력_기본자료!$G$2:$G$1001,$AB300),10000)/100)&gt;=1,INT(MOD(INDEX(입력_기본자료!$G$2:$G$1001,$AB300),10000)/100)&lt;=12,MOD(INDEX(입력_기본자료!$G$2:$G$1001,$AB300),100)&gt;=1,MOD(INDEX(입력_기본자료!$G$2:$G$1001,$AB300),100)&lt;=31),DATE(INT(INDEX(입력_기본자료!$G$2:$G$1001,$AB300)/10000),INT(MOD(INDEX(입력_기본자료!$G$2:$G$1001,$AB300),10000)/100),MOD(INDEX(입력_기본자료!$G$2:$G$1001,$AB300),100)),INDEX(입력_기본자료!$G$2:$G$1001,$AB300)&amp;"")))))</f>
        <v/>
      </c>
      <c r="J300" s="10">
        <f>IF($AB300="","",IF(INDEX(입력_기본자료!$H$2:$H$1001,$AB300)="","",INDEX(입력_기본자료!$H$2:$H$1001,$AB300)))</f>
        <v/>
      </c>
      <c r="K300" s="10">
        <f>IF($AB300="","",IF(INDEX(입력_기본자료!$I$2:$I$1001,$AB300)="","",INDEX(입력_기본자료!$I$2:$I$1001,$AB300)))</f>
        <v/>
      </c>
      <c r="L300" s="10">
        <f>IF($AB300="","",IF(INDEX(입력_기본자료!$A$2:$A$1001,$AB300)="","",INDEX(입력_기본자료!$A$2:$A$1001,$AB300)))</f>
        <v/>
      </c>
      <c r="M300" s="15" t="n"/>
      <c r="N300" s="10">
        <f>IF($B300="","",IF(AND($U300="파견중",$Q300&lt;&gt;""),$Q300,IF(AND($AD300&lt;&gt;"",LEFT($AD300,1)&lt;&gt;"⚠"),LEFT($AD300,FIND(" ",$AD300)-1),IF($H300="","",IF(RIGHT($H300,2)="병원",$H300,$H300&amp;"병원")))))</f>
        <v/>
      </c>
      <c r="O300" s="10">
        <f>IF($B300="","",IF(AND($U300="파견중",$Q300&lt;&gt;""),IF($R300&lt;&gt;"",$R300,"파견과 미입력"),IF(AND($AD300&lt;&gt;"",LEFT($AD300,1)&lt;&gt;"⚠"),MID($AD300,FIND(" ",$AD300)+1,60),IF($F300="","",IF($F300="인턴","수련교육부(인턴)",$F300)))))</f>
        <v/>
      </c>
      <c r="P300" s="10">
        <f>IF($B300="","",IF($AK300&lt;&gt;"",IF(AND(TODAY()&gt;=INDEX(입력_파견수련계획!$AB$4:$AB$803,$AK300),OR(NOT(ISNUMBER(INDEX(입력_파견수련계획!$AC$4:$AC$803,$AK300))),TODAY()&lt;=INDEX(입력_파견수련계획!$AC$4:$AC$803,$AK300))),"다기관",IF($AF300="","",INDEX(입력_파견수련계획!$T$4:$T$803,$AF300))),IF($AF300="","",INDEX(입력_파견수련계획!$T$4:$T$803,$AF300))))</f>
        <v/>
      </c>
      <c r="Q300" s="10">
        <f>IF($AF300="","",INDEX(입력_파견수련계획!$S$4:$S$803,$AF300))</f>
        <v/>
      </c>
      <c r="R300" s="10">
        <f>IF($AF300="","",INDEX(입력_파견수련계획!$U$4:$U$803,$AF300))</f>
        <v/>
      </c>
      <c r="S300" s="11">
        <f>IF($AF300="","",IF(INDEX(입력_파견수련계획!$H$4:$H$803,$AF300)="","",INDEX(입력_파견수련계획!$H$4:$H$803,$AF300)))</f>
        <v/>
      </c>
      <c r="T300" s="11">
        <f>IF($AF300="","",IF(INDEX(입력_파견수련계획!$I$4:$I$803,$AF300)="","",INDEX(입력_파견수련계획!$I$4:$I$803,$AF300)))</f>
        <v/>
      </c>
      <c r="U300" s="10">
        <f>IF($AF300="","",INDEX(입력_파견수련계획!$X$4:$X$803,$AF300))</f>
        <v/>
      </c>
      <c r="V300" s="17">
        <f>IF($AF300="","",INDEX(입력_파견수련계획!$V$4:$V$803,$AF300))</f>
        <v/>
      </c>
      <c r="W300" s="17">
        <f>IF(AND($U300="파견중",$T300&lt;&gt;""),$T300-TODAY(),"")</f>
        <v/>
      </c>
      <c r="X300" s="17">
        <f>IF(OR($B300="",TRIM($J300&amp;"")=""),"",SUMPRODUCT((입력_파견수련계획!$Q$4:$Q$803=TRIM($J300&amp;""))*입력_파견수련계획!$W$4:$W$803))</f>
        <v/>
      </c>
      <c r="Y300" s="10">
        <f>IF($B300="","",IF($AG300="","",IF(IF(TRIM($J300&amp;"")="",0,SUMPRODUCT((입력_파견수련계획!$Q$4:$Q$803=TRIM($J300&amp;""))*입력_파견수련계획!$AD$4:$AD$803))&gt;0,$AE300,IF(AND(N($X300)&lt;=0,$AQ300=""),$AG300,IF($AH300+$AI300=DAY(EOMONTH(출력_요약!$B$3,0)),IF(AND($AH300&gt;=출력_요약!$E$3,$AI300&lt;출력_요약!$E$3),"서울병원",IF(AND($AI300&gt;=출력_요약!$E$3,$AH300&lt;출력_요약!$E$3),"구리병원","⚠15일 판정불가(서울 "&amp;$AH300&amp;"일/구리 "&amp;$AI300&amp;"일)")),IF($AJ300="",$AE300,IF(INDEX(입력_파견수련계획!$T$4:$T$803,$AJ300)="통합수련",INDEX(입력_파견수련계획!$S$4:$S$803,$AJ300),$AE300)))))))</f>
        <v/>
      </c>
      <c r="Z300" s="20">
        <f>IF($B300="","",IF($AB300="","기본자료에 없는 사번",IF(COUNTIF($B$2:$B$401,$B300)&gt;1,"중복 사번",IF($AE300="","소속(입사장소) 입력",IF(IF(TRIM($J300&amp;"")="",0,SUMPRODUCT((입력_파견수련계획!$Q$4:$Q$803=TRIM($J300&amp;""))*(입력_파견수련계획!$AA$4:$AA$803&lt;&gt;"")))&gt;0,"파견수련계획 입력오류 확인",IF(LEFT($Y300,1)="⚠","서울·구리 15일 판정 불가(양쪽 모두 이상/미만)",IF(IF($AC300="",0,N(INDEX(입력_인턴근무계획!$T$3:$T$402,$AC300)))&gt;0,"인턴계획 입력오류 확인",IF(AND($AQ300&lt;&gt;"",$AG300&lt;&gt;"구리병원",IF(TRIM($J300&amp;"")="",0,SUMPRODUCT((입력_파견수련계획!$Q$4:$Q$803=TRIM($J300&amp;""))*(입력_파견수련계획!$S$4:$S$803="구리병원")*입력_파견수련계획!$W$4:$W$803))=0),"구리 근무자명단에만 있음(파견수련계획 확인)",IF(AND($AC300&lt;&gt;"",$U300&lt;&gt;"파견중",$N300&lt;&gt;$AE300),"인턴 타지역 근무: 파견 여부 확인","정상")))))))))</f>
        <v/>
      </c>
      <c r="AA300" s="5" t="n"/>
      <c r="AB300" s="10">
        <f>IF($B300="","",IFERROR(MATCH($B300,입력_기본자료!$B$2:$B$1001,0),IFERROR(MATCH($B300&amp;"",입력_기본자료!$B$2:$B$1001,0),IFERROR(MATCH(VALUE($B300),입력_기본자료!$B$2:$B$1001,0),""))))</f>
        <v/>
      </c>
      <c r="AC300" s="10">
        <f>IF($B300="","",IFERROR(MATCH($B300,입력_인턴근무계획!$D$3:$D$402,0),IFERROR(MATCH($B300&amp;"",입력_인턴근무계획!$D$3:$D$402,0),IFERROR(MATCH(VALUE($B300),입력_인턴근무계획!$D$3:$D$402,0),""))))</f>
        <v/>
      </c>
      <c r="AD300" s="10">
        <f>IF(OR($AC300="",출력_인턴현황!$G$3=""),"",INDEX(입력_인턴근무계획!$M$3:$R$402,$AC300,출력_인턴현황!$G$3)&amp;"")</f>
        <v/>
      </c>
      <c r="AE300" s="10">
        <f>IF($B300="","",IF($M300&lt;&gt;"",$M300,IF(IF($AQ300="",FALSE,INDEX(출력_구리근무자!$J$6:$J$305,$AQ300)="구리독자"),"구리병원",IF($AF300&lt;&gt;"",IF(LEFT(INDEX(입력_파견수련계획!$R$4:$R$803,$AF300),1)&lt;&gt;"⚠",INDEX(입력_파견수련계획!$R$4:$R$803,$AF300),IF($H300="","",IF(RIGHT($H300,2)="병원",$H300,$H300&amp;"병원"))),IF($H300="","",IF(RIGHT($H300,2)="병원",$H300,$H300&amp;"병원"))))))</f>
        <v/>
      </c>
      <c r="AF300" s="10">
        <f>IF(OR($B300="",TRIM($J300&amp;"")=""),"",IFERROR(MATCH(TRIM($J300&amp;"")&amp;"|파견중",입력_파견수련계획!$Y$4:$Y$803,0),IFERROR(MATCH(TRIM($J300&amp;"")&amp;"|파견예정",입력_파견수련계획!$Y$4:$Y$803,0),IFERROR(MATCH(TRIM($J300&amp;"")&amp;"|파견종료",입력_파견수련계획!$Y$4:$Y$803,0),""))))</f>
        <v/>
      </c>
      <c r="AG300" s="10">
        <f>IF($B300="","",IF(AND(IF(OR($AC300="",출력_인턴현황!$K$2=""),"",INDEX(입력_인턴근무계획!$M$3:$R$402,$AC300,출력_인턴현황!$K$2)&amp;"")&lt;&gt;"",LEFT(IF(OR($AC300="",출력_인턴현황!$K$2=""),"",INDEX(입력_인턴근무계획!$M$3:$R$402,$AC300,출력_인턴현황!$K$2)&amp;""),1)&lt;&gt;"⚠"),LEFT(IF(OR($AC300="",출력_인턴현황!$K$2=""),"",INDEX(입력_인턴근무계획!$M$3:$R$402,$AC300,출력_인턴현황!$K$2)&amp;""),FIND(" ",IF(OR($AC300="",출력_인턴현황!$K$2=""),"",INDEX(입력_인턴근무계획!$M$3:$R$402,$AC300,출력_인턴현황!$K$2)&amp;""))-1),$AE300))</f>
        <v/>
      </c>
      <c r="AH300" s="17">
        <f>IF($B300="","",IF($AQ300&lt;&gt;"",MAX(0,DAY(EOMONTH(출력_요약!$B$3,0))-N($AR300)),IF(TRIM($J300&amp;"")="",0,SUMPRODUCT((입력_파견수련계획!$Q$4:$Q$803=TRIM($J300&amp;""))*(입력_파견수련계획!$S$4:$S$803="서울병원")*입력_파견수련계획!$W$4:$W$803))+IF($AG300="서울병원",MAX(0,DAY(EOMONTH(출력_요약!$B$3,0))-N($X300)),0)))</f>
        <v/>
      </c>
      <c r="AI300" s="17">
        <f>IF($B300="","",IF($AQ300&lt;&gt;"",N($AR300),IF(TRIM($J300&amp;"")="",0,SUMPRODUCT((입력_파견수련계획!$Q$4:$Q$803=TRIM($J300&amp;""))*(입력_파견수련계획!$S$4:$S$803="구리병원")*입력_파견수련계획!$W$4:$W$803))+IF($AG300="구리병원",MAX(0,DAY(EOMONTH(출력_요약!$B$3,0))-N($X300)),0)))</f>
        <v/>
      </c>
      <c r="AJ300" s="10">
        <f>IF(OR($B300="",TRIM($J300&amp;"")=""),"",IFERROR(MATCH(TRIM($J300&amp;"")&amp;"|월",입력_파견수련계획!$Z$4:$Z$803,0),""))</f>
        <v/>
      </c>
      <c r="AK300" s="10">
        <f>IF(OR($B300="",TRIM($J300&amp;"")=""),"",IFERROR(MATCH(TRIM($J300&amp;"")&amp;"|다기관",입력_파견수련계획!$AE$4:$AE$803,0),""))</f>
        <v/>
      </c>
      <c r="AL300" s="10">
        <f>IF($AK300="","","다기관 "&amp;TEXT(INDEX(입력_파견수련계획!$AB$4:$AB$803,$AK300),"yyyy-mm-dd")&amp;"~"&amp;IF(ISNUMBER(INDEX(입력_파견수련계획!$AC$4:$AC$803,$AK300)),TEXT(INDEX(입력_파견수련계획!$AC$4:$AC$803,$AK300),"yyyy-mm-dd"),""))</f>
        <v/>
      </c>
      <c r="AM300" s="10">
        <f>IF($Y300="서울병원",COUNTIF($Y$2:$Y300,"서울병원"),"")</f>
        <v/>
      </c>
      <c r="AN300" s="10">
        <f>IF(LEFT($Y300,1)="⚠",COUNTIF($Y$2:$Y300,"⚠*"),"")</f>
        <v/>
      </c>
      <c r="AO300" s="10">
        <f>IF(OR($B300="",$Y300=""),"",IF(IF(TRIM($J300&amp;"")="",0,SUMPRODUCT((입력_파견수련계획!$Q$4:$Q$803=TRIM($J300&amp;""))*입력_파견수련계획!$AD$4:$AD$803))&gt;0,"다기관 기간 → 소속병원 지급",IF(AND(N($X300)&lt;=0,$AQ300=""),"파견 없음 → 그 달 근무병원 지급",IF($AH300+$AI300=DAY(EOMONTH(출력_요약!$B$3,0)),"서울 "&amp;$AH300&amp;"일 / 구리 "&amp;$AI300&amp;"일"&amp;IF($AQ300&lt;&gt;""," (구리 근무자명단 반영)","")&amp;" → 15일 이상 근무 병원 지급","타 병원 포함 → "&amp;IF($AJ300="","소속",INDEX(입력_파견수련계획!$T$4:$T$803,$AJ300))&amp;" 규칙"))))</f>
        <v/>
      </c>
      <c r="AP300" s="10">
        <f>IF($B300="","",$C300&amp;"|"&amp;$F300)</f>
        <v/>
      </c>
      <c r="AQ300" s="10">
        <f>IF($B300="","",IFERROR(MATCH(ROW()-1,출력_구리근무자!$K$6:$K$305,0),""))</f>
        <v/>
      </c>
      <c r="AR300" s="10">
        <f>IF($AQ300="","",INDEX(출력_구리근무자!$H$6:$H$305,$AQ300))</f>
        <v/>
      </c>
    </row>
    <row r="301">
      <c r="A301" s="10">
        <f>IF(B301="","",ROW()-1)</f>
        <v/>
      </c>
      <c r="B301" s="19" t="n"/>
      <c r="C301" s="10">
        <f>IF($AB301="","",IF(INDEX(입력_기본자료!$C$2:$C$1001,$AB301)="","",INDEX(입력_기본자료!$C$2:$C$1001,$AB301)))</f>
        <v/>
      </c>
      <c r="D301" s="10">
        <f>IF($AB301="","",IF(INDEX(입력_기본자료!$J$2:$J$1001,$AB301)="","",INDEX(입력_기본자료!$J$2:$J$1001,$AB301)))</f>
        <v/>
      </c>
      <c r="E301" s="11">
        <f>IF($AB301="","",IF(INDEX(입력_기본자료!$K$2:$K$1001,$AB301)="","",IF(NOT(ISNUMBER(INDEX(입력_기본자료!$K$2:$K$1001,$AB301))),INDEX(입력_기본자료!$K$2:$K$1001,$AB301),IF(INDEX(입력_기본자료!$K$2:$K$1001,$AB301)&lt;1000000,INDEX(입력_기본자료!$K$2:$K$1001,$AB301),IF(AND(INDEX(입력_기본자료!$K$2:$K$1001,$AB301)&gt;=10000101,INT(MOD(INDEX(입력_기본자료!$K$2:$K$1001,$AB301),10000)/100)&gt;=1,INT(MOD(INDEX(입력_기본자료!$K$2:$K$1001,$AB301),10000)/100)&lt;=12,MOD(INDEX(입력_기본자료!$K$2:$K$1001,$AB301),100)&gt;=1,MOD(INDEX(입력_기본자료!$K$2:$K$1001,$AB301),100)&lt;=31),DATE(INT(INDEX(입력_기본자료!$K$2:$K$1001,$AB301)/10000),INT(MOD(INDEX(입력_기본자료!$K$2:$K$1001,$AB301),10000)/100),MOD(INDEX(입력_기본자료!$K$2:$K$1001,$AB301),100)),INDEX(입력_기본자료!$K$2:$K$1001,$AB301)&amp;"")))))</f>
        <v/>
      </c>
      <c r="F301" s="10">
        <f>IF($AB301="","",IF(INDEX(입력_기본자료!$D$2:$D$1001,$AB301)="","",INDEX(입력_기본자료!$D$2:$D$1001,$AB301)))</f>
        <v/>
      </c>
      <c r="G301" s="10">
        <f>IF($AB301="","",IF(INDEX(입력_기본자료!$E$2:$E$1001,$AB301)="","",INDEX(입력_기본자료!$E$2:$E$1001,$AB301)))</f>
        <v/>
      </c>
      <c r="H301" s="10">
        <f>IF($AB301="","",IF(INDEX(입력_기본자료!$F$2:$F$1001,$AB301)="","",INDEX(입력_기본자료!$F$2:$F$1001,$AB301)))</f>
        <v/>
      </c>
      <c r="I301" s="11">
        <f>IF($AB301="","",IF(INDEX(입력_기본자료!$G$2:$G$1001,$AB301)="","",IF(NOT(ISNUMBER(INDEX(입력_기본자료!$G$2:$G$1001,$AB301))),INDEX(입력_기본자료!$G$2:$G$1001,$AB301),IF(INDEX(입력_기본자료!$G$2:$G$1001,$AB301)&lt;1000000,INDEX(입력_기본자료!$G$2:$G$1001,$AB301),IF(AND(INDEX(입력_기본자료!$G$2:$G$1001,$AB301)&gt;=10000101,INT(MOD(INDEX(입력_기본자료!$G$2:$G$1001,$AB301),10000)/100)&gt;=1,INT(MOD(INDEX(입력_기본자료!$G$2:$G$1001,$AB301),10000)/100)&lt;=12,MOD(INDEX(입력_기본자료!$G$2:$G$1001,$AB301),100)&gt;=1,MOD(INDEX(입력_기본자료!$G$2:$G$1001,$AB301),100)&lt;=31),DATE(INT(INDEX(입력_기본자료!$G$2:$G$1001,$AB301)/10000),INT(MOD(INDEX(입력_기본자료!$G$2:$G$1001,$AB301),10000)/100),MOD(INDEX(입력_기본자료!$G$2:$G$1001,$AB301),100)),INDEX(입력_기본자료!$G$2:$G$1001,$AB301)&amp;"")))))</f>
        <v/>
      </c>
      <c r="J301" s="10">
        <f>IF($AB301="","",IF(INDEX(입력_기본자료!$H$2:$H$1001,$AB301)="","",INDEX(입력_기본자료!$H$2:$H$1001,$AB301)))</f>
        <v/>
      </c>
      <c r="K301" s="10">
        <f>IF($AB301="","",IF(INDEX(입력_기본자료!$I$2:$I$1001,$AB301)="","",INDEX(입력_기본자료!$I$2:$I$1001,$AB301)))</f>
        <v/>
      </c>
      <c r="L301" s="10">
        <f>IF($AB301="","",IF(INDEX(입력_기본자료!$A$2:$A$1001,$AB301)="","",INDEX(입력_기본자료!$A$2:$A$1001,$AB301)))</f>
        <v/>
      </c>
      <c r="M301" s="15" t="n"/>
      <c r="N301" s="10">
        <f>IF($B301="","",IF(AND($U301="파견중",$Q301&lt;&gt;""),$Q301,IF(AND($AD301&lt;&gt;"",LEFT($AD301,1)&lt;&gt;"⚠"),LEFT($AD301,FIND(" ",$AD301)-1),IF($H301="","",IF(RIGHT($H301,2)="병원",$H301,$H301&amp;"병원")))))</f>
        <v/>
      </c>
      <c r="O301" s="10">
        <f>IF($B301="","",IF(AND($U301="파견중",$Q301&lt;&gt;""),IF($R301&lt;&gt;"",$R301,"파견과 미입력"),IF(AND($AD301&lt;&gt;"",LEFT($AD301,1)&lt;&gt;"⚠"),MID($AD301,FIND(" ",$AD301)+1,60),IF($F301="","",IF($F301="인턴","수련교육부(인턴)",$F301)))))</f>
        <v/>
      </c>
      <c r="P301" s="10">
        <f>IF($B301="","",IF($AK301&lt;&gt;"",IF(AND(TODAY()&gt;=INDEX(입력_파견수련계획!$AB$4:$AB$803,$AK301),OR(NOT(ISNUMBER(INDEX(입력_파견수련계획!$AC$4:$AC$803,$AK301))),TODAY()&lt;=INDEX(입력_파견수련계획!$AC$4:$AC$803,$AK301))),"다기관",IF($AF301="","",INDEX(입력_파견수련계획!$T$4:$T$803,$AF301))),IF($AF301="","",INDEX(입력_파견수련계획!$T$4:$T$803,$AF301))))</f>
        <v/>
      </c>
      <c r="Q301" s="10">
        <f>IF($AF301="","",INDEX(입력_파견수련계획!$S$4:$S$803,$AF301))</f>
        <v/>
      </c>
      <c r="R301" s="10">
        <f>IF($AF301="","",INDEX(입력_파견수련계획!$U$4:$U$803,$AF301))</f>
        <v/>
      </c>
      <c r="S301" s="11">
        <f>IF($AF301="","",IF(INDEX(입력_파견수련계획!$H$4:$H$803,$AF301)="","",INDEX(입력_파견수련계획!$H$4:$H$803,$AF301)))</f>
        <v/>
      </c>
      <c r="T301" s="11">
        <f>IF($AF301="","",IF(INDEX(입력_파견수련계획!$I$4:$I$803,$AF301)="","",INDEX(입력_파견수련계획!$I$4:$I$803,$AF301)))</f>
        <v/>
      </c>
      <c r="U301" s="10">
        <f>IF($AF301="","",INDEX(입력_파견수련계획!$X$4:$X$803,$AF301))</f>
        <v/>
      </c>
      <c r="V301" s="17">
        <f>IF($AF301="","",INDEX(입력_파견수련계획!$V$4:$V$803,$AF301))</f>
        <v/>
      </c>
      <c r="W301" s="17">
        <f>IF(AND($U301="파견중",$T301&lt;&gt;""),$T301-TODAY(),"")</f>
        <v/>
      </c>
      <c r="X301" s="17">
        <f>IF(OR($B301="",TRIM($J301&amp;"")=""),"",SUMPRODUCT((입력_파견수련계획!$Q$4:$Q$803=TRIM($J301&amp;""))*입력_파견수련계획!$W$4:$W$803))</f>
        <v/>
      </c>
      <c r="Y301" s="10">
        <f>IF($B301="","",IF($AG301="","",IF(IF(TRIM($J301&amp;"")="",0,SUMPRODUCT((입력_파견수련계획!$Q$4:$Q$803=TRIM($J301&amp;""))*입력_파견수련계획!$AD$4:$AD$803))&gt;0,$AE301,IF(AND(N($X301)&lt;=0,$AQ301=""),$AG301,IF($AH301+$AI301=DAY(EOMONTH(출력_요약!$B$3,0)),IF(AND($AH301&gt;=출력_요약!$E$3,$AI301&lt;출력_요약!$E$3),"서울병원",IF(AND($AI301&gt;=출력_요약!$E$3,$AH301&lt;출력_요약!$E$3),"구리병원","⚠15일 판정불가(서울 "&amp;$AH301&amp;"일/구리 "&amp;$AI301&amp;"일)")),IF($AJ301="",$AE301,IF(INDEX(입력_파견수련계획!$T$4:$T$803,$AJ301)="통합수련",INDEX(입력_파견수련계획!$S$4:$S$803,$AJ301),$AE301)))))))</f>
        <v/>
      </c>
      <c r="Z301" s="20">
        <f>IF($B301="","",IF($AB301="","기본자료에 없는 사번",IF(COUNTIF($B$2:$B$401,$B301)&gt;1,"중복 사번",IF($AE301="","소속(입사장소) 입력",IF(IF(TRIM($J301&amp;"")="",0,SUMPRODUCT((입력_파견수련계획!$Q$4:$Q$803=TRIM($J301&amp;""))*(입력_파견수련계획!$AA$4:$AA$803&lt;&gt;"")))&gt;0,"파견수련계획 입력오류 확인",IF(LEFT($Y301,1)="⚠","서울·구리 15일 판정 불가(양쪽 모두 이상/미만)",IF(IF($AC301="",0,N(INDEX(입력_인턴근무계획!$T$3:$T$402,$AC301)))&gt;0,"인턴계획 입력오류 확인",IF(AND($AQ301&lt;&gt;"",$AG301&lt;&gt;"구리병원",IF(TRIM($J301&amp;"")="",0,SUMPRODUCT((입력_파견수련계획!$Q$4:$Q$803=TRIM($J301&amp;""))*(입력_파견수련계획!$S$4:$S$803="구리병원")*입력_파견수련계획!$W$4:$W$803))=0),"구리 근무자명단에만 있음(파견수련계획 확인)",IF(AND($AC301&lt;&gt;"",$U301&lt;&gt;"파견중",$N301&lt;&gt;$AE301),"인턴 타지역 근무: 파견 여부 확인","정상")))))))))</f>
        <v/>
      </c>
      <c r="AA301" s="5" t="n"/>
      <c r="AB301" s="10">
        <f>IF($B301="","",IFERROR(MATCH($B301,입력_기본자료!$B$2:$B$1001,0),IFERROR(MATCH($B301&amp;"",입력_기본자료!$B$2:$B$1001,0),IFERROR(MATCH(VALUE($B301),입력_기본자료!$B$2:$B$1001,0),""))))</f>
        <v/>
      </c>
      <c r="AC301" s="10">
        <f>IF($B301="","",IFERROR(MATCH($B301,입력_인턴근무계획!$D$3:$D$402,0),IFERROR(MATCH($B301&amp;"",입력_인턴근무계획!$D$3:$D$402,0),IFERROR(MATCH(VALUE($B301),입력_인턴근무계획!$D$3:$D$402,0),""))))</f>
        <v/>
      </c>
      <c r="AD301" s="10">
        <f>IF(OR($AC301="",출력_인턴현황!$G$3=""),"",INDEX(입력_인턴근무계획!$M$3:$R$402,$AC301,출력_인턴현황!$G$3)&amp;"")</f>
        <v/>
      </c>
      <c r="AE301" s="10">
        <f>IF($B301="","",IF($M301&lt;&gt;"",$M301,IF(IF($AQ301="",FALSE,INDEX(출력_구리근무자!$J$6:$J$305,$AQ301)="구리독자"),"구리병원",IF($AF301&lt;&gt;"",IF(LEFT(INDEX(입력_파견수련계획!$R$4:$R$803,$AF301),1)&lt;&gt;"⚠",INDEX(입력_파견수련계획!$R$4:$R$803,$AF301),IF($H301="","",IF(RIGHT($H301,2)="병원",$H301,$H301&amp;"병원"))),IF($H301="","",IF(RIGHT($H301,2)="병원",$H301,$H301&amp;"병원"))))))</f>
        <v/>
      </c>
      <c r="AF301" s="10">
        <f>IF(OR($B301="",TRIM($J301&amp;"")=""),"",IFERROR(MATCH(TRIM($J301&amp;"")&amp;"|파견중",입력_파견수련계획!$Y$4:$Y$803,0),IFERROR(MATCH(TRIM($J301&amp;"")&amp;"|파견예정",입력_파견수련계획!$Y$4:$Y$803,0),IFERROR(MATCH(TRIM($J301&amp;"")&amp;"|파견종료",입력_파견수련계획!$Y$4:$Y$803,0),""))))</f>
        <v/>
      </c>
      <c r="AG301" s="10">
        <f>IF($B301="","",IF(AND(IF(OR($AC301="",출력_인턴현황!$K$2=""),"",INDEX(입력_인턴근무계획!$M$3:$R$402,$AC301,출력_인턴현황!$K$2)&amp;"")&lt;&gt;"",LEFT(IF(OR($AC301="",출력_인턴현황!$K$2=""),"",INDEX(입력_인턴근무계획!$M$3:$R$402,$AC301,출력_인턴현황!$K$2)&amp;""),1)&lt;&gt;"⚠"),LEFT(IF(OR($AC301="",출력_인턴현황!$K$2=""),"",INDEX(입력_인턴근무계획!$M$3:$R$402,$AC301,출력_인턴현황!$K$2)&amp;""),FIND(" ",IF(OR($AC301="",출력_인턴현황!$K$2=""),"",INDEX(입력_인턴근무계획!$M$3:$R$402,$AC301,출력_인턴현황!$K$2)&amp;""))-1),$AE301))</f>
        <v/>
      </c>
      <c r="AH301" s="17">
        <f>IF($B301="","",IF($AQ301&lt;&gt;"",MAX(0,DAY(EOMONTH(출력_요약!$B$3,0))-N($AR301)),IF(TRIM($J301&amp;"")="",0,SUMPRODUCT((입력_파견수련계획!$Q$4:$Q$803=TRIM($J301&amp;""))*(입력_파견수련계획!$S$4:$S$803="서울병원")*입력_파견수련계획!$W$4:$W$803))+IF($AG301="서울병원",MAX(0,DAY(EOMONTH(출력_요약!$B$3,0))-N($X301)),0)))</f>
        <v/>
      </c>
      <c r="AI301" s="17">
        <f>IF($B301="","",IF($AQ301&lt;&gt;"",N($AR301),IF(TRIM($J301&amp;"")="",0,SUMPRODUCT((입력_파견수련계획!$Q$4:$Q$803=TRIM($J301&amp;""))*(입력_파견수련계획!$S$4:$S$803="구리병원")*입력_파견수련계획!$W$4:$W$803))+IF($AG301="구리병원",MAX(0,DAY(EOMONTH(출력_요약!$B$3,0))-N($X301)),0)))</f>
        <v/>
      </c>
      <c r="AJ301" s="10">
        <f>IF(OR($B301="",TRIM($J301&amp;"")=""),"",IFERROR(MATCH(TRIM($J301&amp;"")&amp;"|월",입력_파견수련계획!$Z$4:$Z$803,0),""))</f>
        <v/>
      </c>
      <c r="AK301" s="10">
        <f>IF(OR($B301="",TRIM($J301&amp;"")=""),"",IFERROR(MATCH(TRIM($J301&amp;"")&amp;"|다기관",입력_파견수련계획!$AE$4:$AE$803,0),""))</f>
        <v/>
      </c>
      <c r="AL301" s="10">
        <f>IF($AK301="","","다기관 "&amp;TEXT(INDEX(입력_파견수련계획!$AB$4:$AB$803,$AK301),"yyyy-mm-dd")&amp;"~"&amp;IF(ISNUMBER(INDEX(입력_파견수련계획!$AC$4:$AC$803,$AK301)),TEXT(INDEX(입력_파견수련계획!$AC$4:$AC$803,$AK301),"yyyy-mm-dd"),""))</f>
        <v/>
      </c>
      <c r="AM301" s="10">
        <f>IF($Y301="서울병원",COUNTIF($Y$2:$Y301,"서울병원"),"")</f>
        <v/>
      </c>
      <c r="AN301" s="10">
        <f>IF(LEFT($Y301,1)="⚠",COUNTIF($Y$2:$Y301,"⚠*"),"")</f>
        <v/>
      </c>
      <c r="AO301" s="10">
        <f>IF(OR($B301="",$Y301=""),"",IF(IF(TRIM($J301&amp;"")="",0,SUMPRODUCT((입력_파견수련계획!$Q$4:$Q$803=TRIM($J301&amp;""))*입력_파견수련계획!$AD$4:$AD$803))&gt;0,"다기관 기간 → 소속병원 지급",IF(AND(N($X301)&lt;=0,$AQ301=""),"파견 없음 → 그 달 근무병원 지급",IF($AH301+$AI301=DAY(EOMONTH(출력_요약!$B$3,0)),"서울 "&amp;$AH301&amp;"일 / 구리 "&amp;$AI301&amp;"일"&amp;IF($AQ301&lt;&gt;""," (구리 근무자명단 반영)","")&amp;" → 15일 이상 근무 병원 지급","타 병원 포함 → "&amp;IF($AJ301="","소속",INDEX(입력_파견수련계획!$T$4:$T$803,$AJ301))&amp;" 규칙"))))</f>
        <v/>
      </c>
      <c r="AP301" s="10">
        <f>IF($B301="","",$C301&amp;"|"&amp;$F301)</f>
        <v/>
      </c>
      <c r="AQ301" s="10">
        <f>IF($B301="","",IFERROR(MATCH(ROW()-1,출력_구리근무자!$K$6:$K$305,0),""))</f>
        <v/>
      </c>
      <c r="AR301" s="10">
        <f>IF($AQ301="","",INDEX(출력_구리근무자!$H$6:$H$305,$AQ301))</f>
        <v/>
      </c>
    </row>
    <row r="302">
      <c r="A302" s="10">
        <f>IF(B302="","",ROW()-1)</f>
        <v/>
      </c>
      <c r="B302" s="19" t="n"/>
      <c r="C302" s="10">
        <f>IF($AB302="","",IF(INDEX(입력_기본자료!$C$2:$C$1001,$AB302)="","",INDEX(입력_기본자료!$C$2:$C$1001,$AB302)))</f>
        <v/>
      </c>
      <c r="D302" s="10">
        <f>IF($AB302="","",IF(INDEX(입력_기본자료!$J$2:$J$1001,$AB302)="","",INDEX(입력_기본자료!$J$2:$J$1001,$AB302)))</f>
        <v/>
      </c>
      <c r="E302" s="11">
        <f>IF($AB302="","",IF(INDEX(입력_기본자료!$K$2:$K$1001,$AB302)="","",IF(NOT(ISNUMBER(INDEX(입력_기본자료!$K$2:$K$1001,$AB302))),INDEX(입력_기본자료!$K$2:$K$1001,$AB302),IF(INDEX(입력_기본자료!$K$2:$K$1001,$AB302)&lt;1000000,INDEX(입력_기본자료!$K$2:$K$1001,$AB302),IF(AND(INDEX(입력_기본자료!$K$2:$K$1001,$AB302)&gt;=10000101,INT(MOD(INDEX(입력_기본자료!$K$2:$K$1001,$AB302),10000)/100)&gt;=1,INT(MOD(INDEX(입력_기본자료!$K$2:$K$1001,$AB302),10000)/100)&lt;=12,MOD(INDEX(입력_기본자료!$K$2:$K$1001,$AB302),100)&gt;=1,MOD(INDEX(입력_기본자료!$K$2:$K$1001,$AB302),100)&lt;=31),DATE(INT(INDEX(입력_기본자료!$K$2:$K$1001,$AB302)/10000),INT(MOD(INDEX(입력_기본자료!$K$2:$K$1001,$AB302),10000)/100),MOD(INDEX(입력_기본자료!$K$2:$K$1001,$AB302),100)),INDEX(입력_기본자료!$K$2:$K$1001,$AB302)&amp;"")))))</f>
        <v/>
      </c>
      <c r="F302" s="10">
        <f>IF($AB302="","",IF(INDEX(입력_기본자료!$D$2:$D$1001,$AB302)="","",INDEX(입력_기본자료!$D$2:$D$1001,$AB302)))</f>
        <v/>
      </c>
      <c r="G302" s="10">
        <f>IF($AB302="","",IF(INDEX(입력_기본자료!$E$2:$E$1001,$AB302)="","",INDEX(입력_기본자료!$E$2:$E$1001,$AB302)))</f>
        <v/>
      </c>
      <c r="H302" s="10">
        <f>IF($AB302="","",IF(INDEX(입력_기본자료!$F$2:$F$1001,$AB302)="","",INDEX(입력_기본자료!$F$2:$F$1001,$AB302)))</f>
        <v/>
      </c>
      <c r="I302" s="11">
        <f>IF($AB302="","",IF(INDEX(입력_기본자료!$G$2:$G$1001,$AB302)="","",IF(NOT(ISNUMBER(INDEX(입력_기본자료!$G$2:$G$1001,$AB302))),INDEX(입력_기본자료!$G$2:$G$1001,$AB302),IF(INDEX(입력_기본자료!$G$2:$G$1001,$AB302)&lt;1000000,INDEX(입력_기본자료!$G$2:$G$1001,$AB302),IF(AND(INDEX(입력_기본자료!$G$2:$G$1001,$AB302)&gt;=10000101,INT(MOD(INDEX(입력_기본자료!$G$2:$G$1001,$AB302),10000)/100)&gt;=1,INT(MOD(INDEX(입력_기본자료!$G$2:$G$1001,$AB302),10000)/100)&lt;=12,MOD(INDEX(입력_기본자료!$G$2:$G$1001,$AB302),100)&gt;=1,MOD(INDEX(입력_기본자료!$G$2:$G$1001,$AB302),100)&lt;=31),DATE(INT(INDEX(입력_기본자료!$G$2:$G$1001,$AB302)/10000),INT(MOD(INDEX(입력_기본자료!$G$2:$G$1001,$AB302),10000)/100),MOD(INDEX(입력_기본자료!$G$2:$G$1001,$AB302),100)),INDEX(입력_기본자료!$G$2:$G$1001,$AB302)&amp;"")))))</f>
        <v/>
      </c>
      <c r="J302" s="10">
        <f>IF($AB302="","",IF(INDEX(입력_기본자료!$H$2:$H$1001,$AB302)="","",INDEX(입력_기본자료!$H$2:$H$1001,$AB302)))</f>
        <v/>
      </c>
      <c r="K302" s="10">
        <f>IF($AB302="","",IF(INDEX(입력_기본자료!$I$2:$I$1001,$AB302)="","",INDEX(입력_기본자료!$I$2:$I$1001,$AB302)))</f>
        <v/>
      </c>
      <c r="L302" s="10">
        <f>IF($AB302="","",IF(INDEX(입력_기본자료!$A$2:$A$1001,$AB302)="","",INDEX(입력_기본자료!$A$2:$A$1001,$AB302)))</f>
        <v/>
      </c>
      <c r="M302" s="15" t="n"/>
      <c r="N302" s="10">
        <f>IF($B302="","",IF(AND($U302="파견중",$Q302&lt;&gt;""),$Q302,IF(AND($AD302&lt;&gt;"",LEFT($AD302,1)&lt;&gt;"⚠"),LEFT($AD302,FIND(" ",$AD302)-1),IF($H302="","",IF(RIGHT($H302,2)="병원",$H302,$H302&amp;"병원")))))</f>
        <v/>
      </c>
      <c r="O302" s="10">
        <f>IF($B302="","",IF(AND($U302="파견중",$Q302&lt;&gt;""),IF($R302&lt;&gt;"",$R302,"파견과 미입력"),IF(AND($AD302&lt;&gt;"",LEFT($AD302,1)&lt;&gt;"⚠"),MID($AD302,FIND(" ",$AD302)+1,60),IF($F302="","",IF($F302="인턴","수련교육부(인턴)",$F302)))))</f>
        <v/>
      </c>
      <c r="P302" s="10">
        <f>IF($B302="","",IF($AK302&lt;&gt;"",IF(AND(TODAY()&gt;=INDEX(입력_파견수련계획!$AB$4:$AB$803,$AK302),OR(NOT(ISNUMBER(INDEX(입력_파견수련계획!$AC$4:$AC$803,$AK302))),TODAY()&lt;=INDEX(입력_파견수련계획!$AC$4:$AC$803,$AK302))),"다기관",IF($AF302="","",INDEX(입력_파견수련계획!$T$4:$T$803,$AF302))),IF($AF302="","",INDEX(입력_파견수련계획!$T$4:$T$803,$AF302))))</f>
        <v/>
      </c>
      <c r="Q302" s="10">
        <f>IF($AF302="","",INDEX(입력_파견수련계획!$S$4:$S$803,$AF302))</f>
        <v/>
      </c>
      <c r="R302" s="10">
        <f>IF($AF302="","",INDEX(입력_파견수련계획!$U$4:$U$803,$AF302))</f>
        <v/>
      </c>
      <c r="S302" s="11">
        <f>IF($AF302="","",IF(INDEX(입력_파견수련계획!$H$4:$H$803,$AF302)="","",INDEX(입력_파견수련계획!$H$4:$H$803,$AF302)))</f>
        <v/>
      </c>
      <c r="T302" s="11">
        <f>IF($AF302="","",IF(INDEX(입력_파견수련계획!$I$4:$I$803,$AF302)="","",INDEX(입력_파견수련계획!$I$4:$I$803,$AF302)))</f>
        <v/>
      </c>
      <c r="U302" s="10">
        <f>IF($AF302="","",INDEX(입력_파견수련계획!$X$4:$X$803,$AF302))</f>
        <v/>
      </c>
      <c r="V302" s="17">
        <f>IF($AF302="","",INDEX(입력_파견수련계획!$V$4:$V$803,$AF302))</f>
        <v/>
      </c>
      <c r="W302" s="17">
        <f>IF(AND($U302="파견중",$T302&lt;&gt;""),$T302-TODAY(),"")</f>
        <v/>
      </c>
      <c r="X302" s="17">
        <f>IF(OR($B302="",TRIM($J302&amp;"")=""),"",SUMPRODUCT((입력_파견수련계획!$Q$4:$Q$803=TRIM($J302&amp;""))*입력_파견수련계획!$W$4:$W$803))</f>
        <v/>
      </c>
      <c r="Y302" s="10">
        <f>IF($B302="","",IF($AG302="","",IF(IF(TRIM($J302&amp;"")="",0,SUMPRODUCT((입력_파견수련계획!$Q$4:$Q$803=TRIM($J302&amp;""))*입력_파견수련계획!$AD$4:$AD$803))&gt;0,$AE302,IF(AND(N($X302)&lt;=0,$AQ302=""),$AG302,IF($AH302+$AI302=DAY(EOMONTH(출력_요약!$B$3,0)),IF(AND($AH302&gt;=출력_요약!$E$3,$AI302&lt;출력_요약!$E$3),"서울병원",IF(AND($AI302&gt;=출력_요약!$E$3,$AH302&lt;출력_요약!$E$3),"구리병원","⚠15일 판정불가(서울 "&amp;$AH302&amp;"일/구리 "&amp;$AI302&amp;"일)")),IF($AJ302="",$AE302,IF(INDEX(입력_파견수련계획!$T$4:$T$803,$AJ302)="통합수련",INDEX(입력_파견수련계획!$S$4:$S$803,$AJ302),$AE302)))))))</f>
        <v/>
      </c>
      <c r="Z302" s="20">
        <f>IF($B302="","",IF($AB302="","기본자료에 없는 사번",IF(COUNTIF($B$2:$B$401,$B302)&gt;1,"중복 사번",IF($AE302="","소속(입사장소) 입력",IF(IF(TRIM($J302&amp;"")="",0,SUMPRODUCT((입력_파견수련계획!$Q$4:$Q$803=TRIM($J302&amp;""))*(입력_파견수련계획!$AA$4:$AA$803&lt;&gt;"")))&gt;0,"파견수련계획 입력오류 확인",IF(LEFT($Y302,1)="⚠","서울·구리 15일 판정 불가(양쪽 모두 이상/미만)",IF(IF($AC302="",0,N(INDEX(입력_인턴근무계획!$T$3:$T$402,$AC302)))&gt;0,"인턴계획 입력오류 확인",IF(AND($AQ302&lt;&gt;"",$AG302&lt;&gt;"구리병원",IF(TRIM($J302&amp;"")="",0,SUMPRODUCT((입력_파견수련계획!$Q$4:$Q$803=TRIM($J302&amp;""))*(입력_파견수련계획!$S$4:$S$803="구리병원")*입력_파견수련계획!$W$4:$W$803))=0),"구리 근무자명단에만 있음(파견수련계획 확인)",IF(AND($AC302&lt;&gt;"",$U302&lt;&gt;"파견중",$N302&lt;&gt;$AE302),"인턴 타지역 근무: 파견 여부 확인","정상")))))))))</f>
        <v/>
      </c>
      <c r="AA302" s="5" t="n"/>
      <c r="AB302" s="10">
        <f>IF($B302="","",IFERROR(MATCH($B302,입력_기본자료!$B$2:$B$1001,0),IFERROR(MATCH($B302&amp;"",입력_기본자료!$B$2:$B$1001,0),IFERROR(MATCH(VALUE($B302),입력_기본자료!$B$2:$B$1001,0),""))))</f>
        <v/>
      </c>
      <c r="AC302" s="10">
        <f>IF($B302="","",IFERROR(MATCH($B302,입력_인턴근무계획!$D$3:$D$402,0),IFERROR(MATCH($B302&amp;"",입력_인턴근무계획!$D$3:$D$402,0),IFERROR(MATCH(VALUE($B302),입력_인턴근무계획!$D$3:$D$402,0),""))))</f>
        <v/>
      </c>
      <c r="AD302" s="10">
        <f>IF(OR($AC302="",출력_인턴현황!$G$3=""),"",INDEX(입력_인턴근무계획!$M$3:$R$402,$AC302,출력_인턴현황!$G$3)&amp;"")</f>
        <v/>
      </c>
      <c r="AE302" s="10">
        <f>IF($B302="","",IF($M302&lt;&gt;"",$M302,IF(IF($AQ302="",FALSE,INDEX(출력_구리근무자!$J$6:$J$305,$AQ302)="구리독자"),"구리병원",IF($AF302&lt;&gt;"",IF(LEFT(INDEX(입력_파견수련계획!$R$4:$R$803,$AF302),1)&lt;&gt;"⚠",INDEX(입력_파견수련계획!$R$4:$R$803,$AF302),IF($H302="","",IF(RIGHT($H302,2)="병원",$H302,$H302&amp;"병원"))),IF($H302="","",IF(RIGHT($H302,2)="병원",$H302,$H302&amp;"병원"))))))</f>
        <v/>
      </c>
      <c r="AF302" s="10">
        <f>IF(OR($B302="",TRIM($J302&amp;"")=""),"",IFERROR(MATCH(TRIM($J302&amp;"")&amp;"|파견중",입력_파견수련계획!$Y$4:$Y$803,0),IFERROR(MATCH(TRIM($J302&amp;"")&amp;"|파견예정",입력_파견수련계획!$Y$4:$Y$803,0),IFERROR(MATCH(TRIM($J302&amp;"")&amp;"|파견종료",입력_파견수련계획!$Y$4:$Y$803,0),""))))</f>
        <v/>
      </c>
      <c r="AG302" s="10">
        <f>IF($B302="","",IF(AND(IF(OR($AC302="",출력_인턴현황!$K$2=""),"",INDEX(입력_인턴근무계획!$M$3:$R$402,$AC302,출력_인턴현황!$K$2)&amp;"")&lt;&gt;"",LEFT(IF(OR($AC302="",출력_인턴현황!$K$2=""),"",INDEX(입력_인턴근무계획!$M$3:$R$402,$AC302,출력_인턴현황!$K$2)&amp;""),1)&lt;&gt;"⚠"),LEFT(IF(OR($AC302="",출력_인턴현황!$K$2=""),"",INDEX(입력_인턴근무계획!$M$3:$R$402,$AC302,출력_인턴현황!$K$2)&amp;""),FIND(" ",IF(OR($AC302="",출력_인턴현황!$K$2=""),"",INDEX(입력_인턴근무계획!$M$3:$R$402,$AC302,출력_인턴현황!$K$2)&amp;""))-1),$AE302))</f>
        <v/>
      </c>
      <c r="AH302" s="17">
        <f>IF($B302="","",IF($AQ302&lt;&gt;"",MAX(0,DAY(EOMONTH(출력_요약!$B$3,0))-N($AR302)),IF(TRIM($J302&amp;"")="",0,SUMPRODUCT((입력_파견수련계획!$Q$4:$Q$803=TRIM($J302&amp;""))*(입력_파견수련계획!$S$4:$S$803="서울병원")*입력_파견수련계획!$W$4:$W$803))+IF($AG302="서울병원",MAX(0,DAY(EOMONTH(출력_요약!$B$3,0))-N($X302)),0)))</f>
        <v/>
      </c>
      <c r="AI302" s="17">
        <f>IF($B302="","",IF($AQ302&lt;&gt;"",N($AR302),IF(TRIM($J302&amp;"")="",0,SUMPRODUCT((입력_파견수련계획!$Q$4:$Q$803=TRIM($J302&amp;""))*(입력_파견수련계획!$S$4:$S$803="구리병원")*입력_파견수련계획!$W$4:$W$803))+IF($AG302="구리병원",MAX(0,DAY(EOMONTH(출력_요약!$B$3,0))-N($X302)),0)))</f>
        <v/>
      </c>
      <c r="AJ302" s="10">
        <f>IF(OR($B302="",TRIM($J302&amp;"")=""),"",IFERROR(MATCH(TRIM($J302&amp;"")&amp;"|월",입력_파견수련계획!$Z$4:$Z$803,0),""))</f>
        <v/>
      </c>
      <c r="AK302" s="10">
        <f>IF(OR($B302="",TRIM($J302&amp;"")=""),"",IFERROR(MATCH(TRIM($J302&amp;"")&amp;"|다기관",입력_파견수련계획!$AE$4:$AE$803,0),""))</f>
        <v/>
      </c>
      <c r="AL302" s="10">
        <f>IF($AK302="","","다기관 "&amp;TEXT(INDEX(입력_파견수련계획!$AB$4:$AB$803,$AK302),"yyyy-mm-dd")&amp;"~"&amp;IF(ISNUMBER(INDEX(입력_파견수련계획!$AC$4:$AC$803,$AK302)),TEXT(INDEX(입력_파견수련계획!$AC$4:$AC$803,$AK302),"yyyy-mm-dd"),""))</f>
        <v/>
      </c>
      <c r="AM302" s="10">
        <f>IF($Y302="서울병원",COUNTIF($Y$2:$Y302,"서울병원"),"")</f>
        <v/>
      </c>
      <c r="AN302" s="10">
        <f>IF(LEFT($Y302,1)="⚠",COUNTIF($Y$2:$Y302,"⚠*"),"")</f>
        <v/>
      </c>
      <c r="AO302" s="10">
        <f>IF(OR($B302="",$Y302=""),"",IF(IF(TRIM($J302&amp;"")="",0,SUMPRODUCT((입력_파견수련계획!$Q$4:$Q$803=TRIM($J302&amp;""))*입력_파견수련계획!$AD$4:$AD$803))&gt;0,"다기관 기간 → 소속병원 지급",IF(AND(N($X302)&lt;=0,$AQ302=""),"파견 없음 → 그 달 근무병원 지급",IF($AH302+$AI302=DAY(EOMONTH(출력_요약!$B$3,0)),"서울 "&amp;$AH302&amp;"일 / 구리 "&amp;$AI302&amp;"일"&amp;IF($AQ302&lt;&gt;""," (구리 근무자명단 반영)","")&amp;" → 15일 이상 근무 병원 지급","타 병원 포함 → "&amp;IF($AJ302="","소속",INDEX(입력_파견수련계획!$T$4:$T$803,$AJ302))&amp;" 규칙"))))</f>
        <v/>
      </c>
      <c r="AP302" s="10">
        <f>IF($B302="","",$C302&amp;"|"&amp;$F302)</f>
        <v/>
      </c>
      <c r="AQ302" s="10">
        <f>IF($B302="","",IFERROR(MATCH(ROW()-1,출력_구리근무자!$K$6:$K$305,0),""))</f>
        <v/>
      </c>
      <c r="AR302" s="10">
        <f>IF($AQ302="","",INDEX(출력_구리근무자!$H$6:$H$305,$AQ302))</f>
        <v/>
      </c>
    </row>
    <row r="303">
      <c r="A303" s="10">
        <f>IF(B303="","",ROW()-1)</f>
        <v/>
      </c>
      <c r="B303" s="19" t="n"/>
      <c r="C303" s="10">
        <f>IF($AB303="","",IF(INDEX(입력_기본자료!$C$2:$C$1001,$AB303)="","",INDEX(입력_기본자료!$C$2:$C$1001,$AB303)))</f>
        <v/>
      </c>
      <c r="D303" s="10">
        <f>IF($AB303="","",IF(INDEX(입력_기본자료!$J$2:$J$1001,$AB303)="","",INDEX(입력_기본자료!$J$2:$J$1001,$AB303)))</f>
        <v/>
      </c>
      <c r="E303" s="11">
        <f>IF($AB303="","",IF(INDEX(입력_기본자료!$K$2:$K$1001,$AB303)="","",IF(NOT(ISNUMBER(INDEX(입력_기본자료!$K$2:$K$1001,$AB303))),INDEX(입력_기본자료!$K$2:$K$1001,$AB303),IF(INDEX(입력_기본자료!$K$2:$K$1001,$AB303)&lt;1000000,INDEX(입력_기본자료!$K$2:$K$1001,$AB303),IF(AND(INDEX(입력_기본자료!$K$2:$K$1001,$AB303)&gt;=10000101,INT(MOD(INDEX(입력_기본자료!$K$2:$K$1001,$AB303),10000)/100)&gt;=1,INT(MOD(INDEX(입력_기본자료!$K$2:$K$1001,$AB303),10000)/100)&lt;=12,MOD(INDEX(입력_기본자료!$K$2:$K$1001,$AB303),100)&gt;=1,MOD(INDEX(입력_기본자료!$K$2:$K$1001,$AB303),100)&lt;=31),DATE(INT(INDEX(입력_기본자료!$K$2:$K$1001,$AB303)/10000),INT(MOD(INDEX(입력_기본자료!$K$2:$K$1001,$AB303),10000)/100),MOD(INDEX(입력_기본자료!$K$2:$K$1001,$AB303),100)),INDEX(입력_기본자료!$K$2:$K$1001,$AB303)&amp;"")))))</f>
        <v/>
      </c>
      <c r="F303" s="10">
        <f>IF($AB303="","",IF(INDEX(입력_기본자료!$D$2:$D$1001,$AB303)="","",INDEX(입력_기본자료!$D$2:$D$1001,$AB303)))</f>
        <v/>
      </c>
      <c r="G303" s="10">
        <f>IF($AB303="","",IF(INDEX(입력_기본자료!$E$2:$E$1001,$AB303)="","",INDEX(입력_기본자료!$E$2:$E$1001,$AB303)))</f>
        <v/>
      </c>
      <c r="H303" s="10">
        <f>IF($AB303="","",IF(INDEX(입력_기본자료!$F$2:$F$1001,$AB303)="","",INDEX(입력_기본자료!$F$2:$F$1001,$AB303)))</f>
        <v/>
      </c>
      <c r="I303" s="11">
        <f>IF($AB303="","",IF(INDEX(입력_기본자료!$G$2:$G$1001,$AB303)="","",IF(NOT(ISNUMBER(INDEX(입력_기본자료!$G$2:$G$1001,$AB303))),INDEX(입력_기본자료!$G$2:$G$1001,$AB303),IF(INDEX(입력_기본자료!$G$2:$G$1001,$AB303)&lt;1000000,INDEX(입력_기본자료!$G$2:$G$1001,$AB303),IF(AND(INDEX(입력_기본자료!$G$2:$G$1001,$AB303)&gt;=10000101,INT(MOD(INDEX(입력_기본자료!$G$2:$G$1001,$AB303),10000)/100)&gt;=1,INT(MOD(INDEX(입력_기본자료!$G$2:$G$1001,$AB303),10000)/100)&lt;=12,MOD(INDEX(입력_기본자료!$G$2:$G$1001,$AB303),100)&gt;=1,MOD(INDEX(입력_기본자료!$G$2:$G$1001,$AB303),100)&lt;=31),DATE(INT(INDEX(입력_기본자료!$G$2:$G$1001,$AB303)/10000),INT(MOD(INDEX(입력_기본자료!$G$2:$G$1001,$AB303),10000)/100),MOD(INDEX(입력_기본자료!$G$2:$G$1001,$AB303),100)),INDEX(입력_기본자료!$G$2:$G$1001,$AB303)&amp;"")))))</f>
        <v/>
      </c>
      <c r="J303" s="10">
        <f>IF($AB303="","",IF(INDEX(입력_기본자료!$H$2:$H$1001,$AB303)="","",INDEX(입력_기본자료!$H$2:$H$1001,$AB303)))</f>
        <v/>
      </c>
      <c r="K303" s="10">
        <f>IF($AB303="","",IF(INDEX(입력_기본자료!$I$2:$I$1001,$AB303)="","",INDEX(입력_기본자료!$I$2:$I$1001,$AB303)))</f>
        <v/>
      </c>
      <c r="L303" s="10">
        <f>IF($AB303="","",IF(INDEX(입력_기본자료!$A$2:$A$1001,$AB303)="","",INDEX(입력_기본자료!$A$2:$A$1001,$AB303)))</f>
        <v/>
      </c>
      <c r="M303" s="15" t="n"/>
      <c r="N303" s="10">
        <f>IF($B303="","",IF(AND($U303="파견중",$Q303&lt;&gt;""),$Q303,IF(AND($AD303&lt;&gt;"",LEFT($AD303,1)&lt;&gt;"⚠"),LEFT($AD303,FIND(" ",$AD303)-1),IF($H303="","",IF(RIGHT($H303,2)="병원",$H303,$H303&amp;"병원")))))</f>
        <v/>
      </c>
      <c r="O303" s="10">
        <f>IF($B303="","",IF(AND($U303="파견중",$Q303&lt;&gt;""),IF($R303&lt;&gt;"",$R303,"파견과 미입력"),IF(AND($AD303&lt;&gt;"",LEFT($AD303,1)&lt;&gt;"⚠"),MID($AD303,FIND(" ",$AD303)+1,60),IF($F303="","",IF($F303="인턴","수련교육부(인턴)",$F303)))))</f>
        <v/>
      </c>
      <c r="P303" s="10">
        <f>IF($B303="","",IF($AK303&lt;&gt;"",IF(AND(TODAY()&gt;=INDEX(입력_파견수련계획!$AB$4:$AB$803,$AK303),OR(NOT(ISNUMBER(INDEX(입력_파견수련계획!$AC$4:$AC$803,$AK303))),TODAY()&lt;=INDEX(입력_파견수련계획!$AC$4:$AC$803,$AK303))),"다기관",IF($AF303="","",INDEX(입력_파견수련계획!$T$4:$T$803,$AF303))),IF($AF303="","",INDEX(입력_파견수련계획!$T$4:$T$803,$AF303))))</f>
        <v/>
      </c>
      <c r="Q303" s="10">
        <f>IF($AF303="","",INDEX(입력_파견수련계획!$S$4:$S$803,$AF303))</f>
        <v/>
      </c>
      <c r="R303" s="10">
        <f>IF($AF303="","",INDEX(입력_파견수련계획!$U$4:$U$803,$AF303))</f>
        <v/>
      </c>
      <c r="S303" s="11">
        <f>IF($AF303="","",IF(INDEX(입력_파견수련계획!$H$4:$H$803,$AF303)="","",INDEX(입력_파견수련계획!$H$4:$H$803,$AF303)))</f>
        <v/>
      </c>
      <c r="T303" s="11">
        <f>IF($AF303="","",IF(INDEX(입력_파견수련계획!$I$4:$I$803,$AF303)="","",INDEX(입력_파견수련계획!$I$4:$I$803,$AF303)))</f>
        <v/>
      </c>
      <c r="U303" s="10">
        <f>IF($AF303="","",INDEX(입력_파견수련계획!$X$4:$X$803,$AF303))</f>
        <v/>
      </c>
      <c r="V303" s="17">
        <f>IF($AF303="","",INDEX(입력_파견수련계획!$V$4:$V$803,$AF303))</f>
        <v/>
      </c>
      <c r="W303" s="17">
        <f>IF(AND($U303="파견중",$T303&lt;&gt;""),$T303-TODAY(),"")</f>
        <v/>
      </c>
      <c r="X303" s="17">
        <f>IF(OR($B303="",TRIM($J303&amp;"")=""),"",SUMPRODUCT((입력_파견수련계획!$Q$4:$Q$803=TRIM($J303&amp;""))*입력_파견수련계획!$W$4:$W$803))</f>
        <v/>
      </c>
      <c r="Y303" s="10">
        <f>IF($B303="","",IF($AG303="","",IF(IF(TRIM($J303&amp;"")="",0,SUMPRODUCT((입력_파견수련계획!$Q$4:$Q$803=TRIM($J303&amp;""))*입력_파견수련계획!$AD$4:$AD$803))&gt;0,$AE303,IF(AND(N($X303)&lt;=0,$AQ303=""),$AG303,IF($AH303+$AI303=DAY(EOMONTH(출력_요약!$B$3,0)),IF(AND($AH303&gt;=출력_요약!$E$3,$AI303&lt;출력_요약!$E$3),"서울병원",IF(AND($AI303&gt;=출력_요약!$E$3,$AH303&lt;출력_요약!$E$3),"구리병원","⚠15일 판정불가(서울 "&amp;$AH303&amp;"일/구리 "&amp;$AI303&amp;"일)")),IF($AJ303="",$AE303,IF(INDEX(입력_파견수련계획!$T$4:$T$803,$AJ303)="통합수련",INDEX(입력_파견수련계획!$S$4:$S$803,$AJ303),$AE303)))))))</f>
        <v/>
      </c>
      <c r="Z303" s="20">
        <f>IF($B303="","",IF($AB303="","기본자료에 없는 사번",IF(COUNTIF($B$2:$B$401,$B303)&gt;1,"중복 사번",IF($AE303="","소속(입사장소) 입력",IF(IF(TRIM($J303&amp;"")="",0,SUMPRODUCT((입력_파견수련계획!$Q$4:$Q$803=TRIM($J303&amp;""))*(입력_파견수련계획!$AA$4:$AA$803&lt;&gt;"")))&gt;0,"파견수련계획 입력오류 확인",IF(LEFT($Y303,1)="⚠","서울·구리 15일 판정 불가(양쪽 모두 이상/미만)",IF(IF($AC303="",0,N(INDEX(입력_인턴근무계획!$T$3:$T$402,$AC303)))&gt;0,"인턴계획 입력오류 확인",IF(AND($AQ303&lt;&gt;"",$AG303&lt;&gt;"구리병원",IF(TRIM($J303&amp;"")="",0,SUMPRODUCT((입력_파견수련계획!$Q$4:$Q$803=TRIM($J303&amp;""))*(입력_파견수련계획!$S$4:$S$803="구리병원")*입력_파견수련계획!$W$4:$W$803))=0),"구리 근무자명단에만 있음(파견수련계획 확인)",IF(AND($AC303&lt;&gt;"",$U303&lt;&gt;"파견중",$N303&lt;&gt;$AE303),"인턴 타지역 근무: 파견 여부 확인","정상")))))))))</f>
        <v/>
      </c>
      <c r="AA303" s="5" t="n"/>
      <c r="AB303" s="10">
        <f>IF($B303="","",IFERROR(MATCH($B303,입력_기본자료!$B$2:$B$1001,0),IFERROR(MATCH($B303&amp;"",입력_기본자료!$B$2:$B$1001,0),IFERROR(MATCH(VALUE($B303),입력_기본자료!$B$2:$B$1001,0),""))))</f>
        <v/>
      </c>
      <c r="AC303" s="10">
        <f>IF($B303="","",IFERROR(MATCH($B303,입력_인턴근무계획!$D$3:$D$402,0),IFERROR(MATCH($B303&amp;"",입력_인턴근무계획!$D$3:$D$402,0),IFERROR(MATCH(VALUE($B303),입력_인턴근무계획!$D$3:$D$402,0),""))))</f>
        <v/>
      </c>
      <c r="AD303" s="10">
        <f>IF(OR($AC303="",출력_인턴현황!$G$3=""),"",INDEX(입력_인턴근무계획!$M$3:$R$402,$AC303,출력_인턴현황!$G$3)&amp;"")</f>
        <v/>
      </c>
      <c r="AE303" s="10">
        <f>IF($B303="","",IF($M303&lt;&gt;"",$M303,IF(IF($AQ303="",FALSE,INDEX(출력_구리근무자!$J$6:$J$305,$AQ303)="구리독자"),"구리병원",IF($AF303&lt;&gt;"",IF(LEFT(INDEX(입력_파견수련계획!$R$4:$R$803,$AF303),1)&lt;&gt;"⚠",INDEX(입력_파견수련계획!$R$4:$R$803,$AF303),IF($H303="","",IF(RIGHT($H303,2)="병원",$H303,$H303&amp;"병원"))),IF($H303="","",IF(RIGHT($H303,2)="병원",$H303,$H303&amp;"병원"))))))</f>
        <v/>
      </c>
      <c r="AF303" s="10">
        <f>IF(OR($B303="",TRIM($J303&amp;"")=""),"",IFERROR(MATCH(TRIM($J303&amp;"")&amp;"|파견중",입력_파견수련계획!$Y$4:$Y$803,0),IFERROR(MATCH(TRIM($J303&amp;"")&amp;"|파견예정",입력_파견수련계획!$Y$4:$Y$803,0),IFERROR(MATCH(TRIM($J303&amp;"")&amp;"|파견종료",입력_파견수련계획!$Y$4:$Y$803,0),""))))</f>
        <v/>
      </c>
      <c r="AG303" s="10">
        <f>IF($B303="","",IF(AND(IF(OR($AC303="",출력_인턴현황!$K$2=""),"",INDEX(입력_인턴근무계획!$M$3:$R$402,$AC303,출력_인턴현황!$K$2)&amp;"")&lt;&gt;"",LEFT(IF(OR($AC303="",출력_인턴현황!$K$2=""),"",INDEX(입력_인턴근무계획!$M$3:$R$402,$AC303,출력_인턴현황!$K$2)&amp;""),1)&lt;&gt;"⚠"),LEFT(IF(OR($AC303="",출력_인턴현황!$K$2=""),"",INDEX(입력_인턴근무계획!$M$3:$R$402,$AC303,출력_인턴현황!$K$2)&amp;""),FIND(" ",IF(OR($AC303="",출력_인턴현황!$K$2=""),"",INDEX(입력_인턴근무계획!$M$3:$R$402,$AC303,출력_인턴현황!$K$2)&amp;""))-1),$AE303))</f>
        <v/>
      </c>
      <c r="AH303" s="17">
        <f>IF($B303="","",IF($AQ303&lt;&gt;"",MAX(0,DAY(EOMONTH(출력_요약!$B$3,0))-N($AR303)),IF(TRIM($J303&amp;"")="",0,SUMPRODUCT((입력_파견수련계획!$Q$4:$Q$803=TRIM($J303&amp;""))*(입력_파견수련계획!$S$4:$S$803="서울병원")*입력_파견수련계획!$W$4:$W$803))+IF($AG303="서울병원",MAX(0,DAY(EOMONTH(출력_요약!$B$3,0))-N($X303)),0)))</f>
        <v/>
      </c>
      <c r="AI303" s="17">
        <f>IF($B303="","",IF($AQ303&lt;&gt;"",N($AR303),IF(TRIM($J303&amp;"")="",0,SUMPRODUCT((입력_파견수련계획!$Q$4:$Q$803=TRIM($J303&amp;""))*(입력_파견수련계획!$S$4:$S$803="구리병원")*입력_파견수련계획!$W$4:$W$803))+IF($AG303="구리병원",MAX(0,DAY(EOMONTH(출력_요약!$B$3,0))-N($X303)),0)))</f>
        <v/>
      </c>
      <c r="AJ303" s="10">
        <f>IF(OR($B303="",TRIM($J303&amp;"")=""),"",IFERROR(MATCH(TRIM($J303&amp;"")&amp;"|월",입력_파견수련계획!$Z$4:$Z$803,0),""))</f>
        <v/>
      </c>
      <c r="AK303" s="10">
        <f>IF(OR($B303="",TRIM($J303&amp;"")=""),"",IFERROR(MATCH(TRIM($J303&amp;"")&amp;"|다기관",입력_파견수련계획!$AE$4:$AE$803,0),""))</f>
        <v/>
      </c>
      <c r="AL303" s="10">
        <f>IF($AK303="","","다기관 "&amp;TEXT(INDEX(입력_파견수련계획!$AB$4:$AB$803,$AK303),"yyyy-mm-dd")&amp;"~"&amp;IF(ISNUMBER(INDEX(입력_파견수련계획!$AC$4:$AC$803,$AK303)),TEXT(INDEX(입력_파견수련계획!$AC$4:$AC$803,$AK303),"yyyy-mm-dd"),""))</f>
        <v/>
      </c>
      <c r="AM303" s="10">
        <f>IF($Y303="서울병원",COUNTIF($Y$2:$Y303,"서울병원"),"")</f>
        <v/>
      </c>
      <c r="AN303" s="10">
        <f>IF(LEFT($Y303,1)="⚠",COUNTIF($Y$2:$Y303,"⚠*"),"")</f>
        <v/>
      </c>
      <c r="AO303" s="10">
        <f>IF(OR($B303="",$Y303=""),"",IF(IF(TRIM($J303&amp;"")="",0,SUMPRODUCT((입력_파견수련계획!$Q$4:$Q$803=TRIM($J303&amp;""))*입력_파견수련계획!$AD$4:$AD$803))&gt;0,"다기관 기간 → 소속병원 지급",IF(AND(N($X303)&lt;=0,$AQ303=""),"파견 없음 → 그 달 근무병원 지급",IF($AH303+$AI303=DAY(EOMONTH(출력_요약!$B$3,0)),"서울 "&amp;$AH303&amp;"일 / 구리 "&amp;$AI303&amp;"일"&amp;IF($AQ303&lt;&gt;""," (구리 근무자명단 반영)","")&amp;" → 15일 이상 근무 병원 지급","타 병원 포함 → "&amp;IF($AJ303="","소속",INDEX(입력_파견수련계획!$T$4:$T$803,$AJ303))&amp;" 규칙"))))</f>
        <v/>
      </c>
      <c r="AP303" s="10">
        <f>IF($B303="","",$C303&amp;"|"&amp;$F303)</f>
        <v/>
      </c>
      <c r="AQ303" s="10">
        <f>IF($B303="","",IFERROR(MATCH(ROW()-1,출력_구리근무자!$K$6:$K$305,0),""))</f>
        <v/>
      </c>
      <c r="AR303" s="10">
        <f>IF($AQ303="","",INDEX(출력_구리근무자!$H$6:$H$305,$AQ303))</f>
        <v/>
      </c>
    </row>
    <row r="304">
      <c r="A304" s="10">
        <f>IF(B304="","",ROW()-1)</f>
        <v/>
      </c>
      <c r="B304" s="19" t="n"/>
      <c r="C304" s="10">
        <f>IF($AB304="","",IF(INDEX(입력_기본자료!$C$2:$C$1001,$AB304)="","",INDEX(입력_기본자료!$C$2:$C$1001,$AB304)))</f>
        <v/>
      </c>
      <c r="D304" s="10">
        <f>IF($AB304="","",IF(INDEX(입력_기본자료!$J$2:$J$1001,$AB304)="","",INDEX(입력_기본자료!$J$2:$J$1001,$AB304)))</f>
        <v/>
      </c>
      <c r="E304" s="11">
        <f>IF($AB304="","",IF(INDEX(입력_기본자료!$K$2:$K$1001,$AB304)="","",IF(NOT(ISNUMBER(INDEX(입력_기본자료!$K$2:$K$1001,$AB304))),INDEX(입력_기본자료!$K$2:$K$1001,$AB304),IF(INDEX(입력_기본자료!$K$2:$K$1001,$AB304)&lt;1000000,INDEX(입력_기본자료!$K$2:$K$1001,$AB304),IF(AND(INDEX(입력_기본자료!$K$2:$K$1001,$AB304)&gt;=10000101,INT(MOD(INDEX(입력_기본자료!$K$2:$K$1001,$AB304),10000)/100)&gt;=1,INT(MOD(INDEX(입력_기본자료!$K$2:$K$1001,$AB304),10000)/100)&lt;=12,MOD(INDEX(입력_기본자료!$K$2:$K$1001,$AB304),100)&gt;=1,MOD(INDEX(입력_기본자료!$K$2:$K$1001,$AB304),100)&lt;=31),DATE(INT(INDEX(입력_기본자료!$K$2:$K$1001,$AB304)/10000),INT(MOD(INDEX(입력_기본자료!$K$2:$K$1001,$AB304),10000)/100),MOD(INDEX(입력_기본자료!$K$2:$K$1001,$AB304),100)),INDEX(입력_기본자료!$K$2:$K$1001,$AB304)&amp;"")))))</f>
        <v/>
      </c>
      <c r="F304" s="10">
        <f>IF($AB304="","",IF(INDEX(입력_기본자료!$D$2:$D$1001,$AB304)="","",INDEX(입력_기본자료!$D$2:$D$1001,$AB304)))</f>
        <v/>
      </c>
      <c r="G304" s="10">
        <f>IF($AB304="","",IF(INDEX(입력_기본자료!$E$2:$E$1001,$AB304)="","",INDEX(입력_기본자료!$E$2:$E$1001,$AB304)))</f>
        <v/>
      </c>
      <c r="H304" s="10">
        <f>IF($AB304="","",IF(INDEX(입력_기본자료!$F$2:$F$1001,$AB304)="","",INDEX(입력_기본자료!$F$2:$F$1001,$AB304)))</f>
        <v/>
      </c>
      <c r="I304" s="11">
        <f>IF($AB304="","",IF(INDEX(입력_기본자료!$G$2:$G$1001,$AB304)="","",IF(NOT(ISNUMBER(INDEX(입력_기본자료!$G$2:$G$1001,$AB304))),INDEX(입력_기본자료!$G$2:$G$1001,$AB304),IF(INDEX(입력_기본자료!$G$2:$G$1001,$AB304)&lt;1000000,INDEX(입력_기본자료!$G$2:$G$1001,$AB304),IF(AND(INDEX(입력_기본자료!$G$2:$G$1001,$AB304)&gt;=10000101,INT(MOD(INDEX(입력_기본자료!$G$2:$G$1001,$AB304),10000)/100)&gt;=1,INT(MOD(INDEX(입력_기본자료!$G$2:$G$1001,$AB304),10000)/100)&lt;=12,MOD(INDEX(입력_기본자료!$G$2:$G$1001,$AB304),100)&gt;=1,MOD(INDEX(입력_기본자료!$G$2:$G$1001,$AB304),100)&lt;=31),DATE(INT(INDEX(입력_기본자료!$G$2:$G$1001,$AB304)/10000),INT(MOD(INDEX(입력_기본자료!$G$2:$G$1001,$AB304),10000)/100),MOD(INDEX(입력_기본자료!$G$2:$G$1001,$AB304),100)),INDEX(입력_기본자료!$G$2:$G$1001,$AB304)&amp;"")))))</f>
        <v/>
      </c>
      <c r="J304" s="10">
        <f>IF($AB304="","",IF(INDEX(입력_기본자료!$H$2:$H$1001,$AB304)="","",INDEX(입력_기본자료!$H$2:$H$1001,$AB304)))</f>
        <v/>
      </c>
      <c r="K304" s="10">
        <f>IF($AB304="","",IF(INDEX(입력_기본자료!$I$2:$I$1001,$AB304)="","",INDEX(입력_기본자료!$I$2:$I$1001,$AB304)))</f>
        <v/>
      </c>
      <c r="L304" s="10">
        <f>IF($AB304="","",IF(INDEX(입력_기본자료!$A$2:$A$1001,$AB304)="","",INDEX(입력_기본자료!$A$2:$A$1001,$AB304)))</f>
        <v/>
      </c>
      <c r="M304" s="15" t="n"/>
      <c r="N304" s="10">
        <f>IF($B304="","",IF(AND($U304="파견중",$Q304&lt;&gt;""),$Q304,IF(AND($AD304&lt;&gt;"",LEFT($AD304,1)&lt;&gt;"⚠"),LEFT($AD304,FIND(" ",$AD304)-1),IF($H304="","",IF(RIGHT($H304,2)="병원",$H304,$H304&amp;"병원")))))</f>
        <v/>
      </c>
      <c r="O304" s="10">
        <f>IF($B304="","",IF(AND($U304="파견중",$Q304&lt;&gt;""),IF($R304&lt;&gt;"",$R304,"파견과 미입력"),IF(AND($AD304&lt;&gt;"",LEFT($AD304,1)&lt;&gt;"⚠"),MID($AD304,FIND(" ",$AD304)+1,60),IF($F304="","",IF($F304="인턴","수련교육부(인턴)",$F304)))))</f>
        <v/>
      </c>
      <c r="P304" s="10">
        <f>IF($B304="","",IF($AK304&lt;&gt;"",IF(AND(TODAY()&gt;=INDEX(입력_파견수련계획!$AB$4:$AB$803,$AK304),OR(NOT(ISNUMBER(INDEX(입력_파견수련계획!$AC$4:$AC$803,$AK304))),TODAY()&lt;=INDEX(입력_파견수련계획!$AC$4:$AC$803,$AK304))),"다기관",IF($AF304="","",INDEX(입력_파견수련계획!$T$4:$T$803,$AF304))),IF($AF304="","",INDEX(입력_파견수련계획!$T$4:$T$803,$AF304))))</f>
        <v/>
      </c>
      <c r="Q304" s="10">
        <f>IF($AF304="","",INDEX(입력_파견수련계획!$S$4:$S$803,$AF304))</f>
        <v/>
      </c>
      <c r="R304" s="10">
        <f>IF($AF304="","",INDEX(입력_파견수련계획!$U$4:$U$803,$AF304))</f>
        <v/>
      </c>
      <c r="S304" s="11">
        <f>IF($AF304="","",IF(INDEX(입력_파견수련계획!$H$4:$H$803,$AF304)="","",INDEX(입력_파견수련계획!$H$4:$H$803,$AF304)))</f>
        <v/>
      </c>
      <c r="T304" s="11">
        <f>IF($AF304="","",IF(INDEX(입력_파견수련계획!$I$4:$I$803,$AF304)="","",INDEX(입력_파견수련계획!$I$4:$I$803,$AF304)))</f>
        <v/>
      </c>
      <c r="U304" s="10">
        <f>IF($AF304="","",INDEX(입력_파견수련계획!$X$4:$X$803,$AF304))</f>
        <v/>
      </c>
      <c r="V304" s="17">
        <f>IF($AF304="","",INDEX(입력_파견수련계획!$V$4:$V$803,$AF304))</f>
        <v/>
      </c>
      <c r="W304" s="17">
        <f>IF(AND($U304="파견중",$T304&lt;&gt;""),$T304-TODAY(),"")</f>
        <v/>
      </c>
      <c r="X304" s="17">
        <f>IF(OR($B304="",TRIM($J304&amp;"")=""),"",SUMPRODUCT((입력_파견수련계획!$Q$4:$Q$803=TRIM($J304&amp;""))*입력_파견수련계획!$W$4:$W$803))</f>
        <v/>
      </c>
      <c r="Y304" s="10">
        <f>IF($B304="","",IF($AG304="","",IF(IF(TRIM($J304&amp;"")="",0,SUMPRODUCT((입력_파견수련계획!$Q$4:$Q$803=TRIM($J304&amp;""))*입력_파견수련계획!$AD$4:$AD$803))&gt;0,$AE304,IF(AND(N($X304)&lt;=0,$AQ304=""),$AG304,IF($AH304+$AI304=DAY(EOMONTH(출력_요약!$B$3,0)),IF(AND($AH304&gt;=출력_요약!$E$3,$AI304&lt;출력_요약!$E$3),"서울병원",IF(AND($AI304&gt;=출력_요약!$E$3,$AH304&lt;출력_요약!$E$3),"구리병원","⚠15일 판정불가(서울 "&amp;$AH304&amp;"일/구리 "&amp;$AI304&amp;"일)")),IF($AJ304="",$AE304,IF(INDEX(입력_파견수련계획!$T$4:$T$803,$AJ304)="통합수련",INDEX(입력_파견수련계획!$S$4:$S$803,$AJ304),$AE304)))))))</f>
        <v/>
      </c>
      <c r="Z304" s="20">
        <f>IF($B304="","",IF($AB304="","기본자료에 없는 사번",IF(COUNTIF($B$2:$B$401,$B304)&gt;1,"중복 사번",IF($AE304="","소속(입사장소) 입력",IF(IF(TRIM($J304&amp;"")="",0,SUMPRODUCT((입력_파견수련계획!$Q$4:$Q$803=TRIM($J304&amp;""))*(입력_파견수련계획!$AA$4:$AA$803&lt;&gt;"")))&gt;0,"파견수련계획 입력오류 확인",IF(LEFT($Y304,1)="⚠","서울·구리 15일 판정 불가(양쪽 모두 이상/미만)",IF(IF($AC304="",0,N(INDEX(입력_인턴근무계획!$T$3:$T$402,$AC304)))&gt;0,"인턴계획 입력오류 확인",IF(AND($AQ304&lt;&gt;"",$AG304&lt;&gt;"구리병원",IF(TRIM($J304&amp;"")="",0,SUMPRODUCT((입력_파견수련계획!$Q$4:$Q$803=TRIM($J304&amp;""))*(입력_파견수련계획!$S$4:$S$803="구리병원")*입력_파견수련계획!$W$4:$W$803))=0),"구리 근무자명단에만 있음(파견수련계획 확인)",IF(AND($AC304&lt;&gt;"",$U304&lt;&gt;"파견중",$N304&lt;&gt;$AE304),"인턴 타지역 근무: 파견 여부 확인","정상")))))))))</f>
        <v/>
      </c>
      <c r="AA304" s="5" t="n"/>
      <c r="AB304" s="10">
        <f>IF($B304="","",IFERROR(MATCH($B304,입력_기본자료!$B$2:$B$1001,0),IFERROR(MATCH($B304&amp;"",입력_기본자료!$B$2:$B$1001,0),IFERROR(MATCH(VALUE($B304),입력_기본자료!$B$2:$B$1001,0),""))))</f>
        <v/>
      </c>
      <c r="AC304" s="10">
        <f>IF($B304="","",IFERROR(MATCH($B304,입력_인턴근무계획!$D$3:$D$402,0),IFERROR(MATCH($B304&amp;"",입력_인턴근무계획!$D$3:$D$402,0),IFERROR(MATCH(VALUE($B304),입력_인턴근무계획!$D$3:$D$402,0),""))))</f>
        <v/>
      </c>
      <c r="AD304" s="10">
        <f>IF(OR($AC304="",출력_인턴현황!$G$3=""),"",INDEX(입력_인턴근무계획!$M$3:$R$402,$AC304,출력_인턴현황!$G$3)&amp;"")</f>
        <v/>
      </c>
      <c r="AE304" s="10">
        <f>IF($B304="","",IF($M304&lt;&gt;"",$M304,IF(IF($AQ304="",FALSE,INDEX(출력_구리근무자!$J$6:$J$305,$AQ304)="구리독자"),"구리병원",IF($AF304&lt;&gt;"",IF(LEFT(INDEX(입력_파견수련계획!$R$4:$R$803,$AF304),1)&lt;&gt;"⚠",INDEX(입력_파견수련계획!$R$4:$R$803,$AF304),IF($H304="","",IF(RIGHT($H304,2)="병원",$H304,$H304&amp;"병원"))),IF($H304="","",IF(RIGHT($H304,2)="병원",$H304,$H304&amp;"병원"))))))</f>
        <v/>
      </c>
      <c r="AF304" s="10">
        <f>IF(OR($B304="",TRIM($J304&amp;"")=""),"",IFERROR(MATCH(TRIM($J304&amp;"")&amp;"|파견중",입력_파견수련계획!$Y$4:$Y$803,0),IFERROR(MATCH(TRIM($J304&amp;"")&amp;"|파견예정",입력_파견수련계획!$Y$4:$Y$803,0),IFERROR(MATCH(TRIM($J304&amp;"")&amp;"|파견종료",입력_파견수련계획!$Y$4:$Y$803,0),""))))</f>
        <v/>
      </c>
      <c r="AG304" s="10">
        <f>IF($B304="","",IF(AND(IF(OR($AC304="",출력_인턴현황!$K$2=""),"",INDEX(입력_인턴근무계획!$M$3:$R$402,$AC304,출력_인턴현황!$K$2)&amp;"")&lt;&gt;"",LEFT(IF(OR($AC304="",출력_인턴현황!$K$2=""),"",INDEX(입력_인턴근무계획!$M$3:$R$402,$AC304,출력_인턴현황!$K$2)&amp;""),1)&lt;&gt;"⚠"),LEFT(IF(OR($AC304="",출력_인턴현황!$K$2=""),"",INDEX(입력_인턴근무계획!$M$3:$R$402,$AC304,출력_인턴현황!$K$2)&amp;""),FIND(" ",IF(OR($AC304="",출력_인턴현황!$K$2=""),"",INDEX(입력_인턴근무계획!$M$3:$R$402,$AC304,출력_인턴현황!$K$2)&amp;""))-1),$AE304))</f>
        <v/>
      </c>
      <c r="AH304" s="17">
        <f>IF($B304="","",IF($AQ304&lt;&gt;"",MAX(0,DAY(EOMONTH(출력_요약!$B$3,0))-N($AR304)),IF(TRIM($J304&amp;"")="",0,SUMPRODUCT((입력_파견수련계획!$Q$4:$Q$803=TRIM($J304&amp;""))*(입력_파견수련계획!$S$4:$S$803="서울병원")*입력_파견수련계획!$W$4:$W$803))+IF($AG304="서울병원",MAX(0,DAY(EOMONTH(출력_요약!$B$3,0))-N($X304)),0)))</f>
        <v/>
      </c>
      <c r="AI304" s="17">
        <f>IF($B304="","",IF($AQ304&lt;&gt;"",N($AR304),IF(TRIM($J304&amp;"")="",0,SUMPRODUCT((입력_파견수련계획!$Q$4:$Q$803=TRIM($J304&amp;""))*(입력_파견수련계획!$S$4:$S$803="구리병원")*입력_파견수련계획!$W$4:$W$803))+IF($AG304="구리병원",MAX(0,DAY(EOMONTH(출력_요약!$B$3,0))-N($X304)),0)))</f>
        <v/>
      </c>
      <c r="AJ304" s="10">
        <f>IF(OR($B304="",TRIM($J304&amp;"")=""),"",IFERROR(MATCH(TRIM($J304&amp;"")&amp;"|월",입력_파견수련계획!$Z$4:$Z$803,0),""))</f>
        <v/>
      </c>
      <c r="AK304" s="10">
        <f>IF(OR($B304="",TRIM($J304&amp;"")=""),"",IFERROR(MATCH(TRIM($J304&amp;"")&amp;"|다기관",입력_파견수련계획!$AE$4:$AE$803,0),""))</f>
        <v/>
      </c>
      <c r="AL304" s="10">
        <f>IF($AK304="","","다기관 "&amp;TEXT(INDEX(입력_파견수련계획!$AB$4:$AB$803,$AK304),"yyyy-mm-dd")&amp;"~"&amp;IF(ISNUMBER(INDEX(입력_파견수련계획!$AC$4:$AC$803,$AK304)),TEXT(INDEX(입력_파견수련계획!$AC$4:$AC$803,$AK304),"yyyy-mm-dd"),""))</f>
        <v/>
      </c>
      <c r="AM304" s="10">
        <f>IF($Y304="서울병원",COUNTIF($Y$2:$Y304,"서울병원"),"")</f>
        <v/>
      </c>
      <c r="AN304" s="10">
        <f>IF(LEFT($Y304,1)="⚠",COUNTIF($Y$2:$Y304,"⚠*"),"")</f>
        <v/>
      </c>
      <c r="AO304" s="10">
        <f>IF(OR($B304="",$Y304=""),"",IF(IF(TRIM($J304&amp;"")="",0,SUMPRODUCT((입력_파견수련계획!$Q$4:$Q$803=TRIM($J304&amp;""))*입력_파견수련계획!$AD$4:$AD$803))&gt;0,"다기관 기간 → 소속병원 지급",IF(AND(N($X304)&lt;=0,$AQ304=""),"파견 없음 → 그 달 근무병원 지급",IF($AH304+$AI304=DAY(EOMONTH(출력_요약!$B$3,0)),"서울 "&amp;$AH304&amp;"일 / 구리 "&amp;$AI304&amp;"일"&amp;IF($AQ304&lt;&gt;""," (구리 근무자명단 반영)","")&amp;" → 15일 이상 근무 병원 지급","타 병원 포함 → "&amp;IF($AJ304="","소속",INDEX(입력_파견수련계획!$T$4:$T$803,$AJ304))&amp;" 규칙"))))</f>
        <v/>
      </c>
      <c r="AP304" s="10">
        <f>IF($B304="","",$C304&amp;"|"&amp;$F304)</f>
        <v/>
      </c>
      <c r="AQ304" s="10">
        <f>IF($B304="","",IFERROR(MATCH(ROW()-1,출력_구리근무자!$K$6:$K$305,0),""))</f>
        <v/>
      </c>
      <c r="AR304" s="10">
        <f>IF($AQ304="","",INDEX(출력_구리근무자!$H$6:$H$305,$AQ304))</f>
        <v/>
      </c>
    </row>
    <row r="305">
      <c r="A305" s="10">
        <f>IF(B305="","",ROW()-1)</f>
        <v/>
      </c>
      <c r="B305" s="19" t="n"/>
      <c r="C305" s="10">
        <f>IF($AB305="","",IF(INDEX(입력_기본자료!$C$2:$C$1001,$AB305)="","",INDEX(입력_기본자료!$C$2:$C$1001,$AB305)))</f>
        <v/>
      </c>
      <c r="D305" s="10">
        <f>IF($AB305="","",IF(INDEX(입력_기본자료!$J$2:$J$1001,$AB305)="","",INDEX(입력_기본자료!$J$2:$J$1001,$AB305)))</f>
        <v/>
      </c>
      <c r="E305" s="11">
        <f>IF($AB305="","",IF(INDEX(입력_기본자료!$K$2:$K$1001,$AB305)="","",IF(NOT(ISNUMBER(INDEX(입력_기본자료!$K$2:$K$1001,$AB305))),INDEX(입력_기본자료!$K$2:$K$1001,$AB305),IF(INDEX(입력_기본자료!$K$2:$K$1001,$AB305)&lt;1000000,INDEX(입력_기본자료!$K$2:$K$1001,$AB305),IF(AND(INDEX(입력_기본자료!$K$2:$K$1001,$AB305)&gt;=10000101,INT(MOD(INDEX(입력_기본자료!$K$2:$K$1001,$AB305),10000)/100)&gt;=1,INT(MOD(INDEX(입력_기본자료!$K$2:$K$1001,$AB305),10000)/100)&lt;=12,MOD(INDEX(입력_기본자료!$K$2:$K$1001,$AB305),100)&gt;=1,MOD(INDEX(입력_기본자료!$K$2:$K$1001,$AB305),100)&lt;=31),DATE(INT(INDEX(입력_기본자료!$K$2:$K$1001,$AB305)/10000),INT(MOD(INDEX(입력_기본자료!$K$2:$K$1001,$AB305),10000)/100),MOD(INDEX(입력_기본자료!$K$2:$K$1001,$AB305),100)),INDEX(입력_기본자료!$K$2:$K$1001,$AB305)&amp;"")))))</f>
        <v/>
      </c>
      <c r="F305" s="10">
        <f>IF($AB305="","",IF(INDEX(입력_기본자료!$D$2:$D$1001,$AB305)="","",INDEX(입력_기본자료!$D$2:$D$1001,$AB305)))</f>
        <v/>
      </c>
      <c r="G305" s="10">
        <f>IF($AB305="","",IF(INDEX(입력_기본자료!$E$2:$E$1001,$AB305)="","",INDEX(입력_기본자료!$E$2:$E$1001,$AB305)))</f>
        <v/>
      </c>
      <c r="H305" s="10">
        <f>IF($AB305="","",IF(INDEX(입력_기본자료!$F$2:$F$1001,$AB305)="","",INDEX(입력_기본자료!$F$2:$F$1001,$AB305)))</f>
        <v/>
      </c>
      <c r="I305" s="11">
        <f>IF($AB305="","",IF(INDEX(입력_기본자료!$G$2:$G$1001,$AB305)="","",IF(NOT(ISNUMBER(INDEX(입력_기본자료!$G$2:$G$1001,$AB305))),INDEX(입력_기본자료!$G$2:$G$1001,$AB305),IF(INDEX(입력_기본자료!$G$2:$G$1001,$AB305)&lt;1000000,INDEX(입력_기본자료!$G$2:$G$1001,$AB305),IF(AND(INDEX(입력_기본자료!$G$2:$G$1001,$AB305)&gt;=10000101,INT(MOD(INDEX(입력_기본자료!$G$2:$G$1001,$AB305),10000)/100)&gt;=1,INT(MOD(INDEX(입력_기본자료!$G$2:$G$1001,$AB305),10000)/100)&lt;=12,MOD(INDEX(입력_기본자료!$G$2:$G$1001,$AB305),100)&gt;=1,MOD(INDEX(입력_기본자료!$G$2:$G$1001,$AB305),100)&lt;=31),DATE(INT(INDEX(입력_기본자료!$G$2:$G$1001,$AB305)/10000),INT(MOD(INDEX(입력_기본자료!$G$2:$G$1001,$AB305),10000)/100),MOD(INDEX(입력_기본자료!$G$2:$G$1001,$AB305),100)),INDEX(입력_기본자료!$G$2:$G$1001,$AB305)&amp;"")))))</f>
        <v/>
      </c>
      <c r="J305" s="10">
        <f>IF($AB305="","",IF(INDEX(입력_기본자료!$H$2:$H$1001,$AB305)="","",INDEX(입력_기본자료!$H$2:$H$1001,$AB305)))</f>
        <v/>
      </c>
      <c r="K305" s="10">
        <f>IF($AB305="","",IF(INDEX(입력_기본자료!$I$2:$I$1001,$AB305)="","",INDEX(입력_기본자료!$I$2:$I$1001,$AB305)))</f>
        <v/>
      </c>
      <c r="L305" s="10">
        <f>IF($AB305="","",IF(INDEX(입력_기본자료!$A$2:$A$1001,$AB305)="","",INDEX(입력_기본자료!$A$2:$A$1001,$AB305)))</f>
        <v/>
      </c>
      <c r="M305" s="15" t="n"/>
      <c r="N305" s="10">
        <f>IF($B305="","",IF(AND($U305="파견중",$Q305&lt;&gt;""),$Q305,IF(AND($AD305&lt;&gt;"",LEFT($AD305,1)&lt;&gt;"⚠"),LEFT($AD305,FIND(" ",$AD305)-1),IF($H305="","",IF(RIGHT($H305,2)="병원",$H305,$H305&amp;"병원")))))</f>
        <v/>
      </c>
      <c r="O305" s="10">
        <f>IF($B305="","",IF(AND($U305="파견중",$Q305&lt;&gt;""),IF($R305&lt;&gt;"",$R305,"파견과 미입력"),IF(AND($AD305&lt;&gt;"",LEFT($AD305,1)&lt;&gt;"⚠"),MID($AD305,FIND(" ",$AD305)+1,60),IF($F305="","",IF($F305="인턴","수련교육부(인턴)",$F305)))))</f>
        <v/>
      </c>
      <c r="P305" s="10">
        <f>IF($B305="","",IF($AK305&lt;&gt;"",IF(AND(TODAY()&gt;=INDEX(입력_파견수련계획!$AB$4:$AB$803,$AK305),OR(NOT(ISNUMBER(INDEX(입력_파견수련계획!$AC$4:$AC$803,$AK305))),TODAY()&lt;=INDEX(입력_파견수련계획!$AC$4:$AC$803,$AK305))),"다기관",IF($AF305="","",INDEX(입력_파견수련계획!$T$4:$T$803,$AF305))),IF($AF305="","",INDEX(입력_파견수련계획!$T$4:$T$803,$AF305))))</f>
        <v/>
      </c>
      <c r="Q305" s="10">
        <f>IF($AF305="","",INDEX(입력_파견수련계획!$S$4:$S$803,$AF305))</f>
        <v/>
      </c>
      <c r="R305" s="10">
        <f>IF($AF305="","",INDEX(입력_파견수련계획!$U$4:$U$803,$AF305))</f>
        <v/>
      </c>
      <c r="S305" s="11">
        <f>IF($AF305="","",IF(INDEX(입력_파견수련계획!$H$4:$H$803,$AF305)="","",INDEX(입력_파견수련계획!$H$4:$H$803,$AF305)))</f>
        <v/>
      </c>
      <c r="T305" s="11">
        <f>IF($AF305="","",IF(INDEX(입력_파견수련계획!$I$4:$I$803,$AF305)="","",INDEX(입력_파견수련계획!$I$4:$I$803,$AF305)))</f>
        <v/>
      </c>
      <c r="U305" s="10">
        <f>IF($AF305="","",INDEX(입력_파견수련계획!$X$4:$X$803,$AF305))</f>
        <v/>
      </c>
      <c r="V305" s="17">
        <f>IF($AF305="","",INDEX(입력_파견수련계획!$V$4:$V$803,$AF305))</f>
        <v/>
      </c>
      <c r="W305" s="17">
        <f>IF(AND($U305="파견중",$T305&lt;&gt;""),$T305-TODAY(),"")</f>
        <v/>
      </c>
      <c r="X305" s="17">
        <f>IF(OR($B305="",TRIM($J305&amp;"")=""),"",SUMPRODUCT((입력_파견수련계획!$Q$4:$Q$803=TRIM($J305&amp;""))*입력_파견수련계획!$W$4:$W$803))</f>
        <v/>
      </c>
      <c r="Y305" s="10">
        <f>IF($B305="","",IF($AG305="","",IF(IF(TRIM($J305&amp;"")="",0,SUMPRODUCT((입력_파견수련계획!$Q$4:$Q$803=TRIM($J305&amp;""))*입력_파견수련계획!$AD$4:$AD$803))&gt;0,$AE305,IF(AND(N($X305)&lt;=0,$AQ305=""),$AG305,IF($AH305+$AI305=DAY(EOMONTH(출력_요약!$B$3,0)),IF(AND($AH305&gt;=출력_요약!$E$3,$AI305&lt;출력_요약!$E$3),"서울병원",IF(AND($AI305&gt;=출력_요약!$E$3,$AH305&lt;출력_요약!$E$3),"구리병원","⚠15일 판정불가(서울 "&amp;$AH305&amp;"일/구리 "&amp;$AI305&amp;"일)")),IF($AJ305="",$AE305,IF(INDEX(입력_파견수련계획!$T$4:$T$803,$AJ305)="통합수련",INDEX(입력_파견수련계획!$S$4:$S$803,$AJ305),$AE305)))))))</f>
        <v/>
      </c>
      <c r="Z305" s="20">
        <f>IF($B305="","",IF($AB305="","기본자료에 없는 사번",IF(COUNTIF($B$2:$B$401,$B305)&gt;1,"중복 사번",IF($AE305="","소속(입사장소) 입력",IF(IF(TRIM($J305&amp;"")="",0,SUMPRODUCT((입력_파견수련계획!$Q$4:$Q$803=TRIM($J305&amp;""))*(입력_파견수련계획!$AA$4:$AA$803&lt;&gt;"")))&gt;0,"파견수련계획 입력오류 확인",IF(LEFT($Y305,1)="⚠","서울·구리 15일 판정 불가(양쪽 모두 이상/미만)",IF(IF($AC305="",0,N(INDEX(입력_인턴근무계획!$T$3:$T$402,$AC305)))&gt;0,"인턴계획 입력오류 확인",IF(AND($AQ305&lt;&gt;"",$AG305&lt;&gt;"구리병원",IF(TRIM($J305&amp;"")="",0,SUMPRODUCT((입력_파견수련계획!$Q$4:$Q$803=TRIM($J305&amp;""))*(입력_파견수련계획!$S$4:$S$803="구리병원")*입력_파견수련계획!$W$4:$W$803))=0),"구리 근무자명단에만 있음(파견수련계획 확인)",IF(AND($AC305&lt;&gt;"",$U305&lt;&gt;"파견중",$N305&lt;&gt;$AE305),"인턴 타지역 근무: 파견 여부 확인","정상")))))))))</f>
        <v/>
      </c>
      <c r="AA305" s="5" t="n"/>
      <c r="AB305" s="10">
        <f>IF($B305="","",IFERROR(MATCH($B305,입력_기본자료!$B$2:$B$1001,0),IFERROR(MATCH($B305&amp;"",입력_기본자료!$B$2:$B$1001,0),IFERROR(MATCH(VALUE($B305),입력_기본자료!$B$2:$B$1001,0),""))))</f>
        <v/>
      </c>
      <c r="AC305" s="10">
        <f>IF($B305="","",IFERROR(MATCH($B305,입력_인턴근무계획!$D$3:$D$402,0),IFERROR(MATCH($B305&amp;"",입력_인턴근무계획!$D$3:$D$402,0),IFERROR(MATCH(VALUE($B305),입력_인턴근무계획!$D$3:$D$402,0),""))))</f>
        <v/>
      </c>
      <c r="AD305" s="10">
        <f>IF(OR($AC305="",출력_인턴현황!$G$3=""),"",INDEX(입력_인턴근무계획!$M$3:$R$402,$AC305,출력_인턴현황!$G$3)&amp;"")</f>
        <v/>
      </c>
      <c r="AE305" s="10">
        <f>IF($B305="","",IF($M305&lt;&gt;"",$M305,IF(IF($AQ305="",FALSE,INDEX(출력_구리근무자!$J$6:$J$305,$AQ305)="구리독자"),"구리병원",IF($AF305&lt;&gt;"",IF(LEFT(INDEX(입력_파견수련계획!$R$4:$R$803,$AF305),1)&lt;&gt;"⚠",INDEX(입력_파견수련계획!$R$4:$R$803,$AF305),IF($H305="","",IF(RIGHT($H305,2)="병원",$H305,$H305&amp;"병원"))),IF($H305="","",IF(RIGHT($H305,2)="병원",$H305,$H305&amp;"병원"))))))</f>
        <v/>
      </c>
      <c r="AF305" s="10">
        <f>IF(OR($B305="",TRIM($J305&amp;"")=""),"",IFERROR(MATCH(TRIM($J305&amp;"")&amp;"|파견중",입력_파견수련계획!$Y$4:$Y$803,0),IFERROR(MATCH(TRIM($J305&amp;"")&amp;"|파견예정",입력_파견수련계획!$Y$4:$Y$803,0),IFERROR(MATCH(TRIM($J305&amp;"")&amp;"|파견종료",입력_파견수련계획!$Y$4:$Y$803,0),""))))</f>
        <v/>
      </c>
      <c r="AG305" s="10">
        <f>IF($B305="","",IF(AND(IF(OR($AC305="",출력_인턴현황!$K$2=""),"",INDEX(입력_인턴근무계획!$M$3:$R$402,$AC305,출력_인턴현황!$K$2)&amp;"")&lt;&gt;"",LEFT(IF(OR($AC305="",출력_인턴현황!$K$2=""),"",INDEX(입력_인턴근무계획!$M$3:$R$402,$AC305,출력_인턴현황!$K$2)&amp;""),1)&lt;&gt;"⚠"),LEFT(IF(OR($AC305="",출력_인턴현황!$K$2=""),"",INDEX(입력_인턴근무계획!$M$3:$R$402,$AC305,출력_인턴현황!$K$2)&amp;""),FIND(" ",IF(OR($AC305="",출력_인턴현황!$K$2=""),"",INDEX(입력_인턴근무계획!$M$3:$R$402,$AC305,출력_인턴현황!$K$2)&amp;""))-1),$AE305))</f>
        <v/>
      </c>
      <c r="AH305" s="17">
        <f>IF($B305="","",IF($AQ305&lt;&gt;"",MAX(0,DAY(EOMONTH(출력_요약!$B$3,0))-N($AR305)),IF(TRIM($J305&amp;"")="",0,SUMPRODUCT((입력_파견수련계획!$Q$4:$Q$803=TRIM($J305&amp;""))*(입력_파견수련계획!$S$4:$S$803="서울병원")*입력_파견수련계획!$W$4:$W$803))+IF($AG305="서울병원",MAX(0,DAY(EOMONTH(출력_요약!$B$3,0))-N($X305)),0)))</f>
        <v/>
      </c>
      <c r="AI305" s="17">
        <f>IF($B305="","",IF($AQ305&lt;&gt;"",N($AR305),IF(TRIM($J305&amp;"")="",0,SUMPRODUCT((입력_파견수련계획!$Q$4:$Q$803=TRIM($J305&amp;""))*(입력_파견수련계획!$S$4:$S$803="구리병원")*입력_파견수련계획!$W$4:$W$803))+IF($AG305="구리병원",MAX(0,DAY(EOMONTH(출력_요약!$B$3,0))-N($X305)),0)))</f>
        <v/>
      </c>
      <c r="AJ305" s="10">
        <f>IF(OR($B305="",TRIM($J305&amp;"")=""),"",IFERROR(MATCH(TRIM($J305&amp;"")&amp;"|월",입력_파견수련계획!$Z$4:$Z$803,0),""))</f>
        <v/>
      </c>
      <c r="AK305" s="10">
        <f>IF(OR($B305="",TRIM($J305&amp;"")=""),"",IFERROR(MATCH(TRIM($J305&amp;"")&amp;"|다기관",입력_파견수련계획!$AE$4:$AE$803,0),""))</f>
        <v/>
      </c>
      <c r="AL305" s="10">
        <f>IF($AK305="","","다기관 "&amp;TEXT(INDEX(입력_파견수련계획!$AB$4:$AB$803,$AK305),"yyyy-mm-dd")&amp;"~"&amp;IF(ISNUMBER(INDEX(입력_파견수련계획!$AC$4:$AC$803,$AK305)),TEXT(INDEX(입력_파견수련계획!$AC$4:$AC$803,$AK305),"yyyy-mm-dd"),""))</f>
        <v/>
      </c>
      <c r="AM305" s="10">
        <f>IF($Y305="서울병원",COUNTIF($Y$2:$Y305,"서울병원"),"")</f>
        <v/>
      </c>
      <c r="AN305" s="10">
        <f>IF(LEFT($Y305,1)="⚠",COUNTIF($Y$2:$Y305,"⚠*"),"")</f>
        <v/>
      </c>
      <c r="AO305" s="10">
        <f>IF(OR($B305="",$Y305=""),"",IF(IF(TRIM($J305&amp;"")="",0,SUMPRODUCT((입력_파견수련계획!$Q$4:$Q$803=TRIM($J305&amp;""))*입력_파견수련계획!$AD$4:$AD$803))&gt;0,"다기관 기간 → 소속병원 지급",IF(AND(N($X305)&lt;=0,$AQ305=""),"파견 없음 → 그 달 근무병원 지급",IF($AH305+$AI305=DAY(EOMONTH(출력_요약!$B$3,0)),"서울 "&amp;$AH305&amp;"일 / 구리 "&amp;$AI305&amp;"일"&amp;IF($AQ305&lt;&gt;""," (구리 근무자명단 반영)","")&amp;" → 15일 이상 근무 병원 지급","타 병원 포함 → "&amp;IF($AJ305="","소속",INDEX(입력_파견수련계획!$T$4:$T$803,$AJ305))&amp;" 규칙"))))</f>
        <v/>
      </c>
      <c r="AP305" s="10">
        <f>IF($B305="","",$C305&amp;"|"&amp;$F305)</f>
        <v/>
      </c>
      <c r="AQ305" s="10">
        <f>IF($B305="","",IFERROR(MATCH(ROW()-1,출력_구리근무자!$K$6:$K$305,0),""))</f>
        <v/>
      </c>
      <c r="AR305" s="10">
        <f>IF($AQ305="","",INDEX(출력_구리근무자!$H$6:$H$305,$AQ305))</f>
        <v/>
      </c>
    </row>
    <row r="306">
      <c r="A306" s="10">
        <f>IF(B306="","",ROW()-1)</f>
        <v/>
      </c>
      <c r="B306" s="19" t="n"/>
      <c r="C306" s="10">
        <f>IF($AB306="","",IF(INDEX(입력_기본자료!$C$2:$C$1001,$AB306)="","",INDEX(입력_기본자료!$C$2:$C$1001,$AB306)))</f>
        <v/>
      </c>
      <c r="D306" s="10">
        <f>IF($AB306="","",IF(INDEX(입력_기본자료!$J$2:$J$1001,$AB306)="","",INDEX(입력_기본자료!$J$2:$J$1001,$AB306)))</f>
        <v/>
      </c>
      <c r="E306" s="11">
        <f>IF($AB306="","",IF(INDEX(입력_기본자료!$K$2:$K$1001,$AB306)="","",IF(NOT(ISNUMBER(INDEX(입력_기본자료!$K$2:$K$1001,$AB306))),INDEX(입력_기본자료!$K$2:$K$1001,$AB306),IF(INDEX(입력_기본자료!$K$2:$K$1001,$AB306)&lt;1000000,INDEX(입력_기본자료!$K$2:$K$1001,$AB306),IF(AND(INDEX(입력_기본자료!$K$2:$K$1001,$AB306)&gt;=10000101,INT(MOD(INDEX(입력_기본자료!$K$2:$K$1001,$AB306),10000)/100)&gt;=1,INT(MOD(INDEX(입력_기본자료!$K$2:$K$1001,$AB306),10000)/100)&lt;=12,MOD(INDEX(입력_기본자료!$K$2:$K$1001,$AB306),100)&gt;=1,MOD(INDEX(입력_기본자료!$K$2:$K$1001,$AB306),100)&lt;=31),DATE(INT(INDEX(입력_기본자료!$K$2:$K$1001,$AB306)/10000),INT(MOD(INDEX(입력_기본자료!$K$2:$K$1001,$AB306),10000)/100),MOD(INDEX(입력_기본자료!$K$2:$K$1001,$AB306),100)),INDEX(입력_기본자료!$K$2:$K$1001,$AB306)&amp;"")))))</f>
        <v/>
      </c>
      <c r="F306" s="10">
        <f>IF($AB306="","",IF(INDEX(입력_기본자료!$D$2:$D$1001,$AB306)="","",INDEX(입력_기본자료!$D$2:$D$1001,$AB306)))</f>
        <v/>
      </c>
      <c r="G306" s="10">
        <f>IF($AB306="","",IF(INDEX(입력_기본자료!$E$2:$E$1001,$AB306)="","",INDEX(입력_기본자료!$E$2:$E$1001,$AB306)))</f>
        <v/>
      </c>
      <c r="H306" s="10">
        <f>IF($AB306="","",IF(INDEX(입력_기본자료!$F$2:$F$1001,$AB306)="","",INDEX(입력_기본자료!$F$2:$F$1001,$AB306)))</f>
        <v/>
      </c>
      <c r="I306" s="11">
        <f>IF($AB306="","",IF(INDEX(입력_기본자료!$G$2:$G$1001,$AB306)="","",IF(NOT(ISNUMBER(INDEX(입력_기본자료!$G$2:$G$1001,$AB306))),INDEX(입력_기본자료!$G$2:$G$1001,$AB306),IF(INDEX(입력_기본자료!$G$2:$G$1001,$AB306)&lt;1000000,INDEX(입력_기본자료!$G$2:$G$1001,$AB306),IF(AND(INDEX(입력_기본자료!$G$2:$G$1001,$AB306)&gt;=10000101,INT(MOD(INDEX(입력_기본자료!$G$2:$G$1001,$AB306),10000)/100)&gt;=1,INT(MOD(INDEX(입력_기본자료!$G$2:$G$1001,$AB306),10000)/100)&lt;=12,MOD(INDEX(입력_기본자료!$G$2:$G$1001,$AB306),100)&gt;=1,MOD(INDEX(입력_기본자료!$G$2:$G$1001,$AB306),100)&lt;=31),DATE(INT(INDEX(입력_기본자료!$G$2:$G$1001,$AB306)/10000),INT(MOD(INDEX(입력_기본자료!$G$2:$G$1001,$AB306),10000)/100),MOD(INDEX(입력_기본자료!$G$2:$G$1001,$AB306),100)),INDEX(입력_기본자료!$G$2:$G$1001,$AB306)&amp;"")))))</f>
        <v/>
      </c>
      <c r="J306" s="10">
        <f>IF($AB306="","",IF(INDEX(입력_기본자료!$H$2:$H$1001,$AB306)="","",INDEX(입력_기본자료!$H$2:$H$1001,$AB306)))</f>
        <v/>
      </c>
      <c r="K306" s="10">
        <f>IF($AB306="","",IF(INDEX(입력_기본자료!$I$2:$I$1001,$AB306)="","",INDEX(입력_기본자료!$I$2:$I$1001,$AB306)))</f>
        <v/>
      </c>
      <c r="L306" s="10">
        <f>IF($AB306="","",IF(INDEX(입력_기본자료!$A$2:$A$1001,$AB306)="","",INDEX(입력_기본자료!$A$2:$A$1001,$AB306)))</f>
        <v/>
      </c>
      <c r="M306" s="15" t="n"/>
      <c r="N306" s="10">
        <f>IF($B306="","",IF(AND($U306="파견중",$Q306&lt;&gt;""),$Q306,IF(AND($AD306&lt;&gt;"",LEFT($AD306,1)&lt;&gt;"⚠"),LEFT($AD306,FIND(" ",$AD306)-1),IF($H306="","",IF(RIGHT($H306,2)="병원",$H306,$H306&amp;"병원")))))</f>
        <v/>
      </c>
      <c r="O306" s="10">
        <f>IF($B306="","",IF(AND($U306="파견중",$Q306&lt;&gt;""),IF($R306&lt;&gt;"",$R306,"파견과 미입력"),IF(AND($AD306&lt;&gt;"",LEFT($AD306,1)&lt;&gt;"⚠"),MID($AD306,FIND(" ",$AD306)+1,60),IF($F306="","",IF($F306="인턴","수련교육부(인턴)",$F306)))))</f>
        <v/>
      </c>
      <c r="P306" s="10">
        <f>IF($B306="","",IF($AK306&lt;&gt;"",IF(AND(TODAY()&gt;=INDEX(입력_파견수련계획!$AB$4:$AB$803,$AK306),OR(NOT(ISNUMBER(INDEX(입력_파견수련계획!$AC$4:$AC$803,$AK306))),TODAY()&lt;=INDEX(입력_파견수련계획!$AC$4:$AC$803,$AK306))),"다기관",IF($AF306="","",INDEX(입력_파견수련계획!$T$4:$T$803,$AF306))),IF($AF306="","",INDEX(입력_파견수련계획!$T$4:$T$803,$AF306))))</f>
        <v/>
      </c>
      <c r="Q306" s="10">
        <f>IF($AF306="","",INDEX(입력_파견수련계획!$S$4:$S$803,$AF306))</f>
        <v/>
      </c>
      <c r="R306" s="10">
        <f>IF($AF306="","",INDEX(입력_파견수련계획!$U$4:$U$803,$AF306))</f>
        <v/>
      </c>
      <c r="S306" s="11">
        <f>IF($AF306="","",IF(INDEX(입력_파견수련계획!$H$4:$H$803,$AF306)="","",INDEX(입력_파견수련계획!$H$4:$H$803,$AF306)))</f>
        <v/>
      </c>
      <c r="T306" s="11">
        <f>IF($AF306="","",IF(INDEX(입력_파견수련계획!$I$4:$I$803,$AF306)="","",INDEX(입력_파견수련계획!$I$4:$I$803,$AF306)))</f>
        <v/>
      </c>
      <c r="U306" s="10">
        <f>IF($AF306="","",INDEX(입력_파견수련계획!$X$4:$X$803,$AF306))</f>
        <v/>
      </c>
      <c r="V306" s="17">
        <f>IF($AF306="","",INDEX(입력_파견수련계획!$V$4:$V$803,$AF306))</f>
        <v/>
      </c>
      <c r="W306" s="17">
        <f>IF(AND($U306="파견중",$T306&lt;&gt;""),$T306-TODAY(),"")</f>
        <v/>
      </c>
      <c r="X306" s="17">
        <f>IF(OR($B306="",TRIM($J306&amp;"")=""),"",SUMPRODUCT((입력_파견수련계획!$Q$4:$Q$803=TRIM($J306&amp;""))*입력_파견수련계획!$W$4:$W$803))</f>
        <v/>
      </c>
      <c r="Y306" s="10">
        <f>IF($B306="","",IF($AG306="","",IF(IF(TRIM($J306&amp;"")="",0,SUMPRODUCT((입력_파견수련계획!$Q$4:$Q$803=TRIM($J306&amp;""))*입력_파견수련계획!$AD$4:$AD$803))&gt;0,$AE306,IF(AND(N($X306)&lt;=0,$AQ306=""),$AG306,IF($AH306+$AI306=DAY(EOMONTH(출력_요약!$B$3,0)),IF(AND($AH306&gt;=출력_요약!$E$3,$AI306&lt;출력_요약!$E$3),"서울병원",IF(AND($AI306&gt;=출력_요약!$E$3,$AH306&lt;출력_요약!$E$3),"구리병원","⚠15일 판정불가(서울 "&amp;$AH306&amp;"일/구리 "&amp;$AI306&amp;"일)")),IF($AJ306="",$AE306,IF(INDEX(입력_파견수련계획!$T$4:$T$803,$AJ306)="통합수련",INDEX(입력_파견수련계획!$S$4:$S$803,$AJ306),$AE306)))))))</f>
        <v/>
      </c>
      <c r="Z306" s="20">
        <f>IF($B306="","",IF($AB306="","기본자료에 없는 사번",IF(COUNTIF($B$2:$B$401,$B306)&gt;1,"중복 사번",IF($AE306="","소속(입사장소) 입력",IF(IF(TRIM($J306&amp;"")="",0,SUMPRODUCT((입력_파견수련계획!$Q$4:$Q$803=TRIM($J306&amp;""))*(입력_파견수련계획!$AA$4:$AA$803&lt;&gt;"")))&gt;0,"파견수련계획 입력오류 확인",IF(LEFT($Y306,1)="⚠","서울·구리 15일 판정 불가(양쪽 모두 이상/미만)",IF(IF($AC306="",0,N(INDEX(입력_인턴근무계획!$T$3:$T$402,$AC306)))&gt;0,"인턴계획 입력오류 확인",IF(AND($AQ306&lt;&gt;"",$AG306&lt;&gt;"구리병원",IF(TRIM($J306&amp;"")="",0,SUMPRODUCT((입력_파견수련계획!$Q$4:$Q$803=TRIM($J306&amp;""))*(입력_파견수련계획!$S$4:$S$803="구리병원")*입력_파견수련계획!$W$4:$W$803))=0),"구리 근무자명단에만 있음(파견수련계획 확인)",IF(AND($AC306&lt;&gt;"",$U306&lt;&gt;"파견중",$N306&lt;&gt;$AE306),"인턴 타지역 근무: 파견 여부 확인","정상")))))))))</f>
        <v/>
      </c>
      <c r="AA306" s="5" t="n"/>
      <c r="AB306" s="10">
        <f>IF($B306="","",IFERROR(MATCH($B306,입력_기본자료!$B$2:$B$1001,0),IFERROR(MATCH($B306&amp;"",입력_기본자료!$B$2:$B$1001,0),IFERROR(MATCH(VALUE($B306),입력_기본자료!$B$2:$B$1001,0),""))))</f>
        <v/>
      </c>
      <c r="AC306" s="10">
        <f>IF($B306="","",IFERROR(MATCH($B306,입력_인턴근무계획!$D$3:$D$402,0),IFERROR(MATCH($B306&amp;"",입력_인턴근무계획!$D$3:$D$402,0),IFERROR(MATCH(VALUE($B306),입력_인턴근무계획!$D$3:$D$402,0),""))))</f>
        <v/>
      </c>
      <c r="AD306" s="10">
        <f>IF(OR($AC306="",출력_인턴현황!$G$3=""),"",INDEX(입력_인턴근무계획!$M$3:$R$402,$AC306,출력_인턴현황!$G$3)&amp;"")</f>
        <v/>
      </c>
      <c r="AE306" s="10">
        <f>IF($B306="","",IF($M306&lt;&gt;"",$M306,IF(IF($AQ306="",FALSE,INDEX(출력_구리근무자!$J$6:$J$305,$AQ306)="구리독자"),"구리병원",IF($AF306&lt;&gt;"",IF(LEFT(INDEX(입력_파견수련계획!$R$4:$R$803,$AF306),1)&lt;&gt;"⚠",INDEX(입력_파견수련계획!$R$4:$R$803,$AF306),IF($H306="","",IF(RIGHT($H306,2)="병원",$H306,$H306&amp;"병원"))),IF($H306="","",IF(RIGHT($H306,2)="병원",$H306,$H306&amp;"병원"))))))</f>
        <v/>
      </c>
      <c r="AF306" s="10">
        <f>IF(OR($B306="",TRIM($J306&amp;"")=""),"",IFERROR(MATCH(TRIM($J306&amp;"")&amp;"|파견중",입력_파견수련계획!$Y$4:$Y$803,0),IFERROR(MATCH(TRIM($J306&amp;"")&amp;"|파견예정",입력_파견수련계획!$Y$4:$Y$803,0),IFERROR(MATCH(TRIM($J306&amp;"")&amp;"|파견종료",입력_파견수련계획!$Y$4:$Y$803,0),""))))</f>
        <v/>
      </c>
      <c r="AG306" s="10">
        <f>IF($B306="","",IF(AND(IF(OR($AC306="",출력_인턴현황!$K$2=""),"",INDEX(입력_인턴근무계획!$M$3:$R$402,$AC306,출력_인턴현황!$K$2)&amp;"")&lt;&gt;"",LEFT(IF(OR($AC306="",출력_인턴현황!$K$2=""),"",INDEX(입력_인턴근무계획!$M$3:$R$402,$AC306,출력_인턴현황!$K$2)&amp;""),1)&lt;&gt;"⚠"),LEFT(IF(OR($AC306="",출력_인턴현황!$K$2=""),"",INDEX(입력_인턴근무계획!$M$3:$R$402,$AC306,출력_인턴현황!$K$2)&amp;""),FIND(" ",IF(OR($AC306="",출력_인턴현황!$K$2=""),"",INDEX(입력_인턴근무계획!$M$3:$R$402,$AC306,출력_인턴현황!$K$2)&amp;""))-1),$AE306))</f>
        <v/>
      </c>
      <c r="AH306" s="17">
        <f>IF($B306="","",IF($AQ306&lt;&gt;"",MAX(0,DAY(EOMONTH(출력_요약!$B$3,0))-N($AR306)),IF(TRIM($J306&amp;"")="",0,SUMPRODUCT((입력_파견수련계획!$Q$4:$Q$803=TRIM($J306&amp;""))*(입력_파견수련계획!$S$4:$S$803="서울병원")*입력_파견수련계획!$W$4:$W$803))+IF($AG306="서울병원",MAX(0,DAY(EOMONTH(출력_요약!$B$3,0))-N($X306)),0)))</f>
        <v/>
      </c>
      <c r="AI306" s="17">
        <f>IF($B306="","",IF($AQ306&lt;&gt;"",N($AR306),IF(TRIM($J306&amp;"")="",0,SUMPRODUCT((입력_파견수련계획!$Q$4:$Q$803=TRIM($J306&amp;""))*(입력_파견수련계획!$S$4:$S$803="구리병원")*입력_파견수련계획!$W$4:$W$803))+IF($AG306="구리병원",MAX(0,DAY(EOMONTH(출력_요약!$B$3,0))-N($X306)),0)))</f>
        <v/>
      </c>
      <c r="AJ306" s="10">
        <f>IF(OR($B306="",TRIM($J306&amp;"")=""),"",IFERROR(MATCH(TRIM($J306&amp;"")&amp;"|월",입력_파견수련계획!$Z$4:$Z$803,0),""))</f>
        <v/>
      </c>
      <c r="AK306" s="10">
        <f>IF(OR($B306="",TRIM($J306&amp;"")=""),"",IFERROR(MATCH(TRIM($J306&amp;"")&amp;"|다기관",입력_파견수련계획!$AE$4:$AE$803,0),""))</f>
        <v/>
      </c>
      <c r="AL306" s="10">
        <f>IF($AK306="","","다기관 "&amp;TEXT(INDEX(입력_파견수련계획!$AB$4:$AB$803,$AK306),"yyyy-mm-dd")&amp;"~"&amp;IF(ISNUMBER(INDEX(입력_파견수련계획!$AC$4:$AC$803,$AK306)),TEXT(INDEX(입력_파견수련계획!$AC$4:$AC$803,$AK306),"yyyy-mm-dd"),""))</f>
        <v/>
      </c>
      <c r="AM306" s="10">
        <f>IF($Y306="서울병원",COUNTIF($Y$2:$Y306,"서울병원"),"")</f>
        <v/>
      </c>
      <c r="AN306" s="10">
        <f>IF(LEFT($Y306,1)="⚠",COUNTIF($Y$2:$Y306,"⚠*"),"")</f>
        <v/>
      </c>
      <c r="AO306" s="10">
        <f>IF(OR($B306="",$Y306=""),"",IF(IF(TRIM($J306&amp;"")="",0,SUMPRODUCT((입력_파견수련계획!$Q$4:$Q$803=TRIM($J306&amp;""))*입력_파견수련계획!$AD$4:$AD$803))&gt;0,"다기관 기간 → 소속병원 지급",IF(AND(N($X306)&lt;=0,$AQ306=""),"파견 없음 → 그 달 근무병원 지급",IF($AH306+$AI306=DAY(EOMONTH(출력_요약!$B$3,0)),"서울 "&amp;$AH306&amp;"일 / 구리 "&amp;$AI306&amp;"일"&amp;IF($AQ306&lt;&gt;""," (구리 근무자명단 반영)","")&amp;" → 15일 이상 근무 병원 지급","타 병원 포함 → "&amp;IF($AJ306="","소속",INDEX(입력_파견수련계획!$T$4:$T$803,$AJ306))&amp;" 규칙"))))</f>
        <v/>
      </c>
      <c r="AP306" s="10">
        <f>IF($B306="","",$C306&amp;"|"&amp;$F306)</f>
        <v/>
      </c>
      <c r="AQ306" s="10">
        <f>IF($B306="","",IFERROR(MATCH(ROW()-1,출력_구리근무자!$K$6:$K$305,0),""))</f>
        <v/>
      </c>
      <c r="AR306" s="10">
        <f>IF($AQ306="","",INDEX(출력_구리근무자!$H$6:$H$305,$AQ306))</f>
        <v/>
      </c>
    </row>
    <row r="307">
      <c r="A307" s="10">
        <f>IF(B307="","",ROW()-1)</f>
        <v/>
      </c>
      <c r="B307" s="19" t="n"/>
      <c r="C307" s="10">
        <f>IF($AB307="","",IF(INDEX(입력_기본자료!$C$2:$C$1001,$AB307)="","",INDEX(입력_기본자료!$C$2:$C$1001,$AB307)))</f>
        <v/>
      </c>
      <c r="D307" s="10">
        <f>IF($AB307="","",IF(INDEX(입력_기본자료!$J$2:$J$1001,$AB307)="","",INDEX(입력_기본자료!$J$2:$J$1001,$AB307)))</f>
        <v/>
      </c>
      <c r="E307" s="11">
        <f>IF($AB307="","",IF(INDEX(입력_기본자료!$K$2:$K$1001,$AB307)="","",IF(NOT(ISNUMBER(INDEX(입력_기본자료!$K$2:$K$1001,$AB307))),INDEX(입력_기본자료!$K$2:$K$1001,$AB307),IF(INDEX(입력_기본자료!$K$2:$K$1001,$AB307)&lt;1000000,INDEX(입력_기본자료!$K$2:$K$1001,$AB307),IF(AND(INDEX(입력_기본자료!$K$2:$K$1001,$AB307)&gt;=10000101,INT(MOD(INDEX(입력_기본자료!$K$2:$K$1001,$AB307),10000)/100)&gt;=1,INT(MOD(INDEX(입력_기본자료!$K$2:$K$1001,$AB307),10000)/100)&lt;=12,MOD(INDEX(입력_기본자료!$K$2:$K$1001,$AB307),100)&gt;=1,MOD(INDEX(입력_기본자료!$K$2:$K$1001,$AB307),100)&lt;=31),DATE(INT(INDEX(입력_기본자료!$K$2:$K$1001,$AB307)/10000),INT(MOD(INDEX(입력_기본자료!$K$2:$K$1001,$AB307),10000)/100),MOD(INDEX(입력_기본자료!$K$2:$K$1001,$AB307),100)),INDEX(입력_기본자료!$K$2:$K$1001,$AB307)&amp;"")))))</f>
        <v/>
      </c>
      <c r="F307" s="10">
        <f>IF($AB307="","",IF(INDEX(입력_기본자료!$D$2:$D$1001,$AB307)="","",INDEX(입력_기본자료!$D$2:$D$1001,$AB307)))</f>
        <v/>
      </c>
      <c r="G307" s="10">
        <f>IF($AB307="","",IF(INDEX(입력_기본자료!$E$2:$E$1001,$AB307)="","",INDEX(입력_기본자료!$E$2:$E$1001,$AB307)))</f>
        <v/>
      </c>
      <c r="H307" s="10">
        <f>IF($AB307="","",IF(INDEX(입력_기본자료!$F$2:$F$1001,$AB307)="","",INDEX(입력_기본자료!$F$2:$F$1001,$AB307)))</f>
        <v/>
      </c>
      <c r="I307" s="11">
        <f>IF($AB307="","",IF(INDEX(입력_기본자료!$G$2:$G$1001,$AB307)="","",IF(NOT(ISNUMBER(INDEX(입력_기본자료!$G$2:$G$1001,$AB307))),INDEX(입력_기본자료!$G$2:$G$1001,$AB307),IF(INDEX(입력_기본자료!$G$2:$G$1001,$AB307)&lt;1000000,INDEX(입력_기본자료!$G$2:$G$1001,$AB307),IF(AND(INDEX(입력_기본자료!$G$2:$G$1001,$AB307)&gt;=10000101,INT(MOD(INDEX(입력_기본자료!$G$2:$G$1001,$AB307),10000)/100)&gt;=1,INT(MOD(INDEX(입력_기본자료!$G$2:$G$1001,$AB307),10000)/100)&lt;=12,MOD(INDEX(입력_기본자료!$G$2:$G$1001,$AB307),100)&gt;=1,MOD(INDEX(입력_기본자료!$G$2:$G$1001,$AB307),100)&lt;=31),DATE(INT(INDEX(입력_기본자료!$G$2:$G$1001,$AB307)/10000),INT(MOD(INDEX(입력_기본자료!$G$2:$G$1001,$AB307),10000)/100),MOD(INDEX(입력_기본자료!$G$2:$G$1001,$AB307),100)),INDEX(입력_기본자료!$G$2:$G$1001,$AB307)&amp;"")))))</f>
        <v/>
      </c>
      <c r="J307" s="10">
        <f>IF($AB307="","",IF(INDEX(입력_기본자료!$H$2:$H$1001,$AB307)="","",INDEX(입력_기본자료!$H$2:$H$1001,$AB307)))</f>
        <v/>
      </c>
      <c r="K307" s="10">
        <f>IF($AB307="","",IF(INDEX(입력_기본자료!$I$2:$I$1001,$AB307)="","",INDEX(입력_기본자료!$I$2:$I$1001,$AB307)))</f>
        <v/>
      </c>
      <c r="L307" s="10">
        <f>IF($AB307="","",IF(INDEX(입력_기본자료!$A$2:$A$1001,$AB307)="","",INDEX(입력_기본자료!$A$2:$A$1001,$AB307)))</f>
        <v/>
      </c>
      <c r="M307" s="15" t="n"/>
      <c r="N307" s="10">
        <f>IF($B307="","",IF(AND($U307="파견중",$Q307&lt;&gt;""),$Q307,IF(AND($AD307&lt;&gt;"",LEFT($AD307,1)&lt;&gt;"⚠"),LEFT($AD307,FIND(" ",$AD307)-1),IF($H307="","",IF(RIGHT($H307,2)="병원",$H307,$H307&amp;"병원")))))</f>
        <v/>
      </c>
      <c r="O307" s="10">
        <f>IF($B307="","",IF(AND($U307="파견중",$Q307&lt;&gt;""),IF($R307&lt;&gt;"",$R307,"파견과 미입력"),IF(AND($AD307&lt;&gt;"",LEFT($AD307,1)&lt;&gt;"⚠"),MID($AD307,FIND(" ",$AD307)+1,60),IF($F307="","",IF($F307="인턴","수련교육부(인턴)",$F307)))))</f>
        <v/>
      </c>
      <c r="P307" s="10">
        <f>IF($B307="","",IF($AK307&lt;&gt;"",IF(AND(TODAY()&gt;=INDEX(입력_파견수련계획!$AB$4:$AB$803,$AK307),OR(NOT(ISNUMBER(INDEX(입력_파견수련계획!$AC$4:$AC$803,$AK307))),TODAY()&lt;=INDEX(입력_파견수련계획!$AC$4:$AC$803,$AK307))),"다기관",IF($AF307="","",INDEX(입력_파견수련계획!$T$4:$T$803,$AF307))),IF($AF307="","",INDEX(입력_파견수련계획!$T$4:$T$803,$AF307))))</f>
        <v/>
      </c>
      <c r="Q307" s="10">
        <f>IF($AF307="","",INDEX(입력_파견수련계획!$S$4:$S$803,$AF307))</f>
        <v/>
      </c>
      <c r="R307" s="10">
        <f>IF($AF307="","",INDEX(입력_파견수련계획!$U$4:$U$803,$AF307))</f>
        <v/>
      </c>
      <c r="S307" s="11">
        <f>IF($AF307="","",IF(INDEX(입력_파견수련계획!$H$4:$H$803,$AF307)="","",INDEX(입력_파견수련계획!$H$4:$H$803,$AF307)))</f>
        <v/>
      </c>
      <c r="T307" s="11">
        <f>IF($AF307="","",IF(INDEX(입력_파견수련계획!$I$4:$I$803,$AF307)="","",INDEX(입력_파견수련계획!$I$4:$I$803,$AF307)))</f>
        <v/>
      </c>
      <c r="U307" s="10">
        <f>IF($AF307="","",INDEX(입력_파견수련계획!$X$4:$X$803,$AF307))</f>
        <v/>
      </c>
      <c r="V307" s="17">
        <f>IF($AF307="","",INDEX(입력_파견수련계획!$V$4:$V$803,$AF307))</f>
        <v/>
      </c>
      <c r="W307" s="17">
        <f>IF(AND($U307="파견중",$T307&lt;&gt;""),$T307-TODAY(),"")</f>
        <v/>
      </c>
      <c r="X307" s="17">
        <f>IF(OR($B307="",TRIM($J307&amp;"")=""),"",SUMPRODUCT((입력_파견수련계획!$Q$4:$Q$803=TRIM($J307&amp;""))*입력_파견수련계획!$W$4:$W$803))</f>
        <v/>
      </c>
      <c r="Y307" s="10">
        <f>IF($B307="","",IF($AG307="","",IF(IF(TRIM($J307&amp;"")="",0,SUMPRODUCT((입력_파견수련계획!$Q$4:$Q$803=TRIM($J307&amp;""))*입력_파견수련계획!$AD$4:$AD$803))&gt;0,$AE307,IF(AND(N($X307)&lt;=0,$AQ307=""),$AG307,IF($AH307+$AI307=DAY(EOMONTH(출력_요약!$B$3,0)),IF(AND($AH307&gt;=출력_요약!$E$3,$AI307&lt;출력_요약!$E$3),"서울병원",IF(AND($AI307&gt;=출력_요약!$E$3,$AH307&lt;출력_요약!$E$3),"구리병원","⚠15일 판정불가(서울 "&amp;$AH307&amp;"일/구리 "&amp;$AI307&amp;"일)")),IF($AJ307="",$AE307,IF(INDEX(입력_파견수련계획!$T$4:$T$803,$AJ307)="통합수련",INDEX(입력_파견수련계획!$S$4:$S$803,$AJ307),$AE307)))))))</f>
        <v/>
      </c>
      <c r="Z307" s="20">
        <f>IF($B307="","",IF($AB307="","기본자료에 없는 사번",IF(COUNTIF($B$2:$B$401,$B307)&gt;1,"중복 사번",IF($AE307="","소속(입사장소) 입력",IF(IF(TRIM($J307&amp;"")="",0,SUMPRODUCT((입력_파견수련계획!$Q$4:$Q$803=TRIM($J307&amp;""))*(입력_파견수련계획!$AA$4:$AA$803&lt;&gt;"")))&gt;0,"파견수련계획 입력오류 확인",IF(LEFT($Y307,1)="⚠","서울·구리 15일 판정 불가(양쪽 모두 이상/미만)",IF(IF($AC307="",0,N(INDEX(입력_인턴근무계획!$T$3:$T$402,$AC307)))&gt;0,"인턴계획 입력오류 확인",IF(AND($AQ307&lt;&gt;"",$AG307&lt;&gt;"구리병원",IF(TRIM($J307&amp;"")="",0,SUMPRODUCT((입력_파견수련계획!$Q$4:$Q$803=TRIM($J307&amp;""))*(입력_파견수련계획!$S$4:$S$803="구리병원")*입력_파견수련계획!$W$4:$W$803))=0),"구리 근무자명단에만 있음(파견수련계획 확인)",IF(AND($AC307&lt;&gt;"",$U307&lt;&gt;"파견중",$N307&lt;&gt;$AE307),"인턴 타지역 근무: 파견 여부 확인","정상")))))))))</f>
        <v/>
      </c>
      <c r="AA307" s="5" t="n"/>
      <c r="AB307" s="10">
        <f>IF($B307="","",IFERROR(MATCH($B307,입력_기본자료!$B$2:$B$1001,0),IFERROR(MATCH($B307&amp;"",입력_기본자료!$B$2:$B$1001,0),IFERROR(MATCH(VALUE($B307),입력_기본자료!$B$2:$B$1001,0),""))))</f>
        <v/>
      </c>
      <c r="AC307" s="10">
        <f>IF($B307="","",IFERROR(MATCH($B307,입력_인턴근무계획!$D$3:$D$402,0),IFERROR(MATCH($B307&amp;"",입력_인턴근무계획!$D$3:$D$402,0),IFERROR(MATCH(VALUE($B307),입력_인턴근무계획!$D$3:$D$402,0),""))))</f>
        <v/>
      </c>
      <c r="AD307" s="10">
        <f>IF(OR($AC307="",출력_인턴현황!$G$3=""),"",INDEX(입력_인턴근무계획!$M$3:$R$402,$AC307,출력_인턴현황!$G$3)&amp;"")</f>
        <v/>
      </c>
      <c r="AE307" s="10">
        <f>IF($B307="","",IF($M307&lt;&gt;"",$M307,IF(IF($AQ307="",FALSE,INDEX(출력_구리근무자!$J$6:$J$305,$AQ307)="구리독자"),"구리병원",IF($AF307&lt;&gt;"",IF(LEFT(INDEX(입력_파견수련계획!$R$4:$R$803,$AF307),1)&lt;&gt;"⚠",INDEX(입력_파견수련계획!$R$4:$R$803,$AF307),IF($H307="","",IF(RIGHT($H307,2)="병원",$H307,$H307&amp;"병원"))),IF($H307="","",IF(RIGHT($H307,2)="병원",$H307,$H307&amp;"병원"))))))</f>
        <v/>
      </c>
      <c r="AF307" s="10">
        <f>IF(OR($B307="",TRIM($J307&amp;"")=""),"",IFERROR(MATCH(TRIM($J307&amp;"")&amp;"|파견중",입력_파견수련계획!$Y$4:$Y$803,0),IFERROR(MATCH(TRIM($J307&amp;"")&amp;"|파견예정",입력_파견수련계획!$Y$4:$Y$803,0),IFERROR(MATCH(TRIM($J307&amp;"")&amp;"|파견종료",입력_파견수련계획!$Y$4:$Y$803,0),""))))</f>
        <v/>
      </c>
      <c r="AG307" s="10">
        <f>IF($B307="","",IF(AND(IF(OR($AC307="",출력_인턴현황!$K$2=""),"",INDEX(입력_인턴근무계획!$M$3:$R$402,$AC307,출력_인턴현황!$K$2)&amp;"")&lt;&gt;"",LEFT(IF(OR($AC307="",출력_인턴현황!$K$2=""),"",INDEX(입력_인턴근무계획!$M$3:$R$402,$AC307,출력_인턴현황!$K$2)&amp;""),1)&lt;&gt;"⚠"),LEFT(IF(OR($AC307="",출력_인턴현황!$K$2=""),"",INDEX(입력_인턴근무계획!$M$3:$R$402,$AC307,출력_인턴현황!$K$2)&amp;""),FIND(" ",IF(OR($AC307="",출력_인턴현황!$K$2=""),"",INDEX(입력_인턴근무계획!$M$3:$R$402,$AC307,출력_인턴현황!$K$2)&amp;""))-1),$AE307))</f>
        <v/>
      </c>
      <c r="AH307" s="17">
        <f>IF($B307="","",IF($AQ307&lt;&gt;"",MAX(0,DAY(EOMONTH(출력_요약!$B$3,0))-N($AR307)),IF(TRIM($J307&amp;"")="",0,SUMPRODUCT((입력_파견수련계획!$Q$4:$Q$803=TRIM($J307&amp;""))*(입력_파견수련계획!$S$4:$S$803="서울병원")*입력_파견수련계획!$W$4:$W$803))+IF($AG307="서울병원",MAX(0,DAY(EOMONTH(출력_요약!$B$3,0))-N($X307)),0)))</f>
        <v/>
      </c>
      <c r="AI307" s="17">
        <f>IF($B307="","",IF($AQ307&lt;&gt;"",N($AR307),IF(TRIM($J307&amp;"")="",0,SUMPRODUCT((입력_파견수련계획!$Q$4:$Q$803=TRIM($J307&amp;""))*(입력_파견수련계획!$S$4:$S$803="구리병원")*입력_파견수련계획!$W$4:$W$803))+IF($AG307="구리병원",MAX(0,DAY(EOMONTH(출력_요약!$B$3,0))-N($X307)),0)))</f>
        <v/>
      </c>
      <c r="AJ307" s="10">
        <f>IF(OR($B307="",TRIM($J307&amp;"")=""),"",IFERROR(MATCH(TRIM($J307&amp;"")&amp;"|월",입력_파견수련계획!$Z$4:$Z$803,0),""))</f>
        <v/>
      </c>
      <c r="AK307" s="10">
        <f>IF(OR($B307="",TRIM($J307&amp;"")=""),"",IFERROR(MATCH(TRIM($J307&amp;"")&amp;"|다기관",입력_파견수련계획!$AE$4:$AE$803,0),""))</f>
        <v/>
      </c>
      <c r="AL307" s="10">
        <f>IF($AK307="","","다기관 "&amp;TEXT(INDEX(입력_파견수련계획!$AB$4:$AB$803,$AK307),"yyyy-mm-dd")&amp;"~"&amp;IF(ISNUMBER(INDEX(입력_파견수련계획!$AC$4:$AC$803,$AK307)),TEXT(INDEX(입력_파견수련계획!$AC$4:$AC$803,$AK307),"yyyy-mm-dd"),""))</f>
        <v/>
      </c>
      <c r="AM307" s="10">
        <f>IF($Y307="서울병원",COUNTIF($Y$2:$Y307,"서울병원"),"")</f>
        <v/>
      </c>
      <c r="AN307" s="10">
        <f>IF(LEFT($Y307,1)="⚠",COUNTIF($Y$2:$Y307,"⚠*"),"")</f>
        <v/>
      </c>
      <c r="AO307" s="10">
        <f>IF(OR($B307="",$Y307=""),"",IF(IF(TRIM($J307&amp;"")="",0,SUMPRODUCT((입력_파견수련계획!$Q$4:$Q$803=TRIM($J307&amp;""))*입력_파견수련계획!$AD$4:$AD$803))&gt;0,"다기관 기간 → 소속병원 지급",IF(AND(N($X307)&lt;=0,$AQ307=""),"파견 없음 → 그 달 근무병원 지급",IF($AH307+$AI307=DAY(EOMONTH(출력_요약!$B$3,0)),"서울 "&amp;$AH307&amp;"일 / 구리 "&amp;$AI307&amp;"일"&amp;IF($AQ307&lt;&gt;""," (구리 근무자명단 반영)","")&amp;" → 15일 이상 근무 병원 지급","타 병원 포함 → "&amp;IF($AJ307="","소속",INDEX(입력_파견수련계획!$T$4:$T$803,$AJ307))&amp;" 규칙"))))</f>
        <v/>
      </c>
      <c r="AP307" s="10">
        <f>IF($B307="","",$C307&amp;"|"&amp;$F307)</f>
        <v/>
      </c>
      <c r="AQ307" s="10">
        <f>IF($B307="","",IFERROR(MATCH(ROW()-1,출력_구리근무자!$K$6:$K$305,0),""))</f>
        <v/>
      </c>
      <c r="AR307" s="10">
        <f>IF($AQ307="","",INDEX(출력_구리근무자!$H$6:$H$305,$AQ307))</f>
        <v/>
      </c>
    </row>
    <row r="308">
      <c r="A308" s="10">
        <f>IF(B308="","",ROW()-1)</f>
        <v/>
      </c>
      <c r="B308" s="19" t="n"/>
      <c r="C308" s="10">
        <f>IF($AB308="","",IF(INDEX(입력_기본자료!$C$2:$C$1001,$AB308)="","",INDEX(입력_기본자료!$C$2:$C$1001,$AB308)))</f>
        <v/>
      </c>
      <c r="D308" s="10">
        <f>IF($AB308="","",IF(INDEX(입력_기본자료!$J$2:$J$1001,$AB308)="","",INDEX(입력_기본자료!$J$2:$J$1001,$AB308)))</f>
        <v/>
      </c>
      <c r="E308" s="11">
        <f>IF($AB308="","",IF(INDEX(입력_기본자료!$K$2:$K$1001,$AB308)="","",IF(NOT(ISNUMBER(INDEX(입력_기본자료!$K$2:$K$1001,$AB308))),INDEX(입력_기본자료!$K$2:$K$1001,$AB308),IF(INDEX(입력_기본자료!$K$2:$K$1001,$AB308)&lt;1000000,INDEX(입력_기본자료!$K$2:$K$1001,$AB308),IF(AND(INDEX(입력_기본자료!$K$2:$K$1001,$AB308)&gt;=10000101,INT(MOD(INDEX(입력_기본자료!$K$2:$K$1001,$AB308),10000)/100)&gt;=1,INT(MOD(INDEX(입력_기본자료!$K$2:$K$1001,$AB308),10000)/100)&lt;=12,MOD(INDEX(입력_기본자료!$K$2:$K$1001,$AB308),100)&gt;=1,MOD(INDEX(입력_기본자료!$K$2:$K$1001,$AB308),100)&lt;=31),DATE(INT(INDEX(입력_기본자료!$K$2:$K$1001,$AB308)/10000),INT(MOD(INDEX(입력_기본자료!$K$2:$K$1001,$AB308),10000)/100),MOD(INDEX(입력_기본자료!$K$2:$K$1001,$AB308),100)),INDEX(입력_기본자료!$K$2:$K$1001,$AB308)&amp;"")))))</f>
        <v/>
      </c>
      <c r="F308" s="10">
        <f>IF($AB308="","",IF(INDEX(입력_기본자료!$D$2:$D$1001,$AB308)="","",INDEX(입력_기본자료!$D$2:$D$1001,$AB308)))</f>
        <v/>
      </c>
      <c r="G308" s="10">
        <f>IF($AB308="","",IF(INDEX(입력_기본자료!$E$2:$E$1001,$AB308)="","",INDEX(입력_기본자료!$E$2:$E$1001,$AB308)))</f>
        <v/>
      </c>
      <c r="H308" s="10">
        <f>IF($AB308="","",IF(INDEX(입력_기본자료!$F$2:$F$1001,$AB308)="","",INDEX(입력_기본자료!$F$2:$F$1001,$AB308)))</f>
        <v/>
      </c>
      <c r="I308" s="11">
        <f>IF($AB308="","",IF(INDEX(입력_기본자료!$G$2:$G$1001,$AB308)="","",IF(NOT(ISNUMBER(INDEX(입력_기본자료!$G$2:$G$1001,$AB308))),INDEX(입력_기본자료!$G$2:$G$1001,$AB308),IF(INDEX(입력_기본자료!$G$2:$G$1001,$AB308)&lt;1000000,INDEX(입력_기본자료!$G$2:$G$1001,$AB308),IF(AND(INDEX(입력_기본자료!$G$2:$G$1001,$AB308)&gt;=10000101,INT(MOD(INDEX(입력_기본자료!$G$2:$G$1001,$AB308),10000)/100)&gt;=1,INT(MOD(INDEX(입력_기본자료!$G$2:$G$1001,$AB308),10000)/100)&lt;=12,MOD(INDEX(입력_기본자료!$G$2:$G$1001,$AB308),100)&gt;=1,MOD(INDEX(입력_기본자료!$G$2:$G$1001,$AB308),100)&lt;=31),DATE(INT(INDEX(입력_기본자료!$G$2:$G$1001,$AB308)/10000),INT(MOD(INDEX(입력_기본자료!$G$2:$G$1001,$AB308),10000)/100),MOD(INDEX(입력_기본자료!$G$2:$G$1001,$AB308),100)),INDEX(입력_기본자료!$G$2:$G$1001,$AB308)&amp;"")))))</f>
        <v/>
      </c>
      <c r="J308" s="10">
        <f>IF($AB308="","",IF(INDEX(입력_기본자료!$H$2:$H$1001,$AB308)="","",INDEX(입력_기본자료!$H$2:$H$1001,$AB308)))</f>
        <v/>
      </c>
      <c r="K308" s="10">
        <f>IF($AB308="","",IF(INDEX(입력_기본자료!$I$2:$I$1001,$AB308)="","",INDEX(입력_기본자료!$I$2:$I$1001,$AB308)))</f>
        <v/>
      </c>
      <c r="L308" s="10">
        <f>IF($AB308="","",IF(INDEX(입력_기본자료!$A$2:$A$1001,$AB308)="","",INDEX(입력_기본자료!$A$2:$A$1001,$AB308)))</f>
        <v/>
      </c>
      <c r="M308" s="15" t="n"/>
      <c r="N308" s="10">
        <f>IF($B308="","",IF(AND($U308="파견중",$Q308&lt;&gt;""),$Q308,IF(AND($AD308&lt;&gt;"",LEFT($AD308,1)&lt;&gt;"⚠"),LEFT($AD308,FIND(" ",$AD308)-1),IF($H308="","",IF(RIGHT($H308,2)="병원",$H308,$H308&amp;"병원")))))</f>
        <v/>
      </c>
      <c r="O308" s="10">
        <f>IF($B308="","",IF(AND($U308="파견중",$Q308&lt;&gt;""),IF($R308&lt;&gt;"",$R308,"파견과 미입력"),IF(AND($AD308&lt;&gt;"",LEFT($AD308,1)&lt;&gt;"⚠"),MID($AD308,FIND(" ",$AD308)+1,60),IF($F308="","",IF($F308="인턴","수련교육부(인턴)",$F308)))))</f>
        <v/>
      </c>
      <c r="P308" s="10">
        <f>IF($B308="","",IF($AK308&lt;&gt;"",IF(AND(TODAY()&gt;=INDEX(입력_파견수련계획!$AB$4:$AB$803,$AK308),OR(NOT(ISNUMBER(INDEX(입력_파견수련계획!$AC$4:$AC$803,$AK308))),TODAY()&lt;=INDEX(입력_파견수련계획!$AC$4:$AC$803,$AK308))),"다기관",IF($AF308="","",INDEX(입력_파견수련계획!$T$4:$T$803,$AF308))),IF($AF308="","",INDEX(입력_파견수련계획!$T$4:$T$803,$AF308))))</f>
        <v/>
      </c>
      <c r="Q308" s="10">
        <f>IF($AF308="","",INDEX(입력_파견수련계획!$S$4:$S$803,$AF308))</f>
        <v/>
      </c>
      <c r="R308" s="10">
        <f>IF($AF308="","",INDEX(입력_파견수련계획!$U$4:$U$803,$AF308))</f>
        <v/>
      </c>
      <c r="S308" s="11">
        <f>IF($AF308="","",IF(INDEX(입력_파견수련계획!$H$4:$H$803,$AF308)="","",INDEX(입력_파견수련계획!$H$4:$H$803,$AF308)))</f>
        <v/>
      </c>
      <c r="T308" s="11">
        <f>IF($AF308="","",IF(INDEX(입력_파견수련계획!$I$4:$I$803,$AF308)="","",INDEX(입력_파견수련계획!$I$4:$I$803,$AF308)))</f>
        <v/>
      </c>
      <c r="U308" s="10">
        <f>IF($AF308="","",INDEX(입력_파견수련계획!$X$4:$X$803,$AF308))</f>
        <v/>
      </c>
      <c r="V308" s="17">
        <f>IF($AF308="","",INDEX(입력_파견수련계획!$V$4:$V$803,$AF308))</f>
        <v/>
      </c>
      <c r="W308" s="17">
        <f>IF(AND($U308="파견중",$T308&lt;&gt;""),$T308-TODAY(),"")</f>
        <v/>
      </c>
      <c r="X308" s="17">
        <f>IF(OR($B308="",TRIM($J308&amp;"")=""),"",SUMPRODUCT((입력_파견수련계획!$Q$4:$Q$803=TRIM($J308&amp;""))*입력_파견수련계획!$W$4:$W$803))</f>
        <v/>
      </c>
      <c r="Y308" s="10">
        <f>IF($B308="","",IF($AG308="","",IF(IF(TRIM($J308&amp;"")="",0,SUMPRODUCT((입력_파견수련계획!$Q$4:$Q$803=TRIM($J308&amp;""))*입력_파견수련계획!$AD$4:$AD$803))&gt;0,$AE308,IF(AND(N($X308)&lt;=0,$AQ308=""),$AG308,IF($AH308+$AI308=DAY(EOMONTH(출력_요약!$B$3,0)),IF(AND($AH308&gt;=출력_요약!$E$3,$AI308&lt;출력_요약!$E$3),"서울병원",IF(AND($AI308&gt;=출력_요약!$E$3,$AH308&lt;출력_요약!$E$3),"구리병원","⚠15일 판정불가(서울 "&amp;$AH308&amp;"일/구리 "&amp;$AI308&amp;"일)")),IF($AJ308="",$AE308,IF(INDEX(입력_파견수련계획!$T$4:$T$803,$AJ308)="통합수련",INDEX(입력_파견수련계획!$S$4:$S$803,$AJ308),$AE308)))))))</f>
        <v/>
      </c>
      <c r="Z308" s="20">
        <f>IF($B308="","",IF($AB308="","기본자료에 없는 사번",IF(COUNTIF($B$2:$B$401,$B308)&gt;1,"중복 사번",IF($AE308="","소속(입사장소) 입력",IF(IF(TRIM($J308&amp;"")="",0,SUMPRODUCT((입력_파견수련계획!$Q$4:$Q$803=TRIM($J308&amp;""))*(입력_파견수련계획!$AA$4:$AA$803&lt;&gt;"")))&gt;0,"파견수련계획 입력오류 확인",IF(LEFT($Y308,1)="⚠","서울·구리 15일 판정 불가(양쪽 모두 이상/미만)",IF(IF($AC308="",0,N(INDEX(입력_인턴근무계획!$T$3:$T$402,$AC308)))&gt;0,"인턴계획 입력오류 확인",IF(AND($AQ308&lt;&gt;"",$AG308&lt;&gt;"구리병원",IF(TRIM($J308&amp;"")="",0,SUMPRODUCT((입력_파견수련계획!$Q$4:$Q$803=TRIM($J308&amp;""))*(입력_파견수련계획!$S$4:$S$803="구리병원")*입력_파견수련계획!$W$4:$W$803))=0),"구리 근무자명단에만 있음(파견수련계획 확인)",IF(AND($AC308&lt;&gt;"",$U308&lt;&gt;"파견중",$N308&lt;&gt;$AE308),"인턴 타지역 근무: 파견 여부 확인","정상")))))))))</f>
        <v/>
      </c>
      <c r="AA308" s="5" t="n"/>
      <c r="AB308" s="10">
        <f>IF($B308="","",IFERROR(MATCH($B308,입력_기본자료!$B$2:$B$1001,0),IFERROR(MATCH($B308&amp;"",입력_기본자료!$B$2:$B$1001,0),IFERROR(MATCH(VALUE($B308),입력_기본자료!$B$2:$B$1001,0),""))))</f>
        <v/>
      </c>
      <c r="AC308" s="10">
        <f>IF($B308="","",IFERROR(MATCH($B308,입력_인턴근무계획!$D$3:$D$402,0),IFERROR(MATCH($B308&amp;"",입력_인턴근무계획!$D$3:$D$402,0),IFERROR(MATCH(VALUE($B308),입력_인턴근무계획!$D$3:$D$402,0),""))))</f>
        <v/>
      </c>
      <c r="AD308" s="10">
        <f>IF(OR($AC308="",출력_인턴현황!$G$3=""),"",INDEX(입력_인턴근무계획!$M$3:$R$402,$AC308,출력_인턴현황!$G$3)&amp;"")</f>
        <v/>
      </c>
      <c r="AE308" s="10">
        <f>IF($B308="","",IF($M308&lt;&gt;"",$M308,IF(IF($AQ308="",FALSE,INDEX(출력_구리근무자!$J$6:$J$305,$AQ308)="구리독자"),"구리병원",IF($AF308&lt;&gt;"",IF(LEFT(INDEX(입력_파견수련계획!$R$4:$R$803,$AF308),1)&lt;&gt;"⚠",INDEX(입력_파견수련계획!$R$4:$R$803,$AF308),IF($H308="","",IF(RIGHT($H308,2)="병원",$H308,$H308&amp;"병원"))),IF($H308="","",IF(RIGHT($H308,2)="병원",$H308,$H308&amp;"병원"))))))</f>
        <v/>
      </c>
      <c r="AF308" s="10">
        <f>IF(OR($B308="",TRIM($J308&amp;"")=""),"",IFERROR(MATCH(TRIM($J308&amp;"")&amp;"|파견중",입력_파견수련계획!$Y$4:$Y$803,0),IFERROR(MATCH(TRIM($J308&amp;"")&amp;"|파견예정",입력_파견수련계획!$Y$4:$Y$803,0),IFERROR(MATCH(TRIM($J308&amp;"")&amp;"|파견종료",입력_파견수련계획!$Y$4:$Y$803,0),""))))</f>
        <v/>
      </c>
      <c r="AG308" s="10">
        <f>IF($B308="","",IF(AND(IF(OR($AC308="",출력_인턴현황!$K$2=""),"",INDEX(입력_인턴근무계획!$M$3:$R$402,$AC308,출력_인턴현황!$K$2)&amp;"")&lt;&gt;"",LEFT(IF(OR($AC308="",출력_인턴현황!$K$2=""),"",INDEX(입력_인턴근무계획!$M$3:$R$402,$AC308,출력_인턴현황!$K$2)&amp;""),1)&lt;&gt;"⚠"),LEFT(IF(OR($AC308="",출력_인턴현황!$K$2=""),"",INDEX(입력_인턴근무계획!$M$3:$R$402,$AC308,출력_인턴현황!$K$2)&amp;""),FIND(" ",IF(OR($AC308="",출력_인턴현황!$K$2=""),"",INDEX(입력_인턴근무계획!$M$3:$R$402,$AC308,출력_인턴현황!$K$2)&amp;""))-1),$AE308))</f>
        <v/>
      </c>
      <c r="AH308" s="17">
        <f>IF($B308="","",IF($AQ308&lt;&gt;"",MAX(0,DAY(EOMONTH(출력_요약!$B$3,0))-N($AR308)),IF(TRIM($J308&amp;"")="",0,SUMPRODUCT((입력_파견수련계획!$Q$4:$Q$803=TRIM($J308&amp;""))*(입력_파견수련계획!$S$4:$S$803="서울병원")*입력_파견수련계획!$W$4:$W$803))+IF($AG308="서울병원",MAX(0,DAY(EOMONTH(출력_요약!$B$3,0))-N($X308)),0)))</f>
        <v/>
      </c>
      <c r="AI308" s="17">
        <f>IF($B308="","",IF($AQ308&lt;&gt;"",N($AR308),IF(TRIM($J308&amp;"")="",0,SUMPRODUCT((입력_파견수련계획!$Q$4:$Q$803=TRIM($J308&amp;""))*(입력_파견수련계획!$S$4:$S$803="구리병원")*입력_파견수련계획!$W$4:$W$803))+IF($AG308="구리병원",MAX(0,DAY(EOMONTH(출력_요약!$B$3,0))-N($X308)),0)))</f>
        <v/>
      </c>
      <c r="AJ308" s="10">
        <f>IF(OR($B308="",TRIM($J308&amp;"")=""),"",IFERROR(MATCH(TRIM($J308&amp;"")&amp;"|월",입력_파견수련계획!$Z$4:$Z$803,0),""))</f>
        <v/>
      </c>
      <c r="AK308" s="10">
        <f>IF(OR($B308="",TRIM($J308&amp;"")=""),"",IFERROR(MATCH(TRIM($J308&amp;"")&amp;"|다기관",입력_파견수련계획!$AE$4:$AE$803,0),""))</f>
        <v/>
      </c>
      <c r="AL308" s="10">
        <f>IF($AK308="","","다기관 "&amp;TEXT(INDEX(입력_파견수련계획!$AB$4:$AB$803,$AK308),"yyyy-mm-dd")&amp;"~"&amp;IF(ISNUMBER(INDEX(입력_파견수련계획!$AC$4:$AC$803,$AK308)),TEXT(INDEX(입력_파견수련계획!$AC$4:$AC$803,$AK308),"yyyy-mm-dd"),""))</f>
        <v/>
      </c>
      <c r="AM308" s="10">
        <f>IF($Y308="서울병원",COUNTIF($Y$2:$Y308,"서울병원"),"")</f>
        <v/>
      </c>
      <c r="AN308" s="10">
        <f>IF(LEFT($Y308,1)="⚠",COUNTIF($Y$2:$Y308,"⚠*"),"")</f>
        <v/>
      </c>
      <c r="AO308" s="10">
        <f>IF(OR($B308="",$Y308=""),"",IF(IF(TRIM($J308&amp;"")="",0,SUMPRODUCT((입력_파견수련계획!$Q$4:$Q$803=TRIM($J308&amp;""))*입력_파견수련계획!$AD$4:$AD$803))&gt;0,"다기관 기간 → 소속병원 지급",IF(AND(N($X308)&lt;=0,$AQ308=""),"파견 없음 → 그 달 근무병원 지급",IF($AH308+$AI308=DAY(EOMONTH(출력_요약!$B$3,0)),"서울 "&amp;$AH308&amp;"일 / 구리 "&amp;$AI308&amp;"일"&amp;IF($AQ308&lt;&gt;""," (구리 근무자명단 반영)","")&amp;" → 15일 이상 근무 병원 지급","타 병원 포함 → "&amp;IF($AJ308="","소속",INDEX(입력_파견수련계획!$T$4:$T$803,$AJ308))&amp;" 규칙"))))</f>
        <v/>
      </c>
      <c r="AP308" s="10">
        <f>IF($B308="","",$C308&amp;"|"&amp;$F308)</f>
        <v/>
      </c>
      <c r="AQ308" s="10">
        <f>IF($B308="","",IFERROR(MATCH(ROW()-1,출력_구리근무자!$K$6:$K$305,0),""))</f>
        <v/>
      </c>
      <c r="AR308" s="10">
        <f>IF($AQ308="","",INDEX(출력_구리근무자!$H$6:$H$305,$AQ308))</f>
        <v/>
      </c>
    </row>
    <row r="309">
      <c r="A309" s="10">
        <f>IF(B309="","",ROW()-1)</f>
        <v/>
      </c>
      <c r="B309" s="19" t="n"/>
      <c r="C309" s="10">
        <f>IF($AB309="","",IF(INDEX(입력_기본자료!$C$2:$C$1001,$AB309)="","",INDEX(입력_기본자료!$C$2:$C$1001,$AB309)))</f>
        <v/>
      </c>
      <c r="D309" s="10">
        <f>IF($AB309="","",IF(INDEX(입력_기본자료!$J$2:$J$1001,$AB309)="","",INDEX(입력_기본자료!$J$2:$J$1001,$AB309)))</f>
        <v/>
      </c>
      <c r="E309" s="11">
        <f>IF($AB309="","",IF(INDEX(입력_기본자료!$K$2:$K$1001,$AB309)="","",IF(NOT(ISNUMBER(INDEX(입력_기본자료!$K$2:$K$1001,$AB309))),INDEX(입력_기본자료!$K$2:$K$1001,$AB309),IF(INDEX(입력_기본자료!$K$2:$K$1001,$AB309)&lt;1000000,INDEX(입력_기본자료!$K$2:$K$1001,$AB309),IF(AND(INDEX(입력_기본자료!$K$2:$K$1001,$AB309)&gt;=10000101,INT(MOD(INDEX(입력_기본자료!$K$2:$K$1001,$AB309),10000)/100)&gt;=1,INT(MOD(INDEX(입력_기본자료!$K$2:$K$1001,$AB309),10000)/100)&lt;=12,MOD(INDEX(입력_기본자료!$K$2:$K$1001,$AB309),100)&gt;=1,MOD(INDEX(입력_기본자료!$K$2:$K$1001,$AB309),100)&lt;=31),DATE(INT(INDEX(입력_기본자료!$K$2:$K$1001,$AB309)/10000),INT(MOD(INDEX(입력_기본자료!$K$2:$K$1001,$AB309),10000)/100),MOD(INDEX(입력_기본자료!$K$2:$K$1001,$AB309),100)),INDEX(입력_기본자료!$K$2:$K$1001,$AB309)&amp;"")))))</f>
        <v/>
      </c>
      <c r="F309" s="10">
        <f>IF($AB309="","",IF(INDEX(입력_기본자료!$D$2:$D$1001,$AB309)="","",INDEX(입력_기본자료!$D$2:$D$1001,$AB309)))</f>
        <v/>
      </c>
      <c r="G309" s="10">
        <f>IF($AB309="","",IF(INDEX(입력_기본자료!$E$2:$E$1001,$AB309)="","",INDEX(입력_기본자료!$E$2:$E$1001,$AB309)))</f>
        <v/>
      </c>
      <c r="H309" s="10">
        <f>IF($AB309="","",IF(INDEX(입력_기본자료!$F$2:$F$1001,$AB309)="","",INDEX(입력_기본자료!$F$2:$F$1001,$AB309)))</f>
        <v/>
      </c>
      <c r="I309" s="11">
        <f>IF($AB309="","",IF(INDEX(입력_기본자료!$G$2:$G$1001,$AB309)="","",IF(NOT(ISNUMBER(INDEX(입력_기본자료!$G$2:$G$1001,$AB309))),INDEX(입력_기본자료!$G$2:$G$1001,$AB309),IF(INDEX(입력_기본자료!$G$2:$G$1001,$AB309)&lt;1000000,INDEX(입력_기본자료!$G$2:$G$1001,$AB309),IF(AND(INDEX(입력_기본자료!$G$2:$G$1001,$AB309)&gt;=10000101,INT(MOD(INDEX(입력_기본자료!$G$2:$G$1001,$AB309),10000)/100)&gt;=1,INT(MOD(INDEX(입력_기본자료!$G$2:$G$1001,$AB309),10000)/100)&lt;=12,MOD(INDEX(입력_기본자료!$G$2:$G$1001,$AB309),100)&gt;=1,MOD(INDEX(입력_기본자료!$G$2:$G$1001,$AB309),100)&lt;=31),DATE(INT(INDEX(입력_기본자료!$G$2:$G$1001,$AB309)/10000),INT(MOD(INDEX(입력_기본자료!$G$2:$G$1001,$AB309),10000)/100),MOD(INDEX(입력_기본자료!$G$2:$G$1001,$AB309),100)),INDEX(입력_기본자료!$G$2:$G$1001,$AB309)&amp;"")))))</f>
        <v/>
      </c>
      <c r="J309" s="10">
        <f>IF($AB309="","",IF(INDEX(입력_기본자료!$H$2:$H$1001,$AB309)="","",INDEX(입력_기본자료!$H$2:$H$1001,$AB309)))</f>
        <v/>
      </c>
      <c r="K309" s="10">
        <f>IF($AB309="","",IF(INDEX(입력_기본자료!$I$2:$I$1001,$AB309)="","",INDEX(입력_기본자료!$I$2:$I$1001,$AB309)))</f>
        <v/>
      </c>
      <c r="L309" s="10">
        <f>IF($AB309="","",IF(INDEX(입력_기본자료!$A$2:$A$1001,$AB309)="","",INDEX(입력_기본자료!$A$2:$A$1001,$AB309)))</f>
        <v/>
      </c>
      <c r="M309" s="15" t="n"/>
      <c r="N309" s="10">
        <f>IF($B309="","",IF(AND($U309="파견중",$Q309&lt;&gt;""),$Q309,IF(AND($AD309&lt;&gt;"",LEFT($AD309,1)&lt;&gt;"⚠"),LEFT($AD309,FIND(" ",$AD309)-1),IF($H309="","",IF(RIGHT($H309,2)="병원",$H309,$H309&amp;"병원")))))</f>
        <v/>
      </c>
      <c r="O309" s="10">
        <f>IF($B309="","",IF(AND($U309="파견중",$Q309&lt;&gt;""),IF($R309&lt;&gt;"",$R309,"파견과 미입력"),IF(AND($AD309&lt;&gt;"",LEFT($AD309,1)&lt;&gt;"⚠"),MID($AD309,FIND(" ",$AD309)+1,60),IF($F309="","",IF($F309="인턴","수련교육부(인턴)",$F309)))))</f>
        <v/>
      </c>
      <c r="P309" s="10">
        <f>IF($B309="","",IF($AK309&lt;&gt;"",IF(AND(TODAY()&gt;=INDEX(입력_파견수련계획!$AB$4:$AB$803,$AK309),OR(NOT(ISNUMBER(INDEX(입력_파견수련계획!$AC$4:$AC$803,$AK309))),TODAY()&lt;=INDEX(입력_파견수련계획!$AC$4:$AC$803,$AK309))),"다기관",IF($AF309="","",INDEX(입력_파견수련계획!$T$4:$T$803,$AF309))),IF($AF309="","",INDEX(입력_파견수련계획!$T$4:$T$803,$AF309))))</f>
        <v/>
      </c>
      <c r="Q309" s="10">
        <f>IF($AF309="","",INDEX(입력_파견수련계획!$S$4:$S$803,$AF309))</f>
        <v/>
      </c>
      <c r="R309" s="10">
        <f>IF($AF309="","",INDEX(입력_파견수련계획!$U$4:$U$803,$AF309))</f>
        <v/>
      </c>
      <c r="S309" s="11">
        <f>IF($AF309="","",IF(INDEX(입력_파견수련계획!$H$4:$H$803,$AF309)="","",INDEX(입력_파견수련계획!$H$4:$H$803,$AF309)))</f>
        <v/>
      </c>
      <c r="T309" s="11">
        <f>IF($AF309="","",IF(INDEX(입력_파견수련계획!$I$4:$I$803,$AF309)="","",INDEX(입력_파견수련계획!$I$4:$I$803,$AF309)))</f>
        <v/>
      </c>
      <c r="U309" s="10">
        <f>IF($AF309="","",INDEX(입력_파견수련계획!$X$4:$X$803,$AF309))</f>
        <v/>
      </c>
      <c r="V309" s="17">
        <f>IF($AF309="","",INDEX(입력_파견수련계획!$V$4:$V$803,$AF309))</f>
        <v/>
      </c>
      <c r="W309" s="17">
        <f>IF(AND($U309="파견중",$T309&lt;&gt;""),$T309-TODAY(),"")</f>
        <v/>
      </c>
      <c r="X309" s="17">
        <f>IF(OR($B309="",TRIM($J309&amp;"")=""),"",SUMPRODUCT((입력_파견수련계획!$Q$4:$Q$803=TRIM($J309&amp;""))*입력_파견수련계획!$W$4:$W$803))</f>
        <v/>
      </c>
      <c r="Y309" s="10">
        <f>IF($B309="","",IF($AG309="","",IF(IF(TRIM($J309&amp;"")="",0,SUMPRODUCT((입력_파견수련계획!$Q$4:$Q$803=TRIM($J309&amp;""))*입력_파견수련계획!$AD$4:$AD$803))&gt;0,$AE309,IF(AND(N($X309)&lt;=0,$AQ309=""),$AG309,IF($AH309+$AI309=DAY(EOMONTH(출력_요약!$B$3,0)),IF(AND($AH309&gt;=출력_요약!$E$3,$AI309&lt;출력_요약!$E$3),"서울병원",IF(AND($AI309&gt;=출력_요약!$E$3,$AH309&lt;출력_요약!$E$3),"구리병원","⚠15일 판정불가(서울 "&amp;$AH309&amp;"일/구리 "&amp;$AI309&amp;"일)")),IF($AJ309="",$AE309,IF(INDEX(입력_파견수련계획!$T$4:$T$803,$AJ309)="통합수련",INDEX(입력_파견수련계획!$S$4:$S$803,$AJ309),$AE309)))))))</f>
        <v/>
      </c>
      <c r="Z309" s="20">
        <f>IF($B309="","",IF($AB309="","기본자료에 없는 사번",IF(COUNTIF($B$2:$B$401,$B309)&gt;1,"중복 사번",IF($AE309="","소속(입사장소) 입력",IF(IF(TRIM($J309&amp;"")="",0,SUMPRODUCT((입력_파견수련계획!$Q$4:$Q$803=TRIM($J309&amp;""))*(입력_파견수련계획!$AA$4:$AA$803&lt;&gt;"")))&gt;0,"파견수련계획 입력오류 확인",IF(LEFT($Y309,1)="⚠","서울·구리 15일 판정 불가(양쪽 모두 이상/미만)",IF(IF($AC309="",0,N(INDEX(입력_인턴근무계획!$T$3:$T$402,$AC309)))&gt;0,"인턴계획 입력오류 확인",IF(AND($AQ309&lt;&gt;"",$AG309&lt;&gt;"구리병원",IF(TRIM($J309&amp;"")="",0,SUMPRODUCT((입력_파견수련계획!$Q$4:$Q$803=TRIM($J309&amp;""))*(입력_파견수련계획!$S$4:$S$803="구리병원")*입력_파견수련계획!$W$4:$W$803))=0),"구리 근무자명단에만 있음(파견수련계획 확인)",IF(AND($AC309&lt;&gt;"",$U309&lt;&gt;"파견중",$N309&lt;&gt;$AE309),"인턴 타지역 근무: 파견 여부 확인","정상")))))))))</f>
        <v/>
      </c>
      <c r="AA309" s="5" t="n"/>
      <c r="AB309" s="10">
        <f>IF($B309="","",IFERROR(MATCH($B309,입력_기본자료!$B$2:$B$1001,0),IFERROR(MATCH($B309&amp;"",입력_기본자료!$B$2:$B$1001,0),IFERROR(MATCH(VALUE($B309),입력_기본자료!$B$2:$B$1001,0),""))))</f>
        <v/>
      </c>
      <c r="AC309" s="10">
        <f>IF($B309="","",IFERROR(MATCH($B309,입력_인턴근무계획!$D$3:$D$402,0),IFERROR(MATCH($B309&amp;"",입력_인턴근무계획!$D$3:$D$402,0),IFERROR(MATCH(VALUE($B309),입력_인턴근무계획!$D$3:$D$402,0),""))))</f>
        <v/>
      </c>
      <c r="AD309" s="10">
        <f>IF(OR($AC309="",출력_인턴현황!$G$3=""),"",INDEX(입력_인턴근무계획!$M$3:$R$402,$AC309,출력_인턴현황!$G$3)&amp;"")</f>
        <v/>
      </c>
      <c r="AE309" s="10">
        <f>IF($B309="","",IF($M309&lt;&gt;"",$M309,IF(IF($AQ309="",FALSE,INDEX(출력_구리근무자!$J$6:$J$305,$AQ309)="구리독자"),"구리병원",IF($AF309&lt;&gt;"",IF(LEFT(INDEX(입력_파견수련계획!$R$4:$R$803,$AF309),1)&lt;&gt;"⚠",INDEX(입력_파견수련계획!$R$4:$R$803,$AF309),IF($H309="","",IF(RIGHT($H309,2)="병원",$H309,$H309&amp;"병원"))),IF($H309="","",IF(RIGHT($H309,2)="병원",$H309,$H309&amp;"병원"))))))</f>
        <v/>
      </c>
      <c r="AF309" s="10">
        <f>IF(OR($B309="",TRIM($J309&amp;"")=""),"",IFERROR(MATCH(TRIM($J309&amp;"")&amp;"|파견중",입력_파견수련계획!$Y$4:$Y$803,0),IFERROR(MATCH(TRIM($J309&amp;"")&amp;"|파견예정",입력_파견수련계획!$Y$4:$Y$803,0),IFERROR(MATCH(TRIM($J309&amp;"")&amp;"|파견종료",입력_파견수련계획!$Y$4:$Y$803,0),""))))</f>
        <v/>
      </c>
      <c r="AG309" s="10">
        <f>IF($B309="","",IF(AND(IF(OR($AC309="",출력_인턴현황!$K$2=""),"",INDEX(입력_인턴근무계획!$M$3:$R$402,$AC309,출력_인턴현황!$K$2)&amp;"")&lt;&gt;"",LEFT(IF(OR($AC309="",출력_인턴현황!$K$2=""),"",INDEX(입력_인턴근무계획!$M$3:$R$402,$AC309,출력_인턴현황!$K$2)&amp;""),1)&lt;&gt;"⚠"),LEFT(IF(OR($AC309="",출력_인턴현황!$K$2=""),"",INDEX(입력_인턴근무계획!$M$3:$R$402,$AC309,출력_인턴현황!$K$2)&amp;""),FIND(" ",IF(OR($AC309="",출력_인턴현황!$K$2=""),"",INDEX(입력_인턴근무계획!$M$3:$R$402,$AC309,출력_인턴현황!$K$2)&amp;""))-1),$AE309))</f>
        <v/>
      </c>
      <c r="AH309" s="17">
        <f>IF($B309="","",IF($AQ309&lt;&gt;"",MAX(0,DAY(EOMONTH(출력_요약!$B$3,0))-N($AR309)),IF(TRIM($J309&amp;"")="",0,SUMPRODUCT((입력_파견수련계획!$Q$4:$Q$803=TRIM($J309&amp;""))*(입력_파견수련계획!$S$4:$S$803="서울병원")*입력_파견수련계획!$W$4:$W$803))+IF($AG309="서울병원",MAX(0,DAY(EOMONTH(출력_요약!$B$3,0))-N($X309)),0)))</f>
        <v/>
      </c>
      <c r="AI309" s="17">
        <f>IF($B309="","",IF($AQ309&lt;&gt;"",N($AR309),IF(TRIM($J309&amp;"")="",0,SUMPRODUCT((입력_파견수련계획!$Q$4:$Q$803=TRIM($J309&amp;""))*(입력_파견수련계획!$S$4:$S$803="구리병원")*입력_파견수련계획!$W$4:$W$803))+IF($AG309="구리병원",MAX(0,DAY(EOMONTH(출력_요약!$B$3,0))-N($X309)),0)))</f>
        <v/>
      </c>
      <c r="AJ309" s="10">
        <f>IF(OR($B309="",TRIM($J309&amp;"")=""),"",IFERROR(MATCH(TRIM($J309&amp;"")&amp;"|월",입력_파견수련계획!$Z$4:$Z$803,0),""))</f>
        <v/>
      </c>
      <c r="AK309" s="10">
        <f>IF(OR($B309="",TRIM($J309&amp;"")=""),"",IFERROR(MATCH(TRIM($J309&amp;"")&amp;"|다기관",입력_파견수련계획!$AE$4:$AE$803,0),""))</f>
        <v/>
      </c>
      <c r="AL309" s="10">
        <f>IF($AK309="","","다기관 "&amp;TEXT(INDEX(입력_파견수련계획!$AB$4:$AB$803,$AK309),"yyyy-mm-dd")&amp;"~"&amp;IF(ISNUMBER(INDEX(입력_파견수련계획!$AC$4:$AC$803,$AK309)),TEXT(INDEX(입력_파견수련계획!$AC$4:$AC$803,$AK309),"yyyy-mm-dd"),""))</f>
        <v/>
      </c>
      <c r="AM309" s="10">
        <f>IF($Y309="서울병원",COUNTIF($Y$2:$Y309,"서울병원"),"")</f>
        <v/>
      </c>
      <c r="AN309" s="10">
        <f>IF(LEFT($Y309,1)="⚠",COUNTIF($Y$2:$Y309,"⚠*"),"")</f>
        <v/>
      </c>
      <c r="AO309" s="10">
        <f>IF(OR($B309="",$Y309=""),"",IF(IF(TRIM($J309&amp;"")="",0,SUMPRODUCT((입력_파견수련계획!$Q$4:$Q$803=TRIM($J309&amp;""))*입력_파견수련계획!$AD$4:$AD$803))&gt;0,"다기관 기간 → 소속병원 지급",IF(AND(N($X309)&lt;=0,$AQ309=""),"파견 없음 → 그 달 근무병원 지급",IF($AH309+$AI309=DAY(EOMONTH(출력_요약!$B$3,0)),"서울 "&amp;$AH309&amp;"일 / 구리 "&amp;$AI309&amp;"일"&amp;IF($AQ309&lt;&gt;""," (구리 근무자명단 반영)","")&amp;" → 15일 이상 근무 병원 지급","타 병원 포함 → "&amp;IF($AJ309="","소속",INDEX(입력_파견수련계획!$T$4:$T$803,$AJ309))&amp;" 규칙"))))</f>
        <v/>
      </c>
      <c r="AP309" s="10">
        <f>IF($B309="","",$C309&amp;"|"&amp;$F309)</f>
        <v/>
      </c>
      <c r="AQ309" s="10">
        <f>IF($B309="","",IFERROR(MATCH(ROW()-1,출력_구리근무자!$K$6:$K$305,0),""))</f>
        <v/>
      </c>
      <c r="AR309" s="10">
        <f>IF($AQ309="","",INDEX(출력_구리근무자!$H$6:$H$305,$AQ309))</f>
        <v/>
      </c>
    </row>
    <row r="310">
      <c r="A310" s="10">
        <f>IF(B310="","",ROW()-1)</f>
        <v/>
      </c>
      <c r="B310" s="19" t="n"/>
      <c r="C310" s="10">
        <f>IF($AB310="","",IF(INDEX(입력_기본자료!$C$2:$C$1001,$AB310)="","",INDEX(입력_기본자료!$C$2:$C$1001,$AB310)))</f>
        <v/>
      </c>
      <c r="D310" s="10">
        <f>IF($AB310="","",IF(INDEX(입력_기본자료!$J$2:$J$1001,$AB310)="","",INDEX(입력_기본자료!$J$2:$J$1001,$AB310)))</f>
        <v/>
      </c>
      <c r="E310" s="11">
        <f>IF($AB310="","",IF(INDEX(입력_기본자료!$K$2:$K$1001,$AB310)="","",IF(NOT(ISNUMBER(INDEX(입력_기본자료!$K$2:$K$1001,$AB310))),INDEX(입력_기본자료!$K$2:$K$1001,$AB310),IF(INDEX(입력_기본자료!$K$2:$K$1001,$AB310)&lt;1000000,INDEX(입력_기본자료!$K$2:$K$1001,$AB310),IF(AND(INDEX(입력_기본자료!$K$2:$K$1001,$AB310)&gt;=10000101,INT(MOD(INDEX(입력_기본자료!$K$2:$K$1001,$AB310),10000)/100)&gt;=1,INT(MOD(INDEX(입력_기본자료!$K$2:$K$1001,$AB310),10000)/100)&lt;=12,MOD(INDEX(입력_기본자료!$K$2:$K$1001,$AB310),100)&gt;=1,MOD(INDEX(입력_기본자료!$K$2:$K$1001,$AB310),100)&lt;=31),DATE(INT(INDEX(입력_기본자료!$K$2:$K$1001,$AB310)/10000),INT(MOD(INDEX(입력_기본자료!$K$2:$K$1001,$AB310),10000)/100),MOD(INDEX(입력_기본자료!$K$2:$K$1001,$AB310),100)),INDEX(입력_기본자료!$K$2:$K$1001,$AB310)&amp;"")))))</f>
        <v/>
      </c>
      <c r="F310" s="10">
        <f>IF($AB310="","",IF(INDEX(입력_기본자료!$D$2:$D$1001,$AB310)="","",INDEX(입력_기본자료!$D$2:$D$1001,$AB310)))</f>
        <v/>
      </c>
      <c r="G310" s="10">
        <f>IF($AB310="","",IF(INDEX(입력_기본자료!$E$2:$E$1001,$AB310)="","",INDEX(입력_기본자료!$E$2:$E$1001,$AB310)))</f>
        <v/>
      </c>
      <c r="H310" s="10">
        <f>IF($AB310="","",IF(INDEX(입력_기본자료!$F$2:$F$1001,$AB310)="","",INDEX(입력_기본자료!$F$2:$F$1001,$AB310)))</f>
        <v/>
      </c>
      <c r="I310" s="11">
        <f>IF($AB310="","",IF(INDEX(입력_기본자료!$G$2:$G$1001,$AB310)="","",IF(NOT(ISNUMBER(INDEX(입력_기본자료!$G$2:$G$1001,$AB310))),INDEX(입력_기본자료!$G$2:$G$1001,$AB310),IF(INDEX(입력_기본자료!$G$2:$G$1001,$AB310)&lt;1000000,INDEX(입력_기본자료!$G$2:$G$1001,$AB310),IF(AND(INDEX(입력_기본자료!$G$2:$G$1001,$AB310)&gt;=10000101,INT(MOD(INDEX(입력_기본자료!$G$2:$G$1001,$AB310),10000)/100)&gt;=1,INT(MOD(INDEX(입력_기본자료!$G$2:$G$1001,$AB310),10000)/100)&lt;=12,MOD(INDEX(입력_기본자료!$G$2:$G$1001,$AB310),100)&gt;=1,MOD(INDEX(입력_기본자료!$G$2:$G$1001,$AB310),100)&lt;=31),DATE(INT(INDEX(입력_기본자료!$G$2:$G$1001,$AB310)/10000),INT(MOD(INDEX(입력_기본자료!$G$2:$G$1001,$AB310),10000)/100),MOD(INDEX(입력_기본자료!$G$2:$G$1001,$AB310),100)),INDEX(입력_기본자료!$G$2:$G$1001,$AB310)&amp;"")))))</f>
        <v/>
      </c>
      <c r="J310" s="10">
        <f>IF($AB310="","",IF(INDEX(입력_기본자료!$H$2:$H$1001,$AB310)="","",INDEX(입력_기본자료!$H$2:$H$1001,$AB310)))</f>
        <v/>
      </c>
      <c r="K310" s="10">
        <f>IF($AB310="","",IF(INDEX(입력_기본자료!$I$2:$I$1001,$AB310)="","",INDEX(입력_기본자료!$I$2:$I$1001,$AB310)))</f>
        <v/>
      </c>
      <c r="L310" s="10">
        <f>IF($AB310="","",IF(INDEX(입력_기본자료!$A$2:$A$1001,$AB310)="","",INDEX(입력_기본자료!$A$2:$A$1001,$AB310)))</f>
        <v/>
      </c>
      <c r="M310" s="15" t="n"/>
      <c r="N310" s="10">
        <f>IF($B310="","",IF(AND($U310="파견중",$Q310&lt;&gt;""),$Q310,IF(AND($AD310&lt;&gt;"",LEFT($AD310,1)&lt;&gt;"⚠"),LEFT($AD310,FIND(" ",$AD310)-1),IF($H310="","",IF(RIGHT($H310,2)="병원",$H310,$H310&amp;"병원")))))</f>
        <v/>
      </c>
      <c r="O310" s="10">
        <f>IF($B310="","",IF(AND($U310="파견중",$Q310&lt;&gt;""),IF($R310&lt;&gt;"",$R310,"파견과 미입력"),IF(AND($AD310&lt;&gt;"",LEFT($AD310,1)&lt;&gt;"⚠"),MID($AD310,FIND(" ",$AD310)+1,60),IF($F310="","",IF($F310="인턴","수련교육부(인턴)",$F310)))))</f>
        <v/>
      </c>
      <c r="P310" s="10">
        <f>IF($B310="","",IF($AK310&lt;&gt;"",IF(AND(TODAY()&gt;=INDEX(입력_파견수련계획!$AB$4:$AB$803,$AK310),OR(NOT(ISNUMBER(INDEX(입력_파견수련계획!$AC$4:$AC$803,$AK310))),TODAY()&lt;=INDEX(입력_파견수련계획!$AC$4:$AC$803,$AK310))),"다기관",IF($AF310="","",INDEX(입력_파견수련계획!$T$4:$T$803,$AF310))),IF($AF310="","",INDEX(입력_파견수련계획!$T$4:$T$803,$AF310))))</f>
        <v/>
      </c>
      <c r="Q310" s="10">
        <f>IF($AF310="","",INDEX(입력_파견수련계획!$S$4:$S$803,$AF310))</f>
        <v/>
      </c>
      <c r="R310" s="10">
        <f>IF($AF310="","",INDEX(입력_파견수련계획!$U$4:$U$803,$AF310))</f>
        <v/>
      </c>
      <c r="S310" s="11">
        <f>IF($AF310="","",IF(INDEX(입력_파견수련계획!$H$4:$H$803,$AF310)="","",INDEX(입력_파견수련계획!$H$4:$H$803,$AF310)))</f>
        <v/>
      </c>
      <c r="T310" s="11">
        <f>IF($AF310="","",IF(INDEX(입력_파견수련계획!$I$4:$I$803,$AF310)="","",INDEX(입력_파견수련계획!$I$4:$I$803,$AF310)))</f>
        <v/>
      </c>
      <c r="U310" s="10">
        <f>IF($AF310="","",INDEX(입력_파견수련계획!$X$4:$X$803,$AF310))</f>
        <v/>
      </c>
      <c r="V310" s="17">
        <f>IF($AF310="","",INDEX(입력_파견수련계획!$V$4:$V$803,$AF310))</f>
        <v/>
      </c>
      <c r="W310" s="17">
        <f>IF(AND($U310="파견중",$T310&lt;&gt;""),$T310-TODAY(),"")</f>
        <v/>
      </c>
      <c r="X310" s="17">
        <f>IF(OR($B310="",TRIM($J310&amp;"")=""),"",SUMPRODUCT((입력_파견수련계획!$Q$4:$Q$803=TRIM($J310&amp;""))*입력_파견수련계획!$W$4:$W$803))</f>
        <v/>
      </c>
      <c r="Y310" s="10">
        <f>IF($B310="","",IF($AG310="","",IF(IF(TRIM($J310&amp;"")="",0,SUMPRODUCT((입력_파견수련계획!$Q$4:$Q$803=TRIM($J310&amp;""))*입력_파견수련계획!$AD$4:$AD$803))&gt;0,$AE310,IF(AND(N($X310)&lt;=0,$AQ310=""),$AG310,IF($AH310+$AI310=DAY(EOMONTH(출력_요약!$B$3,0)),IF(AND($AH310&gt;=출력_요약!$E$3,$AI310&lt;출력_요약!$E$3),"서울병원",IF(AND($AI310&gt;=출력_요약!$E$3,$AH310&lt;출력_요약!$E$3),"구리병원","⚠15일 판정불가(서울 "&amp;$AH310&amp;"일/구리 "&amp;$AI310&amp;"일)")),IF($AJ310="",$AE310,IF(INDEX(입력_파견수련계획!$T$4:$T$803,$AJ310)="통합수련",INDEX(입력_파견수련계획!$S$4:$S$803,$AJ310),$AE310)))))))</f>
        <v/>
      </c>
      <c r="Z310" s="20">
        <f>IF($B310="","",IF($AB310="","기본자료에 없는 사번",IF(COUNTIF($B$2:$B$401,$B310)&gt;1,"중복 사번",IF($AE310="","소속(입사장소) 입력",IF(IF(TRIM($J310&amp;"")="",0,SUMPRODUCT((입력_파견수련계획!$Q$4:$Q$803=TRIM($J310&amp;""))*(입력_파견수련계획!$AA$4:$AA$803&lt;&gt;"")))&gt;0,"파견수련계획 입력오류 확인",IF(LEFT($Y310,1)="⚠","서울·구리 15일 판정 불가(양쪽 모두 이상/미만)",IF(IF($AC310="",0,N(INDEX(입력_인턴근무계획!$T$3:$T$402,$AC310)))&gt;0,"인턴계획 입력오류 확인",IF(AND($AQ310&lt;&gt;"",$AG310&lt;&gt;"구리병원",IF(TRIM($J310&amp;"")="",0,SUMPRODUCT((입력_파견수련계획!$Q$4:$Q$803=TRIM($J310&amp;""))*(입력_파견수련계획!$S$4:$S$803="구리병원")*입력_파견수련계획!$W$4:$W$803))=0),"구리 근무자명단에만 있음(파견수련계획 확인)",IF(AND($AC310&lt;&gt;"",$U310&lt;&gt;"파견중",$N310&lt;&gt;$AE310),"인턴 타지역 근무: 파견 여부 확인","정상")))))))))</f>
        <v/>
      </c>
      <c r="AA310" s="5" t="n"/>
      <c r="AB310" s="10">
        <f>IF($B310="","",IFERROR(MATCH($B310,입력_기본자료!$B$2:$B$1001,0),IFERROR(MATCH($B310&amp;"",입력_기본자료!$B$2:$B$1001,0),IFERROR(MATCH(VALUE($B310),입력_기본자료!$B$2:$B$1001,0),""))))</f>
        <v/>
      </c>
      <c r="AC310" s="10">
        <f>IF($B310="","",IFERROR(MATCH($B310,입력_인턴근무계획!$D$3:$D$402,0),IFERROR(MATCH($B310&amp;"",입력_인턴근무계획!$D$3:$D$402,0),IFERROR(MATCH(VALUE($B310),입력_인턴근무계획!$D$3:$D$402,0),""))))</f>
        <v/>
      </c>
      <c r="AD310" s="10">
        <f>IF(OR($AC310="",출력_인턴현황!$G$3=""),"",INDEX(입력_인턴근무계획!$M$3:$R$402,$AC310,출력_인턴현황!$G$3)&amp;"")</f>
        <v/>
      </c>
      <c r="AE310" s="10">
        <f>IF($B310="","",IF($M310&lt;&gt;"",$M310,IF(IF($AQ310="",FALSE,INDEX(출력_구리근무자!$J$6:$J$305,$AQ310)="구리독자"),"구리병원",IF($AF310&lt;&gt;"",IF(LEFT(INDEX(입력_파견수련계획!$R$4:$R$803,$AF310),1)&lt;&gt;"⚠",INDEX(입력_파견수련계획!$R$4:$R$803,$AF310),IF($H310="","",IF(RIGHT($H310,2)="병원",$H310,$H310&amp;"병원"))),IF($H310="","",IF(RIGHT($H310,2)="병원",$H310,$H310&amp;"병원"))))))</f>
        <v/>
      </c>
      <c r="AF310" s="10">
        <f>IF(OR($B310="",TRIM($J310&amp;"")=""),"",IFERROR(MATCH(TRIM($J310&amp;"")&amp;"|파견중",입력_파견수련계획!$Y$4:$Y$803,0),IFERROR(MATCH(TRIM($J310&amp;"")&amp;"|파견예정",입력_파견수련계획!$Y$4:$Y$803,0),IFERROR(MATCH(TRIM($J310&amp;"")&amp;"|파견종료",입력_파견수련계획!$Y$4:$Y$803,0),""))))</f>
        <v/>
      </c>
      <c r="AG310" s="10">
        <f>IF($B310="","",IF(AND(IF(OR($AC310="",출력_인턴현황!$K$2=""),"",INDEX(입력_인턴근무계획!$M$3:$R$402,$AC310,출력_인턴현황!$K$2)&amp;"")&lt;&gt;"",LEFT(IF(OR($AC310="",출력_인턴현황!$K$2=""),"",INDEX(입력_인턴근무계획!$M$3:$R$402,$AC310,출력_인턴현황!$K$2)&amp;""),1)&lt;&gt;"⚠"),LEFT(IF(OR($AC310="",출력_인턴현황!$K$2=""),"",INDEX(입력_인턴근무계획!$M$3:$R$402,$AC310,출력_인턴현황!$K$2)&amp;""),FIND(" ",IF(OR($AC310="",출력_인턴현황!$K$2=""),"",INDEX(입력_인턴근무계획!$M$3:$R$402,$AC310,출력_인턴현황!$K$2)&amp;""))-1),$AE310))</f>
        <v/>
      </c>
      <c r="AH310" s="17">
        <f>IF($B310="","",IF($AQ310&lt;&gt;"",MAX(0,DAY(EOMONTH(출력_요약!$B$3,0))-N($AR310)),IF(TRIM($J310&amp;"")="",0,SUMPRODUCT((입력_파견수련계획!$Q$4:$Q$803=TRIM($J310&amp;""))*(입력_파견수련계획!$S$4:$S$803="서울병원")*입력_파견수련계획!$W$4:$W$803))+IF($AG310="서울병원",MAX(0,DAY(EOMONTH(출력_요약!$B$3,0))-N($X310)),0)))</f>
        <v/>
      </c>
      <c r="AI310" s="17">
        <f>IF($B310="","",IF($AQ310&lt;&gt;"",N($AR310),IF(TRIM($J310&amp;"")="",0,SUMPRODUCT((입력_파견수련계획!$Q$4:$Q$803=TRIM($J310&amp;""))*(입력_파견수련계획!$S$4:$S$803="구리병원")*입력_파견수련계획!$W$4:$W$803))+IF($AG310="구리병원",MAX(0,DAY(EOMONTH(출력_요약!$B$3,0))-N($X310)),0)))</f>
        <v/>
      </c>
      <c r="AJ310" s="10">
        <f>IF(OR($B310="",TRIM($J310&amp;"")=""),"",IFERROR(MATCH(TRIM($J310&amp;"")&amp;"|월",입력_파견수련계획!$Z$4:$Z$803,0),""))</f>
        <v/>
      </c>
      <c r="AK310" s="10">
        <f>IF(OR($B310="",TRIM($J310&amp;"")=""),"",IFERROR(MATCH(TRIM($J310&amp;"")&amp;"|다기관",입력_파견수련계획!$AE$4:$AE$803,0),""))</f>
        <v/>
      </c>
      <c r="AL310" s="10">
        <f>IF($AK310="","","다기관 "&amp;TEXT(INDEX(입력_파견수련계획!$AB$4:$AB$803,$AK310),"yyyy-mm-dd")&amp;"~"&amp;IF(ISNUMBER(INDEX(입력_파견수련계획!$AC$4:$AC$803,$AK310)),TEXT(INDEX(입력_파견수련계획!$AC$4:$AC$803,$AK310),"yyyy-mm-dd"),""))</f>
        <v/>
      </c>
      <c r="AM310" s="10">
        <f>IF($Y310="서울병원",COUNTIF($Y$2:$Y310,"서울병원"),"")</f>
        <v/>
      </c>
      <c r="AN310" s="10">
        <f>IF(LEFT($Y310,1)="⚠",COUNTIF($Y$2:$Y310,"⚠*"),"")</f>
        <v/>
      </c>
      <c r="AO310" s="10">
        <f>IF(OR($B310="",$Y310=""),"",IF(IF(TRIM($J310&amp;"")="",0,SUMPRODUCT((입력_파견수련계획!$Q$4:$Q$803=TRIM($J310&amp;""))*입력_파견수련계획!$AD$4:$AD$803))&gt;0,"다기관 기간 → 소속병원 지급",IF(AND(N($X310)&lt;=0,$AQ310=""),"파견 없음 → 그 달 근무병원 지급",IF($AH310+$AI310=DAY(EOMONTH(출력_요약!$B$3,0)),"서울 "&amp;$AH310&amp;"일 / 구리 "&amp;$AI310&amp;"일"&amp;IF($AQ310&lt;&gt;""," (구리 근무자명단 반영)","")&amp;" → 15일 이상 근무 병원 지급","타 병원 포함 → "&amp;IF($AJ310="","소속",INDEX(입력_파견수련계획!$T$4:$T$803,$AJ310))&amp;" 규칙"))))</f>
        <v/>
      </c>
      <c r="AP310" s="10">
        <f>IF($B310="","",$C310&amp;"|"&amp;$F310)</f>
        <v/>
      </c>
      <c r="AQ310" s="10">
        <f>IF($B310="","",IFERROR(MATCH(ROW()-1,출력_구리근무자!$K$6:$K$305,0),""))</f>
        <v/>
      </c>
      <c r="AR310" s="10">
        <f>IF($AQ310="","",INDEX(출력_구리근무자!$H$6:$H$305,$AQ310))</f>
        <v/>
      </c>
    </row>
    <row r="311">
      <c r="A311" s="10">
        <f>IF(B311="","",ROW()-1)</f>
        <v/>
      </c>
      <c r="B311" s="19" t="n"/>
      <c r="C311" s="10">
        <f>IF($AB311="","",IF(INDEX(입력_기본자료!$C$2:$C$1001,$AB311)="","",INDEX(입력_기본자료!$C$2:$C$1001,$AB311)))</f>
        <v/>
      </c>
      <c r="D311" s="10">
        <f>IF($AB311="","",IF(INDEX(입력_기본자료!$J$2:$J$1001,$AB311)="","",INDEX(입력_기본자료!$J$2:$J$1001,$AB311)))</f>
        <v/>
      </c>
      <c r="E311" s="11">
        <f>IF($AB311="","",IF(INDEX(입력_기본자료!$K$2:$K$1001,$AB311)="","",IF(NOT(ISNUMBER(INDEX(입력_기본자료!$K$2:$K$1001,$AB311))),INDEX(입력_기본자료!$K$2:$K$1001,$AB311),IF(INDEX(입력_기본자료!$K$2:$K$1001,$AB311)&lt;1000000,INDEX(입력_기본자료!$K$2:$K$1001,$AB311),IF(AND(INDEX(입력_기본자료!$K$2:$K$1001,$AB311)&gt;=10000101,INT(MOD(INDEX(입력_기본자료!$K$2:$K$1001,$AB311),10000)/100)&gt;=1,INT(MOD(INDEX(입력_기본자료!$K$2:$K$1001,$AB311),10000)/100)&lt;=12,MOD(INDEX(입력_기본자료!$K$2:$K$1001,$AB311),100)&gt;=1,MOD(INDEX(입력_기본자료!$K$2:$K$1001,$AB311),100)&lt;=31),DATE(INT(INDEX(입력_기본자료!$K$2:$K$1001,$AB311)/10000),INT(MOD(INDEX(입력_기본자료!$K$2:$K$1001,$AB311),10000)/100),MOD(INDEX(입력_기본자료!$K$2:$K$1001,$AB311),100)),INDEX(입력_기본자료!$K$2:$K$1001,$AB311)&amp;"")))))</f>
        <v/>
      </c>
      <c r="F311" s="10">
        <f>IF($AB311="","",IF(INDEX(입력_기본자료!$D$2:$D$1001,$AB311)="","",INDEX(입력_기본자료!$D$2:$D$1001,$AB311)))</f>
        <v/>
      </c>
      <c r="G311" s="10">
        <f>IF($AB311="","",IF(INDEX(입력_기본자료!$E$2:$E$1001,$AB311)="","",INDEX(입력_기본자료!$E$2:$E$1001,$AB311)))</f>
        <v/>
      </c>
      <c r="H311" s="10">
        <f>IF($AB311="","",IF(INDEX(입력_기본자료!$F$2:$F$1001,$AB311)="","",INDEX(입력_기본자료!$F$2:$F$1001,$AB311)))</f>
        <v/>
      </c>
      <c r="I311" s="11">
        <f>IF($AB311="","",IF(INDEX(입력_기본자료!$G$2:$G$1001,$AB311)="","",IF(NOT(ISNUMBER(INDEX(입력_기본자료!$G$2:$G$1001,$AB311))),INDEX(입력_기본자료!$G$2:$G$1001,$AB311),IF(INDEX(입력_기본자료!$G$2:$G$1001,$AB311)&lt;1000000,INDEX(입력_기본자료!$G$2:$G$1001,$AB311),IF(AND(INDEX(입력_기본자료!$G$2:$G$1001,$AB311)&gt;=10000101,INT(MOD(INDEX(입력_기본자료!$G$2:$G$1001,$AB311),10000)/100)&gt;=1,INT(MOD(INDEX(입력_기본자료!$G$2:$G$1001,$AB311),10000)/100)&lt;=12,MOD(INDEX(입력_기본자료!$G$2:$G$1001,$AB311),100)&gt;=1,MOD(INDEX(입력_기본자료!$G$2:$G$1001,$AB311),100)&lt;=31),DATE(INT(INDEX(입력_기본자료!$G$2:$G$1001,$AB311)/10000),INT(MOD(INDEX(입력_기본자료!$G$2:$G$1001,$AB311),10000)/100),MOD(INDEX(입력_기본자료!$G$2:$G$1001,$AB311),100)),INDEX(입력_기본자료!$G$2:$G$1001,$AB311)&amp;"")))))</f>
        <v/>
      </c>
      <c r="J311" s="10">
        <f>IF($AB311="","",IF(INDEX(입력_기본자료!$H$2:$H$1001,$AB311)="","",INDEX(입력_기본자료!$H$2:$H$1001,$AB311)))</f>
        <v/>
      </c>
      <c r="K311" s="10">
        <f>IF($AB311="","",IF(INDEX(입력_기본자료!$I$2:$I$1001,$AB311)="","",INDEX(입력_기본자료!$I$2:$I$1001,$AB311)))</f>
        <v/>
      </c>
      <c r="L311" s="10">
        <f>IF($AB311="","",IF(INDEX(입력_기본자료!$A$2:$A$1001,$AB311)="","",INDEX(입력_기본자료!$A$2:$A$1001,$AB311)))</f>
        <v/>
      </c>
      <c r="M311" s="15" t="n"/>
      <c r="N311" s="10">
        <f>IF($B311="","",IF(AND($U311="파견중",$Q311&lt;&gt;""),$Q311,IF(AND($AD311&lt;&gt;"",LEFT($AD311,1)&lt;&gt;"⚠"),LEFT($AD311,FIND(" ",$AD311)-1),IF($H311="","",IF(RIGHT($H311,2)="병원",$H311,$H311&amp;"병원")))))</f>
        <v/>
      </c>
      <c r="O311" s="10">
        <f>IF($B311="","",IF(AND($U311="파견중",$Q311&lt;&gt;""),IF($R311&lt;&gt;"",$R311,"파견과 미입력"),IF(AND($AD311&lt;&gt;"",LEFT($AD311,1)&lt;&gt;"⚠"),MID($AD311,FIND(" ",$AD311)+1,60),IF($F311="","",IF($F311="인턴","수련교육부(인턴)",$F311)))))</f>
        <v/>
      </c>
      <c r="P311" s="10">
        <f>IF($B311="","",IF($AK311&lt;&gt;"",IF(AND(TODAY()&gt;=INDEX(입력_파견수련계획!$AB$4:$AB$803,$AK311),OR(NOT(ISNUMBER(INDEX(입력_파견수련계획!$AC$4:$AC$803,$AK311))),TODAY()&lt;=INDEX(입력_파견수련계획!$AC$4:$AC$803,$AK311))),"다기관",IF($AF311="","",INDEX(입력_파견수련계획!$T$4:$T$803,$AF311))),IF($AF311="","",INDEX(입력_파견수련계획!$T$4:$T$803,$AF311))))</f>
        <v/>
      </c>
      <c r="Q311" s="10">
        <f>IF($AF311="","",INDEX(입력_파견수련계획!$S$4:$S$803,$AF311))</f>
        <v/>
      </c>
      <c r="R311" s="10">
        <f>IF($AF311="","",INDEX(입력_파견수련계획!$U$4:$U$803,$AF311))</f>
        <v/>
      </c>
      <c r="S311" s="11">
        <f>IF($AF311="","",IF(INDEX(입력_파견수련계획!$H$4:$H$803,$AF311)="","",INDEX(입력_파견수련계획!$H$4:$H$803,$AF311)))</f>
        <v/>
      </c>
      <c r="T311" s="11">
        <f>IF($AF311="","",IF(INDEX(입력_파견수련계획!$I$4:$I$803,$AF311)="","",INDEX(입력_파견수련계획!$I$4:$I$803,$AF311)))</f>
        <v/>
      </c>
      <c r="U311" s="10">
        <f>IF($AF311="","",INDEX(입력_파견수련계획!$X$4:$X$803,$AF311))</f>
        <v/>
      </c>
      <c r="V311" s="17">
        <f>IF($AF311="","",INDEX(입력_파견수련계획!$V$4:$V$803,$AF311))</f>
        <v/>
      </c>
      <c r="W311" s="17">
        <f>IF(AND($U311="파견중",$T311&lt;&gt;""),$T311-TODAY(),"")</f>
        <v/>
      </c>
      <c r="X311" s="17">
        <f>IF(OR($B311="",TRIM($J311&amp;"")=""),"",SUMPRODUCT((입력_파견수련계획!$Q$4:$Q$803=TRIM($J311&amp;""))*입력_파견수련계획!$W$4:$W$803))</f>
        <v/>
      </c>
      <c r="Y311" s="10">
        <f>IF($B311="","",IF($AG311="","",IF(IF(TRIM($J311&amp;"")="",0,SUMPRODUCT((입력_파견수련계획!$Q$4:$Q$803=TRIM($J311&amp;""))*입력_파견수련계획!$AD$4:$AD$803))&gt;0,$AE311,IF(AND(N($X311)&lt;=0,$AQ311=""),$AG311,IF($AH311+$AI311=DAY(EOMONTH(출력_요약!$B$3,0)),IF(AND($AH311&gt;=출력_요약!$E$3,$AI311&lt;출력_요약!$E$3),"서울병원",IF(AND($AI311&gt;=출력_요약!$E$3,$AH311&lt;출력_요약!$E$3),"구리병원","⚠15일 판정불가(서울 "&amp;$AH311&amp;"일/구리 "&amp;$AI311&amp;"일)")),IF($AJ311="",$AE311,IF(INDEX(입력_파견수련계획!$T$4:$T$803,$AJ311)="통합수련",INDEX(입력_파견수련계획!$S$4:$S$803,$AJ311),$AE311)))))))</f>
        <v/>
      </c>
      <c r="Z311" s="20">
        <f>IF($B311="","",IF($AB311="","기본자료에 없는 사번",IF(COUNTIF($B$2:$B$401,$B311)&gt;1,"중복 사번",IF($AE311="","소속(입사장소) 입력",IF(IF(TRIM($J311&amp;"")="",0,SUMPRODUCT((입력_파견수련계획!$Q$4:$Q$803=TRIM($J311&amp;""))*(입력_파견수련계획!$AA$4:$AA$803&lt;&gt;"")))&gt;0,"파견수련계획 입력오류 확인",IF(LEFT($Y311,1)="⚠","서울·구리 15일 판정 불가(양쪽 모두 이상/미만)",IF(IF($AC311="",0,N(INDEX(입력_인턴근무계획!$T$3:$T$402,$AC311)))&gt;0,"인턴계획 입력오류 확인",IF(AND($AQ311&lt;&gt;"",$AG311&lt;&gt;"구리병원",IF(TRIM($J311&amp;"")="",0,SUMPRODUCT((입력_파견수련계획!$Q$4:$Q$803=TRIM($J311&amp;""))*(입력_파견수련계획!$S$4:$S$803="구리병원")*입력_파견수련계획!$W$4:$W$803))=0),"구리 근무자명단에만 있음(파견수련계획 확인)",IF(AND($AC311&lt;&gt;"",$U311&lt;&gt;"파견중",$N311&lt;&gt;$AE311),"인턴 타지역 근무: 파견 여부 확인","정상")))))))))</f>
        <v/>
      </c>
      <c r="AA311" s="5" t="n"/>
      <c r="AB311" s="10">
        <f>IF($B311="","",IFERROR(MATCH($B311,입력_기본자료!$B$2:$B$1001,0),IFERROR(MATCH($B311&amp;"",입력_기본자료!$B$2:$B$1001,0),IFERROR(MATCH(VALUE($B311),입력_기본자료!$B$2:$B$1001,0),""))))</f>
        <v/>
      </c>
      <c r="AC311" s="10">
        <f>IF($B311="","",IFERROR(MATCH($B311,입력_인턴근무계획!$D$3:$D$402,0),IFERROR(MATCH($B311&amp;"",입력_인턴근무계획!$D$3:$D$402,0),IFERROR(MATCH(VALUE($B311),입력_인턴근무계획!$D$3:$D$402,0),""))))</f>
        <v/>
      </c>
      <c r="AD311" s="10">
        <f>IF(OR($AC311="",출력_인턴현황!$G$3=""),"",INDEX(입력_인턴근무계획!$M$3:$R$402,$AC311,출력_인턴현황!$G$3)&amp;"")</f>
        <v/>
      </c>
      <c r="AE311" s="10">
        <f>IF($B311="","",IF($M311&lt;&gt;"",$M311,IF(IF($AQ311="",FALSE,INDEX(출력_구리근무자!$J$6:$J$305,$AQ311)="구리독자"),"구리병원",IF($AF311&lt;&gt;"",IF(LEFT(INDEX(입력_파견수련계획!$R$4:$R$803,$AF311),1)&lt;&gt;"⚠",INDEX(입력_파견수련계획!$R$4:$R$803,$AF311),IF($H311="","",IF(RIGHT($H311,2)="병원",$H311,$H311&amp;"병원"))),IF($H311="","",IF(RIGHT($H311,2)="병원",$H311,$H311&amp;"병원"))))))</f>
        <v/>
      </c>
      <c r="AF311" s="10">
        <f>IF(OR($B311="",TRIM($J311&amp;"")=""),"",IFERROR(MATCH(TRIM($J311&amp;"")&amp;"|파견중",입력_파견수련계획!$Y$4:$Y$803,0),IFERROR(MATCH(TRIM($J311&amp;"")&amp;"|파견예정",입력_파견수련계획!$Y$4:$Y$803,0),IFERROR(MATCH(TRIM($J311&amp;"")&amp;"|파견종료",입력_파견수련계획!$Y$4:$Y$803,0),""))))</f>
        <v/>
      </c>
      <c r="AG311" s="10">
        <f>IF($B311="","",IF(AND(IF(OR($AC311="",출력_인턴현황!$K$2=""),"",INDEX(입력_인턴근무계획!$M$3:$R$402,$AC311,출력_인턴현황!$K$2)&amp;"")&lt;&gt;"",LEFT(IF(OR($AC311="",출력_인턴현황!$K$2=""),"",INDEX(입력_인턴근무계획!$M$3:$R$402,$AC311,출력_인턴현황!$K$2)&amp;""),1)&lt;&gt;"⚠"),LEFT(IF(OR($AC311="",출력_인턴현황!$K$2=""),"",INDEX(입력_인턴근무계획!$M$3:$R$402,$AC311,출력_인턴현황!$K$2)&amp;""),FIND(" ",IF(OR($AC311="",출력_인턴현황!$K$2=""),"",INDEX(입력_인턴근무계획!$M$3:$R$402,$AC311,출력_인턴현황!$K$2)&amp;""))-1),$AE311))</f>
        <v/>
      </c>
      <c r="AH311" s="17">
        <f>IF($B311="","",IF($AQ311&lt;&gt;"",MAX(0,DAY(EOMONTH(출력_요약!$B$3,0))-N($AR311)),IF(TRIM($J311&amp;"")="",0,SUMPRODUCT((입력_파견수련계획!$Q$4:$Q$803=TRIM($J311&amp;""))*(입력_파견수련계획!$S$4:$S$803="서울병원")*입력_파견수련계획!$W$4:$W$803))+IF($AG311="서울병원",MAX(0,DAY(EOMONTH(출력_요약!$B$3,0))-N($X311)),0)))</f>
        <v/>
      </c>
      <c r="AI311" s="17">
        <f>IF($B311="","",IF($AQ311&lt;&gt;"",N($AR311),IF(TRIM($J311&amp;"")="",0,SUMPRODUCT((입력_파견수련계획!$Q$4:$Q$803=TRIM($J311&amp;""))*(입력_파견수련계획!$S$4:$S$803="구리병원")*입력_파견수련계획!$W$4:$W$803))+IF($AG311="구리병원",MAX(0,DAY(EOMONTH(출력_요약!$B$3,0))-N($X311)),0)))</f>
        <v/>
      </c>
      <c r="AJ311" s="10">
        <f>IF(OR($B311="",TRIM($J311&amp;"")=""),"",IFERROR(MATCH(TRIM($J311&amp;"")&amp;"|월",입력_파견수련계획!$Z$4:$Z$803,0),""))</f>
        <v/>
      </c>
      <c r="AK311" s="10">
        <f>IF(OR($B311="",TRIM($J311&amp;"")=""),"",IFERROR(MATCH(TRIM($J311&amp;"")&amp;"|다기관",입력_파견수련계획!$AE$4:$AE$803,0),""))</f>
        <v/>
      </c>
      <c r="AL311" s="10">
        <f>IF($AK311="","","다기관 "&amp;TEXT(INDEX(입력_파견수련계획!$AB$4:$AB$803,$AK311),"yyyy-mm-dd")&amp;"~"&amp;IF(ISNUMBER(INDEX(입력_파견수련계획!$AC$4:$AC$803,$AK311)),TEXT(INDEX(입력_파견수련계획!$AC$4:$AC$803,$AK311),"yyyy-mm-dd"),""))</f>
        <v/>
      </c>
      <c r="AM311" s="10">
        <f>IF($Y311="서울병원",COUNTIF($Y$2:$Y311,"서울병원"),"")</f>
        <v/>
      </c>
      <c r="AN311" s="10">
        <f>IF(LEFT($Y311,1)="⚠",COUNTIF($Y$2:$Y311,"⚠*"),"")</f>
        <v/>
      </c>
      <c r="AO311" s="10">
        <f>IF(OR($B311="",$Y311=""),"",IF(IF(TRIM($J311&amp;"")="",0,SUMPRODUCT((입력_파견수련계획!$Q$4:$Q$803=TRIM($J311&amp;""))*입력_파견수련계획!$AD$4:$AD$803))&gt;0,"다기관 기간 → 소속병원 지급",IF(AND(N($X311)&lt;=0,$AQ311=""),"파견 없음 → 그 달 근무병원 지급",IF($AH311+$AI311=DAY(EOMONTH(출력_요약!$B$3,0)),"서울 "&amp;$AH311&amp;"일 / 구리 "&amp;$AI311&amp;"일"&amp;IF($AQ311&lt;&gt;""," (구리 근무자명단 반영)","")&amp;" → 15일 이상 근무 병원 지급","타 병원 포함 → "&amp;IF($AJ311="","소속",INDEX(입력_파견수련계획!$T$4:$T$803,$AJ311))&amp;" 규칙"))))</f>
        <v/>
      </c>
      <c r="AP311" s="10">
        <f>IF($B311="","",$C311&amp;"|"&amp;$F311)</f>
        <v/>
      </c>
      <c r="AQ311" s="10">
        <f>IF($B311="","",IFERROR(MATCH(ROW()-1,출력_구리근무자!$K$6:$K$305,0),""))</f>
        <v/>
      </c>
      <c r="AR311" s="10">
        <f>IF($AQ311="","",INDEX(출력_구리근무자!$H$6:$H$305,$AQ311))</f>
        <v/>
      </c>
    </row>
    <row r="312">
      <c r="A312" s="10">
        <f>IF(B312="","",ROW()-1)</f>
        <v/>
      </c>
      <c r="B312" s="19" t="n"/>
      <c r="C312" s="10">
        <f>IF($AB312="","",IF(INDEX(입력_기본자료!$C$2:$C$1001,$AB312)="","",INDEX(입력_기본자료!$C$2:$C$1001,$AB312)))</f>
        <v/>
      </c>
      <c r="D312" s="10">
        <f>IF($AB312="","",IF(INDEX(입력_기본자료!$J$2:$J$1001,$AB312)="","",INDEX(입력_기본자료!$J$2:$J$1001,$AB312)))</f>
        <v/>
      </c>
      <c r="E312" s="11">
        <f>IF($AB312="","",IF(INDEX(입력_기본자료!$K$2:$K$1001,$AB312)="","",IF(NOT(ISNUMBER(INDEX(입력_기본자료!$K$2:$K$1001,$AB312))),INDEX(입력_기본자료!$K$2:$K$1001,$AB312),IF(INDEX(입력_기본자료!$K$2:$K$1001,$AB312)&lt;1000000,INDEX(입력_기본자료!$K$2:$K$1001,$AB312),IF(AND(INDEX(입력_기본자료!$K$2:$K$1001,$AB312)&gt;=10000101,INT(MOD(INDEX(입력_기본자료!$K$2:$K$1001,$AB312),10000)/100)&gt;=1,INT(MOD(INDEX(입력_기본자료!$K$2:$K$1001,$AB312),10000)/100)&lt;=12,MOD(INDEX(입력_기본자료!$K$2:$K$1001,$AB312),100)&gt;=1,MOD(INDEX(입력_기본자료!$K$2:$K$1001,$AB312),100)&lt;=31),DATE(INT(INDEX(입력_기본자료!$K$2:$K$1001,$AB312)/10000),INT(MOD(INDEX(입력_기본자료!$K$2:$K$1001,$AB312),10000)/100),MOD(INDEX(입력_기본자료!$K$2:$K$1001,$AB312),100)),INDEX(입력_기본자료!$K$2:$K$1001,$AB312)&amp;"")))))</f>
        <v/>
      </c>
      <c r="F312" s="10">
        <f>IF($AB312="","",IF(INDEX(입력_기본자료!$D$2:$D$1001,$AB312)="","",INDEX(입력_기본자료!$D$2:$D$1001,$AB312)))</f>
        <v/>
      </c>
      <c r="G312" s="10">
        <f>IF($AB312="","",IF(INDEX(입력_기본자료!$E$2:$E$1001,$AB312)="","",INDEX(입력_기본자료!$E$2:$E$1001,$AB312)))</f>
        <v/>
      </c>
      <c r="H312" s="10">
        <f>IF($AB312="","",IF(INDEX(입력_기본자료!$F$2:$F$1001,$AB312)="","",INDEX(입력_기본자료!$F$2:$F$1001,$AB312)))</f>
        <v/>
      </c>
      <c r="I312" s="11">
        <f>IF($AB312="","",IF(INDEX(입력_기본자료!$G$2:$G$1001,$AB312)="","",IF(NOT(ISNUMBER(INDEX(입력_기본자료!$G$2:$G$1001,$AB312))),INDEX(입력_기본자료!$G$2:$G$1001,$AB312),IF(INDEX(입력_기본자료!$G$2:$G$1001,$AB312)&lt;1000000,INDEX(입력_기본자료!$G$2:$G$1001,$AB312),IF(AND(INDEX(입력_기본자료!$G$2:$G$1001,$AB312)&gt;=10000101,INT(MOD(INDEX(입력_기본자료!$G$2:$G$1001,$AB312),10000)/100)&gt;=1,INT(MOD(INDEX(입력_기본자료!$G$2:$G$1001,$AB312),10000)/100)&lt;=12,MOD(INDEX(입력_기본자료!$G$2:$G$1001,$AB312),100)&gt;=1,MOD(INDEX(입력_기본자료!$G$2:$G$1001,$AB312),100)&lt;=31),DATE(INT(INDEX(입력_기본자료!$G$2:$G$1001,$AB312)/10000),INT(MOD(INDEX(입력_기본자료!$G$2:$G$1001,$AB312),10000)/100),MOD(INDEX(입력_기본자료!$G$2:$G$1001,$AB312),100)),INDEX(입력_기본자료!$G$2:$G$1001,$AB312)&amp;"")))))</f>
        <v/>
      </c>
      <c r="J312" s="10">
        <f>IF($AB312="","",IF(INDEX(입력_기본자료!$H$2:$H$1001,$AB312)="","",INDEX(입력_기본자료!$H$2:$H$1001,$AB312)))</f>
        <v/>
      </c>
      <c r="K312" s="10">
        <f>IF($AB312="","",IF(INDEX(입력_기본자료!$I$2:$I$1001,$AB312)="","",INDEX(입력_기본자료!$I$2:$I$1001,$AB312)))</f>
        <v/>
      </c>
      <c r="L312" s="10">
        <f>IF($AB312="","",IF(INDEX(입력_기본자료!$A$2:$A$1001,$AB312)="","",INDEX(입력_기본자료!$A$2:$A$1001,$AB312)))</f>
        <v/>
      </c>
      <c r="M312" s="15" t="n"/>
      <c r="N312" s="10">
        <f>IF($B312="","",IF(AND($U312="파견중",$Q312&lt;&gt;""),$Q312,IF(AND($AD312&lt;&gt;"",LEFT($AD312,1)&lt;&gt;"⚠"),LEFT($AD312,FIND(" ",$AD312)-1),IF($H312="","",IF(RIGHT($H312,2)="병원",$H312,$H312&amp;"병원")))))</f>
        <v/>
      </c>
      <c r="O312" s="10">
        <f>IF($B312="","",IF(AND($U312="파견중",$Q312&lt;&gt;""),IF($R312&lt;&gt;"",$R312,"파견과 미입력"),IF(AND($AD312&lt;&gt;"",LEFT($AD312,1)&lt;&gt;"⚠"),MID($AD312,FIND(" ",$AD312)+1,60),IF($F312="","",IF($F312="인턴","수련교육부(인턴)",$F312)))))</f>
        <v/>
      </c>
      <c r="P312" s="10">
        <f>IF($B312="","",IF($AK312&lt;&gt;"",IF(AND(TODAY()&gt;=INDEX(입력_파견수련계획!$AB$4:$AB$803,$AK312),OR(NOT(ISNUMBER(INDEX(입력_파견수련계획!$AC$4:$AC$803,$AK312))),TODAY()&lt;=INDEX(입력_파견수련계획!$AC$4:$AC$803,$AK312))),"다기관",IF($AF312="","",INDEX(입력_파견수련계획!$T$4:$T$803,$AF312))),IF($AF312="","",INDEX(입력_파견수련계획!$T$4:$T$803,$AF312))))</f>
        <v/>
      </c>
      <c r="Q312" s="10">
        <f>IF($AF312="","",INDEX(입력_파견수련계획!$S$4:$S$803,$AF312))</f>
        <v/>
      </c>
      <c r="R312" s="10">
        <f>IF($AF312="","",INDEX(입력_파견수련계획!$U$4:$U$803,$AF312))</f>
        <v/>
      </c>
      <c r="S312" s="11">
        <f>IF($AF312="","",IF(INDEX(입력_파견수련계획!$H$4:$H$803,$AF312)="","",INDEX(입력_파견수련계획!$H$4:$H$803,$AF312)))</f>
        <v/>
      </c>
      <c r="T312" s="11">
        <f>IF($AF312="","",IF(INDEX(입력_파견수련계획!$I$4:$I$803,$AF312)="","",INDEX(입력_파견수련계획!$I$4:$I$803,$AF312)))</f>
        <v/>
      </c>
      <c r="U312" s="10">
        <f>IF($AF312="","",INDEX(입력_파견수련계획!$X$4:$X$803,$AF312))</f>
        <v/>
      </c>
      <c r="V312" s="17">
        <f>IF($AF312="","",INDEX(입력_파견수련계획!$V$4:$V$803,$AF312))</f>
        <v/>
      </c>
      <c r="W312" s="17">
        <f>IF(AND($U312="파견중",$T312&lt;&gt;""),$T312-TODAY(),"")</f>
        <v/>
      </c>
      <c r="X312" s="17">
        <f>IF(OR($B312="",TRIM($J312&amp;"")=""),"",SUMPRODUCT((입력_파견수련계획!$Q$4:$Q$803=TRIM($J312&amp;""))*입력_파견수련계획!$W$4:$W$803))</f>
        <v/>
      </c>
      <c r="Y312" s="10">
        <f>IF($B312="","",IF($AG312="","",IF(IF(TRIM($J312&amp;"")="",0,SUMPRODUCT((입력_파견수련계획!$Q$4:$Q$803=TRIM($J312&amp;""))*입력_파견수련계획!$AD$4:$AD$803))&gt;0,$AE312,IF(AND(N($X312)&lt;=0,$AQ312=""),$AG312,IF($AH312+$AI312=DAY(EOMONTH(출력_요약!$B$3,0)),IF(AND($AH312&gt;=출력_요약!$E$3,$AI312&lt;출력_요약!$E$3),"서울병원",IF(AND($AI312&gt;=출력_요약!$E$3,$AH312&lt;출력_요약!$E$3),"구리병원","⚠15일 판정불가(서울 "&amp;$AH312&amp;"일/구리 "&amp;$AI312&amp;"일)")),IF($AJ312="",$AE312,IF(INDEX(입력_파견수련계획!$T$4:$T$803,$AJ312)="통합수련",INDEX(입력_파견수련계획!$S$4:$S$803,$AJ312),$AE312)))))))</f>
        <v/>
      </c>
      <c r="Z312" s="20">
        <f>IF($B312="","",IF($AB312="","기본자료에 없는 사번",IF(COUNTIF($B$2:$B$401,$B312)&gt;1,"중복 사번",IF($AE312="","소속(입사장소) 입력",IF(IF(TRIM($J312&amp;"")="",0,SUMPRODUCT((입력_파견수련계획!$Q$4:$Q$803=TRIM($J312&amp;""))*(입력_파견수련계획!$AA$4:$AA$803&lt;&gt;"")))&gt;0,"파견수련계획 입력오류 확인",IF(LEFT($Y312,1)="⚠","서울·구리 15일 판정 불가(양쪽 모두 이상/미만)",IF(IF($AC312="",0,N(INDEX(입력_인턴근무계획!$T$3:$T$402,$AC312)))&gt;0,"인턴계획 입력오류 확인",IF(AND($AQ312&lt;&gt;"",$AG312&lt;&gt;"구리병원",IF(TRIM($J312&amp;"")="",0,SUMPRODUCT((입력_파견수련계획!$Q$4:$Q$803=TRIM($J312&amp;""))*(입력_파견수련계획!$S$4:$S$803="구리병원")*입력_파견수련계획!$W$4:$W$803))=0),"구리 근무자명단에만 있음(파견수련계획 확인)",IF(AND($AC312&lt;&gt;"",$U312&lt;&gt;"파견중",$N312&lt;&gt;$AE312),"인턴 타지역 근무: 파견 여부 확인","정상")))))))))</f>
        <v/>
      </c>
      <c r="AA312" s="5" t="n"/>
      <c r="AB312" s="10">
        <f>IF($B312="","",IFERROR(MATCH($B312,입력_기본자료!$B$2:$B$1001,0),IFERROR(MATCH($B312&amp;"",입력_기본자료!$B$2:$B$1001,0),IFERROR(MATCH(VALUE($B312),입력_기본자료!$B$2:$B$1001,0),""))))</f>
        <v/>
      </c>
      <c r="AC312" s="10">
        <f>IF($B312="","",IFERROR(MATCH($B312,입력_인턴근무계획!$D$3:$D$402,0),IFERROR(MATCH($B312&amp;"",입력_인턴근무계획!$D$3:$D$402,0),IFERROR(MATCH(VALUE($B312),입력_인턴근무계획!$D$3:$D$402,0),""))))</f>
        <v/>
      </c>
      <c r="AD312" s="10">
        <f>IF(OR($AC312="",출력_인턴현황!$G$3=""),"",INDEX(입력_인턴근무계획!$M$3:$R$402,$AC312,출력_인턴현황!$G$3)&amp;"")</f>
        <v/>
      </c>
      <c r="AE312" s="10">
        <f>IF($B312="","",IF($M312&lt;&gt;"",$M312,IF(IF($AQ312="",FALSE,INDEX(출력_구리근무자!$J$6:$J$305,$AQ312)="구리독자"),"구리병원",IF($AF312&lt;&gt;"",IF(LEFT(INDEX(입력_파견수련계획!$R$4:$R$803,$AF312),1)&lt;&gt;"⚠",INDEX(입력_파견수련계획!$R$4:$R$803,$AF312),IF($H312="","",IF(RIGHT($H312,2)="병원",$H312,$H312&amp;"병원"))),IF($H312="","",IF(RIGHT($H312,2)="병원",$H312,$H312&amp;"병원"))))))</f>
        <v/>
      </c>
      <c r="AF312" s="10">
        <f>IF(OR($B312="",TRIM($J312&amp;"")=""),"",IFERROR(MATCH(TRIM($J312&amp;"")&amp;"|파견중",입력_파견수련계획!$Y$4:$Y$803,0),IFERROR(MATCH(TRIM($J312&amp;"")&amp;"|파견예정",입력_파견수련계획!$Y$4:$Y$803,0),IFERROR(MATCH(TRIM($J312&amp;"")&amp;"|파견종료",입력_파견수련계획!$Y$4:$Y$803,0),""))))</f>
        <v/>
      </c>
      <c r="AG312" s="10">
        <f>IF($B312="","",IF(AND(IF(OR($AC312="",출력_인턴현황!$K$2=""),"",INDEX(입력_인턴근무계획!$M$3:$R$402,$AC312,출력_인턴현황!$K$2)&amp;"")&lt;&gt;"",LEFT(IF(OR($AC312="",출력_인턴현황!$K$2=""),"",INDEX(입력_인턴근무계획!$M$3:$R$402,$AC312,출력_인턴현황!$K$2)&amp;""),1)&lt;&gt;"⚠"),LEFT(IF(OR($AC312="",출력_인턴현황!$K$2=""),"",INDEX(입력_인턴근무계획!$M$3:$R$402,$AC312,출력_인턴현황!$K$2)&amp;""),FIND(" ",IF(OR($AC312="",출력_인턴현황!$K$2=""),"",INDEX(입력_인턴근무계획!$M$3:$R$402,$AC312,출력_인턴현황!$K$2)&amp;""))-1),$AE312))</f>
        <v/>
      </c>
      <c r="AH312" s="17">
        <f>IF($B312="","",IF($AQ312&lt;&gt;"",MAX(0,DAY(EOMONTH(출력_요약!$B$3,0))-N($AR312)),IF(TRIM($J312&amp;"")="",0,SUMPRODUCT((입력_파견수련계획!$Q$4:$Q$803=TRIM($J312&amp;""))*(입력_파견수련계획!$S$4:$S$803="서울병원")*입력_파견수련계획!$W$4:$W$803))+IF($AG312="서울병원",MAX(0,DAY(EOMONTH(출력_요약!$B$3,0))-N($X312)),0)))</f>
        <v/>
      </c>
      <c r="AI312" s="17">
        <f>IF($B312="","",IF($AQ312&lt;&gt;"",N($AR312),IF(TRIM($J312&amp;"")="",0,SUMPRODUCT((입력_파견수련계획!$Q$4:$Q$803=TRIM($J312&amp;""))*(입력_파견수련계획!$S$4:$S$803="구리병원")*입력_파견수련계획!$W$4:$W$803))+IF($AG312="구리병원",MAX(0,DAY(EOMONTH(출력_요약!$B$3,0))-N($X312)),0)))</f>
        <v/>
      </c>
      <c r="AJ312" s="10">
        <f>IF(OR($B312="",TRIM($J312&amp;"")=""),"",IFERROR(MATCH(TRIM($J312&amp;"")&amp;"|월",입력_파견수련계획!$Z$4:$Z$803,0),""))</f>
        <v/>
      </c>
      <c r="AK312" s="10">
        <f>IF(OR($B312="",TRIM($J312&amp;"")=""),"",IFERROR(MATCH(TRIM($J312&amp;"")&amp;"|다기관",입력_파견수련계획!$AE$4:$AE$803,0),""))</f>
        <v/>
      </c>
      <c r="AL312" s="10">
        <f>IF($AK312="","","다기관 "&amp;TEXT(INDEX(입력_파견수련계획!$AB$4:$AB$803,$AK312),"yyyy-mm-dd")&amp;"~"&amp;IF(ISNUMBER(INDEX(입력_파견수련계획!$AC$4:$AC$803,$AK312)),TEXT(INDEX(입력_파견수련계획!$AC$4:$AC$803,$AK312),"yyyy-mm-dd"),""))</f>
        <v/>
      </c>
      <c r="AM312" s="10">
        <f>IF($Y312="서울병원",COUNTIF($Y$2:$Y312,"서울병원"),"")</f>
        <v/>
      </c>
      <c r="AN312" s="10">
        <f>IF(LEFT($Y312,1)="⚠",COUNTIF($Y$2:$Y312,"⚠*"),"")</f>
        <v/>
      </c>
      <c r="AO312" s="10">
        <f>IF(OR($B312="",$Y312=""),"",IF(IF(TRIM($J312&amp;"")="",0,SUMPRODUCT((입력_파견수련계획!$Q$4:$Q$803=TRIM($J312&amp;""))*입력_파견수련계획!$AD$4:$AD$803))&gt;0,"다기관 기간 → 소속병원 지급",IF(AND(N($X312)&lt;=0,$AQ312=""),"파견 없음 → 그 달 근무병원 지급",IF($AH312+$AI312=DAY(EOMONTH(출력_요약!$B$3,0)),"서울 "&amp;$AH312&amp;"일 / 구리 "&amp;$AI312&amp;"일"&amp;IF($AQ312&lt;&gt;""," (구리 근무자명단 반영)","")&amp;" → 15일 이상 근무 병원 지급","타 병원 포함 → "&amp;IF($AJ312="","소속",INDEX(입력_파견수련계획!$T$4:$T$803,$AJ312))&amp;" 규칙"))))</f>
        <v/>
      </c>
      <c r="AP312" s="10">
        <f>IF($B312="","",$C312&amp;"|"&amp;$F312)</f>
        <v/>
      </c>
      <c r="AQ312" s="10">
        <f>IF($B312="","",IFERROR(MATCH(ROW()-1,출력_구리근무자!$K$6:$K$305,0),""))</f>
        <v/>
      </c>
      <c r="AR312" s="10">
        <f>IF($AQ312="","",INDEX(출력_구리근무자!$H$6:$H$305,$AQ312))</f>
        <v/>
      </c>
    </row>
    <row r="313">
      <c r="A313" s="10">
        <f>IF(B313="","",ROW()-1)</f>
        <v/>
      </c>
      <c r="B313" s="19" t="n"/>
      <c r="C313" s="10">
        <f>IF($AB313="","",IF(INDEX(입력_기본자료!$C$2:$C$1001,$AB313)="","",INDEX(입력_기본자료!$C$2:$C$1001,$AB313)))</f>
        <v/>
      </c>
      <c r="D313" s="10">
        <f>IF($AB313="","",IF(INDEX(입력_기본자료!$J$2:$J$1001,$AB313)="","",INDEX(입력_기본자료!$J$2:$J$1001,$AB313)))</f>
        <v/>
      </c>
      <c r="E313" s="11">
        <f>IF($AB313="","",IF(INDEX(입력_기본자료!$K$2:$K$1001,$AB313)="","",IF(NOT(ISNUMBER(INDEX(입력_기본자료!$K$2:$K$1001,$AB313))),INDEX(입력_기본자료!$K$2:$K$1001,$AB313),IF(INDEX(입력_기본자료!$K$2:$K$1001,$AB313)&lt;1000000,INDEX(입력_기본자료!$K$2:$K$1001,$AB313),IF(AND(INDEX(입력_기본자료!$K$2:$K$1001,$AB313)&gt;=10000101,INT(MOD(INDEX(입력_기본자료!$K$2:$K$1001,$AB313),10000)/100)&gt;=1,INT(MOD(INDEX(입력_기본자료!$K$2:$K$1001,$AB313),10000)/100)&lt;=12,MOD(INDEX(입력_기본자료!$K$2:$K$1001,$AB313),100)&gt;=1,MOD(INDEX(입력_기본자료!$K$2:$K$1001,$AB313),100)&lt;=31),DATE(INT(INDEX(입력_기본자료!$K$2:$K$1001,$AB313)/10000),INT(MOD(INDEX(입력_기본자료!$K$2:$K$1001,$AB313),10000)/100),MOD(INDEX(입력_기본자료!$K$2:$K$1001,$AB313),100)),INDEX(입력_기본자료!$K$2:$K$1001,$AB313)&amp;"")))))</f>
        <v/>
      </c>
      <c r="F313" s="10">
        <f>IF($AB313="","",IF(INDEX(입력_기본자료!$D$2:$D$1001,$AB313)="","",INDEX(입력_기본자료!$D$2:$D$1001,$AB313)))</f>
        <v/>
      </c>
      <c r="G313" s="10">
        <f>IF($AB313="","",IF(INDEX(입력_기본자료!$E$2:$E$1001,$AB313)="","",INDEX(입력_기본자료!$E$2:$E$1001,$AB313)))</f>
        <v/>
      </c>
      <c r="H313" s="10">
        <f>IF($AB313="","",IF(INDEX(입력_기본자료!$F$2:$F$1001,$AB313)="","",INDEX(입력_기본자료!$F$2:$F$1001,$AB313)))</f>
        <v/>
      </c>
      <c r="I313" s="11">
        <f>IF($AB313="","",IF(INDEX(입력_기본자료!$G$2:$G$1001,$AB313)="","",IF(NOT(ISNUMBER(INDEX(입력_기본자료!$G$2:$G$1001,$AB313))),INDEX(입력_기본자료!$G$2:$G$1001,$AB313),IF(INDEX(입력_기본자료!$G$2:$G$1001,$AB313)&lt;1000000,INDEX(입력_기본자료!$G$2:$G$1001,$AB313),IF(AND(INDEX(입력_기본자료!$G$2:$G$1001,$AB313)&gt;=10000101,INT(MOD(INDEX(입력_기본자료!$G$2:$G$1001,$AB313),10000)/100)&gt;=1,INT(MOD(INDEX(입력_기본자료!$G$2:$G$1001,$AB313),10000)/100)&lt;=12,MOD(INDEX(입력_기본자료!$G$2:$G$1001,$AB313),100)&gt;=1,MOD(INDEX(입력_기본자료!$G$2:$G$1001,$AB313),100)&lt;=31),DATE(INT(INDEX(입력_기본자료!$G$2:$G$1001,$AB313)/10000),INT(MOD(INDEX(입력_기본자료!$G$2:$G$1001,$AB313),10000)/100),MOD(INDEX(입력_기본자료!$G$2:$G$1001,$AB313),100)),INDEX(입력_기본자료!$G$2:$G$1001,$AB313)&amp;"")))))</f>
        <v/>
      </c>
      <c r="J313" s="10">
        <f>IF($AB313="","",IF(INDEX(입력_기본자료!$H$2:$H$1001,$AB313)="","",INDEX(입력_기본자료!$H$2:$H$1001,$AB313)))</f>
        <v/>
      </c>
      <c r="K313" s="10">
        <f>IF($AB313="","",IF(INDEX(입력_기본자료!$I$2:$I$1001,$AB313)="","",INDEX(입력_기본자료!$I$2:$I$1001,$AB313)))</f>
        <v/>
      </c>
      <c r="L313" s="10">
        <f>IF($AB313="","",IF(INDEX(입력_기본자료!$A$2:$A$1001,$AB313)="","",INDEX(입력_기본자료!$A$2:$A$1001,$AB313)))</f>
        <v/>
      </c>
      <c r="M313" s="15" t="n"/>
      <c r="N313" s="10">
        <f>IF($B313="","",IF(AND($U313="파견중",$Q313&lt;&gt;""),$Q313,IF(AND($AD313&lt;&gt;"",LEFT($AD313,1)&lt;&gt;"⚠"),LEFT($AD313,FIND(" ",$AD313)-1),IF($H313="","",IF(RIGHT($H313,2)="병원",$H313,$H313&amp;"병원")))))</f>
        <v/>
      </c>
      <c r="O313" s="10">
        <f>IF($B313="","",IF(AND($U313="파견중",$Q313&lt;&gt;""),IF($R313&lt;&gt;"",$R313,"파견과 미입력"),IF(AND($AD313&lt;&gt;"",LEFT($AD313,1)&lt;&gt;"⚠"),MID($AD313,FIND(" ",$AD313)+1,60),IF($F313="","",IF($F313="인턴","수련교육부(인턴)",$F313)))))</f>
        <v/>
      </c>
      <c r="P313" s="10">
        <f>IF($B313="","",IF($AK313&lt;&gt;"",IF(AND(TODAY()&gt;=INDEX(입력_파견수련계획!$AB$4:$AB$803,$AK313),OR(NOT(ISNUMBER(INDEX(입력_파견수련계획!$AC$4:$AC$803,$AK313))),TODAY()&lt;=INDEX(입력_파견수련계획!$AC$4:$AC$803,$AK313))),"다기관",IF($AF313="","",INDEX(입력_파견수련계획!$T$4:$T$803,$AF313))),IF($AF313="","",INDEX(입력_파견수련계획!$T$4:$T$803,$AF313))))</f>
        <v/>
      </c>
      <c r="Q313" s="10">
        <f>IF($AF313="","",INDEX(입력_파견수련계획!$S$4:$S$803,$AF313))</f>
        <v/>
      </c>
      <c r="R313" s="10">
        <f>IF($AF313="","",INDEX(입력_파견수련계획!$U$4:$U$803,$AF313))</f>
        <v/>
      </c>
      <c r="S313" s="11">
        <f>IF($AF313="","",IF(INDEX(입력_파견수련계획!$H$4:$H$803,$AF313)="","",INDEX(입력_파견수련계획!$H$4:$H$803,$AF313)))</f>
        <v/>
      </c>
      <c r="T313" s="11">
        <f>IF($AF313="","",IF(INDEX(입력_파견수련계획!$I$4:$I$803,$AF313)="","",INDEX(입력_파견수련계획!$I$4:$I$803,$AF313)))</f>
        <v/>
      </c>
      <c r="U313" s="10">
        <f>IF($AF313="","",INDEX(입력_파견수련계획!$X$4:$X$803,$AF313))</f>
        <v/>
      </c>
      <c r="V313" s="17">
        <f>IF($AF313="","",INDEX(입력_파견수련계획!$V$4:$V$803,$AF313))</f>
        <v/>
      </c>
      <c r="W313" s="17">
        <f>IF(AND($U313="파견중",$T313&lt;&gt;""),$T313-TODAY(),"")</f>
        <v/>
      </c>
      <c r="X313" s="17">
        <f>IF(OR($B313="",TRIM($J313&amp;"")=""),"",SUMPRODUCT((입력_파견수련계획!$Q$4:$Q$803=TRIM($J313&amp;""))*입력_파견수련계획!$W$4:$W$803))</f>
        <v/>
      </c>
      <c r="Y313" s="10">
        <f>IF($B313="","",IF($AG313="","",IF(IF(TRIM($J313&amp;"")="",0,SUMPRODUCT((입력_파견수련계획!$Q$4:$Q$803=TRIM($J313&amp;""))*입력_파견수련계획!$AD$4:$AD$803))&gt;0,$AE313,IF(AND(N($X313)&lt;=0,$AQ313=""),$AG313,IF($AH313+$AI313=DAY(EOMONTH(출력_요약!$B$3,0)),IF(AND($AH313&gt;=출력_요약!$E$3,$AI313&lt;출력_요약!$E$3),"서울병원",IF(AND($AI313&gt;=출력_요약!$E$3,$AH313&lt;출력_요약!$E$3),"구리병원","⚠15일 판정불가(서울 "&amp;$AH313&amp;"일/구리 "&amp;$AI313&amp;"일)")),IF($AJ313="",$AE313,IF(INDEX(입력_파견수련계획!$T$4:$T$803,$AJ313)="통합수련",INDEX(입력_파견수련계획!$S$4:$S$803,$AJ313),$AE313)))))))</f>
        <v/>
      </c>
      <c r="Z313" s="20">
        <f>IF($B313="","",IF($AB313="","기본자료에 없는 사번",IF(COUNTIF($B$2:$B$401,$B313)&gt;1,"중복 사번",IF($AE313="","소속(입사장소) 입력",IF(IF(TRIM($J313&amp;"")="",0,SUMPRODUCT((입력_파견수련계획!$Q$4:$Q$803=TRIM($J313&amp;""))*(입력_파견수련계획!$AA$4:$AA$803&lt;&gt;"")))&gt;0,"파견수련계획 입력오류 확인",IF(LEFT($Y313,1)="⚠","서울·구리 15일 판정 불가(양쪽 모두 이상/미만)",IF(IF($AC313="",0,N(INDEX(입력_인턴근무계획!$T$3:$T$402,$AC313)))&gt;0,"인턴계획 입력오류 확인",IF(AND($AQ313&lt;&gt;"",$AG313&lt;&gt;"구리병원",IF(TRIM($J313&amp;"")="",0,SUMPRODUCT((입력_파견수련계획!$Q$4:$Q$803=TRIM($J313&amp;""))*(입력_파견수련계획!$S$4:$S$803="구리병원")*입력_파견수련계획!$W$4:$W$803))=0),"구리 근무자명단에만 있음(파견수련계획 확인)",IF(AND($AC313&lt;&gt;"",$U313&lt;&gt;"파견중",$N313&lt;&gt;$AE313),"인턴 타지역 근무: 파견 여부 확인","정상")))))))))</f>
        <v/>
      </c>
      <c r="AA313" s="5" t="n"/>
      <c r="AB313" s="10">
        <f>IF($B313="","",IFERROR(MATCH($B313,입력_기본자료!$B$2:$B$1001,0),IFERROR(MATCH($B313&amp;"",입력_기본자료!$B$2:$B$1001,0),IFERROR(MATCH(VALUE($B313),입력_기본자료!$B$2:$B$1001,0),""))))</f>
        <v/>
      </c>
      <c r="AC313" s="10">
        <f>IF($B313="","",IFERROR(MATCH($B313,입력_인턴근무계획!$D$3:$D$402,0),IFERROR(MATCH($B313&amp;"",입력_인턴근무계획!$D$3:$D$402,0),IFERROR(MATCH(VALUE($B313),입력_인턴근무계획!$D$3:$D$402,0),""))))</f>
        <v/>
      </c>
      <c r="AD313" s="10">
        <f>IF(OR($AC313="",출력_인턴현황!$G$3=""),"",INDEX(입력_인턴근무계획!$M$3:$R$402,$AC313,출력_인턴현황!$G$3)&amp;"")</f>
        <v/>
      </c>
      <c r="AE313" s="10">
        <f>IF($B313="","",IF($M313&lt;&gt;"",$M313,IF(IF($AQ313="",FALSE,INDEX(출력_구리근무자!$J$6:$J$305,$AQ313)="구리독자"),"구리병원",IF($AF313&lt;&gt;"",IF(LEFT(INDEX(입력_파견수련계획!$R$4:$R$803,$AF313),1)&lt;&gt;"⚠",INDEX(입력_파견수련계획!$R$4:$R$803,$AF313),IF($H313="","",IF(RIGHT($H313,2)="병원",$H313,$H313&amp;"병원"))),IF($H313="","",IF(RIGHT($H313,2)="병원",$H313,$H313&amp;"병원"))))))</f>
        <v/>
      </c>
      <c r="AF313" s="10">
        <f>IF(OR($B313="",TRIM($J313&amp;"")=""),"",IFERROR(MATCH(TRIM($J313&amp;"")&amp;"|파견중",입력_파견수련계획!$Y$4:$Y$803,0),IFERROR(MATCH(TRIM($J313&amp;"")&amp;"|파견예정",입력_파견수련계획!$Y$4:$Y$803,0),IFERROR(MATCH(TRIM($J313&amp;"")&amp;"|파견종료",입력_파견수련계획!$Y$4:$Y$803,0),""))))</f>
        <v/>
      </c>
      <c r="AG313" s="10">
        <f>IF($B313="","",IF(AND(IF(OR($AC313="",출력_인턴현황!$K$2=""),"",INDEX(입력_인턴근무계획!$M$3:$R$402,$AC313,출력_인턴현황!$K$2)&amp;"")&lt;&gt;"",LEFT(IF(OR($AC313="",출력_인턴현황!$K$2=""),"",INDEX(입력_인턴근무계획!$M$3:$R$402,$AC313,출력_인턴현황!$K$2)&amp;""),1)&lt;&gt;"⚠"),LEFT(IF(OR($AC313="",출력_인턴현황!$K$2=""),"",INDEX(입력_인턴근무계획!$M$3:$R$402,$AC313,출력_인턴현황!$K$2)&amp;""),FIND(" ",IF(OR($AC313="",출력_인턴현황!$K$2=""),"",INDEX(입력_인턴근무계획!$M$3:$R$402,$AC313,출력_인턴현황!$K$2)&amp;""))-1),$AE313))</f>
        <v/>
      </c>
      <c r="AH313" s="17">
        <f>IF($B313="","",IF($AQ313&lt;&gt;"",MAX(0,DAY(EOMONTH(출력_요약!$B$3,0))-N($AR313)),IF(TRIM($J313&amp;"")="",0,SUMPRODUCT((입력_파견수련계획!$Q$4:$Q$803=TRIM($J313&amp;""))*(입력_파견수련계획!$S$4:$S$803="서울병원")*입력_파견수련계획!$W$4:$W$803))+IF($AG313="서울병원",MAX(0,DAY(EOMONTH(출력_요약!$B$3,0))-N($X313)),0)))</f>
        <v/>
      </c>
      <c r="AI313" s="17">
        <f>IF($B313="","",IF($AQ313&lt;&gt;"",N($AR313),IF(TRIM($J313&amp;"")="",0,SUMPRODUCT((입력_파견수련계획!$Q$4:$Q$803=TRIM($J313&amp;""))*(입력_파견수련계획!$S$4:$S$803="구리병원")*입력_파견수련계획!$W$4:$W$803))+IF($AG313="구리병원",MAX(0,DAY(EOMONTH(출력_요약!$B$3,0))-N($X313)),0)))</f>
        <v/>
      </c>
      <c r="AJ313" s="10">
        <f>IF(OR($B313="",TRIM($J313&amp;"")=""),"",IFERROR(MATCH(TRIM($J313&amp;"")&amp;"|월",입력_파견수련계획!$Z$4:$Z$803,0),""))</f>
        <v/>
      </c>
      <c r="AK313" s="10">
        <f>IF(OR($B313="",TRIM($J313&amp;"")=""),"",IFERROR(MATCH(TRIM($J313&amp;"")&amp;"|다기관",입력_파견수련계획!$AE$4:$AE$803,0),""))</f>
        <v/>
      </c>
      <c r="AL313" s="10">
        <f>IF($AK313="","","다기관 "&amp;TEXT(INDEX(입력_파견수련계획!$AB$4:$AB$803,$AK313),"yyyy-mm-dd")&amp;"~"&amp;IF(ISNUMBER(INDEX(입력_파견수련계획!$AC$4:$AC$803,$AK313)),TEXT(INDEX(입력_파견수련계획!$AC$4:$AC$803,$AK313),"yyyy-mm-dd"),""))</f>
        <v/>
      </c>
      <c r="AM313" s="10">
        <f>IF($Y313="서울병원",COUNTIF($Y$2:$Y313,"서울병원"),"")</f>
        <v/>
      </c>
      <c r="AN313" s="10">
        <f>IF(LEFT($Y313,1)="⚠",COUNTIF($Y$2:$Y313,"⚠*"),"")</f>
        <v/>
      </c>
      <c r="AO313" s="10">
        <f>IF(OR($B313="",$Y313=""),"",IF(IF(TRIM($J313&amp;"")="",0,SUMPRODUCT((입력_파견수련계획!$Q$4:$Q$803=TRIM($J313&amp;""))*입력_파견수련계획!$AD$4:$AD$803))&gt;0,"다기관 기간 → 소속병원 지급",IF(AND(N($X313)&lt;=0,$AQ313=""),"파견 없음 → 그 달 근무병원 지급",IF($AH313+$AI313=DAY(EOMONTH(출력_요약!$B$3,0)),"서울 "&amp;$AH313&amp;"일 / 구리 "&amp;$AI313&amp;"일"&amp;IF($AQ313&lt;&gt;""," (구리 근무자명단 반영)","")&amp;" → 15일 이상 근무 병원 지급","타 병원 포함 → "&amp;IF($AJ313="","소속",INDEX(입력_파견수련계획!$T$4:$T$803,$AJ313))&amp;" 규칙"))))</f>
        <v/>
      </c>
      <c r="AP313" s="10">
        <f>IF($B313="","",$C313&amp;"|"&amp;$F313)</f>
        <v/>
      </c>
      <c r="AQ313" s="10">
        <f>IF($B313="","",IFERROR(MATCH(ROW()-1,출력_구리근무자!$K$6:$K$305,0),""))</f>
        <v/>
      </c>
      <c r="AR313" s="10">
        <f>IF($AQ313="","",INDEX(출력_구리근무자!$H$6:$H$305,$AQ313))</f>
        <v/>
      </c>
    </row>
    <row r="314">
      <c r="A314" s="10">
        <f>IF(B314="","",ROW()-1)</f>
        <v/>
      </c>
      <c r="B314" s="19" t="n"/>
      <c r="C314" s="10">
        <f>IF($AB314="","",IF(INDEX(입력_기본자료!$C$2:$C$1001,$AB314)="","",INDEX(입력_기본자료!$C$2:$C$1001,$AB314)))</f>
        <v/>
      </c>
      <c r="D314" s="10">
        <f>IF($AB314="","",IF(INDEX(입력_기본자료!$J$2:$J$1001,$AB314)="","",INDEX(입력_기본자료!$J$2:$J$1001,$AB314)))</f>
        <v/>
      </c>
      <c r="E314" s="11">
        <f>IF($AB314="","",IF(INDEX(입력_기본자료!$K$2:$K$1001,$AB314)="","",IF(NOT(ISNUMBER(INDEX(입력_기본자료!$K$2:$K$1001,$AB314))),INDEX(입력_기본자료!$K$2:$K$1001,$AB314),IF(INDEX(입력_기본자료!$K$2:$K$1001,$AB314)&lt;1000000,INDEX(입력_기본자료!$K$2:$K$1001,$AB314),IF(AND(INDEX(입력_기본자료!$K$2:$K$1001,$AB314)&gt;=10000101,INT(MOD(INDEX(입력_기본자료!$K$2:$K$1001,$AB314),10000)/100)&gt;=1,INT(MOD(INDEX(입력_기본자료!$K$2:$K$1001,$AB314),10000)/100)&lt;=12,MOD(INDEX(입력_기본자료!$K$2:$K$1001,$AB314),100)&gt;=1,MOD(INDEX(입력_기본자료!$K$2:$K$1001,$AB314),100)&lt;=31),DATE(INT(INDEX(입력_기본자료!$K$2:$K$1001,$AB314)/10000),INT(MOD(INDEX(입력_기본자료!$K$2:$K$1001,$AB314),10000)/100),MOD(INDEX(입력_기본자료!$K$2:$K$1001,$AB314),100)),INDEX(입력_기본자료!$K$2:$K$1001,$AB314)&amp;"")))))</f>
        <v/>
      </c>
      <c r="F314" s="10">
        <f>IF($AB314="","",IF(INDEX(입력_기본자료!$D$2:$D$1001,$AB314)="","",INDEX(입력_기본자료!$D$2:$D$1001,$AB314)))</f>
        <v/>
      </c>
      <c r="G314" s="10">
        <f>IF($AB314="","",IF(INDEX(입력_기본자료!$E$2:$E$1001,$AB314)="","",INDEX(입력_기본자료!$E$2:$E$1001,$AB314)))</f>
        <v/>
      </c>
      <c r="H314" s="10">
        <f>IF($AB314="","",IF(INDEX(입력_기본자료!$F$2:$F$1001,$AB314)="","",INDEX(입력_기본자료!$F$2:$F$1001,$AB314)))</f>
        <v/>
      </c>
      <c r="I314" s="11">
        <f>IF($AB314="","",IF(INDEX(입력_기본자료!$G$2:$G$1001,$AB314)="","",IF(NOT(ISNUMBER(INDEX(입력_기본자료!$G$2:$G$1001,$AB314))),INDEX(입력_기본자료!$G$2:$G$1001,$AB314),IF(INDEX(입력_기본자료!$G$2:$G$1001,$AB314)&lt;1000000,INDEX(입력_기본자료!$G$2:$G$1001,$AB314),IF(AND(INDEX(입력_기본자료!$G$2:$G$1001,$AB314)&gt;=10000101,INT(MOD(INDEX(입력_기본자료!$G$2:$G$1001,$AB314),10000)/100)&gt;=1,INT(MOD(INDEX(입력_기본자료!$G$2:$G$1001,$AB314),10000)/100)&lt;=12,MOD(INDEX(입력_기본자료!$G$2:$G$1001,$AB314),100)&gt;=1,MOD(INDEX(입력_기본자료!$G$2:$G$1001,$AB314),100)&lt;=31),DATE(INT(INDEX(입력_기본자료!$G$2:$G$1001,$AB314)/10000),INT(MOD(INDEX(입력_기본자료!$G$2:$G$1001,$AB314),10000)/100),MOD(INDEX(입력_기본자료!$G$2:$G$1001,$AB314),100)),INDEX(입력_기본자료!$G$2:$G$1001,$AB314)&amp;"")))))</f>
        <v/>
      </c>
      <c r="J314" s="10">
        <f>IF($AB314="","",IF(INDEX(입력_기본자료!$H$2:$H$1001,$AB314)="","",INDEX(입력_기본자료!$H$2:$H$1001,$AB314)))</f>
        <v/>
      </c>
      <c r="K314" s="10">
        <f>IF($AB314="","",IF(INDEX(입력_기본자료!$I$2:$I$1001,$AB314)="","",INDEX(입력_기본자료!$I$2:$I$1001,$AB314)))</f>
        <v/>
      </c>
      <c r="L314" s="10">
        <f>IF($AB314="","",IF(INDEX(입력_기본자료!$A$2:$A$1001,$AB314)="","",INDEX(입력_기본자료!$A$2:$A$1001,$AB314)))</f>
        <v/>
      </c>
      <c r="M314" s="15" t="n"/>
      <c r="N314" s="10">
        <f>IF($B314="","",IF(AND($U314="파견중",$Q314&lt;&gt;""),$Q314,IF(AND($AD314&lt;&gt;"",LEFT($AD314,1)&lt;&gt;"⚠"),LEFT($AD314,FIND(" ",$AD314)-1),IF($H314="","",IF(RIGHT($H314,2)="병원",$H314,$H314&amp;"병원")))))</f>
        <v/>
      </c>
      <c r="O314" s="10">
        <f>IF($B314="","",IF(AND($U314="파견중",$Q314&lt;&gt;""),IF($R314&lt;&gt;"",$R314,"파견과 미입력"),IF(AND($AD314&lt;&gt;"",LEFT($AD314,1)&lt;&gt;"⚠"),MID($AD314,FIND(" ",$AD314)+1,60),IF($F314="","",IF($F314="인턴","수련교육부(인턴)",$F314)))))</f>
        <v/>
      </c>
      <c r="P314" s="10">
        <f>IF($B314="","",IF($AK314&lt;&gt;"",IF(AND(TODAY()&gt;=INDEX(입력_파견수련계획!$AB$4:$AB$803,$AK314),OR(NOT(ISNUMBER(INDEX(입력_파견수련계획!$AC$4:$AC$803,$AK314))),TODAY()&lt;=INDEX(입력_파견수련계획!$AC$4:$AC$803,$AK314))),"다기관",IF($AF314="","",INDEX(입력_파견수련계획!$T$4:$T$803,$AF314))),IF($AF314="","",INDEX(입력_파견수련계획!$T$4:$T$803,$AF314))))</f>
        <v/>
      </c>
      <c r="Q314" s="10">
        <f>IF($AF314="","",INDEX(입력_파견수련계획!$S$4:$S$803,$AF314))</f>
        <v/>
      </c>
      <c r="R314" s="10">
        <f>IF($AF314="","",INDEX(입력_파견수련계획!$U$4:$U$803,$AF314))</f>
        <v/>
      </c>
      <c r="S314" s="11">
        <f>IF($AF314="","",IF(INDEX(입력_파견수련계획!$H$4:$H$803,$AF314)="","",INDEX(입력_파견수련계획!$H$4:$H$803,$AF314)))</f>
        <v/>
      </c>
      <c r="T314" s="11">
        <f>IF($AF314="","",IF(INDEX(입력_파견수련계획!$I$4:$I$803,$AF314)="","",INDEX(입력_파견수련계획!$I$4:$I$803,$AF314)))</f>
        <v/>
      </c>
      <c r="U314" s="10">
        <f>IF($AF314="","",INDEX(입력_파견수련계획!$X$4:$X$803,$AF314))</f>
        <v/>
      </c>
      <c r="V314" s="17">
        <f>IF($AF314="","",INDEX(입력_파견수련계획!$V$4:$V$803,$AF314))</f>
        <v/>
      </c>
      <c r="W314" s="17">
        <f>IF(AND($U314="파견중",$T314&lt;&gt;""),$T314-TODAY(),"")</f>
        <v/>
      </c>
      <c r="X314" s="17">
        <f>IF(OR($B314="",TRIM($J314&amp;"")=""),"",SUMPRODUCT((입력_파견수련계획!$Q$4:$Q$803=TRIM($J314&amp;""))*입력_파견수련계획!$W$4:$W$803))</f>
        <v/>
      </c>
      <c r="Y314" s="10">
        <f>IF($B314="","",IF($AG314="","",IF(IF(TRIM($J314&amp;"")="",0,SUMPRODUCT((입력_파견수련계획!$Q$4:$Q$803=TRIM($J314&amp;""))*입력_파견수련계획!$AD$4:$AD$803))&gt;0,$AE314,IF(AND(N($X314)&lt;=0,$AQ314=""),$AG314,IF($AH314+$AI314=DAY(EOMONTH(출력_요약!$B$3,0)),IF(AND($AH314&gt;=출력_요약!$E$3,$AI314&lt;출력_요약!$E$3),"서울병원",IF(AND($AI314&gt;=출력_요약!$E$3,$AH314&lt;출력_요약!$E$3),"구리병원","⚠15일 판정불가(서울 "&amp;$AH314&amp;"일/구리 "&amp;$AI314&amp;"일)")),IF($AJ314="",$AE314,IF(INDEX(입력_파견수련계획!$T$4:$T$803,$AJ314)="통합수련",INDEX(입력_파견수련계획!$S$4:$S$803,$AJ314),$AE314)))))))</f>
        <v/>
      </c>
      <c r="Z314" s="20">
        <f>IF($B314="","",IF($AB314="","기본자료에 없는 사번",IF(COUNTIF($B$2:$B$401,$B314)&gt;1,"중복 사번",IF($AE314="","소속(입사장소) 입력",IF(IF(TRIM($J314&amp;"")="",0,SUMPRODUCT((입력_파견수련계획!$Q$4:$Q$803=TRIM($J314&amp;""))*(입력_파견수련계획!$AA$4:$AA$803&lt;&gt;"")))&gt;0,"파견수련계획 입력오류 확인",IF(LEFT($Y314,1)="⚠","서울·구리 15일 판정 불가(양쪽 모두 이상/미만)",IF(IF($AC314="",0,N(INDEX(입력_인턴근무계획!$T$3:$T$402,$AC314)))&gt;0,"인턴계획 입력오류 확인",IF(AND($AQ314&lt;&gt;"",$AG314&lt;&gt;"구리병원",IF(TRIM($J314&amp;"")="",0,SUMPRODUCT((입력_파견수련계획!$Q$4:$Q$803=TRIM($J314&amp;""))*(입력_파견수련계획!$S$4:$S$803="구리병원")*입력_파견수련계획!$W$4:$W$803))=0),"구리 근무자명단에만 있음(파견수련계획 확인)",IF(AND($AC314&lt;&gt;"",$U314&lt;&gt;"파견중",$N314&lt;&gt;$AE314),"인턴 타지역 근무: 파견 여부 확인","정상")))))))))</f>
        <v/>
      </c>
      <c r="AA314" s="5" t="n"/>
      <c r="AB314" s="10">
        <f>IF($B314="","",IFERROR(MATCH($B314,입력_기본자료!$B$2:$B$1001,0),IFERROR(MATCH($B314&amp;"",입력_기본자료!$B$2:$B$1001,0),IFERROR(MATCH(VALUE($B314),입력_기본자료!$B$2:$B$1001,0),""))))</f>
        <v/>
      </c>
      <c r="AC314" s="10">
        <f>IF($B314="","",IFERROR(MATCH($B314,입력_인턴근무계획!$D$3:$D$402,0),IFERROR(MATCH($B314&amp;"",입력_인턴근무계획!$D$3:$D$402,0),IFERROR(MATCH(VALUE($B314),입력_인턴근무계획!$D$3:$D$402,0),""))))</f>
        <v/>
      </c>
      <c r="AD314" s="10">
        <f>IF(OR($AC314="",출력_인턴현황!$G$3=""),"",INDEX(입력_인턴근무계획!$M$3:$R$402,$AC314,출력_인턴현황!$G$3)&amp;"")</f>
        <v/>
      </c>
      <c r="AE314" s="10">
        <f>IF($B314="","",IF($M314&lt;&gt;"",$M314,IF(IF($AQ314="",FALSE,INDEX(출력_구리근무자!$J$6:$J$305,$AQ314)="구리독자"),"구리병원",IF($AF314&lt;&gt;"",IF(LEFT(INDEX(입력_파견수련계획!$R$4:$R$803,$AF314),1)&lt;&gt;"⚠",INDEX(입력_파견수련계획!$R$4:$R$803,$AF314),IF($H314="","",IF(RIGHT($H314,2)="병원",$H314,$H314&amp;"병원"))),IF($H314="","",IF(RIGHT($H314,2)="병원",$H314,$H314&amp;"병원"))))))</f>
        <v/>
      </c>
      <c r="AF314" s="10">
        <f>IF(OR($B314="",TRIM($J314&amp;"")=""),"",IFERROR(MATCH(TRIM($J314&amp;"")&amp;"|파견중",입력_파견수련계획!$Y$4:$Y$803,0),IFERROR(MATCH(TRIM($J314&amp;"")&amp;"|파견예정",입력_파견수련계획!$Y$4:$Y$803,0),IFERROR(MATCH(TRIM($J314&amp;"")&amp;"|파견종료",입력_파견수련계획!$Y$4:$Y$803,0),""))))</f>
        <v/>
      </c>
      <c r="AG314" s="10">
        <f>IF($B314="","",IF(AND(IF(OR($AC314="",출력_인턴현황!$K$2=""),"",INDEX(입력_인턴근무계획!$M$3:$R$402,$AC314,출력_인턴현황!$K$2)&amp;"")&lt;&gt;"",LEFT(IF(OR($AC314="",출력_인턴현황!$K$2=""),"",INDEX(입력_인턴근무계획!$M$3:$R$402,$AC314,출력_인턴현황!$K$2)&amp;""),1)&lt;&gt;"⚠"),LEFT(IF(OR($AC314="",출력_인턴현황!$K$2=""),"",INDEX(입력_인턴근무계획!$M$3:$R$402,$AC314,출력_인턴현황!$K$2)&amp;""),FIND(" ",IF(OR($AC314="",출력_인턴현황!$K$2=""),"",INDEX(입력_인턴근무계획!$M$3:$R$402,$AC314,출력_인턴현황!$K$2)&amp;""))-1),$AE314))</f>
        <v/>
      </c>
      <c r="AH314" s="17">
        <f>IF($B314="","",IF($AQ314&lt;&gt;"",MAX(0,DAY(EOMONTH(출력_요약!$B$3,0))-N($AR314)),IF(TRIM($J314&amp;"")="",0,SUMPRODUCT((입력_파견수련계획!$Q$4:$Q$803=TRIM($J314&amp;""))*(입력_파견수련계획!$S$4:$S$803="서울병원")*입력_파견수련계획!$W$4:$W$803))+IF($AG314="서울병원",MAX(0,DAY(EOMONTH(출력_요약!$B$3,0))-N($X314)),0)))</f>
        <v/>
      </c>
      <c r="AI314" s="17">
        <f>IF($B314="","",IF($AQ314&lt;&gt;"",N($AR314),IF(TRIM($J314&amp;"")="",0,SUMPRODUCT((입력_파견수련계획!$Q$4:$Q$803=TRIM($J314&amp;""))*(입력_파견수련계획!$S$4:$S$803="구리병원")*입력_파견수련계획!$W$4:$W$803))+IF($AG314="구리병원",MAX(0,DAY(EOMONTH(출력_요약!$B$3,0))-N($X314)),0)))</f>
        <v/>
      </c>
      <c r="AJ314" s="10">
        <f>IF(OR($B314="",TRIM($J314&amp;"")=""),"",IFERROR(MATCH(TRIM($J314&amp;"")&amp;"|월",입력_파견수련계획!$Z$4:$Z$803,0),""))</f>
        <v/>
      </c>
      <c r="AK314" s="10">
        <f>IF(OR($B314="",TRIM($J314&amp;"")=""),"",IFERROR(MATCH(TRIM($J314&amp;"")&amp;"|다기관",입력_파견수련계획!$AE$4:$AE$803,0),""))</f>
        <v/>
      </c>
      <c r="AL314" s="10">
        <f>IF($AK314="","","다기관 "&amp;TEXT(INDEX(입력_파견수련계획!$AB$4:$AB$803,$AK314),"yyyy-mm-dd")&amp;"~"&amp;IF(ISNUMBER(INDEX(입력_파견수련계획!$AC$4:$AC$803,$AK314)),TEXT(INDEX(입력_파견수련계획!$AC$4:$AC$803,$AK314),"yyyy-mm-dd"),""))</f>
        <v/>
      </c>
      <c r="AM314" s="10">
        <f>IF($Y314="서울병원",COUNTIF($Y$2:$Y314,"서울병원"),"")</f>
        <v/>
      </c>
      <c r="AN314" s="10">
        <f>IF(LEFT($Y314,1)="⚠",COUNTIF($Y$2:$Y314,"⚠*"),"")</f>
        <v/>
      </c>
      <c r="AO314" s="10">
        <f>IF(OR($B314="",$Y314=""),"",IF(IF(TRIM($J314&amp;"")="",0,SUMPRODUCT((입력_파견수련계획!$Q$4:$Q$803=TRIM($J314&amp;""))*입력_파견수련계획!$AD$4:$AD$803))&gt;0,"다기관 기간 → 소속병원 지급",IF(AND(N($X314)&lt;=0,$AQ314=""),"파견 없음 → 그 달 근무병원 지급",IF($AH314+$AI314=DAY(EOMONTH(출력_요약!$B$3,0)),"서울 "&amp;$AH314&amp;"일 / 구리 "&amp;$AI314&amp;"일"&amp;IF($AQ314&lt;&gt;""," (구리 근무자명단 반영)","")&amp;" → 15일 이상 근무 병원 지급","타 병원 포함 → "&amp;IF($AJ314="","소속",INDEX(입력_파견수련계획!$T$4:$T$803,$AJ314))&amp;" 규칙"))))</f>
        <v/>
      </c>
      <c r="AP314" s="10">
        <f>IF($B314="","",$C314&amp;"|"&amp;$F314)</f>
        <v/>
      </c>
      <c r="AQ314" s="10">
        <f>IF($B314="","",IFERROR(MATCH(ROW()-1,출력_구리근무자!$K$6:$K$305,0),""))</f>
        <v/>
      </c>
      <c r="AR314" s="10">
        <f>IF($AQ314="","",INDEX(출력_구리근무자!$H$6:$H$305,$AQ314))</f>
        <v/>
      </c>
    </row>
    <row r="315">
      <c r="A315" s="10">
        <f>IF(B315="","",ROW()-1)</f>
        <v/>
      </c>
      <c r="B315" s="19" t="n"/>
      <c r="C315" s="10">
        <f>IF($AB315="","",IF(INDEX(입력_기본자료!$C$2:$C$1001,$AB315)="","",INDEX(입력_기본자료!$C$2:$C$1001,$AB315)))</f>
        <v/>
      </c>
      <c r="D315" s="10">
        <f>IF($AB315="","",IF(INDEX(입력_기본자료!$J$2:$J$1001,$AB315)="","",INDEX(입력_기본자료!$J$2:$J$1001,$AB315)))</f>
        <v/>
      </c>
      <c r="E315" s="11">
        <f>IF($AB315="","",IF(INDEX(입력_기본자료!$K$2:$K$1001,$AB315)="","",IF(NOT(ISNUMBER(INDEX(입력_기본자료!$K$2:$K$1001,$AB315))),INDEX(입력_기본자료!$K$2:$K$1001,$AB315),IF(INDEX(입력_기본자료!$K$2:$K$1001,$AB315)&lt;1000000,INDEX(입력_기본자료!$K$2:$K$1001,$AB315),IF(AND(INDEX(입력_기본자료!$K$2:$K$1001,$AB315)&gt;=10000101,INT(MOD(INDEX(입력_기본자료!$K$2:$K$1001,$AB315),10000)/100)&gt;=1,INT(MOD(INDEX(입력_기본자료!$K$2:$K$1001,$AB315),10000)/100)&lt;=12,MOD(INDEX(입력_기본자료!$K$2:$K$1001,$AB315),100)&gt;=1,MOD(INDEX(입력_기본자료!$K$2:$K$1001,$AB315),100)&lt;=31),DATE(INT(INDEX(입력_기본자료!$K$2:$K$1001,$AB315)/10000),INT(MOD(INDEX(입력_기본자료!$K$2:$K$1001,$AB315),10000)/100),MOD(INDEX(입력_기본자료!$K$2:$K$1001,$AB315),100)),INDEX(입력_기본자료!$K$2:$K$1001,$AB315)&amp;"")))))</f>
        <v/>
      </c>
      <c r="F315" s="10">
        <f>IF($AB315="","",IF(INDEX(입력_기본자료!$D$2:$D$1001,$AB315)="","",INDEX(입력_기본자료!$D$2:$D$1001,$AB315)))</f>
        <v/>
      </c>
      <c r="G315" s="10">
        <f>IF($AB315="","",IF(INDEX(입력_기본자료!$E$2:$E$1001,$AB315)="","",INDEX(입력_기본자료!$E$2:$E$1001,$AB315)))</f>
        <v/>
      </c>
      <c r="H315" s="10">
        <f>IF($AB315="","",IF(INDEX(입력_기본자료!$F$2:$F$1001,$AB315)="","",INDEX(입력_기본자료!$F$2:$F$1001,$AB315)))</f>
        <v/>
      </c>
      <c r="I315" s="11">
        <f>IF($AB315="","",IF(INDEX(입력_기본자료!$G$2:$G$1001,$AB315)="","",IF(NOT(ISNUMBER(INDEX(입력_기본자료!$G$2:$G$1001,$AB315))),INDEX(입력_기본자료!$G$2:$G$1001,$AB315),IF(INDEX(입력_기본자료!$G$2:$G$1001,$AB315)&lt;1000000,INDEX(입력_기본자료!$G$2:$G$1001,$AB315),IF(AND(INDEX(입력_기본자료!$G$2:$G$1001,$AB315)&gt;=10000101,INT(MOD(INDEX(입력_기본자료!$G$2:$G$1001,$AB315),10000)/100)&gt;=1,INT(MOD(INDEX(입력_기본자료!$G$2:$G$1001,$AB315),10000)/100)&lt;=12,MOD(INDEX(입력_기본자료!$G$2:$G$1001,$AB315),100)&gt;=1,MOD(INDEX(입력_기본자료!$G$2:$G$1001,$AB315),100)&lt;=31),DATE(INT(INDEX(입력_기본자료!$G$2:$G$1001,$AB315)/10000),INT(MOD(INDEX(입력_기본자료!$G$2:$G$1001,$AB315),10000)/100),MOD(INDEX(입력_기본자료!$G$2:$G$1001,$AB315),100)),INDEX(입력_기본자료!$G$2:$G$1001,$AB315)&amp;"")))))</f>
        <v/>
      </c>
      <c r="J315" s="10">
        <f>IF($AB315="","",IF(INDEX(입력_기본자료!$H$2:$H$1001,$AB315)="","",INDEX(입력_기본자료!$H$2:$H$1001,$AB315)))</f>
        <v/>
      </c>
      <c r="K315" s="10">
        <f>IF($AB315="","",IF(INDEX(입력_기본자료!$I$2:$I$1001,$AB315)="","",INDEX(입력_기본자료!$I$2:$I$1001,$AB315)))</f>
        <v/>
      </c>
      <c r="L315" s="10">
        <f>IF($AB315="","",IF(INDEX(입력_기본자료!$A$2:$A$1001,$AB315)="","",INDEX(입력_기본자료!$A$2:$A$1001,$AB315)))</f>
        <v/>
      </c>
      <c r="M315" s="15" t="n"/>
      <c r="N315" s="10">
        <f>IF($B315="","",IF(AND($U315="파견중",$Q315&lt;&gt;""),$Q315,IF(AND($AD315&lt;&gt;"",LEFT($AD315,1)&lt;&gt;"⚠"),LEFT($AD315,FIND(" ",$AD315)-1),IF($H315="","",IF(RIGHT($H315,2)="병원",$H315,$H315&amp;"병원")))))</f>
        <v/>
      </c>
      <c r="O315" s="10">
        <f>IF($B315="","",IF(AND($U315="파견중",$Q315&lt;&gt;""),IF($R315&lt;&gt;"",$R315,"파견과 미입력"),IF(AND($AD315&lt;&gt;"",LEFT($AD315,1)&lt;&gt;"⚠"),MID($AD315,FIND(" ",$AD315)+1,60),IF($F315="","",IF($F315="인턴","수련교육부(인턴)",$F315)))))</f>
        <v/>
      </c>
      <c r="P315" s="10">
        <f>IF($B315="","",IF($AK315&lt;&gt;"",IF(AND(TODAY()&gt;=INDEX(입력_파견수련계획!$AB$4:$AB$803,$AK315),OR(NOT(ISNUMBER(INDEX(입력_파견수련계획!$AC$4:$AC$803,$AK315))),TODAY()&lt;=INDEX(입력_파견수련계획!$AC$4:$AC$803,$AK315))),"다기관",IF($AF315="","",INDEX(입력_파견수련계획!$T$4:$T$803,$AF315))),IF($AF315="","",INDEX(입력_파견수련계획!$T$4:$T$803,$AF315))))</f>
        <v/>
      </c>
      <c r="Q315" s="10">
        <f>IF($AF315="","",INDEX(입력_파견수련계획!$S$4:$S$803,$AF315))</f>
        <v/>
      </c>
      <c r="R315" s="10">
        <f>IF($AF315="","",INDEX(입력_파견수련계획!$U$4:$U$803,$AF315))</f>
        <v/>
      </c>
      <c r="S315" s="11">
        <f>IF($AF315="","",IF(INDEX(입력_파견수련계획!$H$4:$H$803,$AF315)="","",INDEX(입력_파견수련계획!$H$4:$H$803,$AF315)))</f>
        <v/>
      </c>
      <c r="T315" s="11">
        <f>IF($AF315="","",IF(INDEX(입력_파견수련계획!$I$4:$I$803,$AF315)="","",INDEX(입력_파견수련계획!$I$4:$I$803,$AF315)))</f>
        <v/>
      </c>
      <c r="U315" s="10">
        <f>IF($AF315="","",INDEX(입력_파견수련계획!$X$4:$X$803,$AF315))</f>
        <v/>
      </c>
      <c r="V315" s="17">
        <f>IF($AF315="","",INDEX(입력_파견수련계획!$V$4:$V$803,$AF315))</f>
        <v/>
      </c>
      <c r="W315" s="17">
        <f>IF(AND($U315="파견중",$T315&lt;&gt;""),$T315-TODAY(),"")</f>
        <v/>
      </c>
      <c r="X315" s="17">
        <f>IF(OR($B315="",TRIM($J315&amp;"")=""),"",SUMPRODUCT((입력_파견수련계획!$Q$4:$Q$803=TRIM($J315&amp;""))*입력_파견수련계획!$W$4:$W$803))</f>
        <v/>
      </c>
      <c r="Y315" s="10">
        <f>IF($B315="","",IF($AG315="","",IF(IF(TRIM($J315&amp;"")="",0,SUMPRODUCT((입력_파견수련계획!$Q$4:$Q$803=TRIM($J315&amp;""))*입력_파견수련계획!$AD$4:$AD$803))&gt;0,$AE315,IF(AND(N($X315)&lt;=0,$AQ315=""),$AG315,IF($AH315+$AI315=DAY(EOMONTH(출력_요약!$B$3,0)),IF(AND($AH315&gt;=출력_요약!$E$3,$AI315&lt;출력_요약!$E$3),"서울병원",IF(AND($AI315&gt;=출력_요약!$E$3,$AH315&lt;출력_요약!$E$3),"구리병원","⚠15일 판정불가(서울 "&amp;$AH315&amp;"일/구리 "&amp;$AI315&amp;"일)")),IF($AJ315="",$AE315,IF(INDEX(입력_파견수련계획!$T$4:$T$803,$AJ315)="통합수련",INDEX(입력_파견수련계획!$S$4:$S$803,$AJ315),$AE315)))))))</f>
        <v/>
      </c>
      <c r="Z315" s="20">
        <f>IF($B315="","",IF($AB315="","기본자료에 없는 사번",IF(COUNTIF($B$2:$B$401,$B315)&gt;1,"중복 사번",IF($AE315="","소속(입사장소) 입력",IF(IF(TRIM($J315&amp;"")="",0,SUMPRODUCT((입력_파견수련계획!$Q$4:$Q$803=TRIM($J315&amp;""))*(입력_파견수련계획!$AA$4:$AA$803&lt;&gt;"")))&gt;0,"파견수련계획 입력오류 확인",IF(LEFT($Y315,1)="⚠","서울·구리 15일 판정 불가(양쪽 모두 이상/미만)",IF(IF($AC315="",0,N(INDEX(입력_인턴근무계획!$T$3:$T$402,$AC315)))&gt;0,"인턴계획 입력오류 확인",IF(AND($AQ315&lt;&gt;"",$AG315&lt;&gt;"구리병원",IF(TRIM($J315&amp;"")="",0,SUMPRODUCT((입력_파견수련계획!$Q$4:$Q$803=TRIM($J315&amp;""))*(입력_파견수련계획!$S$4:$S$803="구리병원")*입력_파견수련계획!$W$4:$W$803))=0),"구리 근무자명단에만 있음(파견수련계획 확인)",IF(AND($AC315&lt;&gt;"",$U315&lt;&gt;"파견중",$N315&lt;&gt;$AE315),"인턴 타지역 근무: 파견 여부 확인","정상")))))))))</f>
        <v/>
      </c>
      <c r="AA315" s="5" t="n"/>
      <c r="AB315" s="10">
        <f>IF($B315="","",IFERROR(MATCH($B315,입력_기본자료!$B$2:$B$1001,0),IFERROR(MATCH($B315&amp;"",입력_기본자료!$B$2:$B$1001,0),IFERROR(MATCH(VALUE($B315),입력_기본자료!$B$2:$B$1001,0),""))))</f>
        <v/>
      </c>
      <c r="AC315" s="10">
        <f>IF($B315="","",IFERROR(MATCH($B315,입력_인턴근무계획!$D$3:$D$402,0),IFERROR(MATCH($B315&amp;"",입력_인턴근무계획!$D$3:$D$402,0),IFERROR(MATCH(VALUE($B315),입력_인턴근무계획!$D$3:$D$402,0),""))))</f>
        <v/>
      </c>
      <c r="AD315" s="10">
        <f>IF(OR($AC315="",출력_인턴현황!$G$3=""),"",INDEX(입력_인턴근무계획!$M$3:$R$402,$AC315,출력_인턴현황!$G$3)&amp;"")</f>
        <v/>
      </c>
      <c r="AE315" s="10">
        <f>IF($B315="","",IF($M315&lt;&gt;"",$M315,IF(IF($AQ315="",FALSE,INDEX(출력_구리근무자!$J$6:$J$305,$AQ315)="구리독자"),"구리병원",IF($AF315&lt;&gt;"",IF(LEFT(INDEX(입력_파견수련계획!$R$4:$R$803,$AF315),1)&lt;&gt;"⚠",INDEX(입력_파견수련계획!$R$4:$R$803,$AF315),IF($H315="","",IF(RIGHT($H315,2)="병원",$H315,$H315&amp;"병원"))),IF($H315="","",IF(RIGHT($H315,2)="병원",$H315,$H315&amp;"병원"))))))</f>
        <v/>
      </c>
      <c r="AF315" s="10">
        <f>IF(OR($B315="",TRIM($J315&amp;"")=""),"",IFERROR(MATCH(TRIM($J315&amp;"")&amp;"|파견중",입력_파견수련계획!$Y$4:$Y$803,0),IFERROR(MATCH(TRIM($J315&amp;"")&amp;"|파견예정",입력_파견수련계획!$Y$4:$Y$803,0),IFERROR(MATCH(TRIM($J315&amp;"")&amp;"|파견종료",입력_파견수련계획!$Y$4:$Y$803,0),""))))</f>
        <v/>
      </c>
      <c r="AG315" s="10">
        <f>IF($B315="","",IF(AND(IF(OR($AC315="",출력_인턴현황!$K$2=""),"",INDEX(입력_인턴근무계획!$M$3:$R$402,$AC315,출력_인턴현황!$K$2)&amp;"")&lt;&gt;"",LEFT(IF(OR($AC315="",출력_인턴현황!$K$2=""),"",INDEX(입력_인턴근무계획!$M$3:$R$402,$AC315,출력_인턴현황!$K$2)&amp;""),1)&lt;&gt;"⚠"),LEFT(IF(OR($AC315="",출력_인턴현황!$K$2=""),"",INDEX(입력_인턴근무계획!$M$3:$R$402,$AC315,출력_인턴현황!$K$2)&amp;""),FIND(" ",IF(OR($AC315="",출력_인턴현황!$K$2=""),"",INDEX(입력_인턴근무계획!$M$3:$R$402,$AC315,출력_인턴현황!$K$2)&amp;""))-1),$AE315))</f>
        <v/>
      </c>
      <c r="AH315" s="17">
        <f>IF($B315="","",IF($AQ315&lt;&gt;"",MAX(0,DAY(EOMONTH(출력_요약!$B$3,0))-N($AR315)),IF(TRIM($J315&amp;"")="",0,SUMPRODUCT((입력_파견수련계획!$Q$4:$Q$803=TRIM($J315&amp;""))*(입력_파견수련계획!$S$4:$S$803="서울병원")*입력_파견수련계획!$W$4:$W$803))+IF($AG315="서울병원",MAX(0,DAY(EOMONTH(출력_요약!$B$3,0))-N($X315)),0)))</f>
        <v/>
      </c>
      <c r="AI315" s="17">
        <f>IF($B315="","",IF($AQ315&lt;&gt;"",N($AR315),IF(TRIM($J315&amp;"")="",0,SUMPRODUCT((입력_파견수련계획!$Q$4:$Q$803=TRIM($J315&amp;""))*(입력_파견수련계획!$S$4:$S$803="구리병원")*입력_파견수련계획!$W$4:$W$803))+IF($AG315="구리병원",MAX(0,DAY(EOMONTH(출력_요약!$B$3,0))-N($X315)),0)))</f>
        <v/>
      </c>
      <c r="AJ315" s="10">
        <f>IF(OR($B315="",TRIM($J315&amp;"")=""),"",IFERROR(MATCH(TRIM($J315&amp;"")&amp;"|월",입력_파견수련계획!$Z$4:$Z$803,0),""))</f>
        <v/>
      </c>
      <c r="AK315" s="10">
        <f>IF(OR($B315="",TRIM($J315&amp;"")=""),"",IFERROR(MATCH(TRIM($J315&amp;"")&amp;"|다기관",입력_파견수련계획!$AE$4:$AE$803,0),""))</f>
        <v/>
      </c>
      <c r="AL315" s="10">
        <f>IF($AK315="","","다기관 "&amp;TEXT(INDEX(입력_파견수련계획!$AB$4:$AB$803,$AK315),"yyyy-mm-dd")&amp;"~"&amp;IF(ISNUMBER(INDEX(입력_파견수련계획!$AC$4:$AC$803,$AK315)),TEXT(INDEX(입력_파견수련계획!$AC$4:$AC$803,$AK315),"yyyy-mm-dd"),""))</f>
        <v/>
      </c>
      <c r="AM315" s="10">
        <f>IF($Y315="서울병원",COUNTIF($Y$2:$Y315,"서울병원"),"")</f>
        <v/>
      </c>
      <c r="AN315" s="10">
        <f>IF(LEFT($Y315,1)="⚠",COUNTIF($Y$2:$Y315,"⚠*"),"")</f>
        <v/>
      </c>
      <c r="AO315" s="10">
        <f>IF(OR($B315="",$Y315=""),"",IF(IF(TRIM($J315&amp;"")="",0,SUMPRODUCT((입력_파견수련계획!$Q$4:$Q$803=TRIM($J315&amp;""))*입력_파견수련계획!$AD$4:$AD$803))&gt;0,"다기관 기간 → 소속병원 지급",IF(AND(N($X315)&lt;=0,$AQ315=""),"파견 없음 → 그 달 근무병원 지급",IF($AH315+$AI315=DAY(EOMONTH(출력_요약!$B$3,0)),"서울 "&amp;$AH315&amp;"일 / 구리 "&amp;$AI315&amp;"일"&amp;IF($AQ315&lt;&gt;""," (구리 근무자명단 반영)","")&amp;" → 15일 이상 근무 병원 지급","타 병원 포함 → "&amp;IF($AJ315="","소속",INDEX(입력_파견수련계획!$T$4:$T$803,$AJ315))&amp;" 규칙"))))</f>
        <v/>
      </c>
      <c r="AP315" s="10">
        <f>IF($B315="","",$C315&amp;"|"&amp;$F315)</f>
        <v/>
      </c>
      <c r="AQ315" s="10">
        <f>IF($B315="","",IFERROR(MATCH(ROW()-1,출력_구리근무자!$K$6:$K$305,0),""))</f>
        <v/>
      </c>
      <c r="AR315" s="10">
        <f>IF($AQ315="","",INDEX(출력_구리근무자!$H$6:$H$305,$AQ315))</f>
        <v/>
      </c>
    </row>
    <row r="316">
      <c r="A316" s="10">
        <f>IF(B316="","",ROW()-1)</f>
        <v/>
      </c>
      <c r="B316" s="19" t="n"/>
      <c r="C316" s="10">
        <f>IF($AB316="","",IF(INDEX(입력_기본자료!$C$2:$C$1001,$AB316)="","",INDEX(입력_기본자료!$C$2:$C$1001,$AB316)))</f>
        <v/>
      </c>
      <c r="D316" s="10">
        <f>IF($AB316="","",IF(INDEX(입력_기본자료!$J$2:$J$1001,$AB316)="","",INDEX(입력_기본자료!$J$2:$J$1001,$AB316)))</f>
        <v/>
      </c>
      <c r="E316" s="11">
        <f>IF($AB316="","",IF(INDEX(입력_기본자료!$K$2:$K$1001,$AB316)="","",IF(NOT(ISNUMBER(INDEX(입력_기본자료!$K$2:$K$1001,$AB316))),INDEX(입력_기본자료!$K$2:$K$1001,$AB316),IF(INDEX(입력_기본자료!$K$2:$K$1001,$AB316)&lt;1000000,INDEX(입력_기본자료!$K$2:$K$1001,$AB316),IF(AND(INDEX(입력_기본자료!$K$2:$K$1001,$AB316)&gt;=10000101,INT(MOD(INDEX(입력_기본자료!$K$2:$K$1001,$AB316),10000)/100)&gt;=1,INT(MOD(INDEX(입력_기본자료!$K$2:$K$1001,$AB316),10000)/100)&lt;=12,MOD(INDEX(입력_기본자료!$K$2:$K$1001,$AB316),100)&gt;=1,MOD(INDEX(입력_기본자료!$K$2:$K$1001,$AB316),100)&lt;=31),DATE(INT(INDEX(입력_기본자료!$K$2:$K$1001,$AB316)/10000),INT(MOD(INDEX(입력_기본자료!$K$2:$K$1001,$AB316),10000)/100),MOD(INDEX(입력_기본자료!$K$2:$K$1001,$AB316),100)),INDEX(입력_기본자료!$K$2:$K$1001,$AB316)&amp;"")))))</f>
        <v/>
      </c>
      <c r="F316" s="10">
        <f>IF($AB316="","",IF(INDEX(입력_기본자료!$D$2:$D$1001,$AB316)="","",INDEX(입력_기본자료!$D$2:$D$1001,$AB316)))</f>
        <v/>
      </c>
      <c r="G316" s="10">
        <f>IF($AB316="","",IF(INDEX(입력_기본자료!$E$2:$E$1001,$AB316)="","",INDEX(입력_기본자료!$E$2:$E$1001,$AB316)))</f>
        <v/>
      </c>
      <c r="H316" s="10">
        <f>IF($AB316="","",IF(INDEX(입력_기본자료!$F$2:$F$1001,$AB316)="","",INDEX(입력_기본자료!$F$2:$F$1001,$AB316)))</f>
        <v/>
      </c>
      <c r="I316" s="11">
        <f>IF($AB316="","",IF(INDEX(입력_기본자료!$G$2:$G$1001,$AB316)="","",IF(NOT(ISNUMBER(INDEX(입력_기본자료!$G$2:$G$1001,$AB316))),INDEX(입력_기본자료!$G$2:$G$1001,$AB316),IF(INDEX(입력_기본자료!$G$2:$G$1001,$AB316)&lt;1000000,INDEX(입력_기본자료!$G$2:$G$1001,$AB316),IF(AND(INDEX(입력_기본자료!$G$2:$G$1001,$AB316)&gt;=10000101,INT(MOD(INDEX(입력_기본자료!$G$2:$G$1001,$AB316),10000)/100)&gt;=1,INT(MOD(INDEX(입력_기본자료!$G$2:$G$1001,$AB316),10000)/100)&lt;=12,MOD(INDEX(입력_기본자료!$G$2:$G$1001,$AB316),100)&gt;=1,MOD(INDEX(입력_기본자료!$G$2:$G$1001,$AB316),100)&lt;=31),DATE(INT(INDEX(입력_기본자료!$G$2:$G$1001,$AB316)/10000),INT(MOD(INDEX(입력_기본자료!$G$2:$G$1001,$AB316),10000)/100),MOD(INDEX(입력_기본자료!$G$2:$G$1001,$AB316),100)),INDEX(입력_기본자료!$G$2:$G$1001,$AB316)&amp;"")))))</f>
        <v/>
      </c>
      <c r="J316" s="10">
        <f>IF($AB316="","",IF(INDEX(입력_기본자료!$H$2:$H$1001,$AB316)="","",INDEX(입력_기본자료!$H$2:$H$1001,$AB316)))</f>
        <v/>
      </c>
      <c r="K316" s="10">
        <f>IF($AB316="","",IF(INDEX(입력_기본자료!$I$2:$I$1001,$AB316)="","",INDEX(입력_기본자료!$I$2:$I$1001,$AB316)))</f>
        <v/>
      </c>
      <c r="L316" s="10">
        <f>IF($AB316="","",IF(INDEX(입력_기본자료!$A$2:$A$1001,$AB316)="","",INDEX(입력_기본자료!$A$2:$A$1001,$AB316)))</f>
        <v/>
      </c>
      <c r="M316" s="15" t="n"/>
      <c r="N316" s="10">
        <f>IF($B316="","",IF(AND($U316="파견중",$Q316&lt;&gt;""),$Q316,IF(AND($AD316&lt;&gt;"",LEFT($AD316,1)&lt;&gt;"⚠"),LEFT($AD316,FIND(" ",$AD316)-1),IF($H316="","",IF(RIGHT($H316,2)="병원",$H316,$H316&amp;"병원")))))</f>
        <v/>
      </c>
      <c r="O316" s="10">
        <f>IF($B316="","",IF(AND($U316="파견중",$Q316&lt;&gt;""),IF($R316&lt;&gt;"",$R316,"파견과 미입력"),IF(AND($AD316&lt;&gt;"",LEFT($AD316,1)&lt;&gt;"⚠"),MID($AD316,FIND(" ",$AD316)+1,60),IF($F316="","",IF($F316="인턴","수련교육부(인턴)",$F316)))))</f>
        <v/>
      </c>
      <c r="P316" s="10">
        <f>IF($B316="","",IF($AK316&lt;&gt;"",IF(AND(TODAY()&gt;=INDEX(입력_파견수련계획!$AB$4:$AB$803,$AK316),OR(NOT(ISNUMBER(INDEX(입력_파견수련계획!$AC$4:$AC$803,$AK316))),TODAY()&lt;=INDEX(입력_파견수련계획!$AC$4:$AC$803,$AK316))),"다기관",IF($AF316="","",INDEX(입력_파견수련계획!$T$4:$T$803,$AF316))),IF($AF316="","",INDEX(입력_파견수련계획!$T$4:$T$803,$AF316))))</f>
        <v/>
      </c>
      <c r="Q316" s="10">
        <f>IF($AF316="","",INDEX(입력_파견수련계획!$S$4:$S$803,$AF316))</f>
        <v/>
      </c>
      <c r="R316" s="10">
        <f>IF($AF316="","",INDEX(입력_파견수련계획!$U$4:$U$803,$AF316))</f>
        <v/>
      </c>
      <c r="S316" s="11">
        <f>IF($AF316="","",IF(INDEX(입력_파견수련계획!$H$4:$H$803,$AF316)="","",INDEX(입력_파견수련계획!$H$4:$H$803,$AF316)))</f>
        <v/>
      </c>
      <c r="T316" s="11">
        <f>IF($AF316="","",IF(INDEX(입력_파견수련계획!$I$4:$I$803,$AF316)="","",INDEX(입력_파견수련계획!$I$4:$I$803,$AF316)))</f>
        <v/>
      </c>
      <c r="U316" s="10">
        <f>IF($AF316="","",INDEX(입력_파견수련계획!$X$4:$X$803,$AF316))</f>
        <v/>
      </c>
      <c r="V316" s="17">
        <f>IF($AF316="","",INDEX(입력_파견수련계획!$V$4:$V$803,$AF316))</f>
        <v/>
      </c>
      <c r="W316" s="17">
        <f>IF(AND($U316="파견중",$T316&lt;&gt;""),$T316-TODAY(),"")</f>
        <v/>
      </c>
      <c r="X316" s="17">
        <f>IF(OR($B316="",TRIM($J316&amp;"")=""),"",SUMPRODUCT((입력_파견수련계획!$Q$4:$Q$803=TRIM($J316&amp;""))*입력_파견수련계획!$W$4:$W$803))</f>
        <v/>
      </c>
      <c r="Y316" s="10">
        <f>IF($B316="","",IF($AG316="","",IF(IF(TRIM($J316&amp;"")="",0,SUMPRODUCT((입력_파견수련계획!$Q$4:$Q$803=TRIM($J316&amp;""))*입력_파견수련계획!$AD$4:$AD$803))&gt;0,$AE316,IF(AND(N($X316)&lt;=0,$AQ316=""),$AG316,IF($AH316+$AI316=DAY(EOMONTH(출력_요약!$B$3,0)),IF(AND($AH316&gt;=출력_요약!$E$3,$AI316&lt;출력_요약!$E$3),"서울병원",IF(AND($AI316&gt;=출력_요약!$E$3,$AH316&lt;출력_요약!$E$3),"구리병원","⚠15일 판정불가(서울 "&amp;$AH316&amp;"일/구리 "&amp;$AI316&amp;"일)")),IF($AJ316="",$AE316,IF(INDEX(입력_파견수련계획!$T$4:$T$803,$AJ316)="통합수련",INDEX(입력_파견수련계획!$S$4:$S$803,$AJ316),$AE316)))))))</f>
        <v/>
      </c>
      <c r="Z316" s="20">
        <f>IF($B316="","",IF($AB316="","기본자료에 없는 사번",IF(COUNTIF($B$2:$B$401,$B316)&gt;1,"중복 사번",IF($AE316="","소속(입사장소) 입력",IF(IF(TRIM($J316&amp;"")="",0,SUMPRODUCT((입력_파견수련계획!$Q$4:$Q$803=TRIM($J316&amp;""))*(입력_파견수련계획!$AA$4:$AA$803&lt;&gt;"")))&gt;0,"파견수련계획 입력오류 확인",IF(LEFT($Y316,1)="⚠","서울·구리 15일 판정 불가(양쪽 모두 이상/미만)",IF(IF($AC316="",0,N(INDEX(입력_인턴근무계획!$T$3:$T$402,$AC316)))&gt;0,"인턴계획 입력오류 확인",IF(AND($AQ316&lt;&gt;"",$AG316&lt;&gt;"구리병원",IF(TRIM($J316&amp;"")="",0,SUMPRODUCT((입력_파견수련계획!$Q$4:$Q$803=TRIM($J316&amp;""))*(입력_파견수련계획!$S$4:$S$803="구리병원")*입력_파견수련계획!$W$4:$W$803))=0),"구리 근무자명단에만 있음(파견수련계획 확인)",IF(AND($AC316&lt;&gt;"",$U316&lt;&gt;"파견중",$N316&lt;&gt;$AE316),"인턴 타지역 근무: 파견 여부 확인","정상")))))))))</f>
        <v/>
      </c>
      <c r="AA316" s="5" t="n"/>
      <c r="AB316" s="10">
        <f>IF($B316="","",IFERROR(MATCH($B316,입력_기본자료!$B$2:$B$1001,0),IFERROR(MATCH($B316&amp;"",입력_기본자료!$B$2:$B$1001,0),IFERROR(MATCH(VALUE($B316),입력_기본자료!$B$2:$B$1001,0),""))))</f>
        <v/>
      </c>
      <c r="AC316" s="10">
        <f>IF($B316="","",IFERROR(MATCH($B316,입력_인턴근무계획!$D$3:$D$402,0),IFERROR(MATCH($B316&amp;"",입력_인턴근무계획!$D$3:$D$402,0),IFERROR(MATCH(VALUE($B316),입력_인턴근무계획!$D$3:$D$402,0),""))))</f>
        <v/>
      </c>
      <c r="AD316" s="10">
        <f>IF(OR($AC316="",출력_인턴현황!$G$3=""),"",INDEX(입력_인턴근무계획!$M$3:$R$402,$AC316,출력_인턴현황!$G$3)&amp;"")</f>
        <v/>
      </c>
      <c r="AE316" s="10">
        <f>IF($B316="","",IF($M316&lt;&gt;"",$M316,IF(IF($AQ316="",FALSE,INDEX(출력_구리근무자!$J$6:$J$305,$AQ316)="구리독자"),"구리병원",IF($AF316&lt;&gt;"",IF(LEFT(INDEX(입력_파견수련계획!$R$4:$R$803,$AF316),1)&lt;&gt;"⚠",INDEX(입력_파견수련계획!$R$4:$R$803,$AF316),IF($H316="","",IF(RIGHT($H316,2)="병원",$H316,$H316&amp;"병원"))),IF($H316="","",IF(RIGHT($H316,2)="병원",$H316,$H316&amp;"병원"))))))</f>
        <v/>
      </c>
      <c r="AF316" s="10">
        <f>IF(OR($B316="",TRIM($J316&amp;"")=""),"",IFERROR(MATCH(TRIM($J316&amp;"")&amp;"|파견중",입력_파견수련계획!$Y$4:$Y$803,0),IFERROR(MATCH(TRIM($J316&amp;"")&amp;"|파견예정",입력_파견수련계획!$Y$4:$Y$803,0),IFERROR(MATCH(TRIM($J316&amp;"")&amp;"|파견종료",입력_파견수련계획!$Y$4:$Y$803,0),""))))</f>
        <v/>
      </c>
      <c r="AG316" s="10">
        <f>IF($B316="","",IF(AND(IF(OR($AC316="",출력_인턴현황!$K$2=""),"",INDEX(입력_인턴근무계획!$M$3:$R$402,$AC316,출력_인턴현황!$K$2)&amp;"")&lt;&gt;"",LEFT(IF(OR($AC316="",출력_인턴현황!$K$2=""),"",INDEX(입력_인턴근무계획!$M$3:$R$402,$AC316,출력_인턴현황!$K$2)&amp;""),1)&lt;&gt;"⚠"),LEFT(IF(OR($AC316="",출력_인턴현황!$K$2=""),"",INDEX(입력_인턴근무계획!$M$3:$R$402,$AC316,출력_인턴현황!$K$2)&amp;""),FIND(" ",IF(OR($AC316="",출력_인턴현황!$K$2=""),"",INDEX(입력_인턴근무계획!$M$3:$R$402,$AC316,출력_인턴현황!$K$2)&amp;""))-1),$AE316))</f>
        <v/>
      </c>
      <c r="AH316" s="17">
        <f>IF($B316="","",IF($AQ316&lt;&gt;"",MAX(0,DAY(EOMONTH(출력_요약!$B$3,0))-N($AR316)),IF(TRIM($J316&amp;"")="",0,SUMPRODUCT((입력_파견수련계획!$Q$4:$Q$803=TRIM($J316&amp;""))*(입력_파견수련계획!$S$4:$S$803="서울병원")*입력_파견수련계획!$W$4:$W$803))+IF($AG316="서울병원",MAX(0,DAY(EOMONTH(출력_요약!$B$3,0))-N($X316)),0)))</f>
        <v/>
      </c>
      <c r="AI316" s="17">
        <f>IF($B316="","",IF($AQ316&lt;&gt;"",N($AR316),IF(TRIM($J316&amp;"")="",0,SUMPRODUCT((입력_파견수련계획!$Q$4:$Q$803=TRIM($J316&amp;""))*(입력_파견수련계획!$S$4:$S$803="구리병원")*입력_파견수련계획!$W$4:$W$803))+IF($AG316="구리병원",MAX(0,DAY(EOMONTH(출력_요약!$B$3,0))-N($X316)),0)))</f>
        <v/>
      </c>
      <c r="AJ316" s="10">
        <f>IF(OR($B316="",TRIM($J316&amp;"")=""),"",IFERROR(MATCH(TRIM($J316&amp;"")&amp;"|월",입력_파견수련계획!$Z$4:$Z$803,0),""))</f>
        <v/>
      </c>
      <c r="AK316" s="10">
        <f>IF(OR($B316="",TRIM($J316&amp;"")=""),"",IFERROR(MATCH(TRIM($J316&amp;"")&amp;"|다기관",입력_파견수련계획!$AE$4:$AE$803,0),""))</f>
        <v/>
      </c>
      <c r="AL316" s="10">
        <f>IF($AK316="","","다기관 "&amp;TEXT(INDEX(입력_파견수련계획!$AB$4:$AB$803,$AK316),"yyyy-mm-dd")&amp;"~"&amp;IF(ISNUMBER(INDEX(입력_파견수련계획!$AC$4:$AC$803,$AK316)),TEXT(INDEX(입력_파견수련계획!$AC$4:$AC$803,$AK316),"yyyy-mm-dd"),""))</f>
        <v/>
      </c>
      <c r="AM316" s="10">
        <f>IF($Y316="서울병원",COUNTIF($Y$2:$Y316,"서울병원"),"")</f>
        <v/>
      </c>
      <c r="AN316" s="10">
        <f>IF(LEFT($Y316,1)="⚠",COUNTIF($Y$2:$Y316,"⚠*"),"")</f>
        <v/>
      </c>
      <c r="AO316" s="10">
        <f>IF(OR($B316="",$Y316=""),"",IF(IF(TRIM($J316&amp;"")="",0,SUMPRODUCT((입력_파견수련계획!$Q$4:$Q$803=TRIM($J316&amp;""))*입력_파견수련계획!$AD$4:$AD$803))&gt;0,"다기관 기간 → 소속병원 지급",IF(AND(N($X316)&lt;=0,$AQ316=""),"파견 없음 → 그 달 근무병원 지급",IF($AH316+$AI316=DAY(EOMONTH(출력_요약!$B$3,0)),"서울 "&amp;$AH316&amp;"일 / 구리 "&amp;$AI316&amp;"일"&amp;IF($AQ316&lt;&gt;""," (구리 근무자명단 반영)","")&amp;" → 15일 이상 근무 병원 지급","타 병원 포함 → "&amp;IF($AJ316="","소속",INDEX(입력_파견수련계획!$T$4:$T$803,$AJ316))&amp;" 규칙"))))</f>
        <v/>
      </c>
      <c r="AP316" s="10">
        <f>IF($B316="","",$C316&amp;"|"&amp;$F316)</f>
        <v/>
      </c>
      <c r="AQ316" s="10">
        <f>IF($B316="","",IFERROR(MATCH(ROW()-1,출력_구리근무자!$K$6:$K$305,0),""))</f>
        <v/>
      </c>
      <c r="AR316" s="10">
        <f>IF($AQ316="","",INDEX(출력_구리근무자!$H$6:$H$305,$AQ316))</f>
        <v/>
      </c>
    </row>
    <row r="317">
      <c r="A317" s="10">
        <f>IF(B317="","",ROW()-1)</f>
        <v/>
      </c>
      <c r="B317" s="19" t="n"/>
      <c r="C317" s="10">
        <f>IF($AB317="","",IF(INDEX(입력_기본자료!$C$2:$C$1001,$AB317)="","",INDEX(입력_기본자료!$C$2:$C$1001,$AB317)))</f>
        <v/>
      </c>
      <c r="D317" s="10">
        <f>IF($AB317="","",IF(INDEX(입력_기본자료!$J$2:$J$1001,$AB317)="","",INDEX(입력_기본자료!$J$2:$J$1001,$AB317)))</f>
        <v/>
      </c>
      <c r="E317" s="11">
        <f>IF($AB317="","",IF(INDEX(입력_기본자료!$K$2:$K$1001,$AB317)="","",IF(NOT(ISNUMBER(INDEX(입력_기본자료!$K$2:$K$1001,$AB317))),INDEX(입력_기본자료!$K$2:$K$1001,$AB317),IF(INDEX(입력_기본자료!$K$2:$K$1001,$AB317)&lt;1000000,INDEX(입력_기본자료!$K$2:$K$1001,$AB317),IF(AND(INDEX(입력_기본자료!$K$2:$K$1001,$AB317)&gt;=10000101,INT(MOD(INDEX(입력_기본자료!$K$2:$K$1001,$AB317),10000)/100)&gt;=1,INT(MOD(INDEX(입력_기본자료!$K$2:$K$1001,$AB317),10000)/100)&lt;=12,MOD(INDEX(입력_기본자료!$K$2:$K$1001,$AB317),100)&gt;=1,MOD(INDEX(입력_기본자료!$K$2:$K$1001,$AB317),100)&lt;=31),DATE(INT(INDEX(입력_기본자료!$K$2:$K$1001,$AB317)/10000),INT(MOD(INDEX(입력_기본자료!$K$2:$K$1001,$AB317),10000)/100),MOD(INDEX(입력_기본자료!$K$2:$K$1001,$AB317),100)),INDEX(입력_기본자료!$K$2:$K$1001,$AB317)&amp;"")))))</f>
        <v/>
      </c>
      <c r="F317" s="10">
        <f>IF($AB317="","",IF(INDEX(입력_기본자료!$D$2:$D$1001,$AB317)="","",INDEX(입력_기본자료!$D$2:$D$1001,$AB317)))</f>
        <v/>
      </c>
      <c r="G317" s="10">
        <f>IF($AB317="","",IF(INDEX(입력_기본자료!$E$2:$E$1001,$AB317)="","",INDEX(입력_기본자료!$E$2:$E$1001,$AB317)))</f>
        <v/>
      </c>
      <c r="H317" s="10">
        <f>IF($AB317="","",IF(INDEX(입력_기본자료!$F$2:$F$1001,$AB317)="","",INDEX(입력_기본자료!$F$2:$F$1001,$AB317)))</f>
        <v/>
      </c>
      <c r="I317" s="11">
        <f>IF($AB317="","",IF(INDEX(입력_기본자료!$G$2:$G$1001,$AB317)="","",IF(NOT(ISNUMBER(INDEX(입력_기본자료!$G$2:$G$1001,$AB317))),INDEX(입력_기본자료!$G$2:$G$1001,$AB317),IF(INDEX(입력_기본자료!$G$2:$G$1001,$AB317)&lt;1000000,INDEX(입력_기본자료!$G$2:$G$1001,$AB317),IF(AND(INDEX(입력_기본자료!$G$2:$G$1001,$AB317)&gt;=10000101,INT(MOD(INDEX(입력_기본자료!$G$2:$G$1001,$AB317),10000)/100)&gt;=1,INT(MOD(INDEX(입력_기본자료!$G$2:$G$1001,$AB317),10000)/100)&lt;=12,MOD(INDEX(입력_기본자료!$G$2:$G$1001,$AB317),100)&gt;=1,MOD(INDEX(입력_기본자료!$G$2:$G$1001,$AB317),100)&lt;=31),DATE(INT(INDEX(입력_기본자료!$G$2:$G$1001,$AB317)/10000),INT(MOD(INDEX(입력_기본자료!$G$2:$G$1001,$AB317),10000)/100),MOD(INDEX(입력_기본자료!$G$2:$G$1001,$AB317),100)),INDEX(입력_기본자료!$G$2:$G$1001,$AB317)&amp;"")))))</f>
        <v/>
      </c>
      <c r="J317" s="10">
        <f>IF($AB317="","",IF(INDEX(입력_기본자료!$H$2:$H$1001,$AB317)="","",INDEX(입력_기본자료!$H$2:$H$1001,$AB317)))</f>
        <v/>
      </c>
      <c r="K317" s="10">
        <f>IF($AB317="","",IF(INDEX(입력_기본자료!$I$2:$I$1001,$AB317)="","",INDEX(입력_기본자료!$I$2:$I$1001,$AB317)))</f>
        <v/>
      </c>
      <c r="L317" s="10">
        <f>IF($AB317="","",IF(INDEX(입력_기본자료!$A$2:$A$1001,$AB317)="","",INDEX(입력_기본자료!$A$2:$A$1001,$AB317)))</f>
        <v/>
      </c>
      <c r="M317" s="15" t="n"/>
      <c r="N317" s="10">
        <f>IF($B317="","",IF(AND($U317="파견중",$Q317&lt;&gt;""),$Q317,IF(AND($AD317&lt;&gt;"",LEFT($AD317,1)&lt;&gt;"⚠"),LEFT($AD317,FIND(" ",$AD317)-1),IF($H317="","",IF(RIGHT($H317,2)="병원",$H317,$H317&amp;"병원")))))</f>
        <v/>
      </c>
      <c r="O317" s="10">
        <f>IF($B317="","",IF(AND($U317="파견중",$Q317&lt;&gt;""),IF($R317&lt;&gt;"",$R317,"파견과 미입력"),IF(AND($AD317&lt;&gt;"",LEFT($AD317,1)&lt;&gt;"⚠"),MID($AD317,FIND(" ",$AD317)+1,60),IF($F317="","",IF($F317="인턴","수련교육부(인턴)",$F317)))))</f>
        <v/>
      </c>
      <c r="P317" s="10">
        <f>IF($B317="","",IF($AK317&lt;&gt;"",IF(AND(TODAY()&gt;=INDEX(입력_파견수련계획!$AB$4:$AB$803,$AK317),OR(NOT(ISNUMBER(INDEX(입력_파견수련계획!$AC$4:$AC$803,$AK317))),TODAY()&lt;=INDEX(입력_파견수련계획!$AC$4:$AC$803,$AK317))),"다기관",IF($AF317="","",INDEX(입력_파견수련계획!$T$4:$T$803,$AF317))),IF($AF317="","",INDEX(입력_파견수련계획!$T$4:$T$803,$AF317))))</f>
        <v/>
      </c>
      <c r="Q317" s="10">
        <f>IF($AF317="","",INDEX(입력_파견수련계획!$S$4:$S$803,$AF317))</f>
        <v/>
      </c>
      <c r="R317" s="10">
        <f>IF($AF317="","",INDEX(입력_파견수련계획!$U$4:$U$803,$AF317))</f>
        <v/>
      </c>
      <c r="S317" s="11">
        <f>IF($AF317="","",IF(INDEX(입력_파견수련계획!$H$4:$H$803,$AF317)="","",INDEX(입력_파견수련계획!$H$4:$H$803,$AF317)))</f>
        <v/>
      </c>
      <c r="T317" s="11">
        <f>IF($AF317="","",IF(INDEX(입력_파견수련계획!$I$4:$I$803,$AF317)="","",INDEX(입력_파견수련계획!$I$4:$I$803,$AF317)))</f>
        <v/>
      </c>
      <c r="U317" s="10">
        <f>IF($AF317="","",INDEX(입력_파견수련계획!$X$4:$X$803,$AF317))</f>
        <v/>
      </c>
      <c r="V317" s="17">
        <f>IF($AF317="","",INDEX(입력_파견수련계획!$V$4:$V$803,$AF317))</f>
        <v/>
      </c>
      <c r="W317" s="17">
        <f>IF(AND($U317="파견중",$T317&lt;&gt;""),$T317-TODAY(),"")</f>
        <v/>
      </c>
      <c r="X317" s="17">
        <f>IF(OR($B317="",TRIM($J317&amp;"")=""),"",SUMPRODUCT((입력_파견수련계획!$Q$4:$Q$803=TRIM($J317&amp;""))*입력_파견수련계획!$W$4:$W$803))</f>
        <v/>
      </c>
      <c r="Y317" s="10">
        <f>IF($B317="","",IF($AG317="","",IF(IF(TRIM($J317&amp;"")="",0,SUMPRODUCT((입력_파견수련계획!$Q$4:$Q$803=TRIM($J317&amp;""))*입력_파견수련계획!$AD$4:$AD$803))&gt;0,$AE317,IF(AND(N($X317)&lt;=0,$AQ317=""),$AG317,IF($AH317+$AI317=DAY(EOMONTH(출력_요약!$B$3,0)),IF(AND($AH317&gt;=출력_요약!$E$3,$AI317&lt;출력_요약!$E$3),"서울병원",IF(AND($AI317&gt;=출력_요약!$E$3,$AH317&lt;출력_요약!$E$3),"구리병원","⚠15일 판정불가(서울 "&amp;$AH317&amp;"일/구리 "&amp;$AI317&amp;"일)")),IF($AJ317="",$AE317,IF(INDEX(입력_파견수련계획!$T$4:$T$803,$AJ317)="통합수련",INDEX(입력_파견수련계획!$S$4:$S$803,$AJ317),$AE317)))))))</f>
        <v/>
      </c>
      <c r="Z317" s="20">
        <f>IF($B317="","",IF($AB317="","기본자료에 없는 사번",IF(COUNTIF($B$2:$B$401,$B317)&gt;1,"중복 사번",IF($AE317="","소속(입사장소) 입력",IF(IF(TRIM($J317&amp;"")="",0,SUMPRODUCT((입력_파견수련계획!$Q$4:$Q$803=TRIM($J317&amp;""))*(입력_파견수련계획!$AA$4:$AA$803&lt;&gt;"")))&gt;0,"파견수련계획 입력오류 확인",IF(LEFT($Y317,1)="⚠","서울·구리 15일 판정 불가(양쪽 모두 이상/미만)",IF(IF($AC317="",0,N(INDEX(입력_인턴근무계획!$T$3:$T$402,$AC317)))&gt;0,"인턴계획 입력오류 확인",IF(AND($AQ317&lt;&gt;"",$AG317&lt;&gt;"구리병원",IF(TRIM($J317&amp;"")="",0,SUMPRODUCT((입력_파견수련계획!$Q$4:$Q$803=TRIM($J317&amp;""))*(입력_파견수련계획!$S$4:$S$803="구리병원")*입력_파견수련계획!$W$4:$W$803))=0),"구리 근무자명단에만 있음(파견수련계획 확인)",IF(AND($AC317&lt;&gt;"",$U317&lt;&gt;"파견중",$N317&lt;&gt;$AE317),"인턴 타지역 근무: 파견 여부 확인","정상")))))))))</f>
        <v/>
      </c>
      <c r="AA317" s="5" t="n"/>
      <c r="AB317" s="10">
        <f>IF($B317="","",IFERROR(MATCH($B317,입력_기본자료!$B$2:$B$1001,0),IFERROR(MATCH($B317&amp;"",입력_기본자료!$B$2:$B$1001,0),IFERROR(MATCH(VALUE($B317),입력_기본자료!$B$2:$B$1001,0),""))))</f>
        <v/>
      </c>
      <c r="AC317" s="10">
        <f>IF($B317="","",IFERROR(MATCH($B317,입력_인턴근무계획!$D$3:$D$402,0),IFERROR(MATCH($B317&amp;"",입력_인턴근무계획!$D$3:$D$402,0),IFERROR(MATCH(VALUE($B317),입력_인턴근무계획!$D$3:$D$402,0),""))))</f>
        <v/>
      </c>
      <c r="AD317" s="10">
        <f>IF(OR($AC317="",출력_인턴현황!$G$3=""),"",INDEX(입력_인턴근무계획!$M$3:$R$402,$AC317,출력_인턴현황!$G$3)&amp;"")</f>
        <v/>
      </c>
      <c r="AE317" s="10">
        <f>IF($B317="","",IF($M317&lt;&gt;"",$M317,IF(IF($AQ317="",FALSE,INDEX(출력_구리근무자!$J$6:$J$305,$AQ317)="구리독자"),"구리병원",IF($AF317&lt;&gt;"",IF(LEFT(INDEX(입력_파견수련계획!$R$4:$R$803,$AF317),1)&lt;&gt;"⚠",INDEX(입력_파견수련계획!$R$4:$R$803,$AF317),IF($H317="","",IF(RIGHT($H317,2)="병원",$H317,$H317&amp;"병원"))),IF($H317="","",IF(RIGHT($H317,2)="병원",$H317,$H317&amp;"병원"))))))</f>
        <v/>
      </c>
      <c r="AF317" s="10">
        <f>IF(OR($B317="",TRIM($J317&amp;"")=""),"",IFERROR(MATCH(TRIM($J317&amp;"")&amp;"|파견중",입력_파견수련계획!$Y$4:$Y$803,0),IFERROR(MATCH(TRIM($J317&amp;"")&amp;"|파견예정",입력_파견수련계획!$Y$4:$Y$803,0),IFERROR(MATCH(TRIM($J317&amp;"")&amp;"|파견종료",입력_파견수련계획!$Y$4:$Y$803,0),""))))</f>
        <v/>
      </c>
      <c r="AG317" s="10">
        <f>IF($B317="","",IF(AND(IF(OR($AC317="",출력_인턴현황!$K$2=""),"",INDEX(입력_인턴근무계획!$M$3:$R$402,$AC317,출력_인턴현황!$K$2)&amp;"")&lt;&gt;"",LEFT(IF(OR($AC317="",출력_인턴현황!$K$2=""),"",INDEX(입력_인턴근무계획!$M$3:$R$402,$AC317,출력_인턴현황!$K$2)&amp;""),1)&lt;&gt;"⚠"),LEFT(IF(OR($AC317="",출력_인턴현황!$K$2=""),"",INDEX(입력_인턴근무계획!$M$3:$R$402,$AC317,출력_인턴현황!$K$2)&amp;""),FIND(" ",IF(OR($AC317="",출력_인턴현황!$K$2=""),"",INDEX(입력_인턴근무계획!$M$3:$R$402,$AC317,출력_인턴현황!$K$2)&amp;""))-1),$AE317))</f>
        <v/>
      </c>
      <c r="AH317" s="17">
        <f>IF($B317="","",IF($AQ317&lt;&gt;"",MAX(0,DAY(EOMONTH(출력_요약!$B$3,0))-N($AR317)),IF(TRIM($J317&amp;"")="",0,SUMPRODUCT((입력_파견수련계획!$Q$4:$Q$803=TRIM($J317&amp;""))*(입력_파견수련계획!$S$4:$S$803="서울병원")*입력_파견수련계획!$W$4:$W$803))+IF($AG317="서울병원",MAX(0,DAY(EOMONTH(출력_요약!$B$3,0))-N($X317)),0)))</f>
        <v/>
      </c>
      <c r="AI317" s="17">
        <f>IF($B317="","",IF($AQ317&lt;&gt;"",N($AR317),IF(TRIM($J317&amp;"")="",0,SUMPRODUCT((입력_파견수련계획!$Q$4:$Q$803=TRIM($J317&amp;""))*(입력_파견수련계획!$S$4:$S$803="구리병원")*입력_파견수련계획!$W$4:$W$803))+IF($AG317="구리병원",MAX(0,DAY(EOMONTH(출력_요약!$B$3,0))-N($X317)),0)))</f>
        <v/>
      </c>
      <c r="AJ317" s="10">
        <f>IF(OR($B317="",TRIM($J317&amp;"")=""),"",IFERROR(MATCH(TRIM($J317&amp;"")&amp;"|월",입력_파견수련계획!$Z$4:$Z$803,0),""))</f>
        <v/>
      </c>
      <c r="AK317" s="10">
        <f>IF(OR($B317="",TRIM($J317&amp;"")=""),"",IFERROR(MATCH(TRIM($J317&amp;"")&amp;"|다기관",입력_파견수련계획!$AE$4:$AE$803,0),""))</f>
        <v/>
      </c>
      <c r="AL317" s="10">
        <f>IF($AK317="","","다기관 "&amp;TEXT(INDEX(입력_파견수련계획!$AB$4:$AB$803,$AK317),"yyyy-mm-dd")&amp;"~"&amp;IF(ISNUMBER(INDEX(입력_파견수련계획!$AC$4:$AC$803,$AK317)),TEXT(INDEX(입력_파견수련계획!$AC$4:$AC$803,$AK317),"yyyy-mm-dd"),""))</f>
        <v/>
      </c>
      <c r="AM317" s="10">
        <f>IF($Y317="서울병원",COUNTIF($Y$2:$Y317,"서울병원"),"")</f>
        <v/>
      </c>
      <c r="AN317" s="10">
        <f>IF(LEFT($Y317,1)="⚠",COUNTIF($Y$2:$Y317,"⚠*"),"")</f>
        <v/>
      </c>
      <c r="AO317" s="10">
        <f>IF(OR($B317="",$Y317=""),"",IF(IF(TRIM($J317&amp;"")="",0,SUMPRODUCT((입력_파견수련계획!$Q$4:$Q$803=TRIM($J317&amp;""))*입력_파견수련계획!$AD$4:$AD$803))&gt;0,"다기관 기간 → 소속병원 지급",IF(AND(N($X317)&lt;=0,$AQ317=""),"파견 없음 → 그 달 근무병원 지급",IF($AH317+$AI317=DAY(EOMONTH(출력_요약!$B$3,0)),"서울 "&amp;$AH317&amp;"일 / 구리 "&amp;$AI317&amp;"일"&amp;IF($AQ317&lt;&gt;""," (구리 근무자명단 반영)","")&amp;" → 15일 이상 근무 병원 지급","타 병원 포함 → "&amp;IF($AJ317="","소속",INDEX(입력_파견수련계획!$T$4:$T$803,$AJ317))&amp;" 규칙"))))</f>
        <v/>
      </c>
      <c r="AP317" s="10">
        <f>IF($B317="","",$C317&amp;"|"&amp;$F317)</f>
        <v/>
      </c>
      <c r="AQ317" s="10">
        <f>IF($B317="","",IFERROR(MATCH(ROW()-1,출력_구리근무자!$K$6:$K$305,0),""))</f>
        <v/>
      </c>
      <c r="AR317" s="10">
        <f>IF($AQ317="","",INDEX(출력_구리근무자!$H$6:$H$305,$AQ317))</f>
        <v/>
      </c>
    </row>
    <row r="318">
      <c r="A318" s="10">
        <f>IF(B318="","",ROW()-1)</f>
        <v/>
      </c>
      <c r="B318" s="19" t="n"/>
      <c r="C318" s="10">
        <f>IF($AB318="","",IF(INDEX(입력_기본자료!$C$2:$C$1001,$AB318)="","",INDEX(입력_기본자료!$C$2:$C$1001,$AB318)))</f>
        <v/>
      </c>
      <c r="D318" s="10">
        <f>IF($AB318="","",IF(INDEX(입력_기본자료!$J$2:$J$1001,$AB318)="","",INDEX(입력_기본자료!$J$2:$J$1001,$AB318)))</f>
        <v/>
      </c>
      <c r="E318" s="11">
        <f>IF($AB318="","",IF(INDEX(입력_기본자료!$K$2:$K$1001,$AB318)="","",IF(NOT(ISNUMBER(INDEX(입력_기본자료!$K$2:$K$1001,$AB318))),INDEX(입력_기본자료!$K$2:$K$1001,$AB318),IF(INDEX(입력_기본자료!$K$2:$K$1001,$AB318)&lt;1000000,INDEX(입력_기본자료!$K$2:$K$1001,$AB318),IF(AND(INDEX(입력_기본자료!$K$2:$K$1001,$AB318)&gt;=10000101,INT(MOD(INDEX(입력_기본자료!$K$2:$K$1001,$AB318),10000)/100)&gt;=1,INT(MOD(INDEX(입력_기본자료!$K$2:$K$1001,$AB318),10000)/100)&lt;=12,MOD(INDEX(입력_기본자료!$K$2:$K$1001,$AB318),100)&gt;=1,MOD(INDEX(입력_기본자료!$K$2:$K$1001,$AB318),100)&lt;=31),DATE(INT(INDEX(입력_기본자료!$K$2:$K$1001,$AB318)/10000),INT(MOD(INDEX(입력_기본자료!$K$2:$K$1001,$AB318),10000)/100),MOD(INDEX(입력_기본자료!$K$2:$K$1001,$AB318),100)),INDEX(입력_기본자료!$K$2:$K$1001,$AB318)&amp;"")))))</f>
        <v/>
      </c>
      <c r="F318" s="10">
        <f>IF($AB318="","",IF(INDEX(입력_기본자료!$D$2:$D$1001,$AB318)="","",INDEX(입력_기본자료!$D$2:$D$1001,$AB318)))</f>
        <v/>
      </c>
      <c r="G318" s="10">
        <f>IF($AB318="","",IF(INDEX(입력_기본자료!$E$2:$E$1001,$AB318)="","",INDEX(입력_기본자료!$E$2:$E$1001,$AB318)))</f>
        <v/>
      </c>
      <c r="H318" s="10">
        <f>IF($AB318="","",IF(INDEX(입력_기본자료!$F$2:$F$1001,$AB318)="","",INDEX(입력_기본자료!$F$2:$F$1001,$AB318)))</f>
        <v/>
      </c>
      <c r="I318" s="11">
        <f>IF($AB318="","",IF(INDEX(입력_기본자료!$G$2:$G$1001,$AB318)="","",IF(NOT(ISNUMBER(INDEX(입력_기본자료!$G$2:$G$1001,$AB318))),INDEX(입력_기본자료!$G$2:$G$1001,$AB318),IF(INDEX(입력_기본자료!$G$2:$G$1001,$AB318)&lt;1000000,INDEX(입력_기본자료!$G$2:$G$1001,$AB318),IF(AND(INDEX(입력_기본자료!$G$2:$G$1001,$AB318)&gt;=10000101,INT(MOD(INDEX(입력_기본자료!$G$2:$G$1001,$AB318),10000)/100)&gt;=1,INT(MOD(INDEX(입력_기본자료!$G$2:$G$1001,$AB318),10000)/100)&lt;=12,MOD(INDEX(입력_기본자료!$G$2:$G$1001,$AB318),100)&gt;=1,MOD(INDEX(입력_기본자료!$G$2:$G$1001,$AB318),100)&lt;=31),DATE(INT(INDEX(입력_기본자료!$G$2:$G$1001,$AB318)/10000),INT(MOD(INDEX(입력_기본자료!$G$2:$G$1001,$AB318),10000)/100),MOD(INDEX(입력_기본자료!$G$2:$G$1001,$AB318),100)),INDEX(입력_기본자료!$G$2:$G$1001,$AB318)&amp;"")))))</f>
        <v/>
      </c>
      <c r="J318" s="10">
        <f>IF($AB318="","",IF(INDEX(입력_기본자료!$H$2:$H$1001,$AB318)="","",INDEX(입력_기본자료!$H$2:$H$1001,$AB318)))</f>
        <v/>
      </c>
      <c r="K318" s="10">
        <f>IF($AB318="","",IF(INDEX(입력_기본자료!$I$2:$I$1001,$AB318)="","",INDEX(입력_기본자료!$I$2:$I$1001,$AB318)))</f>
        <v/>
      </c>
      <c r="L318" s="10">
        <f>IF($AB318="","",IF(INDEX(입력_기본자료!$A$2:$A$1001,$AB318)="","",INDEX(입력_기본자료!$A$2:$A$1001,$AB318)))</f>
        <v/>
      </c>
      <c r="M318" s="15" t="n"/>
      <c r="N318" s="10">
        <f>IF($B318="","",IF(AND($U318="파견중",$Q318&lt;&gt;""),$Q318,IF(AND($AD318&lt;&gt;"",LEFT($AD318,1)&lt;&gt;"⚠"),LEFT($AD318,FIND(" ",$AD318)-1),IF($H318="","",IF(RIGHT($H318,2)="병원",$H318,$H318&amp;"병원")))))</f>
        <v/>
      </c>
      <c r="O318" s="10">
        <f>IF($B318="","",IF(AND($U318="파견중",$Q318&lt;&gt;""),IF($R318&lt;&gt;"",$R318,"파견과 미입력"),IF(AND($AD318&lt;&gt;"",LEFT($AD318,1)&lt;&gt;"⚠"),MID($AD318,FIND(" ",$AD318)+1,60),IF($F318="","",IF($F318="인턴","수련교육부(인턴)",$F318)))))</f>
        <v/>
      </c>
      <c r="P318" s="10">
        <f>IF($B318="","",IF($AK318&lt;&gt;"",IF(AND(TODAY()&gt;=INDEX(입력_파견수련계획!$AB$4:$AB$803,$AK318),OR(NOT(ISNUMBER(INDEX(입력_파견수련계획!$AC$4:$AC$803,$AK318))),TODAY()&lt;=INDEX(입력_파견수련계획!$AC$4:$AC$803,$AK318))),"다기관",IF($AF318="","",INDEX(입력_파견수련계획!$T$4:$T$803,$AF318))),IF($AF318="","",INDEX(입력_파견수련계획!$T$4:$T$803,$AF318))))</f>
        <v/>
      </c>
      <c r="Q318" s="10">
        <f>IF($AF318="","",INDEX(입력_파견수련계획!$S$4:$S$803,$AF318))</f>
        <v/>
      </c>
      <c r="R318" s="10">
        <f>IF($AF318="","",INDEX(입력_파견수련계획!$U$4:$U$803,$AF318))</f>
        <v/>
      </c>
      <c r="S318" s="11">
        <f>IF($AF318="","",IF(INDEX(입력_파견수련계획!$H$4:$H$803,$AF318)="","",INDEX(입력_파견수련계획!$H$4:$H$803,$AF318)))</f>
        <v/>
      </c>
      <c r="T318" s="11">
        <f>IF($AF318="","",IF(INDEX(입력_파견수련계획!$I$4:$I$803,$AF318)="","",INDEX(입력_파견수련계획!$I$4:$I$803,$AF318)))</f>
        <v/>
      </c>
      <c r="U318" s="10">
        <f>IF($AF318="","",INDEX(입력_파견수련계획!$X$4:$X$803,$AF318))</f>
        <v/>
      </c>
      <c r="V318" s="17">
        <f>IF($AF318="","",INDEX(입력_파견수련계획!$V$4:$V$803,$AF318))</f>
        <v/>
      </c>
      <c r="W318" s="17">
        <f>IF(AND($U318="파견중",$T318&lt;&gt;""),$T318-TODAY(),"")</f>
        <v/>
      </c>
      <c r="X318" s="17">
        <f>IF(OR($B318="",TRIM($J318&amp;"")=""),"",SUMPRODUCT((입력_파견수련계획!$Q$4:$Q$803=TRIM($J318&amp;""))*입력_파견수련계획!$W$4:$W$803))</f>
        <v/>
      </c>
      <c r="Y318" s="10">
        <f>IF($B318="","",IF($AG318="","",IF(IF(TRIM($J318&amp;"")="",0,SUMPRODUCT((입력_파견수련계획!$Q$4:$Q$803=TRIM($J318&amp;""))*입력_파견수련계획!$AD$4:$AD$803))&gt;0,$AE318,IF(AND(N($X318)&lt;=0,$AQ318=""),$AG318,IF($AH318+$AI318=DAY(EOMONTH(출력_요약!$B$3,0)),IF(AND($AH318&gt;=출력_요약!$E$3,$AI318&lt;출력_요약!$E$3),"서울병원",IF(AND($AI318&gt;=출력_요약!$E$3,$AH318&lt;출력_요약!$E$3),"구리병원","⚠15일 판정불가(서울 "&amp;$AH318&amp;"일/구리 "&amp;$AI318&amp;"일)")),IF($AJ318="",$AE318,IF(INDEX(입력_파견수련계획!$T$4:$T$803,$AJ318)="통합수련",INDEX(입력_파견수련계획!$S$4:$S$803,$AJ318),$AE318)))))))</f>
        <v/>
      </c>
      <c r="Z318" s="20">
        <f>IF($B318="","",IF($AB318="","기본자료에 없는 사번",IF(COUNTIF($B$2:$B$401,$B318)&gt;1,"중복 사번",IF($AE318="","소속(입사장소) 입력",IF(IF(TRIM($J318&amp;"")="",0,SUMPRODUCT((입력_파견수련계획!$Q$4:$Q$803=TRIM($J318&amp;""))*(입력_파견수련계획!$AA$4:$AA$803&lt;&gt;"")))&gt;0,"파견수련계획 입력오류 확인",IF(LEFT($Y318,1)="⚠","서울·구리 15일 판정 불가(양쪽 모두 이상/미만)",IF(IF($AC318="",0,N(INDEX(입력_인턴근무계획!$T$3:$T$402,$AC318)))&gt;0,"인턴계획 입력오류 확인",IF(AND($AQ318&lt;&gt;"",$AG318&lt;&gt;"구리병원",IF(TRIM($J318&amp;"")="",0,SUMPRODUCT((입력_파견수련계획!$Q$4:$Q$803=TRIM($J318&amp;""))*(입력_파견수련계획!$S$4:$S$803="구리병원")*입력_파견수련계획!$W$4:$W$803))=0),"구리 근무자명단에만 있음(파견수련계획 확인)",IF(AND($AC318&lt;&gt;"",$U318&lt;&gt;"파견중",$N318&lt;&gt;$AE318),"인턴 타지역 근무: 파견 여부 확인","정상")))))))))</f>
        <v/>
      </c>
      <c r="AA318" s="5" t="n"/>
      <c r="AB318" s="10">
        <f>IF($B318="","",IFERROR(MATCH($B318,입력_기본자료!$B$2:$B$1001,0),IFERROR(MATCH($B318&amp;"",입력_기본자료!$B$2:$B$1001,0),IFERROR(MATCH(VALUE($B318),입력_기본자료!$B$2:$B$1001,0),""))))</f>
        <v/>
      </c>
      <c r="AC318" s="10">
        <f>IF($B318="","",IFERROR(MATCH($B318,입력_인턴근무계획!$D$3:$D$402,0),IFERROR(MATCH($B318&amp;"",입력_인턴근무계획!$D$3:$D$402,0),IFERROR(MATCH(VALUE($B318),입력_인턴근무계획!$D$3:$D$402,0),""))))</f>
        <v/>
      </c>
      <c r="AD318" s="10">
        <f>IF(OR($AC318="",출력_인턴현황!$G$3=""),"",INDEX(입력_인턴근무계획!$M$3:$R$402,$AC318,출력_인턴현황!$G$3)&amp;"")</f>
        <v/>
      </c>
      <c r="AE318" s="10">
        <f>IF($B318="","",IF($M318&lt;&gt;"",$M318,IF(IF($AQ318="",FALSE,INDEX(출력_구리근무자!$J$6:$J$305,$AQ318)="구리독자"),"구리병원",IF($AF318&lt;&gt;"",IF(LEFT(INDEX(입력_파견수련계획!$R$4:$R$803,$AF318),1)&lt;&gt;"⚠",INDEX(입력_파견수련계획!$R$4:$R$803,$AF318),IF($H318="","",IF(RIGHT($H318,2)="병원",$H318,$H318&amp;"병원"))),IF($H318="","",IF(RIGHT($H318,2)="병원",$H318,$H318&amp;"병원"))))))</f>
        <v/>
      </c>
      <c r="AF318" s="10">
        <f>IF(OR($B318="",TRIM($J318&amp;"")=""),"",IFERROR(MATCH(TRIM($J318&amp;"")&amp;"|파견중",입력_파견수련계획!$Y$4:$Y$803,0),IFERROR(MATCH(TRIM($J318&amp;"")&amp;"|파견예정",입력_파견수련계획!$Y$4:$Y$803,0),IFERROR(MATCH(TRIM($J318&amp;"")&amp;"|파견종료",입력_파견수련계획!$Y$4:$Y$803,0),""))))</f>
        <v/>
      </c>
      <c r="AG318" s="10">
        <f>IF($B318="","",IF(AND(IF(OR($AC318="",출력_인턴현황!$K$2=""),"",INDEX(입력_인턴근무계획!$M$3:$R$402,$AC318,출력_인턴현황!$K$2)&amp;"")&lt;&gt;"",LEFT(IF(OR($AC318="",출력_인턴현황!$K$2=""),"",INDEX(입력_인턴근무계획!$M$3:$R$402,$AC318,출력_인턴현황!$K$2)&amp;""),1)&lt;&gt;"⚠"),LEFT(IF(OR($AC318="",출력_인턴현황!$K$2=""),"",INDEX(입력_인턴근무계획!$M$3:$R$402,$AC318,출력_인턴현황!$K$2)&amp;""),FIND(" ",IF(OR($AC318="",출력_인턴현황!$K$2=""),"",INDEX(입력_인턴근무계획!$M$3:$R$402,$AC318,출력_인턴현황!$K$2)&amp;""))-1),$AE318))</f>
        <v/>
      </c>
      <c r="AH318" s="17">
        <f>IF($B318="","",IF($AQ318&lt;&gt;"",MAX(0,DAY(EOMONTH(출력_요약!$B$3,0))-N($AR318)),IF(TRIM($J318&amp;"")="",0,SUMPRODUCT((입력_파견수련계획!$Q$4:$Q$803=TRIM($J318&amp;""))*(입력_파견수련계획!$S$4:$S$803="서울병원")*입력_파견수련계획!$W$4:$W$803))+IF($AG318="서울병원",MAX(0,DAY(EOMONTH(출력_요약!$B$3,0))-N($X318)),0)))</f>
        <v/>
      </c>
      <c r="AI318" s="17">
        <f>IF($B318="","",IF($AQ318&lt;&gt;"",N($AR318),IF(TRIM($J318&amp;"")="",0,SUMPRODUCT((입력_파견수련계획!$Q$4:$Q$803=TRIM($J318&amp;""))*(입력_파견수련계획!$S$4:$S$803="구리병원")*입력_파견수련계획!$W$4:$W$803))+IF($AG318="구리병원",MAX(0,DAY(EOMONTH(출력_요약!$B$3,0))-N($X318)),0)))</f>
        <v/>
      </c>
      <c r="AJ318" s="10">
        <f>IF(OR($B318="",TRIM($J318&amp;"")=""),"",IFERROR(MATCH(TRIM($J318&amp;"")&amp;"|월",입력_파견수련계획!$Z$4:$Z$803,0),""))</f>
        <v/>
      </c>
      <c r="AK318" s="10">
        <f>IF(OR($B318="",TRIM($J318&amp;"")=""),"",IFERROR(MATCH(TRIM($J318&amp;"")&amp;"|다기관",입력_파견수련계획!$AE$4:$AE$803,0),""))</f>
        <v/>
      </c>
      <c r="AL318" s="10">
        <f>IF($AK318="","","다기관 "&amp;TEXT(INDEX(입력_파견수련계획!$AB$4:$AB$803,$AK318),"yyyy-mm-dd")&amp;"~"&amp;IF(ISNUMBER(INDEX(입력_파견수련계획!$AC$4:$AC$803,$AK318)),TEXT(INDEX(입력_파견수련계획!$AC$4:$AC$803,$AK318),"yyyy-mm-dd"),""))</f>
        <v/>
      </c>
      <c r="AM318" s="10">
        <f>IF($Y318="서울병원",COUNTIF($Y$2:$Y318,"서울병원"),"")</f>
        <v/>
      </c>
      <c r="AN318" s="10">
        <f>IF(LEFT($Y318,1)="⚠",COUNTIF($Y$2:$Y318,"⚠*"),"")</f>
        <v/>
      </c>
      <c r="AO318" s="10">
        <f>IF(OR($B318="",$Y318=""),"",IF(IF(TRIM($J318&amp;"")="",0,SUMPRODUCT((입력_파견수련계획!$Q$4:$Q$803=TRIM($J318&amp;""))*입력_파견수련계획!$AD$4:$AD$803))&gt;0,"다기관 기간 → 소속병원 지급",IF(AND(N($X318)&lt;=0,$AQ318=""),"파견 없음 → 그 달 근무병원 지급",IF($AH318+$AI318=DAY(EOMONTH(출력_요약!$B$3,0)),"서울 "&amp;$AH318&amp;"일 / 구리 "&amp;$AI318&amp;"일"&amp;IF($AQ318&lt;&gt;""," (구리 근무자명단 반영)","")&amp;" → 15일 이상 근무 병원 지급","타 병원 포함 → "&amp;IF($AJ318="","소속",INDEX(입력_파견수련계획!$T$4:$T$803,$AJ318))&amp;" 규칙"))))</f>
        <v/>
      </c>
      <c r="AP318" s="10">
        <f>IF($B318="","",$C318&amp;"|"&amp;$F318)</f>
        <v/>
      </c>
      <c r="AQ318" s="10">
        <f>IF($B318="","",IFERROR(MATCH(ROW()-1,출력_구리근무자!$K$6:$K$305,0),""))</f>
        <v/>
      </c>
      <c r="AR318" s="10">
        <f>IF($AQ318="","",INDEX(출력_구리근무자!$H$6:$H$305,$AQ318))</f>
        <v/>
      </c>
    </row>
    <row r="319">
      <c r="A319" s="10">
        <f>IF(B319="","",ROW()-1)</f>
        <v/>
      </c>
      <c r="B319" s="19" t="n"/>
      <c r="C319" s="10">
        <f>IF($AB319="","",IF(INDEX(입력_기본자료!$C$2:$C$1001,$AB319)="","",INDEX(입력_기본자료!$C$2:$C$1001,$AB319)))</f>
        <v/>
      </c>
      <c r="D319" s="10">
        <f>IF($AB319="","",IF(INDEX(입력_기본자료!$J$2:$J$1001,$AB319)="","",INDEX(입력_기본자료!$J$2:$J$1001,$AB319)))</f>
        <v/>
      </c>
      <c r="E319" s="11">
        <f>IF($AB319="","",IF(INDEX(입력_기본자료!$K$2:$K$1001,$AB319)="","",IF(NOT(ISNUMBER(INDEX(입력_기본자료!$K$2:$K$1001,$AB319))),INDEX(입력_기본자료!$K$2:$K$1001,$AB319),IF(INDEX(입력_기본자료!$K$2:$K$1001,$AB319)&lt;1000000,INDEX(입력_기본자료!$K$2:$K$1001,$AB319),IF(AND(INDEX(입력_기본자료!$K$2:$K$1001,$AB319)&gt;=10000101,INT(MOD(INDEX(입력_기본자료!$K$2:$K$1001,$AB319),10000)/100)&gt;=1,INT(MOD(INDEX(입력_기본자료!$K$2:$K$1001,$AB319),10000)/100)&lt;=12,MOD(INDEX(입력_기본자료!$K$2:$K$1001,$AB319),100)&gt;=1,MOD(INDEX(입력_기본자료!$K$2:$K$1001,$AB319),100)&lt;=31),DATE(INT(INDEX(입력_기본자료!$K$2:$K$1001,$AB319)/10000),INT(MOD(INDEX(입력_기본자료!$K$2:$K$1001,$AB319),10000)/100),MOD(INDEX(입력_기본자료!$K$2:$K$1001,$AB319),100)),INDEX(입력_기본자료!$K$2:$K$1001,$AB319)&amp;"")))))</f>
        <v/>
      </c>
      <c r="F319" s="10">
        <f>IF($AB319="","",IF(INDEX(입력_기본자료!$D$2:$D$1001,$AB319)="","",INDEX(입력_기본자료!$D$2:$D$1001,$AB319)))</f>
        <v/>
      </c>
      <c r="G319" s="10">
        <f>IF($AB319="","",IF(INDEX(입력_기본자료!$E$2:$E$1001,$AB319)="","",INDEX(입력_기본자료!$E$2:$E$1001,$AB319)))</f>
        <v/>
      </c>
      <c r="H319" s="10">
        <f>IF($AB319="","",IF(INDEX(입력_기본자료!$F$2:$F$1001,$AB319)="","",INDEX(입력_기본자료!$F$2:$F$1001,$AB319)))</f>
        <v/>
      </c>
      <c r="I319" s="11">
        <f>IF($AB319="","",IF(INDEX(입력_기본자료!$G$2:$G$1001,$AB319)="","",IF(NOT(ISNUMBER(INDEX(입력_기본자료!$G$2:$G$1001,$AB319))),INDEX(입력_기본자료!$G$2:$G$1001,$AB319),IF(INDEX(입력_기본자료!$G$2:$G$1001,$AB319)&lt;1000000,INDEX(입력_기본자료!$G$2:$G$1001,$AB319),IF(AND(INDEX(입력_기본자료!$G$2:$G$1001,$AB319)&gt;=10000101,INT(MOD(INDEX(입력_기본자료!$G$2:$G$1001,$AB319),10000)/100)&gt;=1,INT(MOD(INDEX(입력_기본자료!$G$2:$G$1001,$AB319),10000)/100)&lt;=12,MOD(INDEX(입력_기본자료!$G$2:$G$1001,$AB319),100)&gt;=1,MOD(INDEX(입력_기본자료!$G$2:$G$1001,$AB319),100)&lt;=31),DATE(INT(INDEX(입력_기본자료!$G$2:$G$1001,$AB319)/10000),INT(MOD(INDEX(입력_기본자료!$G$2:$G$1001,$AB319),10000)/100),MOD(INDEX(입력_기본자료!$G$2:$G$1001,$AB319),100)),INDEX(입력_기본자료!$G$2:$G$1001,$AB319)&amp;"")))))</f>
        <v/>
      </c>
      <c r="J319" s="10">
        <f>IF($AB319="","",IF(INDEX(입력_기본자료!$H$2:$H$1001,$AB319)="","",INDEX(입력_기본자료!$H$2:$H$1001,$AB319)))</f>
        <v/>
      </c>
      <c r="K319" s="10">
        <f>IF($AB319="","",IF(INDEX(입력_기본자료!$I$2:$I$1001,$AB319)="","",INDEX(입력_기본자료!$I$2:$I$1001,$AB319)))</f>
        <v/>
      </c>
      <c r="L319" s="10">
        <f>IF($AB319="","",IF(INDEX(입력_기본자료!$A$2:$A$1001,$AB319)="","",INDEX(입력_기본자료!$A$2:$A$1001,$AB319)))</f>
        <v/>
      </c>
      <c r="M319" s="15" t="n"/>
      <c r="N319" s="10">
        <f>IF($B319="","",IF(AND($U319="파견중",$Q319&lt;&gt;""),$Q319,IF(AND($AD319&lt;&gt;"",LEFT($AD319,1)&lt;&gt;"⚠"),LEFT($AD319,FIND(" ",$AD319)-1),IF($H319="","",IF(RIGHT($H319,2)="병원",$H319,$H319&amp;"병원")))))</f>
        <v/>
      </c>
      <c r="O319" s="10">
        <f>IF($B319="","",IF(AND($U319="파견중",$Q319&lt;&gt;""),IF($R319&lt;&gt;"",$R319,"파견과 미입력"),IF(AND($AD319&lt;&gt;"",LEFT($AD319,1)&lt;&gt;"⚠"),MID($AD319,FIND(" ",$AD319)+1,60),IF($F319="","",IF($F319="인턴","수련교육부(인턴)",$F319)))))</f>
        <v/>
      </c>
      <c r="P319" s="10">
        <f>IF($B319="","",IF($AK319&lt;&gt;"",IF(AND(TODAY()&gt;=INDEX(입력_파견수련계획!$AB$4:$AB$803,$AK319),OR(NOT(ISNUMBER(INDEX(입력_파견수련계획!$AC$4:$AC$803,$AK319))),TODAY()&lt;=INDEX(입력_파견수련계획!$AC$4:$AC$803,$AK319))),"다기관",IF($AF319="","",INDEX(입력_파견수련계획!$T$4:$T$803,$AF319))),IF($AF319="","",INDEX(입력_파견수련계획!$T$4:$T$803,$AF319))))</f>
        <v/>
      </c>
      <c r="Q319" s="10">
        <f>IF($AF319="","",INDEX(입력_파견수련계획!$S$4:$S$803,$AF319))</f>
        <v/>
      </c>
      <c r="R319" s="10">
        <f>IF($AF319="","",INDEX(입력_파견수련계획!$U$4:$U$803,$AF319))</f>
        <v/>
      </c>
      <c r="S319" s="11">
        <f>IF($AF319="","",IF(INDEX(입력_파견수련계획!$H$4:$H$803,$AF319)="","",INDEX(입력_파견수련계획!$H$4:$H$803,$AF319)))</f>
        <v/>
      </c>
      <c r="T319" s="11">
        <f>IF($AF319="","",IF(INDEX(입력_파견수련계획!$I$4:$I$803,$AF319)="","",INDEX(입력_파견수련계획!$I$4:$I$803,$AF319)))</f>
        <v/>
      </c>
      <c r="U319" s="10">
        <f>IF($AF319="","",INDEX(입력_파견수련계획!$X$4:$X$803,$AF319))</f>
        <v/>
      </c>
      <c r="V319" s="17">
        <f>IF($AF319="","",INDEX(입력_파견수련계획!$V$4:$V$803,$AF319))</f>
        <v/>
      </c>
      <c r="W319" s="17">
        <f>IF(AND($U319="파견중",$T319&lt;&gt;""),$T319-TODAY(),"")</f>
        <v/>
      </c>
      <c r="X319" s="17">
        <f>IF(OR($B319="",TRIM($J319&amp;"")=""),"",SUMPRODUCT((입력_파견수련계획!$Q$4:$Q$803=TRIM($J319&amp;""))*입력_파견수련계획!$W$4:$W$803))</f>
        <v/>
      </c>
      <c r="Y319" s="10">
        <f>IF($B319="","",IF($AG319="","",IF(IF(TRIM($J319&amp;"")="",0,SUMPRODUCT((입력_파견수련계획!$Q$4:$Q$803=TRIM($J319&amp;""))*입력_파견수련계획!$AD$4:$AD$803))&gt;0,$AE319,IF(AND(N($X319)&lt;=0,$AQ319=""),$AG319,IF($AH319+$AI319=DAY(EOMONTH(출력_요약!$B$3,0)),IF(AND($AH319&gt;=출력_요약!$E$3,$AI319&lt;출력_요약!$E$3),"서울병원",IF(AND($AI319&gt;=출력_요약!$E$3,$AH319&lt;출력_요약!$E$3),"구리병원","⚠15일 판정불가(서울 "&amp;$AH319&amp;"일/구리 "&amp;$AI319&amp;"일)")),IF($AJ319="",$AE319,IF(INDEX(입력_파견수련계획!$T$4:$T$803,$AJ319)="통합수련",INDEX(입력_파견수련계획!$S$4:$S$803,$AJ319),$AE319)))))))</f>
        <v/>
      </c>
      <c r="Z319" s="20">
        <f>IF($B319="","",IF($AB319="","기본자료에 없는 사번",IF(COUNTIF($B$2:$B$401,$B319)&gt;1,"중복 사번",IF($AE319="","소속(입사장소) 입력",IF(IF(TRIM($J319&amp;"")="",0,SUMPRODUCT((입력_파견수련계획!$Q$4:$Q$803=TRIM($J319&amp;""))*(입력_파견수련계획!$AA$4:$AA$803&lt;&gt;"")))&gt;0,"파견수련계획 입력오류 확인",IF(LEFT($Y319,1)="⚠","서울·구리 15일 판정 불가(양쪽 모두 이상/미만)",IF(IF($AC319="",0,N(INDEX(입력_인턴근무계획!$T$3:$T$402,$AC319)))&gt;0,"인턴계획 입력오류 확인",IF(AND($AQ319&lt;&gt;"",$AG319&lt;&gt;"구리병원",IF(TRIM($J319&amp;"")="",0,SUMPRODUCT((입력_파견수련계획!$Q$4:$Q$803=TRIM($J319&amp;""))*(입력_파견수련계획!$S$4:$S$803="구리병원")*입력_파견수련계획!$W$4:$W$803))=0),"구리 근무자명단에만 있음(파견수련계획 확인)",IF(AND($AC319&lt;&gt;"",$U319&lt;&gt;"파견중",$N319&lt;&gt;$AE319),"인턴 타지역 근무: 파견 여부 확인","정상")))))))))</f>
        <v/>
      </c>
      <c r="AA319" s="5" t="n"/>
      <c r="AB319" s="10">
        <f>IF($B319="","",IFERROR(MATCH($B319,입력_기본자료!$B$2:$B$1001,0),IFERROR(MATCH($B319&amp;"",입력_기본자료!$B$2:$B$1001,0),IFERROR(MATCH(VALUE($B319),입력_기본자료!$B$2:$B$1001,0),""))))</f>
        <v/>
      </c>
      <c r="AC319" s="10">
        <f>IF($B319="","",IFERROR(MATCH($B319,입력_인턴근무계획!$D$3:$D$402,0),IFERROR(MATCH($B319&amp;"",입력_인턴근무계획!$D$3:$D$402,0),IFERROR(MATCH(VALUE($B319),입력_인턴근무계획!$D$3:$D$402,0),""))))</f>
        <v/>
      </c>
      <c r="AD319" s="10">
        <f>IF(OR($AC319="",출력_인턴현황!$G$3=""),"",INDEX(입력_인턴근무계획!$M$3:$R$402,$AC319,출력_인턴현황!$G$3)&amp;"")</f>
        <v/>
      </c>
      <c r="AE319" s="10">
        <f>IF($B319="","",IF($M319&lt;&gt;"",$M319,IF(IF($AQ319="",FALSE,INDEX(출력_구리근무자!$J$6:$J$305,$AQ319)="구리독자"),"구리병원",IF($AF319&lt;&gt;"",IF(LEFT(INDEX(입력_파견수련계획!$R$4:$R$803,$AF319),1)&lt;&gt;"⚠",INDEX(입력_파견수련계획!$R$4:$R$803,$AF319),IF($H319="","",IF(RIGHT($H319,2)="병원",$H319,$H319&amp;"병원"))),IF($H319="","",IF(RIGHT($H319,2)="병원",$H319,$H319&amp;"병원"))))))</f>
        <v/>
      </c>
      <c r="AF319" s="10">
        <f>IF(OR($B319="",TRIM($J319&amp;"")=""),"",IFERROR(MATCH(TRIM($J319&amp;"")&amp;"|파견중",입력_파견수련계획!$Y$4:$Y$803,0),IFERROR(MATCH(TRIM($J319&amp;"")&amp;"|파견예정",입력_파견수련계획!$Y$4:$Y$803,0),IFERROR(MATCH(TRIM($J319&amp;"")&amp;"|파견종료",입력_파견수련계획!$Y$4:$Y$803,0),""))))</f>
        <v/>
      </c>
      <c r="AG319" s="10">
        <f>IF($B319="","",IF(AND(IF(OR($AC319="",출력_인턴현황!$K$2=""),"",INDEX(입력_인턴근무계획!$M$3:$R$402,$AC319,출력_인턴현황!$K$2)&amp;"")&lt;&gt;"",LEFT(IF(OR($AC319="",출력_인턴현황!$K$2=""),"",INDEX(입력_인턴근무계획!$M$3:$R$402,$AC319,출력_인턴현황!$K$2)&amp;""),1)&lt;&gt;"⚠"),LEFT(IF(OR($AC319="",출력_인턴현황!$K$2=""),"",INDEX(입력_인턴근무계획!$M$3:$R$402,$AC319,출력_인턴현황!$K$2)&amp;""),FIND(" ",IF(OR($AC319="",출력_인턴현황!$K$2=""),"",INDEX(입력_인턴근무계획!$M$3:$R$402,$AC319,출력_인턴현황!$K$2)&amp;""))-1),$AE319))</f>
        <v/>
      </c>
      <c r="AH319" s="17">
        <f>IF($B319="","",IF($AQ319&lt;&gt;"",MAX(0,DAY(EOMONTH(출력_요약!$B$3,0))-N($AR319)),IF(TRIM($J319&amp;"")="",0,SUMPRODUCT((입력_파견수련계획!$Q$4:$Q$803=TRIM($J319&amp;""))*(입력_파견수련계획!$S$4:$S$803="서울병원")*입력_파견수련계획!$W$4:$W$803))+IF($AG319="서울병원",MAX(0,DAY(EOMONTH(출력_요약!$B$3,0))-N($X319)),0)))</f>
        <v/>
      </c>
      <c r="AI319" s="17">
        <f>IF($B319="","",IF($AQ319&lt;&gt;"",N($AR319),IF(TRIM($J319&amp;"")="",0,SUMPRODUCT((입력_파견수련계획!$Q$4:$Q$803=TRIM($J319&amp;""))*(입력_파견수련계획!$S$4:$S$803="구리병원")*입력_파견수련계획!$W$4:$W$803))+IF($AG319="구리병원",MAX(0,DAY(EOMONTH(출력_요약!$B$3,0))-N($X319)),0)))</f>
        <v/>
      </c>
      <c r="AJ319" s="10">
        <f>IF(OR($B319="",TRIM($J319&amp;"")=""),"",IFERROR(MATCH(TRIM($J319&amp;"")&amp;"|월",입력_파견수련계획!$Z$4:$Z$803,0),""))</f>
        <v/>
      </c>
      <c r="AK319" s="10">
        <f>IF(OR($B319="",TRIM($J319&amp;"")=""),"",IFERROR(MATCH(TRIM($J319&amp;"")&amp;"|다기관",입력_파견수련계획!$AE$4:$AE$803,0),""))</f>
        <v/>
      </c>
      <c r="AL319" s="10">
        <f>IF($AK319="","","다기관 "&amp;TEXT(INDEX(입력_파견수련계획!$AB$4:$AB$803,$AK319),"yyyy-mm-dd")&amp;"~"&amp;IF(ISNUMBER(INDEX(입력_파견수련계획!$AC$4:$AC$803,$AK319)),TEXT(INDEX(입력_파견수련계획!$AC$4:$AC$803,$AK319),"yyyy-mm-dd"),""))</f>
        <v/>
      </c>
      <c r="AM319" s="10">
        <f>IF($Y319="서울병원",COUNTIF($Y$2:$Y319,"서울병원"),"")</f>
        <v/>
      </c>
      <c r="AN319" s="10">
        <f>IF(LEFT($Y319,1)="⚠",COUNTIF($Y$2:$Y319,"⚠*"),"")</f>
        <v/>
      </c>
      <c r="AO319" s="10">
        <f>IF(OR($B319="",$Y319=""),"",IF(IF(TRIM($J319&amp;"")="",0,SUMPRODUCT((입력_파견수련계획!$Q$4:$Q$803=TRIM($J319&amp;""))*입력_파견수련계획!$AD$4:$AD$803))&gt;0,"다기관 기간 → 소속병원 지급",IF(AND(N($X319)&lt;=0,$AQ319=""),"파견 없음 → 그 달 근무병원 지급",IF($AH319+$AI319=DAY(EOMONTH(출력_요약!$B$3,0)),"서울 "&amp;$AH319&amp;"일 / 구리 "&amp;$AI319&amp;"일"&amp;IF($AQ319&lt;&gt;""," (구리 근무자명단 반영)","")&amp;" → 15일 이상 근무 병원 지급","타 병원 포함 → "&amp;IF($AJ319="","소속",INDEX(입력_파견수련계획!$T$4:$T$803,$AJ319))&amp;" 규칙"))))</f>
        <v/>
      </c>
      <c r="AP319" s="10">
        <f>IF($B319="","",$C319&amp;"|"&amp;$F319)</f>
        <v/>
      </c>
      <c r="AQ319" s="10">
        <f>IF($B319="","",IFERROR(MATCH(ROW()-1,출력_구리근무자!$K$6:$K$305,0),""))</f>
        <v/>
      </c>
      <c r="AR319" s="10">
        <f>IF($AQ319="","",INDEX(출력_구리근무자!$H$6:$H$305,$AQ319))</f>
        <v/>
      </c>
    </row>
    <row r="320">
      <c r="A320" s="10">
        <f>IF(B320="","",ROW()-1)</f>
        <v/>
      </c>
      <c r="B320" s="19" t="n"/>
      <c r="C320" s="10">
        <f>IF($AB320="","",IF(INDEX(입력_기본자료!$C$2:$C$1001,$AB320)="","",INDEX(입력_기본자료!$C$2:$C$1001,$AB320)))</f>
        <v/>
      </c>
      <c r="D320" s="10">
        <f>IF($AB320="","",IF(INDEX(입력_기본자료!$J$2:$J$1001,$AB320)="","",INDEX(입력_기본자료!$J$2:$J$1001,$AB320)))</f>
        <v/>
      </c>
      <c r="E320" s="11">
        <f>IF($AB320="","",IF(INDEX(입력_기본자료!$K$2:$K$1001,$AB320)="","",IF(NOT(ISNUMBER(INDEX(입력_기본자료!$K$2:$K$1001,$AB320))),INDEX(입력_기본자료!$K$2:$K$1001,$AB320),IF(INDEX(입력_기본자료!$K$2:$K$1001,$AB320)&lt;1000000,INDEX(입력_기본자료!$K$2:$K$1001,$AB320),IF(AND(INDEX(입력_기본자료!$K$2:$K$1001,$AB320)&gt;=10000101,INT(MOD(INDEX(입력_기본자료!$K$2:$K$1001,$AB320),10000)/100)&gt;=1,INT(MOD(INDEX(입력_기본자료!$K$2:$K$1001,$AB320),10000)/100)&lt;=12,MOD(INDEX(입력_기본자료!$K$2:$K$1001,$AB320),100)&gt;=1,MOD(INDEX(입력_기본자료!$K$2:$K$1001,$AB320),100)&lt;=31),DATE(INT(INDEX(입력_기본자료!$K$2:$K$1001,$AB320)/10000),INT(MOD(INDEX(입력_기본자료!$K$2:$K$1001,$AB320),10000)/100),MOD(INDEX(입력_기본자료!$K$2:$K$1001,$AB320),100)),INDEX(입력_기본자료!$K$2:$K$1001,$AB320)&amp;"")))))</f>
        <v/>
      </c>
      <c r="F320" s="10">
        <f>IF($AB320="","",IF(INDEX(입력_기본자료!$D$2:$D$1001,$AB320)="","",INDEX(입력_기본자료!$D$2:$D$1001,$AB320)))</f>
        <v/>
      </c>
      <c r="G320" s="10">
        <f>IF($AB320="","",IF(INDEX(입력_기본자료!$E$2:$E$1001,$AB320)="","",INDEX(입력_기본자료!$E$2:$E$1001,$AB320)))</f>
        <v/>
      </c>
      <c r="H320" s="10">
        <f>IF($AB320="","",IF(INDEX(입력_기본자료!$F$2:$F$1001,$AB320)="","",INDEX(입력_기본자료!$F$2:$F$1001,$AB320)))</f>
        <v/>
      </c>
      <c r="I320" s="11">
        <f>IF($AB320="","",IF(INDEX(입력_기본자료!$G$2:$G$1001,$AB320)="","",IF(NOT(ISNUMBER(INDEX(입력_기본자료!$G$2:$G$1001,$AB320))),INDEX(입력_기본자료!$G$2:$G$1001,$AB320),IF(INDEX(입력_기본자료!$G$2:$G$1001,$AB320)&lt;1000000,INDEX(입력_기본자료!$G$2:$G$1001,$AB320),IF(AND(INDEX(입력_기본자료!$G$2:$G$1001,$AB320)&gt;=10000101,INT(MOD(INDEX(입력_기본자료!$G$2:$G$1001,$AB320),10000)/100)&gt;=1,INT(MOD(INDEX(입력_기본자료!$G$2:$G$1001,$AB320),10000)/100)&lt;=12,MOD(INDEX(입력_기본자료!$G$2:$G$1001,$AB320),100)&gt;=1,MOD(INDEX(입력_기본자료!$G$2:$G$1001,$AB320),100)&lt;=31),DATE(INT(INDEX(입력_기본자료!$G$2:$G$1001,$AB320)/10000),INT(MOD(INDEX(입력_기본자료!$G$2:$G$1001,$AB320),10000)/100),MOD(INDEX(입력_기본자료!$G$2:$G$1001,$AB320),100)),INDEX(입력_기본자료!$G$2:$G$1001,$AB320)&amp;"")))))</f>
        <v/>
      </c>
      <c r="J320" s="10">
        <f>IF($AB320="","",IF(INDEX(입력_기본자료!$H$2:$H$1001,$AB320)="","",INDEX(입력_기본자료!$H$2:$H$1001,$AB320)))</f>
        <v/>
      </c>
      <c r="K320" s="10">
        <f>IF($AB320="","",IF(INDEX(입력_기본자료!$I$2:$I$1001,$AB320)="","",INDEX(입력_기본자료!$I$2:$I$1001,$AB320)))</f>
        <v/>
      </c>
      <c r="L320" s="10">
        <f>IF($AB320="","",IF(INDEX(입력_기본자료!$A$2:$A$1001,$AB320)="","",INDEX(입력_기본자료!$A$2:$A$1001,$AB320)))</f>
        <v/>
      </c>
      <c r="M320" s="15" t="n"/>
      <c r="N320" s="10">
        <f>IF($B320="","",IF(AND($U320="파견중",$Q320&lt;&gt;""),$Q320,IF(AND($AD320&lt;&gt;"",LEFT($AD320,1)&lt;&gt;"⚠"),LEFT($AD320,FIND(" ",$AD320)-1),IF($H320="","",IF(RIGHT($H320,2)="병원",$H320,$H320&amp;"병원")))))</f>
        <v/>
      </c>
      <c r="O320" s="10">
        <f>IF($B320="","",IF(AND($U320="파견중",$Q320&lt;&gt;""),IF($R320&lt;&gt;"",$R320,"파견과 미입력"),IF(AND($AD320&lt;&gt;"",LEFT($AD320,1)&lt;&gt;"⚠"),MID($AD320,FIND(" ",$AD320)+1,60),IF($F320="","",IF($F320="인턴","수련교육부(인턴)",$F320)))))</f>
        <v/>
      </c>
      <c r="P320" s="10">
        <f>IF($B320="","",IF($AK320&lt;&gt;"",IF(AND(TODAY()&gt;=INDEX(입력_파견수련계획!$AB$4:$AB$803,$AK320),OR(NOT(ISNUMBER(INDEX(입력_파견수련계획!$AC$4:$AC$803,$AK320))),TODAY()&lt;=INDEX(입력_파견수련계획!$AC$4:$AC$803,$AK320))),"다기관",IF($AF320="","",INDEX(입력_파견수련계획!$T$4:$T$803,$AF320))),IF($AF320="","",INDEX(입력_파견수련계획!$T$4:$T$803,$AF320))))</f>
        <v/>
      </c>
      <c r="Q320" s="10">
        <f>IF($AF320="","",INDEX(입력_파견수련계획!$S$4:$S$803,$AF320))</f>
        <v/>
      </c>
      <c r="R320" s="10">
        <f>IF($AF320="","",INDEX(입력_파견수련계획!$U$4:$U$803,$AF320))</f>
        <v/>
      </c>
      <c r="S320" s="11">
        <f>IF($AF320="","",IF(INDEX(입력_파견수련계획!$H$4:$H$803,$AF320)="","",INDEX(입력_파견수련계획!$H$4:$H$803,$AF320)))</f>
        <v/>
      </c>
      <c r="T320" s="11">
        <f>IF($AF320="","",IF(INDEX(입력_파견수련계획!$I$4:$I$803,$AF320)="","",INDEX(입력_파견수련계획!$I$4:$I$803,$AF320)))</f>
        <v/>
      </c>
      <c r="U320" s="10">
        <f>IF($AF320="","",INDEX(입력_파견수련계획!$X$4:$X$803,$AF320))</f>
        <v/>
      </c>
      <c r="V320" s="17">
        <f>IF($AF320="","",INDEX(입력_파견수련계획!$V$4:$V$803,$AF320))</f>
        <v/>
      </c>
      <c r="W320" s="17">
        <f>IF(AND($U320="파견중",$T320&lt;&gt;""),$T320-TODAY(),"")</f>
        <v/>
      </c>
      <c r="X320" s="17">
        <f>IF(OR($B320="",TRIM($J320&amp;"")=""),"",SUMPRODUCT((입력_파견수련계획!$Q$4:$Q$803=TRIM($J320&amp;""))*입력_파견수련계획!$W$4:$W$803))</f>
        <v/>
      </c>
      <c r="Y320" s="10">
        <f>IF($B320="","",IF($AG320="","",IF(IF(TRIM($J320&amp;"")="",0,SUMPRODUCT((입력_파견수련계획!$Q$4:$Q$803=TRIM($J320&amp;""))*입력_파견수련계획!$AD$4:$AD$803))&gt;0,$AE320,IF(AND(N($X320)&lt;=0,$AQ320=""),$AG320,IF($AH320+$AI320=DAY(EOMONTH(출력_요약!$B$3,0)),IF(AND($AH320&gt;=출력_요약!$E$3,$AI320&lt;출력_요약!$E$3),"서울병원",IF(AND($AI320&gt;=출력_요약!$E$3,$AH320&lt;출력_요약!$E$3),"구리병원","⚠15일 판정불가(서울 "&amp;$AH320&amp;"일/구리 "&amp;$AI320&amp;"일)")),IF($AJ320="",$AE320,IF(INDEX(입력_파견수련계획!$T$4:$T$803,$AJ320)="통합수련",INDEX(입력_파견수련계획!$S$4:$S$803,$AJ320),$AE320)))))))</f>
        <v/>
      </c>
      <c r="Z320" s="20">
        <f>IF($B320="","",IF($AB320="","기본자료에 없는 사번",IF(COUNTIF($B$2:$B$401,$B320)&gt;1,"중복 사번",IF($AE320="","소속(입사장소) 입력",IF(IF(TRIM($J320&amp;"")="",0,SUMPRODUCT((입력_파견수련계획!$Q$4:$Q$803=TRIM($J320&amp;""))*(입력_파견수련계획!$AA$4:$AA$803&lt;&gt;"")))&gt;0,"파견수련계획 입력오류 확인",IF(LEFT($Y320,1)="⚠","서울·구리 15일 판정 불가(양쪽 모두 이상/미만)",IF(IF($AC320="",0,N(INDEX(입력_인턴근무계획!$T$3:$T$402,$AC320)))&gt;0,"인턴계획 입력오류 확인",IF(AND($AQ320&lt;&gt;"",$AG320&lt;&gt;"구리병원",IF(TRIM($J320&amp;"")="",0,SUMPRODUCT((입력_파견수련계획!$Q$4:$Q$803=TRIM($J320&amp;""))*(입력_파견수련계획!$S$4:$S$803="구리병원")*입력_파견수련계획!$W$4:$W$803))=0),"구리 근무자명단에만 있음(파견수련계획 확인)",IF(AND($AC320&lt;&gt;"",$U320&lt;&gt;"파견중",$N320&lt;&gt;$AE320),"인턴 타지역 근무: 파견 여부 확인","정상")))))))))</f>
        <v/>
      </c>
      <c r="AA320" s="5" t="n"/>
      <c r="AB320" s="10">
        <f>IF($B320="","",IFERROR(MATCH($B320,입력_기본자료!$B$2:$B$1001,0),IFERROR(MATCH($B320&amp;"",입력_기본자료!$B$2:$B$1001,0),IFERROR(MATCH(VALUE($B320),입력_기본자료!$B$2:$B$1001,0),""))))</f>
        <v/>
      </c>
      <c r="AC320" s="10">
        <f>IF($B320="","",IFERROR(MATCH($B320,입력_인턴근무계획!$D$3:$D$402,0),IFERROR(MATCH($B320&amp;"",입력_인턴근무계획!$D$3:$D$402,0),IFERROR(MATCH(VALUE($B320),입력_인턴근무계획!$D$3:$D$402,0),""))))</f>
        <v/>
      </c>
      <c r="AD320" s="10">
        <f>IF(OR($AC320="",출력_인턴현황!$G$3=""),"",INDEX(입력_인턴근무계획!$M$3:$R$402,$AC320,출력_인턴현황!$G$3)&amp;"")</f>
        <v/>
      </c>
      <c r="AE320" s="10">
        <f>IF($B320="","",IF($M320&lt;&gt;"",$M320,IF(IF($AQ320="",FALSE,INDEX(출력_구리근무자!$J$6:$J$305,$AQ320)="구리독자"),"구리병원",IF($AF320&lt;&gt;"",IF(LEFT(INDEX(입력_파견수련계획!$R$4:$R$803,$AF320),1)&lt;&gt;"⚠",INDEX(입력_파견수련계획!$R$4:$R$803,$AF320),IF($H320="","",IF(RIGHT($H320,2)="병원",$H320,$H320&amp;"병원"))),IF($H320="","",IF(RIGHT($H320,2)="병원",$H320,$H320&amp;"병원"))))))</f>
        <v/>
      </c>
      <c r="AF320" s="10">
        <f>IF(OR($B320="",TRIM($J320&amp;"")=""),"",IFERROR(MATCH(TRIM($J320&amp;"")&amp;"|파견중",입력_파견수련계획!$Y$4:$Y$803,0),IFERROR(MATCH(TRIM($J320&amp;"")&amp;"|파견예정",입력_파견수련계획!$Y$4:$Y$803,0),IFERROR(MATCH(TRIM($J320&amp;"")&amp;"|파견종료",입력_파견수련계획!$Y$4:$Y$803,0),""))))</f>
        <v/>
      </c>
      <c r="AG320" s="10">
        <f>IF($B320="","",IF(AND(IF(OR($AC320="",출력_인턴현황!$K$2=""),"",INDEX(입력_인턴근무계획!$M$3:$R$402,$AC320,출력_인턴현황!$K$2)&amp;"")&lt;&gt;"",LEFT(IF(OR($AC320="",출력_인턴현황!$K$2=""),"",INDEX(입력_인턴근무계획!$M$3:$R$402,$AC320,출력_인턴현황!$K$2)&amp;""),1)&lt;&gt;"⚠"),LEFT(IF(OR($AC320="",출력_인턴현황!$K$2=""),"",INDEX(입력_인턴근무계획!$M$3:$R$402,$AC320,출력_인턴현황!$K$2)&amp;""),FIND(" ",IF(OR($AC320="",출력_인턴현황!$K$2=""),"",INDEX(입력_인턴근무계획!$M$3:$R$402,$AC320,출력_인턴현황!$K$2)&amp;""))-1),$AE320))</f>
        <v/>
      </c>
      <c r="AH320" s="17">
        <f>IF($B320="","",IF($AQ320&lt;&gt;"",MAX(0,DAY(EOMONTH(출력_요약!$B$3,0))-N($AR320)),IF(TRIM($J320&amp;"")="",0,SUMPRODUCT((입력_파견수련계획!$Q$4:$Q$803=TRIM($J320&amp;""))*(입력_파견수련계획!$S$4:$S$803="서울병원")*입력_파견수련계획!$W$4:$W$803))+IF($AG320="서울병원",MAX(0,DAY(EOMONTH(출력_요약!$B$3,0))-N($X320)),0)))</f>
        <v/>
      </c>
      <c r="AI320" s="17">
        <f>IF($B320="","",IF($AQ320&lt;&gt;"",N($AR320),IF(TRIM($J320&amp;"")="",0,SUMPRODUCT((입력_파견수련계획!$Q$4:$Q$803=TRIM($J320&amp;""))*(입력_파견수련계획!$S$4:$S$803="구리병원")*입력_파견수련계획!$W$4:$W$803))+IF($AG320="구리병원",MAX(0,DAY(EOMONTH(출력_요약!$B$3,0))-N($X320)),0)))</f>
        <v/>
      </c>
      <c r="AJ320" s="10">
        <f>IF(OR($B320="",TRIM($J320&amp;"")=""),"",IFERROR(MATCH(TRIM($J320&amp;"")&amp;"|월",입력_파견수련계획!$Z$4:$Z$803,0),""))</f>
        <v/>
      </c>
      <c r="AK320" s="10">
        <f>IF(OR($B320="",TRIM($J320&amp;"")=""),"",IFERROR(MATCH(TRIM($J320&amp;"")&amp;"|다기관",입력_파견수련계획!$AE$4:$AE$803,0),""))</f>
        <v/>
      </c>
      <c r="AL320" s="10">
        <f>IF($AK320="","","다기관 "&amp;TEXT(INDEX(입력_파견수련계획!$AB$4:$AB$803,$AK320),"yyyy-mm-dd")&amp;"~"&amp;IF(ISNUMBER(INDEX(입력_파견수련계획!$AC$4:$AC$803,$AK320)),TEXT(INDEX(입력_파견수련계획!$AC$4:$AC$803,$AK320),"yyyy-mm-dd"),""))</f>
        <v/>
      </c>
      <c r="AM320" s="10">
        <f>IF($Y320="서울병원",COUNTIF($Y$2:$Y320,"서울병원"),"")</f>
        <v/>
      </c>
      <c r="AN320" s="10">
        <f>IF(LEFT($Y320,1)="⚠",COUNTIF($Y$2:$Y320,"⚠*"),"")</f>
        <v/>
      </c>
      <c r="AO320" s="10">
        <f>IF(OR($B320="",$Y320=""),"",IF(IF(TRIM($J320&amp;"")="",0,SUMPRODUCT((입력_파견수련계획!$Q$4:$Q$803=TRIM($J320&amp;""))*입력_파견수련계획!$AD$4:$AD$803))&gt;0,"다기관 기간 → 소속병원 지급",IF(AND(N($X320)&lt;=0,$AQ320=""),"파견 없음 → 그 달 근무병원 지급",IF($AH320+$AI320=DAY(EOMONTH(출력_요약!$B$3,0)),"서울 "&amp;$AH320&amp;"일 / 구리 "&amp;$AI320&amp;"일"&amp;IF($AQ320&lt;&gt;""," (구리 근무자명단 반영)","")&amp;" → 15일 이상 근무 병원 지급","타 병원 포함 → "&amp;IF($AJ320="","소속",INDEX(입력_파견수련계획!$T$4:$T$803,$AJ320))&amp;" 규칙"))))</f>
        <v/>
      </c>
      <c r="AP320" s="10">
        <f>IF($B320="","",$C320&amp;"|"&amp;$F320)</f>
        <v/>
      </c>
      <c r="AQ320" s="10">
        <f>IF($B320="","",IFERROR(MATCH(ROW()-1,출력_구리근무자!$K$6:$K$305,0),""))</f>
        <v/>
      </c>
      <c r="AR320" s="10">
        <f>IF($AQ320="","",INDEX(출력_구리근무자!$H$6:$H$305,$AQ320))</f>
        <v/>
      </c>
    </row>
    <row r="321">
      <c r="A321" s="10">
        <f>IF(B321="","",ROW()-1)</f>
        <v/>
      </c>
      <c r="B321" s="19" t="n"/>
      <c r="C321" s="10">
        <f>IF($AB321="","",IF(INDEX(입력_기본자료!$C$2:$C$1001,$AB321)="","",INDEX(입력_기본자료!$C$2:$C$1001,$AB321)))</f>
        <v/>
      </c>
      <c r="D321" s="10">
        <f>IF($AB321="","",IF(INDEX(입력_기본자료!$J$2:$J$1001,$AB321)="","",INDEX(입력_기본자료!$J$2:$J$1001,$AB321)))</f>
        <v/>
      </c>
      <c r="E321" s="11">
        <f>IF($AB321="","",IF(INDEX(입력_기본자료!$K$2:$K$1001,$AB321)="","",IF(NOT(ISNUMBER(INDEX(입력_기본자료!$K$2:$K$1001,$AB321))),INDEX(입력_기본자료!$K$2:$K$1001,$AB321),IF(INDEX(입력_기본자료!$K$2:$K$1001,$AB321)&lt;1000000,INDEX(입력_기본자료!$K$2:$K$1001,$AB321),IF(AND(INDEX(입력_기본자료!$K$2:$K$1001,$AB321)&gt;=10000101,INT(MOD(INDEX(입력_기본자료!$K$2:$K$1001,$AB321),10000)/100)&gt;=1,INT(MOD(INDEX(입력_기본자료!$K$2:$K$1001,$AB321),10000)/100)&lt;=12,MOD(INDEX(입력_기본자료!$K$2:$K$1001,$AB321),100)&gt;=1,MOD(INDEX(입력_기본자료!$K$2:$K$1001,$AB321),100)&lt;=31),DATE(INT(INDEX(입력_기본자료!$K$2:$K$1001,$AB321)/10000),INT(MOD(INDEX(입력_기본자료!$K$2:$K$1001,$AB321),10000)/100),MOD(INDEX(입력_기본자료!$K$2:$K$1001,$AB321),100)),INDEX(입력_기본자료!$K$2:$K$1001,$AB321)&amp;"")))))</f>
        <v/>
      </c>
      <c r="F321" s="10">
        <f>IF($AB321="","",IF(INDEX(입력_기본자료!$D$2:$D$1001,$AB321)="","",INDEX(입력_기본자료!$D$2:$D$1001,$AB321)))</f>
        <v/>
      </c>
      <c r="G321" s="10">
        <f>IF($AB321="","",IF(INDEX(입력_기본자료!$E$2:$E$1001,$AB321)="","",INDEX(입력_기본자료!$E$2:$E$1001,$AB321)))</f>
        <v/>
      </c>
      <c r="H321" s="10">
        <f>IF($AB321="","",IF(INDEX(입력_기본자료!$F$2:$F$1001,$AB321)="","",INDEX(입력_기본자료!$F$2:$F$1001,$AB321)))</f>
        <v/>
      </c>
      <c r="I321" s="11">
        <f>IF($AB321="","",IF(INDEX(입력_기본자료!$G$2:$G$1001,$AB321)="","",IF(NOT(ISNUMBER(INDEX(입력_기본자료!$G$2:$G$1001,$AB321))),INDEX(입력_기본자료!$G$2:$G$1001,$AB321),IF(INDEX(입력_기본자료!$G$2:$G$1001,$AB321)&lt;1000000,INDEX(입력_기본자료!$G$2:$G$1001,$AB321),IF(AND(INDEX(입력_기본자료!$G$2:$G$1001,$AB321)&gt;=10000101,INT(MOD(INDEX(입력_기본자료!$G$2:$G$1001,$AB321),10000)/100)&gt;=1,INT(MOD(INDEX(입력_기본자료!$G$2:$G$1001,$AB321),10000)/100)&lt;=12,MOD(INDEX(입력_기본자료!$G$2:$G$1001,$AB321),100)&gt;=1,MOD(INDEX(입력_기본자료!$G$2:$G$1001,$AB321),100)&lt;=31),DATE(INT(INDEX(입력_기본자료!$G$2:$G$1001,$AB321)/10000),INT(MOD(INDEX(입력_기본자료!$G$2:$G$1001,$AB321),10000)/100),MOD(INDEX(입력_기본자료!$G$2:$G$1001,$AB321),100)),INDEX(입력_기본자료!$G$2:$G$1001,$AB321)&amp;"")))))</f>
        <v/>
      </c>
      <c r="J321" s="10">
        <f>IF($AB321="","",IF(INDEX(입력_기본자료!$H$2:$H$1001,$AB321)="","",INDEX(입력_기본자료!$H$2:$H$1001,$AB321)))</f>
        <v/>
      </c>
      <c r="K321" s="10">
        <f>IF($AB321="","",IF(INDEX(입력_기본자료!$I$2:$I$1001,$AB321)="","",INDEX(입력_기본자료!$I$2:$I$1001,$AB321)))</f>
        <v/>
      </c>
      <c r="L321" s="10">
        <f>IF($AB321="","",IF(INDEX(입력_기본자료!$A$2:$A$1001,$AB321)="","",INDEX(입력_기본자료!$A$2:$A$1001,$AB321)))</f>
        <v/>
      </c>
      <c r="M321" s="15" t="n"/>
      <c r="N321" s="10">
        <f>IF($B321="","",IF(AND($U321="파견중",$Q321&lt;&gt;""),$Q321,IF(AND($AD321&lt;&gt;"",LEFT($AD321,1)&lt;&gt;"⚠"),LEFT($AD321,FIND(" ",$AD321)-1),IF($H321="","",IF(RIGHT($H321,2)="병원",$H321,$H321&amp;"병원")))))</f>
        <v/>
      </c>
      <c r="O321" s="10">
        <f>IF($B321="","",IF(AND($U321="파견중",$Q321&lt;&gt;""),IF($R321&lt;&gt;"",$R321,"파견과 미입력"),IF(AND($AD321&lt;&gt;"",LEFT($AD321,1)&lt;&gt;"⚠"),MID($AD321,FIND(" ",$AD321)+1,60),IF($F321="","",IF($F321="인턴","수련교육부(인턴)",$F321)))))</f>
        <v/>
      </c>
      <c r="P321" s="10">
        <f>IF($B321="","",IF($AK321&lt;&gt;"",IF(AND(TODAY()&gt;=INDEX(입력_파견수련계획!$AB$4:$AB$803,$AK321),OR(NOT(ISNUMBER(INDEX(입력_파견수련계획!$AC$4:$AC$803,$AK321))),TODAY()&lt;=INDEX(입력_파견수련계획!$AC$4:$AC$803,$AK321))),"다기관",IF($AF321="","",INDEX(입력_파견수련계획!$T$4:$T$803,$AF321))),IF($AF321="","",INDEX(입력_파견수련계획!$T$4:$T$803,$AF321))))</f>
        <v/>
      </c>
      <c r="Q321" s="10">
        <f>IF($AF321="","",INDEX(입력_파견수련계획!$S$4:$S$803,$AF321))</f>
        <v/>
      </c>
      <c r="R321" s="10">
        <f>IF($AF321="","",INDEX(입력_파견수련계획!$U$4:$U$803,$AF321))</f>
        <v/>
      </c>
      <c r="S321" s="11">
        <f>IF($AF321="","",IF(INDEX(입력_파견수련계획!$H$4:$H$803,$AF321)="","",INDEX(입력_파견수련계획!$H$4:$H$803,$AF321)))</f>
        <v/>
      </c>
      <c r="T321" s="11">
        <f>IF($AF321="","",IF(INDEX(입력_파견수련계획!$I$4:$I$803,$AF321)="","",INDEX(입력_파견수련계획!$I$4:$I$803,$AF321)))</f>
        <v/>
      </c>
      <c r="U321" s="10">
        <f>IF($AF321="","",INDEX(입력_파견수련계획!$X$4:$X$803,$AF321))</f>
        <v/>
      </c>
      <c r="V321" s="17">
        <f>IF($AF321="","",INDEX(입력_파견수련계획!$V$4:$V$803,$AF321))</f>
        <v/>
      </c>
      <c r="W321" s="17">
        <f>IF(AND($U321="파견중",$T321&lt;&gt;""),$T321-TODAY(),"")</f>
        <v/>
      </c>
      <c r="X321" s="17">
        <f>IF(OR($B321="",TRIM($J321&amp;"")=""),"",SUMPRODUCT((입력_파견수련계획!$Q$4:$Q$803=TRIM($J321&amp;""))*입력_파견수련계획!$W$4:$W$803))</f>
        <v/>
      </c>
      <c r="Y321" s="10">
        <f>IF($B321="","",IF($AG321="","",IF(IF(TRIM($J321&amp;"")="",0,SUMPRODUCT((입력_파견수련계획!$Q$4:$Q$803=TRIM($J321&amp;""))*입력_파견수련계획!$AD$4:$AD$803))&gt;0,$AE321,IF(AND(N($X321)&lt;=0,$AQ321=""),$AG321,IF($AH321+$AI321=DAY(EOMONTH(출력_요약!$B$3,0)),IF(AND($AH321&gt;=출력_요약!$E$3,$AI321&lt;출력_요약!$E$3),"서울병원",IF(AND($AI321&gt;=출력_요약!$E$3,$AH321&lt;출력_요약!$E$3),"구리병원","⚠15일 판정불가(서울 "&amp;$AH321&amp;"일/구리 "&amp;$AI321&amp;"일)")),IF($AJ321="",$AE321,IF(INDEX(입력_파견수련계획!$T$4:$T$803,$AJ321)="통합수련",INDEX(입력_파견수련계획!$S$4:$S$803,$AJ321),$AE321)))))))</f>
        <v/>
      </c>
      <c r="Z321" s="20">
        <f>IF($B321="","",IF($AB321="","기본자료에 없는 사번",IF(COUNTIF($B$2:$B$401,$B321)&gt;1,"중복 사번",IF($AE321="","소속(입사장소) 입력",IF(IF(TRIM($J321&amp;"")="",0,SUMPRODUCT((입력_파견수련계획!$Q$4:$Q$803=TRIM($J321&amp;""))*(입력_파견수련계획!$AA$4:$AA$803&lt;&gt;"")))&gt;0,"파견수련계획 입력오류 확인",IF(LEFT($Y321,1)="⚠","서울·구리 15일 판정 불가(양쪽 모두 이상/미만)",IF(IF($AC321="",0,N(INDEX(입력_인턴근무계획!$T$3:$T$402,$AC321)))&gt;0,"인턴계획 입력오류 확인",IF(AND($AQ321&lt;&gt;"",$AG321&lt;&gt;"구리병원",IF(TRIM($J321&amp;"")="",0,SUMPRODUCT((입력_파견수련계획!$Q$4:$Q$803=TRIM($J321&amp;""))*(입력_파견수련계획!$S$4:$S$803="구리병원")*입력_파견수련계획!$W$4:$W$803))=0),"구리 근무자명단에만 있음(파견수련계획 확인)",IF(AND($AC321&lt;&gt;"",$U321&lt;&gt;"파견중",$N321&lt;&gt;$AE321),"인턴 타지역 근무: 파견 여부 확인","정상")))))))))</f>
        <v/>
      </c>
      <c r="AA321" s="5" t="n"/>
      <c r="AB321" s="10">
        <f>IF($B321="","",IFERROR(MATCH($B321,입력_기본자료!$B$2:$B$1001,0),IFERROR(MATCH($B321&amp;"",입력_기본자료!$B$2:$B$1001,0),IFERROR(MATCH(VALUE($B321),입력_기본자료!$B$2:$B$1001,0),""))))</f>
        <v/>
      </c>
      <c r="AC321" s="10">
        <f>IF($B321="","",IFERROR(MATCH($B321,입력_인턴근무계획!$D$3:$D$402,0),IFERROR(MATCH($B321&amp;"",입력_인턴근무계획!$D$3:$D$402,0),IFERROR(MATCH(VALUE($B321),입력_인턴근무계획!$D$3:$D$402,0),""))))</f>
        <v/>
      </c>
      <c r="AD321" s="10">
        <f>IF(OR($AC321="",출력_인턴현황!$G$3=""),"",INDEX(입력_인턴근무계획!$M$3:$R$402,$AC321,출력_인턴현황!$G$3)&amp;"")</f>
        <v/>
      </c>
      <c r="AE321" s="10">
        <f>IF($B321="","",IF($M321&lt;&gt;"",$M321,IF(IF($AQ321="",FALSE,INDEX(출력_구리근무자!$J$6:$J$305,$AQ321)="구리독자"),"구리병원",IF($AF321&lt;&gt;"",IF(LEFT(INDEX(입력_파견수련계획!$R$4:$R$803,$AF321),1)&lt;&gt;"⚠",INDEX(입력_파견수련계획!$R$4:$R$803,$AF321),IF($H321="","",IF(RIGHT($H321,2)="병원",$H321,$H321&amp;"병원"))),IF($H321="","",IF(RIGHT($H321,2)="병원",$H321,$H321&amp;"병원"))))))</f>
        <v/>
      </c>
      <c r="AF321" s="10">
        <f>IF(OR($B321="",TRIM($J321&amp;"")=""),"",IFERROR(MATCH(TRIM($J321&amp;"")&amp;"|파견중",입력_파견수련계획!$Y$4:$Y$803,0),IFERROR(MATCH(TRIM($J321&amp;"")&amp;"|파견예정",입력_파견수련계획!$Y$4:$Y$803,0),IFERROR(MATCH(TRIM($J321&amp;"")&amp;"|파견종료",입력_파견수련계획!$Y$4:$Y$803,0),""))))</f>
        <v/>
      </c>
      <c r="AG321" s="10">
        <f>IF($B321="","",IF(AND(IF(OR($AC321="",출력_인턴현황!$K$2=""),"",INDEX(입력_인턴근무계획!$M$3:$R$402,$AC321,출력_인턴현황!$K$2)&amp;"")&lt;&gt;"",LEFT(IF(OR($AC321="",출력_인턴현황!$K$2=""),"",INDEX(입력_인턴근무계획!$M$3:$R$402,$AC321,출력_인턴현황!$K$2)&amp;""),1)&lt;&gt;"⚠"),LEFT(IF(OR($AC321="",출력_인턴현황!$K$2=""),"",INDEX(입력_인턴근무계획!$M$3:$R$402,$AC321,출력_인턴현황!$K$2)&amp;""),FIND(" ",IF(OR($AC321="",출력_인턴현황!$K$2=""),"",INDEX(입력_인턴근무계획!$M$3:$R$402,$AC321,출력_인턴현황!$K$2)&amp;""))-1),$AE321))</f>
        <v/>
      </c>
      <c r="AH321" s="17">
        <f>IF($B321="","",IF($AQ321&lt;&gt;"",MAX(0,DAY(EOMONTH(출력_요약!$B$3,0))-N($AR321)),IF(TRIM($J321&amp;"")="",0,SUMPRODUCT((입력_파견수련계획!$Q$4:$Q$803=TRIM($J321&amp;""))*(입력_파견수련계획!$S$4:$S$803="서울병원")*입력_파견수련계획!$W$4:$W$803))+IF($AG321="서울병원",MAX(0,DAY(EOMONTH(출력_요약!$B$3,0))-N($X321)),0)))</f>
        <v/>
      </c>
      <c r="AI321" s="17">
        <f>IF($B321="","",IF($AQ321&lt;&gt;"",N($AR321),IF(TRIM($J321&amp;"")="",0,SUMPRODUCT((입력_파견수련계획!$Q$4:$Q$803=TRIM($J321&amp;""))*(입력_파견수련계획!$S$4:$S$803="구리병원")*입력_파견수련계획!$W$4:$W$803))+IF($AG321="구리병원",MAX(0,DAY(EOMONTH(출력_요약!$B$3,0))-N($X321)),0)))</f>
        <v/>
      </c>
      <c r="AJ321" s="10">
        <f>IF(OR($B321="",TRIM($J321&amp;"")=""),"",IFERROR(MATCH(TRIM($J321&amp;"")&amp;"|월",입력_파견수련계획!$Z$4:$Z$803,0),""))</f>
        <v/>
      </c>
      <c r="AK321" s="10">
        <f>IF(OR($B321="",TRIM($J321&amp;"")=""),"",IFERROR(MATCH(TRIM($J321&amp;"")&amp;"|다기관",입력_파견수련계획!$AE$4:$AE$803,0),""))</f>
        <v/>
      </c>
      <c r="AL321" s="10">
        <f>IF($AK321="","","다기관 "&amp;TEXT(INDEX(입력_파견수련계획!$AB$4:$AB$803,$AK321),"yyyy-mm-dd")&amp;"~"&amp;IF(ISNUMBER(INDEX(입력_파견수련계획!$AC$4:$AC$803,$AK321)),TEXT(INDEX(입력_파견수련계획!$AC$4:$AC$803,$AK321),"yyyy-mm-dd"),""))</f>
        <v/>
      </c>
      <c r="AM321" s="10">
        <f>IF($Y321="서울병원",COUNTIF($Y$2:$Y321,"서울병원"),"")</f>
        <v/>
      </c>
      <c r="AN321" s="10">
        <f>IF(LEFT($Y321,1)="⚠",COUNTIF($Y$2:$Y321,"⚠*"),"")</f>
        <v/>
      </c>
      <c r="AO321" s="10">
        <f>IF(OR($B321="",$Y321=""),"",IF(IF(TRIM($J321&amp;"")="",0,SUMPRODUCT((입력_파견수련계획!$Q$4:$Q$803=TRIM($J321&amp;""))*입력_파견수련계획!$AD$4:$AD$803))&gt;0,"다기관 기간 → 소속병원 지급",IF(AND(N($X321)&lt;=0,$AQ321=""),"파견 없음 → 그 달 근무병원 지급",IF($AH321+$AI321=DAY(EOMONTH(출력_요약!$B$3,0)),"서울 "&amp;$AH321&amp;"일 / 구리 "&amp;$AI321&amp;"일"&amp;IF($AQ321&lt;&gt;""," (구리 근무자명단 반영)","")&amp;" → 15일 이상 근무 병원 지급","타 병원 포함 → "&amp;IF($AJ321="","소속",INDEX(입력_파견수련계획!$T$4:$T$803,$AJ321))&amp;" 규칙"))))</f>
        <v/>
      </c>
      <c r="AP321" s="10">
        <f>IF($B321="","",$C321&amp;"|"&amp;$F321)</f>
        <v/>
      </c>
      <c r="AQ321" s="10">
        <f>IF($B321="","",IFERROR(MATCH(ROW()-1,출력_구리근무자!$K$6:$K$305,0),""))</f>
        <v/>
      </c>
      <c r="AR321" s="10">
        <f>IF($AQ321="","",INDEX(출력_구리근무자!$H$6:$H$305,$AQ321))</f>
        <v/>
      </c>
    </row>
    <row r="322">
      <c r="A322" s="10">
        <f>IF(B322="","",ROW()-1)</f>
        <v/>
      </c>
      <c r="B322" s="19" t="n"/>
      <c r="C322" s="10">
        <f>IF($AB322="","",IF(INDEX(입력_기본자료!$C$2:$C$1001,$AB322)="","",INDEX(입력_기본자료!$C$2:$C$1001,$AB322)))</f>
        <v/>
      </c>
      <c r="D322" s="10">
        <f>IF($AB322="","",IF(INDEX(입력_기본자료!$J$2:$J$1001,$AB322)="","",INDEX(입력_기본자료!$J$2:$J$1001,$AB322)))</f>
        <v/>
      </c>
      <c r="E322" s="11">
        <f>IF($AB322="","",IF(INDEX(입력_기본자료!$K$2:$K$1001,$AB322)="","",IF(NOT(ISNUMBER(INDEX(입력_기본자료!$K$2:$K$1001,$AB322))),INDEX(입력_기본자료!$K$2:$K$1001,$AB322),IF(INDEX(입력_기본자료!$K$2:$K$1001,$AB322)&lt;1000000,INDEX(입력_기본자료!$K$2:$K$1001,$AB322),IF(AND(INDEX(입력_기본자료!$K$2:$K$1001,$AB322)&gt;=10000101,INT(MOD(INDEX(입력_기본자료!$K$2:$K$1001,$AB322),10000)/100)&gt;=1,INT(MOD(INDEX(입력_기본자료!$K$2:$K$1001,$AB322),10000)/100)&lt;=12,MOD(INDEX(입력_기본자료!$K$2:$K$1001,$AB322),100)&gt;=1,MOD(INDEX(입력_기본자료!$K$2:$K$1001,$AB322),100)&lt;=31),DATE(INT(INDEX(입력_기본자료!$K$2:$K$1001,$AB322)/10000),INT(MOD(INDEX(입력_기본자료!$K$2:$K$1001,$AB322),10000)/100),MOD(INDEX(입력_기본자료!$K$2:$K$1001,$AB322),100)),INDEX(입력_기본자료!$K$2:$K$1001,$AB322)&amp;"")))))</f>
        <v/>
      </c>
      <c r="F322" s="10">
        <f>IF($AB322="","",IF(INDEX(입력_기본자료!$D$2:$D$1001,$AB322)="","",INDEX(입력_기본자료!$D$2:$D$1001,$AB322)))</f>
        <v/>
      </c>
      <c r="G322" s="10">
        <f>IF($AB322="","",IF(INDEX(입력_기본자료!$E$2:$E$1001,$AB322)="","",INDEX(입력_기본자료!$E$2:$E$1001,$AB322)))</f>
        <v/>
      </c>
      <c r="H322" s="10">
        <f>IF($AB322="","",IF(INDEX(입력_기본자료!$F$2:$F$1001,$AB322)="","",INDEX(입력_기본자료!$F$2:$F$1001,$AB322)))</f>
        <v/>
      </c>
      <c r="I322" s="11">
        <f>IF($AB322="","",IF(INDEX(입력_기본자료!$G$2:$G$1001,$AB322)="","",IF(NOT(ISNUMBER(INDEX(입력_기본자료!$G$2:$G$1001,$AB322))),INDEX(입력_기본자료!$G$2:$G$1001,$AB322),IF(INDEX(입력_기본자료!$G$2:$G$1001,$AB322)&lt;1000000,INDEX(입력_기본자료!$G$2:$G$1001,$AB322),IF(AND(INDEX(입력_기본자료!$G$2:$G$1001,$AB322)&gt;=10000101,INT(MOD(INDEX(입력_기본자료!$G$2:$G$1001,$AB322),10000)/100)&gt;=1,INT(MOD(INDEX(입력_기본자료!$G$2:$G$1001,$AB322),10000)/100)&lt;=12,MOD(INDEX(입력_기본자료!$G$2:$G$1001,$AB322),100)&gt;=1,MOD(INDEX(입력_기본자료!$G$2:$G$1001,$AB322),100)&lt;=31),DATE(INT(INDEX(입력_기본자료!$G$2:$G$1001,$AB322)/10000),INT(MOD(INDEX(입력_기본자료!$G$2:$G$1001,$AB322),10000)/100),MOD(INDEX(입력_기본자료!$G$2:$G$1001,$AB322),100)),INDEX(입력_기본자료!$G$2:$G$1001,$AB322)&amp;"")))))</f>
        <v/>
      </c>
      <c r="J322" s="10">
        <f>IF($AB322="","",IF(INDEX(입력_기본자료!$H$2:$H$1001,$AB322)="","",INDEX(입력_기본자료!$H$2:$H$1001,$AB322)))</f>
        <v/>
      </c>
      <c r="K322" s="10">
        <f>IF($AB322="","",IF(INDEX(입력_기본자료!$I$2:$I$1001,$AB322)="","",INDEX(입력_기본자료!$I$2:$I$1001,$AB322)))</f>
        <v/>
      </c>
      <c r="L322" s="10">
        <f>IF($AB322="","",IF(INDEX(입력_기본자료!$A$2:$A$1001,$AB322)="","",INDEX(입력_기본자료!$A$2:$A$1001,$AB322)))</f>
        <v/>
      </c>
      <c r="M322" s="15" t="n"/>
      <c r="N322" s="10">
        <f>IF($B322="","",IF(AND($U322="파견중",$Q322&lt;&gt;""),$Q322,IF(AND($AD322&lt;&gt;"",LEFT($AD322,1)&lt;&gt;"⚠"),LEFT($AD322,FIND(" ",$AD322)-1),IF($H322="","",IF(RIGHT($H322,2)="병원",$H322,$H322&amp;"병원")))))</f>
        <v/>
      </c>
      <c r="O322" s="10">
        <f>IF($B322="","",IF(AND($U322="파견중",$Q322&lt;&gt;""),IF($R322&lt;&gt;"",$R322,"파견과 미입력"),IF(AND($AD322&lt;&gt;"",LEFT($AD322,1)&lt;&gt;"⚠"),MID($AD322,FIND(" ",$AD322)+1,60),IF($F322="","",IF($F322="인턴","수련교육부(인턴)",$F322)))))</f>
        <v/>
      </c>
      <c r="P322" s="10">
        <f>IF($B322="","",IF($AK322&lt;&gt;"",IF(AND(TODAY()&gt;=INDEX(입력_파견수련계획!$AB$4:$AB$803,$AK322),OR(NOT(ISNUMBER(INDEX(입력_파견수련계획!$AC$4:$AC$803,$AK322))),TODAY()&lt;=INDEX(입력_파견수련계획!$AC$4:$AC$803,$AK322))),"다기관",IF($AF322="","",INDEX(입력_파견수련계획!$T$4:$T$803,$AF322))),IF($AF322="","",INDEX(입력_파견수련계획!$T$4:$T$803,$AF322))))</f>
        <v/>
      </c>
      <c r="Q322" s="10">
        <f>IF($AF322="","",INDEX(입력_파견수련계획!$S$4:$S$803,$AF322))</f>
        <v/>
      </c>
      <c r="R322" s="10">
        <f>IF($AF322="","",INDEX(입력_파견수련계획!$U$4:$U$803,$AF322))</f>
        <v/>
      </c>
      <c r="S322" s="11">
        <f>IF($AF322="","",IF(INDEX(입력_파견수련계획!$H$4:$H$803,$AF322)="","",INDEX(입력_파견수련계획!$H$4:$H$803,$AF322)))</f>
        <v/>
      </c>
      <c r="T322" s="11">
        <f>IF($AF322="","",IF(INDEX(입력_파견수련계획!$I$4:$I$803,$AF322)="","",INDEX(입력_파견수련계획!$I$4:$I$803,$AF322)))</f>
        <v/>
      </c>
      <c r="U322" s="10">
        <f>IF($AF322="","",INDEX(입력_파견수련계획!$X$4:$X$803,$AF322))</f>
        <v/>
      </c>
      <c r="V322" s="17">
        <f>IF($AF322="","",INDEX(입력_파견수련계획!$V$4:$V$803,$AF322))</f>
        <v/>
      </c>
      <c r="W322" s="17">
        <f>IF(AND($U322="파견중",$T322&lt;&gt;""),$T322-TODAY(),"")</f>
        <v/>
      </c>
      <c r="X322" s="17">
        <f>IF(OR($B322="",TRIM($J322&amp;"")=""),"",SUMPRODUCT((입력_파견수련계획!$Q$4:$Q$803=TRIM($J322&amp;""))*입력_파견수련계획!$W$4:$W$803))</f>
        <v/>
      </c>
      <c r="Y322" s="10">
        <f>IF($B322="","",IF($AG322="","",IF(IF(TRIM($J322&amp;"")="",0,SUMPRODUCT((입력_파견수련계획!$Q$4:$Q$803=TRIM($J322&amp;""))*입력_파견수련계획!$AD$4:$AD$803))&gt;0,$AE322,IF(AND(N($X322)&lt;=0,$AQ322=""),$AG322,IF($AH322+$AI322=DAY(EOMONTH(출력_요약!$B$3,0)),IF(AND($AH322&gt;=출력_요약!$E$3,$AI322&lt;출력_요약!$E$3),"서울병원",IF(AND($AI322&gt;=출력_요약!$E$3,$AH322&lt;출력_요약!$E$3),"구리병원","⚠15일 판정불가(서울 "&amp;$AH322&amp;"일/구리 "&amp;$AI322&amp;"일)")),IF($AJ322="",$AE322,IF(INDEX(입력_파견수련계획!$T$4:$T$803,$AJ322)="통합수련",INDEX(입력_파견수련계획!$S$4:$S$803,$AJ322),$AE322)))))))</f>
        <v/>
      </c>
      <c r="Z322" s="20">
        <f>IF($B322="","",IF($AB322="","기본자료에 없는 사번",IF(COUNTIF($B$2:$B$401,$B322)&gt;1,"중복 사번",IF($AE322="","소속(입사장소) 입력",IF(IF(TRIM($J322&amp;"")="",0,SUMPRODUCT((입력_파견수련계획!$Q$4:$Q$803=TRIM($J322&amp;""))*(입력_파견수련계획!$AA$4:$AA$803&lt;&gt;"")))&gt;0,"파견수련계획 입력오류 확인",IF(LEFT($Y322,1)="⚠","서울·구리 15일 판정 불가(양쪽 모두 이상/미만)",IF(IF($AC322="",0,N(INDEX(입력_인턴근무계획!$T$3:$T$402,$AC322)))&gt;0,"인턴계획 입력오류 확인",IF(AND($AQ322&lt;&gt;"",$AG322&lt;&gt;"구리병원",IF(TRIM($J322&amp;"")="",0,SUMPRODUCT((입력_파견수련계획!$Q$4:$Q$803=TRIM($J322&amp;""))*(입력_파견수련계획!$S$4:$S$803="구리병원")*입력_파견수련계획!$W$4:$W$803))=0),"구리 근무자명단에만 있음(파견수련계획 확인)",IF(AND($AC322&lt;&gt;"",$U322&lt;&gt;"파견중",$N322&lt;&gt;$AE322),"인턴 타지역 근무: 파견 여부 확인","정상")))))))))</f>
        <v/>
      </c>
      <c r="AA322" s="5" t="n"/>
      <c r="AB322" s="10">
        <f>IF($B322="","",IFERROR(MATCH($B322,입력_기본자료!$B$2:$B$1001,0),IFERROR(MATCH($B322&amp;"",입력_기본자료!$B$2:$B$1001,0),IFERROR(MATCH(VALUE($B322),입력_기본자료!$B$2:$B$1001,0),""))))</f>
        <v/>
      </c>
      <c r="AC322" s="10">
        <f>IF($B322="","",IFERROR(MATCH($B322,입력_인턴근무계획!$D$3:$D$402,0),IFERROR(MATCH($B322&amp;"",입력_인턴근무계획!$D$3:$D$402,0),IFERROR(MATCH(VALUE($B322),입력_인턴근무계획!$D$3:$D$402,0),""))))</f>
        <v/>
      </c>
      <c r="AD322" s="10">
        <f>IF(OR($AC322="",출력_인턴현황!$G$3=""),"",INDEX(입력_인턴근무계획!$M$3:$R$402,$AC322,출력_인턴현황!$G$3)&amp;"")</f>
        <v/>
      </c>
      <c r="AE322" s="10">
        <f>IF($B322="","",IF($M322&lt;&gt;"",$M322,IF(IF($AQ322="",FALSE,INDEX(출력_구리근무자!$J$6:$J$305,$AQ322)="구리독자"),"구리병원",IF($AF322&lt;&gt;"",IF(LEFT(INDEX(입력_파견수련계획!$R$4:$R$803,$AF322),1)&lt;&gt;"⚠",INDEX(입력_파견수련계획!$R$4:$R$803,$AF322),IF($H322="","",IF(RIGHT($H322,2)="병원",$H322,$H322&amp;"병원"))),IF($H322="","",IF(RIGHT($H322,2)="병원",$H322,$H322&amp;"병원"))))))</f>
        <v/>
      </c>
      <c r="AF322" s="10">
        <f>IF(OR($B322="",TRIM($J322&amp;"")=""),"",IFERROR(MATCH(TRIM($J322&amp;"")&amp;"|파견중",입력_파견수련계획!$Y$4:$Y$803,0),IFERROR(MATCH(TRIM($J322&amp;"")&amp;"|파견예정",입력_파견수련계획!$Y$4:$Y$803,0),IFERROR(MATCH(TRIM($J322&amp;"")&amp;"|파견종료",입력_파견수련계획!$Y$4:$Y$803,0),""))))</f>
        <v/>
      </c>
      <c r="AG322" s="10">
        <f>IF($B322="","",IF(AND(IF(OR($AC322="",출력_인턴현황!$K$2=""),"",INDEX(입력_인턴근무계획!$M$3:$R$402,$AC322,출력_인턴현황!$K$2)&amp;"")&lt;&gt;"",LEFT(IF(OR($AC322="",출력_인턴현황!$K$2=""),"",INDEX(입력_인턴근무계획!$M$3:$R$402,$AC322,출력_인턴현황!$K$2)&amp;""),1)&lt;&gt;"⚠"),LEFT(IF(OR($AC322="",출력_인턴현황!$K$2=""),"",INDEX(입력_인턴근무계획!$M$3:$R$402,$AC322,출력_인턴현황!$K$2)&amp;""),FIND(" ",IF(OR($AC322="",출력_인턴현황!$K$2=""),"",INDEX(입력_인턴근무계획!$M$3:$R$402,$AC322,출력_인턴현황!$K$2)&amp;""))-1),$AE322))</f>
        <v/>
      </c>
      <c r="AH322" s="17">
        <f>IF($B322="","",IF($AQ322&lt;&gt;"",MAX(0,DAY(EOMONTH(출력_요약!$B$3,0))-N($AR322)),IF(TRIM($J322&amp;"")="",0,SUMPRODUCT((입력_파견수련계획!$Q$4:$Q$803=TRIM($J322&amp;""))*(입력_파견수련계획!$S$4:$S$803="서울병원")*입력_파견수련계획!$W$4:$W$803))+IF($AG322="서울병원",MAX(0,DAY(EOMONTH(출력_요약!$B$3,0))-N($X322)),0)))</f>
        <v/>
      </c>
      <c r="AI322" s="17">
        <f>IF($B322="","",IF($AQ322&lt;&gt;"",N($AR322),IF(TRIM($J322&amp;"")="",0,SUMPRODUCT((입력_파견수련계획!$Q$4:$Q$803=TRIM($J322&amp;""))*(입력_파견수련계획!$S$4:$S$803="구리병원")*입력_파견수련계획!$W$4:$W$803))+IF($AG322="구리병원",MAX(0,DAY(EOMONTH(출력_요약!$B$3,0))-N($X322)),0)))</f>
        <v/>
      </c>
      <c r="AJ322" s="10">
        <f>IF(OR($B322="",TRIM($J322&amp;"")=""),"",IFERROR(MATCH(TRIM($J322&amp;"")&amp;"|월",입력_파견수련계획!$Z$4:$Z$803,0),""))</f>
        <v/>
      </c>
      <c r="AK322" s="10">
        <f>IF(OR($B322="",TRIM($J322&amp;"")=""),"",IFERROR(MATCH(TRIM($J322&amp;"")&amp;"|다기관",입력_파견수련계획!$AE$4:$AE$803,0),""))</f>
        <v/>
      </c>
      <c r="AL322" s="10">
        <f>IF($AK322="","","다기관 "&amp;TEXT(INDEX(입력_파견수련계획!$AB$4:$AB$803,$AK322),"yyyy-mm-dd")&amp;"~"&amp;IF(ISNUMBER(INDEX(입력_파견수련계획!$AC$4:$AC$803,$AK322)),TEXT(INDEX(입력_파견수련계획!$AC$4:$AC$803,$AK322),"yyyy-mm-dd"),""))</f>
        <v/>
      </c>
      <c r="AM322" s="10">
        <f>IF($Y322="서울병원",COUNTIF($Y$2:$Y322,"서울병원"),"")</f>
        <v/>
      </c>
      <c r="AN322" s="10">
        <f>IF(LEFT($Y322,1)="⚠",COUNTIF($Y$2:$Y322,"⚠*"),"")</f>
        <v/>
      </c>
      <c r="AO322" s="10">
        <f>IF(OR($B322="",$Y322=""),"",IF(IF(TRIM($J322&amp;"")="",0,SUMPRODUCT((입력_파견수련계획!$Q$4:$Q$803=TRIM($J322&amp;""))*입력_파견수련계획!$AD$4:$AD$803))&gt;0,"다기관 기간 → 소속병원 지급",IF(AND(N($X322)&lt;=0,$AQ322=""),"파견 없음 → 그 달 근무병원 지급",IF($AH322+$AI322=DAY(EOMONTH(출력_요약!$B$3,0)),"서울 "&amp;$AH322&amp;"일 / 구리 "&amp;$AI322&amp;"일"&amp;IF($AQ322&lt;&gt;""," (구리 근무자명단 반영)","")&amp;" → 15일 이상 근무 병원 지급","타 병원 포함 → "&amp;IF($AJ322="","소속",INDEX(입력_파견수련계획!$T$4:$T$803,$AJ322))&amp;" 규칙"))))</f>
        <v/>
      </c>
      <c r="AP322" s="10">
        <f>IF($B322="","",$C322&amp;"|"&amp;$F322)</f>
        <v/>
      </c>
      <c r="AQ322" s="10">
        <f>IF($B322="","",IFERROR(MATCH(ROW()-1,출력_구리근무자!$K$6:$K$305,0),""))</f>
        <v/>
      </c>
      <c r="AR322" s="10">
        <f>IF($AQ322="","",INDEX(출력_구리근무자!$H$6:$H$305,$AQ322))</f>
        <v/>
      </c>
    </row>
    <row r="323">
      <c r="A323" s="10">
        <f>IF(B323="","",ROW()-1)</f>
        <v/>
      </c>
      <c r="B323" s="19" t="n"/>
      <c r="C323" s="10">
        <f>IF($AB323="","",IF(INDEX(입력_기본자료!$C$2:$C$1001,$AB323)="","",INDEX(입력_기본자료!$C$2:$C$1001,$AB323)))</f>
        <v/>
      </c>
      <c r="D323" s="10">
        <f>IF($AB323="","",IF(INDEX(입력_기본자료!$J$2:$J$1001,$AB323)="","",INDEX(입력_기본자료!$J$2:$J$1001,$AB323)))</f>
        <v/>
      </c>
      <c r="E323" s="11">
        <f>IF($AB323="","",IF(INDEX(입력_기본자료!$K$2:$K$1001,$AB323)="","",IF(NOT(ISNUMBER(INDEX(입력_기본자료!$K$2:$K$1001,$AB323))),INDEX(입력_기본자료!$K$2:$K$1001,$AB323),IF(INDEX(입력_기본자료!$K$2:$K$1001,$AB323)&lt;1000000,INDEX(입력_기본자료!$K$2:$K$1001,$AB323),IF(AND(INDEX(입력_기본자료!$K$2:$K$1001,$AB323)&gt;=10000101,INT(MOD(INDEX(입력_기본자료!$K$2:$K$1001,$AB323),10000)/100)&gt;=1,INT(MOD(INDEX(입력_기본자료!$K$2:$K$1001,$AB323),10000)/100)&lt;=12,MOD(INDEX(입력_기본자료!$K$2:$K$1001,$AB323),100)&gt;=1,MOD(INDEX(입력_기본자료!$K$2:$K$1001,$AB323),100)&lt;=31),DATE(INT(INDEX(입력_기본자료!$K$2:$K$1001,$AB323)/10000),INT(MOD(INDEX(입력_기본자료!$K$2:$K$1001,$AB323),10000)/100),MOD(INDEX(입력_기본자료!$K$2:$K$1001,$AB323),100)),INDEX(입력_기본자료!$K$2:$K$1001,$AB323)&amp;"")))))</f>
        <v/>
      </c>
      <c r="F323" s="10">
        <f>IF($AB323="","",IF(INDEX(입력_기본자료!$D$2:$D$1001,$AB323)="","",INDEX(입력_기본자료!$D$2:$D$1001,$AB323)))</f>
        <v/>
      </c>
      <c r="G323" s="10">
        <f>IF($AB323="","",IF(INDEX(입력_기본자료!$E$2:$E$1001,$AB323)="","",INDEX(입력_기본자료!$E$2:$E$1001,$AB323)))</f>
        <v/>
      </c>
      <c r="H323" s="10">
        <f>IF($AB323="","",IF(INDEX(입력_기본자료!$F$2:$F$1001,$AB323)="","",INDEX(입력_기본자료!$F$2:$F$1001,$AB323)))</f>
        <v/>
      </c>
      <c r="I323" s="11">
        <f>IF($AB323="","",IF(INDEX(입력_기본자료!$G$2:$G$1001,$AB323)="","",IF(NOT(ISNUMBER(INDEX(입력_기본자료!$G$2:$G$1001,$AB323))),INDEX(입력_기본자료!$G$2:$G$1001,$AB323),IF(INDEX(입력_기본자료!$G$2:$G$1001,$AB323)&lt;1000000,INDEX(입력_기본자료!$G$2:$G$1001,$AB323),IF(AND(INDEX(입력_기본자료!$G$2:$G$1001,$AB323)&gt;=10000101,INT(MOD(INDEX(입력_기본자료!$G$2:$G$1001,$AB323),10000)/100)&gt;=1,INT(MOD(INDEX(입력_기본자료!$G$2:$G$1001,$AB323),10000)/100)&lt;=12,MOD(INDEX(입력_기본자료!$G$2:$G$1001,$AB323),100)&gt;=1,MOD(INDEX(입력_기본자료!$G$2:$G$1001,$AB323),100)&lt;=31),DATE(INT(INDEX(입력_기본자료!$G$2:$G$1001,$AB323)/10000),INT(MOD(INDEX(입력_기본자료!$G$2:$G$1001,$AB323),10000)/100),MOD(INDEX(입력_기본자료!$G$2:$G$1001,$AB323),100)),INDEX(입력_기본자료!$G$2:$G$1001,$AB323)&amp;"")))))</f>
        <v/>
      </c>
      <c r="J323" s="10">
        <f>IF($AB323="","",IF(INDEX(입력_기본자료!$H$2:$H$1001,$AB323)="","",INDEX(입력_기본자료!$H$2:$H$1001,$AB323)))</f>
        <v/>
      </c>
      <c r="K323" s="10">
        <f>IF($AB323="","",IF(INDEX(입력_기본자료!$I$2:$I$1001,$AB323)="","",INDEX(입력_기본자료!$I$2:$I$1001,$AB323)))</f>
        <v/>
      </c>
      <c r="L323" s="10">
        <f>IF($AB323="","",IF(INDEX(입력_기본자료!$A$2:$A$1001,$AB323)="","",INDEX(입력_기본자료!$A$2:$A$1001,$AB323)))</f>
        <v/>
      </c>
      <c r="M323" s="15" t="n"/>
      <c r="N323" s="10">
        <f>IF($B323="","",IF(AND($U323="파견중",$Q323&lt;&gt;""),$Q323,IF(AND($AD323&lt;&gt;"",LEFT($AD323,1)&lt;&gt;"⚠"),LEFT($AD323,FIND(" ",$AD323)-1),IF($H323="","",IF(RIGHT($H323,2)="병원",$H323,$H323&amp;"병원")))))</f>
        <v/>
      </c>
      <c r="O323" s="10">
        <f>IF($B323="","",IF(AND($U323="파견중",$Q323&lt;&gt;""),IF($R323&lt;&gt;"",$R323,"파견과 미입력"),IF(AND($AD323&lt;&gt;"",LEFT($AD323,1)&lt;&gt;"⚠"),MID($AD323,FIND(" ",$AD323)+1,60),IF($F323="","",IF($F323="인턴","수련교육부(인턴)",$F323)))))</f>
        <v/>
      </c>
      <c r="P323" s="10">
        <f>IF($B323="","",IF($AK323&lt;&gt;"",IF(AND(TODAY()&gt;=INDEX(입력_파견수련계획!$AB$4:$AB$803,$AK323),OR(NOT(ISNUMBER(INDEX(입력_파견수련계획!$AC$4:$AC$803,$AK323))),TODAY()&lt;=INDEX(입력_파견수련계획!$AC$4:$AC$803,$AK323))),"다기관",IF($AF323="","",INDEX(입력_파견수련계획!$T$4:$T$803,$AF323))),IF($AF323="","",INDEX(입력_파견수련계획!$T$4:$T$803,$AF323))))</f>
        <v/>
      </c>
      <c r="Q323" s="10">
        <f>IF($AF323="","",INDEX(입력_파견수련계획!$S$4:$S$803,$AF323))</f>
        <v/>
      </c>
      <c r="R323" s="10">
        <f>IF($AF323="","",INDEX(입력_파견수련계획!$U$4:$U$803,$AF323))</f>
        <v/>
      </c>
      <c r="S323" s="11">
        <f>IF($AF323="","",IF(INDEX(입력_파견수련계획!$H$4:$H$803,$AF323)="","",INDEX(입력_파견수련계획!$H$4:$H$803,$AF323)))</f>
        <v/>
      </c>
      <c r="T323" s="11">
        <f>IF($AF323="","",IF(INDEX(입력_파견수련계획!$I$4:$I$803,$AF323)="","",INDEX(입력_파견수련계획!$I$4:$I$803,$AF323)))</f>
        <v/>
      </c>
      <c r="U323" s="10">
        <f>IF($AF323="","",INDEX(입력_파견수련계획!$X$4:$X$803,$AF323))</f>
        <v/>
      </c>
      <c r="V323" s="17">
        <f>IF($AF323="","",INDEX(입력_파견수련계획!$V$4:$V$803,$AF323))</f>
        <v/>
      </c>
      <c r="W323" s="17">
        <f>IF(AND($U323="파견중",$T323&lt;&gt;""),$T323-TODAY(),"")</f>
        <v/>
      </c>
      <c r="X323" s="17">
        <f>IF(OR($B323="",TRIM($J323&amp;"")=""),"",SUMPRODUCT((입력_파견수련계획!$Q$4:$Q$803=TRIM($J323&amp;""))*입력_파견수련계획!$W$4:$W$803))</f>
        <v/>
      </c>
      <c r="Y323" s="10">
        <f>IF($B323="","",IF($AG323="","",IF(IF(TRIM($J323&amp;"")="",0,SUMPRODUCT((입력_파견수련계획!$Q$4:$Q$803=TRIM($J323&amp;""))*입력_파견수련계획!$AD$4:$AD$803))&gt;0,$AE323,IF(AND(N($X323)&lt;=0,$AQ323=""),$AG323,IF($AH323+$AI323=DAY(EOMONTH(출력_요약!$B$3,0)),IF(AND($AH323&gt;=출력_요약!$E$3,$AI323&lt;출력_요약!$E$3),"서울병원",IF(AND($AI323&gt;=출력_요약!$E$3,$AH323&lt;출력_요약!$E$3),"구리병원","⚠15일 판정불가(서울 "&amp;$AH323&amp;"일/구리 "&amp;$AI323&amp;"일)")),IF($AJ323="",$AE323,IF(INDEX(입력_파견수련계획!$T$4:$T$803,$AJ323)="통합수련",INDEX(입력_파견수련계획!$S$4:$S$803,$AJ323),$AE323)))))))</f>
        <v/>
      </c>
      <c r="Z323" s="20">
        <f>IF($B323="","",IF($AB323="","기본자료에 없는 사번",IF(COUNTIF($B$2:$B$401,$B323)&gt;1,"중복 사번",IF($AE323="","소속(입사장소) 입력",IF(IF(TRIM($J323&amp;"")="",0,SUMPRODUCT((입력_파견수련계획!$Q$4:$Q$803=TRIM($J323&amp;""))*(입력_파견수련계획!$AA$4:$AA$803&lt;&gt;"")))&gt;0,"파견수련계획 입력오류 확인",IF(LEFT($Y323,1)="⚠","서울·구리 15일 판정 불가(양쪽 모두 이상/미만)",IF(IF($AC323="",0,N(INDEX(입력_인턴근무계획!$T$3:$T$402,$AC323)))&gt;0,"인턴계획 입력오류 확인",IF(AND($AQ323&lt;&gt;"",$AG323&lt;&gt;"구리병원",IF(TRIM($J323&amp;"")="",0,SUMPRODUCT((입력_파견수련계획!$Q$4:$Q$803=TRIM($J323&amp;""))*(입력_파견수련계획!$S$4:$S$803="구리병원")*입력_파견수련계획!$W$4:$W$803))=0),"구리 근무자명단에만 있음(파견수련계획 확인)",IF(AND($AC323&lt;&gt;"",$U323&lt;&gt;"파견중",$N323&lt;&gt;$AE323),"인턴 타지역 근무: 파견 여부 확인","정상")))))))))</f>
        <v/>
      </c>
      <c r="AA323" s="5" t="n"/>
      <c r="AB323" s="10">
        <f>IF($B323="","",IFERROR(MATCH($B323,입력_기본자료!$B$2:$B$1001,0),IFERROR(MATCH($B323&amp;"",입력_기본자료!$B$2:$B$1001,0),IFERROR(MATCH(VALUE($B323),입력_기본자료!$B$2:$B$1001,0),""))))</f>
        <v/>
      </c>
      <c r="AC323" s="10">
        <f>IF($B323="","",IFERROR(MATCH($B323,입력_인턴근무계획!$D$3:$D$402,0),IFERROR(MATCH($B323&amp;"",입력_인턴근무계획!$D$3:$D$402,0),IFERROR(MATCH(VALUE($B323),입력_인턴근무계획!$D$3:$D$402,0),""))))</f>
        <v/>
      </c>
      <c r="AD323" s="10">
        <f>IF(OR($AC323="",출력_인턴현황!$G$3=""),"",INDEX(입력_인턴근무계획!$M$3:$R$402,$AC323,출력_인턴현황!$G$3)&amp;"")</f>
        <v/>
      </c>
      <c r="AE323" s="10">
        <f>IF($B323="","",IF($M323&lt;&gt;"",$M323,IF(IF($AQ323="",FALSE,INDEX(출력_구리근무자!$J$6:$J$305,$AQ323)="구리독자"),"구리병원",IF($AF323&lt;&gt;"",IF(LEFT(INDEX(입력_파견수련계획!$R$4:$R$803,$AF323),1)&lt;&gt;"⚠",INDEX(입력_파견수련계획!$R$4:$R$803,$AF323),IF($H323="","",IF(RIGHT($H323,2)="병원",$H323,$H323&amp;"병원"))),IF($H323="","",IF(RIGHT($H323,2)="병원",$H323,$H323&amp;"병원"))))))</f>
        <v/>
      </c>
      <c r="AF323" s="10">
        <f>IF(OR($B323="",TRIM($J323&amp;"")=""),"",IFERROR(MATCH(TRIM($J323&amp;"")&amp;"|파견중",입력_파견수련계획!$Y$4:$Y$803,0),IFERROR(MATCH(TRIM($J323&amp;"")&amp;"|파견예정",입력_파견수련계획!$Y$4:$Y$803,0),IFERROR(MATCH(TRIM($J323&amp;"")&amp;"|파견종료",입력_파견수련계획!$Y$4:$Y$803,0),""))))</f>
        <v/>
      </c>
      <c r="AG323" s="10">
        <f>IF($B323="","",IF(AND(IF(OR($AC323="",출력_인턴현황!$K$2=""),"",INDEX(입력_인턴근무계획!$M$3:$R$402,$AC323,출력_인턴현황!$K$2)&amp;"")&lt;&gt;"",LEFT(IF(OR($AC323="",출력_인턴현황!$K$2=""),"",INDEX(입력_인턴근무계획!$M$3:$R$402,$AC323,출력_인턴현황!$K$2)&amp;""),1)&lt;&gt;"⚠"),LEFT(IF(OR($AC323="",출력_인턴현황!$K$2=""),"",INDEX(입력_인턴근무계획!$M$3:$R$402,$AC323,출력_인턴현황!$K$2)&amp;""),FIND(" ",IF(OR($AC323="",출력_인턴현황!$K$2=""),"",INDEX(입력_인턴근무계획!$M$3:$R$402,$AC323,출력_인턴현황!$K$2)&amp;""))-1),$AE323))</f>
        <v/>
      </c>
      <c r="AH323" s="17">
        <f>IF($B323="","",IF($AQ323&lt;&gt;"",MAX(0,DAY(EOMONTH(출력_요약!$B$3,0))-N($AR323)),IF(TRIM($J323&amp;"")="",0,SUMPRODUCT((입력_파견수련계획!$Q$4:$Q$803=TRIM($J323&amp;""))*(입력_파견수련계획!$S$4:$S$803="서울병원")*입력_파견수련계획!$W$4:$W$803))+IF($AG323="서울병원",MAX(0,DAY(EOMONTH(출력_요약!$B$3,0))-N($X323)),0)))</f>
        <v/>
      </c>
      <c r="AI323" s="17">
        <f>IF($B323="","",IF($AQ323&lt;&gt;"",N($AR323),IF(TRIM($J323&amp;"")="",0,SUMPRODUCT((입력_파견수련계획!$Q$4:$Q$803=TRIM($J323&amp;""))*(입력_파견수련계획!$S$4:$S$803="구리병원")*입력_파견수련계획!$W$4:$W$803))+IF($AG323="구리병원",MAX(0,DAY(EOMONTH(출력_요약!$B$3,0))-N($X323)),0)))</f>
        <v/>
      </c>
      <c r="AJ323" s="10">
        <f>IF(OR($B323="",TRIM($J323&amp;"")=""),"",IFERROR(MATCH(TRIM($J323&amp;"")&amp;"|월",입력_파견수련계획!$Z$4:$Z$803,0),""))</f>
        <v/>
      </c>
      <c r="AK323" s="10">
        <f>IF(OR($B323="",TRIM($J323&amp;"")=""),"",IFERROR(MATCH(TRIM($J323&amp;"")&amp;"|다기관",입력_파견수련계획!$AE$4:$AE$803,0),""))</f>
        <v/>
      </c>
      <c r="AL323" s="10">
        <f>IF($AK323="","","다기관 "&amp;TEXT(INDEX(입력_파견수련계획!$AB$4:$AB$803,$AK323),"yyyy-mm-dd")&amp;"~"&amp;IF(ISNUMBER(INDEX(입력_파견수련계획!$AC$4:$AC$803,$AK323)),TEXT(INDEX(입력_파견수련계획!$AC$4:$AC$803,$AK323),"yyyy-mm-dd"),""))</f>
        <v/>
      </c>
      <c r="AM323" s="10">
        <f>IF($Y323="서울병원",COUNTIF($Y$2:$Y323,"서울병원"),"")</f>
        <v/>
      </c>
      <c r="AN323" s="10">
        <f>IF(LEFT($Y323,1)="⚠",COUNTIF($Y$2:$Y323,"⚠*"),"")</f>
        <v/>
      </c>
      <c r="AO323" s="10">
        <f>IF(OR($B323="",$Y323=""),"",IF(IF(TRIM($J323&amp;"")="",0,SUMPRODUCT((입력_파견수련계획!$Q$4:$Q$803=TRIM($J323&amp;""))*입력_파견수련계획!$AD$4:$AD$803))&gt;0,"다기관 기간 → 소속병원 지급",IF(AND(N($X323)&lt;=0,$AQ323=""),"파견 없음 → 그 달 근무병원 지급",IF($AH323+$AI323=DAY(EOMONTH(출력_요약!$B$3,0)),"서울 "&amp;$AH323&amp;"일 / 구리 "&amp;$AI323&amp;"일"&amp;IF($AQ323&lt;&gt;""," (구리 근무자명단 반영)","")&amp;" → 15일 이상 근무 병원 지급","타 병원 포함 → "&amp;IF($AJ323="","소속",INDEX(입력_파견수련계획!$T$4:$T$803,$AJ323))&amp;" 규칙"))))</f>
        <v/>
      </c>
      <c r="AP323" s="10">
        <f>IF($B323="","",$C323&amp;"|"&amp;$F323)</f>
        <v/>
      </c>
      <c r="AQ323" s="10">
        <f>IF($B323="","",IFERROR(MATCH(ROW()-1,출력_구리근무자!$K$6:$K$305,0),""))</f>
        <v/>
      </c>
      <c r="AR323" s="10">
        <f>IF($AQ323="","",INDEX(출력_구리근무자!$H$6:$H$305,$AQ323))</f>
        <v/>
      </c>
    </row>
    <row r="324">
      <c r="A324" s="10">
        <f>IF(B324="","",ROW()-1)</f>
        <v/>
      </c>
      <c r="B324" s="19" t="n"/>
      <c r="C324" s="10">
        <f>IF($AB324="","",IF(INDEX(입력_기본자료!$C$2:$C$1001,$AB324)="","",INDEX(입력_기본자료!$C$2:$C$1001,$AB324)))</f>
        <v/>
      </c>
      <c r="D324" s="10">
        <f>IF($AB324="","",IF(INDEX(입력_기본자료!$J$2:$J$1001,$AB324)="","",INDEX(입력_기본자료!$J$2:$J$1001,$AB324)))</f>
        <v/>
      </c>
      <c r="E324" s="11">
        <f>IF($AB324="","",IF(INDEX(입력_기본자료!$K$2:$K$1001,$AB324)="","",IF(NOT(ISNUMBER(INDEX(입력_기본자료!$K$2:$K$1001,$AB324))),INDEX(입력_기본자료!$K$2:$K$1001,$AB324),IF(INDEX(입력_기본자료!$K$2:$K$1001,$AB324)&lt;1000000,INDEX(입력_기본자료!$K$2:$K$1001,$AB324),IF(AND(INDEX(입력_기본자료!$K$2:$K$1001,$AB324)&gt;=10000101,INT(MOD(INDEX(입력_기본자료!$K$2:$K$1001,$AB324),10000)/100)&gt;=1,INT(MOD(INDEX(입력_기본자료!$K$2:$K$1001,$AB324),10000)/100)&lt;=12,MOD(INDEX(입력_기본자료!$K$2:$K$1001,$AB324),100)&gt;=1,MOD(INDEX(입력_기본자료!$K$2:$K$1001,$AB324),100)&lt;=31),DATE(INT(INDEX(입력_기본자료!$K$2:$K$1001,$AB324)/10000),INT(MOD(INDEX(입력_기본자료!$K$2:$K$1001,$AB324),10000)/100),MOD(INDEX(입력_기본자료!$K$2:$K$1001,$AB324),100)),INDEX(입력_기본자료!$K$2:$K$1001,$AB324)&amp;"")))))</f>
        <v/>
      </c>
      <c r="F324" s="10">
        <f>IF($AB324="","",IF(INDEX(입력_기본자료!$D$2:$D$1001,$AB324)="","",INDEX(입력_기본자료!$D$2:$D$1001,$AB324)))</f>
        <v/>
      </c>
      <c r="G324" s="10">
        <f>IF($AB324="","",IF(INDEX(입력_기본자료!$E$2:$E$1001,$AB324)="","",INDEX(입력_기본자료!$E$2:$E$1001,$AB324)))</f>
        <v/>
      </c>
      <c r="H324" s="10">
        <f>IF($AB324="","",IF(INDEX(입력_기본자료!$F$2:$F$1001,$AB324)="","",INDEX(입력_기본자료!$F$2:$F$1001,$AB324)))</f>
        <v/>
      </c>
      <c r="I324" s="11">
        <f>IF($AB324="","",IF(INDEX(입력_기본자료!$G$2:$G$1001,$AB324)="","",IF(NOT(ISNUMBER(INDEX(입력_기본자료!$G$2:$G$1001,$AB324))),INDEX(입력_기본자료!$G$2:$G$1001,$AB324),IF(INDEX(입력_기본자료!$G$2:$G$1001,$AB324)&lt;1000000,INDEX(입력_기본자료!$G$2:$G$1001,$AB324),IF(AND(INDEX(입력_기본자료!$G$2:$G$1001,$AB324)&gt;=10000101,INT(MOD(INDEX(입력_기본자료!$G$2:$G$1001,$AB324),10000)/100)&gt;=1,INT(MOD(INDEX(입력_기본자료!$G$2:$G$1001,$AB324),10000)/100)&lt;=12,MOD(INDEX(입력_기본자료!$G$2:$G$1001,$AB324),100)&gt;=1,MOD(INDEX(입력_기본자료!$G$2:$G$1001,$AB324),100)&lt;=31),DATE(INT(INDEX(입력_기본자료!$G$2:$G$1001,$AB324)/10000),INT(MOD(INDEX(입력_기본자료!$G$2:$G$1001,$AB324),10000)/100),MOD(INDEX(입력_기본자료!$G$2:$G$1001,$AB324),100)),INDEX(입력_기본자료!$G$2:$G$1001,$AB324)&amp;"")))))</f>
        <v/>
      </c>
      <c r="J324" s="10">
        <f>IF($AB324="","",IF(INDEX(입력_기본자료!$H$2:$H$1001,$AB324)="","",INDEX(입력_기본자료!$H$2:$H$1001,$AB324)))</f>
        <v/>
      </c>
      <c r="K324" s="10">
        <f>IF($AB324="","",IF(INDEX(입력_기본자료!$I$2:$I$1001,$AB324)="","",INDEX(입력_기본자료!$I$2:$I$1001,$AB324)))</f>
        <v/>
      </c>
      <c r="L324" s="10">
        <f>IF($AB324="","",IF(INDEX(입력_기본자료!$A$2:$A$1001,$AB324)="","",INDEX(입력_기본자료!$A$2:$A$1001,$AB324)))</f>
        <v/>
      </c>
      <c r="M324" s="15" t="n"/>
      <c r="N324" s="10">
        <f>IF($B324="","",IF(AND($U324="파견중",$Q324&lt;&gt;""),$Q324,IF(AND($AD324&lt;&gt;"",LEFT($AD324,1)&lt;&gt;"⚠"),LEFT($AD324,FIND(" ",$AD324)-1),IF($H324="","",IF(RIGHT($H324,2)="병원",$H324,$H324&amp;"병원")))))</f>
        <v/>
      </c>
      <c r="O324" s="10">
        <f>IF($B324="","",IF(AND($U324="파견중",$Q324&lt;&gt;""),IF($R324&lt;&gt;"",$R324,"파견과 미입력"),IF(AND($AD324&lt;&gt;"",LEFT($AD324,1)&lt;&gt;"⚠"),MID($AD324,FIND(" ",$AD324)+1,60),IF($F324="","",IF($F324="인턴","수련교육부(인턴)",$F324)))))</f>
        <v/>
      </c>
      <c r="P324" s="10">
        <f>IF($B324="","",IF($AK324&lt;&gt;"",IF(AND(TODAY()&gt;=INDEX(입력_파견수련계획!$AB$4:$AB$803,$AK324),OR(NOT(ISNUMBER(INDEX(입력_파견수련계획!$AC$4:$AC$803,$AK324))),TODAY()&lt;=INDEX(입력_파견수련계획!$AC$4:$AC$803,$AK324))),"다기관",IF($AF324="","",INDEX(입력_파견수련계획!$T$4:$T$803,$AF324))),IF($AF324="","",INDEX(입력_파견수련계획!$T$4:$T$803,$AF324))))</f>
        <v/>
      </c>
      <c r="Q324" s="10">
        <f>IF($AF324="","",INDEX(입력_파견수련계획!$S$4:$S$803,$AF324))</f>
        <v/>
      </c>
      <c r="R324" s="10">
        <f>IF($AF324="","",INDEX(입력_파견수련계획!$U$4:$U$803,$AF324))</f>
        <v/>
      </c>
      <c r="S324" s="11">
        <f>IF($AF324="","",IF(INDEX(입력_파견수련계획!$H$4:$H$803,$AF324)="","",INDEX(입력_파견수련계획!$H$4:$H$803,$AF324)))</f>
        <v/>
      </c>
      <c r="T324" s="11">
        <f>IF($AF324="","",IF(INDEX(입력_파견수련계획!$I$4:$I$803,$AF324)="","",INDEX(입력_파견수련계획!$I$4:$I$803,$AF324)))</f>
        <v/>
      </c>
      <c r="U324" s="10">
        <f>IF($AF324="","",INDEX(입력_파견수련계획!$X$4:$X$803,$AF324))</f>
        <v/>
      </c>
      <c r="V324" s="17">
        <f>IF($AF324="","",INDEX(입력_파견수련계획!$V$4:$V$803,$AF324))</f>
        <v/>
      </c>
      <c r="W324" s="17">
        <f>IF(AND($U324="파견중",$T324&lt;&gt;""),$T324-TODAY(),"")</f>
        <v/>
      </c>
      <c r="X324" s="17">
        <f>IF(OR($B324="",TRIM($J324&amp;"")=""),"",SUMPRODUCT((입력_파견수련계획!$Q$4:$Q$803=TRIM($J324&amp;""))*입력_파견수련계획!$W$4:$W$803))</f>
        <v/>
      </c>
      <c r="Y324" s="10">
        <f>IF($B324="","",IF($AG324="","",IF(IF(TRIM($J324&amp;"")="",0,SUMPRODUCT((입력_파견수련계획!$Q$4:$Q$803=TRIM($J324&amp;""))*입력_파견수련계획!$AD$4:$AD$803))&gt;0,$AE324,IF(AND(N($X324)&lt;=0,$AQ324=""),$AG324,IF($AH324+$AI324=DAY(EOMONTH(출력_요약!$B$3,0)),IF(AND($AH324&gt;=출력_요약!$E$3,$AI324&lt;출력_요약!$E$3),"서울병원",IF(AND($AI324&gt;=출력_요약!$E$3,$AH324&lt;출력_요약!$E$3),"구리병원","⚠15일 판정불가(서울 "&amp;$AH324&amp;"일/구리 "&amp;$AI324&amp;"일)")),IF($AJ324="",$AE324,IF(INDEX(입력_파견수련계획!$T$4:$T$803,$AJ324)="통합수련",INDEX(입력_파견수련계획!$S$4:$S$803,$AJ324),$AE324)))))))</f>
        <v/>
      </c>
      <c r="Z324" s="20">
        <f>IF($B324="","",IF($AB324="","기본자료에 없는 사번",IF(COUNTIF($B$2:$B$401,$B324)&gt;1,"중복 사번",IF($AE324="","소속(입사장소) 입력",IF(IF(TRIM($J324&amp;"")="",0,SUMPRODUCT((입력_파견수련계획!$Q$4:$Q$803=TRIM($J324&amp;""))*(입력_파견수련계획!$AA$4:$AA$803&lt;&gt;"")))&gt;0,"파견수련계획 입력오류 확인",IF(LEFT($Y324,1)="⚠","서울·구리 15일 판정 불가(양쪽 모두 이상/미만)",IF(IF($AC324="",0,N(INDEX(입력_인턴근무계획!$T$3:$T$402,$AC324)))&gt;0,"인턴계획 입력오류 확인",IF(AND($AQ324&lt;&gt;"",$AG324&lt;&gt;"구리병원",IF(TRIM($J324&amp;"")="",0,SUMPRODUCT((입력_파견수련계획!$Q$4:$Q$803=TRIM($J324&amp;""))*(입력_파견수련계획!$S$4:$S$803="구리병원")*입력_파견수련계획!$W$4:$W$803))=0),"구리 근무자명단에만 있음(파견수련계획 확인)",IF(AND($AC324&lt;&gt;"",$U324&lt;&gt;"파견중",$N324&lt;&gt;$AE324),"인턴 타지역 근무: 파견 여부 확인","정상")))))))))</f>
        <v/>
      </c>
      <c r="AA324" s="5" t="n"/>
      <c r="AB324" s="10">
        <f>IF($B324="","",IFERROR(MATCH($B324,입력_기본자료!$B$2:$B$1001,0),IFERROR(MATCH($B324&amp;"",입력_기본자료!$B$2:$B$1001,0),IFERROR(MATCH(VALUE($B324),입력_기본자료!$B$2:$B$1001,0),""))))</f>
        <v/>
      </c>
      <c r="AC324" s="10">
        <f>IF($B324="","",IFERROR(MATCH($B324,입력_인턴근무계획!$D$3:$D$402,0),IFERROR(MATCH($B324&amp;"",입력_인턴근무계획!$D$3:$D$402,0),IFERROR(MATCH(VALUE($B324),입력_인턴근무계획!$D$3:$D$402,0),""))))</f>
        <v/>
      </c>
      <c r="AD324" s="10">
        <f>IF(OR($AC324="",출력_인턴현황!$G$3=""),"",INDEX(입력_인턴근무계획!$M$3:$R$402,$AC324,출력_인턴현황!$G$3)&amp;"")</f>
        <v/>
      </c>
      <c r="AE324" s="10">
        <f>IF($B324="","",IF($M324&lt;&gt;"",$M324,IF(IF($AQ324="",FALSE,INDEX(출력_구리근무자!$J$6:$J$305,$AQ324)="구리독자"),"구리병원",IF($AF324&lt;&gt;"",IF(LEFT(INDEX(입력_파견수련계획!$R$4:$R$803,$AF324),1)&lt;&gt;"⚠",INDEX(입력_파견수련계획!$R$4:$R$803,$AF324),IF($H324="","",IF(RIGHT($H324,2)="병원",$H324,$H324&amp;"병원"))),IF($H324="","",IF(RIGHT($H324,2)="병원",$H324,$H324&amp;"병원"))))))</f>
        <v/>
      </c>
      <c r="AF324" s="10">
        <f>IF(OR($B324="",TRIM($J324&amp;"")=""),"",IFERROR(MATCH(TRIM($J324&amp;"")&amp;"|파견중",입력_파견수련계획!$Y$4:$Y$803,0),IFERROR(MATCH(TRIM($J324&amp;"")&amp;"|파견예정",입력_파견수련계획!$Y$4:$Y$803,0),IFERROR(MATCH(TRIM($J324&amp;"")&amp;"|파견종료",입력_파견수련계획!$Y$4:$Y$803,0),""))))</f>
        <v/>
      </c>
      <c r="AG324" s="10">
        <f>IF($B324="","",IF(AND(IF(OR($AC324="",출력_인턴현황!$K$2=""),"",INDEX(입력_인턴근무계획!$M$3:$R$402,$AC324,출력_인턴현황!$K$2)&amp;"")&lt;&gt;"",LEFT(IF(OR($AC324="",출력_인턴현황!$K$2=""),"",INDEX(입력_인턴근무계획!$M$3:$R$402,$AC324,출력_인턴현황!$K$2)&amp;""),1)&lt;&gt;"⚠"),LEFT(IF(OR($AC324="",출력_인턴현황!$K$2=""),"",INDEX(입력_인턴근무계획!$M$3:$R$402,$AC324,출력_인턴현황!$K$2)&amp;""),FIND(" ",IF(OR($AC324="",출력_인턴현황!$K$2=""),"",INDEX(입력_인턴근무계획!$M$3:$R$402,$AC324,출력_인턴현황!$K$2)&amp;""))-1),$AE324))</f>
        <v/>
      </c>
      <c r="AH324" s="17">
        <f>IF($B324="","",IF($AQ324&lt;&gt;"",MAX(0,DAY(EOMONTH(출력_요약!$B$3,0))-N($AR324)),IF(TRIM($J324&amp;"")="",0,SUMPRODUCT((입력_파견수련계획!$Q$4:$Q$803=TRIM($J324&amp;""))*(입력_파견수련계획!$S$4:$S$803="서울병원")*입력_파견수련계획!$W$4:$W$803))+IF($AG324="서울병원",MAX(0,DAY(EOMONTH(출력_요약!$B$3,0))-N($X324)),0)))</f>
        <v/>
      </c>
      <c r="AI324" s="17">
        <f>IF($B324="","",IF($AQ324&lt;&gt;"",N($AR324),IF(TRIM($J324&amp;"")="",0,SUMPRODUCT((입력_파견수련계획!$Q$4:$Q$803=TRIM($J324&amp;""))*(입력_파견수련계획!$S$4:$S$803="구리병원")*입력_파견수련계획!$W$4:$W$803))+IF($AG324="구리병원",MAX(0,DAY(EOMONTH(출력_요약!$B$3,0))-N($X324)),0)))</f>
        <v/>
      </c>
      <c r="AJ324" s="10">
        <f>IF(OR($B324="",TRIM($J324&amp;"")=""),"",IFERROR(MATCH(TRIM($J324&amp;"")&amp;"|월",입력_파견수련계획!$Z$4:$Z$803,0),""))</f>
        <v/>
      </c>
      <c r="AK324" s="10">
        <f>IF(OR($B324="",TRIM($J324&amp;"")=""),"",IFERROR(MATCH(TRIM($J324&amp;"")&amp;"|다기관",입력_파견수련계획!$AE$4:$AE$803,0),""))</f>
        <v/>
      </c>
      <c r="AL324" s="10">
        <f>IF($AK324="","","다기관 "&amp;TEXT(INDEX(입력_파견수련계획!$AB$4:$AB$803,$AK324),"yyyy-mm-dd")&amp;"~"&amp;IF(ISNUMBER(INDEX(입력_파견수련계획!$AC$4:$AC$803,$AK324)),TEXT(INDEX(입력_파견수련계획!$AC$4:$AC$803,$AK324),"yyyy-mm-dd"),""))</f>
        <v/>
      </c>
      <c r="AM324" s="10">
        <f>IF($Y324="서울병원",COUNTIF($Y$2:$Y324,"서울병원"),"")</f>
        <v/>
      </c>
      <c r="AN324" s="10">
        <f>IF(LEFT($Y324,1)="⚠",COUNTIF($Y$2:$Y324,"⚠*"),"")</f>
        <v/>
      </c>
      <c r="AO324" s="10">
        <f>IF(OR($B324="",$Y324=""),"",IF(IF(TRIM($J324&amp;"")="",0,SUMPRODUCT((입력_파견수련계획!$Q$4:$Q$803=TRIM($J324&amp;""))*입력_파견수련계획!$AD$4:$AD$803))&gt;0,"다기관 기간 → 소속병원 지급",IF(AND(N($X324)&lt;=0,$AQ324=""),"파견 없음 → 그 달 근무병원 지급",IF($AH324+$AI324=DAY(EOMONTH(출력_요약!$B$3,0)),"서울 "&amp;$AH324&amp;"일 / 구리 "&amp;$AI324&amp;"일"&amp;IF($AQ324&lt;&gt;""," (구리 근무자명단 반영)","")&amp;" → 15일 이상 근무 병원 지급","타 병원 포함 → "&amp;IF($AJ324="","소속",INDEX(입력_파견수련계획!$T$4:$T$803,$AJ324))&amp;" 규칙"))))</f>
        <v/>
      </c>
      <c r="AP324" s="10">
        <f>IF($B324="","",$C324&amp;"|"&amp;$F324)</f>
        <v/>
      </c>
      <c r="AQ324" s="10">
        <f>IF($B324="","",IFERROR(MATCH(ROW()-1,출력_구리근무자!$K$6:$K$305,0),""))</f>
        <v/>
      </c>
      <c r="AR324" s="10">
        <f>IF($AQ324="","",INDEX(출력_구리근무자!$H$6:$H$305,$AQ324))</f>
        <v/>
      </c>
    </row>
    <row r="325">
      <c r="A325" s="10">
        <f>IF(B325="","",ROW()-1)</f>
        <v/>
      </c>
      <c r="B325" s="19" t="n"/>
      <c r="C325" s="10">
        <f>IF($AB325="","",IF(INDEX(입력_기본자료!$C$2:$C$1001,$AB325)="","",INDEX(입력_기본자료!$C$2:$C$1001,$AB325)))</f>
        <v/>
      </c>
      <c r="D325" s="10">
        <f>IF($AB325="","",IF(INDEX(입력_기본자료!$J$2:$J$1001,$AB325)="","",INDEX(입력_기본자료!$J$2:$J$1001,$AB325)))</f>
        <v/>
      </c>
      <c r="E325" s="11">
        <f>IF($AB325="","",IF(INDEX(입력_기본자료!$K$2:$K$1001,$AB325)="","",IF(NOT(ISNUMBER(INDEX(입력_기본자료!$K$2:$K$1001,$AB325))),INDEX(입력_기본자료!$K$2:$K$1001,$AB325),IF(INDEX(입력_기본자료!$K$2:$K$1001,$AB325)&lt;1000000,INDEX(입력_기본자료!$K$2:$K$1001,$AB325),IF(AND(INDEX(입력_기본자료!$K$2:$K$1001,$AB325)&gt;=10000101,INT(MOD(INDEX(입력_기본자료!$K$2:$K$1001,$AB325),10000)/100)&gt;=1,INT(MOD(INDEX(입력_기본자료!$K$2:$K$1001,$AB325),10000)/100)&lt;=12,MOD(INDEX(입력_기본자료!$K$2:$K$1001,$AB325),100)&gt;=1,MOD(INDEX(입력_기본자료!$K$2:$K$1001,$AB325),100)&lt;=31),DATE(INT(INDEX(입력_기본자료!$K$2:$K$1001,$AB325)/10000),INT(MOD(INDEX(입력_기본자료!$K$2:$K$1001,$AB325),10000)/100),MOD(INDEX(입력_기본자료!$K$2:$K$1001,$AB325),100)),INDEX(입력_기본자료!$K$2:$K$1001,$AB325)&amp;"")))))</f>
        <v/>
      </c>
      <c r="F325" s="10">
        <f>IF($AB325="","",IF(INDEX(입력_기본자료!$D$2:$D$1001,$AB325)="","",INDEX(입력_기본자료!$D$2:$D$1001,$AB325)))</f>
        <v/>
      </c>
      <c r="G325" s="10">
        <f>IF($AB325="","",IF(INDEX(입력_기본자료!$E$2:$E$1001,$AB325)="","",INDEX(입력_기본자료!$E$2:$E$1001,$AB325)))</f>
        <v/>
      </c>
      <c r="H325" s="10">
        <f>IF($AB325="","",IF(INDEX(입력_기본자료!$F$2:$F$1001,$AB325)="","",INDEX(입력_기본자료!$F$2:$F$1001,$AB325)))</f>
        <v/>
      </c>
      <c r="I325" s="11">
        <f>IF($AB325="","",IF(INDEX(입력_기본자료!$G$2:$G$1001,$AB325)="","",IF(NOT(ISNUMBER(INDEX(입력_기본자료!$G$2:$G$1001,$AB325))),INDEX(입력_기본자료!$G$2:$G$1001,$AB325),IF(INDEX(입력_기본자료!$G$2:$G$1001,$AB325)&lt;1000000,INDEX(입력_기본자료!$G$2:$G$1001,$AB325),IF(AND(INDEX(입력_기본자료!$G$2:$G$1001,$AB325)&gt;=10000101,INT(MOD(INDEX(입력_기본자료!$G$2:$G$1001,$AB325),10000)/100)&gt;=1,INT(MOD(INDEX(입력_기본자료!$G$2:$G$1001,$AB325),10000)/100)&lt;=12,MOD(INDEX(입력_기본자료!$G$2:$G$1001,$AB325),100)&gt;=1,MOD(INDEX(입력_기본자료!$G$2:$G$1001,$AB325),100)&lt;=31),DATE(INT(INDEX(입력_기본자료!$G$2:$G$1001,$AB325)/10000),INT(MOD(INDEX(입력_기본자료!$G$2:$G$1001,$AB325),10000)/100),MOD(INDEX(입력_기본자료!$G$2:$G$1001,$AB325),100)),INDEX(입력_기본자료!$G$2:$G$1001,$AB325)&amp;"")))))</f>
        <v/>
      </c>
      <c r="J325" s="10">
        <f>IF($AB325="","",IF(INDEX(입력_기본자료!$H$2:$H$1001,$AB325)="","",INDEX(입력_기본자료!$H$2:$H$1001,$AB325)))</f>
        <v/>
      </c>
      <c r="K325" s="10">
        <f>IF($AB325="","",IF(INDEX(입력_기본자료!$I$2:$I$1001,$AB325)="","",INDEX(입력_기본자료!$I$2:$I$1001,$AB325)))</f>
        <v/>
      </c>
      <c r="L325" s="10">
        <f>IF($AB325="","",IF(INDEX(입력_기본자료!$A$2:$A$1001,$AB325)="","",INDEX(입력_기본자료!$A$2:$A$1001,$AB325)))</f>
        <v/>
      </c>
      <c r="M325" s="15" t="n"/>
      <c r="N325" s="10">
        <f>IF($B325="","",IF(AND($U325="파견중",$Q325&lt;&gt;""),$Q325,IF(AND($AD325&lt;&gt;"",LEFT($AD325,1)&lt;&gt;"⚠"),LEFT($AD325,FIND(" ",$AD325)-1),IF($H325="","",IF(RIGHT($H325,2)="병원",$H325,$H325&amp;"병원")))))</f>
        <v/>
      </c>
      <c r="O325" s="10">
        <f>IF($B325="","",IF(AND($U325="파견중",$Q325&lt;&gt;""),IF($R325&lt;&gt;"",$R325,"파견과 미입력"),IF(AND($AD325&lt;&gt;"",LEFT($AD325,1)&lt;&gt;"⚠"),MID($AD325,FIND(" ",$AD325)+1,60),IF($F325="","",IF($F325="인턴","수련교육부(인턴)",$F325)))))</f>
        <v/>
      </c>
      <c r="P325" s="10">
        <f>IF($B325="","",IF($AK325&lt;&gt;"",IF(AND(TODAY()&gt;=INDEX(입력_파견수련계획!$AB$4:$AB$803,$AK325),OR(NOT(ISNUMBER(INDEX(입력_파견수련계획!$AC$4:$AC$803,$AK325))),TODAY()&lt;=INDEX(입력_파견수련계획!$AC$4:$AC$803,$AK325))),"다기관",IF($AF325="","",INDEX(입력_파견수련계획!$T$4:$T$803,$AF325))),IF($AF325="","",INDEX(입력_파견수련계획!$T$4:$T$803,$AF325))))</f>
        <v/>
      </c>
      <c r="Q325" s="10">
        <f>IF($AF325="","",INDEX(입력_파견수련계획!$S$4:$S$803,$AF325))</f>
        <v/>
      </c>
      <c r="R325" s="10">
        <f>IF($AF325="","",INDEX(입력_파견수련계획!$U$4:$U$803,$AF325))</f>
        <v/>
      </c>
      <c r="S325" s="11">
        <f>IF($AF325="","",IF(INDEX(입력_파견수련계획!$H$4:$H$803,$AF325)="","",INDEX(입력_파견수련계획!$H$4:$H$803,$AF325)))</f>
        <v/>
      </c>
      <c r="T325" s="11">
        <f>IF($AF325="","",IF(INDEX(입력_파견수련계획!$I$4:$I$803,$AF325)="","",INDEX(입력_파견수련계획!$I$4:$I$803,$AF325)))</f>
        <v/>
      </c>
      <c r="U325" s="10">
        <f>IF($AF325="","",INDEX(입력_파견수련계획!$X$4:$X$803,$AF325))</f>
        <v/>
      </c>
      <c r="V325" s="17">
        <f>IF($AF325="","",INDEX(입력_파견수련계획!$V$4:$V$803,$AF325))</f>
        <v/>
      </c>
      <c r="W325" s="17">
        <f>IF(AND($U325="파견중",$T325&lt;&gt;""),$T325-TODAY(),"")</f>
        <v/>
      </c>
      <c r="X325" s="17">
        <f>IF(OR($B325="",TRIM($J325&amp;"")=""),"",SUMPRODUCT((입력_파견수련계획!$Q$4:$Q$803=TRIM($J325&amp;""))*입력_파견수련계획!$W$4:$W$803))</f>
        <v/>
      </c>
      <c r="Y325" s="10">
        <f>IF($B325="","",IF($AG325="","",IF(IF(TRIM($J325&amp;"")="",0,SUMPRODUCT((입력_파견수련계획!$Q$4:$Q$803=TRIM($J325&amp;""))*입력_파견수련계획!$AD$4:$AD$803))&gt;0,$AE325,IF(AND(N($X325)&lt;=0,$AQ325=""),$AG325,IF($AH325+$AI325=DAY(EOMONTH(출력_요약!$B$3,0)),IF(AND($AH325&gt;=출력_요약!$E$3,$AI325&lt;출력_요약!$E$3),"서울병원",IF(AND($AI325&gt;=출력_요약!$E$3,$AH325&lt;출력_요약!$E$3),"구리병원","⚠15일 판정불가(서울 "&amp;$AH325&amp;"일/구리 "&amp;$AI325&amp;"일)")),IF($AJ325="",$AE325,IF(INDEX(입력_파견수련계획!$T$4:$T$803,$AJ325)="통합수련",INDEX(입력_파견수련계획!$S$4:$S$803,$AJ325),$AE325)))))))</f>
        <v/>
      </c>
      <c r="Z325" s="20">
        <f>IF($B325="","",IF($AB325="","기본자료에 없는 사번",IF(COUNTIF($B$2:$B$401,$B325)&gt;1,"중복 사번",IF($AE325="","소속(입사장소) 입력",IF(IF(TRIM($J325&amp;"")="",0,SUMPRODUCT((입력_파견수련계획!$Q$4:$Q$803=TRIM($J325&amp;""))*(입력_파견수련계획!$AA$4:$AA$803&lt;&gt;"")))&gt;0,"파견수련계획 입력오류 확인",IF(LEFT($Y325,1)="⚠","서울·구리 15일 판정 불가(양쪽 모두 이상/미만)",IF(IF($AC325="",0,N(INDEX(입력_인턴근무계획!$T$3:$T$402,$AC325)))&gt;0,"인턴계획 입력오류 확인",IF(AND($AQ325&lt;&gt;"",$AG325&lt;&gt;"구리병원",IF(TRIM($J325&amp;"")="",0,SUMPRODUCT((입력_파견수련계획!$Q$4:$Q$803=TRIM($J325&amp;""))*(입력_파견수련계획!$S$4:$S$803="구리병원")*입력_파견수련계획!$W$4:$W$803))=0),"구리 근무자명단에만 있음(파견수련계획 확인)",IF(AND($AC325&lt;&gt;"",$U325&lt;&gt;"파견중",$N325&lt;&gt;$AE325),"인턴 타지역 근무: 파견 여부 확인","정상")))))))))</f>
        <v/>
      </c>
      <c r="AA325" s="5" t="n"/>
      <c r="AB325" s="10">
        <f>IF($B325="","",IFERROR(MATCH($B325,입력_기본자료!$B$2:$B$1001,0),IFERROR(MATCH($B325&amp;"",입력_기본자료!$B$2:$B$1001,0),IFERROR(MATCH(VALUE($B325),입력_기본자료!$B$2:$B$1001,0),""))))</f>
        <v/>
      </c>
      <c r="AC325" s="10">
        <f>IF($B325="","",IFERROR(MATCH($B325,입력_인턴근무계획!$D$3:$D$402,0),IFERROR(MATCH($B325&amp;"",입력_인턴근무계획!$D$3:$D$402,0),IFERROR(MATCH(VALUE($B325),입력_인턴근무계획!$D$3:$D$402,0),""))))</f>
        <v/>
      </c>
      <c r="AD325" s="10">
        <f>IF(OR($AC325="",출력_인턴현황!$G$3=""),"",INDEX(입력_인턴근무계획!$M$3:$R$402,$AC325,출력_인턴현황!$G$3)&amp;"")</f>
        <v/>
      </c>
      <c r="AE325" s="10">
        <f>IF($B325="","",IF($M325&lt;&gt;"",$M325,IF(IF($AQ325="",FALSE,INDEX(출력_구리근무자!$J$6:$J$305,$AQ325)="구리독자"),"구리병원",IF($AF325&lt;&gt;"",IF(LEFT(INDEX(입력_파견수련계획!$R$4:$R$803,$AF325),1)&lt;&gt;"⚠",INDEX(입력_파견수련계획!$R$4:$R$803,$AF325),IF($H325="","",IF(RIGHT($H325,2)="병원",$H325,$H325&amp;"병원"))),IF($H325="","",IF(RIGHT($H325,2)="병원",$H325,$H325&amp;"병원"))))))</f>
        <v/>
      </c>
      <c r="AF325" s="10">
        <f>IF(OR($B325="",TRIM($J325&amp;"")=""),"",IFERROR(MATCH(TRIM($J325&amp;"")&amp;"|파견중",입력_파견수련계획!$Y$4:$Y$803,0),IFERROR(MATCH(TRIM($J325&amp;"")&amp;"|파견예정",입력_파견수련계획!$Y$4:$Y$803,0),IFERROR(MATCH(TRIM($J325&amp;"")&amp;"|파견종료",입력_파견수련계획!$Y$4:$Y$803,0),""))))</f>
        <v/>
      </c>
      <c r="AG325" s="10">
        <f>IF($B325="","",IF(AND(IF(OR($AC325="",출력_인턴현황!$K$2=""),"",INDEX(입력_인턴근무계획!$M$3:$R$402,$AC325,출력_인턴현황!$K$2)&amp;"")&lt;&gt;"",LEFT(IF(OR($AC325="",출력_인턴현황!$K$2=""),"",INDEX(입력_인턴근무계획!$M$3:$R$402,$AC325,출력_인턴현황!$K$2)&amp;""),1)&lt;&gt;"⚠"),LEFT(IF(OR($AC325="",출력_인턴현황!$K$2=""),"",INDEX(입력_인턴근무계획!$M$3:$R$402,$AC325,출력_인턴현황!$K$2)&amp;""),FIND(" ",IF(OR($AC325="",출력_인턴현황!$K$2=""),"",INDEX(입력_인턴근무계획!$M$3:$R$402,$AC325,출력_인턴현황!$K$2)&amp;""))-1),$AE325))</f>
        <v/>
      </c>
      <c r="AH325" s="17">
        <f>IF($B325="","",IF($AQ325&lt;&gt;"",MAX(0,DAY(EOMONTH(출력_요약!$B$3,0))-N($AR325)),IF(TRIM($J325&amp;"")="",0,SUMPRODUCT((입력_파견수련계획!$Q$4:$Q$803=TRIM($J325&amp;""))*(입력_파견수련계획!$S$4:$S$803="서울병원")*입력_파견수련계획!$W$4:$W$803))+IF($AG325="서울병원",MAX(0,DAY(EOMONTH(출력_요약!$B$3,0))-N($X325)),0)))</f>
        <v/>
      </c>
      <c r="AI325" s="17">
        <f>IF($B325="","",IF($AQ325&lt;&gt;"",N($AR325),IF(TRIM($J325&amp;"")="",0,SUMPRODUCT((입력_파견수련계획!$Q$4:$Q$803=TRIM($J325&amp;""))*(입력_파견수련계획!$S$4:$S$803="구리병원")*입력_파견수련계획!$W$4:$W$803))+IF($AG325="구리병원",MAX(0,DAY(EOMONTH(출력_요약!$B$3,0))-N($X325)),0)))</f>
        <v/>
      </c>
      <c r="AJ325" s="10">
        <f>IF(OR($B325="",TRIM($J325&amp;"")=""),"",IFERROR(MATCH(TRIM($J325&amp;"")&amp;"|월",입력_파견수련계획!$Z$4:$Z$803,0),""))</f>
        <v/>
      </c>
      <c r="AK325" s="10">
        <f>IF(OR($B325="",TRIM($J325&amp;"")=""),"",IFERROR(MATCH(TRIM($J325&amp;"")&amp;"|다기관",입력_파견수련계획!$AE$4:$AE$803,0),""))</f>
        <v/>
      </c>
      <c r="AL325" s="10">
        <f>IF($AK325="","","다기관 "&amp;TEXT(INDEX(입력_파견수련계획!$AB$4:$AB$803,$AK325),"yyyy-mm-dd")&amp;"~"&amp;IF(ISNUMBER(INDEX(입력_파견수련계획!$AC$4:$AC$803,$AK325)),TEXT(INDEX(입력_파견수련계획!$AC$4:$AC$803,$AK325),"yyyy-mm-dd"),""))</f>
        <v/>
      </c>
      <c r="AM325" s="10">
        <f>IF($Y325="서울병원",COUNTIF($Y$2:$Y325,"서울병원"),"")</f>
        <v/>
      </c>
      <c r="AN325" s="10">
        <f>IF(LEFT($Y325,1)="⚠",COUNTIF($Y$2:$Y325,"⚠*"),"")</f>
        <v/>
      </c>
      <c r="AO325" s="10">
        <f>IF(OR($B325="",$Y325=""),"",IF(IF(TRIM($J325&amp;"")="",0,SUMPRODUCT((입력_파견수련계획!$Q$4:$Q$803=TRIM($J325&amp;""))*입력_파견수련계획!$AD$4:$AD$803))&gt;0,"다기관 기간 → 소속병원 지급",IF(AND(N($X325)&lt;=0,$AQ325=""),"파견 없음 → 그 달 근무병원 지급",IF($AH325+$AI325=DAY(EOMONTH(출력_요약!$B$3,0)),"서울 "&amp;$AH325&amp;"일 / 구리 "&amp;$AI325&amp;"일"&amp;IF($AQ325&lt;&gt;""," (구리 근무자명단 반영)","")&amp;" → 15일 이상 근무 병원 지급","타 병원 포함 → "&amp;IF($AJ325="","소속",INDEX(입력_파견수련계획!$T$4:$T$803,$AJ325))&amp;" 규칙"))))</f>
        <v/>
      </c>
      <c r="AP325" s="10">
        <f>IF($B325="","",$C325&amp;"|"&amp;$F325)</f>
        <v/>
      </c>
      <c r="AQ325" s="10">
        <f>IF($B325="","",IFERROR(MATCH(ROW()-1,출력_구리근무자!$K$6:$K$305,0),""))</f>
        <v/>
      </c>
      <c r="AR325" s="10">
        <f>IF($AQ325="","",INDEX(출력_구리근무자!$H$6:$H$305,$AQ325))</f>
        <v/>
      </c>
    </row>
    <row r="326">
      <c r="A326" s="10">
        <f>IF(B326="","",ROW()-1)</f>
        <v/>
      </c>
      <c r="B326" s="19" t="n"/>
      <c r="C326" s="10">
        <f>IF($AB326="","",IF(INDEX(입력_기본자료!$C$2:$C$1001,$AB326)="","",INDEX(입력_기본자료!$C$2:$C$1001,$AB326)))</f>
        <v/>
      </c>
      <c r="D326" s="10">
        <f>IF($AB326="","",IF(INDEX(입력_기본자료!$J$2:$J$1001,$AB326)="","",INDEX(입력_기본자료!$J$2:$J$1001,$AB326)))</f>
        <v/>
      </c>
      <c r="E326" s="11">
        <f>IF($AB326="","",IF(INDEX(입력_기본자료!$K$2:$K$1001,$AB326)="","",IF(NOT(ISNUMBER(INDEX(입력_기본자료!$K$2:$K$1001,$AB326))),INDEX(입력_기본자료!$K$2:$K$1001,$AB326),IF(INDEX(입력_기본자료!$K$2:$K$1001,$AB326)&lt;1000000,INDEX(입력_기본자료!$K$2:$K$1001,$AB326),IF(AND(INDEX(입력_기본자료!$K$2:$K$1001,$AB326)&gt;=10000101,INT(MOD(INDEX(입력_기본자료!$K$2:$K$1001,$AB326),10000)/100)&gt;=1,INT(MOD(INDEX(입력_기본자료!$K$2:$K$1001,$AB326),10000)/100)&lt;=12,MOD(INDEX(입력_기본자료!$K$2:$K$1001,$AB326),100)&gt;=1,MOD(INDEX(입력_기본자료!$K$2:$K$1001,$AB326),100)&lt;=31),DATE(INT(INDEX(입력_기본자료!$K$2:$K$1001,$AB326)/10000),INT(MOD(INDEX(입력_기본자료!$K$2:$K$1001,$AB326),10000)/100),MOD(INDEX(입력_기본자료!$K$2:$K$1001,$AB326),100)),INDEX(입력_기본자료!$K$2:$K$1001,$AB326)&amp;"")))))</f>
        <v/>
      </c>
      <c r="F326" s="10">
        <f>IF($AB326="","",IF(INDEX(입력_기본자료!$D$2:$D$1001,$AB326)="","",INDEX(입력_기본자료!$D$2:$D$1001,$AB326)))</f>
        <v/>
      </c>
      <c r="G326" s="10">
        <f>IF($AB326="","",IF(INDEX(입력_기본자료!$E$2:$E$1001,$AB326)="","",INDEX(입력_기본자료!$E$2:$E$1001,$AB326)))</f>
        <v/>
      </c>
      <c r="H326" s="10">
        <f>IF($AB326="","",IF(INDEX(입력_기본자료!$F$2:$F$1001,$AB326)="","",INDEX(입력_기본자료!$F$2:$F$1001,$AB326)))</f>
        <v/>
      </c>
      <c r="I326" s="11">
        <f>IF($AB326="","",IF(INDEX(입력_기본자료!$G$2:$G$1001,$AB326)="","",IF(NOT(ISNUMBER(INDEX(입력_기본자료!$G$2:$G$1001,$AB326))),INDEX(입력_기본자료!$G$2:$G$1001,$AB326),IF(INDEX(입력_기본자료!$G$2:$G$1001,$AB326)&lt;1000000,INDEX(입력_기본자료!$G$2:$G$1001,$AB326),IF(AND(INDEX(입력_기본자료!$G$2:$G$1001,$AB326)&gt;=10000101,INT(MOD(INDEX(입력_기본자료!$G$2:$G$1001,$AB326),10000)/100)&gt;=1,INT(MOD(INDEX(입력_기본자료!$G$2:$G$1001,$AB326),10000)/100)&lt;=12,MOD(INDEX(입력_기본자료!$G$2:$G$1001,$AB326),100)&gt;=1,MOD(INDEX(입력_기본자료!$G$2:$G$1001,$AB326),100)&lt;=31),DATE(INT(INDEX(입력_기본자료!$G$2:$G$1001,$AB326)/10000),INT(MOD(INDEX(입력_기본자료!$G$2:$G$1001,$AB326),10000)/100),MOD(INDEX(입력_기본자료!$G$2:$G$1001,$AB326),100)),INDEX(입력_기본자료!$G$2:$G$1001,$AB326)&amp;"")))))</f>
        <v/>
      </c>
      <c r="J326" s="10">
        <f>IF($AB326="","",IF(INDEX(입력_기본자료!$H$2:$H$1001,$AB326)="","",INDEX(입력_기본자료!$H$2:$H$1001,$AB326)))</f>
        <v/>
      </c>
      <c r="K326" s="10">
        <f>IF($AB326="","",IF(INDEX(입력_기본자료!$I$2:$I$1001,$AB326)="","",INDEX(입력_기본자료!$I$2:$I$1001,$AB326)))</f>
        <v/>
      </c>
      <c r="L326" s="10">
        <f>IF($AB326="","",IF(INDEX(입력_기본자료!$A$2:$A$1001,$AB326)="","",INDEX(입력_기본자료!$A$2:$A$1001,$AB326)))</f>
        <v/>
      </c>
      <c r="M326" s="15" t="n"/>
      <c r="N326" s="10">
        <f>IF($B326="","",IF(AND($U326="파견중",$Q326&lt;&gt;""),$Q326,IF(AND($AD326&lt;&gt;"",LEFT($AD326,1)&lt;&gt;"⚠"),LEFT($AD326,FIND(" ",$AD326)-1),IF($H326="","",IF(RIGHT($H326,2)="병원",$H326,$H326&amp;"병원")))))</f>
        <v/>
      </c>
      <c r="O326" s="10">
        <f>IF($B326="","",IF(AND($U326="파견중",$Q326&lt;&gt;""),IF($R326&lt;&gt;"",$R326,"파견과 미입력"),IF(AND($AD326&lt;&gt;"",LEFT($AD326,1)&lt;&gt;"⚠"),MID($AD326,FIND(" ",$AD326)+1,60),IF($F326="","",IF($F326="인턴","수련교육부(인턴)",$F326)))))</f>
        <v/>
      </c>
      <c r="P326" s="10">
        <f>IF($B326="","",IF($AK326&lt;&gt;"",IF(AND(TODAY()&gt;=INDEX(입력_파견수련계획!$AB$4:$AB$803,$AK326),OR(NOT(ISNUMBER(INDEX(입력_파견수련계획!$AC$4:$AC$803,$AK326))),TODAY()&lt;=INDEX(입력_파견수련계획!$AC$4:$AC$803,$AK326))),"다기관",IF($AF326="","",INDEX(입력_파견수련계획!$T$4:$T$803,$AF326))),IF($AF326="","",INDEX(입력_파견수련계획!$T$4:$T$803,$AF326))))</f>
        <v/>
      </c>
      <c r="Q326" s="10">
        <f>IF($AF326="","",INDEX(입력_파견수련계획!$S$4:$S$803,$AF326))</f>
        <v/>
      </c>
      <c r="R326" s="10">
        <f>IF($AF326="","",INDEX(입력_파견수련계획!$U$4:$U$803,$AF326))</f>
        <v/>
      </c>
      <c r="S326" s="11">
        <f>IF($AF326="","",IF(INDEX(입력_파견수련계획!$H$4:$H$803,$AF326)="","",INDEX(입력_파견수련계획!$H$4:$H$803,$AF326)))</f>
        <v/>
      </c>
      <c r="T326" s="11">
        <f>IF($AF326="","",IF(INDEX(입력_파견수련계획!$I$4:$I$803,$AF326)="","",INDEX(입력_파견수련계획!$I$4:$I$803,$AF326)))</f>
        <v/>
      </c>
      <c r="U326" s="10">
        <f>IF($AF326="","",INDEX(입력_파견수련계획!$X$4:$X$803,$AF326))</f>
        <v/>
      </c>
      <c r="V326" s="17">
        <f>IF($AF326="","",INDEX(입력_파견수련계획!$V$4:$V$803,$AF326))</f>
        <v/>
      </c>
      <c r="W326" s="17">
        <f>IF(AND($U326="파견중",$T326&lt;&gt;""),$T326-TODAY(),"")</f>
        <v/>
      </c>
      <c r="X326" s="17">
        <f>IF(OR($B326="",TRIM($J326&amp;"")=""),"",SUMPRODUCT((입력_파견수련계획!$Q$4:$Q$803=TRIM($J326&amp;""))*입력_파견수련계획!$W$4:$W$803))</f>
        <v/>
      </c>
      <c r="Y326" s="10">
        <f>IF($B326="","",IF($AG326="","",IF(IF(TRIM($J326&amp;"")="",0,SUMPRODUCT((입력_파견수련계획!$Q$4:$Q$803=TRIM($J326&amp;""))*입력_파견수련계획!$AD$4:$AD$803))&gt;0,$AE326,IF(AND(N($X326)&lt;=0,$AQ326=""),$AG326,IF($AH326+$AI326=DAY(EOMONTH(출력_요약!$B$3,0)),IF(AND($AH326&gt;=출력_요약!$E$3,$AI326&lt;출력_요약!$E$3),"서울병원",IF(AND($AI326&gt;=출력_요약!$E$3,$AH326&lt;출력_요약!$E$3),"구리병원","⚠15일 판정불가(서울 "&amp;$AH326&amp;"일/구리 "&amp;$AI326&amp;"일)")),IF($AJ326="",$AE326,IF(INDEX(입력_파견수련계획!$T$4:$T$803,$AJ326)="통합수련",INDEX(입력_파견수련계획!$S$4:$S$803,$AJ326),$AE326)))))))</f>
        <v/>
      </c>
      <c r="Z326" s="20">
        <f>IF($B326="","",IF($AB326="","기본자료에 없는 사번",IF(COUNTIF($B$2:$B$401,$B326)&gt;1,"중복 사번",IF($AE326="","소속(입사장소) 입력",IF(IF(TRIM($J326&amp;"")="",0,SUMPRODUCT((입력_파견수련계획!$Q$4:$Q$803=TRIM($J326&amp;""))*(입력_파견수련계획!$AA$4:$AA$803&lt;&gt;"")))&gt;0,"파견수련계획 입력오류 확인",IF(LEFT($Y326,1)="⚠","서울·구리 15일 판정 불가(양쪽 모두 이상/미만)",IF(IF($AC326="",0,N(INDEX(입력_인턴근무계획!$T$3:$T$402,$AC326)))&gt;0,"인턴계획 입력오류 확인",IF(AND($AQ326&lt;&gt;"",$AG326&lt;&gt;"구리병원",IF(TRIM($J326&amp;"")="",0,SUMPRODUCT((입력_파견수련계획!$Q$4:$Q$803=TRIM($J326&amp;""))*(입력_파견수련계획!$S$4:$S$803="구리병원")*입력_파견수련계획!$W$4:$W$803))=0),"구리 근무자명단에만 있음(파견수련계획 확인)",IF(AND($AC326&lt;&gt;"",$U326&lt;&gt;"파견중",$N326&lt;&gt;$AE326),"인턴 타지역 근무: 파견 여부 확인","정상")))))))))</f>
        <v/>
      </c>
      <c r="AA326" s="5" t="n"/>
      <c r="AB326" s="10">
        <f>IF($B326="","",IFERROR(MATCH($B326,입력_기본자료!$B$2:$B$1001,0),IFERROR(MATCH($B326&amp;"",입력_기본자료!$B$2:$B$1001,0),IFERROR(MATCH(VALUE($B326),입력_기본자료!$B$2:$B$1001,0),""))))</f>
        <v/>
      </c>
      <c r="AC326" s="10">
        <f>IF($B326="","",IFERROR(MATCH($B326,입력_인턴근무계획!$D$3:$D$402,0),IFERROR(MATCH($B326&amp;"",입력_인턴근무계획!$D$3:$D$402,0),IFERROR(MATCH(VALUE($B326),입력_인턴근무계획!$D$3:$D$402,0),""))))</f>
        <v/>
      </c>
      <c r="AD326" s="10">
        <f>IF(OR($AC326="",출력_인턴현황!$G$3=""),"",INDEX(입력_인턴근무계획!$M$3:$R$402,$AC326,출력_인턴현황!$G$3)&amp;"")</f>
        <v/>
      </c>
      <c r="AE326" s="10">
        <f>IF($B326="","",IF($M326&lt;&gt;"",$M326,IF(IF($AQ326="",FALSE,INDEX(출력_구리근무자!$J$6:$J$305,$AQ326)="구리독자"),"구리병원",IF($AF326&lt;&gt;"",IF(LEFT(INDEX(입력_파견수련계획!$R$4:$R$803,$AF326),1)&lt;&gt;"⚠",INDEX(입력_파견수련계획!$R$4:$R$803,$AF326),IF($H326="","",IF(RIGHT($H326,2)="병원",$H326,$H326&amp;"병원"))),IF($H326="","",IF(RIGHT($H326,2)="병원",$H326,$H326&amp;"병원"))))))</f>
        <v/>
      </c>
      <c r="AF326" s="10">
        <f>IF(OR($B326="",TRIM($J326&amp;"")=""),"",IFERROR(MATCH(TRIM($J326&amp;"")&amp;"|파견중",입력_파견수련계획!$Y$4:$Y$803,0),IFERROR(MATCH(TRIM($J326&amp;"")&amp;"|파견예정",입력_파견수련계획!$Y$4:$Y$803,0),IFERROR(MATCH(TRIM($J326&amp;"")&amp;"|파견종료",입력_파견수련계획!$Y$4:$Y$803,0),""))))</f>
        <v/>
      </c>
      <c r="AG326" s="10">
        <f>IF($B326="","",IF(AND(IF(OR($AC326="",출력_인턴현황!$K$2=""),"",INDEX(입력_인턴근무계획!$M$3:$R$402,$AC326,출력_인턴현황!$K$2)&amp;"")&lt;&gt;"",LEFT(IF(OR($AC326="",출력_인턴현황!$K$2=""),"",INDEX(입력_인턴근무계획!$M$3:$R$402,$AC326,출력_인턴현황!$K$2)&amp;""),1)&lt;&gt;"⚠"),LEFT(IF(OR($AC326="",출력_인턴현황!$K$2=""),"",INDEX(입력_인턴근무계획!$M$3:$R$402,$AC326,출력_인턴현황!$K$2)&amp;""),FIND(" ",IF(OR($AC326="",출력_인턴현황!$K$2=""),"",INDEX(입력_인턴근무계획!$M$3:$R$402,$AC326,출력_인턴현황!$K$2)&amp;""))-1),$AE326))</f>
        <v/>
      </c>
      <c r="AH326" s="17">
        <f>IF($B326="","",IF($AQ326&lt;&gt;"",MAX(0,DAY(EOMONTH(출력_요약!$B$3,0))-N($AR326)),IF(TRIM($J326&amp;"")="",0,SUMPRODUCT((입력_파견수련계획!$Q$4:$Q$803=TRIM($J326&amp;""))*(입력_파견수련계획!$S$4:$S$803="서울병원")*입력_파견수련계획!$W$4:$W$803))+IF($AG326="서울병원",MAX(0,DAY(EOMONTH(출력_요약!$B$3,0))-N($X326)),0)))</f>
        <v/>
      </c>
      <c r="AI326" s="17">
        <f>IF($B326="","",IF($AQ326&lt;&gt;"",N($AR326),IF(TRIM($J326&amp;"")="",0,SUMPRODUCT((입력_파견수련계획!$Q$4:$Q$803=TRIM($J326&amp;""))*(입력_파견수련계획!$S$4:$S$803="구리병원")*입력_파견수련계획!$W$4:$W$803))+IF($AG326="구리병원",MAX(0,DAY(EOMONTH(출력_요약!$B$3,0))-N($X326)),0)))</f>
        <v/>
      </c>
      <c r="AJ326" s="10">
        <f>IF(OR($B326="",TRIM($J326&amp;"")=""),"",IFERROR(MATCH(TRIM($J326&amp;"")&amp;"|월",입력_파견수련계획!$Z$4:$Z$803,0),""))</f>
        <v/>
      </c>
      <c r="AK326" s="10">
        <f>IF(OR($B326="",TRIM($J326&amp;"")=""),"",IFERROR(MATCH(TRIM($J326&amp;"")&amp;"|다기관",입력_파견수련계획!$AE$4:$AE$803,0),""))</f>
        <v/>
      </c>
      <c r="AL326" s="10">
        <f>IF($AK326="","","다기관 "&amp;TEXT(INDEX(입력_파견수련계획!$AB$4:$AB$803,$AK326),"yyyy-mm-dd")&amp;"~"&amp;IF(ISNUMBER(INDEX(입력_파견수련계획!$AC$4:$AC$803,$AK326)),TEXT(INDEX(입력_파견수련계획!$AC$4:$AC$803,$AK326),"yyyy-mm-dd"),""))</f>
        <v/>
      </c>
      <c r="AM326" s="10">
        <f>IF($Y326="서울병원",COUNTIF($Y$2:$Y326,"서울병원"),"")</f>
        <v/>
      </c>
      <c r="AN326" s="10">
        <f>IF(LEFT($Y326,1)="⚠",COUNTIF($Y$2:$Y326,"⚠*"),"")</f>
        <v/>
      </c>
      <c r="AO326" s="10">
        <f>IF(OR($B326="",$Y326=""),"",IF(IF(TRIM($J326&amp;"")="",0,SUMPRODUCT((입력_파견수련계획!$Q$4:$Q$803=TRIM($J326&amp;""))*입력_파견수련계획!$AD$4:$AD$803))&gt;0,"다기관 기간 → 소속병원 지급",IF(AND(N($X326)&lt;=0,$AQ326=""),"파견 없음 → 그 달 근무병원 지급",IF($AH326+$AI326=DAY(EOMONTH(출력_요약!$B$3,0)),"서울 "&amp;$AH326&amp;"일 / 구리 "&amp;$AI326&amp;"일"&amp;IF($AQ326&lt;&gt;""," (구리 근무자명단 반영)","")&amp;" → 15일 이상 근무 병원 지급","타 병원 포함 → "&amp;IF($AJ326="","소속",INDEX(입력_파견수련계획!$T$4:$T$803,$AJ326))&amp;" 규칙"))))</f>
        <v/>
      </c>
      <c r="AP326" s="10">
        <f>IF($B326="","",$C326&amp;"|"&amp;$F326)</f>
        <v/>
      </c>
      <c r="AQ326" s="10">
        <f>IF($B326="","",IFERROR(MATCH(ROW()-1,출력_구리근무자!$K$6:$K$305,0),""))</f>
        <v/>
      </c>
      <c r="AR326" s="10">
        <f>IF($AQ326="","",INDEX(출력_구리근무자!$H$6:$H$305,$AQ326))</f>
        <v/>
      </c>
    </row>
    <row r="327">
      <c r="A327" s="10">
        <f>IF(B327="","",ROW()-1)</f>
        <v/>
      </c>
      <c r="B327" s="19" t="n"/>
      <c r="C327" s="10">
        <f>IF($AB327="","",IF(INDEX(입력_기본자료!$C$2:$C$1001,$AB327)="","",INDEX(입력_기본자료!$C$2:$C$1001,$AB327)))</f>
        <v/>
      </c>
      <c r="D327" s="10">
        <f>IF($AB327="","",IF(INDEX(입력_기본자료!$J$2:$J$1001,$AB327)="","",INDEX(입력_기본자료!$J$2:$J$1001,$AB327)))</f>
        <v/>
      </c>
      <c r="E327" s="11">
        <f>IF($AB327="","",IF(INDEX(입력_기본자료!$K$2:$K$1001,$AB327)="","",IF(NOT(ISNUMBER(INDEX(입력_기본자료!$K$2:$K$1001,$AB327))),INDEX(입력_기본자료!$K$2:$K$1001,$AB327),IF(INDEX(입력_기본자료!$K$2:$K$1001,$AB327)&lt;1000000,INDEX(입력_기본자료!$K$2:$K$1001,$AB327),IF(AND(INDEX(입력_기본자료!$K$2:$K$1001,$AB327)&gt;=10000101,INT(MOD(INDEX(입력_기본자료!$K$2:$K$1001,$AB327),10000)/100)&gt;=1,INT(MOD(INDEX(입력_기본자료!$K$2:$K$1001,$AB327),10000)/100)&lt;=12,MOD(INDEX(입력_기본자료!$K$2:$K$1001,$AB327),100)&gt;=1,MOD(INDEX(입력_기본자료!$K$2:$K$1001,$AB327),100)&lt;=31),DATE(INT(INDEX(입력_기본자료!$K$2:$K$1001,$AB327)/10000),INT(MOD(INDEX(입력_기본자료!$K$2:$K$1001,$AB327),10000)/100),MOD(INDEX(입력_기본자료!$K$2:$K$1001,$AB327),100)),INDEX(입력_기본자료!$K$2:$K$1001,$AB327)&amp;"")))))</f>
        <v/>
      </c>
      <c r="F327" s="10">
        <f>IF($AB327="","",IF(INDEX(입력_기본자료!$D$2:$D$1001,$AB327)="","",INDEX(입력_기본자료!$D$2:$D$1001,$AB327)))</f>
        <v/>
      </c>
      <c r="G327" s="10">
        <f>IF($AB327="","",IF(INDEX(입력_기본자료!$E$2:$E$1001,$AB327)="","",INDEX(입력_기본자료!$E$2:$E$1001,$AB327)))</f>
        <v/>
      </c>
      <c r="H327" s="10">
        <f>IF($AB327="","",IF(INDEX(입력_기본자료!$F$2:$F$1001,$AB327)="","",INDEX(입력_기본자료!$F$2:$F$1001,$AB327)))</f>
        <v/>
      </c>
      <c r="I327" s="11">
        <f>IF($AB327="","",IF(INDEX(입력_기본자료!$G$2:$G$1001,$AB327)="","",IF(NOT(ISNUMBER(INDEX(입력_기본자료!$G$2:$G$1001,$AB327))),INDEX(입력_기본자료!$G$2:$G$1001,$AB327),IF(INDEX(입력_기본자료!$G$2:$G$1001,$AB327)&lt;1000000,INDEX(입력_기본자료!$G$2:$G$1001,$AB327),IF(AND(INDEX(입력_기본자료!$G$2:$G$1001,$AB327)&gt;=10000101,INT(MOD(INDEX(입력_기본자료!$G$2:$G$1001,$AB327),10000)/100)&gt;=1,INT(MOD(INDEX(입력_기본자료!$G$2:$G$1001,$AB327),10000)/100)&lt;=12,MOD(INDEX(입력_기본자료!$G$2:$G$1001,$AB327),100)&gt;=1,MOD(INDEX(입력_기본자료!$G$2:$G$1001,$AB327),100)&lt;=31),DATE(INT(INDEX(입력_기본자료!$G$2:$G$1001,$AB327)/10000),INT(MOD(INDEX(입력_기본자료!$G$2:$G$1001,$AB327),10000)/100),MOD(INDEX(입력_기본자료!$G$2:$G$1001,$AB327),100)),INDEX(입력_기본자료!$G$2:$G$1001,$AB327)&amp;"")))))</f>
        <v/>
      </c>
      <c r="J327" s="10">
        <f>IF($AB327="","",IF(INDEX(입력_기본자료!$H$2:$H$1001,$AB327)="","",INDEX(입력_기본자료!$H$2:$H$1001,$AB327)))</f>
        <v/>
      </c>
      <c r="K327" s="10">
        <f>IF($AB327="","",IF(INDEX(입력_기본자료!$I$2:$I$1001,$AB327)="","",INDEX(입력_기본자료!$I$2:$I$1001,$AB327)))</f>
        <v/>
      </c>
      <c r="L327" s="10">
        <f>IF($AB327="","",IF(INDEX(입력_기본자료!$A$2:$A$1001,$AB327)="","",INDEX(입력_기본자료!$A$2:$A$1001,$AB327)))</f>
        <v/>
      </c>
      <c r="M327" s="15" t="n"/>
      <c r="N327" s="10">
        <f>IF($B327="","",IF(AND($U327="파견중",$Q327&lt;&gt;""),$Q327,IF(AND($AD327&lt;&gt;"",LEFT($AD327,1)&lt;&gt;"⚠"),LEFT($AD327,FIND(" ",$AD327)-1),IF($H327="","",IF(RIGHT($H327,2)="병원",$H327,$H327&amp;"병원")))))</f>
        <v/>
      </c>
      <c r="O327" s="10">
        <f>IF($B327="","",IF(AND($U327="파견중",$Q327&lt;&gt;""),IF($R327&lt;&gt;"",$R327,"파견과 미입력"),IF(AND($AD327&lt;&gt;"",LEFT($AD327,1)&lt;&gt;"⚠"),MID($AD327,FIND(" ",$AD327)+1,60),IF($F327="","",IF($F327="인턴","수련교육부(인턴)",$F327)))))</f>
        <v/>
      </c>
      <c r="P327" s="10">
        <f>IF($B327="","",IF($AK327&lt;&gt;"",IF(AND(TODAY()&gt;=INDEX(입력_파견수련계획!$AB$4:$AB$803,$AK327),OR(NOT(ISNUMBER(INDEX(입력_파견수련계획!$AC$4:$AC$803,$AK327))),TODAY()&lt;=INDEX(입력_파견수련계획!$AC$4:$AC$803,$AK327))),"다기관",IF($AF327="","",INDEX(입력_파견수련계획!$T$4:$T$803,$AF327))),IF($AF327="","",INDEX(입력_파견수련계획!$T$4:$T$803,$AF327))))</f>
        <v/>
      </c>
      <c r="Q327" s="10">
        <f>IF($AF327="","",INDEX(입력_파견수련계획!$S$4:$S$803,$AF327))</f>
        <v/>
      </c>
      <c r="R327" s="10">
        <f>IF($AF327="","",INDEX(입력_파견수련계획!$U$4:$U$803,$AF327))</f>
        <v/>
      </c>
      <c r="S327" s="11">
        <f>IF($AF327="","",IF(INDEX(입력_파견수련계획!$H$4:$H$803,$AF327)="","",INDEX(입력_파견수련계획!$H$4:$H$803,$AF327)))</f>
        <v/>
      </c>
      <c r="T327" s="11">
        <f>IF($AF327="","",IF(INDEX(입력_파견수련계획!$I$4:$I$803,$AF327)="","",INDEX(입력_파견수련계획!$I$4:$I$803,$AF327)))</f>
        <v/>
      </c>
      <c r="U327" s="10">
        <f>IF($AF327="","",INDEX(입력_파견수련계획!$X$4:$X$803,$AF327))</f>
        <v/>
      </c>
      <c r="V327" s="17">
        <f>IF($AF327="","",INDEX(입력_파견수련계획!$V$4:$V$803,$AF327))</f>
        <v/>
      </c>
      <c r="W327" s="17">
        <f>IF(AND($U327="파견중",$T327&lt;&gt;""),$T327-TODAY(),"")</f>
        <v/>
      </c>
      <c r="X327" s="17">
        <f>IF(OR($B327="",TRIM($J327&amp;"")=""),"",SUMPRODUCT((입력_파견수련계획!$Q$4:$Q$803=TRIM($J327&amp;""))*입력_파견수련계획!$W$4:$W$803))</f>
        <v/>
      </c>
      <c r="Y327" s="10">
        <f>IF($B327="","",IF($AG327="","",IF(IF(TRIM($J327&amp;"")="",0,SUMPRODUCT((입력_파견수련계획!$Q$4:$Q$803=TRIM($J327&amp;""))*입력_파견수련계획!$AD$4:$AD$803))&gt;0,$AE327,IF(AND(N($X327)&lt;=0,$AQ327=""),$AG327,IF($AH327+$AI327=DAY(EOMONTH(출력_요약!$B$3,0)),IF(AND($AH327&gt;=출력_요약!$E$3,$AI327&lt;출력_요약!$E$3),"서울병원",IF(AND($AI327&gt;=출력_요약!$E$3,$AH327&lt;출력_요약!$E$3),"구리병원","⚠15일 판정불가(서울 "&amp;$AH327&amp;"일/구리 "&amp;$AI327&amp;"일)")),IF($AJ327="",$AE327,IF(INDEX(입력_파견수련계획!$T$4:$T$803,$AJ327)="통합수련",INDEX(입력_파견수련계획!$S$4:$S$803,$AJ327),$AE327)))))))</f>
        <v/>
      </c>
      <c r="Z327" s="20">
        <f>IF($B327="","",IF($AB327="","기본자료에 없는 사번",IF(COUNTIF($B$2:$B$401,$B327)&gt;1,"중복 사번",IF($AE327="","소속(입사장소) 입력",IF(IF(TRIM($J327&amp;"")="",0,SUMPRODUCT((입력_파견수련계획!$Q$4:$Q$803=TRIM($J327&amp;""))*(입력_파견수련계획!$AA$4:$AA$803&lt;&gt;"")))&gt;0,"파견수련계획 입력오류 확인",IF(LEFT($Y327,1)="⚠","서울·구리 15일 판정 불가(양쪽 모두 이상/미만)",IF(IF($AC327="",0,N(INDEX(입력_인턴근무계획!$T$3:$T$402,$AC327)))&gt;0,"인턴계획 입력오류 확인",IF(AND($AQ327&lt;&gt;"",$AG327&lt;&gt;"구리병원",IF(TRIM($J327&amp;"")="",0,SUMPRODUCT((입력_파견수련계획!$Q$4:$Q$803=TRIM($J327&amp;""))*(입력_파견수련계획!$S$4:$S$803="구리병원")*입력_파견수련계획!$W$4:$W$803))=0),"구리 근무자명단에만 있음(파견수련계획 확인)",IF(AND($AC327&lt;&gt;"",$U327&lt;&gt;"파견중",$N327&lt;&gt;$AE327),"인턴 타지역 근무: 파견 여부 확인","정상")))))))))</f>
        <v/>
      </c>
      <c r="AA327" s="5" t="n"/>
      <c r="AB327" s="10">
        <f>IF($B327="","",IFERROR(MATCH($B327,입력_기본자료!$B$2:$B$1001,0),IFERROR(MATCH($B327&amp;"",입력_기본자료!$B$2:$B$1001,0),IFERROR(MATCH(VALUE($B327),입력_기본자료!$B$2:$B$1001,0),""))))</f>
        <v/>
      </c>
      <c r="AC327" s="10">
        <f>IF($B327="","",IFERROR(MATCH($B327,입력_인턴근무계획!$D$3:$D$402,0),IFERROR(MATCH($B327&amp;"",입력_인턴근무계획!$D$3:$D$402,0),IFERROR(MATCH(VALUE($B327),입력_인턴근무계획!$D$3:$D$402,0),""))))</f>
        <v/>
      </c>
      <c r="AD327" s="10">
        <f>IF(OR($AC327="",출력_인턴현황!$G$3=""),"",INDEX(입력_인턴근무계획!$M$3:$R$402,$AC327,출력_인턴현황!$G$3)&amp;"")</f>
        <v/>
      </c>
      <c r="AE327" s="10">
        <f>IF($B327="","",IF($M327&lt;&gt;"",$M327,IF(IF($AQ327="",FALSE,INDEX(출력_구리근무자!$J$6:$J$305,$AQ327)="구리독자"),"구리병원",IF($AF327&lt;&gt;"",IF(LEFT(INDEX(입력_파견수련계획!$R$4:$R$803,$AF327),1)&lt;&gt;"⚠",INDEX(입력_파견수련계획!$R$4:$R$803,$AF327),IF($H327="","",IF(RIGHT($H327,2)="병원",$H327,$H327&amp;"병원"))),IF($H327="","",IF(RIGHT($H327,2)="병원",$H327,$H327&amp;"병원"))))))</f>
        <v/>
      </c>
      <c r="AF327" s="10">
        <f>IF(OR($B327="",TRIM($J327&amp;"")=""),"",IFERROR(MATCH(TRIM($J327&amp;"")&amp;"|파견중",입력_파견수련계획!$Y$4:$Y$803,0),IFERROR(MATCH(TRIM($J327&amp;"")&amp;"|파견예정",입력_파견수련계획!$Y$4:$Y$803,0),IFERROR(MATCH(TRIM($J327&amp;"")&amp;"|파견종료",입력_파견수련계획!$Y$4:$Y$803,0),""))))</f>
        <v/>
      </c>
      <c r="AG327" s="10">
        <f>IF($B327="","",IF(AND(IF(OR($AC327="",출력_인턴현황!$K$2=""),"",INDEX(입력_인턴근무계획!$M$3:$R$402,$AC327,출력_인턴현황!$K$2)&amp;"")&lt;&gt;"",LEFT(IF(OR($AC327="",출력_인턴현황!$K$2=""),"",INDEX(입력_인턴근무계획!$M$3:$R$402,$AC327,출력_인턴현황!$K$2)&amp;""),1)&lt;&gt;"⚠"),LEFT(IF(OR($AC327="",출력_인턴현황!$K$2=""),"",INDEX(입력_인턴근무계획!$M$3:$R$402,$AC327,출력_인턴현황!$K$2)&amp;""),FIND(" ",IF(OR($AC327="",출력_인턴현황!$K$2=""),"",INDEX(입력_인턴근무계획!$M$3:$R$402,$AC327,출력_인턴현황!$K$2)&amp;""))-1),$AE327))</f>
        <v/>
      </c>
      <c r="AH327" s="17">
        <f>IF($B327="","",IF($AQ327&lt;&gt;"",MAX(0,DAY(EOMONTH(출력_요약!$B$3,0))-N($AR327)),IF(TRIM($J327&amp;"")="",0,SUMPRODUCT((입력_파견수련계획!$Q$4:$Q$803=TRIM($J327&amp;""))*(입력_파견수련계획!$S$4:$S$803="서울병원")*입력_파견수련계획!$W$4:$W$803))+IF($AG327="서울병원",MAX(0,DAY(EOMONTH(출력_요약!$B$3,0))-N($X327)),0)))</f>
        <v/>
      </c>
      <c r="AI327" s="17">
        <f>IF($B327="","",IF($AQ327&lt;&gt;"",N($AR327),IF(TRIM($J327&amp;"")="",0,SUMPRODUCT((입력_파견수련계획!$Q$4:$Q$803=TRIM($J327&amp;""))*(입력_파견수련계획!$S$4:$S$803="구리병원")*입력_파견수련계획!$W$4:$W$803))+IF($AG327="구리병원",MAX(0,DAY(EOMONTH(출력_요약!$B$3,0))-N($X327)),0)))</f>
        <v/>
      </c>
      <c r="AJ327" s="10">
        <f>IF(OR($B327="",TRIM($J327&amp;"")=""),"",IFERROR(MATCH(TRIM($J327&amp;"")&amp;"|월",입력_파견수련계획!$Z$4:$Z$803,0),""))</f>
        <v/>
      </c>
      <c r="AK327" s="10">
        <f>IF(OR($B327="",TRIM($J327&amp;"")=""),"",IFERROR(MATCH(TRIM($J327&amp;"")&amp;"|다기관",입력_파견수련계획!$AE$4:$AE$803,0),""))</f>
        <v/>
      </c>
      <c r="AL327" s="10">
        <f>IF($AK327="","","다기관 "&amp;TEXT(INDEX(입력_파견수련계획!$AB$4:$AB$803,$AK327),"yyyy-mm-dd")&amp;"~"&amp;IF(ISNUMBER(INDEX(입력_파견수련계획!$AC$4:$AC$803,$AK327)),TEXT(INDEX(입력_파견수련계획!$AC$4:$AC$803,$AK327),"yyyy-mm-dd"),""))</f>
        <v/>
      </c>
      <c r="AM327" s="10">
        <f>IF($Y327="서울병원",COUNTIF($Y$2:$Y327,"서울병원"),"")</f>
        <v/>
      </c>
      <c r="AN327" s="10">
        <f>IF(LEFT($Y327,1)="⚠",COUNTIF($Y$2:$Y327,"⚠*"),"")</f>
        <v/>
      </c>
      <c r="AO327" s="10">
        <f>IF(OR($B327="",$Y327=""),"",IF(IF(TRIM($J327&amp;"")="",0,SUMPRODUCT((입력_파견수련계획!$Q$4:$Q$803=TRIM($J327&amp;""))*입력_파견수련계획!$AD$4:$AD$803))&gt;0,"다기관 기간 → 소속병원 지급",IF(AND(N($X327)&lt;=0,$AQ327=""),"파견 없음 → 그 달 근무병원 지급",IF($AH327+$AI327=DAY(EOMONTH(출력_요약!$B$3,0)),"서울 "&amp;$AH327&amp;"일 / 구리 "&amp;$AI327&amp;"일"&amp;IF($AQ327&lt;&gt;""," (구리 근무자명단 반영)","")&amp;" → 15일 이상 근무 병원 지급","타 병원 포함 → "&amp;IF($AJ327="","소속",INDEX(입력_파견수련계획!$T$4:$T$803,$AJ327))&amp;" 규칙"))))</f>
        <v/>
      </c>
      <c r="AP327" s="10">
        <f>IF($B327="","",$C327&amp;"|"&amp;$F327)</f>
        <v/>
      </c>
      <c r="AQ327" s="10">
        <f>IF($B327="","",IFERROR(MATCH(ROW()-1,출력_구리근무자!$K$6:$K$305,0),""))</f>
        <v/>
      </c>
      <c r="AR327" s="10">
        <f>IF($AQ327="","",INDEX(출력_구리근무자!$H$6:$H$305,$AQ327))</f>
        <v/>
      </c>
    </row>
    <row r="328">
      <c r="A328" s="10">
        <f>IF(B328="","",ROW()-1)</f>
        <v/>
      </c>
      <c r="B328" s="19" t="n"/>
      <c r="C328" s="10">
        <f>IF($AB328="","",IF(INDEX(입력_기본자료!$C$2:$C$1001,$AB328)="","",INDEX(입력_기본자료!$C$2:$C$1001,$AB328)))</f>
        <v/>
      </c>
      <c r="D328" s="10">
        <f>IF($AB328="","",IF(INDEX(입력_기본자료!$J$2:$J$1001,$AB328)="","",INDEX(입력_기본자료!$J$2:$J$1001,$AB328)))</f>
        <v/>
      </c>
      <c r="E328" s="11">
        <f>IF($AB328="","",IF(INDEX(입력_기본자료!$K$2:$K$1001,$AB328)="","",IF(NOT(ISNUMBER(INDEX(입력_기본자료!$K$2:$K$1001,$AB328))),INDEX(입력_기본자료!$K$2:$K$1001,$AB328),IF(INDEX(입력_기본자료!$K$2:$K$1001,$AB328)&lt;1000000,INDEX(입력_기본자료!$K$2:$K$1001,$AB328),IF(AND(INDEX(입력_기본자료!$K$2:$K$1001,$AB328)&gt;=10000101,INT(MOD(INDEX(입력_기본자료!$K$2:$K$1001,$AB328),10000)/100)&gt;=1,INT(MOD(INDEX(입력_기본자료!$K$2:$K$1001,$AB328),10000)/100)&lt;=12,MOD(INDEX(입력_기본자료!$K$2:$K$1001,$AB328),100)&gt;=1,MOD(INDEX(입력_기본자료!$K$2:$K$1001,$AB328),100)&lt;=31),DATE(INT(INDEX(입력_기본자료!$K$2:$K$1001,$AB328)/10000),INT(MOD(INDEX(입력_기본자료!$K$2:$K$1001,$AB328),10000)/100),MOD(INDEX(입력_기본자료!$K$2:$K$1001,$AB328),100)),INDEX(입력_기본자료!$K$2:$K$1001,$AB328)&amp;"")))))</f>
        <v/>
      </c>
      <c r="F328" s="10">
        <f>IF($AB328="","",IF(INDEX(입력_기본자료!$D$2:$D$1001,$AB328)="","",INDEX(입력_기본자료!$D$2:$D$1001,$AB328)))</f>
        <v/>
      </c>
      <c r="G328" s="10">
        <f>IF($AB328="","",IF(INDEX(입력_기본자료!$E$2:$E$1001,$AB328)="","",INDEX(입력_기본자료!$E$2:$E$1001,$AB328)))</f>
        <v/>
      </c>
      <c r="H328" s="10">
        <f>IF($AB328="","",IF(INDEX(입력_기본자료!$F$2:$F$1001,$AB328)="","",INDEX(입력_기본자료!$F$2:$F$1001,$AB328)))</f>
        <v/>
      </c>
      <c r="I328" s="11">
        <f>IF($AB328="","",IF(INDEX(입력_기본자료!$G$2:$G$1001,$AB328)="","",IF(NOT(ISNUMBER(INDEX(입력_기본자료!$G$2:$G$1001,$AB328))),INDEX(입력_기본자료!$G$2:$G$1001,$AB328),IF(INDEX(입력_기본자료!$G$2:$G$1001,$AB328)&lt;1000000,INDEX(입력_기본자료!$G$2:$G$1001,$AB328),IF(AND(INDEX(입력_기본자료!$G$2:$G$1001,$AB328)&gt;=10000101,INT(MOD(INDEX(입력_기본자료!$G$2:$G$1001,$AB328),10000)/100)&gt;=1,INT(MOD(INDEX(입력_기본자료!$G$2:$G$1001,$AB328),10000)/100)&lt;=12,MOD(INDEX(입력_기본자료!$G$2:$G$1001,$AB328),100)&gt;=1,MOD(INDEX(입력_기본자료!$G$2:$G$1001,$AB328),100)&lt;=31),DATE(INT(INDEX(입력_기본자료!$G$2:$G$1001,$AB328)/10000),INT(MOD(INDEX(입력_기본자료!$G$2:$G$1001,$AB328),10000)/100),MOD(INDEX(입력_기본자료!$G$2:$G$1001,$AB328),100)),INDEX(입력_기본자료!$G$2:$G$1001,$AB328)&amp;"")))))</f>
        <v/>
      </c>
      <c r="J328" s="10">
        <f>IF($AB328="","",IF(INDEX(입력_기본자료!$H$2:$H$1001,$AB328)="","",INDEX(입력_기본자료!$H$2:$H$1001,$AB328)))</f>
        <v/>
      </c>
      <c r="K328" s="10">
        <f>IF($AB328="","",IF(INDEX(입력_기본자료!$I$2:$I$1001,$AB328)="","",INDEX(입력_기본자료!$I$2:$I$1001,$AB328)))</f>
        <v/>
      </c>
      <c r="L328" s="10">
        <f>IF($AB328="","",IF(INDEX(입력_기본자료!$A$2:$A$1001,$AB328)="","",INDEX(입력_기본자료!$A$2:$A$1001,$AB328)))</f>
        <v/>
      </c>
      <c r="M328" s="15" t="n"/>
      <c r="N328" s="10">
        <f>IF($B328="","",IF(AND($U328="파견중",$Q328&lt;&gt;""),$Q328,IF(AND($AD328&lt;&gt;"",LEFT($AD328,1)&lt;&gt;"⚠"),LEFT($AD328,FIND(" ",$AD328)-1),IF($H328="","",IF(RIGHT($H328,2)="병원",$H328,$H328&amp;"병원")))))</f>
        <v/>
      </c>
      <c r="O328" s="10">
        <f>IF($B328="","",IF(AND($U328="파견중",$Q328&lt;&gt;""),IF($R328&lt;&gt;"",$R328,"파견과 미입력"),IF(AND($AD328&lt;&gt;"",LEFT($AD328,1)&lt;&gt;"⚠"),MID($AD328,FIND(" ",$AD328)+1,60),IF($F328="","",IF($F328="인턴","수련교육부(인턴)",$F328)))))</f>
        <v/>
      </c>
      <c r="P328" s="10">
        <f>IF($B328="","",IF($AK328&lt;&gt;"",IF(AND(TODAY()&gt;=INDEX(입력_파견수련계획!$AB$4:$AB$803,$AK328),OR(NOT(ISNUMBER(INDEX(입력_파견수련계획!$AC$4:$AC$803,$AK328))),TODAY()&lt;=INDEX(입력_파견수련계획!$AC$4:$AC$803,$AK328))),"다기관",IF($AF328="","",INDEX(입력_파견수련계획!$T$4:$T$803,$AF328))),IF($AF328="","",INDEX(입력_파견수련계획!$T$4:$T$803,$AF328))))</f>
        <v/>
      </c>
      <c r="Q328" s="10">
        <f>IF($AF328="","",INDEX(입력_파견수련계획!$S$4:$S$803,$AF328))</f>
        <v/>
      </c>
      <c r="R328" s="10">
        <f>IF($AF328="","",INDEX(입력_파견수련계획!$U$4:$U$803,$AF328))</f>
        <v/>
      </c>
      <c r="S328" s="11">
        <f>IF($AF328="","",IF(INDEX(입력_파견수련계획!$H$4:$H$803,$AF328)="","",INDEX(입력_파견수련계획!$H$4:$H$803,$AF328)))</f>
        <v/>
      </c>
      <c r="T328" s="11">
        <f>IF($AF328="","",IF(INDEX(입력_파견수련계획!$I$4:$I$803,$AF328)="","",INDEX(입력_파견수련계획!$I$4:$I$803,$AF328)))</f>
        <v/>
      </c>
      <c r="U328" s="10">
        <f>IF($AF328="","",INDEX(입력_파견수련계획!$X$4:$X$803,$AF328))</f>
        <v/>
      </c>
      <c r="V328" s="17">
        <f>IF($AF328="","",INDEX(입력_파견수련계획!$V$4:$V$803,$AF328))</f>
        <v/>
      </c>
      <c r="W328" s="17">
        <f>IF(AND($U328="파견중",$T328&lt;&gt;""),$T328-TODAY(),"")</f>
        <v/>
      </c>
      <c r="X328" s="17">
        <f>IF(OR($B328="",TRIM($J328&amp;"")=""),"",SUMPRODUCT((입력_파견수련계획!$Q$4:$Q$803=TRIM($J328&amp;""))*입력_파견수련계획!$W$4:$W$803))</f>
        <v/>
      </c>
      <c r="Y328" s="10">
        <f>IF($B328="","",IF($AG328="","",IF(IF(TRIM($J328&amp;"")="",0,SUMPRODUCT((입력_파견수련계획!$Q$4:$Q$803=TRIM($J328&amp;""))*입력_파견수련계획!$AD$4:$AD$803))&gt;0,$AE328,IF(AND(N($X328)&lt;=0,$AQ328=""),$AG328,IF($AH328+$AI328=DAY(EOMONTH(출력_요약!$B$3,0)),IF(AND($AH328&gt;=출력_요약!$E$3,$AI328&lt;출력_요약!$E$3),"서울병원",IF(AND($AI328&gt;=출력_요약!$E$3,$AH328&lt;출력_요약!$E$3),"구리병원","⚠15일 판정불가(서울 "&amp;$AH328&amp;"일/구리 "&amp;$AI328&amp;"일)")),IF($AJ328="",$AE328,IF(INDEX(입력_파견수련계획!$T$4:$T$803,$AJ328)="통합수련",INDEX(입력_파견수련계획!$S$4:$S$803,$AJ328),$AE328)))))))</f>
        <v/>
      </c>
      <c r="Z328" s="20">
        <f>IF($B328="","",IF($AB328="","기본자료에 없는 사번",IF(COUNTIF($B$2:$B$401,$B328)&gt;1,"중복 사번",IF($AE328="","소속(입사장소) 입력",IF(IF(TRIM($J328&amp;"")="",0,SUMPRODUCT((입력_파견수련계획!$Q$4:$Q$803=TRIM($J328&amp;""))*(입력_파견수련계획!$AA$4:$AA$803&lt;&gt;"")))&gt;0,"파견수련계획 입력오류 확인",IF(LEFT($Y328,1)="⚠","서울·구리 15일 판정 불가(양쪽 모두 이상/미만)",IF(IF($AC328="",0,N(INDEX(입력_인턴근무계획!$T$3:$T$402,$AC328)))&gt;0,"인턴계획 입력오류 확인",IF(AND($AQ328&lt;&gt;"",$AG328&lt;&gt;"구리병원",IF(TRIM($J328&amp;"")="",0,SUMPRODUCT((입력_파견수련계획!$Q$4:$Q$803=TRIM($J328&amp;""))*(입력_파견수련계획!$S$4:$S$803="구리병원")*입력_파견수련계획!$W$4:$W$803))=0),"구리 근무자명단에만 있음(파견수련계획 확인)",IF(AND($AC328&lt;&gt;"",$U328&lt;&gt;"파견중",$N328&lt;&gt;$AE328),"인턴 타지역 근무: 파견 여부 확인","정상")))))))))</f>
        <v/>
      </c>
      <c r="AA328" s="5" t="n"/>
      <c r="AB328" s="10">
        <f>IF($B328="","",IFERROR(MATCH($B328,입력_기본자료!$B$2:$B$1001,0),IFERROR(MATCH($B328&amp;"",입력_기본자료!$B$2:$B$1001,0),IFERROR(MATCH(VALUE($B328),입력_기본자료!$B$2:$B$1001,0),""))))</f>
        <v/>
      </c>
      <c r="AC328" s="10">
        <f>IF($B328="","",IFERROR(MATCH($B328,입력_인턴근무계획!$D$3:$D$402,0),IFERROR(MATCH($B328&amp;"",입력_인턴근무계획!$D$3:$D$402,0),IFERROR(MATCH(VALUE($B328),입력_인턴근무계획!$D$3:$D$402,0),""))))</f>
        <v/>
      </c>
      <c r="AD328" s="10">
        <f>IF(OR($AC328="",출력_인턴현황!$G$3=""),"",INDEX(입력_인턴근무계획!$M$3:$R$402,$AC328,출력_인턴현황!$G$3)&amp;"")</f>
        <v/>
      </c>
      <c r="AE328" s="10">
        <f>IF($B328="","",IF($M328&lt;&gt;"",$M328,IF(IF($AQ328="",FALSE,INDEX(출력_구리근무자!$J$6:$J$305,$AQ328)="구리독자"),"구리병원",IF($AF328&lt;&gt;"",IF(LEFT(INDEX(입력_파견수련계획!$R$4:$R$803,$AF328),1)&lt;&gt;"⚠",INDEX(입력_파견수련계획!$R$4:$R$803,$AF328),IF($H328="","",IF(RIGHT($H328,2)="병원",$H328,$H328&amp;"병원"))),IF($H328="","",IF(RIGHT($H328,2)="병원",$H328,$H328&amp;"병원"))))))</f>
        <v/>
      </c>
      <c r="AF328" s="10">
        <f>IF(OR($B328="",TRIM($J328&amp;"")=""),"",IFERROR(MATCH(TRIM($J328&amp;"")&amp;"|파견중",입력_파견수련계획!$Y$4:$Y$803,0),IFERROR(MATCH(TRIM($J328&amp;"")&amp;"|파견예정",입력_파견수련계획!$Y$4:$Y$803,0),IFERROR(MATCH(TRIM($J328&amp;"")&amp;"|파견종료",입력_파견수련계획!$Y$4:$Y$803,0),""))))</f>
        <v/>
      </c>
      <c r="AG328" s="10">
        <f>IF($B328="","",IF(AND(IF(OR($AC328="",출력_인턴현황!$K$2=""),"",INDEX(입력_인턴근무계획!$M$3:$R$402,$AC328,출력_인턴현황!$K$2)&amp;"")&lt;&gt;"",LEFT(IF(OR($AC328="",출력_인턴현황!$K$2=""),"",INDEX(입력_인턴근무계획!$M$3:$R$402,$AC328,출력_인턴현황!$K$2)&amp;""),1)&lt;&gt;"⚠"),LEFT(IF(OR($AC328="",출력_인턴현황!$K$2=""),"",INDEX(입력_인턴근무계획!$M$3:$R$402,$AC328,출력_인턴현황!$K$2)&amp;""),FIND(" ",IF(OR($AC328="",출력_인턴현황!$K$2=""),"",INDEX(입력_인턴근무계획!$M$3:$R$402,$AC328,출력_인턴현황!$K$2)&amp;""))-1),$AE328))</f>
        <v/>
      </c>
      <c r="AH328" s="17">
        <f>IF($B328="","",IF($AQ328&lt;&gt;"",MAX(0,DAY(EOMONTH(출력_요약!$B$3,0))-N($AR328)),IF(TRIM($J328&amp;"")="",0,SUMPRODUCT((입력_파견수련계획!$Q$4:$Q$803=TRIM($J328&amp;""))*(입력_파견수련계획!$S$4:$S$803="서울병원")*입력_파견수련계획!$W$4:$W$803))+IF($AG328="서울병원",MAX(0,DAY(EOMONTH(출력_요약!$B$3,0))-N($X328)),0)))</f>
        <v/>
      </c>
      <c r="AI328" s="17">
        <f>IF($B328="","",IF($AQ328&lt;&gt;"",N($AR328),IF(TRIM($J328&amp;"")="",0,SUMPRODUCT((입력_파견수련계획!$Q$4:$Q$803=TRIM($J328&amp;""))*(입력_파견수련계획!$S$4:$S$803="구리병원")*입력_파견수련계획!$W$4:$W$803))+IF($AG328="구리병원",MAX(0,DAY(EOMONTH(출력_요약!$B$3,0))-N($X328)),0)))</f>
        <v/>
      </c>
      <c r="AJ328" s="10">
        <f>IF(OR($B328="",TRIM($J328&amp;"")=""),"",IFERROR(MATCH(TRIM($J328&amp;"")&amp;"|월",입력_파견수련계획!$Z$4:$Z$803,0),""))</f>
        <v/>
      </c>
      <c r="AK328" s="10">
        <f>IF(OR($B328="",TRIM($J328&amp;"")=""),"",IFERROR(MATCH(TRIM($J328&amp;"")&amp;"|다기관",입력_파견수련계획!$AE$4:$AE$803,0),""))</f>
        <v/>
      </c>
      <c r="AL328" s="10">
        <f>IF($AK328="","","다기관 "&amp;TEXT(INDEX(입력_파견수련계획!$AB$4:$AB$803,$AK328),"yyyy-mm-dd")&amp;"~"&amp;IF(ISNUMBER(INDEX(입력_파견수련계획!$AC$4:$AC$803,$AK328)),TEXT(INDEX(입력_파견수련계획!$AC$4:$AC$803,$AK328),"yyyy-mm-dd"),""))</f>
        <v/>
      </c>
      <c r="AM328" s="10">
        <f>IF($Y328="서울병원",COUNTIF($Y$2:$Y328,"서울병원"),"")</f>
        <v/>
      </c>
      <c r="AN328" s="10">
        <f>IF(LEFT($Y328,1)="⚠",COUNTIF($Y$2:$Y328,"⚠*"),"")</f>
        <v/>
      </c>
      <c r="AO328" s="10">
        <f>IF(OR($B328="",$Y328=""),"",IF(IF(TRIM($J328&amp;"")="",0,SUMPRODUCT((입력_파견수련계획!$Q$4:$Q$803=TRIM($J328&amp;""))*입력_파견수련계획!$AD$4:$AD$803))&gt;0,"다기관 기간 → 소속병원 지급",IF(AND(N($X328)&lt;=0,$AQ328=""),"파견 없음 → 그 달 근무병원 지급",IF($AH328+$AI328=DAY(EOMONTH(출력_요약!$B$3,0)),"서울 "&amp;$AH328&amp;"일 / 구리 "&amp;$AI328&amp;"일"&amp;IF($AQ328&lt;&gt;""," (구리 근무자명단 반영)","")&amp;" → 15일 이상 근무 병원 지급","타 병원 포함 → "&amp;IF($AJ328="","소속",INDEX(입력_파견수련계획!$T$4:$T$803,$AJ328))&amp;" 규칙"))))</f>
        <v/>
      </c>
      <c r="AP328" s="10">
        <f>IF($B328="","",$C328&amp;"|"&amp;$F328)</f>
        <v/>
      </c>
      <c r="AQ328" s="10">
        <f>IF($B328="","",IFERROR(MATCH(ROW()-1,출력_구리근무자!$K$6:$K$305,0),""))</f>
        <v/>
      </c>
      <c r="AR328" s="10">
        <f>IF($AQ328="","",INDEX(출력_구리근무자!$H$6:$H$305,$AQ328))</f>
        <v/>
      </c>
    </row>
    <row r="329">
      <c r="A329" s="10">
        <f>IF(B329="","",ROW()-1)</f>
        <v/>
      </c>
      <c r="B329" s="19" t="n"/>
      <c r="C329" s="10">
        <f>IF($AB329="","",IF(INDEX(입력_기본자료!$C$2:$C$1001,$AB329)="","",INDEX(입력_기본자료!$C$2:$C$1001,$AB329)))</f>
        <v/>
      </c>
      <c r="D329" s="10">
        <f>IF($AB329="","",IF(INDEX(입력_기본자료!$J$2:$J$1001,$AB329)="","",INDEX(입력_기본자료!$J$2:$J$1001,$AB329)))</f>
        <v/>
      </c>
      <c r="E329" s="11">
        <f>IF($AB329="","",IF(INDEX(입력_기본자료!$K$2:$K$1001,$AB329)="","",IF(NOT(ISNUMBER(INDEX(입력_기본자료!$K$2:$K$1001,$AB329))),INDEX(입력_기본자료!$K$2:$K$1001,$AB329),IF(INDEX(입력_기본자료!$K$2:$K$1001,$AB329)&lt;1000000,INDEX(입력_기본자료!$K$2:$K$1001,$AB329),IF(AND(INDEX(입력_기본자료!$K$2:$K$1001,$AB329)&gt;=10000101,INT(MOD(INDEX(입력_기본자료!$K$2:$K$1001,$AB329),10000)/100)&gt;=1,INT(MOD(INDEX(입력_기본자료!$K$2:$K$1001,$AB329),10000)/100)&lt;=12,MOD(INDEX(입력_기본자료!$K$2:$K$1001,$AB329),100)&gt;=1,MOD(INDEX(입력_기본자료!$K$2:$K$1001,$AB329),100)&lt;=31),DATE(INT(INDEX(입력_기본자료!$K$2:$K$1001,$AB329)/10000),INT(MOD(INDEX(입력_기본자료!$K$2:$K$1001,$AB329),10000)/100),MOD(INDEX(입력_기본자료!$K$2:$K$1001,$AB329),100)),INDEX(입력_기본자료!$K$2:$K$1001,$AB329)&amp;"")))))</f>
        <v/>
      </c>
      <c r="F329" s="10">
        <f>IF($AB329="","",IF(INDEX(입력_기본자료!$D$2:$D$1001,$AB329)="","",INDEX(입력_기본자료!$D$2:$D$1001,$AB329)))</f>
        <v/>
      </c>
      <c r="G329" s="10">
        <f>IF($AB329="","",IF(INDEX(입력_기본자료!$E$2:$E$1001,$AB329)="","",INDEX(입력_기본자료!$E$2:$E$1001,$AB329)))</f>
        <v/>
      </c>
      <c r="H329" s="10">
        <f>IF($AB329="","",IF(INDEX(입력_기본자료!$F$2:$F$1001,$AB329)="","",INDEX(입력_기본자료!$F$2:$F$1001,$AB329)))</f>
        <v/>
      </c>
      <c r="I329" s="11">
        <f>IF($AB329="","",IF(INDEX(입력_기본자료!$G$2:$G$1001,$AB329)="","",IF(NOT(ISNUMBER(INDEX(입력_기본자료!$G$2:$G$1001,$AB329))),INDEX(입력_기본자료!$G$2:$G$1001,$AB329),IF(INDEX(입력_기본자료!$G$2:$G$1001,$AB329)&lt;1000000,INDEX(입력_기본자료!$G$2:$G$1001,$AB329),IF(AND(INDEX(입력_기본자료!$G$2:$G$1001,$AB329)&gt;=10000101,INT(MOD(INDEX(입력_기본자료!$G$2:$G$1001,$AB329),10000)/100)&gt;=1,INT(MOD(INDEX(입력_기본자료!$G$2:$G$1001,$AB329),10000)/100)&lt;=12,MOD(INDEX(입력_기본자료!$G$2:$G$1001,$AB329),100)&gt;=1,MOD(INDEX(입력_기본자료!$G$2:$G$1001,$AB329),100)&lt;=31),DATE(INT(INDEX(입력_기본자료!$G$2:$G$1001,$AB329)/10000),INT(MOD(INDEX(입력_기본자료!$G$2:$G$1001,$AB329),10000)/100),MOD(INDEX(입력_기본자료!$G$2:$G$1001,$AB329),100)),INDEX(입력_기본자료!$G$2:$G$1001,$AB329)&amp;"")))))</f>
        <v/>
      </c>
      <c r="J329" s="10">
        <f>IF($AB329="","",IF(INDEX(입력_기본자료!$H$2:$H$1001,$AB329)="","",INDEX(입력_기본자료!$H$2:$H$1001,$AB329)))</f>
        <v/>
      </c>
      <c r="K329" s="10">
        <f>IF($AB329="","",IF(INDEX(입력_기본자료!$I$2:$I$1001,$AB329)="","",INDEX(입력_기본자료!$I$2:$I$1001,$AB329)))</f>
        <v/>
      </c>
      <c r="L329" s="10">
        <f>IF($AB329="","",IF(INDEX(입력_기본자료!$A$2:$A$1001,$AB329)="","",INDEX(입력_기본자료!$A$2:$A$1001,$AB329)))</f>
        <v/>
      </c>
      <c r="M329" s="15" t="n"/>
      <c r="N329" s="10">
        <f>IF($B329="","",IF(AND($U329="파견중",$Q329&lt;&gt;""),$Q329,IF(AND($AD329&lt;&gt;"",LEFT($AD329,1)&lt;&gt;"⚠"),LEFT($AD329,FIND(" ",$AD329)-1),IF($H329="","",IF(RIGHT($H329,2)="병원",$H329,$H329&amp;"병원")))))</f>
        <v/>
      </c>
      <c r="O329" s="10">
        <f>IF($B329="","",IF(AND($U329="파견중",$Q329&lt;&gt;""),IF($R329&lt;&gt;"",$R329,"파견과 미입력"),IF(AND($AD329&lt;&gt;"",LEFT($AD329,1)&lt;&gt;"⚠"),MID($AD329,FIND(" ",$AD329)+1,60),IF($F329="","",IF($F329="인턴","수련교육부(인턴)",$F329)))))</f>
        <v/>
      </c>
      <c r="P329" s="10">
        <f>IF($B329="","",IF($AK329&lt;&gt;"",IF(AND(TODAY()&gt;=INDEX(입력_파견수련계획!$AB$4:$AB$803,$AK329),OR(NOT(ISNUMBER(INDEX(입력_파견수련계획!$AC$4:$AC$803,$AK329))),TODAY()&lt;=INDEX(입력_파견수련계획!$AC$4:$AC$803,$AK329))),"다기관",IF($AF329="","",INDEX(입력_파견수련계획!$T$4:$T$803,$AF329))),IF($AF329="","",INDEX(입력_파견수련계획!$T$4:$T$803,$AF329))))</f>
        <v/>
      </c>
      <c r="Q329" s="10">
        <f>IF($AF329="","",INDEX(입력_파견수련계획!$S$4:$S$803,$AF329))</f>
        <v/>
      </c>
      <c r="R329" s="10">
        <f>IF($AF329="","",INDEX(입력_파견수련계획!$U$4:$U$803,$AF329))</f>
        <v/>
      </c>
      <c r="S329" s="11">
        <f>IF($AF329="","",IF(INDEX(입력_파견수련계획!$H$4:$H$803,$AF329)="","",INDEX(입력_파견수련계획!$H$4:$H$803,$AF329)))</f>
        <v/>
      </c>
      <c r="T329" s="11">
        <f>IF($AF329="","",IF(INDEX(입력_파견수련계획!$I$4:$I$803,$AF329)="","",INDEX(입력_파견수련계획!$I$4:$I$803,$AF329)))</f>
        <v/>
      </c>
      <c r="U329" s="10">
        <f>IF($AF329="","",INDEX(입력_파견수련계획!$X$4:$X$803,$AF329))</f>
        <v/>
      </c>
      <c r="V329" s="17">
        <f>IF($AF329="","",INDEX(입력_파견수련계획!$V$4:$V$803,$AF329))</f>
        <v/>
      </c>
      <c r="W329" s="17">
        <f>IF(AND($U329="파견중",$T329&lt;&gt;""),$T329-TODAY(),"")</f>
        <v/>
      </c>
      <c r="X329" s="17">
        <f>IF(OR($B329="",TRIM($J329&amp;"")=""),"",SUMPRODUCT((입력_파견수련계획!$Q$4:$Q$803=TRIM($J329&amp;""))*입력_파견수련계획!$W$4:$W$803))</f>
        <v/>
      </c>
      <c r="Y329" s="10">
        <f>IF($B329="","",IF($AG329="","",IF(IF(TRIM($J329&amp;"")="",0,SUMPRODUCT((입력_파견수련계획!$Q$4:$Q$803=TRIM($J329&amp;""))*입력_파견수련계획!$AD$4:$AD$803))&gt;0,$AE329,IF(AND(N($X329)&lt;=0,$AQ329=""),$AG329,IF($AH329+$AI329=DAY(EOMONTH(출력_요약!$B$3,0)),IF(AND($AH329&gt;=출력_요약!$E$3,$AI329&lt;출력_요약!$E$3),"서울병원",IF(AND($AI329&gt;=출력_요약!$E$3,$AH329&lt;출력_요약!$E$3),"구리병원","⚠15일 판정불가(서울 "&amp;$AH329&amp;"일/구리 "&amp;$AI329&amp;"일)")),IF($AJ329="",$AE329,IF(INDEX(입력_파견수련계획!$T$4:$T$803,$AJ329)="통합수련",INDEX(입력_파견수련계획!$S$4:$S$803,$AJ329),$AE329)))))))</f>
        <v/>
      </c>
      <c r="Z329" s="20">
        <f>IF($B329="","",IF($AB329="","기본자료에 없는 사번",IF(COUNTIF($B$2:$B$401,$B329)&gt;1,"중복 사번",IF($AE329="","소속(입사장소) 입력",IF(IF(TRIM($J329&amp;"")="",0,SUMPRODUCT((입력_파견수련계획!$Q$4:$Q$803=TRIM($J329&amp;""))*(입력_파견수련계획!$AA$4:$AA$803&lt;&gt;"")))&gt;0,"파견수련계획 입력오류 확인",IF(LEFT($Y329,1)="⚠","서울·구리 15일 판정 불가(양쪽 모두 이상/미만)",IF(IF($AC329="",0,N(INDEX(입력_인턴근무계획!$T$3:$T$402,$AC329)))&gt;0,"인턴계획 입력오류 확인",IF(AND($AQ329&lt;&gt;"",$AG329&lt;&gt;"구리병원",IF(TRIM($J329&amp;"")="",0,SUMPRODUCT((입력_파견수련계획!$Q$4:$Q$803=TRIM($J329&amp;""))*(입력_파견수련계획!$S$4:$S$803="구리병원")*입력_파견수련계획!$W$4:$W$803))=0),"구리 근무자명단에만 있음(파견수련계획 확인)",IF(AND($AC329&lt;&gt;"",$U329&lt;&gt;"파견중",$N329&lt;&gt;$AE329),"인턴 타지역 근무: 파견 여부 확인","정상")))))))))</f>
        <v/>
      </c>
      <c r="AA329" s="5" t="n"/>
      <c r="AB329" s="10">
        <f>IF($B329="","",IFERROR(MATCH($B329,입력_기본자료!$B$2:$B$1001,0),IFERROR(MATCH($B329&amp;"",입력_기본자료!$B$2:$B$1001,0),IFERROR(MATCH(VALUE($B329),입력_기본자료!$B$2:$B$1001,0),""))))</f>
        <v/>
      </c>
      <c r="AC329" s="10">
        <f>IF($B329="","",IFERROR(MATCH($B329,입력_인턴근무계획!$D$3:$D$402,0),IFERROR(MATCH($B329&amp;"",입력_인턴근무계획!$D$3:$D$402,0),IFERROR(MATCH(VALUE($B329),입력_인턴근무계획!$D$3:$D$402,0),""))))</f>
        <v/>
      </c>
      <c r="AD329" s="10">
        <f>IF(OR($AC329="",출력_인턴현황!$G$3=""),"",INDEX(입력_인턴근무계획!$M$3:$R$402,$AC329,출력_인턴현황!$G$3)&amp;"")</f>
        <v/>
      </c>
      <c r="AE329" s="10">
        <f>IF($B329="","",IF($M329&lt;&gt;"",$M329,IF(IF($AQ329="",FALSE,INDEX(출력_구리근무자!$J$6:$J$305,$AQ329)="구리독자"),"구리병원",IF($AF329&lt;&gt;"",IF(LEFT(INDEX(입력_파견수련계획!$R$4:$R$803,$AF329),1)&lt;&gt;"⚠",INDEX(입력_파견수련계획!$R$4:$R$803,$AF329),IF($H329="","",IF(RIGHT($H329,2)="병원",$H329,$H329&amp;"병원"))),IF($H329="","",IF(RIGHT($H329,2)="병원",$H329,$H329&amp;"병원"))))))</f>
        <v/>
      </c>
      <c r="AF329" s="10">
        <f>IF(OR($B329="",TRIM($J329&amp;"")=""),"",IFERROR(MATCH(TRIM($J329&amp;"")&amp;"|파견중",입력_파견수련계획!$Y$4:$Y$803,0),IFERROR(MATCH(TRIM($J329&amp;"")&amp;"|파견예정",입력_파견수련계획!$Y$4:$Y$803,0),IFERROR(MATCH(TRIM($J329&amp;"")&amp;"|파견종료",입력_파견수련계획!$Y$4:$Y$803,0),""))))</f>
        <v/>
      </c>
      <c r="AG329" s="10">
        <f>IF($B329="","",IF(AND(IF(OR($AC329="",출력_인턴현황!$K$2=""),"",INDEX(입력_인턴근무계획!$M$3:$R$402,$AC329,출력_인턴현황!$K$2)&amp;"")&lt;&gt;"",LEFT(IF(OR($AC329="",출력_인턴현황!$K$2=""),"",INDEX(입력_인턴근무계획!$M$3:$R$402,$AC329,출력_인턴현황!$K$2)&amp;""),1)&lt;&gt;"⚠"),LEFT(IF(OR($AC329="",출력_인턴현황!$K$2=""),"",INDEX(입력_인턴근무계획!$M$3:$R$402,$AC329,출력_인턴현황!$K$2)&amp;""),FIND(" ",IF(OR($AC329="",출력_인턴현황!$K$2=""),"",INDEX(입력_인턴근무계획!$M$3:$R$402,$AC329,출력_인턴현황!$K$2)&amp;""))-1),$AE329))</f>
        <v/>
      </c>
      <c r="AH329" s="17">
        <f>IF($B329="","",IF($AQ329&lt;&gt;"",MAX(0,DAY(EOMONTH(출력_요약!$B$3,0))-N($AR329)),IF(TRIM($J329&amp;"")="",0,SUMPRODUCT((입력_파견수련계획!$Q$4:$Q$803=TRIM($J329&amp;""))*(입력_파견수련계획!$S$4:$S$803="서울병원")*입력_파견수련계획!$W$4:$W$803))+IF($AG329="서울병원",MAX(0,DAY(EOMONTH(출력_요약!$B$3,0))-N($X329)),0)))</f>
        <v/>
      </c>
      <c r="AI329" s="17">
        <f>IF($B329="","",IF($AQ329&lt;&gt;"",N($AR329),IF(TRIM($J329&amp;"")="",0,SUMPRODUCT((입력_파견수련계획!$Q$4:$Q$803=TRIM($J329&amp;""))*(입력_파견수련계획!$S$4:$S$803="구리병원")*입력_파견수련계획!$W$4:$W$803))+IF($AG329="구리병원",MAX(0,DAY(EOMONTH(출력_요약!$B$3,0))-N($X329)),0)))</f>
        <v/>
      </c>
      <c r="AJ329" s="10">
        <f>IF(OR($B329="",TRIM($J329&amp;"")=""),"",IFERROR(MATCH(TRIM($J329&amp;"")&amp;"|월",입력_파견수련계획!$Z$4:$Z$803,0),""))</f>
        <v/>
      </c>
      <c r="AK329" s="10">
        <f>IF(OR($B329="",TRIM($J329&amp;"")=""),"",IFERROR(MATCH(TRIM($J329&amp;"")&amp;"|다기관",입력_파견수련계획!$AE$4:$AE$803,0),""))</f>
        <v/>
      </c>
      <c r="AL329" s="10">
        <f>IF($AK329="","","다기관 "&amp;TEXT(INDEX(입력_파견수련계획!$AB$4:$AB$803,$AK329),"yyyy-mm-dd")&amp;"~"&amp;IF(ISNUMBER(INDEX(입력_파견수련계획!$AC$4:$AC$803,$AK329)),TEXT(INDEX(입력_파견수련계획!$AC$4:$AC$803,$AK329),"yyyy-mm-dd"),""))</f>
        <v/>
      </c>
      <c r="AM329" s="10">
        <f>IF($Y329="서울병원",COUNTIF($Y$2:$Y329,"서울병원"),"")</f>
        <v/>
      </c>
      <c r="AN329" s="10">
        <f>IF(LEFT($Y329,1)="⚠",COUNTIF($Y$2:$Y329,"⚠*"),"")</f>
        <v/>
      </c>
      <c r="AO329" s="10">
        <f>IF(OR($B329="",$Y329=""),"",IF(IF(TRIM($J329&amp;"")="",0,SUMPRODUCT((입력_파견수련계획!$Q$4:$Q$803=TRIM($J329&amp;""))*입력_파견수련계획!$AD$4:$AD$803))&gt;0,"다기관 기간 → 소속병원 지급",IF(AND(N($X329)&lt;=0,$AQ329=""),"파견 없음 → 그 달 근무병원 지급",IF($AH329+$AI329=DAY(EOMONTH(출력_요약!$B$3,0)),"서울 "&amp;$AH329&amp;"일 / 구리 "&amp;$AI329&amp;"일"&amp;IF($AQ329&lt;&gt;""," (구리 근무자명단 반영)","")&amp;" → 15일 이상 근무 병원 지급","타 병원 포함 → "&amp;IF($AJ329="","소속",INDEX(입력_파견수련계획!$T$4:$T$803,$AJ329))&amp;" 규칙"))))</f>
        <v/>
      </c>
      <c r="AP329" s="10">
        <f>IF($B329="","",$C329&amp;"|"&amp;$F329)</f>
        <v/>
      </c>
      <c r="AQ329" s="10">
        <f>IF($B329="","",IFERROR(MATCH(ROW()-1,출력_구리근무자!$K$6:$K$305,0),""))</f>
        <v/>
      </c>
      <c r="AR329" s="10">
        <f>IF($AQ329="","",INDEX(출력_구리근무자!$H$6:$H$305,$AQ329))</f>
        <v/>
      </c>
    </row>
    <row r="330">
      <c r="A330" s="10">
        <f>IF(B330="","",ROW()-1)</f>
        <v/>
      </c>
      <c r="B330" s="19" t="n"/>
      <c r="C330" s="10">
        <f>IF($AB330="","",IF(INDEX(입력_기본자료!$C$2:$C$1001,$AB330)="","",INDEX(입력_기본자료!$C$2:$C$1001,$AB330)))</f>
        <v/>
      </c>
      <c r="D330" s="10">
        <f>IF($AB330="","",IF(INDEX(입력_기본자료!$J$2:$J$1001,$AB330)="","",INDEX(입력_기본자료!$J$2:$J$1001,$AB330)))</f>
        <v/>
      </c>
      <c r="E330" s="11">
        <f>IF($AB330="","",IF(INDEX(입력_기본자료!$K$2:$K$1001,$AB330)="","",IF(NOT(ISNUMBER(INDEX(입력_기본자료!$K$2:$K$1001,$AB330))),INDEX(입력_기본자료!$K$2:$K$1001,$AB330),IF(INDEX(입력_기본자료!$K$2:$K$1001,$AB330)&lt;1000000,INDEX(입력_기본자료!$K$2:$K$1001,$AB330),IF(AND(INDEX(입력_기본자료!$K$2:$K$1001,$AB330)&gt;=10000101,INT(MOD(INDEX(입력_기본자료!$K$2:$K$1001,$AB330),10000)/100)&gt;=1,INT(MOD(INDEX(입력_기본자료!$K$2:$K$1001,$AB330),10000)/100)&lt;=12,MOD(INDEX(입력_기본자료!$K$2:$K$1001,$AB330),100)&gt;=1,MOD(INDEX(입력_기본자료!$K$2:$K$1001,$AB330),100)&lt;=31),DATE(INT(INDEX(입력_기본자료!$K$2:$K$1001,$AB330)/10000),INT(MOD(INDEX(입력_기본자료!$K$2:$K$1001,$AB330),10000)/100),MOD(INDEX(입력_기본자료!$K$2:$K$1001,$AB330),100)),INDEX(입력_기본자료!$K$2:$K$1001,$AB330)&amp;"")))))</f>
        <v/>
      </c>
      <c r="F330" s="10">
        <f>IF($AB330="","",IF(INDEX(입력_기본자료!$D$2:$D$1001,$AB330)="","",INDEX(입력_기본자료!$D$2:$D$1001,$AB330)))</f>
        <v/>
      </c>
      <c r="G330" s="10">
        <f>IF($AB330="","",IF(INDEX(입력_기본자료!$E$2:$E$1001,$AB330)="","",INDEX(입력_기본자료!$E$2:$E$1001,$AB330)))</f>
        <v/>
      </c>
      <c r="H330" s="10">
        <f>IF($AB330="","",IF(INDEX(입력_기본자료!$F$2:$F$1001,$AB330)="","",INDEX(입력_기본자료!$F$2:$F$1001,$AB330)))</f>
        <v/>
      </c>
      <c r="I330" s="11">
        <f>IF($AB330="","",IF(INDEX(입력_기본자료!$G$2:$G$1001,$AB330)="","",IF(NOT(ISNUMBER(INDEX(입력_기본자료!$G$2:$G$1001,$AB330))),INDEX(입력_기본자료!$G$2:$G$1001,$AB330),IF(INDEX(입력_기본자료!$G$2:$G$1001,$AB330)&lt;1000000,INDEX(입력_기본자료!$G$2:$G$1001,$AB330),IF(AND(INDEX(입력_기본자료!$G$2:$G$1001,$AB330)&gt;=10000101,INT(MOD(INDEX(입력_기본자료!$G$2:$G$1001,$AB330),10000)/100)&gt;=1,INT(MOD(INDEX(입력_기본자료!$G$2:$G$1001,$AB330),10000)/100)&lt;=12,MOD(INDEX(입력_기본자료!$G$2:$G$1001,$AB330),100)&gt;=1,MOD(INDEX(입력_기본자료!$G$2:$G$1001,$AB330),100)&lt;=31),DATE(INT(INDEX(입력_기본자료!$G$2:$G$1001,$AB330)/10000),INT(MOD(INDEX(입력_기본자료!$G$2:$G$1001,$AB330),10000)/100),MOD(INDEX(입력_기본자료!$G$2:$G$1001,$AB330),100)),INDEX(입력_기본자료!$G$2:$G$1001,$AB330)&amp;"")))))</f>
        <v/>
      </c>
      <c r="J330" s="10">
        <f>IF($AB330="","",IF(INDEX(입력_기본자료!$H$2:$H$1001,$AB330)="","",INDEX(입력_기본자료!$H$2:$H$1001,$AB330)))</f>
        <v/>
      </c>
      <c r="K330" s="10">
        <f>IF($AB330="","",IF(INDEX(입력_기본자료!$I$2:$I$1001,$AB330)="","",INDEX(입력_기본자료!$I$2:$I$1001,$AB330)))</f>
        <v/>
      </c>
      <c r="L330" s="10">
        <f>IF($AB330="","",IF(INDEX(입력_기본자료!$A$2:$A$1001,$AB330)="","",INDEX(입력_기본자료!$A$2:$A$1001,$AB330)))</f>
        <v/>
      </c>
      <c r="M330" s="15" t="n"/>
      <c r="N330" s="10">
        <f>IF($B330="","",IF(AND($U330="파견중",$Q330&lt;&gt;""),$Q330,IF(AND($AD330&lt;&gt;"",LEFT($AD330,1)&lt;&gt;"⚠"),LEFT($AD330,FIND(" ",$AD330)-1),IF($H330="","",IF(RIGHT($H330,2)="병원",$H330,$H330&amp;"병원")))))</f>
        <v/>
      </c>
      <c r="O330" s="10">
        <f>IF($B330="","",IF(AND($U330="파견중",$Q330&lt;&gt;""),IF($R330&lt;&gt;"",$R330,"파견과 미입력"),IF(AND($AD330&lt;&gt;"",LEFT($AD330,1)&lt;&gt;"⚠"),MID($AD330,FIND(" ",$AD330)+1,60),IF($F330="","",IF($F330="인턴","수련교육부(인턴)",$F330)))))</f>
        <v/>
      </c>
      <c r="P330" s="10">
        <f>IF($B330="","",IF($AK330&lt;&gt;"",IF(AND(TODAY()&gt;=INDEX(입력_파견수련계획!$AB$4:$AB$803,$AK330),OR(NOT(ISNUMBER(INDEX(입력_파견수련계획!$AC$4:$AC$803,$AK330))),TODAY()&lt;=INDEX(입력_파견수련계획!$AC$4:$AC$803,$AK330))),"다기관",IF($AF330="","",INDEX(입력_파견수련계획!$T$4:$T$803,$AF330))),IF($AF330="","",INDEX(입력_파견수련계획!$T$4:$T$803,$AF330))))</f>
        <v/>
      </c>
      <c r="Q330" s="10">
        <f>IF($AF330="","",INDEX(입력_파견수련계획!$S$4:$S$803,$AF330))</f>
        <v/>
      </c>
      <c r="R330" s="10">
        <f>IF($AF330="","",INDEX(입력_파견수련계획!$U$4:$U$803,$AF330))</f>
        <v/>
      </c>
      <c r="S330" s="11">
        <f>IF($AF330="","",IF(INDEX(입력_파견수련계획!$H$4:$H$803,$AF330)="","",INDEX(입력_파견수련계획!$H$4:$H$803,$AF330)))</f>
        <v/>
      </c>
      <c r="T330" s="11">
        <f>IF($AF330="","",IF(INDEX(입력_파견수련계획!$I$4:$I$803,$AF330)="","",INDEX(입력_파견수련계획!$I$4:$I$803,$AF330)))</f>
        <v/>
      </c>
      <c r="U330" s="10">
        <f>IF($AF330="","",INDEX(입력_파견수련계획!$X$4:$X$803,$AF330))</f>
        <v/>
      </c>
      <c r="V330" s="17">
        <f>IF($AF330="","",INDEX(입력_파견수련계획!$V$4:$V$803,$AF330))</f>
        <v/>
      </c>
      <c r="W330" s="17">
        <f>IF(AND($U330="파견중",$T330&lt;&gt;""),$T330-TODAY(),"")</f>
        <v/>
      </c>
      <c r="X330" s="17">
        <f>IF(OR($B330="",TRIM($J330&amp;"")=""),"",SUMPRODUCT((입력_파견수련계획!$Q$4:$Q$803=TRIM($J330&amp;""))*입력_파견수련계획!$W$4:$W$803))</f>
        <v/>
      </c>
      <c r="Y330" s="10">
        <f>IF($B330="","",IF($AG330="","",IF(IF(TRIM($J330&amp;"")="",0,SUMPRODUCT((입력_파견수련계획!$Q$4:$Q$803=TRIM($J330&amp;""))*입력_파견수련계획!$AD$4:$AD$803))&gt;0,$AE330,IF(AND(N($X330)&lt;=0,$AQ330=""),$AG330,IF($AH330+$AI330=DAY(EOMONTH(출력_요약!$B$3,0)),IF(AND($AH330&gt;=출력_요약!$E$3,$AI330&lt;출력_요약!$E$3),"서울병원",IF(AND($AI330&gt;=출력_요약!$E$3,$AH330&lt;출력_요약!$E$3),"구리병원","⚠15일 판정불가(서울 "&amp;$AH330&amp;"일/구리 "&amp;$AI330&amp;"일)")),IF($AJ330="",$AE330,IF(INDEX(입력_파견수련계획!$T$4:$T$803,$AJ330)="통합수련",INDEX(입력_파견수련계획!$S$4:$S$803,$AJ330),$AE330)))))))</f>
        <v/>
      </c>
      <c r="Z330" s="20">
        <f>IF($B330="","",IF($AB330="","기본자료에 없는 사번",IF(COUNTIF($B$2:$B$401,$B330)&gt;1,"중복 사번",IF($AE330="","소속(입사장소) 입력",IF(IF(TRIM($J330&amp;"")="",0,SUMPRODUCT((입력_파견수련계획!$Q$4:$Q$803=TRIM($J330&amp;""))*(입력_파견수련계획!$AA$4:$AA$803&lt;&gt;"")))&gt;0,"파견수련계획 입력오류 확인",IF(LEFT($Y330,1)="⚠","서울·구리 15일 판정 불가(양쪽 모두 이상/미만)",IF(IF($AC330="",0,N(INDEX(입력_인턴근무계획!$T$3:$T$402,$AC330)))&gt;0,"인턴계획 입력오류 확인",IF(AND($AQ330&lt;&gt;"",$AG330&lt;&gt;"구리병원",IF(TRIM($J330&amp;"")="",0,SUMPRODUCT((입력_파견수련계획!$Q$4:$Q$803=TRIM($J330&amp;""))*(입력_파견수련계획!$S$4:$S$803="구리병원")*입력_파견수련계획!$W$4:$W$803))=0),"구리 근무자명단에만 있음(파견수련계획 확인)",IF(AND($AC330&lt;&gt;"",$U330&lt;&gt;"파견중",$N330&lt;&gt;$AE330),"인턴 타지역 근무: 파견 여부 확인","정상")))))))))</f>
        <v/>
      </c>
      <c r="AA330" s="5" t="n"/>
      <c r="AB330" s="10">
        <f>IF($B330="","",IFERROR(MATCH($B330,입력_기본자료!$B$2:$B$1001,0),IFERROR(MATCH($B330&amp;"",입력_기본자료!$B$2:$B$1001,0),IFERROR(MATCH(VALUE($B330),입력_기본자료!$B$2:$B$1001,0),""))))</f>
        <v/>
      </c>
      <c r="AC330" s="10">
        <f>IF($B330="","",IFERROR(MATCH($B330,입력_인턴근무계획!$D$3:$D$402,0),IFERROR(MATCH($B330&amp;"",입력_인턴근무계획!$D$3:$D$402,0),IFERROR(MATCH(VALUE($B330),입력_인턴근무계획!$D$3:$D$402,0),""))))</f>
        <v/>
      </c>
      <c r="AD330" s="10">
        <f>IF(OR($AC330="",출력_인턴현황!$G$3=""),"",INDEX(입력_인턴근무계획!$M$3:$R$402,$AC330,출력_인턴현황!$G$3)&amp;"")</f>
        <v/>
      </c>
      <c r="AE330" s="10">
        <f>IF($B330="","",IF($M330&lt;&gt;"",$M330,IF(IF($AQ330="",FALSE,INDEX(출력_구리근무자!$J$6:$J$305,$AQ330)="구리독자"),"구리병원",IF($AF330&lt;&gt;"",IF(LEFT(INDEX(입력_파견수련계획!$R$4:$R$803,$AF330),1)&lt;&gt;"⚠",INDEX(입력_파견수련계획!$R$4:$R$803,$AF330),IF($H330="","",IF(RIGHT($H330,2)="병원",$H330,$H330&amp;"병원"))),IF($H330="","",IF(RIGHT($H330,2)="병원",$H330,$H330&amp;"병원"))))))</f>
        <v/>
      </c>
      <c r="AF330" s="10">
        <f>IF(OR($B330="",TRIM($J330&amp;"")=""),"",IFERROR(MATCH(TRIM($J330&amp;"")&amp;"|파견중",입력_파견수련계획!$Y$4:$Y$803,0),IFERROR(MATCH(TRIM($J330&amp;"")&amp;"|파견예정",입력_파견수련계획!$Y$4:$Y$803,0),IFERROR(MATCH(TRIM($J330&amp;"")&amp;"|파견종료",입력_파견수련계획!$Y$4:$Y$803,0),""))))</f>
        <v/>
      </c>
      <c r="AG330" s="10">
        <f>IF($B330="","",IF(AND(IF(OR($AC330="",출력_인턴현황!$K$2=""),"",INDEX(입력_인턴근무계획!$M$3:$R$402,$AC330,출력_인턴현황!$K$2)&amp;"")&lt;&gt;"",LEFT(IF(OR($AC330="",출력_인턴현황!$K$2=""),"",INDEX(입력_인턴근무계획!$M$3:$R$402,$AC330,출력_인턴현황!$K$2)&amp;""),1)&lt;&gt;"⚠"),LEFT(IF(OR($AC330="",출력_인턴현황!$K$2=""),"",INDEX(입력_인턴근무계획!$M$3:$R$402,$AC330,출력_인턴현황!$K$2)&amp;""),FIND(" ",IF(OR($AC330="",출력_인턴현황!$K$2=""),"",INDEX(입력_인턴근무계획!$M$3:$R$402,$AC330,출력_인턴현황!$K$2)&amp;""))-1),$AE330))</f>
        <v/>
      </c>
      <c r="AH330" s="17">
        <f>IF($B330="","",IF($AQ330&lt;&gt;"",MAX(0,DAY(EOMONTH(출력_요약!$B$3,0))-N($AR330)),IF(TRIM($J330&amp;"")="",0,SUMPRODUCT((입력_파견수련계획!$Q$4:$Q$803=TRIM($J330&amp;""))*(입력_파견수련계획!$S$4:$S$803="서울병원")*입력_파견수련계획!$W$4:$W$803))+IF($AG330="서울병원",MAX(0,DAY(EOMONTH(출력_요약!$B$3,0))-N($X330)),0)))</f>
        <v/>
      </c>
      <c r="AI330" s="17">
        <f>IF($B330="","",IF($AQ330&lt;&gt;"",N($AR330),IF(TRIM($J330&amp;"")="",0,SUMPRODUCT((입력_파견수련계획!$Q$4:$Q$803=TRIM($J330&amp;""))*(입력_파견수련계획!$S$4:$S$803="구리병원")*입력_파견수련계획!$W$4:$W$803))+IF($AG330="구리병원",MAX(0,DAY(EOMONTH(출력_요약!$B$3,0))-N($X330)),0)))</f>
        <v/>
      </c>
      <c r="AJ330" s="10">
        <f>IF(OR($B330="",TRIM($J330&amp;"")=""),"",IFERROR(MATCH(TRIM($J330&amp;"")&amp;"|월",입력_파견수련계획!$Z$4:$Z$803,0),""))</f>
        <v/>
      </c>
      <c r="AK330" s="10">
        <f>IF(OR($B330="",TRIM($J330&amp;"")=""),"",IFERROR(MATCH(TRIM($J330&amp;"")&amp;"|다기관",입력_파견수련계획!$AE$4:$AE$803,0),""))</f>
        <v/>
      </c>
      <c r="AL330" s="10">
        <f>IF($AK330="","","다기관 "&amp;TEXT(INDEX(입력_파견수련계획!$AB$4:$AB$803,$AK330),"yyyy-mm-dd")&amp;"~"&amp;IF(ISNUMBER(INDEX(입력_파견수련계획!$AC$4:$AC$803,$AK330)),TEXT(INDEX(입력_파견수련계획!$AC$4:$AC$803,$AK330),"yyyy-mm-dd"),""))</f>
        <v/>
      </c>
      <c r="AM330" s="10">
        <f>IF($Y330="서울병원",COUNTIF($Y$2:$Y330,"서울병원"),"")</f>
        <v/>
      </c>
      <c r="AN330" s="10">
        <f>IF(LEFT($Y330,1)="⚠",COUNTIF($Y$2:$Y330,"⚠*"),"")</f>
        <v/>
      </c>
      <c r="AO330" s="10">
        <f>IF(OR($B330="",$Y330=""),"",IF(IF(TRIM($J330&amp;"")="",0,SUMPRODUCT((입력_파견수련계획!$Q$4:$Q$803=TRIM($J330&amp;""))*입력_파견수련계획!$AD$4:$AD$803))&gt;0,"다기관 기간 → 소속병원 지급",IF(AND(N($X330)&lt;=0,$AQ330=""),"파견 없음 → 그 달 근무병원 지급",IF($AH330+$AI330=DAY(EOMONTH(출력_요약!$B$3,0)),"서울 "&amp;$AH330&amp;"일 / 구리 "&amp;$AI330&amp;"일"&amp;IF($AQ330&lt;&gt;""," (구리 근무자명단 반영)","")&amp;" → 15일 이상 근무 병원 지급","타 병원 포함 → "&amp;IF($AJ330="","소속",INDEX(입력_파견수련계획!$T$4:$T$803,$AJ330))&amp;" 규칙"))))</f>
        <v/>
      </c>
      <c r="AP330" s="10">
        <f>IF($B330="","",$C330&amp;"|"&amp;$F330)</f>
        <v/>
      </c>
      <c r="AQ330" s="10">
        <f>IF($B330="","",IFERROR(MATCH(ROW()-1,출력_구리근무자!$K$6:$K$305,0),""))</f>
        <v/>
      </c>
      <c r="AR330" s="10">
        <f>IF($AQ330="","",INDEX(출력_구리근무자!$H$6:$H$305,$AQ330))</f>
        <v/>
      </c>
    </row>
    <row r="331">
      <c r="A331" s="10">
        <f>IF(B331="","",ROW()-1)</f>
        <v/>
      </c>
      <c r="B331" s="19" t="n"/>
      <c r="C331" s="10">
        <f>IF($AB331="","",IF(INDEX(입력_기본자료!$C$2:$C$1001,$AB331)="","",INDEX(입력_기본자료!$C$2:$C$1001,$AB331)))</f>
        <v/>
      </c>
      <c r="D331" s="10">
        <f>IF($AB331="","",IF(INDEX(입력_기본자료!$J$2:$J$1001,$AB331)="","",INDEX(입력_기본자료!$J$2:$J$1001,$AB331)))</f>
        <v/>
      </c>
      <c r="E331" s="11">
        <f>IF($AB331="","",IF(INDEX(입력_기본자료!$K$2:$K$1001,$AB331)="","",IF(NOT(ISNUMBER(INDEX(입력_기본자료!$K$2:$K$1001,$AB331))),INDEX(입력_기본자료!$K$2:$K$1001,$AB331),IF(INDEX(입력_기본자료!$K$2:$K$1001,$AB331)&lt;1000000,INDEX(입력_기본자료!$K$2:$K$1001,$AB331),IF(AND(INDEX(입력_기본자료!$K$2:$K$1001,$AB331)&gt;=10000101,INT(MOD(INDEX(입력_기본자료!$K$2:$K$1001,$AB331),10000)/100)&gt;=1,INT(MOD(INDEX(입력_기본자료!$K$2:$K$1001,$AB331),10000)/100)&lt;=12,MOD(INDEX(입력_기본자료!$K$2:$K$1001,$AB331),100)&gt;=1,MOD(INDEX(입력_기본자료!$K$2:$K$1001,$AB331),100)&lt;=31),DATE(INT(INDEX(입력_기본자료!$K$2:$K$1001,$AB331)/10000),INT(MOD(INDEX(입력_기본자료!$K$2:$K$1001,$AB331),10000)/100),MOD(INDEX(입력_기본자료!$K$2:$K$1001,$AB331),100)),INDEX(입력_기본자료!$K$2:$K$1001,$AB331)&amp;"")))))</f>
        <v/>
      </c>
      <c r="F331" s="10">
        <f>IF($AB331="","",IF(INDEX(입력_기본자료!$D$2:$D$1001,$AB331)="","",INDEX(입력_기본자료!$D$2:$D$1001,$AB331)))</f>
        <v/>
      </c>
      <c r="G331" s="10">
        <f>IF($AB331="","",IF(INDEX(입력_기본자료!$E$2:$E$1001,$AB331)="","",INDEX(입력_기본자료!$E$2:$E$1001,$AB331)))</f>
        <v/>
      </c>
      <c r="H331" s="10">
        <f>IF($AB331="","",IF(INDEX(입력_기본자료!$F$2:$F$1001,$AB331)="","",INDEX(입력_기본자료!$F$2:$F$1001,$AB331)))</f>
        <v/>
      </c>
      <c r="I331" s="11">
        <f>IF($AB331="","",IF(INDEX(입력_기본자료!$G$2:$G$1001,$AB331)="","",IF(NOT(ISNUMBER(INDEX(입력_기본자료!$G$2:$G$1001,$AB331))),INDEX(입력_기본자료!$G$2:$G$1001,$AB331),IF(INDEX(입력_기본자료!$G$2:$G$1001,$AB331)&lt;1000000,INDEX(입력_기본자료!$G$2:$G$1001,$AB331),IF(AND(INDEX(입력_기본자료!$G$2:$G$1001,$AB331)&gt;=10000101,INT(MOD(INDEX(입력_기본자료!$G$2:$G$1001,$AB331),10000)/100)&gt;=1,INT(MOD(INDEX(입력_기본자료!$G$2:$G$1001,$AB331),10000)/100)&lt;=12,MOD(INDEX(입력_기본자료!$G$2:$G$1001,$AB331),100)&gt;=1,MOD(INDEX(입력_기본자료!$G$2:$G$1001,$AB331),100)&lt;=31),DATE(INT(INDEX(입력_기본자료!$G$2:$G$1001,$AB331)/10000),INT(MOD(INDEX(입력_기본자료!$G$2:$G$1001,$AB331),10000)/100),MOD(INDEX(입력_기본자료!$G$2:$G$1001,$AB331),100)),INDEX(입력_기본자료!$G$2:$G$1001,$AB331)&amp;"")))))</f>
        <v/>
      </c>
      <c r="J331" s="10">
        <f>IF($AB331="","",IF(INDEX(입력_기본자료!$H$2:$H$1001,$AB331)="","",INDEX(입력_기본자료!$H$2:$H$1001,$AB331)))</f>
        <v/>
      </c>
      <c r="K331" s="10">
        <f>IF($AB331="","",IF(INDEX(입력_기본자료!$I$2:$I$1001,$AB331)="","",INDEX(입력_기본자료!$I$2:$I$1001,$AB331)))</f>
        <v/>
      </c>
      <c r="L331" s="10">
        <f>IF($AB331="","",IF(INDEX(입력_기본자료!$A$2:$A$1001,$AB331)="","",INDEX(입력_기본자료!$A$2:$A$1001,$AB331)))</f>
        <v/>
      </c>
      <c r="M331" s="15" t="n"/>
      <c r="N331" s="10">
        <f>IF($B331="","",IF(AND($U331="파견중",$Q331&lt;&gt;""),$Q331,IF(AND($AD331&lt;&gt;"",LEFT($AD331,1)&lt;&gt;"⚠"),LEFT($AD331,FIND(" ",$AD331)-1),IF($H331="","",IF(RIGHT($H331,2)="병원",$H331,$H331&amp;"병원")))))</f>
        <v/>
      </c>
      <c r="O331" s="10">
        <f>IF($B331="","",IF(AND($U331="파견중",$Q331&lt;&gt;""),IF($R331&lt;&gt;"",$R331,"파견과 미입력"),IF(AND($AD331&lt;&gt;"",LEFT($AD331,1)&lt;&gt;"⚠"),MID($AD331,FIND(" ",$AD331)+1,60),IF($F331="","",IF($F331="인턴","수련교육부(인턴)",$F331)))))</f>
        <v/>
      </c>
      <c r="P331" s="10">
        <f>IF($B331="","",IF($AK331&lt;&gt;"",IF(AND(TODAY()&gt;=INDEX(입력_파견수련계획!$AB$4:$AB$803,$AK331),OR(NOT(ISNUMBER(INDEX(입력_파견수련계획!$AC$4:$AC$803,$AK331))),TODAY()&lt;=INDEX(입력_파견수련계획!$AC$4:$AC$803,$AK331))),"다기관",IF($AF331="","",INDEX(입력_파견수련계획!$T$4:$T$803,$AF331))),IF($AF331="","",INDEX(입력_파견수련계획!$T$4:$T$803,$AF331))))</f>
        <v/>
      </c>
      <c r="Q331" s="10">
        <f>IF($AF331="","",INDEX(입력_파견수련계획!$S$4:$S$803,$AF331))</f>
        <v/>
      </c>
      <c r="R331" s="10">
        <f>IF($AF331="","",INDEX(입력_파견수련계획!$U$4:$U$803,$AF331))</f>
        <v/>
      </c>
      <c r="S331" s="11">
        <f>IF($AF331="","",IF(INDEX(입력_파견수련계획!$H$4:$H$803,$AF331)="","",INDEX(입력_파견수련계획!$H$4:$H$803,$AF331)))</f>
        <v/>
      </c>
      <c r="T331" s="11">
        <f>IF($AF331="","",IF(INDEX(입력_파견수련계획!$I$4:$I$803,$AF331)="","",INDEX(입력_파견수련계획!$I$4:$I$803,$AF331)))</f>
        <v/>
      </c>
      <c r="U331" s="10">
        <f>IF($AF331="","",INDEX(입력_파견수련계획!$X$4:$X$803,$AF331))</f>
        <v/>
      </c>
      <c r="V331" s="17">
        <f>IF($AF331="","",INDEX(입력_파견수련계획!$V$4:$V$803,$AF331))</f>
        <v/>
      </c>
      <c r="W331" s="17">
        <f>IF(AND($U331="파견중",$T331&lt;&gt;""),$T331-TODAY(),"")</f>
        <v/>
      </c>
      <c r="X331" s="17">
        <f>IF(OR($B331="",TRIM($J331&amp;"")=""),"",SUMPRODUCT((입력_파견수련계획!$Q$4:$Q$803=TRIM($J331&amp;""))*입력_파견수련계획!$W$4:$W$803))</f>
        <v/>
      </c>
      <c r="Y331" s="10">
        <f>IF($B331="","",IF($AG331="","",IF(IF(TRIM($J331&amp;"")="",0,SUMPRODUCT((입력_파견수련계획!$Q$4:$Q$803=TRIM($J331&amp;""))*입력_파견수련계획!$AD$4:$AD$803))&gt;0,$AE331,IF(AND(N($X331)&lt;=0,$AQ331=""),$AG331,IF($AH331+$AI331=DAY(EOMONTH(출력_요약!$B$3,0)),IF(AND($AH331&gt;=출력_요약!$E$3,$AI331&lt;출력_요약!$E$3),"서울병원",IF(AND($AI331&gt;=출력_요약!$E$3,$AH331&lt;출력_요약!$E$3),"구리병원","⚠15일 판정불가(서울 "&amp;$AH331&amp;"일/구리 "&amp;$AI331&amp;"일)")),IF($AJ331="",$AE331,IF(INDEX(입력_파견수련계획!$T$4:$T$803,$AJ331)="통합수련",INDEX(입력_파견수련계획!$S$4:$S$803,$AJ331),$AE331)))))))</f>
        <v/>
      </c>
      <c r="Z331" s="20">
        <f>IF($B331="","",IF($AB331="","기본자료에 없는 사번",IF(COUNTIF($B$2:$B$401,$B331)&gt;1,"중복 사번",IF($AE331="","소속(입사장소) 입력",IF(IF(TRIM($J331&amp;"")="",0,SUMPRODUCT((입력_파견수련계획!$Q$4:$Q$803=TRIM($J331&amp;""))*(입력_파견수련계획!$AA$4:$AA$803&lt;&gt;"")))&gt;0,"파견수련계획 입력오류 확인",IF(LEFT($Y331,1)="⚠","서울·구리 15일 판정 불가(양쪽 모두 이상/미만)",IF(IF($AC331="",0,N(INDEX(입력_인턴근무계획!$T$3:$T$402,$AC331)))&gt;0,"인턴계획 입력오류 확인",IF(AND($AQ331&lt;&gt;"",$AG331&lt;&gt;"구리병원",IF(TRIM($J331&amp;"")="",0,SUMPRODUCT((입력_파견수련계획!$Q$4:$Q$803=TRIM($J331&amp;""))*(입력_파견수련계획!$S$4:$S$803="구리병원")*입력_파견수련계획!$W$4:$W$803))=0),"구리 근무자명단에만 있음(파견수련계획 확인)",IF(AND($AC331&lt;&gt;"",$U331&lt;&gt;"파견중",$N331&lt;&gt;$AE331),"인턴 타지역 근무: 파견 여부 확인","정상")))))))))</f>
        <v/>
      </c>
      <c r="AA331" s="5" t="n"/>
      <c r="AB331" s="10">
        <f>IF($B331="","",IFERROR(MATCH($B331,입력_기본자료!$B$2:$B$1001,0),IFERROR(MATCH($B331&amp;"",입력_기본자료!$B$2:$B$1001,0),IFERROR(MATCH(VALUE($B331),입력_기본자료!$B$2:$B$1001,0),""))))</f>
        <v/>
      </c>
      <c r="AC331" s="10">
        <f>IF($B331="","",IFERROR(MATCH($B331,입력_인턴근무계획!$D$3:$D$402,0),IFERROR(MATCH($B331&amp;"",입력_인턴근무계획!$D$3:$D$402,0),IFERROR(MATCH(VALUE($B331),입력_인턴근무계획!$D$3:$D$402,0),""))))</f>
        <v/>
      </c>
      <c r="AD331" s="10">
        <f>IF(OR($AC331="",출력_인턴현황!$G$3=""),"",INDEX(입력_인턴근무계획!$M$3:$R$402,$AC331,출력_인턴현황!$G$3)&amp;"")</f>
        <v/>
      </c>
      <c r="AE331" s="10">
        <f>IF($B331="","",IF($M331&lt;&gt;"",$M331,IF(IF($AQ331="",FALSE,INDEX(출력_구리근무자!$J$6:$J$305,$AQ331)="구리독자"),"구리병원",IF($AF331&lt;&gt;"",IF(LEFT(INDEX(입력_파견수련계획!$R$4:$R$803,$AF331),1)&lt;&gt;"⚠",INDEX(입력_파견수련계획!$R$4:$R$803,$AF331),IF($H331="","",IF(RIGHT($H331,2)="병원",$H331,$H331&amp;"병원"))),IF($H331="","",IF(RIGHT($H331,2)="병원",$H331,$H331&amp;"병원"))))))</f>
        <v/>
      </c>
      <c r="AF331" s="10">
        <f>IF(OR($B331="",TRIM($J331&amp;"")=""),"",IFERROR(MATCH(TRIM($J331&amp;"")&amp;"|파견중",입력_파견수련계획!$Y$4:$Y$803,0),IFERROR(MATCH(TRIM($J331&amp;"")&amp;"|파견예정",입력_파견수련계획!$Y$4:$Y$803,0),IFERROR(MATCH(TRIM($J331&amp;"")&amp;"|파견종료",입력_파견수련계획!$Y$4:$Y$803,0),""))))</f>
        <v/>
      </c>
      <c r="AG331" s="10">
        <f>IF($B331="","",IF(AND(IF(OR($AC331="",출력_인턴현황!$K$2=""),"",INDEX(입력_인턴근무계획!$M$3:$R$402,$AC331,출력_인턴현황!$K$2)&amp;"")&lt;&gt;"",LEFT(IF(OR($AC331="",출력_인턴현황!$K$2=""),"",INDEX(입력_인턴근무계획!$M$3:$R$402,$AC331,출력_인턴현황!$K$2)&amp;""),1)&lt;&gt;"⚠"),LEFT(IF(OR($AC331="",출력_인턴현황!$K$2=""),"",INDEX(입력_인턴근무계획!$M$3:$R$402,$AC331,출력_인턴현황!$K$2)&amp;""),FIND(" ",IF(OR($AC331="",출력_인턴현황!$K$2=""),"",INDEX(입력_인턴근무계획!$M$3:$R$402,$AC331,출력_인턴현황!$K$2)&amp;""))-1),$AE331))</f>
        <v/>
      </c>
      <c r="AH331" s="17">
        <f>IF($B331="","",IF($AQ331&lt;&gt;"",MAX(0,DAY(EOMONTH(출력_요약!$B$3,0))-N($AR331)),IF(TRIM($J331&amp;"")="",0,SUMPRODUCT((입력_파견수련계획!$Q$4:$Q$803=TRIM($J331&amp;""))*(입력_파견수련계획!$S$4:$S$803="서울병원")*입력_파견수련계획!$W$4:$W$803))+IF($AG331="서울병원",MAX(0,DAY(EOMONTH(출력_요약!$B$3,0))-N($X331)),0)))</f>
        <v/>
      </c>
      <c r="AI331" s="17">
        <f>IF($B331="","",IF($AQ331&lt;&gt;"",N($AR331),IF(TRIM($J331&amp;"")="",0,SUMPRODUCT((입력_파견수련계획!$Q$4:$Q$803=TRIM($J331&amp;""))*(입력_파견수련계획!$S$4:$S$803="구리병원")*입력_파견수련계획!$W$4:$W$803))+IF($AG331="구리병원",MAX(0,DAY(EOMONTH(출력_요약!$B$3,0))-N($X331)),0)))</f>
        <v/>
      </c>
      <c r="AJ331" s="10">
        <f>IF(OR($B331="",TRIM($J331&amp;"")=""),"",IFERROR(MATCH(TRIM($J331&amp;"")&amp;"|월",입력_파견수련계획!$Z$4:$Z$803,0),""))</f>
        <v/>
      </c>
      <c r="AK331" s="10">
        <f>IF(OR($B331="",TRIM($J331&amp;"")=""),"",IFERROR(MATCH(TRIM($J331&amp;"")&amp;"|다기관",입력_파견수련계획!$AE$4:$AE$803,0),""))</f>
        <v/>
      </c>
      <c r="AL331" s="10">
        <f>IF($AK331="","","다기관 "&amp;TEXT(INDEX(입력_파견수련계획!$AB$4:$AB$803,$AK331),"yyyy-mm-dd")&amp;"~"&amp;IF(ISNUMBER(INDEX(입력_파견수련계획!$AC$4:$AC$803,$AK331)),TEXT(INDEX(입력_파견수련계획!$AC$4:$AC$803,$AK331),"yyyy-mm-dd"),""))</f>
        <v/>
      </c>
      <c r="AM331" s="10">
        <f>IF($Y331="서울병원",COUNTIF($Y$2:$Y331,"서울병원"),"")</f>
        <v/>
      </c>
      <c r="AN331" s="10">
        <f>IF(LEFT($Y331,1)="⚠",COUNTIF($Y$2:$Y331,"⚠*"),"")</f>
        <v/>
      </c>
      <c r="AO331" s="10">
        <f>IF(OR($B331="",$Y331=""),"",IF(IF(TRIM($J331&amp;"")="",0,SUMPRODUCT((입력_파견수련계획!$Q$4:$Q$803=TRIM($J331&amp;""))*입력_파견수련계획!$AD$4:$AD$803))&gt;0,"다기관 기간 → 소속병원 지급",IF(AND(N($X331)&lt;=0,$AQ331=""),"파견 없음 → 그 달 근무병원 지급",IF($AH331+$AI331=DAY(EOMONTH(출력_요약!$B$3,0)),"서울 "&amp;$AH331&amp;"일 / 구리 "&amp;$AI331&amp;"일"&amp;IF($AQ331&lt;&gt;""," (구리 근무자명단 반영)","")&amp;" → 15일 이상 근무 병원 지급","타 병원 포함 → "&amp;IF($AJ331="","소속",INDEX(입력_파견수련계획!$T$4:$T$803,$AJ331))&amp;" 규칙"))))</f>
        <v/>
      </c>
      <c r="AP331" s="10">
        <f>IF($B331="","",$C331&amp;"|"&amp;$F331)</f>
        <v/>
      </c>
      <c r="AQ331" s="10">
        <f>IF($B331="","",IFERROR(MATCH(ROW()-1,출력_구리근무자!$K$6:$K$305,0),""))</f>
        <v/>
      </c>
      <c r="AR331" s="10">
        <f>IF($AQ331="","",INDEX(출력_구리근무자!$H$6:$H$305,$AQ331))</f>
        <v/>
      </c>
    </row>
    <row r="332">
      <c r="A332" s="10">
        <f>IF(B332="","",ROW()-1)</f>
        <v/>
      </c>
      <c r="B332" s="19" t="n"/>
      <c r="C332" s="10">
        <f>IF($AB332="","",IF(INDEX(입력_기본자료!$C$2:$C$1001,$AB332)="","",INDEX(입력_기본자료!$C$2:$C$1001,$AB332)))</f>
        <v/>
      </c>
      <c r="D332" s="10">
        <f>IF($AB332="","",IF(INDEX(입력_기본자료!$J$2:$J$1001,$AB332)="","",INDEX(입력_기본자료!$J$2:$J$1001,$AB332)))</f>
        <v/>
      </c>
      <c r="E332" s="11">
        <f>IF($AB332="","",IF(INDEX(입력_기본자료!$K$2:$K$1001,$AB332)="","",IF(NOT(ISNUMBER(INDEX(입력_기본자료!$K$2:$K$1001,$AB332))),INDEX(입력_기본자료!$K$2:$K$1001,$AB332),IF(INDEX(입력_기본자료!$K$2:$K$1001,$AB332)&lt;1000000,INDEX(입력_기본자료!$K$2:$K$1001,$AB332),IF(AND(INDEX(입력_기본자료!$K$2:$K$1001,$AB332)&gt;=10000101,INT(MOD(INDEX(입력_기본자료!$K$2:$K$1001,$AB332),10000)/100)&gt;=1,INT(MOD(INDEX(입력_기본자료!$K$2:$K$1001,$AB332),10000)/100)&lt;=12,MOD(INDEX(입력_기본자료!$K$2:$K$1001,$AB332),100)&gt;=1,MOD(INDEX(입력_기본자료!$K$2:$K$1001,$AB332),100)&lt;=31),DATE(INT(INDEX(입력_기본자료!$K$2:$K$1001,$AB332)/10000),INT(MOD(INDEX(입력_기본자료!$K$2:$K$1001,$AB332),10000)/100),MOD(INDEX(입력_기본자료!$K$2:$K$1001,$AB332),100)),INDEX(입력_기본자료!$K$2:$K$1001,$AB332)&amp;"")))))</f>
        <v/>
      </c>
      <c r="F332" s="10">
        <f>IF($AB332="","",IF(INDEX(입력_기본자료!$D$2:$D$1001,$AB332)="","",INDEX(입력_기본자료!$D$2:$D$1001,$AB332)))</f>
        <v/>
      </c>
      <c r="G332" s="10">
        <f>IF($AB332="","",IF(INDEX(입력_기본자료!$E$2:$E$1001,$AB332)="","",INDEX(입력_기본자료!$E$2:$E$1001,$AB332)))</f>
        <v/>
      </c>
      <c r="H332" s="10">
        <f>IF($AB332="","",IF(INDEX(입력_기본자료!$F$2:$F$1001,$AB332)="","",INDEX(입력_기본자료!$F$2:$F$1001,$AB332)))</f>
        <v/>
      </c>
      <c r="I332" s="11">
        <f>IF($AB332="","",IF(INDEX(입력_기본자료!$G$2:$G$1001,$AB332)="","",IF(NOT(ISNUMBER(INDEX(입력_기본자료!$G$2:$G$1001,$AB332))),INDEX(입력_기본자료!$G$2:$G$1001,$AB332),IF(INDEX(입력_기본자료!$G$2:$G$1001,$AB332)&lt;1000000,INDEX(입력_기본자료!$G$2:$G$1001,$AB332),IF(AND(INDEX(입력_기본자료!$G$2:$G$1001,$AB332)&gt;=10000101,INT(MOD(INDEX(입력_기본자료!$G$2:$G$1001,$AB332),10000)/100)&gt;=1,INT(MOD(INDEX(입력_기본자료!$G$2:$G$1001,$AB332),10000)/100)&lt;=12,MOD(INDEX(입력_기본자료!$G$2:$G$1001,$AB332),100)&gt;=1,MOD(INDEX(입력_기본자료!$G$2:$G$1001,$AB332),100)&lt;=31),DATE(INT(INDEX(입력_기본자료!$G$2:$G$1001,$AB332)/10000),INT(MOD(INDEX(입력_기본자료!$G$2:$G$1001,$AB332),10000)/100),MOD(INDEX(입력_기본자료!$G$2:$G$1001,$AB332),100)),INDEX(입력_기본자료!$G$2:$G$1001,$AB332)&amp;"")))))</f>
        <v/>
      </c>
      <c r="J332" s="10">
        <f>IF($AB332="","",IF(INDEX(입력_기본자료!$H$2:$H$1001,$AB332)="","",INDEX(입력_기본자료!$H$2:$H$1001,$AB332)))</f>
        <v/>
      </c>
      <c r="K332" s="10">
        <f>IF($AB332="","",IF(INDEX(입력_기본자료!$I$2:$I$1001,$AB332)="","",INDEX(입력_기본자료!$I$2:$I$1001,$AB332)))</f>
        <v/>
      </c>
      <c r="L332" s="10">
        <f>IF($AB332="","",IF(INDEX(입력_기본자료!$A$2:$A$1001,$AB332)="","",INDEX(입력_기본자료!$A$2:$A$1001,$AB332)))</f>
        <v/>
      </c>
      <c r="M332" s="15" t="n"/>
      <c r="N332" s="10">
        <f>IF($B332="","",IF(AND($U332="파견중",$Q332&lt;&gt;""),$Q332,IF(AND($AD332&lt;&gt;"",LEFT($AD332,1)&lt;&gt;"⚠"),LEFT($AD332,FIND(" ",$AD332)-1),IF($H332="","",IF(RIGHT($H332,2)="병원",$H332,$H332&amp;"병원")))))</f>
        <v/>
      </c>
      <c r="O332" s="10">
        <f>IF($B332="","",IF(AND($U332="파견중",$Q332&lt;&gt;""),IF($R332&lt;&gt;"",$R332,"파견과 미입력"),IF(AND($AD332&lt;&gt;"",LEFT($AD332,1)&lt;&gt;"⚠"),MID($AD332,FIND(" ",$AD332)+1,60),IF($F332="","",IF($F332="인턴","수련교육부(인턴)",$F332)))))</f>
        <v/>
      </c>
      <c r="P332" s="10">
        <f>IF($B332="","",IF($AK332&lt;&gt;"",IF(AND(TODAY()&gt;=INDEX(입력_파견수련계획!$AB$4:$AB$803,$AK332),OR(NOT(ISNUMBER(INDEX(입력_파견수련계획!$AC$4:$AC$803,$AK332))),TODAY()&lt;=INDEX(입력_파견수련계획!$AC$4:$AC$803,$AK332))),"다기관",IF($AF332="","",INDEX(입력_파견수련계획!$T$4:$T$803,$AF332))),IF($AF332="","",INDEX(입력_파견수련계획!$T$4:$T$803,$AF332))))</f>
        <v/>
      </c>
      <c r="Q332" s="10">
        <f>IF($AF332="","",INDEX(입력_파견수련계획!$S$4:$S$803,$AF332))</f>
        <v/>
      </c>
      <c r="R332" s="10">
        <f>IF($AF332="","",INDEX(입력_파견수련계획!$U$4:$U$803,$AF332))</f>
        <v/>
      </c>
      <c r="S332" s="11">
        <f>IF($AF332="","",IF(INDEX(입력_파견수련계획!$H$4:$H$803,$AF332)="","",INDEX(입력_파견수련계획!$H$4:$H$803,$AF332)))</f>
        <v/>
      </c>
      <c r="T332" s="11">
        <f>IF($AF332="","",IF(INDEX(입력_파견수련계획!$I$4:$I$803,$AF332)="","",INDEX(입력_파견수련계획!$I$4:$I$803,$AF332)))</f>
        <v/>
      </c>
      <c r="U332" s="10">
        <f>IF($AF332="","",INDEX(입력_파견수련계획!$X$4:$X$803,$AF332))</f>
        <v/>
      </c>
      <c r="V332" s="17">
        <f>IF($AF332="","",INDEX(입력_파견수련계획!$V$4:$V$803,$AF332))</f>
        <v/>
      </c>
      <c r="W332" s="17">
        <f>IF(AND($U332="파견중",$T332&lt;&gt;""),$T332-TODAY(),"")</f>
        <v/>
      </c>
      <c r="X332" s="17">
        <f>IF(OR($B332="",TRIM($J332&amp;"")=""),"",SUMPRODUCT((입력_파견수련계획!$Q$4:$Q$803=TRIM($J332&amp;""))*입력_파견수련계획!$W$4:$W$803))</f>
        <v/>
      </c>
      <c r="Y332" s="10">
        <f>IF($B332="","",IF($AG332="","",IF(IF(TRIM($J332&amp;"")="",0,SUMPRODUCT((입력_파견수련계획!$Q$4:$Q$803=TRIM($J332&amp;""))*입력_파견수련계획!$AD$4:$AD$803))&gt;0,$AE332,IF(AND(N($X332)&lt;=0,$AQ332=""),$AG332,IF($AH332+$AI332=DAY(EOMONTH(출력_요약!$B$3,0)),IF(AND($AH332&gt;=출력_요약!$E$3,$AI332&lt;출력_요약!$E$3),"서울병원",IF(AND($AI332&gt;=출력_요약!$E$3,$AH332&lt;출력_요약!$E$3),"구리병원","⚠15일 판정불가(서울 "&amp;$AH332&amp;"일/구리 "&amp;$AI332&amp;"일)")),IF($AJ332="",$AE332,IF(INDEX(입력_파견수련계획!$T$4:$T$803,$AJ332)="통합수련",INDEX(입력_파견수련계획!$S$4:$S$803,$AJ332),$AE332)))))))</f>
        <v/>
      </c>
      <c r="Z332" s="20">
        <f>IF($B332="","",IF($AB332="","기본자료에 없는 사번",IF(COUNTIF($B$2:$B$401,$B332)&gt;1,"중복 사번",IF($AE332="","소속(입사장소) 입력",IF(IF(TRIM($J332&amp;"")="",0,SUMPRODUCT((입력_파견수련계획!$Q$4:$Q$803=TRIM($J332&amp;""))*(입력_파견수련계획!$AA$4:$AA$803&lt;&gt;"")))&gt;0,"파견수련계획 입력오류 확인",IF(LEFT($Y332,1)="⚠","서울·구리 15일 판정 불가(양쪽 모두 이상/미만)",IF(IF($AC332="",0,N(INDEX(입력_인턴근무계획!$T$3:$T$402,$AC332)))&gt;0,"인턴계획 입력오류 확인",IF(AND($AQ332&lt;&gt;"",$AG332&lt;&gt;"구리병원",IF(TRIM($J332&amp;"")="",0,SUMPRODUCT((입력_파견수련계획!$Q$4:$Q$803=TRIM($J332&amp;""))*(입력_파견수련계획!$S$4:$S$803="구리병원")*입력_파견수련계획!$W$4:$W$803))=0),"구리 근무자명단에만 있음(파견수련계획 확인)",IF(AND($AC332&lt;&gt;"",$U332&lt;&gt;"파견중",$N332&lt;&gt;$AE332),"인턴 타지역 근무: 파견 여부 확인","정상")))))))))</f>
        <v/>
      </c>
      <c r="AA332" s="5" t="n"/>
      <c r="AB332" s="10">
        <f>IF($B332="","",IFERROR(MATCH($B332,입력_기본자료!$B$2:$B$1001,0),IFERROR(MATCH($B332&amp;"",입력_기본자료!$B$2:$B$1001,0),IFERROR(MATCH(VALUE($B332),입력_기본자료!$B$2:$B$1001,0),""))))</f>
        <v/>
      </c>
      <c r="AC332" s="10">
        <f>IF($B332="","",IFERROR(MATCH($B332,입력_인턴근무계획!$D$3:$D$402,0),IFERROR(MATCH($B332&amp;"",입력_인턴근무계획!$D$3:$D$402,0),IFERROR(MATCH(VALUE($B332),입력_인턴근무계획!$D$3:$D$402,0),""))))</f>
        <v/>
      </c>
      <c r="AD332" s="10">
        <f>IF(OR($AC332="",출력_인턴현황!$G$3=""),"",INDEX(입력_인턴근무계획!$M$3:$R$402,$AC332,출력_인턴현황!$G$3)&amp;"")</f>
        <v/>
      </c>
      <c r="AE332" s="10">
        <f>IF($B332="","",IF($M332&lt;&gt;"",$M332,IF(IF($AQ332="",FALSE,INDEX(출력_구리근무자!$J$6:$J$305,$AQ332)="구리독자"),"구리병원",IF($AF332&lt;&gt;"",IF(LEFT(INDEX(입력_파견수련계획!$R$4:$R$803,$AF332),1)&lt;&gt;"⚠",INDEX(입력_파견수련계획!$R$4:$R$803,$AF332),IF($H332="","",IF(RIGHT($H332,2)="병원",$H332,$H332&amp;"병원"))),IF($H332="","",IF(RIGHT($H332,2)="병원",$H332,$H332&amp;"병원"))))))</f>
        <v/>
      </c>
      <c r="AF332" s="10">
        <f>IF(OR($B332="",TRIM($J332&amp;"")=""),"",IFERROR(MATCH(TRIM($J332&amp;"")&amp;"|파견중",입력_파견수련계획!$Y$4:$Y$803,0),IFERROR(MATCH(TRIM($J332&amp;"")&amp;"|파견예정",입력_파견수련계획!$Y$4:$Y$803,0),IFERROR(MATCH(TRIM($J332&amp;"")&amp;"|파견종료",입력_파견수련계획!$Y$4:$Y$803,0),""))))</f>
        <v/>
      </c>
      <c r="AG332" s="10">
        <f>IF($B332="","",IF(AND(IF(OR($AC332="",출력_인턴현황!$K$2=""),"",INDEX(입력_인턴근무계획!$M$3:$R$402,$AC332,출력_인턴현황!$K$2)&amp;"")&lt;&gt;"",LEFT(IF(OR($AC332="",출력_인턴현황!$K$2=""),"",INDEX(입력_인턴근무계획!$M$3:$R$402,$AC332,출력_인턴현황!$K$2)&amp;""),1)&lt;&gt;"⚠"),LEFT(IF(OR($AC332="",출력_인턴현황!$K$2=""),"",INDEX(입력_인턴근무계획!$M$3:$R$402,$AC332,출력_인턴현황!$K$2)&amp;""),FIND(" ",IF(OR($AC332="",출력_인턴현황!$K$2=""),"",INDEX(입력_인턴근무계획!$M$3:$R$402,$AC332,출력_인턴현황!$K$2)&amp;""))-1),$AE332))</f>
        <v/>
      </c>
      <c r="AH332" s="17">
        <f>IF($B332="","",IF($AQ332&lt;&gt;"",MAX(0,DAY(EOMONTH(출력_요약!$B$3,0))-N($AR332)),IF(TRIM($J332&amp;"")="",0,SUMPRODUCT((입력_파견수련계획!$Q$4:$Q$803=TRIM($J332&amp;""))*(입력_파견수련계획!$S$4:$S$803="서울병원")*입력_파견수련계획!$W$4:$W$803))+IF($AG332="서울병원",MAX(0,DAY(EOMONTH(출력_요약!$B$3,0))-N($X332)),0)))</f>
        <v/>
      </c>
      <c r="AI332" s="17">
        <f>IF($B332="","",IF($AQ332&lt;&gt;"",N($AR332),IF(TRIM($J332&amp;"")="",0,SUMPRODUCT((입력_파견수련계획!$Q$4:$Q$803=TRIM($J332&amp;""))*(입력_파견수련계획!$S$4:$S$803="구리병원")*입력_파견수련계획!$W$4:$W$803))+IF($AG332="구리병원",MAX(0,DAY(EOMONTH(출력_요약!$B$3,0))-N($X332)),0)))</f>
        <v/>
      </c>
      <c r="AJ332" s="10">
        <f>IF(OR($B332="",TRIM($J332&amp;"")=""),"",IFERROR(MATCH(TRIM($J332&amp;"")&amp;"|월",입력_파견수련계획!$Z$4:$Z$803,0),""))</f>
        <v/>
      </c>
      <c r="AK332" s="10">
        <f>IF(OR($B332="",TRIM($J332&amp;"")=""),"",IFERROR(MATCH(TRIM($J332&amp;"")&amp;"|다기관",입력_파견수련계획!$AE$4:$AE$803,0),""))</f>
        <v/>
      </c>
      <c r="AL332" s="10">
        <f>IF($AK332="","","다기관 "&amp;TEXT(INDEX(입력_파견수련계획!$AB$4:$AB$803,$AK332),"yyyy-mm-dd")&amp;"~"&amp;IF(ISNUMBER(INDEX(입력_파견수련계획!$AC$4:$AC$803,$AK332)),TEXT(INDEX(입력_파견수련계획!$AC$4:$AC$803,$AK332),"yyyy-mm-dd"),""))</f>
        <v/>
      </c>
      <c r="AM332" s="10">
        <f>IF($Y332="서울병원",COUNTIF($Y$2:$Y332,"서울병원"),"")</f>
        <v/>
      </c>
      <c r="AN332" s="10">
        <f>IF(LEFT($Y332,1)="⚠",COUNTIF($Y$2:$Y332,"⚠*"),"")</f>
        <v/>
      </c>
      <c r="AO332" s="10">
        <f>IF(OR($B332="",$Y332=""),"",IF(IF(TRIM($J332&amp;"")="",0,SUMPRODUCT((입력_파견수련계획!$Q$4:$Q$803=TRIM($J332&amp;""))*입력_파견수련계획!$AD$4:$AD$803))&gt;0,"다기관 기간 → 소속병원 지급",IF(AND(N($X332)&lt;=0,$AQ332=""),"파견 없음 → 그 달 근무병원 지급",IF($AH332+$AI332=DAY(EOMONTH(출력_요약!$B$3,0)),"서울 "&amp;$AH332&amp;"일 / 구리 "&amp;$AI332&amp;"일"&amp;IF($AQ332&lt;&gt;""," (구리 근무자명단 반영)","")&amp;" → 15일 이상 근무 병원 지급","타 병원 포함 → "&amp;IF($AJ332="","소속",INDEX(입력_파견수련계획!$T$4:$T$803,$AJ332))&amp;" 규칙"))))</f>
        <v/>
      </c>
      <c r="AP332" s="10">
        <f>IF($B332="","",$C332&amp;"|"&amp;$F332)</f>
        <v/>
      </c>
      <c r="AQ332" s="10">
        <f>IF($B332="","",IFERROR(MATCH(ROW()-1,출력_구리근무자!$K$6:$K$305,0),""))</f>
        <v/>
      </c>
      <c r="AR332" s="10">
        <f>IF($AQ332="","",INDEX(출력_구리근무자!$H$6:$H$305,$AQ332))</f>
        <v/>
      </c>
    </row>
    <row r="333">
      <c r="A333" s="10">
        <f>IF(B333="","",ROW()-1)</f>
        <v/>
      </c>
      <c r="B333" s="19" t="n"/>
      <c r="C333" s="10">
        <f>IF($AB333="","",IF(INDEX(입력_기본자료!$C$2:$C$1001,$AB333)="","",INDEX(입력_기본자료!$C$2:$C$1001,$AB333)))</f>
        <v/>
      </c>
      <c r="D333" s="10">
        <f>IF($AB333="","",IF(INDEX(입력_기본자료!$J$2:$J$1001,$AB333)="","",INDEX(입력_기본자료!$J$2:$J$1001,$AB333)))</f>
        <v/>
      </c>
      <c r="E333" s="11">
        <f>IF($AB333="","",IF(INDEX(입력_기본자료!$K$2:$K$1001,$AB333)="","",IF(NOT(ISNUMBER(INDEX(입력_기본자료!$K$2:$K$1001,$AB333))),INDEX(입력_기본자료!$K$2:$K$1001,$AB333),IF(INDEX(입력_기본자료!$K$2:$K$1001,$AB333)&lt;1000000,INDEX(입력_기본자료!$K$2:$K$1001,$AB333),IF(AND(INDEX(입력_기본자료!$K$2:$K$1001,$AB333)&gt;=10000101,INT(MOD(INDEX(입력_기본자료!$K$2:$K$1001,$AB333),10000)/100)&gt;=1,INT(MOD(INDEX(입력_기본자료!$K$2:$K$1001,$AB333),10000)/100)&lt;=12,MOD(INDEX(입력_기본자료!$K$2:$K$1001,$AB333),100)&gt;=1,MOD(INDEX(입력_기본자료!$K$2:$K$1001,$AB333),100)&lt;=31),DATE(INT(INDEX(입력_기본자료!$K$2:$K$1001,$AB333)/10000),INT(MOD(INDEX(입력_기본자료!$K$2:$K$1001,$AB333),10000)/100),MOD(INDEX(입력_기본자료!$K$2:$K$1001,$AB333),100)),INDEX(입력_기본자료!$K$2:$K$1001,$AB333)&amp;"")))))</f>
        <v/>
      </c>
      <c r="F333" s="10">
        <f>IF($AB333="","",IF(INDEX(입력_기본자료!$D$2:$D$1001,$AB333)="","",INDEX(입력_기본자료!$D$2:$D$1001,$AB333)))</f>
        <v/>
      </c>
      <c r="G333" s="10">
        <f>IF($AB333="","",IF(INDEX(입력_기본자료!$E$2:$E$1001,$AB333)="","",INDEX(입력_기본자료!$E$2:$E$1001,$AB333)))</f>
        <v/>
      </c>
      <c r="H333" s="10">
        <f>IF($AB333="","",IF(INDEX(입력_기본자료!$F$2:$F$1001,$AB333)="","",INDEX(입력_기본자료!$F$2:$F$1001,$AB333)))</f>
        <v/>
      </c>
      <c r="I333" s="11">
        <f>IF($AB333="","",IF(INDEX(입력_기본자료!$G$2:$G$1001,$AB333)="","",IF(NOT(ISNUMBER(INDEX(입력_기본자료!$G$2:$G$1001,$AB333))),INDEX(입력_기본자료!$G$2:$G$1001,$AB333),IF(INDEX(입력_기본자료!$G$2:$G$1001,$AB333)&lt;1000000,INDEX(입력_기본자료!$G$2:$G$1001,$AB333),IF(AND(INDEX(입력_기본자료!$G$2:$G$1001,$AB333)&gt;=10000101,INT(MOD(INDEX(입력_기본자료!$G$2:$G$1001,$AB333),10000)/100)&gt;=1,INT(MOD(INDEX(입력_기본자료!$G$2:$G$1001,$AB333),10000)/100)&lt;=12,MOD(INDEX(입력_기본자료!$G$2:$G$1001,$AB333),100)&gt;=1,MOD(INDEX(입력_기본자료!$G$2:$G$1001,$AB333),100)&lt;=31),DATE(INT(INDEX(입력_기본자료!$G$2:$G$1001,$AB333)/10000),INT(MOD(INDEX(입력_기본자료!$G$2:$G$1001,$AB333),10000)/100),MOD(INDEX(입력_기본자료!$G$2:$G$1001,$AB333),100)),INDEX(입력_기본자료!$G$2:$G$1001,$AB333)&amp;"")))))</f>
        <v/>
      </c>
      <c r="J333" s="10">
        <f>IF($AB333="","",IF(INDEX(입력_기본자료!$H$2:$H$1001,$AB333)="","",INDEX(입력_기본자료!$H$2:$H$1001,$AB333)))</f>
        <v/>
      </c>
      <c r="K333" s="10">
        <f>IF($AB333="","",IF(INDEX(입력_기본자료!$I$2:$I$1001,$AB333)="","",INDEX(입력_기본자료!$I$2:$I$1001,$AB333)))</f>
        <v/>
      </c>
      <c r="L333" s="10">
        <f>IF($AB333="","",IF(INDEX(입력_기본자료!$A$2:$A$1001,$AB333)="","",INDEX(입력_기본자료!$A$2:$A$1001,$AB333)))</f>
        <v/>
      </c>
      <c r="M333" s="15" t="n"/>
      <c r="N333" s="10">
        <f>IF($B333="","",IF(AND($U333="파견중",$Q333&lt;&gt;""),$Q333,IF(AND($AD333&lt;&gt;"",LEFT($AD333,1)&lt;&gt;"⚠"),LEFT($AD333,FIND(" ",$AD333)-1),IF($H333="","",IF(RIGHT($H333,2)="병원",$H333,$H333&amp;"병원")))))</f>
        <v/>
      </c>
      <c r="O333" s="10">
        <f>IF($B333="","",IF(AND($U333="파견중",$Q333&lt;&gt;""),IF($R333&lt;&gt;"",$R333,"파견과 미입력"),IF(AND($AD333&lt;&gt;"",LEFT($AD333,1)&lt;&gt;"⚠"),MID($AD333,FIND(" ",$AD333)+1,60),IF($F333="","",IF($F333="인턴","수련교육부(인턴)",$F333)))))</f>
        <v/>
      </c>
      <c r="P333" s="10">
        <f>IF($B333="","",IF($AK333&lt;&gt;"",IF(AND(TODAY()&gt;=INDEX(입력_파견수련계획!$AB$4:$AB$803,$AK333),OR(NOT(ISNUMBER(INDEX(입력_파견수련계획!$AC$4:$AC$803,$AK333))),TODAY()&lt;=INDEX(입력_파견수련계획!$AC$4:$AC$803,$AK333))),"다기관",IF($AF333="","",INDEX(입력_파견수련계획!$T$4:$T$803,$AF333))),IF($AF333="","",INDEX(입력_파견수련계획!$T$4:$T$803,$AF333))))</f>
        <v/>
      </c>
      <c r="Q333" s="10">
        <f>IF($AF333="","",INDEX(입력_파견수련계획!$S$4:$S$803,$AF333))</f>
        <v/>
      </c>
      <c r="R333" s="10">
        <f>IF($AF333="","",INDEX(입력_파견수련계획!$U$4:$U$803,$AF333))</f>
        <v/>
      </c>
      <c r="S333" s="11">
        <f>IF($AF333="","",IF(INDEX(입력_파견수련계획!$H$4:$H$803,$AF333)="","",INDEX(입력_파견수련계획!$H$4:$H$803,$AF333)))</f>
        <v/>
      </c>
      <c r="T333" s="11">
        <f>IF($AF333="","",IF(INDEX(입력_파견수련계획!$I$4:$I$803,$AF333)="","",INDEX(입력_파견수련계획!$I$4:$I$803,$AF333)))</f>
        <v/>
      </c>
      <c r="U333" s="10">
        <f>IF($AF333="","",INDEX(입력_파견수련계획!$X$4:$X$803,$AF333))</f>
        <v/>
      </c>
      <c r="V333" s="17">
        <f>IF($AF333="","",INDEX(입력_파견수련계획!$V$4:$V$803,$AF333))</f>
        <v/>
      </c>
      <c r="W333" s="17">
        <f>IF(AND($U333="파견중",$T333&lt;&gt;""),$T333-TODAY(),"")</f>
        <v/>
      </c>
      <c r="X333" s="17">
        <f>IF(OR($B333="",TRIM($J333&amp;"")=""),"",SUMPRODUCT((입력_파견수련계획!$Q$4:$Q$803=TRIM($J333&amp;""))*입력_파견수련계획!$W$4:$W$803))</f>
        <v/>
      </c>
      <c r="Y333" s="10">
        <f>IF($B333="","",IF($AG333="","",IF(IF(TRIM($J333&amp;"")="",0,SUMPRODUCT((입력_파견수련계획!$Q$4:$Q$803=TRIM($J333&amp;""))*입력_파견수련계획!$AD$4:$AD$803))&gt;0,$AE333,IF(AND(N($X333)&lt;=0,$AQ333=""),$AG333,IF($AH333+$AI333=DAY(EOMONTH(출력_요약!$B$3,0)),IF(AND($AH333&gt;=출력_요약!$E$3,$AI333&lt;출력_요약!$E$3),"서울병원",IF(AND($AI333&gt;=출력_요약!$E$3,$AH333&lt;출력_요약!$E$3),"구리병원","⚠15일 판정불가(서울 "&amp;$AH333&amp;"일/구리 "&amp;$AI333&amp;"일)")),IF($AJ333="",$AE333,IF(INDEX(입력_파견수련계획!$T$4:$T$803,$AJ333)="통합수련",INDEX(입력_파견수련계획!$S$4:$S$803,$AJ333),$AE333)))))))</f>
        <v/>
      </c>
      <c r="Z333" s="20">
        <f>IF($B333="","",IF($AB333="","기본자료에 없는 사번",IF(COUNTIF($B$2:$B$401,$B333)&gt;1,"중복 사번",IF($AE333="","소속(입사장소) 입력",IF(IF(TRIM($J333&amp;"")="",0,SUMPRODUCT((입력_파견수련계획!$Q$4:$Q$803=TRIM($J333&amp;""))*(입력_파견수련계획!$AA$4:$AA$803&lt;&gt;"")))&gt;0,"파견수련계획 입력오류 확인",IF(LEFT($Y333,1)="⚠","서울·구리 15일 판정 불가(양쪽 모두 이상/미만)",IF(IF($AC333="",0,N(INDEX(입력_인턴근무계획!$T$3:$T$402,$AC333)))&gt;0,"인턴계획 입력오류 확인",IF(AND($AQ333&lt;&gt;"",$AG333&lt;&gt;"구리병원",IF(TRIM($J333&amp;"")="",0,SUMPRODUCT((입력_파견수련계획!$Q$4:$Q$803=TRIM($J333&amp;""))*(입력_파견수련계획!$S$4:$S$803="구리병원")*입력_파견수련계획!$W$4:$W$803))=0),"구리 근무자명단에만 있음(파견수련계획 확인)",IF(AND($AC333&lt;&gt;"",$U333&lt;&gt;"파견중",$N333&lt;&gt;$AE333),"인턴 타지역 근무: 파견 여부 확인","정상")))))))))</f>
        <v/>
      </c>
      <c r="AA333" s="5" t="n"/>
      <c r="AB333" s="10">
        <f>IF($B333="","",IFERROR(MATCH($B333,입력_기본자료!$B$2:$B$1001,0),IFERROR(MATCH($B333&amp;"",입력_기본자료!$B$2:$B$1001,0),IFERROR(MATCH(VALUE($B333),입력_기본자료!$B$2:$B$1001,0),""))))</f>
        <v/>
      </c>
      <c r="AC333" s="10">
        <f>IF($B333="","",IFERROR(MATCH($B333,입력_인턴근무계획!$D$3:$D$402,0),IFERROR(MATCH($B333&amp;"",입력_인턴근무계획!$D$3:$D$402,0),IFERROR(MATCH(VALUE($B333),입력_인턴근무계획!$D$3:$D$402,0),""))))</f>
        <v/>
      </c>
      <c r="AD333" s="10">
        <f>IF(OR($AC333="",출력_인턴현황!$G$3=""),"",INDEX(입력_인턴근무계획!$M$3:$R$402,$AC333,출력_인턴현황!$G$3)&amp;"")</f>
        <v/>
      </c>
      <c r="AE333" s="10">
        <f>IF($B333="","",IF($M333&lt;&gt;"",$M333,IF(IF($AQ333="",FALSE,INDEX(출력_구리근무자!$J$6:$J$305,$AQ333)="구리독자"),"구리병원",IF($AF333&lt;&gt;"",IF(LEFT(INDEX(입력_파견수련계획!$R$4:$R$803,$AF333),1)&lt;&gt;"⚠",INDEX(입력_파견수련계획!$R$4:$R$803,$AF333),IF($H333="","",IF(RIGHT($H333,2)="병원",$H333,$H333&amp;"병원"))),IF($H333="","",IF(RIGHT($H333,2)="병원",$H333,$H333&amp;"병원"))))))</f>
        <v/>
      </c>
      <c r="AF333" s="10">
        <f>IF(OR($B333="",TRIM($J333&amp;"")=""),"",IFERROR(MATCH(TRIM($J333&amp;"")&amp;"|파견중",입력_파견수련계획!$Y$4:$Y$803,0),IFERROR(MATCH(TRIM($J333&amp;"")&amp;"|파견예정",입력_파견수련계획!$Y$4:$Y$803,0),IFERROR(MATCH(TRIM($J333&amp;"")&amp;"|파견종료",입력_파견수련계획!$Y$4:$Y$803,0),""))))</f>
        <v/>
      </c>
      <c r="AG333" s="10">
        <f>IF($B333="","",IF(AND(IF(OR($AC333="",출력_인턴현황!$K$2=""),"",INDEX(입력_인턴근무계획!$M$3:$R$402,$AC333,출력_인턴현황!$K$2)&amp;"")&lt;&gt;"",LEFT(IF(OR($AC333="",출력_인턴현황!$K$2=""),"",INDEX(입력_인턴근무계획!$M$3:$R$402,$AC333,출력_인턴현황!$K$2)&amp;""),1)&lt;&gt;"⚠"),LEFT(IF(OR($AC333="",출력_인턴현황!$K$2=""),"",INDEX(입력_인턴근무계획!$M$3:$R$402,$AC333,출력_인턴현황!$K$2)&amp;""),FIND(" ",IF(OR($AC333="",출력_인턴현황!$K$2=""),"",INDEX(입력_인턴근무계획!$M$3:$R$402,$AC333,출력_인턴현황!$K$2)&amp;""))-1),$AE333))</f>
        <v/>
      </c>
      <c r="AH333" s="17">
        <f>IF($B333="","",IF($AQ333&lt;&gt;"",MAX(0,DAY(EOMONTH(출력_요약!$B$3,0))-N($AR333)),IF(TRIM($J333&amp;"")="",0,SUMPRODUCT((입력_파견수련계획!$Q$4:$Q$803=TRIM($J333&amp;""))*(입력_파견수련계획!$S$4:$S$803="서울병원")*입력_파견수련계획!$W$4:$W$803))+IF($AG333="서울병원",MAX(0,DAY(EOMONTH(출력_요약!$B$3,0))-N($X333)),0)))</f>
        <v/>
      </c>
      <c r="AI333" s="17">
        <f>IF($B333="","",IF($AQ333&lt;&gt;"",N($AR333),IF(TRIM($J333&amp;"")="",0,SUMPRODUCT((입력_파견수련계획!$Q$4:$Q$803=TRIM($J333&amp;""))*(입력_파견수련계획!$S$4:$S$803="구리병원")*입력_파견수련계획!$W$4:$W$803))+IF($AG333="구리병원",MAX(0,DAY(EOMONTH(출력_요약!$B$3,0))-N($X333)),0)))</f>
        <v/>
      </c>
      <c r="AJ333" s="10">
        <f>IF(OR($B333="",TRIM($J333&amp;"")=""),"",IFERROR(MATCH(TRIM($J333&amp;"")&amp;"|월",입력_파견수련계획!$Z$4:$Z$803,0),""))</f>
        <v/>
      </c>
      <c r="AK333" s="10">
        <f>IF(OR($B333="",TRIM($J333&amp;"")=""),"",IFERROR(MATCH(TRIM($J333&amp;"")&amp;"|다기관",입력_파견수련계획!$AE$4:$AE$803,0),""))</f>
        <v/>
      </c>
      <c r="AL333" s="10">
        <f>IF($AK333="","","다기관 "&amp;TEXT(INDEX(입력_파견수련계획!$AB$4:$AB$803,$AK333),"yyyy-mm-dd")&amp;"~"&amp;IF(ISNUMBER(INDEX(입력_파견수련계획!$AC$4:$AC$803,$AK333)),TEXT(INDEX(입력_파견수련계획!$AC$4:$AC$803,$AK333),"yyyy-mm-dd"),""))</f>
        <v/>
      </c>
      <c r="AM333" s="10">
        <f>IF($Y333="서울병원",COUNTIF($Y$2:$Y333,"서울병원"),"")</f>
        <v/>
      </c>
      <c r="AN333" s="10">
        <f>IF(LEFT($Y333,1)="⚠",COUNTIF($Y$2:$Y333,"⚠*"),"")</f>
        <v/>
      </c>
      <c r="AO333" s="10">
        <f>IF(OR($B333="",$Y333=""),"",IF(IF(TRIM($J333&amp;"")="",0,SUMPRODUCT((입력_파견수련계획!$Q$4:$Q$803=TRIM($J333&amp;""))*입력_파견수련계획!$AD$4:$AD$803))&gt;0,"다기관 기간 → 소속병원 지급",IF(AND(N($X333)&lt;=0,$AQ333=""),"파견 없음 → 그 달 근무병원 지급",IF($AH333+$AI333=DAY(EOMONTH(출력_요약!$B$3,0)),"서울 "&amp;$AH333&amp;"일 / 구리 "&amp;$AI333&amp;"일"&amp;IF($AQ333&lt;&gt;""," (구리 근무자명단 반영)","")&amp;" → 15일 이상 근무 병원 지급","타 병원 포함 → "&amp;IF($AJ333="","소속",INDEX(입력_파견수련계획!$T$4:$T$803,$AJ333))&amp;" 규칙"))))</f>
        <v/>
      </c>
      <c r="AP333" s="10">
        <f>IF($B333="","",$C333&amp;"|"&amp;$F333)</f>
        <v/>
      </c>
      <c r="AQ333" s="10">
        <f>IF($B333="","",IFERROR(MATCH(ROW()-1,출력_구리근무자!$K$6:$K$305,0),""))</f>
        <v/>
      </c>
      <c r="AR333" s="10">
        <f>IF($AQ333="","",INDEX(출력_구리근무자!$H$6:$H$305,$AQ333))</f>
        <v/>
      </c>
    </row>
    <row r="334">
      <c r="A334" s="10">
        <f>IF(B334="","",ROW()-1)</f>
        <v/>
      </c>
      <c r="B334" s="19" t="n"/>
      <c r="C334" s="10">
        <f>IF($AB334="","",IF(INDEX(입력_기본자료!$C$2:$C$1001,$AB334)="","",INDEX(입력_기본자료!$C$2:$C$1001,$AB334)))</f>
        <v/>
      </c>
      <c r="D334" s="10">
        <f>IF($AB334="","",IF(INDEX(입력_기본자료!$J$2:$J$1001,$AB334)="","",INDEX(입력_기본자료!$J$2:$J$1001,$AB334)))</f>
        <v/>
      </c>
      <c r="E334" s="11">
        <f>IF($AB334="","",IF(INDEX(입력_기본자료!$K$2:$K$1001,$AB334)="","",IF(NOT(ISNUMBER(INDEX(입력_기본자료!$K$2:$K$1001,$AB334))),INDEX(입력_기본자료!$K$2:$K$1001,$AB334),IF(INDEX(입력_기본자료!$K$2:$K$1001,$AB334)&lt;1000000,INDEX(입력_기본자료!$K$2:$K$1001,$AB334),IF(AND(INDEX(입력_기본자료!$K$2:$K$1001,$AB334)&gt;=10000101,INT(MOD(INDEX(입력_기본자료!$K$2:$K$1001,$AB334),10000)/100)&gt;=1,INT(MOD(INDEX(입력_기본자료!$K$2:$K$1001,$AB334),10000)/100)&lt;=12,MOD(INDEX(입력_기본자료!$K$2:$K$1001,$AB334),100)&gt;=1,MOD(INDEX(입력_기본자료!$K$2:$K$1001,$AB334),100)&lt;=31),DATE(INT(INDEX(입력_기본자료!$K$2:$K$1001,$AB334)/10000),INT(MOD(INDEX(입력_기본자료!$K$2:$K$1001,$AB334),10000)/100),MOD(INDEX(입력_기본자료!$K$2:$K$1001,$AB334),100)),INDEX(입력_기본자료!$K$2:$K$1001,$AB334)&amp;"")))))</f>
        <v/>
      </c>
      <c r="F334" s="10">
        <f>IF($AB334="","",IF(INDEX(입력_기본자료!$D$2:$D$1001,$AB334)="","",INDEX(입력_기본자료!$D$2:$D$1001,$AB334)))</f>
        <v/>
      </c>
      <c r="G334" s="10">
        <f>IF($AB334="","",IF(INDEX(입력_기본자료!$E$2:$E$1001,$AB334)="","",INDEX(입력_기본자료!$E$2:$E$1001,$AB334)))</f>
        <v/>
      </c>
      <c r="H334" s="10">
        <f>IF($AB334="","",IF(INDEX(입력_기본자료!$F$2:$F$1001,$AB334)="","",INDEX(입력_기본자료!$F$2:$F$1001,$AB334)))</f>
        <v/>
      </c>
      <c r="I334" s="11">
        <f>IF($AB334="","",IF(INDEX(입력_기본자료!$G$2:$G$1001,$AB334)="","",IF(NOT(ISNUMBER(INDEX(입력_기본자료!$G$2:$G$1001,$AB334))),INDEX(입력_기본자료!$G$2:$G$1001,$AB334),IF(INDEX(입력_기본자료!$G$2:$G$1001,$AB334)&lt;1000000,INDEX(입력_기본자료!$G$2:$G$1001,$AB334),IF(AND(INDEX(입력_기본자료!$G$2:$G$1001,$AB334)&gt;=10000101,INT(MOD(INDEX(입력_기본자료!$G$2:$G$1001,$AB334),10000)/100)&gt;=1,INT(MOD(INDEX(입력_기본자료!$G$2:$G$1001,$AB334),10000)/100)&lt;=12,MOD(INDEX(입력_기본자료!$G$2:$G$1001,$AB334),100)&gt;=1,MOD(INDEX(입력_기본자료!$G$2:$G$1001,$AB334),100)&lt;=31),DATE(INT(INDEX(입력_기본자료!$G$2:$G$1001,$AB334)/10000),INT(MOD(INDEX(입력_기본자료!$G$2:$G$1001,$AB334),10000)/100),MOD(INDEX(입력_기본자료!$G$2:$G$1001,$AB334),100)),INDEX(입력_기본자료!$G$2:$G$1001,$AB334)&amp;"")))))</f>
        <v/>
      </c>
      <c r="J334" s="10">
        <f>IF($AB334="","",IF(INDEX(입력_기본자료!$H$2:$H$1001,$AB334)="","",INDEX(입력_기본자료!$H$2:$H$1001,$AB334)))</f>
        <v/>
      </c>
      <c r="K334" s="10">
        <f>IF($AB334="","",IF(INDEX(입력_기본자료!$I$2:$I$1001,$AB334)="","",INDEX(입력_기본자료!$I$2:$I$1001,$AB334)))</f>
        <v/>
      </c>
      <c r="L334" s="10">
        <f>IF($AB334="","",IF(INDEX(입력_기본자료!$A$2:$A$1001,$AB334)="","",INDEX(입력_기본자료!$A$2:$A$1001,$AB334)))</f>
        <v/>
      </c>
      <c r="M334" s="15" t="n"/>
      <c r="N334" s="10">
        <f>IF($B334="","",IF(AND($U334="파견중",$Q334&lt;&gt;""),$Q334,IF(AND($AD334&lt;&gt;"",LEFT($AD334,1)&lt;&gt;"⚠"),LEFT($AD334,FIND(" ",$AD334)-1),IF($H334="","",IF(RIGHT($H334,2)="병원",$H334,$H334&amp;"병원")))))</f>
        <v/>
      </c>
      <c r="O334" s="10">
        <f>IF($B334="","",IF(AND($U334="파견중",$Q334&lt;&gt;""),IF($R334&lt;&gt;"",$R334,"파견과 미입력"),IF(AND($AD334&lt;&gt;"",LEFT($AD334,1)&lt;&gt;"⚠"),MID($AD334,FIND(" ",$AD334)+1,60),IF($F334="","",IF($F334="인턴","수련교육부(인턴)",$F334)))))</f>
        <v/>
      </c>
      <c r="P334" s="10">
        <f>IF($B334="","",IF($AK334&lt;&gt;"",IF(AND(TODAY()&gt;=INDEX(입력_파견수련계획!$AB$4:$AB$803,$AK334),OR(NOT(ISNUMBER(INDEX(입력_파견수련계획!$AC$4:$AC$803,$AK334))),TODAY()&lt;=INDEX(입력_파견수련계획!$AC$4:$AC$803,$AK334))),"다기관",IF($AF334="","",INDEX(입력_파견수련계획!$T$4:$T$803,$AF334))),IF($AF334="","",INDEX(입력_파견수련계획!$T$4:$T$803,$AF334))))</f>
        <v/>
      </c>
      <c r="Q334" s="10">
        <f>IF($AF334="","",INDEX(입력_파견수련계획!$S$4:$S$803,$AF334))</f>
        <v/>
      </c>
      <c r="R334" s="10">
        <f>IF($AF334="","",INDEX(입력_파견수련계획!$U$4:$U$803,$AF334))</f>
        <v/>
      </c>
      <c r="S334" s="11">
        <f>IF($AF334="","",IF(INDEX(입력_파견수련계획!$H$4:$H$803,$AF334)="","",INDEX(입력_파견수련계획!$H$4:$H$803,$AF334)))</f>
        <v/>
      </c>
      <c r="T334" s="11">
        <f>IF($AF334="","",IF(INDEX(입력_파견수련계획!$I$4:$I$803,$AF334)="","",INDEX(입력_파견수련계획!$I$4:$I$803,$AF334)))</f>
        <v/>
      </c>
      <c r="U334" s="10">
        <f>IF($AF334="","",INDEX(입력_파견수련계획!$X$4:$X$803,$AF334))</f>
        <v/>
      </c>
      <c r="V334" s="17">
        <f>IF($AF334="","",INDEX(입력_파견수련계획!$V$4:$V$803,$AF334))</f>
        <v/>
      </c>
      <c r="W334" s="17">
        <f>IF(AND($U334="파견중",$T334&lt;&gt;""),$T334-TODAY(),"")</f>
        <v/>
      </c>
      <c r="X334" s="17">
        <f>IF(OR($B334="",TRIM($J334&amp;"")=""),"",SUMPRODUCT((입력_파견수련계획!$Q$4:$Q$803=TRIM($J334&amp;""))*입력_파견수련계획!$W$4:$W$803))</f>
        <v/>
      </c>
      <c r="Y334" s="10">
        <f>IF($B334="","",IF($AG334="","",IF(IF(TRIM($J334&amp;"")="",0,SUMPRODUCT((입력_파견수련계획!$Q$4:$Q$803=TRIM($J334&amp;""))*입력_파견수련계획!$AD$4:$AD$803))&gt;0,$AE334,IF(AND(N($X334)&lt;=0,$AQ334=""),$AG334,IF($AH334+$AI334=DAY(EOMONTH(출력_요약!$B$3,0)),IF(AND($AH334&gt;=출력_요약!$E$3,$AI334&lt;출력_요약!$E$3),"서울병원",IF(AND($AI334&gt;=출력_요약!$E$3,$AH334&lt;출력_요약!$E$3),"구리병원","⚠15일 판정불가(서울 "&amp;$AH334&amp;"일/구리 "&amp;$AI334&amp;"일)")),IF($AJ334="",$AE334,IF(INDEX(입력_파견수련계획!$T$4:$T$803,$AJ334)="통합수련",INDEX(입력_파견수련계획!$S$4:$S$803,$AJ334),$AE334)))))))</f>
        <v/>
      </c>
      <c r="Z334" s="20">
        <f>IF($B334="","",IF($AB334="","기본자료에 없는 사번",IF(COUNTIF($B$2:$B$401,$B334)&gt;1,"중복 사번",IF($AE334="","소속(입사장소) 입력",IF(IF(TRIM($J334&amp;"")="",0,SUMPRODUCT((입력_파견수련계획!$Q$4:$Q$803=TRIM($J334&amp;""))*(입력_파견수련계획!$AA$4:$AA$803&lt;&gt;"")))&gt;0,"파견수련계획 입력오류 확인",IF(LEFT($Y334,1)="⚠","서울·구리 15일 판정 불가(양쪽 모두 이상/미만)",IF(IF($AC334="",0,N(INDEX(입력_인턴근무계획!$T$3:$T$402,$AC334)))&gt;0,"인턴계획 입력오류 확인",IF(AND($AQ334&lt;&gt;"",$AG334&lt;&gt;"구리병원",IF(TRIM($J334&amp;"")="",0,SUMPRODUCT((입력_파견수련계획!$Q$4:$Q$803=TRIM($J334&amp;""))*(입력_파견수련계획!$S$4:$S$803="구리병원")*입력_파견수련계획!$W$4:$W$803))=0),"구리 근무자명단에만 있음(파견수련계획 확인)",IF(AND($AC334&lt;&gt;"",$U334&lt;&gt;"파견중",$N334&lt;&gt;$AE334),"인턴 타지역 근무: 파견 여부 확인","정상")))))))))</f>
        <v/>
      </c>
      <c r="AA334" s="5" t="n"/>
      <c r="AB334" s="10">
        <f>IF($B334="","",IFERROR(MATCH($B334,입력_기본자료!$B$2:$B$1001,0),IFERROR(MATCH($B334&amp;"",입력_기본자료!$B$2:$B$1001,0),IFERROR(MATCH(VALUE($B334),입력_기본자료!$B$2:$B$1001,0),""))))</f>
        <v/>
      </c>
      <c r="AC334" s="10">
        <f>IF($B334="","",IFERROR(MATCH($B334,입력_인턴근무계획!$D$3:$D$402,0),IFERROR(MATCH($B334&amp;"",입력_인턴근무계획!$D$3:$D$402,0),IFERROR(MATCH(VALUE($B334),입력_인턴근무계획!$D$3:$D$402,0),""))))</f>
        <v/>
      </c>
      <c r="AD334" s="10">
        <f>IF(OR($AC334="",출력_인턴현황!$G$3=""),"",INDEX(입력_인턴근무계획!$M$3:$R$402,$AC334,출력_인턴현황!$G$3)&amp;"")</f>
        <v/>
      </c>
      <c r="AE334" s="10">
        <f>IF($B334="","",IF($M334&lt;&gt;"",$M334,IF(IF($AQ334="",FALSE,INDEX(출력_구리근무자!$J$6:$J$305,$AQ334)="구리독자"),"구리병원",IF($AF334&lt;&gt;"",IF(LEFT(INDEX(입력_파견수련계획!$R$4:$R$803,$AF334),1)&lt;&gt;"⚠",INDEX(입력_파견수련계획!$R$4:$R$803,$AF334),IF($H334="","",IF(RIGHT($H334,2)="병원",$H334,$H334&amp;"병원"))),IF($H334="","",IF(RIGHT($H334,2)="병원",$H334,$H334&amp;"병원"))))))</f>
        <v/>
      </c>
      <c r="AF334" s="10">
        <f>IF(OR($B334="",TRIM($J334&amp;"")=""),"",IFERROR(MATCH(TRIM($J334&amp;"")&amp;"|파견중",입력_파견수련계획!$Y$4:$Y$803,0),IFERROR(MATCH(TRIM($J334&amp;"")&amp;"|파견예정",입력_파견수련계획!$Y$4:$Y$803,0),IFERROR(MATCH(TRIM($J334&amp;"")&amp;"|파견종료",입력_파견수련계획!$Y$4:$Y$803,0),""))))</f>
        <v/>
      </c>
      <c r="AG334" s="10">
        <f>IF($B334="","",IF(AND(IF(OR($AC334="",출력_인턴현황!$K$2=""),"",INDEX(입력_인턴근무계획!$M$3:$R$402,$AC334,출력_인턴현황!$K$2)&amp;"")&lt;&gt;"",LEFT(IF(OR($AC334="",출력_인턴현황!$K$2=""),"",INDEX(입력_인턴근무계획!$M$3:$R$402,$AC334,출력_인턴현황!$K$2)&amp;""),1)&lt;&gt;"⚠"),LEFT(IF(OR($AC334="",출력_인턴현황!$K$2=""),"",INDEX(입력_인턴근무계획!$M$3:$R$402,$AC334,출력_인턴현황!$K$2)&amp;""),FIND(" ",IF(OR($AC334="",출력_인턴현황!$K$2=""),"",INDEX(입력_인턴근무계획!$M$3:$R$402,$AC334,출력_인턴현황!$K$2)&amp;""))-1),$AE334))</f>
        <v/>
      </c>
      <c r="AH334" s="17">
        <f>IF($B334="","",IF($AQ334&lt;&gt;"",MAX(0,DAY(EOMONTH(출력_요약!$B$3,0))-N($AR334)),IF(TRIM($J334&amp;"")="",0,SUMPRODUCT((입력_파견수련계획!$Q$4:$Q$803=TRIM($J334&amp;""))*(입력_파견수련계획!$S$4:$S$803="서울병원")*입력_파견수련계획!$W$4:$W$803))+IF($AG334="서울병원",MAX(0,DAY(EOMONTH(출력_요약!$B$3,0))-N($X334)),0)))</f>
        <v/>
      </c>
      <c r="AI334" s="17">
        <f>IF($B334="","",IF($AQ334&lt;&gt;"",N($AR334),IF(TRIM($J334&amp;"")="",0,SUMPRODUCT((입력_파견수련계획!$Q$4:$Q$803=TRIM($J334&amp;""))*(입력_파견수련계획!$S$4:$S$803="구리병원")*입력_파견수련계획!$W$4:$W$803))+IF($AG334="구리병원",MAX(0,DAY(EOMONTH(출력_요약!$B$3,0))-N($X334)),0)))</f>
        <v/>
      </c>
      <c r="AJ334" s="10">
        <f>IF(OR($B334="",TRIM($J334&amp;"")=""),"",IFERROR(MATCH(TRIM($J334&amp;"")&amp;"|월",입력_파견수련계획!$Z$4:$Z$803,0),""))</f>
        <v/>
      </c>
      <c r="AK334" s="10">
        <f>IF(OR($B334="",TRIM($J334&amp;"")=""),"",IFERROR(MATCH(TRIM($J334&amp;"")&amp;"|다기관",입력_파견수련계획!$AE$4:$AE$803,0),""))</f>
        <v/>
      </c>
      <c r="AL334" s="10">
        <f>IF($AK334="","","다기관 "&amp;TEXT(INDEX(입력_파견수련계획!$AB$4:$AB$803,$AK334),"yyyy-mm-dd")&amp;"~"&amp;IF(ISNUMBER(INDEX(입력_파견수련계획!$AC$4:$AC$803,$AK334)),TEXT(INDEX(입력_파견수련계획!$AC$4:$AC$803,$AK334),"yyyy-mm-dd"),""))</f>
        <v/>
      </c>
      <c r="AM334" s="10">
        <f>IF($Y334="서울병원",COUNTIF($Y$2:$Y334,"서울병원"),"")</f>
        <v/>
      </c>
      <c r="AN334" s="10">
        <f>IF(LEFT($Y334,1)="⚠",COUNTIF($Y$2:$Y334,"⚠*"),"")</f>
        <v/>
      </c>
      <c r="AO334" s="10">
        <f>IF(OR($B334="",$Y334=""),"",IF(IF(TRIM($J334&amp;"")="",0,SUMPRODUCT((입력_파견수련계획!$Q$4:$Q$803=TRIM($J334&amp;""))*입력_파견수련계획!$AD$4:$AD$803))&gt;0,"다기관 기간 → 소속병원 지급",IF(AND(N($X334)&lt;=0,$AQ334=""),"파견 없음 → 그 달 근무병원 지급",IF($AH334+$AI334=DAY(EOMONTH(출력_요약!$B$3,0)),"서울 "&amp;$AH334&amp;"일 / 구리 "&amp;$AI334&amp;"일"&amp;IF($AQ334&lt;&gt;""," (구리 근무자명단 반영)","")&amp;" → 15일 이상 근무 병원 지급","타 병원 포함 → "&amp;IF($AJ334="","소속",INDEX(입력_파견수련계획!$T$4:$T$803,$AJ334))&amp;" 규칙"))))</f>
        <v/>
      </c>
      <c r="AP334" s="10">
        <f>IF($B334="","",$C334&amp;"|"&amp;$F334)</f>
        <v/>
      </c>
      <c r="AQ334" s="10">
        <f>IF($B334="","",IFERROR(MATCH(ROW()-1,출력_구리근무자!$K$6:$K$305,0),""))</f>
        <v/>
      </c>
      <c r="AR334" s="10">
        <f>IF($AQ334="","",INDEX(출력_구리근무자!$H$6:$H$305,$AQ334))</f>
        <v/>
      </c>
    </row>
    <row r="335">
      <c r="A335" s="10">
        <f>IF(B335="","",ROW()-1)</f>
        <v/>
      </c>
      <c r="B335" s="19" t="n"/>
      <c r="C335" s="10">
        <f>IF($AB335="","",IF(INDEX(입력_기본자료!$C$2:$C$1001,$AB335)="","",INDEX(입력_기본자료!$C$2:$C$1001,$AB335)))</f>
        <v/>
      </c>
      <c r="D335" s="10">
        <f>IF($AB335="","",IF(INDEX(입력_기본자료!$J$2:$J$1001,$AB335)="","",INDEX(입력_기본자료!$J$2:$J$1001,$AB335)))</f>
        <v/>
      </c>
      <c r="E335" s="11">
        <f>IF($AB335="","",IF(INDEX(입력_기본자료!$K$2:$K$1001,$AB335)="","",IF(NOT(ISNUMBER(INDEX(입력_기본자료!$K$2:$K$1001,$AB335))),INDEX(입력_기본자료!$K$2:$K$1001,$AB335),IF(INDEX(입력_기본자료!$K$2:$K$1001,$AB335)&lt;1000000,INDEX(입력_기본자료!$K$2:$K$1001,$AB335),IF(AND(INDEX(입력_기본자료!$K$2:$K$1001,$AB335)&gt;=10000101,INT(MOD(INDEX(입력_기본자료!$K$2:$K$1001,$AB335),10000)/100)&gt;=1,INT(MOD(INDEX(입력_기본자료!$K$2:$K$1001,$AB335),10000)/100)&lt;=12,MOD(INDEX(입력_기본자료!$K$2:$K$1001,$AB335),100)&gt;=1,MOD(INDEX(입력_기본자료!$K$2:$K$1001,$AB335),100)&lt;=31),DATE(INT(INDEX(입력_기본자료!$K$2:$K$1001,$AB335)/10000),INT(MOD(INDEX(입력_기본자료!$K$2:$K$1001,$AB335),10000)/100),MOD(INDEX(입력_기본자료!$K$2:$K$1001,$AB335),100)),INDEX(입력_기본자료!$K$2:$K$1001,$AB335)&amp;"")))))</f>
        <v/>
      </c>
      <c r="F335" s="10">
        <f>IF($AB335="","",IF(INDEX(입력_기본자료!$D$2:$D$1001,$AB335)="","",INDEX(입력_기본자료!$D$2:$D$1001,$AB335)))</f>
        <v/>
      </c>
      <c r="G335" s="10">
        <f>IF($AB335="","",IF(INDEX(입력_기본자료!$E$2:$E$1001,$AB335)="","",INDEX(입력_기본자료!$E$2:$E$1001,$AB335)))</f>
        <v/>
      </c>
      <c r="H335" s="10">
        <f>IF($AB335="","",IF(INDEX(입력_기본자료!$F$2:$F$1001,$AB335)="","",INDEX(입력_기본자료!$F$2:$F$1001,$AB335)))</f>
        <v/>
      </c>
      <c r="I335" s="11">
        <f>IF($AB335="","",IF(INDEX(입력_기본자료!$G$2:$G$1001,$AB335)="","",IF(NOT(ISNUMBER(INDEX(입력_기본자료!$G$2:$G$1001,$AB335))),INDEX(입력_기본자료!$G$2:$G$1001,$AB335),IF(INDEX(입력_기본자료!$G$2:$G$1001,$AB335)&lt;1000000,INDEX(입력_기본자료!$G$2:$G$1001,$AB335),IF(AND(INDEX(입력_기본자료!$G$2:$G$1001,$AB335)&gt;=10000101,INT(MOD(INDEX(입력_기본자료!$G$2:$G$1001,$AB335),10000)/100)&gt;=1,INT(MOD(INDEX(입력_기본자료!$G$2:$G$1001,$AB335),10000)/100)&lt;=12,MOD(INDEX(입력_기본자료!$G$2:$G$1001,$AB335),100)&gt;=1,MOD(INDEX(입력_기본자료!$G$2:$G$1001,$AB335),100)&lt;=31),DATE(INT(INDEX(입력_기본자료!$G$2:$G$1001,$AB335)/10000),INT(MOD(INDEX(입력_기본자료!$G$2:$G$1001,$AB335),10000)/100),MOD(INDEX(입력_기본자료!$G$2:$G$1001,$AB335),100)),INDEX(입력_기본자료!$G$2:$G$1001,$AB335)&amp;"")))))</f>
        <v/>
      </c>
      <c r="J335" s="10">
        <f>IF($AB335="","",IF(INDEX(입력_기본자료!$H$2:$H$1001,$AB335)="","",INDEX(입력_기본자료!$H$2:$H$1001,$AB335)))</f>
        <v/>
      </c>
      <c r="K335" s="10">
        <f>IF($AB335="","",IF(INDEX(입력_기본자료!$I$2:$I$1001,$AB335)="","",INDEX(입력_기본자료!$I$2:$I$1001,$AB335)))</f>
        <v/>
      </c>
      <c r="L335" s="10">
        <f>IF($AB335="","",IF(INDEX(입력_기본자료!$A$2:$A$1001,$AB335)="","",INDEX(입력_기본자료!$A$2:$A$1001,$AB335)))</f>
        <v/>
      </c>
      <c r="M335" s="15" t="n"/>
      <c r="N335" s="10">
        <f>IF($B335="","",IF(AND($U335="파견중",$Q335&lt;&gt;""),$Q335,IF(AND($AD335&lt;&gt;"",LEFT($AD335,1)&lt;&gt;"⚠"),LEFT($AD335,FIND(" ",$AD335)-1),IF($H335="","",IF(RIGHT($H335,2)="병원",$H335,$H335&amp;"병원")))))</f>
        <v/>
      </c>
      <c r="O335" s="10">
        <f>IF($B335="","",IF(AND($U335="파견중",$Q335&lt;&gt;""),IF($R335&lt;&gt;"",$R335,"파견과 미입력"),IF(AND($AD335&lt;&gt;"",LEFT($AD335,1)&lt;&gt;"⚠"),MID($AD335,FIND(" ",$AD335)+1,60),IF($F335="","",IF($F335="인턴","수련교육부(인턴)",$F335)))))</f>
        <v/>
      </c>
      <c r="P335" s="10">
        <f>IF($B335="","",IF($AK335&lt;&gt;"",IF(AND(TODAY()&gt;=INDEX(입력_파견수련계획!$AB$4:$AB$803,$AK335),OR(NOT(ISNUMBER(INDEX(입력_파견수련계획!$AC$4:$AC$803,$AK335))),TODAY()&lt;=INDEX(입력_파견수련계획!$AC$4:$AC$803,$AK335))),"다기관",IF($AF335="","",INDEX(입력_파견수련계획!$T$4:$T$803,$AF335))),IF($AF335="","",INDEX(입력_파견수련계획!$T$4:$T$803,$AF335))))</f>
        <v/>
      </c>
      <c r="Q335" s="10">
        <f>IF($AF335="","",INDEX(입력_파견수련계획!$S$4:$S$803,$AF335))</f>
        <v/>
      </c>
      <c r="R335" s="10">
        <f>IF($AF335="","",INDEX(입력_파견수련계획!$U$4:$U$803,$AF335))</f>
        <v/>
      </c>
      <c r="S335" s="11">
        <f>IF($AF335="","",IF(INDEX(입력_파견수련계획!$H$4:$H$803,$AF335)="","",INDEX(입력_파견수련계획!$H$4:$H$803,$AF335)))</f>
        <v/>
      </c>
      <c r="T335" s="11">
        <f>IF($AF335="","",IF(INDEX(입력_파견수련계획!$I$4:$I$803,$AF335)="","",INDEX(입력_파견수련계획!$I$4:$I$803,$AF335)))</f>
        <v/>
      </c>
      <c r="U335" s="10">
        <f>IF($AF335="","",INDEX(입력_파견수련계획!$X$4:$X$803,$AF335))</f>
        <v/>
      </c>
      <c r="V335" s="17">
        <f>IF($AF335="","",INDEX(입력_파견수련계획!$V$4:$V$803,$AF335))</f>
        <v/>
      </c>
      <c r="W335" s="17">
        <f>IF(AND($U335="파견중",$T335&lt;&gt;""),$T335-TODAY(),"")</f>
        <v/>
      </c>
      <c r="X335" s="17">
        <f>IF(OR($B335="",TRIM($J335&amp;"")=""),"",SUMPRODUCT((입력_파견수련계획!$Q$4:$Q$803=TRIM($J335&amp;""))*입력_파견수련계획!$W$4:$W$803))</f>
        <v/>
      </c>
      <c r="Y335" s="10">
        <f>IF($B335="","",IF($AG335="","",IF(IF(TRIM($J335&amp;"")="",0,SUMPRODUCT((입력_파견수련계획!$Q$4:$Q$803=TRIM($J335&amp;""))*입력_파견수련계획!$AD$4:$AD$803))&gt;0,$AE335,IF(AND(N($X335)&lt;=0,$AQ335=""),$AG335,IF($AH335+$AI335=DAY(EOMONTH(출력_요약!$B$3,0)),IF(AND($AH335&gt;=출력_요약!$E$3,$AI335&lt;출력_요약!$E$3),"서울병원",IF(AND($AI335&gt;=출력_요약!$E$3,$AH335&lt;출력_요약!$E$3),"구리병원","⚠15일 판정불가(서울 "&amp;$AH335&amp;"일/구리 "&amp;$AI335&amp;"일)")),IF($AJ335="",$AE335,IF(INDEX(입력_파견수련계획!$T$4:$T$803,$AJ335)="통합수련",INDEX(입력_파견수련계획!$S$4:$S$803,$AJ335),$AE335)))))))</f>
        <v/>
      </c>
      <c r="Z335" s="20">
        <f>IF($B335="","",IF($AB335="","기본자료에 없는 사번",IF(COUNTIF($B$2:$B$401,$B335)&gt;1,"중복 사번",IF($AE335="","소속(입사장소) 입력",IF(IF(TRIM($J335&amp;"")="",0,SUMPRODUCT((입력_파견수련계획!$Q$4:$Q$803=TRIM($J335&amp;""))*(입력_파견수련계획!$AA$4:$AA$803&lt;&gt;"")))&gt;0,"파견수련계획 입력오류 확인",IF(LEFT($Y335,1)="⚠","서울·구리 15일 판정 불가(양쪽 모두 이상/미만)",IF(IF($AC335="",0,N(INDEX(입력_인턴근무계획!$T$3:$T$402,$AC335)))&gt;0,"인턴계획 입력오류 확인",IF(AND($AQ335&lt;&gt;"",$AG335&lt;&gt;"구리병원",IF(TRIM($J335&amp;"")="",0,SUMPRODUCT((입력_파견수련계획!$Q$4:$Q$803=TRIM($J335&amp;""))*(입력_파견수련계획!$S$4:$S$803="구리병원")*입력_파견수련계획!$W$4:$W$803))=0),"구리 근무자명단에만 있음(파견수련계획 확인)",IF(AND($AC335&lt;&gt;"",$U335&lt;&gt;"파견중",$N335&lt;&gt;$AE335),"인턴 타지역 근무: 파견 여부 확인","정상")))))))))</f>
        <v/>
      </c>
      <c r="AA335" s="5" t="n"/>
      <c r="AB335" s="10">
        <f>IF($B335="","",IFERROR(MATCH($B335,입력_기본자료!$B$2:$B$1001,0),IFERROR(MATCH($B335&amp;"",입력_기본자료!$B$2:$B$1001,0),IFERROR(MATCH(VALUE($B335),입력_기본자료!$B$2:$B$1001,0),""))))</f>
        <v/>
      </c>
      <c r="AC335" s="10">
        <f>IF($B335="","",IFERROR(MATCH($B335,입력_인턴근무계획!$D$3:$D$402,0),IFERROR(MATCH($B335&amp;"",입력_인턴근무계획!$D$3:$D$402,0),IFERROR(MATCH(VALUE($B335),입력_인턴근무계획!$D$3:$D$402,0),""))))</f>
        <v/>
      </c>
      <c r="AD335" s="10">
        <f>IF(OR($AC335="",출력_인턴현황!$G$3=""),"",INDEX(입력_인턴근무계획!$M$3:$R$402,$AC335,출력_인턴현황!$G$3)&amp;"")</f>
        <v/>
      </c>
      <c r="AE335" s="10">
        <f>IF($B335="","",IF($M335&lt;&gt;"",$M335,IF(IF($AQ335="",FALSE,INDEX(출력_구리근무자!$J$6:$J$305,$AQ335)="구리독자"),"구리병원",IF($AF335&lt;&gt;"",IF(LEFT(INDEX(입력_파견수련계획!$R$4:$R$803,$AF335),1)&lt;&gt;"⚠",INDEX(입력_파견수련계획!$R$4:$R$803,$AF335),IF($H335="","",IF(RIGHT($H335,2)="병원",$H335,$H335&amp;"병원"))),IF($H335="","",IF(RIGHT($H335,2)="병원",$H335,$H335&amp;"병원"))))))</f>
        <v/>
      </c>
      <c r="AF335" s="10">
        <f>IF(OR($B335="",TRIM($J335&amp;"")=""),"",IFERROR(MATCH(TRIM($J335&amp;"")&amp;"|파견중",입력_파견수련계획!$Y$4:$Y$803,0),IFERROR(MATCH(TRIM($J335&amp;"")&amp;"|파견예정",입력_파견수련계획!$Y$4:$Y$803,0),IFERROR(MATCH(TRIM($J335&amp;"")&amp;"|파견종료",입력_파견수련계획!$Y$4:$Y$803,0),""))))</f>
        <v/>
      </c>
      <c r="AG335" s="10">
        <f>IF($B335="","",IF(AND(IF(OR($AC335="",출력_인턴현황!$K$2=""),"",INDEX(입력_인턴근무계획!$M$3:$R$402,$AC335,출력_인턴현황!$K$2)&amp;"")&lt;&gt;"",LEFT(IF(OR($AC335="",출력_인턴현황!$K$2=""),"",INDEX(입력_인턴근무계획!$M$3:$R$402,$AC335,출력_인턴현황!$K$2)&amp;""),1)&lt;&gt;"⚠"),LEFT(IF(OR($AC335="",출력_인턴현황!$K$2=""),"",INDEX(입력_인턴근무계획!$M$3:$R$402,$AC335,출력_인턴현황!$K$2)&amp;""),FIND(" ",IF(OR($AC335="",출력_인턴현황!$K$2=""),"",INDEX(입력_인턴근무계획!$M$3:$R$402,$AC335,출력_인턴현황!$K$2)&amp;""))-1),$AE335))</f>
        <v/>
      </c>
      <c r="AH335" s="17">
        <f>IF($B335="","",IF($AQ335&lt;&gt;"",MAX(0,DAY(EOMONTH(출력_요약!$B$3,0))-N($AR335)),IF(TRIM($J335&amp;"")="",0,SUMPRODUCT((입력_파견수련계획!$Q$4:$Q$803=TRIM($J335&amp;""))*(입력_파견수련계획!$S$4:$S$803="서울병원")*입력_파견수련계획!$W$4:$W$803))+IF($AG335="서울병원",MAX(0,DAY(EOMONTH(출력_요약!$B$3,0))-N($X335)),0)))</f>
        <v/>
      </c>
      <c r="AI335" s="17">
        <f>IF($B335="","",IF($AQ335&lt;&gt;"",N($AR335),IF(TRIM($J335&amp;"")="",0,SUMPRODUCT((입력_파견수련계획!$Q$4:$Q$803=TRIM($J335&amp;""))*(입력_파견수련계획!$S$4:$S$803="구리병원")*입력_파견수련계획!$W$4:$W$803))+IF($AG335="구리병원",MAX(0,DAY(EOMONTH(출력_요약!$B$3,0))-N($X335)),0)))</f>
        <v/>
      </c>
      <c r="AJ335" s="10">
        <f>IF(OR($B335="",TRIM($J335&amp;"")=""),"",IFERROR(MATCH(TRIM($J335&amp;"")&amp;"|월",입력_파견수련계획!$Z$4:$Z$803,0),""))</f>
        <v/>
      </c>
      <c r="AK335" s="10">
        <f>IF(OR($B335="",TRIM($J335&amp;"")=""),"",IFERROR(MATCH(TRIM($J335&amp;"")&amp;"|다기관",입력_파견수련계획!$AE$4:$AE$803,0),""))</f>
        <v/>
      </c>
      <c r="AL335" s="10">
        <f>IF($AK335="","","다기관 "&amp;TEXT(INDEX(입력_파견수련계획!$AB$4:$AB$803,$AK335),"yyyy-mm-dd")&amp;"~"&amp;IF(ISNUMBER(INDEX(입력_파견수련계획!$AC$4:$AC$803,$AK335)),TEXT(INDEX(입력_파견수련계획!$AC$4:$AC$803,$AK335),"yyyy-mm-dd"),""))</f>
        <v/>
      </c>
      <c r="AM335" s="10">
        <f>IF($Y335="서울병원",COUNTIF($Y$2:$Y335,"서울병원"),"")</f>
        <v/>
      </c>
      <c r="AN335" s="10">
        <f>IF(LEFT($Y335,1)="⚠",COUNTIF($Y$2:$Y335,"⚠*"),"")</f>
        <v/>
      </c>
      <c r="AO335" s="10">
        <f>IF(OR($B335="",$Y335=""),"",IF(IF(TRIM($J335&amp;"")="",0,SUMPRODUCT((입력_파견수련계획!$Q$4:$Q$803=TRIM($J335&amp;""))*입력_파견수련계획!$AD$4:$AD$803))&gt;0,"다기관 기간 → 소속병원 지급",IF(AND(N($X335)&lt;=0,$AQ335=""),"파견 없음 → 그 달 근무병원 지급",IF($AH335+$AI335=DAY(EOMONTH(출력_요약!$B$3,0)),"서울 "&amp;$AH335&amp;"일 / 구리 "&amp;$AI335&amp;"일"&amp;IF($AQ335&lt;&gt;""," (구리 근무자명단 반영)","")&amp;" → 15일 이상 근무 병원 지급","타 병원 포함 → "&amp;IF($AJ335="","소속",INDEX(입력_파견수련계획!$T$4:$T$803,$AJ335))&amp;" 규칙"))))</f>
        <v/>
      </c>
      <c r="AP335" s="10">
        <f>IF($B335="","",$C335&amp;"|"&amp;$F335)</f>
        <v/>
      </c>
      <c r="AQ335" s="10">
        <f>IF($B335="","",IFERROR(MATCH(ROW()-1,출력_구리근무자!$K$6:$K$305,0),""))</f>
        <v/>
      </c>
      <c r="AR335" s="10">
        <f>IF($AQ335="","",INDEX(출력_구리근무자!$H$6:$H$305,$AQ335))</f>
        <v/>
      </c>
    </row>
    <row r="336">
      <c r="A336" s="10">
        <f>IF(B336="","",ROW()-1)</f>
        <v/>
      </c>
      <c r="B336" s="19" t="n"/>
      <c r="C336" s="10">
        <f>IF($AB336="","",IF(INDEX(입력_기본자료!$C$2:$C$1001,$AB336)="","",INDEX(입력_기본자료!$C$2:$C$1001,$AB336)))</f>
        <v/>
      </c>
      <c r="D336" s="10">
        <f>IF($AB336="","",IF(INDEX(입력_기본자료!$J$2:$J$1001,$AB336)="","",INDEX(입력_기본자료!$J$2:$J$1001,$AB336)))</f>
        <v/>
      </c>
      <c r="E336" s="11">
        <f>IF($AB336="","",IF(INDEX(입력_기본자료!$K$2:$K$1001,$AB336)="","",IF(NOT(ISNUMBER(INDEX(입력_기본자료!$K$2:$K$1001,$AB336))),INDEX(입력_기본자료!$K$2:$K$1001,$AB336),IF(INDEX(입력_기본자료!$K$2:$K$1001,$AB336)&lt;1000000,INDEX(입력_기본자료!$K$2:$K$1001,$AB336),IF(AND(INDEX(입력_기본자료!$K$2:$K$1001,$AB336)&gt;=10000101,INT(MOD(INDEX(입력_기본자료!$K$2:$K$1001,$AB336),10000)/100)&gt;=1,INT(MOD(INDEX(입력_기본자료!$K$2:$K$1001,$AB336),10000)/100)&lt;=12,MOD(INDEX(입력_기본자료!$K$2:$K$1001,$AB336),100)&gt;=1,MOD(INDEX(입력_기본자료!$K$2:$K$1001,$AB336),100)&lt;=31),DATE(INT(INDEX(입력_기본자료!$K$2:$K$1001,$AB336)/10000),INT(MOD(INDEX(입력_기본자료!$K$2:$K$1001,$AB336),10000)/100),MOD(INDEX(입력_기본자료!$K$2:$K$1001,$AB336),100)),INDEX(입력_기본자료!$K$2:$K$1001,$AB336)&amp;"")))))</f>
        <v/>
      </c>
      <c r="F336" s="10">
        <f>IF($AB336="","",IF(INDEX(입력_기본자료!$D$2:$D$1001,$AB336)="","",INDEX(입력_기본자료!$D$2:$D$1001,$AB336)))</f>
        <v/>
      </c>
      <c r="G336" s="10">
        <f>IF($AB336="","",IF(INDEX(입력_기본자료!$E$2:$E$1001,$AB336)="","",INDEX(입력_기본자료!$E$2:$E$1001,$AB336)))</f>
        <v/>
      </c>
      <c r="H336" s="10">
        <f>IF($AB336="","",IF(INDEX(입력_기본자료!$F$2:$F$1001,$AB336)="","",INDEX(입력_기본자료!$F$2:$F$1001,$AB336)))</f>
        <v/>
      </c>
      <c r="I336" s="11">
        <f>IF($AB336="","",IF(INDEX(입력_기본자료!$G$2:$G$1001,$AB336)="","",IF(NOT(ISNUMBER(INDEX(입력_기본자료!$G$2:$G$1001,$AB336))),INDEX(입력_기본자료!$G$2:$G$1001,$AB336),IF(INDEX(입력_기본자료!$G$2:$G$1001,$AB336)&lt;1000000,INDEX(입력_기본자료!$G$2:$G$1001,$AB336),IF(AND(INDEX(입력_기본자료!$G$2:$G$1001,$AB336)&gt;=10000101,INT(MOD(INDEX(입력_기본자료!$G$2:$G$1001,$AB336),10000)/100)&gt;=1,INT(MOD(INDEX(입력_기본자료!$G$2:$G$1001,$AB336),10000)/100)&lt;=12,MOD(INDEX(입력_기본자료!$G$2:$G$1001,$AB336),100)&gt;=1,MOD(INDEX(입력_기본자료!$G$2:$G$1001,$AB336),100)&lt;=31),DATE(INT(INDEX(입력_기본자료!$G$2:$G$1001,$AB336)/10000),INT(MOD(INDEX(입력_기본자료!$G$2:$G$1001,$AB336),10000)/100),MOD(INDEX(입력_기본자료!$G$2:$G$1001,$AB336),100)),INDEX(입력_기본자료!$G$2:$G$1001,$AB336)&amp;"")))))</f>
        <v/>
      </c>
      <c r="J336" s="10">
        <f>IF($AB336="","",IF(INDEX(입력_기본자료!$H$2:$H$1001,$AB336)="","",INDEX(입력_기본자료!$H$2:$H$1001,$AB336)))</f>
        <v/>
      </c>
      <c r="K336" s="10">
        <f>IF($AB336="","",IF(INDEX(입력_기본자료!$I$2:$I$1001,$AB336)="","",INDEX(입력_기본자료!$I$2:$I$1001,$AB336)))</f>
        <v/>
      </c>
      <c r="L336" s="10">
        <f>IF($AB336="","",IF(INDEX(입력_기본자료!$A$2:$A$1001,$AB336)="","",INDEX(입력_기본자료!$A$2:$A$1001,$AB336)))</f>
        <v/>
      </c>
      <c r="M336" s="15" t="n"/>
      <c r="N336" s="10">
        <f>IF($B336="","",IF(AND($U336="파견중",$Q336&lt;&gt;""),$Q336,IF(AND($AD336&lt;&gt;"",LEFT($AD336,1)&lt;&gt;"⚠"),LEFT($AD336,FIND(" ",$AD336)-1),IF($H336="","",IF(RIGHT($H336,2)="병원",$H336,$H336&amp;"병원")))))</f>
        <v/>
      </c>
      <c r="O336" s="10">
        <f>IF($B336="","",IF(AND($U336="파견중",$Q336&lt;&gt;""),IF($R336&lt;&gt;"",$R336,"파견과 미입력"),IF(AND($AD336&lt;&gt;"",LEFT($AD336,1)&lt;&gt;"⚠"),MID($AD336,FIND(" ",$AD336)+1,60),IF($F336="","",IF($F336="인턴","수련교육부(인턴)",$F336)))))</f>
        <v/>
      </c>
      <c r="P336" s="10">
        <f>IF($B336="","",IF($AK336&lt;&gt;"",IF(AND(TODAY()&gt;=INDEX(입력_파견수련계획!$AB$4:$AB$803,$AK336),OR(NOT(ISNUMBER(INDEX(입력_파견수련계획!$AC$4:$AC$803,$AK336))),TODAY()&lt;=INDEX(입력_파견수련계획!$AC$4:$AC$803,$AK336))),"다기관",IF($AF336="","",INDEX(입력_파견수련계획!$T$4:$T$803,$AF336))),IF($AF336="","",INDEX(입력_파견수련계획!$T$4:$T$803,$AF336))))</f>
        <v/>
      </c>
      <c r="Q336" s="10">
        <f>IF($AF336="","",INDEX(입력_파견수련계획!$S$4:$S$803,$AF336))</f>
        <v/>
      </c>
      <c r="R336" s="10">
        <f>IF($AF336="","",INDEX(입력_파견수련계획!$U$4:$U$803,$AF336))</f>
        <v/>
      </c>
      <c r="S336" s="11">
        <f>IF($AF336="","",IF(INDEX(입력_파견수련계획!$H$4:$H$803,$AF336)="","",INDEX(입력_파견수련계획!$H$4:$H$803,$AF336)))</f>
        <v/>
      </c>
      <c r="T336" s="11">
        <f>IF($AF336="","",IF(INDEX(입력_파견수련계획!$I$4:$I$803,$AF336)="","",INDEX(입력_파견수련계획!$I$4:$I$803,$AF336)))</f>
        <v/>
      </c>
      <c r="U336" s="10">
        <f>IF($AF336="","",INDEX(입력_파견수련계획!$X$4:$X$803,$AF336))</f>
        <v/>
      </c>
      <c r="V336" s="17">
        <f>IF($AF336="","",INDEX(입력_파견수련계획!$V$4:$V$803,$AF336))</f>
        <v/>
      </c>
      <c r="W336" s="17">
        <f>IF(AND($U336="파견중",$T336&lt;&gt;""),$T336-TODAY(),"")</f>
        <v/>
      </c>
      <c r="X336" s="17">
        <f>IF(OR($B336="",TRIM($J336&amp;"")=""),"",SUMPRODUCT((입력_파견수련계획!$Q$4:$Q$803=TRIM($J336&amp;""))*입력_파견수련계획!$W$4:$W$803))</f>
        <v/>
      </c>
      <c r="Y336" s="10">
        <f>IF($B336="","",IF($AG336="","",IF(IF(TRIM($J336&amp;"")="",0,SUMPRODUCT((입력_파견수련계획!$Q$4:$Q$803=TRIM($J336&amp;""))*입력_파견수련계획!$AD$4:$AD$803))&gt;0,$AE336,IF(AND(N($X336)&lt;=0,$AQ336=""),$AG336,IF($AH336+$AI336=DAY(EOMONTH(출력_요약!$B$3,0)),IF(AND($AH336&gt;=출력_요약!$E$3,$AI336&lt;출력_요약!$E$3),"서울병원",IF(AND($AI336&gt;=출력_요약!$E$3,$AH336&lt;출력_요약!$E$3),"구리병원","⚠15일 판정불가(서울 "&amp;$AH336&amp;"일/구리 "&amp;$AI336&amp;"일)")),IF($AJ336="",$AE336,IF(INDEX(입력_파견수련계획!$T$4:$T$803,$AJ336)="통합수련",INDEX(입력_파견수련계획!$S$4:$S$803,$AJ336),$AE336)))))))</f>
        <v/>
      </c>
      <c r="Z336" s="20">
        <f>IF($B336="","",IF($AB336="","기본자료에 없는 사번",IF(COUNTIF($B$2:$B$401,$B336)&gt;1,"중복 사번",IF($AE336="","소속(입사장소) 입력",IF(IF(TRIM($J336&amp;"")="",0,SUMPRODUCT((입력_파견수련계획!$Q$4:$Q$803=TRIM($J336&amp;""))*(입력_파견수련계획!$AA$4:$AA$803&lt;&gt;"")))&gt;0,"파견수련계획 입력오류 확인",IF(LEFT($Y336,1)="⚠","서울·구리 15일 판정 불가(양쪽 모두 이상/미만)",IF(IF($AC336="",0,N(INDEX(입력_인턴근무계획!$T$3:$T$402,$AC336)))&gt;0,"인턴계획 입력오류 확인",IF(AND($AQ336&lt;&gt;"",$AG336&lt;&gt;"구리병원",IF(TRIM($J336&amp;"")="",0,SUMPRODUCT((입력_파견수련계획!$Q$4:$Q$803=TRIM($J336&amp;""))*(입력_파견수련계획!$S$4:$S$803="구리병원")*입력_파견수련계획!$W$4:$W$803))=0),"구리 근무자명단에만 있음(파견수련계획 확인)",IF(AND($AC336&lt;&gt;"",$U336&lt;&gt;"파견중",$N336&lt;&gt;$AE336),"인턴 타지역 근무: 파견 여부 확인","정상")))))))))</f>
        <v/>
      </c>
      <c r="AA336" s="5" t="n"/>
      <c r="AB336" s="10">
        <f>IF($B336="","",IFERROR(MATCH($B336,입력_기본자료!$B$2:$B$1001,0),IFERROR(MATCH($B336&amp;"",입력_기본자료!$B$2:$B$1001,0),IFERROR(MATCH(VALUE($B336),입력_기본자료!$B$2:$B$1001,0),""))))</f>
        <v/>
      </c>
      <c r="AC336" s="10">
        <f>IF($B336="","",IFERROR(MATCH($B336,입력_인턴근무계획!$D$3:$D$402,0),IFERROR(MATCH($B336&amp;"",입력_인턴근무계획!$D$3:$D$402,0),IFERROR(MATCH(VALUE($B336),입력_인턴근무계획!$D$3:$D$402,0),""))))</f>
        <v/>
      </c>
      <c r="AD336" s="10">
        <f>IF(OR($AC336="",출력_인턴현황!$G$3=""),"",INDEX(입력_인턴근무계획!$M$3:$R$402,$AC336,출력_인턴현황!$G$3)&amp;"")</f>
        <v/>
      </c>
      <c r="AE336" s="10">
        <f>IF($B336="","",IF($M336&lt;&gt;"",$M336,IF(IF($AQ336="",FALSE,INDEX(출력_구리근무자!$J$6:$J$305,$AQ336)="구리독자"),"구리병원",IF($AF336&lt;&gt;"",IF(LEFT(INDEX(입력_파견수련계획!$R$4:$R$803,$AF336),1)&lt;&gt;"⚠",INDEX(입력_파견수련계획!$R$4:$R$803,$AF336),IF($H336="","",IF(RIGHT($H336,2)="병원",$H336,$H336&amp;"병원"))),IF($H336="","",IF(RIGHT($H336,2)="병원",$H336,$H336&amp;"병원"))))))</f>
        <v/>
      </c>
      <c r="AF336" s="10">
        <f>IF(OR($B336="",TRIM($J336&amp;"")=""),"",IFERROR(MATCH(TRIM($J336&amp;"")&amp;"|파견중",입력_파견수련계획!$Y$4:$Y$803,0),IFERROR(MATCH(TRIM($J336&amp;"")&amp;"|파견예정",입력_파견수련계획!$Y$4:$Y$803,0),IFERROR(MATCH(TRIM($J336&amp;"")&amp;"|파견종료",입력_파견수련계획!$Y$4:$Y$803,0),""))))</f>
        <v/>
      </c>
      <c r="AG336" s="10">
        <f>IF($B336="","",IF(AND(IF(OR($AC336="",출력_인턴현황!$K$2=""),"",INDEX(입력_인턴근무계획!$M$3:$R$402,$AC336,출력_인턴현황!$K$2)&amp;"")&lt;&gt;"",LEFT(IF(OR($AC336="",출력_인턴현황!$K$2=""),"",INDEX(입력_인턴근무계획!$M$3:$R$402,$AC336,출력_인턴현황!$K$2)&amp;""),1)&lt;&gt;"⚠"),LEFT(IF(OR($AC336="",출력_인턴현황!$K$2=""),"",INDEX(입력_인턴근무계획!$M$3:$R$402,$AC336,출력_인턴현황!$K$2)&amp;""),FIND(" ",IF(OR($AC336="",출력_인턴현황!$K$2=""),"",INDEX(입력_인턴근무계획!$M$3:$R$402,$AC336,출력_인턴현황!$K$2)&amp;""))-1),$AE336))</f>
        <v/>
      </c>
      <c r="AH336" s="17">
        <f>IF($B336="","",IF($AQ336&lt;&gt;"",MAX(0,DAY(EOMONTH(출력_요약!$B$3,0))-N($AR336)),IF(TRIM($J336&amp;"")="",0,SUMPRODUCT((입력_파견수련계획!$Q$4:$Q$803=TRIM($J336&amp;""))*(입력_파견수련계획!$S$4:$S$803="서울병원")*입력_파견수련계획!$W$4:$W$803))+IF($AG336="서울병원",MAX(0,DAY(EOMONTH(출력_요약!$B$3,0))-N($X336)),0)))</f>
        <v/>
      </c>
      <c r="AI336" s="17">
        <f>IF($B336="","",IF($AQ336&lt;&gt;"",N($AR336),IF(TRIM($J336&amp;"")="",0,SUMPRODUCT((입력_파견수련계획!$Q$4:$Q$803=TRIM($J336&amp;""))*(입력_파견수련계획!$S$4:$S$803="구리병원")*입력_파견수련계획!$W$4:$W$803))+IF($AG336="구리병원",MAX(0,DAY(EOMONTH(출력_요약!$B$3,0))-N($X336)),0)))</f>
        <v/>
      </c>
      <c r="AJ336" s="10">
        <f>IF(OR($B336="",TRIM($J336&amp;"")=""),"",IFERROR(MATCH(TRIM($J336&amp;"")&amp;"|월",입력_파견수련계획!$Z$4:$Z$803,0),""))</f>
        <v/>
      </c>
      <c r="AK336" s="10">
        <f>IF(OR($B336="",TRIM($J336&amp;"")=""),"",IFERROR(MATCH(TRIM($J336&amp;"")&amp;"|다기관",입력_파견수련계획!$AE$4:$AE$803,0),""))</f>
        <v/>
      </c>
      <c r="AL336" s="10">
        <f>IF($AK336="","","다기관 "&amp;TEXT(INDEX(입력_파견수련계획!$AB$4:$AB$803,$AK336),"yyyy-mm-dd")&amp;"~"&amp;IF(ISNUMBER(INDEX(입력_파견수련계획!$AC$4:$AC$803,$AK336)),TEXT(INDEX(입력_파견수련계획!$AC$4:$AC$803,$AK336),"yyyy-mm-dd"),""))</f>
        <v/>
      </c>
      <c r="AM336" s="10">
        <f>IF($Y336="서울병원",COUNTIF($Y$2:$Y336,"서울병원"),"")</f>
        <v/>
      </c>
      <c r="AN336" s="10">
        <f>IF(LEFT($Y336,1)="⚠",COUNTIF($Y$2:$Y336,"⚠*"),"")</f>
        <v/>
      </c>
      <c r="AO336" s="10">
        <f>IF(OR($B336="",$Y336=""),"",IF(IF(TRIM($J336&amp;"")="",0,SUMPRODUCT((입력_파견수련계획!$Q$4:$Q$803=TRIM($J336&amp;""))*입력_파견수련계획!$AD$4:$AD$803))&gt;0,"다기관 기간 → 소속병원 지급",IF(AND(N($X336)&lt;=0,$AQ336=""),"파견 없음 → 그 달 근무병원 지급",IF($AH336+$AI336=DAY(EOMONTH(출력_요약!$B$3,0)),"서울 "&amp;$AH336&amp;"일 / 구리 "&amp;$AI336&amp;"일"&amp;IF($AQ336&lt;&gt;""," (구리 근무자명단 반영)","")&amp;" → 15일 이상 근무 병원 지급","타 병원 포함 → "&amp;IF($AJ336="","소속",INDEX(입력_파견수련계획!$T$4:$T$803,$AJ336))&amp;" 규칙"))))</f>
        <v/>
      </c>
      <c r="AP336" s="10">
        <f>IF($B336="","",$C336&amp;"|"&amp;$F336)</f>
        <v/>
      </c>
      <c r="AQ336" s="10">
        <f>IF($B336="","",IFERROR(MATCH(ROW()-1,출력_구리근무자!$K$6:$K$305,0),""))</f>
        <v/>
      </c>
      <c r="AR336" s="10">
        <f>IF($AQ336="","",INDEX(출력_구리근무자!$H$6:$H$305,$AQ336))</f>
        <v/>
      </c>
    </row>
    <row r="337">
      <c r="A337" s="10">
        <f>IF(B337="","",ROW()-1)</f>
        <v/>
      </c>
      <c r="B337" s="19" t="n"/>
      <c r="C337" s="10">
        <f>IF($AB337="","",IF(INDEX(입력_기본자료!$C$2:$C$1001,$AB337)="","",INDEX(입력_기본자료!$C$2:$C$1001,$AB337)))</f>
        <v/>
      </c>
      <c r="D337" s="10">
        <f>IF($AB337="","",IF(INDEX(입력_기본자료!$J$2:$J$1001,$AB337)="","",INDEX(입력_기본자료!$J$2:$J$1001,$AB337)))</f>
        <v/>
      </c>
      <c r="E337" s="11">
        <f>IF($AB337="","",IF(INDEX(입력_기본자료!$K$2:$K$1001,$AB337)="","",IF(NOT(ISNUMBER(INDEX(입력_기본자료!$K$2:$K$1001,$AB337))),INDEX(입력_기본자료!$K$2:$K$1001,$AB337),IF(INDEX(입력_기본자료!$K$2:$K$1001,$AB337)&lt;1000000,INDEX(입력_기본자료!$K$2:$K$1001,$AB337),IF(AND(INDEX(입력_기본자료!$K$2:$K$1001,$AB337)&gt;=10000101,INT(MOD(INDEX(입력_기본자료!$K$2:$K$1001,$AB337),10000)/100)&gt;=1,INT(MOD(INDEX(입력_기본자료!$K$2:$K$1001,$AB337),10000)/100)&lt;=12,MOD(INDEX(입력_기본자료!$K$2:$K$1001,$AB337),100)&gt;=1,MOD(INDEX(입력_기본자료!$K$2:$K$1001,$AB337),100)&lt;=31),DATE(INT(INDEX(입력_기본자료!$K$2:$K$1001,$AB337)/10000),INT(MOD(INDEX(입력_기본자료!$K$2:$K$1001,$AB337),10000)/100),MOD(INDEX(입력_기본자료!$K$2:$K$1001,$AB337),100)),INDEX(입력_기본자료!$K$2:$K$1001,$AB337)&amp;"")))))</f>
        <v/>
      </c>
      <c r="F337" s="10">
        <f>IF($AB337="","",IF(INDEX(입력_기본자료!$D$2:$D$1001,$AB337)="","",INDEX(입력_기본자료!$D$2:$D$1001,$AB337)))</f>
        <v/>
      </c>
      <c r="G337" s="10">
        <f>IF($AB337="","",IF(INDEX(입력_기본자료!$E$2:$E$1001,$AB337)="","",INDEX(입력_기본자료!$E$2:$E$1001,$AB337)))</f>
        <v/>
      </c>
      <c r="H337" s="10">
        <f>IF($AB337="","",IF(INDEX(입력_기본자료!$F$2:$F$1001,$AB337)="","",INDEX(입력_기본자료!$F$2:$F$1001,$AB337)))</f>
        <v/>
      </c>
      <c r="I337" s="11">
        <f>IF($AB337="","",IF(INDEX(입력_기본자료!$G$2:$G$1001,$AB337)="","",IF(NOT(ISNUMBER(INDEX(입력_기본자료!$G$2:$G$1001,$AB337))),INDEX(입력_기본자료!$G$2:$G$1001,$AB337),IF(INDEX(입력_기본자료!$G$2:$G$1001,$AB337)&lt;1000000,INDEX(입력_기본자료!$G$2:$G$1001,$AB337),IF(AND(INDEX(입력_기본자료!$G$2:$G$1001,$AB337)&gt;=10000101,INT(MOD(INDEX(입력_기본자료!$G$2:$G$1001,$AB337),10000)/100)&gt;=1,INT(MOD(INDEX(입력_기본자료!$G$2:$G$1001,$AB337),10000)/100)&lt;=12,MOD(INDEX(입력_기본자료!$G$2:$G$1001,$AB337),100)&gt;=1,MOD(INDEX(입력_기본자료!$G$2:$G$1001,$AB337),100)&lt;=31),DATE(INT(INDEX(입력_기본자료!$G$2:$G$1001,$AB337)/10000),INT(MOD(INDEX(입력_기본자료!$G$2:$G$1001,$AB337),10000)/100),MOD(INDEX(입력_기본자료!$G$2:$G$1001,$AB337),100)),INDEX(입력_기본자료!$G$2:$G$1001,$AB337)&amp;"")))))</f>
        <v/>
      </c>
      <c r="J337" s="10">
        <f>IF($AB337="","",IF(INDEX(입력_기본자료!$H$2:$H$1001,$AB337)="","",INDEX(입력_기본자료!$H$2:$H$1001,$AB337)))</f>
        <v/>
      </c>
      <c r="K337" s="10">
        <f>IF($AB337="","",IF(INDEX(입력_기본자료!$I$2:$I$1001,$AB337)="","",INDEX(입력_기본자료!$I$2:$I$1001,$AB337)))</f>
        <v/>
      </c>
      <c r="L337" s="10">
        <f>IF($AB337="","",IF(INDEX(입력_기본자료!$A$2:$A$1001,$AB337)="","",INDEX(입력_기본자료!$A$2:$A$1001,$AB337)))</f>
        <v/>
      </c>
      <c r="M337" s="15" t="n"/>
      <c r="N337" s="10">
        <f>IF($B337="","",IF(AND($U337="파견중",$Q337&lt;&gt;""),$Q337,IF(AND($AD337&lt;&gt;"",LEFT($AD337,1)&lt;&gt;"⚠"),LEFT($AD337,FIND(" ",$AD337)-1),IF($H337="","",IF(RIGHT($H337,2)="병원",$H337,$H337&amp;"병원")))))</f>
        <v/>
      </c>
      <c r="O337" s="10">
        <f>IF($B337="","",IF(AND($U337="파견중",$Q337&lt;&gt;""),IF($R337&lt;&gt;"",$R337,"파견과 미입력"),IF(AND($AD337&lt;&gt;"",LEFT($AD337,1)&lt;&gt;"⚠"),MID($AD337,FIND(" ",$AD337)+1,60),IF($F337="","",IF($F337="인턴","수련교육부(인턴)",$F337)))))</f>
        <v/>
      </c>
      <c r="P337" s="10">
        <f>IF($B337="","",IF($AK337&lt;&gt;"",IF(AND(TODAY()&gt;=INDEX(입력_파견수련계획!$AB$4:$AB$803,$AK337),OR(NOT(ISNUMBER(INDEX(입력_파견수련계획!$AC$4:$AC$803,$AK337))),TODAY()&lt;=INDEX(입력_파견수련계획!$AC$4:$AC$803,$AK337))),"다기관",IF($AF337="","",INDEX(입력_파견수련계획!$T$4:$T$803,$AF337))),IF($AF337="","",INDEX(입력_파견수련계획!$T$4:$T$803,$AF337))))</f>
        <v/>
      </c>
      <c r="Q337" s="10">
        <f>IF($AF337="","",INDEX(입력_파견수련계획!$S$4:$S$803,$AF337))</f>
        <v/>
      </c>
      <c r="R337" s="10">
        <f>IF($AF337="","",INDEX(입력_파견수련계획!$U$4:$U$803,$AF337))</f>
        <v/>
      </c>
      <c r="S337" s="11">
        <f>IF($AF337="","",IF(INDEX(입력_파견수련계획!$H$4:$H$803,$AF337)="","",INDEX(입력_파견수련계획!$H$4:$H$803,$AF337)))</f>
        <v/>
      </c>
      <c r="T337" s="11">
        <f>IF($AF337="","",IF(INDEX(입력_파견수련계획!$I$4:$I$803,$AF337)="","",INDEX(입력_파견수련계획!$I$4:$I$803,$AF337)))</f>
        <v/>
      </c>
      <c r="U337" s="10">
        <f>IF($AF337="","",INDEX(입력_파견수련계획!$X$4:$X$803,$AF337))</f>
        <v/>
      </c>
      <c r="V337" s="17">
        <f>IF($AF337="","",INDEX(입력_파견수련계획!$V$4:$V$803,$AF337))</f>
        <v/>
      </c>
      <c r="W337" s="17">
        <f>IF(AND($U337="파견중",$T337&lt;&gt;""),$T337-TODAY(),"")</f>
        <v/>
      </c>
      <c r="X337" s="17">
        <f>IF(OR($B337="",TRIM($J337&amp;"")=""),"",SUMPRODUCT((입력_파견수련계획!$Q$4:$Q$803=TRIM($J337&amp;""))*입력_파견수련계획!$W$4:$W$803))</f>
        <v/>
      </c>
      <c r="Y337" s="10">
        <f>IF($B337="","",IF($AG337="","",IF(IF(TRIM($J337&amp;"")="",0,SUMPRODUCT((입력_파견수련계획!$Q$4:$Q$803=TRIM($J337&amp;""))*입력_파견수련계획!$AD$4:$AD$803))&gt;0,$AE337,IF(AND(N($X337)&lt;=0,$AQ337=""),$AG337,IF($AH337+$AI337=DAY(EOMONTH(출력_요약!$B$3,0)),IF(AND($AH337&gt;=출력_요약!$E$3,$AI337&lt;출력_요약!$E$3),"서울병원",IF(AND($AI337&gt;=출력_요약!$E$3,$AH337&lt;출력_요약!$E$3),"구리병원","⚠15일 판정불가(서울 "&amp;$AH337&amp;"일/구리 "&amp;$AI337&amp;"일)")),IF($AJ337="",$AE337,IF(INDEX(입력_파견수련계획!$T$4:$T$803,$AJ337)="통합수련",INDEX(입력_파견수련계획!$S$4:$S$803,$AJ337),$AE337)))))))</f>
        <v/>
      </c>
      <c r="Z337" s="20">
        <f>IF($B337="","",IF($AB337="","기본자료에 없는 사번",IF(COUNTIF($B$2:$B$401,$B337)&gt;1,"중복 사번",IF($AE337="","소속(입사장소) 입력",IF(IF(TRIM($J337&amp;"")="",0,SUMPRODUCT((입력_파견수련계획!$Q$4:$Q$803=TRIM($J337&amp;""))*(입력_파견수련계획!$AA$4:$AA$803&lt;&gt;"")))&gt;0,"파견수련계획 입력오류 확인",IF(LEFT($Y337,1)="⚠","서울·구리 15일 판정 불가(양쪽 모두 이상/미만)",IF(IF($AC337="",0,N(INDEX(입력_인턴근무계획!$T$3:$T$402,$AC337)))&gt;0,"인턴계획 입력오류 확인",IF(AND($AQ337&lt;&gt;"",$AG337&lt;&gt;"구리병원",IF(TRIM($J337&amp;"")="",0,SUMPRODUCT((입력_파견수련계획!$Q$4:$Q$803=TRIM($J337&amp;""))*(입력_파견수련계획!$S$4:$S$803="구리병원")*입력_파견수련계획!$W$4:$W$803))=0),"구리 근무자명단에만 있음(파견수련계획 확인)",IF(AND($AC337&lt;&gt;"",$U337&lt;&gt;"파견중",$N337&lt;&gt;$AE337),"인턴 타지역 근무: 파견 여부 확인","정상")))))))))</f>
        <v/>
      </c>
      <c r="AA337" s="5" t="n"/>
      <c r="AB337" s="10">
        <f>IF($B337="","",IFERROR(MATCH($B337,입력_기본자료!$B$2:$B$1001,0),IFERROR(MATCH($B337&amp;"",입력_기본자료!$B$2:$B$1001,0),IFERROR(MATCH(VALUE($B337),입력_기본자료!$B$2:$B$1001,0),""))))</f>
        <v/>
      </c>
      <c r="AC337" s="10">
        <f>IF($B337="","",IFERROR(MATCH($B337,입력_인턴근무계획!$D$3:$D$402,0),IFERROR(MATCH($B337&amp;"",입력_인턴근무계획!$D$3:$D$402,0),IFERROR(MATCH(VALUE($B337),입력_인턴근무계획!$D$3:$D$402,0),""))))</f>
        <v/>
      </c>
      <c r="AD337" s="10">
        <f>IF(OR($AC337="",출력_인턴현황!$G$3=""),"",INDEX(입력_인턴근무계획!$M$3:$R$402,$AC337,출력_인턴현황!$G$3)&amp;"")</f>
        <v/>
      </c>
      <c r="AE337" s="10">
        <f>IF($B337="","",IF($M337&lt;&gt;"",$M337,IF(IF($AQ337="",FALSE,INDEX(출력_구리근무자!$J$6:$J$305,$AQ337)="구리독자"),"구리병원",IF($AF337&lt;&gt;"",IF(LEFT(INDEX(입력_파견수련계획!$R$4:$R$803,$AF337),1)&lt;&gt;"⚠",INDEX(입력_파견수련계획!$R$4:$R$803,$AF337),IF($H337="","",IF(RIGHT($H337,2)="병원",$H337,$H337&amp;"병원"))),IF($H337="","",IF(RIGHT($H337,2)="병원",$H337,$H337&amp;"병원"))))))</f>
        <v/>
      </c>
      <c r="AF337" s="10">
        <f>IF(OR($B337="",TRIM($J337&amp;"")=""),"",IFERROR(MATCH(TRIM($J337&amp;"")&amp;"|파견중",입력_파견수련계획!$Y$4:$Y$803,0),IFERROR(MATCH(TRIM($J337&amp;"")&amp;"|파견예정",입력_파견수련계획!$Y$4:$Y$803,0),IFERROR(MATCH(TRIM($J337&amp;"")&amp;"|파견종료",입력_파견수련계획!$Y$4:$Y$803,0),""))))</f>
        <v/>
      </c>
      <c r="AG337" s="10">
        <f>IF($B337="","",IF(AND(IF(OR($AC337="",출력_인턴현황!$K$2=""),"",INDEX(입력_인턴근무계획!$M$3:$R$402,$AC337,출력_인턴현황!$K$2)&amp;"")&lt;&gt;"",LEFT(IF(OR($AC337="",출력_인턴현황!$K$2=""),"",INDEX(입력_인턴근무계획!$M$3:$R$402,$AC337,출력_인턴현황!$K$2)&amp;""),1)&lt;&gt;"⚠"),LEFT(IF(OR($AC337="",출력_인턴현황!$K$2=""),"",INDEX(입력_인턴근무계획!$M$3:$R$402,$AC337,출력_인턴현황!$K$2)&amp;""),FIND(" ",IF(OR($AC337="",출력_인턴현황!$K$2=""),"",INDEX(입력_인턴근무계획!$M$3:$R$402,$AC337,출력_인턴현황!$K$2)&amp;""))-1),$AE337))</f>
        <v/>
      </c>
      <c r="AH337" s="17">
        <f>IF($B337="","",IF($AQ337&lt;&gt;"",MAX(0,DAY(EOMONTH(출력_요약!$B$3,0))-N($AR337)),IF(TRIM($J337&amp;"")="",0,SUMPRODUCT((입력_파견수련계획!$Q$4:$Q$803=TRIM($J337&amp;""))*(입력_파견수련계획!$S$4:$S$803="서울병원")*입력_파견수련계획!$W$4:$W$803))+IF($AG337="서울병원",MAX(0,DAY(EOMONTH(출력_요약!$B$3,0))-N($X337)),0)))</f>
        <v/>
      </c>
      <c r="AI337" s="17">
        <f>IF($B337="","",IF($AQ337&lt;&gt;"",N($AR337),IF(TRIM($J337&amp;"")="",0,SUMPRODUCT((입력_파견수련계획!$Q$4:$Q$803=TRIM($J337&amp;""))*(입력_파견수련계획!$S$4:$S$803="구리병원")*입력_파견수련계획!$W$4:$W$803))+IF($AG337="구리병원",MAX(0,DAY(EOMONTH(출력_요약!$B$3,0))-N($X337)),0)))</f>
        <v/>
      </c>
      <c r="AJ337" s="10">
        <f>IF(OR($B337="",TRIM($J337&amp;"")=""),"",IFERROR(MATCH(TRIM($J337&amp;"")&amp;"|월",입력_파견수련계획!$Z$4:$Z$803,0),""))</f>
        <v/>
      </c>
      <c r="AK337" s="10">
        <f>IF(OR($B337="",TRIM($J337&amp;"")=""),"",IFERROR(MATCH(TRIM($J337&amp;"")&amp;"|다기관",입력_파견수련계획!$AE$4:$AE$803,0),""))</f>
        <v/>
      </c>
      <c r="AL337" s="10">
        <f>IF($AK337="","","다기관 "&amp;TEXT(INDEX(입력_파견수련계획!$AB$4:$AB$803,$AK337),"yyyy-mm-dd")&amp;"~"&amp;IF(ISNUMBER(INDEX(입력_파견수련계획!$AC$4:$AC$803,$AK337)),TEXT(INDEX(입력_파견수련계획!$AC$4:$AC$803,$AK337),"yyyy-mm-dd"),""))</f>
        <v/>
      </c>
      <c r="AM337" s="10">
        <f>IF($Y337="서울병원",COUNTIF($Y$2:$Y337,"서울병원"),"")</f>
        <v/>
      </c>
      <c r="AN337" s="10">
        <f>IF(LEFT($Y337,1)="⚠",COUNTIF($Y$2:$Y337,"⚠*"),"")</f>
        <v/>
      </c>
      <c r="AO337" s="10">
        <f>IF(OR($B337="",$Y337=""),"",IF(IF(TRIM($J337&amp;"")="",0,SUMPRODUCT((입력_파견수련계획!$Q$4:$Q$803=TRIM($J337&amp;""))*입력_파견수련계획!$AD$4:$AD$803))&gt;0,"다기관 기간 → 소속병원 지급",IF(AND(N($X337)&lt;=0,$AQ337=""),"파견 없음 → 그 달 근무병원 지급",IF($AH337+$AI337=DAY(EOMONTH(출력_요약!$B$3,0)),"서울 "&amp;$AH337&amp;"일 / 구리 "&amp;$AI337&amp;"일"&amp;IF($AQ337&lt;&gt;""," (구리 근무자명단 반영)","")&amp;" → 15일 이상 근무 병원 지급","타 병원 포함 → "&amp;IF($AJ337="","소속",INDEX(입력_파견수련계획!$T$4:$T$803,$AJ337))&amp;" 규칙"))))</f>
        <v/>
      </c>
      <c r="AP337" s="10">
        <f>IF($B337="","",$C337&amp;"|"&amp;$F337)</f>
        <v/>
      </c>
      <c r="AQ337" s="10">
        <f>IF($B337="","",IFERROR(MATCH(ROW()-1,출력_구리근무자!$K$6:$K$305,0),""))</f>
        <v/>
      </c>
      <c r="AR337" s="10">
        <f>IF($AQ337="","",INDEX(출력_구리근무자!$H$6:$H$305,$AQ337))</f>
        <v/>
      </c>
    </row>
    <row r="338">
      <c r="A338" s="10">
        <f>IF(B338="","",ROW()-1)</f>
        <v/>
      </c>
      <c r="B338" s="19" t="n"/>
      <c r="C338" s="10">
        <f>IF($AB338="","",IF(INDEX(입력_기본자료!$C$2:$C$1001,$AB338)="","",INDEX(입력_기본자료!$C$2:$C$1001,$AB338)))</f>
        <v/>
      </c>
      <c r="D338" s="10">
        <f>IF($AB338="","",IF(INDEX(입력_기본자료!$J$2:$J$1001,$AB338)="","",INDEX(입력_기본자료!$J$2:$J$1001,$AB338)))</f>
        <v/>
      </c>
      <c r="E338" s="11">
        <f>IF($AB338="","",IF(INDEX(입력_기본자료!$K$2:$K$1001,$AB338)="","",IF(NOT(ISNUMBER(INDEX(입력_기본자료!$K$2:$K$1001,$AB338))),INDEX(입력_기본자료!$K$2:$K$1001,$AB338),IF(INDEX(입력_기본자료!$K$2:$K$1001,$AB338)&lt;1000000,INDEX(입력_기본자료!$K$2:$K$1001,$AB338),IF(AND(INDEX(입력_기본자료!$K$2:$K$1001,$AB338)&gt;=10000101,INT(MOD(INDEX(입력_기본자료!$K$2:$K$1001,$AB338),10000)/100)&gt;=1,INT(MOD(INDEX(입력_기본자료!$K$2:$K$1001,$AB338),10000)/100)&lt;=12,MOD(INDEX(입력_기본자료!$K$2:$K$1001,$AB338),100)&gt;=1,MOD(INDEX(입력_기본자료!$K$2:$K$1001,$AB338),100)&lt;=31),DATE(INT(INDEX(입력_기본자료!$K$2:$K$1001,$AB338)/10000),INT(MOD(INDEX(입력_기본자료!$K$2:$K$1001,$AB338),10000)/100),MOD(INDEX(입력_기본자료!$K$2:$K$1001,$AB338),100)),INDEX(입력_기본자료!$K$2:$K$1001,$AB338)&amp;"")))))</f>
        <v/>
      </c>
      <c r="F338" s="10">
        <f>IF($AB338="","",IF(INDEX(입력_기본자료!$D$2:$D$1001,$AB338)="","",INDEX(입력_기본자료!$D$2:$D$1001,$AB338)))</f>
        <v/>
      </c>
      <c r="G338" s="10">
        <f>IF($AB338="","",IF(INDEX(입력_기본자료!$E$2:$E$1001,$AB338)="","",INDEX(입력_기본자료!$E$2:$E$1001,$AB338)))</f>
        <v/>
      </c>
      <c r="H338" s="10">
        <f>IF($AB338="","",IF(INDEX(입력_기본자료!$F$2:$F$1001,$AB338)="","",INDEX(입력_기본자료!$F$2:$F$1001,$AB338)))</f>
        <v/>
      </c>
      <c r="I338" s="11">
        <f>IF($AB338="","",IF(INDEX(입력_기본자료!$G$2:$G$1001,$AB338)="","",IF(NOT(ISNUMBER(INDEX(입력_기본자료!$G$2:$G$1001,$AB338))),INDEX(입력_기본자료!$G$2:$G$1001,$AB338),IF(INDEX(입력_기본자료!$G$2:$G$1001,$AB338)&lt;1000000,INDEX(입력_기본자료!$G$2:$G$1001,$AB338),IF(AND(INDEX(입력_기본자료!$G$2:$G$1001,$AB338)&gt;=10000101,INT(MOD(INDEX(입력_기본자료!$G$2:$G$1001,$AB338),10000)/100)&gt;=1,INT(MOD(INDEX(입력_기본자료!$G$2:$G$1001,$AB338),10000)/100)&lt;=12,MOD(INDEX(입력_기본자료!$G$2:$G$1001,$AB338),100)&gt;=1,MOD(INDEX(입력_기본자료!$G$2:$G$1001,$AB338),100)&lt;=31),DATE(INT(INDEX(입력_기본자료!$G$2:$G$1001,$AB338)/10000),INT(MOD(INDEX(입력_기본자료!$G$2:$G$1001,$AB338),10000)/100),MOD(INDEX(입력_기본자료!$G$2:$G$1001,$AB338),100)),INDEX(입력_기본자료!$G$2:$G$1001,$AB338)&amp;"")))))</f>
        <v/>
      </c>
      <c r="J338" s="10">
        <f>IF($AB338="","",IF(INDEX(입력_기본자료!$H$2:$H$1001,$AB338)="","",INDEX(입력_기본자료!$H$2:$H$1001,$AB338)))</f>
        <v/>
      </c>
      <c r="K338" s="10">
        <f>IF($AB338="","",IF(INDEX(입력_기본자료!$I$2:$I$1001,$AB338)="","",INDEX(입력_기본자료!$I$2:$I$1001,$AB338)))</f>
        <v/>
      </c>
      <c r="L338" s="10">
        <f>IF($AB338="","",IF(INDEX(입력_기본자료!$A$2:$A$1001,$AB338)="","",INDEX(입력_기본자료!$A$2:$A$1001,$AB338)))</f>
        <v/>
      </c>
      <c r="M338" s="15" t="n"/>
      <c r="N338" s="10">
        <f>IF($B338="","",IF(AND($U338="파견중",$Q338&lt;&gt;""),$Q338,IF(AND($AD338&lt;&gt;"",LEFT($AD338,1)&lt;&gt;"⚠"),LEFT($AD338,FIND(" ",$AD338)-1),IF($H338="","",IF(RIGHT($H338,2)="병원",$H338,$H338&amp;"병원")))))</f>
        <v/>
      </c>
      <c r="O338" s="10">
        <f>IF($B338="","",IF(AND($U338="파견중",$Q338&lt;&gt;""),IF($R338&lt;&gt;"",$R338,"파견과 미입력"),IF(AND($AD338&lt;&gt;"",LEFT($AD338,1)&lt;&gt;"⚠"),MID($AD338,FIND(" ",$AD338)+1,60),IF($F338="","",IF($F338="인턴","수련교육부(인턴)",$F338)))))</f>
        <v/>
      </c>
      <c r="P338" s="10">
        <f>IF($B338="","",IF($AK338&lt;&gt;"",IF(AND(TODAY()&gt;=INDEX(입력_파견수련계획!$AB$4:$AB$803,$AK338),OR(NOT(ISNUMBER(INDEX(입력_파견수련계획!$AC$4:$AC$803,$AK338))),TODAY()&lt;=INDEX(입력_파견수련계획!$AC$4:$AC$803,$AK338))),"다기관",IF($AF338="","",INDEX(입력_파견수련계획!$T$4:$T$803,$AF338))),IF($AF338="","",INDEX(입력_파견수련계획!$T$4:$T$803,$AF338))))</f>
        <v/>
      </c>
      <c r="Q338" s="10">
        <f>IF($AF338="","",INDEX(입력_파견수련계획!$S$4:$S$803,$AF338))</f>
        <v/>
      </c>
      <c r="R338" s="10">
        <f>IF($AF338="","",INDEX(입력_파견수련계획!$U$4:$U$803,$AF338))</f>
        <v/>
      </c>
      <c r="S338" s="11">
        <f>IF($AF338="","",IF(INDEX(입력_파견수련계획!$H$4:$H$803,$AF338)="","",INDEX(입력_파견수련계획!$H$4:$H$803,$AF338)))</f>
        <v/>
      </c>
      <c r="T338" s="11">
        <f>IF($AF338="","",IF(INDEX(입력_파견수련계획!$I$4:$I$803,$AF338)="","",INDEX(입력_파견수련계획!$I$4:$I$803,$AF338)))</f>
        <v/>
      </c>
      <c r="U338" s="10">
        <f>IF($AF338="","",INDEX(입력_파견수련계획!$X$4:$X$803,$AF338))</f>
        <v/>
      </c>
      <c r="V338" s="17">
        <f>IF($AF338="","",INDEX(입력_파견수련계획!$V$4:$V$803,$AF338))</f>
        <v/>
      </c>
      <c r="W338" s="17">
        <f>IF(AND($U338="파견중",$T338&lt;&gt;""),$T338-TODAY(),"")</f>
        <v/>
      </c>
      <c r="X338" s="17">
        <f>IF(OR($B338="",TRIM($J338&amp;"")=""),"",SUMPRODUCT((입력_파견수련계획!$Q$4:$Q$803=TRIM($J338&amp;""))*입력_파견수련계획!$W$4:$W$803))</f>
        <v/>
      </c>
      <c r="Y338" s="10">
        <f>IF($B338="","",IF($AG338="","",IF(IF(TRIM($J338&amp;"")="",0,SUMPRODUCT((입력_파견수련계획!$Q$4:$Q$803=TRIM($J338&amp;""))*입력_파견수련계획!$AD$4:$AD$803))&gt;0,$AE338,IF(AND(N($X338)&lt;=0,$AQ338=""),$AG338,IF($AH338+$AI338=DAY(EOMONTH(출력_요약!$B$3,0)),IF(AND($AH338&gt;=출력_요약!$E$3,$AI338&lt;출력_요약!$E$3),"서울병원",IF(AND($AI338&gt;=출력_요약!$E$3,$AH338&lt;출력_요약!$E$3),"구리병원","⚠15일 판정불가(서울 "&amp;$AH338&amp;"일/구리 "&amp;$AI338&amp;"일)")),IF($AJ338="",$AE338,IF(INDEX(입력_파견수련계획!$T$4:$T$803,$AJ338)="통합수련",INDEX(입력_파견수련계획!$S$4:$S$803,$AJ338),$AE338)))))))</f>
        <v/>
      </c>
      <c r="Z338" s="20">
        <f>IF($B338="","",IF($AB338="","기본자료에 없는 사번",IF(COUNTIF($B$2:$B$401,$B338)&gt;1,"중복 사번",IF($AE338="","소속(입사장소) 입력",IF(IF(TRIM($J338&amp;"")="",0,SUMPRODUCT((입력_파견수련계획!$Q$4:$Q$803=TRIM($J338&amp;""))*(입력_파견수련계획!$AA$4:$AA$803&lt;&gt;"")))&gt;0,"파견수련계획 입력오류 확인",IF(LEFT($Y338,1)="⚠","서울·구리 15일 판정 불가(양쪽 모두 이상/미만)",IF(IF($AC338="",0,N(INDEX(입력_인턴근무계획!$T$3:$T$402,$AC338)))&gt;0,"인턴계획 입력오류 확인",IF(AND($AQ338&lt;&gt;"",$AG338&lt;&gt;"구리병원",IF(TRIM($J338&amp;"")="",0,SUMPRODUCT((입력_파견수련계획!$Q$4:$Q$803=TRIM($J338&amp;""))*(입력_파견수련계획!$S$4:$S$803="구리병원")*입력_파견수련계획!$W$4:$W$803))=0),"구리 근무자명단에만 있음(파견수련계획 확인)",IF(AND($AC338&lt;&gt;"",$U338&lt;&gt;"파견중",$N338&lt;&gt;$AE338),"인턴 타지역 근무: 파견 여부 확인","정상")))))))))</f>
        <v/>
      </c>
      <c r="AA338" s="5" t="n"/>
      <c r="AB338" s="10">
        <f>IF($B338="","",IFERROR(MATCH($B338,입력_기본자료!$B$2:$B$1001,0),IFERROR(MATCH($B338&amp;"",입력_기본자료!$B$2:$B$1001,0),IFERROR(MATCH(VALUE($B338),입력_기본자료!$B$2:$B$1001,0),""))))</f>
        <v/>
      </c>
      <c r="AC338" s="10">
        <f>IF($B338="","",IFERROR(MATCH($B338,입력_인턴근무계획!$D$3:$D$402,0),IFERROR(MATCH($B338&amp;"",입력_인턴근무계획!$D$3:$D$402,0),IFERROR(MATCH(VALUE($B338),입력_인턴근무계획!$D$3:$D$402,0),""))))</f>
        <v/>
      </c>
      <c r="AD338" s="10">
        <f>IF(OR($AC338="",출력_인턴현황!$G$3=""),"",INDEX(입력_인턴근무계획!$M$3:$R$402,$AC338,출력_인턴현황!$G$3)&amp;"")</f>
        <v/>
      </c>
      <c r="AE338" s="10">
        <f>IF($B338="","",IF($M338&lt;&gt;"",$M338,IF(IF($AQ338="",FALSE,INDEX(출력_구리근무자!$J$6:$J$305,$AQ338)="구리독자"),"구리병원",IF($AF338&lt;&gt;"",IF(LEFT(INDEX(입력_파견수련계획!$R$4:$R$803,$AF338),1)&lt;&gt;"⚠",INDEX(입력_파견수련계획!$R$4:$R$803,$AF338),IF($H338="","",IF(RIGHT($H338,2)="병원",$H338,$H338&amp;"병원"))),IF($H338="","",IF(RIGHT($H338,2)="병원",$H338,$H338&amp;"병원"))))))</f>
        <v/>
      </c>
      <c r="AF338" s="10">
        <f>IF(OR($B338="",TRIM($J338&amp;"")=""),"",IFERROR(MATCH(TRIM($J338&amp;"")&amp;"|파견중",입력_파견수련계획!$Y$4:$Y$803,0),IFERROR(MATCH(TRIM($J338&amp;"")&amp;"|파견예정",입력_파견수련계획!$Y$4:$Y$803,0),IFERROR(MATCH(TRIM($J338&amp;"")&amp;"|파견종료",입력_파견수련계획!$Y$4:$Y$803,0),""))))</f>
        <v/>
      </c>
      <c r="AG338" s="10">
        <f>IF($B338="","",IF(AND(IF(OR($AC338="",출력_인턴현황!$K$2=""),"",INDEX(입력_인턴근무계획!$M$3:$R$402,$AC338,출력_인턴현황!$K$2)&amp;"")&lt;&gt;"",LEFT(IF(OR($AC338="",출력_인턴현황!$K$2=""),"",INDEX(입력_인턴근무계획!$M$3:$R$402,$AC338,출력_인턴현황!$K$2)&amp;""),1)&lt;&gt;"⚠"),LEFT(IF(OR($AC338="",출력_인턴현황!$K$2=""),"",INDEX(입력_인턴근무계획!$M$3:$R$402,$AC338,출력_인턴현황!$K$2)&amp;""),FIND(" ",IF(OR($AC338="",출력_인턴현황!$K$2=""),"",INDEX(입력_인턴근무계획!$M$3:$R$402,$AC338,출력_인턴현황!$K$2)&amp;""))-1),$AE338))</f>
        <v/>
      </c>
      <c r="AH338" s="17">
        <f>IF($B338="","",IF($AQ338&lt;&gt;"",MAX(0,DAY(EOMONTH(출력_요약!$B$3,0))-N($AR338)),IF(TRIM($J338&amp;"")="",0,SUMPRODUCT((입력_파견수련계획!$Q$4:$Q$803=TRIM($J338&amp;""))*(입력_파견수련계획!$S$4:$S$803="서울병원")*입력_파견수련계획!$W$4:$W$803))+IF($AG338="서울병원",MAX(0,DAY(EOMONTH(출력_요약!$B$3,0))-N($X338)),0)))</f>
        <v/>
      </c>
      <c r="AI338" s="17">
        <f>IF($B338="","",IF($AQ338&lt;&gt;"",N($AR338),IF(TRIM($J338&amp;"")="",0,SUMPRODUCT((입력_파견수련계획!$Q$4:$Q$803=TRIM($J338&amp;""))*(입력_파견수련계획!$S$4:$S$803="구리병원")*입력_파견수련계획!$W$4:$W$803))+IF($AG338="구리병원",MAX(0,DAY(EOMONTH(출력_요약!$B$3,0))-N($X338)),0)))</f>
        <v/>
      </c>
      <c r="AJ338" s="10">
        <f>IF(OR($B338="",TRIM($J338&amp;"")=""),"",IFERROR(MATCH(TRIM($J338&amp;"")&amp;"|월",입력_파견수련계획!$Z$4:$Z$803,0),""))</f>
        <v/>
      </c>
      <c r="AK338" s="10">
        <f>IF(OR($B338="",TRIM($J338&amp;"")=""),"",IFERROR(MATCH(TRIM($J338&amp;"")&amp;"|다기관",입력_파견수련계획!$AE$4:$AE$803,0),""))</f>
        <v/>
      </c>
      <c r="AL338" s="10">
        <f>IF($AK338="","","다기관 "&amp;TEXT(INDEX(입력_파견수련계획!$AB$4:$AB$803,$AK338),"yyyy-mm-dd")&amp;"~"&amp;IF(ISNUMBER(INDEX(입력_파견수련계획!$AC$4:$AC$803,$AK338)),TEXT(INDEX(입력_파견수련계획!$AC$4:$AC$803,$AK338),"yyyy-mm-dd"),""))</f>
        <v/>
      </c>
      <c r="AM338" s="10">
        <f>IF($Y338="서울병원",COUNTIF($Y$2:$Y338,"서울병원"),"")</f>
        <v/>
      </c>
      <c r="AN338" s="10">
        <f>IF(LEFT($Y338,1)="⚠",COUNTIF($Y$2:$Y338,"⚠*"),"")</f>
        <v/>
      </c>
      <c r="AO338" s="10">
        <f>IF(OR($B338="",$Y338=""),"",IF(IF(TRIM($J338&amp;"")="",0,SUMPRODUCT((입력_파견수련계획!$Q$4:$Q$803=TRIM($J338&amp;""))*입력_파견수련계획!$AD$4:$AD$803))&gt;0,"다기관 기간 → 소속병원 지급",IF(AND(N($X338)&lt;=0,$AQ338=""),"파견 없음 → 그 달 근무병원 지급",IF($AH338+$AI338=DAY(EOMONTH(출력_요약!$B$3,0)),"서울 "&amp;$AH338&amp;"일 / 구리 "&amp;$AI338&amp;"일"&amp;IF($AQ338&lt;&gt;""," (구리 근무자명단 반영)","")&amp;" → 15일 이상 근무 병원 지급","타 병원 포함 → "&amp;IF($AJ338="","소속",INDEX(입력_파견수련계획!$T$4:$T$803,$AJ338))&amp;" 규칙"))))</f>
        <v/>
      </c>
      <c r="AP338" s="10">
        <f>IF($B338="","",$C338&amp;"|"&amp;$F338)</f>
        <v/>
      </c>
      <c r="AQ338" s="10">
        <f>IF($B338="","",IFERROR(MATCH(ROW()-1,출력_구리근무자!$K$6:$K$305,0),""))</f>
        <v/>
      </c>
      <c r="AR338" s="10">
        <f>IF($AQ338="","",INDEX(출력_구리근무자!$H$6:$H$305,$AQ338))</f>
        <v/>
      </c>
    </row>
    <row r="339">
      <c r="A339" s="10">
        <f>IF(B339="","",ROW()-1)</f>
        <v/>
      </c>
      <c r="B339" s="19" t="n"/>
      <c r="C339" s="10">
        <f>IF($AB339="","",IF(INDEX(입력_기본자료!$C$2:$C$1001,$AB339)="","",INDEX(입력_기본자료!$C$2:$C$1001,$AB339)))</f>
        <v/>
      </c>
      <c r="D339" s="10">
        <f>IF($AB339="","",IF(INDEX(입력_기본자료!$J$2:$J$1001,$AB339)="","",INDEX(입력_기본자료!$J$2:$J$1001,$AB339)))</f>
        <v/>
      </c>
      <c r="E339" s="11">
        <f>IF($AB339="","",IF(INDEX(입력_기본자료!$K$2:$K$1001,$AB339)="","",IF(NOT(ISNUMBER(INDEX(입력_기본자료!$K$2:$K$1001,$AB339))),INDEX(입력_기본자료!$K$2:$K$1001,$AB339),IF(INDEX(입력_기본자료!$K$2:$K$1001,$AB339)&lt;1000000,INDEX(입력_기본자료!$K$2:$K$1001,$AB339),IF(AND(INDEX(입력_기본자료!$K$2:$K$1001,$AB339)&gt;=10000101,INT(MOD(INDEX(입력_기본자료!$K$2:$K$1001,$AB339),10000)/100)&gt;=1,INT(MOD(INDEX(입력_기본자료!$K$2:$K$1001,$AB339),10000)/100)&lt;=12,MOD(INDEX(입력_기본자료!$K$2:$K$1001,$AB339),100)&gt;=1,MOD(INDEX(입력_기본자료!$K$2:$K$1001,$AB339),100)&lt;=31),DATE(INT(INDEX(입력_기본자료!$K$2:$K$1001,$AB339)/10000),INT(MOD(INDEX(입력_기본자료!$K$2:$K$1001,$AB339),10000)/100),MOD(INDEX(입력_기본자료!$K$2:$K$1001,$AB339),100)),INDEX(입력_기본자료!$K$2:$K$1001,$AB339)&amp;"")))))</f>
        <v/>
      </c>
      <c r="F339" s="10">
        <f>IF($AB339="","",IF(INDEX(입력_기본자료!$D$2:$D$1001,$AB339)="","",INDEX(입력_기본자료!$D$2:$D$1001,$AB339)))</f>
        <v/>
      </c>
      <c r="G339" s="10">
        <f>IF($AB339="","",IF(INDEX(입력_기본자료!$E$2:$E$1001,$AB339)="","",INDEX(입력_기본자료!$E$2:$E$1001,$AB339)))</f>
        <v/>
      </c>
      <c r="H339" s="10">
        <f>IF($AB339="","",IF(INDEX(입력_기본자료!$F$2:$F$1001,$AB339)="","",INDEX(입력_기본자료!$F$2:$F$1001,$AB339)))</f>
        <v/>
      </c>
      <c r="I339" s="11">
        <f>IF($AB339="","",IF(INDEX(입력_기본자료!$G$2:$G$1001,$AB339)="","",IF(NOT(ISNUMBER(INDEX(입력_기본자료!$G$2:$G$1001,$AB339))),INDEX(입력_기본자료!$G$2:$G$1001,$AB339),IF(INDEX(입력_기본자료!$G$2:$G$1001,$AB339)&lt;1000000,INDEX(입력_기본자료!$G$2:$G$1001,$AB339),IF(AND(INDEX(입력_기본자료!$G$2:$G$1001,$AB339)&gt;=10000101,INT(MOD(INDEX(입력_기본자료!$G$2:$G$1001,$AB339),10000)/100)&gt;=1,INT(MOD(INDEX(입력_기본자료!$G$2:$G$1001,$AB339),10000)/100)&lt;=12,MOD(INDEX(입력_기본자료!$G$2:$G$1001,$AB339),100)&gt;=1,MOD(INDEX(입력_기본자료!$G$2:$G$1001,$AB339),100)&lt;=31),DATE(INT(INDEX(입력_기본자료!$G$2:$G$1001,$AB339)/10000),INT(MOD(INDEX(입력_기본자료!$G$2:$G$1001,$AB339),10000)/100),MOD(INDEX(입력_기본자료!$G$2:$G$1001,$AB339),100)),INDEX(입력_기본자료!$G$2:$G$1001,$AB339)&amp;"")))))</f>
        <v/>
      </c>
      <c r="J339" s="10">
        <f>IF($AB339="","",IF(INDEX(입력_기본자료!$H$2:$H$1001,$AB339)="","",INDEX(입력_기본자료!$H$2:$H$1001,$AB339)))</f>
        <v/>
      </c>
      <c r="K339" s="10">
        <f>IF($AB339="","",IF(INDEX(입력_기본자료!$I$2:$I$1001,$AB339)="","",INDEX(입력_기본자료!$I$2:$I$1001,$AB339)))</f>
        <v/>
      </c>
      <c r="L339" s="10">
        <f>IF($AB339="","",IF(INDEX(입력_기본자료!$A$2:$A$1001,$AB339)="","",INDEX(입력_기본자료!$A$2:$A$1001,$AB339)))</f>
        <v/>
      </c>
      <c r="M339" s="15" t="n"/>
      <c r="N339" s="10">
        <f>IF($B339="","",IF(AND($U339="파견중",$Q339&lt;&gt;""),$Q339,IF(AND($AD339&lt;&gt;"",LEFT($AD339,1)&lt;&gt;"⚠"),LEFT($AD339,FIND(" ",$AD339)-1),IF($H339="","",IF(RIGHT($H339,2)="병원",$H339,$H339&amp;"병원")))))</f>
        <v/>
      </c>
      <c r="O339" s="10">
        <f>IF($B339="","",IF(AND($U339="파견중",$Q339&lt;&gt;""),IF($R339&lt;&gt;"",$R339,"파견과 미입력"),IF(AND($AD339&lt;&gt;"",LEFT($AD339,1)&lt;&gt;"⚠"),MID($AD339,FIND(" ",$AD339)+1,60),IF($F339="","",IF($F339="인턴","수련교육부(인턴)",$F339)))))</f>
        <v/>
      </c>
      <c r="P339" s="10">
        <f>IF($B339="","",IF($AK339&lt;&gt;"",IF(AND(TODAY()&gt;=INDEX(입력_파견수련계획!$AB$4:$AB$803,$AK339),OR(NOT(ISNUMBER(INDEX(입력_파견수련계획!$AC$4:$AC$803,$AK339))),TODAY()&lt;=INDEX(입력_파견수련계획!$AC$4:$AC$803,$AK339))),"다기관",IF($AF339="","",INDEX(입력_파견수련계획!$T$4:$T$803,$AF339))),IF($AF339="","",INDEX(입력_파견수련계획!$T$4:$T$803,$AF339))))</f>
        <v/>
      </c>
      <c r="Q339" s="10">
        <f>IF($AF339="","",INDEX(입력_파견수련계획!$S$4:$S$803,$AF339))</f>
        <v/>
      </c>
      <c r="R339" s="10">
        <f>IF($AF339="","",INDEX(입력_파견수련계획!$U$4:$U$803,$AF339))</f>
        <v/>
      </c>
      <c r="S339" s="11">
        <f>IF($AF339="","",IF(INDEX(입력_파견수련계획!$H$4:$H$803,$AF339)="","",INDEX(입력_파견수련계획!$H$4:$H$803,$AF339)))</f>
        <v/>
      </c>
      <c r="T339" s="11">
        <f>IF($AF339="","",IF(INDEX(입력_파견수련계획!$I$4:$I$803,$AF339)="","",INDEX(입력_파견수련계획!$I$4:$I$803,$AF339)))</f>
        <v/>
      </c>
      <c r="U339" s="10">
        <f>IF($AF339="","",INDEX(입력_파견수련계획!$X$4:$X$803,$AF339))</f>
        <v/>
      </c>
      <c r="V339" s="17">
        <f>IF($AF339="","",INDEX(입력_파견수련계획!$V$4:$V$803,$AF339))</f>
        <v/>
      </c>
      <c r="W339" s="17">
        <f>IF(AND($U339="파견중",$T339&lt;&gt;""),$T339-TODAY(),"")</f>
        <v/>
      </c>
      <c r="X339" s="17">
        <f>IF(OR($B339="",TRIM($J339&amp;"")=""),"",SUMPRODUCT((입력_파견수련계획!$Q$4:$Q$803=TRIM($J339&amp;""))*입력_파견수련계획!$W$4:$W$803))</f>
        <v/>
      </c>
      <c r="Y339" s="10">
        <f>IF($B339="","",IF($AG339="","",IF(IF(TRIM($J339&amp;"")="",0,SUMPRODUCT((입력_파견수련계획!$Q$4:$Q$803=TRIM($J339&amp;""))*입력_파견수련계획!$AD$4:$AD$803))&gt;0,$AE339,IF(AND(N($X339)&lt;=0,$AQ339=""),$AG339,IF($AH339+$AI339=DAY(EOMONTH(출력_요약!$B$3,0)),IF(AND($AH339&gt;=출력_요약!$E$3,$AI339&lt;출력_요약!$E$3),"서울병원",IF(AND($AI339&gt;=출력_요약!$E$3,$AH339&lt;출력_요약!$E$3),"구리병원","⚠15일 판정불가(서울 "&amp;$AH339&amp;"일/구리 "&amp;$AI339&amp;"일)")),IF($AJ339="",$AE339,IF(INDEX(입력_파견수련계획!$T$4:$T$803,$AJ339)="통합수련",INDEX(입력_파견수련계획!$S$4:$S$803,$AJ339),$AE339)))))))</f>
        <v/>
      </c>
      <c r="Z339" s="20">
        <f>IF($B339="","",IF($AB339="","기본자료에 없는 사번",IF(COUNTIF($B$2:$B$401,$B339)&gt;1,"중복 사번",IF($AE339="","소속(입사장소) 입력",IF(IF(TRIM($J339&amp;"")="",0,SUMPRODUCT((입력_파견수련계획!$Q$4:$Q$803=TRIM($J339&amp;""))*(입력_파견수련계획!$AA$4:$AA$803&lt;&gt;"")))&gt;0,"파견수련계획 입력오류 확인",IF(LEFT($Y339,1)="⚠","서울·구리 15일 판정 불가(양쪽 모두 이상/미만)",IF(IF($AC339="",0,N(INDEX(입력_인턴근무계획!$T$3:$T$402,$AC339)))&gt;0,"인턴계획 입력오류 확인",IF(AND($AQ339&lt;&gt;"",$AG339&lt;&gt;"구리병원",IF(TRIM($J339&amp;"")="",0,SUMPRODUCT((입력_파견수련계획!$Q$4:$Q$803=TRIM($J339&amp;""))*(입력_파견수련계획!$S$4:$S$803="구리병원")*입력_파견수련계획!$W$4:$W$803))=0),"구리 근무자명단에만 있음(파견수련계획 확인)",IF(AND($AC339&lt;&gt;"",$U339&lt;&gt;"파견중",$N339&lt;&gt;$AE339),"인턴 타지역 근무: 파견 여부 확인","정상")))))))))</f>
        <v/>
      </c>
      <c r="AA339" s="5" t="n"/>
      <c r="AB339" s="10">
        <f>IF($B339="","",IFERROR(MATCH($B339,입력_기본자료!$B$2:$B$1001,0),IFERROR(MATCH($B339&amp;"",입력_기본자료!$B$2:$B$1001,0),IFERROR(MATCH(VALUE($B339),입력_기본자료!$B$2:$B$1001,0),""))))</f>
        <v/>
      </c>
      <c r="AC339" s="10">
        <f>IF($B339="","",IFERROR(MATCH($B339,입력_인턴근무계획!$D$3:$D$402,0),IFERROR(MATCH($B339&amp;"",입력_인턴근무계획!$D$3:$D$402,0),IFERROR(MATCH(VALUE($B339),입력_인턴근무계획!$D$3:$D$402,0),""))))</f>
        <v/>
      </c>
      <c r="AD339" s="10">
        <f>IF(OR($AC339="",출력_인턴현황!$G$3=""),"",INDEX(입력_인턴근무계획!$M$3:$R$402,$AC339,출력_인턴현황!$G$3)&amp;"")</f>
        <v/>
      </c>
      <c r="AE339" s="10">
        <f>IF($B339="","",IF($M339&lt;&gt;"",$M339,IF(IF($AQ339="",FALSE,INDEX(출력_구리근무자!$J$6:$J$305,$AQ339)="구리독자"),"구리병원",IF($AF339&lt;&gt;"",IF(LEFT(INDEX(입력_파견수련계획!$R$4:$R$803,$AF339),1)&lt;&gt;"⚠",INDEX(입력_파견수련계획!$R$4:$R$803,$AF339),IF($H339="","",IF(RIGHT($H339,2)="병원",$H339,$H339&amp;"병원"))),IF($H339="","",IF(RIGHT($H339,2)="병원",$H339,$H339&amp;"병원"))))))</f>
        <v/>
      </c>
      <c r="AF339" s="10">
        <f>IF(OR($B339="",TRIM($J339&amp;"")=""),"",IFERROR(MATCH(TRIM($J339&amp;"")&amp;"|파견중",입력_파견수련계획!$Y$4:$Y$803,0),IFERROR(MATCH(TRIM($J339&amp;"")&amp;"|파견예정",입력_파견수련계획!$Y$4:$Y$803,0),IFERROR(MATCH(TRIM($J339&amp;"")&amp;"|파견종료",입력_파견수련계획!$Y$4:$Y$803,0),""))))</f>
        <v/>
      </c>
      <c r="AG339" s="10">
        <f>IF($B339="","",IF(AND(IF(OR($AC339="",출력_인턴현황!$K$2=""),"",INDEX(입력_인턴근무계획!$M$3:$R$402,$AC339,출력_인턴현황!$K$2)&amp;"")&lt;&gt;"",LEFT(IF(OR($AC339="",출력_인턴현황!$K$2=""),"",INDEX(입력_인턴근무계획!$M$3:$R$402,$AC339,출력_인턴현황!$K$2)&amp;""),1)&lt;&gt;"⚠"),LEFT(IF(OR($AC339="",출력_인턴현황!$K$2=""),"",INDEX(입력_인턴근무계획!$M$3:$R$402,$AC339,출력_인턴현황!$K$2)&amp;""),FIND(" ",IF(OR($AC339="",출력_인턴현황!$K$2=""),"",INDEX(입력_인턴근무계획!$M$3:$R$402,$AC339,출력_인턴현황!$K$2)&amp;""))-1),$AE339))</f>
        <v/>
      </c>
      <c r="AH339" s="17">
        <f>IF($B339="","",IF($AQ339&lt;&gt;"",MAX(0,DAY(EOMONTH(출력_요약!$B$3,0))-N($AR339)),IF(TRIM($J339&amp;"")="",0,SUMPRODUCT((입력_파견수련계획!$Q$4:$Q$803=TRIM($J339&amp;""))*(입력_파견수련계획!$S$4:$S$803="서울병원")*입력_파견수련계획!$W$4:$W$803))+IF($AG339="서울병원",MAX(0,DAY(EOMONTH(출력_요약!$B$3,0))-N($X339)),0)))</f>
        <v/>
      </c>
      <c r="AI339" s="17">
        <f>IF($B339="","",IF($AQ339&lt;&gt;"",N($AR339),IF(TRIM($J339&amp;"")="",0,SUMPRODUCT((입력_파견수련계획!$Q$4:$Q$803=TRIM($J339&amp;""))*(입력_파견수련계획!$S$4:$S$803="구리병원")*입력_파견수련계획!$W$4:$W$803))+IF($AG339="구리병원",MAX(0,DAY(EOMONTH(출력_요약!$B$3,0))-N($X339)),0)))</f>
        <v/>
      </c>
      <c r="AJ339" s="10">
        <f>IF(OR($B339="",TRIM($J339&amp;"")=""),"",IFERROR(MATCH(TRIM($J339&amp;"")&amp;"|월",입력_파견수련계획!$Z$4:$Z$803,0),""))</f>
        <v/>
      </c>
      <c r="AK339" s="10">
        <f>IF(OR($B339="",TRIM($J339&amp;"")=""),"",IFERROR(MATCH(TRIM($J339&amp;"")&amp;"|다기관",입력_파견수련계획!$AE$4:$AE$803,0),""))</f>
        <v/>
      </c>
      <c r="AL339" s="10">
        <f>IF($AK339="","","다기관 "&amp;TEXT(INDEX(입력_파견수련계획!$AB$4:$AB$803,$AK339),"yyyy-mm-dd")&amp;"~"&amp;IF(ISNUMBER(INDEX(입력_파견수련계획!$AC$4:$AC$803,$AK339)),TEXT(INDEX(입력_파견수련계획!$AC$4:$AC$803,$AK339),"yyyy-mm-dd"),""))</f>
        <v/>
      </c>
      <c r="AM339" s="10">
        <f>IF($Y339="서울병원",COUNTIF($Y$2:$Y339,"서울병원"),"")</f>
        <v/>
      </c>
      <c r="AN339" s="10">
        <f>IF(LEFT($Y339,1)="⚠",COUNTIF($Y$2:$Y339,"⚠*"),"")</f>
        <v/>
      </c>
      <c r="AO339" s="10">
        <f>IF(OR($B339="",$Y339=""),"",IF(IF(TRIM($J339&amp;"")="",0,SUMPRODUCT((입력_파견수련계획!$Q$4:$Q$803=TRIM($J339&amp;""))*입력_파견수련계획!$AD$4:$AD$803))&gt;0,"다기관 기간 → 소속병원 지급",IF(AND(N($X339)&lt;=0,$AQ339=""),"파견 없음 → 그 달 근무병원 지급",IF($AH339+$AI339=DAY(EOMONTH(출력_요약!$B$3,0)),"서울 "&amp;$AH339&amp;"일 / 구리 "&amp;$AI339&amp;"일"&amp;IF($AQ339&lt;&gt;""," (구리 근무자명단 반영)","")&amp;" → 15일 이상 근무 병원 지급","타 병원 포함 → "&amp;IF($AJ339="","소속",INDEX(입력_파견수련계획!$T$4:$T$803,$AJ339))&amp;" 규칙"))))</f>
        <v/>
      </c>
      <c r="AP339" s="10">
        <f>IF($B339="","",$C339&amp;"|"&amp;$F339)</f>
        <v/>
      </c>
      <c r="AQ339" s="10">
        <f>IF($B339="","",IFERROR(MATCH(ROW()-1,출력_구리근무자!$K$6:$K$305,0),""))</f>
        <v/>
      </c>
      <c r="AR339" s="10">
        <f>IF($AQ339="","",INDEX(출력_구리근무자!$H$6:$H$305,$AQ339))</f>
        <v/>
      </c>
    </row>
    <row r="340">
      <c r="A340" s="10">
        <f>IF(B340="","",ROW()-1)</f>
        <v/>
      </c>
      <c r="B340" s="19" t="n"/>
      <c r="C340" s="10">
        <f>IF($AB340="","",IF(INDEX(입력_기본자료!$C$2:$C$1001,$AB340)="","",INDEX(입력_기본자료!$C$2:$C$1001,$AB340)))</f>
        <v/>
      </c>
      <c r="D340" s="10">
        <f>IF($AB340="","",IF(INDEX(입력_기본자료!$J$2:$J$1001,$AB340)="","",INDEX(입력_기본자료!$J$2:$J$1001,$AB340)))</f>
        <v/>
      </c>
      <c r="E340" s="11">
        <f>IF($AB340="","",IF(INDEX(입력_기본자료!$K$2:$K$1001,$AB340)="","",IF(NOT(ISNUMBER(INDEX(입력_기본자료!$K$2:$K$1001,$AB340))),INDEX(입력_기본자료!$K$2:$K$1001,$AB340),IF(INDEX(입력_기본자료!$K$2:$K$1001,$AB340)&lt;1000000,INDEX(입력_기본자료!$K$2:$K$1001,$AB340),IF(AND(INDEX(입력_기본자료!$K$2:$K$1001,$AB340)&gt;=10000101,INT(MOD(INDEX(입력_기본자료!$K$2:$K$1001,$AB340),10000)/100)&gt;=1,INT(MOD(INDEX(입력_기본자료!$K$2:$K$1001,$AB340),10000)/100)&lt;=12,MOD(INDEX(입력_기본자료!$K$2:$K$1001,$AB340),100)&gt;=1,MOD(INDEX(입력_기본자료!$K$2:$K$1001,$AB340),100)&lt;=31),DATE(INT(INDEX(입력_기본자료!$K$2:$K$1001,$AB340)/10000),INT(MOD(INDEX(입력_기본자료!$K$2:$K$1001,$AB340),10000)/100),MOD(INDEX(입력_기본자료!$K$2:$K$1001,$AB340),100)),INDEX(입력_기본자료!$K$2:$K$1001,$AB340)&amp;"")))))</f>
        <v/>
      </c>
      <c r="F340" s="10">
        <f>IF($AB340="","",IF(INDEX(입력_기본자료!$D$2:$D$1001,$AB340)="","",INDEX(입력_기본자료!$D$2:$D$1001,$AB340)))</f>
        <v/>
      </c>
      <c r="G340" s="10">
        <f>IF($AB340="","",IF(INDEX(입력_기본자료!$E$2:$E$1001,$AB340)="","",INDEX(입력_기본자료!$E$2:$E$1001,$AB340)))</f>
        <v/>
      </c>
      <c r="H340" s="10">
        <f>IF($AB340="","",IF(INDEX(입력_기본자료!$F$2:$F$1001,$AB340)="","",INDEX(입력_기본자료!$F$2:$F$1001,$AB340)))</f>
        <v/>
      </c>
      <c r="I340" s="11">
        <f>IF($AB340="","",IF(INDEX(입력_기본자료!$G$2:$G$1001,$AB340)="","",IF(NOT(ISNUMBER(INDEX(입력_기본자료!$G$2:$G$1001,$AB340))),INDEX(입력_기본자료!$G$2:$G$1001,$AB340),IF(INDEX(입력_기본자료!$G$2:$G$1001,$AB340)&lt;1000000,INDEX(입력_기본자료!$G$2:$G$1001,$AB340),IF(AND(INDEX(입력_기본자료!$G$2:$G$1001,$AB340)&gt;=10000101,INT(MOD(INDEX(입력_기본자료!$G$2:$G$1001,$AB340),10000)/100)&gt;=1,INT(MOD(INDEX(입력_기본자료!$G$2:$G$1001,$AB340),10000)/100)&lt;=12,MOD(INDEX(입력_기본자료!$G$2:$G$1001,$AB340),100)&gt;=1,MOD(INDEX(입력_기본자료!$G$2:$G$1001,$AB340),100)&lt;=31),DATE(INT(INDEX(입력_기본자료!$G$2:$G$1001,$AB340)/10000),INT(MOD(INDEX(입력_기본자료!$G$2:$G$1001,$AB340),10000)/100),MOD(INDEX(입력_기본자료!$G$2:$G$1001,$AB340),100)),INDEX(입력_기본자료!$G$2:$G$1001,$AB340)&amp;"")))))</f>
        <v/>
      </c>
      <c r="J340" s="10">
        <f>IF($AB340="","",IF(INDEX(입력_기본자료!$H$2:$H$1001,$AB340)="","",INDEX(입력_기본자료!$H$2:$H$1001,$AB340)))</f>
        <v/>
      </c>
      <c r="K340" s="10">
        <f>IF($AB340="","",IF(INDEX(입력_기본자료!$I$2:$I$1001,$AB340)="","",INDEX(입력_기본자료!$I$2:$I$1001,$AB340)))</f>
        <v/>
      </c>
      <c r="L340" s="10">
        <f>IF($AB340="","",IF(INDEX(입력_기본자료!$A$2:$A$1001,$AB340)="","",INDEX(입력_기본자료!$A$2:$A$1001,$AB340)))</f>
        <v/>
      </c>
      <c r="M340" s="15" t="n"/>
      <c r="N340" s="10">
        <f>IF($B340="","",IF(AND($U340="파견중",$Q340&lt;&gt;""),$Q340,IF(AND($AD340&lt;&gt;"",LEFT($AD340,1)&lt;&gt;"⚠"),LEFT($AD340,FIND(" ",$AD340)-1),IF($H340="","",IF(RIGHT($H340,2)="병원",$H340,$H340&amp;"병원")))))</f>
        <v/>
      </c>
      <c r="O340" s="10">
        <f>IF($B340="","",IF(AND($U340="파견중",$Q340&lt;&gt;""),IF($R340&lt;&gt;"",$R340,"파견과 미입력"),IF(AND($AD340&lt;&gt;"",LEFT($AD340,1)&lt;&gt;"⚠"),MID($AD340,FIND(" ",$AD340)+1,60),IF($F340="","",IF($F340="인턴","수련교육부(인턴)",$F340)))))</f>
        <v/>
      </c>
      <c r="P340" s="10">
        <f>IF($B340="","",IF($AK340&lt;&gt;"",IF(AND(TODAY()&gt;=INDEX(입력_파견수련계획!$AB$4:$AB$803,$AK340),OR(NOT(ISNUMBER(INDEX(입력_파견수련계획!$AC$4:$AC$803,$AK340))),TODAY()&lt;=INDEX(입력_파견수련계획!$AC$4:$AC$803,$AK340))),"다기관",IF($AF340="","",INDEX(입력_파견수련계획!$T$4:$T$803,$AF340))),IF($AF340="","",INDEX(입력_파견수련계획!$T$4:$T$803,$AF340))))</f>
        <v/>
      </c>
      <c r="Q340" s="10">
        <f>IF($AF340="","",INDEX(입력_파견수련계획!$S$4:$S$803,$AF340))</f>
        <v/>
      </c>
      <c r="R340" s="10">
        <f>IF($AF340="","",INDEX(입력_파견수련계획!$U$4:$U$803,$AF340))</f>
        <v/>
      </c>
      <c r="S340" s="11">
        <f>IF($AF340="","",IF(INDEX(입력_파견수련계획!$H$4:$H$803,$AF340)="","",INDEX(입력_파견수련계획!$H$4:$H$803,$AF340)))</f>
        <v/>
      </c>
      <c r="T340" s="11">
        <f>IF($AF340="","",IF(INDEX(입력_파견수련계획!$I$4:$I$803,$AF340)="","",INDEX(입력_파견수련계획!$I$4:$I$803,$AF340)))</f>
        <v/>
      </c>
      <c r="U340" s="10">
        <f>IF($AF340="","",INDEX(입력_파견수련계획!$X$4:$X$803,$AF340))</f>
        <v/>
      </c>
      <c r="V340" s="17">
        <f>IF($AF340="","",INDEX(입력_파견수련계획!$V$4:$V$803,$AF340))</f>
        <v/>
      </c>
      <c r="W340" s="17">
        <f>IF(AND($U340="파견중",$T340&lt;&gt;""),$T340-TODAY(),"")</f>
        <v/>
      </c>
      <c r="X340" s="17">
        <f>IF(OR($B340="",TRIM($J340&amp;"")=""),"",SUMPRODUCT((입력_파견수련계획!$Q$4:$Q$803=TRIM($J340&amp;""))*입력_파견수련계획!$W$4:$W$803))</f>
        <v/>
      </c>
      <c r="Y340" s="10">
        <f>IF($B340="","",IF($AG340="","",IF(IF(TRIM($J340&amp;"")="",0,SUMPRODUCT((입력_파견수련계획!$Q$4:$Q$803=TRIM($J340&amp;""))*입력_파견수련계획!$AD$4:$AD$803))&gt;0,$AE340,IF(AND(N($X340)&lt;=0,$AQ340=""),$AG340,IF($AH340+$AI340=DAY(EOMONTH(출력_요약!$B$3,0)),IF(AND($AH340&gt;=출력_요약!$E$3,$AI340&lt;출력_요약!$E$3),"서울병원",IF(AND($AI340&gt;=출력_요약!$E$3,$AH340&lt;출력_요약!$E$3),"구리병원","⚠15일 판정불가(서울 "&amp;$AH340&amp;"일/구리 "&amp;$AI340&amp;"일)")),IF($AJ340="",$AE340,IF(INDEX(입력_파견수련계획!$T$4:$T$803,$AJ340)="통합수련",INDEX(입력_파견수련계획!$S$4:$S$803,$AJ340),$AE340)))))))</f>
        <v/>
      </c>
      <c r="Z340" s="20">
        <f>IF($B340="","",IF($AB340="","기본자료에 없는 사번",IF(COUNTIF($B$2:$B$401,$B340)&gt;1,"중복 사번",IF($AE340="","소속(입사장소) 입력",IF(IF(TRIM($J340&amp;"")="",0,SUMPRODUCT((입력_파견수련계획!$Q$4:$Q$803=TRIM($J340&amp;""))*(입력_파견수련계획!$AA$4:$AA$803&lt;&gt;"")))&gt;0,"파견수련계획 입력오류 확인",IF(LEFT($Y340,1)="⚠","서울·구리 15일 판정 불가(양쪽 모두 이상/미만)",IF(IF($AC340="",0,N(INDEX(입력_인턴근무계획!$T$3:$T$402,$AC340)))&gt;0,"인턴계획 입력오류 확인",IF(AND($AQ340&lt;&gt;"",$AG340&lt;&gt;"구리병원",IF(TRIM($J340&amp;"")="",0,SUMPRODUCT((입력_파견수련계획!$Q$4:$Q$803=TRIM($J340&amp;""))*(입력_파견수련계획!$S$4:$S$803="구리병원")*입력_파견수련계획!$W$4:$W$803))=0),"구리 근무자명단에만 있음(파견수련계획 확인)",IF(AND($AC340&lt;&gt;"",$U340&lt;&gt;"파견중",$N340&lt;&gt;$AE340),"인턴 타지역 근무: 파견 여부 확인","정상")))))))))</f>
        <v/>
      </c>
      <c r="AA340" s="5" t="n"/>
      <c r="AB340" s="10">
        <f>IF($B340="","",IFERROR(MATCH($B340,입력_기본자료!$B$2:$B$1001,0),IFERROR(MATCH($B340&amp;"",입력_기본자료!$B$2:$B$1001,0),IFERROR(MATCH(VALUE($B340),입력_기본자료!$B$2:$B$1001,0),""))))</f>
        <v/>
      </c>
      <c r="AC340" s="10">
        <f>IF($B340="","",IFERROR(MATCH($B340,입력_인턴근무계획!$D$3:$D$402,0),IFERROR(MATCH($B340&amp;"",입력_인턴근무계획!$D$3:$D$402,0),IFERROR(MATCH(VALUE($B340),입력_인턴근무계획!$D$3:$D$402,0),""))))</f>
        <v/>
      </c>
      <c r="AD340" s="10">
        <f>IF(OR($AC340="",출력_인턴현황!$G$3=""),"",INDEX(입력_인턴근무계획!$M$3:$R$402,$AC340,출력_인턴현황!$G$3)&amp;"")</f>
        <v/>
      </c>
      <c r="AE340" s="10">
        <f>IF($B340="","",IF($M340&lt;&gt;"",$M340,IF(IF($AQ340="",FALSE,INDEX(출력_구리근무자!$J$6:$J$305,$AQ340)="구리독자"),"구리병원",IF($AF340&lt;&gt;"",IF(LEFT(INDEX(입력_파견수련계획!$R$4:$R$803,$AF340),1)&lt;&gt;"⚠",INDEX(입력_파견수련계획!$R$4:$R$803,$AF340),IF($H340="","",IF(RIGHT($H340,2)="병원",$H340,$H340&amp;"병원"))),IF($H340="","",IF(RIGHT($H340,2)="병원",$H340,$H340&amp;"병원"))))))</f>
        <v/>
      </c>
      <c r="AF340" s="10">
        <f>IF(OR($B340="",TRIM($J340&amp;"")=""),"",IFERROR(MATCH(TRIM($J340&amp;"")&amp;"|파견중",입력_파견수련계획!$Y$4:$Y$803,0),IFERROR(MATCH(TRIM($J340&amp;"")&amp;"|파견예정",입력_파견수련계획!$Y$4:$Y$803,0),IFERROR(MATCH(TRIM($J340&amp;"")&amp;"|파견종료",입력_파견수련계획!$Y$4:$Y$803,0),""))))</f>
        <v/>
      </c>
      <c r="AG340" s="10">
        <f>IF($B340="","",IF(AND(IF(OR($AC340="",출력_인턴현황!$K$2=""),"",INDEX(입력_인턴근무계획!$M$3:$R$402,$AC340,출력_인턴현황!$K$2)&amp;"")&lt;&gt;"",LEFT(IF(OR($AC340="",출력_인턴현황!$K$2=""),"",INDEX(입력_인턴근무계획!$M$3:$R$402,$AC340,출력_인턴현황!$K$2)&amp;""),1)&lt;&gt;"⚠"),LEFT(IF(OR($AC340="",출력_인턴현황!$K$2=""),"",INDEX(입력_인턴근무계획!$M$3:$R$402,$AC340,출력_인턴현황!$K$2)&amp;""),FIND(" ",IF(OR($AC340="",출력_인턴현황!$K$2=""),"",INDEX(입력_인턴근무계획!$M$3:$R$402,$AC340,출력_인턴현황!$K$2)&amp;""))-1),$AE340))</f>
        <v/>
      </c>
      <c r="AH340" s="17">
        <f>IF($B340="","",IF($AQ340&lt;&gt;"",MAX(0,DAY(EOMONTH(출력_요약!$B$3,0))-N($AR340)),IF(TRIM($J340&amp;"")="",0,SUMPRODUCT((입력_파견수련계획!$Q$4:$Q$803=TRIM($J340&amp;""))*(입력_파견수련계획!$S$4:$S$803="서울병원")*입력_파견수련계획!$W$4:$W$803))+IF($AG340="서울병원",MAX(0,DAY(EOMONTH(출력_요약!$B$3,0))-N($X340)),0)))</f>
        <v/>
      </c>
      <c r="AI340" s="17">
        <f>IF($B340="","",IF($AQ340&lt;&gt;"",N($AR340),IF(TRIM($J340&amp;"")="",0,SUMPRODUCT((입력_파견수련계획!$Q$4:$Q$803=TRIM($J340&amp;""))*(입력_파견수련계획!$S$4:$S$803="구리병원")*입력_파견수련계획!$W$4:$W$803))+IF($AG340="구리병원",MAX(0,DAY(EOMONTH(출력_요약!$B$3,0))-N($X340)),0)))</f>
        <v/>
      </c>
      <c r="AJ340" s="10">
        <f>IF(OR($B340="",TRIM($J340&amp;"")=""),"",IFERROR(MATCH(TRIM($J340&amp;"")&amp;"|월",입력_파견수련계획!$Z$4:$Z$803,0),""))</f>
        <v/>
      </c>
      <c r="AK340" s="10">
        <f>IF(OR($B340="",TRIM($J340&amp;"")=""),"",IFERROR(MATCH(TRIM($J340&amp;"")&amp;"|다기관",입력_파견수련계획!$AE$4:$AE$803,0),""))</f>
        <v/>
      </c>
      <c r="AL340" s="10">
        <f>IF($AK340="","","다기관 "&amp;TEXT(INDEX(입력_파견수련계획!$AB$4:$AB$803,$AK340),"yyyy-mm-dd")&amp;"~"&amp;IF(ISNUMBER(INDEX(입력_파견수련계획!$AC$4:$AC$803,$AK340)),TEXT(INDEX(입력_파견수련계획!$AC$4:$AC$803,$AK340),"yyyy-mm-dd"),""))</f>
        <v/>
      </c>
      <c r="AM340" s="10">
        <f>IF($Y340="서울병원",COUNTIF($Y$2:$Y340,"서울병원"),"")</f>
        <v/>
      </c>
      <c r="AN340" s="10">
        <f>IF(LEFT($Y340,1)="⚠",COUNTIF($Y$2:$Y340,"⚠*"),"")</f>
        <v/>
      </c>
      <c r="AO340" s="10">
        <f>IF(OR($B340="",$Y340=""),"",IF(IF(TRIM($J340&amp;"")="",0,SUMPRODUCT((입력_파견수련계획!$Q$4:$Q$803=TRIM($J340&amp;""))*입력_파견수련계획!$AD$4:$AD$803))&gt;0,"다기관 기간 → 소속병원 지급",IF(AND(N($X340)&lt;=0,$AQ340=""),"파견 없음 → 그 달 근무병원 지급",IF($AH340+$AI340=DAY(EOMONTH(출력_요약!$B$3,0)),"서울 "&amp;$AH340&amp;"일 / 구리 "&amp;$AI340&amp;"일"&amp;IF($AQ340&lt;&gt;""," (구리 근무자명단 반영)","")&amp;" → 15일 이상 근무 병원 지급","타 병원 포함 → "&amp;IF($AJ340="","소속",INDEX(입력_파견수련계획!$T$4:$T$803,$AJ340))&amp;" 규칙"))))</f>
        <v/>
      </c>
      <c r="AP340" s="10">
        <f>IF($B340="","",$C340&amp;"|"&amp;$F340)</f>
        <v/>
      </c>
      <c r="AQ340" s="10">
        <f>IF($B340="","",IFERROR(MATCH(ROW()-1,출력_구리근무자!$K$6:$K$305,0),""))</f>
        <v/>
      </c>
      <c r="AR340" s="10">
        <f>IF($AQ340="","",INDEX(출력_구리근무자!$H$6:$H$305,$AQ340))</f>
        <v/>
      </c>
    </row>
    <row r="341">
      <c r="A341" s="10">
        <f>IF(B341="","",ROW()-1)</f>
        <v/>
      </c>
      <c r="B341" s="19" t="n"/>
      <c r="C341" s="10">
        <f>IF($AB341="","",IF(INDEX(입력_기본자료!$C$2:$C$1001,$AB341)="","",INDEX(입력_기본자료!$C$2:$C$1001,$AB341)))</f>
        <v/>
      </c>
      <c r="D341" s="10">
        <f>IF($AB341="","",IF(INDEX(입력_기본자료!$J$2:$J$1001,$AB341)="","",INDEX(입력_기본자료!$J$2:$J$1001,$AB341)))</f>
        <v/>
      </c>
      <c r="E341" s="11">
        <f>IF($AB341="","",IF(INDEX(입력_기본자료!$K$2:$K$1001,$AB341)="","",IF(NOT(ISNUMBER(INDEX(입력_기본자료!$K$2:$K$1001,$AB341))),INDEX(입력_기본자료!$K$2:$K$1001,$AB341),IF(INDEX(입력_기본자료!$K$2:$K$1001,$AB341)&lt;1000000,INDEX(입력_기본자료!$K$2:$K$1001,$AB341),IF(AND(INDEX(입력_기본자료!$K$2:$K$1001,$AB341)&gt;=10000101,INT(MOD(INDEX(입력_기본자료!$K$2:$K$1001,$AB341),10000)/100)&gt;=1,INT(MOD(INDEX(입력_기본자료!$K$2:$K$1001,$AB341),10000)/100)&lt;=12,MOD(INDEX(입력_기본자료!$K$2:$K$1001,$AB341),100)&gt;=1,MOD(INDEX(입력_기본자료!$K$2:$K$1001,$AB341),100)&lt;=31),DATE(INT(INDEX(입력_기본자료!$K$2:$K$1001,$AB341)/10000),INT(MOD(INDEX(입력_기본자료!$K$2:$K$1001,$AB341),10000)/100),MOD(INDEX(입력_기본자료!$K$2:$K$1001,$AB341),100)),INDEX(입력_기본자료!$K$2:$K$1001,$AB341)&amp;"")))))</f>
        <v/>
      </c>
      <c r="F341" s="10">
        <f>IF($AB341="","",IF(INDEX(입력_기본자료!$D$2:$D$1001,$AB341)="","",INDEX(입력_기본자료!$D$2:$D$1001,$AB341)))</f>
        <v/>
      </c>
      <c r="G341" s="10">
        <f>IF($AB341="","",IF(INDEX(입력_기본자료!$E$2:$E$1001,$AB341)="","",INDEX(입력_기본자료!$E$2:$E$1001,$AB341)))</f>
        <v/>
      </c>
      <c r="H341" s="10">
        <f>IF($AB341="","",IF(INDEX(입력_기본자료!$F$2:$F$1001,$AB341)="","",INDEX(입력_기본자료!$F$2:$F$1001,$AB341)))</f>
        <v/>
      </c>
      <c r="I341" s="11">
        <f>IF($AB341="","",IF(INDEX(입력_기본자료!$G$2:$G$1001,$AB341)="","",IF(NOT(ISNUMBER(INDEX(입력_기본자료!$G$2:$G$1001,$AB341))),INDEX(입력_기본자료!$G$2:$G$1001,$AB341),IF(INDEX(입력_기본자료!$G$2:$G$1001,$AB341)&lt;1000000,INDEX(입력_기본자료!$G$2:$G$1001,$AB341),IF(AND(INDEX(입력_기본자료!$G$2:$G$1001,$AB341)&gt;=10000101,INT(MOD(INDEX(입력_기본자료!$G$2:$G$1001,$AB341),10000)/100)&gt;=1,INT(MOD(INDEX(입력_기본자료!$G$2:$G$1001,$AB341),10000)/100)&lt;=12,MOD(INDEX(입력_기본자료!$G$2:$G$1001,$AB341),100)&gt;=1,MOD(INDEX(입력_기본자료!$G$2:$G$1001,$AB341),100)&lt;=31),DATE(INT(INDEX(입력_기본자료!$G$2:$G$1001,$AB341)/10000),INT(MOD(INDEX(입력_기본자료!$G$2:$G$1001,$AB341),10000)/100),MOD(INDEX(입력_기본자료!$G$2:$G$1001,$AB341),100)),INDEX(입력_기본자료!$G$2:$G$1001,$AB341)&amp;"")))))</f>
        <v/>
      </c>
      <c r="J341" s="10">
        <f>IF($AB341="","",IF(INDEX(입력_기본자료!$H$2:$H$1001,$AB341)="","",INDEX(입력_기본자료!$H$2:$H$1001,$AB341)))</f>
        <v/>
      </c>
      <c r="K341" s="10">
        <f>IF($AB341="","",IF(INDEX(입력_기본자료!$I$2:$I$1001,$AB341)="","",INDEX(입력_기본자료!$I$2:$I$1001,$AB341)))</f>
        <v/>
      </c>
      <c r="L341" s="10">
        <f>IF($AB341="","",IF(INDEX(입력_기본자료!$A$2:$A$1001,$AB341)="","",INDEX(입력_기본자료!$A$2:$A$1001,$AB341)))</f>
        <v/>
      </c>
      <c r="M341" s="15" t="n"/>
      <c r="N341" s="10">
        <f>IF($B341="","",IF(AND($U341="파견중",$Q341&lt;&gt;""),$Q341,IF(AND($AD341&lt;&gt;"",LEFT($AD341,1)&lt;&gt;"⚠"),LEFT($AD341,FIND(" ",$AD341)-1),IF($H341="","",IF(RIGHT($H341,2)="병원",$H341,$H341&amp;"병원")))))</f>
        <v/>
      </c>
      <c r="O341" s="10">
        <f>IF($B341="","",IF(AND($U341="파견중",$Q341&lt;&gt;""),IF($R341&lt;&gt;"",$R341,"파견과 미입력"),IF(AND($AD341&lt;&gt;"",LEFT($AD341,1)&lt;&gt;"⚠"),MID($AD341,FIND(" ",$AD341)+1,60),IF($F341="","",IF($F341="인턴","수련교육부(인턴)",$F341)))))</f>
        <v/>
      </c>
      <c r="P341" s="10">
        <f>IF($B341="","",IF($AK341&lt;&gt;"",IF(AND(TODAY()&gt;=INDEX(입력_파견수련계획!$AB$4:$AB$803,$AK341),OR(NOT(ISNUMBER(INDEX(입력_파견수련계획!$AC$4:$AC$803,$AK341))),TODAY()&lt;=INDEX(입력_파견수련계획!$AC$4:$AC$803,$AK341))),"다기관",IF($AF341="","",INDEX(입력_파견수련계획!$T$4:$T$803,$AF341))),IF($AF341="","",INDEX(입력_파견수련계획!$T$4:$T$803,$AF341))))</f>
        <v/>
      </c>
      <c r="Q341" s="10">
        <f>IF($AF341="","",INDEX(입력_파견수련계획!$S$4:$S$803,$AF341))</f>
        <v/>
      </c>
      <c r="R341" s="10">
        <f>IF($AF341="","",INDEX(입력_파견수련계획!$U$4:$U$803,$AF341))</f>
        <v/>
      </c>
      <c r="S341" s="11">
        <f>IF($AF341="","",IF(INDEX(입력_파견수련계획!$H$4:$H$803,$AF341)="","",INDEX(입력_파견수련계획!$H$4:$H$803,$AF341)))</f>
        <v/>
      </c>
      <c r="T341" s="11">
        <f>IF($AF341="","",IF(INDEX(입력_파견수련계획!$I$4:$I$803,$AF341)="","",INDEX(입력_파견수련계획!$I$4:$I$803,$AF341)))</f>
        <v/>
      </c>
      <c r="U341" s="10">
        <f>IF($AF341="","",INDEX(입력_파견수련계획!$X$4:$X$803,$AF341))</f>
        <v/>
      </c>
      <c r="V341" s="17">
        <f>IF($AF341="","",INDEX(입력_파견수련계획!$V$4:$V$803,$AF341))</f>
        <v/>
      </c>
      <c r="W341" s="17">
        <f>IF(AND($U341="파견중",$T341&lt;&gt;""),$T341-TODAY(),"")</f>
        <v/>
      </c>
      <c r="X341" s="17">
        <f>IF(OR($B341="",TRIM($J341&amp;"")=""),"",SUMPRODUCT((입력_파견수련계획!$Q$4:$Q$803=TRIM($J341&amp;""))*입력_파견수련계획!$W$4:$W$803))</f>
        <v/>
      </c>
      <c r="Y341" s="10">
        <f>IF($B341="","",IF($AG341="","",IF(IF(TRIM($J341&amp;"")="",0,SUMPRODUCT((입력_파견수련계획!$Q$4:$Q$803=TRIM($J341&amp;""))*입력_파견수련계획!$AD$4:$AD$803))&gt;0,$AE341,IF(AND(N($X341)&lt;=0,$AQ341=""),$AG341,IF($AH341+$AI341=DAY(EOMONTH(출력_요약!$B$3,0)),IF(AND($AH341&gt;=출력_요약!$E$3,$AI341&lt;출력_요약!$E$3),"서울병원",IF(AND($AI341&gt;=출력_요약!$E$3,$AH341&lt;출력_요약!$E$3),"구리병원","⚠15일 판정불가(서울 "&amp;$AH341&amp;"일/구리 "&amp;$AI341&amp;"일)")),IF($AJ341="",$AE341,IF(INDEX(입력_파견수련계획!$T$4:$T$803,$AJ341)="통합수련",INDEX(입력_파견수련계획!$S$4:$S$803,$AJ341),$AE341)))))))</f>
        <v/>
      </c>
      <c r="Z341" s="20">
        <f>IF($B341="","",IF($AB341="","기본자료에 없는 사번",IF(COUNTIF($B$2:$B$401,$B341)&gt;1,"중복 사번",IF($AE341="","소속(입사장소) 입력",IF(IF(TRIM($J341&amp;"")="",0,SUMPRODUCT((입력_파견수련계획!$Q$4:$Q$803=TRIM($J341&amp;""))*(입력_파견수련계획!$AA$4:$AA$803&lt;&gt;"")))&gt;0,"파견수련계획 입력오류 확인",IF(LEFT($Y341,1)="⚠","서울·구리 15일 판정 불가(양쪽 모두 이상/미만)",IF(IF($AC341="",0,N(INDEX(입력_인턴근무계획!$T$3:$T$402,$AC341)))&gt;0,"인턴계획 입력오류 확인",IF(AND($AQ341&lt;&gt;"",$AG341&lt;&gt;"구리병원",IF(TRIM($J341&amp;"")="",0,SUMPRODUCT((입력_파견수련계획!$Q$4:$Q$803=TRIM($J341&amp;""))*(입력_파견수련계획!$S$4:$S$803="구리병원")*입력_파견수련계획!$W$4:$W$803))=0),"구리 근무자명단에만 있음(파견수련계획 확인)",IF(AND($AC341&lt;&gt;"",$U341&lt;&gt;"파견중",$N341&lt;&gt;$AE341),"인턴 타지역 근무: 파견 여부 확인","정상")))))))))</f>
        <v/>
      </c>
      <c r="AA341" s="5" t="n"/>
      <c r="AB341" s="10">
        <f>IF($B341="","",IFERROR(MATCH($B341,입력_기본자료!$B$2:$B$1001,0),IFERROR(MATCH($B341&amp;"",입력_기본자료!$B$2:$B$1001,0),IFERROR(MATCH(VALUE($B341),입력_기본자료!$B$2:$B$1001,0),""))))</f>
        <v/>
      </c>
      <c r="AC341" s="10">
        <f>IF($B341="","",IFERROR(MATCH($B341,입력_인턴근무계획!$D$3:$D$402,0),IFERROR(MATCH($B341&amp;"",입력_인턴근무계획!$D$3:$D$402,0),IFERROR(MATCH(VALUE($B341),입력_인턴근무계획!$D$3:$D$402,0),""))))</f>
        <v/>
      </c>
      <c r="AD341" s="10">
        <f>IF(OR($AC341="",출력_인턴현황!$G$3=""),"",INDEX(입력_인턴근무계획!$M$3:$R$402,$AC341,출력_인턴현황!$G$3)&amp;"")</f>
        <v/>
      </c>
      <c r="AE341" s="10">
        <f>IF($B341="","",IF($M341&lt;&gt;"",$M341,IF(IF($AQ341="",FALSE,INDEX(출력_구리근무자!$J$6:$J$305,$AQ341)="구리독자"),"구리병원",IF($AF341&lt;&gt;"",IF(LEFT(INDEX(입력_파견수련계획!$R$4:$R$803,$AF341),1)&lt;&gt;"⚠",INDEX(입력_파견수련계획!$R$4:$R$803,$AF341),IF($H341="","",IF(RIGHT($H341,2)="병원",$H341,$H341&amp;"병원"))),IF($H341="","",IF(RIGHT($H341,2)="병원",$H341,$H341&amp;"병원"))))))</f>
        <v/>
      </c>
      <c r="AF341" s="10">
        <f>IF(OR($B341="",TRIM($J341&amp;"")=""),"",IFERROR(MATCH(TRIM($J341&amp;"")&amp;"|파견중",입력_파견수련계획!$Y$4:$Y$803,0),IFERROR(MATCH(TRIM($J341&amp;"")&amp;"|파견예정",입력_파견수련계획!$Y$4:$Y$803,0),IFERROR(MATCH(TRIM($J341&amp;"")&amp;"|파견종료",입력_파견수련계획!$Y$4:$Y$803,0),""))))</f>
        <v/>
      </c>
      <c r="AG341" s="10">
        <f>IF($B341="","",IF(AND(IF(OR($AC341="",출력_인턴현황!$K$2=""),"",INDEX(입력_인턴근무계획!$M$3:$R$402,$AC341,출력_인턴현황!$K$2)&amp;"")&lt;&gt;"",LEFT(IF(OR($AC341="",출력_인턴현황!$K$2=""),"",INDEX(입력_인턴근무계획!$M$3:$R$402,$AC341,출력_인턴현황!$K$2)&amp;""),1)&lt;&gt;"⚠"),LEFT(IF(OR($AC341="",출력_인턴현황!$K$2=""),"",INDEX(입력_인턴근무계획!$M$3:$R$402,$AC341,출력_인턴현황!$K$2)&amp;""),FIND(" ",IF(OR($AC341="",출력_인턴현황!$K$2=""),"",INDEX(입력_인턴근무계획!$M$3:$R$402,$AC341,출력_인턴현황!$K$2)&amp;""))-1),$AE341))</f>
        <v/>
      </c>
      <c r="AH341" s="17">
        <f>IF($B341="","",IF($AQ341&lt;&gt;"",MAX(0,DAY(EOMONTH(출력_요약!$B$3,0))-N($AR341)),IF(TRIM($J341&amp;"")="",0,SUMPRODUCT((입력_파견수련계획!$Q$4:$Q$803=TRIM($J341&amp;""))*(입력_파견수련계획!$S$4:$S$803="서울병원")*입력_파견수련계획!$W$4:$W$803))+IF($AG341="서울병원",MAX(0,DAY(EOMONTH(출력_요약!$B$3,0))-N($X341)),0)))</f>
        <v/>
      </c>
      <c r="AI341" s="17">
        <f>IF($B341="","",IF($AQ341&lt;&gt;"",N($AR341),IF(TRIM($J341&amp;"")="",0,SUMPRODUCT((입력_파견수련계획!$Q$4:$Q$803=TRIM($J341&amp;""))*(입력_파견수련계획!$S$4:$S$803="구리병원")*입력_파견수련계획!$W$4:$W$803))+IF($AG341="구리병원",MAX(0,DAY(EOMONTH(출력_요약!$B$3,0))-N($X341)),0)))</f>
        <v/>
      </c>
      <c r="AJ341" s="10">
        <f>IF(OR($B341="",TRIM($J341&amp;"")=""),"",IFERROR(MATCH(TRIM($J341&amp;"")&amp;"|월",입력_파견수련계획!$Z$4:$Z$803,0),""))</f>
        <v/>
      </c>
      <c r="AK341" s="10">
        <f>IF(OR($B341="",TRIM($J341&amp;"")=""),"",IFERROR(MATCH(TRIM($J341&amp;"")&amp;"|다기관",입력_파견수련계획!$AE$4:$AE$803,0),""))</f>
        <v/>
      </c>
      <c r="AL341" s="10">
        <f>IF($AK341="","","다기관 "&amp;TEXT(INDEX(입력_파견수련계획!$AB$4:$AB$803,$AK341),"yyyy-mm-dd")&amp;"~"&amp;IF(ISNUMBER(INDEX(입력_파견수련계획!$AC$4:$AC$803,$AK341)),TEXT(INDEX(입력_파견수련계획!$AC$4:$AC$803,$AK341),"yyyy-mm-dd"),""))</f>
        <v/>
      </c>
      <c r="AM341" s="10">
        <f>IF($Y341="서울병원",COUNTIF($Y$2:$Y341,"서울병원"),"")</f>
        <v/>
      </c>
      <c r="AN341" s="10">
        <f>IF(LEFT($Y341,1)="⚠",COUNTIF($Y$2:$Y341,"⚠*"),"")</f>
        <v/>
      </c>
      <c r="AO341" s="10">
        <f>IF(OR($B341="",$Y341=""),"",IF(IF(TRIM($J341&amp;"")="",0,SUMPRODUCT((입력_파견수련계획!$Q$4:$Q$803=TRIM($J341&amp;""))*입력_파견수련계획!$AD$4:$AD$803))&gt;0,"다기관 기간 → 소속병원 지급",IF(AND(N($X341)&lt;=0,$AQ341=""),"파견 없음 → 그 달 근무병원 지급",IF($AH341+$AI341=DAY(EOMONTH(출력_요약!$B$3,0)),"서울 "&amp;$AH341&amp;"일 / 구리 "&amp;$AI341&amp;"일"&amp;IF($AQ341&lt;&gt;""," (구리 근무자명단 반영)","")&amp;" → 15일 이상 근무 병원 지급","타 병원 포함 → "&amp;IF($AJ341="","소속",INDEX(입력_파견수련계획!$T$4:$T$803,$AJ341))&amp;" 규칙"))))</f>
        <v/>
      </c>
      <c r="AP341" s="10">
        <f>IF($B341="","",$C341&amp;"|"&amp;$F341)</f>
        <v/>
      </c>
      <c r="AQ341" s="10">
        <f>IF($B341="","",IFERROR(MATCH(ROW()-1,출력_구리근무자!$K$6:$K$305,0),""))</f>
        <v/>
      </c>
      <c r="AR341" s="10">
        <f>IF($AQ341="","",INDEX(출력_구리근무자!$H$6:$H$305,$AQ341))</f>
        <v/>
      </c>
    </row>
    <row r="342">
      <c r="A342" s="10">
        <f>IF(B342="","",ROW()-1)</f>
        <v/>
      </c>
      <c r="B342" s="19" t="n"/>
      <c r="C342" s="10">
        <f>IF($AB342="","",IF(INDEX(입력_기본자료!$C$2:$C$1001,$AB342)="","",INDEX(입력_기본자료!$C$2:$C$1001,$AB342)))</f>
        <v/>
      </c>
      <c r="D342" s="10">
        <f>IF($AB342="","",IF(INDEX(입력_기본자료!$J$2:$J$1001,$AB342)="","",INDEX(입력_기본자료!$J$2:$J$1001,$AB342)))</f>
        <v/>
      </c>
      <c r="E342" s="11">
        <f>IF($AB342="","",IF(INDEX(입력_기본자료!$K$2:$K$1001,$AB342)="","",IF(NOT(ISNUMBER(INDEX(입력_기본자료!$K$2:$K$1001,$AB342))),INDEX(입력_기본자료!$K$2:$K$1001,$AB342),IF(INDEX(입력_기본자료!$K$2:$K$1001,$AB342)&lt;1000000,INDEX(입력_기본자료!$K$2:$K$1001,$AB342),IF(AND(INDEX(입력_기본자료!$K$2:$K$1001,$AB342)&gt;=10000101,INT(MOD(INDEX(입력_기본자료!$K$2:$K$1001,$AB342),10000)/100)&gt;=1,INT(MOD(INDEX(입력_기본자료!$K$2:$K$1001,$AB342),10000)/100)&lt;=12,MOD(INDEX(입력_기본자료!$K$2:$K$1001,$AB342),100)&gt;=1,MOD(INDEX(입력_기본자료!$K$2:$K$1001,$AB342),100)&lt;=31),DATE(INT(INDEX(입력_기본자료!$K$2:$K$1001,$AB342)/10000),INT(MOD(INDEX(입력_기본자료!$K$2:$K$1001,$AB342),10000)/100),MOD(INDEX(입력_기본자료!$K$2:$K$1001,$AB342),100)),INDEX(입력_기본자료!$K$2:$K$1001,$AB342)&amp;"")))))</f>
        <v/>
      </c>
      <c r="F342" s="10">
        <f>IF($AB342="","",IF(INDEX(입력_기본자료!$D$2:$D$1001,$AB342)="","",INDEX(입력_기본자료!$D$2:$D$1001,$AB342)))</f>
        <v/>
      </c>
      <c r="G342" s="10">
        <f>IF($AB342="","",IF(INDEX(입력_기본자료!$E$2:$E$1001,$AB342)="","",INDEX(입력_기본자료!$E$2:$E$1001,$AB342)))</f>
        <v/>
      </c>
      <c r="H342" s="10">
        <f>IF($AB342="","",IF(INDEX(입력_기본자료!$F$2:$F$1001,$AB342)="","",INDEX(입력_기본자료!$F$2:$F$1001,$AB342)))</f>
        <v/>
      </c>
      <c r="I342" s="11">
        <f>IF($AB342="","",IF(INDEX(입력_기본자료!$G$2:$G$1001,$AB342)="","",IF(NOT(ISNUMBER(INDEX(입력_기본자료!$G$2:$G$1001,$AB342))),INDEX(입력_기본자료!$G$2:$G$1001,$AB342),IF(INDEX(입력_기본자료!$G$2:$G$1001,$AB342)&lt;1000000,INDEX(입력_기본자료!$G$2:$G$1001,$AB342),IF(AND(INDEX(입력_기본자료!$G$2:$G$1001,$AB342)&gt;=10000101,INT(MOD(INDEX(입력_기본자료!$G$2:$G$1001,$AB342),10000)/100)&gt;=1,INT(MOD(INDEX(입력_기본자료!$G$2:$G$1001,$AB342),10000)/100)&lt;=12,MOD(INDEX(입력_기본자료!$G$2:$G$1001,$AB342),100)&gt;=1,MOD(INDEX(입력_기본자료!$G$2:$G$1001,$AB342),100)&lt;=31),DATE(INT(INDEX(입력_기본자료!$G$2:$G$1001,$AB342)/10000),INT(MOD(INDEX(입력_기본자료!$G$2:$G$1001,$AB342),10000)/100),MOD(INDEX(입력_기본자료!$G$2:$G$1001,$AB342),100)),INDEX(입력_기본자료!$G$2:$G$1001,$AB342)&amp;"")))))</f>
        <v/>
      </c>
      <c r="J342" s="10">
        <f>IF($AB342="","",IF(INDEX(입력_기본자료!$H$2:$H$1001,$AB342)="","",INDEX(입력_기본자료!$H$2:$H$1001,$AB342)))</f>
        <v/>
      </c>
      <c r="K342" s="10">
        <f>IF($AB342="","",IF(INDEX(입력_기본자료!$I$2:$I$1001,$AB342)="","",INDEX(입력_기본자료!$I$2:$I$1001,$AB342)))</f>
        <v/>
      </c>
      <c r="L342" s="10">
        <f>IF($AB342="","",IF(INDEX(입력_기본자료!$A$2:$A$1001,$AB342)="","",INDEX(입력_기본자료!$A$2:$A$1001,$AB342)))</f>
        <v/>
      </c>
      <c r="M342" s="15" t="n"/>
      <c r="N342" s="10">
        <f>IF($B342="","",IF(AND($U342="파견중",$Q342&lt;&gt;""),$Q342,IF(AND($AD342&lt;&gt;"",LEFT($AD342,1)&lt;&gt;"⚠"),LEFT($AD342,FIND(" ",$AD342)-1),IF($H342="","",IF(RIGHT($H342,2)="병원",$H342,$H342&amp;"병원")))))</f>
        <v/>
      </c>
      <c r="O342" s="10">
        <f>IF($B342="","",IF(AND($U342="파견중",$Q342&lt;&gt;""),IF($R342&lt;&gt;"",$R342,"파견과 미입력"),IF(AND($AD342&lt;&gt;"",LEFT($AD342,1)&lt;&gt;"⚠"),MID($AD342,FIND(" ",$AD342)+1,60),IF($F342="","",IF($F342="인턴","수련교육부(인턴)",$F342)))))</f>
        <v/>
      </c>
      <c r="P342" s="10">
        <f>IF($B342="","",IF($AK342&lt;&gt;"",IF(AND(TODAY()&gt;=INDEX(입력_파견수련계획!$AB$4:$AB$803,$AK342),OR(NOT(ISNUMBER(INDEX(입력_파견수련계획!$AC$4:$AC$803,$AK342))),TODAY()&lt;=INDEX(입력_파견수련계획!$AC$4:$AC$803,$AK342))),"다기관",IF($AF342="","",INDEX(입력_파견수련계획!$T$4:$T$803,$AF342))),IF($AF342="","",INDEX(입력_파견수련계획!$T$4:$T$803,$AF342))))</f>
        <v/>
      </c>
      <c r="Q342" s="10">
        <f>IF($AF342="","",INDEX(입력_파견수련계획!$S$4:$S$803,$AF342))</f>
        <v/>
      </c>
      <c r="R342" s="10">
        <f>IF($AF342="","",INDEX(입력_파견수련계획!$U$4:$U$803,$AF342))</f>
        <v/>
      </c>
      <c r="S342" s="11">
        <f>IF($AF342="","",IF(INDEX(입력_파견수련계획!$H$4:$H$803,$AF342)="","",INDEX(입력_파견수련계획!$H$4:$H$803,$AF342)))</f>
        <v/>
      </c>
      <c r="T342" s="11">
        <f>IF($AF342="","",IF(INDEX(입력_파견수련계획!$I$4:$I$803,$AF342)="","",INDEX(입력_파견수련계획!$I$4:$I$803,$AF342)))</f>
        <v/>
      </c>
      <c r="U342" s="10">
        <f>IF($AF342="","",INDEX(입력_파견수련계획!$X$4:$X$803,$AF342))</f>
        <v/>
      </c>
      <c r="V342" s="17">
        <f>IF($AF342="","",INDEX(입력_파견수련계획!$V$4:$V$803,$AF342))</f>
        <v/>
      </c>
      <c r="W342" s="17">
        <f>IF(AND($U342="파견중",$T342&lt;&gt;""),$T342-TODAY(),"")</f>
        <v/>
      </c>
      <c r="X342" s="17">
        <f>IF(OR($B342="",TRIM($J342&amp;"")=""),"",SUMPRODUCT((입력_파견수련계획!$Q$4:$Q$803=TRIM($J342&amp;""))*입력_파견수련계획!$W$4:$W$803))</f>
        <v/>
      </c>
      <c r="Y342" s="10">
        <f>IF($B342="","",IF($AG342="","",IF(IF(TRIM($J342&amp;"")="",0,SUMPRODUCT((입력_파견수련계획!$Q$4:$Q$803=TRIM($J342&amp;""))*입력_파견수련계획!$AD$4:$AD$803))&gt;0,$AE342,IF(AND(N($X342)&lt;=0,$AQ342=""),$AG342,IF($AH342+$AI342=DAY(EOMONTH(출력_요약!$B$3,0)),IF(AND($AH342&gt;=출력_요약!$E$3,$AI342&lt;출력_요약!$E$3),"서울병원",IF(AND($AI342&gt;=출력_요약!$E$3,$AH342&lt;출력_요약!$E$3),"구리병원","⚠15일 판정불가(서울 "&amp;$AH342&amp;"일/구리 "&amp;$AI342&amp;"일)")),IF($AJ342="",$AE342,IF(INDEX(입력_파견수련계획!$T$4:$T$803,$AJ342)="통합수련",INDEX(입력_파견수련계획!$S$4:$S$803,$AJ342),$AE342)))))))</f>
        <v/>
      </c>
      <c r="Z342" s="20">
        <f>IF($B342="","",IF($AB342="","기본자료에 없는 사번",IF(COUNTIF($B$2:$B$401,$B342)&gt;1,"중복 사번",IF($AE342="","소속(입사장소) 입력",IF(IF(TRIM($J342&amp;"")="",0,SUMPRODUCT((입력_파견수련계획!$Q$4:$Q$803=TRIM($J342&amp;""))*(입력_파견수련계획!$AA$4:$AA$803&lt;&gt;"")))&gt;0,"파견수련계획 입력오류 확인",IF(LEFT($Y342,1)="⚠","서울·구리 15일 판정 불가(양쪽 모두 이상/미만)",IF(IF($AC342="",0,N(INDEX(입력_인턴근무계획!$T$3:$T$402,$AC342)))&gt;0,"인턴계획 입력오류 확인",IF(AND($AQ342&lt;&gt;"",$AG342&lt;&gt;"구리병원",IF(TRIM($J342&amp;"")="",0,SUMPRODUCT((입력_파견수련계획!$Q$4:$Q$803=TRIM($J342&amp;""))*(입력_파견수련계획!$S$4:$S$803="구리병원")*입력_파견수련계획!$W$4:$W$803))=0),"구리 근무자명단에만 있음(파견수련계획 확인)",IF(AND($AC342&lt;&gt;"",$U342&lt;&gt;"파견중",$N342&lt;&gt;$AE342),"인턴 타지역 근무: 파견 여부 확인","정상")))))))))</f>
        <v/>
      </c>
      <c r="AA342" s="5" t="n"/>
      <c r="AB342" s="10">
        <f>IF($B342="","",IFERROR(MATCH($B342,입력_기본자료!$B$2:$B$1001,0),IFERROR(MATCH($B342&amp;"",입력_기본자료!$B$2:$B$1001,0),IFERROR(MATCH(VALUE($B342),입력_기본자료!$B$2:$B$1001,0),""))))</f>
        <v/>
      </c>
      <c r="AC342" s="10">
        <f>IF($B342="","",IFERROR(MATCH($B342,입력_인턴근무계획!$D$3:$D$402,0),IFERROR(MATCH($B342&amp;"",입력_인턴근무계획!$D$3:$D$402,0),IFERROR(MATCH(VALUE($B342),입력_인턴근무계획!$D$3:$D$402,0),""))))</f>
        <v/>
      </c>
      <c r="AD342" s="10">
        <f>IF(OR($AC342="",출력_인턴현황!$G$3=""),"",INDEX(입력_인턴근무계획!$M$3:$R$402,$AC342,출력_인턴현황!$G$3)&amp;"")</f>
        <v/>
      </c>
      <c r="AE342" s="10">
        <f>IF($B342="","",IF($M342&lt;&gt;"",$M342,IF(IF($AQ342="",FALSE,INDEX(출력_구리근무자!$J$6:$J$305,$AQ342)="구리독자"),"구리병원",IF($AF342&lt;&gt;"",IF(LEFT(INDEX(입력_파견수련계획!$R$4:$R$803,$AF342),1)&lt;&gt;"⚠",INDEX(입력_파견수련계획!$R$4:$R$803,$AF342),IF($H342="","",IF(RIGHT($H342,2)="병원",$H342,$H342&amp;"병원"))),IF($H342="","",IF(RIGHT($H342,2)="병원",$H342,$H342&amp;"병원"))))))</f>
        <v/>
      </c>
      <c r="AF342" s="10">
        <f>IF(OR($B342="",TRIM($J342&amp;"")=""),"",IFERROR(MATCH(TRIM($J342&amp;"")&amp;"|파견중",입력_파견수련계획!$Y$4:$Y$803,0),IFERROR(MATCH(TRIM($J342&amp;"")&amp;"|파견예정",입력_파견수련계획!$Y$4:$Y$803,0),IFERROR(MATCH(TRIM($J342&amp;"")&amp;"|파견종료",입력_파견수련계획!$Y$4:$Y$803,0),""))))</f>
        <v/>
      </c>
      <c r="AG342" s="10">
        <f>IF($B342="","",IF(AND(IF(OR($AC342="",출력_인턴현황!$K$2=""),"",INDEX(입력_인턴근무계획!$M$3:$R$402,$AC342,출력_인턴현황!$K$2)&amp;"")&lt;&gt;"",LEFT(IF(OR($AC342="",출력_인턴현황!$K$2=""),"",INDEX(입력_인턴근무계획!$M$3:$R$402,$AC342,출력_인턴현황!$K$2)&amp;""),1)&lt;&gt;"⚠"),LEFT(IF(OR($AC342="",출력_인턴현황!$K$2=""),"",INDEX(입력_인턴근무계획!$M$3:$R$402,$AC342,출력_인턴현황!$K$2)&amp;""),FIND(" ",IF(OR($AC342="",출력_인턴현황!$K$2=""),"",INDEX(입력_인턴근무계획!$M$3:$R$402,$AC342,출력_인턴현황!$K$2)&amp;""))-1),$AE342))</f>
        <v/>
      </c>
      <c r="AH342" s="17">
        <f>IF($B342="","",IF($AQ342&lt;&gt;"",MAX(0,DAY(EOMONTH(출력_요약!$B$3,0))-N($AR342)),IF(TRIM($J342&amp;"")="",0,SUMPRODUCT((입력_파견수련계획!$Q$4:$Q$803=TRIM($J342&amp;""))*(입력_파견수련계획!$S$4:$S$803="서울병원")*입력_파견수련계획!$W$4:$W$803))+IF($AG342="서울병원",MAX(0,DAY(EOMONTH(출력_요약!$B$3,0))-N($X342)),0)))</f>
        <v/>
      </c>
      <c r="AI342" s="17">
        <f>IF($B342="","",IF($AQ342&lt;&gt;"",N($AR342),IF(TRIM($J342&amp;"")="",0,SUMPRODUCT((입력_파견수련계획!$Q$4:$Q$803=TRIM($J342&amp;""))*(입력_파견수련계획!$S$4:$S$803="구리병원")*입력_파견수련계획!$W$4:$W$803))+IF($AG342="구리병원",MAX(0,DAY(EOMONTH(출력_요약!$B$3,0))-N($X342)),0)))</f>
        <v/>
      </c>
      <c r="AJ342" s="10">
        <f>IF(OR($B342="",TRIM($J342&amp;"")=""),"",IFERROR(MATCH(TRIM($J342&amp;"")&amp;"|월",입력_파견수련계획!$Z$4:$Z$803,0),""))</f>
        <v/>
      </c>
      <c r="AK342" s="10">
        <f>IF(OR($B342="",TRIM($J342&amp;"")=""),"",IFERROR(MATCH(TRIM($J342&amp;"")&amp;"|다기관",입력_파견수련계획!$AE$4:$AE$803,0),""))</f>
        <v/>
      </c>
      <c r="AL342" s="10">
        <f>IF($AK342="","","다기관 "&amp;TEXT(INDEX(입력_파견수련계획!$AB$4:$AB$803,$AK342),"yyyy-mm-dd")&amp;"~"&amp;IF(ISNUMBER(INDEX(입력_파견수련계획!$AC$4:$AC$803,$AK342)),TEXT(INDEX(입력_파견수련계획!$AC$4:$AC$803,$AK342),"yyyy-mm-dd"),""))</f>
        <v/>
      </c>
      <c r="AM342" s="10">
        <f>IF($Y342="서울병원",COUNTIF($Y$2:$Y342,"서울병원"),"")</f>
        <v/>
      </c>
      <c r="AN342" s="10">
        <f>IF(LEFT($Y342,1)="⚠",COUNTIF($Y$2:$Y342,"⚠*"),"")</f>
        <v/>
      </c>
      <c r="AO342" s="10">
        <f>IF(OR($B342="",$Y342=""),"",IF(IF(TRIM($J342&amp;"")="",0,SUMPRODUCT((입력_파견수련계획!$Q$4:$Q$803=TRIM($J342&amp;""))*입력_파견수련계획!$AD$4:$AD$803))&gt;0,"다기관 기간 → 소속병원 지급",IF(AND(N($X342)&lt;=0,$AQ342=""),"파견 없음 → 그 달 근무병원 지급",IF($AH342+$AI342=DAY(EOMONTH(출력_요약!$B$3,0)),"서울 "&amp;$AH342&amp;"일 / 구리 "&amp;$AI342&amp;"일"&amp;IF($AQ342&lt;&gt;""," (구리 근무자명단 반영)","")&amp;" → 15일 이상 근무 병원 지급","타 병원 포함 → "&amp;IF($AJ342="","소속",INDEX(입력_파견수련계획!$T$4:$T$803,$AJ342))&amp;" 규칙"))))</f>
        <v/>
      </c>
      <c r="AP342" s="10">
        <f>IF($B342="","",$C342&amp;"|"&amp;$F342)</f>
        <v/>
      </c>
      <c r="AQ342" s="10">
        <f>IF($B342="","",IFERROR(MATCH(ROW()-1,출력_구리근무자!$K$6:$K$305,0),""))</f>
        <v/>
      </c>
      <c r="AR342" s="10">
        <f>IF($AQ342="","",INDEX(출력_구리근무자!$H$6:$H$305,$AQ342))</f>
        <v/>
      </c>
    </row>
    <row r="343">
      <c r="A343" s="10">
        <f>IF(B343="","",ROW()-1)</f>
        <v/>
      </c>
      <c r="B343" s="19" t="n"/>
      <c r="C343" s="10">
        <f>IF($AB343="","",IF(INDEX(입력_기본자료!$C$2:$C$1001,$AB343)="","",INDEX(입력_기본자료!$C$2:$C$1001,$AB343)))</f>
        <v/>
      </c>
      <c r="D343" s="10">
        <f>IF($AB343="","",IF(INDEX(입력_기본자료!$J$2:$J$1001,$AB343)="","",INDEX(입력_기본자료!$J$2:$J$1001,$AB343)))</f>
        <v/>
      </c>
      <c r="E343" s="11">
        <f>IF($AB343="","",IF(INDEX(입력_기본자료!$K$2:$K$1001,$AB343)="","",IF(NOT(ISNUMBER(INDEX(입력_기본자료!$K$2:$K$1001,$AB343))),INDEX(입력_기본자료!$K$2:$K$1001,$AB343),IF(INDEX(입력_기본자료!$K$2:$K$1001,$AB343)&lt;1000000,INDEX(입력_기본자료!$K$2:$K$1001,$AB343),IF(AND(INDEX(입력_기본자료!$K$2:$K$1001,$AB343)&gt;=10000101,INT(MOD(INDEX(입력_기본자료!$K$2:$K$1001,$AB343),10000)/100)&gt;=1,INT(MOD(INDEX(입력_기본자료!$K$2:$K$1001,$AB343),10000)/100)&lt;=12,MOD(INDEX(입력_기본자료!$K$2:$K$1001,$AB343),100)&gt;=1,MOD(INDEX(입력_기본자료!$K$2:$K$1001,$AB343),100)&lt;=31),DATE(INT(INDEX(입력_기본자료!$K$2:$K$1001,$AB343)/10000),INT(MOD(INDEX(입력_기본자료!$K$2:$K$1001,$AB343),10000)/100),MOD(INDEX(입력_기본자료!$K$2:$K$1001,$AB343),100)),INDEX(입력_기본자료!$K$2:$K$1001,$AB343)&amp;"")))))</f>
        <v/>
      </c>
      <c r="F343" s="10">
        <f>IF($AB343="","",IF(INDEX(입력_기본자료!$D$2:$D$1001,$AB343)="","",INDEX(입력_기본자료!$D$2:$D$1001,$AB343)))</f>
        <v/>
      </c>
      <c r="G343" s="10">
        <f>IF($AB343="","",IF(INDEX(입력_기본자료!$E$2:$E$1001,$AB343)="","",INDEX(입력_기본자료!$E$2:$E$1001,$AB343)))</f>
        <v/>
      </c>
      <c r="H343" s="10">
        <f>IF($AB343="","",IF(INDEX(입력_기본자료!$F$2:$F$1001,$AB343)="","",INDEX(입력_기본자료!$F$2:$F$1001,$AB343)))</f>
        <v/>
      </c>
      <c r="I343" s="11">
        <f>IF($AB343="","",IF(INDEX(입력_기본자료!$G$2:$G$1001,$AB343)="","",IF(NOT(ISNUMBER(INDEX(입력_기본자료!$G$2:$G$1001,$AB343))),INDEX(입력_기본자료!$G$2:$G$1001,$AB343),IF(INDEX(입력_기본자료!$G$2:$G$1001,$AB343)&lt;1000000,INDEX(입력_기본자료!$G$2:$G$1001,$AB343),IF(AND(INDEX(입력_기본자료!$G$2:$G$1001,$AB343)&gt;=10000101,INT(MOD(INDEX(입력_기본자료!$G$2:$G$1001,$AB343),10000)/100)&gt;=1,INT(MOD(INDEX(입력_기본자료!$G$2:$G$1001,$AB343),10000)/100)&lt;=12,MOD(INDEX(입력_기본자료!$G$2:$G$1001,$AB343),100)&gt;=1,MOD(INDEX(입력_기본자료!$G$2:$G$1001,$AB343),100)&lt;=31),DATE(INT(INDEX(입력_기본자료!$G$2:$G$1001,$AB343)/10000),INT(MOD(INDEX(입력_기본자료!$G$2:$G$1001,$AB343),10000)/100),MOD(INDEX(입력_기본자료!$G$2:$G$1001,$AB343),100)),INDEX(입력_기본자료!$G$2:$G$1001,$AB343)&amp;"")))))</f>
        <v/>
      </c>
      <c r="J343" s="10">
        <f>IF($AB343="","",IF(INDEX(입력_기본자료!$H$2:$H$1001,$AB343)="","",INDEX(입력_기본자료!$H$2:$H$1001,$AB343)))</f>
        <v/>
      </c>
      <c r="K343" s="10">
        <f>IF($AB343="","",IF(INDEX(입력_기본자료!$I$2:$I$1001,$AB343)="","",INDEX(입력_기본자료!$I$2:$I$1001,$AB343)))</f>
        <v/>
      </c>
      <c r="L343" s="10">
        <f>IF($AB343="","",IF(INDEX(입력_기본자료!$A$2:$A$1001,$AB343)="","",INDEX(입력_기본자료!$A$2:$A$1001,$AB343)))</f>
        <v/>
      </c>
      <c r="M343" s="15" t="n"/>
      <c r="N343" s="10">
        <f>IF($B343="","",IF(AND($U343="파견중",$Q343&lt;&gt;""),$Q343,IF(AND($AD343&lt;&gt;"",LEFT($AD343,1)&lt;&gt;"⚠"),LEFT($AD343,FIND(" ",$AD343)-1),IF($H343="","",IF(RIGHT($H343,2)="병원",$H343,$H343&amp;"병원")))))</f>
        <v/>
      </c>
      <c r="O343" s="10">
        <f>IF($B343="","",IF(AND($U343="파견중",$Q343&lt;&gt;""),IF($R343&lt;&gt;"",$R343,"파견과 미입력"),IF(AND($AD343&lt;&gt;"",LEFT($AD343,1)&lt;&gt;"⚠"),MID($AD343,FIND(" ",$AD343)+1,60),IF($F343="","",IF($F343="인턴","수련교육부(인턴)",$F343)))))</f>
        <v/>
      </c>
      <c r="P343" s="10">
        <f>IF($B343="","",IF($AK343&lt;&gt;"",IF(AND(TODAY()&gt;=INDEX(입력_파견수련계획!$AB$4:$AB$803,$AK343),OR(NOT(ISNUMBER(INDEX(입력_파견수련계획!$AC$4:$AC$803,$AK343))),TODAY()&lt;=INDEX(입력_파견수련계획!$AC$4:$AC$803,$AK343))),"다기관",IF($AF343="","",INDEX(입력_파견수련계획!$T$4:$T$803,$AF343))),IF($AF343="","",INDEX(입력_파견수련계획!$T$4:$T$803,$AF343))))</f>
        <v/>
      </c>
      <c r="Q343" s="10">
        <f>IF($AF343="","",INDEX(입력_파견수련계획!$S$4:$S$803,$AF343))</f>
        <v/>
      </c>
      <c r="R343" s="10">
        <f>IF($AF343="","",INDEX(입력_파견수련계획!$U$4:$U$803,$AF343))</f>
        <v/>
      </c>
      <c r="S343" s="11">
        <f>IF($AF343="","",IF(INDEX(입력_파견수련계획!$H$4:$H$803,$AF343)="","",INDEX(입력_파견수련계획!$H$4:$H$803,$AF343)))</f>
        <v/>
      </c>
      <c r="T343" s="11">
        <f>IF($AF343="","",IF(INDEX(입력_파견수련계획!$I$4:$I$803,$AF343)="","",INDEX(입력_파견수련계획!$I$4:$I$803,$AF343)))</f>
        <v/>
      </c>
      <c r="U343" s="10">
        <f>IF($AF343="","",INDEX(입력_파견수련계획!$X$4:$X$803,$AF343))</f>
        <v/>
      </c>
      <c r="V343" s="17">
        <f>IF($AF343="","",INDEX(입력_파견수련계획!$V$4:$V$803,$AF343))</f>
        <v/>
      </c>
      <c r="W343" s="17">
        <f>IF(AND($U343="파견중",$T343&lt;&gt;""),$T343-TODAY(),"")</f>
        <v/>
      </c>
      <c r="X343" s="17">
        <f>IF(OR($B343="",TRIM($J343&amp;"")=""),"",SUMPRODUCT((입력_파견수련계획!$Q$4:$Q$803=TRIM($J343&amp;""))*입력_파견수련계획!$W$4:$W$803))</f>
        <v/>
      </c>
      <c r="Y343" s="10">
        <f>IF($B343="","",IF($AG343="","",IF(IF(TRIM($J343&amp;"")="",0,SUMPRODUCT((입력_파견수련계획!$Q$4:$Q$803=TRIM($J343&amp;""))*입력_파견수련계획!$AD$4:$AD$803))&gt;0,$AE343,IF(AND(N($X343)&lt;=0,$AQ343=""),$AG343,IF($AH343+$AI343=DAY(EOMONTH(출력_요약!$B$3,0)),IF(AND($AH343&gt;=출력_요약!$E$3,$AI343&lt;출력_요약!$E$3),"서울병원",IF(AND($AI343&gt;=출력_요약!$E$3,$AH343&lt;출력_요약!$E$3),"구리병원","⚠15일 판정불가(서울 "&amp;$AH343&amp;"일/구리 "&amp;$AI343&amp;"일)")),IF($AJ343="",$AE343,IF(INDEX(입력_파견수련계획!$T$4:$T$803,$AJ343)="통합수련",INDEX(입력_파견수련계획!$S$4:$S$803,$AJ343),$AE343)))))))</f>
        <v/>
      </c>
      <c r="Z343" s="20">
        <f>IF($B343="","",IF($AB343="","기본자료에 없는 사번",IF(COUNTIF($B$2:$B$401,$B343)&gt;1,"중복 사번",IF($AE343="","소속(입사장소) 입력",IF(IF(TRIM($J343&amp;"")="",0,SUMPRODUCT((입력_파견수련계획!$Q$4:$Q$803=TRIM($J343&amp;""))*(입력_파견수련계획!$AA$4:$AA$803&lt;&gt;"")))&gt;0,"파견수련계획 입력오류 확인",IF(LEFT($Y343,1)="⚠","서울·구리 15일 판정 불가(양쪽 모두 이상/미만)",IF(IF($AC343="",0,N(INDEX(입력_인턴근무계획!$T$3:$T$402,$AC343)))&gt;0,"인턴계획 입력오류 확인",IF(AND($AQ343&lt;&gt;"",$AG343&lt;&gt;"구리병원",IF(TRIM($J343&amp;"")="",0,SUMPRODUCT((입력_파견수련계획!$Q$4:$Q$803=TRIM($J343&amp;""))*(입력_파견수련계획!$S$4:$S$803="구리병원")*입력_파견수련계획!$W$4:$W$803))=0),"구리 근무자명단에만 있음(파견수련계획 확인)",IF(AND($AC343&lt;&gt;"",$U343&lt;&gt;"파견중",$N343&lt;&gt;$AE343),"인턴 타지역 근무: 파견 여부 확인","정상")))))))))</f>
        <v/>
      </c>
      <c r="AA343" s="5" t="n"/>
      <c r="AB343" s="10">
        <f>IF($B343="","",IFERROR(MATCH($B343,입력_기본자료!$B$2:$B$1001,0),IFERROR(MATCH($B343&amp;"",입력_기본자료!$B$2:$B$1001,0),IFERROR(MATCH(VALUE($B343),입력_기본자료!$B$2:$B$1001,0),""))))</f>
        <v/>
      </c>
      <c r="AC343" s="10">
        <f>IF($B343="","",IFERROR(MATCH($B343,입력_인턴근무계획!$D$3:$D$402,0),IFERROR(MATCH($B343&amp;"",입력_인턴근무계획!$D$3:$D$402,0),IFERROR(MATCH(VALUE($B343),입력_인턴근무계획!$D$3:$D$402,0),""))))</f>
        <v/>
      </c>
      <c r="AD343" s="10">
        <f>IF(OR($AC343="",출력_인턴현황!$G$3=""),"",INDEX(입력_인턴근무계획!$M$3:$R$402,$AC343,출력_인턴현황!$G$3)&amp;"")</f>
        <v/>
      </c>
      <c r="AE343" s="10">
        <f>IF($B343="","",IF($M343&lt;&gt;"",$M343,IF(IF($AQ343="",FALSE,INDEX(출력_구리근무자!$J$6:$J$305,$AQ343)="구리독자"),"구리병원",IF($AF343&lt;&gt;"",IF(LEFT(INDEX(입력_파견수련계획!$R$4:$R$803,$AF343),1)&lt;&gt;"⚠",INDEX(입력_파견수련계획!$R$4:$R$803,$AF343),IF($H343="","",IF(RIGHT($H343,2)="병원",$H343,$H343&amp;"병원"))),IF($H343="","",IF(RIGHT($H343,2)="병원",$H343,$H343&amp;"병원"))))))</f>
        <v/>
      </c>
      <c r="AF343" s="10">
        <f>IF(OR($B343="",TRIM($J343&amp;"")=""),"",IFERROR(MATCH(TRIM($J343&amp;"")&amp;"|파견중",입력_파견수련계획!$Y$4:$Y$803,0),IFERROR(MATCH(TRIM($J343&amp;"")&amp;"|파견예정",입력_파견수련계획!$Y$4:$Y$803,0),IFERROR(MATCH(TRIM($J343&amp;"")&amp;"|파견종료",입력_파견수련계획!$Y$4:$Y$803,0),""))))</f>
        <v/>
      </c>
      <c r="AG343" s="10">
        <f>IF($B343="","",IF(AND(IF(OR($AC343="",출력_인턴현황!$K$2=""),"",INDEX(입력_인턴근무계획!$M$3:$R$402,$AC343,출력_인턴현황!$K$2)&amp;"")&lt;&gt;"",LEFT(IF(OR($AC343="",출력_인턴현황!$K$2=""),"",INDEX(입력_인턴근무계획!$M$3:$R$402,$AC343,출력_인턴현황!$K$2)&amp;""),1)&lt;&gt;"⚠"),LEFT(IF(OR($AC343="",출력_인턴현황!$K$2=""),"",INDEX(입력_인턴근무계획!$M$3:$R$402,$AC343,출력_인턴현황!$K$2)&amp;""),FIND(" ",IF(OR($AC343="",출력_인턴현황!$K$2=""),"",INDEX(입력_인턴근무계획!$M$3:$R$402,$AC343,출력_인턴현황!$K$2)&amp;""))-1),$AE343))</f>
        <v/>
      </c>
      <c r="AH343" s="17">
        <f>IF($B343="","",IF($AQ343&lt;&gt;"",MAX(0,DAY(EOMONTH(출력_요약!$B$3,0))-N($AR343)),IF(TRIM($J343&amp;"")="",0,SUMPRODUCT((입력_파견수련계획!$Q$4:$Q$803=TRIM($J343&amp;""))*(입력_파견수련계획!$S$4:$S$803="서울병원")*입력_파견수련계획!$W$4:$W$803))+IF($AG343="서울병원",MAX(0,DAY(EOMONTH(출력_요약!$B$3,0))-N($X343)),0)))</f>
        <v/>
      </c>
      <c r="AI343" s="17">
        <f>IF($B343="","",IF($AQ343&lt;&gt;"",N($AR343),IF(TRIM($J343&amp;"")="",0,SUMPRODUCT((입력_파견수련계획!$Q$4:$Q$803=TRIM($J343&amp;""))*(입력_파견수련계획!$S$4:$S$803="구리병원")*입력_파견수련계획!$W$4:$W$803))+IF($AG343="구리병원",MAX(0,DAY(EOMONTH(출력_요약!$B$3,0))-N($X343)),0)))</f>
        <v/>
      </c>
      <c r="AJ343" s="10">
        <f>IF(OR($B343="",TRIM($J343&amp;"")=""),"",IFERROR(MATCH(TRIM($J343&amp;"")&amp;"|월",입력_파견수련계획!$Z$4:$Z$803,0),""))</f>
        <v/>
      </c>
      <c r="AK343" s="10">
        <f>IF(OR($B343="",TRIM($J343&amp;"")=""),"",IFERROR(MATCH(TRIM($J343&amp;"")&amp;"|다기관",입력_파견수련계획!$AE$4:$AE$803,0),""))</f>
        <v/>
      </c>
      <c r="AL343" s="10">
        <f>IF($AK343="","","다기관 "&amp;TEXT(INDEX(입력_파견수련계획!$AB$4:$AB$803,$AK343),"yyyy-mm-dd")&amp;"~"&amp;IF(ISNUMBER(INDEX(입력_파견수련계획!$AC$4:$AC$803,$AK343)),TEXT(INDEX(입력_파견수련계획!$AC$4:$AC$803,$AK343),"yyyy-mm-dd"),""))</f>
        <v/>
      </c>
      <c r="AM343" s="10">
        <f>IF($Y343="서울병원",COUNTIF($Y$2:$Y343,"서울병원"),"")</f>
        <v/>
      </c>
      <c r="AN343" s="10">
        <f>IF(LEFT($Y343,1)="⚠",COUNTIF($Y$2:$Y343,"⚠*"),"")</f>
        <v/>
      </c>
      <c r="AO343" s="10">
        <f>IF(OR($B343="",$Y343=""),"",IF(IF(TRIM($J343&amp;"")="",0,SUMPRODUCT((입력_파견수련계획!$Q$4:$Q$803=TRIM($J343&amp;""))*입력_파견수련계획!$AD$4:$AD$803))&gt;0,"다기관 기간 → 소속병원 지급",IF(AND(N($X343)&lt;=0,$AQ343=""),"파견 없음 → 그 달 근무병원 지급",IF($AH343+$AI343=DAY(EOMONTH(출력_요약!$B$3,0)),"서울 "&amp;$AH343&amp;"일 / 구리 "&amp;$AI343&amp;"일"&amp;IF($AQ343&lt;&gt;""," (구리 근무자명단 반영)","")&amp;" → 15일 이상 근무 병원 지급","타 병원 포함 → "&amp;IF($AJ343="","소속",INDEX(입력_파견수련계획!$T$4:$T$803,$AJ343))&amp;" 규칙"))))</f>
        <v/>
      </c>
      <c r="AP343" s="10">
        <f>IF($B343="","",$C343&amp;"|"&amp;$F343)</f>
        <v/>
      </c>
      <c r="AQ343" s="10">
        <f>IF($B343="","",IFERROR(MATCH(ROW()-1,출력_구리근무자!$K$6:$K$305,0),""))</f>
        <v/>
      </c>
      <c r="AR343" s="10">
        <f>IF($AQ343="","",INDEX(출력_구리근무자!$H$6:$H$305,$AQ343))</f>
        <v/>
      </c>
    </row>
    <row r="344">
      <c r="A344" s="10">
        <f>IF(B344="","",ROW()-1)</f>
        <v/>
      </c>
      <c r="B344" s="19" t="n"/>
      <c r="C344" s="10">
        <f>IF($AB344="","",IF(INDEX(입력_기본자료!$C$2:$C$1001,$AB344)="","",INDEX(입력_기본자료!$C$2:$C$1001,$AB344)))</f>
        <v/>
      </c>
      <c r="D344" s="10">
        <f>IF($AB344="","",IF(INDEX(입력_기본자료!$J$2:$J$1001,$AB344)="","",INDEX(입력_기본자료!$J$2:$J$1001,$AB344)))</f>
        <v/>
      </c>
      <c r="E344" s="11">
        <f>IF($AB344="","",IF(INDEX(입력_기본자료!$K$2:$K$1001,$AB344)="","",IF(NOT(ISNUMBER(INDEX(입력_기본자료!$K$2:$K$1001,$AB344))),INDEX(입력_기본자료!$K$2:$K$1001,$AB344),IF(INDEX(입력_기본자료!$K$2:$K$1001,$AB344)&lt;1000000,INDEX(입력_기본자료!$K$2:$K$1001,$AB344),IF(AND(INDEX(입력_기본자료!$K$2:$K$1001,$AB344)&gt;=10000101,INT(MOD(INDEX(입력_기본자료!$K$2:$K$1001,$AB344),10000)/100)&gt;=1,INT(MOD(INDEX(입력_기본자료!$K$2:$K$1001,$AB344),10000)/100)&lt;=12,MOD(INDEX(입력_기본자료!$K$2:$K$1001,$AB344),100)&gt;=1,MOD(INDEX(입력_기본자료!$K$2:$K$1001,$AB344),100)&lt;=31),DATE(INT(INDEX(입력_기본자료!$K$2:$K$1001,$AB344)/10000),INT(MOD(INDEX(입력_기본자료!$K$2:$K$1001,$AB344),10000)/100),MOD(INDEX(입력_기본자료!$K$2:$K$1001,$AB344),100)),INDEX(입력_기본자료!$K$2:$K$1001,$AB344)&amp;"")))))</f>
        <v/>
      </c>
      <c r="F344" s="10">
        <f>IF($AB344="","",IF(INDEX(입력_기본자료!$D$2:$D$1001,$AB344)="","",INDEX(입력_기본자료!$D$2:$D$1001,$AB344)))</f>
        <v/>
      </c>
      <c r="G344" s="10">
        <f>IF($AB344="","",IF(INDEX(입력_기본자료!$E$2:$E$1001,$AB344)="","",INDEX(입력_기본자료!$E$2:$E$1001,$AB344)))</f>
        <v/>
      </c>
      <c r="H344" s="10">
        <f>IF($AB344="","",IF(INDEX(입력_기본자료!$F$2:$F$1001,$AB344)="","",INDEX(입력_기본자료!$F$2:$F$1001,$AB344)))</f>
        <v/>
      </c>
      <c r="I344" s="11">
        <f>IF($AB344="","",IF(INDEX(입력_기본자료!$G$2:$G$1001,$AB344)="","",IF(NOT(ISNUMBER(INDEX(입력_기본자료!$G$2:$G$1001,$AB344))),INDEX(입력_기본자료!$G$2:$G$1001,$AB344),IF(INDEX(입력_기본자료!$G$2:$G$1001,$AB344)&lt;1000000,INDEX(입력_기본자료!$G$2:$G$1001,$AB344),IF(AND(INDEX(입력_기본자료!$G$2:$G$1001,$AB344)&gt;=10000101,INT(MOD(INDEX(입력_기본자료!$G$2:$G$1001,$AB344),10000)/100)&gt;=1,INT(MOD(INDEX(입력_기본자료!$G$2:$G$1001,$AB344),10000)/100)&lt;=12,MOD(INDEX(입력_기본자료!$G$2:$G$1001,$AB344),100)&gt;=1,MOD(INDEX(입력_기본자료!$G$2:$G$1001,$AB344),100)&lt;=31),DATE(INT(INDEX(입력_기본자료!$G$2:$G$1001,$AB344)/10000),INT(MOD(INDEX(입력_기본자료!$G$2:$G$1001,$AB344),10000)/100),MOD(INDEX(입력_기본자료!$G$2:$G$1001,$AB344),100)),INDEX(입력_기본자료!$G$2:$G$1001,$AB344)&amp;"")))))</f>
        <v/>
      </c>
      <c r="J344" s="10">
        <f>IF($AB344="","",IF(INDEX(입력_기본자료!$H$2:$H$1001,$AB344)="","",INDEX(입력_기본자료!$H$2:$H$1001,$AB344)))</f>
        <v/>
      </c>
      <c r="K344" s="10">
        <f>IF($AB344="","",IF(INDEX(입력_기본자료!$I$2:$I$1001,$AB344)="","",INDEX(입력_기본자료!$I$2:$I$1001,$AB344)))</f>
        <v/>
      </c>
      <c r="L344" s="10">
        <f>IF($AB344="","",IF(INDEX(입력_기본자료!$A$2:$A$1001,$AB344)="","",INDEX(입력_기본자료!$A$2:$A$1001,$AB344)))</f>
        <v/>
      </c>
      <c r="M344" s="15" t="n"/>
      <c r="N344" s="10">
        <f>IF($B344="","",IF(AND($U344="파견중",$Q344&lt;&gt;""),$Q344,IF(AND($AD344&lt;&gt;"",LEFT($AD344,1)&lt;&gt;"⚠"),LEFT($AD344,FIND(" ",$AD344)-1),IF($H344="","",IF(RIGHT($H344,2)="병원",$H344,$H344&amp;"병원")))))</f>
        <v/>
      </c>
      <c r="O344" s="10">
        <f>IF($B344="","",IF(AND($U344="파견중",$Q344&lt;&gt;""),IF($R344&lt;&gt;"",$R344,"파견과 미입력"),IF(AND($AD344&lt;&gt;"",LEFT($AD344,1)&lt;&gt;"⚠"),MID($AD344,FIND(" ",$AD344)+1,60),IF($F344="","",IF($F344="인턴","수련교육부(인턴)",$F344)))))</f>
        <v/>
      </c>
      <c r="P344" s="10">
        <f>IF($B344="","",IF($AK344&lt;&gt;"",IF(AND(TODAY()&gt;=INDEX(입력_파견수련계획!$AB$4:$AB$803,$AK344),OR(NOT(ISNUMBER(INDEX(입력_파견수련계획!$AC$4:$AC$803,$AK344))),TODAY()&lt;=INDEX(입력_파견수련계획!$AC$4:$AC$803,$AK344))),"다기관",IF($AF344="","",INDEX(입력_파견수련계획!$T$4:$T$803,$AF344))),IF($AF344="","",INDEX(입력_파견수련계획!$T$4:$T$803,$AF344))))</f>
        <v/>
      </c>
      <c r="Q344" s="10">
        <f>IF($AF344="","",INDEX(입력_파견수련계획!$S$4:$S$803,$AF344))</f>
        <v/>
      </c>
      <c r="R344" s="10">
        <f>IF($AF344="","",INDEX(입력_파견수련계획!$U$4:$U$803,$AF344))</f>
        <v/>
      </c>
      <c r="S344" s="11">
        <f>IF($AF344="","",IF(INDEX(입력_파견수련계획!$H$4:$H$803,$AF344)="","",INDEX(입력_파견수련계획!$H$4:$H$803,$AF344)))</f>
        <v/>
      </c>
      <c r="T344" s="11">
        <f>IF($AF344="","",IF(INDEX(입력_파견수련계획!$I$4:$I$803,$AF344)="","",INDEX(입력_파견수련계획!$I$4:$I$803,$AF344)))</f>
        <v/>
      </c>
      <c r="U344" s="10">
        <f>IF($AF344="","",INDEX(입력_파견수련계획!$X$4:$X$803,$AF344))</f>
        <v/>
      </c>
      <c r="V344" s="17">
        <f>IF($AF344="","",INDEX(입력_파견수련계획!$V$4:$V$803,$AF344))</f>
        <v/>
      </c>
      <c r="W344" s="17">
        <f>IF(AND($U344="파견중",$T344&lt;&gt;""),$T344-TODAY(),"")</f>
        <v/>
      </c>
      <c r="X344" s="17">
        <f>IF(OR($B344="",TRIM($J344&amp;"")=""),"",SUMPRODUCT((입력_파견수련계획!$Q$4:$Q$803=TRIM($J344&amp;""))*입력_파견수련계획!$W$4:$W$803))</f>
        <v/>
      </c>
      <c r="Y344" s="10">
        <f>IF($B344="","",IF($AG344="","",IF(IF(TRIM($J344&amp;"")="",0,SUMPRODUCT((입력_파견수련계획!$Q$4:$Q$803=TRIM($J344&amp;""))*입력_파견수련계획!$AD$4:$AD$803))&gt;0,$AE344,IF(AND(N($X344)&lt;=0,$AQ344=""),$AG344,IF($AH344+$AI344=DAY(EOMONTH(출력_요약!$B$3,0)),IF(AND($AH344&gt;=출력_요약!$E$3,$AI344&lt;출력_요약!$E$3),"서울병원",IF(AND($AI344&gt;=출력_요약!$E$3,$AH344&lt;출력_요약!$E$3),"구리병원","⚠15일 판정불가(서울 "&amp;$AH344&amp;"일/구리 "&amp;$AI344&amp;"일)")),IF($AJ344="",$AE344,IF(INDEX(입력_파견수련계획!$T$4:$T$803,$AJ344)="통합수련",INDEX(입력_파견수련계획!$S$4:$S$803,$AJ344),$AE344)))))))</f>
        <v/>
      </c>
      <c r="Z344" s="20">
        <f>IF($B344="","",IF($AB344="","기본자료에 없는 사번",IF(COUNTIF($B$2:$B$401,$B344)&gt;1,"중복 사번",IF($AE344="","소속(입사장소) 입력",IF(IF(TRIM($J344&amp;"")="",0,SUMPRODUCT((입력_파견수련계획!$Q$4:$Q$803=TRIM($J344&amp;""))*(입력_파견수련계획!$AA$4:$AA$803&lt;&gt;"")))&gt;0,"파견수련계획 입력오류 확인",IF(LEFT($Y344,1)="⚠","서울·구리 15일 판정 불가(양쪽 모두 이상/미만)",IF(IF($AC344="",0,N(INDEX(입력_인턴근무계획!$T$3:$T$402,$AC344)))&gt;0,"인턴계획 입력오류 확인",IF(AND($AQ344&lt;&gt;"",$AG344&lt;&gt;"구리병원",IF(TRIM($J344&amp;"")="",0,SUMPRODUCT((입력_파견수련계획!$Q$4:$Q$803=TRIM($J344&amp;""))*(입력_파견수련계획!$S$4:$S$803="구리병원")*입력_파견수련계획!$W$4:$W$803))=0),"구리 근무자명단에만 있음(파견수련계획 확인)",IF(AND($AC344&lt;&gt;"",$U344&lt;&gt;"파견중",$N344&lt;&gt;$AE344),"인턴 타지역 근무: 파견 여부 확인","정상")))))))))</f>
        <v/>
      </c>
      <c r="AA344" s="5" t="n"/>
      <c r="AB344" s="10">
        <f>IF($B344="","",IFERROR(MATCH($B344,입력_기본자료!$B$2:$B$1001,0),IFERROR(MATCH($B344&amp;"",입력_기본자료!$B$2:$B$1001,0),IFERROR(MATCH(VALUE($B344),입력_기본자료!$B$2:$B$1001,0),""))))</f>
        <v/>
      </c>
      <c r="AC344" s="10">
        <f>IF($B344="","",IFERROR(MATCH($B344,입력_인턴근무계획!$D$3:$D$402,0),IFERROR(MATCH($B344&amp;"",입력_인턴근무계획!$D$3:$D$402,0),IFERROR(MATCH(VALUE($B344),입력_인턴근무계획!$D$3:$D$402,0),""))))</f>
        <v/>
      </c>
      <c r="AD344" s="10">
        <f>IF(OR($AC344="",출력_인턴현황!$G$3=""),"",INDEX(입력_인턴근무계획!$M$3:$R$402,$AC344,출력_인턴현황!$G$3)&amp;"")</f>
        <v/>
      </c>
      <c r="AE344" s="10">
        <f>IF($B344="","",IF($M344&lt;&gt;"",$M344,IF(IF($AQ344="",FALSE,INDEX(출력_구리근무자!$J$6:$J$305,$AQ344)="구리독자"),"구리병원",IF($AF344&lt;&gt;"",IF(LEFT(INDEX(입력_파견수련계획!$R$4:$R$803,$AF344),1)&lt;&gt;"⚠",INDEX(입력_파견수련계획!$R$4:$R$803,$AF344),IF($H344="","",IF(RIGHT($H344,2)="병원",$H344,$H344&amp;"병원"))),IF($H344="","",IF(RIGHT($H344,2)="병원",$H344,$H344&amp;"병원"))))))</f>
        <v/>
      </c>
      <c r="AF344" s="10">
        <f>IF(OR($B344="",TRIM($J344&amp;"")=""),"",IFERROR(MATCH(TRIM($J344&amp;"")&amp;"|파견중",입력_파견수련계획!$Y$4:$Y$803,0),IFERROR(MATCH(TRIM($J344&amp;"")&amp;"|파견예정",입력_파견수련계획!$Y$4:$Y$803,0),IFERROR(MATCH(TRIM($J344&amp;"")&amp;"|파견종료",입력_파견수련계획!$Y$4:$Y$803,0),""))))</f>
        <v/>
      </c>
      <c r="AG344" s="10">
        <f>IF($B344="","",IF(AND(IF(OR($AC344="",출력_인턴현황!$K$2=""),"",INDEX(입력_인턴근무계획!$M$3:$R$402,$AC344,출력_인턴현황!$K$2)&amp;"")&lt;&gt;"",LEFT(IF(OR($AC344="",출력_인턴현황!$K$2=""),"",INDEX(입력_인턴근무계획!$M$3:$R$402,$AC344,출력_인턴현황!$K$2)&amp;""),1)&lt;&gt;"⚠"),LEFT(IF(OR($AC344="",출력_인턴현황!$K$2=""),"",INDEX(입력_인턴근무계획!$M$3:$R$402,$AC344,출력_인턴현황!$K$2)&amp;""),FIND(" ",IF(OR($AC344="",출력_인턴현황!$K$2=""),"",INDEX(입력_인턴근무계획!$M$3:$R$402,$AC344,출력_인턴현황!$K$2)&amp;""))-1),$AE344))</f>
        <v/>
      </c>
      <c r="AH344" s="17">
        <f>IF($B344="","",IF($AQ344&lt;&gt;"",MAX(0,DAY(EOMONTH(출력_요약!$B$3,0))-N($AR344)),IF(TRIM($J344&amp;"")="",0,SUMPRODUCT((입력_파견수련계획!$Q$4:$Q$803=TRIM($J344&amp;""))*(입력_파견수련계획!$S$4:$S$803="서울병원")*입력_파견수련계획!$W$4:$W$803))+IF($AG344="서울병원",MAX(0,DAY(EOMONTH(출력_요약!$B$3,0))-N($X344)),0)))</f>
        <v/>
      </c>
      <c r="AI344" s="17">
        <f>IF($B344="","",IF($AQ344&lt;&gt;"",N($AR344),IF(TRIM($J344&amp;"")="",0,SUMPRODUCT((입력_파견수련계획!$Q$4:$Q$803=TRIM($J344&amp;""))*(입력_파견수련계획!$S$4:$S$803="구리병원")*입력_파견수련계획!$W$4:$W$803))+IF($AG344="구리병원",MAX(0,DAY(EOMONTH(출력_요약!$B$3,0))-N($X344)),0)))</f>
        <v/>
      </c>
      <c r="AJ344" s="10">
        <f>IF(OR($B344="",TRIM($J344&amp;"")=""),"",IFERROR(MATCH(TRIM($J344&amp;"")&amp;"|월",입력_파견수련계획!$Z$4:$Z$803,0),""))</f>
        <v/>
      </c>
      <c r="AK344" s="10">
        <f>IF(OR($B344="",TRIM($J344&amp;"")=""),"",IFERROR(MATCH(TRIM($J344&amp;"")&amp;"|다기관",입력_파견수련계획!$AE$4:$AE$803,0),""))</f>
        <v/>
      </c>
      <c r="AL344" s="10">
        <f>IF($AK344="","","다기관 "&amp;TEXT(INDEX(입력_파견수련계획!$AB$4:$AB$803,$AK344),"yyyy-mm-dd")&amp;"~"&amp;IF(ISNUMBER(INDEX(입력_파견수련계획!$AC$4:$AC$803,$AK344)),TEXT(INDEX(입력_파견수련계획!$AC$4:$AC$803,$AK344),"yyyy-mm-dd"),""))</f>
        <v/>
      </c>
      <c r="AM344" s="10">
        <f>IF($Y344="서울병원",COUNTIF($Y$2:$Y344,"서울병원"),"")</f>
        <v/>
      </c>
      <c r="AN344" s="10">
        <f>IF(LEFT($Y344,1)="⚠",COUNTIF($Y$2:$Y344,"⚠*"),"")</f>
        <v/>
      </c>
      <c r="AO344" s="10">
        <f>IF(OR($B344="",$Y344=""),"",IF(IF(TRIM($J344&amp;"")="",0,SUMPRODUCT((입력_파견수련계획!$Q$4:$Q$803=TRIM($J344&amp;""))*입력_파견수련계획!$AD$4:$AD$803))&gt;0,"다기관 기간 → 소속병원 지급",IF(AND(N($X344)&lt;=0,$AQ344=""),"파견 없음 → 그 달 근무병원 지급",IF($AH344+$AI344=DAY(EOMONTH(출력_요약!$B$3,0)),"서울 "&amp;$AH344&amp;"일 / 구리 "&amp;$AI344&amp;"일"&amp;IF($AQ344&lt;&gt;""," (구리 근무자명단 반영)","")&amp;" → 15일 이상 근무 병원 지급","타 병원 포함 → "&amp;IF($AJ344="","소속",INDEX(입력_파견수련계획!$T$4:$T$803,$AJ344))&amp;" 규칙"))))</f>
        <v/>
      </c>
      <c r="AP344" s="10">
        <f>IF($B344="","",$C344&amp;"|"&amp;$F344)</f>
        <v/>
      </c>
      <c r="AQ344" s="10">
        <f>IF($B344="","",IFERROR(MATCH(ROW()-1,출력_구리근무자!$K$6:$K$305,0),""))</f>
        <v/>
      </c>
      <c r="AR344" s="10">
        <f>IF($AQ344="","",INDEX(출력_구리근무자!$H$6:$H$305,$AQ344))</f>
        <v/>
      </c>
    </row>
    <row r="345">
      <c r="A345" s="10">
        <f>IF(B345="","",ROW()-1)</f>
        <v/>
      </c>
      <c r="B345" s="19" t="n"/>
      <c r="C345" s="10">
        <f>IF($AB345="","",IF(INDEX(입력_기본자료!$C$2:$C$1001,$AB345)="","",INDEX(입력_기본자료!$C$2:$C$1001,$AB345)))</f>
        <v/>
      </c>
      <c r="D345" s="10">
        <f>IF($AB345="","",IF(INDEX(입력_기본자료!$J$2:$J$1001,$AB345)="","",INDEX(입력_기본자료!$J$2:$J$1001,$AB345)))</f>
        <v/>
      </c>
      <c r="E345" s="11">
        <f>IF($AB345="","",IF(INDEX(입력_기본자료!$K$2:$K$1001,$AB345)="","",IF(NOT(ISNUMBER(INDEX(입력_기본자료!$K$2:$K$1001,$AB345))),INDEX(입력_기본자료!$K$2:$K$1001,$AB345),IF(INDEX(입력_기본자료!$K$2:$K$1001,$AB345)&lt;1000000,INDEX(입력_기본자료!$K$2:$K$1001,$AB345),IF(AND(INDEX(입력_기본자료!$K$2:$K$1001,$AB345)&gt;=10000101,INT(MOD(INDEX(입력_기본자료!$K$2:$K$1001,$AB345),10000)/100)&gt;=1,INT(MOD(INDEX(입력_기본자료!$K$2:$K$1001,$AB345),10000)/100)&lt;=12,MOD(INDEX(입력_기본자료!$K$2:$K$1001,$AB345),100)&gt;=1,MOD(INDEX(입력_기본자료!$K$2:$K$1001,$AB345),100)&lt;=31),DATE(INT(INDEX(입력_기본자료!$K$2:$K$1001,$AB345)/10000),INT(MOD(INDEX(입력_기본자료!$K$2:$K$1001,$AB345),10000)/100),MOD(INDEX(입력_기본자료!$K$2:$K$1001,$AB345),100)),INDEX(입력_기본자료!$K$2:$K$1001,$AB345)&amp;"")))))</f>
        <v/>
      </c>
      <c r="F345" s="10">
        <f>IF($AB345="","",IF(INDEX(입력_기본자료!$D$2:$D$1001,$AB345)="","",INDEX(입력_기본자료!$D$2:$D$1001,$AB345)))</f>
        <v/>
      </c>
      <c r="G345" s="10">
        <f>IF($AB345="","",IF(INDEX(입력_기본자료!$E$2:$E$1001,$AB345)="","",INDEX(입력_기본자료!$E$2:$E$1001,$AB345)))</f>
        <v/>
      </c>
      <c r="H345" s="10">
        <f>IF($AB345="","",IF(INDEX(입력_기본자료!$F$2:$F$1001,$AB345)="","",INDEX(입력_기본자료!$F$2:$F$1001,$AB345)))</f>
        <v/>
      </c>
      <c r="I345" s="11">
        <f>IF($AB345="","",IF(INDEX(입력_기본자료!$G$2:$G$1001,$AB345)="","",IF(NOT(ISNUMBER(INDEX(입력_기본자료!$G$2:$G$1001,$AB345))),INDEX(입력_기본자료!$G$2:$G$1001,$AB345),IF(INDEX(입력_기본자료!$G$2:$G$1001,$AB345)&lt;1000000,INDEX(입력_기본자료!$G$2:$G$1001,$AB345),IF(AND(INDEX(입력_기본자료!$G$2:$G$1001,$AB345)&gt;=10000101,INT(MOD(INDEX(입력_기본자료!$G$2:$G$1001,$AB345),10000)/100)&gt;=1,INT(MOD(INDEX(입력_기본자료!$G$2:$G$1001,$AB345),10000)/100)&lt;=12,MOD(INDEX(입력_기본자료!$G$2:$G$1001,$AB345),100)&gt;=1,MOD(INDEX(입력_기본자료!$G$2:$G$1001,$AB345),100)&lt;=31),DATE(INT(INDEX(입력_기본자료!$G$2:$G$1001,$AB345)/10000),INT(MOD(INDEX(입력_기본자료!$G$2:$G$1001,$AB345),10000)/100),MOD(INDEX(입력_기본자료!$G$2:$G$1001,$AB345),100)),INDEX(입력_기본자료!$G$2:$G$1001,$AB345)&amp;"")))))</f>
        <v/>
      </c>
      <c r="J345" s="10">
        <f>IF($AB345="","",IF(INDEX(입력_기본자료!$H$2:$H$1001,$AB345)="","",INDEX(입력_기본자료!$H$2:$H$1001,$AB345)))</f>
        <v/>
      </c>
      <c r="K345" s="10">
        <f>IF($AB345="","",IF(INDEX(입력_기본자료!$I$2:$I$1001,$AB345)="","",INDEX(입력_기본자료!$I$2:$I$1001,$AB345)))</f>
        <v/>
      </c>
      <c r="L345" s="10">
        <f>IF($AB345="","",IF(INDEX(입력_기본자료!$A$2:$A$1001,$AB345)="","",INDEX(입력_기본자료!$A$2:$A$1001,$AB345)))</f>
        <v/>
      </c>
      <c r="M345" s="15" t="n"/>
      <c r="N345" s="10">
        <f>IF($B345="","",IF(AND($U345="파견중",$Q345&lt;&gt;""),$Q345,IF(AND($AD345&lt;&gt;"",LEFT($AD345,1)&lt;&gt;"⚠"),LEFT($AD345,FIND(" ",$AD345)-1),IF($H345="","",IF(RIGHT($H345,2)="병원",$H345,$H345&amp;"병원")))))</f>
        <v/>
      </c>
      <c r="O345" s="10">
        <f>IF($B345="","",IF(AND($U345="파견중",$Q345&lt;&gt;""),IF($R345&lt;&gt;"",$R345,"파견과 미입력"),IF(AND($AD345&lt;&gt;"",LEFT($AD345,1)&lt;&gt;"⚠"),MID($AD345,FIND(" ",$AD345)+1,60),IF($F345="","",IF($F345="인턴","수련교육부(인턴)",$F345)))))</f>
        <v/>
      </c>
      <c r="P345" s="10">
        <f>IF($B345="","",IF($AK345&lt;&gt;"",IF(AND(TODAY()&gt;=INDEX(입력_파견수련계획!$AB$4:$AB$803,$AK345),OR(NOT(ISNUMBER(INDEX(입력_파견수련계획!$AC$4:$AC$803,$AK345))),TODAY()&lt;=INDEX(입력_파견수련계획!$AC$4:$AC$803,$AK345))),"다기관",IF($AF345="","",INDEX(입력_파견수련계획!$T$4:$T$803,$AF345))),IF($AF345="","",INDEX(입력_파견수련계획!$T$4:$T$803,$AF345))))</f>
        <v/>
      </c>
      <c r="Q345" s="10">
        <f>IF($AF345="","",INDEX(입력_파견수련계획!$S$4:$S$803,$AF345))</f>
        <v/>
      </c>
      <c r="R345" s="10">
        <f>IF($AF345="","",INDEX(입력_파견수련계획!$U$4:$U$803,$AF345))</f>
        <v/>
      </c>
      <c r="S345" s="11">
        <f>IF($AF345="","",IF(INDEX(입력_파견수련계획!$H$4:$H$803,$AF345)="","",INDEX(입력_파견수련계획!$H$4:$H$803,$AF345)))</f>
        <v/>
      </c>
      <c r="T345" s="11">
        <f>IF($AF345="","",IF(INDEX(입력_파견수련계획!$I$4:$I$803,$AF345)="","",INDEX(입력_파견수련계획!$I$4:$I$803,$AF345)))</f>
        <v/>
      </c>
      <c r="U345" s="10">
        <f>IF($AF345="","",INDEX(입력_파견수련계획!$X$4:$X$803,$AF345))</f>
        <v/>
      </c>
      <c r="V345" s="17">
        <f>IF($AF345="","",INDEX(입력_파견수련계획!$V$4:$V$803,$AF345))</f>
        <v/>
      </c>
      <c r="W345" s="17">
        <f>IF(AND($U345="파견중",$T345&lt;&gt;""),$T345-TODAY(),"")</f>
        <v/>
      </c>
      <c r="X345" s="17">
        <f>IF(OR($B345="",TRIM($J345&amp;"")=""),"",SUMPRODUCT((입력_파견수련계획!$Q$4:$Q$803=TRIM($J345&amp;""))*입력_파견수련계획!$W$4:$W$803))</f>
        <v/>
      </c>
      <c r="Y345" s="10">
        <f>IF($B345="","",IF($AG345="","",IF(IF(TRIM($J345&amp;"")="",0,SUMPRODUCT((입력_파견수련계획!$Q$4:$Q$803=TRIM($J345&amp;""))*입력_파견수련계획!$AD$4:$AD$803))&gt;0,$AE345,IF(AND(N($X345)&lt;=0,$AQ345=""),$AG345,IF($AH345+$AI345=DAY(EOMONTH(출력_요약!$B$3,0)),IF(AND($AH345&gt;=출력_요약!$E$3,$AI345&lt;출력_요약!$E$3),"서울병원",IF(AND($AI345&gt;=출력_요약!$E$3,$AH345&lt;출력_요약!$E$3),"구리병원","⚠15일 판정불가(서울 "&amp;$AH345&amp;"일/구리 "&amp;$AI345&amp;"일)")),IF($AJ345="",$AE345,IF(INDEX(입력_파견수련계획!$T$4:$T$803,$AJ345)="통합수련",INDEX(입력_파견수련계획!$S$4:$S$803,$AJ345),$AE345)))))))</f>
        <v/>
      </c>
      <c r="Z345" s="20">
        <f>IF($B345="","",IF($AB345="","기본자료에 없는 사번",IF(COUNTIF($B$2:$B$401,$B345)&gt;1,"중복 사번",IF($AE345="","소속(입사장소) 입력",IF(IF(TRIM($J345&amp;"")="",0,SUMPRODUCT((입력_파견수련계획!$Q$4:$Q$803=TRIM($J345&amp;""))*(입력_파견수련계획!$AA$4:$AA$803&lt;&gt;"")))&gt;0,"파견수련계획 입력오류 확인",IF(LEFT($Y345,1)="⚠","서울·구리 15일 판정 불가(양쪽 모두 이상/미만)",IF(IF($AC345="",0,N(INDEX(입력_인턴근무계획!$T$3:$T$402,$AC345)))&gt;0,"인턴계획 입력오류 확인",IF(AND($AQ345&lt;&gt;"",$AG345&lt;&gt;"구리병원",IF(TRIM($J345&amp;"")="",0,SUMPRODUCT((입력_파견수련계획!$Q$4:$Q$803=TRIM($J345&amp;""))*(입력_파견수련계획!$S$4:$S$803="구리병원")*입력_파견수련계획!$W$4:$W$803))=0),"구리 근무자명단에만 있음(파견수련계획 확인)",IF(AND($AC345&lt;&gt;"",$U345&lt;&gt;"파견중",$N345&lt;&gt;$AE345),"인턴 타지역 근무: 파견 여부 확인","정상")))))))))</f>
        <v/>
      </c>
      <c r="AA345" s="5" t="n"/>
      <c r="AB345" s="10">
        <f>IF($B345="","",IFERROR(MATCH($B345,입력_기본자료!$B$2:$B$1001,0),IFERROR(MATCH($B345&amp;"",입력_기본자료!$B$2:$B$1001,0),IFERROR(MATCH(VALUE($B345),입력_기본자료!$B$2:$B$1001,0),""))))</f>
        <v/>
      </c>
      <c r="AC345" s="10">
        <f>IF($B345="","",IFERROR(MATCH($B345,입력_인턴근무계획!$D$3:$D$402,0),IFERROR(MATCH($B345&amp;"",입력_인턴근무계획!$D$3:$D$402,0),IFERROR(MATCH(VALUE($B345),입력_인턴근무계획!$D$3:$D$402,0),""))))</f>
        <v/>
      </c>
      <c r="AD345" s="10">
        <f>IF(OR($AC345="",출력_인턴현황!$G$3=""),"",INDEX(입력_인턴근무계획!$M$3:$R$402,$AC345,출력_인턴현황!$G$3)&amp;"")</f>
        <v/>
      </c>
      <c r="AE345" s="10">
        <f>IF($B345="","",IF($M345&lt;&gt;"",$M345,IF(IF($AQ345="",FALSE,INDEX(출력_구리근무자!$J$6:$J$305,$AQ345)="구리독자"),"구리병원",IF($AF345&lt;&gt;"",IF(LEFT(INDEX(입력_파견수련계획!$R$4:$R$803,$AF345),1)&lt;&gt;"⚠",INDEX(입력_파견수련계획!$R$4:$R$803,$AF345),IF($H345="","",IF(RIGHT($H345,2)="병원",$H345,$H345&amp;"병원"))),IF($H345="","",IF(RIGHT($H345,2)="병원",$H345,$H345&amp;"병원"))))))</f>
        <v/>
      </c>
      <c r="AF345" s="10">
        <f>IF(OR($B345="",TRIM($J345&amp;"")=""),"",IFERROR(MATCH(TRIM($J345&amp;"")&amp;"|파견중",입력_파견수련계획!$Y$4:$Y$803,0),IFERROR(MATCH(TRIM($J345&amp;"")&amp;"|파견예정",입력_파견수련계획!$Y$4:$Y$803,0),IFERROR(MATCH(TRIM($J345&amp;"")&amp;"|파견종료",입력_파견수련계획!$Y$4:$Y$803,0),""))))</f>
        <v/>
      </c>
      <c r="AG345" s="10">
        <f>IF($B345="","",IF(AND(IF(OR($AC345="",출력_인턴현황!$K$2=""),"",INDEX(입력_인턴근무계획!$M$3:$R$402,$AC345,출력_인턴현황!$K$2)&amp;"")&lt;&gt;"",LEFT(IF(OR($AC345="",출력_인턴현황!$K$2=""),"",INDEX(입력_인턴근무계획!$M$3:$R$402,$AC345,출력_인턴현황!$K$2)&amp;""),1)&lt;&gt;"⚠"),LEFT(IF(OR($AC345="",출력_인턴현황!$K$2=""),"",INDEX(입력_인턴근무계획!$M$3:$R$402,$AC345,출력_인턴현황!$K$2)&amp;""),FIND(" ",IF(OR($AC345="",출력_인턴현황!$K$2=""),"",INDEX(입력_인턴근무계획!$M$3:$R$402,$AC345,출력_인턴현황!$K$2)&amp;""))-1),$AE345))</f>
        <v/>
      </c>
      <c r="AH345" s="17">
        <f>IF($B345="","",IF($AQ345&lt;&gt;"",MAX(0,DAY(EOMONTH(출력_요약!$B$3,0))-N($AR345)),IF(TRIM($J345&amp;"")="",0,SUMPRODUCT((입력_파견수련계획!$Q$4:$Q$803=TRIM($J345&amp;""))*(입력_파견수련계획!$S$4:$S$803="서울병원")*입력_파견수련계획!$W$4:$W$803))+IF($AG345="서울병원",MAX(0,DAY(EOMONTH(출력_요약!$B$3,0))-N($X345)),0)))</f>
        <v/>
      </c>
      <c r="AI345" s="17">
        <f>IF($B345="","",IF($AQ345&lt;&gt;"",N($AR345),IF(TRIM($J345&amp;"")="",0,SUMPRODUCT((입력_파견수련계획!$Q$4:$Q$803=TRIM($J345&amp;""))*(입력_파견수련계획!$S$4:$S$803="구리병원")*입력_파견수련계획!$W$4:$W$803))+IF($AG345="구리병원",MAX(0,DAY(EOMONTH(출력_요약!$B$3,0))-N($X345)),0)))</f>
        <v/>
      </c>
      <c r="AJ345" s="10">
        <f>IF(OR($B345="",TRIM($J345&amp;"")=""),"",IFERROR(MATCH(TRIM($J345&amp;"")&amp;"|월",입력_파견수련계획!$Z$4:$Z$803,0),""))</f>
        <v/>
      </c>
      <c r="AK345" s="10">
        <f>IF(OR($B345="",TRIM($J345&amp;"")=""),"",IFERROR(MATCH(TRIM($J345&amp;"")&amp;"|다기관",입력_파견수련계획!$AE$4:$AE$803,0),""))</f>
        <v/>
      </c>
      <c r="AL345" s="10">
        <f>IF($AK345="","","다기관 "&amp;TEXT(INDEX(입력_파견수련계획!$AB$4:$AB$803,$AK345),"yyyy-mm-dd")&amp;"~"&amp;IF(ISNUMBER(INDEX(입력_파견수련계획!$AC$4:$AC$803,$AK345)),TEXT(INDEX(입력_파견수련계획!$AC$4:$AC$803,$AK345),"yyyy-mm-dd"),""))</f>
        <v/>
      </c>
      <c r="AM345" s="10">
        <f>IF($Y345="서울병원",COUNTIF($Y$2:$Y345,"서울병원"),"")</f>
        <v/>
      </c>
      <c r="AN345" s="10">
        <f>IF(LEFT($Y345,1)="⚠",COUNTIF($Y$2:$Y345,"⚠*"),"")</f>
        <v/>
      </c>
      <c r="AO345" s="10">
        <f>IF(OR($B345="",$Y345=""),"",IF(IF(TRIM($J345&amp;"")="",0,SUMPRODUCT((입력_파견수련계획!$Q$4:$Q$803=TRIM($J345&amp;""))*입력_파견수련계획!$AD$4:$AD$803))&gt;0,"다기관 기간 → 소속병원 지급",IF(AND(N($X345)&lt;=0,$AQ345=""),"파견 없음 → 그 달 근무병원 지급",IF($AH345+$AI345=DAY(EOMONTH(출력_요약!$B$3,0)),"서울 "&amp;$AH345&amp;"일 / 구리 "&amp;$AI345&amp;"일"&amp;IF($AQ345&lt;&gt;""," (구리 근무자명단 반영)","")&amp;" → 15일 이상 근무 병원 지급","타 병원 포함 → "&amp;IF($AJ345="","소속",INDEX(입력_파견수련계획!$T$4:$T$803,$AJ345))&amp;" 규칙"))))</f>
        <v/>
      </c>
      <c r="AP345" s="10">
        <f>IF($B345="","",$C345&amp;"|"&amp;$F345)</f>
        <v/>
      </c>
      <c r="AQ345" s="10">
        <f>IF($B345="","",IFERROR(MATCH(ROW()-1,출력_구리근무자!$K$6:$K$305,0),""))</f>
        <v/>
      </c>
      <c r="AR345" s="10">
        <f>IF($AQ345="","",INDEX(출력_구리근무자!$H$6:$H$305,$AQ345))</f>
        <v/>
      </c>
    </row>
    <row r="346">
      <c r="A346" s="10">
        <f>IF(B346="","",ROW()-1)</f>
        <v/>
      </c>
      <c r="B346" s="19" t="n"/>
      <c r="C346" s="10">
        <f>IF($AB346="","",IF(INDEX(입력_기본자료!$C$2:$C$1001,$AB346)="","",INDEX(입력_기본자료!$C$2:$C$1001,$AB346)))</f>
        <v/>
      </c>
      <c r="D346" s="10">
        <f>IF($AB346="","",IF(INDEX(입력_기본자료!$J$2:$J$1001,$AB346)="","",INDEX(입력_기본자료!$J$2:$J$1001,$AB346)))</f>
        <v/>
      </c>
      <c r="E346" s="11">
        <f>IF($AB346="","",IF(INDEX(입력_기본자료!$K$2:$K$1001,$AB346)="","",IF(NOT(ISNUMBER(INDEX(입력_기본자료!$K$2:$K$1001,$AB346))),INDEX(입력_기본자료!$K$2:$K$1001,$AB346),IF(INDEX(입력_기본자료!$K$2:$K$1001,$AB346)&lt;1000000,INDEX(입력_기본자료!$K$2:$K$1001,$AB346),IF(AND(INDEX(입력_기본자료!$K$2:$K$1001,$AB346)&gt;=10000101,INT(MOD(INDEX(입력_기본자료!$K$2:$K$1001,$AB346),10000)/100)&gt;=1,INT(MOD(INDEX(입력_기본자료!$K$2:$K$1001,$AB346),10000)/100)&lt;=12,MOD(INDEX(입력_기본자료!$K$2:$K$1001,$AB346),100)&gt;=1,MOD(INDEX(입력_기본자료!$K$2:$K$1001,$AB346),100)&lt;=31),DATE(INT(INDEX(입력_기본자료!$K$2:$K$1001,$AB346)/10000),INT(MOD(INDEX(입력_기본자료!$K$2:$K$1001,$AB346),10000)/100),MOD(INDEX(입력_기본자료!$K$2:$K$1001,$AB346),100)),INDEX(입력_기본자료!$K$2:$K$1001,$AB346)&amp;"")))))</f>
        <v/>
      </c>
      <c r="F346" s="10">
        <f>IF($AB346="","",IF(INDEX(입력_기본자료!$D$2:$D$1001,$AB346)="","",INDEX(입력_기본자료!$D$2:$D$1001,$AB346)))</f>
        <v/>
      </c>
      <c r="G346" s="10">
        <f>IF($AB346="","",IF(INDEX(입력_기본자료!$E$2:$E$1001,$AB346)="","",INDEX(입력_기본자료!$E$2:$E$1001,$AB346)))</f>
        <v/>
      </c>
      <c r="H346" s="10">
        <f>IF($AB346="","",IF(INDEX(입력_기본자료!$F$2:$F$1001,$AB346)="","",INDEX(입력_기본자료!$F$2:$F$1001,$AB346)))</f>
        <v/>
      </c>
      <c r="I346" s="11">
        <f>IF($AB346="","",IF(INDEX(입력_기본자료!$G$2:$G$1001,$AB346)="","",IF(NOT(ISNUMBER(INDEX(입력_기본자료!$G$2:$G$1001,$AB346))),INDEX(입력_기본자료!$G$2:$G$1001,$AB346),IF(INDEX(입력_기본자료!$G$2:$G$1001,$AB346)&lt;1000000,INDEX(입력_기본자료!$G$2:$G$1001,$AB346),IF(AND(INDEX(입력_기본자료!$G$2:$G$1001,$AB346)&gt;=10000101,INT(MOD(INDEX(입력_기본자료!$G$2:$G$1001,$AB346),10000)/100)&gt;=1,INT(MOD(INDEX(입력_기본자료!$G$2:$G$1001,$AB346),10000)/100)&lt;=12,MOD(INDEX(입력_기본자료!$G$2:$G$1001,$AB346),100)&gt;=1,MOD(INDEX(입력_기본자료!$G$2:$G$1001,$AB346),100)&lt;=31),DATE(INT(INDEX(입력_기본자료!$G$2:$G$1001,$AB346)/10000),INT(MOD(INDEX(입력_기본자료!$G$2:$G$1001,$AB346),10000)/100),MOD(INDEX(입력_기본자료!$G$2:$G$1001,$AB346),100)),INDEX(입력_기본자료!$G$2:$G$1001,$AB346)&amp;"")))))</f>
        <v/>
      </c>
      <c r="J346" s="10">
        <f>IF($AB346="","",IF(INDEX(입력_기본자료!$H$2:$H$1001,$AB346)="","",INDEX(입력_기본자료!$H$2:$H$1001,$AB346)))</f>
        <v/>
      </c>
      <c r="K346" s="10">
        <f>IF($AB346="","",IF(INDEX(입력_기본자료!$I$2:$I$1001,$AB346)="","",INDEX(입력_기본자료!$I$2:$I$1001,$AB346)))</f>
        <v/>
      </c>
      <c r="L346" s="10">
        <f>IF($AB346="","",IF(INDEX(입력_기본자료!$A$2:$A$1001,$AB346)="","",INDEX(입력_기본자료!$A$2:$A$1001,$AB346)))</f>
        <v/>
      </c>
      <c r="M346" s="15" t="n"/>
      <c r="N346" s="10">
        <f>IF($B346="","",IF(AND($U346="파견중",$Q346&lt;&gt;""),$Q346,IF(AND($AD346&lt;&gt;"",LEFT($AD346,1)&lt;&gt;"⚠"),LEFT($AD346,FIND(" ",$AD346)-1),IF($H346="","",IF(RIGHT($H346,2)="병원",$H346,$H346&amp;"병원")))))</f>
        <v/>
      </c>
      <c r="O346" s="10">
        <f>IF($B346="","",IF(AND($U346="파견중",$Q346&lt;&gt;""),IF($R346&lt;&gt;"",$R346,"파견과 미입력"),IF(AND($AD346&lt;&gt;"",LEFT($AD346,1)&lt;&gt;"⚠"),MID($AD346,FIND(" ",$AD346)+1,60),IF($F346="","",IF($F346="인턴","수련교육부(인턴)",$F346)))))</f>
        <v/>
      </c>
      <c r="P346" s="10">
        <f>IF($B346="","",IF($AK346&lt;&gt;"",IF(AND(TODAY()&gt;=INDEX(입력_파견수련계획!$AB$4:$AB$803,$AK346),OR(NOT(ISNUMBER(INDEX(입력_파견수련계획!$AC$4:$AC$803,$AK346))),TODAY()&lt;=INDEX(입력_파견수련계획!$AC$4:$AC$803,$AK346))),"다기관",IF($AF346="","",INDEX(입력_파견수련계획!$T$4:$T$803,$AF346))),IF($AF346="","",INDEX(입력_파견수련계획!$T$4:$T$803,$AF346))))</f>
        <v/>
      </c>
      <c r="Q346" s="10">
        <f>IF($AF346="","",INDEX(입력_파견수련계획!$S$4:$S$803,$AF346))</f>
        <v/>
      </c>
      <c r="R346" s="10">
        <f>IF($AF346="","",INDEX(입력_파견수련계획!$U$4:$U$803,$AF346))</f>
        <v/>
      </c>
      <c r="S346" s="11">
        <f>IF($AF346="","",IF(INDEX(입력_파견수련계획!$H$4:$H$803,$AF346)="","",INDEX(입력_파견수련계획!$H$4:$H$803,$AF346)))</f>
        <v/>
      </c>
      <c r="T346" s="11">
        <f>IF($AF346="","",IF(INDEX(입력_파견수련계획!$I$4:$I$803,$AF346)="","",INDEX(입력_파견수련계획!$I$4:$I$803,$AF346)))</f>
        <v/>
      </c>
      <c r="U346" s="10">
        <f>IF($AF346="","",INDEX(입력_파견수련계획!$X$4:$X$803,$AF346))</f>
        <v/>
      </c>
      <c r="V346" s="17">
        <f>IF($AF346="","",INDEX(입력_파견수련계획!$V$4:$V$803,$AF346))</f>
        <v/>
      </c>
      <c r="W346" s="17">
        <f>IF(AND($U346="파견중",$T346&lt;&gt;""),$T346-TODAY(),"")</f>
        <v/>
      </c>
      <c r="X346" s="17">
        <f>IF(OR($B346="",TRIM($J346&amp;"")=""),"",SUMPRODUCT((입력_파견수련계획!$Q$4:$Q$803=TRIM($J346&amp;""))*입력_파견수련계획!$W$4:$W$803))</f>
        <v/>
      </c>
      <c r="Y346" s="10">
        <f>IF($B346="","",IF($AG346="","",IF(IF(TRIM($J346&amp;"")="",0,SUMPRODUCT((입력_파견수련계획!$Q$4:$Q$803=TRIM($J346&amp;""))*입력_파견수련계획!$AD$4:$AD$803))&gt;0,$AE346,IF(AND(N($X346)&lt;=0,$AQ346=""),$AG346,IF($AH346+$AI346=DAY(EOMONTH(출력_요약!$B$3,0)),IF(AND($AH346&gt;=출력_요약!$E$3,$AI346&lt;출력_요약!$E$3),"서울병원",IF(AND($AI346&gt;=출력_요약!$E$3,$AH346&lt;출력_요약!$E$3),"구리병원","⚠15일 판정불가(서울 "&amp;$AH346&amp;"일/구리 "&amp;$AI346&amp;"일)")),IF($AJ346="",$AE346,IF(INDEX(입력_파견수련계획!$T$4:$T$803,$AJ346)="통합수련",INDEX(입력_파견수련계획!$S$4:$S$803,$AJ346),$AE346)))))))</f>
        <v/>
      </c>
      <c r="Z346" s="20">
        <f>IF($B346="","",IF($AB346="","기본자료에 없는 사번",IF(COUNTIF($B$2:$B$401,$B346)&gt;1,"중복 사번",IF($AE346="","소속(입사장소) 입력",IF(IF(TRIM($J346&amp;"")="",0,SUMPRODUCT((입력_파견수련계획!$Q$4:$Q$803=TRIM($J346&amp;""))*(입력_파견수련계획!$AA$4:$AA$803&lt;&gt;"")))&gt;0,"파견수련계획 입력오류 확인",IF(LEFT($Y346,1)="⚠","서울·구리 15일 판정 불가(양쪽 모두 이상/미만)",IF(IF($AC346="",0,N(INDEX(입력_인턴근무계획!$T$3:$T$402,$AC346)))&gt;0,"인턴계획 입력오류 확인",IF(AND($AQ346&lt;&gt;"",$AG346&lt;&gt;"구리병원",IF(TRIM($J346&amp;"")="",0,SUMPRODUCT((입력_파견수련계획!$Q$4:$Q$803=TRIM($J346&amp;""))*(입력_파견수련계획!$S$4:$S$803="구리병원")*입력_파견수련계획!$W$4:$W$803))=0),"구리 근무자명단에만 있음(파견수련계획 확인)",IF(AND($AC346&lt;&gt;"",$U346&lt;&gt;"파견중",$N346&lt;&gt;$AE346),"인턴 타지역 근무: 파견 여부 확인","정상")))))))))</f>
        <v/>
      </c>
      <c r="AA346" s="5" t="n"/>
      <c r="AB346" s="10">
        <f>IF($B346="","",IFERROR(MATCH($B346,입력_기본자료!$B$2:$B$1001,0),IFERROR(MATCH($B346&amp;"",입력_기본자료!$B$2:$B$1001,0),IFERROR(MATCH(VALUE($B346),입력_기본자료!$B$2:$B$1001,0),""))))</f>
        <v/>
      </c>
      <c r="AC346" s="10">
        <f>IF($B346="","",IFERROR(MATCH($B346,입력_인턴근무계획!$D$3:$D$402,0),IFERROR(MATCH($B346&amp;"",입력_인턴근무계획!$D$3:$D$402,0),IFERROR(MATCH(VALUE($B346),입력_인턴근무계획!$D$3:$D$402,0),""))))</f>
        <v/>
      </c>
      <c r="AD346" s="10">
        <f>IF(OR($AC346="",출력_인턴현황!$G$3=""),"",INDEX(입력_인턴근무계획!$M$3:$R$402,$AC346,출력_인턴현황!$G$3)&amp;"")</f>
        <v/>
      </c>
      <c r="AE346" s="10">
        <f>IF($B346="","",IF($M346&lt;&gt;"",$M346,IF(IF($AQ346="",FALSE,INDEX(출력_구리근무자!$J$6:$J$305,$AQ346)="구리독자"),"구리병원",IF($AF346&lt;&gt;"",IF(LEFT(INDEX(입력_파견수련계획!$R$4:$R$803,$AF346),1)&lt;&gt;"⚠",INDEX(입력_파견수련계획!$R$4:$R$803,$AF346),IF($H346="","",IF(RIGHT($H346,2)="병원",$H346,$H346&amp;"병원"))),IF($H346="","",IF(RIGHT($H346,2)="병원",$H346,$H346&amp;"병원"))))))</f>
        <v/>
      </c>
      <c r="AF346" s="10">
        <f>IF(OR($B346="",TRIM($J346&amp;"")=""),"",IFERROR(MATCH(TRIM($J346&amp;"")&amp;"|파견중",입력_파견수련계획!$Y$4:$Y$803,0),IFERROR(MATCH(TRIM($J346&amp;"")&amp;"|파견예정",입력_파견수련계획!$Y$4:$Y$803,0),IFERROR(MATCH(TRIM($J346&amp;"")&amp;"|파견종료",입력_파견수련계획!$Y$4:$Y$803,0),""))))</f>
        <v/>
      </c>
      <c r="AG346" s="10">
        <f>IF($B346="","",IF(AND(IF(OR($AC346="",출력_인턴현황!$K$2=""),"",INDEX(입력_인턴근무계획!$M$3:$R$402,$AC346,출력_인턴현황!$K$2)&amp;"")&lt;&gt;"",LEFT(IF(OR($AC346="",출력_인턴현황!$K$2=""),"",INDEX(입력_인턴근무계획!$M$3:$R$402,$AC346,출력_인턴현황!$K$2)&amp;""),1)&lt;&gt;"⚠"),LEFT(IF(OR($AC346="",출력_인턴현황!$K$2=""),"",INDEX(입력_인턴근무계획!$M$3:$R$402,$AC346,출력_인턴현황!$K$2)&amp;""),FIND(" ",IF(OR($AC346="",출력_인턴현황!$K$2=""),"",INDEX(입력_인턴근무계획!$M$3:$R$402,$AC346,출력_인턴현황!$K$2)&amp;""))-1),$AE346))</f>
        <v/>
      </c>
      <c r="AH346" s="17">
        <f>IF($B346="","",IF($AQ346&lt;&gt;"",MAX(0,DAY(EOMONTH(출력_요약!$B$3,0))-N($AR346)),IF(TRIM($J346&amp;"")="",0,SUMPRODUCT((입력_파견수련계획!$Q$4:$Q$803=TRIM($J346&amp;""))*(입력_파견수련계획!$S$4:$S$803="서울병원")*입력_파견수련계획!$W$4:$W$803))+IF($AG346="서울병원",MAX(0,DAY(EOMONTH(출력_요약!$B$3,0))-N($X346)),0)))</f>
        <v/>
      </c>
      <c r="AI346" s="17">
        <f>IF($B346="","",IF($AQ346&lt;&gt;"",N($AR346),IF(TRIM($J346&amp;"")="",0,SUMPRODUCT((입력_파견수련계획!$Q$4:$Q$803=TRIM($J346&amp;""))*(입력_파견수련계획!$S$4:$S$803="구리병원")*입력_파견수련계획!$W$4:$W$803))+IF($AG346="구리병원",MAX(0,DAY(EOMONTH(출력_요약!$B$3,0))-N($X346)),0)))</f>
        <v/>
      </c>
      <c r="AJ346" s="10">
        <f>IF(OR($B346="",TRIM($J346&amp;"")=""),"",IFERROR(MATCH(TRIM($J346&amp;"")&amp;"|월",입력_파견수련계획!$Z$4:$Z$803,0),""))</f>
        <v/>
      </c>
      <c r="AK346" s="10">
        <f>IF(OR($B346="",TRIM($J346&amp;"")=""),"",IFERROR(MATCH(TRIM($J346&amp;"")&amp;"|다기관",입력_파견수련계획!$AE$4:$AE$803,0),""))</f>
        <v/>
      </c>
      <c r="AL346" s="10">
        <f>IF($AK346="","","다기관 "&amp;TEXT(INDEX(입력_파견수련계획!$AB$4:$AB$803,$AK346),"yyyy-mm-dd")&amp;"~"&amp;IF(ISNUMBER(INDEX(입력_파견수련계획!$AC$4:$AC$803,$AK346)),TEXT(INDEX(입력_파견수련계획!$AC$4:$AC$803,$AK346),"yyyy-mm-dd"),""))</f>
        <v/>
      </c>
      <c r="AM346" s="10">
        <f>IF($Y346="서울병원",COUNTIF($Y$2:$Y346,"서울병원"),"")</f>
        <v/>
      </c>
      <c r="AN346" s="10">
        <f>IF(LEFT($Y346,1)="⚠",COUNTIF($Y$2:$Y346,"⚠*"),"")</f>
        <v/>
      </c>
      <c r="AO346" s="10">
        <f>IF(OR($B346="",$Y346=""),"",IF(IF(TRIM($J346&amp;"")="",0,SUMPRODUCT((입력_파견수련계획!$Q$4:$Q$803=TRIM($J346&amp;""))*입력_파견수련계획!$AD$4:$AD$803))&gt;0,"다기관 기간 → 소속병원 지급",IF(AND(N($X346)&lt;=0,$AQ346=""),"파견 없음 → 그 달 근무병원 지급",IF($AH346+$AI346=DAY(EOMONTH(출력_요약!$B$3,0)),"서울 "&amp;$AH346&amp;"일 / 구리 "&amp;$AI346&amp;"일"&amp;IF($AQ346&lt;&gt;""," (구리 근무자명단 반영)","")&amp;" → 15일 이상 근무 병원 지급","타 병원 포함 → "&amp;IF($AJ346="","소속",INDEX(입력_파견수련계획!$T$4:$T$803,$AJ346))&amp;" 규칙"))))</f>
        <v/>
      </c>
      <c r="AP346" s="10">
        <f>IF($B346="","",$C346&amp;"|"&amp;$F346)</f>
        <v/>
      </c>
      <c r="AQ346" s="10">
        <f>IF($B346="","",IFERROR(MATCH(ROW()-1,출력_구리근무자!$K$6:$K$305,0),""))</f>
        <v/>
      </c>
      <c r="AR346" s="10">
        <f>IF($AQ346="","",INDEX(출력_구리근무자!$H$6:$H$305,$AQ346))</f>
        <v/>
      </c>
    </row>
    <row r="347">
      <c r="A347" s="10">
        <f>IF(B347="","",ROW()-1)</f>
        <v/>
      </c>
      <c r="B347" s="19" t="n"/>
      <c r="C347" s="10">
        <f>IF($AB347="","",IF(INDEX(입력_기본자료!$C$2:$C$1001,$AB347)="","",INDEX(입력_기본자료!$C$2:$C$1001,$AB347)))</f>
        <v/>
      </c>
      <c r="D347" s="10">
        <f>IF($AB347="","",IF(INDEX(입력_기본자료!$J$2:$J$1001,$AB347)="","",INDEX(입력_기본자료!$J$2:$J$1001,$AB347)))</f>
        <v/>
      </c>
      <c r="E347" s="11">
        <f>IF($AB347="","",IF(INDEX(입력_기본자료!$K$2:$K$1001,$AB347)="","",IF(NOT(ISNUMBER(INDEX(입력_기본자료!$K$2:$K$1001,$AB347))),INDEX(입력_기본자료!$K$2:$K$1001,$AB347),IF(INDEX(입력_기본자료!$K$2:$K$1001,$AB347)&lt;1000000,INDEX(입력_기본자료!$K$2:$K$1001,$AB347),IF(AND(INDEX(입력_기본자료!$K$2:$K$1001,$AB347)&gt;=10000101,INT(MOD(INDEX(입력_기본자료!$K$2:$K$1001,$AB347),10000)/100)&gt;=1,INT(MOD(INDEX(입력_기본자료!$K$2:$K$1001,$AB347),10000)/100)&lt;=12,MOD(INDEX(입력_기본자료!$K$2:$K$1001,$AB347),100)&gt;=1,MOD(INDEX(입력_기본자료!$K$2:$K$1001,$AB347),100)&lt;=31),DATE(INT(INDEX(입력_기본자료!$K$2:$K$1001,$AB347)/10000),INT(MOD(INDEX(입력_기본자료!$K$2:$K$1001,$AB347),10000)/100),MOD(INDEX(입력_기본자료!$K$2:$K$1001,$AB347),100)),INDEX(입력_기본자료!$K$2:$K$1001,$AB347)&amp;"")))))</f>
        <v/>
      </c>
      <c r="F347" s="10">
        <f>IF($AB347="","",IF(INDEX(입력_기본자료!$D$2:$D$1001,$AB347)="","",INDEX(입력_기본자료!$D$2:$D$1001,$AB347)))</f>
        <v/>
      </c>
      <c r="G347" s="10">
        <f>IF($AB347="","",IF(INDEX(입력_기본자료!$E$2:$E$1001,$AB347)="","",INDEX(입력_기본자료!$E$2:$E$1001,$AB347)))</f>
        <v/>
      </c>
      <c r="H347" s="10">
        <f>IF($AB347="","",IF(INDEX(입력_기본자료!$F$2:$F$1001,$AB347)="","",INDEX(입력_기본자료!$F$2:$F$1001,$AB347)))</f>
        <v/>
      </c>
      <c r="I347" s="11">
        <f>IF($AB347="","",IF(INDEX(입력_기본자료!$G$2:$G$1001,$AB347)="","",IF(NOT(ISNUMBER(INDEX(입력_기본자료!$G$2:$G$1001,$AB347))),INDEX(입력_기본자료!$G$2:$G$1001,$AB347),IF(INDEX(입력_기본자료!$G$2:$G$1001,$AB347)&lt;1000000,INDEX(입력_기본자료!$G$2:$G$1001,$AB347),IF(AND(INDEX(입력_기본자료!$G$2:$G$1001,$AB347)&gt;=10000101,INT(MOD(INDEX(입력_기본자료!$G$2:$G$1001,$AB347),10000)/100)&gt;=1,INT(MOD(INDEX(입력_기본자료!$G$2:$G$1001,$AB347),10000)/100)&lt;=12,MOD(INDEX(입력_기본자료!$G$2:$G$1001,$AB347),100)&gt;=1,MOD(INDEX(입력_기본자료!$G$2:$G$1001,$AB347),100)&lt;=31),DATE(INT(INDEX(입력_기본자료!$G$2:$G$1001,$AB347)/10000),INT(MOD(INDEX(입력_기본자료!$G$2:$G$1001,$AB347),10000)/100),MOD(INDEX(입력_기본자료!$G$2:$G$1001,$AB347),100)),INDEX(입력_기본자료!$G$2:$G$1001,$AB347)&amp;"")))))</f>
        <v/>
      </c>
      <c r="J347" s="10">
        <f>IF($AB347="","",IF(INDEX(입력_기본자료!$H$2:$H$1001,$AB347)="","",INDEX(입력_기본자료!$H$2:$H$1001,$AB347)))</f>
        <v/>
      </c>
      <c r="K347" s="10">
        <f>IF($AB347="","",IF(INDEX(입력_기본자료!$I$2:$I$1001,$AB347)="","",INDEX(입력_기본자료!$I$2:$I$1001,$AB347)))</f>
        <v/>
      </c>
      <c r="L347" s="10">
        <f>IF($AB347="","",IF(INDEX(입력_기본자료!$A$2:$A$1001,$AB347)="","",INDEX(입력_기본자료!$A$2:$A$1001,$AB347)))</f>
        <v/>
      </c>
      <c r="M347" s="15" t="n"/>
      <c r="N347" s="10">
        <f>IF($B347="","",IF(AND($U347="파견중",$Q347&lt;&gt;""),$Q347,IF(AND($AD347&lt;&gt;"",LEFT($AD347,1)&lt;&gt;"⚠"),LEFT($AD347,FIND(" ",$AD347)-1),IF($H347="","",IF(RIGHT($H347,2)="병원",$H347,$H347&amp;"병원")))))</f>
        <v/>
      </c>
      <c r="O347" s="10">
        <f>IF($B347="","",IF(AND($U347="파견중",$Q347&lt;&gt;""),IF($R347&lt;&gt;"",$R347,"파견과 미입력"),IF(AND($AD347&lt;&gt;"",LEFT($AD347,1)&lt;&gt;"⚠"),MID($AD347,FIND(" ",$AD347)+1,60),IF($F347="","",IF($F347="인턴","수련교육부(인턴)",$F347)))))</f>
        <v/>
      </c>
      <c r="P347" s="10">
        <f>IF($B347="","",IF($AK347&lt;&gt;"",IF(AND(TODAY()&gt;=INDEX(입력_파견수련계획!$AB$4:$AB$803,$AK347),OR(NOT(ISNUMBER(INDEX(입력_파견수련계획!$AC$4:$AC$803,$AK347))),TODAY()&lt;=INDEX(입력_파견수련계획!$AC$4:$AC$803,$AK347))),"다기관",IF($AF347="","",INDEX(입력_파견수련계획!$T$4:$T$803,$AF347))),IF($AF347="","",INDEX(입력_파견수련계획!$T$4:$T$803,$AF347))))</f>
        <v/>
      </c>
      <c r="Q347" s="10">
        <f>IF($AF347="","",INDEX(입력_파견수련계획!$S$4:$S$803,$AF347))</f>
        <v/>
      </c>
      <c r="R347" s="10">
        <f>IF($AF347="","",INDEX(입력_파견수련계획!$U$4:$U$803,$AF347))</f>
        <v/>
      </c>
      <c r="S347" s="11">
        <f>IF($AF347="","",IF(INDEX(입력_파견수련계획!$H$4:$H$803,$AF347)="","",INDEX(입력_파견수련계획!$H$4:$H$803,$AF347)))</f>
        <v/>
      </c>
      <c r="T347" s="11">
        <f>IF($AF347="","",IF(INDEX(입력_파견수련계획!$I$4:$I$803,$AF347)="","",INDEX(입력_파견수련계획!$I$4:$I$803,$AF347)))</f>
        <v/>
      </c>
      <c r="U347" s="10">
        <f>IF($AF347="","",INDEX(입력_파견수련계획!$X$4:$X$803,$AF347))</f>
        <v/>
      </c>
      <c r="V347" s="17">
        <f>IF($AF347="","",INDEX(입력_파견수련계획!$V$4:$V$803,$AF347))</f>
        <v/>
      </c>
      <c r="W347" s="17">
        <f>IF(AND($U347="파견중",$T347&lt;&gt;""),$T347-TODAY(),"")</f>
        <v/>
      </c>
      <c r="X347" s="17">
        <f>IF(OR($B347="",TRIM($J347&amp;"")=""),"",SUMPRODUCT((입력_파견수련계획!$Q$4:$Q$803=TRIM($J347&amp;""))*입력_파견수련계획!$W$4:$W$803))</f>
        <v/>
      </c>
      <c r="Y347" s="10">
        <f>IF($B347="","",IF($AG347="","",IF(IF(TRIM($J347&amp;"")="",0,SUMPRODUCT((입력_파견수련계획!$Q$4:$Q$803=TRIM($J347&amp;""))*입력_파견수련계획!$AD$4:$AD$803))&gt;0,$AE347,IF(AND(N($X347)&lt;=0,$AQ347=""),$AG347,IF($AH347+$AI347=DAY(EOMONTH(출력_요약!$B$3,0)),IF(AND($AH347&gt;=출력_요약!$E$3,$AI347&lt;출력_요약!$E$3),"서울병원",IF(AND($AI347&gt;=출력_요약!$E$3,$AH347&lt;출력_요약!$E$3),"구리병원","⚠15일 판정불가(서울 "&amp;$AH347&amp;"일/구리 "&amp;$AI347&amp;"일)")),IF($AJ347="",$AE347,IF(INDEX(입력_파견수련계획!$T$4:$T$803,$AJ347)="통합수련",INDEX(입력_파견수련계획!$S$4:$S$803,$AJ347),$AE347)))))))</f>
        <v/>
      </c>
      <c r="Z347" s="20">
        <f>IF($B347="","",IF($AB347="","기본자료에 없는 사번",IF(COUNTIF($B$2:$B$401,$B347)&gt;1,"중복 사번",IF($AE347="","소속(입사장소) 입력",IF(IF(TRIM($J347&amp;"")="",0,SUMPRODUCT((입력_파견수련계획!$Q$4:$Q$803=TRIM($J347&amp;""))*(입력_파견수련계획!$AA$4:$AA$803&lt;&gt;"")))&gt;0,"파견수련계획 입력오류 확인",IF(LEFT($Y347,1)="⚠","서울·구리 15일 판정 불가(양쪽 모두 이상/미만)",IF(IF($AC347="",0,N(INDEX(입력_인턴근무계획!$T$3:$T$402,$AC347)))&gt;0,"인턴계획 입력오류 확인",IF(AND($AQ347&lt;&gt;"",$AG347&lt;&gt;"구리병원",IF(TRIM($J347&amp;"")="",0,SUMPRODUCT((입력_파견수련계획!$Q$4:$Q$803=TRIM($J347&amp;""))*(입력_파견수련계획!$S$4:$S$803="구리병원")*입력_파견수련계획!$W$4:$W$803))=0),"구리 근무자명단에만 있음(파견수련계획 확인)",IF(AND($AC347&lt;&gt;"",$U347&lt;&gt;"파견중",$N347&lt;&gt;$AE347),"인턴 타지역 근무: 파견 여부 확인","정상")))))))))</f>
        <v/>
      </c>
      <c r="AA347" s="5" t="n"/>
      <c r="AB347" s="10">
        <f>IF($B347="","",IFERROR(MATCH($B347,입력_기본자료!$B$2:$B$1001,0),IFERROR(MATCH($B347&amp;"",입력_기본자료!$B$2:$B$1001,0),IFERROR(MATCH(VALUE($B347),입력_기본자료!$B$2:$B$1001,0),""))))</f>
        <v/>
      </c>
      <c r="AC347" s="10">
        <f>IF($B347="","",IFERROR(MATCH($B347,입력_인턴근무계획!$D$3:$D$402,0),IFERROR(MATCH($B347&amp;"",입력_인턴근무계획!$D$3:$D$402,0),IFERROR(MATCH(VALUE($B347),입력_인턴근무계획!$D$3:$D$402,0),""))))</f>
        <v/>
      </c>
      <c r="AD347" s="10">
        <f>IF(OR($AC347="",출력_인턴현황!$G$3=""),"",INDEX(입력_인턴근무계획!$M$3:$R$402,$AC347,출력_인턴현황!$G$3)&amp;"")</f>
        <v/>
      </c>
      <c r="AE347" s="10">
        <f>IF($B347="","",IF($M347&lt;&gt;"",$M347,IF(IF($AQ347="",FALSE,INDEX(출력_구리근무자!$J$6:$J$305,$AQ347)="구리독자"),"구리병원",IF($AF347&lt;&gt;"",IF(LEFT(INDEX(입력_파견수련계획!$R$4:$R$803,$AF347),1)&lt;&gt;"⚠",INDEX(입력_파견수련계획!$R$4:$R$803,$AF347),IF($H347="","",IF(RIGHT($H347,2)="병원",$H347,$H347&amp;"병원"))),IF($H347="","",IF(RIGHT($H347,2)="병원",$H347,$H347&amp;"병원"))))))</f>
        <v/>
      </c>
      <c r="AF347" s="10">
        <f>IF(OR($B347="",TRIM($J347&amp;"")=""),"",IFERROR(MATCH(TRIM($J347&amp;"")&amp;"|파견중",입력_파견수련계획!$Y$4:$Y$803,0),IFERROR(MATCH(TRIM($J347&amp;"")&amp;"|파견예정",입력_파견수련계획!$Y$4:$Y$803,0),IFERROR(MATCH(TRIM($J347&amp;"")&amp;"|파견종료",입력_파견수련계획!$Y$4:$Y$803,0),""))))</f>
        <v/>
      </c>
      <c r="AG347" s="10">
        <f>IF($B347="","",IF(AND(IF(OR($AC347="",출력_인턴현황!$K$2=""),"",INDEX(입력_인턴근무계획!$M$3:$R$402,$AC347,출력_인턴현황!$K$2)&amp;"")&lt;&gt;"",LEFT(IF(OR($AC347="",출력_인턴현황!$K$2=""),"",INDEX(입력_인턴근무계획!$M$3:$R$402,$AC347,출력_인턴현황!$K$2)&amp;""),1)&lt;&gt;"⚠"),LEFT(IF(OR($AC347="",출력_인턴현황!$K$2=""),"",INDEX(입력_인턴근무계획!$M$3:$R$402,$AC347,출력_인턴현황!$K$2)&amp;""),FIND(" ",IF(OR($AC347="",출력_인턴현황!$K$2=""),"",INDEX(입력_인턴근무계획!$M$3:$R$402,$AC347,출력_인턴현황!$K$2)&amp;""))-1),$AE347))</f>
        <v/>
      </c>
      <c r="AH347" s="17">
        <f>IF($B347="","",IF($AQ347&lt;&gt;"",MAX(0,DAY(EOMONTH(출력_요약!$B$3,0))-N($AR347)),IF(TRIM($J347&amp;"")="",0,SUMPRODUCT((입력_파견수련계획!$Q$4:$Q$803=TRIM($J347&amp;""))*(입력_파견수련계획!$S$4:$S$803="서울병원")*입력_파견수련계획!$W$4:$W$803))+IF($AG347="서울병원",MAX(0,DAY(EOMONTH(출력_요약!$B$3,0))-N($X347)),0)))</f>
        <v/>
      </c>
      <c r="AI347" s="17">
        <f>IF($B347="","",IF($AQ347&lt;&gt;"",N($AR347),IF(TRIM($J347&amp;"")="",0,SUMPRODUCT((입력_파견수련계획!$Q$4:$Q$803=TRIM($J347&amp;""))*(입력_파견수련계획!$S$4:$S$803="구리병원")*입력_파견수련계획!$W$4:$W$803))+IF($AG347="구리병원",MAX(0,DAY(EOMONTH(출력_요약!$B$3,0))-N($X347)),0)))</f>
        <v/>
      </c>
      <c r="AJ347" s="10">
        <f>IF(OR($B347="",TRIM($J347&amp;"")=""),"",IFERROR(MATCH(TRIM($J347&amp;"")&amp;"|월",입력_파견수련계획!$Z$4:$Z$803,0),""))</f>
        <v/>
      </c>
      <c r="AK347" s="10">
        <f>IF(OR($B347="",TRIM($J347&amp;"")=""),"",IFERROR(MATCH(TRIM($J347&amp;"")&amp;"|다기관",입력_파견수련계획!$AE$4:$AE$803,0),""))</f>
        <v/>
      </c>
      <c r="AL347" s="10">
        <f>IF($AK347="","","다기관 "&amp;TEXT(INDEX(입력_파견수련계획!$AB$4:$AB$803,$AK347),"yyyy-mm-dd")&amp;"~"&amp;IF(ISNUMBER(INDEX(입력_파견수련계획!$AC$4:$AC$803,$AK347)),TEXT(INDEX(입력_파견수련계획!$AC$4:$AC$803,$AK347),"yyyy-mm-dd"),""))</f>
        <v/>
      </c>
      <c r="AM347" s="10">
        <f>IF($Y347="서울병원",COUNTIF($Y$2:$Y347,"서울병원"),"")</f>
        <v/>
      </c>
      <c r="AN347" s="10">
        <f>IF(LEFT($Y347,1)="⚠",COUNTIF($Y$2:$Y347,"⚠*"),"")</f>
        <v/>
      </c>
      <c r="AO347" s="10">
        <f>IF(OR($B347="",$Y347=""),"",IF(IF(TRIM($J347&amp;"")="",0,SUMPRODUCT((입력_파견수련계획!$Q$4:$Q$803=TRIM($J347&amp;""))*입력_파견수련계획!$AD$4:$AD$803))&gt;0,"다기관 기간 → 소속병원 지급",IF(AND(N($X347)&lt;=0,$AQ347=""),"파견 없음 → 그 달 근무병원 지급",IF($AH347+$AI347=DAY(EOMONTH(출력_요약!$B$3,0)),"서울 "&amp;$AH347&amp;"일 / 구리 "&amp;$AI347&amp;"일"&amp;IF($AQ347&lt;&gt;""," (구리 근무자명단 반영)","")&amp;" → 15일 이상 근무 병원 지급","타 병원 포함 → "&amp;IF($AJ347="","소속",INDEX(입력_파견수련계획!$T$4:$T$803,$AJ347))&amp;" 규칙"))))</f>
        <v/>
      </c>
      <c r="AP347" s="10">
        <f>IF($B347="","",$C347&amp;"|"&amp;$F347)</f>
        <v/>
      </c>
      <c r="AQ347" s="10">
        <f>IF($B347="","",IFERROR(MATCH(ROW()-1,출력_구리근무자!$K$6:$K$305,0),""))</f>
        <v/>
      </c>
      <c r="AR347" s="10">
        <f>IF($AQ347="","",INDEX(출력_구리근무자!$H$6:$H$305,$AQ347))</f>
        <v/>
      </c>
    </row>
    <row r="348">
      <c r="A348" s="10">
        <f>IF(B348="","",ROW()-1)</f>
        <v/>
      </c>
      <c r="B348" s="19" t="n"/>
      <c r="C348" s="10">
        <f>IF($AB348="","",IF(INDEX(입력_기본자료!$C$2:$C$1001,$AB348)="","",INDEX(입력_기본자료!$C$2:$C$1001,$AB348)))</f>
        <v/>
      </c>
      <c r="D348" s="10">
        <f>IF($AB348="","",IF(INDEX(입력_기본자료!$J$2:$J$1001,$AB348)="","",INDEX(입력_기본자료!$J$2:$J$1001,$AB348)))</f>
        <v/>
      </c>
      <c r="E348" s="11">
        <f>IF($AB348="","",IF(INDEX(입력_기본자료!$K$2:$K$1001,$AB348)="","",IF(NOT(ISNUMBER(INDEX(입력_기본자료!$K$2:$K$1001,$AB348))),INDEX(입력_기본자료!$K$2:$K$1001,$AB348),IF(INDEX(입력_기본자료!$K$2:$K$1001,$AB348)&lt;1000000,INDEX(입력_기본자료!$K$2:$K$1001,$AB348),IF(AND(INDEX(입력_기본자료!$K$2:$K$1001,$AB348)&gt;=10000101,INT(MOD(INDEX(입력_기본자료!$K$2:$K$1001,$AB348),10000)/100)&gt;=1,INT(MOD(INDEX(입력_기본자료!$K$2:$K$1001,$AB348),10000)/100)&lt;=12,MOD(INDEX(입력_기본자료!$K$2:$K$1001,$AB348),100)&gt;=1,MOD(INDEX(입력_기본자료!$K$2:$K$1001,$AB348),100)&lt;=31),DATE(INT(INDEX(입력_기본자료!$K$2:$K$1001,$AB348)/10000),INT(MOD(INDEX(입력_기본자료!$K$2:$K$1001,$AB348),10000)/100),MOD(INDEX(입력_기본자료!$K$2:$K$1001,$AB348),100)),INDEX(입력_기본자료!$K$2:$K$1001,$AB348)&amp;"")))))</f>
        <v/>
      </c>
      <c r="F348" s="10">
        <f>IF($AB348="","",IF(INDEX(입력_기본자료!$D$2:$D$1001,$AB348)="","",INDEX(입력_기본자료!$D$2:$D$1001,$AB348)))</f>
        <v/>
      </c>
      <c r="G348" s="10">
        <f>IF($AB348="","",IF(INDEX(입력_기본자료!$E$2:$E$1001,$AB348)="","",INDEX(입력_기본자료!$E$2:$E$1001,$AB348)))</f>
        <v/>
      </c>
      <c r="H348" s="10">
        <f>IF($AB348="","",IF(INDEX(입력_기본자료!$F$2:$F$1001,$AB348)="","",INDEX(입력_기본자료!$F$2:$F$1001,$AB348)))</f>
        <v/>
      </c>
      <c r="I348" s="11">
        <f>IF($AB348="","",IF(INDEX(입력_기본자료!$G$2:$G$1001,$AB348)="","",IF(NOT(ISNUMBER(INDEX(입력_기본자료!$G$2:$G$1001,$AB348))),INDEX(입력_기본자료!$G$2:$G$1001,$AB348),IF(INDEX(입력_기본자료!$G$2:$G$1001,$AB348)&lt;1000000,INDEX(입력_기본자료!$G$2:$G$1001,$AB348),IF(AND(INDEX(입력_기본자료!$G$2:$G$1001,$AB348)&gt;=10000101,INT(MOD(INDEX(입력_기본자료!$G$2:$G$1001,$AB348),10000)/100)&gt;=1,INT(MOD(INDEX(입력_기본자료!$G$2:$G$1001,$AB348),10000)/100)&lt;=12,MOD(INDEX(입력_기본자료!$G$2:$G$1001,$AB348),100)&gt;=1,MOD(INDEX(입력_기본자료!$G$2:$G$1001,$AB348),100)&lt;=31),DATE(INT(INDEX(입력_기본자료!$G$2:$G$1001,$AB348)/10000),INT(MOD(INDEX(입력_기본자료!$G$2:$G$1001,$AB348),10000)/100),MOD(INDEX(입력_기본자료!$G$2:$G$1001,$AB348),100)),INDEX(입력_기본자료!$G$2:$G$1001,$AB348)&amp;"")))))</f>
        <v/>
      </c>
      <c r="J348" s="10">
        <f>IF($AB348="","",IF(INDEX(입력_기본자료!$H$2:$H$1001,$AB348)="","",INDEX(입력_기본자료!$H$2:$H$1001,$AB348)))</f>
        <v/>
      </c>
      <c r="K348" s="10">
        <f>IF($AB348="","",IF(INDEX(입력_기본자료!$I$2:$I$1001,$AB348)="","",INDEX(입력_기본자료!$I$2:$I$1001,$AB348)))</f>
        <v/>
      </c>
      <c r="L348" s="10">
        <f>IF($AB348="","",IF(INDEX(입력_기본자료!$A$2:$A$1001,$AB348)="","",INDEX(입력_기본자료!$A$2:$A$1001,$AB348)))</f>
        <v/>
      </c>
      <c r="M348" s="15" t="n"/>
      <c r="N348" s="10">
        <f>IF($B348="","",IF(AND($U348="파견중",$Q348&lt;&gt;""),$Q348,IF(AND($AD348&lt;&gt;"",LEFT($AD348,1)&lt;&gt;"⚠"),LEFT($AD348,FIND(" ",$AD348)-1),IF($H348="","",IF(RIGHT($H348,2)="병원",$H348,$H348&amp;"병원")))))</f>
        <v/>
      </c>
      <c r="O348" s="10">
        <f>IF($B348="","",IF(AND($U348="파견중",$Q348&lt;&gt;""),IF($R348&lt;&gt;"",$R348,"파견과 미입력"),IF(AND($AD348&lt;&gt;"",LEFT($AD348,1)&lt;&gt;"⚠"),MID($AD348,FIND(" ",$AD348)+1,60),IF($F348="","",IF($F348="인턴","수련교육부(인턴)",$F348)))))</f>
        <v/>
      </c>
      <c r="P348" s="10">
        <f>IF($B348="","",IF($AK348&lt;&gt;"",IF(AND(TODAY()&gt;=INDEX(입력_파견수련계획!$AB$4:$AB$803,$AK348),OR(NOT(ISNUMBER(INDEX(입력_파견수련계획!$AC$4:$AC$803,$AK348))),TODAY()&lt;=INDEX(입력_파견수련계획!$AC$4:$AC$803,$AK348))),"다기관",IF($AF348="","",INDEX(입력_파견수련계획!$T$4:$T$803,$AF348))),IF($AF348="","",INDEX(입력_파견수련계획!$T$4:$T$803,$AF348))))</f>
        <v/>
      </c>
      <c r="Q348" s="10">
        <f>IF($AF348="","",INDEX(입력_파견수련계획!$S$4:$S$803,$AF348))</f>
        <v/>
      </c>
      <c r="R348" s="10">
        <f>IF($AF348="","",INDEX(입력_파견수련계획!$U$4:$U$803,$AF348))</f>
        <v/>
      </c>
      <c r="S348" s="11">
        <f>IF($AF348="","",IF(INDEX(입력_파견수련계획!$H$4:$H$803,$AF348)="","",INDEX(입력_파견수련계획!$H$4:$H$803,$AF348)))</f>
        <v/>
      </c>
      <c r="T348" s="11">
        <f>IF($AF348="","",IF(INDEX(입력_파견수련계획!$I$4:$I$803,$AF348)="","",INDEX(입력_파견수련계획!$I$4:$I$803,$AF348)))</f>
        <v/>
      </c>
      <c r="U348" s="10">
        <f>IF($AF348="","",INDEX(입력_파견수련계획!$X$4:$X$803,$AF348))</f>
        <v/>
      </c>
      <c r="V348" s="17">
        <f>IF($AF348="","",INDEX(입력_파견수련계획!$V$4:$V$803,$AF348))</f>
        <v/>
      </c>
      <c r="W348" s="17">
        <f>IF(AND($U348="파견중",$T348&lt;&gt;""),$T348-TODAY(),"")</f>
        <v/>
      </c>
      <c r="X348" s="17">
        <f>IF(OR($B348="",TRIM($J348&amp;"")=""),"",SUMPRODUCT((입력_파견수련계획!$Q$4:$Q$803=TRIM($J348&amp;""))*입력_파견수련계획!$W$4:$W$803))</f>
        <v/>
      </c>
      <c r="Y348" s="10">
        <f>IF($B348="","",IF($AG348="","",IF(IF(TRIM($J348&amp;"")="",0,SUMPRODUCT((입력_파견수련계획!$Q$4:$Q$803=TRIM($J348&amp;""))*입력_파견수련계획!$AD$4:$AD$803))&gt;0,$AE348,IF(AND(N($X348)&lt;=0,$AQ348=""),$AG348,IF($AH348+$AI348=DAY(EOMONTH(출력_요약!$B$3,0)),IF(AND($AH348&gt;=출력_요약!$E$3,$AI348&lt;출력_요약!$E$3),"서울병원",IF(AND($AI348&gt;=출력_요약!$E$3,$AH348&lt;출력_요약!$E$3),"구리병원","⚠15일 판정불가(서울 "&amp;$AH348&amp;"일/구리 "&amp;$AI348&amp;"일)")),IF($AJ348="",$AE348,IF(INDEX(입력_파견수련계획!$T$4:$T$803,$AJ348)="통합수련",INDEX(입력_파견수련계획!$S$4:$S$803,$AJ348),$AE348)))))))</f>
        <v/>
      </c>
      <c r="Z348" s="20">
        <f>IF($B348="","",IF($AB348="","기본자료에 없는 사번",IF(COUNTIF($B$2:$B$401,$B348)&gt;1,"중복 사번",IF($AE348="","소속(입사장소) 입력",IF(IF(TRIM($J348&amp;"")="",0,SUMPRODUCT((입력_파견수련계획!$Q$4:$Q$803=TRIM($J348&amp;""))*(입력_파견수련계획!$AA$4:$AA$803&lt;&gt;"")))&gt;0,"파견수련계획 입력오류 확인",IF(LEFT($Y348,1)="⚠","서울·구리 15일 판정 불가(양쪽 모두 이상/미만)",IF(IF($AC348="",0,N(INDEX(입력_인턴근무계획!$T$3:$T$402,$AC348)))&gt;0,"인턴계획 입력오류 확인",IF(AND($AQ348&lt;&gt;"",$AG348&lt;&gt;"구리병원",IF(TRIM($J348&amp;"")="",0,SUMPRODUCT((입력_파견수련계획!$Q$4:$Q$803=TRIM($J348&amp;""))*(입력_파견수련계획!$S$4:$S$803="구리병원")*입력_파견수련계획!$W$4:$W$803))=0),"구리 근무자명단에만 있음(파견수련계획 확인)",IF(AND($AC348&lt;&gt;"",$U348&lt;&gt;"파견중",$N348&lt;&gt;$AE348),"인턴 타지역 근무: 파견 여부 확인","정상")))))))))</f>
        <v/>
      </c>
      <c r="AA348" s="5" t="n"/>
      <c r="AB348" s="10">
        <f>IF($B348="","",IFERROR(MATCH($B348,입력_기본자료!$B$2:$B$1001,0),IFERROR(MATCH($B348&amp;"",입력_기본자료!$B$2:$B$1001,0),IFERROR(MATCH(VALUE($B348),입력_기본자료!$B$2:$B$1001,0),""))))</f>
        <v/>
      </c>
      <c r="AC348" s="10">
        <f>IF($B348="","",IFERROR(MATCH($B348,입력_인턴근무계획!$D$3:$D$402,0),IFERROR(MATCH($B348&amp;"",입력_인턴근무계획!$D$3:$D$402,0),IFERROR(MATCH(VALUE($B348),입력_인턴근무계획!$D$3:$D$402,0),""))))</f>
        <v/>
      </c>
      <c r="AD348" s="10">
        <f>IF(OR($AC348="",출력_인턴현황!$G$3=""),"",INDEX(입력_인턴근무계획!$M$3:$R$402,$AC348,출력_인턴현황!$G$3)&amp;"")</f>
        <v/>
      </c>
      <c r="AE348" s="10">
        <f>IF($B348="","",IF($M348&lt;&gt;"",$M348,IF(IF($AQ348="",FALSE,INDEX(출력_구리근무자!$J$6:$J$305,$AQ348)="구리독자"),"구리병원",IF($AF348&lt;&gt;"",IF(LEFT(INDEX(입력_파견수련계획!$R$4:$R$803,$AF348),1)&lt;&gt;"⚠",INDEX(입력_파견수련계획!$R$4:$R$803,$AF348),IF($H348="","",IF(RIGHT($H348,2)="병원",$H348,$H348&amp;"병원"))),IF($H348="","",IF(RIGHT($H348,2)="병원",$H348,$H348&amp;"병원"))))))</f>
        <v/>
      </c>
      <c r="AF348" s="10">
        <f>IF(OR($B348="",TRIM($J348&amp;"")=""),"",IFERROR(MATCH(TRIM($J348&amp;"")&amp;"|파견중",입력_파견수련계획!$Y$4:$Y$803,0),IFERROR(MATCH(TRIM($J348&amp;"")&amp;"|파견예정",입력_파견수련계획!$Y$4:$Y$803,0),IFERROR(MATCH(TRIM($J348&amp;"")&amp;"|파견종료",입력_파견수련계획!$Y$4:$Y$803,0),""))))</f>
        <v/>
      </c>
      <c r="AG348" s="10">
        <f>IF($B348="","",IF(AND(IF(OR($AC348="",출력_인턴현황!$K$2=""),"",INDEX(입력_인턴근무계획!$M$3:$R$402,$AC348,출력_인턴현황!$K$2)&amp;"")&lt;&gt;"",LEFT(IF(OR($AC348="",출력_인턴현황!$K$2=""),"",INDEX(입력_인턴근무계획!$M$3:$R$402,$AC348,출력_인턴현황!$K$2)&amp;""),1)&lt;&gt;"⚠"),LEFT(IF(OR($AC348="",출력_인턴현황!$K$2=""),"",INDEX(입력_인턴근무계획!$M$3:$R$402,$AC348,출력_인턴현황!$K$2)&amp;""),FIND(" ",IF(OR($AC348="",출력_인턴현황!$K$2=""),"",INDEX(입력_인턴근무계획!$M$3:$R$402,$AC348,출력_인턴현황!$K$2)&amp;""))-1),$AE348))</f>
        <v/>
      </c>
      <c r="AH348" s="17">
        <f>IF($B348="","",IF($AQ348&lt;&gt;"",MAX(0,DAY(EOMONTH(출력_요약!$B$3,0))-N($AR348)),IF(TRIM($J348&amp;"")="",0,SUMPRODUCT((입력_파견수련계획!$Q$4:$Q$803=TRIM($J348&amp;""))*(입력_파견수련계획!$S$4:$S$803="서울병원")*입력_파견수련계획!$W$4:$W$803))+IF($AG348="서울병원",MAX(0,DAY(EOMONTH(출력_요약!$B$3,0))-N($X348)),0)))</f>
        <v/>
      </c>
      <c r="AI348" s="17">
        <f>IF($B348="","",IF($AQ348&lt;&gt;"",N($AR348),IF(TRIM($J348&amp;"")="",0,SUMPRODUCT((입력_파견수련계획!$Q$4:$Q$803=TRIM($J348&amp;""))*(입력_파견수련계획!$S$4:$S$803="구리병원")*입력_파견수련계획!$W$4:$W$803))+IF($AG348="구리병원",MAX(0,DAY(EOMONTH(출력_요약!$B$3,0))-N($X348)),0)))</f>
        <v/>
      </c>
      <c r="AJ348" s="10">
        <f>IF(OR($B348="",TRIM($J348&amp;"")=""),"",IFERROR(MATCH(TRIM($J348&amp;"")&amp;"|월",입력_파견수련계획!$Z$4:$Z$803,0),""))</f>
        <v/>
      </c>
      <c r="AK348" s="10">
        <f>IF(OR($B348="",TRIM($J348&amp;"")=""),"",IFERROR(MATCH(TRIM($J348&amp;"")&amp;"|다기관",입력_파견수련계획!$AE$4:$AE$803,0),""))</f>
        <v/>
      </c>
      <c r="AL348" s="10">
        <f>IF($AK348="","","다기관 "&amp;TEXT(INDEX(입력_파견수련계획!$AB$4:$AB$803,$AK348),"yyyy-mm-dd")&amp;"~"&amp;IF(ISNUMBER(INDEX(입력_파견수련계획!$AC$4:$AC$803,$AK348)),TEXT(INDEX(입력_파견수련계획!$AC$4:$AC$803,$AK348),"yyyy-mm-dd"),""))</f>
        <v/>
      </c>
      <c r="AM348" s="10">
        <f>IF($Y348="서울병원",COUNTIF($Y$2:$Y348,"서울병원"),"")</f>
        <v/>
      </c>
      <c r="AN348" s="10">
        <f>IF(LEFT($Y348,1)="⚠",COUNTIF($Y$2:$Y348,"⚠*"),"")</f>
        <v/>
      </c>
      <c r="AO348" s="10">
        <f>IF(OR($B348="",$Y348=""),"",IF(IF(TRIM($J348&amp;"")="",0,SUMPRODUCT((입력_파견수련계획!$Q$4:$Q$803=TRIM($J348&amp;""))*입력_파견수련계획!$AD$4:$AD$803))&gt;0,"다기관 기간 → 소속병원 지급",IF(AND(N($X348)&lt;=0,$AQ348=""),"파견 없음 → 그 달 근무병원 지급",IF($AH348+$AI348=DAY(EOMONTH(출력_요약!$B$3,0)),"서울 "&amp;$AH348&amp;"일 / 구리 "&amp;$AI348&amp;"일"&amp;IF($AQ348&lt;&gt;""," (구리 근무자명단 반영)","")&amp;" → 15일 이상 근무 병원 지급","타 병원 포함 → "&amp;IF($AJ348="","소속",INDEX(입력_파견수련계획!$T$4:$T$803,$AJ348))&amp;" 규칙"))))</f>
        <v/>
      </c>
      <c r="AP348" s="10">
        <f>IF($B348="","",$C348&amp;"|"&amp;$F348)</f>
        <v/>
      </c>
      <c r="AQ348" s="10">
        <f>IF($B348="","",IFERROR(MATCH(ROW()-1,출력_구리근무자!$K$6:$K$305,0),""))</f>
        <v/>
      </c>
      <c r="AR348" s="10">
        <f>IF($AQ348="","",INDEX(출력_구리근무자!$H$6:$H$305,$AQ348))</f>
        <v/>
      </c>
    </row>
    <row r="349">
      <c r="A349" s="10">
        <f>IF(B349="","",ROW()-1)</f>
        <v/>
      </c>
      <c r="B349" s="19" t="n"/>
      <c r="C349" s="10">
        <f>IF($AB349="","",IF(INDEX(입력_기본자료!$C$2:$C$1001,$AB349)="","",INDEX(입력_기본자료!$C$2:$C$1001,$AB349)))</f>
        <v/>
      </c>
      <c r="D349" s="10">
        <f>IF($AB349="","",IF(INDEX(입력_기본자료!$J$2:$J$1001,$AB349)="","",INDEX(입력_기본자료!$J$2:$J$1001,$AB349)))</f>
        <v/>
      </c>
      <c r="E349" s="11">
        <f>IF($AB349="","",IF(INDEX(입력_기본자료!$K$2:$K$1001,$AB349)="","",IF(NOT(ISNUMBER(INDEX(입력_기본자료!$K$2:$K$1001,$AB349))),INDEX(입력_기본자료!$K$2:$K$1001,$AB349),IF(INDEX(입력_기본자료!$K$2:$K$1001,$AB349)&lt;1000000,INDEX(입력_기본자료!$K$2:$K$1001,$AB349),IF(AND(INDEX(입력_기본자료!$K$2:$K$1001,$AB349)&gt;=10000101,INT(MOD(INDEX(입력_기본자료!$K$2:$K$1001,$AB349),10000)/100)&gt;=1,INT(MOD(INDEX(입력_기본자료!$K$2:$K$1001,$AB349),10000)/100)&lt;=12,MOD(INDEX(입력_기본자료!$K$2:$K$1001,$AB349),100)&gt;=1,MOD(INDEX(입력_기본자료!$K$2:$K$1001,$AB349),100)&lt;=31),DATE(INT(INDEX(입력_기본자료!$K$2:$K$1001,$AB349)/10000),INT(MOD(INDEX(입력_기본자료!$K$2:$K$1001,$AB349),10000)/100),MOD(INDEX(입력_기본자료!$K$2:$K$1001,$AB349),100)),INDEX(입력_기본자료!$K$2:$K$1001,$AB349)&amp;"")))))</f>
        <v/>
      </c>
      <c r="F349" s="10">
        <f>IF($AB349="","",IF(INDEX(입력_기본자료!$D$2:$D$1001,$AB349)="","",INDEX(입력_기본자료!$D$2:$D$1001,$AB349)))</f>
        <v/>
      </c>
      <c r="G349" s="10">
        <f>IF($AB349="","",IF(INDEX(입력_기본자료!$E$2:$E$1001,$AB349)="","",INDEX(입력_기본자료!$E$2:$E$1001,$AB349)))</f>
        <v/>
      </c>
      <c r="H349" s="10">
        <f>IF($AB349="","",IF(INDEX(입력_기본자료!$F$2:$F$1001,$AB349)="","",INDEX(입력_기본자료!$F$2:$F$1001,$AB349)))</f>
        <v/>
      </c>
      <c r="I349" s="11">
        <f>IF($AB349="","",IF(INDEX(입력_기본자료!$G$2:$G$1001,$AB349)="","",IF(NOT(ISNUMBER(INDEX(입력_기본자료!$G$2:$G$1001,$AB349))),INDEX(입력_기본자료!$G$2:$G$1001,$AB349),IF(INDEX(입력_기본자료!$G$2:$G$1001,$AB349)&lt;1000000,INDEX(입력_기본자료!$G$2:$G$1001,$AB349),IF(AND(INDEX(입력_기본자료!$G$2:$G$1001,$AB349)&gt;=10000101,INT(MOD(INDEX(입력_기본자료!$G$2:$G$1001,$AB349),10000)/100)&gt;=1,INT(MOD(INDEX(입력_기본자료!$G$2:$G$1001,$AB349),10000)/100)&lt;=12,MOD(INDEX(입력_기본자료!$G$2:$G$1001,$AB349),100)&gt;=1,MOD(INDEX(입력_기본자료!$G$2:$G$1001,$AB349),100)&lt;=31),DATE(INT(INDEX(입력_기본자료!$G$2:$G$1001,$AB349)/10000),INT(MOD(INDEX(입력_기본자료!$G$2:$G$1001,$AB349),10000)/100),MOD(INDEX(입력_기본자료!$G$2:$G$1001,$AB349),100)),INDEX(입력_기본자료!$G$2:$G$1001,$AB349)&amp;"")))))</f>
        <v/>
      </c>
      <c r="J349" s="10">
        <f>IF($AB349="","",IF(INDEX(입력_기본자료!$H$2:$H$1001,$AB349)="","",INDEX(입력_기본자료!$H$2:$H$1001,$AB349)))</f>
        <v/>
      </c>
      <c r="K349" s="10">
        <f>IF($AB349="","",IF(INDEX(입력_기본자료!$I$2:$I$1001,$AB349)="","",INDEX(입력_기본자료!$I$2:$I$1001,$AB349)))</f>
        <v/>
      </c>
      <c r="L349" s="10">
        <f>IF($AB349="","",IF(INDEX(입력_기본자료!$A$2:$A$1001,$AB349)="","",INDEX(입력_기본자료!$A$2:$A$1001,$AB349)))</f>
        <v/>
      </c>
      <c r="M349" s="15" t="n"/>
      <c r="N349" s="10">
        <f>IF($B349="","",IF(AND($U349="파견중",$Q349&lt;&gt;""),$Q349,IF(AND($AD349&lt;&gt;"",LEFT($AD349,1)&lt;&gt;"⚠"),LEFT($AD349,FIND(" ",$AD349)-1),IF($H349="","",IF(RIGHT($H349,2)="병원",$H349,$H349&amp;"병원")))))</f>
        <v/>
      </c>
      <c r="O349" s="10">
        <f>IF($B349="","",IF(AND($U349="파견중",$Q349&lt;&gt;""),IF($R349&lt;&gt;"",$R349,"파견과 미입력"),IF(AND($AD349&lt;&gt;"",LEFT($AD349,1)&lt;&gt;"⚠"),MID($AD349,FIND(" ",$AD349)+1,60),IF($F349="","",IF($F349="인턴","수련교육부(인턴)",$F349)))))</f>
        <v/>
      </c>
      <c r="P349" s="10">
        <f>IF($B349="","",IF($AK349&lt;&gt;"",IF(AND(TODAY()&gt;=INDEX(입력_파견수련계획!$AB$4:$AB$803,$AK349),OR(NOT(ISNUMBER(INDEX(입력_파견수련계획!$AC$4:$AC$803,$AK349))),TODAY()&lt;=INDEX(입력_파견수련계획!$AC$4:$AC$803,$AK349))),"다기관",IF($AF349="","",INDEX(입력_파견수련계획!$T$4:$T$803,$AF349))),IF($AF349="","",INDEX(입력_파견수련계획!$T$4:$T$803,$AF349))))</f>
        <v/>
      </c>
      <c r="Q349" s="10">
        <f>IF($AF349="","",INDEX(입력_파견수련계획!$S$4:$S$803,$AF349))</f>
        <v/>
      </c>
      <c r="R349" s="10">
        <f>IF($AF349="","",INDEX(입력_파견수련계획!$U$4:$U$803,$AF349))</f>
        <v/>
      </c>
      <c r="S349" s="11">
        <f>IF($AF349="","",IF(INDEX(입력_파견수련계획!$H$4:$H$803,$AF349)="","",INDEX(입력_파견수련계획!$H$4:$H$803,$AF349)))</f>
        <v/>
      </c>
      <c r="T349" s="11">
        <f>IF($AF349="","",IF(INDEX(입력_파견수련계획!$I$4:$I$803,$AF349)="","",INDEX(입력_파견수련계획!$I$4:$I$803,$AF349)))</f>
        <v/>
      </c>
      <c r="U349" s="10">
        <f>IF($AF349="","",INDEX(입력_파견수련계획!$X$4:$X$803,$AF349))</f>
        <v/>
      </c>
      <c r="V349" s="17">
        <f>IF($AF349="","",INDEX(입력_파견수련계획!$V$4:$V$803,$AF349))</f>
        <v/>
      </c>
      <c r="W349" s="17">
        <f>IF(AND($U349="파견중",$T349&lt;&gt;""),$T349-TODAY(),"")</f>
        <v/>
      </c>
      <c r="X349" s="17">
        <f>IF(OR($B349="",TRIM($J349&amp;"")=""),"",SUMPRODUCT((입력_파견수련계획!$Q$4:$Q$803=TRIM($J349&amp;""))*입력_파견수련계획!$W$4:$W$803))</f>
        <v/>
      </c>
      <c r="Y349" s="10">
        <f>IF($B349="","",IF($AG349="","",IF(IF(TRIM($J349&amp;"")="",0,SUMPRODUCT((입력_파견수련계획!$Q$4:$Q$803=TRIM($J349&amp;""))*입력_파견수련계획!$AD$4:$AD$803))&gt;0,$AE349,IF(AND(N($X349)&lt;=0,$AQ349=""),$AG349,IF($AH349+$AI349=DAY(EOMONTH(출력_요약!$B$3,0)),IF(AND($AH349&gt;=출력_요약!$E$3,$AI349&lt;출력_요약!$E$3),"서울병원",IF(AND($AI349&gt;=출력_요약!$E$3,$AH349&lt;출력_요약!$E$3),"구리병원","⚠15일 판정불가(서울 "&amp;$AH349&amp;"일/구리 "&amp;$AI349&amp;"일)")),IF($AJ349="",$AE349,IF(INDEX(입력_파견수련계획!$T$4:$T$803,$AJ349)="통합수련",INDEX(입력_파견수련계획!$S$4:$S$803,$AJ349),$AE349)))))))</f>
        <v/>
      </c>
      <c r="Z349" s="20">
        <f>IF($B349="","",IF($AB349="","기본자료에 없는 사번",IF(COUNTIF($B$2:$B$401,$B349)&gt;1,"중복 사번",IF($AE349="","소속(입사장소) 입력",IF(IF(TRIM($J349&amp;"")="",0,SUMPRODUCT((입력_파견수련계획!$Q$4:$Q$803=TRIM($J349&amp;""))*(입력_파견수련계획!$AA$4:$AA$803&lt;&gt;"")))&gt;0,"파견수련계획 입력오류 확인",IF(LEFT($Y349,1)="⚠","서울·구리 15일 판정 불가(양쪽 모두 이상/미만)",IF(IF($AC349="",0,N(INDEX(입력_인턴근무계획!$T$3:$T$402,$AC349)))&gt;0,"인턴계획 입력오류 확인",IF(AND($AQ349&lt;&gt;"",$AG349&lt;&gt;"구리병원",IF(TRIM($J349&amp;"")="",0,SUMPRODUCT((입력_파견수련계획!$Q$4:$Q$803=TRIM($J349&amp;""))*(입력_파견수련계획!$S$4:$S$803="구리병원")*입력_파견수련계획!$W$4:$W$803))=0),"구리 근무자명단에만 있음(파견수련계획 확인)",IF(AND($AC349&lt;&gt;"",$U349&lt;&gt;"파견중",$N349&lt;&gt;$AE349),"인턴 타지역 근무: 파견 여부 확인","정상")))))))))</f>
        <v/>
      </c>
      <c r="AA349" s="5" t="n"/>
      <c r="AB349" s="10">
        <f>IF($B349="","",IFERROR(MATCH($B349,입력_기본자료!$B$2:$B$1001,0),IFERROR(MATCH($B349&amp;"",입력_기본자료!$B$2:$B$1001,0),IFERROR(MATCH(VALUE($B349),입력_기본자료!$B$2:$B$1001,0),""))))</f>
        <v/>
      </c>
      <c r="AC349" s="10">
        <f>IF($B349="","",IFERROR(MATCH($B349,입력_인턴근무계획!$D$3:$D$402,0),IFERROR(MATCH($B349&amp;"",입력_인턴근무계획!$D$3:$D$402,0),IFERROR(MATCH(VALUE($B349),입력_인턴근무계획!$D$3:$D$402,0),""))))</f>
        <v/>
      </c>
      <c r="AD349" s="10">
        <f>IF(OR($AC349="",출력_인턴현황!$G$3=""),"",INDEX(입력_인턴근무계획!$M$3:$R$402,$AC349,출력_인턴현황!$G$3)&amp;"")</f>
        <v/>
      </c>
      <c r="AE349" s="10">
        <f>IF($B349="","",IF($M349&lt;&gt;"",$M349,IF(IF($AQ349="",FALSE,INDEX(출력_구리근무자!$J$6:$J$305,$AQ349)="구리독자"),"구리병원",IF($AF349&lt;&gt;"",IF(LEFT(INDEX(입력_파견수련계획!$R$4:$R$803,$AF349),1)&lt;&gt;"⚠",INDEX(입력_파견수련계획!$R$4:$R$803,$AF349),IF($H349="","",IF(RIGHT($H349,2)="병원",$H349,$H349&amp;"병원"))),IF($H349="","",IF(RIGHT($H349,2)="병원",$H349,$H349&amp;"병원"))))))</f>
        <v/>
      </c>
      <c r="AF349" s="10">
        <f>IF(OR($B349="",TRIM($J349&amp;"")=""),"",IFERROR(MATCH(TRIM($J349&amp;"")&amp;"|파견중",입력_파견수련계획!$Y$4:$Y$803,0),IFERROR(MATCH(TRIM($J349&amp;"")&amp;"|파견예정",입력_파견수련계획!$Y$4:$Y$803,0),IFERROR(MATCH(TRIM($J349&amp;"")&amp;"|파견종료",입력_파견수련계획!$Y$4:$Y$803,0),""))))</f>
        <v/>
      </c>
      <c r="AG349" s="10">
        <f>IF($B349="","",IF(AND(IF(OR($AC349="",출력_인턴현황!$K$2=""),"",INDEX(입력_인턴근무계획!$M$3:$R$402,$AC349,출력_인턴현황!$K$2)&amp;"")&lt;&gt;"",LEFT(IF(OR($AC349="",출력_인턴현황!$K$2=""),"",INDEX(입력_인턴근무계획!$M$3:$R$402,$AC349,출력_인턴현황!$K$2)&amp;""),1)&lt;&gt;"⚠"),LEFT(IF(OR($AC349="",출력_인턴현황!$K$2=""),"",INDEX(입력_인턴근무계획!$M$3:$R$402,$AC349,출력_인턴현황!$K$2)&amp;""),FIND(" ",IF(OR($AC349="",출력_인턴현황!$K$2=""),"",INDEX(입력_인턴근무계획!$M$3:$R$402,$AC349,출력_인턴현황!$K$2)&amp;""))-1),$AE349))</f>
        <v/>
      </c>
      <c r="AH349" s="17">
        <f>IF($B349="","",IF($AQ349&lt;&gt;"",MAX(0,DAY(EOMONTH(출력_요약!$B$3,0))-N($AR349)),IF(TRIM($J349&amp;"")="",0,SUMPRODUCT((입력_파견수련계획!$Q$4:$Q$803=TRIM($J349&amp;""))*(입력_파견수련계획!$S$4:$S$803="서울병원")*입력_파견수련계획!$W$4:$W$803))+IF($AG349="서울병원",MAX(0,DAY(EOMONTH(출력_요약!$B$3,0))-N($X349)),0)))</f>
        <v/>
      </c>
      <c r="AI349" s="17">
        <f>IF($B349="","",IF($AQ349&lt;&gt;"",N($AR349),IF(TRIM($J349&amp;"")="",0,SUMPRODUCT((입력_파견수련계획!$Q$4:$Q$803=TRIM($J349&amp;""))*(입력_파견수련계획!$S$4:$S$803="구리병원")*입력_파견수련계획!$W$4:$W$803))+IF($AG349="구리병원",MAX(0,DAY(EOMONTH(출력_요약!$B$3,0))-N($X349)),0)))</f>
        <v/>
      </c>
      <c r="AJ349" s="10">
        <f>IF(OR($B349="",TRIM($J349&amp;"")=""),"",IFERROR(MATCH(TRIM($J349&amp;"")&amp;"|월",입력_파견수련계획!$Z$4:$Z$803,0),""))</f>
        <v/>
      </c>
      <c r="AK349" s="10">
        <f>IF(OR($B349="",TRIM($J349&amp;"")=""),"",IFERROR(MATCH(TRIM($J349&amp;"")&amp;"|다기관",입력_파견수련계획!$AE$4:$AE$803,0),""))</f>
        <v/>
      </c>
      <c r="AL349" s="10">
        <f>IF($AK349="","","다기관 "&amp;TEXT(INDEX(입력_파견수련계획!$AB$4:$AB$803,$AK349),"yyyy-mm-dd")&amp;"~"&amp;IF(ISNUMBER(INDEX(입력_파견수련계획!$AC$4:$AC$803,$AK349)),TEXT(INDEX(입력_파견수련계획!$AC$4:$AC$803,$AK349),"yyyy-mm-dd"),""))</f>
        <v/>
      </c>
      <c r="AM349" s="10">
        <f>IF($Y349="서울병원",COUNTIF($Y$2:$Y349,"서울병원"),"")</f>
        <v/>
      </c>
      <c r="AN349" s="10">
        <f>IF(LEFT($Y349,1)="⚠",COUNTIF($Y$2:$Y349,"⚠*"),"")</f>
        <v/>
      </c>
      <c r="AO349" s="10">
        <f>IF(OR($B349="",$Y349=""),"",IF(IF(TRIM($J349&amp;"")="",0,SUMPRODUCT((입력_파견수련계획!$Q$4:$Q$803=TRIM($J349&amp;""))*입력_파견수련계획!$AD$4:$AD$803))&gt;0,"다기관 기간 → 소속병원 지급",IF(AND(N($X349)&lt;=0,$AQ349=""),"파견 없음 → 그 달 근무병원 지급",IF($AH349+$AI349=DAY(EOMONTH(출력_요약!$B$3,0)),"서울 "&amp;$AH349&amp;"일 / 구리 "&amp;$AI349&amp;"일"&amp;IF($AQ349&lt;&gt;""," (구리 근무자명단 반영)","")&amp;" → 15일 이상 근무 병원 지급","타 병원 포함 → "&amp;IF($AJ349="","소속",INDEX(입력_파견수련계획!$T$4:$T$803,$AJ349))&amp;" 규칙"))))</f>
        <v/>
      </c>
      <c r="AP349" s="10">
        <f>IF($B349="","",$C349&amp;"|"&amp;$F349)</f>
        <v/>
      </c>
      <c r="AQ349" s="10">
        <f>IF($B349="","",IFERROR(MATCH(ROW()-1,출력_구리근무자!$K$6:$K$305,0),""))</f>
        <v/>
      </c>
      <c r="AR349" s="10">
        <f>IF($AQ349="","",INDEX(출력_구리근무자!$H$6:$H$305,$AQ349))</f>
        <v/>
      </c>
    </row>
    <row r="350">
      <c r="A350" s="10">
        <f>IF(B350="","",ROW()-1)</f>
        <v/>
      </c>
      <c r="B350" s="19" t="n"/>
      <c r="C350" s="10">
        <f>IF($AB350="","",IF(INDEX(입력_기본자료!$C$2:$C$1001,$AB350)="","",INDEX(입력_기본자료!$C$2:$C$1001,$AB350)))</f>
        <v/>
      </c>
      <c r="D350" s="10">
        <f>IF($AB350="","",IF(INDEX(입력_기본자료!$J$2:$J$1001,$AB350)="","",INDEX(입력_기본자료!$J$2:$J$1001,$AB350)))</f>
        <v/>
      </c>
      <c r="E350" s="11">
        <f>IF($AB350="","",IF(INDEX(입력_기본자료!$K$2:$K$1001,$AB350)="","",IF(NOT(ISNUMBER(INDEX(입력_기본자료!$K$2:$K$1001,$AB350))),INDEX(입력_기본자료!$K$2:$K$1001,$AB350),IF(INDEX(입력_기본자료!$K$2:$K$1001,$AB350)&lt;1000000,INDEX(입력_기본자료!$K$2:$K$1001,$AB350),IF(AND(INDEX(입력_기본자료!$K$2:$K$1001,$AB350)&gt;=10000101,INT(MOD(INDEX(입력_기본자료!$K$2:$K$1001,$AB350),10000)/100)&gt;=1,INT(MOD(INDEX(입력_기본자료!$K$2:$K$1001,$AB350),10000)/100)&lt;=12,MOD(INDEX(입력_기본자료!$K$2:$K$1001,$AB350),100)&gt;=1,MOD(INDEX(입력_기본자료!$K$2:$K$1001,$AB350),100)&lt;=31),DATE(INT(INDEX(입력_기본자료!$K$2:$K$1001,$AB350)/10000),INT(MOD(INDEX(입력_기본자료!$K$2:$K$1001,$AB350),10000)/100),MOD(INDEX(입력_기본자료!$K$2:$K$1001,$AB350),100)),INDEX(입력_기본자료!$K$2:$K$1001,$AB350)&amp;"")))))</f>
        <v/>
      </c>
      <c r="F350" s="10">
        <f>IF($AB350="","",IF(INDEX(입력_기본자료!$D$2:$D$1001,$AB350)="","",INDEX(입력_기본자료!$D$2:$D$1001,$AB350)))</f>
        <v/>
      </c>
      <c r="G350" s="10">
        <f>IF($AB350="","",IF(INDEX(입력_기본자료!$E$2:$E$1001,$AB350)="","",INDEX(입력_기본자료!$E$2:$E$1001,$AB350)))</f>
        <v/>
      </c>
      <c r="H350" s="10">
        <f>IF($AB350="","",IF(INDEX(입력_기본자료!$F$2:$F$1001,$AB350)="","",INDEX(입력_기본자료!$F$2:$F$1001,$AB350)))</f>
        <v/>
      </c>
      <c r="I350" s="11">
        <f>IF($AB350="","",IF(INDEX(입력_기본자료!$G$2:$G$1001,$AB350)="","",IF(NOT(ISNUMBER(INDEX(입력_기본자료!$G$2:$G$1001,$AB350))),INDEX(입력_기본자료!$G$2:$G$1001,$AB350),IF(INDEX(입력_기본자료!$G$2:$G$1001,$AB350)&lt;1000000,INDEX(입력_기본자료!$G$2:$G$1001,$AB350),IF(AND(INDEX(입력_기본자료!$G$2:$G$1001,$AB350)&gt;=10000101,INT(MOD(INDEX(입력_기본자료!$G$2:$G$1001,$AB350),10000)/100)&gt;=1,INT(MOD(INDEX(입력_기본자료!$G$2:$G$1001,$AB350),10000)/100)&lt;=12,MOD(INDEX(입력_기본자료!$G$2:$G$1001,$AB350),100)&gt;=1,MOD(INDEX(입력_기본자료!$G$2:$G$1001,$AB350),100)&lt;=31),DATE(INT(INDEX(입력_기본자료!$G$2:$G$1001,$AB350)/10000),INT(MOD(INDEX(입력_기본자료!$G$2:$G$1001,$AB350),10000)/100),MOD(INDEX(입력_기본자료!$G$2:$G$1001,$AB350),100)),INDEX(입력_기본자료!$G$2:$G$1001,$AB350)&amp;"")))))</f>
        <v/>
      </c>
      <c r="J350" s="10">
        <f>IF($AB350="","",IF(INDEX(입력_기본자료!$H$2:$H$1001,$AB350)="","",INDEX(입력_기본자료!$H$2:$H$1001,$AB350)))</f>
        <v/>
      </c>
      <c r="K350" s="10">
        <f>IF($AB350="","",IF(INDEX(입력_기본자료!$I$2:$I$1001,$AB350)="","",INDEX(입력_기본자료!$I$2:$I$1001,$AB350)))</f>
        <v/>
      </c>
      <c r="L350" s="10">
        <f>IF($AB350="","",IF(INDEX(입력_기본자료!$A$2:$A$1001,$AB350)="","",INDEX(입력_기본자료!$A$2:$A$1001,$AB350)))</f>
        <v/>
      </c>
      <c r="M350" s="15" t="n"/>
      <c r="N350" s="10">
        <f>IF($B350="","",IF(AND($U350="파견중",$Q350&lt;&gt;""),$Q350,IF(AND($AD350&lt;&gt;"",LEFT($AD350,1)&lt;&gt;"⚠"),LEFT($AD350,FIND(" ",$AD350)-1),IF($H350="","",IF(RIGHT($H350,2)="병원",$H350,$H350&amp;"병원")))))</f>
        <v/>
      </c>
      <c r="O350" s="10">
        <f>IF($B350="","",IF(AND($U350="파견중",$Q350&lt;&gt;""),IF($R350&lt;&gt;"",$R350,"파견과 미입력"),IF(AND($AD350&lt;&gt;"",LEFT($AD350,1)&lt;&gt;"⚠"),MID($AD350,FIND(" ",$AD350)+1,60),IF($F350="","",IF($F350="인턴","수련교육부(인턴)",$F350)))))</f>
        <v/>
      </c>
      <c r="P350" s="10">
        <f>IF($B350="","",IF($AK350&lt;&gt;"",IF(AND(TODAY()&gt;=INDEX(입력_파견수련계획!$AB$4:$AB$803,$AK350),OR(NOT(ISNUMBER(INDEX(입력_파견수련계획!$AC$4:$AC$803,$AK350))),TODAY()&lt;=INDEX(입력_파견수련계획!$AC$4:$AC$803,$AK350))),"다기관",IF($AF350="","",INDEX(입력_파견수련계획!$T$4:$T$803,$AF350))),IF($AF350="","",INDEX(입력_파견수련계획!$T$4:$T$803,$AF350))))</f>
        <v/>
      </c>
      <c r="Q350" s="10">
        <f>IF($AF350="","",INDEX(입력_파견수련계획!$S$4:$S$803,$AF350))</f>
        <v/>
      </c>
      <c r="R350" s="10">
        <f>IF($AF350="","",INDEX(입력_파견수련계획!$U$4:$U$803,$AF350))</f>
        <v/>
      </c>
      <c r="S350" s="11">
        <f>IF($AF350="","",IF(INDEX(입력_파견수련계획!$H$4:$H$803,$AF350)="","",INDEX(입력_파견수련계획!$H$4:$H$803,$AF350)))</f>
        <v/>
      </c>
      <c r="T350" s="11">
        <f>IF($AF350="","",IF(INDEX(입력_파견수련계획!$I$4:$I$803,$AF350)="","",INDEX(입력_파견수련계획!$I$4:$I$803,$AF350)))</f>
        <v/>
      </c>
      <c r="U350" s="10">
        <f>IF($AF350="","",INDEX(입력_파견수련계획!$X$4:$X$803,$AF350))</f>
        <v/>
      </c>
      <c r="V350" s="17">
        <f>IF($AF350="","",INDEX(입력_파견수련계획!$V$4:$V$803,$AF350))</f>
        <v/>
      </c>
      <c r="W350" s="17">
        <f>IF(AND($U350="파견중",$T350&lt;&gt;""),$T350-TODAY(),"")</f>
        <v/>
      </c>
      <c r="X350" s="17">
        <f>IF(OR($B350="",TRIM($J350&amp;"")=""),"",SUMPRODUCT((입력_파견수련계획!$Q$4:$Q$803=TRIM($J350&amp;""))*입력_파견수련계획!$W$4:$W$803))</f>
        <v/>
      </c>
      <c r="Y350" s="10">
        <f>IF($B350="","",IF($AG350="","",IF(IF(TRIM($J350&amp;"")="",0,SUMPRODUCT((입력_파견수련계획!$Q$4:$Q$803=TRIM($J350&amp;""))*입력_파견수련계획!$AD$4:$AD$803))&gt;0,$AE350,IF(AND(N($X350)&lt;=0,$AQ350=""),$AG350,IF($AH350+$AI350=DAY(EOMONTH(출력_요약!$B$3,0)),IF(AND($AH350&gt;=출력_요약!$E$3,$AI350&lt;출력_요약!$E$3),"서울병원",IF(AND($AI350&gt;=출력_요약!$E$3,$AH350&lt;출력_요약!$E$3),"구리병원","⚠15일 판정불가(서울 "&amp;$AH350&amp;"일/구리 "&amp;$AI350&amp;"일)")),IF($AJ350="",$AE350,IF(INDEX(입력_파견수련계획!$T$4:$T$803,$AJ350)="통합수련",INDEX(입력_파견수련계획!$S$4:$S$803,$AJ350),$AE350)))))))</f>
        <v/>
      </c>
      <c r="Z350" s="20">
        <f>IF($B350="","",IF($AB350="","기본자료에 없는 사번",IF(COUNTIF($B$2:$B$401,$B350)&gt;1,"중복 사번",IF($AE350="","소속(입사장소) 입력",IF(IF(TRIM($J350&amp;"")="",0,SUMPRODUCT((입력_파견수련계획!$Q$4:$Q$803=TRIM($J350&amp;""))*(입력_파견수련계획!$AA$4:$AA$803&lt;&gt;"")))&gt;0,"파견수련계획 입력오류 확인",IF(LEFT($Y350,1)="⚠","서울·구리 15일 판정 불가(양쪽 모두 이상/미만)",IF(IF($AC350="",0,N(INDEX(입력_인턴근무계획!$T$3:$T$402,$AC350)))&gt;0,"인턴계획 입력오류 확인",IF(AND($AQ350&lt;&gt;"",$AG350&lt;&gt;"구리병원",IF(TRIM($J350&amp;"")="",0,SUMPRODUCT((입력_파견수련계획!$Q$4:$Q$803=TRIM($J350&amp;""))*(입력_파견수련계획!$S$4:$S$803="구리병원")*입력_파견수련계획!$W$4:$W$803))=0),"구리 근무자명단에만 있음(파견수련계획 확인)",IF(AND($AC350&lt;&gt;"",$U350&lt;&gt;"파견중",$N350&lt;&gt;$AE350),"인턴 타지역 근무: 파견 여부 확인","정상")))))))))</f>
        <v/>
      </c>
      <c r="AA350" s="5" t="n"/>
      <c r="AB350" s="10">
        <f>IF($B350="","",IFERROR(MATCH($B350,입력_기본자료!$B$2:$B$1001,0),IFERROR(MATCH($B350&amp;"",입력_기본자료!$B$2:$B$1001,0),IFERROR(MATCH(VALUE($B350),입력_기본자료!$B$2:$B$1001,0),""))))</f>
        <v/>
      </c>
      <c r="AC350" s="10">
        <f>IF($B350="","",IFERROR(MATCH($B350,입력_인턴근무계획!$D$3:$D$402,0),IFERROR(MATCH($B350&amp;"",입력_인턴근무계획!$D$3:$D$402,0),IFERROR(MATCH(VALUE($B350),입력_인턴근무계획!$D$3:$D$402,0),""))))</f>
        <v/>
      </c>
      <c r="AD350" s="10">
        <f>IF(OR($AC350="",출력_인턴현황!$G$3=""),"",INDEX(입력_인턴근무계획!$M$3:$R$402,$AC350,출력_인턴현황!$G$3)&amp;"")</f>
        <v/>
      </c>
      <c r="AE350" s="10">
        <f>IF($B350="","",IF($M350&lt;&gt;"",$M350,IF(IF($AQ350="",FALSE,INDEX(출력_구리근무자!$J$6:$J$305,$AQ350)="구리독자"),"구리병원",IF($AF350&lt;&gt;"",IF(LEFT(INDEX(입력_파견수련계획!$R$4:$R$803,$AF350),1)&lt;&gt;"⚠",INDEX(입력_파견수련계획!$R$4:$R$803,$AF350),IF($H350="","",IF(RIGHT($H350,2)="병원",$H350,$H350&amp;"병원"))),IF($H350="","",IF(RIGHT($H350,2)="병원",$H350,$H350&amp;"병원"))))))</f>
        <v/>
      </c>
      <c r="AF350" s="10">
        <f>IF(OR($B350="",TRIM($J350&amp;"")=""),"",IFERROR(MATCH(TRIM($J350&amp;"")&amp;"|파견중",입력_파견수련계획!$Y$4:$Y$803,0),IFERROR(MATCH(TRIM($J350&amp;"")&amp;"|파견예정",입력_파견수련계획!$Y$4:$Y$803,0),IFERROR(MATCH(TRIM($J350&amp;"")&amp;"|파견종료",입력_파견수련계획!$Y$4:$Y$803,0),""))))</f>
        <v/>
      </c>
      <c r="AG350" s="10">
        <f>IF($B350="","",IF(AND(IF(OR($AC350="",출력_인턴현황!$K$2=""),"",INDEX(입력_인턴근무계획!$M$3:$R$402,$AC350,출력_인턴현황!$K$2)&amp;"")&lt;&gt;"",LEFT(IF(OR($AC350="",출력_인턴현황!$K$2=""),"",INDEX(입력_인턴근무계획!$M$3:$R$402,$AC350,출력_인턴현황!$K$2)&amp;""),1)&lt;&gt;"⚠"),LEFT(IF(OR($AC350="",출력_인턴현황!$K$2=""),"",INDEX(입력_인턴근무계획!$M$3:$R$402,$AC350,출력_인턴현황!$K$2)&amp;""),FIND(" ",IF(OR($AC350="",출력_인턴현황!$K$2=""),"",INDEX(입력_인턴근무계획!$M$3:$R$402,$AC350,출력_인턴현황!$K$2)&amp;""))-1),$AE350))</f>
        <v/>
      </c>
      <c r="AH350" s="17">
        <f>IF($B350="","",IF($AQ350&lt;&gt;"",MAX(0,DAY(EOMONTH(출력_요약!$B$3,0))-N($AR350)),IF(TRIM($J350&amp;"")="",0,SUMPRODUCT((입력_파견수련계획!$Q$4:$Q$803=TRIM($J350&amp;""))*(입력_파견수련계획!$S$4:$S$803="서울병원")*입력_파견수련계획!$W$4:$W$803))+IF($AG350="서울병원",MAX(0,DAY(EOMONTH(출력_요약!$B$3,0))-N($X350)),0)))</f>
        <v/>
      </c>
      <c r="AI350" s="17">
        <f>IF($B350="","",IF($AQ350&lt;&gt;"",N($AR350),IF(TRIM($J350&amp;"")="",0,SUMPRODUCT((입력_파견수련계획!$Q$4:$Q$803=TRIM($J350&amp;""))*(입력_파견수련계획!$S$4:$S$803="구리병원")*입력_파견수련계획!$W$4:$W$803))+IF($AG350="구리병원",MAX(0,DAY(EOMONTH(출력_요약!$B$3,0))-N($X350)),0)))</f>
        <v/>
      </c>
      <c r="AJ350" s="10">
        <f>IF(OR($B350="",TRIM($J350&amp;"")=""),"",IFERROR(MATCH(TRIM($J350&amp;"")&amp;"|월",입력_파견수련계획!$Z$4:$Z$803,0),""))</f>
        <v/>
      </c>
      <c r="AK350" s="10">
        <f>IF(OR($B350="",TRIM($J350&amp;"")=""),"",IFERROR(MATCH(TRIM($J350&amp;"")&amp;"|다기관",입력_파견수련계획!$AE$4:$AE$803,0),""))</f>
        <v/>
      </c>
      <c r="AL350" s="10">
        <f>IF($AK350="","","다기관 "&amp;TEXT(INDEX(입력_파견수련계획!$AB$4:$AB$803,$AK350),"yyyy-mm-dd")&amp;"~"&amp;IF(ISNUMBER(INDEX(입력_파견수련계획!$AC$4:$AC$803,$AK350)),TEXT(INDEX(입력_파견수련계획!$AC$4:$AC$803,$AK350),"yyyy-mm-dd"),""))</f>
        <v/>
      </c>
      <c r="AM350" s="10">
        <f>IF($Y350="서울병원",COUNTIF($Y$2:$Y350,"서울병원"),"")</f>
        <v/>
      </c>
      <c r="AN350" s="10">
        <f>IF(LEFT($Y350,1)="⚠",COUNTIF($Y$2:$Y350,"⚠*"),"")</f>
        <v/>
      </c>
      <c r="AO350" s="10">
        <f>IF(OR($B350="",$Y350=""),"",IF(IF(TRIM($J350&amp;"")="",0,SUMPRODUCT((입력_파견수련계획!$Q$4:$Q$803=TRIM($J350&amp;""))*입력_파견수련계획!$AD$4:$AD$803))&gt;0,"다기관 기간 → 소속병원 지급",IF(AND(N($X350)&lt;=0,$AQ350=""),"파견 없음 → 그 달 근무병원 지급",IF($AH350+$AI350=DAY(EOMONTH(출력_요약!$B$3,0)),"서울 "&amp;$AH350&amp;"일 / 구리 "&amp;$AI350&amp;"일"&amp;IF($AQ350&lt;&gt;""," (구리 근무자명단 반영)","")&amp;" → 15일 이상 근무 병원 지급","타 병원 포함 → "&amp;IF($AJ350="","소속",INDEX(입력_파견수련계획!$T$4:$T$803,$AJ350))&amp;" 규칙"))))</f>
        <v/>
      </c>
      <c r="AP350" s="10">
        <f>IF($B350="","",$C350&amp;"|"&amp;$F350)</f>
        <v/>
      </c>
      <c r="AQ350" s="10">
        <f>IF($B350="","",IFERROR(MATCH(ROW()-1,출력_구리근무자!$K$6:$K$305,0),""))</f>
        <v/>
      </c>
      <c r="AR350" s="10">
        <f>IF($AQ350="","",INDEX(출력_구리근무자!$H$6:$H$305,$AQ350))</f>
        <v/>
      </c>
    </row>
    <row r="351">
      <c r="A351" s="10">
        <f>IF(B351="","",ROW()-1)</f>
        <v/>
      </c>
      <c r="B351" s="19" t="n"/>
      <c r="C351" s="10">
        <f>IF($AB351="","",IF(INDEX(입력_기본자료!$C$2:$C$1001,$AB351)="","",INDEX(입력_기본자료!$C$2:$C$1001,$AB351)))</f>
        <v/>
      </c>
      <c r="D351" s="10">
        <f>IF($AB351="","",IF(INDEX(입력_기본자료!$J$2:$J$1001,$AB351)="","",INDEX(입력_기본자료!$J$2:$J$1001,$AB351)))</f>
        <v/>
      </c>
      <c r="E351" s="11">
        <f>IF($AB351="","",IF(INDEX(입력_기본자료!$K$2:$K$1001,$AB351)="","",IF(NOT(ISNUMBER(INDEX(입력_기본자료!$K$2:$K$1001,$AB351))),INDEX(입력_기본자료!$K$2:$K$1001,$AB351),IF(INDEX(입력_기본자료!$K$2:$K$1001,$AB351)&lt;1000000,INDEX(입력_기본자료!$K$2:$K$1001,$AB351),IF(AND(INDEX(입력_기본자료!$K$2:$K$1001,$AB351)&gt;=10000101,INT(MOD(INDEX(입력_기본자료!$K$2:$K$1001,$AB351),10000)/100)&gt;=1,INT(MOD(INDEX(입력_기본자료!$K$2:$K$1001,$AB351),10000)/100)&lt;=12,MOD(INDEX(입력_기본자료!$K$2:$K$1001,$AB351),100)&gt;=1,MOD(INDEX(입력_기본자료!$K$2:$K$1001,$AB351),100)&lt;=31),DATE(INT(INDEX(입력_기본자료!$K$2:$K$1001,$AB351)/10000),INT(MOD(INDEX(입력_기본자료!$K$2:$K$1001,$AB351),10000)/100),MOD(INDEX(입력_기본자료!$K$2:$K$1001,$AB351),100)),INDEX(입력_기본자료!$K$2:$K$1001,$AB351)&amp;"")))))</f>
        <v/>
      </c>
      <c r="F351" s="10">
        <f>IF($AB351="","",IF(INDEX(입력_기본자료!$D$2:$D$1001,$AB351)="","",INDEX(입력_기본자료!$D$2:$D$1001,$AB351)))</f>
        <v/>
      </c>
      <c r="G351" s="10">
        <f>IF($AB351="","",IF(INDEX(입력_기본자료!$E$2:$E$1001,$AB351)="","",INDEX(입력_기본자료!$E$2:$E$1001,$AB351)))</f>
        <v/>
      </c>
      <c r="H351" s="10">
        <f>IF($AB351="","",IF(INDEX(입력_기본자료!$F$2:$F$1001,$AB351)="","",INDEX(입력_기본자료!$F$2:$F$1001,$AB351)))</f>
        <v/>
      </c>
      <c r="I351" s="11">
        <f>IF($AB351="","",IF(INDEX(입력_기본자료!$G$2:$G$1001,$AB351)="","",IF(NOT(ISNUMBER(INDEX(입력_기본자료!$G$2:$G$1001,$AB351))),INDEX(입력_기본자료!$G$2:$G$1001,$AB351),IF(INDEX(입력_기본자료!$G$2:$G$1001,$AB351)&lt;1000000,INDEX(입력_기본자료!$G$2:$G$1001,$AB351),IF(AND(INDEX(입력_기본자료!$G$2:$G$1001,$AB351)&gt;=10000101,INT(MOD(INDEX(입력_기본자료!$G$2:$G$1001,$AB351),10000)/100)&gt;=1,INT(MOD(INDEX(입력_기본자료!$G$2:$G$1001,$AB351),10000)/100)&lt;=12,MOD(INDEX(입력_기본자료!$G$2:$G$1001,$AB351),100)&gt;=1,MOD(INDEX(입력_기본자료!$G$2:$G$1001,$AB351),100)&lt;=31),DATE(INT(INDEX(입력_기본자료!$G$2:$G$1001,$AB351)/10000),INT(MOD(INDEX(입력_기본자료!$G$2:$G$1001,$AB351),10000)/100),MOD(INDEX(입력_기본자료!$G$2:$G$1001,$AB351),100)),INDEX(입력_기본자료!$G$2:$G$1001,$AB351)&amp;"")))))</f>
        <v/>
      </c>
      <c r="J351" s="10">
        <f>IF($AB351="","",IF(INDEX(입력_기본자료!$H$2:$H$1001,$AB351)="","",INDEX(입력_기본자료!$H$2:$H$1001,$AB351)))</f>
        <v/>
      </c>
      <c r="K351" s="10">
        <f>IF($AB351="","",IF(INDEX(입력_기본자료!$I$2:$I$1001,$AB351)="","",INDEX(입력_기본자료!$I$2:$I$1001,$AB351)))</f>
        <v/>
      </c>
      <c r="L351" s="10">
        <f>IF($AB351="","",IF(INDEX(입력_기본자료!$A$2:$A$1001,$AB351)="","",INDEX(입력_기본자료!$A$2:$A$1001,$AB351)))</f>
        <v/>
      </c>
      <c r="M351" s="15" t="n"/>
      <c r="N351" s="10">
        <f>IF($B351="","",IF(AND($U351="파견중",$Q351&lt;&gt;""),$Q351,IF(AND($AD351&lt;&gt;"",LEFT($AD351,1)&lt;&gt;"⚠"),LEFT($AD351,FIND(" ",$AD351)-1),IF($H351="","",IF(RIGHT($H351,2)="병원",$H351,$H351&amp;"병원")))))</f>
        <v/>
      </c>
      <c r="O351" s="10">
        <f>IF($B351="","",IF(AND($U351="파견중",$Q351&lt;&gt;""),IF($R351&lt;&gt;"",$R351,"파견과 미입력"),IF(AND($AD351&lt;&gt;"",LEFT($AD351,1)&lt;&gt;"⚠"),MID($AD351,FIND(" ",$AD351)+1,60),IF($F351="","",IF($F351="인턴","수련교육부(인턴)",$F351)))))</f>
        <v/>
      </c>
      <c r="P351" s="10">
        <f>IF($B351="","",IF($AK351&lt;&gt;"",IF(AND(TODAY()&gt;=INDEX(입력_파견수련계획!$AB$4:$AB$803,$AK351),OR(NOT(ISNUMBER(INDEX(입력_파견수련계획!$AC$4:$AC$803,$AK351))),TODAY()&lt;=INDEX(입력_파견수련계획!$AC$4:$AC$803,$AK351))),"다기관",IF($AF351="","",INDEX(입력_파견수련계획!$T$4:$T$803,$AF351))),IF($AF351="","",INDEX(입력_파견수련계획!$T$4:$T$803,$AF351))))</f>
        <v/>
      </c>
      <c r="Q351" s="10">
        <f>IF($AF351="","",INDEX(입력_파견수련계획!$S$4:$S$803,$AF351))</f>
        <v/>
      </c>
      <c r="R351" s="10">
        <f>IF($AF351="","",INDEX(입력_파견수련계획!$U$4:$U$803,$AF351))</f>
        <v/>
      </c>
      <c r="S351" s="11">
        <f>IF($AF351="","",IF(INDEX(입력_파견수련계획!$H$4:$H$803,$AF351)="","",INDEX(입력_파견수련계획!$H$4:$H$803,$AF351)))</f>
        <v/>
      </c>
      <c r="T351" s="11">
        <f>IF($AF351="","",IF(INDEX(입력_파견수련계획!$I$4:$I$803,$AF351)="","",INDEX(입력_파견수련계획!$I$4:$I$803,$AF351)))</f>
        <v/>
      </c>
      <c r="U351" s="10">
        <f>IF($AF351="","",INDEX(입력_파견수련계획!$X$4:$X$803,$AF351))</f>
        <v/>
      </c>
      <c r="V351" s="17">
        <f>IF($AF351="","",INDEX(입력_파견수련계획!$V$4:$V$803,$AF351))</f>
        <v/>
      </c>
      <c r="W351" s="17">
        <f>IF(AND($U351="파견중",$T351&lt;&gt;""),$T351-TODAY(),"")</f>
        <v/>
      </c>
      <c r="X351" s="17">
        <f>IF(OR($B351="",TRIM($J351&amp;"")=""),"",SUMPRODUCT((입력_파견수련계획!$Q$4:$Q$803=TRIM($J351&amp;""))*입력_파견수련계획!$W$4:$W$803))</f>
        <v/>
      </c>
      <c r="Y351" s="10">
        <f>IF($B351="","",IF($AG351="","",IF(IF(TRIM($J351&amp;"")="",0,SUMPRODUCT((입력_파견수련계획!$Q$4:$Q$803=TRIM($J351&amp;""))*입력_파견수련계획!$AD$4:$AD$803))&gt;0,$AE351,IF(AND(N($X351)&lt;=0,$AQ351=""),$AG351,IF($AH351+$AI351=DAY(EOMONTH(출력_요약!$B$3,0)),IF(AND($AH351&gt;=출력_요약!$E$3,$AI351&lt;출력_요약!$E$3),"서울병원",IF(AND($AI351&gt;=출력_요약!$E$3,$AH351&lt;출력_요약!$E$3),"구리병원","⚠15일 판정불가(서울 "&amp;$AH351&amp;"일/구리 "&amp;$AI351&amp;"일)")),IF($AJ351="",$AE351,IF(INDEX(입력_파견수련계획!$T$4:$T$803,$AJ351)="통합수련",INDEX(입력_파견수련계획!$S$4:$S$803,$AJ351),$AE351)))))))</f>
        <v/>
      </c>
      <c r="Z351" s="20">
        <f>IF($B351="","",IF($AB351="","기본자료에 없는 사번",IF(COUNTIF($B$2:$B$401,$B351)&gt;1,"중복 사번",IF($AE351="","소속(입사장소) 입력",IF(IF(TRIM($J351&amp;"")="",0,SUMPRODUCT((입력_파견수련계획!$Q$4:$Q$803=TRIM($J351&amp;""))*(입력_파견수련계획!$AA$4:$AA$803&lt;&gt;"")))&gt;0,"파견수련계획 입력오류 확인",IF(LEFT($Y351,1)="⚠","서울·구리 15일 판정 불가(양쪽 모두 이상/미만)",IF(IF($AC351="",0,N(INDEX(입력_인턴근무계획!$T$3:$T$402,$AC351)))&gt;0,"인턴계획 입력오류 확인",IF(AND($AQ351&lt;&gt;"",$AG351&lt;&gt;"구리병원",IF(TRIM($J351&amp;"")="",0,SUMPRODUCT((입력_파견수련계획!$Q$4:$Q$803=TRIM($J351&amp;""))*(입력_파견수련계획!$S$4:$S$803="구리병원")*입력_파견수련계획!$W$4:$W$803))=0),"구리 근무자명단에만 있음(파견수련계획 확인)",IF(AND($AC351&lt;&gt;"",$U351&lt;&gt;"파견중",$N351&lt;&gt;$AE351),"인턴 타지역 근무: 파견 여부 확인","정상")))))))))</f>
        <v/>
      </c>
      <c r="AA351" s="5" t="n"/>
      <c r="AB351" s="10">
        <f>IF($B351="","",IFERROR(MATCH($B351,입력_기본자료!$B$2:$B$1001,0),IFERROR(MATCH($B351&amp;"",입력_기본자료!$B$2:$B$1001,0),IFERROR(MATCH(VALUE($B351),입력_기본자료!$B$2:$B$1001,0),""))))</f>
        <v/>
      </c>
      <c r="AC351" s="10">
        <f>IF($B351="","",IFERROR(MATCH($B351,입력_인턴근무계획!$D$3:$D$402,0),IFERROR(MATCH($B351&amp;"",입력_인턴근무계획!$D$3:$D$402,0),IFERROR(MATCH(VALUE($B351),입력_인턴근무계획!$D$3:$D$402,0),""))))</f>
        <v/>
      </c>
      <c r="AD351" s="10">
        <f>IF(OR($AC351="",출력_인턴현황!$G$3=""),"",INDEX(입력_인턴근무계획!$M$3:$R$402,$AC351,출력_인턴현황!$G$3)&amp;"")</f>
        <v/>
      </c>
      <c r="AE351" s="10">
        <f>IF($B351="","",IF($M351&lt;&gt;"",$M351,IF(IF($AQ351="",FALSE,INDEX(출력_구리근무자!$J$6:$J$305,$AQ351)="구리독자"),"구리병원",IF($AF351&lt;&gt;"",IF(LEFT(INDEX(입력_파견수련계획!$R$4:$R$803,$AF351),1)&lt;&gt;"⚠",INDEX(입력_파견수련계획!$R$4:$R$803,$AF351),IF($H351="","",IF(RIGHT($H351,2)="병원",$H351,$H351&amp;"병원"))),IF($H351="","",IF(RIGHT($H351,2)="병원",$H351,$H351&amp;"병원"))))))</f>
        <v/>
      </c>
      <c r="AF351" s="10">
        <f>IF(OR($B351="",TRIM($J351&amp;"")=""),"",IFERROR(MATCH(TRIM($J351&amp;"")&amp;"|파견중",입력_파견수련계획!$Y$4:$Y$803,0),IFERROR(MATCH(TRIM($J351&amp;"")&amp;"|파견예정",입력_파견수련계획!$Y$4:$Y$803,0),IFERROR(MATCH(TRIM($J351&amp;"")&amp;"|파견종료",입력_파견수련계획!$Y$4:$Y$803,0),""))))</f>
        <v/>
      </c>
      <c r="AG351" s="10">
        <f>IF($B351="","",IF(AND(IF(OR($AC351="",출력_인턴현황!$K$2=""),"",INDEX(입력_인턴근무계획!$M$3:$R$402,$AC351,출력_인턴현황!$K$2)&amp;"")&lt;&gt;"",LEFT(IF(OR($AC351="",출력_인턴현황!$K$2=""),"",INDEX(입력_인턴근무계획!$M$3:$R$402,$AC351,출력_인턴현황!$K$2)&amp;""),1)&lt;&gt;"⚠"),LEFT(IF(OR($AC351="",출력_인턴현황!$K$2=""),"",INDEX(입력_인턴근무계획!$M$3:$R$402,$AC351,출력_인턴현황!$K$2)&amp;""),FIND(" ",IF(OR($AC351="",출력_인턴현황!$K$2=""),"",INDEX(입력_인턴근무계획!$M$3:$R$402,$AC351,출력_인턴현황!$K$2)&amp;""))-1),$AE351))</f>
        <v/>
      </c>
      <c r="AH351" s="17">
        <f>IF($B351="","",IF($AQ351&lt;&gt;"",MAX(0,DAY(EOMONTH(출력_요약!$B$3,0))-N($AR351)),IF(TRIM($J351&amp;"")="",0,SUMPRODUCT((입력_파견수련계획!$Q$4:$Q$803=TRIM($J351&amp;""))*(입력_파견수련계획!$S$4:$S$803="서울병원")*입력_파견수련계획!$W$4:$W$803))+IF($AG351="서울병원",MAX(0,DAY(EOMONTH(출력_요약!$B$3,0))-N($X351)),0)))</f>
        <v/>
      </c>
      <c r="AI351" s="17">
        <f>IF($B351="","",IF($AQ351&lt;&gt;"",N($AR351),IF(TRIM($J351&amp;"")="",0,SUMPRODUCT((입력_파견수련계획!$Q$4:$Q$803=TRIM($J351&amp;""))*(입력_파견수련계획!$S$4:$S$803="구리병원")*입력_파견수련계획!$W$4:$W$803))+IF($AG351="구리병원",MAX(0,DAY(EOMONTH(출력_요약!$B$3,0))-N($X351)),0)))</f>
        <v/>
      </c>
      <c r="AJ351" s="10">
        <f>IF(OR($B351="",TRIM($J351&amp;"")=""),"",IFERROR(MATCH(TRIM($J351&amp;"")&amp;"|월",입력_파견수련계획!$Z$4:$Z$803,0),""))</f>
        <v/>
      </c>
      <c r="AK351" s="10">
        <f>IF(OR($B351="",TRIM($J351&amp;"")=""),"",IFERROR(MATCH(TRIM($J351&amp;"")&amp;"|다기관",입력_파견수련계획!$AE$4:$AE$803,0),""))</f>
        <v/>
      </c>
      <c r="AL351" s="10">
        <f>IF($AK351="","","다기관 "&amp;TEXT(INDEX(입력_파견수련계획!$AB$4:$AB$803,$AK351),"yyyy-mm-dd")&amp;"~"&amp;IF(ISNUMBER(INDEX(입력_파견수련계획!$AC$4:$AC$803,$AK351)),TEXT(INDEX(입력_파견수련계획!$AC$4:$AC$803,$AK351),"yyyy-mm-dd"),""))</f>
        <v/>
      </c>
      <c r="AM351" s="10">
        <f>IF($Y351="서울병원",COUNTIF($Y$2:$Y351,"서울병원"),"")</f>
        <v/>
      </c>
      <c r="AN351" s="10">
        <f>IF(LEFT($Y351,1)="⚠",COUNTIF($Y$2:$Y351,"⚠*"),"")</f>
        <v/>
      </c>
      <c r="AO351" s="10">
        <f>IF(OR($B351="",$Y351=""),"",IF(IF(TRIM($J351&amp;"")="",0,SUMPRODUCT((입력_파견수련계획!$Q$4:$Q$803=TRIM($J351&amp;""))*입력_파견수련계획!$AD$4:$AD$803))&gt;0,"다기관 기간 → 소속병원 지급",IF(AND(N($X351)&lt;=0,$AQ351=""),"파견 없음 → 그 달 근무병원 지급",IF($AH351+$AI351=DAY(EOMONTH(출력_요약!$B$3,0)),"서울 "&amp;$AH351&amp;"일 / 구리 "&amp;$AI351&amp;"일"&amp;IF($AQ351&lt;&gt;""," (구리 근무자명단 반영)","")&amp;" → 15일 이상 근무 병원 지급","타 병원 포함 → "&amp;IF($AJ351="","소속",INDEX(입력_파견수련계획!$T$4:$T$803,$AJ351))&amp;" 규칙"))))</f>
        <v/>
      </c>
      <c r="AP351" s="10">
        <f>IF($B351="","",$C351&amp;"|"&amp;$F351)</f>
        <v/>
      </c>
      <c r="AQ351" s="10">
        <f>IF($B351="","",IFERROR(MATCH(ROW()-1,출력_구리근무자!$K$6:$K$305,0),""))</f>
        <v/>
      </c>
      <c r="AR351" s="10">
        <f>IF($AQ351="","",INDEX(출력_구리근무자!$H$6:$H$305,$AQ351))</f>
        <v/>
      </c>
    </row>
    <row r="352">
      <c r="A352" s="10">
        <f>IF(B352="","",ROW()-1)</f>
        <v/>
      </c>
      <c r="B352" s="19" t="n"/>
      <c r="C352" s="10">
        <f>IF($AB352="","",IF(INDEX(입력_기본자료!$C$2:$C$1001,$AB352)="","",INDEX(입력_기본자료!$C$2:$C$1001,$AB352)))</f>
        <v/>
      </c>
      <c r="D352" s="10">
        <f>IF($AB352="","",IF(INDEX(입력_기본자료!$J$2:$J$1001,$AB352)="","",INDEX(입력_기본자료!$J$2:$J$1001,$AB352)))</f>
        <v/>
      </c>
      <c r="E352" s="11">
        <f>IF($AB352="","",IF(INDEX(입력_기본자료!$K$2:$K$1001,$AB352)="","",IF(NOT(ISNUMBER(INDEX(입력_기본자료!$K$2:$K$1001,$AB352))),INDEX(입력_기본자료!$K$2:$K$1001,$AB352),IF(INDEX(입력_기본자료!$K$2:$K$1001,$AB352)&lt;1000000,INDEX(입력_기본자료!$K$2:$K$1001,$AB352),IF(AND(INDEX(입력_기본자료!$K$2:$K$1001,$AB352)&gt;=10000101,INT(MOD(INDEX(입력_기본자료!$K$2:$K$1001,$AB352),10000)/100)&gt;=1,INT(MOD(INDEX(입력_기본자료!$K$2:$K$1001,$AB352),10000)/100)&lt;=12,MOD(INDEX(입력_기본자료!$K$2:$K$1001,$AB352),100)&gt;=1,MOD(INDEX(입력_기본자료!$K$2:$K$1001,$AB352),100)&lt;=31),DATE(INT(INDEX(입력_기본자료!$K$2:$K$1001,$AB352)/10000),INT(MOD(INDEX(입력_기본자료!$K$2:$K$1001,$AB352),10000)/100),MOD(INDEX(입력_기본자료!$K$2:$K$1001,$AB352),100)),INDEX(입력_기본자료!$K$2:$K$1001,$AB352)&amp;"")))))</f>
        <v/>
      </c>
      <c r="F352" s="10">
        <f>IF($AB352="","",IF(INDEX(입력_기본자료!$D$2:$D$1001,$AB352)="","",INDEX(입력_기본자료!$D$2:$D$1001,$AB352)))</f>
        <v/>
      </c>
      <c r="G352" s="10">
        <f>IF($AB352="","",IF(INDEX(입력_기본자료!$E$2:$E$1001,$AB352)="","",INDEX(입력_기본자료!$E$2:$E$1001,$AB352)))</f>
        <v/>
      </c>
      <c r="H352" s="10">
        <f>IF($AB352="","",IF(INDEX(입력_기본자료!$F$2:$F$1001,$AB352)="","",INDEX(입력_기본자료!$F$2:$F$1001,$AB352)))</f>
        <v/>
      </c>
      <c r="I352" s="11">
        <f>IF($AB352="","",IF(INDEX(입력_기본자료!$G$2:$G$1001,$AB352)="","",IF(NOT(ISNUMBER(INDEX(입력_기본자료!$G$2:$G$1001,$AB352))),INDEX(입력_기본자료!$G$2:$G$1001,$AB352),IF(INDEX(입력_기본자료!$G$2:$G$1001,$AB352)&lt;1000000,INDEX(입력_기본자료!$G$2:$G$1001,$AB352),IF(AND(INDEX(입력_기본자료!$G$2:$G$1001,$AB352)&gt;=10000101,INT(MOD(INDEX(입력_기본자료!$G$2:$G$1001,$AB352),10000)/100)&gt;=1,INT(MOD(INDEX(입력_기본자료!$G$2:$G$1001,$AB352),10000)/100)&lt;=12,MOD(INDEX(입력_기본자료!$G$2:$G$1001,$AB352),100)&gt;=1,MOD(INDEX(입력_기본자료!$G$2:$G$1001,$AB352),100)&lt;=31),DATE(INT(INDEX(입력_기본자료!$G$2:$G$1001,$AB352)/10000),INT(MOD(INDEX(입력_기본자료!$G$2:$G$1001,$AB352),10000)/100),MOD(INDEX(입력_기본자료!$G$2:$G$1001,$AB352),100)),INDEX(입력_기본자료!$G$2:$G$1001,$AB352)&amp;"")))))</f>
        <v/>
      </c>
      <c r="J352" s="10">
        <f>IF($AB352="","",IF(INDEX(입력_기본자료!$H$2:$H$1001,$AB352)="","",INDEX(입력_기본자료!$H$2:$H$1001,$AB352)))</f>
        <v/>
      </c>
      <c r="K352" s="10">
        <f>IF($AB352="","",IF(INDEX(입력_기본자료!$I$2:$I$1001,$AB352)="","",INDEX(입력_기본자료!$I$2:$I$1001,$AB352)))</f>
        <v/>
      </c>
      <c r="L352" s="10">
        <f>IF($AB352="","",IF(INDEX(입력_기본자료!$A$2:$A$1001,$AB352)="","",INDEX(입력_기본자료!$A$2:$A$1001,$AB352)))</f>
        <v/>
      </c>
      <c r="M352" s="15" t="n"/>
      <c r="N352" s="10">
        <f>IF($B352="","",IF(AND($U352="파견중",$Q352&lt;&gt;""),$Q352,IF(AND($AD352&lt;&gt;"",LEFT($AD352,1)&lt;&gt;"⚠"),LEFT($AD352,FIND(" ",$AD352)-1),IF($H352="","",IF(RIGHT($H352,2)="병원",$H352,$H352&amp;"병원")))))</f>
        <v/>
      </c>
      <c r="O352" s="10">
        <f>IF($B352="","",IF(AND($U352="파견중",$Q352&lt;&gt;""),IF($R352&lt;&gt;"",$R352,"파견과 미입력"),IF(AND($AD352&lt;&gt;"",LEFT($AD352,1)&lt;&gt;"⚠"),MID($AD352,FIND(" ",$AD352)+1,60),IF($F352="","",IF($F352="인턴","수련교육부(인턴)",$F352)))))</f>
        <v/>
      </c>
      <c r="P352" s="10">
        <f>IF($B352="","",IF($AK352&lt;&gt;"",IF(AND(TODAY()&gt;=INDEX(입력_파견수련계획!$AB$4:$AB$803,$AK352),OR(NOT(ISNUMBER(INDEX(입력_파견수련계획!$AC$4:$AC$803,$AK352))),TODAY()&lt;=INDEX(입력_파견수련계획!$AC$4:$AC$803,$AK352))),"다기관",IF($AF352="","",INDEX(입력_파견수련계획!$T$4:$T$803,$AF352))),IF($AF352="","",INDEX(입력_파견수련계획!$T$4:$T$803,$AF352))))</f>
        <v/>
      </c>
      <c r="Q352" s="10">
        <f>IF($AF352="","",INDEX(입력_파견수련계획!$S$4:$S$803,$AF352))</f>
        <v/>
      </c>
      <c r="R352" s="10">
        <f>IF($AF352="","",INDEX(입력_파견수련계획!$U$4:$U$803,$AF352))</f>
        <v/>
      </c>
      <c r="S352" s="11">
        <f>IF($AF352="","",IF(INDEX(입력_파견수련계획!$H$4:$H$803,$AF352)="","",INDEX(입력_파견수련계획!$H$4:$H$803,$AF352)))</f>
        <v/>
      </c>
      <c r="T352" s="11">
        <f>IF($AF352="","",IF(INDEX(입력_파견수련계획!$I$4:$I$803,$AF352)="","",INDEX(입력_파견수련계획!$I$4:$I$803,$AF352)))</f>
        <v/>
      </c>
      <c r="U352" s="10">
        <f>IF($AF352="","",INDEX(입력_파견수련계획!$X$4:$X$803,$AF352))</f>
        <v/>
      </c>
      <c r="V352" s="17">
        <f>IF($AF352="","",INDEX(입력_파견수련계획!$V$4:$V$803,$AF352))</f>
        <v/>
      </c>
      <c r="W352" s="17">
        <f>IF(AND($U352="파견중",$T352&lt;&gt;""),$T352-TODAY(),"")</f>
        <v/>
      </c>
      <c r="X352" s="17">
        <f>IF(OR($B352="",TRIM($J352&amp;"")=""),"",SUMPRODUCT((입력_파견수련계획!$Q$4:$Q$803=TRIM($J352&amp;""))*입력_파견수련계획!$W$4:$W$803))</f>
        <v/>
      </c>
      <c r="Y352" s="10">
        <f>IF($B352="","",IF($AG352="","",IF(IF(TRIM($J352&amp;"")="",0,SUMPRODUCT((입력_파견수련계획!$Q$4:$Q$803=TRIM($J352&amp;""))*입력_파견수련계획!$AD$4:$AD$803))&gt;0,$AE352,IF(AND(N($X352)&lt;=0,$AQ352=""),$AG352,IF($AH352+$AI352=DAY(EOMONTH(출력_요약!$B$3,0)),IF(AND($AH352&gt;=출력_요약!$E$3,$AI352&lt;출력_요약!$E$3),"서울병원",IF(AND($AI352&gt;=출력_요약!$E$3,$AH352&lt;출력_요약!$E$3),"구리병원","⚠15일 판정불가(서울 "&amp;$AH352&amp;"일/구리 "&amp;$AI352&amp;"일)")),IF($AJ352="",$AE352,IF(INDEX(입력_파견수련계획!$T$4:$T$803,$AJ352)="통합수련",INDEX(입력_파견수련계획!$S$4:$S$803,$AJ352),$AE352)))))))</f>
        <v/>
      </c>
      <c r="Z352" s="20">
        <f>IF($B352="","",IF($AB352="","기본자료에 없는 사번",IF(COUNTIF($B$2:$B$401,$B352)&gt;1,"중복 사번",IF($AE352="","소속(입사장소) 입력",IF(IF(TRIM($J352&amp;"")="",0,SUMPRODUCT((입력_파견수련계획!$Q$4:$Q$803=TRIM($J352&amp;""))*(입력_파견수련계획!$AA$4:$AA$803&lt;&gt;"")))&gt;0,"파견수련계획 입력오류 확인",IF(LEFT($Y352,1)="⚠","서울·구리 15일 판정 불가(양쪽 모두 이상/미만)",IF(IF($AC352="",0,N(INDEX(입력_인턴근무계획!$T$3:$T$402,$AC352)))&gt;0,"인턴계획 입력오류 확인",IF(AND($AQ352&lt;&gt;"",$AG352&lt;&gt;"구리병원",IF(TRIM($J352&amp;"")="",0,SUMPRODUCT((입력_파견수련계획!$Q$4:$Q$803=TRIM($J352&amp;""))*(입력_파견수련계획!$S$4:$S$803="구리병원")*입력_파견수련계획!$W$4:$W$803))=0),"구리 근무자명단에만 있음(파견수련계획 확인)",IF(AND($AC352&lt;&gt;"",$U352&lt;&gt;"파견중",$N352&lt;&gt;$AE352),"인턴 타지역 근무: 파견 여부 확인","정상")))))))))</f>
        <v/>
      </c>
      <c r="AA352" s="5" t="n"/>
      <c r="AB352" s="10">
        <f>IF($B352="","",IFERROR(MATCH($B352,입력_기본자료!$B$2:$B$1001,0),IFERROR(MATCH($B352&amp;"",입력_기본자료!$B$2:$B$1001,0),IFERROR(MATCH(VALUE($B352),입력_기본자료!$B$2:$B$1001,0),""))))</f>
        <v/>
      </c>
      <c r="AC352" s="10">
        <f>IF($B352="","",IFERROR(MATCH($B352,입력_인턴근무계획!$D$3:$D$402,0),IFERROR(MATCH($B352&amp;"",입력_인턴근무계획!$D$3:$D$402,0),IFERROR(MATCH(VALUE($B352),입력_인턴근무계획!$D$3:$D$402,0),""))))</f>
        <v/>
      </c>
      <c r="AD352" s="10">
        <f>IF(OR($AC352="",출력_인턴현황!$G$3=""),"",INDEX(입력_인턴근무계획!$M$3:$R$402,$AC352,출력_인턴현황!$G$3)&amp;"")</f>
        <v/>
      </c>
      <c r="AE352" s="10">
        <f>IF($B352="","",IF($M352&lt;&gt;"",$M352,IF(IF($AQ352="",FALSE,INDEX(출력_구리근무자!$J$6:$J$305,$AQ352)="구리독자"),"구리병원",IF($AF352&lt;&gt;"",IF(LEFT(INDEX(입력_파견수련계획!$R$4:$R$803,$AF352),1)&lt;&gt;"⚠",INDEX(입력_파견수련계획!$R$4:$R$803,$AF352),IF($H352="","",IF(RIGHT($H352,2)="병원",$H352,$H352&amp;"병원"))),IF($H352="","",IF(RIGHT($H352,2)="병원",$H352,$H352&amp;"병원"))))))</f>
        <v/>
      </c>
      <c r="AF352" s="10">
        <f>IF(OR($B352="",TRIM($J352&amp;"")=""),"",IFERROR(MATCH(TRIM($J352&amp;"")&amp;"|파견중",입력_파견수련계획!$Y$4:$Y$803,0),IFERROR(MATCH(TRIM($J352&amp;"")&amp;"|파견예정",입력_파견수련계획!$Y$4:$Y$803,0),IFERROR(MATCH(TRIM($J352&amp;"")&amp;"|파견종료",입력_파견수련계획!$Y$4:$Y$803,0),""))))</f>
        <v/>
      </c>
      <c r="AG352" s="10">
        <f>IF($B352="","",IF(AND(IF(OR($AC352="",출력_인턴현황!$K$2=""),"",INDEX(입력_인턴근무계획!$M$3:$R$402,$AC352,출력_인턴현황!$K$2)&amp;"")&lt;&gt;"",LEFT(IF(OR($AC352="",출력_인턴현황!$K$2=""),"",INDEX(입력_인턴근무계획!$M$3:$R$402,$AC352,출력_인턴현황!$K$2)&amp;""),1)&lt;&gt;"⚠"),LEFT(IF(OR($AC352="",출력_인턴현황!$K$2=""),"",INDEX(입력_인턴근무계획!$M$3:$R$402,$AC352,출력_인턴현황!$K$2)&amp;""),FIND(" ",IF(OR($AC352="",출력_인턴현황!$K$2=""),"",INDEX(입력_인턴근무계획!$M$3:$R$402,$AC352,출력_인턴현황!$K$2)&amp;""))-1),$AE352))</f>
        <v/>
      </c>
      <c r="AH352" s="17">
        <f>IF($B352="","",IF($AQ352&lt;&gt;"",MAX(0,DAY(EOMONTH(출력_요약!$B$3,0))-N($AR352)),IF(TRIM($J352&amp;"")="",0,SUMPRODUCT((입력_파견수련계획!$Q$4:$Q$803=TRIM($J352&amp;""))*(입력_파견수련계획!$S$4:$S$803="서울병원")*입력_파견수련계획!$W$4:$W$803))+IF($AG352="서울병원",MAX(0,DAY(EOMONTH(출력_요약!$B$3,0))-N($X352)),0)))</f>
        <v/>
      </c>
      <c r="AI352" s="17">
        <f>IF($B352="","",IF($AQ352&lt;&gt;"",N($AR352),IF(TRIM($J352&amp;"")="",0,SUMPRODUCT((입력_파견수련계획!$Q$4:$Q$803=TRIM($J352&amp;""))*(입력_파견수련계획!$S$4:$S$803="구리병원")*입력_파견수련계획!$W$4:$W$803))+IF($AG352="구리병원",MAX(0,DAY(EOMONTH(출력_요약!$B$3,0))-N($X352)),0)))</f>
        <v/>
      </c>
      <c r="AJ352" s="10">
        <f>IF(OR($B352="",TRIM($J352&amp;"")=""),"",IFERROR(MATCH(TRIM($J352&amp;"")&amp;"|월",입력_파견수련계획!$Z$4:$Z$803,0),""))</f>
        <v/>
      </c>
      <c r="AK352" s="10">
        <f>IF(OR($B352="",TRIM($J352&amp;"")=""),"",IFERROR(MATCH(TRIM($J352&amp;"")&amp;"|다기관",입력_파견수련계획!$AE$4:$AE$803,0),""))</f>
        <v/>
      </c>
      <c r="AL352" s="10">
        <f>IF($AK352="","","다기관 "&amp;TEXT(INDEX(입력_파견수련계획!$AB$4:$AB$803,$AK352),"yyyy-mm-dd")&amp;"~"&amp;IF(ISNUMBER(INDEX(입력_파견수련계획!$AC$4:$AC$803,$AK352)),TEXT(INDEX(입력_파견수련계획!$AC$4:$AC$803,$AK352),"yyyy-mm-dd"),""))</f>
        <v/>
      </c>
      <c r="AM352" s="10">
        <f>IF($Y352="서울병원",COUNTIF($Y$2:$Y352,"서울병원"),"")</f>
        <v/>
      </c>
      <c r="AN352" s="10">
        <f>IF(LEFT($Y352,1)="⚠",COUNTIF($Y$2:$Y352,"⚠*"),"")</f>
        <v/>
      </c>
      <c r="AO352" s="10">
        <f>IF(OR($B352="",$Y352=""),"",IF(IF(TRIM($J352&amp;"")="",0,SUMPRODUCT((입력_파견수련계획!$Q$4:$Q$803=TRIM($J352&amp;""))*입력_파견수련계획!$AD$4:$AD$803))&gt;0,"다기관 기간 → 소속병원 지급",IF(AND(N($X352)&lt;=0,$AQ352=""),"파견 없음 → 그 달 근무병원 지급",IF($AH352+$AI352=DAY(EOMONTH(출력_요약!$B$3,0)),"서울 "&amp;$AH352&amp;"일 / 구리 "&amp;$AI352&amp;"일"&amp;IF($AQ352&lt;&gt;""," (구리 근무자명단 반영)","")&amp;" → 15일 이상 근무 병원 지급","타 병원 포함 → "&amp;IF($AJ352="","소속",INDEX(입력_파견수련계획!$T$4:$T$803,$AJ352))&amp;" 규칙"))))</f>
        <v/>
      </c>
      <c r="AP352" s="10">
        <f>IF($B352="","",$C352&amp;"|"&amp;$F352)</f>
        <v/>
      </c>
      <c r="AQ352" s="10">
        <f>IF($B352="","",IFERROR(MATCH(ROW()-1,출력_구리근무자!$K$6:$K$305,0),""))</f>
        <v/>
      </c>
      <c r="AR352" s="10">
        <f>IF($AQ352="","",INDEX(출력_구리근무자!$H$6:$H$305,$AQ352))</f>
        <v/>
      </c>
    </row>
    <row r="353">
      <c r="A353" s="10">
        <f>IF(B353="","",ROW()-1)</f>
        <v/>
      </c>
      <c r="B353" s="19" t="n"/>
      <c r="C353" s="10">
        <f>IF($AB353="","",IF(INDEX(입력_기본자료!$C$2:$C$1001,$AB353)="","",INDEX(입력_기본자료!$C$2:$C$1001,$AB353)))</f>
        <v/>
      </c>
      <c r="D353" s="10">
        <f>IF($AB353="","",IF(INDEX(입력_기본자료!$J$2:$J$1001,$AB353)="","",INDEX(입력_기본자료!$J$2:$J$1001,$AB353)))</f>
        <v/>
      </c>
      <c r="E353" s="11">
        <f>IF($AB353="","",IF(INDEX(입력_기본자료!$K$2:$K$1001,$AB353)="","",IF(NOT(ISNUMBER(INDEX(입력_기본자료!$K$2:$K$1001,$AB353))),INDEX(입력_기본자료!$K$2:$K$1001,$AB353),IF(INDEX(입력_기본자료!$K$2:$K$1001,$AB353)&lt;1000000,INDEX(입력_기본자료!$K$2:$K$1001,$AB353),IF(AND(INDEX(입력_기본자료!$K$2:$K$1001,$AB353)&gt;=10000101,INT(MOD(INDEX(입력_기본자료!$K$2:$K$1001,$AB353),10000)/100)&gt;=1,INT(MOD(INDEX(입력_기본자료!$K$2:$K$1001,$AB353),10000)/100)&lt;=12,MOD(INDEX(입력_기본자료!$K$2:$K$1001,$AB353),100)&gt;=1,MOD(INDEX(입력_기본자료!$K$2:$K$1001,$AB353),100)&lt;=31),DATE(INT(INDEX(입력_기본자료!$K$2:$K$1001,$AB353)/10000),INT(MOD(INDEX(입력_기본자료!$K$2:$K$1001,$AB353),10000)/100),MOD(INDEX(입력_기본자료!$K$2:$K$1001,$AB353),100)),INDEX(입력_기본자료!$K$2:$K$1001,$AB353)&amp;"")))))</f>
        <v/>
      </c>
      <c r="F353" s="10">
        <f>IF($AB353="","",IF(INDEX(입력_기본자료!$D$2:$D$1001,$AB353)="","",INDEX(입력_기본자료!$D$2:$D$1001,$AB353)))</f>
        <v/>
      </c>
      <c r="G353" s="10">
        <f>IF($AB353="","",IF(INDEX(입력_기본자료!$E$2:$E$1001,$AB353)="","",INDEX(입력_기본자료!$E$2:$E$1001,$AB353)))</f>
        <v/>
      </c>
      <c r="H353" s="10">
        <f>IF($AB353="","",IF(INDEX(입력_기본자료!$F$2:$F$1001,$AB353)="","",INDEX(입력_기본자료!$F$2:$F$1001,$AB353)))</f>
        <v/>
      </c>
      <c r="I353" s="11">
        <f>IF($AB353="","",IF(INDEX(입력_기본자료!$G$2:$G$1001,$AB353)="","",IF(NOT(ISNUMBER(INDEX(입력_기본자료!$G$2:$G$1001,$AB353))),INDEX(입력_기본자료!$G$2:$G$1001,$AB353),IF(INDEX(입력_기본자료!$G$2:$G$1001,$AB353)&lt;1000000,INDEX(입력_기본자료!$G$2:$G$1001,$AB353),IF(AND(INDEX(입력_기본자료!$G$2:$G$1001,$AB353)&gt;=10000101,INT(MOD(INDEX(입력_기본자료!$G$2:$G$1001,$AB353),10000)/100)&gt;=1,INT(MOD(INDEX(입력_기본자료!$G$2:$G$1001,$AB353),10000)/100)&lt;=12,MOD(INDEX(입력_기본자료!$G$2:$G$1001,$AB353),100)&gt;=1,MOD(INDEX(입력_기본자료!$G$2:$G$1001,$AB353),100)&lt;=31),DATE(INT(INDEX(입력_기본자료!$G$2:$G$1001,$AB353)/10000),INT(MOD(INDEX(입력_기본자료!$G$2:$G$1001,$AB353),10000)/100),MOD(INDEX(입력_기본자료!$G$2:$G$1001,$AB353),100)),INDEX(입력_기본자료!$G$2:$G$1001,$AB353)&amp;"")))))</f>
        <v/>
      </c>
      <c r="J353" s="10">
        <f>IF($AB353="","",IF(INDEX(입력_기본자료!$H$2:$H$1001,$AB353)="","",INDEX(입력_기본자료!$H$2:$H$1001,$AB353)))</f>
        <v/>
      </c>
      <c r="K353" s="10">
        <f>IF($AB353="","",IF(INDEX(입력_기본자료!$I$2:$I$1001,$AB353)="","",INDEX(입력_기본자료!$I$2:$I$1001,$AB353)))</f>
        <v/>
      </c>
      <c r="L353" s="10">
        <f>IF($AB353="","",IF(INDEX(입력_기본자료!$A$2:$A$1001,$AB353)="","",INDEX(입력_기본자료!$A$2:$A$1001,$AB353)))</f>
        <v/>
      </c>
      <c r="M353" s="15" t="n"/>
      <c r="N353" s="10">
        <f>IF($B353="","",IF(AND($U353="파견중",$Q353&lt;&gt;""),$Q353,IF(AND($AD353&lt;&gt;"",LEFT($AD353,1)&lt;&gt;"⚠"),LEFT($AD353,FIND(" ",$AD353)-1),IF($H353="","",IF(RIGHT($H353,2)="병원",$H353,$H353&amp;"병원")))))</f>
        <v/>
      </c>
      <c r="O353" s="10">
        <f>IF($B353="","",IF(AND($U353="파견중",$Q353&lt;&gt;""),IF($R353&lt;&gt;"",$R353,"파견과 미입력"),IF(AND($AD353&lt;&gt;"",LEFT($AD353,1)&lt;&gt;"⚠"),MID($AD353,FIND(" ",$AD353)+1,60),IF($F353="","",IF($F353="인턴","수련교육부(인턴)",$F353)))))</f>
        <v/>
      </c>
      <c r="P353" s="10">
        <f>IF($B353="","",IF($AK353&lt;&gt;"",IF(AND(TODAY()&gt;=INDEX(입력_파견수련계획!$AB$4:$AB$803,$AK353),OR(NOT(ISNUMBER(INDEX(입력_파견수련계획!$AC$4:$AC$803,$AK353))),TODAY()&lt;=INDEX(입력_파견수련계획!$AC$4:$AC$803,$AK353))),"다기관",IF($AF353="","",INDEX(입력_파견수련계획!$T$4:$T$803,$AF353))),IF($AF353="","",INDEX(입력_파견수련계획!$T$4:$T$803,$AF353))))</f>
        <v/>
      </c>
      <c r="Q353" s="10">
        <f>IF($AF353="","",INDEX(입력_파견수련계획!$S$4:$S$803,$AF353))</f>
        <v/>
      </c>
      <c r="R353" s="10">
        <f>IF($AF353="","",INDEX(입력_파견수련계획!$U$4:$U$803,$AF353))</f>
        <v/>
      </c>
      <c r="S353" s="11">
        <f>IF($AF353="","",IF(INDEX(입력_파견수련계획!$H$4:$H$803,$AF353)="","",INDEX(입력_파견수련계획!$H$4:$H$803,$AF353)))</f>
        <v/>
      </c>
      <c r="T353" s="11">
        <f>IF($AF353="","",IF(INDEX(입력_파견수련계획!$I$4:$I$803,$AF353)="","",INDEX(입력_파견수련계획!$I$4:$I$803,$AF353)))</f>
        <v/>
      </c>
      <c r="U353" s="10">
        <f>IF($AF353="","",INDEX(입력_파견수련계획!$X$4:$X$803,$AF353))</f>
        <v/>
      </c>
      <c r="V353" s="17">
        <f>IF($AF353="","",INDEX(입력_파견수련계획!$V$4:$V$803,$AF353))</f>
        <v/>
      </c>
      <c r="W353" s="17">
        <f>IF(AND($U353="파견중",$T353&lt;&gt;""),$T353-TODAY(),"")</f>
        <v/>
      </c>
      <c r="X353" s="17">
        <f>IF(OR($B353="",TRIM($J353&amp;"")=""),"",SUMPRODUCT((입력_파견수련계획!$Q$4:$Q$803=TRIM($J353&amp;""))*입력_파견수련계획!$W$4:$W$803))</f>
        <v/>
      </c>
      <c r="Y353" s="10">
        <f>IF($B353="","",IF($AG353="","",IF(IF(TRIM($J353&amp;"")="",0,SUMPRODUCT((입력_파견수련계획!$Q$4:$Q$803=TRIM($J353&amp;""))*입력_파견수련계획!$AD$4:$AD$803))&gt;0,$AE353,IF(AND(N($X353)&lt;=0,$AQ353=""),$AG353,IF($AH353+$AI353=DAY(EOMONTH(출력_요약!$B$3,0)),IF(AND($AH353&gt;=출력_요약!$E$3,$AI353&lt;출력_요약!$E$3),"서울병원",IF(AND($AI353&gt;=출력_요약!$E$3,$AH353&lt;출력_요약!$E$3),"구리병원","⚠15일 판정불가(서울 "&amp;$AH353&amp;"일/구리 "&amp;$AI353&amp;"일)")),IF($AJ353="",$AE353,IF(INDEX(입력_파견수련계획!$T$4:$T$803,$AJ353)="통합수련",INDEX(입력_파견수련계획!$S$4:$S$803,$AJ353),$AE353)))))))</f>
        <v/>
      </c>
      <c r="Z353" s="20">
        <f>IF($B353="","",IF($AB353="","기본자료에 없는 사번",IF(COUNTIF($B$2:$B$401,$B353)&gt;1,"중복 사번",IF($AE353="","소속(입사장소) 입력",IF(IF(TRIM($J353&amp;"")="",0,SUMPRODUCT((입력_파견수련계획!$Q$4:$Q$803=TRIM($J353&amp;""))*(입력_파견수련계획!$AA$4:$AA$803&lt;&gt;"")))&gt;0,"파견수련계획 입력오류 확인",IF(LEFT($Y353,1)="⚠","서울·구리 15일 판정 불가(양쪽 모두 이상/미만)",IF(IF($AC353="",0,N(INDEX(입력_인턴근무계획!$T$3:$T$402,$AC353)))&gt;0,"인턴계획 입력오류 확인",IF(AND($AQ353&lt;&gt;"",$AG353&lt;&gt;"구리병원",IF(TRIM($J353&amp;"")="",0,SUMPRODUCT((입력_파견수련계획!$Q$4:$Q$803=TRIM($J353&amp;""))*(입력_파견수련계획!$S$4:$S$803="구리병원")*입력_파견수련계획!$W$4:$W$803))=0),"구리 근무자명단에만 있음(파견수련계획 확인)",IF(AND($AC353&lt;&gt;"",$U353&lt;&gt;"파견중",$N353&lt;&gt;$AE353),"인턴 타지역 근무: 파견 여부 확인","정상")))))))))</f>
        <v/>
      </c>
      <c r="AA353" s="5" t="n"/>
      <c r="AB353" s="10">
        <f>IF($B353="","",IFERROR(MATCH($B353,입력_기본자료!$B$2:$B$1001,0),IFERROR(MATCH($B353&amp;"",입력_기본자료!$B$2:$B$1001,0),IFERROR(MATCH(VALUE($B353),입력_기본자료!$B$2:$B$1001,0),""))))</f>
        <v/>
      </c>
      <c r="AC353" s="10">
        <f>IF($B353="","",IFERROR(MATCH($B353,입력_인턴근무계획!$D$3:$D$402,0),IFERROR(MATCH($B353&amp;"",입력_인턴근무계획!$D$3:$D$402,0),IFERROR(MATCH(VALUE($B353),입력_인턴근무계획!$D$3:$D$402,0),""))))</f>
        <v/>
      </c>
      <c r="AD353" s="10">
        <f>IF(OR($AC353="",출력_인턴현황!$G$3=""),"",INDEX(입력_인턴근무계획!$M$3:$R$402,$AC353,출력_인턴현황!$G$3)&amp;"")</f>
        <v/>
      </c>
      <c r="AE353" s="10">
        <f>IF($B353="","",IF($M353&lt;&gt;"",$M353,IF(IF($AQ353="",FALSE,INDEX(출력_구리근무자!$J$6:$J$305,$AQ353)="구리독자"),"구리병원",IF($AF353&lt;&gt;"",IF(LEFT(INDEX(입력_파견수련계획!$R$4:$R$803,$AF353),1)&lt;&gt;"⚠",INDEX(입력_파견수련계획!$R$4:$R$803,$AF353),IF($H353="","",IF(RIGHT($H353,2)="병원",$H353,$H353&amp;"병원"))),IF($H353="","",IF(RIGHT($H353,2)="병원",$H353,$H353&amp;"병원"))))))</f>
        <v/>
      </c>
      <c r="AF353" s="10">
        <f>IF(OR($B353="",TRIM($J353&amp;"")=""),"",IFERROR(MATCH(TRIM($J353&amp;"")&amp;"|파견중",입력_파견수련계획!$Y$4:$Y$803,0),IFERROR(MATCH(TRIM($J353&amp;"")&amp;"|파견예정",입력_파견수련계획!$Y$4:$Y$803,0),IFERROR(MATCH(TRIM($J353&amp;"")&amp;"|파견종료",입력_파견수련계획!$Y$4:$Y$803,0),""))))</f>
        <v/>
      </c>
      <c r="AG353" s="10">
        <f>IF($B353="","",IF(AND(IF(OR($AC353="",출력_인턴현황!$K$2=""),"",INDEX(입력_인턴근무계획!$M$3:$R$402,$AC353,출력_인턴현황!$K$2)&amp;"")&lt;&gt;"",LEFT(IF(OR($AC353="",출력_인턴현황!$K$2=""),"",INDEX(입력_인턴근무계획!$M$3:$R$402,$AC353,출력_인턴현황!$K$2)&amp;""),1)&lt;&gt;"⚠"),LEFT(IF(OR($AC353="",출력_인턴현황!$K$2=""),"",INDEX(입력_인턴근무계획!$M$3:$R$402,$AC353,출력_인턴현황!$K$2)&amp;""),FIND(" ",IF(OR($AC353="",출력_인턴현황!$K$2=""),"",INDEX(입력_인턴근무계획!$M$3:$R$402,$AC353,출력_인턴현황!$K$2)&amp;""))-1),$AE353))</f>
        <v/>
      </c>
      <c r="AH353" s="17">
        <f>IF($B353="","",IF($AQ353&lt;&gt;"",MAX(0,DAY(EOMONTH(출력_요약!$B$3,0))-N($AR353)),IF(TRIM($J353&amp;"")="",0,SUMPRODUCT((입력_파견수련계획!$Q$4:$Q$803=TRIM($J353&amp;""))*(입력_파견수련계획!$S$4:$S$803="서울병원")*입력_파견수련계획!$W$4:$W$803))+IF($AG353="서울병원",MAX(0,DAY(EOMONTH(출력_요약!$B$3,0))-N($X353)),0)))</f>
        <v/>
      </c>
      <c r="AI353" s="17">
        <f>IF($B353="","",IF($AQ353&lt;&gt;"",N($AR353),IF(TRIM($J353&amp;"")="",0,SUMPRODUCT((입력_파견수련계획!$Q$4:$Q$803=TRIM($J353&amp;""))*(입력_파견수련계획!$S$4:$S$803="구리병원")*입력_파견수련계획!$W$4:$W$803))+IF($AG353="구리병원",MAX(0,DAY(EOMONTH(출력_요약!$B$3,0))-N($X353)),0)))</f>
        <v/>
      </c>
      <c r="AJ353" s="10">
        <f>IF(OR($B353="",TRIM($J353&amp;"")=""),"",IFERROR(MATCH(TRIM($J353&amp;"")&amp;"|월",입력_파견수련계획!$Z$4:$Z$803,0),""))</f>
        <v/>
      </c>
      <c r="AK353" s="10">
        <f>IF(OR($B353="",TRIM($J353&amp;"")=""),"",IFERROR(MATCH(TRIM($J353&amp;"")&amp;"|다기관",입력_파견수련계획!$AE$4:$AE$803,0),""))</f>
        <v/>
      </c>
      <c r="AL353" s="10">
        <f>IF($AK353="","","다기관 "&amp;TEXT(INDEX(입력_파견수련계획!$AB$4:$AB$803,$AK353),"yyyy-mm-dd")&amp;"~"&amp;IF(ISNUMBER(INDEX(입력_파견수련계획!$AC$4:$AC$803,$AK353)),TEXT(INDEX(입력_파견수련계획!$AC$4:$AC$803,$AK353),"yyyy-mm-dd"),""))</f>
        <v/>
      </c>
      <c r="AM353" s="10">
        <f>IF($Y353="서울병원",COUNTIF($Y$2:$Y353,"서울병원"),"")</f>
        <v/>
      </c>
      <c r="AN353" s="10">
        <f>IF(LEFT($Y353,1)="⚠",COUNTIF($Y$2:$Y353,"⚠*"),"")</f>
        <v/>
      </c>
      <c r="AO353" s="10">
        <f>IF(OR($B353="",$Y353=""),"",IF(IF(TRIM($J353&amp;"")="",0,SUMPRODUCT((입력_파견수련계획!$Q$4:$Q$803=TRIM($J353&amp;""))*입력_파견수련계획!$AD$4:$AD$803))&gt;0,"다기관 기간 → 소속병원 지급",IF(AND(N($X353)&lt;=0,$AQ353=""),"파견 없음 → 그 달 근무병원 지급",IF($AH353+$AI353=DAY(EOMONTH(출력_요약!$B$3,0)),"서울 "&amp;$AH353&amp;"일 / 구리 "&amp;$AI353&amp;"일"&amp;IF($AQ353&lt;&gt;""," (구리 근무자명단 반영)","")&amp;" → 15일 이상 근무 병원 지급","타 병원 포함 → "&amp;IF($AJ353="","소속",INDEX(입력_파견수련계획!$T$4:$T$803,$AJ353))&amp;" 규칙"))))</f>
        <v/>
      </c>
      <c r="AP353" s="10">
        <f>IF($B353="","",$C353&amp;"|"&amp;$F353)</f>
        <v/>
      </c>
      <c r="AQ353" s="10">
        <f>IF($B353="","",IFERROR(MATCH(ROW()-1,출력_구리근무자!$K$6:$K$305,0),""))</f>
        <v/>
      </c>
      <c r="AR353" s="10">
        <f>IF($AQ353="","",INDEX(출력_구리근무자!$H$6:$H$305,$AQ353))</f>
        <v/>
      </c>
    </row>
    <row r="354">
      <c r="A354" s="10">
        <f>IF(B354="","",ROW()-1)</f>
        <v/>
      </c>
      <c r="B354" s="19" t="n"/>
      <c r="C354" s="10">
        <f>IF($AB354="","",IF(INDEX(입력_기본자료!$C$2:$C$1001,$AB354)="","",INDEX(입력_기본자료!$C$2:$C$1001,$AB354)))</f>
        <v/>
      </c>
      <c r="D354" s="10">
        <f>IF($AB354="","",IF(INDEX(입력_기본자료!$J$2:$J$1001,$AB354)="","",INDEX(입력_기본자료!$J$2:$J$1001,$AB354)))</f>
        <v/>
      </c>
      <c r="E354" s="11">
        <f>IF($AB354="","",IF(INDEX(입력_기본자료!$K$2:$K$1001,$AB354)="","",IF(NOT(ISNUMBER(INDEX(입력_기본자료!$K$2:$K$1001,$AB354))),INDEX(입력_기본자료!$K$2:$K$1001,$AB354),IF(INDEX(입력_기본자료!$K$2:$K$1001,$AB354)&lt;1000000,INDEX(입력_기본자료!$K$2:$K$1001,$AB354),IF(AND(INDEX(입력_기본자료!$K$2:$K$1001,$AB354)&gt;=10000101,INT(MOD(INDEX(입력_기본자료!$K$2:$K$1001,$AB354),10000)/100)&gt;=1,INT(MOD(INDEX(입력_기본자료!$K$2:$K$1001,$AB354),10000)/100)&lt;=12,MOD(INDEX(입력_기본자료!$K$2:$K$1001,$AB354),100)&gt;=1,MOD(INDEX(입력_기본자료!$K$2:$K$1001,$AB354),100)&lt;=31),DATE(INT(INDEX(입력_기본자료!$K$2:$K$1001,$AB354)/10000),INT(MOD(INDEX(입력_기본자료!$K$2:$K$1001,$AB354),10000)/100),MOD(INDEX(입력_기본자료!$K$2:$K$1001,$AB354),100)),INDEX(입력_기본자료!$K$2:$K$1001,$AB354)&amp;"")))))</f>
        <v/>
      </c>
      <c r="F354" s="10">
        <f>IF($AB354="","",IF(INDEX(입력_기본자료!$D$2:$D$1001,$AB354)="","",INDEX(입력_기본자료!$D$2:$D$1001,$AB354)))</f>
        <v/>
      </c>
      <c r="G354" s="10">
        <f>IF($AB354="","",IF(INDEX(입력_기본자료!$E$2:$E$1001,$AB354)="","",INDEX(입력_기본자료!$E$2:$E$1001,$AB354)))</f>
        <v/>
      </c>
      <c r="H354" s="10">
        <f>IF($AB354="","",IF(INDEX(입력_기본자료!$F$2:$F$1001,$AB354)="","",INDEX(입력_기본자료!$F$2:$F$1001,$AB354)))</f>
        <v/>
      </c>
      <c r="I354" s="11">
        <f>IF($AB354="","",IF(INDEX(입력_기본자료!$G$2:$G$1001,$AB354)="","",IF(NOT(ISNUMBER(INDEX(입력_기본자료!$G$2:$G$1001,$AB354))),INDEX(입력_기본자료!$G$2:$G$1001,$AB354),IF(INDEX(입력_기본자료!$G$2:$G$1001,$AB354)&lt;1000000,INDEX(입력_기본자료!$G$2:$G$1001,$AB354),IF(AND(INDEX(입력_기본자료!$G$2:$G$1001,$AB354)&gt;=10000101,INT(MOD(INDEX(입력_기본자료!$G$2:$G$1001,$AB354),10000)/100)&gt;=1,INT(MOD(INDEX(입력_기본자료!$G$2:$G$1001,$AB354),10000)/100)&lt;=12,MOD(INDEX(입력_기본자료!$G$2:$G$1001,$AB354),100)&gt;=1,MOD(INDEX(입력_기본자료!$G$2:$G$1001,$AB354),100)&lt;=31),DATE(INT(INDEX(입력_기본자료!$G$2:$G$1001,$AB354)/10000),INT(MOD(INDEX(입력_기본자료!$G$2:$G$1001,$AB354),10000)/100),MOD(INDEX(입력_기본자료!$G$2:$G$1001,$AB354),100)),INDEX(입력_기본자료!$G$2:$G$1001,$AB354)&amp;"")))))</f>
        <v/>
      </c>
      <c r="J354" s="10">
        <f>IF($AB354="","",IF(INDEX(입력_기본자료!$H$2:$H$1001,$AB354)="","",INDEX(입력_기본자료!$H$2:$H$1001,$AB354)))</f>
        <v/>
      </c>
      <c r="K354" s="10">
        <f>IF($AB354="","",IF(INDEX(입력_기본자료!$I$2:$I$1001,$AB354)="","",INDEX(입력_기본자료!$I$2:$I$1001,$AB354)))</f>
        <v/>
      </c>
      <c r="L354" s="10">
        <f>IF($AB354="","",IF(INDEX(입력_기본자료!$A$2:$A$1001,$AB354)="","",INDEX(입력_기본자료!$A$2:$A$1001,$AB354)))</f>
        <v/>
      </c>
      <c r="M354" s="15" t="n"/>
      <c r="N354" s="10">
        <f>IF($B354="","",IF(AND($U354="파견중",$Q354&lt;&gt;""),$Q354,IF(AND($AD354&lt;&gt;"",LEFT($AD354,1)&lt;&gt;"⚠"),LEFT($AD354,FIND(" ",$AD354)-1),IF($H354="","",IF(RIGHT($H354,2)="병원",$H354,$H354&amp;"병원")))))</f>
        <v/>
      </c>
      <c r="O354" s="10">
        <f>IF($B354="","",IF(AND($U354="파견중",$Q354&lt;&gt;""),IF($R354&lt;&gt;"",$R354,"파견과 미입력"),IF(AND($AD354&lt;&gt;"",LEFT($AD354,1)&lt;&gt;"⚠"),MID($AD354,FIND(" ",$AD354)+1,60),IF($F354="","",IF($F354="인턴","수련교육부(인턴)",$F354)))))</f>
        <v/>
      </c>
      <c r="P354" s="10">
        <f>IF($B354="","",IF($AK354&lt;&gt;"",IF(AND(TODAY()&gt;=INDEX(입력_파견수련계획!$AB$4:$AB$803,$AK354),OR(NOT(ISNUMBER(INDEX(입력_파견수련계획!$AC$4:$AC$803,$AK354))),TODAY()&lt;=INDEX(입력_파견수련계획!$AC$4:$AC$803,$AK354))),"다기관",IF($AF354="","",INDEX(입력_파견수련계획!$T$4:$T$803,$AF354))),IF($AF354="","",INDEX(입력_파견수련계획!$T$4:$T$803,$AF354))))</f>
        <v/>
      </c>
      <c r="Q354" s="10">
        <f>IF($AF354="","",INDEX(입력_파견수련계획!$S$4:$S$803,$AF354))</f>
        <v/>
      </c>
      <c r="R354" s="10">
        <f>IF($AF354="","",INDEX(입력_파견수련계획!$U$4:$U$803,$AF354))</f>
        <v/>
      </c>
      <c r="S354" s="11">
        <f>IF($AF354="","",IF(INDEX(입력_파견수련계획!$H$4:$H$803,$AF354)="","",INDEX(입력_파견수련계획!$H$4:$H$803,$AF354)))</f>
        <v/>
      </c>
      <c r="T354" s="11">
        <f>IF($AF354="","",IF(INDEX(입력_파견수련계획!$I$4:$I$803,$AF354)="","",INDEX(입력_파견수련계획!$I$4:$I$803,$AF354)))</f>
        <v/>
      </c>
      <c r="U354" s="10">
        <f>IF($AF354="","",INDEX(입력_파견수련계획!$X$4:$X$803,$AF354))</f>
        <v/>
      </c>
      <c r="V354" s="17">
        <f>IF($AF354="","",INDEX(입력_파견수련계획!$V$4:$V$803,$AF354))</f>
        <v/>
      </c>
      <c r="W354" s="17">
        <f>IF(AND($U354="파견중",$T354&lt;&gt;""),$T354-TODAY(),"")</f>
        <v/>
      </c>
      <c r="X354" s="17">
        <f>IF(OR($B354="",TRIM($J354&amp;"")=""),"",SUMPRODUCT((입력_파견수련계획!$Q$4:$Q$803=TRIM($J354&amp;""))*입력_파견수련계획!$W$4:$W$803))</f>
        <v/>
      </c>
      <c r="Y354" s="10">
        <f>IF($B354="","",IF($AG354="","",IF(IF(TRIM($J354&amp;"")="",0,SUMPRODUCT((입력_파견수련계획!$Q$4:$Q$803=TRIM($J354&amp;""))*입력_파견수련계획!$AD$4:$AD$803))&gt;0,$AE354,IF(AND(N($X354)&lt;=0,$AQ354=""),$AG354,IF($AH354+$AI354=DAY(EOMONTH(출력_요약!$B$3,0)),IF(AND($AH354&gt;=출력_요약!$E$3,$AI354&lt;출력_요약!$E$3),"서울병원",IF(AND($AI354&gt;=출력_요약!$E$3,$AH354&lt;출력_요약!$E$3),"구리병원","⚠15일 판정불가(서울 "&amp;$AH354&amp;"일/구리 "&amp;$AI354&amp;"일)")),IF($AJ354="",$AE354,IF(INDEX(입력_파견수련계획!$T$4:$T$803,$AJ354)="통합수련",INDEX(입력_파견수련계획!$S$4:$S$803,$AJ354),$AE354)))))))</f>
        <v/>
      </c>
      <c r="Z354" s="20">
        <f>IF($B354="","",IF($AB354="","기본자료에 없는 사번",IF(COUNTIF($B$2:$B$401,$B354)&gt;1,"중복 사번",IF($AE354="","소속(입사장소) 입력",IF(IF(TRIM($J354&amp;"")="",0,SUMPRODUCT((입력_파견수련계획!$Q$4:$Q$803=TRIM($J354&amp;""))*(입력_파견수련계획!$AA$4:$AA$803&lt;&gt;"")))&gt;0,"파견수련계획 입력오류 확인",IF(LEFT($Y354,1)="⚠","서울·구리 15일 판정 불가(양쪽 모두 이상/미만)",IF(IF($AC354="",0,N(INDEX(입력_인턴근무계획!$T$3:$T$402,$AC354)))&gt;0,"인턴계획 입력오류 확인",IF(AND($AQ354&lt;&gt;"",$AG354&lt;&gt;"구리병원",IF(TRIM($J354&amp;"")="",0,SUMPRODUCT((입력_파견수련계획!$Q$4:$Q$803=TRIM($J354&amp;""))*(입력_파견수련계획!$S$4:$S$803="구리병원")*입력_파견수련계획!$W$4:$W$803))=0),"구리 근무자명단에만 있음(파견수련계획 확인)",IF(AND($AC354&lt;&gt;"",$U354&lt;&gt;"파견중",$N354&lt;&gt;$AE354),"인턴 타지역 근무: 파견 여부 확인","정상")))))))))</f>
        <v/>
      </c>
      <c r="AA354" s="5" t="n"/>
      <c r="AB354" s="10">
        <f>IF($B354="","",IFERROR(MATCH($B354,입력_기본자료!$B$2:$B$1001,0),IFERROR(MATCH($B354&amp;"",입력_기본자료!$B$2:$B$1001,0),IFERROR(MATCH(VALUE($B354),입력_기본자료!$B$2:$B$1001,0),""))))</f>
        <v/>
      </c>
      <c r="AC354" s="10">
        <f>IF($B354="","",IFERROR(MATCH($B354,입력_인턴근무계획!$D$3:$D$402,0),IFERROR(MATCH($B354&amp;"",입력_인턴근무계획!$D$3:$D$402,0),IFERROR(MATCH(VALUE($B354),입력_인턴근무계획!$D$3:$D$402,0),""))))</f>
        <v/>
      </c>
      <c r="AD354" s="10">
        <f>IF(OR($AC354="",출력_인턴현황!$G$3=""),"",INDEX(입력_인턴근무계획!$M$3:$R$402,$AC354,출력_인턴현황!$G$3)&amp;"")</f>
        <v/>
      </c>
      <c r="AE354" s="10">
        <f>IF($B354="","",IF($M354&lt;&gt;"",$M354,IF(IF($AQ354="",FALSE,INDEX(출력_구리근무자!$J$6:$J$305,$AQ354)="구리독자"),"구리병원",IF($AF354&lt;&gt;"",IF(LEFT(INDEX(입력_파견수련계획!$R$4:$R$803,$AF354),1)&lt;&gt;"⚠",INDEX(입력_파견수련계획!$R$4:$R$803,$AF354),IF($H354="","",IF(RIGHT($H354,2)="병원",$H354,$H354&amp;"병원"))),IF($H354="","",IF(RIGHT($H354,2)="병원",$H354,$H354&amp;"병원"))))))</f>
        <v/>
      </c>
      <c r="AF354" s="10">
        <f>IF(OR($B354="",TRIM($J354&amp;"")=""),"",IFERROR(MATCH(TRIM($J354&amp;"")&amp;"|파견중",입력_파견수련계획!$Y$4:$Y$803,0),IFERROR(MATCH(TRIM($J354&amp;"")&amp;"|파견예정",입력_파견수련계획!$Y$4:$Y$803,0),IFERROR(MATCH(TRIM($J354&amp;"")&amp;"|파견종료",입력_파견수련계획!$Y$4:$Y$803,0),""))))</f>
        <v/>
      </c>
      <c r="AG354" s="10">
        <f>IF($B354="","",IF(AND(IF(OR($AC354="",출력_인턴현황!$K$2=""),"",INDEX(입력_인턴근무계획!$M$3:$R$402,$AC354,출력_인턴현황!$K$2)&amp;"")&lt;&gt;"",LEFT(IF(OR($AC354="",출력_인턴현황!$K$2=""),"",INDEX(입력_인턴근무계획!$M$3:$R$402,$AC354,출력_인턴현황!$K$2)&amp;""),1)&lt;&gt;"⚠"),LEFT(IF(OR($AC354="",출력_인턴현황!$K$2=""),"",INDEX(입력_인턴근무계획!$M$3:$R$402,$AC354,출력_인턴현황!$K$2)&amp;""),FIND(" ",IF(OR($AC354="",출력_인턴현황!$K$2=""),"",INDEX(입력_인턴근무계획!$M$3:$R$402,$AC354,출력_인턴현황!$K$2)&amp;""))-1),$AE354))</f>
        <v/>
      </c>
      <c r="AH354" s="17">
        <f>IF($B354="","",IF($AQ354&lt;&gt;"",MAX(0,DAY(EOMONTH(출력_요약!$B$3,0))-N($AR354)),IF(TRIM($J354&amp;"")="",0,SUMPRODUCT((입력_파견수련계획!$Q$4:$Q$803=TRIM($J354&amp;""))*(입력_파견수련계획!$S$4:$S$803="서울병원")*입력_파견수련계획!$W$4:$W$803))+IF($AG354="서울병원",MAX(0,DAY(EOMONTH(출력_요약!$B$3,0))-N($X354)),0)))</f>
        <v/>
      </c>
      <c r="AI354" s="17">
        <f>IF($B354="","",IF($AQ354&lt;&gt;"",N($AR354),IF(TRIM($J354&amp;"")="",0,SUMPRODUCT((입력_파견수련계획!$Q$4:$Q$803=TRIM($J354&amp;""))*(입력_파견수련계획!$S$4:$S$803="구리병원")*입력_파견수련계획!$W$4:$W$803))+IF($AG354="구리병원",MAX(0,DAY(EOMONTH(출력_요약!$B$3,0))-N($X354)),0)))</f>
        <v/>
      </c>
      <c r="AJ354" s="10">
        <f>IF(OR($B354="",TRIM($J354&amp;"")=""),"",IFERROR(MATCH(TRIM($J354&amp;"")&amp;"|월",입력_파견수련계획!$Z$4:$Z$803,0),""))</f>
        <v/>
      </c>
      <c r="AK354" s="10">
        <f>IF(OR($B354="",TRIM($J354&amp;"")=""),"",IFERROR(MATCH(TRIM($J354&amp;"")&amp;"|다기관",입력_파견수련계획!$AE$4:$AE$803,0),""))</f>
        <v/>
      </c>
      <c r="AL354" s="10">
        <f>IF($AK354="","","다기관 "&amp;TEXT(INDEX(입력_파견수련계획!$AB$4:$AB$803,$AK354),"yyyy-mm-dd")&amp;"~"&amp;IF(ISNUMBER(INDEX(입력_파견수련계획!$AC$4:$AC$803,$AK354)),TEXT(INDEX(입력_파견수련계획!$AC$4:$AC$803,$AK354),"yyyy-mm-dd"),""))</f>
        <v/>
      </c>
      <c r="AM354" s="10">
        <f>IF($Y354="서울병원",COUNTIF($Y$2:$Y354,"서울병원"),"")</f>
        <v/>
      </c>
      <c r="AN354" s="10">
        <f>IF(LEFT($Y354,1)="⚠",COUNTIF($Y$2:$Y354,"⚠*"),"")</f>
        <v/>
      </c>
      <c r="AO354" s="10">
        <f>IF(OR($B354="",$Y354=""),"",IF(IF(TRIM($J354&amp;"")="",0,SUMPRODUCT((입력_파견수련계획!$Q$4:$Q$803=TRIM($J354&amp;""))*입력_파견수련계획!$AD$4:$AD$803))&gt;0,"다기관 기간 → 소속병원 지급",IF(AND(N($X354)&lt;=0,$AQ354=""),"파견 없음 → 그 달 근무병원 지급",IF($AH354+$AI354=DAY(EOMONTH(출력_요약!$B$3,0)),"서울 "&amp;$AH354&amp;"일 / 구리 "&amp;$AI354&amp;"일"&amp;IF($AQ354&lt;&gt;""," (구리 근무자명단 반영)","")&amp;" → 15일 이상 근무 병원 지급","타 병원 포함 → "&amp;IF($AJ354="","소속",INDEX(입력_파견수련계획!$T$4:$T$803,$AJ354))&amp;" 규칙"))))</f>
        <v/>
      </c>
      <c r="AP354" s="10">
        <f>IF($B354="","",$C354&amp;"|"&amp;$F354)</f>
        <v/>
      </c>
      <c r="AQ354" s="10">
        <f>IF($B354="","",IFERROR(MATCH(ROW()-1,출력_구리근무자!$K$6:$K$305,0),""))</f>
        <v/>
      </c>
      <c r="AR354" s="10">
        <f>IF($AQ354="","",INDEX(출력_구리근무자!$H$6:$H$305,$AQ354))</f>
        <v/>
      </c>
    </row>
    <row r="355">
      <c r="A355" s="10">
        <f>IF(B355="","",ROW()-1)</f>
        <v/>
      </c>
      <c r="B355" s="19" t="n"/>
      <c r="C355" s="10">
        <f>IF($AB355="","",IF(INDEX(입력_기본자료!$C$2:$C$1001,$AB355)="","",INDEX(입력_기본자료!$C$2:$C$1001,$AB355)))</f>
        <v/>
      </c>
      <c r="D355" s="10">
        <f>IF($AB355="","",IF(INDEX(입력_기본자료!$J$2:$J$1001,$AB355)="","",INDEX(입력_기본자료!$J$2:$J$1001,$AB355)))</f>
        <v/>
      </c>
      <c r="E355" s="11">
        <f>IF($AB355="","",IF(INDEX(입력_기본자료!$K$2:$K$1001,$AB355)="","",IF(NOT(ISNUMBER(INDEX(입력_기본자료!$K$2:$K$1001,$AB355))),INDEX(입력_기본자료!$K$2:$K$1001,$AB355),IF(INDEX(입력_기본자료!$K$2:$K$1001,$AB355)&lt;1000000,INDEX(입력_기본자료!$K$2:$K$1001,$AB355),IF(AND(INDEX(입력_기본자료!$K$2:$K$1001,$AB355)&gt;=10000101,INT(MOD(INDEX(입력_기본자료!$K$2:$K$1001,$AB355),10000)/100)&gt;=1,INT(MOD(INDEX(입력_기본자료!$K$2:$K$1001,$AB355),10000)/100)&lt;=12,MOD(INDEX(입력_기본자료!$K$2:$K$1001,$AB355),100)&gt;=1,MOD(INDEX(입력_기본자료!$K$2:$K$1001,$AB355),100)&lt;=31),DATE(INT(INDEX(입력_기본자료!$K$2:$K$1001,$AB355)/10000),INT(MOD(INDEX(입력_기본자료!$K$2:$K$1001,$AB355),10000)/100),MOD(INDEX(입력_기본자료!$K$2:$K$1001,$AB355),100)),INDEX(입력_기본자료!$K$2:$K$1001,$AB355)&amp;"")))))</f>
        <v/>
      </c>
      <c r="F355" s="10">
        <f>IF($AB355="","",IF(INDEX(입력_기본자료!$D$2:$D$1001,$AB355)="","",INDEX(입력_기본자료!$D$2:$D$1001,$AB355)))</f>
        <v/>
      </c>
      <c r="G355" s="10">
        <f>IF($AB355="","",IF(INDEX(입력_기본자료!$E$2:$E$1001,$AB355)="","",INDEX(입력_기본자료!$E$2:$E$1001,$AB355)))</f>
        <v/>
      </c>
      <c r="H355" s="10">
        <f>IF($AB355="","",IF(INDEX(입력_기본자료!$F$2:$F$1001,$AB355)="","",INDEX(입력_기본자료!$F$2:$F$1001,$AB355)))</f>
        <v/>
      </c>
      <c r="I355" s="11">
        <f>IF($AB355="","",IF(INDEX(입력_기본자료!$G$2:$G$1001,$AB355)="","",IF(NOT(ISNUMBER(INDEX(입력_기본자료!$G$2:$G$1001,$AB355))),INDEX(입력_기본자료!$G$2:$G$1001,$AB355),IF(INDEX(입력_기본자료!$G$2:$G$1001,$AB355)&lt;1000000,INDEX(입력_기본자료!$G$2:$G$1001,$AB355),IF(AND(INDEX(입력_기본자료!$G$2:$G$1001,$AB355)&gt;=10000101,INT(MOD(INDEX(입력_기본자료!$G$2:$G$1001,$AB355),10000)/100)&gt;=1,INT(MOD(INDEX(입력_기본자료!$G$2:$G$1001,$AB355),10000)/100)&lt;=12,MOD(INDEX(입력_기본자료!$G$2:$G$1001,$AB355),100)&gt;=1,MOD(INDEX(입력_기본자료!$G$2:$G$1001,$AB355),100)&lt;=31),DATE(INT(INDEX(입력_기본자료!$G$2:$G$1001,$AB355)/10000),INT(MOD(INDEX(입력_기본자료!$G$2:$G$1001,$AB355),10000)/100),MOD(INDEX(입력_기본자료!$G$2:$G$1001,$AB355),100)),INDEX(입력_기본자료!$G$2:$G$1001,$AB355)&amp;"")))))</f>
        <v/>
      </c>
      <c r="J355" s="10">
        <f>IF($AB355="","",IF(INDEX(입력_기본자료!$H$2:$H$1001,$AB355)="","",INDEX(입력_기본자료!$H$2:$H$1001,$AB355)))</f>
        <v/>
      </c>
      <c r="K355" s="10">
        <f>IF($AB355="","",IF(INDEX(입력_기본자료!$I$2:$I$1001,$AB355)="","",INDEX(입력_기본자료!$I$2:$I$1001,$AB355)))</f>
        <v/>
      </c>
      <c r="L355" s="10">
        <f>IF($AB355="","",IF(INDEX(입력_기본자료!$A$2:$A$1001,$AB355)="","",INDEX(입력_기본자료!$A$2:$A$1001,$AB355)))</f>
        <v/>
      </c>
      <c r="M355" s="15" t="n"/>
      <c r="N355" s="10">
        <f>IF($B355="","",IF(AND($U355="파견중",$Q355&lt;&gt;""),$Q355,IF(AND($AD355&lt;&gt;"",LEFT($AD355,1)&lt;&gt;"⚠"),LEFT($AD355,FIND(" ",$AD355)-1),IF($H355="","",IF(RIGHT($H355,2)="병원",$H355,$H355&amp;"병원")))))</f>
        <v/>
      </c>
      <c r="O355" s="10">
        <f>IF($B355="","",IF(AND($U355="파견중",$Q355&lt;&gt;""),IF($R355&lt;&gt;"",$R355,"파견과 미입력"),IF(AND($AD355&lt;&gt;"",LEFT($AD355,1)&lt;&gt;"⚠"),MID($AD355,FIND(" ",$AD355)+1,60),IF($F355="","",IF($F355="인턴","수련교육부(인턴)",$F355)))))</f>
        <v/>
      </c>
      <c r="P355" s="10">
        <f>IF($B355="","",IF($AK355&lt;&gt;"",IF(AND(TODAY()&gt;=INDEX(입력_파견수련계획!$AB$4:$AB$803,$AK355),OR(NOT(ISNUMBER(INDEX(입력_파견수련계획!$AC$4:$AC$803,$AK355))),TODAY()&lt;=INDEX(입력_파견수련계획!$AC$4:$AC$803,$AK355))),"다기관",IF($AF355="","",INDEX(입력_파견수련계획!$T$4:$T$803,$AF355))),IF($AF355="","",INDEX(입력_파견수련계획!$T$4:$T$803,$AF355))))</f>
        <v/>
      </c>
      <c r="Q355" s="10">
        <f>IF($AF355="","",INDEX(입력_파견수련계획!$S$4:$S$803,$AF355))</f>
        <v/>
      </c>
      <c r="R355" s="10">
        <f>IF($AF355="","",INDEX(입력_파견수련계획!$U$4:$U$803,$AF355))</f>
        <v/>
      </c>
      <c r="S355" s="11">
        <f>IF($AF355="","",IF(INDEX(입력_파견수련계획!$H$4:$H$803,$AF355)="","",INDEX(입력_파견수련계획!$H$4:$H$803,$AF355)))</f>
        <v/>
      </c>
      <c r="T355" s="11">
        <f>IF($AF355="","",IF(INDEX(입력_파견수련계획!$I$4:$I$803,$AF355)="","",INDEX(입력_파견수련계획!$I$4:$I$803,$AF355)))</f>
        <v/>
      </c>
      <c r="U355" s="10">
        <f>IF($AF355="","",INDEX(입력_파견수련계획!$X$4:$X$803,$AF355))</f>
        <v/>
      </c>
      <c r="V355" s="17">
        <f>IF($AF355="","",INDEX(입력_파견수련계획!$V$4:$V$803,$AF355))</f>
        <v/>
      </c>
      <c r="W355" s="17">
        <f>IF(AND($U355="파견중",$T355&lt;&gt;""),$T355-TODAY(),"")</f>
        <v/>
      </c>
      <c r="X355" s="17">
        <f>IF(OR($B355="",TRIM($J355&amp;"")=""),"",SUMPRODUCT((입력_파견수련계획!$Q$4:$Q$803=TRIM($J355&amp;""))*입력_파견수련계획!$W$4:$W$803))</f>
        <v/>
      </c>
      <c r="Y355" s="10">
        <f>IF($B355="","",IF($AG355="","",IF(IF(TRIM($J355&amp;"")="",0,SUMPRODUCT((입력_파견수련계획!$Q$4:$Q$803=TRIM($J355&amp;""))*입력_파견수련계획!$AD$4:$AD$803))&gt;0,$AE355,IF(AND(N($X355)&lt;=0,$AQ355=""),$AG355,IF($AH355+$AI355=DAY(EOMONTH(출력_요약!$B$3,0)),IF(AND($AH355&gt;=출력_요약!$E$3,$AI355&lt;출력_요약!$E$3),"서울병원",IF(AND($AI355&gt;=출력_요약!$E$3,$AH355&lt;출력_요약!$E$3),"구리병원","⚠15일 판정불가(서울 "&amp;$AH355&amp;"일/구리 "&amp;$AI355&amp;"일)")),IF($AJ355="",$AE355,IF(INDEX(입력_파견수련계획!$T$4:$T$803,$AJ355)="통합수련",INDEX(입력_파견수련계획!$S$4:$S$803,$AJ355),$AE355)))))))</f>
        <v/>
      </c>
      <c r="Z355" s="20">
        <f>IF($B355="","",IF($AB355="","기본자료에 없는 사번",IF(COUNTIF($B$2:$B$401,$B355)&gt;1,"중복 사번",IF($AE355="","소속(입사장소) 입력",IF(IF(TRIM($J355&amp;"")="",0,SUMPRODUCT((입력_파견수련계획!$Q$4:$Q$803=TRIM($J355&amp;""))*(입력_파견수련계획!$AA$4:$AA$803&lt;&gt;"")))&gt;0,"파견수련계획 입력오류 확인",IF(LEFT($Y355,1)="⚠","서울·구리 15일 판정 불가(양쪽 모두 이상/미만)",IF(IF($AC355="",0,N(INDEX(입력_인턴근무계획!$T$3:$T$402,$AC355)))&gt;0,"인턴계획 입력오류 확인",IF(AND($AQ355&lt;&gt;"",$AG355&lt;&gt;"구리병원",IF(TRIM($J355&amp;"")="",0,SUMPRODUCT((입력_파견수련계획!$Q$4:$Q$803=TRIM($J355&amp;""))*(입력_파견수련계획!$S$4:$S$803="구리병원")*입력_파견수련계획!$W$4:$W$803))=0),"구리 근무자명단에만 있음(파견수련계획 확인)",IF(AND($AC355&lt;&gt;"",$U355&lt;&gt;"파견중",$N355&lt;&gt;$AE355),"인턴 타지역 근무: 파견 여부 확인","정상")))))))))</f>
        <v/>
      </c>
      <c r="AA355" s="5" t="n"/>
      <c r="AB355" s="10">
        <f>IF($B355="","",IFERROR(MATCH($B355,입력_기본자료!$B$2:$B$1001,0),IFERROR(MATCH($B355&amp;"",입력_기본자료!$B$2:$B$1001,0),IFERROR(MATCH(VALUE($B355),입력_기본자료!$B$2:$B$1001,0),""))))</f>
        <v/>
      </c>
      <c r="AC355" s="10">
        <f>IF($B355="","",IFERROR(MATCH($B355,입력_인턴근무계획!$D$3:$D$402,0),IFERROR(MATCH($B355&amp;"",입력_인턴근무계획!$D$3:$D$402,0),IFERROR(MATCH(VALUE($B355),입력_인턴근무계획!$D$3:$D$402,0),""))))</f>
        <v/>
      </c>
      <c r="AD355" s="10">
        <f>IF(OR($AC355="",출력_인턴현황!$G$3=""),"",INDEX(입력_인턴근무계획!$M$3:$R$402,$AC355,출력_인턴현황!$G$3)&amp;"")</f>
        <v/>
      </c>
      <c r="AE355" s="10">
        <f>IF($B355="","",IF($M355&lt;&gt;"",$M355,IF(IF($AQ355="",FALSE,INDEX(출력_구리근무자!$J$6:$J$305,$AQ355)="구리독자"),"구리병원",IF($AF355&lt;&gt;"",IF(LEFT(INDEX(입력_파견수련계획!$R$4:$R$803,$AF355),1)&lt;&gt;"⚠",INDEX(입력_파견수련계획!$R$4:$R$803,$AF355),IF($H355="","",IF(RIGHT($H355,2)="병원",$H355,$H355&amp;"병원"))),IF($H355="","",IF(RIGHT($H355,2)="병원",$H355,$H355&amp;"병원"))))))</f>
        <v/>
      </c>
      <c r="AF355" s="10">
        <f>IF(OR($B355="",TRIM($J355&amp;"")=""),"",IFERROR(MATCH(TRIM($J355&amp;"")&amp;"|파견중",입력_파견수련계획!$Y$4:$Y$803,0),IFERROR(MATCH(TRIM($J355&amp;"")&amp;"|파견예정",입력_파견수련계획!$Y$4:$Y$803,0),IFERROR(MATCH(TRIM($J355&amp;"")&amp;"|파견종료",입력_파견수련계획!$Y$4:$Y$803,0),""))))</f>
        <v/>
      </c>
      <c r="AG355" s="10">
        <f>IF($B355="","",IF(AND(IF(OR($AC355="",출력_인턴현황!$K$2=""),"",INDEX(입력_인턴근무계획!$M$3:$R$402,$AC355,출력_인턴현황!$K$2)&amp;"")&lt;&gt;"",LEFT(IF(OR($AC355="",출력_인턴현황!$K$2=""),"",INDEX(입력_인턴근무계획!$M$3:$R$402,$AC355,출력_인턴현황!$K$2)&amp;""),1)&lt;&gt;"⚠"),LEFT(IF(OR($AC355="",출력_인턴현황!$K$2=""),"",INDEX(입력_인턴근무계획!$M$3:$R$402,$AC355,출력_인턴현황!$K$2)&amp;""),FIND(" ",IF(OR($AC355="",출력_인턴현황!$K$2=""),"",INDEX(입력_인턴근무계획!$M$3:$R$402,$AC355,출력_인턴현황!$K$2)&amp;""))-1),$AE355))</f>
        <v/>
      </c>
      <c r="AH355" s="17">
        <f>IF($B355="","",IF($AQ355&lt;&gt;"",MAX(0,DAY(EOMONTH(출력_요약!$B$3,0))-N($AR355)),IF(TRIM($J355&amp;"")="",0,SUMPRODUCT((입력_파견수련계획!$Q$4:$Q$803=TRIM($J355&amp;""))*(입력_파견수련계획!$S$4:$S$803="서울병원")*입력_파견수련계획!$W$4:$W$803))+IF($AG355="서울병원",MAX(0,DAY(EOMONTH(출력_요약!$B$3,0))-N($X355)),0)))</f>
        <v/>
      </c>
      <c r="AI355" s="17">
        <f>IF($B355="","",IF($AQ355&lt;&gt;"",N($AR355),IF(TRIM($J355&amp;"")="",0,SUMPRODUCT((입력_파견수련계획!$Q$4:$Q$803=TRIM($J355&amp;""))*(입력_파견수련계획!$S$4:$S$803="구리병원")*입력_파견수련계획!$W$4:$W$803))+IF($AG355="구리병원",MAX(0,DAY(EOMONTH(출력_요약!$B$3,0))-N($X355)),0)))</f>
        <v/>
      </c>
      <c r="AJ355" s="10">
        <f>IF(OR($B355="",TRIM($J355&amp;"")=""),"",IFERROR(MATCH(TRIM($J355&amp;"")&amp;"|월",입력_파견수련계획!$Z$4:$Z$803,0),""))</f>
        <v/>
      </c>
      <c r="AK355" s="10">
        <f>IF(OR($B355="",TRIM($J355&amp;"")=""),"",IFERROR(MATCH(TRIM($J355&amp;"")&amp;"|다기관",입력_파견수련계획!$AE$4:$AE$803,0),""))</f>
        <v/>
      </c>
      <c r="AL355" s="10">
        <f>IF($AK355="","","다기관 "&amp;TEXT(INDEX(입력_파견수련계획!$AB$4:$AB$803,$AK355),"yyyy-mm-dd")&amp;"~"&amp;IF(ISNUMBER(INDEX(입력_파견수련계획!$AC$4:$AC$803,$AK355)),TEXT(INDEX(입력_파견수련계획!$AC$4:$AC$803,$AK355),"yyyy-mm-dd"),""))</f>
        <v/>
      </c>
      <c r="AM355" s="10">
        <f>IF($Y355="서울병원",COUNTIF($Y$2:$Y355,"서울병원"),"")</f>
        <v/>
      </c>
      <c r="AN355" s="10">
        <f>IF(LEFT($Y355,1)="⚠",COUNTIF($Y$2:$Y355,"⚠*"),"")</f>
        <v/>
      </c>
      <c r="AO355" s="10">
        <f>IF(OR($B355="",$Y355=""),"",IF(IF(TRIM($J355&amp;"")="",0,SUMPRODUCT((입력_파견수련계획!$Q$4:$Q$803=TRIM($J355&amp;""))*입력_파견수련계획!$AD$4:$AD$803))&gt;0,"다기관 기간 → 소속병원 지급",IF(AND(N($X355)&lt;=0,$AQ355=""),"파견 없음 → 그 달 근무병원 지급",IF($AH355+$AI355=DAY(EOMONTH(출력_요약!$B$3,0)),"서울 "&amp;$AH355&amp;"일 / 구리 "&amp;$AI355&amp;"일"&amp;IF($AQ355&lt;&gt;""," (구리 근무자명단 반영)","")&amp;" → 15일 이상 근무 병원 지급","타 병원 포함 → "&amp;IF($AJ355="","소속",INDEX(입력_파견수련계획!$T$4:$T$803,$AJ355))&amp;" 규칙"))))</f>
        <v/>
      </c>
      <c r="AP355" s="10">
        <f>IF($B355="","",$C355&amp;"|"&amp;$F355)</f>
        <v/>
      </c>
      <c r="AQ355" s="10">
        <f>IF($B355="","",IFERROR(MATCH(ROW()-1,출력_구리근무자!$K$6:$K$305,0),""))</f>
        <v/>
      </c>
      <c r="AR355" s="10">
        <f>IF($AQ355="","",INDEX(출력_구리근무자!$H$6:$H$305,$AQ355))</f>
        <v/>
      </c>
    </row>
    <row r="356">
      <c r="A356" s="10">
        <f>IF(B356="","",ROW()-1)</f>
        <v/>
      </c>
      <c r="B356" s="19" t="n"/>
      <c r="C356" s="10">
        <f>IF($AB356="","",IF(INDEX(입력_기본자료!$C$2:$C$1001,$AB356)="","",INDEX(입력_기본자료!$C$2:$C$1001,$AB356)))</f>
        <v/>
      </c>
      <c r="D356" s="10">
        <f>IF($AB356="","",IF(INDEX(입력_기본자료!$J$2:$J$1001,$AB356)="","",INDEX(입력_기본자료!$J$2:$J$1001,$AB356)))</f>
        <v/>
      </c>
      <c r="E356" s="11">
        <f>IF($AB356="","",IF(INDEX(입력_기본자료!$K$2:$K$1001,$AB356)="","",IF(NOT(ISNUMBER(INDEX(입력_기본자료!$K$2:$K$1001,$AB356))),INDEX(입력_기본자료!$K$2:$K$1001,$AB356),IF(INDEX(입력_기본자료!$K$2:$K$1001,$AB356)&lt;1000000,INDEX(입력_기본자료!$K$2:$K$1001,$AB356),IF(AND(INDEX(입력_기본자료!$K$2:$K$1001,$AB356)&gt;=10000101,INT(MOD(INDEX(입력_기본자료!$K$2:$K$1001,$AB356),10000)/100)&gt;=1,INT(MOD(INDEX(입력_기본자료!$K$2:$K$1001,$AB356),10000)/100)&lt;=12,MOD(INDEX(입력_기본자료!$K$2:$K$1001,$AB356),100)&gt;=1,MOD(INDEX(입력_기본자료!$K$2:$K$1001,$AB356),100)&lt;=31),DATE(INT(INDEX(입력_기본자료!$K$2:$K$1001,$AB356)/10000),INT(MOD(INDEX(입력_기본자료!$K$2:$K$1001,$AB356),10000)/100),MOD(INDEX(입력_기본자료!$K$2:$K$1001,$AB356),100)),INDEX(입력_기본자료!$K$2:$K$1001,$AB356)&amp;"")))))</f>
        <v/>
      </c>
      <c r="F356" s="10">
        <f>IF($AB356="","",IF(INDEX(입력_기본자료!$D$2:$D$1001,$AB356)="","",INDEX(입력_기본자료!$D$2:$D$1001,$AB356)))</f>
        <v/>
      </c>
      <c r="G356" s="10">
        <f>IF($AB356="","",IF(INDEX(입력_기본자료!$E$2:$E$1001,$AB356)="","",INDEX(입력_기본자료!$E$2:$E$1001,$AB356)))</f>
        <v/>
      </c>
      <c r="H356" s="10">
        <f>IF($AB356="","",IF(INDEX(입력_기본자료!$F$2:$F$1001,$AB356)="","",INDEX(입력_기본자료!$F$2:$F$1001,$AB356)))</f>
        <v/>
      </c>
      <c r="I356" s="11">
        <f>IF($AB356="","",IF(INDEX(입력_기본자료!$G$2:$G$1001,$AB356)="","",IF(NOT(ISNUMBER(INDEX(입력_기본자료!$G$2:$G$1001,$AB356))),INDEX(입력_기본자료!$G$2:$G$1001,$AB356),IF(INDEX(입력_기본자료!$G$2:$G$1001,$AB356)&lt;1000000,INDEX(입력_기본자료!$G$2:$G$1001,$AB356),IF(AND(INDEX(입력_기본자료!$G$2:$G$1001,$AB356)&gt;=10000101,INT(MOD(INDEX(입력_기본자료!$G$2:$G$1001,$AB356),10000)/100)&gt;=1,INT(MOD(INDEX(입력_기본자료!$G$2:$G$1001,$AB356),10000)/100)&lt;=12,MOD(INDEX(입력_기본자료!$G$2:$G$1001,$AB356),100)&gt;=1,MOD(INDEX(입력_기본자료!$G$2:$G$1001,$AB356),100)&lt;=31),DATE(INT(INDEX(입력_기본자료!$G$2:$G$1001,$AB356)/10000),INT(MOD(INDEX(입력_기본자료!$G$2:$G$1001,$AB356),10000)/100),MOD(INDEX(입력_기본자료!$G$2:$G$1001,$AB356),100)),INDEX(입력_기본자료!$G$2:$G$1001,$AB356)&amp;"")))))</f>
        <v/>
      </c>
      <c r="J356" s="10">
        <f>IF($AB356="","",IF(INDEX(입력_기본자료!$H$2:$H$1001,$AB356)="","",INDEX(입력_기본자료!$H$2:$H$1001,$AB356)))</f>
        <v/>
      </c>
      <c r="K356" s="10">
        <f>IF($AB356="","",IF(INDEX(입력_기본자료!$I$2:$I$1001,$AB356)="","",INDEX(입력_기본자료!$I$2:$I$1001,$AB356)))</f>
        <v/>
      </c>
      <c r="L356" s="10">
        <f>IF($AB356="","",IF(INDEX(입력_기본자료!$A$2:$A$1001,$AB356)="","",INDEX(입력_기본자료!$A$2:$A$1001,$AB356)))</f>
        <v/>
      </c>
      <c r="M356" s="15" t="n"/>
      <c r="N356" s="10">
        <f>IF($B356="","",IF(AND($U356="파견중",$Q356&lt;&gt;""),$Q356,IF(AND($AD356&lt;&gt;"",LEFT($AD356,1)&lt;&gt;"⚠"),LEFT($AD356,FIND(" ",$AD356)-1),IF($H356="","",IF(RIGHT($H356,2)="병원",$H356,$H356&amp;"병원")))))</f>
        <v/>
      </c>
      <c r="O356" s="10">
        <f>IF($B356="","",IF(AND($U356="파견중",$Q356&lt;&gt;""),IF($R356&lt;&gt;"",$R356,"파견과 미입력"),IF(AND($AD356&lt;&gt;"",LEFT($AD356,1)&lt;&gt;"⚠"),MID($AD356,FIND(" ",$AD356)+1,60),IF($F356="","",IF($F356="인턴","수련교육부(인턴)",$F356)))))</f>
        <v/>
      </c>
      <c r="P356" s="10">
        <f>IF($B356="","",IF($AK356&lt;&gt;"",IF(AND(TODAY()&gt;=INDEX(입력_파견수련계획!$AB$4:$AB$803,$AK356),OR(NOT(ISNUMBER(INDEX(입력_파견수련계획!$AC$4:$AC$803,$AK356))),TODAY()&lt;=INDEX(입력_파견수련계획!$AC$4:$AC$803,$AK356))),"다기관",IF($AF356="","",INDEX(입력_파견수련계획!$T$4:$T$803,$AF356))),IF($AF356="","",INDEX(입력_파견수련계획!$T$4:$T$803,$AF356))))</f>
        <v/>
      </c>
      <c r="Q356" s="10">
        <f>IF($AF356="","",INDEX(입력_파견수련계획!$S$4:$S$803,$AF356))</f>
        <v/>
      </c>
      <c r="R356" s="10">
        <f>IF($AF356="","",INDEX(입력_파견수련계획!$U$4:$U$803,$AF356))</f>
        <v/>
      </c>
      <c r="S356" s="11">
        <f>IF($AF356="","",IF(INDEX(입력_파견수련계획!$H$4:$H$803,$AF356)="","",INDEX(입력_파견수련계획!$H$4:$H$803,$AF356)))</f>
        <v/>
      </c>
      <c r="T356" s="11">
        <f>IF($AF356="","",IF(INDEX(입력_파견수련계획!$I$4:$I$803,$AF356)="","",INDEX(입력_파견수련계획!$I$4:$I$803,$AF356)))</f>
        <v/>
      </c>
      <c r="U356" s="10">
        <f>IF($AF356="","",INDEX(입력_파견수련계획!$X$4:$X$803,$AF356))</f>
        <v/>
      </c>
      <c r="V356" s="17">
        <f>IF($AF356="","",INDEX(입력_파견수련계획!$V$4:$V$803,$AF356))</f>
        <v/>
      </c>
      <c r="W356" s="17">
        <f>IF(AND($U356="파견중",$T356&lt;&gt;""),$T356-TODAY(),"")</f>
        <v/>
      </c>
      <c r="X356" s="17">
        <f>IF(OR($B356="",TRIM($J356&amp;"")=""),"",SUMPRODUCT((입력_파견수련계획!$Q$4:$Q$803=TRIM($J356&amp;""))*입력_파견수련계획!$W$4:$W$803))</f>
        <v/>
      </c>
      <c r="Y356" s="10">
        <f>IF($B356="","",IF($AG356="","",IF(IF(TRIM($J356&amp;"")="",0,SUMPRODUCT((입력_파견수련계획!$Q$4:$Q$803=TRIM($J356&amp;""))*입력_파견수련계획!$AD$4:$AD$803))&gt;0,$AE356,IF(AND(N($X356)&lt;=0,$AQ356=""),$AG356,IF($AH356+$AI356=DAY(EOMONTH(출력_요약!$B$3,0)),IF(AND($AH356&gt;=출력_요약!$E$3,$AI356&lt;출력_요약!$E$3),"서울병원",IF(AND($AI356&gt;=출력_요약!$E$3,$AH356&lt;출력_요약!$E$3),"구리병원","⚠15일 판정불가(서울 "&amp;$AH356&amp;"일/구리 "&amp;$AI356&amp;"일)")),IF($AJ356="",$AE356,IF(INDEX(입력_파견수련계획!$T$4:$T$803,$AJ356)="통합수련",INDEX(입력_파견수련계획!$S$4:$S$803,$AJ356),$AE356)))))))</f>
        <v/>
      </c>
      <c r="Z356" s="20">
        <f>IF($B356="","",IF($AB356="","기본자료에 없는 사번",IF(COUNTIF($B$2:$B$401,$B356)&gt;1,"중복 사번",IF($AE356="","소속(입사장소) 입력",IF(IF(TRIM($J356&amp;"")="",0,SUMPRODUCT((입력_파견수련계획!$Q$4:$Q$803=TRIM($J356&amp;""))*(입력_파견수련계획!$AA$4:$AA$803&lt;&gt;"")))&gt;0,"파견수련계획 입력오류 확인",IF(LEFT($Y356,1)="⚠","서울·구리 15일 판정 불가(양쪽 모두 이상/미만)",IF(IF($AC356="",0,N(INDEX(입력_인턴근무계획!$T$3:$T$402,$AC356)))&gt;0,"인턴계획 입력오류 확인",IF(AND($AQ356&lt;&gt;"",$AG356&lt;&gt;"구리병원",IF(TRIM($J356&amp;"")="",0,SUMPRODUCT((입력_파견수련계획!$Q$4:$Q$803=TRIM($J356&amp;""))*(입력_파견수련계획!$S$4:$S$803="구리병원")*입력_파견수련계획!$W$4:$W$803))=0),"구리 근무자명단에만 있음(파견수련계획 확인)",IF(AND($AC356&lt;&gt;"",$U356&lt;&gt;"파견중",$N356&lt;&gt;$AE356),"인턴 타지역 근무: 파견 여부 확인","정상")))))))))</f>
        <v/>
      </c>
      <c r="AA356" s="5" t="n"/>
      <c r="AB356" s="10">
        <f>IF($B356="","",IFERROR(MATCH($B356,입력_기본자료!$B$2:$B$1001,0),IFERROR(MATCH($B356&amp;"",입력_기본자료!$B$2:$B$1001,0),IFERROR(MATCH(VALUE($B356),입력_기본자료!$B$2:$B$1001,0),""))))</f>
        <v/>
      </c>
      <c r="AC356" s="10">
        <f>IF($B356="","",IFERROR(MATCH($B356,입력_인턴근무계획!$D$3:$D$402,0),IFERROR(MATCH($B356&amp;"",입력_인턴근무계획!$D$3:$D$402,0),IFERROR(MATCH(VALUE($B356),입력_인턴근무계획!$D$3:$D$402,0),""))))</f>
        <v/>
      </c>
      <c r="AD356" s="10">
        <f>IF(OR($AC356="",출력_인턴현황!$G$3=""),"",INDEX(입력_인턴근무계획!$M$3:$R$402,$AC356,출력_인턴현황!$G$3)&amp;"")</f>
        <v/>
      </c>
      <c r="AE356" s="10">
        <f>IF($B356="","",IF($M356&lt;&gt;"",$M356,IF(IF($AQ356="",FALSE,INDEX(출력_구리근무자!$J$6:$J$305,$AQ356)="구리독자"),"구리병원",IF($AF356&lt;&gt;"",IF(LEFT(INDEX(입력_파견수련계획!$R$4:$R$803,$AF356),1)&lt;&gt;"⚠",INDEX(입력_파견수련계획!$R$4:$R$803,$AF356),IF($H356="","",IF(RIGHT($H356,2)="병원",$H356,$H356&amp;"병원"))),IF($H356="","",IF(RIGHT($H356,2)="병원",$H356,$H356&amp;"병원"))))))</f>
        <v/>
      </c>
      <c r="AF356" s="10">
        <f>IF(OR($B356="",TRIM($J356&amp;"")=""),"",IFERROR(MATCH(TRIM($J356&amp;"")&amp;"|파견중",입력_파견수련계획!$Y$4:$Y$803,0),IFERROR(MATCH(TRIM($J356&amp;"")&amp;"|파견예정",입력_파견수련계획!$Y$4:$Y$803,0),IFERROR(MATCH(TRIM($J356&amp;"")&amp;"|파견종료",입력_파견수련계획!$Y$4:$Y$803,0),""))))</f>
        <v/>
      </c>
      <c r="AG356" s="10">
        <f>IF($B356="","",IF(AND(IF(OR($AC356="",출력_인턴현황!$K$2=""),"",INDEX(입력_인턴근무계획!$M$3:$R$402,$AC356,출력_인턴현황!$K$2)&amp;"")&lt;&gt;"",LEFT(IF(OR($AC356="",출력_인턴현황!$K$2=""),"",INDEX(입력_인턴근무계획!$M$3:$R$402,$AC356,출력_인턴현황!$K$2)&amp;""),1)&lt;&gt;"⚠"),LEFT(IF(OR($AC356="",출력_인턴현황!$K$2=""),"",INDEX(입력_인턴근무계획!$M$3:$R$402,$AC356,출력_인턴현황!$K$2)&amp;""),FIND(" ",IF(OR($AC356="",출력_인턴현황!$K$2=""),"",INDEX(입력_인턴근무계획!$M$3:$R$402,$AC356,출력_인턴현황!$K$2)&amp;""))-1),$AE356))</f>
        <v/>
      </c>
      <c r="AH356" s="17">
        <f>IF($B356="","",IF($AQ356&lt;&gt;"",MAX(0,DAY(EOMONTH(출력_요약!$B$3,0))-N($AR356)),IF(TRIM($J356&amp;"")="",0,SUMPRODUCT((입력_파견수련계획!$Q$4:$Q$803=TRIM($J356&amp;""))*(입력_파견수련계획!$S$4:$S$803="서울병원")*입력_파견수련계획!$W$4:$W$803))+IF($AG356="서울병원",MAX(0,DAY(EOMONTH(출력_요약!$B$3,0))-N($X356)),0)))</f>
        <v/>
      </c>
      <c r="AI356" s="17">
        <f>IF($B356="","",IF($AQ356&lt;&gt;"",N($AR356),IF(TRIM($J356&amp;"")="",0,SUMPRODUCT((입력_파견수련계획!$Q$4:$Q$803=TRIM($J356&amp;""))*(입력_파견수련계획!$S$4:$S$803="구리병원")*입력_파견수련계획!$W$4:$W$803))+IF($AG356="구리병원",MAX(0,DAY(EOMONTH(출력_요약!$B$3,0))-N($X356)),0)))</f>
        <v/>
      </c>
      <c r="AJ356" s="10">
        <f>IF(OR($B356="",TRIM($J356&amp;"")=""),"",IFERROR(MATCH(TRIM($J356&amp;"")&amp;"|월",입력_파견수련계획!$Z$4:$Z$803,0),""))</f>
        <v/>
      </c>
      <c r="AK356" s="10">
        <f>IF(OR($B356="",TRIM($J356&amp;"")=""),"",IFERROR(MATCH(TRIM($J356&amp;"")&amp;"|다기관",입력_파견수련계획!$AE$4:$AE$803,0),""))</f>
        <v/>
      </c>
      <c r="AL356" s="10">
        <f>IF($AK356="","","다기관 "&amp;TEXT(INDEX(입력_파견수련계획!$AB$4:$AB$803,$AK356),"yyyy-mm-dd")&amp;"~"&amp;IF(ISNUMBER(INDEX(입력_파견수련계획!$AC$4:$AC$803,$AK356)),TEXT(INDEX(입력_파견수련계획!$AC$4:$AC$803,$AK356),"yyyy-mm-dd"),""))</f>
        <v/>
      </c>
      <c r="AM356" s="10">
        <f>IF($Y356="서울병원",COUNTIF($Y$2:$Y356,"서울병원"),"")</f>
        <v/>
      </c>
      <c r="AN356" s="10">
        <f>IF(LEFT($Y356,1)="⚠",COUNTIF($Y$2:$Y356,"⚠*"),"")</f>
        <v/>
      </c>
      <c r="AO356" s="10">
        <f>IF(OR($B356="",$Y356=""),"",IF(IF(TRIM($J356&amp;"")="",0,SUMPRODUCT((입력_파견수련계획!$Q$4:$Q$803=TRIM($J356&amp;""))*입력_파견수련계획!$AD$4:$AD$803))&gt;0,"다기관 기간 → 소속병원 지급",IF(AND(N($X356)&lt;=0,$AQ356=""),"파견 없음 → 그 달 근무병원 지급",IF($AH356+$AI356=DAY(EOMONTH(출력_요약!$B$3,0)),"서울 "&amp;$AH356&amp;"일 / 구리 "&amp;$AI356&amp;"일"&amp;IF($AQ356&lt;&gt;""," (구리 근무자명단 반영)","")&amp;" → 15일 이상 근무 병원 지급","타 병원 포함 → "&amp;IF($AJ356="","소속",INDEX(입력_파견수련계획!$T$4:$T$803,$AJ356))&amp;" 규칙"))))</f>
        <v/>
      </c>
      <c r="AP356" s="10">
        <f>IF($B356="","",$C356&amp;"|"&amp;$F356)</f>
        <v/>
      </c>
      <c r="AQ356" s="10">
        <f>IF($B356="","",IFERROR(MATCH(ROW()-1,출력_구리근무자!$K$6:$K$305,0),""))</f>
        <v/>
      </c>
      <c r="AR356" s="10">
        <f>IF($AQ356="","",INDEX(출력_구리근무자!$H$6:$H$305,$AQ356))</f>
        <v/>
      </c>
    </row>
    <row r="357">
      <c r="A357" s="10">
        <f>IF(B357="","",ROW()-1)</f>
        <v/>
      </c>
      <c r="B357" s="19" t="n"/>
      <c r="C357" s="10">
        <f>IF($AB357="","",IF(INDEX(입력_기본자료!$C$2:$C$1001,$AB357)="","",INDEX(입력_기본자료!$C$2:$C$1001,$AB357)))</f>
        <v/>
      </c>
      <c r="D357" s="10">
        <f>IF($AB357="","",IF(INDEX(입력_기본자료!$J$2:$J$1001,$AB357)="","",INDEX(입력_기본자료!$J$2:$J$1001,$AB357)))</f>
        <v/>
      </c>
      <c r="E357" s="11">
        <f>IF($AB357="","",IF(INDEX(입력_기본자료!$K$2:$K$1001,$AB357)="","",IF(NOT(ISNUMBER(INDEX(입력_기본자료!$K$2:$K$1001,$AB357))),INDEX(입력_기본자료!$K$2:$K$1001,$AB357),IF(INDEX(입력_기본자료!$K$2:$K$1001,$AB357)&lt;1000000,INDEX(입력_기본자료!$K$2:$K$1001,$AB357),IF(AND(INDEX(입력_기본자료!$K$2:$K$1001,$AB357)&gt;=10000101,INT(MOD(INDEX(입력_기본자료!$K$2:$K$1001,$AB357),10000)/100)&gt;=1,INT(MOD(INDEX(입력_기본자료!$K$2:$K$1001,$AB357),10000)/100)&lt;=12,MOD(INDEX(입력_기본자료!$K$2:$K$1001,$AB357),100)&gt;=1,MOD(INDEX(입력_기본자료!$K$2:$K$1001,$AB357),100)&lt;=31),DATE(INT(INDEX(입력_기본자료!$K$2:$K$1001,$AB357)/10000),INT(MOD(INDEX(입력_기본자료!$K$2:$K$1001,$AB357),10000)/100),MOD(INDEX(입력_기본자료!$K$2:$K$1001,$AB357),100)),INDEX(입력_기본자료!$K$2:$K$1001,$AB357)&amp;"")))))</f>
        <v/>
      </c>
      <c r="F357" s="10">
        <f>IF($AB357="","",IF(INDEX(입력_기본자료!$D$2:$D$1001,$AB357)="","",INDEX(입력_기본자료!$D$2:$D$1001,$AB357)))</f>
        <v/>
      </c>
      <c r="G357" s="10">
        <f>IF($AB357="","",IF(INDEX(입력_기본자료!$E$2:$E$1001,$AB357)="","",INDEX(입력_기본자료!$E$2:$E$1001,$AB357)))</f>
        <v/>
      </c>
      <c r="H357" s="10">
        <f>IF($AB357="","",IF(INDEX(입력_기본자료!$F$2:$F$1001,$AB357)="","",INDEX(입력_기본자료!$F$2:$F$1001,$AB357)))</f>
        <v/>
      </c>
      <c r="I357" s="11">
        <f>IF($AB357="","",IF(INDEX(입력_기본자료!$G$2:$G$1001,$AB357)="","",IF(NOT(ISNUMBER(INDEX(입력_기본자료!$G$2:$G$1001,$AB357))),INDEX(입력_기본자료!$G$2:$G$1001,$AB357),IF(INDEX(입력_기본자료!$G$2:$G$1001,$AB357)&lt;1000000,INDEX(입력_기본자료!$G$2:$G$1001,$AB357),IF(AND(INDEX(입력_기본자료!$G$2:$G$1001,$AB357)&gt;=10000101,INT(MOD(INDEX(입력_기본자료!$G$2:$G$1001,$AB357),10000)/100)&gt;=1,INT(MOD(INDEX(입력_기본자료!$G$2:$G$1001,$AB357),10000)/100)&lt;=12,MOD(INDEX(입력_기본자료!$G$2:$G$1001,$AB357),100)&gt;=1,MOD(INDEX(입력_기본자료!$G$2:$G$1001,$AB357),100)&lt;=31),DATE(INT(INDEX(입력_기본자료!$G$2:$G$1001,$AB357)/10000),INT(MOD(INDEX(입력_기본자료!$G$2:$G$1001,$AB357),10000)/100),MOD(INDEX(입력_기본자료!$G$2:$G$1001,$AB357),100)),INDEX(입력_기본자료!$G$2:$G$1001,$AB357)&amp;"")))))</f>
        <v/>
      </c>
      <c r="J357" s="10">
        <f>IF($AB357="","",IF(INDEX(입력_기본자료!$H$2:$H$1001,$AB357)="","",INDEX(입력_기본자료!$H$2:$H$1001,$AB357)))</f>
        <v/>
      </c>
      <c r="K357" s="10">
        <f>IF($AB357="","",IF(INDEX(입력_기본자료!$I$2:$I$1001,$AB357)="","",INDEX(입력_기본자료!$I$2:$I$1001,$AB357)))</f>
        <v/>
      </c>
      <c r="L357" s="10">
        <f>IF($AB357="","",IF(INDEX(입력_기본자료!$A$2:$A$1001,$AB357)="","",INDEX(입력_기본자료!$A$2:$A$1001,$AB357)))</f>
        <v/>
      </c>
      <c r="M357" s="15" t="n"/>
      <c r="N357" s="10">
        <f>IF($B357="","",IF(AND($U357="파견중",$Q357&lt;&gt;""),$Q357,IF(AND($AD357&lt;&gt;"",LEFT($AD357,1)&lt;&gt;"⚠"),LEFT($AD357,FIND(" ",$AD357)-1),IF($H357="","",IF(RIGHT($H357,2)="병원",$H357,$H357&amp;"병원")))))</f>
        <v/>
      </c>
      <c r="O357" s="10">
        <f>IF($B357="","",IF(AND($U357="파견중",$Q357&lt;&gt;""),IF($R357&lt;&gt;"",$R357,"파견과 미입력"),IF(AND($AD357&lt;&gt;"",LEFT($AD357,1)&lt;&gt;"⚠"),MID($AD357,FIND(" ",$AD357)+1,60),IF($F357="","",IF($F357="인턴","수련교육부(인턴)",$F357)))))</f>
        <v/>
      </c>
      <c r="P357" s="10">
        <f>IF($B357="","",IF($AK357&lt;&gt;"",IF(AND(TODAY()&gt;=INDEX(입력_파견수련계획!$AB$4:$AB$803,$AK357),OR(NOT(ISNUMBER(INDEX(입력_파견수련계획!$AC$4:$AC$803,$AK357))),TODAY()&lt;=INDEX(입력_파견수련계획!$AC$4:$AC$803,$AK357))),"다기관",IF($AF357="","",INDEX(입력_파견수련계획!$T$4:$T$803,$AF357))),IF($AF357="","",INDEX(입력_파견수련계획!$T$4:$T$803,$AF357))))</f>
        <v/>
      </c>
      <c r="Q357" s="10">
        <f>IF($AF357="","",INDEX(입력_파견수련계획!$S$4:$S$803,$AF357))</f>
        <v/>
      </c>
      <c r="R357" s="10">
        <f>IF($AF357="","",INDEX(입력_파견수련계획!$U$4:$U$803,$AF357))</f>
        <v/>
      </c>
      <c r="S357" s="11">
        <f>IF($AF357="","",IF(INDEX(입력_파견수련계획!$H$4:$H$803,$AF357)="","",INDEX(입력_파견수련계획!$H$4:$H$803,$AF357)))</f>
        <v/>
      </c>
      <c r="T357" s="11">
        <f>IF($AF357="","",IF(INDEX(입력_파견수련계획!$I$4:$I$803,$AF357)="","",INDEX(입력_파견수련계획!$I$4:$I$803,$AF357)))</f>
        <v/>
      </c>
      <c r="U357" s="10">
        <f>IF($AF357="","",INDEX(입력_파견수련계획!$X$4:$X$803,$AF357))</f>
        <v/>
      </c>
      <c r="V357" s="17">
        <f>IF($AF357="","",INDEX(입력_파견수련계획!$V$4:$V$803,$AF357))</f>
        <v/>
      </c>
      <c r="W357" s="17">
        <f>IF(AND($U357="파견중",$T357&lt;&gt;""),$T357-TODAY(),"")</f>
        <v/>
      </c>
      <c r="X357" s="17">
        <f>IF(OR($B357="",TRIM($J357&amp;"")=""),"",SUMPRODUCT((입력_파견수련계획!$Q$4:$Q$803=TRIM($J357&amp;""))*입력_파견수련계획!$W$4:$W$803))</f>
        <v/>
      </c>
      <c r="Y357" s="10">
        <f>IF($B357="","",IF($AG357="","",IF(IF(TRIM($J357&amp;"")="",0,SUMPRODUCT((입력_파견수련계획!$Q$4:$Q$803=TRIM($J357&amp;""))*입력_파견수련계획!$AD$4:$AD$803))&gt;0,$AE357,IF(AND(N($X357)&lt;=0,$AQ357=""),$AG357,IF($AH357+$AI357=DAY(EOMONTH(출력_요약!$B$3,0)),IF(AND($AH357&gt;=출력_요약!$E$3,$AI357&lt;출력_요약!$E$3),"서울병원",IF(AND($AI357&gt;=출력_요약!$E$3,$AH357&lt;출력_요약!$E$3),"구리병원","⚠15일 판정불가(서울 "&amp;$AH357&amp;"일/구리 "&amp;$AI357&amp;"일)")),IF($AJ357="",$AE357,IF(INDEX(입력_파견수련계획!$T$4:$T$803,$AJ357)="통합수련",INDEX(입력_파견수련계획!$S$4:$S$803,$AJ357),$AE357)))))))</f>
        <v/>
      </c>
      <c r="Z357" s="20">
        <f>IF($B357="","",IF($AB357="","기본자료에 없는 사번",IF(COUNTIF($B$2:$B$401,$B357)&gt;1,"중복 사번",IF($AE357="","소속(입사장소) 입력",IF(IF(TRIM($J357&amp;"")="",0,SUMPRODUCT((입력_파견수련계획!$Q$4:$Q$803=TRIM($J357&amp;""))*(입력_파견수련계획!$AA$4:$AA$803&lt;&gt;"")))&gt;0,"파견수련계획 입력오류 확인",IF(LEFT($Y357,1)="⚠","서울·구리 15일 판정 불가(양쪽 모두 이상/미만)",IF(IF($AC357="",0,N(INDEX(입력_인턴근무계획!$T$3:$T$402,$AC357)))&gt;0,"인턴계획 입력오류 확인",IF(AND($AQ357&lt;&gt;"",$AG357&lt;&gt;"구리병원",IF(TRIM($J357&amp;"")="",0,SUMPRODUCT((입력_파견수련계획!$Q$4:$Q$803=TRIM($J357&amp;""))*(입력_파견수련계획!$S$4:$S$803="구리병원")*입력_파견수련계획!$W$4:$W$803))=0),"구리 근무자명단에만 있음(파견수련계획 확인)",IF(AND($AC357&lt;&gt;"",$U357&lt;&gt;"파견중",$N357&lt;&gt;$AE357),"인턴 타지역 근무: 파견 여부 확인","정상")))))))))</f>
        <v/>
      </c>
      <c r="AA357" s="5" t="n"/>
      <c r="AB357" s="10">
        <f>IF($B357="","",IFERROR(MATCH($B357,입력_기본자료!$B$2:$B$1001,0),IFERROR(MATCH($B357&amp;"",입력_기본자료!$B$2:$B$1001,0),IFERROR(MATCH(VALUE($B357),입력_기본자료!$B$2:$B$1001,0),""))))</f>
        <v/>
      </c>
      <c r="AC357" s="10">
        <f>IF($B357="","",IFERROR(MATCH($B357,입력_인턴근무계획!$D$3:$D$402,0),IFERROR(MATCH($B357&amp;"",입력_인턴근무계획!$D$3:$D$402,0),IFERROR(MATCH(VALUE($B357),입력_인턴근무계획!$D$3:$D$402,0),""))))</f>
        <v/>
      </c>
      <c r="AD357" s="10">
        <f>IF(OR($AC357="",출력_인턴현황!$G$3=""),"",INDEX(입력_인턴근무계획!$M$3:$R$402,$AC357,출력_인턴현황!$G$3)&amp;"")</f>
        <v/>
      </c>
      <c r="AE357" s="10">
        <f>IF($B357="","",IF($M357&lt;&gt;"",$M357,IF(IF($AQ357="",FALSE,INDEX(출력_구리근무자!$J$6:$J$305,$AQ357)="구리독자"),"구리병원",IF($AF357&lt;&gt;"",IF(LEFT(INDEX(입력_파견수련계획!$R$4:$R$803,$AF357),1)&lt;&gt;"⚠",INDEX(입력_파견수련계획!$R$4:$R$803,$AF357),IF($H357="","",IF(RIGHT($H357,2)="병원",$H357,$H357&amp;"병원"))),IF($H357="","",IF(RIGHT($H357,2)="병원",$H357,$H357&amp;"병원"))))))</f>
        <v/>
      </c>
      <c r="AF357" s="10">
        <f>IF(OR($B357="",TRIM($J357&amp;"")=""),"",IFERROR(MATCH(TRIM($J357&amp;"")&amp;"|파견중",입력_파견수련계획!$Y$4:$Y$803,0),IFERROR(MATCH(TRIM($J357&amp;"")&amp;"|파견예정",입력_파견수련계획!$Y$4:$Y$803,0),IFERROR(MATCH(TRIM($J357&amp;"")&amp;"|파견종료",입력_파견수련계획!$Y$4:$Y$803,0),""))))</f>
        <v/>
      </c>
      <c r="AG357" s="10">
        <f>IF($B357="","",IF(AND(IF(OR($AC357="",출력_인턴현황!$K$2=""),"",INDEX(입력_인턴근무계획!$M$3:$R$402,$AC357,출력_인턴현황!$K$2)&amp;"")&lt;&gt;"",LEFT(IF(OR($AC357="",출력_인턴현황!$K$2=""),"",INDEX(입력_인턴근무계획!$M$3:$R$402,$AC357,출력_인턴현황!$K$2)&amp;""),1)&lt;&gt;"⚠"),LEFT(IF(OR($AC357="",출력_인턴현황!$K$2=""),"",INDEX(입력_인턴근무계획!$M$3:$R$402,$AC357,출력_인턴현황!$K$2)&amp;""),FIND(" ",IF(OR($AC357="",출력_인턴현황!$K$2=""),"",INDEX(입력_인턴근무계획!$M$3:$R$402,$AC357,출력_인턴현황!$K$2)&amp;""))-1),$AE357))</f>
        <v/>
      </c>
      <c r="AH357" s="17">
        <f>IF($B357="","",IF($AQ357&lt;&gt;"",MAX(0,DAY(EOMONTH(출력_요약!$B$3,0))-N($AR357)),IF(TRIM($J357&amp;"")="",0,SUMPRODUCT((입력_파견수련계획!$Q$4:$Q$803=TRIM($J357&amp;""))*(입력_파견수련계획!$S$4:$S$803="서울병원")*입력_파견수련계획!$W$4:$W$803))+IF($AG357="서울병원",MAX(0,DAY(EOMONTH(출력_요약!$B$3,0))-N($X357)),0)))</f>
        <v/>
      </c>
      <c r="AI357" s="17">
        <f>IF($B357="","",IF($AQ357&lt;&gt;"",N($AR357),IF(TRIM($J357&amp;"")="",0,SUMPRODUCT((입력_파견수련계획!$Q$4:$Q$803=TRIM($J357&amp;""))*(입력_파견수련계획!$S$4:$S$803="구리병원")*입력_파견수련계획!$W$4:$W$803))+IF($AG357="구리병원",MAX(0,DAY(EOMONTH(출력_요약!$B$3,0))-N($X357)),0)))</f>
        <v/>
      </c>
      <c r="AJ357" s="10">
        <f>IF(OR($B357="",TRIM($J357&amp;"")=""),"",IFERROR(MATCH(TRIM($J357&amp;"")&amp;"|월",입력_파견수련계획!$Z$4:$Z$803,0),""))</f>
        <v/>
      </c>
      <c r="AK357" s="10">
        <f>IF(OR($B357="",TRIM($J357&amp;"")=""),"",IFERROR(MATCH(TRIM($J357&amp;"")&amp;"|다기관",입력_파견수련계획!$AE$4:$AE$803,0),""))</f>
        <v/>
      </c>
      <c r="AL357" s="10">
        <f>IF($AK357="","","다기관 "&amp;TEXT(INDEX(입력_파견수련계획!$AB$4:$AB$803,$AK357),"yyyy-mm-dd")&amp;"~"&amp;IF(ISNUMBER(INDEX(입력_파견수련계획!$AC$4:$AC$803,$AK357)),TEXT(INDEX(입력_파견수련계획!$AC$4:$AC$803,$AK357),"yyyy-mm-dd"),""))</f>
        <v/>
      </c>
      <c r="AM357" s="10">
        <f>IF($Y357="서울병원",COUNTIF($Y$2:$Y357,"서울병원"),"")</f>
        <v/>
      </c>
      <c r="AN357" s="10">
        <f>IF(LEFT($Y357,1)="⚠",COUNTIF($Y$2:$Y357,"⚠*"),"")</f>
        <v/>
      </c>
      <c r="AO357" s="10">
        <f>IF(OR($B357="",$Y357=""),"",IF(IF(TRIM($J357&amp;"")="",0,SUMPRODUCT((입력_파견수련계획!$Q$4:$Q$803=TRIM($J357&amp;""))*입력_파견수련계획!$AD$4:$AD$803))&gt;0,"다기관 기간 → 소속병원 지급",IF(AND(N($X357)&lt;=0,$AQ357=""),"파견 없음 → 그 달 근무병원 지급",IF($AH357+$AI357=DAY(EOMONTH(출력_요약!$B$3,0)),"서울 "&amp;$AH357&amp;"일 / 구리 "&amp;$AI357&amp;"일"&amp;IF($AQ357&lt;&gt;""," (구리 근무자명단 반영)","")&amp;" → 15일 이상 근무 병원 지급","타 병원 포함 → "&amp;IF($AJ357="","소속",INDEX(입력_파견수련계획!$T$4:$T$803,$AJ357))&amp;" 규칙"))))</f>
        <v/>
      </c>
      <c r="AP357" s="10">
        <f>IF($B357="","",$C357&amp;"|"&amp;$F357)</f>
        <v/>
      </c>
      <c r="AQ357" s="10">
        <f>IF($B357="","",IFERROR(MATCH(ROW()-1,출력_구리근무자!$K$6:$K$305,0),""))</f>
        <v/>
      </c>
      <c r="AR357" s="10">
        <f>IF($AQ357="","",INDEX(출력_구리근무자!$H$6:$H$305,$AQ357))</f>
        <v/>
      </c>
    </row>
    <row r="358">
      <c r="A358" s="10">
        <f>IF(B358="","",ROW()-1)</f>
        <v/>
      </c>
      <c r="B358" s="19" t="n"/>
      <c r="C358" s="10">
        <f>IF($AB358="","",IF(INDEX(입력_기본자료!$C$2:$C$1001,$AB358)="","",INDEX(입력_기본자료!$C$2:$C$1001,$AB358)))</f>
        <v/>
      </c>
      <c r="D358" s="10">
        <f>IF($AB358="","",IF(INDEX(입력_기본자료!$J$2:$J$1001,$AB358)="","",INDEX(입력_기본자료!$J$2:$J$1001,$AB358)))</f>
        <v/>
      </c>
      <c r="E358" s="11">
        <f>IF($AB358="","",IF(INDEX(입력_기본자료!$K$2:$K$1001,$AB358)="","",IF(NOT(ISNUMBER(INDEX(입력_기본자료!$K$2:$K$1001,$AB358))),INDEX(입력_기본자료!$K$2:$K$1001,$AB358),IF(INDEX(입력_기본자료!$K$2:$K$1001,$AB358)&lt;1000000,INDEX(입력_기본자료!$K$2:$K$1001,$AB358),IF(AND(INDEX(입력_기본자료!$K$2:$K$1001,$AB358)&gt;=10000101,INT(MOD(INDEX(입력_기본자료!$K$2:$K$1001,$AB358),10000)/100)&gt;=1,INT(MOD(INDEX(입력_기본자료!$K$2:$K$1001,$AB358),10000)/100)&lt;=12,MOD(INDEX(입력_기본자료!$K$2:$K$1001,$AB358),100)&gt;=1,MOD(INDEX(입력_기본자료!$K$2:$K$1001,$AB358),100)&lt;=31),DATE(INT(INDEX(입력_기본자료!$K$2:$K$1001,$AB358)/10000),INT(MOD(INDEX(입력_기본자료!$K$2:$K$1001,$AB358),10000)/100),MOD(INDEX(입력_기본자료!$K$2:$K$1001,$AB358),100)),INDEX(입력_기본자료!$K$2:$K$1001,$AB358)&amp;"")))))</f>
        <v/>
      </c>
      <c r="F358" s="10">
        <f>IF($AB358="","",IF(INDEX(입력_기본자료!$D$2:$D$1001,$AB358)="","",INDEX(입력_기본자료!$D$2:$D$1001,$AB358)))</f>
        <v/>
      </c>
      <c r="G358" s="10">
        <f>IF($AB358="","",IF(INDEX(입력_기본자료!$E$2:$E$1001,$AB358)="","",INDEX(입력_기본자료!$E$2:$E$1001,$AB358)))</f>
        <v/>
      </c>
      <c r="H358" s="10">
        <f>IF($AB358="","",IF(INDEX(입력_기본자료!$F$2:$F$1001,$AB358)="","",INDEX(입력_기본자료!$F$2:$F$1001,$AB358)))</f>
        <v/>
      </c>
      <c r="I358" s="11">
        <f>IF($AB358="","",IF(INDEX(입력_기본자료!$G$2:$G$1001,$AB358)="","",IF(NOT(ISNUMBER(INDEX(입력_기본자료!$G$2:$G$1001,$AB358))),INDEX(입력_기본자료!$G$2:$G$1001,$AB358),IF(INDEX(입력_기본자료!$G$2:$G$1001,$AB358)&lt;1000000,INDEX(입력_기본자료!$G$2:$G$1001,$AB358),IF(AND(INDEX(입력_기본자료!$G$2:$G$1001,$AB358)&gt;=10000101,INT(MOD(INDEX(입력_기본자료!$G$2:$G$1001,$AB358),10000)/100)&gt;=1,INT(MOD(INDEX(입력_기본자료!$G$2:$G$1001,$AB358),10000)/100)&lt;=12,MOD(INDEX(입력_기본자료!$G$2:$G$1001,$AB358),100)&gt;=1,MOD(INDEX(입력_기본자료!$G$2:$G$1001,$AB358),100)&lt;=31),DATE(INT(INDEX(입력_기본자료!$G$2:$G$1001,$AB358)/10000),INT(MOD(INDEX(입력_기본자료!$G$2:$G$1001,$AB358),10000)/100),MOD(INDEX(입력_기본자료!$G$2:$G$1001,$AB358),100)),INDEX(입력_기본자료!$G$2:$G$1001,$AB358)&amp;"")))))</f>
        <v/>
      </c>
      <c r="J358" s="10">
        <f>IF($AB358="","",IF(INDEX(입력_기본자료!$H$2:$H$1001,$AB358)="","",INDEX(입력_기본자료!$H$2:$H$1001,$AB358)))</f>
        <v/>
      </c>
      <c r="K358" s="10">
        <f>IF($AB358="","",IF(INDEX(입력_기본자료!$I$2:$I$1001,$AB358)="","",INDEX(입력_기본자료!$I$2:$I$1001,$AB358)))</f>
        <v/>
      </c>
      <c r="L358" s="10">
        <f>IF($AB358="","",IF(INDEX(입력_기본자료!$A$2:$A$1001,$AB358)="","",INDEX(입력_기본자료!$A$2:$A$1001,$AB358)))</f>
        <v/>
      </c>
      <c r="M358" s="15" t="n"/>
      <c r="N358" s="10">
        <f>IF($B358="","",IF(AND($U358="파견중",$Q358&lt;&gt;""),$Q358,IF(AND($AD358&lt;&gt;"",LEFT($AD358,1)&lt;&gt;"⚠"),LEFT($AD358,FIND(" ",$AD358)-1),IF($H358="","",IF(RIGHT($H358,2)="병원",$H358,$H358&amp;"병원")))))</f>
        <v/>
      </c>
      <c r="O358" s="10">
        <f>IF($B358="","",IF(AND($U358="파견중",$Q358&lt;&gt;""),IF($R358&lt;&gt;"",$R358,"파견과 미입력"),IF(AND($AD358&lt;&gt;"",LEFT($AD358,1)&lt;&gt;"⚠"),MID($AD358,FIND(" ",$AD358)+1,60),IF($F358="","",IF($F358="인턴","수련교육부(인턴)",$F358)))))</f>
        <v/>
      </c>
      <c r="P358" s="10">
        <f>IF($B358="","",IF($AK358&lt;&gt;"",IF(AND(TODAY()&gt;=INDEX(입력_파견수련계획!$AB$4:$AB$803,$AK358),OR(NOT(ISNUMBER(INDEX(입력_파견수련계획!$AC$4:$AC$803,$AK358))),TODAY()&lt;=INDEX(입력_파견수련계획!$AC$4:$AC$803,$AK358))),"다기관",IF($AF358="","",INDEX(입력_파견수련계획!$T$4:$T$803,$AF358))),IF($AF358="","",INDEX(입력_파견수련계획!$T$4:$T$803,$AF358))))</f>
        <v/>
      </c>
      <c r="Q358" s="10">
        <f>IF($AF358="","",INDEX(입력_파견수련계획!$S$4:$S$803,$AF358))</f>
        <v/>
      </c>
      <c r="R358" s="10">
        <f>IF($AF358="","",INDEX(입력_파견수련계획!$U$4:$U$803,$AF358))</f>
        <v/>
      </c>
      <c r="S358" s="11">
        <f>IF($AF358="","",IF(INDEX(입력_파견수련계획!$H$4:$H$803,$AF358)="","",INDEX(입력_파견수련계획!$H$4:$H$803,$AF358)))</f>
        <v/>
      </c>
      <c r="T358" s="11">
        <f>IF($AF358="","",IF(INDEX(입력_파견수련계획!$I$4:$I$803,$AF358)="","",INDEX(입력_파견수련계획!$I$4:$I$803,$AF358)))</f>
        <v/>
      </c>
      <c r="U358" s="10">
        <f>IF($AF358="","",INDEX(입력_파견수련계획!$X$4:$X$803,$AF358))</f>
        <v/>
      </c>
      <c r="V358" s="17">
        <f>IF($AF358="","",INDEX(입력_파견수련계획!$V$4:$V$803,$AF358))</f>
        <v/>
      </c>
      <c r="W358" s="17">
        <f>IF(AND($U358="파견중",$T358&lt;&gt;""),$T358-TODAY(),"")</f>
        <v/>
      </c>
      <c r="X358" s="17">
        <f>IF(OR($B358="",TRIM($J358&amp;"")=""),"",SUMPRODUCT((입력_파견수련계획!$Q$4:$Q$803=TRIM($J358&amp;""))*입력_파견수련계획!$W$4:$W$803))</f>
        <v/>
      </c>
      <c r="Y358" s="10">
        <f>IF($B358="","",IF($AG358="","",IF(IF(TRIM($J358&amp;"")="",0,SUMPRODUCT((입력_파견수련계획!$Q$4:$Q$803=TRIM($J358&amp;""))*입력_파견수련계획!$AD$4:$AD$803))&gt;0,$AE358,IF(AND(N($X358)&lt;=0,$AQ358=""),$AG358,IF($AH358+$AI358=DAY(EOMONTH(출력_요약!$B$3,0)),IF(AND($AH358&gt;=출력_요약!$E$3,$AI358&lt;출력_요약!$E$3),"서울병원",IF(AND($AI358&gt;=출력_요약!$E$3,$AH358&lt;출력_요약!$E$3),"구리병원","⚠15일 판정불가(서울 "&amp;$AH358&amp;"일/구리 "&amp;$AI358&amp;"일)")),IF($AJ358="",$AE358,IF(INDEX(입력_파견수련계획!$T$4:$T$803,$AJ358)="통합수련",INDEX(입력_파견수련계획!$S$4:$S$803,$AJ358),$AE358)))))))</f>
        <v/>
      </c>
      <c r="Z358" s="20">
        <f>IF($B358="","",IF($AB358="","기본자료에 없는 사번",IF(COUNTIF($B$2:$B$401,$B358)&gt;1,"중복 사번",IF($AE358="","소속(입사장소) 입력",IF(IF(TRIM($J358&amp;"")="",0,SUMPRODUCT((입력_파견수련계획!$Q$4:$Q$803=TRIM($J358&amp;""))*(입력_파견수련계획!$AA$4:$AA$803&lt;&gt;"")))&gt;0,"파견수련계획 입력오류 확인",IF(LEFT($Y358,1)="⚠","서울·구리 15일 판정 불가(양쪽 모두 이상/미만)",IF(IF($AC358="",0,N(INDEX(입력_인턴근무계획!$T$3:$T$402,$AC358)))&gt;0,"인턴계획 입력오류 확인",IF(AND($AQ358&lt;&gt;"",$AG358&lt;&gt;"구리병원",IF(TRIM($J358&amp;"")="",0,SUMPRODUCT((입력_파견수련계획!$Q$4:$Q$803=TRIM($J358&amp;""))*(입력_파견수련계획!$S$4:$S$803="구리병원")*입력_파견수련계획!$W$4:$W$803))=0),"구리 근무자명단에만 있음(파견수련계획 확인)",IF(AND($AC358&lt;&gt;"",$U358&lt;&gt;"파견중",$N358&lt;&gt;$AE358),"인턴 타지역 근무: 파견 여부 확인","정상")))))))))</f>
        <v/>
      </c>
      <c r="AA358" s="5" t="n"/>
      <c r="AB358" s="10">
        <f>IF($B358="","",IFERROR(MATCH($B358,입력_기본자료!$B$2:$B$1001,0),IFERROR(MATCH($B358&amp;"",입력_기본자료!$B$2:$B$1001,0),IFERROR(MATCH(VALUE($B358),입력_기본자료!$B$2:$B$1001,0),""))))</f>
        <v/>
      </c>
      <c r="AC358" s="10">
        <f>IF($B358="","",IFERROR(MATCH($B358,입력_인턴근무계획!$D$3:$D$402,0),IFERROR(MATCH($B358&amp;"",입력_인턴근무계획!$D$3:$D$402,0),IFERROR(MATCH(VALUE($B358),입력_인턴근무계획!$D$3:$D$402,0),""))))</f>
        <v/>
      </c>
      <c r="AD358" s="10">
        <f>IF(OR($AC358="",출력_인턴현황!$G$3=""),"",INDEX(입력_인턴근무계획!$M$3:$R$402,$AC358,출력_인턴현황!$G$3)&amp;"")</f>
        <v/>
      </c>
      <c r="AE358" s="10">
        <f>IF($B358="","",IF($M358&lt;&gt;"",$M358,IF(IF($AQ358="",FALSE,INDEX(출력_구리근무자!$J$6:$J$305,$AQ358)="구리독자"),"구리병원",IF($AF358&lt;&gt;"",IF(LEFT(INDEX(입력_파견수련계획!$R$4:$R$803,$AF358),1)&lt;&gt;"⚠",INDEX(입력_파견수련계획!$R$4:$R$803,$AF358),IF($H358="","",IF(RIGHT($H358,2)="병원",$H358,$H358&amp;"병원"))),IF($H358="","",IF(RIGHT($H358,2)="병원",$H358,$H358&amp;"병원"))))))</f>
        <v/>
      </c>
      <c r="AF358" s="10">
        <f>IF(OR($B358="",TRIM($J358&amp;"")=""),"",IFERROR(MATCH(TRIM($J358&amp;"")&amp;"|파견중",입력_파견수련계획!$Y$4:$Y$803,0),IFERROR(MATCH(TRIM($J358&amp;"")&amp;"|파견예정",입력_파견수련계획!$Y$4:$Y$803,0),IFERROR(MATCH(TRIM($J358&amp;"")&amp;"|파견종료",입력_파견수련계획!$Y$4:$Y$803,0),""))))</f>
        <v/>
      </c>
      <c r="AG358" s="10">
        <f>IF($B358="","",IF(AND(IF(OR($AC358="",출력_인턴현황!$K$2=""),"",INDEX(입력_인턴근무계획!$M$3:$R$402,$AC358,출력_인턴현황!$K$2)&amp;"")&lt;&gt;"",LEFT(IF(OR($AC358="",출력_인턴현황!$K$2=""),"",INDEX(입력_인턴근무계획!$M$3:$R$402,$AC358,출력_인턴현황!$K$2)&amp;""),1)&lt;&gt;"⚠"),LEFT(IF(OR($AC358="",출력_인턴현황!$K$2=""),"",INDEX(입력_인턴근무계획!$M$3:$R$402,$AC358,출력_인턴현황!$K$2)&amp;""),FIND(" ",IF(OR($AC358="",출력_인턴현황!$K$2=""),"",INDEX(입력_인턴근무계획!$M$3:$R$402,$AC358,출력_인턴현황!$K$2)&amp;""))-1),$AE358))</f>
        <v/>
      </c>
      <c r="AH358" s="17">
        <f>IF($B358="","",IF($AQ358&lt;&gt;"",MAX(0,DAY(EOMONTH(출력_요약!$B$3,0))-N($AR358)),IF(TRIM($J358&amp;"")="",0,SUMPRODUCT((입력_파견수련계획!$Q$4:$Q$803=TRIM($J358&amp;""))*(입력_파견수련계획!$S$4:$S$803="서울병원")*입력_파견수련계획!$W$4:$W$803))+IF($AG358="서울병원",MAX(0,DAY(EOMONTH(출력_요약!$B$3,0))-N($X358)),0)))</f>
        <v/>
      </c>
      <c r="AI358" s="17">
        <f>IF($B358="","",IF($AQ358&lt;&gt;"",N($AR358),IF(TRIM($J358&amp;"")="",0,SUMPRODUCT((입력_파견수련계획!$Q$4:$Q$803=TRIM($J358&amp;""))*(입력_파견수련계획!$S$4:$S$803="구리병원")*입력_파견수련계획!$W$4:$W$803))+IF($AG358="구리병원",MAX(0,DAY(EOMONTH(출력_요약!$B$3,0))-N($X358)),0)))</f>
        <v/>
      </c>
      <c r="AJ358" s="10">
        <f>IF(OR($B358="",TRIM($J358&amp;"")=""),"",IFERROR(MATCH(TRIM($J358&amp;"")&amp;"|월",입력_파견수련계획!$Z$4:$Z$803,0),""))</f>
        <v/>
      </c>
      <c r="AK358" s="10">
        <f>IF(OR($B358="",TRIM($J358&amp;"")=""),"",IFERROR(MATCH(TRIM($J358&amp;"")&amp;"|다기관",입력_파견수련계획!$AE$4:$AE$803,0),""))</f>
        <v/>
      </c>
      <c r="AL358" s="10">
        <f>IF($AK358="","","다기관 "&amp;TEXT(INDEX(입력_파견수련계획!$AB$4:$AB$803,$AK358),"yyyy-mm-dd")&amp;"~"&amp;IF(ISNUMBER(INDEX(입력_파견수련계획!$AC$4:$AC$803,$AK358)),TEXT(INDEX(입력_파견수련계획!$AC$4:$AC$803,$AK358),"yyyy-mm-dd"),""))</f>
        <v/>
      </c>
      <c r="AM358" s="10">
        <f>IF($Y358="서울병원",COUNTIF($Y$2:$Y358,"서울병원"),"")</f>
        <v/>
      </c>
      <c r="AN358" s="10">
        <f>IF(LEFT($Y358,1)="⚠",COUNTIF($Y$2:$Y358,"⚠*"),"")</f>
        <v/>
      </c>
      <c r="AO358" s="10">
        <f>IF(OR($B358="",$Y358=""),"",IF(IF(TRIM($J358&amp;"")="",0,SUMPRODUCT((입력_파견수련계획!$Q$4:$Q$803=TRIM($J358&amp;""))*입력_파견수련계획!$AD$4:$AD$803))&gt;0,"다기관 기간 → 소속병원 지급",IF(AND(N($X358)&lt;=0,$AQ358=""),"파견 없음 → 그 달 근무병원 지급",IF($AH358+$AI358=DAY(EOMONTH(출력_요약!$B$3,0)),"서울 "&amp;$AH358&amp;"일 / 구리 "&amp;$AI358&amp;"일"&amp;IF($AQ358&lt;&gt;""," (구리 근무자명단 반영)","")&amp;" → 15일 이상 근무 병원 지급","타 병원 포함 → "&amp;IF($AJ358="","소속",INDEX(입력_파견수련계획!$T$4:$T$803,$AJ358))&amp;" 규칙"))))</f>
        <v/>
      </c>
      <c r="AP358" s="10">
        <f>IF($B358="","",$C358&amp;"|"&amp;$F358)</f>
        <v/>
      </c>
      <c r="AQ358" s="10">
        <f>IF($B358="","",IFERROR(MATCH(ROW()-1,출력_구리근무자!$K$6:$K$305,0),""))</f>
        <v/>
      </c>
      <c r="AR358" s="10">
        <f>IF($AQ358="","",INDEX(출력_구리근무자!$H$6:$H$305,$AQ358))</f>
        <v/>
      </c>
    </row>
    <row r="359">
      <c r="A359" s="10">
        <f>IF(B359="","",ROW()-1)</f>
        <v/>
      </c>
      <c r="B359" s="19" t="n"/>
      <c r="C359" s="10">
        <f>IF($AB359="","",IF(INDEX(입력_기본자료!$C$2:$C$1001,$AB359)="","",INDEX(입력_기본자료!$C$2:$C$1001,$AB359)))</f>
        <v/>
      </c>
      <c r="D359" s="10">
        <f>IF($AB359="","",IF(INDEX(입력_기본자료!$J$2:$J$1001,$AB359)="","",INDEX(입력_기본자료!$J$2:$J$1001,$AB359)))</f>
        <v/>
      </c>
      <c r="E359" s="11">
        <f>IF($AB359="","",IF(INDEX(입력_기본자료!$K$2:$K$1001,$AB359)="","",IF(NOT(ISNUMBER(INDEX(입력_기본자료!$K$2:$K$1001,$AB359))),INDEX(입력_기본자료!$K$2:$K$1001,$AB359),IF(INDEX(입력_기본자료!$K$2:$K$1001,$AB359)&lt;1000000,INDEX(입력_기본자료!$K$2:$K$1001,$AB359),IF(AND(INDEX(입력_기본자료!$K$2:$K$1001,$AB359)&gt;=10000101,INT(MOD(INDEX(입력_기본자료!$K$2:$K$1001,$AB359),10000)/100)&gt;=1,INT(MOD(INDEX(입력_기본자료!$K$2:$K$1001,$AB359),10000)/100)&lt;=12,MOD(INDEX(입력_기본자료!$K$2:$K$1001,$AB359),100)&gt;=1,MOD(INDEX(입력_기본자료!$K$2:$K$1001,$AB359),100)&lt;=31),DATE(INT(INDEX(입력_기본자료!$K$2:$K$1001,$AB359)/10000),INT(MOD(INDEX(입력_기본자료!$K$2:$K$1001,$AB359),10000)/100),MOD(INDEX(입력_기본자료!$K$2:$K$1001,$AB359),100)),INDEX(입력_기본자료!$K$2:$K$1001,$AB359)&amp;"")))))</f>
        <v/>
      </c>
      <c r="F359" s="10">
        <f>IF($AB359="","",IF(INDEX(입력_기본자료!$D$2:$D$1001,$AB359)="","",INDEX(입력_기본자료!$D$2:$D$1001,$AB359)))</f>
        <v/>
      </c>
      <c r="G359" s="10">
        <f>IF($AB359="","",IF(INDEX(입력_기본자료!$E$2:$E$1001,$AB359)="","",INDEX(입력_기본자료!$E$2:$E$1001,$AB359)))</f>
        <v/>
      </c>
      <c r="H359" s="10">
        <f>IF($AB359="","",IF(INDEX(입력_기본자료!$F$2:$F$1001,$AB359)="","",INDEX(입력_기본자료!$F$2:$F$1001,$AB359)))</f>
        <v/>
      </c>
      <c r="I359" s="11">
        <f>IF($AB359="","",IF(INDEX(입력_기본자료!$G$2:$G$1001,$AB359)="","",IF(NOT(ISNUMBER(INDEX(입력_기본자료!$G$2:$G$1001,$AB359))),INDEX(입력_기본자료!$G$2:$G$1001,$AB359),IF(INDEX(입력_기본자료!$G$2:$G$1001,$AB359)&lt;1000000,INDEX(입력_기본자료!$G$2:$G$1001,$AB359),IF(AND(INDEX(입력_기본자료!$G$2:$G$1001,$AB359)&gt;=10000101,INT(MOD(INDEX(입력_기본자료!$G$2:$G$1001,$AB359),10000)/100)&gt;=1,INT(MOD(INDEX(입력_기본자료!$G$2:$G$1001,$AB359),10000)/100)&lt;=12,MOD(INDEX(입력_기본자료!$G$2:$G$1001,$AB359),100)&gt;=1,MOD(INDEX(입력_기본자료!$G$2:$G$1001,$AB359),100)&lt;=31),DATE(INT(INDEX(입력_기본자료!$G$2:$G$1001,$AB359)/10000),INT(MOD(INDEX(입력_기본자료!$G$2:$G$1001,$AB359),10000)/100),MOD(INDEX(입력_기본자료!$G$2:$G$1001,$AB359),100)),INDEX(입력_기본자료!$G$2:$G$1001,$AB359)&amp;"")))))</f>
        <v/>
      </c>
      <c r="J359" s="10">
        <f>IF($AB359="","",IF(INDEX(입력_기본자료!$H$2:$H$1001,$AB359)="","",INDEX(입력_기본자료!$H$2:$H$1001,$AB359)))</f>
        <v/>
      </c>
      <c r="K359" s="10">
        <f>IF($AB359="","",IF(INDEX(입력_기본자료!$I$2:$I$1001,$AB359)="","",INDEX(입력_기본자료!$I$2:$I$1001,$AB359)))</f>
        <v/>
      </c>
      <c r="L359" s="10">
        <f>IF($AB359="","",IF(INDEX(입력_기본자료!$A$2:$A$1001,$AB359)="","",INDEX(입력_기본자료!$A$2:$A$1001,$AB359)))</f>
        <v/>
      </c>
      <c r="M359" s="15" t="n"/>
      <c r="N359" s="10">
        <f>IF($B359="","",IF(AND($U359="파견중",$Q359&lt;&gt;""),$Q359,IF(AND($AD359&lt;&gt;"",LEFT($AD359,1)&lt;&gt;"⚠"),LEFT($AD359,FIND(" ",$AD359)-1),IF($H359="","",IF(RIGHT($H359,2)="병원",$H359,$H359&amp;"병원")))))</f>
        <v/>
      </c>
      <c r="O359" s="10">
        <f>IF($B359="","",IF(AND($U359="파견중",$Q359&lt;&gt;""),IF($R359&lt;&gt;"",$R359,"파견과 미입력"),IF(AND($AD359&lt;&gt;"",LEFT($AD359,1)&lt;&gt;"⚠"),MID($AD359,FIND(" ",$AD359)+1,60),IF($F359="","",IF($F359="인턴","수련교육부(인턴)",$F359)))))</f>
        <v/>
      </c>
      <c r="P359" s="10">
        <f>IF($B359="","",IF($AK359&lt;&gt;"",IF(AND(TODAY()&gt;=INDEX(입력_파견수련계획!$AB$4:$AB$803,$AK359),OR(NOT(ISNUMBER(INDEX(입력_파견수련계획!$AC$4:$AC$803,$AK359))),TODAY()&lt;=INDEX(입력_파견수련계획!$AC$4:$AC$803,$AK359))),"다기관",IF($AF359="","",INDEX(입력_파견수련계획!$T$4:$T$803,$AF359))),IF($AF359="","",INDEX(입력_파견수련계획!$T$4:$T$803,$AF359))))</f>
        <v/>
      </c>
      <c r="Q359" s="10">
        <f>IF($AF359="","",INDEX(입력_파견수련계획!$S$4:$S$803,$AF359))</f>
        <v/>
      </c>
      <c r="R359" s="10">
        <f>IF($AF359="","",INDEX(입력_파견수련계획!$U$4:$U$803,$AF359))</f>
        <v/>
      </c>
      <c r="S359" s="11">
        <f>IF($AF359="","",IF(INDEX(입력_파견수련계획!$H$4:$H$803,$AF359)="","",INDEX(입력_파견수련계획!$H$4:$H$803,$AF359)))</f>
        <v/>
      </c>
      <c r="T359" s="11">
        <f>IF($AF359="","",IF(INDEX(입력_파견수련계획!$I$4:$I$803,$AF359)="","",INDEX(입력_파견수련계획!$I$4:$I$803,$AF359)))</f>
        <v/>
      </c>
      <c r="U359" s="10">
        <f>IF($AF359="","",INDEX(입력_파견수련계획!$X$4:$X$803,$AF359))</f>
        <v/>
      </c>
      <c r="V359" s="17">
        <f>IF($AF359="","",INDEX(입력_파견수련계획!$V$4:$V$803,$AF359))</f>
        <v/>
      </c>
      <c r="W359" s="17">
        <f>IF(AND($U359="파견중",$T359&lt;&gt;""),$T359-TODAY(),"")</f>
        <v/>
      </c>
      <c r="X359" s="17">
        <f>IF(OR($B359="",TRIM($J359&amp;"")=""),"",SUMPRODUCT((입력_파견수련계획!$Q$4:$Q$803=TRIM($J359&amp;""))*입력_파견수련계획!$W$4:$W$803))</f>
        <v/>
      </c>
      <c r="Y359" s="10">
        <f>IF($B359="","",IF($AG359="","",IF(IF(TRIM($J359&amp;"")="",0,SUMPRODUCT((입력_파견수련계획!$Q$4:$Q$803=TRIM($J359&amp;""))*입력_파견수련계획!$AD$4:$AD$803))&gt;0,$AE359,IF(AND(N($X359)&lt;=0,$AQ359=""),$AG359,IF($AH359+$AI359=DAY(EOMONTH(출력_요약!$B$3,0)),IF(AND($AH359&gt;=출력_요약!$E$3,$AI359&lt;출력_요약!$E$3),"서울병원",IF(AND($AI359&gt;=출력_요약!$E$3,$AH359&lt;출력_요약!$E$3),"구리병원","⚠15일 판정불가(서울 "&amp;$AH359&amp;"일/구리 "&amp;$AI359&amp;"일)")),IF($AJ359="",$AE359,IF(INDEX(입력_파견수련계획!$T$4:$T$803,$AJ359)="통합수련",INDEX(입력_파견수련계획!$S$4:$S$803,$AJ359),$AE359)))))))</f>
        <v/>
      </c>
      <c r="Z359" s="20">
        <f>IF($B359="","",IF($AB359="","기본자료에 없는 사번",IF(COUNTIF($B$2:$B$401,$B359)&gt;1,"중복 사번",IF($AE359="","소속(입사장소) 입력",IF(IF(TRIM($J359&amp;"")="",0,SUMPRODUCT((입력_파견수련계획!$Q$4:$Q$803=TRIM($J359&amp;""))*(입력_파견수련계획!$AA$4:$AA$803&lt;&gt;"")))&gt;0,"파견수련계획 입력오류 확인",IF(LEFT($Y359,1)="⚠","서울·구리 15일 판정 불가(양쪽 모두 이상/미만)",IF(IF($AC359="",0,N(INDEX(입력_인턴근무계획!$T$3:$T$402,$AC359)))&gt;0,"인턴계획 입력오류 확인",IF(AND($AQ359&lt;&gt;"",$AG359&lt;&gt;"구리병원",IF(TRIM($J359&amp;"")="",0,SUMPRODUCT((입력_파견수련계획!$Q$4:$Q$803=TRIM($J359&amp;""))*(입력_파견수련계획!$S$4:$S$803="구리병원")*입력_파견수련계획!$W$4:$W$803))=0),"구리 근무자명단에만 있음(파견수련계획 확인)",IF(AND($AC359&lt;&gt;"",$U359&lt;&gt;"파견중",$N359&lt;&gt;$AE359),"인턴 타지역 근무: 파견 여부 확인","정상")))))))))</f>
        <v/>
      </c>
      <c r="AA359" s="5" t="n"/>
      <c r="AB359" s="10">
        <f>IF($B359="","",IFERROR(MATCH($B359,입력_기본자료!$B$2:$B$1001,0),IFERROR(MATCH($B359&amp;"",입력_기본자료!$B$2:$B$1001,0),IFERROR(MATCH(VALUE($B359),입력_기본자료!$B$2:$B$1001,0),""))))</f>
        <v/>
      </c>
      <c r="AC359" s="10">
        <f>IF($B359="","",IFERROR(MATCH($B359,입력_인턴근무계획!$D$3:$D$402,0),IFERROR(MATCH($B359&amp;"",입력_인턴근무계획!$D$3:$D$402,0),IFERROR(MATCH(VALUE($B359),입력_인턴근무계획!$D$3:$D$402,0),""))))</f>
        <v/>
      </c>
      <c r="AD359" s="10">
        <f>IF(OR($AC359="",출력_인턴현황!$G$3=""),"",INDEX(입력_인턴근무계획!$M$3:$R$402,$AC359,출력_인턴현황!$G$3)&amp;"")</f>
        <v/>
      </c>
      <c r="AE359" s="10">
        <f>IF($B359="","",IF($M359&lt;&gt;"",$M359,IF(IF($AQ359="",FALSE,INDEX(출력_구리근무자!$J$6:$J$305,$AQ359)="구리독자"),"구리병원",IF($AF359&lt;&gt;"",IF(LEFT(INDEX(입력_파견수련계획!$R$4:$R$803,$AF359),1)&lt;&gt;"⚠",INDEX(입력_파견수련계획!$R$4:$R$803,$AF359),IF($H359="","",IF(RIGHT($H359,2)="병원",$H359,$H359&amp;"병원"))),IF($H359="","",IF(RIGHT($H359,2)="병원",$H359,$H359&amp;"병원"))))))</f>
        <v/>
      </c>
      <c r="AF359" s="10">
        <f>IF(OR($B359="",TRIM($J359&amp;"")=""),"",IFERROR(MATCH(TRIM($J359&amp;"")&amp;"|파견중",입력_파견수련계획!$Y$4:$Y$803,0),IFERROR(MATCH(TRIM($J359&amp;"")&amp;"|파견예정",입력_파견수련계획!$Y$4:$Y$803,0),IFERROR(MATCH(TRIM($J359&amp;"")&amp;"|파견종료",입력_파견수련계획!$Y$4:$Y$803,0),""))))</f>
        <v/>
      </c>
      <c r="AG359" s="10">
        <f>IF($B359="","",IF(AND(IF(OR($AC359="",출력_인턴현황!$K$2=""),"",INDEX(입력_인턴근무계획!$M$3:$R$402,$AC359,출력_인턴현황!$K$2)&amp;"")&lt;&gt;"",LEFT(IF(OR($AC359="",출력_인턴현황!$K$2=""),"",INDEX(입력_인턴근무계획!$M$3:$R$402,$AC359,출력_인턴현황!$K$2)&amp;""),1)&lt;&gt;"⚠"),LEFT(IF(OR($AC359="",출력_인턴현황!$K$2=""),"",INDEX(입력_인턴근무계획!$M$3:$R$402,$AC359,출력_인턴현황!$K$2)&amp;""),FIND(" ",IF(OR($AC359="",출력_인턴현황!$K$2=""),"",INDEX(입력_인턴근무계획!$M$3:$R$402,$AC359,출력_인턴현황!$K$2)&amp;""))-1),$AE359))</f>
        <v/>
      </c>
      <c r="AH359" s="17">
        <f>IF($B359="","",IF($AQ359&lt;&gt;"",MAX(0,DAY(EOMONTH(출력_요약!$B$3,0))-N($AR359)),IF(TRIM($J359&amp;"")="",0,SUMPRODUCT((입력_파견수련계획!$Q$4:$Q$803=TRIM($J359&amp;""))*(입력_파견수련계획!$S$4:$S$803="서울병원")*입력_파견수련계획!$W$4:$W$803))+IF($AG359="서울병원",MAX(0,DAY(EOMONTH(출력_요약!$B$3,0))-N($X359)),0)))</f>
        <v/>
      </c>
      <c r="AI359" s="17">
        <f>IF($B359="","",IF($AQ359&lt;&gt;"",N($AR359),IF(TRIM($J359&amp;"")="",0,SUMPRODUCT((입력_파견수련계획!$Q$4:$Q$803=TRIM($J359&amp;""))*(입력_파견수련계획!$S$4:$S$803="구리병원")*입력_파견수련계획!$W$4:$W$803))+IF($AG359="구리병원",MAX(0,DAY(EOMONTH(출력_요약!$B$3,0))-N($X359)),0)))</f>
        <v/>
      </c>
      <c r="AJ359" s="10">
        <f>IF(OR($B359="",TRIM($J359&amp;"")=""),"",IFERROR(MATCH(TRIM($J359&amp;"")&amp;"|월",입력_파견수련계획!$Z$4:$Z$803,0),""))</f>
        <v/>
      </c>
      <c r="AK359" s="10">
        <f>IF(OR($B359="",TRIM($J359&amp;"")=""),"",IFERROR(MATCH(TRIM($J359&amp;"")&amp;"|다기관",입력_파견수련계획!$AE$4:$AE$803,0),""))</f>
        <v/>
      </c>
      <c r="AL359" s="10">
        <f>IF($AK359="","","다기관 "&amp;TEXT(INDEX(입력_파견수련계획!$AB$4:$AB$803,$AK359),"yyyy-mm-dd")&amp;"~"&amp;IF(ISNUMBER(INDEX(입력_파견수련계획!$AC$4:$AC$803,$AK359)),TEXT(INDEX(입력_파견수련계획!$AC$4:$AC$803,$AK359),"yyyy-mm-dd"),""))</f>
        <v/>
      </c>
      <c r="AM359" s="10">
        <f>IF($Y359="서울병원",COUNTIF($Y$2:$Y359,"서울병원"),"")</f>
        <v/>
      </c>
      <c r="AN359" s="10">
        <f>IF(LEFT($Y359,1)="⚠",COUNTIF($Y$2:$Y359,"⚠*"),"")</f>
        <v/>
      </c>
      <c r="AO359" s="10">
        <f>IF(OR($B359="",$Y359=""),"",IF(IF(TRIM($J359&amp;"")="",0,SUMPRODUCT((입력_파견수련계획!$Q$4:$Q$803=TRIM($J359&amp;""))*입력_파견수련계획!$AD$4:$AD$803))&gt;0,"다기관 기간 → 소속병원 지급",IF(AND(N($X359)&lt;=0,$AQ359=""),"파견 없음 → 그 달 근무병원 지급",IF($AH359+$AI359=DAY(EOMONTH(출력_요약!$B$3,0)),"서울 "&amp;$AH359&amp;"일 / 구리 "&amp;$AI359&amp;"일"&amp;IF($AQ359&lt;&gt;""," (구리 근무자명단 반영)","")&amp;" → 15일 이상 근무 병원 지급","타 병원 포함 → "&amp;IF($AJ359="","소속",INDEX(입력_파견수련계획!$T$4:$T$803,$AJ359))&amp;" 규칙"))))</f>
        <v/>
      </c>
      <c r="AP359" s="10">
        <f>IF($B359="","",$C359&amp;"|"&amp;$F359)</f>
        <v/>
      </c>
      <c r="AQ359" s="10">
        <f>IF($B359="","",IFERROR(MATCH(ROW()-1,출력_구리근무자!$K$6:$K$305,0),""))</f>
        <v/>
      </c>
      <c r="AR359" s="10">
        <f>IF($AQ359="","",INDEX(출력_구리근무자!$H$6:$H$305,$AQ359))</f>
        <v/>
      </c>
    </row>
    <row r="360">
      <c r="A360" s="10">
        <f>IF(B360="","",ROW()-1)</f>
        <v/>
      </c>
      <c r="B360" s="19" t="n"/>
      <c r="C360" s="10">
        <f>IF($AB360="","",IF(INDEX(입력_기본자료!$C$2:$C$1001,$AB360)="","",INDEX(입력_기본자료!$C$2:$C$1001,$AB360)))</f>
        <v/>
      </c>
      <c r="D360" s="10">
        <f>IF($AB360="","",IF(INDEX(입력_기본자료!$J$2:$J$1001,$AB360)="","",INDEX(입력_기본자료!$J$2:$J$1001,$AB360)))</f>
        <v/>
      </c>
      <c r="E360" s="11">
        <f>IF($AB360="","",IF(INDEX(입력_기본자료!$K$2:$K$1001,$AB360)="","",IF(NOT(ISNUMBER(INDEX(입력_기본자료!$K$2:$K$1001,$AB360))),INDEX(입력_기본자료!$K$2:$K$1001,$AB360),IF(INDEX(입력_기본자료!$K$2:$K$1001,$AB360)&lt;1000000,INDEX(입력_기본자료!$K$2:$K$1001,$AB360),IF(AND(INDEX(입력_기본자료!$K$2:$K$1001,$AB360)&gt;=10000101,INT(MOD(INDEX(입력_기본자료!$K$2:$K$1001,$AB360),10000)/100)&gt;=1,INT(MOD(INDEX(입력_기본자료!$K$2:$K$1001,$AB360),10000)/100)&lt;=12,MOD(INDEX(입력_기본자료!$K$2:$K$1001,$AB360),100)&gt;=1,MOD(INDEX(입력_기본자료!$K$2:$K$1001,$AB360),100)&lt;=31),DATE(INT(INDEX(입력_기본자료!$K$2:$K$1001,$AB360)/10000),INT(MOD(INDEX(입력_기본자료!$K$2:$K$1001,$AB360),10000)/100),MOD(INDEX(입력_기본자료!$K$2:$K$1001,$AB360),100)),INDEX(입력_기본자료!$K$2:$K$1001,$AB360)&amp;"")))))</f>
        <v/>
      </c>
      <c r="F360" s="10">
        <f>IF($AB360="","",IF(INDEX(입력_기본자료!$D$2:$D$1001,$AB360)="","",INDEX(입력_기본자료!$D$2:$D$1001,$AB360)))</f>
        <v/>
      </c>
      <c r="G360" s="10">
        <f>IF($AB360="","",IF(INDEX(입력_기본자료!$E$2:$E$1001,$AB360)="","",INDEX(입력_기본자료!$E$2:$E$1001,$AB360)))</f>
        <v/>
      </c>
      <c r="H360" s="10">
        <f>IF($AB360="","",IF(INDEX(입력_기본자료!$F$2:$F$1001,$AB360)="","",INDEX(입력_기본자료!$F$2:$F$1001,$AB360)))</f>
        <v/>
      </c>
      <c r="I360" s="11">
        <f>IF($AB360="","",IF(INDEX(입력_기본자료!$G$2:$G$1001,$AB360)="","",IF(NOT(ISNUMBER(INDEX(입력_기본자료!$G$2:$G$1001,$AB360))),INDEX(입력_기본자료!$G$2:$G$1001,$AB360),IF(INDEX(입력_기본자료!$G$2:$G$1001,$AB360)&lt;1000000,INDEX(입력_기본자료!$G$2:$G$1001,$AB360),IF(AND(INDEX(입력_기본자료!$G$2:$G$1001,$AB360)&gt;=10000101,INT(MOD(INDEX(입력_기본자료!$G$2:$G$1001,$AB360),10000)/100)&gt;=1,INT(MOD(INDEX(입력_기본자료!$G$2:$G$1001,$AB360),10000)/100)&lt;=12,MOD(INDEX(입력_기본자료!$G$2:$G$1001,$AB360),100)&gt;=1,MOD(INDEX(입력_기본자료!$G$2:$G$1001,$AB360),100)&lt;=31),DATE(INT(INDEX(입력_기본자료!$G$2:$G$1001,$AB360)/10000),INT(MOD(INDEX(입력_기본자료!$G$2:$G$1001,$AB360),10000)/100),MOD(INDEX(입력_기본자료!$G$2:$G$1001,$AB360),100)),INDEX(입력_기본자료!$G$2:$G$1001,$AB360)&amp;"")))))</f>
        <v/>
      </c>
      <c r="J360" s="10">
        <f>IF($AB360="","",IF(INDEX(입력_기본자료!$H$2:$H$1001,$AB360)="","",INDEX(입력_기본자료!$H$2:$H$1001,$AB360)))</f>
        <v/>
      </c>
      <c r="K360" s="10">
        <f>IF($AB360="","",IF(INDEX(입력_기본자료!$I$2:$I$1001,$AB360)="","",INDEX(입력_기본자료!$I$2:$I$1001,$AB360)))</f>
        <v/>
      </c>
      <c r="L360" s="10">
        <f>IF($AB360="","",IF(INDEX(입력_기본자료!$A$2:$A$1001,$AB360)="","",INDEX(입력_기본자료!$A$2:$A$1001,$AB360)))</f>
        <v/>
      </c>
      <c r="M360" s="15" t="n"/>
      <c r="N360" s="10">
        <f>IF($B360="","",IF(AND($U360="파견중",$Q360&lt;&gt;""),$Q360,IF(AND($AD360&lt;&gt;"",LEFT($AD360,1)&lt;&gt;"⚠"),LEFT($AD360,FIND(" ",$AD360)-1),IF($H360="","",IF(RIGHT($H360,2)="병원",$H360,$H360&amp;"병원")))))</f>
        <v/>
      </c>
      <c r="O360" s="10">
        <f>IF($B360="","",IF(AND($U360="파견중",$Q360&lt;&gt;""),IF($R360&lt;&gt;"",$R360,"파견과 미입력"),IF(AND($AD360&lt;&gt;"",LEFT($AD360,1)&lt;&gt;"⚠"),MID($AD360,FIND(" ",$AD360)+1,60),IF($F360="","",IF($F360="인턴","수련교육부(인턴)",$F360)))))</f>
        <v/>
      </c>
      <c r="P360" s="10">
        <f>IF($B360="","",IF($AK360&lt;&gt;"",IF(AND(TODAY()&gt;=INDEX(입력_파견수련계획!$AB$4:$AB$803,$AK360),OR(NOT(ISNUMBER(INDEX(입력_파견수련계획!$AC$4:$AC$803,$AK360))),TODAY()&lt;=INDEX(입력_파견수련계획!$AC$4:$AC$803,$AK360))),"다기관",IF($AF360="","",INDEX(입력_파견수련계획!$T$4:$T$803,$AF360))),IF($AF360="","",INDEX(입력_파견수련계획!$T$4:$T$803,$AF360))))</f>
        <v/>
      </c>
      <c r="Q360" s="10">
        <f>IF($AF360="","",INDEX(입력_파견수련계획!$S$4:$S$803,$AF360))</f>
        <v/>
      </c>
      <c r="R360" s="10">
        <f>IF($AF360="","",INDEX(입력_파견수련계획!$U$4:$U$803,$AF360))</f>
        <v/>
      </c>
      <c r="S360" s="11">
        <f>IF($AF360="","",IF(INDEX(입력_파견수련계획!$H$4:$H$803,$AF360)="","",INDEX(입력_파견수련계획!$H$4:$H$803,$AF360)))</f>
        <v/>
      </c>
      <c r="T360" s="11">
        <f>IF($AF360="","",IF(INDEX(입력_파견수련계획!$I$4:$I$803,$AF360)="","",INDEX(입력_파견수련계획!$I$4:$I$803,$AF360)))</f>
        <v/>
      </c>
      <c r="U360" s="10">
        <f>IF($AF360="","",INDEX(입력_파견수련계획!$X$4:$X$803,$AF360))</f>
        <v/>
      </c>
      <c r="V360" s="17">
        <f>IF($AF360="","",INDEX(입력_파견수련계획!$V$4:$V$803,$AF360))</f>
        <v/>
      </c>
      <c r="W360" s="17">
        <f>IF(AND($U360="파견중",$T360&lt;&gt;""),$T360-TODAY(),"")</f>
        <v/>
      </c>
      <c r="X360" s="17">
        <f>IF(OR($B360="",TRIM($J360&amp;"")=""),"",SUMPRODUCT((입력_파견수련계획!$Q$4:$Q$803=TRIM($J360&amp;""))*입력_파견수련계획!$W$4:$W$803))</f>
        <v/>
      </c>
      <c r="Y360" s="10">
        <f>IF($B360="","",IF($AG360="","",IF(IF(TRIM($J360&amp;"")="",0,SUMPRODUCT((입력_파견수련계획!$Q$4:$Q$803=TRIM($J360&amp;""))*입력_파견수련계획!$AD$4:$AD$803))&gt;0,$AE360,IF(AND(N($X360)&lt;=0,$AQ360=""),$AG360,IF($AH360+$AI360=DAY(EOMONTH(출력_요약!$B$3,0)),IF(AND($AH360&gt;=출력_요약!$E$3,$AI360&lt;출력_요약!$E$3),"서울병원",IF(AND($AI360&gt;=출력_요약!$E$3,$AH360&lt;출력_요약!$E$3),"구리병원","⚠15일 판정불가(서울 "&amp;$AH360&amp;"일/구리 "&amp;$AI360&amp;"일)")),IF($AJ360="",$AE360,IF(INDEX(입력_파견수련계획!$T$4:$T$803,$AJ360)="통합수련",INDEX(입력_파견수련계획!$S$4:$S$803,$AJ360),$AE360)))))))</f>
        <v/>
      </c>
      <c r="Z360" s="20">
        <f>IF($B360="","",IF($AB360="","기본자료에 없는 사번",IF(COUNTIF($B$2:$B$401,$B360)&gt;1,"중복 사번",IF($AE360="","소속(입사장소) 입력",IF(IF(TRIM($J360&amp;"")="",0,SUMPRODUCT((입력_파견수련계획!$Q$4:$Q$803=TRIM($J360&amp;""))*(입력_파견수련계획!$AA$4:$AA$803&lt;&gt;"")))&gt;0,"파견수련계획 입력오류 확인",IF(LEFT($Y360,1)="⚠","서울·구리 15일 판정 불가(양쪽 모두 이상/미만)",IF(IF($AC360="",0,N(INDEX(입력_인턴근무계획!$T$3:$T$402,$AC360)))&gt;0,"인턴계획 입력오류 확인",IF(AND($AQ360&lt;&gt;"",$AG360&lt;&gt;"구리병원",IF(TRIM($J360&amp;"")="",0,SUMPRODUCT((입력_파견수련계획!$Q$4:$Q$803=TRIM($J360&amp;""))*(입력_파견수련계획!$S$4:$S$803="구리병원")*입력_파견수련계획!$W$4:$W$803))=0),"구리 근무자명단에만 있음(파견수련계획 확인)",IF(AND($AC360&lt;&gt;"",$U360&lt;&gt;"파견중",$N360&lt;&gt;$AE360),"인턴 타지역 근무: 파견 여부 확인","정상")))))))))</f>
        <v/>
      </c>
      <c r="AA360" s="5" t="n"/>
      <c r="AB360" s="10">
        <f>IF($B360="","",IFERROR(MATCH($B360,입력_기본자료!$B$2:$B$1001,0),IFERROR(MATCH($B360&amp;"",입력_기본자료!$B$2:$B$1001,0),IFERROR(MATCH(VALUE($B360),입력_기본자료!$B$2:$B$1001,0),""))))</f>
        <v/>
      </c>
      <c r="AC360" s="10">
        <f>IF($B360="","",IFERROR(MATCH($B360,입력_인턴근무계획!$D$3:$D$402,0),IFERROR(MATCH($B360&amp;"",입력_인턴근무계획!$D$3:$D$402,0),IFERROR(MATCH(VALUE($B360),입력_인턴근무계획!$D$3:$D$402,0),""))))</f>
        <v/>
      </c>
      <c r="AD360" s="10">
        <f>IF(OR($AC360="",출력_인턴현황!$G$3=""),"",INDEX(입력_인턴근무계획!$M$3:$R$402,$AC360,출력_인턴현황!$G$3)&amp;"")</f>
        <v/>
      </c>
      <c r="AE360" s="10">
        <f>IF($B360="","",IF($M360&lt;&gt;"",$M360,IF(IF($AQ360="",FALSE,INDEX(출력_구리근무자!$J$6:$J$305,$AQ360)="구리독자"),"구리병원",IF($AF360&lt;&gt;"",IF(LEFT(INDEX(입력_파견수련계획!$R$4:$R$803,$AF360),1)&lt;&gt;"⚠",INDEX(입력_파견수련계획!$R$4:$R$803,$AF360),IF($H360="","",IF(RIGHT($H360,2)="병원",$H360,$H360&amp;"병원"))),IF($H360="","",IF(RIGHT($H360,2)="병원",$H360,$H360&amp;"병원"))))))</f>
        <v/>
      </c>
      <c r="AF360" s="10">
        <f>IF(OR($B360="",TRIM($J360&amp;"")=""),"",IFERROR(MATCH(TRIM($J360&amp;"")&amp;"|파견중",입력_파견수련계획!$Y$4:$Y$803,0),IFERROR(MATCH(TRIM($J360&amp;"")&amp;"|파견예정",입력_파견수련계획!$Y$4:$Y$803,0),IFERROR(MATCH(TRIM($J360&amp;"")&amp;"|파견종료",입력_파견수련계획!$Y$4:$Y$803,0),""))))</f>
        <v/>
      </c>
      <c r="AG360" s="10">
        <f>IF($B360="","",IF(AND(IF(OR($AC360="",출력_인턴현황!$K$2=""),"",INDEX(입력_인턴근무계획!$M$3:$R$402,$AC360,출력_인턴현황!$K$2)&amp;"")&lt;&gt;"",LEFT(IF(OR($AC360="",출력_인턴현황!$K$2=""),"",INDEX(입력_인턴근무계획!$M$3:$R$402,$AC360,출력_인턴현황!$K$2)&amp;""),1)&lt;&gt;"⚠"),LEFT(IF(OR($AC360="",출력_인턴현황!$K$2=""),"",INDEX(입력_인턴근무계획!$M$3:$R$402,$AC360,출력_인턴현황!$K$2)&amp;""),FIND(" ",IF(OR($AC360="",출력_인턴현황!$K$2=""),"",INDEX(입력_인턴근무계획!$M$3:$R$402,$AC360,출력_인턴현황!$K$2)&amp;""))-1),$AE360))</f>
        <v/>
      </c>
      <c r="AH360" s="17">
        <f>IF($B360="","",IF($AQ360&lt;&gt;"",MAX(0,DAY(EOMONTH(출력_요약!$B$3,0))-N($AR360)),IF(TRIM($J360&amp;"")="",0,SUMPRODUCT((입력_파견수련계획!$Q$4:$Q$803=TRIM($J360&amp;""))*(입력_파견수련계획!$S$4:$S$803="서울병원")*입력_파견수련계획!$W$4:$W$803))+IF($AG360="서울병원",MAX(0,DAY(EOMONTH(출력_요약!$B$3,0))-N($X360)),0)))</f>
        <v/>
      </c>
      <c r="AI360" s="17">
        <f>IF($B360="","",IF($AQ360&lt;&gt;"",N($AR360),IF(TRIM($J360&amp;"")="",0,SUMPRODUCT((입력_파견수련계획!$Q$4:$Q$803=TRIM($J360&amp;""))*(입력_파견수련계획!$S$4:$S$803="구리병원")*입력_파견수련계획!$W$4:$W$803))+IF($AG360="구리병원",MAX(0,DAY(EOMONTH(출력_요약!$B$3,0))-N($X360)),0)))</f>
        <v/>
      </c>
      <c r="AJ360" s="10">
        <f>IF(OR($B360="",TRIM($J360&amp;"")=""),"",IFERROR(MATCH(TRIM($J360&amp;"")&amp;"|월",입력_파견수련계획!$Z$4:$Z$803,0),""))</f>
        <v/>
      </c>
      <c r="AK360" s="10">
        <f>IF(OR($B360="",TRIM($J360&amp;"")=""),"",IFERROR(MATCH(TRIM($J360&amp;"")&amp;"|다기관",입력_파견수련계획!$AE$4:$AE$803,0),""))</f>
        <v/>
      </c>
      <c r="AL360" s="10">
        <f>IF($AK360="","","다기관 "&amp;TEXT(INDEX(입력_파견수련계획!$AB$4:$AB$803,$AK360),"yyyy-mm-dd")&amp;"~"&amp;IF(ISNUMBER(INDEX(입력_파견수련계획!$AC$4:$AC$803,$AK360)),TEXT(INDEX(입력_파견수련계획!$AC$4:$AC$803,$AK360),"yyyy-mm-dd"),""))</f>
        <v/>
      </c>
      <c r="AM360" s="10">
        <f>IF($Y360="서울병원",COUNTIF($Y$2:$Y360,"서울병원"),"")</f>
        <v/>
      </c>
      <c r="AN360" s="10">
        <f>IF(LEFT($Y360,1)="⚠",COUNTIF($Y$2:$Y360,"⚠*"),"")</f>
        <v/>
      </c>
      <c r="AO360" s="10">
        <f>IF(OR($B360="",$Y360=""),"",IF(IF(TRIM($J360&amp;"")="",0,SUMPRODUCT((입력_파견수련계획!$Q$4:$Q$803=TRIM($J360&amp;""))*입력_파견수련계획!$AD$4:$AD$803))&gt;0,"다기관 기간 → 소속병원 지급",IF(AND(N($X360)&lt;=0,$AQ360=""),"파견 없음 → 그 달 근무병원 지급",IF($AH360+$AI360=DAY(EOMONTH(출력_요약!$B$3,0)),"서울 "&amp;$AH360&amp;"일 / 구리 "&amp;$AI360&amp;"일"&amp;IF($AQ360&lt;&gt;""," (구리 근무자명단 반영)","")&amp;" → 15일 이상 근무 병원 지급","타 병원 포함 → "&amp;IF($AJ360="","소속",INDEX(입력_파견수련계획!$T$4:$T$803,$AJ360))&amp;" 규칙"))))</f>
        <v/>
      </c>
      <c r="AP360" s="10">
        <f>IF($B360="","",$C360&amp;"|"&amp;$F360)</f>
        <v/>
      </c>
      <c r="AQ360" s="10">
        <f>IF($B360="","",IFERROR(MATCH(ROW()-1,출력_구리근무자!$K$6:$K$305,0),""))</f>
        <v/>
      </c>
      <c r="AR360" s="10">
        <f>IF($AQ360="","",INDEX(출력_구리근무자!$H$6:$H$305,$AQ360))</f>
        <v/>
      </c>
    </row>
    <row r="361">
      <c r="A361" s="10">
        <f>IF(B361="","",ROW()-1)</f>
        <v/>
      </c>
      <c r="B361" s="19" t="n"/>
      <c r="C361" s="10">
        <f>IF($AB361="","",IF(INDEX(입력_기본자료!$C$2:$C$1001,$AB361)="","",INDEX(입력_기본자료!$C$2:$C$1001,$AB361)))</f>
        <v/>
      </c>
      <c r="D361" s="10">
        <f>IF($AB361="","",IF(INDEX(입력_기본자료!$J$2:$J$1001,$AB361)="","",INDEX(입력_기본자료!$J$2:$J$1001,$AB361)))</f>
        <v/>
      </c>
      <c r="E361" s="11">
        <f>IF($AB361="","",IF(INDEX(입력_기본자료!$K$2:$K$1001,$AB361)="","",IF(NOT(ISNUMBER(INDEX(입력_기본자료!$K$2:$K$1001,$AB361))),INDEX(입력_기본자료!$K$2:$K$1001,$AB361),IF(INDEX(입력_기본자료!$K$2:$K$1001,$AB361)&lt;1000000,INDEX(입력_기본자료!$K$2:$K$1001,$AB361),IF(AND(INDEX(입력_기본자료!$K$2:$K$1001,$AB361)&gt;=10000101,INT(MOD(INDEX(입력_기본자료!$K$2:$K$1001,$AB361),10000)/100)&gt;=1,INT(MOD(INDEX(입력_기본자료!$K$2:$K$1001,$AB361),10000)/100)&lt;=12,MOD(INDEX(입력_기본자료!$K$2:$K$1001,$AB361),100)&gt;=1,MOD(INDEX(입력_기본자료!$K$2:$K$1001,$AB361),100)&lt;=31),DATE(INT(INDEX(입력_기본자료!$K$2:$K$1001,$AB361)/10000),INT(MOD(INDEX(입력_기본자료!$K$2:$K$1001,$AB361),10000)/100),MOD(INDEX(입력_기본자료!$K$2:$K$1001,$AB361),100)),INDEX(입력_기본자료!$K$2:$K$1001,$AB361)&amp;"")))))</f>
        <v/>
      </c>
      <c r="F361" s="10">
        <f>IF($AB361="","",IF(INDEX(입력_기본자료!$D$2:$D$1001,$AB361)="","",INDEX(입력_기본자료!$D$2:$D$1001,$AB361)))</f>
        <v/>
      </c>
      <c r="G361" s="10">
        <f>IF($AB361="","",IF(INDEX(입력_기본자료!$E$2:$E$1001,$AB361)="","",INDEX(입력_기본자료!$E$2:$E$1001,$AB361)))</f>
        <v/>
      </c>
      <c r="H361" s="10">
        <f>IF($AB361="","",IF(INDEX(입력_기본자료!$F$2:$F$1001,$AB361)="","",INDEX(입력_기본자료!$F$2:$F$1001,$AB361)))</f>
        <v/>
      </c>
      <c r="I361" s="11">
        <f>IF($AB361="","",IF(INDEX(입력_기본자료!$G$2:$G$1001,$AB361)="","",IF(NOT(ISNUMBER(INDEX(입력_기본자료!$G$2:$G$1001,$AB361))),INDEX(입력_기본자료!$G$2:$G$1001,$AB361),IF(INDEX(입력_기본자료!$G$2:$G$1001,$AB361)&lt;1000000,INDEX(입력_기본자료!$G$2:$G$1001,$AB361),IF(AND(INDEX(입력_기본자료!$G$2:$G$1001,$AB361)&gt;=10000101,INT(MOD(INDEX(입력_기본자료!$G$2:$G$1001,$AB361),10000)/100)&gt;=1,INT(MOD(INDEX(입력_기본자료!$G$2:$G$1001,$AB361),10000)/100)&lt;=12,MOD(INDEX(입력_기본자료!$G$2:$G$1001,$AB361),100)&gt;=1,MOD(INDEX(입력_기본자료!$G$2:$G$1001,$AB361),100)&lt;=31),DATE(INT(INDEX(입력_기본자료!$G$2:$G$1001,$AB361)/10000),INT(MOD(INDEX(입력_기본자료!$G$2:$G$1001,$AB361),10000)/100),MOD(INDEX(입력_기본자료!$G$2:$G$1001,$AB361),100)),INDEX(입력_기본자료!$G$2:$G$1001,$AB361)&amp;"")))))</f>
        <v/>
      </c>
      <c r="J361" s="10">
        <f>IF($AB361="","",IF(INDEX(입력_기본자료!$H$2:$H$1001,$AB361)="","",INDEX(입력_기본자료!$H$2:$H$1001,$AB361)))</f>
        <v/>
      </c>
      <c r="K361" s="10">
        <f>IF($AB361="","",IF(INDEX(입력_기본자료!$I$2:$I$1001,$AB361)="","",INDEX(입력_기본자료!$I$2:$I$1001,$AB361)))</f>
        <v/>
      </c>
      <c r="L361" s="10">
        <f>IF($AB361="","",IF(INDEX(입력_기본자료!$A$2:$A$1001,$AB361)="","",INDEX(입력_기본자료!$A$2:$A$1001,$AB361)))</f>
        <v/>
      </c>
      <c r="M361" s="15" t="n"/>
      <c r="N361" s="10">
        <f>IF($B361="","",IF(AND($U361="파견중",$Q361&lt;&gt;""),$Q361,IF(AND($AD361&lt;&gt;"",LEFT($AD361,1)&lt;&gt;"⚠"),LEFT($AD361,FIND(" ",$AD361)-1),IF($H361="","",IF(RIGHT($H361,2)="병원",$H361,$H361&amp;"병원")))))</f>
        <v/>
      </c>
      <c r="O361" s="10">
        <f>IF($B361="","",IF(AND($U361="파견중",$Q361&lt;&gt;""),IF($R361&lt;&gt;"",$R361,"파견과 미입력"),IF(AND($AD361&lt;&gt;"",LEFT($AD361,1)&lt;&gt;"⚠"),MID($AD361,FIND(" ",$AD361)+1,60),IF($F361="","",IF($F361="인턴","수련교육부(인턴)",$F361)))))</f>
        <v/>
      </c>
      <c r="P361" s="10">
        <f>IF($B361="","",IF($AK361&lt;&gt;"",IF(AND(TODAY()&gt;=INDEX(입력_파견수련계획!$AB$4:$AB$803,$AK361),OR(NOT(ISNUMBER(INDEX(입력_파견수련계획!$AC$4:$AC$803,$AK361))),TODAY()&lt;=INDEX(입력_파견수련계획!$AC$4:$AC$803,$AK361))),"다기관",IF($AF361="","",INDEX(입력_파견수련계획!$T$4:$T$803,$AF361))),IF($AF361="","",INDEX(입력_파견수련계획!$T$4:$T$803,$AF361))))</f>
        <v/>
      </c>
      <c r="Q361" s="10">
        <f>IF($AF361="","",INDEX(입력_파견수련계획!$S$4:$S$803,$AF361))</f>
        <v/>
      </c>
      <c r="R361" s="10">
        <f>IF($AF361="","",INDEX(입력_파견수련계획!$U$4:$U$803,$AF361))</f>
        <v/>
      </c>
      <c r="S361" s="11">
        <f>IF($AF361="","",IF(INDEX(입력_파견수련계획!$H$4:$H$803,$AF361)="","",INDEX(입력_파견수련계획!$H$4:$H$803,$AF361)))</f>
        <v/>
      </c>
      <c r="T361" s="11">
        <f>IF($AF361="","",IF(INDEX(입력_파견수련계획!$I$4:$I$803,$AF361)="","",INDEX(입력_파견수련계획!$I$4:$I$803,$AF361)))</f>
        <v/>
      </c>
      <c r="U361" s="10">
        <f>IF($AF361="","",INDEX(입력_파견수련계획!$X$4:$X$803,$AF361))</f>
        <v/>
      </c>
      <c r="V361" s="17">
        <f>IF($AF361="","",INDEX(입력_파견수련계획!$V$4:$V$803,$AF361))</f>
        <v/>
      </c>
      <c r="W361" s="17">
        <f>IF(AND($U361="파견중",$T361&lt;&gt;""),$T361-TODAY(),"")</f>
        <v/>
      </c>
      <c r="X361" s="17">
        <f>IF(OR($B361="",TRIM($J361&amp;"")=""),"",SUMPRODUCT((입력_파견수련계획!$Q$4:$Q$803=TRIM($J361&amp;""))*입력_파견수련계획!$W$4:$W$803))</f>
        <v/>
      </c>
      <c r="Y361" s="10">
        <f>IF($B361="","",IF($AG361="","",IF(IF(TRIM($J361&amp;"")="",0,SUMPRODUCT((입력_파견수련계획!$Q$4:$Q$803=TRIM($J361&amp;""))*입력_파견수련계획!$AD$4:$AD$803))&gt;0,$AE361,IF(AND(N($X361)&lt;=0,$AQ361=""),$AG361,IF($AH361+$AI361=DAY(EOMONTH(출력_요약!$B$3,0)),IF(AND($AH361&gt;=출력_요약!$E$3,$AI361&lt;출력_요약!$E$3),"서울병원",IF(AND($AI361&gt;=출력_요약!$E$3,$AH361&lt;출력_요약!$E$3),"구리병원","⚠15일 판정불가(서울 "&amp;$AH361&amp;"일/구리 "&amp;$AI361&amp;"일)")),IF($AJ361="",$AE361,IF(INDEX(입력_파견수련계획!$T$4:$T$803,$AJ361)="통합수련",INDEX(입력_파견수련계획!$S$4:$S$803,$AJ361),$AE361)))))))</f>
        <v/>
      </c>
      <c r="Z361" s="20">
        <f>IF($B361="","",IF($AB361="","기본자료에 없는 사번",IF(COUNTIF($B$2:$B$401,$B361)&gt;1,"중복 사번",IF($AE361="","소속(입사장소) 입력",IF(IF(TRIM($J361&amp;"")="",0,SUMPRODUCT((입력_파견수련계획!$Q$4:$Q$803=TRIM($J361&amp;""))*(입력_파견수련계획!$AA$4:$AA$803&lt;&gt;"")))&gt;0,"파견수련계획 입력오류 확인",IF(LEFT($Y361,1)="⚠","서울·구리 15일 판정 불가(양쪽 모두 이상/미만)",IF(IF($AC361="",0,N(INDEX(입력_인턴근무계획!$T$3:$T$402,$AC361)))&gt;0,"인턴계획 입력오류 확인",IF(AND($AQ361&lt;&gt;"",$AG361&lt;&gt;"구리병원",IF(TRIM($J361&amp;"")="",0,SUMPRODUCT((입력_파견수련계획!$Q$4:$Q$803=TRIM($J361&amp;""))*(입력_파견수련계획!$S$4:$S$803="구리병원")*입력_파견수련계획!$W$4:$W$803))=0),"구리 근무자명단에만 있음(파견수련계획 확인)",IF(AND($AC361&lt;&gt;"",$U361&lt;&gt;"파견중",$N361&lt;&gt;$AE361),"인턴 타지역 근무: 파견 여부 확인","정상")))))))))</f>
        <v/>
      </c>
      <c r="AA361" s="5" t="n"/>
      <c r="AB361" s="10">
        <f>IF($B361="","",IFERROR(MATCH($B361,입력_기본자료!$B$2:$B$1001,0),IFERROR(MATCH($B361&amp;"",입력_기본자료!$B$2:$B$1001,0),IFERROR(MATCH(VALUE($B361),입력_기본자료!$B$2:$B$1001,0),""))))</f>
        <v/>
      </c>
      <c r="AC361" s="10">
        <f>IF($B361="","",IFERROR(MATCH($B361,입력_인턴근무계획!$D$3:$D$402,0),IFERROR(MATCH($B361&amp;"",입력_인턴근무계획!$D$3:$D$402,0),IFERROR(MATCH(VALUE($B361),입력_인턴근무계획!$D$3:$D$402,0),""))))</f>
        <v/>
      </c>
      <c r="AD361" s="10">
        <f>IF(OR($AC361="",출력_인턴현황!$G$3=""),"",INDEX(입력_인턴근무계획!$M$3:$R$402,$AC361,출력_인턴현황!$G$3)&amp;"")</f>
        <v/>
      </c>
      <c r="AE361" s="10">
        <f>IF($B361="","",IF($M361&lt;&gt;"",$M361,IF(IF($AQ361="",FALSE,INDEX(출력_구리근무자!$J$6:$J$305,$AQ361)="구리독자"),"구리병원",IF($AF361&lt;&gt;"",IF(LEFT(INDEX(입력_파견수련계획!$R$4:$R$803,$AF361),1)&lt;&gt;"⚠",INDEX(입력_파견수련계획!$R$4:$R$803,$AF361),IF($H361="","",IF(RIGHT($H361,2)="병원",$H361,$H361&amp;"병원"))),IF($H361="","",IF(RIGHT($H361,2)="병원",$H361,$H361&amp;"병원"))))))</f>
        <v/>
      </c>
      <c r="AF361" s="10">
        <f>IF(OR($B361="",TRIM($J361&amp;"")=""),"",IFERROR(MATCH(TRIM($J361&amp;"")&amp;"|파견중",입력_파견수련계획!$Y$4:$Y$803,0),IFERROR(MATCH(TRIM($J361&amp;"")&amp;"|파견예정",입력_파견수련계획!$Y$4:$Y$803,0),IFERROR(MATCH(TRIM($J361&amp;"")&amp;"|파견종료",입력_파견수련계획!$Y$4:$Y$803,0),""))))</f>
        <v/>
      </c>
      <c r="AG361" s="10">
        <f>IF($B361="","",IF(AND(IF(OR($AC361="",출력_인턴현황!$K$2=""),"",INDEX(입력_인턴근무계획!$M$3:$R$402,$AC361,출력_인턴현황!$K$2)&amp;"")&lt;&gt;"",LEFT(IF(OR($AC361="",출력_인턴현황!$K$2=""),"",INDEX(입력_인턴근무계획!$M$3:$R$402,$AC361,출력_인턴현황!$K$2)&amp;""),1)&lt;&gt;"⚠"),LEFT(IF(OR($AC361="",출력_인턴현황!$K$2=""),"",INDEX(입력_인턴근무계획!$M$3:$R$402,$AC361,출력_인턴현황!$K$2)&amp;""),FIND(" ",IF(OR($AC361="",출력_인턴현황!$K$2=""),"",INDEX(입력_인턴근무계획!$M$3:$R$402,$AC361,출력_인턴현황!$K$2)&amp;""))-1),$AE361))</f>
        <v/>
      </c>
      <c r="AH361" s="17">
        <f>IF($B361="","",IF($AQ361&lt;&gt;"",MAX(0,DAY(EOMONTH(출력_요약!$B$3,0))-N($AR361)),IF(TRIM($J361&amp;"")="",0,SUMPRODUCT((입력_파견수련계획!$Q$4:$Q$803=TRIM($J361&amp;""))*(입력_파견수련계획!$S$4:$S$803="서울병원")*입력_파견수련계획!$W$4:$W$803))+IF($AG361="서울병원",MAX(0,DAY(EOMONTH(출력_요약!$B$3,0))-N($X361)),0)))</f>
        <v/>
      </c>
      <c r="AI361" s="17">
        <f>IF($B361="","",IF($AQ361&lt;&gt;"",N($AR361),IF(TRIM($J361&amp;"")="",0,SUMPRODUCT((입력_파견수련계획!$Q$4:$Q$803=TRIM($J361&amp;""))*(입력_파견수련계획!$S$4:$S$803="구리병원")*입력_파견수련계획!$W$4:$W$803))+IF($AG361="구리병원",MAX(0,DAY(EOMONTH(출력_요약!$B$3,0))-N($X361)),0)))</f>
        <v/>
      </c>
      <c r="AJ361" s="10">
        <f>IF(OR($B361="",TRIM($J361&amp;"")=""),"",IFERROR(MATCH(TRIM($J361&amp;"")&amp;"|월",입력_파견수련계획!$Z$4:$Z$803,0),""))</f>
        <v/>
      </c>
      <c r="AK361" s="10">
        <f>IF(OR($B361="",TRIM($J361&amp;"")=""),"",IFERROR(MATCH(TRIM($J361&amp;"")&amp;"|다기관",입력_파견수련계획!$AE$4:$AE$803,0),""))</f>
        <v/>
      </c>
      <c r="AL361" s="10">
        <f>IF($AK361="","","다기관 "&amp;TEXT(INDEX(입력_파견수련계획!$AB$4:$AB$803,$AK361),"yyyy-mm-dd")&amp;"~"&amp;IF(ISNUMBER(INDEX(입력_파견수련계획!$AC$4:$AC$803,$AK361)),TEXT(INDEX(입력_파견수련계획!$AC$4:$AC$803,$AK361),"yyyy-mm-dd"),""))</f>
        <v/>
      </c>
      <c r="AM361" s="10">
        <f>IF($Y361="서울병원",COUNTIF($Y$2:$Y361,"서울병원"),"")</f>
        <v/>
      </c>
      <c r="AN361" s="10">
        <f>IF(LEFT($Y361,1)="⚠",COUNTIF($Y$2:$Y361,"⚠*"),"")</f>
        <v/>
      </c>
      <c r="AO361" s="10">
        <f>IF(OR($B361="",$Y361=""),"",IF(IF(TRIM($J361&amp;"")="",0,SUMPRODUCT((입력_파견수련계획!$Q$4:$Q$803=TRIM($J361&amp;""))*입력_파견수련계획!$AD$4:$AD$803))&gt;0,"다기관 기간 → 소속병원 지급",IF(AND(N($X361)&lt;=0,$AQ361=""),"파견 없음 → 그 달 근무병원 지급",IF($AH361+$AI361=DAY(EOMONTH(출력_요약!$B$3,0)),"서울 "&amp;$AH361&amp;"일 / 구리 "&amp;$AI361&amp;"일"&amp;IF($AQ361&lt;&gt;""," (구리 근무자명단 반영)","")&amp;" → 15일 이상 근무 병원 지급","타 병원 포함 → "&amp;IF($AJ361="","소속",INDEX(입력_파견수련계획!$T$4:$T$803,$AJ361))&amp;" 규칙"))))</f>
        <v/>
      </c>
      <c r="AP361" s="10">
        <f>IF($B361="","",$C361&amp;"|"&amp;$F361)</f>
        <v/>
      </c>
      <c r="AQ361" s="10">
        <f>IF($B361="","",IFERROR(MATCH(ROW()-1,출력_구리근무자!$K$6:$K$305,0),""))</f>
        <v/>
      </c>
      <c r="AR361" s="10">
        <f>IF($AQ361="","",INDEX(출력_구리근무자!$H$6:$H$305,$AQ361))</f>
        <v/>
      </c>
    </row>
    <row r="362">
      <c r="A362" s="10">
        <f>IF(B362="","",ROW()-1)</f>
        <v/>
      </c>
      <c r="B362" s="19" t="n"/>
      <c r="C362" s="10">
        <f>IF($AB362="","",IF(INDEX(입력_기본자료!$C$2:$C$1001,$AB362)="","",INDEX(입력_기본자료!$C$2:$C$1001,$AB362)))</f>
        <v/>
      </c>
      <c r="D362" s="10">
        <f>IF($AB362="","",IF(INDEX(입력_기본자료!$J$2:$J$1001,$AB362)="","",INDEX(입력_기본자료!$J$2:$J$1001,$AB362)))</f>
        <v/>
      </c>
      <c r="E362" s="11">
        <f>IF($AB362="","",IF(INDEX(입력_기본자료!$K$2:$K$1001,$AB362)="","",IF(NOT(ISNUMBER(INDEX(입력_기본자료!$K$2:$K$1001,$AB362))),INDEX(입력_기본자료!$K$2:$K$1001,$AB362),IF(INDEX(입력_기본자료!$K$2:$K$1001,$AB362)&lt;1000000,INDEX(입력_기본자료!$K$2:$K$1001,$AB362),IF(AND(INDEX(입력_기본자료!$K$2:$K$1001,$AB362)&gt;=10000101,INT(MOD(INDEX(입력_기본자료!$K$2:$K$1001,$AB362),10000)/100)&gt;=1,INT(MOD(INDEX(입력_기본자료!$K$2:$K$1001,$AB362),10000)/100)&lt;=12,MOD(INDEX(입력_기본자료!$K$2:$K$1001,$AB362),100)&gt;=1,MOD(INDEX(입력_기본자료!$K$2:$K$1001,$AB362),100)&lt;=31),DATE(INT(INDEX(입력_기본자료!$K$2:$K$1001,$AB362)/10000),INT(MOD(INDEX(입력_기본자료!$K$2:$K$1001,$AB362),10000)/100),MOD(INDEX(입력_기본자료!$K$2:$K$1001,$AB362),100)),INDEX(입력_기본자료!$K$2:$K$1001,$AB362)&amp;"")))))</f>
        <v/>
      </c>
      <c r="F362" s="10">
        <f>IF($AB362="","",IF(INDEX(입력_기본자료!$D$2:$D$1001,$AB362)="","",INDEX(입력_기본자료!$D$2:$D$1001,$AB362)))</f>
        <v/>
      </c>
      <c r="G362" s="10">
        <f>IF($AB362="","",IF(INDEX(입력_기본자료!$E$2:$E$1001,$AB362)="","",INDEX(입력_기본자료!$E$2:$E$1001,$AB362)))</f>
        <v/>
      </c>
      <c r="H362" s="10">
        <f>IF($AB362="","",IF(INDEX(입력_기본자료!$F$2:$F$1001,$AB362)="","",INDEX(입력_기본자료!$F$2:$F$1001,$AB362)))</f>
        <v/>
      </c>
      <c r="I362" s="11">
        <f>IF($AB362="","",IF(INDEX(입력_기본자료!$G$2:$G$1001,$AB362)="","",IF(NOT(ISNUMBER(INDEX(입력_기본자료!$G$2:$G$1001,$AB362))),INDEX(입력_기본자료!$G$2:$G$1001,$AB362),IF(INDEX(입력_기본자료!$G$2:$G$1001,$AB362)&lt;1000000,INDEX(입력_기본자료!$G$2:$G$1001,$AB362),IF(AND(INDEX(입력_기본자료!$G$2:$G$1001,$AB362)&gt;=10000101,INT(MOD(INDEX(입력_기본자료!$G$2:$G$1001,$AB362),10000)/100)&gt;=1,INT(MOD(INDEX(입력_기본자료!$G$2:$G$1001,$AB362),10000)/100)&lt;=12,MOD(INDEX(입력_기본자료!$G$2:$G$1001,$AB362),100)&gt;=1,MOD(INDEX(입력_기본자료!$G$2:$G$1001,$AB362),100)&lt;=31),DATE(INT(INDEX(입력_기본자료!$G$2:$G$1001,$AB362)/10000),INT(MOD(INDEX(입력_기본자료!$G$2:$G$1001,$AB362),10000)/100),MOD(INDEX(입력_기본자료!$G$2:$G$1001,$AB362),100)),INDEX(입력_기본자료!$G$2:$G$1001,$AB362)&amp;"")))))</f>
        <v/>
      </c>
      <c r="J362" s="10">
        <f>IF($AB362="","",IF(INDEX(입력_기본자료!$H$2:$H$1001,$AB362)="","",INDEX(입력_기본자료!$H$2:$H$1001,$AB362)))</f>
        <v/>
      </c>
      <c r="K362" s="10">
        <f>IF($AB362="","",IF(INDEX(입력_기본자료!$I$2:$I$1001,$AB362)="","",INDEX(입력_기본자료!$I$2:$I$1001,$AB362)))</f>
        <v/>
      </c>
      <c r="L362" s="10">
        <f>IF($AB362="","",IF(INDEX(입력_기본자료!$A$2:$A$1001,$AB362)="","",INDEX(입력_기본자료!$A$2:$A$1001,$AB362)))</f>
        <v/>
      </c>
      <c r="M362" s="15" t="n"/>
      <c r="N362" s="10">
        <f>IF($B362="","",IF(AND($U362="파견중",$Q362&lt;&gt;""),$Q362,IF(AND($AD362&lt;&gt;"",LEFT($AD362,1)&lt;&gt;"⚠"),LEFT($AD362,FIND(" ",$AD362)-1),IF($H362="","",IF(RIGHT($H362,2)="병원",$H362,$H362&amp;"병원")))))</f>
        <v/>
      </c>
      <c r="O362" s="10">
        <f>IF($B362="","",IF(AND($U362="파견중",$Q362&lt;&gt;""),IF($R362&lt;&gt;"",$R362,"파견과 미입력"),IF(AND($AD362&lt;&gt;"",LEFT($AD362,1)&lt;&gt;"⚠"),MID($AD362,FIND(" ",$AD362)+1,60),IF($F362="","",IF($F362="인턴","수련교육부(인턴)",$F362)))))</f>
        <v/>
      </c>
      <c r="P362" s="10">
        <f>IF($B362="","",IF($AK362&lt;&gt;"",IF(AND(TODAY()&gt;=INDEX(입력_파견수련계획!$AB$4:$AB$803,$AK362),OR(NOT(ISNUMBER(INDEX(입력_파견수련계획!$AC$4:$AC$803,$AK362))),TODAY()&lt;=INDEX(입력_파견수련계획!$AC$4:$AC$803,$AK362))),"다기관",IF($AF362="","",INDEX(입력_파견수련계획!$T$4:$T$803,$AF362))),IF($AF362="","",INDEX(입력_파견수련계획!$T$4:$T$803,$AF362))))</f>
        <v/>
      </c>
      <c r="Q362" s="10">
        <f>IF($AF362="","",INDEX(입력_파견수련계획!$S$4:$S$803,$AF362))</f>
        <v/>
      </c>
      <c r="R362" s="10">
        <f>IF($AF362="","",INDEX(입력_파견수련계획!$U$4:$U$803,$AF362))</f>
        <v/>
      </c>
      <c r="S362" s="11">
        <f>IF($AF362="","",IF(INDEX(입력_파견수련계획!$H$4:$H$803,$AF362)="","",INDEX(입력_파견수련계획!$H$4:$H$803,$AF362)))</f>
        <v/>
      </c>
      <c r="T362" s="11">
        <f>IF($AF362="","",IF(INDEX(입력_파견수련계획!$I$4:$I$803,$AF362)="","",INDEX(입력_파견수련계획!$I$4:$I$803,$AF362)))</f>
        <v/>
      </c>
      <c r="U362" s="10">
        <f>IF($AF362="","",INDEX(입력_파견수련계획!$X$4:$X$803,$AF362))</f>
        <v/>
      </c>
      <c r="V362" s="17">
        <f>IF($AF362="","",INDEX(입력_파견수련계획!$V$4:$V$803,$AF362))</f>
        <v/>
      </c>
      <c r="W362" s="17">
        <f>IF(AND($U362="파견중",$T362&lt;&gt;""),$T362-TODAY(),"")</f>
        <v/>
      </c>
      <c r="X362" s="17">
        <f>IF(OR($B362="",TRIM($J362&amp;"")=""),"",SUMPRODUCT((입력_파견수련계획!$Q$4:$Q$803=TRIM($J362&amp;""))*입력_파견수련계획!$W$4:$W$803))</f>
        <v/>
      </c>
      <c r="Y362" s="10">
        <f>IF($B362="","",IF($AG362="","",IF(IF(TRIM($J362&amp;"")="",0,SUMPRODUCT((입력_파견수련계획!$Q$4:$Q$803=TRIM($J362&amp;""))*입력_파견수련계획!$AD$4:$AD$803))&gt;0,$AE362,IF(AND(N($X362)&lt;=0,$AQ362=""),$AG362,IF($AH362+$AI362=DAY(EOMONTH(출력_요약!$B$3,0)),IF(AND($AH362&gt;=출력_요약!$E$3,$AI362&lt;출력_요약!$E$3),"서울병원",IF(AND($AI362&gt;=출력_요약!$E$3,$AH362&lt;출력_요약!$E$3),"구리병원","⚠15일 판정불가(서울 "&amp;$AH362&amp;"일/구리 "&amp;$AI362&amp;"일)")),IF($AJ362="",$AE362,IF(INDEX(입력_파견수련계획!$T$4:$T$803,$AJ362)="통합수련",INDEX(입력_파견수련계획!$S$4:$S$803,$AJ362),$AE362)))))))</f>
        <v/>
      </c>
      <c r="Z362" s="20">
        <f>IF($B362="","",IF($AB362="","기본자료에 없는 사번",IF(COUNTIF($B$2:$B$401,$B362)&gt;1,"중복 사번",IF($AE362="","소속(입사장소) 입력",IF(IF(TRIM($J362&amp;"")="",0,SUMPRODUCT((입력_파견수련계획!$Q$4:$Q$803=TRIM($J362&amp;""))*(입력_파견수련계획!$AA$4:$AA$803&lt;&gt;"")))&gt;0,"파견수련계획 입력오류 확인",IF(LEFT($Y362,1)="⚠","서울·구리 15일 판정 불가(양쪽 모두 이상/미만)",IF(IF($AC362="",0,N(INDEX(입력_인턴근무계획!$T$3:$T$402,$AC362)))&gt;0,"인턴계획 입력오류 확인",IF(AND($AQ362&lt;&gt;"",$AG362&lt;&gt;"구리병원",IF(TRIM($J362&amp;"")="",0,SUMPRODUCT((입력_파견수련계획!$Q$4:$Q$803=TRIM($J362&amp;""))*(입력_파견수련계획!$S$4:$S$803="구리병원")*입력_파견수련계획!$W$4:$W$803))=0),"구리 근무자명단에만 있음(파견수련계획 확인)",IF(AND($AC362&lt;&gt;"",$U362&lt;&gt;"파견중",$N362&lt;&gt;$AE362),"인턴 타지역 근무: 파견 여부 확인","정상")))))))))</f>
        <v/>
      </c>
      <c r="AA362" s="5" t="n"/>
      <c r="AB362" s="10">
        <f>IF($B362="","",IFERROR(MATCH($B362,입력_기본자료!$B$2:$B$1001,0),IFERROR(MATCH($B362&amp;"",입력_기본자료!$B$2:$B$1001,0),IFERROR(MATCH(VALUE($B362),입력_기본자료!$B$2:$B$1001,0),""))))</f>
        <v/>
      </c>
      <c r="AC362" s="10">
        <f>IF($B362="","",IFERROR(MATCH($B362,입력_인턴근무계획!$D$3:$D$402,0),IFERROR(MATCH($B362&amp;"",입력_인턴근무계획!$D$3:$D$402,0),IFERROR(MATCH(VALUE($B362),입력_인턴근무계획!$D$3:$D$402,0),""))))</f>
        <v/>
      </c>
      <c r="AD362" s="10">
        <f>IF(OR($AC362="",출력_인턴현황!$G$3=""),"",INDEX(입력_인턴근무계획!$M$3:$R$402,$AC362,출력_인턴현황!$G$3)&amp;"")</f>
        <v/>
      </c>
      <c r="AE362" s="10">
        <f>IF($B362="","",IF($M362&lt;&gt;"",$M362,IF(IF($AQ362="",FALSE,INDEX(출력_구리근무자!$J$6:$J$305,$AQ362)="구리독자"),"구리병원",IF($AF362&lt;&gt;"",IF(LEFT(INDEX(입력_파견수련계획!$R$4:$R$803,$AF362),1)&lt;&gt;"⚠",INDEX(입력_파견수련계획!$R$4:$R$803,$AF362),IF($H362="","",IF(RIGHT($H362,2)="병원",$H362,$H362&amp;"병원"))),IF($H362="","",IF(RIGHT($H362,2)="병원",$H362,$H362&amp;"병원"))))))</f>
        <v/>
      </c>
      <c r="AF362" s="10">
        <f>IF(OR($B362="",TRIM($J362&amp;"")=""),"",IFERROR(MATCH(TRIM($J362&amp;"")&amp;"|파견중",입력_파견수련계획!$Y$4:$Y$803,0),IFERROR(MATCH(TRIM($J362&amp;"")&amp;"|파견예정",입력_파견수련계획!$Y$4:$Y$803,0),IFERROR(MATCH(TRIM($J362&amp;"")&amp;"|파견종료",입력_파견수련계획!$Y$4:$Y$803,0),""))))</f>
        <v/>
      </c>
      <c r="AG362" s="10">
        <f>IF($B362="","",IF(AND(IF(OR($AC362="",출력_인턴현황!$K$2=""),"",INDEX(입력_인턴근무계획!$M$3:$R$402,$AC362,출력_인턴현황!$K$2)&amp;"")&lt;&gt;"",LEFT(IF(OR($AC362="",출력_인턴현황!$K$2=""),"",INDEX(입력_인턴근무계획!$M$3:$R$402,$AC362,출력_인턴현황!$K$2)&amp;""),1)&lt;&gt;"⚠"),LEFT(IF(OR($AC362="",출력_인턴현황!$K$2=""),"",INDEX(입력_인턴근무계획!$M$3:$R$402,$AC362,출력_인턴현황!$K$2)&amp;""),FIND(" ",IF(OR($AC362="",출력_인턴현황!$K$2=""),"",INDEX(입력_인턴근무계획!$M$3:$R$402,$AC362,출력_인턴현황!$K$2)&amp;""))-1),$AE362))</f>
        <v/>
      </c>
      <c r="AH362" s="17">
        <f>IF($B362="","",IF($AQ362&lt;&gt;"",MAX(0,DAY(EOMONTH(출력_요약!$B$3,0))-N($AR362)),IF(TRIM($J362&amp;"")="",0,SUMPRODUCT((입력_파견수련계획!$Q$4:$Q$803=TRIM($J362&amp;""))*(입력_파견수련계획!$S$4:$S$803="서울병원")*입력_파견수련계획!$W$4:$W$803))+IF($AG362="서울병원",MAX(0,DAY(EOMONTH(출력_요약!$B$3,0))-N($X362)),0)))</f>
        <v/>
      </c>
      <c r="AI362" s="17">
        <f>IF($B362="","",IF($AQ362&lt;&gt;"",N($AR362),IF(TRIM($J362&amp;"")="",0,SUMPRODUCT((입력_파견수련계획!$Q$4:$Q$803=TRIM($J362&amp;""))*(입력_파견수련계획!$S$4:$S$803="구리병원")*입력_파견수련계획!$W$4:$W$803))+IF($AG362="구리병원",MAX(0,DAY(EOMONTH(출력_요약!$B$3,0))-N($X362)),0)))</f>
        <v/>
      </c>
      <c r="AJ362" s="10">
        <f>IF(OR($B362="",TRIM($J362&amp;"")=""),"",IFERROR(MATCH(TRIM($J362&amp;"")&amp;"|월",입력_파견수련계획!$Z$4:$Z$803,0),""))</f>
        <v/>
      </c>
      <c r="AK362" s="10">
        <f>IF(OR($B362="",TRIM($J362&amp;"")=""),"",IFERROR(MATCH(TRIM($J362&amp;"")&amp;"|다기관",입력_파견수련계획!$AE$4:$AE$803,0),""))</f>
        <v/>
      </c>
      <c r="AL362" s="10">
        <f>IF($AK362="","","다기관 "&amp;TEXT(INDEX(입력_파견수련계획!$AB$4:$AB$803,$AK362),"yyyy-mm-dd")&amp;"~"&amp;IF(ISNUMBER(INDEX(입력_파견수련계획!$AC$4:$AC$803,$AK362)),TEXT(INDEX(입력_파견수련계획!$AC$4:$AC$803,$AK362),"yyyy-mm-dd"),""))</f>
        <v/>
      </c>
      <c r="AM362" s="10">
        <f>IF($Y362="서울병원",COUNTIF($Y$2:$Y362,"서울병원"),"")</f>
        <v/>
      </c>
      <c r="AN362" s="10">
        <f>IF(LEFT($Y362,1)="⚠",COUNTIF($Y$2:$Y362,"⚠*"),"")</f>
        <v/>
      </c>
      <c r="AO362" s="10">
        <f>IF(OR($B362="",$Y362=""),"",IF(IF(TRIM($J362&amp;"")="",0,SUMPRODUCT((입력_파견수련계획!$Q$4:$Q$803=TRIM($J362&amp;""))*입력_파견수련계획!$AD$4:$AD$803))&gt;0,"다기관 기간 → 소속병원 지급",IF(AND(N($X362)&lt;=0,$AQ362=""),"파견 없음 → 그 달 근무병원 지급",IF($AH362+$AI362=DAY(EOMONTH(출력_요약!$B$3,0)),"서울 "&amp;$AH362&amp;"일 / 구리 "&amp;$AI362&amp;"일"&amp;IF($AQ362&lt;&gt;""," (구리 근무자명단 반영)","")&amp;" → 15일 이상 근무 병원 지급","타 병원 포함 → "&amp;IF($AJ362="","소속",INDEX(입력_파견수련계획!$T$4:$T$803,$AJ362))&amp;" 규칙"))))</f>
        <v/>
      </c>
      <c r="AP362" s="10">
        <f>IF($B362="","",$C362&amp;"|"&amp;$F362)</f>
        <v/>
      </c>
      <c r="AQ362" s="10">
        <f>IF($B362="","",IFERROR(MATCH(ROW()-1,출력_구리근무자!$K$6:$K$305,0),""))</f>
        <v/>
      </c>
      <c r="AR362" s="10">
        <f>IF($AQ362="","",INDEX(출력_구리근무자!$H$6:$H$305,$AQ362))</f>
        <v/>
      </c>
    </row>
    <row r="363">
      <c r="A363" s="10">
        <f>IF(B363="","",ROW()-1)</f>
        <v/>
      </c>
      <c r="B363" s="19" t="n"/>
      <c r="C363" s="10">
        <f>IF($AB363="","",IF(INDEX(입력_기본자료!$C$2:$C$1001,$AB363)="","",INDEX(입력_기본자료!$C$2:$C$1001,$AB363)))</f>
        <v/>
      </c>
      <c r="D363" s="10">
        <f>IF($AB363="","",IF(INDEX(입력_기본자료!$J$2:$J$1001,$AB363)="","",INDEX(입력_기본자료!$J$2:$J$1001,$AB363)))</f>
        <v/>
      </c>
      <c r="E363" s="11">
        <f>IF($AB363="","",IF(INDEX(입력_기본자료!$K$2:$K$1001,$AB363)="","",IF(NOT(ISNUMBER(INDEX(입력_기본자료!$K$2:$K$1001,$AB363))),INDEX(입력_기본자료!$K$2:$K$1001,$AB363),IF(INDEX(입력_기본자료!$K$2:$K$1001,$AB363)&lt;1000000,INDEX(입력_기본자료!$K$2:$K$1001,$AB363),IF(AND(INDEX(입력_기본자료!$K$2:$K$1001,$AB363)&gt;=10000101,INT(MOD(INDEX(입력_기본자료!$K$2:$K$1001,$AB363),10000)/100)&gt;=1,INT(MOD(INDEX(입력_기본자료!$K$2:$K$1001,$AB363),10000)/100)&lt;=12,MOD(INDEX(입력_기본자료!$K$2:$K$1001,$AB363),100)&gt;=1,MOD(INDEX(입력_기본자료!$K$2:$K$1001,$AB363),100)&lt;=31),DATE(INT(INDEX(입력_기본자료!$K$2:$K$1001,$AB363)/10000),INT(MOD(INDEX(입력_기본자료!$K$2:$K$1001,$AB363),10000)/100),MOD(INDEX(입력_기본자료!$K$2:$K$1001,$AB363),100)),INDEX(입력_기본자료!$K$2:$K$1001,$AB363)&amp;"")))))</f>
        <v/>
      </c>
      <c r="F363" s="10">
        <f>IF($AB363="","",IF(INDEX(입력_기본자료!$D$2:$D$1001,$AB363)="","",INDEX(입력_기본자료!$D$2:$D$1001,$AB363)))</f>
        <v/>
      </c>
      <c r="G363" s="10">
        <f>IF($AB363="","",IF(INDEX(입력_기본자료!$E$2:$E$1001,$AB363)="","",INDEX(입력_기본자료!$E$2:$E$1001,$AB363)))</f>
        <v/>
      </c>
      <c r="H363" s="10">
        <f>IF($AB363="","",IF(INDEX(입력_기본자료!$F$2:$F$1001,$AB363)="","",INDEX(입력_기본자료!$F$2:$F$1001,$AB363)))</f>
        <v/>
      </c>
      <c r="I363" s="11">
        <f>IF($AB363="","",IF(INDEX(입력_기본자료!$G$2:$G$1001,$AB363)="","",IF(NOT(ISNUMBER(INDEX(입력_기본자료!$G$2:$G$1001,$AB363))),INDEX(입력_기본자료!$G$2:$G$1001,$AB363),IF(INDEX(입력_기본자료!$G$2:$G$1001,$AB363)&lt;1000000,INDEX(입력_기본자료!$G$2:$G$1001,$AB363),IF(AND(INDEX(입력_기본자료!$G$2:$G$1001,$AB363)&gt;=10000101,INT(MOD(INDEX(입력_기본자료!$G$2:$G$1001,$AB363),10000)/100)&gt;=1,INT(MOD(INDEX(입력_기본자료!$G$2:$G$1001,$AB363),10000)/100)&lt;=12,MOD(INDEX(입력_기본자료!$G$2:$G$1001,$AB363),100)&gt;=1,MOD(INDEX(입력_기본자료!$G$2:$G$1001,$AB363),100)&lt;=31),DATE(INT(INDEX(입력_기본자료!$G$2:$G$1001,$AB363)/10000),INT(MOD(INDEX(입력_기본자료!$G$2:$G$1001,$AB363),10000)/100),MOD(INDEX(입력_기본자료!$G$2:$G$1001,$AB363),100)),INDEX(입력_기본자료!$G$2:$G$1001,$AB363)&amp;"")))))</f>
        <v/>
      </c>
      <c r="J363" s="10">
        <f>IF($AB363="","",IF(INDEX(입력_기본자료!$H$2:$H$1001,$AB363)="","",INDEX(입력_기본자료!$H$2:$H$1001,$AB363)))</f>
        <v/>
      </c>
      <c r="K363" s="10">
        <f>IF($AB363="","",IF(INDEX(입력_기본자료!$I$2:$I$1001,$AB363)="","",INDEX(입력_기본자료!$I$2:$I$1001,$AB363)))</f>
        <v/>
      </c>
      <c r="L363" s="10">
        <f>IF($AB363="","",IF(INDEX(입력_기본자료!$A$2:$A$1001,$AB363)="","",INDEX(입력_기본자료!$A$2:$A$1001,$AB363)))</f>
        <v/>
      </c>
      <c r="M363" s="15" t="n"/>
      <c r="N363" s="10">
        <f>IF($B363="","",IF(AND($U363="파견중",$Q363&lt;&gt;""),$Q363,IF(AND($AD363&lt;&gt;"",LEFT($AD363,1)&lt;&gt;"⚠"),LEFT($AD363,FIND(" ",$AD363)-1),IF($H363="","",IF(RIGHT($H363,2)="병원",$H363,$H363&amp;"병원")))))</f>
        <v/>
      </c>
      <c r="O363" s="10">
        <f>IF($B363="","",IF(AND($U363="파견중",$Q363&lt;&gt;""),IF($R363&lt;&gt;"",$R363,"파견과 미입력"),IF(AND($AD363&lt;&gt;"",LEFT($AD363,1)&lt;&gt;"⚠"),MID($AD363,FIND(" ",$AD363)+1,60),IF($F363="","",IF($F363="인턴","수련교육부(인턴)",$F363)))))</f>
        <v/>
      </c>
      <c r="P363" s="10">
        <f>IF($B363="","",IF($AK363&lt;&gt;"",IF(AND(TODAY()&gt;=INDEX(입력_파견수련계획!$AB$4:$AB$803,$AK363),OR(NOT(ISNUMBER(INDEX(입력_파견수련계획!$AC$4:$AC$803,$AK363))),TODAY()&lt;=INDEX(입력_파견수련계획!$AC$4:$AC$803,$AK363))),"다기관",IF($AF363="","",INDEX(입력_파견수련계획!$T$4:$T$803,$AF363))),IF($AF363="","",INDEX(입력_파견수련계획!$T$4:$T$803,$AF363))))</f>
        <v/>
      </c>
      <c r="Q363" s="10">
        <f>IF($AF363="","",INDEX(입력_파견수련계획!$S$4:$S$803,$AF363))</f>
        <v/>
      </c>
      <c r="R363" s="10">
        <f>IF($AF363="","",INDEX(입력_파견수련계획!$U$4:$U$803,$AF363))</f>
        <v/>
      </c>
      <c r="S363" s="11">
        <f>IF($AF363="","",IF(INDEX(입력_파견수련계획!$H$4:$H$803,$AF363)="","",INDEX(입력_파견수련계획!$H$4:$H$803,$AF363)))</f>
        <v/>
      </c>
      <c r="T363" s="11">
        <f>IF($AF363="","",IF(INDEX(입력_파견수련계획!$I$4:$I$803,$AF363)="","",INDEX(입력_파견수련계획!$I$4:$I$803,$AF363)))</f>
        <v/>
      </c>
      <c r="U363" s="10">
        <f>IF($AF363="","",INDEX(입력_파견수련계획!$X$4:$X$803,$AF363))</f>
        <v/>
      </c>
      <c r="V363" s="17">
        <f>IF($AF363="","",INDEX(입력_파견수련계획!$V$4:$V$803,$AF363))</f>
        <v/>
      </c>
      <c r="W363" s="17">
        <f>IF(AND($U363="파견중",$T363&lt;&gt;""),$T363-TODAY(),"")</f>
        <v/>
      </c>
      <c r="X363" s="17">
        <f>IF(OR($B363="",TRIM($J363&amp;"")=""),"",SUMPRODUCT((입력_파견수련계획!$Q$4:$Q$803=TRIM($J363&amp;""))*입력_파견수련계획!$W$4:$W$803))</f>
        <v/>
      </c>
      <c r="Y363" s="10">
        <f>IF($B363="","",IF($AG363="","",IF(IF(TRIM($J363&amp;"")="",0,SUMPRODUCT((입력_파견수련계획!$Q$4:$Q$803=TRIM($J363&amp;""))*입력_파견수련계획!$AD$4:$AD$803))&gt;0,$AE363,IF(AND(N($X363)&lt;=0,$AQ363=""),$AG363,IF($AH363+$AI363=DAY(EOMONTH(출력_요약!$B$3,0)),IF(AND($AH363&gt;=출력_요약!$E$3,$AI363&lt;출력_요약!$E$3),"서울병원",IF(AND($AI363&gt;=출력_요약!$E$3,$AH363&lt;출력_요약!$E$3),"구리병원","⚠15일 판정불가(서울 "&amp;$AH363&amp;"일/구리 "&amp;$AI363&amp;"일)")),IF($AJ363="",$AE363,IF(INDEX(입력_파견수련계획!$T$4:$T$803,$AJ363)="통합수련",INDEX(입력_파견수련계획!$S$4:$S$803,$AJ363),$AE363)))))))</f>
        <v/>
      </c>
      <c r="Z363" s="20">
        <f>IF($B363="","",IF($AB363="","기본자료에 없는 사번",IF(COUNTIF($B$2:$B$401,$B363)&gt;1,"중복 사번",IF($AE363="","소속(입사장소) 입력",IF(IF(TRIM($J363&amp;"")="",0,SUMPRODUCT((입력_파견수련계획!$Q$4:$Q$803=TRIM($J363&amp;""))*(입력_파견수련계획!$AA$4:$AA$803&lt;&gt;"")))&gt;0,"파견수련계획 입력오류 확인",IF(LEFT($Y363,1)="⚠","서울·구리 15일 판정 불가(양쪽 모두 이상/미만)",IF(IF($AC363="",0,N(INDEX(입력_인턴근무계획!$T$3:$T$402,$AC363)))&gt;0,"인턴계획 입력오류 확인",IF(AND($AQ363&lt;&gt;"",$AG363&lt;&gt;"구리병원",IF(TRIM($J363&amp;"")="",0,SUMPRODUCT((입력_파견수련계획!$Q$4:$Q$803=TRIM($J363&amp;""))*(입력_파견수련계획!$S$4:$S$803="구리병원")*입력_파견수련계획!$W$4:$W$803))=0),"구리 근무자명단에만 있음(파견수련계획 확인)",IF(AND($AC363&lt;&gt;"",$U363&lt;&gt;"파견중",$N363&lt;&gt;$AE363),"인턴 타지역 근무: 파견 여부 확인","정상")))))))))</f>
        <v/>
      </c>
      <c r="AA363" s="5" t="n"/>
      <c r="AB363" s="10">
        <f>IF($B363="","",IFERROR(MATCH($B363,입력_기본자료!$B$2:$B$1001,0),IFERROR(MATCH($B363&amp;"",입력_기본자료!$B$2:$B$1001,0),IFERROR(MATCH(VALUE($B363),입력_기본자료!$B$2:$B$1001,0),""))))</f>
        <v/>
      </c>
      <c r="AC363" s="10">
        <f>IF($B363="","",IFERROR(MATCH($B363,입력_인턴근무계획!$D$3:$D$402,0),IFERROR(MATCH($B363&amp;"",입력_인턴근무계획!$D$3:$D$402,0),IFERROR(MATCH(VALUE($B363),입력_인턴근무계획!$D$3:$D$402,0),""))))</f>
        <v/>
      </c>
      <c r="AD363" s="10">
        <f>IF(OR($AC363="",출력_인턴현황!$G$3=""),"",INDEX(입력_인턴근무계획!$M$3:$R$402,$AC363,출력_인턴현황!$G$3)&amp;"")</f>
        <v/>
      </c>
      <c r="AE363" s="10">
        <f>IF($B363="","",IF($M363&lt;&gt;"",$M363,IF(IF($AQ363="",FALSE,INDEX(출력_구리근무자!$J$6:$J$305,$AQ363)="구리독자"),"구리병원",IF($AF363&lt;&gt;"",IF(LEFT(INDEX(입력_파견수련계획!$R$4:$R$803,$AF363),1)&lt;&gt;"⚠",INDEX(입력_파견수련계획!$R$4:$R$803,$AF363),IF($H363="","",IF(RIGHT($H363,2)="병원",$H363,$H363&amp;"병원"))),IF($H363="","",IF(RIGHT($H363,2)="병원",$H363,$H363&amp;"병원"))))))</f>
        <v/>
      </c>
      <c r="AF363" s="10">
        <f>IF(OR($B363="",TRIM($J363&amp;"")=""),"",IFERROR(MATCH(TRIM($J363&amp;"")&amp;"|파견중",입력_파견수련계획!$Y$4:$Y$803,0),IFERROR(MATCH(TRIM($J363&amp;"")&amp;"|파견예정",입력_파견수련계획!$Y$4:$Y$803,0),IFERROR(MATCH(TRIM($J363&amp;"")&amp;"|파견종료",입력_파견수련계획!$Y$4:$Y$803,0),""))))</f>
        <v/>
      </c>
      <c r="AG363" s="10">
        <f>IF($B363="","",IF(AND(IF(OR($AC363="",출력_인턴현황!$K$2=""),"",INDEX(입력_인턴근무계획!$M$3:$R$402,$AC363,출력_인턴현황!$K$2)&amp;"")&lt;&gt;"",LEFT(IF(OR($AC363="",출력_인턴현황!$K$2=""),"",INDEX(입력_인턴근무계획!$M$3:$R$402,$AC363,출력_인턴현황!$K$2)&amp;""),1)&lt;&gt;"⚠"),LEFT(IF(OR($AC363="",출력_인턴현황!$K$2=""),"",INDEX(입력_인턴근무계획!$M$3:$R$402,$AC363,출력_인턴현황!$K$2)&amp;""),FIND(" ",IF(OR($AC363="",출력_인턴현황!$K$2=""),"",INDEX(입력_인턴근무계획!$M$3:$R$402,$AC363,출력_인턴현황!$K$2)&amp;""))-1),$AE363))</f>
        <v/>
      </c>
      <c r="AH363" s="17">
        <f>IF($B363="","",IF($AQ363&lt;&gt;"",MAX(0,DAY(EOMONTH(출력_요약!$B$3,0))-N($AR363)),IF(TRIM($J363&amp;"")="",0,SUMPRODUCT((입력_파견수련계획!$Q$4:$Q$803=TRIM($J363&amp;""))*(입력_파견수련계획!$S$4:$S$803="서울병원")*입력_파견수련계획!$W$4:$W$803))+IF($AG363="서울병원",MAX(0,DAY(EOMONTH(출력_요약!$B$3,0))-N($X363)),0)))</f>
        <v/>
      </c>
      <c r="AI363" s="17">
        <f>IF($B363="","",IF($AQ363&lt;&gt;"",N($AR363),IF(TRIM($J363&amp;"")="",0,SUMPRODUCT((입력_파견수련계획!$Q$4:$Q$803=TRIM($J363&amp;""))*(입력_파견수련계획!$S$4:$S$803="구리병원")*입력_파견수련계획!$W$4:$W$803))+IF($AG363="구리병원",MAX(0,DAY(EOMONTH(출력_요약!$B$3,0))-N($X363)),0)))</f>
        <v/>
      </c>
      <c r="AJ363" s="10">
        <f>IF(OR($B363="",TRIM($J363&amp;"")=""),"",IFERROR(MATCH(TRIM($J363&amp;"")&amp;"|월",입력_파견수련계획!$Z$4:$Z$803,0),""))</f>
        <v/>
      </c>
      <c r="AK363" s="10">
        <f>IF(OR($B363="",TRIM($J363&amp;"")=""),"",IFERROR(MATCH(TRIM($J363&amp;"")&amp;"|다기관",입력_파견수련계획!$AE$4:$AE$803,0),""))</f>
        <v/>
      </c>
      <c r="AL363" s="10">
        <f>IF($AK363="","","다기관 "&amp;TEXT(INDEX(입력_파견수련계획!$AB$4:$AB$803,$AK363),"yyyy-mm-dd")&amp;"~"&amp;IF(ISNUMBER(INDEX(입력_파견수련계획!$AC$4:$AC$803,$AK363)),TEXT(INDEX(입력_파견수련계획!$AC$4:$AC$803,$AK363),"yyyy-mm-dd"),""))</f>
        <v/>
      </c>
      <c r="AM363" s="10">
        <f>IF($Y363="서울병원",COUNTIF($Y$2:$Y363,"서울병원"),"")</f>
        <v/>
      </c>
      <c r="AN363" s="10">
        <f>IF(LEFT($Y363,1)="⚠",COUNTIF($Y$2:$Y363,"⚠*"),"")</f>
        <v/>
      </c>
      <c r="AO363" s="10">
        <f>IF(OR($B363="",$Y363=""),"",IF(IF(TRIM($J363&amp;"")="",0,SUMPRODUCT((입력_파견수련계획!$Q$4:$Q$803=TRIM($J363&amp;""))*입력_파견수련계획!$AD$4:$AD$803))&gt;0,"다기관 기간 → 소속병원 지급",IF(AND(N($X363)&lt;=0,$AQ363=""),"파견 없음 → 그 달 근무병원 지급",IF($AH363+$AI363=DAY(EOMONTH(출력_요약!$B$3,0)),"서울 "&amp;$AH363&amp;"일 / 구리 "&amp;$AI363&amp;"일"&amp;IF($AQ363&lt;&gt;""," (구리 근무자명단 반영)","")&amp;" → 15일 이상 근무 병원 지급","타 병원 포함 → "&amp;IF($AJ363="","소속",INDEX(입력_파견수련계획!$T$4:$T$803,$AJ363))&amp;" 규칙"))))</f>
        <v/>
      </c>
      <c r="AP363" s="10">
        <f>IF($B363="","",$C363&amp;"|"&amp;$F363)</f>
        <v/>
      </c>
      <c r="AQ363" s="10">
        <f>IF($B363="","",IFERROR(MATCH(ROW()-1,출력_구리근무자!$K$6:$K$305,0),""))</f>
        <v/>
      </c>
      <c r="AR363" s="10">
        <f>IF($AQ363="","",INDEX(출력_구리근무자!$H$6:$H$305,$AQ363))</f>
        <v/>
      </c>
    </row>
    <row r="364">
      <c r="A364" s="10">
        <f>IF(B364="","",ROW()-1)</f>
        <v/>
      </c>
      <c r="B364" s="19" t="n"/>
      <c r="C364" s="10">
        <f>IF($AB364="","",IF(INDEX(입력_기본자료!$C$2:$C$1001,$AB364)="","",INDEX(입력_기본자료!$C$2:$C$1001,$AB364)))</f>
        <v/>
      </c>
      <c r="D364" s="10">
        <f>IF($AB364="","",IF(INDEX(입력_기본자료!$J$2:$J$1001,$AB364)="","",INDEX(입력_기본자료!$J$2:$J$1001,$AB364)))</f>
        <v/>
      </c>
      <c r="E364" s="11">
        <f>IF($AB364="","",IF(INDEX(입력_기본자료!$K$2:$K$1001,$AB364)="","",IF(NOT(ISNUMBER(INDEX(입력_기본자료!$K$2:$K$1001,$AB364))),INDEX(입력_기본자료!$K$2:$K$1001,$AB364),IF(INDEX(입력_기본자료!$K$2:$K$1001,$AB364)&lt;1000000,INDEX(입력_기본자료!$K$2:$K$1001,$AB364),IF(AND(INDEX(입력_기본자료!$K$2:$K$1001,$AB364)&gt;=10000101,INT(MOD(INDEX(입력_기본자료!$K$2:$K$1001,$AB364),10000)/100)&gt;=1,INT(MOD(INDEX(입력_기본자료!$K$2:$K$1001,$AB364),10000)/100)&lt;=12,MOD(INDEX(입력_기본자료!$K$2:$K$1001,$AB364),100)&gt;=1,MOD(INDEX(입력_기본자료!$K$2:$K$1001,$AB364),100)&lt;=31),DATE(INT(INDEX(입력_기본자료!$K$2:$K$1001,$AB364)/10000),INT(MOD(INDEX(입력_기본자료!$K$2:$K$1001,$AB364),10000)/100),MOD(INDEX(입력_기본자료!$K$2:$K$1001,$AB364),100)),INDEX(입력_기본자료!$K$2:$K$1001,$AB364)&amp;"")))))</f>
        <v/>
      </c>
      <c r="F364" s="10">
        <f>IF($AB364="","",IF(INDEX(입력_기본자료!$D$2:$D$1001,$AB364)="","",INDEX(입력_기본자료!$D$2:$D$1001,$AB364)))</f>
        <v/>
      </c>
      <c r="G364" s="10">
        <f>IF($AB364="","",IF(INDEX(입력_기본자료!$E$2:$E$1001,$AB364)="","",INDEX(입력_기본자료!$E$2:$E$1001,$AB364)))</f>
        <v/>
      </c>
      <c r="H364" s="10">
        <f>IF($AB364="","",IF(INDEX(입력_기본자료!$F$2:$F$1001,$AB364)="","",INDEX(입력_기본자료!$F$2:$F$1001,$AB364)))</f>
        <v/>
      </c>
      <c r="I364" s="11">
        <f>IF($AB364="","",IF(INDEX(입력_기본자료!$G$2:$G$1001,$AB364)="","",IF(NOT(ISNUMBER(INDEX(입력_기본자료!$G$2:$G$1001,$AB364))),INDEX(입력_기본자료!$G$2:$G$1001,$AB364),IF(INDEX(입력_기본자료!$G$2:$G$1001,$AB364)&lt;1000000,INDEX(입력_기본자료!$G$2:$G$1001,$AB364),IF(AND(INDEX(입력_기본자료!$G$2:$G$1001,$AB364)&gt;=10000101,INT(MOD(INDEX(입력_기본자료!$G$2:$G$1001,$AB364),10000)/100)&gt;=1,INT(MOD(INDEX(입력_기본자료!$G$2:$G$1001,$AB364),10000)/100)&lt;=12,MOD(INDEX(입력_기본자료!$G$2:$G$1001,$AB364),100)&gt;=1,MOD(INDEX(입력_기본자료!$G$2:$G$1001,$AB364),100)&lt;=31),DATE(INT(INDEX(입력_기본자료!$G$2:$G$1001,$AB364)/10000),INT(MOD(INDEX(입력_기본자료!$G$2:$G$1001,$AB364),10000)/100),MOD(INDEX(입력_기본자료!$G$2:$G$1001,$AB364),100)),INDEX(입력_기본자료!$G$2:$G$1001,$AB364)&amp;"")))))</f>
        <v/>
      </c>
      <c r="J364" s="10">
        <f>IF($AB364="","",IF(INDEX(입력_기본자료!$H$2:$H$1001,$AB364)="","",INDEX(입력_기본자료!$H$2:$H$1001,$AB364)))</f>
        <v/>
      </c>
      <c r="K364" s="10">
        <f>IF($AB364="","",IF(INDEX(입력_기본자료!$I$2:$I$1001,$AB364)="","",INDEX(입력_기본자료!$I$2:$I$1001,$AB364)))</f>
        <v/>
      </c>
      <c r="L364" s="10">
        <f>IF($AB364="","",IF(INDEX(입력_기본자료!$A$2:$A$1001,$AB364)="","",INDEX(입력_기본자료!$A$2:$A$1001,$AB364)))</f>
        <v/>
      </c>
      <c r="M364" s="15" t="n"/>
      <c r="N364" s="10">
        <f>IF($B364="","",IF(AND($U364="파견중",$Q364&lt;&gt;""),$Q364,IF(AND($AD364&lt;&gt;"",LEFT($AD364,1)&lt;&gt;"⚠"),LEFT($AD364,FIND(" ",$AD364)-1),IF($H364="","",IF(RIGHT($H364,2)="병원",$H364,$H364&amp;"병원")))))</f>
        <v/>
      </c>
      <c r="O364" s="10">
        <f>IF($B364="","",IF(AND($U364="파견중",$Q364&lt;&gt;""),IF($R364&lt;&gt;"",$R364,"파견과 미입력"),IF(AND($AD364&lt;&gt;"",LEFT($AD364,1)&lt;&gt;"⚠"),MID($AD364,FIND(" ",$AD364)+1,60),IF($F364="","",IF($F364="인턴","수련교육부(인턴)",$F364)))))</f>
        <v/>
      </c>
      <c r="P364" s="10">
        <f>IF($B364="","",IF($AK364&lt;&gt;"",IF(AND(TODAY()&gt;=INDEX(입력_파견수련계획!$AB$4:$AB$803,$AK364),OR(NOT(ISNUMBER(INDEX(입력_파견수련계획!$AC$4:$AC$803,$AK364))),TODAY()&lt;=INDEX(입력_파견수련계획!$AC$4:$AC$803,$AK364))),"다기관",IF($AF364="","",INDEX(입력_파견수련계획!$T$4:$T$803,$AF364))),IF($AF364="","",INDEX(입력_파견수련계획!$T$4:$T$803,$AF364))))</f>
        <v/>
      </c>
      <c r="Q364" s="10">
        <f>IF($AF364="","",INDEX(입력_파견수련계획!$S$4:$S$803,$AF364))</f>
        <v/>
      </c>
      <c r="R364" s="10">
        <f>IF($AF364="","",INDEX(입력_파견수련계획!$U$4:$U$803,$AF364))</f>
        <v/>
      </c>
      <c r="S364" s="11">
        <f>IF($AF364="","",IF(INDEX(입력_파견수련계획!$H$4:$H$803,$AF364)="","",INDEX(입력_파견수련계획!$H$4:$H$803,$AF364)))</f>
        <v/>
      </c>
      <c r="T364" s="11">
        <f>IF($AF364="","",IF(INDEX(입력_파견수련계획!$I$4:$I$803,$AF364)="","",INDEX(입력_파견수련계획!$I$4:$I$803,$AF364)))</f>
        <v/>
      </c>
      <c r="U364" s="10">
        <f>IF($AF364="","",INDEX(입력_파견수련계획!$X$4:$X$803,$AF364))</f>
        <v/>
      </c>
      <c r="V364" s="17">
        <f>IF($AF364="","",INDEX(입력_파견수련계획!$V$4:$V$803,$AF364))</f>
        <v/>
      </c>
      <c r="W364" s="17">
        <f>IF(AND($U364="파견중",$T364&lt;&gt;""),$T364-TODAY(),"")</f>
        <v/>
      </c>
      <c r="X364" s="17">
        <f>IF(OR($B364="",TRIM($J364&amp;"")=""),"",SUMPRODUCT((입력_파견수련계획!$Q$4:$Q$803=TRIM($J364&amp;""))*입력_파견수련계획!$W$4:$W$803))</f>
        <v/>
      </c>
      <c r="Y364" s="10">
        <f>IF($B364="","",IF($AG364="","",IF(IF(TRIM($J364&amp;"")="",0,SUMPRODUCT((입력_파견수련계획!$Q$4:$Q$803=TRIM($J364&amp;""))*입력_파견수련계획!$AD$4:$AD$803))&gt;0,$AE364,IF(AND(N($X364)&lt;=0,$AQ364=""),$AG364,IF($AH364+$AI364=DAY(EOMONTH(출력_요약!$B$3,0)),IF(AND($AH364&gt;=출력_요약!$E$3,$AI364&lt;출력_요약!$E$3),"서울병원",IF(AND($AI364&gt;=출력_요약!$E$3,$AH364&lt;출력_요약!$E$3),"구리병원","⚠15일 판정불가(서울 "&amp;$AH364&amp;"일/구리 "&amp;$AI364&amp;"일)")),IF($AJ364="",$AE364,IF(INDEX(입력_파견수련계획!$T$4:$T$803,$AJ364)="통합수련",INDEX(입력_파견수련계획!$S$4:$S$803,$AJ364),$AE364)))))))</f>
        <v/>
      </c>
      <c r="Z364" s="20">
        <f>IF($B364="","",IF($AB364="","기본자료에 없는 사번",IF(COUNTIF($B$2:$B$401,$B364)&gt;1,"중복 사번",IF($AE364="","소속(입사장소) 입력",IF(IF(TRIM($J364&amp;"")="",0,SUMPRODUCT((입력_파견수련계획!$Q$4:$Q$803=TRIM($J364&amp;""))*(입력_파견수련계획!$AA$4:$AA$803&lt;&gt;"")))&gt;0,"파견수련계획 입력오류 확인",IF(LEFT($Y364,1)="⚠","서울·구리 15일 판정 불가(양쪽 모두 이상/미만)",IF(IF($AC364="",0,N(INDEX(입력_인턴근무계획!$T$3:$T$402,$AC364)))&gt;0,"인턴계획 입력오류 확인",IF(AND($AQ364&lt;&gt;"",$AG364&lt;&gt;"구리병원",IF(TRIM($J364&amp;"")="",0,SUMPRODUCT((입력_파견수련계획!$Q$4:$Q$803=TRIM($J364&amp;""))*(입력_파견수련계획!$S$4:$S$803="구리병원")*입력_파견수련계획!$W$4:$W$803))=0),"구리 근무자명단에만 있음(파견수련계획 확인)",IF(AND($AC364&lt;&gt;"",$U364&lt;&gt;"파견중",$N364&lt;&gt;$AE364),"인턴 타지역 근무: 파견 여부 확인","정상")))))))))</f>
        <v/>
      </c>
      <c r="AA364" s="5" t="n"/>
      <c r="AB364" s="10">
        <f>IF($B364="","",IFERROR(MATCH($B364,입력_기본자료!$B$2:$B$1001,0),IFERROR(MATCH($B364&amp;"",입력_기본자료!$B$2:$B$1001,0),IFERROR(MATCH(VALUE($B364),입력_기본자료!$B$2:$B$1001,0),""))))</f>
        <v/>
      </c>
      <c r="AC364" s="10">
        <f>IF($B364="","",IFERROR(MATCH($B364,입력_인턴근무계획!$D$3:$D$402,0),IFERROR(MATCH($B364&amp;"",입력_인턴근무계획!$D$3:$D$402,0),IFERROR(MATCH(VALUE($B364),입력_인턴근무계획!$D$3:$D$402,0),""))))</f>
        <v/>
      </c>
      <c r="AD364" s="10">
        <f>IF(OR($AC364="",출력_인턴현황!$G$3=""),"",INDEX(입력_인턴근무계획!$M$3:$R$402,$AC364,출력_인턴현황!$G$3)&amp;"")</f>
        <v/>
      </c>
      <c r="AE364" s="10">
        <f>IF($B364="","",IF($M364&lt;&gt;"",$M364,IF(IF($AQ364="",FALSE,INDEX(출력_구리근무자!$J$6:$J$305,$AQ364)="구리독자"),"구리병원",IF($AF364&lt;&gt;"",IF(LEFT(INDEX(입력_파견수련계획!$R$4:$R$803,$AF364),1)&lt;&gt;"⚠",INDEX(입력_파견수련계획!$R$4:$R$803,$AF364),IF($H364="","",IF(RIGHT($H364,2)="병원",$H364,$H364&amp;"병원"))),IF($H364="","",IF(RIGHT($H364,2)="병원",$H364,$H364&amp;"병원"))))))</f>
        <v/>
      </c>
      <c r="AF364" s="10">
        <f>IF(OR($B364="",TRIM($J364&amp;"")=""),"",IFERROR(MATCH(TRIM($J364&amp;"")&amp;"|파견중",입력_파견수련계획!$Y$4:$Y$803,0),IFERROR(MATCH(TRIM($J364&amp;"")&amp;"|파견예정",입력_파견수련계획!$Y$4:$Y$803,0),IFERROR(MATCH(TRIM($J364&amp;"")&amp;"|파견종료",입력_파견수련계획!$Y$4:$Y$803,0),""))))</f>
        <v/>
      </c>
      <c r="AG364" s="10">
        <f>IF($B364="","",IF(AND(IF(OR($AC364="",출력_인턴현황!$K$2=""),"",INDEX(입력_인턴근무계획!$M$3:$R$402,$AC364,출력_인턴현황!$K$2)&amp;"")&lt;&gt;"",LEFT(IF(OR($AC364="",출력_인턴현황!$K$2=""),"",INDEX(입력_인턴근무계획!$M$3:$R$402,$AC364,출력_인턴현황!$K$2)&amp;""),1)&lt;&gt;"⚠"),LEFT(IF(OR($AC364="",출력_인턴현황!$K$2=""),"",INDEX(입력_인턴근무계획!$M$3:$R$402,$AC364,출력_인턴현황!$K$2)&amp;""),FIND(" ",IF(OR($AC364="",출력_인턴현황!$K$2=""),"",INDEX(입력_인턴근무계획!$M$3:$R$402,$AC364,출력_인턴현황!$K$2)&amp;""))-1),$AE364))</f>
        <v/>
      </c>
      <c r="AH364" s="17">
        <f>IF($B364="","",IF($AQ364&lt;&gt;"",MAX(0,DAY(EOMONTH(출력_요약!$B$3,0))-N($AR364)),IF(TRIM($J364&amp;"")="",0,SUMPRODUCT((입력_파견수련계획!$Q$4:$Q$803=TRIM($J364&amp;""))*(입력_파견수련계획!$S$4:$S$803="서울병원")*입력_파견수련계획!$W$4:$W$803))+IF($AG364="서울병원",MAX(0,DAY(EOMONTH(출력_요약!$B$3,0))-N($X364)),0)))</f>
        <v/>
      </c>
      <c r="AI364" s="17">
        <f>IF($B364="","",IF($AQ364&lt;&gt;"",N($AR364),IF(TRIM($J364&amp;"")="",0,SUMPRODUCT((입력_파견수련계획!$Q$4:$Q$803=TRIM($J364&amp;""))*(입력_파견수련계획!$S$4:$S$803="구리병원")*입력_파견수련계획!$W$4:$W$803))+IF($AG364="구리병원",MAX(0,DAY(EOMONTH(출력_요약!$B$3,0))-N($X364)),0)))</f>
        <v/>
      </c>
      <c r="AJ364" s="10">
        <f>IF(OR($B364="",TRIM($J364&amp;"")=""),"",IFERROR(MATCH(TRIM($J364&amp;"")&amp;"|월",입력_파견수련계획!$Z$4:$Z$803,0),""))</f>
        <v/>
      </c>
      <c r="AK364" s="10">
        <f>IF(OR($B364="",TRIM($J364&amp;"")=""),"",IFERROR(MATCH(TRIM($J364&amp;"")&amp;"|다기관",입력_파견수련계획!$AE$4:$AE$803,0),""))</f>
        <v/>
      </c>
      <c r="AL364" s="10">
        <f>IF($AK364="","","다기관 "&amp;TEXT(INDEX(입력_파견수련계획!$AB$4:$AB$803,$AK364),"yyyy-mm-dd")&amp;"~"&amp;IF(ISNUMBER(INDEX(입력_파견수련계획!$AC$4:$AC$803,$AK364)),TEXT(INDEX(입력_파견수련계획!$AC$4:$AC$803,$AK364),"yyyy-mm-dd"),""))</f>
        <v/>
      </c>
      <c r="AM364" s="10">
        <f>IF($Y364="서울병원",COUNTIF($Y$2:$Y364,"서울병원"),"")</f>
        <v/>
      </c>
      <c r="AN364" s="10">
        <f>IF(LEFT($Y364,1)="⚠",COUNTIF($Y$2:$Y364,"⚠*"),"")</f>
        <v/>
      </c>
      <c r="AO364" s="10">
        <f>IF(OR($B364="",$Y364=""),"",IF(IF(TRIM($J364&amp;"")="",0,SUMPRODUCT((입력_파견수련계획!$Q$4:$Q$803=TRIM($J364&amp;""))*입력_파견수련계획!$AD$4:$AD$803))&gt;0,"다기관 기간 → 소속병원 지급",IF(AND(N($X364)&lt;=0,$AQ364=""),"파견 없음 → 그 달 근무병원 지급",IF($AH364+$AI364=DAY(EOMONTH(출력_요약!$B$3,0)),"서울 "&amp;$AH364&amp;"일 / 구리 "&amp;$AI364&amp;"일"&amp;IF($AQ364&lt;&gt;""," (구리 근무자명단 반영)","")&amp;" → 15일 이상 근무 병원 지급","타 병원 포함 → "&amp;IF($AJ364="","소속",INDEX(입력_파견수련계획!$T$4:$T$803,$AJ364))&amp;" 규칙"))))</f>
        <v/>
      </c>
      <c r="AP364" s="10">
        <f>IF($B364="","",$C364&amp;"|"&amp;$F364)</f>
        <v/>
      </c>
      <c r="AQ364" s="10">
        <f>IF($B364="","",IFERROR(MATCH(ROW()-1,출력_구리근무자!$K$6:$K$305,0),""))</f>
        <v/>
      </c>
      <c r="AR364" s="10">
        <f>IF($AQ364="","",INDEX(출력_구리근무자!$H$6:$H$305,$AQ364))</f>
        <v/>
      </c>
    </row>
    <row r="365">
      <c r="A365" s="10">
        <f>IF(B365="","",ROW()-1)</f>
        <v/>
      </c>
      <c r="B365" s="19" t="n"/>
      <c r="C365" s="10">
        <f>IF($AB365="","",IF(INDEX(입력_기본자료!$C$2:$C$1001,$AB365)="","",INDEX(입력_기본자료!$C$2:$C$1001,$AB365)))</f>
        <v/>
      </c>
      <c r="D365" s="10">
        <f>IF($AB365="","",IF(INDEX(입력_기본자료!$J$2:$J$1001,$AB365)="","",INDEX(입력_기본자료!$J$2:$J$1001,$AB365)))</f>
        <v/>
      </c>
      <c r="E365" s="11">
        <f>IF($AB365="","",IF(INDEX(입력_기본자료!$K$2:$K$1001,$AB365)="","",IF(NOT(ISNUMBER(INDEX(입력_기본자료!$K$2:$K$1001,$AB365))),INDEX(입력_기본자료!$K$2:$K$1001,$AB365),IF(INDEX(입력_기본자료!$K$2:$K$1001,$AB365)&lt;1000000,INDEX(입력_기본자료!$K$2:$K$1001,$AB365),IF(AND(INDEX(입력_기본자료!$K$2:$K$1001,$AB365)&gt;=10000101,INT(MOD(INDEX(입력_기본자료!$K$2:$K$1001,$AB365),10000)/100)&gt;=1,INT(MOD(INDEX(입력_기본자료!$K$2:$K$1001,$AB365),10000)/100)&lt;=12,MOD(INDEX(입력_기본자료!$K$2:$K$1001,$AB365),100)&gt;=1,MOD(INDEX(입력_기본자료!$K$2:$K$1001,$AB365),100)&lt;=31),DATE(INT(INDEX(입력_기본자료!$K$2:$K$1001,$AB365)/10000),INT(MOD(INDEX(입력_기본자료!$K$2:$K$1001,$AB365),10000)/100),MOD(INDEX(입력_기본자료!$K$2:$K$1001,$AB365),100)),INDEX(입력_기본자료!$K$2:$K$1001,$AB365)&amp;"")))))</f>
        <v/>
      </c>
      <c r="F365" s="10">
        <f>IF($AB365="","",IF(INDEX(입력_기본자료!$D$2:$D$1001,$AB365)="","",INDEX(입력_기본자료!$D$2:$D$1001,$AB365)))</f>
        <v/>
      </c>
      <c r="G365" s="10">
        <f>IF($AB365="","",IF(INDEX(입력_기본자료!$E$2:$E$1001,$AB365)="","",INDEX(입력_기본자료!$E$2:$E$1001,$AB365)))</f>
        <v/>
      </c>
      <c r="H365" s="10">
        <f>IF($AB365="","",IF(INDEX(입력_기본자료!$F$2:$F$1001,$AB365)="","",INDEX(입력_기본자료!$F$2:$F$1001,$AB365)))</f>
        <v/>
      </c>
      <c r="I365" s="11">
        <f>IF($AB365="","",IF(INDEX(입력_기본자료!$G$2:$G$1001,$AB365)="","",IF(NOT(ISNUMBER(INDEX(입력_기본자료!$G$2:$G$1001,$AB365))),INDEX(입력_기본자료!$G$2:$G$1001,$AB365),IF(INDEX(입력_기본자료!$G$2:$G$1001,$AB365)&lt;1000000,INDEX(입력_기본자료!$G$2:$G$1001,$AB365),IF(AND(INDEX(입력_기본자료!$G$2:$G$1001,$AB365)&gt;=10000101,INT(MOD(INDEX(입력_기본자료!$G$2:$G$1001,$AB365),10000)/100)&gt;=1,INT(MOD(INDEX(입력_기본자료!$G$2:$G$1001,$AB365),10000)/100)&lt;=12,MOD(INDEX(입력_기본자료!$G$2:$G$1001,$AB365),100)&gt;=1,MOD(INDEX(입력_기본자료!$G$2:$G$1001,$AB365),100)&lt;=31),DATE(INT(INDEX(입력_기본자료!$G$2:$G$1001,$AB365)/10000),INT(MOD(INDEX(입력_기본자료!$G$2:$G$1001,$AB365),10000)/100),MOD(INDEX(입력_기본자료!$G$2:$G$1001,$AB365),100)),INDEX(입력_기본자료!$G$2:$G$1001,$AB365)&amp;"")))))</f>
        <v/>
      </c>
      <c r="J365" s="10">
        <f>IF($AB365="","",IF(INDEX(입력_기본자료!$H$2:$H$1001,$AB365)="","",INDEX(입력_기본자료!$H$2:$H$1001,$AB365)))</f>
        <v/>
      </c>
      <c r="K365" s="10">
        <f>IF($AB365="","",IF(INDEX(입력_기본자료!$I$2:$I$1001,$AB365)="","",INDEX(입력_기본자료!$I$2:$I$1001,$AB365)))</f>
        <v/>
      </c>
      <c r="L365" s="10">
        <f>IF($AB365="","",IF(INDEX(입력_기본자료!$A$2:$A$1001,$AB365)="","",INDEX(입력_기본자료!$A$2:$A$1001,$AB365)))</f>
        <v/>
      </c>
      <c r="M365" s="15" t="n"/>
      <c r="N365" s="10">
        <f>IF($B365="","",IF(AND($U365="파견중",$Q365&lt;&gt;""),$Q365,IF(AND($AD365&lt;&gt;"",LEFT($AD365,1)&lt;&gt;"⚠"),LEFT($AD365,FIND(" ",$AD365)-1),IF($H365="","",IF(RIGHT($H365,2)="병원",$H365,$H365&amp;"병원")))))</f>
        <v/>
      </c>
      <c r="O365" s="10">
        <f>IF($B365="","",IF(AND($U365="파견중",$Q365&lt;&gt;""),IF($R365&lt;&gt;"",$R365,"파견과 미입력"),IF(AND($AD365&lt;&gt;"",LEFT($AD365,1)&lt;&gt;"⚠"),MID($AD365,FIND(" ",$AD365)+1,60),IF($F365="","",IF($F365="인턴","수련교육부(인턴)",$F365)))))</f>
        <v/>
      </c>
      <c r="P365" s="10">
        <f>IF($B365="","",IF($AK365&lt;&gt;"",IF(AND(TODAY()&gt;=INDEX(입력_파견수련계획!$AB$4:$AB$803,$AK365),OR(NOT(ISNUMBER(INDEX(입력_파견수련계획!$AC$4:$AC$803,$AK365))),TODAY()&lt;=INDEX(입력_파견수련계획!$AC$4:$AC$803,$AK365))),"다기관",IF($AF365="","",INDEX(입력_파견수련계획!$T$4:$T$803,$AF365))),IF($AF365="","",INDEX(입력_파견수련계획!$T$4:$T$803,$AF365))))</f>
        <v/>
      </c>
      <c r="Q365" s="10">
        <f>IF($AF365="","",INDEX(입력_파견수련계획!$S$4:$S$803,$AF365))</f>
        <v/>
      </c>
      <c r="R365" s="10">
        <f>IF($AF365="","",INDEX(입력_파견수련계획!$U$4:$U$803,$AF365))</f>
        <v/>
      </c>
      <c r="S365" s="11">
        <f>IF($AF365="","",IF(INDEX(입력_파견수련계획!$H$4:$H$803,$AF365)="","",INDEX(입력_파견수련계획!$H$4:$H$803,$AF365)))</f>
        <v/>
      </c>
      <c r="T365" s="11">
        <f>IF($AF365="","",IF(INDEX(입력_파견수련계획!$I$4:$I$803,$AF365)="","",INDEX(입력_파견수련계획!$I$4:$I$803,$AF365)))</f>
        <v/>
      </c>
      <c r="U365" s="10">
        <f>IF($AF365="","",INDEX(입력_파견수련계획!$X$4:$X$803,$AF365))</f>
        <v/>
      </c>
      <c r="V365" s="17">
        <f>IF($AF365="","",INDEX(입력_파견수련계획!$V$4:$V$803,$AF365))</f>
        <v/>
      </c>
      <c r="W365" s="17">
        <f>IF(AND($U365="파견중",$T365&lt;&gt;""),$T365-TODAY(),"")</f>
        <v/>
      </c>
      <c r="X365" s="17">
        <f>IF(OR($B365="",TRIM($J365&amp;"")=""),"",SUMPRODUCT((입력_파견수련계획!$Q$4:$Q$803=TRIM($J365&amp;""))*입력_파견수련계획!$W$4:$W$803))</f>
        <v/>
      </c>
      <c r="Y365" s="10">
        <f>IF($B365="","",IF($AG365="","",IF(IF(TRIM($J365&amp;"")="",0,SUMPRODUCT((입력_파견수련계획!$Q$4:$Q$803=TRIM($J365&amp;""))*입력_파견수련계획!$AD$4:$AD$803))&gt;0,$AE365,IF(AND(N($X365)&lt;=0,$AQ365=""),$AG365,IF($AH365+$AI365=DAY(EOMONTH(출력_요약!$B$3,0)),IF(AND($AH365&gt;=출력_요약!$E$3,$AI365&lt;출력_요약!$E$3),"서울병원",IF(AND($AI365&gt;=출력_요약!$E$3,$AH365&lt;출력_요약!$E$3),"구리병원","⚠15일 판정불가(서울 "&amp;$AH365&amp;"일/구리 "&amp;$AI365&amp;"일)")),IF($AJ365="",$AE365,IF(INDEX(입력_파견수련계획!$T$4:$T$803,$AJ365)="통합수련",INDEX(입력_파견수련계획!$S$4:$S$803,$AJ365),$AE365)))))))</f>
        <v/>
      </c>
      <c r="Z365" s="20">
        <f>IF($B365="","",IF($AB365="","기본자료에 없는 사번",IF(COUNTIF($B$2:$B$401,$B365)&gt;1,"중복 사번",IF($AE365="","소속(입사장소) 입력",IF(IF(TRIM($J365&amp;"")="",0,SUMPRODUCT((입력_파견수련계획!$Q$4:$Q$803=TRIM($J365&amp;""))*(입력_파견수련계획!$AA$4:$AA$803&lt;&gt;"")))&gt;0,"파견수련계획 입력오류 확인",IF(LEFT($Y365,1)="⚠","서울·구리 15일 판정 불가(양쪽 모두 이상/미만)",IF(IF($AC365="",0,N(INDEX(입력_인턴근무계획!$T$3:$T$402,$AC365)))&gt;0,"인턴계획 입력오류 확인",IF(AND($AQ365&lt;&gt;"",$AG365&lt;&gt;"구리병원",IF(TRIM($J365&amp;"")="",0,SUMPRODUCT((입력_파견수련계획!$Q$4:$Q$803=TRIM($J365&amp;""))*(입력_파견수련계획!$S$4:$S$803="구리병원")*입력_파견수련계획!$W$4:$W$803))=0),"구리 근무자명단에만 있음(파견수련계획 확인)",IF(AND($AC365&lt;&gt;"",$U365&lt;&gt;"파견중",$N365&lt;&gt;$AE365),"인턴 타지역 근무: 파견 여부 확인","정상")))))))))</f>
        <v/>
      </c>
      <c r="AA365" s="5" t="n"/>
      <c r="AB365" s="10">
        <f>IF($B365="","",IFERROR(MATCH($B365,입력_기본자료!$B$2:$B$1001,0),IFERROR(MATCH($B365&amp;"",입력_기본자료!$B$2:$B$1001,0),IFERROR(MATCH(VALUE($B365),입력_기본자료!$B$2:$B$1001,0),""))))</f>
        <v/>
      </c>
      <c r="AC365" s="10">
        <f>IF($B365="","",IFERROR(MATCH($B365,입력_인턴근무계획!$D$3:$D$402,0),IFERROR(MATCH($B365&amp;"",입력_인턴근무계획!$D$3:$D$402,0),IFERROR(MATCH(VALUE($B365),입력_인턴근무계획!$D$3:$D$402,0),""))))</f>
        <v/>
      </c>
      <c r="AD365" s="10">
        <f>IF(OR($AC365="",출력_인턴현황!$G$3=""),"",INDEX(입력_인턴근무계획!$M$3:$R$402,$AC365,출력_인턴현황!$G$3)&amp;"")</f>
        <v/>
      </c>
      <c r="AE365" s="10">
        <f>IF($B365="","",IF($M365&lt;&gt;"",$M365,IF(IF($AQ365="",FALSE,INDEX(출력_구리근무자!$J$6:$J$305,$AQ365)="구리독자"),"구리병원",IF($AF365&lt;&gt;"",IF(LEFT(INDEX(입력_파견수련계획!$R$4:$R$803,$AF365),1)&lt;&gt;"⚠",INDEX(입력_파견수련계획!$R$4:$R$803,$AF365),IF($H365="","",IF(RIGHT($H365,2)="병원",$H365,$H365&amp;"병원"))),IF($H365="","",IF(RIGHT($H365,2)="병원",$H365,$H365&amp;"병원"))))))</f>
        <v/>
      </c>
      <c r="AF365" s="10">
        <f>IF(OR($B365="",TRIM($J365&amp;"")=""),"",IFERROR(MATCH(TRIM($J365&amp;"")&amp;"|파견중",입력_파견수련계획!$Y$4:$Y$803,0),IFERROR(MATCH(TRIM($J365&amp;"")&amp;"|파견예정",입력_파견수련계획!$Y$4:$Y$803,0),IFERROR(MATCH(TRIM($J365&amp;"")&amp;"|파견종료",입력_파견수련계획!$Y$4:$Y$803,0),""))))</f>
        <v/>
      </c>
      <c r="AG365" s="10">
        <f>IF($B365="","",IF(AND(IF(OR($AC365="",출력_인턴현황!$K$2=""),"",INDEX(입력_인턴근무계획!$M$3:$R$402,$AC365,출력_인턴현황!$K$2)&amp;"")&lt;&gt;"",LEFT(IF(OR($AC365="",출력_인턴현황!$K$2=""),"",INDEX(입력_인턴근무계획!$M$3:$R$402,$AC365,출력_인턴현황!$K$2)&amp;""),1)&lt;&gt;"⚠"),LEFT(IF(OR($AC365="",출력_인턴현황!$K$2=""),"",INDEX(입력_인턴근무계획!$M$3:$R$402,$AC365,출력_인턴현황!$K$2)&amp;""),FIND(" ",IF(OR($AC365="",출력_인턴현황!$K$2=""),"",INDEX(입력_인턴근무계획!$M$3:$R$402,$AC365,출력_인턴현황!$K$2)&amp;""))-1),$AE365))</f>
        <v/>
      </c>
      <c r="AH365" s="17">
        <f>IF($B365="","",IF($AQ365&lt;&gt;"",MAX(0,DAY(EOMONTH(출력_요약!$B$3,0))-N($AR365)),IF(TRIM($J365&amp;"")="",0,SUMPRODUCT((입력_파견수련계획!$Q$4:$Q$803=TRIM($J365&amp;""))*(입력_파견수련계획!$S$4:$S$803="서울병원")*입력_파견수련계획!$W$4:$W$803))+IF($AG365="서울병원",MAX(0,DAY(EOMONTH(출력_요약!$B$3,0))-N($X365)),0)))</f>
        <v/>
      </c>
      <c r="AI365" s="17">
        <f>IF($B365="","",IF($AQ365&lt;&gt;"",N($AR365),IF(TRIM($J365&amp;"")="",0,SUMPRODUCT((입력_파견수련계획!$Q$4:$Q$803=TRIM($J365&amp;""))*(입력_파견수련계획!$S$4:$S$803="구리병원")*입력_파견수련계획!$W$4:$W$803))+IF($AG365="구리병원",MAX(0,DAY(EOMONTH(출력_요약!$B$3,0))-N($X365)),0)))</f>
        <v/>
      </c>
      <c r="AJ365" s="10">
        <f>IF(OR($B365="",TRIM($J365&amp;"")=""),"",IFERROR(MATCH(TRIM($J365&amp;"")&amp;"|월",입력_파견수련계획!$Z$4:$Z$803,0),""))</f>
        <v/>
      </c>
      <c r="AK365" s="10">
        <f>IF(OR($B365="",TRIM($J365&amp;"")=""),"",IFERROR(MATCH(TRIM($J365&amp;"")&amp;"|다기관",입력_파견수련계획!$AE$4:$AE$803,0),""))</f>
        <v/>
      </c>
      <c r="AL365" s="10">
        <f>IF($AK365="","","다기관 "&amp;TEXT(INDEX(입력_파견수련계획!$AB$4:$AB$803,$AK365),"yyyy-mm-dd")&amp;"~"&amp;IF(ISNUMBER(INDEX(입력_파견수련계획!$AC$4:$AC$803,$AK365)),TEXT(INDEX(입력_파견수련계획!$AC$4:$AC$803,$AK365),"yyyy-mm-dd"),""))</f>
        <v/>
      </c>
      <c r="AM365" s="10">
        <f>IF($Y365="서울병원",COUNTIF($Y$2:$Y365,"서울병원"),"")</f>
        <v/>
      </c>
      <c r="AN365" s="10">
        <f>IF(LEFT($Y365,1)="⚠",COUNTIF($Y$2:$Y365,"⚠*"),"")</f>
        <v/>
      </c>
      <c r="AO365" s="10">
        <f>IF(OR($B365="",$Y365=""),"",IF(IF(TRIM($J365&amp;"")="",0,SUMPRODUCT((입력_파견수련계획!$Q$4:$Q$803=TRIM($J365&amp;""))*입력_파견수련계획!$AD$4:$AD$803))&gt;0,"다기관 기간 → 소속병원 지급",IF(AND(N($X365)&lt;=0,$AQ365=""),"파견 없음 → 그 달 근무병원 지급",IF($AH365+$AI365=DAY(EOMONTH(출력_요약!$B$3,0)),"서울 "&amp;$AH365&amp;"일 / 구리 "&amp;$AI365&amp;"일"&amp;IF($AQ365&lt;&gt;""," (구리 근무자명단 반영)","")&amp;" → 15일 이상 근무 병원 지급","타 병원 포함 → "&amp;IF($AJ365="","소속",INDEX(입력_파견수련계획!$T$4:$T$803,$AJ365))&amp;" 규칙"))))</f>
        <v/>
      </c>
      <c r="AP365" s="10">
        <f>IF($B365="","",$C365&amp;"|"&amp;$F365)</f>
        <v/>
      </c>
      <c r="AQ365" s="10">
        <f>IF($B365="","",IFERROR(MATCH(ROW()-1,출력_구리근무자!$K$6:$K$305,0),""))</f>
        <v/>
      </c>
      <c r="AR365" s="10">
        <f>IF($AQ365="","",INDEX(출력_구리근무자!$H$6:$H$305,$AQ365))</f>
        <v/>
      </c>
    </row>
    <row r="366">
      <c r="A366" s="10">
        <f>IF(B366="","",ROW()-1)</f>
        <v/>
      </c>
      <c r="B366" s="19" t="n"/>
      <c r="C366" s="10">
        <f>IF($AB366="","",IF(INDEX(입력_기본자료!$C$2:$C$1001,$AB366)="","",INDEX(입력_기본자료!$C$2:$C$1001,$AB366)))</f>
        <v/>
      </c>
      <c r="D366" s="10">
        <f>IF($AB366="","",IF(INDEX(입력_기본자료!$J$2:$J$1001,$AB366)="","",INDEX(입력_기본자료!$J$2:$J$1001,$AB366)))</f>
        <v/>
      </c>
      <c r="E366" s="11">
        <f>IF($AB366="","",IF(INDEX(입력_기본자료!$K$2:$K$1001,$AB366)="","",IF(NOT(ISNUMBER(INDEX(입력_기본자료!$K$2:$K$1001,$AB366))),INDEX(입력_기본자료!$K$2:$K$1001,$AB366),IF(INDEX(입력_기본자료!$K$2:$K$1001,$AB366)&lt;1000000,INDEX(입력_기본자료!$K$2:$K$1001,$AB366),IF(AND(INDEX(입력_기본자료!$K$2:$K$1001,$AB366)&gt;=10000101,INT(MOD(INDEX(입력_기본자료!$K$2:$K$1001,$AB366),10000)/100)&gt;=1,INT(MOD(INDEX(입력_기본자료!$K$2:$K$1001,$AB366),10000)/100)&lt;=12,MOD(INDEX(입력_기본자료!$K$2:$K$1001,$AB366),100)&gt;=1,MOD(INDEX(입력_기본자료!$K$2:$K$1001,$AB366),100)&lt;=31),DATE(INT(INDEX(입력_기본자료!$K$2:$K$1001,$AB366)/10000),INT(MOD(INDEX(입력_기본자료!$K$2:$K$1001,$AB366),10000)/100),MOD(INDEX(입력_기본자료!$K$2:$K$1001,$AB366),100)),INDEX(입력_기본자료!$K$2:$K$1001,$AB366)&amp;"")))))</f>
        <v/>
      </c>
      <c r="F366" s="10">
        <f>IF($AB366="","",IF(INDEX(입력_기본자료!$D$2:$D$1001,$AB366)="","",INDEX(입력_기본자료!$D$2:$D$1001,$AB366)))</f>
        <v/>
      </c>
      <c r="G366" s="10">
        <f>IF($AB366="","",IF(INDEX(입력_기본자료!$E$2:$E$1001,$AB366)="","",INDEX(입력_기본자료!$E$2:$E$1001,$AB366)))</f>
        <v/>
      </c>
      <c r="H366" s="10">
        <f>IF($AB366="","",IF(INDEX(입력_기본자료!$F$2:$F$1001,$AB366)="","",INDEX(입력_기본자료!$F$2:$F$1001,$AB366)))</f>
        <v/>
      </c>
      <c r="I366" s="11">
        <f>IF($AB366="","",IF(INDEX(입력_기본자료!$G$2:$G$1001,$AB366)="","",IF(NOT(ISNUMBER(INDEX(입력_기본자료!$G$2:$G$1001,$AB366))),INDEX(입력_기본자료!$G$2:$G$1001,$AB366),IF(INDEX(입력_기본자료!$G$2:$G$1001,$AB366)&lt;1000000,INDEX(입력_기본자료!$G$2:$G$1001,$AB366),IF(AND(INDEX(입력_기본자료!$G$2:$G$1001,$AB366)&gt;=10000101,INT(MOD(INDEX(입력_기본자료!$G$2:$G$1001,$AB366),10000)/100)&gt;=1,INT(MOD(INDEX(입력_기본자료!$G$2:$G$1001,$AB366),10000)/100)&lt;=12,MOD(INDEX(입력_기본자료!$G$2:$G$1001,$AB366),100)&gt;=1,MOD(INDEX(입력_기본자료!$G$2:$G$1001,$AB366),100)&lt;=31),DATE(INT(INDEX(입력_기본자료!$G$2:$G$1001,$AB366)/10000),INT(MOD(INDEX(입력_기본자료!$G$2:$G$1001,$AB366),10000)/100),MOD(INDEX(입력_기본자료!$G$2:$G$1001,$AB366),100)),INDEX(입력_기본자료!$G$2:$G$1001,$AB366)&amp;"")))))</f>
        <v/>
      </c>
      <c r="J366" s="10">
        <f>IF($AB366="","",IF(INDEX(입력_기본자료!$H$2:$H$1001,$AB366)="","",INDEX(입력_기본자료!$H$2:$H$1001,$AB366)))</f>
        <v/>
      </c>
      <c r="K366" s="10">
        <f>IF($AB366="","",IF(INDEX(입력_기본자료!$I$2:$I$1001,$AB366)="","",INDEX(입력_기본자료!$I$2:$I$1001,$AB366)))</f>
        <v/>
      </c>
      <c r="L366" s="10">
        <f>IF($AB366="","",IF(INDEX(입력_기본자료!$A$2:$A$1001,$AB366)="","",INDEX(입력_기본자료!$A$2:$A$1001,$AB366)))</f>
        <v/>
      </c>
      <c r="M366" s="15" t="n"/>
      <c r="N366" s="10">
        <f>IF($B366="","",IF(AND($U366="파견중",$Q366&lt;&gt;""),$Q366,IF(AND($AD366&lt;&gt;"",LEFT($AD366,1)&lt;&gt;"⚠"),LEFT($AD366,FIND(" ",$AD366)-1),IF($H366="","",IF(RIGHT($H366,2)="병원",$H366,$H366&amp;"병원")))))</f>
        <v/>
      </c>
      <c r="O366" s="10">
        <f>IF($B366="","",IF(AND($U366="파견중",$Q366&lt;&gt;""),IF($R366&lt;&gt;"",$R366,"파견과 미입력"),IF(AND($AD366&lt;&gt;"",LEFT($AD366,1)&lt;&gt;"⚠"),MID($AD366,FIND(" ",$AD366)+1,60),IF($F366="","",IF($F366="인턴","수련교육부(인턴)",$F366)))))</f>
        <v/>
      </c>
      <c r="P366" s="10">
        <f>IF($B366="","",IF($AK366&lt;&gt;"",IF(AND(TODAY()&gt;=INDEX(입력_파견수련계획!$AB$4:$AB$803,$AK366),OR(NOT(ISNUMBER(INDEX(입력_파견수련계획!$AC$4:$AC$803,$AK366))),TODAY()&lt;=INDEX(입력_파견수련계획!$AC$4:$AC$803,$AK366))),"다기관",IF($AF366="","",INDEX(입력_파견수련계획!$T$4:$T$803,$AF366))),IF($AF366="","",INDEX(입력_파견수련계획!$T$4:$T$803,$AF366))))</f>
        <v/>
      </c>
      <c r="Q366" s="10">
        <f>IF($AF366="","",INDEX(입력_파견수련계획!$S$4:$S$803,$AF366))</f>
        <v/>
      </c>
      <c r="R366" s="10">
        <f>IF($AF366="","",INDEX(입력_파견수련계획!$U$4:$U$803,$AF366))</f>
        <v/>
      </c>
      <c r="S366" s="11">
        <f>IF($AF366="","",IF(INDEX(입력_파견수련계획!$H$4:$H$803,$AF366)="","",INDEX(입력_파견수련계획!$H$4:$H$803,$AF366)))</f>
        <v/>
      </c>
      <c r="T366" s="11">
        <f>IF($AF366="","",IF(INDEX(입력_파견수련계획!$I$4:$I$803,$AF366)="","",INDEX(입력_파견수련계획!$I$4:$I$803,$AF366)))</f>
        <v/>
      </c>
      <c r="U366" s="10">
        <f>IF($AF366="","",INDEX(입력_파견수련계획!$X$4:$X$803,$AF366))</f>
        <v/>
      </c>
      <c r="V366" s="17">
        <f>IF($AF366="","",INDEX(입력_파견수련계획!$V$4:$V$803,$AF366))</f>
        <v/>
      </c>
      <c r="W366" s="17">
        <f>IF(AND($U366="파견중",$T366&lt;&gt;""),$T366-TODAY(),"")</f>
        <v/>
      </c>
      <c r="X366" s="17">
        <f>IF(OR($B366="",TRIM($J366&amp;"")=""),"",SUMPRODUCT((입력_파견수련계획!$Q$4:$Q$803=TRIM($J366&amp;""))*입력_파견수련계획!$W$4:$W$803))</f>
        <v/>
      </c>
      <c r="Y366" s="10">
        <f>IF($B366="","",IF($AG366="","",IF(IF(TRIM($J366&amp;"")="",0,SUMPRODUCT((입력_파견수련계획!$Q$4:$Q$803=TRIM($J366&amp;""))*입력_파견수련계획!$AD$4:$AD$803))&gt;0,$AE366,IF(AND(N($X366)&lt;=0,$AQ366=""),$AG366,IF($AH366+$AI366=DAY(EOMONTH(출력_요약!$B$3,0)),IF(AND($AH366&gt;=출력_요약!$E$3,$AI366&lt;출력_요약!$E$3),"서울병원",IF(AND($AI366&gt;=출력_요약!$E$3,$AH366&lt;출력_요약!$E$3),"구리병원","⚠15일 판정불가(서울 "&amp;$AH366&amp;"일/구리 "&amp;$AI366&amp;"일)")),IF($AJ366="",$AE366,IF(INDEX(입력_파견수련계획!$T$4:$T$803,$AJ366)="통합수련",INDEX(입력_파견수련계획!$S$4:$S$803,$AJ366),$AE366)))))))</f>
        <v/>
      </c>
      <c r="Z366" s="20">
        <f>IF($B366="","",IF($AB366="","기본자료에 없는 사번",IF(COUNTIF($B$2:$B$401,$B366)&gt;1,"중복 사번",IF($AE366="","소속(입사장소) 입력",IF(IF(TRIM($J366&amp;"")="",0,SUMPRODUCT((입력_파견수련계획!$Q$4:$Q$803=TRIM($J366&amp;""))*(입력_파견수련계획!$AA$4:$AA$803&lt;&gt;"")))&gt;0,"파견수련계획 입력오류 확인",IF(LEFT($Y366,1)="⚠","서울·구리 15일 판정 불가(양쪽 모두 이상/미만)",IF(IF($AC366="",0,N(INDEX(입력_인턴근무계획!$T$3:$T$402,$AC366)))&gt;0,"인턴계획 입력오류 확인",IF(AND($AQ366&lt;&gt;"",$AG366&lt;&gt;"구리병원",IF(TRIM($J366&amp;"")="",0,SUMPRODUCT((입력_파견수련계획!$Q$4:$Q$803=TRIM($J366&amp;""))*(입력_파견수련계획!$S$4:$S$803="구리병원")*입력_파견수련계획!$W$4:$W$803))=0),"구리 근무자명단에만 있음(파견수련계획 확인)",IF(AND($AC366&lt;&gt;"",$U366&lt;&gt;"파견중",$N366&lt;&gt;$AE366),"인턴 타지역 근무: 파견 여부 확인","정상")))))))))</f>
        <v/>
      </c>
      <c r="AA366" s="5" t="n"/>
      <c r="AB366" s="10">
        <f>IF($B366="","",IFERROR(MATCH($B366,입력_기본자료!$B$2:$B$1001,0),IFERROR(MATCH($B366&amp;"",입력_기본자료!$B$2:$B$1001,0),IFERROR(MATCH(VALUE($B366),입력_기본자료!$B$2:$B$1001,0),""))))</f>
        <v/>
      </c>
      <c r="AC366" s="10">
        <f>IF($B366="","",IFERROR(MATCH($B366,입력_인턴근무계획!$D$3:$D$402,0),IFERROR(MATCH($B366&amp;"",입력_인턴근무계획!$D$3:$D$402,0),IFERROR(MATCH(VALUE($B366),입력_인턴근무계획!$D$3:$D$402,0),""))))</f>
        <v/>
      </c>
      <c r="AD366" s="10">
        <f>IF(OR($AC366="",출력_인턴현황!$G$3=""),"",INDEX(입력_인턴근무계획!$M$3:$R$402,$AC366,출력_인턴현황!$G$3)&amp;"")</f>
        <v/>
      </c>
      <c r="AE366" s="10">
        <f>IF($B366="","",IF($M366&lt;&gt;"",$M366,IF(IF($AQ366="",FALSE,INDEX(출력_구리근무자!$J$6:$J$305,$AQ366)="구리독자"),"구리병원",IF($AF366&lt;&gt;"",IF(LEFT(INDEX(입력_파견수련계획!$R$4:$R$803,$AF366),1)&lt;&gt;"⚠",INDEX(입력_파견수련계획!$R$4:$R$803,$AF366),IF($H366="","",IF(RIGHT($H366,2)="병원",$H366,$H366&amp;"병원"))),IF($H366="","",IF(RIGHT($H366,2)="병원",$H366,$H366&amp;"병원"))))))</f>
        <v/>
      </c>
      <c r="AF366" s="10">
        <f>IF(OR($B366="",TRIM($J366&amp;"")=""),"",IFERROR(MATCH(TRIM($J366&amp;"")&amp;"|파견중",입력_파견수련계획!$Y$4:$Y$803,0),IFERROR(MATCH(TRIM($J366&amp;"")&amp;"|파견예정",입력_파견수련계획!$Y$4:$Y$803,0),IFERROR(MATCH(TRIM($J366&amp;"")&amp;"|파견종료",입력_파견수련계획!$Y$4:$Y$803,0),""))))</f>
        <v/>
      </c>
      <c r="AG366" s="10">
        <f>IF($B366="","",IF(AND(IF(OR($AC366="",출력_인턴현황!$K$2=""),"",INDEX(입력_인턴근무계획!$M$3:$R$402,$AC366,출력_인턴현황!$K$2)&amp;"")&lt;&gt;"",LEFT(IF(OR($AC366="",출력_인턴현황!$K$2=""),"",INDEX(입력_인턴근무계획!$M$3:$R$402,$AC366,출력_인턴현황!$K$2)&amp;""),1)&lt;&gt;"⚠"),LEFT(IF(OR($AC366="",출력_인턴현황!$K$2=""),"",INDEX(입력_인턴근무계획!$M$3:$R$402,$AC366,출력_인턴현황!$K$2)&amp;""),FIND(" ",IF(OR($AC366="",출력_인턴현황!$K$2=""),"",INDEX(입력_인턴근무계획!$M$3:$R$402,$AC366,출력_인턴현황!$K$2)&amp;""))-1),$AE366))</f>
        <v/>
      </c>
      <c r="AH366" s="17">
        <f>IF($B366="","",IF($AQ366&lt;&gt;"",MAX(0,DAY(EOMONTH(출력_요약!$B$3,0))-N($AR366)),IF(TRIM($J366&amp;"")="",0,SUMPRODUCT((입력_파견수련계획!$Q$4:$Q$803=TRIM($J366&amp;""))*(입력_파견수련계획!$S$4:$S$803="서울병원")*입력_파견수련계획!$W$4:$W$803))+IF($AG366="서울병원",MAX(0,DAY(EOMONTH(출력_요약!$B$3,0))-N($X366)),0)))</f>
        <v/>
      </c>
      <c r="AI366" s="17">
        <f>IF($B366="","",IF($AQ366&lt;&gt;"",N($AR366),IF(TRIM($J366&amp;"")="",0,SUMPRODUCT((입력_파견수련계획!$Q$4:$Q$803=TRIM($J366&amp;""))*(입력_파견수련계획!$S$4:$S$803="구리병원")*입력_파견수련계획!$W$4:$W$803))+IF($AG366="구리병원",MAX(0,DAY(EOMONTH(출력_요약!$B$3,0))-N($X366)),0)))</f>
        <v/>
      </c>
      <c r="AJ366" s="10">
        <f>IF(OR($B366="",TRIM($J366&amp;"")=""),"",IFERROR(MATCH(TRIM($J366&amp;"")&amp;"|월",입력_파견수련계획!$Z$4:$Z$803,0),""))</f>
        <v/>
      </c>
      <c r="AK366" s="10">
        <f>IF(OR($B366="",TRIM($J366&amp;"")=""),"",IFERROR(MATCH(TRIM($J366&amp;"")&amp;"|다기관",입력_파견수련계획!$AE$4:$AE$803,0),""))</f>
        <v/>
      </c>
      <c r="AL366" s="10">
        <f>IF($AK366="","","다기관 "&amp;TEXT(INDEX(입력_파견수련계획!$AB$4:$AB$803,$AK366),"yyyy-mm-dd")&amp;"~"&amp;IF(ISNUMBER(INDEX(입력_파견수련계획!$AC$4:$AC$803,$AK366)),TEXT(INDEX(입력_파견수련계획!$AC$4:$AC$803,$AK366),"yyyy-mm-dd"),""))</f>
        <v/>
      </c>
      <c r="AM366" s="10">
        <f>IF($Y366="서울병원",COUNTIF($Y$2:$Y366,"서울병원"),"")</f>
        <v/>
      </c>
      <c r="AN366" s="10">
        <f>IF(LEFT($Y366,1)="⚠",COUNTIF($Y$2:$Y366,"⚠*"),"")</f>
        <v/>
      </c>
      <c r="AO366" s="10">
        <f>IF(OR($B366="",$Y366=""),"",IF(IF(TRIM($J366&amp;"")="",0,SUMPRODUCT((입력_파견수련계획!$Q$4:$Q$803=TRIM($J366&amp;""))*입력_파견수련계획!$AD$4:$AD$803))&gt;0,"다기관 기간 → 소속병원 지급",IF(AND(N($X366)&lt;=0,$AQ366=""),"파견 없음 → 그 달 근무병원 지급",IF($AH366+$AI366=DAY(EOMONTH(출력_요약!$B$3,0)),"서울 "&amp;$AH366&amp;"일 / 구리 "&amp;$AI366&amp;"일"&amp;IF($AQ366&lt;&gt;""," (구리 근무자명단 반영)","")&amp;" → 15일 이상 근무 병원 지급","타 병원 포함 → "&amp;IF($AJ366="","소속",INDEX(입력_파견수련계획!$T$4:$T$803,$AJ366))&amp;" 규칙"))))</f>
        <v/>
      </c>
      <c r="AP366" s="10">
        <f>IF($B366="","",$C366&amp;"|"&amp;$F366)</f>
        <v/>
      </c>
      <c r="AQ366" s="10">
        <f>IF($B366="","",IFERROR(MATCH(ROW()-1,출력_구리근무자!$K$6:$K$305,0),""))</f>
        <v/>
      </c>
      <c r="AR366" s="10">
        <f>IF($AQ366="","",INDEX(출력_구리근무자!$H$6:$H$305,$AQ366))</f>
        <v/>
      </c>
    </row>
    <row r="367">
      <c r="A367" s="10">
        <f>IF(B367="","",ROW()-1)</f>
        <v/>
      </c>
      <c r="B367" s="19" t="n"/>
      <c r="C367" s="10">
        <f>IF($AB367="","",IF(INDEX(입력_기본자료!$C$2:$C$1001,$AB367)="","",INDEX(입력_기본자료!$C$2:$C$1001,$AB367)))</f>
        <v/>
      </c>
      <c r="D367" s="10">
        <f>IF($AB367="","",IF(INDEX(입력_기본자료!$J$2:$J$1001,$AB367)="","",INDEX(입력_기본자료!$J$2:$J$1001,$AB367)))</f>
        <v/>
      </c>
      <c r="E367" s="11">
        <f>IF($AB367="","",IF(INDEX(입력_기본자료!$K$2:$K$1001,$AB367)="","",IF(NOT(ISNUMBER(INDEX(입력_기본자료!$K$2:$K$1001,$AB367))),INDEX(입력_기본자료!$K$2:$K$1001,$AB367),IF(INDEX(입력_기본자료!$K$2:$K$1001,$AB367)&lt;1000000,INDEX(입력_기본자료!$K$2:$K$1001,$AB367),IF(AND(INDEX(입력_기본자료!$K$2:$K$1001,$AB367)&gt;=10000101,INT(MOD(INDEX(입력_기본자료!$K$2:$K$1001,$AB367),10000)/100)&gt;=1,INT(MOD(INDEX(입력_기본자료!$K$2:$K$1001,$AB367),10000)/100)&lt;=12,MOD(INDEX(입력_기본자료!$K$2:$K$1001,$AB367),100)&gt;=1,MOD(INDEX(입력_기본자료!$K$2:$K$1001,$AB367),100)&lt;=31),DATE(INT(INDEX(입력_기본자료!$K$2:$K$1001,$AB367)/10000),INT(MOD(INDEX(입력_기본자료!$K$2:$K$1001,$AB367),10000)/100),MOD(INDEX(입력_기본자료!$K$2:$K$1001,$AB367),100)),INDEX(입력_기본자료!$K$2:$K$1001,$AB367)&amp;"")))))</f>
        <v/>
      </c>
      <c r="F367" s="10">
        <f>IF($AB367="","",IF(INDEX(입력_기본자료!$D$2:$D$1001,$AB367)="","",INDEX(입력_기본자료!$D$2:$D$1001,$AB367)))</f>
        <v/>
      </c>
      <c r="G367" s="10">
        <f>IF($AB367="","",IF(INDEX(입력_기본자료!$E$2:$E$1001,$AB367)="","",INDEX(입력_기본자료!$E$2:$E$1001,$AB367)))</f>
        <v/>
      </c>
      <c r="H367" s="10">
        <f>IF($AB367="","",IF(INDEX(입력_기본자료!$F$2:$F$1001,$AB367)="","",INDEX(입력_기본자료!$F$2:$F$1001,$AB367)))</f>
        <v/>
      </c>
      <c r="I367" s="11">
        <f>IF($AB367="","",IF(INDEX(입력_기본자료!$G$2:$G$1001,$AB367)="","",IF(NOT(ISNUMBER(INDEX(입력_기본자료!$G$2:$G$1001,$AB367))),INDEX(입력_기본자료!$G$2:$G$1001,$AB367),IF(INDEX(입력_기본자료!$G$2:$G$1001,$AB367)&lt;1000000,INDEX(입력_기본자료!$G$2:$G$1001,$AB367),IF(AND(INDEX(입력_기본자료!$G$2:$G$1001,$AB367)&gt;=10000101,INT(MOD(INDEX(입력_기본자료!$G$2:$G$1001,$AB367),10000)/100)&gt;=1,INT(MOD(INDEX(입력_기본자료!$G$2:$G$1001,$AB367),10000)/100)&lt;=12,MOD(INDEX(입력_기본자료!$G$2:$G$1001,$AB367),100)&gt;=1,MOD(INDEX(입력_기본자료!$G$2:$G$1001,$AB367),100)&lt;=31),DATE(INT(INDEX(입력_기본자료!$G$2:$G$1001,$AB367)/10000),INT(MOD(INDEX(입력_기본자료!$G$2:$G$1001,$AB367),10000)/100),MOD(INDEX(입력_기본자료!$G$2:$G$1001,$AB367),100)),INDEX(입력_기본자료!$G$2:$G$1001,$AB367)&amp;"")))))</f>
        <v/>
      </c>
      <c r="J367" s="10">
        <f>IF($AB367="","",IF(INDEX(입력_기본자료!$H$2:$H$1001,$AB367)="","",INDEX(입력_기본자료!$H$2:$H$1001,$AB367)))</f>
        <v/>
      </c>
      <c r="K367" s="10">
        <f>IF($AB367="","",IF(INDEX(입력_기본자료!$I$2:$I$1001,$AB367)="","",INDEX(입력_기본자료!$I$2:$I$1001,$AB367)))</f>
        <v/>
      </c>
      <c r="L367" s="10">
        <f>IF($AB367="","",IF(INDEX(입력_기본자료!$A$2:$A$1001,$AB367)="","",INDEX(입력_기본자료!$A$2:$A$1001,$AB367)))</f>
        <v/>
      </c>
      <c r="M367" s="15" t="n"/>
      <c r="N367" s="10">
        <f>IF($B367="","",IF(AND($U367="파견중",$Q367&lt;&gt;""),$Q367,IF(AND($AD367&lt;&gt;"",LEFT($AD367,1)&lt;&gt;"⚠"),LEFT($AD367,FIND(" ",$AD367)-1),IF($H367="","",IF(RIGHT($H367,2)="병원",$H367,$H367&amp;"병원")))))</f>
        <v/>
      </c>
      <c r="O367" s="10">
        <f>IF($B367="","",IF(AND($U367="파견중",$Q367&lt;&gt;""),IF($R367&lt;&gt;"",$R367,"파견과 미입력"),IF(AND($AD367&lt;&gt;"",LEFT($AD367,1)&lt;&gt;"⚠"),MID($AD367,FIND(" ",$AD367)+1,60),IF($F367="","",IF($F367="인턴","수련교육부(인턴)",$F367)))))</f>
        <v/>
      </c>
      <c r="P367" s="10">
        <f>IF($B367="","",IF($AK367&lt;&gt;"",IF(AND(TODAY()&gt;=INDEX(입력_파견수련계획!$AB$4:$AB$803,$AK367),OR(NOT(ISNUMBER(INDEX(입력_파견수련계획!$AC$4:$AC$803,$AK367))),TODAY()&lt;=INDEX(입력_파견수련계획!$AC$4:$AC$803,$AK367))),"다기관",IF($AF367="","",INDEX(입력_파견수련계획!$T$4:$T$803,$AF367))),IF($AF367="","",INDEX(입력_파견수련계획!$T$4:$T$803,$AF367))))</f>
        <v/>
      </c>
      <c r="Q367" s="10">
        <f>IF($AF367="","",INDEX(입력_파견수련계획!$S$4:$S$803,$AF367))</f>
        <v/>
      </c>
      <c r="R367" s="10">
        <f>IF($AF367="","",INDEX(입력_파견수련계획!$U$4:$U$803,$AF367))</f>
        <v/>
      </c>
      <c r="S367" s="11">
        <f>IF($AF367="","",IF(INDEX(입력_파견수련계획!$H$4:$H$803,$AF367)="","",INDEX(입력_파견수련계획!$H$4:$H$803,$AF367)))</f>
        <v/>
      </c>
      <c r="T367" s="11">
        <f>IF($AF367="","",IF(INDEX(입력_파견수련계획!$I$4:$I$803,$AF367)="","",INDEX(입력_파견수련계획!$I$4:$I$803,$AF367)))</f>
        <v/>
      </c>
      <c r="U367" s="10">
        <f>IF($AF367="","",INDEX(입력_파견수련계획!$X$4:$X$803,$AF367))</f>
        <v/>
      </c>
      <c r="V367" s="17">
        <f>IF($AF367="","",INDEX(입력_파견수련계획!$V$4:$V$803,$AF367))</f>
        <v/>
      </c>
      <c r="W367" s="17">
        <f>IF(AND($U367="파견중",$T367&lt;&gt;""),$T367-TODAY(),"")</f>
        <v/>
      </c>
      <c r="X367" s="17">
        <f>IF(OR($B367="",TRIM($J367&amp;"")=""),"",SUMPRODUCT((입력_파견수련계획!$Q$4:$Q$803=TRIM($J367&amp;""))*입력_파견수련계획!$W$4:$W$803))</f>
        <v/>
      </c>
      <c r="Y367" s="10">
        <f>IF($B367="","",IF($AG367="","",IF(IF(TRIM($J367&amp;"")="",0,SUMPRODUCT((입력_파견수련계획!$Q$4:$Q$803=TRIM($J367&amp;""))*입력_파견수련계획!$AD$4:$AD$803))&gt;0,$AE367,IF(AND(N($X367)&lt;=0,$AQ367=""),$AG367,IF($AH367+$AI367=DAY(EOMONTH(출력_요약!$B$3,0)),IF(AND($AH367&gt;=출력_요약!$E$3,$AI367&lt;출력_요약!$E$3),"서울병원",IF(AND($AI367&gt;=출력_요약!$E$3,$AH367&lt;출력_요약!$E$3),"구리병원","⚠15일 판정불가(서울 "&amp;$AH367&amp;"일/구리 "&amp;$AI367&amp;"일)")),IF($AJ367="",$AE367,IF(INDEX(입력_파견수련계획!$T$4:$T$803,$AJ367)="통합수련",INDEX(입력_파견수련계획!$S$4:$S$803,$AJ367),$AE367)))))))</f>
        <v/>
      </c>
      <c r="Z367" s="20">
        <f>IF($B367="","",IF($AB367="","기본자료에 없는 사번",IF(COUNTIF($B$2:$B$401,$B367)&gt;1,"중복 사번",IF($AE367="","소속(입사장소) 입력",IF(IF(TRIM($J367&amp;"")="",0,SUMPRODUCT((입력_파견수련계획!$Q$4:$Q$803=TRIM($J367&amp;""))*(입력_파견수련계획!$AA$4:$AA$803&lt;&gt;"")))&gt;0,"파견수련계획 입력오류 확인",IF(LEFT($Y367,1)="⚠","서울·구리 15일 판정 불가(양쪽 모두 이상/미만)",IF(IF($AC367="",0,N(INDEX(입력_인턴근무계획!$T$3:$T$402,$AC367)))&gt;0,"인턴계획 입력오류 확인",IF(AND($AQ367&lt;&gt;"",$AG367&lt;&gt;"구리병원",IF(TRIM($J367&amp;"")="",0,SUMPRODUCT((입력_파견수련계획!$Q$4:$Q$803=TRIM($J367&amp;""))*(입력_파견수련계획!$S$4:$S$803="구리병원")*입력_파견수련계획!$W$4:$W$803))=0),"구리 근무자명단에만 있음(파견수련계획 확인)",IF(AND($AC367&lt;&gt;"",$U367&lt;&gt;"파견중",$N367&lt;&gt;$AE367),"인턴 타지역 근무: 파견 여부 확인","정상")))))))))</f>
        <v/>
      </c>
      <c r="AA367" s="5" t="n"/>
      <c r="AB367" s="10">
        <f>IF($B367="","",IFERROR(MATCH($B367,입력_기본자료!$B$2:$B$1001,0),IFERROR(MATCH($B367&amp;"",입력_기본자료!$B$2:$B$1001,0),IFERROR(MATCH(VALUE($B367),입력_기본자료!$B$2:$B$1001,0),""))))</f>
        <v/>
      </c>
      <c r="AC367" s="10">
        <f>IF($B367="","",IFERROR(MATCH($B367,입력_인턴근무계획!$D$3:$D$402,0),IFERROR(MATCH($B367&amp;"",입력_인턴근무계획!$D$3:$D$402,0),IFERROR(MATCH(VALUE($B367),입력_인턴근무계획!$D$3:$D$402,0),""))))</f>
        <v/>
      </c>
      <c r="AD367" s="10">
        <f>IF(OR($AC367="",출력_인턴현황!$G$3=""),"",INDEX(입력_인턴근무계획!$M$3:$R$402,$AC367,출력_인턴현황!$G$3)&amp;"")</f>
        <v/>
      </c>
      <c r="AE367" s="10">
        <f>IF($B367="","",IF($M367&lt;&gt;"",$M367,IF(IF($AQ367="",FALSE,INDEX(출력_구리근무자!$J$6:$J$305,$AQ367)="구리독자"),"구리병원",IF($AF367&lt;&gt;"",IF(LEFT(INDEX(입력_파견수련계획!$R$4:$R$803,$AF367),1)&lt;&gt;"⚠",INDEX(입력_파견수련계획!$R$4:$R$803,$AF367),IF($H367="","",IF(RIGHT($H367,2)="병원",$H367,$H367&amp;"병원"))),IF($H367="","",IF(RIGHT($H367,2)="병원",$H367,$H367&amp;"병원"))))))</f>
        <v/>
      </c>
      <c r="AF367" s="10">
        <f>IF(OR($B367="",TRIM($J367&amp;"")=""),"",IFERROR(MATCH(TRIM($J367&amp;"")&amp;"|파견중",입력_파견수련계획!$Y$4:$Y$803,0),IFERROR(MATCH(TRIM($J367&amp;"")&amp;"|파견예정",입력_파견수련계획!$Y$4:$Y$803,0),IFERROR(MATCH(TRIM($J367&amp;"")&amp;"|파견종료",입력_파견수련계획!$Y$4:$Y$803,0),""))))</f>
        <v/>
      </c>
      <c r="AG367" s="10">
        <f>IF($B367="","",IF(AND(IF(OR($AC367="",출력_인턴현황!$K$2=""),"",INDEX(입력_인턴근무계획!$M$3:$R$402,$AC367,출력_인턴현황!$K$2)&amp;"")&lt;&gt;"",LEFT(IF(OR($AC367="",출력_인턴현황!$K$2=""),"",INDEX(입력_인턴근무계획!$M$3:$R$402,$AC367,출력_인턴현황!$K$2)&amp;""),1)&lt;&gt;"⚠"),LEFT(IF(OR($AC367="",출력_인턴현황!$K$2=""),"",INDEX(입력_인턴근무계획!$M$3:$R$402,$AC367,출력_인턴현황!$K$2)&amp;""),FIND(" ",IF(OR($AC367="",출력_인턴현황!$K$2=""),"",INDEX(입력_인턴근무계획!$M$3:$R$402,$AC367,출력_인턴현황!$K$2)&amp;""))-1),$AE367))</f>
        <v/>
      </c>
      <c r="AH367" s="17">
        <f>IF($B367="","",IF($AQ367&lt;&gt;"",MAX(0,DAY(EOMONTH(출력_요약!$B$3,0))-N($AR367)),IF(TRIM($J367&amp;"")="",0,SUMPRODUCT((입력_파견수련계획!$Q$4:$Q$803=TRIM($J367&amp;""))*(입력_파견수련계획!$S$4:$S$803="서울병원")*입력_파견수련계획!$W$4:$W$803))+IF($AG367="서울병원",MAX(0,DAY(EOMONTH(출력_요약!$B$3,0))-N($X367)),0)))</f>
        <v/>
      </c>
      <c r="AI367" s="17">
        <f>IF($B367="","",IF($AQ367&lt;&gt;"",N($AR367),IF(TRIM($J367&amp;"")="",0,SUMPRODUCT((입력_파견수련계획!$Q$4:$Q$803=TRIM($J367&amp;""))*(입력_파견수련계획!$S$4:$S$803="구리병원")*입력_파견수련계획!$W$4:$W$803))+IF($AG367="구리병원",MAX(0,DAY(EOMONTH(출력_요약!$B$3,0))-N($X367)),0)))</f>
        <v/>
      </c>
      <c r="AJ367" s="10">
        <f>IF(OR($B367="",TRIM($J367&amp;"")=""),"",IFERROR(MATCH(TRIM($J367&amp;"")&amp;"|월",입력_파견수련계획!$Z$4:$Z$803,0),""))</f>
        <v/>
      </c>
      <c r="AK367" s="10">
        <f>IF(OR($B367="",TRIM($J367&amp;"")=""),"",IFERROR(MATCH(TRIM($J367&amp;"")&amp;"|다기관",입력_파견수련계획!$AE$4:$AE$803,0),""))</f>
        <v/>
      </c>
      <c r="AL367" s="10">
        <f>IF($AK367="","","다기관 "&amp;TEXT(INDEX(입력_파견수련계획!$AB$4:$AB$803,$AK367),"yyyy-mm-dd")&amp;"~"&amp;IF(ISNUMBER(INDEX(입력_파견수련계획!$AC$4:$AC$803,$AK367)),TEXT(INDEX(입력_파견수련계획!$AC$4:$AC$803,$AK367),"yyyy-mm-dd"),""))</f>
        <v/>
      </c>
      <c r="AM367" s="10">
        <f>IF($Y367="서울병원",COUNTIF($Y$2:$Y367,"서울병원"),"")</f>
        <v/>
      </c>
      <c r="AN367" s="10">
        <f>IF(LEFT($Y367,1)="⚠",COUNTIF($Y$2:$Y367,"⚠*"),"")</f>
        <v/>
      </c>
      <c r="AO367" s="10">
        <f>IF(OR($B367="",$Y367=""),"",IF(IF(TRIM($J367&amp;"")="",0,SUMPRODUCT((입력_파견수련계획!$Q$4:$Q$803=TRIM($J367&amp;""))*입력_파견수련계획!$AD$4:$AD$803))&gt;0,"다기관 기간 → 소속병원 지급",IF(AND(N($X367)&lt;=0,$AQ367=""),"파견 없음 → 그 달 근무병원 지급",IF($AH367+$AI367=DAY(EOMONTH(출력_요약!$B$3,0)),"서울 "&amp;$AH367&amp;"일 / 구리 "&amp;$AI367&amp;"일"&amp;IF($AQ367&lt;&gt;""," (구리 근무자명단 반영)","")&amp;" → 15일 이상 근무 병원 지급","타 병원 포함 → "&amp;IF($AJ367="","소속",INDEX(입력_파견수련계획!$T$4:$T$803,$AJ367))&amp;" 규칙"))))</f>
        <v/>
      </c>
      <c r="AP367" s="10">
        <f>IF($B367="","",$C367&amp;"|"&amp;$F367)</f>
        <v/>
      </c>
      <c r="AQ367" s="10">
        <f>IF($B367="","",IFERROR(MATCH(ROW()-1,출력_구리근무자!$K$6:$K$305,0),""))</f>
        <v/>
      </c>
      <c r="AR367" s="10">
        <f>IF($AQ367="","",INDEX(출력_구리근무자!$H$6:$H$305,$AQ367))</f>
        <v/>
      </c>
    </row>
    <row r="368">
      <c r="A368" s="10">
        <f>IF(B368="","",ROW()-1)</f>
        <v/>
      </c>
      <c r="B368" s="19" t="n"/>
      <c r="C368" s="10">
        <f>IF($AB368="","",IF(INDEX(입력_기본자료!$C$2:$C$1001,$AB368)="","",INDEX(입력_기본자료!$C$2:$C$1001,$AB368)))</f>
        <v/>
      </c>
      <c r="D368" s="10">
        <f>IF($AB368="","",IF(INDEX(입력_기본자료!$J$2:$J$1001,$AB368)="","",INDEX(입력_기본자료!$J$2:$J$1001,$AB368)))</f>
        <v/>
      </c>
      <c r="E368" s="11">
        <f>IF($AB368="","",IF(INDEX(입력_기본자료!$K$2:$K$1001,$AB368)="","",IF(NOT(ISNUMBER(INDEX(입력_기본자료!$K$2:$K$1001,$AB368))),INDEX(입력_기본자료!$K$2:$K$1001,$AB368),IF(INDEX(입력_기본자료!$K$2:$K$1001,$AB368)&lt;1000000,INDEX(입력_기본자료!$K$2:$K$1001,$AB368),IF(AND(INDEX(입력_기본자료!$K$2:$K$1001,$AB368)&gt;=10000101,INT(MOD(INDEX(입력_기본자료!$K$2:$K$1001,$AB368),10000)/100)&gt;=1,INT(MOD(INDEX(입력_기본자료!$K$2:$K$1001,$AB368),10000)/100)&lt;=12,MOD(INDEX(입력_기본자료!$K$2:$K$1001,$AB368),100)&gt;=1,MOD(INDEX(입력_기본자료!$K$2:$K$1001,$AB368),100)&lt;=31),DATE(INT(INDEX(입력_기본자료!$K$2:$K$1001,$AB368)/10000),INT(MOD(INDEX(입력_기본자료!$K$2:$K$1001,$AB368),10000)/100),MOD(INDEX(입력_기본자료!$K$2:$K$1001,$AB368),100)),INDEX(입력_기본자료!$K$2:$K$1001,$AB368)&amp;"")))))</f>
        <v/>
      </c>
      <c r="F368" s="10">
        <f>IF($AB368="","",IF(INDEX(입력_기본자료!$D$2:$D$1001,$AB368)="","",INDEX(입력_기본자료!$D$2:$D$1001,$AB368)))</f>
        <v/>
      </c>
      <c r="G368" s="10">
        <f>IF($AB368="","",IF(INDEX(입력_기본자료!$E$2:$E$1001,$AB368)="","",INDEX(입력_기본자료!$E$2:$E$1001,$AB368)))</f>
        <v/>
      </c>
      <c r="H368" s="10">
        <f>IF($AB368="","",IF(INDEX(입력_기본자료!$F$2:$F$1001,$AB368)="","",INDEX(입력_기본자료!$F$2:$F$1001,$AB368)))</f>
        <v/>
      </c>
      <c r="I368" s="11">
        <f>IF($AB368="","",IF(INDEX(입력_기본자료!$G$2:$G$1001,$AB368)="","",IF(NOT(ISNUMBER(INDEX(입력_기본자료!$G$2:$G$1001,$AB368))),INDEX(입력_기본자료!$G$2:$G$1001,$AB368),IF(INDEX(입력_기본자료!$G$2:$G$1001,$AB368)&lt;1000000,INDEX(입력_기본자료!$G$2:$G$1001,$AB368),IF(AND(INDEX(입력_기본자료!$G$2:$G$1001,$AB368)&gt;=10000101,INT(MOD(INDEX(입력_기본자료!$G$2:$G$1001,$AB368),10000)/100)&gt;=1,INT(MOD(INDEX(입력_기본자료!$G$2:$G$1001,$AB368),10000)/100)&lt;=12,MOD(INDEX(입력_기본자료!$G$2:$G$1001,$AB368),100)&gt;=1,MOD(INDEX(입력_기본자료!$G$2:$G$1001,$AB368),100)&lt;=31),DATE(INT(INDEX(입력_기본자료!$G$2:$G$1001,$AB368)/10000),INT(MOD(INDEX(입력_기본자료!$G$2:$G$1001,$AB368),10000)/100),MOD(INDEX(입력_기본자료!$G$2:$G$1001,$AB368),100)),INDEX(입력_기본자료!$G$2:$G$1001,$AB368)&amp;"")))))</f>
        <v/>
      </c>
      <c r="J368" s="10">
        <f>IF($AB368="","",IF(INDEX(입력_기본자료!$H$2:$H$1001,$AB368)="","",INDEX(입력_기본자료!$H$2:$H$1001,$AB368)))</f>
        <v/>
      </c>
      <c r="K368" s="10">
        <f>IF($AB368="","",IF(INDEX(입력_기본자료!$I$2:$I$1001,$AB368)="","",INDEX(입력_기본자료!$I$2:$I$1001,$AB368)))</f>
        <v/>
      </c>
      <c r="L368" s="10">
        <f>IF($AB368="","",IF(INDEX(입력_기본자료!$A$2:$A$1001,$AB368)="","",INDEX(입력_기본자료!$A$2:$A$1001,$AB368)))</f>
        <v/>
      </c>
      <c r="M368" s="15" t="n"/>
      <c r="N368" s="10">
        <f>IF($B368="","",IF(AND($U368="파견중",$Q368&lt;&gt;""),$Q368,IF(AND($AD368&lt;&gt;"",LEFT($AD368,1)&lt;&gt;"⚠"),LEFT($AD368,FIND(" ",$AD368)-1),IF($H368="","",IF(RIGHT($H368,2)="병원",$H368,$H368&amp;"병원")))))</f>
        <v/>
      </c>
      <c r="O368" s="10">
        <f>IF($B368="","",IF(AND($U368="파견중",$Q368&lt;&gt;""),IF($R368&lt;&gt;"",$R368,"파견과 미입력"),IF(AND($AD368&lt;&gt;"",LEFT($AD368,1)&lt;&gt;"⚠"),MID($AD368,FIND(" ",$AD368)+1,60),IF($F368="","",IF($F368="인턴","수련교육부(인턴)",$F368)))))</f>
        <v/>
      </c>
      <c r="P368" s="10">
        <f>IF($B368="","",IF($AK368&lt;&gt;"",IF(AND(TODAY()&gt;=INDEX(입력_파견수련계획!$AB$4:$AB$803,$AK368),OR(NOT(ISNUMBER(INDEX(입력_파견수련계획!$AC$4:$AC$803,$AK368))),TODAY()&lt;=INDEX(입력_파견수련계획!$AC$4:$AC$803,$AK368))),"다기관",IF($AF368="","",INDEX(입력_파견수련계획!$T$4:$T$803,$AF368))),IF($AF368="","",INDEX(입력_파견수련계획!$T$4:$T$803,$AF368))))</f>
        <v/>
      </c>
      <c r="Q368" s="10">
        <f>IF($AF368="","",INDEX(입력_파견수련계획!$S$4:$S$803,$AF368))</f>
        <v/>
      </c>
      <c r="R368" s="10">
        <f>IF($AF368="","",INDEX(입력_파견수련계획!$U$4:$U$803,$AF368))</f>
        <v/>
      </c>
      <c r="S368" s="11">
        <f>IF($AF368="","",IF(INDEX(입력_파견수련계획!$H$4:$H$803,$AF368)="","",INDEX(입력_파견수련계획!$H$4:$H$803,$AF368)))</f>
        <v/>
      </c>
      <c r="T368" s="11">
        <f>IF($AF368="","",IF(INDEX(입력_파견수련계획!$I$4:$I$803,$AF368)="","",INDEX(입력_파견수련계획!$I$4:$I$803,$AF368)))</f>
        <v/>
      </c>
      <c r="U368" s="10">
        <f>IF($AF368="","",INDEX(입력_파견수련계획!$X$4:$X$803,$AF368))</f>
        <v/>
      </c>
      <c r="V368" s="17">
        <f>IF($AF368="","",INDEX(입력_파견수련계획!$V$4:$V$803,$AF368))</f>
        <v/>
      </c>
      <c r="W368" s="17">
        <f>IF(AND($U368="파견중",$T368&lt;&gt;""),$T368-TODAY(),"")</f>
        <v/>
      </c>
      <c r="X368" s="17">
        <f>IF(OR($B368="",TRIM($J368&amp;"")=""),"",SUMPRODUCT((입력_파견수련계획!$Q$4:$Q$803=TRIM($J368&amp;""))*입력_파견수련계획!$W$4:$W$803))</f>
        <v/>
      </c>
      <c r="Y368" s="10">
        <f>IF($B368="","",IF($AG368="","",IF(IF(TRIM($J368&amp;"")="",0,SUMPRODUCT((입력_파견수련계획!$Q$4:$Q$803=TRIM($J368&amp;""))*입력_파견수련계획!$AD$4:$AD$803))&gt;0,$AE368,IF(AND(N($X368)&lt;=0,$AQ368=""),$AG368,IF($AH368+$AI368=DAY(EOMONTH(출력_요약!$B$3,0)),IF(AND($AH368&gt;=출력_요약!$E$3,$AI368&lt;출력_요약!$E$3),"서울병원",IF(AND($AI368&gt;=출력_요약!$E$3,$AH368&lt;출력_요약!$E$3),"구리병원","⚠15일 판정불가(서울 "&amp;$AH368&amp;"일/구리 "&amp;$AI368&amp;"일)")),IF($AJ368="",$AE368,IF(INDEX(입력_파견수련계획!$T$4:$T$803,$AJ368)="통합수련",INDEX(입력_파견수련계획!$S$4:$S$803,$AJ368),$AE368)))))))</f>
        <v/>
      </c>
      <c r="Z368" s="20">
        <f>IF($B368="","",IF($AB368="","기본자료에 없는 사번",IF(COUNTIF($B$2:$B$401,$B368)&gt;1,"중복 사번",IF($AE368="","소속(입사장소) 입력",IF(IF(TRIM($J368&amp;"")="",0,SUMPRODUCT((입력_파견수련계획!$Q$4:$Q$803=TRIM($J368&amp;""))*(입력_파견수련계획!$AA$4:$AA$803&lt;&gt;"")))&gt;0,"파견수련계획 입력오류 확인",IF(LEFT($Y368,1)="⚠","서울·구리 15일 판정 불가(양쪽 모두 이상/미만)",IF(IF($AC368="",0,N(INDEX(입력_인턴근무계획!$T$3:$T$402,$AC368)))&gt;0,"인턴계획 입력오류 확인",IF(AND($AQ368&lt;&gt;"",$AG368&lt;&gt;"구리병원",IF(TRIM($J368&amp;"")="",0,SUMPRODUCT((입력_파견수련계획!$Q$4:$Q$803=TRIM($J368&amp;""))*(입력_파견수련계획!$S$4:$S$803="구리병원")*입력_파견수련계획!$W$4:$W$803))=0),"구리 근무자명단에만 있음(파견수련계획 확인)",IF(AND($AC368&lt;&gt;"",$U368&lt;&gt;"파견중",$N368&lt;&gt;$AE368),"인턴 타지역 근무: 파견 여부 확인","정상")))))))))</f>
        <v/>
      </c>
      <c r="AA368" s="5" t="n"/>
      <c r="AB368" s="10">
        <f>IF($B368="","",IFERROR(MATCH($B368,입력_기본자료!$B$2:$B$1001,0),IFERROR(MATCH($B368&amp;"",입력_기본자료!$B$2:$B$1001,0),IFERROR(MATCH(VALUE($B368),입력_기본자료!$B$2:$B$1001,0),""))))</f>
        <v/>
      </c>
      <c r="AC368" s="10">
        <f>IF($B368="","",IFERROR(MATCH($B368,입력_인턴근무계획!$D$3:$D$402,0),IFERROR(MATCH($B368&amp;"",입력_인턴근무계획!$D$3:$D$402,0),IFERROR(MATCH(VALUE($B368),입력_인턴근무계획!$D$3:$D$402,0),""))))</f>
        <v/>
      </c>
      <c r="AD368" s="10">
        <f>IF(OR($AC368="",출력_인턴현황!$G$3=""),"",INDEX(입력_인턴근무계획!$M$3:$R$402,$AC368,출력_인턴현황!$G$3)&amp;"")</f>
        <v/>
      </c>
      <c r="AE368" s="10">
        <f>IF($B368="","",IF($M368&lt;&gt;"",$M368,IF(IF($AQ368="",FALSE,INDEX(출력_구리근무자!$J$6:$J$305,$AQ368)="구리독자"),"구리병원",IF($AF368&lt;&gt;"",IF(LEFT(INDEX(입력_파견수련계획!$R$4:$R$803,$AF368),1)&lt;&gt;"⚠",INDEX(입력_파견수련계획!$R$4:$R$803,$AF368),IF($H368="","",IF(RIGHT($H368,2)="병원",$H368,$H368&amp;"병원"))),IF($H368="","",IF(RIGHT($H368,2)="병원",$H368,$H368&amp;"병원"))))))</f>
        <v/>
      </c>
      <c r="AF368" s="10">
        <f>IF(OR($B368="",TRIM($J368&amp;"")=""),"",IFERROR(MATCH(TRIM($J368&amp;"")&amp;"|파견중",입력_파견수련계획!$Y$4:$Y$803,0),IFERROR(MATCH(TRIM($J368&amp;"")&amp;"|파견예정",입력_파견수련계획!$Y$4:$Y$803,0),IFERROR(MATCH(TRIM($J368&amp;"")&amp;"|파견종료",입력_파견수련계획!$Y$4:$Y$803,0),""))))</f>
        <v/>
      </c>
      <c r="AG368" s="10">
        <f>IF($B368="","",IF(AND(IF(OR($AC368="",출력_인턴현황!$K$2=""),"",INDEX(입력_인턴근무계획!$M$3:$R$402,$AC368,출력_인턴현황!$K$2)&amp;"")&lt;&gt;"",LEFT(IF(OR($AC368="",출력_인턴현황!$K$2=""),"",INDEX(입력_인턴근무계획!$M$3:$R$402,$AC368,출력_인턴현황!$K$2)&amp;""),1)&lt;&gt;"⚠"),LEFT(IF(OR($AC368="",출력_인턴현황!$K$2=""),"",INDEX(입력_인턴근무계획!$M$3:$R$402,$AC368,출력_인턴현황!$K$2)&amp;""),FIND(" ",IF(OR($AC368="",출력_인턴현황!$K$2=""),"",INDEX(입력_인턴근무계획!$M$3:$R$402,$AC368,출력_인턴현황!$K$2)&amp;""))-1),$AE368))</f>
        <v/>
      </c>
      <c r="AH368" s="17">
        <f>IF($B368="","",IF($AQ368&lt;&gt;"",MAX(0,DAY(EOMONTH(출력_요약!$B$3,0))-N($AR368)),IF(TRIM($J368&amp;"")="",0,SUMPRODUCT((입력_파견수련계획!$Q$4:$Q$803=TRIM($J368&amp;""))*(입력_파견수련계획!$S$4:$S$803="서울병원")*입력_파견수련계획!$W$4:$W$803))+IF($AG368="서울병원",MAX(0,DAY(EOMONTH(출력_요약!$B$3,0))-N($X368)),0)))</f>
        <v/>
      </c>
      <c r="AI368" s="17">
        <f>IF($B368="","",IF($AQ368&lt;&gt;"",N($AR368),IF(TRIM($J368&amp;"")="",0,SUMPRODUCT((입력_파견수련계획!$Q$4:$Q$803=TRIM($J368&amp;""))*(입력_파견수련계획!$S$4:$S$803="구리병원")*입력_파견수련계획!$W$4:$W$803))+IF($AG368="구리병원",MAX(0,DAY(EOMONTH(출력_요약!$B$3,0))-N($X368)),0)))</f>
        <v/>
      </c>
      <c r="AJ368" s="10">
        <f>IF(OR($B368="",TRIM($J368&amp;"")=""),"",IFERROR(MATCH(TRIM($J368&amp;"")&amp;"|월",입력_파견수련계획!$Z$4:$Z$803,0),""))</f>
        <v/>
      </c>
      <c r="AK368" s="10">
        <f>IF(OR($B368="",TRIM($J368&amp;"")=""),"",IFERROR(MATCH(TRIM($J368&amp;"")&amp;"|다기관",입력_파견수련계획!$AE$4:$AE$803,0),""))</f>
        <v/>
      </c>
      <c r="AL368" s="10">
        <f>IF($AK368="","","다기관 "&amp;TEXT(INDEX(입력_파견수련계획!$AB$4:$AB$803,$AK368),"yyyy-mm-dd")&amp;"~"&amp;IF(ISNUMBER(INDEX(입력_파견수련계획!$AC$4:$AC$803,$AK368)),TEXT(INDEX(입력_파견수련계획!$AC$4:$AC$803,$AK368),"yyyy-mm-dd"),""))</f>
        <v/>
      </c>
      <c r="AM368" s="10">
        <f>IF($Y368="서울병원",COUNTIF($Y$2:$Y368,"서울병원"),"")</f>
        <v/>
      </c>
      <c r="AN368" s="10">
        <f>IF(LEFT($Y368,1)="⚠",COUNTIF($Y$2:$Y368,"⚠*"),"")</f>
        <v/>
      </c>
      <c r="AO368" s="10">
        <f>IF(OR($B368="",$Y368=""),"",IF(IF(TRIM($J368&amp;"")="",0,SUMPRODUCT((입력_파견수련계획!$Q$4:$Q$803=TRIM($J368&amp;""))*입력_파견수련계획!$AD$4:$AD$803))&gt;0,"다기관 기간 → 소속병원 지급",IF(AND(N($X368)&lt;=0,$AQ368=""),"파견 없음 → 그 달 근무병원 지급",IF($AH368+$AI368=DAY(EOMONTH(출력_요약!$B$3,0)),"서울 "&amp;$AH368&amp;"일 / 구리 "&amp;$AI368&amp;"일"&amp;IF($AQ368&lt;&gt;""," (구리 근무자명단 반영)","")&amp;" → 15일 이상 근무 병원 지급","타 병원 포함 → "&amp;IF($AJ368="","소속",INDEX(입력_파견수련계획!$T$4:$T$803,$AJ368))&amp;" 규칙"))))</f>
        <v/>
      </c>
      <c r="AP368" s="10">
        <f>IF($B368="","",$C368&amp;"|"&amp;$F368)</f>
        <v/>
      </c>
      <c r="AQ368" s="10">
        <f>IF($B368="","",IFERROR(MATCH(ROW()-1,출력_구리근무자!$K$6:$K$305,0),""))</f>
        <v/>
      </c>
      <c r="AR368" s="10">
        <f>IF($AQ368="","",INDEX(출력_구리근무자!$H$6:$H$305,$AQ368))</f>
        <v/>
      </c>
    </row>
    <row r="369">
      <c r="A369" s="10">
        <f>IF(B369="","",ROW()-1)</f>
        <v/>
      </c>
      <c r="B369" s="19" t="n"/>
      <c r="C369" s="10">
        <f>IF($AB369="","",IF(INDEX(입력_기본자료!$C$2:$C$1001,$AB369)="","",INDEX(입력_기본자료!$C$2:$C$1001,$AB369)))</f>
        <v/>
      </c>
      <c r="D369" s="10">
        <f>IF($AB369="","",IF(INDEX(입력_기본자료!$J$2:$J$1001,$AB369)="","",INDEX(입력_기본자료!$J$2:$J$1001,$AB369)))</f>
        <v/>
      </c>
      <c r="E369" s="11">
        <f>IF($AB369="","",IF(INDEX(입력_기본자료!$K$2:$K$1001,$AB369)="","",IF(NOT(ISNUMBER(INDEX(입력_기본자료!$K$2:$K$1001,$AB369))),INDEX(입력_기본자료!$K$2:$K$1001,$AB369),IF(INDEX(입력_기본자료!$K$2:$K$1001,$AB369)&lt;1000000,INDEX(입력_기본자료!$K$2:$K$1001,$AB369),IF(AND(INDEX(입력_기본자료!$K$2:$K$1001,$AB369)&gt;=10000101,INT(MOD(INDEX(입력_기본자료!$K$2:$K$1001,$AB369),10000)/100)&gt;=1,INT(MOD(INDEX(입력_기본자료!$K$2:$K$1001,$AB369),10000)/100)&lt;=12,MOD(INDEX(입력_기본자료!$K$2:$K$1001,$AB369),100)&gt;=1,MOD(INDEX(입력_기본자료!$K$2:$K$1001,$AB369),100)&lt;=31),DATE(INT(INDEX(입력_기본자료!$K$2:$K$1001,$AB369)/10000),INT(MOD(INDEX(입력_기본자료!$K$2:$K$1001,$AB369),10000)/100),MOD(INDEX(입력_기본자료!$K$2:$K$1001,$AB369),100)),INDEX(입력_기본자료!$K$2:$K$1001,$AB369)&amp;"")))))</f>
        <v/>
      </c>
      <c r="F369" s="10">
        <f>IF($AB369="","",IF(INDEX(입력_기본자료!$D$2:$D$1001,$AB369)="","",INDEX(입력_기본자료!$D$2:$D$1001,$AB369)))</f>
        <v/>
      </c>
      <c r="G369" s="10">
        <f>IF($AB369="","",IF(INDEX(입력_기본자료!$E$2:$E$1001,$AB369)="","",INDEX(입력_기본자료!$E$2:$E$1001,$AB369)))</f>
        <v/>
      </c>
      <c r="H369" s="10">
        <f>IF($AB369="","",IF(INDEX(입력_기본자료!$F$2:$F$1001,$AB369)="","",INDEX(입력_기본자료!$F$2:$F$1001,$AB369)))</f>
        <v/>
      </c>
      <c r="I369" s="11">
        <f>IF($AB369="","",IF(INDEX(입력_기본자료!$G$2:$G$1001,$AB369)="","",IF(NOT(ISNUMBER(INDEX(입력_기본자료!$G$2:$G$1001,$AB369))),INDEX(입력_기본자료!$G$2:$G$1001,$AB369),IF(INDEX(입력_기본자료!$G$2:$G$1001,$AB369)&lt;1000000,INDEX(입력_기본자료!$G$2:$G$1001,$AB369),IF(AND(INDEX(입력_기본자료!$G$2:$G$1001,$AB369)&gt;=10000101,INT(MOD(INDEX(입력_기본자료!$G$2:$G$1001,$AB369),10000)/100)&gt;=1,INT(MOD(INDEX(입력_기본자료!$G$2:$G$1001,$AB369),10000)/100)&lt;=12,MOD(INDEX(입력_기본자료!$G$2:$G$1001,$AB369),100)&gt;=1,MOD(INDEX(입력_기본자료!$G$2:$G$1001,$AB369),100)&lt;=31),DATE(INT(INDEX(입력_기본자료!$G$2:$G$1001,$AB369)/10000),INT(MOD(INDEX(입력_기본자료!$G$2:$G$1001,$AB369),10000)/100),MOD(INDEX(입력_기본자료!$G$2:$G$1001,$AB369),100)),INDEX(입력_기본자료!$G$2:$G$1001,$AB369)&amp;"")))))</f>
        <v/>
      </c>
      <c r="J369" s="10">
        <f>IF($AB369="","",IF(INDEX(입력_기본자료!$H$2:$H$1001,$AB369)="","",INDEX(입력_기본자료!$H$2:$H$1001,$AB369)))</f>
        <v/>
      </c>
      <c r="K369" s="10">
        <f>IF($AB369="","",IF(INDEX(입력_기본자료!$I$2:$I$1001,$AB369)="","",INDEX(입력_기본자료!$I$2:$I$1001,$AB369)))</f>
        <v/>
      </c>
      <c r="L369" s="10">
        <f>IF($AB369="","",IF(INDEX(입력_기본자료!$A$2:$A$1001,$AB369)="","",INDEX(입력_기본자료!$A$2:$A$1001,$AB369)))</f>
        <v/>
      </c>
      <c r="M369" s="15" t="n"/>
      <c r="N369" s="10">
        <f>IF($B369="","",IF(AND($U369="파견중",$Q369&lt;&gt;""),$Q369,IF(AND($AD369&lt;&gt;"",LEFT($AD369,1)&lt;&gt;"⚠"),LEFT($AD369,FIND(" ",$AD369)-1),IF($H369="","",IF(RIGHT($H369,2)="병원",$H369,$H369&amp;"병원")))))</f>
        <v/>
      </c>
      <c r="O369" s="10">
        <f>IF($B369="","",IF(AND($U369="파견중",$Q369&lt;&gt;""),IF($R369&lt;&gt;"",$R369,"파견과 미입력"),IF(AND($AD369&lt;&gt;"",LEFT($AD369,1)&lt;&gt;"⚠"),MID($AD369,FIND(" ",$AD369)+1,60),IF($F369="","",IF($F369="인턴","수련교육부(인턴)",$F369)))))</f>
        <v/>
      </c>
      <c r="P369" s="10">
        <f>IF($B369="","",IF($AK369&lt;&gt;"",IF(AND(TODAY()&gt;=INDEX(입력_파견수련계획!$AB$4:$AB$803,$AK369),OR(NOT(ISNUMBER(INDEX(입력_파견수련계획!$AC$4:$AC$803,$AK369))),TODAY()&lt;=INDEX(입력_파견수련계획!$AC$4:$AC$803,$AK369))),"다기관",IF($AF369="","",INDEX(입력_파견수련계획!$T$4:$T$803,$AF369))),IF($AF369="","",INDEX(입력_파견수련계획!$T$4:$T$803,$AF369))))</f>
        <v/>
      </c>
      <c r="Q369" s="10">
        <f>IF($AF369="","",INDEX(입력_파견수련계획!$S$4:$S$803,$AF369))</f>
        <v/>
      </c>
      <c r="R369" s="10">
        <f>IF($AF369="","",INDEX(입력_파견수련계획!$U$4:$U$803,$AF369))</f>
        <v/>
      </c>
      <c r="S369" s="11">
        <f>IF($AF369="","",IF(INDEX(입력_파견수련계획!$H$4:$H$803,$AF369)="","",INDEX(입력_파견수련계획!$H$4:$H$803,$AF369)))</f>
        <v/>
      </c>
      <c r="T369" s="11">
        <f>IF($AF369="","",IF(INDEX(입력_파견수련계획!$I$4:$I$803,$AF369)="","",INDEX(입력_파견수련계획!$I$4:$I$803,$AF369)))</f>
        <v/>
      </c>
      <c r="U369" s="10">
        <f>IF($AF369="","",INDEX(입력_파견수련계획!$X$4:$X$803,$AF369))</f>
        <v/>
      </c>
      <c r="V369" s="17">
        <f>IF($AF369="","",INDEX(입력_파견수련계획!$V$4:$V$803,$AF369))</f>
        <v/>
      </c>
      <c r="W369" s="17">
        <f>IF(AND($U369="파견중",$T369&lt;&gt;""),$T369-TODAY(),"")</f>
        <v/>
      </c>
      <c r="X369" s="17">
        <f>IF(OR($B369="",TRIM($J369&amp;"")=""),"",SUMPRODUCT((입력_파견수련계획!$Q$4:$Q$803=TRIM($J369&amp;""))*입력_파견수련계획!$W$4:$W$803))</f>
        <v/>
      </c>
      <c r="Y369" s="10">
        <f>IF($B369="","",IF($AG369="","",IF(IF(TRIM($J369&amp;"")="",0,SUMPRODUCT((입력_파견수련계획!$Q$4:$Q$803=TRIM($J369&amp;""))*입력_파견수련계획!$AD$4:$AD$803))&gt;0,$AE369,IF(AND(N($X369)&lt;=0,$AQ369=""),$AG369,IF($AH369+$AI369=DAY(EOMONTH(출력_요약!$B$3,0)),IF(AND($AH369&gt;=출력_요약!$E$3,$AI369&lt;출력_요약!$E$3),"서울병원",IF(AND($AI369&gt;=출력_요약!$E$3,$AH369&lt;출력_요약!$E$3),"구리병원","⚠15일 판정불가(서울 "&amp;$AH369&amp;"일/구리 "&amp;$AI369&amp;"일)")),IF($AJ369="",$AE369,IF(INDEX(입력_파견수련계획!$T$4:$T$803,$AJ369)="통합수련",INDEX(입력_파견수련계획!$S$4:$S$803,$AJ369),$AE369)))))))</f>
        <v/>
      </c>
      <c r="Z369" s="20">
        <f>IF($B369="","",IF($AB369="","기본자료에 없는 사번",IF(COUNTIF($B$2:$B$401,$B369)&gt;1,"중복 사번",IF($AE369="","소속(입사장소) 입력",IF(IF(TRIM($J369&amp;"")="",0,SUMPRODUCT((입력_파견수련계획!$Q$4:$Q$803=TRIM($J369&amp;""))*(입력_파견수련계획!$AA$4:$AA$803&lt;&gt;"")))&gt;0,"파견수련계획 입력오류 확인",IF(LEFT($Y369,1)="⚠","서울·구리 15일 판정 불가(양쪽 모두 이상/미만)",IF(IF($AC369="",0,N(INDEX(입력_인턴근무계획!$T$3:$T$402,$AC369)))&gt;0,"인턴계획 입력오류 확인",IF(AND($AQ369&lt;&gt;"",$AG369&lt;&gt;"구리병원",IF(TRIM($J369&amp;"")="",0,SUMPRODUCT((입력_파견수련계획!$Q$4:$Q$803=TRIM($J369&amp;""))*(입력_파견수련계획!$S$4:$S$803="구리병원")*입력_파견수련계획!$W$4:$W$803))=0),"구리 근무자명단에만 있음(파견수련계획 확인)",IF(AND($AC369&lt;&gt;"",$U369&lt;&gt;"파견중",$N369&lt;&gt;$AE369),"인턴 타지역 근무: 파견 여부 확인","정상")))))))))</f>
        <v/>
      </c>
      <c r="AA369" s="5" t="n"/>
      <c r="AB369" s="10">
        <f>IF($B369="","",IFERROR(MATCH($B369,입력_기본자료!$B$2:$B$1001,0),IFERROR(MATCH($B369&amp;"",입력_기본자료!$B$2:$B$1001,0),IFERROR(MATCH(VALUE($B369),입력_기본자료!$B$2:$B$1001,0),""))))</f>
        <v/>
      </c>
      <c r="AC369" s="10">
        <f>IF($B369="","",IFERROR(MATCH($B369,입력_인턴근무계획!$D$3:$D$402,0),IFERROR(MATCH($B369&amp;"",입력_인턴근무계획!$D$3:$D$402,0),IFERROR(MATCH(VALUE($B369),입력_인턴근무계획!$D$3:$D$402,0),""))))</f>
        <v/>
      </c>
      <c r="AD369" s="10">
        <f>IF(OR($AC369="",출력_인턴현황!$G$3=""),"",INDEX(입력_인턴근무계획!$M$3:$R$402,$AC369,출력_인턴현황!$G$3)&amp;"")</f>
        <v/>
      </c>
      <c r="AE369" s="10">
        <f>IF($B369="","",IF($M369&lt;&gt;"",$M369,IF(IF($AQ369="",FALSE,INDEX(출력_구리근무자!$J$6:$J$305,$AQ369)="구리독자"),"구리병원",IF($AF369&lt;&gt;"",IF(LEFT(INDEX(입력_파견수련계획!$R$4:$R$803,$AF369),1)&lt;&gt;"⚠",INDEX(입력_파견수련계획!$R$4:$R$803,$AF369),IF($H369="","",IF(RIGHT($H369,2)="병원",$H369,$H369&amp;"병원"))),IF($H369="","",IF(RIGHT($H369,2)="병원",$H369,$H369&amp;"병원"))))))</f>
        <v/>
      </c>
      <c r="AF369" s="10">
        <f>IF(OR($B369="",TRIM($J369&amp;"")=""),"",IFERROR(MATCH(TRIM($J369&amp;"")&amp;"|파견중",입력_파견수련계획!$Y$4:$Y$803,0),IFERROR(MATCH(TRIM($J369&amp;"")&amp;"|파견예정",입력_파견수련계획!$Y$4:$Y$803,0),IFERROR(MATCH(TRIM($J369&amp;"")&amp;"|파견종료",입력_파견수련계획!$Y$4:$Y$803,0),""))))</f>
        <v/>
      </c>
      <c r="AG369" s="10">
        <f>IF($B369="","",IF(AND(IF(OR($AC369="",출력_인턴현황!$K$2=""),"",INDEX(입력_인턴근무계획!$M$3:$R$402,$AC369,출력_인턴현황!$K$2)&amp;"")&lt;&gt;"",LEFT(IF(OR($AC369="",출력_인턴현황!$K$2=""),"",INDEX(입력_인턴근무계획!$M$3:$R$402,$AC369,출력_인턴현황!$K$2)&amp;""),1)&lt;&gt;"⚠"),LEFT(IF(OR($AC369="",출력_인턴현황!$K$2=""),"",INDEX(입력_인턴근무계획!$M$3:$R$402,$AC369,출력_인턴현황!$K$2)&amp;""),FIND(" ",IF(OR($AC369="",출력_인턴현황!$K$2=""),"",INDEX(입력_인턴근무계획!$M$3:$R$402,$AC369,출력_인턴현황!$K$2)&amp;""))-1),$AE369))</f>
        <v/>
      </c>
      <c r="AH369" s="17">
        <f>IF($B369="","",IF($AQ369&lt;&gt;"",MAX(0,DAY(EOMONTH(출력_요약!$B$3,0))-N($AR369)),IF(TRIM($J369&amp;"")="",0,SUMPRODUCT((입력_파견수련계획!$Q$4:$Q$803=TRIM($J369&amp;""))*(입력_파견수련계획!$S$4:$S$803="서울병원")*입력_파견수련계획!$W$4:$W$803))+IF($AG369="서울병원",MAX(0,DAY(EOMONTH(출력_요약!$B$3,0))-N($X369)),0)))</f>
        <v/>
      </c>
      <c r="AI369" s="17">
        <f>IF($B369="","",IF($AQ369&lt;&gt;"",N($AR369),IF(TRIM($J369&amp;"")="",0,SUMPRODUCT((입력_파견수련계획!$Q$4:$Q$803=TRIM($J369&amp;""))*(입력_파견수련계획!$S$4:$S$803="구리병원")*입력_파견수련계획!$W$4:$W$803))+IF($AG369="구리병원",MAX(0,DAY(EOMONTH(출력_요약!$B$3,0))-N($X369)),0)))</f>
        <v/>
      </c>
      <c r="AJ369" s="10">
        <f>IF(OR($B369="",TRIM($J369&amp;"")=""),"",IFERROR(MATCH(TRIM($J369&amp;"")&amp;"|월",입력_파견수련계획!$Z$4:$Z$803,0),""))</f>
        <v/>
      </c>
      <c r="AK369" s="10">
        <f>IF(OR($B369="",TRIM($J369&amp;"")=""),"",IFERROR(MATCH(TRIM($J369&amp;"")&amp;"|다기관",입력_파견수련계획!$AE$4:$AE$803,0),""))</f>
        <v/>
      </c>
      <c r="AL369" s="10">
        <f>IF($AK369="","","다기관 "&amp;TEXT(INDEX(입력_파견수련계획!$AB$4:$AB$803,$AK369),"yyyy-mm-dd")&amp;"~"&amp;IF(ISNUMBER(INDEX(입력_파견수련계획!$AC$4:$AC$803,$AK369)),TEXT(INDEX(입력_파견수련계획!$AC$4:$AC$803,$AK369),"yyyy-mm-dd"),""))</f>
        <v/>
      </c>
      <c r="AM369" s="10">
        <f>IF($Y369="서울병원",COUNTIF($Y$2:$Y369,"서울병원"),"")</f>
        <v/>
      </c>
      <c r="AN369" s="10">
        <f>IF(LEFT($Y369,1)="⚠",COUNTIF($Y$2:$Y369,"⚠*"),"")</f>
        <v/>
      </c>
      <c r="AO369" s="10">
        <f>IF(OR($B369="",$Y369=""),"",IF(IF(TRIM($J369&amp;"")="",0,SUMPRODUCT((입력_파견수련계획!$Q$4:$Q$803=TRIM($J369&amp;""))*입력_파견수련계획!$AD$4:$AD$803))&gt;0,"다기관 기간 → 소속병원 지급",IF(AND(N($X369)&lt;=0,$AQ369=""),"파견 없음 → 그 달 근무병원 지급",IF($AH369+$AI369=DAY(EOMONTH(출력_요약!$B$3,0)),"서울 "&amp;$AH369&amp;"일 / 구리 "&amp;$AI369&amp;"일"&amp;IF($AQ369&lt;&gt;""," (구리 근무자명단 반영)","")&amp;" → 15일 이상 근무 병원 지급","타 병원 포함 → "&amp;IF($AJ369="","소속",INDEX(입력_파견수련계획!$T$4:$T$803,$AJ369))&amp;" 규칙"))))</f>
        <v/>
      </c>
      <c r="AP369" s="10">
        <f>IF($B369="","",$C369&amp;"|"&amp;$F369)</f>
        <v/>
      </c>
      <c r="AQ369" s="10">
        <f>IF($B369="","",IFERROR(MATCH(ROW()-1,출력_구리근무자!$K$6:$K$305,0),""))</f>
        <v/>
      </c>
      <c r="AR369" s="10">
        <f>IF($AQ369="","",INDEX(출력_구리근무자!$H$6:$H$305,$AQ369))</f>
        <v/>
      </c>
    </row>
    <row r="370">
      <c r="A370" s="10">
        <f>IF(B370="","",ROW()-1)</f>
        <v/>
      </c>
      <c r="B370" s="19" t="n"/>
      <c r="C370" s="10">
        <f>IF($AB370="","",IF(INDEX(입력_기본자료!$C$2:$C$1001,$AB370)="","",INDEX(입력_기본자료!$C$2:$C$1001,$AB370)))</f>
        <v/>
      </c>
      <c r="D370" s="10">
        <f>IF($AB370="","",IF(INDEX(입력_기본자료!$J$2:$J$1001,$AB370)="","",INDEX(입력_기본자료!$J$2:$J$1001,$AB370)))</f>
        <v/>
      </c>
      <c r="E370" s="11">
        <f>IF($AB370="","",IF(INDEX(입력_기본자료!$K$2:$K$1001,$AB370)="","",IF(NOT(ISNUMBER(INDEX(입력_기본자료!$K$2:$K$1001,$AB370))),INDEX(입력_기본자료!$K$2:$K$1001,$AB370),IF(INDEX(입력_기본자료!$K$2:$K$1001,$AB370)&lt;1000000,INDEX(입력_기본자료!$K$2:$K$1001,$AB370),IF(AND(INDEX(입력_기본자료!$K$2:$K$1001,$AB370)&gt;=10000101,INT(MOD(INDEX(입력_기본자료!$K$2:$K$1001,$AB370),10000)/100)&gt;=1,INT(MOD(INDEX(입력_기본자료!$K$2:$K$1001,$AB370),10000)/100)&lt;=12,MOD(INDEX(입력_기본자료!$K$2:$K$1001,$AB370),100)&gt;=1,MOD(INDEX(입력_기본자료!$K$2:$K$1001,$AB370),100)&lt;=31),DATE(INT(INDEX(입력_기본자료!$K$2:$K$1001,$AB370)/10000),INT(MOD(INDEX(입력_기본자료!$K$2:$K$1001,$AB370),10000)/100),MOD(INDEX(입력_기본자료!$K$2:$K$1001,$AB370),100)),INDEX(입력_기본자료!$K$2:$K$1001,$AB370)&amp;"")))))</f>
        <v/>
      </c>
      <c r="F370" s="10">
        <f>IF($AB370="","",IF(INDEX(입력_기본자료!$D$2:$D$1001,$AB370)="","",INDEX(입력_기본자료!$D$2:$D$1001,$AB370)))</f>
        <v/>
      </c>
      <c r="G370" s="10">
        <f>IF($AB370="","",IF(INDEX(입력_기본자료!$E$2:$E$1001,$AB370)="","",INDEX(입력_기본자료!$E$2:$E$1001,$AB370)))</f>
        <v/>
      </c>
      <c r="H370" s="10">
        <f>IF($AB370="","",IF(INDEX(입력_기본자료!$F$2:$F$1001,$AB370)="","",INDEX(입력_기본자료!$F$2:$F$1001,$AB370)))</f>
        <v/>
      </c>
      <c r="I370" s="11">
        <f>IF($AB370="","",IF(INDEX(입력_기본자료!$G$2:$G$1001,$AB370)="","",IF(NOT(ISNUMBER(INDEX(입력_기본자료!$G$2:$G$1001,$AB370))),INDEX(입력_기본자료!$G$2:$G$1001,$AB370),IF(INDEX(입력_기본자료!$G$2:$G$1001,$AB370)&lt;1000000,INDEX(입력_기본자료!$G$2:$G$1001,$AB370),IF(AND(INDEX(입력_기본자료!$G$2:$G$1001,$AB370)&gt;=10000101,INT(MOD(INDEX(입력_기본자료!$G$2:$G$1001,$AB370),10000)/100)&gt;=1,INT(MOD(INDEX(입력_기본자료!$G$2:$G$1001,$AB370),10000)/100)&lt;=12,MOD(INDEX(입력_기본자료!$G$2:$G$1001,$AB370),100)&gt;=1,MOD(INDEX(입력_기본자료!$G$2:$G$1001,$AB370),100)&lt;=31),DATE(INT(INDEX(입력_기본자료!$G$2:$G$1001,$AB370)/10000),INT(MOD(INDEX(입력_기본자료!$G$2:$G$1001,$AB370),10000)/100),MOD(INDEX(입력_기본자료!$G$2:$G$1001,$AB370),100)),INDEX(입력_기본자료!$G$2:$G$1001,$AB370)&amp;"")))))</f>
        <v/>
      </c>
      <c r="J370" s="10">
        <f>IF($AB370="","",IF(INDEX(입력_기본자료!$H$2:$H$1001,$AB370)="","",INDEX(입력_기본자료!$H$2:$H$1001,$AB370)))</f>
        <v/>
      </c>
      <c r="K370" s="10">
        <f>IF($AB370="","",IF(INDEX(입력_기본자료!$I$2:$I$1001,$AB370)="","",INDEX(입력_기본자료!$I$2:$I$1001,$AB370)))</f>
        <v/>
      </c>
      <c r="L370" s="10">
        <f>IF($AB370="","",IF(INDEX(입력_기본자료!$A$2:$A$1001,$AB370)="","",INDEX(입력_기본자료!$A$2:$A$1001,$AB370)))</f>
        <v/>
      </c>
      <c r="M370" s="15" t="n"/>
      <c r="N370" s="10">
        <f>IF($B370="","",IF(AND($U370="파견중",$Q370&lt;&gt;""),$Q370,IF(AND($AD370&lt;&gt;"",LEFT($AD370,1)&lt;&gt;"⚠"),LEFT($AD370,FIND(" ",$AD370)-1),IF($H370="","",IF(RIGHT($H370,2)="병원",$H370,$H370&amp;"병원")))))</f>
        <v/>
      </c>
      <c r="O370" s="10">
        <f>IF($B370="","",IF(AND($U370="파견중",$Q370&lt;&gt;""),IF($R370&lt;&gt;"",$R370,"파견과 미입력"),IF(AND($AD370&lt;&gt;"",LEFT($AD370,1)&lt;&gt;"⚠"),MID($AD370,FIND(" ",$AD370)+1,60),IF($F370="","",IF($F370="인턴","수련교육부(인턴)",$F370)))))</f>
        <v/>
      </c>
      <c r="P370" s="10">
        <f>IF($B370="","",IF($AK370&lt;&gt;"",IF(AND(TODAY()&gt;=INDEX(입력_파견수련계획!$AB$4:$AB$803,$AK370),OR(NOT(ISNUMBER(INDEX(입력_파견수련계획!$AC$4:$AC$803,$AK370))),TODAY()&lt;=INDEX(입력_파견수련계획!$AC$4:$AC$803,$AK370))),"다기관",IF($AF370="","",INDEX(입력_파견수련계획!$T$4:$T$803,$AF370))),IF($AF370="","",INDEX(입력_파견수련계획!$T$4:$T$803,$AF370))))</f>
        <v/>
      </c>
      <c r="Q370" s="10">
        <f>IF($AF370="","",INDEX(입력_파견수련계획!$S$4:$S$803,$AF370))</f>
        <v/>
      </c>
      <c r="R370" s="10">
        <f>IF($AF370="","",INDEX(입력_파견수련계획!$U$4:$U$803,$AF370))</f>
        <v/>
      </c>
      <c r="S370" s="11">
        <f>IF($AF370="","",IF(INDEX(입력_파견수련계획!$H$4:$H$803,$AF370)="","",INDEX(입력_파견수련계획!$H$4:$H$803,$AF370)))</f>
        <v/>
      </c>
      <c r="T370" s="11">
        <f>IF($AF370="","",IF(INDEX(입력_파견수련계획!$I$4:$I$803,$AF370)="","",INDEX(입력_파견수련계획!$I$4:$I$803,$AF370)))</f>
        <v/>
      </c>
      <c r="U370" s="10">
        <f>IF($AF370="","",INDEX(입력_파견수련계획!$X$4:$X$803,$AF370))</f>
        <v/>
      </c>
      <c r="V370" s="17">
        <f>IF($AF370="","",INDEX(입력_파견수련계획!$V$4:$V$803,$AF370))</f>
        <v/>
      </c>
      <c r="W370" s="17">
        <f>IF(AND($U370="파견중",$T370&lt;&gt;""),$T370-TODAY(),"")</f>
        <v/>
      </c>
      <c r="X370" s="17">
        <f>IF(OR($B370="",TRIM($J370&amp;"")=""),"",SUMPRODUCT((입력_파견수련계획!$Q$4:$Q$803=TRIM($J370&amp;""))*입력_파견수련계획!$W$4:$W$803))</f>
        <v/>
      </c>
      <c r="Y370" s="10">
        <f>IF($B370="","",IF($AG370="","",IF(IF(TRIM($J370&amp;"")="",0,SUMPRODUCT((입력_파견수련계획!$Q$4:$Q$803=TRIM($J370&amp;""))*입력_파견수련계획!$AD$4:$AD$803))&gt;0,$AE370,IF(AND(N($X370)&lt;=0,$AQ370=""),$AG370,IF($AH370+$AI370=DAY(EOMONTH(출력_요약!$B$3,0)),IF(AND($AH370&gt;=출력_요약!$E$3,$AI370&lt;출력_요약!$E$3),"서울병원",IF(AND($AI370&gt;=출력_요약!$E$3,$AH370&lt;출력_요약!$E$3),"구리병원","⚠15일 판정불가(서울 "&amp;$AH370&amp;"일/구리 "&amp;$AI370&amp;"일)")),IF($AJ370="",$AE370,IF(INDEX(입력_파견수련계획!$T$4:$T$803,$AJ370)="통합수련",INDEX(입력_파견수련계획!$S$4:$S$803,$AJ370),$AE370)))))))</f>
        <v/>
      </c>
      <c r="Z370" s="20">
        <f>IF($B370="","",IF($AB370="","기본자료에 없는 사번",IF(COUNTIF($B$2:$B$401,$B370)&gt;1,"중복 사번",IF($AE370="","소속(입사장소) 입력",IF(IF(TRIM($J370&amp;"")="",0,SUMPRODUCT((입력_파견수련계획!$Q$4:$Q$803=TRIM($J370&amp;""))*(입력_파견수련계획!$AA$4:$AA$803&lt;&gt;"")))&gt;0,"파견수련계획 입력오류 확인",IF(LEFT($Y370,1)="⚠","서울·구리 15일 판정 불가(양쪽 모두 이상/미만)",IF(IF($AC370="",0,N(INDEX(입력_인턴근무계획!$T$3:$T$402,$AC370)))&gt;0,"인턴계획 입력오류 확인",IF(AND($AQ370&lt;&gt;"",$AG370&lt;&gt;"구리병원",IF(TRIM($J370&amp;"")="",0,SUMPRODUCT((입력_파견수련계획!$Q$4:$Q$803=TRIM($J370&amp;""))*(입력_파견수련계획!$S$4:$S$803="구리병원")*입력_파견수련계획!$W$4:$W$803))=0),"구리 근무자명단에만 있음(파견수련계획 확인)",IF(AND($AC370&lt;&gt;"",$U370&lt;&gt;"파견중",$N370&lt;&gt;$AE370),"인턴 타지역 근무: 파견 여부 확인","정상")))))))))</f>
        <v/>
      </c>
      <c r="AA370" s="5" t="n"/>
      <c r="AB370" s="10">
        <f>IF($B370="","",IFERROR(MATCH($B370,입력_기본자료!$B$2:$B$1001,0),IFERROR(MATCH($B370&amp;"",입력_기본자료!$B$2:$B$1001,0),IFERROR(MATCH(VALUE($B370),입력_기본자료!$B$2:$B$1001,0),""))))</f>
        <v/>
      </c>
      <c r="AC370" s="10">
        <f>IF($B370="","",IFERROR(MATCH($B370,입력_인턴근무계획!$D$3:$D$402,0),IFERROR(MATCH($B370&amp;"",입력_인턴근무계획!$D$3:$D$402,0),IFERROR(MATCH(VALUE($B370),입력_인턴근무계획!$D$3:$D$402,0),""))))</f>
        <v/>
      </c>
      <c r="AD370" s="10">
        <f>IF(OR($AC370="",출력_인턴현황!$G$3=""),"",INDEX(입력_인턴근무계획!$M$3:$R$402,$AC370,출력_인턴현황!$G$3)&amp;"")</f>
        <v/>
      </c>
      <c r="AE370" s="10">
        <f>IF($B370="","",IF($M370&lt;&gt;"",$M370,IF(IF($AQ370="",FALSE,INDEX(출력_구리근무자!$J$6:$J$305,$AQ370)="구리독자"),"구리병원",IF($AF370&lt;&gt;"",IF(LEFT(INDEX(입력_파견수련계획!$R$4:$R$803,$AF370),1)&lt;&gt;"⚠",INDEX(입력_파견수련계획!$R$4:$R$803,$AF370),IF($H370="","",IF(RIGHT($H370,2)="병원",$H370,$H370&amp;"병원"))),IF($H370="","",IF(RIGHT($H370,2)="병원",$H370,$H370&amp;"병원"))))))</f>
        <v/>
      </c>
      <c r="AF370" s="10">
        <f>IF(OR($B370="",TRIM($J370&amp;"")=""),"",IFERROR(MATCH(TRIM($J370&amp;"")&amp;"|파견중",입력_파견수련계획!$Y$4:$Y$803,0),IFERROR(MATCH(TRIM($J370&amp;"")&amp;"|파견예정",입력_파견수련계획!$Y$4:$Y$803,0),IFERROR(MATCH(TRIM($J370&amp;"")&amp;"|파견종료",입력_파견수련계획!$Y$4:$Y$803,0),""))))</f>
        <v/>
      </c>
      <c r="AG370" s="10">
        <f>IF($B370="","",IF(AND(IF(OR($AC370="",출력_인턴현황!$K$2=""),"",INDEX(입력_인턴근무계획!$M$3:$R$402,$AC370,출력_인턴현황!$K$2)&amp;"")&lt;&gt;"",LEFT(IF(OR($AC370="",출력_인턴현황!$K$2=""),"",INDEX(입력_인턴근무계획!$M$3:$R$402,$AC370,출력_인턴현황!$K$2)&amp;""),1)&lt;&gt;"⚠"),LEFT(IF(OR($AC370="",출력_인턴현황!$K$2=""),"",INDEX(입력_인턴근무계획!$M$3:$R$402,$AC370,출력_인턴현황!$K$2)&amp;""),FIND(" ",IF(OR($AC370="",출력_인턴현황!$K$2=""),"",INDEX(입력_인턴근무계획!$M$3:$R$402,$AC370,출력_인턴현황!$K$2)&amp;""))-1),$AE370))</f>
        <v/>
      </c>
      <c r="AH370" s="17">
        <f>IF($B370="","",IF($AQ370&lt;&gt;"",MAX(0,DAY(EOMONTH(출력_요약!$B$3,0))-N($AR370)),IF(TRIM($J370&amp;"")="",0,SUMPRODUCT((입력_파견수련계획!$Q$4:$Q$803=TRIM($J370&amp;""))*(입력_파견수련계획!$S$4:$S$803="서울병원")*입력_파견수련계획!$W$4:$W$803))+IF($AG370="서울병원",MAX(0,DAY(EOMONTH(출력_요약!$B$3,0))-N($X370)),0)))</f>
        <v/>
      </c>
      <c r="AI370" s="17">
        <f>IF($B370="","",IF($AQ370&lt;&gt;"",N($AR370),IF(TRIM($J370&amp;"")="",0,SUMPRODUCT((입력_파견수련계획!$Q$4:$Q$803=TRIM($J370&amp;""))*(입력_파견수련계획!$S$4:$S$803="구리병원")*입력_파견수련계획!$W$4:$W$803))+IF($AG370="구리병원",MAX(0,DAY(EOMONTH(출력_요약!$B$3,0))-N($X370)),0)))</f>
        <v/>
      </c>
      <c r="AJ370" s="10">
        <f>IF(OR($B370="",TRIM($J370&amp;"")=""),"",IFERROR(MATCH(TRIM($J370&amp;"")&amp;"|월",입력_파견수련계획!$Z$4:$Z$803,0),""))</f>
        <v/>
      </c>
      <c r="AK370" s="10">
        <f>IF(OR($B370="",TRIM($J370&amp;"")=""),"",IFERROR(MATCH(TRIM($J370&amp;"")&amp;"|다기관",입력_파견수련계획!$AE$4:$AE$803,0),""))</f>
        <v/>
      </c>
      <c r="AL370" s="10">
        <f>IF($AK370="","","다기관 "&amp;TEXT(INDEX(입력_파견수련계획!$AB$4:$AB$803,$AK370),"yyyy-mm-dd")&amp;"~"&amp;IF(ISNUMBER(INDEX(입력_파견수련계획!$AC$4:$AC$803,$AK370)),TEXT(INDEX(입력_파견수련계획!$AC$4:$AC$803,$AK370),"yyyy-mm-dd"),""))</f>
        <v/>
      </c>
      <c r="AM370" s="10">
        <f>IF($Y370="서울병원",COUNTIF($Y$2:$Y370,"서울병원"),"")</f>
        <v/>
      </c>
      <c r="AN370" s="10">
        <f>IF(LEFT($Y370,1)="⚠",COUNTIF($Y$2:$Y370,"⚠*"),"")</f>
        <v/>
      </c>
      <c r="AO370" s="10">
        <f>IF(OR($B370="",$Y370=""),"",IF(IF(TRIM($J370&amp;"")="",0,SUMPRODUCT((입력_파견수련계획!$Q$4:$Q$803=TRIM($J370&amp;""))*입력_파견수련계획!$AD$4:$AD$803))&gt;0,"다기관 기간 → 소속병원 지급",IF(AND(N($X370)&lt;=0,$AQ370=""),"파견 없음 → 그 달 근무병원 지급",IF($AH370+$AI370=DAY(EOMONTH(출력_요약!$B$3,0)),"서울 "&amp;$AH370&amp;"일 / 구리 "&amp;$AI370&amp;"일"&amp;IF($AQ370&lt;&gt;""," (구리 근무자명단 반영)","")&amp;" → 15일 이상 근무 병원 지급","타 병원 포함 → "&amp;IF($AJ370="","소속",INDEX(입력_파견수련계획!$T$4:$T$803,$AJ370))&amp;" 규칙"))))</f>
        <v/>
      </c>
      <c r="AP370" s="10">
        <f>IF($B370="","",$C370&amp;"|"&amp;$F370)</f>
        <v/>
      </c>
      <c r="AQ370" s="10">
        <f>IF($B370="","",IFERROR(MATCH(ROW()-1,출력_구리근무자!$K$6:$K$305,0),""))</f>
        <v/>
      </c>
      <c r="AR370" s="10">
        <f>IF($AQ370="","",INDEX(출력_구리근무자!$H$6:$H$305,$AQ370))</f>
        <v/>
      </c>
    </row>
    <row r="371">
      <c r="A371" s="10">
        <f>IF(B371="","",ROW()-1)</f>
        <v/>
      </c>
      <c r="B371" s="19" t="n"/>
      <c r="C371" s="10">
        <f>IF($AB371="","",IF(INDEX(입력_기본자료!$C$2:$C$1001,$AB371)="","",INDEX(입력_기본자료!$C$2:$C$1001,$AB371)))</f>
        <v/>
      </c>
      <c r="D371" s="10">
        <f>IF($AB371="","",IF(INDEX(입력_기본자료!$J$2:$J$1001,$AB371)="","",INDEX(입력_기본자료!$J$2:$J$1001,$AB371)))</f>
        <v/>
      </c>
      <c r="E371" s="11">
        <f>IF($AB371="","",IF(INDEX(입력_기본자료!$K$2:$K$1001,$AB371)="","",IF(NOT(ISNUMBER(INDEX(입력_기본자료!$K$2:$K$1001,$AB371))),INDEX(입력_기본자료!$K$2:$K$1001,$AB371),IF(INDEX(입력_기본자료!$K$2:$K$1001,$AB371)&lt;1000000,INDEX(입력_기본자료!$K$2:$K$1001,$AB371),IF(AND(INDEX(입력_기본자료!$K$2:$K$1001,$AB371)&gt;=10000101,INT(MOD(INDEX(입력_기본자료!$K$2:$K$1001,$AB371),10000)/100)&gt;=1,INT(MOD(INDEX(입력_기본자료!$K$2:$K$1001,$AB371),10000)/100)&lt;=12,MOD(INDEX(입력_기본자료!$K$2:$K$1001,$AB371),100)&gt;=1,MOD(INDEX(입력_기본자료!$K$2:$K$1001,$AB371),100)&lt;=31),DATE(INT(INDEX(입력_기본자료!$K$2:$K$1001,$AB371)/10000),INT(MOD(INDEX(입력_기본자료!$K$2:$K$1001,$AB371),10000)/100),MOD(INDEX(입력_기본자료!$K$2:$K$1001,$AB371),100)),INDEX(입력_기본자료!$K$2:$K$1001,$AB371)&amp;"")))))</f>
        <v/>
      </c>
      <c r="F371" s="10">
        <f>IF($AB371="","",IF(INDEX(입력_기본자료!$D$2:$D$1001,$AB371)="","",INDEX(입력_기본자료!$D$2:$D$1001,$AB371)))</f>
        <v/>
      </c>
      <c r="G371" s="10">
        <f>IF($AB371="","",IF(INDEX(입력_기본자료!$E$2:$E$1001,$AB371)="","",INDEX(입력_기본자료!$E$2:$E$1001,$AB371)))</f>
        <v/>
      </c>
      <c r="H371" s="10">
        <f>IF($AB371="","",IF(INDEX(입력_기본자료!$F$2:$F$1001,$AB371)="","",INDEX(입력_기본자료!$F$2:$F$1001,$AB371)))</f>
        <v/>
      </c>
      <c r="I371" s="11">
        <f>IF($AB371="","",IF(INDEX(입력_기본자료!$G$2:$G$1001,$AB371)="","",IF(NOT(ISNUMBER(INDEX(입력_기본자료!$G$2:$G$1001,$AB371))),INDEX(입력_기본자료!$G$2:$G$1001,$AB371),IF(INDEX(입력_기본자료!$G$2:$G$1001,$AB371)&lt;1000000,INDEX(입력_기본자료!$G$2:$G$1001,$AB371),IF(AND(INDEX(입력_기본자료!$G$2:$G$1001,$AB371)&gt;=10000101,INT(MOD(INDEX(입력_기본자료!$G$2:$G$1001,$AB371),10000)/100)&gt;=1,INT(MOD(INDEX(입력_기본자료!$G$2:$G$1001,$AB371),10000)/100)&lt;=12,MOD(INDEX(입력_기본자료!$G$2:$G$1001,$AB371),100)&gt;=1,MOD(INDEX(입력_기본자료!$G$2:$G$1001,$AB371),100)&lt;=31),DATE(INT(INDEX(입력_기본자료!$G$2:$G$1001,$AB371)/10000),INT(MOD(INDEX(입력_기본자료!$G$2:$G$1001,$AB371),10000)/100),MOD(INDEX(입력_기본자료!$G$2:$G$1001,$AB371),100)),INDEX(입력_기본자료!$G$2:$G$1001,$AB371)&amp;"")))))</f>
        <v/>
      </c>
      <c r="J371" s="10">
        <f>IF($AB371="","",IF(INDEX(입력_기본자료!$H$2:$H$1001,$AB371)="","",INDEX(입력_기본자료!$H$2:$H$1001,$AB371)))</f>
        <v/>
      </c>
      <c r="K371" s="10">
        <f>IF($AB371="","",IF(INDEX(입력_기본자료!$I$2:$I$1001,$AB371)="","",INDEX(입력_기본자료!$I$2:$I$1001,$AB371)))</f>
        <v/>
      </c>
      <c r="L371" s="10">
        <f>IF($AB371="","",IF(INDEX(입력_기본자료!$A$2:$A$1001,$AB371)="","",INDEX(입력_기본자료!$A$2:$A$1001,$AB371)))</f>
        <v/>
      </c>
      <c r="M371" s="15" t="n"/>
      <c r="N371" s="10">
        <f>IF($B371="","",IF(AND($U371="파견중",$Q371&lt;&gt;""),$Q371,IF(AND($AD371&lt;&gt;"",LEFT($AD371,1)&lt;&gt;"⚠"),LEFT($AD371,FIND(" ",$AD371)-1),IF($H371="","",IF(RIGHT($H371,2)="병원",$H371,$H371&amp;"병원")))))</f>
        <v/>
      </c>
      <c r="O371" s="10">
        <f>IF($B371="","",IF(AND($U371="파견중",$Q371&lt;&gt;""),IF($R371&lt;&gt;"",$R371,"파견과 미입력"),IF(AND($AD371&lt;&gt;"",LEFT($AD371,1)&lt;&gt;"⚠"),MID($AD371,FIND(" ",$AD371)+1,60),IF($F371="","",IF($F371="인턴","수련교육부(인턴)",$F371)))))</f>
        <v/>
      </c>
      <c r="P371" s="10">
        <f>IF($B371="","",IF($AK371&lt;&gt;"",IF(AND(TODAY()&gt;=INDEX(입력_파견수련계획!$AB$4:$AB$803,$AK371),OR(NOT(ISNUMBER(INDEX(입력_파견수련계획!$AC$4:$AC$803,$AK371))),TODAY()&lt;=INDEX(입력_파견수련계획!$AC$4:$AC$803,$AK371))),"다기관",IF($AF371="","",INDEX(입력_파견수련계획!$T$4:$T$803,$AF371))),IF($AF371="","",INDEX(입력_파견수련계획!$T$4:$T$803,$AF371))))</f>
        <v/>
      </c>
      <c r="Q371" s="10">
        <f>IF($AF371="","",INDEX(입력_파견수련계획!$S$4:$S$803,$AF371))</f>
        <v/>
      </c>
      <c r="R371" s="10">
        <f>IF($AF371="","",INDEX(입력_파견수련계획!$U$4:$U$803,$AF371))</f>
        <v/>
      </c>
      <c r="S371" s="11">
        <f>IF($AF371="","",IF(INDEX(입력_파견수련계획!$H$4:$H$803,$AF371)="","",INDEX(입력_파견수련계획!$H$4:$H$803,$AF371)))</f>
        <v/>
      </c>
      <c r="T371" s="11">
        <f>IF($AF371="","",IF(INDEX(입력_파견수련계획!$I$4:$I$803,$AF371)="","",INDEX(입력_파견수련계획!$I$4:$I$803,$AF371)))</f>
        <v/>
      </c>
      <c r="U371" s="10">
        <f>IF($AF371="","",INDEX(입력_파견수련계획!$X$4:$X$803,$AF371))</f>
        <v/>
      </c>
      <c r="V371" s="17">
        <f>IF($AF371="","",INDEX(입력_파견수련계획!$V$4:$V$803,$AF371))</f>
        <v/>
      </c>
      <c r="W371" s="17">
        <f>IF(AND($U371="파견중",$T371&lt;&gt;""),$T371-TODAY(),"")</f>
        <v/>
      </c>
      <c r="X371" s="17">
        <f>IF(OR($B371="",TRIM($J371&amp;"")=""),"",SUMPRODUCT((입력_파견수련계획!$Q$4:$Q$803=TRIM($J371&amp;""))*입력_파견수련계획!$W$4:$W$803))</f>
        <v/>
      </c>
      <c r="Y371" s="10">
        <f>IF($B371="","",IF($AG371="","",IF(IF(TRIM($J371&amp;"")="",0,SUMPRODUCT((입력_파견수련계획!$Q$4:$Q$803=TRIM($J371&amp;""))*입력_파견수련계획!$AD$4:$AD$803))&gt;0,$AE371,IF(AND(N($X371)&lt;=0,$AQ371=""),$AG371,IF($AH371+$AI371=DAY(EOMONTH(출력_요약!$B$3,0)),IF(AND($AH371&gt;=출력_요약!$E$3,$AI371&lt;출력_요약!$E$3),"서울병원",IF(AND($AI371&gt;=출력_요약!$E$3,$AH371&lt;출력_요약!$E$3),"구리병원","⚠15일 판정불가(서울 "&amp;$AH371&amp;"일/구리 "&amp;$AI371&amp;"일)")),IF($AJ371="",$AE371,IF(INDEX(입력_파견수련계획!$T$4:$T$803,$AJ371)="통합수련",INDEX(입력_파견수련계획!$S$4:$S$803,$AJ371),$AE371)))))))</f>
        <v/>
      </c>
      <c r="Z371" s="20">
        <f>IF($B371="","",IF($AB371="","기본자료에 없는 사번",IF(COUNTIF($B$2:$B$401,$B371)&gt;1,"중복 사번",IF($AE371="","소속(입사장소) 입력",IF(IF(TRIM($J371&amp;"")="",0,SUMPRODUCT((입력_파견수련계획!$Q$4:$Q$803=TRIM($J371&amp;""))*(입력_파견수련계획!$AA$4:$AA$803&lt;&gt;"")))&gt;0,"파견수련계획 입력오류 확인",IF(LEFT($Y371,1)="⚠","서울·구리 15일 판정 불가(양쪽 모두 이상/미만)",IF(IF($AC371="",0,N(INDEX(입력_인턴근무계획!$T$3:$T$402,$AC371)))&gt;0,"인턴계획 입력오류 확인",IF(AND($AQ371&lt;&gt;"",$AG371&lt;&gt;"구리병원",IF(TRIM($J371&amp;"")="",0,SUMPRODUCT((입력_파견수련계획!$Q$4:$Q$803=TRIM($J371&amp;""))*(입력_파견수련계획!$S$4:$S$803="구리병원")*입력_파견수련계획!$W$4:$W$803))=0),"구리 근무자명단에만 있음(파견수련계획 확인)",IF(AND($AC371&lt;&gt;"",$U371&lt;&gt;"파견중",$N371&lt;&gt;$AE371),"인턴 타지역 근무: 파견 여부 확인","정상")))))))))</f>
        <v/>
      </c>
      <c r="AA371" s="5" t="n"/>
      <c r="AB371" s="10">
        <f>IF($B371="","",IFERROR(MATCH($B371,입력_기본자료!$B$2:$B$1001,0),IFERROR(MATCH($B371&amp;"",입력_기본자료!$B$2:$B$1001,0),IFERROR(MATCH(VALUE($B371),입력_기본자료!$B$2:$B$1001,0),""))))</f>
        <v/>
      </c>
      <c r="AC371" s="10">
        <f>IF($B371="","",IFERROR(MATCH($B371,입력_인턴근무계획!$D$3:$D$402,0),IFERROR(MATCH($B371&amp;"",입력_인턴근무계획!$D$3:$D$402,0),IFERROR(MATCH(VALUE($B371),입력_인턴근무계획!$D$3:$D$402,0),""))))</f>
        <v/>
      </c>
      <c r="AD371" s="10">
        <f>IF(OR($AC371="",출력_인턴현황!$G$3=""),"",INDEX(입력_인턴근무계획!$M$3:$R$402,$AC371,출력_인턴현황!$G$3)&amp;"")</f>
        <v/>
      </c>
      <c r="AE371" s="10">
        <f>IF($B371="","",IF($M371&lt;&gt;"",$M371,IF(IF($AQ371="",FALSE,INDEX(출력_구리근무자!$J$6:$J$305,$AQ371)="구리독자"),"구리병원",IF($AF371&lt;&gt;"",IF(LEFT(INDEX(입력_파견수련계획!$R$4:$R$803,$AF371),1)&lt;&gt;"⚠",INDEX(입력_파견수련계획!$R$4:$R$803,$AF371),IF($H371="","",IF(RIGHT($H371,2)="병원",$H371,$H371&amp;"병원"))),IF($H371="","",IF(RIGHT($H371,2)="병원",$H371,$H371&amp;"병원"))))))</f>
        <v/>
      </c>
      <c r="AF371" s="10">
        <f>IF(OR($B371="",TRIM($J371&amp;"")=""),"",IFERROR(MATCH(TRIM($J371&amp;"")&amp;"|파견중",입력_파견수련계획!$Y$4:$Y$803,0),IFERROR(MATCH(TRIM($J371&amp;"")&amp;"|파견예정",입력_파견수련계획!$Y$4:$Y$803,0),IFERROR(MATCH(TRIM($J371&amp;"")&amp;"|파견종료",입력_파견수련계획!$Y$4:$Y$803,0),""))))</f>
        <v/>
      </c>
      <c r="AG371" s="10">
        <f>IF($B371="","",IF(AND(IF(OR($AC371="",출력_인턴현황!$K$2=""),"",INDEX(입력_인턴근무계획!$M$3:$R$402,$AC371,출력_인턴현황!$K$2)&amp;"")&lt;&gt;"",LEFT(IF(OR($AC371="",출력_인턴현황!$K$2=""),"",INDEX(입력_인턴근무계획!$M$3:$R$402,$AC371,출력_인턴현황!$K$2)&amp;""),1)&lt;&gt;"⚠"),LEFT(IF(OR($AC371="",출력_인턴현황!$K$2=""),"",INDEX(입력_인턴근무계획!$M$3:$R$402,$AC371,출력_인턴현황!$K$2)&amp;""),FIND(" ",IF(OR($AC371="",출력_인턴현황!$K$2=""),"",INDEX(입력_인턴근무계획!$M$3:$R$402,$AC371,출력_인턴현황!$K$2)&amp;""))-1),$AE371))</f>
        <v/>
      </c>
      <c r="AH371" s="17">
        <f>IF($B371="","",IF($AQ371&lt;&gt;"",MAX(0,DAY(EOMONTH(출력_요약!$B$3,0))-N($AR371)),IF(TRIM($J371&amp;"")="",0,SUMPRODUCT((입력_파견수련계획!$Q$4:$Q$803=TRIM($J371&amp;""))*(입력_파견수련계획!$S$4:$S$803="서울병원")*입력_파견수련계획!$W$4:$W$803))+IF($AG371="서울병원",MAX(0,DAY(EOMONTH(출력_요약!$B$3,0))-N($X371)),0)))</f>
        <v/>
      </c>
      <c r="AI371" s="17">
        <f>IF($B371="","",IF($AQ371&lt;&gt;"",N($AR371),IF(TRIM($J371&amp;"")="",0,SUMPRODUCT((입력_파견수련계획!$Q$4:$Q$803=TRIM($J371&amp;""))*(입력_파견수련계획!$S$4:$S$803="구리병원")*입력_파견수련계획!$W$4:$W$803))+IF($AG371="구리병원",MAX(0,DAY(EOMONTH(출력_요약!$B$3,0))-N($X371)),0)))</f>
        <v/>
      </c>
      <c r="AJ371" s="10">
        <f>IF(OR($B371="",TRIM($J371&amp;"")=""),"",IFERROR(MATCH(TRIM($J371&amp;"")&amp;"|월",입력_파견수련계획!$Z$4:$Z$803,0),""))</f>
        <v/>
      </c>
      <c r="AK371" s="10">
        <f>IF(OR($B371="",TRIM($J371&amp;"")=""),"",IFERROR(MATCH(TRIM($J371&amp;"")&amp;"|다기관",입력_파견수련계획!$AE$4:$AE$803,0),""))</f>
        <v/>
      </c>
      <c r="AL371" s="10">
        <f>IF($AK371="","","다기관 "&amp;TEXT(INDEX(입력_파견수련계획!$AB$4:$AB$803,$AK371),"yyyy-mm-dd")&amp;"~"&amp;IF(ISNUMBER(INDEX(입력_파견수련계획!$AC$4:$AC$803,$AK371)),TEXT(INDEX(입력_파견수련계획!$AC$4:$AC$803,$AK371),"yyyy-mm-dd"),""))</f>
        <v/>
      </c>
      <c r="AM371" s="10">
        <f>IF($Y371="서울병원",COUNTIF($Y$2:$Y371,"서울병원"),"")</f>
        <v/>
      </c>
      <c r="AN371" s="10">
        <f>IF(LEFT($Y371,1)="⚠",COUNTIF($Y$2:$Y371,"⚠*"),"")</f>
        <v/>
      </c>
      <c r="AO371" s="10">
        <f>IF(OR($B371="",$Y371=""),"",IF(IF(TRIM($J371&amp;"")="",0,SUMPRODUCT((입력_파견수련계획!$Q$4:$Q$803=TRIM($J371&amp;""))*입력_파견수련계획!$AD$4:$AD$803))&gt;0,"다기관 기간 → 소속병원 지급",IF(AND(N($X371)&lt;=0,$AQ371=""),"파견 없음 → 그 달 근무병원 지급",IF($AH371+$AI371=DAY(EOMONTH(출력_요약!$B$3,0)),"서울 "&amp;$AH371&amp;"일 / 구리 "&amp;$AI371&amp;"일"&amp;IF($AQ371&lt;&gt;""," (구리 근무자명단 반영)","")&amp;" → 15일 이상 근무 병원 지급","타 병원 포함 → "&amp;IF($AJ371="","소속",INDEX(입력_파견수련계획!$T$4:$T$803,$AJ371))&amp;" 규칙"))))</f>
        <v/>
      </c>
      <c r="AP371" s="10">
        <f>IF($B371="","",$C371&amp;"|"&amp;$F371)</f>
        <v/>
      </c>
      <c r="AQ371" s="10">
        <f>IF($B371="","",IFERROR(MATCH(ROW()-1,출력_구리근무자!$K$6:$K$305,0),""))</f>
        <v/>
      </c>
      <c r="AR371" s="10">
        <f>IF($AQ371="","",INDEX(출력_구리근무자!$H$6:$H$305,$AQ371))</f>
        <v/>
      </c>
    </row>
    <row r="372">
      <c r="A372" s="10">
        <f>IF(B372="","",ROW()-1)</f>
        <v/>
      </c>
      <c r="B372" s="19" t="n"/>
      <c r="C372" s="10">
        <f>IF($AB372="","",IF(INDEX(입력_기본자료!$C$2:$C$1001,$AB372)="","",INDEX(입력_기본자료!$C$2:$C$1001,$AB372)))</f>
        <v/>
      </c>
      <c r="D372" s="10">
        <f>IF($AB372="","",IF(INDEX(입력_기본자료!$J$2:$J$1001,$AB372)="","",INDEX(입력_기본자료!$J$2:$J$1001,$AB372)))</f>
        <v/>
      </c>
      <c r="E372" s="11">
        <f>IF($AB372="","",IF(INDEX(입력_기본자료!$K$2:$K$1001,$AB372)="","",IF(NOT(ISNUMBER(INDEX(입력_기본자료!$K$2:$K$1001,$AB372))),INDEX(입력_기본자료!$K$2:$K$1001,$AB372),IF(INDEX(입력_기본자료!$K$2:$K$1001,$AB372)&lt;1000000,INDEX(입력_기본자료!$K$2:$K$1001,$AB372),IF(AND(INDEX(입력_기본자료!$K$2:$K$1001,$AB372)&gt;=10000101,INT(MOD(INDEX(입력_기본자료!$K$2:$K$1001,$AB372),10000)/100)&gt;=1,INT(MOD(INDEX(입력_기본자료!$K$2:$K$1001,$AB372),10000)/100)&lt;=12,MOD(INDEX(입력_기본자료!$K$2:$K$1001,$AB372),100)&gt;=1,MOD(INDEX(입력_기본자료!$K$2:$K$1001,$AB372),100)&lt;=31),DATE(INT(INDEX(입력_기본자료!$K$2:$K$1001,$AB372)/10000),INT(MOD(INDEX(입력_기본자료!$K$2:$K$1001,$AB372),10000)/100),MOD(INDEX(입력_기본자료!$K$2:$K$1001,$AB372),100)),INDEX(입력_기본자료!$K$2:$K$1001,$AB372)&amp;"")))))</f>
        <v/>
      </c>
      <c r="F372" s="10">
        <f>IF($AB372="","",IF(INDEX(입력_기본자료!$D$2:$D$1001,$AB372)="","",INDEX(입력_기본자료!$D$2:$D$1001,$AB372)))</f>
        <v/>
      </c>
      <c r="G372" s="10">
        <f>IF($AB372="","",IF(INDEX(입력_기본자료!$E$2:$E$1001,$AB372)="","",INDEX(입력_기본자료!$E$2:$E$1001,$AB372)))</f>
        <v/>
      </c>
      <c r="H372" s="10">
        <f>IF($AB372="","",IF(INDEX(입력_기본자료!$F$2:$F$1001,$AB372)="","",INDEX(입력_기본자료!$F$2:$F$1001,$AB372)))</f>
        <v/>
      </c>
      <c r="I372" s="11">
        <f>IF($AB372="","",IF(INDEX(입력_기본자료!$G$2:$G$1001,$AB372)="","",IF(NOT(ISNUMBER(INDEX(입력_기본자료!$G$2:$G$1001,$AB372))),INDEX(입력_기본자료!$G$2:$G$1001,$AB372),IF(INDEX(입력_기본자료!$G$2:$G$1001,$AB372)&lt;1000000,INDEX(입력_기본자료!$G$2:$G$1001,$AB372),IF(AND(INDEX(입력_기본자료!$G$2:$G$1001,$AB372)&gt;=10000101,INT(MOD(INDEX(입력_기본자료!$G$2:$G$1001,$AB372),10000)/100)&gt;=1,INT(MOD(INDEX(입력_기본자료!$G$2:$G$1001,$AB372),10000)/100)&lt;=12,MOD(INDEX(입력_기본자료!$G$2:$G$1001,$AB372),100)&gt;=1,MOD(INDEX(입력_기본자료!$G$2:$G$1001,$AB372),100)&lt;=31),DATE(INT(INDEX(입력_기본자료!$G$2:$G$1001,$AB372)/10000),INT(MOD(INDEX(입력_기본자료!$G$2:$G$1001,$AB372),10000)/100),MOD(INDEX(입력_기본자료!$G$2:$G$1001,$AB372),100)),INDEX(입력_기본자료!$G$2:$G$1001,$AB372)&amp;"")))))</f>
        <v/>
      </c>
      <c r="J372" s="10">
        <f>IF($AB372="","",IF(INDEX(입력_기본자료!$H$2:$H$1001,$AB372)="","",INDEX(입력_기본자료!$H$2:$H$1001,$AB372)))</f>
        <v/>
      </c>
      <c r="K372" s="10">
        <f>IF($AB372="","",IF(INDEX(입력_기본자료!$I$2:$I$1001,$AB372)="","",INDEX(입력_기본자료!$I$2:$I$1001,$AB372)))</f>
        <v/>
      </c>
      <c r="L372" s="10">
        <f>IF($AB372="","",IF(INDEX(입력_기본자료!$A$2:$A$1001,$AB372)="","",INDEX(입력_기본자료!$A$2:$A$1001,$AB372)))</f>
        <v/>
      </c>
      <c r="M372" s="15" t="n"/>
      <c r="N372" s="10">
        <f>IF($B372="","",IF(AND($U372="파견중",$Q372&lt;&gt;""),$Q372,IF(AND($AD372&lt;&gt;"",LEFT($AD372,1)&lt;&gt;"⚠"),LEFT($AD372,FIND(" ",$AD372)-1),IF($H372="","",IF(RIGHT($H372,2)="병원",$H372,$H372&amp;"병원")))))</f>
        <v/>
      </c>
      <c r="O372" s="10">
        <f>IF($B372="","",IF(AND($U372="파견중",$Q372&lt;&gt;""),IF($R372&lt;&gt;"",$R372,"파견과 미입력"),IF(AND($AD372&lt;&gt;"",LEFT($AD372,1)&lt;&gt;"⚠"),MID($AD372,FIND(" ",$AD372)+1,60),IF($F372="","",IF($F372="인턴","수련교육부(인턴)",$F372)))))</f>
        <v/>
      </c>
      <c r="P372" s="10">
        <f>IF($B372="","",IF($AK372&lt;&gt;"",IF(AND(TODAY()&gt;=INDEX(입력_파견수련계획!$AB$4:$AB$803,$AK372),OR(NOT(ISNUMBER(INDEX(입력_파견수련계획!$AC$4:$AC$803,$AK372))),TODAY()&lt;=INDEX(입력_파견수련계획!$AC$4:$AC$803,$AK372))),"다기관",IF($AF372="","",INDEX(입력_파견수련계획!$T$4:$T$803,$AF372))),IF($AF372="","",INDEX(입력_파견수련계획!$T$4:$T$803,$AF372))))</f>
        <v/>
      </c>
      <c r="Q372" s="10">
        <f>IF($AF372="","",INDEX(입력_파견수련계획!$S$4:$S$803,$AF372))</f>
        <v/>
      </c>
      <c r="R372" s="10">
        <f>IF($AF372="","",INDEX(입력_파견수련계획!$U$4:$U$803,$AF372))</f>
        <v/>
      </c>
      <c r="S372" s="11">
        <f>IF($AF372="","",IF(INDEX(입력_파견수련계획!$H$4:$H$803,$AF372)="","",INDEX(입력_파견수련계획!$H$4:$H$803,$AF372)))</f>
        <v/>
      </c>
      <c r="T372" s="11">
        <f>IF($AF372="","",IF(INDEX(입력_파견수련계획!$I$4:$I$803,$AF372)="","",INDEX(입력_파견수련계획!$I$4:$I$803,$AF372)))</f>
        <v/>
      </c>
      <c r="U372" s="10">
        <f>IF($AF372="","",INDEX(입력_파견수련계획!$X$4:$X$803,$AF372))</f>
        <v/>
      </c>
      <c r="V372" s="17">
        <f>IF($AF372="","",INDEX(입력_파견수련계획!$V$4:$V$803,$AF372))</f>
        <v/>
      </c>
      <c r="W372" s="17">
        <f>IF(AND($U372="파견중",$T372&lt;&gt;""),$T372-TODAY(),"")</f>
        <v/>
      </c>
      <c r="X372" s="17">
        <f>IF(OR($B372="",TRIM($J372&amp;"")=""),"",SUMPRODUCT((입력_파견수련계획!$Q$4:$Q$803=TRIM($J372&amp;""))*입력_파견수련계획!$W$4:$W$803))</f>
        <v/>
      </c>
      <c r="Y372" s="10">
        <f>IF($B372="","",IF($AG372="","",IF(IF(TRIM($J372&amp;"")="",0,SUMPRODUCT((입력_파견수련계획!$Q$4:$Q$803=TRIM($J372&amp;""))*입력_파견수련계획!$AD$4:$AD$803))&gt;0,$AE372,IF(AND(N($X372)&lt;=0,$AQ372=""),$AG372,IF($AH372+$AI372=DAY(EOMONTH(출력_요약!$B$3,0)),IF(AND($AH372&gt;=출력_요약!$E$3,$AI372&lt;출력_요약!$E$3),"서울병원",IF(AND($AI372&gt;=출력_요약!$E$3,$AH372&lt;출력_요약!$E$3),"구리병원","⚠15일 판정불가(서울 "&amp;$AH372&amp;"일/구리 "&amp;$AI372&amp;"일)")),IF($AJ372="",$AE372,IF(INDEX(입력_파견수련계획!$T$4:$T$803,$AJ372)="통합수련",INDEX(입력_파견수련계획!$S$4:$S$803,$AJ372),$AE372)))))))</f>
        <v/>
      </c>
      <c r="Z372" s="20">
        <f>IF($B372="","",IF($AB372="","기본자료에 없는 사번",IF(COUNTIF($B$2:$B$401,$B372)&gt;1,"중복 사번",IF($AE372="","소속(입사장소) 입력",IF(IF(TRIM($J372&amp;"")="",0,SUMPRODUCT((입력_파견수련계획!$Q$4:$Q$803=TRIM($J372&amp;""))*(입력_파견수련계획!$AA$4:$AA$803&lt;&gt;"")))&gt;0,"파견수련계획 입력오류 확인",IF(LEFT($Y372,1)="⚠","서울·구리 15일 판정 불가(양쪽 모두 이상/미만)",IF(IF($AC372="",0,N(INDEX(입력_인턴근무계획!$T$3:$T$402,$AC372)))&gt;0,"인턴계획 입력오류 확인",IF(AND($AQ372&lt;&gt;"",$AG372&lt;&gt;"구리병원",IF(TRIM($J372&amp;"")="",0,SUMPRODUCT((입력_파견수련계획!$Q$4:$Q$803=TRIM($J372&amp;""))*(입력_파견수련계획!$S$4:$S$803="구리병원")*입력_파견수련계획!$W$4:$W$803))=0),"구리 근무자명단에만 있음(파견수련계획 확인)",IF(AND($AC372&lt;&gt;"",$U372&lt;&gt;"파견중",$N372&lt;&gt;$AE372),"인턴 타지역 근무: 파견 여부 확인","정상")))))))))</f>
        <v/>
      </c>
      <c r="AA372" s="5" t="n"/>
      <c r="AB372" s="10">
        <f>IF($B372="","",IFERROR(MATCH($B372,입력_기본자료!$B$2:$B$1001,0),IFERROR(MATCH($B372&amp;"",입력_기본자료!$B$2:$B$1001,0),IFERROR(MATCH(VALUE($B372),입력_기본자료!$B$2:$B$1001,0),""))))</f>
        <v/>
      </c>
      <c r="AC372" s="10">
        <f>IF($B372="","",IFERROR(MATCH($B372,입력_인턴근무계획!$D$3:$D$402,0),IFERROR(MATCH($B372&amp;"",입력_인턴근무계획!$D$3:$D$402,0),IFERROR(MATCH(VALUE($B372),입력_인턴근무계획!$D$3:$D$402,0),""))))</f>
        <v/>
      </c>
      <c r="AD372" s="10">
        <f>IF(OR($AC372="",출력_인턴현황!$G$3=""),"",INDEX(입력_인턴근무계획!$M$3:$R$402,$AC372,출력_인턴현황!$G$3)&amp;"")</f>
        <v/>
      </c>
      <c r="AE372" s="10">
        <f>IF($B372="","",IF($M372&lt;&gt;"",$M372,IF(IF($AQ372="",FALSE,INDEX(출력_구리근무자!$J$6:$J$305,$AQ372)="구리독자"),"구리병원",IF($AF372&lt;&gt;"",IF(LEFT(INDEX(입력_파견수련계획!$R$4:$R$803,$AF372),1)&lt;&gt;"⚠",INDEX(입력_파견수련계획!$R$4:$R$803,$AF372),IF($H372="","",IF(RIGHT($H372,2)="병원",$H372,$H372&amp;"병원"))),IF($H372="","",IF(RIGHT($H372,2)="병원",$H372,$H372&amp;"병원"))))))</f>
        <v/>
      </c>
      <c r="AF372" s="10">
        <f>IF(OR($B372="",TRIM($J372&amp;"")=""),"",IFERROR(MATCH(TRIM($J372&amp;"")&amp;"|파견중",입력_파견수련계획!$Y$4:$Y$803,0),IFERROR(MATCH(TRIM($J372&amp;"")&amp;"|파견예정",입력_파견수련계획!$Y$4:$Y$803,0),IFERROR(MATCH(TRIM($J372&amp;"")&amp;"|파견종료",입력_파견수련계획!$Y$4:$Y$803,0),""))))</f>
        <v/>
      </c>
      <c r="AG372" s="10">
        <f>IF($B372="","",IF(AND(IF(OR($AC372="",출력_인턴현황!$K$2=""),"",INDEX(입력_인턴근무계획!$M$3:$R$402,$AC372,출력_인턴현황!$K$2)&amp;"")&lt;&gt;"",LEFT(IF(OR($AC372="",출력_인턴현황!$K$2=""),"",INDEX(입력_인턴근무계획!$M$3:$R$402,$AC372,출력_인턴현황!$K$2)&amp;""),1)&lt;&gt;"⚠"),LEFT(IF(OR($AC372="",출력_인턴현황!$K$2=""),"",INDEX(입력_인턴근무계획!$M$3:$R$402,$AC372,출력_인턴현황!$K$2)&amp;""),FIND(" ",IF(OR($AC372="",출력_인턴현황!$K$2=""),"",INDEX(입력_인턴근무계획!$M$3:$R$402,$AC372,출력_인턴현황!$K$2)&amp;""))-1),$AE372))</f>
        <v/>
      </c>
      <c r="AH372" s="17">
        <f>IF($B372="","",IF($AQ372&lt;&gt;"",MAX(0,DAY(EOMONTH(출력_요약!$B$3,0))-N($AR372)),IF(TRIM($J372&amp;"")="",0,SUMPRODUCT((입력_파견수련계획!$Q$4:$Q$803=TRIM($J372&amp;""))*(입력_파견수련계획!$S$4:$S$803="서울병원")*입력_파견수련계획!$W$4:$W$803))+IF($AG372="서울병원",MAX(0,DAY(EOMONTH(출력_요약!$B$3,0))-N($X372)),0)))</f>
        <v/>
      </c>
      <c r="AI372" s="17">
        <f>IF($B372="","",IF($AQ372&lt;&gt;"",N($AR372),IF(TRIM($J372&amp;"")="",0,SUMPRODUCT((입력_파견수련계획!$Q$4:$Q$803=TRIM($J372&amp;""))*(입력_파견수련계획!$S$4:$S$803="구리병원")*입력_파견수련계획!$W$4:$W$803))+IF($AG372="구리병원",MAX(0,DAY(EOMONTH(출력_요약!$B$3,0))-N($X372)),0)))</f>
        <v/>
      </c>
      <c r="AJ372" s="10">
        <f>IF(OR($B372="",TRIM($J372&amp;"")=""),"",IFERROR(MATCH(TRIM($J372&amp;"")&amp;"|월",입력_파견수련계획!$Z$4:$Z$803,0),""))</f>
        <v/>
      </c>
      <c r="AK372" s="10">
        <f>IF(OR($B372="",TRIM($J372&amp;"")=""),"",IFERROR(MATCH(TRIM($J372&amp;"")&amp;"|다기관",입력_파견수련계획!$AE$4:$AE$803,0),""))</f>
        <v/>
      </c>
      <c r="AL372" s="10">
        <f>IF($AK372="","","다기관 "&amp;TEXT(INDEX(입력_파견수련계획!$AB$4:$AB$803,$AK372),"yyyy-mm-dd")&amp;"~"&amp;IF(ISNUMBER(INDEX(입력_파견수련계획!$AC$4:$AC$803,$AK372)),TEXT(INDEX(입력_파견수련계획!$AC$4:$AC$803,$AK372),"yyyy-mm-dd"),""))</f>
        <v/>
      </c>
      <c r="AM372" s="10">
        <f>IF($Y372="서울병원",COUNTIF($Y$2:$Y372,"서울병원"),"")</f>
        <v/>
      </c>
      <c r="AN372" s="10">
        <f>IF(LEFT($Y372,1)="⚠",COUNTIF($Y$2:$Y372,"⚠*"),"")</f>
        <v/>
      </c>
      <c r="AO372" s="10">
        <f>IF(OR($B372="",$Y372=""),"",IF(IF(TRIM($J372&amp;"")="",0,SUMPRODUCT((입력_파견수련계획!$Q$4:$Q$803=TRIM($J372&amp;""))*입력_파견수련계획!$AD$4:$AD$803))&gt;0,"다기관 기간 → 소속병원 지급",IF(AND(N($X372)&lt;=0,$AQ372=""),"파견 없음 → 그 달 근무병원 지급",IF($AH372+$AI372=DAY(EOMONTH(출력_요약!$B$3,0)),"서울 "&amp;$AH372&amp;"일 / 구리 "&amp;$AI372&amp;"일"&amp;IF($AQ372&lt;&gt;""," (구리 근무자명단 반영)","")&amp;" → 15일 이상 근무 병원 지급","타 병원 포함 → "&amp;IF($AJ372="","소속",INDEX(입력_파견수련계획!$T$4:$T$803,$AJ372))&amp;" 규칙"))))</f>
        <v/>
      </c>
      <c r="AP372" s="10">
        <f>IF($B372="","",$C372&amp;"|"&amp;$F372)</f>
        <v/>
      </c>
      <c r="AQ372" s="10">
        <f>IF($B372="","",IFERROR(MATCH(ROW()-1,출력_구리근무자!$K$6:$K$305,0),""))</f>
        <v/>
      </c>
      <c r="AR372" s="10">
        <f>IF($AQ372="","",INDEX(출력_구리근무자!$H$6:$H$305,$AQ372))</f>
        <v/>
      </c>
    </row>
    <row r="373">
      <c r="A373" s="10">
        <f>IF(B373="","",ROW()-1)</f>
        <v/>
      </c>
      <c r="B373" s="19" t="n"/>
      <c r="C373" s="10">
        <f>IF($AB373="","",IF(INDEX(입력_기본자료!$C$2:$C$1001,$AB373)="","",INDEX(입력_기본자료!$C$2:$C$1001,$AB373)))</f>
        <v/>
      </c>
      <c r="D373" s="10">
        <f>IF($AB373="","",IF(INDEX(입력_기본자료!$J$2:$J$1001,$AB373)="","",INDEX(입력_기본자료!$J$2:$J$1001,$AB373)))</f>
        <v/>
      </c>
      <c r="E373" s="11">
        <f>IF($AB373="","",IF(INDEX(입력_기본자료!$K$2:$K$1001,$AB373)="","",IF(NOT(ISNUMBER(INDEX(입력_기본자료!$K$2:$K$1001,$AB373))),INDEX(입력_기본자료!$K$2:$K$1001,$AB373),IF(INDEX(입력_기본자료!$K$2:$K$1001,$AB373)&lt;1000000,INDEX(입력_기본자료!$K$2:$K$1001,$AB373),IF(AND(INDEX(입력_기본자료!$K$2:$K$1001,$AB373)&gt;=10000101,INT(MOD(INDEX(입력_기본자료!$K$2:$K$1001,$AB373),10000)/100)&gt;=1,INT(MOD(INDEX(입력_기본자료!$K$2:$K$1001,$AB373),10000)/100)&lt;=12,MOD(INDEX(입력_기본자료!$K$2:$K$1001,$AB373),100)&gt;=1,MOD(INDEX(입력_기본자료!$K$2:$K$1001,$AB373),100)&lt;=31),DATE(INT(INDEX(입력_기본자료!$K$2:$K$1001,$AB373)/10000),INT(MOD(INDEX(입력_기본자료!$K$2:$K$1001,$AB373),10000)/100),MOD(INDEX(입력_기본자료!$K$2:$K$1001,$AB373),100)),INDEX(입력_기본자료!$K$2:$K$1001,$AB373)&amp;"")))))</f>
        <v/>
      </c>
      <c r="F373" s="10">
        <f>IF($AB373="","",IF(INDEX(입력_기본자료!$D$2:$D$1001,$AB373)="","",INDEX(입력_기본자료!$D$2:$D$1001,$AB373)))</f>
        <v/>
      </c>
      <c r="G373" s="10">
        <f>IF($AB373="","",IF(INDEX(입력_기본자료!$E$2:$E$1001,$AB373)="","",INDEX(입력_기본자료!$E$2:$E$1001,$AB373)))</f>
        <v/>
      </c>
      <c r="H373" s="10">
        <f>IF($AB373="","",IF(INDEX(입력_기본자료!$F$2:$F$1001,$AB373)="","",INDEX(입력_기본자료!$F$2:$F$1001,$AB373)))</f>
        <v/>
      </c>
      <c r="I373" s="11">
        <f>IF($AB373="","",IF(INDEX(입력_기본자료!$G$2:$G$1001,$AB373)="","",IF(NOT(ISNUMBER(INDEX(입력_기본자료!$G$2:$G$1001,$AB373))),INDEX(입력_기본자료!$G$2:$G$1001,$AB373),IF(INDEX(입력_기본자료!$G$2:$G$1001,$AB373)&lt;1000000,INDEX(입력_기본자료!$G$2:$G$1001,$AB373),IF(AND(INDEX(입력_기본자료!$G$2:$G$1001,$AB373)&gt;=10000101,INT(MOD(INDEX(입력_기본자료!$G$2:$G$1001,$AB373),10000)/100)&gt;=1,INT(MOD(INDEX(입력_기본자료!$G$2:$G$1001,$AB373),10000)/100)&lt;=12,MOD(INDEX(입력_기본자료!$G$2:$G$1001,$AB373),100)&gt;=1,MOD(INDEX(입력_기본자료!$G$2:$G$1001,$AB373),100)&lt;=31),DATE(INT(INDEX(입력_기본자료!$G$2:$G$1001,$AB373)/10000),INT(MOD(INDEX(입력_기본자료!$G$2:$G$1001,$AB373),10000)/100),MOD(INDEX(입력_기본자료!$G$2:$G$1001,$AB373),100)),INDEX(입력_기본자료!$G$2:$G$1001,$AB373)&amp;"")))))</f>
        <v/>
      </c>
      <c r="J373" s="10">
        <f>IF($AB373="","",IF(INDEX(입력_기본자료!$H$2:$H$1001,$AB373)="","",INDEX(입력_기본자료!$H$2:$H$1001,$AB373)))</f>
        <v/>
      </c>
      <c r="K373" s="10">
        <f>IF($AB373="","",IF(INDEX(입력_기본자료!$I$2:$I$1001,$AB373)="","",INDEX(입력_기본자료!$I$2:$I$1001,$AB373)))</f>
        <v/>
      </c>
      <c r="L373" s="10">
        <f>IF($AB373="","",IF(INDEX(입력_기본자료!$A$2:$A$1001,$AB373)="","",INDEX(입력_기본자료!$A$2:$A$1001,$AB373)))</f>
        <v/>
      </c>
      <c r="M373" s="15" t="n"/>
      <c r="N373" s="10">
        <f>IF($B373="","",IF(AND($U373="파견중",$Q373&lt;&gt;""),$Q373,IF(AND($AD373&lt;&gt;"",LEFT($AD373,1)&lt;&gt;"⚠"),LEFT($AD373,FIND(" ",$AD373)-1),IF($H373="","",IF(RIGHT($H373,2)="병원",$H373,$H373&amp;"병원")))))</f>
        <v/>
      </c>
      <c r="O373" s="10">
        <f>IF($B373="","",IF(AND($U373="파견중",$Q373&lt;&gt;""),IF($R373&lt;&gt;"",$R373,"파견과 미입력"),IF(AND($AD373&lt;&gt;"",LEFT($AD373,1)&lt;&gt;"⚠"),MID($AD373,FIND(" ",$AD373)+1,60),IF($F373="","",IF($F373="인턴","수련교육부(인턴)",$F373)))))</f>
        <v/>
      </c>
      <c r="P373" s="10">
        <f>IF($B373="","",IF($AK373&lt;&gt;"",IF(AND(TODAY()&gt;=INDEX(입력_파견수련계획!$AB$4:$AB$803,$AK373),OR(NOT(ISNUMBER(INDEX(입력_파견수련계획!$AC$4:$AC$803,$AK373))),TODAY()&lt;=INDEX(입력_파견수련계획!$AC$4:$AC$803,$AK373))),"다기관",IF($AF373="","",INDEX(입력_파견수련계획!$T$4:$T$803,$AF373))),IF($AF373="","",INDEX(입력_파견수련계획!$T$4:$T$803,$AF373))))</f>
        <v/>
      </c>
      <c r="Q373" s="10">
        <f>IF($AF373="","",INDEX(입력_파견수련계획!$S$4:$S$803,$AF373))</f>
        <v/>
      </c>
      <c r="R373" s="10">
        <f>IF($AF373="","",INDEX(입력_파견수련계획!$U$4:$U$803,$AF373))</f>
        <v/>
      </c>
      <c r="S373" s="11">
        <f>IF($AF373="","",IF(INDEX(입력_파견수련계획!$H$4:$H$803,$AF373)="","",INDEX(입력_파견수련계획!$H$4:$H$803,$AF373)))</f>
        <v/>
      </c>
      <c r="T373" s="11">
        <f>IF($AF373="","",IF(INDEX(입력_파견수련계획!$I$4:$I$803,$AF373)="","",INDEX(입력_파견수련계획!$I$4:$I$803,$AF373)))</f>
        <v/>
      </c>
      <c r="U373" s="10">
        <f>IF($AF373="","",INDEX(입력_파견수련계획!$X$4:$X$803,$AF373))</f>
        <v/>
      </c>
      <c r="V373" s="17">
        <f>IF($AF373="","",INDEX(입력_파견수련계획!$V$4:$V$803,$AF373))</f>
        <v/>
      </c>
      <c r="W373" s="17">
        <f>IF(AND($U373="파견중",$T373&lt;&gt;""),$T373-TODAY(),"")</f>
        <v/>
      </c>
      <c r="X373" s="17">
        <f>IF(OR($B373="",TRIM($J373&amp;"")=""),"",SUMPRODUCT((입력_파견수련계획!$Q$4:$Q$803=TRIM($J373&amp;""))*입력_파견수련계획!$W$4:$W$803))</f>
        <v/>
      </c>
      <c r="Y373" s="10">
        <f>IF($B373="","",IF($AG373="","",IF(IF(TRIM($J373&amp;"")="",0,SUMPRODUCT((입력_파견수련계획!$Q$4:$Q$803=TRIM($J373&amp;""))*입력_파견수련계획!$AD$4:$AD$803))&gt;0,$AE373,IF(AND(N($X373)&lt;=0,$AQ373=""),$AG373,IF($AH373+$AI373=DAY(EOMONTH(출력_요약!$B$3,0)),IF(AND($AH373&gt;=출력_요약!$E$3,$AI373&lt;출력_요약!$E$3),"서울병원",IF(AND($AI373&gt;=출력_요약!$E$3,$AH373&lt;출력_요약!$E$3),"구리병원","⚠15일 판정불가(서울 "&amp;$AH373&amp;"일/구리 "&amp;$AI373&amp;"일)")),IF($AJ373="",$AE373,IF(INDEX(입력_파견수련계획!$T$4:$T$803,$AJ373)="통합수련",INDEX(입력_파견수련계획!$S$4:$S$803,$AJ373),$AE373)))))))</f>
        <v/>
      </c>
      <c r="Z373" s="20">
        <f>IF($B373="","",IF($AB373="","기본자료에 없는 사번",IF(COUNTIF($B$2:$B$401,$B373)&gt;1,"중복 사번",IF($AE373="","소속(입사장소) 입력",IF(IF(TRIM($J373&amp;"")="",0,SUMPRODUCT((입력_파견수련계획!$Q$4:$Q$803=TRIM($J373&amp;""))*(입력_파견수련계획!$AA$4:$AA$803&lt;&gt;"")))&gt;0,"파견수련계획 입력오류 확인",IF(LEFT($Y373,1)="⚠","서울·구리 15일 판정 불가(양쪽 모두 이상/미만)",IF(IF($AC373="",0,N(INDEX(입력_인턴근무계획!$T$3:$T$402,$AC373)))&gt;0,"인턴계획 입력오류 확인",IF(AND($AQ373&lt;&gt;"",$AG373&lt;&gt;"구리병원",IF(TRIM($J373&amp;"")="",0,SUMPRODUCT((입력_파견수련계획!$Q$4:$Q$803=TRIM($J373&amp;""))*(입력_파견수련계획!$S$4:$S$803="구리병원")*입력_파견수련계획!$W$4:$W$803))=0),"구리 근무자명단에만 있음(파견수련계획 확인)",IF(AND($AC373&lt;&gt;"",$U373&lt;&gt;"파견중",$N373&lt;&gt;$AE373),"인턴 타지역 근무: 파견 여부 확인","정상")))))))))</f>
        <v/>
      </c>
      <c r="AA373" s="5" t="n"/>
      <c r="AB373" s="10">
        <f>IF($B373="","",IFERROR(MATCH($B373,입력_기본자료!$B$2:$B$1001,0),IFERROR(MATCH($B373&amp;"",입력_기본자료!$B$2:$B$1001,0),IFERROR(MATCH(VALUE($B373),입력_기본자료!$B$2:$B$1001,0),""))))</f>
        <v/>
      </c>
      <c r="AC373" s="10">
        <f>IF($B373="","",IFERROR(MATCH($B373,입력_인턴근무계획!$D$3:$D$402,0),IFERROR(MATCH($B373&amp;"",입력_인턴근무계획!$D$3:$D$402,0),IFERROR(MATCH(VALUE($B373),입력_인턴근무계획!$D$3:$D$402,0),""))))</f>
        <v/>
      </c>
      <c r="AD373" s="10">
        <f>IF(OR($AC373="",출력_인턴현황!$G$3=""),"",INDEX(입력_인턴근무계획!$M$3:$R$402,$AC373,출력_인턴현황!$G$3)&amp;"")</f>
        <v/>
      </c>
      <c r="AE373" s="10">
        <f>IF($B373="","",IF($M373&lt;&gt;"",$M373,IF(IF($AQ373="",FALSE,INDEX(출력_구리근무자!$J$6:$J$305,$AQ373)="구리독자"),"구리병원",IF($AF373&lt;&gt;"",IF(LEFT(INDEX(입력_파견수련계획!$R$4:$R$803,$AF373),1)&lt;&gt;"⚠",INDEX(입력_파견수련계획!$R$4:$R$803,$AF373),IF($H373="","",IF(RIGHT($H373,2)="병원",$H373,$H373&amp;"병원"))),IF($H373="","",IF(RIGHT($H373,2)="병원",$H373,$H373&amp;"병원"))))))</f>
        <v/>
      </c>
      <c r="AF373" s="10">
        <f>IF(OR($B373="",TRIM($J373&amp;"")=""),"",IFERROR(MATCH(TRIM($J373&amp;"")&amp;"|파견중",입력_파견수련계획!$Y$4:$Y$803,0),IFERROR(MATCH(TRIM($J373&amp;"")&amp;"|파견예정",입력_파견수련계획!$Y$4:$Y$803,0),IFERROR(MATCH(TRIM($J373&amp;"")&amp;"|파견종료",입력_파견수련계획!$Y$4:$Y$803,0),""))))</f>
        <v/>
      </c>
      <c r="AG373" s="10">
        <f>IF($B373="","",IF(AND(IF(OR($AC373="",출력_인턴현황!$K$2=""),"",INDEX(입력_인턴근무계획!$M$3:$R$402,$AC373,출력_인턴현황!$K$2)&amp;"")&lt;&gt;"",LEFT(IF(OR($AC373="",출력_인턴현황!$K$2=""),"",INDEX(입력_인턴근무계획!$M$3:$R$402,$AC373,출력_인턴현황!$K$2)&amp;""),1)&lt;&gt;"⚠"),LEFT(IF(OR($AC373="",출력_인턴현황!$K$2=""),"",INDEX(입력_인턴근무계획!$M$3:$R$402,$AC373,출력_인턴현황!$K$2)&amp;""),FIND(" ",IF(OR($AC373="",출력_인턴현황!$K$2=""),"",INDEX(입력_인턴근무계획!$M$3:$R$402,$AC373,출력_인턴현황!$K$2)&amp;""))-1),$AE373))</f>
        <v/>
      </c>
      <c r="AH373" s="17">
        <f>IF($B373="","",IF($AQ373&lt;&gt;"",MAX(0,DAY(EOMONTH(출력_요약!$B$3,0))-N($AR373)),IF(TRIM($J373&amp;"")="",0,SUMPRODUCT((입력_파견수련계획!$Q$4:$Q$803=TRIM($J373&amp;""))*(입력_파견수련계획!$S$4:$S$803="서울병원")*입력_파견수련계획!$W$4:$W$803))+IF($AG373="서울병원",MAX(0,DAY(EOMONTH(출력_요약!$B$3,0))-N($X373)),0)))</f>
        <v/>
      </c>
      <c r="AI373" s="17">
        <f>IF($B373="","",IF($AQ373&lt;&gt;"",N($AR373),IF(TRIM($J373&amp;"")="",0,SUMPRODUCT((입력_파견수련계획!$Q$4:$Q$803=TRIM($J373&amp;""))*(입력_파견수련계획!$S$4:$S$803="구리병원")*입력_파견수련계획!$W$4:$W$803))+IF($AG373="구리병원",MAX(0,DAY(EOMONTH(출력_요약!$B$3,0))-N($X373)),0)))</f>
        <v/>
      </c>
      <c r="AJ373" s="10">
        <f>IF(OR($B373="",TRIM($J373&amp;"")=""),"",IFERROR(MATCH(TRIM($J373&amp;"")&amp;"|월",입력_파견수련계획!$Z$4:$Z$803,0),""))</f>
        <v/>
      </c>
      <c r="AK373" s="10">
        <f>IF(OR($B373="",TRIM($J373&amp;"")=""),"",IFERROR(MATCH(TRIM($J373&amp;"")&amp;"|다기관",입력_파견수련계획!$AE$4:$AE$803,0),""))</f>
        <v/>
      </c>
      <c r="AL373" s="10">
        <f>IF($AK373="","","다기관 "&amp;TEXT(INDEX(입력_파견수련계획!$AB$4:$AB$803,$AK373),"yyyy-mm-dd")&amp;"~"&amp;IF(ISNUMBER(INDEX(입력_파견수련계획!$AC$4:$AC$803,$AK373)),TEXT(INDEX(입력_파견수련계획!$AC$4:$AC$803,$AK373),"yyyy-mm-dd"),""))</f>
        <v/>
      </c>
      <c r="AM373" s="10">
        <f>IF($Y373="서울병원",COUNTIF($Y$2:$Y373,"서울병원"),"")</f>
        <v/>
      </c>
      <c r="AN373" s="10">
        <f>IF(LEFT($Y373,1)="⚠",COUNTIF($Y$2:$Y373,"⚠*"),"")</f>
        <v/>
      </c>
      <c r="AO373" s="10">
        <f>IF(OR($B373="",$Y373=""),"",IF(IF(TRIM($J373&amp;"")="",0,SUMPRODUCT((입력_파견수련계획!$Q$4:$Q$803=TRIM($J373&amp;""))*입력_파견수련계획!$AD$4:$AD$803))&gt;0,"다기관 기간 → 소속병원 지급",IF(AND(N($X373)&lt;=0,$AQ373=""),"파견 없음 → 그 달 근무병원 지급",IF($AH373+$AI373=DAY(EOMONTH(출력_요약!$B$3,0)),"서울 "&amp;$AH373&amp;"일 / 구리 "&amp;$AI373&amp;"일"&amp;IF($AQ373&lt;&gt;""," (구리 근무자명단 반영)","")&amp;" → 15일 이상 근무 병원 지급","타 병원 포함 → "&amp;IF($AJ373="","소속",INDEX(입력_파견수련계획!$T$4:$T$803,$AJ373))&amp;" 규칙"))))</f>
        <v/>
      </c>
      <c r="AP373" s="10">
        <f>IF($B373="","",$C373&amp;"|"&amp;$F373)</f>
        <v/>
      </c>
      <c r="AQ373" s="10">
        <f>IF($B373="","",IFERROR(MATCH(ROW()-1,출력_구리근무자!$K$6:$K$305,0),""))</f>
        <v/>
      </c>
      <c r="AR373" s="10">
        <f>IF($AQ373="","",INDEX(출력_구리근무자!$H$6:$H$305,$AQ373))</f>
        <v/>
      </c>
    </row>
    <row r="374">
      <c r="A374" s="10">
        <f>IF(B374="","",ROW()-1)</f>
        <v/>
      </c>
      <c r="B374" s="19" t="n"/>
      <c r="C374" s="10">
        <f>IF($AB374="","",IF(INDEX(입력_기본자료!$C$2:$C$1001,$AB374)="","",INDEX(입력_기본자료!$C$2:$C$1001,$AB374)))</f>
        <v/>
      </c>
      <c r="D374" s="10">
        <f>IF($AB374="","",IF(INDEX(입력_기본자료!$J$2:$J$1001,$AB374)="","",INDEX(입력_기본자료!$J$2:$J$1001,$AB374)))</f>
        <v/>
      </c>
      <c r="E374" s="11">
        <f>IF($AB374="","",IF(INDEX(입력_기본자료!$K$2:$K$1001,$AB374)="","",IF(NOT(ISNUMBER(INDEX(입력_기본자료!$K$2:$K$1001,$AB374))),INDEX(입력_기본자료!$K$2:$K$1001,$AB374),IF(INDEX(입력_기본자료!$K$2:$K$1001,$AB374)&lt;1000000,INDEX(입력_기본자료!$K$2:$K$1001,$AB374),IF(AND(INDEX(입력_기본자료!$K$2:$K$1001,$AB374)&gt;=10000101,INT(MOD(INDEX(입력_기본자료!$K$2:$K$1001,$AB374),10000)/100)&gt;=1,INT(MOD(INDEX(입력_기본자료!$K$2:$K$1001,$AB374),10000)/100)&lt;=12,MOD(INDEX(입력_기본자료!$K$2:$K$1001,$AB374),100)&gt;=1,MOD(INDEX(입력_기본자료!$K$2:$K$1001,$AB374),100)&lt;=31),DATE(INT(INDEX(입력_기본자료!$K$2:$K$1001,$AB374)/10000),INT(MOD(INDEX(입력_기본자료!$K$2:$K$1001,$AB374),10000)/100),MOD(INDEX(입력_기본자료!$K$2:$K$1001,$AB374),100)),INDEX(입력_기본자료!$K$2:$K$1001,$AB374)&amp;"")))))</f>
        <v/>
      </c>
      <c r="F374" s="10">
        <f>IF($AB374="","",IF(INDEX(입력_기본자료!$D$2:$D$1001,$AB374)="","",INDEX(입력_기본자료!$D$2:$D$1001,$AB374)))</f>
        <v/>
      </c>
      <c r="G374" s="10">
        <f>IF($AB374="","",IF(INDEX(입력_기본자료!$E$2:$E$1001,$AB374)="","",INDEX(입력_기본자료!$E$2:$E$1001,$AB374)))</f>
        <v/>
      </c>
      <c r="H374" s="10">
        <f>IF($AB374="","",IF(INDEX(입력_기본자료!$F$2:$F$1001,$AB374)="","",INDEX(입력_기본자료!$F$2:$F$1001,$AB374)))</f>
        <v/>
      </c>
      <c r="I374" s="11">
        <f>IF($AB374="","",IF(INDEX(입력_기본자료!$G$2:$G$1001,$AB374)="","",IF(NOT(ISNUMBER(INDEX(입력_기본자료!$G$2:$G$1001,$AB374))),INDEX(입력_기본자료!$G$2:$G$1001,$AB374),IF(INDEX(입력_기본자료!$G$2:$G$1001,$AB374)&lt;1000000,INDEX(입력_기본자료!$G$2:$G$1001,$AB374),IF(AND(INDEX(입력_기본자료!$G$2:$G$1001,$AB374)&gt;=10000101,INT(MOD(INDEX(입력_기본자료!$G$2:$G$1001,$AB374),10000)/100)&gt;=1,INT(MOD(INDEX(입력_기본자료!$G$2:$G$1001,$AB374),10000)/100)&lt;=12,MOD(INDEX(입력_기본자료!$G$2:$G$1001,$AB374),100)&gt;=1,MOD(INDEX(입력_기본자료!$G$2:$G$1001,$AB374),100)&lt;=31),DATE(INT(INDEX(입력_기본자료!$G$2:$G$1001,$AB374)/10000),INT(MOD(INDEX(입력_기본자료!$G$2:$G$1001,$AB374),10000)/100),MOD(INDEX(입력_기본자료!$G$2:$G$1001,$AB374),100)),INDEX(입력_기본자료!$G$2:$G$1001,$AB374)&amp;"")))))</f>
        <v/>
      </c>
      <c r="J374" s="10">
        <f>IF($AB374="","",IF(INDEX(입력_기본자료!$H$2:$H$1001,$AB374)="","",INDEX(입력_기본자료!$H$2:$H$1001,$AB374)))</f>
        <v/>
      </c>
      <c r="K374" s="10">
        <f>IF($AB374="","",IF(INDEX(입력_기본자료!$I$2:$I$1001,$AB374)="","",INDEX(입력_기본자료!$I$2:$I$1001,$AB374)))</f>
        <v/>
      </c>
      <c r="L374" s="10">
        <f>IF($AB374="","",IF(INDEX(입력_기본자료!$A$2:$A$1001,$AB374)="","",INDEX(입력_기본자료!$A$2:$A$1001,$AB374)))</f>
        <v/>
      </c>
      <c r="M374" s="15" t="n"/>
      <c r="N374" s="10">
        <f>IF($B374="","",IF(AND($U374="파견중",$Q374&lt;&gt;""),$Q374,IF(AND($AD374&lt;&gt;"",LEFT($AD374,1)&lt;&gt;"⚠"),LEFT($AD374,FIND(" ",$AD374)-1),IF($H374="","",IF(RIGHT($H374,2)="병원",$H374,$H374&amp;"병원")))))</f>
        <v/>
      </c>
      <c r="O374" s="10">
        <f>IF($B374="","",IF(AND($U374="파견중",$Q374&lt;&gt;""),IF($R374&lt;&gt;"",$R374,"파견과 미입력"),IF(AND($AD374&lt;&gt;"",LEFT($AD374,1)&lt;&gt;"⚠"),MID($AD374,FIND(" ",$AD374)+1,60),IF($F374="","",IF($F374="인턴","수련교육부(인턴)",$F374)))))</f>
        <v/>
      </c>
      <c r="P374" s="10">
        <f>IF($B374="","",IF($AK374&lt;&gt;"",IF(AND(TODAY()&gt;=INDEX(입력_파견수련계획!$AB$4:$AB$803,$AK374),OR(NOT(ISNUMBER(INDEX(입력_파견수련계획!$AC$4:$AC$803,$AK374))),TODAY()&lt;=INDEX(입력_파견수련계획!$AC$4:$AC$803,$AK374))),"다기관",IF($AF374="","",INDEX(입력_파견수련계획!$T$4:$T$803,$AF374))),IF($AF374="","",INDEX(입력_파견수련계획!$T$4:$T$803,$AF374))))</f>
        <v/>
      </c>
      <c r="Q374" s="10">
        <f>IF($AF374="","",INDEX(입력_파견수련계획!$S$4:$S$803,$AF374))</f>
        <v/>
      </c>
      <c r="R374" s="10">
        <f>IF($AF374="","",INDEX(입력_파견수련계획!$U$4:$U$803,$AF374))</f>
        <v/>
      </c>
      <c r="S374" s="11">
        <f>IF($AF374="","",IF(INDEX(입력_파견수련계획!$H$4:$H$803,$AF374)="","",INDEX(입력_파견수련계획!$H$4:$H$803,$AF374)))</f>
        <v/>
      </c>
      <c r="T374" s="11">
        <f>IF($AF374="","",IF(INDEX(입력_파견수련계획!$I$4:$I$803,$AF374)="","",INDEX(입력_파견수련계획!$I$4:$I$803,$AF374)))</f>
        <v/>
      </c>
      <c r="U374" s="10">
        <f>IF($AF374="","",INDEX(입력_파견수련계획!$X$4:$X$803,$AF374))</f>
        <v/>
      </c>
      <c r="V374" s="17">
        <f>IF($AF374="","",INDEX(입력_파견수련계획!$V$4:$V$803,$AF374))</f>
        <v/>
      </c>
      <c r="W374" s="17">
        <f>IF(AND($U374="파견중",$T374&lt;&gt;""),$T374-TODAY(),"")</f>
        <v/>
      </c>
      <c r="X374" s="17">
        <f>IF(OR($B374="",TRIM($J374&amp;"")=""),"",SUMPRODUCT((입력_파견수련계획!$Q$4:$Q$803=TRIM($J374&amp;""))*입력_파견수련계획!$W$4:$W$803))</f>
        <v/>
      </c>
      <c r="Y374" s="10">
        <f>IF($B374="","",IF($AG374="","",IF(IF(TRIM($J374&amp;"")="",0,SUMPRODUCT((입력_파견수련계획!$Q$4:$Q$803=TRIM($J374&amp;""))*입력_파견수련계획!$AD$4:$AD$803))&gt;0,$AE374,IF(AND(N($X374)&lt;=0,$AQ374=""),$AG374,IF($AH374+$AI374=DAY(EOMONTH(출력_요약!$B$3,0)),IF(AND($AH374&gt;=출력_요약!$E$3,$AI374&lt;출력_요약!$E$3),"서울병원",IF(AND($AI374&gt;=출력_요약!$E$3,$AH374&lt;출력_요약!$E$3),"구리병원","⚠15일 판정불가(서울 "&amp;$AH374&amp;"일/구리 "&amp;$AI374&amp;"일)")),IF($AJ374="",$AE374,IF(INDEX(입력_파견수련계획!$T$4:$T$803,$AJ374)="통합수련",INDEX(입력_파견수련계획!$S$4:$S$803,$AJ374),$AE374)))))))</f>
        <v/>
      </c>
      <c r="Z374" s="20">
        <f>IF($B374="","",IF($AB374="","기본자료에 없는 사번",IF(COUNTIF($B$2:$B$401,$B374)&gt;1,"중복 사번",IF($AE374="","소속(입사장소) 입력",IF(IF(TRIM($J374&amp;"")="",0,SUMPRODUCT((입력_파견수련계획!$Q$4:$Q$803=TRIM($J374&amp;""))*(입력_파견수련계획!$AA$4:$AA$803&lt;&gt;"")))&gt;0,"파견수련계획 입력오류 확인",IF(LEFT($Y374,1)="⚠","서울·구리 15일 판정 불가(양쪽 모두 이상/미만)",IF(IF($AC374="",0,N(INDEX(입력_인턴근무계획!$T$3:$T$402,$AC374)))&gt;0,"인턴계획 입력오류 확인",IF(AND($AQ374&lt;&gt;"",$AG374&lt;&gt;"구리병원",IF(TRIM($J374&amp;"")="",0,SUMPRODUCT((입력_파견수련계획!$Q$4:$Q$803=TRIM($J374&amp;""))*(입력_파견수련계획!$S$4:$S$803="구리병원")*입력_파견수련계획!$W$4:$W$803))=0),"구리 근무자명단에만 있음(파견수련계획 확인)",IF(AND($AC374&lt;&gt;"",$U374&lt;&gt;"파견중",$N374&lt;&gt;$AE374),"인턴 타지역 근무: 파견 여부 확인","정상")))))))))</f>
        <v/>
      </c>
      <c r="AA374" s="5" t="n"/>
      <c r="AB374" s="10">
        <f>IF($B374="","",IFERROR(MATCH($B374,입력_기본자료!$B$2:$B$1001,0),IFERROR(MATCH($B374&amp;"",입력_기본자료!$B$2:$B$1001,0),IFERROR(MATCH(VALUE($B374),입력_기본자료!$B$2:$B$1001,0),""))))</f>
        <v/>
      </c>
      <c r="AC374" s="10">
        <f>IF($B374="","",IFERROR(MATCH($B374,입력_인턴근무계획!$D$3:$D$402,0),IFERROR(MATCH($B374&amp;"",입력_인턴근무계획!$D$3:$D$402,0),IFERROR(MATCH(VALUE($B374),입력_인턴근무계획!$D$3:$D$402,0),""))))</f>
        <v/>
      </c>
      <c r="AD374" s="10">
        <f>IF(OR($AC374="",출력_인턴현황!$G$3=""),"",INDEX(입력_인턴근무계획!$M$3:$R$402,$AC374,출력_인턴현황!$G$3)&amp;"")</f>
        <v/>
      </c>
      <c r="AE374" s="10">
        <f>IF($B374="","",IF($M374&lt;&gt;"",$M374,IF(IF($AQ374="",FALSE,INDEX(출력_구리근무자!$J$6:$J$305,$AQ374)="구리독자"),"구리병원",IF($AF374&lt;&gt;"",IF(LEFT(INDEX(입력_파견수련계획!$R$4:$R$803,$AF374),1)&lt;&gt;"⚠",INDEX(입력_파견수련계획!$R$4:$R$803,$AF374),IF($H374="","",IF(RIGHT($H374,2)="병원",$H374,$H374&amp;"병원"))),IF($H374="","",IF(RIGHT($H374,2)="병원",$H374,$H374&amp;"병원"))))))</f>
        <v/>
      </c>
      <c r="AF374" s="10">
        <f>IF(OR($B374="",TRIM($J374&amp;"")=""),"",IFERROR(MATCH(TRIM($J374&amp;"")&amp;"|파견중",입력_파견수련계획!$Y$4:$Y$803,0),IFERROR(MATCH(TRIM($J374&amp;"")&amp;"|파견예정",입력_파견수련계획!$Y$4:$Y$803,0),IFERROR(MATCH(TRIM($J374&amp;"")&amp;"|파견종료",입력_파견수련계획!$Y$4:$Y$803,0),""))))</f>
        <v/>
      </c>
      <c r="AG374" s="10">
        <f>IF($B374="","",IF(AND(IF(OR($AC374="",출력_인턴현황!$K$2=""),"",INDEX(입력_인턴근무계획!$M$3:$R$402,$AC374,출력_인턴현황!$K$2)&amp;"")&lt;&gt;"",LEFT(IF(OR($AC374="",출력_인턴현황!$K$2=""),"",INDEX(입력_인턴근무계획!$M$3:$R$402,$AC374,출력_인턴현황!$K$2)&amp;""),1)&lt;&gt;"⚠"),LEFT(IF(OR($AC374="",출력_인턴현황!$K$2=""),"",INDEX(입력_인턴근무계획!$M$3:$R$402,$AC374,출력_인턴현황!$K$2)&amp;""),FIND(" ",IF(OR($AC374="",출력_인턴현황!$K$2=""),"",INDEX(입력_인턴근무계획!$M$3:$R$402,$AC374,출력_인턴현황!$K$2)&amp;""))-1),$AE374))</f>
        <v/>
      </c>
      <c r="AH374" s="17">
        <f>IF($B374="","",IF($AQ374&lt;&gt;"",MAX(0,DAY(EOMONTH(출력_요약!$B$3,0))-N($AR374)),IF(TRIM($J374&amp;"")="",0,SUMPRODUCT((입력_파견수련계획!$Q$4:$Q$803=TRIM($J374&amp;""))*(입력_파견수련계획!$S$4:$S$803="서울병원")*입력_파견수련계획!$W$4:$W$803))+IF($AG374="서울병원",MAX(0,DAY(EOMONTH(출력_요약!$B$3,0))-N($X374)),0)))</f>
        <v/>
      </c>
      <c r="AI374" s="17">
        <f>IF($B374="","",IF($AQ374&lt;&gt;"",N($AR374),IF(TRIM($J374&amp;"")="",0,SUMPRODUCT((입력_파견수련계획!$Q$4:$Q$803=TRIM($J374&amp;""))*(입력_파견수련계획!$S$4:$S$803="구리병원")*입력_파견수련계획!$W$4:$W$803))+IF($AG374="구리병원",MAX(0,DAY(EOMONTH(출력_요약!$B$3,0))-N($X374)),0)))</f>
        <v/>
      </c>
      <c r="AJ374" s="10">
        <f>IF(OR($B374="",TRIM($J374&amp;"")=""),"",IFERROR(MATCH(TRIM($J374&amp;"")&amp;"|월",입력_파견수련계획!$Z$4:$Z$803,0),""))</f>
        <v/>
      </c>
      <c r="AK374" s="10">
        <f>IF(OR($B374="",TRIM($J374&amp;"")=""),"",IFERROR(MATCH(TRIM($J374&amp;"")&amp;"|다기관",입력_파견수련계획!$AE$4:$AE$803,0),""))</f>
        <v/>
      </c>
      <c r="AL374" s="10">
        <f>IF($AK374="","","다기관 "&amp;TEXT(INDEX(입력_파견수련계획!$AB$4:$AB$803,$AK374),"yyyy-mm-dd")&amp;"~"&amp;IF(ISNUMBER(INDEX(입력_파견수련계획!$AC$4:$AC$803,$AK374)),TEXT(INDEX(입력_파견수련계획!$AC$4:$AC$803,$AK374),"yyyy-mm-dd"),""))</f>
        <v/>
      </c>
      <c r="AM374" s="10">
        <f>IF($Y374="서울병원",COUNTIF($Y$2:$Y374,"서울병원"),"")</f>
        <v/>
      </c>
      <c r="AN374" s="10">
        <f>IF(LEFT($Y374,1)="⚠",COUNTIF($Y$2:$Y374,"⚠*"),"")</f>
        <v/>
      </c>
      <c r="AO374" s="10">
        <f>IF(OR($B374="",$Y374=""),"",IF(IF(TRIM($J374&amp;"")="",0,SUMPRODUCT((입력_파견수련계획!$Q$4:$Q$803=TRIM($J374&amp;""))*입력_파견수련계획!$AD$4:$AD$803))&gt;0,"다기관 기간 → 소속병원 지급",IF(AND(N($X374)&lt;=0,$AQ374=""),"파견 없음 → 그 달 근무병원 지급",IF($AH374+$AI374=DAY(EOMONTH(출력_요약!$B$3,0)),"서울 "&amp;$AH374&amp;"일 / 구리 "&amp;$AI374&amp;"일"&amp;IF($AQ374&lt;&gt;""," (구리 근무자명단 반영)","")&amp;" → 15일 이상 근무 병원 지급","타 병원 포함 → "&amp;IF($AJ374="","소속",INDEX(입력_파견수련계획!$T$4:$T$803,$AJ374))&amp;" 규칙"))))</f>
        <v/>
      </c>
      <c r="AP374" s="10">
        <f>IF($B374="","",$C374&amp;"|"&amp;$F374)</f>
        <v/>
      </c>
      <c r="AQ374" s="10">
        <f>IF($B374="","",IFERROR(MATCH(ROW()-1,출력_구리근무자!$K$6:$K$305,0),""))</f>
        <v/>
      </c>
      <c r="AR374" s="10">
        <f>IF($AQ374="","",INDEX(출력_구리근무자!$H$6:$H$305,$AQ374))</f>
        <v/>
      </c>
    </row>
    <row r="375">
      <c r="A375" s="10">
        <f>IF(B375="","",ROW()-1)</f>
        <v/>
      </c>
      <c r="B375" s="19" t="n"/>
      <c r="C375" s="10">
        <f>IF($AB375="","",IF(INDEX(입력_기본자료!$C$2:$C$1001,$AB375)="","",INDEX(입력_기본자료!$C$2:$C$1001,$AB375)))</f>
        <v/>
      </c>
      <c r="D375" s="10">
        <f>IF($AB375="","",IF(INDEX(입력_기본자료!$J$2:$J$1001,$AB375)="","",INDEX(입력_기본자료!$J$2:$J$1001,$AB375)))</f>
        <v/>
      </c>
      <c r="E375" s="11">
        <f>IF($AB375="","",IF(INDEX(입력_기본자료!$K$2:$K$1001,$AB375)="","",IF(NOT(ISNUMBER(INDEX(입력_기본자료!$K$2:$K$1001,$AB375))),INDEX(입력_기본자료!$K$2:$K$1001,$AB375),IF(INDEX(입력_기본자료!$K$2:$K$1001,$AB375)&lt;1000000,INDEX(입력_기본자료!$K$2:$K$1001,$AB375),IF(AND(INDEX(입력_기본자료!$K$2:$K$1001,$AB375)&gt;=10000101,INT(MOD(INDEX(입력_기본자료!$K$2:$K$1001,$AB375),10000)/100)&gt;=1,INT(MOD(INDEX(입력_기본자료!$K$2:$K$1001,$AB375),10000)/100)&lt;=12,MOD(INDEX(입력_기본자료!$K$2:$K$1001,$AB375),100)&gt;=1,MOD(INDEX(입력_기본자료!$K$2:$K$1001,$AB375),100)&lt;=31),DATE(INT(INDEX(입력_기본자료!$K$2:$K$1001,$AB375)/10000),INT(MOD(INDEX(입력_기본자료!$K$2:$K$1001,$AB375),10000)/100),MOD(INDEX(입력_기본자료!$K$2:$K$1001,$AB375),100)),INDEX(입력_기본자료!$K$2:$K$1001,$AB375)&amp;"")))))</f>
        <v/>
      </c>
      <c r="F375" s="10">
        <f>IF($AB375="","",IF(INDEX(입력_기본자료!$D$2:$D$1001,$AB375)="","",INDEX(입력_기본자료!$D$2:$D$1001,$AB375)))</f>
        <v/>
      </c>
      <c r="G375" s="10">
        <f>IF($AB375="","",IF(INDEX(입력_기본자료!$E$2:$E$1001,$AB375)="","",INDEX(입력_기본자료!$E$2:$E$1001,$AB375)))</f>
        <v/>
      </c>
      <c r="H375" s="10">
        <f>IF($AB375="","",IF(INDEX(입력_기본자료!$F$2:$F$1001,$AB375)="","",INDEX(입력_기본자료!$F$2:$F$1001,$AB375)))</f>
        <v/>
      </c>
      <c r="I375" s="11">
        <f>IF($AB375="","",IF(INDEX(입력_기본자료!$G$2:$G$1001,$AB375)="","",IF(NOT(ISNUMBER(INDEX(입력_기본자료!$G$2:$G$1001,$AB375))),INDEX(입력_기본자료!$G$2:$G$1001,$AB375),IF(INDEX(입력_기본자료!$G$2:$G$1001,$AB375)&lt;1000000,INDEX(입력_기본자료!$G$2:$G$1001,$AB375),IF(AND(INDEX(입력_기본자료!$G$2:$G$1001,$AB375)&gt;=10000101,INT(MOD(INDEX(입력_기본자료!$G$2:$G$1001,$AB375),10000)/100)&gt;=1,INT(MOD(INDEX(입력_기본자료!$G$2:$G$1001,$AB375),10000)/100)&lt;=12,MOD(INDEX(입력_기본자료!$G$2:$G$1001,$AB375),100)&gt;=1,MOD(INDEX(입력_기본자료!$G$2:$G$1001,$AB375),100)&lt;=31),DATE(INT(INDEX(입력_기본자료!$G$2:$G$1001,$AB375)/10000),INT(MOD(INDEX(입력_기본자료!$G$2:$G$1001,$AB375),10000)/100),MOD(INDEX(입력_기본자료!$G$2:$G$1001,$AB375),100)),INDEX(입력_기본자료!$G$2:$G$1001,$AB375)&amp;"")))))</f>
        <v/>
      </c>
      <c r="J375" s="10">
        <f>IF($AB375="","",IF(INDEX(입력_기본자료!$H$2:$H$1001,$AB375)="","",INDEX(입력_기본자료!$H$2:$H$1001,$AB375)))</f>
        <v/>
      </c>
      <c r="K375" s="10">
        <f>IF($AB375="","",IF(INDEX(입력_기본자료!$I$2:$I$1001,$AB375)="","",INDEX(입력_기본자료!$I$2:$I$1001,$AB375)))</f>
        <v/>
      </c>
      <c r="L375" s="10">
        <f>IF($AB375="","",IF(INDEX(입력_기본자료!$A$2:$A$1001,$AB375)="","",INDEX(입력_기본자료!$A$2:$A$1001,$AB375)))</f>
        <v/>
      </c>
      <c r="M375" s="15" t="n"/>
      <c r="N375" s="10">
        <f>IF($B375="","",IF(AND($U375="파견중",$Q375&lt;&gt;""),$Q375,IF(AND($AD375&lt;&gt;"",LEFT($AD375,1)&lt;&gt;"⚠"),LEFT($AD375,FIND(" ",$AD375)-1),IF($H375="","",IF(RIGHT($H375,2)="병원",$H375,$H375&amp;"병원")))))</f>
        <v/>
      </c>
      <c r="O375" s="10">
        <f>IF($B375="","",IF(AND($U375="파견중",$Q375&lt;&gt;""),IF($R375&lt;&gt;"",$R375,"파견과 미입력"),IF(AND($AD375&lt;&gt;"",LEFT($AD375,1)&lt;&gt;"⚠"),MID($AD375,FIND(" ",$AD375)+1,60),IF($F375="","",IF($F375="인턴","수련교육부(인턴)",$F375)))))</f>
        <v/>
      </c>
      <c r="P375" s="10">
        <f>IF($B375="","",IF($AK375&lt;&gt;"",IF(AND(TODAY()&gt;=INDEX(입력_파견수련계획!$AB$4:$AB$803,$AK375),OR(NOT(ISNUMBER(INDEX(입력_파견수련계획!$AC$4:$AC$803,$AK375))),TODAY()&lt;=INDEX(입력_파견수련계획!$AC$4:$AC$803,$AK375))),"다기관",IF($AF375="","",INDEX(입력_파견수련계획!$T$4:$T$803,$AF375))),IF($AF375="","",INDEX(입력_파견수련계획!$T$4:$T$803,$AF375))))</f>
        <v/>
      </c>
      <c r="Q375" s="10">
        <f>IF($AF375="","",INDEX(입력_파견수련계획!$S$4:$S$803,$AF375))</f>
        <v/>
      </c>
      <c r="R375" s="10">
        <f>IF($AF375="","",INDEX(입력_파견수련계획!$U$4:$U$803,$AF375))</f>
        <v/>
      </c>
      <c r="S375" s="11">
        <f>IF($AF375="","",IF(INDEX(입력_파견수련계획!$H$4:$H$803,$AF375)="","",INDEX(입력_파견수련계획!$H$4:$H$803,$AF375)))</f>
        <v/>
      </c>
      <c r="T375" s="11">
        <f>IF($AF375="","",IF(INDEX(입력_파견수련계획!$I$4:$I$803,$AF375)="","",INDEX(입력_파견수련계획!$I$4:$I$803,$AF375)))</f>
        <v/>
      </c>
      <c r="U375" s="10">
        <f>IF($AF375="","",INDEX(입력_파견수련계획!$X$4:$X$803,$AF375))</f>
        <v/>
      </c>
      <c r="V375" s="17">
        <f>IF($AF375="","",INDEX(입력_파견수련계획!$V$4:$V$803,$AF375))</f>
        <v/>
      </c>
      <c r="W375" s="17">
        <f>IF(AND($U375="파견중",$T375&lt;&gt;""),$T375-TODAY(),"")</f>
        <v/>
      </c>
      <c r="X375" s="17">
        <f>IF(OR($B375="",TRIM($J375&amp;"")=""),"",SUMPRODUCT((입력_파견수련계획!$Q$4:$Q$803=TRIM($J375&amp;""))*입력_파견수련계획!$W$4:$W$803))</f>
        <v/>
      </c>
      <c r="Y375" s="10">
        <f>IF($B375="","",IF($AG375="","",IF(IF(TRIM($J375&amp;"")="",0,SUMPRODUCT((입력_파견수련계획!$Q$4:$Q$803=TRIM($J375&amp;""))*입력_파견수련계획!$AD$4:$AD$803))&gt;0,$AE375,IF(AND(N($X375)&lt;=0,$AQ375=""),$AG375,IF($AH375+$AI375=DAY(EOMONTH(출력_요약!$B$3,0)),IF(AND($AH375&gt;=출력_요약!$E$3,$AI375&lt;출력_요약!$E$3),"서울병원",IF(AND($AI375&gt;=출력_요약!$E$3,$AH375&lt;출력_요약!$E$3),"구리병원","⚠15일 판정불가(서울 "&amp;$AH375&amp;"일/구리 "&amp;$AI375&amp;"일)")),IF($AJ375="",$AE375,IF(INDEX(입력_파견수련계획!$T$4:$T$803,$AJ375)="통합수련",INDEX(입력_파견수련계획!$S$4:$S$803,$AJ375),$AE375)))))))</f>
        <v/>
      </c>
      <c r="Z375" s="20">
        <f>IF($B375="","",IF($AB375="","기본자료에 없는 사번",IF(COUNTIF($B$2:$B$401,$B375)&gt;1,"중복 사번",IF($AE375="","소속(입사장소) 입력",IF(IF(TRIM($J375&amp;"")="",0,SUMPRODUCT((입력_파견수련계획!$Q$4:$Q$803=TRIM($J375&amp;""))*(입력_파견수련계획!$AA$4:$AA$803&lt;&gt;"")))&gt;0,"파견수련계획 입력오류 확인",IF(LEFT($Y375,1)="⚠","서울·구리 15일 판정 불가(양쪽 모두 이상/미만)",IF(IF($AC375="",0,N(INDEX(입력_인턴근무계획!$T$3:$T$402,$AC375)))&gt;0,"인턴계획 입력오류 확인",IF(AND($AQ375&lt;&gt;"",$AG375&lt;&gt;"구리병원",IF(TRIM($J375&amp;"")="",0,SUMPRODUCT((입력_파견수련계획!$Q$4:$Q$803=TRIM($J375&amp;""))*(입력_파견수련계획!$S$4:$S$803="구리병원")*입력_파견수련계획!$W$4:$W$803))=0),"구리 근무자명단에만 있음(파견수련계획 확인)",IF(AND($AC375&lt;&gt;"",$U375&lt;&gt;"파견중",$N375&lt;&gt;$AE375),"인턴 타지역 근무: 파견 여부 확인","정상")))))))))</f>
        <v/>
      </c>
      <c r="AA375" s="5" t="n"/>
      <c r="AB375" s="10">
        <f>IF($B375="","",IFERROR(MATCH($B375,입력_기본자료!$B$2:$B$1001,0),IFERROR(MATCH($B375&amp;"",입력_기본자료!$B$2:$B$1001,0),IFERROR(MATCH(VALUE($B375),입력_기본자료!$B$2:$B$1001,0),""))))</f>
        <v/>
      </c>
      <c r="AC375" s="10">
        <f>IF($B375="","",IFERROR(MATCH($B375,입력_인턴근무계획!$D$3:$D$402,0),IFERROR(MATCH($B375&amp;"",입력_인턴근무계획!$D$3:$D$402,0),IFERROR(MATCH(VALUE($B375),입력_인턴근무계획!$D$3:$D$402,0),""))))</f>
        <v/>
      </c>
      <c r="AD375" s="10">
        <f>IF(OR($AC375="",출력_인턴현황!$G$3=""),"",INDEX(입력_인턴근무계획!$M$3:$R$402,$AC375,출력_인턴현황!$G$3)&amp;"")</f>
        <v/>
      </c>
      <c r="AE375" s="10">
        <f>IF($B375="","",IF($M375&lt;&gt;"",$M375,IF(IF($AQ375="",FALSE,INDEX(출력_구리근무자!$J$6:$J$305,$AQ375)="구리독자"),"구리병원",IF($AF375&lt;&gt;"",IF(LEFT(INDEX(입력_파견수련계획!$R$4:$R$803,$AF375),1)&lt;&gt;"⚠",INDEX(입력_파견수련계획!$R$4:$R$803,$AF375),IF($H375="","",IF(RIGHT($H375,2)="병원",$H375,$H375&amp;"병원"))),IF($H375="","",IF(RIGHT($H375,2)="병원",$H375,$H375&amp;"병원"))))))</f>
        <v/>
      </c>
      <c r="AF375" s="10">
        <f>IF(OR($B375="",TRIM($J375&amp;"")=""),"",IFERROR(MATCH(TRIM($J375&amp;"")&amp;"|파견중",입력_파견수련계획!$Y$4:$Y$803,0),IFERROR(MATCH(TRIM($J375&amp;"")&amp;"|파견예정",입력_파견수련계획!$Y$4:$Y$803,0),IFERROR(MATCH(TRIM($J375&amp;"")&amp;"|파견종료",입력_파견수련계획!$Y$4:$Y$803,0),""))))</f>
        <v/>
      </c>
      <c r="AG375" s="10">
        <f>IF($B375="","",IF(AND(IF(OR($AC375="",출력_인턴현황!$K$2=""),"",INDEX(입력_인턴근무계획!$M$3:$R$402,$AC375,출력_인턴현황!$K$2)&amp;"")&lt;&gt;"",LEFT(IF(OR($AC375="",출력_인턴현황!$K$2=""),"",INDEX(입력_인턴근무계획!$M$3:$R$402,$AC375,출력_인턴현황!$K$2)&amp;""),1)&lt;&gt;"⚠"),LEFT(IF(OR($AC375="",출력_인턴현황!$K$2=""),"",INDEX(입력_인턴근무계획!$M$3:$R$402,$AC375,출력_인턴현황!$K$2)&amp;""),FIND(" ",IF(OR($AC375="",출력_인턴현황!$K$2=""),"",INDEX(입력_인턴근무계획!$M$3:$R$402,$AC375,출력_인턴현황!$K$2)&amp;""))-1),$AE375))</f>
        <v/>
      </c>
      <c r="AH375" s="17">
        <f>IF($B375="","",IF($AQ375&lt;&gt;"",MAX(0,DAY(EOMONTH(출력_요약!$B$3,0))-N($AR375)),IF(TRIM($J375&amp;"")="",0,SUMPRODUCT((입력_파견수련계획!$Q$4:$Q$803=TRIM($J375&amp;""))*(입력_파견수련계획!$S$4:$S$803="서울병원")*입력_파견수련계획!$W$4:$W$803))+IF($AG375="서울병원",MAX(0,DAY(EOMONTH(출력_요약!$B$3,0))-N($X375)),0)))</f>
        <v/>
      </c>
      <c r="AI375" s="17">
        <f>IF($B375="","",IF($AQ375&lt;&gt;"",N($AR375),IF(TRIM($J375&amp;"")="",0,SUMPRODUCT((입력_파견수련계획!$Q$4:$Q$803=TRIM($J375&amp;""))*(입력_파견수련계획!$S$4:$S$803="구리병원")*입력_파견수련계획!$W$4:$W$803))+IF($AG375="구리병원",MAX(0,DAY(EOMONTH(출력_요약!$B$3,0))-N($X375)),0)))</f>
        <v/>
      </c>
      <c r="AJ375" s="10">
        <f>IF(OR($B375="",TRIM($J375&amp;"")=""),"",IFERROR(MATCH(TRIM($J375&amp;"")&amp;"|월",입력_파견수련계획!$Z$4:$Z$803,0),""))</f>
        <v/>
      </c>
      <c r="AK375" s="10">
        <f>IF(OR($B375="",TRIM($J375&amp;"")=""),"",IFERROR(MATCH(TRIM($J375&amp;"")&amp;"|다기관",입력_파견수련계획!$AE$4:$AE$803,0),""))</f>
        <v/>
      </c>
      <c r="AL375" s="10">
        <f>IF($AK375="","","다기관 "&amp;TEXT(INDEX(입력_파견수련계획!$AB$4:$AB$803,$AK375),"yyyy-mm-dd")&amp;"~"&amp;IF(ISNUMBER(INDEX(입력_파견수련계획!$AC$4:$AC$803,$AK375)),TEXT(INDEX(입력_파견수련계획!$AC$4:$AC$803,$AK375),"yyyy-mm-dd"),""))</f>
        <v/>
      </c>
      <c r="AM375" s="10">
        <f>IF($Y375="서울병원",COUNTIF($Y$2:$Y375,"서울병원"),"")</f>
        <v/>
      </c>
      <c r="AN375" s="10">
        <f>IF(LEFT($Y375,1)="⚠",COUNTIF($Y$2:$Y375,"⚠*"),"")</f>
        <v/>
      </c>
      <c r="AO375" s="10">
        <f>IF(OR($B375="",$Y375=""),"",IF(IF(TRIM($J375&amp;"")="",0,SUMPRODUCT((입력_파견수련계획!$Q$4:$Q$803=TRIM($J375&amp;""))*입력_파견수련계획!$AD$4:$AD$803))&gt;0,"다기관 기간 → 소속병원 지급",IF(AND(N($X375)&lt;=0,$AQ375=""),"파견 없음 → 그 달 근무병원 지급",IF($AH375+$AI375=DAY(EOMONTH(출력_요약!$B$3,0)),"서울 "&amp;$AH375&amp;"일 / 구리 "&amp;$AI375&amp;"일"&amp;IF($AQ375&lt;&gt;""," (구리 근무자명단 반영)","")&amp;" → 15일 이상 근무 병원 지급","타 병원 포함 → "&amp;IF($AJ375="","소속",INDEX(입력_파견수련계획!$T$4:$T$803,$AJ375))&amp;" 규칙"))))</f>
        <v/>
      </c>
      <c r="AP375" s="10">
        <f>IF($B375="","",$C375&amp;"|"&amp;$F375)</f>
        <v/>
      </c>
      <c r="AQ375" s="10">
        <f>IF($B375="","",IFERROR(MATCH(ROW()-1,출력_구리근무자!$K$6:$K$305,0),""))</f>
        <v/>
      </c>
      <c r="AR375" s="10">
        <f>IF($AQ375="","",INDEX(출력_구리근무자!$H$6:$H$305,$AQ375))</f>
        <v/>
      </c>
    </row>
    <row r="376">
      <c r="A376" s="10">
        <f>IF(B376="","",ROW()-1)</f>
        <v/>
      </c>
      <c r="B376" s="19" t="n"/>
      <c r="C376" s="10">
        <f>IF($AB376="","",IF(INDEX(입력_기본자료!$C$2:$C$1001,$AB376)="","",INDEX(입력_기본자료!$C$2:$C$1001,$AB376)))</f>
        <v/>
      </c>
      <c r="D376" s="10">
        <f>IF($AB376="","",IF(INDEX(입력_기본자료!$J$2:$J$1001,$AB376)="","",INDEX(입력_기본자료!$J$2:$J$1001,$AB376)))</f>
        <v/>
      </c>
      <c r="E376" s="11">
        <f>IF($AB376="","",IF(INDEX(입력_기본자료!$K$2:$K$1001,$AB376)="","",IF(NOT(ISNUMBER(INDEX(입력_기본자료!$K$2:$K$1001,$AB376))),INDEX(입력_기본자료!$K$2:$K$1001,$AB376),IF(INDEX(입력_기본자료!$K$2:$K$1001,$AB376)&lt;1000000,INDEX(입력_기본자료!$K$2:$K$1001,$AB376),IF(AND(INDEX(입력_기본자료!$K$2:$K$1001,$AB376)&gt;=10000101,INT(MOD(INDEX(입력_기본자료!$K$2:$K$1001,$AB376),10000)/100)&gt;=1,INT(MOD(INDEX(입력_기본자료!$K$2:$K$1001,$AB376),10000)/100)&lt;=12,MOD(INDEX(입력_기본자료!$K$2:$K$1001,$AB376),100)&gt;=1,MOD(INDEX(입력_기본자료!$K$2:$K$1001,$AB376),100)&lt;=31),DATE(INT(INDEX(입력_기본자료!$K$2:$K$1001,$AB376)/10000),INT(MOD(INDEX(입력_기본자료!$K$2:$K$1001,$AB376),10000)/100),MOD(INDEX(입력_기본자료!$K$2:$K$1001,$AB376),100)),INDEX(입력_기본자료!$K$2:$K$1001,$AB376)&amp;"")))))</f>
        <v/>
      </c>
      <c r="F376" s="10">
        <f>IF($AB376="","",IF(INDEX(입력_기본자료!$D$2:$D$1001,$AB376)="","",INDEX(입력_기본자료!$D$2:$D$1001,$AB376)))</f>
        <v/>
      </c>
      <c r="G376" s="10">
        <f>IF($AB376="","",IF(INDEX(입력_기본자료!$E$2:$E$1001,$AB376)="","",INDEX(입력_기본자료!$E$2:$E$1001,$AB376)))</f>
        <v/>
      </c>
      <c r="H376" s="10">
        <f>IF($AB376="","",IF(INDEX(입력_기본자료!$F$2:$F$1001,$AB376)="","",INDEX(입력_기본자료!$F$2:$F$1001,$AB376)))</f>
        <v/>
      </c>
      <c r="I376" s="11">
        <f>IF($AB376="","",IF(INDEX(입력_기본자료!$G$2:$G$1001,$AB376)="","",IF(NOT(ISNUMBER(INDEX(입력_기본자료!$G$2:$G$1001,$AB376))),INDEX(입력_기본자료!$G$2:$G$1001,$AB376),IF(INDEX(입력_기본자료!$G$2:$G$1001,$AB376)&lt;1000000,INDEX(입력_기본자료!$G$2:$G$1001,$AB376),IF(AND(INDEX(입력_기본자료!$G$2:$G$1001,$AB376)&gt;=10000101,INT(MOD(INDEX(입력_기본자료!$G$2:$G$1001,$AB376),10000)/100)&gt;=1,INT(MOD(INDEX(입력_기본자료!$G$2:$G$1001,$AB376),10000)/100)&lt;=12,MOD(INDEX(입력_기본자료!$G$2:$G$1001,$AB376),100)&gt;=1,MOD(INDEX(입력_기본자료!$G$2:$G$1001,$AB376),100)&lt;=31),DATE(INT(INDEX(입력_기본자료!$G$2:$G$1001,$AB376)/10000),INT(MOD(INDEX(입력_기본자료!$G$2:$G$1001,$AB376),10000)/100),MOD(INDEX(입력_기본자료!$G$2:$G$1001,$AB376),100)),INDEX(입력_기본자료!$G$2:$G$1001,$AB376)&amp;"")))))</f>
        <v/>
      </c>
      <c r="J376" s="10">
        <f>IF($AB376="","",IF(INDEX(입력_기본자료!$H$2:$H$1001,$AB376)="","",INDEX(입력_기본자료!$H$2:$H$1001,$AB376)))</f>
        <v/>
      </c>
      <c r="K376" s="10">
        <f>IF($AB376="","",IF(INDEX(입력_기본자료!$I$2:$I$1001,$AB376)="","",INDEX(입력_기본자료!$I$2:$I$1001,$AB376)))</f>
        <v/>
      </c>
      <c r="L376" s="10">
        <f>IF($AB376="","",IF(INDEX(입력_기본자료!$A$2:$A$1001,$AB376)="","",INDEX(입력_기본자료!$A$2:$A$1001,$AB376)))</f>
        <v/>
      </c>
      <c r="M376" s="15" t="n"/>
      <c r="N376" s="10">
        <f>IF($B376="","",IF(AND($U376="파견중",$Q376&lt;&gt;""),$Q376,IF(AND($AD376&lt;&gt;"",LEFT($AD376,1)&lt;&gt;"⚠"),LEFT($AD376,FIND(" ",$AD376)-1),IF($H376="","",IF(RIGHT($H376,2)="병원",$H376,$H376&amp;"병원")))))</f>
        <v/>
      </c>
      <c r="O376" s="10">
        <f>IF($B376="","",IF(AND($U376="파견중",$Q376&lt;&gt;""),IF($R376&lt;&gt;"",$R376,"파견과 미입력"),IF(AND($AD376&lt;&gt;"",LEFT($AD376,1)&lt;&gt;"⚠"),MID($AD376,FIND(" ",$AD376)+1,60),IF($F376="","",IF($F376="인턴","수련교육부(인턴)",$F376)))))</f>
        <v/>
      </c>
      <c r="P376" s="10">
        <f>IF($B376="","",IF($AK376&lt;&gt;"",IF(AND(TODAY()&gt;=INDEX(입력_파견수련계획!$AB$4:$AB$803,$AK376),OR(NOT(ISNUMBER(INDEX(입력_파견수련계획!$AC$4:$AC$803,$AK376))),TODAY()&lt;=INDEX(입력_파견수련계획!$AC$4:$AC$803,$AK376))),"다기관",IF($AF376="","",INDEX(입력_파견수련계획!$T$4:$T$803,$AF376))),IF($AF376="","",INDEX(입력_파견수련계획!$T$4:$T$803,$AF376))))</f>
        <v/>
      </c>
      <c r="Q376" s="10">
        <f>IF($AF376="","",INDEX(입력_파견수련계획!$S$4:$S$803,$AF376))</f>
        <v/>
      </c>
      <c r="R376" s="10">
        <f>IF($AF376="","",INDEX(입력_파견수련계획!$U$4:$U$803,$AF376))</f>
        <v/>
      </c>
      <c r="S376" s="11">
        <f>IF($AF376="","",IF(INDEX(입력_파견수련계획!$H$4:$H$803,$AF376)="","",INDEX(입력_파견수련계획!$H$4:$H$803,$AF376)))</f>
        <v/>
      </c>
      <c r="T376" s="11">
        <f>IF($AF376="","",IF(INDEX(입력_파견수련계획!$I$4:$I$803,$AF376)="","",INDEX(입력_파견수련계획!$I$4:$I$803,$AF376)))</f>
        <v/>
      </c>
      <c r="U376" s="10">
        <f>IF($AF376="","",INDEX(입력_파견수련계획!$X$4:$X$803,$AF376))</f>
        <v/>
      </c>
      <c r="V376" s="17">
        <f>IF($AF376="","",INDEX(입력_파견수련계획!$V$4:$V$803,$AF376))</f>
        <v/>
      </c>
      <c r="W376" s="17">
        <f>IF(AND($U376="파견중",$T376&lt;&gt;""),$T376-TODAY(),"")</f>
        <v/>
      </c>
      <c r="X376" s="17">
        <f>IF(OR($B376="",TRIM($J376&amp;"")=""),"",SUMPRODUCT((입력_파견수련계획!$Q$4:$Q$803=TRIM($J376&amp;""))*입력_파견수련계획!$W$4:$W$803))</f>
        <v/>
      </c>
      <c r="Y376" s="10">
        <f>IF($B376="","",IF($AG376="","",IF(IF(TRIM($J376&amp;"")="",0,SUMPRODUCT((입력_파견수련계획!$Q$4:$Q$803=TRIM($J376&amp;""))*입력_파견수련계획!$AD$4:$AD$803))&gt;0,$AE376,IF(AND(N($X376)&lt;=0,$AQ376=""),$AG376,IF($AH376+$AI376=DAY(EOMONTH(출력_요약!$B$3,0)),IF(AND($AH376&gt;=출력_요약!$E$3,$AI376&lt;출력_요약!$E$3),"서울병원",IF(AND($AI376&gt;=출력_요약!$E$3,$AH376&lt;출력_요약!$E$3),"구리병원","⚠15일 판정불가(서울 "&amp;$AH376&amp;"일/구리 "&amp;$AI376&amp;"일)")),IF($AJ376="",$AE376,IF(INDEX(입력_파견수련계획!$T$4:$T$803,$AJ376)="통합수련",INDEX(입력_파견수련계획!$S$4:$S$803,$AJ376),$AE376)))))))</f>
        <v/>
      </c>
      <c r="Z376" s="20">
        <f>IF($B376="","",IF($AB376="","기본자료에 없는 사번",IF(COUNTIF($B$2:$B$401,$B376)&gt;1,"중복 사번",IF($AE376="","소속(입사장소) 입력",IF(IF(TRIM($J376&amp;"")="",0,SUMPRODUCT((입력_파견수련계획!$Q$4:$Q$803=TRIM($J376&amp;""))*(입력_파견수련계획!$AA$4:$AA$803&lt;&gt;"")))&gt;0,"파견수련계획 입력오류 확인",IF(LEFT($Y376,1)="⚠","서울·구리 15일 판정 불가(양쪽 모두 이상/미만)",IF(IF($AC376="",0,N(INDEX(입력_인턴근무계획!$T$3:$T$402,$AC376)))&gt;0,"인턴계획 입력오류 확인",IF(AND($AQ376&lt;&gt;"",$AG376&lt;&gt;"구리병원",IF(TRIM($J376&amp;"")="",0,SUMPRODUCT((입력_파견수련계획!$Q$4:$Q$803=TRIM($J376&amp;""))*(입력_파견수련계획!$S$4:$S$803="구리병원")*입력_파견수련계획!$W$4:$W$803))=0),"구리 근무자명단에만 있음(파견수련계획 확인)",IF(AND($AC376&lt;&gt;"",$U376&lt;&gt;"파견중",$N376&lt;&gt;$AE376),"인턴 타지역 근무: 파견 여부 확인","정상")))))))))</f>
        <v/>
      </c>
      <c r="AA376" s="5" t="n"/>
      <c r="AB376" s="10">
        <f>IF($B376="","",IFERROR(MATCH($B376,입력_기본자료!$B$2:$B$1001,0),IFERROR(MATCH($B376&amp;"",입력_기본자료!$B$2:$B$1001,0),IFERROR(MATCH(VALUE($B376),입력_기본자료!$B$2:$B$1001,0),""))))</f>
        <v/>
      </c>
      <c r="AC376" s="10">
        <f>IF($B376="","",IFERROR(MATCH($B376,입력_인턴근무계획!$D$3:$D$402,0),IFERROR(MATCH($B376&amp;"",입력_인턴근무계획!$D$3:$D$402,0),IFERROR(MATCH(VALUE($B376),입력_인턴근무계획!$D$3:$D$402,0),""))))</f>
        <v/>
      </c>
      <c r="AD376" s="10">
        <f>IF(OR($AC376="",출력_인턴현황!$G$3=""),"",INDEX(입력_인턴근무계획!$M$3:$R$402,$AC376,출력_인턴현황!$G$3)&amp;"")</f>
        <v/>
      </c>
      <c r="AE376" s="10">
        <f>IF($B376="","",IF($M376&lt;&gt;"",$M376,IF(IF($AQ376="",FALSE,INDEX(출력_구리근무자!$J$6:$J$305,$AQ376)="구리독자"),"구리병원",IF($AF376&lt;&gt;"",IF(LEFT(INDEX(입력_파견수련계획!$R$4:$R$803,$AF376),1)&lt;&gt;"⚠",INDEX(입력_파견수련계획!$R$4:$R$803,$AF376),IF($H376="","",IF(RIGHT($H376,2)="병원",$H376,$H376&amp;"병원"))),IF($H376="","",IF(RIGHT($H376,2)="병원",$H376,$H376&amp;"병원"))))))</f>
        <v/>
      </c>
      <c r="AF376" s="10">
        <f>IF(OR($B376="",TRIM($J376&amp;"")=""),"",IFERROR(MATCH(TRIM($J376&amp;"")&amp;"|파견중",입력_파견수련계획!$Y$4:$Y$803,0),IFERROR(MATCH(TRIM($J376&amp;"")&amp;"|파견예정",입력_파견수련계획!$Y$4:$Y$803,0),IFERROR(MATCH(TRIM($J376&amp;"")&amp;"|파견종료",입력_파견수련계획!$Y$4:$Y$803,0),""))))</f>
        <v/>
      </c>
      <c r="AG376" s="10">
        <f>IF($B376="","",IF(AND(IF(OR($AC376="",출력_인턴현황!$K$2=""),"",INDEX(입력_인턴근무계획!$M$3:$R$402,$AC376,출력_인턴현황!$K$2)&amp;"")&lt;&gt;"",LEFT(IF(OR($AC376="",출력_인턴현황!$K$2=""),"",INDEX(입력_인턴근무계획!$M$3:$R$402,$AC376,출력_인턴현황!$K$2)&amp;""),1)&lt;&gt;"⚠"),LEFT(IF(OR($AC376="",출력_인턴현황!$K$2=""),"",INDEX(입력_인턴근무계획!$M$3:$R$402,$AC376,출력_인턴현황!$K$2)&amp;""),FIND(" ",IF(OR($AC376="",출력_인턴현황!$K$2=""),"",INDEX(입력_인턴근무계획!$M$3:$R$402,$AC376,출력_인턴현황!$K$2)&amp;""))-1),$AE376))</f>
        <v/>
      </c>
      <c r="AH376" s="17">
        <f>IF($B376="","",IF($AQ376&lt;&gt;"",MAX(0,DAY(EOMONTH(출력_요약!$B$3,0))-N($AR376)),IF(TRIM($J376&amp;"")="",0,SUMPRODUCT((입력_파견수련계획!$Q$4:$Q$803=TRIM($J376&amp;""))*(입력_파견수련계획!$S$4:$S$803="서울병원")*입력_파견수련계획!$W$4:$W$803))+IF($AG376="서울병원",MAX(0,DAY(EOMONTH(출력_요약!$B$3,0))-N($X376)),0)))</f>
        <v/>
      </c>
      <c r="AI376" s="17">
        <f>IF($B376="","",IF($AQ376&lt;&gt;"",N($AR376),IF(TRIM($J376&amp;"")="",0,SUMPRODUCT((입력_파견수련계획!$Q$4:$Q$803=TRIM($J376&amp;""))*(입력_파견수련계획!$S$4:$S$803="구리병원")*입력_파견수련계획!$W$4:$W$803))+IF($AG376="구리병원",MAX(0,DAY(EOMONTH(출력_요약!$B$3,0))-N($X376)),0)))</f>
        <v/>
      </c>
      <c r="AJ376" s="10">
        <f>IF(OR($B376="",TRIM($J376&amp;"")=""),"",IFERROR(MATCH(TRIM($J376&amp;"")&amp;"|월",입력_파견수련계획!$Z$4:$Z$803,0),""))</f>
        <v/>
      </c>
      <c r="AK376" s="10">
        <f>IF(OR($B376="",TRIM($J376&amp;"")=""),"",IFERROR(MATCH(TRIM($J376&amp;"")&amp;"|다기관",입력_파견수련계획!$AE$4:$AE$803,0),""))</f>
        <v/>
      </c>
      <c r="AL376" s="10">
        <f>IF($AK376="","","다기관 "&amp;TEXT(INDEX(입력_파견수련계획!$AB$4:$AB$803,$AK376),"yyyy-mm-dd")&amp;"~"&amp;IF(ISNUMBER(INDEX(입력_파견수련계획!$AC$4:$AC$803,$AK376)),TEXT(INDEX(입력_파견수련계획!$AC$4:$AC$803,$AK376),"yyyy-mm-dd"),""))</f>
        <v/>
      </c>
      <c r="AM376" s="10">
        <f>IF($Y376="서울병원",COUNTIF($Y$2:$Y376,"서울병원"),"")</f>
        <v/>
      </c>
      <c r="AN376" s="10">
        <f>IF(LEFT($Y376,1)="⚠",COUNTIF($Y$2:$Y376,"⚠*"),"")</f>
        <v/>
      </c>
      <c r="AO376" s="10">
        <f>IF(OR($B376="",$Y376=""),"",IF(IF(TRIM($J376&amp;"")="",0,SUMPRODUCT((입력_파견수련계획!$Q$4:$Q$803=TRIM($J376&amp;""))*입력_파견수련계획!$AD$4:$AD$803))&gt;0,"다기관 기간 → 소속병원 지급",IF(AND(N($X376)&lt;=0,$AQ376=""),"파견 없음 → 그 달 근무병원 지급",IF($AH376+$AI376=DAY(EOMONTH(출력_요약!$B$3,0)),"서울 "&amp;$AH376&amp;"일 / 구리 "&amp;$AI376&amp;"일"&amp;IF($AQ376&lt;&gt;""," (구리 근무자명단 반영)","")&amp;" → 15일 이상 근무 병원 지급","타 병원 포함 → "&amp;IF($AJ376="","소속",INDEX(입력_파견수련계획!$T$4:$T$803,$AJ376))&amp;" 규칙"))))</f>
        <v/>
      </c>
      <c r="AP376" s="10">
        <f>IF($B376="","",$C376&amp;"|"&amp;$F376)</f>
        <v/>
      </c>
      <c r="AQ376" s="10">
        <f>IF($B376="","",IFERROR(MATCH(ROW()-1,출력_구리근무자!$K$6:$K$305,0),""))</f>
        <v/>
      </c>
      <c r="AR376" s="10">
        <f>IF($AQ376="","",INDEX(출력_구리근무자!$H$6:$H$305,$AQ376))</f>
        <v/>
      </c>
    </row>
    <row r="377">
      <c r="A377" s="10">
        <f>IF(B377="","",ROW()-1)</f>
        <v/>
      </c>
      <c r="B377" s="19" t="n"/>
      <c r="C377" s="10">
        <f>IF($AB377="","",IF(INDEX(입력_기본자료!$C$2:$C$1001,$AB377)="","",INDEX(입력_기본자료!$C$2:$C$1001,$AB377)))</f>
        <v/>
      </c>
      <c r="D377" s="10">
        <f>IF($AB377="","",IF(INDEX(입력_기본자료!$J$2:$J$1001,$AB377)="","",INDEX(입력_기본자료!$J$2:$J$1001,$AB377)))</f>
        <v/>
      </c>
      <c r="E377" s="11">
        <f>IF($AB377="","",IF(INDEX(입력_기본자료!$K$2:$K$1001,$AB377)="","",IF(NOT(ISNUMBER(INDEX(입력_기본자료!$K$2:$K$1001,$AB377))),INDEX(입력_기본자료!$K$2:$K$1001,$AB377),IF(INDEX(입력_기본자료!$K$2:$K$1001,$AB377)&lt;1000000,INDEX(입력_기본자료!$K$2:$K$1001,$AB377),IF(AND(INDEX(입력_기본자료!$K$2:$K$1001,$AB377)&gt;=10000101,INT(MOD(INDEX(입력_기본자료!$K$2:$K$1001,$AB377),10000)/100)&gt;=1,INT(MOD(INDEX(입력_기본자료!$K$2:$K$1001,$AB377),10000)/100)&lt;=12,MOD(INDEX(입력_기본자료!$K$2:$K$1001,$AB377),100)&gt;=1,MOD(INDEX(입력_기본자료!$K$2:$K$1001,$AB377),100)&lt;=31),DATE(INT(INDEX(입력_기본자료!$K$2:$K$1001,$AB377)/10000),INT(MOD(INDEX(입력_기본자료!$K$2:$K$1001,$AB377),10000)/100),MOD(INDEX(입력_기본자료!$K$2:$K$1001,$AB377),100)),INDEX(입력_기본자료!$K$2:$K$1001,$AB377)&amp;"")))))</f>
        <v/>
      </c>
      <c r="F377" s="10">
        <f>IF($AB377="","",IF(INDEX(입력_기본자료!$D$2:$D$1001,$AB377)="","",INDEX(입력_기본자료!$D$2:$D$1001,$AB377)))</f>
        <v/>
      </c>
      <c r="G377" s="10">
        <f>IF($AB377="","",IF(INDEX(입력_기본자료!$E$2:$E$1001,$AB377)="","",INDEX(입력_기본자료!$E$2:$E$1001,$AB377)))</f>
        <v/>
      </c>
      <c r="H377" s="10">
        <f>IF($AB377="","",IF(INDEX(입력_기본자료!$F$2:$F$1001,$AB377)="","",INDEX(입력_기본자료!$F$2:$F$1001,$AB377)))</f>
        <v/>
      </c>
      <c r="I377" s="11">
        <f>IF($AB377="","",IF(INDEX(입력_기본자료!$G$2:$G$1001,$AB377)="","",IF(NOT(ISNUMBER(INDEX(입력_기본자료!$G$2:$G$1001,$AB377))),INDEX(입력_기본자료!$G$2:$G$1001,$AB377),IF(INDEX(입력_기본자료!$G$2:$G$1001,$AB377)&lt;1000000,INDEX(입력_기본자료!$G$2:$G$1001,$AB377),IF(AND(INDEX(입력_기본자료!$G$2:$G$1001,$AB377)&gt;=10000101,INT(MOD(INDEX(입력_기본자료!$G$2:$G$1001,$AB377),10000)/100)&gt;=1,INT(MOD(INDEX(입력_기본자료!$G$2:$G$1001,$AB377),10000)/100)&lt;=12,MOD(INDEX(입력_기본자료!$G$2:$G$1001,$AB377),100)&gt;=1,MOD(INDEX(입력_기본자료!$G$2:$G$1001,$AB377),100)&lt;=31),DATE(INT(INDEX(입력_기본자료!$G$2:$G$1001,$AB377)/10000),INT(MOD(INDEX(입력_기본자료!$G$2:$G$1001,$AB377),10000)/100),MOD(INDEX(입력_기본자료!$G$2:$G$1001,$AB377),100)),INDEX(입력_기본자료!$G$2:$G$1001,$AB377)&amp;"")))))</f>
        <v/>
      </c>
      <c r="J377" s="10">
        <f>IF($AB377="","",IF(INDEX(입력_기본자료!$H$2:$H$1001,$AB377)="","",INDEX(입력_기본자료!$H$2:$H$1001,$AB377)))</f>
        <v/>
      </c>
      <c r="K377" s="10">
        <f>IF($AB377="","",IF(INDEX(입력_기본자료!$I$2:$I$1001,$AB377)="","",INDEX(입력_기본자료!$I$2:$I$1001,$AB377)))</f>
        <v/>
      </c>
      <c r="L377" s="10">
        <f>IF($AB377="","",IF(INDEX(입력_기본자료!$A$2:$A$1001,$AB377)="","",INDEX(입력_기본자료!$A$2:$A$1001,$AB377)))</f>
        <v/>
      </c>
      <c r="M377" s="15" t="n"/>
      <c r="N377" s="10">
        <f>IF($B377="","",IF(AND($U377="파견중",$Q377&lt;&gt;""),$Q377,IF(AND($AD377&lt;&gt;"",LEFT($AD377,1)&lt;&gt;"⚠"),LEFT($AD377,FIND(" ",$AD377)-1),IF($H377="","",IF(RIGHT($H377,2)="병원",$H377,$H377&amp;"병원")))))</f>
        <v/>
      </c>
      <c r="O377" s="10">
        <f>IF($B377="","",IF(AND($U377="파견중",$Q377&lt;&gt;""),IF($R377&lt;&gt;"",$R377,"파견과 미입력"),IF(AND($AD377&lt;&gt;"",LEFT($AD377,1)&lt;&gt;"⚠"),MID($AD377,FIND(" ",$AD377)+1,60),IF($F377="","",IF($F377="인턴","수련교육부(인턴)",$F377)))))</f>
        <v/>
      </c>
      <c r="P377" s="10">
        <f>IF($B377="","",IF($AK377&lt;&gt;"",IF(AND(TODAY()&gt;=INDEX(입력_파견수련계획!$AB$4:$AB$803,$AK377),OR(NOT(ISNUMBER(INDEX(입력_파견수련계획!$AC$4:$AC$803,$AK377))),TODAY()&lt;=INDEX(입력_파견수련계획!$AC$4:$AC$803,$AK377))),"다기관",IF($AF377="","",INDEX(입력_파견수련계획!$T$4:$T$803,$AF377))),IF($AF377="","",INDEX(입력_파견수련계획!$T$4:$T$803,$AF377))))</f>
        <v/>
      </c>
      <c r="Q377" s="10">
        <f>IF($AF377="","",INDEX(입력_파견수련계획!$S$4:$S$803,$AF377))</f>
        <v/>
      </c>
      <c r="R377" s="10">
        <f>IF($AF377="","",INDEX(입력_파견수련계획!$U$4:$U$803,$AF377))</f>
        <v/>
      </c>
      <c r="S377" s="11">
        <f>IF($AF377="","",IF(INDEX(입력_파견수련계획!$H$4:$H$803,$AF377)="","",INDEX(입력_파견수련계획!$H$4:$H$803,$AF377)))</f>
        <v/>
      </c>
      <c r="T377" s="11">
        <f>IF($AF377="","",IF(INDEX(입력_파견수련계획!$I$4:$I$803,$AF377)="","",INDEX(입력_파견수련계획!$I$4:$I$803,$AF377)))</f>
        <v/>
      </c>
      <c r="U377" s="10">
        <f>IF($AF377="","",INDEX(입력_파견수련계획!$X$4:$X$803,$AF377))</f>
        <v/>
      </c>
      <c r="V377" s="17">
        <f>IF($AF377="","",INDEX(입력_파견수련계획!$V$4:$V$803,$AF377))</f>
        <v/>
      </c>
      <c r="W377" s="17">
        <f>IF(AND($U377="파견중",$T377&lt;&gt;""),$T377-TODAY(),"")</f>
        <v/>
      </c>
      <c r="X377" s="17">
        <f>IF(OR($B377="",TRIM($J377&amp;"")=""),"",SUMPRODUCT((입력_파견수련계획!$Q$4:$Q$803=TRIM($J377&amp;""))*입력_파견수련계획!$W$4:$W$803))</f>
        <v/>
      </c>
      <c r="Y377" s="10">
        <f>IF($B377="","",IF($AG377="","",IF(IF(TRIM($J377&amp;"")="",0,SUMPRODUCT((입력_파견수련계획!$Q$4:$Q$803=TRIM($J377&amp;""))*입력_파견수련계획!$AD$4:$AD$803))&gt;0,$AE377,IF(AND(N($X377)&lt;=0,$AQ377=""),$AG377,IF($AH377+$AI377=DAY(EOMONTH(출력_요약!$B$3,0)),IF(AND($AH377&gt;=출력_요약!$E$3,$AI377&lt;출력_요약!$E$3),"서울병원",IF(AND($AI377&gt;=출력_요약!$E$3,$AH377&lt;출력_요약!$E$3),"구리병원","⚠15일 판정불가(서울 "&amp;$AH377&amp;"일/구리 "&amp;$AI377&amp;"일)")),IF($AJ377="",$AE377,IF(INDEX(입력_파견수련계획!$T$4:$T$803,$AJ377)="통합수련",INDEX(입력_파견수련계획!$S$4:$S$803,$AJ377),$AE377)))))))</f>
        <v/>
      </c>
      <c r="Z377" s="20">
        <f>IF($B377="","",IF($AB377="","기본자료에 없는 사번",IF(COUNTIF($B$2:$B$401,$B377)&gt;1,"중복 사번",IF($AE377="","소속(입사장소) 입력",IF(IF(TRIM($J377&amp;"")="",0,SUMPRODUCT((입력_파견수련계획!$Q$4:$Q$803=TRIM($J377&amp;""))*(입력_파견수련계획!$AA$4:$AA$803&lt;&gt;"")))&gt;0,"파견수련계획 입력오류 확인",IF(LEFT($Y377,1)="⚠","서울·구리 15일 판정 불가(양쪽 모두 이상/미만)",IF(IF($AC377="",0,N(INDEX(입력_인턴근무계획!$T$3:$T$402,$AC377)))&gt;0,"인턴계획 입력오류 확인",IF(AND($AQ377&lt;&gt;"",$AG377&lt;&gt;"구리병원",IF(TRIM($J377&amp;"")="",0,SUMPRODUCT((입력_파견수련계획!$Q$4:$Q$803=TRIM($J377&amp;""))*(입력_파견수련계획!$S$4:$S$803="구리병원")*입력_파견수련계획!$W$4:$W$803))=0),"구리 근무자명단에만 있음(파견수련계획 확인)",IF(AND($AC377&lt;&gt;"",$U377&lt;&gt;"파견중",$N377&lt;&gt;$AE377),"인턴 타지역 근무: 파견 여부 확인","정상")))))))))</f>
        <v/>
      </c>
      <c r="AA377" s="5" t="n"/>
      <c r="AB377" s="10">
        <f>IF($B377="","",IFERROR(MATCH($B377,입력_기본자료!$B$2:$B$1001,0),IFERROR(MATCH($B377&amp;"",입력_기본자료!$B$2:$B$1001,0),IFERROR(MATCH(VALUE($B377),입력_기본자료!$B$2:$B$1001,0),""))))</f>
        <v/>
      </c>
      <c r="AC377" s="10">
        <f>IF($B377="","",IFERROR(MATCH($B377,입력_인턴근무계획!$D$3:$D$402,0),IFERROR(MATCH($B377&amp;"",입력_인턴근무계획!$D$3:$D$402,0),IFERROR(MATCH(VALUE($B377),입력_인턴근무계획!$D$3:$D$402,0),""))))</f>
        <v/>
      </c>
      <c r="AD377" s="10">
        <f>IF(OR($AC377="",출력_인턴현황!$G$3=""),"",INDEX(입력_인턴근무계획!$M$3:$R$402,$AC377,출력_인턴현황!$G$3)&amp;"")</f>
        <v/>
      </c>
      <c r="AE377" s="10">
        <f>IF($B377="","",IF($M377&lt;&gt;"",$M377,IF(IF($AQ377="",FALSE,INDEX(출력_구리근무자!$J$6:$J$305,$AQ377)="구리독자"),"구리병원",IF($AF377&lt;&gt;"",IF(LEFT(INDEX(입력_파견수련계획!$R$4:$R$803,$AF377),1)&lt;&gt;"⚠",INDEX(입력_파견수련계획!$R$4:$R$803,$AF377),IF($H377="","",IF(RIGHT($H377,2)="병원",$H377,$H377&amp;"병원"))),IF($H377="","",IF(RIGHT($H377,2)="병원",$H377,$H377&amp;"병원"))))))</f>
        <v/>
      </c>
      <c r="AF377" s="10">
        <f>IF(OR($B377="",TRIM($J377&amp;"")=""),"",IFERROR(MATCH(TRIM($J377&amp;"")&amp;"|파견중",입력_파견수련계획!$Y$4:$Y$803,0),IFERROR(MATCH(TRIM($J377&amp;"")&amp;"|파견예정",입력_파견수련계획!$Y$4:$Y$803,0),IFERROR(MATCH(TRIM($J377&amp;"")&amp;"|파견종료",입력_파견수련계획!$Y$4:$Y$803,0),""))))</f>
        <v/>
      </c>
      <c r="AG377" s="10">
        <f>IF($B377="","",IF(AND(IF(OR($AC377="",출력_인턴현황!$K$2=""),"",INDEX(입력_인턴근무계획!$M$3:$R$402,$AC377,출력_인턴현황!$K$2)&amp;"")&lt;&gt;"",LEFT(IF(OR($AC377="",출력_인턴현황!$K$2=""),"",INDEX(입력_인턴근무계획!$M$3:$R$402,$AC377,출력_인턴현황!$K$2)&amp;""),1)&lt;&gt;"⚠"),LEFT(IF(OR($AC377="",출력_인턴현황!$K$2=""),"",INDEX(입력_인턴근무계획!$M$3:$R$402,$AC377,출력_인턴현황!$K$2)&amp;""),FIND(" ",IF(OR($AC377="",출력_인턴현황!$K$2=""),"",INDEX(입력_인턴근무계획!$M$3:$R$402,$AC377,출력_인턴현황!$K$2)&amp;""))-1),$AE377))</f>
        <v/>
      </c>
      <c r="AH377" s="17">
        <f>IF($B377="","",IF($AQ377&lt;&gt;"",MAX(0,DAY(EOMONTH(출력_요약!$B$3,0))-N($AR377)),IF(TRIM($J377&amp;"")="",0,SUMPRODUCT((입력_파견수련계획!$Q$4:$Q$803=TRIM($J377&amp;""))*(입력_파견수련계획!$S$4:$S$803="서울병원")*입력_파견수련계획!$W$4:$W$803))+IF($AG377="서울병원",MAX(0,DAY(EOMONTH(출력_요약!$B$3,0))-N($X377)),0)))</f>
        <v/>
      </c>
      <c r="AI377" s="17">
        <f>IF($B377="","",IF($AQ377&lt;&gt;"",N($AR377),IF(TRIM($J377&amp;"")="",0,SUMPRODUCT((입력_파견수련계획!$Q$4:$Q$803=TRIM($J377&amp;""))*(입력_파견수련계획!$S$4:$S$803="구리병원")*입력_파견수련계획!$W$4:$W$803))+IF($AG377="구리병원",MAX(0,DAY(EOMONTH(출력_요약!$B$3,0))-N($X377)),0)))</f>
        <v/>
      </c>
      <c r="AJ377" s="10">
        <f>IF(OR($B377="",TRIM($J377&amp;"")=""),"",IFERROR(MATCH(TRIM($J377&amp;"")&amp;"|월",입력_파견수련계획!$Z$4:$Z$803,0),""))</f>
        <v/>
      </c>
      <c r="AK377" s="10">
        <f>IF(OR($B377="",TRIM($J377&amp;"")=""),"",IFERROR(MATCH(TRIM($J377&amp;"")&amp;"|다기관",입력_파견수련계획!$AE$4:$AE$803,0),""))</f>
        <v/>
      </c>
      <c r="AL377" s="10">
        <f>IF($AK377="","","다기관 "&amp;TEXT(INDEX(입력_파견수련계획!$AB$4:$AB$803,$AK377),"yyyy-mm-dd")&amp;"~"&amp;IF(ISNUMBER(INDEX(입력_파견수련계획!$AC$4:$AC$803,$AK377)),TEXT(INDEX(입력_파견수련계획!$AC$4:$AC$803,$AK377),"yyyy-mm-dd"),""))</f>
        <v/>
      </c>
      <c r="AM377" s="10">
        <f>IF($Y377="서울병원",COUNTIF($Y$2:$Y377,"서울병원"),"")</f>
        <v/>
      </c>
      <c r="AN377" s="10">
        <f>IF(LEFT($Y377,1)="⚠",COUNTIF($Y$2:$Y377,"⚠*"),"")</f>
        <v/>
      </c>
      <c r="AO377" s="10">
        <f>IF(OR($B377="",$Y377=""),"",IF(IF(TRIM($J377&amp;"")="",0,SUMPRODUCT((입력_파견수련계획!$Q$4:$Q$803=TRIM($J377&amp;""))*입력_파견수련계획!$AD$4:$AD$803))&gt;0,"다기관 기간 → 소속병원 지급",IF(AND(N($X377)&lt;=0,$AQ377=""),"파견 없음 → 그 달 근무병원 지급",IF($AH377+$AI377=DAY(EOMONTH(출력_요약!$B$3,0)),"서울 "&amp;$AH377&amp;"일 / 구리 "&amp;$AI377&amp;"일"&amp;IF($AQ377&lt;&gt;""," (구리 근무자명단 반영)","")&amp;" → 15일 이상 근무 병원 지급","타 병원 포함 → "&amp;IF($AJ377="","소속",INDEX(입력_파견수련계획!$T$4:$T$803,$AJ377))&amp;" 규칙"))))</f>
        <v/>
      </c>
      <c r="AP377" s="10">
        <f>IF($B377="","",$C377&amp;"|"&amp;$F377)</f>
        <v/>
      </c>
      <c r="AQ377" s="10">
        <f>IF($B377="","",IFERROR(MATCH(ROW()-1,출력_구리근무자!$K$6:$K$305,0),""))</f>
        <v/>
      </c>
      <c r="AR377" s="10">
        <f>IF($AQ377="","",INDEX(출력_구리근무자!$H$6:$H$305,$AQ377))</f>
        <v/>
      </c>
    </row>
    <row r="378">
      <c r="A378" s="10">
        <f>IF(B378="","",ROW()-1)</f>
        <v/>
      </c>
      <c r="B378" s="19" t="n"/>
      <c r="C378" s="10">
        <f>IF($AB378="","",IF(INDEX(입력_기본자료!$C$2:$C$1001,$AB378)="","",INDEX(입력_기본자료!$C$2:$C$1001,$AB378)))</f>
        <v/>
      </c>
      <c r="D378" s="10">
        <f>IF($AB378="","",IF(INDEX(입력_기본자료!$J$2:$J$1001,$AB378)="","",INDEX(입력_기본자료!$J$2:$J$1001,$AB378)))</f>
        <v/>
      </c>
      <c r="E378" s="11">
        <f>IF($AB378="","",IF(INDEX(입력_기본자료!$K$2:$K$1001,$AB378)="","",IF(NOT(ISNUMBER(INDEX(입력_기본자료!$K$2:$K$1001,$AB378))),INDEX(입력_기본자료!$K$2:$K$1001,$AB378),IF(INDEX(입력_기본자료!$K$2:$K$1001,$AB378)&lt;1000000,INDEX(입력_기본자료!$K$2:$K$1001,$AB378),IF(AND(INDEX(입력_기본자료!$K$2:$K$1001,$AB378)&gt;=10000101,INT(MOD(INDEX(입력_기본자료!$K$2:$K$1001,$AB378),10000)/100)&gt;=1,INT(MOD(INDEX(입력_기본자료!$K$2:$K$1001,$AB378),10000)/100)&lt;=12,MOD(INDEX(입력_기본자료!$K$2:$K$1001,$AB378),100)&gt;=1,MOD(INDEX(입력_기본자료!$K$2:$K$1001,$AB378),100)&lt;=31),DATE(INT(INDEX(입력_기본자료!$K$2:$K$1001,$AB378)/10000),INT(MOD(INDEX(입력_기본자료!$K$2:$K$1001,$AB378),10000)/100),MOD(INDEX(입력_기본자료!$K$2:$K$1001,$AB378),100)),INDEX(입력_기본자료!$K$2:$K$1001,$AB378)&amp;"")))))</f>
        <v/>
      </c>
      <c r="F378" s="10">
        <f>IF($AB378="","",IF(INDEX(입력_기본자료!$D$2:$D$1001,$AB378)="","",INDEX(입력_기본자료!$D$2:$D$1001,$AB378)))</f>
        <v/>
      </c>
      <c r="G378" s="10">
        <f>IF($AB378="","",IF(INDEX(입력_기본자료!$E$2:$E$1001,$AB378)="","",INDEX(입력_기본자료!$E$2:$E$1001,$AB378)))</f>
        <v/>
      </c>
      <c r="H378" s="10">
        <f>IF($AB378="","",IF(INDEX(입력_기본자료!$F$2:$F$1001,$AB378)="","",INDEX(입력_기본자료!$F$2:$F$1001,$AB378)))</f>
        <v/>
      </c>
      <c r="I378" s="11">
        <f>IF($AB378="","",IF(INDEX(입력_기본자료!$G$2:$G$1001,$AB378)="","",IF(NOT(ISNUMBER(INDEX(입력_기본자료!$G$2:$G$1001,$AB378))),INDEX(입력_기본자료!$G$2:$G$1001,$AB378),IF(INDEX(입력_기본자료!$G$2:$G$1001,$AB378)&lt;1000000,INDEX(입력_기본자료!$G$2:$G$1001,$AB378),IF(AND(INDEX(입력_기본자료!$G$2:$G$1001,$AB378)&gt;=10000101,INT(MOD(INDEX(입력_기본자료!$G$2:$G$1001,$AB378),10000)/100)&gt;=1,INT(MOD(INDEX(입력_기본자료!$G$2:$G$1001,$AB378),10000)/100)&lt;=12,MOD(INDEX(입력_기본자료!$G$2:$G$1001,$AB378),100)&gt;=1,MOD(INDEX(입력_기본자료!$G$2:$G$1001,$AB378),100)&lt;=31),DATE(INT(INDEX(입력_기본자료!$G$2:$G$1001,$AB378)/10000),INT(MOD(INDEX(입력_기본자료!$G$2:$G$1001,$AB378),10000)/100),MOD(INDEX(입력_기본자료!$G$2:$G$1001,$AB378),100)),INDEX(입력_기본자료!$G$2:$G$1001,$AB378)&amp;"")))))</f>
        <v/>
      </c>
      <c r="J378" s="10">
        <f>IF($AB378="","",IF(INDEX(입력_기본자료!$H$2:$H$1001,$AB378)="","",INDEX(입력_기본자료!$H$2:$H$1001,$AB378)))</f>
        <v/>
      </c>
      <c r="K378" s="10">
        <f>IF($AB378="","",IF(INDEX(입력_기본자료!$I$2:$I$1001,$AB378)="","",INDEX(입력_기본자료!$I$2:$I$1001,$AB378)))</f>
        <v/>
      </c>
      <c r="L378" s="10">
        <f>IF($AB378="","",IF(INDEX(입력_기본자료!$A$2:$A$1001,$AB378)="","",INDEX(입력_기본자료!$A$2:$A$1001,$AB378)))</f>
        <v/>
      </c>
      <c r="M378" s="15" t="n"/>
      <c r="N378" s="10">
        <f>IF($B378="","",IF(AND($U378="파견중",$Q378&lt;&gt;""),$Q378,IF(AND($AD378&lt;&gt;"",LEFT($AD378,1)&lt;&gt;"⚠"),LEFT($AD378,FIND(" ",$AD378)-1),IF($H378="","",IF(RIGHT($H378,2)="병원",$H378,$H378&amp;"병원")))))</f>
        <v/>
      </c>
      <c r="O378" s="10">
        <f>IF($B378="","",IF(AND($U378="파견중",$Q378&lt;&gt;""),IF($R378&lt;&gt;"",$R378,"파견과 미입력"),IF(AND($AD378&lt;&gt;"",LEFT($AD378,1)&lt;&gt;"⚠"),MID($AD378,FIND(" ",$AD378)+1,60),IF($F378="","",IF($F378="인턴","수련교육부(인턴)",$F378)))))</f>
        <v/>
      </c>
      <c r="P378" s="10">
        <f>IF($B378="","",IF($AK378&lt;&gt;"",IF(AND(TODAY()&gt;=INDEX(입력_파견수련계획!$AB$4:$AB$803,$AK378),OR(NOT(ISNUMBER(INDEX(입력_파견수련계획!$AC$4:$AC$803,$AK378))),TODAY()&lt;=INDEX(입력_파견수련계획!$AC$4:$AC$803,$AK378))),"다기관",IF($AF378="","",INDEX(입력_파견수련계획!$T$4:$T$803,$AF378))),IF($AF378="","",INDEX(입력_파견수련계획!$T$4:$T$803,$AF378))))</f>
        <v/>
      </c>
      <c r="Q378" s="10">
        <f>IF($AF378="","",INDEX(입력_파견수련계획!$S$4:$S$803,$AF378))</f>
        <v/>
      </c>
      <c r="R378" s="10">
        <f>IF($AF378="","",INDEX(입력_파견수련계획!$U$4:$U$803,$AF378))</f>
        <v/>
      </c>
      <c r="S378" s="11">
        <f>IF($AF378="","",IF(INDEX(입력_파견수련계획!$H$4:$H$803,$AF378)="","",INDEX(입력_파견수련계획!$H$4:$H$803,$AF378)))</f>
        <v/>
      </c>
      <c r="T378" s="11">
        <f>IF($AF378="","",IF(INDEX(입력_파견수련계획!$I$4:$I$803,$AF378)="","",INDEX(입력_파견수련계획!$I$4:$I$803,$AF378)))</f>
        <v/>
      </c>
      <c r="U378" s="10">
        <f>IF($AF378="","",INDEX(입력_파견수련계획!$X$4:$X$803,$AF378))</f>
        <v/>
      </c>
      <c r="V378" s="17">
        <f>IF($AF378="","",INDEX(입력_파견수련계획!$V$4:$V$803,$AF378))</f>
        <v/>
      </c>
      <c r="W378" s="17">
        <f>IF(AND($U378="파견중",$T378&lt;&gt;""),$T378-TODAY(),"")</f>
        <v/>
      </c>
      <c r="X378" s="17">
        <f>IF(OR($B378="",TRIM($J378&amp;"")=""),"",SUMPRODUCT((입력_파견수련계획!$Q$4:$Q$803=TRIM($J378&amp;""))*입력_파견수련계획!$W$4:$W$803))</f>
        <v/>
      </c>
      <c r="Y378" s="10">
        <f>IF($B378="","",IF($AG378="","",IF(IF(TRIM($J378&amp;"")="",0,SUMPRODUCT((입력_파견수련계획!$Q$4:$Q$803=TRIM($J378&amp;""))*입력_파견수련계획!$AD$4:$AD$803))&gt;0,$AE378,IF(AND(N($X378)&lt;=0,$AQ378=""),$AG378,IF($AH378+$AI378=DAY(EOMONTH(출력_요약!$B$3,0)),IF(AND($AH378&gt;=출력_요약!$E$3,$AI378&lt;출력_요약!$E$3),"서울병원",IF(AND($AI378&gt;=출력_요약!$E$3,$AH378&lt;출력_요약!$E$3),"구리병원","⚠15일 판정불가(서울 "&amp;$AH378&amp;"일/구리 "&amp;$AI378&amp;"일)")),IF($AJ378="",$AE378,IF(INDEX(입력_파견수련계획!$T$4:$T$803,$AJ378)="통합수련",INDEX(입력_파견수련계획!$S$4:$S$803,$AJ378),$AE378)))))))</f>
        <v/>
      </c>
      <c r="Z378" s="20">
        <f>IF($B378="","",IF($AB378="","기본자료에 없는 사번",IF(COUNTIF($B$2:$B$401,$B378)&gt;1,"중복 사번",IF($AE378="","소속(입사장소) 입력",IF(IF(TRIM($J378&amp;"")="",0,SUMPRODUCT((입력_파견수련계획!$Q$4:$Q$803=TRIM($J378&amp;""))*(입력_파견수련계획!$AA$4:$AA$803&lt;&gt;"")))&gt;0,"파견수련계획 입력오류 확인",IF(LEFT($Y378,1)="⚠","서울·구리 15일 판정 불가(양쪽 모두 이상/미만)",IF(IF($AC378="",0,N(INDEX(입력_인턴근무계획!$T$3:$T$402,$AC378)))&gt;0,"인턴계획 입력오류 확인",IF(AND($AQ378&lt;&gt;"",$AG378&lt;&gt;"구리병원",IF(TRIM($J378&amp;"")="",0,SUMPRODUCT((입력_파견수련계획!$Q$4:$Q$803=TRIM($J378&amp;""))*(입력_파견수련계획!$S$4:$S$803="구리병원")*입력_파견수련계획!$W$4:$W$803))=0),"구리 근무자명단에만 있음(파견수련계획 확인)",IF(AND($AC378&lt;&gt;"",$U378&lt;&gt;"파견중",$N378&lt;&gt;$AE378),"인턴 타지역 근무: 파견 여부 확인","정상")))))))))</f>
        <v/>
      </c>
      <c r="AA378" s="5" t="n"/>
      <c r="AB378" s="10">
        <f>IF($B378="","",IFERROR(MATCH($B378,입력_기본자료!$B$2:$B$1001,0),IFERROR(MATCH($B378&amp;"",입력_기본자료!$B$2:$B$1001,0),IFERROR(MATCH(VALUE($B378),입력_기본자료!$B$2:$B$1001,0),""))))</f>
        <v/>
      </c>
      <c r="AC378" s="10">
        <f>IF($B378="","",IFERROR(MATCH($B378,입력_인턴근무계획!$D$3:$D$402,0),IFERROR(MATCH($B378&amp;"",입력_인턴근무계획!$D$3:$D$402,0),IFERROR(MATCH(VALUE($B378),입력_인턴근무계획!$D$3:$D$402,0),""))))</f>
        <v/>
      </c>
      <c r="AD378" s="10">
        <f>IF(OR($AC378="",출력_인턴현황!$G$3=""),"",INDEX(입력_인턴근무계획!$M$3:$R$402,$AC378,출력_인턴현황!$G$3)&amp;"")</f>
        <v/>
      </c>
      <c r="AE378" s="10">
        <f>IF($B378="","",IF($M378&lt;&gt;"",$M378,IF(IF($AQ378="",FALSE,INDEX(출력_구리근무자!$J$6:$J$305,$AQ378)="구리독자"),"구리병원",IF($AF378&lt;&gt;"",IF(LEFT(INDEX(입력_파견수련계획!$R$4:$R$803,$AF378),1)&lt;&gt;"⚠",INDEX(입력_파견수련계획!$R$4:$R$803,$AF378),IF($H378="","",IF(RIGHT($H378,2)="병원",$H378,$H378&amp;"병원"))),IF($H378="","",IF(RIGHT($H378,2)="병원",$H378,$H378&amp;"병원"))))))</f>
        <v/>
      </c>
      <c r="AF378" s="10">
        <f>IF(OR($B378="",TRIM($J378&amp;"")=""),"",IFERROR(MATCH(TRIM($J378&amp;"")&amp;"|파견중",입력_파견수련계획!$Y$4:$Y$803,0),IFERROR(MATCH(TRIM($J378&amp;"")&amp;"|파견예정",입력_파견수련계획!$Y$4:$Y$803,0),IFERROR(MATCH(TRIM($J378&amp;"")&amp;"|파견종료",입력_파견수련계획!$Y$4:$Y$803,0),""))))</f>
        <v/>
      </c>
      <c r="AG378" s="10">
        <f>IF($B378="","",IF(AND(IF(OR($AC378="",출력_인턴현황!$K$2=""),"",INDEX(입력_인턴근무계획!$M$3:$R$402,$AC378,출력_인턴현황!$K$2)&amp;"")&lt;&gt;"",LEFT(IF(OR($AC378="",출력_인턴현황!$K$2=""),"",INDEX(입력_인턴근무계획!$M$3:$R$402,$AC378,출력_인턴현황!$K$2)&amp;""),1)&lt;&gt;"⚠"),LEFT(IF(OR($AC378="",출력_인턴현황!$K$2=""),"",INDEX(입력_인턴근무계획!$M$3:$R$402,$AC378,출력_인턴현황!$K$2)&amp;""),FIND(" ",IF(OR($AC378="",출력_인턴현황!$K$2=""),"",INDEX(입력_인턴근무계획!$M$3:$R$402,$AC378,출력_인턴현황!$K$2)&amp;""))-1),$AE378))</f>
        <v/>
      </c>
      <c r="AH378" s="17">
        <f>IF($B378="","",IF($AQ378&lt;&gt;"",MAX(0,DAY(EOMONTH(출력_요약!$B$3,0))-N($AR378)),IF(TRIM($J378&amp;"")="",0,SUMPRODUCT((입력_파견수련계획!$Q$4:$Q$803=TRIM($J378&amp;""))*(입력_파견수련계획!$S$4:$S$803="서울병원")*입력_파견수련계획!$W$4:$W$803))+IF($AG378="서울병원",MAX(0,DAY(EOMONTH(출력_요약!$B$3,0))-N($X378)),0)))</f>
        <v/>
      </c>
      <c r="AI378" s="17">
        <f>IF($B378="","",IF($AQ378&lt;&gt;"",N($AR378),IF(TRIM($J378&amp;"")="",0,SUMPRODUCT((입력_파견수련계획!$Q$4:$Q$803=TRIM($J378&amp;""))*(입력_파견수련계획!$S$4:$S$803="구리병원")*입력_파견수련계획!$W$4:$W$803))+IF($AG378="구리병원",MAX(0,DAY(EOMONTH(출력_요약!$B$3,0))-N($X378)),0)))</f>
        <v/>
      </c>
      <c r="AJ378" s="10">
        <f>IF(OR($B378="",TRIM($J378&amp;"")=""),"",IFERROR(MATCH(TRIM($J378&amp;"")&amp;"|월",입력_파견수련계획!$Z$4:$Z$803,0),""))</f>
        <v/>
      </c>
      <c r="AK378" s="10">
        <f>IF(OR($B378="",TRIM($J378&amp;"")=""),"",IFERROR(MATCH(TRIM($J378&amp;"")&amp;"|다기관",입력_파견수련계획!$AE$4:$AE$803,0),""))</f>
        <v/>
      </c>
      <c r="AL378" s="10">
        <f>IF($AK378="","","다기관 "&amp;TEXT(INDEX(입력_파견수련계획!$AB$4:$AB$803,$AK378),"yyyy-mm-dd")&amp;"~"&amp;IF(ISNUMBER(INDEX(입력_파견수련계획!$AC$4:$AC$803,$AK378)),TEXT(INDEX(입력_파견수련계획!$AC$4:$AC$803,$AK378),"yyyy-mm-dd"),""))</f>
        <v/>
      </c>
      <c r="AM378" s="10">
        <f>IF($Y378="서울병원",COUNTIF($Y$2:$Y378,"서울병원"),"")</f>
        <v/>
      </c>
      <c r="AN378" s="10">
        <f>IF(LEFT($Y378,1)="⚠",COUNTIF($Y$2:$Y378,"⚠*"),"")</f>
        <v/>
      </c>
      <c r="AO378" s="10">
        <f>IF(OR($B378="",$Y378=""),"",IF(IF(TRIM($J378&amp;"")="",0,SUMPRODUCT((입력_파견수련계획!$Q$4:$Q$803=TRIM($J378&amp;""))*입력_파견수련계획!$AD$4:$AD$803))&gt;0,"다기관 기간 → 소속병원 지급",IF(AND(N($X378)&lt;=0,$AQ378=""),"파견 없음 → 그 달 근무병원 지급",IF($AH378+$AI378=DAY(EOMONTH(출력_요약!$B$3,0)),"서울 "&amp;$AH378&amp;"일 / 구리 "&amp;$AI378&amp;"일"&amp;IF($AQ378&lt;&gt;""," (구리 근무자명단 반영)","")&amp;" → 15일 이상 근무 병원 지급","타 병원 포함 → "&amp;IF($AJ378="","소속",INDEX(입력_파견수련계획!$T$4:$T$803,$AJ378))&amp;" 규칙"))))</f>
        <v/>
      </c>
      <c r="AP378" s="10">
        <f>IF($B378="","",$C378&amp;"|"&amp;$F378)</f>
        <v/>
      </c>
      <c r="AQ378" s="10">
        <f>IF($B378="","",IFERROR(MATCH(ROW()-1,출력_구리근무자!$K$6:$K$305,0),""))</f>
        <v/>
      </c>
      <c r="AR378" s="10">
        <f>IF($AQ378="","",INDEX(출력_구리근무자!$H$6:$H$305,$AQ378))</f>
        <v/>
      </c>
    </row>
    <row r="379">
      <c r="A379" s="10">
        <f>IF(B379="","",ROW()-1)</f>
        <v/>
      </c>
      <c r="B379" s="19" t="n"/>
      <c r="C379" s="10">
        <f>IF($AB379="","",IF(INDEX(입력_기본자료!$C$2:$C$1001,$AB379)="","",INDEX(입력_기본자료!$C$2:$C$1001,$AB379)))</f>
        <v/>
      </c>
      <c r="D379" s="10">
        <f>IF($AB379="","",IF(INDEX(입력_기본자료!$J$2:$J$1001,$AB379)="","",INDEX(입력_기본자료!$J$2:$J$1001,$AB379)))</f>
        <v/>
      </c>
      <c r="E379" s="11">
        <f>IF($AB379="","",IF(INDEX(입력_기본자료!$K$2:$K$1001,$AB379)="","",IF(NOT(ISNUMBER(INDEX(입력_기본자료!$K$2:$K$1001,$AB379))),INDEX(입력_기본자료!$K$2:$K$1001,$AB379),IF(INDEX(입력_기본자료!$K$2:$K$1001,$AB379)&lt;1000000,INDEX(입력_기본자료!$K$2:$K$1001,$AB379),IF(AND(INDEX(입력_기본자료!$K$2:$K$1001,$AB379)&gt;=10000101,INT(MOD(INDEX(입력_기본자료!$K$2:$K$1001,$AB379),10000)/100)&gt;=1,INT(MOD(INDEX(입력_기본자료!$K$2:$K$1001,$AB379),10000)/100)&lt;=12,MOD(INDEX(입력_기본자료!$K$2:$K$1001,$AB379),100)&gt;=1,MOD(INDEX(입력_기본자료!$K$2:$K$1001,$AB379),100)&lt;=31),DATE(INT(INDEX(입력_기본자료!$K$2:$K$1001,$AB379)/10000),INT(MOD(INDEX(입력_기본자료!$K$2:$K$1001,$AB379),10000)/100),MOD(INDEX(입력_기본자료!$K$2:$K$1001,$AB379),100)),INDEX(입력_기본자료!$K$2:$K$1001,$AB379)&amp;"")))))</f>
        <v/>
      </c>
      <c r="F379" s="10">
        <f>IF($AB379="","",IF(INDEX(입력_기본자료!$D$2:$D$1001,$AB379)="","",INDEX(입력_기본자료!$D$2:$D$1001,$AB379)))</f>
        <v/>
      </c>
      <c r="G379" s="10">
        <f>IF($AB379="","",IF(INDEX(입력_기본자료!$E$2:$E$1001,$AB379)="","",INDEX(입력_기본자료!$E$2:$E$1001,$AB379)))</f>
        <v/>
      </c>
      <c r="H379" s="10">
        <f>IF($AB379="","",IF(INDEX(입력_기본자료!$F$2:$F$1001,$AB379)="","",INDEX(입력_기본자료!$F$2:$F$1001,$AB379)))</f>
        <v/>
      </c>
      <c r="I379" s="11">
        <f>IF($AB379="","",IF(INDEX(입력_기본자료!$G$2:$G$1001,$AB379)="","",IF(NOT(ISNUMBER(INDEX(입력_기본자료!$G$2:$G$1001,$AB379))),INDEX(입력_기본자료!$G$2:$G$1001,$AB379),IF(INDEX(입력_기본자료!$G$2:$G$1001,$AB379)&lt;1000000,INDEX(입력_기본자료!$G$2:$G$1001,$AB379),IF(AND(INDEX(입력_기본자료!$G$2:$G$1001,$AB379)&gt;=10000101,INT(MOD(INDEX(입력_기본자료!$G$2:$G$1001,$AB379),10000)/100)&gt;=1,INT(MOD(INDEX(입력_기본자료!$G$2:$G$1001,$AB379),10000)/100)&lt;=12,MOD(INDEX(입력_기본자료!$G$2:$G$1001,$AB379),100)&gt;=1,MOD(INDEX(입력_기본자료!$G$2:$G$1001,$AB379),100)&lt;=31),DATE(INT(INDEX(입력_기본자료!$G$2:$G$1001,$AB379)/10000),INT(MOD(INDEX(입력_기본자료!$G$2:$G$1001,$AB379),10000)/100),MOD(INDEX(입력_기본자료!$G$2:$G$1001,$AB379),100)),INDEX(입력_기본자료!$G$2:$G$1001,$AB379)&amp;"")))))</f>
        <v/>
      </c>
      <c r="J379" s="10">
        <f>IF($AB379="","",IF(INDEX(입력_기본자료!$H$2:$H$1001,$AB379)="","",INDEX(입력_기본자료!$H$2:$H$1001,$AB379)))</f>
        <v/>
      </c>
      <c r="K379" s="10">
        <f>IF($AB379="","",IF(INDEX(입력_기본자료!$I$2:$I$1001,$AB379)="","",INDEX(입력_기본자료!$I$2:$I$1001,$AB379)))</f>
        <v/>
      </c>
      <c r="L379" s="10">
        <f>IF($AB379="","",IF(INDEX(입력_기본자료!$A$2:$A$1001,$AB379)="","",INDEX(입력_기본자료!$A$2:$A$1001,$AB379)))</f>
        <v/>
      </c>
      <c r="M379" s="15" t="n"/>
      <c r="N379" s="10">
        <f>IF($B379="","",IF(AND($U379="파견중",$Q379&lt;&gt;""),$Q379,IF(AND($AD379&lt;&gt;"",LEFT($AD379,1)&lt;&gt;"⚠"),LEFT($AD379,FIND(" ",$AD379)-1),IF($H379="","",IF(RIGHT($H379,2)="병원",$H379,$H379&amp;"병원")))))</f>
        <v/>
      </c>
      <c r="O379" s="10">
        <f>IF($B379="","",IF(AND($U379="파견중",$Q379&lt;&gt;""),IF($R379&lt;&gt;"",$R379,"파견과 미입력"),IF(AND($AD379&lt;&gt;"",LEFT($AD379,1)&lt;&gt;"⚠"),MID($AD379,FIND(" ",$AD379)+1,60),IF($F379="","",IF($F379="인턴","수련교육부(인턴)",$F379)))))</f>
        <v/>
      </c>
      <c r="P379" s="10">
        <f>IF($B379="","",IF($AK379&lt;&gt;"",IF(AND(TODAY()&gt;=INDEX(입력_파견수련계획!$AB$4:$AB$803,$AK379),OR(NOT(ISNUMBER(INDEX(입력_파견수련계획!$AC$4:$AC$803,$AK379))),TODAY()&lt;=INDEX(입력_파견수련계획!$AC$4:$AC$803,$AK379))),"다기관",IF($AF379="","",INDEX(입력_파견수련계획!$T$4:$T$803,$AF379))),IF($AF379="","",INDEX(입력_파견수련계획!$T$4:$T$803,$AF379))))</f>
        <v/>
      </c>
      <c r="Q379" s="10">
        <f>IF($AF379="","",INDEX(입력_파견수련계획!$S$4:$S$803,$AF379))</f>
        <v/>
      </c>
      <c r="R379" s="10">
        <f>IF($AF379="","",INDEX(입력_파견수련계획!$U$4:$U$803,$AF379))</f>
        <v/>
      </c>
      <c r="S379" s="11">
        <f>IF($AF379="","",IF(INDEX(입력_파견수련계획!$H$4:$H$803,$AF379)="","",INDEX(입력_파견수련계획!$H$4:$H$803,$AF379)))</f>
        <v/>
      </c>
      <c r="T379" s="11">
        <f>IF($AF379="","",IF(INDEX(입력_파견수련계획!$I$4:$I$803,$AF379)="","",INDEX(입력_파견수련계획!$I$4:$I$803,$AF379)))</f>
        <v/>
      </c>
      <c r="U379" s="10">
        <f>IF($AF379="","",INDEX(입력_파견수련계획!$X$4:$X$803,$AF379))</f>
        <v/>
      </c>
      <c r="V379" s="17">
        <f>IF($AF379="","",INDEX(입력_파견수련계획!$V$4:$V$803,$AF379))</f>
        <v/>
      </c>
      <c r="W379" s="17">
        <f>IF(AND($U379="파견중",$T379&lt;&gt;""),$T379-TODAY(),"")</f>
        <v/>
      </c>
      <c r="X379" s="17">
        <f>IF(OR($B379="",TRIM($J379&amp;"")=""),"",SUMPRODUCT((입력_파견수련계획!$Q$4:$Q$803=TRIM($J379&amp;""))*입력_파견수련계획!$W$4:$W$803))</f>
        <v/>
      </c>
      <c r="Y379" s="10">
        <f>IF($B379="","",IF($AG379="","",IF(IF(TRIM($J379&amp;"")="",0,SUMPRODUCT((입력_파견수련계획!$Q$4:$Q$803=TRIM($J379&amp;""))*입력_파견수련계획!$AD$4:$AD$803))&gt;0,$AE379,IF(AND(N($X379)&lt;=0,$AQ379=""),$AG379,IF($AH379+$AI379=DAY(EOMONTH(출력_요약!$B$3,0)),IF(AND($AH379&gt;=출력_요약!$E$3,$AI379&lt;출력_요약!$E$3),"서울병원",IF(AND($AI379&gt;=출력_요약!$E$3,$AH379&lt;출력_요약!$E$3),"구리병원","⚠15일 판정불가(서울 "&amp;$AH379&amp;"일/구리 "&amp;$AI379&amp;"일)")),IF($AJ379="",$AE379,IF(INDEX(입력_파견수련계획!$T$4:$T$803,$AJ379)="통합수련",INDEX(입력_파견수련계획!$S$4:$S$803,$AJ379),$AE379)))))))</f>
        <v/>
      </c>
      <c r="Z379" s="20">
        <f>IF($B379="","",IF($AB379="","기본자료에 없는 사번",IF(COUNTIF($B$2:$B$401,$B379)&gt;1,"중복 사번",IF($AE379="","소속(입사장소) 입력",IF(IF(TRIM($J379&amp;"")="",0,SUMPRODUCT((입력_파견수련계획!$Q$4:$Q$803=TRIM($J379&amp;""))*(입력_파견수련계획!$AA$4:$AA$803&lt;&gt;"")))&gt;0,"파견수련계획 입력오류 확인",IF(LEFT($Y379,1)="⚠","서울·구리 15일 판정 불가(양쪽 모두 이상/미만)",IF(IF($AC379="",0,N(INDEX(입력_인턴근무계획!$T$3:$T$402,$AC379)))&gt;0,"인턴계획 입력오류 확인",IF(AND($AQ379&lt;&gt;"",$AG379&lt;&gt;"구리병원",IF(TRIM($J379&amp;"")="",0,SUMPRODUCT((입력_파견수련계획!$Q$4:$Q$803=TRIM($J379&amp;""))*(입력_파견수련계획!$S$4:$S$803="구리병원")*입력_파견수련계획!$W$4:$W$803))=0),"구리 근무자명단에만 있음(파견수련계획 확인)",IF(AND($AC379&lt;&gt;"",$U379&lt;&gt;"파견중",$N379&lt;&gt;$AE379),"인턴 타지역 근무: 파견 여부 확인","정상")))))))))</f>
        <v/>
      </c>
      <c r="AA379" s="5" t="n"/>
      <c r="AB379" s="10">
        <f>IF($B379="","",IFERROR(MATCH($B379,입력_기본자료!$B$2:$B$1001,0),IFERROR(MATCH($B379&amp;"",입력_기본자료!$B$2:$B$1001,0),IFERROR(MATCH(VALUE($B379),입력_기본자료!$B$2:$B$1001,0),""))))</f>
        <v/>
      </c>
      <c r="AC379" s="10">
        <f>IF($B379="","",IFERROR(MATCH($B379,입력_인턴근무계획!$D$3:$D$402,0),IFERROR(MATCH($B379&amp;"",입력_인턴근무계획!$D$3:$D$402,0),IFERROR(MATCH(VALUE($B379),입력_인턴근무계획!$D$3:$D$402,0),""))))</f>
        <v/>
      </c>
      <c r="AD379" s="10">
        <f>IF(OR($AC379="",출력_인턴현황!$G$3=""),"",INDEX(입력_인턴근무계획!$M$3:$R$402,$AC379,출력_인턴현황!$G$3)&amp;"")</f>
        <v/>
      </c>
      <c r="AE379" s="10">
        <f>IF($B379="","",IF($M379&lt;&gt;"",$M379,IF(IF($AQ379="",FALSE,INDEX(출력_구리근무자!$J$6:$J$305,$AQ379)="구리독자"),"구리병원",IF($AF379&lt;&gt;"",IF(LEFT(INDEX(입력_파견수련계획!$R$4:$R$803,$AF379),1)&lt;&gt;"⚠",INDEX(입력_파견수련계획!$R$4:$R$803,$AF379),IF($H379="","",IF(RIGHT($H379,2)="병원",$H379,$H379&amp;"병원"))),IF($H379="","",IF(RIGHT($H379,2)="병원",$H379,$H379&amp;"병원"))))))</f>
        <v/>
      </c>
      <c r="AF379" s="10">
        <f>IF(OR($B379="",TRIM($J379&amp;"")=""),"",IFERROR(MATCH(TRIM($J379&amp;"")&amp;"|파견중",입력_파견수련계획!$Y$4:$Y$803,0),IFERROR(MATCH(TRIM($J379&amp;"")&amp;"|파견예정",입력_파견수련계획!$Y$4:$Y$803,0),IFERROR(MATCH(TRIM($J379&amp;"")&amp;"|파견종료",입력_파견수련계획!$Y$4:$Y$803,0),""))))</f>
        <v/>
      </c>
      <c r="AG379" s="10">
        <f>IF($B379="","",IF(AND(IF(OR($AC379="",출력_인턴현황!$K$2=""),"",INDEX(입력_인턴근무계획!$M$3:$R$402,$AC379,출력_인턴현황!$K$2)&amp;"")&lt;&gt;"",LEFT(IF(OR($AC379="",출력_인턴현황!$K$2=""),"",INDEX(입력_인턴근무계획!$M$3:$R$402,$AC379,출력_인턴현황!$K$2)&amp;""),1)&lt;&gt;"⚠"),LEFT(IF(OR($AC379="",출력_인턴현황!$K$2=""),"",INDEX(입력_인턴근무계획!$M$3:$R$402,$AC379,출력_인턴현황!$K$2)&amp;""),FIND(" ",IF(OR($AC379="",출력_인턴현황!$K$2=""),"",INDEX(입력_인턴근무계획!$M$3:$R$402,$AC379,출력_인턴현황!$K$2)&amp;""))-1),$AE379))</f>
        <v/>
      </c>
      <c r="AH379" s="17">
        <f>IF($B379="","",IF($AQ379&lt;&gt;"",MAX(0,DAY(EOMONTH(출력_요약!$B$3,0))-N($AR379)),IF(TRIM($J379&amp;"")="",0,SUMPRODUCT((입력_파견수련계획!$Q$4:$Q$803=TRIM($J379&amp;""))*(입력_파견수련계획!$S$4:$S$803="서울병원")*입력_파견수련계획!$W$4:$W$803))+IF($AG379="서울병원",MAX(0,DAY(EOMONTH(출력_요약!$B$3,0))-N($X379)),0)))</f>
        <v/>
      </c>
      <c r="AI379" s="17">
        <f>IF($B379="","",IF($AQ379&lt;&gt;"",N($AR379),IF(TRIM($J379&amp;"")="",0,SUMPRODUCT((입력_파견수련계획!$Q$4:$Q$803=TRIM($J379&amp;""))*(입력_파견수련계획!$S$4:$S$803="구리병원")*입력_파견수련계획!$W$4:$W$803))+IF($AG379="구리병원",MAX(0,DAY(EOMONTH(출력_요약!$B$3,0))-N($X379)),0)))</f>
        <v/>
      </c>
      <c r="AJ379" s="10">
        <f>IF(OR($B379="",TRIM($J379&amp;"")=""),"",IFERROR(MATCH(TRIM($J379&amp;"")&amp;"|월",입력_파견수련계획!$Z$4:$Z$803,0),""))</f>
        <v/>
      </c>
      <c r="AK379" s="10">
        <f>IF(OR($B379="",TRIM($J379&amp;"")=""),"",IFERROR(MATCH(TRIM($J379&amp;"")&amp;"|다기관",입력_파견수련계획!$AE$4:$AE$803,0),""))</f>
        <v/>
      </c>
      <c r="AL379" s="10">
        <f>IF($AK379="","","다기관 "&amp;TEXT(INDEX(입력_파견수련계획!$AB$4:$AB$803,$AK379),"yyyy-mm-dd")&amp;"~"&amp;IF(ISNUMBER(INDEX(입력_파견수련계획!$AC$4:$AC$803,$AK379)),TEXT(INDEX(입력_파견수련계획!$AC$4:$AC$803,$AK379),"yyyy-mm-dd"),""))</f>
        <v/>
      </c>
      <c r="AM379" s="10">
        <f>IF($Y379="서울병원",COUNTIF($Y$2:$Y379,"서울병원"),"")</f>
        <v/>
      </c>
      <c r="AN379" s="10">
        <f>IF(LEFT($Y379,1)="⚠",COUNTIF($Y$2:$Y379,"⚠*"),"")</f>
        <v/>
      </c>
      <c r="AO379" s="10">
        <f>IF(OR($B379="",$Y379=""),"",IF(IF(TRIM($J379&amp;"")="",0,SUMPRODUCT((입력_파견수련계획!$Q$4:$Q$803=TRIM($J379&amp;""))*입력_파견수련계획!$AD$4:$AD$803))&gt;0,"다기관 기간 → 소속병원 지급",IF(AND(N($X379)&lt;=0,$AQ379=""),"파견 없음 → 그 달 근무병원 지급",IF($AH379+$AI379=DAY(EOMONTH(출력_요약!$B$3,0)),"서울 "&amp;$AH379&amp;"일 / 구리 "&amp;$AI379&amp;"일"&amp;IF($AQ379&lt;&gt;""," (구리 근무자명단 반영)","")&amp;" → 15일 이상 근무 병원 지급","타 병원 포함 → "&amp;IF($AJ379="","소속",INDEX(입력_파견수련계획!$T$4:$T$803,$AJ379))&amp;" 규칙"))))</f>
        <v/>
      </c>
      <c r="AP379" s="10">
        <f>IF($B379="","",$C379&amp;"|"&amp;$F379)</f>
        <v/>
      </c>
      <c r="AQ379" s="10">
        <f>IF($B379="","",IFERROR(MATCH(ROW()-1,출력_구리근무자!$K$6:$K$305,0),""))</f>
        <v/>
      </c>
      <c r="AR379" s="10">
        <f>IF($AQ379="","",INDEX(출력_구리근무자!$H$6:$H$305,$AQ379))</f>
        <v/>
      </c>
    </row>
    <row r="380">
      <c r="A380" s="10">
        <f>IF(B380="","",ROW()-1)</f>
        <v/>
      </c>
      <c r="B380" s="19" t="n"/>
      <c r="C380" s="10">
        <f>IF($AB380="","",IF(INDEX(입력_기본자료!$C$2:$C$1001,$AB380)="","",INDEX(입력_기본자료!$C$2:$C$1001,$AB380)))</f>
        <v/>
      </c>
      <c r="D380" s="10">
        <f>IF($AB380="","",IF(INDEX(입력_기본자료!$J$2:$J$1001,$AB380)="","",INDEX(입력_기본자료!$J$2:$J$1001,$AB380)))</f>
        <v/>
      </c>
      <c r="E380" s="11">
        <f>IF($AB380="","",IF(INDEX(입력_기본자료!$K$2:$K$1001,$AB380)="","",IF(NOT(ISNUMBER(INDEX(입력_기본자료!$K$2:$K$1001,$AB380))),INDEX(입력_기본자료!$K$2:$K$1001,$AB380),IF(INDEX(입력_기본자료!$K$2:$K$1001,$AB380)&lt;1000000,INDEX(입력_기본자료!$K$2:$K$1001,$AB380),IF(AND(INDEX(입력_기본자료!$K$2:$K$1001,$AB380)&gt;=10000101,INT(MOD(INDEX(입력_기본자료!$K$2:$K$1001,$AB380),10000)/100)&gt;=1,INT(MOD(INDEX(입력_기본자료!$K$2:$K$1001,$AB380),10000)/100)&lt;=12,MOD(INDEX(입력_기본자료!$K$2:$K$1001,$AB380),100)&gt;=1,MOD(INDEX(입력_기본자료!$K$2:$K$1001,$AB380),100)&lt;=31),DATE(INT(INDEX(입력_기본자료!$K$2:$K$1001,$AB380)/10000),INT(MOD(INDEX(입력_기본자료!$K$2:$K$1001,$AB380),10000)/100),MOD(INDEX(입력_기본자료!$K$2:$K$1001,$AB380),100)),INDEX(입력_기본자료!$K$2:$K$1001,$AB380)&amp;"")))))</f>
        <v/>
      </c>
      <c r="F380" s="10">
        <f>IF($AB380="","",IF(INDEX(입력_기본자료!$D$2:$D$1001,$AB380)="","",INDEX(입력_기본자료!$D$2:$D$1001,$AB380)))</f>
        <v/>
      </c>
      <c r="G380" s="10">
        <f>IF($AB380="","",IF(INDEX(입력_기본자료!$E$2:$E$1001,$AB380)="","",INDEX(입력_기본자료!$E$2:$E$1001,$AB380)))</f>
        <v/>
      </c>
      <c r="H380" s="10">
        <f>IF($AB380="","",IF(INDEX(입력_기본자료!$F$2:$F$1001,$AB380)="","",INDEX(입력_기본자료!$F$2:$F$1001,$AB380)))</f>
        <v/>
      </c>
      <c r="I380" s="11">
        <f>IF($AB380="","",IF(INDEX(입력_기본자료!$G$2:$G$1001,$AB380)="","",IF(NOT(ISNUMBER(INDEX(입력_기본자료!$G$2:$G$1001,$AB380))),INDEX(입력_기본자료!$G$2:$G$1001,$AB380),IF(INDEX(입력_기본자료!$G$2:$G$1001,$AB380)&lt;1000000,INDEX(입력_기본자료!$G$2:$G$1001,$AB380),IF(AND(INDEX(입력_기본자료!$G$2:$G$1001,$AB380)&gt;=10000101,INT(MOD(INDEX(입력_기본자료!$G$2:$G$1001,$AB380),10000)/100)&gt;=1,INT(MOD(INDEX(입력_기본자료!$G$2:$G$1001,$AB380),10000)/100)&lt;=12,MOD(INDEX(입력_기본자료!$G$2:$G$1001,$AB380),100)&gt;=1,MOD(INDEX(입력_기본자료!$G$2:$G$1001,$AB380),100)&lt;=31),DATE(INT(INDEX(입력_기본자료!$G$2:$G$1001,$AB380)/10000),INT(MOD(INDEX(입력_기본자료!$G$2:$G$1001,$AB380),10000)/100),MOD(INDEX(입력_기본자료!$G$2:$G$1001,$AB380),100)),INDEX(입력_기본자료!$G$2:$G$1001,$AB380)&amp;"")))))</f>
        <v/>
      </c>
      <c r="J380" s="10">
        <f>IF($AB380="","",IF(INDEX(입력_기본자료!$H$2:$H$1001,$AB380)="","",INDEX(입력_기본자료!$H$2:$H$1001,$AB380)))</f>
        <v/>
      </c>
      <c r="K380" s="10">
        <f>IF($AB380="","",IF(INDEX(입력_기본자료!$I$2:$I$1001,$AB380)="","",INDEX(입력_기본자료!$I$2:$I$1001,$AB380)))</f>
        <v/>
      </c>
      <c r="L380" s="10">
        <f>IF($AB380="","",IF(INDEX(입력_기본자료!$A$2:$A$1001,$AB380)="","",INDEX(입력_기본자료!$A$2:$A$1001,$AB380)))</f>
        <v/>
      </c>
      <c r="M380" s="15" t="n"/>
      <c r="N380" s="10">
        <f>IF($B380="","",IF(AND($U380="파견중",$Q380&lt;&gt;""),$Q380,IF(AND($AD380&lt;&gt;"",LEFT($AD380,1)&lt;&gt;"⚠"),LEFT($AD380,FIND(" ",$AD380)-1),IF($H380="","",IF(RIGHT($H380,2)="병원",$H380,$H380&amp;"병원")))))</f>
        <v/>
      </c>
      <c r="O380" s="10">
        <f>IF($B380="","",IF(AND($U380="파견중",$Q380&lt;&gt;""),IF($R380&lt;&gt;"",$R380,"파견과 미입력"),IF(AND($AD380&lt;&gt;"",LEFT($AD380,1)&lt;&gt;"⚠"),MID($AD380,FIND(" ",$AD380)+1,60),IF($F380="","",IF($F380="인턴","수련교육부(인턴)",$F380)))))</f>
        <v/>
      </c>
      <c r="P380" s="10">
        <f>IF($B380="","",IF($AK380&lt;&gt;"",IF(AND(TODAY()&gt;=INDEX(입력_파견수련계획!$AB$4:$AB$803,$AK380),OR(NOT(ISNUMBER(INDEX(입력_파견수련계획!$AC$4:$AC$803,$AK380))),TODAY()&lt;=INDEX(입력_파견수련계획!$AC$4:$AC$803,$AK380))),"다기관",IF($AF380="","",INDEX(입력_파견수련계획!$T$4:$T$803,$AF380))),IF($AF380="","",INDEX(입력_파견수련계획!$T$4:$T$803,$AF380))))</f>
        <v/>
      </c>
      <c r="Q380" s="10">
        <f>IF($AF380="","",INDEX(입력_파견수련계획!$S$4:$S$803,$AF380))</f>
        <v/>
      </c>
      <c r="R380" s="10">
        <f>IF($AF380="","",INDEX(입력_파견수련계획!$U$4:$U$803,$AF380))</f>
        <v/>
      </c>
      <c r="S380" s="11">
        <f>IF($AF380="","",IF(INDEX(입력_파견수련계획!$H$4:$H$803,$AF380)="","",INDEX(입력_파견수련계획!$H$4:$H$803,$AF380)))</f>
        <v/>
      </c>
      <c r="T380" s="11">
        <f>IF($AF380="","",IF(INDEX(입력_파견수련계획!$I$4:$I$803,$AF380)="","",INDEX(입력_파견수련계획!$I$4:$I$803,$AF380)))</f>
        <v/>
      </c>
      <c r="U380" s="10">
        <f>IF($AF380="","",INDEX(입력_파견수련계획!$X$4:$X$803,$AF380))</f>
        <v/>
      </c>
      <c r="V380" s="17">
        <f>IF($AF380="","",INDEX(입력_파견수련계획!$V$4:$V$803,$AF380))</f>
        <v/>
      </c>
      <c r="W380" s="17">
        <f>IF(AND($U380="파견중",$T380&lt;&gt;""),$T380-TODAY(),"")</f>
        <v/>
      </c>
      <c r="X380" s="17">
        <f>IF(OR($B380="",TRIM($J380&amp;"")=""),"",SUMPRODUCT((입력_파견수련계획!$Q$4:$Q$803=TRIM($J380&amp;""))*입력_파견수련계획!$W$4:$W$803))</f>
        <v/>
      </c>
      <c r="Y380" s="10">
        <f>IF($B380="","",IF($AG380="","",IF(IF(TRIM($J380&amp;"")="",0,SUMPRODUCT((입력_파견수련계획!$Q$4:$Q$803=TRIM($J380&amp;""))*입력_파견수련계획!$AD$4:$AD$803))&gt;0,$AE380,IF(AND(N($X380)&lt;=0,$AQ380=""),$AG380,IF($AH380+$AI380=DAY(EOMONTH(출력_요약!$B$3,0)),IF(AND($AH380&gt;=출력_요약!$E$3,$AI380&lt;출력_요약!$E$3),"서울병원",IF(AND($AI380&gt;=출력_요약!$E$3,$AH380&lt;출력_요약!$E$3),"구리병원","⚠15일 판정불가(서울 "&amp;$AH380&amp;"일/구리 "&amp;$AI380&amp;"일)")),IF($AJ380="",$AE380,IF(INDEX(입력_파견수련계획!$T$4:$T$803,$AJ380)="통합수련",INDEX(입력_파견수련계획!$S$4:$S$803,$AJ380),$AE380)))))))</f>
        <v/>
      </c>
      <c r="Z380" s="20">
        <f>IF($B380="","",IF($AB380="","기본자료에 없는 사번",IF(COUNTIF($B$2:$B$401,$B380)&gt;1,"중복 사번",IF($AE380="","소속(입사장소) 입력",IF(IF(TRIM($J380&amp;"")="",0,SUMPRODUCT((입력_파견수련계획!$Q$4:$Q$803=TRIM($J380&amp;""))*(입력_파견수련계획!$AA$4:$AA$803&lt;&gt;"")))&gt;0,"파견수련계획 입력오류 확인",IF(LEFT($Y380,1)="⚠","서울·구리 15일 판정 불가(양쪽 모두 이상/미만)",IF(IF($AC380="",0,N(INDEX(입력_인턴근무계획!$T$3:$T$402,$AC380)))&gt;0,"인턴계획 입력오류 확인",IF(AND($AQ380&lt;&gt;"",$AG380&lt;&gt;"구리병원",IF(TRIM($J380&amp;"")="",0,SUMPRODUCT((입력_파견수련계획!$Q$4:$Q$803=TRIM($J380&amp;""))*(입력_파견수련계획!$S$4:$S$803="구리병원")*입력_파견수련계획!$W$4:$W$803))=0),"구리 근무자명단에만 있음(파견수련계획 확인)",IF(AND($AC380&lt;&gt;"",$U380&lt;&gt;"파견중",$N380&lt;&gt;$AE380),"인턴 타지역 근무: 파견 여부 확인","정상")))))))))</f>
        <v/>
      </c>
      <c r="AA380" s="5" t="n"/>
      <c r="AB380" s="10">
        <f>IF($B380="","",IFERROR(MATCH($B380,입력_기본자료!$B$2:$B$1001,0),IFERROR(MATCH($B380&amp;"",입력_기본자료!$B$2:$B$1001,0),IFERROR(MATCH(VALUE($B380),입력_기본자료!$B$2:$B$1001,0),""))))</f>
        <v/>
      </c>
      <c r="AC380" s="10">
        <f>IF($B380="","",IFERROR(MATCH($B380,입력_인턴근무계획!$D$3:$D$402,0),IFERROR(MATCH($B380&amp;"",입력_인턴근무계획!$D$3:$D$402,0),IFERROR(MATCH(VALUE($B380),입력_인턴근무계획!$D$3:$D$402,0),""))))</f>
        <v/>
      </c>
      <c r="AD380" s="10">
        <f>IF(OR($AC380="",출력_인턴현황!$G$3=""),"",INDEX(입력_인턴근무계획!$M$3:$R$402,$AC380,출력_인턴현황!$G$3)&amp;"")</f>
        <v/>
      </c>
      <c r="AE380" s="10">
        <f>IF($B380="","",IF($M380&lt;&gt;"",$M380,IF(IF($AQ380="",FALSE,INDEX(출력_구리근무자!$J$6:$J$305,$AQ380)="구리독자"),"구리병원",IF($AF380&lt;&gt;"",IF(LEFT(INDEX(입력_파견수련계획!$R$4:$R$803,$AF380),1)&lt;&gt;"⚠",INDEX(입력_파견수련계획!$R$4:$R$803,$AF380),IF($H380="","",IF(RIGHT($H380,2)="병원",$H380,$H380&amp;"병원"))),IF($H380="","",IF(RIGHT($H380,2)="병원",$H380,$H380&amp;"병원"))))))</f>
        <v/>
      </c>
      <c r="AF380" s="10">
        <f>IF(OR($B380="",TRIM($J380&amp;"")=""),"",IFERROR(MATCH(TRIM($J380&amp;"")&amp;"|파견중",입력_파견수련계획!$Y$4:$Y$803,0),IFERROR(MATCH(TRIM($J380&amp;"")&amp;"|파견예정",입력_파견수련계획!$Y$4:$Y$803,0),IFERROR(MATCH(TRIM($J380&amp;"")&amp;"|파견종료",입력_파견수련계획!$Y$4:$Y$803,0),""))))</f>
        <v/>
      </c>
      <c r="AG380" s="10">
        <f>IF($B380="","",IF(AND(IF(OR($AC380="",출력_인턴현황!$K$2=""),"",INDEX(입력_인턴근무계획!$M$3:$R$402,$AC380,출력_인턴현황!$K$2)&amp;"")&lt;&gt;"",LEFT(IF(OR($AC380="",출력_인턴현황!$K$2=""),"",INDEX(입력_인턴근무계획!$M$3:$R$402,$AC380,출력_인턴현황!$K$2)&amp;""),1)&lt;&gt;"⚠"),LEFT(IF(OR($AC380="",출력_인턴현황!$K$2=""),"",INDEX(입력_인턴근무계획!$M$3:$R$402,$AC380,출력_인턴현황!$K$2)&amp;""),FIND(" ",IF(OR($AC380="",출력_인턴현황!$K$2=""),"",INDEX(입력_인턴근무계획!$M$3:$R$402,$AC380,출력_인턴현황!$K$2)&amp;""))-1),$AE380))</f>
        <v/>
      </c>
      <c r="AH380" s="17">
        <f>IF($B380="","",IF($AQ380&lt;&gt;"",MAX(0,DAY(EOMONTH(출력_요약!$B$3,0))-N($AR380)),IF(TRIM($J380&amp;"")="",0,SUMPRODUCT((입력_파견수련계획!$Q$4:$Q$803=TRIM($J380&amp;""))*(입력_파견수련계획!$S$4:$S$803="서울병원")*입력_파견수련계획!$W$4:$W$803))+IF($AG380="서울병원",MAX(0,DAY(EOMONTH(출력_요약!$B$3,0))-N($X380)),0)))</f>
        <v/>
      </c>
      <c r="AI380" s="17">
        <f>IF($B380="","",IF($AQ380&lt;&gt;"",N($AR380),IF(TRIM($J380&amp;"")="",0,SUMPRODUCT((입력_파견수련계획!$Q$4:$Q$803=TRIM($J380&amp;""))*(입력_파견수련계획!$S$4:$S$803="구리병원")*입력_파견수련계획!$W$4:$W$803))+IF($AG380="구리병원",MAX(0,DAY(EOMONTH(출력_요약!$B$3,0))-N($X380)),0)))</f>
        <v/>
      </c>
      <c r="AJ380" s="10">
        <f>IF(OR($B380="",TRIM($J380&amp;"")=""),"",IFERROR(MATCH(TRIM($J380&amp;"")&amp;"|월",입력_파견수련계획!$Z$4:$Z$803,0),""))</f>
        <v/>
      </c>
      <c r="AK380" s="10">
        <f>IF(OR($B380="",TRIM($J380&amp;"")=""),"",IFERROR(MATCH(TRIM($J380&amp;"")&amp;"|다기관",입력_파견수련계획!$AE$4:$AE$803,0),""))</f>
        <v/>
      </c>
      <c r="AL380" s="10">
        <f>IF($AK380="","","다기관 "&amp;TEXT(INDEX(입력_파견수련계획!$AB$4:$AB$803,$AK380),"yyyy-mm-dd")&amp;"~"&amp;IF(ISNUMBER(INDEX(입력_파견수련계획!$AC$4:$AC$803,$AK380)),TEXT(INDEX(입력_파견수련계획!$AC$4:$AC$803,$AK380),"yyyy-mm-dd"),""))</f>
        <v/>
      </c>
      <c r="AM380" s="10">
        <f>IF($Y380="서울병원",COUNTIF($Y$2:$Y380,"서울병원"),"")</f>
        <v/>
      </c>
      <c r="AN380" s="10">
        <f>IF(LEFT($Y380,1)="⚠",COUNTIF($Y$2:$Y380,"⚠*"),"")</f>
        <v/>
      </c>
      <c r="AO380" s="10">
        <f>IF(OR($B380="",$Y380=""),"",IF(IF(TRIM($J380&amp;"")="",0,SUMPRODUCT((입력_파견수련계획!$Q$4:$Q$803=TRIM($J380&amp;""))*입력_파견수련계획!$AD$4:$AD$803))&gt;0,"다기관 기간 → 소속병원 지급",IF(AND(N($X380)&lt;=0,$AQ380=""),"파견 없음 → 그 달 근무병원 지급",IF($AH380+$AI380=DAY(EOMONTH(출력_요약!$B$3,0)),"서울 "&amp;$AH380&amp;"일 / 구리 "&amp;$AI380&amp;"일"&amp;IF($AQ380&lt;&gt;""," (구리 근무자명단 반영)","")&amp;" → 15일 이상 근무 병원 지급","타 병원 포함 → "&amp;IF($AJ380="","소속",INDEX(입력_파견수련계획!$T$4:$T$803,$AJ380))&amp;" 규칙"))))</f>
        <v/>
      </c>
      <c r="AP380" s="10">
        <f>IF($B380="","",$C380&amp;"|"&amp;$F380)</f>
        <v/>
      </c>
      <c r="AQ380" s="10">
        <f>IF($B380="","",IFERROR(MATCH(ROW()-1,출력_구리근무자!$K$6:$K$305,0),""))</f>
        <v/>
      </c>
      <c r="AR380" s="10">
        <f>IF($AQ380="","",INDEX(출력_구리근무자!$H$6:$H$305,$AQ380))</f>
        <v/>
      </c>
    </row>
    <row r="381">
      <c r="A381" s="10">
        <f>IF(B381="","",ROW()-1)</f>
        <v/>
      </c>
      <c r="B381" s="19" t="n"/>
      <c r="C381" s="10">
        <f>IF($AB381="","",IF(INDEX(입력_기본자료!$C$2:$C$1001,$AB381)="","",INDEX(입력_기본자료!$C$2:$C$1001,$AB381)))</f>
        <v/>
      </c>
      <c r="D381" s="10">
        <f>IF($AB381="","",IF(INDEX(입력_기본자료!$J$2:$J$1001,$AB381)="","",INDEX(입력_기본자료!$J$2:$J$1001,$AB381)))</f>
        <v/>
      </c>
      <c r="E381" s="11">
        <f>IF($AB381="","",IF(INDEX(입력_기본자료!$K$2:$K$1001,$AB381)="","",IF(NOT(ISNUMBER(INDEX(입력_기본자료!$K$2:$K$1001,$AB381))),INDEX(입력_기본자료!$K$2:$K$1001,$AB381),IF(INDEX(입력_기본자료!$K$2:$K$1001,$AB381)&lt;1000000,INDEX(입력_기본자료!$K$2:$K$1001,$AB381),IF(AND(INDEX(입력_기본자료!$K$2:$K$1001,$AB381)&gt;=10000101,INT(MOD(INDEX(입력_기본자료!$K$2:$K$1001,$AB381),10000)/100)&gt;=1,INT(MOD(INDEX(입력_기본자료!$K$2:$K$1001,$AB381),10000)/100)&lt;=12,MOD(INDEX(입력_기본자료!$K$2:$K$1001,$AB381),100)&gt;=1,MOD(INDEX(입력_기본자료!$K$2:$K$1001,$AB381),100)&lt;=31),DATE(INT(INDEX(입력_기본자료!$K$2:$K$1001,$AB381)/10000),INT(MOD(INDEX(입력_기본자료!$K$2:$K$1001,$AB381),10000)/100),MOD(INDEX(입력_기본자료!$K$2:$K$1001,$AB381),100)),INDEX(입력_기본자료!$K$2:$K$1001,$AB381)&amp;"")))))</f>
        <v/>
      </c>
      <c r="F381" s="10">
        <f>IF($AB381="","",IF(INDEX(입력_기본자료!$D$2:$D$1001,$AB381)="","",INDEX(입력_기본자료!$D$2:$D$1001,$AB381)))</f>
        <v/>
      </c>
      <c r="G381" s="10">
        <f>IF($AB381="","",IF(INDEX(입력_기본자료!$E$2:$E$1001,$AB381)="","",INDEX(입력_기본자료!$E$2:$E$1001,$AB381)))</f>
        <v/>
      </c>
      <c r="H381" s="10">
        <f>IF($AB381="","",IF(INDEX(입력_기본자료!$F$2:$F$1001,$AB381)="","",INDEX(입력_기본자료!$F$2:$F$1001,$AB381)))</f>
        <v/>
      </c>
      <c r="I381" s="11">
        <f>IF($AB381="","",IF(INDEX(입력_기본자료!$G$2:$G$1001,$AB381)="","",IF(NOT(ISNUMBER(INDEX(입력_기본자료!$G$2:$G$1001,$AB381))),INDEX(입력_기본자료!$G$2:$G$1001,$AB381),IF(INDEX(입력_기본자료!$G$2:$G$1001,$AB381)&lt;1000000,INDEX(입력_기본자료!$G$2:$G$1001,$AB381),IF(AND(INDEX(입력_기본자료!$G$2:$G$1001,$AB381)&gt;=10000101,INT(MOD(INDEX(입력_기본자료!$G$2:$G$1001,$AB381),10000)/100)&gt;=1,INT(MOD(INDEX(입력_기본자료!$G$2:$G$1001,$AB381),10000)/100)&lt;=12,MOD(INDEX(입력_기본자료!$G$2:$G$1001,$AB381),100)&gt;=1,MOD(INDEX(입력_기본자료!$G$2:$G$1001,$AB381),100)&lt;=31),DATE(INT(INDEX(입력_기본자료!$G$2:$G$1001,$AB381)/10000),INT(MOD(INDEX(입력_기본자료!$G$2:$G$1001,$AB381),10000)/100),MOD(INDEX(입력_기본자료!$G$2:$G$1001,$AB381),100)),INDEX(입력_기본자료!$G$2:$G$1001,$AB381)&amp;"")))))</f>
        <v/>
      </c>
      <c r="J381" s="10">
        <f>IF($AB381="","",IF(INDEX(입력_기본자료!$H$2:$H$1001,$AB381)="","",INDEX(입력_기본자료!$H$2:$H$1001,$AB381)))</f>
        <v/>
      </c>
      <c r="K381" s="10">
        <f>IF($AB381="","",IF(INDEX(입력_기본자료!$I$2:$I$1001,$AB381)="","",INDEX(입력_기본자료!$I$2:$I$1001,$AB381)))</f>
        <v/>
      </c>
      <c r="L381" s="10">
        <f>IF($AB381="","",IF(INDEX(입력_기본자료!$A$2:$A$1001,$AB381)="","",INDEX(입력_기본자료!$A$2:$A$1001,$AB381)))</f>
        <v/>
      </c>
      <c r="M381" s="15" t="n"/>
      <c r="N381" s="10">
        <f>IF($B381="","",IF(AND($U381="파견중",$Q381&lt;&gt;""),$Q381,IF(AND($AD381&lt;&gt;"",LEFT($AD381,1)&lt;&gt;"⚠"),LEFT($AD381,FIND(" ",$AD381)-1),IF($H381="","",IF(RIGHT($H381,2)="병원",$H381,$H381&amp;"병원")))))</f>
        <v/>
      </c>
      <c r="O381" s="10">
        <f>IF($B381="","",IF(AND($U381="파견중",$Q381&lt;&gt;""),IF($R381&lt;&gt;"",$R381,"파견과 미입력"),IF(AND($AD381&lt;&gt;"",LEFT($AD381,1)&lt;&gt;"⚠"),MID($AD381,FIND(" ",$AD381)+1,60),IF($F381="","",IF($F381="인턴","수련교육부(인턴)",$F381)))))</f>
        <v/>
      </c>
      <c r="P381" s="10">
        <f>IF($B381="","",IF($AK381&lt;&gt;"",IF(AND(TODAY()&gt;=INDEX(입력_파견수련계획!$AB$4:$AB$803,$AK381),OR(NOT(ISNUMBER(INDEX(입력_파견수련계획!$AC$4:$AC$803,$AK381))),TODAY()&lt;=INDEX(입력_파견수련계획!$AC$4:$AC$803,$AK381))),"다기관",IF($AF381="","",INDEX(입력_파견수련계획!$T$4:$T$803,$AF381))),IF($AF381="","",INDEX(입력_파견수련계획!$T$4:$T$803,$AF381))))</f>
        <v/>
      </c>
      <c r="Q381" s="10">
        <f>IF($AF381="","",INDEX(입력_파견수련계획!$S$4:$S$803,$AF381))</f>
        <v/>
      </c>
      <c r="R381" s="10">
        <f>IF($AF381="","",INDEX(입력_파견수련계획!$U$4:$U$803,$AF381))</f>
        <v/>
      </c>
      <c r="S381" s="11">
        <f>IF($AF381="","",IF(INDEX(입력_파견수련계획!$H$4:$H$803,$AF381)="","",INDEX(입력_파견수련계획!$H$4:$H$803,$AF381)))</f>
        <v/>
      </c>
      <c r="T381" s="11">
        <f>IF($AF381="","",IF(INDEX(입력_파견수련계획!$I$4:$I$803,$AF381)="","",INDEX(입력_파견수련계획!$I$4:$I$803,$AF381)))</f>
        <v/>
      </c>
      <c r="U381" s="10">
        <f>IF($AF381="","",INDEX(입력_파견수련계획!$X$4:$X$803,$AF381))</f>
        <v/>
      </c>
      <c r="V381" s="17">
        <f>IF($AF381="","",INDEX(입력_파견수련계획!$V$4:$V$803,$AF381))</f>
        <v/>
      </c>
      <c r="W381" s="17">
        <f>IF(AND($U381="파견중",$T381&lt;&gt;""),$T381-TODAY(),"")</f>
        <v/>
      </c>
      <c r="X381" s="17">
        <f>IF(OR($B381="",TRIM($J381&amp;"")=""),"",SUMPRODUCT((입력_파견수련계획!$Q$4:$Q$803=TRIM($J381&amp;""))*입력_파견수련계획!$W$4:$W$803))</f>
        <v/>
      </c>
      <c r="Y381" s="10">
        <f>IF($B381="","",IF($AG381="","",IF(IF(TRIM($J381&amp;"")="",0,SUMPRODUCT((입력_파견수련계획!$Q$4:$Q$803=TRIM($J381&amp;""))*입력_파견수련계획!$AD$4:$AD$803))&gt;0,$AE381,IF(AND(N($X381)&lt;=0,$AQ381=""),$AG381,IF($AH381+$AI381=DAY(EOMONTH(출력_요약!$B$3,0)),IF(AND($AH381&gt;=출력_요약!$E$3,$AI381&lt;출력_요약!$E$3),"서울병원",IF(AND($AI381&gt;=출력_요약!$E$3,$AH381&lt;출력_요약!$E$3),"구리병원","⚠15일 판정불가(서울 "&amp;$AH381&amp;"일/구리 "&amp;$AI381&amp;"일)")),IF($AJ381="",$AE381,IF(INDEX(입력_파견수련계획!$T$4:$T$803,$AJ381)="통합수련",INDEX(입력_파견수련계획!$S$4:$S$803,$AJ381),$AE381)))))))</f>
        <v/>
      </c>
      <c r="Z381" s="20">
        <f>IF($B381="","",IF($AB381="","기본자료에 없는 사번",IF(COUNTIF($B$2:$B$401,$B381)&gt;1,"중복 사번",IF($AE381="","소속(입사장소) 입력",IF(IF(TRIM($J381&amp;"")="",0,SUMPRODUCT((입력_파견수련계획!$Q$4:$Q$803=TRIM($J381&amp;""))*(입력_파견수련계획!$AA$4:$AA$803&lt;&gt;"")))&gt;0,"파견수련계획 입력오류 확인",IF(LEFT($Y381,1)="⚠","서울·구리 15일 판정 불가(양쪽 모두 이상/미만)",IF(IF($AC381="",0,N(INDEX(입력_인턴근무계획!$T$3:$T$402,$AC381)))&gt;0,"인턴계획 입력오류 확인",IF(AND($AQ381&lt;&gt;"",$AG381&lt;&gt;"구리병원",IF(TRIM($J381&amp;"")="",0,SUMPRODUCT((입력_파견수련계획!$Q$4:$Q$803=TRIM($J381&amp;""))*(입력_파견수련계획!$S$4:$S$803="구리병원")*입력_파견수련계획!$W$4:$W$803))=0),"구리 근무자명단에만 있음(파견수련계획 확인)",IF(AND($AC381&lt;&gt;"",$U381&lt;&gt;"파견중",$N381&lt;&gt;$AE381),"인턴 타지역 근무: 파견 여부 확인","정상")))))))))</f>
        <v/>
      </c>
      <c r="AA381" s="5" t="n"/>
      <c r="AB381" s="10">
        <f>IF($B381="","",IFERROR(MATCH($B381,입력_기본자료!$B$2:$B$1001,0),IFERROR(MATCH($B381&amp;"",입력_기본자료!$B$2:$B$1001,0),IFERROR(MATCH(VALUE($B381),입력_기본자료!$B$2:$B$1001,0),""))))</f>
        <v/>
      </c>
      <c r="AC381" s="10">
        <f>IF($B381="","",IFERROR(MATCH($B381,입력_인턴근무계획!$D$3:$D$402,0),IFERROR(MATCH($B381&amp;"",입력_인턴근무계획!$D$3:$D$402,0),IFERROR(MATCH(VALUE($B381),입력_인턴근무계획!$D$3:$D$402,0),""))))</f>
        <v/>
      </c>
      <c r="AD381" s="10">
        <f>IF(OR($AC381="",출력_인턴현황!$G$3=""),"",INDEX(입력_인턴근무계획!$M$3:$R$402,$AC381,출력_인턴현황!$G$3)&amp;"")</f>
        <v/>
      </c>
      <c r="AE381" s="10">
        <f>IF($B381="","",IF($M381&lt;&gt;"",$M381,IF(IF($AQ381="",FALSE,INDEX(출력_구리근무자!$J$6:$J$305,$AQ381)="구리독자"),"구리병원",IF($AF381&lt;&gt;"",IF(LEFT(INDEX(입력_파견수련계획!$R$4:$R$803,$AF381),1)&lt;&gt;"⚠",INDEX(입력_파견수련계획!$R$4:$R$803,$AF381),IF($H381="","",IF(RIGHT($H381,2)="병원",$H381,$H381&amp;"병원"))),IF($H381="","",IF(RIGHT($H381,2)="병원",$H381,$H381&amp;"병원"))))))</f>
        <v/>
      </c>
      <c r="AF381" s="10">
        <f>IF(OR($B381="",TRIM($J381&amp;"")=""),"",IFERROR(MATCH(TRIM($J381&amp;"")&amp;"|파견중",입력_파견수련계획!$Y$4:$Y$803,0),IFERROR(MATCH(TRIM($J381&amp;"")&amp;"|파견예정",입력_파견수련계획!$Y$4:$Y$803,0),IFERROR(MATCH(TRIM($J381&amp;"")&amp;"|파견종료",입력_파견수련계획!$Y$4:$Y$803,0),""))))</f>
        <v/>
      </c>
      <c r="AG381" s="10">
        <f>IF($B381="","",IF(AND(IF(OR($AC381="",출력_인턴현황!$K$2=""),"",INDEX(입력_인턴근무계획!$M$3:$R$402,$AC381,출력_인턴현황!$K$2)&amp;"")&lt;&gt;"",LEFT(IF(OR($AC381="",출력_인턴현황!$K$2=""),"",INDEX(입력_인턴근무계획!$M$3:$R$402,$AC381,출력_인턴현황!$K$2)&amp;""),1)&lt;&gt;"⚠"),LEFT(IF(OR($AC381="",출력_인턴현황!$K$2=""),"",INDEX(입력_인턴근무계획!$M$3:$R$402,$AC381,출력_인턴현황!$K$2)&amp;""),FIND(" ",IF(OR($AC381="",출력_인턴현황!$K$2=""),"",INDEX(입력_인턴근무계획!$M$3:$R$402,$AC381,출력_인턴현황!$K$2)&amp;""))-1),$AE381))</f>
        <v/>
      </c>
      <c r="AH381" s="17">
        <f>IF($B381="","",IF($AQ381&lt;&gt;"",MAX(0,DAY(EOMONTH(출력_요약!$B$3,0))-N($AR381)),IF(TRIM($J381&amp;"")="",0,SUMPRODUCT((입력_파견수련계획!$Q$4:$Q$803=TRIM($J381&amp;""))*(입력_파견수련계획!$S$4:$S$803="서울병원")*입력_파견수련계획!$W$4:$W$803))+IF($AG381="서울병원",MAX(0,DAY(EOMONTH(출력_요약!$B$3,0))-N($X381)),0)))</f>
        <v/>
      </c>
      <c r="AI381" s="17">
        <f>IF($B381="","",IF($AQ381&lt;&gt;"",N($AR381),IF(TRIM($J381&amp;"")="",0,SUMPRODUCT((입력_파견수련계획!$Q$4:$Q$803=TRIM($J381&amp;""))*(입력_파견수련계획!$S$4:$S$803="구리병원")*입력_파견수련계획!$W$4:$W$803))+IF($AG381="구리병원",MAX(0,DAY(EOMONTH(출력_요약!$B$3,0))-N($X381)),0)))</f>
        <v/>
      </c>
      <c r="AJ381" s="10">
        <f>IF(OR($B381="",TRIM($J381&amp;"")=""),"",IFERROR(MATCH(TRIM($J381&amp;"")&amp;"|월",입력_파견수련계획!$Z$4:$Z$803,0),""))</f>
        <v/>
      </c>
      <c r="AK381" s="10">
        <f>IF(OR($B381="",TRIM($J381&amp;"")=""),"",IFERROR(MATCH(TRIM($J381&amp;"")&amp;"|다기관",입력_파견수련계획!$AE$4:$AE$803,0),""))</f>
        <v/>
      </c>
      <c r="AL381" s="10">
        <f>IF($AK381="","","다기관 "&amp;TEXT(INDEX(입력_파견수련계획!$AB$4:$AB$803,$AK381),"yyyy-mm-dd")&amp;"~"&amp;IF(ISNUMBER(INDEX(입력_파견수련계획!$AC$4:$AC$803,$AK381)),TEXT(INDEX(입력_파견수련계획!$AC$4:$AC$803,$AK381),"yyyy-mm-dd"),""))</f>
        <v/>
      </c>
      <c r="AM381" s="10">
        <f>IF($Y381="서울병원",COUNTIF($Y$2:$Y381,"서울병원"),"")</f>
        <v/>
      </c>
      <c r="AN381" s="10">
        <f>IF(LEFT($Y381,1)="⚠",COUNTIF($Y$2:$Y381,"⚠*"),"")</f>
        <v/>
      </c>
      <c r="AO381" s="10">
        <f>IF(OR($B381="",$Y381=""),"",IF(IF(TRIM($J381&amp;"")="",0,SUMPRODUCT((입력_파견수련계획!$Q$4:$Q$803=TRIM($J381&amp;""))*입력_파견수련계획!$AD$4:$AD$803))&gt;0,"다기관 기간 → 소속병원 지급",IF(AND(N($X381)&lt;=0,$AQ381=""),"파견 없음 → 그 달 근무병원 지급",IF($AH381+$AI381=DAY(EOMONTH(출력_요약!$B$3,0)),"서울 "&amp;$AH381&amp;"일 / 구리 "&amp;$AI381&amp;"일"&amp;IF($AQ381&lt;&gt;""," (구리 근무자명단 반영)","")&amp;" → 15일 이상 근무 병원 지급","타 병원 포함 → "&amp;IF($AJ381="","소속",INDEX(입력_파견수련계획!$T$4:$T$803,$AJ381))&amp;" 규칙"))))</f>
        <v/>
      </c>
      <c r="AP381" s="10">
        <f>IF($B381="","",$C381&amp;"|"&amp;$F381)</f>
        <v/>
      </c>
      <c r="AQ381" s="10">
        <f>IF($B381="","",IFERROR(MATCH(ROW()-1,출력_구리근무자!$K$6:$K$305,0),""))</f>
        <v/>
      </c>
      <c r="AR381" s="10">
        <f>IF($AQ381="","",INDEX(출력_구리근무자!$H$6:$H$305,$AQ381))</f>
        <v/>
      </c>
    </row>
    <row r="382">
      <c r="A382" s="10">
        <f>IF(B382="","",ROW()-1)</f>
        <v/>
      </c>
      <c r="B382" s="19" t="n"/>
      <c r="C382" s="10">
        <f>IF($AB382="","",IF(INDEX(입력_기본자료!$C$2:$C$1001,$AB382)="","",INDEX(입력_기본자료!$C$2:$C$1001,$AB382)))</f>
        <v/>
      </c>
      <c r="D382" s="10">
        <f>IF($AB382="","",IF(INDEX(입력_기본자료!$J$2:$J$1001,$AB382)="","",INDEX(입력_기본자료!$J$2:$J$1001,$AB382)))</f>
        <v/>
      </c>
      <c r="E382" s="11">
        <f>IF($AB382="","",IF(INDEX(입력_기본자료!$K$2:$K$1001,$AB382)="","",IF(NOT(ISNUMBER(INDEX(입력_기본자료!$K$2:$K$1001,$AB382))),INDEX(입력_기본자료!$K$2:$K$1001,$AB382),IF(INDEX(입력_기본자료!$K$2:$K$1001,$AB382)&lt;1000000,INDEX(입력_기본자료!$K$2:$K$1001,$AB382),IF(AND(INDEX(입력_기본자료!$K$2:$K$1001,$AB382)&gt;=10000101,INT(MOD(INDEX(입력_기본자료!$K$2:$K$1001,$AB382),10000)/100)&gt;=1,INT(MOD(INDEX(입력_기본자료!$K$2:$K$1001,$AB382),10000)/100)&lt;=12,MOD(INDEX(입력_기본자료!$K$2:$K$1001,$AB382),100)&gt;=1,MOD(INDEX(입력_기본자료!$K$2:$K$1001,$AB382),100)&lt;=31),DATE(INT(INDEX(입력_기본자료!$K$2:$K$1001,$AB382)/10000),INT(MOD(INDEX(입력_기본자료!$K$2:$K$1001,$AB382),10000)/100),MOD(INDEX(입력_기본자료!$K$2:$K$1001,$AB382),100)),INDEX(입력_기본자료!$K$2:$K$1001,$AB382)&amp;"")))))</f>
        <v/>
      </c>
      <c r="F382" s="10">
        <f>IF($AB382="","",IF(INDEX(입력_기본자료!$D$2:$D$1001,$AB382)="","",INDEX(입력_기본자료!$D$2:$D$1001,$AB382)))</f>
        <v/>
      </c>
      <c r="G382" s="10">
        <f>IF($AB382="","",IF(INDEX(입력_기본자료!$E$2:$E$1001,$AB382)="","",INDEX(입력_기본자료!$E$2:$E$1001,$AB382)))</f>
        <v/>
      </c>
      <c r="H382" s="10">
        <f>IF($AB382="","",IF(INDEX(입력_기본자료!$F$2:$F$1001,$AB382)="","",INDEX(입력_기본자료!$F$2:$F$1001,$AB382)))</f>
        <v/>
      </c>
      <c r="I382" s="11">
        <f>IF($AB382="","",IF(INDEX(입력_기본자료!$G$2:$G$1001,$AB382)="","",IF(NOT(ISNUMBER(INDEX(입력_기본자료!$G$2:$G$1001,$AB382))),INDEX(입력_기본자료!$G$2:$G$1001,$AB382),IF(INDEX(입력_기본자료!$G$2:$G$1001,$AB382)&lt;1000000,INDEX(입력_기본자료!$G$2:$G$1001,$AB382),IF(AND(INDEX(입력_기본자료!$G$2:$G$1001,$AB382)&gt;=10000101,INT(MOD(INDEX(입력_기본자료!$G$2:$G$1001,$AB382),10000)/100)&gt;=1,INT(MOD(INDEX(입력_기본자료!$G$2:$G$1001,$AB382),10000)/100)&lt;=12,MOD(INDEX(입력_기본자료!$G$2:$G$1001,$AB382),100)&gt;=1,MOD(INDEX(입력_기본자료!$G$2:$G$1001,$AB382),100)&lt;=31),DATE(INT(INDEX(입력_기본자료!$G$2:$G$1001,$AB382)/10000),INT(MOD(INDEX(입력_기본자료!$G$2:$G$1001,$AB382),10000)/100),MOD(INDEX(입력_기본자료!$G$2:$G$1001,$AB382),100)),INDEX(입력_기본자료!$G$2:$G$1001,$AB382)&amp;"")))))</f>
        <v/>
      </c>
      <c r="J382" s="10">
        <f>IF($AB382="","",IF(INDEX(입력_기본자료!$H$2:$H$1001,$AB382)="","",INDEX(입력_기본자료!$H$2:$H$1001,$AB382)))</f>
        <v/>
      </c>
      <c r="K382" s="10">
        <f>IF($AB382="","",IF(INDEX(입력_기본자료!$I$2:$I$1001,$AB382)="","",INDEX(입력_기본자료!$I$2:$I$1001,$AB382)))</f>
        <v/>
      </c>
      <c r="L382" s="10">
        <f>IF($AB382="","",IF(INDEX(입력_기본자료!$A$2:$A$1001,$AB382)="","",INDEX(입력_기본자료!$A$2:$A$1001,$AB382)))</f>
        <v/>
      </c>
      <c r="M382" s="15" t="n"/>
      <c r="N382" s="10">
        <f>IF($B382="","",IF(AND($U382="파견중",$Q382&lt;&gt;""),$Q382,IF(AND($AD382&lt;&gt;"",LEFT($AD382,1)&lt;&gt;"⚠"),LEFT($AD382,FIND(" ",$AD382)-1),IF($H382="","",IF(RIGHT($H382,2)="병원",$H382,$H382&amp;"병원")))))</f>
        <v/>
      </c>
      <c r="O382" s="10">
        <f>IF($B382="","",IF(AND($U382="파견중",$Q382&lt;&gt;""),IF($R382&lt;&gt;"",$R382,"파견과 미입력"),IF(AND($AD382&lt;&gt;"",LEFT($AD382,1)&lt;&gt;"⚠"),MID($AD382,FIND(" ",$AD382)+1,60),IF($F382="","",IF($F382="인턴","수련교육부(인턴)",$F382)))))</f>
        <v/>
      </c>
      <c r="P382" s="10">
        <f>IF($B382="","",IF($AK382&lt;&gt;"",IF(AND(TODAY()&gt;=INDEX(입력_파견수련계획!$AB$4:$AB$803,$AK382),OR(NOT(ISNUMBER(INDEX(입력_파견수련계획!$AC$4:$AC$803,$AK382))),TODAY()&lt;=INDEX(입력_파견수련계획!$AC$4:$AC$803,$AK382))),"다기관",IF($AF382="","",INDEX(입력_파견수련계획!$T$4:$T$803,$AF382))),IF($AF382="","",INDEX(입력_파견수련계획!$T$4:$T$803,$AF382))))</f>
        <v/>
      </c>
      <c r="Q382" s="10">
        <f>IF($AF382="","",INDEX(입력_파견수련계획!$S$4:$S$803,$AF382))</f>
        <v/>
      </c>
      <c r="R382" s="10">
        <f>IF($AF382="","",INDEX(입력_파견수련계획!$U$4:$U$803,$AF382))</f>
        <v/>
      </c>
      <c r="S382" s="11">
        <f>IF($AF382="","",IF(INDEX(입력_파견수련계획!$H$4:$H$803,$AF382)="","",INDEX(입력_파견수련계획!$H$4:$H$803,$AF382)))</f>
        <v/>
      </c>
      <c r="T382" s="11">
        <f>IF($AF382="","",IF(INDEX(입력_파견수련계획!$I$4:$I$803,$AF382)="","",INDEX(입력_파견수련계획!$I$4:$I$803,$AF382)))</f>
        <v/>
      </c>
      <c r="U382" s="10">
        <f>IF($AF382="","",INDEX(입력_파견수련계획!$X$4:$X$803,$AF382))</f>
        <v/>
      </c>
      <c r="V382" s="17">
        <f>IF($AF382="","",INDEX(입력_파견수련계획!$V$4:$V$803,$AF382))</f>
        <v/>
      </c>
      <c r="W382" s="17">
        <f>IF(AND($U382="파견중",$T382&lt;&gt;""),$T382-TODAY(),"")</f>
        <v/>
      </c>
      <c r="X382" s="17">
        <f>IF(OR($B382="",TRIM($J382&amp;"")=""),"",SUMPRODUCT((입력_파견수련계획!$Q$4:$Q$803=TRIM($J382&amp;""))*입력_파견수련계획!$W$4:$W$803))</f>
        <v/>
      </c>
      <c r="Y382" s="10">
        <f>IF($B382="","",IF($AG382="","",IF(IF(TRIM($J382&amp;"")="",0,SUMPRODUCT((입력_파견수련계획!$Q$4:$Q$803=TRIM($J382&amp;""))*입력_파견수련계획!$AD$4:$AD$803))&gt;0,$AE382,IF(AND(N($X382)&lt;=0,$AQ382=""),$AG382,IF($AH382+$AI382=DAY(EOMONTH(출력_요약!$B$3,0)),IF(AND($AH382&gt;=출력_요약!$E$3,$AI382&lt;출력_요약!$E$3),"서울병원",IF(AND($AI382&gt;=출력_요약!$E$3,$AH382&lt;출력_요약!$E$3),"구리병원","⚠15일 판정불가(서울 "&amp;$AH382&amp;"일/구리 "&amp;$AI382&amp;"일)")),IF($AJ382="",$AE382,IF(INDEX(입력_파견수련계획!$T$4:$T$803,$AJ382)="통합수련",INDEX(입력_파견수련계획!$S$4:$S$803,$AJ382),$AE382)))))))</f>
        <v/>
      </c>
      <c r="Z382" s="20">
        <f>IF($B382="","",IF($AB382="","기본자료에 없는 사번",IF(COUNTIF($B$2:$B$401,$B382)&gt;1,"중복 사번",IF($AE382="","소속(입사장소) 입력",IF(IF(TRIM($J382&amp;"")="",0,SUMPRODUCT((입력_파견수련계획!$Q$4:$Q$803=TRIM($J382&amp;""))*(입력_파견수련계획!$AA$4:$AA$803&lt;&gt;"")))&gt;0,"파견수련계획 입력오류 확인",IF(LEFT($Y382,1)="⚠","서울·구리 15일 판정 불가(양쪽 모두 이상/미만)",IF(IF($AC382="",0,N(INDEX(입력_인턴근무계획!$T$3:$T$402,$AC382)))&gt;0,"인턴계획 입력오류 확인",IF(AND($AQ382&lt;&gt;"",$AG382&lt;&gt;"구리병원",IF(TRIM($J382&amp;"")="",0,SUMPRODUCT((입력_파견수련계획!$Q$4:$Q$803=TRIM($J382&amp;""))*(입력_파견수련계획!$S$4:$S$803="구리병원")*입력_파견수련계획!$W$4:$W$803))=0),"구리 근무자명단에만 있음(파견수련계획 확인)",IF(AND($AC382&lt;&gt;"",$U382&lt;&gt;"파견중",$N382&lt;&gt;$AE382),"인턴 타지역 근무: 파견 여부 확인","정상")))))))))</f>
        <v/>
      </c>
      <c r="AA382" s="5" t="n"/>
      <c r="AB382" s="10">
        <f>IF($B382="","",IFERROR(MATCH($B382,입력_기본자료!$B$2:$B$1001,0),IFERROR(MATCH($B382&amp;"",입력_기본자료!$B$2:$B$1001,0),IFERROR(MATCH(VALUE($B382),입력_기본자료!$B$2:$B$1001,0),""))))</f>
        <v/>
      </c>
      <c r="AC382" s="10">
        <f>IF($B382="","",IFERROR(MATCH($B382,입력_인턴근무계획!$D$3:$D$402,0),IFERROR(MATCH($B382&amp;"",입력_인턴근무계획!$D$3:$D$402,0),IFERROR(MATCH(VALUE($B382),입력_인턴근무계획!$D$3:$D$402,0),""))))</f>
        <v/>
      </c>
      <c r="AD382" s="10">
        <f>IF(OR($AC382="",출력_인턴현황!$G$3=""),"",INDEX(입력_인턴근무계획!$M$3:$R$402,$AC382,출력_인턴현황!$G$3)&amp;"")</f>
        <v/>
      </c>
      <c r="AE382" s="10">
        <f>IF($B382="","",IF($M382&lt;&gt;"",$M382,IF(IF($AQ382="",FALSE,INDEX(출력_구리근무자!$J$6:$J$305,$AQ382)="구리독자"),"구리병원",IF($AF382&lt;&gt;"",IF(LEFT(INDEX(입력_파견수련계획!$R$4:$R$803,$AF382),1)&lt;&gt;"⚠",INDEX(입력_파견수련계획!$R$4:$R$803,$AF382),IF($H382="","",IF(RIGHT($H382,2)="병원",$H382,$H382&amp;"병원"))),IF($H382="","",IF(RIGHT($H382,2)="병원",$H382,$H382&amp;"병원"))))))</f>
        <v/>
      </c>
      <c r="AF382" s="10">
        <f>IF(OR($B382="",TRIM($J382&amp;"")=""),"",IFERROR(MATCH(TRIM($J382&amp;"")&amp;"|파견중",입력_파견수련계획!$Y$4:$Y$803,0),IFERROR(MATCH(TRIM($J382&amp;"")&amp;"|파견예정",입력_파견수련계획!$Y$4:$Y$803,0),IFERROR(MATCH(TRIM($J382&amp;"")&amp;"|파견종료",입력_파견수련계획!$Y$4:$Y$803,0),""))))</f>
        <v/>
      </c>
      <c r="AG382" s="10">
        <f>IF($B382="","",IF(AND(IF(OR($AC382="",출력_인턴현황!$K$2=""),"",INDEX(입력_인턴근무계획!$M$3:$R$402,$AC382,출력_인턴현황!$K$2)&amp;"")&lt;&gt;"",LEFT(IF(OR($AC382="",출력_인턴현황!$K$2=""),"",INDEX(입력_인턴근무계획!$M$3:$R$402,$AC382,출력_인턴현황!$K$2)&amp;""),1)&lt;&gt;"⚠"),LEFT(IF(OR($AC382="",출력_인턴현황!$K$2=""),"",INDEX(입력_인턴근무계획!$M$3:$R$402,$AC382,출력_인턴현황!$K$2)&amp;""),FIND(" ",IF(OR($AC382="",출력_인턴현황!$K$2=""),"",INDEX(입력_인턴근무계획!$M$3:$R$402,$AC382,출력_인턴현황!$K$2)&amp;""))-1),$AE382))</f>
        <v/>
      </c>
      <c r="AH382" s="17">
        <f>IF($B382="","",IF($AQ382&lt;&gt;"",MAX(0,DAY(EOMONTH(출력_요약!$B$3,0))-N($AR382)),IF(TRIM($J382&amp;"")="",0,SUMPRODUCT((입력_파견수련계획!$Q$4:$Q$803=TRIM($J382&amp;""))*(입력_파견수련계획!$S$4:$S$803="서울병원")*입력_파견수련계획!$W$4:$W$803))+IF($AG382="서울병원",MAX(0,DAY(EOMONTH(출력_요약!$B$3,0))-N($X382)),0)))</f>
        <v/>
      </c>
      <c r="AI382" s="17">
        <f>IF($B382="","",IF($AQ382&lt;&gt;"",N($AR382),IF(TRIM($J382&amp;"")="",0,SUMPRODUCT((입력_파견수련계획!$Q$4:$Q$803=TRIM($J382&amp;""))*(입력_파견수련계획!$S$4:$S$803="구리병원")*입력_파견수련계획!$W$4:$W$803))+IF($AG382="구리병원",MAX(0,DAY(EOMONTH(출력_요약!$B$3,0))-N($X382)),0)))</f>
        <v/>
      </c>
      <c r="AJ382" s="10">
        <f>IF(OR($B382="",TRIM($J382&amp;"")=""),"",IFERROR(MATCH(TRIM($J382&amp;"")&amp;"|월",입력_파견수련계획!$Z$4:$Z$803,0),""))</f>
        <v/>
      </c>
      <c r="AK382" s="10">
        <f>IF(OR($B382="",TRIM($J382&amp;"")=""),"",IFERROR(MATCH(TRIM($J382&amp;"")&amp;"|다기관",입력_파견수련계획!$AE$4:$AE$803,0),""))</f>
        <v/>
      </c>
      <c r="AL382" s="10">
        <f>IF($AK382="","","다기관 "&amp;TEXT(INDEX(입력_파견수련계획!$AB$4:$AB$803,$AK382),"yyyy-mm-dd")&amp;"~"&amp;IF(ISNUMBER(INDEX(입력_파견수련계획!$AC$4:$AC$803,$AK382)),TEXT(INDEX(입력_파견수련계획!$AC$4:$AC$803,$AK382),"yyyy-mm-dd"),""))</f>
        <v/>
      </c>
      <c r="AM382" s="10">
        <f>IF($Y382="서울병원",COUNTIF($Y$2:$Y382,"서울병원"),"")</f>
        <v/>
      </c>
      <c r="AN382" s="10">
        <f>IF(LEFT($Y382,1)="⚠",COUNTIF($Y$2:$Y382,"⚠*"),"")</f>
        <v/>
      </c>
      <c r="AO382" s="10">
        <f>IF(OR($B382="",$Y382=""),"",IF(IF(TRIM($J382&amp;"")="",0,SUMPRODUCT((입력_파견수련계획!$Q$4:$Q$803=TRIM($J382&amp;""))*입력_파견수련계획!$AD$4:$AD$803))&gt;0,"다기관 기간 → 소속병원 지급",IF(AND(N($X382)&lt;=0,$AQ382=""),"파견 없음 → 그 달 근무병원 지급",IF($AH382+$AI382=DAY(EOMONTH(출력_요약!$B$3,0)),"서울 "&amp;$AH382&amp;"일 / 구리 "&amp;$AI382&amp;"일"&amp;IF($AQ382&lt;&gt;""," (구리 근무자명단 반영)","")&amp;" → 15일 이상 근무 병원 지급","타 병원 포함 → "&amp;IF($AJ382="","소속",INDEX(입력_파견수련계획!$T$4:$T$803,$AJ382))&amp;" 규칙"))))</f>
        <v/>
      </c>
      <c r="AP382" s="10">
        <f>IF($B382="","",$C382&amp;"|"&amp;$F382)</f>
        <v/>
      </c>
      <c r="AQ382" s="10">
        <f>IF($B382="","",IFERROR(MATCH(ROW()-1,출력_구리근무자!$K$6:$K$305,0),""))</f>
        <v/>
      </c>
      <c r="AR382" s="10">
        <f>IF($AQ382="","",INDEX(출력_구리근무자!$H$6:$H$305,$AQ382))</f>
        <v/>
      </c>
    </row>
    <row r="383">
      <c r="A383" s="10">
        <f>IF(B383="","",ROW()-1)</f>
        <v/>
      </c>
      <c r="B383" s="19" t="n"/>
      <c r="C383" s="10">
        <f>IF($AB383="","",IF(INDEX(입력_기본자료!$C$2:$C$1001,$AB383)="","",INDEX(입력_기본자료!$C$2:$C$1001,$AB383)))</f>
        <v/>
      </c>
      <c r="D383" s="10">
        <f>IF($AB383="","",IF(INDEX(입력_기본자료!$J$2:$J$1001,$AB383)="","",INDEX(입력_기본자료!$J$2:$J$1001,$AB383)))</f>
        <v/>
      </c>
      <c r="E383" s="11">
        <f>IF($AB383="","",IF(INDEX(입력_기본자료!$K$2:$K$1001,$AB383)="","",IF(NOT(ISNUMBER(INDEX(입력_기본자료!$K$2:$K$1001,$AB383))),INDEX(입력_기본자료!$K$2:$K$1001,$AB383),IF(INDEX(입력_기본자료!$K$2:$K$1001,$AB383)&lt;1000000,INDEX(입력_기본자료!$K$2:$K$1001,$AB383),IF(AND(INDEX(입력_기본자료!$K$2:$K$1001,$AB383)&gt;=10000101,INT(MOD(INDEX(입력_기본자료!$K$2:$K$1001,$AB383),10000)/100)&gt;=1,INT(MOD(INDEX(입력_기본자료!$K$2:$K$1001,$AB383),10000)/100)&lt;=12,MOD(INDEX(입력_기본자료!$K$2:$K$1001,$AB383),100)&gt;=1,MOD(INDEX(입력_기본자료!$K$2:$K$1001,$AB383),100)&lt;=31),DATE(INT(INDEX(입력_기본자료!$K$2:$K$1001,$AB383)/10000),INT(MOD(INDEX(입력_기본자료!$K$2:$K$1001,$AB383),10000)/100),MOD(INDEX(입력_기본자료!$K$2:$K$1001,$AB383),100)),INDEX(입력_기본자료!$K$2:$K$1001,$AB383)&amp;"")))))</f>
        <v/>
      </c>
      <c r="F383" s="10">
        <f>IF($AB383="","",IF(INDEX(입력_기본자료!$D$2:$D$1001,$AB383)="","",INDEX(입력_기본자료!$D$2:$D$1001,$AB383)))</f>
        <v/>
      </c>
      <c r="G383" s="10">
        <f>IF($AB383="","",IF(INDEX(입력_기본자료!$E$2:$E$1001,$AB383)="","",INDEX(입력_기본자료!$E$2:$E$1001,$AB383)))</f>
        <v/>
      </c>
      <c r="H383" s="10">
        <f>IF($AB383="","",IF(INDEX(입력_기본자료!$F$2:$F$1001,$AB383)="","",INDEX(입력_기본자료!$F$2:$F$1001,$AB383)))</f>
        <v/>
      </c>
      <c r="I383" s="11">
        <f>IF($AB383="","",IF(INDEX(입력_기본자료!$G$2:$G$1001,$AB383)="","",IF(NOT(ISNUMBER(INDEX(입력_기본자료!$G$2:$G$1001,$AB383))),INDEX(입력_기본자료!$G$2:$G$1001,$AB383),IF(INDEX(입력_기본자료!$G$2:$G$1001,$AB383)&lt;1000000,INDEX(입력_기본자료!$G$2:$G$1001,$AB383),IF(AND(INDEX(입력_기본자료!$G$2:$G$1001,$AB383)&gt;=10000101,INT(MOD(INDEX(입력_기본자료!$G$2:$G$1001,$AB383),10000)/100)&gt;=1,INT(MOD(INDEX(입력_기본자료!$G$2:$G$1001,$AB383),10000)/100)&lt;=12,MOD(INDEX(입력_기본자료!$G$2:$G$1001,$AB383),100)&gt;=1,MOD(INDEX(입력_기본자료!$G$2:$G$1001,$AB383),100)&lt;=31),DATE(INT(INDEX(입력_기본자료!$G$2:$G$1001,$AB383)/10000),INT(MOD(INDEX(입력_기본자료!$G$2:$G$1001,$AB383),10000)/100),MOD(INDEX(입력_기본자료!$G$2:$G$1001,$AB383),100)),INDEX(입력_기본자료!$G$2:$G$1001,$AB383)&amp;"")))))</f>
        <v/>
      </c>
      <c r="J383" s="10">
        <f>IF($AB383="","",IF(INDEX(입력_기본자료!$H$2:$H$1001,$AB383)="","",INDEX(입력_기본자료!$H$2:$H$1001,$AB383)))</f>
        <v/>
      </c>
      <c r="K383" s="10">
        <f>IF($AB383="","",IF(INDEX(입력_기본자료!$I$2:$I$1001,$AB383)="","",INDEX(입력_기본자료!$I$2:$I$1001,$AB383)))</f>
        <v/>
      </c>
      <c r="L383" s="10">
        <f>IF($AB383="","",IF(INDEX(입력_기본자료!$A$2:$A$1001,$AB383)="","",INDEX(입력_기본자료!$A$2:$A$1001,$AB383)))</f>
        <v/>
      </c>
      <c r="M383" s="15" t="n"/>
      <c r="N383" s="10">
        <f>IF($B383="","",IF(AND($U383="파견중",$Q383&lt;&gt;""),$Q383,IF(AND($AD383&lt;&gt;"",LEFT($AD383,1)&lt;&gt;"⚠"),LEFT($AD383,FIND(" ",$AD383)-1),IF($H383="","",IF(RIGHT($H383,2)="병원",$H383,$H383&amp;"병원")))))</f>
        <v/>
      </c>
      <c r="O383" s="10">
        <f>IF($B383="","",IF(AND($U383="파견중",$Q383&lt;&gt;""),IF($R383&lt;&gt;"",$R383,"파견과 미입력"),IF(AND($AD383&lt;&gt;"",LEFT($AD383,1)&lt;&gt;"⚠"),MID($AD383,FIND(" ",$AD383)+1,60),IF($F383="","",IF($F383="인턴","수련교육부(인턴)",$F383)))))</f>
        <v/>
      </c>
      <c r="P383" s="10">
        <f>IF($B383="","",IF($AK383&lt;&gt;"",IF(AND(TODAY()&gt;=INDEX(입력_파견수련계획!$AB$4:$AB$803,$AK383),OR(NOT(ISNUMBER(INDEX(입력_파견수련계획!$AC$4:$AC$803,$AK383))),TODAY()&lt;=INDEX(입력_파견수련계획!$AC$4:$AC$803,$AK383))),"다기관",IF($AF383="","",INDEX(입력_파견수련계획!$T$4:$T$803,$AF383))),IF($AF383="","",INDEX(입력_파견수련계획!$T$4:$T$803,$AF383))))</f>
        <v/>
      </c>
      <c r="Q383" s="10">
        <f>IF($AF383="","",INDEX(입력_파견수련계획!$S$4:$S$803,$AF383))</f>
        <v/>
      </c>
      <c r="R383" s="10">
        <f>IF($AF383="","",INDEX(입력_파견수련계획!$U$4:$U$803,$AF383))</f>
        <v/>
      </c>
      <c r="S383" s="11">
        <f>IF($AF383="","",IF(INDEX(입력_파견수련계획!$H$4:$H$803,$AF383)="","",INDEX(입력_파견수련계획!$H$4:$H$803,$AF383)))</f>
        <v/>
      </c>
      <c r="T383" s="11">
        <f>IF($AF383="","",IF(INDEX(입력_파견수련계획!$I$4:$I$803,$AF383)="","",INDEX(입력_파견수련계획!$I$4:$I$803,$AF383)))</f>
        <v/>
      </c>
      <c r="U383" s="10">
        <f>IF($AF383="","",INDEX(입력_파견수련계획!$X$4:$X$803,$AF383))</f>
        <v/>
      </c>
      <c r="V383" s="17">
        <f>IF($AF383="","",INDEX(입력_파견수련계획!$V$4:$V$803,$AF383))</f>
        <v/>
      </c>
      <c r="W383" s="17">
        <f>IF(AND($U383="파견중",$T383&lt;&gt;""),$T383-TODAY(),"")</f>
        <v/>
      </c>
      <c r="X383" s="17">
        <f>IF(OR($B383="",TRIM($J383&amp;"")=""),"",SUMPRODUCT((입력_파견수련계획!$Q$4:$Q$803=TRIM($J383&amp;""))*입력_파견수련계획!$W$4:$W$803))</f>
        <v/>
      </c>
      <c r="Y383" s="10">
        <f>IF($B383="","",IF($AG383="","",IF(IF(TRIM($J383&amp;"")="",0,SUMPRODUCT((입력_파견수련계획!$Q$4:$Q$803=TRIM($J383&amp;""))*입력_파견수련계획!$AD$4:$AD$803))&gt;0,$AE383,IF(AND(N($X383)&lt;=0,$AQ383=""),$AG383,IF($AH383+$AI383=DAY(EOMONTH(출력_요약!$B$3,0)),IF(AND($AH383&gt;=출력_요약!$E$3,$AI383&lt;출력_요약!$E$3),"서울병원",IF(AND($AI383&gt;=출력_요약!$E$3,$AH383&lt;출력_요약!$E$3),"구리병원","⚠15일 판정불가(서울 "&amp;$AH383&amp;"일/구리 "&amp;$AI383&amp;"일)")),IF($AJ383="",$AE383,IF(INDEX(입력_파견수련계획!$T$4:$T$803,$AJ383)="통합수련",INDEX(입력_파견수련계획!$S$4:$S$803,$AJ383),$AE383)))))))</f>
        <v/>
      </c>
      <c r="Z383" s="20">
        <f>IF($B383="","",IF($AB383="","기본자료에 없는 사번",IF(COUNTIF($B$2:$B$401,$B383)&gt;1,"중복 사번",IF($AE383="","소속(입사장소) 입력",IF(IF(TRIM($J383&amp;"")="",0,SUMPRODUCT((입력_파견수련계획!$Q$4:$Q$803=TRIM($J383&amp;""))*(입력_파견수련계획!$AA$4:$AA$803&lt;&gt;"")))&gt;0,"파견수련계획 입력오류 확인",IF(LEFT($Y383,1)="⚠","서울·구리 15일 판정 불가(양쪽 모두 이상/미만)",IF(IF($AC383="",0,N(INDEX(입력_인턴근무계획!$T$3:$T$402,$AC383)))&gt;0,"인턴계획 입력오류 확인",IF(AND($AQ383&lt;&gt;"",$AG383&lt;&gt;"구리병원",IF(TRIM($J383&amp;"")="",0,SUMPRODUCT((입력_파견수련계획!$Q$4:$Q$803=TRIM($J383&amp;""))*(입력_파견수련계획!$S$4:$S$803="구리병원")*입력_파견수련계획!$W$4:$W$803))=0),"구리 근무자명단에만 있음(파견수련계획 확인)",IF(AND($AC383&lt;&gt;"",$U383&lt;&gt;"파견중",$N383&lt;&gt;$AE383),"인턴 타지역 근무: 파견 여부 확인","정상")))))))))</f>
        <v/>
      </c>
      <c r="AA383" s="5" t="n"/>
      <c r="AB383" s="10">
        <f>IF($B383="","",IFERROR(MATCH($B383,입력_기본자료!$B$2:$B$1001,0),IFERROR(MATCH($B383&amp;"",입력_기본자료!$B$2:$B$1001,0),IFERROR(MATCH(VALUE($B383),입력_기본자료!$B$2:$B$1001,0),""))))</f>
        <v/>
      </c>
      <c r="AC383" s="10">
        <f>IF($B383="","",IFERROR(MATCH($B383,입력_인턴근무계획!$D$3:$D$402,0),IFERROR(MATCH($B383&amp;"",입력_인턴근무계획!$D$3:$D$402,0),IFERROR(MATCH(VALUE($B383),입력_인턴근무계획!$D$3:$D$402,0),""))))</f>
        <v/>
      </c>
      <c r="AD383" s="10">
        <f>IF(OR($AC383="",출력_인턴현황!$G$3=""),"",INDEX(입력_인턴근무계획!$M$3:$R$402,$AC383,출력_인턴현황!$G$3)&amp;"")</f>
        <v/>
      </c>
      <c r="AE383" s="10">
        <f>IF($B383="","",IF($M383&lt;&gt;"",$M383,IF(IF($AQ383="",FALSE,INDEX(출력_구리근무자!$J$6:$J$305,$AQ383)="구리독자"),"구리병원",IF($AF383&lt;&gt;"",IF(LEFT(INDEX(입력_파견수련계획!$R$4:$R$803,$AF383),1)&lt;&gt;"⚠",INDEX(입력_파견수련계획!$R$4:$R$803,$AF383),IF($H383="","",IF(RIGHT($H383,2)="병원",$H383,$H383&amp;"병원"))),IF($H383="","",IF(RIGHT($H383,2)="병원",$H383,$H383&amp;"병원"))))))</f>
        <v/>
      </c>
      <c r="AF383" s="10">
        <f>IF(OR($B383="",TRIM($J383&amp;"")=""),"",IFERROR(MATCH(TRIM($J383&amp;"")&amp;"|파견중",입력_파견수련계획!$Y$4:$Y$803,0),IFERROR(MATCH(TRIM($J383&amp;"")&amp;"|파견예정",입력_파견수련계획!$Y$4:$Y$803,0),IFERROR(MATCH(TRIM($J383&amp;"")&amp;"|파견종료",입력_파견수련계획!$Y$4:$Y$803,0),""))))</f>
        <v/>
      </c>
      <c r="AG383" s="10">
        <f>IF($B383="","",IF(AND(IF(OR($AC383="",출력_인턴현황!$K$2=""),"",INDEX(입력_인턴근무계획!$M$3:$R$402,$AC383,출력_인턴현황!$K$2)&amp;"")&lt;&gt;"",LEFT(IF(OR($AC383="",출력_인턴현황!$K$2=""),"",INDEX(입력_인턴근무계획!$M$3:$R$402,$AC383,출력_인턴현황!$K$2)&amp;""),1)&lt;&gt;"⚠"),LEFT(IF(OR($AC383="",출력_인턴현황!$K$2=""),"",INDEX(입력_인턴근무계획!$M$3:$R$402,$AC383,출력_인턴현황!$K$2)&amp;""),FIND(" ",IF(OR($AC383="",출력_인턴현황!$K$2=""),"",INDEX(입력_인턴근무계획!$M$3:$R$402,$AC383,출력_인턴현황!$K$2)&amp;""))-1),$AE383))</f>
        <v/>
      </c>
      <c r="AH383" s="17">
        <f>IF($B383="","",IF($AQ383&lt;&gt;"",MAX(0,DAY(EOMONTH(출력_요약!$B$3,0))-N($AR383)),IF(TRIM($J383&amp;"")="",0,SUMPRODUCT((입력_파견수련계획!$Q$4:$Q$803=TRIM($J383&amp;""))*(입력_파견수련계획!$S$4:$S$803="서울병원")*입력_파견수련계획!$W$4:$W$803))+IF($AG383="서울병원",MAX(0,DAY(EOMONTH(출력_요약!$B$3,0))-N($X383)),0)))</f>
        <v/>
      </c>
      <c r="AI383" s="17">
        <f>IF($B383="","",IF($AQ383&lt;&gt;"",N($AR383),IF(TRIM($J383&amp;"")="",0,SUMPRODUCT((입력_파견수련계획!$Q$4:$Q$803=TRIM($J383&amp;""))*(입력_파견수련계획!$S$4:$S$803="구리병원")*입력_파견수련계획!$W$4:$W$803))+IF($AG383="구리병원",MAX(0,DAY(EOMONTH(출력_요약!$B$3,0))-N($X383)),0)))</f>
        <v/>
      </c>
      <c r="AJ383" s="10">
        <f>IF(OR($B383="",TRIM($J383&amp;"")=""),"",IFERROR(MATCH(TRIM($J383&amp;"")&amp;"|월",입력_파견수련계획!$Z$4:$Z$803,0),""))</f>
        <v/>
      </c>
      <c r="AK383" s="10">
        <f>IF(OR($B383="",TRIM($J383&amp;"")=""),"",IFERROR(MATCH(TRIM($J383&amp;"")&amp;"|다기관",입력_파견수련계획!$AE$4:$AE$803,0),""))</f>
        <v/>
      </c>
      <c r="AL383" s="10">
        <f>IF($AK383="","","다기관 "&amp;TEXT(INDEX(입력_파견수련계획!$AB$4:$AB$803,$AK383),"yyyy-mm-dd")&amp;"~"&amp;IF(ISNUMBER(INDEX(입력_파견수련계획!$AC$4:$AC$803,$AK383)),TEXT(INDEX(입력_파견수련계획!$AC$4:$AC$803,$AK383),"yyyy-mm-dd"),""))</f>
        <v/>
      </c>
      <c r="AM383" s="10">
        <f>IF($Y383="서울병원",COUNTIF($Y$2:$Y383,"서울병원"),"")</f>
        <v/>
      </c>
      <c r="AN383" s="10">
        <f>IF(LEFT($Y383,1)="⚠",COUNTIF($Y$2:$Y383,"⚠*"),"")</f>
        <v/>
      </c>
      <c r="AO383" s="10">
        <f>IF(OR($B383="",$Y383=""),"",IF(IF(TRIM($J383&amp;"")="",0,SUMPRODUCT((입력_파견수련계획!$Q$4:$Q$803=TRIM($J383&amp;""))*입력_파견수련계획!$AD$4:$AD$803))&gt;0,"다기관 기간 → 소속병원 지급",IF(AND(N($X383)&lt;=0,$AQ383=""),"파견 없음 → 그 달 근무병원 지급",IF($AH383+$AI383=DAY(EOMONTH(출력_요약!$B$3,0)),"서울 "&amp;$AH383&amp;"일 / 구리 "&amp;$AI383&amp;"일"&amp;IF($AQ383&lt;&gt;""," (구리 근무자명단 반영)","")&amp;" → 15일 이상 근무 병원 지급","타 병원 포함 → "&amp;IF($AJ383="","소속",INDEX(입력_파견수련계획!$T$4:$T$803,$AJ383))&amp;" 규칙"))))</f>
        <v/>
      </c>
      <c r="AP383" s="10">
        <f>IF($B383="","",$C383&amp;"|"&amp;$F383)</f>
        <v/>
      </c>
      <c r="AQ383" s="10">
        <f>IF($B383="","",IFERROR(MATCH(ROW()-1,출력_구리근무자!$K$6:$K$305,0),""))</f>
        <v/>
      </c>
      <c r="AR383" s="10">
        <f>IF($AQ383="","",INDEX(출력_구리근무자!$H$6:$H$305,$AQ383))</f>
        <v/>
      </c>
    </row>
    <row r="384">
      <c r="A384" s="10">
        <f>IF(B384="","",ROW()-1)</f>
        <v/>
      </c>
      <c r="B384" s="19" t="n"/>
      <c r="C384" s="10">
        <f>IF($AB384="","",IF(INDEX(입력_기본자료!$C$2:$C$1001,$AB384)="","",INDEX(입력_기본자료!$C$2:$C$1001,$AB384)))</f>
        <v/>
      </c>
      <c r="D384" s="10">
        <f>IF($AB384="","",IF(INDEX(입력_기본자료!$J$2:$J$1001,$AB384)="","",INDEX(입력_기본자료!$J$2:$J$1001,$AB384)))</f>
        <v/>
      </c>
      <c r="E384" s="11">
        <f>IF($AB384="","",IF(INDEX(입력_기본자료!$K$2:$K$1001,$AB384)="","",IF(NOT(ISNUMBER(INDEX(입력_기본자료!$K$2:$K$1001,$AB384))),INDEX(입력_기본자료!$K$2:$K$1001,$AB384),IF(INDEX(입력_기본자료!$K$2:$K$1001,$AB384)&lt;1000000,INDEX(입력_기본자료!$K$2:$K$1001,$AB384),IF(AND(INDEX(입력_기본자료!$K$2:$K$1001,$AB384)&gt;=10000101,INT(MOD(INDEX(입력_기본자료!$K$2:$K$1001,$AB384),10000)/100)&gt;=1,INT(MOD(INDEX(입력_기본자료!$K$2:$K$1001,$AB384),10000)/100)&lt;=12,MOD(INDEX(입력_기본자료!$K$2:$K$1001,$AB384),100)&gt;=1,MOD(INDEX(입력_기본자료!$K$2:$K$1001,$AB384),100)&lt;=31),DATE(INT(INDEX(입력_기본자료!$K$2:$K$1001,$AB384)/10000),INT(MOD(INDEX(입력_기본자료!$K$2:$K$1001,$AB384),10000)/100),MOD(INDEX(입력_기본자료!$K$2:$K$1001,$AB384),100)),INDEX(입력_기본자료!$K$2:$K$1001,$AB384)&amp;"")))))</f>
        <v/>
      </c>
      <c r="F384" s="10">
        <f>IF($AB384="","",IF(INDEX(입력_기본자료!$D$2:$D$1001,$AB384)="","",INDEX(입력_기본자료!$D$2:$D$1001,$AB384)))</f>
        <v/>
      </c>
      <c r="G384" s="10">
        <f>IF($AB384="","",IF(INDEX(입력_기본자료!$E$2:$E$1001,$AB384)="","",INDEX(입력_기본자료!$E$2:$E$1001,$AB384)))</f>
        <v/>
      </c>
      <c r="H384" s="10">
        <f>IF($AB384="","",IF(INDEX(입력_기본자료!$F$2:$F$1001,$AB384)="","",INDEX(입력_기본자료!$F$2:$F$1001,$AB384)))</f>
        <v/>
      </c>
      <c r="I384" s="11">
        <f>IF($AB384="","",IF(INDEX(입력_기본자료!$G$2:$G$1001,$AB384)="","",IF(NOT(ISNUMBER(INDEX(입력_기본자료!$G$2:$G$1001,$AB384))),INDEX(입력_기본자료!$G$2:$G$1001,$AB384),IF(INDEX(입력_기본자료!$G$2:$G$1001,$AB384)&lt;1000000,INDEX(입력_기본자료!$G$2:$G$1001,$AB384),IF(AND(INDEX(입력_기본자료!$G$2:$G$1001,$AB384)&gt;=10000101,INT(MOD(INDEX(입력_기본자료!$G$2:$G$1001,$AB384),10000)/100)&gt;=1,INT(MOD(INDEX(입력_기본자료!$G$2:$G$1001,$AB384),10000)/100)&lt;=12,MOD(INDEX(입력_기본자료!$G$2:$G$1001,$AB384),100)&gt;=1,MOD(INDEX(입력_기본자료!$G$2:$G$1001,$AB384),100)&lt;=31),DATE(INT(INDEX(입력_기본자료!$G$2:$G$1001,$AB384)/10000),INT(MOD(INDEX(입력_기본자료!$G$2:$G$1001,$AB384),10000)/100),MOD(INDEX(입력_기본자료!$G$2:$G$1001,$AB384),100)),INDEX(입력_기본자료!$G$2:$G$1001,$AB384)&amp;"")))))</f>
        <v/>
      </c>
      <c r="J384" s="10">
        <f>IF($AB384="","",IF(INDEX(입력_기본자료!$H$2:$H$1001,$AB384)="","",INDEX(입력_기본자료!$H$2:$H$1001,$AB384)))</f>
        <v/>
      </c>
      <c r="K384" s="10">
        <f>IF($AB384="","",IF(INDEX(입력_기본자료!$I$2:$I$1001,$AB384)="","",INDEX(입력_기본자료!$I$2:$I$1001,$AB384)))</f>
        <v/>
      </c>
      <c r="L384" s="10">
        <f>IF($AB384="","",IF(INDEX(입력_기본자료!$A$2:$A$1001,$AB384)="","",INDEX(입력_기본자료!$A$2:$A$1001,$AB384)))</f>
        <v/>
      </c>
      <c r="M384" s="15" t="n"/>
      <c r="N384" s="10">
        <f>IF($B384="","",IF(AND($U384="파견중",$Q384&lt;&gt;""),$Q384,IF(AND($AD384&lt;&gt;"",LEFT($AD384,1)&lt;&gt;"⚠"),LEFT($AD384,FIND(" ",$AD384)-1),IF($H384="","",IF(RIGHT($H384,2)="병원",$H384,$H384&amp;"병원")))))</f>
        <v/>
      </c>
      <c r="O384" s="10">
        <f>IF($B384="","",IF(AND($U384="파견중",$Q384&lt;&gt;""),IF($R384&lt;&gt;"",$R384,"파견과 미입력"),IF(AND($AD384&lt;&gt;"",LEFT($AD384,1)&lt;&gt;"⚠"),MID($AD384,FIND(" ",$AD384)+1,60),IF($F384="","",IF($F384="인턴","수련교육부(인턴)",$F384)))))</f>
        <v/>
      </c>
      <c r="P384" s="10">
        <f>IF($B384="","",IF($AK384&lt;&gt;"",IF(AND(TODAY()&gt;=INDEX(입력_파견수련계획!$AB$4:$AB$803,$AK384),OR(NOT(ISNUMBER(INDEX(입력_파견수련계획!$AC$4:$AC$803,$AK384))),TODAY()&lt;=INDEX(입력_파견수련계획!$AC$4:$AC$803,$AK384))),"다기관",IF($AF384="","",INDEX(입력_파견수련계획!$T$4:$T$803,$AF384))),IF($AF384="","",INDEX(입력_파견수련계획!$T$4:$T$803,$AF384))))</f>
        <v/>
      </c>
      <c r="Q384" s="10">
        <f>IF($AF384="","",INDEX(입력_파견수련계획!$S$4:$S$803,$AF384))</f>
        <v/>
      </c>
      <c r="R384" s="10">
        <f>IF($AF384="","",INDEX(입력_파견수련계획!$U$4:$U$803,$AF384))</f>
        <v/>
      </c>
      <c r="S384" s="11">
        <f>IF($AF384="","",IF(INDEX(입력_파견수련계획!$H$4:$H$803,$AF384)="","",INDEX(입력_파견수련계획!$H$4:$H$803,$AF384)))</f>
        <v/>
      </c>
      <c r="T384" s="11">
        <f>IF($AF384="","",IF(INDEX(입력_파견수련계획!$I$4:$I$803,$AF384)="","",INDEX(입력_파견수련계획!$I$4:$I$803,$AF384)))</f>
        <v/>
      </c>
      <c r="U384" s="10">
        <f>IF($AF384="","",INDEX(입력_파견수련계획!$X$4:$X$803,$AF384))</f>
        <v/>
      </c>
      <c r="V384" s="17">
        <f>IF($AF384="","",INDEX(입력_파견수련계획!$V$4:$V$803,$AF384))</f>
        <v/>
      </c>
      <c r="W384" s="17">
        <f>IF(AND($U384="파견중",$T384&lt;&gt;""),$T384-TODAY(),"")</f>
        <v/>
      </c>
      <c r="X384" s="17">
        <f>IF(OR($B384="",TRIM($J384&amp;"")=""),"",SUMPRODUCT((입력_파견수련계획!$Q$4:$Q$803=TRIM($J384&amp;""))*입력_파견수련계획!$W$4:$W$803))</f>
        <v/>
      </c>
      <c r="Y384" s="10">
        <f>IF($B384="","",IF($AG384="","",IF(IF(TRIM($J384&amp;"")="",0,SUMPRODUCT((입력_파견수련계획!$Q$4:$Q$803=TRIM($J384&amp;""))*입력_파견수련계획!$AD$4:$AD$803))&gt;0,$AE384,IF(AND(N($X384)&lt;=0,$AQ384=""),$AG384,IF($AH384+$AI384=DAY(EOMONTH(출력_요약!$B$3,0)),IF(AND($AH384&gt;=출력_요약!$E$3,$AI384&lt;출력_요약!$E$3),"서울병원",IF(AND($AI384&gt;=출력_요약!$E$3,$AH384&lt;출력_요약!$E$3),"구리병원","⚠15일 판정불가(서울 "&amp;$AH384&amp;"일/구리 "&amp;$AI384&amp;"일)")),IF($AJ384="",$AE384,IF(INDEX(입력_파견수련계획!$T$4:$T$803,$AJ384)="통합수련",INDEX(입력_파견수련계획!$S$4:$S$803,$AJ384),$AE384)))))))</f>
        <v/>
      </c>
      <c r="Z384" s="20">
        <f>IF($B384="","",IF($AB384="","기본자료에 없는 사번",IF(COUNTIF($B$2:$B$401,$B384)&gt;1,"중복 사번",IF($AE384="","소속(입사장소) 입력",IF(IF(TRIM($J384&amp;"")="",0,SUMPRODUCT((입력_파견수련계획!$Q$4:$Q$803=TRIM($J384&amp;""))*(입력_파견수련계획!$AA$4:$AA$803&lt;&gt;"")))&gt;0,"파견수련계획 입력오류 확인",IF(LEFT($Y384,1)="⚠","서울·구리 15일 판정 불가(양쪽 모두 이상/미만)",IF(IF($AC384="",0,N(INDEX(입력_인턴근무계획!$T$3:$T$402,$AC384)))&gt;0,"인턴계획 입력오류 확인",IF(AND($AQ384&lt;&gt;"",$AG384&lt;&gt;"구리병원",IF(TRIM($J384&amp;"")="",0,SUMPRODUCT((입력_파견수련계획!$Q$4:$Q$803=TRIM($J384&amp;""))*(입력_파견수련계획!$S$4:$S$803="구리병원")*입력_파견수련계획!$W$4:$W$803))=0),"구리 근무자명단에만 있음(파견수련계획 확인)",IF(AND($AC384&lt;&gt;"",$U384&lt;&gt;"파견중",$N384&lt;&gt;$AE384),"인턴 타지역 근무: 파견 여부 확인","정상")))))))))</f>
        <v/>
      </c>
      <c r="AA384" s="5" t="n"/>
      <c r="AB384" s="10">
        <f>IF($B384="","",IFERROR(MATCH($B384,입력_기본자료!$B$2:$B$1001,0),IFERROR(MATCH($B384&amp;"",입력_기본자료!$B$2:$B$1001,0),IFERROR(MATCH(VALUE($B384),입력_기본자료!$B$2:$B$1001,0),""))))</f>
        <v/>
      </c>
      <c r="AC384" s="10">
        <f>IF($B384="","",IFERROR(MATCH($B384,입력_인턴근무계획!$D$3:$D$402,0),IFERROR(MATCH($B384&amp;"",입력_인턴근무계획!$D$3:$D$402,0),IFERROR(MATCH(VALUE($B384),입력_인턴근무계획!$D$3:$D$402,0),""))))</f>
        <v/>
      </c>
      <c r="AD384" s="10">
        <f>IF(OR($AC384="",출력_인턴현황!$G$3=""),"",INDEX(입력_인턴근무계획!$M$3:$R$402,$AC384,출력_인턴현황!$G$3)&amp;"")</f>
        <v/>
      </c>
      <c r="AE384" s="10">
        <f>IF($B384="","",IF($M384&lt;&gt;"",$M384,IF(IF($AQ384="",FALSE,INDEX(출력_구리근무자!$J$6:$J$305,$AQ384)="구리독자"),"구리병원",IF($AF384&lt;&gt;"",IF(LEFT(INDEX(입력_파견수련계획!$R$4:$R$803,$AF384),1)&lt;&gt;"⚠",INDEX(입력_파견수련계획!$R$4:$R$803,$AF384),IF($H384="","",IF(RIGHT($H384,2)="병원",$H384,$H384&amp;"병원"))),IF($H384="","",IF(RIGHT($H384,2)="병원",$H384,$H384&amp;"병원"))))))</f>
        <v/>
      </c>
      <c r="AF384" s="10">
        <f>IF(OR($B384="",TRIM($J384&amp;"")=""),"",IFERROR(MATCH(TRIM($J384&amp;"")&amp;"|파견중",입력_파견수련계획!$Y$4:$Y$803,0),IFERROR(MATCH(TRIM($J384&amp;"")&amp;"|파견예정",입력_파견수련계획!$Y$4:$Y$803,0),IFERROR(MATCH(TRIM($J384&amp;"")&amp;"|파견종료",입력_파견수련계획!$Y$4:$Y$803,0),""))))</f>
        <v/>
      </c>
      <c r="AG384" s="10">
        <f>IF($B384="","",IF(AND(IF(OR($AC384="",출력_인턴현황!$K$2=""),"",INDEX(입력_인턴근무계획!$M$3:$R$402,$AC384,출력_인턴현황!$K$2)&amp;"")&lt;&gt;"",LEFT(IF(OR($AC384="",출력_인턴현황!$K$2=""),"",INDEX(입력_인턴근무계획!$M$3:$R$402,$AC384,출력_인턴현황!$K$2)&amp;""),1)&lt;&gt;"⚠"),LEFT(IF(OR($AC384="",출력_인턴현황!$K$2=""),"",INDEX(입력_인턴근무계획!$M$3:$R$402,$AC384,출력_인턴현황!$K$2)&amp;""),FIND(" ",IF(OR($AC384="",출력_인턴현황!$K$2=""),"",INDEX(입력_인턴근무계획!$M$3:$R$402,$AC384,출력_인턴현황!$K$2)&amp;""))-1),$AE384))</f>
        <v/>
      </c>
      <c r="AH384" s="17">
        <f>IF($B384="","",IF($AQ384&lt;&gt;"",MAX(0,DAY(EOMONTH(출력_요약!$B$3,0))-N($AR384)),IF(TRIM($J384&amp;"")="",0,SUMPRODUCT((입력_파견수련계획!$Q$4:$Q$803=TRIM($J384&amp;""))*(입력_파견수련계획!$S$4:$S$803="서울병원")*입력_파견수련계획!$W$4:$W$803))+IF($AG384="서울병원",MAX(0,DAY(EOMONTH(출력_요약!$B$3,0))-N($X384)),0)))</f>
        <v/>
      </c>
      <c r="AI384" s="17">
        <f>IF($B384="","",IF($AQ384&lt;&gt;"",N($AR384),IF(TRIM($J384&amp;"")="",0,SUMPRODUCT((입력_파견수련계획!$Q$4:$Q$803=TRIM($J384&amp;""))*(입력_파견수련계획!$S$4:$S$803="구리병원")*입력_파견수련계획!$W$4:$W$803))+IF($AG384="구리병원",MAX(0,DAY(EOMONTH(출력_요약!$B$3,0))-N($X384)),0)))</f>
        <v/>
      </c>
      <c r="AJ384" s="10">
        <f>IF(OR($B384="",TRIM($J384&amp;"")=""),"",IFERROR(MATCH(TRIM($J384&amp;"")&amp;"|월",입력_파견수련계획!$Z$4:$Z$803,0),""))</f>
        <v/>
      </c>
      <c r="AK384" s="10">
        <f>IF(OR($B384="",TRIM($J384&amp;"")=""),"",IFERROR(MATCH(TRIM($J384&amp;"")&amp;"|다기관",입력_파견수련계획!$AE$4:$AE$803,0),""))</f>
        <v/>
      </c>
      <c r="AL384" s="10">
        <f>IF($AK384="","","다기관 "&amp;TEXT(INDEX(입력_파견수련계획!$AB$4:$AB$803,$AK384),"yyyy-mm-dd")&amp;"~"&amp;IF(ISNUMBER(INDEX(입력_파견수련계획!$AC$4:$AC$803,$AK384)),TEXT(INDEX(입력_파견수련계획!$AC$4:$AC$803,$AK384),"yyyy-mm-dd"),""))</f>
        <v/>
      </c>
      <c r="AM384" s="10">
        <f>IF($Y384="서울병원",COUNTIF($Y$2:$Y384,"서울병원"),"")</f>
        <v/>
      </c>
      <c r="AN384" s="10">
        <f>IF(LEFT($Y384,1)="⚠",COUNTIF($Y$2:$Y384,"⚠*"),"")</f>
        <v/>
      </c>
      <c r="AO384" s="10">
        <f>IF(OR($B384="",$Y384=""),"",IF(IF(TRIM($J384&amp;"")="",0,SUMPRODUCT((입력_파견수련계획!$Q$4:$Q$803=TRIM($J384&amp;""))*입력_파견수련계획!$AD$4:$AD$803))&gt;0,"다기관 기간 → 소속병원 지급",IF(AND(N($X384)&lt;=0,$AQ384=""),"파견 없음 → 그 달 근무병원 지급",IF($AH384+$AI384=DAY(EOMONTH(출력_요약!$B$3,0)),"서울 "&amp;$AH384&amp;"일 / 구리 "&amp;$AI384&amp;"일"&amp;IF($AQ384&lt;&gt;""," (구리 근무자명단 반영)","")&amp;" → 15일 이상 근무 병원 지급","타 병원 포함 → "&amp;IF($AJ384="","소속",INDEX(입력_파견수련계획!$T$4:$T$803,$AJ384))&amp;" 규칙"))))</f>
        <v/>
      </c>
      <c r="AP384" s="10">
        <f>IF($B384="","",$C384&amp;"|"&amp;$F384)</f>
        <v/>
      </c>
      <c r="AQ384" s="10">
        <f>IF($B384="","",IFERROR(MATCH(ROW()-1,출력_구리근무자!$K$6:$K$305,0),""))</f>
        <v/>
      </c>
      <c r="AR384" s="10">
        <f>IF($AQ384="","",INDEX(출력_구리근무자!$H$6:$H$305,$AQ384))</f>
        <v/>
      </c>
    </row>
    <row r="385">
      <c r="A385" s="10">
        <f>IF(B385="","",ROW()-1)</f>
        <v/>
      </c>
      <c r="B385" s="19" t="n"/>
      <c r="C385" s="10">
        <f>IF($AB385="","",IF(INDEX(입력_기본자료!$C$2:$C$1001,$AB385)="","",INDEX(입력_기본자료!$C$2:$C$1001,$AB385)))</f>
        <v/>
      </c>
      <c r="D385" s="10">
        <f>IF($AB385="","",IF(INDEX(입력_기본자료!$J$2:$J$1001,$AB385)="","",INDEX(입력_기본자료!$J$2:$J$1001,$AB385)))</f>
        <v/>
      </c>
      <c r="E385" s="11">
        <f>IF($AB385="","",IF(INDEX(입력_기본자료!$K$2:$K$1001,$AB385)="","",IF(NOT(ISNUMBER(INDEX(입력_기본자료!$K$2:$K$1001,$AB385))),INDEX(입력_기본자료!$K$2:$K$1001,$AB385),IF(INDEX(입력_기본자료!$K$2:$K$1001,$AB385)&lt;1000000,INDEX(입력_기본자료!$K$2:$K$1001,$AB385),IF(AND(INDEX(입력_기본자료!$K$2:$K$1001,$AB385)&gt;=10000101,INT(MOD(INDEX(입력_기본자료!$K$2:$K$1001,$AB385),10000)/100)&gt;=1,INT(MOD(INDEX(입력_기본자료!$K$2:$K$1001,$AB385),10000)/100)&lt;=12,MOD(INDEX(입력_기본자료!$K$2:$K$1001,$AB385),100)&gt;=1,MOD(INDEX(입력_기본자료!$K$2:$K$1001,$AB385),100)&lt;=31),DATE(INT(INDEX(입력_기본자료!$K$2:$K$1001,$AB385)/10000),INT(MOD(INDEX(입력_기본자료!$K$2:$K$1001,$AB385),10000)/100),MOD(INDEX(입력_기본자료!$K$2:$K$1001,$AB385),100)),INDEX(입력_기본자료!$K$2:$K$1001,$AB385)&amp;"")))))</f>
        <v/>
      </c>
      <c r="F385" s="10">
        <f>IF($AB385="","",IF(INDEX(입력_기본자료!$D$2:$D$1001,$AB385)="","",INDEX(입력_기본자료!$D$2:$D$1001,$AB385)))</f>
        <v/>
      </c>
      <c r="G385" s="10">
        <f>IF($AB385="","",IF(INDEX(입력_기본자료!$E$2:$E$1001,$AB385)="","",INDEX(입력_기본자료!$E$2:$E$1001,$AB385)))</f>
        <v/>
      </c>
      <c r="H385" s="10">
        <f>IF($AB385="","",IF(INDEX(입력_기본자료!$F$2:$F$1001,$AB385)="","",INDEX(입력_기본자료!$F$2:$F$1001,$AB385)))</f>
        <v/>
      </c>
      <c r="I385" s="11">
        <f>IF($AB385="","",IF(INDEX(입력_기본자료!$G$2:$G$1001,$AB385)="","",IF(NOT(ISNUMBER(INDEX(입력_기본자료!$G$2:$G$1001,$AB385))),INDEX(입력_기본자료!$G$2:$G$1001,$AB385),IF(INDEX(입력_기본자료!$G$2:$G$1001,$AB385)&lt;1000000,INDEX(입력_기본자료!$G$2:$G$1001,$AB385),IF(AND(INDEX(입력_기본자료!$G$2:$G$1001,$AB385)&gt;=10000101,INT(MOD(INDEX(입력_기본자료!$G$2:$G$1001,$AB385),10000)/100)&gt;=1,INT(MOD(INDEX(입력_기본자료!$G$2:$G$1001,$AB385),10000)/100)&lt;=12,MOD(INDEX(입력_기본자료!$G$2:$G$1001,$AB385),100)&gt;=1,MOD(INDEX(입력_기본자료!$G$2:$G$1001,$AB385),100)&lt;=31),DATE(INT(INDEX(입력_기본자료!$G$2:$G$1001,$AB385)/10000),INT(MOD(INDEX(입력_기본자료!$G$2:$G$1001,$AB385),10000)/100),MOD(INDEX(입력_기본자료!$G$2:$G$1001,$AB385),100)),INDEX(입력_기본자료!$G$2:$G$1001,$AB385)&amp;"")))))</f>
        <v/>
      </c>
      <c r="J385" s="10">
        <f>IF($AB385="","",IF(INDEX(입력_기본자료!$H$2:$H$1001,$AB385)="","",INDEX(입력_기본자료!$H$2:$H$1001,$AB385)))</f>
        <v/>
      </c>
      <c r="K385" s="10">
        <f>IF($AB385="","",IF(INDEX(입력_기본자료!$I$2:$I$1001,$AB385)="","",INDEX(입력_기본자료!$I$2:$I$1001,$AB385)))</f>
        <v/>
      </c>
      <c r="L385" s="10">
        <f>IF($AB385="","",IF(INDEX(입력_기본자료!$A$2:$A$1001,$AB385)="","",INDEX(입력_기본자료!$A$2:$A$1001,$AB385)))</f>
        <v/>
      </c>
      <c r="M385" s="15" t="n"/>
      <c r="N385" s="10">
        <f>IF($B385="","",IF(AND($U385="파견중",$Q385&lt;&gt;""),$Q385,IF(AND($AD385&lt;&gt;"",LEFT($AD385,1)&lt;&gt;"⚠"),LEFT($AD385,FIND(" ",$AD385)-1),IF($H385="","",IF(RIGHT($H385,2)="병원",$H385,$H385&amp;"병원")))))</f>
        <v/>
      </c>
      <c r="O385" s="10">
        <f>IF($B385="","",IF(AND($U385="파견중",$Q385&lt;&gt;""),IF($R385&lt;&gt;"",$R385,"파견과 미입력"),IF(AND($AD385&lt;&gt;"",LEFT($AD385,1)&lt;&gt;"⚠"),MID($AD385,FIND(" ",$AD385)+1,60),IF($F385="","",IF($F385="인턴","수련교육부(인턴)",$F385)))))</f>
        <v/>
      </c>
      <c r="P385" s="10">
        <f>IF($B385="","",IF($AK385&lt;&gt;"",IF(AND(TODAY()&gt;=INDEX(입력_파견수련계획!$AB$4:$AB$803,$AK385),OR(NOT(ISNUMBER(INDEX(입력_파견수련계획!$AC$4:$AC$803,$AK385))),TODAY()&lt;=INDEX(입력_파견수련계획!$AC$4:$AC$803,$AK385))),"다기관",IF($AF385="","",INDEX(입력_파견수련계획!$T$4:$T$803,$AF385))),IF($AF385="","",INDEX(입력_파견수련계획!$T$4:$T$803,$AF385))))</f>
        <v/>
      </c>
      <c r="Q385" s="10">
        <f>IF($AF385="","",INDEX(입력_파견수련계획!$S$4:$S$803,$AF385))</f>
        <v/>
      </c>
      <c r="R385" s="10">
        <f>IF($AF385="","",INDEX(입력_파견수련계획!$U$4:$U$803,$AF385))</f>
        <v/>
      </c>
      <c r="S385" s="11">
        <f>IF($AF385="","",IF(INDEX(입력_파견수련계획!$H$4:$H$803,$AF385)="","",INDEX(입력_파견수련계획!$H$4:$H$803,$AF385)))</f>
        <v/>
      </c>
      <c r="T385" s="11">
        <f>IF($AF385="","",IF(INDEX(입력_파견수련계획!$I$4:$I$803,$AF385)="","",INDEX(입력_파견수련계획!$I$4:$I$803,$AF385)))</f>
        <v/>
      </c>
      <c r="U385" s="10">
        <f>IF($AF385="","",INDEX(입력_파견수련계획!$X$4:$X$803,$AF385))</f>
        <v/>
      </c>
      <c r="V385" s="17">
        <f>IF($AF385="","",INDEX(입력_파견수련계획!$V$4:$V$803,$AF385))</f>
        <v/>
      </c>
      <c r="W385" s="17">
        <f>IF(AND($U385="파견중",$T385&lt;&gt;""),$T385-TODAY(),"")</f>
        <v/>
      </c>
      <c r="X385" s="17">
        <f>IF(OR($B385="",TRIM($J385&amp;"")=""),"",SUMPRODUCT((입력_파견수련계획!$Q$4:$Q$803=TRIM($J385&amp;""))*입력_파견수련계획!$W$4:$W$803))</f>
        <v/>
      </c>
      <c r="Y385" s="10">
        <f>IF($B385="","",IF($AG385="","",IF(IF(TRIM($J385&amp;"")="",0,SUMPRODUCT((입력_파견수련계획!$Q$4:$Q$803=TRIM($J385&amp;""))*입력_파견수련계획!$AD$4:$AD$803))&gt;0,$AE385,IF(AND(N($X385)&lt;=0,$AQ385=""),$AG385,IF($AH385+$AI385=DAY(EOMONTH(출력_요약!$B$3,0)),IF(AND($AH385&gt;=출력_요약!$E$3,$AI385&lt;출력_요약!$E$3),"서울병원",IF(AND($AI385&gt;=출력_요약!$E$3,$AH385&lt;출력_요약!$E$3),"구리병원","⚠15일 판정불가(서울 "&amp;$AH385&amp;"일/구리 "&amp;$AI385&amp;"일)")),IF($AJ385="",$AE385,IF(INDEX(입력_파견수련계획!$T$4:$T$803,$AJ385)="통합수련",INDEX(입력_파견수련계획!$S$4:$S$803,$AJ385),$AE385)))))))</f>
        <v/>
      </c>
      <c r="Z385" s="20">
        <f>IF($B385="","",IF($AB385="","기본자료에 없는 사번",IF(COUNTIF($B$2:$B$401,$B385)&gt;1,"중복 사번",IF($AE385="","소속(입사장소) 입력",IF(IF(TRIM($J385&amp;"")="",0,SUMPRODUCT((입력_파견수련계획!$Q$4:$Q$803=TRIM($J385&amp;""))*(입력_파견수련계획!$AA$4:$AA$803&lt;&gt;"")))&gt;0,"파견수련계획 입력오류 확인",IF(LEFT($Y385,1)="⚠","서울·구리 15일 판정 불가(양쪽 모두 이상/미만)",IF(IF($AC385="",0,N(INDEX(입력_인턴근무계획!$T$3:$T$402,$AC385)))&gt;0,"인턴계획 입력오류 확인",IF(AND($AQ385&lt;&gt;"",$AG385&lt;&gt;"구리병원",IF(TRIM($J385&amp;"")="",0,SUMPRODUCT((입력_파견수련계획!$Q$4:$Q$803=TRIM($J385&amp;""))*(입력_파견수련계획!$S$4:$S$803="구리병원")*입력_파견수련계획!$W$4:$W$803))=0),"구리 근무자명단에만 있음(파견수련계획 확인)",IF(AND($AC385&lt;&gt;"",$U385&lt;&gt;"파견중",$N385&lt;&gt;$AE385),"인턴 타지역 근무: 파견 여부 확인","정상")))))))))</f>
        <v/>
      </c>
      <c r="AA385" s="5" t="n"/>
      <c r="AB385" s="10">
        <f>IF($B385="","",IFERROR(MATCH($B385,입력_기본자료!$B$2:$B$1001,0),IFERROR(MATCH($B385&amp;"",입력_기본자료!$B$2:$B$1001,0),IFERROR(MATCH(VALUE($B385),입력_기본자료!$B$2:$B$1001,0),""))))</f>
        <v/>
      </c>
      <c r="AC385" s="10">
        <f>IF($B385="","",IFERROR(MATCH($B385,입력_인턴근무계획!$D$3:$D$402,0),IFERROR(MATCH($B385&amp;"",입력_인턴근무계획!$D$3:$D$402,0),IFERROR(MATCH(VALUE($B385),입력_인턴근무계획!$D$3:$D$402,0),""))))</f>
        <v/>
      </c>
      <c r="AD385" s="10">
        <f>IF(OR($AC385="",출력_인턴현황!$G$3=""),"",INDEX(입력_인턴근무계획!$M$3:$R$402,$AC385,출력_인턴현황!$G$3)&amp;"")</f>
        <v/>
      </c>
      <c r="AE385" s="10">
        <f>IF($B385="","",IF($M385&lt;&gt;"",$M385,IF(IF($AQ385="",FALSE,INDEX(출력_구리근무자!$J$6:$J$305,$AQ385)="구리독자"),"구리병원",IF($AF385&lt;&gt;"",IF(LEFT(INDEX(입력_파견수련계획!$R$4:$R$803,$AF385),1)&lt;&gt;"⚠",INDEX(입력_파견수련계획!$R$4:$R$803,$AF385),IF($H385="","",IF(RIGHT($H385,2)="병원",$H385,$H385&amp;"병원"))),IF($H385="","",IF(RIGHT($H385,2)="병원",$H385,$H385&amp;"병원"))))))</f>
        <v/>
      </c>
      <c r="AF385" s="10">
        <f>IF(OR($B385="",TRIM($J385&amp;"")=""),"",IFERROR(MATCH(TRIM($J385&amp;"")&amp;"|파견중",입력_파견수련계획!$Y$4:$Y$803,0),IFERROR(MATCH(TRIM($J385&amp;"")&amp;"|파견예정",입력_파견수련계획!$Y$4:$Y$803,0),IFERROR(MATCH(TRIM($J385&amp;"")&amp;"|파견종료",입력_파견수련계획!$Y$4:$Y$803,0),""))))</f>
        <v/>
      </c>
      <c r="AG385" s="10">
        <f>IF($B385="","",IF(AND(IF(OR($AC385="",출력_인턴현황!$K$2=""),"",INDEX(입력_인턴근무계획!$M$3:$R$402,$AC385,출력_인턴현황!$K$2)&amp;"")&lt;&gt;"",LEFT(IF(OR($AC385="",출력_인턴현황!$K$2=""),"",INDEX(입력_인턴근무계획!$M$3:$R$402,$AC385,출력_인턴현황!$K$2)&amp;""),1)&lt;&gt;"⚠"),LEFT(IF(OR($AC385="",출력_인턴현황!$K$2=""),"",INDEX(입력_인턴근무계획!$M$3:$R$402,$AC385,출력_인턴현황!$K$2)&amp;""),FIND(" ",IF(OR($AC385="",출력_인턴현황!$K$2=""),"",INDEX(입력_인턴근무계획!$M$3:$R$402,$AC385,출력_인턴현황!$K$2)&amp;""))-1),$AE385))</f>
        <v/>
      </c>
      <c r="AH385" s="17">
        <f>IF($B385="","",IF($AQ385&lt;&gt;"",MAX(0,DAY(EOMONTH(출력_요약!$B$3,0))-N($AR385)),IF(TRIM($J385&amp;"")="",0,SUMPRODUCT((입력_파견수련계획!$Q$4:$Q$803=TRIM($J385&amp;""))*(입력_파견수련계획!$S$4:$S$803="서울병원")*입력_파견수련계획!$W$4:$W$803))+IF($AG385="서울병원",MAX(0,DAY(EOMONTH(출력_요약!$B$3,0))-N($X385)),0)))</f>
        <v/>
      </c>
      <c r="AI385" s="17">
        <f>IF($B385="","",IF($AQ385&lt;&gt;"",N($AR385),IF(TRIM($J385&amp;"")="",0,SUMPRODUCT((입력_파견수련계획!$Q$4:$Q$803=TRIM($J385&amp;""))*(입력_파견수련계획!$S$4:$S$803="구리병원")*입력_파견수련계획!$W$4:$W$803))+IF($AG385="구리병원",MAX(0,DAY(EOMONTH(출력_요약!$B$3,0))-N($X385)),0)))</f>
        <v/>
      </c>
      <c r="AJ385" s="10">
        <f>IF(OR($B385="",TRIM($J385&amp;"")=""),"",IFERROR(MATCH(TRIM($J385&amp;"")&amp;"|월",입력_파견수련계획!$Z$4:$Z$803,0),""))</f>
        <v/>
      </c>
      <c r="AK385" s="10">
        <f>IF(OR($B385="",TRIM($J385&amp;"")=""),"",IFERROR(MATCH(TRIM($J385&amp;"")&amp;"|다기관",입력_파견수련계획!$AE$4:$AE$803,0),""))</f>
        <v/>
      </c>
      <c r="AL385" s="10">
        <f>IF($AK385="","","다기관 "&amp;TEXT(INDEX(입력_파견수련계획!$AB$4:$AB$803,$AK385),"yyyy-mm-dd")&amp;"~"&amp;IF(ISNUMBER(INDEX(입력_파견수련계획!$AC$4:$AC$803,$AK385)),TEXT(INDEX(입력_파견수련계획!$AC$4:$AC$803,$AK385),"yyyy-mm-dd"),""))</f>
        <v/>
      </c>
      <c r="AM385" s="10">
        <f>IF($Y385="서울병원",COUNTIF($Y$2:$Y385,"서울병원"),"")</f>
        <v/>
      </c>
      <c r="AN385" s="10">
        <f>IF(LEFT($Y385,1)="⚠",COUNTIF($Y$2:$Y385,"⚠*"),"")</f>
        <v/>
      </c>
      <c r="AO385" s="10">
        <f>IF(OR($B385="",$Y385=""),"",IF(IF(TRIM($J385&amp;"")="",0,SUMPRODUCT((입력_파견수련계획!$Q$4:$Q$803=TRIM($J385&amp;""))*입력_파견수련계획!$AD$4:$AD$803))&gt;0,"다기관 기간 → 소속병원 지급",IF(AND(N($X385)&lt;=0,$AQ385=""),"파견 없음 → 그 달 근무병원 지급",IF($AH385+$AI385=DAY(EOMONTH(출력_요약!$B$3,0)),"서울 "&amp;$AH385&amp;"일 / 구리 "&amp;$AI385&amp;"일"&amp;IF($AQ385&lt;&gt;""," (구리 근무자명단 반영)","")&amp;" → 15일 이상 근무 병원 지급","타 병원 포함 → "&amp;IF($AJ385="","소속",INDEX(입력_파견수련계획!$T$4:$T$803,$AJ385))&amp;" 규칙"))))</f>
        <v/>
      </c>
      <c r="AP385" s="10">
        <f>IF($B385="","",$C385&amp;"|"&amp;$F385)</f>
        <v/>
      </c>
      <c r="AQ385" s="10">
        <f>IF($B385="","",IFERROR(MATCH(ROW()-1,출력_구리근무자!$K$6:$K$305,0),""))</f>
        <v/>
      </c>
      <c r="AR385" s="10">
        <f>IF($AQ385="","",INDEX(출력_구리근무자!$H$6:$H$305,$AQ385))</f>
        <v/>
      </c>
    </row>
    <row r="386">
      <c r="A386" s="10">
        <f>IF(B386="","",ROW()-1)</f>
        <v/>
      </c>
      <c r="B386" s="19" t="n"/>
      <c r="C386" s="10">
        <f>IF($AB386="","",IF(INDEX(입력_기본자료!$C$2:$C$1001,$AB386)="","",INDEX(입력_기본자료!$C$2:$C$1001,$AB386)))</f>
        <v/>
      </c>
      <c r="D386" s="10">
        <f>IF($AB386="","",IF(INDEX(입력_기본자료!$J$2:$J$1001,$AB386)="","",INDEX(입력_기본자료!$J$2:$J$1001,$AB386)))</f>
        <v/>
      </c>
      <c r="E386" s="11">
        <f>IF($AB386="","",IF(INDEX(입력_기본자료!$K$2:$K$1001,$AB386)="","",IF(NOT(ISNUMBER(INDEX(입력_기본자료!$K$2:$K$1001,$AB386))),INDEX(입력_기본자료!$K$2:$K$1001,$AB386),IF(INDEX(입력_기본자료!$K$2:$K$1001,$AB386)&lt;1000000,INDEX(입력_기본자료!$K$2:$K$1001,$AB386),IF(AND(INDEX(입력_기본자료!$K$2:$K$1001,$AB386)&gt;=10000101,INT(MOD(INDEX(입력_기본자료!$K$2:$K$1001,$AB386),10000)/100)&gt;=1,INT(MOD(INDEX(입력_기본자료!$K$2:$K$1001,$AB386),10000)/100)&lt;=12,MOD(INDEX(입력_기본자료!$K$2:$K$1001,$AB386),100)&gt;=1,MOD(INDEX(입력_기본자료!$K$2:$K$1001,$AB386),100)&lt;=31),DATE(INT(INDEX(입력_기본자료!$K$2:$K$1001,$AB386)/10000),INT(MOD(INDEX(입력_기본자료!$K$2:$K$1001,$AB386),10000)/100),MOD(INDEX(입력_기본자료!$K$2:$K$1001,$AB386),100)),INDEX(입력_기본자료!$K$2:$K$1001,$AB386)&amp;"")))))</f>
        <v/>
      </c>
      <c r="F386" s="10">
        <f>IF($AB386="","",IF(INDEX(입력_기본자료!$D$2:$D$1001,$AB386)="","",INDEX(입력_기본자료!$D$2:$D$1001,$AB386)))</f>
        <v/>
      </c>
      <c r="G386" s="10">
        <f>IF($AB386="","",IF(INDEX(입력_기본자료!$E$2:$E$1001,$AB386)="","",INDEX(입력_기본자료!$E$2:$E$1001,$AB386)))</f>
        <v/>
      </c>
      <c r="H386" s="10">
        <f>IF($AB386="","",IF(INDEX(입력_기본자료!$F$2:$F$1001,$AB386)="","",INDEX(입력_기본자료!$F$2:$F$1001,$AB386)))</f>
        <v/>
      </c>
      <c r="I386" s="11">
        <f>IF($AB386="","",IF(INDEX(입력_기본자료!$G$2:$G$1001,$AB386)="","",IF(NOT(ISNUMBER(INDEX(입력_기본자료!$G$2:$G$1001,$AB386))),INDEX(입력_기본자료!$G$2:$G$1001,$AB386),IF(INDEX(입력_기본자료!$G$2:$G$1001,$AB386)&lt;1000000,INDEX(입력_기본자료!$G$2:$G$1001,$AB386),IF(AND(INDEX(입력_기본자료!$G$2:$G$1001,$AB386)&gt;=10000101,INT(MOD(INDEX(입력_기본자료!$G$2:$G$1001,$AB386),10000)/100)&gt;=1,INT(MOD(INDEX(입력_기본자료!$G$2:$G$1001,$AB386),10000)/100)&lt;=12,MOD(INDEX(입력_기본자료!$G$2:$G$1001,$AB386),100)&gt;=1,MOD(INDEX(입력_기본자료!$G$2:$G$1001,$AB386),100)&lt;=31),DATE(INT(INDEX(입력_기본자료!$G$2:$G$1001,$AB386)/10000),INT(MOD(INDEX(입력_기본자료!$G$2:$G$1001,$AB386),10000)/100),MOD(INDEX(입력_기본자료!$G$2:$G$1001,$AB386),100)),INDEX(입력_기본자료!$G$2:$G$1001,$AB386)&amp;"")))))</f>
        <v/>
      </c>
      <c r="J386" s="10">
        <f>IF($AB386="","",IF(INDEX(입력_기본자료!$H$2:$H$1001,$AB386)="","",INDEX(입력_기본자료!$H$2:$H$1001,$AB386)))</f>
        <v/>
      </c>
      <c r="K386" s="10">
        <f>IF($AB386="","",IF(INDEX(입력_기본자료!$I$2:$I$1001,$AB386)="","",INDEX(입력_기본자료!$I$2:$I$1001,$AB386)))</f>
        <v/>
      </c>
      <c r="L386" s="10">
        <f>IF($AB386="","",IF(INDEX(입력_기본자료!$A$2:$A$1001,$AB386)="","",INDEX(입력_기본자료!$A$2:$A$1001,$AB386)))</f>
        <v/>
      </c>
      <c r="M386" s="15" t="n"/>
      <c r="N386" s="10">
        <f>IF($B386="","",IF(AND($U386="파견중",$Q386&lt;&gt;""),$Q386,IF(AND($AD386&lt;&gt;"",LEFT($AD386,1)&lt;&gt;"⚠"),LEFT($AD386,FIND(" ",$AD386)-1),IF($H386="","",IF(RIGHT($H386,2)="병원",$H386,$H386&amp;"병원")))))</f>
        <v/>
      </c>
      <c r="O386" s="10">
        <f>IF($B386="","",IF(AND($U386="파견중",$Q386&lt;&gt;""),IF($R386&lt;&gt;"",$R386,"파견과 미입력"),IF(AND($AD386&lt;&gt;"",LEFT($AD386,1)&lt;&gt;"⚠"),MID($AD386,FIND(" ",$AD386)+1,60),IF($F386="","",IF($F386="인턴","수련교육부(인턴)",$F386)))))</f>
        <v/>
      </c>
      <c r="P386" s="10">
        <f>IF($B386="","",IF($AK386&lt;&gt;"",IF(AND(TODAY()&gt;=INDEX(입력_파견수련계획!$AB$4:$AB$803,$AK386),OR(NOT(ISNUMBER(INDEX(입력_파견수련계획!$AC$4:$AC$803,$AK386))),TODAY()&lt;=INDEX(입력_파견수련계획!$AC$4:$AC$803,$AK386))),"다기관",IF($AF386="","",INDEX(입력_파견수련계획!$T$4:$T$803,$AF386))),IF($AF386="","",INDEX(입력_파견수련계획!$T$4:$T$803,$AF386))))</f>
        <v/>
      </c>
      <c r="Q386" s="10">
        <f>IF($AF386="","",INDEX(입력_파견수련계획!$S$4:$S$803,$AF386))</f>
        <v/>
      </c>
      <c r="R386" s="10">
        <f>IF($AF386="","",INDEX(입력_파견수련계획!$U$4:$U$803,$AF386))</f>
        <v/>
      </c>
      <c r="S386" s="11">
        <f>IF($AF386="","",IF(INDEX(입력_파견수련계획!$H$4:$H$803,$AF386)="","",INDEX(입력_파견수련계획!$H$4:$H$803,$AF386)))</f>
        <v/>
      </c>
      <c r="T386" s="11">
        <f>IF($AF386="","",IF(INDEX(입력_파견수련계획!$I$4:$I$803,$AF386)="","",INDEX(입력_파견수련계획!$I$4:$I$803,$AF386)))</f>
        <v/>
      </c>
      <c r="U386" s="10">
        <f>IF($AF386="","",INDEX(입력_파견수련계획!$X$4:$X$803,$AF386))</f>
        <v/>
      </c>
      <c r="V386" s="17">
        <f>IF($AF386="","",INDEX(입력_파견수련계획!$V$4:$V$803,$AF386))</f>
        <v/>
      </c>
      <c r="W386" s="17">
        <f>IF(AND($U386="파견중",$T386&lt;&gt;""),$T386-TODAY(),"")</f>
        <v/>
      </c>
      <c r="X386" s="17">
        <f>IF(OR($B386="",TRIM($J386&amp;"")=""),"",SUMPRODUCT((입력_파견수련계획!$Q$4:$Q$803=TRIM($J386&amp;""))*입력_파견수련계획!$W$4:$W$803))</f>
        <v/>
      </c>
      <c r="Y386" s="10">
        <f>IF($B386="","",IF($AG386="","",IF(IF(TRIM($J386&amp;"")="",0,SUMPRODUCT((입력_파견수련계획!$Q$4:$Q$803=TRIM($J386&amp;""))*입력_파견수련계획!$AD$4:$AD$803))&gt;0,$AE386,IF(AND(N($X386)&lt;=0,$AQ386=""),$AG386,IF($AH386+$AI386=DAY(EOMONTH(출력_요약!$B$3,0)),IF(AND($AH386&gt;=출력_요약!$E$3,$AI386&lt;출력_요약!$E$3),"서울병원",IF(AND($AI386&gt;=출력_요약!$E$3,$AH386&lt;출력_요약!$E$3),"구리병원","⚠15일 판정불가(서울 "&amp;$AH386&amp;"일/구리 "&amp;$AI386&amp;"일)")),IF($AJ386="",$AE386,IF(INDEX(입력_파견수련계획!$T$4:$T$803,$AJ386)="통합수련",INDEX(입력_파견수련계획!$S$4:$S$803,$AJ386),$AE386)))))))</f>
        <v/>
      </c>
      <c r="Z386" s="20">
        <f>IF($B386="","",IF($AB386="","기본자료에 없는 사번",IF(COUNTIF($B$2:$B$401,$B386)&gt;1,"중복 사번",IF($AE386="","소속(입사장소) 입력",IF(IF(TRIM($J386&amp;"")="",0,SUMPRODUCT((입력_파견수련계획!$Q$4:$Q$803=TRIM($J386&amp;""))*(입력_파견수련계획!$AA$4:$AA$803&lt;&gt;"")))&gt;0,"파견수련계획 입력오류 확인",IF(LEFT($Y386,1)="⚠","서울·구리 15일 판정 불가(양쪽 모두 이상/미만)",IF(IF($AC386="",0,N(INDEX(입력_인턴근무계획!$T$3:$T$402,$AC386)))&gt;0,"인턴계획 입력오류 확인",IF(AND($AQ386&lt;&gt;"",$AG386&lt;&gt;"구리병원",IF(TRIM($J386&amp;"")="",0,SUMPRODUCT((입력_파견수련계획!$Q$4:$Q$803=TRIM($J386&amp;""))*(입력_파견수련계획!$S$4:$S$803="구리병원")*입력_파견수련계획!$W$4:$W$803))=0),"구리 근무자명단에만 있음(파견수련계획 확인)",IF(AND($AC386&lt;&gt;"",$U386&lt;&gt;"파견중",$N386&lt;&gt;$AE386),"인턴 타지역 근무: 파견 여부 확인","정상")))))))))</f>
        <v/>
      </c>
      <c r="AA386" s="5" t="n"/>
      <c r="AB386" s="10">
        <f>IF($B386="","",IFERROR(MATCH($B386,입력_기본자료!$B$2:$B$1001,0),IFERROR(MATCH($B386&amp;"",입력_기본자료!$B$2:$B$1001,0),IFERROR(MATCH(VALUE($B386),입력_기본자료!$B$2:$B$1001,0),""))))</f>
        <v/>
      </c>
      <c r="AC386" s="10">
        <f>IF($B386="","",IFERROR(MATCH($B386,입력_인턴근무계획!$D$3:$D$402,0),IFERROR(MATCH($B386&amp;"",입력_인턴근무계획!$D$3:$D$402,0),IFERROR(MATCH(VALUE($B386),입력_인턴근무계획!$D$3:$D$402,0),""))))</f>
        <v/>
      </c>
      <c r="AD386" s="10">
        <f>IF(OR($AC386="",출력_인턴현황!$G$3=""),"",INDEX(입력_인턴근무계획!$M$3:$R$402,$AC386,출력_인턴현황!$G$3)&amp;"")</f>
        <v/>
      </c>
      <c r="AE386" s="10">
        <f>IF($B386="","",IF($M386&lt;&gt;"",$M386,IF(IF($AQ386="",FALSE,INDEX(출력_구리근무자!$J$6:$J$305,$AQ386)="구리독자"),"구리병원",IF($AF386&lt;&gt;"",IF(LEFT(INDEX(입력_파견수련계획!$R$4:$R$803,$AF386),1)&lt;&gt;"⚠",INDEX(입력_파견수련계획!$R$4:$R$803,$AF386),IF($H386="","",IF(RIGHT($H386,2)="병원",$H386,$H386&amp;"병원"))),IF($H386="","",IF(RIGHT($H386,2)="병원",$H386,$H386&amp;"병원"))))))</f>
        <v/>
      </c>
      <c r="AF386" s="10">
        <f>IF(OR($B386="",TRIM($J386&amp;"")=""),"",IFERROR(MATCH(TRIM($J386&amp;"")&amp;"|파견중",입력_파견수련계획!$Y$4:$Y$803,0),IFERROR(MATCH(TRIM($J386&amp;"")&amp;"|파견예정",입력_파견수련계획!$Y$4:$Y$803,0),IFERROR(MATCH(TRIM($J386&amp;"")&amp;"|파견종료",입력_파견수련계획!$Y$4:$Y$803,0),""))))</f>
        <v/>
      </c>
      <c r="AG386" s="10">
        <f>IF($B386="","",IF(AND(IF(OR($AC386="",출력_인턴현황!$K$2=""),"",INDEX(입력_인턴근무계획!$M$3:$R$402,$AC386,출력_인턴현황!$K$2)&amp;"")&lt;&gt;"",LEFT(IF(OR($AC386="",출력_인턴현황!$K$2=""),"",INDEX(입력_인턴근무계획!$M$3:$R$402,$AC386,출력_인턴현황!$K$2)&amp;""),1)&lt;&gt;"⚠"),LEFT(IF(OR($AC386="",출력_인턴현황!$K$2=""),"",INDEX(입력_인턴근무계획!$M$3:$R$402,$AC386,출력_인턴현황!$K$2)&amp;""),FIND(" ",IF(OR($AC386="",출력_인턴현황!$K$2=""),"",INDEX(입력_인턴근무계획!$M$3:$R$402,$AC386,출력_인턴현황!$K$2)&amp;""))-1),$AE386))</f>
        <v/>
      </c>
      <c r="AH386" s="17">
        <f>IF($B386="","",IF($AQ386&lt;&gt;"",MAX(0,DAY(EOMONTH(출력_요약!$B$3,0))-N($AR386)),IF(TRIM($J386&amp;"")="",0,SUMPRODUCT((입력_파견수련계획!$Q$4:$Q$803=TRIM($J386&amp;""))*(입력_파견수련계획!$S$4:$S$803="서울병원")*입력_파견수련계획!$W$4:$W$803))+IF($AG386="서울병원",MAX(0,DAY(EOMONTH(출력_요약!$B$3,0))-N($X386)),0)))</f>
        <v/>
      </c>
      <c r="AI386" s="17">
        <f>IF($B386="","",IF($AQ386&lt;&gt;"",N($AR386),IF(TRIM($J386&amp;"")="",0,SUMPRODUCT((입력_파견수련계획!$Q$4:$Q$803=TRIM($J386&amp;""))*(입력_파견수련계획!$S$4:$S$803="구리병원")*입력_파견수련계획!$W$4:$W$803))+IF($AG386="구리병원",MAX(0,DAY(EOMONTH(출력_요약!$B$3,0))-N($X386)),0)))</f>
        <v/>
      </c>
      <c r="AJ386" s="10">
        <f>IF(OR($B386="",TRIM($J386&amp;"")=""),"",IFERROR(MATCH(TRIM($J386&amp;"")&amp;"|월",입력_파견수련계획!$Z$4:$Z$803,0),""))</f>
        <v/>
      </c>
      <c r="AK386" s="10">
        <f>IF(OR($B386="",TRIM($J386&amp;"")=""),"",IFERROR(MATCH(TRIM($J386&amp;"")&amp;"|다기관",입력_파견수련계획!$AE$4:$AE$803,0),""))</f>
        <v/>
      </c>
      <c r="AL386" s="10">
        <f>IF($AK386="","","다기관 "&amp;TEXT(INDEX(입력_파견수련계획!$AB$4:$AB$803,$AK386),"yyyy-mm-dd")&amp;"~"&amp;IF(ISNUMBER(INDEX(입력_파견수련계획!$AC$4:$AC$803,$AK386)),TEXT(INDEX(입력_파견수련계획!$AC$4:$AC$803,$AK386),"yyyy-mm-dd"),""))</f>
        <v/>
      </c>
      <c r="AM386" s="10">
        <f>IF($Y386="서울병원",COUNTIF($Y$2:$Y386,"서울병원"),"")</f>
        <v/>
      </c>
      <c r="AN386" s="10">
        <f>IF(LEFT($Y386,1)="⚠",COUNTIF($Y$2:$Y386,"⚠*"),"")</f>
        <v/>
      </c>
      <c r="AO386" s="10">
        <f>IF(OR($B386="",$Y386=""),"",IF(IF(TRIM($J386&amp;"")="",0,SUMPRODUCT((입력_파견수련계획!$Q$4:$Q$803=TRIM($J386&amp;""))*입력_파견수련계획!$AD$4:$AD$803))&gt;0,"다기관 기간 → 소속병원 지급",IF(AND(N($X386)&lt;=0,$AQ386=""),"파견 없음 → 그 달 근무병원 지급",IF($AH386+$AI386=DAY(EOMONTH(출력_요약!$B$3,0)),"서울 "&amp;$AH386&amp;"일 / 구리 "&amp;$AI386&amp;"일"&amp;IF($AQ386&lt;&gt;""," (구리 근무자명단 반영)","")&amp;" → 15일 이상 근무 병원 지급","타 병원 포함 → "&amp;IF($AJ386="","소속",INDEX(입력_파견수련계획!$T$4:$T$803,$AJ386))&amp;" 규칙"))))</f>
        <v/>
      </c>
      <c r="AP386" s="10">
        <f>IF($B386="","",$C386&amp;"|"&amp;$F386)</f>
        <v/>
      </c>
      <c r="AQ386" s="10">
        <f>IF($B386="","",IFERROR(MATCH(ROW()-1,출력_구리근무자!$K$6:$K$305,0),""))</f>
        <v/>
      </c>
      <c r="AR386" s="10">
        <f>IF($AQ386="","",INDEX(출력_구리근무자!$H$6:$H$305,$AQ386))</f>
        <v/>
      </c>
    </row>
    <row r="387">
      <c r="A387" s="10">
        <f>IF(B387="","",ROW()-1)</f>
        <v/>
      </c>
      <c r="B387" s="19" t="n"/>
      <c r="C387" s="10">
        <f>IF($AB387="","",IF(INDEX(입력_기본자료!$C$2:$C$1001,$AB387)="","",INDEX(입력_기본자료!$C$2:$C$1001,$AB387)))</f>
        <v/>
      </c>
      <c r="D387" s="10">
        <f>IF($AB387="","",IF(INDEX(입력_기본자료!$J$2:$J$1001,$AB387)="","",INDEX(입력_기본자료!$J$2:$J$1001,$AB387)))</f>
        <v/>
      </c>
      <c r="E387" s="11">
        <f>IF($AB387="","",IF(INDEX(입력_기본자료!$K$2:$K$1001,$AB387)="","",IF(NOT(ISNUMBER(INDEX(입력_기본자료!$K$2:$K$1001,$AB387))),INDEX(입력_기본자료!$K$2:$K$1001,$AB387),IF(INDEX(입력_기본자료!$K$2:$K$1001,$AB387)&lt;1000000,INDEX(입력_기본자료!$K$2:$K$1001,$AB387),IF(AND(INDEX(입력_기본자료!$K$2:$K$1001,$AB387)&gt;=10000101,INT(MOD(INDEX(입력_기본자료!$K$2:$K$1001,$AB387),10000)/100)&gt;=1,INT(MOD(INDEX(입력_기본자료!$K$2:$K$1001,$AB387),10000)/100)&lt;=12,MOD(INDEX(입력_기본자료!$K$2:$K$1001,$AB387),100)&gt;=1,MOD(INDEX(입력_기본자료!$K$2:$K$1001,$AB387),100)&lt;=31),DATE(INT(INDEX(입력_기본자료!$K$2:$K$1001,$AB387)/10000),INT(MOD(INDEX(입력_기본자료!$K$2:$K$1001,$AB387),10000)/100),MOD(INDEX(입력_기본자료!$K$2:$K$1001,$AB387),100)),INDEX(입력_기본자료!$K$2:$K$1001,$AB387)&amp;"")))))</f>
        <v/>
      </c>
      <c r="F387" s="10">
        <f>IF($AB387="","",IF(INDEX(입력_기본자료!$D$2:$D$1001,$AB387)="","",INDEX(입력_기본자료!$D$2:$D$1001,$AB387)))</f>
        <v/>
      </c>
      <c r="G387" s="10">
        <f>IF($AB387="","",IF(INDEX(입력_기본자료!$E$2:$E$1001,$AB387)="","",INDEX(입력_기본자료!$E$2:$E$1001,$AB387)))</f>
        <v/>
      </c>
      <c r="H387" s="10">
        <f>IF($AB387="","",IF(INDEX(입력_기본자료!$F$2:$F$1001,$AB387)="","",INDEX(입력_기본자료!$F$2:$F$1001,$AB387)))</f>
        <v/>
      </c>
      <c r="I387" s="11">
        <f>IF($AB387="","",IF(INDEX(입력_기본자료!$G$2:$G$1001,$AB387)="","",IF(NOT(ISNUMBER(INDEX(입력_기본자료!$G$2:$G$1001,$AB387))),INDEX(입력_기본자료!$G$2:$G$1001,$AB387),IF(INDEX(입력_기본자료!$G$2:$G$1001,$AB387)&lt;1000000,INDEX(입력_기본자료!$G$2:$G$1001,$AB387),IF(AND(INDEX(입력_기본자료!$G$2:$G$1001,$AB387)&gt;=10000101,INT(MOD(INDEX(입력_기본자료!$G$2:$G$1001,$AB387),10000)/100)&gt;=1,INT(MOD(INDEX(입력_기본자료!$G$2:$G$1001,$AB387),10000)/100)&lt;=12,MOD(INDEX(입력_기본자료!$G$2:$G$1001,$AB387),100)&gt;=1,MOD(INDEX(입력_기본자료!$G$2:$G$1001,$AB387),100)&lt;=31),DATE(INT(INDEX(입력_기본자료!$G$2:$G$1001,$AB387)/10000),INT(MOD(INDEX(입력_기본자료!$G$2:$G$1001,$AB387),10000)/100),MOD(INDEX(입력_기본자료!$G$2:$G$1001,$AB387),100)),INDEX(입력_기본자료!$G$2:$G$1001,$AB387)&amp;"")))))</f>
        <v/>
      </c>
      <c r="J387" s="10">
        <f>IF($AB387="","",IF(INDEX(입력_기본자료!$H$2:$H$1001,$AB387)="","",INDEX(입력_기본자료!$H$2:$H$1001,$AB387)))</f>
        <v/>
      </c>
      <c r="K387" s="10">
        <f>IF($AB387="","",IF(INDEX(입력_기본자료!$I$2:$I$1001,$AB387)="","",INDEX(입력_기본자료!$I$2:$I$1001,$AB387)))</f>
        <v/>
      </c>
      <c r="L387" s="10">
        <f>IF($AB387="","",IF(INDEX(입력_기본자료!$A$2:$A$1001,$AB387)="","",INDEX(입력_기본자료!$A$2:$A$1001,$AB387)))</f>
        <v/>
      </c>
      <c r="M387" s="15" t="n"/>
      <c r="N387" s="10">
        <f>IF($B387="","",IF(AND($U387="파견중",$Q387&lt;&gt;""),$Q387,IF(AND($AD387&lt;&gt;"",LEFT($AD387,1)&lt;&gt;"⚠"),LEFT($AD387,FIND(" ",$AD387)-1),IF($H387="","",IF(RIGHT($H387,2)="병원",$H387,$H387&amp;"병원")))))</f>
        <v/>
      </c>
      <c r="O387" s="10">
        <f>IF($B387="","",IF(AND($U387="파견중",$Q387&lt;&gt;""),IF($R387&lt;&gt;"",$R387,"파견과 미입력"),IF(AND($AD387&lt;&gt;"",LEFT($AD387,1)&lt;&gt;"⚠"),MID($AD387,FIND(" ",$AD387)+1,60),IF($F387="","",IF($F387="인턴","수련교육부(인턴)",$F387)))))</f>
        <v/>
      </c>
      <c r="P387" s="10">
        <f>IF($B387="","",IF($AK387&lt;&gt;"",IF(AND(TODAY()&gt;=INDEX(입력_파견수련계획!$AB$4:$AB$803,$AK387),OR(NOT(ISNUMBER(INDEX(입력_파견수련계획!$AC$4:$AC$803,$AK387))),TODAY()&lt;=INDEX(입력_파견수련계획!$AC$4:$AC$803,$AK387))),"다기관",IF($AF387="","",INDEX(입력_파견수련계획!$T$4:$T$803,$AF387))),IF($AF387="","",INDEX(입력_파견수련계획!$T$4:$T$803,$AF387))))</f>
        <v/>
      </c>
      <c r="Q387" s="10">
        <f>IF($AF387="","",INDEX(입력_파견수련계획!$S$4:$S$803,$AF387))</f>
        <v/>
      </c>
      <c r="R387" s="10">
        <f>IF($AF387="","",INDEX(입력_파견수련계획!$U$4:$U$803,$AF387))</f>
        <v/>
      </c>
      <c r="S387" s="11">
        <f>IF($AF387="","",IF(INDEX(입력_파견수련계획!$H$4:$H$803,$AF387)="","",INDEX(입력_파견수련계획!$H$4:$H$803,$AF387)))</f>
        <v/>
      </c>
      <c r="T387" s="11">
        <f>IF($AF387="","",IF(INDEX(입력_파견수련계획!$I$4:$I$803,$AF387)="","",INDEX(입력_파견수련계획!$I$4:$I$803,$AF387)))</f>
        <v/>
      </c>
      <c r="U387" s="10">
        <f>IF($AF387="","",INDEX(입력_파견수련계획!$X$4:$X$803,$AF387))</f>
        <v/>
      </c>
      <c r="V387" s="17">
        <f>IF($AF387="","",INDEX(입력_파견수련계획!$V$4:$V$803,$AF387))</f>
        <v/>
      </c>
      <c r="W387" s="17">
        <f>IF(AND($U387="파견중",$T387&lt;&gt;""),$T387-TODAY(),"")</f>
        <v/>
      </c>
      <c r="X387" s="17">
        <f>IF(OR($B387="",TRIM($J387&amp;"")=""),"",SUMPRODUCT((입력_파견수련계획!$Q$4:$Q$803=TRIM($J387&amp;""))*입력_파견수련계획!$W$4:$W$803))</f>
        <v/>
      </c>
      <c r="Y387" s="10">
        <f>IF($B387="","",IF($AG387="","",IF(IF(TRIM($J387&amp;"")="",0,SUMPRODUCT((입력_파견수련계획!$Q$4:$Q$803=TRIM($J387&amp;""))*입력_파견수련계획!$AD$4:$AD$803))&gt;0,$AE387,IF(AND(N($X387)&lt;=0,$AQ387=""),$AG387,IF($AH387+$AI387=DAY(EOMONTH(출력_요약!$B$3,0)),IF(AND($AH387&gt;=출력_요약!$E$3,$AI387&lt;출력_요약!$E$3),"서울병원",IF(AND($AI387&gt;=출력_요약!$E$3,$AH387&lt;출력_요약!$E$3),"구리병원","⚠15일 판정불가(서울 "&amp;$AH387&amp;"일/구리 "&amp;$AI387&amp;"일)")),IF($AJ387="",$AE387,IF(INDEX(입력_파견수련계획!$T$4:$T$803,$AJ387)="통합수련",INDEX(입력_파견수련계획!$S$4:$S$803,$AJ387),$AE387)))))))</f>
        <v/>
      </c>
      <c r="Z387" s="20">
        <f>IF($B387="","",IF($AB387="","기본자료에 없는 사번",IF(COUNTIF($B$2:$B$401,$B387)&gt;1,"중복 사번",IF($AE387="","소속(입사장소) 입력",IF(IF(TRIM($J387&amp;"")="",0,SUMPRODUCT((입력_파견수련계획!$Q$4:$Q$803=TRIM($J387&amp;""))*(입력_파견수련계획!$AA$4:$AA$803&lt;&gt;"")))&gt;0,"파견수련계획 입력오류 확인",IF(LEFT($Y387,1)="⚠","서울·구리 15일 판정 불가(양쪽 모두 이상/미만)",IF(IF($AC387="",0,N(INDEX(입력_인턴근무계획!$T$3:$T$402,$AC387)))&gt;0,"인턴계획 입력오류 확인",IF(AND($AQ387&lt;&gt;"",$AG387&lt;&gt;"구리병원",IF(TRIM($J387&amp;"")="",0,SUMPRODUCT((입력_파견수련계획!$Q$4:$Q$803=TRIM($J387&amp;""))*(입력_파견수련계획!$S$4:$S$803="구리병원")*입력_파견수련계획!$W$4:$W$803))=0),"구리 근무자명단에만 있음(파견수련계획 확인)",IF(AND($AC387&lt;&gt;"",$U387&lt;&gt;"파견중",$N387&lt;&gt;$AE387),"인턴 타지역 근무: 파견 여부 확인","정상")))))))))</f>
        <v/>
      </c>
      <c r="AA387" s="5" t="n"/>
      <c r="AB387" s="10">
        <f>IF($B387="","",IFERROR(MATCH($B387,입력_기본자료!$B$2:$B$1001,0),IFERROR(MATCH($B387&amp;"",입력_기본자료!$B$2:$B$1001,0),IFERROR(MATCH(VALUE($B387),입력_기본자료!$B$2:$B$1001,0),""))))</f>
        <v/>
      </c>
      <c r="AC387" s="10">
        <f>IF($B387="","",IFERROR(MATCH($B387,입력_인턴근무계획!$D$3:$D$402,0),IFERROR(MATCH($B387&amp;"",입력_인턴근무계획!$D$3:$D$402,0),IFERROR(MATCH(VALUE($B387),입력_인턴근무계획!$D$3:$D$402,0),""))))</f>
        <v/>
      </c>
      <c r="AD387" s="10">
        <f>IF(OR($AC387="",출력_인턴현황!$G$3=""),"",INDEX(입력_인턴근무계획!$M$3:$R$402,$AC387,출력_인턴현황!$G$3)&amp;"")</f>
        <v/>
      </c>
      <c r="AE387" s="10">
        <f>IF($B387="","",IF($M387&lt;&gt;"",$M387,IF(IF($AQ387="",FALSE,INDEX(출력_구리근무자!$J$6:$J$305,$AQ387)="구리독자"),"구리병원",IF($AF387&lt;&gt;"",IF(LEFT(INDEX(입력_파견수련계획!$R$4:$R$803,$AF387),1)&lt;&gt;"⚠",INDEX(입력_파견수련계획!$R$4:$R$803,$AF387),IF($H387="","",IF(RIGHT($H387,2)="병원",$H387,$H387&amp;"병원"))),IF($H387="","",IF(RIGHT($H387,2)="병원",$H387,$H387&amp;"병원"))))))</f>
        <v/>
      </c>
      <c r="AF387" s="10">
        <f>IF(OR($B387="",TRIM($J387&amp;"")=""),"",IFERROR(MATCH(TRIM($J387&amp;"")&amp;"|파견중",입력_파견수련계획!$Y$4:$Y$803,0),IFERROR(MATCH(TRIM($J387&amp;"")&amp;"|파견예정",입력_파견수련계획!$Y$4:$Y$803,0),IFERROR(MATCH(TRIM($J387&amp;"")&amp;"|파견종료",입력_파견수련계획!$Y$4:$Y$803,0),""))))</f>
        <v/>
      </c>
      <c r="AG387" s="10">
        <f>IF($B387="","",IF(AND(IF(OR($AC387="",출력_인턴현황!$K$2=""),"",INDEX(입력_인턴근무계획!$M$3:$R$402,$AC387,출력_인턴현황!$K$2)&amp;"")&lt;&gt;"",LEFT(IF(OR($AC387="",출력_인턴현황!$K$2=""),"",INDEX(입력_인턴근무계획!$M$3:$R$402,$AC387,출력_인턴현황!$K$2)&amp;""),1)&lt;&gt;"⚠"),LEFT(IF(OR($AC387="",출력_인턴현황!$K$2=""),"",INDEX(입력_인턴근무계획!$M$3:$R$402,$AC387,출력_인턴현황!$K$2)&amp;""),FIND(" ",IF(OR($AC387="",출력_인턴현황!$K$2=""),"",INDEX(입력_인턴근무계획!$M$3:$R$402,$AC387,출력_인턴현황!$K$2)&amp;""))-1),$AE387))</f>
        <v/>
      </c>
      <c r="AH387" s="17">
        <f>IF($B387="","",IF($AQ387&lt;&gt;"",MAX(0,DAY(EOMONTH(출력_요약!$B$3,0))-N($AR387)),IF(TRIM($J387&amp;"")="",0,SUMPRODUCT((입력_파견수련계획!$Q$4:$Q$803=TRIM($J387&amp;""))*(입력_파견수련계획!$S$4:$S$803="서울병원")*입력_파견수련계획!$W$4:$W$803))+IF($AG387="서울병원",MAX(0,DAY(EOMONTH(출력_요약!$B$3,0))-N($X387)),0)))</f>
        <v/>
      </c>
      <c r="AI387" s="17">
        <f>IF($B387="","",IF($AQ387&lt;&gt;"",N($AR387),IF(TRIM($J387&amp;"")="",0,SUMPRODUCT((입력_파견수련계획!$Q$4:$Q$803=TRIM($J387&amp;""))*(입력_파견수련계획!$S$4:$S$803="구리병원")*입력_파견수련계획!$W$4:$W$803))+IF($AG387="구리병원",MAX(0,DAY(EOMONTH(출력_요약!$B$3,0))-N($X387)),0)))</f>
        <v/>
      </c>
      <c r="AJ387" s="10">
        <f>IF(OR($B387="",TRIM($J387&amp;"")=""),"",IFERROR(MATCH(TRIM($J387&amp;"")&amp;"|월",입력_파견수련계획!$Z$4:$Z$803,0),""))</f>
        <v/>
      </c>
      <c r="AK387" s="10">
        <f>IF(OR($B387="",TRIM($J387&amp;"")=""),"",IFERROR(MATCH(TRIM($J387&amp;"")&amp;"|다기관",입력_파견수련계획!$AE$4:$AE$803,0),""))</f>
        <v/>
      </c>
      <c r="AL387" s="10">
        <f>IF($AK387="","","다기관 "&amp;TEXT(INDEX(입력_파견수련계획!$AB$4:$AB$803,$AK387),"yyyy-mm-dd")&amp;"~"&amp;IF(ISNUMBER(INDEX(입력_파견수련계획!$AC$4:$AC$803,$AK387)),TEXT(INDEX(입력_파견수련계획!$AC$4:$AC$803,$AK387),"yyyy-mm-dd"),""))</f>
        <v/>
      </c>
      <c r="AM387" s="10">
        <f>IF($Y387="서울병원",COUNTIF($Y$2:$Y387,"서울병원"),"")</f>
        <v/>
      </c>
      <c r="AN387" s="10">
        <f>IF(LEFT($Y387,1)="⚠",COUNTIF($Y$2:$Y387,"⚠*"),"")</f>
        <v/>
      </c>
      <c r="AO387" s="10">
        <f>IF(OR($B387="",$Y387=""),"",IF(IF(TRIM($J387&amp;"")="",0,SUMPRODUCT((입력_파견수련계획!$Q$4:$Q$803=TRIM($J387&amp;""))*입력_파견수련계획!$AD$4:$AD$803))&gt;0,"다기관 기간 → 소속병원 지급",IF(AND(N($X387)&lt;=0,$AQ387=""),"파견 없음 → 그 달 근무병원 지급",IF($AH387+$AI387=DAY(EOMONTH(출력_요약!$B$3,0)),"서울 "&amp;$AH387&amp;"일 / 구리 "&amp;$AI387&amp;"일"&amp;IF($AQ387&lt;&gt;""," (구리 근무자명단 반영)","")&amp;" → 15일 이상 근무 병원 지급","타 병원 포함 → "&amp;IF($AJ387="","소속",INDEX(입력_파견수련계획!$T$4:$T$803,$AJ387))&amp;" 규칙"))))</f>
        <v/>
      </c>
      <c r="AP387" s="10">
        <f>IF($B387="","",$C387&amp;"|"&amp;$F387)</f>
        <v/>
      </c>
      <c r="AQ387" s="10">
        <f>IF($B387="","",IFERROR(MATCH(ROW()-1,출력_구리근무자!$K$6:$K$305,0),""))</f>
        <v/>
      </c>
      <c r="AR387" s="10">
        <f>IF($AQ387="","",INDEX(출력_구리근무자!$H$6:$H$305,$AQ387))</f>
        <v/>
      </c>
    </row>
    <row r="388">
      <c r="A388" s="10">
        <f>IF(B388="","",ROW()-1)</f>
        <v/>
      </c>
      <c r="B388" s="19" t="n"/>
      <c r="C388" s="10">
        <f>IF($AB388="","",IF(INDEX(입력_기본자료!$C$2:$C$1001,$AB388)="","",INDEX(입력_기본자료!$C$2:$C$1001,$AB388)))</f>
        <v/>
      </c>
      <c r="D388" s="10">
        <f>IF($AB388="","",IF(INDEX(입력_기본자료!$J$2:$J$1001,$AB388)="","",INDEX(입력_기본자료!$J$2:$J$1001,$AB388)))</f>
        <v/>
      </c>
      <c r="E388" s="11">
        <f>IF($AB388="","",IF(INDEX(입력_기본자료!$K$2:$K$1001,$AB388)="","",IF(NOT(ISNUMBER(INDEX(입력_기본자료!$K$2:$K$1001,$AB388))),INDEX(입력_기본자료!$K$2:$K$1001,$AB388),IF(INDEX(입력_기본자료!$K$2:$K$1001,$AB388)&lt;1000000,INDEX(입력_기본자료!$K$2:$K$1001,$AB388),IF(AND(INDEX(입력_기본자료!$K$2:$K$1001,$AB388)&gt;=10000101,INT(MOD(INDEX(입력_기본자료!$K$2:$K$1001,$AB388),10000)/100)&gt;=1,INT(MOD(INDEX(입력_기본자료!$K$2:$K$1001,$AB388),10000)/100)&lt;=12,MOD(INDEX(입력_기본자료!$K$2:$K$1001,$AB388),100)&gt;=1,MOD(INDEX(입력_기본자료!$K$2:$K$1001,$AB388),100)&lt;=31),DATE(INT(INDEX(입력_기본자료!$K$2:$K$1001,$AB388)/10000),INT(MOD(INDEX(입력_기본자료!$K$2:$K$1001,$AB388),10000)/100),MOD(INDEX(입력_기본자료!$K$2:$K$1001,$AB388),100)),INDEX(입력_기본자료!$K$2:$K$1001,$AB388)&amp;"")))))</f>
        <v/>
      </c>
      <c r="F388" s="10">
        <f>IF($AB388="","",IF(INDEX(입력_기본자료!$D$2:$D$1001,$AB388)="","",INDEX(입력_기본자료!$D$2:$D$1001,$AB388)))</f>
        <v/>
      </c>
      <c r="G388" s="10">
        <f>IF($AB388="","",IF(INDEX(입력_기본자료!$E$2:$E$1001,$AB388)="","",INDEX(입력_기본자료!$E$2:$E$1001,$AB388)))</f>
        <v/>
      </c>
      <c r="H388" s="10">
        <f>IF($AB388="","",IF(INDEX(입력_기본자료!$F$2:$F$1001,$AB388)="","",INDEX(입력_기본자료!$F$2:$F$1001,$AB388)))</f>
        <v/>
      </c>
      <c r="I388" s="11">
        <f>IF($AB388="","",IF(INDEX(입력_기본자료!$G$2:$G$1001,$AB388)="","",IF(NOT(ISNUMBER(INDEX(입력_기본자료!$G$2:$G$1001,$AB388))),INDEX(입력_기본자료!$G$2:$G$1001,$AB388),IF(INDEX(입력_기본자료!$G$2:$G$1001,$AB388)&lt;1000000,INDEX(입력_기본자료!$G$2:$G$1001,$AB388),IF(AND(INDEX(입력_기본자료!$G$2:$G$1001,$AB388)&gt;=10000101,INT(MOD(INDEX(입력_기본자료!$G$2:$G$1001,$AB388),10000)/100)&gt;=1,INT(MOD(INDEX(입력_기본자료!$G$2:$G$1001,$AB388),10000)/100)&lt;=12,MOD(INDEX(입력_기본자료!$G$2:$G$1001,$AB388),100)&gt;=1,MOD(INDEX(입력_기본자료!$G$2:$G$1001,$AB388),100)&lt;=31),DATE(INT(INDEX(입력_기본자료!$G$2:$G$1001,$AB388)/10000),INT(MOD(INDEX(입력_기본자료!$G$2:$G$1001,$AB388),10000)/100),MOD(INDEX(입력_기본자료!$G$2:$G$1001,$AB388),100)),INDEX(입력_기본자료!$G$2:$G$1001,$AB388)&amp;"")))))</f>
        <v/>
      </c>
      <c r="J388" s="10">
        <f>IF($AB388="","",IF(INDEX(입력_기본자료!$H$2:$H$1001,$AB388)="","",INDEX(입력_기본자료!$H$2:$H$1001,$AB388)))</f>
        <v/>
      </c>
      <c r="K388" s="10">
        <f>IF($AB388="","",IF(INDEX(입력_기본자료!$I$2:$I$1001,$AB388)="","",INDEX(입력_기본자료!$I$2:$I$1001,$AB388)))</f>
        <v/>
      </c>
      <c r="L388" s="10">
        <f>IF($AB388="","",IF(INDEX(입력_기본자료!$A$2:$A$1001,$AB388)="","",INDEX(입력_기본자료!$A$2:$A$1001,$AB388)))</f>
        <v/>
      </c>
      <c r="M388" s="15" t="n"/>
      <c r="N388" s="10">
        <f>IF($B388="","",IF(AND($U388="파견중",$Q388&lt;&gt;""),$Q388,IF(AND($AD388&lt;&gt;"",LEFT($AD388,1)&lt;&gt;"⚠"),LEFT($AD388,FIND(" ",$AD388)-1),IF($H388="","",IF(RIGHT($H388,2)="병원",$H388,$H388&amp;"병원")))))</f>
        <v/>
      </c>
      <c r="O388" s="10">
        <f>IF($B388="","",IF(AND($U388="파견중",$Q388&lt;&gt;""),IF($R388&lt;&gt;"",$R388,"파견과 미입력"),IF(AND($AD388&lt;&gt;"",LEFT($AD388,1)&lt;&gt;"⚠"),MID($AD388,FIND(" ",$AD388)+1,60),IF($F388="","",IF($F388="인턴","수련교육부(인턴)",$F388)))))</f>
        <v/>
      </c>
      <c r="P388" s="10">
        <f>IF($B388="","",IF($AK388&lt;&gt;"",IF(AND(TODAY()&gt;=INDEX(입력_파견수련계획!$AB$4:$AB$803,$AK388),OR(NOT(ISNUMBER(INDEX(입력_파견수련계획!$AC$4:$AC$803,$AK388))),TODAY()&lt;=INDEX(입력_파견수련계획!$AC$4:$AC$803,$AK388))),"다기관",IF($AF388="","",INDEX(입력_파견수련계획!$T$4:$T$803,$AF388))),IF($AF388="","",INDEX(입력_파견수련계획!$T$4:$T$803,$AF388))))</f>
        <v/>
      </c>
      <c r="Q388" s="10">
        <f>IF($AF388="","",INDEX(입력_파견수련계획!$S$4:$S$803,$AF388))</f>
        <v/>
      </c>
      <c r="R388" s="10">
        <f>IF($AF388="","",INDEX(입력_파견수련계획!$U$4:$U$803,$AF388))</f>
        <v/>
      </c>
      <c r="S388" s="11">
        <f>IF($AF388="","",IF(INDEX(입력_파견수련계획!$H$4:$H$803,$AF388)="","",INDEX(입력_파견수련계획!$H$4:$H$803,$AF388)))</f>
        <v/>
      </c>
      <c r="T388" s="11">
        <f>IF($AF388="","",IF(INDEX(입력_파견수련계획!$I$4:$I$803,$AF388)="","",INDEX(입력_파견수련계획!$I$4:$I$803,$AF388)))</f>
        <v/>
      </c>
      <c r="U388" s="10">
        <f>IF($AF388="","",INDEX(입력_파견수련계획!$X$4:$X$803,$AF388))</f>
        <v/>
      </c>
      <c r="V388" s="17">
        <f>IF($AF388="","",INDEX(입력_파견수련계획!$V$4:$V$803,$AF388))</f>
        <v/>
      </c>
      <c r="W388" s="17">
        <f>IF(AND($U388="파견중",$T388&lt;&gt;""),$T388-TODAY(),"")</f>
        <v/>
      </c>
      <c r="X388" s="17">
        <f>IF(OR($B388="",TRIM($J388&amp;"")=""),"",SUMPRODUCT((입력_파견수련계획!$Q$4:$Q$803=TRIM($J388&amp;""))*입력_파견수련계획!$W$4:$W$803))</f>
        <v/>
      </c>
      <c r="Y388" s="10">
        <f>IF($B388="","",IF($AG388="","",IF(IF(TRIM($J388&amp;"")="",0,SUMPRODUCT((입력_파견수련계획!$Q$4:$Q$803=TRIM($J388&amp;""))*입력_파견수련계획!$AD$4:$AD$803))&gt;0,$AE388,IF(AND(N($X388)&lt;=0,$AQ388=""),$AG388,IF($AH388+$AI388=DAY(EOMONTH(출력_요약!$B$3,0)),IF(AND($AH388&gt;=출력_요약!$E$3,$AI388&lt;출력_요약!$E$3),"서울병원",IF(AND($AI388&gt;=출력_요약!$E$3,$AH388&lt;출력_요약!$E$3),"구리병원","⚠15일 판정불가(서울 "&amp;$AH388&amp;"일/구리 "&amp;$AI388&amp;"일)")),IF($AJ388="",$AE388,IF(INDEX(입력_파견수련계획!$T$4:$T$803,$AJ388)="통합수련",INDEX(입력_파견수련계획!$S$4:$S$803,$AJ388),$AE388)))))))</f>
        <v/>
      </c>
      <c r="Z388" s="20">
        <f>IF($B388="","",IF($AB388="","기본자료에 없는 사번",IF(COUNTIF($B$2:$B$401,$B388)&gt;1,"중복 사번",IF($AE388="","소속(입사장소) 입력",IF(IF(TRIM($J388&amp;"")="",0,SUMPRODUCT((입력_파견수련계획!$Q$4:$Q$803=TRIM($J388&amp;""))*(입력_파견수련계획!$AA$4:$AA$803&lt;&gt;"")))&gt;0,"파견수련계획 입력오류 확인",IF(LEFT($Y388,1)="⚠","서울·구리 15일 판정 불가(양쪽 모두 이상/미만)",IF(IF($AC388="",0,N(INDEX(입력_인턴근무계획!$T$3:$T$402,$AC388)))&gt;0,"인턴계획 입력오류 확인",IF(AND($AQ388&lt;&gt;"",$AG388&lt;&gt;"구리병원",IF(TRIM($J388&amp;"")="",0,SUMPRODUCT((입력_파견수련계획!$Q$4:$Q$803=TRIM($J388&amp;""))*(입력_파견수련계획!$S$4:$S$803="구리병원")*입력_파견수련계획!$W$4:$W$803))=0),"구리 근무자명단에만 있음(파견수련계획 확인)",IF(AND($AC388&lt;&gt;"",$U388&lt;&gt;"파견중",$N388&lt;&gt;$AE388),"인턴 타지역 근무: 파견 여부 확인","정상")))))))))</f>
        <v/>
      </c>
      <c r="AA388" s="5" t="n"/>
      <c r="AB388" s="10">
        <f>IF($B388="","",IFERROR(MATCH($B388,입력_기본자료!$B$2:$B$1001,0),IFERROR(MATCH($B388&amp;"",입력_기본자료!$B$2:$B$1001,0),IFERROR(MATCH(VALUE($B388),입력_기본자료!$B$2:$B$1001,0),""))))</f>
        <v/>
      </c>
      <c r="AC388" s="10">
        <f>IF($B388="","",IFERROR(MATCH($B388,입력_인턴근무계획!$D$3:$D$402,0),IFERROR(MATCH($B388&amp;"",입력_인턴근무계획!$D$3:$D$402,0),IFERROR(MATCH(VALUE($B388),입력_인턴근무계획!$D$3:$D$402,0),""))))</f>
        <v/>
      </c>
      <c r="AD388" s="10">
        <f>IF(OR($AC388="",출력_인턴현황!$G$3=""),"",INDEX(입력_인턴근무계획!$M$3:$R$402,$AC388,출력_인턴현황!$G$3)&amp;"")</f>
        <v/>
      </c>
      <c r="AE388" s="10">
        <f>IF($B388="","",IF($M388&lt;&gt;"",$M388,IF(IF($AQ388="",FALSE,INDEX(출력_구리근무자!$J$6:$J$305,$AQ388)="구리독자"),"구리병원",IF($AF388&lt;&gt;"",IF(LEFT(INDEX(입력_파견수련계획!$R$4:$R$803,$AF388),1)&lt;&gt;"⚠",INDEX(입력_파견수련계획!$R$4:$R$803,$AF388),IF($H388="","",IF(RIGHT($H388,2)="병원",$H388,$H388&amp;"병원"))),IF($H388="","",IF(RIGHT($H388,2)="병원",$H388,$H388&amp;"병원"))))))</f>
        <v/>
      </c>
      <c r="AF388" s="10">
        <f>IF(OR($B388="",TRIM($J388&amp;"")=""),"",IFERROR(MATCH(TRIM($J388&amp;"")&amp;"|파견중",입력_파견수련계획!$Y$4:$Y$803,0),IFERROR(MATCH(TRIM($J388&amp;"")&amp;"|파견예정",입력_파견수련계획!$Y$4:$Y$803,0),IFERROR(MATCH(TRIM($J388&amp;"")&amp;"|파견종료",입력_파견수련계획!$Y$4:$Y$803,0),""))))</f>
        <v/>
      </c>
      <c r="AG388" s="10">
        <f>IF($B388="","",IF(AND(IF(OR($AC388="",출력_인턴현황!$K$2=""),"",INDEX(입력_인턴근무계획!$M$3:$R$402,$AC388,출력_인턴현황!$K$2)&amp;"")&lt;&gt;"",LEFT(IF(OR($AC388="",출력_인턴현황!$K$2=""),"",INDEX(입력_인턴근무계획!$M$3:$R$402,$AC388,출력_인턴현황!$K$2)&amp;""),1)&lt;&gt;"⚠"),LEFT(IF(OR($AC388="",출력_인턴현황!$K$2=""),"",INDEX(입력_인턴근무계획!$M$3:$R$402,$AC388,출력_인턴현황!$K$2)&amp;""),FIND(" ",IF(OR($AC388="",출력_인턴현황!$K$2=""),"",INDEX(입력_인턴근무계획!$M$3:$R$402,$AC388,출력_인턴현황!$K$2)&amp;""))-1),$AE388))</f>
        <v/>
      </c>
      <c r="AH388" s="17">
        <f>IF($B388="","",IF($AQ388&lt;&gt;"",MAX(0,DAY(EOMONTH(출력_요약!$B$3,0))-N($AR388)),IF(TRIM($J388&amp;"")="",0,SUMPRODUCT((입력_파견수련계획!$Q$4:$Q$803=TRIM($J388&amp;""))*(입력_파견수련계획!$S$4:$S$803="서울병원")*입력_파견수련계획!$W$4:$W$803))+IF($AG388="서울병원",MAX(0,DAY(EOMONTH(출력_요약!$B$3,0))-N($X388)),0)))</f>
        <v/>
      </c>
      <c r="AI388" s="17">
        <f>IF($B388="","",IF($AQ388&lt;&gt;"",N($AR388),IF(TRIM($J388&amp;"")="",0,SUMPRODUCT((입력_파견수련계획!$Q$4:$Q$803=TRIM($J388&amp;""))*(입력_파견수련계획!$S$4:$S$803="구리병원")*입력_파견수련계획!$W$4:$W$803))+IF($AG388="구리병원",MAX(0,DAY(EOMONTH(출력_요약!$B$3,0))-N($X388)),0)))</f>
        <v/>
      </c>
      <c r="AJ388" s="10">
        <f>IF(OR($B388="",TRIM($J388&amp;"")=""),"",IFERROR(MATCH(TRIM($J388&amp;"")&amp;"|월",입력_파견수련계획!$Z$4:$Z$803,0),""))</f>
        <v/>
      </c>
      <c r="AK388" s="10">
        <f>IF(OR($B388="",TRIM($J388&amp;"")=""),"",IFERROR(MATCH(TRIM($J388&amp;"")&amp;"|다기관",입력_파견수련계획!$AE$4:$AE$803,0),""))</f>
        <v/>
      </c>
      <c r="AL388" s="10">
        <f>IF($AK388="","","다기관 "&amp;TEXT(INDEX(입력_파견수련계획!$AB$4:$AB$803,$AK388),"yyyy-mm-dd")&amp;"~"&amp;IF(ISNUMBER(INDEX(입력_파견수련계획!$AC$4:$AC$803,$AK388)),TEXT(INDEX(입력_파견수련계획!$AC$4:$AC$803,$AK388),"yyyy-mm-dd"),""))</f>
        <v/>
      </c>
      <c r="AM388" s="10">
        <f>IF($Y388="서울병원",COUNTIF($Y$2:$Y388,"서울병원"),"")</f>
        <v/>
      </c>
      <c r="AN388" s="10">
        <f>IF(LEFT($Y388,1)="⚠",COUNTIF($Y$2:$Y388,"⚠*"),"")</f>
        <v/>
      </c>
      <c r="AO388" s="10">
        <f>IF(OR($B388="",$Y388=""),"",IF(IF(TRIM($J388&amp;"")="",0,SUMPRODUCT((입력_파견수련계획!$Q$4:$Q$803=TRIM($J388&amp;""))*입력_파견수련계획!$AD$4:$AD$803))&gt;0,"다기관 기간 → 소속병원 지급",IF(AND(N($X388)&lt;=0,$AQ388=""),"파견 없음 → 그 달 근무병원 지급",IF($AH388+$AI388=DAY(EOMONTH(출력_요약!$B$3,0)),"서울 "&amp;$AH388&amp;"일 / 구리 "&amp;$AI388&amp;"일"&amp;IF($AQ388&lt;&gt;""," (구리 근무자명단 반영)","")&amp;" → 15일 이상 근무 병원 지급","타 병원 포함 → "&amp;IF($AJ388="","소속",INDEX(입력_파견수련계획!$T$4:$T$803,$AJ388))&amp;" 규칙"))))</f>
        <v/>
      </c>
      <c r="AP388" s="10">
        <f>IF($B388="","",$C388&amp;"|"&amp;$F388)</f>
        <v/>
      </c>
      <c r="AQ388" s="10">
        <f>IF($B388="","",IFERROR(MATCH(ROW()-1,출력_구리근무자!$K$6:$K$305,0),""))</f>
        <v/>
      </c>
      <c r="AR388" s="10">
        <f>IF($AQ388="","",INDEX(출력_구리근무자!$H$6:$H$305,$AQ388))</f>
        <v/>
      </c>
    </row>
    <row r="389">
      <c r="A389" s="10">
        <f>IF(B389="","",ROW()-1)</f>
        <v/>
      </c>
      <c r="B389" s="19" t="n"/>
      <c r="C389" s="10">
        <f>IF($AB389="","",IF(INDEX(입력_기본자료!$C$2:$C$1001,$AB389)="","",INDEX(입력_기본자료!$C$2:$C$1001,$AB389)))</f>
        <v/>
      </c>
      <c r="D389" s="10">
        <f>IF($AB389="","",IF(INDEX(입력_기본자료!$J$2:$J$1001,$AB389)="","",INDEX(입력_기본자료!$J$2:$J$1001,$AB389)))</f>
        <v/>
      </c>
      <c r="E389" s="11">
        <f>IF($AB389="","",IF(INDEX(입력_기본자료!$K$2:$K$1001,$AB389)="","",IF(NOT(ISNUMBER(INDEX(입력_기본자료!$K$2:$K$1001,$AB389))),INDEX(입력_기본자료!$K$2:$K$1001,$AB389),IF(INDEX(입력_기본자료!$K$2:$K$1001,$AB389)&lt;1000000,INDEX(입력_기본자료!$K$2:$K$1001,$AB389),IF(AND(INDEX(입력_기본자료!$K$2:$K$1001,$AB389)&gt;=10000101,INT(MOD(INDEX(입력_기본자료!$K$2:$K$1001,$AB389),10000)/100)&gt;=1,INT(MOD(INDEX(입력_기본자료!$K$2:$K$1001,$AB389),10000)/100)&lt;=12,MOD(INDEX(입력_기본자료!$K$2:$K$1001,$AB389),100)&gt;=1,MOD(INDEX(입력_기본자료!$K$2:$K$1001,$AB389),100)&lt;=31),DATE(INT(INDEX(입력_기본자료!$K$2:$K$1001,$AB389)/10000),INT(MOD(INDEX(입력_기본자료!$K$2:$K$1001,$AB389),10000)/100),MOD(INDEX(입력_기본자료!$K$2:$K$1001,$AB389),100)),INDEX(입력_기본자료!$K$2:$K$1001,$AB389)&amp;"")))))</f>
        <v/>
      </c>
      <c r="F389" s="10">
        <f>IF($AB389="","",IF(INDEX(입력_기본자료!$D$2:$D$1001,$AB389)="","",INDEX(입력_기본자료!$D$2:$D$1001,$AB389)))</f>
        <v/>
      </c>
      <c r="G389" s="10">
        <f>IF($AB389="","",IF(INDEX(입력_기본자료!$E$2:$E$1001,$AB389)="","",INDEX(입력_기본자료!$E$2:$E$1001,$AB389)))</f>
        <v/>
      </c>
      <c r="H389" s="10">
        <f>IF($AB389="","",IF(INDEX(입력_기본자료!$F$2:$F$1001,$AB389)="","",INDEX(입력_기본자료!$F$2:$F$1001,$AB389)))</f>
        <v/>
      </c>
      <c r="I389" s="11">
        <f>IF($AB389="","",IF(INDEX(입력_기본자료!$G$2:$G$1001,$AB389)="","",IF(NOT(ISNUMBER(INDEX(입력_기본자료!$G$2:$G$1001,$AB389))),INDEX(입력_기본자료!$G$2:$G$1001,$AB389),IF(INDEX(입력_기본자료!$G$2:$G$1001,$AB389)&lt;1000000,INDEX(입력_기본자료!$G$2:$G$1001,$AB389),IF(AND(INDEX(입력_기본자료!$G$2:$G$1001,$AB389)&gt;=10000101,INT(MOD(INDEX(입력_기본자료!$G$2:$G$1001,$AB389),10000)/100)&gt;=1,INT(MOD(INDEX(입력_기본자료!$G$2:$G$1001,$AB389),10000)/100)&lt;=12,MOD(INDEX(입력_기본자료!$G$2:$G$1001,$AB389),100)&gt;=1,MOD(INDEX(입력_기본자료!$G$2:$G$1001,$AB389),100)&lt;=31),DATE(INT(INDEX(입력_기본자료!$G$2:$G$1001,$AB389)/10000),INT(MOD(INDEX(입력_기본자료!$G$2:$G$1001,$AB389),10000)/100),MOD(INDEX(입력_기본자료!$G$2:$G$1001,$AB389),100)),INDEX(입력_기본자료!$G$2:$G$1001,$AB389)&amp;"")))))</f>
        <v/>
      </c>
      <c r="J389" s="10">
        <f>IF($AB389="","",IF(INDEX(입력_기본자료!$H$2:$H$1001,$AB389)="","",INDEX(입력_기본자료!$H$2:$H$1001,$AB389)))</f>
        <v/>
      </c>
      <c r="K389" s="10">
        <f>IF($AB389="","",IF(INDEX(입력_기본자료!$I$2:$I$1001,$AB389)="","",INDEX(입력_기본자료!$I$2:$I$1001,$AB389)))</f>
        <v/>
      </c>
      <c r="L389" s="10">
        <f>IF($AB389="","",IF(INDEX(입력_기본자료!$A$2:$A$1001,$AB389)="","",INDEX(입력_기본자료!$A$2:$A$1001,$AB389)))</f>
        <v/>
      </c>
      <c r="M389" s="15" t="n"/>
      <c r="N389" s="10">
        <f>IF($B389="","",IF(AND($U389="파견중",$Q389&lt;&gt;""),$Q389,IF(AND($AD389&lt;&gt;"",LEFT($AD389,1)&lt;&gt;"⚠"),LEFT($AD389,FIND(" ",$AD389)-1),IF($H389="","",IF(RIGHT($H389,2)="병원",$H389,$H389&amp;"병원")))))</f>
        <v/>
      </c>
      <c r="O389" s="10">
        <f>IF($B389="","",IF(AND($U389="파견중",$Q389&lt;&gt;""),IF($R389&lt;&gt;"",$R389,"파견과 미입력"),IF(AND($AD389&lt;&gt;"",LEFT($AD389,1)&lt;&gt;"⚠"),MID($AD389,FIND(" ",$AD389)+1,60),IF($F389="","",IF($F389="인턴","수련교육부(인턴)",$F389)))))</f>
        <v/>
      </c>
      <c r="P389" s="10">
        <f>IF($B389="","",IF($AK389&lt;&gt;"",IF(AND(TODAY()&gt;=INDEX(입력_파견수련계획!$AB$4:$AB$803,$AK389),OR(NOT(ISNUMBER(INDEX(입력_파견수련계획!$AC$4:$AC$803,$AK389))),TODAY()&lt;=INDEX(입력_파견수련계획!$AC$4:$AC$803,$AK389))),"다기관",IF($AF389="","",INDEX(입력_파견수련계획!$T$4:$T$803,$AF389))),IF($AF389="","",INDEX(입력_파견수련계획!$T$4:$T$803,$AF389))))</f>
        <v/>
      </c>
      <c r="Q389" s="10">
        <f>IF($AF389="","",INDEX(입력_파견수련계획!$S$4:$S$803,$AF389))</f>
        <v/>
      </c>
      <c r="R389" s="10">
        <f>IF($AF389="","",INDEX(입력_파견수련계획!$U$4:$U$803,$AF389))</f>
        <v/>
      </c>
      <c r="S389" s="11">
        <f>IF($AF389="","",IF(INDEX(입력_파견수련계획!$H$4:$H$803,$AF389)="","",INDEX(입력_파견수련계획!$H$4:$H$803,$AF389)))</f>
        <v/>
      </c>
      <c r="T389" s="11">
        <f>IF($AF389="","",IF(INDEX(입력_파견수련계획!$I$4:$I$803,$AF389)="","",INDEX(입력_파견수련계획!$I$4:$I$803,$AF389)))</f>
        <v/>
      </c>
      <c r="U389" s="10">
        <f>IF($AF389="","",INDEX(입력_파견수련계획!$X$4:$X$803,$AF389))</f>
        <v/>
      </c>
      <c r="V389" s="17">
        <f>IF($AF389="","",INDEX(입력_파견수련계획!$V$4:$V$803,$AF389))</f>
        <v/>
      </c>
      <c r="W389" s="17">
        <f>IF(AND($U389="파견중",$T389&lt;&gt;""),$T389-TODAY(),"")</f>
        <v/>
      </c>
      <c r="X389" s="17">
        <f>IF(OR($B389="",TRIM($J389&amp;"")=""),"",SUMPRODUCT((입력_파견수련계획!$Q$4:$Q$803=TRIM($J389&amp;""))*입력_파견수련계획!$W$4:$W$803))</f>
        <v/>
      </c>
      <c r="Y389" s="10">
        <f>IF($B389="","",IF($AG389="","",IF(IF(TRIM($J389&amp;"")="",0,SUMPRODUCT((입력_파견수련계획!$Q$4:$Q$803=TRIM($J389&amp;""))*입력_파견수련계획!$AD$4:$AD$803))&gt;0,$AE389,IF(AND(N($X389)&lt;=0,$AQ389=""),$AG389,IF($AH389+$AI389=DAY(EOMONTH(출력_요약!$B$3,0)),IF(AND($AH389&gt;=출력_요약!$E$3,$AI389&lt;출력_요약!$E$3),"서울병원",IF(AND($AI389&gt;=출력_요약!$E$3,$AH389&lt;출력_요약!$E$3),"구리병원","⚠15일 판정불가(서울 "&amp;$AH389&amp;"일/구리 "&amp;$AI389&amp;"일)")),IF($AJ389="",$AE389,IF(INDEX(입력_파견수련계획!$T$4:$T$803,$AJ389)="통합수련",INDEX(입력_파견수련계획!$S$4:$S$803,$AJ389),$AE389)))))))</f>
        <v/>
      </c>
      <c r="Z389" s="20">
        <f>IF($B389="","",IF($AB389="","기본자료에 없는 사번",IF(COUNTIF($B$2:$B$401,$B389)&gt;1,"중복 사번",IF($AE389="","소속(입사장소) 입력",IF(IF(TRIM($J389&amp;"")="",0,SUMPRODUCT((입력_파견수련계획!$Q$4:$Q$803=TRIM($J389&amp;""))*(입력_파견수련계획!$AA$4:$AA$803&lt;&gt;"")))&gt;0,"파견수련계획 입력오류 확인",IF(LEFT($Y389,1)="⚠","서울·구리 15일 판정 불가(양쪽 모두 이상/미만)",IF(IF($AC389="",0,N(INDEX(입력_인턴근무계획!$T$3:$T$402,$AC389)))&gt;0,"인턴계획 입력오류 확인",IF(AND($AQ389&lt;&gt;"",$AG389&lt;&gt;"구리병원",IF(TRIM($J389&amp;"")="",0,SUMPRODUCT((입력_파견수련계획!$Q$4:$Q$803=TRIM($J389&amp;""))*(입력_파견수련계획!$S$4:$S$803="구리병원")*입력_파견수련계획!$W$4:$W$803))=0),"구리 근무자명단에만 있음(파견수련계획 확인)",IF(AND($AC389&lt;&gt;"",$U389&lt;&gt;"파견중",$N389&lt;&gt;$AE389),"인턴 타지역 근무: 파견 여부 확인","정상")))))))))</f>
        <v/>
      </c>
      <c r="AA389" s="5" t="n"/>
      <c r="AB389" s="10">
        <f>IF($B389="","",IFERROR(MATCH($B389,입력_기본자료!$B$2:$B$1001,0),IFERROR(MATCH($B389&amp;"",입력_기본자료!$B$2:$B$1001,0),IFERROR(MATCH(VALUE($B389),입력_기본자료!$B$2:$B$1001,0),""))))</f>
        <v/>
      </c>
      <c r="AC389" s="10">
        <f>IF($B389="","",IFERROR(MATCH($B389,입력_인턴근무계획!$D$3:$D$402,0),IFERROR(MATCH($B389&amp;"",입력_인턴근무계획!$D$3:$D$402,0),IFERROR(MATCH(VALUE($B389),입력_인턴근무계획!$D$3:$D$402,0),""))))</f>
        <v/>
      </c>
      <c r="AD389" s="10">
        <f>IF(OR($AC389="",출력_인턴현황!$G$3=""),"",INDEX(입력_인턴근무계획!$M$3:$R$402,$AC389,출력_인턴현황!$G$3)&amp;"")</f>
        <v/>
      </c>
      <c r="AE389" s="10">
        <f>IF($B389="","",IF($M389&lt;&gt;"",$M389,IF(IF($AQ389="",FALSE,INDEX(출력_구리근무자!$J$6:$J$305,$AQ389)="구리독자"),"구리병원",IF($AF389&lt;&gt;"",IF(LEFT(INDEX(입력_파견수련계획!$R$4:$R$803,$AF389),1)&lt;&gt;"⚠",INDEX(입력_파견수련계획!$R$4:$R$803,$AF389),IF($H389="","",IF(RIGHT($H389,2)="병원",$H389,$H389&amp;"병원"))),IF($H389="","",IF(RIGHT($H389,2)="병원",$H389,$H389&amp;"병원"))))))</f>
        <v/>
      </c>
      <c r="AF389" s="10">
        <f>IF(OR($B389="",TRIM($J389&amp;"")=""),"",IFERROR(MATCH(TRIM($J389&amp;"")&amp;"|파견중",입력_파견수련계획!$Y$4:$Y$803,0),IFERROR(MATCH(TRIM($J389&amp;"")&amp;"|파견예정",입력_파견수련계획!$Y$4:$Y$803,0),IFERROR(MATCH(TRIM($J389&amp;"")&amp;"|파견종료",입력_파견수련계획!$Y$4:$Y$803,0),""))))</f>
        <v/>
      </c>
      <c r="AG389" s="10">
        <f>IF($B389="","",IF(AND(IF(OR($AC389="",출력_인턴현황!$K$2=""),"",INDEX(입력_인턴근무계획!$M$3:$R$402,$AC389,출력_인턴현황!$K$2)&amp;"")&lt;&gt;"",LEFT(IF(OR($AC389="",출력_인턴현황!$K$2=""),"",INDEX(입력_인턴근무계획!$M$3:$R$402,$AC389,출력_인턴현황!$K$2)&amp;""),1)&lt;&gt;"⚠"),LEFT(IF(OR($AC389="",출력_인턴현황!$K$2=""),"",INDEX(입력_인턴근무계획!$M$3:$R$402,$AC389,출력_인턴현황!$K$2)&amp;""),FIND(" ",IF(OR($AC389="",출력_인턴현황!$K$2=""),"",INDEX(입력_인턴근무계획!$M$3:$R$402,$AC389,출력_인턴현황!$K$2)&amp;""))-1),$AE389))</f>
        <v/>
      </c>
      <c r="AH389" s="17">
        <f>IF($B389="","",IF($AQ389&lt;&gt;"",MAX(0,DAY(EOMONTH(출력_요약!$B$3,0))-N($AR389)),IF(TRIM($J389&amp;"")="",0,SUMPRODUCT((입력_파견수련계획!$Q$4:$Q$803=TRIM($J389&amp;""))*(입력_파견수련계획!$S$4:$S$803="서울병원")*입력_파견수련계획!$W$4:$W$803))+IF($AG389="서울병원",MAX(0,DAY(EOMONTH(출력_요약!$B$3,0))-N($X389)),0)))</f>
        <v/>
      </c>
      <c r="AI389" s="17">
        <f>IF($B389="","",IF($AQ389&lt;&gt;"",N($AR389),IF(TRIM($J389&amp;"")="",0,SUMPRODUCT((입력_파견수련계획!$Q$4:$Q$803=TRIM($J389&amp;""))*(입력_파견수련계획!$S$4:$S$803="구리병원")*입력_파견수련계획!$W$4:$W$803))+IF($AG389="구리병원",MAX(0,DAY(EOMONTH(출력_요약!$B$3,0))-N($X389)),0)))</f>
        <v/>
      </c>
      <c r="AJ389" s="10">
        <f>IF(OR($B389="",TRIM($J389&amp;"")=""),"",IFERROR(MATCH(TRIM($J389&amp;"")&amp;"|월",입력_파견수련계획!$Z$4:$Z$803,0),""))</f>
        <v/>
      </c>
      <c r="AK389" s="10">
        <f>IF(OR($B389="",TRIM($J389&amp;"")=""),"",IFERROR(MATCH(TRIM($J389&amp;"")&amp;"|다기관",입력_파견수련계획!$AE$4:$AE$803,0),""))</f>
        <v/>
      </c>
      <c r="AL389" s="10">
        <f>IF($AK389="","","다기관 "&amp;TEXT(INDEX(입력_파견수련계획!$AB$4:$AB$803,$AK389),"yyyy-mm-dd")&amp;"~"&amp;IF(ISNUMBER(INDEX(입력_파견수련계획!$AC$4:$AC$803,$AK389)),TEXT(INDEX(입력_파견수련계획!$AC$4:$AC$803,$AK389),"yyyy-mm-dd"),""))</f>
        <v/>
      </c>
      <c r="AM389" s="10">
        <f>IF($Y389="서울병원",COUNTIF($Y$2:$Y389,"서울병원"),"")</f>
        <v/>
      </c>
      <c r="AN389" s="10">
        <f>IF(LEFT($Y389,1)="⚠",COUNTIF($Y$2:$Y389,"⚠*"),"")</f>
        <v/>
      </c>
      <c r="AO389" s="10">
        <f>IF(OR($B389="",$Y389=""),"",IF(IF(TRIM($J389&amp;"")="",0,SUMPRODUCT((입력_파견수련계획!$Q$4:$Q$803=TRIM($J389&amp;""))*입력_파견수련계획!$AD$4:$AD$803))&gt;0,"다기관 기간 → 소속병원 지급",IF(AND(N($X389)&lt;=0,$AQ389=""),"파견 없음 → 그 달 근무병원 지급",IF($AH389+$AI389=DAY(EOMONTH(출력_요약!$B$3,0)),"서울 "&amp;$AH389&amp;"일 / 구리 "&amp;$AI389&amp;"일"&amp;IF($AQ389&lt;&gt;""," (구리 근무자명단 반영)","")&amp;" → 15일 이상 근무 병원 지급","타 병원 포함 → "&amp;IF($AJ389="","소속",INDEX(입력_파견수련계획!$T$4:$T$803,$AJ389))&amp;" 규칙"))))</f>
        <v/>
      </c>
      <c r="AP389" s="10">
        <f>IF($B389="","",$C389&amp;"|"&amp;$F389)</f>
        <v/>
      </c>
      <c r="AQ389" s="10">
        <f>IF($B389="","",IFERROR(MATCH(ROW()-1,출력_구리근무자!$K$6:$K$305,0),""))</f>
        <v/>
      </c>
      <c r="AR389" s="10">
        <f>IF($AQ389="","",INDEX(출력_구리근무자!$H$6:$H$305,$AQ389))</f>
        <v/>
      </c>
    </row>
    <row r="390">
      <c r="A390" s="10">
        <f>IF(B390="","",ROW()-1)</f>
        <v/>
      </c>
      <c r="B390" s="19" t="n"/>
      <c r="C390" s="10">
        <f>IF($AB390="","",IF(INDEX(입력_기본자료!$C$2:$C$1001,$AB390)="","",INDEX(입력_기본자료!$C$2:$C$1001,$AB390)))</f>
        <v/>
      </c>
      <c r="D390" s="10">
        <f>IF($AB390="","",IF(INDEX(입력_기본자료!$J$2:$J$1001,$AB390)="","",INDEX(입력_기본자료!$J$2:$J$1001,$AB390)))</f>
        <v/>
      </c>
      <c r="E390" s="11">
        <f>IF($AB390="","",IF(INDEX(입력_기본자료!$K$2:$K$1001,$AB390)="","",IF(NOT(ISNUMBER(INDEX(입력_기본자료!$K$2:$K$1001,$AB390))),INDEX(입력_기본자료!$K$2:$K$1001,$AB390),IF(INDEX(입력_기본자료!$K$2:$K$1001,$AB390)&lt;1000000,INDEX(입력_기본자료!$K$2:$K$1001,$AB390),IF(AND(INDEX(입력_기본자료!$K$2:$K$1001,$AB390)&gt;=10000101,INT(MOD(INDEX(입력_기본자료!$K$2:$K$1001,$AB390),10000)/100)&gt;=1,INT(MOD(INDEX(입력_기본자료!$K$2:$K$1001,$AB390),10000)/100)&lt;=12,MOD(INDEX(입력_기본자료!$K$2:$K$1001,$AB390),100)&gt;=1,MOD(INDEX(입력_기본자료!$K$2:$K$1001,$AB390),100)&lt;=31),DATE(INT(INDEX(입력_기본자료!$K$2:$K$1001,$AB390)/10000),INT(MOD(INDEX(입력_기본자료!$K$2:$K$1001,$AB390),10000)/100),MOD(INDEX(입력_기본자료!$K$2:$K$1001,$AB390),100)),INDEX(입력_기본자료!$K$2:$K$1001,$AB390)&amp;"")))))</f>
        <v/>
      </c>
      <c r="F390" s="10">
        <f>IF($AB390="","",IF(INDEX(입력_기본자료!$D$2:$D$1001,$AB390)="","",INDEX(입력_기본자료!$D$2:$D$1001,$AB390)))</f>
        <v/>
      </c>
      <c r="G390" s="10">
        <f>IF($AB390="","",IF(INDEX(입력_기본자료!$E$2:$E$1001,$AB390)="","",INDEX(입력_기본자료!$E$2:$E$1001,$AB390)))</f>
        <v/>
      </c>
      <c r="H390" s="10">
        <f>IF($AB390="","",IF(INDEX(입력_기본자료!$F$2:$F$1001,$AB390)="","",INDEX(입력_기본자료!$F$2:$F$1001,$AB390)))</f>
        <v/>
      </c>
      <c r="I390" s="11">
        <f>IF($AB390="","",IF(INDEX(입력_기본자료!$G$2:$G$1001,$AB390)="","",IF(NOT(ISNUMBER(INDEX(입력_기본자료!$G$2:$G$1001,$AB390))),INDEX(입력_기본자료!$G$2:$G$1001,$AB390),IF(INDEX(입력_기본자료!$G$2:$G$1001,$AB390)&lt;1000000,INDEX(입력_기본자료!$G$2:$G$1001,$AB390),IF(AND(INDEX(입력_기본자료!$G$2:$G$1001,$AB390)&gt;=10000101,INT(MOD(INDEX(입력_기본자료!$G$2:$G$1001,$AB390),10000)/100)&gt;=1,INT(MOD(INDEX(입력_기본자료!$G$2:$G$1001,$AB390),10000)/100)&lt;=12,MOD(INDEX(입력_기본자료!$G$2:$G$1001,$AB390),100)&gt;=1,MOD(INDEX(입력_기본자료!$G$2:$G$1001,$AB390),100)&lt;=31),DATE(INT(INDEX(입력_기본자료!$G$2:$G$1001,$AB390)/10000),INT(MOD(INDEX(입력_기본자료!$G$2:$G$1001,$AB390),10000)/100),MOD(INDEX(입력_기본자료!$G$2:$G$1001,$AB390),100)),INDEX(입력_기본자료!$G$2:$G$1001,$AB390)&amp;"")))))</f>
        <v/>
      </c>
      <c r="J390" s="10">
        <f>IF($AB390="","",IF(INDEX(입력_기본자료!$H$2:$H$1001,$AB390)="","",INDEX(입력_기본자료!$H$2:$H$1001,$AB390)))</f>
        <v/>
      </c>
      <c r="K390" s="10">
        <f>IF($AB390="","",IF(INDEX(입력_기본자료!$I$2:$I$1001,$AB390)="","",INDEX(입력_기본자료!$I$2:$I$1001,$AB390)))</f>
        <v/>
      </c>
      <c r="L390" s="10">
        <f>IF($AB390="","",IF(INDEX(입력_기본자료!$A$2:$A$1001,$AB390)="","",INDEX(입력_기본자료!$A$2:$A$1001,$AB390)))</f>
        <v/>
      </c>
      <c r="M390" s="15" t="n"/>
      <c r="N390" s="10">
        <f>IF($B390="","",IF(AND($U390="파견중",$Q390&lt;&gt;""),$Q390,IF(AND($AD390&lt;&gt;"",LEFT($AD390,1)&lt;&gt;"⚠"),LEFT($AD390,FIND(" ",$AD390)-1),IF($H390="","",IF(RIGHT($H390,2)="병원",$H390,$H390&amp;"병원")))))</f>
        <v/>
      </c>
      <c r="O390" s="10">
        <f>IF($B390="","",IF(AND($U390="파견중",$Q390&lt;&gt;""),IF($R390&lt;&gt;"",$R390,"파견과 미입력"),IF(AND($AD390&lt;&gt;"",LEFT($AD390,1)&lt;&gt;"⚠"),MID($AD390,FIND(" ",$AD390)+1,60),IF($F390="","",IF($F390="인턴","수련교육부(인턴)",$F390)))))</f>
        <v/>
      </c>
      <c r="P390" s="10">
        <f>IF($B390="","",IF($AK390&lt;&gt;"",IF(AND(TODAY()&gt;=INDEX(입력_파견수련계획!$AB$4:$AB$803,$AK390),OR(NOT(ISNUMBER(INDEX(입력_파견수련계획!$AC$4:$AC$803,$AK390))),TODAY()&lt;=INDEX(입력_파견수련계획!$AC$4:$AC$803,$AK390))),"다기관",IF($AF390="","",INDEX(입력_파견수련계획!$T$4:$T$803,$AF390))),IF($AF390="","",INDEX(입력_파견수련계획!$T$4:$T$803,$AF390))))</f>
        <v/>
      </c>
      <c r="Q390" s="10">
        <f>IF($AF390="","",INDEX(입력_파견수련계획!$S$4:$S$803,$AF390))</f>
        <v/>
      </c>
      <c r="R390" s="10">
        <f>IF($AF390="","",INDEX(입력_파견수련계획!$U$4:$U$803,$AF390))</f>
        <v/>
      </c>
      <c r="S390" s="11">
        <f>IF($AF390="","",IF(INDEX(입력_파견수련계획!$H$4:$H$803,$AF390)="","",INDEX(입력_파견수련계획!$H$4:$H$803,$AF390)))</f>
        <v/>
      </c>
      <c r="T390" s="11">
        <f>IF($AF390="","",IF(INDEX(입력_파견수련계획!$I$4:$I$803,$AF390)="","",INDEX(입력_파견수련계획!$I$4:$I$803,$AF390)))</f>
        <v/>
      </c>
      <c r="U390" s="10">
        <f>IF($AF390="","",INDEX(입력_파견수련계획!$X$4:$X$803,$AF390))</f>
        <v/>
      </c>
      <c r="V390" s="17">
        <f>IF($AF390="","",INDEX(입력_파견수련계획!$V$4:$V$803,$AF390))</f>
        <v/>
      </c>
      <c r="W390" s="17">
        <f>IF(AND($U390="파견중",$T390&lt;&gt;""),$T390-TODAY(),"")</f>
        <v/>
      </c>
      <c r="X390" s="17">
        <f>IF(OR($B390="",TRIM($J390&amp;"")=""),"",SUMPRODUCT((입력_파견수련계획!$Q$4:$Q$803=TRIM($J390&amp;""))*입력_파견수련계획!$W$4:$W$803))</f>
        <v/>
      </c>
      <c r="Y390" s="10">
        <f>IF($B390="","",IF($AG390="","",IF(IF(TRIM($J390&amp;"")="",0,SUMPRODUCT((입력_파견수련계획!$Q$4:$Q$803=TRIM($J390&amp;""))*입력_파견수련계획!$AD$4:$AD$803))&gt;0,$AE390,IF(AND(N($X390)&lt;=0,$AQ390=""),$AG390,IF($AH390+$AI390=DAY(EOMONTH(출력_요약!$B$3,0)),IF(AND($AH390&gt;=출력_요약!$E$3,$AI390&lt;출력_요약!$E$3),"서울병원",IF(AND($AI390&gt;=출력_요약!$E$3,$AH390&lt;출력_요약!$E$3),"구리병원","⚠15일 판정불가(서울 "&amp;$AH390&amp;"일/구리 "&amp;$AI390&amp;"일)")),IF($AJ390="",$AE390,IF(INDEX(입력_파견수련계획!$T$4:$T$803,$AJ390)="통합수련",INDEX(입력_파견수련계획!$S$4:$S$803,$AJ390),$AE390)))))))</f>
        <v/>
      </c>
      <c r="Z390" s="20">
        <f>IF($B390="","",IF($AB390="","기본자료에 없는 사번",IF(COUNTIF($B$2:$B$401,$B390)&gt;1,"중복 사번",IF($AE390="","소속(입사장소) 입력",IF(IF(TRIM($J390&amp;"")="",0,SUMPRODUCT((입력_파견수련계획!$Q$4:$Q$803=TRIM($J390&amp;""))*(입력_파견수련계획!$AA$4:$AA$803&lt;&gt;"")))&gt;0,"파견수련계획 입력오류 확인",IF(LEFT($Y390,1)="⚠","서울·구리 15일 판정 불가(양쪽 모두 이상/미만)",IF(IF($AC390="",0,N(INDEX(입력_인턴근무계획!$T$3:$T$402,$AC390)))&gt;0,"인턴계획 입력오류 확인",IF(AND($AQ390&lt;&gt;"",$AG390&lt;&gt;"구리병원",IF(TRIM($J390&amp;"")="",0,SUMPRODUCT((입력_파견수련계획!$Q$4:$Q$803=TRIM($J390&amp;""))*(입력_파견수련계획!$S$4:$S$803="구리병원")*입력_파견수련계획!$W$4:$W$803))=0),"구리 근무자명단에만 있음(파견수련계획 확인)",IF(AND($AC390&lt;&gt;"",$U390&lt;&gt;"파견중",$N390&lt;&gt;$AE390),"인턴 타지역 근무: 파견 여부 확인","정상")))))))))</f>
        <v/>
      </c>
      <c r="AA390" s="5" t="n"/>
      <c r="AB390" s="10">
        <f>IF($B390="","",IFERROR(MATCH($B390,입력_기본자료!$B$2:$B$1001,0),IFERROR(MATCH($B390&amp;"",입력_기본자료!$B$2:$B$1001,0),IFERROR(MATCH(VALUE($B390),입력_기본자료!$B$2:$B$1001,0),""))))</f>
        <v/>
      </c>
      <c r="AC390" s="10">
        <f>IF($B390="","",IFERROR(MATCH($B390,입력_인턴근무계획!$D$3:$D$402,0),IFERROR(MATCH($B390&amp;"",입력_인턴근무계획!$D$3:$D$402,0),IFERROR(MATCH(VALUE($B390),입력_인턴근무계획!$D$3:$D$402,0),""))))</f>
        <v/>
      </c>
      <c r="AD390" s="10">
        <f>IF(OR($AC390="",출력_인턴현황!$G$3=""),"",INDEX(입력_인턴근무계획!$M$3:$R$402,$AC390,출력_인턴현황!$G$3)&amp;"")</f>
        <v/>
      </c>
      <c r="AE390" s="10">
        <f>IF($B390="","",IF($M390&lt;&gt;"",$M390,IF(IF($AQ390="",FALSE,INDEX(출력_구리근무자!$J$6:$J$305,$AQ390)="구리독자"),"구리병원",IF($AF390&lt;&gt;"",IF(LEFT(INDEX(입력_파견수련계획!$R$4:$R$803,$AF390),1)&lt;&gt;"⚠",INDEX(입력_파견수련계획!$R$4:$R$803,$AF390),IF($H390="","",IF(RIGHT($H390,2)="병원",$H390,$H390&amp;"병원"))),IF($H390="","",IF(RIGHT($H390,2)="병원",$H390,$H390&amp;"병원"))))))</f>
        <v/>
      </c>
      <c r="AF390" s="10">
        <f>IF(OR($B390="",TRIM($J390&amp;"")=""),"",IFERROR(MATCH(TRIM($J390&amp;"")&amp;"|파견중",입력_파견수련계획!$Y$4:$Y$803,0),IFERROR(MATCH(TRIM($J390&amp;"")&amp;"|파견예정",입력_파견수련계획!$Y$4:$Y$803,0),IFERROR(MATCH(TRIM($J390&amp;"")&amp;"|파견종료",입력_파견수련계획!$Y$4:$Y$803,0),""))))</f>
        <v/>
      </c>
      <c r="AG390" s="10">
        <f>IF($B390="","",IF(AND(IF(OR($AC390="",출력_인턴현황!$K$2=""),"",INDEX(입력_인턴근무계획!$M$3:$R$402,$AC390,출력_인턴현황!$K$2)&amp;"")&lt;&gt;"",LEFT(IF(OR($AC390="",출력_인턴현황!$K$2=""),"",INDEX(입력_인턴근무계획!$M$3:$R$402,$AC390,출력_인턴현황!$K$2)&amp;""),1)&lt;&gt;"⚠"),LEFT(IF(OR($AC390="",출력_인턴현황!$K$2=""),"",INDEX(입력_인턴근무계획!$M$3:$R$402,$AC390,출력_인턴현황!$K$2)&amp;""),FIND(" ",IF(OR($AC390="",출력_인턴현황!$K$2=""),"",INDEX(입력_인턴근무계획!$M$3:$R$402,$AC390,출력_인턴현황!$K$2)&amp;""))-1),$AE390))</f>
        <v/>
      </c>
      <c r="AH390" s="17">
        <f>IF($B390="","",IF($AQ390&lt;&gt;"",MAX(0,DAY(EOMONTH(출력_요약!$B$3,0))-N($AR390)),IF(TRIM($J390&amp;"")="",0,SUMPRODUCT((입력_파견수련계획!$Q$4:$Q$803=TRIM($J390&amp;""))*(입력_파견수련계획!$S$4:$S$803="서울병원")*입력_파견수련계획!$W$4:$W$803))+IF($AG390="서울병원",MAX(0,DAY(EOMONTH(출력_요약!$B$3,0))-N($X390)),0)))</f>
        <v/>
      </c>
      <c r="AI390" s="17">
        <f>IF($B390="","",IF($AQ390&lt;&gt;"",N($AR390),IF(TRIM($J390&amp;"")="",0,SUMPRODUCT((입력_파견수련계획!$Q$4:$Q$803=TRIM($J390&amp;""))*(입력_파견수련계획!$S$4:$S$803="구리병원")*입력_파견수련계획!$W$4:$W$803))+IF($AG390="구리병원",MAX(0,DAY(EOMONTH(출력_요약!$B$3,0))-N($X390)),0)))</f>
        <v/>
      </c>
      <c r="AJ390" s="10">
        <f>IF(OR($B390="",TRIM($J390&amp;"")=""),"",IFERROR(MATCH(TRIM($J390&amp;"")&amp;"|월",입력_파견수련계획!$Z$4:$Z$803,0),""))</f>
        <v/>
      </c>
      <c r="AK390" s="10">
        <f>IF(OR($B390="",TRIM($J390&amp;"")=""),"",IFERROR(MATCH(TRIM($J390&amp;"")&amp;"|다기관",입력_파견수련계획!$AE$4:$AE$803,0),""))</f>
        <v/>
      </c>
      <c r="AL390" s="10">
        <f>IF($AK390="","","다기관 "&amp;TEXT(INDEX(입력_파견수련계획!$AB$4:$AB$803,$AK390),"yyyy-mm-dd")&amp;"~"&amp;IF(ISNUMBER(INDEX(입력_파견수련계획!$AC$4:$AC$803,$AK390)),TEXT(INDEX(입력_파견수련계획!$AC$4:$AC$803,$AK390),"yyyy-mm-dd"),""))</f>
        <v/>
      </c>
      <c r="AM390" s="10">
        <f>IF($Y390="서울병원",COUNTIF($Y$2:$Y390,"서울병원"),"")</f>
        <v/>
      </c>
      <c r="AN390" s="10">
        <f>IF(LEFT($Y390,1)="⚠",COUNTIF($Y$2:$Y390,"⚠*"),"")</f>
        <v/>
      </c>
      <c r="AO390" s="10">
        <f>IF(OR($B390="",$Y390=""),"",IF(IF(TRIM($J390&amp;"")="",0,SUMPRODUCT((입력_파견수련계획!$Q$4:$Q$803=TRIM($J390&amp;""))*입력_파견수련계획!$AD$4:$AD$803))&gt;0,"다기관 기간 → 소속병원 지급",IF(AND(N($X390)&lt;=0,$AQ390=""),"파견 없음 → 그 달 근무병원 지급",IF($AH390+$AI390=DAY(EOMONTH(출력_요약!$B$3,0)),"서울 "&amp;$AH390&amp;"일 / 구리 "&amp;$AI390&amp;"일"&amp;IF($AQ390&lt;&gt;""," (구리 근무자명단 반영)","")&amp;" → 15일 이상 근무 병원 지급","타 병원 포함 → "&amp;IF($AJ390="","소속",INDEX(입력_파견수련계획!$T$4:$T$803,$AJ390))&amp;" 규칙"))))</f>
        <v/>
      </c>
      <c r="AP390" s="10">
        <f>IF($B390="","",$C390&amp;"|"&amp;$F390)</f>
        <v/>
      </c>
      <c r="AQ390" s="10">
        <f>IF($B390="","",IFERROR(MATCH(ROW()-1,출력_구리근무자!$K$6:$K$305,0),""))</f>
        <v/>
      </c>
      <c r="AR390" s="10">
        <f>IF($AQ390="","",INDEX(출력_구리근무자!$H$6:$H$305,$AQ390))</f>
        <v/>
      </c>
    </row>
    <row r="391">
      <c r="A391" s="10">
        <f>IF(B391="","",ROW()-1)</f>
        <v/>
      </c>
      <c r="B391" s="19" t="n"/>
      <c r="C391" s="10">
        <f>IF($AB391="","",IF(INDEX(입력_기본자료!$C$2:$C$1001,$AB391)="","",INDEX(입력_기본자료!$C$2:$C$1001,$AB391)))</f>
        <v/>
      </c>
      <c r="D391" s="10">
        <f>IF($AB391="","",IF(INDEX(입력_기본자료!$J$2:$J$1001,$AB391)="","",INDEX(입력_기본자료!$J$2:$J$1001,$AB391)))</f>
        <v/>
      </c>
      <c r="E391" s="11">
        <f>IF($AB391="","",IF(INDEX(입력_기본자료!$K$2:$K$1001,$AB391)="","",IF(NOT(ISNUMBER(INDEX(입력_기본자료!$K$2:$K$1001,$AB391))),INDEX(입력_기본자료!$K$2:$K$1001,$AB391),IF(INDEX(입력_기본자료!$K$2:$K$1001,$AB391)&lt;1000000,INDEX(입력_기본자료!$K$2:$K$1001,$AB391),IF(AND(INDEX(입력_기본자료!$K$2:$K$1001,$AB391)&gt;=10000101,INT(MOD(INDEX(입력_기본자료!$K$2:$K$1001,$AB391),10000)/100)&gt;=1,INT(MOD(INDEX(입력_기본자료!$K$2:$K$1001,$AB391),10000)/100)&lt;=12,MOD(INDEX(입력_기본자료!$K$2:$K$1001,$AB391),100)&gt;=1,MOD(INDEX(입력_기본자료!$K$2:$K$1001,$AB391),100)&lt;=31),DATE(INT(INDEX(입력_기본자료!$K$2:$K$1001,$AB391)/10000),INT(MOD(INDEX(입력_기본자료!$K$2:$K$1001,$AB391),10000)/100),MOD(INDEX(입력_기본자료!$K$2:$K$1001,$AB391),100)),INDEX(입력_기본자료!$K$2:$K$1001,$AB391)&amp;"")))))</f>
        <v/>
      </c>
      <c r="F391" s="10">
        <f>IF($AB391="","",IF(INDEX(입력_기본자료!$D$2:$D$1001,$AB391)="","",INDEX(입력_기본자료!$D$2:$D$1001,$AB391)))</f>
        <v/>
      </c>
      <c r="G391" s="10">
        <f>IF($AB391="","",IF(INDEX(입력_기본자료!$E$2:$E$1001,$AB391)="","",INDEX(입력_기본자료!$E$2:$E$1001,$AB391)))</f>
        <v/>
      </c>
      <c r="H391" s="10">
        <f>IF($AB391="","",IF(INDEX(입력_기본자료!$F$2:$F$1001,$AB391)="","",INDEX(입력_기본자료!$F$2:$F$1001,$AB391)))</f>
        <v/>
      </c>
      <c r="I391" s="11">
        <f>IF($AB391="","",IF(INDEX(입력_기본자료!$G$2:$G$1001,$AB391)="","",IF(NOT(ISNUMBER(INDEX(입력_기본자료!$G$2:$G$1001,$AB391))),INDEX(입력_기본자료!$G$2:$G$1001,$AB391),IF(INDEX(입력_기본자료!$G$2:$G$1001,$AB391)&lt;1000000,INDEX(입력_기본자료!$G$2:$G$1001,$AB391),IF(AND(INDEX(입력_기본자료!$G$2:$G$1001,$AB391)&gt;=10000101,INT(MOD(INDEX(입력_기본자료!$G$2:$G$1001,$AB391),10000)/100)&gt;=1,INT(MOD(INDEX(입력_기본자료!$G$2:$G$1001,$AB391),10000)/100)&lt;=12,MOD(INDEX(입력_기본자료!$G$2:$G$1001,$AB391),100)&gt;=1,MOD(INDEX(입력_기본자료!$G$2:$G$1001,$AB391),100)&lt;=31),DATE(INT(INDEX(입력_기본자료!$G$2:$G$1001,$AB391)/10000),INT(MOD(INDEX(입력_기본자료!$G$2:$G$1001,$AB391),10000)/100),MOD(INDEX(입력_기본자료!$G$2:$G$1001,$AB391),100)),INDEX(입력_기본자료!$G$2:$G$1001,$AB391)&amp;"")))))</f>
        <v/>
      </c>
      <c r="J391" s="10">
        <f>IF($AB391="","",IF(INDEX(입력_기본자료!$H$2:$H$1001,$AB391)="","",INDEX(입력_기본자료!$H$2:$H$1001,$AB391)))</f>
        <v/>
      </c>
      <c r="K391" s="10">
        <f>IF($AB391="","",IF(INDEX(입력_기본자료!$I$2:$I$1001,$AB391)="","",INDEX(입력_기본자료!$I$2:$I$1001,$AB391)))</f>
        <v/>
      </c>
      <c r="L391" s="10">
        <f>IF($AB391="","",IF(INDEX(입력_기본자료!$A$2:$A$1001,$AB391)="","",INDEX(입력_기본자료!$A$2:$A$1001,$AB391)))</f>
        <v/>
      </c>
      <c r="M391" s="15" t="n"/>
      <c r="N391" s="10">
        <f>IF($B391="","",IF(AND($U391="파견중",$Q391&lt;&gt;""),$Q391,IF(AND($AD391&lt;&gt;"",LEFT($AD391,1)&lt;&gt;"⚠"),LEFT($AD391,FIND(" ",$AD391)-1),IF($H391="","",IF(RIGHT($H391,2)="병원",$H391,$H391&amp;"병원")))))</f>
        <v/>
      </c>
      <c r="O391" s="10">
        <f>IF($B391="","",IF(AND($U391="파견중",$Q391&lt;&gt;""),IF($R391&lt;&gt;"",$R391,"파견과 미입력"),IF(AND($AD391&lt;&gt;"",LEFT($AD391,1)&lt;&gt;"⚠"),MID($AD391,FIND(" ",$AD391)+1,60),IF($F391="","",IF($F391="인턴","수련교육부(인턴)",$F391)))))</f>
        <v/>
      </c>
      <c r="P391" s="10">
        <f>IF($B391="","",IF($AK391&lt;&gt;"",IF(AND(TODAY()&gt;=INDEX(입력_파견수련계획!$AB$4:$AB$803,$AK391),OR(NOT(ISNUMBER(INDEX(입력_파견수련계획!$AC$4:$AC$803,$AK391))),TODAY()&lt;=INDEX(입력_파견수련계획!$AC$4:$AC$803,$AK391))),"다기관",IF($AF391="","",INDEX(입력_파견수련계획!$T$4:$T$803,$AF391))),IF($AF391="","",INDEX(입력_파견수련계획!$T$4:$T$803,$AF391))))</f>
        <v/>
      </c>
      <c r="Q391" s="10">
        <f>IF($AF391="","",INDEX(입력_파견수련계획!$S$4:$S$803,$AF391))</f>
        <v/>
      </c>
      <c r="R391" s="10">
        <f>IF($AF391="","",INDEX(입력_파견수련계획!$U$4:$U$803,$AF391))</f>
        <v/>
      </c>
      <c r="S391" s="11">
        <f>IF($AF391="","",IF(INDEX(입력_파견수련계획!$H$4:$H$803,$AF391)="","",INDEX(입력_파견수련계획!$H$4:$H$803,$AF391)))</f>
        <v/>
      </c>
      <c r="T391" s="11">
        <f>IF($AF391="","",IF(INDEX(입력_파견수련계획!$I$4:$I$803,$AF391)="","",INDEX(입력_파견수련계획!$I$4:$I$803,$AF391)))</f>
        <v/>
      </c>
      <c r="U391" s="10">
        <f>IF($AF391="","",INDEX(입력_파견수련계획!$X$4:$X$803,$AF391))</f>
        <v/>
      </c>
      <c r="V391" s="17">
        <f>IF($AF391="","",INDEX(입력_파견수련계획!$V$4:$V$803,$AF391))</f>
        <v/>
      </c>
      <c r="W391" s="17">
        <f>IF(AND($U391="파견중",$T391&lt;&gt;""),$T391-TODAY(),"")</f>
        <v/>
      </c>
      <c r="X391" s="17">
        <f>IF(OR($B391="",TRIM($J391&amp;"")=""),"",SUMPRODUCT((입력_파견수련계획!$Q$4:$Q$803=TRIM($J391&amp;""))*입력_파견수련계획!$W$4:$W$803))</f>
        <v/>
      </c>
      <c r="Y391" s="10">
        <f>IF($B391="","",IF($AG391="","",IF(IF(TRIM($J391&amp;"")="",0,SUMPRODUCT((입력_파견수련계획!$Q$4:$Q$803=TRIM($J391&amp;""))*입력_파견수련계획!$AD$4:$AD$803))&gt;0,$AE391,IF(AND(N($X391)&lt;=0,$AQ391=""),$AG391,IF($AH391+$AI391=DAY(EOMONTH(출력_요약!$B$3,0)),IF(AND($AH391&gt;=출력_요약!$E$3,$AI391&lt;출력_요약!$E$3),"서울병원",IF(AND($AI391&gt;=출력_요약!$E$3,$AH391&lt;출력_요약!$E$3),"구리병원","⚠15일 판정불가(서울 "&amp;$AH391&amp;"일/구리 "&amp;$AI391&amp;"일)")),IF($AJ391="",$AE391,IF(INDEX(입력_파견수련계획!$T$4:$T$803,$AJ391)="통합수련",INDEX(입력_파견수련계획!$S$4:$S$803,$AJ391),$AE391)))))))</f>
        <v/>
      </c>
      <c r="Z391" s="20">
        <f>IF($B391="","",IF($AB391="","기본자료에 없는 사번",IF(COUNTIF($B$2:$B$401,$B391)&gt;1,"중복 사번",IF($AE391="","소속(입사장소) 입력",IF(IF(TRIM($J391&amp;"")="",0,SUMPRODUCT((입력_파견수련계획!$Q$4:$Q$803=TRIM($J391&amp;""))*(입력_파견수련계획!$AA$4:$AA$803&lt;&gt;"")))&gt;0,"파견수련계획 입력오류 확인",IF(LEFT($Y391,1)="⚠","서울·구리 15일 판정 불가(양쪽 모두 이상/미만)",IF(IF($AC391="",0,N(INDEX(입력_인턴근무계획!$T$3:$T$402,$AC391)))&gt;0,"인턴계획 입력오류 확인",IF(AND($AQ391&lt;&gt;"",$AG391&lt;&gt;"구리병원",IF(TRIM($J391&amp;"")="",0,SUMPRODUCT((입력_파견수련계획!$Q$4:$Q$803=TRIM($J391&amp;""))*(입력_파견수련계획!$S$4:$S$803="구리병원")*입력_파견수련계획!$W$4:$W$803))=0),"구리 근무자명단에만 있음(파견수련계획 확인)",IF(AND($AC391&lt;&gt;"",$U391&lt;&gt;"파견중",$N391&lt;&gt;$AE391),"인턴 타지역 근무: 파견 여부 확인","정상")))))))))</f>
        <v/>
      </c>
      <c r="AA391" s="5" t="n"/>
      <c r="AB391" s="10">
        <f>IF($B391="","",IFERROR(MATCH($B391,입력_기본자료!$B$2:$B$1001,0),IFERROR(MATCH($B391&amp;"",입력_기본자료!$B$2:$B$1001,0),IFERROR(MATCH(VALUE($B391),입력_기본자료!$B$2:$B$1001,0),""))))</f>
        <v/>
      </c>
      <c r="AC391" s="10">
        <f>IF($B391="","",IFERROR(MATCH($B391,입력_인턴근무계획!$D$3:$D$402,0),IFERROR(MATCH($B391&amp;"",입력_인턴근무계획!$D$3:$D$402,0),IFERROR(MATCH(VALUE($B391),입력_인턴근무계획!$D$3:$D$402,0),""))))</f>
        <v/>
      </c>
      <c r="AD391" s="10">
        <f>IF(OR($AC391="",출력_인턴현황!$G$3=""),"",INDEX(입력_인턴근무계획!$M$3:$R$402,$AC391,출력_인턴현황!$G$3)&amp;"")</f>
        <v/>
      </c>
      <c r="AE391" s="10">
        <f>IF($B391="","",IF($M391&lt;&gt;"",$M391,IF(IF($AQ391="",FALSE,INDEX(출력_구리근무자!$J$6:$J$305,$AQ391)="구리독자"),"구리병원",IF($AF391&lt;&gt;"",IF(LEFT(INDEX(입력_파견수련계획!$R$4:$R$803,$AF391),1)&lt;&gt;"⚠",INDEX(입력_파견수련계획!$R$4:$R$803,$AF391),IF($H391="","",IF(RIGHT($H391,2)="병원",$H391,$H391&amp;"병원"))),IF($H391="","",IF(RIGHT($H391,2)="병원",$H391,$H391&amp;"병원"))))))</f>
        <v/>
      </c>
      <c r="AF391" s="10">
        <f>IF(OR($B391="",TRIM($J391&amp;"")=""),"",IFERROR(MATCH(TRIM($J391&amp;"")&amp;"|파견중",입력_파견수련계획!$Y$4:$Y$803,0),IFERROR(MATCH(TRIM($J391&amp;"")&amp;"|파견예정",입력_파견수련계획!$Y$4:$Y$803,0),IFERROR(MATCH(TRIM($J391&amp;"")&amp;"|파견종료",입력_파견수련계획!$Y$4:$Y$803,0),""))))</f>
        <v/>
      </c>
      <c r="AG391" s="10">
        <f>IF($B391="","",IF(AND(IF(OR($AC391="",출력_인턴현황!$K$2=""),"",INDEX(입력_인턴근무계획!$M$3:$R$402,$AC391,출력_인턴현황!$K$2)&amp;"")&lt;&gt;"",LEFT(IF(OR($AC391="",출력_인턴현황!$K$2=""),"",INDEX(입력_인턴근무계획!$M$3:$R$402,$AC391,출력_인턴현황!$K$2)&amp;""),1)&lt;&gt;"⚠"),LEFT(IF(OR($AC391="",출력_인턴현황!$K$2=""),"",INDEX(입력_인턴근무계획!$M$3:$R$402,$AC391,출력_인턴현황!$K$2)&amp;""),FIND(" ",IF(OR($AC391="",출력_인턴현황!$K$2=""),"",INDEX(입력_인턴근무계획!$M$3:$R$402,$AC391,출력_인턴현황!$K$2)&amp;""))-1),$AE391))</f>
        <v/>
      </c>
      <c r="AH391" s="17">
        <f>IF($B391="","",IF($AQ391&lt;&gt;"",MAX(0,DAY(EOMONTH(출력_요약!$B$3,0))-N($AR391)),IF(TRIM($J391&amp;"")="",0,SUMPRODUCT((입력_파견수련계획!$Q$4:$Q$803=TRIM($J391&amp;""))*(입력_파견수련계획!$S$4:$S$803="서울병원")*입력_파견수련계획!$W$4:$W$803))+IF($AG391="서울병원",MAX(0,DAY(EOMONTH(출력_요약!$B$3,0))-N($X391)),0)))</f>
        <v/>
      </c>
      <c r="AI391" s="17">
        <f>IF($B391="","",IF($AQ391&lt;&gt;"",N($AR391),IF(TRIM($J391&amp;"")="",0,SUMPRODUCT((입력_파견수련계획!$Q$4:$Q$803=TRIM($J391&amp;""))*(입력_파견수련계획!$S$4:$S$803="구리병원")*입력_파견수련계획!$W$4:$W$803))+IF($AG391="구리병원",MAX(0,DAY(EOMONTH(출력_요약!$B$3,0))-N($X391)),0)))</f>
        <v/>
      </c>
      <c r="AJ391" s="10">
        <f>IF(OR($B391="",TRIM($J391&amp;"")=""),"",IFERROR(MATCH(TRIM($J391&amp;"")&amp;"|월",입력_파견수련계획!$Z$4:$Z$803,0),""))</f>
        <v/>
      </c>
      <c r="AK391" s="10">
        <f>IF(OR($B391="",TRIM($J391&amp;"")=""),"",IFERROR(MATCH(TRIM($J391&amp;"")&amp;"|다기관",입력_파견수련계획!$AE$4:$AE$803,0),""))</f>
        <v/>
      </c>
      <c r="AL391" s="10">
        <f>IF($AK391="","","다기관 "&amp;TEXT(INDEX(입력_파견수련계획!$AB$4:$AB$803,$AK391),"yyyy-mm-dd")&amp;"~"&amp;IF(ISNUMBER(INDEX(입력_파견수련계획!$AC$4:$AC$803,$AK391)),TEXT(INDEX(입력_파견수련계획!$AC$4:$AC$803,$AK391),"yyyy-mm-dd"),""))</f>
        <v/>
      </c>
      <c r="AM391" s="10">
        <f>IF($Y391="서울병원",COUNTIF($Y$2:$Y391,"서울병원"),"")</f>
        <v/>
      </c>
      <c r="AN391" s="10">
        <f>IF(LEFT($Y391,1)="⚠",COUNTIF($Y$2:$Y391,"⚠*"),"")</f>
        <v/>
      </c>
      <c r="AO391" s="10">
        <f>IF(OR($B391="",$Y391=""),"",IF(IF(TRIM($J391&amp;"")="",0,SUMPRODUCT((입력_파견수련계획!$Q$4:$Q$803=TRIM($J391&amp;""))*입력_파견수련계획!$AD$4:$AD$803))&gt;0,"다기관 기간 → 소속병원 지급",IF(AND(N($X391)&lt;=0,$AQ391=""),"파견 없음 → 그 달 근무병원 지급",IF($AH391+$AI391=DAY(EOMONTH(출력_요약!$B$3,0)),"서울 "&amp;$AH391&amp;"일 / 구리 "&amp;$AI391&amp;"일"&amp;IF($AQ391&lt;&gt;""," (구리 근무자명단 반영)","")&amp;" → 15일 이상 근무 병원 지급","타 병원 포함 → "&amp;IF($AJ391="","소속",INDEX(입력_파견수련계획!$T$4:$T$803,$AJ391))&amp;" 규칙"))))</f>
        <v/>
      </c>
      <c r="AP391" s="10">
        <f>IF($B391="","",$C391&amp;"|"&amp;$F391)</f>
        <v/>
      </c>
      <c r="AQ391" s="10">
        <f>IF($B391="","",IFERROR(MATCH(ROW()-1,출력_구리근무자!$K$6:$K$305,0),""))</f>
        <v/>
      </c>
      <c r="AR391" s="10">
        <f>IF($AQ391="","",INDEX(출력_구리근무자!$H$6:$H$305,$AQ391))</f>
        <v/>
      </c>
    </row>
    <row r="392">
      <c r="A392" s="10">
        <f>IF(B392="","",ROW()-1)</f>
        <v/>
      </c>
      <c r="B392" s="19" t="n"/>
      <c r="C392" s="10">
        <f>IF($AB392="","",IF(INDEX(입력_기본자료!$C$2:$C$1001,$AB392)="","",INDEX(입력_기본자료!$C$2:$C$1001,$AB392)))</f>
        <v/>
      </c>
      <c r="D392" s="10">
        <f>IF($AB392="","",IF(INDEX(입력_기본자료!$J$2:$J$1001,$AB392)="","",INDEX(입력_기본자료!$J$2:$J$1001,$AB392)))</f>
        <v/>
      </c>
      <c r="E392" s="11">
        <f>IF($AB392="","",IF(INDEX(입력_기본자료!$K$2:$K$1001,$AB392)="","",IF(NOT(ISNUMBER(INDEX(입력_기본자료!$K$2:$K$1001,$AB392))),INDEX(입력_기본자료!$K$2:$K$1001,$AB392),IF(INDEX(입력_기본자료!$K$2:$K$1001,$AB392)&lt;1000000,INDEX(입력_기본자료!$K$2:$K$1001,$AB392),IF(AND(INDEX(입력_기본자료!$K$2:$K$1001,$AB392)&gt;=10000101,INT(MOD(INDEX(입력_기본자료!$K$2:$K$1001,$AB392),10000)/100)&gt;=1,INT(MOD(INDEX(입력_기본자료!$K$2:$K$1001,$AB392),10000)/100)&lt;=12,MOD(INDEX(입력_기본자료!$K$2:$K$1001,$AB392),100)&gt;=1,MOD(INDEX(입력_기본자료!$K$2:$K$1001,$AB392),100)&lt;=31),DATE(INT(INDEX(입력_기본자료!$K$2:$K$1001,$AB392)/10000),INT(MOD(INDEX(입력_기본자료!$K$2:$K$1001,$AB392),10000)/100),MOD(INDEX(입력_기본자료!$K$2:$K$1001,$AB392),100)),INDEX(입력_기본자료!$K$2:$K$1001,$AB392)&amp;"")))))</f>
        <v/>
      </c>
      <c r="F392" s="10">
        <f>IF($AB392="","",IF(INDEX(입력_기본자료!$D$2:$D$1001,$AB392)="","",INDEX(입력_기본자료!$D$2:$D$1001,$AB392)))</f>
        <v/>
      </c>
      <c r="G392" s="10">
        <f>IF($AB392="","",IF(INDEX(입력_기본자료!$E$2:$E$1001,$AB392)="","",INDEX(입력_기본자료!$E$2:$E$1001,$AB392)))</f>
        <v/>
      </c>
      <c r="H392" s="10">
        <f>IF($AB392="","",IF(INDEX(입력_기본자료!$F$2:$F$1001,$AB392)="","",INDEX(입력_기본자료!$F$2:$F$1001,$AB392)))</f>
        <v/>
      </c>
      <c r="I392" s="11">
        <f>IF($AB392="","",IF(INDEX(입력_기본자료!$G$2:$G$1001,$AB392)="","",IF(NOT(ISNUMBER(INDEX(입력_기본자료!$G$2:$G$1001,$AB392))),INDEX(입력_기본자료!$G$2:$G$1001,$AB392),IF(INDEX(입력_기본자료!$G$2:$G$1001,$AB392)&lt;1000000,INDEX(입력_기본자료!$G$2:$G$1001,$AB392),IF(AND(INDEX(입력_기본자료!$G$2:$G$1001,$AB392)&gt;=10000101,INT(MOD(INDEX(입력_기본자료!$G$2:$G$1001,$AB392),10000)/100)&gt;=1,INT(MOD(INDEX(입력_기본자료!$G$2:$G$1001,$AB392),10000)/100)&lt;=12,MOD(INDEX(입력_기본자료!$G$2:$G$1001,$AB392),100)&gt;=1,MOD(INDEX(입력_기본자료!$G$2:$G$1001,$AB392),100)&lt;=31),DATE(INT(INDEX(입력_기본자료!$G$2:$G$1001,$AB392)/10000),INT(MOD(INDEX(입력_기본자료!$G$2:$G$1001,$AB392),10000)/100),MOD(INDEX(입력_기본자료!$G$2:$G$1001,$AB392),100)),INDEX(입력_기본자료!$G$2:$G$1001,$AB392)&amp;"")))))</f>
        <v/>
      </c>
      <c r="J392" s="10">
        <f>IF($AB392="","",IF(INDEX(입력_기본자료!$H$2:$H$1001,$AB392)="","",INDEX(입력_기본자료!$H$2:$H$1001,$AB392)))</f>
        <v/>
      </c>
      <c r="K392" s="10">
        <f>IF($AB392="","",IF(INDEX(입력_기본자료!$I$2:$I$1001,$AB392)="","",INDEX(입력_기본자료!$I$2:$I$1001,$AB392)))</f>
        <v/>
      </c>
      <c r="L392" s="10">
        <f>IF($AB392="","",IF(INDEX(입력_기본자료!$A$2:$A$1001,$AB392)="","",INDEX(입력_기본자료!$A$2:$A$1001,$AB392)))</f>
        <v/>
      </c>
      <c r="M392" s="15" t="n"/>
      <c r="N392" s="10">
        <f>IF($B392="","",IF(AND($U392="파견중",$Q392&lt;&gt;""),$Q392,IF(AND($AD392&lt;&gt;"",LEFT($AD392,1)&lt;&gt;"⚠"),LEFT($AD392,FIND(" ",$AD392)-1),IF($H392="","",IF(RIGHT($H392,2)="병원",$H392,$H392&amp;"병원")))))</f>
        <v/>
      </c>
      <c r="O392" s="10">
        <f>IF($B392="","",IF(AND($U392="파견중",$Q392&lt;&gt;""),IF($R392&lt;&gt;"",$R392,"파견과 미입력"),IF(AND($AD392&lt;&gt;"",LEFT($AD392,1)&lt;&gt;"⚠"),MID($AD392,FIND(" ",$AD392)+1,60),IF($F392="","",IF($F392="인턴","수련교육부(인턴)",$F392)))))</f>
        <v/>
      </c>
      <c r="P392" s="10">
        <f>IF($B392="","",IF($AK392&lt;&gt;"",IF(AND(TODAY()&gt;=INDEX(입력_파견수련계획!$AB$4:$AB$803,$AK392),OR(NOT(ISNUMBER(INDEX(입력_파견수련계획!$AC$4:$AC$803,$AK392))),TODAY()&lt;=INDEX(입력_파견수련계획!$AC$4:$AC$803,$AK392))),"다기관",IF($AF392="","",INDEX(입력_파견수련계획!$T$4:$T$803,$AF392))),IF($AF392="","",INDEX(입력_파견수련계획!$T$4:$T$803,$AF392))))</f>
        <v/>
      </c>
      <c r="Q392" s="10">
        <f>IF($AF392="","",INDEX(입력_파견수련계획!$S$4:$S$803,$AF392))</f>
        <v/>
      </c>
      <c r="R392" s="10">
        <f>IF($AF392="","",INDEX(입력_파견수련계획!$U$4:$U$803,$AF392))</f>
        <v/>
      </c>
      <c r="S392" s="11">
        <f>IF($AF392="","",IF(INDEX(입력_파견수련계획!$H$4:$H$803,$AF392)="","",INDEX(입력_파견수련계획!$H$4:$H$803,$AF392)))</f>
        <v/>
      </c>
      <c r="T392" s="11">
        <f>IF($AF392="","",IF(INDEX(입력_파견수련계획!$I$4:$I$803,$AF392)="","",INDEX(입력_파견수련계획!$I$4:$I$803,$AF392)))</f>
        <v/>
      </c>
      <c r="U392" s="10">
        <f>IF($AF392="","",INDEX(입력_파견수련계획!$X$4:$X$803,$AF392))</f>
        <v/>
      </c>
      <c r="V392" s="17">
        <f>IF($AF392="","",INDEX(입력_파견수련계획!$V$4:$V$803,$AF392))</f>
        <v/>
      </c>
      <c r="W392" s="17">
        <f>IF(AND($U392="파견중",$T392&lt;&gt;""),$T392-TODAY(),"")</f>
        <v/>
      </c>
      <c r="X392" s="17">
        <f>IF(OR($B392="",TRIM($J392&amp;"")=""),"",SUMPRODUCT((입력_파견수련계획!$Q$4:$Q$803=TRIM($J392&amp;""))*입력_파견수련계획!$W$4:$W$803))</f>
        <v/>
      </c>
      <c r="Y392" s="10">
        <f>IF($B392="","",IF($AG392="","",IF(IF(TRIM($J392&amp;"")="",0,SUMPRODUCT((입력_파견수련계획!$Q$4:$Q$803=TRIM($J392&amp;""))*입력_파견수련계획!$AD$4:$AD$803))&gt;0,$AE392,IF(AND(N($X392)&lt;=0,$AQ392=""),$AG392,IF($AH392+$AI392=DAY(EOMONTH(출력_요약!$B$3,0)),IF(AND($AH392&gt;=출력_요약!$E$3,$AI392&lt;출력_요약!$E$3),"서울병원",IF(AND($AI392&gt;=출력_요약!$E$3,$AH392&lt;출력_요약!$E$3),"구리병원","⚠15일 판정불가(서울 "&amp;$AH392&amp;"일/구리 "&amp;$AI392&amp;"일)")),IF($AJ392="",$AE392,IF(INDEX(입력_파견수련계획!$T$4:$T$803,$AJ392)="통합수련",INDEX(입력_파견수련계획!$S$4:$S$803,$AJ392),$AE392)))))))</f>
        <v/>
      </c>
      <c r="Z392" s="20">
        <f>IF($B392="","",IF($AB392="","기본자료에 없는 사번",IF(COUNTIF($B$2:$B$401,$B392)&gt;1,"중복 사번",IF($AE392="","소속(입사장소) 입력",IF(IF(TRIM($J392&amp;"")="",0,SUMPRODUCT((입력_파견수련계획!$Q$4:$Q$803=TRIM($J392&amp;""))*(입력_파견수련계획!$AA$4:$AA$803&lt;&gt;"")))&gt;0,"파견수련계획 입력오류 확인",IF(LEFT($Y392,1)="⚠","서울·구리 15일 판정 불가(양쪽 모두 이상/미만)",IF(IF($AC392="",0,N(INDEX(입력_인턴근무계획!$T$3:$T$402,$AC392)))&gt;0,"인턴계획 입력오류 확인",IF(AND($AQ392&lt;&gt;"",$AG392&lt;&gt;"구리병원",IF(TRIM($J392&amp;"")="",0,SUMPRODUCT((입력_파견수련계획!$Q$4:$Q$803=TRIM($J392&amp;""))*(입력_파견수련계획!$S$4:$S$803="구리병원")*입력_파견수련계획!$W$4:$W$803))=0),"구리 근무자명단에만 있음(파견수련계획 확인)",IF(AND($AC392&lt;&gt;"",$U392&lt;&gt;"파견중",$N392&lt;&gt;$AE392),"인턴 타지역 근무: 파견 여부 확인","정상")))))))))</f>
        <v/>
      </c>
      <c r="AA392" s="5" t="n"/>
      <c r="AB392" s="10">
        <f>IF($B392="","",IFERROR(MATCH($B392,입력_기본자료!$B$2:$B$1001,0),IFERROR(MATCH($B392&amp;"",입력_기본자료!$B$2:$B$1001,0),IFERROR(MATCH(VALUE($B392),입력_기본자료!$B$2:$B$1001,0),""))))</f>
        <v/>
      </c>
      <c r="AC392" s="10">
        <f>IF($B392="","",IFERROR(MATCH($B392,입력_인턴근무계획!$D$3:$D$402,0),IFERROR(MATCH($B392&amp;"",입력_인턴근무계획!$D$3:$D$402,0),IFERROR(MATCH(VALUE($B392),입력_인턴근무계획!$D$3:$D$402,0),""))))</f>
        <v/>
      </c>
      <c r="AD392" s="10">
        <f>IF(OR($AC392="",출력_인턴현황!$G$3=""),"",INDEX(입력_인턴근무계획!$M$3:$R$402,$AC392,출력_인턴현황!$G$3)&amp;"")</f>
        <v/>
      </c>
      <c r="AE392" s="10">
        <f>IF($B392="","",IF($M392&lt;&gt;"",$M392,IF(IF($AQ392="",FALSE,INDEX(출력_구리근무자!$J$6:$J$305,$AQ392)="구리독자"),"구리병원",IF($AF392&lt;&gt;"",IF(LEFT(INDEX(입력_파견수련계획!$R$4:$R$803,$AF392),1)&lt;&gt;"⚠",INDEX(입력_파견수련계획!$R$4:$R$803,$AF392),IF($H392="","",IF(RIGHT($H392,2)="병원",$H392,$H392&amp;"병원"))),IF($H392="","",IF(RIGHT($H392,2)="병원",$H392,$H392&amp;"병원"))))))</f>
        <v/>
      </c>
      <c r="AF392" s="10">
        <f>IF(OR($B392="",TRIM($J392&amp;"")=""),"",IFERROR(MATCH(TRIM($J392&amp;"")&amp;"|파견중",입력_파견수련계획!$Y$4:$Y$803,0),IFERROR(MATCH(TRIM($J392&amp;"")&amp;"|파견예정",입력_파견수련계획!$Y$4:$Y$803,0),IFERROR(MATCH(TRIM($J392&amp;"")&amp;"|파견종료",입력_파견수련계획!$Y$4:$Y$803,0),""))))</f>
        <v/>
      </c>
      <c r="AG392" s="10">
        <f>IF($B392="","",IF(AND(IF(OR($AC392="",출력_인턴현황!$K$2=""),"",INDEX(입력_인턴근무계획!$M$3:$R$402,$AC392,출력_인턴현황!$K$2)&amp;"")&lt;&gt;"",LEFT(IF(OR($AC392="",출력_인턴현황!$K$2=""),"",INDEX(입력_인턴근무계획!$M$3:$R$402,$AC392,출력_인턴현황!$K$2)&amp;""),1)&lt;&gt;"⚠"),LEFT(IF(OR($AC392="",출력_인턴현황!$K$2=""),"",INDEX(입력_인턴근무계획!$M$3:$R$402,$AC392,출력_인턴현황!$K$2)&amp;""),FIND(" ",IF(OR($AC392="",출력_인턴현황!$K$2=""),"",INDEX(입력_인턴근무계획!$M$3:$R$402,$AC392,출력_인턴현황!$K$2)&amp;""))-1),$AE392))</f>
        <v/>
      </c>
      <c r="AH392" s="17">
        <f>IF($B392="","",IF($AQ392&lt;&gt;"",MAX(0,DAY(EOMONTH(출력_요약!$B$3,0))-N($AR392)),IF(TRIM($J392&amp;"")="",0,SUMPRODUCT((입력_파견수련계획!$Q$4:$Q$803=TRIM($J392&amp;""))*(입력_파견수련계획!$S$4:$S$803="서울병원")*입력_파견수련계획!$W$4:$W$803))+IF($AG392="서울병원",MAX(0,DAY(EOMONTH(출력_요약!$B$3,0))-N($X392)),0)))</f>
        <v/>
      </c>
      <c r="AI392" s="17">
        <f>IF($B392="","",IF($AQ392&lt;&gt;"",N($AR392),IF(TRIM($J392&amp;"")="",0,SUMPRODUCT((입력_파견수련계획!$Q$4:$Q$803=TRIM($J392&amp;""))*(입력_파견수련계획!$S$4:$S$803="구리병원")*입력_파견수련계획!$W$4:$W$803))+IF($AG392="구리병원",MAX(0,DAY(EOMONTH(출력_요약!$B$3,0))-N($X392)),0)))</f>
        <v/>
      </c>
      <c r="AJ392" s="10">
        <f>IF(OR($B392="",TRIM($J392&amp;"")=""),"",IFERROR(MATCH(TRIM($J392&amp;"")&amp;"|월",입력_파견수련계획!$Z$4:$Z$803,0),""))</f>
        <v/>
      </c>
      <c r="AK392" s="10">
        <f>IF(OR($B392="",TRIM($J392&amp;"")=""),"",IFERROR(MATCH(TRIM($J392&amp;"")&amp;"|다기관",입력_파견수련계획!$AE$4:$AE$803,0),""))</f>
        <v/>
      </c>
      <c r="AL392" s="10">
        <f>IF($AK392="","","다기관 "&amp;TEXT(INDEX(입력_파견수련계획!$AB$4:$AB$803,$AK392),"yyyy-mm-dd")&amp;"~"&amp;IF(ISNUMBER(INDEX(입력_파견수련계획!$AC$4:$AC$803,$AK392)),TEXT(INDEX(입력_파견수련계획!$AC$4:$AC$803,$AK392),"yyyy-mm-dd"),""))</f>
        <v/>
      </c>
      <c r="AM392" s="10">
        <f>IF($Y392="서울병원",COUNTIF($Y$2:$Y392,"서울병원"),"")</f>
        <v/>
      </c>
      <c r="AN392" s="10">
        <f>IF(LEFT($Y392,1)="⚠",COUNTIF($Y$2:$Y392,"⚠*"),"")</f>
        <v/>
      </c>
      <c r="AO392" s="10">
        <f>IF(OR($B392="",$Y392=""),"",IF(IF(TRIM($J392&amp;"")="",0,SUMPRODUCT((입력_파견수련계획!$Q$4:$Q$803=TRIM($J392&amp;""))*입력_파견수련계획!$AD$4:$AD$803))&gt;0,"다기관 기간 → 소속병원 지급",IF(AND(N($X392)&lt;=0,$AQ392=""),"파견 없음 → 그 달 근무병원 지급",IF($AH392+$AI392=DAY(EOMONTH(출력_요약!$B$3,0)),"서울 "&amp;$AH392&amp;"일 / 구리 "&amp;$AI392&amp;"일"&amp;IF($AQ392&lt;&gt;""," (구리 근무자명단 반영)","")&amp;" → 15일 이상 근무 병원 지급","타 병원 포함 → "&amp;IF($AJ392="","소속",INDEX(입력_파견수련계획!$T$4:$T$803,$AJ392))&amp;" 규칙"))))</f>
        <v/>
      </c>
      <c r="AP392" s="10">
        <f>IF($B392="","",$C392&amp;"|"&amp;$F392)</f>
        <v/>
      </c>
      <c r="AQ392" s="10">
        <f>IF($B392="","",IFERROR(MATCH(ROW()-1,출력_구리근무자!$K$6:$K$305,0),""))</f>
        <v/>
      </c>
      <c r="AR392" s="10">
        <f>IF($AQ392="","",INDEX(출력_구리근무자!$H$6:$H$305,$AQ392))</f>
        <v/>
      </c>
    </row>
    <row r="393">
      <c r="A393" s="10">
        <f>IF(B393="","",ROW()-1)</f>
        <v/>
      </c>
      <c r="B393" s="19" t="n"/>
      <c r="C393" s="10">
        <f>IF($AB393="","",IF(INDEX(입력_기본자료!$C$2:$C$1001,$AB393)="","",INDEX(입력_기본자료!$C$2:$C$1001,$AB393)))</f>
        <v/>
      </c>
      <c r="D393" s="10">
        <f>IF($AB393="","",IF(INDEX(입력_기본자료!$J$2:$J$1001,$AB393)="","",INDEX(입력_기본자료!$J$2:$J$1001,$AB393)))</f>
        <v/>
      </c>
      <c r="E393" s="11">
        <f>IF($AB393="","",IF(INDEX(입력_기본자료!$K$2:$K$1001,$AB393)="","",IF(NOT(ISNUMBER(INDEX(입력_기본자료!$K$2:$K$1001,$AB393))),INDEX(입력_기본자료!$K$2:$K$1001,$AB393),IF(INDEX(입력_기본자료!$K$2:$K$1001,$AB393)&lt;1000000,INDEX(입력_기본자료!$K$2:$K$1001,$AB393),IF(AND(INDEX(입력_기본자료!$K$2:$K$1001,$AB393)&gt;=10000101,INT(MOD(INDEX(입력_기본자료!$K$2:$K$1001,$AB393),10000)/100)&gt;=1,INT(MOD(INDEX(입력_기본자료!$K$2:$K$1001,$AB393),10000)/100)&lt;=12,MOD(INDEX(입력_기본자료!$K$2:$K$1001,$AB393),100)&gt;=1,MOD(INDEX(입력_기본자료!$K$2:$K$1001,$AB393),100)&lt;=31),DATE(INT(INDEX(입력_기본자료!$K$2:$K$1001,$AB393)/10000),INT(MOD(INDEX(입력_기본자료!$K$2:$K$1001,$AB393),10000)/100),MOD(INDEX(입력_기본자료!$K$2:$K$1001,$AB393),100)),INDEX(입력_기본자료!$K$2:$K$1001,$AB393)&amp;"")))))</f>
        <v/>
      </c>
      <c r="F393" s="10">
        <f>IF($AB393="","",IF(INDEX(입력_기본자료!$D$2:$D$1001,$AB393)="","",INDEX(입력_기본자료!$D$2:$D$1001,$AB393)))</f>
        <v/>
      </c>
      <c r="G393" s="10">
        <f>IF($AB393="","",IF(INDEX(입력_기본자료!$E$2:$E$1001,$AB393)="","",INDEX(입력_기본자료!$E$2:$E$1001,$AB393)))</f>
        <v/>
      </c>
      <c r="H393" s="10">
        <f>IF($AB393="","",IF(INDEX(입력_기본자료!$F$2:$F$1001,$AB393)="","",INDEX(입력_기본자료!$F$2:$F$1001,$AB393)))</f>
        <v/>
      </c>
      <c r="I393" s="11">
        <f>IF($AB393="","",IF(INDEX(입력_기본자료!$G$2:$G$1001,$AB393)="","",IF(NOT(ISNUMBER(INDEX(입력_기본자료!$G$2:$G$1001,$AB393))),INDEX(입력_기본자료!$G$2:$G$1001,$AB393),IF(INDEX(입력_기본자료!$G$2:$G$1001,$AB393)&lt;1000000,INDEX(입력_기본자료!$G$2:$G$1001,$AB393),IF(AND(INDEX(입력_기본자료!$G$2:$G$1001,$AB393)&gt;=10000101,INT(MOD(INDEX(입력_기본자료!$G$2:$G$1001,$AB393),10000)/100)&gt;=1,INT(MOD(INDEX(입력_기본자료!$G$2:$G$1001,$AB393),10000)/100)&lt;=12,MOD(INDEX(입력_기본자료!$G$2:$G$1001,$AB393),100)&gt;=1,MOD(INDEX(입력_기본자료!$G$2:$G$1001,$AB393),100)&lt;=31),DATE(INT(INDEX(입력_기본자료!$G$2:$G$1001,$AB393)/10000),INT(MOD(INDEX(입력_기본자료!$G$2:$G$1001,$AB393),10000)/100),MOD(INDEX(입력_기본자료!$G$2:$G$1001,$AB393),100)),INDEX(입력_기본자료!$G$2:$G$1001,$AB393)&amp;"")))))</f>
        <v/>
      </c>
      <c r="J393" s="10">
        <f>IF($AB393="","",IF(INDEX(입력_기본자료!$H$2:$H$1001,$AB393)="","",INDEX(입력_기본자료!$H$2:$H$1001,$AB393)))</f>
        <v/>
      </c>
      <c r="K393" s="10">
        <f>IF($AB393="","",IF(INDEX(입력_기본자료!$I$2:$I$1001,$AB393)="","",INDEX(입력_기본자료!$I$2:$I$1001,$AB393)))</f>
        <v/>
      </c>
      <c r="L393" s="10">
        <f>IF($AB393="","",IF(INDEX(입력_기본자료!$A$2:$A$1001,$AB393)="","",INDEX(입력_기본자료!$A$2:$A$1001,$AB393)))</f>
        <v/>
      </c>
      <c r="M393" s="15" t="n"/>
      <c r="N393" s="10">
        <f>IF($B393="","",IF(AND($U393="파견중",$Q393&lt;&gt;""),$Q393,IF(AND($AD393&lt;&gt;"",LEFT($AD393,1)&lt;&gt;"⚠"),LEFT($AD393,FIND(" ",$AD393)-1),IF($H393="","",IF(RIGHT($H393,2)="병원",$H393,$H393&amp;"병원")))))</f>
        <v/>
      </c>
      <c r="O393" s="10">
        <f>IF($B393="","",IF(AND($U393="파견중",$Q393&lt;&gt;""),IF($R393&lt;&gt;"",$R393,"파견과 미입력"),IF(AND($AD393&lt;&gt;"",LEFT($AD393,1)&lt;&gt;"⚠"),MID($AD393,FIND(" ",$AD393)+1,60),IF($F393="","",IF($F393="인턴","수련교육부(인턴)",$F393)))))</f>
        <v/>
      </c>
      <c r="P393" s="10">
        <f>IF($B393="","",IF($AK393&lt;&gt;"",IF(AND(TODAY()&gt;=INDEX(입력_파견수련계획!$AB$4:$AB$803,$AK393),OR(NOT(ISNUMBER(INDEX(입력_파견수련계획!$AC$4:$AC$803,$AK393))),TODAY()&lt;=INDEX(입력_파견수련계획!$AC$4:$AC$803,$AK393))),"다기관",IF($AF393="","",INDEX(입력_파견수련계획!$T$4:$T$803,$AF393))),IF($AF393="","",INDEX(입력_파견수련계획!$T$4:$T$803,$AF393))))</f>
        <v/>
      </c>
      <c r="Q393" s="10">
        <f>IF($AF393="","",INDEX(입력_파견수련계획!$S$4:$S$803,$AF393))</f>
        <v/>
      </c>
      <c r="R393" s="10">
        <f>IF($AF393="","",INDEX(입력_파견수련계획!$U$4:$U$803,$AF393))</f>
        <v/>
      </c>
      <c r="S393" s="11">
        <f>IF($AF393="","",IF(INDEX(입력_파견수련계획!$H$4:$H$803,$AF393)="","",INDEX(입력_파견수련계획!$H$4:$H$803,$AF393)))</f>
        <v/>
      </c>
      <c r="T393" s="11">
        <f>IF($AF393="","",IF(INDEX(입력_파견수련계획!$I$4:$I$803,$AF393)="","",INDEX(입력_파견수련계획!$I$4:$I$803,$AF393)))</f>
        <v/>
      </c>
      <c r="U393" s="10">
        <f>IF($AF393="","",INDEX(입력_파견수련계획!$X$4:$X$803,$AF393))</f>
        <v/>
      </c>
      <c r="V393" s="17">
        <f>IF($AF393="","",INDEX(입력_파견수련계획!$V$4:$V$803,$AF393))</f>
        <v/>
      </c>
      <c r="W393" s="17">
        <f>IF(AND($U393="파견중",$T393&lt;&gt;""),$T393-TODAY(),"")</f>
        <v/>
      </c>
      <c r="X393" s="17">
        <f>IF(OR($B393="",TRIM($J393&amp;"")=""),"",SUMPRODUCT((입력_파견수련계획!$Q$4:$Q$803=TRIM($J393&amp;""))*입력_파견수련계획!$W$4:$W$803))</f>
        <v/>
      </c>
      <c r="Y393" s="10">
        <f>IF($B393="","",IF($AG393="","",IF(IF(TRIM($J393&amp;"")="",0,SUMPRODUCT((입력_파견수련계획!$Q$4:$Q$803=TRIM($J393&amp;""))*입력_파견수련계획!$AD$4:$AD$803))&gt;0,$AE393,IF(AND(N($X393)&lt;=0,$AQ393=""),$AG393,IF($AH393+$AI393=DAY(EOMONTH(출력_요약!$B$3,0)),IF(AND($AH393&gt;=출력_요약!$E$3,$AI393&lt;출력_요약!$E$3),"서울병원",IF(AND($AI393&gt;=출력_요약!$E$3,$AH393&lt;출력_요약!$E$3),"구리병원","⚠15일 판정불가(서울 "&amp;$AH393&amp;"일/구리 "&amp;$AI393&amp;"일)")),IF($AJ393="",$AE393,IF(INDEX(입력_파견수련계획!$T$4:$T$803,$AJ393)="통합수련",INDEX(입력_파견수련계획!$S$4:$S$803,$AJ393),$AE393)))))))</f>
        <v/>
      </c>
      <c r="Z393" s="20">
        <f>IF($B393="","",IF($AB393="","기본자료에 없는 사번",IF(COUNTIF($B$2:$B$401,$B393)&gt;1,"중복 사번",IF($AE393="","소속(입사장소) 입력",IF(IF(TRIM($J393&amp;"")="",0,SUMPRODUCT((입력_파견수련계획!$Q$4:$Q$803=TRIM($J393&amp;""))*(입력_파견수련계획!$AA$4:$AA$803&lt;&gt;"")))&gt;0,"파견수련계획 입력오류 확인",IF(LEFT($Y393,1)="⚠","서울·구리 15일 판정 불가(양쪽 모두 이상/미만)",IF(IF($AC393="",0,N(INDEX(입력_인턴근무계획!$T$3:$T$402,$AC393)))&gt;0,"인턴계획 입력오류 확인",IF(AND($AQ393&lt;&gt;"",$AG393&lt;&gt;"구리병원",IF(TRIM($J393&amp;"")="",0,SUMPRODUCT((입력_파견수련계획!$Q$4:$Q$803=TRIM($J393&amp;""))*(입력_파견수련계획!$S$4:$S$803="구리병원")*입력_파견수련계획!$W$4:$W$803))=0),"구리 근무자명단에만 있음(파견수련계획 확인)",IF(AND($AC393&lt;&gt;"",$U393&lt;&gt;"파견중",$N393&lt;&gt;$AE393),"인턴 타지역 근무: 파견 여부 확인","정상")))))))))</f>
        <v/>
      </c>
      <c r="AA393" s="5" t="n"/>
      <c r="AB393" s="10">
        <f>IF($B393="","",IFERROR(MATCH($B393,입력_기본자료!$B$2:$B$1001,0),IFERROR(MATCH($B393&amp;"",입력_기본자료!$B$2:$B$1001,0),IFERROR(MATCH(VALUE($B393),입력_기본자료!$B$2:$B$1001,0),""))))</f>
        <v/>
      </c>
      <c r="AC393" s="10">
        <f>IF($B393="","",IFERROR(MATCH($B393,입력_인턴근무계획!$D$3:$D$402,0),IFERROR(MATCH($B393&amp;"",입력_인턴근무계획!$D$3:$D$402,0),IFERROR(MATCH(VALUE($B393),입력_인턴근무계획!$D$3:$D$402,0),""))))</f>
        <v/>
      </c>
      <c r="AD393" s="10">
        <f>IF(OR($AC393="",출력_인턴현황!$G$3=""),"",INDEX(입력_인턴근무계획!$M$3:$R$402,$AC393,출력_인턴현황!$G$3)&amp;"")</f>
        <v/>
      </c>
      <c r="AE393" s="10">
        <f>IF($B393="","",IF($M393&lt;&gt;"",$M393,IF(IF($AQ393="",FALSE,INDEX(출력_구리근무자!$J$6:$J$305,$AQ393)="구리독자"),"구리병원",IF($AF393&lt;&gt;"",IF(LEFT(INDEX(입력_파견수련계획!$R$4:$R$803,$AF393),1)&lt;&gt;"⚠",INDEX(입력_파견수련계획!$R$4:$R$803,$AF393),IF($H393="","",IF(RIGHT($H393,2)="병원",$H393,$H393&amp;"병원"))),IF($H393="","",IF(RIGHT($H393,2)="병원",$H393,$H393&amp;"병원"))))))</f>
        <v/>
      </c>
      <c r="AF393" s="10">
        <f>IF(OR($B393="",TRIM($J393&amp;"")=""),"",IFERROR(MATCH(TRIM($J393&amp;"")&amp;"|파견중",입력_파견수련계획!$Y$4:$Y$803,0),IFERROR(MATCH(TRIM($J393&amp;"")&amp;"|파견예정",입력_파견수련계획!$Y$4:$Y$803,0),IFERROR(MATCH(TRIM($J393&amp;"")&amp;"|파견종료",입력_파견수련계획!$Y$4:$Y$803,0),""))))</f>
        <v/>
      </c>
      <c r="AG393" s="10">
        <f>IF($B393="","",IF(AND(IF(OR($AC393="",출력_인턴현황!$K$2=""),"",INDEX(입력_인턴근무계획!$M$3:$R$402,$AC393,출력_인턴현황!$K$2)&amp;"")&lt;&gt;"",LEFT(IF(OR($AC393="",출력_인턴현황!$K$2=""),"",INDEX(입력_인턴근무계획!$M$3:$R$402,$AC393,출력_인턴현황!$K$2)&amp;""),1)&lt;&gt;"⚠"),LEFT(IF(OR($AC393="",출력_인턴현황!$K$2=""),"",INDEX(입력_인턴근무계획!$M$3:$R$402,$AC393,출력_인턴현황!$K$2)&amp;""),FIND(" ",IF(OR($AC393="",출력_인턴현황!$K$2=""),"",INDEX(입력_인턴근무계획!$M$3:$R$402,$AC393,출력_인턴현황!$K$2)&amp;""))-1),$AE393))</f>
        <v/>
      </c>
      <c r="AH393" s="17">
        <f>IF($B393="","",IF($AQ393&lt;&gt;"",MAX(0,DAY(EOMONTH(출력_요약!$B$3,0))-N($AR393)),IF(TRIM($J393&amp;"")="",0,SUMPRODUCT((입력_파견수련계획!$Q$4:$Q$803=TRIM($J393&amp;""))*(입력_파견수련계획!$S$4:$S$803="서울병원")*입력_파견수련계획!$W$4:$W$803))+IF($AG393="서울병원",MAX(0,DAY(EOMONTH(출력_요약!$B$3,0))-N($X393)),0)))</f>
        <v/>
      </c>
      <c r="AI393" s="17">
        <f>IF($B393="","",IF($AQ393&lt;&gt;"",N($AR393),IF(TRIM($J393&amp;"")="",0,SUMPRODUCT((입력_파견수련계획!$Q$4:$Q$803=TRIM($J393&amp;""))*(입력_파견수련계획!$S$4:$S$803="구리병원")*입력_파견수련계획!$W$4:$W$803))+IF($AG393="구리병원",MAX(0,DAY(EOMONTH(출력_요약!$B$3,0))-N($X393)),0)))</f>
        <v/>
      </c>
      <c r="AJ393" s="10">
        <f>IF(OR($B393="",TRIM($J393&amp;"")=""),"",IFERROR(MATCH(TRIM($J393&amp;"")&amp;"|월",입력_파견수련계획!$Z$4:$Z$803,0),""))</f>
        <v/>
      </c>
      <c r="AK393" s="10">
        <f>IF(OR($B393="",TRIM($J393&amp;"")=""),"",IFERROR(MATCH(TRIM($J393&amp;"")&amp;"|다기관",입력_파견수련계획!$AE$4:$AE$803,0),""))</f>
        <v/>
      </c>
      <c r="AL393" s="10">
        <f>IF($AK393="","","다기관 "&amp;TEXT(INDEX(입력_파견수련계획!$AB$4:$AB$803,$AK393),"yyyy-mm-dd")&amp;"~"&amp;IF(ISNUMBER(INDEX(입력_파견수련계획!$AC$4:$AC$803,$AK393)),TEXT(INDEX(입력_파견수련계획!$AC$4:$AC$803,$AK393),"yyyy-mm-dd"),""))</f>
        <v/>
      </c>
      <c r="AM393" s="10">
        <f>IF($Y393="서울병원",COUNTIF($Y$2:$Y393,"서울병원"),"")</f>
        <v/>
      </c>
      <c r="AN393" s="10">
        <f>IF(LEFT($Y393,1)="⚠",COUNTIF($Y$2:$Y393,"⚠*"),"")</f>
        <v/>
      </c>
      <c r="AO393" s="10">
        <f>IF(OR($B393="",$Y393=""),"",IF(IF(TRIM($J393&amp;"")="",0,SUMPRODUCT((입력_파견수련계획!$Q$4:$Q$803=TRIM($J393&amp;""))*입력_파견수련계획!$AD$4:$AD$803))&gt;0,"다기관 기간 → 소속병원 지급",IF(AND(N($X393)&lt;=0,$AQ393=""),"파견 없음 → 그 달 근무병원 지급",IF($AH393+$AI393=DAY(EOMONTH(출력_요약!$B$3,0)),"서울 "&amp;$AH393&amp;"일 / 구리 "&amp;$AI393&amp;"일"&amp;IF($AQ393&lt;&gt;""," (구리 근무자명단 반영)","")&amp;" → 15일 이상 근무 병원 지급","타 병원 포함 → "&amp;IF($AJ393="","소속",INDEX(입력_파견수련계획!$T$4:$T$803,$AJ393))&amp;" 규칙"))))</f>
        <v/>
      </c>
      <c r="AP393" s="10">
        <f>IF($B393="","",$C393&amp;"|"&amp;$F393)</f>
        <v/>
      </c>
      <c r="AQ393" s="10">
        <f>IF($B393="","",IFERROR(MATCH(ROW()-1,출력_구리근무자!$K$6:$K$305,0),""))</f>
        <v/>
      </c>
      <c r="AR393" s="10">
        <f>IF($AQ393="","",INDEX(출력_구리근무자!$H$6:$H$305,$AQ393))</f>
        <v/>
      </c>
    </row>
    <row r="394">
      <c r="A394" s="10">
        <f>IF(B394="","",ROW()-1)</f>
        <v/>
      </c>
      <c r="B394" s="19" t="n"/>
      <c r="C394" s="10">
        <f>IF($AB394="","",IF(INDEX(입력_기본자료!$C$2:$C$1001,$AB394)="","",INDEX(입력_기본자료!$C$2:$C$1001,$AB394)))</f>
        <v/>
      </c>
      <c r="D394" s="10">
        <f>IF($AB394="","",IF(INDEX(입력_기본자료!$J$2:$J$1001,$AB394)="","",INDEX(입력_기본자료!$J$2:$J$1001,$AB394)))</f>
        <v/>
      </c>
      <c r="E394" s="11">
        <f>IF($AB394="","",IF(INDEX(입력_기본자료!$K$2:$K$1001,$AB394)="","",IF(NOT(ISNUMBER(INDEX(입력_기본자료!$K$2:$K$1001,$AB394))),INDEX(입력_기본자료!$K$2:$K$1001,$AB394),IF(INDEX(입력_기본자료!$K$2:$K$1001,$AB394)&lt;1000000,INDEX(입력_기본자료!$K$2:$K$1001,$AB394),IF(AND(INDEX(입력_기본자료!$K$2:$K$1001,$AB394)&gt;=10000101,INT(MOD(INDEX(입력_기본자료!$K$2:$K$1001,$AB394),10000)/100)&gt;=1,INT(MOD(INDEX(입력_기본자료!$K$2:$K$1001,$AB394),10000)/100)&lt;=12,MOD(INDEX(입력_기본자료!$K$2:$K$1001,$AB394),100)&gt;=1,MOD(INDEX(입력_기본자료!$K$2:$K$1001,$AB394),100)&lt;=31),DATE(INT(INDEX(입력_기본자료!$K$2:$K$1001,$AB394)/10000),INT(MOD(INDEX(입력_기본자료!$K$2:$K$1001,$AB394),10000)/100),MOD(INDEX(입력_기본자료!$K$2:$K$1001,$AB394),100)),INDEX(입력_기본자료!$K$2:$K$1001,$AB394)&amp;"")))))</f>
        <v/>
      </c>
      <c r="F394" s="10">
        <f>IF($AB394="","",IF(INDEX(입력_기본자료!$D$2:$D$1001,$AB394)="","",INDEX(입력_기본자료!$D$2:$D$1001,$AB394)))</f>
        <v/>
      </c>
      <c r="G394" s="10">
        <f>IF($AB394="","",IF(INDEX(입력_기본자료!$E$2:$E$1001,$AB394)="","",INDEX(입력_기본자료!$E$2:$E$1001,$AB394)))</f>
        <v/>
      </c>
      <c r="H394" s="10">
        <f>IF($AB394="","",IF(INDEX(입력_기본자료!$F$2:$F$1001,$AB394)="","",INDEX(입력_기본자료!$F$2:$F$1001,$AB394)))</f>
        <v/>
      </c>
      <c r="I394" s="11">
        <f>IF($AB394="","",IF(INDEX(입력_기본자료!$G$2:$G$1001,$AB394)="","",IF(NOT(ISNUMBER(INDEX(입력_기본자료!$G$2:$G$1001,$AB394))),INDEX(입력_기본자료!$G$2:$G$1001,$AB394),IF(INDEX(입력_기본자료!$G$2:$G$1001,$AB394)&lt;1000000,INDEX(입력_기본자료!$G$2:$G$1001,$AB394),IF(AND(INDEX(입력_기본자료!$G$2:$G$1001,$AB394)&gt;=10000101,INT(MOD(INDEX(입력_기본자료!$G$2:$G$1001,$AB394),10000)/100)&gt;=1,INT(MOD(INDEX(입력_기본자료!$G$2:$G$1001,$AB394),10000)/100)&lt;=12,MOD(INDEX(입력_기본자료!$G$2:$G$1001,$AB394),100)&gt;=1,MOD(INDEX(입력_기본자료!$G$2:$G$1001,$AB394),100)&lt;=31),DATE(INT(INDEX(입력_기본자료!$G$2:$G$1001,$AB394)/10000),INT(MOD(INDEX(입력_기본자료!$G$2:$G$1001,$AB394),10000)/100),MOD(INDEX(입력_기본자료!$G$2:$G$1001,$AB394),100)),INDEX(입력_기본자료!$G$2:$G$1001,$AB394)&amp;"")))))</f>
        <v/>
      </c>
      <c r="J394" s="10">
        <f>IF($AB394="","",IF(INDEX(입력_기본자료!$H$2:$H$1001,$AB394)="","",INDEX(입력_기본자료!$H$2:$H$1001,$AB394)))</f>
        <v/>
      </c>
      <c r="K394" s="10">
        <f>IF($AB394="","",IF(INDEX(입력_기본자료!$I$2:$I$1001,$AB394)="","",INDEX(입력_기본자료!$I$2:$I$1001,$AB394)))</f>
        <v/>
      </c>
      <c r="L394" s="10">
        <f>IF($AB394="","",IF(INDEX(입력_기본자료!$A$2:$A$1001,$AB394)="","",INDEX(입력_기본자료!$A$2:$A$1001,$AB394)))</f>
        <v/>
      </c>
      <c r="M394" s="15" t="n"/>
      <c r="N394" s="10">
        <f>IF($B394="","",IF(AND($U394="파견중",$Q394&lt;&gt;""),$Q394,IF(AND($AD394&lt;&gt;"",LEFT($AD394,1)&lt;&gt;"⚠"),LEFT($AD394,FIND(" ",$AD394)-1),IF($H394="","",IF(RIGHT($H394,2)="병원",$H394,$H394&amp;"병원")))))</f>
        <v/>
      </c>
      <c r="O394" s="10">
        <f>IF($B394="","",IF(AND($U394="파견중",$Q394&lt;&gt;""),IF($R394&lt;&gt;"",$R394,"파견과 미입력"),IF(AND($AD394&lt;&gt;"",LEFT($AD394,1)&lt;&gt;"⚠"),MID($AD394,FIND(" ",$AD394)+1,60),IF($F394="","",IF($F394="인턴","수련교육부(인턴)",$F394)))))</f>
        <v/>
      </c>
      <c r="P394" s="10">
        <f>IF($B394="","",IF($AK394&lt;&gt;"",IF(AND(TODAY()&gt;=INDEX(입력_파견수련계획!$AB$4:$AB$803,$AK394),OR(NOT(ISNUMBER(INDEX(입력_파견수련계획!$AC$4:$AC$803,$AK394))),TODAY()&lt;=INDEX(입력_파견수련계획!$AC$4:$AC$803,$AK394))),"다기관",IF($AF394="","",INDEX(입력_파견수련계획!$T$4:$T$803,$AF394))),IF($AF394="","",INDEX(입력_파견수련계획!$T$4:$T$803,$AF394))))</f>
        <v/>
      </c>
      <c r="Q394" s="10">
        <f>IF($AF394="","",INDEX(입력_파견수련계획!$S$4:$S$803,$AF394))</f>
        <v/>
      </c>
      <c r="R394" s="10">
        <f>IF($AF394="","",INDEX(입력_파견수련계획!$U$4:$U$803,$AF394))</f>
        <v/>
      </c>
      <c r="S394" s="11">
        <f>IF($AF394="","",IF(INDEX(입력_파견수련계획!$H$4:$H$803,$AF394)="","",INDEX(입력_파견수련계획!$H$4:$H$803,$AF394)))</f>
        <v/>
      </c>
      <c r="T394" s="11">
        <f>IF($AF394="","",IF(INDEX(입력_파견수련계획!$I$4:$I$803,$AF394)="","",INDEX(입력_파견수련계획!$I$4:$I$803,$AF394)))</f>
        <v/>
      </c>
      <c r="U394" s="10">
        <f>IF($AF394="","",INDEX(입력_파견수련계획!$X$4:$X$803,$AF394))</f>
        <v/>
      </c>
      <c r="V394" s="17">
        <f>IF($AF394="","",INDEX(입력_파견수련계획!$V$4:$V$803,$AF394))</f>
        <v/>
      </c>
      <c r="W394" s="17">
        <f>IF(AND($U394="파견중",$T394&lt;&gt;""),$T394-TODAY(),"")</f>
        <v/>
      </c>
      <c r="X394" s="17">
        <f>IF(OR($B394="",TRIM($J394&amp;"")=""),"",SUMPRODUCT((입력_파견수련계획!$Q$4:$Q$803=TRIM($J394&amp;""))*입력_파견수련계획!$W$4:$W$803))</f>
        <v/>
      </c>
      <c r="Y394" s="10">
        <f>IF($B394="","",IF($AG394="","",IF(IF(TRIM($J394&amp;"")="",0,SUMPRODUCT((입력_파견수련계획!$Q$4:$Q$803=TRIM($J394&amp;""))*입력_파견수련계획!$AD$4:$AD$803))&gt;0,$AE394,IF(AND(N($X394)&lt;=0,$AQ394=""),$AG394,IF($AH394+$AI394=DAY(EOMONTH(출력_요약!$B$3,0)),IF(AND($AH394&gt;=출력_요약!$E$3,$AI394&lt;출력_요약!$E$3),"서울병원",IF(AND($AI394&gt;=출력_요약!$E$3,$AH394&lt;출력_요약!$E$3),"구리병원","⚠15일 판정불가(서울 "&amp;$AH394&amp;"일/구리 "&amp;$AI394&amp;"일)")),IF($AJ394="",$AE394,IF(INDEX(입력_파견수련계획!$T$4:$T$803,$AJ394)="통합수련",INDEX(입력_파견수련계획!$S$4:$S$803,$AJ394),$AE394)))))))</f>
        <v/>
      </c>
      <c r="Z394" s="20">
        <f>IF($B394="","",IF($AB394="","기본자료에 없는 사번",IF(COUNTIF($B$2:$B$401,$B394)&gt;1,"중복 사번",IF($AE394="","소속(입사장소) 입력",IF(IF(TRIM($J394&amp;"")="",0,SUMPRODUCT((입력_파견수련계획!$Q$4:$Q$803=TRIM($J394&amp;""))*(입력_파견수련계획!$AA$4:$AA$803&lt;&gt;"")))&gt;0,"파견수련계획 입력오류 확인",IF(LEFT($Y394,1)="⚠","서울·구리 15일 판정 불가(양쪽 모두 이상/미만)",IF(IF($AC394="",0,N(INDEX(입력_인턴근무계획!$T$3:$T$402,$AC394)))&gt;0,"인턴계획 입력오류 확인",IF(AND($AQ394&lt;&gt;"",$AG394&lt;&gt;"구리병원",IF(TRIM($J394&amp;"")="",0,SUMPRODUCT((입력_파견수련계획!$Q$4:$Q$803=TRIM($J394&amp;""))*(입력_파견수련계획!$S$4:$S$803="구리병원")*입력_파견수련계획!$W$4:$W$803))=0),"구리 근무자명단에만 있음(파견수련계획 확인)",IF(AND($AC394&lt;&gt;"",$U394&lt;&gt;"파견중",$N394&lt;&gt;$AE394),"인턴 타지역 근무: 파견 여부 확인","정상")))))))))</f>
        <v/>
      </c>
      <c r="AA394" s="5" t="n"/>
      <c r="AB394" s="10">
        <f>IF($B394="","",IFERROR(MATCH($B394,입력_기본자료!$B$2:$B$1001,0),IFERROR(MATCH($B394&amp;"",입력_기본자료!$B$2:$B$1001,0),IFERROR(MATCH(VALUE($B394),입력_기본자료!$B$2:$B$1001,0),""))))</f>
        <v/>
      </c>
      <c r="AC394" s="10">
        <f>IF($B394="","",IFERROR(MATCH($B394,입력_인턴근무계획!$D$3:$D$402,0),IFERROR(MATCH($B394&amp;"",입력_인턴근무계획!$D$3:$D$402,0),IFERROR(MATCH(VALUE($B394),입력_인턴근무계획!$D$3:$D$402,0),""))))</f>
        <v/>
      </c>
      <c r="AD394" s="10">
        <f>IF(OR($AC394="",출력_인턴현황!$G$3=""),"",INDEX(입력_인턴근무계획!$M$3:$R$402,$AC394,출력_인턴현황!$G$3)&amp;"")</f>
        <v/>
      </c>
      <c r="AE394" s="10">
        <f>IF($B394="","",IF($M394&lt;&gt;"",$M394,IF(IF($AQ394="",FALSE,INDEX(출력_구리근무자!$J$6:$J$305,$AQ394)="구리독자"),"구리병원",IF($AF394&lt;&gt;"",IF(LEFT(INDEX(입력_파견수련계획!$R$4:$R$803,$AF394),1)&lt;&gt;"⚠",INDEX(입력_파견수련계획!$R$4:$R$803,$AF394),IF($H394="","",IF(RIGHT($H394,2)="병원",$H394,$H394&amp;"병원"))),IF($H394="","",IF(RIGHT($H394,2)="병원",$H394,$H394&amp;"병원"))))))</f>
        <v/>
      </c>
      <c r="AF394" s="10">
        <f>IF(OR($B394="",TRIM($J394&amp;"")=""),"",IFERROR(MATCH(TRIM($J394&amp;"")&amp;"|파견중",입력_파견수련계획!$Y$4:$Y$803,0),IFERROR(MATCH(TRIM($J394&amp;"")&amp;"|파견예정",입력_파견수련계획!$Y$4:$Y$803,0),IFERROR(MATCH(TRIM($J394&amp;"")&amp;"|파견종료",입력_파견수련계획!$Y$4:$Y$803,0),""))))</f>
        <v/>
      </c>
      <c r="AG394" s="10">
        <f>IF($B394="","",IF(AND(IF(OR($AC394="",출력_인턴현황!$K$2=""),"",INDEX(입력_인턴근무계획!$M$3:$R$402,$AC394,출력_인턴현황!$K$2)&amp;"")&lt;&gt;"",LEFT(IF(OR($AC394="",출력_인턴현황!$K$2=""),"",INDEX(입력_인턴근무계획!$M$3:$R$402,$AC394,출력_인턴현황!$K$2)&amp;""),1)&lt;&gt;"⚠"),LEFT(IF(OR($AC394="",출력_인턴현황!$K$2=""),"",INDEX(입력_인턴근무계획!$M$3:$R$402,$AC394,출력_인턴현황!$K$2)&amp;""),FIND(" ",IF(OR($AC394="",출력_인턴현황!$K$2=""),"",INDEX(입력_인턴근무계획!$M$3:$R$402,$AC394,출력_인턴현황!$K$2)&amp;""))-1),$AE394))</f>
        <v/>
      </c>
      <c r="AH394" s="17">
        <f>IF($B394="","",IF($AQ394&lt;&gt;"",MAX(0,DAY(EOMONTH(출력_요약!$B$3,0))-N($AR394)),IF(TRIM($J394&amp;"")="",0,SUMPRODUCT((입력_파견수련계획!$Q$4:$Q$803=TRIM($J394&amp;""))*(입력_파견수련계획!$S$4:$S$803="서울병원")*입력_파견수련계획!$W$4:$W$803))+IF($AG394="서울병원",MAX(0,DAY(EOMONTH(출력_요약!$B$3,0))-N($X394)),0)))</f>
        <v/>
      </c>
      <c r="AI394" s="17">
        <f>IF($B394="","",IF($AQ394&lt;&gt;"",N($AR394),IF(TRIM($J394&amp;"")="",0,SUMPRODUCT((입력_파견수련계획!$Q$4:$Q$803=TRIM($J394&amp;""))*(입력_파견수련계획!$S$4:$S$803="구리병원")*입력_파견수련계획!$W$4:$W$803))+IF($AG394="구리병원",MAX(0,DAY(EOMONTH(출력_요약!$B$3,0))-N($X394)),0)))</f>
        <v/>
      </c>
      <c r="AJ394" s="10">
        <f>IF(OR($B394="",TRIM($J394&amp;"")=""),"",IFERROR(MATCH(TRIM($J394&amp;"")&amp;"|월",입력_파견수련계획!$Z$4:$Z$803,0),""))</f>
        <v/>
      </c>
      <c r="AK394" s="10">
        <f>IF(OR($B394="",TRIM($J394&amp;"")=""),"",IFERROR(MATCH(TRIM($J394&amp;"")&amp;"|다기관",입력_파견수련계획!$AE$4:$AE$803,0),""))</f>
        <v/>
      </c>
      <c r="AL394" s="10">
        <f>IF($AK394="","","다기관 "&amp;TEXT(INDEX(입력_파견수련계획!$AB$4:$AB$803,$AK394),"yyyy-mm-dd")&amp;"~"&amp;IF(ISNUMBER(INDEX(입력_파견수련계획!$AC$4:$AC$803,$AK394)),TEXT(INDEX(입력_파견수련계획!$AC$4:$AC$803,$AK394),"yyyy-mm-dd"),""))</f>
        <v/>
      </c>
      <c r="AM394" s="10">
        <f>IF($Y394="서울병원",COUNTIF($Y$2:$Y394,"서울병원"),"")</f>
        <v/>
      </c>
      <c r="AN394" s="10">
        <f>IF(LEFT($Y394,1)="⚠",COUNTIF($Y$2:$Y394,"⚠*"),"")</f>
        <v/>
      </c>
      <c r="AO394" s="10">
        <f>IF(OR($B394="",$Y394=""),"",IF(IF(TRIM($J394&amp;"")="",0,SUMPRODUCT((입력_파견수련계획!$Q$4:$Q$803=TRIM($J394&amp;""))*입력_파견수련계획!$AD$4:$AD$803))&gt;0,"다기관 기간 → 소속병원 지급",IF(AND(N($X394)&lt;=0,$AQ394=""),"파견 없음 → 그 달 근무병원 지급",IF($AH394+$AI394=DAY(EOMONTH(출력_요약!$B$3,0)),"서울 "&amp;$AH394&amp;"일 / 구리 "&amp;$AI394&amp;"일"&amp;IF($AQ394&lt;&gt;""," (구리 근무자명단 반영)","")&amp;" → 15일 이상 근무 병원 지급","타 병원 포함 → "&amp;IF($AJ394="","소속",INDEX(입력_파견수련계획!$T$4:$T$803,$AJ394))&amp;" 규칙"))))</f>
        <v/>
      </c>
      <c r="AP394" s="10">
        <f>IF($B394="","",$C394&amp;"|"&amp;$F394)</f>
        <v/>
      </c>
      <c r="AQ394" s="10">
        <f>IF($B394="","",IFERROR(MATCH(ROW()-1,출력_구리근무자!$K$6:$K$305,0),""))</f>
        <v/>
      </c>
      <c r="AR394" s="10">
        <f>IF($AQ394="","",INDEX(출력_구리근무자!$H$6:$H$305,$AQ394))</f>
        <v/>
      </c>
    </row>
    <row r="395">
      <c r="A395" s="10">
        <f>IF(B395="","",ROW()-1)</f>
        <v/>
      </c>
      <c r="B395" s="19" t="n"/>
      <c r="C395" s="10">
        <f>IF($AB395="","",IF(INDEX(입력_기본자료!$C$2:$C$1001,$AB395)="","",INDEX(입력_기본자료!$C$2:$C$1001,$AB395)))</f>
        <v/>
      </c>
      <c r="D395" s="10">
        <f>IF($AB395="","",IF(INDEX(입력_기본자료!$J$2:$J$1001,$AB395)="","",INDEX(입력_기본자료!$J$2:$J$1001,$AB395)))</f>
        <v/>
      </c>
      <c r="E395" s="11">
        <f>IF($AB395="","",IF(INDEX(입력_기본자료!$K$2:$K$1001,$AB395)="","",IF(NOT(ISNUMBER(INDEX(입력_기본자료!$K$2:$K$1001,$AB395))),INDEX(입력_기본자료!$K$2:$K$1001,$AB395),IF(INDEX(입력_기본자료!$K$2:$K$1001,$AB395)&lt;1000000,INDEX(입력_기본자료!$K$2:$K$1001,$AB395),IF(AND(INDEX(입력_기본자료!$K$2:$K$1001,$AB395)&gt;=10000101,INT(MOD(INDEX(입력_기본자료!$K$2:$K$1001,$AB395),10000)/100)&gt;=1,INT(MOD(INDEX(입력_기본자료!$K$2:$K$1001,$AB395),10000)/100)&lt;=12,MOD(INDEX(입력_기본자료!$K$2:$K$1001,$AB395),100)&gt;=1,MOD(INDEX(입력_기본자료!$K$2:$K$1001,$AB395),100)&lt;=31),DATE(INT(INDEX(입력_기본자료!$K$2:$K$1001,$AB395)/10000),INT(MOD(INDEX(입력_기본자료!$K$2:$K$1001,$AB395),10000)/100),MOD(INDEX(입력_기본자료!$K$2:$K$1001,$AB395),100)),INDEX(입력_기본자료!$K$2:$K$1001,$AB395)&amp;"")))))</f>
        <v/>
      </c>
      <c r="F395" s="10">
        <f>IF($AB395="","",IF(INDEX(입력_기본자료!$D$2:$D$1001,$AB395)="","",INDEX(입력_기본자료!$D$2:$D$1001,$AB395)))</f>
        <v/>
      </c>
      <c r="G395" s="10">
        <f>IF($AB395="","",IF(INDEX(입력_기본자료!$E$2:$E$1001,$AB395)="","",INDEX(입력_기본자료!$E$2:$E$1001,$AB395)))</f>
        <v/>
      </c>
      <c r="H395" s="10">
        <f>IF($AB395="","",IF(INDEX(입력_기본자료!$F$2:$F$1001,$AB395)="","",INDEX(입력_기본자료!$F$2:$F$1001,$AB395)))</f>
        <v/>
      </c>
      <c r="I395" s="11">
        <f>IF($AB395="","",IF(INDEX(입력_기본자료!$G$2:$G$1001,$AB395)="","",IF(NOT(ISNUMBER(INDEX(입력_기본자료!$G$2:$G$1001,$AB395))),INDEX(입력_기본자료!$G$2:$G$1001,$AB395),IF(INDEX(입력_기본자료!$G$2:$G$1001,$AB395)&lt;1000000,INDEX(입력_기본자료!$G$2:$G$1001,$AB395),IF(AND(INDEX(입력_기본자료!$G$2:$G$1001,$AB395)&gt;=10000101,INT(MOD(INDEX(입력_기본자료!$G$2:$G$1001,$AB395),10000)/100)&gt;=1,INT(MOD(INDEX(입력_기본자료!$G$2:$G$1001,$AB395),10000)/100)&lt;=12,MOD(INDEX(입력_기본자료!$G$2:$G$1001,$AB395),100)&gt;=1,MOD(INDEX(입력_기본자료!$G$2:$G$1001,$AB395),100)&lt;=31),DATE(INT(INDEX(입력_기본자료!$G$2:$G$1001,$AB395)/10000),INT(MOD(INDEX(입력_기본자료!$G$2:$G$1001,$AB395),10000)/100),MOD(INDEX(입력_기본자료!$G$2:$G$1001,$AB395),100)),INDEX(입력_기본자료!$G$2:$G$1001,$AB395)&amp;"")))))</f>
        <v/>
      </c>
      <c r="J395" s="10">
        <f>IF($AB395="","",IF(INDEX(입력_기본자료!$H$2:$H$1001,$AB395)="","",INDEX(입력_기본자료!$H$2:$H$1001,$AB395)))</f>
        <v/>
      </c>
      <c r="K395" s="10">
        <f>IF($AB395="","",IF(INDEX(입력_기본자료!$I$2:$I$1001,$AB395)="","",INDEX(입력_기본자료!$I$2:$I$1001,$AB395)))</f>
        <v/>
      </c>
      <c r="L395" s="10">
        <f>IF($AB395="","",IF(INDEX(입력_기본자료!$A$2:$A$1001,$AB395)="","",INDEX(입력_기본자료!$A$2:$A$1001,$AB395)))</f>
        <v/>
      </c>
      <c r="M395" s="15" t="n"/>
      <c r="N395" s="10">
        <f>IF($B395="","",IF(AND($U395="파견중",$Q395&lt;&gt;""),$Q395,IF(AND($AD395&lt;&gt;"",LEFT($AD395,1)&lt;&gt;"⚠"),LEFT($AD395,FIND(" ",$AD395)-1),IF($H395="","",IF(RIGHT($H395,2)="병원",$H395,$H395&amp;"병원")))))</f>
        <v/>
      </c>
      <c r="O395" s="10">
        <f>IF($B395="","",IF(AND($U395="파견중",$Q395&lt;&gt;""),IF($R395&lt;&gt;"",$R395,"파견과 미입력"),IF(AND($AD395&lt;&gt;"",LEFT($AD395,1)&lt;&gt;"⚠"),MID($AD395,FIND(" ",$AD395)+1,60),IF($F395="","",IF($F395="인턴","수련교육부(인턴)",$F395)))))</f>
        <v/>
      </c>
      <c r="P395" s="10">
        <f>IF($B395="","",IF($AK395&lt;&gt;"",IF(AND(TODAY()&gt;=INDEX(입력_파견수련계획!$AB$4:$AB$803,$AK395),OR(NOT(ISNUMBER(INDEX(입력_파견수련계획!$AC$4:$AC$803,$AK395))),TODAY()&lt;=INDEX(입력_파견수련계획!$AC$4:$AC$803,$AK395))),"다기관",IF($AF395="","",INDEX(입력_파견수련계획!$T$4:$T$803,$AF395))),IF($AF395="","",INDEX(입력_파견수련계획!$T$4:$T$803,$AF395))))</f>
        <v/>
      </c>
      <c r="Q395" s="10">
        <f>IF($AF395="","",INDEX(입력_파견수련계획!$S$4:$S$803,$AF395))</f>
        <v/>
      </c>
      <c r="R395" s="10">
        <f>IF($AF395="","",INDEX(입력_파견수련계획!$U$4:$U$803,$AF395))</f>
        <v/>
      </c>
      <c r="S395" s="11">
        <f>IF($AF395="","",IF(INDEX(입력_파견수련계획!$H$4:$H$803,$AF395)="","",INDEX(입력_파견수련계획!$H$4:$H$803,$AF395)))</f>
        <v/>
      </c>
      <c r="T395" s="11">
        <f>IF($AF395="","",IF(INDEX(입력_파견수련계획!$I$4:$I$803,$AF395)="","",INDEX(입력_파견수련계획!$I$4:$I$803,$AF395)))</f>
        <v/>
      </c>
      <c r="U395" s="10">
        <f>IF($AF395="","",INDEX(입력_파견수련계획!$X$4:$X$803,$AF395))</f>
        <v/>
      </c>
      <c r="V395" s="17">
        <f>IF($AF395="","",INDEX(입력_파견수련계획!$V$4:$V$803,$AF395))</f>
        <v/>
      </c>
      <c r="W395" s="17">
        <f>IF(AND($U395="파견중",$T395&lt;&gt;""),$T395-TODAY(),"")</f>
        <v/>
      </c>
      <c r="X395" s="17">
        <f>IF(OR($B395="",TRIM($J395&amp;"")=""),"",SUMPRODUCT((입력_파견수련계획!$Q$4:$Q$803=TRIM($J395&amp;""))*입력_파견수련계획!$W$4:$W$803))</f>
        <v/>
      </c>
      <c r="Y395" s="10">
        <f>IF($B395="","",IF($AG395="","",IF(IF(TRIM($J395&amp;"")="",0,SUMPRODUCT((입력_파견수련계획!$Q$4:$Q$803=TRIM($J395&amp;""))*입력_파견수련계획!$AD$4:$AD$803))&gt;0,$AE395,IF(AND(N($X395)&lt;=0,$AQ395=""),$AG395,IF($AH395+$AI395=DAY(EOMONTH(출력_요약!$B$3,0)),IF(AND($AH395&gt;=출력_요약!$E$3,$AI395&lt;출력_요약!$E$3),"서울병원",IF(AND($AI395&gt;=출력_요약!$E$3,$AH395&lt;출력_요약!$E$3),"구리병원","⚠15일 판정불가(서울 "&amp;$AH395&amp;"일/구리 "&amp;$AI395&amp;"일)")),IF($AJ395="",$AE395,IF(INDEX(입력_파견수련계획!$T$4:$T$803,$AJ395)="통합수련",INDEX(입력_파견수련계획!$S$4:$S$803,$AJ395),$AE395)))))))</f>
        <v/>
      </c>
      <c r="Z395" s="20">
        <f>IF($B395="","",IF($AB395="","기본자료에 없는 사번",IF(COUNTIF($B$2:$B$401,$B395)&gt;1,"중복 사번",IF($AE395="","소속(입사장소) 입력",IF(IF(TRIM($J395&amp;"")="",0,SUMPRODUCT((입력_파견수련계획!$Q$4:$Q$803=TRIM($J395&amp;""))*(입력_파견수련계획!$AA$4:$AA$803&lt;&gt;"")))&gt;0,"파견수련계획 입력오류 확인",IF(LEFT($Y395,1)="⚠","서울·구리 15일 판정 불가(양쪽 모두 이상/미만)",IF(IF($AC395="",0,N(INDEX(입력_인턴근무계획!$T$3:$T$402,$AC395)))&gt;0,"인턴계획 입력오류 확인",IF(AND($AQ395&lt;&gt;"",$AG395&lt;&gt;"구리병원",IF(TRIM($J395&amp;"")="",0,SUMPRODUCT((입력_파견수련계획!$Q$4:$Q$803=TRIM($J395&amp;""))*(입력_파견수련계획!$S$4:$S$803="구리병원")*입력_파견수련계획!$W$4:$W$803))=0),"구리 근무자명단에만 있음(파견수련계획 확인)",IF(AND($AC395&lt;&gt;"",$U395&lt;&gt;"파견중",$N395&lt;&gt;$AE395),"인턴 타지역 근무: 파견 여부 확인","정상")))))))))</f>
        <v/>
      </c>
      <c r="AA395" s="5" t="n"/>
      <c r="AB395" s="10">
        <f>IF($B395="","",IFERROR(MATCH($B395,입력_기본자료!$B$2:$B$1001,0),IFERROR(MATCH($B395&amp;"",입력_기본자료!$B$2:$B$1001,0),IFERROR(MATCH(VALUE($B395),입력_기본자료!$B$2:$B$1001,0),""))))</f>
        <v/>
      </c>
      <c r="AC395" s="10">
        <f>IF($B395="","",IFERROR(MATCH($B395,입력_인턴근무계획!$D$3:$D$402,0),IFERROR(MATCH($B395&amp;"",입력_인턴근무계획!$D$3:$D$402,0),IFERROR(MATCH(VALUE($B395),입력_인턴근무계획!$D$3:$D$402,0),""))))</f>
        <v/>
      </c>
      <c r="AD395" s="10">
        <f>IF(OR($AC395="",출력_인턴현황!$G$3=""),"",INDEX(입력_인턴근무계획!$M$3:$R$402,$AC395,출력_인턴현황!$G$3)&amp;"")</f>
        <v/>
      </c>
      <c r="AE395" s="10">
        <f>IF($B395="","",IF($M395&lt;&gt;"",$M395,IF(IF($AQ395="",FALSE,INDEX(출력_구리근무자!$J$6:$J$305,$AQ395)="구리독자"),"구리병원",IF($AF395&lt;&gt;"",IF(LEFT(INDEX(입력_파견수련계획!$R$4:$R$803,$AF395),1)&lt;&gt;"⚠",INDEX(입력_파견수련계획!$R$4:$R$803,$AF395),IF($H395="","",IF(RIGHT($H395,2)="병원",$H395,$H395&amp;"병원"))),IF($H395="","",IF(RIGHT($H395,2)="병원",$H395,$H395&amp;"병원"))))))</f>
        <v/>
      </c>
      <c r="AF395" s="10">
        <f>IF(OR($B395="",TRIM($J395&amp;"")=""),"",IFERROR(MATCH(TRIM($J395&amp;"")&amp;"|파견중",입력_파견수련계획!$Y$4:$Y$803,0),IFERROR(MATCH(TRIM($J395&amp;"")&amp;"|파견예정",입력_파견수련계획!$Y$4:$Y$803,0),IFERROR(MATCH(TRIM($J395&amp;"")&amp;"|파견종료",입력_파견수련계획!$Y$4:$Y$803,0),""))))</f>
        <v/>
      </c>
      <c r="AG395" s="10">
        <f>IF($B395="","",IF(AND(IF(OR($AC395="",출력_인턴현황!$K$2=""),"",INDEX(입력_인턴근무계획!$M$3:$R$402,$AC395,출력_인턴현황!$K$2)&amp;"")&lt;&gt;"",LEFT(IF(OR($AC395="",출력_인턴현황!$K$2=""),"",INDEX(입력_인턴근무계획!$M$3:$R$402,$AC395,출력_인턴현황!$K$2)&amp;""),1)&lt;&gt;"⚠"),LEFT(IF(OR($AC395="",출력_인턴현황!$K$2=""),"",INDEX(입력_인턴근무계획!$M$3:$R$402,$AC395,출력_인턴현황!$K$2)&amp;""),FIND(" ",IF(OR($AC395="",출력_인턴현황!$K$2=""),"",INDEX(입력_인턴근무계획!$M$3:$R$402,$AC395,출력_인턴현황!$K$2)&amp;""))-1),$AE395))</f>
        <v/>
      </c>
      <c r="AH395" s="17">
        <f>IF($B395="","",IF($AQ395&lt;&gt;"",MAX(0,DAY(EOMONTH(출력_요약!$B$3,0))-N($AR395)),IF(TRIM($J395&amp;"")="",0,SUMPRODUCT((입력_파견수련계획!$Q$4:$Q$803=TRIM($J395&amp;""))*(입력_파견수련계획!$S$4:$S$803="서울병원")*입력_파견수련계획!$W$4:$W$803))+IF($AG395="서울병원",MAX(0,DAY(EOMONTH(출력_요약!$B$3,0))-N($X395)),0)))</f>
        <v/>
      </c>
      <c r="AI395" s="17">
        <f>IF($B395="","",IF($AQ395&lt;&gt;"",N($AR395),IF(TRIM($J395&amp;"")="",0,SUMPRODUCT((입력_파견수련계획!$Q$4:$Q$803=TRIM($J395&amp;""))*(입력_파견수련계획!$S$4:$S$803="구리병원")*입력_파견수련계획!$W$4:$W$803))+IF($AG395="구리병원",MAX(0,DAY(EOMONTH(출력_요약!$B$3,0))-N($X395)),0)))</f>
        <v/>
      </c>
      <c r="AJ395" s="10">
        <f>IF(OR($B395="",TRIM($J395&amp;"")=""),"",IFERROR(MATCH(TRIM($J395&amp;"")&amp;"|월",입력_파견수련계획!$Z$4:$Z$803,0),""))</f>
        <v/>
      </c>
      <c r="AK395" s="10">
        <f>IF(OR($B395="",TRIM($J395&amp;"")=""),"",IFERROR(MATCH(TRIM($J395&amp;"")&amp;"|다기관",입력_파견수련계획!$AE$4:$AE$803,0),""))</f>
        <v/>
      </c>
      <c r="AL395" s="10">
        <f>IF($AK395="","","다기관 "&amp;TEXT(INDEX(입력_파견수련계획!$AB$4:$AB$803,$AK395),"yyyy-mm-dd")&amp;"~"&amp;IF(ISNUMBER(INDEX(입력_파견수련계획!$AC$4:$AC$803,$AK395)),TEXT(INDEX(입력_파견수련계획!$AC$4:$AC$803,$AK395),"yyyy-mm-dd"),""))</f>
        <v/>
      </c>
      <c r="AM395" s="10">
        <f>IF($Y395="서울병원",COUNTIF($Y$2:$Y395,"서울병원"),"")</f>
        <v/>
      </c>
      <c r="AN395" s="10">
        <f>IF(LEFT($Y395,1)="⚠",COUNTIF($Y$2:$Y395,"⚠*"),"")</f>
        <v/>
      </c>
      <c r="AO395" s="10">
        <f>IF(OR($B395="",$Y395=""),"",IF(IF(TRIM($J395&amp;"")="",0,SUMPRODUCT((입력_파견수련계획!$Q$4:$Q$803=TRIM($J395&amp;""))*입력_파견수련계획!$AD$4:$AD$803))&gt;0,"다기관 기간 → 소속병원 지급",IF(AND(N($X395)&lt;=0,$AQ395=""),"파견 없음 → 그 달 근무병원 지급",IF($AH395+$AI395=DAY(EOMONTH(출력_요약!$B$3,0)),"서울 "&amp;$AH395&amp;"일 / 구리 "&amp;$AI395&amp;"일"&amp;IF($AQ395&lt;&gt;""," (구리 근무자명단 반영)","")&amp;" → 15일 이상 근무 병원 지급","타 병원 포함 → "&amp;IF($AJ395="","소속",INDEX(입력_파견수련계획!$T$4:$T$803,$AJ395))&amp;" 규칙"))))</f>
        <v/>
      </c>
      <c r="AP395" s="10">
        <f>IF($B395="","",$C395&amp;"|"&amp;$F395)</f>
        <v/>
      </c>
      <c r="AQ395" s="10">
        <f>IF($B395="","",IFERROR(MATCH(ROW()-1,출력_구리근무자!$K$6:$K$305,0),""))</f>
        <v/>
      </c>
      <c r="AR395" s="10">
        <f>IF($AQ395="","",INDEX(출력_구리근무자!$H$6:$H$305,$AQ395))</f>
        <v/>
      </c>
    </row>
    <row r="396">
      <c r="A396" s="10">
        <f>IF(B396="","",ROW()-1)</f>
        <v/>
      </c>
      <c r="B396" s="19" t="n"/>
      <c r="C396" s="10">
        <f>IF($AB396="","",IF(INDEX(입력_기본자료!$C$2:$C$1001,$AB396)="","",INDEX(입력_기본자료!$C$2:$C$1001,$AB396)))</f>
        <v/>
      </c>
      <c r="D396" s="10">
        <f>IF($AB396="","",IF(INDEX(입력_기본자료!$J$2:$J$1001,$AB396)="","",INDEX(입력_기본자료!$J$2:$J$1001,$AB396)))</f>
        <v/>
      </c>
      <c r="E396" s="11">
        <f>IF($AB396="","",IF(INDEX(입력_기본자료!$K$2:$K$1001,$AB396)="","",IF(NOT(ISNUMBER(INDEX(입력_기본자료!$K$2:$K$1001,$AB396))),INDEX(입력_기본자료!$K$2:$K$1001,$AB396),IF(INDEX(입력_기본자료!$K$2:$K$1001,$AB396)&lt;1000000,INDEX(입력_기본자료!$K$2:$K$1001,$AB396),IF(AND(INDEX(입력_기본자료!$K$2:$K$1001,$AB396)&gt;=10000101,INT(MOD(INDEX(입력_기본자료!$K$2:$K$1001,$AB396),10000)/100)&gt;=1,INT(MOD(INDEX(입력_기본자료!$K$2:$K$1001,$AB396),10000)/100)&lt;=12,MOD(INDEX(입력_기본자료!$K$2:$K$1001,$AB396),100)&gt;=1,MOD(INDEX(입력_기본자료!$K$2:$K$1001,$AB396),100)&lt;=31),DATE(INT(INDEX(입력_기본자료!$K$2:$K$1001,$AB396)/10000),INT(MOD(INDEX(입력_기본자료!$K$2:$K$1001,$AB396),10000)/100),MOD(INDEX(입력_기본자료!$K$2:$K$1001,$AB396),100)),INDEX(입력_기본자료!$K$2:$K$1001,$AB396)&amp;"")))))</f>
        <v/>
      </c>
      <c r="F396" s="10">
        <f>IF($AB396="","",IF(INDEX(입력_기본자료!$D$2:$D$1001,$AB396)="","",INDEX(입력_기본자료!$D$2:$D$1001,$AB396)))</f>
        <v/>
      </c>
      <c r="G396" s="10">
        <f>IF($AB396="","",IF(INDEX(입력_기본자료!$E$2:$E$1001,$AB396)="","",INDEX(입력_기본자료!$E$2:$E$1001,$AB396)))</f>
        <v/>
      </c>
      <c r="H396" s="10">
        <f>IF($AB396="","",IF(INDEX(입력_기본자료!$F$2:$F$1001,$AB396)="","",INDEX(입력_기본자료!$F$2:$F$1001,$AB396)))</f>
        <v/>
      </c>
      <c r="I396" s="11">
        <f>IF($AB396="","",IF(INDEX(입력_기본자료!$G$2:$G$1001,$AB396)="","",IF(NOT(ISNUMBER(INDEX(입력_기본자료!$G$2:$G$1001,$AB396))),INDEX(입력_기본자료!$G$2:$G$1001,$AB396),IF(INDEX(입력_기본자료!$G$2:$G$1001,$AB396)&lt;1000000,INDEX(입력_기본자료!$G$2:$G$1001,$AB396),IF(AND(INDEX(입력_기본자료!$G$2:$G$1001,$AB396)&gt;=10000101,INT(MOD(INDEX(입력_기본자료!$G$2:$G$1001,$AB396),10000)/100)&gt;=1,INT(MOD(INDEX(입력_기본자료!$G$2:$G$1001,$AB396),10000)/100)&lt;=12,MOD(INDEX(입력_기본자료!$G$2:$G$1001,$AB396),100)&gt;=1,MOD(INDEX(입력_기본자료!$G$2:$G$1001,$AB396),100)&lt;=31),DATE(INT(INDEX(입력_기본자료!$G$2:$G$1001,$AB396)/10000),INT(MOD(INDEX(입력_기본자료!$G$2:$G$1001,$AB396),10000)/100),MOD(INDEX(입력_기본자료!$G$2:$G$1001,$AB396),100)),INDEX(입력_기본자료!$G$2:$G$1001,$AB396)&amp;"")))))</f>
        <v/>
      </c>
      <c r="J396" s="10">
        <f>IF($AB396="","",IF(INDEX(입력_기본자료!$H$2:$H$1001,$AB396)="","",INDEX(입력_기본자료!$H$2:$H$1001,$AB396)))</f>
        <v/>
      </c>
      <c r="K396" s="10">
        <f>IF($AB396="","",IF(INDEX(입력_기본자료!$I$2:$I$1001,$AB396)="","",INDEX(입력_기본자료!$I$2:$I$1001,$AB396)))</f>
        <v/>
      </c>
      <c r="L396" s="10">
        <f>IF($AB396="","",IF(INDEX(입력_기본자료!$A$2:$A$1001,$AB396)="","",INDEX(입력_기본자료!$A$2:$A$1001,$AB396)))</f>
        <v/>
      </c>
      <c r="M396" s="15" t="n"/>
      <c r="N396" s="10">
        <f>IF($B396="","",IF(AND($U396="파견중",$Q396&lt;&gt;""),$Q396,IF(AND($AD396&lt;&gt;"",LEFT($AD396,1)&lt;&gt;"⚠"),LEFT($AD396,FIND(" ",$AD396)-1),IF($H396="","",IF(RIGHT($H396,2)="병원",$H396,$H396&amp;"병원")))))</f>
        <v/>
      </c>
      <c r="O396" s="10">
        <f>IF($B396="","",IF(AND($U396="파견중",$Q396&lt;&gt;""),IF($R396&lt;&gt;"",$R396,"파견과 미입력"),IF(AND($AD396&lt;&gt;"",LEFT($AD396,1)&lt;&gt;"⚠"),MID($AD396,FIND(" ",$AD396)+1,60),IF($F396="","",IF($F396="인턴","수련교육부(인턴)",$F396)))))</f>
        <v/>
      </c>
      <c r="P396" s="10">
        <f>IF($B396="","",IF($AK396&lt;&gt;"",IF(AND(TODAY()&gt;=INDEX(입력_파견수련계획!$AB$4:$AB$803,$AK396),OR(NOT(ISNUMBER(INDEX(입력_파견수련계획!$AC$4:$AC$803,$AK396))),TODAY()&lt;=INDEX(입력_파견수련계획!$AC$4:$AC$803,$AK396))),"다기관",IF($AF396="","",INDEX(입력_파견수련계획!$T$4:$T$803,$AF396))),IF($AF396="","",INDEX(입력_파견수련계획!$T$4:$T$803,$AF396))))</f>
        <v/>
      </c>
      <c r="Q396" s="10">
        <f>IF($AF396="","",INDEX(입력_파견수련계획!$S$4:$S$803,$AF396))</f>
        <v/>
      </c>
      <c r="R396" s="10">
        <f>IF($AF396="","",INDEX(입력_파견수련계획!$U$4:$U$803,$AF396))</f>
        <v/>
      </c>
      <c r="S396" s="11">
        <f>IF($AF396="","",IF(INDEX(입력_파견수련계획!$H$4:$H$803,$AF396)="","",INDEX(입력_파견수련계획!$H$4:$H$803,$AF396)))</f>
        <v/>
      </c>
      <c r="T396" s="11">
        <f>IF($AF396="","",IF(INDEX(입력_파견수련계획!$I$4:$I$803,$AF396)="","",INDEX(입력_파견수련계획!$I$4:$I$803,$AF396)))</f>
        <v/>
      </c>
      <c r="U396" s="10">
        <f>IF($AF396="","",INDEX(입력_파견수련계획!$X$4:$X$803,$AF396))</f>
        <v/>
      </c>
      <c r="V396" s="17">
        <f>IF($AF396="","",INDEX(입력_파견수련계획!$V$4:$V$803,$AF396))</f>
        <v/>
      </c>
      <c r="W396" s="17">
        <f>IF(AND($U396="파견중",$T396&lt;&gt;""),$T396-TODAY(),"")</f>
        <v/>
      </c>
      <c r="X396" s="17">
        <f>IF(OR($B396="",TRIM($J396&amp;"")=""),"",SUMPRODUCT((입력_파견수련계획!$Q$4:$Q$803=TRIM($J396&amp;""))*입력_파견수련계획!$W$4:$W$803))</f>
        <v/>
      </c>
      <c r="Y396" s="10">
        <f>IF($B396="","",IF($AG396="","",IF(IF(TRIM($J396&amp;"")="",0,SUMPRODUCT((입력_파견수련계획!$Q$4:$Q$803=TRIM($J396&amp;""))*입력_파견수련계획!$AD$4:$AD$803))&gt;0,$AE396,IF(AND(N($X396)&lt;=0,$AQ396=""),$AG396,IF($AH396+$AI396=DAY(EOMONTH(출력_요약!$B$3,0)),IF(AND($AH396&gt;=출력_요약!$E$3,$AI396&lt;출력_요약!$E$3),"서울병원",IF(AND($AI396&gt;=출력_요약!$E$3,$AH396&lt;출력_요약!$E$3),"구리병원","⚠15일 판정불가(서울 "&amp;$AH396&amp;"일/구리 "&amp;$AI396&amp;"일)")),IF($AJ396="",$AE396,IF(INDEX(입력_파견수련계획!$T$4:$T$803,$AJ396)="통합수련",INDEX(입력_파견수련계획!$S$4:$S$803,$AJ396),$AE396)))))))</f>
        <v/>
      </c>
      <c r="Z396" s="20">
        <f>IF($B396="","",IF($AB396="","기본자료에 없는 사번",IF(COUNTIF($B$2:$B$401,$B396)&gt;1,"중복 사번",IF($AE396="","소속(입사장소) 입력",IF(IF(TRIM($J396&amp;"")="",0,SUMPRODUCT((입력_파견수련계획!$Q$4:$Q$803=TRIM($J396&amp;""))*(입력_파견수련계획!$AA$4:$AA$803&lt;&gt;"")))&gt;0,"파견수련계획 입력오류 확인",IF(LEFT($Y396,1)="⚠","서울·구리 15일 판정 불가(양쪽 모두 이상/미만)",IF(IF($AC396="",0,N(INDEX(입력_인턴근무계획!$T$3:$T$402,$AC396)))&gt;0,"인턴계획 입력오류 확인",IF(AND($AQ396&lt;&gt;"",$AG396&lt;&gt;"구리병원",IF(TRIM($J396&amp;"")="",0,SUMPRODUCT((입력_파견수련계획!$Q$4:$Q$803=TRIM($J396&amp;""))*(입력_파견수련계획!$S$4:$S$803="구리병원")*입력_파견수련계획!$W$4:$W$803))=0),"구리 근무자명단에만 있음(파견수련계획 확인)",IF(AND($AC396&lt;&gt;"",$U396&lt;&gt;"파견중",$N396&lt;&gt;$AE396),"인턴 타지역 근무: 파견 여부 확인","정상")))))))))</f>
        <v/>
      </c>
      <c r="AA396" s="5" t="n"/>
      <c r="AB396" s="10">
        <f>IF($B396="","",IFERROR(MATCH($B396,입력_기본자료!$B$2:$B$1001,0),IFERROR(MATCH($B396&amp;"",입력_기본자료!$B$2:$B$1001,0),IFERROR(MATCH(VALUE($B396),입력_기본자료!$B$2:$B$1001,0),""))))</f>
        <v/>
      </c>
      <c r="AC396" s="10">
        <f>IF($B396="","",IFERROR(MATCH($B396,입력_인턴근무계획!$D$3:$D$402,0),IFERROR(MATCH($B396&amp;"",입력_인턴근무계획!$D$3:$D$402,0),IFERROR(MATCH(VALUE($B396),입력_인턴근무계획!$D$3:$D$402,0),""))))</f>
        <v/>
      </c>
      <c r="AD396" s="10">
        <f>IF(OR($AC396="",출력_인턴현황!$G$3=""),"",INDEX(입력_인턴근무계획!$M$3:$R$402,$AC396,출력_인턴현황!$G$3)&amp;"")</f>
        <v/>
      </c>
      <c r="AE396" s="10">
        <f>IF($B396="","",IF($M396&lt;&gt;"",$M396,IF(IF($AQ396="",FALSE,INDEX(출력_구리근무자!$J$6:$J$305,$AQ396)="구리독자"),"구리병원",IF($AF396&lt;&gt;"",IF(LEFT(INDEX(입력_파견수련계획!$R$4:$R$803,$AF396),1)&lt;&gt;"⚠",INDEX(입력_파견수련계획!$R$4:$R$803,$AF396),IF($H396="","",IF(RIGHT($H396,2)="병원",$H396,$H396&amp;"병원"))),IF($H396="","",IF(RIGHT($H396,2)="병원",$H396,$H396&amp;"병원"))))))</f>
        <v/>
      </c>
      <c r="AF396" s="10">
        <f>IF(OR($B396="",TRIM($J396&amp;"")=""),"",IFERROR(MATCH(TRIM($J396&amp;"")&amp;"|파견중",입력_파견수련계획!$Y$4:$Y$803,0),IFERROR(MATCH(TRIM($J396&amp;"")&amp;"|파견예정",입력_파견수련계획!$Y$4:$Y$803,0),IFERROR(MATCH(TRIM($J396&amp;"")&amp;"|파견종료",입력_파견수련계획!$Y$4:$Y$803,0),""))))</f>
        <v/>
      </c>
      <c r="AG396" s="10">
        <f>IF($B396="","",IF(AND(IF(OR($AC396="",출력_인턴현황!$K$2=""),"",INDEX(입력_인턴근무계획!$M$3:$R$402,$AC396,출력_인턴현황!$K$2)&amp;"")&lt;&gt;"",LEFT(IF(OR($AC396="",출력_인턴현황!$K$2=""),"",INDEX(입력_인턴근무계획!$M$3:$R$402,$AC396,출력_인턴현황!$K$2)&amp;""),1)&lt;&gt;"⚠"),LEFT(IF(OR($AC396="",출력_인턴현황!$K$2=""),"",INDEX(입력_인턴근무계획!$M$3:$R$402,$AC396,출력_인턴현황!$K$2)&amp;""),FIND(" ",IF(OR($AC396="",출력_인턴현황!$K$2=""),"",INDEX(입력_인턴근무계획!$M$3:$R$402,$AC396,출력_인턴현황!$K$2)&amp;""))-1),$AE396))</f>
        <v/>
      </c>
      <c r="AH396" s="17">
        <f>IF($B396="","",IF($AQ396&lt;&gt;"",MAX(0,DAY(EOMONTH(출력_요약!$B$3,0))-N($AR396)),IF(TRIM($J396&amp;"")="",0,SUMPRODUCT((입력_파견수련계획!$Q$4:$Q$803=TRIM($J396&amp;""))*(입력_파견수련계획!$S$4:$S$803="서울병원")*입력_파견수련계획!$W$4:$W$803))+IF($AG396="서울병원",MAX(0,DAY(EOMONTH(출력_요약!$B$3,0))-N($X396)),0)))</f>
        <v/>
      </c>
      <c r="AI396" s="17">
        <f>IF($B396="","",IF($AQ396&lt;&gt;"",N($AR396),IF(TRIM($J396&amp;"")="",0,SUMPRODUCT((입력_파견수련계획!$Q$4:$Q$803=TRIM($J396&amp;""))*(입력_파견수련계획!$S$4:$S$803="구리병원")*입력_파견수련계획!$W$4:$W$803))+IF($AG396="구리병원",MAX(0,DAY(EOMONTH(출력_요약!$B$3,0))-N($X396)),0)))</f>
        <v/>
      </c>
      <c r="AJ396" s="10">
        <f>IF(OR($B396="",TRIM($J396&amp;"")=""),"",IFERROR(MATCH(TRIM($J396&amp;"")&amp;"|월",입력_파견수련계획!$Z$4:$Z$803,0),""))</f>
        <v/>
      </c>
      <c r="AK396" s="10">
        <f>IF(OR($B396="",TRIM($J396&amp;"")=""),"",IFERROR(MATCH(TRIM($J396&amp;"")&amp;"|다기관",입력_파견수련계획!$AE$4:$AE$803,0),""))</f>
        <v/>
      </c>
      <c r="AL396" s="10">
        <f>IF($AK396="","","다기관 "&amp;TEXT(INDEX(입력_파견수련계획!$AB$4:$AB$803,$AK396),"yyyy-mm-dd")&amp;"~"&amp;IF(ISNUMBER(INDEX(입력_파견수련계획!$AC$4:$AC$803,$AK396)),TEXT(INDEX(입력_파견수련계획!$AC$4:$AC$803,$AK396),"yyyy-mm-dd"),""))</f>
        <v/>
      </c>
      <c r="AM396" s="10">
        <f>IF($Y396="서울병원",COUNTIF($Y$2:$Y396,"서울병원"),"")</f>
        <v/>
      </c>
      <c r="AN396" s="10">
        <f>IF(LEFT($Y396,1)="⚠",COUNTIF($Y$2:$Y396,"⚠*"),"")</f>
        <v/>
      </c>
      <c r="AO396" s="10">
        <f>IF(OR($B396="",$Y396=""),"",IF(IF(TRIM($J396&amp;"")="",0,SUMPRODUCT((입력_파견수련계획!$Q$4:$Q$803=TRIM($J396&amp;""))*입력_파견수련계획!$AD$4:$AD$803))&gt;0,"다기관 기간 → 소속병원 지급",IF(AND(N($X396)&lt;=0,$AQ396=""),"파견 없음 → 그 달 근무병원 지급",IF($AH396+$AI396=DAY(EOMONTH(출력_요약!$B$3,0)),"서울 "&amp;$AH396&amp;"일 / 구리 "&amp;$AI396&amp;"일"&amp;IF($AQ396&lt;&gt;""," (구리 근무자명단 반영)","")&amp;" → 15일 이상 근무 병원 지급","타 병원 포함 → "&amp;IF($AJ396="","소속",INDEX(입력_파견수련계획!$T$4:$T$803,$AJ396))&amp;" 규칙"))))</f>
        <v/>
      </c>
      <c r="AP396" s="10">
        <f>IF($B396="","",$C396&amp;"|"&amp;$F396)</f>
        <v/>
      </c>
      <c r="AQ396" s="10">
        <f>IF($B396="","",IFERROR(MATCH(ROW()-1,출력_구리근무자!$K$6:$K$305,0),""))</f>
        <v/>
      </c>
      <c r="AR396" s="10">
        <f>IF($AQ396="","",INDEX(출력_구리근무자!$H$6:$H$305,$AQ396))</f>
        <v/>
      </c>
    </row>
    <row r="397">
      <c r="A397" s="10">
        <f>IF(B397="","",ROW()-1)</f>
        <v/>
      </c>
      <c r="B397" s="19" t="n"/>
      <c r="C397" s="10">
        <f>IF($AB397="","",IF(INDEX(입력_기본자료!$C$2:$C$1001,$AB397)="","",INDEX(입력_기본자료!$C$2:$C$1001,$AB397)))</f>
        <v/>
      </c>
      <c r="D397" s="10">
        <f>IF($AB397="","",IF(INDEX(입력_기본자료!$J$2:$J$1001,$AB397)="","",INDEX(입력_기본자료!$J$2:$J$1001,$AB397)))</f>
        <v/>
      </c>
      <c r="E397" s="11">
        <f>IF($AB397="","",IF(INDEX(입력_기본자료!$K$2:$K$1001,$AB397)="","",IF(NOT(ISNUMBER(INDEX(입력_기본자료!$K$2:$K$1001,$AB397))),INDEX(입력_기본자료!$K$2:$K$1001,$AB397),IF(INDEX(입력_기본자료!$K$2:$K$1001,$AB397)&lt;1000000,INDEX(입력_기본자료!$K$2:$K$1001,$AB397),IF(AND(INDEX(입력_기본자료!$K$2:$K$1001,$AB397)&gt;=10000101,INT(MOD(INDEX(입력_기본자료!$K$2:$K$1001,$AB397),10000)/100)&gt;=1,INT(MOD(INDEX(입력_기본자료!$K$2:$K$1001,$AB397),10000)/100)&lt;=12,MOD(INDEX(입력_기본자료!$K$2:$K$1001,$AB397),100)&gt;=1,MOD(INDEX(입력_기본자료!$K$2:$K$1001,$AB397),100)&lt;=31),DATE(INT(INDEX(입력_기본자료!$K$2:$K$1001,$AB397)/10000),INT(MOD(INDEX(입력_기본자료!$K$2:$K$1001,$AB397),10000)/100),MOD(INDEX(입력_기본자료!$K$2:$K$1001,$AB397),100)),INDEX(입력_기본자료!$K$2:$K$1001,$AB397)&amp;"")))))</f>
        <v/>
      </c>
      <c r="F397" s="10">
        <f>IF($AB397="","",IF(INDEX(입력_기본자료!$D$2:$D$1001,$AB397)="","",INDEX(입력_기본자료!$D$2:$D$1001,$AB397)))</f>
        <v/>
      </c>
      <c r="G397" s="10">
        <f>IF($AB397="","",IF(INDEX(입력_기본자료!$E$2:$E$1001,$AB397)="","",INDEX(입력_기본자료!$E$2:$E$1001,$AB397)))</f>
        <v/>
      </c>
      <c r="H397" s="10">
        <f>IF($AB397="","",IF(INDEX(입력_기본자료!$F$2:$F$1001,$AB397)="","",INDEX(입력_기본자료!$F$2:$F$1001,$AB397)))</f>
        <v/>
      </c>
      <c r="I397" s="11">
        <f>IF($AB397="","",IF(INDEX(입력_기본자료!$G$2:$G$1001,$AB397)="","",IF(NOT(ISNUMBER(INDEX(입력_기본자료!$G$2:$G$1001,$AB397))),INDEX(입력_기본자료!$G$2:$G$1001,$AB397),IF(INDEX(입력_기본자료!$G$2:$G$1001,$AB397)&lt;1000000,INDEX(입력_기본자료!$G$2:$G$1001,$AB397),IF(AND(INDEX(입력_기본자료!$G$2:$G$1001,$AB397)&gt;=10000101,INT(MOD(INDEX(입력_기본자료!$G$2:$G$1001,$AB397),10000)/100)&gt;=1,INT(MOD(INDEX(입력_기본자료!$G$2:$G$1001,$AB397),10000)/100)&lt;=12,MOD(INDEX(입력_기본자료!$G$2:$G$1001,$AB397),100)&gt;=1,MOD(INDEX(입력_기본자료!$G$2:$G$1001,$AB397),100)&lt;=31),DATE(INT(INDEX(입력_기본자료!$G$2:$G$1001,$AB397)/10000),INT(MOD(INDEX(입력_기본자료!$G$2:$G$1001,$AB397),10000)/100),MOD(INDEX(입력_기본자료!$G$2:$G$1001,$AB397),100)),INDEX(입력_기본자료!$G$2:$G$1001,$AB397)&amp;"")))))</f>
        <v/>
      </c>
      <c r="J397" s="10">
        <f>IF($AB397="","",IF(INDEX(입력_기본자료!$H$2:$H$1001,$AB397)="","",INDEX(입력_기본자료!$H$2:$H$1001,$AB397)))</f>
        <v/>
      </c>
      <c r="K397" s="10">
        <f>IF($AB397="","",IF(INDEX(입력_기본자료!$I$2:$I$1001,$AB397)="","",INDEX(입력_기본자료!$I$2:$I$1001,$AB397)))</f>
        <v/>
      </c>
      <c r="L397" s="10">
        <f>IF($AB397="","",IF(INDEX(입력_기본자료!$A$2:$A$1001,$AB397)="","",INDEX(입력_기본자료!$A$2:$A$1001,$AB397)))</f>
        <v/>
      </c>
      <c r="M397" s="15" t="n"/>
      <c r="N397" s="10">
        <f>IF($B397="","",IF(AND($U397="파견중",$Q397&lt;&gt;""),$Q397,IF(AND($AD397&lt;&gt;"",LEFT($AD397,1)&lt;&gt;"⚠"),LEFT($AD397,FIND(" ",$AD397)-1),IF($H397="","",IF(RIGHT($H397,2)="병원",$H397,$H397&amp;"병원")))))</f>
        <v/>
      </c>
      <c r="O397" s="10">
        <f>IF($B397="","",IF(AND($U397="파견중",$Q397&lt;&gt;""),IF($R397&lt;&gt;"",$R397,"파견과 미입력"),IF(AND($AD397&lt;&gt;"",LEFT($AD397,1)&lt;&gt;"⚠"),MID($AD397,FIND(" ",$AD397)+1,60),IF($F397="","",IF($F397="인턴","수련교육부(인턴)",$F397)))))</f>
        <v/>
      </c>
      <c r="P397" s="10">
        <f>IF($B397="","",IF($AK397&lt;&gt;"",IF(AND(TODAY()&gt;=INDEX(입력_파견수련계획!$AB$4:$AB$803,$AK397),OR(NOT(ISNUMBER(INDEX(입력_파견수련계획!$AC$4:$AC$803,$AK397))),TODAY()&lt;=INDEX(입력_파견수련계획!$AC$4:$AC$803,$AK397))),"다기관",IF($AF397="","",INDEX(입력_파견수련계획!$T$4:$T$803,$AF397))),IF($AF397="","",INDEX(입력_파견수련계획!$T$4:$T$803,$AF397))))</f>
        <v/>
      </c>
      <c r="Q397" s="10">
        <f>IF($AF397="","",INDEX(입력_파견수련계획!$S$4:$S$803,$AF397))</f>
        <v/>
      </c>
      <c r="R397" s="10">
        <f>IF($AF397="","",INDEX(입력_파견수련계획!$U$4:$U$803,$AF397))</f>
        <v/>
      </c>
      <c r="S397" s="11">
        <f>IF($AF397="","",IF(INDEX(입력_파견수련계획!$H$4:$H$803,$AF397)="","",INDEX(입력_파견수련계획!$H$4:$H$803,$AF397)))</f>
        <v/>
      </c>
      <c r="T397" s="11">
        <f>IF($AF397="","",IF(INDEX(입력_파견수련계획!$I$4:$I$803,$AF397)="","",INDEX(입력_파견수련계획!$I$4:$I$803,$AF397)))</f>
        <v/>
      </c>
      <c r="U397" s="10">
        <f>IF($AF397="","",INDEX(입력_파견수련계획!$X$4:$X$803,$AF397))</f>
        <v/>
      </c>
      <c r="V397" s="17">
        <f>IF($AF397="","",INDEX(입력_파견수련계획!$V$4:$V$803,$AF397))</f>
        <v/>
      </c>
      <c r="W397" s="17">
        <f>IF(AND($U397="파견중",$T397&lt;&gt;""),$T397-TODAY(),"")</f>
        <v/>
      </c>
      <c r="X397" s="17">
        <f>IF(OR($B397="",TRIM($J397&amp;"")=""),"",SUMPRODUCT((입력_파견수련계획!$Q$4:$Q$803=TRIM($J397&amp;""))*입력_파견수련계획!$W$4:$W$803))</f>
        <v/>
      </c>
      <c r="Y397" s="10">
        <f>IF($B397="","",IF($AG397="","",IF(IF(TRIM($J397&amp;"")="",0,SUMPRODUCT((입력_파견수련계획!$Q$4:$Q$803=TRIM($J397&amp;""))*입력_파견수련계획!$AD$4:$AD$803))&gt;0,$AE397,IF(AND(N($X397)&lt;=0,$AQ397=""),$AG397,IF($AH397+$AI397=DAY(EOMONTH(출력_요약!$B$3,0)),IF(AND($AH397&gt;=출력_요약!$E$3,$AI397&lt;출력_요약!$E$3),"서울병원",IF(AND($AI397&gt;=출력_요약!$E$3,$AH397&lt;출력_요약!$E$3),"구리병원","⚠15일 판정불가(서울 "&amp;$AH397&amp;"일/구리 "&amp;$AI397&amp;"일)")),IF($AJ397="",$AE397,IF(INDEX(입력_파견수련계획!$T$4:$T$803,$AJ397)="통합수련",INDEX(입력_파견수련계획!$S$4:$S$803,$AJ397),$AE397)))))))</f>
        <v/>
      </c>
      <c r="Z397" s="20">
        <f>IF($B397="","",IF($AB397="","기본자료에 없는 사번",IF(COUNTIF($B$2:$B$401,$B397)&gt;1,"중복 사번",IF($AE397="","소속(입사장소) 입력",IF(IF(TRIM($J397&amp;"")="",0,SUMPRODUCT((입력_파견수련계획!$Q$4:$Q$803=TRIM($J397&amp;""))*(입력_파견수련계획!$AA$4:$AA$803&lt;&gt;"")))&gt;0,"파견수련계획 입력오류 확인",IF(LEFT($Y397,1)="⚠","서울·구리 15일 판정 불가(양쪽 모두 이상/미만)",IF(IF($AC397="",0,N(INDEX(입력_인턴근무계획!$T$3:$T$402,$AC397)))&gt;0,"인턴계획 입력오류 확인",IF(AND($AQ397&lt;&gt;"",$AG397&lt;&gt;"구리병원",IF(TRIM($J397&amp;"")="",0,SUMPRODUCT((입력_파견수련계획!$Q$4:$Q$803=TRIM($J397&amp;""))*(입력_파견수련계획!$S$4:$S$803="구리병원")*입력_파견수련계획!$W$4:$W$803))=0),"구리 근무자명단에만 있음(파견수련계획 확인)",IF(AND($AC397&lt;&gt;"",$U397&lt;&gt;"파견중",$N397&lt;&gt;$AE397),"인턴 타지역 근무: 파견 여부 확인","정상")))))))))</f>
        <v/>
      </c>
      <c r="AA397" s="5" t="n"/>
      <c r="AB397" s="10">
        <f>IF($B397="","",IFERROR(MATCH($B397,입력_기본자료!$B$2:$B$1001,0),IFERROR(MATCH($B397&amp;"",입력_기본자료!$B$2:$B$1001,0),IFERROR(MATCH(VALUE($B397),입력_기본자료!$B$2:$B$1001,0),""))))</f>
        <v/>
      </c>
      <c r="AC397" s="10">
        <f>IF($B397="","",IFERROR(MATCH($B397,입력_인턴근무계획!$D$3:$D$402,0),IFERROR(MATCH($B397&amp;"",입력_인턴근무계획!$D$3:$D$402,0),IFERROR(MATCH(VALUE($B397),입력_인턴근무계획!$D$3:$D$402,0),""))))</f>
        <v/>
      </c>
      <c r="AD397" s="10">
        <f>IF(OR($AC397="",출력_인턴현황!$G$3=""),"",INDEX(입력_인턴근무계획!$M$3:$R$402,$AC397,출력_인턴현황!$G$3)&amp;"")</f>
        <v/>
      </c>
      <c r="AE397" s="10">
        <f>IF($B397="","",IF($M397&lt;&gt;"",$M397,IF(IF($AQ397="",FALSE,INDEX(출력_구리근무자!$J$6:$J$305,$AQ397)="구리독자"),"구리병원",IF($AF397&lt;&gt;"",IF(LEFT(INDEX(입력_파견수련계획!$R$4:$R$803,$AF397),1)&lt;&gt;"⚠",INDEX(입력_파견수련계획!$R$4:$R$803,$AF397),IF($H397="","",IF(RIGHT($H397,2)="병원",$H397,$H397&amp;"병원"))),IF($H397="","",IF(RIGHT($H397,2)="병원",$H397,$H397&amp;"병원"))))))</f>
        <v/>
      </c>
      <c r="AF397" s="10">
        <f>IF(OR($B397="",TRIM($J397&amp;"")=""),"",IFERROR(MATCH(TRIM($J397&amp;"")&amp;"|파견중",입력_파견수련계획!$Y$4:$Y$803,0),IFERROR(MATCH(TRIM($J397&amp;"")&amp;"|파견예정",입력_파견수련계획!$Y$4:$Y$803,0),IFERROR(MATCH(TRIM($J397&amp;"")&amp;"|파견종료",입력_파견수련계획!$Y$4:$Y$803,0),""))))</f>
        <v/>
      </c>
      <c r="AG397" s="10">
        <f>IF($B397="","",IF(AND(IF(OR($AC397="",출력_인턴현황!$K$2=""),"",INDEX(입력_인턴근무계획!$M$3:$R$402,$AC397,출력_인턴현황!$K$2)&amp;"")&lt;&gt;"",LEFT(IF(OR($AC397="",출력_인턴현황!$K$2=""),"",INDEX(입력_인턴근무계획!$M$3:$R$402,$AC397,출력_인턴현황!$K$2)&amp;""),1)&lt;&gt;"⚠"),LEFT(IF(OR($AC397="",출력_인턴현황!$K$2=""),"",INDEX(입력_인턴근무계획!$M$3:$R$402,$AC397,출력_인턴현황!$K$2)&amp;""),FIND(" ",IF(OR($AC397="",출력_인턴현황!$K$2=""),"",INDEX(입력_인턴근무계획!$M$3:$R$402,$AC397,출력_인턴현황!$K$2)&amp;""))-1),$AE397))</f>
        <v/>
      </c>
      <c r="AH397" s="17">
        <f>IF($B397="","",IF($AQ397&lt;&gt;"",MAX(0,DAY(EOMONTH(출력_요약!$B$3,0))-N($AR397)),IF(TRIM($J397&amp;"")="",0,SUMPRODUCT((입력_파견수련계획!$Q$4:$Q$803=TRIM($J397&amp;""))*(입력_파견수련계획!$S$4:$S$803="서울병원")*입력_파견수련계획!$W$4:$W$803))+IF($AG397="서울병원",MAX(0,DAY(EOMONTH(출력_요약!$B$3,0))-N($X397)),0)))</f>
        <v/>
      </c>
      <c r="AI397" s="17">
        <f>IF($B397="","",IF($AQ397&lt;&gt;"",N($AR397),IF(TRIM($J397&amp;"")="",0,SUMPRODUCT((입력_파견수련계획!$Q$4:$Q$803=TRIM($J397&amp;""))*(입력_파견수련계획!$S$4:$S$803="구리병원")*입력_파견수련계획!$W$4:$W$803))+IF($AG397="구리병원",MAX(0,DAY(EOMONTH(출력_요약!$B$3,0))-N($X397)),0)))</f>
        <v/>
      </c>
      <c r="AJ397" s="10">
        <f>IF(OR($B397="",TRIM($J397&amp;"")=""),"",IFERROR(MATCH(TRIM($J397&amp;"")&amp;"|월",입력_파견수련계획!$Z$4:$Z$803,0),""))</f>
        <v/>
      </c>
      <c r="AK397" s="10">
        <f>IF(OR($B397="",TRIM($J397&amp;"")=""),"",IFERROR(MATCH(TRIM($J397&amp;"")&amp;"|다기관",입력_파견수련계획!$AE$4:$AE$803,0),""))</f>
        <v/>
      </c>
      <c r="AL397" s="10">
        <f>IF($AK397="","","다기관 "&amp;TEXT(INDEX(입력_파견수련계획!$AB$4:$AB$803,$AK397),"yyyy-mm-dd")&amp;"~"&amp;IF(ISNUMBER(INDEX(입력_파견수련계획!$AC$4:$AC$803,$AK397)),TEXT(INDEX(입력_파견수련계획!$AC$4:$AC$803,$AK397),"yyyy-mm-dd"),""))</f>
        <v/>
      </c>
      <c r="AM397" s="10">
        <f>IF($Y397="서울병원",COUNTIF($Y$2:$Y397,"서울병원"),"")</f>
        <v/>
      </c>
      <c r="AN397" s="10">
        <f>IF(LEFT($Y397,1)="⚠",COUNTIF($Y$2:$Y397,"⚠*"),"")</f>
        <v/>
      </c>
      <c r="AO397" s="10">
        <f>IF(OR($B397="",$Y397=""),"",IF(IF(TRIM($J397&amp;"")="",0,SUMPRODUCT((입력_파견수련계획!$Q$4:$Q$803=TRIM($J397&amp;""))*입력_파견수련계획!$AD$4:$AD$803))&gt;0,"다기관 기간 → 소속병원 지급",IF(AND(N($X397)&lt;=0,$AQ397=""),"파견 없음 → 그 달 근무병원 지급",IF($AH397+$AI397=DAY(EOMONTH(출력_요약!$B$3,0)),"서울 "&amp;$AH397&amp;"일 / 구리 "&amp;$AI397&amp;"일"&amp;IF($AQ397&lt;&gt;""," (구리 근무자명단 반영)","")&amp;" → 15일 이상 근무 병원 지급","타 병원 포함 → "&amp;IF($AJ397="","소속",INDEX(입력_파견수련계획!$T$4:$T$803,$AJ397))&amp;" 규칙"))))</f>
        <v/>
      </c>
      <c r="AP397" s="10">
        <f>IF($B397="","",$C397&amp;"|"&amp;$F397)</f>
        <v/>
      </c>
      <c r="AQ397" s="10">
        <f>IF($B397="","",IFERROR(MATCH(ROW()-1,출력_구리근무자!$K$6:$K$305,0),""))</f>
        <v/>
      </c>
      <c r="AR397" s="10">
        <f>IF($AQ397="","",INDEX(출력_구리근무자!$H$6:$H$305,$AQ397))</f>
        <v/>
      </c>
    </row>
    <row r="398">
      <c r="A398" s="10">
        <f>IF(B398="","",ROW()-1)</f>
        <v/>
      </c>
      <c r="B398" s="19" t="n"/>
      <c r="C398" s="10">
        <f>IF($AB398="","",IF(INDEX(입력_기본자료!$C$2:$C$1001,$AB398)="","",INDEX(입력_기본자료!$C$2:$C$1001,$AB398)))</f>
        <v/>
      </c>
      <c r="D398" s="10">
        <f>IF($AB398="","",IF(INDEX(입력_기본자료!$J$2:$J$1001,$AB398)="","",INDEX(입력_기본자료!$J$2:$J$1001,$AB398)))</f>
        <v/>
      </c>
      <c r="E398" s="11">
        <f>IF($AB398="","",IF(INDEX(입력_기본자료!$K$2:$K$1001,$AB398)="","",IF(NOT(ISNUMBER(INDEX(입력_기본자료!$K$2:$K$1001,$AB398))),INDEX(입력_기본자료!$K$2:$K$1001,$AB398),IF(INDEX(입력_기본자료!$K$2:$K$1001,$AB398)&lt;1000000,INDEX(입력_기본자료!$K$2:$K$1001,$AB398),IF(AND(INDEX(입력_기본자료!$K$2:$K$1001,$AB398)&gt;=10000101,INT(MOD(INDEX(입력_기본자료!$K$2:$K$1001,$AB398),10000)/100)&gt;=1,INT(MOD(INDEX(입력_기본자료!$K$2:$K$1001,$AB398),10000)/100)&lt;=12,MOD(INDEX(입력_기본자료!$K$2:$K$1001,$AB398),100)&gt;=1,MOD(INDEX(입력_기본자료!$K$2:$K$1001,$AB398),100)&lt;=31),DATE(INT(INDEX(입력_기본자료!$K$2:$K$1001,$AB398)/10000),INT(MOD(INDEX(입력_기본자료!$K$2:$K$1001,$AB398),10000)/100),MOD(INDEX(입력_기본자료!$K$2:$K$1001,$AB398),100)),INDEX(입력_기본자료!$K$2:$K$1001,$AB398)&amp;"")))))</f>
        <v/>
      </c>
      <c r="F398" s="10">
        <f>IF($AB398="","",IF(INDEX(입력_기본자료!$D$2:$D$1001,$AB398)="","",INDEX(입력_기본자료!$D$2:$D$1001,$AB398)))</f>
        <v/>
      </c>
      <c r="G398" s="10">
        <f>IF($AB398="","",IF(INDEX(입력_기본자료!$E$2:$E$1001,$AB398)="","",INDEX(입력_기본자료!$E$2:$E$1001,$AB398)))</f>
        <v/>
      </c>
      <c r="H398" s="10">
        <f>IF($AB398="","",IF(INDEX(입력_기본자료!$F$2:$F$1001,$AB398)="","",INDEX(입력_기본자료!$F$2:$F$1001,$AB398)))</f>
        <v/>
      </c>
      <c r="I398" s="11">
        <f>IF($AB398="","",IF(INDEX(입력_기본자료!$G$2:$G$1001,$AB398)="","",IF(NOT(ISNUMBER(INDEX(입력_기본자료!$G$2:$G$1001,$AB398))),INDEX(입력_기본자료!$G$2:$G$1001,$AB398),IF(INDEX(입력_기본자료!$G$2:$G$1001,$AB398)&lt;1000000,INDEX(입력_기본자료!$G$2:$G$1001,$AB398),IF(AND(INDEX(입력_기본자료!$G$2:$G$1001,$AB398)&gt;=10000101,INT(MOD(INDEX(입력_기본자료!$G$2:$G$1001,$AB398),10000)/100)&gt;=1,INT(MOD(INDEX(입력_기본자료!$G$2:$G$1001,$AB398),10000)/100)&lt;=12,MOD(INDEX(입력_기본자료!$G$2:$G$1001,$AB398),100)&gt;=1,MOD(INDEX(입력_기본자료!$G$2:$G$1001,$AB398),100)&lt;=31),DATE(INT(INDEX(입력_기본자료!$G$2:$G$1001,$AB398)/10000),INT(MOD(INDEX(입력_기본자료!$G$2:$G$1001,$AB398),10000)/100),MOD(INDEX(입력_기본자료!$G$2:$G$1001,$AB398),100)),INDEX(입력_기본자료!$G$2:$G$1001,$AB398)&amp;"")))))</f>
        <v/>
      </c>
      <c r="J398" s="10">
        <f>IF($AB398="","",IF(INDEX(입력_기본자료!$H$2:$H$1001,$AB398)="","",INDEX(입력_기본자료!$H$2:$H$1001,$AB398)))</f>
        <v/>
      </c>
      <c r="K398" s="10">
        <f>IF($AB398="","",IF(INDEX(입력_기본자료!$I$2:$I$1001,$AB398)="","",INDEX(입력_기본자료!$I$2:$I$1001,$AB398)))</f>
        <v/>
      </c>
      <c r="L398" s="10">
        <f>IF($AB398="","",IF(INDEX(입력_기본자료!$A$2:$A$1001,$AB398)="","",INDEX(입력_기본자료!$A$2:$A$1001,$AB398)))</f>
        <v/>
      </c>
      <c r="M398" s="15" t="n"/>
      <c r="N398" s="10">
        <f>IF($B398="","",IF(AND($U398="파견중",$Q398&lt;&gt;""),$Q398,IF(AND($AD398&lt;&gt;"",LEFT($AD398,1)&lt;&gt;"⚠"),LEFT($AD398,FIND(" ",$AD398)-1),IF($H398="","",IF(RIGHT($H398,2)="병원",$H398,$H398&amp;"병원")))))</f>
        <v/>
      </c>
      <c r="O398" s="10">
        <f>IF($B398="","",IF(AND($U398="파견중",$Q398&lt;&gt;""),IF($R398&lt;&gt;"",$R398,"파견과 미입력"),IF(AND($AD398&lt;&gt;"",LEFT($AD398,1)&lt;&gt;"⚠"),MID($AD398,FIND(" ",$AD398)+1,60),IF($F398="","",IF($F398="인턴","수련교육부(인턴)",$F398)))))</f>
        <v/>
      </c>
      <c r="P398" s="10">
        <f>IF($B398="","",IF($AK398&lt;&gt;"",IF(AND(TODAY()&gt;=INDEX(입력_파견수련계획!$AB$4:$AB$803,$AK398),OR(NOT(ISNUMBER(INDEX(입력_파견수련계획!$AC$4:$AC$803,$AK398))),TODAY()&lt;=INDEX(입력_파견수련계획!$AC$4:$AC$803,$AK398))),"다기관",IF($AF398="","",INDEX(입력_파견수련계획!$T$4:$T$803,$AF398))),IF($AF398="","",INDEX(입력_파견수련계획!$T$4:$T$803,$AF398))))</f>
        <v/>
      </c>
      <c r="Q398" s="10">
        <f>IF($AF398="","",INDEX(입력_파견수련계획!$S$4:$S$803,$AF398))</f>
        <v/>
      </c>
      <c r="R398" s="10">
        <f>IF($AF398="","",INDEX(입력_파견수련계획!$U$4:$U$803,$AF398))</f>
        <v/>
      </c>
      <c r="S398" s="11">
        <f>IF($AF398="","",IF(INDEX(입력_파견수련계획!$H$4:$H$803,$AF398)="","",INDEX(입력_파견수련계획!$H$4:$H$803,$AF398)))</f>
        <v/>
      </c>
      <c r="T398" s="11">
        <f>IF($AF398="","",IF(INDEX(입력_파견수련계획!$I$4:$I$803,$AF398)="","",INDEX(입력_파견수련계획!$I$4:$I$803,$AF398)))</f>
        <v/>
      </c>
      <c r="U398" s="10">
        <f>IF($AF398="","",INDEX(입력_파견수련계획!$X$4:$X$803,$AF398))</f>
        <v/>
      </c>
      <c r="V398" s="17">
        <f>IF($AF398="","",INDEX(입력_파견수련계획!$V$4:$V$803,$AF398))</f>
        <v/>
      </c>
      <c r="W398" s="17">
        <f>IF(AND($U398="파견중",$T398&lt;&gt;""),$T398-TODAY(),"")</f>
        <v/>
      </c>
      <c r="X398" s="17">
        <f>IF(OR($B398="",TRIM($J398&amp;"")=""),"",SUMPRODUCT((입력_파견수련계획!$Q$4:$Q$803=TRIM($J398&amp;""))*입력_파견수련계획!$W$4:$W$803))</f>
        <v/>
      </c>
      <c r="Y398" s="10">
        <f>IF($B398="","",IF($AG398="","",IF(IF(TRIM($J398&amp;"")="",0,SUMPRODUCT((입력_파견수련계획!$Q$4:$Q$803=TRIM($J398&amp;""))*입력_파견수련계획!$AD$4:$AD$803))&gt;0,$AE398,IF(AND(N($X398)&lt;=0,$AQ398=""),$AG398,IF($AH398+$AI398=DAY(EOMONTH(출력_요약!$B$3,0)),IF(AND($AH398&gt;=출력_요약!$E$3,$AI398&lt;출력_요약!$E$3),"서울병원",IF(AND($AI398&gt;=출력_요약!$E$3,$AH398&lt;출력_요약!$E$3),"구리병원","⚠15일 판정불가(서울 "&amp;$AH398&amp;"일/구리 "&amp;$AI398&amp;"일)")),IF($AJ398="",$AE398,IF(INDEX(입력_파견수련계획!$T$4:$T$803,$AJ398)="통합수련",INDEX(입력_파견수련계획!$S$4:$S$803,$AJ398),$AE398)))))))</f>
        <v/>
      </c>
      <c r="Z398" s="20">
        <f>IF($B398="","",IF($AB398="","기본자료에 없는 사번",IF(COUNTIF($B$2:$B$401,$B398)&gt;1,"중복 사번",IF($AE398="","소속(입사장소) 입력",IF(IF(TRIM($J398&amp;"")="",0,SUMPRODUCT((입력_파견수련계획!$Q$4:$Q$803=TRIM($J398&amp;""))*(입력_파견수련계획!$AA$4:$AA$803&lt;&gt;"")))&gt;0,"파견수련계획 입력오류 확인",IF(LEFT($Y398,1)="⚠","서울·구리 15일 판정 불가(양쪽 모두 이상/미만)",IF(IF($AC398="",0,N(INDEX(입력_인턴근무계획!$T$3:$T$402,$AC398)))&gt;0,"인턴계획 입력오류 확인",IF(AND($AQ398&lt;&gt;"",$AG398&lt;&gt;"구리병원",IF(TRIM($J398&amp;"")="",0,SUMPRODUCT((입력_파견수련계획!$Q$4:$Q$803=TRIM($J398&amp;""))*(입력_파견수련계획!$S$4:$S$803="구리병원")*입력_파견수련계획!$W$4:$W$803))=0),"구리 근무자명단에만 있음(파견수련계획 확인)",IF(AND($AC398&lt;&gt;"",$U398&lt;&gt;"파견중",$N398&lt;&gt;$AE398),"인턴 타지역 근무: 파견 여부 확인","정상")))))))))</f>
        <v/>
      </c>
      <c r="AA398" s="5" t="n"/>
      <c r="AB398" s="10">
        <f>IF($B398="","",IFERROR(MATCH($B398,입력_기본자료!$B$2:$B$1001,0),IFERROR(MATCH($B398&amp;"",입력_기본자료!$B$2:$B$1001,0),IFERROR(MATCH(VALUE($B398),입력_기본자료!$B$2:$B$1001,0),""))))</f>
        <v/>
      </c>
      <c r="AC398" s="10">
        <f>IF($B398="","",IFERROR(MATCH($B398,입력_인턴근무계획!$D$3:$D$402,0),IFERROR(MATCH($B398&amp;"",입력_인턴근무계획!$D$3:$D$402,0),IFERROR(MATCH(VALUE($B398),입력_인턴근무계획!$D$3:$D$402,0),""))))</f>
        <v/>
      </c>
      <c r="AD398" s="10">
        <f>IF(OR($AC398="",출력_인턴현황!$G$3=""),"",INDEX(입력_인턴근무계획!$M$3:$R$402,$AC398,출력_인턴현황!$G$3)&amp;"")</f>
        <v/>
      </c>
      <c r="AE398" s="10">
        <f>IF($B398="","",IF($M398&lt;&gt;"",$M398,IF(IF($AQ398="",FALSE,INDEX(출력_구리근무자!$J$6:$J$305,$AQ398)="구리독자"),"구리병원",IF($AF398&lt;&gt;"",IF(LEFT(INDEX(입력_파견수련계획!$R$4:$R$803,$AF398),1)&lt;&gt;"⚠",INDEX(입력_파견수련계획!$R$4:$R$803,$AF398),IF($H398="","",IF(RIGHT($H398,2)="병원",$H398,$H398&amp;"병원"))),IF($H398="","",IF(RIGHT($H398,2)="병원",$H398,$H398&amp;"병원"))))))</f>
        <v/>
      </c>
      <c r="AF398" s="10">
        <f>IF(OR($B398="",TRIM($J398&amp;"")=""),"",IFERROR(MATCH(TRIM($J398&amp;"")&amp;"|파견중",입력_파견수련계획!$Y$4:$Y$803,0),IFERROR(MATCH(TRIM($J398&amp;"")&amp;"|파견예정",입력_파견수련계획!$Y$4:$Y$803,0),IFERROR(MATCH(TRIM($J398&amp;"")&amp;"|파견종료",입력_파견수련계획!$Y$4:$Y$803,0),""))))</f>
        <v/>
      </c>
      <c r="AG398" s="10">
        <f>IF($B398="","",IF(AND(IF(OR($AC398="",출력_인턴현황!$K$2=""),"",INDEX(입력_인턴근무계획!$M$3:$R$402,$AC398,출력_인턴현황!$K$2)&amp;"")&lt;&gt;"",LEFT(IF(OR($AC398="",출력_인턴현황!$K$2=""),"",INDEX(입력_인턴근무계획!$M$3:$R$402,$AC398,출력_인턴현황!$K$2)&amp;""),1)&lt;&gt;"⚠"),LEFT(IF(OR($AC398="",출력_인턴현황!$K$2=""),"",INDEX(입력_인턴근무계획!$M$3:$R$402,$AC398,출력_인턴현황!$K$2)&amp;""),FIND(" ",IF(OR($AC398="",출력_인턴현황!$K$2=""),"",INDEX(입력_인턴근무계획!$M$3:$R$402,$AC398,출력_인턴현황!$K$2)&amp;""))-1),$AE398))</f>
        <v/>
      </c>
      <c r="AH398" s="17">
        <f>IF($B398="","",IF($AQ398&lt;&gt;"",MAX(0,DAY(EOMONTH(출력_요약!$B$3,0))-N($AR398)),IF(TRIM($J398&amp;"")="",0,SUMPRODUCT((입력_파견수련계획!$Q$4:$Q$803=TRIM($J398&amp;""))*(입력_파견수련계획!$S$4:$S$803="서울병원")*입력_파견수련계획!$W$4:$W$803))+IF($AG398="서울병원",MAX(0,DAY(EOMONTH(출력_요약!$B$3,0))-N($X398)),0)))</f>
        <v/>
      </c>
      <c r="AI398" s="17">
        <f>IF($B398="","",IF($AQ398&lt;&gt;"",N($AR398),IF(TRIM($J398&amp;"")="",0,SUMPRODUCT((입력_파견수련계획!$Q$4:$Q$803=TRIM($J398&amp;""))*(입력_파견수련계획!$S$4:$S$803="구리병원")*입력_파견수련계획!$W$4:$W$803))+IF($AG398="구리병원",MAX(0,DAY(EOMONTH(출력_요약!$B$3,0))-N($X398)),0)))</f>
        <v/>
      </c>
      <c r="AJ398" s="10">
        <f>IF(OR($B398="",TRIM($J398&amp;"")=""),"",IFERROR(MATCH(TRIM($J398&amp;"")&amp;"|월",입력_파견수련계획!$Z$4:$Z$803,0),""))</f>
        <v/>
      </c>
      <c r="AK398" s="10">
        <f>IF(OR($B398="",TRIM($J398&amp;"")=""),"",IFERROR(MATCH(TRIM($J398&amp;"")&amp;"|다기관",입력_파견수련계획!$AE$4:$AE$803,0),""))</f>
        <v/>
      </c>
      <c r="AL398" s="10">
        <f>IF($AK398="","","다기관 "&amp;TEXT(INDEX(입력_파견수련계획!$AB$4:$AB$803,$AK398),"yyyy-mm-dd")&amp;"~"&amp;IF(ISNUMBER(INDEX(입력_파견수련계획!$AC$4:$AC$803,$AK398)),TEXT(INDEX(입력_파견수련계획!$AC$4:$AC$803,$AK398),"yyyy-mm-dd"),""))</f>
        <v/>
      </c>
      <c r="AM398" s="10">
        <f>IF($Y398="서울병원",COUNTIF($Y$2:$Y398,"서울병원"),"")</f>
        <v/>
      </c>
      <c r="AN398" s="10">
        <f>IF(LEFT($Y398,1)="⚠",COUNTIF($Y$2:$Y398,"⚠*"),"")</f>
        <v/>
      </c>
      <c r="AO398" s="10">
        <f>IF(OR($B398="",$Y398=""),"",IF(IF(TRIM($J398&amp;"")="",0,SUMPRODUCT((입력_파견수련계획!$Q$4:$Q$803=TRIM($J398&amp;""))*입력_파견수련계획!$AD$4:$AD$803))&gt;0,"다기관 기간 → 소속병원 지급",IF(AND(N($X398)&lt;=0,$AQ398=""),"파견 없음 → 그 달 근무병원 지급",IF($AH398+$AI398=DAY(EOMONTH(출력_요약!$B$3,0)),"서울 "&amp;$AH398&amp;"일 / 구리 "&amp;$AI398&amp;"일"&amp;IF($AQ398&lt;&gt;""," (구리 근무자명단 반영)","")&amp;" → 15일 이상 근무 병원 지급","타 병원 포함 → "&amp;IF($AJ398="","소속",INDEX(입력_파견수련계획!$T$4:$T$803,$AJ398))&amp;" 규칙"))))</f>
        <v/>
      </c>
      <c r="AP398" s="10">
        <f>IF($B398="","",$C398&amp;"|"&amp;$F398)</f>
        <v/>
      </c>
      <c r="AQ398" s="10">
        <f>IF($B398="","",IFERROR(MATCH(ROW()-1,출력_구리근무자!$K$6:$K$305,0),""))</f>
        <v/>
      </c>
      <c r="AR398" s="10">
        <f>IF($AQ398="","",INDEX(출력_구리근무자!$H$6:$H$305,$AQ398))</f>
        <v/>
      </c>
    </row>
    <row r="399">
      <c r="A399" s="10">
        <f>IF(B399="","",ROW()-1)</f>
        <v/>
      </c>
      <c r="B399" s="19" t="n"/>
      <c r="C399" s="10">
        <f>IF($AB399="","",IF(INDEX(입력_기본자료!$C$2:$C$1001,$AB399)="","",INDEX(입력_기본자료!$C$2:$C$1001,$AB399)))</f>
        <v/>
      </c>
      <c r="D399" s="10">
        <f>IF($AB399="","",IF(INDEX(입력_기본자료!$J$2:$J$1001,$AB399)="","",INDEX(입력_기본자료!$J$2:$J$1001,$AB399)))</f>
        <v/>
      </c>
      <c r="E399" s="11">
        <f>IF($AB399="","",IF(INDEX(입력_기본자료!$K$2:$K$1001,$AB399)="","",IF(NOT(ISNUMBER(INDEX(입력_기본자료!$K$2:$K$1001,$AB399))),INDEX(입력_기본자료!$K$2:$K$1001,$AB399),IF(INDEX(입력_기본자료!$K$2:$K$1001,$AB399)&lt;1000000,INDEX(입력_기본자료!$K$2:$K$1001,$AB399),IF(AND(INDEX(입력_기본자료!$K$2:$K$1001,$AB399)&gt;=10000101,INT(MOD(INDEX(입력_기본자료!$K$2:$K$1001,$AB399),10000)/100)&gt;=1,INT(MOD(INDEX(입력_기본자료!$K$2:$K$1001,$AB399),10000)/100)&lt;=12,MOD(INDEX(입력_기본자료!$K$2:$K$1001,$AB399),100)&gt;=1,MOD(INDEX(입력_기본자료!$K$2:$K$1001,$AB399),100)&lt;=31),DATE(INT(INDEX(입력_기본자료!$K$2:$K$1001,$AB399)/10000),INT(MOD(INDEX(입력_기본자료!$K$2:$K$1001,$AB399),10000)/100),MOD(INDEX(입력_기본자료!$K$2:$K$1001,$AB399),100)),INDEX(입력_기본자료!$K$2:$K$1001,$AB399)&amp;"")))))</f>
        <v/>
      </c>
      <c r="F399" s="10">
        <f>IF($AB399="","",IF(INDEX(입력_기본자료!$D$2:$D$1001,$AB399)="","",INDEX(입력_기본자료!$D$2:$D$1001,$AB399)))</f>
        <v/>
      </c>
      <c r="G399" s="10">
        <f>IF($AB399="","",IF(INDEX(입력_기본자료!$E$2:$E$1001,$AB399)="","",INDEX(입력_기본자료!$E$2:$E$1001,$AB399)))</f>
        <v/>
      </c>
      <c r="H399" s="10">
        <f>IF($AB399="","",IF(INDEX(입력_기본자료!$F$2:$F$1001,$AB399)="","",INDEX(입력_기본자료!$F$2:$F$1001,$AB399)))</f>
        <v/>
      </c>
      <c r="I399" s="11">
        <f>IF($AB399="","",IF(INDEX(입력_기본자료!$G$2:$G$1001,$AB399)="","",IF(NOT(ISNUMBER(INDEX(입력_기본자료!$G$2:$G$1001,$AB399))),INDEX(입력_기본자료!$G$2:$G$1001,$AB399),IF(INDEX(입력_기본자료!$G$2:$G$1001,$AB399)&lt;1000000,INDEX(입력_기본자료!$G$2:$G$1001,$AB399),IF(AND(INDEX(입력_기본자료!$G$2:$G$1001,$AB399)&gt;=10000101,INT(MOD(INDEX(입력_기본자료!$G$2:$G$1001,$AB399),10000)/100)&gt;=1,INT(MOD(INDEX(입력_기본자료!$G$2:$G$1001,$AB399),10000)/100)&lt;=12,MOD(INDEX(입력_기본자료!$G$2:$G$1001,$AB399),100)&gt;=1,MOD(INDEX(입력_기본자료!$G$2:$G$1001,$AB399),100)&lt;=31),DATE(INT(INDEX(입력_기본자료!$G$2:$G$1001,$AB399)/10000),INT(MOD(INDEX(입력_기본자료!$G$2:$G$1001,$AB399),10000)/100),MOD(INDEX(입력_기본자료!$G$2:$G$1001,$AB399),100)),INDEX(입력_기본자료!$G$2:$G$1001,$AB399)&amp;"")))))</f>
        <v/>
      </c>
      <c r="J399" s="10">
        <f>IF($AB399="","",IF(INDEX(입력_기본자료!$H$2:$H$1001,$AB399)="","",INDEX(입력_기본자료!$H$2:$H$1001,$AB399)))</f>
        <v/>
      </c>
      <c r="K399" s="10">
        <f>IF($AB399="","",IF(INDEX(입력_기본자료!$I$2:$I$1001,$AB399)="","",INDEX(입력_기본자료!$I$2:$I$1001,$AB399)))</f>
        <v/>
      </c>
      <c r="L399" s="10">
        <f>IF($AB399="","",IF(INDEX(입력_기본자료!$A$2:$A$1001,$AB399)="","",INDEX(입력_기본자료!$A$2:$A$1001,$AB399)))</f>
        <v/>
      </c>
      <c r="M399" s="15" t="n"/>
      <c r="N399" s="10">
        <f>IF($B399="","",IF(AND($U399="파견중",$Q399&lt;&gt;""),$Q399,IF(AND($AD399&lt;&gt;"",LEFT($AD399,1)&lt;&gt;"⚠"),LEFT($AD399,FIND(" ",$AD399)-1),IF($H399="","",IF(RIGHT($H399,2)="병원",$H399,$H399&amp;"병원")))))</f>
        <v/>
      </c>
      <c r="O399" s="10">
        <f>IF($B399="","",IF(AND($U399="파견중",$Q399&lt;&gt;""),IF($R399&lt;&gt;"",$R399,"파견과 미입력"),IF(AND($AD399&lt;&gt;"",LEFT($AD399,1)&lt;&gt;"⚠"),MID($AD399,FIND(" ",$AD399)+1,60),IF($F399="","",IF($F399="인턴","수련교육부(인턴)",$F399)))))</f>
        <v/>
      </c>
      <c r="P399" s="10">
        <f>IF($B399="","",IF($AK399&lt;&gt;"",IF(AND(TODAY()&gt;=INDEX(입력_파견수련계획!$AB$4:$AB$803,$AK399),OR(NOT(ISNUMBER(INDEX(입력_파견수련계획!$AC$4:$AC$803,$AK399))),TODAY()&lt;=INDEX(입력_파견수련계획!$AC$4:$AC$803,$AK399))),"다기관",IF($AF399="","",INDEX(입력_파견수련계획!$T$4:$T$803,$AF399))),IF($AF399="","",INDEX(입력_파견수련계획!$T$4:$T$803,$AF399))))</f>
        <v/>
      </c>
      <c r="Q399" s="10">
        <f>IF($AF399="","",INDEX(입력_파견수련계획!$S$4:$S$803,$AF399))</f>
        <v/>
      </c>
      <c r="R399" s="10">
        <f>IF($AF399="","",INDEX(입력_파견수련계획!$U$4:$U$803,$AF399))</f>
        <v/>
      </c>
      <c r="S399" s="11">
        <f>IF($AF399="","",IF(INDEX(입력_파견수련계획!$H$4:$H$803,$AF399)="","",INDEX(입력_파견수련계획!$H$4:$H$803,$AF399)))</f>
        <v/>
      </c>
      <c r="T399" s="11">
        <f>IF($AF399="","",IF(INDEX(입력_파견수련계획!$I$4:$I$803,$AF399)="","",INDEX(입력_파견수련계획!$I$4:$I$803,$AF399)))</f>
        <v/>
      </c>
      <c r="U399" s="10">
        <f>IF($AF399="","",INDEX(입력_파견수련계획!$X$4:$X$803,$AF399))</f>
        <v/>
      </c>
      <c r="V399" s="17">
        <f>IF($AF399="","",INDEX(입력_파견수련계획!$V$4:$V$803,$AF399))</f>
        <v/>
      </c>
      <c r="W399" s="17">
        <f>IF(AND($U399="파견중",$T399&lt;&gt;""),$T399-TODAY(),"")</f>
        <v/>
      </c>
      <c r="X399" s="17">
        <f>IF(OR($B399="",TRIM($J399&amp;"")=""),"",SUMPRODUCT((입력_파견수련계획!$Q$4:$Q$803=TRIM($J399&amp;""))*입력_파견수련계획!$W$4:$W$803))</f>
        <v/>
      </c>
      <c r="Y399" s="10">
        <f>IF($B399="","",IF($AG399="","",IF(IF(TRIM($J399&amp;"")="",0,SUMPRODUCT((입력_파견수련계획!$Q$4:$Q$803=TRIM($J399&amp;""))*입력_파견수련계획!$AD$4:$AD$803))&gt;0,$AE399,IF(AND(N($X399)&lt;=0,$AQ399=""),$AG399,IF($AH399+$AI399=DAY(EOMONTH(출력_요약!$B$3,0)),IF(AND($AH399&gt;=출력_요약!$E$3,$AI399&lt;출력_요약!$E$3),"서울병원",IF(AND($AI399&gt;=출력_요약!$E$3,$AH399&lt;출력_요약!$E$3),"구리병원","⚠15일 판정불가(서울 "&amp;$AH399&amp;"일/구리 "&amp;$AI399&amp;"일)")),IF($AJ399="",$AE399,IF(INDEX(입력_파견수련계획!$T$4:$T$803,$AJ399)="통합수련",INDEX(입력_파견수련계획!$S$4:$S$803,$AJ399),$AE399)))))))</f>
        <v/>
      </c>
      <c r="Z399" s="20">
        <f>IF($B399="","",IF($AB399="","기본자료에 없는 사번",IF(COUNTIF($B$2:$B$401,$B399)&gt;1,"중복 사번",IF($AE399="","소속(입사장소) 입력",IF(IF(TRIM($J399&amp;"")="",0,SUMPRODUCT((입력_파견수련계획!$Q$4:$Q$803=TRIM($J399&amp;""))*(입력_파견수련계획!$AA$4:$AA$803&lt;&gt;"")))&gt;0,"파견수련계획 입력오류 확인",IF(LEFT($Y399,1)="⚠","서울·구리 15일 판정 불가(양쪽 모두 이상/미만)",IF(IF($AC399="",0,N(INDEX(입력_인턴근무계획!$T$3:$T$402,$AC399)))&gt;0,"인턴계획 입력오류 확인",IF(AND($AQ399&lt;&gt;"",$AG399&lt;&gt;"구리병원",IF(TRIM($J399&amp;"")="",0,SUMPRODUCT((입력_파견수련계획!$Q$4:$Q$803=TRIM($J399&amp;""))*(입력_파견수련계획!$S$4:$S$803="구리병원")*입력_파견수련계획!$W$4:$W$803))=0),"구리 근무자명단에만 있음(파견수련계획 확인)",IF(AND($AC399&lt;&gt;"",$U399&lt;&gt;"파견중",$N399&lt;&gt;$AE399),"인턴 타지역 근무: 파견 여부 확인","정상")))))))))</f>
        <v/>
      </c>
      <c r="AA399" s="5" t="n"/>
      <c r="AB399" s="10">
        <f>IF($B399="","",IFERROR(MATCH($B399,입력_기본자료!$B$2:$B$1001,0),IFERROR(MATCH($B399&amp;"",입력_기본자료!$B$2:$B$1001,0),IFERROR(MATCH(VALUE($B399),입력_기본자료!$B$2:$B$1001,0),""))))</f>
        <v/>
      </c>
      <c r="AC399" s="10">
        <f>IF($B399="","",IFERROR(MATCH($B399,입력_인턴근무계획!$D$3:$D$402,0),IFERROR(MATCH($B399&amp;"",입력_인턴근무계획!$D$3:$D$402,0),IFERROR(MATCH(VALUE($B399),입력_인턴근무계획!$D$3:$D$402,0),""))))</f>
        <v/>
      </c>
      <c r="AD399" s="10">
        <f>IF(OR($AC399="",출력_인턴현황!$G$3=""),"",INDEX(입력_인턴근무계획!$M$3:$R$402,$AC399,출력_인턴현황!$G$3)&amp;"")</f>
        <v/>
      </c>
      <c r="AE399" s="10">
        <f>IF($B399="","",IF($M399&lt;&gt;"",$M399,IF(IF($AQ399="",FALSE,INDEX(출력_구리근무자!$J$6:$J$305,$AQ399)="구리독자"),"구리병원",IF($AF399&lt;&gt;"",IF(LEFT(INDEX(입력_파견수련계획!$R$4:$R$803,$AF399),1)&lt;&gt;"⚠",INDEX(입력_파견수련계획!$R$4:$R$803,$AF399),IF($H399="","",IF(RIGHT($H399,2)="병원",$H399,$H399&amp;"병원"))),IF($H399="","",IF(RIGHT($H399,2)="병원",$H399,$H399&amp;"병원"))))))</f>
        <v/>
      </c>
      <c r="AF399" s="10">
        <f>IF(OR($B399="",TRIM($J399&amp;"")=""),"",IFERROR(MATCH(TRIM($J399&amp;"")&amp;"|파견중",입력_파견수련계획!$Y$4:$Y$803,0),IFERROR(MATCH(TRIM($J399&amp;"")&amp;"|파견예정",입력_파견수련계획!$Y$4:$Y$803,0),IFERROR(MATCH(TRIM($J399&amp;"")&amp;"|파견종료",입력_파견수련계획!$Y$4:$Y$803,0),""))))</f>
        <v/>
      </c>
      <c r="AG399" s="10">
        <f>IF($B399="","",IF(AND(IF(OR($AC399="",출력_인턴현황!$K$2=""),"",INDEX(입력_인턴근무계획!$M$3:$R$402,$AC399,출력_인턴현황!$K$2)&amp;"")&lt;&gt;"",LEFT(IF(OR($AC399="",출력_인턴현황!$K$2=""),"",INDEX(입력_인턴근무계획!$M$3:$R$402,$AC399,출력_인턴현황!$K$2)&amp;""),1)&lt;&gt;"⚠"),LEFT(IF(OR($AC399="",출력_인턴현황!$K$2=""),"",INDEX(입력_인턴근무계획!$M$3:$R$402,$AC399,출력_인턴현황!$K$2)&amp;""),FIND(" ",IF(OR($AC399="",출력_인턴현황!$K$2=""),"",INDEX(입력_인턴근무계획!$M$3:$R$402,$AC399,출력_인턴현황!$K$2)&amp;""))-1),$AE399))</f>
        <v/>
      </c>
      <c r="AH399" s="17">
        <f>IF($B399="","",IF($AQ399&lt;&gt;"",MAX(0,DAY(EOMONTH(출력_요약!$B$3,0))-N($AR399)),IF(TRIM($J399&amp;"")="",0,SUMPRODUCT((입력_파견수련계획!$Q$4:$Q$803=TRIM($J399&amp;""))*(입력_파견수련계획!$S$4:$S$803="서울병원")*입력_파견수련계획!$W$4:$W$803))+IF($AG399="서울병원",MAX(0,DAY(EOMONTH(출력_요약!$B$3,0))-N($X399)),0)))</f>
        <v/>
      </c>
      <c r="AI399" s="17">
        <f>IF($B399="","",IF($AQ399&lt;&gt;"",N($AR399),IF(TRIM($J399&amp;"")="",0,SUMPRODUCT((입력_파견수련계획!$Q$4:$Q$803=TRIM($J399&amp;""))*(입력_파견수련계획!$S$4:$S$803="구리병원")*입력_파견수련계획!$W$4:$W$803))+IF($AG399="구리병원",MAX(0,DAY(EOMONTH(출력_요약!$B$3,0))-N($X399)),0)))</f>
        <v/>
      </c>
      <c r="AJ399" s="10">
        <f>IF(OR($B399="",TRIM($J399&amp;"")=""),"",IFERROR(MATCH(TRIM($J399&amp;"")&amp;"|월",입력_파견수련계획!$Z$4:$Z$803,0),""))</f>
        <v/>
      </c>
      <c r="AK399" s="10">
        <f>IF(OR($B399="",TRIM($J399&amp;"")=""),"",IFERROR(MATCH(TRIM($J399&amp;"")&amp;"|다기관",입력_파견수련계획!$AE$4:$AE$803,0),""))</f>
        <v/>
      </c>
      <c r="AL399" s="10">
        <f>IF($AK399="","","다기관 "&amp;TEXT(INDEX(입력_파견수련계획!$AB$4:$AB$803,$AK399),"yyyy-mm-dd")&amp;"~"&amp;IF(ISNUMBER(INDEX(입력_파견수련계획!$AC$4:$AC$803,$AK399)),TEXT(INDEX(입력_파견수련계획!$AC$4:$AC$803,$AK399),"yyyy-mm-dd"),""))</f>
        <v/>
      </c>
      <c r="AM399" s="10">
        <f>IF($Y399="서울병원",COUNTIF($Y$2:$Y399,"서울병원"),"")</f>
        <v/>
      </c>
      <c r="AN399" s="10">
        <f>IF(LEFT($Y399,1)="⚠",COUNTIF($Y$2:$Y399,"⚠*"),"")</f>
        <v/>
      </c>
      <c r="AO399" s="10">
        <f>IF(OR($B399="",$Y399=""),"",IF(IF(TRIM($J399&amp;"")="",0,SUMPRODUCT((입력_파견수련계획!$Q$4:$Q$803=TRIM($J399&amp;""))*입력_파견수련계획!$AD$4:$AD$803))&gt;0,"다기관 기간 → 소속병원 지급",IF(AND(N($X399)&lt;=0,$AQ399=""),"파견 없음 → 그 달 근무병원 지급",IF($AH399+$AI399=DAY(EOMONTH(출력_요약!$B$3,0)),"서울 "&amp;$AH399&amp;"일 / 구리 "&amp;$AI399&amp;"일"&amp;IF($AQ399&lt;&gt;""," (구리 근무자명단 반영)","")&amp;" → 15일 이상 근무 병원 지급","타 병원 포함 → "&amp;IF($AJ399="","소속",INDEX(입력_파견수련계획!$T$4:$T$803,$AJ399))&amp;" 규칙"))))</f>
        <v/>
      </c>
      <c r="AP399" s="10">
        <f>IF($B399="","",$C399&amp;"|"&amp;$F399)</f>
        <v/>
      </c>
      <c r="AQ399" s="10">
        <f>IF($B399="","",IFERROR(MATCH(ROW()-1,출력_구리근무자!$K$6:$K$305,0),""))</f>
        <v/>
      </c>
      <c r="AR399" s="10">
        <f>IF($AQ399="","",INDEX(출력_구리근무자!$H$6:$H$305,$AQ399))</f>
        <v/>
      </c>
    </row>
    <row r="400">
      <c r="A400" s="10">
        <f>IF(B400="","",ROW()-1)</f>
        <v/>
      </c>
      <c r="B400" s="19" t="n"/>
      <c r="C400" s="10">
        <f>IF($AB400="","",IF(INDEX(입력_기본자료!$C$2:$C$1001,$AB400)="","",INDEX(입력_기본자료!$C$2:$C$1001,$AB400)))</f>
        <v/>
      </c>
      <c r="D400" s="10">
        <f>IF($AB400="","",IF(INDEX(입력_기본자료!$J$2:$J$1001,$AB400)="","",INDEX(입력_기본자료!$J$2:$J$1001,$AB400)))</f>
        <v/>
      </c>
      <c r="E400" s="11">
        <f>IF($AB400="","",IF(INDEX(입력_기본자료!$K$2:$K$1001,$AB400)="","",IF(NOT(ISNUMBER(INDEX(입력_기본자료!$K$2:$K$1001,$AB400))),INDEX(입력_기본자료!$K$2:$K$1001,$AB400),IF(INDEX(입력_기본자료!$K$2:$K$1001,$AB400)&lt;1000000,INDEX(입력_기본자료!$K$2:$K$1001,$AB400),IF(AND(INDEX(입력_기본자료!$K$2:$K$1001,$AB400)&gt;=10000101,INT(MOD(INDEX(입력_기본자료!$K$2:$K$1001,$AB400),10000)/100)&gt;=1,INT(MOD(INDEX(입력_기본자료!$K$2:$K$1001,$AB400),10000)/100)&lt;=12,MOD(INDEX(입력_기본자료!$K$2:$K$1001,$AB400),100)&gt;=1,MOD(INDEX(입력_기본자료!$K$2:$K$1001,$AB400),100)&lt;=31),DATE(INT(INDEX(입력_기본자료!$K$2:$K$1001,$AB400)/10000),INT(MOD(INDEX(입력_기본자료!$K$2:$K$1001,$AB400),10000)/100),MOD(INDEX(입력_기본자료!$K$2:$K$1001,$AB400),100)),INDEX(입력_기본자료!$K$2:$K$1001,$AB400)&amp;"")))))</f>
        <v/>
      </c>
      <c r="F400" s="10">
        <f>IF($AB400="","",IF(INDEX(입력_기본자료!$D$2:$D$1001,$AB400)="","",INDEX(입력_기본자료!$D$2:$D$1001,$AB400)))</f>
        <v/>
      </c>
      <c r="G400" s="10">
        <f>IF($AB400="","",IF(INDEX(입력_기본자료!$E$2:$E$1001,$AB400)="","",INDEX(입력_기본자료!$E$2:$E$1001,$AB400)))</f>
        <v/>
      </c>
      <c r="H400" s="10">
        <f>IF($AB400="","",IF(INDEX(입력_기본자료!$F$2:$F$1001,$AB400)="","",INDEX(입력_기본자료!$F$2:$F$1001,$AB400)))</f>
        <v/>
      </c>
      <c r="I400" s="11">
        <f>IF($AB400="","",IF(INDEX(입력_기본자료!$G$2:$G$1001,$AB400)="","",IF(NOT(ISNUMBER(INDEX(입력_기본자료!$G$2:$G$1001,$AB400))),INDEX(입력_기본자료!$G$2:$G$1001,$AB400),IF(INDEX(입력_기본자료!$G$2:$G$1001,$AB400)&lt;1000000,INDEX(입력_기본자료!$G$2:$G$1001,$AB400),IF(AND(INDEX(입력_기본자료!$G$2:$G$1001,$AB400)&gt;=10000101,INT(MOD(INDEX(입력_기본자료!$G$2:$G$1001,$AB400),10000)/100)&gt;=1,INT(MOD(INDEX(입력_기본자료!$G$2:$G$1001,$AB400),10000)/100)&lt;=12,MOD(INDEX(입력_기본자료!$G$2:$G$1001,$AB400),100)&gt;=1,MOD(INDEX(입력_기본자료!$G$2:$G$1001,$AB400),100)&lt;=31),DATE(INT(INDEX(입력_기본자료!$G$2:$G$1001,$AB400)/10000),INT(MOD(INDEX(입력_기본자료!$G$2:$G$1001,$AB400),10000)/100),MOD(INDEX(입력_기본자료!$G$2:$G$1001,$AB400),100)),INDEX(입력_기본자료!$G$2:$G$1001,$AB400)&amp;"")))))</f>
        <v/>
      </c>
      <c r="J400" s="10">
        <f>IF($AB400="","",IF(INDEX(입력_기본자료!$H$2:$H$1001,$AB400)="","",INDEX(입력_기본자료!$H$2:$H$1001,$AB400)))</f>
        <v/>
      </c>
      <c r="K400" s="10">
        <f>IF($AB400="","",IF(INDEX(입력_기본자료!$I$2:$I$1001,$AB400)="","",INDEX(입력_기본자료!$I$2:$I$1001,$AB400)))</f>
        <v/>
      </c>
      <c r="L400" s="10">
        <f>IF($AB400="","",IF(INDEX(입력_기본자료!$A$2:$A$1001,$AB400)="","",INDEX(입력_기본자료!$A$2:$A$1001,$AB400)))</f>
        <v/>
      </c>
      <c r="M400" s="15" t="n"/>
      <c r="N400" s="10">
        <f>IF($B400="","",IF(AND($U400="파견중",$Q400&lt;&gt;""),$Q400,IF(AND($AD400&lt;&gt;"",LEFT($AD400,1)&lt;&gt;"⚠"),LEFT($AD400,FIND(" ",$AD400)-1),IF($H400="","",IF(RIGHT($H400,2)="병원",$H400,$H400&amp;"병원")))))</f>
        <v/>
      </c>
      <c r="O400" s="10">
        <f>IF($B400="","",IF(AND($U400="파견중",$Q400&lt;&gt;""),IF($R400&lt;&gt;"",$R400,"파견과 미입력"),IF(AND($AD400&lt;&gt;"",LEFT($AD400,1)&lt;&gt;"⚠"),MID($AD400,FIND(" ",$AD400)+1,60),IF($F400="","",IF($F400="인턴","수련교육부(인턴)",$F400)))))</f>
        <v/>
      </c>
      <c r="P400" s="10">
        <f>IF($B400="","",IF($AK400&lt;&gt;"",IF(AND(TODAY()&gt;=INDEX(입력_파견수련계획!$AB$4:$AB$803,$AK400),OR(NOT(ISNUMBER(INDEX(입력_파견수련계획!$AC$4:$AC$803,$AK400))),TODAY()&lt;=INDEX(입력_파견수련계획!$AC$4:$AC$803,$AK400))),"다기관",IF($AF400="","",INDEX(입력_파견수련계획!$T$4:$T$803,$AF400))),IF($AF400="","",INDEX(입력_파견수련계획!$T$4:$T$803,$AF400))))</f>
        <v/>
      </c>
      <c r="Q400" s="10">
        <f>IF($AF400="","",INDEX(입력_파견수련계획!$S$4:$S$803,$AF400))</f>
        <v/>
      </c>
      <c r="R400" s="10">
        <f>IF($AF400="","",INDEX(입력_파견수련계획!$U$4:$U$803,$AF400))</f>
        <v/>
      </c>
      <c r="S400" s="11">
        <f>IF($AF400="","",IF(INDEX(입력_파견수련계획!$H$4:$H$803,$AF400)="","",INDEX(입력_파견수련계획!$H$4:$H$803,$AF400)))</f>
        <v/>
      </c>
      <c r="T400" s="11">
        <f>IF($AF400="","",IF(INDEX(입력_파견수련계획!$I$4:$I$803,$AF400)="","",INDEX(입력_파견수련계획!$I$4:$I$803,$AF400)))</f>
        <v/>
      </c>
      <c r="U400" s="10">
        <f>IF($AF400="","",INDEX(입력_파견수련계획!$X$4:$X$803,$AF400))</f>
        <v/>
      </c>
      <c r="V400" s="17">
        <f>IF($AF400="","",INDEX(입력_파견수련계획!$V$4:$V$803,$AF400))</f>
        <v/>
      </c>
      <c r="W400" s="17">
        <f>IF(AND($U400="파견중",$T400&lt;&gt;""),$T400-TODAY(),"")</f>
        <v/>
      </c>
      <c r="X400" s="17">
        <f>IF(OR($B400="",TRIM($J400&amp;"")=""),"",SUMPRODUCT((입력_파견수련계획!$Q$4:$Q$803=TRIM($J400&amp;""))*입력_파견수련계획!$W$4:$W$803))</f>
        <v/>
      </c>
      <c r="Y400" s="10">
        <f>IF($B400="","",IF($AG400="","",IF(IF(TRIM($J400&amp;"")="",0,SUMPRODUCT((입력_파견수련계획!$Q$4:$Q$803=TRIM($J400&amp;""))*입력_파견수련계획!$AD$4:$AD$803))&gt;0,$AE400,IF(AND(N($X400)&lt;=0,$AQ400=""),$AG400,IF($AH400+$AI400=DAY(EOMONTH(출력_요약!$B$3,0)),IF(AND($AH400&gt;=출력_요약!$E$3,$AI400&lt;출력_요약!$E$3),"서울병원",IF(AND($AI400&gt;=출력_요약!$E$3,$AH400&lt;출력_요약!$E$3),"구리병원","⚠15일 판정불가(서울 "&amp;$AH400&amp;"일/구리 "&amp;$AI400&amp;"일)")),IF($AJ400="",$AE400,IF(INDEX(입력_파견수련계획!$T$4:$T$803,$AJ400)="통합수련",INDEX(입력_파견수련계획!$S$4:$S$803,$AJ400),$AE400)))))))</f>
        <v/>
      </c>
      <c r="Z400" s="20">
        <f>IF($B400="","",IF($AB400="","기본자료에 없는 사번",IF(COUNTIF($B$2:$B$401,$B400)&gt;1,"중복 사번",IF($AE400="","소속(입사장소) 입력",IF(IF(TRIM($J400&amp;"")="",0,SUMPRODUCT((입력_파견수련계획!$Q$4:$Q$803=TRIM($J400&amp;""))*(입력_파견수련계획!$AA$4:$AA$803&lt;&gt;"")))&gt;0,"파견수련계획 입력오류 확인",IF(LEFT($Y400,1)="⚠","서울·구리 15일 판정 불가(양쪽 모두 이상/미만)",IF(IF($AC400="",0,N(INDEX(입력_인턴근무계획!$T$3:$T$402,$AC400)))&gt;0,"인턴계획 입력오류 확인",IF(AND($AQ400&lt;&gt;"",$AG400&lt;&gt;"구리병원",IF(TRIM($J400&amp;"")="",0,SUMPRODUCT((입력_파견수련계획!$Q$4:$Q$803=TRIM($J400&amp;""))*(입력_파견수련계획!$S$4:$S$803="구리병원")*입력_파견수련계획!$W$4:$W$803))=0),"구리 근무자명단에만 있음(파견수련계획 확인)",IF(AND($AC400&lt;&gt;"",$U400&lt;&gt;"파견중",$N400&lt;&gt;$AE400),"인턴 타지역 근무: 파견 여부 확인","정상")))))))))</f>
        <v/>
      </c>
      <c r="AA400" s="5" t="n"/>
      <c r="AB400" s="10">
        <f>IF($B400="","",IFERROR(MATCH($B400,입력_기본자료!$B$2:$B$1001,0),IFERROR(MATCH($B400&amp;"",입력_기본자료!$B$2:$B$1001,0),IFERROR(MATCH(VALUE($B400),입력_기본자료!$B$2:$B$1001,0),""))))</f>
        <v/>
      </c>
      <c r="AC400" s="10">
        <f>IF($B400="","",IFERROR(MATCH($B400,입력_인턴근무계획!$D$3:$D$402,0),IFERROR(MATCH($B400&amp;"",입력_인턴근무계획!$D$3:$D$402,0),IFERROR(MATCH(VALUE($B400),입력_인턴근무계획!$D$3:$D$402,0),""))))</f>
        <v/>
      </c>
      <c r="AD400" s="10">
        <f>IF(OR($AC400="",출력_인턴현황!$G$3=""),"",INDEX(입력_인턴근무계획!$M$3:$R$402,$AC400,출력_인턴현황!$G$3)&amp;"")</f>
        <v/>
      </c>
      <c r="AE400" s="10">
        <f>IF($B400="","",IF($M400&lt;&gt;"",$M400,IF(IF($AQ400="",FALSE,INDEX(출력_구리근무자!$J$6:$J$305,$AQ400)="구리독자"),"구리병원",IF($AF400&lt;&gt;"",IF(LEFT(INDEX(입력_파견수련계획!$R$4:$R$803,$AF400),1)&lt;&gt;"⚠",INDEX(입력_파견수련계획!$R$4:$R$803,$AF400),IF($H400="","",IF(RIGHT($H400,2)="병원",$H400,$H400&amp;"병원"))),IF($H400="","",IF(RIGHT($H400,2)="병원",$H400,$H400&amp;"병원"))))))</f>
        <v/>
      </c>
      <c r="AF400" s="10">
        <f>IF(OR($B400="",TRIM($J400&amp;"")=""),"",IFERROR(MATCH(TRIM($J400&amp;"")&amp;"|파견중",입력_파견수련계획!$Y$4:$Y$803,0),IFERROR(MATCH(TRIM($J400&amp;"")&amp;"|파견예정",입력_파견수련계획!$Y$4:$Y$803,0),IFERROR(MATCH(TRIM($J400&amp;"")&amp;"|파견종료",입력_파견수련계획!$Y$4:$Y$803,0),""))))</f>
        <v/>
      </c>
      <c r="AG400" s="10">
        <f>IF($B400="","",IF(AND(IF(OR($AC400="",출력_인턴현황!$K$2=""),"",INDEX(입력_인턴근무계획!$M$3:$R$402,$AC400,출력_인턴현황!$K$2)&amp;"")&lt;&gt;"",LEFT(IF(OR($AC400="",출력_인턴현황!$K$2=""),"",INDEX(입력_인턴근무계획!$M$3:$R$402,$AC400,출력_인턴현황!$K$2)&amp;""),1)&lt;&gt;"⚠"),LEFT(IF(OR($AC400="",출력_인턴현황!$K$2=""),"",INDEX(입력_인턴근무계획!$M$3:$R$402,$AC400,출력_인턴현황!$K$2)&amp;""),FIND(" ",IF(OR($AC400="",출력_인턴현황!$K$2=""),"",INDEX(입력_인턴근무계획!$M$3:$R$402,$AC400,출력_인턴현황!$K$2)&amp;""))-1),$AE400))</f>
        <v/>
      </c>
      <c r="AH400" s="17">
        <f>IF($B400="","",IF($AQ400&lt;&gt;"",MAX(0,DAY(EOMONTH(출력_요약!$B$3,0))-N($AR400)),IF(TRIM($J400&amp;"")="",0,SUMPRODUCT((입력_파견수련계획!$Q$4:$Q$803=TRIM($J400&amp;""))*(입력_파견수련계획!$S$4:$S$803="서울병원")*입력_파견수련계획!$W$4:$W$803))+IF($AG400="서울병원",MAX(0,DAY(EOMONTH(출력_요약!$B$3,0))-N($X400)),0)))</f>
        <v/>
      </c>
      <c r="AI400" s="17">
        <f>IF($B400="","",IF($AQ400&lt;&gt;"",N($AR400),IF(TRIM($J400&amp;"")="",0,SUMPRODUCT((입력_파견수련계획!$Q$4:$Q$803=TRIM($J400&amp;""))*(입력_파견수련계획!$S$4:$S$803="구리병원")*입력_파견수련계획!$W$4:$W$803))+IF($AG400="구리병원",MAX(0,DAY(EOMONTH(출력_요약!$B$3,0))-N($X400)),0)))</f>
        <v/>
      </c>
      <c r="AJ400" s="10">
        <f>IF(OR($B400="",TRIM($J400&amp;"")=""),"",IFERROR(MATCH(TRIM($J400&amp;"")&amp;"|월",입력_파견수련계획!$Z$4:$Z$803,0),""))</f>
        <v/>
      </c>
      <c r="AK400" s="10">
        <f>IF(OR($B400="",TRIM($J400&amp;"")=""),"",IFERROR(MATCH(TRIM($J400&amp;"")&amp;"|다기관",입력_파견수련계획!$AE$4:$AE$803,0),""))</f>
        <v/>
      </c>
      <c r="AL400" s="10">
        <f>IF($AK400="","","다기관 "&amp;TEXT(INDEX(입력_파견수련계획!$AB$4:$AB$803,$AK400),"yyyy-mm-dd")&amp;"~"&amp;IF(ISNUMBER(INDEX(입력_파견수련계획!$AC$4:$AC$803,$AK400)),TEXT(INDEX(입력_파견수련계획!$AC$4:$AC$803,$AK400),"yyyy-mm-dd"),""))</f>
        <v/>
      </c>
      <c r="AM400" s="10">
        <f>IF($Y400="서울병원",COUNTIF($Y$2:$Y400,"서울병원"),"")</f>
        <v/>
      </c>
      <c r="AN400" s="10">
        <f>IF(LEFT($Y400,1)="⚠",COUNTIF($Y$2:$Y400,"⚠*"),"")</f>
        <v/>
      </c>
      <c r="AO400" s="10">
        <f>IF(OR($B400="",$Y400=""),"",IF(IF(TRIM($J400&amp;"")="",0,SUMPRODUCT((입력_파견수련계획!$Q$4:$Q$803=TRIM($J400&amp;""))*입력_파견수련계획!$AD$4:$AD$803))&gt;0,"다기관 기간 → 소속병원 지급",IF(AND(N($X400)&lt;=0,$AQ400=""),"파견 없음 → 그 달 근무병원 지급",IF($AH400+$AI400=DAY(EOMONTH(출력_요약!$B$3,0)),"서울 "&amp;$AH400&amp;"일 / 구리 "&amp;$AI400&amp;"일"&amp;IF($AQ400&lt;&gt;""," (구리 근무자명단 반영)","")&amp;" → 15일 이상 근무 병원 지급","타 병원 포함 → "&amp;IF($AJ400="","소속",INDEX(입력_파견수련계획!$T$4:$T$803,$AJ400))&amp;" 규칙"))))</f>
        <v/>
      </c>
      <c r="AP400" s="10">
        <f>IF($B400="","",$C400&amp;"|"&amp;$F400)</f>
        <v/>
      </c>
      <c r="AQ400" s="10">
        <f>IF($B400="","",IFERROR(MATCH(ROW()-1,출력_구리근무자!$K$6:$K$305,0),""))</f>
        <v/>
      </c>
      <c r="AR400" s="10">
        <f>IF($AQ400="","",INDEX(출력_구리근무자!$H$6:$H$305,$AQ400))</f>
        <v/>
      </c>
    </row>
    <row r="401">
      <c r="A401" s="10">
        <f>IF(B401="","",ROW()-1)</f>
        <v/>
      </c>
      <c r="B401" s="19" t="n"/>
      <c r="C401" s="10">
        <f>IF($AB401="","",IF(INDEX(입력_기본자료!$C$2:$C$1001,$AB401)="","",INDEX(입력_기본자료!$C$2:$C$1001,$AB401)))</f>
        <v/>
      </c>
      <c r="D401" s="10">
        <f>IF($AB401="","",IF(INDEX(입력_기본자료!$J$2:$J$1001,$AB401)="","",INDEX(입력_기본자료!$J$2:$J$1001,$AB401)))</f>
        <v/>
      </c>
      <c r="E401" s="11">
        <f>IF($AB401="","",IF(INDEX(입력_기본자료!$K$2:$K$1001,$AB401)="","",IF(NOT(ISNUMBER(INDEX(입력_기본자료!$K$2:$K$1001,$AB401))),INDEX(입력_기본자료!$K$2:$K$1001,$AB401),IF(INDEX(입력_기본자료!$K$2:$K$1001,$AB401)&lt;1000000,INDEX(입력_기본자료!$K$2:$K$1001,$AB401),IF(AND(INDEX(입력_기본자료!$K$2:$K$1001,$AB401)&gt;=10000101,INT(MOD(INDEX(입력_기본자료!$K$2:$K$1001,$AB401),10000)/100)&gt;=1,INT(MOD(INDEX(입력_기본자료!$K$2:$K$1001,$AB401),10000)/100)&lt;=12,MOD(INDEX(입력_기본자료!$K$2:$K$1001,$AB401),100)&gt;=1,MOD(INDEX(입력_기본자료!$K$2:$K$1001,$AB401),100)&lt;=31),DATE(INT(INDEX(입력_기본자료!$K$2:$K$1001,$AB401)/10000),INT(MOD(INDEX(입력_기본자료!$K$2:$K$1001,$AB401),10000)/100),MOD(INDEX(입력_기본자료!$K$2:$K$1001,$AB401),100)),INDEX(입력_기본자료!$K$2:$K$1001,$AB401)&amp;"")))))</f>
        <v/>
      </c>
      <c r="F401" s="10">
        <f>IF($AB401="","",IF(INDEX(입력_기본자료!$D$2:$D$1001,$AB401)="","",INDEX(입력_기본자료!$D$2:$D$1001,$AB401)))</f>
        <v/>
      </c>
      <c r="G401" s="10">
        <f>IF($AB401="","",IF(INDEX(입력_기본자료!$E$2:$E$1001,$AB401)="","",INDEX(입력_기본자료!$E$2:$E$1001,$AB401)))</f>
        <v/>
      </c>
      <c r="H401" s="10">
        <f>IF($AB401="","",IF(INDEX(입력_기본자료!$F$2:$F$1001,$AB401)="","",INDEX(입력_기본자료!$F$2:$F$1001,$AB401)))</f>
        <v/>
      </c>
      <c r="I401" s="11">
        <f>IF($AB401="","",IF(INDEX(입력_기본자료!$G$2:$G$1001,$AB401)="","",IF(NOT(ISNUMBER(INDEX(입력_기본자료!$G$2:$G$1001,$AB401))),INDEX(입력_기본자료!$G$2:$G$1001,$AB401),IF(INDEX(입력_기본자료!$G$2:$G$1001,$AB401)&lt;1000000,INDEX(입력_기본자료!$G$2:$G$1001,$AB401),IF(AND(INDEX(입력_기본자료!$G$2:$G$1001,$AB401)&gt;=10000101,INT(MOD(INDEX(입력_기본자료!$G$2:$G$1001,$AB401),10000)/100)&gt;=1,INT(MOD(INDEX(입력_기본자료!$G$2:$G$1001,$AB401),10000)/100)&lt;=12,MOD(INDEX(입력_기본자료!$G$2:$G$1001,$AB401),100)&gt;=1,MOD(INDEX(입력_기본자료!$G$2:$G$1001,$AB401),100)&lt;=31),DATE(INT(INDEX(입력_기본자료!$G$2:$G$1001,$AB401)/10000),INT(MOD(INDEX(입력_기본자료!$G$2:$G$1001,$AB401),10000)/100),MOD(INDEX(입력_기본자료!$G$2:$G$1001,$AB401),100)),INDEX(입력_기본자료!$G$2:$G$1001,$AB401)&amp;"")))))</f>
        <v/>
      </c>
      <c r="J401" s="10">
        <f>IF($AB401="","",IF(INDEX(입력_기본자료!$H$2:$H$1001,$AB401)="","",INDEX(입력_기본자료!$H$2:$H$1001,$AB401)))</f>
        <v/>
      </c>
      <c r="K401" s="10">
        <f>IF($AB401="","",IF(INDEX(입력_기본자료!$I$2:$I$1001,$AB401)="","",INDEX(입력_기본자료!$I$2:$I$1001,$AB401)))</f>
        <v/>
      </c>
      <c r="L401" s="10">
        <f>IF($AB401="","",IF(INDEX(입력_기본자료!$A$2:$A$1001,$AB401)="","",INDEX(입력_기본자료!$A$2:$A$1001,$AB401)))</f>
        <v/>
      </c>
      <c r="M401" s="15" t="n"/>
      <c r="N401" s="10">
        <f>IF($B401="","",IF(AND($U401="파견중",$Q401&lt;&gt;""),$Q401,IF(AND($AD401&lt;&gt;"",LEFT($AD401,1)&lt;&gt;"⚠"),LEFT($AD401,FIND(" ",$AD401)-1),IF($H401="","",IF(RIGHT($H401,2)="병원",$H401,$H401&amp;"병원")))))</f>
        <v/>
      </c>
      <c r="O401" s="10">
        <f>IF($B401="","",IF(AND($U401="파견중",$Q401&lt;&gt;""),IF($R401&lt;&gt;"",$R401,"파견과 미입력"),IF(AND($AD401&lt;&gt;"",LEFT($AD401,1)&lt;&gt;"⚠"),MID($AD401,FIND(" ",$AD401)+1,60),IF($F401="","",IF($F401="인턴","수련교육부(인턴)",$F401)))))</f>
        <v/>
      </c>
      <c r="P401" s="10">
        <f>IF($B401="","",IF($AK401&lt;&gt;"",IF(AND(TODAY()&gt;=INDEX(입력_파견수련계획!$AB$4:$AB$803,$AK401),OR(NOT(ISNUMBER(INDEX(입력_파견수련계획!$AC$4:$AC$803,$AK401))),TODAY()&lt;=INDEX(입력_파견수련계획!$AC$4:$AC$803,$AK401))),"다기관",IF($AF401="","",INDEX(입력_파견수련계획!$T$4:$T$803,$AF401))),IF($AF401="","",INDEX(입력_파견수련계획!$T$4:$T$803,$AF401))))</f>
        <v/>
      </c>
      <c r="Q401" s="10">
        <f>IF($AF401="","",INDEX(입력_파견수련계획!$S$4:$S$803,$AF401))</f>
        <v/>
      </c>
      <c r="R401" s="10">
        <f>IF($AF401="","",INDEX(입력_파견수련계획!$U$4:$U$803,$AF401))</f>
        <v/>
      </c>
      <c r="S401" s="11">
        <f>IF($AF401="","",IF(INDEX(입력_파견수련계획!$H$4:$H$803,$AF401)="","",INDEX(입력_파견수련계획!$H$4:$H$803,$AF401)))</f>
        <v/>
      </c>
      <c r="T401" s="11">
        <f>IF($AF401="","",IF(INDEX(입력_파견수련계획!$I$4:$I$803,$AF401)="","",INDEX(입력_파견수련계획!$I$4:$I$803,$AF401)))</f>
        <v/>
      </c>
      <c r="U401" s="10">
        <f>IF($AF401="","",INDEX(입력_파견수련계획!$X$4:$X$803,$AF401))</f>
        <v/>
      </c>
      <c r="V401" s="17">
        <f>IF($AF401="","",INDEX(입력_파견수련계획!$V$4:$V$803,$AF401))</f>
        <v/>
      </c>
      <c r="W401" s="17">
        <f>IF(AND($U401="파견중",$T401&lt;&gt;""),$T401-TODAY(),"")</f>
        <v/>
      </c>
      <c r="X401" s="17">
        <f>IF(OR($B401="",TRIM($J401&amp;"")=""),"",SUMPRODUCT((입력_파견수련계획!$Q$4:$Q$803=TRIM($J401&amp;""))*입력_파견수련계획!$W$4:$W$803))</f>
        <v/>
      </c>
      <c r="Y401" s="10">
        <f>IF($B401="","",IF($AG401="","",IF(IF(TRIM($J401&amp;"")="",0,SUMPRODUCT((입력_파견수련계획!$Q$4:$Q$803=TRIM($J401&amp;""))*입력_파견수련계획!$AD$4:$AD$803))&gt;0,$AE401,IF(AND(N($X401)&lt;=0,$AQ401=""),$AG401,IF($AH401+$AI401=DAY(EOMONTH(출력_요약!$B$3,0)),IF(AND($AH401&gt;=출력_요약!$E$3,$AI401&lt;출력_요약!$E$3),"서울병원",IF(AND($AI401&gt;=출력_요약!$E$3,$AH401&lt;출력_요약!$E$3),"구리병원","⚠15일 판정불가(서울 "&amp;$AH401&amp;"일/구리 "&amp;$AI401&amp;"일)")),IF($AJ401="",$AE401,IF(INDEX(입력_파견수련계획!$T$4:$T$803,$AJ401)="통합수련",INDEX(입력_파견수련계획!$S$4:$S$803,$AJ401),$AE401)))))))</f>
        <v/>
      </c>
      <c r="Z401" s="20">
        <f>IF($B401="","",IF($AB401="","기본자료에 없는 사번",IF(COUNTIF($B$2:$B$401,$B401)&gt;1,"중복 사번",IF($AE401="","소속(입사장소) 입력",IF(IF(TRIM($J401&amp;"")="",0,SUMPRODUCT((입력_파견수련계획!$Q$4:$Q$803=TRIM($J401&amp;""))*(입력_파견수련계획!$AA$4:$AA$803&lt;&gt;"")))&gt;0,"파견수련계획 입력오류 확인",IF(LEFT($Y401,1)="⚠","서울·구리 15일 판정 불가(양쪽 모두 이상/미만)",IF(IF($AC401="",0,N(INDEX(입력_인턴근무계획!$T$3:$T$402,$AC401)))&gt;0,"인턴계획 입력오류 확인",IF(AND($AQ401&lt;&gt;"",$AG401&lt;&gt;"구리병원",IF(TRIM($J401&amp;"")="",0,SUMPRODUCT((입력_파견수련계획!$Q$4:$Q$803=TRIM($J401&amp;""))*(입력_파견수련계획!$S$4:$S$803="구리병원")*입력_파견수련계획!$W$4:$W$803))=0),"구리 근무자명단에만 있음(파견수련계획 확인)",IF(AND($AC401&lt;&gt;"",$U401&lt;&gt;"파견중",$N401&lt;&gt;$AE401),"인턴 타지역 근무: 파견 여부 확인","정상")))))))))</f>
        <v/>
      </c>
      <c r="AA401" s="5" t="n"/>
      <c r="AB401" s="10">
        <f>IF($B401="","",IFERROR(MATCH($B401,입력_기본자료!$B$2:$B$1001,0),IFERROR(MATCH($B401&amp;"",입력_기본자료!$B$2:$B$1001,0),IFERROR(MATCH(VALUE($B401),입력_기본자료!$B$2:$B$1001,0),""))))</f>
        <v/>
      </c>
      <c r="AC401" s="10">
        <f>IF($B401="","",IFERROR(MATCH($B401,입력_인턴근무계획!$D$3:$D$402,0),IFERROR(MATCH($B401&amp;"",입력_인턴근무계획!$D$3:$D$402,0),IFERROR(MATCH(VALUE($B401),입력_인턴근무계획!$D$3:$D$402,0),""))))</f>
        <v/>
      </c>
      <c r="AD401" s="10">
        <f>IF(OR($AC401="",출력_인턴현황!$G$3=""),"",INDEX(입력_인턴근무계획!$M$3:$R$402,$AC401,출력_인턴현황!$G$3)&amp;"")</f>
        <v/>
      </c>
      <c r="AE401" s="10">
        <f>IF($B401="","",IF($M401&lt;&gt;"",$M401,IF(IF($AQ401="",FALSE,INDEX(출력_구리근무자!$J$6:$J$305,$AQ401)="구리독자"),"구리병원",IF($AF401&lt;&gt;"",IF(LEFT(INDEX(입력_파견수련계획!$R$4:$R$803,$AF401),1)&lt;&gt;"⚠",INDEX(입력_파견수련계획!$R$4:$R$803,$AF401),IF($H401="","",IF(RIGHT($H401,2)="병원",$H401,$H401&amp;"병원"))),IF($H401="","",IF(RIGHT($H401,2)="병원",$H401,$H401&amp;"병원"))))))</f>
        <v/>
      </c>
      <c r="AF401" s="10">
        <f>IF(OR($B401="",TRIM($J401&amp;"")=""),"",IFERROR(MATCH(TRIM($J401&amp;"")&amp;"|파견중",입력_파견수련계획!$Y$4:$Y$803,0),IFERROR(MATCH(TRIM($J401&amp;"")&amp;"|파견예정",입력_파견수련계획!$Y$4:$Y$803,0),IFERROR(MATCH(TRIM($J401&amp;"")&amp;"|파견종료",입력_파견수련계획!$Y$4:$Y$803,0),""))))</f>
        <v/>
      </c>
      <c r="AG401" s="10">
        <f>IF($B401="","",IF(AND(IF(OR($AC401="",출력_인턴현황!$K$2=""),"",INDEX(입력_인턴근무계획!$M$3:$R$402,$AC401,출력_인턴현황!$K$2)&amp;"")&lt;&gt;"",LEFT(IF(OR($AC401="",출력_인턴현황!$K$2=""),"",INDEX(입력_인턴근무계획!$M$3:$R$402,$AC401,출력_인턴현황!$K$2)&amp;""),1)&lt;&gt;"⚠"),LEFT(IF(OR($AC401="",출력_인턴현황!$K$2=""),"",INDEX(입력_인턴근무계획!$M$3:$R$402,$AC401,출력_인턴현황!$K$2)&amp;""),FIND(" ",IF(OR($AC401="",출력_인턴현황!$K$2=""),"",INDEX(입력_인턴근무계획!$M$3:$R$402,$AC401,출력_인턴현황!$K$2)&amp;""))-1),$AE401))</f>
        <v/>
      </c>
      <c r="AH401" s="17">
        <f>IF($B401="","",IF($AQ401&lt;&gt;"",MAX(0,DAY(EOMONTH(출력_요약!$B$3,0))-N($AR401)),IF(TRIM($J401&amp;"")="",0,SUMPRODUCT((입력_파견수련계획!$Q$4:$Q$803=TRIM($J401&amp;""))*(입력_파견수련계획!$S$4:$S$803="서울병원")*입력_파견수련계획!$W$4:$W$803))+IF($AG401="서울병원",MAX(0,DAY(EOMONTH(출력_요약!$B$3,0))-N($X401)),0)))</f>
        <v/>
      </c>
      <c r="AI401" s="17">
        <f>IF($B401="","",IF($AQ401&lt;&gt;"",N($AR401),IF(TRIM($J401&amp;"")="",0,SUMPRODUCT((입력_파견수련계획!$Q$4:$Q$803=TRIM($J401&amp;""))*(입력_파견수련계획!$S$4:$S$803="구리병원")*입력_파견수련계획!$W$4:$W$803))+IF($AG401="구리병원",MAX(0,DAY(EOMONTH(출력_요약!$B$3,0))-N($X401)),0)))</f>
        <v/>
      </c>
      <c r="AJ401" s="10">
        <f>IF(OR($B401="",TRIM($J401&amp;"")=""),"",IFERROR(MATCH(TRIM($J401&amp;"")&amp;"|월",입력_파견수련계획!$Z$4:$Z$803,0),""))</f>
        <v/>
      </c>
      <c r="AK401" s="10">
        <f>IF(OR($B401="",TRIM($J401&amp;"")=""),"",IFERROR(MATCH(TRIM($J401&amp;"")&amp;"|다기관",입력_파견수련계획!$AE$4:$AE$803,0),""))</f>
        <v/>
      </c>
      <c r="AL401" s="10">
        <f>IF($AK401="","","다기관 "&amp;TEXT(INDEX(입력_파견수련계획!$AB$4:$AB$803,$AK401),"yyyy-mm-dd")&amp;"~"&amp;IF(ISNUMBER(INDEX(입력_파견수련계획!$AC$4:$AC$803,$AK401)),TEXT(INDEX(입력_파견수련계획!$AC$4:$AC$803,$AK401),"yyyy-mm-dd"),""))</f>
        <v/>
      </c>
      <c r="AM401" s="10">
        <f>IF($Y401="서울병원",COUNTIF($Y$2:$Y401,"서울병원"),"")</f>
        <v/>
      </c>
      <c r="AN401" s="10">
        <f>IF(LEFT($Y401,1)="⚠",COUNTIF($Y$2:$Y401,"⚠*"),"")</f>
        <v/>
      </c>
      <c r="AO401" s="10">
        <f>IF(OR($B401="",$Y401=""),"",IF(IF(TRIM($J401&amp;"")="",0,SUMPRODUCT((입력_파견수련계획!$Q$4:$Q$803=TRIM($J401&amp;""))*입력_파견수련계획!$AD$4:$AD$803))&gt;0,"다기관 기간 → 소속병원 지급",IF(AND(N($X401)&lt;=0,$AQ401=""),"파견 없음 → 그 달 근무병원 지급",IF($AH401+$AI401=DAY(EOMONTH(출력_요약!$B$3,0)),"서울 "&amp;$AH401&amp;"일 / 구리 "&amp;$AI401&amp;"일"&amp;IF($AQ401&lt;&gt;""," (구리 근무자명단 반영)","")&amp;" → 15일 이상 근무 병원 지급","타 병원 포함 → "&amp;IF($AJ401="","소속",INDEX(입력_파견수련계획!$T$4:$T$803,$AJ401))&amp;" 규칙"))))</f>
        <v/>
      </c>
      <c r="AP401" s="10">
        <f>IF($B401="","",$C401&amp;"|"&amp;$F401)</f>
        <v/>
      </c>
      <c r="AQ401" s="10">
        <f>IF($B401="","",IFERROR(MATCH(ROW()-1,출력_구리근무자!$K$6:$K$305,0),""))</f>
        <v/>
      </c>
      <c r="AR401" s="10">
        <f>IF($AQ401="","",INDEX(출력_구리근무자!$H$6:$H$305,$AQ401))</f>
        <v/>
      </c>
    </row>
  </sheetData>
  <conditionalFormatting sqref="B2:B401">
    <cfRule type="expression" priority="1" dxfId="3">
      <formula>AND($B2&lt;&gt;"",$AB2="")</formula>
    </cfRule>
    <cfRule type="expression" priority="2" dxfId="4">
      <formula>AND($B2&lt;&gt;"",COUNTIF($B$2:$B$401,$B2)&gt;1)</formula>
    </cfRule>
  </conditionalFormatting>
  <conditionalFormatting sqref="E2:E401">
    <cfRule type="expression" priority="3" dxfId="5">
      <formula>ISTEXT($E2)</formula>
    </cfRule>
  </conditionalFormatting>
  <conditionalFormatting sqref="I2:I401">
    <cfRule type="expression" priority="4" dxfId="5">
      <formula>ISTEXT($I2)</formula>
    </cfRule>
  </conditionalFormatting>
  <conditionalFormatting sqref="Z2:Z401">
    <cfRule type="expression" priority="5" dxfId="6">
      <formula>AND($Z2&lt;&gt;"",$Z2&lt;&gt;"정상")</formula>
    </cfRule>
  </conditionalFormatting>
  <conditionalFormatting sqref="U2:W401">
    <cfRule type="expression" priority="6" dxfId="7">
      <formula>$U2="파견종료"</formula>
    </cfRule>
  </conditionalFormatting>
  <conditionalFormatting sqref="A2:T401">
    <cfRule type="expression" priority="7" dxfId="8">
      <formula>AND($U2="파견중",$W2&lt;&gt;"",$W2&lt;=INDIRECT("출력_요약!$E$2"))</formula>
    </cfRule>
  </conditionalFormatting>
  <conditionalFormatting sqref="U2:U401">
    <cfRule type="expression" priority="8" dxfId="9">
      <formula>$U2="파견중"</formula>
    </cfRule>
    <cfRule type="expression" priority="9" dxfId="10">
      <formula>$U2="파견예정"</formula>
    </cfRule>
  </conditionalFormatting>
  <conditionalFormatting sqref="Y2:Y401">
    <cfRule type="expression" priority="10" dxfId="3">
      <formula>LEFT($Y2,1)="⚠"</formula>
    </cfRule>
    <cfRule type="expression" priority="11" dxfId="11">
      <formula>AND($Y2&lt;&gt;"",$AE2&lt;&gt;"",$Y2&lt;&gt;$AE2)</formula>
    </cfRule>
  </conditionalFormatting>
  <dataValidations count="1">
    <dataValidation sqref="M2:M401" showDropDown="0" showInputMessage="0" showErrorMessage="1" allowBlank="1" errorTitle="등록되지 않은 값" error="병원 목록에 없는 값입니다. 새로운 병원이면 '코드표' 시트에 먼저 추가한 뒤 선택하세요." type="list" errorStyle="stop">
      <formula1>=설정_코드표!$A$2:$A$21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548235"/>
    <outlinePr summaryBelow="1" summaryRight="1"/>
    <pageSetUpPr/>
  </sheetPr>
  <dimension ref="A1:Y4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1" customWidth="1" min="3" max="3"/>
    <col width="13" customWidth="1" min="4" max="4"/>
    <col width="14" customWidth="1" min="5" max="5"/>
    <col width="10" customWidth="1" min="6" max="6"/>
    <col width="11" customWidth="1" min="7" max="7"/>
    <col width="22" customWidth="1" min="8" max="8"/>
    <col width="12" customWidth="1" min="9" max="9"/>
    <col width="10" customWidth="1" min="10" max="10"/>
    <col width="11" customWidth="1" min="11" max="11"/>
    <col width="12" customWidth="1" min="12" max="12"/>
    <col width="12" customWidth="1" min="13" max="13"/>
    <col width="9" customWidth="1" min="14" max="14"/>
    <col width="9" customWidth="1" min="15" max="15"/>
    <col width="34" customWidth="1" min="16" max="16"/>
    <col width="24" customWidth="1" min="17" max="17"/>
    <col width="7" customWidth="1" min="18" max="18"/>
    <col width="3" customWidth="1" min="19" max="19"/>
    <col width="10" customWidth="1" min="20" max="20"/>
    <col width="11" customWidth="1" min="21" max="21"/>
    <col width="11" customWidth="1" min="22" max="22"/>
    <col width="9" customWidth="1" min="23" max="23"/>
    <col width="9" customWidth="1" min="24" max="24"/>
    <col width="7" customWidth="1" min="25" max="25"/>
  </cols>
  <sheetData>
    <row r="1">
      <c r="A1" s="1" t="inlineStr">
        <is>
          <t>서울병원 급여 지급 대상자</t>
        </is>
      </c>
    </row>
    <row r="2">
      <c r="A2" s="3" t="inlineStr">
        <is>
          <t>급여 기준월</t>
        </is>
      </c>
      <c r="B2" s="21">
        <f>출력_요약!$B$3</f>
        <v/>
      </c>
      <c r="D2" s="22" t="inlineStr">
        <is>
          <t>서울 지급 인원</t>
        </is>
      </c>
      <c r="E2" s="23">
        <f>COUNTIF(입력_전공의명단!$Y$2:$Y$401,"서울병원")</f>
        <v/>
      </c>
      <c r="F2" s="22" t="inlineStr">
        <is>
          <t>그중 타 병원 소속</t>
        </is>
      </c>
      <c r="G2" s="23">
        <f>COUNTIFS(입력_전공의명단!$Y$2:$Y$401,"서울병원",입력_전공의명단!$AE$2:$AE$401,"&lt;&gt;서울병원")</f>
        <v/>
      </c>
      <c r="H2" s="22" t="inlineStr">
        <is>
          <t>⚠ 판정 불가</t>
        </is>
      </c>
      <c r="I2" s="23">
        <f>COUNTIF(입력_전공의명단!$Y$2:$Y$401,"⚠*")</f>
        <v/>
      </c>
    </row>
    <row r="3">
      <c r="A3" s="8" t="inlineStr">
        <is>
          <t>※ 급여 기준월(기본=이번 달)은 설정_코드표 시트에서 바꿉니다. 이 시트는 자동으로 채워지므로 입력하지 마세요. 노란 행 = 소속은 다른 병원인데 이번 달 서울병원이 지급하는 사람.</t>
        </is>
      </c>
    </row>
    <row r="4">
      <c r="T4" s="24" t="inlineStr">
        <is>
          <t>⚠ 서울·구리 15일 판정 불가 (양쪽 모두 15일 이상/미만) — 담당자 확인 필요</t>
        </is>
      </c>
    </row>
    <row r="5" ht="30" customHeight="1">
      <c r="A5" s="12" t="inlineStr">
        <is>
          <t>번호</t>
        </is>
      </c>
      <c r="B5" s="12" t="inlineStr">
        <is>
          <t>이름</t>
        </is>
      </c>
      <c r="C5" s="12" t="inlineStr">
        <is>
          <t>사번</t>
        </is>
      </c>
      <c r="D5" s="12" t="inlineStr">
        <is>
          <t>전공의등록번호</t>
        </is>
      </c>
      <c r="E5" s="12" t="inlineStr">
        <is>
          <t>수련과목</t>
        </is>
      </c>
      <c r="F5" s="12" t="inlineStr">
        <is>
          <t>연차</t>
        </is>
      </c>
      <c r="G5" s="12" t="inlineStr">
        <is>
          <t>소속병원</t>
        </is>
      </c>
      <c r="H5" s="12" t="inlineStr">
        <is>
          <t>구분</t>
        </is>
      </c>
      <c r="I5" s="12" t="inlineStr">
        <is>
          <t>현재 근무병원</t>
        </is>
      </c>
      <c r="J5" s="12" t="inlineStr">
        <is>
          <t>파견근거</t>
        </is>
      </c>
      <c r="K5" s="12" t="inlineStr">
        <is>
          <t>파견병원</t>
        </is>
      </c>
      <c r="L5" s="12" t="inlineStr">
        <is>
          <t>파견시작일</t>
        </is>
      </c>
      <c r="M5" s="12" t="inlineStr">
        <is>
          <t>파견종료일</t>
        </is>
      </c>
      <c r="N5" s="12" t="inlineStr">
        <is>
          <t>서울 근무일</t>
        </is>
      </c>
      <c r="O5" s="12" t="inlineStr">
        <is>
          <t>구리 근무일</t>
        </is>
      </c>
      <c r="P5" s="12" t="inlineStr">
        <is>
          <t>판정 근거</t>
        </is>
      </c>
      <c r="Q5" s="12" t="inlineStr">
        <is>
          <t>점검</t>
        </is>
      </c>
      <c r="R5" s="12" t="inlineStr">
        <is>
          <t>명단행</t>
        </is>
      </c>
      <c r="T5" s="25" t="inlineStr">
        <is>
          <t>이름</t>
        </is>
      </c>
      <c r="U5" s="25" t="inlineStr">
        <is>
          <t>사번</t>
        </is>
      </c>
      <c r="V5" s="25" t="inlineStr">
        <is>
          <t>소속병원</t>
        </is>
      </c>
      <c r="W5" s="25" t="inlineStr">
        <is>
          <t>서울 근무일</t>
        </is>
      </c>
      <c r="X5" s="25" t="inlineStr">
        <is>
          <t>구리 근무일</t>
        </is>
      </c>
      <c r="Y5" s="25" t="inlineStr">
        <is>
          <t>명단행</t>
        </is>
      </c>
    </row>
    <row r="6">
      <c r="A6" s="26">
        <f>IF($R6="","",ROW()-5)</f>
        <v/>
      </c>
      <c r="B6" s="26">
        <f>IF($R6="","",INDEX(입력_전공의명단!$C$2:$C$401,$R6))</f>
        <v/>
      </c>
      <c r="C6" s="26">
        <f>IF($R6="","",INDEX(입력_전공의명단!$B$2:$B$401,$R6))</f>
        <v/>
      </c>
      <c r="D6" s="26">
        <f>IF($R6="","",INDEX(입력_전공의명단!$J$2:$J$401,$R6))</f>
        <v/>
      </c>
      <c r="E6" s="26">
        <f>IF($R6="","",INDEX(입력_전공의명단!$F$2:$F$401,$R6))</f>
        <v/>
      </c>
      <c r="F6" s="26">
        <f>IF($R6="","",INDEX(입력_전공의명단!$G$2:$G$401,$R6))</f>
        <v/>
      </c>
      <c r="G6" s="26">
        <f>IF($R6="","",INDEX(입력_전공의명단!$AE$2:$AE$401,$R6))</f>
        <v/>
      </c>
      <c r="H6" s="27">
        <f>IF($R6="","",IF(INDEX(입력_전공의명단!$AE$2:$AE$401,$R6)="서울병원","서울 소속","타 병원 소속("&amp;INDEX(입력_전공의명단!$AE$2:$AE$401,$R6)&amp;") → 서울 지급"))</f>
        <v/>
      </c>
      <c r="I6" s="26">
        <f>IF($R6="","",INDEX(입력_전공의명단!$N$2:$N$401,$R6))</f>
        <v/>
      </c>
      <c r="J6" s="26">
        <f>IF($R6="","",INDEX(입력_전공의명단!$P$2:$P$401,$R6))</f>
        <v/>
      </c>
      <c r="K6" s="26">
        <f>IF($R6="","",INDEX(입력_전공의명단!$Q$2:$Q$401,$R6))</f>
        <v/>
      </c>
      <c r="L6" s="28">
        <f>IF($R6="","",INDEX(입력_전공의명단!$S$2:$S$401,$R6))</f>
        <v/>
      </c>
      <c r="M6" s="28">
        <f>IF($R6="","",INDEX(입력_전공의명단!$T$2:$T$401,$R6))</f>
        <v/>
      </c>
      <c r="N6" s="26">
        <f>IF($R6="","",INDEX(입력_전공의명단!$AH$2:$AH$401,$R6))</f>
        <v/>
      </c>
      <c r="O6" s="26">
        <f>IF($R6="","",INDEX(입력_전공의명단!$AI$2:$AI$401,$R6))</f>
        <v/>
      </c>
      <c r="P6" s="27">
        <f>IF($R6="","",INDEX(입력_전공의명단!$AO$2:$AO$401,$R6))</f>
        <v/>
      </c>
      <c r="Q6" s="27">
        <f>IF($R6="","",INDEX(입력_전공의명단!$Z$2:$Z$401,$R6))</f>
        <v/>
      </c>
      <c r="R6" s="29">
        <f>IFERROR(MATCH(ROW()-5,입력_전공의명단!$AM$2:$AM$401,0),"")</f>
        <v/>
      </c>
      <c r="T6" s="26">
        <f>IF($Y6="","",INDEX(입력_전공의명단!$C$2:$C$401,$Y6))</f>
        <v/>
      </c>
      <c r="U6" s="26">
        <f>IF($Y6="","",INDEX(입력_전공의명단!$B$2:$B$401,$Y6))</f>
        <v/>
      </c>
      <c r="V6" s="26">
        <f>IF($Y6="","",INDEX(입력_전공의명단!$AE$2:$AE$401,$Y6))</f>
        <v/>
      </c>
      <c r="W6" s="26">
        <f>IF($Y6="","",INDEX(입력_전공의명단!$AH$2:$AH$401,$Y6))</f>
        <v/>
      </c>
      <c r="X6" s="26">
        <f>IF($Y6="","",INDEX(입력_전공의명단!$AI$2:$AI$401,$Y6))</f>
        <v/>
      </c>
      <c r="Y6" s="29">
        <f>IFERROR(MATCH(ROW()-5,입력_전공의명단!$AN$2:$AN$401,0),"")</f>
        <v/>
      </c>
    </row>
    <row r="7">
      <c r="A7" s="26">
        <f>IF($R7="","",ROW()-5)</f>
        <v/>
      </c>
      <c r="B7" s="26">
        <f>IF($R7="","",INDEX(입력_전공의명단!$C$2:$C$401,$R7))</f>
        <v/>
      </c>
      <c r="C7" s="26">
        <f>IF($R7="","",INDEX(입력_전공의명단!$B$2:$B$401,$R7))</f>
        <v/>
      </c>
      <c r="D7" s="26">
        <f>IF($R7="","",INDEX(입력_전공의명단!$J$2:$J$401,$R7))</f>
        <v/>
      </c>
      <c r="E7" s="26">
        <f>IF($R7="","",INDEX(입력_전공의명단!$F$2:$F$401,$R7))</f>
        <v/>
      </c>
      <c r="F7" s="26">
        <f>IF($R7="","",INDEX(입력_전공의명단!$G$2:$G$401,$R7))</f>
        <v/>
      </c>
      <c r="G7" s="26">
        <f>IF($R7="","",INDEX(입력_전공의명단!$AE$2:$AE$401,$R7))</f>
        <v/>
      </c>
      <c r="H7" s="27">
        <f>IF($R7="","",IF(INDEX(입력_전공의명단!$AE$2:$AE$401,$R7)="서울병원","서울 소속","타 병원 소속("&amp;INDEX(입력_전공의명단!$AE$2:$AE$401,$R7)&amp;") → 서울 지급"))</f>
        <v/>
      </c>
      <c r="I7" s="26">
        <f>IF($R7="","",INDEX(입력_전공의명단!$N$2:$N$401,$R7))</f>
        <v/>
      </c>
      <c r="J7" s="26">
        <f>IF($R7="","",INDEX(입력_전공의명단!$P$2:$P$401,$R7))</f>
        <v/>
      </c>
      <c r="K7" s="26">
        <f>IF($R7="","",INDEX(입력_전공의명단!$Q$2:$Q$401,$R7))</f>
        <v/>
      </c>
      <c r="L7" s="28">
        <f>IF($R7="","",INDEX(입력_전공의명단!$S$2:$S$401,$R7))</f>
        <v/>
      </c>
      <c r="M7" s="28">
        <f>IF($R7="","",INDEX(입력_전공의명단!$T$2:$T$401,$R7))</f>
        <v/>
      </c>
      <c r="N7" s="26">
        <f>IF($R7="","",INDEX(입력_전공의명단!$AH$2:$AH$401,$R7))</f>
        <v/>
      </c>
      <c r="O7" s="26">
        <f>IF($R7="","",INDEX(입력_전공의명단!$AI$2:$AI$401,$R7))</f>
        <v/>
      </c>
      <c r="P7" s="27">
        <f>IF($R7="","",INDEX(입력_전공의명단!$AO$2:$AO$401,$R7))</f>
        <v/>
      </c>
      <c r="Q7" s="27">
        <f>IF($R7="","",INDEX(입력_전공의명단!$Z$2:$Z$401,$R7))</f>
        <v/>
      </c>
      <c r="R7" s="29">
        <f>IFERROR(MATCH(ROW()-5,입력_전공의명단!$AM$2:$AM$401,0),"")</f>
        <v/>
      </c>
      <c r="T7" s="26">
        <f>IF($Y7="","",INDEX(입력_전공의명단!$C$2:$C$401,$Y7))</f>
        <v/>
      </c>
      <c r="U7" s="26">
        <f>IF($Y7="","",INDEX(입력_전공의명단!$B$2:$B$401,$Y7))</f>
        <v/>
      </c>
      <c r="V7" s="26">
        <f>IF($Y7="","",INDEX(입력_전공의명단!$AE$2:$AE$401,$Y7))</f>
        <v/>
      </c>
      <c r="W7" s="26">
        <f>IF($Y7="","",INDEX(입력_전공의명단!$AH$2:$AH$401,$Y7))</f>
        <v/>
      </c>
      <c r="X7" s="26">
        <f>IF($Y7="","",INDEX(입력_전공의명단!$AI$2:$AI$401,$Y7))</f>
        <v/>
      </c>
      <c r="Y7" s="29">
        <f>IFERROR(MATCH(ROW()-5,입력_전공의명단!$AN$2:$AN$401,0),"")</f>
        <v/>
      </c>
    </row>
    <row r="8">
      <c r="A8" s="26">
        <f>IF($R8="","",ROW()-5)</f>
        <v/>
      </c>
      <c r="B8" s="26">
        <f>IF($R8="","",INDEX(입력_전공의명단!$C$2:$C$401,$R8))</f>
        <v/>
      </c>
      <c r="C8" s="26">
        <f>IF($R8="","",INDEX(입력_전공의명단!$B$2:$B$401,$R8))</f>
        <v/>
      </c>
      <c r="D8" s="26">
        <f>IF($R8="","",INDEX(입력_전공의명단!$J$2:$J$401,$R8))</f>
        <v/>
      </c>
      <c r="E8" s="26">
        <f>IF($R8="","",INDEX(입력_전공의명단!$F$2:$F$401,$R8))</f>
        <v/>
      </c>
      <c r="F8" s="26">
        <f>IF($R8="","",INDEX(입력_전공의명단!$G$2:$G$401,$R8))</f>
        <v/>
      </c>
      <c r="G8" s="26">
        <f>IF($R8="","",INDEX(입력_전공의명단!$AE$2:$AE$401,$R8))</f>
        <v/>
      </c>
      <c r="H8" s="27">
        <f>IF($R8="","",IF(INDEX(입력_전공의명단!$AE$2:$AE$401,$R8)="서울병원","서울 소속","타 병원 소속("&amp;INDEX(입력_전공의명단!$AE$2:$AE$401,$R8)&amp;") → 서울 지급"))</f>
        <v/>
      </c>
      <c r="I8" s="26">
        <f>IF($R8="","",INDEX(입력_전공의명단!$N$2:$N$401,$R8))</f>
        <v/>
      </c>
      <c r="J8" s="26">
        <f>IF($R8="","",INDEX(입력_전공의명단!$P$2:$P$401,$R8))</f>
        <v/>
      </c>
      <c r="K8" s="26">
        <f>IF($R8="","",INDEX(입력_전공의명단!$Q$2:$Q$401,$R8))</f>
        <v/>
      </c>
      <c r="L8" s="28">
        <f>IF($R8="","",INDEX(입력_전공의명단!$S$2:$S$401,$R8))</f>
        <v/>
      </c>
      <c r="M8" s="28">
        <f>IF($R8="","",INDEX(입력_전공의명단!$T$2:$T$401,$R8))</f>
        <v/>
      </c>
      <c r="N8" s="26">
        <f>IF($R8="","",INDEX(입력_전공의명단!$AH$2:$AH$401,$R8))</f>
        <v/>
      </c>
      <c r="O8" s="26">
        <f>IF($R8="","",INDEX(입력_전공의명단!$AI$2:$AI$401,$R8))</f>
        <v/>
      </c>
      <c r="P8" s="27">
        <f>IF($R8="","",INDEX(입력_전공의명단!$AO$2:$AO$401,$R8))</f>
        <v/>
      </c>
      <c r="Q8" s="27">
        <f>IF($R8="","",INDEX(입력_전공의명단!$Z$2:$Z$401,$R8))</f>
        <v/>
      </c>
      <c r="R8" s="29">
        <f>IFERROR(MATCH(ROW()-5,입력_전공의명단!$AM$2:$AM$401,0),"")</f>
        <v/>
      </c>
      <c r="T8" s="26">
        <f>IF($Y8="","",INDEX(입력_전공의명단!$C$2:$C$401,$Y8))</f>
        <v/>
      </c>
      <c r="U8" s="26">
        <f>IF($Y8="","",INDEX(입력_전공의명단!$B$2:$B$401,$Y8))</f>
        <v/>
      </c>
      <c r="V8" s="26">
        <f>IF($Y8="","",INDEX(입력_전공의명단!$AE$2:$AE$401,$Y8))</f>
        <v/>
      </c>
      <c r="W8" s="26">
        <f>IF($Y8="","",INDEX(입력_전공의명단!$AH$2:$AH$401,$Y8))</f>
        <v/>
      </c>
      <c r="X8" s="26">
        <f>IF($Y8="","",INDEX(입력_전공의명단!$AI$2:$AI$401,$Y8))</f>
        <v/>
      </c>
      <c r="Y8" s="29">
        <f>IFERROR(MATCH(ROW()-5,입력_전공의명단!$AN$2:$AN$401,0),"")</f>
        <v/>
      </c>
    </row>
    <row r="9">
      <c r="A9" s="26">
        <f>IF($R9="","",ROW()-5)</f>
        <v/>
      </c>
      <c r="B9" s="26">
        <f>IF($R9="","",INDEX(입력_전공의명단!$C$2:$C$401,$R9))</f>
        <v/>
      </c>
      <c r="C9" s="26">
        <f>IF($R9="","",INDEX(입력_전공의명단!$B$2:$B$401,$R9))</f>
        <v/>
      </c>
      <c r="D9" s="26">
        <f>IF($R9="","",INDEX(입력_전공의명단!$J$2:$J$401,$R9))</f>
        <v/>
      </c>
      <c r="E9" s="26">
        <f>IF($R9="","",INDEX(입력_전공의명단!$F$2:$F$401,$R9))</f>
        <v/>
      </c>
      <c r="F9" s="26">
        <f>IF($R9="","",INDEX(입력_전공의명단!$G$2:$G$401,$R9))</f>
        <v/>
      </c>
      <c r="G9" s="26">
        <f>IF($R9="","",INDEX(입력_전공의명단!$AE$2:$AE$401,$R9))</f>
        <v/>
      </c>
      <c r="H9" s="27">
        <f>IF($R9="","",IF(INDEX(입력_전공의명단!$AE$2:$AE$401,$R9)="서울병원","서울 소속","타 병원 소속("&amp;INDEX(입력_전공의명단!$AE$2:$AE$401,$R9)&amp;") → 서울 지급"))</f>
        <v/>
      </c>
      <c r="I9" s="26">
        <f>IF($R9="","",INDEX(입력_전공의명단!$N$2:$N$401,$R9))</f>
        <v/>
      </c>
      <c r="J9" s="26">
        <f>IF($R9="","",INDEX(입력_전공의명단!$P$2:$P$401,$R9))</f>
        <v/>
      </c>
      <c r="K9" s="26">
        <f>IF($R9="","",INDEX(입력_전공의명단!$Q$2:$Q$401,$R9))</f>
        <v/>
      </c>
      <c r="L9" s="28">
        <f>IF($R9="","",INDEX(입력_전공의명단!$S$2:$S$401,$R9))</f>
        <v/>
      </c>
      <c r="M9" s="28">
        <f>IF($R9="","",INDEX(입력_전공의명단!$T$2:$T$401,$R9))</f>
        <v/>
      </c>
      <c r="N9" s="26">
        <f>IF($R9="","",INDEX(입력_전공의명단!$AH$2:$AH$401,$R9))</f>
        <v/>
      </c>
      <c r="O9" s="26">
        <f>IF($R9="","",INDEX(입력_전공의명단!$AI$2:$AI$401,$R9))</f>
        <v/>
      </c>
      <c r="P9" s="27">
        <f>IF($R9="","",INDEX(입력_전공의명단!$AO$2:$AO$401,$R9))</f>
        <v/>
      </c>
      <c r="Q9" s="27">
        <f>IF($R9="","",INDEX(입력_전공의명단!$Z$2:$Z$401,$R9))</f>
        <v/>
      </c>
      <c r="R9" s="29">
        <f>IFERROR(MATCH(ROW()-5,입력_전공의명단!$AM$2:$AM$401,0),"")</f>
        <v/>
      </c>
      <c r="T9" s="26">
        <f>IF($Y9="","",INDEX(입력_전공의명단!$C$2:$C$401,$Y9))</f>
        <v/>
      </c>
      <c r="U9" s="26">
        <f>IF($Y9="","",INDEX(입력_전공의명단!$B$2:$B$401,$Y9))</f>
        <v/>
      </c>
      <c r="V9" s="26">
        <f>IF($Y9="","",INDEX(입력_전공의명단!$AE$2:$AE$401,$Y9))</f>
        <v/>
      </c>
      <c r="W9" s="26">
        <f>IF($Y9="","",INDEX(입력_전공의명단!$AH$2:$AH$401,$Y9))</f>
        <v/>
      </c>
      <c r="X9" s="26">
        <f>IF($Y9="","",INDEX(입력_전공의명단!$AI$2:$AI$401,$Y9))</f>
        <v/>
      </c>
      <c r="Y9" s="29">
        <f>IFERROR(MATCH(ROW()-5,입력_전공의명단!$AN$2:$AN$401,0),"")</f>
        <v/>
      </c>
    </row>
    <row r="10">
      <c r="A10" s="26">
        <f>IF($R10="","",ROW()-5)</f>
        <v/>
      </c>
      <c r="B10" s="26">
        <f>IF($R10="","",INDEX(입력_전공의명단!$C$2:$C$401,$R10))</f>
        <v/>
      </c>
      <c r="C10" s="26">
        <f>IF($R10="","",INDEX(입력_전공의명단!$B$2:$B$401,$R10))</f>
        <v/>
      </c>
      <c r="D10" s="26">
        <f>IF($R10="","",INDEX(입력_전공의명단!$J$2:$J$401,$R10))</f>
        <v/>
      </c>
      <c r="E10" s="26">
        <f>IF($R10="","",INDEX(입력_전공의명단!$F$2:$F$401,$R10))</f>
        <v/>
      </c>
      <c r="F10" s="26">
        <f>IF($R10="","",INDEX(입력_전공의명단!$G$2:$G$401,$R10))</f>
        <v/>
      </c>
      <c r="G10" s="26">
        <f>IF($R10="","",INDEX(입력_전공의명단!$AE$2:$AE$401,$R10))</f>
        <v/>
      </c>
      <c r="H10" s="27">
        <f>IF($R10="","",IF(INDEX(입력_전공의명단!$AE$2:$AE$401,$R10)="서울병원","서울 소속","타 병원 소속("&amp;INDEX(입력_전공의명단!$AE$2:$AE$401,$R10)&amp;") → 서울 지급"))</f>
        <v/>
      </c>
      <c r="I10" s="26">
        <f>IF($R10="","",INDEX(입력_전공의명단!$N$2:$N$401,$R10))</f>
        <v/>
      </c>
      <c r="J10" s="26">
        <f>IF($R10="","",INDEX(입력_전공의명단!$P$2:$P$401,$R10))</f>
        <v/>
      </c>
      <c r="K10" s="26">
        <f>IF($R10="","",INDEX(입력_전공의명단!$Q$2:$Q$401,$R10))</f>
        <v/>
      </c>
      <c r="L10" s="28">
        <f>IF($R10="","",INDEX(입력_전공의명단!$S$2:$S$401,$R10))</f>
        <v/>
      </c>
      <c r="M10" s="28">
        <f>IF($R10="","",INDEX(입력_전공의명단!$T$2:$T$401,$R10))</f>
        <v/>
      </c>
      <c r="N10" s="26">
        <f>IF($R10="","",INDEX(입력_전공의명단!$AH$2:$AH$401,$R10))</f>
        <v/>
      </c>
      <c r="O10" s="26">
        <f>IF($R10="","",INDEX(입력_전공의명단!$AI$2:$AI$401,$R10))</f>
        <v/>
      </c>
      <c r="P10" s="27">
        <f>IF($R10="","",INDEX(입력_전공의명단!$AO$2:$AO$401,$R10))</f>
        <v/>
      </c>
      <c r="Q10" s="27">
        <f>IF($R10="","",INDEX(입력_전공의명단!$Z$2:$Z$401,$R10))</f>
        <v/>
      </c>
      <c r="R10" s="29">
        <f>IFERROR(MATCH(ROW()-5,입력_전공의명단!$AM$2:$AM$401,0),"")</f>
        <v/>
      </c>
      <c r="T10" s="26">
        <f>IF($Y10="","",INDEX(입력_전공의명단!$C$2:$C$401,$Y10))</f>
        <v/>
      </c>
      <c r="U10" s="26">
        <f>IF($Y10="","",INDEX(입력_전공의명단!$B$2:$B$401,$Y10))</f>
        <v/>
      </c>
      <c r="V10" s="26">
        <f>IF($Y10="","",INDEX(입력_전공의명단!$AE$2:$AE$401,$Y10))</f>
        <v/>
      </c>
      <c r="W10" s="26">
        <f>IF($Y10="","",INDEX(입력_전공의명단!$AH$2:$AH$401,$Y10))</f>
        <v/>
      </c>
      <c r="X10" s="26">
        <f>IF($Y10="","",INDEX(입력_전공의명단!$AI$2:$AI$401,$Y10))</f>
        <v/>
      </c>
      <c r="Y10" s="29">
        <f>IFERROR(MATCH(ROW()-5,입력_전공의명단!$AN$2:$AN$401,0),"")</f>
        <v/>
      </c>
    </row>
    <row r="11">
      <c r="A11" s="26">
        <f>IF($R11="","",ROW()-5)</f>
        <v/>
      </c>
      <c r="B11" s="26">
        <f>IF($R11="","",INDEX(입력_전공의명단!$C$2:$C$401,$R11))</f>
        <v/>
      </c>
      <c r="C11" s="26">
        <f>IF($R11="","",INDEX(입력_전공의명단!$B$2:$B$401,$R11))</f>
        <v/>
      </c>
      <c r="D11" s="26">
        <f>IF($R11="","",INDEX(입력_전공의명단!$J$2:$J$401,$R11))</f>
        <v/>
      </c>
      <c r="E11" s="26">
        <f>IF($R11="","",INDEX(입력_전공의명단!$F$2:$F$401,$R11))</f>
        <v/>
      </c>
      <c r="F11" s="26">
        <f>IF($R11="","",INDEX(입력_전공의명단!$G$2:$G$401,$R11))</f>
        <v/>
      </c>
      <c r="G11" s="26">
        <f>IF($R11="","",INDEX(입력_전공의명단!$AE$2:$AE$401,$R11))</f>
        <v/>
      </c>
      <c r="H11" s="27">
        <f>IF($R11="","",IF(INDEX(입력_전공의명단!$AE$2:$AE$401,$R11)="서울병원","서울 소속","타 병원 소속("&amp;INDEX(입력_전공의명단!$AE$2:$AE$401,$R11)&amp;") → 서울 지급"))</f>
        <v/>
      </c>
      <c r="I11" s="26">
        <f>IF($R11="","",INDEX(입력_전공의명단!$N$2:$N$401,$R11))</f>
        <v/>
      </c>
      <c r="J11" s="26">
        <f>IF($R11="","",INDEX(입력_전공의명단!$P$2:$P$401,$R11))</f>
        <v/>
      </c>
      <c r="K11" s="26">
        <f>IF($R11="","",INDEX(입력_전공의명단!$Q$2:$Q$401,$R11))</f>
        <v/>
      </c>
      <c r="L11" s="28">
        <f>IF($R11="","",INDEX(입력_전공의명단!$S$2:$S$401,$R11))</f>
        <v/>
      </c>
      <c r="M11" s="28">
        <f>IF($R11="","",INDEX(입력_전공의명단!$T$2:$T$401,$R11))</f>
        <v/>
      </c>
      <c r="N11" s="26">
        <f>IF($R11="","",INDEX(입력_전공의명단!$AH$2:$AH$401,$R11))</f>
        <v/>
      </c>
      <c r="O11" s="26">
        <f>IF($R11="","",INDEX(입력_전공의명단!$AI$2:$AI$401,$R11))</f>
        <v/>
      </c>
      <c r="P11" s="27">
        <f>IF($R11="","",INDEX(입력_전공의명단!$AO$2:$AO$401,$R11))</f>
        <v/>
      </c>
      <c r="Q11" s="27">
        <f>IF($R11="","",INDEX(입력_전공의명단!$Z$2:$Z$401,$R11))</f>
        <v/>
      </c>
      <c r="R11" s="29">
        <f>IFERROR(MATCH(ROW()-5,입력_전공의명단!$AM$2:$AM$401,0),"")</f>
        <v/>
      </c>
      <c r="T11" s="26">
        <f>IF($Y11="","",INDEX(입력_전공의명단!$C$2:$C$401,$Y11))</f>
        <v/>
      </c>
      <c r="U11" s="26">
        <f>IF($Y11="","",INDEX(입력_전공의명단!$B$2:$B$401,$Y11))</f>
        <v/>
      </c>
      <c r="V11" s="26">
        <f>IF($Y11="","",INDEX(입력_전공의명단!$AE$2:$AE$401,$Y11))</f>
        <v/>
      </c>
      <c r="W11" s="26">
        <f>IF($Y11="","",INDEX(입력_전공의명단!$AH$2:$AH$401,$Y11))</f>
        <v/>
      </c>
      <c r="X11" s="26">
        <f>IF($Y11="","",INDEX(입력_전공의명단!$AI$2:$AI$401,$Y11))</f>
        <v/>
      </c>
      <c r="Y11" s="29">
        <f>IFERROR(MATCH(ROW()-5,입력_전공의명단!$AN$2:$AN$401,0),"")</f>
        <v/>
      </c>
    </row>
    <row r="12">
      <c r="A12" s="26">
        <f>IF($R12="","",ROW()-5)</f>
        <v/>
      </c>
      <c r="B12" s="26">
        <f>IF($R12="","",INDEX(입력_전공의명단!$C$2:$C$401,$R12))</f>
        <v/>
      </c>
      <c r="C12" s="26">
        <f>IF($R12="","",INDEX(입력_전공의명단!$B$2:$B$401,$R12))</f>
        <v/>
      </c>
      <c r="D12" s="26">
        <f>IF($R12="","",INDEX(입력_전공의명단!$J$2:$J$401,$R12))</f>
        <v/>
      </c>
      <c r="E12" s="26">
        <f>IF($R12="","",INDEX(입력_전공의명단!$F$2:$F$401,$R12))</f>
        <v/>
      </c>
      <c r="F12" s="26">
        <f>IF($R12="","",INDEX(입력_전공의명단!$G$2:$G$401,$R12))</f>
        <v/>
      </c>
      <c r="G12" s="26">
        <f>IF($R12="","",INDEX(입력_전공의명단!$AE$2:$AE$401,$R12))</f>
        <v/>
      </c>
      <c r="H12" s="27">
        <f>IF($R12="","",IF(INDEX(입력_전공의명단!$AE$2:$AE$401,$R12)="서울병원","서울 소속","타 병원 소속("&amp;INDEX(입력_전공의명단!$AE$2:$AE$401,$R12)&amp;") → 서울 지급"))</f>
        <v/>
      </c>
      <c r="I12" s="26">
        <f>IF($R12="","",INDEX(입력_전공의명단!$N$2:$N$401,$R12))</f>
        <v/>
      </c>
      <c r="J12" s="26">
        <f>IF($R12="","",INDEX(입력_전공의명단!$P$2:$P$401,$R12))</f>
        <v/>
      </c>
      <c r="K12" s="26">
        <f>IF($R12="","",INDEX(입력_전공의명단!$Q$2:$Q$401,$R12))</f>
        <v/>
      </c>
      <c r="L12" s="28">
        <f>IF($R12="","",INDEX(입력_전공의명단!$S$2:$S$401,$R12))</f>
        <v/>
      </c>
      <c r="M12" s="28">
        <f>IF($R12="","",INDEX(입력_전공의명단!$T$2:$T$401,$R12))</f>
        <v/>
      </c>
      <c r="N12" s="26">
        <f>IF($R12="","",INDEX(입력_전공의명단!$AH$2:$AH$401,$R12))</f>
        <v/>
      </c>
      <c r="O12" s="26">
        <f>IF($R12="","",INDEX(입력_전공의명단!$AI$2:$AI$401,$R12))</f>
        <v/>
      </c>
      <c r="P12" s="27">
        <f>IF($R12="","",INDEX(입력_전공의명단!$AO$2:$AO$401,$R12))</f>
        <v/>
      </c>
      <c r="Q12" s="27">
        <f>IF($R12="","",INDEX(입력_전공의명단!$Z$2:$Z$401,$R12))</f>
        <v/>
      </c>
      <c r="R12" s="29">
        <f>IFERROR(MATCH(ROW()-5,입력_전공의명단!$AM$2:$AM$401,0),"")</f>
        <v/>
      </c>
      <c r="T12" s="26">
        <f>IF($Y12="","",INDEX(입력_전공의명단!$C$2:$C$401,$Y12))</f>
        <v/>
      </c>
      <c r="U12" s="26">
        <f>IF($Y12="","",INDEX(입력_전공의명단!$B$2:$B$401,$Y12))</f>
        <v/>
      </c>
      <c r="V12" s="26">
        <f>IF($Y12="","",INDEX(입력_전공의명단!$AE$2:$AE$401,$Y12))</f>
        <v/>
      </c>
      <c r="W12" s="26">
        <f>IF($Y12="","",INDEX(입력_전공의명단!$AH$2:$AH$401,$Y12))</f>
        <v/>
      </c>
      <c r="X12" s="26">
        <f>IF($Y12="","",INDEX(입력_전공의명단!$AI$2:$AI$401,$Y12))</f>
        <v/>
      </c>
      <c r="Y12" s="29">
        <f>IFERROR(MATCH(ROW()-5,입력_전공의명단!$AN$2:$AN$401,0),"")</f>
        <v/>
      </c>
    </row>
    <row r="13">
      <c r="A13" s="26">
        <f>IF($R13="","",ROW()-5)</f>
        <v/>
      </c>
      <c r="B13" s="26">
        <f>IF($R13="","",INDEX(입력_전공의명단!$C$2:$C$401,$R13))</f>
        <v/>
      </c>
      <c r="C13" s="26">
        <f>IF($R13="","",INDEX(입력_전공의명단!$B$2:$B$401,$R13))</f>
        <v/>
      </c>
      <c r="D13" s="26">
        <f>IF($R13="","",INDEX(입력_전공의명단!$J$2:$J$401,$R13))</f>
        <v/>
      </c>
      <c r="E13" s="26">
        <f>IF($R13="","",INDEX(입력_전공의명단!$F$2:$F$401,$R13))</f>
        <v/>
      </c>
      <c r="F13" s="26">
        <f>IF($R13="","",INDEX(입력_전공의명단!$G$2:$G$401,$R13))</f>
        <v/>
      </c>
      <c r="G13" s="26">
        <f>IF($R13="","",INDEX(입력_전공의명단!$AE$2:$AE$401,$R13))</f>
        <v/>
      </c>
      <c r="H13" s="27">
        <f>IF($R13="","",IF(INDEX(입력_전공의명단!$AE$2:$AE$401,$R13)="서울병원","서울 소속","타 병원 소속("&amp;INDEX(입력_전공의명단!$AE$2:$AE$401,$R13)&amp;") → 서울 지급"))</f>
        <v/>
      </c>
      <c r="I13" s="26">
        <f>IF($R13="","",INDEX(입력_전공의명단!$N$2:$N$401,$R13))</f>
        <v/>
      </c>
      <c r="J13" s="26">
        <f>IF($R13="","",INDEX(입력_전공의명단!$P$2:$P$401,$R13))</f>
        <v/>
      </c>
      <c r="K13" s="26">
        <f>IF($R13="","",INDEX(입력_전공의명단!$Q$2:$Q$401,$R13))</f>
        <v/>
      </c>
      <c r="L13" s="28">
        <f>IF($R13="","",INDEX(입력_전공의명단!$S$2:$S$401,$R13))</f>
        <v/>
      </c>
      <c r="M13" s="28">
        <f>IF($R13="","",INDEX(입력_전공의명단!$T$2:$T$401,$R13))</f>
        <v/>
      </c>
      <c r="N13" s="26">
        <f>IF($R13="","",INDEX(입력_전공의명단!$AH$2:$AH$401,$R13))</f>
        <v/>
      </c>
      <c r="O13" s="26">
        <f>IF($R13="","",INDEX(입력_전공의명단!$AI$2:$AI$401,$R13))</f>
        <v/>
      </c>
      <c r="P13" s="27">
        <f>IF($R13="","",INDEX(입력_전공의명단!$AO$2:$AO$401,$R13))</f>
        <v/>
      </c>
      <c r="Q13" s="27">
        <f>IF($R13="","",INDEX(입력_전공의명단!$Z$2:$Z$401,$R13))</f>
        <v/>
      </c>
      <c r="R13" s="29">
        <f>IFERROR(MATCH(ROW()-5,입력_전공의명단!$AM$2:$AM$401,0),"")</f>
        <v/>
      </c>
      <c r="T13" s="26">
        <f>IF($Y13="","",INDEX(입력_전공의명단!$C$2:$C$401,$Y13))</f>
        <v/>
      </c>
      <c r="U13" s="26">
        <f>IF($Y13="","",INDEX(입력_전공의명단!$B$2:$B$401,$Y13))</f>
        <v/>
      </c>
      <c r="V13" s="26">
        <f>IF($Y13="","",INDEX(입력_전공의명단!$AE$2:$AE$401,$Y13))</f>
        <v/>
      </c>
      <c r="W13" s="26">
        <f>IF($Y13="","",INDEX(입력_전공의명단!$AH$2:$AH$401,$Y13))</f>
        <v/>
      </c>
      <c r="X13" s="26">
        <f>IF($Y13="","",INDEX(입력_전공의명단!$AI$2:$AI$401,$Y13))</f>
        <v/>
      </c>
      <c r="Y13" s="29">
        <f>IFERROR(MATCH(ROW()-5,입력_전공의명단!$AN$2:$AN$401,0),"")</f>
        <v/>
      </c>
    </row>
    <row r="14">
      <c r="A14" s="26">
        <f>IF($R14="","",ROW()-5)</f>
        <v/>
      </c>
      <c r="B14" s="26">
        <f>IF($R14="","",INDEX(입력_전공의명단!$C$2:$C$401,$R14))</f>
        <v/>
      </c>
      <c r="C14" s="26">
        <f>IF($R14="","",INDEX(입력_전공의명단!$B$2:$B$401,$R14))</f>
        <v/>
      </c>
      <c r="D14" s="26">
        <f>IF($R14="","",INDEX(입력_전공의명단!$J$2:$J$401,$R14))</f>
        <v/>
      </c>
      <c r="E14" s="26">
        <f>IF($R14="","",INDEX(입력_전공의명단!$F$2:$F$401,$R14))</f>
        <v/>
      </c>
      <c r="F14" s="26">
        <f>IF($R14="","",INDEX(입력_전공의명단!$G$2:$G$401,$R14))</f>
        <v/>
      </c>
      <c r="G14" s="26">
        <f>IF($R14="","",INDEX(입력_전공의명단!$AE$2:$AE$401,$R14))</f>
        <v/>
      </c>
      <c r="H14" s="27">
        <f>IF($R14="","",IF(INDEX(입력_전공의명단!$AE$2:$AE$401,$R14)="서울병원","서울 소속","타 병원 소속("&amp;INDEX(입력_전공의명단!$AE$2:$AE$401,$R14)&amp;") → 서울 지급"))</f>
        <v/>
      </c>
      <c r="I14" s="26">
        <f>IF($R14="","",INDEX(입력_전공의명단!$N$2:$N$401,$R14))</f>
        <v/>
      </c>
      <c r="J14" s="26">
        <f>IF($R14="","",INDEX(입력_전공의명단!$P$2:$P$401,$R14))</f>
        <v/>
      </c>
      <c r="K14" s="26">
        <f>IF($R14="","",INDEX(입력_전공의명단!$Q$2:$Q$401,$R14))</f>
        <v/>
      </c>
      <c r="L14" s="28">
        <f>IF($R14="","",INDEX(입력_전공의명단!$S$2:$S$401,$R14))</f>
        <v/>
      </c>
      <c r="M14" s="28">
        <f>IF($R14="","",INDEX(입력_전공의명단!$T$2:$T$401,$R14))</f>
        <v/>
      </c>
      <c r="N14" s="26">
        <f>IF($R14="","",INDEX(입력_전공의명단!$AH$2:$AH$401,$R14))</f>
        <v/>
      </c>
      <c r="O14" s="26">
        <f>IF($R14="","",INDEX(입력_전공의명단!$AI$2:$AI$401,$R14))</f>
        <v/>
      </c>
      <c r="P14" s="27">
        <f>IF($R14="","",INDEX(입력_전공의명단!$AO$2:$AO$401,$R14))</f>
        <v/>
      </c>
      <c r="Q14" s="27">
        <f>IF($R14="","",INDEX(입력_전공의명단!$Z$2:$Z$401,$R14))</f>
        <v/>
      </c>
      <c r="R14" s="29">
        <f>IFERROR(MATCH(ROW()-5,입력_전공의명단!$AM$2:$AM$401,0),"")</f>
        <v/>
      </c>
      <c r="T14" s="26">
        <f>IF($Y14="","",INDEX(입력_전공의명단!$C$2:$C$401,$Y14))</f>
        <v/>
      </c>
      <c r="U14" s="26">
        <f>IF($Y14="","",INDEX(입력_전공의명단!$B$2:$B$401,$Y14))</f>
        <v/>
      </c>
      <c r="V14" s="26">
        <f>IF($Y14="","",INDEX(입력_전공의명단!$AE$2:$AE$401,$Y14))</f>
        <v/>
      </c>
      <c r="W14" s="26">
        <f>IF($Y14="","",INDEX(입력_전공의명단!$AH$2:$AH$401,$Y14))</f>
        <v/>
      </c>
      <c r="X14" s="26">
        <f>IF($Y14="","",INDEX(입력_전공의명단!$AI$2:$AI$401,$Y14))</f>
        <v/>
      </c>
      <c r="Y14" s="29">
        <f>IFERROR(MATCH(ROW()-5,입력_전공의명단!$AN$2:$AN$401,0),"")</f>
        <v/>
      </c>
    </row>
    <row r="15">
      <c r="A15" s="26">
        <f>IF($R15="","",ROW()-5)</f>
        <v/>
      </c>
      <c r="B15" s="26">
        <f>IF($R15="","",INDEX(입력_전공의명단!$C$2:$C$401,$R15))</f>
        <v/>
      </c>
      <c r="C15" s="26">
        <f>IF($R15="","",INDEX(입력_전공의명단!$B$2:$B$401,$R15))</f>
        <v/>
      </c>
      <c r="D15" s="26">
        <f>IF($R15="","",INDEX(입력_전공의명단!$J$2:$J$401,$R15))</f>
        <v/>
      </c>
      <c r="E15" s="26">
        <f>IF($R15="","",INDEX(입력_전공의명단!$F$2:$F$401,$R15))</f>
        <v/>
      </c>
      <c r="F15" s="26">
        <f>IF($R15="","",INDEX(입력_전공의명단!$G$2:$G$401,$R15))</f>
        <v/>
      </c>
      <c r="G15" s="26">
        <f>IF($R15="","",INDEX(입력_전공의명단!$AE$2:$AE$401,$R15))</f>
        <v/>
      </c>
      <c r="H15" s="27">
        <f>IF($R15="","",IF(INDEX(입력_전공의명단!$AE$2:$AE$401,$R15)="서울병원","서울 소속","타 병원 소속("&amp;INDEX(입력_전공의명단!$AE$2:$AE$401,$R15)&amp;") → 서울 지급"))</f>
        <v/>
      </c>
      <c r="I15" s="26">
        <f>IF($R15="","",INDEX(입력_전공의명단!$N$2:$N$401,$R15))</f>
        <v/>
      </c>
      <c r="J15" s="26">
        <f>IF($R15="","",INDEX(입력_전공의명단!$P$2:$P$401,$R15))</f>
        <v/>
      </c>
      <c r="K15" s="26">
        <f>IF($R15="","",INDEX(입력_전공의명단!$Q$2:$Q$401,$R15))</f>
        <v/>
      </c>
      <c r="L15" s="28">
        <f>IF($R15="","",INDEX(입력_전공의명단!$S$2:$S$401,$R15))</f>
        <v/>
      </c>
      <c r="M15" s="28">
        <f>IF($R15="","",INDEX(입력_전공의명단!$T$2:$T$401,$R15))</f>
        <v/>
      </c>
      <c r="N15" s="26">
        <f>IF($R15="","",INDEX(입력_전공의명단!$AH$2:$AH$401,$R15))</f>
        <v/>
      </c>
      <c r="O15" s="26">
        <f>IF($R15="","",INDEX(입력_전공의명단!$AI$2:$AI$401,$R15))</f>
        <v/>
      </c>
      <c r="P15" s="27">
        <f>IF($R15="","",INDEX(입력_전공의명단!$AO$2:$AO$401,$R15))</f>
        <v/>
      </c>
      <c r="Q15" s="27">
        <f>IF($R15="","",INDEX(입력_전공의명단!$Z$2:$Z$401,$R15))</f>
        <v/>
      </c>
      <c r="R15" s="29">
        <f>IFERROR(MATCH(ROW()-5,입력_전공의명단!$AM$2:$AM$401,0),"")</f>
        <v/>
      </c>
      <c r="T15" s="26">
        <f>IF($Y15="","",INDEX(입력_전공의명단!$C$2:$C$401,$Y15))</f>
        <v/>
      </c>
      <c r="U15" s="26">
        <f>IF($Y15="","",INDEX(입력_전공의명단!$B$2:$B$401,$Y15))</f>
        <v/>
      </c>
      <c r="V15" s="26">
        <f>IF($Y15="","",INDEX(입력_전공의명단!$AE$2:$AE$401,$Y15))</f>
        <v/>
      </c>
      <c r="W15" s="26">
        <f>IF($Y15="","",INDEX(입력_전공의명단!$AH$2:$AH$401,$Y15))</f>
        <v/>
      </c>
      <c r="X15" s="26">
        <f>IF($Y15="","",INDEX(입력_전공의명단!$AI$2:$AI$401,$Y15))</f>
        <v/>
      </c>
      <c r="Y15" s="29">
        <f>IFERROR(MATCH(ROW()-5,입력_전공의명단!$AN$2:$AN$401,0),"")</f>
        <v/>
      </c>
    </row>
    <row r="16">
      <c r="A16" s="26">
        <f>IF($R16="","",ROW()-5)</f>
        <v/>
      </c>
      <c r="B16" s="26">
        <f>IF($R16="","",INDEX(입력_전공의명단!$C$2:$C$401,$R16))</f>
        <v/>
      </c>
      <c r="C16" s="26">
        <f>IF($R16="","",INDEX(입력_전공의명단!$B$2:$B$401,$R16))</f>
        <v/>
      </c>
      <c r="D16" s="26">
        <f>IF($R16="","",INDEX(입력_전공의명단!$J$2:$J$401,$R16))</f>
        <v/>
      </c>
      <c r="E16" s="26">
        <f>IF($R16="","",INDEX(입력_전공의명단!$F$2:$F$401,$R16))</f>
        <v/>
      </c>
      <c r="F16" s="26">
        <f>IF($R16="","",INDEX(입력_전공의명단!$G$2:$G$401,$R16))</f>
        <v/>
      </c>
      <c r="G16" s="26">
        <f>IF($R16="","",INDEX(입력_전공의명단!$AE$2:$AE$401,$R16))</f>
        <v/>
      </c>
      <c r="H16" s="27">
        <f>IF($R16="","",IF(INDEX(입력_전공의명단!$AE$2:$AE$401,$R16)="서울병원","서울 소속","타 병원 소속("&amp;INDEX(입력_전공의명단!$AE$2:$AE$401,$R16)&amp;") → 서울 지급"))</f>
        <v/>
      </c>
      <c r="I16" s="26">
        <f>IF($R16="","",INDEX(입력_전공의명단!$N$2:$N$401,$R16))</f>
        <v/>
      </c>
      <c r="J16" s="26">
        <f>IF($R16="","",INDEX(입력_전공의명단!$P$2:$P$401,$R16))</f>
        <v/>
      </c>
      <c r="K16" s="26">
        <f>IF($R16="","",INDEX(입력_전공의명단!$Q$2:$Q$401,$R16))</f>
        <v/>
      </c>
      <c r="L16" s="28">
        <f>IF($R16="","",INDEX(입력_전공의명단!$S$2:$S$401,$R16))</f>
        <v/>
      </c>
      <c r="M16" s="28">
        <f>IF($R16="","",INDEX(입력_전공의명단!$T$2:$T$401,$R16))</f>
        <v/>
      </c>
      <c r="N16" s="26">
        <f>IF($R16="","",INDEX(입력_전공의명단!$AH$2:$AH$401,$R16))</f>
        <v/>
      </c>
      <c r="O16" s="26">
        <f>IF($R16="","",INDEX(입력_전공의명단!$AI$2:$AI$401,$R16))</f>
        <v/>
      </c>
      <c r="P16" s="27">
        <f>IF($R16="","",INDEX(입력_전공의명단!$AO$2:$AO$401,$R16))</f>
        <v/>
      </c>
      <c r="Q16" s="27">
        <f>IF($R16="","",INDEX(입력_전공의명단!$Z$2:$Z$401,$R16))</f>
        <v/>
      </c>
      <c r="R16" s="29">
        <f>IFERROR(MATCH(ROW()-5,입력_전공의명단!$AM$2:$AM$401,0),"")</f>
        <v/>
      </c>
      <c r="T16" s="26">
        <f>IF($Y16="","",INDEX(입력_전공의명단!$C$2:$C$401,$Y16))</f>
        <v/>
      </c>
      <c r="U16" s="26">
        <f>IF($Y16="","",INDEX(입력_전공의명단!$B$2:$B$401,$Y16))</f>
        <v/>
      </c>
      <c r="V16" s="26">
        <f>IF($Y16="","",INDEX(입력_전공의명단!$AE$2:$AE$401,$Y16))</f>
        <v/>
      </c>
      <c r="W16" s="26">
        <f>IF($Y16="","",INDEX(입력_전공의명단!$AH$2:$AH$401,$Y16))</f>
        <v/>
      </c>
      <c r="X16" s="26">
        <f>IF($Y16="","",INDEX(입력_전공의명단!$AI$2:$AI$401,$Y16))</f>
        <v/>
      </c>
      <c r="Y16" s="29">
        <f>IFERROR(MATCH(ROW()-5,입력_전공의명단!$AN$2:$AN$401,0),"")</f>
        <v/>
      </c>
    </row>
    <row r="17">
      <c r="A17" s="26">
        <f>IF($R17="","",ROW()-5)</f>
        <v/>
      </c>
      <c r="B17" s="26">
        <f>IF($R17="","",INDEX(입력_전공의명단!$C$2:$C$401,$R17))</f>
        <v/>
      </c>
      <c r="C17" s="26">
        <f>IF($R17="","",INDEX(입력_전공의명단!$B$2:$B$401,$R17))</f>
        <v/>
      </c>
      <c r="D17" s="26">
        <f>IF($R17="","",INDEX(입력_전공의명단!$J$2:$J$401,$R17))</f>
        <v/>
      </c>
      <c r="E17" s="26">
        <f>IF($R17="","",INDEX(입력_전공의명단!$F$2:$F$401,$R17))</f>
        <v/>
      </c>
      <c r="F17" s="26">
        <f>IF($R17="","",INDEX(입력_전공의명단!$G$2:$G$401,$R17))</f>
        <v/>
      </c>
      <c r="G17" s="26">
        <f>IF($R17="","",INDEX(입력_전공의명단!$AE$2:$AE$401,$R17))</f>
        <v/>
      </c>
      <c r="H17" s="27">
        <f>IF($R17="","",IF(INDEX(입력_전공의명단!$AE$2:$AE$401,$R17)="서울병원","서울 소속","타 병원 소속("&amp;INDEX(입력_전공의명단!$AE$2:$AE$401,$R17)&amp;") → 서울 지급"))</f>
        <v/>
      </c>
      <c r="I17" s="26">
        <f>IF($R17="","",INDEX(입력_전공의명단!$N$2:$N$401,$R17))</f>
        <v/>
      </c>
      <c r="J17" s="26">
        <f>IF($R17="","",INDEX(입력_전공의명단!$P$2:$P$401,$R17))</f>
        <v/>
      </c>
      <c r="K17" s="26">
        <f>IF($R17="","",INDEX(입력_전공의명단!$Q$2:$Q$401,$R17))</f>
        <v/>
      </c>
      <c r="L17" s="28">
        <f>IF($R17="","",INDEX(입력_전공의명단!$S$2:$S$401,$R17))</f>
        <v/>
      </c>
      <c r="M17" s="28">
        <f>IF($R17="","",INDEX(입력_전공의명단!$T$2:$T$401,$R17))</f>
        <v/>
      </c>
      <c r="N17" s="26">
        <f>IF($R17="","",INDEX(입력_전공의명단!$AH$2:$AH$401,$R17))</f>
        <v/>
      </c>
      <c r="O17" s="26">
        <f>IF($R17="","",INDEX(입력_전공의명단!$AI$2:$AI$401,$R17))</f>
        <v/>
      </c>
      <c r="P17" s="27">
        <f>IF($R17="","",INDEX(입력_전공의명단!$AO$2:$AO$401,$R17))</f>
        <v/>
      </c>
      <c r="Q17" s="27">
        <f>IF($R17="","",INDEX(입력_전공의명단!$Z$2:$Z$401,$R17))</f>
        <v/>
      </c>
      <c r="R17" s="29">
        <f>IFERROR(MATCH(ROW()-5,입력_전공의명단!$AM$2:$AM$401,0),"")</f>
        <v/>
      </c>
      <c r="T17" s="26">
        <f>IF($Y17="","",INDEX(입력_전공의명단!$C$2:$C$401,$Y17))</f>
        <v/>
      </c>
      <c r="U17" s="26">
        <f>IF($Y17="","",INDEX(입력_전공의명단!$B$2:$B$401,$Y17))</f>
        <v/>
      </c>
      <c r="V17" s="26">
        <f>IF($Y17="","",INDEX(입력_전공의명단!$AE$2:$AE$401,$Y17))</f>
        <v/>
      </c>
      <c r="W17" s="26">
        <f>IF($Y17="","",INDEX(입력_전공의명단!$AH$2:$AH$401,$Y17))</f>
        <v/>
      </c>
      <c r="X17" s="26">
        <f>IF($Y17="","",INDEX(입력_전공의명단!$AI$2:$AI$401,$Y17))</f>
        <v/>
      </c>
      <c r="Y17" s="29">
        <f>IFERROR(MATCH(ROW()-5,입력_전공의명단!$AN$2:$AN$401,0),"")</f>
        <v/>
      </c>
    </row>
    <row r="18">
      <c r="A18" s="26">
        <f>IF($R18="","",ROW()-5)</f>
        <v/>
      </c>
      <c r="B18" s="26">
        <f>IF($R18="","",INDEX(입력_전공의명단!$C$2:$C$401,$R18))</f>
        <v/>
      </c>
      <c r="C18" s="26">
        <f>IF($R18="","",INDEX(입력_전공의명단!$B$2:$B$401,$R18))</f>
        <v/>
      </c>
      <c r="D18" s="26">
        <f>IF($R18="","",INDEX(입력_전공의명단!$J$2:$J$401,$R18))</f>
        <v/>
      </c>
      <c r="E18" s="26">
        <f>IF($R18="","",INDEX(입력_전공의명단!$F$2:$F$401,$R18))</f>
        <v/>
      </c>
      <c r="F18" s="26">
        <f>IF($R18="","",INDEX(입력_전공의명단!$G$2:$G$401,$R18))</f>
        <v/>
      </c>
      <c r="G18" s="26">
        <f>IF($R18="","",INDEX(입력_전공의명단!$AE$2:$AE$401,$R18))</f>
        <v/>
      </c>
      <c r="H18" s="27">
        <f>IF($R18="","",IF(INDEX(입력_전공의명단!$AE$2:$AE$401,$R18)="서울병원","서울 소속","타 병원 소속("&amp;INDEX(입력_전공의명단!$AE$2:$AE$401,$R18)&amp;") → 서울 지급"))</f>
        <v/>
      </c>
      <c r="I18" s="26">
        <f>IF($R18="","",INDEX(입력_전공의명단!$N$2:$N$401,$R18))</f>
        <v/>
      </c>
      <c r="J18" s="26">
        <f>IF($R18="","",INDEX(입력_전공의명단!$P$2:$P$401,$R18))</f>
        <v/>
      </c>
      <c r="K18" s="26">
        <f>IF($R18="","",INDEX(입력_전공의명단!$Q$2:$Q$401,$R18))</f>
        <v/>
      </c>
      <c r="L18" s="28">
        <f>IF($R18="","",INDEX(입력_전공의명단!$S$2:$S$401,$R18))</f>
        <v/>
      </c>
      <c r="M18" s="28">
        <f>IF($R18="","",INDEX(입력_전공의명단!$T$2:$T$401,$R18))</f>
        <v/>
      </c>
      <c r="N18" s="26">
        <f>IF($R18="","",INDEX(입력_전공의명단!$AH$2:$AH$401,$R18))</f>
        <v/>
      </c>
      <c r="O18" s="26">
        <f>IF($R18="","",INDEX(입력_전공의명단!$AI$2:$AI$401,$R18))</f>
        <v/>
      </c>
      <c r="P18" s="27">
        <f>IF($R18="","",INDEX(입력_전공의명단!$AO$2:$AO$401,$R18))</f>
        <v/>
      </c>
      <c r="Q18" s="27">
        <f>IF($R18="","",INDEX(입력_전공의명단!$Z$2:$Z$401,$R18))</f>
        <v/>
      </c>
      <c r="R18" s="29">
        <f>IFERROR(MATCH(ROW()-5,입력_전공의명단!$AM$2:$AM$401,0),"")</f>
        <v/>
      </c>
      <c r="T18" s="26">
        <f>IF($Y18="","",INDEX(입력_전공의명단!$C$2:$C$401,$Y18))</f>
        <v/>
      </c>
      <c r="U18" s="26">
        <f>IF($Y18="","",INDEX(입력_전공의명단!$B$2:$B$401,$Y18))</f>
        <v/>
      </c>
      <c r="V18" s="26">
        <f>IF($Y18="","",INDEX(입력_전공의명단!$AE$2:$AE$401,$Y18))</f>
        <v/>
      </c>
      <c r="W18" s="26">
        <f>IF($Y18="","",INDEX(입력_전공의명단!$AH$2:$AH$401,$Y18))</f>
        <v/>
      </c>
      <c r="X18" s="26">
        <f>IF($Y18="","",INDEX(입력_전공의명단!$AI$2:$AI$401,$Y18))</f>
        <v/>
      </c>
      <c r="Y18" s="29">
        <f>IFERROR(MATCH(ROW()-5,입력_전공의명단!$AN$2:$AN$401,0),"")</f>
        <v/>
      </c>
    </row>
    <row r="19">
      <c r="A19" s="26">
        <f>IF($R19="","",ROW()-5)</f>
        <v/>
      </c>
      <c r="B19" s="26">
        <f>IF($R19="","",INDEX(입력_전공의명단!$C$2:$C$401,$R19))</f>
        <v/>
      </c>
      <c r="C19" s="26">
        <f>IF($R19="","",INDEX(입력_전공의명단!$B$2:$B$401,$R19))</f>
        <v/>
      </c>
      <c r="D19" s="26">
        <f>IF($R19="","",INDEX(입력_전공의명단!$J$2:$J$401,$R19))</f>
        <v/>
      </c>
      <c r="E19" s="26">
        <f>IF($R19="","",INDEX(입력_전공의명단!$F$2:$F$401,$R19))</f>
        <v/>
      </c>
      <c r="F19" s="26">
        <f>IF($R19="","",INDEX(입력_전공의명단!$G$2:$G$401,$R19))</f>
        <v/>
      </c>
      <c r="G19" s="26">
        <f>IF($R19="","",INDEX(입력_전공의명단!$AE$2:$AE$401,$R19))</f>
        <v/>
      </c>
      <c r="H19" s="27">
        <f>IF($R19="","",IF(INDEX(입력_전공의명단!$AE$2:$AE$401,$R19)="서울병원","서울 소속","타 병원 소속("&amp;INDEX(입력_전공의명단!$AE$2:$AE$401,$R19)&amp;") → 서울 지급"))</f>
        <v/>
      </c>
      <c r="I19" s="26">
        <f>IF($R19="","",INDEX(입력_전공의명단!$N$2:$N$401,$R19))</f>
        <v/>
      </c>
      <c r="J19" s="26">
        <f>IF($R19="","",INDEX(입력_전공의명단!$P$2:$P$401,$R19))</f>
        <v/>
      </c>
      <c r="K19" s="26">
        <f>IF($R19="","",INDEX(입력_전공의명단!$Q$2:$Q$401,$R19))</f>
        <v/>
      </c>
      <c r="L19" s="28">
        <f>IF($R19="","",INDEX(입력_전공의명단!$S$2:$S$401,$R19))</f>
        <v/>
      </c>
      <c r="M19" s="28">
        <f>IF($R19="","",INDEX(입력_전공의명단!$T$2:$T$401,$R19))</f>
        <v/>
      </c>
      <c r="N19" s="26">
        <f>IF($R19="","",INDEX(입력_전공의명단!$AH$2:$AH$401,$R19))</f>
        <v/>
      </c>
      <c r="O19" s="26">
        <f>IF($R19="","",INDEX(입력_전공의명단!$AI$2:$AI$401,$R19))</f>
        <v/>
      </c>
      <c r="P19" s="27">
        <f>IF($R19="","",INDEX(입력_전공의명단!$AO$2:$AO$401,$R19))</f>
        <v/>
      </c>
      <c r="Q19" s="27">
        <f>IF($R19="","",INDEX(입력_전공의명단!$Z$2:$Z$401,$R19))</f>
        <v/>
      </c>
      <c r="R19" s="29">
        <f>IFERROR(MATCH(ROW()-5,입력_전공의명단!$AM$2:$AM$401,0),"")</f>
        <v/>
      </c>
      <c r="T19" s="26">
        <f>IF($Y19="","",INDEX(입력_전공의명단!$C$2:$C$401,$Y19))</f>
        <v/>
      </c>
      <c r="U19" s="26">
        <f>IF($Y19="","",INDEX(입력_전공의명단!$B$2:$B$401,$Y19))</f>
        <v/>
      </c>
      <c r="V19" s="26">
        <f>IF($Y19="","",INDEX(입력_전공의명단!$AE$2:$AE$401,$Y19))</f>
        <v/>
      </c>
      <c r="W19" s="26">
        <f>IF($Y19="","",INDEX(입력_전공의명단!$AH$2:$AH$401,$Y19))</f>
        <v/>
      </c>
      <c r="X19" s="26">
        <f>IF($Y19="","",INDEX(입력_전공의명단!$AI$2:$AI$401,$Y19))</f>
        <v/>
      </c>
      <c r="Y19" s="29">
        <f>IFERROR(MATCH(ROW()-5,입력_전공의명단!$AN$2:$AN$401,0),"")</f>
        <v/>
      </c>
    </row>
    <row r="20">
      <c r="A20" s="26">
        <f>IF($R20="","",ROW()-5)</f>
        <v/>
      </c>
      <c r="B20" s="26">
        <f>IF($R20="","",INDEX(입력_전공의명단!$C$2:$C$401,$R20))</f>
        <v/>
      </c>
      <c r="C20" s="26">
        <f>IF($R20="","",INDEX(입력_전공의명단!$B$2:$B$401,$R20))</f>
        <v/>
      </c>
      <c r="D20" s="26">
        <f>IF($R20="","",INDEX(입력_전공의명단!$J$2:$J$401,$R20))</f>
        <v/>
      </c>
      <c r="E20" s="26">
        <f>IF($R20="","",INDEX(입력_전공의명단!$F$2:$F$401,$R20))</f>
        <v/>
      </c>
      <c r="F20" s="26">
        <f>IF($R20="","",INDEX(입력_전공의명단!$G$2:$G$401,$R20))</f>
        <v/>
      </c>
      <c r="G20" s="26">
        <f>IF($R20="","",INDEX(입력_전공의명단!$AE$2:$AE$401,$R20))</f>
        <v/>
      </c>
      <c r="H20" s="27">
        <f>IF($R20="","",IF(INDEX(입력_전공의명단!$AE$2:$AE$401,$R20)="서울병원","서울 소속","타 병원 소속("&amp;INDEX(입력_전공의명단!$AE$2:$AE$401,$R20)&amp;") → 서울 지급"))</f>
        <v/>
      </c>
      <c r="I20" s="26">
        <f>IF($R20="","",INDEX(입력_전공의명단!$N$2:$N$401,$R20))</f>
        <v/>
      </c>
      <c r="J20" s="26">
        <f>IF($R20="","",INDEX(입력_전공의명단!$P$2:$P$401,$R20))</f>
        <v/>
      </c>
      <c r="K20" s="26">
        <f>IF($R20="","",INDEX(입력_전공의명단!$Q$2:$Q$401,$R20))</f>
        <v/>
      </c>
      <c r="L20" s="28">
        <f>IF($R20="","",INDEX(입력_전공의명단!$S$2:$S$401,$R20))</f>
        <v/>
      </c>
      <c r="M20" s="28">
        <f>IF($R20="","",INDEX(입력_전공의명단!$T$2:$T$401,$R20))</f>
        <v/>
      </c>
      <c r="N20" s="26">
        <f>IF($R20="","",INDEX(입력_전공의명단!$AH$2:$AH$401,$R20))</f>
        <v/>
      </c>
      <c r="O20" s="26">
        <f>IF($R20="","",INDEX(입력_전공의명단!$AI$2:$AI$401,$R20))</f>
        <v/>
      </c>
      <c r="P20" s="27">
        <f>IF($R20="","",INDEX(입력_전공의명단!$AO$2:$AO$401,$R20))</f>
        <v/>
      </c>
      <c r="Q20" s="27">
        <f>IF($R20="","",INDEX(입력_전공의명단!$Z$2:$Z$401,$R20))</f>
        <v/>
      </c>
      <c r="R20" s="29">
        <f>IFERROR(MATCH(ROW()-5,입력_전공의명단!$AM$2:$AM$401,0),"")</f>
        <v/>
      </c>
      <c r="T20" s="26">
        <f>IF($Y20="","",INDEX(입력_전공의명단!$C$2:$C$401,$Y20))</f>
        <v/>
      </c>
      <c r="U20" s="26">
        <f>IF($Y20="","",INDEX(입력_전공의명단!$B$2:$B$401,$Y20))</f>
        <v/>
      </c>
      <c r="V20" s="26">
        <f>IF($Y20="","",INDEX(입력_전공의명단!$AE$2:$AE$401,$Y20))</f>
        <v/>
      </c>
      <c r="W20" s="26">
        <f>IF($Y20="","",INDEX(입력_전공의명단!$AH$2:$AH$401,$Y20))</f>
        <v/>
      </c>
      <c r="X20" s="26">
        <f>IF($Y20="","",INDEX(입력_전공의명단!$AI$2:$AI$401,$Y20))</f>
        <v/>
      </c>
      <c r="Y20" s="29">
        <f>IFERROR(MATCH(ROW()-5,입력_전공의명단!$AN$2:$AN$401,0),"")</f>
        <v/>
      </c>
    </row>
    <row r="21">
      <c r="A21" s="26">
        <f>IF($R21="","",ROW()-5)</f>
        <v/>
      </c>
      <c r="B21" s="26">
        <f>IF($R21="","",INDEX(입력_전공의명단!$C$2:$C$401,$R21))</f>
        <v/>
      </c>
      <c r="C21" s="26">
        <f>IF($R21="","",INDEX(입력_전공의명단!$B$2:$B$401,$R21))</f>
        <v/>
      </c>
      <c r="D21" s="26">
        <f>IF($R21="","",INDEX(입력_전공의명단!$J$2:$J$401,$R21))</f>
        <v/>
      </c>
      <c r="E21" s="26">
        <f>IF($R21="","",INDEX(입력_전공의명단!$F$2:$F$401,$R21))</f>
        <v/>
      </c>
      <c r="F21" s="26">
        <f>IF($R21="","",INDEX(입력_전공의명단!$G$2:$G$401,$R21))</f>
        <v/>
      </c>
      <c r="G21" s="26">
        <f>IF($R21="","",INDEX(입력_전공의명단!$AE$2:$AE$401,$R21))</f>
        <v/>
      </c>
      <c r="H21" s="27">
        <f>IF($R21="","",IF(INDEX(입력_전공의명단!$AE$2:$AE$401,$R21)="서울병원","서울 소속","타 병원 소속("&amp;INDEX(입력_전공의명단!$AE$2:$AE$401,$R21)&amp;") → 서울 지급"))</f>
        <v/>
      </c>
      <c r="I21" s="26">
        <f>IF($R21="","",INDEX(입력_전공의명단!$N$2:$N$401,$R21))</f>
        <v/>
      </c>
      <c r="J21" s="26">
        <f>IF($R21="","",INDEX(입력_전공의명단!$P$2:$P$401,$R21))</f>
        <v/>
      </c>
      <c r="K21" s="26">
        <f>IF($R21="","",INDEX(입력_전공의명단!$Q$2:$Q$401,$R21))</f>
        <v/>
      </c>
      <c r="L21" s="28">
        <f>IF($R21="","",INDEX(입력_전공의명단!$S$2:$S$401,$R21))</f>
        <v/>
      </c>
      <c r="M21" s="28">
        <f>IF($R21="","",INDEX(입력_전공의명단!$T$2:$T$401,$R21))</f>
        <v/>
      </c>
      <c r="N21" s="26">
        <f>IF($R21="","",INDEX(입력_전공의명단!$AH$2:$AH$401,$R21))</f>
        <v/>
      </c>
      <c r="O21" s="26">
        <f>IF($R21="","",INDEX(입력_전공의명단!$AI$2:$AI$401,$R21))</f>
        <v/>
      </c>
      <c r="P21" s="27">
        <f>IF($R21="","",INDEX(입력_전공의명단!$AO$2:$AO$401,$R21))</f>
        <v/>
      </c>
      <c r="Q21" s="27">
        <f>IF($R21="","",INDEX(입력_전공의명단!$Z$2:$Z$401,$R21))</f>
        <v/>
      </c>
      <c r="R21" s="29">
        <f>IFERROR(MATCH(ROW()-5,입력_전공의명단!$AM$2:$AM$401,0),"")</f>
        <v/>
      </c>
      <c r="T21" s="26">
        <f>IF($Y21="","",INDEX(입력_전공의명단!$C$2:$C$401,$Y21))</f>
        <v/>
      </c>
      <c r="U21" s="26">
        <f>IF($Y21="","",INDEX(입력_전공의명단!$B$2:$B$401,$Y21))</f>
        <v/>
      </c>
      <c r="V21" s="26">
        <f>IF($Y21="","",INDEX(입력_전공의명단!$AE$2:$AE$401,$Y21))</f>
        <v/>
      </c>
      <c r="W21" s="26">
        <f>IF($Y21="","",INDEX(입력_전공의명단!$AH$2:$AH$401,$Y21))</f>
        <v/>
      </c>
      <c r="X21" s="26">
        <f>IF($Y21="","",INDEX(입력_전공의명단!$AI$2:$AI$401,$Y21))</f>
        <v/>
      </c>
      <c r="Y21" s="29">
        <f>IFERROR(MATCH(ROW()-5,입력_전공의명단!$AN$2:$AN$401,0),"")</f>
        <v/>
      </c>
    </row>
    <row r="22">
      <c r="A22" s="26">
        <f>IF($R22="","",ROW()-5)</f>
        <v/>
      </c>
      <c r="B22" s="26">
        <f>IF($R22="","",INDEX(입력_전공의명단!$C$2:$C$401,$R22))</f>
        <v/>
      </c>
      <c r="C22" s="26">
        <f>IF($R22="","",INDEX(입력_전공의명단!$B$2:$B$401,$R22))</f>
        <v/>
      </c>
      <c r="D22" s="26">
        <f>IF($R22="","",INDEX(입력_전공의명단!$J$2:$J$401,$R22))</f>
        <v/>
      </c>
      <c r="E22" s="26">
        <f>IF($R22="","",INDEX(입력_전공의명단!$F$2:$F$401,$R22))</f>
        <v/>
      </c>
      <c r="F22" s="26">
        <f>IF($R22="","",INDEX(입력_전공의명단!$G$2:$G$401,$R22))</f>
        <v/>
      </c>
      <c r="G22" s="26">
        <f>IF($R22="","",INDEX(입력_전공의명단!$AE$2:$AE$401,$R22))</f>
        <v/>
      </c>
      <c r="H22" s="27">
        <f>IF($R22="","",IF(INDEX(입력_전공의명단!$AE$2:$AE$401,$R22)="서울병원","서울 소속","타 병원 소속("&amp;INDEX(입력_전공의명단!$AE$2:$AE$401,$R22)&amp;") → 서울 지급"))</f>
        <v/>
      </c>
      <c r="I22" s="26">
        <f>IF($R22="","",INDEX(입력_전공의명단!$N$2:$N$401,$R22))</f>
        <v/>
      </c>
      <c r="J22" s="26">
        <f>IF($R22="","",INDEX(입력_전공의명단!$P$2:$P$401,$R22))</f>
        <v/>
      </c>
      <c r="K22" s="26">
        <f>IF($R22="","",INDEX(입력_전공의명단!$Q$2:$Q$401,$R22))</f>
        <v/>
      </c>
      <c r="L22" s="28">
        <f>IF($R22="","",INDEX(입력_전공의명단!$S$2:$S$401,$R22))</f>
        <v/>
      </c>
      <c r="M22" s="28">
        <f>IF($R22="","",INDEX(입력_전공의명단!$T$2:$T$401,$R22))</f>
        <v/>
      </c>
      <c r="N22" s="26">
        <f>IF($R22="","",INDEX(입력_전공의명단!$AH$2:$AH$401,$R22))</f>
        <v/>
      </c>
      <c r="O22" s="26">
        <f>IF($R22="","",INDEX(입력_전공의명단!$AI$2:$AI$401,$R22))</f>
        <v/>
      </c>
      <c r="P22" s="27">
        <f>IF($R22="","",INDEX(입력_전공의명단!$AO$2:$AO$401,$R22))</f>
        <v/>
      </c>
      <c r="Q22" s="27">
        <f>IF($R22="","",INDEX(입력_전공의명단!$Z$2:$Z$401,$R22))</f>
        <v/>
      </c>
      <c r="R22" s="29">
        <f>IFERROR(MATCH(ROW()-5,입력_전공의명단!$AM$2:$AM$401,0),"")</f>
        <v/>
      </c>
      <c r="T22" s="26">
        <f>IF($Y22="","",INDEX(입력_전공의명단!$C$2:$C$401,$Y22))</f>
        <v/>
      </c>
      <c r="U22" s="26">
        <f>IF($Y22="","",INDEX(입력_전공의명단!$B$2:$B$401,$Y22))</f>
        <v/>
      </c>
      <c r="V22" s="26">
        <f>IF($Y22="","",INDEX(입력_전공의명단!$AE$2:$AE$401,$Y22))</f>
        <v/>
      </c>
      <c r="W22" s="26">
        <f>IF($Y22="","",INDEX(입력_전공의명단!$AH$2:$AH$401,$Y22))</f>
        <v/>
      </c>
      <c r="X22" s="26">
        <f>IF($Y22="","",INDEX(입력_전공의명단!$AI$2:$AI$401,$Y22))</f>
        <v/>
      </c>
      <c r="Y22" s="29">
        <f>IFERROR(MATCH(ROW()-5,입력_전공의명단!$AN$2:$AN$401,0),"")</f>
        <v/>
      </c>
    </row>
    <row r="23">
      <c r="A23" s="26">
        <f>IF($R23="","",ROW()-5)</f>
        <v/>
      </c>
      <c r="B23" s="26">
        <f>IF($R23="","",INDEX(입력_전공의명단!$C$2:$C$401,$R23))</f>
        <v/>
      </c>
      <c r="C23" s="26">
        <f>IF($R23="","",INDEX(입력_전공의명단!$B$2:$B$401,$R23))</f>
        <v/>
      </c>
      <c r="D23" s="26">
        <f>IF($R23="","",INDEX(입력_전공의명단!$J$2:$J$401,$R23))</f>
        <v/>
      </c>
      <c r="E23" s="26">
        <f>IF($R23="","",INDEX(입력_전공의명단!$F$2:$F$401,$R23))</f>
        <v/>
      </c>
      <c r="F23" s="26">
        <f>IF($R23="","",INDEX(입력_전공의명단!$G$2:$G$401,$R23))</f>
        <v/>
      </c>
      <c r="G23" s="26">
        <f>IF($R23="","",INDEX(입력_전공의명단!$AE$2:$AE$401,$R23))</f>
        <v/>
      </c>
      <c r="H23" s="27">
        <f>IF($R23="","",IF(INDEX(입력_전공의명단!$AE$2:$AE$401,$R23)="서울병원","서울 소속","타 병원 소속("&amp;INDEX(입력_전공의명단!$AE$2:$AE$401,$R23)&amp;") → 서울 지급"))</f>
        <v/>
      </c>
      <c r="I23" s="26">
        <f>IF($R23="","",INDEX(입력_전공의명단!$N$2:$N$401,$R23))</f>
        <v/>
      </c>
      <c r="J23" s="26">
        <f>IF($R23="","",INDEX(입력_전공의명단!$P$2:$P$401,$R23))</f>
        <v/>
      </c>
      <c r="K23" s="26">
        <f>IF($R23="","",INDEX(입력_전공의명단!$Q$2:$Q$401,$R23))</f>
        <v/>
      </c>
      <c r="L23" s="28">
        <f>IF($R23="","",INDEX(입력_전공의명단!$S$2:$S$401,$R23))</f>
        <v/>
      </c>
      <c r="M23" s="28">
        <f>IF($R23="","",INDEX(입력_전공의명단!$T$2:$T$401,$R23))</f>
        <v/>
      </c>
      <c r="N23" s="26">
        <f>IF($R23="","",INDEX(입력_전공의명단!$AH$2:$AH$401,$R23))</f>
        <v/>
      </c>
      <c r="O23" s="26">
        <f>IF($R23="","",INDEX(입력_전공의명단!$AI$2:$AI$401,$R23))</f>
        <v/>
      </c>
      <c r="P23" s="27">
        <f>IF($R23="","",INDEX(입력_전공의명단!$AO$2:$AO$401,$R23))</f>
        <v/>
      </c>
      <c r="Q23" s="27">
        <f>IF($R23="","",INDEX(입력_전공의명단!$Z$2:$Z$401,$R23))</f>
        <v/>
      </c>
      <c r="R23" s="29">
        <f>IFERROR(MATCH(ROW()-5,입력_전공의명단!$AM$2:$AM$401,0),"")</f>
        <v/>
      </c>
      <c r="T23" s="26">
        <f>IF($Y23="","",INDEX(입력_전공의명단!$C$2:$C$401,$Y23))</f>
        <v/>
      </c>
      <c r="U23" s="26">
        <f>IF($Y23="","",INDEX(입력_전공의명단!$B$2:$B$401,$Y23))</f>
        <v/>
      </c>
      <c r="V23" s="26">
        <f>IF($Y23="","",INDEX(입력_전공의명단!$AE$2:$AE$401,$Y23))</f>
        <v/>
      </c>
      <c r="W23" s="26">
        <f>IF($Y23="","",INDEX(입력_전공의명단!$AH$2:$AH$401,$Y23))</f>
        <v/>
      </c>
      <c r="X23" s="26">
        <f>IF($Y23="","",INDEX(입력_전공의명단!$AI$2:$AI$401,$Y23))</f>
        <v/>
      </c>
      <c r="Y23" s="29">
        <f>IFERROR(MATCH(ROW()-5,입력_전공의명단!$AN$2:$AN$401,0),"")</f>
        <v/>
      </c>
    </row>
    <row r="24">
      <c r="A24" s="26">
        <f>IF($R24="","",ROW()-5)</f>
        <v/>
      </c>
      <c r="B24" s="26">
        <f>IF($R24="","",INDEX(입력_전공의명단!$C$2:$C$401,$R24))</f>
        <v/>
      </c>
      <c r="C24" s="26">
        <f>IF($R24="","",INDEX(입력_전공의명단!$B$2:$B$401,$R24))</f>
        <v/>
      </c>
      <c r="D24" s="26">
        <f>IF($R24="","",INDEX(입력_전공의명단!$J$2:$J$401,$R24))</f>
        <v/>
      </c>
      <c r="E24" s="26">
        <f>IF($R24="","",INDEX(입력_전공의명단!$F$2:$F$401,$R24))</f>
        <v/>
      </c>
      <c r="F24" s="26">
        <f>IF($R24="","",INDEX(입력_전공의명단!$G$2:$G$401,$R24))</f>
        <v/>
      </c>
      <c r="G24" s="26">
        <f>IF($R24="","",INDEX(입력_전공의명단!$AE$2:$AE$401,$R24))</f>
        <v/>
      </c>
      <c r="H24" s="27">
        <f>IF($R24="","",IF(INDEX(입력_전공의명단!$AE$2:$AE$401,$R24)="서울병원","서울 소속","타 병원 소속("&amp;INDEX(입력_전공의명단!$AE$2:$AE$401,$R24)&amp;") → 서울 지급"))</f>
        <v/>
      </c>
      <c r="I24" s="26">
        <f>IF($R24="","",INDEX(입력_전공의명단!$N$2:$N$401,$R24))</f>
        <v/>
      </c>
      <c r="J24" s="26">
        <f>IF($R24="","",INDEX(입력_전공의명단!$P$2:$P$401,$R24))</f>
        <v/>
      </c>
      <c r="K24" s="26">
        <f>IF($R24="","",INDEX(입력_전공의명단!$Q$2:$Q$401,$R24))</f>
        <v/>
      </c>
      <c r="L24" s="28">
        <f>IF($R24="","",INDEX(입력_전공의명단!$S$2:$S$401,$R24))</f>
        <v/>
      </c>
      <c r="M24" s="28">
        <f>IF($R24="","",INDEX(입력_전공의명단!$T$2:$T$401,$R24))</f>
        <v/>
      </c>
      <c r="N24" s="26">
        <f>IF($R24="","",INDEX(입력_전공의명단!$AH$2:$AH$401,$R24))</f>
        <v/>
      </c>
      <c r="O24" s="26">
        <f>IF($R24="","",INDEX(입력_전공의명단!$AI$2:$AI$401,$R24))</f>
        <v/>
      </c>
      <c r="P24" s="27">
        <f>IF($R24="","",INDEX(입력_전공의명단!$AO$2:$AO$401,$R24))</f>
        <v/>
      </c>
      <c r="Q24" s="27">
        <f>IF($R24="","",INDEX(입력_전공의명단!$Z$2:$Z$401,$R24))</f>
        <v/>
      </c>
      <c r="R24" s="29">
        <f>IFERROR(MATCH(ROW()-5,입력_전공의명단!$AM$2:$AM$401,0),"")</f>
        <v/>
      </c>
      <c r="T24" s="26">
        <f>IF($Y24="","",INDEX(입력_전공의명단!$C$2:$C$401,$Y24))</f>
        <v/>
      </c>
      <c r="U24" s="26">
        <f>IF($Y24="","",INDEX(입력_전공의명단!$B$2:$B$401,$Y24))</f>
        <v/>
      </c>
      <c r="V24" s="26">
        <f>IF($Y24="","",INDEX(입력_전공의명단!$AE$2:$AE$401,$Y24))</f>
        <v/>
      </c>
      <c r="W24" s="26">
        <f>IF($Y24="","",INDEX(입력_전공의명단!$AH$2:$AH$401,$Y24))</f>
        <v/>
      </c>
      <c r="X24" s="26">
        <f>IF($Y24="","",INDEX(입력_전공의명단!$AI$2:$AI$401,$Y24))</f>
        <v/>
      </c>
      <c r="Y24" s="29">
        <f>IFERROR(MATCH(ROW()-5,입력_전공의명단!$AN$2:$AN$401,0),"")</f>
        <v/>
      </c>
    </row>
    <row r="25">
      <c r="A25" s="26">
        <f>IF($R25="","",ROW()-5)</f>
        <v/>
      </c>
      <c r="B25" s="26">
        <f>IF($R25="","",INDEX(입력_전공의명단!$C$2:$C$401,$R25))</f>
        <v/>
      </c>
      <c r="C25" s="26">
        <f>IF($R25="","",INDEX(입력_전공의명단!$B$2:$B$401,$R25))</f>
        <v/>
      </c>
      <c r="D25" s="26">
        <f>IF($R25="","",INDEX(입력_전공의명단!$J$2:$J$401,$R25))</f>
        <v/>
      </c>
      <c r="E25" s="26">
        <f>IF($R25="","",INDEX(입력_전공의명단!$F$2:$F$401,$R25))</f>
        <v/>
      </c>
      <c r="F25" s="26">
        <f>IF($R25="","",INDEX(입력_전공의명단!$G$2:$G$401,$R25))</f>
        <v/>
      </c>
      <c r="G25" s="26">
        <f>IF($R25="","",INDEX(입력_전공의명단!$AE$2:$AE$401,$R25))</f>
        <v/>
      </c>
      <c r="H25" s="27">
        <f>IF($R25="","",IF(INDEX(입력_전공의명단!$AE$2:$AE$401,$R25)="서울병원","서울 소속","타 병원 소속("&amp;INDEX(입력_전공의명단!$AE$2:$AE$401,$R25)&amp;") → 서울 지급"))</f>
        <v/>
      </c>
      <c r="I25" s="26">
        <f>IF($R25="","",INDEX(입력_전공의명단!$N$2:$N$401,$R25))</f>
        <v/>
      </c>
      <c r="J25" s="26">
        <f>IF($R25="","",INDEX(입력_전공의명단!$P$2:$P$401,$R25))</f>
        <v/>
      </c>
      <c r="K25" s="26">
        <f>IF($R25="","",INDEX(입력_전공의명단!$Q$2:$Q$401,$R25))</f>
        <v/>
      </c>
      <c r="L25" s="28">
        <f>IF($R25="","",INDEX(입력_전공의명단!$S$2:$S$401,$R25))</f>
        <v/>
      </c>
      <c r="M25" s="28">
        <f>IF($R25="","",INDEX(입력_전공의명단!$T$2:$T$401,$R25))</f>
        <v/>
      </c>
      <c r="N25" s="26">
        <f>IF($R25="","",INDEX(입력_전공의명단!$AH$2:$AH$401,$R25))</f>
        <v/>
      </c>
      <c r="O25" s="26">
        <f>IF($R25="","",INDEX(입력_전공의명단!$AI$2:$AI$401,$R25))</f>
        <v/>
      </c>
      <c r="P25" s="27">
        <f>IF($R25="","",INDEX(입력_전공의명단!$AO$2:$AO$401,$R25))</f>
        <v/>
      </c>
      <c r="Q25" s="27">
        <f>IF($R25="","",INDEX(입력_전공의명단!$Z$2:$Z$401,$R25))</f>
        <v/>
      </c>
      <c r="R25" s="29">
        <f>IFERROR(MATCH(ROW()-5,입력_전공의명단!$AM$2:$AM$401,0),"")</f>
        <v/>
      </c>
      <c r="T25" s="26">
        <f>IF($Y25="","",INDEX(입력_전공의명단!$C$2:$C$401,$Y25))</f>
        <v/>
      </c>
      <c r="U25" s="26">
        <f>IF($Y25="","",INDEX(입력_전공의명단!$B$2:$B$401,$Y25))</f>
        <v/>
      </c>
      <c r="V25" s="26">
        <f>IF($Y25="","",INDEX(입력_전공의명단!$AE$2:$AE$401,$Y25))</f>
        <v/>
      </c>
      <c r="W25" s="26">
        <f>IF($Y25="","",INDEX(입력_전공의명단!$AH$2:$AH$401,$Y25))</f>
        <v/>
      </c>
      <c r="X25" s="26">
        <f>IF($Y25="","",INDEX(입력_전공의명단!$AI$2:$AI$401,$Y25))</f>
        <v/>
      </c>
      <c r="Y25" s="29">
        <f>IFERROR(MATCH(ROW()-5,입력_전공의명단!$AN$2:$AN$401,0),"")</f>
        <v/>
      </c>
    </row>
    <row r="26">
      <c r="A26" s="26">
        <f>IF($R26="","",ROW()-5)</f>
        <v/>
      </c>
      <c r="B26" s="26">
        <f>IF($R26="","",INDEX(입력_전공의명단!$C$2:$C$401,$R26))</f>
        <v/>
      </c>
      <c r="C26" s="26">
        <f>IF($R26="","",INDEX(입력_전공의명단!$B$2:$B$401,$R26))</f>
        <v/>
      </c>
      <c r="D26" s="26">
        <f>IF($R26="","",INDEX(입력_전공의명단!$J$2:$J$401,$R26))</f>
        <v/>
      </c>
      <c r="E26" s="26">
        <f>IF($R26="","",INDEX(입력_전공의명단!$F$2:$F$401,$R26))</f>
        <v/>
      </c>
      <c r="F26" s="26">
        <f>IF($R26="","",INDEX(입력_전공의명단!$G$2:$G$401,$R26))</f>
        <v/>
      </c>
      <c r="G26" s="26">
        <f>IF($R26="","",INDEX(입력_전공의명단!$AE$2:$AE$401,$R26))</f>
        <v/>
      </c>
      <c r="H26" s="27">
        <f>IF($R26="","",IF(INDEX(입력_전공의명단!$AE$2:$AE$401,$R26)="서울병원","서울 소속","타 병원 소속("&amp;INDEX(입력_전공의명단!$AE$2:$AE$401,$R26)&amp;") → 서울 지급"))</f>
        <v/>
      </c>
      <c r="I26" s="26">
        <f>IF($R26="","",INDEX(입력_전공의명단!$N$2:$N$401,$R26))</f>
        <v/>
      </c>
      <c r="J26" s="26">
        <f>IF($R26="","",INDEX(입력_전공의명단!$P$2:$P$401,$R26))</f>
        <v/>
      </c>
      <c r="K26" s="26">
        <f>IF($R26="","",INDEX(입력_전공의명단!$Q$2:$Q$401,$R26))</f>
        <v/>
      </c>
      <c r="L26" s="28">
        <f>IF($R26="","",INDEX(입력_전공의명단!$S$2:$S$401,$R26))</f>
        <v/>
      </c>
      <c r="M26" s="28">
        <f>IF($R26="","",INDEX(입력_전공의명단!$T$2:$T$401,$R26))</f>
        <v/>
      </c>
      <c r="N26" s="26">
        <f>IF($R26="","",INDEX(입력_전공의명단!$AH$2:$AH$401,$R26))</f>
        <v/>
      </c>
      <c r="O26" s="26">
        <f>IF($R26="","",INDEX(입력_전공의명단!$AI$2:$AI$401,$R26))</f>
        <v/>
      </c>
      <c r="P26" s="27">
        <f>IF($R26="","",INDEX(입력_전공의명단!$AO$2:$AO$401,$R26))</f>
        <v/>
      </c>
      <c r="Q26" s="27">
        <f>IF($R26="","",INDEX(입력_전공의명단!$Z$2:$Z$401,$R26))</f>
        <v/>
      </c>
      <c r="R26" s="29">
        <f>IFERROR(MATCH(ROW()-5,입력_전공의명단!$AM$2:$AM$401,0),"")</f>
        <v/>
      </c>
      <c r="T26" s="26">
        <f>IF($Y26="","",INDEX(입력_전공의명단!$C$2:$C$401,$Y26))</f>
        <v/>
      </c>
      <c r="U26" s="26">
        <f>IF($Y26="","",INDEX(입력_전공의명단!$B$2:$B$401,$Y26))</f>
        <v/>
      </c>
      <c r="V26" s="26">
        <f>IF($Y26="","",INDEX(입력_전공의명단!$AE$2:$AE$401,$Y26))</f>
        <v/>
      </c>
      <c r="W26" s="26">
        <f>IF($Y26="","",INDEX(입력_전공의명단!$AH$2:$AH$401,$Y26))</f>
        <v/>
      </c>
      <c r="X26" s="26">
        <f>IF($Y26="","",INDEX(입력_전공의명단!$AI$2:$AI$401,$Y26))</f>
        <v/>
      </c>
      <c r="Y26" s="29">
        <f>IFERROR(MATCH(ROW()-5,입력_전공의명단!$AN$2:$AN$401,0),"")</f>
        <v/>
      </c>
    </row>
    <row r="27">
      <c r="A27" s="26">
        <f>IF($R27="","",ROW()-5)</f>
        <v/>
      </c>
      <c r="B27" s="26">
        <f>IF($R27="","",INDEX(입력_전공의명단!$C$2:$C$401,$R27))</f>
        <v/>
      </c>
      <c r="C27" s="26">
        <f>IF($R27="","",INDEX(입력_전공의명단!$B$2:$B$401,$R27))</f>
        <v/>
      </c>
      <c r="D27" s="26">
        <f>IF($R27="","",INDEX(입력_전공의명단!$J$2:$J$401,$R27))</f>
        <v/>
      </c>
      <c r="E27" s="26">
        <f>IF($R27="","",INDEX(입력_전공의명단!$F$2:$F$401,$R27))</f>
        <v/>
      </c>
      <c r="F27" s="26">
        <f>IF($R27="","",INDEX(입력_전공의명단!$G$2:$G$401,$R27))</f>
        <v/>
      </c>
      <c r="G27" s="26">
        <f>IF($R27="","",INDEX(입력_전공의명단!$AE$2:$AE$401,$R27))</f>
        <v/>
      </c>
      <c r="H27" s="27">
        <f>IF($R27="","",IF(INDEX(입력_전공의명단!$AE$2:$AE$401,$R27)="서울병원","서울 소속","타 병원 소속("&amp;INDEX(입력_전공의명단!$AE$2:$AE$401,$R27)&amp;") → 서울 지급"))</f>
        <v/>
      </c>
      <c r="I27" s="26">
        <f>IF($R27="","",INDEX(입력_전공의명단!$N$2:$N$401,$R27))</f>
        <v/>
      </c>
      <c r="J27" s="26">
        <f>IF($R27="","",INDEX(입력_전공의명단!$P$2:$P$401,$R27))</f>
        <v/>
      </c>
      <c r="K27" s="26">
        <f>IF($R27="","",INDEX(입력_전공의명단!$Q$2:$Q$401,$R27))</f>
        <v/>
      </c>
      <c r="L27" s="28">
        <f>IF($R27="","",INDEX(입력_전공의명단!$S$2:$S$401,$R27))</f>
        <v/>
      </c>
      <c r="M27" s="28">
        <f>IF($R27="","",INDEX(입력_전공의명단!$T$2:$T$401,$R27))</f>
        <v/>
      </c>
      <c r="N27" s="26">
        <f>IF($R27="","",INDEX(입력_전공의명단!$AH$2:$AH$401,$R27))</f>
        <v/>
      </c>
      <c r="O27" s="26">
        <f>IF($R27="","",INDEX(입력_전공의명단!$AI$2:$AI$401,$R27))</f>
        <v/>
      </c>
      <c r="P27" s="27">
        <f>IF($R27="","",INDEX(입력_전공의명단!$AO$2:$AO$401,$R27))</f>
        <v/>
      </c>
      <c r="Q27" s="27">
        <f>IF($R27="","",INDEX(입력_전공의명단!$Z$2:$Z$401,$R27))</f>
        <v/>
      </c>
      <c r="R27" s="29">
        <f>IFERROR(MATCH(ROW()-5,입력_전공의명단!$AM$2:$AM$401,0),"")</f>
        <v/>
      </c>
      <c r="T27" s="26">
        <f>IF($Y27="","",INDEX(입력_전공의명단!$C$2:$C$401,$Y27))</f>
        <v/>
      </c>
      <c r="U27" s="26">
        <f>IF($Y27="","",INDEX(입력_전공의명단!$B$2:$B$401,$Y27))</f>
        <v/>
      </c>
      <c r="V27" s="26">
        <f>IF($Y27="","",INDEX(입력_전공의명단!$AE$2:$AE$401,$Y27))</f>
        <v/>
      </c>
      <c r="W27" s="26">
        <f>IF($Y27="","",INDEX(입력_전공의명단!$AH$2:$AH$401,$Y27))</f>
        <v/>
      </c>
      <c r="X27" s="26">
        <f>IF($Y27="","",INDEX(입력_전공의명단!$AI$2:$AI$401,$Y27))</f>
        <v/>
      </c>
      <c r="Y27" s="29">
        <f>IFERROR(MATCH(ROW()-5,입력_전공의명단!$AN$2:$AN$401,0),"")</f>
        <v/>
      </c>
    </row>
    <row r="28">
      <c r="A28" s="26">
        <f>IF($R28="","",ROW()-5)</f>
        <v/>
      </c>
      <c r="B28" s="26">
        <f>IF($R28="","",INDEX(입력_전공의명단!$C$2:$C$401,$R28))</f>
        <v/>
      </c>
      <c r="C28" s="26">
        <f>IF($R28="","",INDEX(입력_전공의명단!$B$2:$B$401,$R28))</f>
        <v/>
      </c>
      <c r="D28" s="26">
        <f>IF($R28="","",INDEX(입력_전공의명단!$J$2:$J$401,$R28))</f>
        <v/>
      </c>
      <c r="E28" s="26">
        <f>IF($R28="","",INDEX(입력_전공의명단!$F$2:$F$401,$R28))</f>
        <v/>
      </c>
      <c r="F28" s="26">
        <f>IF($R28="","",INDEX(입력_전공의명단!$G$2:$G$401,$R28))</f>
        <v/>
      </c>
      <c r="G28" s="26">
        <f>IF($R28="","",INDEX(입력_전공의명단!$AE$2:$AE$401,$R28))</f>
        <v/>
      </c>
      <c r="H28" s="27">
        <f>IF($R28="","",IF(INDEX(입력_전공의명단!$AE$2:$AE$401,$R28)="서울병원","서울 소속","타 병원 소속("&amp;INDEX(입력_전공의명단!$AE$2:$AE$401,$R28)&amp;") → 서울 지급"))</f>
        <v/>
      </c>
      <c r="I28" s="26">
        <f>IF($R28="","",INDEX(입력_전공의명단!$N$2:$N$401,$R28))</f>
        <v/>
      </c>
      <c r="J28" s="26">
        <f>IF($R28="","",INDEX(입력_전공의명단!$P$2:$P$401,$R28))</f>
        <v/>
      </c>
      <c r="K28" s="26">
        <f>IF($R28="","",INDEX(입력_전공의명단!$Q$2:$Q$401,$R28))</f>
        <v/>
      </c>
      <c r="L28" s="28">
        <f>IF($R28="","",INDEX(입력_전공의명단!$S$2:$S$401,$R28))</f>
        <v/>
      </c>
      <c r="M28" s="28">
        <f>IF($R28="","",INDEX(입력_전공의명단!$T$2:$T$401,$R28))</f>
        <v/>
      </c>
      <c r="N28" s="26">
        <f>IF($R28="","",INDEX(입력_전공의명단!$AH$2:$AH$401,$R28))</f>
        <v/>
      </c>
      <c r="O28" s="26">
        <f>IF($R28="","",INDEX(입력_전공의명단!$AI$2:$AI$401,$R28))</f>
        <v/>
      </c>
      <c r="P28" s="27">
        <f>IF($R28="","",INDEX(입력_전공의명단!$AO$2:$AO$401,$R28))</f>
        <v/>
      </c>
      <c r="Q28" s="27">
        <f>IF($R28="","",INDEX(입력_전공의명단!$Z$2:$Z$401,$R28))</f>
        <v/>
      </c>
      <c r="R28" s="29">
        <f>IFERROR(MATCH(ROW()-5,입력_전공의명단!$AM$2:$AM$401,0),"")</f>
        <v/>
      </c>
      <c r="T28" s="26">
        <f>IF($Y28="","",INDEX(입력_전공의명단!$C$2:$C$401,$Y28))</f>
        <v/>
      </c>
      <c r="U28" s="26">
        <f>IF($Y28="","",INDEX(입력_전공의명단!$B$2:$B$401,$Y28))</f>
        <v/>
      </c>
      <c r="V28" s="26">
        <f>IF($Y28="","",INDEX(입력_전공의명단!$AE$2:$AE$401,$Y28))</f>
        <v/>
      </c>
      <c r="W28" s="26">
        <f>IF($Y28="","",INDEX(입력_전공의명단!$AH$2:$AH$401,$Y28))</f>
        <v/>
      </c>
      <c r="X28" s="26">
        <f>IF($Y28="","",INDEX(입력_전공의명단!$AI$2:$AI$401,$Y28))</f>
        <v/>
      </c>
      <c r="Y28" s="29">
        <f>IFERROR(MATCH(ROW()-5,입력_전공의명단!$AN$2:$AN$401,0),"")</f>
        <v/>
      </c>
    </row>
    <row r="29">
      <c r="A29" s="26">
        <f>IF($R29="","",ROW()-5)</f>
        <v/>
      </c>
      <c r="B29" s="26">
        <f>IF($R29="","",INDEX(입력_전공의명단!$C$2:$C$401,$R29))</f>
        <v/>
      </c>
      <c r="C29" s="26">
        <f>IF($R29="","",INDEX(입력_전공의명단!$B$2:$B$401,$R29))</f>
        <v/>
      </c>
      <c r="D29" s="26">
        <f>IF($R29="","",INDEX(입력_전공의명단!$J$2:$J$401,$R29))</f>
        <v/>
      </c>
      <c r="E29" s="26">
        <f>IF($R29="","",INDEX(입력_전공의명단!$F$2:$F$401,$R29))</f>
        <v/>
      </c>
      <c r="F29" s="26">
        <f>IF($R29="","",INDEX(입력_전공의명단!$G$2:$G$401,$R29))</f>
        <v/>
      </c>
      <c r="G29" s="26">
        <f>IF($R29="","",INDEX(입력_전공의명단!$AE$2:$AE$401,$R29))</f>
        <v/>
      </c>
      <c r="H29" s="27">
        <f>IF($R29="","",IF(INDEX(입력_전공의명단!$AE$2:$AE$401,$R29)="서울병원","서울 소속","타 병원 소속("&amp;INDEX(입력_전공의명단!$AE$2:$AE$401,$R29)&amp;") → 서울 지급"))</f>
        <v/>
      </c>
      <c r="I29" s="26">
        <f>IF($R29="","",INDEX(입력_전공의명단!$N$2:$N$401,$R29))</f>
        <v/>
      </c>
      <c r="J29" s="26">
        <f>IF($R29="","",INDEX(입력_전공의명단!$P$2:$P$401,$R29))</f>
        <v/>
      </c>
      <c r="K29" s="26">
        <f>IF($R29="","",INDEX(입력_전공의명단!$Q$2:$Q$401,$R29))</f>
        <v/>
      </c>
      <c r="L29" s="28">
        <f>IF($R29="","",INDEX(입력_전공의명단!$S$2:$S$401,$R29))</f>
        <v/>
      </c>
      <c r="M29" s="28">
        <f>IF($R29="","",INDEX(입력_전공의명단!$T$2:$T$401,$R29))</f>
        <v/>
      </c>
      <c r="N29" s="26">
        <f>IF($R29="","",INDEX(입력_전공의명단!$AH$2:$AH$401,$R29))</f>
        <v/>
      </c>
      <c r="O29" s="26">
        <f>IF($R29="","",INDEX(입력_전공의명단!$AI$2:$AI$401,$R29))</f>
        <v/>
      </c>
      <c r="P29" s="27">
        <f>IF($R29="","",INDEX(입력_전공의명단!$AO$2:$AO$401,$R29))</f>
        <v/>
      </c>
      <c r="Q29" s="27">
        <f>IF($R29="","",INDEX(입력_전공의명단!$Z$2:$Z$401,$R29))</f>
        <v/>
      </c>
      <c r="R29" s="29">
        <f>IFERROR(MATCH(ROW()-5,입력_전공의명단!$AM$2:$AM$401,0),"")</f>
        <v/>
      </c>
      <c r="T29" s="26">
        <f>IF($Y29="","",INDEX(입력_전공의명단!$C$2:$C$401,$Y29))</f>
        <v/>
      </c>
      <c r="U29" s="26">
        <f>IF($Y29="","",INDEX(입력_전공의명단!$B$2:$B$401,$Y29))</f>
        <v/>
      </c>
      <c r="V29" s="26">
        <f>IF($Y29="","",INDEX(입력_전공의명단!$AE$2:$AE$401,$Y29))</f>
        <v/>
      </c>
      <c r="W29" s="26">
        <f>IF($Y29="","",INDEX(입력_전공의명단!$AH$2:$AH$401,$Y29))</f>
        <v/>
      </c>
      <c r="X29" s="26">
        <f>IF($Y29="","",INDEX(입력_전공의명단!$AI$2:$AI$401,$Y29))</f>
        <v/>
      </c>
      <c r="Y29" s="29">
        <f>IFERROR(MATCH(ROW()-5,입력_전공의명단!$AN$2:$AN$401,0),"")</f>
        <v/>
      </c>
    </row>
    <row r="30">
      <c r="A30" s="26">
        <f>IF($R30="","",ROW()-5)</f>
        <v/>
      </c>
      <c r="B30" s="26">
        <f>IF($R30="","",INDEX(입력_전공의명단!$C$2:$C$401,$R30))</f>
        <v/>
      </c>
      <c r="C30" s="26">
        <f>IF($R30="","",INDEX(입력_전공의명단!$B$2:$B$401,$R30))</f>
        <v/>
      </c>
      <c r="D30" s="26">
        <f>IF($R30="","",INDEX(입력_전공의명단!$J$2:$J$401,$R30))</f>
        <v/>
      </c>
      <c r="E30" s="26">
        <f>IF($R30="","",INDEX(입력_전공의명단!$F$2:$F$401,$R30))</f>
        <v/>
      </c>
      <c r="F30" s="26">
        <f>IF($R30="","",INDEX(입력_전공의명단!$G$2:$G$401,$R30))</f>
        <v/>
      </c>
      <c r="G30" s="26">
        <f>IF($R30="","",INDEX(입력_전공의명단!$AE$2:$AE$401,$R30))</f>
        <v/>
      </c>
      <c r="H30" s="27">
        <f>IF($R30="","",IF(INDEX(입력_전공의명단!$AE$2:$AE$401,$R30)="서울병원","서울 소속","타 병원 소속("&amp;INDEX(입력_전공의명단!$AE$2:$AE$401,$R30)&amp;") → 서울 지급"))</f>
        <v/>
      </c>
      <c r="I30" s="26">
        <f>IF($R30="","",INDEX(입력_전공의명단!$N$2:$N$401,$R30))</f>
        <v/>
      </c>
      <c r="J30" s="26">
        <f>IF($R30="","",INDEX(입력_전공의명단!$P$2:$P$401,$R30))</f>
        <v/>
      </c>
      <c r="K30" s="26">
        <f>IF($R30="","",INDEX(입력_전공의명단!$Q$2:$Q$401,$R30))</f>
        <v/>
      </c>
      <c r="L30" s="28">
        <f>IF($R30="","",INDEX(입력_전공의명단!$S$2:$S$401,$R30))</f>
        <v/>
      </c>
      <c r="M30" s="28">
        <f>IF($R30="","",INDEX(입력_전공의명단!$T$2:$T$401,$R30))</f>
        <v/>
      </c>
      <c r="N30" s="26">
        <f>IF($R30="","",INDEX(입력_전공의명단!$AH$2:$AH$401,$R30))</f>
        <v/>
      </c>
      <c r="O30" s="26">
        <f>IF($R30="","",INDEX(입력_전공의명단!$AI$2:$AI$401,$R30))</f>
        <v/>
      </c>
      <c r="P30" s="27">
        <f>IF($R30="","",INDEX(입력_전공의명단!$AO$2:$AO$401,$R30))</f>
        <v/>
      </c>
      <c r="Q30" s="27">
        <f>IF($R30="","",INDEX(입력_전공의명단!$Z$2:$Z$401,$R30))</f>
        <v/>
      </c>
      <c r="R30" s="29">
        <f>IFERROR(MATCH(ROW()-5,입력_전공의명단!$AM$2:$AM$401,0),"")</f>
        <v/>
      </c>
      <c r="T30" s="26">
        <f>IF($Y30="","",INDEX(입력_전공의명단!$C$2:$C$401,$Y30))</f>
        <v/>
      </c>
      <c r="U30" s="26">
        <f>IF($Y30="","",INDEX(입력_전공의명단!$B$2:$B$401,$Y30))</f>
        <v/>
      </c>
      <c r="V30" s="26">
        <f>IF($Y30="","",INDEX(입력_전공의명단!$AE$2:$AE$401,$Y30))</f>
        <v/>
      </c>
      <c r="W30" s="26">
        <f>IF($Y30="","",INDEX(입력_전공의명단!$AH$2:$AH$401,$Y30))</f>
        <v/>
      </c>
      <c r="X30" s="26">
        <f>IF($Y30="","",INDEX(입력_전공의명단!$AI$2:$AI$401,$Y30))</f>
        <v/>
      </c>
      <c r="Y30" s="29">
        <f>IFERROR(MATCH(ROW()-5,입력_전공의명단!$AN$2:$AN$401,0),"")</f>
        <v/>
      </c>
    </row>
    <row r="31">
      <c r="A31" s="26">
        <f>IF($R31="","",ROW()-5)</f>
        <v/>
      </c>
      <c r="B31" s="26">
        <f>IF($R31="","",INDEX(입력_전공의명단!$C$2:$C$401,$R31))</f>
        <v/>
      </c>
      <c r="C31" s="26">
        <f>IF($R31="","",INDEX(입력_전공의명단!$B$2:$B$401,$R31))</f>
        <v/>
      </c>
      <c r="D31" s="26">
        <f>IF($R31="","",INDEX(입력_전공의명단!$J$2:$J$401,$R31))</f>
        <v/>
      </c>
      <c r="E31" s="26">
        <f>IF($R31="","",INDEX(입력_전공의명단!$F$2:$F$401,$R31))</f>
        <v/>
      </c>
      <c r="F31" s="26">
        <f>IF($R31="","",INDEX(입력_전공의명단!$G$2:$G$401,$R31))</f>
        <v/>
      </c>
      <c r="G31" s="26">
        <f>IF($R31="","",INDEX(입력_전공의명단!$AE$2:$AE$401,$R31))</f>
        <v/>
      </c>
      <c r="H31" s="27">
        <f>IF($R31="","",IF(INDEX(입력_전공의명단!$AE$2:$AE$401,$R31)="서울병원","서울 소속","타 병원 소속("&amp;INDEX(입력_전공의명단!$AE$2:$AE$401,$R31)&amp;") → 서울 지급"))</f>
        <v/>
      </c>
      <c r="I31" s="26">
        <f>IF($R31="","",INDEX(입력_전공의명단!$N$2:$N$401,$R31))</f>
        <v/>
      </c>
      <c r="J31" s="26">
        <f>IF($R31="","",INDEX(입력_전공의명단!$P$2:$P$401,$R31))</f>
        <v/>
      </c>
      <c r="K31" s="26">
        <f>IF($R31="","",INDEX(입력_전공의명단!$Q$2:$Q$401,$R31))</f>
        <v/>
      </c>
      <c r="L31" s="28">
        <f>IF($R31="","",INDEX(입력_전공의명단!$S$2:$S$401,$R31))</f>
        <v/>
      </c>
      <c r="M31" s="28">
        <f>IF($R31="","",INDEX(입력_전공의명단!$T$2:$T$401,$R31))</f>
        <v/>
      </c>
      <c r="N31" s="26">
        <f>IF($R31="","",INDEX(입력_전공의명단!$AH$2:$AH$401,$R31))</f>
        <v/>
      </c>
      <c r="O31" s="26">
        <f>IF($R31="","",INDEX(입력_전공의명단!$AI$2:$AI$401,$R31))</f>
        <v/>
      </c>
      <c r="P31" s="27">
        <f>IF($R31="","",INDEX(입력_전공의명단!$AO$2:$AO$401,$R31))</f>
        <v/>
      </c>
      <c r="Q31" s="27">
        <f>IF($R31="","",INDEX(입력_전공의명단!$Z$2:$Z$401,$R31))</f>
        <v/>
      </c>
      <c r="R31" s="29">
        <f>IFERROR(MATCH(ROW()-5,입력_전공의명단!$AM$2:$AM$401,0),"")</f>
        <v/>
      </c>
      <c r="T31" s="26">
        <f>IF($Y31="","",INDEX(입력_전공의명단!$C$2:$C$401,$Y31))</f>
        <v/>
      </c>
      <c r="U31" s="26">
        <f>IF($Y31="","",INDEX(입력_전공의명단!$B$2:$B$401,$Y31))</f>
        <v/>
      </c>
      <c r="V31" s="26">
        <f>IF($Y31="","",INDEX(입력_전공의명단!$AE$2:$AE$401,$Y31))</f>
        <v/>
      </c>
      <c r="W31" s="26">
        <f>IF($Y31="","",INDEX(입력_전공의명단!$AH$2:$AH$401,$Y31))</f>
        <v/>
      </c>
      <c r="X31" s="26">
        <f>IF($Y31="","",INDEX(입력_전공의명단!$AI$2:$AI$401,$Y31))</f>
        <v/>
      </c>
      <c r="Y31" s="29">
        <f>IFERROR(MATCH(ROW()-5,입력_전공의명단!$AN$2:$AN$401,0),"")</f>
        <v/>
      </c>
    </row>
    <row r="32">
      <c r="A32" s="26">
        <f>IF($R32="","",ROW()-5)</f>
        <v/>
      </c>
      <c r="B32" s="26">
        <f>IF($R32="","",INDEX(입력_전공의명단!$C$2:$C$401,$R32))</f>
        <v/>
      </c>
      <c r="C32" s="26">
        <f>IF($R32="","",INDEX(입력_전공의명단!$B$2:$B$401,$R32))</f>
        <v/>
      </c>
      <c r="D32" s="26">
        <f>IF($R32="","",INDEX(입력_전공의명단!$J$2:$J$401,$R32))</f>
        <v/>
      </c>
      <c r="E32" s="26">
        <f>IF($R32="","",INDEX(입력_전공의명단!$F$2:$F$401,$R32))</f>
        <v/>
      </c>
      <c r="F32" s="26">
        <f>IF($R32="","",INDEX(입력_전공의명단!$G$2:$G$401,$R32))</f>
        <v/>
      </c>
      <c r="G32" s="26">
        <f>IF($R32="","",INDEX(입력_전공의명단!$AE$2:$AE$401,$R32))</f>
        <v/>
      </c>
      <c r="H32" s="27">
        <f>IF($R32="","",IF(INDEX(입력_전공의명단!$AE$2:$AE$401,$R32)="서울병원","서울 소속","타 병원 소속("&amp;INDEX(입력_전공의명단!$AE$2:$AE$401,$R32)&amp;") → 서울 지급"))</f>
        <v/>
      </c>
      <c r="I32" s="26">
        <f>IF($R32="","",INDEX(입력_전공의명단!$N$2:$N$401,$R32))</f>
        <v/>
      </c>
      <c r="J32" s="26">
        <f>IF($R32="","",INDEX(입력_전공의명단!$P$2:$P$401,$R32))</f>
        <v/>
      </c>
      <c r="K32" s="26">
        <f>IF($R32="","",INDEX(입력_전공의명단!$Q$2:$Q$401,$R32))</f>
        <v/>
      </c>
      <c r="L32" s="28">
        <f>IF($R32="","",INDEX(입력_전공의명단!$S$2:$S$401,$R32))</f>
        <v/>
      </c>
      <c r="M32" s="28">
        <f>IF($R32="","",INDEX(입력_전공의명단!$T$2:$T$401,$R32))</f>
        <v/>
      </c>
      <c r="N32" s="26">
        <f>IF($R32="","",INDEX(입력_전공의명단!$AH$2:$AH$401,$R32))</f>
        <v/>
      </c>
      <c r="O32" s="26">
        <f>IF($R32="","",INDEX(입력_전공의명단!$AI$2:$AI$401,$R32))</f>
        <v/>
      </c>
      <c r="P32" s="27">
        <f>IF($R32="","",INDEX(입력_전공의명단!$AO$2:$AO$401,$R32))</f>
        <v/>
      </c>
      <c r="Q32" s="27">
        <f>IF($R32="","",INDEX(입력_전공의명단!$Z$2:$Z$401,$R32))</f>
        <v/>
      </c>
      <c r="R32" s="29">
        <f>IFERROR(MATCH(ROW()-5,입력_전공의명단!$AM$2:$AM$401,0),"")</f>
        <v/>
      </c>
      <c r="T32" s="26">
        <f>IF($Y32="","",INDEX(입력_전공의명단!$C$2:$C$401,$Y32))</f>
        <v/>
      </c>
      <c r="U32" s="26">
        <f>IF($Y32="","",INDEX(입력_전공의명단!$B$2:$B$401,$Y32))</f>
        <v/>
      </c>
      <c r="V32" s="26">
        <f>IF($Y32="","",INDEX(입력_전공의명단!$AE$2:$AE$401,$Y32))</f>
        <v/>
      </c>
      <c r="W32" s="26">
        <f>IF($Y32="","",INDEX(입력_전공의명단!$AH$2:$AH$401,$Y32))</f>
        <v/>
      </c>
      <c r="X32" s="26">
        <f>IF($Y32="","",INDEX(입력_전공의명단!$AI$2:$AI$401,$Y32))</f>
        <v/>
      </c>
      <c r="Y32" s="29">
        <f>IFERROR(MATCH(ROW()-5,입력_전공의명단!$AN$2:$AN$401,0),"")</f>
        <v/>
      </c>
    </row>
    <row r="33">
      <c r="A33" s="26">
        <f>IF($R33="","",ROW()-5)</f>
        <v/>
      </c>
      <c r="B33" s="26">
        <f>IF($R33="","",INDEX(입력_전공의명단!$C$2:$C$401,$R33))</f>
        <v/>
      </c>
      <c r="C33" s="26">
        <f>IF($R33="","",INDEX(입력_전공의명단!$B$2:$B$401,$R33))</f>
        <v/>
      </c>
      <c r="D33" s="26">
        <f>IF($R33="","",INDEX(입력_전공의명단!$J$2:$J$401,$R33))</f>
        <v/>
      </c>
      <c r="E33" s="26">
        <f>IF($R33="","",INDEX(입력_전공의명단!$F$2:$F$401,$R33))</f>
        <v/>
      </c>
      <c r="F33" s="26">
        <f>IF($R33="","",INDEX(입력_전공의명단!$G$2:$G$401,$R33))</f>
        <v/>
      </c>
      <c r="G33" s="26">
        <f>IF($R33="","",INDEX(입력_전공의명단!$AE$2:$AE$401,$R33))</f>
        <v/>
      </c>
      <c r="H33" s="27">
        <f>IF($R33="","",IF(INDEX(입력_전공의명단!$AE$2:$AE$401,$R33)="서울병원","서울 소속","타 병원 소속("&amp;INDEX(입력_전공의명단!$AE$2:$AE$401,$R33)&amp;") → 서울 지급"))</f>
        <v/>
      </c>
      <c r="I33" s="26">
        <f>IF($R33="","",INDEX(입력_전공의명단!$N$2:$N$401,$R33))</f>
        <v/>
      </c>
      <c r="J33" s="26">
        <f>IF($R33="","",INDEX(입력_전공의명단!$P$2:$P$401,$R33))</f>
        <v/>
      </c>
      <c r="K33" s="26">
        <f>IF($R33="","",INDEX(입력_전공의명단!$Q$2:$Q$401,$R33))</f>
        <v/>
      </c>
      <c r="L33" s="28">
        <f>IF($R33="","",INDEX(입력_전공의명단!$S$2:$S$401,$R33))</f>
        <v/>
      </c>
      <c r="M33" s="28">
        <f>IF($R33="","",INDEX(입력_전공의명단!$T$2:$T$401,$R33))</f>
        <v/>
      </c>
      <c r="N33" s="26">
        <f>IF($R33="","",INDEX(입력_전공의명단!$AH$2:$AH$401,$R33))</f>
        <v/>
      </c>
      <c r="O33" s="26">
        <f>IF($R33="","",INDEX(입력_전공의명단!$AI$2:$AI$401,$R33))</f>
        <v/>
      </c>
      <c r="P33" s="27">
        <f>IF($R33="","",INDEX(입력_전공의명단!$AO$2:$AO$401,$R33))</f>
        <v/>
      </c>
      <c r="Q33" s="27">
        <f>IF($R33="","",INDEX(입력_전공의명단!$Z$2:$Z$401,$R33))</f>
        <v/>
      </c>
      <c r="R33" s="29">
        <f>IFERROR(MATCH(ROW()-5,입력_전공의명단!$AM$2:$AM$401,0),"")</f>
        <v/>
      </c>
      <c r="T33" s="26">
        <f>IF($Y33="","",INDEX(입력_전공의명단!$C$2:$C$401,$Y33))</f>
        <v/>
      </c>
      <c r="U33" s="26">
        <f>IF($Y33="","",INDEX(입력_전공의명단!$B$2:$B$401,$Y33))</f>
        <v/>
      </c>
      <c r="V33" s="26">
        <f>IF($Y33="","",INDEX(입력_전공의명단!$AE$2:$AE$401,$Y33))</f>
        <v/>
      </c>
      <c r="W33" s="26">
        <f>IF($Y33="","",INDEX(입력_전공의명단!$AH$2:$AH$401,$Y33))</f>
        <v/>
      </c>
      <c r="X33" s="26">
        <f>IF($Y33="","",INDEX(입력_전공의명단!$AI$2:$AI$401,$Y33))</f>
        <v/>
      </c>
      <c r="Y33" s="29">
        <f>IFERROR(MATCH(ROW()-5,입력_전공의명단!$AN$2:$AN$401,0),"")</f>
        <v/>
      </c>
    </row>
    <row r="34">
      <c r="A34" s="26">
        <f>IF($R34="","",ROW()-5)</f>
        <v/>
      </c>
      <c r="B34" s="26">
        <f>IF($R34="","",INDEX(입력_전공의명단!$C$2:$C$401,$R34))</f>
        <v/>
      </c>
      <c r="C34" s="26">
        <f>IF($R34="","",INDEX(입력_전공의명단!$B$2:$B$401,$R34))</f>
        <v/>
      </c>
      <c r="D34" s="26">
        <f>IF($R34="","",INDEX(입력_전공의명단!$J$2:$J$401,$R34))</f>
        <v/>
      </c>
      <c r="E34" s="26">
        <f>IF($R34="","",INDEX(입력_전공의명단!$F$2:$F$401,$R34))</f>
        <v/>
      </c>
      <c r="F34" s="26">
        <f>IF($R34="","",INDEX(입력_전공의명단!$G$2:$G$401,$R34))</f>
        <v/>
      </c>
      <c r="G34" s="26">
        <f>IF($R34="","",INDEX(입력_전공의명단!$AE$2:$AE$401,$R34))</f>
        <v/>
      </c>
      <c r="H34" s="27">
        <f>IF($R34="","",IF(INDEX(입력_전공의명단!$AE$2:$AE$401,$R34)="서울병원","서울 소속","타 병원 소속("&amp;INDEX(입력_전공의명단!$AE$2:$AE$401,$R34)&amp;") → 서울 지급"))</f>
        <v/>
      </c>
      <c r="I34" s="26">
        <f>IF($R34="","",INDEX(입력_전공의명단!$N$2:$N$401,$R34))</f>
        <v/>
      </c>
      <c r="J34" s="26">
        <f>IF($R34="","",INDEX(입력_전공의명단!$P$2:$P$401,$R34))</f>
        <v/>
      </c>
      <c r="K34" s="26">
        <f>IF($R34="","",INDEX(입력_전공의명단!$Q$2:$Q$401,$R34))</f>
        <v/>
      </c>
      <c r="L34" s="28">
        <f>IF($R34="","",INDEX(입력_전공의명단!$S$2:$S$401,$R34))</f>
        <v/>
      </c>
      <c r="M34" s="28">
        <f>IF($R34="","",INDEX(입력_전공의명단!$T$2:$T$401,$R34))</f>
        <v/>
      </c>
      <c r="N34" s="26">
        <f>IF($R34="","",INDEX(입력_전공의명단!$AH$2:$AH$401,$R34))</f>
        <v/>
      </c>
      <c r="O34" s="26">
        <f>IF($R34="","",INDEX(입력_전공의명단!$AI$2:$AI$401,$R34))</f>
        <v/>
      </c>
      <c r="P34" s="27">
        <f>IF($R34="","",INDEX(입력_전공의명단!$AO$2:$AO$401,$R34))</f>
        <v/>
      </c>
      <c r="Q34" s="27">
        <f>IF($R34="","",INDEX(입력_전공의명단!$Z$2:$Z$401,$R34))</f>
        <v/>
      </c>
      <c r="R34" s="29">
        <f>IFERROR(MATCH(ROW()-5,입력_전공의명단!$AM$2:$AM$401,0),"")</f>
        <v/>
      </c>
      <c r="T34" s="26">
        <f>IF($Y34="","",INDEX(입력_전공의명단!$C$2:$C$401,$Y34))</f>
        <v/>
      </c>
      <c r="U34" s="26">
        <f>IF($Y34="","",INDEX(입력_전공의명단!$B$2:$B$401,$Y34))</f>
        <v/>
      </c>
      <c r="V34" s="26">
        <f>IF($Y34="","",INDEX(입력_전공의명단!$AE$2:$AE$401,$Y34))</f>
        <v/>
      </c>
      <c r="W34" s="26">
        <f>IF($Y34="","",INDEX(입력_전공의명단!$AH$2:$AH$401,$Y34))</f>
        <v/>
      </c>
      <c r="X34" s="26">
        <f>IF($Y34="","",INDEX(입력_전공의명단!$AI$2:$AI$401,$Y34))</f>
        <v/>
      </c>
      <c r="Y34" s="29">
        <f>IFERROR(MATCH(ROW()-5,입력_전공의명단!$AN$2:$AN$401,0),"")</f>
        <v/>
      </c>
    </row>
    <row r="35">
      <c r="A35" s="26">
        <f>IF($R35="","",ROW()-5)</f>
        <v/>
      </c>
      <c r="B35" s="26">
        <f>IF($R35="","",INDEX(입력_전공의명단!$C$2:$C$401,$R35))</f>
        <v/>
      </c>
      <c r="C35" s="26">
        <f>IF($R35="","",INDEX(입력_전공의명단!$B$2:$B$401,$R35))</f>
        <v/>
      </c>
      <c r="D35" s="26">
        <f>IF($R35="","",INDEX(입력_전공의명단!$J$2:$J$401,$R35))</f>
        <v/>
      </c>
      <c r="E35" s="26">
        <f>IF($R35="","",INDEX(입력_전공의명단!$F$2:$F$401,$R35))</f>
        <v/>
      </c>
      <c r="F35" s="26">
        <f>IF($R35="","",INDEX(입력_전공의명단!$G$2:$G$401,$R35))</f>
        <v/>
      </c>
      <c r="G35" s="26">
        <f>IF($R35="","",INDEX(입력_전공의명단!$AE$2:$AE$401,$R35))</f>
        <v/>
      </c>
      <c r="H35" s="27">
        <f>IF($R35="","",IF(INDEX(입력_전공의명단!$AE$2:$AE$401,$R35)="서울병원","서울 소속","타 병원 소속("&amp;INDEX(입력_전공의명단!$AE$2:$AE$401,$R35)&amp;") → 서울 지급"))</f>
        <v/>
      </c>
      <c r="I35" s="26">
        <f>IF($R35="","",INDEX(입력_전공의명단!$N$2:$N$401,$R35))</f>
        <v/>
      </c>
      <c r="J35" s="26">
        <f>IF($R35="","",INDEX(입력_전공의명단!$P$2:$P$401,$R35))</f>
        <v/>
      </c>
      <c r="K35" s="26">
        <f>IF($R35="","",INDEX(입력_전공의명단!$Q$2:$Q$401,$R35))</f>
        <v/>
      </c>
      <c r="L35" s="28">
        <f>IF($R35="","",INDEX(입력_전공의명단!$S$2:$S$401,$R35))</f>
        <v/>
      </c>
      <c r="M35" s="28">
        <f>IF($R35="","",INDEX(입력_전공의명단!$T$2:$T$401,$R35))</f>
        <v/>
      </c>
      <c r="N35" s="26">
        <f>IF($R35="","",INDEX(입력_전공의명단!$AH$2:$AH$401,$R35))</f>
        <v/>
      </c>
      <c r="O35" s="26">
        <f>IF($R35="","",INDEX(입력_전공의명단!$AI$2:$AI$401,$R35))</f>
        <v/>
      </c>
      <c r="P35" s="27">
        <f>IF($R35="","",INDEX(입력_전공의명단!$AO$2:$AO$401,$R35))</f>
        <v/>
      </c>
      <c r="Q35" s="27">
        <f>IF($R35="","",INDEX(입력_전공의명단!$Z$2:$Z$401,$R35))</f>
        <v/>
      </c>
      <c r="R35" s="29">
        <f>IFERROR(MATCH(ROW()-5,입력_전공의명단!$AM$2:$AM$401,0),"")</f>
        <v/>
      </c>
      <c r="T35" s="26">
        <f>IF($Y35="","",INDEX(입력_전공의명단!$C$2:$C$401,$Y35))</f>
        <v/>
      </c>
      <c r="U35" s="26">
        <f>IF($Y35="","",INDEX(입력_전공의명단!$B$2:$B$401,$Y35))</f>
        <v/>
      </c>
      <c r="V35" s="26">
        <f>IF($Y35="","",INDEX(입력_전공의명단!$AE$2:$AE$401,$Y35))</f>
        <v/>
      </c>
      <c r="W35" s="26">
        <f>IF($Y35="","",INDEX(입력_전공의명단!$AH$2:$AH$401,$Y35))</f>
        <v/>
      </c>
      <c r="X35" s="26">
        <f>IF($Y35="","",INDEX(입력_전공의명단!$AI$2:$AI$401,$Y35))</f>
        <v/>
      </c>
      <c r="Y35" s="29">
        <f>IFERROR(MATCH(ROW()-5,입력_전공의명단!$AN$2:$AN$401,0),"")</f>
        <v/>
      </c>
    </row>
    <row r="36">
      <c r="A36" s="26">
        <f>IF($R36="","",ROW()-5)</f>
        <v/>
      </c>
      <c r="B36" s="26">
        <f>IF($R36="","",INDEX(입력_전공의명단!$C$2:$C$401,$R36))</f>
        <v/>
      </c>
      <c r="C36" s="26">
        <f>IF($R36="","",INDEX(입력_전공의명단!$B$2:$B$401,$R36))</f>
        <v/>
      </c>
      <c r="D36" s="26">
        <f>IF($R36="","",INDEX(입력_전공의명단!$J$2:$J$401,$R36))</f>
        <v/>
      </c>
      <c r="E36" s="26">
        <f>IF($R36="","",INDEX(입력_전공의명단!$F$2:$F$401,$R36))</f>
        <v/>
      </c>
      <c r="F36" s="26">
        <f>IF($R36="","",INDEX(입력_전공의명단!$G$2:$G$401,$R36))</f>
        <v/>
      </c>
      <c r="G36" s="26">
        <f>IF($R36="","",INDEX(입력_전공의명단!$AE$2:$AE$401,$R36))</f>
        <v/>
      </c>
      <c r="H36" s="27">
        <f>IF($R36="","",IF(INDEX(입력_전공의명단!$AE$2:$AE$401,$R36)="서울병원","서울 소속","타 병원 소속("&amp;INDEX(입력_전공의명단!$AE$2:$AE$401,$R36)&amp;") → 서울 지급"))</f>
        <v/>
      </c>
      <c r="I36" s="26">
        <f>IF($R36="","",INDEX(입력_전공의명단!$N$2:$N$401,$R36))</f>
        <v/>
      </c>
      <c r="J36" s="26">
        <f>IF($R36="","",INDEX(입력_전공의명단!$P$2:$P$401,$R36))</f>
        <v/>
      </c>
      <c r="K36" s="26">
        <f>IF($R36="","",INDEX(입력_전공의명단!$Q$2:$Q$401,$R36))</f>
        <v/>
      </c>
      <c r="L36" s="28">
        <f>IF($R36="","",INDEX(입력_전공의명단!$S$2:$S$401,$R36))</f>
        <v/>
      </c>
      <c r="M36" s="28">
        <f>IF($R36="","",INDEX(입력_전공의명단!$T$2:$T$401,$R36))</f>
        <v/>
      </c>
      <c r="N36" s="26">
        <f>IF($R36="","",INDEX(입력_전공의명단!$AH$2:$AH$401,$R36))</f>
        <v/>
      </c>
      <c r="O36" s="26">
        <f>IF($R36="","",INDEX(입력_전공의명단!$AI$2:$AI$401,$R36))</f>
        <v/>
      </c>
      <c r="P36" s="27">
        <f>IF($R36="","",INDEX(입력_전공의명단!$AO$2:$AO$401,$R36))</f>
        <v/>
      </c>
      <c r="Q36" s="27">
        <f>IF($R36="","",INDEX(입력_전공의명단!$Z$2:$Z$401,$R36))</f>
        <v/>
      </c>
      <c r="R36" s="29">
        <f>IFERROR(MATCH(ROW()-5,입력_전공의명단!$AM$2:$AM$401,0),"")</f>
        <v/>
      </c>
      <c r="T36" s="26">
        <f>IF($Y36="","",INDEX(입력_전공의명단!$C$2:$C$401,$Y36))</f>
        <v/>
      </c>
      <c r="U36" s="26">
        <f>IF($Y36="","",INDEX(입력_전공의명단!$B$2:$B$401,$Y36))</f>
        <v/>
      </c>
      <c r="V36" s="26">
        <f>IF($Y36="","",INDEX(입력_전공의명단!$AE$2:$AE$401,$Y36))</f>
        <v/>
      </c>
      <c r="W36" s="26">
        <f>IF($Y36="","",INDEX(입력_전공의명단!$AH$2:$AH$401,$Y36))</f>
        <v/>
      </c>
      <c r="X36" s="26">
        <f>IF($Y36="","",INDEX(입력_전공의명단!$AI$2:$AI$401,$Y36))</f>
        <v/>
      </c>
      <c r="Y36" s="29">
        <f>IFERROR(MATCH(ROW()-5,입력_전공의명단!$AN$2:$AN$401,0),"")</f>
        <v/>
      </c>
    </row>
    <row r="37">
      <c r="A37" s="26">
        <f>IF($R37="","",ROW()-5)</f>
        <v/>
      </c>
      <c r="B37" s="26">
        <f>IF($R37="","",INDEX(입력_전공의명단!$C$2:$C$401,$R37))</f>
        <v/>
      </c>
      <c r="C37" s="26">
        <f>IF($R37="","",INDEX(입력_전공의명단!$B$2:$B$401,$R37))</f>
        <v/>
      </c>
      <c r="D37" s="26">
        <f>IF($R37="","",INDEX(입력_전공의명단!$J$2:$J$401,$R37))</f>
        <v/>
      </c>
      <c r="E37" s="26">
        <f>IF($R37="","",INDEX(입력_전공의명단!$F$2:$F$401,$R37))</f>
        <v/>
      </c>
      <c r="F37" s="26">
        <f>IF($R37="","",INDEX(입력_전공의명단!$G$2:$G$401,$R37))</f>
        <v/>
      </c>
      <c r="G37" s="26">
        <f>IF($R37="","",INDEX(입력_전공의명단!$AE$2:$AE$401,$R37))</f>
        <v/>
      </c>
      <c r="H37" s="27">
        <f>IF($R37="","",IF(INDEX(입력_전공의명단!$AE$2:$AE$401,$R37)="서울병원","서울 소속","타 병원 소속("&amp;INDEX(입력_전공의명단!$AE$2:$AE$401,$R37)&amp;") → 서울 지급"))</f>
        <v/>
      </c>
      <c r="I37" s="26">
        <f>IF($R37="","",INDEX(입력_전공의명단!$N$2:$N$401,$R37))</f>
        <v/>
      </c>
      <c r="J37" s="26">
        <f>IF($R37="","",INDEX(입력_전공의명단!$P$2:$P$401,$R37))</f>
        <v/>
      </c>
      <c r="K37" s="26">
        <f>IF($R37="","",INDEX(입력_전공의명단!$Q$2:$Q$401,$R37))</f>
        <v/>
      </c>
      <c r="L37" s="28">
        <f>IF($R37="","",INDEX(입력_전공의명단!$S$2:$S$401,$R37))</f>
        <v/>
      </c>
      <c r="M37" s="28">
        <f>IF($R37="","",INDEX(입력_전공의명단!$T$2:$T$401,$R37))</f>
        <v/>
      </c>
      <c r="N37" s="26">
        <f>IF($R37="","",INDEX(입력_전공의명단!$AH$2:$AH$401,$R37))</f>
        <v/>
      </c>
      <c r="O37" s="26">
        <f>IF($R37="","",INDEX(입력_전공의명단!$AI$2:$AI$401,$R37))</f>
        <v/>
      </c>
      <c r="P37" s="27">
        <f>IF($R37="","",INDEX(입력_전공의명단!$AO$2:$AO$401,$R37))</f>
        <v/>
      </c>
      <c r="Q37" s="27">
        <f>IF($R37="","",INDEX(입력_전공의명단!$Z$2:$Z$401,$R37))</f>
        <v/>
      </c>
      <c r="R37" s="29">
        <f>IFERROR(MATCH(ROW()-5,입력_전공의명단!$AM$2:$AM$401,0),"")</f>
        <v/>
      </c>
      <c r="T37" s="26">
        <f>IF($Y37="","",INDEX(입력_전공의명단!$C$2:$C$401,$Y37))</f>
        <v/>
      </c>
      <c r="U37" s="26">
        <f>IF($Y37="","",INDEX(입력_전공의명단!$B$2:$B$401,$Y37))</f>
        <v/>
      </c>
      <c r="V37" s="26">
        <f>IF($Y37="","",INDEX(입력_전공의명단!$AE$2:$AE$401,$Y37))</f>
        <v/>
      </c>
      <c r="W37" s="26">
        <f>IF($Y37="","",INDEX(입력_전공의명단!$AH$2:$AH$401,$Y37))</f>
        <v/>
      </c>
      <c r="X37" s="26">
        <f>IF($Y37="","",INDEX(입력_전공의명단!$AI$2:$AI$401,$Y37))</f>
        <v/>
      </c>
      <c r="Y37" s="29">
        <f>IFERROR(MATCH(ROW()-5,입력_전공의명단!$AN$2:$AN$401,0),"")</f>
        <v/>
      </c>
    </row>
    <row r="38">
      <c r="A38" s="26">
        <f>IF($R38="","",ROW()-5)</f>
        <v/>
      </c>
      <c r="B38" s="26">
        <f>IF($R38="","",INDEX(입력_전공의명단!$C$2:$C$401,$R38))</f>
        <v/>
      </c>
      <c r="C38" s="26">
        <f>IF($R38="","",INDEX(입력_전공의명단!$B$2:$B$401,$R38))</f>
        <v/>
      </c>
      <c r="D38" s="26">
        <f>IF($R38="","",INDEX(입력_전공의명단!$J$2:$J$401,$R38))</f>
        <v/>
      </c>
      <c r="E38" s="26">
        <f>IF($R38="","",INDEX(입력_전공의명단!$F$2:$F$401,$R38))</f>
        <v/>
      </c>
      <c r="F38" s="26">
        <f>IF($R38="","",INDEX(입력_전공의명단!$G$2:$G$401,$R38))</f>
        <v/>
      </c>
      <c r="G38" s="26">
        <f>IF($R38="","",INDEX(입력_전공의명단!$AE$2:$AE$401,$R38))</f>
        <v/>
      </c>
      <c r="H38" s="27">
        <f>IF($R38="","",IF(INDEX(입력_전공의명단!$AE$2:$AE$401,$R38)="서울병원","서울 소속","타 병원 소속("&amp;INDEX(입력_전공의명단!$AE$2:$AE$401,$R38)&amp;") → 서울 지급"))</f>
        <v/>
      </c>
      <c r="I38" s="26">
        <f>IF($R38="","",INDEX(입력_전공의명단!$N$2:$N$401,$R38))</f>
        <v/>
      </c>
      <c r="J38" s="26">
        <f>IF($R38="","",INDEX(입력_전공의명단!$P$2:$P$401,$R38))</f>
        <v/>
      </c>
      <c r="K38" s="26">
        <f>IF($R38="","",INDEX(입력_전공의명단!$Q$2:$Q$401,$R38))</f>
        <v/>
      </c>
      <c r="L38" s="28">
        <f>IF($R38="","",INDEX(입력_전공의명단!$S$2:$S$401,$R38))</f>
        <v/>
      </c>
      <c r="M38" s="28">
        <f>IF($R38="","",INDEX(입력_전공의명단!$T$2:$T$401,$R38))</f>
        <v/>
      </c>
      <c r="N38" s="26">
        <f>IF($R38="","",INDEX(입력_전공의명단!$AH$2:$AH$401,$R38))</f>
        <v/>
      </c>
      <c r="O38" s="26">
        <f>IF($R38="","",INDEX(입력_전공의명단!$AI$2:$AI$401,$R38))</f>
        <v/>
      </c>
      <c r="P38" s="27">
        <f>IF($R38="","",INDEX(입력_전공의명단!$AO$2:$AO$401,$R38))</f>
        <v/>
      </c>
      <c r="Q38" s="27">
        <f>IF($R38="","",INDEX(입력_전공의명단!$Z$2:$Z$401,$R38))</f>
        <v/>
      </c>
      <c r="R38" s="29">
        <f>IFERROR(MATCH(ROW()-5,입력_전공의명단!$AM$2:$AM$401,0),"")</f>
        <v/>
      </c>
      <c r="T38" s="26">
        <f>IF($Y38="","",INDEX(입력_전공의명단!$C$2:$C$401,$Y38))</f>
        <v/>
      </c>
      <c r="U38" s="26">
        <f>IF($Y38="","",INDEX(입력_전공의명단!$B$2:$B$401,$Y38))</f>
        <v/>
      </c>
      <c r="V38" s="26">
        <f>IF($Y38="","",INDEX(입력_전공의명단!$AE$2:$AE$401,$Y38))</f>
        <v/>
      </c>
      <c r="W38" s="26">
        <f>IF($Y38="","",INDEX(입력_전공의명단!$AH$2:$AH$401,$Y38))</f>
        <v/>
      </c>
      <c r="X38" s="26">
        <f>IF($Y38="","",INDEX(입력_전공의명단!$AI$2:$AI$401,$Y38))</f>
        <v/>
      </c>
      <c r="Y38" s="29">
        <f>IFERROR(MATCH(ROW()-5,입력_전공의명단!$AN$2:$AN$401,0),"")</f>
        <v/>
      </c>
    </row>
    <row r="39">
      <c r="A39" s="26">
        <f>IF($R39="","",ROW()-5)</f>
        <v/>
      </c>
      <c r="B39" s="26">
        <f>IF($R39="","",INDEX(입력_전공의명단!$C$2:$C$401,$R39))</f>
        <v/>
      </c>
      <c r="C39" s="26">
        <f>IF($R39="","",INDEX(입력_전공의명단!$B$2:$B$401,$R39))</f>
        <v/>
      </c>
      <c r="D39" s="26">
        <f>IF($R39="","",INDEX(입력_전공의명단!$J$2:$J$401,$R39))</f>
        <v/>
      </c>
      <c r="E39" s="26">
        <f>IF($R39="","",INDEX(입력_전공의명단!$F$2:$F$401,$R39))</f>
        <v/>
      </c>
      <c r="F39" s="26">
        <f>IF($R39="","",INDEX(입력_전공의명단!$G$2:$G$401,$R39))</f>
        <v/>
      </c>
      <c r="G39" s="26">
        <f>IF($R39="","",INDEX(입력_전공의명단!$AE$2:$AE$401,$R39))</f>
        <v/>
      </c>
      <c r="H39" s="27">
        <f>IF($R39="","",IF(INDEX(입력_전공의명단!$AE$2:$AE$401,$R39)="서울병원","서울 소속","타 병원 소속("&amp;INDEX(입력_전공의명단!$AE$2:$AE$401,$R39)&amp;") → 서울 지급"))</f>
        <v/>
      </c>
      <c r="I39" s="26">
        <f>IF($R39="","",INDEX(입력_전공의명단!$N$2:$N$401,$R39))</f>
        <v/>
      </c>
      <c r="J39" s="26">
        <f>IF($R39="","",INDEX(입력_전공의명단!$P$2:$P$401,$R39))</f>
        <v/>
      </c>
      <c r="K39" s="26">
        <f>IF($R39="","",INDEX(입력_전공의명단!$Q$2:$Q$401,$R39))</f>
        <v/>
      </c>
      <c r="L39" s="28">
        <f>IF($R39="","",INDEX(입력_전공의명단!$S$2:$S$401,$R39))</f>
        <v/>
      </c>
      <c r="M39" s="28">
        <f>IF($R39="","",INDEX(입력_전공의명단!$T$2:$T$401,$R39))</f>
        <v/>
      </c>
      <c r="N39" s="26">
        <f>IF($R39="","",INDEX(입력_전공의명단!$AH$2:$AH$401,$R39))</f>
        <v/>
      </c>
      <c r="O39" s="26">
        <f>IF($R39="","",INDEX(입력_전공의명단!$AI$2:$AI$401,$R39))</f>
        <v/>
      </c>
      <c r="P39" s="27">
        <f>IF($R39="","",INDEX(입력_전공의명단!$AO$2:$AO$401,$R39))</f>
        <v/>
      </c>
      <c r="Q39" s="27">
        <f>IF($R39="","",INDEX(입력_전공의명단!$Z$2:$Z$401,$R39))</f>
        <v/>
      </c>
      <c r="R39" s="29">
        <f>IFERROR(MATCH(ROW()-5,입력_전공의명단!$AM$2:$AM$401,0),"")</f>
        <v/>
      </c>
      <c r="T39" s="26">
        <f>IF($Y39="","",INDEX(입력_전공의명단!$C$2:$C$401,$Y39))</f>
        <v/>
      </c>
      <c r="U39" s="26">
        <f>IF($Y39="","",INDEX(입력_전공의명단!$B$2:$B$401,$Y39))</f>
        <v/>
      </c>
      <c r="V39" s="26">
        <f>IF($Y39="","",INDEX(입력_전공의명단!$AE$2:$AE$401,$Y39))</f>
        <v/>
      </c>
      <c r="W39" s="26">
        <f>IF($Y39="","",INDEX(입력_전공의명단!$AH$2:$AH$401,$Y39))</f>
        <v/>
      </c>
      <c r="X39" s="26">
        <f>IF($Y39="","",INDEX(입력_전공의명단!$AI$2:$AI$401,$Y39))</f>
        <v/>
      </c>
      <c r="Y39" s="29">
        <f>IFERROR(MATCH(ROW()-5,입력_전공의명단!$AN$2:$AN$401,0),"")</f>
        <v/>
      </c>
    </row>
    <row r="40">
      <c r="A40" s="26">
        <f>IF($R40="","",ROW()-5)</f>
        <v/>
      </c>
      <c r="B40" s="26">
        <f>IF($R40="","",INDEX(입력_전공의명단!$C$2:$C$401,$R40))</f>
        <v/>
      </c>
      <c r="C40" s="26">
        <f>IF($R40="","",INDEX(입력_전공의명단!$B$2:$B$401,$R40))</f>
        <v/>
      </c>
      <c r="D40" s="26">
        <f>IF($R40="","",INDEX(입력_전공의명단!$J$2:$J$401,$R40))</f>
        <v/>
      </c>
      <c r="E40" s="26">
        <f>IF($R40="","",INDEX(입력_전공의명단!$F$2:$F$401,$R40))</f>
        <v/>
      </c>
      <c r="F40" s="26">
        <f>IF($R40="","",INDEX(입력_전공의명단!$G$2:$G$401,$R40))</f>
        <v/>
      </c>
      <c r="G40" s="26">
        <f>IF($R40="","",INDEX(입력_전공의명단!$AE$2:$AE$401,$R40))</f>
        <v/>
      </c>
      <c r="H40" s="27">
        <f>IF($R40="","",IF(INDEX(입력_전공의명단!$AE$2:$AE$401,$R40)="서울병원","서울 소속","타 병원 소속("&amp;INDEX(입력_전공의명단!$AE$2:$AE$401,$R40)&amp;") → 서울 지급"))</f>
        <v/>
      </c>
      <c r="I40" s="26">
        <f>IF($R40="","",INDEX(입력_전공의명단!$N$2:$N$401,$R40))</f>
        <v/>
      </c>
      <c r="J40" s="26">
        <f>IF($R40="","",INDEX(입력_전공의명단!$P$2:$P$401,$R40))</f>
        <v/>
      </c>
      <c r="K40" s="26">
        <f>IF($R40="","",INDEX(입력_전공의명단!$Q$2:$Q$401,$R40))</f>
        <v/>
      </c>
      <c r="L40" s="28">
        <f>IF($R40="","",INDEX(입력_전공의명단!$S$2:$S$401,$R40))</f>
        <v/>
      </c>
      <c r="M40" s="28">
        <f>IF($R40="","",INDEX(입력_전공의명단!$T$2:$T$401,$R40))</f>
        <v/>
      </c>
      <c r="N40" s="26">
        <f>IF($R40="","",INDEX(입력_전공의명단!$AH$2:$AH$401,$R40))</f>
        <v/>
      </c>
      <c r="O40" s="26">
        <f>IF($R40="","",INDEX(입력_전공의명단!$AI$2:$AI$401,$R40))</f>
        <v/>
      </c>
      <c r="P40" s="27">
        <f>IF($R40="","",INDEX(입력_전공의명단!$AO$2:$AO$401,$R40))</f>
        <v/>
      </c>
      <c r="Q40" s="27">
        <f>IF($R40="","",INDEX(입력_전공의명단!$Z$2:$Z$401,$R40))</f>
        <v/>
      </c>
      <c r="R40" s="29">
        <f>IFERROR(MATCH(ROW()-5,입력_전공의명단!$AM$2:$AM$401,0),"")</f>
        <v/>
      </c>
      <c r="T40" s="26">
        <f>IF($Y40="","",INDEX(입력_전공의명단!$C$2:$C$401,$Y40))</f>
        <v/>
      </c>
      <c r="U40" s="26">
        <f>IF($Y40="","",INDEX(입력_전공의명단!$B$2:$B$401,$Y40))</f>
        <v/>
      </c>
      <c r="V40" s="26">
        <f>IF($Y40="","",INDEX(입력_전공의명단!$AE$2:$AE$401,$Y40))</f>
        <v/>
      </c>
      <c r="W40" s="26">
        <f>IF($Y40="","",INDEX(입력_전공의명단!$AH$2:$AH$401,$Y40))</f>
        <v/>
      </c>
      <c r="X40" s="26">
        <f>IF($Y40="","",INDEX(입력_전공의명단!$AI$2:$AI$401,$Y40))</f>
        <v/>
      </c>
      <c r="Y40" s="29">
        <f>IFERROR(MATCH(ROW()-5,입력_전공의명단!$AN$2:$AN$401,0),"")</f>
        <v/>
      </c>
    </row>
    <row r="41">
      <c r="A41" s="26">
        <f>IF($R41="","",ROW()-5)</f>
        <v/>
      </c>
      <c r="B41" s="26">
        <f>IF($R41="","",INDEX(입력_전공의명단!$C$2:$C$401,$R41))</f>
        <v/>
      </c>
      <c r="C41" s="26">
        <f>IF($R41="","",INDEX(입력_전공의명단!$B$2:$B$401,$R41))</f>
        <v/>
      </c>
      <c r="D41" s="26">
        <f>IF($R41="","",INDEX(입력_전공의명단!$J$2:$J$401,$R41))</f>
        <v/>
      </c>
      <c r="E41" s="26">
        <f>IF($R41="","",INDEX(입력_전공의명단!$F$2:$F$401,$R41))</f>
        <v/>
      </c>
      <c r="F41" s="26">
        <f>IF($R41="","",INDEX(입력_전공의명단!$G$2:$G$401,$R41))</f>
        <v/>
      </c>
      <c r="G41" s="26">
        <f>IF($R41="","",INDEX(입력_전공의명단!$AE$2:$AE$401,$R41))</f>
        <v/>
      </c>
      <c r="H41" s="27">
        <f>IF($R41="","",IF(INDEX(입력_전공의명단!$AE$2:$AE$401,$R41)="서울병원","서울 소속","타 병원 소속("&amp;INDEX(입력_전공의명단!$AE$2:$AE$401,$R41)&amp;") → 서울 지급"))</f>
        <v/>
      </c>
      <c r="I41" s="26">
        <f>IF($R41="","",INDEX(입력_전공의명단!$N$2:$N$401,$R41))</f>
        <v/>
      </c>
      <c r="J41" s="26">
        <f>IF($R41="","",INDEX(입력_전공의명단!$P$2:$P$401,$R41))</f>
        <v/>
      </c>
      <c r="K41" s="26">
        <f>IF($R41="","",INDEX(입력_전공의명단!$Q$2:$Q$401,$R41))</f>
        <v/>
      </c>
      <c r="L41" s="28">
        <f>IF($R41="","",INDEX(입력_전공의명단!$S$2:$S$401,$R41))</f>
        <v/>
      </c>
      <c r="M41" s="28">
        <f>IF($R41="","",INDEX(입력_전공의명단!$T$2:$T$401,$R41))</f>
        <v/>
      </c>
      <c r="N41" s="26">
        <f>IF($R41="","",INDEX(입력_전공의명단!$AH$2:$AH$401,$R41))</f>
        <v/>
      </c>
      <c r="O41" s="26">
        <f>IF($R41="","",INDEX(입력_전공의명단!$AI$2:$AI$401,$R41))</f>
        <v/>
      </c>
      <c r="P41" s="27">
        <f>IF($R41="","",INDEX(입력_전공의명단!$AO$2:$AO$401,$R41))</f>
        <v/>
      </c>
      <c r="Q41" s="27">
        <f>IF($R41="","",INDEX(입력_전공의명단!$Z$2:$Z$401,$R41))</f>
        <v/>
      </c>
      <c r="R41" s="29">
        <f>IFERROR(MATCH(ROW()-5,입력_전공의명단!$AM$2:$AM$401,0),"")</f>
        <v/>
      </c>
      <c r="T41" s="26">
        <f>IF($Y41="","",INDEX(입력_전공의명단!$C$2:$C$401,$Y41))</f>
        <v/>
      </c>
      <c r="U41" s="26">
        <f>IF($Y41="","",INDEX(입력_전공의명단!$B$2:$B$401,$Y41))</f>
        <v/>
      </c>
      <c r="V41" s="26">
        <f>IF($Y41="","",INDEX(입력_전공의명단!$AE$2:$AE$401,$Y41))</f>
        <v/>
      </c>
      <c r="W41" s="26">
        <f>IF($Y41="","",INDEX(입력_전공의명단!$AH$2:$AH$401,$Y41))</f>
        <v/>
      </c>
      <c r="X41" s="26">
        <f>IF($Y41="","",INDEX(입력_전공의명단!$AI$2:$AI$401,$Y41))</f>
        <v/>
      </c>
      <c r="Y41" s="29">
        <f>IFERROR(MATCH(ROW()-5,입력_전공의명단!$AN$2:$AN$401,0),"")</f>
        <v/>
      </c>
    </row>
    <row r="42">
      <c r="A42" s="26">
        <f>IF($R42="","",ROW()-5)</f>
        <v/>
      </c>
      <c r="B42" s="26">
        <f>IF($R42="","",INDEX(입력_전공의명단!$C$2:$C$401,$R42))</f>
        <v/>
      </c>
      <c r="C42" s="26">
        <f>IF($R42="","",INDEX(입력_전공의명단!$B$2:$B$401,$R42))</f>
        <v/>
      </c>
      <c r="D42" s="26">
        <f>IF($R42="","",INDEX(입력_전공의명단!$J$2:$J$401,$R42))</f>
        <v/>
      </c>
      <c r="E42" s="26">
        <f>IF($R42="","",INDEX(입력_전공의명단!$F$2:$F$401,$R42))</f>
        <v/>
      </c>
      <c r="F42" s="26">
        <f>IF($R42="","",INDEX(입력_전공의명단!$G$2:$G$401,$R42))</f>
        <v/>
      </c>
      <c r="G42" s="26">
        <f>IF($R42="","",INDEX(입력_전공의명단!$AE$2:$AE$401,$R42))</f>
        <v/>
      </c>
      <c r="H42" s="27">
        <f>IF($R42="","",IF(INDEX(입력_전공의명단!$AE$2:$AE$401,$R42)="서울병원","서울 소속","타 병원 소속("&amp;INDEX(입력_전공의명단!$AE$2:$AE$401,$R42)&amp;") → 서울 지급"))</f>
        <v/>
      </c>
      <c r="I42" s="26">
        <f>IF($R42="","",INDEX(입력_전공의명단!$N$2:$N$401,$R42))</f>
        <v/>
      </c>
      <c r="J42" s="26">
        <f>IF($R42="","",INDEX(입력_전공의명단!$P$2:$P$401,$R42))</f>
        <v/>
      </c>
      <c r="K42" s="26">
        <f>IF($R42="","",INDEX(입력_전공의명단!$Q$2:$Q$401,$R42))</f>
        <v/>
      </c>
      <c r="L42" s="28">
        <f>IF($R42="","",INDEX(입력_전공의명단!$S$2:$S$401,$R42))</f>
        <v/>
      </c>
      <c r="M42" s="28">
        <f>IF($R42="","",INDEX(입력_전공의명단!$T$2:$T$401,$R42))</f>
        <v/>
      </c>
      <c r="N42" s="26">
        <f>IF($R42="","",INDEX(입력_전공의명단!$AH$2:$AH$401,$R42))</f>
        <v/>
      </c>
      <c r="O42" s="26">
        <f>IF($R42="","",INDEX(입력_전공의명단!$AI$2:$AI$401,$R42))</f>
        <v/>
      </c>
      <c r="P42" s="27">
        <f>IF($R42="","",INDEX(입력_전공의명단!$AO$2:$AO$401,$R42))</f>
        <v/>
      </c>
      <c r="Q42" s="27">
        <f>IF($R42="","",INDEX(입력_전공의명단!$Z$2:$Z$401,$R42))</f>
        <v/>
      </c>
      <c r="R42" s="29">
        <f>IFERROR(MATCH(ROW()-5,입력_전공의명단!$AM$2:$AM$401,0),"")</f>
        <v/>
      </c>
      <c r="T42" s="26">
        <f>IF($Y42="","",INDEX(입력_전공의명단!$C$2:$C$401,$Y42))</f>
        <v/>
      </c>
      <c r="U42" s="26">
        <f>IF($Y42="","",INDEX(입력_전공의명단!$B$2:$B$401,$Y42))</f>
        <v/>
      </c>
      <c r="V42" s="26">
        <f>IF($Y42="","",INDEX(입력_전공의명단!$AE$2:$AE$401,$Y42))</f>
        <v/>
      </c>
      <c r="W42" s="26">
        <f>IF($Y42="","",INDEX(입력_전공의명단!$AH$2:$AH$401,$Y42))</f>
        <v/>
      </c>
      <c r="X42" s="26">
        <f>IF($Y42="","",INDEX(입력_전공의명단!$AI$2:$AI$401,$Y42))</f>
        <v/>
      </c>
      <c r="Y42" s="29">
        <f>IFERROR(MATCH(ROW()-5,입력_전공의명단!$AN$2:$AN$401,0),"")</f>
        <v/>
      </c>
    </row>
    <row r="43">
      <c r="A43" s="26">
        <f>IF($R43="","",ROW()-5)</f>
        <v/>
      </c>
      <c r="B43" s="26">
        <f>IF($R43="","",INDEX(입력_전공의명단!$C$2:$C$401,$R43))</f>
        <v/>
      </c>
      <c r="C43" s="26">
        <f>IF($R43="","",INDEX(입력_전공의명단!$B$2:$B$401,$R43))</f>
        <v/>
      </c>
      <c r="D43" s="26">
        <f>IF($R43="","",INDEX(입력_전공의명단!$J$2:$J$401,$R43))</f>
        <v/>
      </c>
      <c r="E43" s="26">
        <f>IF($R43="","",INDEX(입력_전공의명단!$F$2:$F$401,$R43))</f>
        <v/>
      </c>
      <c r="F43" s="26">
        <f>IF($R43="","",INDEX(입력_전공의명단!$G$2:$G$401,$R43))</f>
        <v/>
      </c>
      <c r="G43" s="26">
        <f>IF($R43="","",INDEX(입력_전공의명단!$AE$2:$AE$401,$R43))</f>
        <v/>
      </c>
      <c r="H43" s="27">
        <f>IF($R43="","",IF(INDEX(입력_전공의명단!$AE$2:$AE$401,$R43)="서울병원","서울 소속","타 병원 소속("&amp;INDEX(입력_전공의명단!$AE$2:$AE$401,$R43)&amp;") → 서울 지급"))</f>
        <v/>
      </c>
      <c r="I43" s="26">
        <f>IF($R43="","",INDEX(입력_전공의명단!$N$2:$N$401,$R43))</f>
        <v/>
      </c>
      <c r="J43" s="26">
        <f>IF($R43="","",INDEX(입력_전공의명단!$P$2:$P$401,$R43))</f>
        <v/>
      </c>
      <c r="K43" s="26">
        <f>IF($R43="","",INDEX(입력_전공의명단!$Q$2:$Q$401,$R43))</f>
        <v/>
      </c>
      <c r="L43" s="28">
        <f>IF($R43="","",INDEX(입력_전공의명단!$S$2:$S$401,$R43))</f>
        <v/>
      </c>
      <c r="M43" s="28">
        <f>IF($R43="","",INDEX(입력_전공의명단!$T$2:$T$401,$R43))</f>
        <v/>
      </c>
      <c r="N43" s="26">
        <f>IF($R43="","",INDEX(입력_전공의명단!$AH$2:$AH$401,$R43))</f>
        <v/>
      </c>
      <c r="O43" s="26">
        <f>IF($R43="","",INDEX(입력_전공의명단!$AI$2:$AI$401,$R43))</f>
        <v/>
      </c>
      <c r="P43" s="27">
        <f>IF($R43="","",INDEX(입력_전공의명단!$AO$2:$AO$401,$R43))</f>
        <v/>
      </c>
      <c r="Q43" s="27">
        <f>IF($R43="","",INDEX(입력_전공의명단!$Z$2:$Z$401,$R43))</f>
        <v/>
      </c>
      <c r="R43" s="29">
        <f>IFERROR(MATCH(ROW()-5,입력_전공의명단!$AM$2:$AM$401,0),"")</f>
        <v/>
      </c>
      <c r="T43" s="26">
        <f>IF($Y43="","",INDEX(입력_전공의명단!$C$2:$C$401,$Y43))</f>
        <v/>
      </c>
      <c r="U43" s="26">
        <f>IF($Y43="","",INDEX(입력_전공의명단!$B$2:$B$401,$Y43))</f>
        <v/>
      </c>
      <c r="V43" s="26">
        <f>IF($Y43="","",INDEX(입력_전공의명단!$AE$2:$AE$401,$Y43))</f>
        <v/>
      </c>
      <c r="W43" s="26">
        <f>IF($Y43="","",INDEX(입력_전공의명단!$AH$2:$AH$401,$Y43))</f>
        <v/>
      </c>
      <c r="X43" s="26">
        <f>IF($Y43="","",INDEX(입력_전공의명단!$AI$2:$AI$401,$Y43))</f>
        <v/>
      </c>
      <c r="Y43" s="29">
        <f>IFERROR(MATCH(ROW()-5,입력_전공의명단!$AN$2:$AN$401,0),"")</f>
        <v/>
      </c>
    </row>
    <row r="44">
      <c r="A44" s="26">
        <f>IF($R44="","",ROW()-5)</f>
        <v/>
      </c>
      <c r="B44" s="26">
        <f>IF($R44="","",INDEX(입력_전공의명단!$C$2:$C$401,$R44))</f>
        <v/>
      </c>
      <c r="C44" s="26">
        <f>IF($R44="","",INDEX(입력_전공의명단!$B$2:$B$401,$R44))</f>
        <v/>
      </c>
      <c r="D44" s="26">
        <f>IF($R44="","",INDEX(입력_전공의명단!$J$2:$J$401,$R44))</f>
        <v/>
      </c>
      <c r="E44" s="26">
        <f>IF($R44="","",INDEX(입력_전공의명단!$F$2:$F$401,$R44))</f>
        <v/>
      </c>
      <c r="F44" s="26">
        <f>IF($R44="","",INDEX(입력_전공의명단!$G$2:$G$401,$R44))</f>
        <v/>
      </c>
      <c r="G44" s="26">
        <f>IF($R44="","",INDEX(입력_전공의명단!$AE$2:$AE$401,$R44))</f>
        <v/>
      </c>
      <c r="H44" s="27">
        <f>IF($R44="","",IF(INDEX(입력_전공의명단!$AE$2:$AE$401,$R44)="서울병원","서울 소속","타 병원 소속("&amp;INDEX(입력_전공의명단!$AE$2:$AE$401,$R44)&amp;") → 서울 지급"))</f>
        <v/>
      </c>
      <c r="I44" s="26">
        <f>IF($R44="","",INDEX(입력_전공의명단!$N$2:$N$401,$R44))</f>
        <v/>
      </c>
      <c r="J44" s="26">
        <f>IF($R44="","",INDEX(입력_전공의명단!$P$2:$P$401,$R44))</f>
        <v/>
      </c>
      <c r="K44" s="26">
        <f>IF($R44="","",INDEX(입력_전공의명단!$Q$2:$Q$401,$R44))</f>
        <v/>
      </c>
      <c r="L44" s="28">
        <f>IF($R44="","",INDEX(입력_전공의명단!$S$2:$S$401,$R44))</f>
        <v/>
      </c>
      <c r="M44" s="28">
        <f>IF($R44="","",INDEX(입력_전공의명단!$T$2:$T$401,$R44))</f>
        <v/>
      </c>
      <c r="N44" s="26">
        <f>IF($R44="","",INDEX(입력_전공의명단!$AH$2:$AH$401,$R44))</f>
        <v/>
      </c>
      <c r="O44" s="26">
        <f>IF($R44="","",INDEX(입력_전공의명단!$AI$2:$AI$401,$R44))</f>
        <v/>
      </c>
      <c r="P44" s="27">
        <f>IF($R44="","",INDEX(입력_전공의명단!$AO$2:$AO$401,$R44))</f>
        <v/>
      </c>
      <c r="Q44" s="27">
        <f>IF($R44="","",INDEX(입력_전공의명단!$Z$2:$Z$401,$R44))</f>
        <v/>
      </c>
      <c r="R44" s="29">
        <f>IFERROR(MATCH(ROW()-5,입력_전공의명단!$AM$2:$AM$401,0),"")</f>
        <v/>
      </c>
      <c r="T44" s="26">
        <f>IF($Y44="","",INDEX(입력_전공의명단!$C$2:$C$401,$Y44))</f>
        <v/>
      </c>
      <c r="U44" s="26">
        <f>IF($Y44="","",INDEX(입력_전공의명단!$B$2:$B$401,$Y44))</f>
        <v/>
      </c>
      <c r="V44" s="26">
        <f>IF($Y44="","",INDEX(입력_전공의명단!$AE$2:$AE$401,$Y44))</f>
        <v/>
      </c>
      <c r="W44" s="26">
        <f>IF($Y44="","",INDEX(입력_전공의명단!$AH$2:$AH$401,$Y44))</f>
        <v/>
      </c>
      <c r="X44" s="26">
        <f>IF($Y44="","",INDEX(입력_전공의명단!$AI$2:$AI$401,$Y44))</f>
        <v/>
      </c>
      <c r="Y44" s="29">
        <f>IFERROR(MATCH(ROW()-5,입력_전공의명단!$AN$2:$AN$401,0),"")</f>
        <v/>
      </c>
    </row>
    <row r="45">
      <c r="A45" s="26">
        <f>IF($R45="","",ROW()-5)</f>
        <v/>
      </c>
      <c r="B45" s="26">
        <f>IF($R45="","",INDEX(입력_전공의명단!$C$2:$C$401,$R45))</f>
        <v/>
      </c>
      <c r="C45" s="26">
        <f>IF($R45="","",INDEX(입력_전공의명단!$B$2:$B$401,$R45))</f>
        <v/>
      </c>
      <c r="D45" s="26">
        <f>IF($R45="","",INDEX(입력_전공의명단!$J$2:$J$401,$R45))</f>
        <v/>
      </c>
      <c r="E45" s="26">
        <f>IF($R45="","",INDEX(입력_전공의명단!$F$2:$F$401,$R45))</f>
        <v/>
      </c>
      <c r="F45" s="26">
        <f>IF($R45="","",INDEX(입력_전공의명단!$G$2:$G$401,$R45))</f>
        <v/>
      </c>
      <c r="G45" s="26">
        <f>IF($R45="","",INDEX(입력_전공의명단!$AE$2:$AE$401,$R45))</f>
        <v/>
      </c>
      <c r="H45" s="27">
        <f>IF($R45="","",IF(INDEX(입력_전공의명단!$AE$2:$AE$401,$R45)="서울병원","서울 소속","타 병원 소속("&amp;INDEX(입력_전공의명단!$AE$2:$AE$401,$R45)&amp;") → 서울 지급"))</f>
        <v/>
      </c>
      <c r="I45" s="26">
        <f>IF($R45="","",INDEX(입력_전공의명단!$N$2:$N$401,$R45))</f>
        <v/>
      </c>
      <c r="J45" s="26">
        <f>IF($R45="","",INDEX(입력_전공의명단!$P$2:$P$401,$R45))</f>
        <v/>
      </c>
      <c r="K45" s="26">
        <f>IF($R45="","",INDEX(입력_전공의명단!$Q$2:$Q$401,$R45))</f>
        <v/>
      </c>
      <c r="L45" s="28">
        <f>IF($R45="","",INDEX(입력_전공의명단!$S$2:$S$401,$R45))</f>
        <v/>
      </c>
      <c r="M45" s="28">
        <f>IF($R45="","",INDEX(입력_전공의명단!$T$2:$T$401,$R45))</f>
        <v/>
      </c>
      <c r="N45" s="26">
        <f>IF($R45="","",INDEX(입력_전공의명단!$AH$2:$AH$401,$R45))</f>
        <v/>
      </c>
      <c r="O45" s="26">
        <f>IF($R45="","",INDEX(입력_전공의명단!$AI$2:$AI$401,$R45))</f>
        <v/>
      </c>
      <c r="P45" s="27">
        <f>IF($R45="","",INDEX(입력_전공의명단!$AO$2:$AO$401,$R45))</f>
        <v/>
      </c>
      <c r="Q45" s="27">
        <f>IF($R45="","",INDEX(입력_전공의명단!$Z$2:$Z$401,$R45))</f>
        <v/>
      </c>
      <c r="R45" s="29">
        <f>IFERROR(MATCH(ROW()-5,입력_전공의명단!$AM$2:$AM$401,0),"")</f>
        <v/>
      </c>
      <c r="T45" s="26">
        <f>IF($Y45="","",INDEX(입력_전공의명단!$C$2:$C$401,$Y45))</f>
        <v/>
      </c>
      <c r="U45" s="26">
        <f>IF($Y45="","",INDEX(입력_전공의명단!$B$2:$B$401,$Y45))</f>
        <v/>
      </c>
      <c r="V45" s="26">
        <f>IF($Y45="","",INDEX(입력_전공의명단!$AE$2:$AE$401,$Y45))</f>
        <v/>
      </c>
      <c r="W45" s="26">
        <f>IF($Y45="","",INDEX(입력_전공의명단!$AH$2:$AH$401,$Y45))</f>
        <v/>
      </c>
      <c r="X45" s="26">
        <f>IF($Y45="","",INDEX(입력_전공의명단!$AI$2:$AI$401,$Y45))</f>
        <v/>
      </c>
      <c r="Y45" s="29">
        <f>IFERROR(MATCH(ROW()-5,입력_전공의명단!$AN$2:$AN$401,0),"")</f>
        <v/>
      </c>
    </row>
    <row r="46">
      <c r="A46" s="26">
        <f>IF($R46="","",ROW()-5)</f>
        <v/>
      </c>
      <c r="B46" s="26">
        <f>IF($R46="","",INDEX(입력_전공의명단!$C$2:$C$401,$R46))</f>
        <v/>
      </c>
      <c r="C46" s="26">
        <f>IF($R46="","",INDEX(입력_전공의명단!$B$2:$B$401,$R46))</f>
        <v/>
      </c>
      <c r="D46" s="26">
        <f>IF($R46="","",INDEX(입력_전공의명단!$J$2:$J$401,$R46))</f>
        <v/>
      </c>
      <c r="E46" s="26">
        <f>IF($R46="","",INDEX(입력_전공의명단!$F$2:$F$401,$R46))</f>
        <v/>
      </c>
      <c r="F46" s="26">
        <f>IF($R46="","",INDEX(입력_전공의명단!$G$2:$G$401,$R46))</f>
        <v/>
      </c>
      <c r="G46" s="26">
        <f>IF($R46="","",INDEX(입력_전공의명단!$AE$2:$AE$401,$R46))</f>
        <v/>
      </c>
      <c r="H46" s="27">
        <f>IF($R46="","",IF(INDEX(입력_전공의명단!$AE$2:$AE$401,$R46)="서울병원","서울 소속","타 병원 소속("&amp;INDEX(입력_전공의명단!$AE$2:$AE$401,$R46)&amp;") → 서울 지급"))</f>
        <v/>
      </c>
      <c r="I46" s="26">
        <f>IF($R46="","",INDEX(입력_전공의명단!$N$2:$N$401,$R46))</f>
        <v/>
      </c>
      <c r="J46" s="26">
        <f>IF($R46="","",INDEX(입력_전공의명단!$P$2:$P$401,$R46))</f>
        <v/>
      </c>
      <c r="K46" s="26">
        <f>IF($R46="","",INDEX(입력_전공의명단!$Q$2:$Q$401,$R46))</f>
        <v/>
      </c>
      <c r="L46" s="28">
        <f>IF($R46="","",INDEX(입력_전공의명단!$S$2:$S$401,$R46))</f>
        <v/>
      </c>
      <c r="M46" s="28">
        <f>IF($R46="","",INDEX(입력_전공의명단!$T$2:$T$401,$R46))</f>
        <v/>
      </c>
      <c r="N46" s="26">
        <f>IF($R46="","",INDEX(입력_전공의명단!$AH$2:$AH$401,$R46))</f>
        <v/>
      </c>
      <c r="O46" s="26">
        <f>IF($R46="","",INDEX(입력_전공의명단!$AI$2:$AI$401,$R46))</f>
        <v/>
      </c>
      <c r="P46" s="27">
        <f>IF($R46="","",INDEX(입력_전공의명단!$AO$2:$AO$401,$R46))</f>
        <v/>
      </c>
      <c r="Q46" s="27">
        <f>IF($R46="","",INDEX(입력_전공의명단!$Z$2:$Z$401,$R46))</f>
        <v/>
      </c>
      <c r="R46" s="29">
        <f>IFERROR(MATCH(ROW()-5,입력_전공의명단!$AM$2:$AM$401,0),"")</f>
        <v/>
      </c>
      <c r="T46" s="26">
        <f>IF($Y46="","",INDEX(입력_전공의명단!$C$2:$C$401,$Y46))</f>
        <v/>
      </c>
      <c r="U46" s="26">
        <f>IF($Y46="","",INDEX(입력_전공의명단!$B$2:$B$401,$Y46))</f>
        <v/>
      </c>
      <c r="V46" s="26">
        <f>IF($Y46="","",INDEX(입력_전공의명단!$AE$2:$AE$401,$Y46))</f>
        <v/>
      </c>
      <c r="W46" s="26">
        <f>IF($Y46="","",INDEX(입력_전공의명단!$AH$2:$AH$401,$Y46))</f>
        <v/>
      </c>
      <c r="X46" s="26">
        <f>IF($Y46="","",INDEX(입력_전공의명단!$AI$2:$AI$401,$Y46))</f>
        <v/>
      </c>
      <c r="Y46" s="29">
        <f>IFERROR(MATCH(ROW()-5,입력_전공의명단!$AN$2:$AN$401,0),"")</f>
        <v/>
      </c>
    </row>
    <row r="47">
      <c r="A47" s="26">
        <f>IF($R47="","",ROW()-5)</f>
        <v/>
      </c>
      <c r="B47" s="26">
        <f>IF($R47="","",INDEX(입력_전공의명단!$C$2:$C$401,$R47))</f>
        <v/>
      </c>
      <c r="C47" s="26">
        <f>IF($R47="","",INDEX(입력_전공의명단!$B$2:$B$401,$R47))</f>
        <v/>
      </c>
      <c r="D47" s="26">
        <f>IF($R47="","",INDEX(입력_전공의명단!$J$2:$J$401,$R47))</f>
        <v/>
      </c>
      <c r="E47" s="26">
        <f>IF($R47="","",INDEX(입력_전공의명단!$F$2:$F$401,$R47))</f>
        <v/>
      </c>
      <c r="F47" s="26">
        <f>IF($R47="","",INDEX(입력_전공의명단!$G$2:$G$401,$R47))</f>
        <v/>
      </c>
      <c r="G47" s="26">
        <f>IF($R47="","",INDEX(입력_전공의명단!$AE$2:$AE$401,$R47))</f>
        <v/>
      </c>
      <c r="H47" s="27">
        <f>IF($R47="","",IF(INDEX(입력_전공의명단!$AE$2:$AE$401,$R47)="서울병원","서울 소속","타 병원 소속("&amp;INDEX(입력_전공의명단!$AE$2:$AE$401,$R47)&amp;") → 서울 지급"))</f>
        <v/>
      </c>
      <c r="I47" s="26">
        <f>IF($R47="","",INDEX(입력_전공의명단!$N$2:$N$401,$R47))</f>
        <v/>
      </c>
      <c r="J47" s="26">
        <f>IF($R47="","",INDEX(입력_전공의명단!$P$2:$P$401,$R47))</f>
        <v/>
      </c>
      <c r="K47" s="26">
        <f>IF($R47="","",INDEX(입력_전공의명단!$Q$2:$Q$401,$R47))</f>
        <v/>
      </c>
      <c r="L47" s="28">
        <f>IF($R47="","",INDEX(입력_전공의명단!$S$2:$S$401,$R47))</f>
        <v/>
      </c>
      <c r="M47" s="28">
        <f>IF($R47="","",INDEX(입력_전공의명단!$T$2:$T$401,$R47))</f>
        <v/>
      </c>
      <c r="N47" s="26">
        <f>IF($R47="","",INDEX(입력_전공의명단!$AH$2:$AH$401,$R47))</f>
        <v/>
      </c>
      <c r="O47" s="26">
        <f>IF($R47="","",INDEX(입력_전공의명단!$AI$2:$AI$401,$R47))</f>
        <v/>
      </c>
      <c r="P47" s="27">
        <f>IF($R47="","",INDEX(입력_전공의명단!$AO$2:$AO$401,$R47))</f>
        <v/>
      </c>
      <c r="Q47" s="27">
        <f>IF($R47="","",INDEX(입력_전공의명단!$Z$2:$Z$401,$R47))</f>
        <v/>
      </c>
      <c r="R47" s="29">
        <f>IFERROR(MATCH(ROW()-5,입력_전공의명단!$AM$2:$AM$401,0),"")</f>
        <v/>
      </c>
      <c r="T47" s="26">
        <f>IF($Y47="","",INDEX(입력_전공의명단!$C$2:$C$401,$Y47))</f>
        <v/>
      </c>
      <c r="U47" s="26">
        <f>IF($Y47="","",INDEX(입력_전공의명단!$B$2:$B$401,$Y47))</f>
        <v/>
      </c>
      <c r="V47" s="26">
        <f>IF($Y47="","",INDEX(입력_전공의명단!$AE$2:$AE$401,$Y47))</f>
        <v/>
      </c>
      <c r="W47" s="26">
        <f>IF($Y47="","",INDEX(입력_전공의명단!$AH$2:$AH$401,$Y47))</f>
        <v/>
      </c>
      <c r="X47" s="26">
        <f>IF($Y47="","",INDEX(입력_전공의명단!$AI$2:$AI$401,$Y47))</f>
        <v/>
      </c>
      <c r="Y47" s="29">
        <f>IFERROR(MATCH(ROW()-5,입력_전공의명단!$AN$2:$AN$401,0),"")</f>
        <v/>
      </c>
    </row>
    <row r="48">
      <c r="A48" s="26">
        <f>IF($R48="","",ROW()-5)</f>
        <v/>
      </c>
      <c r="B48" s="26">
        <f>IF($R48="","",INDEX(입력_전공의명단!$C$2:$C$401,$R48))</f>
        <v/>
      </c>
      <c r="C48" s="26">
        <f>IF($R48="","",INDEX(입력_전공의명단!$B$2:$B$401,$R48))</f>
        <v/>
      </c>
      <c r="D48" s="26">
        <f>IF($R48="","",INDEX(입력_전공의명단!$J$2:$J$401,$R48))</f>
        <v/>
      </c>
      <c r="E48" s="26">
        <f>IF($R48="","",INDEX(입력_전공의명단!$F$2:$F$401,$R48))</f>
        <v/>
      </c>
      <c r="F48" s="26">
        <f>IF($R48="","",INDEX(입력_전공의명단!$G$2:$G$401,$R48))</f>
        <v/>
      </c>
      <c r="G48" s="26">
        <f>IF($R48="","",INDEX(입력_전공의명단!$AE$2:$AE$401,$R48))</f>
        <v/>
      </c>
      <c r="H48" s="27">
        <f>IF($R48="","",IF(INDEX(입력_전공의명단!$AE$2:$AE$401,$R48)="서울병원","서울 소속","타 병원 소속("&amp;INDEX(입력_전공의명단!$AE$2:$AE$401,$R48)&amp;") → 서울 지급"))</f>
        <v/>
      </c>
      <c r="I48" s="26">
        <f>IF($R48="","",INDEX(입력_전공의명단!$N$2:$N$401,$R48))</f>
        <v/>
      </c>
      <c r="J48" s="26">
        <f>IF($R48="","",INDEX(입력_전공의명단!$P$2:$P$401,$R48))</f>
        <v/>
      </c>
      <c r="K48" s="26">
        <f>IF($R48="","",INDEX(입력_전공의명단!$Q$2:$Q$401,$R48))</f>
        <v/>
      </c>
      <c r="L48" s="28">
        <f>IF($R48="","",INDEX(입력_전공의명단!$S$2:$S$401,$R48))</f>
        <v/>
      </c>
      <c r="M48" s="28">
        <f>IF($R48="","",INDEX(입력_전공의명단!$T$2:$T$401,$R48))</f>
        <v/>
      </c>
      <c r="N48" s="26">
        <f>IF($R48="","",INDEX(입력_전공의명단!$AH$2:$AH$401,$R48))</f>
        <v/>
      </c>
      <c r="O48" s="26">
        <f>IF($R48="","",INDEX(입력_전공의명단!$AI$2:$AI$401,$R48))</f>
        <v/>
      </c>
      <c r="P48" s="27">
        <f>IF($R48="","",INDEX(입력_전공의명단!$AO$2:$AO$401,$R48))</f>
        <v/>
      </c>
      <c r="Q48" s="27">
        <f>IF($R48="","",INDEX(입력_전공의명단!$Z$2:$Z$401,$R48))</f>
        <v/>
      </c>
      <c r="R48" s="29">
        <f>IFERROR(MATCH(ROW()-5,입력_전공의명단!$AM$2:$AM$401,0),"")</f>
        <v/>
      </c>
      <c r="T48" s="26">
        <f>IF($Y48="","",INDEX(입력_전공의명단!$C$2:$C$401,$Y48))</f>
        <v/>
      </c>
      <c r="U48" s="26">
        <f>IF($Y48="","",INDEX(입력_전공의명단!$B$2:$B$401,$Y48))</f>
        <v/>
      </c>
      <c r="V48" s="26">
        <f>IF($Y48="","",INDEX(입력_전공의명단!$AE$2:$AE$401,$Y48))</f>
        <v/>
      </c>
      <c r="W48" s="26">
        <f>IF($Y48="","",INDEX(입력_전공의명단!$AH$2:$AH$401,$Y48))</f>
        <v/>
      </c>
      <c r="X48" s="26">
        <f>IF($Y48="","",INDEX(입력_전공의명단!$AI$2:$AI$401,$Y48))</f>
        <v/>
      </c>
      <c r="Y48" s="29">
        <f>IFERROR(MATCH(ROW()-5,입력_전공의명단!$AN$2:$AN$401,0),"")</f>
        <v/>
      </c>
    </row>
    <row r="49">
      <c r="A49" s="26">
        <f>IF($R49="","",ROW()-5)</f>
        <v/>
      </c>
      <c r="B49" s="26">
        <f>IF($R49="","",INDEX(입력_전공의명단!$C$2:$C$401,$R49))</f>
        <v/>
      </c>
      <c r="C49" s="26">
        <f>IF($R49="","",INDEX(입력_전공의명단!$B$2:$B$401,$R49))</f>
        <v/>
      </c>
      <c r="D49" s="26">
        <f>IF($R49="","",INDEX(입력_전공의명단!$J$2:$J$401,$R49))</f>
        <v/>
      </c>
      <c r="E49" s="26">
        <f>IF($R49="","",INDEX(입력_전공의명단!$F$2:$F$401,$R49))</f>
        <v/>
      </c>
      <c r="F49" s="26">
        <f>IF($R49="","",INDEX(입력_전공의명단!$G$2:$G$401,$R49))</f>
        <v/>
      </c>
      <c r="G49" s="26">
        <f>IF($R49="","",INDEX(입력_전공의명단!$AE$2:$AE$401,$R49))</f>
        <v/>
      </c>
      <c r="H49" s="27">
        <f>IF($R49="","",IF(INDEX(입력_전공의명단!$AE$2:$AE$401,$R49)="서울병원","서울 소속","타 병원 소속("&amp;INDEX(입력_전공의명단!$AE$2:$AE$401,$R49)&amp;") → 서울 지급"))</f>
        <v/>
      </c>
      <c r="I49" s="26">
        <f>IF($R49="","",INDEX(입력_전공의명단!$N$2:$N$401,$R49))</f>
        <v/>
      </c>
      <c r="J49" s="26">
        <f>IF($R49="","",INDEX(입력_전공의명단!$P$2:$P$401,$R49))</f>
        <v/>
      </c>
      <c r="K49" s="26">
        <f>IF($R49="","",INDEX(입력_전공의명단!$Q$2:$Q$401,$R49))</f>
        <v/>
      </c>
      <c r="L49" s="28">
        <f>IF($R49="","",INDEX(입력_전공의명단!$S$2:$S$401,$R49))</f>
        <v/>
      </c>
      <c r="M49" s="28">
        <f>IF($R49="","",INDEX(입력_전공의명단!$T$2:$T$401,$R49))</f>
        <v/>
      </c>
      <c r="N49" s="26">
        <f>IF($R49="","",INDEX(입력_전공의명단!$AH$2:$AH$401,$R49))</f>
        <v/>
      </c>
      <c r="O49" s="26">
        <f>IF($R49="","",INDEX(입력_전공의명단!$AI$2:$AI$401,$R49))</f>
        <v/>
      </c>
      <c r="P49" s="27">
        <f>IF($R49="","",INDEX(입력_전공의명단!$AO$2:$AO$401,$R49))</f>
        <v/>
      </c>
      <c r="Q49" s="27">
        <f>IF($R49="","",INDEX(입력_전공의명단!$Z$2:$Z$401,$R49))</f>
        <v/>
      </c>
      <c r="R49" s="29">
        <f>IFERROR(MATCH(ROW()-5,입력_전공의명단!$AM$2:$AM$401,0),"")</f>
        <v/>
      </c>
      <c r="T49" s="26">
        <f>IF($Y49="","",INDEX(입력_전공의명단!$C$2:$C$401,$Y49))</f>
        <v/>
      </c>
      <c r="U49" s="26">
        <f>IF($Y49="","",INDEX(입력_전공의명단!$B$2:$B$401,$Y49))</f>
        <v/>
      </c>
      <c r="V49" s="26">
        <f>IF($Y49="","",INDEX(입력_전공의명단!$AE$2:$AE$401,$Y49))</f>
        <v/>
      </c>
      <c r="W49" s="26">
        <f>IF($Y49="","",INDEX(입력_전공의명단!$AH$2:$AH$401,$Y49))</f>
        <v/>
      </c>
      <c r="X49" s="26">
        <f>IF($Y49="","",INDEX(입력_전공의명단!$AI$2:$AI$401,$Y49))</f>
        <v/>
      </c>
      <c r="Y49" s="29">
        <f>IFERROR(MATCH(ROW()-5,입력_전공의명단!$AN$2:$AN$401,0),"")</f>
        <v/>
      </c>
    </row>
    <row r="50">
      <c r="A50" s="26">
        <f>IF($R50="","",ROW()-5)</f>
        <v/>
      </c>
      <c r="B50" s="26">
        <f>IF($R50="","",INDEX(입력_전공의명단!$C$2:$C$401,$R50))</f>
        <v/>
      </c>
      <c r="C50" s="26">
        <f>IF($R50="","",INDEX(입력_전공의명단!$B$2:$B$401,$R50))</f>
        <v/>
      </c>
      <c r="D50" s="26">
        <f>IF($R50="","",INDEX(입력_전공의명단!$J$2:$J$401,$R50))</f>
        <v/>
      </c>
      <c r="E50" s="26">
        <f>IF($R50="","",INDEX(입력_전공의명단!$F$2:$F$401,$R50))</f>
        <v/>
      </c>
      <c r="F50" s="26">
        <f>IF($R50="","",INDEX(입력_전공의명단!$G$2:$G$401,$R50))</f>
        <v/>
      </c>
      <c r="G50" s="26">
        <f>IF($R50="","",INDEX(입력_전공의명단!$AE$2:$AE$401,$R50))</f>
        <v/>
      </c>
      <c r="H50" s="27">
        <f>IF($R50="","",IF(INDEX(입력_전공의명단!$AE$2:$AE$401,$R50)="서울병원","서울 소속","타 병원 소속("&amp;INDEX(입력_전공의명단!$AE$2:$AE$401,$R50)&amp;") → 서울 지급"))</f>
        <v/>
      </c>
      <c r="I50" s="26">
        <f>IF($R50="","",INDEX(입력_전공의명단!$N$2:$N$401,$R50))</f>
        <v/>
      </c>
      <c r="J50" s="26">
        <f>IF($R50="","",INDEX(입력_전공의명단!$P$2:$P$401,$R50))</f>
        <v/>
      </c>
      <c r="K50" s="26">
        <f>IF($R50="","",INDEX(입력_전공의명단!$Q$2:$Q$401,$R50))</f>
        <v/>
      </c>
      <c r="L50" s="28">
        <f>IF($R50="","",INDEX(입력_전공의명단!$S$2:$S$401,$R50))</f>
        <v/>
      </c>
      <c r="M50" s="28">
        <f>IF($R50="","",INDEX(입력_전공의명단!$T$2:$T$401,$R50))</f>
        <v/>
      </c>
      <c r="N50" s="26">
        <f>IF($R50="","",INDEX(입력_전공의명단!$AH$2:$AH$401,$R50))</f>
        <v/>
      </c>
      <c r="O50" s="26">
        <f>IF($R50="","",INDEX(입력_전공의명단!$AI$2:$AI$401,$R50))</f>
        <v/>
      </c>
      <c r="P50" s="27">
        <f>IF($R50="","",INDEX(입력_전공의명단!$AO$2:$AO$401,$R50))</f>
        <v/>
      </c>
      <c r="Q50" s="27">
        <f>IF($R50="","",INDEX(입력_전공의명단!$Z$2:$Z$401,$R50))</f>
        <v/>
      </c>
      <c r="R50" s="29">
        <f>IFERROR(MATCH(ROW()-5,입력_전공의명단!$AM$2:$AM$401,0),"")</f>
        <v/>
      </c>
      <c r="T50" s="26">
        <f>IF($Y50="","",INDEX(입력_전공의명단!$C$2:$C$401,$Y50))</f>
        <v/>
      </c>
      <c r="U50" s="26">
        <f>IF($Y50="","",INDEX(입력_전공의명단!$B$2:$B$401,$Y50))</f>
        <v/>
      </c>
      <c r="V50" s="26">
        <f>IF($Y50="","",INDEX(입력_전공의명단!$AE$2:$AE$401,$Y50))</f>
        <v/>
      </c>
      <c r="W50" s="26">
        <f>IF($Y50="","",INDEX(입력_전공의명단!$AH$2:$AH$401,$Y50))</f>
        <v/>
      </c>
      <c r="X50" s="26">
        <f>IF($Y50="","",INDEX(입력_전공의명단!$AI$2:$AI$401,$Y50))</f>
        <v/>
      </c>
      <c r="Y50" s="29">
        <f>IFERROR(MATCH(ROW()-5,입력_전공의명단!$AN$2:$AN$401,0),"")</f>
        <v/>
      </c>
    </row>
    <row r="51">
      <c r="A51" s="26">
        <f>IF($R51="","",ROW()-5)</f>
        <v/>
      </c>
      <c r="B51" s="26">
        <f>IF($R51="","",INDEX(입력_전공의명단!$C$2:$C$401,$R51))</f>
        <v/>
      </c>
      <c r="C51" s="26">
        <f>IF($R51="","",INDEX(입력_전공의명단!$B$2:$B$401,$R51))</f>
        <v/>
      </c>
      <c r="D51" s="26">
        <f>IF($R51="","",INDEX(입력_전공의명단!$J$2:$J$401,$R51))</f>
        <v/>
      </c>
      <c r="E51" s="26">
        <f>IF($R51="","",INDEX(입력_전공의명단!$F$2:$F$401,$R51))</f>
        <v/>
      </c>
      <c r="F51" s="26">
        <f>IF($R51="","",INDEX(입력_전공의명단!$G$2:$G$401,$R51))</f>
        <v/>
      </c>
      <c r="G51" s="26">
        <f>IF($R51="","",INDEX(입력_전공의명단!$AE$2:$AE$401,$R51))</f>
        <v/>
      </c>
      <c r="H51" s="27">
        <f>IF($R51="","",IF(INDEX(입력_전공의명단!$AE$2:$AE$401,$R51)="서울병원","서울 소속","타 병원 소속("&amp;INDEX(입력_전공의명단!$AE$2:$AE$401,$R51)&amp;") → 서울 지급"))</f>
        <v/>
      </c>
      <c r="I51" s="26">
        <f>IF($R51="","",INDEX(입력_전공의명단!$N$2:$N$401,$R51))</f>
        <v/>
      </c>
      <c r="J51" s="26">
        <f>IF($R51="","",INDEX(입력_전공의명단!$P$2:$P$401,$R51))</f>
        <v/>
      </c>
      <c r="K51" s="26">
        <f>IF($R51="","",INDEX(입력_전공의명단!$Q$2:$Q$401,$R51))</f>
        <v/>
      </c>
      <c r="L51" s="28">
        <f>IF($R51="","",INDEX(입력_전공의명단!$S$2:$S$401,$R51))</f>
        <v/>
      </c>
      <c r="M51" s="28">
        <f>IF($R51="","",INDEX(입력_전공의명단!$T$2:$T$401,$R51))</f>
        <v/>
      </c>
      <c r="N51" s="26">
        <f>IF($R51="","",INDEX(입력_전공의명단!$AH$2:$AH$401,$R51))</f>
        <v/>
      </c>
      <c r="O51" s="26">
        <f>IF($R51="","",INDEX(입력_전공의명단!$AI$2:$AI$401,$R51))</f>
        <v/>
      </c>
      <c r="P51" s="27">
        <f>IF($R51="","",INDEX(입력_전공의명단!$AO$2:$AO$401,$R51))</f>
        <v/>
      </c>
      <c r="Q51" s="27">
        <f>IF($R51="","",INDEX(입력_전공의명단!$Z$2:$Z$401,$R51))</f>
        <v/>
      </c>
      <c r="R51" s="29">
        <f>IFERROR(MATCH(ROW()-5,입력_전공의명단!$AM$2:$AM$401,0),"")</f>
        <v/>
      </c>
      <c r="T51" s="26">
        <f>IF($Y51="","",INDEX(입력_전공의명단!$C$2:$C$401,$Y51))</f>
        <v/>
      </c>
      <c r="U51" s="26">
        <f>IF($Y51="","",INDEX(입력_전공의명단!$B$2:$B$401,$Y51))</f>
        <v/>
      </c>
      <c r="V51" s="26">
        <f>IF($Y51="","",INDEX(입력_전공의명단!$AE$2:$AE$401,$Y51))</f>
        <v/>
      </c>
      <c r="W51" s="26">
        <f>IF($Y51="","",INDEX(입력_전공의명단!$AH$2:$AH$401,$Y51))</f>
        <v/>
      </c>
      <c r="X51" s="26">
        <f>IF($Y51="","",INDEX(입력_전공의명단!$AI$2:$AI$401,$Y51))</f>
        <v/>
      </c>
      <c r="Y51" s="29">
        <f>IFERROR(MATCH(ROW()-5,입력_전공의명단!$AN$2:$AN$401,0),"")</f>
        <v/>
      </c>
    </row>
    <row r="52">
      <c r="A52" s="26">
        <f>IF($R52="","",ROW()-5)</f>
        <v/>
      </c>
      <c r="B52" s="26">
        <f>IF($R52="","",INDEX(입력_전공의명단!$C$2:$C$401,$R52))</f>
        <v/>
      </c>
      <c r="C52" s="26">
        <f>IF($R52="","",INDEX(입력_전공의명단!$B$2:$B$401,$R52))</f>
        <v/>
      </c>
      <c r="D52" s="26">
        <f>IF($R52="","",INDEX(입력_전공의명단!$J$2:$J$401,$R52))</f>
        <v/>
      </c>
      <c r="E52" s="26">
        <f>IF($R52="","",INDEX(입력_전공의명단!$F$2:$F$401,$R52))</f>
        <v/>
      </c>
      <c r="F52" s="26">
        <f>IF($R52="","",INDEX(입력_전공의명단!$G$2:$G$401,$R52))</f>
        <v/>
      </c>
      <c r="G52" s="26">
        <f>IF($R52="","",INDEX(입력_전공의명단!$AE$2:$AE$401,$R52))</f>
        <v/>
      </c>
      <c r="H52" s="27">
        <f>IF($R52="","",IF(INDEX(입력_전공의명단!$AE$2:$AE$401,$R52)="서울병원","서울 소속","타 병원 소속("&amp;INDEX(입력_전공의명단!$AE$2:$AE$401,$R52)&amp;") → 서울 지급"))</f>
        <v/>
      </c>
      <c r="I52" s="26">
        <f>IF($R52="","",INDEX(입력_전공의명단!$N$2:$N$401,$R52))</f>
        <v/>
      </c>
      <c r="J52" s="26">
        <f>IF($R52="","",INDEX(입력_전공의명단!$P$2:$P$401,$R52))</f>
        <v/>
      </c>
      <c r="K52" s="26">
        <f>IF($R52="","",INDEX(입력_전공의명단!$Q$2:$Q$401,$R52))</f>
        <v/>
      </c>
      <c r="L52" s="28">
        <f>IF($R52="","",INDEX(입력_전공의명단!$S$2:$S$401,$R52))</f>
        <v/>
      </c>
      <c r="M52" s="28">
        <f>IF($R52="","",INDEX(입력_전공의명단!$T$2:$T$401,$R52))</f>
        <v/>
      </c>
      <c r="N52" s="26">
        <f>IF($R52="","",INDEX(입력_전공의명단!$AH$2:$AH$401,$R52))</f>
        <v/>
      </c>
      <c r="O52" s="26">
        <f>IF($R52="","",INDEX(입력_전공의명단!$AI$2:$AI$401,$R52))</f>
        <v/>
      </c>
      <c r="P52" s="27">
        <f>IF($R52="","",INDEX(입력_전공의명단!$AO$2:$AO$401,$R52))</f>
        <v/>
      </c>
      <c r="Q52" s="27">
        <f>IF($R52="","",INDEX(입력_전공의명단!$Z$2:$Z$401,$R52))</f>
        <v/>
      </c>
      <c r="R52" s="29">
        <f>IFERROR(MATCH(ROW()-5,입력_전공의명단!$AM$2:$AM$401,0),"")</f>
        <v/>
      </c>
      <c r="T52" s="26">
        <f>IF($Y52="","",INDEX(입력_전공의명단!$C$2:$C$401,$Y52))</f>
        <v/>
      </c>
      <c r="U52" s="26">
        <f>IF($Y52="","",INDEX(입력_전공의명단!$B$2:$B$401,$Y52))</f>
        <v/>
      </c>
      <c r="V52" s="26">
        <f>IF($Y52="","",INDEX(입력_전공의명단!$AE$2:$AE$401,$Y52))</f>
        <v/>
      </c>
      <c r="W52" s="26">
        <f>IF($Y52="","",INDEX(입력_전공의명단!$AH$2:$AH$401,$Y52))</f>
        <v/>
      </c>
      <c r="X52" s="26">
        <f>IF($Y52="","",INDEX(입력_전공의명단!$AI$2:$AI$401,$Y52))</f>
        <v/>
      </c>
      <c r="Y52" s="29">
        <f>IFERROR(MATCH(ROW()-5,입력_전공의명단!$AN$2:$AN$401,0),"")</f>
        <v/>
      </c>
    </row>
    <row r="53">
      <c r="A53" s="26">
        <f>IF($R53="","",ROW()-5)</f>
        <v/>
      </c>
      <c r="B53" s="26">
        <f>IF($R53="","",INDEX(입력_전공의명단!$C$2:$C$401,$R53))</f>
        <v/>
      </c>
      <c r="C53" s="26">
        <f>IF($R53="","",INDEX(입력_전공의명단!$B$2:$B$401,$R53))</f>
        <v/>
      </c>
      <c r="D53" s="26">
        <f>IF($R53="","",INDEX(입력_전공의명단!$J$2:$J$401,$R53))</f>
        <v/>
      </c>
      <c r="E53" s="26">
        <f>IF($R53="","",INDEX(입력_전공의명단!$F$2:$F$401,$R53))</f>
        <v/>
      </c>
      <c r="F53" s="26">
        <f>IF($R53="","",INDEX(입력_전공의명단!$G$2:$G$401,$R53))</f>
        <v/>
      </c>
      <c r="G53" s="26">
        <f>IF($R53="","",INDEX(입력_전공의명단!$AE$2:$AE$401,$R53))</f>
        <v/>
      </c>
      <c r="H53" s="27">
        <f>IF($R53="","",IF(INDEX(입력_전공의명단!$AE$2:$AE$401,$R53)="서울병원","서울 소속","타 병원 소속("&amp;INDEX(입력_전공의명단!$AE$2:$AE$401,$R53)&amp;") → 서울 지급"))</f>
        <v/>
      </c>
      <c r="I53" s="26">
        <f>IF($R53="","",INDEX(입력_전공의명단!$N$2:$N$401,$R53))</f>
        <v/>
      </c>
      <c r="J53" s="26">
        <f>IF($R53="","",INDEX(입력_전공의명단!$P$2:$P$401,$R53))</f>
        <v/>
      </c>
      <c r="K53" s="26">
        <f>IF($R53="","",INDEX(입력_전공의명단!$Q$2:$Q$401,$R53))</f>
        <v/>
      </c>
      <c r="L53" s="28">
        <f>IF($R53="","",INDEX(입력_전공의명단!$S$2:$S$401,$R53))</f>
        <v/>
      </c>
      <c r="M53" s="28">
        <f>IF($R53="","",INDEX(입력_전공의명단!$T$2:$T$401,$R53))</f>
        <v/>
      </c>
      <c r="N53" s="26">
        <f>IF($R53="","",INDEX(입력_전공의명단!$AH$2:$AH$401,$R53))</f>
        <v/>
      </c>
      <c r="O53" s="26">
        <f>IF($R53="","",INDEX(입력_전공의명단!$AI$2:$AI$401,$R53))</f>
        <v/>
      </c>
      <c r="P53" s="27">
        <f>IF($R53="","",INDEX(입력_전공의명단!$AO$2:$AO$401,$R53))</f>
        <v/>
      </c>
      <c r="Q53" s="27">
        <f>IF($R53="","",INDEX(입력_전공의명단!$Z$2:$Z$401,$R53))</f>
        <v/>
      </c>
      <c r="R53" s="29">
        <f>IFERROR(MATCH(ROW()-5,입력_전공의명단!$AM$2:$AM$401,0),"")</f>
        <v/>
      </c>
      <c r="T53" s="26">
        <f>IF($Y53="","",INDEX(입력_전공의명단!$C$2:$C$401,$Y53))</f>
        <v/>
      </c>
      <c r="U53" s="26">
        <f>IF($Y53="","",INDEX(입력_전공의명단!$B$2:$B$401,$Y53))</f>
        <v/>
      </c>
      <c r="V53" s="26">
        <f>IF($Y53="","",INDEX(입력_전공의명단!$AE$2:$AE$401,$Y53))</f>
        <v/>
      </c>
      <c r="W53" s="26">
        <f>IF($Y53="","",INDEX(입력_전공의명단!$AH$2:$AH$401,$Y53))</f>
        <v/>
      </c>
      <c r="X53" s="26">
        <f>IF($Y53="","",INDEX(입력_전공의명단!$AI$2:$AI$401,$Y53))</f>
        <v/>
      </c>
      <c r="Y53" s="29">
        <f>IFERROR(MATCH(ROW()-5,입력_전공의명단!$AN$2:$AN$401,0),"")</f>
        <v/>
      </c>
    </row>
    <row r="54">
      <c r="A54" s="26">
        <f>IF($R54="","",ROW()-5)</f>
        <v/>
      </c>
      <c r="B54" s="26">
        <f>IF($R54="","",INDEX(입력_전공의명단!$C$2:$C$401,$R54))</f>
        <v/>
      </c>
      <c r="C54" s="26">
        <f>IF($R54="","",INDEX(입력_전공의명단!$B$2:$B$401,$R54))</f>
        <v/>
      </c>
      <c r="D54" s="26">
        <f>IF($R54="","",INDEX(입력_전공의명단!$J$2:$J$401,$R54))</f>
        <v/>
      </c>
      <c r="E54" s="26">
        <f>IF($R54="","",INDEX(입력_전공의명단!$F$2:$F$401,$R54))</f>
        <v/>
      </c>
      <c r="F54" s="26">
        <f>IF($R54="","",INDEX(입력_전공의명단!$G$2:$G$401,$R54))</f>
        <v/>
      </c>
      <c r="G54" s="26">
        <f>IF($R54="","",INDEX(입력_전공의명단!$AE$2:$AE$401,$R54))</f>
        <v/>
      </c>
      <c r="H54" s="27">
        <f>IF($R54="","",IF(INDEX(입력_전공의명단!$AE$2:$AE$401,$R54)="서울병원","서울 소속","타 병원 소속("&amp;INDEX(입력_전공의명단!$AE$2:$AE$401,$R54)&amp;") → 서울 지급"))</f>
        <v/>
      </c>
      <c r="I54" s="26">
        <f>IF($R54="","",INDEX(입력_전공의명단!$N$2:$N$401,$R54))</f>
        <v/>
      </c>
      <c r="J54" s="26">
        <f>IF($R54="","",INDEX(입력_전공의명단!$P$2:$P$401,$R54))</f>
        <v/>
      </c>
      <c r="K54" s="26">
        <f>IF($R54="","",INDEX(입력_전공의명단!$Q$2:$Q$401,$R54))</f>
        <v/>
      </c>
      <c r="L54" s="28">
        <f>IF($R54="","",INDEX(입력_전공의명단!$S$2:$S$401,$R54))</f>
        <v/>
      </c>
      <c r="M54" s="28">
        <f>IF($R54="","",INDEX(입력_전공의명단!$T$2:$T$401,$R54))</f>
        <v/>
      </c>
      <c r="N54" s="26">
        <f>IF($R54="","",INDEX(입력_전공의명단!$AH$2:$AH$401,$R54))</f>
        <v/>
      </c>
      <c r="O54" s="26">
        <f>IF($R54="","",INDEX(입력_전공의명단!$AI$2:$AI$401,$R54))</f>
        <v/>
      </c>
      <c r="P54" s="27">
        <f>IF($R54="","",INDEX(입력_전공의명단!$AO$2:$AO$401,$R54))</f>
        <v/>
      </c>
      <c r="Q54" s="27">
        <f>IF($R54="","",INDEX(입력_전공의명단!$Z$2:$Z$401,$R54))</f>
        <v/>
      </c>
      <c r="R54" s="29">
        <f>IFERROR(MATCH(ROW()-5,입력_전공의명단!$AM$2:$AM$401,0),"")</f>
        <v/>
      </c>
      <c r="T54" s="26">
        <f>IF($Y54="","",INDEX(입력_전공의명단!$C$2:$C$401,$Y54))</f>
        <v/>
      </c>
      <c r="U54" s="26">
        <f>IF($Y54="","",INDEX(입력_전공의명단!$B$2:$B$401,$Y54))</f>
        <v/>
      </c>
      <c r="V54" s="26">
        <f>IF($Y54="","",INDEX(입력_전공의명단!$AE$2:$AE$401,$Y54))</f>
        <v/>
      </c>
      <c r="W54" s="26">
        <f>IF($Y54="","",INDEX(입력_전공의명단!$AH$2:$AH$401,$Y54))</f>
        <v/>
      </c>
      <c r="X54" s="26">
        <f>IF($Y54="","",INDEX(입력_전공의명단!$AI$2:$AI$401,$Y54))</f>
        <v/>
      </c>
      <c r="Y54" s="29">
        <f>IFERROR(MATCH(ROW()-5,입력_전공의명단!$AN$2:$AN$401,0),"")</f>
        <v/>
      </c>
    </row>
    <row r="55">
      <c r="A55" s="26">
        <f>IF($R55="","",ROW()-5)</f>
        <v/>
      </c>
      <c r="B55" s="26">
        <f>IF($R55="","",INDEX(입력_전공의명단!$C$2:$C$401,$R55))</f>
        <v/>
      </c>
      <c r="C55" s="26">
        <f>IF($R55="","",INDEX(입력_전공의명단!$B$2:$B$401,$R55))</f>
        <v/>
      </c>
      <c r="D55" s="26">
        <f>IF($R55="","",INDEX(입력_전공의명단!$J$2:$J$401,$R55))</f>
        <v/>
      </c>
      <c r="E55" s="26">
        <f>IF($R55="","",INDEX(입력_전공의명단!$F$2:$F$401,$R55))</f>
        <v/>
      </c>
      <c r="F55" s="26">
        <f>IF($R55="","",INDEX(입력_전공의명단!$G$2:$G$401,$R55))</f>
        <v/>
      </c>
      <c r="G55" s="26">
        <f>IF($R55="","",INDEX(입력_전공의명단!$AE$2:$AE$401,$R55))</f>
        <v/>
      </c>
      <c r="H55" s="27">
        <f>IF($R55="","",IF(INDEX(입력_전공의명단!$AE$2:$AE$401,$R55)="서울병원","서울 소속","타 병원 소속("&amp;INDEX(입력_전공의명단!$AE$2:$AE$401,$R55)&amp;") → 서울 지급"))</f>
        <v/>
      </c>
      <c r="I55" s="26">
        <f>IF($R55="","",INDEX(입력_전공의명단!$N$2:$N$401,$R55))</f>
        <v/>
      </c>
      <c r="J55" s="26">
        <f>IF($R55="","",INDEX(입력_전공의명단!$P$2:$P$401,$R55))</f>
        <v/>
      </c>
      <c r="K55" s="26">
        <f>IF($R55="","",INDEX(입력_전공의명단!$Q$2:$Q$401,$R55))</f>
        <v/>
      </c>
      <c r="L55" s="28">
        <f>IF($R55="","",INDEX(입력_전공의명단!$S$2:$S$401,$R55))</f>
        <v/>
      </c>
      <c r="M55" s="28">
        <f>IF($R55="","",INDEX(입력_전공의명단!$T$2:$T$401,$R55))</f>
        <v/>
      </c>
      <c r="N55" s="26">
        <f>IF($R55="","",INDEX(입력_전공의명단!$AH$2:$AH$401,$R55))</f>
        <v/>
      </c>
      <c r="O55" s="26">
        <f>IF($R55="","",INDEX(입력_전공의명단!$AI$2:$AI$401,$R55))</f>
        <v/>
      </c>
      <c r="P55" s="27">
        <f>IF($R55="","",INDEX(입력_전공의명단!$AO$2:$AO$401,$R55))</f>
        <v/>
      </c>
      <c r="Q55" s="27">
        <f>IF($R55="","",INDEX(입력_전공의명단!$Z$2:$Z$401,$R55))</f>
        <v/>
      </c>
      <c r="R55" s="29">
        <f>IFERROR(MATCH(ROW()-5,입력_전공의명단!$AM$2:$AM$401,0),"")</f>
        <v/>
      </c>
      <c r="T55" s="26">
        <f>IF($Y55="","",INDEX(입력_전공의명단!$C$2:$C$401,$Y55))</f>
        <v/>
      </c>
      <c r="U55" s="26">
        <f>IF($Y55="","",INDEX(입력_전공의명단!$B$2:$B$401,$Y55))</f>
        <v/>
      </c>
      <c r="V55" s="26">
        <f>IF($Y55="","",INDEX(입력_전공의명단!$AE$2:$AE$401,$Y55))</f>
        <v/>
      </c>
      <c r="W55" s="26">
        <f>IF($Y55="","",INDEX(입력_전공의명단!$AH$2:$AH$401,$Y55))</f>
        <v/>
      </c>
      <c r="X55" s="26">
        <f>IF($Y55="","",INDEX(입력_전공의명단!$AI$2:$AI$401,$Y55))</f>
        <v/>
      </c>
      <c r="Y55" s="29">
        <f>IFERROR(MATCH(ROW()-5,입력_전공의명단!$AN$2:$AN$401,0),"")</f>
        <v/>
      </c>
    </row>
    <row r="56">
      <c r="A56" s="26">
        <f>IF($R56="","",ROW()-5)</f>
        <v/>
      </c>
      <c r="B56" s="26">
        <f>IF($R56="","",INDEX(입력_전공의명단!$C$2:$C$401,$R56))</f>
        <v/>
      </c>
      <c r="C56" s="26">
        <f>IF($R56="","",INDEX(입력_전공의명단!$B$2:$B$401,$R56))</f>
        <v/>
      </c>
      <c r="D56" s="26">
        <f>IF($R56="","",INDEX(입력_전공의명단!$J$2:$J$401,$R56))</f>
        <v/>
      </c>
      <c r="E56" s="26">
        <f>IF($R56="","",INDEX(입력_전공의명단!$F$2:$F$401,$R56))</f>
        <v/>
      </c>
      <c r="F56" s="26">
        <f>IF($R56="","",INDEX(입력_전공의명단!$G$2:$G$401,$R56))</f>
        <v/>
      </c>
      <c r="G56" s="26">
        <f>IF($R56="","",INDEX(입력_전공의명단!$AE$2:$AE$401,$R56))</f>
        <v/>
      </c>
      <c r="H56" s="27">
        <f>IF($R56="","",IF(INDEX(입력_전공의명단!$AE$2:$AE$401,$R56)="서울병원","서울 소속","타 병원 소속("&amp;INDEX(입력_전공의명단!$AE$2:$AE$401,$R56)&amp;") → 서울 지급"))</f>
        <v/>
      </c>
      <c r="I56" s="26">
        <f>IF($R56="","",INDEX(입력_전공의명단!$N$2:$N$401,$R56))</f>
        <v/>
      </c>
      <c r="J56" s="26">
        <f>IF($R56="","",INDEX(입력_전공의명단!$P$2:$P$401,$R56))</f>
        <v/>
      </c>
      <c r="K56" s="26">
        <f>IF($R56="","",INDEX(입력_전공의명단!$Q$2:$Q$401,$R56))</f>
        <v/>
      </c>
      <c r="L56" s="28">
        <f>IF($R56="","",INDEX(입력_전공의명단!$S$2:$S$401,$R56))</f>
        <v/>
      </c>
      <c r="M56" s="28">
        <f>IF($R56="","",INDEX(입력_전공의명단!$T$2:$T$401,$R56))</f>
        <v/>
      </c>
      <c r="N56" s="26">
        <f>IF($R56="","",INDEX(입력_전공의명단!$AH$2:$AH$401,$R56))</f>
        <v/>
      </c>
      <c r="O56" s="26">
        <f>IF($R56="","",INDEX(입력_전공의명단!$AI$2:$AI$401,$R56))</f>
        <v/>
      </c>
      <c r="P56" s="27">
        <f>IF($R56="","",INDEX(입력_전공의명단!$AO$2:$AO$401,$R56))</f>
        <v/>
      </c>
      <c r="Q56" s="27">
        <f>IF($R56="","",INDEX(입력_전공의명단!$Z$2:$Z$401,$R56))</f>
        <v/>
      </c>
      <c r="R56" s="29">
        <f>IFERROR(MATCH(ROW()-5,입력_전공의명단!$AM$2:$AM$401,0),"")</f>
        <v/>
      </c>
      <c r="T56" s="26">
        <f>IF($Y56="","",INDEX(입력_전공의명단!$C$2:$C$401,$Y56))</f>
        <v/>
      </c>
      <c r="U56" s="26">
        <f>IF($Y56="","",INDEX(입력_전공의명단!$B$2:$B$401,$Y56))</f>
        <v/>
      </c>
      <c r="V56" s="26">
        <f>IF($Y56="","",INDEX(입력_전공의명단!$AE$2:$AE$401,$Y56))</f>
        <v/>
      </c>
      <c r="W56" s="26">
        <f>IF($Y56="","",INDEX(입력_전공의명단!$AH$2:$AH$401,$Y56))</f>
        <v/>
      </c>
      <c r="X56" s="26">
        <f>IF($Y56="","",INDEX(입력_전공의명단!$AI$2:$AI$401,$Y56))</f>
        <v/>
      </c>
      <c r="Y56" s="29">
        <f>IFERROR(MATCH(ROW()-5,입력_전공의명단!$AN$2:$AN$401,0),"")</f>
        <v/>
      </c>
    </row>
    <row r="57">
      <c r="A57" s="26">
        <f>IF($R57="","",ROW()-5)</f>
        <v/>
      </c>
      <c r="B57" s="26">
        <f>IF($R57="","",INDEX(입력_전공의명단!$C$2:$C$401,$R57))</f>
        <v/>
      </c>
      <c r="C57" s="26">
        <f>IF($R57="","",INDEX(입력_전공의명단!$B$2:$B$401,$R57))</f>
        <v/>
      </c>
      <c r="D57" s="26">
        <f>IF($R57="","",INDEX(입력_전공의명단!$J$2:$J$401,$R57))</f>
        <v/>
      </c>
      <c r="E57" s="26">
        <f>IF($R57="","",INDEX(입력_전공의명단!$F$2:$F$401,$R57))</f>
        <v/>
      </c>
      <c r="F57" s="26">
        <f>IF($R57="","",INDEX(입력_전공의명단!$G$2:$G$401,$R57))</f>
        <v/>
      </c>
      <c r="G57" s="26">
        <f>IF($R57="","",INDEX(입력_전공의명단!$AE$2:$AE$401,$R57))</f>
        <v/>
      </c>
      <c r="H57" s="27">
        <f>IF($R57="","",IF(INDEX(입력_전공의명단!$AE$2:$AE$401,$R57)="서울병원","서울 소속","타 병원 소속("&amp;INDEX(입력_전공의명단!$AE$2:$AE$401,$R57)&amp;") → 서울 지급"))</f>
        <v/>
      </c>
      <c r="I57" s="26">
        <f>IF($R57="","",INDEX(입력_전공의명단!$N$2:$N$401,$R57))</f>
        <v/>
      </c>
      <c r="J57" s="26">
        <f>IF($R57="","",INDEX(입력_전공의명단!$P$2:$P$401,$R57))</f>
        <v/>
      </c>
      <c r="K57" s="26">
        <f>IF($R57="","",INDEX(입력_전공의명단!$Q$2:$Q$401,$R57))</f>
        <v/>
      </c>
      <c r="L57" s="28">
        <f>IF($R57="","",INDEX(입력_전공의명단!$S$2:$S$401,$R57))</f>
        <v/>
      </c>
      <c r="M57" s="28">
        <f>IF($R57="","",INDEX(입력_전공의명단!$T$2:$T$401,$R57))</f>
        <v/>
      </c>
      <c r="N57" s="26">
        <f>IF($R57="","",INDEX(입력_전공의명단!$AH$2:$AH$401,$R57))</f>
        <v/>
      </c>
      <c r="O57" s="26">
        <f>IF($R57="","",INDEX(입력_전공의명단!$AI$2:$AI$401,$R57))</f>
        <v/>
      </c>
      <c r="P57" s="27">
        <f>IF($R57="","",INDEX(입력_전공의명단!$AO$2:$AO$401,$R57))</f>
        <v/>
      </c>
      <c r="Q57" s="27">
        <f>IF($R57="","",INDEX(입력_전공의명단!$Z$2:$Z$401,$R57))</f>
        <v/>
      </c>
      <c r="R57" s="29">
        <f>IFERROR(MATCH(ROW()-5,입력_전공의명단!$AM$2:$AM$401,0),"")</f>
        <v/>
      </c>
      <c r="T57" s="26">
        <f>IF($Y57="","",INDEX(입력_전공의명단!$C$2:$C$401,$Y57))</f>
        <v/>
      </c>
      <c r="U57" s="26">
        <f>IF($Y57="","",INDEX(입력_전공의명단!$B$2:$B$401,$Y57))</f>
        <v/>
      </c>
      <c r="V57" s="26">
        <f>IF($Y57="","",INDEX(입력_전공의명단!$AE$2:$AE$401,$Y57))</f>
        <v/>
      </c>
      <c r="W57" s="26">
        <f>IF($Y57="","",INDEX(입력_전공의명단!$AH$2:$AH$401,$Y57))</f>
        <v/>
      </c>
      <c r="X57" s="26">
        <f>IF($Y57="","",INDEX(입력_전공의명단!$AI$2:$AI$401,$Y57))</f>
        <v/>
      </c>
      <c r="Y57" s="29">
        <f>IFERROR(MATCH(ROW()-5,입력_전공의명단!$AN$2:$AN$401,0),"")</f>
        <v/>
      </c>
    </row>
    <row r="58">
      <c r="A58" s="26">
        <f>IF($R58="","",ROW()-5)</f>
        <v/>
      </c>
      <c r="B58" s="26">
        <f>IF($R58="","",INDEX(입력_전공의명단!$C$2:$C$401,$R58))</f>
        <v/>
      </c>
      <c r="C58" s="26">
        <f>IF($R58="","",INDEX(입력_전공의명단!$B$2:$B$401,$R58))</f>
        <v/>
      </c>
      <c r="D58" s="26">
        <f>IF($R58="","",INDEX(입력_전공의명단!$J$2:$J$401,$R58))</f>
        <v/>
      </c>
      <c r="E58" s="26">
        <f>IF($R58="","",INDEX(입력_전공의명단!$F$2:$F$401,$R58))</f>
        <v/>
      </c>
      <c r="F58" s="26">
        <f>IF($R58="","",INDEX(입력_전공의명단!$G$2:$G$401,$R58))</f>
        <v/>
      </c>
      <c r="G58" s="26">
        <f>IF($R58="","",INDEX(입력_전공의명단!$AE$2:$AE$401,$R58))</f>
        <v/>
      </c>
      <c r="H58" s="27">
        <f>IF($R58="","",IF(INDEX(입력_전공의명단!$AE$2:$AE$401,$R58)="서울병원","서울 소속","타 병원 소속("&amp;INDEX(입력_전공의명단!$AE$2:$AE$401,$R58)&amp;") → 서울 지급"))</f>
        <v/>
      </c>
      <c r="I58" s="26">
        <f>IF($R58="","",INDEX(입력_전공의명단!$N$2:$N$401,$R58))</f>
        <v/>
      </c>
      <c r="J58" s="26">
        <f>IF($R58="","",INDEX(입력_전공의명단!$P$2:$P$401,$R58))</f>
        <v/>
      </c>
      <c r="K58" s="26">
        <f>IF($R58="","",INDEX(입력_전공의명단!$Q$2:$Q$401,$R58))</f>
        <v/>
      </c>
      <c r="L58" s="28">
        <f>IF($R58="","",INDEX(입력_전공의명단!$S$2:$S$401,$R58))</f>
        <v/>
      </c>
      <c r="M58" s="28">
        <f>IF($R58="","",INDEX(입력_전공의명단!$T$2:$T$401,$R58))</f>
        <v/>
      </c>
      <c r="N58" s="26">
        <f>IF($R58="","",INDEX(입력_전공의명단!$AH$2:$AH$401,$R58))</f>
        <v/>
      </c>
      <c r="O58" s="26">
        <f>IF($R58="","",INDEX(입력_전공의명단!$AI$2:$AI$401,$R58))</f>
        <v/>
      </c>
      <c r="P58" s="27">
        <f>IF($R58="","",INDEX(입력_전공의명단!$AO$2:$AO$401,$R58))</f>
        <v/>
      </c>
      <c r="Q58" s="27">
        <f>IF($R58="","",INDEX(입력_전공의명단!$Z$2:$Z$401,$R58))</f>
        <v/>
      </c>
      <c r="R58" s="29">
        <f>IFERROR(MATCH(ROW()-5,입력_전공의명단!$AM$2:$AM$401,0),"")</f>
        <v/>
      </c>
      <c r="T58" s="26">
        <f>IF($Y58="","",INDEX(입력_전공의명단!$C$2:$C$401,$Y58))</f>
        <v/>
      </c>
      <c r="U58" s="26">
        <f>IF($Y58="","",INDEX(입력_전공의명단!$B$2:$B$401,$Y58))</f>
        <v/>
      </c>
      <c r="V58" s="26">
        <f>IF($Y58="","",INDEX(입력_전공의명단!$AE$2:$AE$401,$Y58))</f>
        <v/>
      </c>
      <c r="W58" s="26">
        <f>IF($Y58="","",INDEX(입력_전공의명단!$AH$2:$AH$401,$Y58))</f>
        <v/>
      </c>
      <c r="X58" s="26">
        <f>IF($Y58="","",INDEX(입력_전공의명단!$AI$2:$AI$401,$Y58))</f>
        <v/>
      </c>
      <c r="Y58" s="29">
        <f>IFERROR(MATCH(ROW()-5,입력_전공의명단!$AN$2:$AN$401,0),"")</f>
        <v/>
      </c>
    </row>
    <row r="59">
      <c r="A59" s="26">
        <f>IF($R59="","",ROW()-5)</f>
        <v/>
      </c>
      <c r="B59" s="26">
        <f>IF($R59="","",INDEX(입력_전공의명단!$C$2:$C$401,$R59))</f>
        <v/>
      </c>
      <c r="C59" s="26">
        <f>IF($R59="","",INDEX(입력_전공의명단!$B$2:$B$401,$R59))</f>
        <v/>
      </c>
      <c r="D59" s="26">
        <f>IF($R59="","",INDEX(입력_전공의명단!$J$2:$J$401,$R59))</f>
        <v/>
      </c>
      <c r="E59" s="26">
        <f>IF($R59="","",INDEX(입력_전공의명단!$F$2:$F$401,$R59))</f>
        <v/>
      </c>
      <c r="F59" s="26">
        <f>IF($R59="","",INDEX(입력_전공의명단!$G$2:$G$401,$R59))</f>
        <v/>
      </c>
      <c r="G59" s="26">
        <f>IF($R59="","",INDEX(입력_전공의명단!$AE$2:$AE$401,$R59))</f>
        <v/>
      </c>
      <c r="H59" s="27">
        <f>IF($R59="","",IF(INDEX(입력_전공의명단!$AE$2:$AE$401,$R59)="서울병원","서울 소속","타 병원 소속("&amp;INDEX(입력_전공의명단!$AE$2:$AE$401,$R59)&amp;") → 서울 지급"))</f>
        <v/>
      </c>
      <c r="I59" s="26">
        <f>IF($R59="","",INDEX(입력_전공의명단!$N$2:$N$401,$R59))</f>
        <v/>
      </c>
      <c r="J59" s="26">
        <f>IF($R59="","",INDEX(입력_전공의명단!$P$2:$P$401,$R59))</f>
        <v/>
      </c>
      <c r="K59" s="26">
        <f>IF($R59="","",INDEX(입력_전공의명단!$Q$2:$Q$401,$R59))</f>
        <v/>
      </c>
      <c r="L59" s="28">
        <f>IF($R59="","",INDEX(입력_전공의명단!$S$2:$S$401,$R59))</f>
        <v/>
      </c>
      <c r="M59" s="28">
        <f>IF($R59="","",INDEX(입력_전공의명단!$T$2:$T$401,$R59))</f>
        <v/>
      </c>
      <c r="N59" s="26">
        <f>IF($R59="","",INDEX(입력_전공의명단!$AH$2:$AH$401,$R59))</f>
        <v/>
      </c>
      <c r="O59" s="26">
        <f>IF($R59="","",INDEX(입력_전공의명단!$AI$2:$AI$401,$R59))</f>
        <v/>
      </c>
      <c r="P59" s="27">
        <f>IF($R59="","",INDEX(입력_전공의명단!$AO$2:$AO$401,$R59))</f>
        <v/>
      </c>
      <c r="Q59" s="27">
        <f>IF($R59="","",INDEX(입력_전공의명단!$Z$2:$Z$401,$R59))</f>
        <v/>
      </c>
      <c r="R59" s="29">
        <f>IFERROR(MATCH(ROW()-5,입력_전공의명단!$AM$2:$AM$401,0),"")</f>
        <v/>
      </c>
      <c r="T59" s="26">
        <f>IF($Y59="","",INDEX(입력_전공의명단!$C$2:$C$401,$Y59))</f>
        <v/>
      </c>
      <c r="U59" s="26">
        <f>IF($Y59="","",INDEX(입력_전공의명단!$B$2:$B$401,$Y59))</f>
        <v/>
      </c>
      <c r="V59" s="26">
        <f>IF($Y59="","",INDEX(입력_전공의명단!$AE$2:$AE$401,$Y59))</f>
        <v/>
      </c>
      <c r="W59" s="26">
        <f>IF($Y59="","",INDEX(입력_전공의명단!$AH$2:$AH$401,$Y59))</f>
        <v/>
      </c>
      <c r="X59" s="26">
        <f>IF($Y59="","",INDEX(입력_전공의명단!$AI$2:$AI$401,$Y59))</f>
        <v/>
      </c>
      <c r="Y59" s="29">
        <f>IFERROR(MATCH(ROW()-5,입력_전공의명단!$AN$2:$AN$401,0),"")</f>
        <v/>
      </c>
    </row>
    <row r="60">
      <c r="A60" s="26">
        <f>IF($R60="","",ROW()-5)</f>
        <v/>
      </c>
      <c r="B60" s="26">
        <f>IF($R60="","",INDEX(입력_전공의명단!$C$2:$C$401,$R60))</f>
        <v/>
      </c>
      <c r="C60" s="26">
        <f>IF($R60="","",INDEX(입력_전공의명단!$B$2:$B$401,$R60))</f>
        <v/>
      </c>
      <c r="D60" s="26">
        <f>IF($R60="","",INDEX(입력_전공의명단!$J$2:$J$401,$R60))</f>
        <v/>
      </c>
      <c r="E60" s="26">
        <f>IF($R60="","",INDEX(입력_전공의명단!$F$2:$F$401,$R60))</f>
        <v/>
      </c>
      <c r="F60" s="26">
        <f>IF($R60="","",INDEX(입력_전공의명단!$G$2:$G$401,$R60))</f>
        <v/>
      </c>
      <c r="G60" s="26">
        <f>IF($R60="","",INDEX(입력_전공의명단!$AE$2:$AE$401,$R60))</f>
        <v/>
      </c>
      <c r="H60" s="27">
        <f>IF($R60="","",IF(INDEX(입력_전공의명단!$AE$2:$AE$401,$R60)="서울병원","서울 소속","타 병원 소속("&amp;INDEX(입력_전공의명단!$AE$2:$AE$401,$R60)&amp;") → 서울 지급"))</f>
        <v/>
      </c>
      <c r="I60" s="26">
        <f>IF($R60="","",INDEX(입력_전공의명단!$N$2:$N$401,$R60))</f>
        <v/>
      </c>
      <c r="J60" s="26">
        <f>IF($R60="","",INDEX(입력_전공의명단!$P$2:$P$401,$R60))</f>
        <v/>
      </c>
      <c r="K60" s="26">
        <f>IF($R60="","",INDEX(입력_전공의명단!$Q$2:$Q$401,$R60))</f>
        <v/>
      </c>
      <c r="L60" s="28">
        <f>IF($R60="","",INDEX(입력_전공의명단!$S$2:$S$401,$R60))</f>
        <v/>
      </c>
      <c r="M60" s="28">
        <f>IF($R60="","",INDEX(입력_전공의명단!$T$2:$T$401,$R60))</f>
        <v/>
      </c>
      <c r="N60" s="26">
        <f>IF($R60="","",INDEX(입력_전공의명단!$AH$2:$AH$401,$R60))</f>
        <v/>
      </c>
      <c r="O60" s="26">
        <f>IF($R60="","",INDEX(입력_전공의명단!$AI$2:$AI$401,$R60))</f>
        <v/>
      </c>
      <c r="P60" s="27">
        <f>IF($R60="","",INDEX(입력_전공의명단!$AO$2:$AO$401,$R60))</f>
        <v/>
      </c>
      <c r="Q60" s="27">
        <f>IF($R60="","",INDEX(입력_전공의명단!$Z$2:$Z$401,$R60))</f>
        <v/>
      </c>
      <c r="R60" s="29">
        <f>IFERROR(MATCH(ROW()-5,입력_전공의명단!$AM$2:$AM$401,0),"")</f>
        <v/>
      </c>
      <c r="T60" s="26">
        <f>IF($Y60="","",INDEX(입력_전공의명단!$C$2:$C$401,$Y60))</f>
        <v/>
      </c>
      <c r="U60" s="26">
        <f>IF($Y60="","",INDEX(입력_전공의명단!$B$2:$B$401,$Y60))</f>
        <v/>
      </c>
      <c r="V60" s="26">
        <f>IF($Y60="","",INDEX(입력_전공의명단!$AE$2:$AE$401,$Y60))</f>
        <v/>
      </c>
      <c r="W60" s="26">
        <f>IF($Y60="","",INDEX(입력_전공의명단!$AH$2:$AH$401,$Y60))</f>
        <v/>
      </c>
      <c r="X60" s="26">
        <f>IF($Y60="","",INDEX(입력_전공의명단!$AI$2:$AI$401,$Y60))</f>
        <v/>
      </c>
      <c r="Y60" s="29">
        <f>IFERROR(MATCH(ROW()-5,입력_전공의명단!$AN$2:$AN$401,0),"")</f>
        <v/>
      </c>
    </row>
    <row r="61">
      <c r="A61" s="26">
        <f>IF($R61="","",ROW()-5)</f>
        <v/>
      </c>
      <c r="B61" s="26">
        <f>IF($R61="","",INDEX(입력_전공의명단!$C$2:$C$401,$R61))</f>
        <v/>
      </c>
      <c r="C61" s="26">
        <f>IF($R61="","",INDEX(입력_전공의명단!$B$2:$B$401,$R61))</f>
        <v/>
      </c>
      <c r="D61" s="26">
        <f>IF($R61="","",INDEX(입력_전공의명단!$J$2:$J$401,$R61))</f>
        <v/>
      </c>
      <c r="E61" s="26">
        <f>IF($R61="","",INDEX(입력_전공의명단!$F$2:$F$401,$R61))</f>
        <v/>
      </c>
      <c r="F61" s="26">
        <f>IF($R61="","",INDEX(입력_전공의명단!$G$2:$G$401,$R61))</f>
        <v/>
      </c>
      <c r="G61" s="26">
        <f>IF($R61="","",INDEX(입력_전공의명단!$AE$2:$AE$401,$R61))</f>
        <v/>
      </c>
      <c r="H61" s="27">
        <f>IF($R61="","",IF(INDEX(입력_전공의명단!$AE$2:$AE$401,$R61)="서울병원","서울 소속","타 병원 소속("&amp;INDEX(입력_전공의명단!$AE$2:$AE$401,$R61)&amp;") → 서울 지급"))</f>
        <v/>
      </c>
      <c r="I61" s="26">
        <f>IF($R61="","",INDEX(입력_전공의명단!$N$2:$N$401,$R61))</f>
        <v/>
      </c>
      <c r="J61" s="26">
        <f>IF($R61="","",INDEX(입력_전공의명단!$P$2:$P$401,$R61))</f>
        <v/>
      </c>
      <c r="K61" s="26">
        <f>IF($R61="","",INDEX(입력_전공의명단!$Q$2:$Q$401,$R61))</f>
        <v/>
      </c>
      <c r="L61" s="28">
        <f>IF($R61="","",INDEX(입력_전공의명단!$S$2:$S$401,$R61))</f>
        <v/>
      </c>
      <c r="M61" s="28">
        <f>IF($R61="","",INDEX(입력_전공의명단!$T$2:$T$401,$R61))</f>
        <v/>
      </c>
      <c r="N61" s="26">
        <f>IF($R61="","",INDEX(입력_전공의명단!$AH$2:$AH$401,$R61))</f>
        <v/>
      </c>
      <c r="O61" s="26">
        <f>IF($R61="","",INDEX(입력_전공의명단!$AI$2:$AI$401,$R61))</f>
        <v/>
      </c>
      <c r="P61" s="27">
        <f>IF($R61="","",INDEX(입력_전공의명단!$AO$2:$AO$401,$R61))</f>
        <v/>
      </c>
      <c r="Q61" s="27">
        <f>IF($R61="","",INDEX(입력_전공의명단!$Z$2:$Z$401,$R61))</f>
        <v/>
      </c>
      <c r="R61" s="29">
        <f>IFERROR(MATCH(ROW()-5,입력_전공의명단!$AM$2:$AM$401,0),"")</f>
        <v/>
      </c>
      <c r="T61" s="26">
        <f>IF($Y61="","",INDEX(입력_전공의명단!$C$2:$C$401,$Y61))</f>
        <v/>
      </c>
      <c r="U61" s="26">
        <f>IF($Y61="","",INDEX(입력_전공의명단!$B$2:$B$401,$Y61))</f>
        <v/>
      </c>
      <c r="V61" s="26">
        <f>IF($Y61="","",INDEX(입력_전공의명단!$AE$2:$AE$401,$Y61))</f>
        <v/>
      </c>
      <c r="W61" s="26">
        <f>IF($Y61="","",INDEX(입력_전공의명단!$AH$2:$AH$401,$Y61))</f>
        <v/>
      </c>
      <c r="X61" s="26">
        <f>IF($Y61="","",INDEX(입력_전공의명단!$AI$2:$AI$401,$Y61))</f>
        <v/>
      </c>
      <c r="Y61" s="29">
        <f>IFERROR(MATCH(ROW()-5,입력_전공의명단!$AN$2:$AN$401,0),"")</f>
        <v/>
      </c>
    </row>
    <row r="62">
      <c r="A62" s="26">
        <f>IF($R62="","",ROW()-5)</f>
        <v/>
      </c>
      <c r="B62" s="26">
        <f>IF($R62="","",INDEX(입력_전공의명단!$C$2:$C$401,$R62))</f>
        <v/>
      </c>
      <c r="C62" s="26">
        <f>IF($R62="","",INDEX(입력_전공의명단!$B$2:$B$401,$R62))</f>
        <v/>
      </c>
      <c r="D62" s="26">
        <f>IF($R62="","",INDEX(입력_전공의명단!$J$2:$J$401,$R62))</f>
        <v/>
      </c>
      <c r="E62" s="26">
        <f>IF($R62="","",INDEX(입력_전공의명단!$F$2:$F$401,$R62))</f>
        <v/>
      </c>
      <c r="F62" s="26">
        <f>IF($R62="","",INDEX(입력_전공의명단!$G$2:$G$401,$R62))</f>
        <v/>
      </c>
      <c r="G62" s="26">
        <f>IF($R62="","",INDEX(입력_전공의명단!$AE$2:$AE$401,$R62))</f>
        <v/>
      </c>
      <c r="H62" s="27">
        <f>IF($R62="","",IF(INDEX(입력_전공의명단!$AE$2:$AE$401,$R62)="서울병원","서울 소속","타 병원 소속("&amp;INDEX(입력_전공의명단!$AE$2:$AE$401,$R62)&amp;") → 서울 지급"))</f>
        <v/>
      </c>
      <c r="I62" s="26">
        <f>IF($R62="","",INDEX(입력_전공의명단!$N$2:$N$401,$R62))</f>
        <v/>
      </c>
      <c r="J62" s="26">
        <f>IF($R62="","",INDEX(입력_전공의명단!$P$2:$P$401,$R62))</f>
        <v/>
      </c>
      <c r="K62" s="26">
        <f>IF($R62="","",INDEX(입력_전공의명단!$Q$2:$Q$401,$R62))</f>
        <v/>
      </c>
      <c r="L62" s="28">
        <f>IF($R62="","",INDEX(입력_전공의명단!$S$2:$S$401,$R62))</f>
        <v/>
      </c>
      <c r="M62" s="28">
        <f>IF($R62="","",INDEX(입력_전공의명단!$T$2:$T$401,$R62))</f>
        <v/>
      </c>
      <c r="N62" s="26">
        <f>IF($R62="","",INDEX(입력_전공의명단!$AH$2:$AH$401,$R62))</f>
        <v/>
      </c>
      <c r="O62" s="26">
        <f>IF($R62="","",INDEX(입력_전공의명단!$AI$2:$AI$401,$R62))</f>
        <v/>
      </c>
      <c r="P62" s="27">
        <f>IF($R62="","",INDEX(입력_전공의명단!$AO$2:$AO$401,$R62))</f>
        <v/>
      </c>
      <c r="Q62" s="27">
        <f>IF($R62="","",INDEX(입력_전공의명단!$Z$2:$Z$401,$R62))</f>
        <v/>
      </c>
      <c r="R62" s="29">
        <f>IFERROR(MATCH(ROW()-5,입력_전공의명단!$AM$2:$AM$401,0),"")</f>
        <v/>
      </c>
      <c r="T62" s="26">
        <f>IF($Y62="","",INDEX(입력_전공의명단!$C$2:$C$401,$Y62))</f>
        <v/>
      </c>
      <c r="U62" s="26">
        <f>IF($Y62="","",INDEX(입력_전공의명단!$B$2:$B$401,$Y62))</f>
        <v/>
      </c>
      <c r="V62" s="26">
        <f>IF($Y62="","",INDEX(입력_전공의명단!$AE$2:$AE$401,$Y62))</f>
        <v/>
      </c>
      <c r="W62" s="26">
        <f>IF($Y62="","",INDEX(입력_전공의명단!$AH$2:$AH$401,$Y62))</f>
        <v/>
      </c>
      <c r="X62" s="26">
        <f>IF($Y62="","",INDEX(입력_전공의명단!$AI$2:$AI$401,$Y62))</f>
        <v/>
      </c>
      <c r="Y62" s="29">
        <f>IFERROR(MATCH(ROW()-5,입력_전공의명단!$AN$2:$AN$401,0),"")</f>
        <v/>
      </c>
    </row>
    <row r="63">
      <c r="A63" s="26">
        <f>IF($R63="","",ROW()-5)</f>
        <v/>
      </c>
      <c r="B63" s="26">
        <f>IF($R63="","",INDEX(입력_전공의명단!$C$2:$C$401,$R63))</f>
        <v/>
      </c>
      <c r="C63" s="26">
        <f>IF($R63="","",INDEX(입력_전공의명단!$B$2:$B$401,$R63))</f>
        <v/>
      </c>
      <c r="D63" s="26">
        <f>IF($R63="","",INDEX(입력_전공의명단!$J$2:$J$401,$R63))</f>
        <v/>
      </c>
      <c r="E63" s="26">
        <f>IF($R63="","",INDEX(입력_전공의명단!$F$2:$F$401,$R63))</f>
        <v/>
      </c>
      <c r="F63" s="26">
        <f>IF($R63="","",INDEX(입력_전공의명단!$G$2:$G$401,$R63))</f>
        <v/>
      </c>
      <c r="G63" s="26">
        <f>IF($R63="","",INDEX(입력_전공의명단!$AE$2:$AE$401,$R63))</f>
        <v/>
      </c>
      <c r="H63" s="27">
        <f>IF($R63="","",IF(INDEX(입력_전공의명단!$AE$2:$AE$401,$R63)="서울병원","서울 소속","타 병원 소속("&amp;INDEX(입력_전공의명단!$AE$2:$AE$401,$R63)&amp;") → 서울 지급"))</f>
        <v/>
      </c>
      <c r="I63" s="26">
        <f>IF($R63="","",INDEX(입력_전공의명단!$N$2:$N$401,$R63))</f>
        <v/>
      </c>
      <c r="J63" s="26">
        <f>IF($R63="","",INDEX(입력_전공의명단!$P$2:$P$401,$R63))</f>
        <v/>
      </c>
      <c r="K63" s="26">
        <f>IF($R63="","",INDEX(입력_전공의명단!$Q$2:$Q$401,$R63))</f>
        <v/>
      </c>
      <c r="L63" s="28">
        <f>IF($R63="","",INDEX(입력_전공의명단!$S$2:$S$401,$R63))</f>
        <v/>
      </c>
      <c r="M63" s="28">
        <f>IF($R63="","",INDEX(입력_전공의명단!$T$2:$T$401,$R63))</f>
        <v/>
      </c>
      <c r="N63" s="26">
        <f>IF($R63="","",INDEX(입력_전공의명단!$AH$2:$AH$401,$R63))</f>
        <v/>
      </c>
      <c r="O63" s="26">
        <f>IF($R63="","",INDEX(입력_전공의명단!$AI$2:$AI$401,$R63))</f>
        <v/>
      </c>
      <c r="P63" s="27">
        <f>IF($R63="","",INDEX(입력_전공의명단!$AO$2:$AO$401,$R63))</f>
        <v/>
      </c>
      <c r="Q63" s="27">
        <f>IF($R63="","",INDEX(입력_전공의명단!$Z$2:$Z$401,$R63))</f>
        <v/>
      </c>
      <c r="R63" s="29">
        <f>IFERROR(MATCH(ROW()-5,입력_전공의명단!$AM$2:$AM$401,0),"")</f>
        <v/>
      </c>
      <c r="T63" s="26">
        <f>IF($Y63="","",INDEX(입력_전공의명단!$C$2:$C$401,$Y63))</f>
        <v/>
      </c>
      <c r="U63" s="26">
        <f>IF($Y63="","",INDEX(입력_전공의명단!$B$2:$B$401,$Y63))</f>
        <v/>
      </c>
      <c r="V63" s="26">
        <f>IF($Y63="","",INDEX(입력_전공의명단!$AE$2:$AE$401,$Y63))</f>
        <v/>
      </c>
      <c r="W63" s="26">
        <f>IF($Y63="","",INDEX(입력_전공의명단!$AH$2:$AH$401,$Y63))</f>
        <v/>
      </c>
      <c r="X63" s="26">
        <f>IF($Y63="","",INDEX(입력_전공의명단!$AI$2:$AI$401,$Y63))</f>
        <v/>
      </c>
      <c r="Y63" s="29">
        <f>IFERROR(MATCH(ROW()-5,입력_전공의명단!$AN$2:$AN$401,0),"")</f>
        <v/>
      </c>
    </row>
    <row r="64">
      <c r="A64" s="26">
        <f>IF($R64="","",ROW()-5)</f>
        <v/>
      </c>
      <c r="B64" s="26">
        <f>IF($R64="","",INDEX(입력_전공의명단!$C$2:$C$401,$R64))</f>
        <v/>
      </c>
      <c r="C64" s="26">
        <f>IF($R64="","",INDEX(입력_전공의명단!$B$2:$B$401,$R64))</f>
        <v/>
      </c>
      <c r="D64" s="26">
        <f>IF($R64="","",INDEX(입력_전공의명단!$J$2:$J$401,$R64))</f>
        <v/>
      </c>
      <c r="E64" s="26">
        <f>IF($R64="","",INDEX(입력_전공의명단!$F$2:$F$401,$R64))</f>
        <v/>
      </c>
      <c r="F64" s="26">
        <f>IF($R64="","",INDEX(입력_전공의명단!$G$2:$G$401,$R64))</f>
        <v/>
      </c>
      <c r="G64" s="26">
        <f>IF($R64="","",INDEX(입력_전공의명단!$AE$2:$AE$401,$R64))</f>
        <v/>
      </c>
      <c r="H64" s="27">
        <f>IF($R64="","",IF(INDEX(입력_전공의명단!$AE$2:$AE$401,$R64)="서울병원","서울 소속","타 병원 소속("&amp;INDEX(입력_전공의명단!$AE$2:$AE$401,$R64)&amp;") → 서울 지급"))</f>
        <v/>
      </c>
      <c r="I64" s="26">
        <f>IF($R64="","",INDEX(입력_전공의명단!$N$2:$N$401,$R64))</f>
        <v/>
      </c>
      <c r="J64" s="26">
        <f>IF($R64="","",INDEX(입력_전공의명단!$P$2:$P$401,$R64))</f>
        <v/>
      </c>
      <c r="K64" s="26">
        <f>IF($R64="","",INDEX(입력_전공의명단!$Q$2:$Q$401,$R64))</f>
        <v/>
      </c>
      <c r="L64" s="28">
        <f>IF($R64="","",INDEX(입력_전공의명단!$S$2:$S$401,$R64))</f>
        <v/>
      </c>
      <c r="M64" s="28">
        <f>IF($R64="","",INDEX(입력_전공의명단!$T$2:$T$401,$R64))</f>
        <v/>
      </c>
      <c r="N64" s="26">
        <f>IF($R64="","",INDEX(입력_전공의명단!$AH$2:$AH$401,$R64))</f>
        <v/>
      </c>
      <c r="O64" s="26">
        <f>IF($R64="","",INDEX(입력_전공의명단!$AI$2:$AI$401,$R64))</f>
        <v/>
      </c>
      <c r="P64" s="27">
        <f>IF($R64="","",INDEX(입력_전공의명단!$AO$2:$AO$401,$R64))</f>
        <v/>
      </c>
      <c r="Q64" s="27">
        <f>IF($R64="","",INDEX(입력_전공의명단!$Z$2:$Z$401,$R64))</f>
        <v/>
      </c>
      <c r="R64" s="29">
        <f>IFERROR(MATCH(ROW()-5,입력_전공의명단!$AM$2:$AM$401,0),"")</f>
        <v/>
      </c>
      <c r="T64" s="26">
        <f>IF($Y64="","",INDEX(입력_전공의명단!$C$2:$C$401,$Y64))</f>
        <v/>
      </c>
      <c r="U64" s="26">
        <f>IF($Y64="","",INDEX(입력_전공의명단!$B$2:$B$401,$Y64))</f>
        <v/>
      </c>
      <c r="V64" s="26">
        <f>IF($Y64="","",INDEX(입력_전공의명단!$AE$2:$AE$401,$Y64))</f>
        <v/>
      </c>
      <c r="W64" s="26">
        <f>IF($Y64="","",INDEX(입력_전공의명단!$AH$2:$AH$401,$Y64))</f>
        <v/>
      </c>
      <c r="X64" s="26">
        <f>IF($Y64="","",INDEX(입력_전공의명단!$AI$2:$AI$401,$Y64))</f>
        <v/>
      </c>
      <c r="Y64" s="29">
        <f>IFERROR(MATCH(ROW()-5,입력_전공의명단!$AN$2:$AN$401,0),"")</f>
        <v/>
      </c>
    </row>
    <row r="65">
      <c r="A65" s="26">
        <f>IF($R65="","",ROW()-5)</f>
        <v/>
      </c>
      <c r="B65" s="26">
        <f>IF($R65="","",INDEX(입력_전공의명단!$C$2:$C$401,$R65))</f>
        <v/>
      </c>
      <c r="C65" s="26">
        <f>IF($R65="","",INDEX(입력_전공의명단!$B$2:$B$401,$R65))</f>
        <v/>
      </c>
      <c r="D65" s="26">
        <f>IF($R65="","",INDEX(입력_전공의명단!$J$2:$J$401,$R65))</f>
        <v/>
      </c>
      <c r="E65" s="26">
        <f>IF($R65="","",INDEX(입력_전공의명단!$F$2:$F$401,$R65))</f>
        <v/>
      </c>
      <c r="F65" s="26">
        <f>IF($R65="","",INDEX(입력_전공의명단!$G$2:$G$401,$R65))</f>
        <v/>
      </c>
      <c r="G65" s="26">
        <f>IF($R65="","",INDEX(입력_전공의명단!$AE$2:$AE$401,$R65))</f>
        <v/>
      </c>
      <c r="H65" s="27">
        <f>IF($R65="","",IF(INDEX(입력_전공의명단!$AE$2:$AE$401,$R65)="서울병원","서울 소속","타 병원 소속("&amp;INDEX(입력_전공의명단!$AE$2:$AE$401,$R65)&amp;") → 서울 지급"))</f>
        <v/>
      </c>
      <c r="I65" s="26">
        <f>IF($R65="","",INDEX(입력_전공의명단!$N$2:$N$401,$R65))</f>
        <v/>
      </c>
      <c r="J65" s="26">
        <f>IF($R65="","",INDEX(입력_전공의명단!$P$2:$P$401,$R65))</f>
        <v/>
      </c>
      <c r="K65" s="26">
        <f>IF($R65="","",INDEX(입력_전공의명단!$Q$2:$Q$401,$R65))</f>
        <v/>
      </c>
      <c r="L65" s="28">
        <f>IF($R65="","",INDEX(입력_전공의명단!$S$2:$S$401,$R65))</f>
        <v/>
      </c>
      <c r="M65" s="28">
        <f>IF($R65="","",INDEX(입력_전공의명단!$T$2:$T$401,$R65))</f>
        <v/>
      </c>
      <c r="N65" s="26">
        <f>IF($R65="","",INDEX(입력_전공의명단!$AH$2:$AH$401,$R65))</f>
        <v/>
      </c>
      <c r="O65" s="26">
        <f>IF($R65="","",INDEX(입력_전공의명단!$AI$2:$AI$401,$R65))</f>
        <v/>
      </c>
      <c r="P65" s="27">
        <f>IF($R65="","",INDEX(입력_전공의명단!$AO$2:$AO$401,$R65))</f>
        <v/>
      </c>
      <c r="Q65" s="27">
        <f>IF($R65="","",INDEX(입력_전공의명단!$Z$2:$Z$401,$R65))</f>
        <v/>
      </c>
      <c r="R65" s="29">
        <f>IFERROR(MATCH(ROW()-5,입력_전공의명단!$AM$2:$AM$401,0),"")</f>
        <v/>
      </c>
      <c r="T65" s="26">
        <f>IF($Y65="","",INDEX(입력_전공의명단!$C$2:$C$401,$Y65))</f>
        <v/>
      </c>
      <c r="U65" s="26">
        <f>IF($Y65="","",INDEX(입력_전공의명단!$B$2:$B$401,$Y65))</f>
        <v/>
      </c>
      <c r="V65" s="26">
        <f>IF($Y65="","",INDEX(입력_전공의명단!$AE$2:$AE$401,$Y65))</f>
        <v/>
      </c>
      <c r="W65" s="26">
        <f>IF($Y65="","",INDEX(입력_전공의명단!$AH$2:$AH$401,$Y65))</f>
        <v/>
      </c>
      <c r="X65" s="26">
        <f>IF($Y65="","",INDEX(입력_전공의명단!$AI$2:$AI$401,$Y65))</f>
        <v/>
      </c>
      <c r="Y65" s="29">
        <f>IFERROR(MATCH(ROW()-5,입력_전공의명단!$AN$2:$AN$401,0),"")</f>
        <v/>
      </c>
    </row>
    <row r="66">
      <c r="A66" s="26">
        <f>IF($R66="","",ROW()-5)</f>
        <v/>
      </c>
      <c r="B66" s="26">
        <f>IF($R66="","",INDEX(입력_전공의명단!$C$2:$C$401,$R66))</f>
        <v/>
      </c>
      <c r="C66" s="26">
        <f>IF($R66="","",INDEX(입력_전공의명단!$B$2:$B$401,$R66))</f>
        <v/>
      </c>
      <c r="D66" s="26">
        <f>IF($R66="","",INDEX(입력_전공의명단!$J$2:$J$401,$R66))</f>
        <v/>
      </c>
      <c r="E66" s="26">
        <f>IF($R66="","",INDEX(입력_전공의명단!$F$2:$F$401,$R66))</f>
        <v/>
      </c>
      <c r="F66" s="26">
        <f>IF($R66="","",INDEX(입력_전공의명단!$G$2:$G$401,$R66))</f>
        <v/>
      </c>
      <c r="G66" s="26">
        <f>IF($R66="","",INDEX(입력_전공의명단!$AE$2:$AE$401,$R66))</f>
        <v/>
      </c>
      <c r="H66" s="27">
        <f>IF($R66="","",IF(INDEX(입력_전공의명단!$AE$2:$AE$401,$R66)="서울병원","서울 소속","타 병원 소속("&amp;INDEX(입력_전공의명단!$AE$2:$AE$401,$R66)&amp;") → 서울 지급"))</f>
        <v/>
      </c>
      <c r="I66" s="26">
        <f>IF($R66="","",INDEX(입력_전공의명단!$N$2:$N$401,$R66))</f>
        <v/>
      </c>
      <c r="J66" s="26">
        <f>IF($R66="","",INDEX(입력_전공의명단!$P$2:$P$401,$R66))</f>
        <v/>
      </c>
      <c r="K66" s="26">
        <f>IF($R66="","",INDEX(입력_전공의명단!$Q$2:$Q$401,$R66))</f>
        <v/>
      </c>
      <c r="L66" s="28">
        <f>IF($R66="","",INDEX(입력_전공의명단!$S$2:$S$401,$R66))</f>
        <v/>
      </c>
      <c r="M66" s="28">
        <f>IF($R66="","",INDEX(입력_전공의명단!$T$2:$T$401,$R66))</f>
        <v/>
      </c>
      <c r="N66" s="26">
        <f>IF($R66="","",INDEX(입력_전공의명단!$AH$2:$AH$401,$R66))</f>
        <v/>
      </c>
      <c r="O66" s="26">
        <f>IF($R66="","",INDEX(입력_전공의명단!$AI$2:$AI$401,$R66))</f>
        <v/>
      </c>
      <c r="P66" s="27">
        <f>IF($R66="","",INDEX(입력_전공의명단!$AO$2:$AO$401,$R66))</f>
        <v/>
      </c>
      <c r="Q66" s="27">
        <f>IF($R66="","",INDEX(입력_전공의명단!$Z$2:$Z$401,$R66))</f>
        <v/>
      </c>
      <c r="R66" s="29">
        <f>IFERROR(MATCH(ROW()-5,입력_전공의명단!$AM$2:$AM$401,0),"")</f>
        <v/>
      </c>
      <c r="T66" s="26">
        <f>IF($Y66="","",INDEX(입력_전공의명단!$C$2:$C$401,$Y66))</f>
        <v/>
      </c>
      <c r="U66" s="26">
        <f>IF($Y66="","",INDEX(입력_전공의명단!$B$2:$B$401,$Y66))</f>
        <v/>
      </c>
      <c r="V66" s="26">
        <f>IF($Y66="","",INDEX(입력_전공의명단!$AE$2:$AE$401,$Y66))</f>
        <v/>
      </c>
      <c r="W66" s="26">
        <f>IF($Y66="","",INDEX(입력_전공의명단!$AH$2:$AH$401,$Y66))</f>
        <v/>
      </c>
      <c r="X66" s="26">
        <f>IF($Y66="","",INDEX(입력_전공의명단!$AI$2:$AI$401,$Y66))</f>
        <v/>
      </c>
      <c r="Y66" s="29">
        <f>IFERROR(MATCH(ROW()-5,입력_전공의명단!$AN$2:$AN$401,0),"")</f>
        <v/>
      </c>
    </row>
    <row r="67">
      <c r="A67" s="26">
        <f>IF($R67="","",ROW()-5)</f>
        <v/>
      </c>
      <c r="B67" s="26">
        <f>IF($R67="","",INDEX(입력_전공의명단!$C$2:$C$401,$R67))</f>
        <v/>
      </c>
      <c r="C67" s="26">
        <f>IF($R67="","",INDEX(입력_전공의명단!$B$2:$B$401,$R67))</f>
        <v/>
      </c>
      <c r="D67" s="26">
        <f>IF($R67="","",INDEX(입력_전공의명단!$J$2:$J$401,$R67))</f>
        <v/>
      </c>
      <c r="E67" s="26">
        <f>IF($R67="","",INDEX(입력_전공의명단!$F$2:$F$401,$R67))</f>
        <v/>
      </c>
      <c r="F67" s="26">
        <f>IF($R67="","",INDEX(입력_전공의명단!$G$2:$G$401,$R67))</f>
        <v/>
      </c>
      <c r="G67" s="26">
        <f>IF($R67="","",INDEX(입력_전공의명단!$AE$2:$AE$401,$R67))</f>
        <v/>
      </c>
      <c r="H67" s="27">
        <f>IF($R67="","",IF(INDEX(입력_전공의명단!$AE$2:$AE$401,$R67)="서울병원","서울 소속","타 병원 소속("&amp;INDEX(입력_전공의명단!$AE$2:$AE$401,$R67)&amp;") → 서울 지급"))</f>
        <v/>
      </c>
      <c r="I67" s="26">
        <f>IF($R67="","",INDEX(입력_전공의명단!$N$2:$N$401,$R67))</f>
        <v/>
      </c>
      <c r="J67" s="26">
        <f>IF($R67="","",INDEX(입력_전공의명단!$P$2:$P$401,$R67))</f>
        <v/>
      </c>
      <c r="K67" s="26">
        <f>IF($R67="","",INDEX(입력_전공의명단!$Q$2:$Q$401,$R67))</f>
        <v/>
      </c>
      <c r="L67" s="28">
        <f>IF($R67="","",INDEX(입력_전공의명단!$S$2:$S$401,$R67))</f>
        <v/>
      </c>
      <c r="M67" s="28">
        <f>IF($R67="","",INDEX(입력_전공의명단!$T$2:$T$401,$R67))</f>
        <v/>
      </c>
      <c r="N67" s="26">
        <f>IF($R67="","",INDEX(입력_전공의명단!$AH$2:$AH$401,$R67))</f>
        <v/>
      </c>
      <c r="O67" s="26">
        <f>IF($R67="","",INDEX(입력_전공의명단!$AI$2:$AI$401,$R67))</f>
        <v/>
      </c>
      <c r="P67" s="27">
        <f>IF($R67="","",INDEX(입력_전공의명단!$AO$2:$AO$401,$R67))</f>
        <v/>
      </c>
      <c r="Q67" s="27">
        <f>IF($R67="","",INDEX(입력_전공의명단!$Z$2:$Z$401,$R67))</f>
        <v/>
      </c>
      <c r="R67" s="29">
        <f>IFERROR(MATCH(ROW()-5,입력_전공의명단!$AM$2:$AM$401,0),"")</f>
        <v/>
      </c>
      <c r="T67" s="26">
        <f>IF($Y67="","",INDEX(입력_전공의명단!$C$2:$C$401,$Y67))</f>
        <v/>
      </c>
      <c r="U67" s="26">
        <f>IF($Y67="","",INDEX(입력_전공의명단!$B$2:$B$401,$Y67))</f>
        <v/>
      </c>
      <c r="V67" s="26">
        <f>IF($Y67="","",INDEX(입력_전공의명단!$AE$2:$AE$401,$Y67))</f>
        <v/>
      </c>
      <c r="W67" s="26">
        <f>IF($Y67="","",INDEX(입력_전공의명단!$AH$2:$AH$401,$Y67))</f>
        <v/>
      </c>
      <c r="X67" s="26">
        <f>IF($Y67="","",INDEX(입력_전공의명단!$AI$2:$AI$401,$Y67))</f>
        <v/>
      </c>
      <c r="Y67" s="29">
        <f>IFERROR(MATCH(ROW()-5,입력_전공의명단!$AN$2:$AN$401,0),"")</f>
        <v/>
      </c>
    </row>
    <row r="68">
      <c r="A68" s="26">
        <f>IF($R68="","",ROW()-5)</f>
        <v/>
      </c>
      <c r="B68" s="26">
        <f>IF($R68="","",INDEX(입력_전공의명단!$C$2:$C$401,$R68))</f>
        <v/>
      </c>
      <c r="C68" s="26">
        <f>IF($R68="","",INDEX(입력_전공의명단!$B$2:$B$401,$R68))</f>
        <v/>
      </c>
      <c r="D68" s="26">
        <f>IF($R68="","",INDEX(입력_전공의명단!$J$2:$J$401,$R68))</f>
        <v/>
      </c>
      <c r="E68" s="26">
        <f>IF($R68="","",INDEX(입력_전공의명단!$F$2:$F$401,$R68))</f>
        <v/>
      </c>
      <c r="F68" s="26">
        <f>IF($R68="","",INDEX(입력_전공의명단!$G$2:$G$401,$R68))</f>
        <v/>
      </c>
      <c r="G68" s="26">
        <f>IF($R68="","",INDEX(입력_전공의명단!$AE$2:$AE$401,$R68))</f>
        <v/>
      </c>
      <c r="H68" s="27">
        <f>IF($R68="","",IF(INDEX(입력_전공의명단!$AE$2:$AE$401,$R68)="서울병원","서울 소속","타 병원 소속("&amp;INDEX(입력_전공의명단!$AE$2:$AE$401,$R68)&amp;") → 서울 지급"))</f>
        <v/>
      </c>
      <c r="I68" s="26">
        <f>IF($R68="","",INDEX(입력_전공의명단!$N$2:$N$401,$R68))</f>
        <v/>
      </c>
      <c r="J68" s="26">
        <f>IF($R68="","",INDEX(입력_전공의명단!$P$2:$P$401,$R68))</f>
        <v/>
      </c>
      <c r="K68" s="26">
        <f>IF($R68="","",INDEX(입력_전공의명단!$Q$2:$Q$401,$R68))</f>
        <v/>
      </c>
      <c r="L68" s="28">
        <f>IF($R68="","",INDEX(입력_전공의명단!$S$2:$S$401,$R68))</f>
        <v/>
      </c>
      <c r="M68" s="28">
        <f>IF($R68="","",INDEX(입력_전공의명단!$T$2:$T$401,$R68))</f>
        <v/>
      </c>
      <c r="N68" s="26">
        <f>IF($R68="","",INDEX(입력_전공의명단!$AH$2:$AH$401,$R68))</f>
        <v/>
      </c>
      <c r="O68" s="26">
        <f>IF($R68="","",INDEX(입력_전공의명단!$AI$2:$AI$401,$R68))</f>
        <v/>
      </c>
      <c r="P68" s="27">
        <f>IF($R68="","",INDEX(입력_전공의명단!$AO$2:$AO$401,$R68))</f>
        <v/>
      </c>
      <c r="Q68" s="27">
        <f>IF($R68="","",INDEX(입력_전공의명단!$Z$2:$Z$401,$R68))</f>
        <v/>
      </c>
      <c r="R68" s="29">
        <f>IFERROR(MATCH(ROW()-5,입력_전공의명단!$AM$2:$AM$401,0),"")</f>
        <v/>
      </c>
      <c r="T68" s="26">
        <f>IF($Y68="","",INDEX(입력_전공의명단!$C$2:$C$401,$Y68))</f>
        <v/>
      </c>
      <c r="U68" s="26">
        <f>IF($Y68="","",INDEX(입력_전공의명단!$B$2:$B$401,$Y68))</f>
        <v/>
      </c>
      <c r="V68" s="26">
        <f>IF($Y68="","",INDEX(입력_전공의명단!$AE$2:$AE$401,$Y68))</f>
        <v/>
      </c>
      <c r="W68" s="26">
        <f>IF($Y68="","",INDEX(입력_전공의명단!$AH$2:$AH$401,$Y68))</f>
        <v/>
      </c>
      <c r="X68" s="26">
        <f>IF($Y68="","",INDEX(입력_전공의명단!$AI$2:$AI$401,$Y68))</f>
        <v/>
      </c>
      <c r="Y68" s="29">
        <f>IFERROR(MATCH(ROW()-5,입력_전공의명단!$AN$2:$AN$401,0),"")</f>
        <v/>
      </c>
    </row>
    <row r="69">
      <c r="A69" s="26">
        <f>IF($R69="","",ROW()-5)</f>
        <v/>
      </c>
      <c r="B69" s="26">
        <f>IF($R69="","",INDEX(입력_전공의명단!$C$2:$C$401,$R69))</f>
        <v/>
      </c>
      <c r="C69" s="26">
        <f>IF($R69="","",INDEX(입력_전공의명단!$B$2:$B$401,$R69))</f>
        <v/>
      </c>
      <c r="D69" s="26">
        <f>IF($R69="","",INDEX(입력_전공의명단!$J$2:$J$401,$R69))</f>
        <v/>
      </c>
      <c r="E69" s="26">
        <f>IF($R69="","",INDEX(입력_전공의명단!$F$2:$F$401,$R69))</f>
        <v/>
      </c>
      <c r="F69" s="26">
        <f>IF($R69="","",INDEX(입력_전공의명단!$G$2:$G$401,$R69))</f>
        <v/>
      </c>
      <c r="G69" s="26">
        <f>IF($R69="","",INDEX(입력_전공의명단!$AE$2:$AE$401,$R69))</f>
        <v/>
      </c>
      <c r="H69" s="27">
        <f>IF($R69="","",IF(INDEX(입력_전공의명단!$AE$2:$AE$401,$R69)="서울병원","서울 소속","타 병원 소속("&amp;INDEX(입력_전공의명단!$AE$2:$AE$401,$R69)&amp;") → 서울 지급"))</f>
        <v/>
      </c>
      <c r="I69" s="26">
        <f>IF($R69="","",INDEX(입력_전공의명단!$N$2:$N$401,$R69))</f>
        <v/>
      </c>
      <c r="J69" s="26">
        <f>IF($R69="","",INDEX(입력_전공의명단!$P$2:$P$401,$R69))</f>
        <v/>
      </c>
      <c r="K69" s="26">
        <f>IF($R69="","",INDEX(입력_전공의명단!$Q$2:$Q$401,$R69))</f>
        <v/>
      </c>
      <c r="L69" s="28">
        <f>IF($R69="","",INDEX(입력_전공의명단!$S$2:$S$401,$R69))</f>
        <v/>
      </c>
      <c r="M69" s="28">
        <f>IF($R69="","",INDEX(입력_전공의명단!$T$2:$T$401,$R69))</f>
        <v/>
      </c>
      <c r="N69" s="26">
        <f>IF($R69="","",INDEX(입력_전공의명단!$AH$2:$AH$401,$R69))</f>
        <v/>
      </c>
      <c r="O69" s="26">
        <f>IF($R69="","",INDEX(입력_전공의명단!$AI$2:$AI$401,$R69))</f>
        <v/>
      </c>
      <c r="P69" s="27">
        <f>IF($R69="","",INDEX(입력_전공의명단!$AO$2:$AO$401,$R69))</f>
        <v/>
      </c>
      <c r="Q69" s="27">
        <f>IF($R69="","",INDEX(입력_전공의명단!$Z$2:$Z$401,$R69))</f>
        <v/>
      </c>
      <c r="R69" s="29">
        <f>IFERROR(MATCH(ROW()-5,입력_전공의명단!$AM$2:$AM$401,0),"")</f>
        <v/>
      </c>
      <c r="T69" s="26">
        <f>IF($Y69="","",INDEX(입력_전공의명단!$C$2:$C$401,$Y69))</f>
        <v/>
      </c>
      <c r="U69" s="26">
        <f>IF($Y69="","",INDEX(입력_전공의명단!$B$2:$B$401,$Y69))</f>
        <v/>
      </c>
      <c r="V69" s="26">
        <f>IF($Y69="","",INDEX(입력_전공의명단!$AE$2:$AE$401,$Y69))</f>
        <v/>
      </c>
      <c r="W69" s="26">
        <f>IF($Y69="","",INDEX(입력_전공의명단!$AH$2:$AH$401,$Y69))</f>
        <v/>
      </c>
      <c r="X69" s="26">
        <f>IF($Y69="","",INDEX(입력_전공의명단!$AI$2:$AI$401,$Y69))</f>
        <v/>
      </c>
      <c r="Y69" s="29">
        <f>IFERROR(MATCH(ROW()-5,입력_전공의명단!$AN$2:$AN$401,0),"")</f>
        <v/>
      </c>
    </row>
    <row r="70">
      <c r="A70" s="26">
        <f>IF($R70="","",ROW()-5)</f>
        <v/>
      </c>
      <c r="B70" s="26">
        <f>IF($R70="","",INDEX(입력_전공의명단!$C$2:$C$401,$R70))</f>
        <v/>
      </c>
      <c r="C70" s="26">
        <f>IF($R70="","",INDEX(입력_전공의명단!$B$2:$B$401,$R70))</f>
        <v/>
      </c>
      <c r="D70" s="26">
        <f>IF($R70="","",INDEX(입력_전공의명단!$J$2:$J$401,$R70))</f>
        <v/>
      </c>
      <c r="E70" s="26">
        <f>IF($R70="","",INDEX(입력_전공의명단!$F$2:$F$401,$R70))</f>
        <v/>
      </c>
      <c r="F70" s="26">
        <f>IF($R70="","",INDEX(입력_전공의명단!$G$2:$G$401,$R70))</f>
        <v/>
      </c>
      <c r="G70" s="26">
        <f>IF($R70="","",INDEX(입력_전공의명단!$AE$2:$AE$401,$R70))</f>
        <v/>
      </c>
      <c r="H70" s="27">
        <f>IF($R70="","",IF(INDEX(입력_전공의명단!$AE$2:$AE$401,$R70)="서울병원","서울 소속","타 병원 소속("&amp;INDEX(입력_전공의명단!$AE$2:$AE$401,$R70)&amp;") → 서울 지급"))</f>
        <v/>
      </c>
      <c r="I70" s="26">
        <f>IF($R70="","",INDEX(입력_전공의명단!$N$2:$N$401,$R70))</f>
        <v/>
      </c>
      <c r="J70" s="26">
        <f>IF($R70="","",INDEX(입력_전공의명단!$P$2:$P$401,$R70))</f>
        <v/>
      </c>
      <c r="K70" s="26">
        <f>IF($R70="","",INDEX(입력_전공의명단!$Q$2:$Q$401,$R70))</f>
        <v/>
      </c>
      <c r="L70" s="28">
        <f>IF($R70="","",INDEX(입력_전공의명단!$S$2:$S$401,$R70))</f>
        <v/>
      </c>
      <c r="M70" s="28">
        <f>IF($R70="","",INDEX(입력_전공의명단!$T$2:$T$401,$R70))</f>
        <v/>
      </c>
      <c r="N70" s="26">
        <f>IF($R70="","",INDEX(입력_전공의명단!$AH$2:$AH$401,$R70))</f>
        <v/>
      </c>
      <c r="O70" s="26">
        <f>IF($R70="","",INDEX(입력_전공의명단!$AI$2:$AI$401,$R70))</f>
        <v/>
      </c>
      <c r="P70" s="27">
        <f>IF($R70="","",INDEX(입력_전공의명단!$AO$2:$AO$401,$R70))</f>
        <v/>
      </c>
      <c r="Q70" s="27">
        <f>IF($R70="","",INDEX(입력_전공의명단!$Z$2:$Z$401,$R70))</f>
        <v/>
      </c>
      <c r="R70" s="29">
        <f>IFERROR(MATCH(ROW()-5,입력_전공의명단!$AM$2:$AM$401,0),"")</f>
        <v/>
      </c>
      <c r="T70" s="26">
        <f>IF($Y70="","",INDEX(입력_전공의명단!$C$2:$C$401,$Y70))</f>
        <v/>
      </c>
      <c r="U70" s="26">
        <f>IF($Y70="","",INDEX(입력_전공의명단!$B$2:$B$401,$Y70))</f>
        <v/>
      </c>
      <c r="V70" s="26">
        <f>IF($Y70="","",INDEX(입력_전공의명단!$AE$2:$AE$401,$Y70))</f>
        <v/>
      </c>
      <c r="W70" s="26">
        <f>IF($Y70="","",INDEX(입력_전공의명단!$AH$2:$AH$401,$Y70))</f>
        <v/>
      </c>
      <c r="X70" s="26">
        <f>IF($Y70="","",INDEX(입력_전공의명단!$AI$2:$AI$401,$Y70))</f>
        <v/>
      </c>
      <c r="Y70" s="29">
        <f>IFERROR(MATCH(ROW()-5,입력_전공의명단!$AN$2:$AN$401,0),"")</f>
        <v/>
      </c>
    </row>
    <row r="71">
      <c r="A71" s="26">
        <f>IF($R71="","",ROW()-5)</f>
        <v/>
      </c>
      <c r="B71" s="26">
        <f>IF($R71="","",INDEX(입력_전공의명단!$C$2:$C$401,$R71))</f>
        <v/>
      </c>
      <c r="C71" s="26">
        <f>IF($R71="","",INDEX(입력_전공의명단!$B$2:$B$401,$R71))</f>
        <v/>
      </c>
      <c r="D71" s="26">
        <f>IF($R71="","",INDEX(입력_전공의명단!$J$2:$J$401,$R71))</f>
        <v/>
      </c>
      <c r="E71" s="26">
        <f>IF($R71="","",INDEX(입력_전공의명단!$F$2:$F$401,$R71))</f>
        <v/>
      </c>
      <c r="F71" s="26">
        <f>IF($R71="","",INDEX(입력_전공의명단!$G$2:$G$401,$R71))</f>
        <v/>
      </c>
      <c r="G71" s="26">
        <f>IF($R71="","",INDEX(입력_전공의명단!$AE$2:$AE$401,$R71))</f>
        <v/>
      </c>
      <c r="H71" s="27">
        <f>IF($R71="","",IF(INDEX(입력_전공의명단!$AE$2:$AE$401,$R71)="서울병원","서울 소속","타 병원 소속("&amp;INDEX(입력_전공의명단!$AE$2:$AE$401,$R71)&amp;") → 서울 지급"))</f>
        <v/>
      </c>
      <c r="I71" s="26">
        <f>IF($R71="","",INDEX(입력_전공의명단!$N$2:$N$401,$R71))</f>
        <v/>
      </c>
      <c r="J71" s="26">
        <f>IF($R71="","",INDEX(입력_전공의명단!$P$2:$P$401,$R71))</f>
        <v/>
      </c>
      <c r="K71" s="26">
        <f>IF($R71="","",INDEX(입력_전공의명단!$Q$2:$Q$401,$R71))</f>
        <v/>
      </c>
      <c r="L71" s="28">
        <f>IF($R71="","",INDEX(입력_전공의명단!$S$2:$S$401,$R71))</f>
        <v/>
      </c>
      <c r="M71" s="28">
        <f>IF($R71="","",INDEX(입력_전공의명단!$T$2:$T$401,$R71))</f>
        <v/>
      </c>
      <c r="N71" s="26">
        <f>IF($R71="","",INDEX(입력_전공의명단!$AH$2:$AH$401,$R71))</f>
        <v/>
      </c>
      <c r="O71" s="26">
        <f>IF($R71="","",INDEX(입력_전공의명단!$AI$2:$AI$401,$R71))</f>
        <v/>
      </c>
      <c r="P71" s="27">
        <f>IF($R71="","",INDEX(입력_전공의명단!$AO$2:$AO$401,$R71))</f>
        <v/>
      </c>
      <c r="Q71" s="27">
        <f>IF($R71="","",INDEX(입력_전공의명단!$Z$2:$Z$401,$R71))</f>
        <v/>
      </c>
      <c r="R71" s="29">
        <f>IFERROR(MATCH(ROW()-5,입력_전공의명단!$AM$2:$AM$401,0),"")</f>
        <v/>
      </c>
      <c r="T71" s="26">
        <f>IF($Y71="","",INDEX(입력_전공의명단!$C$2:$C$401,$Y71))</f>
        <v/>
      </c>
      <c r="U71" s="26">
        <f>IF($Y71="","",INDEX(입력_전공의명단!$B$2:$B$401,$Y71))</f>
        <v/>
      </c>
      <c r="V71" s="26">
        <f>IF($Y71="","",INDEX(입력_전공의명단!$AE$2:$AE$401,$Y71))</f>
        <v/>
      </c>
      <c r="W71" s="26">
        <f>IF($Y71="","",INDEX(입력_전공의명단!$AH$2:$AH$401,$Y71))</f>
        <v/>
      </c>
      <c r="X71" s="26">
        <f>IF($Y71="","",INDEX(입력_전공의명단!$AI$2:$AI$401,$Y71))</f>
        <v/>
      </c>
      <c r="Y71" s="29">
        <f>IFERROR(MATCH(ROW()-5,입력_전공의명단!$AN$2:$AN$401,0),"")</f>
        <v/>
      </c>
    </row>
    <row r="72">
      <c r="A72" s="26">
        <f>IF($R72="","",ROW()-5)</f>
        <v/>
      </c>
      <c r="B72" s="26">
        <f>IF($R72="","",INDEX(입력_전공의명단!$C$2:$C$401,$R72))</f>
        <v/>
      </c>
      <c r="C72" s="26">
        <f>IF($R72="","",INDEX(입력_전공의명단!$B$2:$B$401,$R72))</f>
        <v/>
      </c>
      <c r="D72" s="26">
        <f>IF($R72="","",INDEX(입력_전공의명단!$J$2:$J$401,$R72))</f>
        <v/>
      </c>
      <c r="E72" s="26">
        <f>IF($R72="","",INDEX(입력_전공의명단!$F$2:$F$401,$R72))</f>
        <v/>
      </c>
      <c r="F72" s="26">
        <f>IF($R72="","",INDEX(입력_전공의명단!$G$2:$G$401,$R72))</f>
        <v/>
      </c>
      <c r="G72" s="26">
        <f>IF($R72="","",INDEX(입력_전공의명단!$AE$2:$AE$401,$R72))</f>
        <v/>
      </c>
      <c r="H72" s="27">
        <f>IF($R72="","",IF(INDEX(입력_전공의명단!$AE$2:$AE$401,$R72)="서울병원","서울 소속","타 병원 소속("&amp;INDEX(입력_전공의명단!$AE$2:$AE$401,$R72)&amp;") → 서울 지급"))</f>
        <v/>
      </c>
      <c r="I72" s="26">
        <f>IF($R72="","",INDEX(입력_전공의명단!$N$2:$N$401,$R72))</f>
        <v/>
      </c>
      <c r="J72" s="26">
        <f>IF($R72="","",INDEX(입력_전공의명단!$P$2:$P$401,$R72))</f>
        <v/>
      </c>
      <c r="K72" s="26">
        <f>IF($R72="","",INDEX(입력_전공의명단!$Q$2:$Q$401,$R72))</f>
        <v/>
      </c>
      <c r="L72" s="28">
        <f>IF($R72="","",INDEX(입력_전공의명단!$S$2:$S$401,$R72))</f>
        <v/>
      </c>
      <c r="M72" s="28">
        <f>IF($R72="","",INDEX(입력_전공의명단!$T$2:$T$401,$R72))</f>
        <v/>
      </c>
      <c r="N72" s="26">
        <f>IF($R72="","",INDEX(입력_전공의명단!$AH$2:$AH$401,$R72))</f>
        <v/>
      </c>
      <c r="O72" s="26">
        <f>IF($R72="","",INDEX(입력_전공의명단!$AI$2:$AI$401,$R72))</f>
        <v/>
      </c>
      <c r="P72" s="27">
        <f>IF($R72="","",INDEX(입력_전공의명단!$AO$2:$AO$401,$R72))</f>
        <v/>
      </c>
      <c r="Q72" s="27">
        <f>IF($R72="","",INDEX(입력_전공의명단!$Z$2:$Z$401,$R72))</f>
        <v/>
      </c>
      <c r="R72" s="29">
        <f>IFERROR(MATCH(ROW()-5,입력_전공의명단!$AM$2:$AM$401,0),"")</f>
        <v/>
      </c>
      <c r="T72" s="26">
        <f>IF($Y72="","",INDEX(입력_전공의명단!$C$2:$C$401,$Y72))</f>
        <v/>
      </c>
      <c r="U72" s="26">
        <f>IF($Y72="","",INDEX(입력_전공의명단!$B$2:$B$401,$Y72))</f>
        <v/>
      </c>
      <c r="V72" s="26">
        <f>IF($Y72="","",INDEX(입력_전공의명단!$AE$2:$AE$401,$Y72))</f>
        <v/>
      </c>
      <c r="W72" s="26">
        <f>IF($Y72="","",INDEX(입력_전공의명단!$AH$2:$AH$401,$Y72))</f>
        <v/>
      </c>
      <c r="X72" s="26">
        <f>IF($Y72="","",INDEX(입력_전공의명단!$AI$2:$AI$401,$Y72))</f>
        <v/>
      </c>
      <c r="Y72" s="29">
        <f>IFERROR(MATCH(ROW()-5,입력_전공의명단!$AN$2:$AN$401,0),"")</f>
        <v/>
      </c>
    </row>
    <row r="73">
      <c r="A73" s="26">
        <f>IF($R73="","",ROW()-5)</f>
        <v/>
      </c>
      <c r="B73" s="26">
        <f>IF($R73="","",INDEX(입력_전공의명단!$C$2:$C$401,$R73))</f>
        <v/>
      </c>
      <c r="C73" s="26">
        <f>IF($R73="","",INDEX(입력_전공의명단!$B$2:$B$401,$R73))</f>
        <v/>
      </c>
      <c r="D73" s="26">
        <f>IF($R73="","",INDEX(입력_전공의명단!$J$2:$J$401,$R73))</f>
        <v/>
      </c>
      <c r="E73" s="26">
        <f>IF($R73="","",INDEX(입력_전공의명단!$F$2:$F$401,$R73))</f>
        <v/>
      </c>
      <c r="F73" s="26">
        <f>IF($R73="","",INDEX(입력_전공의명단!$G$2:$G$401,$R73))</f>
        <v/>
      </c>
      <c r="G73" s="26">
        <f>IF($R73="","",INDEX(입력_전공의명단!$AE$2:$AE$401,$R73))</f>
        <v/>
      </c>
      <c r="H73" s="27">
        <f>IF($R73="","",IF(INDEX(입력_전공의명단!$AE$2:$AE$401,$R73)="서울병원","서울 소속","타 병원 소속("&amp;INDEX(입력_전공의명단!$AE$2:$AE$401,$R73)&amp;") → 서울 지급"))</f>
        <v/>
      </c>
      <c r="I73" s="26">
        <f>IF($R73="","",INDEX(입력_전공의명단!$N$2:$N$401,$R73))</f>
        <v/>
      </c>
      <c r="J73" s="26">
        <f>IF($R73="","",INDEX(입력_전공의명단!$P$2:$P$401,$R73))</f>
        <v/>
      </c>
      <c r="K73" s="26">
        <f>IF($R73="","",INDEX(입력_전공의명단!$Q$2:$Q$401,$R73))</f>
        <v/>
      </c>
      <c r="L73" s="28">
        <f>IF($R73="","",INDEX(입력_전공의명단!$S$2:$S$401,$R73))</f>
        <v/>
      </c>
      <c r="M73" s="28">
        <f>IF($R73="","",INDEX(입력_전공의명단!$T$2:$T$401,$R73))</f>
        <v/>
      </c>
      <c r="N73" s="26">
        <f>IF($R73="","",INDEX(입력_전공의명단!$AH$2:$AH$401,$R73))</f>
        <v/>
      </c>
      <c r="O73" s="26">
        <f>IF($R73="","",INDEX(입력_전공의명단!$AI$2:$AI$401,$R73))</f>
        <v/>
      </c>
      <c r="P73" s="27">
        <f>IF($R73="","",INDEX(입력_전공의명단!$AO$2:$AO$401,$R73))</f>
        <v/>
      </c>
      <c r="Q73" s="27">
        <f>IF($R73="","",INDEX(입력_전공의명단!$Z$2:$Z$401,$R73))</f>
        <v/>
      </c>
      <c r="R73" s="29">
        <f>IFERROR(MATCH(ROW()-5,입력_전공의명단!$AM$2:$AM$401,0),"")</f>
        <v/>
      </c>
      <c r="T73" s="26">
        <f>IF($Y73="","",INDEX(입력_전공의명단!$C$2:$C$401,$Y73))</f>
        <v/>
      </c>
      <c r="U73" s="26">
        <f>IF($Y73="","",INDEX(입력_전공의명단!$B$2:$B$401,$Y73))</f>
        <v/>
      </c>
      <c r="V73" s="26">
        <f>IF($Y73="","",INDEX(입력_전공의명단!$AE$2:$AE$401,$Y73))</f>
        <v/>
      </c>
      <c r="W73" s="26">
        <f>IF($Y73="","",INDEX(입력_전공의명단!$AH$2:$AH$401,$Y73))</f>
        <v/>
      </c>
      <c r="X73" s="26">
        <f>IF($Y73="","",INDEX(입력_전공의명단!$AI$2:$AI$401,$Y73))</f>
        <v/>
      </c>
      <c r="Y73" s="29">
        <f>IFERROR(MATCH(ROW()-5,입력_전공의명단!$AN$2:$AN$401,0),"")</f>
        <v/>
      </c>
    </row>
    <row r="74">
      <c r="A74" s="26">
        <f>IF($R74="","",ROW()-5)</f>
        <v/>
      </c>
      <c r="B74" s="26">
        <f>IF($R74="","",INDEX(입력_전공의명단!$C$2:$C$401,$R74))</f>
        <v/>
      </c>
      <c r="C74" s="26">
        <f>IF($R74="","",INDEX(입력_전공의명단!$B$2:$B$401,$R74))</f>
        <v/>
      </c>
      <c r="D74" s="26">
        <f>IF($R74="","",INDEX(입력_전공의명단!$J$2:$J$401,$R74))</f>
        <v/>
      </c>
      <c r="E74" s="26">
        <f>IF($R74="","",INDEX(입력_전공의명단!$F$2:$F$401,$R74))</f>
        <v/>
      </c>
      <c r="F74" s="26">
        <f>IF($R74="","",INDEX(입력_전공의명단!$G$2:$G$401,$R74))</f>
        <v/>
      </c>
      <c r="G74" s="26">
        <f>IF($R74="","",INDEX(입력_전공의명단!$AE$2:$AE$401,$R74))</f>
        <v/>
      </c>
      <c r="H74" s="27">
        <f>IF($R74="","",IF(INDEX(입력_전공의명단!$AE$2:$AE$401,$R74)="서울병원","서울 소속","타 병원 소속("&amp;INDEX(입력_전공의명단!$AE$2:$AE$401,$R74)&amp;") → 서울 지급"))</f>
        <v/>
      </c>
      <c r="I74" s="26">
        <f>IF($R74="","",INDEX(입력_전공의명단!$N$2:$N$401,$R74))</f>
        <v/>
      </c>
      <c r="J74" s="26">
        <f>IF($R74="","",INDEX(입력_전공의명단!$P$2:$P$401,$R74))</f>
        <v/>
      </c>
      <c r="K74" s="26">
        <f>IF($R74="","",INDEX(입력_전공의명단!$Q$2:$Q$401,$R74))</f>
        <v/>
      </c>
      <c r="L74" s="28">
        <f>IF($R74="","",INDEX(입력_전공의명단!$S$2:$S$401,$R74))</f>
        <v/>
      </c>
      <c r="M74" s="28">
        <f>IF($R74="","",INDEX(입력_전공의명단!$T$2:$T$401,$R74))</f>
        <v/>
      </c>
      <c r="N74" s="26">
        <f>IF($R74="","",INDEX(입력_전공의명단!$AH$2:$AH$401,$R74))</f>
        <v/>
      </c>
      <c r="O74" s="26">
        <f>IF($R74="","",INDEX(입력_전공의명단!$AI$2:$AI$401,$R74))</f>
        <v/>
      </c>
      <c r="P74" s="27">
        <f>IF($R74="","",INDEX(입력_전공의명단!$AO$2:$AO$401,$R74))</f>
        <v/>
      </c>
      <c r="Q74" s="27">
        <f>IF($R74="","",INDEX(입력_전공의명단!$Z$2:$Z$401,$R74))</f>
        <v/>
      </c>
      <c r="R74" s="29">
        <f>IFERROR(MATCH(ROW()-5,입력_전공의명단!$AM$2:$AM$401,0),"")</f>
        <v/>
      </c>
      <c r="T74" s="26">
        <f>IF($Y74="","",INDEX(입력_전공의명단!$C$2:$C$401,$Y74))</f>
        <v/>
      </c>
      <c r="U74" s="26">
        <f>IF($Y74="","",INDEX(입력_전공의명단!$B$2:$B$401,$Y74))</f>
        <v/>
      </c>
      <c r="V74" s="26">
        <f>IF($Y74="","",INDEX(입력_전공의명단!$AE$2:$AE$401,$Y74))</f>
        <v/>
      </c>
      <c r="W74" s="26">
        <f>IF($Y74="","",INDEX(입력_전공의명단!$AH$2:$AH$401,$Y74))</f>
        <v/>
      </c>
      <c r="X74" s="26">
        <f>IF($Y74="","",INDEX(입력_전공의명단!$AI$2:$AI$401,$Y74))</f>
        <v/>
      </c>
      <c r="Y74" s="29">
        <f>IFERROR(MATCH(ROW()-5,입력_전공의명단!$AN$2:$AN$401,0),"")</f>
        <v/>
      </c>
    </row>
    <row r="75">
      <c r="A75" s="26">
        <f>IF($R75="","",ROW()-5)</f>
        <v/>
      </c>
      <c r="B75" s="26">
        <f>IF($R75="","",INDEX(입력_전공의명단!$C$2:$C$401,$R75))</f>
        <v/>
      </c>
      <c r="C75" s="26">
        <f>IF($R75="","",INDEX(입력_전공의명단!$B$2:$B$401,$R75))</f>
        <v/>
      </c>
      <c r="D75" s="26">
        <f>IF($R75="","",INDEX(입력_전공의명단!$J$2:$J$401,$R75))</f>
        <v/>
      </c>
      <c r="E75" s="26">
        <f>IF($R75="","",INDEX(입력_전공의명단!$F$2:$F$401,$R75))</f>
        <v/>
      </c>
      <c r="F75" s="26">
        <f>IF($R75="","",INDEX(입력_전공의명단!$G$2:$G$401,$R75))</f>
        <v/>
      </c>
      <c r="G75" s="26">
        <f>IF($R75="","",INDEX(입력_전공의명단!$AE$2:$AE$401,$R75))</f>
        <v/>
      </c>
      <c r="H75" s="27">
        <f>IF($R75="","",IF(INDEX(입력_전공의명단!$AE$2:$AE$401,$R75)="서울병원","서울 소속","타 병원 소속("&amp;INDEX(입력_전공의명단!$AE$2:$AE$401,$R75)&amp;") → 서울 지급"))</f>
        <v/>
      </c>
      <c r="I75" s="26">
        <f>IF($R75="","",INDEX(입력_전공의명단!$N$2:$N$401,$R75))</f>
        <v/>
      </c>
      <c r="J75" s="26">
        <f>IF($R75="","",INDEX(입력_전공의명단!$P$2:$P$401,$R75))</f>
        <v/>
      </c>
      <c r="K75" s="26">
        <f>IF($R75="","",INDEX(입력_전공의명단!$Q$2:$Q$401,$R75))</f>
        <v/>
      </c>
      <c r="L75" s="28">
        <f>IF($R75="","",INDEX(입력_전공의명단!$S$2:$S$401,$R75))</f>
        <v/>
      </c>
      <c r="M75" s="28">
        <f>IF($R75="","",INDEX(입력_전공의명단!$T$2:$T$401,$R75))</f>
        <v/>
      </c>
      <c r="N75" s="26">
        <f>IF($R75="","",INDEX(입력_전공의명단!$AH$2:$AH$401,$R75))</f>
        <v/>
      </c>
      <c r="O75" s="26">
        <f>IF($R75="","",INDEX(입력_전공의명단!$AI$2:$AI$401,$R75))</f>
        <v/>
      </c>
      <c r="P75" s="27">
        <f>IF($R75="","",INDEX(입력_전공의명단!$AO$2:$AO$401,$R75))</f>
        <v/>
      </c>
      <c r="Q75" s="27">
        <f>IF($R75="","",INDEX(입력_전공의명단!$Z$2:$Z$401,$R75))</f>
        <v/>
      </c>
      <c r="R75" s="29">
        <f>IFERROR(MATCH(ROW()-5,입력_전공의명단!$AM$2:$AM$401,0),"")</f>
        <v/>
      </c>
      <c r="T75" s="26">
        <f>IF($Y75="","",INDEX(입력_전공의명단!$C$2:$C$401,$Y75))</f>
        <v/>
      </c>
      <c r="U75" s="26">
        <f>IF($Y75="","",INDEX(입력_전공의명단!$B$2:$B$401,$Y75))</f>
        <v/>
      </c>
      <c r="V75" s="26">
        <f>IF($Y75="","",INDEX(입력_전공의명단!$AE$2:$AE$401,$Y75))</f>
        <v/>
      </c>
      <c r="W75" s="26">
        <f>IF($Y75="","",INDEX(입력_전공의명단!$AH$2:$AH$401,$Y75))</f>
        <v/>
      </c>
      <c r="X75" s="26">
        <f>IF($Y75="","",INDEX(입력_전공의명단!$AI$2:$AI$401,$Y75))</f>
        <v/>
      </c>
      <c r="Y75" s="29">
        <f>IFERROR(MATCH(ROW()-5,입력_전공의명단!$AN$2:$AN$401,0),"")</f>
        <v/>
      </c>
    </row>
    <row r="76">
      <c r="A76" s="26">
        <f>IF($R76="","",ROW()-5)</f>
        <v/>
      </c>
      <c r="B76" s="26">
        <f>IF($R76="","",INDEX(입력_전공의명단!$C$2:$C$401,$R76))</f>
        <v/>
      </c>
      <c r="C76" s="26">
        <f>IF($R76="","",INDEX(입력_전공의명단!$B$2:$B$401,$R76))</f>
        <v/>
      </c>
      <c r="D76" s="26">
        <f>IF($R76="","",INDEX(입력_전공의명단!$J$2:$J$401,$R76))</f>
        <v/>
      </c>
      <c r="E76" s="26">
        <f>IF($R76="","",INDEX(입력_전공의명단!$F$2:$F$401,$R76))</f>
        <v/>
      </c>
      <c r="F76" s="26">
        <f>IF($R76="","",INDEX(입력_전공의명단!$G$2:$G$401,$R76))</f>
        <v/>
      </c>
      <c r="G76" s="26">
        <f>IF($R76="","",INDEX(입력_전공의명단!$AE$2:$AE$401,$R76))</f>
        <v/>
      </c>
      <c r="H76" s="27">
        <f>IF($R76="","",IF(INDEX(입력_전공의명단!$AE$2:$AE$401,$R76)="서울병원","서울 소속","타 병원 소속("&amp;INDEX(입력_전공의명단!$AE$2:$AE$401,$R76)&amp;") → 서울 지급"))</f>
        <v/>
      </c>
      <c r="I76" s="26">
        <f>IF($R76="","",INDEX(입력_전공의명단!$N$2:$N$401,$R76))</f>
        <v/>
      </c>
      <c r="J76" s="26">
        <f>IF($R76="","",INDEX(입력_전공의명단!$P$2:$P$401,$R76))</f>
        <v/>
      </c>
      <c r="K76" s="26">
        <f>IF($R76="","",INDEX(입력_전공의명단!$Q$2:$Q$401,$R76))</f>
        <v/>
      </c>
      <c r="L76" s="28">
        <f>IF($R76="","",INDEX(입력_전공의명단!$S$2:$S$401,$R76))</f>
        <v/>
      </c>
      <c r="M76" s="28">
        <f>IF($R76="","",INDEX(입력_전공의명단!$T$2:$T$401,$R76))</f>
        <v/>
      </c>
      <c r="N76" s="26">
        <f>IF($R76="","",INDEX(입력_전공의명단!$AH$2:$AH$401,$R76))</f>
        <v/>
      </c>
      <c r="O76" s="26">
        <f>IF($R76="","",INDEX(입력_전공의명단!$AI$2:$AI$401,$R76))</f>
        <v/>
      </c>
      <c r="P76" s="27">
        <f>IF($R76="","",INDEX(입력_전공의명단!$AO$2:$AO$401,$R76))</f>
        <v/>
      </c>
      <c r="Q76" s="27">
        <f>IF($R76="","",INDEX(입력_전공의명단!$Z$2:$Z$401,$R76))</f>
        <v/>
      </c>
      <c r="R76" s="29">
        <f>IFERROR(MATCH(ROW()-5,입력_전공의명단!$AM$2:$AM$401,0),"")</f>
        <v/>
      </c>
      <c r="T76" s="26">
        <f>IF($Y76="","",INDEX(입력_전공의명단!$C$2:$C$401,$Y76))</f>
        <v/>
      </c>
      <c r="U76" s="26">
        <f>IF($Y76="","",INDEX(입력_전공의명단!$B$2:$B$401,$Y76))</f>
        <v/>
      </c>
      <c r="V76" s="26">
        <f>IF($Y76="","",INDEX(입력_전공의명단!$AE$2:$AE$401,$Y76))</f>
        <v/>
      </c>
      <c r="W76" s="26">
        <f>IF($Y76="","",INDEX(입력_전공의명단!$AH$2:$AH$401,$Y76))</f>
        <v/>
      </c>
      <c r="X76" s="26">
        <f>IF($Y76="","",INDEX(입력_전공의명단!$AI$2:$AI$401,$Y76))</f>
        <v/>
      </c>
      <c r="Y76" s="29">
        <f>IFERROR(MATCH(ROW()-5,입력_전공의명단!$AN$2:$AN$401,0),"")</f>
        <v/>
      </c>
    </row>
    <row r="77">
      <c r="A77" s="26">
        <f>IF($R77="","",ROW()-5)</f>
        <v/>
      </c>
      <c r="B77" s="26">
        <f>IF($R77="","",INDEX(입력_전공의명단!$C$2:$C$401,$R77))</f>
        <v/>
      </c>
      <c r="C77" s="26">
        <f>IF($R77="","",INDEX(입력_전공의명단!$B$2:$B$401,$R77))</f>
        <v/>
      </c>
      <c r="D77" s="26">
        <f>IF($R77="","",INDEX(입력_전공의명단!$J$2:$J$401,$R77))</f>
        <v/>
      </c>
      <c r="E77" s="26">
        <f>IF($R77="","",INDEX(입력_전공의명단!$F$2:$F$401,$R77))</f>
        <v/>
      </c>
      <c r="F77" s="26">
        <f>IF($R77="","",INDEX(입력_전공의명단!$G$2:$G$401,$R77))</f>
        <v/>
      </c>
      <c r="G77" s="26">
        <f>IF($R77="","",INDEX(입력_전공의명단!$AE$2:$AE$401,$R77))</f>
        <v/>
      </c>
      <c r="H77" s="27">
        <f>IF($R77="","",IF(INDEX(입력_전공의명단!$AE$2:$AE$401,$R77)="서울병원","서울 소속","타 병원 소속("&amp;INDEX(입력_전공의명단!$AE$2:$AE$401,$R77)&amp;") → 서울 지급"))</f>
        <v/>
      </c>
      <c r="I77" s="26">
        <f>IF($R77="","",INDEX(입력_전공의명단!$N$2:$N$401,$R77))</f>
        <v/>
      </c>
      <c r="J77" s="26">
        <f>IF($R77="","",INDEX(입력_전공의명단!$P$2:$P$401,$R77))</f>
        <v/>
      </c>
      <c r="K77" s="26">
        <f>IF($R77="","",INDEX(입력_전공의명단!$Q$2:$Q$401,$R77))</f>
        <v/>
      </c>
      <c r="L77" s="28">
        <f>IF($R77="","",INDEX(입력_전공의명단!$S$2:$S$401,$R77))</f>
        <v/>
      </c>
      <c r="M77" s="28">
        <f>IF($R77="","",INDEX(입력_전공의명단!$T$2:$T$401,$R77))</f>
        <v/>
      </c>
      <c r="N77" s="26">
        <f>IF($R77="","",INDEX(입력_전공의명단!$AH$2:$AH$401,$R77))</f>
        <v/>
      </c>
      <c r="O77" s="26">
        <f>IF($R77="","",INDEX(입력_전공의명단!$AI$2:$AI$401,$R77))</f>
        <v/>
      </c>
      <c r="P77" s="27">
        <f>IF($R77="","",INDEX(입력_전공의명단!$AO$2:$AO$401,$R77))</f>
        <v/>
      </c>
      <c r="Q77" s="27">
        <f>IF($R77="","",INDEX(입력_전공의명단!$Z$2:$Z$401,$R77))</f>
        <v/>
      </c>
      <c r="R77" s="29">
        <f>IFERROR(MATCH(ROW()-5,입력_전공의명단!$AM$2:$AM$401,0),"")</f>
        <v/>
      </c>
      <c r="T77" s="26">
        <f>IF($Y77="","",INDEX(입력_전공의명단!$C$2:$C$401,$Y77))</f>
        <v/>
      </c>
      <c r="U77" s="26">
        <f>IF($Y77="","",INDEX(입력_전공의명단!$B$2:$B$401,$Y77))</f>
        <v/>
      </c>
      <c r="V77" s="26">
        <f>IF($Y77="","",INDEX(입력_전공의명단!$AE$2:$AE$401,$Y77))</f>
        <v/>
      </c>
      <c r="W77" s="26">
        <f>IF($Y77="","",INDEX(입력_전공의명단!$AH$2:$AH$401,$Y77))</f>
        <v/>
      </c>
      <c r="X77" s="26">
        <f>IF($Y77="","",INDEX(입력_전공의명단!$AI$2:$AI$401,$Y77))</f>
        <v/>
      </c>
      <c r="Y77" s="29">
        <f>IFERROR(MATCH(ROW()-5,입력_전공의명단!$AN$2:$AN$401,0),"")</f>
        <v/>
      </c>
    </row>
    <row r="78">
      <c r="A78" s="26">
        <f>IF($R78="","",ROW()-5)</f>
        <v/>
      </c>
      <c r="B78" s="26">
        <f>IF($R78="","",INDEX(입력_전공의명단!$C$2:$C$401,$R78))</f>
        <v/>
      </c>
      <c r="C78" s="26">
        <f>IF($R78="","",INDEX(입력_전공의명단!$B$2:$B$401,$R78))</f>
        <v/>
      </c>
      <c r="D78" s="26">
        <f>IF($R78="","",INDEX(입력_전공의명단!$J$2:$J$401,$R78))</f>
        <v/>
      </c>
      <c r="E78" s="26">
        <f>IF($R78="","",INDEX(입력_전공의명단!$F$2:$F$401,$R78))</f>
        <v/>
      </c>
      <c r="F78" s="26">
        <f>IF($R78="","",INDEX(입력_전공의명단!$G$2:$G$401,$R78))</f>
        <v/>
      </c>
      <c r="G78" s="26">
        <f>IF($R78="","",INDEX(입력_전공의명단!$AE$2:$AE$401,$R78))</f>
        <v/>
      </c>
      <c r="H78" s="27">
        <f>IF($R78="","",IF(INDEX(입력_전공의명단!$AE$2:$AE$401,$R78)="서울병원","서울 소속","타 병원 소속("&amp;INDEX(입력_전공의명단!$AE$2:$AE$401,$R78)&amp;") → 서울 지급"))</f>
        <v/>
      </c>
      <c r="I78" s="26">
        <f>IF($R78="","",INDEX(입력_전공의명단!$N$2:$N$401,$R78))</f>
        <v/>
      </c>
      <c r="J78" s="26">
        <f>IF($R78="","",INDEX(입력_전공의명단!$P$2:$P$401,$R78))</f>
        <v/>
      </c>
      <c r="K78" s="26">
        <f>IF($R78="","",INDEX(입력_전공의명단!$Q$2:$Q$401,$R78))</f>
        <v/>
      </c>
      <c r="L78" s="28">
        <f>IF($R78="","",INDEX(입력_전공의명단!$S$2:$S$401,$R78))</f>
        <v/>
      </c>
      <c r="M78" s="28">
        <f>IF($R78="","",INDEX(입력_전공의명단!$T$2:$T$401,$R78))</f>
        <v/>
      </c>
      <c r="N78" s="26">
        <f>IF($R78="","",INDEX(입력_전공의명단!$AH$2:$AH$401,$R78))</f>
        <v/>
      </c>
      <c r="O78" s="26">
        <f>IF($R78="","",INDEX(입력_전공의명단!$AI$2:$AI$401,$R78))</f>
        <v/>
      </c>
      <c r="P78" s="27">
        <f>IF($R78="","",INDEX(입력_전공의명단!$AO$2:$AO$401,$R78))</f>
        <v/>
      </c>
      <c r="Q78" s="27">
        <f>IF($R78="","",INDEX(입력_전공의명단!$Z$2:$Z$401,$R78))</f>
        <v/>
      </c>
      <c r="R78" s="29">
        <f>IFERROR(MATCH(ROW()-5,입력_전공의명단!$AM$2:$AM$401,0),"")</f>
        <v/>
      </c>
      <c r="T78" s="26">
        <f>IF($Y78="","",INDEX(입력_전공의명단!$C$2:$C$401,$Y78))</f>
        <v/>
      </c>
      <c r="U78" s="26">
        <f>IF($Y78="","",INDEX(입력_전공의명단!$B$2:$B$401,$Y78))</f>
        <v/>
      </c>
      <c r="V78" s="26">
        <f>IF($Y78="","",INDEX(입력_전공의명단!$AE$2:$AE$401,$Y78))</f>
        <v/>
      </c>
      <c r="W78" s="26">
        <f>IF($Y78="","",INDEX(입력_전공의명단!$AH$2:$AH$401,$Y78))</f>
        <v/>
      </c>
      <c r="X78" s="26">
        <f>IF($Y78="","",INDEX(입력_전공의명단!$AI$2:$AI$401,$Y78))</f>
        <v/>
      </c>
      <c r="Y78" s="29">
        <f>IFERROR(MATCH(ROW()-5,입력_전공의명단!$AN$2:$AN$401,0),"")</f>
        <v/>
      </c>
    </row>
    <row r="79">
      <c r="A79" s="26">
        <f>IF($R79="","",ROW()-5)</f>
        <v/>
      </c>
      <c r="B79" s="26">
        <f>IF($R79="","",INDEX(입력_전공의명단!$C$2:$C$401,$R79))</f>
        <v/>
      </c>
      <c r="C79" s="26">
        <f>IF($R79="","",INDEX(입력_전공의명단!$B$2:$B$401,$R79))</f>
        <v/>
      </c>
      <c r="D79" s="26">
        <f>IF($R79="","",INDEX(입력_전공의명단!$J$2:$J$401,$R79))</f>
        <v/>
      </c>
      <c r="E79" s="26">
        <f>IF($R79="","",INDEX(입력_전공의명단!$F$2:$F$401,$R79))</f>
        <v/>
      </c>
      <c r="F79" s="26">
        <f>IF($R79="","",INDEX(입력_전공의명단!$G$2:$G$401,$R79))</f>
        <v/>
      </c>
      <c r="G79" s="26">
        <f>IF($R79="","",INDEX(입력_전공의명단!$AE$2:$AE$401,$R79))</f>
        <v/>
      </c>
      <c r="H79" s="27">
        <f>IF($R79="","",IF(INDEX(입력_전공의명단!$AE$2:$AE$401,$R79)="서울병원","서울 소속","타 병원 소속("&amp;INDEX(입력_전공의명단!$AE$2:$AE$401,$R79)&amp;") → 서울 지급"))</f>
        <v/>
      </c>
      <c r="I79" s="26">
        <f>IF($R79="","",INDEX(입력_전공의명단!$N$2:$N$401,$R79))</f>
        <v/>
      </c>
      <c r="J79" s="26">
        <f>IF($R79="","",INDEX(입력_전공의명단!$P$2:$P$401,$R79))</f>
        <v/>
      </c>
      <c r="K79" s="26">
        <f>IF($R79="","",INDEX(입력_전공의명단!$Q$2:$Q$401,$R79))</f>
        <v/>
      </c>
      <c r="L79" s="28">
        <f>IF($R79="","",INDEX(입력_전공의명단!$S$2:$S$401,$R79))</f>
        <v/>
      </c>
      <c r="M79" s="28">
        <f>IF($R79="","",INDEX(입력_전공의명단!$T$2:$T$401,$R79))</f>
        <v/>
      </c>
      <c r="N79" s="26">
        <f>IF($R79="","",INDEX(입력_전공의명단!$AH$2:$AH$401,$R79))</f>
        <v/>
      </c>
      <c r="O79" s="26">
        <f>IF($R79="","",INDEX(입력_전공의명단!$AI$2:$AI$401,$R79))</f>
        <v/>
      </c>
      <c r="P79" s="27">
        <f>IF($R79="","",INDEX(입력_전공의명단!$AO$2:$AO$401,$R79))</f>
        <v/>
      </c>
      <c r="Q79" s="27">
        <f>IF($R79="","",INDEX(입력_전공의명단!$Z$2:$Z$401,$R79))</f>
        <v/>
      </c>
      <c r="R79" s="29">
        <f>IFERROR(MATCH(ROW()-5,입력_전공의명단!$AM$2:$AM$401,0),"")</f>
        <v/>
      </c>
      <c r="T79" s="26">
        <f>IF($Y79="","",INDEX(입력_전공의명단!$C$2:$C$401,$Y79))</f>
        <v/>
      </c>
      <c r="U79" s="26">
        <f>IF($Y79="","",INDEX(입력_전공의명단!$B$2:$B$401,$Y79))</f>
        <v/>
      </c>
      <c r="V79" s="26">
        <f>IF($Y79="","",INDEX(입력_전공의명단!$AE$2:$AE$401,$Y79))</f>
        <v/>
      </c>
      <c r="W79" s="26">
        <f>IF($Y79="","",INDEX(입력_전공의명단!$AH$2:$AH$401,$Y79))</f>
        <v/>
      </c>
      <c r="X79" s="26">
        <f>IF($Y79="","",INDEX(입력_전공의명단!$AI$2:$AI$401,$Y79))</f>
        <v/>
      </c>
      <c r="Y79" s="29">
        <f>IFERROR(MATCH(ROW()-5,입력_전공의명단!$AN$2:$AN$401,0),"")</f>
        <v/>
      </c>
    </row>
    <row r="80">
      <c r="A80" s="26">
        <f>IF($R80="","",ROW()-5)</f>
        <v/>
      </c>
      <c r="B80" s="26">
        <f>IF($R80="","",INDEX(입력_전공의명단!$C$2:$C$401,$R80))</f>
        <v/>
      </c>
      <c r="C80" s="26">
        <f>IF($R80="","",INDEX(입력_전공의명단!$B$2:$B$401,$R80))</f>
        <v/>
      </c>
      <c r="D80" s="26">
        <f>IF($R80="","",INDEX(입력_전공의명단!$J$2:$J$401,$R80))</f>
        <v/>
      </c>
      <c r="E80" s="26">
        <f>IF($R80="","",INDEX(입력_전공의명단!$F$2:$F$401,$R80))</f>
        <v/>
      </c>
      <c r="F80" s="26">
        <f>IF($R80="","",INDEX(입력_전공의명단!$G$2:$G$401,$R80))</f>
        <v/>
      </c>
      <c r="G80" s="26">
        <f>IF($R80="","",INDEX(입력_전공의명단!$AE$2:$AE$401,$R80))</f>
        <v/>
      </c>
      <c r="H80" s="27">
        <f>IF($R80="","",IF(INDEX(입력_전공의명단!$AE$2:$AE$401,$R80)="서울병원","서울 소속","타 병원 소속("&amp;INDEX(입력_전공의명단!$AE$2:$AE$401,$R80)&amp;") → 서울 지급"))</f>
        <v/>
      </c>
      <c r="I80" s="26">
        <f>IF($R80="","",INDEX(입력_전공의명단!$N$2:$N$401,$R80))</f>
        <v/>
      </c>
      <c r="J80" s="26">
        <f>IF($R80="","",INDEX(입력_전공의명단!$P$2:$P$401,$R80))</f>
        <v/>
      </c>
      <c r="K80" s="26">
        <f>IF($R80="","",INDEX(입력_전공의명단!$Q$2:$Q$401,$R80))</f>
        <v/>
      </c>
      <c r="L80" s="28">
        <f>IF($R80="","",INDEX(입력_전공의명단!$S$2:$S$401,$R80))</f>
        <v/>
      </c>
      <c r="M80" s="28">
        <f>IF($R80="","",INDEX(입력_전공의명단!$T$2:$T$401,$R80))</f>
        <v/>
      </c>
      <c r="N80" s="26">
        <f>IF($R80="","",INDEX(입력_전공의명단!$AH$2:$AH$401,$R80))</f>
        <v/>
      </c>
      <c r="O80" s="26">
        <f>IF($R80="","",INDEX(입력_전공의명단!$AI$2:$AI$401,$R80))</f>
        <v/>
      </c>
      <c r="P80" s="27">
        <f>IF($R80="","",INDEX(입력_전공의명단!$AO$2:$AO$401,$R80))</f>
        <v/>
      </c>
      <c r="Q80" s="27">
        <f>IF($R80="","",INDEX(입력_전공의명단!$Z$2:$Z$401,$R80))</f>
        <v/>
      </c>
      <c r="R80" s="29">
        <f>IFERROR(MATCH(ROW()-5,입력_전공의명단!$AM$2:$AM$401,0),"")</f>
        <v/>
      </c>
      <c r="T80" s="26">
        <f>IF($Y80="","",INDEX(입력_전공의명단!$C$2:$C$401,$Y80))</f>
        <v/>
      </c>
      <c r="U80" s="26">
        <f>IF($Y80="","",INDEX(입력_전공의명단!$B$2:$B$401,$Y80))</f>
        <v/>
      </c>
      <c r="V80" s="26">
        <f>IF($Y80="","",INDEX(입력_전공의명단!$AE$2:$AE$401,$Y80))</f>
        <v/>
      </c>
      <c r="W80" s="26">
        <f>IF($Y80="","",INDEX(입력_전공의명단!$AH$2:$AH$401,$Y80))</f>
        <v/>
      </c>
      <c r="X80" s="26">
        <f>IF($Y80="","",INDEX(입력_전공의명단!$AI$2:$AI$401,$Y80))</f>
        <v/>
      </c>
      <c r="Y80" s="29">
        <f>IFERROR(MATCH(ROW()-5,입력_전공의명단!$AN$2:$AN$401,0),"")</f>
        <v/>
      </c>
    </row>
    <row r="81">
      <c r="A81" s="26">
        <f>IF($R81="","",ROW()-5)</f>
        <v/>
      </c>
      <c r="B81" s="26">
        <f>IF($R81="","",INDEX(입력_전공의명단!$C$2:$C$401,$R81))</f>
        <v/>
      </c>
      <c r="C81" s="26">
        <f>IF($R81="","",INDEX(입력_전공의명단!$B$2:$B$401,$R81))</f>
        <v/>
      </c>
      <c r="D81" s="26">
        <f>IF($R81="","",INDEX(입력_전공의명단!$J$2:$J$401,$R81))</f>
        <v/>
      </c>
      <c r="E81" s="26">
        <f>IF($R81="","",INDEX(입력_전공의명단!$F$2:$F$401,$R81))</f>
        <v/>
      </c>
      <c r="F81" s="26">
        <f>IF($R81="","",INDEX(입력_전공의명단!$G$2:$G$401,$R81))</f>
        <v/>
      </c>
      <c r="G81" s="26">
        <f>IF($R81="","",INDEX(입력_전공의명단!$AE$2:$AE$401,$R81))</f>
        <v/>
      </c>
      <c r="H81" s="27">
        <f>IF($R81="","",IF(INDEX(입력_전공의명단!$AE$2:$AE$401,$R81)="서울병원","서울 소속","타 병원 소속("&amp;INDEX(입력_전공의명단!$AE$2:$AE$401,$R81)&amp;") → 서울 지급"))</f>
        <v/>
      </c>
      <c r="I81" s="26">
        <f>IF($R81="","",INDEX(입력_전공의명단!$N$2:$N$401,$R81))</f>
        <v/>
      </c>
      <c r="J81" s="26">
        <f>IF($R81="","",INDEX(입력_전공의명단!$P$2:$P$401,$R81))</f>
        <v/>
      </c>
      <c r="K81" s="26">
        <f>IF($R81="","",INDEX(입력_전공의명단!$Q$2:$Q$401,$R81))</f>
        <v/>
      </c>
      <c r="L81" s="28">
        <f>IF($R81="","",INDEX(입력_전공의명단!$S$2:$S$401,$R81))</f>
        <v/>
      </c>
      <c r="M81" s="28">
        <f>IF($R81="","",INDEX(입력_전공의명단!$T$2:$T$401,$R81))</f>
        <v/>
      </c>
      <c r="N81" s="26">
        <f>IF($R81="","",INDEX(입력_전공의명단!$AH$2:$AH$401,$R81))</f>
        <v/>
      </c>
      <c r="O81" s="26">
        <f>IF($R81="","",INDEX(입력_전공의명단!$AI$2:$AI$401,$R81))</f>
        <v/>
      </c>
      <c r="P81" s="27">
        <f>IF($R81="","",INDEX(입력_전공의명단!$AO$2:$AO$401,$R81))</f>
        <v/>
      </c>
      <c r="Q81" s="27">
        <f>IF($R81="","",INDEX(입력_전공의명단!$Z$2:$Z$401,$R81))</f>
        <v/>
      </c>
      <c r="R81" s="29">
        <f>IFERROR(MATCH(ROW()-5,입력_전공의명단!$AM$2:$AM$401,0),"")</f>
        <v/>
      </c>
      <c r="T81" s="26">
        <f>IF($Y81="","",INDEX(입력_전공의명단!$C$2:$C$401,$Y81))</f>
        <v/>
      </c>
      <c r="U81" s="26">
        <f>IF($Y81="","",INDEX(입력_전공의명단!$B$2:$B$401,$Y81))</f>
        <v/>
      </c>
      <c r="V81" s="26">
        <f>IF($Y81="","",INDEX(입력_전공의명단!$AE$2:$AE$401,$Y81))</f>
        <v/>
      </c>
      <c r="W81" s="26">
        <f>IF($Y81="","",INDEX(입력_전공의명단!$AH$2:$AH$401,$Y81))</f>
        <v/>
      </c>
      <c r="X81" s="26">
        <f>IF($Y81="","",INDEX(입력_전공의명단!$AI$2:$AI$401,$Y81))</f>
        <v/>
      </c>
      <c r="Y81" s="29">
        <f>IFERROR(MATCH(ROW()-5,입력_전공의명단!$AN$2:$AN$401,0),"")</f>
        <v/>
      </c>
    </row>
    <row r="82">
      <c r="A82" s="26">
        <f>IF($R82="","",ROW()-5)</f>
        <v/>
      </c>
      <c r="B82" s="26">
        <f>IF($R82="","",INDEX(입력_전공의명단!$C$2:$C$401,$R82))</f>
        <v/>
      </c>
      <c r="C82" s="26">
        <f>IF($R82="","",INDEX(입력_전공의명단!$B$2:$B$401,$R82))</f>
        <v/>
      </c>
      <c r="D82" s="26">
        <f>IF($R82="","",INDEX(입력_전공의명단!$J$2:$J$401,$R82))</f>
        <v/>
      </c>
      <c r="E82" s="26">
        <f>IF($R82="","",INDEX(입력_전공의명단!$F$2:$F$401,$R82))</f>
        <v/>
      </c>
      <c r="F82" s="26">
        <f>IF($R82="","",INDEX(입력_전공의명단!$G$2:$G$401,$R82))</f>
        <v/>
      </c>
      <c r="G82" s="26">
        <f>IF($R82="","",INDEX(입력_전공의명단!$AE$2:$AE$401,$R82))</f>
        <v/>
      </c>
      <c r="H82" s="27">
        <f>IF($R82="","",IF(INDEX(입력_전공의명단!$AE$2:$AE$401,$R82)="서울병원","서울 소속","타 병원 소속("&amp;INDEX(입력_전공의명단!$AE$2:$AE$401,$R82)&amp;") → 서울 지급"))</f>
        <v/>
      </c>
      <c r="I82" s="26">
        <f>IF($R82="","",INDEX(입력_전공의명단!$N$2:$N$401,$R82))</f>
        <v/>
      </c>
      <c r="J82" s="26">
        <f>IF($R82="","",INDEX(입력_전공의명단!$P$2:$P$401,$R82))</f>
        <v/>
      </c>
      <c r="K82" s="26">
        <f>IF($R82="","",INDEX(입력_전공의명단!$Q$2:$Q$401,$R82))</f>
        <v/>
      </c>
      <c r="L82" s="28">
        <f>IF($R82="","",INDEX(입력_전공의명단!$S$2:$S$401,$R82))</f>
        <v/>
      </c>
      <c r="M82" s="28">
        <f>IF($R82="","",INDEX(입력_전공의명단!$T$2:$T$401,$R82))</f>
        <v/>
      </c>
      <c r="N82" s="26">
        <f>IF($R82="","",INDEX(입력_전공의명단!$AH$2:$AH$401,$R82))</f>
        <v/>
      </c>
      <c r="O82" s="26">
        <f>IF($R82="","",INDEX(입력_전공의명단!$AI$2:$AI$401,$R82))</f>
        <v/>
      </c>
      <c r="P82" s="27">
        <f>IF($R82="","",INDEX(입력_전공의명단!$AO$2:$AO$401,$R82))</f>
        <v/>
      </c>
      <c r="Q82" s="27">
        <f>IF($R82="","",INDEX(입력_전공의명단!$Z$2:$Z$401,$R82))</f>
        <v/>
      </c>
      <c r="R82" s="29">
        <f>IFERROR(MATCH(ROW()-5,입력_전공의명단!$AM$2:$AM$401,0),"")</f>
        <v/>
      </c>
      <c r="T82" s="26">
        <f>IF($Y82="","",INDEX(입력_전공의명단!$C$2:$C$401,$Y82))</f>
        <v/>
      </c>
      <c r="U82" s="26">
        <f>IF($Y82="","",INDEX(입력_전공의명단!$B$2:$B$401,$Y82))</f>
        <v/>
      </c>
      <c r="V82" s="26">
        <f>IF($Y82="","",INDEX(입력_전공의명단!$AE$2:$AE$401,$Y82))</f>
        <v/>
      </c>
      <c r="W82" s="26">
        <f>IF($Y82="","",INDEX(입력_전공의명단!$AH$2:$AH$401,$Y82))</f>
        <v/>
      </c>
      <c r="X82" s="26">
        <f>IF($Y82="","",INDEX(입력_전공의명단!$AI$2:$AI$401,$Y82))</f>
        <v/>
      </c>
      <c r="Y82" s="29">
        <f>IFERROR(MATCH(ROW()-5,입력_전공의명단!$AN$2:$AN$401,0),"")</f>
        <v/>
      </c>
    </row>
    <row r="83">
      <c r="A83" s="26">
        <f>IF($R83="","",ROW()-5)</f>
        <v/>
      </c>
      <c r="B83" s="26">
        <f>IF($R83="","",INDEX(입력_전공의명단!$C$2:$C$401,$R83))</f>
        <v/>
      </c>
      <c r="C83" s="26">
        <f>IF($R83="","",INDEX(입력_전공의명단!$B$2:$B$401,$R83))</f>
        <v/>
      </c>
      <c r="D83" s="26">
        <f>IF($R83="","",INDEX(입력_전공의명단!$J$2:$J$401,$R83))</f>
        <v/>
      </c>
      <c r="E83" s="26">
        <f>IF($R83="","",INDEX(입력_전공의명단!$F$2:$F$401,$R83))</f>
        <v/>
      </c>
      <c r="F83" s="26">
        <f>IF($R83="","",INDEX(입력_전공의명단!$G$2:$G$401,$R83))</f>
        <v/>
      </c>
      <c r="G83" s="26">
        <f>IF($R83="","",INDEX(입력_전공의명단!$AE$2:$AE$401,$R83))</f>
        <v/>
      </c>
      <c r="H83" s="27">
        <f>IF($R83="","",IF(INDEX(입력_전공의명단!$AE$2:$AE$401,$R83)="서울병원","서울 소속","타 병원 소속("&amp;INDEX(입력_전공의명단!$AE$2:$AE$401,$R83)&amp;") → 서울 지급"))</f>
        <v/>
      </c>
      <c r="I83" s="26">
        <f>IF($R83="","",INDEX(입력_전공의명단!$N$2:$N$401,$R83))</f>
        <v/>
      </c>
      <c r="J83" s="26">
        <f>IF($R83="","",INDEX(입력_전공의명단!$P$2:$P$401,$R83))</f>
        <v/>
      </c>
      <c r="K83" s="26">
        <f>IF($R83="","",INDEX(입력_전공의명단!$Q$2:$Q$401,$R83))</f>
        <v/>
      </c>
      <c r="L83" s="28">
        <f>IF($R83="","",INDEX(입력_전공의명단!$S$2:$S$401,$R83))</f>
        <v/>
      </c>
      <c r="M83" s="28">
        <f>IF($R83="","",INDEX(입력_전공의명단!$T$2:$T$401,$R83))</f>
        <v/>
      </c>
      <c r="N83" s="26">
        <f>IF($R83="","",INDEX(입력_전공의명단!$AH$2:$AH$401,$R83))</f>
        <v/>
      </c>
      <c r="O83" s="26">
        <f>IF($R83="","",INDEX(입력_전공의명단!$AI$2:$AI$401,$R83))</f>
        <v/>
      </c>
      <c r="P83" s="27">
        <f>IF($R83="","",INDEX(입력_전공의명단!$AO$2:$AO$401,$R83))</f>
        <v/>
      </c>
      <c r="Q83" s="27">
        <f>IF($R83="","",INDEX(입력_전공의명단!$Z$2:$Z$401,$R83))</f>
        <v/>
      </c>
      <c r="R83" s="29">
        <f>IFERROR(MATCH(ROW()-5,입력_전공의명단!$AM$2:$AM$401,0),"")</f>
        <v/>
      </c>
      <c r="T83" s="26">
        <f>IF($Y83="","",INDEX(입력_전공의명단!$C$2:$C$401,$Y83))</f>
        <v/>
      </c>
      <c r="U83" s="26">
        <f>IF($Y83="","",INDEX(입력_전공의명단!$B$2:$B$401,$Y83))</f>
        <v/>
      </c>
      <c r="V83" s="26">
        <f>IF($Y83="","",INDEX(입력_전공의명단!$AE$2:$AE$401,$Y83))</f>
        <v/>
      </c>
      <c r="W83" s="26">
        <f>IF($Y83="","",INDEX(입력_전공의명단!$AH$2:$AH$401,$Y83))</f>
        <v/>
      </c>
      <c r="X83" s="26">
        <f>IF($Y83="","",INDEX(입력_전공의명단!$AI$2:$AI$401,$Y83))</f>
        <v/>
      </c>
      <c r="Y83" s="29">
        <f>IFERROR(MATCH(ROW()-5,입력_전공의명단!$AN$2:$AN$401,0),"")</f>
        <v/>
      </c>
    </row>
    <row r="84">
      <c r="A84" s="26">
        <f>IF($R84="","",ROW()-5)</f>
        <v/>
      </c>
      <c r="B84" s="26">
        <f>IF($R84="","",INDEX(입력_전공의명단!$C$2:$C$401,$R84))</f>
        <v/>
      </c>
      <c r="C84" s="26">
        <f>IF($R84="","",INDEX(입력_전공의명단!$B$2:$B$401,$R84))</f>
        <v/>
      </c>
      <c r="D84" s="26">
        <f>IF($R84="","",INDEX(입력_전공의명단!$J$2:$J$401,$R84))</f>
        <v/>
      </c>
      <c r="E84" s="26">
        <f>IF($R84="","",INDEX(입력_전공의명단!$F$2:$F$401,$R84))</f>
        <v/>
      </c>
      <c r="F84" s="26">
        <f>IF($R84="","",INDEX(입력_전공의명단!$G$2:$G$401,$R84))</f>
        <v/>
      </c>
      <c r="G84" s="26">
        <f>IF($R84="","",INDEX(입력_전공의명단!$AE$2:$AE$401,$R84))</f>
        <v/>
      </c>
      <c r="H84" s="27">
        <f>IF($R84="","",IF(INDEX(입력_전공의명단!$AE$2:$AE$401,$R84)="서울병원","서울 소속","타 병원 소속("&amp;INDEX(입력_전공의명단!$AE$2:$AE$401,$R84)&amp;") → 서울 지급"))</f>
        <v/>
      </c>
      <c r="I84" s="26">
        <f>IF($R84="","",INDEX(입력_전공의명단!$N$2:$N$401,$R84))</f>
        <v/>
      </c>
      <c r="J84" s="26">
        <f>IF($R84="","",INDEX(입력_전공의명단!$P$2:$P$401,$R84))</f>
        <v/>
      </c>
      <c r="K84" s="26">
        <f>IF($R84="","",INDEX(입력_전공의명단!$Q$2:$Q$401,$R84))</f>
        <v/>
      </c>
      <c r="L84" s="28">
        <f>IF($R84="","",INDEX(입력_전공의명단!$S$2:$S$401,$R84))</f>
        <v/>
      </c>
      <c r="M84" s="28">
        <f>IF($R84="","",INDEX(입력_전공의명단!$T$2:$T$401,$R84))</f>
        <v/>
      </c>
      <c r="N84" s="26">
        <f>IF($R84="","",INDEX(입력_전공의명단!$AH$2:$AH$401,$R84))</f>
        <v/>
      </c>
      <c r="O84" s="26">
        <f>IF($R84="","",INDEX(입력_전공의명단!$AI$2:$AI$401,$R84))</f>
        <v/>
      </c>
      <c r="P84" s="27">
        <f>IF($R84="","",INDEX(입력_전공의명단!$AO$2:$AO$401,$R84))</f>
        <v/>
      </c>
      <c r="Q84" s="27">
        <f>IF($R84="","",INDEX(입력_전공의명단!$Z$2:$Z$401,$R84))</f>
        <v/>
      </c>
      <c r="R84" s="29">
        <f>IFERROR(MATCH(ROW()-5,입력_전공의명단!$AM$2:$AM$401,0),"")</f>
        <v/>
      </c>
      <c r="T84" s="26">
        <f>IF($Y84="","",INDEX(입력_전공의명단!$C$2:$C$401,$Y84))</f>
        <v/>
      </c>
      <c r="U84" s="26">
        <f>IF($Y84="","",INDEX(입력_전공의명단!$B$2:$B$401,$Y84))</f>
        <v/>
      </c>
      <c r="V84" s="26">
        <f>IF($Y84="","",INDEX(입력_전공의명단!$AE$2:$AE$401,$Y84))</f>
        <v/>
      </c>
      <c r="W84" s="26">
        <f>IF($Y84="","",INDEX(입력_전공의명단!$AH$2:$AH$401,$Y84))</f>
        <v/>
      </c>
      <c r="X84" s="26">
        <f>IF($Y84="","",INDEX(입력_전공의명단!$AI$2:$AI$401,$Y84))</f>
        <v/>
      </c>
      <c r="Y84" s="29">
        <f>IFERROR(MATCH(ROW()-5,입력_전공의명단!$AN$2:$AN$401,0),"")</f>
        <v/>
      </c>
    </row>
    <row r="85">
      <c r="A85" s="26">
        <f>IF($R85="","",ROW()-5)</f>
        <v/>
      </c>
      <c r="B85" s="26">
        <f>IF($R85="","",INDEX(입력_전공의명단!$C$2:$C$401,$R85))</f>
        <v/>
      </c>
      <c r="C85" s="26">
        <f>IF($R85="","",INDEX(입력_전공의명단!$B$2:$B$401,$R85))</f>
        <v/>
      </c>
      <c r="D85" s="26">
        <f>IF($R85="","",INDEX(입력_전공의명단!$J$2:$J$401,$R85))</f>
        <v/>
      </c>
      <c r="E85" s="26">
        <f>IF($R85="","",INDEX(입력_전공의명단!$F$2:$F$401,$R85))</f>
        <v/>
      </c>
      <c r="F85" s="26">
        <f>IF($R85="","",INDEX(입력_전공의명단!$G$2:$G$401,$R85))</f>
        <v/>
      </c>
      <c r="G85" s="26">
        <f>IF($R85="","",INDEX(입력_전공의명단!$AE$2:$AE$401,$R85))</f>
        <v/>
      </c>
      <c r="H85" s="27">
        <f>IF($R85="","",IF(INDEX(입력_전공의명단!$AE$2:$AE$401,$R85)="서울병원","서울 소속","타 병원 소속("&amp;INDEX(입력_전공의명단!$AE$2:$AE$401,$R85)&amp;") → 서울 지급"))</f>
        <v/>
      </c>
      <c r="I85" s="26">
        <f>IF($R85="","",INDEX(입력_전공의명단!$N$2:$N$401,$R85))</f>
        <v/>
      </c>
      <c r="J85" s="26">
        <f>IF($R85="","",INDEX(입력_전공의명단!$P$2:$P$401,$R85))</f>
        <v/>
      </c>
      <c r="K85" s="26">
        <f>IF($R85="","",INDEX(입력_전공의명단!$Q$2:$Q$401,$R85))</f>
        <v/>
      </c>
      <c r="L85" s="28">
        <f>IF($R85="","",INDEX(입력_전공의명단!$S$2:$S$401,$R85))</f>
        <v/>
      </c>
      <c r="M85" s="28">
        <f>IF($R85="","",INDEX(입력_전공의명단!$T$2:$T$401,$R85))</f>
        <v/>
      </c>
      <c r="N85" s="26">
        <f>IF($R85="","",INDEX(입력_전공의명단!$AH$2:$AH$401,$R85))</f>
        <v/>
      </c>
      <c r="O85" s="26">
        <f>IF($R85="","",INDEX(입력_전공의명단!$AI$2:$AI$401,$R85))</f>
        <v/>
      </c>
      <c r="P85" s="27">
        <f>IF($R85="","",INDEX(입력_전공의명단!$AO$2:$AO$401,$R85))</f>
        <v/>
      </c>
      <c r="Q85" s="27">
        <f>IF($R85="","",INDEX(입력_전공의명단!$Z$2:$Z$401,$R85))</f>
        <v/>
      </c>
      <c r="R85" s="29">
        <f>IFERROR(MATCH(ROW()-5,입력_전공의명단!$AM$2:$AM$401,0),"")</f>
        <v/>
      </c>
      <c r="T85" s="26">
        <f>IF($Y85="","",INDEX(입력_전공의명단!$C$2:$C$401,$Y85))</f>
        <v/>
      </c>
      <c r="U85" s="26">
        <f>IF($Y85="","",INDEX(입력_전공의명단!$B$2:$B$401,$Y85))</f>
        <v/>
      </c>
      <c r="V85" s="26">
        <f>IF($Y85="","",INDEX(입력_전공의명단!$AE$2:$AE$401,$Y85))</f>
        <v/>
      </c>
      <c r="W85" s="26">
        <f>IF($Y85="","",INDEX(입력_전공의명단!$AH$2:$AH$401,$Y85))</f>
        <v/>
      </c>
      <c r="X85" s="26">
        <f>IF($Y85="","",INDEX(입력_전공의명단!$AI$2:$AI$401,$Y85))</f>
        <v/>
      </c>
      <c r="Y85" s="29">
        <f>IFERROR(MATCH(ROW()-5,입력_전공의명단!$AN$2:$AN$401,0),"")</f>
        <v/>
      </c>
    </row>
    <row r="86">
      <c r="A86" s="26">
        <f>IF($R86="","",ROW()-5)</f>
        <v/>
      </c>
      <c r="B86" s="26">
        <f>IF($R86="","",INDEX(입력_전공의명단!$C$2:$C$401,$R86))</f>
        <v/>
      </c>
      <c r="C86" s="26">
        <f>IF($R86="","",INDEX(입력_전공의명단!$B$2:$B$401,$R86))</f>
        <v/>
      </c>
      <c r="D86" s="26">
        <f>IF($R86="","",INDEX(입력_전공의명단!$J$2:$J$401,$R86))</f>
        <v/>
      </c>
      <c r="E86" s="26">
        <f>IF($R86="","",INDEX(입력_전공의명단!$F$2:$F$401,$R86))</f>
        <v/>
      </c>
      <c r="F86" s="26">
        <f>IF($R86="","",INDEX(입력_전공의명단!$G$2:$G$401,$R86))</f>
        <v/>
      </c>
      <c r="G86" s="26">
        <f>IF($R86="","",INDEX(입력_전공의명단!$AE$2:$AE$401,$R86))</f>
        <v/>
      </c>
      <c r="H86" s="27">
        <f>IF($R86="","",IF(INDEX(입력_전공의명단!$AE$2:$AE$401,$R86)="서울병원","서울 소속","타 병원 소속("&amp;INDEX(입력_전공의명단!$AE$2:$AE$401,$R86)&amp;") → 서울 지급"))</f>
        <v/>
      </c>
      <c r="I86" s="26">
        <f>IF($R86="","",INDEX(입력_전공의명단!$N$2:$N$401,$R86))</f>
        <v/>
      </c>
      <c r="J86" s="26">
        <f>IF($R86="","",INDEX(입력_전공의명단!$P$2:$P$401,$R86))</f>
        <v/>
      </c>
      <c r="K86" s="26">
        <f>IF($R86="","",INDEX(입력_전공의명단!$Q$2:$Q$401,$R86))</f>
        <v/>
      </c>
      <c r="L86" s="28">
        <f>IF($R86="","",INDEX(입력_전공의명단!$S$2:$S$401,$R86))</f>
        <v/>
      </c>
      <c r="M86" s="28">
        <f>IF($R86="","",INDEX(입력_전공의명단!$T$2:$T$401,$R86))</f>
        <v/>
      </c>
      <c r="N86" s="26">
        <f>IF($R86="","",INDEX(입력_전공의명단!$AH$2:$AH$401,$R86))</f>
        <v/>
      </c>
      <c r="O86" s="26">
        <f>IF($R86="","",INDEX(입력_전공의명단!$AI$2:$AI$401,$R86))</f>
        <v/>
      </c>
      <c r="P86" s="27">
        <f>IF($R86="","",INDEX(입력_전공의명단!$AO$2:$AO$401,$R86))</f>
        <v/>
      </c>
      <c r="Q86" s="27">
        <f>IF($R86="","",INDEX(입력_전공의명단!$Z$2:$Z$401,$R86))</f>
        <v/>
      </c>
      <c r="R86" s="29">
        <f>IFERROR(MATCH(ROW()-5,입력_전공의명단!$AM$2:$AM$401,0),"")</f>
        <v/>
      </c>
      <c r="T86" s="26">
        <f>IF($Y86="","",INDEX(입력_전공의명단!$C$2:$C$401,$Y86))</f>
        <v/>
      </c>
      <c r="U86" s="26">
        <f>IF($Y86="","",INDEX(입력_전공의명단!$B$2:$B$401,$Y86))</f>
        <v/>
      </c>
      <c r="V86" s="26">
        <f>IF($Y86="","",INDEX(입력_전공의명단!$AE$2:$AE$401,$Y86))</f>
        <v/>
      </c>
      <c r="W86" s="26">
        <f>IF($Y86="","",INDEX(입력_전공의명단!$AH$2:$AH$401,$Y86))</f>
        <v/>
      </c>
      <c r="X86" s="26">
        <f>IF($Y86="","",INDEX(입력_전공의명단!$AI$2:$AI$401,$Y86))</f>
        <v/>
      </c>
      <c r="Y86" s="29">
        <f>IFERROR(MATCH(ROW()-5,입력_전공의명단!$AN$2:$AN$401,0),"")</f>
        <v/>
      </c>
    </row>
    <row r="87">
      <c r="A87" s="26">
        <f>IF($R87="","",ROW()-5)</f>
        <v/>
      </c>
      <c r="B87" s="26">
        <f>IF($R87="","",INDEX(입력_전공의명단!$C$2:$C$401,$R87))</f>
        <v/>
      </c>
      <c r="C87" s="26">
        <f>IF($R87="","",INDEX(입력_전공의명단!$B$2:$B$401,$R87))</f>
        <v/>
      </c>
      <c r="D87" s="26">
        <f>IF($R87="","",INDEX(입력_전공의명단!$J$2:$J$401,$R87))</f>
        <v/>
      </c>
      <c r="E87" s="26">
        <f>IF($R87="","",INDEX(입력_전공의명단!$F$2:$F$401,$R87))</f>
        <v/>
      </c>
      <c r="F87" s="26">
        <f>IF($R87="","",INDEX(입력_전공의명단!$G$2:$G$401,$R87))</f>
        <v/>
      </c>
      <c r="G87" s="26">
        <f>IF($R87="","",INDEX(입력_전공의명단!$AE$2:$AE$401,$R87))</f>
        <v/>
      </c>
      <c r="H87" s="27">
        <f>IF($R87="","",IF(INDEX(입력_전공의명단!$AE$2:$AE$401,$R87)="서울병원","서울 소속","타 병원 소속("&amp;INDEX(입력_전공의명단!$AE$2:$AE$401,$R87)&amp;") → 서울 지급"))</f>
        <v/>
      </c>
      <c r="I87" s="26">
        <f>IF($R87="","",INDEX(입력_전공의명단!$N$2:$N$401,$R87))</f>
        <v/>
      </c>
      <c r="J87" s="26">
        <f>IF($R87="","",INDEX(입력_전공의명단!$P$2:$P$401,$R87))</f>
        <v/>
      </c>
      <c r="K87" s="26">
        <f>IF($R87="","",INDEX(입력_전공의명단!$Q$2:$Q$401,$R87))</f>
        <v/>
      </c>
      <c r="L87" s="28">
        <f>IF($R87="","",INDEX(입력_전공의명단!$S$2:$S$401,$R87))</f>
        <v/>
      </c>
      <c r="M87" s="28">
        <f>IF($R87="","",INDEX(입력_전공의명단!$T$2:$T$401,$R87))</f>
        <v/>
      </c>
      <c r="N87" s="26">
        <f>IF($R87="","",INDEX(입력_전공의명단!$AH$2:$AH$401,$R87))</f>
        <v/>
      </c>
      <c r="O87" s="26">
        <f>IF($R87="","",INDEX(입력_전공의명단!$AI$2:$AI$401,$R87))</f>
        <v/>
      </c>
      <c r="P87" s="27">
        <f>IF($R87="","",INDEX(입력_전공의명단!$AO$2:$AO$401,$R87))</f>
        <v/>
      </c>
      <c r="Q87" s="27">
        <f>IF($R87="","",INDEX(입력_전공의명단!$Z$2:$Z$401,$R87))</f>
        <v/>
      </c>
      <c r="R87" s="29">
        <f>IFERROR(MATCH(ROW()-5,입력_전공의명단!$AM$2:$AM$401,0),"")</f>
        <v/>
      </c>
      <c r="T87" s="26">
        <f>IF($Y87="","",INDEX(입력_전공의명단!$C$2:$C$401,$Y87))</f>
        <v/>
      </c>
      <c r="U87" s="26">
        <f>IF($Y87="","",INDEX(입력_전공의명단!$B$2:$B$401,$Y87))</f>
        <v/>
      </c>
      <c r="V87" s="26">
        <f>IF($Y87="","",INDEX(입력_전공의명단!$AE$2:$AE$401,$Y87))</f>
        <v/>
      </c>
      <c r="W87" s="26">
        <f>IF($Y87="","",INDEX(입력_전공의명단!$AH$2:$AH$401,$Y87))</f>
        <v/>
      </c>
      <c r="X87" s="26">
        <f>IF($Y87="","",INDEX(입력_전공의명단!$AI$2:$AI$401,$Y87))</f>
        <v/>
      </c>
      <c r="Y87" s="29">
        <f>IFERROR(MATCH(ROW()-5,입력_전공의명단!$AN$2:$AN$401,0),"")</f>
        <v/>
      </c>
    </row>
    <row r="88">
      <c r="A88" s="26">
        <f>IF($R88="","",ROW()-5)</f>
        <v/>
      </c>
      <c r="B88" s="26">
        <f>IF($R88="","",INDEX(입력_전공의명단!$C$2:$C$401,$R88))</f>
        <v/>
      </c>
      <c r="C88" s="26">
        <f>IF($R88="","",INDEX(입력_전공의명단!$B$2:$B$401,$R88))</f>
        <v/>
      </c>
      <c r="D88" s="26">
        <f>IF($R88="","",INDEX(입력_전공의명단!$J$2:$J$401,$R88))</f>
        <v/>
      </c>
      <c r="E88" s="26">
        <f>IF($R88="","",INDEX(입력_전공의명단!$F$2:$F$401,$R88))</f>
        <v/>
      </c>
      <c r="F88" s="26">
        <f>IF($R88="","",INDEX(입력_전공의명단!$G$2:$G$401,$R88))</f>
        <v/>
      </c>
      <c r="G88" s="26">
        <f>IF($R88="","",INDEX(입력_전공의명단!$AE$2:$AE$401,$R88))</f>
        <v/>
      </c>
      <c r="H88" s="27">
        <f>IF($R88="","",IF(INDEX(입력_전공의명단!$AE$2:$AE$401,$R88)="서울병원","서울 소속","타 병원 소속("&amp;INDEX(입력_전공의명단!$AE$2:$AE$401,$R88)&amp;") → 서울 지급"))</f>
        <v/>
      </c>
      <c r="I88" s="26">
        <f>IF($R88="","",INDEX(입력_전공의명단!$N$2:$N$401,$R88))</f>
        <v/>
      </c>
      <c r="J88" s="26">
        <f>IF($R88="","",INDEX(입력_전공의명단!$P$2:$P$401,$R88))</f>
        <v/>
      </c>
      <c r="K88" s="26">
        <f>IF($R88="","",INDEX(입력_전공의명단!$Q$2:$Q$401,$R88))</f>
        <v/>
      </c>
      <c r="L88" s="28">
        <f>IF($R88="","",INDEX(입력_전공의명단!$S$2:$S$401,$R88))</f>
        <v/>
      </c>
      <c r="M88" s="28">
        <f>IF($R88="","",INDEX(입력_전공의명단!$T$2:$T$401,$R88))</f>
        <v/>
      </c>
      <c r="N88" s="26">
        <f>IF($R88="","",INDEX(입력_전공의명단!$AH$2:$AH$401,$R88))</f>
        <v/>
      </c>
      <c r="O88" s="26">
        <f>IF($R88="","",INDEX(입력_전공의명단!$AI$2:$AI$401,$R88))</f>
        <v/>
      </c>
      <c r="P88" s="27">
        <f>IF($R88="","",INDEX(입력_전공의명단!$AO$2:$AO$401,$R88))</f>
        <v/>
      </c>
      <c r="Q88" s="27">
        <f>IF($R88="","",INDEX(입력_전공의명단!$Z$2:$Z$401,$R88))</f>
        <v/>
      </c>
      <c r="R88" s="29">
        <f>IFERROR(MATCH(ROW()-5,입력_전공의명단!$AM$2:$AM$401,0),"")</f>
        <v/>
      </c>
      <c r="T88" s="26">
        <f>IF($Y88="","",INDEX(입력_전공의명단!$C$2:$C$401,$Y88))</f>
        <v/>
      </c>
      <c r="U88" s="26">
        <f>IF($Y88="","",INDEX(입력_전공의명단!$B$2:$B$401,$Y88))</f>
        <v/>
      </c>
      <c r="V88" s="26">
        <f>IF($Y88="","",INDEX(입력_전공의명단!$AE$2:$AE$401,$Y88))</f>
        <v/>
      </c>
      <c r="W88" s="26">
        <f>IF($Y88="","",INDEX(입력_전공의명단!$AH$2:$AH$401,$Y88))</f>
        <v/>
      </c>
      <c r="X88" s="26">
        <f>IF($Y88="","",INDEX(입력_전공의명단!$AI$2:$AI$401,$Y88))</f>
        <v/>
      </c>
      <c r="Y88" s="29">
        <f>IFERROR(MATCH(ROW()-5,입력_전공의명단!$AN$2:$AN$401,0),"")</f>
        <v/>
      </c>
    </row>
    <row r="89">
      <c r="A89" s="26">
        <f>IF($R89="","",ROW()-5)</f>
        <v/>
      </c>
      <c r="B89" s="26">
        <f>IF($R89="","",INDEX(입력_전공의명단!$C$2:$C$401,$R89))</f>
        <v/>
      </c>
      <c r="C89" s="26">
        <f>IF($R89="","",INDEX(입력_전공의명단!$B$2:$B$401,$R89))</f>
        <v/>
      </c>
      <c r="D89" s="26">
        <f>IF($R89="","",INDEX(입력_전공의명단!$J$2:$J$401,$R89))</f>
        <v/>
      </c>
      <c r="E89" s="26">
        <f>IF($R89="","",INDEX(입력_전공의명단!$F$2:$F$401,$R89))</f>
        <v/>
      </c>
      <c r="F89" s="26">
        <f>IF($R89="","",INDEX(입력_전공의명단!$G$2:$G$401,$R89))</f>
        <v/>
      </c>
      <c r="G89" s="26">
        <f>IF($R89="","",INDEX(입력_전공의명단!$AE$2:$AE$401,$R89))</f>
        <v/>
      </c>
      <c r="H89" s="27">
        <f>IF($R89="","",IF(INDEX(입력_전공의명단!$AE$2:$AE$401,$R89)="서울병원","서울 소속","타 병원 소속("&amp;INDEX(입력_전공의명단!$AE$2:$AE$401,$R89)&amp;") → 서울 지급"))</f>
        <v/>
      </c>
      <c r="I89" s="26">
        <f>IF($R89="","",INDEX(입력_전공의명단!$N$2:$N$401,$R89))</f>
        <v/>
      </c>
      <c r="J89" s="26">
        <f>IF($R89="","",INDEX(입력_전공의명단!$P$2:$P$401,$R89))</f>
        <v/>
      </c>
      <c r="K89" s="26">
        <f>IF($R89="","",INDEX(입력_전공의명단!$Q$2:$Q$401,$R89))</f>
        <v/>
      </c>
      <c r="L89" s="28">
        <f>IF($R89="","",INDEX(입력_전공의명단!$S$2:$S$401,$R89))</f>
        <v/>
      </c>
      <c r="M89" s="28">
        <f>IF($R89="","",INDEX(입력_전공의명단!$T$2:$T$401,$R89))</f>
        <v/>
      </c>
      <c r="N89" s="26">
        <f>IF($R89="","",INDEX(입력_전공의명단!$AH$2:$AH$401,$R89))</f>
        <v/>
      </c>
      <c r="O89" s="26">
        <f>IF($R89="","",INDEX(입력_전공의명단!$AI$2:$AI$401,$R89))</f>
        <v/>
      </c>
      <c r="P89" s="27">
        <f>IF($R89="","",INDEX(입력_전공의명단!$AO$2:$AO$401,$R89))</f>
        <v/>
      </c>
      <c r="Q89" s="27">
        <f>IF($R89="","",INDEX(입력_전공의명단!$Z$2:$Z$401,$R89))</f>
        <v/>
      </c>
      <c r="R89" s="29">
        <f>IFERROR(MATCH(ROW()-5,입력_전공의명단!$AM$2:$AM$401,0),"")</f>
        <v/>
      </c>
      <c r="T89" s="26">
        <f>IF($Y89="","",INDEX(입력_전공의명단!$C$2:$C$401,$Y89))</f>
        <v/>
      </c>
      <c r="U89" s="26">
        <f>IF($Y89="","",INDEX(입력_전공의명단!$B$2:$B$401,$Y89))</f>
        <v/>
      </c>
      <c r="V89" s="26">
        <f>IF($Y89="","",INDEX(입력_전공의명단!$AE$2:$AE$401,$Y89))</f>
        <v/>
      </c>
      <c r="W89" s="26">
        <f>IF($Y89="","",INDEX(입력_전공의명단!$AH$2:$AH$401,$Y89))</f>
        <v/>
      </c>
      <c r="X89" s="26">
        <f>IF($Y89="","",INDEX(입력_전공의명단!$AI$2:$AI$401,$Y89))</f>
        <v/>
      </c>
      <c r="Y89" s="29">
        <f>IFERROR(MATCH(ROW()-5,입력_전공의명단!$AN$2:$AN$401,0),"")</f>
        <v/>
      </c>
    </row>
    <row r="90">
      <c r="A90" s="26">
        <f>IF($R90="","",ROW()-5)</f>
        <v/>
      </c>
      <c r="B90" s="26">
        <f>IF($R90="","",INDEX(입력_전공의명단!$C$2:$C$401,$R90))</f>
        <v/>
      </c>
      <c r="C90" s="26">
        <f>IF($R90="","",INDEX(입력_전공의명단!$B$2:$B$401,$R90))</f>
        <v/>
      </c>
      <c r="D90" s="26">
        <f>IF($R90="","",INDEX(입력_전공의명단!$J$2:$J$401,$R90))</f>
        <v/>
      </c>
      <c r="E90" s="26">
        <f>IF($R90="","",INDEX(입력_전공의명단!$F$2:$F$401,$R90))</f>
        <v/>
      </c>
      <c r="F90" s="26">
        <f>IF($R90="","",INDEX(입력_전공의명단!$G$2:$G$401,$R90))</f>
        <v/>
      </c>
      <c r="G90" s="26">
        <f>IF($R90="","",INDEX(입력_전공의명단!$AE$2:$AE$401,$R90))</f>
        <v/>
      </c>
      <c r="H90" s="27">
        <f>IF($R90="","",IF(INDEX(입력_전공의명단!$AE$2:$AE$401,$R90)="서울병원","서울 소속","타 병원 소속("&amp;INDEX(입력_전공의명단!$AE$2:$AE$401,$R90)&amp;") → 서울 지급"))</f>
        <v/>
      </c>
      <c r="I90" s="26">
        <f>IF($R90="","",INDEX(입력_전공의명단!$N$2:$N$401,$R90))</f>
        <v/>
      </c>
      <c r="J90" s="26">
        <f>IF($R90="","",INDEX(입력_전공의명단!$P$2:$P$401,$R90))</f>
        <v/>
      </c>
      <c r="K90" s="26">
        <f>IF($R90="","",INDEX(입력_전공의명단!$Q$2:$Q$401,$R90))</f>
        <v/>
      </c>
      <c r="L90" s="28">
        <f>IF($R90="","",INDEX(입력_전공의명단!$S$2:$S$401,$R90))</f>
        <v/>
      </c>
      <c r="M90" s="28">
        <f>IF($R90="","",INDEX(입력_전공의명단!$T$2:$T$401,$R90))</f>
        <v/>
      </c>
      <c r="N90" s="26">
        <f>IF($R90="","",INDEX(입력_전공의명단!$AH$2:$AH$401,$R90))</f>
        <v/>
      </c>
      <c r="O90" s="26">
        <f>IF($R90="","",INDEX(입력_전공의명단!$AI$2:$AI$401,$R90))</f>
        <v/>
      </c>
      <c r="P90" s="27">
        <f>IF($R90="","",INDEX(입력_전공의명단!$AO$2:$AO$401,$R90))</f>
        <v/>
      </c>
      <c r="Q90" s="27">
        <f>IF($R90="","",INDEX(입력_전공의명단!$Z$2:$Z$401,$R90))</f>
        <v/>
      </c>
      <c r="R90" s="29">
        <f>IFERROR(MATCH(ROW()-5,입력_전공의명단!$AM$2:$AM$401,0),"")</f>
        <v/>
      </c>
      <c r="T90" s="26">
        <f>IF($Y90="","",INDEX(입력_전공의명단!$C$2:$C$401,$Y90))</f>
        <v/>
      </c>
      <c r="U90" s="26">
        <f>IF($Y90="","",INDEX(입력_전공의명단!$B$2:$B$401,$Y90))</f>
        <v/>
      </c>
      <c r="V90" s="26">
        <f>IF($Y90="","",INDEX(입력_전공의명단!$AE$2:$AE$401,$Y90))</f>
        <v/>
      </c>
      <c r="W90" s="26">
        <f>IF($Y90="","",INDEX(입력_전공의명단!$AH$2:$AH$401,$Y90))</f>
        <v/>
      </c>
      <c r="X90" s="26">
        <f>IF($Y90="","",INDEX(입력_전공의명단!$AI$2:$AI$401,$Y90))</f>
        <v/>
      </c>
      <c r="Y90" s="29">
        <f>IFERROR(MATCH(ROW()-5,입력_전공의명단!$AN$2:$AN$401,0),"")</f>
        <v/>
      </c>
    </row>
    <row r="91">
      <c r="A91" s="26">
        <f>IF($R91="","",ROW()-5)</f>
        <v/>
      </c>
      <c r="B91" s="26">
        <f>IF($R91="","",INDEX(입력_전공의명단!$C$2:$C$401,$R91))</f>
        <v/>
      </c>
      <c r="C91" s="26">
        <f>IF($R91="","",INDEX(입력_전공의명단!$B$2:$B$401,$R91))</f>
        <v/>
      </c>
      <c r="D91" s="26">
        <f>IF($R91="","",INDEX(입력_전공의명단!$J$2:$J$401,$R91))</f>
        <v/>
      </c>
      <c r="E91" s="26">
        <f>IF($R91="","",INDEX(입력_전공의명단!$F$2:$F$401,$R91))</f>
        <v/>
      </c>
      <c r="F91" s="26">
        <f>IF($R91="","",INDEX(입력_전공의명단!$G$2:$G$401,$R91))</f>
        <v/>
      </c>
      <c r="G91" s="26">
        <f>IF($R91="","",INDEX(입력_전공의명단!$AE$2:$AE$401,$R91))</f>
        <v/>
      </c>
      <c r="H91" s="27">
        <f>IF($R91="","",IF(INDEX(입력_전공의명단!$AE$2:$AE$401,$R91)="서울병원","서울 소속","타 병원 소속("&amp;INDEX(입력_전공의명단!$AE$2:$AE$401,$R91)&amp;") → 서울 지급"))</f>
        <v/>
      </c>
      <c r="I91" s="26">
        <f>IF($R91="","",INDEX(입력_전공의명단!$N$2:$N$401,$R91))</f>
        <v/>
      </c>
      <c r="J91" s="26">
        <f>IF($R91="","",INDEX(입력_전공의명단!$P$2:$P$401,$R91))</f>
        <v/>
      </c>
      <c r="K91" s="26">
        <f>IF($R91="","",INDEX(입력_전공의명단!$Q$2:$Q$401,$R91))</f>
        <v/>
      </c>
      <c r="L91" s="28">
        <f>IF($R91="","",INDEX(입력_전공의명단!$S$2:$S$401,$R91))</f>
        <v/>
      </c>
      <c r="M91" s="28">
        <f>IF($R91="","",INDEX(입력_전공의명단!$T$2:$T$401,$R91))</f>
        <v/>
      </c>
      <c r="N91" s="26">
        <f>IF($R91="","",INDEX(입력_전공의명단!$AH$2:$AH$401,$R91))</f>
        <v/>
      </c>
      <c r="O91" s="26">
        <f>IF($R91="","",INDEX(입력_전공의명단!$AI$2:$AI$401,$R91))</f>
        <v/>
      </c>
      <c r="P91" s="27">
        <f>IF($R91="","",INDEX(입력_전공의명단!$AO$2:$AO$401,$R91))</f>
        <v/>
      </c>
      <c r="Q91" s="27">
        <f>IF($R91="","",INDEX(입력_전공의명단!$Z$2:$Z$401,$R91))</f>
        <v/>
      </c>
      <c r="R91" s="29">
        <f>IFERROR(MATCH(ROW()-5,입력_전공의명단!$AM$2:$AM$401,0),"")</f>
        <v/>
      </c>
      <c r="T91" s="26">
        <f>IF($Y91="","",INDEX(입력_전공의명단!$C$2:$C$401,$Y91))</f>
        <v/>
      </c>
      <c r="U91" s="26">
        <f>IF($Y91="","",INDEX(입력_전공의명단!$B$2:$B$401,$Y91))</f>
        <v/>
      </c>
      <c r="V91" s="26">
        <f>IF($Y91="","",INDEX(입력_전공의명단!$AE$2:$AE$401,$Y91))</f>
        <v/>
      </c>
      <c r="W91" s="26">
        <f>IF($Y91="","",INDEX(입력_전공의명단!$AH$2:$AH$401,$Y91))</f>
        <v/>
      </c>
      <c r="X91" s="26">
        <f>IF($Y91="","",INDEX(입력_전공의명단!$AI$2:$AI$401,$Y91))</f>
        <v/>
      </c>
      <c r="Y91" s="29">
        <f>IFERROR(MATCH(ROW()-5,입력_전공의명단!$AN$2:$AN$401,0),"")</f>
        <v/>
      </c>
    </row>
    <row r="92">
      <c r="A92" s="26">
        <f>IF($R92="","",ROW()-5)</f>
        <v/>
      </c>
      <c r="B92" s="26">
        <f>IF($R92="","",INDEX(입력_전공의명단!$C$2:$C$401,$R92))</f>
        <v/>
      </c>
      <c r="C92" s="26">
        <f>IF($R92="","",INDEX(입력_전공의명단!$B$2:$B$401,$R92))</f>
        <v/>
      </c>
      <c r="D92" s="26">
        <f>IF($R92="","",INDEX(입력_전공의명단!$J$2:$J$401,$R92))</f>
        <v/>
      </c>
      <c r="E92" s="26">
        <f>IF($R92="","",INDEX(입력_전공의명단!$F$2:$F$401,$R92))</f>
        <v/>
      </c>
      <c r="F92" s="26">
        <f>IF($R92="","",INDEX(입력_전공의명단!$G$2:$G$401,$R92))</f>
        <v/>
      </c>
      <c r="G92" s="26">
        <f>IF($R92="","",INDEX(입력_전공의명단!$AE$2:$AE$401,$R92))</f>
        <v/>
      </c>
      <c r="H92" s="27">
        <f>IF($R92="","",IF(INDEX(입력_전공의명단!$AE$2:$AE$401,$R92)="서울병원","서울 소속","타 병원 소속("&amp;INDEX(입력_전공의명단!$AE$2:$AE$401,$R92)&amp;") → 서울 지급"))</f>
        <v/>
      </c>
      <c r="I92" s="26">
        <f>IF($R92="","",INDEX(입력_전공의명단!$N$2:$N$401,$R92))</f>
        <v/>
      </c>
      <c r="J92" s="26">
        <f>IF($R92="","",INDEX(입력_전공의명단!$P$2:$P$401,$R92))</f>
        <v/>
      </c>
      <c r="K92" s="26">
        <f>IF($R92="","",INDEX(입력_전공의명단!$Q$2:$Q$401,$R92))</f>
        <v/>
      </c>
      <c r="L92" s="28">
        <f>IF($R92="","",INDEX(입력_전공의명단!$S$2:$S$401,$R92))</f>
        <v/>
      </c>
      <c r="M92" s="28">
        <f>IF($R92="","",INDEX(입력_전공의명단!$T$2:$T$401,$R92))</f>
        <v/>
      </c>
      <c r="N92" s="26">
        <f>IF($R92="","",INDEX(입력_전공의명단!$AH$2:$AH$401,$R92))</f>
        <v/>
      </c>
      <c r="O92" s="26">
        <f>IF($R92="","",INDEX(입력_전공의명단!$AI$2:$AI$401,$R92))</f>
        <v/>
      </c>
      <c r="P92" s="27">
        <f>IF($R92="","",INDEX(입력_전공의명단!$AO$2:$AO$401,$R92))</f>
        <v/>
      </c>
      <c r="Q92" s="27">
        <f>IF($R92="","",INDEX(입력_전공의명단!$Z$2:$Z$401,$R92))</f>
        <v/>
      </c>
      <c r="R92" s="29">
        <f>IFERROR(MATCH(ROW()-5,입력_전공의명단!$AM$2:$AM$401,0),"")</f>
        <v/>
      </c>
      <c r="T92" s="26">
        <f>IF($Y92="","",INDEX(입력_전공의명단!$C$2:$C$401,$Y92))</f>
        <v/>
      </c>
      <c r="U92" s="26">
        <f>IF($Y92="","",INDEX(입력_전공의명단!$B$2:$B$401,$Y92))</f>
        <v/>
      </c>
      <c r="V92" s="26">
        <f>IF($Y92="","",INDEX(입력_전공의명단!$AE$2:$AE$401,$Y92))</f>
        <v/>
      </c>
      <c r="W92" s="26">
        <f>IF($Y92="","",INDEX(입력_전공의명단!$AH$2:$AH$401,$Y92))</f>
        <v/>
      </c>
      <c r="X92" s="26">
        <f>IF($Y92="","",INDEX(입력_전공의명단!$AI$2:$AI$401,$Y92))</f>
        <v/>
      </c>
      <c r="Y92" s="29">
        <f>IFERROR(MATCH(ROW()-5,입력_전공의명단!$AN$2:$AN$401,0),"")</f>
        <v/>
      </c>
    </row>
    <row r="93">
      <c r="A93" s="26">
        <f>IF($R93="","",ROW()-5)</f>
        <v/>
      </c>
      <c r="B93" s="26">
        <f>IF($R93="","",INDEX(입력_전공의명단!$C$2:$C$401,$R93))</f>
        <v/>
      </c>
      <c r="C93" s="26">
        <f>IF($R93="","",INDEX(입력_전공의명단!$B$2:$B$401,$R93))</f>
        <v/>
      </c>
      <c r="D93" s="26">
        <f>IF($R93="","",INDEX(입력_전공의명단!$J$2:$J$401,$R93))</f>
        <v/>
      </c>
      <c r="E93" s="26">
        <f>IF($R93="","",INDEX(입력_전공의명단!$F$2:$F$401,$R93))</f>
        <v/>
      </c>
      <c r="F93" s="26">
        <f>IF($R93="","",INDEX(입력_전공의명단!$G$2:$G$401,$R93))</f>
        <v/>
      </c>
      <c r="G93" s="26">
        <f>IF($R93="","",INDEX(입력_전공의명단!$AE$2:$AE$401,$R93))</f>
        <v/>
      </c>
      <c r="H93" s="27">
        <f>IF($R93="","",IF(INDEX(입력_전공의명단!$AE$2:$AE$401,$R93)="서울병원","서울 소속","타 병원 소속("&amp;INDEX(입력_전공의명단!$AE$2:$AE$401,$R93)&amp;") → 서울 지급"))</f>
        <v/>
      </c>
      <c r="I93" s="26">
        <f>IF($R93="","",INDEX(입력_전공의명단!$N$2:$N$401,$R93))</f>
        <v/>
      </c>
      <c r="J93" s="26">
        <f>IF($R93="","",INDEX(입력_전공의명단!$P$2:$P$401,$R93))</f>
        <v/>
      </c>
      <c r="K93" s="26">
        <f>IF($R93="","",INDEX(입력_전공의명단!$Q$2:$Q$401,$R93))</f>
        <v/>
      </c>
      <c r="L93" s="28">
        <f>IF($R93="","",INDEX(입력_전공의명단!$S$2:$S$401,$R93))</f>
        <v/>
      </c>
      <c r="M93" s="28">
        <f>IF($R93="","",INDEX(입력_전공의명단!$T$2:$T$401,$R93))</f>
        <v/>
      </c>
      <c r="N93" s="26">
        <f>IF($R93="","",INDEX(입력_전공의명단!$AH$2:$AH$401,$R93))</f>
        <v/>
      </c>
      <c r="O93" s="26">
        <f>IF($R93="","",INDEX(입력_전공의명단!$AI$2:$AI$401,$R93))</f>
        <v/>
      </c>
      <c r="P93" s="27">
        <f>IF($R93="","",INDEX(입력_전공의명단!$AO$2:$AO$401,$R93))</f>
        <v/>
      </c>
      <c r="Q93" s="27">
        <f>IF($R93="","",INDEX(입력_전공의명단!$Z$2:$Z$401,$R93))</f>
        <v/>
      </c>
      <c r="R93" s="29">
        <f>IFERROR(MATCH(ROW()-5,입력_전공의명단!$AM$2:$AM$401,0),"")</f>
        <v/>
      </c>
      <c r="T93" s="26">
        <f>IF($Y93="","",INDEX(입력_전공의명단!$C$2:$C$401,$Y93))</f>
        <v/>
      </c>
      <c r="U93" s="26">
        <f>IF($Y93="","",INDEX(입력_전공의명단!$B$2:$B$401,$Y93))</f>
        <v/>
      </c>
      <c r="V93" s="26">
        <f>IF($Y93="","",INDEX(입력_전공의명단!$AE$2:$AE$401,$Y93))</f>
        <v/>
      </c>
      <c r="W93" s="26">
        <f>IF($Y93="","",INDEX(입력_전공의명단!$AH$2:$AH$401,$Y93))</f>
        <v/>
      </c>
      <c r="X93" s="26">
        <f>IF($Y93="","",INDEX(입력_전공의명단!$AI$2:$AI$401,$Y93))</f>
        <v/>
      </c>
      <c r="Y93" s="29">
        <f>IFERROR(MATCH(ROW()-5,입력_전공의명단!$AN$2:$AN$401,0),"")</f>
        <v/>
      </c>
    </row>
    <row r="94">
      <c r="A94" s="26">
        <f>IF($R94="","",ROW()-5)</f>
        <v/>
      </c>
      <c r="B94" s="26">
        <f>IF($R94="","",INDEX(입력_전공의명단!$C$2:$C$401,$R94))</f>
        <v/>
      </c>
      <c r="C94" s="26">
        <f>IF($R94="","",INDEX(입력_전공의명단!$B$2:$B$401,$R94))</f>
        <v/>
      </c>
      <c r="D94" s="26">
        <f>IF($R94="","",INDEX(입력_전공의명단!$J$2:$J$401,$R94))</f>
        <v/>
      </c>
      <c r="E94" s="26">
        <f>IF($R94="","",INDEX(입력_전공의명단!$F$2:$F$401,$R94))</f>
        <v/>
      </c>
      <c r="F94" s="26">
        <f>IF($R94="","",INDEX(입력_전공의명단!$G$2:$G$401,$R94))</f>
        <v/>
      </c>
      <c r="G94" s="26">
        <f>IF($R94="","",INDEX(입력_전공의명단!$AE$2:$AE$401,$R94))</f>
        <v/>
      </c>
      <c r="H94" s="27">
        <f>IF($R94="","",IF(INDEX(입력_전공의명단!$AE$2:$AE$401,$R94)="서울병원","서울 소속","타 병원 소속("&amp;INDEX(입력_전공의명단!$AE$2:$AE$401,$R94)&amp;") → 서울 지급"))</f>
        <v/>
      </c>
      <c r="I94" s="26">
        <f>IF($R94="","",INDEX(입력_전공의명단!$N$2:$N$401,$R94))</f>
        <v/>
      </c>
      <c r="J94" s="26">
        <f>IF($R94="","",INDEX(입력_전공의명단!$P$2:$P$401,$R94))</f>
        <v/>
      </c>
      <c r="K94" s="26">
        <f>IF($R94="","",INDEX(입력_전공의명단!$Q$2:$Q$401,$R94))</f>
        <v/>
      </c>
      <c r="L94" s="28">
        <f>IF($R94="","",INDEX(입력_전공의명단!$S$2:$S$401,$R94))</f>
        <v/>
      </c>
      <c r="M94" s="28">
        <f>IF($R94="","",INDEX(입력_전공의명단!$T$2:$T$401,$R94))</f>
        <v/>
      </c>
      <c r="N94" s="26">
        <f>IF($R94="","",INDEX(입력_전공의명단!$AH$2:$AH$401,$R94))</f>
        <v/>
      </c>
      <c r="O94" s="26">
        <f>IF($R94="","",INDEX(입력_전공의명단!$AI$2:$AI$401,$R94))</f>
        <v/>
      </c>
      <c r="P94" s="27">
        <f>IF($R94="","",INDEX(입력_전공의명단!$AO$2:$AO$401,$R94))</f>
        <v/>
      </c>
      <c r="Q94" s="27">
        <f>IF($R94="","",INDEX(입력_전공의명단!$Z$2:$Z$401,$R94))</f>
        <v/>
      </c>
      <c r="R94" s="29">
        <f>IFERROR(MATCH(ROW()-5,입력_전공의명단!$AM$2:$AM$401,0),"")</f>
        <v/>
      </c>
      <c r="T94" s="26">
        <f>IF($Y94="","",INDEX(입력_전공의명단!$C$2:$C$401,$Y94))</f>
        <v/>
      </c>
      <c r="U94" s="26">
        <f>IF($Y94="","",INDEX(입력_전공의명단!$B$2:$B$401,$Y94))</f>
        <v/>
      </c>
      <c r="V94" s="26">
        <f>IF($Y94="","",INDEX(입력_전공의명단!$AE$2:$AE$401,$Y94))</f>
        <v/>
      </c>
      <c r="W94" s="26">
        <f>IF($Y94="","",INDEX(입력_전공의명단!$AH$2:$AH$401,$Y94))</f>
        <v/>
      </c>
      <c r="X94" s="26">
        <f>IF($Y94="","",INDEX(입력_전공의명단!$AI$2:$AI$401,$Y94))</f>
        <v/>
      </c>
      <c r="Y94" s="29">
        <f>IFERROR(MATCH(ROW()-5,입력_전공의명단!$AN$2:$AN$401,0),"")</f>
        <v/>
      </c>
    </row>
    <row r="95">
      <c r="A95" s="26">
        <f>IF($R95="","",ROW()-5)</f>
        <v/>
      </c>
      <c r="B95" s="26">
        <f>IF($R95="","",INDEX(입력_전공의명단!$C$2:$C$401,$R95))</f>
        <v/>
      </c>
      <c r="C95" s="26">
        <f>IF($R95="","",INDEX(입력_전공의명단!$B$2:$B$401,$R95))</f>
        <v/>
      </c>
      <c r="D95" s="26">
        <f>IF($R95="","",INDEX(입력_전공의명단!$J$2:$J$401,$R95))</f>
        <v/>
      </c>
      <c r="E95" s="26">
        <f>IF($R95="","",INDEX(입력_전공의명단!$F$2:$F$401,$R95))</f>
        <v/>
      </c>
      <c r="F95" s="26">
        <f>IF($R95="","",INDEX(입력_전공의명단!$G$2:$G$401,$R95))</f>
        <v/>
      </c>
      <c r="G95" s="26">
        <f>IF($R95="","",INDEX(입력_전공의명단!$AE$2:$AE$401,$R95))</f>
        <v/>
      </c>
      <c r="H95" s="27">
        <f>IF($R95="","",IF(INDEX(입력_전공의명단!$AE$2:$AE$401,$R95)="서울병원","서울 소속","타 병원 소속("&amp;INDEX(입력_전공의명단!$AE$2:$AE$401,$R95)&amp;") → 서울 지급"))</f>
        <v/>
      </c>
      <c r="I95" s="26">
        <f>IF($R95="","",INDEX(입력_전공의명단!$N$2:$N$401,$R95))</f>
        <v/>
      </c>
      <c r="J95" s="26">
        <f>IF($R95="","",INDEX(입력_전공의명단!$P$2:$P$401,$R95))</f>
        <v/>
      </c>
      <c r="K95" s="26">
        <f>IF($R95="","",INDEX(입력_전공의명단!$Q$2:$Q$401,$R95))</f>
        <v/>
      </c>
      <c r="L95" s="28">
        <f>IF($R95="","",INDEX(입력_전공의명단!$S$2:$S$401,$R95))</f>
        <v/>
      </c>
      <c r="M95" s="28">
        <f>IF($R95="","",INDEX(입력_전공의명단!$T$2:$T$401,$R95))</f>
        <v/>
      </c>
      <c r="N95" s="26">
        <f>IF($R95="","",INDEX(입력_전공의명단!$AH$2:$AH$401,$R95))</f>
        <v/>
      </c>
      <c r="O95" s="26">
        <f>IF($R95="","",INDEX(입력_전공의명단!$AI$2:$AI$401,$R95))</f>
        <v/>
      </c>
      <c r="P95" s="27">
        <f>IF($R95="","",INDEX(입력_전공의명단!$AO$2:$AO$401,$R95))</f>
        <v/>
      </c>
      <c r="Q95" s="27">
        <f>IF($R95="","",INDEX(입력_전공의명단!$Z$2:$Z$401,$R95))</f>
        <v/>
      </c>
      <c r="R95" s="29">
        <f>IFERROR(MATCH(ROW()-5,입력_전공의명단!$AM$2:$AM$401,0),"")</f>
        <v/>
      </c>
      <c r="T95" s="26">
        <f>IF($Y95="","",INDEX(입력_전공의명단!$C$2:$C$401,$Y95))</f>
        <v/>
      </c>
      <c r="U95" s="26">
        <f>IF($Y95="","",INDEX(입력_전공의명단!$B$2:$B$401,$Y95))</f>
        <v/>
      </c>
      <c r="V95" s="26">
        <f>IF($Y95="","",INDEX(입력_전공의명단!$AE$2:$AE$401,$Y95))</f>
        <v/>
      </c>
      <c r="W95" s="26">
        <f>IF($Y95="","",INDEX(입력_전공의명단!$AH$2:$AH$401,$Y95))</f>
        <v/>
      </c>
      <c r="X95" s="26">
        <f>IF($Y95="","",INDEX(입력_전공의명단!$AI$2:$AI$401,$Y95))</f>
        <v/>
      </c>
      <c r="Y95" s="29">
        <f>IFERROR(MATCH(ROW()-5,입력_전공의명단!$AN$2:$AN$401,0),"")</f>
        <v/>
      </c>
    </row>
    <row r="96">
      <c r="A96" s="26">
        <f>IF($R96="","",ROW()-5)</f>
        <v/>
      </c>
      <c r="B96" s="26">
        <f>IF($R96="","",INDEX(입력_전공의명단!$C$2:$C$401,$R96))</f>
        <v/>
      </c>
      <c r="C96" s="26">
        <f>IF($R96="","",INDEX(입력_전공의명단!$B$2:$B$401,$R96))</f>
        <v/>
      </c>
      <c r="D96" s="26">
        <f>IF($R96="","",INDEX(입력_전공의명단!$J$2:$J$401,$R96))</f>
        <v/>
      </c>
      <c r="E96" s="26">
        <f>IF($R96="","",INDEX(입력_전공의명단!$F$2:$F$401,$R96))</f>
        <v/>
      </c>
      <c r="F96" s="26">
        <f>IF($R96="","",INDEX(입력_전공의명단!$G$2:$G$401,$R96))</f>
        <v/>
      </c>
      <c r="G96" s="26">
        <f>IF($R96="","",INDEX(입력_전공의명단!$AE$2:$AE$401,$R96))</f>
        <v/>
      </c>
      <c r="H96" s="27">
        <f>IF($R96="","",IF(INDEX(입력_전공의명단!$AE$2:$AE$401,$R96)="서울병원","서울 소속","타 병원 소속("&amp;INDEX(입력_전공의명단!$AE$2:$AE$401,$R96)&amp;") → 서울 지급"))</f>
        <v/>
      </c>
      <c r="I96" s="26">
        <f>IF($R96="","",INDEX(입력_전공의명단!$N$2:$N$401,$R96))</f>
        <v/>
      </c>
      <c r="J96" s="26">
        <f>IF($R96="","",INDEX(입력_전공의명단!$P$2:$P$401,$R96))</f>
        <v/>
      </c>
      <c r="K96" s="26">
        <f>IF($R96="","",INDEX(입력_전공의명단!$Q$2:$Q$401,$R96))</f>
        <v/>
      </c>
      <c r="L96" s="28">
        <f>IF($R96="","",INDEX(입력_전공의명단!$S$2:$S$401,$R96))</f>
        <v/>
      </c>
      <c r="M96" s="28">
        <f>IF($R96="","",INDEX(입력_전공의명단!$T$2:$T$401,$R96))</f>
        <v/>
      </c>
      <c r="N96" s="26">
        <f>IF($R96="","",INDEX(입력_전공의명단!$AH$2:$AH$401,$R96))</f>
        <v/>
      </c>
      <c r="O96" s="26">
        <f>IF($R96="","",INDEX(입력_전공의명단!$AI$2:$AI$401,$R96))</f>
        <v/>
      </c>
      <c r="P96" s="27">
        <f>IF($R96="","",INDEX(입력_전공의명단!$AO$2:$AO$401,$R96))</f>
        <v/>
      </c>
      <c r="Q96" s="27">
        <f>IF($R96="","",INDEX(입력_전공의명단!$Z$2:$Z$401,$R96))</f>
        <v/>
      </c>
      <c r="R96" s="29">
        <f>IFERROR(MATCH(ROW()-5,입력_전공의명단!$AM$2:$AM$401,0),"")</f>
        <v/>
      </c>
      <c r="T96" s="26">
        <f>IF($Y96="","",INDEX(입력_전공의명단!$C$2:$C$401,$Y96))</f>
        <v/>
      </c>
      <c r="U96" s="26">
        <f>IF($Y96="","",INDEX(입력_전공의명단!$B$2:$B$401,$Y96))</f>
        <v/>
      </c>
      <c r="V96" s="26">
        <f>IF($Y96="","",INDEX(입력_전공의명단!$AE$2:$AE$401,$Y96))</f>
        <v/>
      </c>
      <c r="W96" s="26">
        <f>IF($Y96="","",INDEX(입력_전공의명단!$AH$2:$AH$401,$Y96))</f>
        <v/>
      </c>
      <c r="X96" s="26">
        <f>IF($Y96="","",INDEX(입력_전공의명단!$AI$2:$AI$401,$Y96))</f>
        <v/>
      </c>
      <c r="Y96" s="29">
        <f>IFERROR(MATCH(ROW()-5,입력_전공의명단!$AN$2:$AN$401,0),"")</f>
        <v/>
      </c>
    </row>
    <row r="97">
      <c r="A97" s="26">
        <f>IF($R97="","",ROW()-5)</f>
        <v/>
      </c>
      <c r="B97" s="26">
        <f>IF($R97="","",INDEX(입력_전공의명단!$C$2:$C$401,$R97))</f>
        <v/>
      </c>
      <c r="C97" s="26">
        <f>IF($R97="","",INDEX(입력_전공의명단!$B$2:$B$401,$R97))</f>
        <v/>
      </c>
      <c r="D97" s="26">
        <f>IF($R97="","",INDEX(입력_전공의명단!$J$2:$J$401,$R97))</f>
        <v/>
      </c>
      <c r="E97" s="26">
        <f>IF($R97="","",INDEX(입력_전공의명단!$F$2:$F$401,$R97))</f>
        <v/>
      </c>
      <c r="F97" s="26">
        <f>IF($R97="","",INDEX(입력_전공의명단!$G$2:$G$401,$R97))</f>
        <v/>
      </c>
      <c r="G97" s="26">
        <f>IF($R97="","",INDEX(입력_전공의명단!$AE$2:$AE$401,$R97))</f>
        <v/>
      </c>
      <c r="H97" s="27">
        <f>IF($R97="","",IF(INDEX(입력_전공의명단!$AE$2:$AE$401,$R97)="서울병원","서울 소속","타 병원 소속("&amp;INDEX(입력_전공의명단!$AE$2:$AE$401,$R97)&amp;") → 서울 지급"))</f>
        <v/>
      </c>
      <c r="I97" s="26">
        <f>IF($R97="","",INDEX(입력_전공의명단!$N$2:$N$401,$R97))</f>
        <v/>
      </c>
      <c r="J97" s="26">
        <f>IF($R97="","",INDEX(입력_전공의명단!$P$2:$P$401,$R97))</f>
        <v/>
      </c>
      <c r="K97" s="26">
        <f>IF($R97="","",INDEX(입력_전공의명단!$Q$2:$Q$401,$R97))</f>
        <v/>
      </c>
      <c r="L97" s="28">
        <f>IF($R97="","",INDEX(입력_전공의명단!$S$2:$S$401,$R97))</f>
        <v/>
      </c>
      <c r="M97" s="28">
        <f>IF($R97="","",INDEX(입력_전공의명단!$T$2:$T$401,$R97))</f>
        <v/>
      </c>
      <c r="N97" s="26">
        <f>IF($R97="","",INDEX(입력_전공의명단!$AH$2:$AH$401,$R97))</f>
        <v/>
      </c>
      <c r="O97" s="26">
        <f>IF($R97="","",INDEX(입력_전공의명단!$AI$2:$AI$401,$R97))</f>
        <v/>
      </c>
      <c r="P97" s="27">
        <f>IF($R97="","",INDEX(입력_전공의명단!$AO$2:$AO$401,$R97))</f>
        <v/>
      </c>
      <c r="Q97" s="27">
        <f>IF($R97="","",INDEX(입력_전공의명단!$Z$2:$Z$401,$R97))</f>
        <v/>
      </c>
      <c r="R97" s="29">
        <f>IFERROR(MATCH(ROW()-5,입력_전공의명단!$AM$2:$AM$401,0),"")</f>
        <v/>
      </c>
      <c r="T97" s="26">
        <f>IF($Y97="","",INDEX(입력_전공의명단!$C$2:$C$401,$Y97))</f>
        <v/>
      </c>
      <c r="U97" s="26">
        <f>IF($Y97="","",INDEX(입력_전공의명단!$B$2:$B$401,$Y97))</f>
        <v/>
      </c>
      <c r="V97" s="26">
        <f>IF($Y97="","",INDEX(입력_전공의명단!$AE$2:$AE$401,$Y97))</f>
        <v/>
      </c>
      <c r="W97" s="26">
        <f>IF($Y97="","",INDEX(입력_전공의명단!$AH$2:$AH$401,$Y97))</f>
        <v/>
      </c>
      <c r="X97" s="26">
        <f>IF($Y97="","",INDEX(입력_전공의명단!$AI$2:$AI$401,$Y97))</f>
        <v/>
      </c>
      <c r="Y97" s="29">
        <f>IFERROR(MATCH(ROW()-5,입력_전공의명단!$AN$2:$AN$401,0),"")</f>
        <v/>
      </c>
    </row>
    <row r="98">
      <c r="A98" s="26">
        <f>IF($R98="","",ROW()-5)</f>
        <v/>
      </c>
      <c r="B98" s="26">
        <f>IF($R98="","",INDEX(입력_전공의명단!$C$2:$C$401,$R98))</f>
        <v/>
      </c>
      <c r="C98" s="26">
        <f>IF($R98="","",INDEX(입력_전공의명단!$B$2:$B$401,$R98))</f>
        <v/>
      </c>
      <c r="D98" s="26">
        <f>IF($R98="","",INDEX(입력_전공의명단!$J$2:$J$401,$R98))</f>
        <v/>
      </c>
      <c r="E98" s="26">
        <f>IF($R98="","",INDEX(입력_전공의명단!$F$2:$F$401,$R98))</f>
        <v/>
      </c>
      <c r="F98" s="26">
        <f>IF($R98="","",INDEX(입력_전공의명단!$G$2:$G$401,$R98))</f>
        <v/>
      </c>
      <c r="G98" s="26">
        <f>IF($R98="","",INDEX(입력_전공의명단!$AE$2:$AE$401,$R98))</f>
        <v/>
      </c>
      <c r="H98" s="27">
        <f>IF($R98="","",IF(INDEX(입력_전공의명단!$AE$2:$AE$401,$R98)="서울병원","서울 소속","타 병원 소속("&amp;INDEX(입력_전공의명단!$AE$2:$AE$401,$R98)&amp;") → 서울 지급"))</f>
        <v/>
      </c>
      <c r="I98" s="26">
        <f>IF($R98="","",INDEX(입력_전공의명단!$N$2:$N$401,$R98))</f>
        <v/>
      </c>
      <c r="J98" s="26">
        <f>IF($R98="","",INDEX(입력_전공의명단!$P$2:$P$401,$R98))</f>
        <v/>
      </c>
      <c r="K98" s="26">
        <f>IF($R98="","",INDEX(입력_전공의명단!$Q$2:$Q$401,$R98))</f>
        <v/>
      </c>
      <c r="L98" s="28">
        <f>IF($R98="","",INDEX(입력_전공의명단!$S$2:$S$401,$R98))</f>
        <v/>
      </c>
      <c r="M98" s="28">
        <f>IF($R98="","",INDEX(입력_전공의명단!$T$2:$T$401,$R98))</f>
        <v/>
      </c>
      <c r="N98" s="26">
        <f>IF($R98="","",INDEX(입력_전공의명단!$AH$2:$AH$401,$R98))</f>
        <v/>
      </c>
      <c r="O98" s="26">
        <f>IF($R98="","",INDEX(입력_전공의명단!$AI$2:$AI$401,$R98))</f>
        <v/>
      </c>
      <c r="P98" s="27">
        <f>IF($R98="","",INDEX(입력_전공의명단!$AO$2:$AO$401,$R98))</f>
        <v/>
      </c>
      <c r="Q98" s="27">
        <f>IF($R98="","",INDEX(입력_전공의명단!$Z$2:$Z$401,$R98))</f>
        <v/>
      </c>
      <c r="R98" s="29">
        <f>IFERROR(MATCH(ROW()-5,입력_전공의명단!$AM$2:$AM$401,0),"")</f>
        <v/>
      </c>
      <c r="T98" s="26">
        <f>IF($Y98="","",INDEX(입력_전공의명단!$C$2:$C$401,$Y98))</f>
        <v/>
      </c>
      <c r="U98" s="26">
        <f>IF($Y98="","",INDEX(입력_전공의명단!$B$2:$B$401,$Y98))</f>
        <v/>
      </c>
      <c r="V98" s="26">
        <f>IF($Y98="","",INDEX(입력_전공의명단!$AE$2:$AE$401,$Y98))</f>
        <v/>
      </c>
      <c r="W98" s="26">
        <f>IF($Y98="","",INDEX(입력_전공의명단!$AH$2:$AH$401,$Y98))</f>
        <v/>
      </c>
      <c r="X98" s="26">
        <f>IF($Y98="","",INDEX(입력_전공의명단!$AI$2:$AI$401,$Y98))</f>
        <v/>
      </c>
      <c r="Y98" s="29">
        <f>IFERROR(MATCH(ROW()-5,입력_전공의명단!$AN$2:$AN$401,0),"")</f>
        <v/>
      </c>
    </row>
    <row r="99">
      <c r="A99" s="26">
        <f>IF($R99="","",ROW()-5)</f>
        <v/>
      </c>
      <c r="B99" s="26">
        <f>IF($R99="","",INDEX(입력_전공의명단!$C$2:$C$401,$R99))</f>
        <v/>
      </c>
      <c r="C99" s="26">
        <f>IF($R99="","",INDEX(입력_전공의명단!$B$2:$B$401,$R99))</f>
        <v/>
      </c>
      <c r="D99" s="26">
        <f>IF($R99="","",INDEX(입력_전공의명단!$J$2:$J$401,$R99))</f>
        <v/>
      </c>
      <c r="E99" s="26">
        <f>IF($R99="","",INDEX(입력_전공의명단!$F$2:$F$401,$R99))</f>
        <v/>
      </c>
      <c r="F99" s="26">
        <f>IF($R99="","",INDEX(입력_전공의명단!$G$2:$G$401,$R99))</f>
        <v/>
      </c>
      <c r="G99" s="26">
        <f>IF($R99="","",INDEX(입력_전공의명단!$AE$2:$AE$401,$R99))</f>
        <v/>
      </c>
      <c r="H99" s="27">
        <f>IF($R99="","",IF(INDEX(입력_전공의명단!$AE$2:$AE$401,$R99)="서울병원","서울 소속","타 병원 소속("&amp;INDEX(입력_전공의명단!$AE$2:$AE$401,$R99)&amp;") → 서울 지급"))</f>
        <v/>
      </c>
      <c r="I99" s="26">
        <f>IF($R99="","",INDEX(입력_전공의명단!$N$2:$N$401,$R99))</f>
        <v/>
      </c>
      <c r="J99" s="26">
        <f>IF($R99="","",INDEX(입력_전공의명단!$P$2:$P$401,$R99))</f>
        <v/>
      </c>
      <c r="K99" s="26">
        <f>IF($R99="","",INDEX(입력_전공의명단!$Q$2:$Q$401,$R99))</f>
        <v/>
      </c>
      <c r="L99" s="28">
        <f>IF($R99="","",INDEX(입력_전공의명단!$S$2:$S$401,$R99))</f>
        <v/>
      </c>
      <c r="M99" s="28">
        <f>IF($R99="","",INDEX(입력_전공의명단!$T$2:$T$401,$R99))</f>
        <v/>
      </c>
      <c r="N99" s="26">
        <f>IF($R99="","",INDEX(입력_전공의명단!$AH$2:$AH$401,$R99))</f>
        <v/>
      </c>
      <c r="O99" s="26">
        <f>IF($R99="","",INDEX(입력_전공의명단!$AI$2:$AI$401,$R99))</f>
        <v/>
      </c>
      <c r="P99" s="27">
        <f>IF($R99="","",INDEX(입력_전공의명단!$AO$2:$AO$401,$R99))</f>
        <v/>
      </c>
      <c r="Q99" s="27">
        <f>IF($R99="","",INDEX(입력_전공의명단!$Z$2:$Z$401,$R99))</f>
        <v/>
      </c>
      <c r="R99" s="29">
        <f>IFERROR(MATCH(ROW()-5,입력_전공의명단!$AM$2:$AM$401,0),"")</f>
        <v/>
      </c>
      <c r="T99" s="26">
        <f>IF($Y99="","",INDEX(입력_전공의명단!$C$2:$C$401,$Y99))</f>
        <v/>
      </c>
      <c r="U99" s="26">
        <f>IF($Y99="","",INDEX(입력_전공의명단!$B$2:$B$401,$Y99))</f>
        <v/>
      </c>
      <c r="V99" s="26">
        <f>IF($Y99="","",INDEX(입력_전공의명단!$AE$2:$AE$401,$Y99))</f>
        <v/>
      </c>
      <c r="W99" s="26">
        <f>IF($Y99="","",INDEX(입력_전공의명단!$AH$2:$AH$401,$Y99))</f>
        <v/>
      </c>
      <c r="X99" s="26">
        <f>IF($Y99="","",INDEX(입력_전공의명단!$AI$2:$AI$401,$Y99))</f>
        <v/>
      </c>
      <c r="Y99" s="29">
        <f>IFERROR(MATCH(ROW()-5,입력_전공의명단!$AN$2:$AN$401,0),"")</f>
        <v/>
      </c>
    </row>
    <row r="100">
      <c r="A100" s="26">
        <f>IF($R100="","",ROW()-5)</f>
        <v/>
      </c>
      <c r="B100" s="26">
        <f>IF($R100="","",INDEX(입력_전공의명단!$C$2:$C$401,$R100))</f>
        <v/>
      </c>
      <c r="C100" s="26">
        <f>IF($R100="","",INDEX(입력_전공의명단!$B$2:$B$401,$R100))</f>
        <v/>
      </c>
      <c r="D100" s="26">
        <f>IF($R100="","",INDEX(입력_전공의명단!$J$2:$J$401,$R100))</f>
        <v/>
      </c>
      <c r="E100" s="26">
        <f>IF($R100="","",INDEX(입력_전공의명단!$F$2:$F$401,$R100))</f>
        <v/>
      </c>
      <c r="F100" s="26">
        <f>IF($R100="","",INDEX(입력_전공의명단!$G$2:$G$401,$R100))</f>
        <v/>
      </c>
      <c r="G100" s="26">
        <f>IF($R100="","",INDEX(입력_전공의명단!$AE$2:$AE$401,$R100))</f>
        <v/>
      </c>
      <c r="H100" s="27">
        <f>IF($R100="","",IF(INDEX(입력_전공의명단!$AE$2:$AE$401,$R100)="서울병원","서울 소속","타 병원 소속("&amp;INDEX(입력_전공의명단!$AE$2:$AE$401,$R100)&amp;") → 서울 지급"))</f>
        <v/>
      </c>
      <c r="I100" s="26">
        <f>IF($R100="","",INDEX(입력_전공의명단!$N$2:$N$401,$R100))</f>
        <v/>
      </c>
      <c r="J100" s="26">
        <f>IF($R100="","",INDEX(입력_전공의명단!$P$2:$P$401,$R100))</f>
        <v/>
      </c>
      <c r="K100" s="26">
        <f>IF($R100="","",INDEX(입력_전공의명단!$Q$2:$Q$401,$R100))</f>
        <v/>
      </c>
      <c r="L100" s="28">
        <f>IF($R100="","",INDEX(입력_전공의명단!$S$2:$S$401,$R100))</f>
        <v/>
      </c>
      <c r="M100" s="28">
        <f>IF($R100="","",INDEX(입력_전공의명단!$T$2:$T$401,$R100))</f>
        <v/>
      </c>
      <c r="N100" s="26">
        <f>IF($R100="","",INDEX(입력_전공의명단!$AH$2:$AH$401,$R100))</f>
        <v/>
      </c>
      <c r="O100" s="26">
        <f>IF($R100="","",INDEX(입력_전공의명단!$AI$2:$AI$401,$R100))</f>
        <v/>
      </c>
      <c r="P100" s="27">
        <f>IF($R100="","",INDEX(입력_전공의명단!$AO$2:$AO$401,$R100))</f>
        <v/>
      </c>
      <c r="Q100" s="27">
        <f>IF($R100="","",INDEX(입력_전공의명단!$Z$2:$Z$401,$R100))</f>
        <v/>
      </c>
      <c r="R100" s="29">
        <f>IFERROR(MATCH(ROW()-5,입력_전공의명단!$AM$2:$AM$401,0),"")</f>
        <v/>
      </c>
      <c r="T100" s="26">
        <f>IF($Y100="","",INDEX(입력_전공의명단!$C$2:$C$401,$Y100))</f>
        <v/>
      </c>
      <c r="U100" s="26">
        <f>IF($Y100="","",INDEX(입력_전공의명단!$B$2:$B$401,$Y100))</f>
        <v/>
      </c>
      <c r="V100" s="26">
        <f>IF($Y100="","",INDEX(입력_전공의명단!$AE$2:$AE$401,$Y100))</f>
        <v/>
      </c>
      <c r="W100" s="26">
        <f>IF($Y100="","",INDEX(입력_전공의명단!$AH$2:$AH$401,$Y100))</f>
        <v/>
      </c>
      <c r="X100" s="26">
        <f>IF($Y100="","",INDEX(입력_전공의명단!$AI$2:$AI$401,$Y100))</f>
        <v/>
      </c>
      <c r="Y100" s="29">
        <f>IFERROR(MATCH(ROW()-5,입력_전공의명단!$AN$2:$AN$401,0),"")</f>
        <v/>
      </c>
    </row>
    <row r="101">
      <c r="A101" s="26">
        <f>IF($R101="","",ROW()-5)</f>
        <v/>
      </c>
      <c r="B101" s="26">
        <f>IF($R101="","",INDEX(입력_전공의명단!$C$2:$C$401,$R101))</f>
        <v/>
      </c>
      <c r="C101" s="26">
        <f>IF($R101="","",INDEX(입력_전공의명단!$B$2:$B$401,$R101))</f>
        <v/>
      </c>
      <c r="D101" s="26">
        <f>IF($R101="","",INDEX(입력_전공의명단!$J$2:$J$401,$R101))</f>
        <v/>
      </c>
      <c r="E101" s="26">
        <f>IF($R101="","",INDEX(입력_전공의명단!$F$2:$F$401,$R101))</f>
        <v/>
      </c>
      <c r="F101" s="26">
        <f>IF($R101="","",INDEX(입력_전공의명단!$G$2:$G$401,$R101))</f>
        <v/>
      </c>
      <c r="G101" s="26">
        <f>IF($R101="","",INDEX(입력_전공의명단!$AE$2:$AE$401,$R101))</f>
        <v/>
      </c>
      <c r="H101" s="27">
        <f>IF($R101="","",IF(INDEX(입력_전공의명단!$AE$2:$AE$401,$R101)="서울병원","서울 소속","타 병원 소속("&amp;INDEX(입력_전공의명단!$AE$2:$AE$401,$R101)&amp;") → 서울 지급"))</f>
        <v/>
      </c>
      <c r="I101" s="26">
        <f>IF($R101="","",INDEX(입력_전공의명단!$N$2:$N$401,$R101))</f>
        <v/>
      </c>
      <c r="J101" s="26">
        <f>IF($R101="","",INDEX(입력_전공의명단!$P$2:$P$401,$R101))</f>
        <v/>
      </c>
      <c r="K101" s="26">
        <f>IF($R101="","",INDEX(입력_전공의명단!$Q$2:$Q$401,$R101))</f>
        <v/>
      </c>
      <c r="L101" s="28">
        <f>IF($R101="","",INDEX(입력_전공의명단!$S$2:$S$401,$R101))</f>
        <v/>
      </c>
      <c r="M101" s="28">
        <f>IF($R101="","",INDEX(입력_전공의명단!$T$2:$T$401,$R101))</f>
        <v/>
      </c>
      <c r="N101" s="26">
        <f>IF($R101="","",INDEX(입력_전공의명단!$AH$2:$AH$401,$R101))</f>
        <v/>
      </c>
      <c r="O101" s="26">
        <f>IF($R101="","",INDEX(입력_전공의명단!$AI$2:$AI$401,$R101))</f>
        <v/>
      </c>
      <c r="P101" s="27">
        <f>IF($R101="","",INDEX(입력_전공의명단!$AO$2:$AO$401,$R101))</f>
        <v/>
      </c>
      <c r="Q101" s="27">
        <f>IF($R101="","",INDEX(입력_전공의명단!$Z$2:$Z$401,$R101))</f>
        <v/>
      </c>
      <c r="R101" s="29">
        <f>IFERROR(MATCH(ROW()-5,입력_전공의명단!$AM$2:$AM$401,0),"")</f>
        <v/>
      </c>
      <c r="T101" s="26">
        <f>IF($Y101="","",INDEX(입력_전공의명단!$C$2:$C$401,$Y101))</f>
        <v/>
      </c>
      <c r="U101" s="26">
        <f>IF($Y101="","",INDEX(입력_전공의명단!$B$2:$B$401,$Y101))</f>
        <v/>
      </c>
      <c r="V101" s="26">
        <f>IF($Y101="","",INDEX(입력_전공의명단!$AE$2:$AE$401,$Y101))</f>
        <v/>
      </c>
      <c r="W101" s="26">
        <f>IF($Y101="","",INDEX(입력_전공의명단!$AH$2:$AH$401,$Y101))</f>
        <v/>
      </c>
      <c r="X101" s="26">
        <f>IF($Y101="","",INDEX(입력_전공의명단!$AI$2:$AI$401,$Y101))</f>
        <v/>
      </c>
      <c r="Y101" s="29">
        <f>IFERROR(MATCH(ROW()-5,입력_전공의명단!$AN$2:$AN$401,0),"")</f>
        <v/>
      </c>
    </row>
    <row r="102">
      <c r="A102" s="26">
        <f>IF($R102="","",ROW()-5)</f>
        <v/>
      </c>
      <c r="B102" s="26">
        <f>IF($R102="","",INDEX(입력_전공의명단!$C$2:$C$401,$R102))</f>
        <v/>
      </c>
      <c r="C102" s="26">
        <f>IF($R102="","",INDEX(입력_전공의명단!$B$2:$B$401,$R102))</f>
        <v/>
      </c>
      <c r="D102" s="26">
        <f>IF($R102="","",INDEX(입력_전공의명단!$J$2:$J$401,$R102))</f>
        <v/>
      </c>
      <c r="E102" s="26">
        <f>IF($R102="","",INDEX(입력_전공의명단!$F$2:$F$401,$R102))</f>
        <v/>
      </c>
      <c r="F102" s="26">
        <f>IF($R102="","",INDEX(입력_전공의명단!$G$2:$G$401,$R102))</f>
        <v/>
      </c>
      <c r="G102" s="26">
        <f>IF($R102="","",INDEX(입력_전공의명단!$AE$2:$AE$401,$R102))</f>
        <v/>
      </c>
      <c r="H102" s="27">
        <f>IF($R102="","",IF(INDEX(입력_전공의명단!$AE$2:$AE$401,$R102)="서울병원","서울 소속","타 병원 소속("&amp;INDEX(입력_전공의명단!$AE$2:$AE$401,$R102)&amp;") → 서울 지급"))</f>
        <v/>
      </c>
      <c r="I102" s="26">
        <f>IF($R102="","",INDEX(입력_전공의명단!$N$2:$N$401,$R102))</f>
        <v/>
      </c>
      <c r="J102" s="26">
        <f>IF($R102="","",INDEX(입력_전공의명단!$P$2:$P$401,$R102))</f>
        <v/>
      </c>
      <c r="K102" s="26">
        <f>IF($R102="","",INDEX(입력_전공의명단!$Q$2:$Q$401,$R102))</f>
        <v/>
      </c>
      <c r="L102" s="28">
        <f>IF($R102="","",INDEX(입력_전공의명단!$S$2:$S$401,$R102))</f>
        <v/>
      </c>
      <c r="M102" s="28">
        <f>IF($R102="","",INDEX(입력_전공의명단!$T$2:$T$401,$R102))</f>
        <v/>
      </c>
      <c r="N102" s="26">
        <f>IF($R102="","",INDEX(입력_전공의명단!$AH$2:$AH$401,$R102))</f>
        <v/>
      </c>
      <c r="O102" s="26">
        <f>IF($R102="","",INDEX(입력_전공의명단!$AI$2:$AI$401,$R102))</f>
        <v/>
      </c>
      <c r="P102" s="27">
        <f>IF($R102="","",INDEX(입력_전공의명단!$AO$2:$AO$401,$R102))</f>
        <v/>
      </c>
      <c r="Q102" s="27">
        <f>IF($R102="","",INDEX(입력_전공의명단!$Z$2:$Z$401,$R102))</f>
        <v/>
      </c>
      <c r="R102" s="29">
        <f>IFERROR(MATCH(ROW()-5,입력_전공의명단!$AM$2:$AM$401,0),"")</f>
        <v/>
      </c>
      <c r="T102" s="26">
        <f>IF($Y102="","",INDEX(입력_전공의명단!$C$2:$C$401,$Y102))</f>
        <v/>
      </c>
      <c r="U102" s="26">
        <f>IF($Y102="","",INDEX(입력_전공의명단!$B$2:$B$401,$Y102))</f>
        <v/>
      </c>
      <c r="V102" s="26">
        <f>IF($Y102="","",INDEX(입력_전공의명단!$AE$2:$AE$401,$Y102))</f>
        <v/>
      </c>
      <c r="W102" s="26">
        <f>IF($Y102="","",INDEX(입력_전공의명단!$AH$2:$AH$401,$Y102))</f>
        <v/>
      </c>
      <c r="X102" s="26">
        <f>IF($Y102="","",INDEX(입력_전공의명단!$AI$2:$AI$401,$Y102))</f>
        <v/>
      </c>
      <c r="Y102" s="29">
        <f>IFERROR(MATCH(ROW()-5,입력_전공의명단!$AN$2:$AN$401,0),"")</f>
        <v/>
      </c>
    </row>
    <row r="103">
      <c r="A103" s="26">
        <f>IF($R103="","",ROW()-5)</f>
        <v/>
      </c>
      <c r="B103" s="26">
        <f>IF($R103="","",INDEX(입력_전공의명단!$C$2:$C$401,$R103))</f>
        <v/>
      </c>
      <c r="C103" s="26">
        <f>IF($R103="","",INDEX(입력_전공의명단!$B$2:$B$401,$R103))</f>
        <v/>
      </c>
      <c r="D103" s="26">
        <f>IF($R103="","",INDEX(입력_전공의명단!$J$2:$J$401,$R103))</f>
        <v/>
      </c>
      <c r="E103" s="26">
        <f>IF($R103="","",INDEX(입력_전공의명단!$F$2:$F$401,$R103))</f>
        <v/>
      </c>
      <c r="F103" s="26">
        <f>IF($R103="","",INDEX(입력_전공의명단!$G$2:$G$401,$R103))</f>
        <v/>
      </c>
      <c r="G103" s="26">
        <f>IF($R103="","",INDEX(입력_전공의명단!$AE$2:$AE$401,$R103))</f>
        <v/>
      </c>
      <c r="H103" s="27">
        <f>IF($R103="","",IF(INDEX(입력_전공의명단!$AE$2:$AE$401,$R103)="서울병원","서울 소속","타 병원 소속("&amp;INDEX(입력_전공의명단!$AE$2:$AE$401,$R103)&amp;") → 서울 지급"))</f>
        <v/>
      </c>
      <c r="I103" s="26">
        <f>IF($R103="","",INDEX(입력_전공의명단!$N$2:$N$401,$R103))</f>
        <v/>
      </c>
      <c r="J103" s="26">
        <f>IF($R103="","",INDEX(입력_전공의명단!$P$2:$P$401,$R103))</f>
        <v/>
      </c>
      <c r="K103" s="26">
        <f>IF($R103="","",INDEX(입력_전공의명단!$Q$2:$Q$401,$R103))</f>
        <v/>
      </c>
      <c r="L103" s="28">
        <f>IF($R103="","",INDEX(입력_전공의명단!$S$2:$S$401,$R103))</f>
        <v/>
      </c>
      <c r="M103" s="28">
        <f>IF($R103="","",INDEX(입력_전공의명단!$T$2:$T$401,$R103))</f>
        <v/>
      </c>
      <c r="N103" s="26">
        <f>IF($R103="","",INDEX(입력_전공의명단!$AH$2:$AH$401,$R103))</f>
        <v/>
      </c>
      <c r="O103" s="26">
        <f>IF($R103="","",INDEX(입력_전공의명단!$AI$2:$AI$401,$R103))</f>
        <v/>
      </c>
      <c r="P103" s="27">
        <f>IF($R103="","",INDEX(입력_전공의명단!$AO$2:$AO$401,$R103))</f>
        <v/>
      </c>
      <c r="Q103" s="27">
        <f>IF($R103="","",INDEX(입력_전공의명단!$Z$2:$Z$401,$R103))</f>
        <v/>
      </c>
      <c r="R103" s="29">
        <f>IFERROR(MATCH(ROW()-5,입력_전공의명단!$AM$2:$AM$401,0),"")</f>
        <v/>
      </c>
      <c r="T103" s="26">
        <f>IF($Y103="","",INDEX(입력_전공의명단!$C$2:$C$401,$Y103))</f>
        <v/>
      </c>
      <c r="U103" s="26">
        <f>IF($Y103="","",INDEX(입력_전공의명단!$B$2:$B$401,$Y103))</f>
        <v/>
      </c>
      <c r="V103" s="26">
        <f>IF($Y103="","",INDEX(입력_전공의명단!$AE$2:$AE$401,$Y103))</f>
        <v/>
      </c>
      <c r="W103" s="26">
        <f>IF($Y103="","",INDEX(입력_전공의명단!$AH$2:$AH$401,$Y103))</f>
        <v/>
      </c>
      <c r="X103" s="26">
        <f>IF($Y103="","",INDEX(입력_전공의명단!$AI$2:$AI$401,$Y103))</f>
        <v/>
      </c>
      <c r="Y103" s="29">
        <f>IFERROR(MATCH(ROW()-5,입력_전공의명단!$AN$2:$AN$401,0),"")</f>
        <v/>
      </c>
    </row>
    <row r="104">
      <c r="A104" s="26">
        <f>IF($R104="","",ROW()-5)</f>
        <v/>
      </c>
      <c r="B104" s="26">
        <f>IF($R104="","",INDEX(입력_전공의명단!$C$2:$C$401,$R104))</f>
        <v/>
      </c>
      <c r="C104" s="26">
        <f>IF($R104="","",INDEX(입력_전공의명단!$B$2:$B$401,$R104))</f>
        <v/>
      </c>
      <c r="D104" s="26">
        <f>IF($R104="","",INDEX(입력_전공의명단!$J$2:$J$401,$R104))</f>
        <v/>
      </c>
      <c r="E104" s="26">
        <f>IF($R104="","",INDEX(입력_전공의명단!$F$2:$F$401,$R104))</f>
        <v/>
      </c>
      <c r="F104" s="26">
        <f>IF($R104="","",INDEX(입력_전공의명단!$G$2:$G$401,$R104))</f>
        <v/>
      </c>
      <c r="G104" s="26">
        <f>IF($R104="","",INDEX(입력_전공의명단!$AE$2:$AE$401,$R104))</f>
        <v/>
      </c>
      <c r="H104" s="27">
        <f>IF($R104="","",IF(INDEX(입력_전공의명단!$AE$2:$AE$401,$R104)="서울병원","서울 소속","타 병원 소속("&amp;INDEX(입력_전공의명단!$AE$2:$AE$401,$R104)&amp;") → 서울 지급"))</f>
        <v/>
      </c>
      <c r="I104" s="26">
        <f>IF($R104="","",INDEX(입력_전공의명단!$N$2:$N$401,$R104))</f>
        <v/>
      </c>
      <c r="J104" s="26">
        <f>IF($R104="","",INDEX(입력_전공의명단!$P$2:$P$401,$R104))</f>
        <v/>
      </c>
      <c r="K104" s="26">
        <f>IF($R104="","",INDEX(입력_전공의명단!$Q$2:$Q$401,$R104))</f>
        <v/>
      </c>
      <c r="L104" s="28">
        <f>IF($R104="","",INDEX(입력_전공의명단!$S$2:$S$401,$R104))</f>
        <v/>
      </c>
      <c r="M104" s="28">
        <f>IF($R104="","",INDEX(입력_전공의명단!$T$2:$T$401,$R104))</f>
        <v/>
      </c>
      <c r="N104" s="26">
        <f>IF($R104="","",INDEX(입력_전공의명단!$AH$2:$AH$401,$R104))</f>
        <v/>
      </c>
      <c r="O104" s="26">
        <f>IF($R104="","",INDEX(입력_전공의명단!$AI$2:$AI$401,$R104))</f>
        <v/>
      </c>
      <c r="P104" s="27">
        <f>IF($R104="","",INDEX(입력_전공의명단!$AO$2:$AO$401,$R104))</f>
        <v/>
      </c>
      <c r="Q104" s="27">
        <f>IF($R104="","",INDEX(입력_전공의명단!$Z$2:$Z$401,$R104))</f>
        <v/>
      </c>
      <c r="R104" s="29">
        <f>IFERROR(MATCH(ROW()-5,입력_전공의명단!$AM$2:$AM$401,0),"")</f>
        <v/>
      </c>
      <c r="T104" s="26">
        <f>IF($Y104="","",INDEX(입력_전공의명단!$C$2:$C$401,$Y104))</f>
        <v/>
      </c>
      <c r="U104" s="26">
        <f>IF($Y104="","",INDEX(입력_전공의명단!$B$2:$B$401,$Y104))</f>
        <v/>
      </c>
      <c r="V104" s="26">
        <f>IF($Y104="","",INDEX(입력_전공의명단!$AE$2:$AE$401,$Y104))</f>
        <v/>
      </c>
      <c r="W104" s="26">
        <f>IF($Y104="","",INDEX(입력_전공의명단!$AH$2:$AH$401,$Y104))</f>
        <v/>
      </c>
      <c r="X104" s="26">
        <f>IF($Y104="","",INDEX(입력_전공의명단!$AI$2:$AI$401,$Y104))</f>
        <v/>
      </c>
      <c r="Y104" s="29">
        <f>IFERROR(MATCH(ROW()-5,입력_전공의명단!$AN$2:$AN$401,0),"")</f>
        <v/>
      </c>
    </row>
    <row r="105">
      <c r="A105" s="26">
        <f>IF($R105="","",ROW()-5)</f>
        <v/>
      </c>
      <c r="B105" s="26">
        <f>IF($R105="","",INDEX(입력_전공의명단!$C$2:$C$401,$R105))</f>
        <v/>
      </c>
      <c r="C105" s="26">
        <f>IF($R105="","",INDEX(입력_전공의명단!$B$2:$B$401,$R105))</f>
        <v/>
      </c>
      <c r="D105" s="26">
        <f>IF($R105="","",INDEX(입력_전공의명단!$J$2:$J$401,$R105))</f>
        <v/>
      </c>
      <c r="E105" s="26">
        <f>IF($R105="","",INDEX(입력_전공의명단!$F$2:$F$401,$R105))</f>
        <v/>
      </c>
      <c r="F105" s="26">
        <f>IF($R105="","",INDEX(입력_전공의명단!$G$2:$G$401,$R105))</f>
        <v/>
      </c>
      <c r="G105" s="26">
        <f>IF($R105="","",INDEX(입력_전공의명단!$AE$2:$AE$401,$R105))</f>
        <v/>
      </c>
      <c r="H105" s="27">
        <f>IF($R105="","",IF(INDEX(입력_전공의명단!$AE$2:$AE$401,$R105)="서울병원","서울 소속","타 병원 소속("&amp;INDEX(입력_전공의명단!$AE$2:$AE$401,$R105)&amp;") → 서울 지급"))</f>
        <v/>
      </c>
      <c r="I105" s="26">
        <f>IF($R105="","",INDEX(입력_전공의명단!$N$2:$N$401,$R105))</f>
        <v/>
      </c>
      <c r="J105" s="26">
        <f>IF($R105="","",INDEX(입력_전공의명단!$P$2:$P$401,$R105))</f>
        <v/>
      </c>
      <c r="K105" s="26">
        <f>IF($R105="","",INDEX(입력_전공의명단!$Q$2:$Q$401,$R105))</f>
        <v/>
      </c>
      <c r="L105" s="28">
        <f>IF($R105="","",INDEX(입력_전공의명단!$S$2:$S$401,$R105))</f>
        <v/>
      </c>
      <c r="M105" s="28">
        <f>IF($R105="","",INDEX(입력_전공의명단!$T$2:$T$401,$R105))</f>
        <v/>
      </c>
      <c r="N105" s="26">
        <f>IF($R105="","",INDEX(입력_전공의명단!$AH$2:$AH$401,$R105))</f>
        <v/>
      </c>
      <c r="O105" s="26">
        <f>IF($R105="","",INDEX(입력_전공의명단!$AI$2:$AI$401,$R105))</f>
        <v/>
      </c>
      <c r="P105" s="27">
        <f>IF($R105="","",INDEX(입력_전공의명단!$AO$2:$AO$401,$R105))</f>
        <v/>
      </c>
      <c r="Q105" s="27">
        <f>IF($R105="","",INDEX(입력_전공의명단!$Z$2:$Z$401,$R105))</f>
        <v/>
      </c>
      <c r="R105" s="29">
        <f>IFERROR(MATCH(ROW()-5,입력_전공의명단!$AM$2:$AM$401,0),"")</f>
        <v/>
      </c>
      <c r="T105" s="26">
        <f>IF($Y105="","",INDEX(입력_전공의명단!$C$2:$C$401,$Y105))</f>
        <v/>
      </c>
      <c r="U105" s="26">
        <f>IF($Y105="","",INDEX(입력_전공의명단!$B$2:$B$401,$Y105))</f>
        <v/>
      </c>
      <c r="V105" s="26">
        <f>IF($Y105="","",INDEX(입력_전공의명단!$AE$2:$AE$401,$Y105))</f>
        <v/>
      </c>
      <c r="W105" s="26">
        <f>IF($Y105="","",INDEX(입력_전공의명단!$AH$2:$AH$401,$Y105))</f>
        <v/>
      </c>
      <c r="X105" s="26">
        <f>IF($Y105="","",INDEX(입력_전공의명단!$AI$2:$AI$401,$Y105))</f>
        <v/>
      </c>
      <c r="Y105" s="29">
        <f>IFERROR(MATCH(ROW()-5,입력_전공의명단!$AN$2:$AN$401,0),"")</f>
        <v/>
      </c>
    </row>
    <row r="106">
      <c r="A106" s="26">
        <f>IF($R106="","",ROW()-5)</f>
        <v/>
      </c>
      <c r="B106" s="26">
        <f>IF($R106="","",INDEX(입력_전공의명단!$C$2:$C$401,$R106))</f>
        <v/>
      </c>
      <c r="C106" s="26">
        <f>IF($R106="","",INDEX(입력_전공의명단!$B$2:$B$401,$R106))</f>
        <v/>
      </c>
      <c r="D106" s="26">
        <f>IF($R106="","",INDEX(입력_전공의명단!$J$2:$J$401,$R106))</f>
        <v/>
      </c>
      <c r="E106" s="26">
        <f>IF($R106="","",INDEX(입력_전공의명단!$F$2:$F$401,$R106))</f>
        <v/>
      </c>
      <c r="F106" s="26">
        <f>IF($R106="","",INDEX(입력_전공의명단!$G$2:$G$401,$R106))</f>
        <v/>
      </c>
      <c r="G106" s="26">
        <f>IF($R106="","",INDEX(입력_전공의명단!$AE$2:$AE$401,$R106))</f>
        <v/>
      </c>
      <c r="H106" s="27">
        <f>IF($R106="","",IF(INDEX(입력_전공의명단!$AE$2:$AE$401,$R106)="서울병원","서울 소속","타 병원 소속("&amp;INDEX(입력_전공의명단!$AE$2:$AE$401,$R106)&amp;") → 서울 지급"))</f>
        <v/>
      </c>
      <c r="I106" s="26">
        <f>IF($R106="","",INDEX(입력_전공의명단!$N$2:$N$401,$R106))</f>
        <v/>
      </c>
      <c r="J106" s="26">
        <f>IF($R106="","",INDEX(입력_전공의명단!$P$2:$P$401,$R106))</f>
        <v/>
      </c>
      <c r="K106" s="26">
        <f>IF($R106="","",INDEX(입력_전공의명단!$Q$2:$Q$401,$R106))</f>
        <v/>
      </c>
      <c r="L106" s="28">
        <f>IF($R106="","",INDEX(입력_전공의명단!$S$2:$S$401,$R106))</f>
        <v/>
      </c>
      <c r="M106" s="28">
        <f>IF($R106="","",INDEX(입력_전공의명단!$T$2:$T$401,$R106))</f>
        <v/>
      </c>
      <c r="N106" s="26">
        <f>IF($R106="","",INDEX(입력_전공의명단!$AH$2:$AH$401,$R106))</f>
        <v/>
      </c>
      <c r="O106" s="26">
        <f>IF($R106="","",INDEX(입력_전공의명단!$AI$2:$AI$401,$R106))</f>
        <v/>
      </c>
      <c r="P106" s="27">
        <f>IF($R106="","",INDEX(입력_전공의명단!$AO$2:$AO$401,$R106))</f>
        <v/>
      </c>
      <c r="Q106" s="27">
        <f>IF($R106="","",INDEX(입력_전공의명단!$Z$2:$Z$401,$R106))</f>
        <v/>
      </c>
      <c r="R106" s="29">
        <f>IFERROR(MATCH(ROW()-5,입력_전공의명단!$AM$2:$AM$401,0),"")</f>
        <v/>
      </c>
    </row>
    <row r="107">
      <c r="A107" s="26">
        <f>IF($R107="","",ROW()-5)</f>
        <v/>
      </c>
      <c r="B107" s="26">
        <f>IF($R107="","",INDEX(입력_전공의명단!$C$2:$C$401,$R107))</f>
        <v/>
      </c>
      <c r="C107" s="26">
        <f>IF($R107="","",INDEX(입력_전공의명단!$B$2:$B$401,$R107))</f>
        <v/>
      </c>
      <c r="D107" s="26">
        <f>IF($R107="","",INDEX(입력_전공의명단!$J$2:$J$401,$R107))</f>
        <v/>
      </c>
      <c r="E107" s="26">
        <f>IF($R107="","",INDEX(입력_전공의명단!$F$2:$F$401,$R107))</f>
        <v/>
      </c>
      <c r="F107" s="26">
        <f>IF($R107="","",INDEX(입력_전공의명단!$G$2:$G$401,$R107))</f>
        <v/>
      </c>
      <c r="G107" s="26">
        <f>IF($R107="","",INDEX(입력_전공의명단!$AE$2:$AE$401,$R107))</f>
        <v/>
      </c>
      <c r="H107" s="27">
        <f>IF($R107="","",IF(INDEX(입력_전공의명단!$AE$2:$AE$401,$R107)="서울병원","서울 소속","타 병원 소속("&amp;INDEX(입력_전공의명단!$AE$2:$AE$401,$R107)&amp;") → 서울 지급"))</f>
        <v/>
      </c>
      <c r="I107" s="26">
        <f>IF($R107="","",INDEX(입력_전공의명단!$N$2:$N$401,$R107))</f>
        <v/>
      </c>
      <c r="J107" s="26">
        <f>IF($R107="","",INDEX(입력_전공의명단!$P$2:$P$401,$R107))</f>
        <v/>
      </c>
      <c r="K107" s="26">
        <f>IF($R107="","",INDEX(입력_전공의명단!$Q$2:$Q$401,$R107))</f>
        <v/>
      </c>
      <c r="L107" s="28">
        <f>IF($R107="","",INDEX(입력_전공의명단!$S$2:$S$401,$R107))</f>
        <v/>
      </c>
      <c r="M107" s="28">
        <f>IF($R107="","",INDEX(입력_전공의명단!$T$2:$T$401,$R107))</f>
        <v/>
      </c>
      <c r="N107" s="26">
        <f>IF($R107="","",INDEX(입력_전공의명단!$AH$2:$AH$401,$R107))</f>
        <v/>
      </c>
      <c r="O107" s="26">
        <f>IF($R107="","",INDEX(입력_전공의명단!$AI$2:$AI$401,$R107))</f>
        <v/>
      </c>
      <c r="P107" s="27">
        <f>IF($R107="","",INDEX(입력_전공의명단!$AO$2:$AO$401,$R107))</f>
        <v/>
      </c>
      <c r="Q107" s="27">
        <f>IF($R107="","",INDEX(입력_전공의명단!$Z$2:$Z$401,$R107))</f>
        <v/>
      </c>
      <c r="R107" s="29">
        <f>IFERROR(MATCH(ROW()-5,입력_전공의명단!$AM$2:$AM$401,0),"")</f>
        <v/>
      </c>
    </row>
    <row r="108">
      <c r="A108" s="26">
        <f>IF($R108="","",ROW()-5)</f>
        <v/>
      </c>
      <c r="B108" s="26">
        <f>IF($R108="","",INDEX(입력_전공의명단!$C$2:$C$401,$R108))</f>
        <v/>
      </c>
      <c r="C108" s="26">
        <f>IF($R108="","",INDEX(입력_전공의명단!$B$2:$B$401,$R108))</f>
        <v/>
      </c>
      <c r="D108" s="26">
        <f>IF($R108="","",INDEX(입력_전공의명단!$J$2:$J$401,$R108))</f>
        <v/>
      </c>
      <c r="E108" s="26">
        <f>IF($R108="","",INDEX(입력_전공의명단!$F$2:$F$401,$R108))</f>
        <v/>
      </c>
      <c r="F108" s="26">
        <f>IF($R108="","",INDEX(입력_전공의명단!$G$2:$G$401,$R108))</f>
        <v/>
      </c>
      <c r="G108" s="26">
        <f>IF($R108="","",INDEX(입력_전공의명단!$AE$2:$AE$401,$R108))</f>
        <v/>
      </c>
      <c r="H108" s="27">
        <f>IF($R108="","",IF(INDEX(입력_전공의명단!$AE$2:$AE$401,$R108)="서울병원","서울 소속","타 병원 소속("&amp;INDEX(입력_전공의명단!$AE$2:$AE$401,$R108)&amp;") → 서울 지급"))</f>
        <v/>
      </c>
      <c r="I108" s="26">
        <f>IF($R108="","",INDEX(입력_전공의명단!$N$2:$N$401,$R108))</f>
        <v/>
      </c>
      <c r="J108" s="26">
        <f>IF($R108="","",INDEX(입력_전공의명단!$P$2:$P$401,$R108))</f>
        <v/>
      </c>
      <c r="K108" s="26">
        <f>IF($R108="","",INDEX(입력_전공의명단!$Q$2:$Q$401,$R108))</f>
        <v/>
      </c>
      <c r="L108" s="28">
        <f>IF($R108="","",INDEX(입력_전공의명단!$S$2:$S$401,$R108))</f>
        <v/>
      </c>
      <c r="M108" s="28">
        <f>IF($R108="","",INDEX(입력_전공의명단!$T$2:$T$401,$R108))</f>
        <v/>
      </c>
      <c r="N108" s="26">
        <f>IF($R108="","",INDEX(입력_전공의명단!$AH$2:$AH$401,$R108))</f>
        <v/>
      </c>
      <c r="O108" s="26">
        <f>IF($R108="","",INDEX(입력_전공의명단!$AI$2:$AI$401,$R108))</f>
        <v/>
      </c>
      <c r="P108" s="27">
        <f>IF($R108="","",INDEX(입력_전공의명단!$AO$2:$AO$401,$R108))</f>
        <v/>
      </c>
      <c r="Q108" s="27">
        <f>IF($R108="","",INDEX(입력_전공의명단!$Z$2:$Z$401,$R108))</f>
        <v/>
      </c>
      <c r="R108" s="29">
        <f>IFERROR(MATCH(ROW()-5,입력_전공의명단!$AM$2:$AM$401,0),"")</f>
        <v/>
      </c>
    </row>
    <row r="109">
      <c r="A109" s="26">
        <f>IF($R109="","",ROW()-5)</f>
        <v/>
      </c>
      <c r="B109" s="26">
        <f>IF($R109="","",INDEX(입력_전공의명단!$C$2:$C$401,$R109))</f>
        <v/>
      </c>
      <c r="C109" s="26">
        <f>IF($R109="","",INDEX(입력_전공의명단!$B$2:$B$401,$R109))</f>
        <v/>
      </c>
      <c r="D109" s="26">
        <f>IF($R109="","",INDEX(입력_전공의명단!$J$2:$J$401,$R109))</f>
        <v/>
      </c>
      <c r="E109" s="26">
        <f>IF($R109="","",INDEX(입력_전공의명단!$F$2:$F$401,$R109))</f>
        <v/>
      </c>
      <c r="F109" s="26">
        <f>IF($R109="","",INDEX(입력_전공의명단!$G$2:$G$401,$R109))</f>
        <v/>
      </c>
      <c r="G109" s="26">
        <f>IF($R109="","",INDEX(입력_전공의명단!$AE$2:$AE$401,$R109))</f>
        <v/>
      </c>
      <c r="H109" s="27">
        <f>IF($R109="","",IF(INDEX(입력_전공의명단!$AE$2:$AE$401,$R109)="서울병원","서울 소속","타 병원 소속("&amp;INDEX(입력_전공의명단!$AE$2:$AE$401,$R109)&amp;") → 서울 지급"))</f>
        <v/>
      </c>
      <c r="I109" s="26">
        <f>IF($R109="","",INDEX(입력_전공의명단!$N$2:$N$401,$R109))</f>
        <v/>
      </c>
      <c r="J109" s="26">
        <f>IF($R109="","",INDEX(입력_전공의명단!$P$2:$P$401,$R109))</f>
        <v/>
      </c>
      <c r="K109" s="26">
        <f>IF($R109="","",INDEX(입력_전공의명단!$Q$2:$Q$401,$R109))</f>
        <v/>
      </c>
      <c r="L109" s="28">
        <f>IF($R109="","",INDEX(입력_전공의명단!$S$2:$S$401,$R109))</f>
        <v/>
      </c>
      <c r="M109" s="28">
        <f>IF($R109="","",INDEX(입력_전공의명단!$T$2:$T$401,$R109))</f>
        <v/>
      </c>
      <c r="N109" s="26">
        <f>IF($R109="","",INDEX(입력_전공의명단!$AH$2:$AH$401,$R109))</f>
        <v/>
      </c>
      <c r="O109" s="26">
        <f>IF($R109="","",INDEX(입력_전공의명단!$AI$2:$AI$401,$R109))</f>
        <v/>
      </c>
      <c r="P109" s="27">
        <f>IF($R109="","",INDEX(입력_전공의명단!$AO$2:$AO$401,$R109))</f>
        <v/>
      </c>
      <c r="Q109" s="27">
        <f>IF($R109="","",INDEX(입력_전공의명단!$Z$2:$Z$401,$R109))</f>
        <v/>
      </c>
      <c r="R109" s="29">
        <f>IFERROR(MATCH(ROW()-5,입력_전공의명단!$AM$2:$AM$401,0),"")</f>
        <v/>
      </c>
    </row>
    <row r="110">
      <c r="A110" s="26">
        <f>IF($R110="","",ROW()-5)</f>
        <v/>
      </c>
      <c r="B110" s="26">
        <f>IF($R110="","",INDEX(입력_전공의명단!$C$2:$C$401,$R110))</f>
        <v/>
      </c>
      <c r="C110" s="26">
        <f>IF($R110="","",INDEX(입력_전공의명단!$B$2:$B$401,$R110))</f>
        <v/>
      </c>
      <c r="D110" s="26">
        <f>IF($R110="","",INDEX(입력_전공의명단!$J$2:$J$401,$R110))</f>
        <v/>
      </c>
      <c r="E110" s="26">
        <f>IF($R110="","",INDEX(입력_전공의명단!$F$2:$F$401,$R110))</f>
        <v/>
      </c>
      <c r="F110" s="26">
        <f>IF($R110="","",INDEX(입력_전공의명단!$G$2:$G$401,$R110))</f>
        <v/>
      </c>
      <c r="G110" s="26">
        <f>IF($R110="","",INDEX(입력_전공의명단!$AE$2:$AE$401,$R110))</f>
        <v/>
      </c>
      <c r="H110" s="27">
        <f>IF($R110="","",IF(INDEX(입력_전공의명단!$AE$2:$AE$401,$R110)="서울병원","서울 소속","타 병원 소속("&amp;INDEX(입력_전공의명단!$AE$2:$AE$401,$R110)&amp;") → 서울 지급"))</f>
        <v/>
      </c>
      <c r="I110" s="26">
        <f>IF($R110="","",INDEX(입력_전공의명단!$N$2:$N$401,$R110))</f>
        <v/>
      </c>
      <c r="J110" s="26">
        <f>IF($R110="","",INDEX(입력_전공의명단!$P$2:$P$401,$R110))</f>
        <v/>
      </c>
      <c r="K110" s="26">
        <f>IF($R110="","",INDEX(입력_전공의명단!$Q$2:$Q$401,$R110))</f>
        <v/>
      </c>
      <c r="L110" s="28">
        <f>IF($R110="","",INDEX(입력_전공의명단!$S$2:$S$401,$R110))</f>
        <v/>
      </c>
      <c r="M110" s="28">
        <f>IF($R110="","",INDEX(입력_전공의명단!$T$2:$T$401,$R110))</f>
        <v/>
      </c>
      <c r="N110" s="26">
        <f>IF($R110="","",INDEX(입력_전공의명단!$AH$2:$AH$401,$R110))</f>
        <v/>
      </c>
      <c r="O110" s="26">
        <f>IF($R110="","",INDEX(입력_전공의명단!$AI$2:$AI$401,$R110))</f>
        <v/>
      </c>
      <c r="P110" s="27">
        <f>IF($R110="","",INDEX(입력_전공의명단!$AO$2:$AO$401,$R110))</f>
        <v/>
      </c>
      <c r="Q110" s="27">
        <f>IF($R110="","",INDEX(입력_전공의명단!$Z$2:$Z$401,$R110))</f>
        <v/>
      </c>
      <c r="R110" s="29">
        <f>IFERROR(MATCH(ROW()-5,입력_전공의명단!$AM$2:$AM$401,0),"")</f>
        <v/>
      </c>
    </row>
    <row r="111">
      <c r="A111" s="26">
        <f>IF($R111="","",ROW()-5)</f>
        <v/>
      </c>
      <c r="B111" s="26">
        <f>IF($R111="","",INDEX(입력_전공의명단!$C$2:$C$401,$R111))</f>
        <v/>
      </c>
      <c r="C111" s="26">
        <f>IF($R111="","",INDEX(입력_전공의명단!$B$2:$B$401,$R111))</f>
        <v/>
      </c>
      <c r="D111" s="26">
        <f>IF($R111="","",INDEX(입력_전공의명단!$J$2:$J$401,$R111))</f>
        <v/>
      </c>
      <c r="E111" s="26">
        <f>IF($R111="","",INDEX(입력_전공의명단!$F$2:$F$401,$R111))</f>
        <v/>
      </c>
      <c r="F111" s="26">
        <f>IF($R111="","",INDEX(입력_전공의명단!$G$2:$G$401,$R111))</f>
        <v/>
      </c>
      <c r="G111" s="26">
        <f>IF($R111="","",INDEX(입력_전공의명단!$AE$2:$AE$401,$R111))</f>
        <v/>
      </c>
      <c r="H111" s="27">
        <f>IF($R111="","",IF(INDEX(입력_전공의명단!$AE$2:$AE$401,$R111)="서울병원","서울 소속","타 병원 소속("&amp;INDEX(입력_전공의명단!$AE$2:$AE$401,$R111)&amp;") → 서울 지급"))</f>
        <v/>
      </c>
      <c r="I111" s="26">
        <f>IF($R111="","",INDEX(입력_전공의명단!$N$2:$N$401,$R111))</f>
        <v/>
      </c>
      <c r="J111" s="26">
        <f>IF($R111="","",INDEX(입력_전공의명단!$P$2:$P$401,$R111))</f>
        <v/>
      </c>
      <c r="K111" s="26">
        <f>IF($R111="","",INDEX(입력_전공의명단!$Q$2:$Q$401,$R111))</f>
        <v/>
      </c>
      <c r="L111" s="28">
        <f>IF($R111="","",INDEX(입력_전공의명단!$S$2:$S$401,$R111))</f>
        <v/>
      </c>
      <c r="M111" s="28">
        <f>IF($R111="","",INDEX(입력_전공의명단!$T$2:$T$401,$R111))</f>
        <v/>
      </c>
      <c r="N111" s="26">
        <f>IF($R111="","",INDEX(입력_전공의명단!$AH$2:$AH$401,$R111))</f>
        <v/>
      </c>
      <c r="O111" s="26">
        <f>IF($R111="","",INDEX(입력_전공의명단!$AI$2:$AI$401,$R111))</f>
        <v/>
      </c>
      <c r="P111" s="27">
        <f>IF($R111="","",INDEX(입력_전공의명단!$AO$2:$AO$401,$R111))</f>
        <v/>
      </c>
      <c r="Q111" s="27">
        <f>IF($R111="","",INDEX(입력_전공의명단!$Z$2:$Z$401,$R111))</f>
        <v/>
      </c>
      <c r="R111" s="29">
        <f>IFERROR(MATCH(ROW()-5,입력_전공의명단!$AM$2:$AM$401,0),"")</f>
        <v/>
      </c>
    </row>
    <row r="112">
      <c r="A112" s="26">
        <f>IF($R112="","",ROW()-5)</f>
        <v/>
      </c>
      <c r="B112" s="26">
        <f>IF($R112="","",INDEX(입력_전공의명단!$C$2:$C$401,$R112))</f>
        <v/>
      </c>
      <c r="C112" s="26">
        <f>IF($R112="","",INDEX(입력_전공의명단!$B$2:$B$401,$R112))</f>
        <v/>
      </c>
      <c r="D112" s="26">
        <f>IF($R112="","",INDEX(입력_전공의명단!$J$2:$J$401,$R112))</f>
        <v/>
      </c>
      <c r="E112" s="26">
        <f>IF($R112="","",INDEX(입력_전공의명단!$F$2:$F$401,$R112))</f>
        <v/>
      </c>
      <c r="F112" s="26">
        <f>IF($R112="","",INDEX(입력_전공의명단!$G$2:$G$401,$R112))</f>
        <v/>
      </c>
      <c r="G112" s="26">
        <f>IF($R112="","",INDEX(입력_전공의명단!$AE$2:$AE$401,$R112))</f>
        <v/>
      </c>
      <c r="H112" s="27">
        <f>IF($R112="","",IF(INDEX(입력_전공의명단!$AE$2:$AE$401,$R112)="서울병원","서울 소속","타 병원 소속("&amp;INDEX(입력_전공의명단!$AE$2:$AE$401,$R112)&amp;") → 서울 지급"))</f>
        <v/>
      </c>
      <c r="I112" s="26">
        <f>IF($R112="","",INDEX(입력_전공의명단!$N$2:$N$401,$R112))</f>
        <v/>
      </c>
      <c r="J112" s="26">
        <f>IF($R112="","",INDEX(입력_전공의명단!$P$2:$P$401,$R112))</f>
        <v/>
      </c>
      <c r="K112" s="26">
        <f>IF($R112="","",INDEX(입력_전공의명단!$Q$2:$Q$401,$R112))</f>
        <v/>
      </c>
      <c r="L112" s="28">
        <f>IF($R112="","",INDEX(입력_전공의명단!$S$2:$S$401,$R112))</f>
        <v/>
      </c>
      <c r="M112" s="28">
        <f>IF($R112="","",INDEX(입력_전공의명단!$T$2:$T$401,$R112))</f>
        <v/>
      </c>
      <c r="N112" s="26">
        <f>IF($R112="","",INDEX(입력_전공의명단!$AH$2:$AH$401,$R112))</f>
        <v/>
      </c>
      <c r="O112" s="26">
        <f>IF($R112="","",INDEX(입력_전공의명단!$AI$2:$AI$401,$R112))</f>
        <v/>
      </c>
      <c r="P112" s="27">
        <f>IF($R112="","",INDEX(입력_전공의명단!$AO$2:$AO$401,$R112))</f>
        <v/>
      </c>
      <c r="Q112" s="27">
        <f>IF($R112="","",INDEX(입력_전공의명단!$Z$2:$Z$401,$R112))</f>
        <v/>
      </c>
      <c r="R112" s="29">
        <f>IFERROR(MATCH(ROW()-5,입력_전공의명단!$AM$2:$AM$401,0),"")</f>
        <v/>
      </c>
    </row>
    <row r="113">
      <c r="A113" s="26">
        <f>IF($R113="","",ROW()-5)</f>
        <v/>
      </c>
      <c r="B113" s="26">
        <f>IF($R113="","",INDEX(입력_전공의명단!$C$2:$C$401,$R113))</f>
        <v/>
      </c>
      <c r="C113" s="26">
        <f>IF($R113="","",INDEX(입력_전공의명단!$B$2:$B$401,$R113))</f>
        <v/>
      </c>
      <c r="D113" s="26">
        <f>IF($R113="","",INDEX(입력_전공의명단!$J$2:$J$401,$R113))</f>
        <v/>
      </c>
      <c r="E113" s="26">
        <f>IF($R113="","",INDEX(입력_전공의명단!$F$2:$F$401,$R113))</f>
        <v/>
      </c>
      <c r="F113" s="26">
        <f>IF($R113="","",INDEX(입력_전공의명단!$G$2:$G$401,$R113))</f>
        <v/>
      </c>
      <c r="G113" s="26">
        <f>IF($R113="","",INDEX(입력_전공의명단!$AE$2:$AE$401,$R113))</f>
        <v/>
      </c>
      <c r="H113" s="27">
        <f>IF($R113="","",IF(INDEX(입력_전공의명단!$AE$2:$AE$401,$R113)="서울병원","서울 소속","타 병원 소속("&amp;INDEX(입력_전공의명단!$AE$2:$AE$401,$R113)&amp;") → 서울 지급"))</f>
        <v/>
      </c>
      <c r="I113" s="26">
        <f>IF($R113="","",INDEX(입력_전공의명단!$N$2:$N$401,$R113))</f>
        <v/>
      </c>
      <c r="J113" s="26">
        <f>IF($R113="","",INDEX(입력_전공의명단!$P$2:$P$401,$R113))</f>
        <v/>
      </c>
      <c r="K113" s="26">
        <f>IF($R113="","",INDEX(입력_전공의명단!$Q$2:$Q$401,$R113))</f>
        <v/>
      </c>
      <c r="L113" s="28">
        <f>IF($R113="","",INDEX(입력_전공의명단!$S$2:$S$401,$R113))</f>
        <v/>
      </c>
      <c r="M113" s="28">
        <f>IF($R113="","",INDEX(입력_전공의명단!$T$2:$T$401,$R113))</f>
        <v/>
      </c>
      <c r="N113" s="26">
        <f>IF($R113="","",INDEX(입력_전공의명단!$AH$2:$AH$401,$R113))</f>
        <v/>
      </c>
      <c r="O113" s="26">
        <f>IF($R113="","",INDEX(입력_전공의명단!$AI$2:$AI$401,$R113))</f>
        <v/>
      </c>
      <c r="P113" s="27">
        <f>IF($R113="","",INDEX(입력_전공의명단!$AO$2:$AO$401,$R113))</f>
        <v/>
      </c>
      <c r="Q113" s="27">
        <f>IF($R113="","",INDEX(입력_전공의명단!$Z$2:$Z$401,$R113))</f>
        <v/>
      </c>
      <c r="R113" s="29">
        <f>IFERROR(MATCH(ROW()-5,입력_전공의명단!$AM$2:$AM$401,0),"")</f>
        <v/>
      </c>
    </row>
    <row r="114">
      <c r="A114" s="26">
        <f>IF($R114="","",ROW()-5)</f>
        <v/>
      </c>
      <c r="B114" s="26">
        <f>IF($R114="","",INDEX(입력_전공의명단!$C$2:$C$401,$R114))</f>
        <v/>
      </c>
      <c r="C114" s="26">
        <f>IF($R114="","",INDEX(입력_전공의명단!$B$2:$B$401,$R114))</f>
        <v/>
      </c>
      <c r="D114" s="26">
        <f>IF($R114="","",INDEX(입력_전공의명단!$J$2:$J$401,$R114))</f>
        <v/>
      </c>
      <c r="E114" s="26">
        <f>IF($R114="","",INDEX(입력_전공의명단!$F$2:$F$401,$R114))</f>
        <v/>
      </c>
      <c r="F114" s="26">
        <f>IF($R114="","",INDEX(입력_전공의명단!$G$2:$G$401,$R114))</f>
        <v/>
      </c>
      <c r="G114" s="26">
        <f>IF($R114="","",INDEX(입력_전공의명단!$AE$2:$AE$401,$R114))</f>
        <v/>
      </c>
      <c r="H114" s="27">
        <f>IF($R114="","",IF(INDEX(입력_전공의명단!$AE$2:$AE$401,$R114)="서울병원","서울 소속","타 병원 소속("&amp;INDEX(입력_전공의명단!$AE$2:$AE$401,$R114)&amp;") → 서울 지급"))</f>
        <v/>
      </c>
      <c r="I114" s="26">
        <f>IF($R114="","",INDEX(입력_전공의명단!$N$2:$N$401,$R114))</f>
        <v/>
      </c>
      <c r="J114" s="26">
        <f>IF($R114="","",INDEX(입력_전공의명단!$P$2:$P$401,$R114))</f>
        <v/>
      </c>
      <c r="K114" s="26">
        <f>IF($R114="","",INDEX(입력_전공의명단!$Q$2:$Q$401,$R114))</f>
        <v/>
      </c>
      <c r="L114" s="28">
        <f>IF($R114="","",INDEX(입력_전공의명단!$S$2:$S$401,$R114))</f>
        <v/>
      </c>
      <c r="M114" s="28">
        <f>IF($R114="","",INDEX(입력_전공의명단!$T$2:$T$401,$R114))</f>
        <v/>
      </c>
      <c r="N114" s="26">
        <f>IF($R114="","",INDEX(입력_전공의명단!$AH$2:$AH$401,$R114))</f>
        <v/>
      </c>
      <c r="O114" s="26">
        <f>IF($R114="","",INDEX(입력_전공의명단!$AI$2:$AI$401,$R114))</f>
        <v/>
      </c>
      <c r="P114" s="27">
        <f>IF($R114="","",INDEX(입력_전공의명단!$AO$2:$AO$401,$R114))</f>
        <v/>
      </c>
      <c r="Q114" s="27">
        <f>IF($R114="","",INDEX(입력_전공의명단!$Z$2:$Z$401,$R114))</f>
        <v/>
      </c>
      <c r="R114" s="29">
        <f>IFERROR(MATCH(ROW()-5,입력_전공의명단!$AM$2:$AM$401,0),"")</f>
        <v/>
      </c>
    </row>
    <row r="115">
      <c r="A115" s="26">
        <f>IF($R115="","",ROW()-5)</f>
        <v/>
      </c>
      <c r="B115" s="26">
        <f>IF($R115="","",INDEX(입력_전공의명단!$C$2:$C$401,$R115))</f>
        <v/>
      </c>
      <c r="C115" s="26">
        <f>IF($R115="","",INDEX(입력_전공의명단!$B$2:$B$401,$R115))</f>
        <v/>
      </c>
      <c r="D115" s="26">
        <f>IF($R115="","",INDEX(입력_전공의명단!$J$2:$J$401,$R115))</f>
        <v/>
      </c>
      <c r="E115" s="26">
        <f>IF($R115="","",INDEX(입력_전공의명단!$F$2:$F$401,$R115))</f>
        <v/>
      </c>
      <c r="F115" s="26">
        <f>IF($R115="","",INDEX(입력_전공의명단!$G$2:$G$401,$R115))</f>
        <v/>
      </c>
      <c r="G115" s="26">
        <f>IF($R115="","",INDEX(입력_전공의명단!$AE$2:$AE$401,$R115))</f>
        <v/>
      </c>
      <c r="H115" s="27">
        <f>IF($R115="","",IF(INDEX(입력_전공의명단!$AE$2:$AE$401,$R115)="서울병원","서울 소속","타 병원 소속("&amp;INDEX(입력_전공의명단!$AE$2:$AE$401,$R115)&amp;") → 서울 지급"))</f>
        <v/>
      </c>
      <c r="I115" s="26">
        <f>IF($R115="","",INDEX(입력_전공의명단!$N$2:$N$401,$R115))</f>
        <v/>
      </c>
      <c r="J115" s="26">
        <f>IF($R115="","",INDEX(입력_전공의명단!$P$2:$P$401,$R115))</f>
        <v/>
      </c>
      <c r="K115" s="26">
        <f>IF($R115="","",INDEX(입력_전공의명단!$Q$2:$Q$401,$R115))</f>
        <v/>
      </c>
      <c r="L115" s="28">
        <f>IF($R115="","",INDEX(입력_전공의명단!$S$2:$S$401,$R115))</f>
        <v/>
      </c>
      <c r="M115" s="28">
        <f>IF($R115="","",INDEX(입력_전공의명단!$T$2:$T$401,$R115))</f>
        <v/>
      </c>
      <c r="N115" s="26">
        <f>IF($R115="","",INDEX(입력_전공의명단!$AH$2:$AH$401,$R115))</f>
        <v/>
      </c>
      <c r="O115" s="26">
        <f>IF($R115="","",INDEX(입력_전공의명단!$AI$2:$AI$401,$R115))</f>
        <v/>
      </c>
      <c r="P115" s="27">
        <f>IF($R115="","",INDEX(입력_전공의명단!$AO$2:$AO$401,$R115))</f>
        <v/>
      </c>
      <c r="Q115" s="27">
        <f>IF($R115="","",INDEX(입력_전공의명단!$Z$2:$Z$401,$R115))</f>
        <v/>
      </c>
      <c r="R115" s="29">
        <f>IFERROR(MATCH(ROW()-5,입력_전공의명단!$AM$2:$AM$401,0),"")</f>
        <v/>
      </c>
    </row>
    <row r="116">
      <c r="A116" s="26">
        <f>IF($R116="","",ROW()-5)</f>
        <v/>
      </c>
      <c r="B116" s="26">
        <f>IF($R116="","",INDEX(입력_전공의명단!$C$2:$C$401,$R116))</f>
        <v/>
      </c>
      <c r="C116" s="26">
        <f>IF($R116="","",INDEX(입력_전공의명단!$B$2:$B$401,$R116))</f>
        <v/>
      </c>
      <c r="D116" s="26">
        <f>IF($R116="","",INDEX(입력_전공의명단!$J$2:$J$401,$R116))</f>
        <v/>
      </c>
      <c r="E116" s="26">
        <f>IF($R116="","",INDEX(입력_전공의명단!$F$2:$F$401,$R116))</f>
        <v/>
      </c>
      <c r="F116" s="26">
        <f>IF($R116="","",INDEX(입력_전공의명단!$G$2:$G$401,$R116))</f>
        <v/>
      </c>
      <c r="G116" s="26">
        <f>IF($R116="","",INDEX(입력_전공의명단!$AE$2:$AE$401,$R116))</f>
        <v/>
      </c>
      <c r="H116" s="27">
        <f>IF($R116="","",IF(INDEX(입력_전공의명단!$AE$2:$AE$401,$R116)="서울병원","서울 소속","타 병원 소속("&amp;INDEX(입력_전공의명단!$AE$2:$AE$401,$R116)&amp;") → 서울 지급"))</f>
        <v/>
      </c>
      <c r="I116" s="26">
        <f>IF($R116="","",INDEX(입력_전공의명단!$N$2:$N$401,$R116))</f>
        <v/>
      </c>
      <c r="J116" s="26">
        <f>IF($R116="","",INDEX(입력_전공의명단!$P$2:$P$401,$R116))</f>
        <v/>
      </c>
      <c r="K116" s="26">
        <f>IF($R116="","",INDEX(입력_전공의명단!$Q$2:$Q$401,$R116))</f>
        <v/>
      </c>
      <c r="L116" s="28">
        <f>IF($R116="","",INDEX(입력_전공의명단!$S$2:$S$401,$R116))</f>
        <v/>
      </c>
      <c r="M116" s="28">
        <f>IF($R116="","",INDEX(입력_전공의명단!$T$2:$T$401,$R116))</f>
        <v/>
      </c>
      <c r="N116" s="26">
        <f>IF($R116="","",INDEX(입력_전공의명단!$AH$2:$AH$401,$R116))</f>
        <v/>
      </c>
      <c r="O116" s="26">
        <f>IF($R116="","",INDEX(입력_전공의명단!$AI$2:$AI$401,$R116))</f>
        <v/>
      </c>
      <c r="P116" s="27">
        <f>IF($R116="","",INDEX(입력_전공의명단!$AO$2:$AO$401,$R116))</f>
        <v/>
      </c>
      <c r="Q116" s="27">
        <f>IF($R116="","",INDEX(입력_전공의명단!$Z$2:$Z$401,$R116))</f>
        <v/>
      </c>
      <c r="R116" s="29">
        <f>IFERROR(MATCH(ROW()-5,입력_전공의명단!$AM$2:$AM$401,0),"")</f>
        <v/>
      </c>
    </row>
    <row r="117">
      <c r="A117" s="26">
        <f>IF($R117="","",ROW()-5)</f>
        <v/>
      </c>
      <c r="B117" s="26">
        <f>IF($R117="","",INDEX(입력_전공의명단!$C$2:$C$401,$R117))</f>
        <v/>
      </c>
      <c r="C117" s="26">
        <f>IF($R117="","",INDEX(입력_전공의명단!$B$2:$B$401,$R117))</f>
        <v/>
      </c>
      <c r="D117" s="26">
        <f>IF($R117="","",INDEX(입력_전공의명단!$J$2:$J$401,$R117))</f>
        <v/>
      </c>
      <c r="E117" s="26">
        <f>IF($R117="","",INDEX(입력_전공의명단!$F$2:$F$401,$R117))</f>
        <v/>
      </c>
      <c r="F117" s="26">
        <f>IF($R117="","",INDEX(입력_전공의명단!$G$2:$G$401,$R117))</f>
        <v/>
      </c>
      <c r="G117" s="26">
        <f>IF($R117="","",INDEX(입력_전공의명단!$AE$2:$AE$401,$R117))</f>
        <v/>
      </c>
      <c r="H117" s="27">
        <f>IF($R117="","",IF(INDEX(입력_전공의명단!$AE$2:$AE$401,$R117)="서울병원","서울 소속","타 병원 소속("&amp;INDEX(입력_전공의명단!$AE$2:$AE$401,$R117)&amp;") → 서울 지급"))</f>
        <v/>
      </c>
      <c r="I117" s="26">
        <f>IF($R117="","",INDEX(입력_전공의명단!$N$2:$N$401,$R117))</f>
        <v/>
      </c>
      <c r="J117" s="26">
        <f>IF($R117="","",INDEX(입력_전공의명단!$P$2:$P$401,$R117))</f>
        <v/>
      </c>
      <c r="K117" s="26">
        <f>IF($R117="","",INDEX(입력_전공의명단!$Q$2:$Q$401,$R117))</f>
        <v/>
      </c>
      <c r="L117" s="28">
        <f>IF($R117="","",INDEX(입력_전공의명단!$S$2:$S$401,$R117))</f>
        <v/>
      </c>
      <c r="M117" s="28">
        <f>IF($R117="","",INDEX(입력_전공의명단!$T$2:$T$401,$R117))</f>
        <v/>
      </c>
      <c r="N117" s="26">
        <f>IF($R117="","",INDEX(입력_전공의명단!$AH$2:$AH$401,$R117))</f>
        <v/>
      </c>
      <c r="O117" s="26">
        <f>IF($R117="","",INDEX(입력_전공의명단!$AI$2:$AI$401,$R117))</f>
        <v/>
      </c>
      <c r="P117" s="27">
        <f>IF($R117="","",INDEX(입력_전공의명단!$AO$2:$AO$401,$R117))</f>
        <v/>
      </c>
      <c r="Q117" s="27">
        <f>IF($R117="","",INDEX(입력_전공의명단!$Z$2:$Z$401,$R117))</f>
        <v/>
      </c>
      <c r="R117" s="29">
        <f>IFERROR(MATCH(ROW()-5,입력_전공의명단!$AM$2:$AM$401,0),"")</f>
        <v/>
      </c>
    </row>
    <row r="118">
      <c r="A118" s="26">
        <f>IF($R118="","",ROW()-5)</f>
        <v/>
      </c>
      <c r="B118" s="26">
        <f>IF($R118="","",INDEX(입력_전공의명단!$C$2:$C$401,$R118))</f>
        <v/>
      </c>
      <c r="C118" s="26">
        <f>IF($R118="","",INDEX(입력_전공의명단!$B$2:$B$401,$R118))</f>
        <v/>
      </c>
      <c r="D118" s="26">
        <f>IF($R118="","",INDEX(입력_전공의명단!$J$2:$J$401,$R118))</f>
        <v/>
      </c>
      <c r="E118" s="26">
        <f>IF($R118="","",INDEX(입력_전공의명단!$F$2:$F$401,$R118))</f>
        <v/>
      </c>
      <c r="F118" s="26">
        <f>IF($R118="","",INDEX(입력_전공의명단!$G$2:$G$401,$R118))</f>
        <v/>
      </c>
      <c r="G118" s="26">
        <f>IF($R118="","",INDEX(입력_전공의명단!$AE$2:$AE$401,$R118))</f>
        <v/>
      </c>
      <c r="H118" s="27">
        <f>IF($R118="","",IF(INDEX(입력_전공의명단!$AE$2:$AE$401,$R118)="서울병원","서울 소속","타 병원 소속("&amp;INDEX(입력_전공의명단!$AE$2:$AE$401,$R118)&amp;") → 서울 지급"))</f>
        <v/>
      </c>
      <c r="I118" s="26">
        <f>IF($R118="","",INDEX(입력_전공의명단!$N$2:$N$401,$R118))</f>
        <v/>
      </c>
      <c r="J118" s="26">
        <f>IF($R118="","",INDEX(입력_전공의명단!$P$2:$P$401,$R118))</f>
        <v/>
      </c>
      <c r="K118" s="26">
        <f>IF($R118="","",INDEX(입력_전공의명단!$Q$2:$Q$401,$R118))</f>
        <v/>
      </c>
      <c r="L118" s="28">
        <f>IF($R118="","",INDEX(입력_전공의명단!$S$2:$S$401,$R118))</f>
        <v/>
      </c>
      <c r="M118" s="28">
        <f>IF($R118="","",INDEX(입력_전공의명단!$T$2:$T$401,$R118))</f>
        <v/>
      </c>
      <c r="N118" s="26">
        <f>IF($R118="","",INDEX(입력_전공의명단!$AH$2:$AH$401,$R118))</f>
        <v/>
      </c>
      <c r="O118" s="26">
        <f>IF($R118="","",INDEX(입력_전공의명단!$AI$2:$AI$401,$R118))</f>
        <v/>
      </c>
      <c r="P118" s="27">
        <f>IF($R118="","",INDEX(입력_전공의명단!$AO$2:$AO$401,$R118))</f>
        <v/>
      </c>
      <c r="Q118" s="27">
        <f>IF($R118="","",INDEX(입력_전공의명단!$Z$2:$Z$401,$R118))</f>
        <v/>
      </c>
      <c r="R118" s="29">
        <f>IFERROR(MATCH(ROW()-5,입력_전공의명단!$AM$2:$AM$401,0),"")</f>
        <v/>
      </c>
    </row>
    <row r="119">
      <c r="A119" s="26">
        <f>IF($R119="","",ROW()-5)</f>
        <v/>
      </c>
      <c r="B119" s="26">
        <f>IF($R119="","",INDEX(입력_전공의명단!$C$2:$C$401,$R119))</f>
        <v/>
      </c>
      <c r="C119" s="26">
        <f>IF($R119="","",INDEX(입력_전공의명단!$B$2:$B$401,$R119))</f>
        <v/>
      </c>
      <c r="D119" s="26">
        <f>IF($R119="","",INDEX(입력_전공의명단!$J$2:$J$401,$R119))</f>
        <v/>
      </c>
      <c r="E119" s="26">
        <f>IF($R119="","",INDEX(입력_전공의명단!$F$2:$F$401,$R119))</f>
        <v/>
      </c>
      <c r="F119" s="26">
        <f>IF($R119="","",INDEX(입력_전공의명단!$G$2:$G$401,$R119))</f>
        <v/>
      </c>
      <c r="G119" s="26">
        <f>IF($R119="","",INDEX(입력_전공의명단!$AE$2:$AE$401,$R119))</f>
        <v/>
      </c>
      <c r="H119" s="27">
        <f>IF($R119="","",IF(INDEX(입력_전공의명단!$AE$2:$AE$401,$R119)="서울병원","서울 소속","타 병원 소속("&amp;INDEX(입력_전공의명단!$AE$2:$AE$401,$R119)&amp;") → 서울 지급"))</f>
        <v/>
      </c>
      <c r="I119" s="26">
        <f>IF($R119="","",INDEX(입력_전공의명단!$N$2:$N$401,$R119))</f>
        <v/>
      </c>
      <c r="J119" s="26">
        <f>IF($R119="","",INDEX(입력_전공의명단!$P$2:$P$401,$R119))</f>
        <v/>
      </c>
      <c r="K119" s="26">
        <f>IF($R119="","",INDEX(입력_전공의명단!$Q$2:$Q$401,$R119))</f>
        <v/>
      </c>
      <c r="L119" s="28">
        <f>IF($R119="","",INDEX(입력_전공의명단!$S$2:$S$401,$R119))</f>
        <v/>
      </c>
      <c r="M119" s="28">
        <f>IF($R119="","",INDEX(입력_전공의명단!$T$2:$T$401,$R119))</f>
        <v/>
      </c>
      <c r="N119" s="26">
        <f>IF($R119="","",INDEX(입력_전공의명단!$AH$2:$AH$401,$R119))</f>
        <v/>
      </c>
      <c r="O119" s="26">
        <f>IF($R119="","",INDEX(입력_전공의명단!$AI$2:$AI$401,$R119))</f>
        <v/>
      </c>
      <c r="P119" s="27">
        <f>IF($R119="","",INDEX(입력_전공의명단!$AO$2:$AO$401,$R119))</f>
        <v/>
      </c>
      <c r="Q119" s="27">
        <f>IF($R119="","",INDEX(입력_전공의명단!$Z$2:$Z$401,$R119))</f>
        <v/>
      </c>
      <c r="R119" s="29">
        <f>IFERROR(MATCH(ROW()-5,입력_전공의명단!$AM$2:$AM$401,0),"")</f>
        <v/>
      </c>
    </row>
    <row r="120">
      <c r="A120" s="26">
        <f>IF($R120="","",ROW()-5)</f>
        <v/>
      </c>
      <c r="B120" s="26">
        <f>IF($R120="","",INDEX(입력_전공의명단!$C$2:$C$401,$R120))</f>
        <v/>
      </c>
      <c r="C120" s="26">
        <f>IF($R120="","",INDEX(입력_전공의명단!$B$2:$B$401,$R120))</f>
        <v/>
      </c>
      <c r="D120" s="26">
        <f>IF($R120="","",INDEX(입력_전공의명단!$J$2:$J$401,$R120))</f>
        <v/>
      </c>
      <c r="E120" s="26">
        <f>IF($R120="","",INDEX(입력_전공의명단!$F$2:$F$401,$R120))</f>
        <v/>
      </c>
      <c r="F120" s="26">
        <f>IF($R120="","",INDEX(입력_전공의명단!$G$2:$G$401,$R120))</f>
        <v/>
      </c>
      <c r="G120" s="26">
        <f>IF($R120="","",INDEX(입력_전공의명단!$AE$2:$AE$401,$R120))</f>
        <v/>
      </c>
      <c r="H120" s="27">
        <f>IF($R120="","",IF(INDEX(입력_전공의명단!$AE$2:$AE$401,$R120)="서울병원","서울 소속","타 병원 소속("&amp;INDEX(입력_전공의명단!$AE$2:$AE$401,$R120)&amp;") → 서울 지급"))</f>
        <v/>
      </c>
      <c r="I120" s="26">
        <f>IF($R120="","",INDEX(입력_전공의명단!$N$2:$N$401,$R120))</f>
        <v/>
      </c>
      <c r="J120" s="26">
        <f>IF($R120="","",INDEX(입력_전공의명단!$P$2:$P$401,$R120))</f>
        <v/>
      </c>
      <c r="K120" s="26">
        <f>IF($R120="","",INDEX(입력_전공의명단!$Q$2:$Q$401,$R120))</f>
        <v/>
      </c>
      <c r="L120" s="28">
        <f>IF($R120="","",INDEX(입력_전공의명단!$S$2:$S$401,$R120))</f>
        <v/>
      </c>
      <c r="M120" s="28">
        <f>IF($R120="","",INDEX(입력_전공의명단!$T$2:$T$401,$R120))</f>
        <v/>
      </c>
      <c r="N120" s="26">
        <f>IF($R120="","",INDEX(입력_전공의명단!$AH$2:$AH$401,$R120))</f>
        <v/>
      </c>
      <c r="O120" s="26">
        <f>IF($R120="","",INDEX(입력_전공의명단!$AI$2:$AI$401,$R120))</f>
        <v/>
      </c>
      <c r="P120" s="27">
        <f>IF($R120="","",INDEX(입력_전공의명단!$AO$2:$AO$401,$R120))</f>
        <v/>
      </c>
      <c r="Q120" s="27">
        <f>IF($R120="","",INDEX(입력_전공의명단!$Z$2:$Z$401,$R120))</f>
        <v/>
      </c>
      <c r="R120" s="29">
        <f>IFERROR(MATCH(ROW()-5,입력_전공의명단!$AM$2:$AM$401,0),"")</f>
        <v/>
      </c>
    </row>
    <row r="121">
      <c r="A121" s="26">
        <f>IF($R121="","",ROW()-5)</f>
        <v/>
      </c>
      <c r="B121" s="26">
        <f>IF($R121="","",INDEX(입력_전공의명단!$C$2:$C$401,$R121))</f>
        <v/>
      </c>
      <c r="C121" s="26">
        <f>IF($R121="","",INDEX(입력_전공의명단!$B$2:$B$401,$R121))</f>
        <v/>
      </c>
      <c r="D121" s="26">
        <f>IF($R121="","",INDEX(입력_전공의명단!$J$2:$J$401,$R121))</f>
        <v/>
      </c>
      <c r="E121" s="26">
        <f>IF($R121="","",INDEX(입력_전공의명단!$F$2:$F$401,$R121))</f>
        <v/>
      </c>
      <c r="F121" s="26">
        <f>IF($R121="","",INDEX(입력_전공의명단!$G$2:$G$401,$R121))</f>
        <v/>
      </c>
      <c r="G121" s="26">
        <f>IF($R121="","",INDEX(입력_전공의명단!$AE$2:$AE$401,$R121))</f>
        <v/>
      </c>
      <c r="H121" s="27">
        <f>IF($R121="","",IF(INDEX(입력_전공의명단!$AE$2:$AE$401,$R121)="서울병원","서울 소속","타 병원 소속("&amp;INDEX(입력_전공의명단!$AE$2:$AE$401,$R121)&amp;") → 서울 지급"))</f>
        <v/>
      </c>
      <c r="I121" s="26">
        <f>IF($R121="","",INDEX(입력_전공의명단!$N$2:$N$401,$R121))</f>
        <v/>
      </c>
      <c r="J121" s="26">
        <f>IF($R121="","",INDEX(입력_전공의명단!$P$2:$P$401,$R121))</f>
        <v/>
      </c>
      <c r="K121" s="26">
        <f>IF($R121="","",INDEX(입력_전공의명단!$Q$2:$Q$401,$R121))</f>
        <v/>
      </c>
      <c r="L121" s="28">
        <f>IF($R121="","",INDEX(입력_전공의명단!$S$2:$S$401,$R121))</f>
        <v/>
      </c>
      <c r="M121" s="28">
        <f>IF($R121="","",INDEX(입력_전공의명단!$T$2:$T$401,$R121))</f>
        <v/>
      </c>
      <c r="N121" s="26">
        <f>IF($R121="","",INDEX(입력_전공의명단!$AH$2:$AH$401,$R121))</f>
        <v/>
      </c>
      <c r="O121" s="26">
        <f>IF($R121="","",INDEX(입력_전공의명단!$AI$2:$AI$401,$R121))</f>
        <v/>
      </c>
      <c r="P121" s="27">
        <f>IF($R121="","",INDEX(입력_전공의명단!$AO$2:$AO$401,$R121))</f>
        <v/>
      </c>
      <c r="Q121" s="27">
        <f>IF($R121="","",INDEX(입력_전공의명단!$Z$2:$Z$401,$R121))</f>
        <v/>
      </c>
      <c r="R121" s="29">
        <f>IFERROR(MATCH(ROW()-5,입력_전공의명단!$AM$2:$AM$401,0),"")</f>
        <v/>
      </c>
    </row>
    <row r="122">
      <c r="A122" s="26">
        <f>IF($R122="","",ROW()-5)</f>
        <v/>
      </c>
      <c r="B122" s="26">
        <f>IF($R122="","",INDEX(입력_전공의명단!$C$2:$C$401,$R122))</f>
        <v/>
      </c>
      <c r="C122" s="26">
        <f>IF($R122="","",INDEX(입력_전공의명단!$B$2:$B$401,$R122))</f>
        <v/>
      </c>
      <c r="D122" s="26">
        <f>IF($R122="","",INDEX(입력_전공의명단!$J$2:$J$401,$R122))</f>
        <v/>
      </c>
      <c r="E122" s="26">
        <f>IF($R122="","",INDEX(입력_전공의명단!$F$2:$F$401,$R122))</f>
        <v/>
      </c>
      <c r="F122" s="26">
        <f>IF($R122="","",INDEX(입력_전공의명단!$G$2:$G$401,$R122))</f>
        <v/>
      </c>
      <c r="G122" s="26">
        <f>IF($R122="","",INDEX(입력_전공의명단!$AE$2:$AE$401,$R122))</f>
        <v/>
      </c>
      <c r="H122" s="27">
        <f>IF($R122="","",IF(INDEX(입력_전공의명단!$AE$2:$AE$401,$R122)="서울병원","서울 소속","타 병원 소속("&amp;INDEX(입력_전공의명단!$AE$2:$AE$401,$R122)&amp;") → 서울 지급"))</f>
        <v/>
      </c>
      <c r="I122" s="26">
        <f>IF($R122="","",INDEX(입력_전공의명단!$N$2:$N$401,$R122))</f>
        <v/>
      </c>
      <c r="J122" s="26">
        <f>IF($R122="","",INDEX(입력_전공의명단!$P$2:$P$401,$R122))</f>
        <v/>
      </c>
      <c r="K122" s="26">
        <f>IF($R122="","",INDEX(입력_전공의명단!$Q$2:$Q$401,$R122))</f>
        <v/>
      </c>
      <c r="L122" s="28">
        <f>IF($R122="","",INDEX(입력_전공의명단!$S$2:$S$401,$R122))</f>
        <v/>
      </c>
      <c r="M122" s="28">
        <f>IF($R122="","",INDEX(입력_전공의명단!$T$2:$T$401,$R122))</f>
        <v/>
      </c>
      <c r="N122" s="26">
        <f>IF($R122="","",INDEX(입력_전공의명단!$AH$2:$AH$401,$R122))</f>
        <v/>
      </c>
      <c r="O122" s="26">
        <f>IF($R122="","",INDEX(입력_전공의명단!$AI$2:$AI$401,$R122))</f>
        <v/>
      </c>
      <c r="P122" s="27">
        <f>IF($R122="","",INDEX(입력_전공의명단!$AO$2:$AO$401,$R122))</f>
        <v/>
      </c>
      <c r="Q122" s="27">
        <f>IF($R122="","",INDEX(입력_전공의명단!$Z$2:$Z$401,$R122))</f>
        <v/>
      </c>
      <c r="R122" s="29">
        <f>IFERROR(MATCH(ROW()-5,입력_전공의명단!$AM$2:$AM$401,0),"")</f>
        <v/>
      </c>
    </row>
    <row r="123">
      <c r="A123" s="26">
        <f>IF($R123="","",ROW()-5)</f>
        <v/>
      </c>
      <c r="B123" s="26">
        <f>IF($R123="","",INDEX(입력_전공의명단!$C$2:$C$401,$R123))</f>
        <v/>
      </c>
      <c r="C123" s="26">
        <f>IF($R123="","",INDEX(입력_전공의명단!$B$2:$B$401,$R123))</f>
        <v/>
      </c>
      <c r="D123" s="26">
        <f>IF($R123="","",INDEX(입력_전공의명단!$J$2:$J$401,$R123))</f>
        <v/>
      </c>
      <c r="E123" s="26">
        <f>IF($R123="","",INDEX(입력_전공의명단!$F$2:$F$401,$R123))</f>
        <v/>
      </c>
      <c r="F123" s="26">
        <f>IF($R123="","",INDEX(입력_전공의명단!$G$2:$G$401,$R123))</f>
        <v/>
      </c>
      <c r="G123" s="26">
        <f>IF($R123="","",INDEX(입력_전공의명단!$AE$2:$AE$401,$R123))</f>
        <v/>
      </c>
      <c r="H123" s="27">
        <f>IF($R123="","",IF(INDEX(입력_전공의명단!$AE$2:$AE$401,$R123)="서울병원","서울 소속","타 병원 소속("&amp;INDEX(입력_전공의명단!$AE$2:$AE$401,$R123)&amp;") → 서울 지급"))</f>
        <v/>
      </c>
      <c r="I123" s="26">
        <f>IF($R123="","",INDEX(입력_전공의명단!$N$2:$N$401,$R123))</f>
        <v/>
      </c>
      <c r="J123" s="26">
        <f>IF($R123="","",INDEX(입력_전공의명단!$P$2:$P$401,$R123))</f>
        <v/>
      </c>
      <c r="K123" s="26">
        <f>IF($R123="","",INDEX(입력_전공의명단!$Q$2:$Q$401,$R123))</f>
        <v/>
      </c>
      <c r="L123" s="28">
        <f>IF($R123="","",INDEX(입력_전공의명단!$S$2:$S$401,$R123))</f>
        <v/>
      </c>
      <c r="M123" s="28">
        <f>IF($R123="","",INDEX(입력_전공의명단!$T$2:$T$401,$R123))</f>
        <v/>
      </c>
      <c r="N123" s="26">
        <f>IF($R123="","",INDEX(입력_전공의명단!$AH$2:$AH$401,$R123))</f>
        <v/>
      </c>
      <c r="O123" s="26">
        <f>IF($R123="","",INDEX(입력_전공의명단!$AI$2:$AI$401,$R123))</f>
        <v/>
      </c>
      <c r="P123" s="27">
        <f>IF($R123="","",INDEX(입력_전공의명단!$AO$2:$AO$401,$R123))</f>
        <v/>
      </c>
      <c r="Q123" s="27">
        <f>IF($R123="","",INDEX(입력_전공의명단!$Z$2:$Z$401,$R123))</f>
        <v/>
      </c>
      <c r="R123" s="29">
        <f>IFERROR(MATCH(ROW()-5,입력_전공의명단!$AM$2:$AM$401,0),"")</f>
        <v/>
      </c>
    </row>
    <row r="124">
      <c r="A124" s="26">
        <f>IF($R124="","",ROW()-5)</f>
        <v/>
      </c>
      <c r="B124" s="26">
        <f>IF($R124="","",INDEX(입력_전공의명단!$C$2:$C$401,$R124))</f>
        <v/>
      </c>
      <c r="C124" s="26">
        <f>IF($R124="","",INDEX(입력_전공의명단!$B$2:$B$401,$R124))</f>
        <v/>
      </c>
      <c r="D124" s="26">
        <f>IF($R124="","",INDEX(입력_전공의명단!$J$2:$J$401,$R124))</f>
        <v/>
      </c>
      <c r="E124" s="26">
        <f>IF($R124="","",INDEX(입력_전공의명단!$F$2:$F$401,$R124))</f>
        <v/>
      </c>
      <c r="F124" s="26">
        <f>IF($R124="","",INDEX(입력_전공의명단!$G$2:$G$401,$R124))</f>
        <v/>
      </c>
      <c r="G124" s="26">
        <f>IF($R124="","",INDEX(입력_전공의명단!$AE$2:$AE$401,$R124))</f>
        <v/>
      </c>
      <c r="H124" s="27">
        <f>IF($R124="","",IF(INDEX(입력_전공의명단!$AE$2:$AE$401,$R124)="서울병원","서울 소속","타 병원 소속("&amp;INDEX(입력_전공의명단!$AE$2:$AE$401,$R124)&amp;") → 서울 지급"))</f>
        <v/>
      </c>
      <c r="I124" s="26">
        <f>IF($R124="","",INDEX(입력_전공의명단!$N$2:$N$401,$R124))</f>
        <v/>
      </c>
      <c r="J124" s="26">
        <f>IF($R124="","",INDEX(입력_전공의명단!$P$2:$P$401,$R124))</f>
        <v/>
      </c>
      <c r="K124" s="26">
        <f>IF($R124="","",INDEX(입력_전공의명단!$Q$2:$Q$401,$R124))</f>
        <v/>
      </c>
      <c r="L124" s="28">
        <f>IF($R124="","",INDEX(입력_전공의명단!$S$2:$S$401,$R124))</f>
        <v/>
      </c>
      <c r="M124" s="28">
        <f>IF($R124="","",INDEX(입력_전공의명단!$T$2:$T$401,$R124))</f>
        <v/>
      </c>
      <c r="N124" s="26">
        <f>IF($R124="","",INDEX(입력_전공의명단!$AH$2:$AH$401,$R124))</f>
        <v/>
      </c>
      <c r="O124" s="26">
        <f>IF($R124="","",INDEX(입력_전공의명단!$AI$2:$AI$401,$R124))</f>
        <v/>
      </c>
      <c r="P124" s="27">
        <f>IF($R124="","",INDEX(입력_전공의명단!$AO$2:$AO$401,$R124))</f>
        <v/>
      </c>
      <c r="Q124" s="27">
        <f>IF($R124="","",INDEX(입력_전공의명단!$Z$2:$Z$401,$R124))</f>
        <v/>
      </c>
      <c r="R124" s="29">
        <f>IFERROR(MATCH(ROW()-5,입력_전공의명단!$AM$2:$AM$401,0),"")</f>
        <v/>
      </c>
    </row>
    <row r="125">
      <c r="A125" s="26">
        <f>IF($R125="","",ROW()-5)</f>
        <v/>
      </c>
      <c r="B125" s="26">
        <f>IF($R125="","",INDEX(입력_전공의명단!$C$2:$C$401,$R125))</f>
        <v/>
      </c>
      <c r="C125" s="26">
        <f>IF($R125="","",INDEX(입력_전공의명단!$B$2:$B$401,$R125))</f>
        <v/>
      </c>
      <c r="D125" s="26">
        <f>IF($R125="","",INDEX(입력_전공의명단!$J$2:$J$401,$R125))</f>
        <v/>
      </c>
      <c r="E125" s="26">
        <f>IF($R125="","",INDEX(입력_전공의명단!$F$2:$F$401,$R125))</f>
        <v/>
      </c>
      <c r="F125" s="26">
        <f>IF($R125="","",INDEX(입력_전공의명단!$G$2:$G$401,$R125))</f>
        <v/>
      </c>
      <c r="G125" s="26">
        <f>IF($R125="","",INDEX(입력_전공의명단!$AE$2:$AE$401,$R125))</f>
        <v/>
      </c>
      <c r="H125" s="27">
        <f>IF($R125="","",IF(INDEX(입력_전공의명단!$AE$2:$AE$401,$R125)="서울병원","서울 소속","타 병원 소속("&amp;INDEX(입력_전공의명단!$AE$2:$AE$401,$R125)&amp;") → 서울 지급"))</f>
        <v/>
      </c>
      <c r="I125" s="26">
        <f>IF($R125="","",INDEX(입력_전공의명단!$N$2:$N$401,$R125))</f>
        <v/>
      </c>
      <c r="J125" s="26">
        <f>IF($R125="","",INDEX(입력_전공의명단!$P$2:$P$401,$R125))</f>
        <v/>
      </c>
      <c r="K125" s="26">
        <f>IF($R125="","",INDEX(입력_전공의명단!$Q$2:$Q$401,$R125))</f>
        <v/>
      </c>
      <c r="L125" s="28">
        <f>IF($R125="","",INDEX(입력_전공의명단!$S$2:$S$401,$R125))</f>
        <v/>
      </c>
      <c r="M125" s="28">
        <f>IF($R125="","",INDEX(입력_전공의명단!$T$2:$T$401,$R125))</f>
        <v/>
      </c>
      <c r="N125" s="26">
        <f>IF($R125="","",INDEX(입력_전공의명단!$AH$2:$AH$401,$R125))</f>
        <v/>
      </c>
      <c r="O125" s="26">
        <f>IF($R125="","",INDEX(입력_전공의명단!$AI$2:$AI$401,$R125))</f>
        <v/>
      </c>
      <c r="P125" s="27">
        <f>IF($R125="","",INDEX(입력_전공의명단!$AO$2:$AO$401,$R125))</f>
        <v/>
      </c>
      <c r="Q125" s="27">
        <f>IF($R125="","",INDEX(입력_전공의명단!$Z$2:$Z$401,$R125))</f>
        <v/>
      </c>
      <c r="R125" s="29">
        <f>IFERROR(MATCH(ROW()-5,입력_전공의명단!$AM$2:$AM$401,0),"")</f>
        <v/>
      </c>
    </row>
    <row r="126">
      <c r="A126" s="26">
        <f>IF($R126="","",ROW()-5)</f>
        <v/>
      </c>
      <c r="B126" s="26">
        <f>IF($R126="","",INDEX(입력_전공의명단!$C$2:$C$401,$R126))</f>
        <v/>
      </c>
      <c r="C126" s="26">
        <f>IF($R126="","",INDEX(입력_전공의명단!$B$2:$B$401,$R126))</f>
        <v/>
      </c>
      <c r="D126" s="26">
        <f>IF($R126="","",INDEX(입력_전공의명단!$J$2:$J$401,$R126))</f>
        <v/>
      </c>
      <c r="E126" s="26">
        <f>IF($R126="","",INDEX(입력_전공의명단!$F$2:$F$401,$R126))</f>
        <v/>
      </c>
      <c r="F126" s="26">
        <f>IF($R126="","",INDEX(입력_전공의명단!$G$2:$G$401,$R126))</f>
        <v/>
      </c>
      <c r="G126" s="26">
        <f>IF($R126="","",INDEX(입력_전공의명단!$AE$2:$AE$401,$R126))</f>
        <v/>
      </c>
      <c r="H126" s="27">
        <f>IF($R126="","",IF(INDEX(입력_전공의명단!$AE$2:$AE$401,$R126)="서울병원","서울 소속","타 병원 소속("&amp;INDEX(입력_전공의명단!$AE$2:$AE$401,$R126)&amp;") → 서울 지급"))</f>
        <v/>
      </c>
      <c r="I126" s="26">
        <f>IF($R126="","",INDEX(입력_전공의명단!$N$2:$N$401,$R126))</f>
        <v/>
      </c>
      <c r="J126" s="26">
        <f>IF($R126="","",INDEX(입력_전공의명단!$P$2:$P$401,$R126))</f>
        <v/>
      </c>
      <c r="K126" s="26">
        <f>IF($R126="","",INDEX(입력_전공의명단!$Q$2:$Q$401,$R126))</f>
        <v/>
      </c>
      <c r="L126" s="28">
        <f>IF($R126="","",INDEX(입력_전공의명단!$S$2:$S$401,$R126))</f>
        <v/>
      </c>
      <c r="M126" s="28">
        <f>IF($R126="","",INDEX(입력_전공의명단!$T$2:$T$401,$R126))</f>
        <v/>
      </c>
      <c r="N126" s="26">
        <f>IF($R126="","",INDEX(입력_전공의명단!$AH$2:$AH$401,$R126))</f>
        <v/>
      </c>
      <c r="O126" s="26">
        <f>IF($R126="","",INDEX(입력_전공의명단!$AI$2:$AI$401,$R126))</f>
        <v/>
      </c>
      <c r="P126" s="27">
        <f>IF($R126="","",INDEX(입력_전공의명단!$AO$2:$AO$401,$R126))</f>
        <v/>
      </c>
      <c r="Q126" s="27">
        <f>IF($R126="","",INDEX(입력_전공의명단!$Z$2:$Z$401,$R126))</f>
        <v/>
      </c>
      <c r="R126" s="29">
        <f>IFERROR(MATCH(ROW()-5,입력_전공의명단!$AM$2:$AM$401,0),"")</f>
        <v/>
      </c>
    </row>
    <row r="127">
      <c r="A127" s="26">
        <f>IF($R127="","",ROW()-5)</f>
        <v/>
      </c>
      <c r="B127" s="26">
        <f>IF($R127="","",INDEX(입력_전공의명단!$C$2:$C$401,$R127))</f>
        <v/>
      </c>
      <c r="C127" s="26">
        <f>IF($R127="","",INDEX(입력_전공의명단!$B$2:$B$401,$R127))</f>
        <v/>
      </c>
      <c r="D127" s="26">
        <f>IF($R127="","",INDEX(입력_전공의명단!$J$2:$J$401,$R127))</f>
        <v/>
      </c>
      <c r="E127" s="26">
        <f>IF($R127="","",INDEX(입력_전공의명단!$F$2:$F$401,$R127))</f>
        <v/>
      </c>
      <c r="F127" s="26">
        <f>IF($R127="","",INDEX(입력_전공의명단!$G$2:$G$401,$R127))</f>
        <v/>
      </c>
      <c r="G127" s="26">
        <f>IF($R127="","",INDEX(입력_전공의명단!$AE$2:$AE$401,$R127))</f>
        <v/>
      </c>
      <c r="H127" s="27">
        <f>IF($R127="","",IF(INDEX(입력_전공의명단!$AE$2:$AE$401,$R127)="서울병원","서울 소속","타 병원 소속("&amp;INDEX(입력_전공의명단!$AE$2:$AE$401,$R127)&amp;") → 서울 지급"))</f>
        <v/>
      </c>
      <c r="I127" s="26">
        <f>IF($R127="","",INDEX(입력_전공의명단!$N$2:$N$401,$R127))</f>
        <v/>
      </c>
      <c r="J127" s="26">
        <f>IF($R127="","",INDEX(입력_전공의명단!$P$2:$P$401,$R127))</f>
        <v/>
      </c>
      <c r="K127" s="26">
        <f>IF($R127="","",INDEX(입력_전공의명단!$Q$2:$Q$401,$R127))</f>
        <v/>
      </c>
      <c r="L127" s="28">
        <f>IF($R127="","",INDEX(입력_전공의명단!$S$2:$S$401,$R127))</f>
        <v/>
      </c>
      <c r="M127" s="28">
        <f>IF($R127="","",INDEX(입력_전공의명단!$T$2:$T$401,$R127))</f>
        <v/>
      </c>
      <c r="N127" s="26">
        <f>IF($R127="","",INDEX(입력_전공의명단!$AH$2:$AH$401,$R127))</f>
        <v/>
      </c>
      <c r="O127" s="26">
        <f>IF($R127="","",INDEX(입력_전공의명단!$AI$2:$AI$401,$R127))</f>
        <v/>
      </c>
      <c r="P127" s="27">
        <f>IF($R127="","",INDEX(입력_전공의명단!$AO$2:$AO$401,$R127))</f>
        <v/>
      </c>
      <c r="Q127" s="27">
        <f>IF($R127="","",INDEX(입력_전공의명단!$Z$2:$Z$401,$R127))</f>
        <v/>
      </c>
      <c r="R127" s="29">
        <f>IFERROR(MATCH(ROW()-5,입력_전공의명단!$AM$2:$AM$401,0),"")</f>
        <v/>
      </c>
    </row>
    <row r="128">
      <c r="A128" s="26">
        <f>IF($R128="","",ROW()-5)</f>
        <v/>
      </c>
      <c r="B128" s="26">
        <f>IF($R128="","",INDEX(입력_전공의명단!$C$2:$C$401,$R128))</f>
        <v/>
      </c>
      <c r="C128" s="26">
        <f>IF($R128="","",INDEX(입력_전공의명단!$B$2:$B$401,$R128))</f>
        <v/>
      </c>
      <c r="D128" s="26">
        <f>IF($R128="","",INDEX(입력_전공의명단!$J$2:$J$401,$R128))</f>
        <v/>
      </c>
      <c r="E128" s="26">
        <f>IF($R128="","",INDEX(입력_전공의명단!$F$2:$F$401,$R128))</f>
        <v/>
      </c>
      <c r="F128" s="26">
        <f>IF($R128="","",INDEX(입력_전공의명단!$G$2:$G$401,$R128))</f>
        <v/>
      </c>
      <c r="G128" s="26">
        <f>IF($R128="","",INDEX(입력_전공의명단!$AE$2:$AE$401,$R128))</f>
        <v/>
      </c>
      <c r="H128" s="27">
        <f>IF($R128="","",IF(INDEX(입력_전공의명단!$AE$2:$AE$401,$R128)="서울병원","서울 소속","타 병원 소속("&amp;INDEX(입력_전공의명단!$AE$2:$AE$401,$R128)&amp;") → 서울 지급"))</f>
        <v/>
      </c>
      <c r="I128" s="26">
        <f>IF($R128="","",INDEX(입력_전공의명단!$N$2:$N$401,$R128))</f>
        <v/>
      </c>
      <c r="J128" s="26">
        <f>IF($R128="","",INDEX(입력_전공의명단!$P$2:$P$401,$R128))</f>
        <v/>
      </c>
      <c r="K128" s="26">
        <f>IF($R128="","",INDEX(입력_전공의명단!$Q$2:$Q$401,$R128))</f>
        <v/>
      </c>
      <c r="L128" s="28">
        <f>IF($R128="","",INDEX(입력_전공의명단!$S$2:$S$401,$R128))</f>
        <v/>
      </c>
      <c r="M128" s="28">
        <f>IF($R128="","",INDEX(입력_전공의명단!$T$2:$T$401,$R128))</f>
        <v/>
      </c>
      <c r="N128" s="26">
        <f>IF($R128="","",INDEX(입력_전공의명단!$AH$2:$AH$401,$R128))</f>
        <v/>
      </c>
      <c r="O128" s="26">
        <f>IF($R128="","",INDEX(입력_전공의명단!$AI$2:$AI$401,$R128))</f>
        <v/>
      </c>
      <c r="P128" s="27">
        <f>IF($R128="","",INDEX(입력_전공의명단!$AO$2:$AO$401,$R128))</f>
        <v/>
      </c>
      <c r="Q128" s="27">
        <f>IF($R128="","",INDEX(입력_전공의명단!$Z$2:$Z$401,$R128))</f>
        <v/>
      </c>
      <c r="R128" s="29">
        <f>IFERROR(MATCH(ROW()-5,입력_전공의명단!$AM$2:$AM$401,0),"")</f>
        <v/>
      </c>
    </row>
    <row r="129">
      <c r="A129" s="26">
        <f>IF($R129="","",ROW()-5)</f>
        <v/>
      </c>
      <c r="B129" s="26">
        <f>IF($R129="","",INDEX(입력_전공의명단!$C$2:$C$401,$R129))</f>
        <v/>
      </c>
      <c r="C129" s="26">
        <f>IF($R129="","",INDEX(입력_전공의명단!$B$2:$B$401,$R129))</f>
        <v/>
      </c>
      <c r="D129" s="26">
        <f>IF($R129="","",INDEX(입력_전공의명단!$J$2:$J$401,$R129))</f>
        <v/>
      </c>
      <c r="E129" s="26">
        <f>IF($R129="","",INDEX(입력_전공의명단!$F$2:$F$401,$R129))</f>
        <v/>
      </c>
      <c r="F129" s="26">
        <f>IF($R129="","",INDEX(입력_전공의명단!$G$2:$G$401,$R129))</f>
        <v/>
      </c>
      <c r="G129" s="26">
        <f>IF($R129="","",INDEX(입력_전공의명단!$AE$2:$AE$401,$R129))</f>
        <v/>
      </c>
      <c r="H129" s="27">
        <f>IF($R129="","",IF(INDEX(입력_전공의명단!$AE$2:$AE$401,$R129)="서울병원","서울 소속","타 병원 소속("&amp;INDEX(입력_전공의명단!$AE$2:$AE$401,$R129)&amp;") → 서울 지급"))</f>
        <v/>
      </c>
      <c r="I129" s="26">
        <f>IF($R129="","",INDEX(입력_전공의명단!$N$2:$N$401,$R129))</f>
        <v/>
      </c>
      <c r="J129" s="26">
        <f>IF($R129="","",INDEX(입력_전공의명단!$P$2:$P$401,$R129))</f>
        <v/>
      </c>
      <c r="K129" s="26">
        <f>IF($R129="","",INDEX(입력_전공의명단!$Q$2:$Q$401,$R129))</f>
        <v/>
      </c>
      <c r="L129" s="28">
        <f>IF($R129="","",INDEX(입력_전공의명단!$S$2:$S$401,$R129))</f>
        <v/>
      </c>
      <c r="M129" s="28">
        <f>IF($R129="","",INDEX(입력_전공의명단!$T$2:$T$401,$R129))</f>
        <v/>
      </c>
      <c r="N129" s="26">
        <f>IF($R129="","",INDEX(입력_전공의명단!$AH$2:$AH$401,$R129))</f>
        <v/>
      </c>
      <c r="O129" s="26">
        <f>IF($R129="","",INDEX(입력_전공의명단!$AI$2:$AI$401,$R129))</f>
        <v/>
      </c>
      <c r="P129" s="27">
        <f>IF($R129="","",INDEX(입력_전공의명단!$AO$2:$AO$401,$R129))</f>
        <v/>
      </c>
      <c r="Q129" s="27">
        <f>IF($R129="","",INDEX(입력_전공의명단!$Z$2:$Z$401,$R129))</f>
        <v/>
      </c>
      <c r="R129" s="29">
        <f>IFERROR(MATCH(ROW()-5,입력_전공의명단!$AM$2:$AM$401,0),"")</f>
        <v/>
      </c>
    </row>
    <row r="130">
      <c r="A130" s="26">
        <f>IF($R130="","",ROW()-5)</f>
        <v/>
      </c>
      <c r="B130" s="26">
        <f>IF($R130="","",INDEX(입력_전공의명단!$C$2:$C$401,$R130))</f>
        <v/>
      </c>
      <c r="C130" s="26">
        <f>IF($R130="","",INDEX(입력_전공의명단!$B$2:$B$401,$R130))</f>
        <v/>
      </c>
      <c r="D130" s="26">
        <f>IF($R130="","",INDEX(입력_전공의명단!$J$2:$J$401,$R130))</f>
        <v/>
      </c>
      <c r="E130" s="26">
        <f>IF($R130="","",INDEX(입력_전공의명단!$F$2:$F$401,$R130))</f>
        <v/>
      </c>
      <c r="F130" s="26">
        <f>IF($R130="","",INDEX(입력_전공의명단!$G$2:$G$401,$R130))</f>
        <v/>
      </c>
      <c r="G130" s="26">
        <f>IF($R130="","",INDEX(입력_전공의명단!$AE$2:$AE$401,$R130))</f>
        <v/>
      </c>
      <c r="H130" s="27">
        <f>IF($R130="","",IF(INDEX(입력_전공의명단!$AE$2:$AE$401,$R130)="서울병원","서울 소속","타 병원 소속("&amp;INDEX(입력_전공의명단!$AE$2:$AE$401,$R130)&amp;") → 서울 지급"))</f>
        <v/>
      </c>
      <c r="I130" s="26">
        <f>IF($R130="","",INDEX(입력_전공의명단!$N$2:$N$401,$R130))</f>
        <v/>
      </c>
      <c r="J130" s="26">
        <f>IF($R130="","",INDEX(입력_전공의명단!$P$2:$P$401,$R130))</f>
        <v/>
      </c>
      <c r="K130" s="26">
        <f>IF($R130="","",INDEX(입력_전공의명단!$Q$2:$Q$401,$R130))</f>
        <v/>
      </c>
      <c r="L130" s="28">
        <f>IF($R130="","",INDEX(입력_전공의명단!$S$2:$S$401,$R130))</f>
        <v/>
      </c>
      <c r="M130" s="28">
        <f>IF($R130="","",INDEX(입력_전공의명단!$T$2:$T$401,$R130))</f>
        <v/>
      </c>
      <c r="N130" s="26">
        <f>IF($R130="","",INDEX(입력_전공의명단!$AH$2:$AH$401,$R130))</f>
        <v/>
      </c>
      <c r="O130" s="26">
        <f>IF($R130="","",INDEX(입력_전공의명단!$AI$2:$AI$401,$R130))</f>
        <v/>
      </c>
      <c r="P130" s="27">
        <f>IF($R130="","",INDEX(입력_전공의명단!$AO$2:$AO$401,$R130))</f>
        <v/>
      </c>
      <c r="Q130" s="27">
        <f>IF($R130="","",INDEX(입력_전공의명단!$Z$2:$Z$401,$R130))</f>
        <v/>
      </c>
      <c r="R130" s="29">
        <f>IFERROR(MATCH(ROW()-5,입력_전공의명단!$AM$2:$AM$401,0),"")</f>
        <v/>
      </c>
    </row>
    <row r="131">
      <c r="A131" s="26">
        <f>IF($R131="","",ROW()-5)</f>
        <v/>
      </c>
      <c r="B131" s="26">
        <f>IF($R131="","",INDEX(입력_전공의명단!$C$2:$C$401,$R131))</f>
        <v/>
      </c>
      <c r="C131" s="26">
        <f>IF($R131="","",INDEX(입력_전공의명단!$B$2:$B$401,$R131))</f>
        <v/>
      </c>
      <c r="D131" s="26">
        <f>IF($R131="","",INDEX(입력_전공의명단!$J$2:$J$401,$R131))</f>
        <v/>
      </c>
      <c r="E131" s="26">
        <f>IF($R131="","",INDEX(입력_전공의명단!$F$2:$F$401,$R131))</f>
        <v/>
      </c>
      <c r="F131" s="26">
        <f>IF($R131="","",INDEX(입력_전공의명단!$G$2:$G$401,$R131))</f>
        <v/>
      </c>
      <c r="G131" s="26">
        <f>IF($R131="","",INDEX(입력_전공의명단!$AE$2:$AE$401,$R131))</f>
        <v/>
      </c>
      <c r="H131" s="27">
        <f>IF($R131="","",IF(INDEX(입력_전공의명단!$AE$2:$AE$401,$R131)="서울병원","서울 소속","타 병원 소속("&amp;INDEX(입력_전공의명단!$AE$2:$AE$401,$R131)&amp;") → 서울 지급"))</f>
        <v/>
      </c>
      <c r="I131" s="26">
        <f>IF($R131="","",INDEX(입력_전공의명단!$N$2:$N$401,$R131))</f>
        <v/>
      </c>
      <c r="J131" s="26">
        <f>IF($R131="","",INDEX(입력_전공의명단!$P$2:$P$401,$R131))</f>
        <v/>
      </c>
      <c r="K131" s="26">
        <f>IF($R131="","",INDEX(입력_전공의명단!$Q$2:$Q$401,$R131))</f>
        <v/>
      </c>
      <c r="L131" s="28">
        <f>IF($R131="","",INDEX(입력_전공의명단!$S$2:$S$401,$R131))</f>
        <v/>
      </c>
      <c r="M131" s="28">
        <f>IF($R131="","",INDEX(입력_전공의명단!$T$2:$T$401,$R131))</f>
        <v/>
      </c>
      <c r="N131" s="26">
        <f>IF($R131="","",INDEX(입력_전공의명단!$AH$2:$AH$401,$R131))</f>
        <v/>
      </c>
      <c r="O131" s="26">
        <f>IF($R131="","",INDEX(입력_전공의명단!$AI$2:$AI$401,$R131))</f>
        <v/>
      </c>
      <c r="P131" s="27">
        <f>IF($R131="","",INDEX(입력_전공의명단!$AO$2:$AO$401,$R131))</f>
        <v/>
      </c>
      <c r="Q131" s="27">
        <f>IF($R131="","",INDEX(입력_전공의명단!$Z$2:$Z$401,$R131))</f>
        <v/>
      </c>
      <c r="R131" s="29">
        <f>IFERROR(MATCH(ROW()-5,입력_전공의명단!$AM$2:$AM$401,0),"")</f>
        <v/>
      </c>
    </row>
    <row r="132">
      <c r="A132" s="26">
        <f>IF($R132="","",ROW()-5)</f>
        <v/>
      </c>
      <c r="B132" s="26">
        <f>IF($R132="","",INDEX(입력_전공의명단!$C$2:$C$401,$R132))</f>
        <v/>
      </c>
      <c r="C132" s="26">
        <f>IF($R132="","",INDEX(입력_전공의명단!$B$2:$B$401,$R132))</f>
        <v/>
      </c>
      <c r="D132" s="26">
        <f>IF($R132="","",INDEX(입력_전공의명단!$J$2:$J$401,$R132))</f>
        <v/>
      </c>
      <c r="E132" s="26">
        <f>IF($R132="","",INDEX(입력_전공의명단!$F$2:$F$401,$R132))</f>
        <v/>
      </c>
      <c r="F132" s="26">
        <f>IF($R132="","",INDEX(입력_전공의명단!$G$2:$G$401,$R132))</f>
        <v/>
      </c>
      <c r="G132" s="26">
        <f>IF($R132="","",INDEX(입력_전공의명단!$AE$2:$AE$401,$R132))</f>
        <v/>
      </c>
      <c r="H132" s="27">
        <f>IF($R132="","",IF(INDEX(입력_전공의명단!$AE$2:$AE$401,$R132)="서울병원","서울 소속","타 병원 소속("&amp;INDEX(입력_전공의명단!$AE$2:$AE$401,$R132)&amp;") → 서울 지급"))</f>
        <v/>
      </c>
      <c r="I132" s="26">
        <f>IF($R132="","",INDEX(입력_전공의명단!$N$2:$N$401,$R132))</f>
        <v/>
      </c>
      <c r="J132" s="26">
        <f>IF($R132="","",INDEX(입력_전공의명단!$P$2:$P$401,$R132))</f>
        <v/>
      </c>
      <c r="K132" s="26">
        <f>IF($R132="","",INDEX(입력_전공의명단!$Q$2:$Q$401,$R132))</f>
        <v/>
      </c>
      <c r="L132" s="28">
        <f>IF($R132="","",INDEX(입력_전공의명단!$S$2:$S$401,$R132))</f>
        <v/>
      </c>
      <c r="M132" s="28">
        <f>IF($R132="","",INDEX(입력_전공의명단!$T$2:$T$401,$R132))</f>
        <v/>
      </c>
      <c r="N132" s="26">
        <f>IF($R132="","",INDEX(입력_전공의명단!$AH$2:$AH$401,$R132))</f>
        <v/>
      </c>
      <c r="O132" s="26">
        <f>IF($R132="","",INDEX(입력_전공의명단!$AI$2:$AI$401,$R132))</f>
        <v/>
      </c>
      <c r="P132" s="27">
        <f>IF($R132="","",INDEX(입력_전공의명단!$AO$2:$AO$401,$R132))</f>
        <v/>
      </c>
      <c r="Q132" s="27">
        <f>IF($R132="","",INDEX(입력_전공의명단!$Z$2:$Z$401,$R132))</f>
        <v/>
      </c>
      <c r="R132" s="29">
        <f>IFERROR(MATCH(ROW()-5,입력_전공의명단!$AM$2:$AM$401,0),"")</f>
        <v/>
      </c>
    </row>
    <row r="133">
      <c r="A133" s="26">
        <f>IF($R133="","",ROW()-5)</f>
        <v/>
      </c>
      <c r="B133" s="26">
        <f>IF($R133="","",INDEX(입력_전공의명단!$C$2:$C$401,$R133))</f>
        <v/>
      </c>
      <c r="C133" s="26">
        <f>IF($R133="","",INDEX(입력_전공의명단!$B$2:$B$401,$R133))</f>
        <v/>
      </c>
      <c r="D133" s="26">
        <f>IF($R133="","",INDEX(입력_전공의명단!$J$2:$J$401,$R133))</f>
        <v/>
      </c>
      <c r="E133" s="26">
        <f>IF($R133="","",INDEX(입력_전공의명단!$F$2:$F$401,$R133))</f>
        <v/>
      </c>
      <c r="F133" s="26">
        <f>IF($R133="","",INDEX(입력_전공의명단!$G$2:$G$401,$R133))</f>
        <v/>
      </c>
      <c r="G133" s="26">
        <f>IF($R133="","",INDEX(입력_전공의명단!$AE$2:$AE$401,$R133))</f>
        <v/>
      </c>
      <c r="H133" s="27">
        <f>IF($R133="","",IF(INDEX(입력_전공의명단!$AE$2:$AE$401,$R133)="서울병원","서울 소속","타 병원 소속("&amp;INDEX(입력_전공의명단!$AE$2:$AE$401,$R133)&amp;") → 서울 지급"))</f>
        <v/>
      </c>
      <c r="I133" s="26">
        <f>IF($R133="","",INDEX(입력_전공의명단!$N$2:$N$401,$R133))</f>
        <v/>
      </c>
      <c r="J133" s="26">
        <f>IF($R133="","",INDEX(입력_전공의명단!$P$2:$P$401,$R133))</f>
        <v/>
      </c>
      <c r="K133" s="26">
        <f>IF($R133="","",INDEX(입력_전공의명단!$Q$2:$Q$401,$R133))</f>
        <v/>
      </c>
      <c r="L133" s="28">
        <f>IF($R133="","",INDEX(입력_전공의명단!$S$2:$S$401,$R133))</f>
        <v/>
      </c>
      <c r="M133" s="28">
        <f>IF($R133="","",INDEX(입력_전공의명단!$T$2:$T$401,$R133))</f>
        <v/>
      </c>
      <c r="N133" s="26">
        <f>IF($R133="","",INDEX(입력_전공의명단!$AH$2:$AH$401,$R133))</f>
        <v/>
      </c>
      <c r="O133" s="26">
        <f>IF($R133="","",INDEX(입력_전공의명단!$AI$2:$AI$401,$R133))</f>
        <v/>
      </c>
      <c r="P133" s="27">
        <f>IF($R133="","",INDEX(입력_전공의명단!$AO$2:$AO$401,$R133))</f>
        <v/>
      </c>
      <c r="Q133" s="27">
        <f>IF($R133="","",INDEX(입력_전공의명단!$Z$2:$Z$401,$R133))</f>
        <v/>
      </c>
      <c r="R133" s="29">
        <f>IFERROR(MATCH(ROW()-5,입력_전공의명단!$AM$2:$AM$401,0),"")</f>
        <v/>
      </c>
    </row>
    <row r="134">
      <c r="A134" s="26">
        <f>IF($R134="","",ROW()-5)</f>
        <v/>
      </c>
      <c r="B134" s="26">
        <f>IF($R134="","",INDEX(입력_전공의명단!$C$2:$C$401,$R134))</f>
        <v/>
      </c>
      <c r="C134" s="26">
        <f>IF($R134="","",INDEX(입력_전공의명단!$B$2:$B$401,$R134))</f>
        <v/>
      </c>
      <c r="D134" s="26">
        <f>IF($R134="","",INDEX(입력_전공의명단!$J$2:$J$401,$R134))</f>
        <v/>
      </c>
      <c r="E134" s="26">
        <f>IF($R134="","",INDEX(입력_전공의명단!$F$2:$F$401,$R134))</f>
        <v/>
      </c>
      <c r="F134" s="26">
        <f>IF($R134="","",INDEX(입력_전공의명단!$G$2:$G$401,$R134))</f>
        <v/>
      </c>
      <c r="G134" s="26">
        <f>IF($R134="","",INDEX(입력_전공의명단!$AE$2:$AE$401,$R134))</f>
        <v/>
      </c>
      <c r="H134" s="27">
        <f>IF($R134="","",IF(INDEX(입력_전공의명단!$AE$2:$AE$401,$R134)="서울병원","서울 소속","타 병원 소속("&amp;INDEX(입력_전공의명단!$AE$2:$AE$401,$R134)&amp;") → 서울 지급"))</f>
        <v/>
      </c>
      <c r="I134" s="26">
        <f>IF($R134="","",INDEX(입력_전공의명단!$N$2:$N$401,$R134))</f>
        <v/>
      </c>
      <c r="J134" s="26">
        <f>IF($R134="","",INDEX(입력_전공의명단!$P$2:$P$401,$R134))</f>
        <v/>
      </c>
      <c r="K134" s="26">
        <f>IF($R134="","",INDEX(입력_전공의명단!$Q$2:$Q$401,$R134))</f>
        <v/>
      </c>
      <c r="L134" s="28">
        <f>IF($R134="","",INDEX(입력_전공의명단!$S$2:$S$401,$R134))</f>
        <v/>
      </c>
      <c r="M134" s="28">
        <f>IF($R134="","",INDEX(입력_전공의명단!$T$2:$T$401,$R134))</f>
        <v/>
      </c>
      <c r="N134" s="26">
        <f>IF($R134="","",INDEX(입력_전공의명단!$AH$2:$AH$401,$R134))</f>
        <v/>
      </c>
      <c r="O134" s="26">
        <f>IF($R134="","",INDEX(입력_전공의명단!$AI$2:$AI$401,$R134))</f>
        <v/>
      </c>
      <c r="P134" s="27">
        <f>IF($R134="","",INDEX(입력_전공의명단!$AO$2:$AO$401,$R134))</f>
        <v/>
      </c>
      <c r="Q134" s="27">
        <f>IF($R134="","",INDEX(입력_전공의명단!$Z$2:$Z$401,$R134))</f>
        <v/>
      </c>
      <c r="R134" s="29">
        <f>IFERROR(MATCH(ROW()-5,입력_전공의명단!$AM$2:$AM$401,0),"")</f>
        <v/>
      </c>
    </row>
    <row r="135">
      <c r="A135" s="26">
        <f>IF($R135="","",ROW()-5)</f>
        <v/>
      </c>
      <c r="B135" s="26">
        <f>IF($R135="","",INDEX(입력_전공의명단!$C$2:$C$401,$R135))</f>
        <v/>
      </c>
      <c r="C135" s="26">
        <f>IF($R135="","",INDEX(입력_전공의명단!$B$2:$B$401,$R135))</f>
        <v/>
      </c>
      <c r="D135" s="26">
        <f>IF($R135="","",INDEX(입력_전공의명단!$J$2:$J$401,$R135))</f>
        <v/>
      </c>
      <c r="E135" s="26">
        <f>IF($R135="","",INDEX(입력_전공의명단!$F$2:$F$401,$R135))</f>
        <v/>
      </c>
      <c r="F135" s="26">
        <f>IF($R135="","",INDEX(입력_전공의명단!$G$2:$G$401,$R135))</f>
        <v/>
      </c>
      <c r="G135" s="26">
        <f>IF($R135="","",INDEX(입력_전공의명단!$AE$2:$AE$401,$R135))</f>
        <v/>
      </c>
      <c r="H135" s="27">
        <f>IF($R135="","",IF(INDEX(입력_전공의명단!$AE$2:$AE$401,$R135)="서울병원","서울 소속","타 병원 소속("&amp;INDEX(입력_전공의명단!$AE$2:$AE$401,$R135)&amp;") → 서울 지급"))</f>
        <v/>
      </c>
      <c r="I135" s="26">
        <f>IF($R135="","",INDEX(입력_전공의명단!$N$2:$N$401,$R135))</f>
        <v/>
      </c>
      <c r="J135" s="26">
        <f>IF($R135="","",INDEX(입력_전공의명단!$P$2:$P$401,$R135))</f>
        <v/>
      </c>
      <c r="K135" s="26">
        <f>IF($R135="","",INDEX(입력_전공의명단!$Q$2:$Q$401,$R135))</f>
        <v/>
      </c>
      <c r="L135" s="28">
        <f>IF($R135="","",INDEX(입력_전공의명단!$S$2:$S$401,$R135))</f>
        <v/>
      </c>
      <c r="M135" s="28">
        <f>IF($R135="","",INDEX(입력_전공의명단!$T$2:$T$401,$R135))</f>
        <v/>
      </c>
      <c r="N135" s="26">
        <f>IF($R135="","",INDEX(입력_전공의명단!$AH$2:$AH$401,$R135))</f>
        <v/>
      </c>
      <c r="O135" s="26">
        <f>IF($R135="","",INDEX(입력_전공의명단!$AI$2:$AI$401,$R135))</f>
        <v/>
      </c>
      <c r="P135" s="27">
        <f>IF($R135="","",INDEX(입력_전공의명단!$AO$2:$AO$401,$R135))</f>
        <v/>
      </c>
      <c r="Q135" s="27">
        <f>IF($R135="","",INDEX(입력_전공의명단!$Z$2:$Z$401,$R135))</f>
        <v/>
      </c>
      <c r="R135" s="29">
        <f>IFERROR(MATCH(ROW()-5,입력_전공의명단!$AM$2:$AM$401,0),"")</f>
        <v/>
      </c>
    </row>
    <row r="136">
      <c r="A136" s="26">
        <f>IF($R136="","",ROW()-5)</f>
        <v/>
      </c>
      <c r="B136" s="26">
        <f>IF($R136="","",INDEX(입력_전공의명단!$C$2:$C$401,$R136))</f>
        <v/>
      </c>
      <c r="C136" s="26">
        <f>IF($R136="","",INDEX(입력_전공의명단!$B$2:$B$401,$R136))</f>
        <v/>
      </c>
      <c r="D136" s="26">
        <f>IF($R136="","",INDEX(입력_전공의명단!$J$2:$J$401,$R136))</f>
        <v/>
      </c>
      <c r="E136" s="26">
        <f>IF($R136="","",INDEX(입력_전공의명단!$F$2:$F$401,$R136))</f>
        <v/>
      </c>
      <c r="F136" s="26">
        <f>IF($R136="","",INDEX(입력_전공의명단!$G$2:$G$401,$R136))</f>
        <v/>
      </c>
      <c r="G136" s="26">
        <f>IF($R136="","",INDEX(입력_전공의명단!$AE$2:$AE$401,$R136))</f>
        <v/>
      </c>
      <c r="H136" s="27">
        <f>IF($R136="","",IF(INDEX(입력_전공의명단!$AE$2:$AE$401,$R136)="서울병원","서울 소속","타 병원 소속("&amp;INDEX(입력_전공의명단!$AE$2:$AE$401,$R136)&amp;") → 서울 지급"))</f>
        <v/>
      </c>
      <c r="I136" s="26">
        <f>IF($R136="","",INDEX(입력_전공의명단!$N$2:$N$401,$R136))</f>
        <v/>
      </c>
      <c r="J136" s="26">
        <f>IF($R136="","",INDEX(입력_전공의명단!$P$2:$P$401,$R136))</f>
        <v/>
      </c>
      <c r="K136" s="26">
        <f>IF($R136="","",INDEX(입력_전공의명단!$Q$2:$Q$401,$R136))</f>
        <v/>
      </c>
      <c r="L136" s="28">
        <f>IF($R136="","",INDEX(입력_전공의명단!$S$2:$S$401,$R136))</f>
        <v/>
      </c>
      <c r="M136" s="28">
        <f>IF($R136="","",INDEX(입력_전공의명단!$T$2:$T$401,$R136))</f>
        <v/>
      </c>
      <c r="N136" s="26">
        <f>IF($R136="","",INDEX(입력_전공의명단!$AH$2:$AH$401,$R136))</f>
        <v/>
      </c>
      <c r="O136" s="26">
        <f>IF($R136="","",INDEX(입력_전공의명단!$AI$2:$AI$401,$R136))</f>
        <v/>
      </c>
      <c r="P136" s="27">
        <f>IF($R136="","",INDEX(입력_전공의명단!$AO$2:$AO$401,$R136))</f>
        <v/>
      </c>
      <c r="Q136" s="27">
        <f>IF($R136="","",INDEX(입력_전공의명단!$Z$2:$Z$401,$R136))</f>
        <v/>
      </c>
      <c r="R136" s="29">
        <f>IFERROR(MATCH(ROW()-5,입력_전공의명단!$AM$2:$AM$401,0),"")</f>
        <v/>
      </c>
    </row>
    <row r="137">
      <c r="A137" s="26">
        <f>IF($R137="","",ROW()-5)</f>
        <v/>
      </c>
      <c r="B137" s="26">
        <f>IF($R137="","",INDEX(입력_전공의명단!$C$2:$C$401,$R137))</f>
        <v/>
      </c>
      <c r="C137" s="26">
        <f>IF($R137="","",INDEX(입력_전공의명단!$B$2:$B$401,$R137))</f>
        <v/>
      </c>
      <c r="D137" s="26">
        <f>IF($R137="","",INDEX(입력_전공의명단!$J$2:$J$401,$R137))</f>
        <v/>
      </c>
      <c r="E137" s="26">
        <f>IF($R137="","",INDEX(입력_전공의명단!$F$2:$F$401,$R137))</f>
        <v/>
      </c>
      <c r="F137" s="26">
        <f>IF($R137="","",INDEX(입력_전공의명단!$G$2:$G$401,$R137))</f>
        <v/>
      </c>
      <c r="G137" s="26">
        <f>IF($R137="","",INDEX(입력_전공의명단!$AE$2:$AE$401,$R137))</f>
        <v/>
      </c>
      <c r="H137" s="27">
        <f>IF($R137="","",IF(INDEX(입력_전공의명단!$AE$2:$AE$401,$R137)="서울병원","서울 소속","타 병원 소속("&amp;INDEX(입력_전공의명단!$AE$2:$AE$401,$R137)&amp;") → 서울 지급"))</f>
        <v/>
      </c>
      <c r="I137" s="26">
        <f>IF($R137="","",INDEX(입력_전공의명단!$N$2:$N$401,$R137))</f>
        <v/>
      </c>
      <c r="J137" s="26">
        <f>IF($R137="","",INDEX(입력_전공의명단!$P$2:$P$401,$R137))</f>
        <v/>
      </c>
      <c r="K137" s="26">
        <f>IF($R137="","",INDEX(입력_전공의명단!$Q$2:$Q$401,$R137))</f>
        <v/>
      </c>
      <c r="L137" s="28">
        <f>IF($R137="","",INDEX(입력_전공의명단!$S$2:$S$401,$R137))</f>
        <v/>
      </c>
      <c r="M137" s="28">
        <f>IF($R137="","",INDEX(입력_전공의명단!$T$2:$T$401,$R137))</f>
        <v/>
      </c>
      <c r="N137" s="26">
        <f>IF($R137="","",INDEX(입력_전공의명단!$AH$2:$AH$401,$R137))</f>
        <v/>
      </c>
      <c r="O137" s="26">
        <f>IF($R137="","",INDEX(입력_전공의명단!$AI$2:$AI$401,$R137))</f>
        <v/>
      </c>
      <c r="P137" s="27">
        <f>IF($R137="","",INDEX(입력_전공의명단!$AO$2:$AO$401,$R137))</f>
        <v/>
      </c>
      <c r="Q137" s="27">
        <f>IF($R137="","",INDEX(입력_전공의명단!$Z$2:$Z$401,$R137))</f>
        <v/>
      </c>
      <c r="R137" s="29">
        <f>IFERROR(MATCH(ROW()-5,입력_전공의명단!$AM$2:$AM$401,0),"")</f>
        <v/>
      </c>
    </row>
    <row r="138">
      <c r="A138" s="26">
        <f>IF($R138="","",ROW()-5)</f>
        <v/>
      </c>
      <c r="B138" s="26">
        <f>IF($R138="","",INDEX(입력_전공의명단!$C$2:$C$401,$R138))</f>
        <v/>
      </c>
      <c r="C138" s="26">
        <f>IF($R138="","",INDEX(입력_전공의명단!$B$2:$B$401,$R138))</f>
        <v/>
      </c>
      <c r="D138" s="26">
        <f>IF($R138="","",INDEX(입력_전공의명단!$J$2:$J$401,$R138))</f>
        <v/>
      </c>
      <c r="E138" s="26">
        <f>IF($R138="","",INDEX(입력_전공의명단!$F$2:$F$401,$R138))</f>
        <v/>
      </c>
      <c r="F138" s="26">
        <f>IF($R138="","",INDEX(입력_전공의명단!$G$2:$G$401,$R138))</f>
        <v/>
      </c>
      <c r="G138" s="26">
        <f>IF($R138="","",INDEX(입력_전공의명단!$AE$2:$AE$401,$R138))</f>
        <v/>
      </c>
      <c r="H138" s="27">
        <f>IF($R138="","",IF(INDEX(입력_전공의명단!$AE$2:$AE$401,$R138)="서울병원","서울 소속","타 병원 소속("&amp;INDEX(입력_전공의명단!$AE$2:$AE$401,$R138)&amp;") → 서울 지급"))</f>
        <v/>
      </c>
      <c r="I138" s="26">
        <f>IF($R138="","",INDEX(입력_전공의명단!$N$2:$N$401,$R138))</f>
        <v/>
      </c>
      <c r="J138" s="26">
        <f>IF($R138="","",INDEX(입력_전공의명단!$P$2:$P$401,$R138))</f>
        <v/>
      </c>
      <c r="K138" s="26">
        <f>IF($R138="","",INDEX(입력_전공의명단!$Q$2:$Q$401,$R138))</f>
        <v/>
      </c>
      <c r="L138" s="28">
        <f>IF($R138="","",INDEX(입력_전공의명단!$S$2:$S$401,$R138))</f>
        <v/>
      </c>
      <c r="M138" s="28">
        <f>IF($R138="","",INDEX(입력_전공의명단!$T$2:$T$401,$R138))</f>
        <v/>
      </c>
      <c r="N138" s="26">
        <f>IF($R138="","",INDEX(입력_전공의명단!$AH$2:$AH$401,$R138))</f>
        <v/>
      </c>
      <c r="O138" s="26">
        <f>IF($R138="","",INDEX(입력_전공의명단!$AI$2:$AI$401,$R138))</f>
        <v/>
      </c>
      <c r="P138" s="27">
        <f>IF($R138="","",INDEX(입력_전공의명단!$AO$2:$AO$401,$R138))</f>
        <v/>
      </c>
      <c r="Q138" s="27">
        <f>IF($R138="","",INDEX(입력_전공의명단!$Z$2:$Z$401,$R138))</f>
        <v/>
      </c>
      <c r="R138" s="29">
        <f>IFERROR(MATCH(ROW()-5,입력_전공의명단!$AM$2:$AM$401,0),"")</f>
        <v/>
      </c>
    </row>
    <row r="139">
      <c r="A139" s="26">
        <f>IF($R139="","",ROW()-5)</f>
        <v/>
      </c>
      <c r="B139" s="26">
        <f>IF($R139="","",INDEX(입력_전공의명단!$C$2:$C$401,$R139))</f>
        <v/>
      </c>
      <c r="C139" s="26">
        <f>IF($R139="","",INDEX(입력_전공의명단!$B$2:$B$401,$R139))</f>
        <v/>
      </c>
      <c r="D139" s="26">
        <f>IF($R139="","",INDEX(입력_전공의명단!$J$2:$J$401,$R139))</f>
        <v/>
      </c>
      <c r="E139" s="26">
        <f>IF($R139="","",INDEX(입력_전공의명단!$F$2:$F$401,$R139))</f>
        <v/>
      </c>
      <c r="F139" s="26">
        <f>IF($R139="","",INDEX(입력_전공의명단!$G$2:$G$401,$R139))</f>
        <v/>
      </c>
      <c r="G139" s="26">
        <f>IF($R139="","",INDEX(입력_전공의명단!$AE$2:$AE$401,$R139))</f>
        <v/>
      </c>
      <c r="H139" s="27">
        <f>IF($R139="","",IF(INDEX(입력_전공의명단!$AE$2:$AE$401,$R139)="서울병원","서울 소속","타 병원 소속("&amp;INDEX(입력_전공의명단!$AE$2:$AE$401,$R139)&amp;") → 서울 지급"))</f>
        <v/>
      </c>
      <c r="I139" s="26">
        <f>IF($R139="","",INDEX(입력_전공의명단!$N$2:$N$401,$R139))</f>
        <v/>
      </c>
      <c r="J139" s="26">
        <f>IF($R139="","",INDEX(입력_전공의명단!$P$2:$P$401,$R139))</f>
        <v/>
      </c>
      <c r="K139" s="26">
        <f>IF($R139="","",INDEX(입력_전공의명단!$Q$2:$Q$401,$R139))</f>
        <v/>
      </c>
      <c r="L139" s="28">
        <f>IF($R139="","",INDEX(입력_전공의명단!$S$2:$S$401,$R139))</f>
        <v/>
      </c>
      <c r="M139" s="28">
        <f>IF($R139="","",INDEX(입력_전공의명단!$T$2:$T$401,$R139))</f>
        <v/>
      </c>
      <c r="N139" s="26">
        <f>IF($R139="","",INDEX(입력_전공의명단!$AH$2:$AH$401,$R139))</f>
        <v/>
      </c>
      <c r="O139" s="26">
        <f>IF($R139="","",INDEX(입력_전공의명단!$AI$2:$AI$401,$R139))</f>
        <v/>
      </c>
      <c r="P139" s="27">
        <f>IF($R139="","",INDEX(입력_전공의명단!$AO$2:$AO$401,$R139))</f>
        <v/>
      </c>
      <c r="Q139" s="27">
        <f>IF($R139="","",INDEX(입력_전공의명단!$Z$2:$Z$401,$R139))</f>
        <v/>
      </c>
      <c r="R139" s="29">
        <f>IFERROR(MATCH(ROW()-5,입력_전공의명단!$AM$2:$AM$401,0),"")</f>
        <v/>
      </c>
    </row>
    <row r="140">
      <c r="A140" s="26">
        <f>IF($R140="","",ROW()-5)</f>
        <v/>
      </c>
      <c r="B140" s="26">
        <f>IF($R140="","",INDEX(입력_전공의명단!$C$2:$C$401,$R140))</f>
        <v/>
      </c>
      <c r="C140" s="26">
        <f>IF($R140="","",INDEX(입력_전공의명단!$B$2:$B$401,$R140))</f>
        <v/>
      </c>
      <c r="D140" s="26">
        <f>IF($R140="","",INDEX(입력_전공의명단!$J$2:$J$401,$R140))</f>
        <v/>
      </c>
      <c r="E140" s="26">
        <f>IF($R140="","",INDEX(입력_전공의명단!$F$2:$F$401,$R140))</f>
        <v/>
      </c>
      <c r="F140" s="26">
        <f>IF($R140="","",INDEX(입력_전공의명단!$G$2:$G$401,$R140))</f>
        <v/>
      </c>
      <c r="G140" s="26">
        <f>IF($R140="","",INDEX(입력_전공의명단!$AE$2:$AE$401,$R140))</f>
        <v/>
      </c>
      <c r="H140" s="27">
        <f>IF($R140="","",IF(INDEX(입력_전공의명단!$AE$2:$AE$401,$R140)="서울병원","서울 소속","타 병원 소속("&amp;INDEX(입력_전공의명단!$AE$2:$AE$401,$R140)&amp;") → 서울 지급"))</f>
        <v/>
      </c>
      <c r="I140" s="26">
        <f>IF($R140="","",INDEX(입력_전공의명단!$N$2:$N$401,$R140))</f>
        <v/>
      </c>
      <c r="J140" s="26">
        <f>IF($R140="","",INDEX(입력_전공의명단!$P$2:$P$401,$R140))</f>
        <v/>
      </c>
      <c r="K140" s="26">
        <f>IF($R140="","",INDEX(입력_전공의명단!$Q$2:$Q$401,$R140))</f>
        <v/>
      </c>
      <c r="L140" s="28">
        <f>IF($R140="","",INDEX(입력_전공의명단!$S$2:$S$401,$R140))</f>
        <v/>
      </c>
      <c r="M140" s="28">
        <f>IF($R140="","",INDEX(입력_전공의명단!$T$2:$T$401,$R140))</f>
        <v/>
      </c>
      <c r="N140" s="26">
        <f>IF($R140="","",INDEX(입력_전공의명단!$AH$2:$AH$401,$R140))</f>
        <v/>
      </c>
      <c r="O140" s="26">
        <f>IF($R140="","",INDEX(입력_전공의명단!$AI$2:$AI$401,$R140))</f>
        <v/>
      </c>
      <c r="P140" s="27">
        <f>IF($R140="","",INDEX(입력_전공의명단!$AO$2:$AO$401,$R140))</f>
        <v/>
      </c>
      <c r="Q140" s="27">
        <f>IF($R140="","",INDEX(입력_전공의명단!$Z$2:$Z$401,$R140))</f>
        <v/>
      </c>
      <c r="R140" s="29">
        <f>IFERROR(MATCH(ROW()-5,입력_전공의명단!$AM$2:$AM$401,0),"")</f>
        <v/>
      </c>
    </row>
    <row r="141">
      <c r="A141" s="26">
        <f>IF($R141="","",ROW()-5)</f>
        <v/>
      </c>
      <c r="B141" s="26">
        <f>IF($R141="","",INDEX(입력_전공의명단!$C$2:$C$401,$R141))</f>
        <v/>
      </c>
      <c r="C141" s="26">
        <f>IF($R141="","",INDEX(입력_전공의명단!$B$2:$B$401,$R141))</f>
        <v/>
      </c>
      <c r="D141" s="26">
        <f>IF($R141="","",INDEX(입력_전공의명단!$J$2:$J$401,$R141))</f>
        <v/>
      </c>
      <c r="E141" s="26">
        <f>IF($R141="","",INDEX(입력_전공의명단!$F$2:$F$401,$R141))</f>
        <v/>
      </c>
      <c r="F141" s="26">
        <f>IF($R141="","",INDEX(입력_전공의명단!$G$2:$G$401,$R141))</f>
        <v/>
      </c>
      <c r="G141" s="26">
        <f>IF($R141="","",INDEX(입력_전공의명단!$AE$2:$AE$401,$R141))</f>
        <v/>
      </c>
      <c r="H141" s="27">
        <f>IF($R141="","",IF(INDEX(입력_전공의명단!$AE$2:$AE$401,$R141)="서울병원","서울 소속","타 병원 소속("&amp;INDEX(입력_전공의명단!$AE$2:$AE$401,$R141)&amp;") → 서울 지급"))</f>
        <v/>
      </c>
      <c r="I141" s="26">
        <f>IF($R141="","",INDEX(입력_전공의명단!$N$2:$N$401,$R141))</f>
        <v/>
      </c>
      <c r="J141" s="26">
        <f>IF($R141="","",INDEX(입력_전공의명단!$P$2:$P$401,$R141))</f>
        <v/>
      </c>
      <c r="K141" s="26">
        <f>IF($R141="","",INDEX(입력_전공의명단!$Q$2:$Q$401,$R141))</f>
        <v/>
      </c>
      <c r="L141" s="28">
        <f>IF($R141="","",INDEX(입력_전공의명단!$S$2:$S$401,$R141))</f>
        <v/>
      </c>
      <c r="M141" s="28">
        <f>IF($R141="","",INDEX(입력_전공의명단!$T$2:$T$401,$R141))</f>
        <v/>
      </c>
      <c r="N141" s="26">
        <f>IF($R141="","",INDEX(입력_전공의명단!$AH$2:$AH$401,$R141))</f>
        <v/>
      </c>
      <c r="O141" s="26">
        <f>IF($R141="","",INDEX(입력_전공의명단!$AI$2:$AI$401,$R141))</f>
        <v/>
      </c>
      <c r="P141" s="27">
        <f>IF($R141="","",INDEX(입력_전공의명단!$AO$2:$AO$401,$R141))</f>
        <v/>
      </c>
      <c r="Q141" s="27">
        <f>IF($R141="","",INDEX(입력_전공의명단!$Z$2:$Z$401,$R141))</f>
        <v/>
      </c>
      <c r="R141" s="29">
        <f>IFERROR(MATCH(ROW()-5,입력_전공의명단!$AM$2:$AM$401,0),"")</f>
        <v/>
      </c>
    </row>
    <row r="142">
      <c r="A142" s="26">
        <f>IF($R142="","",ROW()-5)</f>
        <v/>
      </c>
      <c r="B142" s="26">
        <f>IF($R142="","",INDEX(입력_전공의명단!$C$2:$C$401,$R142))</f>
        <v/>
      </c>
      <c r="C142" s="26">
        <f>IF($R142="","",INDEX(입력_전공의명단!$B$2:$B$401,$R142))</f>
        <v/>
      </c>
      <c r="D142" s="26">
        <f>IF($R142="","",INDEX(입력_전공의명단!$J$2:$J$401,$R142))</f>
        <v/>
      </c>
      <c r="E142" s="26">
        <f>IF($R142="","",INDEX(입력_전공의명단!$F$2:$F$401,$R142))</f>
        <v/>
      </c>
      <c r="F142" s="26">
        <f>IF($R142="","",INDEX(입력_전공의명단!$G$2:$G$401,$R142))</f>
        <v/>
      </c>
      <c r="G142" s="26">
        <f>IF($R142="","",INDEX(입력_전공의명단!$AE$2:$AE$401,$R142))</f>
        <v/>
      </c>
      <c r="H142" s="27">
        <f>IF($R142="","",IF(INDEX(입력_전공의명단!$AE$2:$AE$401,$R142)="서울병원","서울 소속","타 병원 소속("&amp;INDEX(입력_전공의명단!$AE$2:$AE$401,$R142)&amp;") → 서울 지급"))</f>
        <v/>
      </c>
      <c r="I142" s="26">
        <f>IF($R142="","",INDEX(입력_전공의명단!$N$2:$N$401,$R142))</f>
        <v/>
      </c>
      <c r="J142" s="26">
        <f>IF($R142="","",INDEX(입력_전공의명단!$P$2:$P$401,$R142))</f>
        <v/>
      </c>
      <c r="K142" s="26">
        <f>IF($R142="","",INDEX(입력_전공의명단!$Q$2:$Q$401,$R142))</f>
        <v/>
      </c>
      <c r="L142" s="28">
        <f>IF($R142="","",INDEX(입력_전공의명단!$S$2:$S$401,$R142))</f>
        <v/>
      </c>
      <c r="M142" s="28">
        <f>IF($R142="","",INDEX(입력_전공의명단!$T$2:$T$401,$R142))</f>
        <v/>
      </c>
      <c r="N142" s="26">
        <f>IF($R142="","",INDEX(입력_전공의명단!$AH$2:$AH$401,$R142))</f>
        <v/>
      </c>
      <c r="O142" s="26">
        <f>IF($R142="","",INDEX(입력_전공의명단!$AI$2:$AI$401,$R142))</f>
        <v/>
      </c>
      <c r="P142" s="27">
        <f>IF($R142="","",INDEX(입력_전공의명단!$AO$2:$AO$401,$R142))</f>
        <v/>
      </c>
      <c r="Q142" s="27">
        <f>IF($R142="","",INDEX(입력_전공의명단!$Z$2:$Z$401,$R142))</f>
        <v/>
      </c>
      <c r="R142" s="29">
        <f>IFERROR(MATCH(ROW()-5,입력_전공의명단!$AM$2:$AM$401,0),"")</f>
        <v/>
      </c>
    </row>
    <row r="143">
      <c r="A143" s="26">
        <f>IF($R143="","",ROW()-5)</f>
        <v/>
      </c>
      <c r="B143" s="26">
        <f>IF($R143="","",INDEX(입력_전공의명단!$C$2:$C$401,$R143))</f>
        <v/>
      </c>
      <c r="C143" s="26">
        <f>IF($R143="","",INDEX(입력_전공의명단!$B$2:$B$401,$R143))</f>
        <v/>
      </c>
      <c r="D143" s="26">
        <f>IF($R143="","",INDEX(입력_전공의명단!$J$2:$J$401,$R143))</f>
        <v/>
      </c>
      <c r="E143" s="26">
        <f>IF($R143="","",INDEX(입력_전공의명단!$F$2:$F$401,$R143))</f>
        <v/>
      </c>
      <c r="F143" s="26">
        <f>IF($R143="","",INDEX(입력_전공의명단!$G$2:$G$401,$R143))</f>
        <v/>
      </c>
      <c r="G143" s="26">
        <f>IF($R143="","",INDEX(입력_전공의명단!$AE$2:$AE$401,$R143))</f>
        <v/>
      </c>
      <c r="H143" s="27">
        <f>IF($R143="","",IF(INDEX(입력_전공의명단!$AE$2:$AE$401,$R143)="서울병원","서울 소속","타 병원 소속("&amp;INDEX(입력_전공의명단!$AE$2:$AE$401,$R143)&amp;") → 서울 지급"))</f>
        <v/>
      </c>
      <c r="I143" s="26">
        <f>IF($R143="","",INDEX(입력_전공의명단!$N$2:$N$401,$R143))</f>
        <v/>
      </c>
      <c r="J143" s="26">
        <f>IF($R143="","",INDEX(입력_전공의명단!$P$2:$P$401,$R143))</f>
        <v/>
      </c>
      <c r="K143" s="26">
        <f>IF($R143="","",INDEX(입력_전공의명단!$Q$2:$Q$401,$R143))</f>
        <v/>
      </c>
      <c r="L143" s="28">
        <f>IF($R143="","",INDEX(입력_전공의명단!$S$2:$S$401,$R143))</f>
        <v/>
      </c>
      <c r="M143" s="28">
        <f>IF($R143="","",INDEX(입력_전공의명단!$T$2:$T$401,$R143))</f>
        <v/>
      </c>
      <c r="N143" s="26">
        <f>IF($R143="","",INDEX(입력_전공의명단!$AH$2:$AH$401,$R143))</f>
        <v/>
      </c>
      <c r="O143" s="26">
        <f>IF($R143="","",INDEX(입력_전공의명단!$AI$2:$AI$401,$R143))</f>
        <v/>
      </c>
      <c r="P143" s="27">
        <f>IF($R143="","",INDEX(입력_전공의명단!$AO$2:$AO$401,$R143))</f>
        <v/>
      </c>
      <c r="Q143" s="27">
        <f>IF($R143="","",INDEX(입력_전공의명단!$Z$2:$Z$401,$R143))</f>
        <v/>
      </c>
      <c r="R143" s="29">
        <f>IFERROR(MATCH(ROW()-5,입력_전공의명단!$AM$2:$AM$401,0),"")</f>
        <v/>
      </c>
    </row>
    <row r="144">
      <c r="A144" s="26">
        <f>IF($R144="","",ROW()-5)</f>
        <v/>
      </c>
      <c r="B144" s="26">
        <f>IF($R144="","",INDEX(입력_전공의명단!$C$2:$C$401,$R144))</f>
        <v/>
      </c>
      <c r="C144" s="26">
        <f>IF($R144="","",INDEX(입력_전공의명단!$B$2:$B$401,$R144))</f>
        <v/>
      </c>
      <c r="D144" s="26">
        <f>IF($R144="","",INDEX(입력_전공의명단!$J$2:$J$401,$R144))</f>
        <v/>
      </c>
      <c r="E144" s="26">
        <f>IF($R144="","",INDEX(입력_전공의명단!$F$2:$F$401,$R144))</f>
        <v/>
      </c>
      <c r="F144" s="26">
        <f>IF($R144="","",INDEX(입력_전공의명단!$G$2:$G$401,$R144))</f>
        <v/>
      </c>
      <c r="G144" s="26">
        <f>IF($R144="","",INDEX(입력_전공의명단!$AE$2:$AE$401,$R144))</f>
        <v/>
      </c>
      <c r="H144" s="27">
        <f>IF($R144="","",IF(INDEX(입력_전공의명단!$AE$2:$AE$401,$R144)="서울병원","서울 소속","타 병원 소속("&amp;INDEX(입력_전공의명단!$AE$2:$AE$401,$R144)&amp;") → 서울 지급"))</f>
        <v/>
      </c>
      <c r="I144" s="26">
        <f>IF($R144="","",INDEX(입력_전공의명단!$N$2:$N$401,$R144))</f>
        <v/>
      </c>
      <c r="J144" s="26">
        <f>IF($R144="","",INDEX(입력_전공의명단!$P$2:$P$401,$R144))</f>
        <v/>
      </c>
      <c r="K144" s="26">
        <f>IF($R144="","",INDEX(입력_전공의명단!$Q$2:$Q$401,$R144))</f>
        <v/>
      </c>
      <c r="L144" s="28">
        <f>IF($R144="","",INDEX(입력_전공의명단!$S$2:$S$401,$R144))</f>
        <v/>
      </c>
      <c r="M144" s="28">
        <f>IF($R144="","",INDEX(입력_전공의명단!$T$2:$T$401,$R144))</f>
        <v/>
      </c>
      <c r="N144" s="26">
        <f>IF($R144="","",INDEX(입력_전공의명단!$AH$2:$AH$401,$R144))</f>
        <v/>
      </c>
      <c r="O144" s="26">
        <f>IF($R144="","",INDEX(입력_전공의명단!$AI$2:$AI$401,$R144))</f>
        <v/>
      </c>
      <c r="P144" s="27">
        <f>IF($R144="","",INDEX(입력_전공의명단!$AO$2:$AO$401,$R144))</f>
        <v/>
      </c>
      <c r="Q144" s="27">
        <f>IF($R144="","",INDEX(입력_전공의명단!$Z$2:$Z$401,$R144))</f>
        <v/>
      </c>
      <c r="R144" s="29">
        <f>IFERROR(MATCH(ROW()-5,입력_전공의명단!$AM$2:$AM$401,0),"")</f>
        <v/>
      </c>
    </row>
    <row r="145">
      <c r="A145" s="26">
        <f>IF($R145="","",ROW()-5)</f>
        <v/>
      </c>
      <c r="B145" s="26">
        <f>IF($R145="","",INDEX(입력_전공의명단!$C$2:$C$401,$R145))</f>
        <v/>
      </c>
      <c r="C145" s="26">
        <f>IF($R145="","",INDEX(입력_전공의명단!$B$2:$B$401,$R145))</f>
        <v/>
      </c>
      <c r="D145" s="26">
        <f>IF($R145="","",INDEX(입력_전공의명단!$J$2:$J$401,$R145))</f>
        <v/>
      </c>
      <c r="E145" s="26">
        <f>IF($R145="","",INDEX(입력_전공의명단!$F$2:$F$401,$R145))</f>
        <v/>
      </c>
      <c r="F145" s="26">
        <f>IF($R145="","",INDEX(입력_전공의명단!$G$2:$G$401,$R145))</f>
        <v/>
      </c>
      <c r="G145" s="26">
        <f>IF($R145="","",INDEX(입력_전공의명단!$AE$2:$AE$401,$R145))</f>
        <v/>
      </c>
      <c r="H145" s="27">
        <f>IF($R145="","",IF(INDEX(입력_전공의명단!$AE$2:$AE$401,$R145)="서울병원","서울 소속","타 병원 소속("&amp;INDEX(입력_전공의명단!$AE$2:$AE$401,$R145)&amp;") → 서울 지급"))</f>
        <v/>
      </c>
      <c r="I145" s="26">
        <f>IF($R145="","",INDEX(입력_전공의명단!$N$2:$N$401,$R145))</f>
        <v/>
      </c>
      <c r="J145" s="26">
        <f>IF($R145="","",INDEX(입력_전공의명단!$P$2:$P$401,$R145))</f>
        <v/>
      </c>
      <c r="K145" s="26">
        <f>IF($R145="","",INDEX(입력_전공의명단!$Q$2:$Q$401,$R145))</f>
        <v/>
      </c>
      <c r="L145" s="28">
        <f>IF($R145="","",INDEX(입력_전공의명단!$S$2:$S$401,$R145))</f>
        <v/>
      </c>
      <c r="M145" s="28">
        <f>IF($R145="","",INDEX(입력_전공의명단!$T$2:$T$401,$R145))</f>
        <v/>
      </c>
      <c r="N145" s="26">
        <f>IF($R145="","",INDEX(입력_전공의명단!$AH$2:$AH$401,$R145))</f>
        <v/>
      </c>
      <c r="O145" s="26">
        <f>IF($R145="","",INDEX(입력_전공의명단!$AI$2:$AI$401,$R145))</f>
        <v/>
      </c>
      <c r="P145" s="27">
        <f>IF($R145="","",INDEX(입력_전공의명단!$AO$2:$AO$401,$R145))</f>
        <v/>
      </c>
      <c r="Q145" s="27">
        <f>IF($R145="","",INDEX(입력_전공의명단!$Z$2:$Z$401,$R145))</f>
        <v/>
      </c>
      <c r="R145" s="29">
        <f>IFERROR(MATCH(ROW()-5,입력_전공의명단!$AM$2:$AM$401,0),"")</f>
        <v/>
      </c>
    </row>
    <row r="146">
      <c r="A146" s="26">
        <f>IF($R146="","",ROW()-5)</f>
        <v/>
      </c>
      <c r="B146" s="26">
        <f>IF($R146="","",INDEX(입력_전공의명단!$C$2:$C$401,$R146))</f>
        <v/>
      </c>
      <c r="C146" s="26">
        <f>IF($R146="","",INDEX(입력_전공의명단!$B$2:$B$401,$R146))</f>
        <v/>
      </c>
      <c r="D146" s="26">
        <f>IF($R146="","",INDEX(입력_전공의명단!$J$2:$J$401,$R146))</f>
        <v/>
      </c>
      <c r="E146" s="26">
        <f>IF($R146="","",INDEX(입력_전공의명단!$F$2:$F$401,$R146))</f>
        <v/>
      </c>
      <c r="F146" s="26">
        <f>IF($R146="","",INDEX(입력_전공의명단!$G$2:$G$401,$R146))</f>
        <v/>
      </c>
      <c r="G146" s="26">
        <f>IF($R146="","",INDEX(입력_전공의명단!$AE$2:$AE$401,$R146))</f>
        <v/>
      </c>
      <c r="H146" s="27">
        <f>IF($R146="","",IF(INDEX(입력_전공의명단!$AE$2:$AE$401,$R146)="서울병원","서울 소속","타 병원 소속("&amp;INDEX(입력_전공의명단!$AE$2:$AE$401,$R146)&amp;") → 서울 지급"))</f>
        <v/>
      </c>
      <c r="I146" s="26">
        <f>IF($R146="","",INDEX(입력_전공의명단!$N$2:$N$401,$R146))</f>
        <v/>
      </c>
      <c r="J146" s="26">
        <f>IF($R146="","",INDEX(입력_전공의명단!$P$2:$P$401,$R146))</f>
        <v/>
      </c>
      <c r="K146" s="26">
        <f>IF($R146="","",INDEX(입력_전공의명단!$Q$2:$Q$401,$R146))</f>
        <v/>
      </c>
      <c r="L146" s="28">
        <f>IF($R146="","",INDEX(입력_전공의명단!$S$2:$S$401,$R146))</f>
        <v/>
      </c>
      <c r="M146" s="28">
        <f>IF($R146="","",INDEX(입력_전공의명단!$T$2:$T$401,$R146))</f>
        <v/>
      </c>
      <c r="N146" s="26">
        <f>IF($R146="","",INDEX(입력_전공의명단!$AH$2:$AH$401,$R146))</f>
        <v/>
      </c>
      <c r="O146" s="26">
        <f>IF($R146="","",INDEX(입력_전공의명단!$AI$2:$AI$401,$R146))</f>
        <v/>
      </c>
      <c r="P146" s="27">
        <f>IF($R146="","",INDEX(입력_전공의명단!$AO$2:$AO$401,$R146))</f>
        <v/>
      </c>
      <c r="Q146" s="27">
        <f>IF($R146="","",INDEX(입력_전공의명단!$Z$2:$Z$401,$R146))</f>
        <v/>
      </c>
      <c r="R146" s="29">
        <f>IFERROR(MATCH(ROW()-5,입력_전공의명단!$AM$2:$AM$401,0),"")</f>
        <v/>
      </c>
    </row>
    <row r="147">
      <c r="A147" s="26">
        <f>IF($R147="","",ROW()-5)</f>
        <v/>
      </c>
      <c r="B147" s="26">
        <f>IF($R147="","",INDEX(입력_전공의명단!$C$2:$C$401,$R147))</f>
        <v/>
      </c>
      <c r="C147" s="26">
        <f>IF($R147="","",INDEX(입력_전공의명단!$B$2:$B$401,$R147))</f>
        <v/>
      </c>
      <c r="D147" s="26">
        <f>IF($R147="","",INDEX(입력_전공의명단!$J$2:$J$401,$R147))</f>
        <v/>
      </c>
      <c r="E147" s="26">
        <f>IF($R147="","",INDEX(입력_전공의명단!$F$2:$F$401,$R147))</f>
        <v/>
      </c>
      <c r="F147" s="26">
        <f>IF($R147="","",INDEX(입력_전공의명단!$G$2:$G$401,$R147))</f>
        <v/>
      </c>
      <c r="G147" s="26">
        <f>IF($R147="","",INDEX(입력_전공의명단!$AE$2:$AE$401,$R147))</f>
        <v/>
      </c>
      <c r="H147" s="27">
        <f>IF($R147="","",IF(INDEX(입력_전공의명단!$AE$2:$AE$401,$R147)="서울병원","서울 소속","타 병원 소속("&amp;INDEX(입력_전공의명단!$AE$2:$AE$401,$R147)&amp;") → 서울 지급"))</f>
        <v/>
      </c>
      <c r="I147" s="26">
        <f>IF($R147="","",INDEX(입력_전공의명단!$N$2:$N$401,$R147))</f>
        <v/>
      </c>
      <c r="J147" s="26">
        <f>IF($R147="","",INDEX(입력_전공의명단!$P$2:$P$401,$R147))</f>
        <v/>
      </c>
      <c r="K147" s="26">
        <f>IF($R147="","",INDEX(입력_전공의명단!$Q$2:$Q$401,$R147))</f>
        <v/>
      </c>
      <c r="L147" s="28">
        <f>IF($R147="","",INDEX(입력_전공의명단!$S$2:$S$401,$R147))</f>
        <v/>
      </c>
      <c r="M147" s="28">
        <f>IF($R147="","",INDEX(입력_전공의명단!$T$2:$T$401,$R147))</f>
        <v/>
      </c>
      <c r="N147" s="26">
        <f>IF($R147="","",INDEX(입력_전공의명단!$AH$2:$AH$401,$R147))</f>
        <v/>
      </c>
      <c r="O147" s="26">
        <f>IF($R147="","",INDEX(입력_전공의명단!$AI$2:$AI$401,$R147))</f>
        <v/>
      </c>
      <c r="P147" s="27">
        <f>IF($R147="","",INDEX(입력_전공의명단!$AO$2:$AO$401,$R147))</f>
        <v/>
      </c>
      <c r="Q147" s="27">
        <f>IF($R147="","",INDEX(입력_전공의명단!$Z$2:$Z$401,$R147))</f>
        <v/>
      </c>
      <c r="R147" s="29">
        <f>IFERROR(MATCH(ROW()-5,입력_전공의명단!$AM$2:$AM$401,0),"")</f>
        <v/>
      </c>
    </row>
    <row r="148">
      <c r="A148" s="26">
        <f>IF($R148="","",ROW()-5)</f>
        <v/>
      </c>
      <c r="B148" s="26">
        <f>IF($R148="","",INDEX(입력_전공의명단!$C$2:$C$401,$R148))</f>
        <v/>
      </c>
      <c r="C148" s="26">
        <f>IF($R148="","",INDEX(입력_전공의명단!$B$2:$B$401,$R148))</f>
        <v/>
      </c>
      <c r="D148" s="26">
        <f>IF($R148="","",INDEX(입력_전공의명단!$J$2:$J$401,$R148))</f>
        <v/>
      </c>
      <c r="E148" s="26">
        <f>IF($R148="","",INDEX(입력_전공의명단!$F$2:$F$401,$R148))</f>
        <v/>
      </c>
      <c r="F148" s="26">
        <f>IF($R148="","",INDEX(입력_전공의명단!$G$2:$G$401,$R148))</f>
        <v/>
      </c>
      <c r="G148" s="26">
        <f>IF($R148="","",INDEX(입력_전공의명단!$AE$2:$AE$401,$R148))</f>
        <v/>
      </c>
      <c r="H148" s="27">
        <f>IF($R148="","",IF(INDEX(입력_전공의명단!$AE$2:$AE$401,$R148)="서울병원","서울 소속","타 병원 소속("&amp;INDEX(입력_전공의명단!$AE$2:$AE$401,$R148)&amp;") → 서울 지급"))</f>
        <v/>
      </c>
      <c r="I148" s="26">
        <f>IF($R148="","",INDEX(입력_전공의명단!$N$2:$N$401,$R148))</f>
        <v/>
      </c>
      <c r="J148" s="26">
        <f>IF($R148="","",INDEX(입력_전공의명단!$P$2:$P$401,$R148))</f>
        <v/>
      </c>
      <c r="K148" s="26">
        <f>IF($R148="","",INDEX(입력_전공의명단!$Q$2:$Q$401,$R148))</f>
        <v/>
      </c>
      <c r="L148" s="28">
        <f>IF($R148="","",INDEX(입력_전공의명단!$S$2:$S$401,$R148))</f>
        <v/>
      </c>
      <c r="M148" s="28">
        <f>IF($R148="","",INDEX(입력_전공의명단!$T$2:$T$401,$R148))</f>
        <v/>
      </c>
      <c r="N148" s="26">
        <f>IF($R148="","",INDEX(입력_전공의명단!$AH$2:$AH$401,$R148))</f>
        <v/>
      </c>
      <c r="O148" s="26">
        <f>IF($R148="","",INDEX(입력_전공의명단!$AI$2:$AI$401,$R148))</f>
        <v/>
      </c>
      <c r="P148" s="27">
        <f>IF($R148="","",INDEX(입력_전공의명단!$AO$2:$AO$401,$R148))</f>
        <v/>
      </c>
      <c r="Q148" s="27">
        <f>IF($R148="","",INDEX(입력_전공의명단!$Z$2:$Z$401,$R148))</f>
        <v/>
      </c>
      <c r="R148" s="29">
        <f>IFERROR(MATCH(ROW()-5,입력_전공의명단!$AM$2:$AM$401,0),"")</f>
        <v/>
      </c>
    </row>
    <row r="149">
      <c r="A149" s="26">
        <f>IF($R149="","",ROW()-5)</f>
        <v/>
      </c>
      <c r="B149" s="26">
        <f>IF($R149="","",INDEX(입력_전공의명단!$C$2:$C$401,$R149))</f>
        <v/>
      </c>
      <c r="C149" s="26">
        <f>IF($R149="","",INDEX(입력_전공의명단!$B$2:$B$401,$R149))</f>
        <v/>
      </c>
      <c r="D149" s="26">
        <f>IF($R149="","",INDEX(입력_전공의명단!$J$2:$J$401,$R149))</f>
        <v/>
      </c>
      <c r="E149" s="26">
        <f>IF($R149="","",INDEX(입력_전공의명단!$F$2:$F$401,$R149))</f>
        <v/>
      </c>
      <c r="F149" s="26">
        <f>IF($R149="","",INDEX(입력_전공의명단!$G$2:$G$401,$R149))</f>
        <v/>
      </c>
      <c r="G149" s="26">
        <f>IF($R149="","",INDEX(입력_전공의명단!$AE$2:$AE$401,$R149))</f>
        <v/>
      </c>
      <c r="H149" s="27">
        <f>IF($R149="","",IF(INDEX(입력_전공의명단!$AE$2:$AE$401,$R149)="서울병원","서울 소속","타 병원 소속("&amp;INDEX(입력_전공의명단!$AE$2:$AE$401,$R149)&amp;") → 서울 지급"))</f>
        <v/>
      </c>
      <c r="I149" s="26">
        <f>IF($R149="","",INDEX(입력_전공의명단!$N$2:$N$401,$R149))</f>
        <v/>
      </c>
      <c r="J149" s="26">
        <f>IF($R149="","",INDEX(입력_전공의명단!$P$2:$P$401,$R149))</f>
        <v/>
      </c>
      <c r="K149" s="26">
        <f>IF($R149="","",INDEX(입력_전공의명단!$Q$2:$Q$401,$R149))</f>
        <v/>
      </c>
      <c r="L149" s="28">
        <f>IF($R149="","",INDEX(입력_전공의명단!$S$2:$S$401,$R149))</f>
        <v/>
      </c>
      <c r="M149" s="28">
        <f>IF($R149="","",INDEX(입력_전공의명단!$T$2:$T$401,$R149))</f>
        <v/>
      </c>
      <c r="N149" s="26">
        <f>IF($R149="","",INDEX(입력_전공의명단!$AH$2:$AH$401,$R149))</f>
        <v/>
      </c>
      <c r="O149" s="26">
        <f>IF($R149="","",INDEX(입력_전공의명단!$AI$2:$AI$401,$R149))</f>
        <v/>
      </c>
      <c r="P149" s="27">
        <f>IF($R149="","",INDEX(입력_전공의명단!$AO$2:$AO$401,$R149))</f>
        <v/>
      </c>
      <c r="Q149" s="27">
        <f>IF($R149="","",INDEX(입력_전공의명단!$Z$2:$Z$401,$R149))</f>
        <v/>
      </c>
      <c r="R149" s="29">
        <f>IFERROR(MATCH(ROW()-5,입력_전공의명단!$AM$2:$AM$401,0),"")</f>
        <v/>
      </c>
    </row>
    <row r="150">
      <c r="A150" s="26">
        <f>IF($R150="","",ROW()-5)</f>
        <v/>
      </c>
      <c r="B150" s="26">
        <f>IF($R150="","",INDEX(입력_전공의명단!$C$2:$C$401,$R150))</f>
        <v/>
      </c>
      <c r="C150" s="26">
        <f>IF($R150="","",INDEX(입력_전공의명단!$B$2:$B$401,$R150))</f>
        <v/>
      </c>
      <c r="D150" s="26">
        <f>IF($R150="","",INDEX(입력_전공의명단!$J$2:$J$401,$R150))</f>
        <v/>
      </c>
      <c r="E150" s="26">
        <f>IF($R150="","",INDEX(입력_전공의명단!$F$2:$F$401,$R150))</f>
        <v/>
      </c>
      <c r="F150" s="26">
        <f>IF($R150="","",INDEX(입력_전공의명단!$G$2:$G$401,$R150))</f>
        <v/>
      </c>
      <c r="G150" s="26">
        <f>IF($R150="","",INDEX(입력_전공의명단!$AE$2:$AE$401,$R150))</f>
        <v/>
      </c>
      <c r="H150" s="27">
        <f>IF($R150="","",IF(INDEX(입력_전공의명단!$AE$2:$AE$401,$R150)="서울병원","서울 소속","타 병원 소속("&amp;INDEX(입력_전공의명단!$AE$2:$AE$401,$R150)&amp;") → 서울 지급"))</f>
        <v/>
      </c>
      <c r="I150" s="26">
        <f>IF($R150="","",INDEX(입력_전공의명단!$N$2:$N$401,$R150))</f>
        <v/>
      </c>
      <c r="J150" s="26">
        <f>IF($R150="","",INDEX(입력_전공의명단!$P$2:$P$401,$R150))</f>
        <v/>
      </c>
      <c r="K150" s="26">
        <f>IF($R150="","",INDEX(입력_전공의명단!$Q$2:$Q$401,$R150))</f>
        <v/>
      </c>
      <c r="L150" s="28">
        <f>IF($R150="","",INDEX(입력_전공의명단!$S$2:$S$401,$R150))</f>
        <v/>
      </c>
      <c r="M150" s="28">
        <f>IF($R150="","",INDEX(입력_전공의명단!$T$2:$T$401,$R150))</f>
        <v/>
      </c>
      <c r="N150" s="26">
        <f>IF($R150="","",INDEX(입력_전공의명단!$AH$2:$AH$401,$R150))</f>
        <v/>
      </c>
      <c r="O150" s="26">
        <f>IF($R150="","",INDEX(입력_전공의명단!$AI$2:$AI$401,$R150))</f>
        <v/>
      </c>
      <c r="P150" s="27">
        <f>IF($R150="","",INDEX(입력_전공의명단!$AO$2:$AO$401,$R150))</f>
        <v/>
      </c>
      <c r="Q150" s="27">
        <f>IF($R150="","",INDEX(입력_전공의명단!$Z$2:$Z$401,$R150))</f>
        <v/>
      </c>
      <c r="R150" s="29">
        <f>IFERROR(MATCH(ROW()-5,입력_전공의명단!$AM$2:$AM$401,0),"")</f>
        <v/>
      </c>
    </row>
    <row r="151">
      <c r="A151" s="26">
        <f>IF($R151="","",ROW()-5)</f>
        <v/>
      </c>
      <c r="B151" s="26">
        <f>IF($R151="","",INDEX(입력_전공의명단!$C$2:$C$401,$R151))</f>
        <v/>
      </c>
      <c r="C151" s="26">
        <f>IF($R151="","",INDEX(입력_전공의명단!$B$2:$B$401,$R151))</f>
        <v/>
      </c>
      <c r="D151" s="26">
        <f>IF($R151="","",INDEX(입력_전공의명단!$J$2:$J$401,$R151))</f>
        <v/>
      </c>
      <c r="E151" s="26">
        <f>IF($R151="","",INDEX(입력_전공의명단!$F$2:$F$401,$R151))</f>
        <v/>
      </c>
      <c r="F151" s="26">
        <f>IF($R151="","",INDEX(입력_전공의명단!$G$2:$G$401,$R151))</f>
        <v/>
      </c>
      <c r="G151" s="26">
        <f>IF($R151="","",INDEX(입력_전공의명단!$AE$2:$AE$401,$R151))</f>
        <v/>
      </c>
      <c r="H151" s="27">
        <f>IF($R151="","",IF(INDEX(입력_전공의명단!$AE$2:$AE$401,$R151)="서울병원","서울 소속","타 병원 소속("&amp;INDEX(입력_전공의명단!$AE$2:$AE$401,$R151)&amp;") → 서울 지급"))</f>
        <v/>
      </c>
      <c r="I151" s="26">
        <f>IF($R151="","",INDEX(입력_전공의명단!$N$2:$N$401,$R151))</f>
        <v/>
      </c>
      <c r="J151" s="26">
        <f>IF($R151="","",INDEX(입력_전공의명단!$P$2:$P$401,$R151))</f>
        <v/>
      </c>
      <c r="K151" s="26">
        <f>IF($R151="","",INDEX(입력_전공의명단!$Q$2:$Q$401,$R151))</f>
        <v/>
      </c>
      <c r="L151" s="28">
        <f>IF($R151="","",INDEX(입력_전공의명단!$S$2:$S$401,$R151))</f>
        <v/>
      </c>
      <c r="M151" s="28">
        <f>IF($R151="","",INDEX(입력_전공의명단!$T$2:$T$401,$R151))</f>
        <v/>
      </c>
      <c r="N151" s="26">
        <f>IF($R151="","",INDEX(입력_전공의명단!$AH$2:$AH$401,$R151))</f>
        <v/>
      </c>
      <c r="O151" s="26">
        <f>IF($R151="","",INDEX(입력_전공의명단!$AI$2:$AI$401,$R151))</f>
        <v/>
      </c>
      <c r="P151" s="27">
        <f>IF($R151="","",INDEX(입력_전공의명단!$AO$2:$AO$401,$R151))</f>
        <v/>
      </c>
      <c r="Q151" s="27">
        <f>IF($R151="","",INDEX(입력_전공의명단!$Z$2:$Z$401,$R151))</f>
        <v/>
      </c>
      <c r="R151" s="29">
        <f>IFERROR(MATCH(ROW()-5,입력_전공의명단!$AM$2:$AM$401,0),"")</f>
        <v/>
      </c>
    </row>
    <row r="152">
      <c r="A152" s="26">
        <f>IF($R152="","",ROW()-5)</f>
        <v/>
      </c>
      <c r="B152" s="26">
        <f>IF($R152="","",INDEX(입력_전공의명단!$C$2:$C$401,$R152))</f>
        <v/>
      </c>
      <c r="C152" s="26">
        <f>IF($R152="","",INDEX(입력_전공의명단!$B$2:$B$401,$R152))</f>
        <v/>
      </c>
      <c r="D152" s="26">
        <f>IF($R152="","",INDEX(입력_전공의명단!$J$2:$J$401,$R152))</f>
        <v/>
      </c>
      <c r="E152" s="26">
        <f>IF($R152="","",INDEX(입력_전공의명단!$F$2:$F$401,$R152))</f>
        <v/>
      </c>
      <c r="F152" s="26">
        <f>IF($R152="","",INDEX(입력_전공의명단!$G$2:$G$401,$R152))</f>
        <v/>
      </c>
      <c r="G152" s="26">
        <f>IF($R152="","",INDEX(입력_전공의명단!$AE$2:$AE$401,$R152))</f>
        <v/>
      </c>
      <c r="H152" s="27">
        <f>IF($R152="","",IF(INDEX(입력_전공의명단!$AE$2:$AE$401,$R152)="서울병원","서울 소속","타 병원 소속("&amp;INDEX(입력_전공의명단!$AE$2:$AE$401,$R152)&amp;") → 서울 지급"))</f>
        <v/>
      </c>
      <c r="I152" s="26">
        <f>IF($R152="","",INDEX(입력_전공의명단!$N$2:$N$401,$R152))</f>
        <v/>
      </c>
      <c r="J152" s="26">
        <f>IF($R152="","",INDEX(입력_전공의명단!$P$2:$P$401,$R152))</f>
        <v/>
      </c>
      <c r="K152" s="26">
        <f>IF($R152="","",INDEX(입력_전공의명단!$Q$2:$Q$401,$R152))</f>
        <v/>
      </c>
      <c r="L152" s="28">
        <f>IF($R152="","",INDEX(입력_전공의명단!$S$2:$S$401,$R152))</f>
        <v/>
      </c>
      <c r="M152" s="28">
        <f>IF($R152="","",INDEX(입력_전공의명단!$T$2:$T$401,$R152))</f>
        <v/>
      </c>
      <c r="N152" s="26">
        <f>IF($R152="","",INDEX(입력_전공의명단!$AH$2:$AH$401,$R152))</f>
        <v/>
      </c>
      <c r="O152" s="26">
        <f>IF($R152="","",INDEX(입력_전공의명단!$AI$2:$AI$401,$R152))</f>
        <v/>
      </c>
      <c r="P152" s="27">
        <f>IF($R152="","",INDEX(입력_전공의명단!$AO$2:$AO$401,$R152))</f>
        <v/>
      </c>
      <c r="Q152" s="27">
        <f>IF($R152="","",INDEX(입력_전공의명단!$Z$2:$Z$401,$R152))</f>
        <v/>
      </c>
      <c r="R152" s="29">
        <f>IFERROR(MATCH(ROW()-5,입력_전공의명단!$AM$2:$AM$401,0),"")</f>
        <v/>
      </c>
    </row>
    <row r="153">
      <c r="A153" s="26">
        <f>IF($R153="","",ROW()-5)</f>
        <v/>
      </c>
      <c r="B153" s="26">
        <f>IF($R153="","",INDEX(입력_전공의명단!$C$2:$C$401,$R153))</f>
        <v/>
      </c>
      <c r="C153" s="26">
        <f>IF($R153="","",INDEX(입력_전공의명단!$B$2:$B$401,$R153))</f>
        <v/>
      </c>
      <c r="D153" s="26">
        <f>IF($R153="","",INDEX(입력_전공의명단!$J$2:$J$401,$R153))</f>
        <v/>
      </c>
      <c r="E153" s="26">
        <f>IF($R153="","",INDEX(입력_전공의명단!$F$2:$F$401,$R153))</f>
        <v/>
      </c>
      <c r="F153" s="26">
        <f>IF($R153="","",INDEX(입력_전공의명단!$G$2:$G$401,$R153))</f>
        <v/>
      </c>
      <c r="G153" s="26">
        <f>IF($R153="","",INDEX(입력_전공의명단!$AE$2:$AE$401,$R153))</f>
        <v/>
      </c>
      <c r="H153" s="27">
        <f>IF($R153="","",IF(INDEX(입력_전공의명단!$AE$2:$AE$401,$R153)="서울병원","서울 소속","타 병원 소속("&amp;INDEX(입력_전공의명단!$AE$2:$AE$401,$R153)&amp;") → 서울 지급"))</f>
        <v/>
      </c>
      <c r="I153" s="26">
        <f>IF($R153="","",INDEX(입력_전공의명단!$N$2:$N$401,$R153))</f>
        <v/>
      </c>
      <c r="J153" s="26">
        <f>IF($R153="","",INDEX(입력_전공의명단!$P$2:$P$401,$R153))</f>
        <v/>
      </c>
      <c r="K153" s="26">
        <f>IF($R153="","",INDEX(입력_전공의명단!$Q$2:$Q$401,$R153))</f>
        <v/>
      </c>
      <c r="L153" s="28">
        <f>IF($R153="","",INDEX(입력_전공의명단!$S$2:$S$401,$R153))</f>
        <v/>
      </c>
      <c r="M153" s="28">
        <f>IF($R153="","",INDEX(입력_전공의명단!$T$2:$T$401,$R153))</f>
        <v/>
      </c>
      <c r="N153" s="26">
        <f>IF($R153="","",INDEX(입력_전공의명단!$AH$2:$AH$401,$R153))</f>
        <v/>
      </c>
      <c r="O153" s="26">
        <f>IF($R153="","",INDEX(입력_전공의명단!$AI$2:$AI$401,$R153))</f>
        <v/>
      </c>
      <c r="P153" s="27">
        <f>IF($R153="","",INDEX(입력_전공의명단!$AO$2:$AO$401,$R153))</f>
        <v/>
      </c>
      <c r="Q153" s="27">
        <f>IF($R153="","",INDEX(입력_전공의명단!$Z$2:$Z$401,$R153))</f>
        <v/>
      </c>
      <c r="R153" s="29">
        <f>IFERROR(MATCH(ROW()-5,입력_전공의명단!$AM$2:$AM$401,0),"")</f>
        <v/>
      </c>
    </row>
    <row r="154">
      <c r="A154" s="26">
        <f>IF($R154="","",ROW()-5)</f>
        <v/>
      </c>
      <c r="B154" s="26">
        <f>IF($R154="","",INDEX(입력_전공의명단!$C$2:$C$401,$R154))</f>
        <v/>
      </c>
      <c r="C154" s="26">
        <f>IF($R154="","",INDEX(입력_전공의명단!$B$2:$B$401,$R154))</f>
        <v/>
      </c>
      <c r="D154" s="26">
        <f>IF($R154="","",INDEX(입력_전공의명단!$J$2:$J$401,$R154))</f>
        <v/>
      </c>
      <c r="E154" s="26">
        <f>IF($R154="","",INDEX(입력_전공의명단!$F$2:$F$401,$R154))</f>
        <v/>
      </c>
      <c r="F154" s="26">
        <f>IF($R154="","",INDEX(입력_전공의명단!$G$2:$G$401,$R154))</f>
        <v/>
      </c>
      <c r="G154" s="26">
        <f>IF($R154="","",INDEX(입력_전공의명단!$AE$2:$AE$401,$R154))</f>
        <v/>
      </c>
      <c r="H154" s="27">
        <f>IF($R154="","",IF(INDEX(입력_전공의명단!$AE$2:$AE$401,$R154)="서울병원","서울 소속","타 병원 소속("&amp;INDEX(입력_전공의명단!$AE$2:$AE$401,$R154)&amp;") → 서울 지급"))</f>
        <v/>
      </c>
      <c r="I154" s="26">
        <f>IF($R154="","",INDEX(입력_전공의명단!$N$2:$N$401,$R154))</f>
        <v/>
      </c>
      <c r="J154" s="26">
        <f>IF($R154="","",INDEX(입력_전공의명단!$P$2:$P$401,$R154))</f>
        <v/>
      </c>
      <c r="K154" s="26">
        <f>IF($R154="","",INDEX(입력_전공의명단!$Q$2:$Q$401,$R154))</f>
        <v/>
      </c>
      <c r="L154" s="28">
        <f>IF($R154="","",INDEX(입력_전공의명단!$S$2:$S$401,$R154))</f>
        <v/>
      </c>
      <c r="M154" s="28">
        <f>IF($R154="","",INDEX(입력_전공의명단!$T$2:$T$401,$R154))</f>
        <v/>
      </c>
      <c r="N154" s="26">
        <f>IF($R154="","",INDEX(입력_전공의명단!$AH$2:$AH$401,$R154))</f>
        <v/>
      </c>
      <c r="O154" s="26">
        <f>IF($R154="","",INDEX(입력_전공의명단!$AI$2:$AI$401,$R154))</f>
        <v/>
      </c>
      <c r="P154" s="27">
        <f>IF($R154="","",INDEX(입력_전공의명단!$AO$2:$AO$401,$R154))</f>
        <v/>
      </c>
      <c r="Q154" s="27">
        <f>IF($R154="","",INDEX(입력_전공의명단!$Z$2:$Z$401,$R154))</f>
        <v/>
      </c>
      <c r="R154" s="29">
        <f>IFERROR(MATCH(ROW()-5,입력_전공의명단!$AM$2:$AM$401,0),"")</f>
        <v/>
      </c>
    </row>
    <row r="155">
      <c r="A155" s="26">
        <f>IF($R155="","",ROW()-5)</f>
        <v/>
      </c>
      <c r="B155" s="26">
        <f>IF($R155="","",INDEX(입력_전공의명단!$C$2:$C$401,$R155))</f>
        <v/>
      </c>
      <c r="C155" s="26">
        <f>IF($R155="","",INDEX(입력_전공의명단!$B$2:$B$401,$R155))</f>
        <v/>
      </c>
      <c r="D155" s="26">
        <f>IF($R155="","",INDEX(입력_전공의명단!$J$2:$J$401,$R155))</f>
        <v/>
      </c>
      <c r="E155" s="26">
        <f>IF($R155="","",INDEX(입력_전공의명단!$F$2:$F$401,$R155))</f>
        <v/>
      </c>
      <c r="F155" s="26">
        <f>IF($R155="","",INDEX(입력_전공의명단!$G$2:$G$401,$R155))</f>
        <v/>
      </c>
      <c r="G155" s="26">
        <f>IF($R155="","",INDEX(입력_전공의명단!$AE$2:$AE$401,$R155))</f>
        <v/>
      </c>
      <c r="H155" s="27">
        <f>IF($R155="","",IF(INDEX(입력_전공의명단!$AE$2:$AE$401,$R155)="서울병원","서울 소속","타 병원 소속("&amp;INDEX(입력_전공의명단!$AE$2:$AE$401,$R155)&amp;") → 서울 지급"))</f>
        <v/>
      </c>
      <c r="I155" s="26">
        <f>IF($R155="","",INDEX(입력_전공의명단!$N$2:$N$401,$R155))</f>
        <v/>
      </c>
      <c r="J155" s="26">
        <f>IF($R155="","",INDEX(입력_전공의명단!$P$2:$P$401,$R155))</f>
        <v/>
      </c>
      <c r="K155" s="26">
        <f>IF($R155="","",INDEX(입력_전공의명단!$Q$2:$Q$401,$R155))</f>
        <v/>
      </c>
      <c r="L155" s="28">
        <f>IF($R155="","",INDEX(입력_전공의명단!$S$2:$S$401,$R155))</f>
        <v/>
      </c>
      <c r="M155" s="28">
        <f>IF($R155="","",INDEX(입력_전공의명단!$T$2:$T$401,$R155))</f>
        <v/>
      </c>
      <c r="N155" s="26">
        <f>IF($R155="","",INDEX(입력_전공의명단!$AH$2:$AH$401,$R155))</f>
        <v/>
      </c>
      <c r="O155" s="26">
        <f>IF($R155="","",INDEX(입력_전공의명단!$AI$2:$AI$401,$R155))</f>
        <v/>
      </c>
      <c r="P155" s="27">
        <f>IF($R155="","",INDEX(입력_전공의명단!$AO$2:$AO$401,$R155))</f>
        <v/>
      </c>
      <c r="Q155" s="27">
        <f>IF($R155="","",INDEX(입력_전공의명단!$Z$2:$Z$401,$R155))</f>
        <v/>
      </c>
      <c r="R155" s="29">
        <f>IFERROR(MATCH(ROW()-5,입력_전공의명단!$AM$2:$AM$401,0),"")</f>
        <v/>
      </c>
    </row>
    <row r="156">
      <c r="A156" s="26">
        <f>IF($R156="","",ROW()-5)</f>
        <v/>
      </c>
      <c r="B156" s="26">
        <f>IF($R156="","",INDEX(입력_전공의명단!$C$2:$C$401,$R156))</f>
        <v/>
      </c>
      <c r="C156" s="26">
        <f>IF($R156="","",INDEX(입력_전공의명단!$B$2:$B$401,$R156))</f>
        <v/>
      </c>
      <c r="D156" s="26">
        <f>IF($R156="","",INDEX(입력_전공의명단!$J$2:$J$401,$R156))</f>
        <v/>
      </c>
      <c r="E156" s="26">
        <f>IF($R156="","",INDEX(입력_전공의명단!$F$2:$F$401,$R156))</f>
        <v/>
      </c>
      <c r="F156" s="26">
        <f>IF($R156="","",INDEX(입력_전공의명단!$G$2:$G$401,$R156))</f>
        <v/>
      </c>
      <c r="G156" s="26">
        <f>IF($R156="","",INDEX(입력_전공의명단!$AE$2:$AE$401,$R156))</f>
        <v/>
      </c>
      <c r="H156" s="27">
        <f>IF($R156="","",IF(INDEX(입력_전공의명단!$AE$2:$AE$401,$R156)="서울병원","서울 소속","타 병원 소속("&amp;INDEX(입력_전공의명단!$AE$2:$AE$401,$R156)&amp;") → 서울 지급"))</f>
        <v/>
      </c>
      <c r="I156" s="26">
        <f>IF($R156="","",INDEX(입력_전공의명단!$N$2:$N$401,$R156))</f>
        <v/>
      </c>
      <c r="J156" s="26">
        <f>IF($R156="","",INDEX(입력_전공의명단!$P$2:$P$401,$R156))</f>
        <v/>
      </c>
      <c r="K156" s="26">
        <f>IF($R156="","",INDEX(입력_전공의명단!$Q$2:$Q$401,$R156))</f>
        <v/>
      </c>
      <c r="L156" s="28">
        <f>IF($R156="","",INDEX(입력_전공의명단!$S$2:$S$401,$R156))</f>
        <v/>
      </c>
      <c r="M156" s="28">
        <f>IF($R156="","",INDEX(입력_전공의명단!$T$2:$T$401,$R156))</f>
        <v/>
      </c>
      <c r="N156" s="26">
        <f>IF($R156="","",INDEX(입력_전공의명단!$AH$2:$AH$401,$R156))</f>
        <v/>
      </c>
      <c r="O156" s="26">
        <f>IF($R156="","",INDEX(입력_전공의명단!$AI$2:$AI$401,$R156))</f>
        <v/>
      </c>
      <c r="P156" s="27">
        <f>IF($R156="","",INDEX(입력_전공의명단!$AO$2:$AO$401,$R156))</f>
        <v/>
      </c>
      <c r="Q156" s="27">
        <f>IF($R156="","",INDEX(입력_전공의명단!$Z$2:$Z$401,$R156))</f>
        <v/>
      </c>
      <c r="R156" s="29">
        <f>IFERROR(MATCH(ROW()-5,입력_전공의명단!$AM$2:$AM$401,0),"")</f>
        <v/>
      </c>
    </row>
    <row r="157">
      <c r="A157" s="26">
        <f>IF($R157="","",ROW()-5)</f>
        <v/>
      </c>
      <c r="B157" s="26">
        <f>IF($R157="","",INDEX(입력_전공의명단!$C$2:$C$401,$R157))</f>
        <v/>
      </c>
      <c r="C157" s="26">
        <f>IF($R157="","",INDEX(입력_전공의명단!$B$2:$B$401,$R157))</f>
        <v/>
      </c>
      <c r="D157" s="26">
        <f>IF($R157="","",INDEX(입력_전공의명단!$J$2:$J$401,$R157))</f>
        <v/>
      </c>
      <c r="E157" s="26">
        <f>IF($R157="","",INDEX(입력_전공의명단!$F$2:$F$401,$R157))</f>
        <v/>
      </c>
      <c r="F157" s="26">
        <f>IF($R157="","",INDEX(입력_전공의명단!$G$2:$G$401,$R157))</f>
        <v/>
      </c>
      <c r="G157" s="26">
        <f>IF($R157="","",INDEX(입력_전공의명단!$AE$2:$AE$401,$R157))</f>
        <v/>
      </c>
      <c r="H157" s="27">
        <f>IF($R157="","",IF(INDEX(입력_전공의명단!$AE$2:$AE$401,$R157)="서울병원","서울 소속","타 병원 소속("&amp;INDEX(입력_전공의명단!$AE$2:$AE$401,$R157)&amp;") → 서울 지급"))</f>
        <v/>
      </c>
      <c r="I157" s="26">
        <f>IF($R157="","",INDEX(입력_전공의명단!$N$2:$N$401,$R157))</f>
        <v/>
      </c>
      <c r="J157" s="26">
        <f>IF($R157="","",INDEX(입력_전공의명단!$P$2:$P$401,$R157))</f>
        <v/>
      </c>
      <c r="K157" s="26">
        <f>IF($R157="","",INDEX(입력_전공의명단!$Q$2:$Q$401,$R157))</f>
        <v/>
      </c>
      <c r="L157" s="28">
        <f>IF($R157="","",INDEX(입력_전공의명단!$S$2:$S$401,$R157))</f>
        <v/>
      </c>
      <c r="M157" s="28">
        <f>IF($R157="","",INDEX(입력_전공의명단!$T$2:$T$401,$R157))</f>
        <v/>
      </c>
      <c r="N157" s="26">
        <f>IF($R157="","",INDEX(입력_전공의명단!$AH$2:$AH$401,$R157))</f>
        <v/>
      </c>
      <c r="O157" s="26">
        <f>IF($R157="","",INDEX(입력_전공의명단!$AI$2:$AI$401,$R157))</f>
        <v/>
      </c>
      <c r="P157" s="27">
        <f>IF($R157="","",INDEX(입력_전공의명단!$AO$2:$AO$401,$R157))</f>
        <v/>
      </c>
      <c r="Q157" s="27">
        <f>IF($R157="","",INDEX(입력_전공의명단!$Z$2:$Z$401,$R157))</f>
        <v/>
      </c>
      <c r="R157" s="29">
        <f>IFERROR(MATCH(ROW()-5,입력_전공의명단!$AM$2:$AM$401,0),"")</f>
        <v/>
      </c>
    </row>
    <row r="158">
      <c r="A158" s="26">
        <f>IF($R158="","",ROW()-5)</f>
        <v/>
      </c>
      <c r="B158" s="26">
        <f>IF($R158="","",INDEX(입력_전공의명단!$C$2:$C$401,$R158))</f>
        <v/>
      </c>
      <c r="C158" s="26">
        <f>IF($R158="","",INDEX(입력_전공의명단!$B$2:$B$401,$R158))</f>
        <v/>
      </c>
      <c r="D158" s="26">
        <f>IF($R158="","",INDEX(입력_전공의명단!$J$2:$J$401,$R158))</f>
        <v/>
      </c>
      <c r="E158" s="26">
        <f>IF($R158="","",INDEX(입력_전공의명단!$F$2:$F$401,$R158))</f>
        <v/>
      </c>
      <c r="F158" s="26">
        <f>IF($R158="","",INDEX(입력_전공의명단!$G$2:$G$401,$R158))</f>
        <v/>
      </c>
      <c r="G158" s="26">
        <f>IF($R158="","",INDEX(입력_전공의명단!$AE$2:$AE$401,$R158))</f>
        <v/>
      </c>
      <c r="H158" s="27">
        <f>IF($R158="","",IF(INDEX(입력_전공의명단!$AE$2:$AE$401,$R158)="서울병원","서울 소속","타 병원 소속("&amp;INDEX(입력_전공의명단!$AE$2:$AE$401,$R158)&amp;") → 서울 지급"))</f>
        <v/>
      </c>
      <c r="I158" s="26">
        <f>IF($R158="","",INDEX(입력_전공의명단!$N$2:$N$401,$R158))</f>
        <v/>
      </c>
      <c r="J158" s="26">
        <f>IF($R158="","",INDEX(입력_전공의명단!$P$2:$P$401,$R158))</f>
        <v/>
      </c>
      <c r="K158" s="26">
        <f>IF($R158="","",INDEX(입력_전공의명단!$Q$2:$Q$401,$R158))</f>
        <v/>
      </c>
      <c r="L158" s="28">
        <f>IF($R158="","",INDEX(입력_전공의명단!$S$2:$S$401,$R158))</f>
        <v/>
      </c>
      <c r="M158" s="28">
        <f>IF($R158="","",INDEX(입력_전공의명단!$T$2:$T$401,$R158))</f>
        <v/>
      </c>
      <c r="N158" s="26">
        <f>IF($R158="","",INDEX(입력_전공의명단!$AH$2:$AH$401,$R158))</f>
        <v/>
      </c>
      <c r="O158" s="26">
        <f>IF($R158="","",INDEX(입력_전공의명단!$AI$2:$AI$401,$R158))</f>
        <v/>
      </c>
      <c r="P158" s="27">
        <f>IF($R158="","",INDEX(입력_전공의명단!$AO$2:$AO$401,$R158))</f>
        <v/>
      </c>
      <c r="Q158" s="27">
        <f>IF($R158="","",INDEX(입력_전공의명단!$Z$2:$Z$401,$R158))</f>
        <v/>
      </c>
      <c r="R158" s="29">
        <f>IFERROR(MATCH(ROW()-5,입력_전공의명단!$AM$2:$AM$401,0),"")</f>
        <v/>
      </c>
    </row>
    <row r="159">
      <c r="A159" s="26">
        <f>IF($R159="","",ROW()-5)</f>
        <v/>
      </c>
      <c r="B159" s="26">
        <f>IF($R159="","",INDEX(입력_전공의명단!$C$2:$C$401,$R159))</f>
        <v/>
      </c>
      <c r="C159" s="26">
        <f>IF($R159="","",INDEX(입력_전공의명단!$B$2:$B$401,$R159))</f>
        <v/>
      </c>
      <c r="D159" s="26">
        <f>IF($R159="","",INDEX(입력_전공의명단!$J$2:$J$401,$R159))</f>
        <v/>
      </c>
      <c r="E159" s="26">
        <f>IF($R159="","",INDEX(입력_전공의명단!$F$2:$F$401,$R159))</f>
        <v/>
      </c>
      <c r="F159" s="26">
        <f>IF($R159="","",INDEX(입력_전공의명단!$G$2:$G$401,$R159))</f>
        <v/>
      </c>
      <c r="G159" s="26">
        <f>IF($R159="","",INDEX(입력_전공의명단!$AE$2:$AE$401,$R159))</f>
        <v/>
      </c>
      <c r="H159" s="27">
        <f>IF($R159="","",IF(INDEX(입력_전공의명단!$AE$2:$AE$401,$R159)="서울병원","서울 소속","타 병원 소속("&amp;INDEX(입력_전공의명단!$AE$2:$AE$401,$R159)&amp;") → 서울 지급"))</f>
        <v/>
      </c>
      <c r="I159" s="26">
        <f>IF($R159="","",INDEX(입력_전공의명단!$N$2:$N$401,$R159))</f>
        <v/>
      </c>
      <c r="J159" s="26">
        <f>IF($R159="","",INDEX(입력_전공의명단!$P$2:$P$401,$R159))</f>
        <v/>
      </c>
      <c r="K159" s="26">
        <f>IF($R159="","",INDEX(입력_전공의명단!$Q$2:$Q$401,$R159))</f>
        <v/>
      </c>
      <c r="L159" s="28">
        <f>IF($R159="","",INDEX(입력_전공의명단!$S$2:$S$401,$R159))</f>
        <v/>
      </c>
      <c r="M159" s="28">
        <f>IF($R159="","",INDEX(입력_전공의명단!$T$2:$T$401,$R159))</f>
        <v/>
      </c>
      <c r="N159" s="26">
        <f>IF($R159="","",INDEX(입력_전공의명단!$AH$2:$AH$401,$R159))</f>
        <v/>
      </c>
      <c r="O159" s="26">
        <f>IF($R159="","",INDEX(입력_전공의명단!$AI$2:$AI$401,$R159))</f>
        <v/>
      </c>
      <c r="P159" s="27">
        <f>IF($R159="","",INDEX(입력_전공의명단!$AO$2:$AO$401,$R159))</f>
        <v/>
      </c>
      <c r="Q159" s="27">
        <f>IF($R159="","",INDEX(입력_전공의명단!$Z$2:$Z$401,$R159))</f>
        <v/>
      </c>
      <c r="R159" s="29">
        <f>IFERROR(MATCH(ROW()-5,입력_전공의명단!$AM$2:$AM$401,0),"")</f>
        <v/>
      </c>
    </row>
    <row r="160">
      <c r="A160" s="26">
        <f>IF($R160="","",ROW()-5)</f>
        <v/>
      </c>
      <c r="B160" s="26">
        <f>IF($R160="","",INDEX(입력_전공의명단!$C$2:$C$401,$R160))</f>
        <v/>
      </c>
      <c r="C160" s="26">
        <f>IF($R160="","",INDEX(입력_전공의명단!$B$2:$B$401,$R160))</f>
        <v/>
      </c>
      <c r="D160" s="26">
        <f>IF($R160="","",INDEX(입력_전공의명단!$J$2:$J$401,$R160))</f>
        <v/>
      </c>
      <c r="E160" s="26">
        <f>IF($R160="","",INDEX(입력_전공의명단!$F$2:$F$401,$R160))</f>
        <v/>
      </c>
      <c r="F160" s="26">
        <f>IF($R160="","",INDEX(입력_전공의명단!$G$2:$G$401,$R160))</f>
        <v/>
      </c>
      <c r="G160" s="26">
        <f>IF($R160="","",INDEX(입력_전공의명단!$AE$2:$AE$401,$R160))</f>
        <v/>
      </c>
      <c r="H160" s="27">
        <f>IF($R160="","",IF(INDEX(입력_전공의명단!$AE$2:$AE$401,$R160)="서울병원","서울 소속","타 병원 소속("&amp;INDEX(입력_전공의명단!$AE$2:$AE$401,$R160)&amp;") → 서울 지급"))</f>
        <v/>
      </c>
      <c r="I160" s="26">
        <f>IF($R160="","",INDEX(입력_전공의명단!$N$2:$N$401,$R160))</f>
        <v/>
      </c>
      <c r="J160" s="26">
        <f>IF($R160="","",INDEX(입력_전공의명단!$P$2:$P$401,$R160))</f>
        <v/>
      </c>
      <c r="K160" s="26">
        <f>IF($R160="","",INDEX(입력_전공의명단!$Q$2:$Q$401,$R160))</f>
        <v/>
      </c>
      <c r="L160" s="28">
        <f>IF($R160="","",INDEX(입력_전공의명단!$S$2:$S$401,$R160))</f>
        <v/>
      </c>
      <c r="M160" s="28">
        <f>IF($R160="","",INDEX(입력_전공의명단!$T$2:$T$401,$R160))</f>
        <v/>
      </c>
      <c r="N160" s="26">
        <f>IF($R160="","",INDEX(입력_전공의명단!$AH$2:$AH$401,$R160))</f>
        <v/>
      </c>
      <c r="O160" s="26">
        <f>IF($R160="","",INDEX(입력_전공의명단!$AI$2:$AI$401,$R160))</f>
        <v/>
      </c>
      <c r="P160" s="27">
        <f>IF($R160="","",INDEX(입력_전공의명단!$AO$2:$AO$401,$R160))</f>
        <v/>
      </c>
      <c r="Q160" s="27">
        <f>IF($R160="","",INDEX(입력_전공의명단!$Z$2:$Z$401,$R160))</f>
        <v/>
      </c>
      <c r="R160" s="29">
        <f>IFERROR(MATCH(ROW()-5,입력_전공의명단!$AM$2:$AM$401,0),"")</f>
        <v/>
      </c>
    </row>
    <row r="161">
      <c r="A161" s="26">
        <f>IF($R161="","",ROW()-5)</f>
        <v/>
      </c>
      <c r="B161" s="26">
        <f>IF($R161="","",INDEX(입력_전공의명단!$C$2:$C$401,$R161))</f>
        <v/>
      </c>
      <c r="C161" s="26">
        <f>IF($R161="","",INDEX(입력_전공의명단!$B$2:$B$401,$R161))</f>
        <v/>
      </c>
      <c r="D161" s="26">
        <f>IF($R161="","",INDEX(입력_전공의명단!$J$2:$J$401,$R161))</f>
        <v/>
      </c>
      <c r="E161" s="26">
        <f>IF($R161="","",INDEX(입력_전공의명단!$F$2:$F$401,$R161))</f>
        <v/>
      </c>
      <c r="F161" s="26">
        <f>IF($R161="","",INDEX(입력_전공의명단!$G$2:$G$401,$R161))</f>
        <v/>
      </c>
      <c r="G161" s="26">
        <f>IF($R161="","",INDEX(입력_전공의명단!$AE$2:$AE$401,$R161))</f>
        <v/>
      </c>
      <c r="H161" s="27">
        <f>IF($R161="","",IF(INDEX(입력_전공의명단!$AE$2:$AE$401,$R161)="서울병원","서울 소속","타 병원 소속("&amp;INDEX(입력_전공의명단!$AE$2:$AE$401,$R161)&amp;") → 서울 지급"))</f>
        <v/>
      </c>
      <c r="I161" s="26">
        <f>IF($R161="","",INDEX(입력_전공의명단!$N$2:$N$401,$R161))</f>
        <v/>
      </c>
      <c r="J161" s="26">
        <f>IF($R161="","",INDEX(입력_전공의명단!$P$2:$P$401,$R161))</f>
        <v/>
      </c>
      <c r="K161" s="26">
        <f>IF($R161="","",INDEX(입력_전공의명단!$Q$2:$Q$401,$R161))</f>
        <v/>
      </c>
      <c r="L161" s="28">
        <f>IF($R161="","",INDEX(입력_전공의명단!$S$2:$S$401,$R161))</f>
        <v/>
      </c>
      <c r="M161" s="28">
        <f>IF($R161="","",INDEX(입력_전공의명단!$T$2:$T$401,$R161))</f>
        <v/>
      </c>
      <c r="N161" s="26">
        <f>IF($R161="","",INDEX(입력_전공의명단!$AH$2:$AH$401,$R161))</f>
        <v/>
      </c>
      <c r="O161" s="26">
        <f>IF($R161="","",INDEX(입력_전공의명단!$AI$2:$AI$401,$R161))</f>
        <v/>
      </c>
      <c r="P161" s="27">
        <f>IF($R161="","",INDEX(입력_전공의명단!$AO$2:$AO$401,$R161))</f>
        <v/>
      </c>
      <c r="Q161" s="27">
        <f>IF($R161="","",INDEX(입력_전공의명단!$Z$2:$Z$401,$R161))</f>
        <v/>
      </c>
      <c r="R161" s="29">
        <f>IFERROR(MATCH(ROW()-5,입력_전공의명단!$AM$2:$AM$401,0),"")</f>
        <v/>
      </c>
    </row>
    <row r="162">
      <c r="A162" s="26">
        <f>IF($R162="","",ROW()-5)</f>
        <v/>
      </c>
      <c r="B162" s="26">
        <f>IF($R162="","",INDEX(입력_전공의명단!$C$2:$C$401,$R162))</f>
        <v/>
      </c>
      <c r="C162" s="26">
        <f>IF($R162="","",INDEX(입력_전공의명단!$B$2:$B$401,$R162))</f>
        <v/>
      </c>
      <c r="D162" s="26">
        <f>IF($R162="","",INDEX(입력_전공의명단!$J$2:$J$401,$R162))</f>
        <v/>
      </c>
      <c r="E162" s="26">
        <f>IF($R162="","",INDEX(입력_전공의명단!$F$2:$F$401,$R162))</f>
        <v/>
      </c>
      <c r="F162" s="26">
        <f>IF($R162="","",INDEX(입력_전공의명단!$G$2:$G$401,$R162))</f>
        <v/>
      </c>
      <c r="G162" s="26">
        <f>IF($R162="","",INDEX(입력_전공의명단!$AE$2:$AE$401,$R162))</f>
        <v/>
      </c>
      <c r="H162" s="27">
        <f>IF($R162="","",IF(INDEX(입력_전공의명단!$AE$2:$AE$401,$R162)="서울병원","서울 소속","타 병원 소속("&amp;INDEX(입력_전공의명단!$AE$2:$AE$401,$R162)&amp;") → 서울 지급"))</f>
        <v/>
      </c>
      <c r="I162" s="26">
        <f>IF($R162="","",INDEX(입력_전공의명단!$N$2:$N$401,$R162))</f>
        <v/>
      </c>
      <c r="J162" s="26">
        <f>IF($R162="","",INDEX(입력_전공의명단!$P$2:$P$401,$R162))</f>
        <v/>
      </c>
      <c r="K162" s="26">
        <f>IF($R162="","",INDEX(입력_전공의명단!$Q$2:$Q$401,$R162))</f>
        <v/>
      </c>
      <c r="L162" s="28">
        <f>IF($R162="","",INDEX(입력_전공의명단!$S$2:$S$401,$R162))</f>
        <v/>
      </c>
      <c r="M162" s="28">
        <f>IF($R162="","",INDEX(입력_전공의명단!$T$2:$T$401,$R162))</f>
        <v/>
      </c>
      <c r="N162" s="26">
        <f>IF($R162="","",INDEX(입력_전공의명단!$AH$2:$AH$401,$R162))</f>
        <v/>
      </c>
      <c r="O162" s="26">
        <f>IF($R162="","",INDEX(입력_전공의명단!$AI$2:$AI$401,$R162))</f>
        <v/>
      </c>
      <c r="P162" s="27">
        <f>IF($R162="","",INDEX(입력_전공의명단!$AO$2:$AO$401,$R162))</f>
        <v/>
      </c>
      <c r="Q162" s="27">
        <f>IF($R162="","",INDEX(입력_전공의명단!$Z$2:$Z$401,$R162))</f>
        <v/>
      </c>
      <c r="R162" s="29">
        <f>IFERROR(MATCH(ROW()-5,입력_전공의명단!$AM$2:$AM$401,0),"")</f>
        <v/>
      </c>
    </row>
    <row r="163">
      <c r="A163" s="26">
        <f>IF($R163="","",ROW()-5)</f>
        <v/>
      </c>
      <c r="B163" s="26">
        <f>IF($R163="","",INDEX(입력_전공의명단!$C$2:$C$401,$R163))</f>
        <v/>
      </c>
      <c r="C163" s="26">
        <f>IF($R163="","",INDEX(입력_전공의명단!$B$2:$B$401,$R163))</f>
        <v/>
      </c>
      <c r="D163" s="26">
        <f>IF($R163="","",INDEX(입력_전공의명단!$J$2:$J$401,$R163))</f>
        <v/>
      </c>
      <c r="E163" s="26">
        <f>IF($R163="","",INDEX(입력_전공의명단!$F$2:$F$401,$R163))</f>
        <v/>
      </c>
      <c r="F163" s="26">
        <f>IF($R163="","",INDEX(입력_전공의명단!$G$2:$G$401,$R163))</f>
        <v/>
      </c>
      <c r="G163" s="26">
        <f>IF($R163="","",INDEX(입력_전공의명단!$AE$2:$AE$401,$R163))</f>
        <v/>
      </c>
      <c r="H163" s="27">
        <f>IF($R163="","",IF(INDEX(입력_전공의명단!$AE$2:$AE$401,$R163)="서울병원","서울 소속","타 병원 소속("&amp;INDEX(입력_전공의명단!$AE$2:$AE$401,$R163)&amp;") → 서울 지급"))</f>
        <v/>
      </c>
      <c r="I163" s="26">
        <f>IF($R163="","",INDEX(입력_전공의명단!$N$2:$N$401,$R163))</f>
        <v/>
      </c>
      <c r="J163" s="26">
        <f>IF($R163="","",INDEX(입력_전공의명단!$P$2:$P$401,$R163))</f>
        <v/>
      </c>
      <c r="K163" s="26">
        <f>IF($R163="","",INDEX(입력_전공의명단!$Q$2:$Q$401,$R163))</f>
        <v/>
      </c>
      <c r="L163" s="28">
        <f>IF($R163="","",INDEX(입력_전공의명단!$S$2:$S$401,$R163))</f>
        <v/>
      </c>
      <c r="M163" s="28">
        <f>IF($R163="","",INDEX(입력_전공의명단!$T$2:$T$401,$R163))</f>
        <v/>
      </c>
      <c r="N163" s="26">
        <f>IF($R163="","",INDEX(입력_전공의명단!$AH$2:$AH$401,$R163))</f>
        <v/>
      </c>
      <c r="O163" s="26">
        <f>IF($R163="","",INDEX(입력_전공의명단!$AI$2:$AI$401,$R163))</f>
        <v/>
      </c>
      <c r="P163" s="27">
        <f>IF($R163="","",INDEX(입력_전공의명단!$AO$2:$AO$401,$R163))</f>
        <v/>
      </c>
      <c r="Q163" s="27">
        <f>IF($R163="","",INDEX(입력_전공의명단!$Z$2:$Z$401,$R163))</f>
        <v/>
      </c>
      <c r="R163" s="29">
        <f>IFERROR(MATCH(ROW()-5,입력_전공의명단!$AM$2:$AM$401,0),"")</f>
        <v/>
      </c>
    </row>
    <row r="164">
      <c r="A164" s="26">
        <f>IF($R164="","",ROW()-5)</f>
        <v/>
      </c>
      <c r="B164" s="26">
        <f>IF($R164="","",INDEX(입력_전공의명단!$C$2:$C$401,$R164))</f>
        <v/>
      </c>
      <c r="C164" s="26">
        <f>IF($R164="","",INDEX(입력_전공의명단!$B$2:$B$401,$R164))</f>
        <v/>
      </c>
      <c r="D164" s="26">
        <f>IF($R164="","",INDEX(입력_전공의명단!$J$2:$J$401,$R164))</f>
        <v/>
      </c>
      <c r="E164" s="26">
        <f>IF($R164="","",INDEX(입력_전공의명단!$F$2:$F$401,$R164))</f>
        <v/>
      </c>
      <c r="F164" s="26">
        <f>IF($R164="","",INDEX(입력_전공의명단!$G$2:$G$401,$R164))</f>
        <v/>
      </c>
      <c r="G164" s="26">
        <f>IF($R164="","",INDEX(입력_전공의명단!$AE$2:$AE$401,$R164))</f>
        <v/>
      </c>
      <c r="H164" s="27">
        <f>IF($R164="","",IF(INDEX(입력_전공의명단!$AE$2:$AE$401,$R164)="서울병원","서울 소속","타 병원 소속("&amp;INDEX(입력_전공의명단!$AE$2:$AE$401,$R164)&amp;") → 서울 지급"))</f>
        <v/>
      </c>
      <c r="I164" s="26">
        <f>IF($R164="","",INDEX(입력_전공의명단!$N$2:$N$401,$R164))</f>
        <v/>
      </c>
      <c r="J164" s="26">
        <f>IF($R164="","",INDEX(입력_전공의명단!$P$2:$P$401,$R164))</f>
        <v/>
      </c>
      <c r="K164" s="26">
        <f>IF($R164="","",INDEX(입력_전공의명단!$Q$2:$Q$401,$R164))</f>
        <v/>
      </c>
      <c r="L164" s="28">
        <f>IF($R164="","",INDEX(입력_전공의명단!$S$2:$S$401,$R164))</f>
        <v/>
      </c>
      <c r="M164" s="28">
        <f>IF($R164="","",INDEX(입력_전공의명단!$T$2:$T$401,$R164))</f>
        <v/>
      </c>
      <c r="N164" s="26">
        <f>IF($R164="","",INDEX(입력_전공의명단!$AH$2:$AH$401,$R164))</f>
        <v/>
      </c>
      <c r="O164" s="26">
        <f>IF($R164="","",INDEX(입력_전공의명단!$AI$2:$AI$401,$R164))</f>
        <v/>
      </c>
      <c r="P164" s="27">
        <f>IF($R164="","",INDEX(입력_전공의명단!$AO$2:$AO$401,$R164))</f>
        <v/>
      </c>
      <c r="Q164" s="27">
        <f>IF($R164="","",INDEX(입력_전공의명단!$Z$2:$Z$401,$R164))</f>
        <v/>
      </c>
      <c r="R164" s="29">
        <f>IFERROR(MATCH(ROW()-5,입력_전공의명단!$AM$2:$AM$401,0),"")</f>
        <v/>
      </c>
    </row>
    <row r="165">
      <c r="A165" s="26">
        <f>IF($R165="","",ROW()-5)</f>
        <v/>
      </c>
      <c r="B165" s="26">
        <f>IF($R165="","",INDEX(입력_전공의명단!$C$2:$C$401,$R165))</f>
        <v/>
      </c>
      <c r="C165" s="26">
        <f>IF($R165="","",INDEX(입력_전공의명단!$B$2:$B$401,$R165))</f>
        <v/>
      </c>
      <c r="D165" s="26">
        <f>IF($R165="","",INDEX(입력_전공의명단!$J$2:$J$401,$R165))</f>
        <v/>
      </c>
      <c r="E165" s="26">
        <f>IF($R165="","",INDEX(입력_전공의명단!$F$2:$F$401,$R165))</f>
        <v/>
      </c>
      <c r="F165" s="26">
        <f>IF($R165="","",INDEX(입력_전공의명단!$G$2:$G$401,$R165))</f>
        <v/>
      </c>
      <c r="G165" s="26">
        <f>IF($R165="","",INDEX(입력_전공의명단!$AE$2:$AE$401,$R165))</f>
        <v/>
      </c>
      <c r="H165" s="27">
        <f>IF($R165="","",IF(INDEX(입력_전공의명단!$AE$2:$AE$401,$R165)="서울병원","서울 소속","타 병원 소속("&amp;INDEX(입력_전공의명단!$AE$2:$AE$401,$R165)&amp;") → 서울 지급"))</f>
        <v/>
      </c>
      <c r="I165" s="26">
        <f>IF($R165="","",INDEX(입력_전공의명단!$N$2:$N$401,$R165))</f>
        <v/>
      </c>
      <c r="J165" s="26">
        <f>IF($R165="","",INDEX(입력_전공의명단!$P$2:$P$401,$R165))</f>
        <v/>
      </c>
      <c r="K165" s="26">
        <f>IF($R165="","",INDEX(입력_전공의명단!$Q$2:$Q$401,$R165))</f>
        <v/>
      </c>
      <c r="L165" s="28">
        <f>IF($R165="","",INDEX(입력_전공의명단!$S$2:$S$401,$R165))</f>
        <v/>
      </c>
      <c r="M165" s="28">
        <f>IF($R165="","",INDEX(입력_전공의명단!$T$2:$T$401,$R165))</f>
        <v/>
      </c>
      <c r="N165" s="26">
        <f>IF($R165="","",INDEX(입력_전공의명단!$AH$2:$AH$401,$R165))</f>
        <v/>
      </c>
      <c r="O165" s="26">
        <f>IF($R165="","",INDEX(입력_전공의명단!$AI$2:$AI$401,$R165))</f>
        <v/>
      </c>
      <c r="P165" s="27">
        <f>IF($R165="","",INDEX(입력_전공의명단!$AO$2:$AO$401,$R165))</f>
        <v/>
      </c>
      <c r="Q165" s="27">
        <f>IF($R165="","",INDEX(입력_전공의명단!$Z$2:$Z$401,$R165))</f>
        <v/>
      </c>
      <c r="R165" s="29">
        <f>IFERROR(MATCH(ROW()-5,입력_전공의명단!$AM$2:$AM$401,0),"")</f>
        <v/>
      </c>
    </row>
    <row r="166">
      <c r="A166" s="26">
        <f>IF($R166="","",ROW()-5)</f>
        <v/>
      </c>
      <c r="B166" s="26">
        <f>IF($R166="","",INDEX(입력_전공의명단!$C$2:$C$401,$R166))</f>
        <v/>
      </c>
      <c r="C166" s="26">
        <f>IF($R166="","",INDEX(입력_전공의명단!$B$2:$B$401,$R166))</f>
        <v/>
      </c>
      <c r="D166" s="26">
        <f>IF($R166="","",INDEX(입력_전공의명단!$J$2:$J$401,$R166))</f>
        <v/>
      </c>
      <c r="E166" s="26">
        <f>IF($R166="","",INDEX(입력_전공의명단!$F$2:$F$401,$R166))</f>
        <v/>
      </c>
      <c r="F166" s="26">
        <f>IF($R166="","",INDEX(입력_전공의명단!$G$2:$G$401,$R166))</f>
        <v/>
      </c>
      <c r="G166" s="26">
        <f>IF($R166="","",INDEX(입력_전공의명단!$AE$2:$AE$401,$R166))</f>
        <v/>
      </c>
      <c r="H166" s="27">
        <f>IF($R166="","",IF(INDEX(입력_전공의명단!$AE$2:$AE$401,$R166)="서울병원","서울 소속","타 병원 소속("&amp;INDEX(입력_전공의명단!$AE$2:$AE$401,$R166)&amp;") → 서울 지급"))</f>
        <v/>
      </c>
      <c r="I166" s="26">
        <f>IF($R166="","",INDEX(입력_전공의명단!$N$2:$N$401,$R166))</f>
        <v/>
      </c>
      <c r="J166" s="26">
        <f>IF($R166="","",INDEX(입력_전공의명단!$P$2:$P$401,$R166))</f>
        <v/>
      </c>
      <c r="K166" s="26">
        <f>IF($R166="","",INDEX(입력_전공의명단!$Q$2:$Q$401,$R166))</f>
        <v/>
      </c>
      <c r="L166" s="28">
        <f>IF($R166="","",INDEX(입력_전공의명단!$S$2:$S$401,$R166))</f>
        <v/>
      </c>
      <c r="M166" s="28">
        <f>IF($R166="","",INDEX(입력_전공의명단!$T$2:$T$401,$R166))</f>
        <v/>
      </c>
      <c r="N166" s="26">
        <f>IF($R166="","",INDEX(입력_전공의명단!$AH$2:$AH$401,$R166))</f>
        <v/>
      </c>
      <c r="O166" s="26">
        <f>IF($R166="","",INDEX(입력_전공의명단!$AI$2:$AI$401,$R166))</f>
        <v/>
      </c>
      <c r="P166" s="27">
        <f>IF($R166="","",INDEX(입력_전공의명단!$AO$2:$AO$401,$R166))</f>
        <v/>
      </c>
      <c r="Q166" s="27">
        <f>IF($R166="","",INDEX(입력_전공의명단!$Z$2:$Z$401,$R166))</f>
        <v/>
      </c>
      <c r="R166" s="29">
        <f>IFERROR(MATCH(ROW()-5,입력_전공의명단!$AM$2:$AM$401,0),"")</f>
        <v/>
      </c>
    </row>
    <row r="167">
      <c r="A167" s="26">
        <f>IF($R167="","",ROW()-5)</f>
        <v/>
      </c>
      <c r="B167" s="26">
        <f>IF($R167="","",INDEX(입력_전공의명단!$C$2:$C$401,$R167))</f>
        <v/>
      </c>
      <c r="C167" s="26">
        <f>IF($R167="","",INDEX(입력_전공의명단!$B$2:$B$401,$R167))</f>
        <v/>
      </c>
      <c r="D167" s="26">
        <f>IF($R167="","",INDEX(입력_전공의명단!$J$2:$J$401,$R167))</f>
        <v/>
      </c>
      <c r="E167" s="26">
        <f>IF($R167="","",INDEX(입력_전공의명단!$F$2:$F$401,$R167))</f>
        <v/>
      </c>
      <c r="F167" s="26">
        <f>IF($R167="","",INDEX(입력_전공의명단!$G$2:$G$401,$R167))</f>
        <v/>
      </c>
      <c r="G167" s="26">
        <f>IF($R167="","",INDEX(입력_전공의명단!$AE$2:$AE$401,$R167))</f>
        <v/>
      </c>
      <c r="H167" s="27">
        <f>IF($R167="","",IF(INDEX(입력_전공의명단!$AE$2:$AE$401,$R167)="서울병원","서울 소속","타 병원 소속("&amp;INDEX(입력_전공의명단!$AE$2:$AE$401,$R167)&amp;") → 서울 지급"))</f>
        <v/>
      </c>
      <c r="I167" s="26">
        <f>IF($R167="","",INDEX(입력_전공의명단!$N$2:$N$401,$R167))</f>
        <v/>
      </c>
      <c r="J167" s="26">
        <f>IF($R167="","",INDEX(입력_전공의명단!$P$2:$P$401,$R167))</f>
        <v/>
      </c>
      <c r="K167" s="26">
        <f>IF($R167="","",INDEX(입력_전공의명단!$Q$2:$Q$401,$R167))</f>
        <v/>
      </c>
      <c r="L167" s="28">
        <f>IF($R167="","",INDEX(입력_전공의명단!$S$2:$S$401,$R167))</f>
        <v/>
      </c>
      <c r="M167" s="28">
        <f>IF($R167="","",INDEX(입력_전공의명단!$T$2:$T$401,$R167))</f>
        <v/>
      </c>
      <c r="N167" s="26">
        <f>IF($R167="","",INDEX(입력_전공의명단!$AH$2:$AH$401,$R167))</f>
        <v/>
      </c>
      <c r="O167" s="26">
        <f>IF($R167="","",INDEX(입력_전공의명단!$AI$2:$AI$401,$R167))</f>
        <v/>
      </c>
      <c r="P167" s="27">
        <f>IF($R167="","",INDEX(입력_전공의명단!$AO$2:$AO$401,$R167))</f>
        <v/>
      </c>
      <c r="Q167" s="27">
        <f>IF($R167="","",INDEX(입력_전공의명단!$Z$2:$Z$401,$R167))</f>
        <v/>
      </c>
      <c r="R167" s="29">
        <f>IFERROR(MATCH(ROW()-5,입력_전공의명단!$AM$2:$AM$401,0),"")</f>
        <v/>
      </c>
    </row>
    <row r="168">
      <c r="A168" s="26">
        <f>IF($R168="","",ROW()-5)</f>
        <v/>
      </c>
      <c r="B168" s="26">
        <f>IF($R168="","",INDEX(입력_전공의명단!$C$2:$C$401,$R168))</f>
        <v/>
      </c>
      <c r="C168" s="26">
        <f>IF($R168="","",INDEX(입력_전공의명단!$B$2:$B$401,$R168))</f>
        <v/>
      </c>
      <c r="D168" s="26">
        <f>IF($R168="","",INDEX(입력_전공의명단!$J$2:$J$401,$R168))</f>
        <v/>
      </c>
      <c r="E168" s="26">
        <f>IF($R168="","",INDEX(입력_전공의명단!$F$2:$F$401,$R168))</f>
        <v/>
      </c>
      <c r="F168" s="26">
        <f>IF($R168="","",INDEX(입력_전공의명단!$G$2:$G$401,$R168))</f>
        <v/>
      </c>
      <c r="G168" s="26">
        <f>IF($R168="","",INDEX(입력_전공의명단!$AE$2:$AE$401,$R168))</f>
        <v/>
      </c>
      <c r="H168" s="27">
        <f>IF($R168="","",IF(INDEX(입력_전공의명단!$AE$2:$AE$401,$R168)="서울병원","서울 소속","타 병원 소속("&amp;INDEX(입력_전공의명단!$AE$2:$AE$401,$R168)&amp;") → 서울 지급"))</f>
        <v/>
      </c>
      <c r="I168" s="26">
        <f>IF($R168="","",INDEX(입력_전공의명단!$N$2:$N$401,$R168))</f>
        <v/>
      </c>
      <c r="J168" s="26">
        <f>IF($R168="","",INDEX(입력_전공의명단!$P$2:$P$401,$R168))</f>
        <v/>
      </c>
      <c r="K168" s="26">
        <f>IF($R168="","",INDEX(입력_전공의명단!$Q$2:$Q$401,$R168))</f>
        <v/>
      </c>
      <c r="L168" s="28">
        <f>IF($R168="","",INDEX(입력_전공의명단!$S$2:$S$401,$R168))</f>
        <v/>
      </c>
      <c r="M168" s="28">
        <f>IF($R168="","",INDEX(입력_전공의명단!$T$2:$T$401,$R168))</f>
        <v/>
      </c>
      <c r="N168" s="26">
        <f>IF($R168="","",INDEX(입력_전공의명단!$AH$2:$AH$401,$R168))</f>
        <v/>
      </c>
      <c r="O168" s="26">
        <f>IF($R168="","",INDEX(입력_전공의명단!$AI$2:$AI$401,$R168))</f>
        <v/>
      </c>
      <c r="P168" s="27">
        <f>IF($R168="","",INDEX(입력_전공의명단!$AO$2:$AO$401,$R168))</f>
        <v/>
      </c>
      <c r="Q168" s="27">
        <f>IF($R168="","",INDEX(입력_전공의명단!$Z$2:$Z$401,$R168))</f>
        <v/>
      </c>
      <c r="R168" s="29">
        <f>IFERROR(MATCH(ROW()-5,입력_전공의명단!$AM$2:$AM$401,0),"")</f>
        <v/>
      </c>
    </row>
    <row r="169">
      <c r="A169" s="26">
        <f>IF($R169="","",ROW()-5)</f>
        <v/>
      </c>
      <c r="B169" s="26">
        <f>IF($R169="","",INDEX(입력_전공의명단!$C$2:$C$401,$R169))</f>
        <v/>
      </c>
      <c r="C169" s="26">
        <f>IF($R169="","",INDEX(입력_전공의명단!$B$2:$B$401,$R169))</f>
        <v/>
      </c>
      <c r="D169" s="26">
        <f>IF($R169="","",INDEX(입력_전공의명단!$J$2:$J$401,$R169))</f>
        <v/>
      </c>
      <c r="E169" s="26">
        <f>IF($R169="","",INDEX(입력_전공의명단!$F$2:$F$401,$R169))</f>
        <v/>
      </c>
      <c r="F169" s="26">
        <f>IF($R169="","",INDEX(입력_전공의명단!$G$2:$G$401,$R169))</f>
        <v/>
      </c>
      <c r="G169" s="26">
        <f>IF($R169="","",INDEX(입력_전공의명단!$AE$2:$AE$401,$R169))</f>
        <v/>
      </c>
      <c r="H169" s="27">
        <f>IF($R169="","",IF(INDEX(입력_전공의명단!$AE$2:$AE$401,$R169)="서울병원","서울 소속","타 병원 소속("&amp;INDEX(입력_전공의명단!$AE$2:$AE$401,$R169)&amp;") → 서울 지급"))</f>
        <v/>
      </c>
      <c r="I169" s="26">
        <f>IF($R169="","",INDEX(입력_전공의명단!$N$2:$N$401,$R169))</f>
        <v/>
      </c>
      <c r="J169" s="26">
        <f>IF($R169="","",INDEX(입력_전공의명단!$P$2:$P$401,$R169))</f>
        <v/>
      </c>
      <c r="K169" s="26">
        <f>IF($R169="","",INDEX(입력_전공의명단!$Q$2:$Q$401,$R169))</f>
        <v/>
      </c>
      <c r="L169" s="28">
        <f>IF($R169="","",INDEX(입력_전공의명단!$S$2:$S$401,$R169))</f>
        <v/>
      </c>
      <c r="M169" s="28">
        <f>IF($R169="","",INDEX(입력_전공의명단!$T$2:$T$401,$R169))</f>
        <v/>
      </c>
      <c r="N169" s="26">
        <f>IF($R169="","",INDEX(입력_전공의명단!$AH$2:$AH$401,$R169))</f>
        <v/>
      </c>
      <c r="O169" s="26">
        <f>IF($R169="","",INDEX(입력_전공의명단!$AI$2:$AI$401,$R169))</f>
        <v/>
      </c>
      <c r="P169" s="27">
        <f>IF($R169="","",INDEX(입력_전공의명단!$AO$2:$AO$401,$R169))</f>
        <v/>
      </c>
      <c r="Q169" s="27">
        <f>IF($R169="","",INDEX(입력_전공의명단!$Z$2:$Z$401,$R169))</f>
        <v/>
      </c>
      <c r="R169" s="29">
        <f>IFERROR(MATCH(ROW()-5,입력_전공의명단!$AM$2:$AM$401,0),"")</f>
        <v/>
      </c>
    </row>
    <row r="170">
      <c r="A170" s="26">
        <f>IF($R170="","",ROW()-5)</f>
        <v/>
      </c>
      <c r="B170" s="26">
        <f>IF($R170="","",INDEX(입력_전공의명단!$C$2:$C$401,$R170))</f>
        <v/>
      </c>
      <c r="C170" s="26">
        <f>IF($R170="","",INDEX(입력_전공의명단!$B$2:$B$401,$R170))</f>
        <v/>
      </c>
      <c r="D170" s="26">
        <f>IF($R170="","",INDEX(입력_전공의명단!$J$2:$J$401,$R170))</f>
        <v/>
      </c>
      <c r="E170" s="26">
        <f>IF($R170="","",INDEX(입력_전공의명단!$F$2:$F$401,$R170))</f>
        <v/>
      </c>
      <c r="F170" s="26">
        <f>IF($R170="","",INDEX(입력_전공의명단!$G$2:$G$401,$R170))</f>
        <v/>
      </c>
      <c r="G170" s="26">
        <f>IF($R170="","",INDEX(입력_전공의명단!$AE$2:$AE$401,$R170))</f>
        <v/>
      </c>
      <c r="H170" s="27">
        <f>IF($R170="","",IF(INDEX(입력_전공의명단!$AE$2:$AE$401,$R170)="서울병원","서울 소속","타 병원 소속("&amp;INDEX(입력_전공의명단!$AE$2:$AE$401,$R170)&amp;") → 서울 지급"))</f>
        <v/>
      </c>
      <c r="I170" s="26">
        <f>IF($R170="","",INDEX(입력_전공의명단!$N$2:$N$401,$R170))</f>
        <v/>
      </c>
      <c r="J170" s="26">
        <f>IF($R170="","",INDEX(입력_전공의명단!$P$2:$P$401,$R170))</f>
        <v/>
      </c>
      <c r="K170" s="26">
        <f>IF($R170="","",INDEX(입력_전공의명단!$Q$2:$Q$401,$R170))</f>
        <v/>
      </c>
      <c r="L170" s="28">
        <f>IF($R170="","",INDEX(입력_전공의명단!$S$2:$S$401,$R170))</f>
        <v/>
      </c>
      <c r="M170" s="28">
        <f>IF($R170="","",INDEX(입력_전공의명단!$T$2:$T$401,$R170))</f>
        <v/>
      </c>
      <c r="N170" s="26">
        <f>IF($R170="","",INDEX(입력_전공의명단!$AH$2:$AH$401,$R170))</f>
        <v/>
      </c>
      <c r="O170" s="26">
        <f>IF($R170="","",INDEX(입력_전공의명단!$AI$2:$AI$401,$R170))</f>
        <v/>
      </c>
      <c r="P170" s="27">
        <f>IF($R170="","",INDEX(입력_전공의명단!$AO$2:$AO$401,$R170))</f>
        <v/>
      </c>
      <c r="Q170" s="27">
        <f>IF($R170="","",INDEX(입력_전공의명단!$Z$2:$Z$401,$R170))</f>
        <v/>
      </c>
      <c r="R170" s="29">
        <f>IFERROR(MATCH(ROW()-5,입력_전공의명단!$AM$2:$AM$401,0),"")</f>
        <v/>
      </c>
    </row>
    <row r="171">
      <c r="A171" s="26">
        <f>IF($R171="","",ROW()-5)</f>
        <v/>
      </c>
      <c r="B171" s="26">
        <f>IF($R171="","",INDEX(입력_전공의명단!$C$2:$C$401,$R171))</f>
        <v/>
      </c>
      <c r="C171" s="26">
        <f>IF($R171="","",INDEX(입력_전공의명단!$B$2:$B$401,$R171))</f>
        <v/>
      </c>
      <c r="D171" s="26">
        <f>IF($R171="","",INDEX(입력_전공의명단!$J$2:$J$401,$R171))</f>
        <v/>
      </c>
      <c r="E171" s="26">
        <f>IF($R171="","",INDEX(입력_전공의명단!$F$2:$F$401,$R171))</f>
        <v/>
      </c>
      <c r="F171" s="26">
        <f>IF($R171="","",INDEX(입력_전공의명단!$G$2:$G$401,$R171))</f>
        <v/>
      </c>
      <c r="G171" s="26">
        <f>IF($R171="","",INDEX(입력_전공의명단!$AE$2:$AE$401,$R171))</f>
        <v/>
      </c>
      <c r="H171" s="27">
        <f>IF($R171="","",IF(INDEX(입력_전공의명단!$AE$2:$AE$401,$R171)="서울병원","서울 소속","타 병원 소속("&amp;INDEX(입력_전공의명단!$AE$2:$AE$401,$R171)&amp;") → 서울 지급"))</f>
        <v/>
      </c>
      <c r="I171" s="26">
        <f>IF($R171="","",INDEX(입력_전공의명단!$N$2:$N$401,$R171))</f>
        <v/>
      </c>
      <c r="J171" s="26">
        <f>IF($R171="","",INDEX(입력_전공의명단!$P$2:$P$401,$R171))</f>
        <v/>
      </c>
      <c r="K171" s="26">
        <f>IF($R171="","",INDEX(입력_전공의명단!$Q$2:$Q$401,$R171))</f>
        <v/>
      </c>
      <c r="L171" s="28">
        <f>IF($R171="","",INDEX(입력_전공의명단!$S$2:$S$401,$R171))</f>
        <v/>
      </c>
      <c r="M171" s="28">
        <f>IF($R171="","",INDEX(입력_전공의명단!$T$2:$T$401,$R171))</f>
        <v/>
      </c>
      <c r="N171" s="26">
        <f>IF($R171="","",INDEX(입력_전공의명단!$AH$2:$AH$401,$R171))</f>
        <v/>
      </c>
      <c r="O171" s="26">
        <f>IF($R171="","",INDEX(입력_전공의명단!$AI$2:$AI$401,$R171))</f>
        <v/>
      </c>
      <c r="P171" s="27">
        <f>IF($R171="","",INDEX(입력_전공의명단!$AO$2:$AO$401,$R171))</f>
        <v/>
      </c>
      <c r="Q171" s="27">
        <f>IF($R171="","",INDEX(입력_전공의명단!$Z$2:$Z$401,$R171))</f>
        <v/>
      </c>
      <c r="R171" s="29">
        <f>IFERROR(MATCH(ROW()-5,입력_전공의명단!$AM$2:$AM$401,0),"")</f>
        <v/>
      </c>
    </row>
    <row r="172">
      <c r="A172" s="26">
        <f>IF($R172="","",ROW()-5)</f>
        <v/>
      </c>
      <c r="B172" s="26">
        <f>IF($R172="","",INDEX(입력_전공의명단!$C$2:$C$401,$R172))</f>
        <v/>
      </c>
      <c r="C172" s="26">
        <f>IF($R172="","",INDEX(입력_전공의명단!$B$2:$B$401,$R172))</f>
        <v/>
      </c>
      <c r="D172" s="26">
        <f>IF($R172="","",INDEX(입력_전공의명단!$J$2:$J$401,$R172))</f>
        <v/>
      </c>
      <c r="E172" s="26">
        <f>IF($R172="","",INDEX(입력_전공의명단!$F$2:$F$401,$R172))</f>
        <v/>
      </c>
      <c r="F172" s="26">
        <f>IF($R172="","",INDEX(입력_전공의명단!$G$2:$G$401,$R172))</f>
        <v/>
      </c>
      <c r="G172" s="26">
        <f>IF($R172="","",INDEX(입력_전공의명단!$AE$2:$AE$401,$R172))</f>
        <v/>
      </c>
      <c r="H172" s="27">
        <f>IF($R172="","",IF(INDEX(입력_전공의명단!$AE$2:$AE$401,$R172)="서울병원","서울 소속","타 병원 소속("&amp;INDEX(입력_전공의명단!$AE$2:$AE$401,$R172)&amp;") → 서울 지급"))</f>
        <v/>
      </c>
      <c r="I172" s="26">
        <f>IF($R172="","",INDEX(입력_전공의명단!$N$2:$N$401,$R172))</f>
        <v/>
      </c>
      <c r="J172" s="26">
        <f>IF($R172="","",INDEX(입력_전공의명단!$P$2:$P$401,$R172))</f>
        <v/>
      </c>
      <c r="K172" s="26">
        <f>IF($R172="","",INDEX(입력_전공의명단!$Q$2:$Q$401,$R172))</f>
        <v/>
      </c>
      <c r="L172" s="28">
        <f>IF($R172="","",INDEX(입력_전공의명단!$S$2:$S$401,$R172))</f>
        <v/>
      </c>
      <c r="M172" s="28">
        <f>IF($R172="","",INDEX(입력_전공의명단!$T$2:$T$401,$R172))</f>
        <v/>
      </c>
      <c r="N172" s="26">
        <f>IF($R172="","",INDEX(입력_전공의명단!$AH$2:$AH$401,$R172))</f>
        <v/>
      </c>
      <c r="O172" s="26">
        <f>IF($R172="","",INDEX(입력_전공의명단!$AI$2:$AI$401,$R172))</f>
        <v/>
      </c>
      <c r="P172" s="27">
        <f>IF($R172="","",INDEX(입력_전공의명단!$AO$2:$AO$401,$R172))</f>
        <v/>
      </c>
      <c r="Q172" s="27">
        <f>IF($R172="","",INDEX(입력_전공의명단!$Z$2:$Z$401,$R172))</f>
        <v/>
      </c>
      <c r="R172" s="29">
        <f>IFERROR(MATCH(ROW()-5,입력_전공의명단!$AM$2:$AM$401,0),"")</f>
        <v/>
      </c>
    </row>
    <row r="173">
      <c r="A173" s="26">
        <f>IF($R173="","",ROW()-5)</f>
        <v/>
      </c>
      <c r="B173" s="26">
        <f>IF($R173="","",INDEX(입력_전공의명단!$C$2:$C$401,$R173))</f>
        <v/>
      </c>
      <c r="C173" s="26">
        <f>IF($R173="","",INDEX(입력_전공의명단!$B$2:$B$401,$R173))</f>
        <v/>
      </c>
      <c r="D173" s="26">
        <f>IF($R173="","",INDEX(입력_전공의명단!$J$2:$J$401,$R173))</f>
        <v/>
      </c>
      <c r="E173" s="26">
        <f>IF($R173="","",INDEX(입력_전공의명단!$F$2:$F$401,$R173))</f>
        <v/>
      </c>
      <c r="F173" s="26">
        <f>IF($R173="","",INDEX(입력_전공의명단!$G$2:$G$401,$R173))</f>
        <v/>
      </c>
      <c r="G173" s="26">
        <f>IF($R173="","",INDEX(입력_전공의명단!$AE$2:$AE$401,$R173))</f>
        <v/>
      </c>
      <c r="H173" s="27">
        <f>IF($R173="","",IF(INDEX(입력_전공의명단!$AE$2:$AE$401,$R173)="서울병원","서울 소속","타 병원 소속("&amp;INDEX(입력_전공의명단!$AE$2:$AE$401,$R173)&amp;") → 서울 지급"))</f>
        <v/>
      </c>
      <c r="I173" s="26">
        <f>IF($R173="","",INDEX(입력_전공의명단!$N$2:$N$401,$R173))</f>
        <v/>
      </c>
      <c r="J173" s="26">
        <f>IF($R173="","",INDEX(입력_전공의명단!$P$2:$P$401,$R173))</f>
        <v/>
      </c>
      <c r="K173" s="26">
        <f>IF($R173="","",INDEX(입력_전공의명단!$Q$2:$Q$401,$R173))</f>
        <v/>
      </c>
      <c r="L173" s="28">
        <f>IF($R173="","",INDEX(입력_전공의명단!$S$2:$S$401,$R173))</f>
        <v/>
      </c>
      <c r="M173" s="28">
        <f>IF($R173="","",INDEX(입력_전공의명단!$T$2:$T$401,$R173))</f>
        <v/>
      </c>
      <c r="N173" s="26">
        <f>IF($R173="","",INDEX(입력_전공의명단!$AH$2:$AH$401,$R173))</f>
        <v/>
      </c>
      <c r="O173" s="26">
        <f>IF($R173="","",INDEX(입력_전공의명단!$AI$2:$AI$401,$R173))</f>
        <v/>
      </c>
      <c r="P173" s="27">
        <f>IF($R173="","",INDEX(입력_전공의명단!$AO$2:$AO$401,$R173))</f>
        <v/>
      </c>
      <c r="Q173" s="27">
        <f>IF($R173="","",INDEX(입력_전공의명단!$Z$2:$Z$401,$R173))</f>
        <v/>
      </c>
      <c r="R173" s="29">
        <f>IFERROR(MATCH(ROW()-5,입력_전공의명단!$AM$2:$AM$401,0),"")</f>
        <v/>
      </c>
    </row>
    <row r="174">
      <c r="A174" s="26">
        <f>IF($R174="","",ROW()-5)</f>
        <v/>
      </c>
      <c r="B174" s="26">
        <f>IF($R174="","",INDEX(입력_전공의명단!$C$2:$C$401,$R174))</f>
        <v/>
      </c>
      <c r="C174" s="26">
        <f>IF($R174="","",INDEX(입력_전공의명단!$B$2:$B$401,$R174))</f>
        <v/>
      </c>
      <c r="D174" s="26">
        <f>IF($R174="","",INDEX(입력_전공의명단!$J$2:$J$401,$R174))</f>
        <v/>
      </c>
      <c r="E174" s="26">
        <f>IF($R174="","",INDEX(입력_전공의명단!$F$2:$F$401,$R174))</f>
        <v/>
      </c>
      <c r="F174" s="26">
        <f>IF($R174="","",INDEX(입력_전공의명단!$G$2:$G$401,$R174))</f>
        <v/>
      </c>
      <c r="G174" s="26">
        <f>IF($R174="","",INDEX(입력_전공의명단!$AE$2:$AE$401,$R174))</f>
        <v/>
      </c>
      <c r="H174" s="27">
        <f>IF($R174="","",IF(INDEX(입력_전공의명단!$AE$2:$AE$401,$R174)="서울병원","서울 소속","타 병원 소속("&amp;INDEX(입력_전공의명단!$AE$2:$AE$401,$R174)&amp;") → 서울 지급"))</f>
        <v/>
      </c>
      <c r="I174" s="26">
        <f>IF($R174="","",INDEX(입력_전공의명단!$N$2:$N$401,$R174))</f>
        <v/>
      </c>
      <c r="J174" s="26">
        <f>IF($R174="","",INDEX(입력_전공의명단!$P$2:$P$401,$R174))</f>
        <v/>
      </c>
      <c r="K174" s="26">
        <f>IF($R174="","",INDEX(입력_전공의명단!$Q$2:$Q$401,$R174))</f>
        <v/>
      </c>
      <c r="L174" s="28">
        <f>IF($R174="","",INDEX(입력_전공의명단!$S$2:$S$401,$R174))</f>
        <v/>
      </c>
      <c r="M174" s="28">
        <f>IF($R174="","",INDEX(입력_전공의명단!$T$2:$T$401,$R174))</f>
        <v/>
      </c>
      <c r="N174" s="26">
        <f>IF($R174="","",INDEX(입력_전공의명단!$AH$2:$AH$401,$R174))</f>
        <v/>
      </c>
      <c r="O174" s="26">
        <f>IF($R174="","",INDEX(입력_전공의명단!$AI$2:$AI$401,$R174))</f>
        <v/>
      </c>
      <c r="P174" s="27">
        <f>IF($R174="","",INDEX(입력_전공의명단!$AO$2:$AO$401,$R174))</f>
        <v/>
      </c>
      <c r="Q174" s="27">
        <f>IF($R174="","",INDEX(입력_전공의명단!$Z$2:$Z$401,$R174))</f>
        <v/>
      </c>
      <c r="R174" s="29">
        <f>IFERROR(MATCH(ROW()-5,입력_전공의명단!$AM$2:$AM$401,0),"")</f>
        <v/>
      </c>
    </row>
    <row r="175">
      <c r="A175" s="26">
        <f>IF($R175="","",ROW()-5)</f>
        <v/>
      </c>
      <c r="B175" s="26">
        <f>IF($R175="","",INDEX(입력_전공의명단!$C$2:$C$401,$R175))</f>
        <v/>
      </c>
      <c r="C175" s="26">
        <f>IF($R175="","",INDEX(입력_전공의명단!$B$2:$B$401,$R175))</f>
        <v/>
      </c>
      <c r="D175" s="26">
        <f>IF($R175="","",INDEX(입력_전공의명단!$J$2:$J$401,$R175))</f>
        <v/>
      </c>
      <c r="E175" s="26">
        <f>IF($R175="","",INDEX(입력_전공의명단!$F$2:$F$401,$R175))</f>
        <v/>
      </c>
      <c r="F175" s="26">
        <f>IF($R175="","",INDEX(입력_전공의명단!$G$2:$G$401,$R175))</f>
        <v/>
      </c>
      <c r="G175" s="26">
        <f>IF($R175="","",INDEX(입력_전공의명단!$AE$2:$AE$401,$R175))</f>
        <v/>
      </c>
      <c r="H175" s="27">
        <f>IF($R175="","",IF(INDEX(입력_전공의명단!$AE$2:$AE$401,$R175)="서울병원","서울 소속","타 병원 소속("&amp;INDEX(입력_전공의명단!$AE$2:$AE$401,$R175)&amp;") → 서울 지급"))</f>
        <v/>
      </c>
      <c r="I175" s="26">
        <f>IF($R175="","",INDEX(입력_전공의명단!$N$2:$N$401,$R175))</f>
        <v/>
      </c>
      <c r="J175" s="26">
        <f>IF($R175="","",INDEX(입력_전공의명단!$P$2:$P$401,$R175))</f>
        <v/>
      </c>
      <c r="K175" s="26">
        <f>IF($R175="","",INDEX(입력_전공의명단!$Q$2:$Q$401,$R175))</f>
        <v/>
      </c>
      <c r="L175" s="28">
        <f>IF($R175="","",INDEX(입력_전공의명단!$S$2:$S$401,$R175))</f>
        <v/>
      </c>
      <c r="M175" s="28">
        <f>IF($R175="","",INDEX(입력_전공의명단!$T$2:$T$401,$R175))</f>
        <v/>
      </c>
      <c r="N175" s="26">
        <f>IF($R175="","",INDEX(입력_전공의명단!$AH$2:$AH$401,$R175))</f>
        <v/>
      </c>
      <c r="O175" s="26">
        <f>IF($R175="","",INDEX(입력_전공의명단!$AI$2:$AI$401,$R175))</f>
        <v/>
      </c>
      <c r="P175" s="27">
        <f>IF($R175="","",INDEX(입력_전공의명단!$AO$2:$AO$401,$R175))</f>
        <v/>
      </c>
      <c r="Q175" s="27">
        <f>IF($R175="","",INDEX(입력_전공의명단!$Z$2:$Z$401,$R175))</f>
        <v/>
      </c>
      <c r="R175" s="29">
        <f>IFERROR(MATCH(ROW()-5,입력_전공의명단!$AM$2:$AM$401,0),"")</f>
        <v/>
      </c>
    </row>
    <row r="176">
      <c r="A176" s="26">
        <f>IF($R176="","",ROW()-5)</f>
        <v/>
      </c>
      <c r="B176" s="26">
        <f>IF($R176="","",INDEX(입력_전공의명단!$C$2:$C$401,$R176))</f>
        <v/>
      </c>
      <c r="C176" s="26">
        <f>IF($R176="","",INDEX(입력_전공의명단!$B$2:$B$401,$R176))</f>
        <v/>
      </c>
      <c r="D176" s="26">
        <f>IF($R176="","",INDEX(입력_전공의명단!$J$2:$J$401,$R176))</f>
        <v/>
      </c>
      <c r="E176" s="26">
        <f>IF($R176="","",INDEX(입력_전공의명단!$F$2:$F$401,$R176))</f>
        <v/>
      </c>
      <c r="F176" s="26">
        <f>IF($R176="","",INDEX(입력_전공의명단!$G$2:$G$401,$R176))</f>
        <v/>
      </c>
      <c r="G176" s="26">
        <f>IF($R176="","",INDEX(입력_전공의명단!$AE$2:$AE$401,$R176))</f>
        <v/>
      </c>
      <c r="H176" s="27">
        <f>IF($R176="","",IF(INDEX(입력_전공의명단!$AE$2:$AE$401,$R176)="서울병원","서울 소속","타 병원 소속("&amp;INDEX(입력_전공의명단!$AE$2:$AE$401,$R176)&amp;") → 서울 지급"))</f>
        <v/>
      </c>
      <c r="I176" s="26">
        <f>IF($R176="","",INDEX(입력_전공의명단!$N$2:$N$401,$R176))</f>
        <v/>
      </c>
      <c r="J176" s="26">
        <f>IF($R176="","",INDEX(입력_전공의명단!$P$2:$P$401,$R176))</f>
        <v/>
      </c>
      <c r="K176" s="26">
        <f>IF($R176="","",INDEX(입력_전공의명단!$Q$2:$Q$401,$R176))</f>
        <v/>
      </c>
      <c r="L176" s="28">
        <f>IF($R176="","",INDEX(입력_전공의명단!$S$2:$S$401,$R176))</f>
        <v/>
      </c>
      <c r="M176" s="28">
        <f>IF($R176="","",INDEX(입력_전공의명단!$T$2:$T$401,$R176))</f>
        <v/>
      </c>
      <c r="N176" s="26">
        <f>IF($R176="","",INDEX(입력_전공의명단!$AH$2:$AH$401,$R176))</f>
        <v/>
      </c>
      <c r="O176" s="26">
        <f>IF($R176="","",INDEX(입력_전공의명단!$AI$2:$AI$401,$R176))</f>
        <v/>
      </c>
      <c r="P176" s="27">
        <f>IF($R176="","",INDEX(입력_전공의명단!$AO$2:$AO$401,$R176))</f>
        <v/>
      </c>
      <c r="Q176" s="27">
        <f>IF($R176="","",INDEX(입력_전공의명단!$Z$2:$Z$401,$R176))</f>
        <v/>
      </c>
      <c r="R176" s="29">
        <f>IFERROR(MATCH(ROW()-5,입력_전공의명단!$AM$2:$AM$401,0),"")</f>
        <v/>
      </c>
    </row>
    <row r="177">
      <c r="A177" s="26">
        <f>IF($R177="","",ROW()-5)</f>
        <v/>
      </c>
      <c r="B177" s="26">
        <f>IF($R177="","",INDEX(입력_전공의명단!$C$2:$C$401,$R177))</f>
        <v/>
      </c>
      <c r="C177" s="26">
        <f>IF($R177="","",INDEX(입력_전공의명단!$B$2:$B$401,$R177))</f>
        <v/>
      </c>
      <c r="D177" s="26">
        <f>IF($R177="","",INDEX(입력_전공의명단!$J$2:$J$401,$R177))</f>
        <v/>
      </c>
      <c r="E177" s="26">
        <f>IF($R177="","",INDEX(입력_전공의명단!$F$2:$F$401,$R177))</f>
        <v/>
      </c>
      <c r="F177" s="26">
        <f>IF($R177="","",INDEX(입력_전공의명단!$G$2:$G$401,$R177))</f>
        <v/>
      </c>
      <c r="G177" s="26">
        <f>IF($R177="","",INDEX(입력_전공의명단!$AE$2:$AE$401,$R177))</f>
        <v/>
      </c>
      <c r="H177" s="27">
        <f>IF($R177="","",IF(INDEX(입력_전공의명단!$AE$2:$AE$401,$R177)="서울병원","서울 소속","타 병원 소속("&amp;INDEX(입력_전공의명단!$AE$2:$AE$401,$R177)&amp;") → 서울 지급"))</f>
        <v/>
      </c>
      <c r="I177" s="26">
        <f>IF($R177="","",INDEX(입력_전공의명단!$N$2:$N$401,$R177))</f>
        <v/>
      </c>
      <c r="J177" s="26">
        <f>IF($R177="","",INDEX(입력_전공의명단!$P$2:$P$401,$R177))</f>
        <v/>
      </c>
      <c r="K177" s="26">
        <f>IF($R177="","",INDEX(입력_전공의명단!$Q$2:$Q$401,$R177))</f>
        <v/>
      </c>
      <c r="L177" s="28">
        <f>IF($R177="","",INDEX(입력_전공의명단!$S$2:$S$401,$R177))</f>
        <v/>
      </c>
      <c r="M177" s="28">
        <f>IF($R177="","",INDEX(입력_전공의명단!$T$2:$T$401,$R177))</f>
        <v/>
      </c>
      <c r="N177" s="26">
        <f>IF($R177="","",INDEX(입력_전공의명단!$AH$2:$AH$401,$R177))</f>
        <v/>
      </c>
      <c r="O177" s="26">
        <f>IF($R177="","",INDEX(입력_전공의명단!$AI$2:$AI$401,$R177))</f>
        <v/>
      </c>
      <c r="P177" s="27">
        <f>IF($R177="","",INDEX(입력_전공의명단!$AO$2:$AO$401,$R177))</f>
        <v/>
      </c>
      <c r="Q177" s="27">
        <f>IF($R177="","",INDEX(입력_전공의명단!$Z$2:$Z$401,$R177))</f>
        <v/>
      </c>
      <c r="R177" s="29">
        <f>IFERROR(MATCH(ROW()-5,입력_전공의명단!$AM$2:$AM$401,0),"")</f>
        <v/>
      </c>
    </row>
    <row r="178">
      <c r="A178" s="26">
        <f>IF($R178="","",ROW()-5)</f>
        <v/>
      </c>
      <c r="B178" s="26">
        <f>IF($R178="","",INDEX(입력_전공의명단!$C$2:$C$401,$R178))</f>
        <v/>
      </c>
      <c r="C178" s="26">
        <f>IF($R178="","",INDEX(입력_전공의명단!$B$2:$B$401,$R178))</f>
        <v/>
      </c>
      <c r="D178" s="26">
        <f>IF($R178="","",INDEX(입력_전공의명단!$J$2:$J$401,$R178))</f>
        <v/>
      </c>
      <c r="E178" s="26">
        <f>IF($R178="","",INDEX(입력_전공의명단!$F$2:$F$401,$R178))</f>
        <v/>
      </c>
      <c r="F178" s="26">
        <f>IF($R178="","",INDEX(입력_전공의명단!$G$2:$G$401,$R178))</f>
        <v/>
      </c>
      <c r="G178" s="26">
        <f>IF($R178="","",INDEX(입력_전공의명단!$AE$2:$AE$401,$R178))</f>
        <v/>
      </c>
      <c r="H178" s="27">
        <f>IF($R178="","",IF(INDEX(입력_전공의명단!$AE$2:$AE$401,$R178)="서울병원","서울 소속","타 병원 소속("&amp;INDEX(입력_전공의명단!$AE$2:$AE$401,$R178)&amp;") → 서울 지급"))</f>
        <v/>
      </c>
      <c r="I178" s="26">
        <f>IF($R178="","",INDEX(입력_전공의명단!$N$2:$N$401,$R178))</f>
        <v/>
      </c>
      <c r="J178" s="26">
        <f>IF($R178="","",INDEX(입력_전공의명단!$P$2:$P$401,$R178))</f>
        <v/>
      </c>
      <c r="K178" s="26">
        <f>IF($R178="","",INDEX(입력_전공의명단!$Q$2:$Q$401,$R178))</f>
        <v/>
      </c>
      <c r="L178" s="28">
        <f>IF($R178="","",INDEX(입력_전공의명단!$S$2:$S$401,$R178))</f>
        <v/>
      </c>
      <c r="M178" s="28">
        <f>IF($R178="","",INDEX(입력_전공의명단!$T$2:$T$401,$R178))</f>
        <v/>
      </c>
      <c r="N178" s="26">
        <f>IF($R178="","",INDEX(입력_전공의명단!$AH$2:$AH$401,$R178))</f>
        <v/>
      </c>
      <c r="O178" s="26">
        <f>IF($R178="","",INDEX(입력_전공의명단!$AI$2:$AI$401,$R178))</f>
        <v/>
      </c>
      <c r="P178" s="27">
        <f>IF($R178="","",INDEX(입력_전공의명단!$AO$2:$AO$401,$R178))</f>
        <v/>
      </c>
      <c r="Q178" s="27">
        <f>IF($R178="","",INDEX(입력_전공의명단!$Z$2:$Z$401,$R178))</f>
        <v/>
      </c>
      <c r="R178" s="29">
        <f>IFERROR(MATCH(ROW()-5,입력_전공의명단!$AM$2:$AM$401,0),"")</f>
        <v/>
      </c>
    </row>
    <row r="179">
      <c r="A179" s="26">
        <f>IF($R179="","",ROW()-5)</f>
        <v/>
      </c>
      <c r="B179" s="26">
        <f>IF($R179="","",INDEX(입력_전공의명단!$C$2:$C$401,$R179))</f>
        <v/>
      </c>
      <c r="C179" s="26">
        <f>IF($R179="","",INDEX(입력_전공의명단!$B$2:$B$401,$R179))</f>
        <v/>
      </c>
      <c r="D179" s="26">
        <f>IF($R179="","",INDEX(입력_전공의명단!$J$2:$J$401,$R179))</f>
        <v/>
      </c>
      <c r="E179" s="26">
        <f>IF($R179="","",INDEX(입력_전공의명단!$F$2:$F$401,$R179))</f>
        <v/>
      </c>
      <c r="F179" s="26">
        <f>IF($R179="","",INDEX(입력_전공의명단!$G$2:$G$401,$R179))</f>
        <v/>
      </c>
      <c r="G179" s="26">
        <f>IF($R179="","",INDEX(입력_전공의명단!$AE$2:$AE$401,$R179))</f>
        <v/>
      </c>
      <c r="H179" s="27">
        <f>IF($R179="","",IF(INDEX(입력_전공의명단!$AE$2:$AE$401,$R179)="서울병원","서울 소속","타 병원 소속("&amp;INDEX(입력_전공의명단!$AE$2:$AE$401,$R179)&amp;") → 서울 지급"))</f>
        <v/>
      </c>
      <c r="I179" s="26">
        <f>IF($R179="","",INDEX(입력_전공의명단!$N$2:$N$401,$R179))</f>
        <v/>
      </c>
      <c r="J179" s="26">
        <f>IF($R179="","",INDEX(입력_전공의명단!$P$2:$P$401,$R179))</f>
        <v/>
      </c>
      <c r="K179" s="26">
        <f>IF($R179="","",INDEX(입력_전공의명단!$Q$2:$Q$401,$R179))</f>
        <v/>
      </c>
      <c r="L179" s="28">
        <f>IF($R179="","",INDEX(입력_전공의명단!$S$2:$S$401,$R179))</f>
        <v/>
      </c>
      <c r="M179" s="28">
        <f>IF($R179="","",INDEX(입력_전공의명단!$T$2:$T$401,$R179))</f>
        <v/>
      </c>
      <c r="N179" s="26">
        <f>IF($R179="","",INDEX(입력_전공의명단!$AH$2:$AH$401,$R179))</f>
        <v/>
      </c>
      <c r="O179" s="26">
        <f>IF($R179="","",INDEX(입력_전공의명단!$AI$2:$AI$401,$R179))</f>
        <v/>
      </c>
      <c r="P179" s="27">
        <f>IF($R179="","",INDEX(입력_전공의명단!$AO$2:$AO$401,$R179))</f>
        <v/>
      </c>
      <c r="Q179" s="27">
        <f>IF($R179="","",INDEX(입력_전공의명단!$Z$2:$Z$401,$R179))</f>
        <v/>
      </c>
      <c r="R179" s="29">
        <f>IFERROR(MATCH(ROW()-5,입력_전공의명단!$AM$2:$AM$401,0),"")</f>
        <v/>
      </c>
    </row>
    <row r="180">
      <c r="A180" s="26">
        <f>IF($R180="","",ROW()-5)</f>
        <v/>
      </c>
      <c r="B180" s="26">
        <f>IF($R180="","",INDEX(입력_전공의명단!$C$2:$C$401,$R180))</f>
        <v/>
      </c>
      <c r="C180" s="26">
        <f>IF($R180="","",INDEX(입력_전공의명단!$B$2:$B$401,$R180))</f>
        <v/>
      </c>
      <c r="D180" s="26">
        <f>IF($R180="","",INDEX(입력_전공의명단!$J$2:$J$401,$R180))</f>
        <v/>
      </c>
      <c r="E180" s="26">
        <f>IF($R180="","",INDEX(입력_전공의명단!$F$2:$F$401,$R180))</f>
        <v/>
      </c>
      <c r="F180" s="26">
        <f>IF($R180="","",INDEX(입력_전공의명단!$G$2:$G$401,$R180))</f>
        <v/>
      </c>
      <c r="G180" s="26">
        <f>IF($R180="","",INDEX(입력_전공의명단!$AE$2:$AE$401,$R180))</f>
        <v/>
      </c>
      <c r="H180" s="27">
        <f>IF($R180="","",IF(INDEX(입력_전공의명단!$AE$2:$AE$401,$R180)="서울병원","서울 소속","타 병원 소속("&amp;INDEX(입력_전공의명단!$AE$2:$AE$401,$R180)&amp;") → 서울 지급"))</f>
        <v/>
      </c>
      <c r="I180" s="26">
        <f>IF($R180="","",INDEX(입력_전공의명단!$N$2:$N$401,$R180))</f>
        <v/>
      </c>
      <c r="J180" s="26">
        <f>IF($R180="","",INDEX(입력_전공의명단!$P$2:$P$401,$R180))</f>
        <v/>
      </c>
      <c r="K180" s="26">
        <f>IF($R180="","",INDEX(입력_전공의명단!$Q$2:$Q$401,$R180))</f>
        <v/>
      </c>
      <c r="L180" s="28">
        <f>IF($R180="","",INDEX(입력_전공의명단!$S$2:$S$401,$R180))</f>
        <v/>
      </c>
      <c r="M180" s="28">
        <f>IF($R180="","",INDEX(입력_전공의명단!$T$2:$T$401,$R180))</f>
        <v/>
      </c>
      <c r="N180" s="26">
        <f>IF($R180="","",INDEX(입력_전공의명단!$AH$2:$AH$401,$R180))</f>
        <v/>
      </c>
      <c r="O180" s="26">
        <f>IF($R180="","",INDEX(입력_전공의명단!$AI$2:$AI$401,$R180))</f>
        <v/>
      </c>
      <c r="P180" s="27">
        <f>IF($R180="","",INDEX(입력_전공의명단!$AO$2:$AO$401,$R180))</f>
        <v/>
      </c>
      <c r="Q180" s="27">
        <f>IF($R180="","",INDEX(입력_전공의명단!$Z$2:$Z$401,$R180))</f>
        <v/>
      </c>
      <c r="R180" s="29">
        <f>IFERROR(MATCH(ROW()-5,입력_전공의명단!$AM$2:$AM$401,0),"")</f>
        <v/>
      </c>
    </row>
    <row r="181">
      <c r="A181" s="26">
        <f>IF($R181="","",ROW()-5)</f>
        <v/>
      </c>
      <c r="B181" s="26">
        <f>IF($R181="","",INDEX(입력_전공의명단!$C$2:$C$401,$R181))</f>
        <v/>
      </c>
      <c r="C181" s="26">
        <f>IF($R181="","",INDEX(입력_전공의명단!$B$2:$B$401,$R181))</f>
        <v/>
      </c>
      <c r="D181" s="26">
        <f>IF($R181="","",INDEX(입력_전공의명단!$J$2:$J$401,$R181))</f>
        <v/>
      </c>
      <c r="E181" s="26">
        <f>IF($R181="","",INDEX(입력_전공의명단!$F$2:$F$401,$R181))</f>
        <v/>
      </c>
      <c r="F181" s="26">
        <f>IF($R181="","",INDEX(입력_전공의명단!$G$2:$G$401,$R181))</f>
        <v/>
      </c>
      <c r="G181" s="26">
        <f>IF($R181="","",INDEX(입력_전공의명단!$AE$2:$AE$401,$R181))</f>
        <v/>
      </c>
      <c r="H181" s="27">
        <f>IF($R181="","",IF(INDEX(입력_전공의명단!$AE$2:$AE$401,$R181)="서울병원","서울 소속","타 병원 소속("&amp;INDEX(입력_전공의명단!$AE$2:$AE$401,$R181)&amp;") → 서울 지급"))</f>
        <v/>
      </c>
      <c r="I181" s="26">
        <f>IF($R181="","",INDEX(입력_전공의명단!$N$2:$N$401,$R181))</f>
        <v/>
      </c>
      <c r="J181" s="26">
        <f>IF($R181="","",INDEX(입력_전공의명단!$P$2:$P$401,$R181))</f>
        <v/>
      </c>
      <c r="K181" s="26">
        <f>IF($R181="","",INDEX(입력_전공의명단!$Q$2:$Q$401,$R181))</f>
        <v/>
      </c>
      <c r="L181" s="28">
        <f>IF($R181="","",INDEX(입력_전공의명단!$S$2:$S$401,$R181))</f>
        <v/>
      </c>
      <c r="M181" s="28">
        <f>IF($R181="","",INDEX(입력_전공의명단!$T$2:$T$401,$R181))</f>
        <v/>
      </c>
      <c r="N181" s="26">
        <f>IF($R181="","",INDEX(입력_전공의명단!$AH$2:$AH$401,$R181))</f>
        <v/>
      </c>
      <c r="O181" s="26">
        <f>IF($R181="","",INDEX(입력_전공의명단!$AI$2:$AI$401,$R181))</f>
        <v/>
      </c>
      <c r="P181" s="27">
        <f>IF($R181="","",INDEX(입력_전공의명단!$AO$2:$AO$401,$R181))</f>
        <v/>
      </c>
      <c r="Q181" s="27">
        <f>IF($R181="","",INDEX(입력_전공의명단!$Z$2:$Z$401,$R181))</f>
        <v/>
      </c>
      <c r="R181" s="29">
        <f>IFERROR(MATCH(ROW()-5,입력_전공의명단!$AM$2:$AM$401,0),"")</f>
        <v/>
      </c>
    </row>
    <row r="182">
      <c r="A182" s="26">
        <f>IF($R182="","",ROW()-5)</f>
        <v/>
      </c>
      <c r="B182" s="26">
        <f>IF($R182="","",INDEX(입력_전공의명단!$C$2:$C$401,$R182))</f>
        <v/>
      </c>
      <c r="C182" s="26">
        <f>IF($R182="","",INDEX(입력_전공의명단!$B$2:$B$401,$R182))</f>
        <v/>
      </c>
      <c r="D182" s="26">
        <f>IF($R182="","",INDEX(입력_전공의명단!$J$2:$J$401,$R182))</f>
        <v/>
      </c>
      <c r="E182" s="26">
        <f>IF($R182="","",INDEX(입력_전공의명단!$F$2:$F$401,$R182))</f>
        <v/>
      </c>
      <c r="F182" s="26">
        <f>IF($R182="","",INDEX(입력_전공의명단!$G$2:$G$401,$R182))</f>
        <v/>
      </c>
      <c r="G182" s="26">
        <f>IF($R182="","",INDEX(입력_전공의명단!$AE$2:$AE$401,$R182))</f>
        <v/>
      </c>
      <c r="H182" s="27">
        <f>IF($R182="","",IF(INDEX(입력_전공의명단!$AE$2:$AE$401,$R182)="서울병원","서울 소속","타 병원 소속("&amp;INDEX(입력_전공의명단!$AE$2:$AE$401,$R182)&amp;") → 서울 지급"))</f>
        <v/>
      </c>
      <c r="I182" s="26">
        <f>IF($R182="","",INDEX(입력_전공의명단!$N$2:$N$401,$R182))</f>
        <v/>
      </c>
      <c r="J182" s="26">
        <f>IF($R182="","",INDEX(입력_전공의명단!$P$2:$P$401,$R182))</f>
        <v/>
      </c>
      <c r="K182" s="26">
        <f>IF($R182="","",INDEX(입력_전공의명단!$Q$2:$Q$401,$R182))</f>
        <v/>
      </c>
      <c r="L182" s="28">
        <f>IF($R182="","",INDEX(입력_전공의명단!$S$2:$S$401,$R182))</f>
        <v/>
      </c>
      <c r="M182" s="28">
        <f>IF($R182="","",INDEX(입력_전공의명단!$T$2:$T$401,$R182))</f>
        <v/>
      </c>
      <c r="N182" s="26">
        <f>IF($R182="","",INDEX(입력_전공의명단!$AH$2:$AH$401,$R182))</f>
        <v/>
      </c>
      <c r="O182" s="26">
        <f>IF($R182="","",INDEX(입력_전공의명단!$AI$2:$AI$401,$R182))</f>
        <v/>
      </c>
      <c r="P182" s="27">
        <f>IF($R182="","",INDEX(입력_전공의명단!$AO$2:$AO$401,$R182))</f>
        <v/>
      </c>
      <c r="Q182" s="27">
        <f>IF($R182="","",INDEX(입력_전공의명단!$Z$2:$Z$401,$R182))</f>
        <v/>
      </c>
      <c r="R182" s="29">
        <f>IFERROR(MATCH(ROW()-5,입력_전공의명단!$AM$2:$AM$401,0),"")</f>
        <v/>
      </c>
    </row>
    <row r="183">
      <c r="A183" s="26">
        <f>IF($R183="","",ROW()-5)</f>
        <v/>
      </c>
      <c r="B183" s="26">
        <f>IF($R183="","",INDEX(입력_전공의명단!$C$2:$C$401,$R183))</f>
        <v/>
      </c>
      <c r="C183" s="26">
        <f>IF($R183="","",INDEX(입력_전공의명단!$B$2:$B$401,$R183))</f>
        <v/>
      </c>
      <c r="D183" s="26">
        <f>IF($R183="","",INDEX(입력_전공의명단!$J$2:$J$401,$R183))</f>
        <v/>
      </c>
      <c r="E183" s="26">
        <f>IF($R183="","",INDEX(입력_전공의명단!$F$2:$F$401,$R183))</f>
        <v/>
      </c>
      <c r="F183" s="26">
        <f>IF($R183="","",INDEX(입력_전공의명단!$G$2:$G$401,$R183))</f>
        <v/>
      </c>
      <c r="G183" s="26">
        <f>IF($R183="","",INDEX(입력_전공의명단!$AE$2:$AE$401,$R183))</f>
        <v/>
      </c>
      <c r="H183" s="27">
        <f>IF($R183="","",IF(INDEX(입력_전공의명단!$AE$2:$AE$401,$R183)="서울병원","서울 소속","타 병원 소속("&amp;INDEX(입력_전공의명단!$AE$2:$AE$401,$R183)&amp;") → 서울 지급"))</f>
        <v/>
      </c>
      <c r="I183" s="26">
        <f>IF($R183="","",INDEX(입력_전공의명단!$N$2:$N$401,$R183))</f>
        <v/>
      </c>
      <c r="J183" s="26">
        <f>IF($R183="","",INDEX(입력_전공의명단!$P$2:$P$401,$R183))</f>
        <v/>
      </c>
      <c r="K183" s="26">
        <f>IF($R183="","",INDEX(입력_전공의명단!$Q$2:$Q$401,$R183))</f>
        <v/>
      </c>
      <c r="L183" s="28">
        <f>IF($R183="","",INDEX(입력_전공의명단!$S$2:$S$401,$R183))</f>
        <v/>
      </c>
      <c r="M183" s="28">
        <f>IF($R183="","",INDEX(입력_전공의명단!$T$2:$T$401,$R183))</f>
        <v/>
      </c>
      <c r="N183" s="26">
        <f>IF($R183="","",INDEX(입력_전공의명단!$AH$2:$AH$401,$R183))</f>
        <v/>
      </c>
      <c r="O183" s="26">
        <f>IF($R183="","",INDEX(입력_전공의명단!$AI$2:$AI$401,$R183))</f>
        <v/>
      </c>
      <c r="P183" s="27">
        <f>IF($R183="","",INDEX(입력_전공의명단!$AO$2:$AO$401,$R183))</f>
        <v/>
      </c>
      <c r="Q183" s="27">
        <f>IF($R183="","",INDEX(입력_전공의명단!$Z$2:$Z$401,$R183))</f>
        <v/>
      </c>
      <c r="R183" s="29">
        <f>IFERROR(MATCH(ROW()-5,입력_전공의명단!$AM$2:$AM$401,0),"")</f>
        <v/>
      </c>
    </row>
    <row r="184">
      <c r="A184" s="26">
        <f>IF($R184="","",ROW()-5)</f>
        <v/>
      </c>
      <c r="B184" s="26">
        <f>IF($R184="","",INDEX(입력_전공의명단!$C$2:$C$401,$R184))</f>
        <v/>
      </c>
      <c r="C184" s="26">
        <f>IF($R184="","",INDEX(입력_전공의명단!$B$2:$B$401,$R184))</f>
        <v/>
      </c>
      <c r="D184" s="26">
        <f>IF($R184="","",INDEX(입력_전공의명단!$J$2:$J$401,$R184))</f>
        <v/>
      </c>
      <c r="E184" s="26">
        <f>IF($R184="","",INDEX(입력_전공의명단!$F$2:$F$401,$R184))</f>
        <v/>
      </c>
      <c r="F184" s="26">
        <f>IF($R184="","",INDEX(입력_전공의명단!$G$2:$G$401,$R184))</f>
        <v/>
      </c>
      <c r="G184" s="26">
        <f>IF($R184="","",INDEX(입력_전공의명단!$AE$2:$AE$401,$R184))</f>
        <v/>
      </c>
      <c r="H184" s="27">
        <f>IF($R184="","",IF(INDEX(입력_전공의명단!$AE$2:$AE$401,$R184)="서울병원","서울 소속","타 병원 소속("&amp;INDEX(입력_전공의명단!$AE$2:$AE$401,$R184)&amp;") → 서울 지급"))</f>
        <v/>
      </c>
      <c r="I184" s="26">
        <f>IF($R184="","",INDEX(입력_전공의명단!$N$2:$N$401,$R184))</f>
        <v/>
      </c>
      <c r="J184" s="26">
        <f>IF($R184="","",INDEX(입력_전공의명단!$P$2:$P$401,$R184))</f>
        <v/>
      </c>
      <c r="K184" s="26">
        <f>IF($R184="","",INDEX(입력_전공의명단!$Q$2:$Q$401,$R184))</f>
        <v/>
      </c>
      <c r="L184" s="28">
        <f>IF($R184="","",INDEX(입력_전공의명단!$S$2:$S$401,$R184))</f>
        <v/>
      </c>
      <c r="M184" s="28">
        <f>IF($R184="","",INDEX(입력_전공의명단!$T$2:$T$401,$R184))</f>
        <v/>
      </c>
      <c r="N184" s="26">
        <f>IF($R184="","",INDEX(입력_전공의명단!$AH$2:$AH$401,$R184))</f>
        <v/>
      </c>
      <c r="O184" s="26">
        <f>IF($R184="","",INDEX(입력_전공의명단!$AI$2:$AI$401,$R184))</f>
        <v/>
      </c>
      <c r="P184" s="27">
        <f>IF($R184="","",INDEX(입력_전공의명단!$AO$2:$AO$401,$R184))</f>
        <v/>
      </c>
      <c r="Q184" s="27">
        <f>IF($R184="","",INDEX(입력_전공의명단!$Z$2:$Z$401,$R184))</f>
        <v/>
      </c>
      <c r="R184" s="29">
        <f>IFERROR(MATCH(ROW()-5,입력_전공의명단!$AM$2:$AM$401,0),"")</f>
        <v/>
      </c>
    </row>
    <row r="185">
      <c r="A185" s="26">
        <f>IF($R185="","",ROW()-5)</f>
        <v/>
      </c>
      <c r="B185" s="26">
        <f>IF($R185="","",INDEX(입력_전공의명단!$C$2:$C$401,$R185))</f>
        <v/>
      </c>
      <c r="C185" s="26">
        <f>IF($R185="","",INDEX(입력_전공의명단!$B$2:$B$401,$R185))</f>
        <v/>
      </c>
      <c r="D185" s="26">
        <f>IF($R185="","",INDEX(입력_전공의명단!$J$2:$J$401,$R185))</f>
        <v/>
      </c>
      <c r="E185" s="26">
        <f>IF($R185="","",INDEX(입력_전공의명단!$F$2:$F$401,$R185))</f>
        <v/>
      </c>
      <c r="F185" s="26">
        <f>IF($R185="","",INDEX(입력_전공의명단!$G$2:$G$401,$R185))</f>
        <v/>
      </c>
      <c r="G185" s="26">
        <f>IF($R185="","",INDEX(입력_전공의명단!$AE$2:$AE$401,$R185))</f>
        <v/>
      </c>
      <c r="H185" s="27">
        <f>IF($R185="","",IF(INDEX(입력_전공의명단!$AE$2:$AE$401,$R185)="서울병원","서울 소속","타 병원 소속("&amp;INDEX(입력_전공의명단!$AE$2:$AE$401,$R185)&amp;") → 서울 지급"))</f>
        <v/>
      </c>
      <c r="I185" s="26">
        <f>IF($R185="","",INDEX(입력_전공의명단!$N$2:$N$401,$R185))</f>
        <v/>
      </c>
      <c r="J185" s="26">
        <f>IF($R185="","",INDEX(입력_전공의명단!$P$2:$P$401,$R185))</f>
        <v/>
      </c>
      <c r="K185" s="26">
        <f>IF($R185="","",INDEX(입력_전공의명단!$Q$2:$Q$401,$R185))</f>
        <v/>
      </c>
      <c r="L185" s="28">
        <f>IF($R185="","",INDEX(입력_전공의명단!$S$2:$S$401,$R185))</f>
        <v/>
      </c>
      <c r="M185" s="28">
        <f>IF($R185="","",INDEX(입력_전공의명단!$T$2:$T$401,$R185))</f>
        <v/>
      </c>
      <c r="N185" s="26">
        <f>IF($R185="","",INDEX(입력_전공의명단!$AH$2:$AH$401,$R185))</f>
        <v/>
      </c>
      <c r="O185" s="26">
        <f>IF($R185="","",INDEX(입력_전공의명단!$AI$2:$AI$401,$R185))</f>
        <v/>
      </c>
      <c r="P185" s="27">
        <f>IF($R185="","",INDEX(입력_전공의명단!$AO$2:$AO$401,$R185))</f>
        <v/>
      </c>
      <c r="Q185" s="27">
        <f>IF($R185="","",INDEX(입력_전공의명단!$Z$2:$Z$401,$R185))</f>
        <v/>
      </c>
      <c r="R185" s="29">
        <f>IFERROR(MATCH(ROW()-5,입력_전공의명단!$AM$2:$AM$401,0),"")</f>
        <v/>
      </c>
    </row>
    <row r="186">
      <c r="A186" s="26">
        <f>IF($R186="","",ROW()-5)</f>
        <v/>
      </c>
      <c r="B186" s="26">
        <f>IF($R186="","",INDEX(입력_전공의명단!$C$2:$C$401,$R186))</f>
        <v/>
      </c>
      <c r="C186" s="26">
        <f>IF($R186="","",INDEX(입력_전공의명단!$B$2:$B$401,$R186))</f>
        <v/>
      </c>
      <c r="D186" s="26">
        <f>IF($R186="","",INDEX(입력_전공의명단!$J$2:$J$401,$R186))</f>
        <v/>
      </c>
      <c r="E186" s="26">
        <f>IF($R186="","",INDEX(입력_전공의명단!$F$2:$F$401,$R186))</f>
        <v/>
      </c>
      <c r="F186" s="26">
        <f>IF($R186="","",INDEX(입력_전공의명단!$G$2:$G$401,$R186))</f>
        <v/>
      </c>
      <c r="G186" s="26">
        <f>IF($R186="","",INDEX(입력_전공의명단!$AE$2:$AE$401,$R186))</f>
        <v/>
      </c>
      <c r="H186" s="27">
        <f>IF($R186="","",IF(INDEX(입력_전공의명단!$AE$2:$AE$401,$R186)="서울병원","서울 소속","타 병원 소속("&amp;INDEX(입력_전공의명단!$AE$2:$AE$401,$R186)&amp;") → 서울 지급"))</f>
        <v/>
      </c>
      <c r="I186" s="26">
        <f>IF($R186="","",INDEX(입력_전공의명단!$N$2:$N$401,$R186))</f>
        <v/>
      </c>
      <c r="J186" s="26">
        <f>IF($R186="","",INDEX(입력_전공의명단!$P$2:$P$401,$R186))</f>
        <v/>
      </c>
      <c r="K186" s="26">
        <f>IF($R186="","",INDEX(입력_전공의명단!$Q$2:$Q$401,$R186))</f>
        <v/>
      </c>
      <c r="L186" s="28">
        <f>IF($R186="","",INDEX(입력_전공의명단!$S$2:$S$401,$R186))</f>
        <v/>
      </c>
      <c r="M186" s="28">
        <f>IF($R186="","",INDEX(입력_전공의명단!$T$2:$T$401,$R186))</f>
        <v/>
      </c>
      <c r="N186" s="26">
        <f>IF($R186="","",INDEX(입력_전공의명단!$AH$2:$AH$401,$R186))</f>
        <v/>
      </c>
      <c r="O186" s="26">
        <f>IF($R186="","",INDEX(입력_전공의명단!$AI$2:$AI$401,$R186))</f>
        <v/>
      </c>
      <c r="P186" s="27">
        <f>IF($R186="","",INDEX(입력_전공의명단!$AO$2:$AO$401,$R186))</f>
        <v/>
      </c>
      <c r="Q186" s="27">
        <f>IF($R186="","",INDEX(입력_전공의명단!$Z$2:$Z$401,$R186))</f>
        <v/>
      </c>
      <c r="R186" s="29">
        <f>IFERROR(MATCH(ROW()-5,입력_전공의명단!$AM$2:$AM$401,0),"")</f>
        <v/>
      </c>
    </row>
    <row r="187">
      <c r="A187" s="26">
        <f>IF($R187="","",ROW()-5)</f>
        <v/>
      </c>
      <c r="B187" s="26">
        <f>IF($R187="","",INDEX(입력_전공의명단!$C$2:$C$401,$R187))</f>
        <v/>
      </c>
      <c r="C187" s="26">
        <f>IF($R187="","",INDEX(입력_전공의명단!$B$2:$B$401,$R187))</f>
        <v/>
      </c>
      <c r="D187" s="26">
        <f>IF($R187="","",INDEX(입력_전공의명단!$J$2:$J$401,$R187))</f>
        <v/>
      </c>
      <c r="E187" s="26">
        <f>IF($R187="","",INDEX(입력_전공의명단!$F$2:$F$401,$R187))</f>
        <v/>
      </c>
      <c r="F187" s="26">
        <f>IF($R187="","",INDEX(입력_전공의명단!$G$2:$G$401,$R187))</f>
        <v/>
      </c>
      <c r="G187" s="26">
        <f>IF($R187="","",INDEX(입력_전공의명단!$AE$2:$AE$401,$R187))</f>
        <v/>
      </c>
      <c r="H187" s="27">
        <f>IF($R187="","",IF(INDEX(입력_전공의명단!$AE$2:$AE$401,$R187)="서울병원","서울 소속","타 병원 소속("&amp;INDEX(입력_전공의명단!$AE$2:$AE$401,$R187)&amp;") → 서울 지급"))</f>
        <v/>
      </c>
      <c r="I187" s="26">
        <f>IF($R187="","",INDEX(입력_전공의명단!$N$2:$N$401,$R187))</f>
        <v/>
      </c>
      <c r="J187" s="26">
        <f>IF($R187="","",INDEX(입력_전공의명단!$P$2:$P$401,$R187))</f>
        <v/>
      </c>
      <c r="K187" s="26">
        <f>IF($R187="","",INDEX(입력_전공의명단!$Q$2:$Q$401,$R187))</f>
        <v/>
      </c>
      <c r="L187" s="28">
        <f>IF($R187="","",INDEX(입력_전공의명단!$S$2:$S$401,$R187))</f>
        <v/>
      </c>
      <c r="M187" s="28">
        <f>IF($R187="","",INDEX(입력_전공의명단!$T$2:$T$401,$R187))</f>
        <v/>
      </c>
      <c r="N187" s="26">
        <f>IF($R187="","",INDEX(입력_전공의명단!$AH$2:$AH$401,$R187))</f>
        <v/>
      </c>
      <c r="O187" s="26">
        <f>IF($R187="","",INDEX(입력_전공의명단!$AI$2:$AI$401,$R187))</f>
        <v/>
      </c>
      <c r="P187" s="27">
        <f>IF($R187="","",INDEX(입력_전공의명단!$AO$2:$AO$401,$R187))</f>
        <v/>
      </c>
      <c r="Q187" s="27">
        <f>IF($R187="","",INDEX(입력_전공의명단!$Z$2:$Z$401,$R187))</f>
        <v/>
      </c>
      <c r="R187" s="29">
        <f>IFERROR(MATCH(ROW()-5,입력_전공의명단!$AM$2:$AM$401,0),"")</f>
        <v/>
      </c>
    </row>
    <row r="188">
      <c r="A188" s="26">
        <f>IF($R188="","",ROW()-5)</f>
        <v/>
      </c>
      <c r="B188" s="26">
        <f>IF($R188="","",INDEX(입력_전공의명단!$C$2:$C$401,$R188))</f>
        <v/>
      </c>
      <c r="C188" s="26">
        <f>IF($R188="","",INDEX(입력_전공의명단!$B$2:$B$401,$R188))</f>
        <v/>
      </c>
      <c r="D188" s="26">
        <f>IF($R188="","",INDEX(입력_전공의명단!$J$2:$J$401,$R188))</f>
        <v/>
      </c>
      <c r="E188" s="26">
        <f>IF($R188="","",INDEX(입력_전공의명단!$F$2:$F$401,$R188))</f>
        <v/>
      </c>
      <c r="F188" s="26">
        <f>IF($R188="","",INDEX(입력_전공의명단!$G$2:$G$401,$R188))</f>
        <v/>
      </c>
      <c r="G188" s="26">
        <f>IF($R188="","",INDEX(입력_전공의명단!$AE$2:$AE$401,$R188))</f>
        <v/>
      </c>
      <c r="H188" s="27">
        <f>IF($R188="","",IF(INDEX(입력_전공의명단!$AE$2:$AE$401,$R188)="서울병원","서울 소속","타 병원 소속("&amp;INDEX(입력_전공의명단!$AE$2:$AE$401,$R188)&amp;") → 서울 지급"))</f>
        <v/>
      </c>
      <c r="I188" s="26">
        <f>IF($R188="","",INDEX(입력_전공의명단!$N$2:$N$401,$R188))</f>
        <v/>
      </c>
      <c r="J188" s="26">
        <f>IF($R188="","",INDEX(입력_전공의명단!$P$2:$P$401,$R188))</f>
        <v/>
      </c>
      <c r="K188" s="26">
        <f>IF($R188="","",INDEX(입력_전공의명단!$Q$2:$Q$401,$R188))</f>
        <v/>
      </c>
      <c r="L188" s="28">
        <f>IF($R188="","",INDEX(입력_전공의명단!$S$2:$S$401,$R188))</f>
        <v/>
      </c>
      <c r="M188" s="28">
        <f>IF($R188="","",INDEX(입력_전공의명단!$T$2:$T$401,$R188))</f>
        <v/>
      </c>
      <c r="N188" s="26">
        <f>IF($R188="","",INDEX(입력_전공의명단!$AH$2:$AH$401,$R188))</f>
        <v/>
      </c>
      <c r="O188" s="26">
        <f>IF($R188="","",INDEX(입력_전공의명단!$AI$2:$AI$401,$R188))</f>
        <v/>
      </c>
      <c r="P188" s="27">
        <f>IF($R188="","",INDEX(입력_전공의명단!$AO$2:$AO$401,$R188))</f>
        <v/>
      </c>
      <c r="Q188" s="27">
        <f>IF($R188="","",INDEX(입력_전공의명단!$Z$2:$Z$401,$R188))</f>
        <v/>
      </c>
      <c r="R188" s="29">
        <f>IFERROR(MATCH(ROW()-5,입력_전공의명단!$AM$2:$AM$401,0),"")</f>
        <v/>
      </c>
    </row>
    <row r="189">
      <c r="A189" s="26">
        <f>IF($R189="","",ROW()-5)</f>
        <v/>
      </c>
      <c r="B189" s="26">
        <f>IF($R189="","",INDEX(입력_전공의명단!$C$2:$C$401,$R189))</f>
        <v/>
      </c>
      <c r="C189" s="26">
        <f>IF($R189="","",INDEX(입력_전공의명단!$B$2:$B$401,$R189))</f>
        <v/>
      </c>
      <c r="D189" s="26">
        <f>IF($R189="","",INDEX(입력_전공의명단!$J$2:$J$401,$R189))</f>
        <v/>
      </c>
      <c r="E189" s="26">
        <f>IF($R189="","",INDEX(입력_전공의명단!$F$2:$F$401,$R189))</f>
        <v/>
      </c>
      <c r="F189" s="26">
        <f>IF($R189="","",INDEX(입력_전공의명단!$G$2:$G$401,$R189))</f>
        <v/>
      </c>
      <c r="G189" s="26">
        <f>IF($R189="","",INDEX(입력_전공의명단!$AE$2:$AE$401,$R189))</f>
        <v/>
      </c>
      <c r="H189" s="27">
        <f>IF($R189="","",IF(INDEX(입력_전공의명단!$AE$2:$AE$401,$R189)="서울병원","서울 소속","타 병원 소속("&amp;INDEX(입력_전공의명단!$AE$2:$AE$401,$R189)&amp;") → 서울 지급"))</f>
        <v/>
      </c>
      <c r="I189" s="26">
        <f>IF($R189="","",INDEX(입력_전공의명단!$N$2:$N$401,$R189))</f>
        <v/>
      </c>
      <c r="J189" s="26">
        <f>IF($R189="","",INDEX(입력_전공의명단!$P$2:$P$401,$R189))</f>
        <v/>
      </c>
      <c r="K189" s="26">
        <f>IF($R189="","",INDEX(입력_전공의명단!$Q$2:$Q$401,$R189))</f>
        <v/>
      </c>
      <c r="L189" s="28">
        <f>IF($R189="","",INDEX(입력_전공의명단!$S$2:$S$401,$R189))</f>
        <v/>
      </c>
      <c r="M189" s="28">
        <f>IF($R189="","",INDEX(입력_전공의명단!$T$2:$T$401,$R189))</f>
        <v/>
      </c>
      <c r="N189" s="26">
        <f>IF($R189="","",INDEX(입력_전공의명단!$AH$2:$AH$401,$R189))</f>
        <v/>
      </c>
      <c r="O189" s="26">
        <f>IF($R189="","",INDEX(입력_전공의명단!$AI$2:$AI$401,$R189))</f>
        <v/>
      </c>
      <c r="P189" s="27">
        <f>IF($R189="","",INDEX(입력_전공의명단!$AO$2:$AO$401,$R189))</f>
        <v/>
      </c>
      <c r="Q189" s="27">
        <f>IF($R189="","",INDEX(입력_전공의명단!$Z$2:$Z$401,$R189))</f>
        <v/>
      </c>
      <c r="R189" s="29">
        <f>IFERROR(MATCH(ROW()-5,입력_전공의명단!$AM$2:$AM$401,0),"")</f>
        <v/>
      </c>
    </row>
    <row r="190">
      <c r="A190" s="26">
        <f>IF($R190="","",ROW()-5)</f>
        <v/>
      </c>
      <c r="B190" s="26">
        <f>IF($R190="","",INDEX(입력_전공의명단!$C$2:$C$401,$R190))</f>
        <v/>
      </c>
      <c r="C190" s="26">
        <f>IF($R190="","",INDEX(입력_전공의명단!$B$2:$B$401,$R190))</f>
        <v/>
      </c>
      <c r="D190" s="26">
        <f>IF($R190="","",INDEX(입력_전공의명단!$J$2:$J$401,$R190))</f>
        <v/>
      </c>
      <c r="E190" s="26">
        <f>IF($R190="","",INDEX(입력_전공의명단!$F$2:$F$401,$R190))</f>
        <v/>
      </c>
      <c r="F190" s="26">
        <f>IF($R190="","",INDEX(입력_전공의명단!$G$2:$G$401,$R190))</f>
        <v/>
      </c>
      <c r="G190" s="26">
        <f>IF($R190="","",INDEX(입력_전공의명단!$AE$2:$AE$401,$R190))</f>
        <v/>
      </c>
      <c r="H190" s="27">
        <f>IF($R190="","",IF(INDEX(입력_전공의명단!$AE$2:$AE$401,$R190)="서울병원","서울 소속","타 병원 소속("&amp;INDEX(입력_전공의명단!$AE$2:$AE$401,$R190)&amp;") → 서울 지급"))</f>
        <v/>
      </c>
      <c r="I190" s="26">
        <f>IF($R190="","",INDEX(입력_전공의명단!$N$2:$N$401,$R190))</f>
        <v/>
      </c>
      <c r="J190" s="26">
        <f>IF($R190="","",INDEX(입력_전공의명단!$P$2:$P$401,$R190))</f>
        <v/>
      </c>
      <c r="K190" s="26">
        <f>IF($R190="","",INDEX(입력_전공의명단!$Q$2:$Q$401,$R190))</f>
        <v/>
      </c>
      <c r="L190" s="28">
        <f>IF($R190="","",INDEX(입력_전공의명단!$S$2:$S$401,$R190))</f>
        <v/>
      </c>
      <c r="M190" s="28">
        <f>IF($R190="","",INDEX(입력_전공의명단!$T$2:$T$401,$R190))</f>
        <v/>
      </c>
      <c r="N190" s="26">
        <f>IF($R190="","",INDEX(입력_전공의명단!$AH$2:$AH$401,$R190))</f>
        <v/>
      </c>
      <c r="O190" s="26">
        <f>IF($R190="","",INDEX(입력_전공의명단!$AI$2:$AI$401,$R190))</f>
        <v/>
      </c>
      <c r="P190" s="27">
        <f>IF($R190="","",INDEX(입력_전공의명단!$AO$2:$AO$401,$R190))</f>
        <v/>
      </c>
      <c r="Q190" s="27">
        <f>IF($R190="","",INDEX(입력_전공의명단!$Z$2:$Z$401,$R190))</f>
        <v/>
      </c>
      <c r="R190" s="29">
        <f>IFERROR(MATCH(ROW()-5,입력_전공의명단!$AM$2:$AM$401,0),"")</f>
        <v/>
      </c>
    </row>
    <row r="191">
      <c r="A191" s="26">
        <f>IF($R191="","",ROW()-5)</f>
        <v/>
      </c>
      <c r="B191" s="26">
        <f>IF($R191="","",INDEX(입력_전공의명단!$C$2:$C$401,$R191))</f>
        <v/>
      </c>
      <c r="C191" s="26">
        <f>IF($R191="","",INDEX(입력_전공의명단!$B$2:$B$401,$R191))</f>
        <v/>
      </c>
      <c r="D191" s="26">
        <f>IF($R191="","",INDEX(입력_전공의명단!$J$2:$J$401,$R191))</f>
        <v/>
      </c>
      <c r="E191" s="26">
        <f>IF($R191="","",INDEX(입력_전공의명단!$F$2:$F$401,$R191))</f>
        <v/>
      </c>
      <c r="F191" s="26">
        <f>IF($R191="","",INDEX(입력_전공의명단!$G$2:$G$401,$R191))</f>
        <v/>
      </c>
      <c r="G191" s="26">
        <f>IF($R191="","",INDEX(입력_전공의명단!$AE$2:$AE$401,$R191))</f>
        <v/>
      </c>
      <c r="H191" s="27">
        <f>IF($R191="","",IF(INDEX(입력_전공의명단!$AE$2:$AE$401,$R191)="서울병원","서울 소속","타 병원 소속("&amp;INDEX(입력_전공의명단!$AE$2:$AE$401,$R191)&amp;") → 서울 지급"))</f>
        <v/>
      </c>
      <c r="I191" s="26">
        <f>IF($R191="","",INDEX(입력_전공의명단!$N$2:$N$401,$R191))</f>
        <v/>
      </c>
      <c r="J191" s="26">
        <f>IF($R191="","",INDEX(입력_전공의명단!$P$2:$P$401,$R191))</f>
        <v/>
      </c>
      <c r="K191" s="26">
        <f>IF($R191="","",INDEX(입력_전공의명단!$Q$2:$Q$401,$R191))</f>
        <v/>
      </c>
      <c r="L191" s="28">
        <f>IF($R191="","",INDEX(입력_전공의명단!$S$2:$S$401,$R191))</f>
        <v/>
      </c>
      <c r="M191" s="28">
        <f>IF($R191="","",INDEX(입력_전공의명단!$T$2:$T$401,$R191))</f>
        <v/>
      </c>
      <c r="N191" s="26">
        <f>IF($R191="","",INDEX(입력_전공의명단!$AH$2:$AH$401,$R191))</f>
        <v/>
      </c>
      <c r="O191" s="26">
        <f>IF($R191="","",INDEX(입력_전공의명단!$AI$2:$AI$401,$R191))</f>
        <v/>
      </c>
      <c r="P191" s="27">
        <f>IF($R191="","",INDEX(입력_전공의명단!$AO$2:$AO$401,$R191))</f>
        <v/>
      </c>
      <c r="Q191" s="27">
        <f>IF($R191="","",INDEX(입력_전공의명단!$Z$2:$Z$401,$R191))</f>
        <v/>
      </c>
      <c r="R191" s="29">
        <f>IFERROR(MATCH(ROW()-5,입력_전공의명단!$AM$2:$AM$401,0),"")</f>
        <v/>
      </c>
    </row>
    <row r="192">
      <c r="A192" s="26">
        <f>IF($R192="","",ROW()-5)</f>
        <v/>
      </c>
      <c r="B192" s="26">
        <f>IF($R192="","",INDEX(입력_전공의명단!$C$2:$C$401,$R192))</f>
        <v/>
      </c>
      <c r="C192" s="26">
        <f>IF($R192="","",INDEX(입력_전공의명단!$B$2:$B$401,$R192))</f>
        <v/>
      </c>
      <c r="D192" s="26">
        <f>IF($R192="","",INDEX(입력_전공의명단!$J$2:$J$401,$R192))</f>
        <v/>
      </c>
      <c r="E192" s="26">
        <f>IF($R192="","",INDEX(입력_전공의명단!$F$2:$F$401,$R192))</f>
        <v/>
      </c>
      <c r="F192" s="26">
        <f>IF($R192="","",INDEX(입력_전공의명단!$G$2:$G$401,$R192))</f>
        <v/>
      </c>
      <c r="G192" s="26">
        <f>IF($R192="","",INDEX(입력_전공의명단!$AE$2:$AE$401,$R192))</f>
        <v/>
      </c>
      <c r="H192" s="27">
        <f>IF($R192="","",IF(INDEX(입력_전공의명단!$AE$2:$AE$401,$R192)="서울병원","서울 소속","타 병원 소속("&amp;INDEX(입력_전공의명단!$AE$2:$AE$401,$R192)&amp;") → 서울 지급"))</f>
        <v/>
      </c>
      <c r="I192" s="26">
        <f>IF($R192="","",INDEX(입력_전공의명단!$N$2:$N$401,$R192))</f>
        <v/>
      </c>
      <c r="J192" s="26">
        <f>IF($R192="","",INDEX(입력_전공의명단!$P$2:$P$401,$R192))</f>
        <v/>
      </c>
      <c r="K192" s="26">
        <f>IF($R192="","",INDEX(입력_전공의명단!$Q$2:$Q$401,$R192))</f>
        <v/>
      </c>
      <c r="L192" s="28">
        <f>IF($R192="","",INDEX(입력_전공의명단!$S$2:$S$401,$R192))</f>
        <v/>
      </c>
      <c r="M192" s="28">
        <f>IF($R192="","",INDEX(입력_전공의명단!$T$2:$T$401,$R192))</f>
        <v/>
      </c>
      <c r="N192" s="26">
        <f>IF($R192="","",INDEX(입력_전공의명단!$AH$2:$AH$401,$R192))</f>
        <v/>
      </c>
      <c r="O192" s="26">
        <f>IF($R192="","",INDEX(입력_전공의명단!$AI$2:$AI$401,$R192))</f>
        <v/>
      </c>
      <c r="P192" s="27">
        <f>IF($R192="","",INDEX(입력_전공의명단!$AO$2:$AO$401,$R192))</f>
        <v/>
      </c>
      <c r="Q192" s="27">
        <f>IF($R192="","",INDEX(입력_전공의명단!$Z$2:$Z$401,$R192))</f>
        <v/>
      </c>
      <c r="R192" s="29">
        <f>IFERROR(MATCH(ROW()-5,입력_전공의명단!$AM$2:$AM$401,0),"")</f>
        <v/>
      </c>
    </row>
    <row r="193">
      <c r="A193" s="26">
        <f>IF($R193="","",ROW()-5)</f>
        <v/>
      </c>
      <c r="B193" s="26">
        <f>IF($R193="","",INDEX(입력_전공의명단!$C$2:$C$401,$R193))</f>
        <v/>
      </c>
      <c r="C193" s="26">
        <f>IF($R193="","",INDEX(입력_전공의명단!$B$2:$B$401,$R193))</f>
        <v/>
      </c>
      <c r="D193" s="26">
        <f>IF($R193="","",INDEX(입력_전공의명단!$J$2:$J$401,$R193))</f>
        <v/>
      </c>
      <c r="E193" s="26">
        <f>IF($R193="","",INDEX(입력_전공의명단!$F$2:$F$401,$R193))</f>
        <v/>
      </c>
      <c r="F193" s="26">
        <f>IF($R193="","",INDEX(입력_전공의명단!$G$2:$G$401,$R193))</f>
        <v/>
      </c>
      <c r="G193" s="26">
        <f>IF($R193="","",INDEX(입력_전공의명단!$AE$2:$AE$401,$R193))</f>
        <v/>
      </c>
      <c r="H193" s="27">
        <f>IF($R193="","",IF(INDEX(입력_전공의명단!$AE$2:$AE$401,$R193)="서울병원","서울 소속","타 병원 소속("&amp;INDEX(입력_전공의명단!$AE$2:$AE$401,$R193)&amp;") → 서울 지급"))</f>
        <v/>
      </c>
      <c r="I193" s="26">
        <f>IF($R193="","",INDEX(입력_전공의명단!$N$2:$N$401,$R193))</f>
        <v/>
      </c>
      <c r="J193" s="26">
        <f>IF($R193="","",INDEX(입력_전공의명단!$P$2:$P$401,$R193))</f>
        <v/>
      </c>
      <c r="K193" s="26">
        <f>IF($R193="","",INDEX(입력_전공의명단!$Q$2:$Q$401,$R193))</f>
        <v/>
      </c>
      <c r="L193" s="28">
        <f>IF($R193="","",INDEX(입력_전공의명단!$S$2:$S$401,$R193))</f>
        <v/>
      </c>
      <c r="M193" s="28">
        <f>IF($R193="","",INDEX(입력_전공의명단!$T$2:$T$401,$R193))</f>
        <v/>
      </c>
      <c r="N193" s="26">
        <f>IF($R193="","",INDEX(입력_전공의명단!$AH$2:$AH$401,$R193))</f>
        <v/>
      </c>
      <c r="O193" s="26">
        <f>IF($R193="","",INDEX(입력_전공의명단!$AI$2:$AI$401,$R193))</f>
        <v/>
      </c>
      <c r="P193" s="27">
        <f>IF($R193="","",INDEX(입력_전공의명단!$AO$2:$AO$401,$R193))</f>
        <v/>
      </c>
      <c r="Q193" s="27">
        <f>IF($R193="","",INDEX(입력_전공의명단!$Z$2:$Z$401,$R193))</f>
        <v/>
      </c>
      <c r="R193" s="29">
        <f>IFERROR(MATCH(ROW()-5,입력_전공의명단!$AM$2:$AM$401,0),"")</f>
        <v/>
      </c>
    </row>
    <row r="194">
      <c r="A194" s="26">
        <f>IF($R194="","",ROW()-5)</f>
        <v/>
      </c>
      <c r="B194" s="26">
        <f>IF($R194="","",INDEX(입력_전공의명단!$C$2:$C$401,$R194))</f>
        <v/>
      </c>
      <c r="C194" s="26">
        <f>IF($R194="","",INDEX(입력_전공의명단!$B$2:$B$401,$R194))</f>
        <v/>
      </c>
      <c r="D194" s="26">
        <f>IF($R194="","",INDEX(입력_전공의명단!$J$2:$J$401,$R194))</f>
        <v/>
      </c>
      <c r="E194" s="26">
        <f>IF($R194="","",INDEX(입력_전공의명단!$F$2:$F$401,$R194))</f>
        <v/>
      </c>
      <c r="F194" s="26">
        <f>IF($R194="","",INDEX(입력_전공의명단!$G$2:$G$401,$R194))</f>
        <v/>
      </c>
      <c r="G194" s="26">
        <f>IF($R194="","",INDEX(입력_전공의명단!$AE$2:$AE$401,$R194))</f>
        <v/>
      </c>
      <c r="H194" s="27">
        <f>IF($R194="","",IF(INDEX(입력_전공의명단!$AE$2:$AE$401,$R194)="서울병원","서울 소속","타 병원 소속("&amp;INDEX(입력_전공의명단!$AE$2:$AE$401,$R194)&amp;") → 서울 지급"))</f>
        <v/>
      </c>
      <c r="I194" s="26">
        <f>IF($R194="","",INDEX(입력_전공의명단!$N$2:$N$401,$R194))</f>
        <v/>
      </c>
      <c r="J194" s="26">
        <f>IF($R194="","",INDEX(입력_전공의명단!$P$2:$P$401,$R194))</f>
        <v/>
      </c>
      <c r="K194" s="26">
        <f>IF($R194="","",INDEX(입력_전공의명단!$Q$2:$Q$401,$R194))</f>
        <v/>
      </c>
      <c r="L194" s="28">
        <f>IF($R194="","",INDEX(입력_전공의명단!$S$2:$S$401,$R194))</f>
        <v/>
      </c>
      <c r="M194" s="28">
        <f>IF($R194="","",INDEX(입력_전공의명단!$T$2:$T$401,$R194))</f>
        <v/>
      </c>
      <c r="N194" s="26">
        <f>IF($R194="","",INDEX(입력_전공의명단!$AH$2:$AH$401,$R194))</f>
        <v/>
      </c>
      <c r="O194" s="26">
        <f>IF($R194="","",INDEX(입력_전공의명단!$AI$2:$AI$401,$R194))</f>
        <v/>
      </c>
      <c r="P194" s="27">
        <f>IF($R194="","",INDEX(입력_전공의명단!$AO$2:$AO$401,$R194))</f>
        <v/>
      </c>
      <c r="Q194" s="27">
        <f>IF($R194="","",INDEX(입력_전공의명단!$Z$2:$Z$401,$R194))</f>
        <v/>
      </c>
      <c r="R194" s="29">
        <f>IFERROR(MATCH(ROW()-5,입력_전공의명단!$AM$2:$AM$401,0),"")</f>
        <v/>
      </c>
    </row>
    <row r="195">
      <c r="A195" s="26">
        <f>IF($R195="","",ROW()-5)</f>
        <v/>
      </c>
      <c r="B195" s="26">
        <f>IF($R195="","",INDEX(입력_전공의명단!$C$2:$C$401,$R195))</f>
        <v/>
      </c>
      <c r="C195" s="26">
        <f>IF($R195="","",INDEX(입력_전공의명단!$B$2:$B$401,$R195))</f>
        <v/>
      </c>
      <c r="D195" s="26">
        <f>IF($R195="","",INDEX(입력_전공의명단!$J$2:$J$401,$R195))</f>
        <v/>
      </c>
      <c r="E195" s="26">
        <f>IF($R195="","",INDEX(입력_전공의명단!$F$2:$F$401,$R195))</f>
        <v/>
      </c>
      <c r="F195" s="26">
        <f>IF($R195="","",INDEX(입력_전공의명단!$G$2:$G$401,$R195))</f>
        <v/>
      </c>
      <c r="G195" s="26">
        <f>IF($R195="","",INDEX(입력_전공의명단!$AE$2:$AE$401,$R195))</f>
        <v/>
      </c>
      <c r="H195" s="27">
        <f>IF($R195="","",IF(INDEX(입력_전공의명단!$AE$2:$AE$401,$R195)="서울병원","서울 소속","타 병원 소속("&amp;INDEX(입력_전공의명단!$AE$2:$AE$401,$R195)&amp;") → 서울 지급"))</f>
        <v/>
      </c>
      <c r="I195" s="26">
        <f>IF($R195="","",INDEX(입력_전공의명단!$N$2:$N$401,$R195))</f>
        <v/>
      </c>
      <c r="J195" s="26">
        <f>IF($R195="","",INDEX(입력_전공의명단!$P$2:$P$401,$R195))</f>
        <v/>
      </c>
      <c r="K195" s="26">
        <f>IF($R195="","",INDEX(입력_전공의명단!$Q$2:$Q$401,$R195))</f>
        <v/>
      </c>
      <c r="L195" s="28">
        <f>IF($R195="","",INDEX(입력_전공의명단!$S$2:$S$401,$R195))</f>
        <v/>
      </c>
      <c r="M195" s="28">
        <f>IF($R195="","",INDEX(입력_전공의명단!$T$2:$T$401,$R195))</f>
        <v/>
      </c>
      <c r="N195" s="26">
        <f>IF($R195="","",INDEX(입력_전공의명단!$AH$2:$AH$401,$R195))</f>
        <v/>
      </c>
      <c r="O195" s="26">
        <f>IF($R195="","",INDEX(입력_전공의명단!$AI$2:$AI$401,$R195))</f>
        <v/>
      </c>
      <c r="P195" s="27">
        <f>IF($R195="","",INDEX(입력_전공의명단!$AO$2:$AO$401,$R195))</f>
        <v/>
      </c>
      <c r="Q195" s="27">
        <f>IF($R195="","",INDEX(입력_전공의명단!$Z$2:$Z$401,$R195))</f>
        <v/>
      </c>
      <c r="R195" s="29">
        <f>IFERROR(MATCH(ROW()-5,입력_전공의명단!$AM$2:$AM$401,0),"")</f>
        <v/>
      </c>
    </row>
    <row r="196">
      <c r="A196" s="26">
        <f>IF($R196="","",ROW()-5)</f>
        <v/>
      </c>
      <c r="B196" s="26">
        <f>IF($R196="","",INDEX(입력_전공의명단!$C$2:$C$401,$R196))</f>
        <v/>
      </c>
      <c r="C196" s="26">
        <f>IF($R196="","",INDEX(입력_전공의명단!$B$2:$B$401,$R196))</f>
        <v/>
      </c>
      <c r="D196" s="26">
        <f>IF($R196="","",INDEX(입력_전공의명단!$J$2:$J$401,$R196))</f>
        <v/>
      </c>
      <c r="E196" s="26">
        <f>IF($R196="","",INDEX(입력_전공의명단!$F$2:$F$401,$R196))</f>
        <v/>
      </c>
      <c r="F196" s="26">
        <f>IF($R196="","",INDEX(입력_전공의명단!$G$2:$G$401,$R196))</f>
        <v/>
      </c>
      <c r="G196" s="26">
        <f>IF($R196="","",INDEX(입력_전공의명단!$AE$2:$AE$401,$R196))</f>
        <v/>
      </c>
      <c r="H196" s="27">
        <f>IF($R196="","",IF(INDEX(입력_전공의명단!$AE$2:$AE$401,$R196)="서울병원","서울 소속","타 병원 소속("&amp;INDEX(입력_전공의명단!$AE$2:$AE$401,$R196)&amp;") → 서울 지급"))</f>
        <v/>
      </c>
      <c r="I196" s="26">
        <f>IF($R196="","",INDEX(입력_전공의명단!$N$2:$N$401,$R196))</f>
        <v/>
      </c>
      <c r="J196" s="26">
        <f>IF($R196="","",INDEX(입력_전공의명단!$P$2:$P$401,$R196))</f>
        <v/>
      </c>
      <c r="K196" s="26">
        <f>IF($R196="","",INDEX(입력_전공의명단!$Q$2:$Q$401,$R196))</f>
        <v/>
      </c>
      <c r="L196" s="28">
        <f>IF($R196="","",INDEX(입력_전공의명단!$S$2:$S$401,$R196))</f>
        <v/>
      </c>
      <c r="M196" s="28">
        <f>IF($R196="","",INDEX(입력_전공의명단!$T$2:$T$401,$R196))</f>
        <v/>
      </c>
      <c r="N196" s="26">
        <f>IF($R196="","",INDEX(입력_전공의명단!$AH$2:$AH$401,$R196))</f>
        <v/>
      </c>
      <c r="O196" s="26">
        <f>IF($R196="","",INDEX(입력_전공의명단!$AI$2:$AI$401,$R196))</f>
        <v/>
      </c>
      <c r="P196" s="27">
        <f>IF($R196="","",INDEX(입력_전공의명단!$AO$2:$AO$401,$R196))</f>
        <v/>
      </c>
      <c r="Q196" s="27">
        <f>IF($R196="","",INDEX(입력_전공의명단!$Z$2:$Z$401,$R196))</f>
        <v/>
      </c>
      <c r="R196" s="29">
        <f>IFERROR(MATCH(ROW()-5,입력_전공의명단!$AM$2:$AM$401,0),"")</f>
        <v/>
      </c>
    </row>
    <row r="197">
      <c r="A197" s="26">
        <f>IF($R197="","",ROW()-5)</f>
        <v/>
      </c>
      <c r="B197" s="26">
        <f>IF($R197="","",INDEX(입력_전공의명단!$C$2:$C$401,$R197))</f>
        <v/>
      </c>
      <c r="C197" s="26">
        <f>IF($R197="","",INDEX(입력_전공의명단!$B$2:$B$401,$R197))</f>
        <v/>
      </c>
      <c r="D197" s="26">
        <f>IF($R197="","",INDEX(입력_전공의명단!$J$2:$J$401,$R197))</f>
        <v/>
      </c>
      <c r="E197" s="26">
        <f>IF($R197="","",INDEX(입력_전공의명단!$F$2:$F$401,$R197))</f>
        <v/>
      </c>
      <c r="F197" s="26">
        <f>IF($R197="","",INDEX(입력_전공의명단!$G$2:$G$401,$R197))</f>
        <v/>
      </c>
      <c r="G197" s="26">
        <f>IF($R197="","",INDEX(입력_전공의명단!$AE$2:$AE$401,$R197))</f>
        <v/>
      </c>
      <c r="H197" s="27">
        <f>IF($R197="","",IF(INDEX(입력_전공의명단!$AE$2:$AE$401,$R197)="서울병원","서울 소속","타 병원 소속("&amp;INDEX(입력_전공의명단!$AE$2:$AE$401,$R197)&amp;") → 서울 지급"))</f>
        <v/>
      </c>
      <c r="I197" s="26">
        <f>IF($R197="","",INDEX(입력_전공의명단!$N$2:$N$401,$R197))</f>
        <v/>
      </c>
      <c r="J197" s="26">
        <f>IF($R197="","",INDEX(입력_전공의명단!$P$2:$P$401,$R197))</f>
        <v/>
      </c>
      <c r="K197" s="26">
        <f>IF($R197="","",INDEX(입력_전공의명단!$Q$2:$Q$401,$R197))</f>
        <v/>
      </c>
      <c r="L197" s="28">
        <f>IF($R197="","",INDEX(입력_전공의명단!$S$2:$S$401,$R197))</f>
        <v/>
      </c>
      <c r="M197" s="28">
        <f>IF($R197="","",INDEX(입력_전공의명단!$T$2:$T$401,$R197))</f>
        <v/>
      </c>
      <c r="N197" s="26">
        <f>IF($R197="","",INDEX(입력_전공의명단!$AH$2:$AH$401,$R197))</f>
        <v/>
      </c>
      <c r="O197" s="26">
        <f>IF($R197="","",INDEX(입력_전공의명단!$AI$2:$AI$401,$R197))</f>
        <v/>
      </c>
      <c r="P197" s="27">
        <f>IF($R197="","",INDEX(입력_전공의명단!$AO$2:$AO$401,$R197))</f>
        <v/>
      </c>
      <c r="Q197" s="27">
        <f>IF($R197="","",INDEX(입력_전공의명단!$Z$2:$Z$401,$R197))</f>
        <v/>
      </c>
      <c r="R197" s="29">
        <f>IFERROR(MATCH(ROW()-5,입력_전공의명단!$AM$2:$AM$401,0),"")</f>
        <v/>
      </c>
    </row>
    <row r="198">
      <c r="A198" s="26">
        <f>IF($R198="","",ROW()-5)</f>
        <v/>
      </c>
      <c r="B198" s="26">
        <f>IF($R198="","",INDEX(입력_전공의명단!$C$2:$C$401,$R198))</f>
        <v/>
      </c>
      <c r="C198" s="26">
        <f>IF($R198="","",INDEX(입력_전공의명단!$B$2:$B$401,$R198))</f>
        <v/>
      </c>
      <c r="D198" s="26">
        <f>IF($R198="","",INDEX(입력_전공의명단!$J$2:$J$401,$R198))</f>
        <v/>
      </c>
      <c r="E198" s="26">
        <f>IF($R198="","",INDEX(입력_전공의명단!$F$2:$F$401,$R198))</f>
        <v/>
      </c>
      <c r="F198" s="26">
        <f>IF($R198="","",INDEX(입력_전공의명단!$G$2:$G$401,$R198))</f>
        <v/>
      </c>
      <c r="G198" s="26">
        <f>IF($R198="","",INDEX(입력_전공의명단!$AE$2:$AE$401,$R198))</f>
        <v/>
      </c>
      <c r="H198" s="27">
        <f>IF($R198="","",IF(INDEX(입력_전공의명단!$AE$2:$AE$401,$R198)="서울병원","서울 소속","타 병원 소속("&amp;INDEX(입력_전공의명단!$AE$2:$AE$401,$R198)&amp;") → 서울 지급"))</f>
        <v/>
      </c>
      <c r="I198" s="26">
        <f>IF($R198="","",INDEX(입력_전공의명단!$N$2:$N$401,$R198))</f>
        <v/>
      </c>
      <c r="J198" s="26">
        <f>IF($R198="","",INDEX(입력_전공의명단!$P$2:$P$401,$R198))</f>
        <v/>
      </c>
      <c r="K198" s="26">
        <f>IF($R198="","",INDEX(입력_전공의명단!$Q$2:$Q$401,$R198))</f>
        <v/>
      </c>
      <c r="L198" s="28">
        <f>IF($R198="","",INDEX(입력_전공의명단!$S$2:$S$401,$R198))</f>
        <v/>
      </c>
      <c r="M198" s="28">
        <f>IF($R198="","",INDEX(입력_전공의명단!$T$2:$T$401,$R198))</f>
        <v/>
      </c>
      <c r="N198" s="26">
        <f>IF($R198="","",INDEX(입력_전공의명단!$AH$2:$AH$401,$R198))</f>
        <v/>
      </c>
      <c r="O198" s="26">
        <f>IF($R198="","",INDEX(입력_전공의명단!$AI$2:$AI$401,$R198))</f>
        <v/>
      </c>
      <c r="P198" s="27">
        <f>IF($R198="","",INDEX(입력_전공의명단!$AO$2:$AO$401,$R198))</f>
        <v/>
      </c>
      <c r="Q198" s="27">
        <f>IF($R198="","",INDEX(입력_전공의명단!$Z$2:$Z$401,$R198))</f>
        <v/>
      </c>
      <c r="R198" s="29">
        <f>IFERROR(MATCH(ROW()-5,입력_전공의명단!$AM$2:$AM$401,0),"")</f>
        <v/>
      </c>
    </row>
    <row r="199">
      <c r="A199" s="26">
        <f>IF($R199="","",ROW()-5)</f>
        <v/>
      </c>
      <c r="B199" s="26">
        <f>IF($R199="","",INDEX(입력_전공의명단!$C$2:$C$401,$R199))</f>
        <v/>
      </c>
      <c r="C199" s="26">
        <f>IF($R199="","",INDEX(입력_전공의명단!$B$2:$B$401,$R199))</f>
        <v/>
      </c>
      <c r="D199" s="26">
        <f>IF($R199="","",INDEX(입력_전공의명단!$J$2:$J$401,$R199))</f>
        <v/>
      </c>
      <c r="E199" s="26">
        <f>IF($R199="","",INDEX(입력_전공의명단!$F$2:$F$401,$R199))</f>
        <v/>
      </c>
      <c r="F199" s="26">
        <f>IF($R199="","",INDEX(입력_전공의명단!$G$2:$G$401,$R199))</f>
        <v/>
      </c>
      <c r="G199" s="26">
        <f>IF($R199="","",INDEX(입력_전공의명단!$AE$2:$AE$401,$R199))</f>
        <v/>
      </c>
      <c r="H199" s="27">
        <f>IF($R199="","",IF(INDEX(입력_전공의명단!$AE$2:$AE$401,$R199)="서울병원","서울 소속","타 병원 소속("&amp;INDEX(입력_전공의명단!$AE$2:$AE$401,$R199)&amp;") → 서울 지급"))</f>
        <v/>
      </c>
      <c r="I199" s="26">
        <f>IF($R199="","",INDEX(입력_전공의명단!$N$2:$N$401,$R199))</f>
        <v/>
      </c>
      <c r="J199" s="26">
        <f>IF($R199="","",INDEX(입력_전공의명단!$P$2:$P$401,$R199))</f>
        <v/>
      </c>
      <c r="K199" s="26">
        <f>IF($R199="","",INDEX(입력_전공의명단!$Q$2:$Q$401,$R199))</f>
        <v/>
      </c>
      <c r="L199" s="28">
        <f>IF($R199="","",INDEX(입력_전공의명단!$S$2:$S$401,$R199))</f>
        <v/>
      </c>
      <c r="M199" s="28">
        <f>IF($R199="","",INDEX(입력_전공의명단!$T$2:$T$401,$R199))</f>
        <v/>
      </c>
      <c r="N199" s="26">
        <f>IF($R199="","",INDEX(입력_전공의명단!$AH$2:$AH$401,$R199))</f>
        <v/>
      </c>
      <c r="O199" s="26">
        <f>IF($R199="","",INDEX(입력_전공의명단!$AI$2:$AI$401,$R199))</f>
        <v/>
      </c>
      <c r="P199" s="27">
        <f>IF($R199="","",INDEX(입력_전공의명단!$AO$2:$AO$401,$R199))</f>
        <v/>
      </c>
      <c r="Q199" s="27">
        <f>IF($R199="","",INDEX(입력_전공의명단!$Z$2:$Z$401,$R199))</f>
        <v/>
      </c>
      <c r="R199" s="29">
        <f>IFERROR(MATCH(ROW()-5,입력_전공의명단!$AM$2:$AM$401,0),"")</f>
        <v/>
      </c>
    </row>
    <row r="200">
      <c r="A200" s="26">
        <f>IF($R200="","",ROW()-5)</f>
        <v/>
      </c>
      <c r="B200" s="26">
        <f>IF($R200="","",INDEX(입력_전공의명단!$C$2:$C$401,$R200))</f>
        <v/>
      </c>
      <c r="C200" s="26">
        <f>IF($R200="","",INDEX(입력_전공의명단!$B$2:$B$401,$R200))</f>
        <v/>
      </c>
      <c r="D200" s="26">
        <f>IF($R200="","",INDEX(입력_전공의명단!$J$2:$J$401,$R200))</f>
        <v/>
      </c>
      <c r="E200" s="26">
        <f>IF($R200="","",INDEX(입력_전공의명단!$F$2:$F$401,$R200))</f>
        <v/>
      </c>
      <c r="F200" s="26">
        <f>IF($R200="","",INDEX(입력_전공의명단!$G$2:$G$401,$R200))</f>
        <v/>
      </c>
      <c r="G200" s="26">
        <f>IF($R200="","",INDEX(입력_전공의명단!$AE$2:$AE$401,$R200))</f>
        <v/>
      </c>
      <c r="H200" s="27">
        <f>IF($R200="","",IF(INDEX(입력_전공의명단!$AE$2:$AE$401,$R200)="서울병원","서울 소속","타 병원 소속("&amp;INDEX(입력_전공의명단!$AE$2:$AE$401,$R200)&amp;") → 서울 지급"))</f>
        <v/>
      </c>
      <c r="I200" s="26">
        <f>IF($R200="","",INDEX(입력_전공의명단!$N$2:$N$401,$R200))</f>
        <v/>
      </c>
      <c r="J200" s="26">
        <f>IF($R200="","",INDEX(입력_전공의명단!$P$2:$P$401,$R200))</f>
        <v/>
      </c>
      <c r="K200" s="26">
        <f>IF($R200="","",INDEX(입력_전공의명단!$Q$2:$Q$401,$R200))</f>
        <v/>
      </c>
      <c r="L200" s="28">
        <f>IF($R200="","",INDEX(입력_전공의명단!$S$2:$S$401,$R200))</f>
        <v/>
      </c>
      <c r="M200" s="28">
        <f>IF($R200="","",INDEX(입력_전공의명단!$T$2:$T$401,$R200))</f>
        <v/>
      </c>
      <c r="N200" s="26">
        <f>IF($R200="","",INDEX(입력_전공의명단!$AH$2:$AH$401,$R200))</f>
        <v/>
      </c>
      <c r="O200" s="26">
        <f>IF($R200="","",INDEX(입력_전공의명단!$AI$2:$AI$401,$R200))</f>
        <v/>
      </c>
      <c r="P200" s="27">
        <f>IF($R200="","",INDEX(입력_전공의명단!$AO$2:$AO$401,$R200))</f>
        <v/>
      </c>
      <c r="Q200" s="27">
        <f>IF($R200="","",INDEX(입력_전공의명단!$Z$2:$Z$401,$R200))</f>
        <v/>
      </c>
      <c r="R200" s="29">
        <f>IFERROR(MATCH(ROW()-5,입력_전공의명단!$AM$2:$AM$401,0),"")</f>
        <v/>
      </c>
    </row>
    <row r="201">
      <c r="A201" s="26">
        <f>IF($R201="","",ROW()-5)</f>
        <v/>
      </c>
      <c r="B201" s="26">
        <f>IF($R201="","",INDEX(입력_전공의명단!$C$2:$C$401,$R201))</f>
        <v/>
      </c>
      <c r="C201" s="26">
        <f>IF($R201="","",INDEX(입력_전공의명단!$B$2:$B$401,$R201))</f>
        <v/>
      </c>
      <c r="D201" s="26">
        <f>IF($R201="","",INDEX(입력_전공의명단!$J$2:$J$401,$R201))</f>
        <v/>
      </c>
      <c r="E201" s="26">
        <f>IF($R201="","",INDEX(입력_전공의명단!$F$2:$F$401,$R201))</f>
        <v/>
      </c>
      <c r="F201" s="26">
        <f>IF($R201="","",INDEX(입력_전공의명단!$G$2:$G$401,$R201))</f>
        <v/>
      </c>
      <c r="G201" s="26">
        <f>IF($R201="","",INDEX(입력_전공의명단!$AE$2:$AE$401,$R201))</f>
        <v/>
      </c>
      <c r="H201" s="27">
        <f>IF($R201="","",IF(INDEX(입력_전공의명단!$AE$2:$AE$401,$R201)="서울병원","서울 소속","타 병원 소속("&amp;INDEX(입력_전공의명단!$AE$2:$AE$401,$R201)&amp;") → 서울 지급"))</f>
        <v/>
      </c>
      <c r="I201" s="26">
        <f>IF($R201="","",INDEX(입력_전공의명단!$N$2:$N$401,$R201))</f>
        <v/>
      </c>
      <c r="J201" s="26">
        <f>IF($R201="","",INDEX(입력_전공의명단!$P$2:$P$401,$R201))</f>
        <v/>
      </c>
      <c r="K201" s="26">
        <f>IF($R201="","",INDEX(입력_전공의명단!$Q$2:$Q$401,$R201))</f>
        <v/>
      </c>
      <c r="L201" s="28">
        <f>IF($R201="","",INDEX(입력_전공의명단!$S$2:$S$401,$R201))</f>
        <v/>
      </c>
      <c r="M201" s="28">
        <f>IF($R201="","",INDEX(입력_전공의명단!$T$2:$T$401,$R201))</f>
        <v/>
      </c>
      <c r="N201" s="26">
        <f>IF($R201="","",INDEX(입력_전공의명단!$AH$2:$AH$401,$R201))</f>
        <v/>
      </c>
      <c r="O201" s="26">
        <f>IF($R201="","",INDEX(입력_전공의명단!$AI$2:$AI$401,$R201))</f>
        <v/>
      </c>
      <c r="P201" s="27">
        <f>IF($R201="","",INDEX(입력_전공의명단!$AO$2:$AO$401,$R201))</f>
        <v/>
      </c>
      <c r="Q201" s="27">
        <f>IF($R201="","",INDEX(입력_전공의명단!$Z$2:$Z$401,$R201))</f>
        <v/>
      </c>
      <c r="R201" s="29">
        <f>IFERROR(MATCH(ROW()-5,입력_전공의명단!$AM$2:$AM$401,0),"")</f>
        <v/>
      </c>
    </row>
    <row r="202">
      <c r="A202" s="26">
        <f>IF($R202="","",ROW()-5)</f>
        <v/>
      </c>
      <c r="B202" s="26">
        <f>IF($R202="","",INDEX(입력_전공의명단!$C$2:$C$401,$R202))</f>
        <v/>
      </c>
      <c r="C202" s="26">
        <f>IF($R202="","",INDEX(입력_전공의명단!$B$2:$B$401,$R202))</f>
        <v/>
      </c>
      <c r="D202" s="26">
        <f>IF($R202="","",INDEX(입력_전공의명단!$J$2:$J$401,$R202))</f>
        <v/>
      </c>
      <c r="E202" s="26">
        <f>IF($R202="","",INDEX(입력_전공의명단!$F$2:$F$401,$R202))</f>
        <v/>
      </c>
      <c r="F202" s="26">
        <f>IF($R202="","",INDEX(입력_전공의명단!$G$2:$G$401,$R202))</f>
        <v/>
      </c>
      <c r="G202" s="26">
        <f>IF($R202="","",INDEX(입력_전공의명단!$AE$2:$AE$401,$R202))</f>
        <v/>
      </c>
      <c r="H202" s="27">
        <f>IF($R202="","",IF(INDEX(입력_전공의명단!$AE$2:$AE$401,$R202)="서울병원","서울 소속","타 병원 소속("&amp;INDEX(입력_전공의명단!$AE$2:$AE$401,$R202)&amp;") → 서울 지급"))</f>
        <v/>
      </c>
      <c r="I202" s="26">
        <f>IF($R202="","",INDEX(입력_전공의명단!$N$2:$N$401,$R202))</f>
        <v/>
      </c>
      <c r="J202" s="26">
        <f>IF($R202="","",INDEX(입력_전공의명단!$P$2:$P$401,$R202))</f>
        <v/>
      </c>
      <c r="K202" s="26">
        <f>IF($R202="","",INDEX(입력_전공의명단!$Q$2:$Q$401,$R202))</f>
        <v/>
      </c>
      <c r="L202" s="28">
        <f>IF($R202="","",INDEX(입력_전공의명단!$S$2:$S$401,$R202))</f>
        <v/>
      </c>
      <c r="M202" s="28">
        <f>IF($R202="","",INDEX(입력_전공의명단!$T$2:$T$401,$R202))</f>
        <v/>
      </c>
      <c r="N202" s="26">
        <f>IF($R202="","",INDEX(입력_전공의명단!$AH$2:$AH$401,$R202))</f>
        <v/>
      </c>
      <c r="O202" s="26">
        <f>IF($R202="","",INDEX(입력_전공의명단!$AI$2:$AI$401,$R202))</f>
        <v/>
      </c>
      <c r="P202" s="27">
        <f>IF($R202="","",INDEX(입력_전공의명단!$AO$2:$AO$401,$R202))</f>
        <v/>
      </c>
      <c r="Q202" s="27">
        <f>IF($R202="","",INDEX(입력_전공의명단!$Z$2:$Z$401,$R202))</f>
        <v/>
      </c>
      <c r="R202" s="29">
        <f>IFERROR(MATCH(ROW()-5,입력_전공의명단!$AM$2:$AM$401,0),"")</f>
        <v/>
      </c>
    </row>
    <row r="203">
      <c r="A203" s="26">
        <f>IF($R203="","",ROW()-5)</f>
        <v/>
      </c>
      <c r="B203" s="26">
        <f>IF($R203="","",INDEX(입력_전공의명단!$C$2:$C$401,$R203))</f>
        <v/>
      </c>
      <c r="C203" s="26">
        <f>IF($R203="","",INDEX(입력_전공의명단!$B$2:$B$401,$R203))</f>
        <v/>
      </c>
      <c r="D203" s="26">
        <f>IF($R203="","",INDEX(입력_전공의명단!$J$2:$J$401,$R203))</f>
        <v/>
      </c>
      <c r="E203" s="26">
        <f>IF($R203="","",INDEX(입력_전공의명단!$F$2:$F$401,$R203))</f>
        <v/>
      </c>
      <c r="F203" s="26">
        <f>IF($R203="","",INDEX(입력_전공의명단!$G$2:$G$401,$R203))</f>
        <v/>
      </c>
      <c r="G203" s="26">
        <f>IF($R203="","",INDEX(입력_전공의명단!$AE$2:$AE$401,$R203))</f>
        <v/>
      </c>
      <c r="H203" s="27">
        <f>IF($R203="","",IF(INDEX(입력_전공의명단!$AE$2:$AE$401,$R203)="서울병원","서울 소속","타 병원 소속("&amp;INDEX(입력_전공의명단!$AE$2:$AE$401,$R203)&amp;") → 서울 지급"))</f>
        <v/>
      </c>
      <c r="I203" s="26">
        <f>IF($R203="","",INDEX(입력_전공의명단!$N$2:$N$401,$R203))</f>
        <v/>
      </c>
      <c r="J203" s="26">
        <f>IF($R203="","",INDEX(입력_전공의명단!$P$2:$P$401,$R203))</f>
        <v/>
      </c>
      <c r="K203" s="26">
        <f>IF($R203="","",INDEX(입력_전공의명단!$Q$2:$Q$401,$R203))</f>
        <v/>
      </c>
      <c r="L203" s="28">
        <f>IF($R203="","",INDEX(입력_전공의명단!$S$2:$S$401,$R203))</f>
        <v/>
      </c>
      <c r="M203" s="28">
        <f>IF($R203="","",INDEX(입력_전공의명단!$T$2:$T$401,$R203))</f>
        <v/>
      </c>
      <c r="N203" s="26">
        <f>IF($R203="","",INDEX(입력_전공의명단!$AH$2:$AH$401,$R203))</f>
        <v/>
      </c>
      <c r="O203" s="26">
        <f>IF($R203="","",INDEX(입력_전공의명단!$AI$2:$AI$401,$R203))</f>
        <v/>
      </c>
      <c r="P203" s="27">
        <f>IF($R203="","",INDEX(입력_전공의명단!$AO$2:$AO$401,$R203))</f>
        <v/>
      </c>
      <c r="Q203" s="27">
        <f>IF($R203="","",INDEX(입력_전공의명단!$Z$2:$Z$401,$R203))</f>
        <v/>
      </c>
      <c r="R203" s="29">
        <f>IFERROR(MATCH(ROW()-5,입력_전공의명단!$AM$2:$AM$401,0),"")</f>
        <v/>
      </c>
    </row>
    <row r="204">
      <c r="A204" s="26">
        <f>IF($R204="","",ROW()-5)</f>
        <v/>
      </c>
      <c r="B204" s="26">
        <f>IF($R204="","",INDEX(입력_전공의명단!$C$2:$C$401,$R204))</f>
        <v/>
      </c>
      <c r="C204" s="26">
        <f>IF($R204="","",INDEX(입력_전공의명단!$B$2:$B$401,$R204))</f>
        <v/>
      </c>
      <c r="D204" s="26">
        <f>IF($R204="","",INDEX(입력_전공의명단!$J$2:$J$401,$R204))</f>
        <v/>
      </c>
      <c r="E204" s="26">
        <f>IF($R204="","",INDEX(입력_전공의명단!$F$2:$F$401,$R204))</f>
        <v/>
      </c>
      <c r="F204" s="26">
        <f>IF($R204="","",INDEX(입력_전공의명단!$G$2:$G$401,$R204))</f>
        <v/>
      </c>
      <c r="G204" s="26">
        <f>IF($R204="","",INDEX(입력_전공의명단!$AE$2:$AE$401,$R204))</f>
        <v/>
      </c>
      <c r="H204" s="27">
        <f>IF($R204="","",IF(INDEX(입력_전공의명단!$AE$2:$AE$401,$R204)="서울병원","서울 소속","타 병원 소속("&amp;INDEX(입력_전공의명단!$AE$2:$AE$401,$R204)&amp;") → 서울 지급"))</f>
        <v/>
      </c>
      <c r="I204" s="26">
        <f>IF($R204="","",INDEX(입력_전공의명단!$N$2:$N$401,$R204))</f>
        <v/>
      </c>
      <c r="J204" s="26">
        <f>IF($R204="","",INDEX(입력_전공의명단!$P$2:$P$401,$R204))</f>
        <v/>
      </c>
      <c r="K204" s="26">
        <f>IF($R204="","",INDEX(입력_전공의명단!$Q$2:$Q$401,$R204))</f>
        <v/>
      </c>
      <c r="L204" s="28">
        <f>IF($R204="","",INDEX(입력_전공의명단!$S$2:$S$401,$R204))</f>
        <v/>
      </c>
      <c r="M204" s="28">
        <f>IF($R204="","",INDEX(입력_전공의명단!$T$2:$T$401,$R204))</f>
        <v/>
      </c>
      <c r="N204" s="26">
        <f>IF($R204="","",INDEX(입력_전공의명단!$AH$2:$AH$401,$R204))</f>
        <v/>
      </c>
      <c r="O204" s="26">
        <f>IF($R204="","",INDEX(입력_전공의명단!$AI$2:$AI$401,$R204))</f>
        <v/>
      </c>
      <c r="P204" s="27">
        <f>IF($R204="","",INDEX(입력_전공의명단!$AO$2:$AO$401,$R204))</f>
        <v/>
      </c>
      <c r="Q204" s="27">
        <f>IF($R204="","",INDEX(입력_전공의명단!$Z$2:$Z$401,$R204))</f>
        <v/>
      </c>
      <c r="R204" s="29">
        <f>IFERROR(MATCH(ROW()-5,입력_전공의명단!$AM$2:$AM$401,0),"")</f>
        <v/>
      </c>
    </row>
    <row r="205">
      <c r="A205" s="26">
        <f>IF($R205="","",ROW()-5)</f>
        <v/>
      </c>
      <c r="B205" s="26">
        <f>IF($R205="","",INDEX(입력_전공의명단!$C$2:$C$401,$R205))</f>
        <v/>
      </c>
      <c r="C205" s="26">
        <f>IF($R205="","",INDEX(입력_전공의명단!$B$2:$B$401,$R205))</f>
        <v/>
      </c>
      <c r="D205" s="26">
        <f>IF($R205="","",INDEX(입력_전공의명단!$J$2:$J$401,$R205))</f>
        <v/>
      </c>
      <c r="E205" s="26">
        <f>IF($R205="","",INDEX(입력_전공의명단!$F$2:$F$401,$R205))</f>
        <v/>
      </c>
      <c r="F205" s="26">
        <f>IF($R205="","",INDEX(입력_전공의명단!$G$2:$G$401,$R205))</f>
        <v/>
      </c>
      <c r="G205" s="26">
        <f>IF($R205="","",INDEX(입력_전공의명단!$AE$2:$AE$401,$R205))</f>
        <v/>
      </c>
      <c r="H205" s="27">
        <f>IF($R205="","",IF(INDEX(입력_전공의명단!$AE$2:$AE$401,$R205)="서울병원","서울 소속","타 병원 소속("&amp;INDEX(입력_전공의명단!$AE$2:$AE$401,$R205)&amp;") → 서울 지급"))</f>
        <v/>
      </c>
      <c r="I205" s="26">
        <f>IF($R205="","",INDEX(입력_전공의명단!$N$2:$N$401,$R205))</f>
        <v/>
      </c>
      <c r="J205" s="26">
        <f>IF($R205="","",INDEX(입력_전공의명단!$P$2:$P$401,$R205))</f>
        <v/>
      </c>
      <c r="K205" s="26">
        <f>IF($R205="","",INDEX(입력_전공의명단!$Q$2:$Q$401,$R205))</f>
        <v/>
      </c>
      <c r="L205" s="28">
        <f>IF($R205="","",INDEX(입력_전공의명단!$S$2:$S$401,$R205))</f>
        <v/>
      </c>
      <c r="M205" s="28">
        <f>IF($R205="","",INDEX(입력_전공의명단!$T$2:$T$401,$R205))</f>
        <v/>
      </c>
      <c r="N205" s="26">
        <f>IF($R205="","",INDEX(입력_전공의명단!$AH$2:$AH$401,$R205))</f>
        <v/>
      </c>
      <c r="O205" s="26">
        <f>IF($R205="","",INDEX(입력_전공의명단!$AI$2:$AI$401,$R205))</f>
        <v/>
      </c>
      <c r="P205" s="27">
        <f>IF($R205="","",INDEX(입력_전공의명단!$AO$2:$AO$401,$R205))</f>
        <v/>
      </c>
      <c r="Q205" s="27">
        <f>IF($R205="","",INDEX(입력_전공의명단!$Z$2:$Z$401,$R205))</f>
        <v/>
      </c>
      <c r="R205" s="29">
        <f>IFERROR(MATCH(ROW()-5,입력_전공의명단!$AM$2:$AM$401,0),"")</f>
        <v/>
      </c>
    </row>
    <row r="206">
      <c r="A206" s="26">
        <f>IF($R206="","",ROW()-5)</f>
        <v/>
      </c>
      <c r="B206" s="26">
        <f>IF($R206="","",INDEX(입력_전공의명단!$C$2:$C$401,$R206))</f>
        <v/>
      </c>
      <c r="C206" s="26">
        <f>IF($R206="","",INDEX(입력_전공의명단!$B$2:$B$401,$R206))</f>
        <v/>
      </c>
      <c r="D206" s="26">
        <f>IF($R206="","",INDEX(입력_전공의명단!$J$2:$J$401,$R206))</f>
        <v/>
      </c>
      <c r="E206" s="26">
        <f>IF($R206="","",INDEX(입력_전공의명단!$F$2:$F$401,$R206))</f>
        <v/>
      </c>
      <c r="F206" s="26">
        <f>IF($R206="","",INDEX(입력_전공의명단!$G$2:$G$401,$R206))</f>
        <v/>
      </c>
      <c r="G206" s="26">
        <f>IF($R206="","",INDEX(입력_전공의명단!$AE$2:$AE$401,$R206))</f>
        <v/>
      </c>
      <c r="H206" s="27">
        <f>IF($R206="","",IF(INDEX(입력_전공의명단!$AE$2:$AE$401,$R206)="서울병원","서울 소속","타 병원 소속("&amp;INDEX(입력_전공의명단!$AE$2:$AE$401,$R206)&amp;") → 서울 지급"))</f>
        <v/>
      </c>
      <c r="I206" s="26">
        <f>IF($R206="","",INDEX(입력_전공의명단!$N$2:$N$401,$R206))</f>
        <v/>
      </c>
      <c r="J206" s="26">
        <f>IF($R206="","",INDEX(입력_전공의명단!$P$2:$P$401,$R206))</f>
        <v/>
      </c>
      <c r="K206" s="26">
        <f>IF($R206="","",INDEX(입력_전공의명단!$Q$2:$Q$401,$R206))</f>
        <v/>
      </c>
      <c r="L206" s="28">
        <f>IF($R206="","",INDEX(입력_전공의명단!$S$2:$S$401,$R206))</f>
        <v/>
      </c>
      <c r="M206" s="28">
        <f>IF($R206="","",INDEX(입력_전공의명단!$T$2:$T$401,$R206))</f>
        <v/>
      </c>
      <c r="N206" s="26">
        <f>IF($R206="","",INDEX(입력_전공의명단!$AH$2:$AH$401,$R206))</f>
        <v/>
      </c>
      <c r="O206" s="26">
        <f>IF($R206="","",INDEX(입력_전공의명단!$AI$2:$AI$401,$R206))</f>
        <v/>
      </c>
      <c r="P206" s="27">
        <f>IF($R206="","",INDEX(입력_전공의명단!$AO$2:$AO$401,$R206))</f>
        <v/>
      </c>
      <c r="Q206" s="27">
        <f>IF($R206="","",INDEX(입력_전공의명단!$Z$2:$Z$401,$R206))</f>
        <v/>
      </c>
      <c r="R206" s="29">
        <f>IFERROR(MATCH(ROW()-5,입력_전공의명단!$AM$2:$AM$401,0),"")</f>
        <v/>
      </c>
    </row>
    <row r="207">
      <c r="A207" s="26">
        <f>IF($R207="","",ROW()-5)</f>
        <v/>
      </c>
      <c r="B207" s="26">
        <f>IF($R207="","",INDEX(입력_전공의명단!$C$2:$C$401,$R207))</f>
        <v/>
      </c>
      <c r="C207" s="26">
        <f>IF($R207="","",INDEX(입력_전공의명단!$B$2:$B$401,$R207))</f>
        <v/>
      </c>
      <c r="D207" s="26">
        <f>IF($R207="","",INDEX(입력_전공의명단!$J$2:$J$401,$R207))</f>
        <v/>
      </c>
      <c r="E207" s="26">
        <f>IF($R207="","",INDEX(입력_전공의명단!$F$2:$F$401,$R207))</f>
        <v/>
      </c>
      <c r="F207" s="26">
        <f>IF($R207="","",INDEX(입력_전공의명단!$G$2:$G$401,$R207))</f>
        <v/>
      </c>
      <c r="G207" s="26">
        <f>IF($R207="","",INDEX(입력_전공의명단!$AE$2:$AE$401,$R207))</f>
        <v/>
      </c>
      <c r="H207" s="27">
        <f>IF($R207="","",IF(INDEX(입력_전공의명단!$AE$2:$AE$401,$R207)="서울병원","서울 소속","타 병원 소속("&amp;INDEX(입력_전공의명단!$AE$2:$AE$401,$R207)&amp;") → 서울 지급"))</f>
        <v/>
      </c>
      <c r="I207" s="26">
        <f>IF($R207="","",INDEX(입력_전공의명단!$N$2:$N$401,$R207))</f>
        <v/>
      </c>
      <c r="J207" s="26">
        <f>IF($R207="","",INDEX(입력_전공의명단!$P$2:$P$401,$R207))</f>
        <v/>
      </c>
      <c r="K207" s="26">
        <f>IF($R207="","",INDEX(입력_전공의명단!$Q$2:$Q$401,$R207))</f>
        <v/>
      </c>
      <c r="L207" s="28">
        <f>IF($R207="","",INDEX(입력_전공의명단!$S$2:$S$401,$R207))</f>
        <v/>
      </c>
      <c r="M207" s="28">
        <f>IF($R207="","",INDEX(입력_전공의명단!$T$2:$T$401,$R207))</f>
        <v/>
      </c>
      <c r="N207" s="26">
        <f>IF($R207="","",INDEX(입력_전공의명단!$AH$2:$AH$401,$R207))</f>
        <v/>
      </c>
      <c r="O207" s="26">
        <f>IF($R207="","",INDEX(입력_전공의명단!$AI$2:$AI$401,$R207))</f>
        <v/>
      </c>
      <c r="P207" s="27">
        <f>IF($R207="","",INDEX(입력_전공의명단!$AO$2:$AO$401,$R207))</f>
        <v/>
      </c>
      <c r="Q207" s="27">
        <f>IF($R207="","",INDEX(입력_전공의명단!$Z$2:$Z$401,$R207))</f>
        <v/>
      </c>
      <c r="R207" s="29">
        <f>IFERROR(MATCH(ROW()-5,입력_전공의명단!$AM$2:$AM$401,0),"")</f>
        <v/>
      </c>
    </row>
    <row r="208">
      <c r="A208" s="26">
        <f>IF($R208="","",ROW()-5)</f>
        <v/>
      </c>
      <c r="B208" s="26">
        <f>IF($R208="","",INDEX(입력_전공의명단!$C$2:$C$401,$R208))</f>
        <v/>
      </c>
      <c r="C208" s="26">
        <f>IF($R208="","",INDEX(입력_전공의명단!$B$2:$B$401,$R208))</f>
        <v/>
      </c>
      <c r="D208" s="26">
        <f>IF($R208="","",INDEX(입력_전공의명단!$J$2:$J$401,$R208))</f>
        <v/>
      </c>
      <c r="E208" s="26">
        <f>IF($R208="","",INDEX(입력_전공의명단!$F$2:$F$401,$R208))</f>
        <v/>
      </c>
      <c r="F208" s="26">
        <f>IF($R208="","",INDEX(입력_전공의명단!$G$2:$G$401,$R208))</f>
        <v/>
      </c>
      <c r="G208" s="26">
        <f>IF($R208="","",INDEX(입력_전공의명단!$AE$2:$AE$401,$R208))</f>
        <v/>
      </c>
      <c r="H208" s="27">
        <f>IF($R208="","",IF(INDEX(입력_전공의명단!$AE$2:$AE$401,$R208)="서울병원","서울 소속","타 병원 소속("&amp;INDEX(입력_전공의명단!$AE$2:$AE$401,$R208)&amp;") → 서울 지급"))</f>
        <v/>
      </c>
      <c r="I208" s="26">
        <f>IF($R208="","",INDEX(입력_전공의명단!$N$2:$N$401,$R208))</f>
        <v/>
      </c>
      <c r="J208" s="26">
        <f>IF($R208="","",INDEX(입력_전공의명단!$P$2:$P$401,$R208))</f>
        <v/>
      </c>
      <c r="K208" s="26">
        <f>IF($R208="","",INDEX(입력_전공의명단!$Q$2:$Q$401,$R208))</f>
        <v/>
      </c>
      <c r="L208" s="28">
        <f>IF($R208="","",INDEX(입력_전공의명단!$S$2:$S$401,$R208))</f>
        <v/>
      </c>
      <c r="M208" s="28">
        <f>IF($R208="","",INDEX(입력_전공의명단!$T$2:$T$401,$R208))</f>
        <v/>
      </c>
      <c r="N208" s="26">
        <f>IF($R208="","",INDEX(입력_전공의명단!$AH$2:$AH$401,$R208))</f>
        <v/>
      </c>
      <c r="O208" s="26">
        <f>IF($R208="","",INDEX(입력_전공의명단!$AI$2:$AI$401,$R208))</f>
        <v/>
      </c>
      <c r="P208" s="27">
        <f>IF($R208="","",INDEX(입력_전공의명단!$AO$2:$AO$401,$R208))</f>
        <v/>
      </c>
      <c r="Q208" s="27">
        <f>IF($R208="","",INDEX(입력_전공의명단!$Z$2:$Z$401,$R208))</f>
        <v/>
      </c>
      <c r="R208" s="29">
        <f>IFERROR(MATCH(ROW()-5,입력_전공의명단!$AM$2:$AM$401,0),"")</f>
        <v/>
      </c>
    </row>
    <row r="209">
      <c r="A209" s="26">
        <f>IF($R209="","",ROW()-5)</f>
        <v/>
      </c>
      <c r="B209" s="26">
        <f>IF($R209="","",INDEX(입력_전공의명단!$C$2:$C$401,$R209))</f>
        <v/>
      </c>
      <c r="C209" s="26">
        <f>IF($R209="","",INDEX(입력_전공의명단!$B$2:$B$401,$R209))</f>
        <v/>
      </c>
      <c r="D209" s="26">
        <f>IF($R209="","",INDEX(입력_전공의명단!$J$2:$J$401,$R209))</f>
        <v/>
      </c>
      <c r="E209" s="26">
        <f>IF($R209="","",INDEX(입력_전공의명단!$F$2:$F$401,$R209))</f>
        <v/>
      </c>
      <c r="F209" s="26">
        <f>IF($R209="","",INDEX(입력_전공의명단!$G$2:$G$401,$R209))</f>
        <v/>
      </c>
      <c r="G209" s="26">
        <f>IF($R209="","",INDEX(입력_전공의명단!$AE$2:$AE$401,$R209))</f>
        <v/>
      </c>
      <c r="H209" s="27">
        <f>IF($R209="","",IF(INDEX(입력_전공의명단!$AE$2:$AE$401,$R209)="서울병원","서울 소속","타 병원 소속("&amp;INDEX(입력_전공의명단!$AE$2:$AE$401,$R209)&amp;") → 서울 지급"))</f>
        <v/>
      </c>
      <c r="I209" s="26">
        <f>IF($R209="","",INDEX(입력_전공의명단!$N$2:$N$401,$R209))</f>
        <v/>
      </c>
      <c r="J209" s="26">
        <f>IF($R209="","",INDEX(입력_전공의명단!$P$2:$P$401,$R209))</f>
        <v/>
      </c>
      <c r="K209" s="26">
        <f>IF($R209="","",INDEX(입력_전공의명단!$Q$2:$Q$401,$R209))</f>
        <v/>
      </c>
      <c r="L209" s="28">
        <f>IF($R209="","",INDEX(입력_전공의명단!$S$2:$S$401,$R209))</f>
        <v/>
      </c>
      <c r="M209" s="28">
        <f>IF($R209="","",INDEX(입력_전공의명단!$T$2:$T$401,$R209))</f>
        <v/>
      </c>
      <c r="N209" s="26">
        <f>IF($R209="","",INDEX(입력_전공의명단!$AH$2:$AH$401,$R209))</f>
        <v/>
      </c>
      <c r="O209" s="26">
        <f>IF($R209="","",INDEX(입력_전공의명단!$AI$2:$AI$401,$R209))</f>
        <v/>
      </c>
      <c r="P209" s="27">
        <f>IF($R209="","",INDEX(입력_전공의명단!$AO$2:$AO$401,$R209))</f>
        <v/>
      </c>
      <c r="Q209" s="27">
        <f>IF($R209="","",INDEX(입력_전공의명단!$Z$2:$Z$401,$R209))</f>
        <v/>
      </c>
      <c r="R209" s="29">
        <f>IFERROR(MATCH(ROW()-5,입력_전공의명단!$AM$2:$AM$401,0),"")</f>
        <v/>
      </c>
    </row>
    <row r="210">
      <c r="A210" s="26">
        <f>IF($R210="","",ROW()-5)</f>
        <v/>
      </c>
      <c r="B210" s="26">
        <f>IF($R210="","",INDEX(입력_전공의명단!$C$2:$C$401,$R210))</f>
        <v/>
      </c>
      <c r="C210" s="26">
        <f>IF($R210="","",INDEX(입력_전공의명단!$B$2:$B$401,$R210))</f>
        <v/>
      </c>
      <c r="D210" s="26">
        <f>IF($R210="","",INDEX(입력_전공의명단!$J$2:$J$401,$R210))</f>
        <v/>
      </c>
      <c r="E210" s="26">
        <f>IF($R210="","",INDEX(입력_전공의명단!$F$2:$F$401,$R210))</f>
        <v/>
      </c>
      <c r="F210" s="26">
        <f>IF($R210="","",INDEX(입력_전공의명단!$G$2:$G$401,$R210))</f>
        <v/>
      </c>
      <c r="G210" s="26">
        <f>IF($R210="","",INDEX(입력_전공의명단!$AE$2:$AE$401,$R210))</f>
        <v/>
      </c>
      <c r="H210" s="27">
        <f>IF($R210="","",IF(INDEX(입력_전공의명단!$AE$2:$AE$401,$R210)="서울병원","서울 소속","타 병원 소속("&amp;INDEX(입력_전공의명단!$AE$2:$AE$401,$R210)&amp;") → 서울 지급"))</f>
        <v/>
      </c>
      <c r="I210" s="26">
        <f>IF($R210="","",INDEX(입력_전공의명단!$N$2:$N$401,$R210))</f>
        <v/>
      </c>
      <c r="J210" s="26">
        <f>IF($R210="","",INDEX(입력_전공의명단!$P$2:$P$401,$R210))</f>
        <v/>
      </c>
      <c r="K210" s="26">
        <f>IF($R210="","",INDEX(입력_전공의명단!$Q$2:$Q$401,$R210))</f>
        <v/>
      </c>
      <c r="L210" s="28">
        <f>IF($R210="","",INDEX(입력_전공의명단!$S$2:$S$401,$R210))</f>
        <v/>
      </c>
      <c r="M210" s="28">
        <f>IF($R210="","",INDEX(입력_전공의명단!$T$2:$T$401,$R210))</f>
        <v/>
      </c>
      <c r="N210" s="26">
        <f>IF($R210="","",INDEX(입력_전공의명단!$AH$2:$AH$401,$R210))</f>
        <v/>
      </c>
      <c r="O210" s="26">
        <f>IF($R210="","",INDEX(입력_전공의명단!$AI$2:$AI$401,$R210))</f>
        <v/>
      </c>
      <c r="P210" s="27">
        <f>IF($R210="","",INDEX(입력_전공의명단!$AO$2:$AO$401,$R210))</f>
        <v/>
      </c>
      <c r="Q210" s="27">
        <f>IF($R210="","",INDEX(입력_전공의명단!$Z$2:$Z$401,$R210))</f>
        <v/>
      </c>
      <c r="R210" s="29">
        <f>IFERROR(MATCH(ROW()-5,입력_전공의명단!$AM$2:$AM$401,0),"")</f>
        <v/>
      </c>
    </row>
    <row r="211">
      <c r="A211" s="26">
        <f>IF($R211="","",ROW()-5)</f>
        <v/>
      </c>
      <c r="B211" s="26">
        <f>IF($R211="","",INDEX(입력_전공의명단!$C$2:$C$401,$R211))</f>
        <v/>
      </c>
      <c r="C211" s="26">
        <f>IF($R211="","",INDEX(입력_전공의명단!$B$2:$B$401,$R211))</f>
        <v/>
      </c>
      <c r="D211" s="26">
        <f>IF($R211="","",INDEX(입력_전공의명단!$J$2:$J$401,$R211))</f>
        <v/>
      </c>
      <c r="E211" s="26">
        <f>IF($R211="","",INDEX(입력_전공의명단!$F$2:$F$401,$R211))</f>
        <v/>
      </c>
      <c r="F211" s="26">
        <f>IF($R211="","",INDEX(입력_전공의명단!$G$2:$G$401,$R211))</f>
        <v/>
      </c>
      <c r="G211" s="26">
        <f>IF($R211="","",INDEX(입력_전공의명단!$AE$2:$AE$401,$R211))</f>
        <v/>
      </c>
      <c r="H211" s="27">
        <f>IF($R211="","",IF(INDEX(입력_전공의명단!$AE$2:$AE$401,$R211)="서울병원","서울 소속","타 병원 소속("&amp;INDEX(입력_전공의명단!$AE$2:$AE$401,$R211)&amp;") → 서울 지급"))</f>
        <v/>
      </c>
      <c r="I211" s="26">
        <f>IF($R211="","",INDEX(입력_전공의명단!$N$2:$N$401,$R211))</f>
        <v/>
      </c>
      <c r="J211" s="26">
        <f>IF($R211="","",INDEX(입력_전공의명단!$P$2:$P$401,$R211))</f>
        <v/>
      </c>
      <c r="K211" s="26">
        <f>IF($R211="","",INDEX(입력_전공의명단!$Q$2:$Q$401,$R211))</f>
        <v/>
      </c>
      <c r="L211" s="28">
        <f>IF($R211="","",INDEX(입력_전공의명단!$S$2:$S$401,$R211))</f>
        <v/>
      </c>
      <c r="M211" s="28">
        <f>IF($R211="","",INDEX(입력_전공의명단!$T$2:$T$401,$R211))</f>
        <v/>
      </c>
      <c r="N211" s="26">
        <f>IF($R211="","",INDEX(입력_전공의명단!$AH$2:$AH$401,$R211))</f>
        <v/>
      </c>
      <c r="O211" s="26">
        <f>IF($R211="","",INDEX(입력_전공의명단!$AI$2:$AI$401,$R211))</f>
        <v/>
      </c>
      <c r="P211" s="27">
        <f>IF($R211="","",INDEX(입력_전공의명단!$AO$2:$AO$401,$R211))</f>
        <v/>
      </c>
      <c r="Q211" s="27">
        <f>IF($R211="","",INDEX(입력_전공의명단!$Z$2:$Z$401,$R211))</f>
        <v/>
      </c>
      <c r="R211" s="29">
        <f>IFERROR(MATCH(ROW()-5,입력_전공의명단!$AM$2:$AM$401,0),"")</f>
        <v/>
      </c>
    </row>
    <row r="212">
      <c r="A212" s="26">
        <f>IF($R212="","",ROW()-5)</f>
        <v/>
      </c>
      <c r="B212" s="26">
        <f>IF($R212="","",INDEX(입력_전공의명단!$C$2:$C$401,$R212))</f>
        <v/>
      </c>
      <c r="C212" s="26">
        <f>IF($R212="","",INDEX(입력_전공의명단!$B$2:$B$401,$R212))</f>
        <v/>
      </c>
      <c r="D212" s="26">
        <f>IF($R212="","",INDEX(입력_전공의명단!$J$2:$J$401,$R212))</f>
        <v/>
      </c>
      <c r="E212" s="26">
        <f>IF($R212="","",INDEX(입력_전공의명단!$F$2:$F$401,$R212))</f>
        <v/>
      </c>
      <c r="F212" s="26">
        <f>IF($R212="","",INDEX(입력_전공의명단!$G$2:$G$401,$R212))</f>
        <v/>
      </c>
      <c r="G212" s="26">
        <f>IF($R212="","",INDEX(입력_전공의명단!$AE$2:$AE$401,$R212))</f>
        <v/>
      </c>
      <c r="H212" s="27">
        <f>IF($R212="","",IF(INDEX(입력_전공의명단!$AE$2:$AE$401,$R212)="서울병원","서울 소속","타 병원 소속("&amp;INDEX(입력_전공의명단!$AE$2:$AE$401,$R212)&amp;") → 서울 지급"))</f>
        <v/>
      </c>
      <c r="I212" s="26">
        <f>IF($R212="","",INDEX(입력_전공의명단!$N$2:$N$401,$R212))</f>
        <v/>
      </c>
      <c r="J212" s="26">
        <f>IF($R212="","",INDEX(입력_전공의명단!$P$2:$P$401,$R212))</f>
        <v/>
      </c>
      <c r="K212" s="26">
        <f>IF($R212="","",INDEX(입력_전공의명단!$Q$2:$Q$401,$R212))</f>
        <v/>
      </c>
      <c r="L212" s="28">
        <f>IF($R212="","",INDEX(입력_전공의명단!$S$2:$S$401,$R212))</f>
        <v/>
      </c>
      <c r="M212" s="28">
        <f>IF($R212="","",INDEX(입력_전공의명단!$T$2:$T$401,$R212))</f>
        <v/>
      </c>
      <c r="N212" s="26">
        <f>IF($R212="","",INDEX(입력_전공의명단!$AH$2:$AH$401,$R212))</f>
        <v/>
      </c>
      <c r="O212" s="26">
        <f>IF($R212="","",INDEX(입력_전공의명단!$AI$2:$AI$401,$R212))</f>
        <v/>
      </c>
      <c r="P212" s="27">
        <f>IF($R212="","",INDEX(입력_전공의명단!$AO$2:$AO$401,$R212))</f>
        <v/>
      </c>
      <c r="Q212" s="27">
        <f>IF($R212="","",INDEX(입력_전공의명단!$Z$2:$Z$401,$R212))</f>
        <v/>
      </c>
      <c r="R212" s="29">
        <f>IFERROR(MATCH(ROW()-5,입력_전공의명단!$AM$2:$AM$401,0),"")</f>
        <v/>
      </c>
    </row>
    <row r="213">
      <c r="A213" s="26">
        <f>IF($R213="","",ROW()-5)</f>
        <v/>
      </c>
      <c r="B213" s="26">
        <f>IF($R213="","",INDEX(입력_전공의명단!$C$2:$C$401,$R213))</f>
        <v/>
      </c>
      <c r="C213" s="26">
        <f>IF($R213="","",INDEX(입력_전공의명단!$B$2:$B$401,$R213))</f>
        <v/>
      </c>
      <c r="D213" s="26">
        <f>IF($R213="","",INDEX(입력_전공의명단!$J$2:$J$401,$R213))</f>
        <v/>
      </c>
      <c r="E213" s="26">
        <f>IF($R213="","",INDEX(입력_전공의명단!$F$2:$F$401,$R213))</f>
        <v/>
      </c>
      <c r="F213" s="26">
        <f>IF($R213="","",INDEX(입력_전공의명단!$G$2:$G$401,$R213))</f>
        <v/>
      </c>
      <c r="G213" s="26">
        <f>IF($R213="","",INDEX(입력_전공의명단!$AE$2:$AE$401,$R213))</f>
        <v/>
      </c>
      <c r="H213" s="27">
        <f>IF($R213="","",IF(INDEX(입력_전공의명단!$AE$2:$AE$401,$R213)="서울병원","서울 소속","타 병원 소속("&amp;INDEX(입력_전공의명단!$AE$2:$AE$401,$R213)&amp;") → 서울 지급"))</f>
        <v/>
      </c>
      <c r="I213" s="26">
        <f>IF($R213="","",INDEX(입력_전공의명단!$N$2:$N$401,$R213))</f>
        <v/>
      </c>
      <c r="J213" s="26">
        <f>IF($R213="","",INDEX(입력_전공의명단!$P$2:$P$401,$R213))</f>
        <v/>
      </c>
      <c r="K213" s="26">
        <f>IF($R213="","",INDEX(입력_전공의명단!$Q$2:$Q$401,$R213))</f>
        <v/>
      </c>
      <c r="L213" s="28">
        <f>IF($R213="","",INDEX(입력_전공의명단!$S$2:$S$401,$R213))</f>
        <v/>
      </c>
      <c r="M213" s="28">
        <f>IF($R213="","",INDEX(입력_전공의명단!$T$2:$T$401,$R213))</f>
        <v/>
      </c>
      <c r="N213" s="26">
        <f>IF($R213="","",INDEX(입력_전공의명단!$AH$2:$AH$401,$R213))</f>
        <v/>
      </c>
      <c r="O213" s="26">
        <f>IF($R213="","",INDEX(입력_전공의명단!$AI$2:$AI$401,$R213))</f>
        <v/>
      </c>
      <c r="P213" s="27">
        <f>IF($R213="","",INDEX(입력_전공의명단!$AO$2:$AO$401,$R213))</f>
        <v/>
      </c>
      <c r="Q213" s="27">
        <f>IF($R213="","",INDEX(입력_전공의명단!$Z$2:$Z$401,$R213))</f>
        <v/>
      </c>
      <c r="R213" s="29">
        <f>IFERROR(MATCH(ROW()-5,입력_전공의명단!$AM$2:$AM$401,0),"")</f>
        <v/>
      </c>
    </row>
    <row r="214">
      <c r="A214" s="26">
        <f>IF($R214="","",ROW()-5)</f>
        <v/>
      </c>
      <c r="B214" s="26">
        <f>IF($R214="","",INDEX(입력_전공의명단!$C$2:$C$401,$R214))</f>
        <v/>
      </c>
      <c r="C214" s="26">
        <f>IF($R214="","",INDEX(입력_전공의명단!$B$2:$B$401,$R214))</f>
        <v/>
      </c>
      <c r="D214" s="26">
        <f>IF($R214="","",INDEX(입력_전공의명단!$J$2:$J$401,$R214))</f>
        <v/>
      </c>
      <c r="E214" s="26">
        <f>IF($R214="","",INDEX(입력_전공의명단!$F$2:$F$401,$R214))</f>
        <v/>
      </c>
      <c r="F214" s="26">
        <f>IF($R214="","",INDEX(입력_전공의명단!$G$2:$G$401,$R214))</f>
        <v/>
      </c>
      <c r="G214" s="26">
        <f>IF($R214="","",INDEX(입력_전공의명단!$AE$2:$AE$401,$R214))</f>
        <v/>
      </c>
      <c r="H214" s="27">
        <f>IF($R214="","",IF(INDEX(입력_전공의명단!$AE$2:$AE$401,$R214)="서울병원","서울 소속","타 병원 소속("&amp;INDEX(입력_전공의명단!$AE$2:$AE$401,$R214)&amp;") → 서울 지급"))</f>
        <v/>
      </c>
      <c r="I214" s="26">
        <f>IF($R214="","",INDEX(입력_전공의명단!$N$2:$N$401,$R214))</f>
        <v/>
      </c>
      <c r="J214" s="26">
        <f>IF($R214="","",INDEX(입력_전공의명단!$P$2:$P$401,$R214))</f>
        <v/>
      </c>
      <c r="K214" s="26">
        <f>IF($R214="","",INDEX(입력_전공의명단!$Q$2:$Q$401,$R214))</f>
        <v/>
      </c>
      <c r="L214" s="28">
        <f>IF($R214="","",INDEX(입력_전공의명단!$S$2:$S$401,$R214))</f>
        <v/>
      </c>
      <c r="M214" s="28">
        <f>IF($R214="","",INDEX(입력_전공의명단!$T$2:$T$401,$R214))</f>
        <v/>
      </c>
      <c r="N214" s="26">
        <f>IF($R214="","",INDEX(입력_전공의명단!$AH$2:$AH$401,$R214))</f>
        <v/>
      </c>
      <c r="O214" s="26">
        <f>IF($R214="","",INDEX(입력_전공의명단!$AI$2:$AI$401,$R214))</f>
        <v/>
      </c>
      <c r="P214" s="27">
        <f>IF($R214="","",INDEX(입력_전공의명단!$AO$2:$AO$401,$R214))</f>
        <v/>
      </c>
      <c r="Q214" s="27">
        <f>IF($R214="","",INDEX(입력_전공의명단!$Z$2:$Z$401,$R214))</f>
        <v/>
      </c>
      <c r="R214" s="29">
        <f>IFERROR(MATCH(ROW()-5,입력_전공의명단!$AM$2:$AM$401,0),"")</f>
        <v/>
      </c>
    </row>
    <row r="215">
      <c r="A215" s="26">
        <f>IF($R215="","",ROW()-5)</f>
        <v/>
      </c>
      <c r="B215" s="26">
        <f>IF($R215="","",INDEX(입력_전공의명단!$C$2:$C$401,$R215))</f>
        <v/>
      </c>
      <c r="C215" s="26">
        <f>IF($R215="","",INDEX(입력_전공의명단!$B$2:$B$401,$R215))</f>
        <v/>
      </c>
      <c r="D215" s="26">
        <f>IF($R215="","",INDEX(입력_전공의명단!$J$2:$J$401,$R215))</f>
        <v/>
      </c>
      <c r="E215" s="26">
        <f>IF($R215="","",INDEX(입력_전공의명단!$F$2:$F$401,$R215))</f>
        <v/>
      </c>
      <c r="F215" s="26">
        <f>IF($R215="","",INDEX(입력_전공의명단!$G$2:$G$401,$R215))</f>
        <v/>
      </c>
      <c r="G215" s="26">
        <f>IF($R215="","",INDEX(입력_전공의명단!$AE$2:$AE$401,$R215))</f>
        <v/>
      </c>
      <c r="H215" s="27">
        <f>IF($R215="","",IF(INDEX(입력_전공의명단!$AE$2:$AE$401,$R215)="서울병원","서울 소속","타 병원 소속("&amp;INDEX(입력_전공의명단!$AE$2:$AE$401,$R215)&amp;") → 서울 지급"))</f>
        <v/>
      </c>
      <c r="I215" s="26">
        <f>IF($R215="","",INDEX(입력_전공의명단!$N$2:$N$401,$R215))</f>
        <v/>
      </c>
      <c r="J215" s="26">
        <f>IF($R215="","",INDEX(입력_전공의명단!$P$2:$P$401,$R215))</f>
        <v/>
      </c>
      <c r="K215" s="26">
        <f>IF($R215="","",INDEX(입력_전공의명단!$Q$2:$Q$401,$R215))</f>
        <v/>
      </c>
      <c r="L215" s="28">
        <f>IF($R215="","",INDEX(입력_전공의명단!$S$2:$S$401,$R215))</f>
        <v/>
      </c>
      <c r="M215" s="28">
        <f>IF($R215="","",INDEX(입력_전공의명단!$T$2:$T$401,$R215))</f>
        <v/>
      </c>
      <c r="N215" s="26">
        <f>IF($R215="","",INDEX(입력_전공의명단!$AH$2:$AH$401,$R215))</f>
        <v/>
      </c>
      <c r="O215" s="26">
        <f>IF($R215="","",INDEX(입력_전공의명단!$AI$2:$AI$401,$R215))</f>
        <v/>
      </c>
      <c r="P215" s="27">
        <f>IF($R215="","",INDEX(입력_전공의명단!$AO$2:$AO$401,$R215))</f>
        <v/>
      </c>
      <c r="Q215" s="27">
        <f>IF($R215="","",INDEX(입력_전공의명단!$Z$2:$Z$401,$R215))</f>
        <v/>
      </c>
      <c r="R215" s="29">
        <f>IFERROR(MATCH(ROW()-5,입력_전공의명단!$AM$2:$AM$401,0),"")</f>
        <v/>
      </c>
    </row>
    <row r="216">
      <c r="A216" s="26">
        <f>IF($R216="","",ROW()-5)</f>
        <v/>
      </c>
      <c r="B216" s="26">
        <f>IF($R216="","",INDEX(입력_전공의명단!$C$2:$C$401,$R216))</f>
        <v/>
      </c>
      <c r="C216" s="26">
        <f>IF($R216="","",INDEX(입력_전공의명단!$B$2:$B$401,$R216))</f>
        <v/>
      </c>
      <c r="D216" s="26">
        <f>IF($R216="","",INDEX(입력_전공의명단!$J$2:$J$401,$R216))</f>
        <v/>
      </c>
      <c r="E216" s="26">
        <f>IF($R216="","",INDEX(입력_전공의명단!$F$2:$F$401,$R216))</f>
        <v/>
      </c>
      <c r="F216" s="26">
        <f>IF($R216="","",INDEX(입력_전공의명단!$G$2:$G$401,$R216))</f>
        <v/>
      </c>
      <c r="G216" s="26">
        <f>IF($R216="","",INDEX(입력_전공의명단!$AE$2:$AE$401,$R216))</f>
        <v/>
      </c>
      <c r="H216" s="27">
        <f>IF($R216="","",IF(INDEX(입력_전공의명단!$AE$2:$AE$401,$R216)="서울병원","서울 소속","타 병원 소속("&amp;INDEX(입력_전공의명단!$AE$2:$AE$401,$R216)&amp;") → 서울 지급"))</f>
        <v/>
      </c>
      <c r="I216" s="26">
        <f>IF($R216="","",INDEX(입력_전공의명단!$N$2:$N$401,$R216))</f>
        <v/>
      </c>
      <c r="J216" s="26">
        <f>IF($R216="","",INDEX(입력_전공의명단!$P$2:$P$401,$R216))</f>
        <v/>
      </c>
      <c r="K216" s="26">
        <f>IF($R216="","",INDEX(입력_전공의명단!$Q$2:$Q$401,$R216))</f>
        <v/>
      </c>
      <c r="L216" s="28">
        <f>IF($R216="","",INDEX(입력_전공의명단!$S$2:$S$401,$R216))</f>
        <v/>
      </c>
      <c r="M216" s="28">
        <f>IF($R216="","",INDEX(입력_전공의명단!$T$2:$T$401,$R216))</f>
        <v/>
      </c>
      <c r="N216" s="26">
        <f>IF($R216="","",INDEX(입력_전공의명단!$AH$2:$AH$401,$R216))</f>
        <v/>
      </c>
      <c r="O216" s="26">
        <f>IF($R216="","",INDEX(입력_전공의명단!$AI$2:$AI$401,$R216))</f>
        <v/>
      </c>
      <c r="P216" s="27">
        <f>IF($R216="","",INDEX(입력_전공의명단!$AO$2:$AO$401,$R216))</f>
        <v/>
      </c>
      <c r="Q216" s="27">
        <f>IF($R216="","",INDEX(입력_전공의명단!$Z$2:$Z$401,$R216))</f>
        <v/>
      </c>
      <c r="R216" s="29">
        <f>IFERROR(MATCH(ROW()-5,입력_전공의명단!$AM$2:$AM$401,0),"")</f>
        <v/>
      </c>
    </row>
    <row r="217">
      <c r="A217" s="26">
        <f>IF($R217="","",ROW()-5)</f>
        <v/>
      </c>
      <c r="B217" s="26">
        <f>IF($R217="","",INDEX(입력_전공의명단!$C$2:$C$401,$R217))</f>
        <v/>
      </c>
      <c r="C217" s="26">
        <f>IF($R217="","",INDEX(입력_전공의명단!$B$2:$B$401,$R217))</f>
        <v/>
      </c>
      <c r="D217" s="26">
        <f>IF($R217="","",INDEX(입력_전공의명단!$J$2:$J$401,$R217))</f>
        <v/>
      </c>
      <c r="E217" s="26">
        <f>IF($R217="","",INDEX(입력_전공의명단!$F$2:$F$401,$R217))</f>
        <v/>
      </c>
      <c r="F217" s="26">
        <f>IF($R217="","",INDEX(입력_전공의명단!$G$2:$G$401,$R217))</f>
        <v/>
      </c>
      <c r="G217" s="26">
        <f>IF($R217="","",INDEX(입력_전공의명단!$AE$2:$AE$401,$R217))</f>
        <v/>
      </c>
      <c r="H217" s="27">
        <f>IF($R217="","",IF(INDEX(입력_전공의명단!$AE$2:$AE$401,$R217)="서울병원","서울 소속","타 병원 소속("&amp;INDEX(입력_전공의명단!$AE$2:$AE$401,$R217)&amp;") → 서울 지급"))</f>
        <v/>
      </c>
      <c r="I217" s="26">
        <f>IF($R217="","",INDEX(입력_전공의명단!$N$2:$N$401,$R217))</f>
        <v/>
      </c>
      <c r="J217" s="26">
        <f>IF($R217="","",INDEX(입력_전공의명단!$P$2:$P$401,$R217))</f>
        <v/>
      </c>
      <c r="K217" s="26">
        <f>IF($R217="","",INDEX(입력_전공의명단!$Q$2:$Q$401,$R217))</f>
        <v/>
      </c>
      <c r="L217" s="28">
        <f>IF($R217="","",INDEX(입력_전공의명단!$S$2:$S$401,$R217))</f>
        <v/>
      </c>
      <c r="M217" s="28">
        <f>IF($R217="","",INDEX(입력_전공의명단!$T$2:$T$401,$R217))</f>
        <v/>
      </c>
      <c r="N217" s="26">
        <f>IF($R217="","",INDEX(입력_전공의명단!$AH$2:$AH$401,$R217))</f>
        <v/>
      </c>
      <c r="O217" s="26">
        <f>IF($R217="","",INDEX(입력_전공의명단!$AI$2:$AI$401,$R217))</f>
        <v/>
      </c>
      <c r="P217" s="27">
        <f>IF($R217="","",INDEX(입력_전공의명단!$AO$2:$AO$401,$R217))</f>
        <v/>
      </c>
      <c r="Q217" s="27">
        <f>IF($R217="","",INDEX(입력_전공의명단!$Z$2:$Z$401,$R217))</f>
        <v/>
      </c>
      <c r="R217" s="29">
        <f>IFERROR(MATCH(ROW()-5,입력_전공의명단!$AM$2:$AM$401,0),"")</f>
        <v/>
      </c>
    </row>
    <row r="218">
      <c r="A218" s="26">
        <f>IF($R218="","",ROW()-5)</f>
        <v/>
      </c>
      <c r="B218" s="26">
        <f>IF($R218="","",INDEX(입력_전공의명단!$C$2:$C$401,$R218))</f>
        <v/>
      </c>
      <c r="C218" s="26">
        <f>IF($R218="","",INDEX(입력_전공의명단!$B$2:$B$401,$R218))</f>
        <v/>
      </c>
      <c r="D218" s="26">
        <f>IF($R218="","",INDEX(입력_전공의명단!$J$2:$J$401,$R218))</f>
        <v/>
      </c>
      <c r="E218" s="26">
        <f>IF($R218="","",INDEX(입력_전공의명단!$F$2:$F$401,$R218))</f>
        <v/>
      </c>
      <c r="F218" s="26">
        <f>IF($R218="","",INDEX(입력_전공의명단!$G$2:$G$401,$R218))</f>
        <v/>
      </c>
      <c r="G218" s="26">
        <f>IF($R218="","",INDEX(입력_전공의명단!$AE$2:$AE$401,$R218))</f>
        <v/>
      </c>
      <c r="H218" s="27">
        <f>IF($R218="","",IF(INDEX(입력_전공의명단!$AE$2:$AE$401,$R218)="서울병원","서울 소속","타 병원 소속("&amp;INDEX(입력_전공의명단!$AE$2:$AE$401,$R218)&amp;") → 서울 지급"))</f>
        <v/>
      </c>
      <c r="I218" s="26">
        <f>IF($R218="","",INDEX(입력_전공의명단!$N$2:$N$401,$R218))</f>
        <v/>
      </c>
      <c r="J218" s="26">
        <f>IF($R218="","",INDEX(입력_전공의명단!$P$2:$P$401,$R218))</f>
        <v/>
      </c>
      <c r="K218" s="26">
        <f>IF($R218="","",INDEX(입력_전공의명단!$Q$2:$Q$401,$R218))</f>
        <v/>
      </c>
      <c r="L218" s="28">
        <f>IF($R218="","",INDEX(입력_전공의명단!$S$2:$S$401,$R218))</f>
        <v/>
      </c>
      <c r="M218" s="28">
        <f>IF($R218="","",INDEX(입력_전공의명단!$T$2:$T$401,$R218))</f>
        <v/>
      </c>
      <c r="N218" s="26">
        <f>IF($R218="","",INDEX(입력_전공의명단!$AH$2:$AH$401,$R218))</f>
        <v/>
      </c>
      <c r="O218" s="26">
        <f>IF($R218="","",INDEX(입력_전공의명단!$AI$2:$AI$401,$R218))</f>
        <v/>
      </c>
      <c r="P218" s="27">
        <f>IF($R218="","",INDEX(입력_전공의명단!$AO$2:$AO$401,$R218))</f>
        <v/>
      </c>
      <c r="Q218" s="27">
        <f>IF($R218="","",INDEX(입력_전공의명단!$Z$2:$Z$401,$R218))</f>
        <v/>
      </c>
      <c r="R218" s="29">
        <f>IFERROR(MATCH(ROW()-5,입력_전공의명단!$AM$2:$AM$401,0),"")</f>
        <v/>
      </c>
    </row>
    <row r="219">
      <c r="A219" s="26">
        <f>IF($R219="","",ROW()-5)</f>
        <v/>
      </c>
      <c r="B219" s="26">
        <f>IF($R219="","",INDEX(입력_전공의명단!$C$2:$C$401,$R219))</f>
        <v/>
      </c>
      <c r="C219" s="26">
        <f>IF($R219="","",INDEX(입력_전공의명단!$B$2:$B$401,$R219))</f>
        <v/>
      </c>
      <c r="D219" s="26">
        <f>IF($R219="","",INDEX(입력_전공의명단!$J$2:$J$401,$R219))</f>
        <v/>
      </c>
      <c r="E219" s="26">
        <f>IF($R219="","",INDEX(입력_전공의명단!$F$2:$F$401,$R219))</f>
        <v/>
      </c>
      <c r="F219" s="26">
        <f>IF($R219="","",INDEX(입력_전공의명단!$G$2:$G$401,$R219))</f>
        <v/>
      </c>
      <c r="G219" s="26">
        <f>IF($R219="","",INDEX(입력_전공의명단!$AE$2:$AE$401,$R219))</f>
        <v/>
      </c>
      <c r="H219" s="27">
        <f>IF($R219="","",IF(INDEX(입력_전공의명단!$AE$2:$AE$401,$R219)="서울병원","서울 소속","타 병원 소속("&amp;INDEX(입력_전공의명단!$AE$2:$AE$401,$R219)&amp;") → 서울 지급"))</f>
        <v/>
      </c>
      <c r="I219" s="26">
        <f>IF($R219="","",INDEX(입력_전공의명단!$N$2:$N$401,$R219))</f>
        <v/>
      </c>
      <c r="J219" s="26">
        <f>IF($R219="","",INDEX(입력_전공의명단!$P$2:$P$401,$R219))</f>
        <v/>
      </c>
      <c r="K219" s="26">
        <f>IF($R219="","",INDEX(입력_전공의명단!$Q$2:$Q$401,$R219))</f>
        <v/>
      </c>
      <c r="L219" s="28">
        <f>IF($R219="","",INDEX(입력_전공의명단!$S$2:$S$401,$R219))</f>
        <v/>
      </c>
      <c r="M219" s="28">
        <f>IF($R219="","",INDEX(입력_전공의명단!$T$2:$T$401,$R219))</f>
        <v/>
      </c>
      <c r="N219" s="26">
        <f>IF($R219="","",INDEX(입력_전공의명단!$AH$2:$AH$401,$R219))</f>
        <v/>
      </c>
      <c r="O219" s="26">
        <f>IF($R219="","",INDEX(입력_전공의명단!$AI$2:$AI$401,$R219))</f>
        <v/>
      </c>
      <c r="P219" s="27">
        <f>IF($R219="","",INDEX(입력_전공의명단!$AO$2:$AO$401,$R219))</f>
        <v/>
      </c>
      <c r="Q219" s="27">
        <f>IF($R219="","",INDEX(입력_전공의명단!$Z$2:$Z$401,$R219))</f>
        <v/>
      </c>
      <c r="R219" s="29">
        <f>IFERROR(MATCH(ROW()-5,입력_전공의명단!$AM$2:$AM$401,0),"")</f>
        <v/>
      </c>
    </row>
    <row r="220">
      <c r="A220" s="26">
        <f>IF($R220="","",ROW()-5)</f>
        <v/>
      </c>
      <c r="B220" s="26">
        <f>IF($R220="","",INDEX(입력_전공의명단!$C$2:$C$401,$R220))</f>
        <v/>
      </c>
      <c r="C220" s="26">
        <f>IF($R220="","",INDEX(입력_전공의명단!$B$2:$B$401,$R220))</f>
        <v/>
      </c>
      <c r="D220" s="26">
        <f>IF($R220="","",INDEX(입력_전공의명단!$J$2:$J$401,$R220))</f>
        <v/>
      </c>
      <c r="E220" s="26">
        <f>IF($R220="","",INDEX(입력_전공의명단!$F$2:$F$401,$R220))</f>
        <v/>
      </c>
      <c r="F220" s="26">
        <f>IF($R220="","",INDEX(입력_전공의명단!$G$2:$G$401,$R220))</f>
        <v/>
      </c>
      <c r="G220" s="26">
        <f>IF($R220="","",INDEX(입력_전공의명단!$AE$2:$AE$401,$R220))</f>
        <v/>
      </c>
      <c r="H220" s="27">
        <f>IF($R220="","",IF(INDEX(입력_전공의명단!$AE$2:$AE$401,$R220)="서울병원","서울 소속","타 병원 소속("&amp;INDEX(입력_전공의명단!$AE$2:$AE$401,$R220)&amp;") → 서울 지급"))</f>
        <v/>
      </c>
      <c r="I220" s="26">
        <f>IF($R220="","",INDEX(입력_전공의명단!$N$2:$N$401,$R220))</f>
        <v/>
      </c>
      <c r="J220" s="26">
        <f>IF($R220="","",INDEX(입력_전공의명단!$P$2:$P$401,$R220))</f>
        <v/>
      </c>
      <c r="K220" s="26">
        <f>IF($R220="","",INDEX(입력_전공의명단!$Q$2:$Q$401,$R220))</f>
        <v/>
      </c>
      <c r="L220" s="28">
        <f>IF($R220="","",INDEX(입력_전공의명단!$S$2:$S$401,$R220))</f>
        <v/>
      </c>
      <c r="M220" s="28">
        <f>IF($R220="","",INDEX(입력_전공의명단!$T$2:$T$401,$R220))</f>
        <v/>
      </c>
      <c r="N220" s="26">
        <f>IF($R220="","",INDEX(입력_전공의명단!$AH$2:$AH$401,$R220))</f>
        <v/>
      </c>
      <c r="O220" s="26">
        <f>IF($R220="","",INDEX(입력_전공의명단!$AI$2:$AI$401,$R220))</f>
        <v/>
      </c>
      <c r="P220" s="27">
        <f>IF($R220="","",INDEX(입력_전공의명단!$AO$2:$AO$401,$R220))</f>
        <v/>
      </c>
      <c r="Q220" s="27">
        <f>IF($R220="","",INDEX(입력_전공의명단!$Z$2:$Z$401,$R220))</f>
        <v/>
      </c>
      <c r="R220" s="29">
        <f>IFERROR(MATCH(ROW()-5,입력_전공의명단!$AM$2:$AM$401,0),"")</f>
        <v/>
      </c>
    </row>
    <row r="221">
      <c r="A221" s="26">
        <f>IF($R221="","",ROW()-5)</f>
        <v/>
      </c>
      <c r="B221" s="26">
        <f>IF($R221="","",INDEX(입력_전공의명단!$C$2:$C$401,$R221))</f>
        <v/>
      </c>
      <c r="C221" s="26">
        <f>IF($R221="","",INDEX(입력_전공의명단!$B$2:$B$401,$R221))</f>
        <v/>
      </c>
      <c r="D221" s="26">
        <f>IF($R221="","",INDEX(입력_전공의명단!$J$2:$J$401,$R221))</f>
        <v/>
      </c>
      <c r="E221" s="26">
        <f>IF($R221="","",INDEX(입력_전공의명단!$F$2:$F$401,$R221))</f>
        <v/>
      </c>
      <c r="F221" s="26">
        <f>IF($R221="","",INDEX(입력_전공의명단!$G$2:$G$401,$R221))</f>
        <v/>
      </c>
      <c r="G221" s="26">
        <f>IF($R221="","",INDEX(입력_전공의명단!$AE$2:$AE$401,$R221))</f>
        <v/>
      </c>
      <c r="H221" s="27">
        <f>IF($R221="","",IF(INDEX(입력_전공의명단!$AE$2:$AE$401,$R221)="서울병원","서울 소속","타 병원 소속("&amp;INDEX(입력_전공의명단!$AE$2:$AE$401,$R221)&amp;") → 서울 지급"))</f>
        <v/>
      </c>
      <c r="I221" s="26">
        <f>IF($R221="","",INDEX(입력_전공의명단!$N$2:$N$401,$R221))</f>
        <v/>
      </c>
      <c r="J221" s="26">
        <f>IF($R221="","",INDEX(입력_전공의명단!$P$2:$P$401,$R221))</f>
        <v/>
      </c>
      <c r="K221" s="26">
        <f>IF($R221="","",INDEX(입력_전공의명단!$Q$2:$Q$401,$R221))</f>
        <v/>
      </c>
      <c r="L221" s="28">
        <f>IF($R221="","",INDEX(입력_전공의명단!$S$2:$S$401,$R221))</f>
        <v/>
      </c>
      <c r="M221" s="28">
        <f>IF($R221="","",INDEX(입력_전공의명단!$T$2:$T$401,$R221))</f>
        <v/>
      </c>
      <c r="N221" s="26">
        <f>IF($R221="","",INDEX(입력_전공의명단!$AH$2:$AH$401,$R221))</f>
        <v/>
      </c>
      <c r="O221" s="26">
        <f>IF($R221="","",INDEX(입력_전공의명단!$AI$2:$AI$401,$R221))</f>
        <v/>
      </c>
      <c r="P221" s="27">
        <f>IF($R221="","",INDEX(입력_전공의명단!$AO$2:$AO$401,$R221))</f>
        <v/>
      </c>
      <c r="Q221" s="27">
        <f>IF($R221="","",INDEX(입력_전공의명단!$Z$2:$Z$401,$R221))</f>
        <v/>
      </c>
      <c r="R221" s="29">
        <f>IFERROR(MATCH(ROW()-5,입력_전공의명단!$AM$2:$AM$401,0),"")</f>
        <v/>
      </c>
    </row>
    <row r="222">
      <c r="A222" s="26">
        <f>IF($R222="","",ROW()-5)</f>
        <v/>
      </c>
      <c r="B222" s="26">
        <f>IF($R222="","",INDEX(입력_전공의명단!$C$2:$C$401,$R222))</f>
        <v/>
      </c>
      <c r="C222" s="26">
        <f>IF($R222="","",INDEX(입력_전공의명단!$B$2:$B$401,$R222))</f>
        <v/>
      </c>
      <c r="D222" s="26">
        <f>IF($R222="","",INDEX(입력_전공의명단!$J$2:$J$401,$R222))</f>
        <v/>
      </c>
      <c r="E222" s="26">
        <f>IF($R222="","",INDEX(입력_전공의명단!$F$2:$F$401,$R222))</f>
        <v/>
      </c>
      <c r="F222" s="26">
        <f>IF($R222="","",INDEX(입력_전공의명단!$G$2:$G$401,$R222))</f>
        <v/>
      </c>
      <c r="G222" s="26">
        <f>IF($R222="","",INDEX(입력_전공의명단!$AE$2:$AE$401,$R222))</f>
        <v/>
      </c>
      <c r="H222" s="27">
        <f>IF($R222="","",IF(INDEX(입력_전공의명단!$AE$2:$AE$401,$R222)="서울병원","서울 소속","타 병원 소속("&amp;INDEX(입력_전공의명단!$AE$2:$AE$401,$R222)&amp;") → 서울 지급"))</f>
        <v/>
      </c>
      <c r="I222" s="26">
        <f>IF($R222="","",INDEX(입력_전공의명단!$N$2:$N$401,$R222))</f>
        <v/>
      </c>
      <c r="J222" s="26">
        <f>IF($R222="","",INDEX(입력_전공의명단!$P$2:$P$401,$R222))</f>
        <v/>
      </c>
      <c r="K222" s="26">
        <f>IF($R222="","",INDEX(입력_전공의명단!$Q$2:$Q$401,$R222))</f>
        <v/>
      </c>
      <c r="L222" s="28">
        <f>IF($R222="","",INDEX(입력_전공의명단!$S$2:$S$401,$R222))</f>
        <v/>
      </c>
      <c r="M222" s="28">
        <f>IF($R222="","",INDEX(입력_전공의명단!$T$2:$T$401,$R222))</f>
        <v/>
      </c>
      <c r="N222" s="26">
        <f>IF($R222="","",INDEX(입력_전공의명단!$AH$2:$AH$401,$R222))</f>
        <v/>
      </c>
      <c r="O222" s="26">
        <f>IF($R222="","",INDEX(입력_전공의명단!$AI$2:$AI$401,$R222))</f>
        <v/>
      </c>
      <c r="P222" s="27">
        <f>IF($R222="","",INDEX(입력_전공의명단!$AO$2:$AO$401,$R222))</f>
        <v/>
      </c>
      <c r="Q222" s="27">
        <f>IF($R222="","",INDEX(입력_전공의명단!$Z$2:$Z$401,$R222))</f>
        <v/>
      </c>
      <c r="R222" s="29">
        <f>IFERROR(MATCH(ROW()-5,입력_전공의명단!$AM$2:$AM$401,0),"")</f>
        <v/>
      </c>
    </row>
    <row r="223">
      <c r="A223" s="26">
        <f>IF($R223="","",ROW()-5)</f>
        <v/>
      </c>
      <c r="B223" s="26">
        <f>IF($R223="","",INDEX(입력_전공의명단!$C$2:$C$401,$R223))</f>
        <v/>
      </c>
      <c r="C223" s="26">
        <f>IF($R223="","",INDEX(입력_전공의명단!$B$2:$B$401,$R223))</f>
        <v/>
      </c>
      <c r="D223" s="26">
        <f>IF($R223="","",INDEX(입력_전공의명단!$J$2:$J$401,$R223))</f>
        <v/>
      </c>
      <c r="E223" s="26">
        <f>IF($R223="","",INDEX(입력_전공의명단!$F$2:$F$401,$R223))</f>
        <v/>
      </c>
      <c r="F223" s="26">
        <f>IF($R223="","",INDEX(입력_전공의명단!$G$2:$G$401,$R223))</f>
        <v/>
      </c>
      <c r="G223" s="26">
        <f>IF($R223="","",INDEX(입력_전공의명단!$AE$2:$AE$401,$R223))</f>
        <v/>
      </c>
      <c r="H223" s="27">
        <f>IF($R223="","",IF(INDEX(입력_전공의명단!$AE$2:$AE$401,$R223)="서울병원","서울 소속","타 병원 소속("&amp;INDEX(입력_전공의명단!$AE$2:$AE$401,$R223)&amp;") → 서울 지급"))</f>
        <v/>
      </c>
      <c r="I223" s="26">
        <f>IF($R223="","",INDEX(입력_전공의명단!$N$2:$N$401,$R223))</f>
        <v/>
      </c>
      <c r="J223" s="26">
        <f>IF($R223="","",INDEX(입력_전공의명단!$P$2:$P$401,$R223))</f>
        <v/>
      </c>
      <c r="K223" s="26">
        <f>IF($R223="","",INDEX(입력_전공의명단!$Q$2:$Q$401,$R223))</f>
        <v/>
      </c>
      <c r="L223" s="28">
        <f>IF($R223="","",INDEX(입력_전공의명단!$S$2:$S$401,$R223))</f>
        <v/>
      </c>
      <c r="M223" s="28">
        <f>IF($R223="","",INDEX(입력_전공의명단!$T$2:$T$401,$R223))</f>
        <v/>
      </c>
      <c r="N223" s="26">
        <f>IF($R223="","",INDEX(입력_전공의명단!$AH$2:$AH$401,$R223))</f>
        <v/>
      </c>
      <c r="O223" s="26">
        <f>IF($R223="","",INDEX(입력_전공의명단!$AI$2:$AI$401,$R223))</f>
        <v/>
      </c>
      <c r="P223" s="27">
        <f>IF($R223="","",INDEX(입력_전공의명단!$AO$2:$AO$401,$R223))</f>
        <v/>
      </c>
      <c r="Q223" s="27">
        <f>IF($R223="","",INDEX(입력_전공의명단!$Z$2:$Z$401,$R223))</f>
        <v/>
      </c>
      <c r="R223" s="29">
        <f>IFERROR(MATCH(ROW()-5,입력_전공의명단!$AM$2:$AM$401,0),"")</f>
        <v/>
      </c>
    </row>
    <row r="224">
      <c r="A224" s="26">
        <f>IF($R224="","",ROW()-5)</f>
        <v/>
      </c>
      <c r="B224" s="26">
        <f>IF($R224="","",INDEX(입력_전공의명단!$C$2:$C$401,$R224))</f>
        <v/>
      </c>
      <c r="C224" s="26">
        <f>IF($R224="","",INDEX(입력_전공의명단!$B$2:$B$401,$R224))</f>
        <v/>
      </c>
      <c r="D224" s="26">
        <f>IF($R224="","",INDEX(입력_전공의명단!$J$2:$J$401,$R224))</f>
        <v/>
      </c>
      <c r="E224" s="26">
        <f>IF($R224="","",INDEX(입력_전공의명단!$F$2:$F$401,$R224))</f>
        <v/>
      </c>
      <c r="F224" s="26">
        <f>IF($R224="","",INDEX(입력_전공의명단!$G$2:$G$401,$R224))</f>
        <v/>
      </c>
      <c r="G224" s="26">
        <f>IF($R224="","",INDEX(입력_전공의명단!$AE$2:$AE$401,$R224))</f>
        <v/>
      </c>
      <c r="H224" s="27">
        <f>IF($R224="","",IF(INDEX(입력_전공의명단!$AE$2:$AE$401,$R224)="서울병원","서울 소속","타 병원 소속("&amp;INDEX(입력_전공의명단!$AE$2:$AE$401,$R224)&amp;") → 서울 지급"))</f>
        <v/>
      </c>
      <c r="I224" s="26">
        <f>IF($R224="","",INDEX(입력_전공의명단!$N$2:$N$401,$R224))</f>
        <v/>
      </c>
      <c r="J224" s="26">
        <f>IF($R224="","",INDEX(입력_전공의명단!$P$2:$P$401,$R224))</f>
        <v/>
      </c>
      <c r="K224" s="26">
        <f>IF($R224="","",INDEX(입력_전공의명단!$Q$2:$Q$401,$R224))</f>
        <v/>
      </c>
      <c r="L224" s="28">
        <f>IF($R224="","",INDEX(입력_전공의명단!$S$2:$S$401,$R224))</f>
        <v/>
      </c>
      <c r="M224" s="28">
        <f>IF($R224="","",INDEX(입력_전공의명단!$T$2:$T$401,$R224))</f>
        <v/>
      </c>
      <c r="N224" s="26">
        <f>IF($R224="","",INDEX(입력_전공의명단!$AH$2:$AH$401,$R224))</f>
        <v/>
      </c>
      <c r="O224" s="26">
        <f>IF($R224="","",INDEX(입력_전공의명단!$AI$2:$AI$401,$R224))</f>
        <v/>
      </c>
      <c r="P224" s="27">
        <f>IF($R224="","",INDEX(입력_전공의명단!$AO$2:$AO$401,$R224))</f>
        <v/>
      </c>
      <c r="Q224" s="27">
        <f>IF($R224="","",INDEX(입력_전공의명단!$Z$2:$Z$401,$R224))</f>
        <v/>
      </c>
      <c r="R224" s="29">
        <f>IFERROR(MATCH(ROW()-5,입력_전공의명단!$AM$2:$AM$401,0),"")</f>
        <v/>
      </c>
    </row>
    <row r="225">
      <c r="A225" s="26">
        <f>IF($R225="","",ROW()-5)</f>
        <v/>
      </c>
      <c r="B225" s="26">
        <f>IF($R225="","",INDEX(입력_전공의명단!$C$2:$C$401,$R225))</f>
        <v/>
      </c>
      <c r="C225" s="26">
        <f>IF($R225="","",INDEX(입력_전공의명단!$B$2:$B$401,$R225))</f>
        <v/>
      </c>
      <c r="D225" s="26">
        <f>IF($R225="","",INDEX(입력_전공의명단!$J$2:$J$401,$R225))</f>
        <v/>
      </c>
      <c r="E225" s="26">
        <f>IF($R225="","",INDEX(입력_전공의명단!$F$2:$F$401,$R225))</f>
        <v/>
      </c>
      <c r="F225" s="26">
        <f>IF($R225="","",INDEX(입력_전공의명단!$G$2:$G$401,$R225))</f>
        <v/>
      </c>
      <c r="G225" s="26">
        <f>IF($R225="","",INDEX(입력_전공의명단!$AE$2:$AE$401,$R225))</f>
        <v/>
      </c>
      <c r="H225" s="27">
        <f>IF($R225="","",IF(INDEX(입력_전공의명단!$AE$2:$AE$401,$R225)="서울병원","서울 소속","타 병원 소속("&amp;INDEX(입력_전공의명단!$AE$2:$AE$401,$R225)&amp;") → 서울 지급"))</f>
        <v/>
      </c>
      <c r="I225" s="26">
        <f>IF($R225="","",INDEX(입력_전공의명단!$N$2:$N$401,$R225))</f>
        <v/>
      </c>
      <c r="J225" s="26">
        <f>IF($R225="","",INDEX(입력_전공의명단!$P$2:$P$401,$R225))</f>
        <v/>
      </c>
      <c r="K225" s="26">
        <f>IF($R225="","",INDEX(입력_전공의명단!$Q$2:$Q$401,$R225))</f>
        <v/>
      </c>
      <c r="L225" s="28">
        <f>IF($R225="","",INDEX(입력_전공의명단!$S$2:$S$401,$R225))</f>
        <v/>
      </c>
      <c r="M225" s="28">
        <f>IF($R225="","",INDEX(입력_전공의명단!$T$2:$T$401,$R225))</f>
        <v/>
      </c>
      <c r="N225" s="26">
        <f>IF($R225="","",INDEX(입력_전공의명단!$AH$2:$AH$401,$R225))</f>
        <v/>
      </c>
      <c r="O225" s="26">
        <f>IF($R225="","",INDEX(입력_전공의명단!$AI$2:$AI$401,$R225))</f>
        <v/>
      </c>
      <c r="P225" s="27">
        <f>IF($R225="","",INDEX(입력_전공의명단!$AO$2:$AO$401,$R225))</f>
        <v/>
      </c>
      <c r="Q225" s="27">
        <f>IF($R225="","",INDEX(입력_전공의명단!$Z$2:$Z$401,$R225))</f>
        <v/>
      </c>
      <c r="R225" s="29">
        <f>IFERROR(MATCH(ROW()-5,입력_전공의명단!$AM$2:$AM$401,0),"")</f>
        <v/>
      </c>
    </row>
    <row r="226">
      <c r="A226" s="26">
        <f>IF($R226="","",ROW()-5)</f>
        <v/>
      </c>
      <c r="B226" s="26">
        <f>IF($R226="","",INDEX(입력_전공의명단!$C$2:$C$401,$R226))</f>
        <v/>
      </c>
      <c r="C226" s="26">
        <f>IF($R226="","",INDEX(입력_전공의명단!$B$2:$B$401,$R226))</f>
        <v/>
      </c>
      <c r="D226" s="26">
        <f>IF($R226="","",INDEX(입력_전공의명단!$J$2:$J$401,$R226))</f>
        <v/>
      </c>
      <c r="E226" s="26">
        <f>IF($R226="","",INDEX(입력_전공의명단!$F$2:$F$401,$R226))</f>
        <v/>
      </c>
      <c r="F226" s="26">
        <f>IF($R226="","",INDEX(입력_전공의명단!$G$2:$G$401,$R226))</f>
        <v/>
      </c>
      <c r="G226" s="26">
        <f>IF($R226="","",INDEX(입력_전공의명단!$AE$2:$AE$401,$R226))</f>
        <v/>
      </c>
      <c r="H226" s="27">
        <f>IF($R226="","",IF(INDEX(입력_전공의명단!$AE$2:$AE$401,$R226)="서울병원","서울 소속","타 병원 소속("&amp;INDEX(입력_전공의명단!$AE$2:$AE$401,$R226)&amp;") → 서울 지급"))</f>
        <v/>
      </c>
      <c r="I226" s="26">
        <f>IF($R226="","",INDEX(입력_전공의명단!$N$2:$N$401,$R226))</f>
        <v/>
      </c>
      <c r="J226" s="26">
        <f>IF($R226="","",INDEX(입력_전공의명단!$P$2:$P$401,$R226))</f>
        <v/>
      </c>
      <c r="K226" s="26">
        <f>IF($R226="","",INDEX(입력_전공의명단!$Q$2:$Q$401,$R226))</f>
        <v/>
      </c>
      <c r="L226" s="28">
        <f>IF($R226="","",INDEX(입력_전공의명단!$S$2:$S$401,$R226))</f>
        <v/>
      </c>
      <c r="M226" s="28">
        <f>IF($R226="","",INDEX(입력_전공의명단!$T$2:$T$401,$R226))</f>
        <v/>
      </c>
      <c r="N226" s="26">
        <f>IF($R226="","",INDEX(입력_전공의명단!$AH$2:$AH$401,$R226))</f>
        <v/>
      </c>
      <c r="O226" s="26">
        <f>IF($R226="","",INDEX(입력_전공의명단!$AI$2:$AI$401,$R226))</f>
        <v/>
      </c>
      <c r="P226" s="27">
        <f>IF($R226="","",INDEX(입력_전공의명단!$AO$2:$AO$401,$R226))</f>
        <v/>
      </c>
      <c r="Q226" s="27">
        <f>IF($R226="","",INDEX(입력_전공의명단!$Z$2:$Z$401,$R226))</f>
        <v/>
      </c>
      <c r="R226" s="29">
        <f>IFERROR(MATCH(ROW()-5,입력_전공의명단!$AM$2:$AM$401,0),"")</f>
        <v/>
      </c>
    </row>
    <row r="227">
      <c r="A227" s="26">
        <f>IF($R227="","",ROW()-5)</f>
        <v/>
      </c>
      <c r="B227" s="26">
        <f>IF($R227="","",INDEX(입력_전공의명단!$C$2:$C$401,$R227))</f>
        <v/>
      </c>
      <c r="C227" s="26">
        <f>IF($R227="","",INDEX(입력_전공의명단!$B$2:$B$401,$R227))</f>
        <v/>
      </c>
      <c r="D227" s="26">
        <f>IF($R227="","",INDEX(입력_전공의명단!$J$2:$J$401,$R227))</f>
        <v/>
      </c>
      <c r="E227" s="26">
        <f>IF($R227="","",INDEX(입력_전공의명단!$F$2:$F$401,$R227))</f>
        <v/>
      </c>
      <c r="F227" s="26">
        <f>IF($R227="","",INDEX(입력_전공의명단!$G$2:$G$401,$R227))</f>
        <v/>
      </c>
      <c r="G227" s="26">
        <f>IF($R227="","",INDEX(입력_전공의명단!$AE$2:$AE$401,$R227))</f>
        <v/>
      </c>
      <c r="H227" s="27">
        <f>IF($R227="","",IF(INDEX(입력_전공의명단!$AE$2:$AE$401,$R227)="서울병원","서울 소속","타 병원 소속("&amp;INDEX(입력_전공의명단!$AE$2:$AE$401,$R227)&amp;") → 서울 지급"))</f>
        <v/>
      </c>
      <c r="I227" s="26">
        <f>IF($R227="","",INDEX(입력_전공의명단!$N$2:$N$401,$R227))</f>
        <v/>
      </c>
      <c r="J227" s="26">
        <f>IF($R227="","",INDEX(입력_전공의명단!$P$2:$P$401,$R227))</f>
        <v/>
      </c>
      <c r="K227" s="26">
        <f>IF($R227="","",INDEX(입력_전공의명단!$Q$2:$Q$401,$R227))</f>
        <v/>
      </c>
      <c r="L227" s="28">
        <f>IF($R227="","",INDEX(입력_전공의명단!$S$2:$S$401,$R227))</f>
        <v/>
      </c>
      <c r="M227" s="28">
        <f>IF($R227="","",INDEX(입력_전공의명단!$T$2:$T$401,$R227))</f>
        <v/>
      </c>
      <c r="N227" s="26">
        <f>IF($R227="","",INDEX(입력_전공의명단!$AH$2:$AH$401,$R227))</f>
        <v/>
      </c>
      <c r="O227" s="26">
        <f>IF($R227="","",INDEX(입력_전공의명단!$AI$2:$AI$401,$R227))</f>
        <v/>
      </c>
      <c r="P227" s="27">
        <f>IF($R227="","",INDEX(입력_전공의명단!$AO$2:$AO$401,$R227))</f>
        <v/>
      </c>
      <c r="Q227" s="27">
        <f>IF($R227="","",INDEX(입력_전공의명단!$Z$2:$Z$401,$R227))</f>
        <v/>
      </c>
      <c r="R227" s="29">
        <f>IFERROR(MATCH(ROW()-5,입력_전공의명단!$AM$2:$AM$401,0),"")</f>
        <v/>
      </c>
    </row>
    <row r="228">
      <c r="A228" s="26">
        <f>IF($R228="","",ROW()-5)</f>
        <v/>
      </c>
      <c r="B228" s="26">
        <f>IF($R228="","",INDEX(입력_전공의명단!$C$2:$C$401,$R228))</f>
        <v/>
      </c>
      <c r="C228" s="26">
        <f>IF($R228="","",INDEX(입력_전공의명단!$B$2:$B$401,$R228))</f>
        <v/>
      </c>
      <c r="D228" s="26">
        <f>IF($R228="","",INDEX(입력_전공의명단!$J$2:$J$401,$R228))</f>
        <v/>
      </c>
      <c r="E228" s="26">
        <f>IF($R228="","",INDEX(입력_전공의명단!$F$2:$F$401,$R228))</f>
        <v/>
      </c>
      <c r="F228" s="26">
        <f>IF($R228="","",INDEX(입력_전공의명단!$G$2:$G$401,$R228))</f>
        <v/>
      </c>
      <c r="G228" s="26">
        <f>IF($R228="","",INDEX(입력_전공의명단!$AE$2:$AE$401,$R228))</f>
        <v/>
      </c>
      <c r="H228" s="27">
        <f>IF($R228="","",IF(INDEX(입력_전공의명단!$AE$2:$AE$401,$R228)="서울병원","서울 소속","타 병원 소속("&amp;INDEX(입력_전공의명단!$AE$2:$AE$401,$R228)&amp;") → 서울 지급"))</f>
        <v/>
      </c>
      <c r="I228" s="26">
        <f>IF($R228="","",INDEX(입력_전공의명단!$N$2:$N$401,$R228))</f>
        <v/>
      </c>
      <c r="J228" s="26">
        <f>IF($R228="","",INDEX(입력_전공의명단!$P$2:$P$401,$R228))</f>
        <v/>
      </c>
      <c r="K228" s="26">
        <f>IF($R228="","",INDEX(입력_전공의명단!$Q$2:$Q$401,$R228))</f>
        <v/>
      </c>
      <c r="L228" s="28">
        <f>IF($R228="","",INDEX(입력_전공의명단!$S$2:$S$401,$R228))</f>
        <v/>
      </c>
      <c r="M228" s="28">
        <f>IF($R228="","",INDEX(입력_전공의명단!$T$2:$T$401,$R228))</f>
        <v/>
      </c>
      <c r="N228" s="26">
        <f>IF($R228="","",INDEX(입력_전공의명단!$AH$2:$AH$401,$R228))</f>
        <v/>
      </c>
      <c r="O228" s="26">
        <f>IF($R228="","",INDEX(입력_전공의명단!$AI$2:$AI$401,$R228))</f>
        <v/>
      </c>
      <c r="P228" s="27">
        <f>IF($R228="","",INDEX(입력_전공의명단!$AO$2:$AO$401,$R228))</f>
        <v/>
      </c>
      <c r="Q228" s="27">
        <f>IF($R228="","",INDEX(입력_전공의명단!$Z$2:$Z$401,$R228))</f>
        <v/>
      </c>
      <c r="R228" s="29">
        <f>IFERROR(MATCH(ROW()-5,입력_전공의명단!$AM$2:$AM$401,0),"")</f>
        <v/>
      </c>
    </row>
    <row r="229">
      <c r="A229" s="26">
        <f>IF($R229="","",ROW()-5)</f>
        <v/>
      </c>
      <c r="B229" s="26">
        <f>IF($R229="","",INDEX(입력_전공의명단!$C$2:$C$401,$R229))</f>
        <v/>
      </c>
      <c r="C229" s="26">
        <f>IF($R229="","",INDEX(입력_전공의명단!$B$2:$B$401,$R229))</f>
        <v/>
      </c>
      <c r="D229" s="26">
        <f>IF($R229="","",INDEX(입력_전공의명단!$J$2:$J$401,$R229))</f>
        <v/>
      </c>
      <c r="E229" s="26">
        <f>IF($R229="","",INDEX(입력_전공의명단!$F$2:$F$401,$R229))</f>
        <v/>
      </c>
      <c r="F229" s="26">
        <f>IF($R229="","",INDEX(입력_전공의명단!$G$2:$G$401,$R229))</f>
        <v/>
      </c>
      <c r="G229" s="26">
        <f>IF($R229="","",INDEX(입력_전공의명단!$AE$2:$AE$401,$R229))</f>
        <v/>
      </c>
      <c r="H229" s="27">
        <f>IF($R229="","",IF(INDEX(입력_전공의명단!$AE$2:$AE$401,$R229)="서울병원","서울 소속","타 병원 소속("&amp;INDEX(입력_전공의명단!$AE$2:$AE$401,$R229)&amp;") → 서울 지급"))</f>
        <v/>
      </c>
      <c r="I229" s="26">
        <f>IF($R229="","",INDEX(입력_전공의명단!$N$2:$N$401,$R229))</f>
        <v/>
      </c>
      <c r="J229" s="26">
        <f>IF($R229="","",INDEX(입력_전공의명단!$P$2:$P$401,$R229))</f>
        <v/>
      </c>
      <c r="K229" s="26">
        <f>IF($R229="","",INDEX(입력_전공의명단!$Q$2:$Q$401,$R229))</f>
        <v/>
      </c>
      <c r="L229" s="28">
        <f>IF($R229="","",INDEX(입력_전공의명단!$S$2:$S$401,$R229))</f>
        <v/>
      </c>
      <c r="M229" s="28">
        <f>IF($R229="","",INDEX(입력_전공의명단!$T$2:$T$401,$R229))</f>
        <v/>
      </c>
      <c r="N229" s="26">
        <f>IF($R229="","",INDEX(입력_전공의명단!$AH$2:$AH$401,$R229))</f>
        <v/>
      </c>
      <c r="O229" s="26">
        <f>IF($R229="","",INDEX(입력_전공의명단!$AI$2:$AI$401,$R229))</f>
        <v/>
      </c>
      <c r="P229" s="27">
        <f>IF($R229="","",INDEX(입력_전공의명단!$AO$2:$AO$401,$R229))</f>
        <v/>
      </c>
      <c r="Q229" s="27">
        <f>IF($R229="","",INDEX(입력_전공의명단!$Z$2:$Z$401,$R229))</f>
        <v/>
      </c>
      <c r="R229" s="29">
        <f>IFERROR(MATCH(ROW()-5,입력_전공의명단!$AM$2:$AM$401,0),"")</f>
        <v/>
      </c>
    </row>
    <row r="230">
      <c r="A230" s="26">
        <f>IF($R230="","",ROW()-5)</f>
        <v/>
      </c>
      <c r="B230" s="26">
        <f>IF($R230="","",INDEX(입력_전공의명단!$C$2:$C$401,$R230))</f>
        <v/>
      </c>
      <c r="C230" s="26">
        <f>IF($R230="","",INDEX(입력_전공의명단!$B$2:$B$401,$R230))</f>
        <v/>
      </c>
      <c r="D230" s="26">
        <f>IF($R230="","",INDEX(입력_전공의명단!$J$2:$J$401,$R230))</f>
        <v/>
      </c>
      <c r="E230" s="26">
        <f>IF($R230="","",INDEX(입력_전공의명단!$F$2:$F$401,$R230))</f>
        <v/>
      </c>
      <c r="F230" s="26">
        <f>IF($R230="","",INDEX(입력_전공의명단!$G$2:$G$401,$R230))</f>
        <v/>
      </c>
      <c r="G230" s="26">
        <f>IF($R230="","",INDEX(입력_전공의명단!$AE$2:$AE$401,$R230))</f>
        <v/>
      </c>
      <c r="H230" s="27">
        <f>IF($R230="","",IF(INDEX(입력_전공의명단!$AE$2:$AE$401,$R230)="서울병원","서울 소속","타 병원 소속("&amp;INDEX(입력_전공의명단!$AE$2:$AE$401,$R230)&amp;") → 서울 지급"))</f>
        <v/>
      </c>
      <c r="I230" s="26">
        <f>IF($R230="","",INDEX(입력_전공의명단!$N$2:$N$401,$R230))</f>
        <v/>
      </c>
      <c r="J230" s="26">
        <f>IF($R230="","",INDEX(입력_전공의명단!$P$2:$P$401,$R230))</f>
        <v/>
      </c>
      <c r="K230" s="26">
        <f>IF($R230="","",INDEX(입력_전공의명단!$Q$2:$Q$401,$R230))</f>
        <v/>
      </c>
      <c r="L230" s="28">
        <f>IF($R230="","",INDEX(입력_전공의명단!$S$2:$S$401,$R230))</f>
        <v/>
      </c>
      <c r="M230" s="28">
        <f>IF($R230="","",INDEX(입력_전공의명단!$T$2:$T$401,$R230))</f>
        <v/>
      </c>
      <c r="N230" s="26">
        <f>IF($R230="","",INDEX(입력_전공의명단!$AH$2:$AH$401,$R230))</f>
        <v/>
      </c>
      <c r="O230" s="26">
        <f>IF($R230="","",INDEX(입력_전공의명단!$AI$2:$AI$401,$R230))</f>
        <v/>
      </c>
      <c r="P230" s="27">
        <f>IF($R230="","",INDEX(입력_전공의명단!$AO$2:$AO$401,$R230))</f>
        <v/>
      </c>
      <c r="Q230" s="27">
        <f>IF($R230="","",INDEX(입력_전공의명단!$Z$2:$Z$401,$R230))</f>
        <v/>
      </c>
      <c r="R230" s="29">
        <f>IFERROR(MATCH(ROW()-5,입력_전공의명단!$AM$2:$AM$401,0),"")</f>
        <v/>
      </c>
    </row>
    <row r="231">
      <c r="A231" s="26">
        <f>IF($R231="","",ROW()-5)</f>
        <v/>
      </c>
      <c r="B231" s="26">
        <f>IF($R231="","",INDEX(입력_전공의명단!$C$2:$C$401,$R231))</f>
        <v/>
      </c>
      <c r="C231" s="26">
        <f>IF($R231="","",INDEX(입력_전공의명단!$B$2:$B$401,$R231))</f>
        <v/>
      </c>
      <c r="D231" s="26">
        <f>IF($R231="","",INDEX(입력_전공의명단!$J$2:$J$401,$R231))</f>
        <v/>
      </c>
      <c r="E231" s="26">
        <f>IF($R231="","",INDEX(입력_전공의명단!$F$2:$F$401,$R231))</f>
        <v/>
      </c>
      <c r="F231" s="26">
        <f>IF($R231="","",INDEX(입력_전공의명단!$G$2:$G$401,$R231))</f>
        <v/>
      </c>
      <c r="G231" s="26">
        <f>IF($R231="","",INDEX(입력_전공의명단!$AE$2:$AE$401,$R231))</f>
        <v/>
      </c>
      <c r="H231" s="27">
        <f>IF($R231="","",IF(INDEX(입력_전공의명단!$AE$2:$AE$401,$R231)="서울병원","서울 소속","타 병원 소속("&amp;INDEX(입력_전공의명단!$AE$2:$AE$401,$R231)&amp;") → 서울 지급"))</f>
        <v/>
      </c>
      <c r="I231" s="26">
        <f>IF($R231="","",INDEX(입력_전공의명단!$N$2:$N$401,$R231))</f>
        <v/>
      </c>
      <c r="J231" s="26">
        <f>IF($R231="","",INDEX(입력_전공의명단!$P$2:$P$401,$R231))</f>
        <v/>
      </c>
      <c r="K231" s="26">
        <f>IF($R231="","",INDEX(입력_전공의명단!$Q$2:$Q$401,$R231))</f>
        <v/>
      </c>
      <c r="L231" s="28">
        <f>IF($R231="","",INDEX(입력_전공의명단!$S$2:$S$401,$R231))</f>
        <v/>
      </c>
      <c r="M231" s="28">
        <f>IF($R231="","",INDEX(입력_전공의명단!$T$2:$T$401,$R231))</f>
        <v/>
      </c>
      <c r="N231" s="26">
        <f>IF($R231="","",INDEX(입력_전공의명단!$AH$2:$AH$401,$R231))</f>
        <v/>
      </c>
      <c r="O231" s="26">
        <f>IF($R231="","",INDEX(입력_전공의명단!$AI$2:$AI$401,$R231))</f>
        <v/>
      </c>
      <c r="P231" s="27">
        <f>IF($R231="","",INDEX(입력_전공의명단!$AO$2:$AO$401,$R231))</f>
        <v/>
      </c>
      <c r="Q231" s="27">
        <f>IF($R231="","",INDEX(입력_전공의명단!$Z$2:$Z$401,$R231))</f>
        <v/>
      </c>
      <c r="R231" s="29">
        <f>IFERROR(MATCH(ROW()-5,입력_전공의명단!$AM$2:$AM$401,0),"")</f>
        <v/>
      </c>
    </row>
    <row r="232">
      <c r="A232" s="26">
        <f>IF($R232="","",ROW()-5)</f>
        <v/>
      </c>
      <c r="B232" s="26">
        <f>IF($R232="","",INDEX(입력_전공의명단!$C$2:$C$401,$R232))</f>
        <v/>
      </c>
      <c r="C232" s="26">
        <f>IF($R232="","",INDEX(입력_전공의명단!$B$2:$B$401,$R232))</f>
        <v/>
      </c>
      <c r="D232" s="26">
        <f>IF($R232="","",INDEX(입력_전공의명단!$J$2:$J$401,$R232))</f>
        <v/>
      </c>
      <c r="E232" s="26">
        <f>IF($R232="","",INDEX(입력_전공의명단!$F$2:$F$401,$R232))</f>
        <v/>
      </c>
      <c r="F232" s="26">
        <f>IF($R232="","",INDEX(입력_전공의명단!$G$2:$G$401,$R232))</f>
        <v/>
      </c>
      <c r="G232" s="26">
        <f>IF($R232="","",INDEX(입력_전공의명단!$AE$2:$AE$401,$R232))</f>
        <v/>
      </c>
      <c r="H232" s="27">
        <f>IF($R232="","",IF(INDEX(입력_전공의명단!$AE$2:$AE$401,$R232)="서울병원","서울 소속","타 병원 소속("&amp;INDEX(입력_전공의명단!$AE$2:$AE$401,$R232)&amp;") → 서울 지급"))</f>
        <v/>
      </c>
      <c r="I232" s="26">
        <f>IF($R232="","",INDEX(입력_전공의명단!$N$2:$N$401,$R232))</f>
        <v/>
      </c>
      <c r="J232" s="26">
        <f>IF($R232="","",INDEX(입력_전공의명단!$P$2:$P$401,$R232))</f>
        <v/>
      </c>
      <c r="K232" s="26">
        <f>IF($R232="","",INDEX(입력_전공의명단!$Q$2:$Q$401,$R232))</f>
        <v/>
      </c>
      <c r="L232" s="28">
        <f>IF($R232="","",INDEX(입력_전공의명단!$S$2:$S$401,$R232))</f>
        <v/>
      </c>
      <c r="M232" s="28">
        <f>IF($R232="","",INDEX(입력_전공의명단!$T$2:$T$401,$R232))</f>
        <v/>
      </c>
      <c r="N232" s="26">
        <f>IF($R232="","",INDEX(입력_전공의명단!$AH$2:$AH$401,$R232))</f>
        <v/>
      </c>
      <c r="O232" s="26">
        <f>IF($R232="","",INDEX(입력_전공의명단!$AI$2:$AI$401,$R232))</f>
        <v/>
      </c>
      <c r="P232" s="27">
        <f>IF($R232="","",INDEX(입력_전공의명단!$AO$2:$AO$401,$R232))</f>
        <v/>
      </c>
      <c r="Q232" s="27">
        <f>IF($R232="","",INDEX(입력_전공의명단!$Z$2:$Z$401,$R232))</f>
        <v/>
      </c>
      <c r="R232" s="29">
        <f>IFERROR(MATCH(ROW()-5,입력_전공의명단!$AM$2:$AM$401,0),"")</f>
        <v/>
      </c>
    </row>
    <row r="233">
      <c r="A233" s="26">
        <f>IF($R233="","",ROW()-5)</f>
        <v/>
      </c>
      <c r="B233" s="26">
        <f>IF($R233="","",INDEX(입력_전공의명단!$C$2:$C$401,$R233))</f>
        <v/>
      </c>
      <c r="C233" s="26">
        <f>IF($R233="","",INDEX(입력_전공의명단!$B$2:$B$401,$R233))</f>
        <v/>
      </c>
      <c r="D233" s="26">
        <f>IF($R233="","",INDEX(입력_전공의명단!$J$2:$J$401,$R233))</f>
        <v/>
      </c>
      <c r="E233" s="26">
        <f>IF($R233="","",INDEX(입력_전공의명단!$F$2:$F$401,$R233))</f>
        <v/>
      </c>
      <c r="F233" s="26">
        <f>IF($R233="","",INDEX(입력_전공의명단!$G$2:$G$401,$R233))</f>
        <v/>
      </c>
      <c r="G233" s="26">
        <f>IF($R233="","",INDEX(입력_전공의명단!$AE$2:$AE$401,$R233))</f>
        <v/>
      </c>
      <c r="H233" s="27">
        <f>IF($R233="","",IF(INDEX(입력_전공의명단!$AE$2:$AE$401,$R233)="서울병원","서울 소속","타 병원 소속("&amp;INDEX(입력_전공의명단!$AE$2:$AE$401,$R233)&amp;") → 서울 지급"))</f>
        <v/>
      </c>
      <c r="I233" s="26">
        <f>IF($R233="","",INDEX(입력_전공의명단!$N$2:$N$401,$R233))</f>
        <v/>
      </c>
      <c r="J233" s="26">
        <f>IF($R233="","",INDEX(입력_전공의명단!$P$2:$P$401,$R233))</f>
        <v/>
      </c>
      <c r="K233" s="26">
        <f>IF($R233="","",INDEX(입력_전공의명단!$Q$2:$Q$401,$R233))</f>
        <v/>
      </c>
      <c r="L233" s="28">
        <f>IF($R233="","",INDEX(입력_전공의명단!$S$2:$S$401,$R233))</f>
        <v/>
      </c>
      <c r="M233" s="28">
        <f>IF($R233="","",INDEX(입력_전공의명단!$T$2:$T$401,$R233))</f>
        <v/>
      </c>
      <c r="N233" s="26">
        <f>IF($R233="","",INDEX(입력_전공의명단!$AH$2:$AH$401,$R233))</f>
        <v/>
      </c>
      <c r="O233" s="26">
        <f>IF($R233="","",INDEX(입력_전공의명단!$AI$2:$AI$401,$R233))</f>
        <v/>
      </c>
      <c r="P233" s="27">
        <f>IF($R233="","",INDEX(입력_전공의명단!$AO$2:$AO$401,$R233))</f>
        <v/>
      </c>
      <c r="Q233" s="27">
        <f>IF($R233="","",INDEX(입력_전공의명단!$Z$2:$Z$401,$R233))</f>
        <v/>
      </c>
      <c r="R233" s="29">
        <f>IFERROR(MATCH(ROW()-5,입력_전공의명단!$AM$2:$AM$401,0),"")</f>
        <v/>
      </c>
    </row>
    <row r="234">
      <c r="A234" s="26">
        <f>IF($R234="","",ROW()-5)</f>
        <v/>
      </c>
      <c r="B234" s="26">
        <f>IF($R234="","",INDEX(입력_전공의명단!$C$2:$C$401,$R234))</f>
        <v/>
      </c>
      <c r="C234" s="26">
        <f>IF($R234="","",INDEX(입력_전공의명단!$B$2:$B$401,$R234))</f>
        <v/>
      </c>
      <c r="D234" s="26">
        <f>IF($R234="","",INDEX(입력_전공의명단!$J$2:$J$401,$R234))</f>
        <v/>
      </c>
      <c r="E234" s="26">
        <f>IF($R234="","",INDEX(입력_전공의명단!$F$2:$F$401,$R234))</f>
        <v/>
      </c>
      <c r="F234" s="26">
        <f>IF($R234="","",INDEX(입력_전공의명단!$G$2:$G$401,$R234))</f>
        <v/>
      </c>
      <c r="G234" s="26">
        <f>IF($R234="","",INDEX(입력_전공의명단!$AE$2:$AE$401,$R234))</f>
        <v/>
      </c>
      <c r="H234" s="27">
        <f>IF($R234="","",IF(INDEX(입력_전공의명단!$AE$2:$AE$401,$R234)="서울병원","서울 소속","타 병원 소속("&amp;INDEX(입력_전공의명단!$AE$2:$AE$401,$R234)&amp;") → 서울 지급"))</f>
        <v/>
      </c>
      <c r="I234" s="26">
        <f>IF($R234="","",INDEX(입력_전공의명단!$N$2:$N$401,$R234))</f>
        <v/>
      </c>
      <c r="J234" s="26">
        <f>IF($R234="","",INDEX(입력_전공의명단!$P$2:$P$401,$R234))</f>
        <v/>
      </c>
      <c r="K234" s="26">
        <f>IF($R234="","",INDEX(입력_전공의명단!$Q$2:$Q$401,$R234))</f>
        <v/>
      </c>
      <c r="L234" s="28">
        <f>IF($R234="","",INDEX(입력_전공의명단!$S$2:$S$401,$R234))</f>
        <v/>
      </c>
      <c r="M234" s="28">
        <f>IF($R234="","",INDEX(입력_전공의명단!$T$2:$T$401,$R234))</f>
        <v/>
      </c>
      <c r="N234" s="26">
        <f>IF($R234="","",INDEX(입력_전공의명단!$AH$2:$AH$401,$R234))</f>
        <v/>
      </c>
      <c r="O234" s="26">
        <f>IF($R234="","",INDEX(입력_전공의명단!$AI$2:$AI$401,$R234))</f>
        <v/>
      </c>
      <c r="P234" s="27">
        <f>IF($R234="","",INDEX(입력_전공의명단!$AO$2:$AO$401,$R234))</f>
        <v/>
      </c>
      <c r="Q234" s="27">
        <f>IF($R234="","",INDEX(입력_전공의명단!$Z$2:$Z$401,$R234))</f>
        <v/>
      </c>
      <c r="R234" s="29">
        <f>IFERROR(MATCH(ROW()-5,입력_전공의명단!$AM$2:$AM$401,0),"")</f>
        <v/>
      </c>
    </row>
    <row r="235">
      <c r="A235" s="26">
        <f>IF($R235="","",ROW()-5)</f>
        <v/>
      </c>
      <c r="B235" s="26">
        <f>IF($R235="","",INDEX(입력_전공의명단!$C$2:$C$401,$R235))</f>
        <v/>
      </c>
      <c r="C235" s="26">
        <f>IF($R235="","",INDEX(입력_전공의명단!$B$2:$B$401,$R235))</f>
        <v/>
      </c>
      <c r="D235" s="26">
        <f>IF($R235="","",INDEX(입력_전공의명단!$J$2:$J$401,$R235))</f>
        <v/>
      </c>
      <c r="E235" s="26">
        <f>IF($R235="","",INDEX(입력_전공의명단!$F$2:$F$401,$R235))</f>
        <v/>
      </c>
      <c r="F235" s="26">
        <f>IF($R235="","",INDEX(입력_전공의명단!$G$2:$G$401,$R235))</f>
        <v/>
      </c>
      <c r="G235" s="26">
        <f>IF($R235="","",INDEX(입력_전공의명단!$AE$2:$AE$401,$R235))</f>
        <v/>
      </c>
      <c r="H235" s="27">
        <f>IF($R235="","",IF(INDEX(입력_전공의명단!$AE$2:$AE$401,$R235)="서울병원","서울 소속","타 병원 소속("&amp;INDEX(입력_전공의명단!$AE$2:$AE$401,$R235)&amp;") → 서울 지급"))</f>
        <v/>
      </c>
      <c r="I235" s="26">
        <f>IF($R235="","",INDEX(입력_전공의명단!$N$2:$N$401,$R235))</f>
        <v/>
      </c>
      <c r="J235" s="26">
        <f>IF($R235="","",INDEX(입력_전공의명단!$P$2:$P$401,$R235))</f>
        <v/>
      </c>
      <c r="K235" s="26">
        <f>IF($R235="","",INDEX(입력_전공의명단!$Q$2:$Q$401,$R235))</f>
        <v/>
      </c>
      <c r="L235" s="28">
        <f>IF($R235="","",INDEX(입력_전공의명단!$S$2:$S$401,$R235))</f>
        <v/>
      </c>
      <c r="M235" s="28">
        <f>IF($R235="","",INDEX(입력_전공의명단!$T$2:$T$401,$R235))</f>
        <v/>
      </c>
      <c r="N235" s="26">
        <f>IF($R235="","",INDEX(입력_전공의명단!$AH$2:$AH$401,$R235))</f>
        <v/>
      </c>
      <c r="O235" s="26">
        <f>IF($R235="","",INDEX(입력_전공의명단!$AI$2:$AI$401,$R235))</f>
        <v/>
      </c>
      <c r="P235" s="27">
        <f>IF($R235="","",INDEX(입력_전공의명단!$AO$2:$AO$401,$R235))</f>
        <v/>
      </c>
      <c r="Q235" s="27">
        <f>IF($R235="","",INDEX(입력_전공의명단!$Z$2:$Z$401,$R235))</f>
        <v/>
      </c>
      <c r="R235" s="29">
        <f>IFERROR(MATCH(ROW()-5,입력_전공의명단!$AM$2:$AM$401,0),"")</f>
        <v/>
      </c>
    </row>
    <row r="236">
      <c r="A236" s="26">
        <f>IF($R236="","",ROW()-5)</f>
        <v/>
      </c>
      <c r="B236" s="26">
        <f>IF($R236="","",INDEX(입력_전공의명단!$C$2:$C$401,$R236))</f>
        <v/>
      </c>
      <c r="C236" s="26">
        <f>IF($R236="","",INDEX(입력_전공의명단!$B$2:$B$401,$R236))</f>
        <v/>
      </c>
      <c r="D236" s="26">
        <f>IF($R236="","",INDEX(입력_전공의명단!$J$2:$J$401,$R236))</f>
        <v/>
      </c>
      <c r="E236" s="26">
        <f>IF($R236="","",INDEX(입력_전공의명단!$F$2:$F$401,$R236))</f>
        <v/>
      </c>
      <c r="F236" s="26">
        <f>IF($R236="","",INDEX(입력_전공의명단!$G$2:$G$401,$R236))</f>
        <v/>
      </c>
      <c r="G236" s="26">
        <f>IF($R236="","",INDEX(입력_전공의명단!$AE$2:$AE$401,$R236))</f>
        <v/>
      </c>
      <c r="H236" s="27">
        <f>IF($R236="","",IF(INDEX(입력_전공의명단!$AE$2:$AE$401,$R236)="서울병원","서울 소속","타 병원 소속("&amp;INDEX(입력_전공의명단!$AE$2:$AE$401,$R236)&amp;") → 서울 지급"))</f>
        <v/>
      </c>
      <c r="I236" s="26">
        <f>IF($R236="","",INDEX(입력_전공의명단!$N$2:$N$401,$R236))</f>
        <v/>
      </c>
      <c r="J236" s="26">
        <f>IF($R236="","",INDEX(입력_전공의명단!$P$2:$P$401,$R236))</f>
        <v/>
      </c>
      <c r="K236" s="26">
        <f>IF($R236="","",INDEX(입력_전공의명단!$Q$2:$Q$401,$R236))</f>
        <v/>
      </c>
      <c r="L236" s="28">
        <f>IF($R236="","",INDEX(입력_전공의명단!$S$2:$S$401,$R236))</f>
        <v/>
      </c>
      <c r="M236" s="28">
        <f>IF($R236="","",INDEX(입력_전공의명단!$T$2:$T$401,$R236))</f>
        <v/>
      </c>
      <c r="N236" s="26">
        <f>IF($R236="","",INDEX(입력_전공의명단!$AH$2:$AH$401,$R236))</f>
        <v/>
      </c>
      <c r="O236" s="26">
        <f>IF($R236="","",INDEX(입력_전공의명단!$AI$2:$AI$401,$R236))</f>
        <v/>
      </c>
      <c r="P236" s="27">
        <f>IF($R236="","",INDEX(입력_전공의명단!$AO$2:$AO$401,$R236))</f>
        <v/>
      </c>
      <c r="Q236" s="27">
        <f>IF($R236="","",INDEX(입력_전공의명단!$Z$2:$Z$401,$R236))</f>
        <v/>
      </c>
      <c r="R236" s="29">
        <f>IFERROR(MATCH(ROW()-5,입력_전공의명단!$AM$2:$AM$401,0),"")</f>
        <v/>
      </c>
    </row>
    <row r="237">
      <c r="A237" s="26">
        <f>IF($R237="","",ROW()-5)</f>
        <v/>
      </c>
      <c r="B237" s="26">
        <f>IF($R237="","",INDEX(입력_전공의명단!$C$2:$C$401,$R237))</f>
        <v/>
      </c>
      <c r="C237" s="26">
        <f>IF($R237="","",INDEX(입력_전공의명단!$B$2:$B$401,$R237))</f>
        <v/>
      </c>
      <c r="D237" s="26">
        <f>IF($R237="","",INDEX(입력_전공의명단!$J$2:$J$401,$R237))</f>
        <v/>
      </c>
      <c r="E237" s="26">
        <f>IF($R237="","",INDEX(입력_전공의명단!$F$2:$F$401,$R237))</f>
        <v/>
      </c>
      <c r="F237" s="26">
        <f>IF($R237="","",INDEX(입력_전공의명단!$G$2:$G$401,$R237))</f>
        <v/>
      </c>
      <c r="G237" s="26">
        <f>IF($R237="","",INDEX(입력_전공의명단!$AE$2:$AE$401,$R237))</f>
        <v/>
      </c>
      <c r="H237" s="27">
        <f>IF($R237="","",IF(INDEX(입력_전공의명단!$AE$2:$AE$401,$R237)="서울병원","서울 소속","타 병원 소속("&amp;INDEX(입력_전공의명단!$AE$2:$AE$401,$R237)&amp;") → 서울 지급"))</f>
        <v/>
      </c>
      <c r="I237" s="26">
        <f>IF($R237="","",INDEX(입력_전공의명단!$N$2:$N$401,$R237))</f>
        <v/>
      </c>
      <c r="J237" s="26">
        <f>IF($R237="","",INDEX(입력_전공의명단!$P$2:$P$401,$R237))</f>
        <v/>
      </c>
      <c r="K237" s="26">
        <f>IF($R237="","",INDEX(입력_전공의명단!$Q$2:$Q$401,$R237))</f>
        <v/>
      </c>
      <c r="L237" s="28">
        <f>IF($R237="","",INDEX(입력_전공의명단!$S$2:$S$401,$R237))</f>
        <v/>
      </c>
      <c r="M237" s="28">
        <f>IF($R237="","",INDEX(입력_전공의명단!$T$2:$T$401,$R237))</f>
        <v/>
      </c>
      <c r="N237" s="26">
        <f>IF($R237="","",INDEX(입력_전공의명단!$AH$2:$AH$401,$R237))</f>
        <v/>
      </c>
      <c r="O237" s="26">
        <f>IF($R237="","",INDEX(입력_전공의명단!$AI$2:$AI$401,$R237))</f>
        <v/>
      </c>
      <c r="P237" s="27">
        <f>IF($R237="","",INDEX(입력_전공의명단!$AO$2:$AO$401,$R237))</f>
        <v/>
      </c>
      <c r="Q237" s="27">
        <f>IF($R237="","",INDEX(입력_전공의명단!$Z$2:$Z$401,$R237))</f>
        <v/>
      </c>
      <c r="R237" s="29">
        <f>IFERROR(MATCH(ROW()-5,입력_전공의명단!$AM$2:$AM$401,0),"")</f>
        <v/>
      </c>
    </row>
    <row r="238">
      <c r="A238" s="26">
        <f>IF($R238="","",ROW()-5)</f>
        <v/>
      </c>
      <c r="B238" s="26">
        <f>IF($R238="","",INDEX(입력_전공의명단!$C$2:$C$401,$R238))</f>
        <v/>
      </c>
      <c r="C238" s="26">
        <f>IF($R238="","",INDEX(입력_전공의명단!$B$2:$B$401,$R238))</f>
        <v/>
      </c>
      <c r="D238" s="26">
        <f>IF($R238="","",INDEX(입력_전공의명단!$J$2:$J$401,$R238))</f>
        <v/>
      </c>
      <c r="E238" s="26">
        <f>IF($R238="","",INDEX(입력_전공의명단!$F$2:$F$401,$R238))</f>
        <v/>
      </c>
      <c r="F238" s="26">
        <f>IF($R238="","",INDEX(입력_전공의명단!$G$2:$G$401,$R238))</f>
        <v/>
      </c>
      <c r="G238" s="26">
        <f>IF($R238="","",INDEX(입력_전공의명단!$AE$2:$AE$401,$R238))</f>
        <v/>
      </c>
      <c r="H238" s="27">
        <f>IF($R238="","",IF(INDEX(입력_전공의명단!$AE$2:$AE$401,$R238)="서울병원","서울 소속","타 병원 소속("&amp;INDEX(입력_전공의명단!$AE$2:$AE$401,$R238)&amp;") → 서울 지급"))</f>
        <v/>
      </c>
      <c r="I238" s="26">
        <f>IF($R238="","",INDEX(입력_전공의명단!$N$2:$N$401,$R238))</f>
        <v/>
      </c>
      <c r="J238" s="26">
        <f>IF($R238="","",INDEX(입력_전공의명단!$P$2:$P$401,$R238))</f>
        <v/>
      </c>
      <c r="K238" s="26">
        <f>IF($R238="","",INDEX(입력_전공의명단!$Q$2:$Q$401,$R238))</f>
        <v/>
      </c>
      <c r="L238" s="28">
        <f>IF($R238="","",INDEX(입력_전공의명단!$S$2:$S$401,$R238))</f>
        <v/>
      </c>
      <c r="M238" s="28">
        <f>IF($R238="","",INDEX(입력_전공의명단!$T$2:$T$401,$R238))</f>
        <v/>
      </c>
      <c r="N238" s="26">
        <f>IF($R238="","",INDEX(입력_전공의명단!$AH$2:$AH$401,$R238))</f>
        <v/>
      </c>
      <c r="O238" s="26">
        <f>IF($R238="","",INDEX(입력_전공의명단!$AI$2:$AI$401,$R238))</f>
        <v/>
      </c>
      <c r="P238" s="27">
        <f>IF($R238="","",INDEX(입력_전공의명단!$AO$2:$AO$401,$R238))</f>
        <v/>
      </c>
      <c r="Q238" s="27">
        <f>IF($R238="","",INDEX(입력_전공의명단!$Z$2:$Z$401,$R238))</f>
        <v/>
      </c>
      <c r="R238" s="29">
        <f>IFERROR(MATCH(ROW()-5,입력_전공의명단!$AM$2:$AM$401,0),"")</f>
        <v/>
      </c>
    </row>
    <row r="239">
      <c r="A239" s="26">
        <f>IF($R239="","",ROW()-5)</f>
        <v/>
      </c>
      <c r="B239" s="26">
        <f>IF($R239="","",INDEX(입력_전공의명단!$C$2:$C$401,$R239))</f>
        <v/>
      </c>
      <c r="C239" s="26">
        <f>IF($R239="","",INDEX(입력_전공의명단!$B$2:$B$401,$R239))</f>
        <v/>
      </c>
      <c r="D239" s="26">
        <f>IF($R239="","",INDEX(입력_전공의명단!$J$2:$J$401,$R239))</f>
        <v/>
      </c>
      <c r="E239" s="26">
        <f>IF($R239="","",INDEX(입력_전공의명단!$F$2:$F$401,$R239))</f>
        <v/>
      </c>
      <c r="F239" s="26">
        <f>IF($R239="","",INDEX(입력_전공의명단!$G$2:$G$401,$R239))</f>
        <v/>
      </c>
      <c r="G239" s="26">
        <f>IF($R239="","",INDEX(입력_전공의명단!$AE$2:$AE$401,$R239))</f>
        <v/>
      </c>
      <c r="H239" s="27">
        <f>IF($R239="","",IF(INDEX(입력_전공의명단!$AE$2:$AE$401,$R239)="서울병원","서울 소속","타 병원 소속("&amp;INDEX(입력_전공의명단!$AE$2:$AE$401,$R239)&amp;") → 서울 지급"))</f>
        <v/>
      </c>
      <c r="I239" s="26">
        <f>IF($R239="","",INDEX(입력_전공의명단!$N$2:$N$401,$R239))</f>
        <v/>
      </c>
      <c r="J239" s="26">
        <f>IF($R239="","",INDEX(입력_전공의명단!$P$2:$P$401,$R239))</f>
        <v/>
      </c>
      <c r="K239" s="26">
        <f>IF($R239="","",INDEX(입력_전공의명단!$Q$2:$Q$401,$R239))</f>
        <v/>
      </c>
      <c r="L239" s="28">
        <f>IF($R239="","",INDEX(입력_전공의명단!$S$2:$S$401,$R239))</f>
        <v/>
      </c>
      <c r="M239" s="28">
        <f>IF($R239="","",INDEX(입력_전공의명단!$T$2:$T$401,$R239))</f>
        <v/>
      </c>
      <c r="N239" s="26">
        <f>IF($R239="","",INDEX(입력_전공의명단!$AH$2:$AH$401,$R239))</f>
        <v/>
      </c>
      <c r="O239" s="26">
        <f>IF($R239="","",INDEX(입력_전공의명단!$AI$2:$AI$401,$R239))</f>
        <v/>
      </c>
      <c r="P239" s="27">
        <f>IF($R239="","",INDEX(입력_전공의명단!$AO$2:$AO$401,$R239))</f>
        <v/>
      </c>
      <c r="Q239" s="27">
        <f>IF($R239="","",INDEX(입력_전공의명단!$Z$2:$Z$401,$R239))</f>
        <v/>
      </c>
      <c r="R239" s="29">
        <f>IFERROR(MATCH(ROW()-5,입력_전공의명단!$AM$2:$AM$401,0),"")</f>
        <v/>
      </c>
    </row>
    <row r="240">
      <c r="A240" s="26">
        <f>IF($R240="","",ROW()-5)</f>
        <v/>
      </c>
      <c r="B240" s="26">
        <f>IF($R240="","",INDEX(입력_전공의명단!$C$2:$C$401,$R240))</f>
        <v/>
      </c>
      <c r="C240" s="26">
        <f>IF($R240="","",INDEX(입력_전공의명단!$B$2:$B$401,$R240))</f>
        <v/>
      </c>
      <c r="D240" s="26">
        <f>IF($R240="","",INDEX(입력_전공의명단!$J$2:$J$401,$R240))</f>
        <v/>
      </c>
      <c r="E240" s="26">
        <f>IF($R240="","",INDEX(입력_전공의명단!$F$2:$F$401,$R240))</f>
        <v/>
      </c>
      <c r="F240" s="26">
        <f>IF($R240="","",INDEX(입력_전공의명단!$G$2:$G$401,$R240))</f>
        <v/>
      </c>
      <c r="G240" s="26">
        <f>IF($R240="","",INDEX(입력_전공의명단!$AE$2:$AE$401,$R240))</f>
        <v/>
      </c>
      <c r="H240" s="27">
        <f>IF($R240="","",IF(INDEX(입력_전공의명단!$AE$2:$AE$401,$R240)="서울병원","서울 소속","타 병원 소속("&amp;INDEX(입력_전공의명단!$AE$2:$AE$401,$R240)&amp;") → 서울 지급"))</f>
        <v/>
      </c>
      <c r="I240" s="26">
        <f>IF($R240="","",INDEX(입력_전공의명단!$N$2:$N$401,$R240))</f>
        <v/>
      </c>
      <c r="J240" s="26">
        <f>IF($R240="","",INDEX(입력_전공의명단!$P$2:$P$401,$R240))</f>
        <v/>
      </c>
      <c r="K240" s="26">
        <f>IF($R240="","",INDEX(입력_전공의명단!$Q$2:$Q$401,$R240))</f>
        <v/>
      </c>
      <c r="L240" s="28">
        <f>IF($R240="","",INDEX(입력_전공의명단!$S$2:$S$401,$R240))</f>
        <v/>
      </c>
      <c r="M240" s="28">
        <f>IF($R240="","",INDEX(입력_전공의명단!$T$2:$T$401,$R240))</f>
        <v/>
      </c>
      <c r="N240" s="26">
        <f>IF($R240="","",INDEX(입력_전공의명단!$AH$2:$AH$401,$R240))</f>
        <v/>
      </c>
      <c r="O240" s="26">
        <f>IF($R240="","",INDEX(입력_전공의명단!$AI$2:$AI$401,$R240))</f>
        <v/>
      </c>
      <c r="P240" s="27">
        <f>IF($R240="","",INDEX(입력_전공의명단!$AO$2:$AO$401,$R240))</f>
        <v/>
      </c>
      <c r="Q240" s="27">
        <f>IF($R240="","",INDEX(입력_전공의명단!$Z$2:$Z$401,$R240))</f>
        <v/>
      </c>
      <c r="R240" s="29">
        <f>IFERROR(MATCH(ROW()-5,입력_전공의명단!$AM$2:$AM$401,0),"")</f>
        <v/>
      </c>
    </row>
    <row r="241">
      <c r="A241" s="26">
        <f>IF($R241="","",ROW()-5)</f>
        <v/>
      </c>
      <c r="B241" s="26">
        <f>IF($R241="","",INDEX(입력_전공의명단!$C$2:$C$401,$R241))</f>
        <v/>
      </c>
      <c r="C241" s="26">
        <f>IF($R241="","",INDEX(입력_전공의명단!$B$2:$B$401,$R241))</f>
        <v/>
      </c>
      <c r="D241" s="26">
        <f>IF($R241="","",INDEX(입력_전공의명단!$J$2:$J$401,$R241))</f>
        <v/>
      </c>
      <c r="E241" s="26">
        <f>IF($R241="","",INDEX(입력_전공의명단!$F$2:$F$401,$R241))</f>
        <v/>
      </c>
      <c r="F241" s="26">
        <f>IF($R241="","",INDEX(입력_전공의명단!$G$2:$G$401,$R241))</f>
        <v/>
      </c>
      <c r="G241" s="26">
        <f>IF($R241="","",INDEX(입력_전공의명단!$AE$2:$AE$401,$R241))</f>
        <v/>
      </c>
      <c r="H241" s="27">
        <f>IF($R241="","",IF(INDEX(입력_전공의명단!$AE$2:$AE$401,$R241)="서울병원","서울 소속","타 병원 소속("&amp;INDEX(입력_전공의명단!$AE$2:$AE$401,$R241)&amp;") → 서울 지급"))</f>
        <v/>
      </c>
      <c r="I241" s="26">
        <f>IF($R241="","",INDEX(입력_전공의명단!$N$2:$N$401,$R241))</f>
        <v/>
      </c>
      <c r="J241" s="26">
        <f>IF($R241="","",INDEX(입력_전공의명단!$P$2:$P$401,$R241))</f>
        <v/>
      </c>
      <c r="K241" s="26">
        <f>IF($R241="","",INDEX(입력_전공의명단!$Q$2:$Q$401,$R241))</f>
        <v/>
      </c>
      <c r="L241" s="28">
        <f>IF($R241="","",INDEX(입력_전공의명단!$S$2:$S$401,$R241))</f>
        <v/>
      </c>
      <c r="M241" s="28">
        <f>IF($R241="","",INDEX(입력_전공의명단!$T$2:$T$401,$R241))</f>
        <v/>
      </c>
      <c r="N241" s="26">
        <f>IF($R241="","",INDEX(입력_전공의명단!$AH$2:$AH$401,$R241))</f>
        <v/>
      </c>
      <c r="O241" s="26">
        <f>IF($R241="","",INDEX(입력_전공의명단!$AI$2:$AI$401,$R241))</f>
        <v/>
      </c>
      <c r="P241" s="27">
        <f>IF($R241="","",INDEX(입력_전공의명단!$AO$2:$AO$401,$R241))</f>
        <v/>
      </c>
      <c r="Q241" s="27">
        <f>IF($R241="","",INDEX(입력_전공의명단!$Z$2:$Z$401,$R241))</f>
        <v/>
      </c>
      <c r="R241" s="29">
        <f>IFERROR(MATCH(ROW()-5,입력_전공의명단!$AM$2:$AM$401,0),"")</f>
        <v/>
      </c>
    </row>
    <row r="242">
      <c r="A242" s="26">
        <f>IF($R242="","",ROW()-5)</f>
        <v/>
      </c>
      <c r="B242" s="26">
        <f>IF($R242="","",INDEX(입력_전공의명단!$C$2:$C$401,$R242))</f>
        <v/>
      </c>
      <c r="C242" s="26">
        <f>IF($R242="","",INDEX(입력_전공의명단!$B$2:$B$401,$R242))</f>
        <v/>
      </c>
      <c r="D242" s="26">
        <f>IF($R242="","",INDEX(입력_전공의명단!$J$2:$J$401,$R242))</f>
        <v/>
      </c>
      <c r="E242" s="26">
        <f>IF($R242="","",INDEX(입력_전공의명단!$F$2:$F$401,$R242))</f>
        <v/>
      </c>
      <c r="F242" s="26">
        <f>IF($R242="","",INDEX(입력_전공의명단!$G$2:$G$401,$R242))</f>
        <v/>
      </c>
      <c r="G242" s="26">
        <f>IF($R242="","",INDEX(입력_전공의명단!$AE$2:$AE$401,$R242))</f>
        <v/>
      </c>
      <c r="H242" s="27">
        <f>IF($R242="","",IF(INDEX(입력_전공의명단!$AE$2:$AE$401,$R242)="서울병원","서울 소속","타 병원 소속("&amp;INDEX(입력_전공의명단!$AE$2:$AE$401,$R242)&amp;") → 서울 지급"))</f>
        <v/>
      </c>
      <c r="I242" s="26">
        <f>IF($R242="","",INDEX(입력_전공의명단!$N$2:$N$401,$R242))</f>
        <v/>
      </c>
      <c r="J242" s="26">
        <f>IF($R242="","",INDEX(입력_전공의명단!$P$2:$P$401,$R242))</f>
        <v/>
      </c>
      <c r="K242" s="26">
        <f>IF($R242="","",INDEX(입력_전공의명단!$Q$2:$Q$401,$R242))</f>
        <v/>
      </c>
      <c r="L242" s="28">
        <f>IF($R242="","",INDEX(입력_전공의명단!$S$2:$S$401,$R242))</f>
        <v/>
      </c>
      <c r="M242" s="28">
        <f>IF($R242="","",INDEX(입력_전공의명단!$T$2:$T$401,$R242))</f>
        <v/>
      </c>
      <c r="N242" s="26">
        <f>IF($R242="","",INDEX(입력_전공의명단!$AH$2:$AH$401,$R242))</f>
        <v/>
      </c>
      <c r="O242" s="26">
        <f>IF($R242="","",INDEX(입력_전공의명단!$AI$2:$AI$401,$R242))</f>
        <v/>
      </c>
      <c r="P242" s="27">
        <f>IF($R242="","",INDEX(입력_전공의명단!$AO$2:$AO$401,$R242))</f>
        <v/>
      </c>
      <c r="Q242" s="27">
        <f>IF($R242="","",INDEX(입력_전공의명단!$Z$2:$Z$401,$R242))</f>
        <v/>
      </c>
      <c r="R242" s="29">
        <f>IFERROR(MATCH(ROW()-5,입력_전공의명단!$AM$2:$AM$401,0),"")</f>
        <v/>
      </c>
    </row>
    <row r="243">
      <c r="A243" s="26">
        <f>IF($R243="","",ROW()-5)</f>
        <v/>
      </c>
      <c r="B243" s="26">
        <f>IF($R243="","",INDEX(입력_전공의명단!$C$2:$C$401,$R243))</f>
        <v/>
      </c>
      <c r="C243" s="26">
        <f>IF($R243="","",INDEX(입력_전공의명단!$B$2:$B$401,$R243))</f>
        <v/>
      </c>
      <c r="D243" s="26">
        <f>IF($R243="","",INDEX(입력_전공의명단!$J$2:$J$401,$R243))</f>
        <v/>
      </c>
      <c r="E243" s="26">
        <f>IF($R243="","",INDEX(입력_전공의명단!$F$2:$F$401,$R243))</f>
        <v/>
      </c>
      <c r="F243" s="26">
        <f>IF($R243="","",INDEX(입력_전공의명단!$G$2:$G$401,$R243))</f>
        <v/>
      </c>
      <c r="G243" s="26">
        <f>IF($R243="","",INDEX(입력_전공의명단!$AE$2:$AE$401,$R243))</f>
        <v/>
      </c>
      <c r="H243" s="27">
        <f>IF($R243="","",IF(INDEX(입력_전공의명단!$AE$2:$AE$401,$R243)="서울병원","서울 소속","타 병원 소속("&amp;INDEX(입력_전공의명단!$AE$2:$AE$401,$R243)&amp;") → 서울 지급"))</f>
        <v/>
      </c>
      <c r="I243" s="26">
        <f>IF($R243="","",INDEX(입력_전공의명단!$N$2:$N$401,$R243))</f>
        <v/>
      </c>
      <c r="J243" s="26">
        <f>IF($R243="","",INDEX(입력_전공의명단!$P$2:$P$401,$R243))</f>
        <v/>
      </c>
      <c r="K243" s="26">
        <f>IF($R243="","",INDEX(입력_전공의명단!$Q$2:$Q$401,$R243))</f>
        <v/>
      </c>
      <c r="L243" s="28">
        <f>IF($R243="","",INDEX(입력_전공의명단!$S$2:$S$401,$R243))</f>
        <v/>
      </c>
      <c r="M243" s="28">
        <f>IF($R243="","",INDEX(입력_전공의명단!$T$2:$T$401,$R243))</f>
        <v/>
      </c>
      <c r="N243" s="26">
        <f>IF($R243="","",INDEX(입력_전공의명단!$AH$2:$AH$401,$R243))</f>
        <v/>
      </c>
      <c r="O243" s="26">
        <f>IF($R243="","",INDEX(입력_전공의명단!$AI$2:$AI$401,$R243))</f>
        <v/>
      </c>
      <c r="P243" s="27">
        <f>IF($R243="","",INDEX(입력_전공의명단!$AO$2:$AO$401,$R243))</f>
        <v/>
      </c>
      <c r="Q243" s="27">
        <f>IF($R243="","",INDEX(입력_전공의명단!$Z$2:$Z$401,$R243))</f>
        <v/>
      </c>
      <c r="R243" s="29">
        <f>IFERROR(MATCH(ROW()-5,입력_전공의명단!$AM$2:$AM$401,0),"")</f>
        <v/>
      </c>
    </row>
    <row r="244">
      <c r="A244" s="26">
        <f>IF($R244="","",ROW()-5)</f>
        <v/>
      </c>
      <c r="B244" s="26">
        <f>IF($R244="","",INDEX(입력_전공의명단!$C$2:$C$401,$R244))</f>
        <v/>
      </c>
      <c r="C244" s="26">
        <f>IF($R244="","",INDEX(입력_전공의명단!$B$2:$B$401,$R244))</f>
        <v/>
      </c>
      <c r="D244" s="26">
        <f>IF($R244="","",INDEX(입력_전공의명단!$J$2:$J$401,$R244))</f>
        <v/>
      </c>
      <c r="E244" s="26">
        <f>IF($R244="","",INDEX(입력_전공의명단!$F$2:$F$401,$R244))</f>
        <v/>
      </c>
      <c r="F244" s="26">
        <f>IF($R244="","",INDEX(입력_전공의명단!$G$2:$G$401,$R244))</f>
        <v/>
      </c>
      <c r="G244" s="26">
        <f>IF($R244="","",INDEX(입력_전공의명단!$AE$2:$AE$401,$R244))</f>
        <v/>
      </c>
      <c r="H244" s="27">
        <f>IF($R244="","",IF(INDEX(입력_전공의명단!$AE$2:$AE$401,$R244)="서울병원","서울 소속","타 병원 소속("&amp;INDEX(입력_전공의명단!$AE$2:$AE$401,$R244)&amp;") → 서울 지급"))</f>
        <v/>
      </c>
      <c r="I244" s="26">
        <f>IF($R244="","",INDEX(입력_전공의명단!$N$2:$N$401,$R244))</f>
        <v/>
      </c>
      <c r="J244" s="26">
        <f>IF($R244="","",INDEX(입력_전공의명단!$P$2:$P$401,$R244))</f>
        <v/>
      </c>
      <c r="K244" s="26">
        <f>IF($R244="","",INDEX(입력_전공의명단!$Q$2:$Q$401,$R244))</f>
        <v/>
      </c>
      <c r="L244" s="28">
        <f>IF($R244="","",INDEX(입력_전공의명단!$S$2:$S$401,$R244))</f>
        <v/>
      </c>
      <c r="M244" s="28">
        <f>IF($R244="","",INDEX(입력_전공의명단!$T$2:$T$401,$R244))</f>
        <v/>
      </c>
      <c r="N244" s="26">
        <f>IF($R244="","",INDEX(입력_전공의명단!$AH$2:$AH$401,$R244))</f>
        <v/>
      </c>
      <c r="O244" s="26">
        <f>IF($R244="","",INDEX(입력_전공의명단!$AI$2:$AI$401,$R244))</f>
        <v/>
      </c>
      <c r="P244" s="27">
        <f>IF($R244="","",INDEX(입력_전공의명단!$AO$2:$AO$401,$R244))</f>
        <v/>
      </c>
      <c r="Q244" s="27">
        <f>IF($R244="","",INDEX(입력_전공의명단!$Z$2:$Z$401,$R244))</f>
        <v/>
      </c>
      <c r="R244" s="29">
        <f>IFERROR(MATCH(ROW()-5,입력_전공의명단!$AM$2:$AM$401,0),"")</f>
        <v/>
      </c>
    </row>
    <row r="245">
      <c r="A245" s="26">
        <f>IF($R245="","",ROW()-5)</f>
        <v/>
      </c>
      <c r="B245" s="26">
        <f>IF($R245="","",INDEX(입력_전공의명단!$C$2:$C$401,$R245))</f>
        <v/>
      </c>
      <c r="C245" s="26">
        <f>IF($R245="","",INDEX(입력_전공의명단!$B$2:$B$401,$R245))</f>
        <v/>
      </c>
      <c r="D245" s="26">
        <f>IF($R245="","",INDEX(입력_전공의명단!$J$2:$J$401,$R245))</f>
        <v/>
      </c>
      <c r="E245" s="26">
        <f>IF($R245="","",INDEX(입력_전공의명단!$F$2:$F$401,$R245))</f>
        <v/>
      </c>
      <c r="F245" s="26">
        <f>IF($R245="","",INDEX(입력_전공의명단!$G$2:$G$401,$R245))</f>
        <v/>
      </c>
      <c r="G245" s="26">
        <f>IF($R245="","",INDEX(입력_전공의명단!$AE$2:$AE$401,$R245))</f>
        <v/>
      </c>
      <c r="H245" s="27">
        <f>IF($R245="","",IF(INDEX(입력_전공의명단!$AE$2:$AE$401,$R245)="서울병원","서울 소속","타 병원 소속("&amp;INDEX(입력_전공의명단!$AE$2:$AE$401,$R245)&amp;") → 서울 지급"))</f>
        <v/>
      </c>
      <c r="I245" s="26">
        <f>IF($R245="","",INDEX(입력_전공의명단!$N$2:$N$401,$R245))</f>
        <v/>
      </c>
      <c r="J245" s="26">
        <f>IF($R245="","",INDEX(입력_전공의명단!$P$2:$P$401,$R245))</f>
        <v/>
      </c>
      <c r="K245" s="26">
        <f>IF($R245="","",INDEX(입력_전공의명단!$Q$2:$Q$401,$R245))</f>
        <v/>
      </c>
      <c r="L245" s="28">
        <f>IF($R245="","",INDEX(입력_전공의명단!$S$2:$S$401,$R245))</f>
        <v/>
      </c>
      <c r="M245" s="28">
        <f>IF($R245="","",INDEX(입력_전공의명단!$T$2:$T$401,$R245))</f>
        <v/>
      </c>
      <c r="N245" s="26">
        <f>IF($R245="","",INDEX(입력_전공의명단!$AH$2:$AH$401,$R245))</f>
        <v/>
      </c>
      <c r="O245" s="26">
        <f>IF($R245="","",INDEX(입력_전공의명단!$AI$2:$AI$401,$R245))</f>
        <v/>
      </c>
      <c r="P245" s="27">
        <f>IF($R245="","",INDEX(입력_전공의명단!$AO$2:$AO$401,$R245))</f>
        <v/>
      </c>
      <c r="Q245" s="27">
        <f>IF($R245="","",INDEX(입력_전공의명단!$Z$2:$Z$401,$R245))</f>
        <v/>
      </c>
      <c r="R245" s="29">
        <f>IFERROR(MATCH(ROW()-5,입력_전공의명단!$AM$2:$AM$401,0),"")</f>
        <v/>
      </c>
    </row>
    <row r="246">
      <c r="A246" s="26">
        <f>IF($R246="","",ROW()-5)</f>
        <v/>
      </c>
      <c r="B246" s="26">
        <f>IF($R246="","",INDEX(입력_전공의명단!$C$2:$C$401,$R246))</f>
        <v/>
      </c>
      <c r="C246" s="26">
        <f>IF($R246="","",INDEX(입력_전공의명단!$B$2:$B$401,$R246))</f>
        <v/>
      </c>
      <c r="D246" s="26">
        <f>IF($R246="","",INDEX(입력_전공의명단!$J$2:$J$401,$R246))</f>
        <v/>
      </c>
      <c r="E246" s="26">
        <f>IF($R246="","",INDEX(입력_전공의명단!$F$2:$F$401,$R246))</f>
        <v/>
      </c>
      <c r="F246" s="26">
        <f>IF($R246="","",INDEX(입력_전공의명단!$G$2:$G$401,$R246))</f>
        <v/>
      </c>
      <c r="G246" s="26">
        <f>IF($R246="","",INDEX(입력_전공의명단!$AE$2:$AE$401,$R246))</f>
        <v/>
      </c>
      <c r="H246" s="27">
        <f>IF($R246="","",IF(INDEX(입력_전공의명단!$AE$2:$AE$401,$R246)="서울병원","서울 소속","타 병원 소속("&amp;INDEX(입력_전공의명단!$AE$2:$AE$401,$R246)&amp;") → 서울 지급"))</f>
        <v/>
      </c>
      <c r="I246" s="26">
        <f>IF($R246="","",INDEX(입력_전공의명단!$N$2:$N$401,$R246))</f>
        <v/>
      </c>
      <c r="J246" s="26">
        <f>IF($R246="","",INDEX(입력_전공의명단!$P$2:$P$401,$R246))</f>
        <v/>
      </c>
      <c r="K246" s="26">
        <f>IF($R246="","",INDEX(입력_전공의명단!$Q$2:$Q$401,$R246))</f>
        <v/>
      </c>
      <c r="L246" s="28">
        <f>IF($R246="","",INDEX(입력_전공의명단!$S$2:$S$401,$R246))</f>
        <v/>
      </c>
      <c r="M246" s="28">
        <f>IF($R246="","",INDEX(입력_전공의명단!$T$2:$T$401,$R246))</f>
        <v/>
      </c>
      <c r="N246" s="26">
        <f>IF($R246="","",INDEX(입력_전공의명단!$AH$2:$AH$401,$R246))</f>
        <v/>
      </c>
      <c r="O246" s="26">
        <f>IF($R246="","",INDEX(입력_전공의명단!$AI$2:$AI$401,$R246))</f>
        <v/>
      </c>
      <c r="P246" s="27">
        <f>IF($R246="","",INDEX(입력_전공의명단!$AO$2:$AO$401,$R246))</f>
        <v/>
      </c>
      <c r="Q246" s="27">
        <f>IF($R246="","",INDEX(입력_전공의명단!$Z$2:$Z$401,$R246))</f>
        <v/>
      </c>
      <c r="R246" s="29">
        <f>IFERROR(MATCH(ROW()-5,입력_전공의명단!$AM$2:$AM$401,0),"")</f>
        <v/>
      </c>
    </row>
    <row r="247">
      <c r="A247" s="26">
        <f>IF($R247="","",ROW()-5)</f>
        <v/>
      </c>
      <c r="B247" s="26">
        <f>IF($R247="","",INDEX(입력_전공의명단!$C$2:$C$401,$R247))</f>
        <v/>
      </c>
      <c r="C247" s="26">
        <f>IF($R247="","",INDEX(입력_전공의명단!$B$2:$B$401,$R247))</f>
        <v/>
      </c>
      <c r="D247" s="26">
        <f>IF($R247="","",INDEX(입력_전공의명단!$J$2:$J$401,$R247))</f>
        <v/>
      </c>
      <c r="E247" s="26">
        <f>IF($R247="","",INDEX(입력_전공의명단!$F$2:$F$401,$R247))</f>
        <v/>
      </c>
      <c r="F247" s="26">
        <f>IF($R247="","",INDEX(입력_전공의명단!$G$2:$G$401,$R247))</f>
        <v/>
      </c>
      <c r="G247" s="26">
        <f>IF($R247="","",INDEX(입력_전공의명단!$AE$2:$AE$401,$R247))</f>
        <v/>
      </c>
      <c r="H247" s="27">
        <f>IF($R247="","",IF(INDEX(입력_전공의명단!$AE$2:$AE$401,$R247)="서울병원","서울 소속","타 병원 소속("&amp;INDEX(입력_전공의명단!$AE$2:$AE$401,$R247)&amp;") → 서울 지급"))</f>
        <v/>
      </c>
      <c r="I247" s="26">
        <f>IF($R247="","",INDEX(입력_전공의명단!$N$2:$N$401,$R247))</f>
        <v/>
      </c>
      <c r="J247" s="26">
        <f>IF($R247="","",INDEX(입력_전공의명단!$P$2:$P$401,$R247))</f>
        <v/>
      </c>
      <c r="K247" s="26">
        <f>IF($R247="","",INDEX(입력_전공의명단!$Q$2:$Q$401,$R247))</f>
        <v/>
      </c>
      <c r="L247" s="28">
        <f>IF($R247="","",INDEX(입력_전공의명단!$S$2:$S$401,$R247))</f>
        <v/>
      </c>
      <c r="M247" s="28">
        <f>IF($R247="","",INDEX(입력_전공의명단!$T$2:$T$401,$R247))</f>
        <v/>
      </c>
      <c r="N247" s="26">
        <f>IF($R247="","",INDEX(입력_전공의명단!$AH$2:$AH$401,$R247))</f>
        <v/>
      </c>
      <c r="O247" s="26">
        <f>IF($R247="","",INDEX(입력_전공의명단!$AI$2:$AI$401,$R247))</f>
        <v/>
      </c>
      <c r="P247" s="27">
        <f>IF($R247="","",INDEX(입력_전공의명단!$AO$2:$AO$401,$R247))</f>
        <v/>
      </c>
      <c r="Q247" s="27">
        <f>IF($R247="","",INDEX(입력_전공의명단!$Z$2:$Z$401,$R247))</f>
        <v/>
      </c>
      <c r="R247" s="29">
        <f>IFERROR(MATCH(ROW()-5,입력_전공의명단!$AM$2:$AM$401,0),"")</f>
        <v/>
      </c>
    </row>
    <row r="248">
      <c r="A248" s="26">
        <f>IF($R248="","",ROW()-5)</f>
        <v/>
      </c>
      <c r="B248" s="26">
        <f>IF($R248="","",INDEX(입력_전공의명단!$C$2:$C$401,$R248))</f>
        <v/>
      </c>
      <c r="C248" s="26">
        <f>IF($R248="","",INDEX(입력_전공의명단!$B$2:$B$401,$R248))</f>
        <v/>
      </c>
      <c r="D248" s="26">
        <f>IF($R248="","",INDEX(입력_전공의명단!$J$2:$J$401,$R248))</f>
        <v/>
      </c>
      <c r="E248" s="26">
        <f>IF($R248="","",INDEX(입력_전공의명단!$F$2:$F$401,$R248))</f>
        <v/>
      </c>
      <c r="F248" s="26">
        <f>IF($R248="","",INDEX(입력_전공의명단!$G$2:$G$401,$R248))</f>
        <v/>
      </c>
      <c r="G248" s="26">
        <f>IF($R248="","",INDEX(입력_전공의명단!$AE$2:$AE$401,$R248))</f>
        <v/>
      </c>
      <c r="H248" s="27">
        <f>IF($R248="","",IF(INDEX(입력_전공의명단!$AE$2:$AE$401,$R248)="서울병원","서울 소속","타 병원 소속("&amp;INDEX(입력_전공의명단!$AE$2:$AE$401,$R248)&amp;") → 서울 지급"))</f>
        <v/>
      </c>
      <c r="I248" s="26">
        <f>IF($R248="","",INDEX(입력_전공의명단!$N$2:$N$401,$R248))</f>
        <v/>
      </c>
      <c r="J248" s="26">
        <f>IF($R248="","",INDEX(입력_전공의명단!$P$2:$P$401,$R248))</f>
        <v/>
      </c>
      <c r="K248" s="26">
        <f>IF($R248="","",INDEX(입력_전공의명단!$Q$2:$Q$401,$R248))</f>
        <v/>
      </c>
      <c r="L248" s="28">
        <f>IF($R248="","",INDEX(입력_전공의명단!$S$2:$S$401,$R248))</f>
        <v/>
      </c>
      <c r="M248" s="28">
        <f>IF($R248="","",INDEX(입력_전공의명단!$T$2:$T$401,$R248))</f>
        <v/>
      </c>
      <c r="N248" s="26">
        <f>IF($R248="","",INDEX(입력_전공의명단!$AH$2:$AH$401,$R248))</f>
        <v/>
      </c>
      <c r="O248" s="26">
        <f>IF($R248="","",INDEX(입력_전공의명단!$AI$2:$AI$401,$R248))</f>
        <v/>
      </c>
      <c r="P248" s="27">
        <f>IF($R248="","",INDEX(입력_전공의명단!$AO$2:$AO$401,$R248))</f>
        <v/>
      </c>
      <c r="Q248" s="27">
        <f>IF($R248="","",INDEX(입력_전공의명단!$Z$2:$Z$401,$R248))</f>
        <v/>
      </c>
      <c r="R248" s="29">
        <f>IFERROR(MATCH(ROW()-5,입력_전공의명단!$AM$2:$AM$401,0),"")</f>
        <v/>
      </c>
    </row>
    <row r="249">
      <c r="A249" s="26">
        <f>IF($R249="","",ROW()-5)</f>
        <v/>
      </c>
      <c r="B249" s="26">
        <f>IF($R249="","",INDEX(입력_전공의명단!$C$2:$C$401,$R249))</f>
        <v/>
      </c>
      <c r="C249" s="26">
        <f>IF($R249="","",INDEX(입력_전공의명단!$B$2:$B$401,$R249))</f>
        <v/>
      </c>
      <c r="D249" s="26">
        <f>IF($R249="","",INDEX(입력_전공의명단!$J$2:$J$401,$R249))</f>
        <v/>
      </c>
      <c r="E249" s="26">
        <f>IF($R249="","",INDEX(입력_전공의명단!$F$2:$F$401,$R249))</f>
        <v/>
      </c>
      <c r="F249" s="26">
        <f>IF($R249="","",INDEX(입력_전공의명단!$G$2:$G$401,$R249))</f>
        <v/>
      </c>
      <c r="G249" s="26">
        <f>IF($R249="","",INDEX(입력_전공의명단!$AE$2:$AE$401,$R249))</f>
        <v/>
      </c>
      <c r="H249" s="27">
        <f>IF($R249="","",IF(INDEX(입력_전공의명단!$AE$2:$AE$401,$R249)="서울병원","서울 소속","타 병원 소속("&amp;INDEX(입력_전공의명단!$AE$2:$AE$401,$R249)&amp;") → 서울 지급"))</f>
        <v/>
      </c>
      <c r="I249" s="26">
        <f>IF($R249="","",INDEX(입력_전공의명단!$N$2:$N$401,$R249))</f>
        <v/>
      </c>
      <c r="J249" s="26">
        <f>IF($R249="","",INDEX(입력_전공의명단!$P$2:$P$401,$R249))</f>
        <v/>
      </c>
      <c r="K249" s="26">
        <f>IF($R249="","",INDEX(입력_전공의명단!$Q$2:$Q$401,$R249))</f>
        <v/>
      </c>
      <c r="L249" s="28">
        <f>IF($R249="","",INDEX(입력_전공의명단!$S$2:$S$401,$R249))</f>
        <v/>
      </c>
      <c r="M249" s="28">
        <f>IF($R249="","",INDEX(입력_전공의명단!$T$2:$T$401,$R249))</f>
        <v/>
      </c>
      <c r="N249" s="26">
        <f>IF($R249="","",INDEX(입력_전공의명단!$AH$2:$AH$401,$R249))</f>
        <v/>
      </c>
      <c r="O249" s="26">
        <f>IF($R249="","",INDEX(입력_전공의명단!$AI$2:$AI$401,$R249))</f>
        <v/>
      </c>
      <c r="P249" s="27">
        <f>IF($R249="","",INDEX(입력_전공의명단!$AO$2:$AO$401,$R249))</f>
        <v/>
      </c>
      <c r="Q249" s="27">
        <f>IF($R249="","",INDEX(입력_전공의명단!$Z$2:$Z$401,$R249))</f>
        <v/>
      </c>
      <c r="R249" s="29">
        <f>IFERROR(MATCH(ROW()-5,입력_전공의명단!$AM$2:$AM$401,0),"")</f>
        <v/>
      </c>
    </row>
    <row r="250">
      <c r="A250" s="26">
        <f>IF($R250="","",ROW()-5)</f>
        <v/>
      </c>
      <c r="B250" s="26">
        <f>IF($R250="","",INDEX(입력_전공의명단!$C$2:$C$401,$R250))</f>
        <v/>
      </c>
      <c r="C250" s="26">
        <f>IF($R250="","",INDEX(입력_전공의명단!$B$2:$B$401,$R250))</f>
        <v/>
      </c>
      <c r="D250" s="26">
        <f>IF($R250="","",INDEX(입력_전공의명단!$J$2:$J$401,$R250))</f>
        <v/>
      </c>
      <c r="E250" s="26">
        <f>IF($R250="","",INDEX(입력_전공의명단!$F$2:$F$401,$R250))</f>
        <v/>
      </c>
      <c r="F250" s="26">
        <f>IF($R250="","",INDEX(입력_전공의명단!$G$2:$G$401,$R250))</f>
        <v/>
      </c>
      <c r="G250" s="26">
        <f>IF($R250="","",INDEX(입력_전공의명단!$AE$2:$AE$401,$R250))</f>
        <v/>
      </c>
      <c r="H250" s="27">
        <f>IF($R250="","",IF(INDEX(입력_전공의명단!$AE$2:$AE$401,$R250)="서울병원","서울 소속","타 병원 소속("&amp;INDEX(입력_전공의명단!$AE$2:$AE$401,$R250)&amp;") → 서울 지급"))</f>
        <v/>
      </c>
      <c r="I250" s="26">
        <f>IF($R250="","",INDEX(입력_전공의명단!$N$2:$N$401,$R250))</f>
        <v/>
      </c>
      <c r="J250" s="26">
        <f>IF($R250="","",INDEX(입력_전공의명단!$P$2:$P$401,$R250))</f>
        <v/>
      </c>
      <c r="K250" s="26">
        <f>IF($R250="","",INDEX(입력_전공의명단!$Q$2:$Q$401,$R250))</f>
        <v/>
      </c>
      <c r="L250" s="28">
        <f>IF($R250="","",INDEX(입력_전공의명단!$S$2:$S$401,$R250))</f>
        <v/>
      </c>
      <c r="M250" s="28">
        <f>IF($R250="","",INDEX(입력_전공의명단!$T$2:$T$401,$R250))</f>
        <v/>
      </c>
      <c r="N250" s="26">
        <f>IF($R250="","",INDEX(입력_전공의명단!$AH$2:$AH$401,$R250))</f>
        <v/>
      </c>
      <c r="O250" s="26">
        <f>IF($R250="","",INDEX(입력_전공의명단!$AI$2:$AI$401,$R250))</f>
        <v/>
      </c>
      <c r="P250" s="27">
        <f>IF($R250="","",INDEX(입력_전공의명단!$AO$2:$AO$401,$R250))</f>
        <v/>
      </c>
      <c r="Q250" s="27">
        <f>IF($R250="","",INDEX(입력_전공의명단!$Z$2:$Z$401,$R250))</f>
        <v/>
      </c>
      <c r="R250" s="29">
        <f>IFERROR(MATCH(ROW()-5,입력_전공의명단!$AM$2:$AM$401,0),"")</f>
        <v/>
      </c>
    </row>
    <row r="251">
      <c r="A251" s="26">
        <f>IF($R251="","",ROW()-5)</f>
        <v/>
      </c>
      <c r="B251" s="26">
        <f>IF($R251="","",INDEX(입력_전공의명단!$C$2:$C$401,$R251))</f>
        <v/>
      </c>
      <c r="C251" s="26">
        <f>IF($R251="","",INDEX(입력_전공의명단!$B$2:$B$401,$R251))</f>
        <v/>
      </c>
      <c r="D251" s="26">
        <f>IF($R251="","",INDEX(입력_전공의명단!$J$2:$J$401,$R251))</f>
        <v/>
      </c>
      <c r="E251" s="26">
        <f>IF($R251="","",INDEX(입력_전공의명단!$F$2:$F$401,$R251))</f>
        <v/>
      </c>
      <c r="F251" s="26">
        <f>IF($R251="","",INDEX(입력_전공의명단!$G$2:$G$401,$R251))</f>
        <v/>
      </c>
      <c r="G251" s="26">
        <f>IF($R251="","",INDEX(입력_전공의명단!$AE$2:$AE$401,$R251))</f>
        <v/>
      </c>
      <c r="H251" s="27">
        <f>IF($R251="","",IF(INDEX(입력_전공의명단!$AE$2:$AE$401,$R251)="서울병원","서울 소속","타 병원 소속("&amp;INDEX(입력_전공의명단!$AE$2:$AE$401,$R251)&amp;") → 서울 지급"))</f>
        <v/>
      </c>
      <c r="I251" s="26">
        <f>IF($R251="","",INDEX(입력_전공의명단!$N$2:$N$401,$R251))</f>
        <v/>
      </c>
      <c r="J251" s="26">
        <f>IF($R251="","",INDEX(입력_전공의명단!$P$2:$P$401,$R251))</f>
        <v/>
      </c>
      <c r="K251" s="26">
        <f>IF($R251="","",INDEX(입력_전공의명단!$Q$2:$Q$401,$R251))</f>
        <v/>
      </c>
      <c r="L251" s="28">
        <f>IF($R251="","",INDEX(입력_전공의명단!$S$2:$S$401,$R251))</f>
        <v/>
      </c>
      <c r="M251" s="28">
        <f>IF($R251="","",INDEX(입력_전공의명단!$T$2:$T$401,$R251))</f>
        <v/>
      </c>
      <c r="N251" s="26">
        <f>IF($R251="","",INDEX(입력_전공의명단!$AH$2:$AH$401,$R251))</f>
        <v/>
      </c>
      <c r="O251" s="26">
        <f>IF($R251="","",INDEX(입력_전공의명단!$AI$2:$AI$401,$R251))</f>
        <v/>
      </c>
      <c r="P251" s="27">
        <f>IF($R251="","",INDEX(입력_전공의명단!$AO$2:$AO$401,$R251))</f>
        <v/>
      </c>
      <c r="Q251" s="27">
        <f>IF($R251="","",INDEX(입력_전공의명단!$Z$2:$Z$401,$R251))</f>
        <v/>
      </c>
      <c r="R251" s="29">
        <f>IFERROR(MATCH(ROW()-5,입력_전공의명단!$AM$2:$AM$401,0),"")</f>
        <v/>
      </c>
    </row>
    <row r="252">
      <c r="A252" s="26">
        <f>IF($R252="","",ROW()-5)</f>
        <v/>
      </c>
      <c r="B252" s="26">
        <f>IF($R252="","",INDEX(입력_전공의명단!$C$2:$C$401,$R252))</f>
        <v/>
      </c>
      <c r="C252" s="26">
        <f>IF($R252="","",INDEX(입력_전공의명단!$B$2:$B$401,$R252))</f>
        <v/>
      </c>
      <c r="D252" s="26">
        <f>IF($R252="","",INDEX(입력_전공의명단!$J$2:$J$401,$R252))</f>
        <v/>
      </c>
      <c r="E252" s="26">
        <f>IF($R252="","",INDEX(입력_전공의명단!$F$2:$F$401,$R252))</f>
        <v/>
      </c>
      <c r="F252" s="26">
        <f>IF($R252="","",INDEX(입력_전공의명단!$G$2:$G$401,$R252))</f>
        <v/>
      </c>
      <c r="G252" s="26">
        <f>IF($R252="","",INDEX(입력_전공의명단!$AE$2:$AE$401,$R252))</f>
        <v/>
      </c>
      <c r="H252" s="27">
        <f>IF($R252="","",IF(INDEX(입력_전공의명단!$AE$2:$AE$401,$R252)="서울병원","서울 소속","타 병원 소속("&amp;INDEX(입력_전공의명단!$AE$2:$AE$401,$R252)&amp;") → 서울 지급"))</f>
        <v/>
      </c>
      <c r="I252" s="26">
        <f>IF($R252="","",INDEX(입력_전공의명단!$N$2:$N$401,$R252))</f>
        <v/>
      </c>
      <c r="J252" s="26">
        <f>IF($R252="","",INDEX(입력_전공의명단!$P$2:$P$401,$R252))</f>
        <v/>
      </c>
      <c r="K252" s="26">
        <f>IF($R252="","",INDEX(입력_전공의명단!$Q$2:$Q$401,$R252))</f>
        <v/>
      </c>
      <c r="L252" s="28">
        <f>IF($R252="","",INDEX(입력_전공의명단!$S$2:$S$401,$R252))</f>
        <v/>
      </c>
      <c r="M252" s="28">
        <f>IF($R252="","",INDEX(입력_전공의명단!$T$2:$T$401,$R252))</f>
        <v/>
      </c>
      <c r="N252" s="26">
        <f>IF($R252="","",INDEX(입력_전공의명단!$AH$2:$AH$401,$R252))</f>
        <v/>
      </c>
      <c r="O252" s="26">
        <f>IF($R252="","",INDEX(입력_전공의명단!$AI$2:$AI$401,$R252))</f>
        <v/>
      </c>
      <c r="P252" s="27">
        <f>IF($R252="","",INDEX(입력_전공의명단!$AO$2:$AO$401,$R252))</f>
        <v/>
      </c>
      <c r="Q252" s="27">
        <f>IF($R252="","",INDEX(입력_전공의명단!$Z$2:$Z$401,$R252))</f>
        <v/>
      </c>
      <c r="R252" s="29">
        <f>IFERROR(MATCH(ROW()-5,입력_전공의명단!$AM$2:$AM$401,0),"")</f>
        <v/>
      </c>
    </row>
    <row r="253">
      <c r="A253" s="26">
        <f>IF($R253="","",ROW()-5)</f>
        <v/>
      </c>
      <c r="B253" s="26">
        <f>IF($R253="","",INDEX(입력_전공의명단!$C$2:$C$401,$R253))</f>
        <v/>
      </c>
      <c r="C253" s="26">
        <f>IF($R253="","",INDEX(입력_전공의명단!$B$2:$B$401,$R253))</f>
        <v/>
      </c>
      <c r="D253" s="26">
        <f>IF($R253="","",INDEX(입력_전공의명단!$J$2:$J$401,$R253))</f>
        <v/>
      </c>
      <c r="E253" s="26">
        <f>IF($R253="","",INDEX(입력_전공의명단!$F$2:$F$401,$R253))</f>
        <v/>
      </c>
      <c r="F253" s="26">
        <f>IF($R253="","",INDEX(입력_전공의명단!$G$2:$G$401,$R253))</f>
        <v/>
      </c>
      <c r="G253" s="26">
        <f>IF($R253="","",INDEX(입력_전공의명단!$AE$2:$AE$401,$R253))</f>
        <v/>
      </c>
      <c r="H253" s="27">
        <f>IF($R253="","",IF(INDEX(입력_전공의명단!$AE$2:$AE$401,$R253)="서울병원","서울 소속","타 병원 소속("&amp;INDEX(입력_전공의명단!$AE$2:$AE$401,$R253)&amp;") → 서울 지급"))</f>
        <v/>
      </c>
      <c r="I253" s="26">
        <f>IF($R253="","",INDEX(입력_전공의명단!$N$2:$N$401,$R253))</f>
        <v/>
      </c>
      <c r="J253" s="26">
        <f>IF($R253="","",INDEX(입력_전공의명단!$P$2:$P$401,$R253))</f>
        <v/>
      </c>
      <c r="K253" s="26">
        <f>IF($R253="","",INDEX(입력_전공의명단!$Q$2:$Q$401,$R253))</f>
        <v/>
      </c>
      <c r="L253" s="28">
        <f>IF($R253="","",INDEX(입력_전공의명단!$S$2:$S$401,$R253))</f>
        <v/>
      </c>
      <c r="M253" s="28">
        <f>IF($R253="","",INDEX(입력_전공의명단!$T$2:$T$401,$R253))</f>
        <v/>
      </c>
      <c r="N253" s="26">
        <f>IF($R253="","",INDEX(입력_전공의명단!$AH$2:$AH$401,$R253))</f>
        <v/>
      </c>
      <c r="O253" s="26">
        <f>IF($R253="","",INDEX(입력_전공의명단!$AI$2:$AI$401,$R253))</f>
        <v/>
      </c>
      <c r="P253" s="27">
        <f>IF($R253="","",INDEX(입력_전공의명단!$AO$2:$AO$401,$R253))</f>
        <v/>
      </c>
      <c r="Q253" s="27">
        <f>IF($R253="","",INDEX(입력_전공의명단!$Z$2:$Z$401,$R253))</f>
        <v/>
      </c>
      <c r="R253" s="29">
        <f>IFERROR(MATCH(ROW()-5,입력_전공의명단!$AM$2:$AM$401,0),"")</f>
        <v/>
      </c>
    </row>
    <row r="254">
      <c r="A254" s="26">
        <f>IF($R254="","",ROW()-5)</f>
        <v/>
      </c>
      <c r="B254" s="26">
        <f>IF($R254="","",INDEX(입력_전공의명단!$C$2:$C$401,$R254))</f>
        <v/>
      </c>
      <c r="C254" s="26">
        <f>IF($R254="","",INDEX(입력_전공의명단!$B$2:$B$401,$R254))</f>
        <v/>
      </c>
      <c r="D254" s="26">
        <f>IF($R254="","",INDEX(입력_전공의명단!$J$2:$J$401,$R254))</f>
        <v/>
      </c>
      <c r="E254" s="26">
        <f>IF($R254="","",INDEX(입력_전공의명단!$F$2:$F$401,$R254))</f>
        <v/>
      </c>
      <c r="F254" s="26">
        <f>IF($R254="","",INDEX(입력_전공의명단!$G$2:$G$401,$R254))</f>
        <v/>
      </c>
      <c r="G254" s="26">
        <f>IF($R254="","",INDEX(입력_전공의명단!$AE$2:$AE$401,$R254))</f>
        <v/>
      </c>
      <c r="H254" s="27">
        <f>IF($R254="","",IF(INDEX(입력_전공의명단!$AE$2:$AE$401,$R254)="서울병원","서울 소속","타 병원 소속("&amp;INDEX(입력_전공의명단!$AE$2:$AE$401,$R254)&amp;") → 서울 지급"))</f>
        <v/>
      </c>
      <c r="I254" s="26">
        <f>IF($R254="","",INDEX(입력_전공의명단!$N$2:$N$401,$R254))</f>
        <v/>
      </c>
      <c r="J254" s="26">
        <f>IF($R254="","",INDEX(입력_전공의명단!$P$2:$P$401,$R254))</f>
        <v/>
      </c>
      <c r="K254" s="26">
        <f>IF($R254="","",INDEX(입력_전공의명단!$Q$2:$Q$401,$R254))</f>
        <v/>
      </c>
      <c r="L254" s="28">
        <f>IF($R254="","",INDEX(입력_전공의명단!$S$2:$S$401,$R254))</f>
        <v/>
      </c>
      <c r="M254" s="28">
        <f>IF($R254="","",INDEX(입력_전공의명단!$T$2:$T$401,$R254))</f>
        <v/>
      </c>
      <c r="N254" s="26">
        <f>IF($R254="","",INDEX(입력_전공의명단!$AH$2:$AH$401,$R254))</f>
        <v/>
      </c>
      <c r="O254" s="26">
        <f>IF($R254="","",INDEX(입력_전공의명단!$AI$2:$AI$401,$R254))</f>
        <v/>
      </c>
      <c r="P254" s="27">
        <f>IF($R254="","",INDEX(입력_전공의명단!$AO$2:$AO$401,$R254))</f>
        <v/>
      </c>
      <c r="Q254" s="27">
        <f>IF($R254="","",INDEX(입력_전공의명단!$Z$2:$Z$401,$R254))</f>
        <v/>
      </c>
      <c r="R254" s="29">
        <f>IFERROR(MATCH(ROW()-5,입력_전공의명단!$AM$2:$AM$401,0),"")</f>
        <v/>
      </c>
    </row>
    <row r="255">
      <c r="A255" s="26">
        <f>IF($R255="","",ROW()-5)</f>
        <v/>
      </c>
      <c r="B255" s="26">
        <f>IF($R255="","",INDEX(입력_전공의명단!$C$2:$C$401,$R255))</f>
        <v/>
      </c>
      <c r="C255" s="26">
        <f>IF($R255="","",INDEX(입력_전공의명단!$B$2:$B$401,$R255))</f>
        <v/>
      </c>
      <c r="D255" s="26">
        <f>IF($R255="","",INDEX(입력_전공의명단!$J$2:$J$401,$R255))</f>
        <v/>
      </c>
      <c r="E255" s="26">
        <f>IF($R255="","",INDEX(입력_전공의명단!$F$2:$F$401,$R255))</f>
        <v/>
      </c>
      <c r="F255" s="26">
        <f>IF($R255="","",INDEX(입력_전공의명단!$G$2:$G$401,$R255))</f>
        <v/>
      </c>
      <c r="G255" s="26">
        <f>IF($R255="","",INDEX(입력_전공의명단!$AE$2:$AE$401,$R255))</f>
        <v/>
      </c>
      <c r="H255" s="27">
        <f>IF($R255="","",IF(INDEX(입력_전공의명단!$AE$2:$AE$401,$R255)="서울병원","서울 소속","타 병원 소속("&amp;INDEX(입력_전공의명단!$AE$2:$AE$401,$R255)&amp;") → 서울 지급"))</f>
        <v/>
      </c>
      <c r="I255" s="26">
        <f>IF($R255="","",INDEX(입력_전공의명단!$N$2:$N$401,$R255))</f>
        <v/>
      </c>
      <c r="J255" s="26">
        <f>IF($R255="","",INDEX(입력_전공의명단!$P$2:$P$401,$R255))</f>
        <v/>
      </c>
      <c r="K255" s="26">
        <f>IF($R255="","",INDEX(입력_전공의명단!$Q$2:$Q$401,$R255))</f>
        <v/>
      </c>
      <c r="L255" s="28">
        <f>IF($R255="","",INDEX(입력_전공의명단!$S$2:$S$401,$R255))</f>
        <v/>
      </c>
      <c r="M255" s="28">
        <f>IF($R255="","",INDEX(입력_전공의명단!$T$2:$T$401,$R255))</f>
        <v/>
      </c>
      <c r="N255" s="26">
        <f>IF($R255="","",INDEX(입력_전공의명단!$AH$2:$AH$401,$R255))</f>
        <v/>
      </c>
      <c r="O255" s="26">
        <f>IF($R255="","",INDEX(입력_전공의명단!$AI$2:$AI$401,$R255))</f>
        <v/>
      </c>
      <c r="P255" s="27">
        <f>IF($R255="","",INDEX(입력_전공의명단!$AO$2:$AO$401,$R255))</f>
        <v/>
      </c>
      <c r="Q255" s="27">
        <f>IF($R255="","",INDEX(입력_전공의명단!$Z$2:$Z$401,$R255))</f>
        <v/>
      </c>
      <c r="R255" s="29">
        <f>IFERROR(MATCH(ROW()-5,입력_전공의명단!$AM$2:$AM$401,0),"")</f>
        <v/>
      </c>
    </row>
    <row r="256">
      <c r="A256" s="26">
        <f>IF($R256="","",ROW()-5)</f>
        <v/>
      </c>
      <c r="B256" s="26">
        <f>IF($R256="","",INDEX(입력_전공의명단!$C$2:$C$401,$R256))</f>
        <v/>
      </c>
      <c r="C256" s="26">
        <f>IF($R256="","",INDEX(입력_전공의명단!$B$2:$B$401,$R256))</f>
        <v/>
      </c>
      <c r="D256" s="26">
        <f>IF($R256="","",INDEX(입력_전공의명단!$J$2:$J$401,$R256))</f>
        <v/>
      </c>
      <c r="E256" s="26">
        <f>IF($R256="","",INDEX(입력_전공의명단!$F$2:$F$401,$R256))</f>
        <v/>
      </c>
      <c r="F256" s="26">
        <f>IF($R256="","",INDEX(입력_전공의명단!$G$2:$G$401,$R256))</f>
        <v/>
      </c>
      <c r="G256" s="26">
        <f>IF($R256="","",INDEX(입력_전공의명단!$AE$2:$AE$401,$R256))</f>
        <v/>
      </c>
      <c r="H256" s="27">
        <f>IF($R256="","",IF(INDEX(입력_전공의명단!$AE$2:$AE$401,$R256)="서울병원","서울 소속","타 병원 소속("&amp;INDEX(입력_전공의명단!$AE$2:$AE$401,$R256)&amp;") → 서울 지급"))</f>
        <v/>
      </c>
      <c r="I256" s="26">
        <f>IF($R256="","",INDEX(입력_전공의명단!$N$2:$N$401,$R256))</f>
        <v/>
      </c>
      <c r="J256" s="26">
        <f>IF($R256="","",INDEX(입력_전공의명단!$P$2:$P$401,$R256))</f>
        <v/>
      </c>
      <c r="K256" s="26">
        <f>IF($R256="","",INDEX(입력_전공의명단!$Q$2:$Q$401,$R256))</f>
        <v/>
      </c>
      <c r="L256" s="28">
        <f>IF($R256="","",INDEX(입력_전공의명단!$S$2:$S$401,$R256))</f>
        <v/>
      </c>
      <c r="M256" s="28">
        <f>IF($R256="","",INDEX(입력_전공의명단!$T$2:$T$401,$R256))</f>
        <v/>
      </c>
      <c r="N256" s="26">
        <f>IF($R256="","",INDEX(입력_전공의명단!$AH$2:$AH$401,$R256))</f>
        <v/>
      </c>
      <c r="O256" s="26">
        <f>IF($R256="","",INDEX(입력_전공의명단!$AI$2:$AI$401,$R256))</f>
        <v/>
      </c>
      <c r="P256" s="27">
        <f>IF($R256="","",INDEX(입력_전공의명단!$AO$2:$AO$401,$R256))</f>
        <v/>
      </c>
      <c r="Q256" s="27">
        <f>IF($R256="","",INDEX(입력_전공의명단!$Z$2:$Z$401,$R256))</f>
        <v/>
      </c>
      <c r="R256" s="29">
        <f>IFERROR(MATCH(ROW()-5,입력_전공의명단!$AM$2:$AM$401,0),"")</f>
        <v/>
      </c>
    </row>
    <row r="257">
      <c r="A257" s="26">
        <f>IF($R257="","",ROW()-5)</f>
        <v/>
      </c>
      <c r="B257" s="26">
        <f>IF($R257="","",INDEX(입력_전공의명단!$C$2:$C$401,$R257))</f>
        <v/>
      </c>
      <c r="C257" s="26">
        <f>IF($R257="","",INDEX(입력_전공의명단!$B$2:$B$401,$R257))</f>
        <v/>
      </c>
      <c r="D257" s="26">
        <f>IF($R257="","",INDEX(입력_전공의명단!$J$2:$J$401,$R257))</f>
        <v/>
      </c>
      <c r="E257" s="26">
        <f>IF($R257="","",INDEX(입력_전공의명단!$F$2:$F$401,$R257))</f>
        <v/>
      </c>
      <c r="F257" s="26">
        <f>IF($R257="","",INDEX(입력_전공의명단!$G$2:$G$401,$R257))</f>
        <v/>
      </c>
      <c r="G257" s="26">
        <f>IF($R257="","",INDEX(입력_전공의명단!$AE$2:$AE$401,$R257))</f>
        <v/>
      </c>
      <c r="H257" s="27">
        <f>IF($R257="","",IF(INDEX(입력_전공의명단!$AE$2:$AE$401,$R257)="서울병원","서울 소속","타 병원 소속("&amp;INDEX(입력_전공의명단!$AE$2:$AE$401,$R257)&amp;") → 서울 지급"))</f>
        <v/>
      </c>
      <c r="I257" s="26">
        <f>IF($R257="","",INDEX(입력_전공의명단!$N$2:$N$401,$R257))</f>
        <v/>
      </c>
      <c r="J257" s="26">
        <f>IF($R257="","",INDEX(입력_전공의명단!$P$2:$P$401,$R257))</f>
        <v/>
      </c>
      <c r="K257" s="26">
        <f>IF($R257="","",INDEX(입력_전공의명단!$Q$2:$Q$401,$R257))</f>
        <v/>
      </c>
      <c r="L257" s="28">
        <f>IF($R257="","",INDEX(입력_전공의명단!$S$2:$S$401,$R257))</f>
        <v/>
      </c>
      <c r="M257" s="28">
        <f>IF($R257="","",INDEX(입력_전공의명단!$T$2:$T$401,$R257))</f>
        <v/>
      </c>
      <c r="N257" s="26">
        <f>IF($R257="","",INDEX(입력_전공의명단!$AH$2:$AH$401,$R257))</f>
        <v/>
      </c>
      <c r="O257" s="26">
        <f>IF($R257="","",INDEX(입력_전공의명단!$AI$2:$AI$401,$R257))</f>
        <v/>
      </c>
      <c r="P257" s="27">
        <f>IF($R257="","",INDEX(입력_전공의명단!$AO$2:$AO$401,$R257))</f>
        <v/>
      </c>
      <c r="Q257" s="27">
        <f>IF($R257="","",INDEX(입력_전공의명단!$Z$2:$Z$401,$R257))</f>
        <v/>
      </c>
      <c r="R257" s="29">
        <f>IFERROR(MATCH(ROW()-5,입력_전공의명단!$AM$2:$AM$401,0),"")</f>
        <v/>
      </c>
    </row>
    <row r="258">
      <c r="A258" s="26">
        <f>IF($R258="","",ROW()-5)</f>
        <v/>
      </c>
      <c r="B258" s="26">
        <f>IF($R258="","",INDEX(입력_전공의명단!$C$2:$C$401,$R258))</f>
        <v/>
      </c>
      <c r="C258" s="26">
        <f>IF($R258="","",INDEX(입력_전공의명단!$B$2:$B$401,$R258))</f>
        <v/>
      </c>
      <c r="D258" s="26">
        <f>IF($R258="","",INDEX(입력_전공의명단!$J$2:$J$401,$R258))</f>
        <v/>
      </c>
      <c r="E258" s="26">
        <f>IF($R258="","",INDEX(입력_전공의명단!$F$2:$F$401,$R258))</f>
        <v/>
      </c>
      <c r="F258" s="26">
        <f>IF($R258="","",INDEX(입력_전공의명단!$G$2:$G$401,$R258))</f>
        <v/>
      </c>
      <c r="G258" s="26">
        <f>IF($R258="","",INDEX(입력_전공의명단!$AE$2:$AE$401,$R258))</f>
        <v/>
      </c>
      <c r="H258" s="27">
        <f>IF($R258="","",IF(INDEX(입력_전공의명단!$AE$2:$AE$401,$R258)="서울병원","서울 소속","타 병원 소속("&amp;INDEX(입력_전공의명단!$AE$2:$AE$401,$R258)&amp;") → 서울 지급"))</f>
        <v/>
      </c>
      <c r="I258" s="26">
        <f>IF($R258="","",INDEX(입력_전공의명단!$N$2:$N$401,$R258))</f>
        <v/>
      </c>
      <c r="J258" s="26">
        <f>IF($R258="","",INDEX(입력_전공의명단!$P$2:$P$401,$R258))</f>
        <v/>
      </c>
      <c r="K258" s="26">
        <f>IF($R258="","",INDEX(입력_전공의명단!$Q$2:$Q$401,$R258))</f>
        <v/>
      </c>
      <c r="L258" s="28">
        <f>IF($R258="","",INDEX(입력_전공의명단!$S$2:$S$401,$R258))</f>
        <v/>
      </c>
      <c r="M258" s="28">
        <f>IF($R258="","",INDEX(입력_전공의명단!$T$2:$T$401,$R258))</f>
        <v/>
      </c>
      <c r="N258" s="26">
        <f>IF($R258="","",INDEX(입력_전공의명단!$AH$2:$AH$401,$R258))</f>
        <v/>
      </c>
      <c r="O258" s="26">
        <f>IF($R258="","",INDEX(입력_전공의명단!$AI$2:$AI$401,$R258))</f>
        <v/>
      </c>
      <c r="P258" s="27">
        <f>IF($R258="","",INDEX(입력_전공의명단!$AO$2:$AO$401,$R258))</f>
        <v/>
      </c>
      <c r="Q258" s="27">
        <f>IF($R258="","",INDEX(입력_전공의명단!$Z$2:$Z$401,$R258))</f>
        <v/>
      </c>
      <c r="R258" s="29">
        <f>IFERROR(MATCH(ROW()-5,입력_전공의명단!$AM$2:$AM$401,0),"")</f>
        <v/>
      </c>
    </row>
    <row r="259">
      <c r="A259" s="26">
        <f>IF($R259="","",ROW()-5)</f>
        <v/>
      </c>
      <c r="B259" s="26">
        <f>IF($R259="","",INDEX(입력_전공의명단!$C$2:$C$401,$R259))</f>
        <v/>
      </c>
      <c r="C259" s="26">
        <f>IF($R259="","",INDEX(입력_전공의명단!$B$2:$B$401,$R259))</f>
        <v/>
      </c>
      <c r="D259" s="26">
        <f>IF($R259="","",INDEX(입력_전공의명단!$J$2:$J$401,$R259))</f>
        <v/>
      </c>
      <c r="E259" s="26">
        <f>IF($R259="","",INDEX(입력_전공의명단!$F$2:$F$401,$R259))</f>
        <v/>
      </c>
      <c r="F259" s="26">
        <f>IF($R259="","",INDEX(입력_전공의명단!$G$2:$G$401,$R259))</f>
        <v/>
      </c>
      <c r="G259" s="26">
        <f>IF($R259="","",INDEX(입력_전공의명단!$AE$2:$AE$401,$R259))</f>
        <v/>
      </c>
      <c r="H259" s="27">
        <f>IF($R259="","",IF(INDEX(입력_전공의명단!$AE$2:$AE$401,$R259)="서울병원","서울 소속","타 병원 소속("&amp;INDEX(입력_전공의명단!$AE$2:$AE$401,$R259)&amp;") → 서울 지급"))</f>
        <v/>
      </c>
      <c r="I259" s="26">
        <f>IF($R259="","",INDEX(입력_전공의명단!$N$2:$N$401,$R259))</f>
        <v/>
      </c>
      <c r="J259" s="26">
        <f>IF($R259="","",INDEX(입력_전공의명단!$P$2:$P$401,$R259))</f>
        <v/>
      </c>
      <c r="K259" s="26">
        <f>IF($R259="","",INDEX(입력_전공의명단!$Q$2:$Q$401,$R259))</f>
        <v/>
      </c>
      <c r="L259" s="28">
        <f>IF($R259="","",INDEX(입력_전공의명단!$S$2:$S$401,$R259))</f>
        <v/>
      </c>
      <c r="M259" s="28">
        <f>IF($R259="","",INDEX(입력_전공의명단!$T$2:$T$401,$R259))</f>
        <v/>
      </c>
      <c r="N259" s="26">
        <f>IF($R259="","",INDEX(입력_전공의명단!$AH$2:$AH$401,$R259))</f>
        <v/>
      </c>
      <c r="O259" s="26">
        <f>IF($R259="","",INDEX(입력_전공의명단!$AI$2:$AI$401,$R259))</f>
        <v/>
      </c>
      <c r="P259" s="27">
        <f>IF($R259="","",INDEX(입력_전공의명단!$AO$2:$AO$401,$R259))</f>
        <v/>
      </c>
      <c r="Q259" s="27">
        <f>IF($R259="","",INDEX(입력_전공의명단!$Z$2:$Z$401,$R259))</f>
        <v/>
      </c>
      <c r="R259" s="29">
        <f>IFERROR(MATCH(ROW()-5,입력_전공의명단!$AM$2:$AM$401,0),"")</f>
        <v/>
      </c>
    </row>
    <row r="260">
      <c r="A260" s="26">
        <f>IF($R260="","",ROW()-5)</f>
        <v/>
      </c>
      <c r="B260" s="26">
        <f>IF($R260="","",INDEX(입력_전공의명단!$C$2:$C$401,$R260))</f>
        <v/>
      </c>
      <c r="C260" s="26">
        <f>IF($R260="","",INDEX(입력_전공의명단!$B$2:$B$401,$R260))</f>
        <v/>
      </c>
      <c r="D260" s="26">
        <f>IF($R260="","",INDEX(입력_전공의명단!$J$2:$J$401,$R260))</f>
        <v/>
      </c>
      <c r="E260" s="26">
        <f>IF($R260="","",INDEX(입력_전공의명단!$F$2:$F$401,$R260))</f>
        <v/>
      </c>
      <c r="F260" s="26">
        <f>IF($R260="","",INDEX(입력_전공의명단!$G$2:$G$401,$R260))</f>
        <v/>
      </c>
      <c r="G260" s="26">
        <f>IF($R260="","",INDEX(입력_전공의명단!$AE$2:$AE$401,$R260))</f>
        <v/>
      </c>
      <c r="H260" s="27">
        <f>IF($R260="","",IF(INDEX(입력_전공의명단!$AE$2:$AE$401,$R260)="서울병원","서울 소속","타 병원 소속("&amp;INDEX(입력_전공의명단!$AE$2:$AE$401,$R260)&amp;") → 서울 지급"))</f>
        <v/>
      </c>
      <c r="I260" s="26">
        <f>IF($R260="","",INDEX(입력_전공의명단!$N$2:$N$401,$R260))</f>
        <v/>
      </c>
      <c r="J260" s="26">
        <f>IF($R260="","",INDEX(입력_전공의명단!$P$2:$P$401,$R260))</f>
        <v/>
      </c>
      <c r="K260" s="26">
        <f>IF($R260="","",INDEX(입력_전공의명단!$Q$2:$Q$401,$R260))</f>
        <v/>
      </c>
      <c r="L260" s="28">
        <f>IF($R260="","",INDEX(입력_전공의명단!$S$2:$S$401,$R260))</f>
        <v/>
      </c>
      <c r="M260" s="28">
        <f>IF($R260="","",INDEX(입력_전공의명단!$T$2:$T$401,$R260))</f>
        <v/>
      </c>
      <c r="N260" s="26">
        <f>IF($R260="","",INDEX(입력_전공의명단!$AH$2:$AH$401,$R260))</f>
        <v/>
      </c>
      <c r="O260" s="26">
        <f>IF($R260="","",INDEX(입력_전공의명단!$AI$2:$AI$401,$R260))</f>
        <v/>
      </c>
      <c r="P260" s="27">
        <f>IF($R260="","",INDEX(입력_전공의명단!$AO$2:$AO$401,$R260))</f>
        <v/>
      </c>
      <c r="Q260" s="27">
        <f>IF($R260="","",INDEX(입력_전공의명단!$Z$2:$Z$401,$R260))</f>
        <v/>
      </c>
      <c r="R260" s="29">
        <f>IFERROR(MATCH(ROW()-5,입력_전공의명단!$AM$2:$AM$401,0),"")</f>
        <v/>
      </c>
    </row>
    <row r="261">
      <c r="A261" s="26">
        <f>IF($R261="","",ROW()-5)</f>
        <v/>
      </c>
      <c r="B261" s="26">
        <f>IF($R261="","",INDEX(입력_전공의명단!$C$2:$C$401,$R261))</f>
        <v/>
      </c>
      <c r="C261" s="26">
        <f>IF($R261="","",INDEX(입력_전공의명단!$B$2:$B$401,$R261))</f>
        <v/>
      </c>
      <c r="D261" s="26">
        <f>IF($R261="","",INDEX(입력_전공의명단!$J$2:$J$401,$R261))</f>
        <v/>
      </c>
      <c r="E261" s="26">
        <f>IF($R261="","",INDEX(입력_전공의명단!$F$2:$F$401,$R261))</f>
        <v/>
      </c>
      <c r="F261" s="26">
        <f>IF($R261="","",INDEX(입력_전공의명단!$G$2:$G$401,$R261))</f>
        <v/>
      </c>
      <c r="G261" s="26">
        <f>IF($R261="","",INDEX(입력_전공의명단!$AE$2:$AE$401,$R261))</f>
        <v/>
      </c>
      <c r="H261" s="27">
        <f>IF($R261="","",IF(INDEX(입력_전공의명단!$AE$2:$AE$401,$R261)="서울병원","서울 소속","타 병원 소속("&amp;INDEX(입력_전공의명단!$AE$2:$AE$401,$R261)&amp;") → 서울 지급"))</f>
        <v/>
      </c>
      <c r="I261" s="26">
        <f>IF($R261="","",INDEX(입력_전공의명단!$N$2:$N$401,$R261))</f>
        <v/>
      </c>
      <c r="J261" s="26">
        <f>IF($R261="","",INDEX(입력_전공의명단!$P$2:$P$401,$R261))</f>
        <v/>
      </c>
      <c r="K261" s="26">
        <f>IF($R261="","",INDEX(입력_전공의명단!$Q$2:$Q$401,$R261))</f>
        <v/>
      </c>
      <c r="L261" s="28">
        <f>IF($R261="","",INDEX(입력_전공의명단!$S$2:$S$401,$R261))</f>
        <v/>
      </c>
      <c r="M261" s="28">
        <f>IF($R261="","",INDEX(입력_전공의명단!$T$2:$T$401,$R261))</f>
        <v/>
      </c>
      <c r="N261" s="26">
        <f>IF($R261="","",INDEX(입력_전공의명단!$AH$2:$AH$401,$R261))</f>
        <v/>
      </c>
      <c r="O261" s="26">
        <f>IF($R261="","",INDEX(입력_전공의명단!$AI$2:$AI$401,$R261))</f>
        <v/>
      </c>
      <c r="P261" s="27">
        <f>IF($R261="","",INDEX(입력_전공의명단!$AO$2:$AO$401,$R261))</f>
        <v/>
      </c>
      <c r="Q261" s="27">
        <f>IF($R261="","",INDEX(입력_전공의명단!$Z$2:$Z$401,$R261))</f>
        <v/>
      </c>
      <c r="R261" s="29">
        <f>IFERROR(MATCH(ROW()-5,입력_전공의명단!$AM$2:$AM$401,0),"")</f>
        <v/>
      </c>
    </row>
    <row r="262">
      <c r="A262" s="26">
        <f>IF($R262="","",ROW()-5)</f>
        <v/>
      </c>
      <c r="B262" s="26">
        <f>IF($R262="","",INDEX(입력_전공의명단!$C$2:$C$401,$R262))</f>
        <v/>
      </c>
      <c r="C262" s="26">
        <f>IF($R262="","",INDEX(입력_전공의명단!$B$2:$B$401,$R262))</f>
        <v/>
      </c>
      <c r="D262" s="26">
        <f>IF($R262="","",INDEX(입력_전공의명단!$J$2:$J$401,$R262))</f>
        <v/>
      </c>
      <c r="E262" s="26">
        <f>IF($R262="","",INDEX(입력_전공의명단!$F$2:$F$401,$R262))</f>
        <v/>
      </c>
      <c r="F262" s="26">
        <f>IF($R262="","",INDEX(입력_전공의명단!$G$2:$G$401,$R262))</f>
        <v/>
      </c>
      <c r="G262" s="26">
        <f>IF($R262="","",INDEX(입력_전공의명단!$AE$2:$AE$401,$R262))</f>
        <v/>
      </c>
      <c r="H262" s="27">
        <f>IF($R262="","",IF(INDEX(입력_전공의명단!$AE$2:$AE$401,$R262)="서울병원","서울 소속","타 병원 소속("&amp;INDEX(입력_전공의명단!$AE$2:$AE$401,$R262)&amp;") → 서울 지급"))</f>
        <v/>
      </c>
      <c r="I262" s="26">
        <f>IF($R262="","",INDEX(입력_전공의명단!$N$2:$N$401,$R262))</f>
        <v/>
      </c>
      <c r="J262" s="26">
        <f>IF($R262="","",INDEX(입력_전공의명단!$P$2:$P$401,$R262))</f>
        <v/>
      </c>
      <c r="K262" s="26">
        <f>IF($R262="","",INDEX(입력_전공의명단!$Q$2:$Q$401,$R262))</f>
        <v/>
      </c>
      <c r="L262" s="28">
        <f>IF($R262="","",INDEX(입력_전공의명단!$S$2:$S$401,$R262))</f>
        <v/>
      </c>
      <c r="M262" s="28">
        <f>IF($R262="","",INDEX(입력_전공의명단!$T$2:$T$401,$R262))</f>
        <v/>
      </c>
      <c r="N262" s="26">
        <f>IF($R262="","",INDEX(입력_전공의명단!$AH$2:$AH$401,$R262))</f>
        <v/>
      </c>
      <c r="O262" s="26">
        <f>IF($R262="","",INDEX(입력_전공의명단!$AI$2:$AI$401,$R262))</f>
        <v/>
      </c>
      <c r="P262" s="27">
        <f>IF($R262="","",INDEX(입력_전공의명단!$AO$2:$AO$401,$R262))</f>
        <v/>
      </c>
      <c r="Q262" s="27">
        <f>IF($R262="","",INDEX(입력_전공의명단!$Z$2:$Z$401,$R262))</f>
        <v/>
      </c>
      <c r="R262" s="29">
        <f>IFERROR(MATCH(ROW()-5,입력_전공의명단!$AM$2:$AM$401,0),"")</f>
        <v/>
      </c>
    </row>
    <row r="263">
      <c r="A263" s="26">
        <f>IF($R263="","",ROW()-5)</f>
        <v/>
      </c>
      <c r="B263" s="26">
        <f>IF($R263="","",INDEX(입력_전공의명단!$C$2:$C$401,$R263))</f>
        <v/>
      </c>
      <c r="C263" s="26">
        <f>IF($R263="","",INDEX(입력_전공의명단!$B$2:$B$401,$R263))</f>
        <v/>
      </c>
      <c r="D263" s="26">
        <f>IF($R263="","",INDEX(입력_전공의명단!$J$2:$J$401,$R263))</f>
        <v/>
      </c>
      <c r="E263" s="26">
        <f>IF($R263="","",INDEX(입력_전공의명단!$F$2:$F$401,$R263))</f>
        <v/>
      </c>
      <c r="F263" s="26">
        <f>IF($R263="","",INDEX(입력_전공의명단!$G$2:$G$401,$R263))</f>
        <v/>
      </c>
      <c r="G263" s="26">
        <f>IF($R263="","",INDEX(입력_전공의명단!$AE$2:$AE$401,$R263))</f>
        <v/>
      </c>
      <c r="H263" s="27">
        <f>IF($R263="","",IF(INDEX(입력_전공의명단!$AE$2:$AE$401,$R263)="서울병원","서울 소속","타 병원 소속("&amp;INDEX(입력_전공의명단!$AE$2:$AE$401,$R263)&amp;") → 서울 지급"))</f>
        <v/>
      </c>
      <c r="I263" s="26">
        <f>IF($R263="","",INDEX(입력_전공의명단!$N$2:$N$401,$R263))</f>
        <v/>
      </c>
      <c r="J263" s="26">
        <f>IF($R263="","",INDEX(입력_전공의명단!$P$2:$P$401,$R263))</f>
        <v/>
      </c>
      <c r="K263" s="26">
        <f>IF($R263="","",INDEX(입력_전공의명단!$Q$2:$Q$401,$R263))</f>
        <v/>
      </c>
      <c r="L263" s="28">
        <f>IF($R263="","",INDEX(입력_전공의명단!$S$2:$S$401,$R263))</f>
        <v/>
      </c>
      <c r="M263" s="28">
        <f>IF($R263="","",INDEX(입력_전공의명단!$T$2:$T$401,$R263))</f>
        <v/>
      </c>
      <c r="N263" s="26">
        <f>IF($R263="","",INDEX(입력_전공의명단!$AH$2:$AH$401,$R263))</f>
        <v/>
      </c>
      <c r="O263" s="26">
        <f>IF($R263="","",INDEX(입력_전공의명단!$AI$2:$AI$401,$R263))</f>
        <v/>
      </c>
      <c r="P263" s="27">
        <f>IF($R263="","",INDEX(입력_전공의명단!$AO$2:$AO$401,$R263))</f>
        <v/>
      </c>
      <c r="Q263" s="27">
        <f>IF($R263="","",INDEX(입력_전공의명단!$Z$2:$Z$401,$R263))</f>
        <v/>
      </c>
      <c r="R263" s="29">
        <f>IFERROR(MATCH(ROW()-5,입력_전공의명단!$AM$2:$AM$401,0),"")</f>
        <v/>
      </c>
    </row>
    <row r="264">
      <c r="A264" s="26">
        <f>IF($R264="","",ROW()-5)</f>
        <v/>
      </c>
      <c r="B264" s="26">
        <f>IF($R264="","",INDEX(입력_전공의명단!$C$2:$C$401,$R264))</f>
        <v/>
      </c>
      <c r="C264" s="26">
        <f>IF($R264="","",INDEX(입력_전공의명단!$B$2:$B$401,$R264))</f>
        <v/>
      </c>
      <c r="D264" s="26">
        <f>IF($R264="","",INDEX(입력_전공의명단!$J$2:$J$401,$R264))</f>
        <v/>
      </c>
      <c r="E264" s="26">
        <f>IF($R264="","",INDEX(입력_전공의명단!$F$2:$F$401,$R264))</f>
        <v/>
      </c>
      <c r="F264" s="26">
        <f>IF($R264="","",INDEX(입력_전공의명단!$G$2:$G$401,$R264))</f>
        <v/>
      </c>
      <c r="G264" s="26">
        <f>IF($R264="","",INDEX(입력_전공의명단!$AE$2:$AE$401,$R264))</f>
        <v/>
      </c>
      <c r="H264" s="27">
        <f>IF($R264="","",IF(INDEX(입력_전공의명단!$AE$2:$AE$401,$R264)="서울병원","서울 소속","타 병원 소속("&amp;INDEX(입력_전공의명단!$AE$2:$AE$401,$R264)&amp;") → 서울 지급"))</f>
        <v/>
      </c>
      <c r="I264" s="26">
        <f>IF($R264="","",INDEX(입력_전공의명단!$N$2:$N$401,$R264))</f>
        <v/>
      </c>
      <c r="J264" s="26">
        <f>IF($R264="","",INDEX(입력_전공의명단!$P$2:$P$401,$R264))</f>
        <v/>
      </c>
      <c r="K264" s="26">
        <f>IF($R264="","",INDEX(입력_전공의명단!$Q$2:$Q$401,$R264))</f>
        <v/>
      </c>
      <c r="L264" s="28">
        <f>IF($R264="","",INDEX(입력_전공의명단!$S$2:$S$401,$R264))</f>
        <v/>
      </c>
      <c r="M264" s="28">
        <f>IF($R264="","",INDEX(입력_전공의명단!$T$2:$T$401,$R264))</f>
        <v/>
      </c>
      <c r="N264" s="26">
        <f>IF($R264="","",INDEX(입력_전공의명단!$AH$2:$AH$401,$R264))</f>
        <v/>
      </c>
      <c r="O264" s="26">
        <f>IF($R264="","",INDEX(입력_전공의명단!$AI$2:$AI$401,$R264))</f>
        <v/>
      </c>
      <c r="P264" s="27">
        <f>IF($R264="","",INDEX(입력_전공의명단!$AO$2:$AO$401,$R264))</f>
        <v/>
      </c>
      <c r="Q264" s="27">
        <f>IF($R264="","",INDEX(입력_전공의명단!$Z$2:$Z$401,$R264))</f>
        <v/>
      </c>
      <c r="R264" s="29">
        <f>IFERROR(MATCH(ROW()-5,입력_전공의명단!$AM$2:$AM$401,0),"")</f>
        <v/>
      </c>
    </row>
    <row r="265">
      <c r="A265" s="26">
        <f>IF($R265="","",ROW()-5)</f>
        <v/>
      </c>
      <c r="B265" s="26">
        <f>IF($R265="","",INDEX(입력_전공의명단!$C$2:$C$401,$R265))</f>
        <v/>
      </c>
      <c r="C265" s="26">
        <f>IF($R265="","",INDEX(입력_전공의명단!$B$2:$B$401,$R265))</f>
        <v/>
      </c>
      <c r="D265" s="26">
        <f>IF($R265="","",INDEX(입력_전공의명단!$J$2:$J$401,$R265))</f>
        <v/>
      </c>
      <c r="E265" s="26">
        <f>IF($R265="","",INDEX(입력_전공의명단!$F$2:$F$401,$R265))</f>
        <v/>
      </c>
      <c r="F265" s="26">
        <f>IF($R265="","",INDEX(입력_전공의명단!$G$2:$G$401,$R265))</f>
        <v/>
      </c>
      <c r="G265" s="26">
        <f>IF($R265="","",INDEX(입력_전공의명단!$AE$2:$AE$401,$R265))</f>
        <v/>
      </c>
      <c r="H265" s="27">
        <f>IF($R265="","",IF(INDEX(입력_전공의명단!$AE$2:$AE$401,$R265)="서울병원","서울 소속","타 병원 소속("&amp;INDEX(입력_전공의명단!$AE$2:$AE$401,$R265)&amp;") → 서울 지급"))</f>
        <v/>
      </c>
      <c r="I265" s="26">
        <f>IF($R265="","",INDEX(입력_전공의명단!$N$2:$N$401,$R265))</f>
        <v/>
      </c>
      <c r="J265" s="26">
        <f>IF($R265="","",INDEX(입력_전공의명단!$P$2:$P$401,$R265))</f>
        <v/>
      </c>
      <c r="K265" s="26">
        <f>IF($R265="","",INDEX(입력_전공의명단!$Q$2:$Q$401,$R265))</f>
        <v/>
      </c>
      <c r="L265" s="28">
        <f>IF($R265="","",INDEX(입력_전공의명단!$S$2:$S$401,$R265))</f>
        <v/>
      </c>
      <c r="M265" s="28">
        <f>IF($R265="","",INDEX(입력_전공의명단!$T$2:$T$401,$R265))</f>
        <v/>
      </c>
      <c r="N265" s="26">
        <f>IF($R265="","",INDEX(입력_전공의명단!$AH$2:$AH$401,$R265))</f>
        <v/>
      </c>
      <c r="O265" s="26">
        <f>IF($R265="","",INDEX(입력_전공의명단!$AI$2:$AI$401,$R265))</f>
        <v/>
      </c>
      <c r="P265" s="27">
        <f>IF($R265="","",INDEX(입력_전공의명단!$AO$2:$AO$401,$R265))</f>
        <v/>
      </c>
      <c r="Q265" s="27">
        <f>IF($R265="","",INDEX(입력_전공의명단!$Z$2:$Z$401,$R265))</f>
        <v/>
      </c>
      <c r="R265" s="29">
        <f>IFERROR(MATCH(ROW()-5,입력_전공의명단!$AM$2:$AM$401,0),"")</f>
        <v/>
      </c>
    </row>
    <row r="266">
      <c r="A266" s="26">
        <f>IF($R266="","",ROW()-5)</f>
        <v/>
      </c>
      <c r="B266" s="26">
        <f>IF($R266="","",INDEX(입력_전공의명단!$C$2:$C$401,$R266))</f>
        <v/>
      </c>
      <c r="C266" s="26">
        <f>IF($R266="","",INDEX(입력_전공의명단!$B$2:$B$401,$R266))</f>
        <v/>
      </c>
      <c r="D266" s="26">
        <f>IF($R266="","",INDEX(입력_전공의명단!$J$2:$J$401,$R266))</f>
        <v/>
      </c>
      <c r="E266" s="26">
        <f>IF($R266="","",INDEX(입력_전공의명단!$F$2:$F$401,$R266))</f>
        <v/>
      </c>
      <c r="F266" s="26">
        <f>IF($R266="","",INDEX(입력_전공의명단!$G$2:$G$401,$R266))</f>
        <v/>
      </c>
      <c r="G266" s="26">
        <f>IF($R266="","",INDEX(입력_전공의명단!$AE$2:$AE$401,$R266))</f>
        <v/>
      </c>
      <c r="H266" s="27">
        <f>IF($R266="","",IF(INDEX(입력_전공의명단!$AE$2:$AE$401,$R266)="서울병원","서울 소속","타 병원 소속("&amp;INDEX(입력_전공의명단!$AE$2:$AE$401,$R266)&amp;") → 서울 지급"))</f>
        <v/>
      </c>
      <c r="I266" s="26">
        <f>IF($R266="","",INDEX(입력_전공의명단!$N$2:$N$401,$R266))</f>
        <v/>
      </c>
      <c r="J266" s="26">
        <f>IF($R266="","",INDEX(입력_전공의명단!$P$2:$P$401,$R266))</f>
        <v/>
      </c>
      <c r="K266" s="26">
        <f>IF($R266="","",INDEX(입력_전공의명단!$Q$2:$Q$401,$R266))</f>
        <v/>
      </c>
      <c r="L266" s="28">
        <f>IF($R266="","",INDEX(입력_전공의명단!$S$2:$S$401,$R266))</f>
        <v/>
      </c>
      <c r="M266" s="28">
        <f>IF($R266="","",INDEX(입력_전공의명단!$T$2:$T$401,$R266))</f>
        <v/>
      </c>
      <c r="N266" s="26">
        <f>IF($R266="","",INDEX(입력_전공의명단!$AH$2:$AH$401,$R266))</f>
        <v/>
      </c>
      <c r="O266" s="26">
        <f>IF($R266="","",INDEX(입력_전공의명단!$AI$2:$AI$401,$R266))</f>
        <v/>
      </c>
      <c r="P266" s="27">
        <f>IF($R266="","",INDEX(입력_전공의명단!$AO$2:$AO$401,$R266))</f>
        <v/>
      </c>
      <c r="Q266" s="27">
        <f>IF($R266="","",INDEX(입력_전공의명단!$Z$2:$Z$401,$R266))</f>
        <v/>
      </c>
      <c r="R266" s="29">
        <f>IFERROR(MATCH(ROW()-5,입력_전공의명단!$AM$2:$AM$401,0),"")</f>
        <v/>
      </c>
    </row>
    <row r="267">
      <c r="A267" s="26">
        <f>IF($R267="","",ROW()-5)</f>
        <v/>
      </c>
      <c r="B267" s="26">
        <f>IF($R267="","",INDEX(입력_전공의명단!$C$2:$C$401,$R267))</f>
        <v/>
      </c>
      <c r="C267" s="26">
        <f>IF($R267="","",INDEX(입력_전공의명단!$B$2:$B$401,$R267))</f>
        <v/>
      </c>
      <c r="D267" s="26">
        <f>IF($R267="","",INDEX(입력_전공의명단!$J$2:$J$401,$R267))</f>
        <v/>
      </c>
      <c r="E267" s="26">
        <f>IF($R267="","",INDEX(입력_전공의명단!$F$2:$F$401,$R267))</f>
        <v/>
      </c>
      <c r="F267" s="26">
        <f>IF($R267="","",INDEX(입력_전공의명단!$G$2:$G$401,$R267))</f>
        <v/>
      </c>
      <c r="G267" s="26">
        <f>IF($R267="","",INDEX(입력_전공의명단!$AE$2:$AE$401,$R267))</f>
        <v/>
      </c>
      <c r="H267" s="27">
        <f>IF($R267="","",IF(INDEX(입력_전공의명단!$AE$2:$AE$401,$R267)="서울병원","서울 소속","타 병원 소속("&amp;INDEX(입력_전공의명단!$AE$2:$AE$401,$R267)&amp;") → 서울 지급"))</f>
        <v/>
      </c>
      <c r="I267" s="26">
        <f>IF($R267="","",INDEX(입력_전공의명단!$N$2:$N$401,$R267))</f>
        <v/>
      </c>
      <c r="J267" s="26">
        <f>IF($R267="","",INDEX(입력_전공의명단!$P$2:$P$401,$R267))</f>
        <v/>
      </c>
      <c r="K267" s="26">
        <f>IF($R267="","",INDEX(입력_전공의명단!$Q$2:$Q$401,$R267))</f>
        <v/>
      </c>
      <c r="L267" s="28">
        <f>IF($R267="","",INDEX(입력_전공의명단!$S$2:$S$401,$R267))</f>
        <v/>
      </c>
      <c r="M267" s="28">
        <f>IF($R267="","",INDEX(입력_전공의명단!$T$2:$T$401,$R267))</f>
        <v/>
      </c>
      <c r="N267" s="26">
        <f>IF($R267="","",INDEX(입력_전공의명단!$AH$2:$AH$401,$R267))</f>
        <v/>
      </c>
      <c r="O267" s="26">
        <f>IF($R267="","",INDEX(입력_전공의명단!$AI$2:$AI$401,$R267))</f>
        <v/>
      </c>
      <c r="P267" s="27">
        <f>IF($R267="","",INDEX(입력_전공의명단!$AO$2:$AO$401,$R267))</f>
        <v/>
      </c>
      <c r="Q267" s="27">
        <f>IF($R267="","",INDEX(입력_전공의명단!$Z$2:$Z$401,$R267))</f>
        <v/>
      </c>
      <c r="R267" s="29">
        <f>IFERROR(MATCH(ROW()-5,입력_전공의명단!$AM$2:$AM$401,0),"")</f>
        <v/>
      </c>
    </row>
    <row r="268">
      <c r="A268" s="26">
        <f>IF($R268="","",ROW()-5)</f>
        <v/>
      </c>
      <c r="B268" s="26">
        <f>IF($R268="","",INDEX(입력_전공의명단!$C$2:$C$401,$R268))</f>
        <v/>
      </c>
      <c r="C268" s="26">
        <f>IF($R268="","",INDEX(입력_전공의명단!$B$2:$B$401,$R268))</f>
        <v/>
      </c>
      <c r="D268" s="26">
        <f>IF($R268="","",INDEX(입력_전공의명단!$J$2:$J$401,$R268))</f>
        <v/>
      </c>
      <c r="E268" s="26">
        <f>IF($R268="","",INDEX(입력_전공의명단!$F$2:$F$401,$R268))</f>
        <v/>
      </c>
      <c r="F268" s="26">
        <f>IF($R268="","",INDEX(입력_전공의명단!$G$2:$G$401,$R268))</f>
        <v/>
      </c>
      <c r="G268" s="26">
        <f>IF($R268="","",INDEX(입력_전공의명단!$AE$2:$AE$401,$R268))</f>
        <v/>
      </c>
      <c r="H268" s="27">
        <f>IF($R268="","",IF(INDEX(입력_전공의명단!$AE$2:$AE$401,$R268)="서울병원","서울 소속","타 병원 소속("&amp;INDEX(입력_전공의명단!$AE$2:$AE$401,$R268)&amp;") → 서울 지급"))</f>
        <v/>
      </c>
      <c r="I268" s="26">
        <f>IF($R268="","",INDEX(입력_전공의명단!$N$2:$N$401,$R268))</f>
        <v/>
      </c>
      <c r="J268" s="26">
        <f>IF($R268="","",INDEX(입력_전공의명단!$P$2:$P$401,$R268))</f>
        <v/>
      </c>
      <c r="K268" s="26">
        <f>IF($R268="","",INDEX(입력_전공의명단!$Q$2:$Q$401,$R268))</f>
        <v/>
      </c>
      <c r="L268" s="28">
        <f>IF($R268="","",INDEX(입력_전공의명단!$S$2:$S$401,$R268))</f>
        <v/>
      </c>
      <c r="M268" s="28">
        <f>IF($R268="","",INDEX(입력_전공의명단!$T$2:$T$401,$R268))</f>
        <v/>
      </c>
      <c r="N268" s="26">
        <f>IF($R268="","",INDEX(입력_전공의명단!$AH$2:$AH$401,$R268))</f>
        <v/>
      </c>
      <c r="O268" s="26">
        <f>IF($R268="","",INDEX(입력_전공의명단!$AI$2:$AI$401,$R268))</f>
        <v/>
      </c>
      <c r="P268" s="27">
        <f>IF($R268="","",INDEX(입력_전공의명단!$AO$2:$AO$401,$R268))</f>
        <v/>
      </c>
      <c r="Q268" s="27">
        <f>IF($R268="","",INDEX(입력_전공의명단!$Z$2:$Z$401,$R268))</f>
        <v/>
      </c>
      <c r="R268" s="29">
        <f>IFERROR(MATCH(ROW()-5,입력_전공의명단!$AM$2:$AM$401,0),"")</f>
        <v/>
      </c>
    </row>
    <row r="269">
      <c r="A269" s="26">
        <f>IF($R269="","",ROW()-5)</f>
        <v/>
      </c>
      <c r="B269" s="26">
        <f>IF($R269="","",INDEX(입력_전공의명단!$C$2:$C$401,$R269))</f>
        <v/>
      </c>
      <c r="C269" s="26">
        <f>IF($R269="","",INDEX(입력_전공의명단!$B$2:$B$401,$R269))</f>
        <v/>
      </c>
      <c r="D269" s="26">
        <f>IF($R269="","",INDEX(입력_전공의명단!$J$2:$J$401,$R269))</f>
        <v/>
      </c>
      <c r="E269" s="26">
        <f>IF($R269="","",INDEX(입력_전공의명단!$F$2:$F$401,$R269))</f>
        <v/>
      </c>
      <c r="F269" s="26">
        <f>IF($R269="","",INDEX(입력_전공의명단!$G$2:$G$401,$R269))</f>
        <v/>
      </c>
      <c r="G269" s="26">
        <f>IF($R269="","",INDEX(입력_전공의명단!$AE$2:$AE$401,$R269))</f>
        <v/>
      </c>
      <c r="H269" s="27">
        <f>IF($R269="","",IF(INDEX(입력_전공의명단!$AE$2:$AE$401,$R269)="서울병원","서울 소속","타 병원 소속("&amp;INDEX(입력_전공의명단!$AE$2:$AE$401,$R269)&amp;") → 서울 지급"))</f>
        <v/>
      </c>
      <c r="I269" s="26">
        <f>IF($R269="","",INDEX(입력_전공의명단!$N$2:$N$401,$R269))</f>
        <v/>
      </c>
      <c r="J269" s="26">
        <f>IF($R269="","",INDEX(입력_전공의명단!$P$2:$P$401,$R269))</f>
        <v/>
      </c>
      <c r="K269" s="26">
        <f>IF($R269="","",INDEX(입력_전공의명단!$Q$2:$Q$401,$R269))</f>
        <v/>
      </c>
      <c r="L269" s="28">
        <f>IF($R269="","",INDEX(입력_전공의명단!$S$2:$S$401,$R269))</f>
        <v/>
      </c>
      <c r="M269" s="28">
        <f>IF($R269="","",INDEX(입력_전공의명단!$T$2:$T$401,$R269))</f>
        <v/>
      </c>
      <c r="N269" s="26">
        <f>IF($R269="","",INDEX(입력_전공의명단!$AH$2:$AH$401,$R269))</f>
        <v/>
      </c>
      <c r="O269" s="26">
        <f>IF($R269="","",INDEX(입력_전공의명단!$AI$2:$AI$401,$R269))</f>
        <v/>
      </c>
      <c r="P269" s="27">
        <f>IF($R269="","",INDEX(입력_전공의명단!$AO$2:$AO$401,$R269))</f>
        <v/>
      </c>
      <c r="Q269" s="27">
        <f>IF($R269="","",INDEX(입력_전공의명단!$Z$2:$Z$401,$R269))</f>
        <v/>
      </c>
      <c r="R269" s="29">
        <f>IFERROR(MATCH(ROW()-5,입력_전공의명단!$AM$2:$AM$401,0),"")</f>
        <v/>
      </c>
    </row>
    <row r="270">
      <c r="A270" s="26">
        <f>IF($R270="","",ROW()-5)</f>
        <v/>
      </c>
      <c r="B270" s="26">
        <f>IF($R270="","",INDEX(입력_전공의명단!$C$2:$C$401,$R270))</f>
        <v/>
      </c>
      <c r="C270" s="26">
        <f>IF($R270="","",INDEX(입력_전공의명단!$B$2:$B$401,$R270))</f>
        <v/>
      </c>
      <c r="D270" s="26">
        <f>IF($R270="","",INDEX(입력_전공의명단!$J$2:$J$401,$R270))</f>
        <v/>
      </c>
      <c r="E270" s="26">
        <f>IF($R270="","",INDEX(입력_전공의명단!$F$2:$F$401,$R270))</f>
        <v/>
      </c>
      <c r="F270" s="26">
        <f>IF($R270="","",INDEX(입력_전공의명단!$G$2:$G$401,$R270))</f>
        <v/>
      </c>
      <c r="G270" s="26">
        <f>IF($R270="","",INDEX(입력_전공의명단!$AE$2:$AE$401,$R270))</f>
        <v/>
      </c>
      <c r="H270" s="27">
        <f>IF($R270="","",IF(INDEX(입력_전공의명단!$AE$2:$AE$401,$R270)="서울병원","서울 소속","타 병원 소속("&amp;INDEX(입력_전공의명단!$AE$2:$AE$401,$R270)&amp;") → 서울 지급"))</f>
        <v/>
      </c>
      <c r="I270" s="26">
        <f>IF($R270="","",INDEX(입력_전공의명단!$N$2:$N$401,$R270))</f>
        <v/>
      </c>
      <c r="J270" s="26">
        <f>IF($R270="","",INDEX(입력_전공의명단!$P$2:$P$401,$R270))</f>
        <v/>
      </c>
      <c r="K270" s="26">
        <f>IF($R270="","",INDEX(입력_전공의명단!$Q$2:$Q$401,$R270))</f>
        <v/>
      </c>
      <c r="L270" s="28">
        <f>IF($R270="","",INDEX(입력_전공의명단!$S$2:$S$401,$R270))</f>
        <v/>
      </c>
      <c r="M270" s="28">
        <f>IF($R270="","",INDEX(입력_전공의명단!$T$2:$T$401,$R270))</f>
        <v/>
      </c>
      <c r="N270" s="26">
        <f>IF($R270="","",INDEX(입력_전공의명단!$AH$2:$AH$401,$R270))</f>
        <v/>
      </c>
      <c r="O270" s="26">
        <f>IF($R270="","",INDEX(입력_전공의명단!$AI$2:$AI$401,$R270))</f>
        <v/>
      </c>
      <c r="P270" s="27">
        <f>IF($R270="","",INDEX(입력_전공의명단!$AO$2:$AO$401,$R270))</f>
        <v/>
      </c>
      <c r="Q270" s="27">
        <f>IF($R270="","",INDEX(입력_전공의명단!$Z$2:$Z$401,$R270))</f>
        <v/>
      </c>
      <c r="R270" s="29">
        <f>IFERROR(MATCH(ROW()-5,입력_전공의명단!$AM$2:$AM$401,0),"")</f>
        <v/>
      </c>
    </row>
    <row r="271">
      <c r="A271" s="26">
        <f>IF($R271="","",ROW()-5)</f>
        <v/>
      </c>
      <c r="B271" s="26">
        <f>IF($R271="","",INDEX(입력_전공의명단!$C$2:$C$401,$R271))</f>
        <v/>
      </c>
      <c r="C271" s="26">
        <f>IF($R271="","",INDEX(입력_전공의명단!$B$2:$B$401,$R271))</f>
        <v/>
      </c>
      <c r="D271" s="26">
        <f>IF($R271="","",INDEX(입력_전공의명단!$J$2:$J$401,$R271))</f>
        <v/>
      </c>
      <c r="E271" s="26">
        <f>IF($R271="","",INDEX(입력_전공의명단!$F$2:$F$401,$R271))</f>
        <v/>
      </c>
      <c r="F271" s="26">
        <f>IF($R271="","",INDEX(입력_전공의명단!$G$2:$G$401,$R271))</f>
        <v/>
      </c>
      <c r="G271" s="26">
        <f>IF($R271="","",INDEX(입력_전공의명단!$AE$2:$AE$401,$R271))</f>
        <v/>
      </c>
      <c r="H271" s="27">
        <f>IF($R271="","",IF(INDEX(입력_전공의명단!$AE$2:$AE$401,$R271)="서울병원","서울 소속","타 병원 소속("&amp;INDEX(입력_전공의명단!$AE$2:$AE$401,$R271)&amp;") → 서울 지급"))</f>
        <v/>
      </c>
      <c r="I271" s="26">
        <f>IF($R271="","",INDEX(입력_전공의명단!$N$2:$N$401,$R271))</f>
        <v/>
      </c>
      <c r="J271" s="26">
        <f>IF($R271="","",INDEX(입력_전공의명단!$P$2:$P$401,$R271))</f>
        <v/>
      </c>
      <c r="K271" s="26">
        <f>IF($R271="","",INDEX(입력_전공의명단!$Q$2:$Q$401,$R271))</f>
        <v/>
      </c>
      <c r="L271" s="28">
        <f>IF($R271="","",INDEX(입력_전공의명단!$S$2:$S$401,$R271))</f>
        <v/>
      </c>
      <c r="M271" s="28">
        <f>IF($R271="","",INDEX(입력_전공의명단!$T$2:$T$401,$R271))</f>
        <v/>
      </c>
      <c r="N271" s="26">
        <f>IF($R271="","",INDEX(입력_전공의명단!$AH$2:$AH$401,$R271))</f>
        <v/>
      </c>
      <c r="O271" s="26">
        <f>IF($R271="","",INDEX(입력_전공의명단!$AI$2:$AI$401,$R271))</f>
        <v/>
      </c>
      <c r="P271" s="27">
        <f>IF($R271="","",INDEX(입력_전공의명단!$AO$2:$AO$401,$R271))</f>
        <v/>
      </c>
      <c r="Q271" s="27">
        <f>IF($R271="","",INDEX(입력_전공의명단!$Z$2:$Z$401,$R271))</f>
        <v/>
      </c>
      <c r="R271" s="29">
        <f>IFERROR(MATCH(ROW()-5,입력_전공의명단!$AM$2:$AM$401,0),"")</f>
        <v/>
      </c>
    </row>
    <row r="272">
      <c r="A272" s="26">
        <f>IF($R272="","",ROW()-5)</f>
        <v/>
      </c>
      <c r="B272" s="26">
        <f>IF($R272="","",INDEX(입력_전공의명단!$C$2:$C$401,$R272))</f>
        <v/>
      </c>
      <c r="C272" s="26">
        <f>IF($R272="","",INDEX(입력_전공의명단!$B$2:$B$401,$R272))</f>
        <v/>
      </c>
      <c r="D272" s="26">
        <f>IF($R272="","",INDEX(입력_전공의명단!$J$2:$J$401,$R272))</f>
        <v/>
      </c>
      <c r="E272" s="26">
        <f>IF($R272="","",INDEX(입력_전공의명단!$F$2:$F$401,$R272))</f>
        <v/>
      </c>
      <c r="F272" s="26">
        <f>IF($R272="","",INDEX(입력_전공의명단!$G$2:$G$401,$R272))</f>
        <v/>
      </c>
      <c r="G272" s="26">
        <f>IF($R272="","",INDEX(입력_전공의명단!$AE$2:$AE$401,$R272))</f>
        <v/>
      </c>
      <c r="H272" s="27">
        <f>IF($R272="","",IF(INDEX(입력_전공의명단!$AE$2:$AE$401,$R272)="서울병원","서울 소속","타 병원 소속("&amp;INDEX(입력_전공의명단!$AE$2:$AE$401,$R272)&amp;") → 서울 지급"))</f>
        <v/>
      </c>
      <c r="I272" s="26">
        <f>IF($R272="","",INDEX(입력_전공의명단!$N$2:$N$401,$R272))</f>
        <v/>
      </c>
      <c r="J272" s="26">
        <f>IF($R272="","",INDEX(입력_전공의명단!$P$2:$P$401,$R272))</f>
        <v/>
      </c>
      <c r="K272" s="26">
        <f>IF($R272="","",INDEX(입력_전공의명단!$Q$2:$Q$401,$R272))</f>
        <v/>
      </c>
      <c r="L272" s="28">
        <f>IF($R272="","",INDEX(입력_전공의명단!$S$2:$S$401,$R272))</f>
        <v/>
      </c>
      <c r="M272" s="28">
        <f>IF($R272="","",INDEX(입력_전공의명단!$T$2:$T$401,$R272))</f>
        <v/>
      </c>
      <c r="N272" s="26">
        <f>IF($R272="","",INDEX(입력_전공의명단!$AH$2:$AH$401,$R272))</f>
        <v/>
      </c>
      <c r="O272" s="26">
        <f>IF($R272="","",INDEX(입력_전공의명단!$AI$2:$AI$401,$R272))</f>
        <v/>
      </c>
      <c r="P272" s="27">
        <f>IF($R272="","",INDEX(입력_전공의명단!$AO$2:$AO$401,$R272))</f>
        <v/>
      </c>
      <c r="Q272" s="27">
        <f>IF($R272="","",INDEX(입력_전공의명단!$Z$2:$Z$401,$R272))</f>
        <v/>
      </c>
      <c r="R272" s="29">
        <f>IFERROR(MATCH(ROW()-5,입력_전공의명단!$AM$2:$AM$401,0),"")</f>
        <v/>
      </c>
    </row>
    <row r="273">
      <c r="A273" s="26">
        <f>IF($R273="","",ROW()-5)</f>
        <v/>
      </c>
      <c r="B273" s="26">
        <f>IF($R273="","",INDEX(입력_전공의명단!$C$2:$C$401,$R273))</f>
        <v/>
      </c>
      <c r="C273" s="26">
        <f>IF($R273="","",INDEX(입력_전공의명단!$B$2:$B$401,$R273))</f>
        <v/>
      </c>
      <c r="D273" s="26">
        <f>IF($R273="","",INDEX(입력_전공의명단!$J$2:$J$401,$R273))</f>
        <v/>
      </c>
      <c r="E273" s="26">
        <f>IF($R273="","",INDEX(입력_전공의명단!$F$2:$F$401,$R273))</f>
        <v/>
      </c>
      <c r="F273" s="26">
        <f>IF($R273="","",INDEX(입력_전공의명단!$G$2:$G$401,$R273))</f>
        <v/>
      </c>
      <c r="G273" s="26">
        <f>IF($R273="","",INDEX(입력_전공의명단!$AE$2:$AE$401,$R273))</f>
        <v/>
      </c>
      <c r="H273" s="27">
        <f>IF($R273="","",IF(INDEX(입력_전공의명단!$AE$2:$AE$401,$R273)="서울병원","서울 소속","타 병원 소속("&amp;INDEX(입력_전공의명단!$AE$2:$AE$401,$R273)&amp;") → 서울 지급"))</f>
        <v/>
      </c>
      <c r="I273" s="26">
        <f>IF($R273="","",INDEX(입력_전공의명단!$N$2:$N$401,$R273))</f>
        <v/>
      </c>
      <c r="J273" s="26">
        <f>IF($R273="","",INDEX(입력_전공의명단!$P$2:$P$401,$R273))</f>
        <v/>
      </c>
      <c r="K273" s="26">
        <f>IF($R273="","",INDEX(입력_전공의명단!$Q$2:$Q$401,$R273))</f>
        <v/>
      </c>
      <c r="L273" s="28">
        <f>IF($R273="","",INDEX(입력_전공의명단!$S$2:$S$401,$R273))</f>
        <v/>
      </c>
      <c r="M273" s="28">
        <f>IF($R273="","",INDEX(입력_전공의명단!$T$2:$T$401,$R273))</f>
        <v/>
      </c>
      <c r="N273" s="26">
        <f>IF($R273="","",INDEX(입력_전공의명단!$AH$2:$AH$401,$R273))</f>
        <v/>
      </c>
      <c r="O273" s="26">
        <f>IF($R273="","",INDEX(입력_전공의명단!$AI$2:$AI$401,$R273))</f>
        <v/>
      </c>
      <c r="P273" s="27">
        <f>IF($R273="","",INDEX(입력_전공의명단!$AO$2:$AO$401,$R273))</f>
        <v/>
      </c>
      <c r="Q273" s="27">
        <f>IF($R273="","",INDEX(입력_전공의명단!$Z$2:$Z$401,$R273))</f>
        <v/>
      </c>
      <c r="R273" s="29">
        <f>IFERROR(MATCH(ROW()-5,입력_전공의명단!$AM$2:$AM$401,0),"")</f>
        <v/>
      </c>
    </row>
    <row r="274">
      <c r="A274" s="26">
        <f>IF($R274="","",ROW()-5)</f>
        <v/>
      </c>
      <c r="B274" s="26">
        <f>IF($R274="","",INDEX(입력_전공의명단!$C$2:$C$401,$R274))</f>
        <v/>
      </c>
      <c r="C274" s="26">
        <f>IF($R274="","",INDEX(입력_전공의명단!$B$2:$B$401,$R274))</f>
        <v/>
      </c>
      <c r="D274" s="26">
        <f>IF($R274="","",INDEX(입력_전공의명단!$J$2:$J$401,$R274))</f>
        <v/>
      </c>
      <c r="E274" s="26">
        <f>IF($R274="","",INDEX(입력_전공의명단!$F$2:$F$401,$R274))</f>
        <v/>
      </c>
      <c r="F274" s="26">
        <f>IF($R274="","",INDEX(입력_전공의명단!$G$2:$G$401,$R274))</f>
        <v/>
      </c>
      <c r="G274" s="26">
        <f>IF($R274="","",INDEX(입력_전공의명단!$AE$2:$AE$401,$R274))</f>
        <v/>
      </c>
      <c r="H274" s="27">
        <f>IF($R274="","",IF(INDEX(입력_전공의명단!$AE$2:$AE$401,$R274)="서울병원","서울 소속","타 병원 소속("&amp;INDEX(입력_전공의명단!$AE$2:$AE$401,$R274)&amp;") → 서울 지급"))</f>
        <v/>
      </c>
      <c r="I274" s="26">
        <f>IF($R274="","",INDEX(입력_전공의명단!$N$2:$N$401,$R274))</f>
        <v/>
      </c>
      <c r="J274" s="26">
        <f>IF($R274="","",INDEX(입력_전공의명단!$P$2:$P$401,$R274))</f>
        <v/>
      </c>
      <c r="K274" s="26">
        <f>IF($R274="","",INDEX(입력_전공의명단!$Q$2:$Q$401,$R274))</f>
        <v/>
      </c>
      <c r="L274" s="28">
        <f>IF($R274="","",INDEX(입력_전공의명단!$S$2:$S$401,$R274))</f>
        <v/>
      </c>
      <c r="M274" s="28">
        <f>IF($R274="","",INDEX(입력_전공의명단!$T$2:$T$401,$R274))</f>
        <v/>
      </c>
      <c r="N274" s="26">
        <f>IF($R274="","",INDEX(입력_전공의명단!$AH$2:$AH$401,$R274))</f>
        <v/>
      </c>
      <c r="O274" s="26">
        <f>IF($R274="","",INDEX(입력_전공의명단!$AI$2:$AI$401,$R274))</f>
        <v/>
      </c>
      <c r="P274" s="27">
        <f>IF($R274="","",INDEX(입력_전공의명단!$AO$2:$AO$401,$R274))</f>
        <v/>
      </c>
      <c r="Q274" s="27">
        <f>IF($R274="","",INDEX(입력_전공의명단!$Z$2:$Z$401,$R274))</f>
        <v/>
      </c>
      <c r="R274" s="29">
        <f>IFERROR(MATCH(ROW()-5,입력_전공의명단!$AM$2:$AM$401,0),"")</f>
        <v/>
      </c>
    </row>
    <row r="275">
      <c r="A275" s="26">
        <f>IF($R275="","",ROW()-5)</f>
        <v/>
      </c>
      <c r="B275" s="26">
        <f>IF($R275="","",INDEX(입력_전공의명단!$C$2:$C$401,$R275))</f>
        <v/>
      </c>
      <c r="C275" s="26">
        <f>IF($R275="","",INDEX(입력_전공의명단!$B$2:$B$401,$R275))</f>
        <v/>
      </c>
      <c r="D275" s="26">
        <f>IF($R275="","",INDEX(입력_전공의명단!$J$2:$J$401,$R275))</f>
        <v/>
      </c>
      <c r="E275" s="26">
        <f>IF($R275="","",INDEX(입력_전공의명단!$F$2:$F$401,$R275))</f>
        <v/>
      </c>
      <c r="F275" s="26">
        <f>IF($R275="","",INDEX(입력_전공의명단!$G$2:$G$401,$R275))</f>
        <v/>
      </c>
      <c r="G275" s="26">
        <f>IF($R275="","",INDEX(입력_전공의명단!$AE$2:$AE$401,$R275))</f>
        <v/>
      </c>
      <c r="H275" s="27">
        <f>IF($R275="","",IF(INDEX(입력_전공의명단!$AE$2:$AE$401,$R275)="서울병원","서울 소속","타 병원 소속("&amp;INDEX(입력_전공의명단!$AE$2:$AE$401,$R275)&amp;") → 서울 지급"))</f>
        <v/>
      </c>
      <c r="I275" s="26">
        <f>IF($R275="","",INDEX(입력_전공의명단!$N$2:$N$401,$R275))</f>
        <v/>
      </c>
      <c r="J275" s="26">
        <f>IF($R275="","",INDEX(입력_전공의명단!$P$2:$P$401,$R275))</f>
        <v/>
      </c>
      <c r="K275" s="26">
        <f>IF($R275="","",INDEX(입력_전공의명단!$Q$2:$Q$401,$R275))</f>
        <v/>
      </c>
      <c r="L275" s="28">
        <f>IF($R275="","",INDEX(입력_전공의명단!$S$2:$S$401,$R275))</f>
        <v/>
      </c>
      <c r="M275" s="28">
        <f>IF($R275="","",INDEX(입력_전공의명단!$T$2:$T$401,$R275))</f>
        <v/>
      </c>
      <c r="N275" s="26">
        <f>IF($R275="","",INDEX(입력_전공의명단!$AH$2:$AH$401,$R275))</f>
        <v/>
      </c>
      <c r="O275" s="26">
        <f>IF($R275="","",INDEX(입력_전공의명단!$AI$2:$AI$401,$R275))</f>
        <v/>
      </c>
      <c r="P275" s="27">
        <f>IF($R275="","",INDEX(입력_전공의명단!$AO$2:$AO$401,$R275))</f>
        <v/>
      </c>
      <c r="Q275" s="27">
        <f>IF($R275="","",INDEX(입력_전공의명단!$Z$2:$Z$401,$R275))</f>
        <v/>
      </c>
      <c r="R275" s="29">
        <f>IFERROR(MATCH(ROW()-5,입력_전공의명단!$AM$2:$AM$401,0),"")</f>
        <v/>
      </c>
    </row>
    <row r="276">
      <c r="A276" s="26">
        <f>IF($R276="","",ROW()-5)</f>
        <v/>
      </c>
      <c r="B276" s="26">
        <f>IF($R276="","",INDEX(입력_전공의명단!$C$2:$C$401,$R276))</f>
        <v/>
      </c>
      <c r="C276" s="26">
        <f>IF($R276="","",INDEX(입력_전공의명단!$B$2:$B$401,$R276))</f>
        <v/>
      </c>
      <c r="D276" s="26">
        <f>IF($R276="","",INDEX(입력_전공의명단!$J$2:$J$401,$R276))</f>
        <v/>
      </c>
      <c r="E276" s="26">
        <f>IF($R276="","",INDEX(입력_전공의명단!$F$2:$F$401,$R276))</f>
        <v/>
      </c>
      <c r="F276" s="26">
        <f>IF($R276="","",INDEX(입력_전공의명단!$G$2:$G$401,$R276))</f>
        <v/>
      </c>
      <c r="G276" s="26">
        <f>IF($R276="","",INDEX(입력_전공의명단!$AE$2:$AE$401,$R276))</f>
        <v/>
      </c>
      <c r="H276" s="27">
        <f>IF($R276="","",IF(INDEX(입력_전공의명단!$AE$2:$AE$401,$R276)="서울병원","서울 소속","타 병원 소속("&amp;INDEX(입력_전공의명단!$AE$2:$AE$401,$R276)&amp;") → 서울 지급"))</f>
        <v/>
      </c>
      <c r="I276" s="26">
        <f>IF($R276="","",INDEX(입력_전공의명단!$N$2:$N$401,$R276))</f>
        <v/>
      </c>
      <c r="J276" s="26">
        <f>IF($R276="","",INDEX(입력_전공의명단!$P$2:$P$401,$R276))</f>
        <v/>
      </c>
      <c r="K276" s="26">
        <f>IF($R276="","",INDEX(입력_전공의명단!$Q$2:$Q$401,$R276))</f>
        <v/>
      </c>
      <c r="L276" s="28">
        <f>IF($R276="","",INDEX(입력_전공의명단!$S$2:$S$401,$R276))</f>
        <v/>
      </c>
      <c r="M276" s="28">
        <f>IF($R276="","",INDEX(입력_전공의명단!$T$2:$T$401,$R276))</f>
        <v/>
      </c>
      <c r="N276" s="26">
        <f>IF($R276="","",INDEX(입력_전공의명단!$AH$2:$AH$401,$R276))</f>
        <v/>
      </c>
      <c r="O276" s="26">
        <f>IF($R276="","",INDEX(입력_전공의명단!$AI$2:$AI$401,$R276))</f>
        <v/>
      </c>
      <c r="P276" s="27">
        <f>IF($R276="","",INDEX(입력_전공의명단!$AO$2:$AO$401,$R276))</f>
        <v/>
      </c>
      <c r="Q276" s="27">
        <f>IF($R276="","",INDEX(입력_전공의명단!$Z$2:$Z$401,$R276))</f>
        <v/>
      </c>
      <c r="R276" s="29">
        <f>IFERROR(MATCH(ROW()-5,입력_전공의명단!$AM$2:$AM$401,0),"")</f>
        <v/>
      </c>
    </row>
    <row r="277">
      <c r="A277" s="26">
        <f>IF($R277="","",ROW()-5)</f>
        <v/>
      </c>
      <c r="B277" s="26">
        <f>IF($R277="","",INDEX(입력_전공의명단!$C$2:$C$401,$R277))</f>
        <v/>
      </c>
      <c r="C277" s="26">
        <f>IF($R277="","",INDEX(입력_전공의명단!$B$2:$B$401,$R277))</f>
        <v/>
      </c>
      <c r="D277" s="26">
        <f>IF($R277="","",INDEX(입력_전공의명단!$J$2:$J$401,$R277))</f>
        <v/>
      </c>
      <c r="E277" s="26">
        <f>IF($R277="","",INDEX(입력_전공의명단!$F$2:$F$401,$R277))</f>
        <v/>
      </c>
      <c r="F277" s="26">
        <f>IF($R277="","",INDEX(입력_전공의명단!$G$2:$G$401,$R277))</f>
        <v/>
      </c>
      <c r="G277" s="26">
        <f>IF($R277="","",INDEX(입력_전공의명단!$AE$2:$AE$401,$R277))</f>
        <v/>
      </c>
      <c r="H277" s="27">
        <f>IF($R277="","",IF(INDEX(입력_전공의명단!$AE$2:$AE$401,$R277)="서울병원","서울 소속","타 병원 소속("&amp;INDEX(입력_전공의명단!$AE$2:$AE$401,$R277)&amp;") → 서울 지급"))</f>
        <v/>
      </c>
      <c r="I277" s="26">
        <f>IF($R277="","",INDEX(입력_전공의명단!$N$2:$N$401,$R277))</f>
        <v/>
      </c>
      <c r="J277" s="26">
        <f>IF($R277="","",INDEX(입력_전공의명단!$P$2:$P$401,$R277))</f>
        <v/>
      </c>
      <c r="K277" s="26">
        <f>IF($R277="","",INDEX(입력_전공의명단!$Q$2:$Q$401,$R277))</f>
        <v/>
      </c>
      <c r="L277" s="28">
        <f>IF($R277="","",INDEX(입력_전공의명단!$S$2:$S$401,$R277))</f>
        <v/>
      </c>
      <c r="M277" s="28">
        <f>IF($R277="","",INDEX(입력_전공의명단!$T$2:$T$401,$R277))</f>
        <v/>
      </c>
      <c r="N277" s="26">
        <f>IF($R277="","",INDEX(입력_전공의명단!$AH$2:$AH$401,$R277))</f>
        <v/>
      </c>
      <c r="O277" s="26">
        <f>IF($R277="","",INDEX(입력_전공의명단!$AI$2:$AI$401,$R277))</f>
        <v/>
      </c>
      <c r="P277" s="27">
        <f>IF($R277="","",INDEX(입력_전공의명단!$AO$2:$AO$401,$R277))</f>
        <v/>
      </c>
      <c r="Q277" s="27">
        <f>IF($R277="","",INDEX(입력_전공의명단!$Z$2:$Z$401,$R277))</f>
        <v/>
      </c>
      <c r="R277" s="29">
        <f>IFERROR(MATCH(ROW()-5,입력_전공의명단!$AM$2:$AM$401,0),"")</f>
        <v/>
      </c>
    </row>
    <row r="278">
      <c r="A278" s="26">
        <f>IF($R278="","",ROW()-5)</f>
        <v/>
      </c>
      <c r="B278" s="26">
        <f>IF($R278="","",INDEX(입력_전공의명단!$C$2:$C$401,$R278))</f>
        <v/>
      </c>
      <c r="C278" s="26">
        <f>IF($R278="","",INDEX(입력_전공의명단!$B$2:$B$401,$R278))</f>
        <v/>
      </c>
      <c r="D278" s="26">
        <f>IF($R278="","",INDEX(입력_전공의명단!$J$2:$J$401,$R278))</f>
        <v/>
      </c>
      <c r="E278" s="26">
        <f>IF($R278="","",INDEX(입력_전공의명단!$F$2:$F$401,$R278))</f>
        <v/>
      </c>
      <c r="F278" s="26">
        <f>IF($R278="","",INDEX(입력_전공의명단!$G$2:$G$401,$R278))</f>
        <v/>
      </c>
      <c r="G278" s="26">
        <f>IF($R278="","",INDEX(입력_전공의명단!$AE$2:$AE$401,$R278))</f>
        <v/>
      </c>
      <c r="H278" s="27">
        <f>IF($R278="","",IF(INDEX(입력_전공의명단!$AE$2:$AE$401,$R278)="서울병원","서울 소속","타 병원 소속("&amp;INDEX(입력_전공의명단!$AE$2:$AE$401,$R278)&amp;") → 서울 지급"))</f>
        <v/>
      </c>
      <c r="I278" s="26">
        <f>IF($R278="","",INDEX(입력_전공의명단!$N$2:$N$401,$R278))</f>
        <v/>
      </c>
      <c r="J278" s="26">
        <f>IF($R278="","",INDEX(입력_전공의명단!$P$2:$P$401,$R278))</f>
        <v/>
      </c>
      <c r="K278" s="26">
        <f>IF($R278="","",INDEX(입력_전공의명단!$Q$2:$Q$401,$R278))</f>
        <v/>
      </c>
      <c r="L278" s="28">
        <f>IF($R278="","",INDEX(입력_전공의명단!$S$2:$S$401,$R278))</f>
        <v/>
      </c>
      <c r="M278" s="28">
        <f>IF($R278="","",INDEX(입력_전공의명단!$T$2:$T$401,$R278))</f>
        <v/>
      </c>
      <c r="N278" s="26">
        <f>IF($R278="","",INDEX(입력_전공의명단!$AH$2:$AH$401,$R278))</f>
        <v/>
      </c>
      <c r="O278" s="26">
        <f>IF($R278="","",INDEX(입력_전공의명단!$AI$2:$AI$401,$R278))</f>
        <v/>
      </c>
      <c r="P278" s="27">
        <f>IF($R278="","",INDEX(입력_전공의명단!$AO$2:$AO$401,$R278))</f>
        <v/>
      </c>
      <c r="Q278" s="27">
        <f>IF($R278="","",INDEX(입력_전공의명단!$Z$2:$Z$401,$R278))</f>
        <v/>
      </c>
      <c r="R278" s="29">
        <f>IFERROR(MATCH(ROW()-5,입력_전공의명단!$AM$2:$AM$401,0),"")</f>
        <v/>
      </c>
    </row>
    <row r="279">
      <c r="A279" s="26">
        <f>IF($R279="","",ROW()-5)</f>
        <v/>
      </c>
      <c r="B279" s="26">
        <f>IF($R279="","",INDEX(입력_전공의명단!$C$2:$C$401,$R279))</f>
        <v/>
      </c>
      <c r="C279" s="26">
        <f>IF($R279="","",INDEX(입력_전공의명단!$B$2:$B$401,$R279))</f>
        <v/>
      </c>
      <c r="D279" s="26">
        <f>IF($R279="","",INDEX(입력_전공의명단!$J$2:$J$401,$R279))</f>
        <v/>
      </c>
      <c r="E279" s="26">
        <f>IF($R279="","",INDEX(입력_전공의명단!$F$2:$F$401,$R279))</f>
        <v/>
      </c>
      <c r="F279" s="26">
        <f>IF($R279="","",INDEX(입력_전공의명단!$G$2:$G$401,$R279))</f>
        <v/>
      </c>
      <c r="G279" s="26">
        <f>IF($R279="","",INDEX(입력_전공의명단!$AE$2:$AE$401,$R279))</f>
        <v/>
      </c>
      <c r="H279" s="27">
        <f>IF($R279="","",IF(INDEX(입력_전공의명단!$AE$2:$AE$401,$R279)="서울병원","서울 소속","타 병원 소속("&amp;INDEX(입력_전공의명단!$AE$2:$AE$401,$R279)&amp;") → 서울 지급"))</f>
        <v/>
      </c>
      <c r="I279" s="26">
        <f>IF($R279="","",INDEX(입력_전공의명단!$N$2:$N$401,$R279))</f>
        <v/>
      </c>
      <c r="J279" s="26">
        <f>IF($R279="","",INDEX(입력_전공의명단!$P$2:$P$401,$R279))</f>
        <v/>
      </c>
      <c r="K279" s="26">
        <f>IF($R279="","",INDEX(입력_전공의명단!$Q$2:$Q$401,$R279))</f>
        <v/>
      </c>
      <c r="L279" s="28">
        <f>IF($R279="","",INDEX(입력_전공의명단!$S$2:$S$401,$R279))</f>
        <v/>
      </c>
      <c r="M279" s="28">
        <f>IF($R279="","",INDEX(입력_전공의명단!$T$2:$T$401,$R279))</f>
        <v/>
      </c>
      <c r="N279" s="26">
        <f>IF($R279="","",INDEX(입력_전공의명단!$AH$2:$AH$401,$R279))</f>
        <v/>
      </c>
      <c r="O279" s="26">
        <f>IF($R279="","",INDEX(입력_전공의명단!$AI$2:$AI$401,$R279))</f>
        <v/>
      </c>
      <c r="P279" s="27">
        <f>IF($R279="","",INDEX(입력_전공의명단!$AO$2:$AO$401,$R279))</f>
        <v/>
      </c>
      <c r="Q279" s="27">
        <f>IF($R279="","",INDEX(입력_전공의명단!$Z$2:$Z$401,$R279))</f>
        <v/>
      </c>
      <c r="R279" s="29">
        <f>IFERROR(MATCH(ROW()-5,입력_전공의명단!$AM$2:$AM$401,0),"")</f>
        <v/>
      </c>
    </row>
    <row r="280">
      <c r="A280" s="26">
        <f>IF($R280="","",ROW()-5)</f>
        <v/>
      </c>
      <c r="B280" s="26">
        <f>IF($R280="","",INDEX(입력_전공의명단!$C$2:$C$401,$R280))</f>
        <v/>
      </c>
      <c r="C280" s="26">
        <f>IF($R280="","",INDEX(입력_전공의명단!$B$2:$B$401,$R280))</f>
        <v/>
      </c>
      <c r="D280" s="26">
        <f>IF($R280="","",INDEX(입력_전공의명단!$J$2:$J$401,$R280))</f>
        <v/>
      </c>
      <c r="E280" s="26">
        <f>IF($R280="","",INDEX(입력_전공의명단!$F$2:$F$401,$R280))</f>
        <v/>
      </c>
      <c r="F280" s="26">
        <f>IF($R280="","",INDEX(입력_전공의명단!$G$2:$G$401,$R280))</f>
        <v/>
      </c>
      <c r="G280" s="26">
        <f>IF($R280="","",INDEX(입력_전공의명단!$AE$2:$AE$401,$R280))</f>
        <v/>
      </c>
      <c r="H280" s="27">
        <f>IF($R280="","",IF(INDEX(입력_전공의명단!$AE$2:$AE$401,$R280)="서울병원","서울 소속","타 병원 소속("&amp;INDEX(입력_전공의명단!$AE$2:$AE$401,$R280)&amp;") → 서울 지급"))</f>
        <v/>
      </c>
      <c r="I280" s="26">
        <f>IF($R280="","",INDEX(입력_전공의명단!$N$2:$N$401,$R280))</f>
        <v/>
      </c>
      <c r="J280" s="26">
        <f>IF($R280="","",INDEX(입력_전공의명단!$P$2:$P$401,$R280))</f>
        <v/>
      </c>
      <c r="K280" s="26">
        <f>IF($R280="","",INDEX(입력_전공의명단!$Q$2:$Q$401,$R280))</f>
        <v/>
      </c>
      <c r="L280" s="28">
        <f>IF($R280="","",INDEX(입력_전공의명단!$S$2:$S$401,$R280))</f>
        <v/>
      </c>
      <c r="M280" s="28">
        <f>IF($R280="","",INDEX(입력_전공의명단!$T$2:$T$401,$R280))</f>
        <v/>
      </c>
      <c r="N280" s="26">
        <f>IF($R280="","",INDEX(입력_전공의명단!$AH$2:$AH$401,$R280))</f>
        <v/>
      </c>
      <c r="O280" s="26">
        <f>IF($R280="","",INDEX(입력_전공의명단!$AI$2:$AI$401,$R280))</f>
        <v/>
      </c>
      <c r="P280" s="27">
        <f>IF($R280="","",INDEX(입력_전공의명단!$AO$2:$AO$401,$R280))</f>
        <v/>
      </c>
      <c r="Q280" s="27">
        <f>IF($R280="","",INDEX(입력_전공의명단!$Z$2:$Z$401,$R280))</f>
        <v/>
      </c>
      <c r="R280" s="29">
        <f>IFERROR(MATCH(ROW()-5,입력_전공의명단!$AM$2:$AM$401,0),"")</f>
        <v/>
      </c>
    </row>
    <row r="281">
      <c r="A281" s="26">
        <f>IF($R281="","",ROW()-5)</f>
        <v/>
      </c>
      <c r="B281" s="26">
        <f>IF($R281="","",INDEX(입력_전공의명단!$C$2:$C$401,$R281))</f>
        <v/>
      </c>
      <c r="C281" s="26">
        <f>IF($R281="","",INDEX(입력_전공의명단!$B$2:$B$401,$R281))</f>
        <v/>
      </c>
      <c r="D281" s="26">
        <f>IF($R281="","",INDEX(입력_전공의명단!$J$2:$J$401,$R281))</f>
        <v/>
      </c>
      <c r="E281" s="26">
        <f>IF($R281="","",INDEX(입력_전공의명단!$F$2:$F$401,$R281))</f>
        <v/>
      </c>
      <c r="F281" s="26">
        <f>IF($R281="","",INDEX(입력_전공의명단!$G$2:$G$401,$R281))</f>
        <v/>
      </c>
      <c r="G281" s="26">
        <f>IF($R281="","",INDEX(입력_전공의명단!$AE$2:$AE$401,$R281))</f>
        <v/>
      </c>
      <c r="H281" s="27">
        <f>IF($R281="","",IF(INDEX(입력_전공의명단!$AE$2:$AE$401,$R281)="서울병원","서울 소속","타 병원 소속("&amp;INDEX(입력_전공의명단!$AE$2:$AE$401,$R281)&amp;") → 서울 지급"))</f>
        <v/>
      </c>
      <c r="I281" s="26">
        <f>IF($R281="","",INDEX(입력_전공의명단!$N$2:$N$401,$R281))</f>
        <v/>
      </c>
      <c r="J281" s="26">
        <f>IF($R281="","",INDEX(입력_전공의명단!$P$2:$P$401,$R281))</f>
        <v/>
      </c>
      <c r="K281" s="26">
        <f>IF($R281="","",INDEX(입력_전공의명단!$Q$2:$Q$401,$R281))</f>
        <v/>
      </c>
      <c r="L281" s="28">
        <f>IF($R281="","",INDEX(입력_전공의명단!$S$2:$S$401,$R281))</f>
        <v/>
      </c>
      <c r="M281" s="28">
        <f>IF($R281="","",INDEX(입력_전공의명단!$T$2:$T$401,$R281))</f>
        <v/>
      </c>
      <c r="N281" s="26">
        <f>IF($R281="","",INDEX(입력_전공의명단!$AH$2:$AH$401,$R281))</f>
        <v/>
      </c>
      <c r="O281" s="26">
        <f>IF($R281="","",INDEX(입력_전공의명단!$AI$2:$AI$401,$R281))</f>
        <v/>
      </c>
      <c r="P281" s="27">
        <f>IF($R281="","",INDEX(입력_전공의명단!$AO$2:$AO$401,$R281))</f>
        <v/>
      </c>
      <c r="Q281" s="27">
        <f>IF($R281="","",INDEX(입력_전공의명단!$Z$2:$Z$401,$R281))</f>
        <v/>
      </c>
      <c r="R281" s="29">
        <f>IFERROR(MATCH(ROW()-5,입력_전공의명단!$AM$2:$AM$401,0),"")</f>
        <v/>
      </c>
    </row>
    <row r="282">
      <c r="A282" s="26">
        <f>IF($R282="","",ROW()-5)</f>
        <v/>
      </c>
      <c r="B282" s="26">
        <f>IF($R282="","",INDEX(입력_전공의명단!$C$2:$C$401,$R282))</f>
        <v/>
      </c>
      <c r="C282" s="26">
        <f>IF($R282="","",INDEX(입력_전공의명단!$B$2:$B$401,$R282))</f>
        <v/>
      </c>
      <c r="D282" s="26">
        <f>IF($R282="","",INDEX(입력_전공의명단!$J$2:$J$401,$R282))</f>
        <v/>
      </c>
      <c r="E282" s="26">
        <f>IF($R282="","",INDEX(입력_전공의명단!$F$2:$F$401,$R282))</f>
        <v/>
      </c>
      <c r="F282" s="26">
        <f>IF($R282="","",INDEX(입력_전공의명단!$G$2:$G$401,$R282))</f>
        <v/>
      </c>
      <c r="G282" s="26">
        <f>IF($R282="","",INDEX(입력_전공의명단!$AE$2:$AE$401,$R282))</f>
        <v/>
      </c>
      <c r="H282" s="27">
        <f>IF($R282="","",IF(INDEX(입력_전공의명단!$AE$2:$AE$401,$R282)="서울병원","서울 소속","타 병원 소속("&amp;INDEX(입력_전공의명단!$AE$2:$AE$401,$R282)&amp;") → 서울 지급"))</f>
        <v/>
      </c>
      <c r="I282" s="26">
        <f>IF($R282="","",INDEX(입력_전공의명단!$N$2:$N$401,$R282))</f>
        <v/>
      </c>
      <c r="J282" s="26">
        <f>IF($R282="","",INDEX(입력_전공의명단!$P$2:$P$401,$R282))</f>
        <v/>
      </c>
      <c r="K282" s="26">
        <f>IF($R282="","",INDEX(입력_전공의명단!$Q$2:$Q$401,$R282))</f>
        <v/>
      </c>
      <c r="L282" s="28">
        <f>IF($R282="","",INDEX(입력_전공의명단!$S$2:$S$401,$R282))</f>
        <v/>
      </c>
      <c r="M282" s="28">
        <f>IF($R282="","",INDEX(입력_전공의명단!$T$2:$T$401,$R282))</f>
        <v/>
      </c>
      <c r="N282" s="26">
        <f>IF($R282="","",INDEX(입력_전공의명단!$AH$2:$AH$401,$R282))</f>
        <v/>
      </c>
      <c r="O282" s="26">
        <f>IF($R282="","",INDEX(입력_전공의명단!$AI$2:$AI$401,$R282))</f>
        <v/>
      </c>
      <c r="P282" s="27">
        <f>IF($R282="","",INDEX(입력_전공의명단!$AO$2:$AO$401,$R282))</f>
        <v/>
      </c>
      <c r="Q282" s="27">
        <f>IF($R282="","",INDEX(입력_전공의명단!$Z$2:$Z$401,$R282))</f>
        <v/>
      </c>
      <c r="R282" s="29">
        <f>IFERROR(MATCH(ROW()-5,입력_전공의명단!$AM$2:$AM$401,0),"")</f>
        <v/>
      </c>
    </row>
    <row r="283">
      <c r="A283" s="26">
        <f>IF($R283="","",ROW()-5)</f>
        <v/>
      </c>
      <c r="B283" s="26">
        <f>IF($R283="","",INDEX(입력_전공의명단!$C$2:$C$401,$R283))</f>
        <v/>
      </c>
      <c r="C283" s="26">
        <f>IF($R283="","",INDEX(입력_전공의명단!$B$2:$B$401,$R283))</f>
        <v/>
      </c>
      <c r="D283" s="26">
        <f>IF($R283="","",INDEX(입력_전공의명단!$J$2:$J$401,$R283))</f>
        <v/>
      </c>
      <c r="E283" s="26">
        <f>IF($R283="","",INDEX(입력_전공의명단!$F$2:$F$401,$R283))</f>
        <v/>
      </c>
      <c r="F283" s="26">
        <f>IF($R283="","",INDEX(입력_전공의명단!$G$2:$G$401,$R283))</f>
        <v/>
      </c>
      <c r="G283" s="26">
        <f>IF($R283="","",INDEX(입력_전공의명단!$AE$2:$AE$401,$R283))</f>
        <v/>
      </c>
      <c r="H283" s="27">
        <f>IF($R283="","",IF(INDEX(입력_전공의명단!$AE$2:$AE$401,$R283)="서울병원","서울 소속","타 병원 소속("&amp;INDEX(입력_전공의명단!$AE$2:$AE$401,$R283)&amp;") → 서울 지급"))</f>
        <v/>
      </c>
      <c r="I283" s="26">
        <f>IF($R283="","",INDEX(입력_전공의명단!$N$2:$N$401,$R283))</f>
        <v/>
      </c>
      <c r="J283" s="26">
        <f>IF($R283="","",INDEX(입력_전공의명단!$P$2:$P$401,$R283))</f>
        <v/>
      </c>
      <c r="K283" s="26">
        <f>IF($R283="","",INDEX(입력_전공의명단!$Q$2:$Q$401,$R283))</f>
        <v/>
      </c>
      <c r="L283" s="28">
        <f>IF($R283="","",INDEX(입력_전공의명단!$S$2:$S$401,$R283))</f>
        <v/>
      </c>
      <c r="M283" s="28">
        <f>IF($R283="","",INDEX(입력_전공의명단!$T$2:$T$401,$R283))</f>
        <v/>
      </c>
      <c r="N283" s="26">
        <f>IF($R283="","",INDEX(입력_전공의명단!$AH$2:$AH$401,$R283))</f>
        <v/>
      </c>
      <c r="O283" s="26">
        <f>IF($R283="","",INDEX(입력_전공의명단!$AI$2:$AI$401,$R283))</f>
        <v/>
      </c>
      <c r="P283" s="27">
        <f>IF($R283="","",INDEX(입력_전공의명단!$AO$2:$AO$401,$R283))</f>
        <v/>
      </c>
      <c r="Q283" s="27">
        <f>IF($R283="","",INDEX(입력_전공의명단!$Z$2:$Z$401,$R283))</f>
        <v/>
      </c>
      <c r="R283" s="29">
        <f>IFERROR(MATCH(ROW()-5,입력_전공의명단!$AM$2:$AM$401,0),"")</f>
        <v/>
      </c>
    </row>
    <row r="284">
      <c r="A284" s="26">
        <f>IF($R284="","",ROW()-5)</f>
        <v/>
      </c>
      <c r="B284" s="26">
        <f>IF($R284="","",INDEX(입력_전공의명단!$C$2:$C$401,$R284))</f>
        <v/>
      </c>
      <c r="C284" s="26">
        <f>IF($R284="","",INDEX(입력_전공의명단!$B$2:$B$401,$R284))</f>
        <v/>
      </c>
      <c r="D284" s="26">
        <f>IF($R284="","",INDEX(입력_전공의명단!$J$2:$J$401,$R284))</f>
        <v/>
      </c>
      <c r="E284" s="26">
        <f>IF($R284="","",INDEX(입력_전공의명단!$F$2:$F$401,$R284))</f>
        <v/>
      </c>
      <c r="F284" s="26">
        <f>IF($R284="","",INDEX(입력_전공의명단!$G$2:$G$401,$R284))</f>
        <v/>
      </c>
      <c r="G284" s="26">
        <f>IF($R284="","",INDEX(입력_전공의명단!$AE$2:$AE$401,$R284))</f>
        <v/>
      </c>
      <c r="H284" s="27">
        <f>IF($R284="","",IF(INDEX(입력_전공의명단!$AE$2:$AE$401,$R284)="서울병원","서울 소속","타 병원 소속("&amp;INDEX(입력_전공의명단!$AE$2:$AE$401,$R284)&amp;") → 서울 지급"))</f>
        <v/>
      </c>
      <c r="I284" s="26">
        <f>IF($R284="","",INDEX(입력_전공의명단!$N$2:$N$401,$R284))</f>
        <v/>
      </c>
      <c r="J284" s="26">
        <f>IF($R284="","",INDEX(입력_전공의명단!$P$2:$P$401,$R284))</f>
        <v/>
      </c>
      <c r="K284" s="26">
        <f>IF($R284="","",INDEX(입력_전공의명단!$Q$2:$Q$401,$R284))</f>
        <v/>
      </c>
      <c r="L284" s="28">
        <f>IF($R284="","",INDEX(입력_전공의명단!$S$2:$S$401,$R284))</f>
        <v/>
      </c>
      <c r="M284" s="28">
        <f>IF($R284="","",INDEX(입력_전공의명단!$T$2:$T$401,$R284))</f>
        <v/>
      </c>
      <c r="N284" s="26">
        <f>IF($R284="","",INDEX(입력_전공의명단!$AH$2:$AH$401,$R284))</f>
        <v/>
      </c>
      <c r="O284" s="26">
        <f>IF($R284="","",INDEX(입력_전공의명단!$AI$2:$AI$401,$R284))</f>
        <v/>
      </c>
      <c r="P284" s="27">
        <f>IF($R284="","",INDEX(입력_전공의명단!$AO$2:$AO$401,$R284))</f>
        <v/>
      </c>
      <c r="Q284" s="27">
        <f>IF($R284="","",INDEX(입력_전공의명단!$Z$2:$Z$401,$R284))</f>
        <v/>
      </c>
      <c r="R284" s="29">
        <f>IFERROR(MATCH(ROW()-5,입력_전공의명단!$AM$2:$AM$401,0),"")</f>
        <v/>
      </c>
    </row>
    <row r="285">
      <c r="A285" s="26">
        <f>IF($R285="","",ROW()-5)</f>
        <v/>
      </c>
      <c r="B285" s="26">
        <f>IF($R285="","",INDEX(입력_전공의명단!$C$2:$C$401,$R285))</f>
        <v/>
      </c>
      <c r="C285" s="26">
        <f>IF($R285="","",INDEX(입력_전공의명단!$B$2:$B$401,$R285))</f>
        <v/>
      </c>
      <c r="D285" s="26">
        <f>IF($R285="","",INDEX(입력_전공의명단!$J$2:$J$401,$R285))</f>
        <v/>
      </c>
      <c r="E285" s="26">
        <f>IF($R285="","",INDEX(입력_전공의명단!$F$2:$F$401,$R285))</f>
        <v/>
      </c>
      <c r="F285" s="26">
        <f>IF($R285="","",INDEX(입력_전공의명단!$G$2:$G$401,$R285))</f>
        <v/>
      </c>
      <c r="G285" s="26">
        <f>IF($R285="","",INDEX(입력_전공의명단!$AE$2:$AE$401,$R285))</f>
        <v/>
      </c>
      <c r="H285" s="27">
        <f>IF($R285="","",IF(INDEX(입력_전공의명단!$AE$2:$AE$401,$R285)="서울병원","서울 소속","타 병원 소속("&amp;INDEX(입력_전공의명단!$AE$2:$AE$401,$R285)&amp;") → 서울 지급"))</f>
        <v/>
      </c>
      <c r="I285" s="26">
        <f>IF($R285="","",INDEX(입력_전공의명단!$N$2:$N$401,$R285))</f>
        <v/>
      </c>
      <c r="J285" s="26">
        <f>IF($R285="","",INDEX(입력_전공의명단!$P$2:$P$401,$R285))</f>
        <v/>
      </c>
      <c r="K285" s="26">
        <f>IF($R285="","",INDEX(입력_전공의명단!$Q$2:$Q$401,$R285))</f>
        <v/>
      </c>
      <c r="L285" s="28">
        <f>IF($R285="","",INDEX(입력_전공의명단!$S$2:$S$401,$R285))</f>
        <v/>
      </c>
      <c r="M285" s="28">
        <f>IF($R285="","",INDEX(입력_전공의명단!$T$2:$T$401,$R285))</f>
        <v/>
      </c>
      <c r="N285" s="26">
        <f>IF($R285="","",INDEX(입력_전공의명단!$AH$2:$AH$401,$R285))</f>
        <v/>
      </c>
      <c r="O285" s="26">
        <f>IF($R285="","",INDEX(입력_전공의명단!$AI$2:$AI$401,$R285))</f>
        <v/>
      </c>
      <c r="P285" s="27">
        <f>IF($R285="","",INDEX(입력_전공의명단!$AO$2:$AO$401,$R285))</f>
        <v/>
      </c>
      <c r="Q285" s="27">
        <f>IF($R285="","",INDEX(입력_전공의명단!$Z$2:$Z$401,$R285))</f>
        <v/>
      </c>
      <c r="R285" s="29">
        <f>IFERROR(MATCH(ROW()-5,입력_전공의명단!$AM$2:$AM$401,0),"")</f>
        <v/>
      </c>
    </row>
    <row r="286">
      <c r="A286" s="26">
        <f>IF($R286="","",ROW()-5)</f>
        <v/>
      </c>
      <c r="B286" s="26">
        <f>IF($R286="","",INDEX(입력_전공의명단!$C$2:$C$401,$R286))</f>
        <v/>
      </c>
      <c r="C286" s="26">
        <f>IF($R286="","",INDEX(입력_전공의명단!$B$2:$B$401,$R286))</f>
        <v/>
      </c>
      <c r="D286" s="26">
        <f>IF($R286="","",INDEX(입력_전공의명단!$J$2:$J$401,$R286))</f>
        <v/>
      </c>
      <c r="E286" s="26">
        <f>IF($R286="","",INDEX(입력_전공의명단!$F$2:$F$401,$R286))</f>
        <v/>
      </c>
      <c r="F286" s="26">
        <f>IF($R286="","",INDEX(입력_전공의명단!$G$2:$G$401,$R286))</f>
        <v/>
      </c>
      <c r="G286" s="26">
        <f>IF($R286="","",INDEX(입력_전공의명단!$AE$2:$AE$401,$R286))</f>
        <v/>
      </c>
      <c r="H286" s="27">
        <f>IF($R286="","",IF(INDEX(입력_전공의명단!$AE$2:$AE$401,$R286)="서울병원","서울 소속","타 병원 소속("&amp;INDEX(입력_전공의명단!$AE$2:$AE$401,$R286)&amp;") → 서울 지급"))</f>
        <v/>
      </c>
      <c r="I286" s="26">
        <f>IF($R286="","",INDEX(입력_전공의명단!$N$2:$N$401,$R286))</f>
        <v/>
      </c>
      <c r="J286" s="26">
        <f>IF($R286="","",INDEX(입력_전공의명단!$P$2:$P$401,$R286))</f>
        <v/>
      </c>
      <c r="K286" s="26">
        <f>IF($R286="","",INDEX(입력_전공의명단!$Q$2:$Q$401,$R286))</f>
        <v/>
      </c>
      <c r="L286" s="28">
        <f>IF($R286="","",INDEX(입력_전공의명단!$S$2:$S$401,$R286))</f>
        <v/>
      </c>
      <c r="M286" s="28">
        <f>IF($R286="","",INDEX(입력_전공의명단!$T$2:$T$401,$R286))</f>
        <v/>
      </c>
      <c r="N286" s="26">
        <f>IF($R286="","",INDEX(입력_전공의명단!$AH$2:$AH$401,$R286))</f>
        <v/>
      </c>
      <c r="O286" s="26">
        <f>IF($R286="","",INDEX(입력_전공의명단!$AI$2:$AI$401,$R286))</f>
        <v/>
      </c>
      <c r="P286" s="27">
        <f>IF($R286="","",INDEX(입력_전공의명단!$AO$2:$AO$401,$R286))</f>
        <v/>
      </c>
      <c r="Q286" s="27">
        <f>IF($R286="","",INDEX(입력_전공의명단!$Z$2:$Z$401,$R286))</f>
        <v/>
      </c>
      <c r="R286" s="29">
        <f>IFERROR(MATCH(ROW()-5,입력_전공의명단!$AM$2:$AM$401,0),"")</f>
        <v/>
      </c>
    </row>
    <row r="287">
      <c r="A287" s="26">
        <f>IF($R287="","",ROW()-5)</f>
        <v/>
      </c>
      <c r="B287" s="26">
        <f>IF($R287="","",INDEX(입력_전공의명단!$C$2:$C$401,$R287))</f>
        <v/>
      </c>
      <c r="C287" s="26">
        <f>IF($R287="","",INDEX(입력_전공의명단!$B$2:$B$401,$R287))</f>
        <v/>
      </c>
      <c r="D287" s="26">
        <f>IF($R287="","",INDEX(입력_전공의명단!$J$2:$J$401,$R287))</f>
        <v/>
      </c>
      <c r="E287" s="26">
        <f>IF($R287="","",INDEX(입력_전공의명단!$F$2:$F$401,$R287))</f>
        <v/>
      </c>
      <c r="F287" s="26">
        <f>IF($R287="","",INDEX(입력_전공의명단!$G$2:$G$401,$R287))</f>
        <v/>
      </c>
      <c r="G287" s="26">
        <f>IF($R287="","",INDEX(입력_전공의명단!$AE$2:$AE$401,$R287))</f>
        <v/>
      </c>
      <c r="H287" s="27">
        <f>IF($R287="","",IF(INDEX(입력_전공의명단!$AE$2:$AE$401,$R287)="서울병원","서울 소속","타 병원 소속("&amp;INDEX(입력_전공의명단!$AE$2:$AE$401,$R287)&amp;") → 서울 지급"))</f>
        <v/>
      </c>
      <c r="I287" s="26">
        <f>IF($R287="","",INDEX(입력_전공의명단!$N$2:$N$401,$R287))</f>
        <v/>
      </c>
      <c r="J287" s="26">
        <f>IF($R287="","",INDEX(입력_전공의명단!$P$2:$P$401,$R287))</f>
        <v/>
      </c>
      <c r="K287" s="26">
        <f>IF($R287="","",INDEX(입력_전공의명단!$Q$2:$Q$401,$R287))</f>
        <v/>
      </c>
      <c r="L287" s="28">
        <f>IF($R287="","",INDEX(입력_전공의명단!$S$2:$S$401,$R287))</f>
        <v/>
      </c>
      <c r="M287" s="28">
        <f>IF($R287="","",INDEX(입력_전공의명단!$T$2:$T$401,$R287))</f>
        <v/>
      </c>
      <c r="N287" s="26">
        <f>IF($R287="","",INDEX(입력_전공의명단!$AH$2:$AH$401,$R287))</f>
        <v/>
      </c>
      <c r="O287" s="26">
        <f>IF($R287="","",INDEX(입력_전공의명단!$AI$2:$AI$401,$R287))</f>
        <v/>
      </c>
      <c r="P287" s="27">
        <f>IF($R287="","",INDEX(입력_전공의명단!$AO$2:$AO$401,$R287))</f>
        <v/>
      </c>
      <c r="Q287" s="27">
        <f>IF($R287="","",INDEX(입력_전공의명단!$Z$2:$Z$401,$R287))</f>
        <v/>
      </c>
      <c r="R287" s="29">
        <f>IFERROR(MATCH(ROW()-5,입력_전공의명단!$AM$2:$AM$401,0),"")</f>
        <v/>
      </c>
    </row>
    <row r="288">
      <c r="A288" s="26">
        <f>IF($R288="","",ROW()-5)</f>
        <v/>
      </c>
      <c r="B288" s="26">
        <f>IF($R288="","",INDEX(입력_전공의명단!$C$2:$C$401,$R288))</f>
        <v/>
      </c>
      <c r="C288" s="26">
        <f>IF($R288="","",INDEX(입력_전공의명단!$B$2:$B$401,$R288))</f>
        <v/>
      </c>
      <c r="D288" s="26">
        <f>IF($R288="","",INDEX(입력_전공의명단!$J$2:$J$401,$R288))</f>
        <v/>
      </c>
      <c r="E288" s="26">
        <f>IF($R288="","",INDEX(입력_전공의명단!$F$2:$F$401,$R288))</f>
        <v/>
      </c>
      <c r="F288" s="26">
        <f>IF($R288="","",INDEX(입력_전공의명단!$G$2:$G$401,$R288))</f>
        <v/>
      </c>
      <c r="G288" s="26">
        <f>IF($R288="","",INDEX(입력_전공의명단!$AE$2:$AE$401,$R288))</f>
        <v/>
      </c>
      <c r="H288" s="27">
        <f>IF($R288="","",IF(INDEX(입력_전공의명단!$AE$2:$AE$401,$R288)="서울병원","서울 소속","타 병원 소속("&amp;INDEX(입력_전공의명단!$AE$2:$AE$401,$R288)&amp;") → 서울 지급"))</f>
        <v/>
      </c>
      <c r="I288" s="26">
        <f>IF($R288="","",INDEX(입력_전공의명단!$N$2:$N$401,$R288))</f>
        <v/>
      </c>
      <c r="J288" s="26">
        <f>IF($R288="","",INDEX(입력_전공의명단!$P$2:$P$401,$R288))</f>
        <v/>
      </c>
      <c r="K288" s="26">
        <f>IF($R288="","",INDEX(입력_전공의명단!$Q$2:$Q$401,$R288))</f>
        <v/>
      </c>
      <c r="L288" s="28">
        <f>IF($R288="","",INDEX(입력_전공의명단!$S$2:$S$401,$R288))</f>
        <v/>
      </c>
      <c r="M288" s="28">
        <f>IF($R288="","",INDEX(입력_전공의명단!$T$2:$T$401,$R288))</f>
        <v/>
      </c>
      <c r="N288" s="26">
        <f>IF($R288="","",INDEX(입력_전공의명단!$AH$2:$AH$401,$R288))</f>
        <v/>
      </c>
      <c r="O288" s="26">
        <f>IF($R288="","",INDEX(입력_전공의명단!$AI$2:$AI$401,$R288))</f>
        <v/>
      </c>
      <c r="P288" s="27">
        <f>IF($R288="","",INDEX(입력_전공의명단!$AO$2:$AO$401,$R288))</f>
        <v/>
      </c>
      <c r="Q288" s="27">
        <f>IF($R288="","",INDEX(입력_전공의명단!$Z$2:$Z$401,$R288))</f>
        <v/>
      </c>
      <c r="R288" s="29">
        <f>IFERROR(MATCH(ROW()-5,입력_전공의명단!$AM$2:$AM$401,0),"")</f>
        <v/>
      </c>
    </row>
    <row r="289">
      <c r="A289" s="26">
        <f>IF($R289="","",ROW()-5)</f>
        <v/>
      </c>
      <c r="B289" s="26">
        <f>IF($R289="","",INDEX(입력_전공의명단!$C$2:$C$401,$R289))</f>
        <v/>
      </c>
      <c r="C289" s="26">
        <f>IF($R289="","",INDEX(입력_전공의명단!$B$2:$B$401,$R289))</f>
        <v/>
      </c>
      <c r="D289" s="26">
        <f>IF($R289="","",INDEX(입력_전공의명단!$J$2:$J$401,$R289))</f>
        <v/>
      </c>
      <c r="E289" s="26">
        <f>IF($R289="","",INDEX(입력_전공의명단!$F$2:$F$401,$R289))</f>
        <v/>
      </c>
      <c r="F289" s="26">
        <f>IF($R289="","",INDEX(입력_전공의명단!$G$2:$G$401,$R289))</f>
        <v/>
      </c>
      <c r="G289" s="26">
        <f>IF($R289="","",INDEX(입력_전공의명단!$AE$2:$AE$401,$R289))</f>
        <v/>
      </c>
      <c r="H289" s="27">
        <f>IF($R289="","",IF(INDEX(입력_전공의명단!$AE$2:$AE$401,$R289)="서울병원","서울 소속","타 병원 소속("&amp;INDEX(입력_전공의명단!$AE$2:$AE$401,$R289)&amp;") → 서울 지급"))</f>
        <v/>
      </c>
      <c r="I289" s="26">
        <f>IF($R289="","",INDEX(입력_전공의명단!$N$2:$N$401,$R289))</f>
        <v/>
      </c>
      <c r="J289" s="26">
        <f>IF($R289="","",INDEX(입력_전공의명단!$P$2:$P$401,$R289))</f>
        <v/>
      </c>
      <c r="K289" s="26">
        <f>IF($R289="","",INDEX(입력_전공의명단!$Q$2:$Q$401,$R289))</f>
        <v/>
      </c>
      <c r="L289" s="28">
        <f>IF($R289="","",INDEX(입력_전공의명단!$S$2:$S$401,$R289))</f>
        <v/>
      </c>
      <c r="M289" s="28">
        <f>IF($R289="","",INDEX(입력_전공의명단!$T$2:$T$401,$R289))</f>
        <v/>
      </c>
      <c r="N289" s="26">
        <f>IF($R289="","",INDEX(입력_전공의명단!$AH$2:$AH$401,$R289))</f>
        <v/>
      </c>
      <c r="O289" s="26">
        <f>IF($R289="","",INDEX(입력_전공의명단!$AI$2:$AI$401,$R289))</f>
        <v/>
      </c>
      <c r="P289" s="27">
        <f>IF($R289="","",INDEX(입력_전공의명단!$AO$2:$AO$401,$R289))</f>
        <v/>
      </c>
      <c r="Q289" s="27">
        <f>IF($R289="","",INDEX(입력_전공의명단!$Z$2:$Z$401,$R289))</f>
        <v/>
      </c>
      <c r="R289" s="29">
        <f>IFERROR(MATCH(ROW()-5,입력_전공의명단!$AM$2:$AM$401,0),"")</f>
        <v/>
      </c>
    </row>
    <row r="290">
      <c r="A290" s="26">
        <f>IF($R290="","",ROW()-5)</f>
        <v/>
      </c>
      <c r="B290" s="26">
        <f>IF($R290="","",INDEX(입력_전공의명단!$C$2:$C$401,$R290))</f>
        <v/>
      </c>
      <c r="C290" s="26">
        <f>IF($R290="","",INDEX(입력_전공의명단!$B$2:$B$401,$R290))</f>
        <v/>
      </c>
      <c r="D290" s="26">
        <f>IF($R290="","",INDEX(입력_전공의명단!$J$2:$J$401,$R290))</f>
        <v/>
      </c>
      <c r="E290" s="26">
        <f>IF($R290="","",INDEX(입력_전공의명단!$F$2:$F$401,$R290))</f>
        <v/>
      </c>
      <c r="F290" s="26">
        <f>IF($R290="","",INDEX(입력_전공의명단!$G$2:$G$401,$R290))</f>
        <v/>
      </c>
      <c r="G290" s="26">
        <f>IF($R290="","",INDEX(입력_전공의명단!$AE$2:$AE$401,$R290))</f>
        <v/>
      </c>
      <c r="H290" s="27">
        <f>IF($R290="","",IF(INDEX(입력_전공의명단!$AE$2:$AE$401,$R290)="서울병원","서울 소속","타 병원 소속("&amp;INDEX(입력_전공의명단!$AE$2:$AE$401,$R290)&amp;") → 서울 지급"))</f>
        <v/>
      </c>
      <c r="I290" s="26">
        <f>IF($R290="","",INDEX(입력_전공의명단!$N$2:$N$401,$R290))</f>
        <v/>
      </c>
      <c r="J290" s="26">
        <f>IF($R290="","",INDEX(입력_전공의명단!$P$2:$P$401,$R290))</f>
        <v/>
      </c>
      <c r="K290" s="26">
        <f>IF($R290="","",INDEX(입력_전공의명단!$Q$2:$Q$401,$R290))</f>
        <v/>
      </c>
      <c r="L290" s="28">
        <f>IF($R290="","",INDEX(입력_전공의명단!$S$2:$S$401,$R290))</f>
        <v/>
      </c>
      <c r="M290" s="28">
        <f>IF($R290="","",INDEX(입력_전공의명단!$T$2:$T$401,$R290))</f>
        <v/>
      </c>
      <c r="N290" s="26">
        <f>IF($R290="","",INDEX(입력_전공의명단!$AH$2:$AH$401,$R290))</f>
        <v/>
      </c>
      <c r="O290" s="26">
        <f>IF($R290="","",INDEX(입력_전공의명단!$AI$2:$AI$401,$R290))</f>
        <v/>
      </c>
      <c r="P290" s="27">
        <f>IF($R290="","",INDEX(입력_전공의명단!$AO$2:$AO$401,$R290))</f>
        <v/>
      </c>
      <c r="Q290" s="27">
        <f>IF($R290="","",INDEX(입력_전공의명단!$Z$2:$Z$401,$R290))</f>
        <v/>
      </c>
      <c r="R290" s="29">
        <f>IFERROR(MATCH(ROW()-5,입력_전공의명단!$AM$2:$AM$401,0),"")</f>
        <v/>
      </c>
    </row>
    <row r="291">
      <c r="A291" s="26">
        <f>IF($R291="","",ROW()-5)</f>
        <v/>
      </c>
      <c r="B291" s="26">
        <f>IF($R291="","",INDEX(입력_전공의명단!$C$2:$C$401,$R291))</f>
        <v/>
      </c>
      <c r="C291" s="26">
        <f>IF($R291="","",INDEX(입력_전공의명단!$B$2:$B$401,$R291))</f>
        <v/>
      </c>
      <c r="D291" s="26">
        <f>IF($R291="","",INDEX(입력_전공의명단!$J$2:$J$401,$R291))</f>
        <v/>
      </c>
      <c r="E291" s="26">
        <f>IF($R291="","",INDEX(입력_전공의명단!$F$2:$F$401,$R291))</f>
        <v/>
      </c>
      <c r="F291" s="26">
        <f>IF($R291="","",INDEX(입력_전공의명단!$G$2:$G$401,$R291))</f>
        <v/>
      </c>
      <c r="G291" s="26">
        <f>IF($R291="","",INDEX(입력_전공의명단!$AE$2:$AE$401,$R291))</f>
        <v/>
      </c>
      <c r="H291" s="27">
        <f>IF($R291="","",IF(INDEX(입력_전공의명단!$AE$2:$AE$401,$R291)="서울병원","서울 소속","타 병원 소속("&amp;INDEX(입력_전공의명단!$AE$2:$AE$401,$R291)&amp;") → 서울 지급"))</f>
        <v/>
      </c>
      <c r="I291" s="26">
        <f>IF($R291="","",INDEX(입력_전공의명단!$N$2:$N$401,$R291))</f>
        <v/>
      </c>
      <c r="J291" s="26">
        <f>IF($R291="","",INDEX(입력_전공의명단!$P$2:$P$401,$R291))</f>
        <v/>
      </c>
      <c r="K291" s="26">
        <f>IF($R291="","",INDEX(입력_전공의명단!$Q$2:$Q$401,$R291))</f>
        <v/>
      </c>
      <c r="L291" s="28">
        <f>IF($R291="","",INDEX(입력_전공의명단!$S$2:$S$401,$R291))</f>
        <v/>
      </c>
      <c r="M291" s="28">
        <f>IF($R291="","",INDEX(입력_전공의명단!$T$2:$T$401,$R291))</f>
        <v/>
      </c>
      <c r="N291" s="26">
        <f>IF($R291="","",INDEX(입력_전공의명단!$AH$2:$AH$401,$R291))</f>
        <v/>
      </c>
      <c r="O291" s="26">
        <f>IF($R291="","",INDEX(입력_전공의명단!$AI$2:$AI$401,$R291))</f>
        <v/>
      </c>
      <c r="P291" s="27">
        <f>IF($R291="","",INDEX(입력_전공의명단!$AO$2:$AO$401,$R291))</f>
        <v/>
      </c>
      <c r="Q291" s="27">
        <f>IF($R291="","",INDEX(입력_전공의명단!$Z$2:$Z$401,$R291))</f>
        <v/>
      </c>
      <c r="R291" s="29">
        <f>IFERROR(MATCH(ROW()-5,입력_전공의명단!$AM$2:$AM$401,0),"")</f>
        <v/>
      </c>
    </row>
    <row r="292">
      <c r="A292" s="26">
        <f>IF($R292="","",ROW()-5)</f>
        <v/>
      </c>
      <c r="B292" s="26">
        <f>IF($R292="","",INDEX(입력_전공의명단!$C$2:$C$401,$R292))</f>
        <v/>
      </c>
      <c r="C292" s="26">
        <f>IF($R292="","",INDEX(입력_전공의명단!$B$2:$B$401,$R292))</f>
        <v/>
      </c>
      <c r="D292" s="26">
        <f>IF($R292="","",INDEX(입력_전공의명단!$J$2:$J$401,$R292))</f>
        <v/>
      </c>
      <c r="E292" s="26">
        <f>IF($R292="","",INDEX(입력_전공의명단!$F$2:$F$401,$R292))</f>
        <v/>
      </c>
      <c r="F292" s="26">
        <f>IF($R292="","",INDEX(입력_전공의명단!$G$2:$G$401,$R292))</f>
        <v/>
      </c>
      <c r="G292" s="26">
        <f>IF($R292="","",INDEX(입력_전공의명단!$AE$2:$AE$401,$R292))</f>
        <v/>
      </c>
      <c r="H292" s="27">
        <f>IF($R292="","",IF(INDEX(입력_전공의명단!$AE$2:$AE$401,$R292)="서울병원","서울 소속","타 병원 소속("&amp;INDEX(입력_전공의명단!$AE$2:$AE$401,$R292)&amp;") → 서울 지급"))</f>
        <v/>
      </c>
      <c r="I292" s="26">
        <f>IF($R292="","",INDEX(입력_전공의명단!$N$2:$N$401,$R292))</f>
        <v/>
      </c>
      <c r="J292" s="26">
        <f>IF($R292="","",INDEX(입력_전공의명단!$P$2:$P$401,$R292))</f>
        <v/>
      </c>
      <c r="K292" s="26">
        <f>IF($R292="","",INDEX(입력_전공의명단!$Q$2:$Q$401,$R292))</f>
        <v/>
      </c>
      <c r="L292" s="28">
        <f>IF($R292="","",INDEX(입력_전공의명단!$S$2:$S$401,$R292))</f>
        <v/>
      </c>
      <c r="M292" s="28">
        <f>IF($R292="","",INDEX(입력_전공의명단!$T$2:$T$401,$R292))</f>
        <v/>
      </c>
      <c r="N292" s="26">
        <f>IF($R292="","",INDEX(입력_전공의명단!$AH$2:$AH$401,$R292))</f>
        <v/>
      </c>
      <c r="O292" s="26">
        <f>IF($R292="","",INDEX(입력_전공의명단!$AI$2:$AI$401,$R292))</f>
        <v/>
      </c>
      <c r="P292" s="27">
        <f>IF($R292="","",INDEX(입력_전공의명단!$AO$2:$AO$401,$R292))</f>
        <v/>
      </c>
      <c r="Q292" s="27">
        <f>IF($R292="","",INDEX(입력_전공의명단!$Z$2:$Z$401,$R292))</f>
        <v/>
      </c>
      <c r="R292" s="29">
        <f>IFERROR(MATCH(ROW()-5,입력_전공의명단!$AM$2:$AM$401,0),"")</f>
        <v/>
      </c>
    </row>
    <row r="293">
      <c r="A293" s="26">
        <f>IF($R293="","",ROW()-5)</f>
        <v/>
      </c>
      <c r="B293" s="26">
        <f>IF($R293="","",INDEX(입력_전공의명단!$C$2:$C$401,$R293))</f>
        <v/>
      </c>
      <c r="C293" s="26">
        <f>IF($R293="","",INDEX(입력_전공의명단!$B$2:$B$401,$R293))</f>
        <v/>
      </c>
      <c r="D293" s="26">
        <f>IF($R293="","",INDEX(입력_전공의명단!$J$2:$J$401,$R293))</f>
        <v/>
      </c>
      <c r="E293" s="26">
        <f>IF($R293="","",INDEX(입력_전공의명단!$F$2:$F$401,$R293))</f>
        <v/>
      </c>
      <c r="F293" s="26">
        <f>IF($R293="","",INDEX(입력_전공의명단!$G$2:$G$401,$R293))</f>
        <v/>
      </c>
      <c r="G293" s="26">
        <f>IF($R293="","",INDEX(입력_전공의명단!$AE$2:$AE$401,$R293))</f>
        <v/>
      </c>
      <c r="H293" s="27">
        <f>IF($R293="","",IF(INDEX(입력_전공의명단!$AE$2:$AE$401,$R293)="서울병원","서울 소속","타 병원 소속("&amp;INDEX(입력_전공의명단!$AE$2:$AE$401,$R293)&amp;") → 서울 지급"))</f>
        <v/>
      </c>
      <c r="I293" s="26">
        <f>IF($R293="","",INDEX(입력_전공의명단!$N$2:$N$401,$R293))</f>
        <v/>
      </c>
      <c r="J293" s="26">
        <f>IF($R293="","",INDEX(입력_전공의명단!$P$2:$P$401,$R293))</f>
        <v/>
      </c>
      <c r="K293" s="26">
        <f>IF($R293="","",INDEX(입력_전공의명단!$Q$2:$Q$401,$R293))</f>
        <v/>
      </c>
      <c r="L293" s="28">
        <f>IF($R293="","",INDEX(입력_전공의명단!$S$2:$S$401,$R293))</f>
        <v/>
      </c>
      <c r="M293" s="28">
        <f>IF($R293="","",INDEX(입력_전공의명단!$T$2:$T$401,$R293))</f>
        <v/>
      </c>
      <c r="N293" s="26">
        <f>IF($R293="","",INDEX(입력_전공의명단!$AH$2:$AH$401,$R293))</f>
        <v/>
      </c>
      <c r="O293" s="26">
        <f>IF($R293="","",INDEX(입력_전공의명단!$AI$2:$AI$401,$R293))</f>
        <v/>
      </c>
      <c r="P293" s="27">
        <f>IF($R293="","",INDEX(입력_전공의명단!$AO$2:$AO$401,$R293))</f>
        <v/>
      </c>
      <c r="Q293" s="27">
        <f>IF($R293="","",INDEX(입력_전공의명단!$Z$2:$Z$401,$R293))</f>
        <v/>
      </c>
      <c r="R293" s="29">
        <f>IFERROR(MATCH(ROW()-5,입력_전공의명단!$AM$2:$AM$401,0),"")</f>
        <v/>
      </c>
    </row>
    <row r="294">
      <c r="A294" s="26">
        <f>IF($R294="","",ROW()-5)</f>
        <v/>
      </c>
      <c r="B294" s="26">
        <f>IF($R294="","",INDEX(입력_전공의명단!$C$2:$C$401,$R294))</f>
        <v/>
      </c>
      <c r="C294" s="26">
        <f>IF($R294="","",INDEX(입력_전공의명단!$B$2:$B$401,$R294))</f>
        <v/>
      </c>
      <c r="D294" s="26">
        <f>IF($R294="","",INDEX(입력_전공의명단!$J$2:$J$401,$R294))</f>
        <v/>
      </c>
      <c r="E294" s="26">
        <f>IF($R294="","",INDEX(입력_전공의명단!$F$2:$F$401,$R294))</f>
        <v/>
      </c>
      <c r="F294" s="26">
        <f>IF($R294="","",INDEX(입력_전공의명단!$G$2:$G$401,$R294))</f>
        <v/>
      </c>
      <c r="G294" s="26">
        <f>IF($R294="","",INDEX(입력_전공의명단!$AE$2:$AE$401,$R294))</f>
        <v/>
      </c>
      <c r="H294" s="27">
        <f>IF($R294="","",IF(INDEX(입력_전공의명단!$AE$2:$AE$401,$R294)="서울병원","서울 소속","타 병원 소속("&amp;INDEX(입력_전공의명단!$AE$2:$AE$401,$R294)&amp;") → 서울 지급"))</f>
        <v/>
      </c>
      <c r="I294" s="26">
        <f>IF($R294="","",INDEX(입력_전공의명단!$N$2:$N$401,$R294))</f>
        <v/>
      </c>
      <c r="J294" s="26">
        <f>IF($R294="","",INDEX(입력_전공의명단!$P$2:$P$401,$R294))</f>
        <v/>
      </c>
      <c r="K294" s="26">
        <f>IF($R294="","",INDEX(입력_전공의명단!$Q$2:$Q$401,$R294))</f>
        <v/>
      </c>
      <c r="L294" s="28">
        <f>IF($R294="","",INDEX(입력_전공의명단!$S$2:$S$401,$R294))</f>
        <v/>
      </c>
      <c r="M294" s="28">
        <f>IF($R294="","",INDEX(입력_전공의명단!$T$2:$T$401,$R294))</f>
        <v/>
      </c>
      <c r="N294" s="26">
        <f>IF($R294="","",INDEX(입력_전공의명단!$AH$2:$AH$401,$R294))</f>
        <v/>
      </c>
      <c r="O294" s="26">
        <f>IF($R294="","",INDEX(입력_전공의명단!$AI$2:$AI$401,$R294))</f>
        <v/>
      </c>
      <c r="P294" s="27">
        <f>IF($R294="","",INDEX(입력_전공의명단!$AO$2:$AO$401,$R294))</f>
        <v/>
      </c>
      <c r="Q294" s="27">
        <f>IF($R294="","",INDEX(입력_전공의명단!$Z$2:$Z$401,$R294))</f>
        <v/>
      </c>
      <c r="R294" s="29">
        <f>IFERROR(MATCH(ROW()-5,입력_전공의명단!$AM$2:$AM$401,0),"")</f>
        <v/>
      </c>
    </row>
    <row r="295">
      <c r="A295" s="26">
        <f>IF($R295="","",ROW()-5)</f>
        <v/>
      </c>
      <c r="B295" s="26">
        <f>IF($R295="","",INDEX(입력_전공의명단!$C$2:$C$401,$R295))</f>
        <v/>
      </c>
      <c r="C295" s="26">
        <f>IF($R295="","",INDEX(입력_전공의명단!$B$2:$B$401,$R295))</f>
        <v/>
      </c>
      <c r="D295" s="26">
        <f>IF($R295="","",INDEX(입력_전공의명단!$J$2:$J$401,$R295))</f>
        <v/>
      </c>
      <c r="E295" s="26">
        <f>IF($R295="","",INDEX(입력_전공의명단!$F$2:$F$401,$R295))</f>
        <v/>
      </c>
      <c r="F295" s="26">
        <f>IF($R295="","",INDEX(입력_전공의명단!$G$2:$G$401,$R295))</f>
        <v/>
      </c>
      <c r="G295" s="26">
        <f>IF($R295="","",INDEX(입력_전공의명단!$AE$2:$AE$401,$R295))</f>
        <v/>
      </c>
      <c r="H295" s="27">
        <f>IF($R295="","",IF(INDEX(입력_전공의명단!$AE$2:$AE$401,$R295)="서울병원","서울 소속","타 병원 소속("&amp;INDEX(입력_전공의명단!$AE$2:$AE$401,$R295)&amp;") → 서울 지급"))</f>
        <v/>
      </c>
      <c r="I295" s="26">
        <f>IF($R295="","",INDEX(입력_전공의명단!$N$2:$N$401,$R295))</f>
        <v/>
      </c>
      <c r="J295" s="26">
        <f>IF($R295="","",INDEX(입력_전공의명단!$P$2:$P$401,$R295))</f>
        <v/>
      </c>
      <c r="K295" s="26">
        <f>IF($R295="","",INDEX(입력_전공의명단!$Q$2:$Q$401,$R295))</f>
        <v/>
      </c>
      <c r="L295" s="28">
        <f>IF($R295="","",INDEX(입력_전공의명단!$S$2:$S$401,$R295))</f>
        <v/>
      </c>
      <c r="M295" s="28">
        <f>IF($R295="","",INDEX(입력_전공의명단!$T$2:$T$401,$R295))</f>
        <v/>
      </c>
      <c r="N295" s="26">
        <f>IF($R295="","",INDEX(입력_전공의명단!$AH$2:$AH$401,$R295))</f>
        <v/>
      </c>
      <c r="O295" s="26">
        <f>IF($R295="","",INDEX(입력_전공의명단!$AI$2:$AI$401,$R295))</f>
        <v/>
      </c>
      <c r="P295" s="27">
        <f>IF($R295="","",INDEX(입력_전공의명단!$AO$2:$AO$401,$R295))</f>
        <v/>
      </c>
      <c r="Q295" s="27">
        <f>IF($R295="","",INDEX(입력_전공의명단!$Z$2:$Z$401,$R295))</f>
        <v/>
      </c>
      <c r="R295" s="29">
        <f>IFERROR(MATCH(ROW()-5,입력_전공의명단!$AM$2:$AM$401,0),"")</f>
        <v/>
      </c>
    </row>
    <row r="296">
      <c r="A296" s="26">
        <f>IF($R296="","",ROW()-5)</f>
        <v/>
      </c>
      <c r="B296" s="26">
        <f>IF($R296="","",INDEX(입력_전공의명단!$C$2:$C$401,$R296))</f>
        <v/>
      </c>
      <c r="C296" s="26">
        <f>IF($R296="","",INDEX(입력_전공의명단!$B$2:$B$401,$R296))</f>
        <v/>
      </c>
      <c r="D296" s="26">
        <f>IF($R296="","",INDEX(입력_전공의명단!$J$2:$J$401,$R296))</f>
        <v/>
      </c>
      <c r="E296" s="26">
        <f>IF($R296="","",INDEX(입력_전공의명단!$F$2:$F$401,$R296))</f>
        <v/>
      </c>
      <c r="F296" s="26">
        <f>IF($R296="","",INDEX(입력_전공의명단!$G$2:$G$401,$R296))</f>
        <v/>
      </c>
      <c r="G296" s="26">
        <f>IF($R296="","",INDEX(입력_전공의명단!$AE$2:$AE$401,$R296))</f>
        <v/>
      </c>
      <c r="H296" s="27">
        <f>IF($R296="","",IF(INDEX(입력_전공의명단!$AE$2:$AE$401,$R296)="서울병원","서울 소속","타 병원 소속("&amp;INDEX(입력_전공의명단!$AE$2:$AE$401,$R296)&amp;") → 서울 지급"))</f>
        <v/>
      </c>
      <c r="I296" s="26">
        <f>IF($R296="","",INDEX(입력_전공의명단!$N$2:$N$401,$R296))</f>
        <v/>
      </c>
      <c r="J296" s="26">
        <f>IF($R296="","",INDEX(입력_전공의명단!$P$2:$P$401,$R296))</f>
        <v/>
      </c>
      <c r="K296" s="26">
        <f>IF($R296="","",INDEX(입력_전공의명단!$Q$2:$Q$401,$R296))</f>
        <v/>
      </c>
      <c r="L296" s="28">
        <f>IF($R296="","",INDEX(입력_전공의명단!$S$2:$S$401,$R296))</f>
        <v/>
      </c>
      <c r="M296" s="28">
        <f>IF($R296="","",INDEX(입력_전공의명단!$T$2:$T$401,$R296))</f>
        <v/>
      </c>
      <c r="N296" s="26">
        <f>IF($R296="","",INDEX(입력_전공의명단!$AH$2:$AH$401,$R296))</f>
        <v/>
      </c>
      <c r="O296" s="26">
        <f>IF($R296="","",INDEX(입력_전공의명단!$AI$2:$AI$401,$R296))</f>
        <v/>
      </c>
      <c r="P296" s="27">
        <f>IF($R296="","",INDEX(입력_전공의명단!$AO$2:$AO$401,$R296))</f>
        <v/>
      </c>
      <c r="Q296" s="27">
        <f>IF($R296="","",INDEX(입력_전공의명단!$Z$2:$Z$401,$R296))</f>
        <v/>
      </c>
      <c r="R296" s="29">
        <f>IFERROR(MATCH(ROW()-5,입력_전공의명단!$AM$2:$AM$401,0),"")</f>
        <v/>
      </c>
    </row>
    <row r="297">
      <c r="A297" s="26">
        <f>IF($R297="","",ROW()-5)</f>
        <v/>
      </c>
      <c r="B297" s="26">
        <f>IF($R297="","",INDEX(입력_전공의명단!$C$2:$C$401,$R297))</f>
        <v/>
      </c>
      <c r="C297" s="26">
        <f>IF($R297="","",INDEX(입력_전공의명단!$B$2:$B$401,$R297))</f>
        <v/>
      </c>
      <c r="D297" s="26">
        <f>IF($R297="","",INDEX(입력_전공의명단!$J$2:$J$401,$R297))</f>
        <v/>
      </c>
      <c r="E297" s="26">
        <f>IF($R297="","",INDEX(입력_전공의명단!$F$2:$F$401,$R297))</f>
        <v/>
      </c>
      <c r="F297" s="26">
        <f>IF($R297="","",INDEX(입력_전공의명단!$G$2:$G$401,$R297))</f>
        <v/>
      </c>
      <c r="G297" s="26">
        <f>IF($R297="","",INDEX(입력_전공의명단!$AE$2:$AE$401,$R297))</f>
        <v/>
      </c>
      <c r="H297" s="27">
        <f>IF($R297="","",IF(INDEX(입력_전공의명단!$AE$2:$AE$401,$R297)="서울병원","서울 소속","타 병원 소속("&amp;INDEX(입력_전공의명단!$AE$2:$AE$401,$R297)&amp;") → 서울 지급"))</f>
        <v/>
      </c>
      <c r="I297" s="26">
        <f>IF($R297="","",INDEX(입력_전공의명단!$N$2:$N$401,$R297))</f>
        <v/>
      </c>
      <c r="J297" s="26">
        <f>IF($R297="","",INDEX(입력_전공의명단!$P$2:$P$401,$R297))</f>
        <v/>
      </c>
      <c r="K297" s="26">
        <f>IF($R297="","",INDEX(입력_전공의명단!$Q$2:$Q$401,$R297))</f>
        <v/>
      </c>
      <c r="L297" s="28">
        <f>IF($R297="","",INDEX(입력_전공의명단!$S$2:$S$401,$R297))</f>
        <v/>
      </c>
      <c r="M297" s="28">
        <f>IF($R297="","",INDEX(입력_전공의명단!$T$2:$T$401,$R297))</f>
        <v/>
      </c>
      <c r="N297" s="26">
        <f>IF($R297="","",INDEX(입력_전공의명단!$AH$2:$AH$401,$R297))</f>
        <v/>
      </c>
      <c r="O297" s="26">
        <f>IF($R297="","",INDEX(입력_전공의명단!$AI$2:$AI$401,$R297))</f>
        <v/>
      </c>
      <c r="P297" s="27">
        <f>IF($R297="","",INDEX(입력_전공의명단!$AO$2:$AO$401,$R297))</f>
        <v/>
      </c>
      <c r="Q297" s="27">
        <f>IF($R297="","",INDEX(입력_전공의명단!$Z$2:$Z$401,$R297))</f>
        <v/>
      </c>
      <c r="R297" s="29">
        <f>IFERROR(MATCH(ROW()-5,입력_전공의명단!$AM$2:$AM$401,0),"")</f>
        <v/>
      </c>
    </row>
    <row r="298">
      <c r="A298" s="26">
        <f>IF($R298="","",ROW()-5)</f>
        <v/>
      </c>
      <c r="B298" s="26">
        <f>IF($R298="","",INDEX(입력_전공의명단!$C$2:$C$401,$R298))</f>
        <v/>
      </c>
      <c r="C298" s="26">
        <f>IF($R298="","",INDEX(입력_전공의명단!$B$2:$B$401,$R298))</f>
        <v/>
      </c>
      <c r="D298" s="26">
        <f>IF($R298="","",INDEX(입력_전공의명단!$J$2:$J$401,$R298))</f>
        <v/>
      </c>
      <c r="E298" s="26">
        <f>IF($R298="","",INDEX(입력_전공의명단!$F$2:$F$401,$R298))</f>
        <v/>
      </c>
      <c r="F298" s="26">
        <f>IF($R298="","",INDEX(입력_전공의명단!$G$2:$G$401,$R298))</f>
        <v/>
      </c>
      <c r="G298" s="26">
        <f>IF($R298="","",INDEX(입력_전공의명단!$AE$2:$AE$401,$R298))</f>
        <v/>
      </c>
      <c r="H298" s="27">
        <f>IF($R298="","",IF(INDEX(입력_전공의명단!$AE$2:$AE$401,$R298)="서울병원","서울 소속","타 병원 소속("&amp;INDEX(입력_전공의명단!$AE$2:$AE$401,$R298)&amp;") → 서울 지급"))</f>
        <v/>
      </c>
      <c r="I298" s="26">
        <f>IF($R298="","",INDEX(입력_전공의명단!$N$2:$N$401,$R298))</f>
        <v/>
      </c>
      <c r="J298" s="26">
        <f>IF($R298="","",INDEX(입력_전공의명단!$P$2:$P$401,$R298))</f>
        <v/>
      </c>
      <c r="K298" s="26">
        <f>IF($R298="","",INDEX(입력_전공의명단!$Q$2:$Q$401,$R298))</f>
        <v/>
      </c>
      <c r="L298" s="28">
        <f>IF($R298="","",INDEX(입력_전공의명단!$S$2:$S$401,$R298))</f>
        <v/>
      </c>
      <c r="M298" s="28">
        <f>IF($R298="","",INDEX(입력_전공의명단!$T$2:$T$401,$R298))</f>
        <v/>
      </c>
      <c r="N298" s="26">
        <f>IF($R298="","",INDEX(입력_전공의명단!$AH$2:$AH$401,$R298))</f>
        <v/>
      </c>
      <c r="O298" s="26">
        <f>IF($R298="","",INDEX(입력_전공의명단!$AI$2:$AI$401,$R298))</f>
        <v/>
      </c>
      <c r="P298" s="27">
        <f>IF($R298="","",INDEX(입력_전공의명단!$AO$2:$AO$401,$R298))</f>
        <v/>
      </c>
      <c r="Q298" s="27">
        <f>IF($R298="","",INDEX(입력_전공의명단!$Z$2:$Z$401,$R298))</f>
        <v/>
      </c>
      <c r="R298" s="29">
        <f>IFERROR(MATCH(ROW()-5,입력_전공의명단!$AM$2:$AM$401,0),"")</f>
        <v/>
      </c>
    </row>
    <row r="299">
      <c r="A299" s="26">
        <f>IF($R299="","",ROW()-5)</f>
        <v/>
      </c>
      <c r="B299" s="26">
        <f>IF($R299="","",INDEX(입력_전공의명단!$C$2:$C$401,$R299))</f>
        <v/>
      </c>
      <c r="C299" s="26">
        <f>IF($R299="","",INDEX(입력_전공의명단!$B$2:$B$401,$R299))</f>
        <v/>
      </c>
      <c r="D299" s="26">
        <f>IF($R299="","",INDEX(입력_전공의명단!$J$2:$J$401,$R299))</f>
        <v/>
      </c>
      <c r="E299" s="26">
        <f>IF($R299="","",INDEX(입력_전공의명단!$F$2:$F$401,$R299))</f>
        <v/>
      </c>
      <c r="F299" s="26">
        <f>IF($R299="","",INDEX(입력_전공의명단!$G$2:$G$401,$R299))</f>
        <v/>
      </c>
      <c r="G299" s="26">
        <f>IF($R299="","",INDEX(입력_전공의명단!$AE$2:$AE$401,$R299))</f>
        <v/>
      </c>
      <c r="H299" s="27">
        <f>IF($R299="","",IF(INDEX(입력_전공의명단!$AE$2:$AE$401,$R299)="서울병원","서울 소속","타 병원 소속("&amp;INDEX(입력_전공의명단!$AE$2:$AE$401,$R299)&amp;") → 서울 지급"))</f>
        <v/>
      </c>
      <c r="I299" s="26">
        <f>IF($R299="","",INDEX(입력_전공의명단!$N$2:$N$401,$R299))</f>
        <v/>
      </c>
      <c r="J299" s="26">
        <f>IF($R299="","",INDEX(입력_전공의명단!$P$2:$P$401,$R299))</f>
        <v/>
      </c>
      <c r="K299" s="26">
        <f>IF($R299="","",INDEX(입력_전공의명단!$Q$2:$Q$401,$R299))</f>
        <v/>
      </c>
      <c r="L299" s="28">
        <f>IF($R299="","",INDEX(입력_전공의명단!$S$2:$S$401,$R299))</f>
        <v/>
      </c>
      <c r="M299" s="28">
        <f>IF($R299="","",INDEX(입력_전공의명단!$T$2:$T$401,$R299))</f>
        <v/>
      </c>
      <c r="N299" s="26">
        <f>IF($R299="","",INDEX(입력_전공의명단!$AH$2:$AH$401,$R299))</f>
        <v/>
      </c>
      <c r="O299" s="26">
        <f>IF($R299="","",INDEX(입력_전공의명단!$AI$2:$AI$401,$R299))</f>
        <v/>
      </c>
      <c r="P299" s="27">
        <f>IF($R299="","",INDEX(입력_전공의명단!$AO$2:$AO$401,$R299))</f>
        <v/>
      </c>
      <c r="Q299" s="27">
        <f>IF($R299="","",INDEX(입력_전공의명단!$Z$2:$Z$401,$R299))</f>
        <v/>
      </c>
      <c r="R299" s="29">
        <f>IFERROR(MATCH(ROW()-5,입력_전공의명단!$AM$2:$AM$401,0),"")</f>
        <v/>
      </c>
    </row>
    <row r="300">
      <c r="A300" s="26">
        <f>IF($R300="","",ROW()-5)</f>
        <v/>
      </c>
      <c r="B300" s="26">
        <f>IF($R300="","",INDEX(입력_전공의명단!$C$2:$C$401,$R300))</f>
        <v/>
      </c>
      <c r="C300" s="26">
        <f>IF($R300="","",INDEX(입력_전공의명단!$B$2:$B$401,$R300))</f>
        <v/>
      </c>
      <c r="D300" s="26">
        <f>IF($R300="","",INDEX(입력_전공의명단!$J$2:$J$401,$R300))</f>
        <v/>
      </c>
      <c r="E300" s="26">
        <f>IF($R300="","",INDEX(입력_전공의명단!$F$2:$F$401,$R300))</f>
        <v/>
      </c>
      <c r="F300" s="26">
        <f>IF($R300="","",INDEX(입력_전공의명단!$G$2:$G$401,$R300))</f>
        <v/>
      </c>
      <c r="G300" s="26">
        <f>IF($R300="","",INDEX(입력_전공의명단!$AE$2:$AE$401,$R300))</f>
        <v/>
      </c>
      <c r="H300" s="27">
        <f>IF($R300="","",IF(INDEX(입력_전공의명단!$AE$2:$AE$401,$R300)="서울병원","서울 소속","타 병원 소속("&amp;INDEX(입력_전공의명단!$AE$2:$AE$401,$R300)&amp;") → 서울 지급"))</f>
        <v/>
      </c>
      <c r="I300" s="26">
        <f>IF($R300="","",INDEX(입력_전공의명단!$N$2:$N$401,$R300))</f>
        <v/>
      </c>
      <c r="J300" s="26">
        <f>IF($R300="","",INDEX(입력_전공의명단!$P$2:$P$401,$R300))</f>
        <v/>
      </c>
      <c r="K300" s="26">
        <f>IF($R300="","",INDEX(입력_전공의명단!$Q$2:$Q$401,$R300))</f>
        <v/>
      </c>
      <c r="L300" s="28">
        <f>IF($R300="","",INDEX(입력_전공의명단!$S$2:$S$401,$R300))</f>
        <v/>
      </c>
      <c r="M300" s="28">
        <f>IF($R300="","",INDEX(입력_전공의명단!$T$2:$T$401,$R300))</f>
        <v/>
      </c>
      <c r="N300" s="26">
        <f>IF($R300="","",INDEX(입력_전공의명단!$AH$2:$AH$401,$R300))</f>
        <v/>
      </c>
      <c r="O300" s="26">
        <f>IF($R300="","",INDEX(입력_전공의명단!$AI$2:$AI$401,$R300))</f>
        <v/>
      </c>
      <c r="P300" s="27">
        <f>IF($R300="","",INDEX(입력_전공의명단!$AO$2:$AO$401,$R300))</f>
        <v/>
      </c>
      <c r="Q300" s="27">
        <f>IF($R300="","",INDEX(입력_전공의명단!$Z$2:$Z$401,$R300))</f>
        <v/>
      </c>
      <c r="R300" s="29">
        <f>IFERROR(MATCH(ROW()-5,입력_전공의명단!$AM$2:$AM$401,0),"")</f>
        <v/>
      </c>
    </row>
    <row r="301">
      <c r="A301" s="26">
        <f>IF($R301="","",ROW()-5)</f>
        <v/>
      </c>
      <c r="B301" s="26">
        <f>IF($R301="","",INDEX(입력_전공의명단!$C$2:$C$401,$R301))</f>
        <v/>
      </c>
      <c r="C301" s="26">
        <f>IF($R301="","",INDEX(입력_전공의명단!$B$2:$B$401,$R301))</f>
        <v/>
      </c>
      <c r="D301" s="26">
        <f>IF($R301="","",INDEX(입력_전공의명단!$J$2:$J$401,$R301))</f>
        <v/>
      </c>
      <c r="E301" s="26">
        <f>IF($R301="","",INDEX(입력_전공의명단!$F$2:$F$401,$R301))</f>
        <v/>
      </c>
      <c r="F301" s="26">
        <f>IF($R301="","",INDEX(입력_전공의명단!$G$2:$G$401,$R301))</f>
        <v/>
      </c>
      <c r="G301" s="26">
        <f>IF($R301="","",INDEX(입력_전공의명단!$AE$2:$AE$401,$R301))</f>
        <v/>
      </c>
      <c r="H301" s="27">
        <f>IF($R301="","",IF(INDEX(입력_전공의명단!$AE$2:$AE$401,$R301)="서울병원","서울 소속","타 병원 소속("&amp;INDEX(입력_전공의명단!$AE$2:$AE$401,$R301)&amp;") → 서울 지급"))</f>
        <v/>
      </c>
      <c r="I301" s="26">
        <f>IF($R301="","",INDEX(입력_전공의명단!$N$2:$N$401,$R301))</f>
        <v/>
      </c>
      <c r="J301" s="26">
        <f>IF($R301="","",INDEX(입력_전공의명단!$P$2:$P$401,$R301))</f>
        <v/>
      </c>
      <c r="K301" s="26">
        <f>IF($R301="","",INDEX(입력_전공의명단!$Q$2:$Q$401,$R301))</f>
        <v/>
      </c>
      <c r="L301" s="28">
        <f>IF($R301="","",INDEX(입력_전공의명단!$S$2:$S$401,$R301))</f>
        <v/>
      </c>
      <c r="M301" s="28">
        <f>IF($R301="","",INDEX(입력_전공의명단!$T$2:$T$401,$R301))</f>
        <v/>
      </c>
      <c r="N301" s="26">
        <f>IF($R301="","",INDEX(입력_전공의명단!$AH$2:$AH$401,$R301))</f>
        <v/>
      </c>
      <c r="O301" s="26">
        <f>IF($R301="","",INDEX(입력_전공의명단!$AI$2:$AI$401,$R301))</f>
        <v/>
      </c>
      <c r="P301" s="27">
        <f>IF($R301="","",INDEX(입력_전공의명단!$AO$2:$AO$401,$R301))</f>
        <v/>
      </c>
      <c r="Q301" s="27">
        <f>IF($R301="","",INDEX(입력_전공의명단!$Z$2:$Z$401,$R301))</f>
        <v/>
      </c>
      <c r="R301" s="29">
        <f>IFERROR(MATCH(ROW()-5,입력_전공의명단!$AM$2:$AM$401,0),"")</f>
        <v/>
      </c>
    </row>
    <row r="302">
      <c r="A302" s="26">
        <f>IF($R302="","",ROW()-5)</f>
        <v/>
      </c>
      <c r="B302" s="26">
        <f>IF($R302="","",INDEX(입력_전공의명단!$C$2:$C$401,$R302))</f>
        <v/>
      </c>
      <c r="C302" s="26">
        <f>IF($R302="","",INDEX(입력_전공의명단!$B$2:$B$401,$R302))</f>
        <v/>
      </c>
      <c r="D302" s="26">
        <f>IF($R302="","",INDEX(입력_전공의명단!$J$2:$J$401,$R302))</f>
        <v/>
      </c>
      <c r="E302" s="26">
        <f>IF($R302="","",INDEX(입력_전공의명단!$F$2:$F$401,$R302))</f>
        <v/>
      </c>
      <c r="F302" s="26">
        <f>IF($R302="","",INDEX(입력_전공의명단!$G$2:$G$401,$R302))</f>
        <v/>
      </c>
      <c r="G302" s="26">
        <f>IF($R302="","",INDEX(입력_전공의명단!$AE$2:$AE$401,$R302))</f>
        <v/>
      </c>
      <c r="H302" s="27">
        <f>IF($R302="","",IF(INDEX(입력_전공의명단!$AE$2:$AE$401,$R302)="서울병원","서울 소속","타 병원 소속("&amp;INDEX(입력_전공의명단!$AE$2:$AE$401,$R302)&amp;") → 서울 지급"))</f>
        <v/>
      </c>
      <c r="I302" s="26">
        <f>IF($R302="","",INDEX(입력_전공의명단!$N$2:$N$401,$R302))</f>
        <v/>
      </c>
      <c r="J302" s="26">
        <f>IF($R302="","",INDEX(입력_전공의명단!$P$2:$P$401,$R302))</f>
        <v/>
      </c>
      <c r="K302" s="26">
        <f>IF($R302="","",INDEX(입력_전공의명단!$Q$2:$Q$401,$R302))</f>
        <v/>
      </c>
      <c r="L302" s="28">
        <f>IF($R302="","",INDEX(입력_전공의명단!$S$2:$S$401,$R302))</f>
        <v/>
      </c>
      <c r="M302" s="28">
        <f>IF($R302="","",INDEX(입력_전공의명단!$T$2:$T$401,$R302))</f>
        <v/>
      </c>
      <c r="N302" s="26">
        <f>IF($R302="","",INDEX(입력_전공의명단!$AH$2:$AH$401,$R302))</f>
        <v/>
      </c>
      <c r="O302" s="26">
        <f>IF($R302="","",INDEX(입력_전공의명단!$AI$2:$AI$401,$R302))</f>
        <v/>
      </c>
      <c r="P302" s="27">
        <f>IF($R302="","",INDEX(입력_전공의명단!$AO$2:$AO$401,$R302))</f>
        <v/>
      </c>
      <c r="Q302" s="27">
        <f>IF($R302="","",INDEX(입력_전공의명단!$Z$2:$Z$401,$R302))</f>
        <v/>
      </c>
      <c r="R302" s="29">
        <f>IFERROR(MATCH(ROW()-5,입력_전공의명단!$AM$2:$AM$401,0),"")</f>
        <v/>
      </c>
    </row>
    <row r="303">
      <c r="A303" s="26">
        <f>IF($R303="","",ROW()-5)</f>
        <v/>
      </c>
      <c r="B303" s="26">
        <f>IF($R303="","",INDEX(입력_전공의명단!$C$2:$C$401,$R303))</f>
        <v/>
      </c>
      <c r="C303" s="26">
        <f>IF($R303="","",INDEX(입력_전공의명단!$B$2:$B$401,$R303))</f>
        <v/>
      </c>
      <c r="D303" s="26">
        <f>IF($R303="","",INDEX(입력_전공의명단!$J$2:$J$401,$R303))</f>
        <v/>
      </c>
      <c r="E303" s="26">
        <f>IF($R303="","",INDEX(입력_전공의명단!$F$2:$F$401,$R303))</f>
        <v/>
      </c>
      <c r="F303" s="26">
        <f>IF($R303="","",INDEX(입력_전공의명단!$G$2:$G$401,$R303))</f>
        <v/>
      </c>
      <c r="G303" s="26">
        <f>IF($R303="","",INDEX(입력_전공의명단!$AE$2:$AE$401,$R303))</f>
        <v/>
      </c>
      <c r="H303" s="27">
        <f>IF($R303="","",IF(INDEX(입력_전공의명단!$AE$2:$AE$401,$R303)="서울병원","서울 소속","타 병원 소속("&amp;INDEX(입력_전공의명단!$AE$2:$AE$401,$R303)&amp;") → 서울 지급"))</f>
        <v/>
      </c>
      <c r="I303" s="26">
        <f>IF($R303="","",INDEX(입력_전공의명단!$N$2:$N$401,$R303))</f>
        <v/>
      </c>
      <c r="J303" s="26">
        <f>IF($R303="","",INDEX(입력_전공의명단!$P$2:$P$401,$R303))</f>
        <v/>
      </c>
      <c r="K303" s="26">
        <f>IF($R303="","",INDEX(입력_전공의명단!$Q$2:$Q$401,$R303))</f>
        <v/>
      </c>
      <c r="L303" s="28">
        <f>IF($R303="","",INDEX(입력_전공의명단!$S$2:$S$401,$R303))</f>
        <v/>
      </c>
      <c r="M303" s="28">
        <f>IF($R303="","",INDEX(입력_전공의명단!$T$2:$T$401,$R303))</f>
        <v/>
      </c>
      <c r="N303" s="26">
        <f>IF($R303="","",INDEX(입력_전공의명단!$AH$2:$AH$401,$R303))</f>
        <v/>
      </c>
      <c r="O303" s="26">
        <f>IF($R303="","",INDEX(입력_전공의명단!$AI$2:$AI$401,$R303))</f>
        <v/>
      </c>
      <c r="P303" s="27">
        <f>IF($R303="","",INDEX(입력_전공의명단!$AO$2:$AO$401,$R303))</f>
        <v/>
      </c>
      <c r="Q303" s="27">
        <f>IF($R303="","",INDEX(입력_전공의명단!$Z$2:$Z$401,$R303))</f>
        <v/>
      </c>
      <c r="R303" s="29">
        <f>IFERROR(MATCH(ROW()-5,입력_전공의명단!$AM$2:$AM$401,0),"")</f>
        <v/>
      </c>
    </row>
    <row r="304">
      <c r="A304" s="26">
        <f>IF($R304="","",ROW()-5)</f>
        <v/>
      </c>
      <c r="B304" s="26">
        <f>IF($R304="","",INDEX(입력_전공의명단!$C$2:$C$401,$R304))</f>
        <v/>
      </c>
      <c r="C304" s="26">
        <f>IF($R304="","",INDEX(입력_전공의명단!$B$2:$B$401,$R304))</f>
        <v/>
      </c>
      <c r="D304" s="26">
        <f>IF($R304="","",INDEX(입력_전공의명단!$J$2:$J$401,$R304))</f>
        <v/>
      </c>
      <c r="E304" s="26">
        <f>IF($R304="","",INDEX(입력_전공의명단!$F$2:$F$401,$R304))</f>
        <v/>
      </c>
      <c r="F304" s="26">
        <f>IF($R304="","",INDEX(입력_전공의명단!$G$2:$G$401,$R304))</f>
        <v/>
      </c>
      <c r="G304" s="26">
        <f>IF($R304="","",INDEX(입력_전공의명단!$AE$2:$AE$401,$R304))</f>
        <v/>
      </c>
      <c r="H304" s="27">
        <f>IF($R304="","",IF(INDEX(입력_전공의명단!$AE$2:$AE$401,$R304)="서울병원","서울 소속","타 병원 소속("&amp;INDEX(입력_전공의명단!$AE$2:$AE$401,$R304)&amp;") → 서울 지급"))</f>
        <v/>
      </c>
      <c r="I304" s="26">
        <f>IF($R304="","",INDEX(입력_전공의명단!$N$2:$N$401,$R304))</f>
        <v/>
      </c>
      <c r="J304" s="26">
        <f>IF($R304="","",INDEX(입력_전공의명단!$P$2:$P$401,$R304))</f>
        <v/>
      </c>
      <c r="K304" s="26">
        <f>IF($R304="","",INDEX(입력_전공의명단!$Q$2:$Q$401,$R304))</f>
        <v/>
      </c>
      <c r="L304" s="28">
        <f>IF($R304="","",INDEX(입력_전공의명단!$S$2:$S$401,$R304))</f>
        <v/>
      </c>
      <c r="M304" s="28">
        <f>IF($R304="","",INDEX(입력_전공의명단!$T$2:$T$401,$R304))</f>
        <v/>
      </c>
      <c r="N304" s="26">
        <f>IF($R304="","",INDEX(입력_전공의명단!$AH$2:$AH$401,$R304))</f>
        <v/>
      </c>
      <c r="O304" s="26">
        <f>IF($R304="","",INDEX(입력_전공의명단!$AI$2:$AI$401,$R304))</f>
        <v/>
      </c>
      <c r="P304" s="27">
        <f>IF($R304="","",INDEX(입력_전공의명단!$AO$2:$AO$401,$R304))</f>
        <v/>
      </c>
      <c r="Q304" s="27">
        <f>IF($R304="","",INDEX(입력_전공의명단!$Z$2:$Z$401,$R304))</f>
        <v/>
      </c>
      <c r="R304" s="29">
        <f>IFERROR(MATCH(ROW()-5,입력_전공의명단!$AM$2:$AM$401,0),"")</f>
        <v/>
      </c>
    </row>
    <row r="305">
      <c r="A305" s="26">
        <f>IF($R305="","",ROW()-5)</f>
        <v/>
      </c>
      <c r="B305" s="26">
        <f>IF($R305="","",INDEX(입력_전공의명단!$C$2:$C$401,$R305))</f>
        <v/>
      </c>
      <c r="C305" s="26">
        <f>IF($R305="","",INDEX(입력_전공의명단!$B$2:$B$401,$R305))</f>
        <v/>
      </c>
      <c r="D305" s="26">
        <f>IF($R305="","",INDEX(입력_전공의명단!$J$2:$J$401,$R305))</f>
        <v/>
      </c>
      <c r="E305" s="26">
        <f>IF($R305="","",INDEX(입력_전공의명단!$F$2:$F$401,$R305))</f>
        <v/>
      </c>
      <c r="F305" s="26">
        <f>IF($R305="","",INDEX(입력_전공의명단!$G$2:$G$401,$R305))</f>
        <v/>
      </c>
      <c r="G305" s="26">
        <f>IF($R305="","",INDEX(입력_전공의명단!$AE$2:$AE$401,$R305))</f>
        <v/>
      </c>
      <c r="H305" s="27">
        <f>IF($R305="","",IF(INDEX(입력_전공의명단!$AE$2:$AE$401,$R305)="서울병원","서울 소속","타 병원 소속("&amp;INDEX(입력_전공의명단!$AE$2:$AE$401,$R305)&amp;") → 서울 지급"))</f>
        <v/>
      </c>
      <c r="I305" s="26">
        <f>IF($R305="","",INDEX(입력_전공의명단!$N$2:$N$401,$R305))</f>
        <v/>
      </c>
      <c r="J305" s="26">
        <f>IF($R305="","",INDEX(입력_전공의명단!$P$2:$P$401,$R305))</f>
        <v/>
      </c>
      <c r="K305" s="26">
        <f>IF($R305="","",INDEX(입력_전공의명단!$Q$2:$Q$401,$R305))</f>
        <v/>
      </c>
      <c r="L305" s="28">
        <f>IF($R305="","",INDEX(입력_전공의명단!$S$2:$S$401,$R305))</f>
        <v/>
      </c>
      <c r="M305" s="28">
        <f>IF($R305="","",INDEX(입력_전공의명단!$T$2:$T$401,$R305))</f>
        <v/>
      </c>
      <c r="N305" s="26">
        <f>IF($R305="","",INDEX(입력_전공의명단!$AH$2:$AH$401,$R305))</f>
        <v/>
      </c>
      <c r="O305" s="26">
        <f>IF($R305="","",INDEX(입력_전공의명단!$AI$2:$AI$401,$R305))</f>
        <v/>
      </c>
      <c r="P305" s="27">
        <f>IF($R305="","",INDEX(입력_전공의명단!$AO$2:$AO$401,$R305))</f>
        <v/>
      </c>
      <c r="Q305" s="27">
        <f>IF($R305="","",INDEX(입력_전공의명단!$Z$2:$Z$401,$R305))</f>
        <v/>
      </c>
      <c r="R305" s="29">
        <f>IFERROR(MATCH(ROW()-5,입력_전공의명단!$AM$2:$AM$401,0),"")</f>
        <v/>
      </c>
    </row>
    <row r="306">
      <c r="A306" s="26">
        <f>IF($R306="","",ROW()-5)</f>
        <v/>
      </c>
      <c r="B306" s="26">
        <f>IF($R306="","",INDEX(입력_전공의명단!$C$2:$C$401,$R306))</f>
        <v/>
      </c>
      <c r="C306" s="26">
        <f>IF($R306="","",INDEX(입력_전공의명단!$B$2:$B$401,$R306))</f>
        <v/>
      </c>
      <c r="D306" s="26">
        <f>IF($R306="","",INDEX(입력_전공의명단!$J$2:$J$401,$R306))</f>
        <v/>
      </c>
      <c r="E306" s="26">
        <f>IF($R306="","",INDEX(입력_전공의명단!$F$2:$F$401,$R306))</f>
        <v/>
      </c>
      <c r="F306" s="26">
        <f>IF($R306="","",INDEX(입력_전공의명단!$G$2:$G$401,$R306))</f>
        <v/>
      </c>
      <c r="G306" s="26">
        <f>IF($R306="","",INDEX(입력_전공의명단!$AE$2:$AE$401,$R306))</f>
        <v/>
      </c>
      <c r="H306" s="27">
        <f>IF($R306="","",IF(INDEX(입력_전공의명단!$AE$2:$AE$401,$R306)="서울병원","서울 소속","타 병원 소속("&amp;INDEX(입력_전공의명단!$AE$2:$AE$401,$R306)&amp;") → 서울 지급"))</f>
        <v/>
      </c>
      <c r="I306" s="26">
        <f>IF($R306="","",INDEX(입력_전공의명단!$N$2:$N$401,$R306))</f>
        <v/>
      </c>
      <c r="J306" s="26">
        <f>IF($R306="","",INDEX(입력_전공의명단!$P$2:$P$401,$R306))</f>
        <v/>
      </c>
      <c r="K306" s="26">
        <f>IF($R306="","",INDEX(입력_전공의명단!$Q$2:$Q$401,$R306))</f>
        <v/>
      </c>
      <c r="L306" s="28">
        <f>IF($R306="","",INDEX(입력_전공의명단!$S$2:$S$401,$R306))</f>
        <v/>
      </c>
      <c r="M306" s="28">
        <f>IF($R306="","",INDEX(입력_전공의명단!$T$2:$T$401,$R306))</f>
        <v/>
      </c>
      <c r="N306" s="26">
        <f>IF($R306="","",INDEX(입력_전공의명단!$AH$2:$AH$401,$R306))</f>
        <v/>
      </c>
      <c r="O306" s="26">
        <f>IF($R306="","",INDEX(입력_전공의명단!$AI$2:$AI$401,$R306))</f>
        <v/>
      </c>
      <c r="P306" s="27">
        <f>IF($R306="","",INDEX(입력_전공의명단!$AO$2:$AO$401,$R306))</f>
        <v/>
      </c>
      <c r="Q306" s="27">
        <f>IF($R306="","",INDEX(입력_전공의명단!$Z$2:$Z$401,$R306))</f>
        <v/>
      </c>
      <c r="R306" s="29">
        <f>IFERROR(MATCH(ROW()-5,입력_전공의명단!$AM$2:$AM$401,0),"")</f>
        <v/>
      </c>
    </row>
    <row r="307">
      <c r="A307" s="26">
        <f>IF($R307="","",ROW()-5)</f>
        <v/>
      </c>
      <c r="B307" s="26">
        <f>IF($R307="","",INDEX(입력_전공의명단!$C$2:$C$401,$R307))</f>
        <v/>
      </c>
      <c r="C307" s="26">
        <f>IF($R307="","",INDEX(입력_전공의명단!$B$2:$B$401,$R307))</f>
        <v/>
      </c>
      <c r="D307" s="26">
        <f>IF($R307="","",INDEX(입력_전공의명단!$J$2:$J$401,$R307))</f>
        <v/>
      </c>
      <c r="E307" s="26">
        <f>IF($R307="","",INDEX(입력_전공의명단!$F$2:$F$401,$R307))</f>
        <v/>
      </c>
      <c r="F307" s="26">
        <f>IF($R307="","",INDEX(입력_전공의명단!$G$2:$G$401,$R307))</f>
        <v/>
      </c>
      <c r="G307" s="26">
        <f>IF($R307="","",INDEX(입력_전공의명단!$AE$2:$AE$401,$R307))</f>
        <v/>
      </c>
      <c r="H307" s="27">
        <f>IF($R307="","",IF(INDEX(입력_전공의명단!$AE$2:$AE$401,$R307)="서울병원","서울 소속","타 병원 소속("&amp;INDEX(입력_전공의명단!$AE$2:$AE$401,$R307)&amp;") → 서울 지급"))</f>
        <v/>
      </c>
      <c r="I307" s="26">
        <f>IF($R307="","",INDEX(입력_전공의명단!$N$2:$N$401,$R307))</f>
        <v/>
      </c>
      <c r="J307" s="26">
        <f>IF($R307="","",INDEX(입력_전공의명단!$P$2:$P$401,$R307))</f>
        <v/>
      </c>
      <c r="K307" s="26">
        <f>IF($R307="","",INDEX(입력_전공의명단!$Q$2:$Q$401,$R307))</f>
        <v/>
      </c>
      <c r="L307" s="28">
        <f>IF($R307="","",INDEX(입력_전공의명단!$S$2:$S$401,$R307))</f>
        <v/>
      </c>
      <c r="M307" s="28">
        <f>IF($R307="","",INDEX(입력_전공의명단!$T$2:$T$401,$R307))</f>
        <v/>
      </c>
      <c r="N307" s="26">
        <f>IF($R307="","",INDEX(입력_전공의명단!$AH$2:$AH$401,$R307))</f>
        <v/>
      </c>
      <c r="O307" s="26">
        <f>IF($R307="","",INDEX(입력_전공의명단!$AI$2:$AI$401,$R307))</f>
        <v/>
      </c>
      <c r="P307" s="27">
        <f>IF($R307="","",INDEX(입력_전공의명단!$AO$2:$AO$401,$R307))</f>
        <v/>
      </c>
      <c r="Q307" s="27">
        <f>IF($R307="","",INDEX(입력_전공의명단!$Z$2:$Z$401,$R307))</f>
        <v/>
      </c>
      <c r="R307" s="29">
        <f>IFERROR(MATCH(ROW()-5,입력_전공의명단!$AM$2:$AM$401,0),"")</f>
        <v/>
      </c>
    </row>
    <row r="308">
      <c r="A308" s="26">
        <f>IF($R308="","",ROW()-5)</f>
        <v/>
      </c>
      <c r="B308" s="26">
        <f>IF($R308="","",INDEX(입력_전공의명단!$C$2:$C$401,$R308))</f>
        <v/>
      </c>
      <c r="C308" s="26">
        <f>IF($R308="","",INDEX(입력_전공의명단!$B$2:$B$401,$R308))</f>
        <v/>
      </c>
      <c r="D308" s="26">
        <f>IF($R308="","",INDEX(입력_전공의명단!$J$2:$J$401,$R308))</f>
        <v/>
      </c>
      <c r="E308" s="26">
        <f>IF($R308="","",INDEX(입력_전공의명단!$F$2:$F$401,$R308))</f>
        <v/>
      </c>
      <c r="F308" s="26">
        <f>IF($R308="","",INDEX(입력_전공의명단!$G$2:$G$401,$R308))</f>
        <v/>
      </c>
      <c r="G308" s="26">
        <f>IF($R308="","",INDEX(입력_전공의명단!$AE$2:$AE$401,$R308))</f>
        <v/>
      </c>
      <c r="H308" s="27">
        <f>IF($R308="","",IF(INDEX(입력_전공의명단!$AE$2:$AE$401,$R308)="서울병원","서울 소속","타 병원 소속("&amp;INDEX(입력_전공의명단!$AE$2:$AE$401,$R308)&amp;") → 서울 지급"))</f>
        <v/>
      </c>
      <c r="I308" s="26">
        <f>IF($R308="","",INDEX(입력_전공의명단!$N$2:$N$401,$R308))</f>
        <v/>
      </c>
      <c r="J308" s="26">
        <f>IF($R308="","",INDEX(입력_전공의명단!$P$2:$P$401,$R308))</f>
        <v/>
      </c>
      <c r="K308" s="26">
        <f>IF($R308="","",INDEX(입력_전공의명단!$Q$2:$Q$401,$R308))</f>
        <v/>
      </c>
      <c r="L308" s="28">
        <f>IF($R308="","",INDEX(입력_전공의명단!$S$2:$S$401,$R308))</f>
        <v/>
      </c>
      <c r="M308" s="28">
        <f>IF($R308="","",INDEX(입력_전공의명단!$T$2:$T$401,$R308))</f>
        <v/>
      </c>
      <c r="N308" s="26">
        <f>IF($R308="","",INDEX(입력_전공의명단!$AH$2:$AH$401,$R308))</f>
        <v/>
      </c>
      <c r="O308" s="26">
        <f>IF($R308="","",INDEX(입력_전공의명단!$AI$2:$AI$401,$R308))</f>
        <v/>
      </c>
      <c r="P308" s="27">
        <f>IF($R308="","",INDEX(입력_전공의명단!$AO$2:$AO$401,$R308))</f>
        <v/>
      </c>
      <c r="Q308" s="27">
        <f>IF($R308="","",INDEX(입력_전공의명단!$Z$2:$Z$401,$R308))</f>
        <v/>
      </c>
      <c r="R308" s="29">
        <f>IFERROR(MATCH(ROW()-5,입력_전공의명단!$AM$2:$AM$401,0),"")</f>
        <v/>
      </c>
    </row>
    <row r="309">
      <c r="A309" s="26">
        <f>IF($R309="","",ROW()-5)</f>
        <v/>
      </c>
      <c r="B309" s="26">
        <f>IF($R309="","",INDEX(입력_전공의명단!$C$2:$C$401,$R309))</f>
        <v/>
      </c>
      <c r="C309" s="26">
        <f>IF($R309="","",INDEX(입력_전공의명단!$B$2:$B$401,$R309))</f>
        <v/>
      </c>
      <c r="D309" s="26">
        <f>IF($R309="","",INDEX(입력_전공의명단!$J$2:$J$401,$R309))</f>
        <v/>
      </c>
      <c r="E309" s="26">
        <f>IF($R309="","",INDEX(입력_전공의명단!$F$2:$F$401,$R309))</f>
        <v/>
      </c>
      <c r="F309" s="26">
        <f>IF($R309="","",INDEX(입력_전공의명단!$G$2:$G$401,$R309))</f>
        <v/>
      </c>
      <c r="G309" s="26">
        <f>IF($R309="","",INDEX(입력_전공의명단!$AE$2:$AE$401,$R309))</f>
        <v/>
      </c>
      <c r="H309" s="27">
        <f>IF($R309="","",IF(INDEX(입력_전공의명단!$AE$2:$AE$401,$R309)="서울병원","서울 소속","타 병원 소속("&amp;INDEX(입력_전공의명단!$AE$2:$AE$401,$R309)&amp;") → 서울 지급"))</f>
        <v/>
      </c>
      <c r="I309" s="26">
        <f>IF($R309="","",INDEX(입력_전공의명단!$N$2:$N$401,$R309))</f>
        <v/>
      </c>
      <c r="J309" s="26">
        <f>IF($R309="","",INDEX(입력_전공의명단!$P$2:$P$401,$R309))</f>
        <v/>
      </c>
      <c r="K309" s="26">
        <f>IF($R309="","",INDEX(입력_전공의명단!$Q$2:$Q$401,$R309))</f>
        <v/>
      </c>
      <c r="L309" s="28">
        <f>IF($R309="","",INDEX(입력_전공의명단!$S$2:$S$401,$R309))</f>
        <v/>
      </c>
      <c r="M309" s="28">
        <f>IF($R309="","",INDEX(입력_전공의명단!$T$2:$T$401,$R309))</f>
        <v/>
      </c>
      <c r="N309" s="26">
        <f>IF($R309="","",INDEX(입력_전공의명단!$AH$2:$AH$401,$R309))</f>
        <v/>
      </c>
      <c r="O309" s="26">
        <f>IF($R309="","",INDEX(입력_전공의명단!$AI$2:$AI$401,$R309))</f>
        <v/>
      </c>
      <c r="P309" s="27">
        <f>IF($R309="","",INDEX(입력_전공의명단!$AO$2:$AO$401,$R309))</f>
        <v/>
      </c>
      <c r="Q309" s="27">
        <f>IF($R309="","",INDEX(입력_전공의명단!$Z$2:$Z$401,$R309))</f>
        <v/>
      </c>
      <c r="R309" s="29">
        <f>IFERROR(MATCH(ROW()-5,입력_전공의명단!$AM$2:$AM$401,0),"")</f>
        <v/>
      </c>
    </row>
    <row r="310">
      <c r="A310" s="26">
        <f>IF($R310="","",ROW()-5)</f>
        <v/>
      </c>
      <c r="B310" s="26">
        <f>IF($R310="","",INDEX(입력_전공의명단!$C$2:$C$401,$R310))</f>
        <v/>
      </c>
      <c r="C310" s="26">
        <f>IF($R310="","",INDEX(입력_전공의명단!$B$2:$B$401,$R310))</f>
        <v/>
      </c>
      <c r="D310" s="26">
        <f>IF($R310="","",INDEX(입력_전공의명단!$J$2:$J$401,$R310))</f>
        <v/>
      </c>
      <c r="E310" s="26">
        <f>IF($R310="","",INDEX(입력_전공의명단!$F$2:$F$401,$R310))</f>
        <v/>
      </c>
      <c r="F310" s="26">
        <f>IF($R310="","",INDEX(입력_전공의명단!$G$2:$G$401,$R310))</f>
        <v/>
      </c>
      <c r="G310" s="26">
        <f>IF($R310="","",INDEX(입력_전공의명단!$AE$2:$AE$401,$R310))</f>
        <v/>
      </c>
      <c r="H310" s="27">
        <f>IF($R310="","",IF(INDEX(입력_전공의명단!$AE$2:$AE$401,$R310)="서울병원","서울 소속","타 병원 소속("&amp;INDEX(입력_전공의명단!$AE$2:$AE$401,$R310)&amp;") → 서울 지급"))</f>
        <v/>
      </c>
      <c r="I310" s="26">
        <f>IF($R310="","",INDEX(입력_전공의명단!$N$2:$N$401,$R310))</f>
        <v/>
      </c>
      <c r="J310" s="26">
        <f>IF($R310="","",INDEX(입력_전공의명단!$P$2:$P$401,$R310))</f>
        <v/>
      </c>
      <c r="K310" s="26">
        <f>IF($R310="","",INDEX(입력_전공의명단!$Q$2:$Q$401,$R310))</f>
        <v/>
      </c>
      <c r="L310" s="28">
        <f>IF($R310="","",INDEX(입력_전공의명단!$S$2:$S$401,$R310))</f>
        <v/>
      </c>
      <c r="M310" s="28">
        <f>IF($R310="","",INDEX(입력_전공의명단!$T$2:$T$401,$R310))</f>
        <v/>
      </c>
      <c r="N310" s="26">
        <f>IF($R310="","",INDEX(입력_전공의명단!$AH$2:$AH$401,$R310))</f>
        <v/>
      </c>
      <c r="O310" s="26">
        <f>IF($R310="","",INDEX(입력_전공의명단!$AI$2:$AI$401,$R310))</f>
        <v/>
      </c>
      <c r="P310" s="27">
        <f>IF($R310="","",INDEX(입력_전공의명단!$AO$2:$AO$401,$R310))</f>
        <v/>
      </c>
      <c r="Q310" s="27">
        <f>IF($R310="","",INDEX(입력_전공의명단!$Z$2:$Z$401,$R310))</f>
        <v/>
      </c>
      <c r="R310" s="29">
        <f>IFERROR(MATCH(ROW()-5,입력_전공의명단!$AM$2:$AM$401,0),"")</f>
        <v/>
      </c>
    </row>
    <row r="311">
      <c r="A311" s="26">
        <f>IF($R311="","",ROW()-5)</f>
        <v/>
      </c>
      <c r="B311" s="26">
        <f>IF($R311="","",INDEX(입력_전공의명단!$C$2:$C$401,$R311))</f>
        <v/>
      </c>
      <c r="C311" s="26">
        <f>IF($R311="","",INDEX(입력_전공의명단!$B$2:$B$401,$R311))</f>
        <v/>
      </c>
      <c r="D311" s="26">
        <f>IF($R311="","",INDEX(입력_전공의명단!$J$2:$J$401,$R311))</f>
        <v/>
      </c>
      <c r="E311" s="26">
        <f>IF($R311="","",INDEX(입력_전공의명단!$F$2:$F$401,$R311))</f>
        <v/>
      </c>
      <c r="F311" s="26">
        <f>IF($R311="","",INDEX(입력_전공의명단!$G$2:$G$401,$R311))</f>
        <v/>
      </c>
      <c r="G311" s="26">
        <f>IF($R311="","",INDEX(입력_전공의명단!$AE$2:$AE$401,$R311))</f>
        <v/>
      </c>
      <c r="H311" s="27">
        <f>IF($R311="","",IF(INDEX(입력_전공의명단!$AE$2:$AE$401,$R311)="서울병원","서울 소속","타 병원 소속("&amp;INDEX(입력_전공의명단!$AE$2:$AE$401,$R311)&amp;") → 서울 지급"))</f>
        <v/>
      </c>
      <c r="I311" s="26">
        <f>IF($R311="","",INDEX(입력_전공의명단!$N$2:$N$401,$R311))</f>
        <v/>
      </c>
      <c r="J311" s="26">
        <f>IF($R311="","",INDEX(입력_전공의명단!$P$2:$P$401,$R311))</f>
        <v/>
      </c>
      <c r="K311" s="26">
        <f>IF($R311="","",INDEX(입력_전공의명단!$Q$2:$Q$401,$R311))</f>
        <v/>
      </c>
      <c r="L311" s="28">
        <f>IF($R311="","",INDEX(입력_전공의명단!$S$2:$S$401,$R311))</f>
        <v/>
      </c>
      <c r="M311" s="28">
        <f>IF($R311="","",INDEX(입력_전공의명단!$T$2:$T$401,$R311))</f>
        <v/>
      </c>
      <c r="N311" s="26">
        <f>IF($R311="","",INDEX(입력_전공의명단!$AH$2:$AH$401,$R311))</f>
        <v/>
      </c>
      <c r="O311" s="26">
        <f>IF($R311="","",INDEX(입력_전공의명단!$AI$2:$AI$401,$R311))</f>
        <v/>
      </c>
      <c r="P311" s="27">
        <f>IF($R311="","",INDEX(입력_전공의명단!$AO$2:$AO$401,$R311))</f>
        <v/>
      </c>
      <c r="Q311" s="27">
        <f>IF($R311="","",INDEX(입력_전공의명단!$Z$2:$Z$401,$R311))</f>
        <v/>
      </c>
      <c r="R311" s="29">
        <f>IFERROR(MATCH(ROW()-5,입력_전공의명단!$AM$2:$AM$401,0),"")</f>
        <v/>
      </c>
    </row>
    <row r="312">
      <c r="A312" s="26">
        <f>IF($R312="","",ROW()-5)</f>
        <v/>
      </c>
      <c r="B312" s="26">
        <f>IF($R312="","",INDEX(입력_전공의명단!$C$2:$C$401,$R312))</f>
        <v/>
      </c>
      <c r="C312" s="26">
        <f>IF($R312="","",INDEX(입력_전공의명단!$B$2:$B$401,$R312))</f>
        <v/>
      </c>
      <c r="D312" s="26">
        <f>IF($R312="","",INDEX(입력_전공의명단!$J$2:$J$401,$R312))</f>
        <v/>
      </c>
      <c r="E312" s="26">
        <f>IF($R312="","",INDEX(입력_전공의명단!$F$2:$F$401,$R312))</f>
        <v/>
      </c>
      <c r="F312" s="26">
        <f>IF($R312="","",INDEX(입력_전공의명단!$G$2:$G$401,$R312))</f>
        <v/>
      </c>
      <c r="G312" s="26">
        <f>IF($R312="","",INDEX(입력_전공의명단!$AE$2:$AE$401,$R312))</f>
        <v/>
      </c>
      <c r="H312" s="27">
        <f>IF($R312="","",IF(INDEX(입력_전공의명단!$AE$2:$AE$401,$R312)="서울병원","서울 소속","타 병원 소속("&amp;INDEX(입력_전공의명단!$AE$2:$AE$401,$R312)&amp;") → 서울 지급"))</f>
        <v/>
      </c>
      <c r="I312" s="26">
        <f>IF($R312="","",INDEX(입력_전공의명단!$N$2:$N$401,$R312))</f>
        <v/>
      </c>
      <c r="J312" s="26">
        <f>IF($R312="","",INDEX(입력_전공의명단!$P$2:$P$401,$R312))</f>
        <v/>
      </c>
      <c r="K312" s="26">
        <f>IF($R312="","",INDEX(입력_전공의명단!$Q$2:$Q$401,$R312))</f>
        <v/>
      </c>
      <c r="L312" s="28">
        <f>IF($R312="","",INDEX(입력_전공의명단!$S$2:$S$401,$R312))</f>
        <v/>
      </c>
      <c r="M312" s="28">
        <f>IF($R312="","",INDEX(입력_전공의명단!$T$2:$T$401,$R312))</f>
        <v/>
      </c>
      <c r="N312" s="26">
        <f>IF($R312="","",INDEX(입력_전공의명단!$AH$2:$AH$401,$R312))</f>
        <v/>
      </c>
      <c r="O312" s="26">
        <f>IF($R312="","",INDEX(입력_전공의명단!$AI$2:$AI$401,$R312))</f>
        <v/>
      </c>
      <c r="P312" s="27">
        <f>IF($R312="","",INDEX(입력_전공의명단!$AO$2:$AO$401,$R312))</f>
        <v/>
      </c>
      <c r="Q312" s="27">
        <f>IF($R312="","",INDEX(입력_전공의명단!$Z$2:$Z$401,$R312))</f>
        <v/>
      </c>
      <c r="R312" s="29">
        <f>IFERROR(MATCH(ROW()-5,입력_전공의명단!$AM$2:$AM$401,0),"")</f>
        <v/>
      </c>
    </row>
    <row r="313">
      <c r="A313" s="26">
        <f>IF($R313="","",ROW()-5)</f>
        <v/>
      </c>
      <c r="B313" s="26">
        <f>IF($R313="","",INDEX(입력_전공의명단!$C$2:$C$401,$R313))</f>
        <v/>
      </c>
      <c r="C313" s="26">
        <f>IF($R313="","",INDEX(입력_전공의명단!$B$2:$B$401,$R313))</f>
        <v/>
      </c>
      <c r="D313" s="26">
        <f>IF($R313="","",INDEX(입력_전공의명단!$J$2:$J$401,$R313))</f>
        <v/>
      </c>
      <c r="E313" s="26">
        <f>IF($R313="","",INDEX(입력_전공의명단!$F$2:$F$401,$R313))</f>
        <v/>
      </c>
      <c r="F313" s="26">
        <f>IF($R313="","",INDEX(입력_전공의명단!$G$2:$G$401,$R313))</f>
        <v/>
      </c>
      <c r="G313" s="26">
        <f>IF($R313="","",INDEX(입력_전공의명단!$AE$2:$AE$401,$R313))</f>
        <v/>
      </c>
      <c r="H313" s="27">
        <f>IF($R313="","",IF(INDEX(입력_전공의명단!$AE$2:$AE$401,$R313)="서울병원","서울 소속","타 병원 소속("&amp;INDEX(입력_전공의명단!$AE$2:$AE$401,$R313)&amp;") → 서울 지급"))</f>
        <v/>
      </c>
      <c r="I313" s="26">
        <f>IF($R313="","",INDEX(입력_전공의명단!$N$2:$N$401,$R313))</f>
        <v/>
      </c>
      <c r="J313" s="26">
        <f>IF($R313="","",INDEX(입력_전공의명단!$P$2:$P$401,$R313))</f>
        <v/>
      </c>
      <c r="K313" s="26">
        <f>IF($R313="","",INDEX(입력_전공의명단!$Q$2:$Q$401,$R313))</f>
        <v/>
      </c>
      <c r="L313" s="28">
        <f>IF($R313="","",INDEX(입력_전공의명단!$S$2:$S$401,$R313))</f>
        <v/>
      </c>
      <c r="M313" s="28">
        <f>IF($R313="","",INDEX(입력_전공의명단!$T$2:$T$401,$R313))</f>
        <v/>
      </c>
      <c r="N313" s="26">
        <f>IF($R313="","",INDEX(입력_전공의명단!$AH$2:$AH$401,$R313))</f>
        <v/>
      </c>
      <c r="O313" s="26">
        <f>IF($R313="","",INDEX(입력_전공의명단!$AI$2:$AI$401,$R313))</f>
        <v/>
      </c>
      <c r="P313" s="27">
        <f>IF($R313="","",INDEX(입력_전공의명단!$AO$2:$AO$401,$R313))</f>
        <v/>
      </c>
      <c r="Q313" s="27">
        <f>IF($R313="","",INDEX(입력_전공의명단!$Z$2:$Z$401,$R313))</f>
        <v/>
      </c>
      <c r="R313" s="29">
        <f>IFERROR(MATCH(ROW()-5,입력_전공의명단!$AM$2:$AM$401,0),"")</f>
        <v/>
      </c>
    </row>
    <row r="314">
      <c r="A314" s="26">
        <f>IF($R314="","",ROW()-5)</f>
        <v/>
      </c>
      <c r="B314" s="26">
        <f>IF($R314="","",INDEX(입력_전공의명단!$C$2:$C$401,$R314))</f>
        <v/>
      </c>
      <c r="C314" s="26">
        <f>IF($R314="","",INDEX(입력_전공의명단!$B$2:$B$401,$R314))</f>
        <v/>
      </c>
      <c r="D314" s="26">
        <f>IF($R314="","",INDEX(입력_전공의명단!$J$2:$J$401,$R314))</f>
        <v/>
      </c>
      <c r="E314" s="26">
        <f>IF($R314="","",INDEX(입력_전공의명단!$F$2:$F$401,$R314))</f>
        <v/>
      </c>
      <c r="F314" s="26">
        <f>IF($R314="","",INDEX(입력_전공의명단!$G$2:$G$401,$R314))</f>
        <v/>
      </c>
      <c r="G314" s="26">
        <f>IF($R314="","",INDEX(입력_전공의명단!$AE$2:$AE$401,$R314))</f>
        <v/>
      </c>
      <c r="H314" s="27">
        <f>IF($R314="","",IF(INDEX(입력_전공의명단!$AE$2:$AE$401,$R314)="서울병원","서울 소속","타 병원 소속("&amp;INDEX(입력_전공의명단!$AE$2:$AE$401,$R314)&amp;") → 서울 지급"))</f>
        <v/>
      </c>
      <c r="I314" s="26">
        <f>IF($R314="","",INDEX(입력_전공의명단!$N$2:$N$401,$R314))</f>
        <v/>
      </c>
      <c r="J314" s="26">
        <f>IF($R314="","",INDEX(입력_전공의명단!$P$2:$P$401,$R314))</f>
        <v/>
      </c>
      <c r="K314" s="26">
        <f>IF($R314="","",INDEX(입력_전공의명단!$Q$2:$Q$401,$R314))</f>
        <v/>
      </c>
      <c r="L314" s="28">
        <f>IF($R314="","",INDEX(입력_전공의명단!$S$2:$S$401,$R314))</f>
        <v/>
      </c>
      <c r="M314" s="28">
        <f>IF($R314="","",INDEX(입력_전공의명단!$T$2:$T$401,$R314))</f>
        <v/>
      </c>
      <c r="N314" s="26">
        <f>IF($R314="","",INDEX(입력_전공의명단!$AH$2:$AH$401,$R314))</f>
        <v/>
      </c>
      <c r="O314" s="26">
        <f>IF($R314="","",INDEX(입력_전공의명단!$AI$2:$AI$401,$R314))</f>
        <v/>
      </c>
      <c r="P314" s="27">
        <f>IF($R314="","",INDEX(입력_전공의명단!$AO$2:$AO$401,$R314))</f>
        <v/>
      </c>
      <c r="Q314" s="27">
        <f>IF($R314="","",INDEX(입력_전공의명단!$Z$2:$Z$401,$R314))</f>
        <v/>
      </c>
      <c r="R314" s="29">
        <f>IFERROR(MATCH(ROW()-5,입력_전공의명단!$AM$2:$AM$401,0),"")</f>
        <v/>
      </c>
    </row>
    <row r="315">
      <c r="A315" s="26">
        <f>IF($R315="","",ROW()-5)</f>
        <v/>
      </c>
      <c r="B315" s="26">
        <f>IF($R315="","",INDEX(입력_전공의명단!$C$2:$C$401,$R315))</f>
        <v/>
      </c>
      <c r="C315" s="26">
        <f>IF($R315="","",INDEX(입력_전공의명단!$B$2:$B$401,$R315))</f>
        <v/>
      </c>
      <c r="D315" s="26">
        <f>IF($R315="","",INDEX(입력_전공의명단!$J$2:$J$401,$R315))</f>
        <v/>
      </c>
      <c r="E315" s="26">
        <f>IF($R315="","",INDEX(입력_전공의명단!$F$2:$F$401,$R315))</f>
        <v/>
      </c>
      <c r="F315" s="26">
        <f>IF($R315="","",INDEX(입력_전공의명단!$G$2:$G$401,$R315))</f>
        <v/>
      </c>
      <c r="G315" s="26">
        <f>IF($R315="","",INDEX(입력_전공의명단!$AE$2:$AE$401,$R315))</f>
        <v/>
      </c>
      <c r="H315" s="27">
        <f>IF($R315="","",IF(INDEX(입력_전공의명단!$AE$2:$AE$401,$R315)="서울병원","서울 소속","타 병원 소속("&amp;INDEX(입력_전공의명단!$AE$2:$AE$401,$R315)&amp;") → 서울 지급"))</f>
        <v/>
      </c>
      <c r="I315" s="26">
        <f>IF($R315="","",INDEX(입력_전공의명단!$N$2:$N$401,$R315))</f>
        <v/>
      </c>
      <c r="J315" s="26">
        <f>IF($R315="","",INDEX(입력_전공의명단!$P$2:$P$401,$R315))</f>
        <v/>
      </c>
      <c r="K315" s="26">
        <f>IF($R315="","",INDEX(입력_전공의명단!$Q$2:$Q$401,$R315))</f>
        <v/>
      </c>
      <c r="L315" s="28">
        <f>IF($R315="","",INDEX(입력_전공의명단!$S$2:$S$401,$R315))</f>
        <v/>
      </c>
      <c r="M315" s="28">
        <f>IF($R315="","",INDEX(입력_전공의명단!$T$2:$T$401,$R315))</f>
        <v/>
      </c>
      <c r="N315" s="26">
        <f>IF($R315="","",INDEX(입력_전공의명단!$AH$2:$AH$401,$R315))</f>
        <v/>
      </c>
      <c r="O315" s="26">
        <f>IF($R315="","",INDEX(입력_전공의명단!$AI$2:$AI$401,$R315))</f>
        <v/>
      </c>
      <c r="P315" s="27">
        <f>IF($R315="","",INDEX(입력_전공의명단!$AO$2:$AO$401,$R315))</f>
        <v/>
      </c>
      <c r="Q315" s="27">
        <f>IF($R315="","",INDEX(입력_전공의명단!$Z$2:$Z$401,$R315))</f>
        <v/>
      </c>
      <c r="R315" s="29">
        <f>IFERROR(MATCH(ROW()-5,입력_전공의명단!$AM$2:$AM$401,0),"")</f>
        <v/>
      </c>
    </row>
    <row r="316">
      <c r="A316" s="26">
        <f>IF($R316="","",ROW()-5)</f>
        <v/>
      </c>
      <c r="B316" s="26">
        <f>IF($R316="","",INDEX(입력_전공의명단!$C$2:$C$401,$R316))</f>
        <v/>
      </c>
      <c r="C316" s="26">
        <f>IF($R316="","",INDEX(입력_전공의명단!$B$2:$B$401,$R316))</f>
        <v/>
      </c>
      <c r="D316" s="26">
        <f>IF($R316="","",INDEX(입력_전공의명단!$J$2:$J$401,$R316))</f>
        <v/>
      </c>
      <c r="E316" s="26">
        <f>IF($R316="","",INDEX(입력_전공의명단!$F$2:$F$401,$R316))</f>
        <v/>
      </c>
      <c r="F316" s="26">
        <f>IF($R316="","",INDEX(입력_전공의명단!$G$2:$G$401,$R316))</f>
        <v/>
      </c>
      <c r="G316" s="26">
        <f>IF($R316="","",INDEX(입력_전공의명단!$AE$2:$AE$401,$R316))</f>
        <v/>
      </c>
      <c r="H316" s="27">
        <f>IF($R316="","",IF(INDEX(입력_전공의명단!$AE$2:$AE$401,$R316)="서울병원","서울 소속","타 병원 소속("&amp;INDEX(입력_전공의명단!$AE$2:$AE$401,$R316)&amp;") → 서울 지급"))</f>
        <v/>
      </c>
      <c r="I316" s="26">
        <f>IF($R316="","",INDEX(입력_전공의명단!$N$2:$N$401,$R316))</f>
        <v/>
      </c>
      <c r="J316" s="26">
        <f>IF($R316="","",INDEX(입력_전공의명단!$P$2:$P$401,$R316))</f>
        <v/>
      </c>
      <c r="K316" s="26">
        <f>IF($R316="","",INDEX(입력_전공의명단!$Q$2:$Q$401,$R316))</f>
        <v/>
      </c>
      <c r="L316" s="28">
        <f>IF($R316="","",INDEX(입력_전공의명단!$S$2:$S$401,$R316))</f>
        <v/>
      </c>
      <c r="M316" s="28">
        <f>IF($R316="","",INDEX(입력_전공의명단!$T$2:$T$401,$R316))</f>
        <v/>
      </c>
      <c r="N316" s="26">
        <f>IF($R316="","",INDEX(입력_전공의명단!$AH$2:$AH$401,$R316))</f>
        <v/>
      </c>
      <c r="O316" s="26">
        <f>IF($R316="","",INDEX(입력_전공의명단!$AI$2:$AI$401,$R316))</f>
        <v/>
      </c>
      <c r="P316" s="27">
        <f>IF($R316="","",INDEX(입력_전공의명단!$AO$2:$AO$401,$R316))</f>
        <v/>
      </c>
      <c r="Q316" s="27">
        <f>IF($R316="","",INDEX(입력_전공의명단!$Z$2:$Z$401,$R316))</f>
        <v/>
      </c>
      <c r="R316" s="29">
        <f>IFERROR(MATCH(ROW()-5,입력_전공의명단!$AM$2:$AM$401,0),"")</f>
        <v/>
      </c>
    </row>
    <row r="317">
      <c r="A317" s="26">
        <f>IF($R317="","",ROW()-5)</f>
        <v/>
      </c>
      <c r="B317" s="26">
        <f>IF($R317="","",INDEX(입력_전공의명단!$C$2:$C$401,$R317))</f>
        <v/>
      </c>
      <c r="C317" s="26">
        <f>IF($R317="","",INDEX(입력_전공의명단!$B$2:$B$401,$R317))</f>
        <v/>
      </c>
      <c r="D317" s="26">
        <f>IF($R317="","",INDEX(입력_전공의명단!$J$2:$J$401,$R317))</f>
        <v/>
      </c>
      <c r="E317" s="26">
        <f>IF($R317="","",INDEX(입력_전공의명단!$F$2:$F$401,$R317))</f>
        <v/>
      </c>
      <c r="F317" s="26">
        <f>IF($R317="","",INDEX(입력_전공의명단!$G$2:$G$401,$R317))</f>
        <v/>
      </c>
      <c r="G317" s="26">
        <f>IF($R317="","",INDEX(입력_전공의명단!$AE$2:$AE$401,$R317))</f>
        <v/>
      </c>
      <c r="H317" s="27">
        <f>IF($R317="","",IF(INDEX(입력_전공의명단!$AE$2:$AE$401,$R317)="서울병원","서울 소속","타 병원 소속("&amp;INDEX(입력_전공의명단!$AE$2:$AE$401,$R317)&amp;") → 서울 지급"))</f>
        <v/>
      </c>
      <c r="I317" s="26">
        <f>IF($R317="","",INDEX(입력_전공의명단!$N$2:$N$401,$R317))</f>
        <v/>
      </c>
      <c r="J317" s="26">
        <f>IF($R317="","",INDEX(입력_전공의명단!$P$2:$P$401,$R317))</f>
        <v/>
      </c>
      <c r="K317" s="26">
        <f>IF($R317="","",INDEX(입력_전공의명단!$Q$2:$Q$401,$R317))</f>
        <v/>
      </c>
      <c r="L317" s="28">
        <f>IF($R317="","",INDEX(입력_전공의명단!$S$2:$S$401,$R317))</f>
        <v/>
      </c>
      <c r="M317" s="28">
        <f>IF($R317="","",INDEX(입력_전공의명단!$T$2:$T$401,$R317))</f>
        <v/>
      </c>
      <c r="N317" s="26">
        <f>IF($R317="","",INDEX(입력_전공의명단!$AH$2:$AH$401,$R317))</f>
        <v/>
      </c>
      <c r="O317" s="26">
        <f>IF($R317="","",INDEX(입력_전공의명단!$AI$2:$AI$401,$R317))</f>
        <v/>
      </c>
      <c r="P317" s="27">
        <f>IF($R317="","",INDEX(입력_전공의명단!$AO$2:$AO$401,$R317))</f>
        <v/>
      </c>
      <c r="Q317" s="27">
        <f>IF($R317="","",INDEX(입력_전공의명단!$Z$2:$Z$401,$R317))</f>
        <v/>
      </c>
      <c r="R317" s="29">
        <f>IFERROR(MATCH(ROW()-5,입력_전공의명단!$AM$2:$AM$401,0),"")</f>
        <v/>
      </c>
    </row>
    <row r="318">
      <c r="A318" s="26">
        <f>IF($R318="","",ROW()-5)</f>
        <v/>
      </c>
      <c r="B318" s="26">
        <f>IF($R318="","",INDEX(입력_전공의명단!$C$2:$C$401,$R318))</f>
        <v/>
      </c>
      <c r="C318" s="26">
        <f>IF($R318="","",INDEX(입력_전공의명단!$B$2:$B$401,$R318))</f>
        <v/>
      </c>
      <c r="D318" s="26">
        <f>IF($R318="","",INDEX(입력_전공의명단!$J$2:$J$401,$R318))</f>
        <v/>
      </c>
      <c r="E318" s="26">
        <f>IF($R318="","",INDEX(입력_전공의명단!$F$2:$F$401,$R318))</f>
        <v/>
      </c>
      <c r="F318" s="26">
        <f>IF($R318="","",INDEX(입력_전공의명단!$G$2:$G$401,$R318))</f>
        <v/>
      </c>
      <c r="G318" s="26">
        <f>IF($R318="","",INDEX(입력_전공의명단!$AE$2:$AE$401,$R318))</f>
        <v/>
      </c>
      <c r="H318" s="27">
        <f>IF($R318="","",IF(INDEX(입력_전공의명단!$AE$2:$AE$401,$R318)="서울병원","서울 소속","타 병원 소속("&amp;INDEX(입력_전공의명단!$AE$2:$AE$401,$R318)&amp;") → 서울 지급"))</f>
        <v/>
      </c>
      <c r="I318" s="26">
        <f>IF($R318="","",INDEX(입력_전공의명단!$N$2:$N$401,$R318))</f>
        <v/>
      </c>
      <c r="J318" s="26">
        <f>IF($R318="","",INDEX(입력_전공의명단!$P$2:$P$401,$R318))</f>
        <v/>
      </c>
      <c r="K318" s="26">
        <f>IF($R318="","",INDEX(입력_전공의명단!$Q$2:$Q$401,$R318))</f>
        <v/>
      </c>
      <c r="L318" s="28">
        <f>IF($R318="","",INDEX(입력_전공의명단!$S$2:$S$401,$R318))</f>
        <v/>
      </c>
      <c r="M318" s="28">
        <f>IF($R318="","",INDEX(입력_전공의명단!$T$2:$T$401,$R318))</f>
        <v/>
      </c>
      <c r="N318" s="26">
        <f>IF($R318="","",INDEX(입력_전공의명단!$AH$2:$AH$401,$R318))</f>
        <v/>
      </c>
      <c r="O318" s="26">
        <f>IF($R318="","",INDEX(입력_전공의명단!$AI$2:$AI$401,$R318))</f>
        <v/>
      </c>
      <c r="P318" s="27">
        <f>IF($R318="","",INDEX(입력_전공의명단!$AO$2:$AO$401,$R318))</f>
        <v/>
      </c>
      <c r="Q318" s="27">
        <f>IF($R318="","",INDEX(입력_전공의명단!$Z$2:$Z$401,$R318))</f>
        <v/>
      </c>
      <c r="R318" s="29">
        <f>IFERROR(MATCH(ROW()-5,입력_전공의명단!$AM$2:$AM$401,0),"")</f>
        <v/>
      </c>
    </row>
    <row r="319">
      <c r="A319" s="26">
        <f>IF($R319="","",ROW()-5)</f>
        <v/>
      </c>
      <c r="B319" s="26">
        <f>IF($R319="","",INDEX(입력_전공의명단!$C$2:$C$401,$R319))</f>
        <v/>
      </c>
      <c r="C319" s="26">
        <f>IF($R319="","",INDEX(입력_전공의명단!$B$2:$B$401,$R319))</f>
        <v/>
      </c>
      <c r="D319" s="26">
        <f>IF($R319="","",INDEX(입력_전공의명단!$J$2:$J$401,$R319))</f>
        <v/>
      </c>
      <c r="E319" s="26">
        <f>IF($R319="","",INDEX(입력_전공의명단!$F$2:$F$401,$R319))</f>
        <v/>
      </c>
      <c r="F319" s="26">
        <f>IF($R319="","",INDEX(입력_전공의명단!$G$2:$G$401,$R319))</f>
        <v/>
      </c>
      <c r="G319" s="26">
        <f>IF($R319="","",INDEX(입력_전공의명단!$AE$2:$AE$401,$R319))</f>
        <v/>
      </c>
      <c r="H319" s="27">
        <f>IF($R319="","",IF(INDEX(입력_전공의명단!$AE$2:$AE$401,$R319)="서울병원","서울 소속","타 병원 소속("&amp;INDEX(입력_전공의명단!$AE$2:$AE$401,$R319)&amp;") → 서울 지급"))</f>
        <v/>
      </c>
      <c r="I319" s="26">
        <f>IF($R319="","",INDEX(입력_전공의명단!$N$2:$N$401,$R319))</f>
        <v/>
      </c>
      <c r="J319" s="26">
        <f>IF($R319="","",INDEX(입력_전공의명단!$P$2:$P$401,$R319))</f>
        <v/>
      </c>
      <c r="K319" s="26">
        <f>IF($R319="","",INDEX(입력_전공의명단!$Q$2:$Q$401,$R319))</f>
        <v/>
      </c>
      <c r="L319" s="28">
        <f>IF($R319="","",INDEX(입력_전공의명단!$S$2:$S$401,$R319))</f>
        <v/>
      </c>
      <c r="M319" s="28">
        <f>IF($R319="","",INDEX(입력_전공의명단!$T$2:$T$401,$R319))</f>
        <v/>
      </c>
      <c r="N319" s="26">
        <f>IF($R319="","",INDEX(입력_전공의명단!$AH$2:$AH$401,$R319))</f>
        <v/>
      </c>
      <c r="O319" s="26">
        <f>IF($R319="","",INDEX(입력_전공의명단!$AI$2:$AI$401,$R319))</f>
        <v/>
      </c>
      <c r="P319" s="27">
        <f>IF($R319="","",INDEX(입력_전공의명단!$AO$2:$AO$401,$R319))</f>
        <v/>
      </c>
      <c r="Q319" s="27">
        <f>IF($R319="","",INDEX(입력_전공의명단!$Z$2:$Z$401,$R319))</f>
        <v/>
      </c>
      <c r="R319" s="29">
        <f>IFERROR(MATCH(ROW()-5,입력_전공의명단!$AM$2:$AM$401,0),"")</f>
        <v/>
      </c>
    </row>
    <row r="320">
      <c r="A320" s="26">
        <f>IF($R320="","",ROW()-5)</f>
        <v/>
      </c>
      <c r="B320" s="26">
        <f>IF($R320="","",INDEX(입력_전공의명단!$C$2:$C$401,$R320))</f>
        <v/>
      </c>
      <c r="C320" s="26">
        <f>IF($R320="","",INDEX(입력_전공의명단!$B$2:$B$401,$R320))</f>
        <v/>
      </c>
      <c r="D320" s="26">
        <f>IF($R320="","",INDEX(입력_전공의명단!$J$2:$J$401,$R320))</f>
        <v/>
      </c>
      <c r="E320" s="26">
        <f>IF($R320="","",INDEX(입력_전공의명단!$F$2:$F$401,$R320))</f>
        <v/>
      </c>
      <c r="F320" s="26">
        <f>IF($R320="","",INDEX(입력_전공의명단!$G$2:$G$401,$R320))</f>
        <v/>
      </c>
      <c r="G320" s="26">
        <f>IF($R320="","",INDEX(입력_전공의명단!$AE$2:$AE$401,$R320))</f>
        <v/>
      </c>
      <c r="H320" s="27">
        <f>IF($R320="","",IF(INDEX(입력_전공의명단!$AE$2:$AE$401,$R320)="서울병원","서울 소속","타 병원 소속("&amp;INDEX(입력_전공의명단!$AE$2:$AE$401,$R320)&amp;") → 서울 지급"))</f>
        <v/>
      </c>
      <c r="I320" s="26">
        <f>IF($R320="","",INDEX(입력_전공의명단!$N$2:$N$401,$R320))</f>
        <v/>
      </c>
      <c r="J320" s="26">
        <f>IF($R320="","",INDEX(입력_전공의명단!$P$2:$P$401,$R320))</f>
        <v/>
      </c>
      <c r="K320" s="26">
        <f>IF($R320="","",INDEX(입력_전공의명단!$Q$2:$Q$401,$R320))</f>
        <v/>
      </c>
      <c r="L320" s="28">
        <f>IF($R320="","",INDEX(입력_전공의명단!$S$2:$S$401,$R320))</f>
        <v/>
      </c>
      <c r="M320" s="28">
        <f>IF($R320="","",INDEX(입력_전공의명단!$T$2:$T$401,$R320))</f>
        <v/>
      </c>
      <c r="N320" s="26">
        <f>IF($R320="","",INDEX(입력_전공의명단!$AH$2:$AH$401,$R320))</f>
        <v/>
      </c>
      <c r="O320" s="26">
        <f>IF($R320="","",INDEX(입력_전공의명단!$AI$2:$AI$401,$R320))</f>
        <v/>
      </c>
      <c r="P320" s="27">
        <f>IF($R320="","",INDEX(입력_전공의명단!$AO$2:$AO$401,$R320))</f>
        <v/>
      </c>
      <c r="Q320" s="27">
        <f>IF($R320="","",INDEX(입력_전공의명단!$Z$2:$Z$401,$R320))</f>
        <v/>
      </c>
      <c r="R320" s="29">
        <f>IFERROR(MATCH(ROW()-5,입력_전공의명단!$AM$2:$AM$401,0),"")</f>
        <v/>
      </c>
    </row>
    <row r="321">
      <c r="A321" s="26">
        <f>IF($R321="","",ROW()-5)</f>
        <v/>
      </c>
      <c r="B321" s="26">
        <f>IF($R321="","",INDEX(입력_전공의명단!$C$2:$C$401,$R321))</f>
        <v/>
      </c>
      <c r="C321" s="26">
        <f>IF($R321="","",INDEX(입력_전공의명단!$B$2:$B$401,$R321))</f>
        <v/>
      </c>
      <c r="D321" s="26">
        <f>IF($R321="","",INDEX(입력_전공의명단!$J$2:$J$401,$R321))</f>
        <v/>
      </c>
      <c r="E321" s="26">
        <f>IF($R321="","",INDEX(입력_전공의명단!$F$2:$F$401,$R321))</f>
        <v/>
      </c>
      <c r="F321" s="26">
        <f>IF($R321="","",INDEX(입력_전공의명단!$G$2:$G$401,$R321))</f>
        <v/>
      </c>
      <c r="G321" s="26">
        <f>IF($R321="","",INDEX(입력_전공의명단!$AE$2:$AE$401,$R321))</f>
        <v/>
      </c>
      <c r="H321" s="27">
        <f>IF($R321="","",IF(INDEX(입력_전공의명단!$AE$2:$AE$401,$R321)="서울병원","서울 소속","타 병원 소속("&amp;INDEX(입력_전공의명단!$AE$2:$AE$401,$R321)&amp;") → 서울 지급"))</f>
        <v/>
      </c>
      <c r="I321" s="26">
        <f>IF($R321="","",INDEX(입력_전공의명단!$N$2:$N$401,$R321))</f>
        <v/>
      </c>
      <c r="J321" s="26">
        <f>IF($R321="","",INDEX(입력_전공의명단!$P$2:$P$401,$R321))</f>
        <v/>
      </c>
      <c r="K321" s="26">
        <f>IF($R321="","",INDEX(입력_전공의명단!$Q$2:$Q$401,$R321))</f>
        <v/>
      </c>
      <c r="L321" s="28">
        <f>IF($R321="","",INDEX(입력_전공의명단!$S$2:$S$401,$R321))</f>
        <v/>
      </c>
      <c r="M321" s="28">
        <f>IF($R321="","",INDEX(입력_전공의명단!$T$2:$T$401,$R321))</f>
        <v/>
      </c>
      <c r="N321" s="26">
        <f>IF($R321="","",INDEX(입력_전공의명단!$AH$2:$AH$401,$R321))</f>
        <v/>
      </c>
      <c r="O321" s="26">
        <f>IF($R321="","",INDEX(입력_전공의명단!$AI$2:$AI$401,$R321))</f>
        <v/>
      </c>
      <c r="P321" s="27">
        <f>IF($R321="","",INDEX(입력_전공의명단!$AO$2:$AO$401,$R321))</f>
        <v/>
      </c>
      <c r="Q321" s="27">
        <f>IF($R321="","",INDEX(입력_전공의명단!$Z$2:$Z$401,$R321))</f>
        <v/>
      </c>
      <c r="R321" s="29">
        <f>IFERROR(MATCH(ROW()-5,입력_전공의명단!$AM$2:$AM$401,0),"")</f>
        <v/>
      </c>
    </row>
    <row r="322">
      <c r="A322" s="26">
        <f>IF($R322="","",ROW()-5)</f>
        <v/>
      </c>
      <c r="B322" s="26">
        <f>IF($R322="","",INDEX(입력_전공의명단!$C$2:$C$401,$R322))</f>
        <v/>
      </c>
      <c r="C322" s="26">
        <f>IF($R322="","",INDEX(입력_전공의명단!$B$2:$B$401,$R322))</f>
        <v/>
      </c>
      <c r="D322" s="26">
        <f>IF($R322="","",INDEX(입력_전공의명단!$J$2:$J$401,$R322))</f>
        <v/>
      </c>
      <c r="E322" s="26">
        <f>IF($R322="","",INDEX(입력_전공의명단!$F$2:$F$401,$R322))</f>
        <v/>
      </c>
      <c r="F322" s="26">
        <f>IF($R322="","",INDEX(입력_전공의명단!$G$2:$G$401,$R322))</f>
        <v/>
      </c>
      <c r="G322" s="26">
        <f>IF($R322="","",INDEX(입력_전공의명단!$AE$2:$AE$401,$R322))</f>
        <v/>
      </c>
      <c r="H322" s="27">
        <f>IF($R322="","",IF(INDEX(입력_전공의명단!$AE$2:$AE$401,$R322)="서울병원","서울 소속","타 병원 소속("&amp;INDEX(입력_전공의명단!$AE$2:$AE$401,$R322)&amp;") → 서울 지급"))</f>
        <v/>
      </c>
      <c r="I322" s="26">
        <f>IF($R322="","",INDEX(입력_전공의명단!$N$2:$N$401,$R322))</f>
        <v/>
      </c>
      <c r="J322" s="26">
        <f>IF($R322="","",INDEX(입력_전공의명단!$P$2:$P$401,$R322))</f>
        <v/>
      </c>
      <c r="K322" s="26">
        <f>IF($R322="","",INDEX(입력_전공의명단!$Q$2:$Q$401,$R322))</f>
        <v/>
      </c>
      <c r="L322" s="28">
        <f>IF($R322="","",INDEX(입력_전공의명단!$S$2:$S$401,$R322))</f>
        <v/>
      </c>
      <c r="M322" s="28">
        <f>IF($R322="","",INDEX(입력_전공의명단!$T$2:$T$401,$R322))</f>
        <v/>
      </c>
      <c r="N322" s="26">
        <f>IF($R322="","",INDEX(입력_전공의명단!$AH$2:$AH$401,$R322))</f>
        <v/>
      </c>
      <c r="O322" s="26">
        <f>IF($R322="","",INDEX(입력_전공의명단!$AI$2:$AI$401,$R322))</f>
        <v/>
      </c>
      <c r="P322" s="27">
        <f>IF($R322="","",INDEX(입력_전공의명단!$AO$2:$AO$401,$R322))</f>
        <v/>
      </c>
      <c r="Q322" s="27">
        <f>IF($R322="","",INDEX(입력_전공의명단!$Z$2:$Z$401,$R322))</f>
        <v/>
      </c>
      <c r="R322" s="29">
        <f>IFERROR(MATCH(ROW()-5,입력_전공의명단!$AM$2:$AM$401,0),"")</f>
        <v/>
      </c>
    </row>
    <row r="323">
      <c r="A323" s="26">
        <f>IF($R323="","",ROW()-5)</f>
        <v/>
      </c>
      <c r="B323" s="26">
        <f>IF($R323="","",INDEX(입력_전공의명단!$C$2:$C$401,$R323))</f>
        <v/>
      </c>
      <c r="C323" s="26">
        <f>IF($R323="","",INDEX(입력_전공의명단!$B$2:$B$401,$R323))</f>
        <v/>
      </c>
      <c r="D323" s="26">
        <f>IF($R323="","",INDEX(입력_전공의명단!$J$2:$J$401,$R323))</f>
        <v/>
      </c>
      <c r="E323" s="26">
        <f>IF($R323="","",INDEX(입력_전공의명단!$F$2:$F$401,$R323))</f>
        <v/>
      </c>
      <c r="F323" s="26">
        <f>IF($R323="","",INDEX(입력_전공의명단!$G$2:$G$401,$R323))</f>
        <v/>
      </c>
      <c r="G323" s="26">
        <f>IF($R323="","",INDEX(입력_전공의명단!$AE$2:$AE$401,$R323))</f>
        <v/>
      </c>
      <c r="H323" s="27">
        <f>IF($R323="","",IF(INDEX(입력_전공의명단!$AE$2:$AE$401,$R323)="서울병원","서울 소속","타 병원 소속("&amp;INDEX(입력_전공의명단!$AE$2:$AE$401,$R323)&amp;") → 서울 지급"))</f>
        <v/>
      </c>
      <c r="I323" s="26">
        <f>IF($R323="","",INDEX(입력_전공의명단!$N$2:$N$401,$R323))</f>
        <v/>
      </c>
      <c r="J323" s="26">
        <f>IF($R323="","",INDEX(입력_전공의명단!$P$2:$P$401,$R323))</f>
        <v/>
      </c>
      <c r="K323" s="26">
        <f>IF($R323="","",INDEX(입력_전공의명단!$Q$2:$Q$401,$R323))</f>
        <v/>
      </c>
      <c r="L323" s="28">
        <f>IF($R323="","",INDEX(입력_전공의명단!$S$2:$S$401,$R323))</f>
        <v/>
      </c>
      <c r="M323" s="28">
        <f>IF($R323="","",INDEX(입력_전공의명단!$T$2:$T$401,$R323))</f>
        <v/>
      </c>
      <c r="N323" s="26">
        <f>IF($R323="","",INDEX(입력_전공의명단!$AH$2:$AH$401,$R323))</f>
        <v/>
      </c>
      <c r="O323" s="26">
        <f>IF($R323="","",INDEX(입력_전공의명단!$AI$2:$AI$401,$R323))</f>
        <v/>
      </c>
      <c r="P323" s="27">
        <f>IF($R323="","",INDEX(입력_전공의명단!$AO$2:$AO$401,$R323))</f>
        <v/>
      </c>
      <c r="Q323" s="27">
        <f>IF($R323="","",INDEX(입력_전공의명단!$Z$2:$Z$401,$R323))</f>
        <v/>
      </c>
      <c r="R323" s="29">
        <f>IFERROR(MATCH(ROW()-5,입력_전공의명단!$AM$2:$AM$401,0),"")</f>
        <v/>
      </c>
    </row>
    <row r="324">
      <c r="A324" s="26">
        <f>IF($R324="","",ROW()-5)</f>
        <v/>
      </c>
      <c r="B324" s="26">
        <f>IF($R324="","",INDEX(입력_전공의명단!$C$2:$C$401,$R324))</f>
        <v/>
      </c>
      <c r="C324" s="26">
        <f>IF($R324="","",INDEX(입력_전공의명단!$B$2:$B$401,$R324))</f>
        <v/>
      </c>
      <c r="D324" s="26">
        <f>IF($R324="","",INDEX(입력_전공의명단!$J$2:$J$401,$R324))</f>
        <v/>
      </c>
      <c r="E324" s="26">
        <f>IF($R324="","",INDEX(입력_전공의명단!$F$2:$F$401,$R324))</f>
        <v/>
      </c>
      <c r="F324" s="26">
        <f>IF($R324="","",INDEX(입력_전공의명단!$G$2:$G$401,$R324))</f>
        <v/>
      </c>
      <c r="G324" s="26">
        <f>IF($R324="","",INDEX(입력_전공의명단!$AE$2:$AE$401,$R324))</f>
        <v/>
      </c>
      <c r="H324" s="27">
        <f>IF($R324="","",IF(INDEX(입력_전공의명단!$AE$2:$AE$401,$R324)="서울병원","서울 소속","타 병원 소속("&amp;INDEX(입력_전공의명단!$AE$2:$AE$401,$R324)&amp;") → 서울 지급"))</f>
        <v/>
      </c>
      <c r="I324" s="26">
        <f>IF($R324="","",INDEX(입력_전공의명단!$N$2:$N$401,$R324))</f>
        <v/>
      </c>
      <c r="J324" s="26">
        <f>IF($R324="","",INDEX(입력_전공의명단!$P$2:$P$401,$R324))</f>
        <v/>
      </c>
      <c r="K324" s="26">
        <f>IF($R324="","",INDEX(입력_전공의명단!$Q$2:$Q$401,$R324))</f>
        <v/>
      </c>
      <c r="L324" s="28">
        <f>IF($R324="","",INDEX(입력_전공의명단!$S$2:$S$401,$R324))</f>
        <v/>
      </c>
      <c r="M324" s="28">
        <f>IF($R324="","",INDEX(입력_전공의명단!$T$2:$T$401,$R324))</f>
        <v/>
      </c>
      <c r="N324" s="26">
        <f>IF($R324="","",INDEX(입력_전공의명단!$AH$2:$AH$401,$R324))</f>
        <v/>
      </c>
      <c r="O324" s="26">
        <f>IF($R324="","",INDEX(입력_전공의명단!$AI$2:$AI$401,$R324))</f>
        <v/>
      </c>
      <c r="P324" s="27">
        <f>IF($R324="","",INDEX(입력_전공의명단!$AO$2:$AO$401,$R324))</f>
        <v/>
      </c>
      <c r="Q324" s="27">
        <f>IF($R324="","",INDEX(입력_전공의명단!$Z$2:$Z$401,$R324))</f>
        <v/>
      </c>
      <c r="R324" s="29">
        <f>IFERROR(MATCH(ROW()-5,입력_전공의명단!$AM$2:$AM$401,0),"")</f>
        <v/>
      </c>
    </row>
    <row r="325">
      <c r="A325" s="26">
        <f>IF($R325="","",ROW()-5)</f>
        <v/>
      </c>
      <c r="B325" s="26">
        <f>IF($R325="","",INDEX(입력_전공의명단!$C$2:$C$401,$R325))</f>
        <v/>
      </c>
      <c r="C325" s="26">
        <f>IF($R325="","",INDEX(입력_전공의명단!$B$2:$B$401,$R325))</f>
        <v/>
      </c>
      <c r="D325" s="26">
        <f>IF($R325="","",INDEX(입력_전공의명단!$J$2:$J$401,$R325))</f>
        <v/>
      </c>
      <c r="E325" s="26">
        <f>IF($R325="","",INDEX(입력_전공의명단!$F$2:$F$401,$R325))</f>
        <v/>
      </c>
      <c r="F325" s="26">
        <f>IF($R325="","",INDEX(입력_전공의명단!$G$2:$G$401,$R325))</f>
        <v/>
      </c>
      <c r="G325" s="26">
        <f>IF($R325="","",INDEX(입력_전공의명단!$AE$2:$AE$401,$R325))</f>
        <v/>
      </c>
      <c r="H325" s="27">
        <f>IF($R325="","",IF(INDEX(입력_전공의명단!$AE$2:$AE$401,$R325)="서울병원","서울 소속","타 병원 소속("&amp;INDEX(입력_전공의명단!$AE$2:$AE$401,$R325)&amp;") → 서울 지급"))</f>
        <v/>
      </c>
      <c r="I325" s="26">
        <f>IF($R325="","",INDEX(입력_전공의명단!$N$2:$N$401,$R325))</f>
        <v/>
      </c>
      <c r="J325" s="26">
        <f>IF($R325="","",INDEX(입력_전공의명단!$P$2:$P$401,$R325))</f>
        <v/>
      </c>
      <c r="K325" s="26">
        <f>IF($R325="","",INDEX(입력_전공의명단!$Q$2:$Q$401,$R325))</f>
        <v/>
      </c>
      <c r="L325" s="28">
        <f>IF($R325="","",INDEX(입력_전공의명단!$S$2:$S$401,$R325))</f>
        <v/>
      </c>
      <c r="M325" s="28">
        <f>IF($R325="","",INDEX(입력_전공의명단!$T$2:$T$401,$R325))</f>
        <v/>
      </c>
      <c r="N325" s="26">
        <f>IF($R325="","",INDEX(입력_전공의명단!$AH$2:$AH$401,$R325))</f>
        <v/>
      </c>
      <c r="O325" s="26">
        <f>IF($R325="","",INDEX(입력_전공의명단!$AI$2:$AI$401,$R325))</f>
        <v/>
      </c>
      <c r="P325" s="27">
        <f>IF($R325="","",INDEX(입력_전공의명단!$AO$2:$AO$401,$R325))</f>
        <v/>
      </c>
      <c r="Q325" s="27">
        <f>IF($R325="","",INDEX(입력_전공의명단!$Z$2:$Z$401,$R325))</f>
        <v/>
      </c>
      <c r="R325" s="29">
        <f>IFERROR(MATCH(ROW()-5,입력_전공의명단!$AM$2:$AM$401,0),"")</f>
        <v/>
      </c>
    </row>
    <row r="326">
      <c r="A326" s="26">
        <f>IF($R326="","",ROW()-5)</f>
        <v/>
      </c>
      <c r="B326" s="26">
        <f>IF($R326="","",INDEX(입력_전공의명단!$C$2:$C$401,$R326))</f>
        <v/>
      </c>
      <c r="C326" s="26">
        <f>IF($R326="","",INDEX(입력_전공의명단!$B$2:$B$401,$R326))</f>
        <v/>
      </c>
      <c r="D326" s="26">
        <f>IF($R326="","",INDEX(입력_전공의명단!$J$2:$J$401,$R326))</f>
        <v/>
      </c>
      <c r="E326" s="26">
        <f>IF($R326="","",INDEX(입력_전공의명단!$F$2:$F$401,$R326))</f>
        <v/>
      </c>
      <c r="F326" s="26">
        <f>IF($R326="","",INDEX(입력_전공의명단!$G$2:$G$401,$R326))</f>
        <v/>
      </c>
      <c r="G326" s="26">
        <f>IF($R326="","",INDEX(입력_전공의명단!$AE$2:$AE$401,$R326))</f>
        <v/>
      </c>
      <c r="H326" s="27">
        <f>IF($R326="","",IF(INDEX(입력_전공의명단!$AE$2:$AE$401,$R326)="서울병원","서울 소속","타 병원 소속("&amp;INDEX(입력_전공의명단!$AE$2:$AE$401,$R326)&amp;") → 서울 지급"))</f>
        <v/>
      </c>
      <c r="I326" s="26">
        <f>IF($R326="","",INDEX(입력_전공의명단!$N$2:$N$401,$R326))</f>
        <v/>
      </c>
      <c r="J326" s="26">
        <f>IF($R326="","",INDEX(입력_전공의명단!$P$2:$P$401,$R326))</f>
        <v/>
      </c>
      <c r="K326" s="26">
        <f>IF($R326="","",INDEX(입력_전공의명단!$Q$2:$Q$401,$R326))</f>
        <v/>
      </c>
      <c r="L326" s="28">
        <f>IF($R326="","",INDEX(입력_전공의명단!$S$2:$S$401,$R326))</f>
        <v/>
      </c>
      <c r="M326" s="28">
        <f>IF($R326="","",INDEX(입력_전공의명단!$T$2:$T$401,$R326))</f>
        <v/>
      </c>
      <c r="N326" s="26">
        <f>IF($R326="","",INDEX(입력_전공의명단!$AH$2:$AH$401,$R326))</f>
        <v/>
      </c>
      <c r="O326" s="26">
        <f>IF($R326="","",INDEX(입력_전공의명단!$AI$2:$AI$401,$R326))</f>
        <v/>
      </c>
      <c r="P326" s="27">
        <f>IF($R326="","",INDEX(입력_전공의명단!$AO$2:$AO$401,$R326))</f>
        <v/>
      </c>
      <c r="Q326" s="27">
        <f>IF($R326="","",INDEX(입력_전공의명단!$Z$2:$Z$401,$R326))</f>
        <v/>
      </c>
      <c r="R326" s="29">
        <f>IFERROR(MATCH(ROW()-5,입력_전공의명단!$AM$2:$AM$401,0),"")</f>
        <v/>
      </c>
    </row>
    <row r="327">
      <c r="A327" s="26">
        <f>IF($R327="","",ROW()-5)</f>
        <v/>
      </c>
      <c r="B327" s="26">
        <f>IF($R327="","",INDEX(입력_전공의명단!$C$2:$C$401,$R327))</f>
        <v/>
      </c>
      <c r="C327" s="26">
        <f>IF($R327="","",INDEX(입력_전공의명단!$B$2:$B$401,$R327))</f>
        <v/>
      </c>
      <c r="D327" s="26">
        <f>IF($R327="","",INDEX(입력_전공의명단!$J$2:$J$401,$R327))</f>
        <v/>
      </c>
      <c r="E327" s="26">
        <f>IF($R327="","",INDEX(입력_전공의명단!$F$2:$F$401,$R327))</f>
        <v/>
      </c>
      <c r="F327" s="26">
        <f>IF($R327="","",INDEX(입력_전공의명단!$G$2:$G$401,$R327))</f>
        <v/>
      </c>
      <c r="G327" s="26">
        <f>IF($R327="","",INDEX(입력_전공의명단!$AE$2:$AE$401,$R327))</f>
        <v/>
      </c>
      <c r="H327" s="27">
        <f>IF($R327="","",IF(INDEX(입력_전공의명단!$AE$2:$AE$401,$R327)="서울병원","서울 소속","타 병원 소속("&amp;INDEX(입력_전공의명단!$AE$2:$AE$401,$R327)&amp;") → 서울 지급"))</f>
        <v/>
      </c>
      <c r="I327" s="26">
        <f>IF($R327="","",INDEX(입력_전공의명단!$N$2:$N$401,$R327))</f>
        <v/>
      </c>
      <c r="J327" s="26">
        <f>IF($R327="","",INDEX(입력_전공의명단!$P$2:$P$401,$R327))</f>
        <v/>
      </c>
      <c r="K327" s="26">
        <f>IF($R327="","",INDEX(입력_전공의명단!$Q$2:$Q$401,$R327))</f>
        <v/>
      </c>
      <c r="L327" s="28">
        <f>IF($R327="","",INDEX(입력_전공의명단!$S$2:$S$401,$R327))</f>
        <v/>
      </c>
      <c r="M327" s="28">
        <f>IF($R327="","",INDEX(입력_전공의명단!$T$2:$T$401,$R327))</f>
        <v/>
      </c>
      <c r="N327" s="26">
        <f>IF($R327="","",INDEX(입력_전공의명단!$AH$2:$AH$401,$R327))</f>
        <v/>
      </c>
      <c r="O327" s="26">
        <f>IF($R327="","",INDEX(입력_전공의명단!$AI$2:$AI$401,$R327))</f>
        <v/>
      </c>
      <c r="P327" s="27">
        <f>IF($R327="","",INDEX(입력_전공의명단!$AO$2:$AO$401,$R327))</f>
        <v/>
      </c>
      <c r="Q327" s="27">
        <f>IF($R327="","",INDEX(입력_전공의명단!$Z$2:$Z$401,$R327))</f>
        <v/>
      </c>
      <c r="R327" s="29">
        <f>IFERROR(MATCH(ROW()-5,입력_전공의명단!$AM$2:$AM$401,0),"")</f>
        <v/>
      </c>
    </row>
    <row r="328">
      <c r="A328" s="26">
        <f>IF($R328="","",ROW()-5)</f>
        <v/>
      </c>
      <c r="B328" s="26">
        <f>IF($R328="","",INDEX(입력_전공의명단!$C$2:$C$401,$R328))</f>
        <v/>
      </c>
      <c r="C328" s="26">
        <f>IF($R328="","",INDEX(입력_전공의명단!$B$2:$B$401,$R328))</f>
        <v/>
      </c>
      <c r="D328" s="26">
        <f>IF($R328="","",INDEX(입력_전공의명단!$J$2:$J$401,$R328))</f>
        <v/>
      </c>
      <c r="E328" s="26">
        <f>IF($R328="","",INDEX(입력_전공의명단!$F$2:$F$401,$R328))</f>
        <v/>
      </c>
      <c r="F328" s="26">
        <f>IF($R328="","",INDEX(입력_전공의명단!$G$2:$G$401,$R328))</f>
        <v/>
      </c>
      <c r="G328" s="26">
        <f>IF($R328="","",INDEX(입력_전공의명단!$AE$2:$AE$401,$R328))</f>
        <v/>
      </c>
      <c r="H328" s="27">
        <f>IF($R328="","",IF(INDEX(입력_전공의명단!$AE$2:$AE$401,$R328)="서울병원","서울 소속","타 병원 소속("&amp;INDEX(입력_전공의명단!$AE$2:$AE$401,$R328)&amp;") → 서울 지급"))</f>
        <v/>
      </c>
      <c r="I328" s="26">
        <f>IF($R328="","",INDEX(입력_전공의명단!$N$2:$N$401,$R328))</f>
        <v/>
      </c>
      <c r="J328" s="26">
        <f>IF($R328="","",INDEX(입력_전공의명단!$P$2:$P$401,$R328))</f>
        <v/>
      </c>
      <c r="K328" s="26">
        <f>IF($R328="","",INDEX(입력_전공의명단!$Q$2:$Q$401,$R328))</f>
        <v/>
      </c>
      <c r="L328" s="28">
        <f>IF($R328="","",INDEX(입력_전공의명단!$S$2:$S$401,$R328))</f>
        <v/>
      </c>
      <c r="M328" s="28">
        <f>IF($R328="","",INDEX(입력_전공의명단!$T$2:$T$401,$R328))</f>
        <v/>
      </c>
      <c r="N328" s="26">
        <f>IF($R328="","",INDEX(입력_전공의명단!$AH$2:$AH$401,$R328))</f>
        <v/>
      </c>
      <c r="O328" s="26">
        <f>IF($R328="","",INDEX(입력_전공의명단!$AI$2:$AI$401,$R328))</f>
        <v/>
      </c>
      <c r="P328" s="27">
        <f>IF($R328="","",INDEX(입력_전공의명단!$AO$2:$AO$401,$R328))</f>
        <v/>
      </c>
      <c r="Q328" s="27">
        <f>IF($R328="","",INDEX(입력_전공의명단!$Z$2:$Z$401,$R328))</f>
        <v/>
      </c>
      <c r="R328" s="29">
        <f>IFERROR(MATCH(ROW()-5,입력_전공의명단!$AM$2:$AM$401,0),"")</f>
        <v/>
      </c>
    </row>
    <row r="329">
      <c r="A329" s="26">
        <f>IF($R329="","",ROW()-5)</f>
        <v/>
      </c>
      <c r="B329" s="26">
        <f>IF($R329="","",INDEX(입력_전공의명단!$C$2:$C$401,$R329))</f>
        <v/>
      </c>
      <c r="C329" s="26">
        <f>IF($R329="","",INDEX(입력_전공의명단!$B$2:$B$401,$R329))</f>
        <v/>
      </c>
      <c r="D329" s="26">
        <f>IF($R329="","",INDEX(입력_전공의명단!$J$2:$J$401,$R329))</f>
        <v/>
      </c>
      <c r="E329" s="26">
        <f>IF($R329="","",INDEX(입력_전공의명단!$F$2:$F$401,$R329))</f>
        <v/>
      </c>
      <c r="F329" s="26">
        <f>IF($R329="","",INDEX(입력_전공의명단!$G$2:$G$401,$R329))</f>
        <v/>
      </c>
      <c r="G329" s="26">
        <f>IF($R329="","",INDEX(입력_전공의명단!$AE$2:$AE$401,$R329))</f>
        <v/>
      </c>
      <c r="H329" s="27">
        <f>IF($R329="","",IF(INDEX(입력_전공의명단!$AE$2:$AE$401,$R329)="서울병원","서울 소속","타 병원 소속("&amp;INDEX(입력_전공의명단!$AE$2:$AE$401,$R329)&amp;") → 서울 지급"))</f>
        <v/>
      </c>
      <c r="I329" s="26">
        <f>IF($R329="","",INDEX(입력_전공의명단!$N$2:$N$401,$R329))</f>
        <v/>
      </c>
      <c r="J329" s="26">
        <f>IF($R329="","",INDEX(입력_전공의명단!$P$2:$P$401,$R329))</f>
        <v/>
      </c>
      <c r="K329" s="26">
        <f>IF($R329="","",INDEX(입력_전공의명단!$Q$2:$Q$401,$R329))</f>
        <v/>
      </c>
      <c r="L329" s="28">
        <f>IF($R329="","",INDEX(입력_전공의명단!$S$2:$S$401,$R329))</f>
        <v/>
      </c>
      <c r="M329" s="28">
        <f>IF($R329="","",INDEX(입력_전공의명단!$T$2:$T$401,$R329))</f>
        <v/>
      </c>
      <c r="N329" s="26">
        <f>IF($R329="","",INDEX(입력_전공의명단!$AH$2:$AH$401,$R329))</f>
        <v/>
      </c>
      <c r="O329" s="26">
        <f>IF($R329="","",INDEX(입력_전공의명단!$AI$2:$AI$401,$R329))</f>
        <v/>
      </c>
      <c r="P329" s="27">
        <f>IF($R329="","",INDEX(입력_전공의명단!$AO$2:$AO$401,$R329))</f>
        <v/>
      </c>
      <c r="Q329" s="27">
        <f>IF($R329="","",INDEX(입력_전공의명단!$Z$2:$Z$401,$R329))</f>
        <v/>
      </c>
      <c r="R329" s="29">
        <f>IFERROR(MATCH(ROW()-5,입력_전공의명단!$AM$2:$AM$401,0),"")</f>
        <v/>
      </c>
    </row>
    <row r="330">
      <c r="A330" s="26">
        <f>IF($R330="","",ROW()-5)</f>
        <v/>
      </c>
      <c r="B330" s="26">
        <f>IF($R330="","",INDEX(입력_전공의명단!$C$2:$C$401,$R330))</f>
        <v/>
      </c>
      <c r="C330" s="26">
        <f>IF($R330="","",INDEX(입력_전공의명단!$B$2:$B$401,$R330))</f>
        <v/>
      </c>
      <c r="D330" s="26">
        <f>IF($R330="","",INDEX(입력_전공의명단!$J$2:$J$401,$R330))</f>
        <v/>
      </c>
      <c r="E330" s="26">
        <f>IF($R330="","",INDEX(입력_전공의명단!$F$2:$F$401,$R330))</f>
        <v/>
      </c>
      <c r="F330" s="26">
        <f>IF($R330="","",INDEX(입력_전공의명단!$G$2:$G$401,$R330))</f>
        <v/>
      </c>
      <c r="G330" s="26">
        <f>IF($R330="","",INDEX(입력_전공의명단!$AE$2:$AE$401,$R330))</f>
        <v/>
      </c>
      <c r="H330" s="27">
        <f>IF($R330="","",IF(INDEX(입력_전공의명단!$AE$2:$AE$401,$R330)="서울병원","서울 소속","타 병원 소속("&amp;INDEX(입력_전공의명단!$AE$2:$AE$401,$R330)&amp;") → 서울 지급"))</f>
        <v/>
      </c>
      <c r="I330" s="26">
        <f>IF($R330="","",INDEX(입력_전공의명단!$N$2:$N$401,$R330))</f>
        <v/>
      </c>
      <c r="J330" s="26">
        <f>IF($R330="","",INDEX(입력_전공의명단!$P$2:$P$401,$R330))</f>
        <v/>
      </c>
      <c r="K330" s="26">
        <f>IF($R330="","",INDEX(입력_전공의명단!$Q$2:$Q$401,$R330))</f>
        <v/>
      </c>
      <c r="L330" s="28">
        <f>IF($R330="","",INDEX(입력_전공의명단!$S$2:$S$401,$R330))</f>
        <v/>
      </c>
      <c r="M330" s="28">
        <f>IF($R330="","",INDEX(입력_전공의명단!$T$2:$T$401,$R330))</f>
        <v/>
      </c>
      <c r="N330" s="26">
        <f>IF($R330="","",INDEX(입력_전공의명단!$AH$2:$AH$401,$R330))</f>
        <v/>
      </c>
      <c r="O330" s="26">
        <f>IF($R330="","",INDEX(입력_전공의명단!$AI$2:$AI$401,$R330))</f>
        <v/>
      </c>
      <c r="P330" s="27">
        <f>IF($R330="","",INDEX(입력_전공의명단!$AO$2:$AO$401,$R330))</f>
        <v/>
      </c>
      <c r="Q330" s="27">
        <f>IF($R330="","",INDEX(입력_전공의명단!$Z$2:$Z$401,$R330))</f>
        <v/>
      </c>
      <c r="R330" s="29">
        <f>IFERROR(MATCH(ROW()-5,입력_전공의명단!$AM$2:$AM$401,0),"")</f>
        <v/>
      </c>
    </row>
    <row r="331">
      <c r="A331" s="26">
        <f>IF($R331="","",ROW()-5)</f>
        <v/>
      </c>
      <c r="B331" s="26">
        <f>IF($R331="","",INDEX(입력_전공의명단!$C$2:$C$401,$R331))</f>
        <v/>
      </c>
      <c r="C331" s="26">
        <f>IF($R331="","",INDEX(입력_전공의명단!$B$2:$B$401,$R331))</f>
        <v/>
      </c>
      <c r="D331" s="26">
        <f>IF($R331="","",INDEX(입력_전공의명단!$J$2:$J$401,$R331))</f>
        <v/>
      </c>
      <c r="E331" s="26">
        <f>IF($R331="","",INDEX(입력_전공의명단!$F$2:$F$401,$R331))</f>
        <v/>
      </c>
      <c r="F331" s="26">
        <f>IF($R331="","",INDEX(입력_전공의명단!$G$2:$G$401,$R331))</f>
        <v/>
      </c>
      <c r="G331" s="26">
        <f>IF($R331="","",INDEX(입력_전공의명단!$AE$2:$AE$401,$R331))</f>
        <v/>
      </c>
      <c r="H331" s="27">
        <f>IF($R331="","",IF(INDEX(입력_전공의명단!$AE$2:$AE$401,$R331)="서울병원","서울 소속","타 병원 소속("&amp;INDEX(입력_전공의명단!$AE$2:$AE$401,$R331)&amp;") → 서울 지급"))</f>
        <v/>
      </c>
      <c r="I331" s="26">
        <f>IF($R331="","",INDEX(입력_전공의명단!$N$2:$N$401,$R331))</f>
        <v/>
      </c>
      <c r="J331" s="26">
        <f>IF($R331="","",INDEX(입력_전공의명단!$P$2:$P$401,$R331))</f>
        <v/>
      </c>
      <c r="K331" s="26">
        <f>IF($R331="","",INDEX(입력_전공의명단!$Q$2:$Q$401,$R331))</f>
        <v/>
      </c>
      <c r="L331" s="28">
        <f>IF($R331="","",INDEX(입력_전공의명단!$S$2:$S$401,$R331))</f>
        <v/>
      </c>
      <c r="M331" s="28">
        <f>IF($R331="","",INDEX(입력_전공의명단!$T$2:$T$401,$R331))</f>
        <v/>
      </c>
      <c r="N331" s="26">
        <f>IF($R331="","",INDEX(입력_전공의명단!$AH$2:$AH$401,$R331))</f>
        <v/>
      </c>
      <c r="O331" s="26">
        <f>IF($R331="","",INDEX(입력_전공의명단!$AI$2:$AI$401,$R331))</f>
        <v/>
      </c>
      <c r="P331" s="27">
        <f>IF($R331="","",INDEX(입력_전공의명단!$AO$2:$AO$401,$R331))</f>
        <v/>
      </c>
      <c r="Q331" s="27">
        <f>IF($R331="","",INDEX(입력_전공의명단!$Z$2:$Z$401,$R331))</f>
        <v/>
      </c>
      <c r="R331" s="29">
        <f>IFERROR(MATCH(ROW()-5,입력_전공의명단!$AM$2:$AM$401,0),"")</f>
        <v/>
      </c>
    </row>
    <row r="332">
      <c r="A332" s="26">
        <f>IF($R332="","",ROW()-5)</f>
        <v/>
      </c>
      <c r="B332" s="26">
        <f>IF($R332="","",INDEX(입력_전공의명단!$C$2:$C$401,$R332))</f>
        <v/>
      </c>
      <c r="C332" s="26">
        <f>IF($R332="","",INDEX(입력_전공의명단!$B$2:$B$401,$R332))</f>
        <v/>
      </c>
      <c r="D332" s="26">
        <f>IF($R332="","",INDEX(입력_전공의명단!$J$2:$J$401,$R332))</f>
        <v/>
      </c>
      <c r="E332" s="26">
        <f>IF($R332="","",INDEX(입력_전공의명단!$F$2:$F$401,$R332))</f>
        <v/>
      </c>
      <c r="F332" s="26">
        <f>IF($R332="","",INDEX(입력_전공의명단!$G$2:$G$401,$R332))</f>
        <v/>
      </c>
      <c r="G332" s="26">
        <f>IF($R332="","",INDEX(입력_전공의명단!$AE$2:$AE$401,$R332))</f>
        <v/>
      </c>
      <c r="H332" s="27">
        <f>IF($R332="","",IF(INDEX(입력_전공의명단!$AE$2:$AE$401,$R332)="서울병원","서울 소속","타 병원 소속("&amp;INDEX(입력_전공의명단!$AE$2:$AE$401,$R332)&amp;") → 서울 지급"))</f>
        <v/>
      </c>
      <c r="I332" s="26">
        <f>IF($R332="","",INDEX(입력_전공의명단!$N$2:$N$401,$R332))</f>
        <v/>
      </c>
      <c r="J332" s="26">
        <f>IF($R332="","",INDEX(입력_전공의명단!$P$2:$P$401,$R332))</f>
        <v/>
      </c>
      <c r="K332" s="26">
        <f>IF($R332="","",INDEX(입력_전공의명단!$Q$2:$Q$401,$R332))</f>
        <v/>
      </c>
      <c r="L332" s="28">
        <f>IF($R332="","",INDEX(입력_전공의명단!$S$2:$S$401,$R332))</f>
        <v/>
      </c>
      <c r="M332" s="28">
        <f>IF($R332="","",INDEX(입력_전공의명단!$T$2:$T$401,$R332))</f>
        <v/>
      </c>
      <c r="N332" s="26">
        <f>IF($R332="","",INDEX(입력_전공의명단!$AH$2:$AH$401,$R332))</f>
        <v/>
      </c>
      <c r="O332" s="26">
        <f>IF($R332="","",INDEX(입력_전공의명단!$AI$2:$AI$401,$R332))</f>
        <v/>
      </c>
      <c r="P332" s="27">
        <f>IF($R332="","",INDEX(입력_전공의명단!$AO$2:$AO$401,$R332))</f>
        <v/>
      </c>
      <c r="Q332" s="27">
        <f>IF($R332="","",INDEX(입력_전공의명단!$Z$2:$Z$401,$R332))</f>
        <v/>
      </c>
      <c r="R332" s="29">
        <f>IFERROR(MATCH(ROW()-5,입력_전공의명단!$AM$2:$AM$401,0),"")</f>
        <v/>
      </c>
    </row>
    <row r="333">
      <c r="A333" s="26">
        <f>IF($R333="","",ROW()-5)</f>
        <v/>
      </c>
      <c r="B333" s="26">
        <f>IF($R333="","",INDEX(입력_전공의명단!$C$2:$C$401,$R333))</f>
        <v/>
      </c>
      <c r="C333" s="26">
        <f>IF($R333="","",INDEX(입력_전공의명단!$B$2:$B$401,$R333))</f>
        <v/>
      </c>
      <c r="D333" s="26">
        <f>IF($R333="","",INDEX(입력_전공의명단!$J$2:$J$401,$R333))</f>
        <v/>
      </c>
      <c r="E333" s="26">
        <f>IF($R333="","",INDEX(입력_전공의명단!$F$2:$F$401,$R333))</f>
        <v/>
      </c>
      <c r="F333" s="26">
        <f>IF($R333="","",INDEX(입력_전공의명단!$G$2:$G$401,$R333))</f>
        <v/>
      </c>
      <c r="G333" s="26">
        <f>IF($R333="","",INDEX(입력_전공의명단!$AE$2:$AE$401,$R333))</f>
        <v/>
      </c>
      <c r="H333" s="27">
        <f>IF($R333="","",IF(INDEX(입력_전공의명단!$AE$2:$AE$401,$R333)="서울병원","서울 소속","타 병원 소속("&amp;INDEX(입력_전공의명단!$AE$2:$AE$401,$R333)&amp;") → 서울 지급"))</f>
        <v/>
      </c>
      <c r="I333" s="26">
        <f>IF($R333="","",INDEX(입력_전공의명단!$N$2:$N$401,$R333))</f>
        <v/>
      </c>
      <c r="J333" s="26">
        <f>IF($R333="","",INDEX(입력_전공의명단!$P$2:$P$401,$R333))</f>
        <v/>
      </c>
      <c r="K333" s="26">
        <f>IF($R333="","",INDEX(입력_전공의명단!$Q$2:$Q$401,$R333))</f>
        <v/>
      </c>
      <c r="L333" s="28">
        <f>IF($R333="","",INDEX(입력_전공의명단!$S$2:$S$401,$R333))</f>
        <v/>
      </c>
      <c r="M333" s="28">
        <f>IF($R333="","",INDEX(입력_전공의명단!$T$2:$T$401,$R333))</f>
        <v/>
      </c>
      <c r="N333" s="26">
        <f>IF($R333="","",INDEX(입력_전공의명단!$AH$2:$AH$401,$R333))</f>
        <v/>
      </c>
      <c r="O333" s="26">
        <f>IF($R333="","",INDEX(입력_전공의명단!$AI$2:$AI$401,$R333))</f>
        <v/>
      </c>
      <c r="P333" s="27">
        <f>IF($R333="","",INDEX(입력_전공의명단!$AO$2:$AO$401,$R333))</f>
        <v/>
      </c>
      <c r="Q333" s="27">
        <f>IF($R333="","",INDEX(입력_전공의명단!$Z$2:$Z$401,$R333))</f>
        <v/>
      </c>
      <c r="R333" s="29">
        <f>IFERROR(MATCH(ROW()-5,입력_전공의명단!$AM$2:$AM$401,0),"")</f>
        <v/>
      </c>
    </row>
    <row r="334">
      <c r="A334" s="26">
        <f>IF($R334="","",ROW()-5)</f>
        <v/>
      </c>
      <c r="B334" s="26">
        <f>IF($R334="","",INDEX(입력_전공의명단!$C$2:$C$401,$R334))</f>
        <v/>
      </c>
      <c r="C334" s="26">
        <f>IF($R334="","",INDEX(입력_전공의명단!$B$2:$B$401,$R334))</f>
        <v/>
      </c>
      <c r="D334" s="26">
        <f>IF($R334="","",INDEX(입력_전공의명단!$J$2:$J$401,$R334))</f>
        <v/>
      </c>
      <c r="E334" s="26">
        <f>IF($R334="","",INDEX(입력_전공의명단!$F$2:$F$401,$R334))</f>
        <v/>
      </c>
      <c r="F334" s="26">
        <f>IF($R334="","",INDEX(입력_전공의명단!$G$2:$G$401,$R334))</f>
        <v/>
      </c>
      <c r="G334" s="26">
        <f>IF($R334="","",INDEX(입력_전공의명단!$AE$2:$AE$401,$R334))</f>
        <v/>
      </c>
      <c r="H334" s="27">
        <f>IF($R334="","",IF(INDEX(입력_전공의명단!$AE$2:$AE$401,$R334)="서울병원","서울 소속","타 병원 소속("&amp;INDEX(입력_전공의명단!$AE$2:$AE$401,$R334)&amp;") → 서울 지급"))</f>
        <v/>
      </c>
      <c r="I334" s="26">
        <f>IF($R334="","",INDEX(입력_전공의명단!$N$2:$N$401,$R334))</f>
        <v/>
      </c>
      <c r="J334" s="26">
        <f>IF($R334="","",INDEX(입력_전공의명단!$P$2:$P$401,$R334))</f>
        <v/>
      </c>
      <c r="K334" s="26">
        <f>IF($R334="","",INDEX(입력_전공의명단!$Q$2:$Q$401,$R334))</f>
        <v/>
      </c>
      <c r="L334" s="28">
        <f>IF($R334="","",INDEX(입력_전공의명단!$S$2:$S$401,$R334))</f>
        <v/>
      </c>
      <c r="M334" s="28">
        <f>IF($R334="","",INDEX(입력_전공의명단!$T$2:$T$401,$R334))</f>
        <v/>
      </c>
      <c r="N334" s="26">
        <f>IF($R334="","",INDEX(입력_전공의명단!$AH$2:$AH$401,$R334))</f>
        <v/>
      </c>
      <c r="O334" s="26">
        <f>IF($R334="","",INDEX(입력_전공의명단!$AI$2:$AI$401,$R334))</f>
        <v/>
      </c>
      <c r="P334" s="27">
        <f>IF($R334="","",INDEX(입력_전공의명단!$AO$2:$AO$401,$R334))</f>
        <v/>
      </c>
      <c r="Q334" s="27">
        <f>IF($R334="","",INDEX(입력_전공의명단!$Z$2:$Z$401,$R334))</f>
        <v/>
      </c>
      <c r="R334" s="29">
        <f>IFERROR(MATCH(ROW()-5,입력_전공의명단!$AM$2:$AM$401,0),"")</f>
        <v/>
      </c>
    </row>
    <row r="335">
      <c r="A335" s="26">
        <f>IF($R335="","",ROW()-5)</f>
        <v/>
      </c>
      <c r="B335" s="26">
        <f>IF($R335="","",INDEX(입력_전공의명단!$C$2:$C$401,$R335))</f>
        <v/>
      </c>
      <c r="C335" s="26">
        <f>IF($R335="","",INDEX(입력_전공의명단!$B$2:$B$401,$R335))</f>
        <v/>
      </c>
      <c r="D335" s="26">
        <f>IF($R335="","",INDEX(입력_전공의명단!$J$2:$J$401,$R335))</f>
        <v/>
      </c>
      <c r="E335" s="26">
        <f>IF($R335="","",INDEX(입력_전공의명단!$F$2:$F$401,$R335))</f>
        <v/>
      </c>
      <c r="F335" s="26">
        <f>IF($R335="","",INDEX(입력_전공의명단!$G$2:$G$401,$R335))</f>
        <v/>
      </c>
      <c r="G335" s="26">
        <f>IF($R335="","",INDEX(입력_전공의명단!$AE$2:$AE$401,$R335))</f>
        <v/>
      </c>
      <c r="H335" s="27">
        <f>IF($R335="","",IF(INDEX(입력_전공의명단!$AE$2:$AE$401,$R335)="서울병원","서울 소속","타 병원 소속("&amp;INDEX(입력_전공의명단!$AE$2:$AE$401,$R335)&amp;") → 서울 지급"))</f>
        <v/>
      </c>
      <c r="I335" s="26">
        <f>IF($R335="","",INDEX(입력_전공의명단!$N$2:$N$401,$R335))</f>
        <v/>
      </c>
      <c r="J335" s="26">
        <f>IF($R335="","",INDEX(입력_전공의명단!$P$2:$P$401,$R335))</f>
        <v/>
      </c>
      <c r="K335" s="26">
        <f>IF($R335="","",INDEX(입력_전공의명단!$Q$2:$Q$401,$R335))</f>
        <v/>
      </c>
      <c r="L335" s="28">
        <f>IF($R335="","",INDEX(입력_전공의명단!$S$2:$S$401,$R335))</f>
        <v/>
      </c>
      <c r="M335" s="28">
        <f>IF($R335="","",INDEX(입력_전공의명단!$T$2:$T$401,$R335))</f>
        <v/>
      </c>
      <c r="N335" s="26">
        <f>IF($R335="","",INDEX(입력_전공의명단!$AH$2:$AH$401,$R335))</f>
        <v/>
      </c>
      <c r="O335" s="26">
        <f>IF($R335="","",INDEX(입력_전공의명단!$AI$2:$AI$401,$R335))</f>
        <v/>
      </c>
      <c r="P335" s="27">
        <f>IF($R335="","",INDEX(입력_전공의명단!$AO$2:$AO$401,$R335))</f>
        <v/>
      </c>
      <c r="Q335" s="27">
        <f>IF($R335="","",INDEX(입력_전공의명단!$Z$2:$Z$401,$R335))</f>
        <v/>
      </c>
      <c r="R335" s="29">
        <f>IFERROR(MATCH(ROW()-5,입력_전공의명단!$AM$2:$AM$401,0),"")</f>
        <v/>
      </c>
    </row>
    <row r="336">
      <c r="A336" s="26">
        <f>IF($R336="","",ROW()-5)</f>
        <v/>
      </c>
      <c r="B336" s="26">
        <f>IF($R336="","",INDEX(입력_전공의명단!$C$2:$C$401,$R336))</f>
        <v/>
      </c>
      <c r="C336" s="26">
        <f>IF($R336="","",INDEX(입력_전공의명단!$B$2:$B$401,$R336))</f>
        <v/>
      </c>
      <c r="D336" s="26">
        <f>IF($R336="","",INDEX(입력_전공의명단!$J$2:$J$401,$R336))</f>
        <v/>
      </c>
      <c r="E336" s="26">
        <f>IF($R336="","",INDEX(입력_전공의명단!$F$2:$F$401,$R336))</f>
        <v/>
      </c>
      <c r="F336" s="26">
        <f>IF($R336="","",INDEX(입력_전공의명단!$G$2:$G$401,$R336))</f>
        <v/>
      </c>
      <c r="G336" s="26">
        <f>IF($R336="","",INDEX(입력_전공의명단!$AE$2:$AE$401,$R336))</f>
        <v/>
      </c>
      <c r="H336" s="27">
        <f>IF($R336="","",IF(INDEX(입력_전공의명단!$AE$2:$AE$401,$R336)="서울병원","서울 소속","타 병원 소속("&amp;INDEX(입력_전공의명단!$AE$2:$AE$401,$R336)&amp;") → 서울 지급"))</f>
        <v/>
      </c>
      <c r="I336" s="26">
        <f>IF($R336="","",INDEX(입력_전공의명단!$N$2:$N$401,$R336))</f>
        <v/>
      </c>
      <c r="J336" s="26">
        <f>IF($R336="","",INDEX(입력_전공의명단!$P$2:$P$401,$R336))</f>
        <v/>
      </c>
      <c r="K336" s="26">
        <f>IF($R336="","",INDEX(입력_전공의명단!$Q$2:$Q$401,$R336))</f>
        <v/>
      </c>
      <c r="L336" s="28">
        <f>IF($R336="","",INDEX(입력_전공의명단!$S$2:$S$401,$R336))</f>
        <v/>
      </c>
      <c r="M336" s="28">
        <f>IF($R336="","",INDEX(입력_전공의명단!$T$2:$T$401,$R336))</f>
        <v/>
      </c>
      <c r="N336" s="26">
        <f>IF($R336="","",INDEX(입력_전공의명단!$AH$2:$AH$401,$R336))</f>
        <v/>
      </c>
      <c r="O336" s="26">
        <f>IF($R336="","",INDEX(입력_전공의명단!$AI$2:$AI$401,$R336))</f>
        <v/>
      </c>
      <c r="P336" s="27">
        <f>IF($R336="","",INDEX(입력_전공의명단!$AO$2:$AO$401,$R336))</f>
        <v/>
      </c>
      <c r="Q336" s="27">
        <f>IF($R336="","",INDEX(입력_전공의명단!$Z$2:$Z$401,$R336))</f>
        <v/>
      </c>
      <c r="R336" s="29">
        <f>IFERROR(MATCH(ROW()-5,입력_전공의명단!$AM$2:$AM$401,0),"")</f>
        <v/>
      </c>
    </row>
    <row r="337">
      <c r="A337" s="26">
        <f>IF($R337="","",ROW()-5)</f>
        <v/>
      </c>
      <c r="B337" s="26">
        <f>IF($R337="","",INDEX(입력_전공의명단!$C$2:$C$401,$R337))</f>
        <v/>
      </c>
      <c r="C337" s="26">
        <f>IF($R337="","",INDEX(입력_전공의명단!$B$2:$B$401,$R337))</f>
        <v/>
      </c>
      <c r="D337" s="26">
        <f>IF($R337="","",INDEX(입력_전공의명단!$J$2:$J$401,$R337))</f>
        <v/>
      </c>
      <c r="E337" s="26">
        <f>IF($R337="","",INDEX(입력_전공의명단!$F$2:$F$401,$R337))</f>
        <v/>
      </c>
      <c r="F337" s="26">
        <f>IF($R337="","",INDEX(입력_전공의명단!$G$2:$G$401,$R337))</f>
        <v/>
      </c>
      <c r="G337" s="26">
        <f>IF($R337="","",INDEX(입력_전공의명단!$AE$2:$AE$401,$R337))</f>
        <v/>
      </c>
      <c r="H337" s="27">
        <f>IF($R337="","",IF(INDEX(입력_전공의명단!$AE$2:$AE$401,$R337)="서울병원","서울 소속","타 병원 소속("&amp;INDEX(입력_전공의명단!$AE$2:$AE$401,$R337)&amp;") → 서울 지급"))</f>
        <v/>
      </c>
      <c r="I337" s="26">
        <f>IF($R337="","",INDEX(입력_전공의명단!$N$2:$N$401,$R337))</f>
        <v/>
      </c>
      <c r="J337" s="26">
        <f>IF($R337="","",INDEX(입력_전공의명단!$P$2:$P$401,$R337))</f>
        <v/>
      </c>
      <c r="K337" s="26">
        <f>IF($R337="","",INDEX(입력_전공의명단!$Q$2:$Q$401,$R337))</f>
        <v/>
      </c>
      <c r="L337" s="28">
        <f>IF($R337="","",INDEX(입력_전공의명단!$S$2:$S$401,$R337))</f>
        <v/>
      </c>
      <c r="M337" s="28">
        <f>IF($R337="","",INDEX(입력_전공의명단!$T$2:$T$401,$R337))</f>
        <v/>
      </c>
      <c r="N337" s="26">
        <f>IF($R337="","",INDEX(입력_전공의명단!$AH$2:$AH$401,$R337))</f>
        <v/>
      </c>
      <c r="O337" s="26">
        <f>IF($R337="","",INDEX(입력_전공의명단!$AI$2:$AI$401,$R337))</f>
        <v/>
      </c>
      <c r="P337" s="27">
        <f>IF($R337="","",INDEX(입력_전공의명단!$AO$2:$AO$401,$R337))</f>
        <v/>
      </c>
      <c r="Q337" s="27">
        <f>IF($R337="","",INDEX(입력_전공의명단!$Z$2:$Z$401,$R337))</f>
        <v/>
      </c>
      <c r="R337" s="29">
        <f>IFERROR(MATCH(ROW()-5,입력_전공의명단!$AM$2:$AM$401,0),"")</f>
        <v/>
      </c>
    </row>
    <row r="338">
      <c r="A338" s="26">
        <f>IF($R338="","",ROW()-5)</f>
        <v/>
      </c>
      <c r="B338" s="26">
        <f>IF($R338="","",INDEX(입력_전공의명단!$C$2:$C$401,$R338))</f>
        <v/>
      </c>
      <c r="C338" s="26">
        <f>IF($R338="","",INDEX(입력_전공의명단!$B$2:$B$401,$R338))</f>
        <v/>
      </c>
      <c r="D338" s="26">
        <f>IF($R338="","",INDEX(입력_전공의명단!$J$2:$J$401,$R338))</f>
        <v/>
      </c>
      <c r="E338" s="26">
        <f>IF($R338="","",INDEX(입력_전공의명단!$F$2:$F$401,$R338))</f>
        <v/>
      </c>
      <c r="F338" s="26">
        <f>IF($R338="","",INDEX(입력_전공의명단!$G$2:$G$401,$R338))</f>
        <v/>
      </c>
      <c r="G338" s="26">
        <f>IF($R338="","",INDEX(입력_전공의명단!$AE$2:$AE$401,$R338))</f>
        <v/>
      </c>
      <c r="H338" s="27">
        <f>IF($R338="","",IF(INDEX(입력_전공의명단!$AE$2:$AE$401,$R338)="서울병원","서울 소속","타 병원 소속("&amp;INDEX(입력_전공의명단!$AE$2:$AE$401,$R338)&amp;") → 서울 지급"))</f>
        <v/>
      </c>
      <c r="I338" s="26">
        <f>IF($R338="","",INDEX(입력_전공의명단!$N$2:$N$401,$R338))</f>
        <v/>
      </c>
      <c r="J338" s="26">
        <f>IF($R338="","",INDEX(입력_전공의명단!$P$2:$P$401,$R338))</f>
        <v/>
      </c>
      <c r="K338" s="26">
        <f>IF($R338="","",INDEX(입력_전공의명단!$Q$2:$Q$401,$R338))</f>
        <v/>
      </c>
      <c r="L338" s="28">
        <f>IF($R338="","",INDEX(입력_전공의명단!$S$2:$S$401,$R338))</f>
        <v/>
      </c>
      <c r="M338" s="28">
        <f>IF($R338="","",INDEX(입력_전공의명단!$T$2:$T$401,$R338))</f>
        <v/>
      </c>
      <c r="N338" s="26">
        <f>IF($R338="","",INDEX(입력_전공의명단!$AH$2:$AH$401,$R338))</f>
        <v/>
      </c>
      <c r="O338" s="26">
        <f>IF($R338="","",INDEX(입력_전공의명단!$AI$2:$AI$401,$R338))</f>
        <v/>
      </c>
      <c r="P338" s="27">
        <f>IF($R338="","",INDEX(입력_전공의명단!$AO$2:$AO$401,$R338))</f>
        <v/>
      </c>
      <c r="Q338" s="27">
        <f>IF($R338="","",INDEX(입력_전공의명단!$Z$2:$Z$401,$R338))</f>
        <v/>
      </c>
      <c r="R338" s="29">
        <f>IFERROR(MATCH(ROW()-5,입력_전공의명단!$AM$2:$AM$401,0),"")</f>
        <v/>
      </c>
    </row>
    <row r="339">
      <c r="A339" s="26">
        <f>IF($R339="","",ROW()-5)</f>
        <v/>
      </c>
      <c r="B339" s="26">
        <f>IF($R339="","",INDEX(입력_전공의명단!$C$2:$C$401,$R339))</f>
        <v/>
      </c>
      <c r="C339" s="26">
        <f>IF($R339="","",INDEX(입력_전공의명단!$B$2:$B$401,$R339))</f>
        <v/>
      </c>
      <c r="D339" s="26">
        <f>IF($R339="","",INDEX(입력_전공의명단!$J$2:$J$401,$R339))</f>
        <v/>
      </c>
      <c r="E339" s="26">
        <f>IF($R339="","",INDEX(입력_전공의명단!$F$2:$F$401,$R339))</f>
        <v/>
      </c>
      <c r="F339" s="26">
        <f>IF($R339="","",INDEX(입력_전공의명단!$G$2:$G$401,$R339))</f>
        <v/>
      </c>
      <c r="G339" s="26">
        <f>IF($R339="","",INDEX(입력_전공의명단!$AE$2:$AE$401,$R339))</f>
        <v/>
      </c>
      <c r="H339" s="27">
        <f>IF($R339="","",IF(INDEX(입력_전공의명단!$AE$2:$AE$401,$R339)="서울병원","서울 소속","타 병원 소속("&amp;INDEX(입력_전공의명단!$AE$2:$AE$401,$R339)&amp;") → 서울 지급"))</f>
        <v/>
      </c>
      <c r="I339" s="26">
        <f>IF($R339="","",INDEX(입력_전공의명단!$N$2:$N$401,$R339))</f>
        <v/>
      </c>
      <c r="J339" s="26">
        <f>IF($R339="","",INDEX(입력_전공의명단!$P$2:$P$401,$R339))</f>
        <v/>
      </c>
      <c r="K339" s="26">
        <f>IF($R339="","",INDEX(입력_전공의명단!$Q$2:$Q$401,$R339))</f>
        <v/>
      </c>
      <c r="L339" s="28">
        <f>IF($R339="","",INDEX(입력_전공의명단!$S$2:$S$401,$R339))</f>
        <v/>
      </c>
      <c r="M339" s="28">
        <f>IF($R339="","",INDEX(입력_전공의명단!$T$2:$T$401,$R339))</f>
        <v/>
      </c>
      <c r="N339" s="26">
        <f>IF($R339="","",INDEX(입력_전공의명단!$AH$2:$AH$401,$R339))</f>
        <v/>
      </c>
      <c r="O339" s="26">
        <f>IF($R339="","",INDEX(입력_전공의명단!$AI$2:$AI$401,$R339))</f>
        <v/>
      </c>
      <c r="P339" s="27">
        <f>IF($R339="","",INDEX(입력_전공의명단!$AO$2:$AO$401,$R339))</f>
        <v/>
      </c>
      <c r="Q339" s="27">
        <f>IF($R339="","",INDEX(입력_전공의명단!$Z$2:$Z$401,$R339))</f>
        <v/>
      </c>
      <c r="R339" s="29">
        <f>IFERROR(MATCH(ROW()-5,입력_전공의명단!$AM$2:$AM$401,0),"")</f>
        <v/>
      </c>
    </row>
    <row r="340">
      <c r="A340" s="26">
        <f>IF($R340="","",ROW()-5)</f>
        <v/>
      </c>
      <c r="B340" s="26">
        <f>IF($R340="","",INDEX(입력_전공의명단!$C$2:$C$401,$R340))</f>
        <v/>
      </c>
      <c r="C340" s="26">
        <f>IF($R340="","",INDEX(입력_전공의명단!$B$2:$B$401,$R340))</f>
        <v/>
      </c>
      <c r="D340" s="26">
        <f>IF($R340="","",INDEX(입력_전공의명단!$J$2:$J$401,$R340))</f>
        <v/>
      </c>
      <c r="E340" s="26">
        <f>IF($R340="","",INDEX(입력_전공의명단!$F$2:$F$401,$R340))</f>
        <v/>
      </c>
      <c r="F340" s="26">
        <f>IF($R340="","",INDEX(입력_전공의명단!$G$2:$G$401,$R340))</f>
        <v/>
      </c>
      <c r="G340" s="26">
        <f>IF($R340="","",INDEX(입력_전공의명단!$AE$2:$AE$401,$R340))</f>
        <v/>
      </c>
      <c r="H340" s="27">
        <f>IF($R340="","",IF(INDEX(입력_전공의명단!$AE$2:$AE$401,$R340)="서울병원","서울 소속","타 병원 소속("&amp;INDEX(입력_전공의명단!$AE$2:$AE$401,$R340)&amp;") → 서울 지급"))</f>
        <v/>
      </c>
      <c r="I340" s="26">
        <f>IF($R340="","",INDEX(입력_전공의명단!$N$2:$N$401,$R340))</f>
        <v/>
      </c>
      <c r="J340" s="26">
        <f>IF($R340="","",INDEX(입력_전공의명단!$P$2:$P$401,$R340))</f>
        <v/>
      </c>
      <c r="K340" s="26">
        <f>IF($R340="","",INDEX(입력_전공의명단!$Q$2:$Q$401,$R340))</f>
        <v/>
      </c>
      <c r="L340" s="28">
        <f>IF($R340="","",INDEX(입력_전공의명단!$S$2:$S$401,$R340))</f>
        <v/>
      </c>
      <c r="M340" s="28">
        <f>IF($R340="","",INDEX(입력_전공의명단!$T$2:$T$401,$R340))</f>
        <v/>
      </c>
      <c r="N340" s="26">
        <f>IF($R340="","",INDEX(입력_전공의명단!$AH$2:$AH$401,$R340))</f>
        <v/>
      </c>
      <c r="O340" s="26">
        <f>IF($R340="","",INDEX(입력_전공의명단!$AI$2:$AI$401,$R340))</f>
        <v/>
      </c>
      <c r="P340" s="27">
        <f>IF($R340="","",INDEX(입력_전공의명단!$AO$2:$AO$401,$R340))</f>
        <v/>
      </c>
      <c r="Q340" s="27">
        <f>IF($R340="","",INDEX(입력_전공의명단!$Z$2:$Z$401,$R340))</f>
        <v/>
      </c>
      <c r="R340" s="29">
        <f>IFERROR(MATCH(ROW()-5,입력_전공의명단!$AM$2:$AM$401,0),"")</f>
        <v/>
      </c>
    </row>
    <row r="341">
      <c r="A341" s="26">
        <f>IF($R341="","",ROW()-5)</f>
        <v/>
      </c>
      <c r="B341" s="26">
        <f>IF($R341="","",INDEX(입력_전공의명단!$C$2:$C$401,$R341))</f>
        <v/>
      </c>
      <c r="C341" s="26">
        <f>IF($R341="","",INDEX(입력_전공의명단!$B$2:$B$401,$R341))</f>
        <v/>
      </c>
      <c r="D341" s="26">
        <f>IF($R341="","",INDEX(입력_전공의명단!$J$2:$J$401,$R341))</f>
        <v/>
      </c>
      <c r="E341" s="26">
        <f>IF($R341="","",INDEX(입력_전공의명단!$F$2:$F$401,$R341))</f>
        <v/>
      </c>
      <c r="F341" s="26">
        <f>IF($R341="","",INDEX(입력_전공의명단!$G$2:$G$401,$R341))</f>
        <v/>
      </c>
      <c r="G341" s="26">
        <f>IF($R341="","",INDEX(입력_전공의명단!$AE$2:$AE$401,$R341))</f>
        <v/>
      </c>
      <c r="H341" s="27">
        <f>IF($R341="","",IF(INDEX(입력_전공의명단!$AE$2:$AE$401,$R341)="서울병원","서울 소속","타 병원 소속("&amp;INDEX(입력_전공의명단!$AE$2:$AE$401,$R341)&amp;") → 서울 지급"))</f>
        <v/>
      </c>
      <c r="I341" s="26">
        <f>IF($R341="","",INDEX(입력_전공의명단!$N$2:$N$401,$R341))</f>
        <v/>
      </c>
      <c r="J341" s="26">
        <f>IF($R341="","",INDEX(입력_전공의명단!$P$2:$P$401,$R341))</f>
        <v/>
      </c>
      <c r="K341" s="26">
        <f>IF($R341="","",INDEX(입력_전공의명단!$Q$2:$Q$401,$R341))</f>
        <v/>
      </c>
      <c r="L341" s="28">
        <f>IF($R341="","",INDEX(입력_전공의명단!$S$2:$S$401,$R341))</f>
        <v/>
      </c>
      <c r="M341" s="28">
        <f>IF($R341="","",INDEX(입력_전공의명단!$T$2:$T$401,$R341))</f>
        <v/>
      </c>
      <c r="N341" s="26">
        <f>IF($R341="","",INDEX(입력_전공의명단!$AH$2:$AH$401,$R341))</f>
        <v/>
      </c>
      <c r="O341" s="26">
        <f>IF($R341="","",INDEX(입력_전공의명단!$AI$2:$AI$401,$R341))</f>
        <v/>
      </c>
      <c r="P341" s="27">
        <f>IF($R341="","",INDEX(입력_전공의명단!$AO$2:$AO$401,$R341))</f>
        <v/>
      </c>
      <c r="Q341" s="27">
        <f>IF($R341="","",INDEX(입력_전공의명단!$Z$2:$Z$401,$R341))</f>
        <v/>
      </c>
      <c r="R341" s="29">
        <f>IFERROR(MATCH(ROW()-5,입력_전공의명단!$AM$2:$AM$401,0),"")</f>
        <v/>
      </c>
    </row>
    <row r="342">
      <c r="A342" s="26">
        <f>IF($R342="","",ROW()-5)</f>
        <v/>
      </c>
      <c r="B342" s="26">
        <f>IF($R342="","",INDEX(입력_전공의명단!$C$2:$C$401,$R342))</f>
        <v/>
      </c>
      <c r="C342" s="26">
        <f>IF($R342="","",INDEX(입력_전공의명단!$B$2:$B$401,$R342))</f>
        <v/>
      </c>
      <c r="D342" s="26">
        <f>IF($R342="","",INDEX(입력_전공의명단!$J$2:$J$401,$R342))</f>
        <v/>
      </c>
      <c r="E342" s="26">
        <f>IF($R342="","",INDEX(입력_전공의명단!$F$2:$F$401,$R342))</f>
        <v/>
      </c>
      <c r="F342" s="26">
        <f>IF($R342="","",INDEX(입력_전공의명단!$G$2:$G$401,$R342))</f>
        <v/>
      </c>
      <c r="G342" s="26">
        <f>IF($R342="","",INDEX(입력_전공의명단!$AE$2:$AE$401,$R342))</f>
        <v/>
      </c>
      <c r="H342" s="27">
        <f>IF($R342="","",IF(INDEX(입력_전공의명단!$AE$2:$AE$401,$R342)="서울병원","서울 소속","타 병원 소속("&amp;INDEX(입력_전공의명단!$AE$2:$AE$401,$R342)&amp;") → 서울 지급"))</f>
        <v/>
      </c>
      <c r="I342" s="26">
        <f>IF($R342="","",INDEX(입력_전공의명단!$N$2:$N$401,$R342))</f>
        <v/>
      </c>
      <c r="J342" s="26">
        <f>IF($R342="","",INDEX(입력_전공의명단!$P$2:$P$401,$R342))</f>
        <v/>
      </c>
      <c r="K342" s="26">
        <f>IF($R342="","",INDEX(입력_전공의명단!$Q$2:$Q$401,$R342))</f>
        <v/>
      </c>
      <c r="L342" s="28">
        <f>IF($R342="","",INDEX(입력_전공의명단!$S$2:$S$401,$R342))</f>
        <v/>
      </c>
      <c r="M342" s="28">
        <f>IF($R342="","",INDEX(입력_전공의명단!$T$2:$T$401,$R342))</f>
        <v/>
      </c>
      <c r="N342" s="26">
        <f>IF($R342="","",INDEX(입력_전공의명단!$AH$2:$AH$401,$R342))</f>
        <v/>
      </c>
      <c r="O342" s="26">
        <f>IF($R342="","",INDEX(입력_전공의명단!$AI$2:$AI$401,$R342))</f>
        <v/>
      </c>
      <c r="P342" s="27">
        <f>IF($R342="","",INDEX(입력_전공의명단!$AO$2:$AO$401,$R342))</f>
        <v/>
      </c>
      <c r="Q342" s="27">
        <f>IF($R342="","",INDEX(입력_전공의명단!$Z$2:$Z$401,$R342))</f>
        <v/>
      </c>
      <c r="R342" s="29">
        <f>IFERROR(MATCH(ROW()-5,입력_전공의명단!$AM$2:$AM$401,0),"")</f>
        <v/>
      </c>
    </row>
    <row r="343">
      <c r="A343" s="26">
        <f>IF($R343="","",ROW()-5)</f>
        <v/>
      </c>
      <c r="B343" s="26">
        <f>IF($R343="","",INDEX(입력_전공의명단!$C$2:$C$401,$R343))</f>
        <v/>
      </c>
      <c r="C343" s="26">
        <f>IF($R343="","",INDEX(입력_전공의명단!$B$2:$B$401,$R343))</f>
        <v/>
      </c>
      <c r="D343" s="26">
        <f>IF($R343="","",INDEX(입력_전공의명단!$J$2:$J$401,$R343))</f>
        <v/>
      </c>
      <c r="E343" s="26">
        <f>IF($R343="","",INDEX(입력_전공의명단!$F$2:$F$401,$R343))</f>
        <v/>
      </c>
      <c r="F343" s="26">
        <f>IF($R343="","",INDEX(입력_전공의명단!$G$2:$G$401,$R343))</f>
        <v/>
      </c>
      <c r="G343" s="26">
        <f>IF($R343="","",INDEX(입력_전공의명단!$AE$2:$AE$401,$R343))</f>
        <v/>
      </c>
      <c r="H343" s="27">
        <f>IF($R343="","",IF(INDEX(입력_전공의명단!$AE$2:$AE$401,$R343)="서울병원","서울 소속","타 병원 소속("&amp;INDEX(입력_전공의명단!$AE$2:$AE$401,$R343)&amp;") → 서울 지급"))</f>
        <v/>
      </c>
      <c r="I343" s="26">
        <f>IF($R343="","",INDEX(입력_전공의명단!$N$2:$N$401,$R343))</f>
        <v/>
      </c>
      <c r="J343" s="26">
        <f>IF($R343="","",INDEX(입력_전공의명단!$P$2:$P$401,$R343))</f>
        <v/>
      </c>
      <c r="K343" s="26">
        <f>IF($R343="","",INDEX(입력_전공의명단!$Q$2:$Q$401,$R343))</f>
        <v/>
      </c>
      <c r="L343" s="28">
        <f>IF($R343="","",INDEX(입력_전공의명단!$S$2:$S$401,$R343))</f>
        <v/>
      </c>
      <c r="M343" s="28">
        <f>IF($R343="","",INDEX(입력_전공의명단!$T$2:$T$401,$R343))</f>
        <v/>
      </c>
      <c r="N343" s="26">
        <f>IF($R343="","",INDEX(입력_전공의명단!$AH$2:$AH$401,$R343))</f>
        <v/>
      </c>
      <c r="O343" s="26">
        <f>IF($R343="","",INDEX(입력_전공의명단!$AI$2:$AI$401,$R343))</f>
        <v/>
      </c>
      <c r="P343" s="27">
        <f>IF($R343="","",INDEX(입력_전공의명단!$AO$2:$AO$401,$R343))</f>
        <v/>
      </c>
      <c r="Q343" s="27">
        <f>IF($R343="","",INDEX(입력_전공의명단!$Z$2:$Z$401,$R343))</f>
        <v/>
      </c>
      <c r="R343" s="29">
        <f>IFERROR(MATCH(ROW()-5,입력_전공의명단!$AM$2:$AM$401,0),"")</f>
        <v/>
      </c>
    </row>
    <row r="344">
      <c r="A344" s="26">
        <f>IF($R344="","",ROW()-5)</f>
        <v/>
      </c>
      <c r="B344" s="26">
        <f>IF($R344="","",INDEX(입력_전공의명단!$C$2:$C$401,$R344))</f>
        <v/>
      </c>
      <c r="C344" s="26">
        <f>IF($R344="","",INDEX(입력_전공의명단!$B$2:$B$401,$R344))</f>
        <v/>
      </c>
      <c r="D344" s="26">
        <f>IF($R344="","",INDEX(입력_전공의명단!$J$2:$J$401,$R344))</f>
        <v/>
      </c>
      <c r="E344" s="26">
        <f>IF($R344="","",INDEX(입력_전공의명단!$F$2:$F$401,$R344))</f>
        <v/>
      </c>
      <c r="F344" s="26">
        <f>IF($R344="","",INDEX(입력_전공의명단!$G$2:$G$401,$R344))</f>
        <v/>
      </c>
      <c r="G344" s="26">
        <f>IF($R344="","",INDEX(입력_전공의명단!$AE$2:$AE$401,$R344))</f>
        <v/>
      </c>
      <c r="H344" s="27">
        <f>IF($R344="","",IF(INDEX(입력_전공의명단!$AE$2:$AE$401,$R344)="서울병원","서울 소속","타 병원 소속("&amp;INDEX(입력_전공의명단!$AE$2:$AE$401,$R344)&amp;") → 서울 지급"))</f>
        <v/>
      </c>
      <c r="I344" s="26">
        <f>IF($R344="","",INDEX(입력_전공의명단!$N$2:$N$401,$R344))</f>
        <v/>
      </c>
      <c r="J344" s="26">
        <f>IF($R344="","",INDEX(입력_전공의명단!$P$2:$P$401,$R344))</f>
        <v/>
      </c>
      <c r="K344" s="26">
        <f>IF($R344="","",INDEX(입력_전공의명단!$Q$2:$Q$401,$R344))</f>
        <v/>
      </c>
      <c r="L344" s="28">
        <f>IF($R344="","",INDEX(입력_전공의명단!$S$2:$S$401,$R344))</f>
        <v/>
      </c>
      <c r="M344" s="28">
        <f>IF($R344="","",INDEX(입력_전공의명단!$T$2:$T$401,$R344))</f>
        <v/>
      </c>
      <c r="N344" s="26">
        <f>IF($R344="","",INDEX(입력_전공의명단!$AH$2:$AH$401,$R344))</f>
        <v/>
      </c>
      <c r="O344" s="26">
        <f>IF($R344="","",INDEX(입력_전공의명단!$AI$2:$AI$401,$R344))</f>
        <v/>
      </c>
      <c r="P344" s="27">
        <f>IF($R344="","",INDEX(입력_전공의명단!$AO$2:$AO$401,$R344))</f>
        <v/>
      </c>
      <c r="Q344" s="27">
        <f>IF($R344="","",INDEX(입력_전공의명단!$Z$2:$Z$401,$R344))</f>
        <v/>
      </c>
      <c r="R344" s="29">
        <f>IFERROR(MATCH(ROW()-5,입력_전공의명단!$AM$2:$AM$401,0),"")</f>
        <v/>
      </c>
    </row>
    <row r="345">
      <c r="A345" s="26">
        <f>IF($R345="","",ROW()-5)</f>
        <v/>
      </c>
      <c r="B345" s="26">
        <f>IF($R345="","",INDEX(입력_전공의명단!$C$2:$C$401,$R345))</f>
        <v/>
      </c>
      <c r="C345" s="26">
        <f>IF($R345="","",INDEX(입력_전공의명단!$B$2:$B$401,$R345))</f>
        <v/>
      </c>
      <c r="D345" s="26">
        <f>IF($R345="","",INDEX(입력_전공의명단!$J$2:$J$401,$R345))</f>
        <v/>
      </c>
      <c r="E345" s="26">
        <f>IF($R345="","",INDEX(입력_전공의명단!$F$2:$F$401,$R345))</f>
        <v/>
      </c>
      <c r="F345" s="26">
        <f>IF($R345="","",INDEX(입력_전공의명단!$G$2:$G$401,$R345))</f>
        <v/>
      </c>
      <c r="G345" s="26">
        <f>IF($R345="","",INDEX(입력_전공의명단!$AE$2:$AE$401,$R345))</f>
        <v/>
      </c>
      <c r="H345" s="27">
        <f>IF($R345="","",IF(INDEX(입력_전공의명단!$AE$2:$AE$401,$R345)="서울병원","서울 소속","타 병원 소속("&amp;INDEX(입력_전공의명단!$AE$2:$AE$401,$R345)&amp;") → 서울 지급"))</f>
        <v/>
      </c>
      <c r="I345" s="26">
        <f>IF($R345="","",INDEX(입력_전공의명단!$N$2:$N$401,$R345))</f>
        <v/>
      </c>
      <c r="J345" s="26">
        <f>IF($R345="","",INDEX(입력_전공의명단!$P$2:$P$401,$R345))</f>
        <v/>
      </c>
      <c r="K345" s="26">
        <f>IF($R345="","",INDEX(입력_전공의명단!$Q$2:$Q$401,$R345))</f>
        <v/>
      </c>
      <c r="L345" s="28">
        <f>IF($R345="","",INDEX(입력_전공의명단!$S$2:$S$401,$R345))</f>
        <v/>
      </c>
      <c r="M345" s="28">
        <f>IF($R345="","",INDEX(입력_전공의명단!$T$2:$T$401,$R345))</f>
        <v/>
      </c>
      <c r="N345" s="26">
        <f>IF($R345="","",INDEX(입력_전공의명단!$AH$2:$AH$401,$R345))</f>
        <v/>
      </c>
      <c r="O345" s="26">
        <f>IF($R345="","",INDEX(입력_전공의명단!$AI$2:$AI$401,$R345))</f>
        <v/>
      </c>
      <c r="P345" s="27">
        <f>IF($R345="","",INDEX(입력_전공의명단!$AO$2:$AO$401,$R345))</f>
        <v/>
      </c>
      <c r="Q345" s="27">
        <f>IF($R345="","",INDEX(입력_전공의명단!$Z$2:$Z$401,$R345))</f>
        <v/>
      </c>
      <c r="R345" s="29">
        <f>IFERROR(MATCH(ROW()-5,입력_전공의명단!$AM$2:$AM$401,0),"")</f>
        <v/>
      </c>
    </row>
    <row r="346">
      <c r="A346" s="26">
        <f>IF($R346="","",ROW()-5)</f>
        <v/>
      </c>
      <c r="B346" s="26">
        <f>IF($R346="","",INDEX(입력_전공의명단!$C$2:$C$401,$R346))</f>
        <v/>
      </c>
      <c r="C346" s="26">
        <f>IF($R346="","",INDEX(입력_전공의명단!$B$2:$B$401,$R346))</f>
        <v/>
      </c>
      <c r="D346" s="26">
        <f>IF($R346="","",INDEX(입력_전공의명단!$J$2:$J$401,$R346))</f>
        <v/>
      </c>
      <c r="E346" s="26">
        <f>IF($R346="","",INDEX(입력_전공의명단!$F$2:$F$401,$R346))</f>
        <v/>
      </c>
      <c r="F346" s="26">
        <f>IF($R346="","",INDEX(입력_전공의명단!$G$2:$G$401,$R346))</f>
        <v/>
      </c>
      <c r="G346" s="26">
        <f>IF($R346="","",INDEX(입력_전공의명단!$AE$2:$AE$401,$R346))</f>
        <v/>
      </c>
      <c r="H346" s="27">
        <f>IF($R346="","",IF(INDEX(입력_전공의명단!$AE$2:$AE$401,$R346)="서울병원","서울 소속","타 병원 소속("&amp;INDEX(입력_전공의명단!$AE$2:$AE$401,$R346)&amp;") → 서울 지급"))</f>
        <v/>
      </c>
      <c r="I346" s="26">
        <f>IF($R346="","",INDEX(입력_전공의명단!$N$2:$N$401,$R346))</f>
        <v/>
      </c>
      <c r="J346" s="26">
        <f>IF($R346="","",INDEX(입력_전공의명단!$P$2:$P$401,$R346))</f>
        <v/>
      </c>
      <c r="K346" s="26">
        <f>IF($R346="","",INDEX(입력_전공의명단!$Q$2:$Q$401,$R346))</f>
        <v/>
      </c>
      <c r="L346" s="28">
        <f>IF($R346="","",INDEX(입력_전공의명단!$S$2:$S$401,$R346))</f>
        <v/>
      </c>
      <c r="M346" s="28">
        <f>IF($R346="","",INDEX(입력_전공의명단!$T$2:$T$401,$R346))</f>
        <v/>
      </c>
      <c r="N346" s="26">
        <f>IF($R346="","",INDEX(입력_전공의명단!$AH$2:$AH$401,$R346))</f>
        <v/>
      </c>
      <c r="O346" s="26">
        <f>IF($R346="","",INDEX(입력_전공의명단!$AI$2:$AI$401,$R346))</f>
        <v/>
      </c>
      <c r="P346" s="27">
        <f>IF($R346="","",INDEX(입력_전공의명단!$AO$2:$AO$401,$R346))</f>
        <v/>
      </c>
      <c r="Q346" s="27">
        <f>IF($R346="","",INDEX(입력_전공의명단!$Z$2:$Z$401,$R346))</f>
        <v/>
      </c>
      <c r="R346" s="29">
        <f>IFERROR(MATCH(ROW()-5,입력_전공의명단!$AM$2:$AM$401,0),"")</f>
        <v/>
      </c>
    </row>
    <row r="347">
      <c r="A347" s="26">
        <f>IF($R347="","",ROW()-5)</f>
        <v/>
      </c>
      <c r="B347" s="26">
        <f>IF($R347="","",INDEX(입력_전공의명단!$C$2:$C$401,$R347))</f>
        <v/>
      </c>
      <c r="C347" s="26">
        <f>IF($R347="","",INDEX(입력_전공의명단!$B$2:$B$401,$R347))</f>
        <v/>
      </c>
      <c r="D347" s="26">
        <f>IF($R347="","",INDEX(입력_전공의명단!$J$2:$J$401,$R347))</f>
        <v/>
      </c>
      <c r="E347" s="26">
        <f>IF($R347="","",INDEX(입력_전공의명단!$F$2:$F$401,$R347))</f>
        <v/>
      </c>
      <c r="F347" s="26">
        <f>IF($R347="","",INDEX(입력_전공의명단!$G$2:$G$401,$R347))</f>
        <v/>
      </c>
      <c r="G347" s="26">
        <f>IF($R347="","",INDEX(입력_전공의명단!$AE$2:$AE$401,$R347))</f>
        <v/>
      </c>
      <c r="H347" s="27">
        <f>IF($R347="","",IF(INDEX(입력_전공의명단!$AE$2:$AE$401,$R347)="서울병원","서울 소속","타 병원 소속("&amp;INDEX(입력_전공의명단!$AE$2:$AE$401,$R347)&amp;") → 서울 지급"))</f>
        <v/>
      </c>
      <c r="I347" s="26">
        <f>IF($R347="","",INDEX(입력_전공의명단!$N$2:$N$401,$R347))</f>
        <v/>
      </c>
      <c r="J347" s="26">
        <f>IF($R347="","",INDEX(입력_전공의명단!$P$2:$P$401,$R347))</f>
        <v/>
      </c>
      <c r="K347" s="26">
        <f>IF($R347="","",INDEX(입력_전공의명단!$Q$2:$Q$401,$R347))</f>
        <v/>
      </c>
      <c r="L347" s="28">
        <f>IF($R347="","",INDEX(입력_전공의명단!$S$2:$S$401,$R347))</f>
        <v/>
      </c>
      <c r="M347" s="28">
        <f>IF($R347="","",INDEX(입력_전공의명단!$T$2:$T$401,$R347))</f>
        <v/>
      </c>
      <c r="N347" s="26">
        <f>IF($R347="","",INDEX(입력_전공의명단!$AH$2:$AH$401,$R347))</f>
        <v/>
      </c>
      <c r="O347" s="26">
        <f>IF($R347="","",INDEX(입력_전공의명단!$AI$2:$AI$401,$R347))</f>
        <v/>
      </c>
      <c r="P347" s="27">
        <f>IF($R347="","",INDEX(입력_전공의명단!$AO$2:$AO$401,$R347))</f>
        <v/>
      </c>
      <c r="Q347" s="27">
        <f>IF($R347="","",INDEX(입력_전공의명단!$Z$2:$Z$401,$R347))</f>
        <v/>
      </c>
      <c r="R347" s="29">
        <f>IFERROR(MATCH(ROW()-5,입력_전공의명단!$AM$2:$AM$401,0),"")</f>
        <v/>
      </c>
    </row>
    <row r="348">
      <c r="A348" s="26">
        <f>IF($R348="","",ROW()-5)</f>
        <v/>
      </c>
      <c r="B348" s="26">
        <f>IF($R348="","",INDEX(입력_전공의명단!$C$2:$C$401,$R348))</f>
        <v/>
      </c>
      <c r="C348" s="26">
        <f>IF($R348="","",INDEX(입력_전공의명단!$B$2:$B$401,$R348))</f>
        <v/>
      </c>
      <c r="D348" s="26">
        <f>IF($R348="","",INDEX(입력_전공의명단!$J$2:$J$401,$R348))</f>
        <v/>
      </c>
      <c r="E348" s="26">
        <f>IF($R348="","",INDEX(입력_전공의명단!$F$2:$F$401,$R348))</f>
        <v/>
      </c>
      <c r="F348" s="26">
        <f>IF($R348="","",INDEX(입력_전공의명단!$G$2:$G$401,$R348))</f>
        <v/>
      </c>
      <c r="G348" s="26">
        <f>IF($R348="","",INDEX(입력_전공의명단!$AE$2:$AE$401,$R348))</f>
        <v/>
      </c>
      <c r="H348" s="27">
        <f>IF($R348="","",IF(INDEX(입력_전공의명단!$AE$2:$AE$401,$R348)="서울병원","서울 소속","타 병원 소속("&amp;INDEX(입력_전공의명단!$AE$2:$AE$401,$R348)&amp;") → 서울 지급"))</f>
        <v/>
      </c>
      <c r="I348" s="26">
        <f>IF($R348="","",INDEX(입력_전공의명단!$N$2:$N$401,$R348))</f>
        <v/>
      </c>
      <c r="J348" s="26">
        <f>IF($R348="","",INDEX(입력_전공의명단!$P$2:$P$401,$R348))</f>
        <v/>
      </c>
      <c r="K348" s="26">
        <f>IF($R348="","",INDEX(입력_전공의명단!$Q$2:$Q$401,$R348))</f>
        <v/>
      </c>
      <c r="L348" s="28">
        <f>IF($R348="","",INDEX(입력_전공의명단!$S$2:$S$401,$R348))</f>
        <v/>
      </c>
      <c r="M348" s="28">
        <f>IF($R348="","",INDEX(입력_전공의명단!$T$2:$T$401,$R348))</f>
        <v/>
      </c>
      <c r="N348" s="26">
        <f>IF($R348="","",INDEX(입력_전공의명단!$AH$2:$AH$401,$R348))</f>
        <v/>
      </c>
      <c r="O348" s="26">
        <f>IF($R348="","",INDEX(입력_전공의명단!$AI$2:$AI$401,$R348))</f>
        <v/>
      </c>
      <c r="P348" s="27">
        <f>IF($R348="","",INDEX(입력_전공의명단!$AO$2:$AO$401,$R348))</f>
        <v/>
      </c>
      <c r="Q348" s="27">
        <f>IF($R348="","",INDEX(입력_전공의명단!$Z$2:$Z$401,$R348))</f>
        <v/>
      </c>
      <c r="R348" s="29">
        <f>IFERROR(MATCH(ROW()-5,입력_전공의명단!$AM$2:$AM$401,0),"")</f>
        <v/>
      </c>
    </row>
    <row r="349">
      <c r="A349" s="26">
        <f>IF($R349="","",ROW()-5)</f>
        <v/>
      </c>
      <c r="B349" s="26">
        <f>IF($R349="","",INDEX(입력_전공의명단!$C$2:$C$401,$R349))</f>
        <v/>
      </c>
      <c r="C349" s="26">
        <f>IF($R349="","",INDEX(입력_전공의명단!$B$2:$B$401,$R349))</f>
        <v/>
      </c>
      <c r="D349" s="26">
        <f>IF($R349="","",INDEX(입력_전공의명단!$J$2:$J$401,$R349))</f>
        <v/>
      </c>
      <c r="E349" s="26">
        <f>IF($R349="","",INDEX(입력_전공의명단!$F$2:$F$401,$R349))</f>
        <v/>
      </c>
      <c r="F349" s="26">
        <f>IF($R349="","",INDEX(입력_전공의명단!$G$2:$G$401,$R349))</f>
        <v/>
      </c>
      <c r="G349" s="26">
        <f>IF($R349="","",INDEX(입력_전공의명단!$AE$2:$AE$401,$R349))</f>
        <v/>
      </c>
      <c r="H349" s="27">
        <f>IF($R349="","",IF(INDEX(입력_전공의명단!$AE$2:$AE$401,$R349)="서울병원","서울 소속","타 병원 소속("&amp;INDEX(입력_전공의명단!$AE$2:$AE$401,$R349)&amp;") → 서울 지급"))</f>
        <v/>
      </c>
      <c r="I349" s="26">
        <f>IF($R349="","",INDEX(입력_전공의명단!$N$2:$N$401,$R349))</f>
        <v/>
      </c>
      <c r="J349" s="26">
        <f>IF($R349="","",INDEX(입력_전공의명단!$P$2:$P$401,$R349))</f>
        <v/>
      </c>
      <c r="K349" s="26">
        <f>IF($R349="","",INDEX(입력_전공의명단!$Q$2:$Q$401,$R349))</f>
        <v/>
      </c>
      <c r="L349" s="28">
        <f>IF($R349="","",INDEX(입력_전공의명단!$S$2:$S$401,$R349))</f>
        <v/>
      </c>
      <c r="M349" s="28">
        <f>IF($R349="","",INDEX(입력_전공의명단!$T$2:$T$401,$R349))</f>
        <v/>
      </c>
      <c r="N349" s="26">
        <f>IF($R349="","",INDEX(입력_전공의명단!$AH$2:$AH$401,$R349))</f>
        <v/>
      </c>
      <c r="O349" s="26">
        <f>IF($R349="","",INDEX(입력_전공의명단!$AI$2:$AI$401,$R349))</f>
        <v/>
      </c>
      <c r="P349" s="27">
        <f>IF($R349="","",INDEX(입력_전공의명단!$AO$2:$AO$401,$R349))</f>
        <v/>
      </c>
      <c r="Q349" s="27">
        <f>IF($R349="","",INDEX(입력_전공의명단!$Z$2:$Z$401,$R349))</f>
        <v/>
      </c>
      <c r="R349" s="29">
        <f>IFERROR(MATCH(ROW()-5,입력_전공의명단!$AM$2:$AM$401,0),"")</f>
        <v/>
      </c>
    </row>
    <row r="350">
      <c r="A350" s="26">
        <f>IF($R350="","",ROW()-5)</f>
        <v/>
      </c>
      <c r="B350" s="26">
        <f>IF($R350="","",INDEX(입력_전공의명단!$C$2:$C$401,$R350))</f>
        <v/>
      </c>
      <c r="C350" s="26">
        <f>IF($R350="","",INDEX(입력_전공의명단!$B$2:$B$401,$R350))</f>
        <v/>
      </c>
      <c r="D350" s="26">
        <f>IF($R350="","",INDEX(입력_전공의명단!$J$2:$J$401,$R350))</f>
        <v/>
      </c>
      <c r="E350" s="26">
        <f>IF($R350="","",INDEX(입력_전공의명단!$F$2:$F$401,$R350))</f>
        <v/>
      </c>
      <c r="F350" s="26">
        <f>IF($R350="","",INDEX(입력_전공의명단!$G$2:$G$401,$R350))</f>
        <v/>
      </c>
      <c r="G350" s="26">
        <f>IF($R350="","",INDEX(입력_전공의명단!$AE$2:$AE$401,$R350))</f>
        <v/>
      </c>
      <c r="H350" s="27">
        <f>IF($R350="","",IF(INDEX(입력_전공의명단!$AE$2:$AE$401,$R350)="서울병원","서울 소속","타 병원 소속("&amp;INDEX(입력_전공의명단!$AE$2:$AE$401,$R350)&amp;") → 서울 지급"))</f>
        <v/>
      </c>
      <c r="I350" s="26">
        <f>IF($R350="","",INDEX(입력_전공의명단!$N$2:$N$401,$R350))</f>
        <v/>
      </c>
      <c r="J350" s="26">
        <f>IF($R350="","",INDEX(입력_전공의명단!$P$2:$P$401,$R350))</f>
        <v/>
      </c>
      <c r="K350" s="26">
        <f>IF($R350="","",INDEX(입력_전공의명단!$Q$2:$Q$401,$R350))</f>
        <v/>
      </c>
      <c r="L350" s="28">
        <f>IF($R350="","",INDEX(입력_전공의명단!$S$2:$S$401,$R350))</f>
        <v/>
      </c>
      <c r="M350" s="28">
        <f>IF($R350="","",INDEX(입력_전공의명단!$T$2:$T$401,$R350))</f>
        <v/>
      </c>
      <c r="N350" s="26">
        <f>IF($R350="","",INDEX(입력_전공의명단!$AH$2:$AH$401,$R350))</f>
        <v/>
      </c>
      <c r="O350" s="26">
        <f>IF($R350="","",INDEX(입력_전공의명단!$AI$2:$AI$401,$R350))</f>
        <v/>
      </c>
      <c r="P350" s="27">
        <f>IF($R350="","",INDEX(입력_전공의명단!$AO$2:$AO$401,$R350))</f>
        <v/>
      </c>
      <c r="Q350" s="27">
        <f>IF($R350="","",INDEX(입력_전공의명단!$Z$2:$Z$401,$R350))</f>
        <v/>
      </c>
      <c r="R350" s="29">
        <f>IFERROR(MATCH(ROW()-5,입력_전공의명단!$AM$2:$AM$401,0),"")</f>
        <v/>
      </c>
    </row>
    <row r="351">
      <c r="A351" s="26">
        <f>IF($R351="","",ROW()-5)</f>
        <v/>
      </c>
      <c r="B351" s="26">
        <f>IF($R351="","",INDEX(입력_전공의명단!$C$2:$C$401,$R351))</f>
        <v/>
      </c>
      <c r="C351" s="26">
        <f>IF($R351="","",INDEX(입력_전공의명단!$B$2:$B$401,$R351))</f>
        <v/>
      </c>
      <c r="D351" s="26">
        <f>IF($R351="","",INDEX(입력_전공의명단!$J$2:$J$401,$R351))</f>
        <v/>
      </c>
      <c r="E351" s="26">
        <f>IF($R351="","",INDEX(입력_전공의명단!$F$2:$F$401,$R351))</f>
        <v/>
      </c>
      <c r="F351" s="26">
        <f>IF($R351="","",INDEX(입력_전공의명단!$G$2:$G$401,$R351))</f>
        <v/>
      </c>
      <c r="G351" s="26">
        <f>IF($R351="","",INDEX(입력_전공의명단!$AE$2:$AE$401,$R351))</f>
        <v/>
      </c>
      <c r="H351" s="27">
        <f>IF($R351="","",IF(INDEX(입력_전공의명단!$AE$2:$AE$401,$R351)="서울병원","서울 소속","타 병원 소속("&amp;INDEX(입력_전공의명단!$AE$2:$AE$401,$R351)&amp;") → 서울 지급"))</f>
        <v/>
      </c>
      <c r="I351" s="26">
        <f>IF($R351="","",INDEX(입력_전공의명단!$N$2:$N$401,$R351))</f>
        <v/>
      </c>
      <c r="J351" s="26">
        <f>IF($R351="","",INDEX(입력_전공의명단!$P$2:$P$401,$R351))</f>
        <v/>
      </c>
      <c r="K351" s="26">
        <f>IF($R351="","",INDEX(입력_전공의명단!$Q$2:$Q$401,$R351))</f>
        <v/>
      </c>
      <c r="L351" s="28">
        <f>IF($R351="","",INDEX(입력_전공의명단!$S$2:$S$401,$R351))</f>
        <v/>
      </c>
      <c r="M351" s="28">
        <f>IF($R351="","",INDEX(입력_전공의명단!$T$2:$T$401,$R351))</f>
        <v/>
      </c>
      <c r="N351" s="26">
        <f>IF($R351="","",INDEX(입력_전공의명단!$AH$2:$AH$401,$R351))</f>
        <v/>
      </c>
      <c r="O351" s="26">
        <f>IF($R351="","",INDEX(입력_전공의명단!$AI$2:$AI$401,$R351))</f>
        <v/>
      </c>
      <c r="P351" s="27">
        <f>IF($R351="","",INDEX(입력_전공의명단!$AO$2:$AO$401,$R351))</f>
        <v/>
      </c>
      <c r="Q351" s="27">
        <f>IF($R351="","",INDEX(입력_전공의명단!$Z$2:$Z$401,$R351))</f>
        <v/>
      </c>
      <c r="R351" s="29">
        <f>IFERROR(MATCH(ROW()-5,입력_전공의명단!$AM$2:$AM$401,0),"")</f>
        <v/>
      </c>
    </row>
    <row r="352">
      <c r="A352" s="26">
        <f>IF($R352="","",ROW()-5)</f>
        <v/>
      </c>
      <c r="B352" s="26">
        <f>IF($R352="","",INDEX(입력_전공의명단!$C$2:$C$401,$R352))</f>
        <v/>
      </c>
      <c r="C352" s="26">
        <f>IF($R352="","",INDEX(입력_전공의명단!$B$2:$B$401,$R352))</f>
        <v/>
      </c>
      <c r="D352" s="26">
        <f>IF($R352="","",INDEX(입력_전공의명단!$J$2:$J$401,$R352))</f>
        <v/>
      </c>
      <c r="E352" s="26">
        <f>IF($R352="","",INDEX(입력_전공의명단!$F$2:$F$401,$R352))</f>
        <v/>
      </c>
      <c r="F352" s="26">
        <f>IF($R352="","",INDEX(입력_전공의명단!$G$2:$G$401,$R352))</f>
        <v/>
      </c>
      <c r="G352" s="26">
        <f>IF($R352="","",INDEX(입력_전공의명단!$AE$2:$AE$401,$R352))</f>
        <v/>
      </c>
      <c r="H352" s="27">
        <f>IF($R352="","",IF(INDEX(입력_전공의명단!$AE$2:$AE$401,$R352)="서울병원","서울 소속","타 병원 소속("&amp;INDEX(입력_전공의명단!$AE$2:$AE$401,$R352)&amp;") → 서울 지급"))</f>
        <v/>
      </c>
      <c r="I352" s="26">
        <f>IF($R352="","",INDEX(입력_전공의명단!$N$2:$N$401,$R352))</f>
        <v/>
      </c>
      <c r="J352" s="26">
        <f>IF($R352="","",INDEX(입력_전공의명단!$P$2:$P$401,$R352))</f>
        <v/>
      </c>
      <c r="K352" s="26">
        <f>IF($R352="","",INDEX(입력_전공의명단!$Q$2:$Q$401,$R352))</f>
        <v/>
      </c>
      <c r="L352" s="28">
        <f>IF($R352="","",INDEX(입력_전공의명단!$S$2:$S$401,$R352))</f>
        <v/>
      </c>
      <c r="M352" s="28">
        <f>IF($R352="","",INDEX(입력_전공의명단!$T$2:$T$401,$R352))</f>
        <v/>
      </c>
      <c r="N352" s="26">
        <f>IF($R352="","",INDEX(입력_전공의명단!$AH$2:$AH$401,$R352))</f>
        <v/>
      </c>
      <c r="O352" s="26">
        <f>IF($R352="","",INDEX(입력_전공의명단!$AI$2:$AI$401,$R352))</f>
        <v/>
      </c>
      <c r="P352" s="27">
        <f>IF($R352="","",INDEX(입력_전공의명단!$AO$2:$AO$401,$R352))</f>
        <v/>
      </c>
      <c r="Q352" s="27">
        <f>IF($R352="","",INDEX(입력_전공의명단!$Z$2:$Z$401,$R352))</f>
        <v/>
      </c>
      <c r="R352" s="29">
        <f>IFERROR(MATCH(ROW()-5,입력_전공의명단!$AM$2:$AM$401,0),"")</f>
        <v/>
      </c>
    </row>
    <row r="353">
      <c r="A353" s="26">
        <f>IF($R353="","",ROW()-5)</f>
        <v/>
      </c>
      <c r="B353" s="26">
        <f>IF($R353="","",INDEX(입력_전공의명단!$C$2:$C$401,$R353))</f>
        <v/>
      </c>
      <c r="C353" s="26">
        <f>IF($R353="","",INDEX(입력_전공의명단!$B$2:$B$401,$R353))</f>
        <v/>
      </c>
      <c r="D353" s="26">
        <f>IF($R353="","",INDEX(입력_전공의명단!$J$2:$J$401,$R353))</f>
        <v/>
      </c>
      <c r="E353" s="26">
        <f>IF($R353="","",INDEX(입력_전공의명단!$F$2:$F$401,$R353))</f>
        <v/>
      </c>
      <c r="F353" s="26">
        <f>IF($R353="","",INDEX(입력_전공의명단!$G$2:$G$401,$R353))</f>
        <v/>
      </c>
      <c r="G353" s="26">
        <f>IF($R353="","",INDEX(입력_전공의명단!$AE$2:$AE$401,$R353))</f>
        <v/>
      </c>
      <c r="H353" s="27">
        <f>IF($R353="","",IF(INDEX(입력_전공의명단!$AE$2:$AE$401,$R353)="서울병원","서울 소속","타 병원 소속("&amp;INDEX(입력_전공의명단!$AE$2:$AE$401,$R353)&amp;") → 서울 지급"))</f>
        <v/>
      </c>
      <c r="I353" s="26">
        <f>IF($R353="","",INDEX(입력_전공의명단!$N$2:$N$401,$R353))</f>
        <v/>
      </c>
      <c r="J353" s="26">
        <f>IF($R353="","",INDEX(입력_전공의명단!$P$2:$P$401,$R353))</f>
        <v/>
      </c>
      <c r="K353" s="26">
        <f>IF($R353="","",INDEX(입력_전공의명단!$Q$2:$Q$401,$R353))</f>
        <v/>
      </c>
      <c r="L353" s="28">
        <f>IF($R353="","",INDEX(입력_전공의명단!$S$2:$S$401,$R353))</f>
        <v/>
      </c>
      <c r="M353" s="28">
        <f>IF($R353="","",INDEX(입력_전공의명단!$T$2:$T$401,$R353))</f>
        <v/>
      </c>
      <c r="N353" s="26">
        <f>IF($R353="","",INDEX(입력_전공의명단!$AH$2:$AH$401,$R353))</f>
        <v/>
      </c>
      <c r="O353" s="26">
        <f>IF($R353="","",INDEX(입력_전공의명단!$AI$2:$AI$401,$R353))</f>
        <v/>
      </c>
      <c r="P353" s="27">
        <f>IF($R353="","",INDEX(입력_전공의명단!$AO$2:$AO$401,$R353))</f>
        <v/>
      </c>
      <c r="Q353" s="27">
        <f>IF($R353="","",INDEX(입력_전공의명단!$Z$2:$Z$401,$R353))</f>
        <v/>
      </c>
      <c r="R353" s="29">
        <f>IFERROR(MATCH(ROW()-5,입력_전공의명단!$AM$2:$AM$401,0),"")</f>
        <v/>
      </c>
    </row>
    <row r="354">
      <c r="A354" s="26">
        <f>IF($R354="","",ROW()-5)</f>
        <v/>
      </c>
      <c r="B354" s="26">
        <f>IF($R354="","",INDEX(입력_전공의명단!$C$2:$C$401,$R354))</f>
        <v/>
      </c>
      <c r="C354" s="26">
        <f>IF($R354="","",INDEX(입력_전공의명단!$B$2:$B$401,$R354))</f>
        <v/>
      </c>
      <c r="D354" s="26">
        <f>IF($R354="","",INDEX(입력_전공의명단!$J$2:$J$401,$R354))</f>
        <v/>
      </c>
      <c r="E354" s="26">
        <f>IF($R354="","",INDEX(입력_전공의명단!$F$2:$F$401,$R354))</f>
        <v/>
      </c>
      <c r="F354" s="26">
        <f>IF($R354="","",INDEX(입력_전공의명단!$G$2:$G$401,$R354))</f>
        <v/>
      </c>
      <c r="G354" s="26">
        <f>IF($R354="","",INDEX(입력_전공의명단!$AE$2:$AE$401,$R354))</f>
        <v/>
      </c>
      <c r="H354" s="27">
        <f>IF($R354="","",IF(INDEX(입력_전공의명단!$AE$2:$AE$401,$R354)="서울병원","서울 소속","타 병원 소속("&amp;INDEX(입력_전공의명단!$AE$2:$AE$401,$R354)&amp;") → 서울 지급"))</f>
        <v/>
      </c>
      <c r="I354" s="26">
        <f>IF($R354="","",INDEX(입력_전공의명단!$N$2:$N$401,$R354))</f>
        <v/>
      </c>
      <c r="J354" s="26">
        <f>IF($R354="","",INDEX(입력_전공의명단!$P$2:$P$401,$R354))</f>
        <v/>
      </c>
      <c r="K354" s="26">
        <f>IF($R354="","",INDEX(입력_전공의명단!$Q$2:$Q$401,$R354))</f>
        <v/>
      </c>
      <c r="L354" s="28">
        <f>IF($R354="","",INDEX(입력_전공의명단!$S$2:$S$401,$R354))</f>
        <v/>
      </c>
      <c r="M354" s="28">
        <f>IF($R354="","",INDEX(입력_전공의명단!$T$2:$T$401,$R354))</f>
        <v/>
      </c>
      <c r="N354" s="26">
        <f>IF($R354="","",INDEX(입력_전공의명단!$AH$2:$AH$401,$R354))</f>
        <v/>
      </c>
      <c r="O354" s="26">
        <f>IF($R354="","",INDEX(입력_전공의명단!$AI$2:$AI$401,$R354))</f>
        <v/>
      </c>
      <c r="P354" s="27">
        <f>IF($R354="","",INDEX(입력_전공의명단!$AO$2:$AO$401,$R354))</f>
        <v/>
      </c>
      <c r="Q354" s="27">
        <f>IF($R354="","",INDEX(입력_전공의명단!$Z$2:$Z$401,$R354))</f>
        <v/>
      </c>
      <c r="R354" s="29">
        <f>IFERROR(MATCH(ROW()-5,입력_전공의명단!$AM$2:$AM$401,0),"")</f>
        <v/>
      </c>
    </row>
    <row r="355">
      <c r="A355" s="26">
        <f>IF($R355="","",ROW()-5)</f>
        <v/>
      </c>
      <c r="B355" s="26">
        <f>IF($R355="","",INDEX(입력_전공의명단!$C$2:$C$401,$R355))</f>
        <v/>
      </c>
      <c r="C355" s="26">
        <f>IF($R355="","",INDEX(입력_전공의명단!$B$2:$B$401,$R355))</f>
        <v/>
      </c>
      <c r="D355" s="26">
        <f>IF($R355="","",INDEX(입력_전공의명단!$J$2:$J$401,$R355))</f>
        <v/>
      </c>
      <c r="E355" s="26">
        <f>IF($R355="","",INDEX(입력_전공의명단!$F$2:$F$401,$R355))</f>
        <v/>
      </c>
      <c r="F355" s="26">
        <f>IF($R355="","",INDEX(입력_전공의명단!$G$2:$G$401,$R355))</f>
        <v/>
      </c>
      <c r="G355" s="26">
        <f>IF($R355="","",INDEX(입력_전공의명단!$AE$2:$AE$401,$R355))</f>
        <v/>
      </c>
      <c r="H355" s="27">
        <f>IF($R355="","",IF(INDEX(입력_전공의명단!$AE$2:$AE$401,$R355)="서울병원","서울 소속","타 병원 소속("&amp;INDEX(입력_전공의명단!$AE$2:$AE$401,$R355)&amp;") → 서울 지급"))</f>
        <v/>
      </c>
      <c r="I355" s="26">
        <f>IF($R355="","",INDEX(입력_전공의명단!$N$2:$N$401,$R355))</f>
        <v/>
      </c>
      <c r="J355" s="26">
        <f>IF($R355="","",INDEX(입력_전공의명단!$P$2:$P$401,$R355))</f>
        <v/>
      </c>
      <c r="K355" s="26">
        <f>IF($R355="","",INDEX(입력_전공의명단!$Q$2:$Q$401,$R355))</f>
        <v/>
      </c>
      <c r="L355" s="28">
        <f>IF($R355="","",INDEX(입력_전공의명단!$S$2:$S$401,$R355))</f>
        <v/>
      </c>
      <c r="M355" s="28">
        <f>IF($R355="","",INDEX(입력_전공의명단!$T$2:$T$401,$R355))</f>
        <v/>
      </c>
      <c r="N355" s="26">
        <f>IF($R355="","",INDEX(입력_전공의명단!$AH$2:$AH$401,$R355))</f>
        <v/>
      </c>
      <c r="O355" s="26">
        <f>IF($R355="","",INDEX(입력_전공의명단!$AI$2:$AI$401,$R355))</f>
        <v/>
      </c>
      <c r="P355" s="27">
        <f>IF($R355="","",INDEX(입력_전공의명단!$AO$2:$AO$401,$R355))</f>
        <v/>
      </c>
      <c r="Q355" s="27">
        <f>IF($R355="","",INDEX(입력_전공의명단!$Z$2:$Z$401,$R355))</f>
        <v/>
      </c>
      <c r="R355" s="29">
        <f>IFERROR(MATCH(ROW()-5,입력_전공의명단!$AM$2:$AM$401,0),"")</f>
        <v/>
      </c>
    </row>
    <row r="356">
      <c r="A356" s="26">
        <f>IF($R356="","",ROW()-5)</f>
        <v/>
      </c>
      <c r="B356" s="26">
        <f>IF($R356="","",INDEX(입력_전공의명단!$C$2:$C$401,$R356))</f>
        <v/>
      </c>
      <c r="C356" s="26">
        <f>IF($R356="","",INDEX(입력_전공의명단!$B$2:$B$401,$R356))</f>
        <v/>
      </c>
      <c r="D356" s="26">
        <f>IF($R356="","",INDEX(입력_전공의명단!$J$2:$J$401,$R356))</f>
        <v/>
      </c>
      <c r="E356" s="26">
        <f>IF($R356="","",INDEX(입력_전공의명단!$F$2:$F$401,$R356))</f>
        <v/>
      </c>
      <c r="F356" s="26">
        <f>IF($R356="","",INDEX(입력_전공의명단!$G$2:$G$401,$R356))</f>
        <v/>
      </c>
      <c r="G356" s="26">
        <f>IF($R356="","",INDEX(입력_전공의명단!$AE$2:$AE$401,$R356))</f>
        <v/>
      </c>
      <c r="H356" s="27">
        <f>IF($R356="","",IF(INDEX(입력_전공의명단!$AE$2:$AE$401,$R356)="서울병원","서울 소속","타 병원 소속("&amp;INDEX(입력_전공의명단!$AE$2:$AE$401,$R356)&amp;") → 서울 지급"))</f>
        <v/>
      </c>
      <c r="I356" s="26">
        <f>IF($R356="","",INDEX(입력_전공의명단!$N$2:$N$401,$R356))</f>
        <v/>
      </c>
      <c r="J356" s="26">
        <f>IF($R356="","",INDEX(입력_전공의명단!$P$2:$P$401,$R356))</f>
        <v/>
      </c>
      <c r="K356" s="26">
        <f>IF($R356="","",INDEX(입력_전공의명단!$Q$2:$Q$401,$R356))</f>
        <v/>
      </c>
      <c r="L356" s="28">
        <f>IF($R356="","",INDEX(입력_전공의명단!$S$2:$S$401,$R356))</f>
        <v/>
      </c>
      <c r="M356" s="28">
        <f>IF($R356="","",INDEX(입력_전공의명단!$T$2:$T$401,$R356))</f>
        <v/>
      </c>
      <c r="N356" s="26">
        <f>IF($R356="","",INDEX(입력_전공의명단!$AH$2:$AH$401,$R356))</f>
        <v/>
      </c>
      <c r="O356" s="26">
        <f>IF($R356="","",INDEX(입력_전공의명단!$AI$2:$AI$401,$R356))</f>
        <v/>
      </c>
      <c r="P356" s="27">
        <f>IF($R356="","",INDEX(입력_전공의명단!$AO$2:$AO$401,$R356))</f>
        <v/>
      </c>
      <c r="Q356" s="27">
        <f>IF($R356="","",INDEX(입력_전공의명단!$Z$2:$Z$401,$R356))</f>
        <v/>
      </c>
      <c r="R356" s="29">
        <f>IFERROR(MATCH(ROW()-5,입력_전공의명단!$AM$2:$AM$401,0),"")</f>
        <v/>
      </c>
    </row>
    <row r="357">
      <c r="A357" s="26">
        <f>IF($R357="","",ROW()-5)</f>
        <v/>
      </c>
      <c r="B357" s="26">
        <f>IF($R357="","",INDEX(입력_전공의명단!$C$2:$C$401,$R357))</f>
        <v/>
      </c>
      <c r="C357" s="26">
        <f>IF($R357="","",INDEX(입력_전공의명단!$B$2:$B$401,$R357))</f>
        <v/>
      </c>
      <c r="D357" s="26">
        <f>IF($R357="","",INDEX(입력_전공의명단!$J$2:$J$401,$R357))</f>
        <v/>
      </c>
      <c r="E357" s="26">
        <f>IF($R357="","",INDEX(입력_전공의명단!$F$2:$F$401,$R357))</f>
        <v/>
      </c>
      <c r="F357" s="26">
        <f>IF($R357="","",INDEX(입력_전공의명단!$G$2:$G$401,$R357))</f>
        <v/>
      </c>
      <c r="G357" s="26">
        <f>IF($R357="","",INDEX(입력_전공의명단!$AE$2:$AE$401,$R357))</f>
        <v/>
      </c>
      <c r="H357" s="27">
        <f>IF($R357="","",IF(INDEX(입력_전공의명단!$AE$2:$AE$401,$R357)="서울병원","서울 소속","타 병원 소속("&amp;INDEX(입력_전공의명단!$AE$2:$AE$401,$R357)&amp;") → 서울 지급"))</f>
        <v/>
      </c>
      <c r="I357" s="26">
        <f>IF($R357="","",INDEX(입력_전공의명단!$N$2:$N$401,$R357))</f>
        <v/>
      </c>
      <c r="J357" s="26">
        <f>IF($R357="","",INDEX(입력_전공의명단!$P$2:$P$401,$R357))</f>
        <v/>
      </c>
      <c r="K357" s="26">
        <f>IF($R357="","",INDEX(입력_전공의명단!$Q$2:$Q$401,$R357))</f>
        <v/>
      </c>
      <c r="L357" s="28">
        <f>IF($R357="","",INDEX(입력_전공의명단!$S$2:$S$401,$R357))</f>
        <v/>
      </c>
      <c r="M357" s="28">
        <f>IF($R357="","",INDEX(입력_전공의명단!$T$2:$T$401,$R357))</f>
        <v/>
      </c>
      <c r="N357" s="26">
        <f>IF($R357="","",INDEX(입력_전공의명단!$AH$2:$AH$401,$R357))</f>
        <v/>
      </c>
      <c r="O357" s="26">
        <f>IF($R357="","",INDEX(입력_전공의명단!$AI$2:$AI$401,$R357))</f>
        <v/>
      </c>
      <c r="P357" s="27">
        <f>IF($R357="","",INDEX(입력_전공의명단!$AO$2:$AO$401,$R357))</f>
        <v/>
      </c>
      <c r="Q357" s="27">
        <f>IF($R357="","",INDEX(입력_전공의명단!$Z$2:$Z$401,$R357))</f>
        <v/>
      </c>
      <c r="R357" s="29">
        <f>IFERROR(MATCH(ROW()-5,입력_전공의명단!$AM$2:$AM$401,0),"")</f>
        <v/>
      </c>
    </row>
    <row r="358">
      <c r="A358" s="26">
        <f>IF($R358="","",ROW()-5)</f>
        <v/>
      </c>
      <c r="B358" s="26">
        <f>IF($R358="","",INDEX(입력_전공의명단!$C$2:$C$401,$R358))</f>
        <v/>
      </c>
      <c r="C358" s="26">
        <f>IF($R358="","",INDEX(입력_전공의명단!$B$2:$B$401,$R358))</f>
        <v/>
      </c>
      <c r="D358" s="26">
        <f>IF($R358="","",INDEX(입력_전공의명단!$J$2:$J$401,$R358))</f>
        <v/>
      </c>
      <c r="E358" s="26">
        <f>IF($R358="","",INDEX(입력_전공의명단!$F$2:$F$401,$R358))</f>
        <v/>
      </c>
      <c r="F358" s="26">
        <f>IF($R358="","",INDEX(입력_전공의명단!$G$2:$G$401,$R358))</f>
        <v/>
      </c>
      <c r="G358" s="26">
        <f>IF($R358="","",INDEX(입력_전공의명단!$AE$2:$AE$401,$R358))</f>
        <v/>
      </c>
      <c r="H358" s="27">
        <f>IF($R358="","",IF(INDEX(입력_전공의명단!$AE$2:$AE$401,$R358)="서울병원","서울 소속","타 병원 소속("&amp;INDEX(입력_전공의명단!$AE$2:$AE$401,$R358)&amp;") → 서울 지급"))</f>
        <v/>
      </c>
      <c r="I358" s="26">
        <f>IF($R358="","",INDEX(입력_전공의명단!$N$2:$N$401,$R358))</f>
        <v/>
      </c>
      <c r="J358" s="26">
        <f>IF($R358="","",INDEX(입력_전공의명단!$P$2:$P$401,$R358))</f>
        <v/>
      </c>
      <c r="K358" s="26">
        <f>IF($R358="","",INDEX(입력_전공의명단!$Q$2:$Q$401,$R358))</f>
        <v/>
      </c>
      <c r="L358" s="28">
        <f>IF($R358="","",INDEX(입력_전공의명단!$S$2:$S$401,$R358))</f>
        <v/>
      </c>
      <c r="M358" s="28">
        <f>IF($R358="","",INDEX(입력_전공의명단!$T$2:$T$401,$R358))</f>
        <v/>
      </c>
      <c r="N358" s="26">
        <f>IF($R358="","",INDEX(입력_전공의명단!$AH$2:$AH$401,$R358))</f>
        <v/>
      </c>
      <c r="O358" s="26">
        <f>IF($R358="","",INDEX(입력_전공의명단!$AI$2:$AI$401,$R358))</f>
        <v/>
      </c>
      <c r="P358" s="27">
        <f>IF($R358="","",INDEX(입력_전공의명단!$AO$2:$AO$401,$R358))</f>
        <v/>
      </c>
      <c r="Q358" s="27">
        <f>IF($R358="","",INDEX(입력_전공의명단!$Z$2:$Z$401,$R358))</f>
        <v/>
      </c>
      <c r="R358" s="29">
        <f>IFERROR(MATCH(ROW()-5,입력_전공의명단!$AM$2:$AM$401,0),"")</f>
        <v/>
      </c>
    </row>
    <row r="359">
      <c r="A359" s="26">
        <f>IF($R359="","",ROW()-5)</f>
        <v/>
      </c>
      <c r="B359" s="26">
        <f>IF($R359="","",INDEX(입력_전공의명단!$C$2:$C$401,$R359))</f>
        <v/>
      </c>
      <c r="C359" s="26">
        <f>IF($R359="","",INDEX(입력_전공의명단!$B$2:$B$401,$R359))</f>
        <v/>
      </c>
      <c r="D359" s="26">
        <f>IF($R359="","",INDEX(입력_전공의명단!$J$2:$J$401,$R359))</f>
        <v/>
      </c>
      <c r="E359" s="26">
        <f>IF($R359="","",INDEX(입력_전공의명단!$F$2:$F$401,$R359))</f>
        <v/>
      </c>
      <c r="F359" s="26">
        <f>IF($R359="","",INDEX(입력_전공의명단!$G$2:$G$401,$R359))</f>
        <v/>
      </c>
      <c r="G359" s="26">
        <f>IF($R359="","",INDEX(입력_전공의명단!$AE$2:$AE$401,$R359))</f>
        <v/>
      </c>
      <c r="H359" s="27">
        <f>IF($R359="","",IF(INDEX(입력_전공의명단!$AE$2:$AE$401,$R359)="서울병원","서울 소속","타 병원 소속("&amp;INDEX(입력_전공의명단!$AE$2:$AE$401,$R359)&amp;") → 서울 지급"))</f>
        <v/>
      </c>
      <c r="I359" s="26">
        <f>IF($R359="","",INDEX(입력_전공의명단!$N$2:$N$401,$R359))</f>
        <v/>
      </c>
      <c r="J359" s="26">
        <f>IF($R359="","",INDEX(입력_전공의명단!$P$2:$P$401,$R359))</f>
        <v/>
      </c>
      <c r="K359" s="26">
        <f>IF($R359="","",INDEX(입력_전공의명단!$Q$2:$Q$401,$R359))</f>
        <v/>
      </c>
      <c r="L359" s="28">
        <f>IF($R359="","",INDEX(입력_전공의명단!$S$2:$S$401,$R359))</f>
        <v/>
      </c>
      <c r="M359" s="28">
        <f>IF($R359="","",INDEX(입력_전공의명단!$T$2:$T$401,$R359))</f>
        <v/>
      </c>
      <c r="N359" s="26">
        <f>IF($R359="","",INDEX(입력_전공의명단!$AH$2:$AH$401,$R359))</f>
        <v/>
      </c>
      <c r="O359" s="26">
        <f>IF($R359="","",INDEX(입력_전공의명단!$AI$2:$AI$401,$R359))</f>
        <v/>
      </c>
      <c r="P359" s="27">
        <f>IF($R359="","",INDEX(입력_전공의명단!$AO$2:$AO$401,$R359))</f>
        <v/>
      </c>
      <c r="Q359" s="27">
        <f>IF($R359="","",INDEX(입력_전공의명단!$Z$2:$Z$401,$R359))</f>
        <v/>
      </c>
      <c r="R359" s="29">
        <f>IFERROR(MATCH(ROW()-5,입력_전공의명단!$AM$2:$AM$401,0),"")</f>
        <v/>
      </c>
    </row>
    <row r="360">
      <c r="A360" s="26">
        <f>IF($R360="","",ROW()-5)</f>
        <v/>
      </c>
      <c r="B360" s="26">
        <f>IF($R360="","",INDEX(입력_전공의명단!$C$2:$C$401,$R360))</f>
        <v/>
      </c>
      <c r="C360" s="26">
        <f>IF($R360="","",INDEX(입력_전공의명단!$B$2:$B$401,$R360))</f>
        <v/>
      </c>
      <c r="D360" s="26">
        <f>IF($R360="","",INDEX(입력_전공의명단!$J$2:$J$401,$R360))</f>
        <v/>
      </c>
      <c r="E360" s="26">
        <f>IF($R360="","",INDEX(입력_전공의명단!$F$2:$F$401,$R360))</f>
        <v/>
      </c>
      <c r="F360" s="26">
        <f>IF($R360="","",INDEX(입력_전공의명단!$G$2:$G$401,$R360))</f>
        <v/>
      </c>
      <c r="G360" s="26">
        <f>IF($R360="","",INDEX(입력_전공의명단!$AE$2:$AE$401,$R360))</f>
        <v/>
      </c>
      <c r="H360" s="27">
        <f>IF($R360="","",IF(INDEX(입력_전공의명단!$AE$2:$AE$401,$R360)="서울병원","서울 소속","타 병원 소속("&amp;INDEX(입력_전공의명단!$AE$2:$AE$401,$R360)&amp;") → 서울 지급"))</f>
        <v/>
      </c>
      <c r="I360" s="26">
        <f>IF($R360="","",INDEX(입력_전공의명단!$N$2:$N$401,$R360))</f>
        <v/>
      </c>
      <c r="J360" s="26">
        <f>IF($R360="","",INDEX(입력_전공의명단!$P$2:$P$401,$R360))</f>
        <v/>
      </c>
      <c r="K360" s="26">
        <f>IF($R360="","",INDEX(입력_전공의명단!$Q$2:$Q$401,$R360))</f>
        <v/>
      </c>
      <c r="L360" s="28">
        <f>IF($R360="","",INDEX(입력_전공의명단!$S$2:$S$401,$R360))</f>
        <v/>
      </c>
      <c r="M360" s="28">
        <f>IF($R360="","",INDEX(입력_전공의명단!$T$2:$T$401,$R360))</f>
        <v/>
      </c>
      <c r="N360" s="26">
        <f>IF($R360="","",INDEX(입력_전공의명단!$AH$2:$AH$401,$R360))</f>
        <v/>
      </c>
      <c r="O360" s="26">
        <f>IF($R360="","",INDEX(입력_전공의명단!$AI$2:$AI$401,$R360))</f>
        <v/>
      </c>
      <c r="P360" s="27">
        <f>IF($R360="","",INDEX(입력_전공의명단!$AO$2:$AO$401,$R360))</f>
        <v/>
      </c>
      <c r="Q360" s="27">
        <f>IF($R360="","",INDEX(입력_전공의명단!$Z$2:$Z$401,$R360))</f>
        <v/>
      </c>
      <c r="R360" s="29">
        <f>IFERROR(MATCH(ROW()-5,입력_전공의명단!$AM$2:$AM$401,0),"")</f>
        <v/>
      </c>
    </row>
    <row r="361">
      <c r="A361" s="26">
        <f>IF($R361="","",ROW()-5)</f>
        <v/>
      </c>
      <c r="B361" s="26">
        <f>IF($R361="","",INDEX(입력_전공의명단!$C$2:$C$401,$R361))</f>
        <v/>
      </c>
      <c r="C361" s="26">
        <f>IF($R361="","",INDEX(입력_전공의명단!$B$2:$B$401,$R361))</f>
        <v/>
      </c>
      <c r="D361" s="26">
        <f>IF($R361="","",INDEX(입력_전공의명단!$J$2:$J$401,$R361))</f>
        <v/>
      </c>
      <c r="E361" s="26">
        <f>IF($R361="","",INDEX(입력_전공의명단!$F$2:$F$401,$R361))</f>
        <v/>
      </c>
      <c r="F361" s="26">
        <f>IF($R361="","",INDEX(입력_전공의명단!$G$2:$G$401,$R361))</f>
        <v/>
      </c>
      <c r="G361" s="26">
        <f>IF($R361="","",INDEX(입력_전공의명단!$AE$2:$AE$401,$R361))</f>
        <v/>
      </c>
      <c r="H361" s="27">
        <f>IF($R361="","",IF(INDEX(입력_전공의명단!$AE$2:$AE$401,$R361)="서울병원","서울 소속","타 병원 소속("&amp;INDEX(입력_전공의명단!$AE$2:$AE$401,$R361)&amp;") → 서울 지급"))</f>
        <v/>
      </c>
      <c r="I361" s="26">
        <f>IF($R361="","",INDEX(입력_전공의명단!$N$2:$N$401,$R361))</f>
        <v/>
      </c>
      <c r="J361" s="26">
        <f>IF($R361="","",INDEX(입력_전공의명단!$P$2:$P$401,$R361))</f>
        <v/>
      </c>
      <c r="K361" s="26">
        <f>IF($R361="","",INDEX(입력_전공의명단!$Q$2:$Q$401,$R361))</f>
        <v/>
      </c>
      <c r="L361" s="28">
        <f>IF($R361="","",INDEX(입력_전공의명단!$S$2:$S$401,$R361))</f>
        <v/>
      </c>
      <c r="M361" s="28">
        <f>IF($R361="","",INDEX(입력_전공의명단!$T$2:$T$401,$R361))</f>
        <v/>
      </c>
      <c r="N361" s="26">
        <f>IF($R361="","",INDEX(입력_전공의명단!$AH$2:$AH$401,$R361))</f>
        <v/>
      </c>
      <c r="O361" s="26">
        <f>IF($R361="","",INDEX(입력_전공의명단!$AI$2:$AI$401,$R361))</f>
        <v/>
      </c>
      <c r="P361" s="27">
        <f>IF($R361="","",INDEX(입력_전공의명단!$AO$2:$AO$401,$R361))</f>
        <v/>
      </c>
      <c r="Q361" s="27">
        <f>IF($R361="","",INDEX(입력_전공의명단!$Z$2:$Z$401,$R361))</f>
        <v/>
      </c>
      <c r="R361" s="29">
        <f>IFERROR(MATCH(ROW()-5,입력_전공의명단!$AM$2:$AM$401,0),"")</f>
        <v/>
      </c>
    </row>
    <row r="362">
      <c r="A362" s="26">
        <f>IF($R362="","",ROW()-5)</f>
        <v/>
      </c>
      <c r="B362" s="26">
        <f>IF($R362="","",INDEX(입력_전공의명단!$C$2:$C$401,$R362))</f>
        <v/>
      </c>
      <c r="C362" s="26">
        <f>IF($R362="","",INDEX(입력_전공의명단!$B$2:$B$401,$R362))</f>
        <v/>
      </c>
      <c r="D362" s="26">
        <f>IF($R362="","",INDEX(입력_전공의명단!$J$2:$J$401,$R362))</f>
        <v/>
      </c>
      <c r="E362" s="26">
        <f>IF($R362="","",INDEX(입력_전공의명단!$F$2:$F$401,$R362))</f>
        <v/>
      </c>
      <c r="F362" s="26">
        <f>IF($R362="","",INDEX(입력_전공의명단!$G$2:$G$401,$R362))</f>
        <v/>
      </c>
      <c r="G362" s="26">
        <f>IF($R362="","",INDEX(입력_전공의명단!$AE$2:$AE$401,$R362))</f>
        <v/>
      </c>
      <c r="H362" s="27">
        <f>IF($R362="","",IF(INDEX(입력_전공의명단!$AE$2:$AE$401,$R362)="서울병원","서울 소속","타 병원 소속("&amp;INDEX(입력_전공의명단!$AE$2:$AE$401,$R362)&amp;") → 서울 지급"))</f>
        <v/>
      </c>
      <c r="I362" s="26">
        <f>IF($R362="","",INDEX(입력_전공의명단!$N$2:$N$401,$R362))</f>
        <v/>
      </c>
      <c r="J362" s="26">
        <f>IF($R362="","",INDEX(입력_전공의명단!$P$2:$P$401,$R362))</f>
        <v/>
      </c>
      <c r="K362" s="26">
        <f>IF($R362="","",INDEX(입력_전공의명단!$Q$2:$Q$401,$R362))</f>
        <v/>
      </c>
      <c r="L362" s="28">
        <f>IF($R362="","",INDEX(입력_전공의명단!$S$2:$S$401,$R362))</f>
        <v/>
      </c>
      <c r="M362" s="28">
        <f>IF($R362="","",INDEX(입력_전공의명단!$T$2:$T$401,$R362))</f>
        <v/>
      </c>
      <c r="N362" s="26">
        <f>IF($R362="","",INDEX(입력_전공의명단!$AH$2:$AH$401,$R362))</f>
        <v/>
      </c>
      <c r="O362" s="26">
        <f>IF($R362="","",INDEX(입력_전공의명단!$AI$2:$AI$401,$R362))</f>
        <v/>
      </c>
      <c r="P362" s="27">
        <f>IF($R362="","",INDEX(입력_전공의명단!$AO$2:$AO$401,$R362))</f>
        <v/>
      </c>
      <c r="Q362" s="27">
        <f>IF($R362="","",INDEX(입력_전공의명단!$Z$2:$Z$401,$R362))</f>
        <v/>
      </c>
      <c r="R362" s="29">
        <f>IFERROR(MATCH(ROW()-5,입력_전공의명단!$AM$2:$AM$401,0),"")</f>
        <v/>
      </c>
    </row>
    <row r="363">
      <c r="A363" s="26">
        <f>IF($R363="","",ROW()-5)</f>
        <v/>
      </c>
      <c r="B363" s="26">
        <f>IF($R363="","",INDEX(입력_전공의명단!$C$2:$C$401,$R363))</f>
        <v/>
      </c>
      <c r="C363" s="26">
        <f>IF($R363="","",INDEX(입력_전공의명단!$B$2:$B$401,$R363))</f>
        <v/>
      </c>
      <c r="D363" s="26">
        <f>IF($R363="","",INDEX(입력_전공의명단!$J$2:$J$401,$R363))</f>
        <v/>
      </c>
      <c r="E363" s="26">
        <f>IF($R363="","",INDEX(입력_전공의명단!$F$2:$F$401,$R363))</f>
        <v/>
      </c>
      <c r="F363" s="26">
        <f>IF($R363="","",INDEX(입력_전공의명단!$G$2:$G$401,$R363))</f>
        <v/>
      </c>
      <c r="G363" s="26">
        <f>IF($R363="","",INDEX(입력_전공의명단!$AE$2:$AE$401,$R363))</f>
        <v/>
      </c>
      <c r="H363" s="27">
        <f>IF($R363="","",IF(INDEX(입력_전공의명단!$AE$2:$AE$401,$R363)="서울병원","서울 소속","타 병원 소속("&amp;INDEX(입력_전공의명단!$AE$2:$AE$401,$R363)&amp;") → 서울 지급"))</f>
        <v/>
      </c>
      <c r="I363" s="26">
        <f>IF($R363="","",INDEX(입력_전공의명단!$N$2:$N$401,$R363))</f>
        <v/>
      </c>
      <c r="J363" s="26">
        <f>IF($R363="","",INDEX(입력_전공의명단!$P$2:$P$401,$R363))</f>
        <v/>
      </c>
      <c r="K363" s="26">
        <f>IF($R363="","",INDEX(입력_전공의명단!$Q$2:$Q$401,$R363))</f>
        <v/>
      </c>
      <c r="L363" s="28">
        <f>IF($R363="","",INDEX(입력_전공의명단!$S$2:$S$401,$R363))</f>
        <v/>
      </c>
      <c r="M363" s="28">
        <f>IF($R363="","",INDEX(입력_전공의명단!$T$2:$T$401,$R363))</f>
        <v/>
      </c>
      <c r="N363" s="26">
        <f>IF($R363="","",INDEX(입력_전공의명단!$AH$2:$AH$401,$R363))</f>
        <v/>
      </c>
      <c r="O363" s="26">
        <f>IF($R363="","",INDEX(입력_전공의명단!$AI$2:$AI$401,$R363))</f>
        <v/>
      </c>
      <c r="P363" s="27">
        <f>IF($R363="","",INDEX(입력_전공의명단!$AO$2:$AO$401,$R363))</f>
        <v/>
      </c>
      <c r="Q363" s="27">
        <f>IF($R363="","",INDEX(입력_전공의명단!$Z$2:$Z$401,$R363))</f>
        <v/>
      </c>
      <c r="R363" s="29">
        <f>IFERROR(MATCH(ROW()-5,입력_전공의명단!$AM$2:$AM$401,0),"")</f>
        <v/>
      </c>
    </row>
    <row r="364">
      <c r="A364" s="26">
        <f>IF($R364="","",ROW()-5)</f>
        <v/>
      </c>
      <c r="B364" s="26">
        <f>IF($R364="","",INDEX(입력_전공의명단!$C$2:$C$401,$R364))</f>
        <v/>
      </c>
      <c r="C364" s="26">
        <f>IF($R364="","",INDEX(입력_전공의명단!$B$2:$B$401,$R364))</f>
        <v/>
      </c>
      <c r="D364" s="26">
        <f>IF($R364="","",INDEX(입력_전공의명단!$J$2:$J$401,$R364))</f>
        <v/>
      </c>
      <c r="E364" s="26">
        <f>IF($R364="","",INDEX(입력_전공의명단!$F$2:$F$401,$R364))</f>
        <v/>
      </c>
      <c r="F364" s="26">
        <f>IF($R364="","",INDEX(입력_전공의명단!$G$2:$G$401,$R364))</f>
        <v/>
      </c>
      <c r="G364" s="26">
        <f>IF($R364="","",INDEX(입력_전공의명단!$AE$2:$AE$401,$R364))</f>
        <v/>
      </c>
      <c r="H364" s="27">
        <f>IF($R364="","",IF(INDEX(입력_전공의명단!$AE$2:$AE$401,$R364)="서울병원","서울 소속","타 병원 소속("&amp;INDEX(입력_전공의명단!$AE$2:$AE$401,$R364)&amp;") → 서울 지급"))</f>
        <v/>
      </c>
      <c r="I364" s="26">
        <f>IF($R364="","",INDEX(입력_전공의명단!$N$2:$N$401,$R364))</f>
        <v/>
      </c>
      <c r="J364" s="26">
        <f>IF($R364="","",INDEX(입력_전공의명단!$P$2:$P$401,$R364))</f>
        <v/>
      </c>
      <c r="K364" s="26">
        <f>IF($R364="","",INDEX(입력_전공의명단!$Q$2:$Q$401,$R364))</f>
        <v/>
      </c>
      <c r="L364" s="28">
        <f>IF($R364="","",INDEX(입력_전공의명단!$S$2:$S$401,$R364))</f>
        <v/>
      </c>
      <c r="M364" s="28">
        <f>IF($R364="","",INDEX(입력_전공의명단!$T$2:$T$401,$R364))</f>
        <v/>
      </c>
      <c r="N364" s="26">
        <f>IF($R364="","",INDEX(입력_전공의명단!$AH$2:$AH$401,$R364))</f>
        <v/>
      </c>
      <c r="O364" s="26">
        <f>IF($R364="","",INDEX(입력_전공의명단!$AI$2:$AI$401,$R364))</f>
        <v/>
      </c>
      <c r="P364" s="27">
        <f>IF($R364="","",INDEX(입력_전공의명단!$AO$2:$AO$401,$R364))</f>
        <v/>
      </c>
      <c r="Q364" s="27">
        <f>IF($R364="","",INDEX(입력_전공의명단!$Z$2:$Z$401,$R364))</f>
        <v/>
      </c>
      <c r="R364" s="29">
        <f>IFERROR(MATCH(ROW()-5,입력_전공의명단!$AM$2:$AM$401,0),"")</f>
        <v/>
      </c>
    </row>
    <row r="365">
      <c r="A365" s="26">
        <f>IF($R365="","",ROW()-5)</f>
        <v/>
      </c>
      <c r="B365" s="26">
        <f>IF($R365="","",INDEX(입력_전공의명단!$C$2:$C$401,$R365))</f>
        <v/>
      </c>
      <c r="C365" s="26">
        <f>IF($R365="","",INDEX(입력_전공의명단!$B$2:$B$401,$R365))</f>
        <v/>
      </c>
      <c r="D365" s="26">
        <f>IF($R365="","",INDEX(입력_전공의명단!$J$2:$J$401,$R365))</f>
        <v/>
      </c>
      <c r="E365" s="26">
        <f>IF($R365="","",INDEX(입력_전공의명단!$F$2:$F$401,$R365))</f>
        <v/>
      </c>
      <c r="F365" s="26">
        <f>IF($R365="","",INDEX(입력_전공의명단!$G$2:$G$401,$R365))</f>
        <v/>
      </c>
      <c r="G365" s="26">
        <f>IF($R365="","",INDEX(입력_전공의명단!$AE$2:$AE$401,$R365))</f>
        <v/>
      </c>
      <c r="H365" s="27">
        <f>IF($R365="","",IF(INDEX(입력_전공의명단!$AE$2:$AE$401,$R365)="서울병원","서울 소속","타 병원 소속("&amp;INDEX(입력_전공의명단!$AE$2:$AE$401,$R365)&amp;") → 서울 지급"))</f>
        <v/>
      </c>
      <c r="I365" s="26">
        <f>IF($R365="","",INDEX(입력_전공의명단!$N$2:$N$401,$R365))</f>
        <v/>
      </c>
      <c r="J365" s="26">
        <f>IF($R365="","",INDEX(입력_전공의명단!$P$2:$P$401,$R365))</f>
        <v/>
      </c>
      <c r="K365" s="26">
        <f>IF($R365="","",INDEX(입력_전공의명단!$Q$2:$Q$401,$R365))</f>
        <v/>
      </c>
      <c r="L365" s="28">
        <f>IF($R365="","",INDEX(입력_전공의명단!$S$2:$S$401,$R365))</f>
        <v/>
      </c>
      <c r="M365" s="28">
        <f>IF($R365="","",INDEX(입력_전공의명단!$T$2:$T$401,$R365))</f>
        <v/>
      </c>
      <c r="N365" s="26">
        <f>IF($R365="","",INDEX(입력_전공의명단!$AH$2:$AH$401,$R365))</f>
        <v/>
      </c>
      <c r="O365" s="26">
        <f>IF($R365="","",INDEX(입력_전공의명단!$AI$2:$AI$401,$R365))</f>
        <v/>
      </c>
      <c r="P365" s="27">
        <f>IF($R365="","",INDEX(입력_전공의명단!$AO$2:$AO$401,$R365))</f>
        <v/>
      </c>
      <c r="Q365" s="27">
        <f>IF($R365="","",INDEX(입력_전공의명단!$Z$2:$Z$401,$R365))</f>
        <v/>
      </c>
      <c r="R365" s="29">
        <f>IFERROR(MATCH(ROW()-5,입력_전공의명단!$AM$2:$AM$401,0),"")</f>
        <v/>
      </c>
    </row>
    <row r="366">
      <c r="A366" s="26">
        <f>IF($R366="","",ROW()-5)</f>
        <v/>
      </c>
      <c r="B366" s="26">
        <f>IF($R366="","",INDEX(입력_전공의명단!$C$2:$C$401,$R366))</f>
        <v/>
      </c>
      <c r="C366" s="26">
        <f>IF($R366="","",INDEX(입력_전공의명단!$B$2:$B$401,$R366))</f>
        <v/>
      </c>
      <c r="D366" s="26">
        <f>IF($R366="","",INDEX(입력_전공의명단!$J$2:$J$401,$R366))</f>
        <v/>
      </c>
      <c r="E366" s="26">
        <f>IF($R366="","",INDEX(입력_전공의명단!$F$2:$F$401,$R366))</f>
        <v/>
      </c>
      <c r="F366" s="26">
        <f>IF($R366="","",INDEX(입력_전공의명단!$G$2:$G$401,$R366))</f>
        <v/>
      </c>
      <c r="G366" s="26">
        <f>IF($R366="","",INDEX(입력_전공의명단!$AE$2:$AE$401,$R366))</f>
        <v/>
      </c>
      <c r="H366" s="27">
        <f>IF($R366="","",IF(INDEX(입력_전공의명단!$AE$2:$AE$401,$R366)="서울병원","서울 소속","타 병원 소속("&amp;INDEX(입력_전공의명단!$AE$2:$AE$401,$R366)&amp;") → 서울 지급"))</f>
        <v/>
      </c>
      <c r="I366" s="26">
        <f>IF($R366="","",INDEX(입력_전공의명단!$N$2:$N$401,$R366))</f>
        <v/>
      </c>
      <c r="J366" s="26">
        <f>IF($R366="","",INDEX(입력_전공의명단!$P$2:$P$401,$R366))</f>
        <v/>
      </c>
      <c r="K366" s="26">
        <f>IF($R366="","",INDEX(입력_전공의명단!$Q$2:$Q$401,$R366))</f>
        <v/>
      </c>
      <c r="L366" s="28">
        <f>IF($R366="","",INDEX(입력_전공의명단!$S$2:$S$401,$R366))</f>
        <v/>
      </c>
      <c r="M366" s="28">
        <f>IF($R366="","",INDEX(입력_전공의명단!$T$2:$T$401,$R366))</f>
        <v/>
      </c>
      <c r="N366" s="26">
        <f>IF($R366="","",INDEX(입력_전공의명단!$AH$2:$AH$401,$R366))</f>
        <v/>
      </c>
      <c r="O366" s="26">
        <f>IF($R366="","",INDEX(입력_전공의명단!$AI$2:$AI$401,$R366))</f>
        <v/>
      </c>
      <c r="P366" s="27">
        <f>IF($R366="","",INDEX(입력_전공의명단!$AO$2:$AO$401,$R366))</f>
        <v/>
      </c>
      <c r="Q366" s="27">
        <f>IF($R366="","",INDEX(입력_전공의명단!$Z$2:$Z$401,$R366))</f>
        <v/>
      </c>
      <c r="R366" s="29">
        <f>IFERROR(MATCH(ROW()-5,입력_전공의명단!$AM$2:$AM$401,0),"")</f>
        <v/>
      </c>
    </row>
    <row r="367">
      <c r="A367" s="26">
        <f>IF($R367="","",ROW()-5)</f>
        <v/>
      </c>
      <c r="B367" s="26">
        <f>IF($R367="","",INDEX(입력_전공의명단!$C$2:$C$401,$R367))</f>
        <v/>
      </c>
      <c r="C367" s="26">
        <f>IF($R367="","",INDEX(입력_전공의명단!$B$2:$B$401,$R367))</f>
        <v/>
      </c>
      <c r="D367" s="26">
        <f>IF($R367="","",INDEX(입력_전공의명단!$J$2:$J$401,$R367))</f>
        <v/>
      </c>
      <c r="E367" s="26">
        <f>IF($R367="","",INDEX(입력_전공의명단!$F$2:$F$401,$R367))</f>
        <v/>
      </c>
      <c r="F367" s="26">
        <f>IF($R367="","",INDEX(입력_전공의명단!$G$2:$G$401,$R367))</f>
        <v/>
      </c>
      <c r="G367" s="26">
        <f>IF($R367="","",INDEX(입력_전공의명단!$AE$2:$AE$401,$R367))</f>
        <v/>
      </c>
      <c r="H367" s="27">
        <f>IF($R367="","",IF(INDEX(입력_전공의명단!$AE$2:$AE$401,$R367)="서울병원","서울 소속","타 병원 소속("&amp;INDEX(입력_전공의명단!$AE$2:$AE$401,$R367)&amp;") → 서울 지급"))</f>
        <v/>
      </c>
      <c r="I367" s="26">
        <f>IF($R367="","",INDEX(입력_전공의명단!$N$2:$N$401,$R367))</f>
        <v/>
      </c>
      <c r="J367" s="26">
        <f>IF($R367="","",INDEX(입력_전공의명단!$P$2:$P$401,$R367))</f>
        <v/>
      </c>
      <c r="K367" s="26">
        <f>IF($R367="","",INDEX(입력_전공의명단!$Q$2:$Q$401,$R367))</f>
        <v/>
      </c>
      <c r="L367" s="28">
        <f>IF($R367="","",INDEX(입력_전공의명단!$S$2:$S$401,$R367))</f>
        <v/>
      </c>
      <c r="M367" s="28">
        <f>IF($R367="","",INDEX(입력_전공의명단!$T$2:$T$401,$R367))</f>
        <v/>
      </c>
      <c r="N367" s="26">
        <f>IF($R367="","",INDEX(입력_전공의명단!$AH$2:$AH$401,$R367))</f>
        <v/>
      </c>
      <c r="O367" s="26">
        <f>IF($R367="","",INDEX(입력_전공의명단!$AI$2:$AI$401,$R367))</f>
        <v/>
      </c>
      <c r="P367" s="27">
        <f>IF($R367="","",INDEX(입력_전공의명단!$AO$2:$AO$401,$R367))</f>
        <v/>
      </c>
      <c r="Q367" s="27">
        <f>IF($R367="","",INDEX(입력_전공의명단!$Z$2:$Z$401,$R367))</f>
        <v/>
      </c>
      <c r="R367" s="29">
        <f>IFERROR(MATCH(ROW()-5,입력_전공의명단!$AM$2:$AM$401,0),"")</f>
        <v/>
      </c>
    </row>
    <row r="368">
      <c r="A368" s="26">
        <f>IF($R368="","",ROW()-5)</f>
        <v/>
      </c>
      <c r="B368" s="26">
        <f>IF($R368="","",INDEX(입력_전공의명단!$C$2:$C$401,$R368))</f>
        <v/>
      </c>
      <c r="C368" s="26">
        <f>IF($R368="","",INDEX(입력_전공의명단!$B$2:$B$401,$R368))</f>
        <v/>
      </c>
      <c r="D368" s="26">
        <f>IF($R368="","",INDEX(입력_전공의명단!$J$2:$J$401,$R368))</f>
        <v/>
      </c>
      <c r="E368" s="26">
        <f>IF($R368="","",INDEX(입력_전공의명단!$F$2:$F$401,$R368))</f>
        <v/>
      </c>
      <c r="F368" s="26">
        <f>IF($R368="","",INDEX(입력_전공의명단!$G$2:$G$401,$R368))</f>
        <v/>
      </c>
      <c r="G368" s="26">
        <f>IF($R368="","",INDEX(입력_전공의명단!$AE$2:$AE$401,$R368))</f>
        <v/>
      </c>
      <c r="H368" s="27">
        <f>IF($R368="","",IF(INDEX(입력_전공의명단!$AE$2:$AE$401,$R368)="서울병원","서울 소속","타 병원 소속("&amp;INDEX(입력_전공의명단!$AE$2:$AE$401,$R368)&amp;") → 서울 지급"))</f>
        <v/>
      </c>
      <c r="I368" s="26">
        <f>IF($R368="","",INDEX(입력_전공의명단!$N$2:$N$401,$R368))</f>
        <v/>
      </c>
      <c r="J368" s="26">
        <f>IF($R368="","",INDEX(입력_전공의명단!$P$2:$P$401,$R368))</f>
        <v/>
      </c>
      <c r="K368" s="26">
        <f>IF($R368="","",INDEX(입력_전공의명단!$Q$2:$Q$401,$R368))</f>
        <v/>
      </c>
      <c r="L368" s="28">
        <f>IF($R368="","",INDEX(입력_전공의명단!$S$2:$S$401,$R368))</f>
        <v/>
      </c>
      <c r="M368" s="28">
        <f>IF($R368="","",INDEX(입력_전공의명단!$T$2:$T$401,$R368))</f>
        <v/>
      </c>
      <c r="N368" s="26">
        <f>IF($R368="","",INDEX(입력_전공의명단!$AH$2:$AH$401,$R368))</f>
        <v/>
      </c>
      <c r="O368" s="26">
        <f>IF($R368="","",INDEX(입력_전공의명단!$AI$2:$AI$401,$R368))</f>
        <v/>
      </c>
      <c r="P368" s="27">
        <f>IF($R368="","",INDEX(입력_전공의명단!$AO$2:$AO$401,$R368))</f>
        <v/>
      </c>
      <c r="Q368" s="27">
        <f>IF($R368="","",INDEX(입력_전공의명단!$Z$2:$Z$401,$R368))</f>
        <v/>
      </c>
      <c r="R368" s="29">
        <f>IFERROR(MATCH(ROW()-5,입력_전공의명단!$AM$2:$AM$401,0),"")</f>
        <v/>
      </c>
    </row>
    <row r="369">
      <c r="A369" s="26">
        <f>IF($R369="","",ROW()-5)</f>
        <v/>
      </c>
      <c r="B369" s="26">
        <f>IF($R369="","",INDEX(입력_전공의명단!$C$2:$C$401,$R369))</f>
        <v/>
      </c>
      <c r="C369" s="26">
        <f>IF($R369="","",INDEX(입력_전공의명단!$B$2:$B$401,$R369))</f>
        <v/>
      </c>
      <c r="D369" s="26">
        <f>IF($R369="","",INDEX(입력_전공의명단!$J$2:$J$401,$R369))</f>
        <v/>
      </c>
      <c r="E369" s="26">
        <f>IF($R369="","",INDEX(입력_전공의명단!$F$2:$F$401,$R369))</f>
        <v/>
      </c>
      <c r="F369" s="26">
        <f>IF($R369="","",INDEX(입력_전공의명단!$G$2:$G$401,$R369))</f>
        <v/>
      </c>
      <c r="G369" s="26">
        <f>IF($R369="","",INDEX(입력_전공의명단!$AE$2:$AE$401,$R369))</f>
        <v/>
      </c>
      <c r="H369" s="27">
        <f>IF($R369="","",IF(INDEX(입력_전공의명단!$AE$2:$AE$401,$R369)="서울병원","서울 소속","타 병원 소속("&amp;INDEX(입력_전공의명단!$AE$2:$AE$401,$R369)&amp;") → 서울 지급"))</f>
        <v/>
      </c>
      <c r="I369" s="26">
        <f>IF($R369="","",INDEX(입력_전공의명단!$N$2:$N$401,$R369))</f>
        <v/>
      </c>
      <c r="J369" s="26">
        <f>IF($R369="","",INDEX(입력_전공의명단!$P$2:$P$401,$R369))</f>
        <v/>
      </c>
      <c r="K369" s="26">
        <f>IF($R369="","",INDEX(입력_전공의명단!$Q$2:$Q$401,$R369))</f>
        <v/>
      </c>
      <c r="L369" s="28">
        <f>IF($R369="","",INDEX(입력_전공의명단!$S$2:$S$401,$R369))</f>
        <v/>
      </c>
      <c r="M369" s="28">
        <f>IF($R369="","",INDEX(입력_전공의명단!$T$2:$T$401,$R369))</f>
        <v/>
      </c>
      <c r="N369" s="26">
        <f>IF($R369="","",INDEX(입력_전공의명단!$AH$2:$AH$401,$R369))</f>
        <v/>
      </c>
      <c r="O369" s="26">
        <f>IF($R369="","",INDEX(입력_전공의명단!$AI$2:$AI$401,$R369))</f>
        <v/>
      </c>
      <c r="P369" s="27">
        <f>IF($R369="","",INDEX(입력_전공의명단!$AO$2:$AO$401,$R369))</f>
        <v/>
      </c>
      <c r="Q369" s="27">
        <f>IF($R369="","",INDEX(입력_전공의명단!$Z$2:$Z$401,$R369))</f>
        <v/>
      </c>
      <c r="R369" s="29">
        <f>IFERROR(MATCH(ROW()-5,입력_전공의명단!$AM$2:$AM$401,0),"")</f>
        <v/>
      </c>
    </row>
    <row r="370">
      <c r="A370" s="26">
        <f>IF($R370="","",ROW()-5)</f>
        <v/>
      </c>
      <c r="B370" s="26">
        <f>IF($R370="","",INDEX(입력_전공의명단!$C$2:$C$401,$R370))</f>
        <v/>
      </c>
      <c r="C370" s="26">
        <f>IF($R370="","",INDEX(입력_전공의명단!$B$2:$B$401,$R370))</f>
        <v/>
      </c>
      <c r="D370" s="26">
        <f>IF($R370="","",INDEX(입력_전공의명단!$J$2:$J$401,$R370))</f>
        <v/>
      </c>
      <c r="E370" s="26">
        <f>IF($R370="","",INDEX(입력_전공의명단!$F$2:$F$401,$R370))</f>
        <v/>
      </c>
      <c r="F370" s="26">
        <f>IF($R370="","",INDEX(입력_전공의명단!$G$2:$G$401,$R370))</f>
        <v/>
      </c>
      <c r="G370" s="26">
        <f>IF($R370="","",INDEX(입력_전공의명단!$AE$2:$AE$401,$R370))</f>
        <v/>
      </c>
      <c r="H370" s="27">
        <f>IF($R370="","",IF(INDEX(입력_전공의명단!$AE$2:$AE$401,$R370)="서울병원","서울 소속","타 병원 소속("&amp;INDEX(입력_전공의명단!$AE$2:$AE$401,$R370)&amp;") → 서울 지급"))</f>
        <v/>
      </c>
      <c r="I370" s="26">
        <f>IF($R370="","",INDEX(입력_전공의명단!$N$2:$N$401,$R370))</f>
        <v/>
      </c>
      <c r="J370" s="26">
        <f>IF($R370="","",INDEX(입력_전공의명단!$P$2:$P$401,$R370))</f>
        <v/>
      </c>
      <c r="K370" s="26">
        <f>IF($R370="","",INDEX(입력_전공의명단!$Q$2:$Q$401,$R370))</f>
        <v/>
      </c>
      <c r="L370" s="28">
        <f>IF($R370="","",INDEX(입력_전공의명단!$S$2:$S$401,$R370))</f>
        <v/>
      </c>
      <c r="M370" s="28">
        <f>IF($R370="","",INDEX(입력_전공의명단!$T$2:$T$401,$R370))</f>
        <v/>
      </c>
      <c r="N370" s="26">
        <f>IF($R370="","",INDEX(입력_전공의명단!$AH$2:$AH$401,$R370))</f>
        <v/>
      </c>
      <c r="O370" s="26">
        <f>IF($R370="","",INDEX(입력_전공의명단!$AI$2:$AI$401,$R370))</f>
        <v/>
      </c>
      <c r="P370" s="27">
        <f>IF($R370="","",INDEX(입력_전공의명단!$AO$2:$AO$401,$R370))</f>
        <v/>
      </c>
      <c r="Q370" s="27">
        <f>IF($R370="","",INDEX(입력_전공의명단!$Z$2:$Z$401,$R370))</f>
        <v/>
      </c>
      <c r="R370" s="29">
        <f>IFERROR(MATCH(ROW()-5,입력_전공의명단!$AM$2:$AM$401,0),"")</f>
        <v/>
      </c>
    </row>
    <row r="371">
      <c r="A371" s="26">
        <f>IF($R371="","",ROW()-5)</f>
        <v/>
      </c>
      <c r="B371" s="26">
        <f>IF($R371="","",INDEX(입력_전공의명단!$C$2:$C$401,$R371))</f>
        <v/>
      </c>
      <c r="C371" s="26">
        <f>IF($R371="","",INDEX(입력_전공의명단!$B$2:$B$401,$R371))</f>
        <v/>
      </c>
      <c r="D371" s="26">
        <f>IF($R371="","",INDEX(입력_전공의명단!$J$2:$J$401,$R371))</f>
        <v/>
      </c>
      <c r="E371" s="26">
        <f>IF($R371="","",INDEX(입력_전공의명단!$F$2:$F$401,$R371))</f>
        <v/>
      </c>
      <c r="F371" s="26">
        <f>IF($R371="","",INDEX(입력_전공의명단!$G$2:$G$401,$R371))</f>
        <v/>
      </c>
      <c r="G371" s="26">
        <f>IF($R371="","",INDEX(입력_전공의명단!$AE$2:$AE$401,$R371))</f>
        <v/>
      </c>
      <c r="H371" s="27">
        <f>IF($R371="","",IF(INDEX(입력_전공의명단!$AE$2:$AE$401,$R371)="서울병원","서울 소속","타 병원 소속("&amp;INDEX(입력_전공의명단!$AE$2:$AE$401,$R371)&amp;") → 서울 지급"))</f>
        <v/>
      </c>
      <c r="I371" s="26">
        <f>IF($R371="","",INDEX(입력_전공의명단!$N$2:$N$401,$R371))</f>
        <v/>
      </c>
      <c r="J371" s="26">
        <f>IF($R371="","",INDEX(입력_전공의명단!$P$2:$P$401,$R371))</f>
        <v/>
      </c>
      <c r="K371" s="26">
        <f>IF($R371="","",INDEX(입력_전공의명단!$Q$2:$Q$401,$R371))</f>
        <v/>
      </c>
      <c r="L371" s="28">
        <f>IF($R371="","",INDEX(입력_전공의명단!$S$2:$S$401,$R371))</f>
        <v/>
      </c>
      <c r="M371" s="28">
        <f>IF($R371="","",INDEX(입력_전공의명단!$T$2:$T$401,$R371))</f>
        <v/>
      </c>
      <c r="N371" s="26">
        <f>IF($R371="","",INDEX(입력_전공의명단!$AH$2:$AH$401,$R371))</f>
        <v/>
      </c>
      <c r="O371" s="26">
        <f>IF($R371="","",INDEX(입력_전공의명단!$AI$2:$AI$401,$R371))</f>
        <v/>
      </c>
      <c r="P371" s="27">
        <f>IF($R371="","",INDEX(입력_전공의명단!$AO$2:$AO$401,$R371))</f>
        <v/>
      </c>
      <c r="Q371" s="27">
        <f>IF($R371="","",INDEX(입력_전공의명단!$Z$2:$Z$401,$R371))</f>
        <v/>
      </c>
      <c r="R371" s="29">
        <f>IFERROR(MATCH(ROW()-5,입력_전공의명단!$AM$2:$AM$401,0),"")</f>
        <v/>
      </c>
    </row>
    <row r="372">
      <c r="A372" s="26">
        <f>IF($R372="","",ROW()-5)</f>
        <v/>
      </c>
      <c r="B372" s="26">
        <f>IF($R372="","",INDEX(입력_전공의명단!$C$2:$C$401,$R372))</f>
        <v/>
      </c>
      <c r="C372" s="26">
        <f>IF($R372="","",INDEX(입력_전공의명단!$B$2:$B$401,$R372))</f>
        <v/>
      </c>
      <c r="D372" s="26">
        <f>IF($R372="","",INDEX(입력_전공의명단!$J$2:$J$401,$R372))</f>
        <v/>
      </c>
      <c r="E372" s="26">
        <f>IF($R372="","",INDEX(입력_전공의명단!$F$2:$F$401,$R372))</f>
        <v/>
      </c>
      <c r="F372" s="26">
        <f>IF($R372="","",INDEX(입력_전공의명단!$G$2:$G$401,$R372))</f>
        <v/>
      </c>
      <c r="G372" s="26">
        <f>IF($R372="","",INDEX(입력_전공의명단!$AE$2:$AE$401,$R372))</f>
        <v/>
      </c>
      <c r="H372" s="27">
        <f>IF($R372="","",IF(INDEX(입력_전공의명단!$AE$2:$AE$401,$R372)="서울병원","서울 소속","타 병원 소속("&amp;INDEX(입력_전공의명단!$AE$2:$AE$401,$R372)&amp;") → 서울 지급"))</f>
        <v/>
      </c>
      <c r="I372" s="26">
        <f>IF($R372="","",INDEX(입력_전공의명단!$N$2:$N$401,$R372))</f>
        <v/>
      </c>
      <c r="J372" s="26">
        <f>IF($R372="","",INDEX(입력_전공의명단!$P$2:$P$401,$R372))</f>
        <v/>
      </c>
      <c r="K372" s="26">
        <f>IF($R372="","",INDEX(입력_전공의명단!$Q$2:$Q$401,$R372))</f>
        <v/>
      </c>
      <c r="L372" s="28">
        <f>IF($R372="","",INDEX(입력_전공의명단!$S$2:$S$401,$R372))</f>
        <v/>
      </c>
      <c r="M372" s="28">
        <f>IF($R372="","",INDEX(입력_전공의명단!$T$2:$T$401,$R372))</f>
        <v/>
      </c>
      <c r="N372" s="26">
        <f>IF($R372="","",INDEX(입력_전공의명단!$AH$2:$AH$401,$R372))</f>
        <v/>
      </c>
      <c r="O372" s="26">
        <f>IF($R372="","",INDEX(입력_전공의명단!$AI$2:$AI$401,$R372))</f>
        <v/>
      </c>
      <c r="P372" s="27">
        <f>IF($R372="","",INDEX(입력_전공의명단!$AO$2:$AO$401,$R372))</f>
        <v/>
      </c>
      <c r="Q372" s="27">
        <f>IF($R372="","",INDEX(입력_전공의명단!$Z$2:$Z$401,$R372))</f>
        <v/>
      </c>
      <c r="R372" s="29">
        <f>IFERROR(MATCH(ROW()-5,입력_전공의명단!$AM$2:$AM$401,0),"")</f>
        <v/>
      </c>
    </row>
    <row r="373">
      <c r="A373" s="26">
        <f>IF($R373="","",ROW()-5)</f>
        <v/>
      </c>
      <c r="B373" s="26">
        <f>IF($R373="","",INDEX(입력_전공의명단!$C$2:$C$401,$R373))</f>
        <v/>
      </c>
      <c r="C373" s="26">
        <f>IF($R373="","",INDEX(입력_전공의명단!$B$2:$B$401,$R373))</f>
        <v/>
      </c>
      <c r="D373" s="26">
        <f>IF($R373="","",INDEX(입력_전공의명단!$J$2:$J$401,$R373))</f>
        <v/>
      </c>
      <c r="E373" s="26">
        <f>IF($R373="","",INDEX(입력_전공의명단!$F$2:$F$401,$R373))</f>
        <v/>
      </c>
      <c r="F373" s="26">
        <f>IF($R373="","",INDEX(입력_전공의명단!$G$2:$G$401,$R373))</f>
        <v/>
      </c>
      <c r="G373" s="26">
        <f>IF($R373="","",INDEX(입력_전공의명단!$AE$2:$AE$401,$R373))</f>
        <v/>
      </c>
      <c r="H373" s="27">
        <f>IF($R373="","",IF(INDEX(입력_전공의명단!$AE$2:$AE$401,$R373)="서울병원","서울 소속","타 병원 소속("&amp;INDEX(입력_전공의명단!$AE$2:$AE$401,$R373)&amp;") → 서울 지급"))</f>
        <v/>
      </c>
      <c r="I373" s="26">
        <f>IF($R373="","",INDEX(입력_전공의명단!$N$2:$N$401,$R373))</f>
        <v/>
      </c>
      <c r="J373" s="26">
        <f>IF($R373="","",INDEX(입력_전공의명단!$P$2:$P$401,$R373))</f>
        <v/>
      </c>
      <c r="K373" s="26">
        <f>IF($R373="","",INDEX(입력_전공의명단!$Q$2:$Q$401,$R373))</f>
        <v/>
      </c>
      <c r="L373" s="28">
        <f>IF($R373="","",INDEX(입력_전공의명단!$S$2:$S$401,$R373))</f>
        <v/>
      </c>
      <c r="M373" s="28">
        <f>IF($R373="","",INDEX(입력_전공의명단!$T$2:$T$401,$R373))</f>
        <v/>
      </c>
      <c r="N373" s="26">
        <f>IF($R373="","",INDEX(입력_전공의명단!$AH$2:$AH$401,$R373))</f>
        <v/>
      </c>
      <c r="O373" s="26">
        <f>IF($R373="","",INDEX(입력_전공의명단!$AI$2:$AI$401,$R373))</f>
        <v/>
      </c>
      <c r="P373" s="27">
        <f>IF($R373="","",INDEX(입력_전공의명단!$AO$2:$AO$401,$R373))</f>
        <v/>
      </c>
      <c r="Q373" s="27">
        <f>IF($R373="","",INDEX(입력_전공의명단!$Z$2:$Z$401,$R373))</f>
        <v/>
      </c>
      <c r="R373" s="29">
        <f>IFERROR(MATCH(ROW()-5,입력_전공의명단!$AM$2:$AM$401,0),"")</f>
        <v/>
      </c>
    </row>
    <row r="374">
      <c r="A374" s="26">
        <f>IF($R374="","",ROW()-5)</f>
        <v/>
      </c>
      <c r="B374" s="26">
        <f>IF($R374="","",INDEX(입력_전공의명단!$C$2:$C$401,$R374))</f>
        <v/>
      </c>
      <c r="C374" s="26">
        <f>IF($R374="","",INDEX(입력_전공의명단!$B$2:$B$401,$R374))</f>
        <v/>
      </c>
      <c r="D374" s="26">
        <f>IF($R374="","",INDEX(입력_전공의명단!$J$2:$J$401,$R374))</f>
        <v/>
      </c>
      <c r="E374" s="26">
        <f>IF($R374="","",INDEX(입력_전공의명단!$F$2:$F$401,$R374))</f>
        <v/>
      </c>
      <c r="F374" s="26">
        <f>IF($R374="","",INDEX(입력_전공의명단!$G$2:$G$401,$R374))</f>
        <v/>
      </c>
      <c r="G374" s="26">
        <f>IF($R374="","",INDEX(입력_전공의명단!$AE$2:$AE$401,$R374))</f>
        <v/>
      </c>
      <c r="H374" s="27">
        <f>IF($R374="","",IF(INDEX(입력_전공의명단!$AE$2:$AE$401,$R374)="서울병원","서울 소속","타 병원 소속("&amp;INDEX(입력_전공의명단!$AE$2:$AE$401,$R374)&amp;") → 서울 지급"))</f>
        <v/>
      </c>
      <c r="I374" s="26">
        <f>IF($R374="","",INDEX(입력_전공의명단!$N$2:$N$401,$R374))</f>
        <v/>
      </c>
      <c r="J374" s="26">
        <f>IF($R374="","",INDEX(입력_전공의명단!$P$2:$P$401,$R374))</f>
        <v/>
      </c>
      <c r="K374" s="26">
        <f>IF($R374="","",INDEX(입력_전공의명단!$Q$2:$Q$401,$R374))</f>
        <v/>
      </c>
      <c r="L374" s="28">
        <f>IF($R374="","",INDEX(입력_전공의명단!$S$2:$S$401,$R374))</f>
        <v/>
      </c>
      <c r="M374" s="28">
        <f>IF($R374="","",INDEX(입력_전공의명단!$T$2:$T$401,$R374))</f>
        <v/>
      </c>
      <c r="N374" s="26">
        <f>IF($R374="","",INDEX(입력_전공의명단!$AH$2:$AH$401,$R374))</f>
        <v/>
      </c>
      <c r="O374" s="26">
        <f>IF($R374="","",INDEX(입력_전공의명단!$AI$2:$AI$401,$R374))</f>
        <v/>
      </c>
      <c r="P374" s="27">
        <f>IF($R374="","",INDEX(입력_전공의명단!$AO$2:$AO$401,$R374))</f>
        <v/>
      </c>
      <c r="Q374" s="27">
        <f>IF($R374="","",INDEX(입력_전공의명단!$Z$2:$Z$401,$R374))</f>
        <v/>
      </c>
      <c r="R374" s="29">
        <f>IFERROR(MATCH(ROW()-5,입력_전공의명단!$AM$2:$AM$401,0),"")</f>
        <v/>
      </c>
    </row>
    <row r="375">
      <c r="A375" s="26">
        <f>IF($R375="","",ROW()-5)</f>
        <v/>
      </c>
      <c r="B375" s="26">
        <f>IF($R375="","",INDEX(입력_전공의명단!$C$2:$C$401,$R375))</f>
        <v/>
      </c>
      <c r="C375" s="26">
        <f>IF($R375="","",INDEX(입력_전공의명단!$B$2:$B$401,$R375))</f>
        <v/>
      </c>
      <c r="D375" s="26">
        <f>IF($R375="","",INDEX(입력_전공의명단!$J$2:$J$401,$R375))</f>
        <v/>
      </c>
      <c r="E375" s="26">
        <f>IF($R375="","",INDEX(입력_전공의명단!$F$2:$F$401,$R375))</f>
        <v/>
      </c>
      <c r="F375" s="26">
        <f>IF($R375="","",INDEX(입력_전공의명단!$G$2:$G$401,$R375))</f>
        <v/>
      </c>
      <c r="G375" s="26">
        <f>IF($R375="","",INDEX(입력_전공의명단!$AE$2:$AE$401,$R375))</f>
        <v/>
      </c>
      <c r="H375" s="27">
        <f>IF($R375="","",IF(INDEX(입력_전공의명단!$AE$2:$AE$401,$R375)="서울병원","서울 소속","타 병원 소속("&amp;INDEX(입력_전공의명단!$AE$2:$AE$401,$R375)&amp;") → 서울 지급"))</f>
        <v/>
      </c>
      <c r="I375" s="26">
        <f>IF($R375="","",INDEX(입력_전공의명단!$N$2:$N$401,$R375))</f>
        <v/>
      </c>
      <c r="J375" s="26">
        <f>IF($R375="","",INDEX(입력_전공의명단!$P$2:$P$401,$R375))</f>
        <v/>
      </c>
      <c r="K375" s="26">
        <f>IF($R375="","",INDEX(입력_전공의명단!$Q$2:$Q$401,$R375))</f>
        <v/>
      </c>
      <c r="L375" s="28">
        <f>IF($R375="","",INDEX(입력_전공의명단!$S$2:$S$401,$R375))</f>
        <v/>
      </c>
      <c r="M375" s="28">
        <f>IF($R375="","",INDEX(입력_전공의명단!$T$2:$T$401,$R375))</f>
        <v/>
      </c>
      <c r="N375" s="26">
        <f>IF($R375="","",INDEX(입력_전공의명단!$AH$2:$AH$401,$R375))</f>
        <v/>
      </c>
      <c r="O375" s="26">
        <f>IF($R375="","",INDEX(입력_전공의명단!$AI$2:$AI$401,$R375))</f>
        <v/>
      </c>
      <c r="P375" s="27">
        <f>IF($R375="","",INDEX(입력_전공의명단!$AO$2:$AO$401,$R375))</f>
        <v/>
      </c>
      <c r="Q375" s="27">
        <f>IF($R375="","",INDEX(입력_전공의명단!$Z$2:$Z$401,$R375))</f>
        <v/>
      </c>
      <c r="R375" s="29">
        <f>IFERROR(MATCH(ROW()-5,입력_전공의명단!$AM$2:$AM$401,0),"")</f>
        <v/>
      </c>
    </row>
    <row r="376">
      <c r="A376" s="26">
        <f>IF($R376="","",ROW()-5)</f>
        <v/>
      </c>
      <c r="B376" s="26">
        <f>IF($R376="","",INDEX(입력_전공의명단!$C$2:$C$401,$R376))</f>
        <v/>
      </c>
      <c r="C376" s="26">
        <f>IF($R376="","",INDEX(입력_전공의명단!$B$2:$B$401,$R376))</f>
        <v/>
      </c>
      <c r="D376" s="26">
        <f>IF($R376="","",INDEX(입력_전공의명단!$J$2:$J$401,$R376))</f>
        <v/>
      </c>
      <c r="E376" s="26">
        <f>IF($R376="","",INDEX(입력_전공의명단!$F$2:$F$401,$R376))</f>
        <v/>
      </c>
      <c r="F376" s="26">
        <f>IF($R376="","",INDEX(입력_전공의명단!$G$2:$G$401,$R376))</f>
        <v/>
      </c>
      <c r="G376" s="26">
        <f>IF($R376="","",INDEX(입력_전공의명단!$AE$2:$AE$401,$R376))</f>
        <v/>
      </c>
      <c r="H376" s="27">
        <f>IF($R376="","",IF(INDEX(입력_전공의명단!$AE$2:$AE$401,$R376)="서울병원","서울 소속","타 병원 소속("&amp;INDEX(입력_전공의명단!$AE$2:$AE$401,$R376)&amp;") → 서울 지급"))</f>
        <v/>
      </c>
      <c r="I376" s="26">
        <f>IF($R376="","",INDEX(입력_전공의명단!$N$2:$N$401,$R376))</f>
        <v/>
      </c>
      <c r="J376" s="26">
        <f>IF($R376="","",INDEX(입력_전공의명단!$P$2:$P$401,$R376))</f>
        <v/>
      </c>
      <c r="K376" s="26">
        <f>IF($R376="","",INDEX(입력_전공의명단!$Q$2:$Q$401,$R376))</f>
        <v/>
      </c>
      <c r="L376" s="28">
        <f>IF($R376="","",INDEX(입력_전공의명단!$S$2:$S$401,$R376))</f>
        <v/>
      </c>
      <c r="M376" s="28">
        <f>IF($R376="","",INDEX(입력_전공의명단!$T$2:$T$401,$R376))</f>
        <v/>
      </c>
      <c r="N376" s="26">
        <f>IF($R376="","",INDEX(입력_전공의명단!$AH$2:$AH$401,$R376))</f>
        <v/>
      </c>
      <c r="O376" s="26">
        <f>IF($R376="","",INDEX(입력_전공의명단!$AI$2:$AI$401,$R376))</f>
        <v/>
      </c>
      <c r="P376" s="27">
        <f>IF($R376="","",INDEX(입력_전공의명단!$AO$2:$AO$401,$R376))</f>
        <v/>
      </c>
      <c r="Q376" s="27">
        <f>IF($R376="","",INDEX(입력_전공의명단!$Z$2:$Z$401,$R376))</f>
        <v/>
      </c>
      <c r="R376" s="29">
        <f>IFERROR(MATCH(ROW()-5,입력_전공의명단!$AM$2:$AM$401,0),"")</f>
        <v/>
      </c>
    </row>
    <row r="377">
      <c r="A377" s="26">
        <f>IF($R377="","",ROW()-5)</f>
        <v/>
      </c>
      <c r="B377" s="26">
        <f>IF($R377="","",INDEX(입력_전공의명단!$C$2:$C$401,$R377))</f>
        <v/>
      </c>
      <c r="C377" s="26">
        <f>IF($R377="","",INDEX(입력_전공의명단!$B$2:$B$401,$R377))</f>
        <v/>
      </c>
      <c r="D377" s="26">
        <f>IF($R377="","",INDEX(입력_전공의명단!$J$2:$J$401,$R377))</f>
        <v/>
      </c>
      <c r="E377" s="26">
        <f>IF($R377="","",INDEX(입력_전공의명단!$F$2:$F$401,$R377))</f>
        <v/>
      </c>
      <c r="F377" s="26">
        <f>IF($R377="","",INDEX(입력_전공의명단!$G$2:$G$401,$R377))</f>
        <v/>
      </c>
      <c r="G377" s="26">
        <f>IF($R377="","",INDEX(입력_전공의명단!$AE$2:$AE$401,$R377))</f>
        <v/>
      </c>
      <c r="H377" s="27">
        <f>IF($R377="","",IF(INDEX(입력_전공의명단!$AE$2:$AE$401,$R377)="서울병원","서울 소속","타 병원 소속("&amp;INDEX(입력_전공의명단!$AE$2:$AE$401,$R377)&amp;") → 서울 지급"))</f>
        <v/>
      </c>
      <c r="I377" s="26">
        <f>IF($R377="","",INDEX(입력_전공의명단!$N$2:$N$401,$R377))</f>
        <v/>
      </c>
      <c r="J377" s="26">
        <f>IF($R377="","",INDEX(입력_전공의명단!$P$2:$P$401,$R377))</f>
        <v/>
      </c>
      <c r="K377" s="26">
        <f>IF($R377="","",INDEX(입력_전공의명단!$Q$2:$Q$401,$R377))</f>
        <v/>
      </c>
      <c r="L377" s="28">
        <f>IF($R377="","",INDEX(입력_전공의명단!$S$2:$S$401,$R377))</f>
        <v/>
      </c>
      <c r="M377" s="28">
        <f>IF($R377="","",INDEX(입력_전공의명단!$T$2:$T$401,$R377))</f>
        <v/>
      </c>
      <c r="N377" s="26">
        <f>IF($R377="","",INDEX(입력_전공의명단!$AH$2:$AH$401,$R377))</f>
        <v/>
      </c>
      <c r="O377" s="26">
        <f>IF($R377="","",INDEX(입력_전공의명단!$AI$2:$AI$401,$R377))</f>
        <v/>
      </c>
      <c r="P377" s="27">
        <f>IF($R377="","",INDEX(입력_전공의명단!$AO$2:$AO$401,$R377))</f>
        <v/>
      </c>
      <c r="Q377" s="27">
        <f>IF($R377="","",INDEX(입력_전공의명단!$Z$2:$Z$401,$R377))</f>
        <v/>
      </c>
      <c r="R377" s="29">
        <f>IFERROR(MATCH(ROW()-5,입력_전공의명단!$AM$2:$AM$401,0),"")</f>
        <v/>
      </c>
    </row>
    <row r="378">
      <c r="A378" s="26">
        <f>IF($R378="","",ROW()-5)</f>
        <v/>
      </c>
      <c r="B378" s="26">
        <f>IF($R378="","",INDEX(입력_전공의명단!$C$2:$C$401,$R378))</f>
        <v/>
      </c>
      <c r="C378" s="26">
        <f>IF($R378="","",INDEX(입력_전공의명단!$B$2:$B$401,$R378))</f>
        <v/>
      </c>
      <c r="D378" s="26">
        <f>IF($R378="","",INDEX(입력_전공의명단!$J$2:$J$401,$R378))</f>
        <v/>
      </c>
      <c r="E378" s="26">
        <f>IF($R378="","",INDEX(입력_전공의명단!$F$2:$F$401,$R378))</f>
        <v/>
      </c>
      <c r="F378" s="26">
        <f>IF($R378="","",INDEX(입력_전공의명단!$G$2:$G$401,$R378))</f>
        <v/>
      </c>
      <c r="G378" s="26">
        <f>IF($R378="","",INDEX(입력_전공의명단!$AE$2:$AE$401,$R378))</f>
        <v/>
      </c>
      <c r="H378" s="27">
        <f>IF($R378="","",IF(INDEX(입력_전공의명단!$AE$2:$AE$401,$R378)="서울병원","서울 소속","타 병원 소속("&amp;INDEX(입력_전공의명단!$AE$2:$AE$401,$R378)&amp;") → 서울 지급"))</f>
        <v/>
      </c>
      <c r="I378" s="26">
        <f>IF($R378="","",INDEX(입력_전공의명단!$N$2:$N$401,$R378))</f>
        <v/>
      </c>
      <c r="J378" s="26">
        <f>IF($R378="","",INDEX(입력_전공의명단!$P$2:$P$401,$R378))</f>
        <v/>
      </c>
      <c r="K378" s="26">
        <f>IF($R378="","",INDEX(입력_전공의명단!$Q$2:$Q$401,$R378))</f>
        <v/>
      </c>
      <c r="L378" s="28">
        <f>IF($R378="","",INDEX(입력_전공의명단!$S$2:$S$401,$R378))</f>
        <v/>
      </c>
      <c r="M378" s="28">
        <f>IF($R378="","",INDEX(입력_전공의명단!$T$2:$T$401,$R378))</f>
        <v/>
      </c>
      <c r="N378" s="26">
        <f>IF($R378="","",INDEX(입력_전공의명단!$AH$2:$AH$401,$R378))</f>
        <v/>
      </c>
      <c r="O378" s="26">
        <f>IF($R378="","",INDEX(입력_전공의명단!$AI$2:$AI$401,$R378))</f>
        <v/>
      </c>
      <c r="P378" s="27">
        <f>IF($R378="","",INDEX(입력_전공의명단!$AO$2:$AO$401,$R378))</f>
        <v/>
      </c>
      <c r="Q378" s="27">
        <f>IF($R378="","",INDEX(입력_전공의명단!$Z$2:$Z$401,$R378))</f>
        <v/>
      </c>
      <c r="R378" s="29">
        <f>IFERROR(MATCH(ROW()-5,입력_전공의명단!$AM$2:$AM$401,0),"")</f>
        <v/>
      </c>
    </row>
    <row r="379">
      <c r="A379" s="26">
        <f>IF($R379="","",ROW()-5)</f>
        <v/>
      </c>
      <c r="B379" s="26">
        <f>IF($R379="","",INDEX(입력_전공의명단!$C$2:$C$401,$R379))</f>
        <v/>
      </c>
      <c r="C379" s="26">
        <f>IF($R379="","",INDEX(입력_전공의명단!$B$2:$B$401,$R379))</f>
        <v/>
      </c>
      <c r="D379" s="26">
        <f>IF($R379="","",INDEX(입력_전공의명단!$J$2:$J$401,$R379))</f>
        <v/>
      </c>
      <c r="E379" s="26">
        <f>IF($R379="","",INDEX(입력_전공의명단!$F$2:$F$401,$R379))</f>
        <v/>
      </c>
      <c r="F379" s="26">
        <f>IF($R379="","",INDEX(입력_전공의명단!$G$2:$G$401,$R379))</f>
        <v/>
      </c>
      <c r="G379" s="26">
        <f>IF($R379="","",INDEX(입력_전공의명단!$AE$2:$AE$401,$R379))</f>
        <v/>
      </c>
      <c r="H379" s="27">
        <f>IF($R379="","",IF(INDEX(입력_전공의명단!$AE$2:$AE$401,$R379)="서울병원","서울 소속","타 병원 소속("&amp;INDEX(입력_전공의명단!$AE$2:$AE$401,$R379)&amp;") → 서울 지급"))</f>
        <v/>
      </c>
      <c r="I379" s="26">
        <f>IF($R379="","",INDEX(입력_전공의명단!$N$2:$N$401,$R379))</f>
        <v/>
      </c>
      <c r="J379" s="26">
        <f>IF($R379="","",INDEX(입력_전공의명단!$P$2:$P$401,$R379))</f>
        <v/>
      </c>
      <c r="K379" s="26">
        <f>IF($R379="","",INDEX(입력_전공의명단!$Q$2:$Q$401,$R379))</f>
        <v/>
      </c>
      <c r="L379" s="28">
        <f>IF($R379="","",INDEX(입력_전공의명단!$S$2:$S$401,$R379))</f>
        <v/>
      </c>
      <c r="M379" s="28">
        <f>IF($R379="","",INDEX(입력_전공의명단!$T$2:$T$401,$R379))</f>
        <v/>
      </c>
      <c r="N379" s="26">
        <f>IF($R379="","",INDEX(입력_전공의명단!$AH$2:$AH$401,$R379))</f>
        <v/>
      </c>
      <c r="O379" s="26">
        <f>IF($R379="","",INDEX(입력_전공의명단!$AI$2:$AI$401,$R379))</f>
        <v/>
      </c>
      <c r="P379" s="27">
        <f>IF($R379="","",INDEX(입력_전공의명단!$AO$2:$AO$401,$R379))</f>
        <v/>
      </c>
      <c r="Q379" s="27">
        <f>IF($R379="","",INDEX(입력_전공의명단!$Z$2:$Z$401,$R379))</f>
        <v/>
      </c>
      <c r="R379" s="29">
        <f>IFERROR(MATCH(ROW()-5,입력_전공의명단!$AM$2:$AM$401,0),"")</f>
        <v/>
      </c>
    </row>
    <row r="380">
      <c r="A380" s="26">
        <f>IF($R380="","",ROW()-5)</f>
        <v/>
      </c>
      <c r="B380" s="26">
        <f>IF($R380="","",INDEX(입력_전공의명단!$C$2:$C$401,$R380))</f>
        <v/>
      </c>
      <c r="C380" s="26">
        <f>IF($R380="","",INDEX(입력_전공의명단!$B$2:$B$401,$R380))</f>
        <v/>
      </c>
      <c r="D380" s="26">
        <f>IF($R380="","",INDEX(입력_전공의명단!$J$2:$J$401,$R380))</f>
        <v/>
      </c>
      <c r="E380" s="26">
        <f>IF($R380="","",INDEX(입력_전공의명단!$F$2:$F$401,$R380))</f>
        <v/>
      </c>
      <c r="F380" s="26">
        <f>IF($R380="","",INDEX(입력_전공의명단!$G$2:$G$401,$R380))</f>
        <v/>
      </c>
      <c r="G380" s="26">
        <f>IF($R380="","",INDEX(입력_전공의명단!$AE$2:$AE$401,$R380))</f>
        <v/>
      </c>
      <c r="H380" s="27">
        <f>IF($R380="","",IF(INDEX(입력_전공의명단!$AE$2:$AE$401,$R380)="서울병원","서울 소속","타 병원 소속("&amp;INDEX(입력_전공의명단!$AE$2:$AE$401,$R380)&amp;") → 서울 지급"))</f>
        <v/>
      </c>
      <c r="I380" s="26">
        <f>IF($R380="","",INDEX(입력_전공의명단!$N$2:$N$401,$R380))</f>
        <v/>
      </c>
      <c r="J380" s="26">
        <f>IF($R380="","",INDEX(입력_전공의명단!$P$2:$P$401,$R380))</f>
        <v/>
      </c>
      <c r="K380" s="26">
        <f>IF($R380="","",INDEX(입력_전공의명단!$Q$2:$Q$401,$R380))</f>
        <v/>
      </c>
      <c r="L380" s="28">
        <f>IF($R380="","",INDEX(입력_전공의명단!$S$2:$S$401,$R380))</f>
        <v/>
      </c>
      <c r="M380" s="28">
        <f>IF($R380="","",INDEX(입력_전공의명단!$T$2:$T$401,$R380))</f>
        <v/>
      </c>
      <c r="N380" s="26">
        <f>IF($R380="","",INDEX(입력_전공의명단!$AH$2:$AH$401,$R380))</f>
        <v/>
      </c>
      <c r="O380" s="26">
        <f>IF($R380="","",INDEX(입력_전공의명단!$AI$2:$AI$401,$R380))</f>
        <v/>
      </c>
      <c r="P380" s="27">
        <f>IF($R380="","",INDEX(입력_전공의명단!$AO$2:$AO$401,$R380))</f>
        <v/>
      </c>
      <c r="Q380" s="27">
        <f>IF($R380="","",INDEX(입력_전공의명단!$Z$2:$Z$401,$R380))</f>
        <v/>
      </c>
      <c r="R380" s="29">
        <f>IFERROR(MATCH(ROW()-5,입력_전공의명단!$AM$2:$AM$401,0),"")</f>
        <v/>
      </c>
    </row>
    <row r="381">
      <c r="A381" s="26">
        <f>IF($R381="","",ROW()-5)</f>
        <v/>
      </c>
      <c r="B381" s="26">
        <f>IF($R381="","",INDEX(입력_전공의명단!$C$2:$C$401,$R381))</f>
        <v/>
      </c>
      <c r="C381" s="26">
        <f>IF($R381="","",INDEX(입력_전공의명단!$B$2:$B$401,$R381))</f>
        <v/>
      </c>
      <c r="D381" s="26">
        <f>IF($R381="","",INDEX(입력_전공의명단!$J$2:$J$401,$R381))</f>
        <v/>
      </c>
      <c r="E381" s="26">
        <f>IF($R381="","",INDEX(입력_전공의명단!$F$2:$F$401,$R381))</f>
        <v/>
      </c>
      <c r="F381" s="26">
        <f>IF($R381="","",INDEX(입력_전공의명단!$G$2:$G$401,$R381))</f>
        <v/>
      </c>
      <c r="G381" s="26">
        <f>IF($R381="","",INDEX(입력_전공의명단!$AE$2:$AE$401,$R381))</f>
        <v/>
      </c>
      <c r="H381" s="27">
        <f>IF($R381="","",IF(INDEX(입력_전공의명단!$AE$2:$AE$401,$R381)="서울병원","서울 소속","타 병원 소속("&amp;INDEX(입력_전공의명단!$AE$2:$AE$401,$R381)&amp;") → 서울 지급"))</f>
        <v/>
      </c>
      <c r="I381" s="26">
        <f>IF($R381="","",INDEX(입력_전공의명단!$N$2:$N$401,$R381))</f>
        <v/>
      </c>
      <c r="J381" s="26">
        <f>IF($R381="","",INDEX(입력_전공의명단!$P$2:$P$401,$R381))</f>
        <v/>
      </c>
      <c r="K381" s="26">
        <f>IF($R381="","",INDEX(입력_전공의명단!$Q$2:$Q$401,$R381))</f>
        <v/>
      </c>
      <c r="L381" s="28">
        <f>IF($R381="","",INDEX(입력_전공의명단!$S$2:$S$401,$R381))</f>
        <v/>
      </c>
      <c r="M381" s="28">
        <f>IF($R381="","",INDEX(입력_전공의명단!$T$2:$T$401,$R381))</f>
        <v/>
      </c>
      <c r="N381" s="26">
        <f>IF($R381="","",INDEX(입력_전공의명단!$AH$2:$AH$401,$R381))</f>
        <v/>
      </c>
      <c r="O381" s="26">
        <f>IF($R381="","",INDEX(입력_전공의명단!$AI$2:$AI$401,$R381))</f>
        <v/>
      </c>
      <c r="P381" s="27">
        <f>IF($R381="","",INDEX(입력_전공의명단!$AO$2:$AO$401,$R381))</f>
        <v/>
      </c>
      <c r="Q381" s="27">
        <f>IF($R381="","",INDEX(입력_전공의명단!$Z$2:$Z$401,$R381))</f>
        <v/>
      </c>
      <c r="R381" s="29">
        <f>IFERROR(MATCH(ROW()-5,입력_전공의명단!$AM$2:$AM$401,0),"")</f>
        <v/>
      </c>
    </row>
    <row r="382">
      <c r="A382" s="26">
        <f>IF($R382="","",ROW()-5)</f>
        <v/>
      </c>
      <c r="B382" s="26">
        <f>IF($R382="","",INDEX(입력_전공의명단!$C$2:$C$401,$R382))</f>
        <v/>
      </c>
      <c r="C382" s="26">
        <f>IF($R382="","",INDEX(입력_전공의명단!$B$2:$B$401,$R382))</f>
        <v/>
      </c>
      <c r="D382" s="26">
        <f>IF($R382="","",INDEX(입력_전공의명단!$J$2:$J$401,$R382))</f>
        <v/>
      </c>
      <c r="E382" s="26">
        <f>IF($R382="","",INDEX(입력_전공의명단!$F$2:$F$401,$R382))</f>
        <v/>
      </c>
      <c r="F382" s="26">
        <f>IF($R382="","",INDEX(입력_전공의명단!$G$2:$G$401,$R382))</f>
        <v/>
      </c>
      <c r="G382" s="26">
        <f>IF($R382="","",INDEX(입력_전공의명단!$AE$2:$AE$401,$R382))</f>
        <v/>
      </c>
      <c r="H382" s="27">
        <f>IF($R382="","",IF(INDEX(입력_전공의명단!$AE$2:$AE$401,$R382)="서울병원","서울 소속","타 병원 소속("&amp;INDEX(입력_전공의명단!$AE$2:$AE$401,$R382)&amp;") → 서울 지급"))</f>
        <v/>
      </c>
      <c r="I382" s="26">
        <f>IF($R382="","",INDEX(입력_전공의명단!$N$2:$N$401,$R382))</f>
        <v/>
      </c>
      <c r="J382" s="26">
        <f>IF($R382="","",INDEX(입력_전공의명단!$P$2:$P$401,$R382))</f>
        <v/>
      </c>
      <c r="K382" s="26">
        <f>IF($R382="","",INDEX(입력_전공의명단!$Q$2:$Q$401,$R382))</f>
        <v/>
      </c>
      <c r="L382" s="28">
        <f>IF($R382="","",INDEX(입력_전공의명단!$S$2:$S$401,$R382))</f>
        <v/>
      </c>
      <c r="M382" s="28">
        <f>IF($R382="","",INDEX(입력_전공의명단!$T$2:$T$401,$R382))</f>
        <v/>
      </c>
      <c r="N382" s="26">
        <f>IF($R382="","",INDEX(입력_전공의명단!$AH$2:$AH$401,$R382))</f>
        <v/>
      </c>
      <c r="O382" s="26">
        <f>IF($R382="","",INDEX(입력_전공의명단!$AI$2:$AI$401,$R382))</f>
        <v/>
      </c>
      <c r="P382" s="27">
        <f>IF($R382="","",INDEX(입력_전공의명단!$AO$2:$AO$401,$R382))</f>
        <v/>
      </c>
      <c r="Q382" s="27">
        <f>IF($R382="","",INDEX(입력_전공의명단!$Z$2:$Z$401,$R382))</f>
        <v/>
      </c>
      <c r="R382" s="29">
        <f>IFERROR(MATCH(ROW()-5,입력_전공의명단!$AM$2:$AM$401,0),"")</f>
        <v/>
      </c>
    </row>
    <row r="383">
      <c r="A383" s="26">
        <f>IF($R383="","",ROW()-5)</f>
        <v/>
      </c>
      <c r="B383" s="26">
        <f>IF($R383="","",INDEX(입력_전공의명단!$C$2:$C$401,$R383))</f>
        <v/>
      </c>
      <c r="C383" s="26">
        <f>IF($R383="","",INDEX(입력_전공의명단!$B$2:$B$401,$R383))</f>
        <v/>
      </c>
      <c r="D383" s="26">
        <f>IF($R383="","",INDEX(입력_전공의명단!$J$2:$J$401,$R383))</f>
        <v/>
      </c>
      <c r="E383" s="26">
        <f>IF($R383="","",INDEX(입력_전공의명단!$F$2:$F$401,$R383))</f>
        <v/>
      </c>
      <c r="F383" s="26">
        <f>IF($R383="","",INDEX(입력_전공의명단!$G$2:$G$401,$R383))</f>
        <v/>
      </c>
      <c r="G383" s="26">
        <f>IF($R383="","",INDEX(입력_전공의명단!$AE$2:$AE$401,$R383))</f>
        <v/>
      </c>
      <c r="H383" s="27">
        <f>IF($R383="","",IF(INDEX(입력_전공의명단!$AE$2:$AE$401,$R383)="서울병원","서울 소속","타 병원 소속("&amp;INDEX(입력_전공의명단!$AE$2:$AE$401,$R383)&amp;") → 서울 지급"))</f>
        <v/>
      </c>
      <c r="I383" s="26">
        <f>IF($R383="","",INDEX(입력_전공의명단!$N$2:$N$401,$R383))</f>
        <v/>
      </c>
      <c r="J383" s="26">
        <f>IF($R383="","",INDEX(입력_전공의명단!$P$2:$P$401,$R383))</f>
        <v/>
      </c>
      <c r="K383" s="26">
        <f>IF($R383="","",INDEX(입력_전공의명단!$Q$2:$Q$401,$R383))</f>
        <v/>
      </c>
      <c r="L383" s="28">
        <f>IF($R383="","",INDEX(입력_전공의명단!$S$2:$S$401,$R383))</f>
        <v/>
      </c>
      <c r="M383" s="28">
        <f>IF($R383="","",INDEX(입력_전공의명단!$T$2:$T$401,$R383))</f>
        <v/>
      </c>
      <c r="N383" s="26">
        <f>IF($R383="","",INDEX(입력_전공의명단!$AH$2:$AH$401,$R383))</f>
        <v/>
      </c>
      <c r="O383" s="26">
        <f>IF($R383="","",INDEX(입력_전공의명단!$AI$2:$AI$401,$R383))</f>
        <v/>
      </c>
      <c r="P383" s="27">
        <f>IF($R383="","",INDEX(입력_전공의명단!$AO$2:$AO$401,$R383))</f>
        <v/>
      </c>
      <c r="Q383" s="27">
        <f>IF($R383="","",INDEX(입력_전공의명단!$Z$2:$Z$401,$R383))</f>
        <v/>
      </c>
      <c r="R383" s="29">
        <f>IFERROR(MATCH(ROW()-5,입력_전공의명단!$AM$2:$AM$401,0),"")</f>
        <v/>
      </c>
    </row>
    <row r="384">
      <c r="A384" s="26">
        <f>IF($R384="","",ROW()-5)</f>
        <v/>
      </c>
      <c r="B384" s="26">
        <f>IF($R384="","",INDEX(입력_전공의명단!$C$2:$C$401,$R384))</f>
        <v/>
      </c>
      <c r="C384" s="26">
        <f>IF($R384="","",INDEX(입력_전공의명단!$B$2:$B$401,$R384))</f>
        <v/>
      </c>
      <c r="D384" s="26">
        <f>IF($R384="","",INDEX(입력_전공의명단!$J$2:$J$401,$R384))</f>
        <v/>
      </c>
      <c r="E384" s="26">
        <f>IF($R384="","",INDEX(입력_전공의명단!$F$2:$F$401,$R384))</f>
        <v/>
      </c>
      <c r="F384" s="26">
        <f>IF($R384="","",INDEX(입력_전공의명단!$G$2:$G$401,$R384))</f>
        <v/>
      </c>
      <c r="G384" s="26">
        <f>IF($R384="","",INDEX(입력_전공의명단!$AE$2:$AE$401,$R384))</f>
        <v/>
      </c>
      <c r="H384" s="27">
        <f>IF($R384="","",IF(INDEX(입력_전공의명단!$AE$2:$AE$401,$R384)="서울병원","서울 소속","타 병원 소속("&amp;INDEX(입력_전공의명단!$AE$2:$AE$401,$R384)&amp;") → 서울 지급"))</f>
        <v/>
      </c>
      <c r="I384" s="26">
        <f>IF($R384="","",INDEX(입력_전공의명단!$N$2:$N$401,$R384))</f>
        <v/>
      </c>
      <c r="J384" s="26">
        <f>IF($R384="","",INDEX(입력_전공의명단!$P$2:$P$401,$R384))</f>
        <v/>
      </c>
      <c r="K384" s="26">
        <f>IF($R384="","",INDEX(입력_전공의명단!$Q$2:$Q$401,$R384))</f>
        <v/>
      </c>
      <c r="L384" s="28">
        <f>IF($R384="","",INDEX(입력_전공의명단!$S$2:$S$401,$R384))</f>
        <v/>
      </c>
      <c r="M384" s="28">
        <f>IF($R384="","",INDEX(입력_전공의명단!$T$2:$T$401,$R384))</f>
        <v/>
      </c>
      <c r="N384" s="26">
        <f>IF($R384="","",INDEX(입력_전공의명단!$AH$2:$AH$401,$R384))</f>
        <v/>
      </c>
      <c r="O384" s="26">
        <f>IF($R384="","",INDEX(입력_전공의명단!$AI$2:$AI$401,$R384))</f>
        <v/>
      </c>
      <c r="P384" s="27">
        <f>IF($R384="","",INDEX(입력_전공의명단!$AO$2:$AO$401,$R384))</f>
        <v/>
      </c>
      <c r="Q384" s="27">
        <f>IF($R384="","",INDEX(입력_전공의명단!$Z$2:$Z$401,$R384))</f>
        <v/>
      </c>
      <c r="R384" s="29">
        <f>IFERROR(MATCH(ROW()-5,입력_전공의명단!$AM$2:$AM$401,0),"")</f>
        <v/>
      </c>
    </row>
    <row r="385">
      <c r="A385" s="26">
        <f>IF($R385="","",ROW()-5)</f>
        <v/>
      </c>
      <c r="B385" s="26">
        <f>IF($R385="","",INDEX(입력_전공의명단!$C$2:$C$401,$R385))</f>
        <v/>
      </c>
      <c r="C385" s="26">
        <f>IF($R385="","",INDEX(입력_전공의명단!$B$2:$B$401,$R385))</f>
        <v/>
      </c>
      <c r="D385" s="26">
        <f>IF($R385="","",INDEX(입력_전공의명단!$J$2:$J$401,$R385))</f>
        <v/>
      </c>
      <c r="E385" s="26">
        <f>IF($R385="","",INDEX(입력_전공의명단!$F$2:$F$401,$R385))</f>
        <v/>
      </c>
      <c r="F385" s="26">
        <f>IF($R385="","",INDEX(입력_전공의명단!$G$2:$G$401,$R385))</f>
        <v/>
      </c>
      <c r="G385" s="26">
        <f>IF($R385="","",INDEX(입력_전공의명단!$AE$2:$AE$401,$R385))</f>
        <v/>
      </c>
      <c r="H385" s="27">
        <f>IF($R385="","",IF(INDEX(입력_전공의명단!$AE$2:$AE$401,$R385)="서울병원","서울 소속","타 병원 소속("&amp;INDEX(입력_전공의명단!$AE$2:$AE$401,$R385)&amp;") → 서울 지급"))</f>
        <v/>
      </c>
      <c r="I385" s="26">
        <f>IF($R385="","",INDEX(입력_전공의명단!$N$2:$N$401,$R385))</f>
        <v/>
      </c>
      <c r="J385" s="26">
        <f>IF($R385="","",INDEX(입력_전공의명단!$P$2:$P$401,$R385))</f>
        <v/>
      </c>
      <c r="K385" s="26">
        <f>IF($R385="","",INDEX(입력_전공의명단!$Q$2:$Q$401,$R385))</f>
        <v/>
      </c>
      <c r="L385" s="28">
        <f>IF($R385="","",INDEX(입력_전공의명단!$S$2:$S$401,$R385))</f>
        <v/>
      </c>
      <c r="M385" s="28">
        <f>IF($R385="","",INDEX(입력_전공의명단!$T$2:$T$401,$R385))</f>
        <v/>
      </c>
      <c r="N385" s="26">
        <f>IF($R385="","",INDEX(입력_전공의명단!$AH$2:$AH$401,$R385))</f>
        <v/>
      </c>
      <c r="O385" s="26">
        <f>IF($R385="","",INDEX(입력_전공의명단!$AI$2:$AI$401,$R385))</f>
        <v/>
      </c>
      <c r="P385" s="27">
        <f>IF($R385="","",INDEX(입력_전공의명단!$AO$2:$AO$401,$R385))</f>
        <v/>
      </c>
      <c r="Q385" s="27">
        <f>IF($R385="","",INDEX(입력_전공의명단!$Z$2:$Z$401,$R385))</f>
        <v/>
      </c>
      <c r="R385" s="29">
        <f>IFERROR(MATCH(ROW()-5,입력_전공의명단!$AM$2:$AM$401,0),"")</f>
        <v/>
      </c>
    </row>
    <row r="386">
      <c r="A386" s="26">
        <f>IF($R386="","",ROW()-5)</f>
        <v/>
      </c>
      <c r="B386" s="26">
        <f>IF($R386="","",INDEX(입력_전공의명단!$C$2:$C$401,$R386))</f>
        <v/>
      </c>
      <c r="C386" s="26">
        <f>IF($R386="","",INDEX(입력_전공의명단!$B$2:$B$401,$R386))</f>
        <v/>
      </c>
      <c r="D386" s="26">
        <f>IF($R386="","",INDEX(입력_전공의명단!$J$2:$J$401,$R386))</f>
        <v/>
      </c>
      <c r="E386" s="26">
        <f>IF($R386="","",INDEX(입력_전공의명단!$F$2:$F$401,$R386))</f>
        <v/>
      </c>
      <c r="F386" s="26">
        <f>IF($R386="","",INDEX(입력_전공의명단!$G$2:$G$401,$R386))</f>
        <v/>
      </c>
      <c r="G386" s="26">
        <f>IF($R386="","",INDEX(입력_전공의명단!$AE$2:$AE$401,$R386))</f>
        <v/>
      </c>
      <c r="H386" s="27">
        <f>IF($R386="","",IF(INDEX(입력_전공의명단!$AE$2:$AE$401,$R386)="서울병원","서울 소속","타 병원 소속("&amp;INDEX(입력_전공의명단!$AE$2:$AE$401,$R386)&amp;") → 서울 지급"))</f>
        <v/>
      </c>
      <c r="I386" s="26">
        <f>IF($R386="","",INDEX(입력_전공의명단!$N$2:$N$401,$R386))</f>
        <v/>
      </c>
      <c r="J386" s="26">
        <f>IF($R386="","",INDEX(입력_전공의명단!$P$2:$P$401,$R386))</f>
        <v/>
      </c>
      <c r="K386" s="26">
        <f>IF($R386="","",INDEX(입력_전공의명단!$Q$2:$Q$401,$R386))</f>
        <v/>
      </c>
      <c r="L386" s="28">
        <f>IF($R386="","",INDEX(입력_전공의명단!$S$2:$S$401,$R386))</f>
        <v/>
      </c>
      <c r="M386" s="28">
        <f>IF($R386="","",INDEX(입력_전공의명단!$T$2:$T$401,$R386))</f>
        <v/>
      </c>
      <c r="N386" s="26">
        <f>IF($R386="","",INDEX(입력_전공의명단!$AH$2:$AH$401,$R386))</f>
        <v/>
      </c>
      <c r="O386" s="26">
        <f>IF($R386="","",INDEX(입력_전공의명단!$AI$2:$AI$401,$R386))</f>
        <v/>
      </c>
      <c r="P386" s="27">
        <f>IF($R386="","",INDEX(입력_전공의명단!$AO$2:$AO$401,$R386))</f>
        <v/>
      </c>
      <c r="Q386" s="27">
        <f>IF($R386="","",INDEX(입력_전공의명단!$Z$2:$Z$401,$R386))</f>
        <v/>
      </c>
      <c r="R386" s="29">
        <f>IFERROR(MATCH(ROW()-5,입력_전공의명단!$AM$2:$AM$401,0),"")</f>
        <v/>
      </c>
    </row>
    <row r="387">
      <c r="A387" s="26">
        <f>IF($R387="","",ROW()-5)</f>
        <v/>
      </c>
      <c r="B387" s="26">
        <f>IF($R387="","",INDEX(입력_전공의명단!$C$2:$C$401,$R387))</f>
        <v/>
      </c>
      <c r="C387" s="26">
        <f>IF($R387="","",INDEX(입력_전공의명단!$B$2:$B$401,$R387))</f>
        <v/>
      </c>
      <c r="D387" s="26">
        <f>IF($R387="","",INDEX(입력_전공의명단!$J$2:$J$401,$R387))</f>
        <v/>
      </c>
      <c r="E387" s="26">
        <f>IF($R387="","",INDEX(입력_전공의명단!$F$2:$F$401,$R387))</f>
        <v/>
      </c>
      <c r="F387" s="26">
        <f>IF($R387="","",INDEX(입력_전공의명단!$G$2:$G$401,$R387))</f>
        <v/>
      </c>
      <c r="G387" s="26">
        <f>IF($R387="","",INDEX(입력_전공의명단!$AE$2:$AE$401,$R387))</f>
        <v/>
      </c>
      <c r="H387" s="27">
        <f>IF($R387="","",IF(INDEX(입력_전공의명단!$AE$2:$AE$401,$R387)="서울병원","서울 소속","타 병원 소속("&amp;INDEX(입력_전공의명단!$AE$2:$AE$401,$R387)&amp;") → 서울 지급"))</f>
        <v/>
      </c>
      <c r="I387" s="26">
        <f>IF($R387="","",INDEX(입력_전공의명단!$N$2:$N$401,$R387))</f>
        <v/>
      </c>
      <c r="J387" s="26">
        <f>IF($R387="","",INDEX(입력_전공의명단!$P$2:$P$401,$R387))</f>
        <v/>
      </c>
      <c r="K387" s="26">
        <f>IF($R387="","",INDEX(입력_전공의명단!$Q$2:$Q$401,$R387))</f>
        <v/>
      </c>
      <c r="L387" s="28">
        <f>IF($R387="","",INDEX(입력_전공의명단!$S$2:$S$401,$R387))</f>
        <v/>
      </c>
      <c r="M387" s="28">
        <f>IF($R387="","",INDEX(입력_전공의명단!$T$2:$T$401,$R387))</f>
        <v/>
      </c>
      <c r="N387" s="26">
        <f>IF($R387="","",INDEX(입력_전공의명단!$AH$2:$AH$401,$R387))</f>
        <v/>
      </c>
      <c r="O387" s="26">
        <f>IF($R387="","",INDEX(입력_전공의명단!$AI$2:$AI$401,$R387))</f>
        <v/>
      </c>
      <c r="P387" s="27">
        <f>IF($R387="","",INDEX(입력_전공의명단!$AO$2:$AO$401,$R387))</f>
        <v/>
      </c>
      <c r="Q387" s="27">
        <f>IF($R387="","",INDEX(입력_전공의명단!$Z$2:$Z$401,$R387))</f>
        <v/>
      </c>
      <c r="R387" s="29">
        <f>IFERROR(MATCH(ROW()-5,입력_전공의명단!$AM$2:$AM$401,0),"")</f>
        <v/>
      </c>
    </row>
    <row r="388">
      <c r="A388" s="26">
        <f>IF($R388="","",ROW()-5)</f>
        <v/>
      </c>
      <c r="B388" s="26">
        <f>IF($R388="","",INDEX(입력_전공의명단!$C$2:$C$401,$R388))</f>
        <v/>
      </c>
      <c r="C388" s="26">
        <f>IF($R388="","",INDEX(입력_전공의명단!$B$2:$B$401,$R388))</f>
        <v/>
      </c>
      <c r="D388" s="26">
        <f>IF($R388="","",INDEX(입력_전공의명단!$J$2:$J$401,$R388))</f>
        <v/>
      </c>
      <c r="E388" s="26">
        <f>IF($R388="","",INDEX(입력_전공의명단!$F$2:$F$401,$R388))</f>
        <v/>
      </c>
      <c r="F388" s="26">
        <f>IF($R388="","",INDEX(입력_전공의명단!$G$2:$G$401,$R388))</f>
        <v/>
      </c>
      <c r="G388" s="26">
        <f>IF($R388="","",INDEX(입력_전공의명단!$AE$2:$AE$401,$R388))</f>
        <v/>
      </c>
      <c r="H388" s="27">
        <f>IF($R388="","",IF(INDEX(입력_전공의명단!$AE$2:$AE$401,$R388)="서울병원","서울 소속","타 병원 소속("&amp;INDEX(입력_전공의명단!$AE$2:$AE$401,$R388)&amp;") → 서울 지급"))</f>
        <v/>
      </c>
      <c r="I388" s="26">
        <f>IF($R388="","",INDEX(입력_전공의명단!$N$2:$N$401,$R388))</f>
        <v/>
      </c>
      <c r="J388" s="26">
        <f>IF($R388="","",INDEX(입력_전공의명단!$P$2:$P$401,$R388))</f>
        <v/>
      </c>
      <c r="K388" s="26">
        <f>IF($R388="","",INDEX(입력_전공의명단!$Q$2:$Q$401,$R388))</f>
        <v/>
      </c>
      <c r="L388" s="28">
        <f>IF($R388="","",INDEX(입력_전공의명단!$S$2:$S$401,$R388))</f>
        <v/>
      </c>
      <c r="M388" s="28">
        <f>IF($R388="","",INDEX(입력_전공의명단!$T$2:$T$401,$R388))</f>
        <v/>
      </c>
      <c r="N388" s="26">
        <f>IF($R388="","",INDEX(입력_전공의명단!$AH$2:$AH$401,$R388))</f>
        <v/>
      </c>
      <c r="O388" s="26">
        <f>IF($R388="","",INDEX(입력_전공의명단!$AI$2:$AI$401,$R388))</f>
        <v/>
      </c>
      <c r="P388" s="27">
        <f>IF($R388="","",INDEX(입력_전공의명단!$AO$2:$AO$401,$R388))</f>
        <v/>
      </c>
      <c r="Q388" s="27">
        <f>IF($R388="","",INDEX(입력_전공의명단!$Z$2:$Z$401,$R388))</f>
        <v/>
      </c>
      <c r="R388" s="29">
        <f>IFERROR(MATCH(ROW()-5,입력_전공의명단!$AM$2:$AM$401,0),"")</f>
        <v/>
      </c>
    </row>
    <row r="389">
      <c r="A389" s="26">
        <f>IF($R389="","",ROW()-5)</f>
        <v/>
      </c>
      <c r="B389" s="26">
        <f>IF($R389="","",INDEX(입력_전공의명단!$C$2:$C$401,$R389))</f>
        <v/>
      </c>
      <c r="C389" s="26">
        <f>IF($R389="","",INDEX(입력_전공의명단!$B$2:$B$401,$R389))</f>
        <v/>
      </c>
      <c r="D389" s="26">
        <f>IF($R389="","",INDEX(입력_전공의명단!$J$2:$J$401,$R389))</f>
        <v/>
      </c>
      <c r="E389" s="26">
        <f>IF($R389="","",INDEX(입력_전공의명단!$F$2:$F$401,$R389))</f>
        <v/>
      </c>
      <c r="F389" s="26">
        <f>IF($R389="","",INDEX(입력_전공의명단!$G$2:$G$401,$R389))</f>
        <v/>
      </c>
      <c r="G389" s="26">
        <f>IF($R389="","",INDEX(입력_전공의명단!$AE$2:$AE$401,$R389))</f>
        <v/>
      </c>
      <c r="H389" s="27">
        <f>IF($R389="","",IF(INDEX(입력_전공의명단!$AE$2:$AE$401,$R389)="서울병원","서울 소속","타 병원 소속("&amp;INDEX(입력_전공의명단!$AE$2:$AE$401,$R389)&amp;") → 서울 지급"))</f>
        <v/>
      </c>
      <c r="I389" s="26">
        <f>IF($R389="","",INDEX(입력_전공의명단!$N$2:$N$401,$R389))</f>
        <v/>
      </c>
      <c r="J389" s="26">
        <f>IF($R389="","",INDEX(입력_전공의명단!$P$2:$P$401,$R389))</f>
        <v/>
      </c>
      <c r="K389" s="26">
        <f>IF($R389="","",INDEX(입력_전공의명단!$Q$2:$Q$401,$R389))</f>
        <v/>
      </c>
      <c r="L389" s="28">
        <f>IF($R389="","",INDEX(입력_전공의명단!$S$2:$S$401,$R389))</f>
        <v/>
      </c>
      <c r="M389" s="28">
        <f>IF($R389="","",INDEX(입력_전공의명단!$T$2:$T$401,$R389))</f>
        <v/>
      </c>
      <c r="N389" s="26">
        <f>IF($R389="","",INDEX(입력_전공의명단!$AH$2:$AH$401,$R389))</f>
        <v/>
      </c>
      <c r="O389" s="26">
        <f>IF($R389="","",INDEX(입력_전공의명단!$AI$2:$AI$401,$R389))</f>
        <v/>
      </c>
      <c r="P389" s="27">
        <f>IF($R389="","",INDEX(입력_전공의명단!$AO$2:$AO$401,$R389))</f>
        <v/>
      </c>
      <c r="Q389" s="27">
        <f>IF($R389="","",INDEX(입력_전공의명단!$Z$2:$Z$401,$R389))</f>
        <v/>
      </c>
      <c r="R389" s="29">
        <f>IFERROR(MATCH(ROW()-5,입력_전공의명단!$AM$2:$AM$401,0),"")</f>
        <v/>
      </c>
    </row>
    <row r="390">
      <c r="A390" s="26">
        <f>IF($R390="","",ROW()-5)</f>
        <v/>
      </c>
      <c r="B390" s="26">
        <f>IF($R390="","",INDEX(입력_전공의명단!$C$2:$C$401,$R390))</f>
        <v/>
      </c>
      <c r="C390" s="26">
        <f>IF($R390="","",INDEX(입력_전공의명단!$B$2:$B$401,$R390))</f>
        <v/>
      </c>
      <c r="D390" s="26">
        <f>IF($R390="","",INDEX(입력_전공의명단!$J$2:$J$401,$R390))</f>
        <v/>
      </c>
      <c r="E390" s="26">
        <f>IF($R390="","",INDEX(입력_전공의명단!$F$2:$F$401,$R390))</f>
        <v/>
      </c>
      <c r="F390" s="26">
        <f>IF($R390="","",INDEX(입력_전공의명단!$G$2:$G$401,$R390))</f>
        <v/>
      </c>
      <c r="G390" s="26">
        <f>IF($R390="","",INDEX(입력_전공의명단!$AE$2:$AE$401,$R390))</f>
        <v/>
      </c>
      <c r="H390" s="27">
        <f>IF($R390="","",IF(INDEX(입력_전공의명단!$AE$2:$AE$401,$R390)="서울병원","서울 소속","타 병원 소속("&amp;INDEX(입력_전공의명단!$AE$2:$AE$401,$R390)&amp;") → 서울 지급"))</f>
        <v/>
      </c>
      <c r="I390" s="26">
        <f>IF($R390="","",INDEX(입력_전공의명단!$N$2:$N$401,$R390))</f>
        <v/>
      </c>
      <c r="J390" s="26">
        <f>IF($R390="","",INDEX(입력_전공의명단!$P$2:$P$401,$R390))</f>
        <v/>
      </c>
      <c r="K390" s="26">
        <f>IF($R390="","",INDEX(입력_전공의명단!$Q$2:$Q$401,$R390))</f>
        <v/>
      </c>
      <c r="L390" s="28">
        <f>IF($R390="","",INDEX(입력_전공의명단!$S$2:$S$401,$R390))</f>
        <v/>
      </c>
      <c r="M390" s="28">
        <f>IF($R390="","",INDEX(입력_전공의명단!$T$2:$T$401,$R390))</f>
        <v/>
      </c>
      <c r="N390" s="26">
        <f>IF($R390="","",INDEX(입력_전공의명단!$AH$2:$AH$401,$R390))</f>
        <v/>
      </c>
      <c r="O390" s="26">
        <f>IF($R390="","",INDEX(입력_전공의명단!$AI$2:$AI$401,$R390))</f>
        <v/>
      </c>
      <c r="P390" s="27">
        <f>IF($R390="","",INDEX(입력_전공의명단!$AO$2:$AO$401,$R390))</f>
        <v/>
      </c>
      <c r="Q390" s="27">
        <f>IF($R390="","",INDEX(입력_전공의명단!$Z$2:$Z$401,$R390))</f>
        <v/>
      </c>
      <c r="R390" s="29">
        <f>IFERROR(MATCH(ROW()-5,입력_전공의명단!$AM$2:$AM$401,0),"")</f>
        <v/>
      </c>
    </row>
    <row r="391">
      <c r="A391" s="26">
        <f>IF($R391="","",ROW()-5)</f>
        <v/>
      </c>
      <c r="B391" s="26">
        <f>IF($R391="","",INDEX(입력_전공의명단!$C$2:$C$401,$R391))</f>
        <v/>
      </c>
      <c r="C391" s="26">
        <f>IF($R391="","",INDEX(입력_전공의명단!$B$2:$B$401,$R391))</f>
        <v/>
      </c>
      <c r="D391" s="26">
        <f>IF($R391="","",INDEX(입력_전공의명단!$J$2:$J$401,$R391))</f>
        <v/>
      </c>
      <c r="E391" s="26">
        <f>IF($R391="","",INDEX(입력_전공의명단!$F$2:$F$401,$R391))</f>
        <v/>
      </c>
      <c r="F391" s="26">
        <f>IF($R391="","",INDEX(입력_전공의명단!$G$2:$G$401,$R391))</f>
        <v/>
      </c>
      <c r="G391" s="26">
        <f>IF($R391="","",INDEX(입력_전공의명단!$AE$2:$AE$401,$R391))</f>
        <v/>
      </c>
      <c r="H391" s="27">
        <f>IF($R391="","",IF(INDEX(입력_전공의명단!$AE$2:$AE$401,$R391)="서울병원","서울 소속","타 병원 소속("&amp;INDEX(입력_전공의명단!$AE$2:$AE$401,$R391)&amp;") → 서울 지급"))</f>
        <v/>
      </c>
      <c r="I391" s="26">
        <f>IF($R391="","",INDEX(입력_전공의명단!$N$2:$N$401,$R391))</f>
        <v/>
      </c>
      <c r="J391" s="26">
        <f>IF($R391="","",INDEX(입력_전공의명단!$P$2:$P$401,$R391))</f>
        <v/>
      </c>
      <c r="K391" s="26">
        <f>IF($R391="","",INDEX(입력_전공의명단!$Q$2:$Q$401,$R391))</f>
        <v/>
      </c>
      <c r="L391" s="28">
        <f>IF($R391="","",INDEX(입력_전공의명단!$S$2:$S$401,$R391))</f>
        <v/>
      </c>
      <c r="M391" s="28">
        <f>IF($R391="","",INDEX(입력_전공의명단!$T$2:$T$401,$R391))</f>
        <v/>
      </c>
      <c r="N391" s="26">
        <f>IF($R391="","",INDEX(입력_전공의명단!$AH$2:$AH$401,$R391))</f>
        <v/>
      </c>
      <c r="O391" s="26">
        <f>IF($R391="","",INDEX(입력_전공의명단!$AI$2:$AI$401,$R391))</f>
        <v/>
      </c>
      <c r="P391" s="27">
        <f>IF($R391="","",INDEX(입력_전공의명단!$AO$2:$AO$401,$R391))</f>
        <v/>
      </c>
      <c r="Q391" s="27">
        <f>IF($R391="","",INDEX(입력_전공의명단!$Z$2:$Z$401,$R391))</f>
        <v/>
      </c>
      <c r="R391" s="29">
        <f>IFERROR(MATCH(ROW()-5,입력_전공의명단!$AM$2:$AM$401,0),"")</f>
        <v/>
      </c>
    </row>
    <row r="392">
      <c r="A392" s="26">
        <f>IF($R392="","",ROW()-5)</f>
        <v/>
      </c>
      <c r="B392" s="26">
        <f>IF($R392="","",INDEX(입력_전공의명단!$C$2:$C$401,$R392))</f>
        <v/>
      </c>
      <c r="C392" s="26">
        <f>IF($R392="","",INDEX(입력_전공의명단!$B$2:$B$401,$R392))</f>
        <v/>
      </c>
      <c r="D392" s="26">
        <f>IF($R392="","",INDEX(입력_전공의명단!$J$2:$J$401,$R392))</f>
        <v/>
      </c>
      <c r="E392" s="26">
        <f>IF($R392="","",INDEX(입력_전공의명단!$F$2:$F$401,$R392))</f>
        <v/>
      </c>
      <c r="F392" s="26">
        <f>IF($R392="","",INDEX(입력_전공의명단!$G$2:$G$401,$R392))</f>
        <v/>
      </c>
      <c r="G392" s="26">
        <f>IF($R392="","",INDEX(입력_전공의명단!$AE$2:$AE$401,$R392))</f>
        <v/>
      </c>
      <c r="H392" s="27">
        <f>IF($R392="","",IF(INDEX(입력_전공의명단!$AE$2:$AE$401,$R392)="서울병원","서울 소속","타 병원 소속("&amp;INDEX(입력_전공의명단!$AE$2:$AE$401,$R392)&amp;") → 서울 지급"))</f>
        <v/>
      </c>
      <c r="I392" s="26">
        <f>IF($R392="","",INDEX(입력_전공의명단!$N$2:$N$401,$R392))</f>
        <v/>
      </c>
      <c r="J392" s="26">
        <f>IF($R392="","",INDEX(입력_전공의명단!$P$2:$P$401,$R392))</f>
        <v/>
      </c>
      <c r="K392" s="26">
        <f>IF($R392="","",INDEX(입력_전공의명단!$Q$2:$Q$401,$R392))</f>
        <v/>
      </c>
      <c r="L392" s="28">
        <f>IF($R392="","",INDEX(입력_전공의명단!$S$2:$S$401,$R392))</f>
        <v/>
      </c>
      <c r="M392" s="28">
        <f>IF($R392="","",INDEX(입력_전공의명단!$T$2:$T$401,$R392))</f>
        <v/>
      </c>
      <c r="N392" s="26">
        <f>IF($R392="","",INDEX(입력_전공의명단!$AH$2:$AH$401,$R392))</f>
        <v/>
      </c>
      <c r="O392" s="26">
        <f>IF($R392="","",INDEX(입력_전공의명단!$AI$2:$AI$401,$R392))</f>
        <v/>
      </c>
      <c r="P392" s="27">
        <f>IF($R392="","",INDEX(입력_전공의명단!$AO$2:$AO$401,$R392))</f>
        <v/>
      </c>
      <c r="Q392" s="27">
        <f>IF($R392="","",INDEX(입력_전공의명단!$Z$2:$Z$401,$R392))</f>
        <v/>
      </c>
      <c r="R392" s="29">
        <f>IFERROR(MATCH(ROW()-5,입력_전공의명단!$AM$2:$AM$401,0),"")</f>
        <v/>
      </c>
    </row>
    <row r="393">
      <c r="A393" s="26">
        <f>IF($R393="","",ROW()-5)</f>
        <v/>
      </c>
      <c r="B393" s="26">
        <f>IF($R393="","",INDEX(입력_전공의명단!$C$2:$C$401,$R393))</f>
        <v/>
      </c>
      <c r="C393" s="26">
        <f>IF($R393="","",INDEX(입력_전공의명단!$B$2:$B$401,$R393))</f>
        <v/>
      </c>
      <c r="D393" s="26">
        <f>IF($R393="","",INDEX(입력_전공의명단!$J$2:$J$401,$R393))</f>
        <v/>
      </c>
      <c r="E393" s="26">
        <f>IF($R393="","",INDEX(입력_전공의명단!$F$2:$F$401,$R393))</f>
        <v/>
      </c>
      <c r="F393" s="26">
        <f>IF($R393="","",INDEX(입력_전공의명단!$G$2:$G$401,$R393))</f>
        <v/>
      </c>
      <c r="G393" s="26">
        <f>IF($R393="","",INDEX(입력_전공의명단!$AE$2:$AE$401,$R393))</f>
        <v/>
      </c>
      <c r="H393" s="27">
        <f>IF($R393="","",IF(INDEX(입력_전공의명단!$AE$2:$AE$401,$R393)="서울병원","서울 소속","타 병원 소속("&amp;INDEX(입력_전공의명단!$AE$2:$AE$401,$R393)&amp;") → 서울 지급"))</f>
        <v/>
      </c>
      <c r="I393" s="26">
        <f>IF($R393="","",INDEX(입력_전공의명단!$N$2:$N$401,$R393))</f>
        <v/>
      </c>
      <c r="J393" s="26">
        <f>IF($R393="","",INDEX(입력_전공의명단!$P$2:$P$401,$R393))</f>
        <v/>
      </c>
      <c r="K393" s="26">
        <f>IF($R393="","",INDEX(입력_전공의명단!$Q$2:$Q$401,$R393))</f>
        <v/>
      </c>
      <c r="L393" s="28">
        <f>IF($R393="","",INDEX(입력_전공의명단!$S$2:$S$401,$R393))</f>
        <v/>
      </c>
      <c r="M393" s="28">
        <f>IF($R393="","",INDEX(입력_전공의명단!$T$2:$T$401,$R393))</f>
        <v/>
      </c>
      <c r="N393" s="26">
        <f>IF($R393="","",INDEX(입력_전공의명단!$AH$2:$AH$401,$R393))</f>
        <v/>
      </c>
      <c r="O393" s="26">
        <f>IF($R393="","",INDEX(입력_전공의명단!$AI$2:$AI$401,$R393))</f>
        <v/>
      </c>
      <c r="P393" s="27">
        <f>IF($R393="","",INDEX(입력_전공의명단!$AO$2:$AO$401,$R393))</f>
        <v/>
      </c>
      <c r="Q393" s="27">
        <f>IF($R393="","",INDEX(입력_전공의명단!$Z$2:$Z$401,$R393))</f>
        <v/>
      </c>
      <c r="R393" s="29">
        <f>IFERROR(MATCH(ROW()-5,입력_전공의명단!$AM$2:$AM$401,0),"")</f>
        <v/>
      </c>
    </row>
    <row r="394">
      <c r="A394" s="26">
        <f>IF($R394="","",ROW()-5)</f>
        <v/>
      </c>
      <c r="B394" s="26">
        <f>IF($R394="","",INDEX(입력_전공의명단!$C$2:$C$401,$R394))</f>
        <v/>
      </c>
      <c r="C394" s="26">
        <f>IF($R394="","",INDEX(입력_전공의명단!$B$2:$B$401,$R394))</f>
        <v/>
      </c>
      <c r="D394" s="26">
        <f>IF($R394="","",INDEX(입력_전공의명단!$J$2:$J$401,$R394))</f>
        <v/>
      </c>
      <c r="E394" s="26">
        <f>IF($R394="","",INDEX(입력_전공의명단!$F$2:$F$401,$R394))</f>
        <v/>
      </c>
      <c r="F394" s="26">
        <f>IF($R394="","",INDEX(입력_전공의명단!$G$2:$G$401,$R394))</f>
        <v/>
      </c>
      <c r="G394" s="26">
        <f>IF($R394="","",INDEX(입력_전공의명단!$AE$2:$AE$401,$R394))</f>
        <v/>
      </c>
      <c r="H394" s="27">
        <f>IF($R394="","",IF(INDEX(입력_전공의명단!$AE$2:$AE$401,$R394)="서울병원","서울 소속","타 병원 소속("&amp;INDEX(입력_전공의명단!$AE$2:$AE$401,$R394)&amp;") → 서울 지급"))</f>
        <v/>
      </c>
      <c r="I394" s="26">
        <f>IF($R394="","",INDEX(입력_전공의명단!$N$2:$N$401,$R394))</f>
        <v/>
      </c>
      <c r="J394" s="26">
        <f>IF($R394="","",INDEX(입력_전공의명단!$P$2:$P$401,$R394))</f>
        <v/>
      </c>
      <c r="K394" s="26">
        <f>IF($R394="","",INDEX(입력_전공의명단!$Q$2:$Q$401,$R394))</f>
        <v/>
      </c>
      <c r="L394" s="28">
        <f>IF($R394="","",INDEX(입력_전공의명단!$S$2:$S$401,$R394))</f>
        <v/>
      </c>
      <c r="M394" s="28">
        <f>IF($R394="","",INDEX(입력_전공의명단!$T$2:$T$401,$R394))</f>
        <v/>
      </c>
      <c r="N394" s="26">
        <f>IF($R394="","",INDEX(입력_전공의명단!$AH$2:$AH$401,$R394))</f>
        <v/>
      </c>
      <c r="O394" s="26">
        <f>IF($R394="","",INDEX(입력_전공의명단!$AI$2:$AI$401,$R394))</f>
        <v/>
      </c>
      <c r="P394" s="27">
        <f>IF($R394="","",INDEX(입력_전공의명단!$AO$2:$AO$401,$R394))</f>
        <v/>
      </c>
      <c r="Q394" s="27">
        <f>IF($R394="","",INDEX(입력_전공의명단!$Z$2:$Z$401,$R394))</f>
        <v/>
      </c>
      <c r="R394" s="29">
        <f>IFERROR(MATCH(ROW()-5,입력_전공의명단!$AM$2:$AM$401,0),"")</f>
        <v/>
      </c>
    </row>
    <row r="395">
      <c r="A395" s="26">
        <f>IF($R395="","",ROW()-5)</f>
        <v/>
      </c>
      <c r="B395" s="26">
        <f>IF($R395="","",INDEX(입력_전공의명단!$C$2:$C$401,$R395))</f>
        <v/>
      </c>
      <c r="C395" s="26">
        <f>IF($R395="","",INDEX(입력_전공의명단!$B$2:$B$401,$R395))</f>
        <v/>
      </c>
      <c r="D395" s="26">
        <f>IF($R395="","",INDEX(입력_전공의명단!$J$2:$J$401,$R395))</f>
        <v/>
      </c>
      <c r="E395" s="26">
        <f>IF($R395="","",INDEX(입력_전공의명단!$F$2:$F$401,$R395))</f>
        <v/>
      </c>
      <c r="F395" s="26">
        <f>IF($R395="","",INDEX(입력_전공의명단!$G$2:$G$401,$R395))</f>
        <v/>
      </c>
      <c r="G395" s="26">
        <f>IF($R395="","",INDEX(입력_전공의명단!$AE$2:$AE$401,$R395))</f>
        <v/>
      </c>
      <c r="H395" s="27">
        <f>IF($R395="","",IF(INDEX(입력_전공의명단!$AE$2:$AE$401,$R395)="서울병원","서울 소속","타 병원 소속("&amp;INDEX(입력_전공의명단!$AE$2:$AE$401,$R395)&amp;") → 서울 지급"))</f>
        <v/>
      </c>
      <c r="I395" s="26">
        <f>IF($R395="","",INDEX(입력_전공의명단!$N$2:$N$401,$R395))</f>
        <v/>
      </c>
      <c r="J395" s="26">
        <f>IF($R395="","",INDEX(입력_전공의명단!$P$2:$P$401,$R395))</f>
        <v/>
      </c>
      <c r="K395" s="26">
        <f>IF($R395="","",INDEX(입력_전공의명단!$Q$2:$Q$401,$R395))</f>
        <v/>
      </c>
      <c r="L395" s="28">
        <f>IF($R395="","",INDEX(입력_전공의명단!$S$2:$S$401,$R395))</f>
        <v/>
      </c>
      <c r="M395" s="28">
        <f>IF($R395="","",INDEX(입력_전공의명단!$T$2:$T$401,$R395))</f>
        <v/>
      </c>
      <c r="N395" s="26">
        <f>IF($R395="","",INDEX(입력_전공의명단!$AH$2:$AH$401,$R395))</f>
        <v/>
      </c>
      <c r="O395" s="26">
        <f>IF($R395="","",INDEX(입력_전공의명단!$AI$2:$AI$401,$R395))</f>
        <v/>
      </c>
      <c r="P395" s="27">
        <f>IF($R395="","",INDEX(입력_전공의명단!$AO$2:$AO$401,$R395))</f>
        <v/>
      </c>
      <c r="Q395" s="27">
        <f>IF($R395="","",INDEX(입력_전공의명단!$Z$2:$Z$401,$R395))</f>
        <v/>
      </c>
      <c r="R395" s="29">
        <f>IFERROR(MATCH(ROW()-5,입력_전공의명단!$AM$2:$AM$401,0),"")</f>
        <v/>
      </c>
    </row>
    <row r="396">
      <c r="A396" s="26">
        <f>IF($R396="","",ROW()-5)</f>
        <v/>
      </c>
      <c r="B396" s="26">
        <f>IF($R396="","",INDEX(입력_전공의명단!$C$2:$C$401,$R396))</f>
        <v/>
      </c>
      <c r="C396" s="26">
        <f>IF($R396="","",INDEX(입력_전공의명단!$B$2:$B$401,$R396))</f>
        <v/>
      </c>
      <c r="D396" s="26">
        <f>IF($R396="","",INDEX(입력_전공의명단!$J$2:$J$401,$R396))</f>
        <v/>
      </c>
      <c r="E396" s="26">
        <f>IF($R396="","",INDEX(입력_전공의명단!$F$2:$F$401,$R396))</f>
        <v/>
      </c>
      <c r="F396" s="26">
        <f>IF($R396="","",INDEX(입력_전공의명단!$G$2:$G$401,$R396))</f>
        <v/>
      </c>
      <c r="G396" s="26">
        <f>IF($R396="","",INDEX(입력_전공의명단!$AE$2:$AE$401,$R396))</f>
        <v/>
      </c>
      <c r="H396" s="27">
        <f>IF($R396="","",IF(INDEX(입력_전공의명단!$AE$2:$AE$401,$R396)="서울병원","서울 소속","타 병원 소속("&amp;INDEX(입력_전공의명단!$AE$2:$AE$401,$R396)&amp;") → 서울 지급"))</f>
        <v/>
      </c>
      <c r="I396" s="26">
        <f>IF($R396="","",INDEX(입력_전공의명단!$N$2:$N$401,$R396))</f>
        <v/>
      </c>
      <c r="J396" s="26">
        <f>IF($R396="","",INDEX(입력_전공의명단!$P$2:$P$401,$R396))</f>
        <v/>
      </c>
      <c r="K396" s="26">
        <f>IF($R396="","",INDEX(입력_전공의명단!$Q$2:$Q$401,$R396))</f>
        <v/>
      </c>
      <c r="L396" s="28">
        <f>IF($R396="","",INDEX(입력_전공의명단!$S$2:$S$401,$R396))</f>
        <v/>
      </c>
      <c r="M396" s="28">
        <f>IF($R396="","",INDEX(입력_전공의명단!$T$2:$T$401,$R396))</f>
        <v/>
      </c>
      <c r="N396" s="26">
        <f>IF($R396="","",INDEX(입력_전공의명단!$AH$2:$AH$401,$R396))</f>
        <v/>
      </c>
      <c r="O396" s="26">
        <f>IF($R396="","",INDEX(입력_전공의명단!$AI$2:$AI$401,$R396))</f>
        <v/>
      </c>
      <c r="P396" s="27">
        <f>IF($R396="","",INDEX(입력_전공의명단!$AO$2:$AO$401,$R396))</f>
        <v/>
      </c>
      <c r="Q396" s="27">
        <f>IF($R396="","",INDEX(입력_전공의명단!$Z$2:$Z$401,$R396))</f>
        <v/>
      </c>
      <c r="R396" s="29">
        <f>IFERROR(MATCH(ROW()-5,입력_전공의명단!$AM$2:$AM$401,0),"")</f>
        <v/>
      </c>
    </row>
    <row r="397">
      <c r="A397" s="26">
        <f>IF($R397="","",ROW()-5)</f>
        <v/>
      </c>
      <c r="B397" s="26">
        <f>IF($R397="","",INDEX(입력_전공의명단!$C$2:$C$401,$R397))</f>
        <v/>
      </c>
      <c r="C397" s="26">
        <f>IF($R397="","",INDEX(입력_전공의명단!$B$2:$B$401,$R397))</f>
        <v/>
      </c>
      <c r="D397" s="26">
        <f>IF($R397="","",INDEX(입력_전공의명단!$J$2:$J$401,$R397))</f>
        <v/>
      </c>
      <c r="E397" s="26">
        <f>IF($R397="","",INDEX(입력_전공의명단!$F$2:$F$401,$R397))</f>
        <v/>
      </c>
      <c r="F397" s="26">
        <f>IF($R397="","",INDEX(입력_전공의명단!$G$2:$G$401,$R397))</f>
        <v/>
      </c>
      <c r="G397" s="26">
        <f>IF($R397="","",INDEX(입력_전공의명단!$AE$2:$AE$401,$R397))</f>
        <v/>
      </c>
      <c r="H397" s="27">
        <f>IF($R397="","",IF(INDEX(입력_전공의명단!$AE$2:$AE$401,$R397)="서울병원","서울 소속","타 병원 소속("&amp;INDEX(입력_전공의명단!$AE$2:$AE$401,$R397)&amp;") → 서울 지급"))</f>
        <v/>
      </c>
      <c r="I397" s="26">
        <f>IF($R397="","",INDEX(입력_전공의명단!$N$2:$N$401,$R397))</f>
        <v/>
      </c>
      <c r="J397" s="26">
        <f>IF($R397="","",INDEX(입력_전공의명단!$P$2:$P$401,$R397))</f>
        <v/>
      </c>
      <c r="K397" s="26">
        <f>IF($R397="","",INDEX(입력_전공의명단!$Q$2:$Q$401,$R397))</f>
        <v/>
      </c>
      <c r="L397" s="28">
        <f>IF($R397="","",INDEX(입력_전공의명단!$S$2:$S$401,$R397))</f>
        <v/>
      </c>
      <c r="M397" s="28">
        <f>IF($R397="","",INDEX(입력_전공의명단!$T$2:$T$401,$R397))</f>
        <v/>
      </c>
      <c r="N397" s="26">
        <f>IF($R397="","",INDEX(입력_전공의명단!$AH$2:$AH$401,$R397))</f>
        <v/>
      </c>
      <c r="O397" s="26">
        <f>IF($R397="","",INDEX(입력_전공의명단!$AI$2:$AI$401,$R397))</f>
        <v/>
      </c>
      <c r="P397" s="27">
        <f>IF($R397="","",INDEX(입력_전공의명단!$AO$2:$AO$401,$R397))</f>
        <v/>
      </c>
      <c r="Q397" s="27">
        <f>IF($R397="","",INDEX(입력_전공의명단!$Z$2:$Z$401,$R397))</f>
        <v/>
      </c>
      <c r="R397" s="29">
        <f>IFERROR(MATCH(ROW()-5,입력_전공의명단!$AM$2:$AM$401,0),"")</f>
        <v/>
      </c>
    </row>
    <row r="398">
      <c r="A398" s="26">
        <f>IF($R398="","",ROW()-5)</f>
        <v/>
      </c>
      <c r="B398" s="26">
        <f>IF($R398="","",INDEX(입력_전공의명단!$C$2:$C$401,$R398))</f>
        <v/>
      </c>
      <c r="C398" s="26">
        <f>IF($R398="","",INDEX(입력_전공의명단!$B$2:$B$401,$R398))</f>
        <v/>
      </c>
      <c r="D398" s="26">
        <f>IF($R398="","",INDEX(입력_전공의명단!$J$2:$J$401,$R398))</f>
        <v/>
      </c>
      <c r="E398" s="26">
        <f>IF($R398="","",INDEX(입력_전공의명단!$F$2:$F$401,$R398))</f>
        <v/>
      </c>
      <c r="F398" s="26">
        <f>IF($R398="","",INDEX(입력_전공의명단!$G$2:$G$401,$R398))</f>
        <v/>
      </c>
      <c r="G398" s="26">
        <f>IF($R398="","",INDEX(입력_전공의명단!$AE$2:$AE$401,$R398))</f>
        <v/>
      </c>
      <c r="H398" s="27">
        <f>IF($R398="","",IF(INDEX(입력_전공의명단!$AE$2:$AE$401,$R398)="서울병원","서울 소속","타 병원 소속("&amp;INDEX(입력_전공의명단!$AE$2:$AE$401,$R398)&amp;") → 서울 지급"))</f>
        <v/>
      </c>
      <c r="I398" s="26">
        <f>IF($R398="","",INDEX(입력_전공의명단!$N$2:$N$401,$R398))</f>
        <v/>
      </c>
      <c r="J398" s="26">
        <f>IF($R398="","",INDEX(입력_전공의명단!$P$2:$P$401,$R398))</f>
        <v/>
      </c>
      <c r="K398" s="26">
        <f>IF($R398="","",INDEX(입력_전공의명단!$Q$2:$Q$401,$R398))</f>
        <v/>
      </c>
      <c r="L398" s="28">
        <f>IF($R398="","",INDEX(입력_전공의명단!$S$2:$S$401,$R398))</f>
        <v/>
      </c>
      <c r="M398" s="28">
        <f>IF($R398="","",INDEX(입력_전공의명단!$T$2:$T$401,$R398))</f>
        <v/>
      </c>
      <c r="N398" s="26">
        <f>IF($R398="","",INDEX(입력_전공의명단!$AH$2:$AH$401,$R398))</f>
        <v/>
      </c>
      <c r="O398" s="26">
        <f>IF($R398="","",INDEX(입력_전공의명단!$AI$2:$AI$401,$R398))</f>
        <v/>
      </c>
      <c r="P398" s="27">
        <f>IF($R398="","",INDEX(입력_전공의명단!$AO$2:$AO$401,$R398))</f>
        <v/>
      </c>
      <c r="Q398" s="27">
        <f>IF($R398="","",INDEX(입력_전공의명단!$Z$2:$Z$401,$R398))</f>
        <v/>
      </c>
      <c r="R398" s="29">
        <f>IFERROR(MATCH(ROW()-5,입력_전공의명단!$AM$2:$AM$401,0),"")</f>
        <v/>
      </c>
    </row>
    <row r="399">
      <c r="A399" s="26">
        <f>IF($R399="","",ROW()-5)</f>
        <v/>
      </c>
      <c r="B399" s="26">
        <f>IF($R399="","",INDEX(입력_전공의명단!$C$2:$C$401,$R399))</f>
        <v/>
      </c>
      <c r="C399" s="26">
        <f>IF($R399="","",INDEX(입력_전공의명단!$B$2:$B$401,$R399))</f>
        <v/>
      </c>
      <c r="D399" s="26">
        <f>IF($R399="","",INDEX(입력_전공의명단!$J$2:$J$401,$R399))</f>
        <v/>
      </c>
      <c r="E399" s="26">
        <f>IF($R399="","",INDEX(입력_전공의명단!$F$2:$F$401,$R399))</f>
        <v/>
      </c>
      <c r="F399" s="26">
        <f>IF($R399="","",INDEX(입력_전공의명단!$G$2:$G$401,$R399))</f>
        <v/>
      </c>
      <c r="G399" s="26">
        <f>IF($R399="","",INDEX(입력_전공의명단!$AE$2:$AE$401,$R399))</f>
        <v/>
      </c>
      <c r="H399" s="27">
        <f>IF($R399="","",IF(INDEX(입력_전공의명단!$AE$2:$AE$401,$R399)="서울병원","서울 소속","타 병원 소속("&amp;INDEX(입력_전공의명단!$AE$2:$AE$401,$R399)&amp;") → 서울 지급"))</f>
        <v/>
      </c>
      <c r="I399" s="26">
        <f>IF($R399="","",INDEX(입력_전공의명단!$N$2:$N$401,$R399))</f>
        <v/>
      </c>
      <c r="J399" s="26">
        <f>IF($R399="","",INDEX(입력_전공의명단!$P$2:$P$401,$R399))</f>
        <v/>
      </c>
      <c r="K399" s="26">
        <f>IF($R399="","",INDEX(입력_전공의명단!$Q$2:$Q$401,$R399))</f>
        <v/>
      </c>
      <c r="L399" s="28">
        <f>IF($R399="","",INDEX(입력_전공의명단!$S$2:$S$401,$R399))</f>
        <v/>
      </c>
      <c r="M399" s="28">
        <f>IF($R399="","",INDEX(입력_전공의명단!$T$2:$T$401,$R399))</f>
        <v/>
      </c>
      <c r="N399" s="26">
        <f>IF($R399="","",INDEX(입력_전공의명단!$AH$2:$AH$401,$R399))</f>
        <v/>
      </c>
      <c r="O399" s="26">
        <f>IF($R399="","",INDEX(입력_전공의명단!$AI$2:$AI$401,$R399))</f>
        <v/>
      </c>
      <c r="P399" s="27">
        <f>IF($R399="","",INDEX(입력_전공의명단!$AO$2:$AO$401,$R399))</f>
        <v/>
      </c>
      <c r="Q399" s="27">
        <f>IF($R399="","",INDEX(입력_전공의명단!$Z$2:$Z$401,$R399))</f>
        <v/>
      </c>
      <c r="R399" s="29">
        <f>IFERROR(MATCH(ROW()-5,입력_전공의명단!$AM$2:$AM$401,0),"")</f>
        <v/>
      </c>
    </row>
    <row r="400">
      <c r="A400" s="26">
        <f>IF($R400="","",ROW()-5)</f>
        <v/>
      </c>
      <c r="B400" s="26">
        <f>IF($R400="","",INDEX(입력_전공의명단!$C$2:$C$401,$R400))</f>
        <v/>
      </c>
      <c r="C400" s="26">
        <f>IF($R400="","",INDEX(입력_전공의명단!$B$2:$B$401,$R400))</f>
        <v/>
      </c>
      <c r="D400" s="26">
        <f>IF($R400="","",INDEX(입력_전공의명단!$J$2:$J$401,$R400))</f>
        <v/>
      </c>
      <c r="E400" s="26">
        <f>IF($R400="","",INDEX(입력_전공의명단!$F$2:$F$401,$R400))</f>
        <v/>
      </c>
      <c r="F400" s="26">
        <f>IF($R400="","",INDEX(입력_전공의명단!$G$2:$G$401,$R400))</f>
        <v/>
      </c>
      <c r="G400" s="26">
        <f>IF($R400="","",INDEX(입력_전공의명단!$AE$2:$AE$401,$R400))</f>
        <v/>
      </c>
      <c r="H400" s="27">
        <f>IF($R400="","",IF(INDEX(입력_전공의명단!$AE$2:$AE$401,$R400)="서울병원","서울 소속","타 병원 소속("&amp;INDEX(입력_전공의명단!$AE$2:$AE$401,$R400)&amp;") → 서울 지급"))</f>
        <v/>
      </c>
      <c r="I400" s="26">
        <f>IF($R400="","",INDEX(입력_전공의명단!$N$2:$N$401,$R400))</f>
        <v/>
      </c>
      <c r="J400" s="26">
        <f>IF($R400="","",INDEX(입력_전공의명단!$P$2:$P$401,$R400))</f>
        <v/>
      </c>
      <c r="K400" s="26">
        <f>IF($R400="","",INDEX(입력_전공의명단!$Q$2:$Q$401,$R400))</f>
        <v/>
      </c>
      <c r="L400" s="28">
        <f>IF($R400="","",INDEX(입력_전공의명단!$S$2:$S$401,$R400))</f>
        <v/>
      </c>
      <c r="M400" s="28">
        <f>IF($R400="","",INDEX(입력_전공의명단!$T$2:$T$401,$R400))</f>
        <v/>
      </c>
      <c r="N400" s="26">
        <f>IF($R400="","",INDEX(입력_전공의명단!$AH$2:$AH$401,$R400))</f>
        <v/>
      </c>
      <c r="O400" s="26">
        <f>IF($R400="","",INDEX(입력_전공의명단!$AI$2:$AI$401,$R400))</f>
        <v/>
      </c>
      <c r="P400" s="27">
        <f>IF($R400="","",INDEX(입력_전공의명단!$AO$2:$AO$401,$R400))</f>
        <v/>
      </c>
      <c r="Q400" s="27">
        <f>IF($R400="","",INDEX(입력_전공의명단!$Z$2:$Z$401,$R400))</f>
        <v/>
      </c>
      <c r="R400" s="29">
        <f>IFERROR(MATCH(ROW()-5,입력_전공의명단!$AM$2:$AM$401,0),"")</f>
        <v/>
      </c>
    </row>
    <row r="401">
      <c r="A401" s="26">
        <f>IF($R401="","",ROW()-5)</f>
        <v/>
      </c>
      <c r="B401" s="26">
        <f>IF($R401="","",INDEX(입력_전공의명단!$C$2:$C$401,$R401))</f>
        <v/>
      </c>
      <c r="C401" s="26">
        <f>IF($R401="","",INDEX(입력_전공의명단!$B$2:$B$401,$R401))</f>
        <v/>
      </c>
      <c r="D401" s="26">
        <f>IF($R401="","",INDEX(입력_전공의명단!$J$2:$J$401,$R401))</f>
        <v/>
      </c>
      <c r="E401" s="26">
        <f>IF($R401="","",INDEX(입력_전공의명단!$F$2:$F$401,$R401))</f>
        <v/>
      </c>
      <c r="F401" s="26">
        <f>IF($R401="","",INDEX(입력_전공의명단!$G$2:$G$401,$R401))</f>
        <v/>
      </c>
      <c r="G401" s="26">
        <f>IF($R401="","",INDEX(입력_전공의명단!$AE$2:$AE$401,$R401))</f>
        <v/>
      </c>
      <c r="H401" s="27">
        <f>IF($R401="","",IF(INDEX(입력_전공의명단!$AE$2:$AE$401,$R401)="서울병원","서울 소속","타 병원 소속("&amp;INDEX(입력_전공의명단!$AE$2:$AE$401,$R401)&amp;") → 서울 지급"))</f>
        <v/>
      </c>
      <c r="I401" s="26">
        <f>IF($R401="","",INDEX(입력_전공의명단!$N$2:$N$401,$R401))</f>
        <v/>
      </c>
      <c r="J401" s="26">
        <f>IF($R401="","",INDEX(입력_전공의명단!$P$2:$P$401,$R401))</f>
        <v/>
      </c>
      <c r="K401" s="26">
        <f>IF($R401="","",INDEX(입력_전공의명단!$Q$2:$Q$401,$R401))</f>
        <v/>
      </c>
      <c r="L401" s="28">
        <f>IF($R401="","",INDEX(입력_전공의명단!$S$2:$S$401,$R401))</f>
        <v/>
      </c>
      <c r="M401" s="28">
        <f>IF($R401="","",INDEX(입력_전공의명단!$T$2:$T$401,$R401))</f>
        <v/>
      </c>
      <c r="N401" s="26">
        <f>IF($R401="","",INDEX(입력_전공의명단!$AH$2:$AH$401,$R401))</f>
        <v/>
      </c>
      <c r="O401" s="26">
        <f>IF($R401="","",INDEX(입력_전공의명단!$AI$2:$AI$401,$R401))</f>
        <v/>
      </c>
      <c r="P401" s="27">
        <f>IF($R401="","",INDEX(입력_전공의명단!$AO$2:$AO$401,$R401))</f>
        <v/>
      </c>
      <c r="Q401" s="27">
        <f>IF($R401="","",INDEX(입력_전공의명단!$Z$2:$Z$401,$R401))</f>
        <v/>
      </c>
      <c r="R401" s="29">
        <f>IFERROR(MATCH(ROW()-5,입력_전공의명단!$AM$2:$AM$401,0),"")</f>
        <v/>
      </c>
    </row>
    <row r="402">
      <c r="A402" s="26">
        <f>IF($R402="","",ROW()-5)</f>
        <v/>
      </c>
      <c r="B402" s="26">
        <f>IF($R402="","",INDEX(입력_전공의명단!$C$2:$C$401,$R402))</f>
        <v/>
      </c>
      <c r="C402" s="26">
        <f>IF($R402="","",INDEX(입력_전공의명단!$B$2:$B$401,$R402))</f>
        <v/>
      </c>
      <c r="D402" s="26">
        <f>IF($R402="","",INDEX(입력_전공의명단!$J$2:$J$401,$R402))</f>
        <v/>
      </c>
      <c r="E402" s="26">
        <f>IF($R402="","",INDEX(입력_전공의명단!$F$2:$F$401,$R402))</f>
        <v/>
      </c>
      <c r="F402" s="26">
        <f>IF($R402="","",INDEX(입력_전공의명단!$G$2:$G$401,$R402))</f>
        <v/>
      </c>
      <c r="G402" s="26">
        <f>IF($R402="","",INDEX(입력_전공의명단!$AE$2:$AE$401,$R402))</f>
        <v/>
      </c>
      <c r="H402" s="27">
        <f>IF($R402="","",IF(INDEX(입력_전공의명단!$AE$2:$AE$401,$R402)="서울병원","서울 소속","타 병원 소속("&amp;INDEX(입력_전공의명단!$AE$2:$AE$401,$R402)&amp;") → 서울 지급"))</f>
        <v/>
      </c>
      <c r="I402" s="26">
        <f>IF($R402="","",INDEX(입력_전공의명단!$N$2:$N$401,$R402))</f>
        <v/>
      </c>
      <c r="J402" s="26">
        <f>IF($R402="","",INDEX(입력_전공의명단!$P$2:$P$401,$R402))</f>
        <v/>
      </c>
      <c r="K402" s="26">
        <f>IF($R402="","",INDEX(입력_전공의명단!$Q$2:$Q$401,$R402))</f>
        <v/>
      </c>
      <c r="L402" s="28">
        <f>IF($R402="","",INDEX(입력_전공의명단!$S$2:$S$401,$R402))</f>
        <v/>
      </c>
      <c r="M402" s="28">
        <f>IF($R402="","",INDEX(입력_전공의명단!$T$2:$T$401,$R402))</f>
        <v/>
      </c>
      <c r="N402" s="26">
        <f>IF($R402="","",INDEX(입력_전공의명단!$AH$2:$AH$401,$R402))</f>
        <v/>
      </c>
      <c r="O402" s="26">
        <f>IF($R402="","",INDEX(입력_전공의명단!$AI$2:$AI$401,$R402))</f>
        <v/>
      </c>
      <c r="P402" s="27">
        <f>IF($R402="","",INDEX(입력_전공의명단!$AO$2:$AO$401,$R402))</f>
        <v/>
      </c>
      <c r="Q402" s="27">
        <f>IF($R402="","",INDEX(입력_전공의명단!$Z$2:$Z$401,$R402))</f>
        <v/>
      </c>
      <c r="R402" s="29">
        <f>IFERROR(MATCH(ROW()-5,입력_전공의명단!$AM$2:$AM$401,0),"")</f>
        <v/>
      </c>
    </row>
    <row r="403">
      <c r="A403" s="26">
        <f>IF($R403="","",ROW()-5)</f>
        <v/>
      </c>
      <c r="B403" s="26">
        <f>IF($R403="","",INDEX(입력_전공의명단!$C$2:$C$401,$R403))</f>
        <v/>
      </c>
      <c r="C403" s="26">
        <f>IF($R403="","",INDEX(입력_전공의명단!$B$2:$B$401,$R403))</f>
        <v/>
      </c>
      <c r="D403" s="26">
        <f>IF($R403="","",INDEX(입력_전공의명단!$J$2:$J$401,$R403))</f>
        <v/>
      </c>
      <c r="E403" s="26">
        <f>IF($R403="","",INDEX(입력_전공의명단!$F$2:$F$401,$R403))</f>
        <v/>
      </c>
      <c r="F403" s="26">
        <f>IF($R403="","",INDEX(입력_전공의명단!$G$2:$G$401,$R403))</f>
        <v/>
      </c>
      <c r="G403" s="26">
        <f>IF($R403="","",INDEX(입력_전공의명단!$AE$2:$AE$401,$R403))</f>
        <v/>
      </c>
      <c r="H403" s="27">
        <f>IF($R403="","",IF(INDEX(입력_전공의명단!$AE$2:$AE$401,$R403)="서울병원","서울 소속","타 병원 소속("&amp;INDEX(입력_전공의명단!$AE$2:$AE$401,$R403)&amp;") → 서울 지급"))</f>
        <v/>
      </c>
      <c r="I403" s="26">
        <f>IF($R403="","",INDEX(입력_전공의명단!$N$2:$N$401,$R403))</f>
        <v/>
      </c>
      <c r="J403" s="26">
        <f>IF($R403="","",INDEX(입력_전공의명단!$P$2:$P$401,$R403))</f>
        <v/>
      </c>
      <c r="K403" s="26">
        <f>IF($R403="","",INDEX(입력_전공의명단!$Q$2:$Q$401,$R403))</f>
        <v/>
      </c>
      <c r="L403" s="28">
        <f>IF($R403="","",INDEX(입력_전공의명단!$S$2:$S$401,$R403))</f>
        <v/>
      </c>
      <c r="M403" s="28">
        <f>IF($R403="","",INDEX(입력_전공의명단!$T$2:$T$401,$R403))</f>
        <v/>
      </c>
      <c r="N403" s="26">
        <f>IF($R403="","",INDEX(입력_전공의명단!$AH$2:$AH$401,$R403))</f>
        <v/>
      </c>
      <c r="O403" s="26">
        <f>IF($R403="","",INDEX(입력_전공의명단!$AI$2:$AI$401,$R403))</f>
        <v/>
      </c>
      <c r="P403" s="27">
        <f>IF($R403="","",INDEX(입력_전공의명단!$AO$2:$AO$401,$R403))</f>
        <v/>
      </c>
      <c r="Q403" s="27">
        <f>IF($R403="","",INDEX(입력_전공의명단!$Z$2:$Z$401,$R403))</f>
        <v/>
      </c>
      <c r="R403" s="29">
        <f>IFERROR(MATCH(ROW()-5,입력_전공의명단!$AM$2:$AM$401,0),"")</f>
        <v/>
      </c>
    </row>
    <row r="404">
      <c r="A404" s="26">
        <f>IF($R404="","",ROW()-5)</f>
        <v/>
      </c>
      <c r="B404" s="26">
        <f>IF($R404="","",INDEX(입력_전공의명단!$C$2:$C$401,$R404))</f>
        <v/>
      </c>
      <c r="C404" s="26">
        <f>IF($R404="","",INDEX(입력_전공의명단!$B$2:$B$401,$R404))</f>
        <v/>
      </c>
      <c r="D404" s="26">
        <f>IF($R404="","",INDEX(입력_전공의명단!$J$2:$J$401,$R404))</f>
        <v/>
      </c>
      <c r="E404" s="26">
        <f>IF($R404="","",INDEX(입력_전공의명단!$F$2:$F$401,$R404))</f>
        <v/>
      </c>
      <c r="F404" s="26">
        <f>IF($R404="","",INDEX(입력_전공의명단!$G$2:$G$401,$R404))</f>
        <v/>
      </c>
      <c r="G404" s="26">
        <f>IF($R404="","",INDEX(입력_전공의명단!$AE$2:$AE$401,$R404))</f>
        <v/>
      </c>
      <c r="H404" s="27">
        <f>IF($R404="","",IF(INDEX(입력_전공의명단!$AE$2:$AE$401,$R404)="서울병원","서울 소속","타 병원 소속("&amp;INDEX(입력_전공의명단!$AE$2:$AE$401,$R404)&amp;") → 서울 지급"))</f>
        <v/>
      </c>
      <c r="I404" s="26">
        <f>IF($R404="","",INDEX(입력_전공의명단!$N$2:$N$401,$R404))</f>
        <v/>
      </c>
      <c r="J404" s="26">
        <f>IF($R404="","",INDEX(입력_전공의명단!$P$2:$P$401,$R404))</f>
        <v/>
      </c>
      <c r="K404" s="26">
        <f>IF($R404="","",INDEX(입력_전공의명단!$Q$2:$Q$401,$R404))</f>
        <v/>
      </c>
      <c r="L404" s="28">
        <f>IF($R404="","",INDEX(입력_전공의명단!$S$2:$S$401,$R404))</f>
        <v/>
      </c>
      <c r="M404" s="28">
        <f>IF($R404="","",INDEX(입력_전공의명단!$T$2:$T$401,$R404))</f>
        <v/>
      </c>
      <c r="N404" s="26">
        <f>IF($R404="","",INDEX(입력_전공의명단!$AH$2:$AH$401,$R404))</f>
        <v/>
      </c>
      <c r="O404" s="26">
        <f>IF($R404="","",INDEX(입력_전공의명단!$AI$2:$AI$401,$R404))</f>
        <v/>
      </c>
      <c r="P404" s="27">
        <f>IF($R404="","",INDEX(입력_전공의명단!$AO$2:$AO$401,$R404))</f>
        <v/>
      </c>
      <c r="Q404" s="27">
        <f>IF($R404="","",INDEX(입력_전공의명단!$Z$2:$Z$401,$R404))</f>
        <v/>
      </c>
      <c r="R404" s="29">
        <f>IFERROR(MATCH(ROW()-5,입력_전공의명단!$AM$2:$AM$401,0),"")</f>
        <v/>
      </c>
    </row>
    <row r="405">
      <c r="A405" s="26">
        <f>IF($R405="","",ROW()-5)</f>
        <v/>
      </c>
      <c r="B405" s="26">
        <f>IF($R405="","",INDEX(입력_전공의명단!$C$2:$C$401,$R405))</f>
        <v/>
      </c>
      <c r="C405" s="26">
        <f>IF($R405="","",INDEX(입력_전공의명단!$B$2:$B$401,$R405))</f>
        <v/>
      </c>
      <c r="D405" s="26">
        <f>IF($R405="","",INDEX(입력_전공의명단!$J$2:$J$401,$R405))</f>
        <v/>
      </c>
      <c r="E405" s="26">
        <f>IF($R405="","",INDEX(입력_전공의명단!$F$2:$F$401,$R405))</f>
        <v/>
      </c>
      <c r="F405" s="26">
        <f>IF($R405="","",INDEX(입력_전공의명단!$G$2:$G$401,$R405))</f>
        <v/>
      </c>
      <c r="G405" s="26">
        <f>IF($R405="","",INDEX(입력_전공의명단!$AE$2:$AE$401,$R405))</f>
        <v/>
      </c>
      <c r="H405" s="27">
        <f>IF($R405="","",IF(INDEX(입력_전공의명단!$AE$2:$AE$401,$R405)="서울병원","서울 소속","타 병원 소속("&amp;INDEX(입력_전공의명단!$AE$2:$AE$401,$R405)&amp;") → 서울 지급"))</f>
        <v/>
      </c>
      <c r="I405" s="26">
        <f>IF($R405="","",INDEX(입력_전공의명단!$N$2:$N$401,$R405))</f>
        <v/>
      </c>
      <c r="J405" s="26">
        <f>IF($R405="","",INDEX(입력_전공의명단!$P$2:$P$401,$R405))</f>
        <v/>
      </c>
      <c r="K405" s="26">
        <f>IF($R405="","",INDEX(입력_전공의명단!$Q$2:$Q$401,$R405))</f>
        <v/>
      </c>
      <c r="L405" s="28">
        <f>IF($R405="","",INDEX(입력_전공의명단!$S$2:$S$401,$R405))</f>
        <v/>
      </c>
      <c r="M405" s="28">
        <f>IF($R405="","",INDEX(입력_전공의명단!$T$2:$T$401,$R405))</f>
        <v/>
      </c>
      <c r="N405" s="26">
        <f>IF($R405="","",INDEX(입력_전공의명단!$AH$2:$AH$401,$R405))</f>
        <v/>
      </c>
      <c r="O405" s="26">
        <f>IF($R405="","",INDEX(입력_전공의명단!$AI$2:$AI$401,$R405))</f>
        <v/>
      </c>
      <c r="P405" s="27">
        <f>IF($R405="","",INDEX(입력_전공의명단!$AO$2:$AO$401,$R405))</f>
        <v/>
      </c>
      <c r="Q405" s="27">
        <f>IF($R405="","",INDEX(입력_전공의명단!$Z$2:$Z$401,$R405))</f>
        <v/>
      </c>
      <c r="R405" s="29">
        <f>IFERROR(MATCH(ROW()-5,입력_전공의명단!$AM$2:$AM$401,0),"")</f>
        <v/>
      </c>
    </row>
  </sheetData>
  <autoFilter ref="A5:R405"/>
  <conditionalFormatting sqref="I2">
    <cfRule type="expression" priority="1" dxfId="3">
      <formula>I2&gt;0</formula>
    </cfRule>
  </conditionalFormatting>
  <conditionalFormatting sqref="A6:Q405">
    <cfRule type="expression" priority="2" dxfId="12">
      <formula>LEFT($H6,2)="타 "</formula>
    </cfRule>
  </conditionalFormatting>
  <conditionalFormatting sqref="Q6:Q405">
    <cfRule type="expression" priority="3" dxfId="0">
      <formula>AND($Q6&lt;&gt;"",$Q6&lt;&gt;"정상")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48235"/>
    <outlinePr summaryBelow="1" summaryRight="1"/>
    <pageSetUpPr/>
  </sheetPr>
  <dimension ref="A1:O305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10" customWidth="1" min="4" max="4"/>
    <col width="8" customWidth="1" min="5" max="5"/>
    <col width="12" customWidth="1" min="6" max="6"/>
    <col width="12" customWidth="1" min="7" max="7"/>
    <col width="10" customWidth="1" min="8" max="8"/>
    <col width="10" customWidth="1" min="9" max="9"/>
    <col width="8" customWidth="1" min="10" max="10"/>
    <col width="7" customWidth="1" min="11" max="11"/>
    <col width="22" customWidth="1" min="12" max="12"/>
    <col width="3" customWidth="1" min="13" max="13"/>
  </cols>
  <sheetData>
    <row r="1">
      <c r="A1" s="1" t="inlineStr">
        <is>
          <t>구리병원 근무자 (구리 근무자명단 기준)</t>
        </is>
      </c>
      <c r="K1" s="30" t="inlineStr">
        <is>
          <t>명단 연결</t>
        </is>
      </c>
      <c r="L1" s="31">
        <f>COUNTIF($L$6:$L$305,"명단 일치*")</f>
        <v/>
      </c>
    </row>
    <row r="2">
      <c r="A2" s="3" t="inlineStr">
        <is>
          <t>급여 기준월</t>
        </is>
      </c>
      <c r="B2" s="21">
        <f>출력_요약!$B$3</f>
        <v/>
      </c>
      <c r="D2" s="8" t="inlineStr">
        <is>
          <t>기준월 키</t>
        </is>
      </c>
      <c r="E2" s="32">
        <f>YEAR(출력_요약!$B$3)*100+MONTH(출력_요약!$B$3)</f>
        <v/>
      </c>
      <c r="F2" s="8" t="inlineStr">
        <is>
          <t>블록 시작 열</t>
        </is>
      </c>
      <c r="G2" s="32">
        <f>IFERROR(MATCH($E$2,$O$6:$O$213,0),"")</f>
        <v/>
      </c>
      <c r="H2" s="8" t="inlineStr">
        <is>
          <t>근무자 확정</t>
        </is>
      </c>
      <c r="I2" s="32">
        <f>IF($G$2="","",IF(COUNTIF(INDEX(입력_구리근무자명단!$A$4:$GZ$303,0,$G$2+1),"?*")&gt;0,"확정","예정"))</f>
        <v/>
      </c>
      <c r="K2" s="30" t="inlineStr">
        <is>
          <t>명단에 없음/동명이인</t>
        </is>
      </c>
      <c r="L2" s="31">
        <f>COUNTIF($L$6:$L$305,"명단에 없음*")+COUNTIF($L$6:$L$305,"동명이인*")</f>
        <v/>
      </c>
    </row>
    <row r="3">
      <c r="A3" s="8" t="inlineStr">
        <is>
          <t>※ 입력_구리근무자명단을 해석한 결과입니다(입력 금지). 그 달 '근무자' 칸이 하나라도 채워져 있으면 근무자 기준, 비어 있으면 근무예정자 기준. 날짜가 없으면 1일~말일 근무로 봅니다. 명단 연결은 이름+진료과(인턴은 이름+인턴), 안 되면 이름만으로 합니다.</t>
        </is>
      </c>
      <c r="K3" s="30" t="inlineStr">
        <is>
          <t>날짜 오류</t>
        </is>
      </c>
      <c r="L3" s="31">
        <f>COUNTIF($F$6:$G$305,"⚠*")</f>
        <v/>
      </c>
    </row>
    <row r="4">
      <c r="N4" s="8" t="inlineStr">
        <is>
          <t>보조(수정 금지)</t>
        </is>
      </c>
    </row>
    <row r="5" ht="30" customHeight="1">
      <c r="A5" s="12" t="inlineStr">
        <is>
          <t>원본행</t>
        </is>
      </c>
      <c r="B5" s="12" t="inlineStr">
        <is>
          <t>진료과</t>
        </is>
      </c>
      <c r="C5" s="12" t="inlineStr">
        <is>
          <t>연차</t>
        </is>
      </c>
      <c r="D5" s="12" t="inlineStr">
        <is>
          <t>이름</t>
        </is>
      </c>
      <c r="E5" s="12" t="inlineStr">
        <is>
          <t>확정/예정</t>
        </is>
      </c>
      <c r="F5" s="12" t="inlineStr">
        <is>
          <t>시작일</t>
        </is>
      </c>
      <c r="G5" s="12" t="inlineStr">
        <is>
          <t>종료일</t>
        </is>
      </c>
      <c r="H5" s="12" t="inlineStr">
        <is>
          <t>기준월 구리 근무일</t>
        </is>
      </c>
      <c r="I5" s="12" t="inlineStr">
        <is>
          <t>비고</t>
        </is>
      </c>
      <c r="J5" s="12" t="inlineStr">
        <is>
          <t>구리독자</t>
        </is>
      </c>
      <c r="K5" s="12" t="inlineStr">
        <is>
          <t>명단행</t>
        </is>
      </c>
      <c r="L5" s="12" t="inlineStr">
        <is>
          <t>명단 연결</t>
        </is>
      </c>
      <c r="N5" s="9" t="inlineStr">
        <is>
          <t>입력 열번호</t>
        </is>
      </c>
      <c r="O5" s="9" t="inlineStr">
        <is>
          <t>월 키(YYYYMM)</t>
        </is>
      </c>
    </row>
    <row r="6">
      <c r="A6" s="29" t="n">
        <v>4</v>
      </c>
      <c r="B6" s="26">
        <f>IF(TRIM(INDEX(입력_구리근무자명단!$A$1:$GZ$303,$A6,1)&amp;"")&lt;&gt;"",TRIM(INDEX(입력_구리근무자명단!$A$1:$GZ$303,$A6,1)&amp;""),"")</f>
        <v/>
      </c>
      <c r="C6" s="26">
        <f>IF(INDEX(입력_구리근무자명단!$A$1:$GZ$303,$A6,2)="","",INDEX(입력_구리근무자명단!$A$1:$GZ$303,$A6,2))</f>
        <v/>
      </c>
      <c r="D6" s="26">
        <f>IF($G$2="","",TRIM(IF($I$2="확정",INDEX(입력_구리근무자명단!$A$1:$GZ$303,$A6,$G$2+1)&amp;"",INDEX(입력_구리근무자명단!$A$1:$GZ$303,$A6,$G$2+0)&amp;"")))</f>
        <v/>
      </c>
      <c r="E6" s="26">
        <f>IF($D6="","",$I$2)</f>
        <v/>
      </c>
      <c r="F6" s="28">
        <f>IF($D6="","",IF(INDEX(입력_구리근무자명단!$A$1:$GZ$303,$A6,$G$2+2)="",출력_요약!$B$3,IF(ISNUMBER(INDEX(입력_구리근무자명단!$A$1:$GZ$303,$A6,$G$2+2)),INDEX(입력_구리근무자명단!$A$1:$GZ$303,$A6,$G$2+2),IFERROR(DATE(VALUE(LEFT(INDEX(입력_구리근무자명단!$A$1:$GZ$303,$A6,$G$2+2),4)),VALUE(MID(INDEX(입력_구리근무자명단!$A$1:$GZ$303,$A6,$G$2+2),6,2)),VALUE(MID(INDEX(입력_구리근무자명단!$A$1:$GZ$303,$A6,$G$2+2),9,2))),IFERROR(DATEVALUE(SUBSTITUTE(TRIM(INDEX(입력_구리근무자명단!$A$1:$GZ$303,$A6,$G$2+2)),".","-")),"⚠"&amp;INDEX(입력_구리근무자명단!$A$1:$GZ$303,$A6,$G$2+2))))))</f>
        <v/>
      </c>
      <c r="G6" s="28">
        <f>IF($D6="","",IF(INDEX(입력_구리근무자명단!$A$1:$GZ$303,$A6,$G$2+3)="",EOMONTH(출력_요약!$B$3,0),IF(ISNUMBER(INDEX(입력_구리근무자명단!$A$1:$GZ$303,$A6,$G$2+3)),INDEX(입력_구리근무자명단!$A$1:$GZ$303,$A6,$G$2+3),IFERROR(DATE(VALUE(LEFT(INDEX(입력_구리근무자명단!$A$1:$GZ$303,$A6,$G$2+3),4)),VALUE(MID(INDEX(입력_구리근무자명단!$A$1:$GZ$303,$A6,$G$2+3),6,2)),VALUE(MID(INDEX(입력_구리근무자명단!$A$1:$GZ$303,$A6,$G$2+3),9,2))),IFERROR(DATEVALUE(SUBSTITUTE(TRIM(INDEX(입력_구리근무자명단!$A$1:$GZ$303,$A6,$G$2+3)),".","-")),"⚠"&amp;INDEX(입력_구리근무자명단!$A$1:$GZ$303,$A6,$G$2+3))))))</f>
        <v/>
      </c>
      <c r="H6" s="26">
        <f>IF($D6="","",IF(OR(NOT(ISNUMBER($F6)),NOT(ISNUMBER($G6))),0,MAX(0,MIN($G6,EOMONTH(출력_요약!$B$3,0))-MAX($F6,출력_요약!$B$3)+1)))</f>
        <v/>
      </c>
      <c r="I6" s="26">
        <f>IF($D6="","",TRIM(INDEX(입력_구리근무자명단!$A$1:$GZ$303,$A6,$G$2+5)&amp;""))</f>
        <v/>
      </c>
      <c r="J6" s="26">
        <f>IF($D6="","",IF(ISNUMBER(SEARCH("구리독자",$I6)),"구리독자",""))</f>
        <v/>
      </c>
      <c r="K6" s="29">
        <f>IF($D6="","",IF(COUNTIFS(입력_전공의명단!$C$2:$C$401,$D6,입력_전공의명단!$F$2:$F$401,IF(OR($C6="인턴",ISNUMBER(SEARCH("수련교육부",$B6))),"인턴",$B6))=1,MATCH($D6&amp;"|"&amp;IF(OR($C6="인턴",ISNUMBER(SEARCH("수련교육부",$B6))),"인턴",$B6),입력_전공의명단!$AP$2:$AP$401,0),IF(AND(COUNTIFS(입력_전공의명단!$C$2:$C$401,$D6,입력_전공의명단!$F$2:$F$401,IF(OR($C6="인턴",ISNUMBER(SEARCH("수련교육부",$B6))),"인턴",$B6))=0,COUNTIF(입력_전공의명단!$C$2:$C$401,$D6)=1),MATCH($D6,입력_전공의명단!$C$2:$C$401,0),"")))</f>
        <v/>
      </c>
      <c r="L6" s="26">
        <f>IF($D6="","",IF($K6&lt;&gt;"",IF(COUNTIFS(입력_전공의명단!$C$2:$C$401,$D6,입력_전공의명단!$F$2:$F$401,IF(OR($C6="인턴",ISNUMBER(SEARCH("수련교육부",$B6))),"인턴",$B6))=1,"명단 일치","명단 일치(이름만, 과 다름)"),IF(COUNTIF(입력_전공의명단!$C$2:$C$401,$D6)=0,IF(COUNTIF(입력_기본자료!$C$2:$C$1001,$D6)&gt;0,"명단에 없음(기본자료에는 있음)","명단에 없음"),"동명이인 확인")))</f>
        <v/>
      </c>
      <c r="N6" s="8" t="n">
        <v>1</v>
      </c>
      <c r="O6" s="8">
        <f>IF(ISNUMBER(SEARCH("근무예정자",(INDEX(입력_구리근무자명단!$A$3:$GZ$3,1,1)&amp;""))),IFERROR(VALUE(LEFT((INDEX(입력_구리근무자명단!$A$3:$GZ$3,1,1)&amp;""),4))*100+VALUE(MID((INDEX(입력_구리근무자명단!$A$3:$GZ$3,1,1)&amp;""),6,MIN(FIND("월",(INDEX(입력_구리근무자명단!$A$3:$GZ$3,1,1)&amp;"")&amp;"월"),FIND(CHAR(10),(INDEX(입력_구리근무자명단!$A$3:$GZ$3,1,1)&amp;"")&amp;CHAR(10)),FIND(" ",(INDEX(입력_구리근무자명단!$A$3:$GZ$3,1,1)&amp;"")&amp;" "))-6)),""),"")</f>
        <v/>
      </c>
    </row>
    <row r="7">
      <c r="A7" s="29" t="n">
        <v>5</v>
      </c>
      <c r="B7" s="26">
        <f>IF(TRIM(INDEX(입력_구리근무자명단!$A$1:$GZ$303,$A7,1)&amp;"")&lt;&gt;"",TRIM(INDEX(입력_구리근무자명단!$A$1:$GZ$303,$A7,1)&amp;""),B6)</f>
        <v/>
      </c>
      <c r="C7" s="26">
        <f>IF(INDEX(입력_구리근무자명단!$A$1:$GZ$303,$A7,2)="","",INDEX(입력_구리근무자명단!$A$1:$GZ$303,$A7,2))</f>
        <v/>
      </c>
      <c r="D7" s="26">
        <f>IF($G$2="","",TRIM(IF($I$2="확정",INDEX(입력_구리근무자명단!$A$1:$GZ$303,$A7,$G$2+1)&amp;"",INDEX(입력_구리근무자명단!$A$1:$GZ$303,$A7,$G$2+0)&amp;"")))</f>
        <v/>
      </c>
      <c r="E7" s="26">
        <f>IF($D7="","",$I$2)</f>
        <v/>
      </c>
      <c r="F7" s="28">
        <f>IF($D7="","",IF(INDEX(입력_구리근무자명단!$A$1:$GZ$303,$A7,$G$2+2)="",출력_요약!$B$3,IF(ISNUMBER(INDEX(입력_구리근무자명단!$A$1:$GZ$303,$A7,$G$2+2)),INDEX(입력_구리근무자명단!$A$1:$GZ$303,$A7,$G$2+2),IFERROR(DATE(VALUE(LEFT(INDEX(입력_구리근무자명단!$A$1:$GZ$303,$A7,$G$2+2),4)),VALUE(MID(INDEX(입력_구리근무자명단!$A$1:$GZ$303,$A7,$G$2+2),6,2)),VALUE(MID(INDEX(입력_구리근무자명단!$A$1:$GZ$303,$A7,$G$2+2),9,2))),IFERROR(DATEVALUE(SUBSTITUTE(TRIM(INDEX(입력_구리근무자명단!$A$1:$GZ$303,$A7,$G$2+2)),".","-")),"⚠"&amp;INDEX(입력_구리근무자명단!$A$1:$GZ$303,$A7,$G$2+2))))))</f>
        <v/>
      </c>
      <c r="G7" s="28">
        <f>IF($D7="","",IF(INDEX(입력_구리근무자명단!$A$1:$GZ$303,$A7,$G$2+3)="",EOMONTH(출력_요약!$B$3,0),IF(ISNUMBER(INDEX(입력_구리근무자명단!$A$1:$GZ$303,$A7,$G$2+3)),INDEX(입력_구리근무자명단!$A$1:$GZ$303,$A7,$G$2+3),IFERROR(DATE(VALUE(LEFT(INDEX(입력_구리근무자명단!$A$1:$GZ$303,$A7,$G$2+3),4)),VALUE(MID(INDEX(입력_구리근무자명단!$A$1:$GZ$303,$A7,$G$2+3),6,2)),VALUE(MID(INDEX(입력_구리근무자명단!$A$1:$GZ$303,$A7,$G$2+3),9,2))),IFERROR(DATEVALUE(SUBSTITUTE(TRIM(INDEX(입력_구리근무자명단!$A$1:$GZ$303,$A7,$G$2+3)),".","-")),"⚠"&amp;INDEX(입력_구리근무자명단!$A$1:$GZ$303,$A7,$G$2+3))))))</f>
        <v/>
      </c>
      <c r="H7" s="26">
        <f>IF($D7="","",IF(OR(NOT(ISNUMBER($F7)),NOT(ISNUMBER($G7))),0,MAX(0,MIN($G7,EOMONTH(출력_요약!$B$3,0))-MAX($F7,출력_요약!$B$3)+1)))</f>
        <v/>
      </c>
      <c r="I7" s="26">
        <f>IF($D7="","",TRIM(INDEX(입력_구리근무자명단!$A$1:$GZ$303,$A7,$G$2+5)&amp;""))</f>
        <v/>
      </c>
      <c r="J7" s="26">
        <f>IF($D7="","",IF(ISNUMBER(SEARCH("구리독자",$I7)),"구리독자",""))</f>
        <v/>
      </c>
      <c r="K7" s="29">
        <f>IF($D7="","",IF(COUNTIFS(입력_전공의명단!$C$2:$C$401,$D7,입력_전공의명단!$F$2:$F$401,IF(OR($C7="인턴",ISNUMBER(SEARCH("수련교육부",$B7))),"인턴",$B7))=1,MATCH($D7&amp;"|"&amp;IF(OR($C7="인턴",ISNUMBER(SEARCH("수련교육부",$B7))),"인턴",$B7),입력_전공의명단!$AP$2:$AP$401,0),IF(AND(COUNTIFS(입력_전공의명단!$C$2:$C$401,$D7,입력_전공의명단!$F$2:$F$401,IF(OR($C7="인턴",ISNUMBER(SEARCH("수련교육부",$B7))),"인턴",$B7))=0,COUNTIF(입력_전공의명단!$C$2:$C$401,$D7)=1),MATCH($D7,입력_전공의명단!$C$2:$C$401,0),"")))</f>
        <v/>
      </c>
      <c r="L7" s="26">
        <f>IF($D7="","",IF($K7&lt;&gt;"",IF(COUNTIFS(입력_전공의명단!$C$2:$C$401,$D7,입력_전공의명단!$F$2:$F$401,IF(OR($C7="인턴",ISNUMBER(SEARCH("수련교육부",$B7))),"인턴",$B7))=1,"명단 일치","명단 일치(이름만, 과 다름)"),IF(COUNTIF(입력_전공의명단!$C$2:$C$401,$D7)=0,IF(COUNTIF(입력_기본자료!$C$2:$C$1001,$D7)&gt;0,"명단에 없음(기본자료에는 있음)","명단에 없음"),"동명이인 확인")))</f>
        <v/>
      </c>
      <c r="N7" s="8" t="n">
        <v>2</v>
      </c>
      <c r="O7" s="8">
        <f>IF(ISNUMBER(SEARCH("근무예정자",(INDEX(입력_구리근무자명단!$A$3:$GZ$3,1,2)&amp;""))),IFERROR(VALUE(LEFT((INDEX(입력_구리근무자명단!$A$3:$GZ$3,1,2)&amp;""),4))*100+VALUE(MID((INDEX(입력_구리근무자명단!$A$3:$GZ$3,1,2)&amp;""),6,MIN(FIND("월",(INDEX(입력_구리근무자명단!$A$3:$GZ$3,1,2)&amp;"")&amp;"월"),FIND(CHAR(10),(INDEX(입력_구리근무자명단!$A$3:$GZ$3,1,2)&amp;"")&amp;CHAR(10)),FIND(" ",(INDEX(입력_구리근무자명단!$A$3:$GZ$3,1,2)&amp;"")&amp;" "))-6)),""),"")</f>
        <v/>
      </c>
    </row>
    <row r="8">
      <c r="A8" s="29" t="n">
        <v>6</v>
      </c>
      <c r="B8" s="26">
        <f>IF(TRIM(INDEX(입력_구리근무자명단!$A$1:$GZ$303,$A8,1)&amp;"")&lt;&gt;"",TRIM(INDEX(입력_구리근무자명단!$A$1:$GZ$303,$A8,1)&amp;""),B7)</f>
        <v/>
      </c>
      <c r="C8" s="26">
        <f>IF(INDEX(입력_구리근무자명단!$A$1:$GZ$303,$A8,2)="","",INDEX(입력_구리근무자명단!$A$1:$GZ$303,$A8,2))</f>
        <v/>
      </c>
      <c r="D8" s="26">
        <f>IF($G$2="","",TRIM(IF($I$2="확정",INDEX(입력_구리근무자명단!$A$1:$GZ$303,$A8,$G$2+1)&amp;"",INDEX(입력_구리근무자명단!$A$1:$GZ$303,$A8,$G$2+0)&amp;"")))</f>
        <v/>
      </c>
      <c r="E8" s="26">
        <f>IF($D8="","",$I$2)</f>
        <v/>
      </c>
      <c r="F8" s="28">
        <f>IF($D8="","",IF(INDEX(입력_구리근무자명단!$A$1:$GZ$303,$A8,$G$2+2)="",출력_요약!$B$3,IF(ISNUMBER(INDEX(입력_구리근무자명단!$A$1:$GZ$303,$A8,$G$2+2)),INDEX(입력_구리근무자명단!$A$1:$GZ$303,$A8,$G$2+2),IFERROR(DATE(VALUE(LEFT(INDEX(입력_구리근무자명단!$A$1:$GZ$303,$A8,$G$2+2),4)),VALUE(MID(INDEX(입력_구리근무자명단!$A$1:$GZ$303,$A8,$G$2+2),6,2)),VALUE(MID(INDEX(입력_구리근무자명단!$A$1:$GZ$303,$A8,$G$2+2),9,2))),IFERROR(DATEVALUE(SUBSTITUTE(TRIM(INDEX(입력_구리근무자명단!$A$1:$GZ$303,$A8,$G$2+2)),".","-")),"⚠"&amp;INDEX(입력_구리근무자명단!$A$1:$GZ$303,$A8,$G$2+2))))))</f>
        <v/>
      </c>
      <c r="G8" s="28">
        <f>IF($D8="","",IF(INDEX(입력_구리근무자명단!$A$1:$GZ$303,$A8,$G$2+3)="",EOMONTH(출력_요약!$B$3,0),IF(ISNUMBER(INDEX(입력_구리근무자명단!$A$1:$GZ$303,$A8,$G$2+3)),INDEX(입력_구리근무자명단!$A$1:$GZ$303,$A8,$G$2+3),IFERROR(DATE(VALUE(LEFT(INDEX(입력_구리근무자명단!$A$1:$GZ$303,$A8,$G$2+3),4)),VALUE(MID(INDEX(입력_구리근무자명단!$A$1:$GZ$303,$A8,$G$2+3),6,2)),VALUE(MID(INDEX(입력_구리근무자명단!$A$1:$GZ$303,$A8,$G$2+3),9,2))),IFERROR(DATEVALUE(SUBSTITUTE(TRIM(INDEX(입력_구리근무자명단!$A$1:$GZ$303,$A8,$G$2+3)),".","-")),"⚠"&amp;INDEX(입력_구리근무자명단!$A$1:$GZ$303,$A8,$G$2+3))))))</f>
        <v/>
      </c>
      <c r="H8" s="26">
        <f>IF($D8="","",IF(OR(NOT(ISNUMBER($F8)),NOT(ISNUMBER($G8))),0,MAX(0,MIN($G8,EOMONTH(출력_요약!$B$3,0))-MAX($F8,출력_요약!$B$3)+1)))</f>
        <v/>
      </c>
      <c r="I8" s="26">
        <f>IF($D8="","",TRIM(INDEX(입력_구리근무자명단!$A$1:$GZ$303,$A8,$G$2+5)&amp;""))</f>
        <v/>
      </c>
      <c r="J8" s="26">
        <f>IF($D8="","",IF(ISNUMBER(SEARCH("구리독자",$I8)),"구리독자",""))</f>
        <v/>
      </c>
      <c r="K8" s="29">
        <f>IF($D8="","",IF(COUNTIFS(입력_전공의명단!$C$2:$C$401,$D8,입력_전공의명단!$F$2:$F$401,IF(OR($C8="인턴",ISNUMBER(SEARCH("수련교육부",$B8))),"인턴",$B8))=1,MATCH($D8&amp;"|"&amp;IF(OR($C8="인턴",ISNUMBER(SEARCH("수련교육부",$B8))),"인턴",$B8),입력_전공의명단!$AP$2:$AP$401,0),IF(AND(COUNTIFS(입력_전공의명단!$C$2:$C$401,$D8,입력_전공의명단!$F$2:$F$401,IF(OR($C8="인턴",ISNUMBER(SEARCH("수련교육부",$B8))),"인턴",$B8))=0,COUNTIF(입력_전공의명단!$C$2:$C$401,$D8)=1),MATCH($D8,입력_전공의명단!$C$2:$C$401,0),"")))</f>
        <v/>
      </c>
      <c r="L8" s="26">
        <f>IF($D8="","",IF($K8&lt;&gt;"",IF(COUNTIFS(입력_전공의명단!$C$2:$C$401,$D8,입력_전공의명단!$F$2:$F$401,IF(OR($C8="인턴",ISNUMBER(SEARCH("수련교육부",$B8))),"인턴",$B8))=1,"명단 일치","명단 일치(이름만, 과 다름)"),IF(COUNTIF(입력_전공의명단!$C$2:$C$401,$D8)=0,IF(COUNTIF(입력_기본자료!$C$2:$C$1001,$D8)&gt;0,"명단에 없음(기본자료에는 있음)","명단에 없음"),"동명이인 확인")))</f>
        <v/>
      </c>
      <c r="N8" s="8" t="n">
        <v>3</v>
      </c>
      <c r="O8" s="8">
        <f>IF(ISNUMBER(SEARCH("근무예정자",(INDEX(입력_구리근무자명단!$A$3:$GZ$3,1,3)&amp;""))),IFERROR(VALUE(LEFT((INDEX(입력_구리근무자명단!$A$3:$GZ$3,1,3)&amp;""),4))*100+VALUE(MID((INDEX(입력_구리근무자명단!$A$3:$GZ$3,1,3)&amp;""),6,MIN(FIND("월",(INDEX(입력_구리근무자명단!$A$3:$GZ$3,1,3)&amp;"")&amp;"월"),FIND(CHAR(10),(INDEX(입력_구리근무자명단!$A$3:$GZ$3,1,3)&amp;"")&amp;CHAR(10)),FIND(" ",(INDEX(입력_구리근무자명단!$A$3:$GZ$3,1,3)&amp;"")&amp;" "))-6)),""),"")</f>
        <v/>
      </c>
    </row>
    <row r="9">
      <c r="A9" s="29" t="n">
        <v>7</v>
      </c>
      <c r="B9" s="26">
        <f>IF(TRIM(INDEX(입력_구리근무자명단!$A$1:$GZ$303,$A9,1)&amp;"")&lt;&gt;"",TRIM(INDEX(입력_구리근무자명단!$A$1:$GZ$303,$A9,1)&amp;""),B8)</f>
        <v/>
      </c>
      <c r="C9" s="26">
        <f>IF(INDEX(입력_구리근무자명단!$A$1:$GZ$303,$A9,2)="","",INDEX(입력_구리근무자명단!$A$1:$GZ$303,$A9,2))</f>
        <v/>
      </c>
      <c r="D9" s="26">
        <f>IF($G$2="","",TRIM(IF($I$2="확정",INDEX(입력_구리근무자명단!$A$1:$GZ$303,$A9,$G$2+1)&amp;"",INDEX(입력_구리근무자명단!$A$1:$GZ$303,$A9,$G$2+0)&amp;"")))</f>
        <v/>
      </c>
      <c r="E9" s="26">
        <f>IF($D9="","",$I$2)</f>
        <v/>
      </c>
      <c r="F9" s="28">
        <f>IF($D9="","",IF(INDEX(입력_구리근무자명단!$A$1:$GZ$303,$A9,$G$2+2)="",출력_요약!$B$3,IF(ISNUMBER(INDEX(입력_구리근무자명단!$A$1:$GZ$303,$A9,$G$2+2)),INDEX(입력_구리근무자명단!$A$1:$GZ$303,$A9,$G$2+2),IFERROR(DATE(VALUE(LEFT(INDEX(입력_구리근무자명단!$A$1:$GZ$303,$A9,$G$2+2),4)),VALUE(MID(INDEX(입력_구리근무자명단!$A$1:$GZ$303,$A9,$G$2+2),6,2)),VALUE(MID(INDEX(입력_구리근무자명단!$A$1:$GZ$303,$A9,$G$2+2),9,2))),IFERROR(DATEVALUE(SUBSTITUTE(TRIM(INDEX(입력_구리근무자명단!$A$1:$GZ$303,$A9,$G$2+2)),".","-")),"⚠"&amp;INDEX(입력_구리근무자명단!$A$1:$GZ$303,$A9,$G$2+2))))))</f>
        <v/>
      </c>
      <c r="G9" s="28">
        <f>IF($D9="","",IF(INDEX(입력_구리근무자명단!$A$1:$GZ$303,$A9,$G$2+3)="",EOMONTH(출력_요약!$B$3,0),IF(ISNUMBER(INDEX(입력_구리근무자명단!$A$1:$GZ$303,$A9,$G$2+3)),INDEX(입력_구리근무자명단!$A$1:$GZ$303,$A9,$G$2+3),IFERROR(DATE(VALUE(LEFT(INDEX(입력_구리근무자명단!$A$1:$GZ$303,$A9,$G$2+3),4)),VALUE(MID(INDEX(입력_구리근무자명단!$A$1:$GZ$303,$A9,$G$2+3),6,2)),VALUE(MID(INDEX(입력_구리근무자명단!$A$1:$GZ$303,$A9,$G$2+3),9,2))),IFERROR(DATEVALUE(SUBSTITUTE(TRIM(INDEX(입력_구리근무자명단!$A$1:$GZ$303,$A9,$G$2+3)),".","-")),"⚠"&amp;INDEX(입력_구리근무자명단!$A$1:$GZ$303,$A9,$G$2+3))))))</f>
        <v/>
      </c>
      <c r="H9" s="26">
        <f>IF($D9="","",IF(OR(NOT(ISNUMBER($F9)),NOT(ISNUMBER($G9))),0,MAX(0,MIN($G9,EOMONTH(출력_요약!$B$3,0))-MAX($F9,출력_요약!$B$3)+1)))</f>
        <v/>
      </c>
      <c r="I9" s="26">
        <f>IF($D9="","",TRIM(INDEX(입력_구리근무자명단!$A$1:$GZ$303,$A9,$G$2+5)&amp;""))</f>
        <v/>
      </c>
      <c r="J9" s="26">
        <f>IF($D9="","",IF(ISNUMBER(SEARCH("구리독자",$I9)),"구리독자",""))</f>
        <v/>
      </c>
      <c r="K9" s="29">
        <f>IF($D9="","",IF(COUNTIFS(입력_전공의명단!$C$2:$C$401,$D9,입력_전공의명단!$F$2:$F$401,IF(OR($C9="인턴",ISNUMBER(SEARCH("수련교육부",$B9))),"인턴",$B9))=1,MATCH($D9&amp;"|"&amp;IF(OR($C9="인턴",ISNUMBER(SEARCH("수련교육부",$B9))),"인턴",$B9),입력_전공의명단!$AP$2:$AP$401,0),IF(AND(COUNTIFS(입력_전공의명단!$C$2:$C$401,$D9,입력_전공의명단!$F$2:$F$401,IF(OR($C9="인턴",ISNUMBER(SEARCH("수련교육부",$B9))),"인턴",$B9))=0,COUNTIF(입력_전공의명단!$C$2:$C$401,$D9)=1),MATCH($D9,입력_전공의명단!$C$2:$C$401,0),"")))</f>
        <v/>
      </c>
      <c r="L9" s="26">
        <f>IF($D9="","",IF($K9&lt;&gt;"",IF(COUNTIFS(입력_전공의명단!$C$2:$C$401,$D9,입력_전공의명단!$F$2:$F$401,IF(OR($C9="인턴",ISNUMBER(SEARCH("수련교육부",$B9))),"인턴",$B9))=1,"명단 일치","명단 일치(이름만, 과 다름)"),IF(COUNTIF(입력_전공의명단!$C$2:$C$401,$D9)=0,IF(COUNTIF(입력_기본자료!$C$2:$C$1001,$D9)&gt;0,"명단에 없음(기본자료에는 있음)","명단에 없음"),"동명이인 확인")))</f>
        <v/>
      </c>
      <c r="N9" s="8" t="n">
        <v>4</v>
      </c>
      <c r="O9" s="8">
        <f>IF(ISNUMBER(SEARCH("근무예정자",(INDEX(입력_구리근무자명단!$A$3:$GZ$3,1,4)&amp;""))),IFERROR(VALUE(LEFT((INDEX(입력_구리근무자명단!$A$3:$GZ$3,1,4)&amp;""),4))*100+VALUE(MID((INDEX(입력_구리근무자명단!$A$3:$GZ$3,1,4)&amp;""),6,MIN(FIND("월",(INDEX(입력_구리근무자명단!$A$3:$GZ$3,1,4)&amp;"")&amp;"월"),FIND(CHAR(10),(INDEX(입력_구리근무자명단!$A$3:$GZ$3,1,4)&amp;"")&amp;CHAR(10)),FIND(" ",(INDEX(입력_구리근무자명단!$A$3:$GZ$3,1,4)&amp;"")&amp;" "))-6)),""),"")</f>
        <v/>
      </c>
    </row>
    <row r="10">
      <c r="A10" s="29" t="n">
        <v>8</v>
      </c>
      <c r="B10" s="26">
        <f>IF(TRIM(INDEX(입력_구리근무자명단!$A$1:$GZ$303,$A10,1)&amp;"")&lt;&gt;"",TRIM(INDEX(입력_구리근무자명단!$A$1:$GZ$303,$A10,1)&amp;""),B9)</f>
        <v/>
      </c>
      <c r="C10" s="26">
        <f>IF(INDEX(입력_구리근무자명단!$A$1:$GZ$303,$A10,2)="","",INDEX(입력_구리근무자명단!$A$1:$GZ$303,$A10,2))</f>
        <v/>
      </c>
      <c r="D10" s="26">
        <f>IF($G$2="","",TRIM(IF($I$2="확정",INDEX(입력_구리근무자명단!$A$1:$GZ$303,$A10,$G$2+1)&amp;"",INDEX(입력_구리근무자명단!$A$1:$GZ$303,$A10,$G$2+0)&amp;"")))</f>
        <v/>
      </c>
      <c r="E10" s="26">
        <f>IF($D10="","",$I$2)</f>
        <v/>
      </c>
      <c r="F10" s="28">
        <f>IF($D10="","",IF(INDEX(입력_구리근무자명단!$A$1:$GZ$303,$A10,$G$2+2)="",출력_요약!$B$3,IF(ISNUMBER(INDEX(입력_구리근무자명단!$A$1:$GZ$303,$A10,$G$2+2)),INDEX(입력_구리근무자명단!$A$1:$GZ$303,$A10,$G$2+2),IFERROR(DATE(VALUE(LEFT(INDEX(입력_구리근무자명단!$A$1:$GZ$303,$A10,$G$2+2),4)),VALUE(MID(INDEX(입력_구리근무자명단!$A$1:$GZ$303,$A10,$G$2+2),6,2)),VALUE(MID(INDEX(입력_구리근무자명단!$A$1:$GZ$303,$A10,$G$2+2),9,2))),IFERROR(DATEVALUE(SUBSTITUTE(TRIM(INDEX(입력_구리근무자명단!$A$1:$GZ$303,$A10,$G$2+2)),".","-")),"⚠"&amp;INDEX(입력_구리근무자명단!$A$1:$GZ$303,$A10,$G$2+2))))))</f>
        <v/>
      </c>
      <c r="G10" s="28">
        <f>IF($D10="","",IF(INDEX(입력_구리근무자명단!$A$1:$GZ$303,$A10,$G$2+3)="",EOMONTH(출력_요약!$B$3,0),IF(ISNUMBER(INDEX(입력_구리근무자명단!$A$1:$GZ$303,$A10,$G$2+3)),INDEX(입력_구리근무자명단!$A$1:$GZ$303,$A10,$G$2+3),IFERROR(DATE(VALUE(LEFT(INDEX(입력_구리근무자명단!$A$1:$GZ$303,$A10,$G$2+3),4)),VALUE(MID(INDEX(입력_구리근무자명단!$A$1:$GZ$303,$A10,$G$2+3),6,2)),VALUE(MID(INDEX(입력_구리근무자명단!$A$1:$GZ$303,$A10,$G$2+3),9,2))),IFERROR(DATEVALUE(SUBSTITUTE(TRIM(INDEX(입력_구리근무자명단!$A$1:$GZ$303,$A10,$G$2+3)),".","-")),"⚠"&amp;INDEX(입력_구리근무자명단!$A$1:$GZ$303,$A10,$G$2+3))))))</f>
        <v/>
      </c>
      <c r="H10" s="26">
        <f>IF($D10="","",IF(OR(NOT(ISNUMBER($F10)),NOT(ISNUMBER($G10))),0,MAX(0,MIN($G10,EOMONTH(출력_요약!$B$3,0))-MAX($F10,출력_요약!$B$3)+1)))</f>
        <v/>
      </c>
      <c r="I10" s="26">
        <f>IF($D10="","",TRIM(INDEX(입력_구리근무자명단!$A$1:$GZ$303,$A10,$G$2+5)&amp;""))</f>
        <v/>
      </c>
      <c r="J10" s="26">
        <f>IF($D10="","",IF(ISNUMBER(SEARCH("구리독자",$I10)),"구리독자",""))</f>
        <v/>
      </c>
      <c r="K10" s="29">
        <f>IF($D10="","",IF(COUNTIFS(입력_전공의명단!$C$2:$C$401,$D10,입력_전공의명단!$F$2:$F$401,IF(OR($C10="인턴",ISNUMBER(SEARCH("수련교육부",$B10))),"인턴",$B10))=1,MATCH($D10&amp;"|"&amp;IF(OR($C10="인턴",ISNUMBER(SEARCH("수련교육부",$B10))),"인턴",$B10),입력_전공의명단!$AP$2:$AP$401,0),IF(AND(COUNTIFS(입력_전공의명단!$C$2:$C$401,$D10,입력_전공의명단!$F$2:$F$401,IF(OR($C10="인턴",ISNUMBER(SEARCH("수련교육부",$B10))),"인턴",$B10))=0,COUNTIF(입력_전공의명단!$C$2:$C$401,$D10)=1),MATCH($D10,입력_전공의명단!$C$2:$C$401,0),"")))</f>
        <v/>
      </c>
      <c r="L10" s="26">
        <f>IF($D10="","",IF($K10&lt;&gt;"",IF(COUNTIFS(입력_전공의명단!$C$2:$C$401,$D10,입력_전공의명단!$F$2:$F$401,IF(OR($C10="인턴",ISNUMBER(SEARCH("수련교육부",$B10))),"인턴",$B10))=1,"명단 일치","명단 일치(이름만, 과 다름)"),IF(COUNTIF(입력_전공의명단!$C$2:$C$401,$D10)=0,IF(COUNTIF(입력_기본자료!$C$2:$C$1001,$D10)&gt;0,"명단에 없음(기본자료에는 있음)","명단에 없음"),"동명이인 확인")))</f>
        <v/>
      </c>
      <c r="N10" s="8" t="n">
        <v>5</v>
      </c>
      <c r="O10" s="8">
        <f>IF(ISNUMBER(SEARCH("근무예정자",(INDEX(입력_구리근무자명단!$A$3:$GZ$3,1,5)&amp;""))),IFERROR(VALUE(LEFT((INDEX(입력_구리근무자명단!$A$3:$GZ$3,1,5)&amp;""),4))*100+VALUE(MID((INDEX(입력_구리근무자명단!$A$3:$GZ$3,1,5)&amp;""),6,MIN(FIND("월",(INDEX(입력_구리근무자명단!$A$3:$GZ$3,1,5)&amp;"")&amp;"월"),FIND(CHAR(10),(INDEX(입력_구리근무자명단!$A$3:$GZ$3,1,5)&amp;"")&amp;CHAR(10)),FIND(" ",(INDEX(입력_구리근무자명단!$A$3:$GZ$3,1,5)&amp;"")&amp;" "))-6)),""),"")</f>
        <v/>
      </c>
    </row>
    <row r="11">
      <c r="A11" s="29" t="n">
        <v>9</v>
      </c>
      <c r="B11" s="26">
        <f>IF(TRIM(INDEX(입력_구리근무자명단!$A$1:$GZ$303,$A11,1)&amp;"")&lt;&gt;"",TRIM(INDEX(입력_구리근무자명단!$A$1:$GZ$303,$A11,1)&amp;""),B10)</f>
        <v/>
      </c>
      <c r="C11" s="26">
        <f>IF(INDEX(입력_구리근무자명단!$A$1:$GZ$303,$A11,2)="","",INDEX(입력_구리근무자명단!$A$1:$GZ$303,$A11,2))</f>
        <v/>
      </c>
      <c r="D11" s="26">
        <f>IF($G$2="","",TRIM(IF($I$2="확정",INDEX(입력_구리근무자명단!$A$1:$GZ$303,$A11,$G$2+1)&amp;"",INDEX(입력_구리근무자명단!$A$1:$GZ$303,$A11,$G$2+0)&amp;"")))</f>
        <v/>
      </c>
      <c r="E11" s="26">
        <f>IF($D11="","",$I$2)</f>
        <v/>
      </c>
      <c r="F11" s="28">
        <f>IF($D11="","",IF(INDEX(입력_구리근무자명단!$A$1:$GZ$303,$A11,$G$2+2)="",출력_요약!$B$3,IF(ISNUMBER(INDEX(입력_구리근무자명단!$A$1:$GZ$303,$A11,$G$2+2)),INDEX(입력_구리근무자명단!$A$1:$GZ$303,$A11,$G$2+2),IFERROR(DATE(VALUE(LEFT(INDEX(입력_구리근무자명단!$A$1:$GZ$303,$A11,$G$2+2),4)),VALUE(MID(INDEX(입력_구리근무자명단!$A$1:$GZ$303,$A11,$G$2+2),6,2)),VALUE(MID(INDEX(입력_구리근무자명단!$A$1:$GZ$303,$A11,$G$2+2),9,2))),IFERROR(DATEVALUE(SUBSTITUTE(TRIM(INDEX(입력_구리근무자명단!$A$1:$GZ$303,$A11,$G$2+2)),".","-")),"⚠"&amp;INDEX(입력_구리근무자명단!$A$1:$GZ$303,$A11,$G$2+2))))))</f>
        <v/>
      </c>
      <c r="G11" s="28">
        <f>IF($D11="","",IF(INDEX(입력_구리근무자명단!$A$1:$GZ$303,$A11,$G$2+3)="",EOMONTH(출력_요약!$B$3,0),IF(ISNUMBER(INDEX(입력_구리근무자명단!$A$1:$GZ$303,$A11,$G$2+3)),INDEX(입력_구리근무자명단!$A$1:$GZ$303,$A11,$G$2+3),IFERROR(DATE(VALUE(LEFT(INDEX(입력_구리근무자명단!$A$1:$GZ$303,$A11,$G$2+3),4)),VALUE(MID(INDEX(입력_구리근무자명단!$A$1:$GZ$303,$A11,$G$2+3),6,2)),VALUE(MID(INDEX(입력_구리근무자명단!$A$1:$GZ$303,$A11,$G$2+3),9,2))),IFERROR(DATEVALUE(SUBSTITUTE(TRIM(INDEX(입력_구리근무자명단!$A$1:$GZ$303,$A11,$G$2+3)),".","-")),"⚠"&amp;INDEX(입력_구리근무자명단!$A$1:$GZ$303,$A11,$G$2+3))))))</f>
        <v/>
      </c>
      <c r="H11" s="26">
        <f>IF($D11="","",IF(OR(NOT(ISNUMBER($F11)),NOT(ISNUMBER($G11))),0,MAX(0,MIN($G11,EOMONTH(출력_요약!$B$3,0))-MAX($F11,출력_요약!$B$3)+1)))</f>
        <v/>
      </c>
      <c r="I11" s="26">
        <f>IF($D11="","",TRIM(INDEX(입력_구리근무자명단!$A$1:$GZ$303,$A11,$G$2+5)&amp;""))</f>
        <v/>
      </c>
      <c r="J11" s="26">
        <f>IF($D11="","",IF(ISNUMBER(SEARCH("구리독자",$I11)),"구리독자",""))</f>
        <v/>
      </c>
      <c r="K11" s="29">
        <f>IF($D11="","",IF(COUNTIFS(입력_전공의명단!$C$2:$C$401,$D11,입력_전공의명단!$F$2:$F$401,IF(OR($C11="인턴",ISNUMBER(SEARCH("수련교육부",$B11))),"인턴",$B11))=1,MATCH($D11&amp;"|"&amp;IF(OR($C11="인턴",ISNUMBER(SEARCH("수련교육부",$B11))),"인턴",$B11),입력_전공의명단!$AP$2:$AP$401,0),IF(AND(COUNTIFS(입력_전공의명단!$C$2:$C$401,$D11,입력_전공의명단!$F$2:$F$401,IF(OR($C11="인턴",ISNUMBER(SEARCH("수련교육부",$B11))),"인턴",$B11))=0,COUNTIF(입력_전공의명단!$C$2:$C$401,$D11)=1),MATCH($D11,입력_전공의명단!$C$2:$C$401,0),"")))</f>
        <v/>
      </c>
      <c r="L11" s="26">
        <f>IF($D11="","",IF($K11&lt;&gt;"",IF(COUNTIFS(입력_전공의명단!$C$2:$C$401,$D11,입력_전공의명단!$F$2:$F$401,IF(OR($C11="인턴",ISNUMBER(SEARCH("수련교육부",$B11))),"인턴",$B11))=1,"명단 일치","명단 일치(이름만, 과 다름)"),IF(COUNTIF(입력_전공의명단!$C$2:$C$401,$D11)=0,IF(COUNTIF(입력_기본자료!$C$2:$C$1001,$D11)&gt;0,"명단에 없음(기본자료에는 있음)","명단에 없음"),"동명이인 확인")))</f>
        <v/>
      </c>
      <c r="N11" s="8" t="n">
        <v>6</v>
      </c>
      <c r="O11" s="8">
        <f>IF(ISNUMBER(SEARCH("근무예정자",(INDEX(입력_구리근무자명단!$A$3:$GZ$3,1,6)&amp;""))),IFERROR(VALUE(LEFT((INDEX(입력_구리근무자명단!$A$3:$GZ$3,1,6)&amp;""),4))*100+VALUE(MID((INDEX(입력_구리근무자명단!$A$3:$GZ$3,1,6)&amp;""),6,MIN(FIND("월",(INDEX(입력_구리근무자명단!$A$3:$GZ$3,1,6)&amp;"")&amp;"월"),FIND(CHAR(10),(INDEX(입력_구리근무자명단!$A$3:$GZ$3,1,6)&amp;"")&amp;CHAR(10)),FIND(" ",(INDEX(입력_구리근무자명단!$A$3:$GZ$3,1,6)&amp;"")&amp;" "))-6)),""),"")</f>
        <v/>
      </c>
    </row>
    <row r="12">
      <c r="A12" s="29" t="n">
        <v>10</v>
      </c>
      <c r="B12" s="26">
        <f>IF(TRIM(INDEX(입력_구리근무자명단!$A$1:$GZ$303,$A12,1)&amp;"")&lt;&gt;"",TRIM(INDEX(입력_구리근무자명단!$A$1:$GZ$303,$A12,1)&amp;""),B11)</f>
        <v/>
      </c>
      <c r="C12" s="26">
        <f>IF(INDEX(입력_구리근무자명단!$A$1:$GZ$303,$A12,2)="","",INDEX(입력_구리근무자명단!$A$1:$GZ$303,$A12,2))</f>
        <v/>
      </c>
      <c r="D12" s="26">
        <f>IF($G$2="","",TRIM(IF($I$2="확정",INDEX(입력_구리근무자명단!$A$1:$GZ$303,$A12,$G$2+1)&amp;"",INDEX(입력_구리근무자명단!$A$1:$GZ$303,$A12,$G$2+0)&amp;"")))</f>
        <v/>
      </c>
      <c r="E12" s="26">
        <f>IF($D12="","",$I$2)</f>
        <v/>
      </c>
      <c r="F12" s="28">
        <f>IF($D12="","",IF(INDEX(입력_구리근무자명단!$A$1:$GZ$303,$A12,$G$2+2)="",출력_요약!$B$3,IF(ISNUMBER(INDEX(입력_구리근무자명단!$A$1:$GZ$303,$A12,$G$2+2)),INDEX(입력_구리근무자명단!$A$1:$GZ$303,$A12,$G$2+2),IFERROR(DATE(VALUE(LEFT(INDEX(입력_구리근무자명단!$A$1:$GZ$303,$A12,$G$2+2),4)),VALUE(MID(INDEX(입력_구리근무자명단!$A$1:$GZ$303,$A12,$G$2+2),6,2)),VALUE(MID(INDEX(입력_구리근무자명단!$A$1:$GZ$303,$A12,$G$2+2),9,2))),IFERROR(DATEVALUE(SUBSTITUTE(TRIM(INDEX(입력_구리근무자명단!$A$1:$GZ$303,$A12,$G$2+2)),".","-")),"⚠"&amp;INDEX(입력_구리근무자명단!$A$1:$GZ$303,$A12,$G$2+2))))))</f>
        <v/>
      </c>
      <c r="G12" s="28">
        <f>IF($D12="","",IF(INDEX(입력_구리근무자명단!$A$1:$GZ$303,$A12,$G$2+3)="",EOMONTH(출력_요약!$B$3,0),IF(ISNUMBER(INDEX(입력_구리근무자명단!$A$1:$GZ$303,$A12,$G$2+3)),INDEX(입력_구리근무자명단!$A$1:$GZ$303,$A12,$G$2+3),IFERROR(DATE(VALUE(LEFT(INDEX(입력_구리근무자명단!$A$1:$GZ$303,$A12,$G$2+3),4)),VALUE(MID(INDEX(입력_구리근무자명단!$A$1:$GZ$303,$A12,$G$2+3),6,2)),VALUE(MID(INDEX(입력_구리근무자명단!$A$1:$GZ$303,$A12,$G$2+3),9,2))),IFERROR(DATEVALUE(SUBSTITUTE(TRIM(INDEX(입력_구리근무자명단!$A$1:$GZ$303,$A12,$G$2+3)),".","-")),"⚠"&amp;INDEX(입력_구리근무자명단!$A$1:$GZ$303,$A12,$G$2+3))))))</f>
        <v/>
      </c>
      <c r="H12" s="26">
        <f>IF($D12="","",IF(OR(NOT(ISNUMBER($F12)),NOT(ISNUMBER($G12))),0,MAX(0,MIN($G12,EOMONTH(출력_요약!$B$3,0))-MAX($F12,출력_요약!$B$3)+1)))</f>
        <v/>
      </c>
      <c r="I12" s="26">
        <f>IF($D12="","",TRIM(INDEX(입력_구리근무자명단!$A$1:$GZ$303,$A12,$G$2+5)&amp;""))</f>
        <v/>
      </c>
      <c r="J12" s="26">
        <f>IF($D12="","",IF(ISNUMBER(SEARCH("구리독자",$I12)),"구리독자",""))</f>
        <v/>
      </c>
      <c r="K12" s="29">
        <f>IF($D12="","",IF(COUNTIFS(입력_전공의명단!$C$2:$C$401,$D12,입력_전공의명단!$F$2:$F$401,IF(OR($C12="인턴",ISNUMBER(SEARCH("수련교육부",$B12))),"인턴",$B12))=1,MATCH($D12&amp;"|"&amp;IF(OR($C12="인턴",ISNUMBER(SEARCH("수련교육부",$B12))),"인턴",$B12),입력_전공의명단!$AP$2:$AP$401,0),IF(AND(COUNTIFS(입력_전공의명단!$C$2:$C$401,$D12,입력_전공의명단!$F$2:$F$401,IF(OR($C12="인턴",ISNUMBER(SEARCH("수련교육부",$B12))),"인턴",$B12))=0,COUNTIF(입력_전공의명단!$C$2:$C$401,$D12)=1),MATCH($D12,입력_전공의명단!$C$2:$C$401,0),"")))</f>
        <v/>
      </c>
      <c r="L12" s="26">
        <f>IF($D12="","",IF($K12&lt;&gt;"",IF(COUNTIFS(입력_전공의명단!$C$2:$C$401,$D12,입력_전공의명단!$F$2:$F$401,IF(OR($C12="인턴",ISNUMBER(SEARCH("수련교육부",$B12))),"인턴",$B12))=1,"명단 일치","명단 일치(이름만, 과 다름)"),IF(COUNTIF(입력_전공의명단!$C$2:$C$401,$D12)=0,IF(COUNTIF(입력_기본자료!$C$2:$C$1001,$D12)&gt;0,"명단에 없음(기본자료에는 있음)","명단에 없음"),"동명이인 확인")))</f>
        <v/>
      </c>
      <c r="N12" s="8" t="n">
        <v>7</v>
      </c>
      <c r="O12" s="8">
        <f>IF(ISNUMBER(SEARCH("근무예정자",(INDEX(입력_구리근무자명단!$A$3:$GZ$3,1,7)&amp;""))),IFERROR(VALUE(LEFT((INDEX(입력_구리근무자명단!$A$3:$GZ$3,1,7)&amp;""),4))*100+VALUE(MID((INDEX(입력_구리근무자명단!$A$3:$GZ$3,1,7)&amp;""),6,MIN(FIND("월",(INDEX(입력_구리근무자명단!$A$3:$GZ$3,1,7)&amp;"")&amp;"월"),FIND(CHAR(10),(INDEX(입력_구리근무자명단!$A$3:$GZ$3,1,7)&amp;"")&amp;CHAR(10)),FIND(" ",(INDEX(입력_구리근무자명단!$A$3:$GZ$3,1,7)&amp;"")&amp;" "))-6)),""),"")</f>
        <v/>
      </c>
    </row>
    <row r="13">
      <c r="A13" s="29" t="n">
        <v>11</v>
      </c>
      <c r="B13" s="26">
        <f>IF(TRIM(INDEX(입력_구리근무자명단!$A$1:$GZ$303,$A13,1)&amp;"")&lt;&gt;"",TRIM(INDEX(입력_구리근무자명단!$A$1:$GZ$303,$A13,1)&amp;""),B12)</f>
        <v/>
      </c>
      <c r="C13" s="26">
        <f>IF(INDEX(입력_구리근무자명단!$A$1:$GZ$303,$A13,2)="","",INDEX(입력_구리근무자명단!$A$1:$GZ$303,$A13,2))</f>
        <v/>
      </c>
      <c r="D13" s="26">
        <f>IF($G$2="","",TRIM(IF($I$2="확정",INDEX(입력_구리근무자명단!$A$1:$GZ$303,$A13,$G$2+1)&amp;"",INDEX(입력_구리근무자명단!$A$1:$GZ$303,$A13,$G$2+0)&amp;"")))</f>
        <v/>
      </c>
      <c r="E13" s="26">
        <f>IF($D13="","",$I$2)</f>
        <v/>
      </c>
      <c r="F13" s="28">
        <f>IF($D13="","",IF(INDEX(입력_구리근무자명단!$A$1:$GZ$303,$A13,$G$2+2)="",출력_요약!$B$3,IF(ISNUMBER(INDEX(입력_구리근무자명단!$A$1:$GZ$303,$A13,$G$2+2)),INDEX(입력_구리근무자명단!$A$1:$GZ$303,$A13,$G$2+2),IFERROR(DATE(VALUE(LEFT(INDEX(입력_구리근무자명단!$A$1:$GZ$303,$A13,$G$2+2),4)),VALUE(MID(INDEX(입력_구리근무자명단!$A$1:$GZ$303,$A13,$G$2+2),6,2)),VALUE(MID(INDEX(입력_구리근무자명단!$A$1:$GZ$303,$A13,$G$2+2),9,2))),IFERROR(DATEVALUE(SUBSTITUTE(TRIM(INDEX(입력_구리근무자명단!$A$1:$GZ$303,$A13,$G$2+2)),".","-")),"⚠"&amp;INDEX(입력_구리근무자명단!$A$1:$GZ$303,$A13,$G$2+2))))))</f>
        <v/>
      </c>
      <c r="G13" s="28">
        <f>IF($D13="","",IF(INDEX(입력_구리근무자명단!$A$1:$GZ$303,$A13,$G$2+3)="",EOMONTH(출력_요약!$B$3,0),IF(ISNUMBER(INDEX(입력_구리근무자명단!$A$1:$GZ$303,$A13,$G$2+3)),INDEX(입력_구리근무자명단!$A$1:$GZ$303,$A13,$G$2+3),IFERROR(DATE(VALUE(LEFT(INDEX(입력_구리근무자명단!$A$1:$GZ$303,$A13,$G$2+3),4)),VALUE(MID(INDEX(입력_구리근무자명단!$A$1:$GZ$303,$A13,$G$2+3),6,2)),VALUE(MID(INDEX(입력_구리근무자명단!$A$1:$GZ$303,$A13,$G$2+3),9,2))),IFERROR(DATEVALUE(SUBSTITUTE(TRIM(INDEX(입력_구리근무자명단!$A$1:$GZ$303,$A13,$G$2+3)),".","-")),"⚠"&amp;INDEX(입력_구리근무자명단!$A$1:$GZ$303,$A13,$G$2+3))))))</f>
        <v/>
      </c>
      <c r="H13" s="26">
        <f>IF($D13="","",IF(OR(NOT(ISNUMBER($F13)),NOT(ISNUMBER($G13))),0,MAX(0,MIN($G13,EOMONTH(출력_요약!$B$3,0))-MAX($F13,출력_요약!$B$3)+1)))</f>
        <v/>
      </c>
      <c r="I13" s="26">
        <f>IF($D13="","",TRIM(INDEX(입력_구리근무자명단!$A$1:$GZ$303,$A13,$G$2+5)&amp;""))</f>
        <v/>
      </c>
      <c r="J13" s="26">
        <f>IF($D13="","",IF(ISNUMBER(SEARCH("구리독자",$I13)),"구리독자",""))</f>
        <v/>
      </c>
      <c r="K13" s="29">
        <f>IF($D13="","",IF(COUNTIFS(입력_전공의명단!$C$2:$C$401,$D13,입력_전공의명단!$F$2:$F$401,IF(OR($C13="인턴",ISNUMBER(SEARCH("수련교육부",$B13))),"인턴",$B13))=1,MATCH($D13&amp;"|"&amp;IF(OR($C13="인턴",ISNUMBER(SEARCH("수련교육부",$B13))),"인턴",$B13),입력_전공의명단!$AP$2:$AP$401,0),IF(AND(COUNTIFS(입력_전공의명단!$C$2:$C$401,$D13,입력_전공의명단!$F$2:$F$401,IF(OR($C13="인턴",ISNUMBER(SEARCH("수련교육부",$B13))),"인턴",$B13))=0,COUNTIF(입력_전공의명단!$C$2:$C$401,$D13)=1),MATCH($D13,입력_전공의명단!$C$2:$C$401,0),"")))</f>
        <v/>
      </c>
      <c r="L13" s="26">
        <f>IF($D13="","",IF($K13&lt;&gt;"",IF(COUNTIFS(입력_전공의명단!$C$2:$C$401,$D13,입력_전공의명단!$F$2:$F$401,IF(OR($C13="인턴",ISNUMBER(SEARCH("수련교육부",$B13))),"인턴",$B13))=1,"명단 일치","명단 일치(이름만, 과 다름)"),IF(COUNTIF(입력_전공의명단!$C$2:$C$401,$D13)=0,IF(COUNTIF(입력_기본자료!$C$2:$C$1001,$D13)&gt;0,"명단에 없음(기본자료에는 있음)","명단에 없음"),"동명이인 확인")))</f>
        <v/>
      </c>
      <c r="N13" s="8" t="n">
        <v>8</v>
      </c>
      <c r="O13" s="8">
        <f>IF(ISNUMBER(SEARCH("근무예정자",(INDEX(입력_구리근무자명단!$A$3:$GZ$3,1,8)&amp;""))),IFERROR(VALUE(LEFT((INDEX(입력_구리근무자명단!$A$3:$GZ$3,1,8)&amp;""),4))*100+VALUE(MID((INDEX(입력_구리근무자명단!$A$3:$GZ$3,1,8)&amp;""),6,MIN(FIND("월",(INDEX(입력_구리근무자명단!$A$3:$GZ$3,1,8)&amp;"")&amp;"월"),FIND(CHAR(10),(INDEX(입력_구리근무자명단!$A$3:$GZ$3,1,8)&amp;"")&amp;CHAR(10)),FIND(" ",(INDEX(입력_구리근무자명단!$A$3:$GZ$3,1,8)&amp;"")&amp;" "))-6)),""),"")</f>
        <v/>
      </c>
    </row>
    <row r="14">
      <c r="A14" s="29" t="n">
        <v>12</v>
      </c>
      <c r="B14" s="26">
        <f>IF(TRIM(INDEX(입력_구리근무자명단!$A$1:$GZ$303,$A14,1)&amp;"")&lt;&gt;"",TRIM(INDEX(입력_구리근무자명단!$A$1:$GZ$303,$A14,1)&amp;""),B13)</f>
        <v/>
      </c>
      <c r="C14" s="26">
        <f>IF(INDEX(입력_구리근무자명단!$A$1:$GZ$303,$A14,2)="","",INDEX(입력_구리근무자명단!$A$1:$GZ$303,$A14,2))</f>
        <v/>
      </c>
      <c r="D14" s="26">
        <f>IF($G$2="","",TRIM(IF($I$2="확정",INDEX(입력_구리근무자명단!$A$1:$GZ$303,$A14,$G$2+1)&amp;"",INDEX(입력_구리근무자명단!$A$1:$GZ$303,$A14,$G$2+0)&amp;"")))</f>
        <v/>
      </c>
      <c r="E14" s="26">
        <f>IF($D14="","",$I$2)</f>
        <v/>
      </c>
      <c r="F14" s="28">
        <f>IF($D14="","",IF(INDEX(입력_구리근무자명단!$A$1:$GZ$303,$A14,$G$2+2)="",출력_요약!$B$3,IF(ISNUMBER(INDEX(입력_구리근무자명단!$A$1:$GZ$303,$A14,$G$2+2)),INDEX(입력_구리근무자명단!$A$1:$GZ$303,$A14,$G$2+2),IFERROR(DATE(VALUE(LEFT(INDEX(입력_구리근무자명단!$A$1:$GZ$303,$A14,$G$2+2),4)),VALUE(MID(INDEX(입력_구리근무자명단!$A$1:$GZ$303,$A14,$G$2+2),6,2)),VALUE(MID(INDEX(입력_구리근무자명단!$A$1:$GZ$303,$A14,$G$2+2),9,2))),IFERROR(DATEVALUE(SUBSTITUTE(TRIM(INDEX(입력_구리근무자명단!$A$1:$GZ$303,$A14,$G$2+2)),".","-")),"⚠"&amp;INDEX(입력_구리근무자명단!$A$1:$GZ$303,$A14,$G$2+2))))))</f>
        <v/>
      </c>
      <c r="G14" s="28">
        <f>IF($D14="","",IF(INDEX(입력_구리근무자명단!$A$1:$GZ$303,$A14,$G$2+3)="",EOMONTH(출력_요약!$B$3,0),IF(ISNUMBER(INDEX(입력_구리근무자명단!$A$1:$GZ$303,$A14,$G$2+3)),INDEX(입력_구리근무자명단!$A$1:$GZ$303,$A14,$G$2+3),IFERROR(DATE(VALUE(LEFT(INDEX(입력_구리근무자명단!$A$1:$GZ$303,$A14,$G$2+3),4)),VALUE(MID(INDEX(입력_구리근무자명단!$A$1:$GZ$303,$A14,$G$2+3),6,2)),VALUE(MID(INDEX(입력_구리근무자명단!$A$1:$GZ$303,$A14,$G$2+3),9,2))),IFERROR(DATEVALUE(SUBSTITUTE(TRIM(INDEX(입력_구리근무자명단!$A$1:$GZ$303,$A14,$G$2+3)),".","-")),"⚠"&amp;INDEX(입력_구리근무자명단!$A$1:$GZ$303,$A14,$G$2+3))))))</f>
        <v/>
      </c>
      <c r="H14" s="26">
        <f>IF($D14="","",IF(OR(NOT(ISNUMBER($F14)),NOT(ISNUMBER($G14))),0,MAX(0,MIN($G14,EOMONTH(출력_요약!$B$3,0))-MAX($F14,출력_요약!$B$3)+1)))</f>
        <v/>
      </c>
      <c r="I14" s="26">
        <f>IF($D14="","",TRIM(INDEX(입력_구리근무자명단!$A$1:$GZ$303,$A14,$G$2+5)&amp;""))</f>
        <v/>
      </c>
      <c r="J14" s="26">
        <f>IF($D14="","",IF(ISNUMBER(SEARCH("구리독자",$I14)),"구리독자",""))</f>
        <v/>
      </c>
      <c r="K14" s="29">
        <f>IF($D14="","",IF(COUNTIFS(입력_전공의명단!$C$2:$C$401,$D14,입력_전공의명단!$F$2:$F$401,IF(OR($C14="인턴",ISNUMBER(SEARCH("수련교육부",$B14))),"인턴",$B14))=1,MATCH($D14&amp;"|"&amp;IF(OR($C14="인턴",ISNUMBER(SEARCH("수련교육부",$B14))),"인턴",$B14),입력_전공의명단!$AP$2:$AP$401,0),IF(AND(COUNTIFS(입력_전공의명단!$C$2:$C$401,$D14,입력_전공의명단!$F$2:$F$401,IF(OR($C14="인턴",ISNUMBER(SEARCH("수련교육부",$B14))),"인턴",$B14))=0,COUNTIF(입력_전공의명단!$C$2:$C$401,$D14)=1),MATCH($D14,입력_전공의명단!$C$2:$C$401,0),"")))</f>
        <v/>
      </c>
      <c r="L14" s="26">
        <f>IF($D14="","",IF($K14&lt;&gt;"",IF(COUNTIFS(입력_전공의명단!$C$2:$C$401,$D14,입력_전공의명단!$F$2:$F$401,IF(OR($C14="인턴",ISNUMBER(SEARCH("수련교육부",$B14))),"인턴",$B14))=1,"명단 일치","명단 일치(이름만, 과 다름)"),IF(COUNTIF(입력_전공의명단!$C$2:$C$401,$D14)=0,IF(COUNTIF(입력_기본자료!$C$2:$C$1001,$D14)&gt;0,"명단에 없음(기본자료에는 있음)","명단에 없음"),"동명이인 확인")))</f>
        <v/>
      </c>
      <c r="N14" s="8" t="n">
        <v>9</v>
      </c>
      <c r="O14" s="8">
        <f>IF(ISNUMBER(SEARCH("근무예정자",(INDEX(입력_구리근무자명단!$A$3:$GZ$3,1,9)&amp;""))),IFERROR(VALUE(LEFT((INDEX(입력_구리근무자명단!$A$3:$GZ$3,1,9)&amp;""),4))*100+VALUE(MID((INDEX(입력_구리근무자명단!$A$3:$GZ$3,1,9)&amp;""),6,MIN(FIND("월",(INDEX(입력_구리근무자명단!$A$3:$GZ$3,1,9)&amp;"")&amp;"월"),FIND(CHAR(10),(INDEX(입력_구리근무자명단!$A$3:$GZ$3,1,9)&amp;"")&amp;CHAR(10)),FIND(" ",(INDEX(입력_구리근무자명단!$A$3:$GZ$3,1,9)&amp;"")&amp;" "))-6)),""),"")</f>
        <v/>
      </c>
    </row>
    <row r="15">
      <c r="A15" s="29" t="n">
        <v>13</v>
      </c>
      <c r="B15" s="26">
        <f>IF(TRIM(INDEX(입력_구리근무자명단!$A$1:$GZ$303,$A15,1)&amp;"")&lt;&gt;"",TRIM(INDEX(입력_구리근무자명단!$A$1:$GZ$303,$A15,1)&amp;""),B14)</f>
        <v/>
      </c>
      <c r="C15" s="26">
        <f>IF(INDEX(입력_구리근무자명단!$A$1:$GZ$303,$A15,2)="","",INDEX(입력_구리근무자명단!$A$1:$GZ$303,$A15,2))</f>
        <v/>
      </c>
      <c r="D15" s="26">
        <f>IF($G$2="","",TRIM(IF($I$2="확정",INDEX(입력_구리근무자명단!$A$1:$GZ$303,$A15,$G$2+1)&amp;"",INDEX(입력_구리근무자명단!$A$1:$GZ$303,$A15,$G$2+0)&amp;"")))</f>
        <v/>
      </c>
      <c r="E15" s="26">
        <f>IF($D15="","",$I$2)</f>
        <v/>
      </c>
      <c r="F15" s="28">
        <f>IF($D15="","",IF(INDEX(입력_구리근무자명단!$A$1:$GZ$303,$A15,$G$2+2)="",출력_요약!$B$3,IF(ISNUMBER(INDEX(입력_구리근무자명단!$A$1:$GZ$303,$A15,$G$2+2)),INDEX(입력_구리근무자명단!$A$1:$GZ$303,$A15,$G$2+2),IFERROR(DATE(VALUE(LEFT(INDEX(입력_구리근무자명단!$A$1:$GZ$303,$A15,$G$2+2),4)),VALUE(MID(INDEX(입력_구리근무자명단!$A$1:$GZ$303,$A15,$G$2+2),6,2)),VALUE(MID(INDEX(입력_구리근무자명단!$A$1:$GZ$303,$A15,$G$2+2),9,2))),IFERROR(DATEVALUE(SUBSTITUTE(TRIM(INDEX(입력_구리근무자명단!$A$1:$GZ$303,$A15,$G$2+2)),".","-")),"⚠"&amp;INDEX(입력_구리근무자명단!$A$1:$GZ$303,$A15,$G$2+2))))))</f>
        <v/>
      </c>
      <c r="G15" s="28">
        <f>IF($D15="","",IF(INDEX(입력_구리근무자명단!$A$1:$GZ$303,$A15,$G$2+3)="",EOMONTH(출력_요약!$B$3,0),IF(ISNUMBER(INDEX(입력_구리근무자명단!$A$1:$GZ$303,$A15,$G$2+3)),INDEX(입력_구리근무자명단!$A$1:$GZ$303,$A15,$G$2+3),IFERROR(DATE(VALUE(LEFT(INDEX(입력_구리근무자명단!$A$1:$GZ$303,$A15,$G$2+3),4)),VALUE(MID(INDEX(입력_구리근무자명단!$A$1:$GZ$303,$A15,$G$2+3),6,2)),VALUE(MID(INDEX(입력_구리근무자명단!$A$1:$GZ$303,$A15,$G$2+3),9,2))),IFERROR(DATEVALUE(SUBSTITUTE(TRIM(INDEX(입력_구리근무자명단!$A$1:$GZ$303,$A15,$G$2+3)),".","-")),"⚠"&amp;INDEX(입력_구리근무자명단!$A$1:$GZ$303,$A15,$G$2+3))))))</f>
        <v/>
      </c>
      <c r="H15" s="26">
        <f>IF($D15="","",IF(OR(NOT(ISNUMBER($F15)),NOT(ISNUMBER($G15))),0,MAX(0,MIN($G15,EOMONTH(출력_요약!$B$3,0))-MAX($F15,출력_요약!$B$3)+1)))</f>
        <v/>
      </c>
      <c r="I15" s="26">
        <f>IF($D15="","",TRIM(INDEX(입력_구리근무자명단!$A$1:$GZ$303,$A15,$G$2+5)&amp;""))</f>
        <v/>
      </c>
      <c r="J15" s="26">
        <f>IF($D15="","",IF(ISNUMBER(SEARCH("구리독자",$I15)),"구리독자",""))</f>
        <v/>
      </c>
      <c r="K15" s="29">
        <f>IF($D15="","",IF(COUNTIFS(입력_전공의명단!$C$2:$C$401,$D15,입력_전공의명단!$F$2:$F$401,IF(OR($C15="인턴",ISNUMBER(SEARCH("수련교육부",$B15))),"인턴",$B15))=1,MATCH($D15&amp;"|"&amp;IF(OR($C15="인턴",ISNUMBER(SEARCH("수련교육부",$B15))),"인턴",$B15),입력_전공의명단!$AP$2:$AP$401,0),IF(AND(COUNTIFS(입력_전공의명단!$C$2:$C$401,$D15,입력_전공의명단!$F$2:$F$401,IF(OR($C15="인턴",ISNUMBER(SEARCH("수련교육부",$B15))),"인턴",$B15))=0,COUNTIF(입력_전공의명단!$C$2:$C$401,$D15)=1),MATCH($D15,입력_전공의명단!$C$2:$C$401,0),"")))</f>
        <v/>
      </c>
      <c r="L15" s="26">
        <f>IF($D15="","",IF($K15&lt;&gt;"",IF(COUNTIFS(입력_전공의명단!$C$2:$C$401,$D15,입력_전공의명단!$F$2:$F$401,IF(OR($C15="인턴",ISNUMBER(SEARCH("수련교육부",$B15))),"인턴",$B15))=1,"명단 일치","명단 일치(이름만, 과 다름)"),IF(COUNTIF(입력_전공의명단!$C$2:$C$401,$D15)=0,IF(COUNTIF(입력_기본자료!$C$2:$C$1001,$D15)&gt;0,"명단에 없음(기본자료에는 있음)","명단에 없음"),"동명이인 확인")))</f>
        <v/>
      </c>
      <c r="N15" s="8" t="n">
        <v>10</v>
      </c>
      <c r="O15" s="8">
        <f>IF(ISNUMBER(SEARCH("근무예정자",(INDEX(입력_구리근무자명단!$A$3:$GZ$3,1,10)&amp;""))),IFERROR(VALUE(LEFT((INDEX(입력_구리근무자명단!$A$3:$GZ$3,1,10)&amp;""),4))*100+VALUE(MID((INDEX(입력_구리근무자명단!$A$3:$GZ$3,1,10)&amp;""),6,MIN(FIND("월",(INDEX(입력_구리근무자명단!$A$3:$GZ$3,1,10)&amp;"")&amp;"월"),FIND(CHAR(10),(INDEX(입력_구리근무자명단!$A$3:$GZ$3,1,10)&amp;"")&amp;CHAR(10)),FIND(" ",(INDEX(입력_구리근무자명단!$A$3:$GZ$3,1,10)&amp;"")&amp;" "))-6)),""),"")</f>
        <v/>
      </c>
    </row>
    <row r="16">
      <c r="A16" s="29" t="n">
        <v>14</v>
      </c>
      <c r="B16" s="26">
        <f>IF(TRIM(INDEX(입력_구리근무자명단!$A$1:$GZ$303,$A16,1)&amp;"")&lt;&gt;"",TRIM(INDEX(입력_구리근무자명단!$A$1:$GZ$303,$A16,1)&amp;""),B15)</f>
        <v/>
      </c>
      <c r="C16" s="26">
        <f>IF(INDEX(입력_구리근무자명단!$A$1:$GZ$303,$A16,2)="","",INDEX(입력_구리근무자명단!$A$1:$GZ$303,$A16,2))</f>
        <v/>
      </c>
      <c r="D16" s="26">
        <f>IF($G$2="","",TRIM(IF($I$2="확정",INDEX(입력_구리근무자명단!$A$1:$GZ$303,$A16,$G$2+1)&amp;"",INDEX(입력_구리근무자명단!$A$1:$GZ$303,$A16,$G$2+0)&amp;"")))</f>
        <v/>
      </c>
      <c r="E16" s="26">
        <f>IF($D16="","",$I$2)</f>
        <v/>
      </c>
      <c r="F16" s="28">
        <f>IF($D16="","",IF(INDEX(입력_구리근무자명단!$A$1:$GZ$303,$A16,$G$2+2)="",출력_요약!$B$3,IF(ISNUMBER(INDEX(입력_구리근무자명단!$A$1:$GZ$303,$A16,$G$2+2)),INDEX(입력_구리근무자명단!$A$1:$GZ$303,$A16,$G$2+2),IFERROR(DATE(VALUE(LEFT(INDEX(입력_구리근무자명단!$A$1:$GZ$303,$A16,$G$2+2),4)),VALUE(MID(INDEX(입력_구리근무자명단!$A$1:$GZ$303,$A16,$G$2+2),6,2)),VALUE(MID(INDEX(입력_구리근무자명단!$A$1:$GZ$303,$A16,$G$2+2),9,2))),IFERROR(DATEVALUE(SUBSTITUTE(TRIM(INDEX(입력_구리근무자명단!$A$1:$GZ$303,$A16,$G$2+2)),".","-")),"⚠"&amp;INDEX(입력_구리근무자명단!$A$1:$GZ$303,$A16,$G$2+2))))))</f>
        <v/>
      </c>
      <c r="G16" s="28">
        <f>IF($D16="","",IF(INDEX(입력_구리근무자명단!$A$1:$GZ$303,$A16,$G$2+3)="",EOMONTH(출력_요약!$B$3,0),IF(ISNUMBER(INDEX(입력_구리근무자명단!$A$1:$GZ$303,$A16,$G$2+3)),INDEX(입력_구리근무자명단!$A$1:$GZ$303,$A16,$G$2+3),IFERROR(DATE(VALUE(LEFT(INDEX(입력_구리근무자명단!$A$1:$GZ$303,$A16,$G$2+3),4)),VALUE(MID(INDEX(입력_구리근무자명단!$A$1:$GZ$303,$A16,$G$2+3),6,2)),VALUE(MID(INDEX(입력_구리근무자명단!$A$1:$GZ$303,$A16,$G$2+3),9,2))),IFERROR(DATEVALUE(SUBSTITUTE(TRIM(INDEX(입력_구리근무자명단!$A$1:$GZ$303,$A16,$G$2+3)),".","-")),"⚠"&amp;INDEX(입력_구리근무자명단!$A$1:$GZ$303,$A16,$G$2+3))))))</f>
        <v/>
      </c>
      <c r="H16" s="26">
        <f>IF($D16="","",IF(OR(NOT(ISNUMBER($F16)),NOT(ISNUMBER($G16))),0,MAX(0,MIN($G16,EOMONTH(출력_요약!$B$3,0))-MAX($F16,출력_요약!$B$3)+1)))</f>
        <v/>
      </c>
      <c r="I16" s="26">
        <f>IF($D16="","",TRIM(INDEX(입력_구리근무자명단!$A$1:$GZ$303,$A16,$G$2+5)&amp;""))</f>
        <v/>
      </c>
      <c r="J16" s="26">
        <f>IF($D16="","",IF(ISNUMBER(SEARCH("구리독자",$I16)),"구리독자",""))</f>
        <v/>
      </c>
      <c r="K16" s="29">
        <f>IF($D16="","",IF(COUNTIFS(입력_전공의명단!$C$2:$C$401,$D16,입력_전공의명단!$F$2:$F$401,IF(OR($C16="인턴",ISNUMBER(SEARCH("수련교육부",$B16))),"인턴",$B16))=1,MATCH($D16&amp;"|"&amp;IF(OR($C16="인턴",ISNUMBER(SEARCH("수련교육부",$B16))),"인턴",$B16),입력_전공의명단!$AP$2:$AP$401,0),IF(AND(COUNTIFS(입력_전공의명단!$C$2:$C$401,$D16,입력_전공의명단!$F$2:$F$401,IF(OR($C16="인턴",ISNUMBER(SEARCH("수련교육부",$B16))),"인턴",$B16))=0,COUNTIF(입력_전공의명단!$C$2:$C$401,$D16)=1),MATCH($D16,입력_전공의명단!$C$2:$C$401,0),"")))</f>
        <v/>
      </c>
      <c r="L16" s="26">
        <f>IF($D16="","",IF($K16&lt;&gt;"",IF(COUNTIFS(입력_전공의명단!$C$2:$C$401,$D16,입력_전공의명단!$F$2:$F$401,IF(OR($C16="인턴",ISNUMBER(SEARCH("수련교육부",$B16))),"인턴",$B16))=1,"명단 일치","명단 일치(이름만, 과 다름)"),IF(COUNTIF(입력_전공의명단!$C$2:$C$401,$D16)=0,IF(COUNTIF(입력_기본자료!$C$2:$C$1001,$D16)&gt;0,"명단에 없음(기본자료에는 있음)","명단에 없음"),"동명이인 확인")))</f>
        <v/>
      </c>
      <c r="N16" s="8" t="n">
        <v>11</v>
      </c>
      <c r="O16" s="8">
        <f>IF(ISNUMBER(SEARCH("근무예정자",(INDEX(입력_구리근무자명단!$A$3:$GZ$3,1,11)&amp;""))),IFERROR(VALUE(LEFT((INDEX(입력_구리근무자명단!$A$3:$GZ$3,1,11)&amp;""),4))*100+VALUE(MID((INDEX(입력_구리근무자명단!$A$3:$GZ$3,1,11)&amp;""),6,MIN(FIND("월",(INDEX(입력_구리근무자명단!$A$3:$GZ$3,1,11)&amp;"")&amp;"월"),FIND(CHAR(10),(INDEX(입력_구리근무자명단!$A$3:$GZ$3,1,11)&amp;"")&amp;CHAR(10)),FIND(" ",(INDEX(입력_구리근무자명단!$A$3:$GZ$3,1,11)&amp;"")&amp;" "))-6)),""),"")</f>
        <v/>
      </c>
    </row>
    <row r="17">
      <c r="A17" s="29" t="n">
        <v>15</v>
      </c>
      <c r="B17" s="26">
        <f>IF(TRIM(INDEX(입력_구리근무자명단!$A$1:$GZ$303,$A17,1)&amp;"")&lt;&gt;"",TRIM(INDEX(입력_구리근무자명단!$A$1:$GZ$303,$A17,1)&amp;""),B16)</f>
        <v/>
      </c>
      <c r="C17" s="26">
        <f>IF(INDEX(입력_구리근무자명단!$A$1:$GZ$303,$A17,2)="","",INDEX(입력_구리근무자명단!$A$1:$GZ$303,$A17,2))</f>
        <v/>
      </c>
      <c r="D17" s="26">
        <f>IF($G$2="","",TRIM(IF($I$2="확정",INDEX(입력_구리근무자명단!$A$1:$GZ$303,$A17,$G$2+1)&amp;"",INDEX(입력_구리근무자명단!$A$1:$GZ$303,$A17,$G$2+0)&amp;"")))</f>
        <v/>
      </c>
      <c r="E17" s="26">
        <f>IF($D17="","",$I$2)</f>
        <v/>
      </c>
      <c r="F17" s="28">
        <f>IF($D17="","",IF(INDEX(입력_구리근무자명단!$A$1:$GZ$303,$A17,$G$2+2)="",출력_요약!$B$3,IF(ISNUMBER(INDEX(입력_구리근무자명단!$A$1:$GZ$303,$A17,$G$2+2)),INDEX(입력_구리근무자명단!$A$1:$GZ$303,$A17,$G$2+2),IFERROR(DATE(VALUE(LEFT(INDEX(입력_구리근무자명단!$A$1:$GZ$303,$A17,$G$2+2),4)),VALUE(MID(INDEX(입력_구리근무자명단!$A$1:$GZ$303,$A17,$G$2+2),6,2)),VALUE(MID(INDEX(입력_구리근무자명단!$A$1:$GZ$303,$A17,$G$2+2),9,2))),IFERROR(DATEVALUE(SUBSTITUTE(TRIM(INDEX(입력_구리근무자명단!$A$1:$GZ$303,$A17,$G$2+2)),".","-")),"⚠"&amp;INDEX(입력_구리근무자명단!$A$1:$GZ$303,$A17,$G$2+2))))))</f>
        <v/>
      </c>
      <c r="G17" s="28">
        <f>IF($D17="","",IF(INDEX(입력_구리근무자명단!$A$1:$GZ$303,$A17,$G$2+3)="",EOMONTH(출력_요약!$B$3,0),IF(ISNUMBER(INDEX(입력_구리근무자명단!$A$1:$GZ$303,$A17,$G$2+3)),INDEX(입력_구리근무자명단!$A$1:$GZ$303,$A17,$G$2+3),IFERROR(DATE(VALUE(LEFT(INDEX(입력_구리근무자명단!$A$1:$GZ$303,$A17,$G$2+3),4)),VALUE(MID(INDEX(입력_구리근무자명단!$A$1:$GZ$303,$A17,$G$2+3),6,2)),VALUE(MID(INDEX(입력_구리근무자명단!$A$1:$GZ$303,$A17,$G$2+3),9,2))),IFERROR(DATEVALUE(SUBSTITUTE(TRIM(INDEX(입력_구리근무자명단!$A$1:$GZ$303,$A17,$G$2+3)),".","-")),"⚠"&amp;INDEX(입력_구리근무자명단!$A$1:$GZ$303,$A17,$G$2+3))))))</f>
        <v/>
      </c>
      <c r="H17" s="26">
        <f>IF($D17="","",IF(OR(NOT(ISNUMBER($F17)),NOT(ISNUMBER($G17))),0,MAX(0,MIN($G17,EOMONTH(출력_요약!$B$3,0))-MAX($F17,출력_요약!$B$3)+1)))</f>
        <v/>
      </c>
      <c r="I17" s="26">
        <f>IF($D17="","",TRIM(INDEX(입력_구리근무자명단!$A$1:$GZ$303,$A17,$G$2+5)&amp;""))</f>
        <v/>
      </c>
      <c r="J17" s="26">
        <f>IF($D17="","",IF(ISNUMBER(SEARCH("구리독자",$I17)),"구리독자",""))</f>
        <v/>
      </c>
      <c r="K17" s="29">
        <f>IF($D17="","",IF(COUNTIFS(입력_전공의명단!$C$2:$C$401,$D17,입력_전공의명단!$F$2:$F$401,IF(OR($C17="인턴",ISNUMBER(SEARCH("수련교육부",$B17))),"인턴",$B17))=1,MATCH($D17&amp;"|"&amp;IF(OR($C17="인턴",ISNUMBER(SEARCH("수련교육부",$B17))),"인턴",$B17),입력_전공의명단!$AP$2:$AP$401,0),IF(AND(COUNTIFS(입력_전공의명단!$C$2:$C$401,$D17,입력_전공의명단!$F$2:$F$401,IF(OR($C17="인턴",ISNUMBER(SEARCH("수련교육부",$B17))),"인턴",$B17))=0,COUNTIF(입력_전공의명단!$C$2:$C$401,$D17)=1),MATCH($D17,입력_전공의명단!$C$2:$C$401,0),"")))</f>
        <v/>
      </c>
      <c r="L17" s="26">
        <f>IF($D17="","",IF($K17&lt;&gt;"",IF(COUNTIFS(입력_전공의명단!$C$2:$C$401,$D17,입력_전공의명단!$F$2:$F$401,IF(OR($C17="인턴",ISNUMBER(SEARCH("수련교육부",$B17))),"인턴",$B17))=1,"명단 일치","명단 일치(이름만, 과 다름)"),IF(COUNTIF(입력_전공의명단!$C$2:$C$401,$D17)=0,IF(COUNTIF(입력_기본자료!$C$2:$C$1001,$D17)&gt;0,"명단에 없음(기본자료에는 있음)","명단에 없음"),"동명이인 확인")))</f>
        <v/>
      </c>
      <c r="N17" s="8" t="n">
        <v>12</v>
      </c>
      <c r="O17" s="8">
        <f>IF(ISNUMBER(SEARCH("근무예정자",(INDEX(입력_구리근무자명단!$A$3:$GZ$3,1,12)&amp;""))),IFERROR(VALUE(LEFT((INDEX(입력_구리근무자명단!$A$3:$GZ$3,1,12)&amp;""),4))*100+VALUE(MID((INDEX(입력_구리근무자명단!$A$3:$GZ$3,1,12)&amp;""),6,MIN(FIND("월",(INDEX(입력_구리근무자명단!$A$3:$GZ$3,1,12)&amp;"")&amp;"월"),FIND(CHAR(10),(INDEX(입력_구리근무자명단!$A$3:$GZ$3,1,12)&amp;"")&amp;CHAR(10)),FIND(" ",(INDEX(입력_구리근무자명단!$A$3:$GZ$3,1,12)&amp;"")&amp;" "))-6)),""),"")</f>
        <v/>
      </c>
    </row>
    <row r="18">
      <c r="A18" s="29" t="n">
        <v>16</v>
      </c>
      <c r="B18" s="26">
        <f>IF(TRIM(INDEX(입력_구리근무자명단!$A$1:$GZ$303,$A18,1)&amp;"")&lt;&gt;"",TRIM(INDEX(입력_구리근무자명단!$A$1:$GZ$303,$A18,1)&amp;""),B17)</f>
        <v/>
      </c>
      <c r="C18" s="26">
        <f>IF(INDEX(입력_구리근무자명단!$A$1:$GZ$303,$A18,2)="","",INDEX(입력_구리근무자명단!$A$1:$GZ$303,$A18,2))</f>
        <v/>
      </c>
      <c r="D18" s="26">
        <f>IF($G$2="","",TRIM(IF($I$2="확정",INDEX(입력_구리근무자명단!$A$1:$GZ$303,$A18,$G$2+1)&amp;"",INDEX(입력_구리근무자명단!$A$1:$GZ$303,$A18,$G$2+0)&amp;"")))</f>
        <v/>
      </c>
      <c r="E18" s="26">
        <f>IF($D18="","",$I$2)</f>
        <v/>
      </c>
      <c r="F18" s="28">
        <f>IF($D18="","",IF(INDEX(입력_구리근무자명단!$A$1:$GZ$303,$A18,$G$2+2)="",출력_요약!$B$3,IF(ISNUMBER(INDEX(입력_구리근무자명단!$A$1:$GZ$303,$A18,$G$2+2)),INDEX(입력_구리근무자명단!$A$1:$GZ$303,$A18,$G$2+2),IFERROR(DATE(VALUE(LEFT(INDEX(입력_구리근무자명단!$A$1:$GZ$303,$A18,$G$2+2),4)),VALUE(MID(INDEX(입력_구리근무자명단!$A$1:$GZ$303,$A18,$G$2+2),6,2)),VALUE(MID(INDEX(입력_구리근무자명단!$A$1:$GZ$303,$A18,$G$2+2),9,2))),IFERROR(DATEVALUE(SUBSTITUTE(TRIM(INDEX(입력_구리근무자명단!$A$1:$GZ$303,$A18,$G$2+2)),".","-")),"⚠"&amp;INDEX(입력_구리근무자명단!$A$1:$GZ$303,$A18,$G$2+2))))))</f>
        <v/>
      </c>
      <c r="G18" s="28">
        <f>IF($D18="","",IF(INDEX(입력_구리근무자명단!$A$1:$GZ$303,$A18,$G$2+3)="",EOMONTH(출력_요약!$B$3,0),IF(ISNUMBER(INDEX(입력_구리근무자명단!$A$1:$GZ$303,$A18,$G$2+3)),INDEX(입력_구리근무자명단!$A$1:$GZ$303,$A18,$G$2+3),IFERROR(DATE(VALUE(LEFT(INDEX(입력_구리근무자명단!$A$1:$GZ$303,$A18,$G$2+3),4)),VALUE(MID(INDEX(입력_구리근무자명단!$A$1:$GZ$303,$A18,$G$2+3),6,2)),VALUE(MID(INDEX(입력_구리근무자명단!$A$1:$GZ$303,$A18,$G$2+3),9,2))),IFERROR(DATEVALUE(SUBSTITUTE(TRIM(INDEX(입력_구리근무자명단!$A$1:$GZ$303,$A18,$G$2+3)),".","-")),"⚠"&amp;INDEX(입력_구리근무자명단!$A$1:$GZ$303,$A18,$G$2+3))))))</f>
        <v/>
      </c>
      <c r="H18" s="26">
        <f>IF($D18="","",IF(OR(NOT(ISNUMBER($F18)),NOT(ISNUMBER($G18))),0,MAX(0,MIN($G18,EOMONTH(출력_요약!$B$3,0))-MAX($F18,출력_요약!$B$3)+1)))</f>
        <v/>
      </c>
      <c r="I18" s="26">
        <f>IF($D18="","",TRIM(INDEX(입력_구리근무자명단!$A$1:$GZ$303,$A18,$G$2+5)&amp;""))</f>
        <v/>
      </c>
      <c r="J18" s="26">
        <f>IF($D18="","",IF(ISNUMBER(SEARCH("구리독자",$I18)),"구리독자",""))</f>
        <v/>
      </c>
      <c r="K18" s="29">
        <f>IF($D18="","",IF(COUNTIFS(입력_전공의명단!$C$2:$C$401,$D18,입력_전공의명단!$F$2:$F$401,IF(OR($C18="인턴",ISNUMBER(SEARCH("수련교육부",$B18))),"인턴",$B18))=1,MATCH($D18&amp;"|"&amp;IF(OR($C18="인턴",ISNUMBER(SEARCH("수련교육부",$B18))),"인턴",$B18),입력_전공의명단!$AP$2:$AP$401,0),IF(AND(COUNTIFS(입력_전공의명단!$C$2:$C$401,$D18,입력_전공의명단!$F$2:$F$401,IF(OR($C18="인턴",ISNUMBER(SEARCH("수련교육부",$B18))),"인턴",$B18))=0,COUNTIF(입력_전공의명단!$C$2:$C$401,$D18)=1),MATCH($D18,입력_전공의명단!$C$2:$C$401,0),"")))</f>
        <v/>
      </c>
      <c r="L18" s="26">
        <f>IF($D18="","",IF($K18&lt;&gt;"",IF(COUNTIFS(입력_전공의명단!$C$2:$C$401,$D18,입력_전공의명단!$F$2:$F$401,IF(OR($C18="인턴",ISNUMBER(SEARCH("수련교육부",$B18))),"인턴",$B18))=1,"명단 일치","명단 일치(이름만, 과 다름)"),IF(COUNTIF(입력_전공의명단!$C$2:$C$401,$D18)=0,IF(COUNTIF(입력_기본자료!$C$2:$C$1001,$D18)&gt;0,"명단에 없음(기본자료에는 있음)","명단에 없음"),"동명이인 확인")))</f>
        <v/>
      </c>
      <c r="N18" s="8" t="n">
        <v>13</v>
      </c>
      <c r="O18" s="8">
        <f>IF(ISNUMBER(SEARCH("근무예정자",(INDEX(입력_구리근무자명단!$A$3:$GZ$3,1,13)&amp;""))),IFERROR(VALUE(LEFT((INDEX(입력_구리근무자명단!$A$3:$GZ$3,1,13)&amp;""),4))*100+VALUE(MID((INDEX(입력_구리근무자명단!$A$3:$GZ$3,1,13)&amp;""),6,MIN(FIND("월",(INDEX(입력_구리근무자명단!$A$3:$GZ$3,1,13)&amp;"")&amp;"월"),FIND(CHAR(10),(INDEX(입력_구리근무자명단!$A$3:$GZ$3,1,13)&amp;"")&amp;CHAR(10)),FIND(" ",(INDEX(입력_구리근무자명단!$A$3:$GZ$3,1,13)&amp;"")&amp;" "))-6)),""),"")</f>
        <v/>
      </c>
    </row>
    <row r="19">
      <c r="A19" s="29" t="n">
        <v>17</v>
      </c>
      <c r="B19" s="26">
        <f>IF(TRIM(INDEX(입력_구리근무자명단!$A$1:$GZ$303,$A19,1)&amp;"")&lt;&gt;"",TRIM(INDEX(입력_구리근무자명단!$A$1:$GZ$303,$A19,1)&amp;""),B18)</f>
        <v/>
      </c>
      <c r="C19" s="26">
        <f>IF(INDEX(입력_구리근무자명단!$A$1:$GZ$303,$A19,2)="","",INDEX(입력_구리근무자명단!$A$1:$GZ$303,$A19,2))</f>
        <v/>
      </c>
      <c r="D19" s="26">
        <f>IF($G$2="","",TRIM(IF($I$2="확정",INDEX(입력_구리근무자명단!$A$1:$GZ$303,$A19,$G$2+1)&amp;"",INDEX(입력_구리근무자명단!$A$1:$GZ$303,$A19,$G$2+0)&amp;"")))</f>
        <v/>
      </c>
      <c r="E19" s="26">
        <f>IF($D19="","",$I$2)</f>
        <v/>
      </c>
      <c r="F19" s="28">
        <f>IF($D19="","",IF(INDEX(입력_구리근무자명단!$A$1:$GZ$303,$A19,$G$2+2)="",출력_요약!$B$3,IF(ISNUMBER(INDEX(입력_구리근무자명단!$A$1:$GZ$303,$A19,$G$2+2)),INDEX(입력_구리근무자명단!$A$1:$GZ$303,$A19,$G$2+2),IFERROR(DATE(VALUE(LEFT(INDEX(입력_구리근무자명단!$A$1:$GZ$303,$A19,$G$2+2),4)),VALUE(MID(INDEX(입력_구리근무자명단!$A$1:$GZ$303,$A19,$G$2+2),6,2)),VALUE(MID(INDEX(입력_구리근무자명단!$A$1:$GZ$303,$A19,$G$2+2),9,2))),IFERROR(DATEVALUE(SUBSTITUTE(TRIM(INDEX(입력_구리근무자명단!$A$1:$GZ$303,$A19,$G$2+2)),".","-")),"⚠"&amp;INDEX(입력_구리근무자명단!$A$1:$GZ$303,$A19,$G$2+2))))))</f>
        <v/>
      </c>
      <c r="G19" s="28">
        <f>IF($D19="","",IF(INDEX(입력_구리근무자명단!$A$1:$GZ$303,$A19,$G$2+3)="",EOMONTH(출력_요약!$B$3,0),IF(ISNUMBER(INDEX(입력_구리근무자명단!$A$1:$GZ$303,$A19,$G$2+3)),INDEX(입력_구리근무자명단!$A$1:$GZ$303,$A19,$G$2+3),IFERROR(DATE(VALUE(LEFT(INDEX(입력_구리근무자명단!$A$1:$GZ$303,$A19,$G$2+3),4)),VALUE(MID(INDEX(입력_구리근무자명단!$A$1:$GZ$303,$A19,$G$2+3),6,2)),VALUE(MID(INDEX(입력_구리근무자명단!$A$1:$GZ$303,$A19,$G$2+3),9,2))),IFERROR(DATEVALUE(SUBSTITUTE(TRIM(INDEX(입력_구리근무자명단!$A$1:$GZ$303,$A19,$G$2+3)),".","-")),"⚠"&amp;INDEX(입력_구리근무자명단!$A$1:$GZ$303,$A19,$G$2+3))))))</f>
        <v/>
      </c>
      <c r="H19" s="26">
        <f>IF($D19="","",IF(OR(NOT(ISNUMBER($F19)),NOT(ISNUMBER($G19))),0,MAX(0,MIN($G19,EOMONTH(출력_요약!$B$3,0))-MAX($F19,출력_요약!$B$3)+1)))</f>
        <v/>
      </c>
      <c r="I19" s="26">
        <f>IF($D19="","",TRIM(INDEX(입력_구리근무자명단!$A$1:$GZ$303,$A19,$G$2+5)&amp;""))</f>
        <v/>
      </c>
      <c r="J19" s="26">
        <f>IF($D19="","",IF(ISNUMBER(SEARCH("구리독자",$I19)),"구리독자",""))</f>
        <v/>
      </c>
      <c r="K19" s="29">
        <f>IF($D19="","",IF(COUNTIFS(입력_전공의명단!$C$2:$C$401,$D19,입력_전공의명단!$F$2:$F$401,IF(OR($C19="인턴",ISNUMBER(SEARCH("수련교육부",$B19))),"인턴",$B19))=1,MATCH($D19&amp;"|"&amp;IF(OR($C19="인턴",ISNUMBER(SEARCH("수련교육부",$B19))),"인턴",$B19),입력_전공의명단!$AP$2:$AP$401,0),IF(AND(COUNTIFS(입력_전공의명단!$C$2:$C$401,$D19,입력_전공의명단!$F$2:$F$401,IF(OR($C19="인턴",ISNUMBER(SEARCH("수련교육부",$B19))),"인턴",$B19))=0,COUNTIF(입력_전공의명단!$C$2:$C$401,$D19)=1),MATCH($D19,입력_전공의명단!$C$2:$C$401,0),"")))</f>
        <v/>
      </c>
      <c r="L19" s="26">
        <f>IF($D19="","",IF($K19&lt;&gt;"",IF(COUNTIFS(입력_전공의명단!$C$2:$C$401,$D19,입력_전공의명단!$F$2:$F$401,IF(OR($C19="인턴",ISNUMBER(SEARCH("수련교육부",$B19))),"인턴",$B19))=1,"명단 일치","명단 일치(이름만, 과 다름)"),IF(COUNTIF(입력_전공의명단!$C$2:$C$401,$D19)=0,IF(COUNTIF(입력_기본자료!$C$2:$C$1001,$D19)&gt;0,"명단에 없음(기본자료에는 있음)","명단에 없음"),"동명이인 확인")))</f>
        <v/>
      </c>
      <c r="N19" s="8" t="n">
        <v>14</v>
      </c>
      <c r="O19" s="8">
        <f>IF(ISNUMBER(SEARCH("근무예정자",(INDEX(입력_구리근무자명단!$A$3:$GZ$3,1,14)&amp;""))),IFERROR(VALUE(LEFT((INDEX(입력_구리근무자명단!$A$3:$GZ$3,1,14)&amp;""),4))*100+VALUE(MID((INDEX(입력_구리근무자명단!$A$3:$GZ$3,1,14)&amp;""),6,MIN(FIND("월",(INDEX(입력_구리근무자명단!$A$3:$GZ$3,1,14)&amp;"")&amp;"월"),FIND(CHAR(10),(INDEX(입력_구리근무자명단!$A$3:$GZ$3,1,14)&amp;"")&amp;CHAR(10)),FIND(" ",(INDEX(입력_구리근무자명단!$A$3:$GZ$3,1,14)&amp;"")&amp;" "))-6)),""),"")</f>
        <v/>
      </c>
    </row>
    <row r="20">
      <c r="A20" s="29" t="n">
        <v>18</v>
      </c>
      <c r="B20" s="26">
        <f>IF(TRIM(INDEX(입력_구리근무자명단!$A$1:$GZ$303,$A20,1)&amp;"")&lt;&gt;"",TRIM(INDEX(입력_구리근무자명단!$A$1:$GZ$303,$A20,1)&amp;""),B19)</f>
        <v/>
      </c>
      <c r="C20" s="26">
        <f>IF(INDEX(입력_구리근무자명단!$A$1:$GZ$303,$A20,2)="","",INDEX(입력_구리근무자명단!$A$1:$GZ$303,$A20,2))</f>
        <v/>
      </c>
      <c r="D20" s="26">
        <f>IF($G$2="","",TRIM(IF($I$2="확정",INDEX(입력_구리근무자명단!$A$1:$GZ$303,$A20,$G$2+1)&amp;"",INDEX(입력_구리근무자명단!$A$1:$GZ$303,$A20,$G$2+0)&amp;"")))</f>
        <v/>
      </c>
      <c r="E20" s="26">
        <f>IF($D20="","",$I$2)</f>
        <v/>
      </c>
      <c r="F20" s="28">
        <f>IF($D20="","",IF(INDEX(입력_구리근무자명단!$A$1:$GZ$303,$A20,$G$2+2)="",출력_요약!$B$3,IF(ISNUMBER(INDEX(입력_구리근무자명단!$A$1:$GZ$303,$A20,$G$2+2)),INDEX(입력_구리근무자명단!$A$1:$GZ$303,$A20,$G$2+2),IFERROR(DATE(VALUE(LEFT(INDEX(입력_구리근무자명단!$A$1:$GZ$303,$A20,$G$2+2),4)),VALUE(MID(INDEX(입력_구리근무자명단!$A$1:$GZ$303,$A20,$G$2+2),6,2)),VALUE(MID(INDEX(입력_구리근무자명단!$A$1:$GZ$303,$A20,$G$2+2),9,2))),IFERROR(DATEVALUE(SUBSTITUTE(TRIM(INDEX(입력_구리근무자명단!$A$1:$GZ$303,$A20,$G$2+2)),".","-")),"⚠"&amp;INDEX(입력_구리근무자명단!$A$1:$GZ$303,$A20,$G$2+2))))))</f>
        <v/>
      </c>
      <c r="G20" s="28">
        <f>IF($D20="","",IF(INDEX(입력_구리근무자명단!$A$1:$GZ$303,$A20,$G$2+3)="",EOMONTH(출력_요약!$B$3,0),IF(ISNUMBER(INDEX(입력_구리근무자명단!$A$1:$GZ$303,$A20,$G$2+3)),INDEX(입력_구리근무자명단!$A$1:$GZ$303,$A20,$G$2+3),IFERROR(DATE(VALUE(LEFT(INDEX(입력_구리근무자명단!$A$1:$GZ$303,$A20,$G$2+3),4)),VALUE(MID(INDEX(입력_구리근무자명단!$A$1:$GZ$303,$A20,$G$2+3),6,2)),VALUE(MID(INDEX(입력_구리근무자명단!$A$1:$GZ$303,$A20,$G$2+3),9,2))),IFERROR(DATEVALUE(SUBSTITUTE(TRIM(INDEX(입력_구리근무자명단!$A$1:$GZ$303,$A20,$G$2+3)),".","-")),"⚠"&amp;INDEX(입력_구리근무자명단!$A$1:$GZ$303,$A20,$G$2+3))))))</f>
        <v/>
      </c>
      <c r="H20" s="26">
        <f>IF($D20="","",IF(OR(NOT(ISNUMBER($F20)),NOT(ISNUMBER($G20))),0,MAX(0,MIN($G20,EOMONTH(출력_요약!$B$3,0))-MAX($F20,출력_요약!$B$3)+1)))</f>
        <v/>
      </c>
      <c r="I20" s="26">
        <f>IF($D20="","",TRIM(INDEX(입력_구리근무자명단!$A$1:$GZ$303,$A20,$G$2+5)&amp;""))</f>
        <v/>
      </c>
      <c r="J20" s="26">
        <f>IF($D20="","",IF(ISNUMBER(SEARCH("구리독자",$I20)),"구리독자",""))</f>
        <v/>
      </c>
      <c r="K20" s="29">
        <f>IF($D20="","",IF(COUNTIFS(입력_전공의명단!$C$2:$C$401,$D20,입력_전공의명단!$F$2:$F$401,IF(OR($C20="인턴",ISNUMBER(SEARCH("수련교육부",$B20))),"인턴",$B20))=1,MATCH($D20&amp;"|"&amp;IF(OR($C20="인턴",ISNUMBER(SEARCH("수련교육부",$B20))),"인턴",$B20),입력_전공의명단!$AP$2:$AP$401,0),IF(AND(COUNTIFS(입력_전공의명단!$C$2:$C$401,$D20,입력_전공의명단!$F$2:$F$401,IF(OR($C20="인턴",ISNUMBER(SEARCH("수련교육부",$B20))),"인턴",$B20))=0,COUNTIF(입력_전공의명단!$C$2:$C$401,$D20)=1),MATCH($D20,입력_전공의명단!$C$2:$C$401,0),"")))</f>
        <v/>
      </c>
      <c r="L20" s="26">
        <f>IF($D20="","",IF($K20&lt;&gt;"",IF(COUNTIFS(입력_전공의명단!$C$2:$C$401,$D20,입력_전공의명단!$F$2:$F$401,IF(OR($C20="인턴",ISNUMBER(SEARCH("수련교육부",$B20))),"인턴",$B20))=1,"명단 일치","명단 일치(이름만, 과 다름)"),IF(COUNTIF(입력_전공의명단!$C$2:$C$401,$D20)=0,IF(COUNTIF(입력_기본자료!$C$2:$C$1001,$D20)&gt;0,"명단에 없음(기본자료에는 있음)","명단에 없음"),"동명이인 확인")))</f>
        <v/>
      </c>
      <c r="N20" s="8" t="n">
        <v>15</v>
      </c>
      <c r="O20" s="8">
        <f>IF(ISNUMBER(SEARCH("근무예정자",(INDEX(입력_구리근무자명단!$A$3:$GZ$3,1,15)&amp;""))),IFERROR(VALUE(LEFT((INDEX(입력_구리근무자명단!$A$3:$GZ$3,1,15)&amp;""),4))*100+VALUE(MID((INDEX(입력_구리근무자명단!$A$3:$GZ$3,1,15)&amp;""),6,MIN(FIND("월",(INDEX(입력_구리근무자명단!$A$3:$GZ$3,1,15)&amp;"")&amp;"월"),FIND(CHAR(10),(INDEX(입력_구리근무자명단!$A$3:$GZ$3,1,15)&amp;"")&amp;CHAR(10)),FIND(" ",(INDEX(입력_구리근무자명단!$A$3:$GZ$3,1,15)&amp;"")&amp;" "))-6)),""),"")</f>
        <v/>
      </c>
    </row>
    <row r="21">
      <c r="A21" s="29" t="n">
        <v>19</v>
      </c>
      <c r="B21" s="26">
        <f>IF(TRIM(INDEX(입력_구리근무자명단!$A$1:$GZ$303,$A21,1)&amp;"")&lt;&gt;"",TRIM(INDEX(입력_구리근무자명단!$A$1:$GZ$303,$A21,1)&amp;""),B20)</f>
        <v/>
      </c>
      <c r="C21" s="26">
        <f>IF(INDEX(입력_구리근무자명단!$A$1:$GZ$303,$A21,2)="","",INDEX(입력_구리근무자명단!$A$1:$GZ$303,$A21,2))</f>
        <v/>
      </c>
      <c r="D21" s="26">
        <f>IF($G$2="","",TRIM(IF($I$2="확정",INDEX(입력_구리근무자명단!$A$1:$GZ$303,$A21,$G$2+1)&amp;"",INDEX(입력_구리근무자명단!$A$1:$GZ$303,$A21,$G$2+0)&amp;"")))</f>
        <v/>
      </c>
      <c r="E21" s="26">
        <f>IF($D21="","",$I$2)</f>
        <v/>
      </c>
      <c r="F21" s="28">
        <f>IF($D21="","",IF(INDEX(입력_구리근무자명단!$A$1:$GZ$303,$A21,$G$2+2)="",출력_요약!$B$3,IF(ISNUMBER(INDEX(입력_구리근무자명단!$A$1:$GZ$303,$A21,$G$2+2)),INDEX(입력_구리근무자명단!$A$1:$GZ$303,$A21,$G$2+2),IFERROR(DATE(VALUE(LEFT(INDEX(입력_구리근무자명단!$A$1:$GZ$303,$A21,$G$2+2),4)),VALUE(MID(INDEX(입력_구리근무자명단!$A$1:$GZ$303,$A21,$G$2+2),6,2)),VALUE(MID(INDEX(입력_구리근무자명단!$A$1:$GZ$303,$A21,$G$2+2),9,2))),IFERROR(DATEVALUE(SUBSTITUTE(TRIM(INDEX(입력_구리근무자명단!$A$1:$GZ$303,$A21,$G$2+2)),".","-")),"⚠"&amp;INDEX(입력_구리근무자명단!$A$1:$GZ$303,$A21,$G$2+2))))))</f>
        <v/>
      </c>
      <c r="G21" s="28">
        <f>IF($D21="","",IF(INDEX(입력_구리근무자명단!$A$1:$GZ$303,$A21,$G$2+3)="",EOMONTH(출력_요약!$B$3,0),IF(ISNUMBER(INDEX(입력_구리근무자명단!$A$1:$GZ$303,$A21,$G$2+3)),INDEX(입력_구리근무자명단!$A$1:$GZ$303,$A21,$G$2+3),IFERROR(DATE(VALUE(LEFT(INDEX(입력_구리근무자명단!$A$1:$GZ$303,$A21,$G$2+3),4)),VALUE(MID(INDEX(입력_구리근무자명단!$A$1:$GZ$303,$A21,$G$2+3),6,2)),VALUE(MID(INDEX(입력_구리근무자명단!$A$1:$GZ$303,$A21,$G$2+3),9,2))),IFERROR(DATEVALUE(SUBSTITUTE(TRIM(INDEX(입력_구리근무자명단!$A$1:$GZ$303,$A21,$G$2+3)),".","-")),"⚠"&amp;INDEX(입력_구리근무자명단!$A$1:$GZ$303,$A21,$G$2+3))))))</f>
        <v/>
      </c>
      <c r="H21" s="26">
        <f>IF($D21="","",IF(OR(NOT(ISNUMBER($F21)),NOT(ISNUMBER($G21))),0,MAX(0,MIN($G21,EOMONTH(출력_요약!$B$3,0))-MAX($F21,출력_요약!$B$3)+1)))</f>
        <v/>
      </c>
      <c r="I21" s="26">
        <f>IF($D21="","",TRIM(INDEX(입력_구리근무자명단!$A$1:$GZ$303,$A21,$G$2+5)&amp;""))</f>
        <v/>
      </c>
      <c r="J21" s="26">
        <f>IF($D21="","",IF(ISNUMBER(SEARCH("구리독자",$I21)),"구리독자",""))</f>
        <v/>
      </c>
      <c r="K21" s="29">
        <f>IF($D21="","",IF(COUNTIFS(입력_전공의명단!$C$2:$C$401,$D21,입력_전공의명단!$F$2:$F$401,IF(OR($C21="인턴",ISNUMBER(SEARCH("수련교육부",$B21))),"인턴",$B21))=1,MATCH($D21&amp;"|"&amp;IF(OR($C21="인턴",ISNUMBER(SEARCH("수련교육부",$B21))),"인턴",$B21),입력_전공의명단!$AP$2:$AP$401,0),IF(AND(COUNTIFS(입력_전공의명단!$C$2:$C$401,$D21,입력_전공의명단!$F$2:$F$401,IF(OR($C21="인턴",ISNUMBER(SEARCH("수련교육부",$B21))),"인턴",$B21))=0,COUNTIF(입력_전공의명단!$C$2:$C$401,$D21)=1),MATCH($D21,입력_전공의명단!$C$2:$C$401,0),"")))</f>
        <v/>
      </c>
      <c r="L21" s="26">
        <f>IF($D21="","",IF($K21&lt;&gt;"",IF(COUNTIFS(입력_전공의명단!$C$2:$C$401,$D21,입력_전공의명단!$F$2:$F$401,IF(OR($C21="인턴",ISNUMBER(SEARCH("수련교육부",$B21))),"인턴",$B21))=1,"명단 일치","명단 일치(이름만, 과 다름)"),IF(COUNTIF(입력_전공의명단!$C$2:$C$401,$D21)=0,IF(COUNTIF(입력_기본자료!$C$2:$C$1001,$D21)&gt;0,"명단에 없음(기본자료에는 있음)","명단에 없음"),"동명이인 확인")))</f>
        <v/>
      </c>
      <c r="N21" s="8" t="n">
        <v>16</v>
      </c>
      <c r="O21" s="8">
        <f>IF(ISNUMBER(SEARCH("근무예정자",(INDEX(입력_구리근무자명단!$A$3:$GZ$3,1,16)&amp;""))),IFERROR(VALUE(LEFT((INDEX(입력_구리근무자명단!$A$3:$GZ$3,1,16)&amp;""),4))*100+VALUE(MID((INDEX(입력_구리근무자명단!$A$3:$GZ$3,1,16)&amp;""),6,MIN(FIND("월",(INDEX(입력_구리근무자명단!$A$3:$GZ$3,1,16)&amp;"")&amp;"월"),FIND(CHAR(10),(INDEX(입력_구리근무자명단!$A$3:$GZ$3,1,16)&amp;"")&amp;CHAR(10)),FIND(" ",(INDEX(입력_구리근무자명단!$A$3:$GZ$3,1,16)&amp;"")&amp;" "))-6)),""),"")</f>
        <v/>
      </c>
    </row>
    <row r="22">
      <c r="A22" s="29" t="n">
        <v>20</v>
      </c>
      <c r="B22" s="26">
        <f>IF(TRIM(INDEX(입력_구리근무자명단!$A$1:$GZ$303,$A22,1)&amp;"")&lt;&gt;"",TRIM(INDEX(입력_구리근무자명단!$A$1:$GZ$303,$A22,1)&amp;""),B21)</f>
        <v/>
      </c>
      <c r="C22" s="26">
        <f>IF(INDEX(입력_구리근무자명단!$A$1:$GZ$303,$A22,2)="","",INDEX(입력_구리근무자명단!$A$1:$GZ$303,$A22,2))</f>
        <v/>
      </c>
      <c r="D22" s="26">
        <f>IF($G$2="","",TRIM(IF($I$2="확정",INDEX(입력_구리근무자명단!$A$1:$GZ$303,$A22,$G$2+1)&amp;"",INDEX(입력_구리근무자명단!$A$1:$GZ$303,$A22,$G$2+0)&amp;"")))</f>
        <v/>
      </c>
      <c r="E22" s="26">
        <f>IF($D22="","",$I$2)</f>
        <v/>
      </c>
      <c r="F22" s="28">
        <f>IF($D22="","",IF(INDEX(입력_구리근무자명단!$A$1:$GZ$303,$A22,$G$2+2)="",출력_요약!$B$3,IF(ISNUMBER(INDEX(입력_구리근무자명단!$A$1:$GZ$303,$A22,$G$2+2)),INDEX(입력_구리근무자명단!$A$1:$GZ$303,$A22,$G$2+2),IFERROR(DATE(VALUE(LEFT(INDEX(입력_구리근무자명단!$A$1:$GZ$303,$A22,$G$2+2),4)),VALUE(MID(INDEX(입력_구리근무자명단!$A$1:$GZ$303,$A22,$G$2+2),6,2)),VALUE(MID(INDEX(입력_구리근무자명단!$A$1:$GZ$303,$A22,$G$2+2),9,2))),IFERROR(DATEVALUE(SUBSTITUTE(TRIM(INDEX(입력_구리근무자명단!$A$1:$GZ$303,$A22,$G$2+2)),".","-")),"⚠"&amp;INDEX(입력_구리근무자명단!$A$1:$GZ$303,$A22,$G$2+2))))))</f>
        <v/>
      </c>
      <c r="G22" s="28">
        <f>IF($D22="","",IF(INDEX(입력_구리근무자명단!$A$1:$GZ$303,$A22,$G$2+3)="",EOMONTH(출력_요약!$B$3,0),IF(ISNUMBER(INDEX(입력_구리근무자명단!$A$1:$GZ$303,$A22,$G$2+3)),INDEX(입력_구리근무자명단!$A$1:$GZ$303,$A22,$G$2+3),IFERROR(DATE(VALUE(LEFT(INDEX(입력_구리근무자명단!$A$1:$GZ$303,$A22,$G$2+3),4)),VALUE(MID(INDEX(입력_구리근무자명단!$A$1:$GZ$303,$A22,$G$2+3),6,2)),VALUE(MID(INDEX(입력_구리근무자명단!$A$1:$GZ$303,$A22,$G$2+3),9,2))),IFERROR(DATEVALUE(SUBSTITUTE(TRIM(INDEX(입력_구리근무자명단!$A$1:$GZ$303,$A22,$G$2+3)),".","-")),"⚠"&amp;INDEX(입력_구리근무자명단!$A$1:$GZ$303,$A22,$G$2+3))))))</f>
        <v/>
      </c>
      <c r="H22" s="26">
        <f>IF($D22="","",IF(OR(NOT(ISNUMBER($F22)),NOT(ISNUMBER($G22))),0,MAX(0,MIN($G22,EOMONTH(출력_요약!$B$3,0))-MAX($F22,출력_요약!$B$3)+1)))</f>
        <v/>
      </c>
      <c r="I22" s="26">
        <f>IF($D22="","",TRIM(INDEX(입력_구리근무자명단!$A$1:$GZ$303,$A22,$G$2+5)&amp;""))</f>
        <v/>
      </c>
      <c r="J22" s="26">
        <f>IF($D22="","",IF(ISNUMBER(SEARCH("구리독자",$I22)),"구리독자",""))</f>
        <v/>
      </c>
      <c r="K22" s="29">
        <f>IF($D22="","",IF(COUNTIFS(입력_전공의명단!$C$2:$C$401,$D22,입력_전공의명단!$F$2:$F$401,IF(OR($C22="인턴",ISNUMBER(SEARCH("수련교육부",$B22))),"인턴",$B22))=1,MATCH($D22&amp;"|"&amp;IF(OR($C22="인턴",ISNUMBER(SEARCH("수련교육부",$B22))),"인턴",$B22),입력_전공의명단!$AP$2:$AP$401,0),IF(AND(COUNTIFS(입력_전공의명단!$C$2:$C$401,$D22,입력_전공의명단!$F$2:$F$401,IF(OR($C22="인턴",ISNUMBER(SEARCH("수련교육부",$B22))),"인턴",$B22))=0,COUNTIF(입력_전공의명단!$C$2:$C$401,$D22)=1),MATCH($D22,입력_전공의명단!$C$2:$C$401,0),"")))</f>
        <v/>
      </c>
      <c r="L22" s="26">
        <f>IF($D22="","",IF($K22&lt;&gt;"",IF(COUNTIFS(입력_전공의명단!$C$2:$C$401,$D22,입력_전공의명단!$F$2:$F$401,IF(OR($C22="인턴",ISNUMBER(SEARCH("수련교육부",$B22))),"인턴",$B22))=1,"명단 일치","명단 일치(이름만, 과 다름)"),IF(COUNTIF(입력_전공의명단!$C$2:$C$401,$D22)=0,IF(COUNTIF(입력_기본자료!$C$2:$C$1001,$D22)&gt;0,"명단에 없음(기본자료에는 있음)","명단에 없음"),"동명이인 확인")))</f>
        <v/>
      </c>
      <c r="N22" s="8" t="n">
        <v>17</v>
      </c>
      <c r="O22" s="8">
        <f>IF(ISNUMBER(SEARCH("근무예정자",(INDEX(입력_구리근무자명단!$A$3:$GZ$3,1,17)&amp;""))),IFERROR(VALUE(LEFT((INDEX(입력_구리근무자명단!$A$3:$GZ$3,1,17)&amp;""),4))*100+VALUE(MID((INDEX(입력_구리근무자명단!$A$3:$GZ$3,1,17)&amp;""),6,MIN(FIND("월",(INDEX(입력_구리근무자명단!$A$3:$GZ$3,1,17)&amp;"")&amp;"월"),FIND(CHAR(10),(INDEX(입력_구리근무자명단!$A$3:$GZ$3,1,17)&amp;"")&amp;CHAR(10)),FIND(" ",(INDEX(입력_구리근무자명단!$A$3:$GZ$3,1,17)&amp;"")&amp;" "))-6)),""),"")</f>
        <v/>
      </c>
    </row>
    <row r="23">
      <c r="A23" s="29" t="n">
        <v>21</v>
      </c>
      <c r="B23" s="26">
        <f>IF(TRIM(INDEX(입력_구리근무자명단!$A$1:$GZ$303,$A23,1)&amp;"")&lt;&gt;"",TRIM(INDEX(입력_구리근무자명단!$A$1:$GZ$303,$A23,1)&amp;""),B22)</f>
        <v/>
      </c>
      <c r="C23" s="26">
        <f>IF(INDEX(입력_구리근무자명단!$A$1:$GZ$303,$A23,2)="","",INDEX(입력_구리근무자명단!$A$1:$GZ$303,$A23,2))</f>
        <v/>
      </c>
      <c r="D23" s="26">
        <f>IF($G$2="","",TRIM(IF($I$2="확정",INDEX(입력_구리근무자명단!$A$1:$GZ$303,$A23,$G$2+1)&amp;"",INDEX(입력_구리근무자명단!$A$1:$GZ$303,$A23,$G$2+0)&amp;"")))</f>
        <v/>
      </c>
      <c r="E23" s="26">
        <f>IF($D23="","",$I$2)</f>
        <v/>
      </c>
      <c r="F23" s="28">
        <f>IF($D23="","",IF(INDEX(입력_구리근무자명단!$A$1:$GZ$303,$A23,$G$2+2)="",출력_요약!$B$3,IF(ISNUMBER(INDEX(입력_구리근무자명단!$A$1:$GZ$303,$A23,$G$2+2)),INDEX(입력_구리근무자명단!$A$1:$GZ$303,$A23,$G$2+2),IFERROR(DATE(VALUE(LEFT(INDEX(입력_구리근무자명단!$A$1:$GZ$303,$A23,$G$2+2),4)),VALUE(MID(INDEX(입력_구리근무자명단!$A$1:$GZ$303,$A23,$G$2+2),6,2)),VALUE(MID(INDEX(입력_구리근무자명단!$A$1:$GZ$303,$A23,$G$2+2),9,2))),IFERROR(DATEVALUE(SUBSTITUTE(TRIM(INDEX(입력_구리근무자명단!$A$1:$GZ$303,$A23,$G$2+2)),".","-")),"⚠"&amp;INDEX(입력_구리근무자명단!$A$1:$GZ$303,$A23,$G$2+2))))))</f>
        <v/>
      </c>
      <c r="G23" s="28">
        <f>IF($D23="","",IF(INDEX(입력_구리근무자명단!$A$1:$GZ$303,$A23,$G$2+3)="",EOMONTH(출력_요약!$B$3,0),IF(ISNUMBER(INDEX(입력_구리근무자명단!$A$1:$GZ$303,$A23,$G$2+3)),INDEX(입력_구리근무자명단!$A$1:$GZ$303,$A23,$G$2+3),IFERROR(DATE(VALUE(LEFT(INDEX(입력_구리근무자명단!$A$1:$GZ$303,$A23,$G$2+3),4)),VALUE(MID(INDEX(입력_구리근무자명단!$A$1:$GZ$303,$A23,$G$2+3),6,2)),VALUE(MID(INDEX(입력_구리근무자명단!$A$1:$GZ$303,$A23,$G$2+3),9,2))),IFERROR(DATEVALUE(SUBSTITUTE(TRIM(INDEX(입력_구리근무자명단!$A$1:$GZ$303,$A23,$G$2+3)),".","-")),"⚠"&amp;INDEX(입력_구리근무자명단!$A$1:$GZ$303,$A23,$G$2+3))))))</f>
        <v/>
      </c>
      <c r="H23" s="26">
        <f>IF($D23="","",IF(OR(NOT(ISNUMBER($F23)),NOT(ISNUMBER($G23))),0,MAX(0,MIN($G23,EOMONTH(출력_요약!$B$3,0))-MAX($F23,출력_요약!$B$3)+1)))</f>
        <v/>
      </c>
      <c r="I23" s="26">
        <f>IF($D23="","",TRIM(INDEX(입력_구리근무자명단!$A$1:$GZ$303,$A23,$G$2+5)&amp;""))</f>
        <v/>
      </c>
      <c r="J23" s="26">
        <f>IF($D23="","",IF(ISNUMBER(SEARCH("구리독자",$I23)),"구리독자",""))</f>
        <v/>
      </c>
      <c r="K23" s="29">
        <f>IF($D23="","",IF(COUNTIFS(입력_전공의명단!$C$2:$C$401,$D23,입력_전공의명단!$F$2:$F$401,IF(OR($C23="인턴",ISNUMBER(SEARCH("수련교육부",$B23))),"인턴",$B23))=1,MATCH($D23&amp;"|"&amp;IF(OR($C23="인턴",ISNUMBER(SEARCH("수련교육부",$B23))),"인턴",$B23),입력_전공의명단!$AP$2:$AP$401,0),IF(AND(COUNTIFS(입력_전공의명단!$C$2:$C$401,$D23,입력_전공의명단!$F$2:$F$401,IF(OR($C23="인턴",ISNUMBER(SEARCH("수련교육부",$B23))),"인턴",$B23))=0,COUNTIF(입력_전공의명단!$C$2:$C$401,$D23)=1),MATCH($D23,입력_전공의명단!$C$2:$C$401,0),"")))</f>
        <v/>
      </c>
      <c r="L23" s="26">
        <f>IF($D23="","",IF($K23&lt;&gt;"",IF(COUNTIFS(입력_전공의명단!$C$2:$C$401,$D23,입력_전공의명단!$F$2:$F$401,IF(OR($C23="인턴",ISNUMBER(SEARCH("수련교육부",$B23))),"인턴",$B23))=1,"명단 일치","명단 일치(이름만, 과 다름)"),IF(COUNTIF(입력_전공의명단!$C$2:$C$401,$D23)=0,IF(COUNTIF(입력_기본자료!$C$2:$C$1001,$D23)&gt;0,"명단에 없음(기본자료에는 있음)","명단에 없음"),"동명이인 확인")))</f>
        <v/>
      </c>
      <c r="N23" s="8" t="n">
        <v>18</v>
      </c>
      <c r="O23" s="8">
        <f>IF(ISNUMBER(SEARCH("근무예정자",(INDEX(입력_구리근무자명단!$A$3:$GZ$3,1,18)&amp;""))),IFERROR(VALUE(LEFT((INDEX(입력_구리근무자명단!$A$3:$GZ$3,1,18)&amp;""),4))*100+VALUE(MID((INDEX(입력_구리근무자명단!$A$3:$GZ$3,1,18)&amp;""),6,MIN(FIND("월",(INDEX(입력_구리근무자명단!$A$3:$GZ$3,1,18)&amp;"")&amp;"월"),FIND(CHAR(10),(INDEX(입력_구리근무자명단!$A$3:$GZ$3,1,18)&amp;"")&amp;CHAR(10)),FIND(" ",(INDEX(입력_구리근무자명단!$A$3:$GZ$3,1,18)&amp;"")&amp;" "))-6)),""),"")</f>
        <v/>
      </c>
    </row>
    <row r="24">
      <c r="A24" s="29" t="n">
        <v>22</v>
      </c>
      <c r="B24" s="26">
        <f>IF(TRIM(INDEX(입력_구리근무자명단!$A$1:$GZ$303,$A24,1)&amp;"")&lt;&gt;"",TRIM(INDEX(입력_구리근무자명단!$A$1:$GZ$303,$A24,1)&amp;""),B23)</f>
        <v/>
      </c>
      <c r="C24" s="26">
        <f>IF(INDEX(입력_구리근무자명단!$A$1:$GZ$303,$A24,2)="","",INDEX(입력_구리근무자명단!$A$1:$GZ$303,$A24,2))</f>
        <v/>
      </c>
      <c r="D24" s="26">
        <f>IF($G$2="","",TRIM(IF($I$2="확정",INDEX(입력_구리근무자명단!$A$1:$GZ$303,$A24,$G$2+1)&amp;"",INDEX(입력_구리근무자명단!$A$1:$GZ$303,$A24,$G$2+0)&amp;"")))</f>
        <v/>
      </c>
      <c r="E24" s="26">
        <f>IF($D24="","",$I$2)</f>
        <v/>
      </c>
      <c r="F24" s="28">
        <f>IF($D24="","",IF(INDEX(입력_구리근무자명단!$A$1:$GZ$303,$A24,$G$2+2)="",출력_요약!$B$3,IF(ISNUMBER(INDEX(입력_구리근무자명단!$A$1:$GZ$303,$A24,$G$2+2)),INDEX(입력_구리근무자명단!$A$1:$GZ$303,$A24,$G$2+2),IFERROR(DATE(VALUE(LEFT(INDEX(입력_구리근무자명단!$A$1:$GZ$303,$A24,$G$2+2),4)),VALUE(MID(INDEX(입력_구리근무자명단!$A$1:$GZ$303,$A24,$G$2+2),6,2)),VALUE(MID(INDEX(입력_구리근무자명단!$A$1:$GZ$303,$A24,$G$2+2),9,2))),IFERROR(DATEVALUE(SUBSTITUTE(TRIM(INDEX(입력_구리근무자명단!$A$1:$GZ$303,$A24,$G$2+2)),".","-")),"⚠"&amp;INDEX(입력_구리근무자명단!$A$1:$GZ$303,$A24,$G$2+2))))))</f>
        <v/>
      </c>
      <c r="G24" s="28">
        <f>IF($D24="","",IF(INDEX(입력_구리근무자명단!$A$1:$GZ$303,$A24,$G$2+3)="",EOMONTH(출력_요약!$B$3,0),IF(ISNUMBER(INDEX(입력_구리근무자명단!$A$1:$GZ$303,$A24,$G$2+3)),INDEX(입력_구리근무자명단!$A$1:$GZ$303,$A24,$G$2+3),IFERROR(DATE(VALUE(LEFT(INDEX(입력_구리근무자명단!$A$1:$GZ$303,$A24,$G$2+3),4)),VALUE(MID(INDEX(입력_구리근무자명단!$A$1:$GZ$303,$A24,$G$2+3),6,2)),VALUE(MID(INDEX(입력_구리근무자명단!$A$1:$GZ$303,$A24,$G$2+3),9,2))),IFERROR(DATEVALUE(SUBSTITUTE(TRIM(INDEX(입력_구리근무자명단!$A$1:$GZ$303,$A24,$G$2+3)),".","-")),"⚠"&amp;INDEX(입력_구리근무자명단!$A$1:$GZ$303,$A24,$G$2+3))))))</f>
        <v/>
      </c>
      <c r="H24" s="26">
        <f>IF($D24="","",IF(OR(NOT(ISNUMBER($F24)),NOT(ISNUMBER($G24))),0,MAX(0,MIN($G24,EOMONTH(출력_요약!$B$3,0))-MAX($F24,출력_요약!$B$3)+1)))</f>
        <v/>
      </c>
      <c r="I24" s="26">
        <f>IF($D24="","",TRIM(INDEX(입력_구리근무자명단!$A$1:$GZ$303,$A24,$G$2+5)&amp;""))</f>
        <v/>
      </c>
      <c r="J24" s="26">
        <f>IF($D24="","",IF(ISNUMBER(SEARCH("구리독자",$I24)),"구리독자",""))</f>
        <v/>
      </c>
      <c r="K24" s="29">
        <f>IF($D24="","",IF(COUNTIFS(입력_전공의명단!$C$2:$C$401,$D24,입력_전공의명단!$F$2:$F$401,IF(OR($C24="인턴",ISNUMBER(SEARCH("수련교육부",$B24))),"인턴",$B24))=1,MATCH($D24&amp;"|"&amp;IF(OR($C24="인턴",ISNUMBER(SEARCH("수련교육부",$B24))),"인턴",$B24),입력_전공의명단!$AP$2:$AP$401,0),IF(AND(COUNTIFS(입력_전공의명단!$C$2:$C$401,$D24,입력_전공의명단!$F$2:$F$401,IF(OR($C24="인턴",ISNUMBER(SEARCH("수련교육부",$B24))),"인턴",$B24))=0,COUNTIF(입력_전공의명단!$C$2:$C$401,$D24)=1),MATCH($D24,입력_전공의명단!$C$2:$C$401,0),"")))</f>
        <v/>
      </c>
      <c r="L24" s="26">
        <f>IF($D24="","",IF($K24&lt;&gt;"",IF(COUNTIFS(입력_전공의명단!$C$2:$C$401,$D24,입력_전공의명단!$F$2:$F$401,IF(OR($C24="인턴",ISNUMBER(SEARCH("수련교육부",$B24))),"인턴",$B24))=1,"명단 일치","명단 일치(이름만, 과 다름)"),IF(COUNTIF(입력_전공의명단!$C$2:$C$401,$D24)=0,IF(COUNTIF(입력_기본자료!$C$2:$C$1001,$D24)&gt;0,"명단에 없음(기본자료에는 있음)","명단에 없음"),"동명이인 확인")))</f>
        <v/>
      </c>
      <c r="N24" s="8" t="n">
        <v>19</v>
      </c>
      <c r="O24" s="8">
        <f>IF(ISNUMBER(SEARCH("근무예정자",(INDEX(입력_구리근무자명단!$A$3:$GZ$3,1,19)&amp;""))),IFERROR(VALUE(LEFT((INDEX(입력_구리근무자명단!$A$3:$GZ$3,1,19)&amp;""),4))*100+VALUE(MID((INDEX(입력_구리근무자명단!$A$3:$GZ$3,1,19)&amp;""),6,MIN(FIND("월",(INDEX(입력_구리근무자명단!$A$3:$GZ$3,1,19)&amp;"")&amp;"월"),FIND(CHAR(10),(INDEX(입력_구리근무자명단!$A$3:$GZ$3,1,19)&amp;"")&amp;CHAR(10)),FIND(" ",(INDEX(입력_구리근무자명단!$A$3:$GZ$3,1,19)&amp;"")&amp;" "))-6)),""),"")</f>
        <v/>
      </c>
    </row>
    <row r="25">
      <c r="A25" s="29" t="n">
        <v>23</v>
      </c>
      <c r="B25" s="26">
        <f>IF(TRIM(INDEX(입력_구리근무자명단!$A$1:$GZ$303,$A25,1)&amp;"")&lt;&gt;"",TRIM(INDEX(입력_구리근무자명단!$A$1:$GZ$303,$A25,1)&amp;""),B24)</f>
        <v/>
      </c>
      <c r="C25" s="26">
        <f>IF(INDEX(입력_구리근무자명단!$A$1:$GZ$303,$A25,2)="","",INDEX(입력_구리근무자명단!$A$1:$GZ$303,$A25,2))</f>
        <v/>
      </c>
      <c r="D25" s="26">
        <f>IF($G$2="","",TRIM(IF($I$2="확정",INDEX(입력_구리근무자명단!$A$1:$GZ$303,$A25,$G$2+1)&amp;"",INDEX(입력_구리근무자명단!$A$1:$GZ$303,$A25,$G$2+0)&amp;"")))</f>
        <v/>
      </c>
      <c r="E25" s="26">
        <f>IF($D25="","",$I$2)</f>
        <v/>
      </c>
      <c r="F25" s="28">
        <f>IF($D25="","",IF(INDEX(입력_구리근무자명단!$A$1:$GZ$303,$A25,$G$2+2)="",출력_요약!$B$3,IF(ISNUMBER(INDEX(입력_구리근무자명단!$A$1:$GZ$303,$A25,$G$2+2)),INDEX(입력_구리근무자명단!$A$1:$GZ$303,$A25,$G$2+2),IFERROR(DATE(VALUE(LEFT(INDEX(입력_구리근무자명단!$A$1:$GZ$303,$A25,$G$2+2),4)),VALUE(MID(INDEX(입력_구리근무자명단!$A$1:$GZ$303,$A25,$G$2+2),6,2)),VALUE(MID(INDEX(입력_구리근무자명단!$A$1:$GZ$303,$A25,$G$2+2),9,2))),IFERROR(DATEVALUE(SUBSTITUTE(TRIM(INDEX(입력_구리근무자명단!$A$1:$GZ$303,$A25,$G$2+2)),".","-")),"⚠"&amp;INDEX(입력_구리근무자명단!$A$1:$GZ$303,$A25,$G$2+2))))))</f>
        <v/>
      </c>
      <c r="G25" s="28">
        <f>IF($D25="","",IF(INDEX(입력_구리근무자명단!$A$1:$GZ$303,$A25,$G$2+3)="",EOMONTH(출력_요약!$B$3,0),IF(ISNUMBER(INDEX(입력_구리근무자명단!$A$1:$GZ$303,$A25,$G$2+3)),INDEX(입력_구리근무자명단!$A$1:$GZ$303,$A25,$G$2+3),IFERROR(DATE(VALUE(LEFT(INDEX(입력_구리근무자명단!$A$1:$GZ$303,$A25,$G$2+3),4)),VALUE(MID(INDEX(입력_구리근무자명단!$A$1:$GZ$303,$A25,$G$2+3),6,2)),VALUE(MID(INDEX(입력_구리근무자명단!$A$1:$GZ$303,$A25,$G$2+3),9,2))),IFERROR(DATEVALUE(SUBSTITUTE(TRIM(INDEX(입력_구리근무자명단!$A$1:$GZ$303,$A25,$G$2+3)),".","-")),"⚠"&amp;INDEX(입력_구리근무자명단!$A$1:$GZ$303,$A25,$G$2+3))))))</f>
        <v/>
      </c>
      <c r="H25" s="26">
        <f>IF($D25="","",IF(OR(NOT(ISNUMBER($F25)),NOT(ISNUMBER($G25))),0,MAX(0,MIN($G25,EOMONTH(출력_요약!$B$3,0))-MAX($F25,출력_요약!$B$3)+1)))</f>
        <v/>
      </c>
      <c r="I25" s="26">
        <f>IF($D25="","",TRIM(INDEX(입력_구리근무자명단!$A$1:$GZ$303,$A25,$G$2+5)&amp;""))</f>
        <v/>
      </c>
      <c r="J25" s="26">
        <f>IF($D25="","",IF(ISNUMBER(SEARCH("구리독자",$I25)),"구리독자",""))</f>
        <v/>
      </c>
      <c r="K25" s="29">
        <f>IF($D25="","",IF(COUNTIFS(입력_전공의명단!$C$2:$C$401,$D25,입력_전공의명단!$F$2:$F$401,IF(OR($C25="인턴",ISNUMBER(SEARCH("수련교육부",$B25))),"인턴",$B25))=1,MATCH($D25&amp;"|"&amp;IF(OR($C25="인턴",ISNUMBER(SEARCH("수련교육부",$B25))),"인턴",$B25),입력_전공의명단!$AP$2:$AP$401,0),IF(AND(COUNTIFS(입력_전공의명단!$C$2:$C$401,$D25,입력_전공의명단!$F$2:$F$401,IF(OR($C25="인턴",ISNUMBER(SEARCH("수련교육부",$B25))),"인턴",$B25))=0,COUNTIF(입력_전공의명단!$C$2:$C$401,$D25)=1),MATCH($D25,입력_전공의명단!$C$2:$C$401,0),"")))</f>
        <v/>
      </c>
      <c r="L25" s="26">
        <f>IF($D25="","",IF($K25&lt;&gt;"",IF(COUNTIFS(입력_전공의명단!$C$2:$C$401,$D25,입력_전공의명단!$F$2:$F$401,IF(OR($C25="인턴",ISNUMBER(SEARCH("수련교육부",$B25))),"인턴",$B25))=1,"명단 일치","명단 일치(이름만, 과 다름)"),IF(COUNTIF(입력_전공의명단!$C$2:$C$401,$D25)=0,IF(COUNTIF(입력_기본자료!$C$2:$C$1001,$D25)&gt;0,"명단에 없음(기본자료에는 있음)","명단에 없음"),"동명이인 확인")))</f>
        <v/>
      </c>
      <c r="N25" s="8" t="n">
        <v>20</v>
      </c>
      <c r="O25" s="8">
        <f>IF(ISNUMBER(SEARCH("근무예정자",(INDEX(입력_구리근무자명단!$A$3:$GZ$3,1,20)&amp;""))),IFERROR(VALUE(LEFT((INDEX(입력_구리근무자명단!$A$3:$GZ$3,1,20)&amp;""),4))*100+VALUE(MID((INDEX(입력_구리근무자명단!$A$3:$GZ$3,1,20)&amp;""),6,MIN(FIND("월",(INDEX(입력_구리근무자명단!$A$3:$GZ$3,1,20)&amp;"")&amp;"월"),FIND(CHAR(10),(INDEX(입력_구리근무자명단!$A$3:$GZ$3,1,20)&amp;"")&amp;CHAR(10)),FIND(" ",(INDEX(입력_구리근무자명단!$A$3:$GZ$3,1,20)&amp;"")&amp;" "))-6)),""),"")</f>
        <v/>
      </c>
    </row>
    <row r="26">
      <c r="A26" s="29" t="n">
        <v>24</v>
      </c>
      <c r="B26" s="26">
        <f>IF(TRIM(INDEX(입력_구리근무자명단!$A$1:$GZ$303,$A26,1)&amp;"")&lt;&gt;"",TRIM(INDEX(입력_구리근무자명단!$A$1:$GZ$303,$A26,1)&amp;""),B25)</f>
        <v/>
      </c>
      <c r="C26" s="26">
        <f>IF(INDEX(입력_구리근무자명단!$A$1:$GZ$303,$A26,2)="","",INDEX(입력_구리근무자명단!$A$1:$GZ$303,$A26,2))</f>
        <v/>
      </c>
      <c r="D26" s="26">
        <f>IF($G$2="","",TRIM(IF($I$2="확정",INDEX(입력_구리근무자명단!$A$1:$GZ$303,$A26,$G$2+1)&amp;"",INDEX(입력_구리근무자명단!$A$1:$GZ$303,$A26,$G$2+0)&amp;"")))</f>
        <v/>
      </c>
      <c r="E26" s="26">
        <f>IF($D26="","",$I$2)</f>
        <v/>
      </c>
      <c r="F26" s="28">
        <f>IF($D26="","",IF(INDEX(입력_구리근무자명단!$A$1:$GZ$303,$A26,$G$2+2)="",출력_요약!$B$3,IF(ISNUMBER(INDEX(입력_구리근무자명단!$A$1:$GZ$303,$A26,$G$2+2)),INDEX(입력_구리근무자명단!$A$1:$GZ$303,$A26,$G$2+2),IFERROR(DATE(VALUE(LEFT(INDEX(입력_구리근무자명단!$A$1:$GZ$303,$A26,$G$2+2),4)),VALUE(MID(INDEX(입력_구리근무자명단!$A$1:$GZ$303,$A26,$G$2+2),6,2)),VALUE(MID(INDEX(입력_구리근무자명단!$A$1:$GZ$303,$A26,$G$2+2),9,2))),IFERROR(DATEVALUE(SUBSTITUTE(TRIM(INDEX(입력_구리근무자명단!$A$1:$GZ$303,$A26,$G$2+2)),".","-")),"⚠"&amp;INDEX(입력_구리근무자명단!$A$1:$GZ$303,$A26,$G$2+2))))))</f>
        <v/>
      </c>
      <c r="G26" s="28">
        <f>IF($D26="","",IF(INDEX(입력_구리근무자명단!$A$1:$GZ$303,$A26,$G$2+3)="",EOMONTH(출력_요약!$B$3,0),IF(ISNUMBER(INDEX(입력_구리근무자명단!$A$1:$GZ$303,$A26,$G$2+3)),INDEX(입력_구리근무자명단!$A$1:$GZ$303,$A26,$G$2+3),IFERROR(DATE(VALUE(LEFT(INDEX(입력_구리근무자명단!$A$1:$GZ$303,$A26,$G$2+3),4)),VALUE(MID(INDEX(입력_구리근무자명단!$A$1:$GZ$303,$A26,$G$2+3),6,2)),VALUE(MID(INDEX(입력_구리근무자명단!$A$1:$GZ$303,$A26,$G$2+3),9,2))),IFERROR(DATEVALUE(SUBSTITUTE(TRIM(INDEX(입력_구리근무자명단!$A$1:$GZ$303,$A26,$G$2+3)),".","-")),"⚠"&amp;INDEX(입력_구리근무자명단!$A$1:$GZ$303,$A26,$G$2+3))))))</f>
        <v/>
      </c>
      <c r="H26" s="26">
        <f>IF($D26="","",IF(OR(NOT(ISNUMBER($F26)),NOT(ISNUMBER($G26))),0,MAX(0,MIN($G26,EOMONTH(출력_요약!$B$3,0))-MAX($F26,출력_요약!$B$3)+1)))</f>
        <v/>
      </c>
      <c r="I26" s="26">
        <f>IF($D26="","",TRIM(INDEX(입력_구리근무자명단!$A$1:$GZ$303,$A26,$G$2+5)&amp;""))</f>
        <v/>
      </c>
      <c r="J26" s="26">
        <f>IF($D26="","",IF(ISNUMBER(SEARCH("구리독자",$I26)),"구리독자",""))</f>
        <v/>
      </c>
      <c r="K26" s="29">
        <f>IF($D26="","",IF(COUNTIFS(입력_전공의명단!$C$2:$C$401,$D26,입력_전공의명단!$F$2:$F$401,IF(OR($C26="인턴",ISNUMBER(SEARCH("수련교육부",$B26))),"인턴",$B26))=1,MATCH($D26&amp;"|"&amp;IF(OR($C26="인턴",ISNUMBER(SEARCH("수련교육부",$B26))),"인턴",$B26),입력_전공의명단!$AP$2:$AP$401,0),IF(AND(COUNTIFS(입력_전공의명단!$C$2:$C$401,$D26,입력_전공의명단!$F$2:$F$401,IF(OR($C26="인턴",ISNUMBER(SEARCH("수련교육부",$B26))),"인턴",$B26))=0,COUNTIF(입력_전공의명단!$C$2:$C$401,$D26)=1),MATCH($D26,입력_전공의명단!$C$2:$C$401,0),"")))</f>
        <v/>
      </c>
      <c r="L26" s="26">
        <f>IF($D26="","",IF($K26&lt;&gt;"",IF(COUNTIFS(입력_전공의명단!$C$2:$C$401,$D26,입력_전공의명단!$F$2:$F$401,IF(OR($C26="인턴",ISNUMBER(SEARCH("수련교육부",$B26))),"인턴",$B26))=1,"명단 일치","명단 일치(이름만, 과 다름)"),IF(COUNTIF(입력_전공의명단!$C$2:$C$401,$D26)=0,IF(COUNTIF(입력_기본자료!$C$2:$C$1001,$D26)&gt;0,"명단에 없음(기본자료에는 있음)","명단에 없음"),"동명이인 확인")))</f>
        <v/>
      </c>
      <c r="N26" s="8" t="n">
        <v>21</v>
      </c>
      <c r="O26" s="8">
        <f>IF(ISNUMBER(SEARCH("근무예정자",(INDEX(입력_구리근무자명단!$A$3:$GZ$3,1,21)&amp;""))),IFERROR(VALUE(LEFT((INDEX(입력_구리근무자명단!$A$3:$GZ$3,1,21)&amp;""),4))*100+VALUE(MID((INDEX(입력_구리근무자명단!$A$3:$GZ$3,1,21)&amp;""),6,MIN(FIND("월",(INDEX(입력_구리근무자명단!$A$3:$GZ$3,1,21)&amp;"")&amp;"월"),FIND(CHAR(10),(INDEX(입력_구리근무자명단!$A$3:$GZ$3,1,21)&amp;"")&amp;CHAR(10)),FIND(" ",(INDEX(입력_구리근무자명단!$A$3:$GZ$3,1,21)&amp;"")&amp;" "))-6)),""),"")</f>
        <v/>
      </c>
    </row>
    <row r="27">
      <c r="A27" s="29" t="n">
        <v>25</v>
      </c>
      <c r="B27" s="26">
        <f>IF(TRIM(INDEX(입력_구리근무자명단!$A$1:$GZ$303,$A27,1)&amp;"")&lt;&gt;"",TRIM(INDEX(입력_구리근무자명단!$A$1:$GZ$303,$A27,1)&amp;""),B26)</f>
        <v/>
      </c>
      <c r="C27" s="26">
        <f>IF(INDEX(입력_구리근무자명단!$A$1:$GZ$303,$A27,2)="","",INDEX(입력_구리근무자명단!$A$1:$GZ$303,$A27,2))</f>
        <v/>
      </c>
      <c r="D27" s="26">
        <f>IF($G$2="","",TRIM(IF($I$2="확정",INDEX(입력_구리근무자명단!$A$1:$GZ$303,$A27,$G$2+1)&amp;"",INDEX(입력_구리근무자명단!$A$1:$GZ$303,$A27,$G$2+0)&amp;"")))</f>
        <v/>
      </c>
      <c r="E27" s="26">
        <f>IF($D27="","",$I$2)</f>
        <v/>
      </c>
      <c r="F27" s="28">
        <f>IF($D27="","",IF(INDEX(입력_구리근무자명단!$A$1:$GZ$303,$A27,$G$2+2)="",출력_요약!$B$3,IF(ISNUMBER(INDEX(입력_구리근무자명단!$A$1:$GZ$303,$A27,$G$2+2)),INDEX(입력_구리근무자명단!$A$1:$GZ$303,$A27,$G$2+2),IFERROR(DATE(VALUE(LEFT(INDEX(입력_구리근무자명단!$A$1:$GZ$303,$A27,$G$2+2),4)),VALUE(MID(INDEX(입력_구리근무자명단!$A$1:$GZ$303,$A27,$G$2+2),6,2)),VALUE(MID(INDEX(입력_구리근무자명단!$A$1:$GZ$303,$A27,$G$2+2),9,2))),IFERROR(DATEVALUE(SUBSTITUTE(TRIM(INDEX(입력_구리근무자명단!$A$1:$GZ$303,$A27,$G$2+2)),".","-")),"⚠"&amp;INDEX(입력_구리근무자명단!$A$1:$GZ$303,$A27,$G$2+2))))))</f>
        <v/>
      </c>
      <c r="G27" s="28">
        <f>IF($D27="","",IF(INDEX(입력_구리근무자명단!$A$1:$GZ$303,$A27,$G$2+3)="",EOMONTH(출력_요약!$B$3,0),IF(ISNUMBER(INDEX(입력_구리근무자명단!$A$1:$GZ$303,$A27,$G$2+3)),INDEX(입력_구리근무자명단!$A$1:$GZ$303,$A27,$G$2+3),IFERROR(DATE(VALUE(LEFT(INDEX(입력_구리근무자명단!$A$1:$GZ$303,$A27,$G$2+3),4)),VALUE(MID(INDEX(입력_구리근무자명단!$A$1:$GZ$303,$A27,$G$2+3),6,2)),VALUE(MID(INDEX(입력_구리근무자명단!$A$1:$GZ$303,$A27,$G$2+3),9,2))),IFERROR(DATEVALUE(SUBSTITUTE(TRIM(INDEX(입력_구리근무자명단!$A$1:$GZ$303,$A27,$G$2+3)),".","-")),"⚠"&amp;INDEX(입력_구리근무자명단!$A$1:$GZ$303,$A27,$G$2+3))))))</f>
        <v/>
      </c>
      <c r="H27" s="26">
        <f>IF($D27="","",IF(OR(NOT(ISNUMBER($F27)),NOT(ISNUMBER($G27))),0,MAX(0,MIN($G27,EOMONTH(출력_요약!$B$3,0))-MAX($F27,출력_요약!$B$3)+1)))</f>
        <v/>
      </c>
      <c r="I27" s="26">
        <f>IF($D27="","",TRIM(INDEX(입력_구리근무자명단!$A$1:$GZ$303,$A27,$G$2+5)&amp;""))</f>
        <v/>
      </c>
      <c r="J27" s="26">
        <f>IF($D27="","",IF(ISNUMBER(SEARCH("구리독자",$I27)),"구리독자",""))</f>
        <v/>
      </c>
      <c r="K27" s="29">
        <f>IF($D27="","",IF(COUNTIFS(입력_전공의명단!$C$2:$C$401,$D27,입력_전공의명단!$F$2:$F$401,IF(OR($C27="인턴",ISNUMBER(SEARCH("수련교육부",$B27))),"인턴",$B27))=1,MATCH($D27&amp;"|"&amp;IF(OR($C27="인턴",ISNUMBER(SEARCH("수련교육부",$B27))),"인턴",$B27),입력_전공의명단!$AP$2:$AP$401,0),IF(AND(COUNTIFS(입력_전공의명단!$C$2:$C$401,$D27,입력_전공의명단!$F$2:$F$401,IF(OR($C27="인턴",ISNUMBER(SEARCH("수련교육부",$B27))),"인턴",$B27))=0,COUNTIF(입력_전공의명단!$C$2:$C$401,$D27)=1),MATCH($D27,입력_전공의명단!$C$2:$C$401,0),"")))</f>
        <v/>
      </c>
      <c r="L27" s="26">
        <f>IF($D27="","",IF($K27&lt;&gt;"",IF(COUNTIFS(입력_전공의명단!$C$2:$C$401,$D27,입력_전공의명단!$F$2:$F$401,IF(OR($C27="인턴",ISNUMBER(SEARCH("수련교육부",$B27))),"인턴",$B27))=1,"명단 일치","명단 일치(이름만, 과 다름)"),IF(COUNTIF(입력_전공의명단!$C$2:$C$401,$D27)=0,IF(COUNTIF(입력_기본자료!$C$2:$C$1001,$D27)&gt;0,"명단에 없음(기본자료에는 있음)","명단에 없음"),"동명이인 확인")))</f>
        <v/>
      </c>
      <c r="N27" s="8" t="n">
        <v>22</v>
      </c>
      <c r="O27" s="8">
        <f>IF(ISNUMBER(SEARCH("근무예정자",(INDEX(입력_구리근무자명단!$A$3:$GZ$3,1,22)&amp;""))),IFERROR(VALUE(LEFT((INDEX(입력_구리근무자명단!$A$3:$GZ$3,1,22)&amp;""),4))*100+VALUE(MID((INDEX(입력_구리근무자명단!$A$3:$GZ$3,1,22)&amp;""),6,MIN(FIND("월",(INDEX(입력_구리근무자명단!$A$3:$GZ$3,1,22)&amp;"")&amp;"월"),FIND(CHAR(10),(INDEX(입력_구리근무자명단!$A$3:$GZ$3,1,22)&amp;"")&amp;CHAR(10)),FIND(" ",(INDEX(입력_구리근무자명단!$A$3:$GZ$3,1,22)&amp;"")&amp;" "))-6)),""),"")</f>
        <v/>
      </c>
    </row>
    <row r="28">
      <c r="A28" s="29" t="n">
        <v>26</v>
      </c>
      <c r="B28" s="26">
        <f>IF(TRIM(INDEX(입력_구리근무자명단!$A$1:$GZ$303,$A28,1)&amp;"")&lt;&gt;"",TRIM(INDEX(입력_구리근무자명단!$A$1:$GZ$303,$A28,1)&amp;""),B27)</f>
        <v/>
      </c>
      <c r="C28" s="26">
        <f>IF(INDEX(입력_구리근무자명단!$A$1:$GZ$303,$A28,2)="","",INDEX(입력_구리근무자명단!$A$1:$GZ$303,$A28,2))</f>
        <v/>
      </c>
      <c r="D28" s="26">
        <f>IF($G$2="","",TRIM(IF($I$2="확정",INDEX(입력_구리근무자명단!$A$1:$GZ$303,$A28,$G$2+1)&amp;"",INDEX(입력_구리근무자명단!$A$1:$GZ$303,$A28,$G$2+0)&amp;"")))</f>
        <v/>
      </c>
      <c r="E28" s="26">
        <f>IF($D28="","",$I$2)</f>
        <v/>
      </c>
      <c r="F28" s="28">
        <f>IF($D28="","",IF(INDEX(입력_구리근무자명단!$A$1:$GZ$303,$A28,$G$2+2)="",출력_요약!$B$3,IF(ISNUMBER(INDEX(입력_구리근무자명단!$A$1:$GZ$303,$A28,$G$2+2)),INDEX(입력_구리근무자명단!$A$1:$GZ$303,$A28,$G$2+2),IFERROR(DATE(VALUE(LEFT(INDEX(입력_구리근무자명단!$A$1:$GZ$303,$A28,$G$2+2),4)),VALUE(MID(INDEX(입력_구리근무자명단!$A$1:$GZ$303,$A28,$G$2+2),6,2)),VALUE(MID(INDEX(입력_구리근무자명단!$A$1:$GZ$303,$A28,$G$2+2),9,2))),IFERROR(DATEVALUE(SUBSTITUTE(TRIM(INDEX(입력_구리근무자명단!$A$1:$GZ$303,$A28,$G$2+2)),".","-")),"⚠"&amp;INDEX(입력_구리근무자명단!$A$1:$GZ$303,$A28,$G$2+2))))))</f>
        <v/>
      </c>
      <c r="G28" s="28">
        <f>IF($D28="","",IF(INDEX(입력_구리근무자명단!$A$1:$GZ$303,$A28,$G$2+3)="",EOMONTH(출력_요약!$B$3,0),IF(ISNUMBER(INDEX(입력_구리근무자명단!$A$1:$GZ$303,$A28,$G$2+3)),INDEX(입력_구리근무자명단!$A$1:$GZ$303,$A28,$G$2+3),IFERROR(DATE(VALUE(LEFT(INDEX(입력_구리근무자명단!$A$1:$GZ$303,$A28,$G$2+3),4)),VALUE(MID(INDEX(입력_구리근무자명단!$A$1:$GZ$303,$A28,$G$2+3),6,2)),VALUE(MID(INDEX(입력_구리근무자명단!$A$1:$GZ$303,$A28,$G$2+3),9,2))),IFERROR(DATEVALUE(SUBSTITUTE(TRIM(INDEX(입력_구리근무자명단!$A$1:$GZ$303,$A28,$G$2+3)),".","-")),"⚠"&amp;INDEX(입력_구리근무자명단!$A$1:$GZ$303,$A28,$G$2+3))))))</f>
        <v/>
      </c>
      <c r="H28" s="26">
        <f>IF($D28="","",IF(OR(NOT(ISNUMBER($F28)),NOT(ISNUMBER($G28))),0,MAX(0,MIN($G28,EOMONTH(출력_요약!$B$3,0))-MAX($F28,출력_요약!$B$3)+1)))</f>
        <v/>
      </c>
      <c r="I28" s="26">
        <f>IF($D28="","",TRIM(INDEX(입력_구리근무자명단!$A$1:$GZ$303,$A28,$G$2+5)&amp;""))</f>
        <v/>
      </c>
      <c r="J28" s="26">
        <f>IF($D28="","",IF(ISNUMBER(SEARCH("구리독자",$I28)),"구리독자",""))</f>
        <v/>
      </c>
      <c r="K28" s="29">
        <f>IF($D28="","",IF(COUNTIFS(입력_전공의명단!$C$2:$C$401,$D28,입력_전공의명단!$F$2:$F$401,IF(OR($C28="인턴",ISNUMBER(SEARCH("수련교육부",$B28))),"인턴",$B28))=1,MATCH($D28&amp;"|"&amp;IF(OR($C28="인턴",ISNUMBER(SEARCH("수련교육부",$B28))),"인턴",$B28),입력_전공의명단!$AP$2:$AP$401,0),IF(AND(COUNTIFS(입력_전공의명단!$C$2:$C$401,$D28,입력_전공의명단!$F$2:$F$401,IF(OR($C28="인턴",ISNUMBER(SEARCH("수련교육부",$B28))),"인턴",$B28))=0,COUNTIF(입력_전공의명단!$C$2:$C$401,$D28)=1),MATCH($D28,입력_전공의명단!$C$2:$C$401,0),"")))</f>
        <v/>
      </c>
      <c r="L28" s="26">
        <f>IF($D28="","",IF($K28&lt;&gt;"",IF(COUNTIFS(입력_전공의명단!$C$2:$C$401,$D28,입력_전공의명단!$F$2:$F$401,IF(OR($C28="인턴",ISNUMBER(SEARCH("수련교육부",$B28))),"인턴",$B28))=1,"명단 일치","명단 일치(이름만, 과 다름)"),IF(COUNTIF(입력_전공의명단!$C$2:$C$401,$D28)=0,IF(COUNTIF(입력_기본자료!$C$2:$C$1001,$D28)&gt;0,"명단에 없음(기본자료에는 있음)","명단에 없음"),"동명이인 확인")))</f>
        <v/>
      </c>
      <c r="N28" s="8" t="n">
        <v>23</v>
      </c>
      <c r="O28" s="8">
        <f>IF(ISNUMBER(SEARCH("근무예정자",(INDEX(입력_구리근무자명단!$A$3:$GZ$3,1,23)&amp;""))),IFERROR(VALUE(LEFT((INDEX(입력_구리근무자명단!$A$3:$GZ$3,1,23)&amp;""),4))*100+VALUE(MID((INDEX(입력_구리근무자명단!$A$3:$GZ$3,1,23)&amp;""),6,MIN(FIND("월",(INDEX(입력_구리근무자명단!$A$3:$GZ$3,1,23)&amp;"")&amp;"월"),FIND(CHAR(10),(INDEX(입력_구리근무자명단!$A$3:$GZ$3,1,23)&amp;"")&amp;CHAR(10)),FIND(" ",(INDEX(입력_구리근무자명단!$A$3:$GZ$3,1,23)&amp;"")&amp;" "))-6)),""),"")</f>
        <v/>
      </c>
    </row>
    <row r="29">
      <c r="A29" s="29" t="n">
        <v>27</v>
      </c>
      <c r="B29" s="26">
        <f>IF(TRIM(INDEX(입력_구리근무자명단!$A$1:$GZ$303,$A29,1)&amp;"")&lt;&gt;"",TRIM(INDEX(입력_구리근무자명단!$A$1:$GZ$303,$A29,1)&amp;""),B28)</f>
        <v/>
      </c>
      <c r="C29" s="26">
        <f>IF(INDEX(입력_구리근무자명단!$A$1:$GZ$303,$A29,2)="","",INDEX(입력_구리근무자명단!$A$1:$GZ$303,$A29,2))</f>
        <v/>
      </c>
      <c r="D29" s="26">
        <f>IF($G$2="","",TRIM(IF($I$2="확정",INDEX(입력_구리근무자명단!$A$1:$GZ$303,$A29,$G$2+1)&amp;"",INDEX(입력_구리근무자명단!$A$1:$GZ$303,$A29,$G$2+0)&amp;"")))</f>
        <v/>
      </c>
      <c r="E29" s="26">
        <f>IF($D29="","",$I$2)</f>
        <v/>
      </c>
      <c r="F29" s="28">
        <f>IF($D29="","",IF(INDEX(입력_구리근무자명단!$A$1:$GZ$303,$A29,$G$2+2)="",출력_요약!$B$3,IF(ISNUMBER(INDEX(입력_구리근무자명단!$A$1:$GZ$303,$A29,$G$2+2)),INDEX(입력_구리근무자명단!$A$1:$GZ$303,$A29,$G$2+2),IFERROR(DATE(VALUE(LEFT(INDEX(입력_구리근무자명단!$A$1:$GZ$303,$A29,$G$2+2),4)),VALUE(MID(INDEX(입력_구리근무자명단!$A$1:$GZ$303,$A29,$G$2+2),6,2)),VALUE(MID(INDEX(입력_구리근무자명단!$A$1:$GZ$303,$A29,$G$2+2),9,2))),IFERROR(DATEVALUE(SUBSTITUTE(TRIM(INDEX(입력_구리근무자명단!$A$1:$GZ$303,$A29,$G$2+2)),".","-")),"⚠"&amp;INDEX(입력_구리근무자명단!$A$1:$GZ$303,$A29,$G$2+2))))))</f>
        <v/>
      </c>
      <c r="G29" s="28">
        <f>IF($D29="","",IF(INDEX(입력_구리근무자명단!$A$1:$GZ$303,$A29,$G$2+3)="",EOMONTH(출력_요약!$B$3,0),IF(ISNUMBER(INDEX(입력_구리근무자명단!$A$1:$GZ$303,$A29,$G$2+3)),INDEX(입력_구리근무자명단!$A$1:$GZ$303,$A29,$G$2+3),IFERROR(DATE(VALUE(LEFT(INDEX(입력_구리근무자명단!$A$1:$GZ$303,$A29,$G$2+3),4)),VALUE(MID(INDEX(입력_구리근무자명단!$A$1:$GZ$303,$A29,$G$2+3),6,2)),VALUE(MID(INDEX(입력_구리근무자명단!$A$1:$GZ$303,$A29,$G$2+3),9,2))),IFERROR(DATEVALUE(SUBSTITUTE(TRIM(INDEX(입력_구리근무자명단!$A$1:$GZ$303,$A29,$G$2+3)),".","-")),"⚠"&amp;INDEX(입력_구리근무자명단!$A$1:$GZ$303,$A29,$G$2+3))))))</f>
        <v/>
      </c>
      <c r="H29" s="26">
        <f>IF($D29="","",IF(OR(NOT(ISNUMBER($F29)),NOT(ISNUMBER($G29))),0,MAX(0,MIN($G29,EOMONTH(출력_요약!$B$3,0))-MAX($F29,출력_요약!$B$3)+1)))</f>
        <v/>
      </c>
      <c r="I29" s="26">
        <f>IF($D29="","",TRIM(INDEX(입력_구리근무자명단!$A$1:$GZ$303,$A29,$G$2+5)&amp;""))</f>
        <v/>
      </c>
      <c r="J29" s="26">
        <f>IF($D29="","",IF(ISNUMBER(SEARCH("구리독자",$I29)),"구리독자",""))</f>
        <v/>
      </c>
      <c r="K29" s="29">
        <f>IF($D29="","",IF(COUNTIFS(입력_전공의명단!$C$2:$C$401,$D29,입력_전공의명단!$F$2:$F$401,IF(OR($C29="인턴",ISNUMBER(SEARCH("수련교육부",$B29))),"인턴",$B29))=1,MATCH($D29&amp;"|"&amp;IF(OR($C29="인턴",ISNUMBER(SEARCH("수련교육부",$B29))),"인턴",$B29),입력_전공의명단!$AP$2:$AP$401,0),IF(AND(COUNTIFS(입력_전공의명단!$C$2:$C$401,$D29,입력_전공의명단!$F$2:$F$401,IF(OR($C29="인턴",ISNUMBER(SEARCH("수련교육부",$B29))),"인턴",$B29))=0,COUNTIF(입력_전공의명단!$C$2:$C$401,$D29)=1),MATCH($D29,입력_전공의명단!$C$2:$C$401,0),"")))</f>
        <v/>
      </c>
      <c r="L29" s="26">
        <f>IF($D29="","",IF($K29&lt;&gt;"",IF(COUNTIFS(입력_전공의명단!$C$2:$C$401,$D29,입력_전공의명단!$F$2:$F$401,IF(OR($C29="인턴",ISNUMBER(SEARCH("수련교육부",$B29))),"인턴",$B29))=1,"명단 일치","명단 일치(이름만, 과 다름)"),IF(COUNTIF(입력_전공의명단!$C$2:$C$401,$D29)=0,IF(COUNTIF(입력_기본자료!$C$2:$C$1001,$D29)&gt;0,"명단에 없음(기본자료에는 있음)","명단에 없음"),"동명이인 확인")))</f>
        <v/>
      </c>
      <c r="N29" s="8" t="n">
        <v>24</v>
      </c>
      <c r="O29" s="8">
        <f>IF(ISNUMBER(SEARCH("근무예정자",(INDEX(입력_구리근무자명단!$A$3:$GZ$3,1,24)&amp;""))),IFERROR(VALUE(LEFT((INDEX(입력_구리근무자명단!$A$3:$GZ$3,1,24)&amp;""),4))*100+VALUE(MID((INDEX(입력_구리근무자명단!$A$3:$GZ$3,1,24)&amp;""),6,MIN(FIND("월",(INDEX(입력_구리근무자명단!$A$3:$GZ$3,1,24)&amp;"")&amp;"월"),FIND(CHAR(10),(INDEX(입력_구리근무자명단!$A$3:$GZ$3,1,24)&amp;"")&amp;CHAR(10)),FIND(" ",(INDEX(입력_구리근무자명단!$A$3:$GZ$3,1,24)&amp;"")&amp;" "))-6)),""),"")</f>
        <v/>
      </c>
    </row>
    <row r="30">
      <c r="A30" s="29" t="n">
        <v>28</v>
      </c>
      <c r="B30" s="26">
        <f>IF(TRIM(INDEX(입력_구리근무자명단!$A$1:$GZ$303,$A30,1)&amp;"")&lt;&gt;"",TRIM(INDEX(입력_구리근무자명단!$A$1:$GZ$303,$A30,1)&amp;""),B29)</f>
        <v/>
      </c>
      <c r="C30" s="26">
        <f>IF(INDEX(입력_구리근무자명단!$A$1:$GZ$303,$A30,2)="","",INDEX(입력_구리근무자명단!$A$1:$GZ$303,$A30,2))</f>
        <v/>
      </c>
      <c r="D30" s="26">
        <f>IF($G$2="","",TRIM(IF($I$2="확정",INDEX(입력_구리근무자명단!$A$1:$GZ$303,$A30,$G$2+1)&amp;"",INDEX(입력_구리근무자명단!$A$1:$GZ$303,$A30,$G$2+0)&amp;"")))</f>
        <v/>
      </c>
      <c r="E30" s="26">
        <f>IF($D30="","",$I$2)</f>
        <v/>
      </c>
      <c r="F30" s="28">
        <f>IF($D30="","",IF(INDEX(입력_구리근무자명단!$A$1:$GZ$303,$A30,$G$2+2)="",출력_요약!$B$3,IF(ISNUMBER(INDEX(입력_구리근무자명단!$A$1:$GZ$303,$A30,$G$2+2)),INDEX(입력_구리근무자명단!$A$1:$GZ$303,$A30,$G$2+2),IFERROR(DATE(VALUE(LEFT(INDEX(입력_구리근무자명단!$A$1:$GZ$303,$A30,$G$2+2),4)),VALUE(MID(INDEX(입력_구리근무자명단!$A$1:$GZ$303,$A30,$G$2+2),6,2)),VALUE(MID(INDEX(입력_구리근무자명단!$A$1:$GZ$303,$A30,$G$2+2),9,2))),IFERROR(DATEVALUE(SUBSTITUTE(TRIM(INDEX(입력_구리근무자명단!$A$1:$GZ$303,$A30,$G$2+2)),".","-")),"⚠"&amp;INDEX(입력_구리근무자명단!$A$1:$GZ$303,$A30,$G$2+2))))))</f>
        <v/>
      </c>
      <c r="G30" s="28">
        <f>IF($D30="","",IF(INDEX(입력_구리근무자명단!$A$1:$GZ$303,$A30,$G$2+3)="",EOMONTH(출력_요약!$B$3,0),IF(ISNUMBER(INDEX(입력_구리근무자명단!$A$1:$GZ$303,$A30,$G$2+3)),INDEX(입력_구리근무자명단!$A$1:$GZ$303,$A30,$G$2+3),IFERROR(DATE(VALUE(LEFT(INDEX(입력_구리근무자명단!$A$1:$GZ$303,$A30,$G$2+3),4)),VALUE(MID(INDEX(입력_구리근무자명단!$A$1:$GZ$303,$A30,$G$2+3),6,2)),VALUE(MID(INDEX(입력_구리근무자명단!$A$1:$GZ$303,$A30,$G$2+3),9,2))),IFERROR(DATEVALUE(SUBSTITUTE(TRIM(INDEX(입력_구리근무자명단!$A$1:$GZ$303,$A30,$G$2+3)),".","-")),"⚠"&amp;INDEX(입력_구리근무자명단!$A$1:$GZ$303,$A30,$G$2+3))))))</f>
        <v/>
      </c>
      <c r="H30" s="26">
        <f>IF($D30="","",IF(OR(NOT(ISNUMBER($F30)),NOT(ISNUMBER($G30))),0,MAX(0,MIN($G30,EOMONTH(출력_요약!$B$3,0))-MAX($F30,출력_요약!$B$3)+1)))</f>
        <v/>
      </c>
      <c r="I30" s="26">
        <f>IF($D30="","",TRIM(INDEX(입력_구리근무자명단!$A$1:$GZ$303,$A30,$G$2+5)&amp;""))</f>
        <v/>
      </c>
      <c r="J30" s="26">
        <f>IF($D30="","",IF(ISNUMBER(SEARCH("구리독자",$I30)),"구리독자",""))</f>
        <v/>
      </c>
      <c r="K30" s="29">
        <f>IF($D30="","",IF(COUNTIFS(입력_전공의명단!$C$2:$C$401,$D30,입력_전공의명단!$F$2:$F$401,IF(OR($C30="인턴",ISNUMBER(SEARCH("수련교육부",$B30))),"인턴",$B30))=1,MATCH($D30&amp;"|"&amp;IF(OR($C30="인턴",ISNUMBER(SEARCH("수련교육부",$B30))),"인턴",$B30),입력_전공의명단!$AP$2:$AP$401,0),IF(AND(COUNTIFS(입력_전공의명단!$C$2:$C$401,$D30,입력_전공의명단!$F$2:$F$401,IF(OR($C30="인턴",ISNUMBER(SEARCH("수련교육부",$B30))),"인턴",$B30))=0,COUNTIF(입력_전공의명단!$C$2:$C$401,$D30)=1),MATCH($D30,입력_전공의명단!$C$2:$C$401,0),"")))</f>
        <v/>
      </c>
      <c r="L30" s="26">
        <f>IF($D30="","",IF($K30&lt;&gt;"",IF(COUNTIFS(입력_전공의명단!$C$2:$C$401,$D30,입력_전공의명단!$F$2:$F$401,IF(OR($C30="인턴",ISNUMBER(SEARCH("수련교육부",$B30))),"인턴",$B30))=1,"명단 일치","명단 일치(이름만, 과 다름)"),IF(COUNTIF(입력_전공의명단!$C$2:$C$401,$D30)=0,IF(COUNTIF(입력_기본자료!$C$2:$C$1001,$D30)&gt;0,"명단에 없음(기본자료에는 있음)","명단에 없음"),"동명이인 확인")))</f>
        <v/>
      </c>
      <c r="N30" s="8" t="n">
        <v>25</v>
      </c>
      <c r="O30" s="8">
        <f>IF(ISNUMBER(SEARCH("근무예정자",(INDEX(입력_구리근무자명단!$A$3:$GZ$3,1,25)&amp;""))),IFERROR(VALUE(LEFT((INDEX(입력_구리근무자명단!$A$3:$GZ$3,1,25)&amp;""),4))*100+VALUE(MID((INDEX(입력_구리근무자명단!$A$3:$GZ$3,1,25)&amp;""),6,MIN(FIND("월",(INDEX(입력_구리근무자명단!$A$3:$GZ$3,1,25)&amp;"")&amp;"월"),FIND(CHAR(10),(INDEX(입력_구리근무자명단!$A$3:$GZ$3,1,25)&amp;"")&amp;CHAR(10)),FIND(" ",(INDEX(입력_구리근무자명단!$A$3:$GZ$3,1,25)&amp;"")&amp;" "))-6)),""),"")</f>
        <v/>
      </c>
    </row>
    <row r="31">
      <c r="A31" s="29" t="n">
        <v>29</v>
      </c>
      <c r="B31" s="26">
        <f>IF(TRIM(INDEX(입력_구리근무자명단!$A$1:$GZ$303,$A31,1)&amp;"")&lt;&gt;"",TRIM(INDEX(입력_구리근무자명단!$A$1:$GZ$303,$A31,1)&amp;""),B30)</f>
        <v/>
      </c>
      <c r="C31" s="26">
        <f>IF(INDEX(입력_구리근무자명단!$A$1:$GZ$303,$A31,2)="","",INDEX(입력_구리근무자명단!$A$1:$GZ$303,$A31,2))</f>
        <v/>
      </c>
      <c r="D31" s="26">
        <f>IF($G$2="","",TRIM(IF($I$2="확정",INDEX(입력_구리근무자명단!$A$1:$GZ$303,$A31,$G$2+1)&amp;"",INDEX(입력_구리근무자명단!$A$1:$GZ$303,$A31,$G$2+0)&amp;"")))</f>
        <v/>
      </c>
      <c r="E31" s="26">
        <f>IF($D31="","",$I$2)</f>
        <v/>
      </c>
      <c r="F31" s="28">
        <f>IF($D31="","",IF(INDEX(입력_구리근무자명단!$A$1:$GZ$303,$A31,$G$2+2)="",출력_요약!$B$3,IF(ISNUMBER(INDEX(입력_구리근무자명단!$A$1:$GZ$303,$A31,$G$2+2)),INDEX(입력_구리근무자명단!$A$1:$GZ$303,$A31,$G$2+2),IFERROR(DATE(VALUE(LEFT(INDEX(입력_구리근무자명단!$A$1:$GZ$303,$A31,$G$2+2),4)),VALUE(MID(INDEX(입력_구리근무자명단!$A$1:$GZ$303,$A31,$G$2+2),6,2)),VALUE(MID(INDEX(입력_구리근무자명단!$A$1:$GZ$303,$A31,$G$2+2),9,2))),IFERROR(DATEVALUE(SUBSTITUTE(TRIM(INDEX(입력_구리근무자명단!$A$1:$GZ$303,$A31,$G$2+2)),".","-")),"⚠"&amp;INDEX(입력_구리근무자명단!$A$1:$GZ$303,$A31,$G$2+2))))))</f>
        <v/>
      </c>
      <c r="G31" s="28">
        <f>IF($D31="","",IF(INDEX(입력_구리근무자명단!$A$1:$GZ$303,$A31,$G$2+3)="",EOMONTH(출력_요약!$B$3,0),IF(ISNUMBER(INDEX(입력_구리근무자명단!$A$1:$GZ$303,$A31,$G$2+3)),INDEX(입력_구리근무자명단!$A$1:$GZ$303,$A31,$G$2+3),IFERROR(DATE(VALUE(LEFT(INDEX(입력_구리근무자명단!$A$1:$GZ$303,$A31,$G$2+3),4)),VALUE(MID(INDEX(입력_구리근무자명단!$A$1:$GZ$303,$A31,$G$2+3),6,2)),VALUE(MID(INDEX(입력_구리근무자명단!$A$1:$GZ$303,$A31,$G$2+3),9,2))),IFERROR(DATEVALUE(SUBSTITUTE(TRIM(INDEX(입력_구리근무자명단!$A$1:$GZ$303,$A31,$G$2+3)),".","-")),"⚠"&amp;INDEX(입력_구리근무자명단!$A$1:$GZ$303,$A31,$G$2+3))))))</f>
        <v/>
      </c>
      <c r="H31" s="26">
        <f>IF($D31="","",IF(OR(NOT(ISNUMBER($F31)),NOT(ISNUMBER($G31))),0,MAX(0,MIN($G31,EOMONTH(출력_요약!$B$3,0))-MAX($F31,출력_요약!$B$3)+1)))</f>
        <v/>
      </c>
      <c r="I31" s="26">
        <f>IF($D31="","",TRIM(INDEX(입력_구리근무자명단!$A$1:$GZ$303,$A31,$G$2+5)&amp;""))</f>
        <v/>
      </c>
      <c r="J31" s="26">
        <f>IF($D31="","",IF(ISNUMBER(SEARCH("구리독자",$I31)),"구리독자",""))</f>
        <v/>
      </c>
      <c r="K31" s="29">
        <f>IF($D31="","",IF(COUNTIFS(입력_전공의명단!$C$2:$C$401,$D31,입력_전공의명단!$F$2:$F$401,IF(OR($C31="인턴",ISNUMBER(SEARCH("수련교육부",$B31))),"인턴",$B31))=1,MATCH($D31&amp;"|"&amp;IF(OR($C31="인턴",ISNUMBER(SEARCH("수련교육부",$B31))),"인턴",$B31),입력_전공의명단!$AP$2:$AP$401,0),IF(AND(COUNTIFS(입력_전공의명단!$C$2:$C$401,$D31,입력_전공의명단!$F$2:$F$401,IF(OR($C31="인턴",ISNUMBER(SEARCH("수련교육부",$B31))),"인턴",$B31))=0,COUNTIF(입력_전공의명단!$C$2:$C$401,$D31)=1),MATCH($D31,입력_전공의명단!$C$2:$C$401,0),"")))</f>
        <v/>
      </c>
      <c r="L31" s="26">
        <f>IF($D31="","",IF($K31&lt;&gt;"",IF(COUNTIFS(입력_전공의명단!$C$2:$C$401,$D31,입력_전공의명단!$F$2:$F$401,IF(OR($C31="인턴",ISNUMBER(SEARCH("수련교육부",$B31))),"인턴",$B31))=1,"명단 일치","명단 일치(이름만, 과 다름)"),IF(COUNTIF(입력_전공의명단!$C$2:$C$401,$D31)=0,IF(COUNTIF(입력_기본자료!$C$2:$C$1001,$D31)&gt;0,"명단에 없음(기본자료에는 있음)","명단에 없음"),"동명이인 확인")))</f>
        <v/>
      </c>
      <c r="N31" s="8" t="n">
        <v>26</v>
      </c>
      <c r="O31" s="8">
        <f>IF(ISNUMBER(SEARCH("근무예정자",(INDEX(입력_구리근무자명단!$A$3:$GZ$3,1,26)&amp;""))),IFERROR(VALUE(LEFT((INDEX(입력_구리근무자명단!$A$3:$GZ$3,1,26)&amp;""),4))*100+VALUE(MID((INDEX(입력_구리근무자명단!$A$3:$GZ$3,1,26)&amp;""),6,MIN(FIND("월",(INDEX(입력_구리근무자명단!$A$3:$GZ$3,1,26)&amp;"")&amp;"월"),FIND(CHAR(10),(INDEX(입력_구리근무자명단!$A$3:$GZ$3,1,26)&amp;"")&amp;CHAR(10)),FIND(" ",(INDEX(입력_구리근무자명단!$A$3:$GZ$3,1,26)&amp;"")&amp;" "))-6)),""),"")</f>
        <v/>
      </c>
    </row>
    <row r="32">
      <c r="A32" s="29" t="n">
        <v>30</v>
      </c>
      <c r="B32" s="26">
        <f>IF(TRIM(INDEX(입력_구리근무자명단!$A$1:$GZ$303,$A32,1)&amp;"")&lt;&gt;"",TRIM(INDEX(입력_구리근무자명단!$A$1:$GZ$303,$A32,1)&amp;""),B31)</f>
        <v/>
      </c>
      <c r="C32" s="26">
        <f>IF(INDEX(입력_구리근무자명단!$A$1:$GZ$303,$A32,2)="","",INDEX(입력_구리근무자명단!$A$1:$GZ$303,$A32,2))</f>
        <v/>
      </c>
      <c r="D32" s="26">
        <f>IF($G$2="","",TRIM(IF($I$2="확정",INDEX(입력_구리근무자명단!$A$1:$GZ$303,$A32,$G$2+1)&amp;"",INDEX(입력_구리근무자명단!$A$1:$GZ$303,$A32,$G$2+0)&amp;"")))</f>
        <v/>
      </c>
      <c r="E32" s="26">
        <f>IF($D32="","",$I$2)</f>
        <v/>
      </c>
      <c r="F32" s="28">
        <f>IF($D32="","",IF(INDEX(입력_구리근무자명단!$A$1:$GZ$303,$A32,$G$2+2)="",출력_요약!$B$3,IF(ISNUMBER(INDEX(입력_구리근무자명단!$A$1:$GZ$303,$A32,$G$2+2)),INDEX(입력_구리근무자명단!$A$1:$GZ$303,$A32,$G$2+2),IFERROR(DATE(VALUE(LEFT(INDEX(입력_구리근무자명단!$A$1:$GZ$303,$A32,$G$2+2),4)),VALUE(MID(INDEX(입력_구리근무자명단!$A$1:$GZ$303,$A32,$G$2+2),6,2)),VALUE(MID(INDEX(입력_구리근무자명단!$A$1:$GZ$303,$A32,$G$2+2),9,2))),IFERROR(DATEVALUE(SUBSTITUTE(TRIM(INDEX(입력_구리근무자명단!$A$1:$GZ$303,$A32,$G$2+2)),".","-")),"⚠"&amp;INDEX(입력_구리근무자명단!$A$1:$GZ$303,$A32,$G$2+2))))))</f>
        <v/>
      </c>
      <c r="G32" s="28">
        <f>IF($D32="","",IF(INDEX(입력_구리근무자명단!$A$1:$GZ$303,$A32,$G$2+3)="",EOMONTH(출력_요약!$B$3,0),IF(ISNUMBER(INDEX(입력_구리근무자명단!$A$1:$GZ$303,$A32,$G$2+3)),INDEX(입력_구리근무자명단!$A$1:$GZ$303,$A32,$G$2+3),IFERROR(DATE(VALUE(LEFT(INDEX(입력_구리근무자명단!$A$1:$GZ$303,$A32,$G$2+3),4)),VALUE(MID(INDEX(입력_구리근무자명단!$A$1:$GZ$303,$A32,$G$2+3),6,2)),VALUE(MID(INDEX(입력_구리근무자명단!$A$1:$GZ$303,$A32,$G$2+3),9,2))),IFERROR(DATEVALUE(SUBSTITUTE(TRIM(INDEX(입력_구리근무자명단!$A$1:$GZ$303,$A32,$G$2+3)),".","-")),"⚠"&amp;INDEX(입력_구리근무자명단!$A$1:$GZ$303,$A32,$G$2+3))))))</f>
        <v/>
      </c>
      <c r="H32" s="26">
        <f>IF($D32="","",IF(OR(NOT(ISNUMBER($F32)),NOT(ISNUMBER($G32))),0,MAX(0,MIN($G32,EOMONTH(출력_요약!$B$3,0))-MAX($F32,출력_요약!$B$3)+1)))</f>
        <v/>
      </c>
      <c r="I32" s="26">
        <f>IF($D32="","",TRIM(INDEX(입력_구리근무자명단!$A$1:$GZ$303,$A32,$G$2+5)&amp;""))</f>
        <v/>
      </c>
      <c r="J32" s="26">
        <f>IF($D32="","",IF(ISNUMBER(SEARCH("구리독자",$I32)),"구리독자",""))</f>
        <v/>
      </c>
      <c r="K32" s="29">
        <f>IF($D32="","",IF(COUNTIFS(입력_전공의명단!$C$2:$C$401,$D32,입력_전공의명단!$F$2:$F$401,IF(OR($C32="인턴",ISNUMBER(SEARCH("수련교육부",$B32))),"인턴",$B32))=1,MATCH($D32&amp;"|"&amp;IF(OR($C32="인턴",ISNUMBER(SEARCH("수련교육부",$B32))),"인턴",$B32),입력_전공의명단!$AP$2:$AP$401,0),IF(AND(COUNTIFS(입력_전공의명단!$C$2:$C$401,$D32,입력_전공의명단!$F$2:$F$401,IF(OR($C32="인턴",ISNUMBER(SEARCH("수련교육부",$B32))),"인턴",$B32))=0,COUNTIF(입력_전공의명단!$C$2:$C$401,$D32)=1),MATCH($D32,입력_전공의명단!$C$2:$C$401,0),"")))</f>
        <v/>
      </c>
      <c r="L32" s="26">
        <f>IF($D32="","",IF($K32&lt;&gt;"",IF(COUNTIFS(입력_전공의명단!$C$2:$C$401,$D32,입력_전공의명단!$F$2:$F$401,IF(OR($C32="인턴",ISNUMBER(SEARCH("수련교육부",$B32))),"인턴",$B32))=1,"명단 일치","명단 일치(이름만, 과 다름)"),IF(COUNTIF(입력_전공의명단!$C$2:$C$401,$D32)=0,IF(COUNTIF(입력_기본자료!$C$2:$C$1001,$D32)&gt;0,"명단에 없음(기본자료에는 있음)","명단에 없음"),"동명이인 확인")))</f>
        <v/>
      </c>
      <c r="N32" s="8" t="n">
        <v>27</v>
      </c>
      <c r="O32" s="8">
        <f>IF(ISNUMBER(SEARCH("근무예정자",(INDEX(입력_구리근무자명단!$A$3:$GZ$3,1,27)&amp;""))),IFERROR(VALUE(LEFT((INDEX(입력_구리근무자명단!$A$3:$GZ$3,1,27)&amp;""),4))*100+VALUE(MID((INDEX(입력_구리근무자명단!$A$3:$GZ$3,1,27)&amp;""),6,MIN(FIND("월",(INDEX(입력_구리근무자명단!$A$3:$GZ$3,1,27)&amp;"")&amp;"월"),FIND(CHAR(10),(INDEX(입력_구리근무자명단!$A$3:$GZ$3,1,27)&amp;"")&amp;CHAR(10)),FIND(" ",(INDEX(입력_구리근무자명단!$A$3:$GZ$3,1,27)&amp;"")&amp;" "))-6)),""),"")</f>
        <v/>
      </c>
    </row>
    <row r="33">
      <c r="A33" s="29" t="n">
        <v>31</v>
      </c>
      <c r="B33" s="26">
        <f>IF(TRIM(INDEX(입력_구리근무자명단!$A$1:$GZ$303,$A33,1)&amp;"")&lt;&gt;"",TRIM(INDEX(입력_구리근무자명단!$A$1:$GZ$303,$A33,1)&amp;""),B32)</f>
        <v/>
      </c>
      <c r="C33" s="26">
        <f>IF(INDEX(입력_구리근무자명단!$A$1:$GZ$303,$A33,2)="","",INDEX(입력_구리근무자명단!$A$1:$GZ$303,$A33,2))</f>
        <v/>
      </c>
      <c r="D33" s="26">
        <f>IF($G$2="","",TRIM(IF($I$2="확정",INDEX(입력_구리근무자명단!$A$1:$GZ$303,$A33,$G$2+1)&amp;"",INDEX(입력_구리근무자명단!$A$1:$GZ$303,$A33,$G$2+0)&amp;"")))</f>
        <v/>
      </c>
      <c r="E33" s="26">
        <f>IF($D33="","",$I$2)</f>
        <v/>
      </c>
      <c r="F33" s="28">
        <f>IF($D33="","",IF(INDEX(입력_구리근무자명단!$A$1:$GZ$303,$A33,$G$2+2)="",출력_요약!$B$3,IF(ISNUMBER(INDEX(입력_구리근무자명단!$A$1:$GZ$303,$A33,$G$2+2)),INDEX(입력_구리근무자명단!$A$1:$GZ$303,$A33,$G$2+2),IFERROR(DATE(VALUE(LEFT(INDEX(입력_구리근무자명단!$A$1:$GZ$303,$A33,$G$2+2),4)),VALUE(MID(INDEX(입력_구리근무자명단!$A$1:$GZ$303,$A33,$G$2+2),6,2)),VALUE(MID(INDEX(입력_구리근무자명단!$A$1:$GZ$303,$A33,$G$2+2),9,2))),IFERROR(DATEVALUE(SUBSTITUTE(TRIM(INDEX(입력_구리근무자명단!$A$1:$GZ$303,$A33,$G$2+2)),".","-")),"⚠"&amp;INDEX(입력_구리근무자명단!$A$1:$GZ$303,$A33,$G$2+2))))))</f>
        <v/>
      </c>
      <c r="G33" s="28">
        <f>IF($D33="","",IF(INDEX(입력_구리근무자명단!$A$1:$GZ$303,$A33,$G$2+3)="",EOMONTH(출력_요약!$B$3,0),IF(ISNUMBER(INDEX(입력_구리근무자명단!$A$1:$GZ$303,$A33,$G$2+3)),INDEX(입력_구리근무자명단!$A$1:$GZ$303,$A33,$G$2+3),IFERROR(DATE(VALUE(LEFT(INDEX(입력_구리근무자명단!$A$1:$GZ$303,$A33,$G$2+3),4)),VALUE(MID(INDEX(입력_구리근무자명단!$A$1:$GZ$303,$A33,$G$2+3),6,2)),VALUE(MID(INDEX(입력_구리근무자명단!$A$1:$GZ$303,$A33,$G$2+3),9,2))),IFERROR(DATEVALUE(SUBSTITUTE(TRIM(INDEX(입력_구리근무자명단!$A$1:$GZ$303,$A33,$G$2+3)),".","-")),"⚠"&amp;INDEX(입력_구리근무자명단!$A$1:$GZ$303,$A33,$G$2+3))))))</f>
        <v/>
      </c>
      <c r="H33" s="26">
        <f>IF($D33="","",IF(OR(NOT(ISNUMBER($F33)),NOT(ISNUMBER($G33))),0,MAX(0,MIN($G33,EOMONTH(출력_요약!$B$3,0))-MAX($F33,출력_요약!$B$3)+1)))</f>
        <v/>
      </c>
      <c r="I33" s="26">
        <f>IF($D33="","",TRIM(INDEX(입력_구리근무자명단!$A$1:$GZ$303,$A33,$G$2+5)&amp;""))</f>
        <v/>
      </c>
      <c r="J33" s="26">
        <f>IF($D33="","",IF(ISNUMBER(SEARCH("구리독자",$I33)),"구리독자",""))</f>
        <v/>
      </c>
      <c r="K33" s="29">
        <f>IF($D33="","",IF(COUNTIFS(입력_전공의명단!$C$2:$C$401,$D33,입력_전공의명단!$F$2:$F$401,IF(OR($C33="인턴",ISNUMBER(SEARCH("수련교육부",$B33))),"인턴",$B33))=1,MATCH($D33&amp;"|"&amp;IF(OR($C33="인턴",ISNUMBER(SEARCH("수련교육부",$B33))),"인턴",$B33),입력_전공의명단!$AP$2:$AP$401,0),IF(AND(COUNTIFS(입력_전공의명단!$C$2:$C$401,$D33,입력_전공의명단!$F$2:$F$401,IF(OR($C33="인턴",ISNUMBER(SEARCH("수련교육부",$B33))),"인턴",$B33))=0,COUNTIF(입력_전공의명단!$C$2:$C$401,$D33)=1),MATCH($D33,입력_전공의명단!$C$2:$C$401,0),"")))</f>
        <v/>
      </c>
      <c r="L33" s="26">
        <f>IF($D33="","",IF($K33&lt;&gt;"",IF(COUNTIFS(입력_전공의명단!$C$2:$C$401,$D33,입력_전공의명단!$F$2:$F$401,IF(OR($C33="인턴",ISNUMBER(SEARCH("수련교육부",$B33))),"인턴",$B33))=1,"명단 일치","명단 일치(이름만, 과 다름)"),IF(COUNTIF(입력_전공의명단!$C$2:$C$401,$D33)=0,IF(COUNTIF(입력_기본자료!$C$2:$C$1001,$D33)&gt;0,"명단에 없음(기본자료에는 있음)","명단에 없음"),"동명이인 확인")))</f>
        <v/>
      </c>
      <c r="N33" s="8" t="n">
        <v>28</v>
      </c>
      <c r="O33" s="8">
        <f>IF(ISNUMBER(SEARCH("근무예정자",(INDEX(입력_구리근무자명단!$A$3:$GZ$3,1,28)&amp;""))),IFERROR(VALUE(LEFT((INDEX(입력_구리근무자명단!$A$3:$GZ$3,1,28)&amp;""),4))*100+VALUE(MID((INDEX(입력_구리근무자명단!$A$3:$GZ$3,1,28)&amp;""),6,MIN(FIND("월",(INDEX(입력_구리근무자명단!$A$3:$GZ$3,1,28)&amp;"")&amp;"월"),FIND(CHAR(10),(INDEX(입력_구리근무자명단!$A$3:$GZ$3,1,28)&amp;"")&amp;CHAR(10)),FIND(" ",(INDEX(입력_구리근무자명단!$A$3:$GZ$3,1,28)&amp;"")&amp;" "))-6)),""),"")</f>
        <v/>
      </c>
    </row>
    <row r="34">
      <c r="A34" s="29" t="n">
        <v>32</v>
      </c>
      <c r="B34" s="26">
        <f>IF(TRIM(INDEX(입력_구리근무자명단!$A$1:$GZ$303,$A34,1)&amp;"")&lt;&gt;"",TRIM(INDEX(입력_구리근무자명단!$A$1:$GZ$303,$A34,1)&amp;""),B33)</f>
        <v/>
      </c>
      <c r="C34" s="26">
        <f>IF(INDEX(입력_구리근무자명단!$A$1:$GZ$303,$A34,2)="","",INDEX(입력_구리근무자명단!$A$1:$GZ$303,$A34,2))</f>
        <v/>
      </c>
      <c r="D34" s="26">
        <f>IF($G$2="","",TRIM(IF($I$2="확정",INDEX(입력_구리근무자명단!$A$1:$GZ$303,$A34,$G$2+1)&amp;"",INDEX(입력_구리근무자명단!$A$1:$GZ$303,$A34,$G$2+0)&amp;"")))</f>
        <v/>
      </c>
      <c r="E34" s="26">
        <f>IF($D34="","",$I$2)</f>
        <v/>
      </c>
      <c r="F34" s="28">
        <f>IF($D34="","",IF(INDEX(입력_구리근무자명단!$A$1:$GZ$303,$A34,$G$2+2)="",출력_요약!$B$3,IF(ISNUMBER(INDEX(입력_구리근무자명단!$A$1:$GZ$303,$A34,$G$2+2)),INDEX(입력_구리근무자명단!$A$1:$GZ$303,$A34,$G$2+2),IFERROR(DATE(VALUE(LEFT(INDEX(입력_구리근무자명단!$A$1:$GZ$303,$A34,$G$2+2),4)),VALUE(MID(INDEX(입력_구리근무자명단!$A$1:$GZ$303,$A34,$G$2+2),6,2)),VALUE(MID(INDEX(입력_구리근무자명단!$A$1:$GZ$303,$A34,$G$2+2),9,2))),IFERROR(DATEVALUE(SUBSTITUTE(TRIM(INDEX(입력_구리근무자명단!$A$1:$GZ$303,$A34,$G$2+2)),".","-")),"⚠"&amp;INDEX(입력_구리근무자명단!$A$1:$GZ$303,$A34,$G$2+2))))))</f>
        <v/>
      </c>
      <c r="G34" s="28">
        <f>IF($D34="","",IF(INDEX(입력_구리근무자명단!$A$1:$GZ$303,$A34,$G$2+3)="",EOMONTH(출력_요약!$B$3,0),IF(ISNUMBER(INDEX(입력_구리근무자명단!$A$1:$GZ$303,$A34,$G$2+3)),INDEX(입력_구리근무자명단!$A$1:$GZ$303,$A34,$G$2+3),IFERROR(DATE(VALUE(LEFT(INDEX(입력_구리근무자명단!$A$1:$GZ$303,$A34,$G$2+3),4)),VALUE(MID(INDEX(입력_구리근무자명단!$A$1:$GZ$303,$A34,$G$2+3),6,2)),VALUE(MID(INDEX(입력_구리근무자명단!$A$1:$GZ$303,$A34,$G$2+3),9,2))),IFERROR(DATEVALUE(SUBSTITUTE(TRIM(INDEX(입력_구리근무자명단!$A$1:$GZ$303,$A34,$G$2+3)),".","-")),"⚠"&amp;INDEX(입력_구리근무자명단!$A$1:$GZ$303,$A34,$G$2+3))))))</f>
        <v/>
      </c>
      <c r="H34" s="26">
        <f>IF($D34="","",IF(OR(NOT(ISNUMBER($F34)),NOT(ISNUMBER($G34))),0,MAX(0,MIN($G34,EOMONTH(출력_요약!$B$3,0))-MAX($F34,출력_요약!$B$3)+1)))</f>
        <v/>
      </c>
      <c r="I34" s="26">
        <f>IF($D34="","",TRIM(INDEX(입력_구리근무자명단!$A$1:$GZ$303,$A34,$G$2+5)&amp;""))</f>
        <v/>
      </c>
      <c r="J34" s="26">
        <f>IF($D34="","",IF(ISNUMBER(SEARCH("구리독자",$I34)),"구리독자",""))</f>
        <v/>
      </c>
      <c r="K34" s="29">
        <f>IF($D34="","",IF(COUNTIFS(입력_전공의명단!$C$2:$C$401,$D34,입력_전공의명단!$F$2:$F$401,IF(OR($C34="인턴",ISNUMBER(SEARCH("수련교육부",$B34))),"인턴",$B34))=1,MATCH($D34&amp;"|"&amp;IF(OR($C34="인턴",ISNUMBER(SEARCH("수련교육부",$B34))),"인턴",$B34),입력_전공의명단!$AP$2:$AP$401,0),IF(AND(COUNTIFS(입력_전공의명단!$C$2:$C$401,$D34,입력_전공의명단!$F$2:$F$401,IF(OR($C34="인턴",ISNUMBER(SEARCH("수련교육부",$B34))),"인턴",$B34))=0,COUNTIF(입력_전공의명단!$C$2:$C$401,$D34)=1),MATCH($D34,입력_전공의명단!$C$2:$C$401,0),"")))</f>
        <v/>
      </c>
      <c r="L34" s="26">
        <f>IF($D34="","",IF($K34&lt;&gt;"",IF(COUNTIFS(입력_전공의명단!$C$2:$C$401,$D34,입력_전공의명단!$F$2:$F$401,IF(OR($C34="인턴",ISNUMBER(SEARCH("수련교육부",$B34))),"인턴",$B34))=1,"명단 일치","명단 일치(이름만, 과 다름)"),IF(COUNTIF(입력_전공의명단!$C$2:$C$401,$D34)=0,IF(COUNTIF(입력_기본자료!$C$2:$C$1001,$D34)&gt;0,"명단에 없음(기본자료에는 있음)","명단에 없음"),"동명이인 확인")))</f>
        <v/>
      </c>
      <c r="N34" s="8" t="n">
        <v>29</v>
      </c>
      <c r="O34" s="8">
        <f>IF(ISNUMBER(SEARCH("근무예정자",(INDEX(입력_구리근무자명단!$A$3:$GZ$3,1,29)&amp;""))),IFERROR(VALUE(LEFT((INDEX(입력_구리근무자명단!$A$3:$GZ$3,1,29)&amp;""),4))*100+VALUE(MID((INDEX(입력_구리근무자명단!$A$3:$GZ$3,1,29)&amp;""),6,MIN(FIND("월",(INDEX(입력_구리근무자명단!$A$3:$GZ$3,1,29)&amp;"")&amp;"월"),FIND(CHAR(10),(INDEX(입력_구리근무자명단!$A$3:$GZ$3,1,29)&amp;"")&amp;CHAR(10)),FIND(" ",(INDEX(입력_구리근무자명단!$A$3:$GZ$3,1,29)&amp;"")&amp;" "))-6)),""),"")</f>
        <v/>
      </c>
    </row>
    <row r="35">
      <c r="A35" s="29" t="n">
        <v>33</v>
      </c>
      <c r="B35" s="26">
        <f>IF(TRIM(INDEX(입력_구리근무자명단!$A$1:$GZ$303,$A35,1)&amp;"")&lt;&gt;"",TRIM(INDEX(입력_구리근무자명단!$A$1:$GZ$303,$A35,1)&amp;""),B34)</f>
        <v/>
      </c>
      <c r="C35" s="26">
        <f>IF(INDEX(입력_구리근무자명단!$A$1:$GZ$303,$A35,2)="","",INDEX(입력_구리근무자명단!$A$1:$GZ$303,$A35,2))</f>
        <v/>
      </c>
      <c r="D35" s="26">
        <f>IF($G$2="","",TRIM(IF($I$2="확정",INDEX(입력_구리근무자명단!$A$1:$GZ$303,$A35,$G$2+1)&amp;"",INDEX(입력_구리근무자명단!$A$1:$GZ$303,$A35,$G$2+0)&amp;"")))</f>
        <v/>
      </c>
      <c r="E35" s="26">
        <f>IF($D35="","",$I$2)</f>
        <v/>
      </c>
      <c r="F35" s="28">
        <f>IF($D35="","",IF(INDEX(입력_구리근무자명단!$A$1:$GZ$303,$A35,$G$2+2)="",출력_요약!$B$3,IF(ISNUMBER(INDEX(입력_구리근무자명단!$A$1:$GZ$303,$A35,$G$2+2)),INDEX(입력_구리근무자명단!$A$1:$GZ$303,$A35,$G$2+2),IFERROR(DATE(VALUE(LEFT(INDEX(입력_구리근무자명단!$A$1:$GZ$303,$A35,$G$2+2),4)),VALUE(MID(INDEX(입력_구리근무자명단!$A$1:$GZ$303,$A35,$G$2+2),6,2)),VALUE(MID(INDEX(입력_구리근무자명단!$A$1:$GZ$303,$A35,$G$2+2),9,2))),IFERROR(DATEVALUE(SUBSTITUTE(TRIM(INDEX(입력_구리근무자명단!$A$1:$GZ$303,$A35,$G$2+2)),".","-")),"⚠"&amp;INDEX(입력_구리근무자명단!$A$1:$GZ$303,$A35,$G$2+2))))))</f>
        <v/>
      </c>
      <c r="G35" s="28">
        <f>IF($D35="","",IF(INDEX(입력_구리근무자명단!$A$1:$GZ$303,$A35,$G$2+3)="",EOMONTH(출력_요약!$B$3,0),IF(ISNUMBER(INDEX(입력_구리근무자명단!$A$1:$GZ$303,$A35,$G$2+3)),INDEX(입력_구리근무자명단!$A$1:$GZ$303,$A35,$G$2+3),IFERROR(DATE(VALUE(LEFT(INDEX(입력_구리근무자명단!$A$1:$GZ$303,$A35,$G$2+3),4)),VALUE(MID(INDEX(입력_구리근무자명단!$A$1:$GZ$303,$A35,$G$2+3),6,2)),VALUE(MID(INDEX(입력_구리근무자명단!$A$1:$GZ$303,$A35,$G$2+3),9,2))),IFERROR(DATEVALUE(SUBSTITUTE(TRIM(INDEX(입력_구리근무자명단!$A$1:$GZ$303,$A35,$G$2+3)),".","-")),"⚠"&amp;INDEX(입력_구리근무자명단!$A$1:$GZ$303,$A35,$G$2+3))))))</f>
        <v/>
      </c>
      <c r="H35" s="26">
        <f>IF($D35="","",IF(OR(NOT(ISNUMBER($F35)),NOT(ISNUMBER($G35))),0,MAX(0,MIN($G35,EOMONTH(출력_요약!$B$3,0))-MAX($F35,출력_요약!$B$3)+1)))</f>
        <v/>
      </c>
      <c r="I35" s="26">
        <f>IF($D35="","",TRIM(INDEX(입력_구리근무자명단!$A$1:$GZ$303,$A35,$G$2+5)&amp;""))</f>
        <v/>
      </c>
      <c r="J35" s="26">
        <f>IF($D35="","",IF(ISNUMBER(SEARCH("구리독자",$I35)),"구리독자",""))</f>
        <v/>
      </c>
      <c r="K35" s="29">
        <f>IF($D35="","",IF(COUNTIFS(입력_전공의명단!$C$2:$C$401,$D35,입력_전공의명단!$F$2:$F$401,IF(OR($C35="인턴",ISNUMBER(SEARCH("수련교육부",$B35))),"인턴",$B35))=1,MATCH($D35&amp;"|"&amp;IF(OR($C35="인턴",ISNUMBER(SEARCH("수련교육부",$B35))),"인턴",$B35),입력_전공의명단!$AP$2:$AP$401,0),IF(AND(COUNTIFS(입력_전공의명단!$C$2:$C$401,$D35,입력_전공의명단!$F$2:$F$401,IF(OR($C35="인턴",ISNUMBER(SEARCH("수련교육부",$B35))),"인턴",$B35))=0,COUNTIF(입력_전공의명단!$C$2:$C$401,$D35)=1),MATCH($D35,입력_전공의명단!$C$2:$C$401,0),"")))</f>
        <v/>
      </c>
      <c r="L35" s="26">
        <f>IF($D35="","",IF($K35&lt;&gt;"",IF(COUNTIFS(입력_전공의명단!$C$2:$C$401,$D35,입력_전공의명단!$F$2:$F$401,IF(OR($C35="인턴",ISNUMBER(SEARCH("수련교육부",$B35))),"인턴",$B35))=1,"명단 일치","명단 일치(이름만, 과 다름)"),IF(COUNTIF(입력_전공의명단!$C$2:$C$401,$D35)=0,IF(COUNTIF(입력_기본자료!$C$2:$C$1001,$D35)&gt;0,"명단에 없음(기본자료에는 있음)","명단에 없음"),"동명이인 확인")))</f>
        <v/>
      </c>
      <c r="N35" s="8" t="n">
        <v>30</v>
      </c>
      <c r="O35" s="8">
        <f>IF(ISNUMBER(SEARCH("근무예정자",(INDEX(입력_구리근무자명단!$A$3:$GZ$3,1,30)&amp;""))),IFERROR(VALUE(LEFT((INDEX(입력_구리근무자명단!$A$3:$GZ$3,1,30)&amp;""),4))*100+VALUE(MID((INDEX(입력_구리근무자명단!$A$3:$GZ$3,1,30)&amp;""),6,MIN(FIND("월",(INDEX(입력_구리근무자명단!$A$3:$GZ$3,1,30)&amp;"")&amp;"월"),FIND(CHAR(10),(INDEX(입력_구리근무자명단!$A$3:$GZ$3,1,30)&amp;"")&amp;CHAR(10)),FIND(" ",(INDEX(입력_구리근무자명단!$A$3:$GZ$3,1,30)&amp;"")&amp;" "))-6)),""),"")</f>
        <v/>
      </c>
    </row>
    <row r="36">
      <c r="A36" s="29" t="n">
        <v>34</v>
      </c>
      <c r="B36" s="26">
        <f>IF(TRIM(INDEX(입력_구리근무자명단!$A$1:$GZ$303,$A36,1)&amp;"")&lt;&gt;"",TRIM(INDEX(입력_구리근무자명단!$A$1:$GZ$303,$A36,1)&amp;""),B35)</f>
        <v/>
      </c>
      <c r="C36" s="26">
        <f>IF(INDEX(입력_구리근무자명단!$A$1:$GZ$303,$A36,2)="","",INDEX(입력_구리근무자명단!$A$1:$GZ$303,$A36,2))</f>
        <v/>
      </c>
      <c r="D36" s="26">
        <f>IF($G$2="","",TRIM(IF($I$2="확정",INDEX(입력_구리근무자명단!$A$1:$GZ$303,$A36,$G$2+1)&amp;"",INDEX(입력_구리근무자명단!$A$1:$GZ$303,$A36,$G$2+0)&amp;"")))</f>
        <v/>
      </c>
      <c r="E36" s="26">
        <f>IF($D36="","",$I$2)</f>
        <v/>
      </c>
      <c r="F36" s="28">
        <f>IF($D36="","",IF(INDEX(입력_구리근무자명단!$A$1:$GZ$303,$A36,$G$2+2)="",출력_요약!$B$3,IF(ISNUMBER(INDEX(입력_구리근무자명단!$A$1:$GZ$303,$A36,$G$2+2)),INDEX(입력_구리근무자명단!$A$1:$GZ$303,$A36,$G$2+2),IFERROR(DATE(VALUE(LEFT(INDEX(입력_구리근무자명단!$A$1:$GZ$303,$A36,$G$2+2),4)),VALUE(MID(INDEX(입력_구리근무자명단!$A$1:$GZ$303,$A36,$G$2+2),6,2)),VALUE(MID(INDEX(입력_구리근무자명단!$A$1:$GZ$303,$A36,$G$2+2),9,2))),IFERROR(DATEVALUE(SUBSTITUTE(TRIM(INDEX(입력_구리근무자명단!$A$1:$GZ$303,$A36,$G$2+2)),".","-")),"⚠"&amp;INDEX(입력_구리근무자명단!$A$1:$GZ$303,$A36,$G$2+2))))))</f>
        <v/>
      </c>
      <c r="G36" s="28">
        <f>IF($D36="","",IF(INDEX(입력_구리근무자명단!$A$1:$GZ$303,$A36,$G$2+3)="",EOMONTH(출력_요약!$B$3,0),IF(ISNUMBER(INDEX(입력_구리근무자명단!$A$1:$GZ$303,$A36,$G$2+3)),INDEX(입력_구리근무자명단!$A$1:$GZ$303,$A36,$G$2+3),IFERROR(DATE(VALUE(LEFT(INDEX(입력_구리근무자명단!$A$1:$GZ$303,$A36,$G$2+3),4)),VALUE(MID(INDEX(입력_구리근무자명단!$A$1:$GZ$303,$A36,$G$2+3),6,2)),VALUE(MID(INDEX(입력_구리근무자명단!$A$1:$GZ$303,$A36,$G$2+3),9,2))),IFERROR(DATEVALUE(SUBSTITUTE(TRIM(INDEX(입력_구리근무자명단!$A$1:$GZ$303,$A36,$G$2+3)),".","-")),"⚠"&amp;INDEX(입력_구리근무자명단!$A$1:$GZ$303,$A36,$G$2+3))))))</f>
        <v/>
      </c>
      <c r="H36" s="26">
        <f>IF($D36="","",IF(OR(NOT(ISNUMBER($F36)),NOT(ISNUMBER($G36))),0,MAX(0,MIN($G36,EOMONTH(출력_요약!$B$3,0))-MAX($F36,출력_요약!$B$3)+1)))</f>
        <v/>
      </c>
      <c r="I36" s="26">
        <f>IF($D36="","",TRIM(INDEX(입력_구리근무자명단!$A$1:$GZ$303,$A36,$G$2+5)&amp;""))</f>
        <v/>
      </c>
      <c r="J36" s="26">
        <f>IF($D36="","",IF(ISNUMBER(SEARCH("구리독자",$I36)),"구리독자",""))</f>
        <v/>
      </c>
      <c r="K36" s="29">
        <f>IF($D36="","",IF(COUNTIFS(입력_전공의명단!$C$2:$C$401,$D36,입력_전공의명단!$F$2:$F$401,IF(OR($C36="인턴",ISNUMBER(SEARCH("수련교육부",$B36))),"인턴",$B36))=1,MATCH($D36&amp;"|"&amp;IF(OR($C36="인턴",ISNUMBER(SEARCH("수련교육부",$B36))),"인턴",$B36),입력_전공의명단!$AP$2:$AP$401,0),IF(AND(COUNTIFS(입력_전공의명단!$C$2:$C$401,$D36,입력_전공의명단!$F$2:$F$401,IF(OR($C36="인턴",ISNUMBER(SEARCH("수련교육부",$B36))),"인턴",$B36))=0,COUNTIF(입력_전공의명단!$C$2:$C$401,$D36)=1),MATCH($D36,입력_전공의명단!$C$2:$C$401,0),"")))</f>
        <v/>
      </c>
      <c r="L36" s="26">
        <f>IF($D36="","",IF($K36&lt;&gt;"",IF(COUNTIFS(입력_전공의명단!$C$2:$C$401,$D36,입력_전공의명단!$F$2:$F$401,IF(OR($C36="인턴",ISNUMBER(SEARCH("수련교육부",$B36))),"인턴",$B36))=1,"명단 일치","명단 일치(이름만, 과 다름)"),IF(COUNTIF(입력_전공의명단!$C$2:$C$401,$D36)=0,IF(COUNTIF(입력_기본자료!$C$2:$C$1001,$D36)&gt;0,"명단에 없음(기본자료에는 있음)","명단에 없음"),"동명이인 확인")))</f>
        <v/>
      </c>
      <c r="N36" s="8" t="n">
        <v>31</v>
      </c>
      <c r="O36" s="8">
        <f>IF(ISNUMBER(SEARCH("근무예정자",(INDEX(입력_구리근무자명단!$A$3:$GZ$3,1,31)&amp;""))),IFERROR(VALUE(LEFT((INDEX(입력_구리근무자명단!$A$3:$GZ$3,1,31)&amp;""),4))*100+VALUE(MID((INDEX(입력_구리근무자명단!$A$3:$GZ$3,1,31)&amp;""),6,MIN(FIND("월",(INDEX(입력_구리근무자명단!$A$3:$GZ$3,1,31)&amp;"")&amp;"월"),FIND(CHAR(10),(INDEX(입력_구리근무자명단!$A$3:$GZ$3,1,31)&amp;"")&amp;CHAR(10)),FIND(" ",(INDEX(입력_구리근무자명단!$A$3:$GZ$3,1,31)&amp;"")&amp;" "))-6)),""),"")</f>
        <v/>
      </c>
    </row>
    <row r="37">
      <c r="A37" s="29" t="n">
        <v>35</v>
      </c>
      <c r="B37" s="26">
        <f>IF(TRIM(INDEX(입력_구리근무자명단!$A$1:$GZ$303,$A37,1)&amp;"")&lt;&gt;"",TRIM(INDEX(입력_구리근무자명단!$A$1:$GZ$303,$A37,1)&amp;""),B36)</f>
        <v/>
      </c>
      <c r="C37" s="26">
        <f>IF(INDEX(입력_구리근무자명단!$A$1:$GZ$303,$A37,2)="","",INDEX(입력_구리근무자명단!$A$1:$GZ$303,$A37,2))</f>
        <v/>
      </c>
      <c r="D37" s="26">
        <f>IF($G$2="","",TRIM(IF($I$2="확정",INDEX(입력_구리근무자명단!$A$1:$GZ$303,$A37,$G$2+1)&amp;"",INDEX(입력_구리근무자명단!$A$1:$GZ$303,$A37,$G$2+0)&amp;"")))</f>
        <v/>
      </c>
      <c r="E37" s="26">
        <f>IF($D37="","",$I$2)</f>
        <v/>
      </c>
      <c r="F37" s="28">
        <f>IF($D37="","",IF(INDEX(입력_구리근무자명단!$A$1:$GZ$303,$A37,$G$2+2)="",출력_요약!$B$3,IF(ISNUMBER(INDEX(입력_구리근무자명단!$A$1:$GZ$303,$A37,$G$2+2)),INDEX(입력_구리근무자명단!$A$1:$GZ$303,$A37,$G$2+2),IFERROR(DATE(VALUE(LEFT(INDEX(입력_구리근무자명단!$A$1:$GZ$303,$A37,$G$2+2),4)),VALUE(MID(INDEX(입력_구리근무자명단!$A$1:$GZ$303,$A37,$G$2+2),6,2)),VALUE(MID(INDEX(입력_구리근무자명단!$A$1:$GZ$303,$A37,$G$2+2),9,2))),IFERROR(DATEVALUE(SUBSTITUTE(TRIM(INDEX(입력_구리근무자명단!$A$1:$GZ$303,$A37,$G$2+2)),".","-")),"⚠"&amp;INDEX(입력_구리근무자명단!$A$1:$GZ$303,$A37,$G$2+2))))))</f>
        <v/>
      </c>
      <c r="G37" s="28">
        <f>IF($D37="","",IF(INDEX(입력_구리근무자명단!$A$1:$GZ$303,$A37,$G$2+3)="",EOMONTH(출력_요약!$B$3,0),IF(ISNUMBER(INDEX(입력_구리근무자명단!$A$1:$GZ$303,$A37,$G$2+3)),INDEX(입력_구리근무자명단!$A$1:$GZ$303,$A37,$G$2+3),IFERROR(DATE(VALUE(LEFT(INDEX(입력_구리근무자명단!$A$1:$GZ$303,$A37,$G$2+3),4)),VALUE(MID(INDEX(입력_구리근무자명단!$A$1:$GZ$303,$A37,$G$2+3),6,2)),VALUE(MID(INDEX(입력_구리근무자명단!$A$1:$GZ$303,$A37,$G$2+3),9,2))),IFERROR(DATEVALUE(SUBSTITUTE(TRIM(INDEX(입력_구리근무자명단!$A$1:$GZ$303,$A37,$G$2+3)),".","-")),"⚠"&amp;INDEX(입력_구리근무자명단!$A$1:$GZ$303,$A37,$G$2+3))))))</f>
        <v/>
      </c>
      <c r="H37" s="26">
        <f>IF($D37="","",IF(OR(NOT(ISNUMBER($F37)),NOT(ISNUMBER($G37))),0,MAX(0,MIN($G37,EOMONTH(출력_요약!$B$3,0))-MAX($F37,출력_요약!$B$3)+1)))</f>
        <v/>
      </c>
      <c r="I37" s="26">
        <f>IF($D37="","",TRIM(INDEX(입력_구리근무자명단!$A$1:$GZ$303,$A37,$G$2+5)&amp;""))</f>
        <v/>
      </c>
      <c r="J37" s="26">
        <f>IF($D37="","",IF(ISNUMBER(SEARCH("구리독자",$I37)),"구리독자",""))</f>
        <v/>
      </c>
      <c r="K37" s="29">
        <f>IF($D37="","",IF(COUNTIFS(입력_전공의명단!$C$2:$C$401,$D37,입력_전공의명단!$F$2:$F$401,IF(OR($C37="인턴",ISNUMBER(SEARCH("수련교육부",$B37))),"인턴",$B37))=1,MATCH($D37&amp;"|"&amp;IF(OR($C37="인턴",ISNUMBER(SEARCH("수련교육부",$B37))),"인턴",$B37),입력_전공의명단!$AP$2:$AP$401,0),IF(AND(COUNTIFS(입력_전공의명단!$C$2:$C$401,$D37,입력_전공의명단!$F$2:$F$401,IF(OR($C37="인턴",ISNUMBER(SEARCH("수련교육부",$B37))),"인턴",$B37))=0,COUNTIF(입력_전공의명단!$C$2:$C$401,$D37)=1),MATCH($D37,입력_전공의명단!$C$2:$C$401,0),"")))</f>
        <v/>
      </c>
      <c r="L37" s="26">
        <f>IF($D37="","",IF($K37&lt;&gt;"",IF(COUNTIFS(입력_전공의명단!$C$2:$C$401,$D37,입력_전공의명단!$F$2:$F$401,IF(OR($C37="인턴",ISNUMBER(SEARCH("수련교육부",$B37))),"인턴",$B37))=1,"명단 일치","명단 일치(이름만, 과 다름)"),IF(COUNTIF(입력_전공의명단!$C$2:$C$401,$D37)=0,IF(COUNTIF(입력_기본자료!$C$2:$C$1001,$D37)&gt;0,"명단에 없음(기본자료에는 있음)","명단에 없음"),"동명이인 확인")))</f>
        <v/>
      </c>
      <c r="N37" s="8" t="n">
        <v>32</v>
      </c>
      <c r="O37" s="8">
        <f>IF(ISNUMBER(SEARCH("근무예정자",(INDEX(입력_구리근무자명단!$A$3:$GZ$3,1,32)&amp;""))),IFERROR(VALUE(LEFT((INDEX(입력_구리근무자명단!$A$3:$GZ$3,1,32)&amp;""),4))*100+VALUE(MID((INDEX(입력_구리근무자명단!$A$3:$GZ$3,1,32)&amp;""),6,MIN(FIND("월",(INDEX(입력_구리근무자명단!$A$3:$GZ$3,1,32)&amp;"")&amp;"월"),FIND(CHAR(10),(INDEX(입력_구리근무자명단!$A$3:$GZ$3,1,32)&amp;"")&amp;CHAR(10)),FIND(" ",(INDEX(입력_구리근무자명단!$A$3:$GZ$3,1,32)&amp;"")&amp;" "))-6)),""),"")</f>
        <v/>
      </c>
    </row>
    <row r="38">
      <c r="A38" s="29" t="n">
        <v>36</v>
      </c>
      <c r="B38" s="26">
        <f>IF(TRIM(INDEX(입력_구리근무자명단!$A$1:$GZ$303,$A38,1)&amp;"")&lt;&gt;"",TRIM(INDEX(입력_구리근무자명단!$A$1:$GZ$303,$A38,1)&amp;""),B37)</f>
        <v/>
      </c>
      <c r="C38" s="26">
        <f>IF(INDEX(입력_구리근무자명단!$A$1:$GZ$303,$A38,2)="","",INDEX(입력_구리근무자명단!$A$1:$GZ$303,$A38,2))</f>
        <v/>
      </c>
      <c r="D38" s="26">
        <f>IF($G$2="","",TRIM(IF($I$2="확정",INDEX(입력_구리근무자명단!$A$1:$GZ$303,$A38,$G$2+1)&amp;"",INDEX(입력_구리근무자명단!$A$1:$GZ$303,$A38,$G$2+0)&amp;"")))</f>
        <v/>
      </c>
      <c r="E38" s="26">
        <f>IF($D38="","",$I$2)</f>
        <v/>
      </c>
      <c r="F38" s="28">
        <f>IF($D38="","",IF(INDEX(입력_구리근무자명단!$A$1:$GZ$303,$A38,$G$2+2)="",출력_요약!$B$3,IF(ISNUMBER(INDEX(입력_구리근무자명단!$A$1:$GZ$303,$A38,$G$2+2)),INDEX(입력_구리근무자명단!$A$1:$GZ$303,$A38,$G$2+2),IFERROR(DATE(VALUE(LEFT(INDEX(입력_구리근무자명단!$A$1:$GZ$303,$A38,$G$2+2),4)),VALUE(MID(INDEX(입력_구리근무자명단!$A$1:$GZ$303,$A38,$G$2+2),6,2)),VALUE(MID(INDEX(입력_구리근무자명단!$A$1:$GZ$303,$A38,$G$2+2),9,2))),IFERROR(DATEVALUE(SUBSTITUTE(TRIM(INDEX(입력_구리근무자명단!$A$1:$GZ$303,$A38,$G$2+2)),".","-")),"⚠"&amp;INDEX(입력_구리근무자명단!$A$1:$GZ$303,$A38,$G$2+2))))))</f>
        <v/>
      </c>
      <c r="G38" s="28">
        <f>IF($D38="","",IF(INDEX(입력_구리근무자명단!$A$1:$GZ$303,$A38,$G$2+3)="",EOMONTH(출력_요약!$B$3,0),IF(ISNUMBER(INDEX(입력_구리근무자명단!$A$1:$GZ$303,$A38,$G$2+3)),INDEX(입력_구리근무자명단!$A$1:$GZ$303,$A38,$G$2+3),IFERROR(DATE(VALUE(LEFT(INDEX(입력_구리근무자명단!$A$1:$GZ$303,$A38,$G$2+3),4)),VALUE(MID(INDEX(입력_구리근무자명단!$A$1:$GZ$303,$A38,$G$2+3),6,2)),VALUE(MID(INDEX(입력_구리근무자명단!$A$1:$GZ$303,$A38,$G$2+3),9,2))),IFERROR(DATEVALUE(SUBSTITUTE(TRIM(INDEX(입력_구리근무자명단!$A$1:$GZ$303,$A38,$G$2+3)),".","-")),"⚠"&amp;INDEX(입력_구리근무자명단!$A$1:$GZ$303,$A38,$G$2+3))))))</f>
        <v/>
      </c>
      <c r="H38" s="26">
        <f>IF($D38="","",IF(OR(NOT(ISNUMBER($F38)),NOT(ISNUMBER($G38))),0,MAX(0,MIN($G38,EOMONTH(출력_요약!$B$3,0))-MAX($F38,출력_요약!$B$3)+1)))</f>
        <v/>
      </c>
      <c r="I38" s="26">
        <f>IF($D38="","",TRIM(INDEX(입력_구리근무자명단!$A$1:$GZ$303,$A38,$G$2+5)&amp;""))</f>
        <v/>
      </c>
      <c r="J38" s="26">
        <f>IF($D38="","",IF(ISNUMBER(SEARCH("구리독자",$I38)),"구리독자",""))</f>
        <v/>
      </c>
      <c r="K38" s="29">
        <f>IF($D38="","",IF(COUNTIFS(입력_전공의명단!$C$2:$C$401,$D38,입력_전공의명단!$F$2:$F$401,IF(OR($C38="인턴",ISNUMBER(SEARCH("수련교육부",$B38))),"인턴",$B38))=1,MATCH($D38&amp;"|"&amp;IF(OR($C38="인턴",ISNUMBER(SEARCH("수련교육부",$B38))),"인턴",$B38),입력_전공의명단!$AP$2:$AP$401,0),IF(AND(COUNTIFS(입력_전공의명단!$C$2:$C$401,$D38,입력_전공의명단!$F$2:$F$401,IF(OR($C38="인턴",ISNUMBER(SEARCH("수련교육부",$B38))),"인턴",$B38))=0,COUNTIF(입력_전공의명단!$C$2:$C$401,$D38)=1),MATCH($D38,입력_전공의명단!$C$2:$C$401,0),"")))</f>
        <v/>
      </c>
      <c r="L38" s="26">
        <f>IF($D38="","",IF($K38&lt;&gt;"",IF(COUNTIFS(입력_전공의명단!$C$2:$C$401,$D38,입력_전공의명단!$F$2:$F$401,IF(OR($C38="인턴",ISNUMBER(SEARCH("수련교육부",$B38))),"인턴",$B38))=1,"명단 일치","명단 일치(이름만, 과 다름)"),IF(COUNTIF(입력_전공의명단!$C$2:$C$401,$D38)=0,IF(COUNTIF(입력_기본자료!$C$2:$C$1001,$D38)&gt;0,"명단에 없음(기본자료에는 있음)","명단에 없음"),"동명이인 확인")))</f>
        <v/>
      </c>
      <c r="N38" s="8" t="n">
        <v>33</v>
      </c>
      <c r="O38" s="8">
        <f>IF(ISNUMBER(SEARCH("근무예정자",(INDEX(입력_구리근무자명단!$A$3:$GZ$3,1,33)&amp;""))),IFERROR(VALUE(LEFT((INDEX(입력_구리근무자명단!$A$3:$GZ$3,1,33)&amp;""),4))*100+VALUE(MID((INDEX(입력_구리근무자명단!$A$3:$GZ$3,1,33)&amp;""),6,MIN(FIND("월",(INDEX(입력_구리근무자명단!$A$3:$GZ$3,1,33)&amp;"")&amp;"월"),FIND(CHAR(10),(INDEX(입력_구리근무자명단!$A$3:$GZ$3,1,33)&amp;"")&amp;CHAR(10)),FIND(" ",(INDEX(입력_구리근무자명단!$A$3:$GZ$3,1,33)&amp;"")&amp;" "))-6)),""),"")</f>
        <v/>
      </c>
    </row>
    <row r="39">
      <c r="A39" s="29" t="n">
        <v>37</v>
      </c>
      <c r="B39" s="26">
        <f>IF(TRIM(INDEX(입력_구리근무자명단!$A$1:$GZ$303,$A39,1)&amp;"")&lt;&gt;"",TRIM(INDEX(입력_구리근무자명단!$A$1:$GZ$303,$A39,1)&amp;""),B38)</f>
        <v/>
      </c>
      <c r="C39" s="26">
        <f>IF(INDEX(입력_구리근무자명단!$A$1:$GZ$303,$A39,2)="","",INDEX(입력_구리근무자명단!$A$1:$GZ$303,$A39,2))</f>
        <v/>
      </c>
      <c r="D39" s="26">
        <f>IF($G$2="","",TRIM(IF($I$2="확정",INDEX(입력_구리근무자명단!$A$1:$GZ$303,$A39,$G$2+1)&amp;"",INDEX(입력_구리근무자명단!$A$1:$GZ$303,$A39,$G$2+0)&amp;"")))</f>
        <v/>
      </c>
      <c r="E39" s="26">
        <f>IF($D39="","",$I$2)</f>
        <v/>
      </c>
      <c r="F39" s="28">
        <f>IF($D39="","",IF(INDEX(입력_구리근무자명단!$A$1:$GZ$303,$A39,$G$2+2)="",출력_요약!$B$3,IF(ISNUMBER(INDEX(입력_구리근무자명단!$A$1:$GZ$303,$A39,$G$2+2)),INDEX(입력_구리근무자명단!$A$1:$GZ$303,$A39,$G$2+2),IFERROR(DATE(VALUE(LEFT(INDEX(입력_구리근무자명단!$A$1:$GZ$303,$A39,$G$2+2),4)),VALUE(MID(INDEX(입력_구리근무자명단!$A$1:$GZ$303,$A39,$G$2+2),6,2)),VALUE(MID(INDEX(입력_구리근무자명단!$A$1:$GZ$303,$A39,$G$2+2),9,2))),IFERROR(DATEVALUE(SUBSTITUTE(TRIM(INDEX(입력_구리근무자명단!$A$1:$GZ$303,$A39,$G$2+2)),".","-")),"⚠"&amp;INDEX(입력_구리근무자명단!$A$1:$GZ$303,$A39,$G$2+2))))))</f>
        <v/>
      </c>
      <c r="G39" s="28">
        <f>IF($D39="","",IF(INDEX(입력_구리근무자명단!$A$1:$GZ$303,$A39,$G$2+3)="",EOMONTH(출력_요약!$B$3,0),IF(ISNUMBER(INDEX(입력_구리근무자명단!$A$1:$GZ$303,$A39,$G$2+3)),INDEX(입력_구리근무자명단!$A$1:$GZ$303,$A39,$G$2+3),IFERROR(DATE(VALUE(LEFT(INDEX(입력_구리근무자명단!$A$1:$GZ$303,$A39,$G$2+3),4)),VALUE(MID(INDEX(입력_구리근무자명단!$A$1:$GZ$303,$A39,$G$2+3),6,2)),VALUE(MID(INDEX(입력_구리근무자명단!$A$1:$GZ$303,$A39,$G$2+3),9,2))),IFERROR(DATEVALUE(SUBSTITUTE(TRIM(INDEX(입력_구리근무자명단!$A$1:$GZ$303,$A39,$G$2+3)),".","-")),"⚠"&amp;INDEX(입력_구리근무자명단!$A$1:$GZ$303,$A39,$G$2+3))))))</f>
        <v/>
      </c>
      <c r="H39" s="26">
        <f>IF($D39="","",IF(OR(NOT(ISNUMBER($F39)),NOT(ISNUMBER($G39))),0,MAX(0,MIN($G39,EOMONTH(출력_요약!$B$3,0))-MAX($F39,출력_요약!$B$3)+1)))</f>
        <v/>
      </c>
      <c r="I39" s="26">
        <f>IF($D39="","",TRIM(INDEX(입력_구리근무자명단!$A$1:$GZ$303,$A39,$G$2+5)&amp;""))</f>
        <v/>
      </c>
      <c r="J39" s="26">
        <f>IF($D39="","",IF(ISNUMBER(SEARCH("구리독자",$I39)),"구리독자",""))</f>
        <v/>
      </c>
      <c r="K39" s="29">
        <f>IF($D39="","",IF(COUNTIFS(입력_전공의명단!$C$2:$C$401,$D39,입력_전공의명단!$F$2:$F$401,IF(OR($C39="인턴",ISNUMBER(SEARCH("수련교육부",$B39))),"인턴",$B39))=1,MATCH($D39&amp;"|"&amp;IF(OR($C39="인턴",ISNUMBER(SEARCH("수련교육부",$B39))),"인턴",$B39),입력_전공의명단!$AP$2:$AP$401,0),IF(AND(COUNTIFS(입력_전공의명단!$C$2:$C$401,$D39,입력_전공의명단!$F$2:$F$401,IF(OR($C39="인턴",ISNUMBER(SEARCH("수련교육부",$B39))),"인턴",$B39))=0,COUNTIF(입력_전공의명단!$C$2:$C$401,$D39)=1),MATCH($D39,입력_전공의명단!$C$2:$C$401,0),"")))</f>
        <v/>
      </c>
      <c r="L39" s="26">
        <f>IF($D39="","",IF($K39&lt;&gt;"",IF(COUNTIFS(입력_전공의명단!$C$2:$C$401,$D39,입력_전공의명단!$F$2:$F$401,IF(OR($C39="인턴",ISNUMBER(SEARCH("수련교육부",$B39))),"인턴",$B39))=1,"명단 일치","명단 일치(이름만, 과 다름)"),IF(COUNTIF(입력_전공의명단!$C$2:$C$401,$D39)=0,IF(COUNTIF(입력_기본자료!$C$2:$C$1001,$D39)&gt;0,"명단에 없음(기본자료에는 있음)","명단에 없음"),"동명이인 확인")))</f>
        <v/>
      </c>
      <c r="N39" s="8" t="n">
        <v>34</v>
      </c>
      <c r="O39" s="8">
        <f>IF(ISNUMBER(SEARCH("근무예정자",(INDEX(입력_구리근무자명단!$A$3:$GZ$3,1,34)&amp;""))),IFERROR(VALUE(LEFT((INDEX(입력_구리근무자명단!$A$3:$GZ$3,1,34)&amp;""),4))*100+VALUE(MID((INDEX(입력_구리근무자명단!$A$3:$GZ$3,1,34)&amp;""),6,MIN(FIND("월",(INDEX(입력_구리근무자명단!$A$3:$GZ$3,1,34)&amp;"")&amp;"월"),FIND(CHAR(10),(INDEX(입력_구리근무자명단!$A$3:$GZ$3,1,34)&amp;"")&amp;CHAR(10)),FIND(" ",(INDEX(입력_구리근무자명단!$A$3:$GZ$3,1,34)&amp;"")&amp;" "))-6)),""),"")</f>
        <v/>
      </c>
    </row>
    <row r="40">
      <c r="A40" s="29" t="n">
        <v>38</v>
      </c>
      <c r="B40" s="26">
        <f>IF(TRIM(INDEX(입력_구리근무자명단!$A$1:$GZ$303,$A40,1)&amp;"")&lt;&gt;"",TRIM(INDEX(입력_구리근무자명단!$A$1:$GZ$303,$A40,1)&amp;""),B39)</f>
        <v/>
      </c>
      <c r="C40" s="26">
        <f>IF(INDEX(입력_구리근무자명단!$A$1:$GZ$303,$A40,2)="","",INDEX(입력_구리근무자명단!$A$1:$GZ$303,$A40,2))</f>
        <v/>
      </c>
      <c r="D40" s="26">
        <f>IF($G$2="","",TRIM(IF($I$2="확정",INDEX(입력_구리근무자명단!$A$1:$GZ$303,$A40,$G$2+1)&amp;"",INDEX(입력_구리근무자명단!$A$1:$GZ$303,$A40,$G$2+0)&amp;"")))</f>
        <v/>
      </c>
      <c r="E40" s="26">
        <f>IF($D40="","",$I$2)</f>
        <v/>
      </c>
      <c r="F40" s="28">
        <f>IF($D40="","",IF(INDEX(입력_구리근무자명단!$A$1:$GZ$303,$A40,$G$2+2)="",출력_요약!$B$3,IF(ISNUMBER(INDEX(입력_구리근무자명단!$A$1:$GZ$303,$A40,$G$2+2)),INDEX(입력_구리근무자명단!$A$1:$GZ$303,$A40,$G$2+2),IFERROR(DATE(VALUE(LEFT(INDEX(입력_구리근무자명단!$A$1:$GZ$303,$A40,$G$2+2),4)),VALUE(MID(INDEX(입력_구리근무자명단!$A$1:$GZ$303,$A40,$G$2+2),6,2)),VALUE(MID(INDEX(입력_구리근무자명단!$A$1:$GZ$303,$A40,$G$2+2),9,2))),IFERROR(DATEVALUE(SUBSTITUTE(TRIM(INDEX(입력_구리근무자명단!$A$1:$GZ$303,$A40,$G$2+2)),".","-")),"⚠"&amp;INDEX(입력_구리근무자명단!$A$1:$GZ$303,$A40,$G$2+2))))))</f>
        <v/>
      </c>
      <c r="G40" s="28">
        <f>IF($D40="","",IF(INDEX(입력_구리근무자명단!$A$1:$GZ$303,$A40,$G$2+3)="",EOMONTH(출력_요약!$B$3,0),IF(ISNUMBER(INDEX(입력_구리근무자명단!$A$1:$GZ$303,$A40,$G$2+3)),INDEX(입력_구리근무자명단!$A$1:$GZ$303,$A40,$G$2+3),IFERROR(DATE(VALUE(LEFT(INDEX(입력_구리근무자명단!$A$1:$GZ$303,$A40,$G$2+3),4)),VALUE(MID(INDEX(입력_구리근무자명단!$A$1:$GZ$303,$A40,$G$2+3),6,2)),VALUE(MID(INDEX(입력_구리근무자명단!$A$1:$GZ$303,$A40,$G$2+3),9,2))),IFERROR(DATEVALUE(SUBSTITUTE(TRIM(INDEX(입력_구리근무자명단!$A$1:$GZ$303,$A40,$G$2+3)),".","-")),"⚠"&amp;INDEX(입력_구리근무자명단!$A$1:$GZ$303,$A40,$G$2+3))))))</f>
        <v/>
      </c>
      <c r="H40" s="26">
        <f>IF($D40="","",IF(OR(NOT(ISNUMBER($F40)),NOT(ISNUMBER($G40))),0,MAX(0,MIN($G40,EOMONTH(출력_요약!$B$3,0))-MAX($F40,출력_요약!$B$3)+1)))</f>
        <v/>
      </c>
      <c r="I40" s="26">
        <f>IF($D40="","",TRIM(INDEX(입력_구리근무자명단!$A$1:$GZ$303,$A40,$G$2+5)&amp;""))</f>
        <v/>
      </c>
      <c r="J40" s="26">
        <f>IF($D40="","",IF(ISNUMBER(SEARCH("구리독자",$I40)),"구리독자",""))</f>
        <v/>
      </c>
      <c r="K40" s="29">
        <f>IF($D40="","",IF(COUNTIFS(입력_전공의명단!$C$2:$C$401,$D40,입력_전공의명단!$F$2:$F$401,IF(OR($C40="인턴",ISNUMBER(SEARCH("수련교육부",$B40))),"인턴",$B40))=1,MATCH($D40&amp;"|"&amp;IF(OR($C40="인턴",ISNUMBER(SEARCH("수련교육부",$B40))),"인턴",$B40),입력_전공의명단!$AP$2:$AP$401,0),IF(AND(COUNTIFS(입력_전공의명단!$C$2:$C$401,$D40,입력_전공의명단!$F$2:$F$401,IF(OR($C40="인턴",ISNUMBER(SEARCH("수련교육부",$B40))),"인턴",$B40))=0,COUNTIF(입력_전공의명단!$C$2:$C$401,$D40)=1),MATCH($D40,입력_전공의명단!$C$2:$C$401,0),"")))</f>
        <v/>
      </c>
      <c r="L40" s="26">
        <f>IF($D40="","",IF($K40&lt;&gt;"",IF(COUNTIFS(입력_전공의명단!$C$2:$C$401,$D40,입력_전공의명단!$F$2:$F$401,IF(OR($C40="인턴",ISNUMBER(SEARCH("수련교육부",$B40))),"인턴",$B40))=1,"명단 일치","명단 일치(이름만, 과 다름)"),IF(COUNTIF(입력_전공의명단!$C$2:$C$401,$D40)=0,IF(COUNTIF(입력_기본자료!$C$2:$C$1001,$D40)&gt;0,"명단에 없음(기본자료에는 있음)","명단에 없음"),"동명이인 확인")))</f>
        <v/>
      </c>
      <c r="N40" s="8" t="n">
        <v>35</v>
      </c>
      <c r="O40" s="8">
        <f>IF(ISNUMBER(SEARCH("근무예정자",(INDEX(입력_구리근무자명단!$A$3:$GZ$3,1,35)&amp;""))),IFERROR(VALUE(LEFT((INDEX(입력_구리근무자명단!$A$3:$GZ$3,1,35)&amp;""),4))*100+VALUE(MID((INDEX(입력_구리근무자명단!$A$3:$GZ$3,1,35)&amp;""),6,MIN(FIND("월",(INDEX(입력_구리근무자명단!$A$3:$GZ$3,1,35)&amp;"")&amp;"월"),FIND(CHAR(10),(INDEX(입력_구리근무자명단!$A$3:$GZ$3,1,35)&amp;"")&amp;CHAR(10)),FIND(" ",(INDEX(입력_구리근무자명단!$A$3:$GZ$3,1,35)&amp;"")&amp;" "))-6)),""),"")</f>
        <v/>
      </c>
    </row>
    <row r="41">
      <c r="A41" s="29" t="n">
        <v>39</v>
      </c>
      <c r="B41" s="26">
        <f>IF(TRIM(INDEX(입력_구리근무자명단!$A$1:$GZ$303,$A41,1)&amp;"")&lt;&gt;"",TRIM(INDEX(입력_구리근무자명단!$A$1:$GZ$303,$A41,1)&amp;""),B40)</f>
        <v/>
      </c>
      <c r="C41" s="26">
        <f>IF(INDEX(입력_구리근무자명단!$A$1:$GZ$303,$A41,2)="","",INDEX(입력_구리근무자명단!$A$1:$GZ$303,$A41,2))</f>
        <v/>
      </c>
      <c r="D41" s="26">
        <f>IF($G$2="","",TRIM(IF($I$2="확정",INDEX(입력_구리근무자명단!$A$1:$GZ$303,$A41,$G$2+1)&amp;"",INDEX(입력_구리근무자명단!$A$1:$GZ$303,$A41,$G$2+0)&amp;"")))</f>
        <v/>
      </c>
      <c r="E41" s="26">
        <f>IF($D41="","",$I$2)</f>
        <v/>
      </c>
      <c r="F41" s="28">
        <f>IF($D41="","",IF(INDEX(입력_구리근무자명단!$A$1:$GZ$303,$A41,$G$2+2)="",출력_요약!$B$3,IF(ISNUMBER(INDEX(입력_구리근무자명단!$A$1:$GZ$303,$A41,$G$2+2)),INDEX(입력_구리근무자명단!$A$1:$GZ$303,$A41,$G$2+2),IFERROR(DATE(VALUE(LEFT(INDEX(입력_구리근무자명단!$A$1:$GZ$303,$A41,$G$2+2),4)),VALUE(MID(INDEX(입력_구리근무자명단!$A$1:$GZ$303,$A41,$G$2+2),6,2)),VALUE(MID(INDEX(입력_구리근무자명단!$A$1:$GZ$303,$A41,$G$2+2),9,2))),IFERROR(DATEVALUE(SUBSTITUTE(TRIM(INDEX(입력_구리근무자명단!$A$1:$GZ$303,$A41,$G$2+2)),".","-")),"⚠"&amp;INDEX(입력_구리근무자명단!$A$1:$GZ$303,$A41,$G$2+2))))))</f>
        <v/>
      </c>
      <c r="G41" s="28">
        <f>IF($D41="","",IF(INDEX(입력_구리근무자명단!$A$1:$GZ$303,$A41,$G$2+3)="",EOMONTH(출력_요약!$B$3,0),IF(ISNUMBER(INDEX(입력_구리근무자명단!$A$1:$GZ$303,$A41,$G$2+3)),INDEX(입력_구리근무자명단!$A$1:$GZ$303,$A41,$G$2+3),IFERROR(DATE(VALUE(LEFT(INDEX(입력_구리근무자명단!$A$1:$GZ$303,$A41,$G$2+3),4)),VALUE(MID(INDEX(입력_구리근무자명단!$A$1:$GZ$303,$A41,$G$2+3),6,2)),VALUE(MID(INDEX(입력_구리근무자명단!$A$1:$GZ$303,$A41,$G$2+3),9,2))),IFERROR(DATEVALUE(SUBSTITUTE(TRIM(INDEX(입력_구리근무자명단!$A$1:$GZ$303,$A41,$G$2+3)),".","-")),"⚠"&amp;INDEX(입력_구리근무자명단!$A$1:$GZ$303,$A41,$G$2+3))))))</f>
        <v/>
      </c>
      <c r="H41" s="26">
        <f>IF($D41="","",IF(OR(NOT(ISNUMBER($F41)),NOT(ISNUMBER($G41))),0,MAX(0,MIN($G41,EOMONTH(출력_요약!$B$3,0))-MAX($F41,출력_요약!$B$3)+1)))</f>
        <v/>
      </c>
      <c r="I41" s="26">
        <f>IF($D41="","",TRIM(INDEX(입력_구리근무자명단!$A$1:$GZ$303,$A41,$G$2+5)&amp;""))</f>
        <v/>
      </c>
      <c r="J41" s="26">
        <f>IF($D41="","",IF(ISNUMBER(SEARCH("구리독자",$I41)),"구리독자",""))</f>
        <v/>
      </c>
      <c r="K41" s="29">
        <f>IF($D41="","",IF(COUNTIFS(입력_전공의명단!$C$2:$C$401,$D41,입력_전공의명단!$F$2:$F$401,IF(OR($C41="인턴",ISNUMBER(SEARCH("수련교육부",$B41))),"인턴",$B41))=1,MATCH($D41&amp;"|"&amp;IF(OR($C41="인턴",ISNUMBER(SEARCH("수련교육부",$B41))),"인턴",$B41),입력_전공의명단!$AP$2:$AP$401,0),IF(AND(COUNTIFS(입력_전공의명단!$C$2:$C$401,$D41,입력_전공의명단!$F$2:$F$401,IF(OR($C41="인턴",ISNUMBER(SEARCH("수련교육부",$B41))),"인턴",$B41))=0,COUNTIF(입력_전공의명단!$C$2:$C$401,$D41)=1),MATCH($D41,입력_전공의명단!$C$2:$C$401,0),"")))</f>
        <v/>
      </c>
      <c r="L41" s="26">
        <f>IF($D41="","",IF($K41&lt;&gt;"",IF(COUNTIFS(입력_전공의명단!$C$2:$C$401,$D41,입력_전공의명단!$F$2:$F$401,IF(OR($C41="인턴",ISNUMBER(SEARCH("수련교육부",$B41))),"인턴",$B41))=1,"명단 일치","명단 일치(이름만, 과 다름)"),IF(COUNTIF(입력_전공의명단!$C$2:$C$401,$D41)=0,IF(COUNTIF(입력_기본자료!$C$2:$C$1001,$D41)&gt;0,"명단에 없음(기본자료에는 있음)","명단에 없음"),"동명이인 확인")))</f>
        <v/>
      </c>
      <c r="N41" s="8" t="n">
        <v>36</v>
      </c>
      <c r="O41" s="8">
        <f>IF(ISNUMBER(SEARCH("근무예정자",(INDEX(입력_구리근무자명단!$A$3:$GZ$3,1,36)&amp;""))),IFERROR(VALUE(LEFT((INDEX(입력_구리근무자명단!$A$3:$GZ$3,1,36)&amp;""),4))*100+VALUE(MID((INDEX(입력_구리근무자명단!$A$3:$GZ$3,1,36)&amp;""),6,MIN(FIND("월",(INDEX(입력_구리근무자명단!$A$3:$GZ$3,1,36)&amp;"")&amp;"월"),FIND(CHAR(10),(INDEX(입력_구리근무자명단!$A$3:$GZ$3,1,36)&amp;"")&amp;CHAR(10)),FIND(" ",(INDEX(입력_구리근무자명단!$A$3:$GZ$3,1,36)&amp;"")&amp;" "))-6)),""),"")</f>
        <v/>
      </c>
    </row>
    <row r="42">
      <c r="A42" s="29" t="n">
        <v>40</v>
      </c>
      <c r="B42" s="26">
        <f>IF(TRIM(INDEX(입력_구리근무자명단!$A$1:$GZ$303,$A42,1)&amp;"")&lt;&gt;"",TRIM(INDEX(입력_구리근무자명단!$A$1:$GZ$303,$A42,1)&amp;""),B41)</f>
        <v/>
      </c>
      <c r="C42" s="26">
        <f>IF(INDEX(입력_구리근무자명단!$A$1:$GZ$303,$A42,2)="","",INDEX(입력_구리근무자명단!$A$1:$GZ$303,$A42,2))</f>
        <v/>
      </c>
      <c r="D42" s="26">
        <f>IF($G$2="","",TRIM(IF($I$2="확정",INDEX(입력_구리근무자명단!$A$1:$GZ$303,$A42,$G$2+1)&amp;"",INDEX(입력_구리근무자명단!$A$1:$GZ$303,$A42,$G$2+0)&amp;"")))</f>
        <v/>
      </c>
      <c r="E42" s="26">
        <f>IF($D42="","",$I$2)</f>
        <v/>
      </c>
      <c r="F42" s="28">
        <f>IF($D42="","",IF(INDEX(입력_구리근무자명단!$A$1:$GZ$303,$A42,$G$2+2)="",출력_요약!$B$3,IF(ISNUMBER(INDEX(입력_구리근무자명단!$A$1:$GZ$303,$A42,$G$2+2)),INDEX(입력_구리근무자명단!$A$1:$GZ$303,$A42,$G$2+2),IFERROR(DATE(VALUE(LEFT(INDEX(입력_구리근무자명단!$A$1:$GZ$303,$A42,$G$2+2),4)),VALUE(MID(INDEX(입력_구리근무자명단!$A$1:$GZ$303,$A42,$G$2+2),6,2)),VALUE(MID(INDEX(입력_구리근무자명단!$A$1:$GZ$303,$A42,$G$2+2),9,2))),IFERROR(DATEVALUE(SUBSTITUTE(TRIM(INDEX(입력_구리근무자명단!$A$1:$GZ$303,$A42,$G$2+2)),".","-")),"⚠"&amp;INDEX(입력_구리근무자명단!$A$1:$GZ$303,$A42,$G$2+2))))))</f>
        <v/>
      </c>
      <c r="G42" s="28">
        <f>IF($D42="","",IF(INDEX(입력_구리근무자명단!$A$1:$GZ$303,$A42,$G$2+3)="",EOMONTH(출력_요약!$B$3,0),IF(ISNUMBER(INDEX(입력_구리근무자명단!$A$1:$GZ$303,$A42,$G$2+3)),INDEX(입력_구리근무자명단!$A$1:$GZ$303,$A42,$G$2+3),IFERROR(DATE(VALUE(LEFT(INDEX(입력_구리근무자명단!$A$1:$GZ$303,$A42,$G$2+3),4)),VALUE(MID(INDEX(입력_구리근무자명단!$A$1:$GZ$303,$A42,$G$2+3),6,2)),VALUE(MID(INDEX(입력_구리근무자명단!$A$1:$GZ$303,$A42,$G$2+3),9,2))),IFERROR(DATEVALUE(SUBSTITUTE(TRIM(INDEX(입력_구리근무자명단!$A$1:$GZ$303,$A42,$G$2+3)),".","-")),"⚠"&amp;INDEX(입력_구리근무자명단!$A$1:$GZ$303,$A42,$G$2+3))))))</f>
        <v/>
      </c>
      <c r="H42" s="26">
        <f>IF($D42="","",IF(OR(NOT(ISNUMBER($F42)),NOT(ISNUMBER($G42))),0,MAX(0,MIN($G42,EOMONTH(출력_요약!$B$3,0))-MAX($F42,출력_요약!$B$3)+1)))</f>
        <v/>
      </c>
      <c r="I42" s="26">
        <f>IF($D42="","",TRIM(INDEX(입력_구리근무자명단!$A$1:$GZ$303,$A42,$G$2+5)&amp;""))</f>
        <v/>
      </c>
      <c r="J42" s="26">
        <f>IF($D42="","",IF(ISNUMBER(SEARCH("구리독자",$I42)),"구리독자",""))</f>
        <v/>
      </c>
      <c r="K42" s="29">
        <f>IF($D42="","",IF(COUNTIFS(입력_전공의명단!$C$2:$C$401,$D42,입력_전공의명단!$F$2:$F$401,IF(OR($C42="인턴",ISNUMBER(SEARCH("수련교육부",$B42))),"인턴",$B42))=1,MATCH($D42&amp;"|"&amp;IF(OR($C42="인턴",ISNUMBER(SEARCH("수련교육부",$B42))),"인턴",$B42),입력_전공의명단!$AP$2:$AP$401,0),IF(AND(COUNTIFS(입력_전공의명단!$C$2:$C$401,$D42,입력_전공의명단!$F$2:$F$401,IF(OR($C42="인턴",ISNUMBER(SEARCH("수련교육부",$B42))),"인턴",$B42))=0,COUNTIF(입력_전공의명단!$C$2:$C$401,$D42)=1),MATCH($D42,입력_전공의명단!$C$2:$C$401,0),"")))</f>
        <v/>
      </c>
      <c r="L42" s="26">
        <f>IF($D42="","",IF($K42&lt;&gt;"",IF(COUNTIFS(입력_전공의명단!$C$2:$C$401,$D42,입력_전공의명단!$F$2:$F$401,IF(OR($C42="인턴",ISNUMBER(SEARCH("수련교육부",$B42))),"인턴",$B42))=1,"명단 일치","명단 일치(이름만, 과 다름)"),IF(COUNTIF(입력_전공의명단!$C$2:$C$401,$D42)=0,IF(COUNTIF(입력_기본자료!$C$2:$C$1001,$D42)&gt;0,"명단에 없음(기본자료에는 있음)","명단에 없음"),"동명이인 확인")))</f>
        <v/>
      </c>
      <c r="N42" s="8" t="n">
        <v>37</v>
      </c>
      <c r="O42" s="8">
        <f>IF(ISNUMBER(SEARCH("근무예정자",(INDEX(입력_구리근무자명단!$A$3:$GZ$3,1,37)&amp;""))),IFERROR(VALUE(LEFT((INDEX(입력_구리근무자명단!$A$3:$GZ$3,1,37)&amp;""),4))*100+VALUE(MID((INDEX(입력_구리근무자명단!$A$3:$GZ$3,1,37)&amp;""),6,MIN(FIND("월",(INDEX(입력_구리근무자명단!$A$3:$GZ$3,1,37)&amp;"")&amp;"월"),FIND(CHAR(10),(INDEX(입력_구리근무자명단!$A$3:$GZ$3,1,37)&amp;"")&amp;CHAR(10)),FIND(" ",(INDEX(입력_구리근무자명단!$A$3:$GZ$3,1,37)&amp;"")&amp;" "))-6)),""),"")</f>
        <v/>
      </c>
    </row>
    <row r="43">
      <c r="A43" s="29" t="n">
        <v>41</v>
      </c>
      <c r="B43" s="26">
        <f>IF(TRIM(INDEX(입력_구리근무자명단!$A$1:$GZ$303,$A43,1)&amp;"")&lt;&gt;"",TRIM(INDEX(입력_구리근무자명단!$A$1:$GZ$303,$A43,1)&amp;""),B42)</f>
        <v/>
      </c>
      <c r="C43" s="26">
        <f>IF(INDEX(입력_구리근무자명단!$A$1:$GZ$303,$A43,2)="","",INDEX(입력_구리근무자명단!$A$1:$GZ$303,$A43,2))</f>
        <v/>
      </c>
      <c r="D43" s="26">
        <f>IF($G$2="","",TRIM(IF($I$2="확정",INDEX(입력_구리근무자명단!$A$1:$GZ$303,$A43,$G$2+1)&amp;"",INDEX(입력_구리근무자명단!$A$1:$GZ$303,$A43,$G$2+0)&amp;"")))</f>
        <v/>
      </c>
      <c r="E43" s="26">
        <f>IF($D43="","",$I$2)</f>
        <v/>
      </c>
      <c r="F43" s="28">
        <f>IF($D43="","",IF(INDEX(입력_구리근무자명단!$A$1:$GZ$303,$A43,$G$2+2)="",출력_요약!$B$3,IF(ISNUMBER(INDEX(입력_구리근무자명단!$A$1:$GZ$303,$A43,$G$2+2)),INDEX(입력_구리근무자명단!$A$1:$GZ$303,$A43,$G$2+2),IFERROR(DATE(VALUE(LEFT(INDEX(입력_구리근무자명단!$A$1:$GZ$303,$A43,$G$2+2),4)),VALUE(MID(INDEX(입력_구리근무자명단!$A$1:$GZ$303,$A43,$G$2+2),6,2)),VALUE(MID(INDEX(입력_구리근무자명단!$A$1:$GZ$303,$A43,$G$2+2),9,2))),IFERROR(DATEVALUE(SUBSTITUTE(TRIM(INDEX(입력_구리근무자명단!$A$1:$GZ$303,$A43,$G$2+2)),".","-")),"⚠"&amp;INDEX(입력_구리근무자명단!$A$1:$GZ$303,$A43,$G$2+2))))))</f>
        <v/>
      </c>
      <c r="G43" s="28">
        <f>IF($D43="","",IF(INDEX(입력_구리근무자명단!$A$1:$GZ$303,$A43,$G$2+3)="",EOMONTH(출력_요약!$B$3,0),IF(ISNUMBER(INDEX(입력_구리근무자명단!$A$1:$GZ$303,$A43,$G$2+3)),INDEX(입력_구리근무자명단!$A$1:$GZ$303,$A43,$G$2+3),IFERROR(DATE(VALUE(LEFT(INDEX(입력_구리근무자명단!$A$1:$GZ$303,$A43,$G$2+3),4)),VALUE(MID(INDEX(입력_구리근무자명단!$A$1:$GZ$303,$A43,$G$2+3),6,2)),VALUE(MID(INDEX(입력_구리근무자명단!$A$1:$GZ$303,$A43,$G$2+3),9,2))),IFERROR(DATEVALUE(SUBSTITUTE(TRIM(INDEX(입력_구리근무자명단!$A$1:$GZ$303,$A43,$G$2+3)),".","-")),"⚠"&amp;INDEX(입력_구리근무자명단!$A$1:$GZ$303,$A43,$G$2+3))))))</f>
        <v/>
      </c>
      <c r="H43" s="26">
        <f>IF($D43="","",IF(OR(NOT(ISNUMBER($F43)),NOT(ISNUMBER($G43))),0,MAX(0,MIN($G43,EOMONTH(출력_요약!$B$3,0))-MAX($F43,출력_요약!$B$3)+1)))</f>
        <v/>
      </c>
      <c r="I43" s="26">
        <f>IF($D43="","",TRIM(INDEX(입력_구리근무자명단!$A$1:$GZ$303,$A43,$G$2+5)&amp;""))</f>
        <v/>
      </c>
      <c r="J43" s="26">
        <f>IF($D43="","",IF(ISNUMBER(SEARCH("구리독자",$I43)),"구리독자",""))</f>
        <v/>
      </c>
      <c r="K43" s="29">
        <f>IF($D43="","",IF(COUNTIFS(입력_전공의명단!$C$2:$C$401,$D43,입력_전공의명단!$F$2:$F$401,IF(OR($C43="인턴",ISNUMBER(SEARCH("수련교육부",$B43))),"인턴",$B43))=1,MATCH($D43&amp;"|"&amp;IF(OR($C43="인턴",ISNUMBER(SEARCH("수련교육부",$B43))),"인턴",$B43),입력_전공의명단!$AP$2:$AP$401,0),IF(AND(COUNTIFS(입력_전공의명단!$C$2:$C$401,$D43,입력_전공의명단!$F$2:$F$401,IF(OR($C43="인턴",ISNUMBER(SEARCH("수련교육부",$B43))),"인턴",$B43))=0,COUNTIF(입력_전공의명단!$C$2:$C$401,$D43)=1),MATCH($D43,입력_전공의명단!$C$2:$C$401,0),"")))</f>
        <v/>
      </c>
      <c r="L43" s="26">
        <f>IF($D43="","",IF($K43&lt;&gt;"",IF(COUNTIFS(입력_전공의명단!$C$2:$C$401,$D43,입력_전공의명단!$F$2:$F$401,IF(OR($C43="인턴",ISNUMBER(SEARCH("수련교육부",$B43))),"인턴",$B43))=1,"명단 일치","명단 일치(이름만, 과 다름)"),IF(COUNTIF(입력_전공의명단!$C$2:$C$401,$D43)=0,IF(COUNTIF(입력_기본자료!$C$2:$C$1001,$D43)&gt;0,"명단에 없음(기본자료에는 있음)","명단에 없음"),"동명이인 확인")))</f>
        <v/>
      </c>
      <c r="N43" s="8" t="n">
        <v>38</v>
      </c>
      <c r="O43" s="8">
        <f>IF(ISNUMBER(SEARCH("근무예정자",(INDEX(입력_구리근무자명단!$A$3:$GZ$3,1,38)&amp;""))),IFERROR(VALUE(LEFT((INDEX(입력_구리근무자명단!$A$3:$GZ$3,1,38)&amp;""),4))*100+VALUE(MID((INDEX(입력_구리근무자명단!$A$3:$GZ$3,1,38)&amp;""),6,MIN(FIND("월",(INDEX(입력_구리근무자명단!$A$3:$GZ$3,1,38)&amp;"")&amp;"월"),FIND(CHAR(10),(INDEX(입력_구리근무자명단!$A$3:$GZ$3,1,38)&amp;"")&amp;CHAR(10)),FIND(" ",(INDEX(입력_구리근무자명단!$A$3:$GZ$3,1,38)&amp;"")&amp;" "))-6)),""),"")</f>
        <v/>
      </c>
    </row>
    <row r="44">
      <c r="A44" s="29" t="n">
        <v>42</v>
      </c>
      <c r="B44" s="26">
        <f>IF(TRIM(INDEX(입력_구리근무자명단!$A$1:$GZ$303,$A44,1)&amp;"")&lt;&gt;"",TRIM(INDEX(입력_구리근무자명단!$A$1:$GZ$303,$A44,1)&amp;""),B43)</f>
        <v/>
      </c>
      <c r="C44" s="26">
        <f>IF(INDEX(입력_구리근무자명단!$A$1:$GZ$303,$A44,2)="","",INDEX(입력_구리근무자명단!$A$1:$GZ$303,$A44,2))</f>
        <v/>
      </c>
      <c r="D44" s="26">
        <f>IF($G$2="","",TRIM(IF($I$2="확정",INDEX(입력_구리근무자명단!$A$1:$GZ$303,$A44,$G$2+1)&amp;"",INDEX(입력_구리근무자명단!$A$1:$GZ$303,$A44,$G$2+0)&amp;"")))</f>
        <v/>
      </c>
      <c r="E44" s="26">
        <f>IF($D44="","",$I$2)</f>
        <v/>
      </c>
      <c r="F44" s="28">
        <f>IF($D44="","",IF(INDEX(입력_구리근무자명단!$A$1:$GZ$303,$A44,$G$2+2)="",출력_요약!$B$3,IF(ISNUMBER(INDEX(입력_구리근무자명단!$A$1:$GZ$303,$A44,$G$2+2)),INDEX(입력_구리근무자명단!$A$1:$GZ$303,$A44,$G$2+2),IFERROR(DATE(VALUE(LEFT(INDEX(입력_구리근무자명단!$A$1:$GZ$303,$A44,$G$2+2),4)),VALUE(MID(INDEX(입력_구리근무자명단!$A$1:$GZ$303,$A44,$G$2+2),6,2)),VALUE(MID(INDEX(입력_구리근무자명단!$A$1:$GZ$303,$A44,$G$2+2),9,2))),IFERROR(DATEVALUE(SUBSTITUTE(TRIM(INDEX(입력_구리근무자명단!$A$1:$GZ$303,$A44,$G$2+2)),".","-")),"⚠"&amp;INDEX(입력_구리근무자명단!$A$1:$GZ$303,$A44,$G$2+2))))))</f>
        <v/>
      </c>
      <c r="G44" s="28">
        <f>IF($D44="","",IF(INDEX(입력_구리근무자명단!$A$1:$GZ$303,$A44,$G$2+3)="",EOMONTH(출력_요약!$B$3,0),IF(ISNUMBER(INDEX(입력_구리근무자명단!$A$1:$GZ$303,$A44,$G$2+3)),INDEX(입력_구리근무자명단!$A$1:$GZ$303,$A44,$G$2+3),IFERROR(DATE(VALUE(LEFT(INDEX(입력_구리근무자명단!$A$1:$GZ$303,$A44,$G$2+3),4)),VALUE(MID(INDEX(입력_구리근무자명단!$A$1:$GZ$303,$A44,$G$2+3),6,2)),VALUE(MID(INDEX(입력_구리근무자명단!$A$1:$GZ$303,$A44,$G$2+3),9,2))),IFERROR(DATEVALUE(SUBSTITUTE(TRIM(INDEX(입력_구리근무자명단!$A$1:$GZ$303,$A44,$G$2+3)),".","-")),"⚠"&amp;INDEX(입력_구리근무자명단!$A$1:$GZ$303,$A44,$G$2+3))))))</f>
        <v/>
      </c>
      <c r="H44" s="26">
        <f>IF($D44="","",IF(OR(NOT(ISNUMBER($F44)),NOT(ISNUMBER($G44))),0,MAX(0,MIN($G44,EOMONTH(출력_요약!$B$3,0))-MAX($F44,출력_요약!$B$3)+1)))</f>
        <v/>
      </c>
      <c r="I44" s="26">
        <f>IF($D44="","",TRIM(INDEX(입력_구리근무자명단!$A$1:$GZ$303,$A44,$G$2+5)&amp;""))</f>
        <v/>
      </c>
      <c r="J44" s="26">
        <f>IF($D44="","",IF(ISNUMBER(SEARCH("구리독자",$I44)),"구리독자",""))</f>
        <v/>
      </c>
      <c r="K44" s="29">
        <f>IF($D44="","",IF(COUNTIFS(입력_전공의명단!$C$2:$C$401,$D44,입력_전공의명단!$F$2:$F$401,IF(OR($C44="인턴",ISNUMBER(SEARCH("수련교육부",$B44))),"인턴",$B44))=1,MATCH($D44&amp;"|"&amp;IF(OR($C44="인턴",ISNUMBER(SEARCH("수련교육부",$B44))),"인턴",$B44),입력_전공의명단!$AP$2:$AP$401,0),IF(AND(COUNTIFS(입력_전공의명단!$C$2:$C$401,$D44,입력_전공의명단!$F$2:$F$401,IF(OR($C44="인턴",ISNUMBER(SEARCH("수련교육부",$B44))),"인턴",$B44))=0,COUNTIF(입력_전공의명단!$C$2:$C$401,$D44)=1),MATCH($D44,입력_전공의명단!$C$2:$C$401,0),"")))</f>
        <v/>
      </c>
      <c r="L44" s="26">
        <f>IF($D44="","",IF($K44&lt;&gt;"",IF(COUNTIFS(입력_전공의명단!$C$2:$C$401,$D44,입력_전공의명단!$F$2:$F$401,IF(OR($C44="인턴",ISNUMBER(SEARCH("수련교육부",$B44))),"인턴",$B44))=1,"명단 일치","명단 일치(이름만, 과 다름)"),IF(COUNTIF(입력_전공의명단!$C$2:$C$401,$D44)=0,IF(COUNTIF(입력_기본자료!$C$2:$C$1001,$D44)&gt;0,"명단에 없음(기본자료에는 있음)","명단에 없음"),"동명이인 확인")))</f>
        <v/>
      </c>
      <c r="N44" s="8" t="n">
        <v>39</v>
      </c>
      <c r="O44" s="8">
        <f>IF(ISNUMBER(SEARCH("근무예정자",(INDEX(입력_구리근무자명단!$A$3:$GZ$3,1,39)&amp;""))),IFERROR(VALUE(LEFT((INDEX(입력_구리근무자명단!$A$3:$GZ$3,1,39)&amp;""),4))*100+VALUE(MID((INDEX(입력_구리근무자명단!$A$3:$GZ$3,1,39)&amp;""),6,MIN(FIND("월",(INDEX(입력_구리근무자명단!$A$3:$GZ$3,1,39)&amp;"")&amp;"월"),FIND(CHAR(10),(INDEX(입력_구리근무자명단!$A$3:$GZ$3,1,39)&amp;"")&amp;CHAR(10)),FIND(" ",(INDEX(입력_구리근무자명단!$A$3:$GZ$3,1,39)&amp;"")&amp;" "))-6)),""),"")</f>
        <v/>
      </c>
    </row>
    <row r="45">
      <c r="A45" s="29" t="n">
        <v>43</v>
      </c>
      <c r="B45" s="26">
        <f>IF(TRIM(INDEX(입력_구리근무자명단!$A$1:$GZ$303,$A45,1)&amp;"")&lt;&gt;"",TRIM(INDEX(입력_구리근무자명단!$A$1:$GZ$303,$A45,1)&amp;""),B44)</f>
        <v/>
      </c>
      <c r="C45" s="26">
        <f>IF(INDEX(입력_구리근무자명단!$A$1:$GZ$303,$A45,2)="","",INDEX(입력_구리근무자명단!$A$1:$GZ$303,$A45,2))</f>
        <v/>
      </c>
      <c r="D45" s="26">
        <f>IF($G$2="","",TRIM(IF($I$2="확정",INDEX(입력_구리근무자명단!$A$1:$GZ$303,$A45,$G$2+1)&amp;"",INDEX(입력_구리근무자명단!$A$1:$GZ$303,$A45,$G$2+0)&amp;"")))</f>
        <v/>
      </c>
      <c r="E45" s="26">
        <f>IF($D45="","",$I$2)</f>
        <v/>
      </c>
      <c r="F45" s="28">
        <f>IF($D45="","",IF(INDEX(입력_구리근무자명단!$A$1:$GZ$303,$A45,$G$2+2)="",출력_요약!$B$3,IF(ISNUMBER(INDEX(입력_구리근무자명단!$A$1:$GZ$303,$A45,$G$2+2)),INDEX(입력_구리근무자명단!$A$1:$GZ$303,$A45,$G$2+2),IFERROR(DATE(VALUE(LEFT(INDEX(입력_구리근무자명단!$A$1:$GZ$303,$A45,$G$2+2),4)),VALUE(MID(INDEX(입력_구리근무자명단!$A$1:$GZ$303,$A45,$G$2+2),6,2)),VALUE(MID(INDEX(입력_구리근무자명단!$A$1:$GZ$303,$A45,$G$2+2),9,2))),IFERROR(DATEVALUE(SUBSTITUTE(TRIM(INDEX(입력_구리근무자명단!$A$1:$GZ$303,$A45,$G$2+2)),".","-")),"⚠"&amp;INDEX(입력_구리근무자명단!$A$1:$GZ$303,$A45,$G$2+2))))))</f>
        <v/>
      </c>
      <c r="G45" s="28">
        <f>IF($D45="","",IF(INDEX(입력_구리근무자명단!$A$1:$GZ$303,$A45,$G$2+3)="",EOMONTH(출력_요약!$B$3,0),IF(ISNUMBER(INDEX(입력_구리근무자명단!$A$1:$GZ$303,$A45,$G$2+3)),INDEX(입력_구리근무자명단!$A$1:$GZ$303,$A45,$G$2+3),IFERROR(DATE(VALUE(LEFT(INDEX(입력_구리근무자명단!$A$1:$GZ$303,$A45,$G$2+3),4)),VALUE(MID(INDEX(입력_구리근무자명단!$A$1:$GZ$303,$A45,$G$2+3),6,2)),VALUE(MID(INDEX(입력_구리근무자명단!$A$1:$GZ$303,$A45,$G$2+3),9,2))),IFERROR(DATEVALUE(SUBSTITUTE(TRIM(INDEX(입력_구리근무자명단!$A$1:$GZ$303,$A45,$G$2+3)),".","-")),"⚠"&amp;INDEX(입력_구리근무자명단!$A$1:$GZ$303,$A45,$G$2+3))))))</f>
        <v/>
      </c>
      <c r="H45" s="26">
        <f>IF($D45="","",IF(OR(NOT(ISNUMBER($F45)),NOT(ISNUMBER($G45))),0,MAX(0,MIN($G45,EOMONTH(출력_요약!$B$3,0))-MAX($F45,출력_요약!$B$3)+1)))</f>
        <v/>
      </c>
      <c r="I45" s="26">
        <f>IF($D45="","",TRIM(INDEX(입력_구리근무자명단!$A$1:$GZ$303,$A45,$G$2+5)&amp;""))</f>
        <v/>
      </c>
      <c r="J45" s="26">
        <f>IF($D45="","",IF(ISNUMBER(SEARCH("구리독자",$I45)),"구리독자",""))</f>
        <v/>
      </c>
      <c r="K45" s="29">
        <f>IF($D45="","",IF(COUNTIFS(입력_전공의명단!$C$2:$C$401,$D45,입력_전공의명단!$F$2:$F$401,IF(OR($C45="인턴",ISNUMBER(SEARCH("수련교육부",$B45))),"인턴",$B45))=1,MATCH($D45&amp;"|"&amp;IF(OR($C45="인턴",ISNUMBER(SEARCH("수련교육부",$B45))),"인턴",$B45),입력_전공의명단!$AP$2:$AP$401,0),IF(AND(COUNTIFS(입력_전공의명단!$C$2:$C$401,$D45,입력_전공의명단!$F$2:$F$401,IF(OR($C45="인턴",ISNUMBER(SEARCH("수련교육부",$B45))),"인턴",$B45))=0,COUNTIF(입력_전공의명단!$C$2:$C$401,$D45)=1),MATCH($D45,입력_전공의명단!$C$2:$C$401,0),"")))</f>
        <v/>
      </c>
      <c r="L45" s="26">
        <f>IF($D45="","",IF($K45&lt;&gt;"",IF(COUNTIFS(입력_전공의명단!$C$2:$C$401,$D45,입력_전공의명단!$F$2:$F$401,IF(OR($C45="인턴",ISNUMBER(SEARCH("수련교육부",$B45))),"인턴",$B45))=1,"명단 일치","명단 일치(이름만, 과 다름)"),IF(COUNTIF(입력_전공의명단!$C$2:$C$401,$D45)=0,IF(COUNTIF(입력_기본자료!$C$2:$C$1001,$D45)&gt;0,"명단에 없음(기본자료에는 있음)","명단에 없음"),"동명이인 확인")))</f>
        <v/>
      </c>
      <c r="N45" s="8" t="n">
        <v>40</v>
      </c>
      <c r="O45" s="8">
        <f>IF(ISNUMBER(SEARCH("근무예정자",(INDEX(입력_구리근무자명단!$A$3:$GZ$3,1,40)&amp;""))),IFERROR(VALUE(LEFT((INDEX(입력_구리근무자명단!$A$3:$GZ$3,1,40)&amp;""),4))*100+VALUE(MID((INDEX(입력_구리근무자명단!$A$3:$GZ$3,1,40)&amp;""),6,MIN(FIND("월",(INDEX(입력_구리근무자명단!$A$3:$GZ$3,1,40)&amp;"")&amp;"월"),FIND(CHAR(10),(INDEX(입력_구리근무자명단!$A$3:$GZ$3,1,40)&amp;"")&amp;CHAR(10)),FIND(" ",(INDEX(입력_구리근무자명단!$A$3:$GZ$3,1,40)&amp;"")&amp;" "))-6)),""),"")</f>
        <v/>
      </c>
    </row>
    <row r="46">
      <c r="A46" s="29" t="n">
        <v>44</v>
      </c>
      <c r="B46" s="26">
        <f>IF(TRIM(INDEX(입력_구리근무자명단!$A$1:$GZ$303,$A46,1)&amp;"")&lt;&gt;"",TRIM(INDEX(입력_구리근무자명단!$A$1:$GZ$303,$A46,1)&amp;""),B45)</f>
        <v/>
      </c>
      <c r="C46" s="26">
        <f>IF(INDEX(입력_구리근무자명단!$A$1:$GZ$303,$A46,2)="","",INDEX(입력_구리근무자명단!$A$1:$GZ$303,$A46,2))</f>
        <v/>
      </c>
      <c r="D46" s="26">
        <f>IF($G$2="","",TRIM(IF($I$2="확정",INDEX(입력_구리근무자명단!$A$1:$GZ$303,$A46,$G$2+1)&amp;"",INDEX(입력_구리근무자명단!$A$1:$GZ$303,$A46,$G$2+0)&amp;"")))</f>
        <v/>
      </c>
      <c r="E46" s="26">
        <f>IF($D46="","",$I$2)</f>
        <v/>
      </c>
      <c r="F46" s="28">
        <f>IF($D46="","",IF(INDEX(입력_구리근무자명단!$A$1:$GZ$303,$A46,$G$2+2)="",출력_요약!$B$3,IF(ISNUMBER(INDEX(입력_구리근무자명단!$A$1:$GZ$303,$A46,$G$2+2)),INDEX(입력_구리근무자명단!$A$1:$GZ$303,$A46,$G$2+2),IFERROR(DATE(VALUE(LEFT(INDEX(입력_구리근무자명단!$A$1:$GZ$303,$A46,$G$2+2),4)),VALUE(MID(INDEX(입력_구리근무자명단!$A$1:$GZ$303,$A46,$G$2+2),6,2)),VALUE(MID(INDEX(입력_구리근무자명단!$A$1:$GZ$303,$A46,$G$2+2),9,2))),IFERROR(DATEVALUE(SUBSTITUTE(TRIM(INDEX(입력_구리근무자명단!$A$1:$GZ$303,$A46,$G$2+2)),".","-")),"⚠"&amp;INDEX(입력_구리근무자명단!$A$1:$GZ$303,$A46,$G$2+2))))))</f>
        <v/>
      </c>
      <c r="G46" s="28">
        <f>IF($D46="","",IF(INDEX(입력_구리근무자명단!$A$1:$GZ$303,$A46,$G$2+3)="",EOMONTH(출력_요약!$B$3,0),IF(ISNUMBER(INDEX(입력_구리근무자명단!$A$1:$GZ$303,$A46,$G$2+3)),INDEX(입력_구리근무자명단!$A$1:$GZ$303,$A46,$G$2+3),IFERROR(DATE(VALUE(LEFT(INDEX(입력_구리근무자명단!$A$1:$GZ$303,$A46,$G$2+3),4)),VALUE(MID(INDEX(입력_구리근무자명단!$A$1:$GZ$303,$A46,$G$2+3),6,2)),VALUE(MID(INDEX(입력_구리근무자명단!$A$1:$GZ$303,$A46,$G$2+3),9,2))),IFERROR(DATEVALUE(SUBSTITUTE(TRIM(INDEX(입력_구리근무자명단!$A$1:$GZ$303,$A46,$G$2+3)),".","-")),"⚠"&amp;INDEX(입력_구리근무자명단!$A$1:$GZ$303,$A46,$G$2+3))))))</f>
        <v/>
      </c>
      <c r="H46" s="26">
        <f>IF($D46="","",IF(OR(NOT(ISNUMBER($F46)),NOT(ISNUMBER($G46))),0,MAX(0,MIN($G46,EOMONTH(출력_요약!$B$3,0))-MAX($F46,출력_요약!$B$3)+1)))</f>
        <v/>
      </c>
      <c r="I46" s="26">
        <f>IF($D46="","",TRIM(INDEX(입력_구리근무자명단!$A$1:$GZ$303,$A46,$G$2+5)&amp;""))</f>
        <v/>
      </c>
      <c r="J46" s="26">
        <f>IF($D46="","",IF(ISNUMBER(SEARCH("구리독자",$I46)),"구리독자",""))</f>
        <v/>
      </c>
      <c r="K46" s="29">
        <f>IF($D46="","",IF(COUNTIFS(입력_전공의명단!$C$2:$C$401,$D46,입력_전공의명단!$F$2:$F$401,IF(OR($C46="인턴",ISNUMBER(SEARCH("수련교육부",$B46))),"인턴",$B46))=1,MATCH($D46&amp;"|"&amp;IF(OR($C46="인턴",ISNUMBER(SEARCH("수련교육부",$B46))),"인턴",$B46),입력_전공의명단!$AP$2:$AP$401,0),IF(AND(COUNTIFS(입력_전공의명단!$C$2:$C$401,$D46,입력_전공의명단!$F$2:$F$401,IF(OR($C46="인턴",ISNUMBER(SEARCH("수련교육부",$B46))),"인턴",$B46))=0,COUNTIF(입력_전공의명단!$C$2:$C$401,$D46)=1),MATCH($D46,입력_전공의명단!$C$2:$C$401,0),"")))</f>
        <v/>
      </c>
      <c r="L46" s="26">
        <f>IF($D46="","",IF($K46&lt;&gt;"",IF(COUNTIFS(입력_전공의명단!$C$2:$C$401,$D46,입력_전공의명단!$F$2:$F$401,IF(OR($C46="인턴",ISNUMBER(SEARCH("수련교육부",$B46))),"인턴",$B46))=1,"명단 일치","명단 일치(이름만, 과 다름)"),IF(COUNTIF(입력_전공의명단!$C$2:$C$401,$D46)=0,IF(COUNTIF(입력_기본자료!$C$2:$C$1001,$D46)&gt;0,"명단에 없음(기본자료에는 있음)","명단에 없음"),"동명이인 확인")))</f>
        <v/>
      </c>
      <c r="N46" s="8" t="n">
        <v>41</v>
      </c>
      <c r="O46" s="8">
        <f>IF(ISNUMBER(SEARCH("근무예정자",(INDEX(입력_구리근무자명단!$A$3:$GZ$3,1,41)&amp;""))),IFERROR(VALUE(LEFT((INDEX(입력_구리근무자명단!$A$3:$GZ$3,1,41)&amp;""),4))*100+VALUE(MID((INDEX(입력_구리근무자명단!$A$3:$GZ$3,1,41)&amp;""),6,MIN(FIND("월",(INDEX(입력_구리근무자명단!$A$3:$GZ$3,1,41)&amp;"")&amp;"월"),FIND(CHAR(10),(INDEX(입력_구리근무자명단!$A$3:$GZ$3,1,41)&amp;"")&amp;CHAR(10)),FIND(" ",(INDEX(입력_구리근무자명단!$A$3:$GZ$3,1,41)&amp;"")&amp;" "))-6)),""),"")</f>
        <v/>
      </c>
    </row>
    <row r="47">
      <c r="A47" s="29" t="n">
        <v>45</v>
      </c>
      <c r="B47" s="26">
        <f>IF(TRIM(INDEX(입력_구리근무자명단!$A$1:$GZ$303,$A47,1)&amp;"")&lt;&gt;"",TRIM(INDEX(입력_구리근무자명단!$A$1:$GZ$303,$A47,1)&amp;""),B46)</f>
        <v/>
      </c>
      <c r="C47" s="26">
        <f>IF(INDEX(입력_구리근무자명단!$A$1:$GZ$303,$A47,2)="","",INDEX(입력_구리근무자명단!$A$1:$GZ$303,$A47,2))</f>
        <v/>
      </c>
      <c r="D47" s="26">
        <f>IF($G$2="","",TRIM(IF($I$2="확정",INDEX(입력_구리근무자명단!$A$1:$GZ$303,$A47,$G$2+1)&amp;"",INDEX(입력_구리근무자명단!$A$1:$GZ$303,$A47,$G$2+0)&amp;"")))</f>
        <v/>
      </c>
      <c r="E47" s="26">
        <f>IF($D47="","",$I$2)</f>
        <v/>
      </c>
      <c r="F47" s="28">
        <f>IF($D47="","",IF(INDEX(입력_구리근무자명단!$A$1:$GZ$303,$A47,$G$2+2)="",출력_요약!$B$3,IF(ISNUMBER(INDEX(입력_구리근무자명단!$A$1:$GZ$303,$A47,$G$2+2)),INDEX(입력_구리근무자명단!$A$1:$GZ$303,$A47,$G$2+2),IFERROR(DATE(VALUE(LEFT(INDEX(입력_구리근무자명단!$A$1:$GZ$303,$A47,$G$2+2),4)),VALUE(MID(INDEX(입력_구리근무자명단!$A$1:$GZ$303,$A47,$G$2+2),6,2)),VALUE(MID(INDEX(입력_구리근무자명단!$A$1:$GZ$303,$A47,$G$2+2),9,2))),IFERROR(DATEVALUE(SUBSTITUTE(TRIM(INDEX(입력_구리근무자명단!$A$1:$GZ$303,$A47,$G$2+2)),".","-")),"⚠"&amp;INDEX(입력_구리근무자명단!$A$1:$GZ$303,$A47,$G$2+2))))))</f>
        <v/>
      </c>
      <c r="G47" s="28">
        <f>IF($D47="","",IF(INDEX(입력_구리근무자명단!$A$1:$GZ$303,$A47,$G$2+3)="",EOMONTH(출력_요약!$B$3,0),IF(ISNUMBER(INDEX(입력_구리근무자명단!$A$1:$GZ$303,$A47,$G$2+3)),INDEX(입력_구리근무자명단!$A$1:$GZ$303,$A47,$G$2+3),IFERROR(DATE(VALUE(LEFT(INDEX(입력_구리근무자명단!$A$1:$GZ$303,$A47,$G$2+3),4)),VALUE(MID(INDEX(입력_구리근무자명단!$A$1:$GZ$303,$A47,$G$2+3),6,2)),VALUE(MID(INDEX(입력_구리근무자명단!$A$1:$GZ$303,$A47,$G$2+3),9,2))),IFERROR(DATEVALUE(SUBSTITUTE(TRIM(INDEX(입력_구리근무자명단!$A$1:$GZ$303,$A47,$G$2+3)),".","-")),"⚠"&amp;INDEX(입력_구리근무자명단!$A$1:$GZ$303,$A47,$G$2+3))))))</f>
        <v/>
      </c>
      <c r="H47" s="26">
        <f>IF($D47="","",IF(OR(NOT(ISNUMBER($F47)),NOT(ISNUMBER($G47))),0,MAX(0,MIN($G47,EOMONTH(출력_요약!$B$3,0))-MAX($F47,출력_요약!$B$3)+1)))</f>
        <v/>
      </c>
      <c r="I47" s="26">
        <f>IF($D47="","",TRIM(INDEX(입력_구리근무자명단!$A$1:$GZ$303,$A47,$G$2+5)&amp;""))</f>
        <v/>
      </c>
      <c r="J47" s="26">
        <f>IF($D47="","",IF(ISNUMBER(SEARCH("구리독자",$I47)),"구리독자",""))</f>
        <v/>
      </c>
      <c r="K47" s="29">
        <f>IF($D47="","",IF(COUNTIFS(입력_전공의명단!$C$2:$C$401,$D47,입력_전공의명단!$F$2:$F$401,IF(OR($C47="인턴",ISNUMBER(SEARCH("수련교육부",$B47))),"인턴",$B47))=1,MATCH($D47&amp;"|"&amp;IF(OR($C47="인턴",ISNUMBER(SEARCH("수련교육부",$B47))),"인턴",$B47),입력_전공의명단!$AP$2:$AP$401,0),IF(AND(COUNTIFS(입력_전공의명단!$C$2:$C$401,$D47,입력_전공의명단!$F$2:$F$401,IF(OR($C47="인턴",ISNUMBER(SEARCH("수련교육부",$B47))),"인턴",$B47))=0,COUNTIF(입력_전공의명단!$C$2:$C$401,$D47)=1),MATCH($D47,입력_전공의명단!$C$2:$C$401,0),"")))</f>
        <v/>
      </c>
      <c r="L47" s="26">
        <f>IF($D47="","",IF($K47&lt;&gt;"",IF(COUNTIFS(입력_전공의명단!$C$2:$C$401,$D47,입력_전공의명단!$F$2:$F$401,IF(OR($C47="인턴",ISNUMBER(SEARCH("수련교육부",$B47))),"인턴",$B47))=1,"명단 일치","명단 일치(이름만, 과 다름)"),IF(COUNTIF(입력_전공의명단!$C$2:$C$401,$D47)=0,IF(COUNTIF(입력_기본자료!$C$2:$C$1001,$D47)&gt;0,"명단에 없음(기본자료에는 있음)","명단에 없음"),"동명이인 확인")))</f>
        <v/>
      </c>
      <c r="N47" s="8" t="n">
        <v>42</v>
      </c>
      <c r="O47" s="8">
        <f>IF(ISNUMBER(SEARCH("근무예정자",(INDEX(입력_구리근무자명단!$A$3:$GZ$3,1,42)&amp;""))),IFERROR(VALUE(LEFT((INDEX(입력_구리근무자명단!$A$3:$GZ$3,1,42)&amp;""),4))*100+VALUE(MID((INDEX(입력_구리근무자명단!$A$3:$GZ$3,1,42)&amp;""),6,MIN(FIND("월",(INDEX(입력_구리근무자명단!$A$3:$GZ$3,1,42)&amp;"")&amp;"월"),FIND(CHAR(10),(INDEX(입력_구리근무자명단!$A$3:$GZ$3,1,42)&amp;"")&amp;CHAR(10)),FIND(" ",(INDEX(입력_구리근무자명단!$A$3:$GZ$3,1,42)&amp;"")&amp;" "))-6)),""),"")</f>
        <v/>
      </c>
    </row>
    <row r="48">
      <c r="A48" s="29" t="n">
        <v>46</v>
      </c>
      <c r="B48" s="26">
        <f>IF(TRIM(INDEX(입력_구리근무자명단!$A$1:$GZ$303,$A48,1)&amp;"")&lt;&gt;"",TRIM(INDEX(입력_구리근무자명단!$A$1:$GZ$303,$A48,1)&amp;""),B47)</f>
        <v/>
      </c>
      <c r="C48" s="26">
        <f>IF(INDEX(입력_구리근무자명단!$A$1:$GZ$303,$A48,2)="","",INDEX(입력_구리근무자명단!$A$1:$GZ$303,$A48,2))</f>
        <v/>
      </c>
      <c r="D48" s="26">
        <f>IF($G$2="","",TRIM(IF($I$2="확정",INDEX(입력_구리근무자명단!$A$1:$GZ$303,$A48,$G$2+1)&amp;"",INDEX(입력_구리근무자명단!$A$1:$GZ$303,$A48,$G$2+0)&amp;"")))</f>
        <v/>
      </c>
      <c r="E48" s="26">
        <f>IF($D48="","",$I$2)</f>
        <v/>
      </c>
      <c r="F48" s="28">
        <f>IF($D48="","",IF(INDEX(입력_구리근무자명단!$A$1:$GZ$303,$A48,$G$2+2)="",출력_요약!$B$3,IF(ISNUMBER(INDEX(입력_구리근무자명단!$A$1:$GZ$303,$A48,$G$2+2)),INDEX(입력_구리근무자명단!$A$1:$GZ$303,$A48,$G$2+2),IFERROR(DATE(VALUE(LEFT(INDEX(입력_구리근무자명단!$A$1:$GZ$303,$A48,$G$2+2),4)),VALUE(MID(INDEX(입력_구리근무자명단!$A$1:$GZ$303,$A48,$G$2+2),6,2)),VALUE(MID(INDEX(입력_구리근무자명단!$A$1:$GZ$303,$A48,$G$2+2),9,2))),IFERROR(DATEVALUE(SUBSTITUTE(TRIM(INDEX(입력_구리근무자명단!$A$1:$GZ$303,$A48,$G$2+2)),".","-")),"⚠"&amp;INDEX(입력_구리근무자명단!$A$1:$GZ$303,$A48,$G$2+2))))))</f>
        <v/>
      </c>
      <c r="G48" s="28">
        <f>IF($D48="","",IF(INDEX(입력_구리근무자명단!$A$1:$GZ$303,$A48,$G$2+3)="",EOMONTH(출력_요약!$B$3,0),IF(ISNUMBER(INDEX(입력_구리근무자명단!$A$1:$GZ$303,$A48,$G$2+3)),INDEX(입력_구리근무자명단!$A$1:$GZ$303,$A48,$G$2+3),IFERROR(DATE(VALUE(LEFT(INDEX(입력_구리근무자명단!$A$1:$GZ$303,$A48,$G$2+3),4)),VALUE(MID(INDEX(입력_구리근무자명단!$A$1:$GZ$303,$A48,$G$2+3),6,2)),VALUE(MID(INDEX(입력_구리근무자명단!$A$1:$GZ$303,$A48,$G$2+3),9,2))),IFERROR(DATEVALUE(SUBSTITUTE(TRIM(INDEX(입력_구리근무자명단!$A$1:$GZ$303,$A48,$G$2+3)),".","-")),"⚠"&amp;INDEX(입력_구리근무자명단!$A$1:$GZ$303,$A48,$G$2+3))))))</f>
        <v/>
      </c>
      <c r="H48" s="26">
        <f>IF($D48="","",IF(OR(NOT(ISNUMBER($F48)),NOT(ISNUMBER($G48))),0,MAX(0,MIN($G48,EOMONTH(출력_요약!$B$3,0))-MAX($F48,출력_요약!$B$3)+1)))</f>
        <v/>
      </c>
      <c r="I48" s="26">
        <f>IF($D48="","",TRIM(INDEX(입력_구리근무자명단!$A$1:$GZ$303,$A48,$G$2+5)&amp;""))</f>
        <v/>
      </c>
      <c r="J48" s="26">
        <f>IF($D48="","",IF(ISNUMBER(SEARCH("구리독자",$I48)),"구리독자",""))</f>
        <v/>
      </c>
      <c r="K48" s="29">
        <f>IF($D48="","",IF(COUNTIFS(입력_전공의명단!$C$2:$C$401,$D48,입력_전공의명단!$F$2:$F$401,IF(OR($C48="인턴",ISNUMBER(SEARCH("수련교육부",$B48))),"인턴",$B48))=1,MATCH($D48&amp;"|"&amp;IF(OR($C48="인턴",ISNUMBER(SEARCH("수련교육부",$B48))),"인턴",$B48),입력_전공의명단!$AP$2:$AP$401,0),IF(AND(COUNTIFS(입력_전공의명단!$C$2:$C$401,$D48,입력_전공의명단!$F$2:$F$401,IF(OR($C48="인턴",ISNUMBER(SEARCH("수련교육부",$B48))),"인턴",$B48))=0,COUNTIF(입력_전공의명단!$C$2:$C$401,$D48)=1),MATCH($D48,입력_전공의명단!$C$2:$C$401,0),"")))</f>
        <v/>
      </c>
      <c r="L48" s="26">
        <f>IF($D48="","",IF($K48&lt;&gt;"",IF(COUNTIFS(입력_전공의명단!$C$2:$C$401,$D48,입력_전공의명단!$F$2:$F$401,IF(OR($C48="인턴",ISNUMBER(SEARCH("수련교육부",$B48))),"인턴",$B48))=1,"명단 일치","명단 일치(이름만, 과 다름)"),IF(COUNTIF(입력_전공의명단!$C$2:$C$401,$D48)=0,IF(COUNTIF(입력_기본자료!$C$2:$C$1001,$D48)&gt;0,"명단에 없음(기본자료에는 있음)","명단에 없음"),"동명이인 확인")))</f>
        <v/>
      </c>
      <c r="N48" s="8" t="n">
        <v>43</v>
      </c>
      <c r="O48" s="8">
        <f>IF(ISNUMBER(SEARCH("근무예정자",(INDEX(입력_구리근무자명단!$A$3:$GZ$3,1,43)&amp;""))),IFERROR(VALUE(LEFT((INDEX(입력_구리근무자명단!$A$3:$GZ$3,1,43)&amp;""),4))*100+VALUE(MID((INDEX(입력_구리근무자명단!$A$3:$GZ$3,1,43)&amp;""),6,MIN(FIND("월",(INDEX(입력_구리근무자명단!$A$3:$GZ$3,1,43)&amp;"")&amp;"월"),FIND(CHAR(10),(INDEX(입력_구리근무자명단!$A$3:$GZ$3,1,43)&amp;"")&amp;CHAR(10)),FIND(" ",(INDEX(입력_구리근무자명단!$A$3:$GZ$3,1,43)&amp;"")&amp;" "))-6)),""),"")</f>
        <v/>
      </c>
    </row>
    <row r="49">
      <c r="A49" s="29" t="n">
        <v>47</v>
      </c>
      <c r="B49" s="26">
        <f>IF(TRIM(INDEX(입력_구리근무자명단!$A$1:$GZ$303,$A49,1)&amp;"")&lt;&gt;"",TRIM(INDEX(입력_구리근무자명단!$A$1:$GZ$303,$A49,1)&amp;""),B48)</f>
        <v/>
      </c>
      <c r="C49" s="26">
        <f>IF(INDEX(입력_구리근무자명단!$A$1:$GZ$303,$A49,2)="","",INDEX(입력_구리근무자명단!$A$1:$GZ$303,$A49,2))</f>
        <v/>
      </c>
      <c r="D49" s="26">
        <f>IF($G$2="","",TRIM(IF($I$2="확정",INDEX(입력_구리근무자명단!$A$1:$GZ$303,$A49,$G$2+1)&amp;"",INDEX(입력_구리근무자명단!$A$1:$GZ$303,$A49,$G$2+0)&amp;"")))</f>
        <v/>
      </c>
      <c r="E49" s="26">
        <f>IF($D49="","",$I$2)</f>
        <v/>
      </c>
      <c r="F49" s="28">
        <f>IF($D49="","",IF(INDEX(입력_구리근무자명단!$A$1:$GZ$303,$A49,$G$2+2)="",출력_요약!$B$3,IF(ISNUMBER(INDEX(입력_구리근무자명단!$A$1:$GZ$303,$A49,$G$2+2)),INDEX(입력_구리근무자명단!$A$1:$GZ$303,$A49,$G$2+2),IFERROR(DATE(VALUE(LEFT(INDEX(입력_구리근무자명단!$A$1:$GZ$303,$A49,$G$2+2),4)),VALUE(MID(INDEX(입력_구리근무자명단!$A$1:$GZ$303,$A49,$G$2+2),6,2)),VALUE(MID(INDEX(입력_구리근무자명단!$A$1:$GZ$303,$A49,$G$2+2),9,2))),IFERROR(DATEVALUE(SUBSTITUTE(TRIM(INDEX(입력_구리근무자명단!$A$1:$GZ$303,$A49,$G$2+2)),".","-")),"⚠"&amp;INDEX(입력_구리근무자명단!$A$1:$GZ$303,$A49,$G$2+2))))))</f>
        <v/>
      </c>
      <c r="G49" s="28">
        <f>IF($D49="","",IF(INDEX(입력_구리근무자명단!$A$1:$GZ$303,$A49,$G$2+3)="",EOMONTH(출력_요약!$B$3,0),IF(ISNUMBER(INDEX(입력_구리근무자명단!$A$1:$GZ$303,$A49,$G$2+3)),INDEX(입력_구리근무자명단!$A$1:$GZ$303,$A49,$G$2+3),IFERROR(DATE(VALUE(LEFT(INDEX(입력_구리근무자명단!$A$1:$GZ$303,$A49,$G$2+3),4)),VALUE(MID(INDEX(입력_구리근무자명단!$A$1:$GZ$303,$A49,$G$2+3),6,2)),VALUE(MID(INDEX(입력_구리근무자명단!$A$1:$GZ$303,$A49,$G$2+3),9,2))),IFERROR(DATEVALUE(SUBSTITUTE(TRIM(INDEX(입력_구리근무자명단!$A$1:$GZ$303,$A49,$G$2+3)),".","-")),"⚠"&amp;INDEX(입력_구리근무자명단!$A$1:$GZ$303,$A49,$G$2+3))))))</f>
        <v/>
      </c>
      <c r="H49" s="26">
        <f>IF($D49="","",IF(OR(NOT(ISNUMBER($F49)),NOT(ISNUMBER($G49))),0,MAX(0,MIN($G49,EOMONTH(출력_요약!$B$3,0))-MAX($F49,출력_요약!$B$3)+1)))</f>
        <v/>
      </c>
      <c r="I49" s="26">
        <f>IF($D49="","",TRIM(INDEX(입력_구리근무자명단!$A$1:$GZ$303,$A49,$G$2+5)&amp;""))</f>
        <v/>
      </c>
      <c r="J49" s="26">
        <f>IF($D49="","",IF(ISNUMBER(SEARCH("구리독자",$I49)),"구리독자",""))</f>
        <v/>
      </c>
      <c r="K49" s="29">
        <f>IF($D49="","",IF(COUNTIFS(입력_전공의명단!$C$2:$C$401,$D49,입력_전공의명단!$F$2:$F$401,IF(OR($C49="인턴",ISNUMBER(SEARCH("수련교육부",$B49))),"인턴",$B49))=1,MATCH($D49&amp;"|"&amp;IF(OR($C49="인턴",ISNUMBER(SEARCH("수련교육부",$B49))),"인턴",$B49),입력_전공의명단!$AP$2:$AP$401,0),IF(AND(COUNTIFS(입력_전공의명단!$C$2:$C$401,$D49,입력_전공의명단!$F$2:$F$401,IF(OR($C49="인턴",ISNUMBER(SEARCH("수련교육부",$B49))),"인턴",$B49))=0,COUNTIF(입력_전공의명단!$C$2:$C$401,$D49)=1),MATCH($D49,입력_전공의명단!$C$2:$C$401,0),"")))</f>
        <v/>
      </c>
      <c r="L49" s="26">
        <f>IF($D49="","",IF($K49&lt;&gt;"",IF(COUNTIFS(입력_전공의명단!$C$2:$C$401,$D49,입력_전공의명단!$F$2:$F$401,IF(OR($C49="인턴",ISNUMBER(SEARCH("수련교육부",$B49))),"인턴",$B49))=1,"명단 일치","명단 일치(이름만, 과 다름)"),IF(COUNTIF(입력_전공의명단!$C$2:$C$401,$D49)=0,IF(COUNTIF(입력_기본자료!$C$2:$C$1001,$D49)&gt;0,"명단에 없음(기본자료에는 있음)","명단에 없음"),"동명이인 확인")))</f>
        <v/>
      </c>
      <c r="N49" s="8" t="n">
        <v>44</v>
      </c>
      <c r="O49" s="8">
        <f>IF(ISNUMBER(SEARCH("근무예정자",(INDEX(입력_구리근무자명단!$A$3:$GZ$3,1,44)&amp;""))),IFERROR(VALUE(LEFT((INDEX(입력_구리근무자명단!$A$3:$GZ$3,1,44)&amp;""),4))*100+VALUE(MID((INDEX(입력_구리근무자명단!$A$3:$GZ$3,1,44)&amp;""),6,MIN(FIND("월",(INDEX(입력_구리근무자명단!$A$3:$GZ$3,1,44)&amp;"")&amp;"월"),FIND(CHAR(10),(INDEX(입력_구리근무자명단!$A$3:$GZ$3,1,44)&amp;"")&amp;CHAR(10)),FIND(" ",(INDEX(입력_구리근무자명단!$A$3:$GZ$3,1,44)&amp;"")&amp;" "))-6)),""),"")</f>
        <v/>
      </c>
    </row>
    <row r="50">
      <c r="A50" s="29" t="n">
        <v>48</v>
      </c>
      <c r="B50" s="26">
        <f>IF(TRIM(INDEX(입력_구리근무자명단!$A$1:$GZ$303,$A50,1)&amp;"")&lt;&gt;"",TRIM(INDEX(입력_구리근무자명단!$A$1:$GZ$303,$A50,1)&amp;""),B49)</f>
        <v/>
      </c>
      <c r="C50" s="26">
        <f>IF(INDEX(입력_구리근무자명단!$A$1:$GZ$303,$A50,2)="","",INDEX(입력_구리근무자명단!$A$1:$GZ$303,$A50,2))</f>
        <v/>
      </c>
      <c r="D50" s="26">
        <f>IF($G$2="","",TRIM(IF($I$2="확정",INDEX(입력_구리근무자명단!$A$1:$GZ$303,$A50,$G$2+1)&amp;"",INDEX(입력_구리근무자명단!$A$1:$GZ$303,$A50,$G$2+0)&amp;"")))</f>
        <v/>
      </c>
      <c r="E50" s="26">
        <f>IF($D50="","",$I$2)</f>
        <v/>
      </c>
      <c r="F50" s="28">
        <f>IF($D50="","",IF(INDEX(입력_구리근무자명단!$A$1:$GZ$303,$A50,$G$2+2)="",출력_요약!$B$3,IF(ISNUMBER(INDEX(입력_구리근무자명단!$A$1:$GZ$303,$A50,$G$2+2)),INDEX(입력_구리근무자명단!$A$1:$GZ$303,$A50,$G$2+2),IFERROR(DATE(VALUE(LEFT(INDEX(입력_구리근무자명단!$A$1:$GZ$303,$A50,$G$2+2),4)),VALUE(MID(INDEX(입력_구리근무자명단!$A$1:$GZ$303,$A50,$G$2+2),6,2)),VALUE(MID(INDEX(입력_구리근무자명단!$A$1:$GZ$303,$A50,$G$2+2),9,2))),IFERROR(DATEVALUE(SUBSTITUTE(TRIM(INDEX(입력_구리근무자명단!$A$1:$GZ$303,$A50,$G$2+2)),".","-")),"⚠"&amp;INDEX(입력_구리근무자명단!$A$1:$GZ$303,$A50,$G$2+2))))))</f>
        <v/>
      </c>
      <c r="G50" s="28">
        <f>IF($D50="","",IF(INDEX(입력_구리근무자명단!$A$1:$GZ$303,$A50,$G$2+3)="",EOMONTH(출력_요약!$B$3,0),IF(ISNUMBER(INDEX(입력_구리근무자명단!$A$1:$GZ$303,$A50,$G$2+3)),INDEX(입력_구리근무자명단!$A$1:$GZ$303,$A50,$G$2+3),IFERROR(DATE(VALUE(LEFT(INDEX(입력_구리근무자명단!$A$1:$GZ$303,$A50,$G$2+3),4)),VALUE(MID(INDEX(입력_구리근무자명단!$A$1:$GZ$303,$A50,$G$2+3),6,2)),VALUE(MID(INDEX(입력_구리근무자명단!$A$1:$GZ$303,$A50,$G$2+3),9,2))),IFERROR(DATEVALUE(SUBSTITUTE(TRIM(INDEX(입력_구리근무자명단!$A$1:$GZ$303,$A50,$G$2+3)),".","-")),"⚠"&amp;INDEX(입력_구리근무자명단!$A$1:$GZ$303,$A50,$G$2+3))))))</f>
        <v/>
      </c>
      <c r="H50" s="26">
        <f>IF($D50="","",IF(OR(NOT(ISNUMBER($F50)),NOT(ISNUMBER($G50))),0,MAX(0,MIN($G50,EOMONTH(출력_요약!$B$3,0))-MAX($F50,출력_요약!$B$3)+1)))</f>
        <v/>
      </c>
      <c r="I50" s="26">
        <f>IF($D50="","",TRIM(INDEX(입력_구리근무자명단!$A$1:$GZ$303,$A50,$G$2+5)&amp;""))</f>
        <v/>
      </c>
      <c r="J50" s="26">
        <f>IF($D50="","",IF(ISNUMBER(SEARCH("구리독자",$I50)),"구리독자",""))</f>
        <v/>
      </c>
      <c r="K50" s="29">
        <f>IF($D50="","",IF(COUNTIFS(입력_전공의명단!$C$2:$C$401,$D50,입력_전공의명단!$F$2:$F$401,IF(OR($C50="인턴",ISNUMBER(SEARCH("수련교육부",$B50))),"인턴",$B50))=1,MATCH($D50&amp;"|"&amp;IF(OR($C50="인턴",ISNUMBER(SEARCH("수련교육부",$B50))),"인턴",$B50),입력_전공의명단!$AP$2:$AP$401,0),IF(AND(COUNTIFS(입력_전공의명단!$C$2:$C$401,$D50,입력_전공의명단!$F$2:$F$401,IF(OR($C50="인턴",ISNUMBER(SEARCH("수련교육부",$B50))),"인턴",$B50))=0,COUNTIF(입력_전공의명단!$C$2:$C$401,$D50)=1),MATCH($D50,입력_전공의명단!$C$2:$C$401,0),"")))</f>
        <v/>
      </c>
      <c r="L50" s="26">
        <f>IF($D50="","",IF($K50&lt;&gt;"",IF(COUNTIFS(입력_전공의명단!$C$2:$C$401,$D50,입력_전공의명단!$F$2:$F$401,IF(OR($C50="인턴",ISNUMBER(SEARCH("수련교육부",$B50))),"인턴",$B50))=1,"명단 일치","명단 일치(이름만, 과 다름)"),IF(COUNTIF(입력_전공의명단!$C$2:$C$401,$D50)=0,IF(COUNTIF(입력_기본자료!$C$2:$C$1001,$D50)&gt;0,"명단에 없음(기본자료에는 있음)","명단에 없음"),"동명이인 확인")))</f>
        <v/>
      </c>
      <c r="N50" s="8" t="n">
        <v>45</v>
      </c>
      <c r="O50" s="8">
        <f>IF(ISNUMBER(SEARCH("근무예정자",(INDEX(입력_구리근무자명단!$A$3:$GZ$3,1,45)&amp;""))),IFERROR(VALUE(LEFT((INDEX(입력_구리근무자명단!$A$3:$GZ$3,1,45)&amp;""),4))*100+VALUE(MID((INDEX(입력_구리근무자명단!$A$3:$GZ$3,1,45)&amp;""),6,MIN(FIND("월",(INDEX(입력_구리근무자명단!$A$3:$GZ$3,1,45)&amp;"")&amp;"월"),FIND(CHAR(10),(INDEX(입력_구리근무자명단!$A$3:$GZ$3,1,45)&amp;"")&amp;CHAR(10)),FIND(" ",(INDEX(입력_구리근무자명단!$A$3:$GZ$3,1,45)&amp;"")&amp;" "))-6)),""),"")</f>
        <v/>
      </c>
    </row>
    <row r="51">
      <c r="A51" s="29" t="n">
        <v>49</v>
      </c>
      <c r="B51" s="26">
        <f>IF(TRIM(INDEX(입력_구리근무자명단!$A$1:$GZ$303,$A51,1)&amp;"")&lt;&gt;"",TRIM(INDEX(입력_구리근무자명단!$A$1:$GZ$303,$A51,1)&amp;""),B50)</f>
        <v/>
      </c>
      <c r="C51" s="26">
        <f>IF(INDEX(입력_구리근무자명단!$A$1:$GZ$303,$A51,2)="","",INDEX(입력_구리근무자명단!$A$1:$GZ$303,$A51,2))</f>
        <v/>
      </c>
      <c r="D51" s="26">
        <f>IF($G$2="","",TRIM(IF($I$2="확정",INDEX(입력_구리근무자명단!$A$1:$GZ$303,$A51,$G$2+1)&amp;"",INDEX(입력_구리근무자명단!$A$1:$GZ$303,$A51,$G$2+0)&amp;"")))</f>
        <v/>
      </c>
      <c r="E51" s="26">
        <f>IF($D51="","",$I$2)</f>
        <v/>
      </c>
      <c r="F51" s="28">
        <f>IF($D51="","",IF(INDEX(입력_구리근무자명단!$A$1:$GZ$303,$A51,$G$2+2)="",출력_요약!$B$3,IF(ISNUMBER(INDEX(입력_구리근무자명단!$A$1:$GZ$303,$A51,$G$2+2)),INDEX(입력_구리근무자명단!$A$1:$GZ$303,$A51,$G$2+2),IFERROR(DATE(VALUE(LEFT(INDEX(입력_구리근무자명단!$A$1:$GZ$303,$A51,$G$2+2),4)),VALUE(MID(INDEX(입력_구리근무자명단!$A$1:$GZ$303,$A51,$G$2+2),6,2)),VALUE(MID(INDEX(입력_구리근무자명단!$A$1:$GZ$303,$A51,$G$2+2),9,2))),IFERROR(DATEVALUE(SUBSTITUTE(TRIM(INDEX(입력_구리근무자명단!$A$1:$GZ$303,$A51,$G$2+2)),".","-")),"⚠"&amp;INDEX(입력_구리근무자명단!$A$1:$GZ$303,$A51,$G$2+2))))))</f>
        <v/>
      </c>
      <c r="G51" s="28">
        <f>IF($D51="","",IF(INDEX(입력_구리근무자명단!$A$1:$GZ$303,$A51,$G$2+3)="",EOMONTH(출력_요약!$B$3,0),IF(ISNUMBER(INDEX(입력_구리근무자명단!$A$1:$GZ$303,$A51,$G$2+3)),INDEX(입력_구리근무자명단!$A$1:$GZ$303,$A51,$G$2+3),IFERROR(DATE(VALUE(LEFT(INDEX(입력_구리근무자명단!$A$1:$GZ$303,$A51,$G$2+3),4)),VALUE(MID(INDEX(입력_구리근무자명단!$A$1:$GZ$303,$A51,$G$2+3),6,2)),VALUE(MID(INDEX(입력_구리근무자명단!$A$1:$GZ$303,$A51,$G$2+3),9,2))),IFERROR(DATEVALUE(SUBSTITUTE(TRIM(INDEX(입력_구리근무자명단!$A$1:$GZ$303,$A51,$G$2+3)),".","-")),"⚠"&amp;INDEX(입력_구리근무자명단!$A$1:$GZ$303,$A51,$G$2+3))))))</f>
        <v/>
      </c>
      <c r="H51" s="26">
        <f>IF($D51="","",IF(OR(NOT(ISNUMBER($F51)),NOT(ISNUMBER($G51))),0,MAX(0,MIN($G51,EOMONTH(출력_요약!$B$3,0))-MAX($F51,출력_요약!$B$3)+1)))</f>
        <v/>
      </c>
      <c r="I51" s="26">
        <f>IF($D51="","",TRIM(INDEX(입력_구리근무자명단!$A$1:$GZ$303,$A51,$G$2+5)&amp;""))</f>
        <v/>
      </c>
      <c r="J51" s="26">
        <f>IF($D51="","",IF(ISNUMBER(SEARCH("구리독자",$I51)),"구리독자",""))</f>
        <v/>
      </c>
      <c r="K51" s="29">
        <f>IF($D51="","",IF(COUNTIFS(입력_전공의명단!$C$2:$C$401,$D51,입력_전공의명단!$F$2:$F$401,IF(OR($C51="인턴",ISNUMBER(SEARCH("수련교육부",$B51))),"인턴",$B51))=1,MATCH($D51&amp;"|"&amp;IF(OR($C51="인턴",ISNUMBER(SEARCH("수련교육부",$B51))),"인턴",$B51),입력_전공의명단!$AP$2:$AP$401,0),IF(AND(COUNTIFS(입력_전공의명단!$C$2:$C$401,$D51,입력_전공의명단!$F$2:$F$401,IF(OR($C51="인턴",ISNUMBER(SEARCH("수련교육부",$B51))),"인턴",$B51))=0,COUNTIF(입력_전공의명단!$C$2:$C$401,$D51)=1),MATCH($D51,입력_전공의명단!$C$2:$C$401,0),"")))</f>
        <v/>
      </c>
      <c r="L51" s="26">
        <f>IF($D51="","",IF($K51&lt;&gt;"",IF(COUNTIFS(입력_전공의명단!$C$2:$C$401,$D51,입력_전공의명단!$F$2:$F$401,IF(OR($C51="인턴",ISNUMBER(SEARCH("수련교육부",$B51))),"인턴",$B51))=1,"명단 일치","명단 일치(이름만, 과 다름)"),IF(COUNTIF(입력_전공의명단!$C$2:$C$401,$D51)=0,IF(COUNTIF(입력_기본자료!$C$2:$C$1001,$D51)&gt;0,"명단에 없음(기본자료에는 있음)","명단에 없음"),"동명이인 확인")))</f>
        <v/>
      </c>
      <c r="N51" s="8" t="n">
        <v>46</v>
      </c>
      <c r="O51" s="8">
        <f>IF(ISNUMBER(SEARCH("근무예정자",(INDEX(입력_구리근무자명단!$A$3:$GZ$3,1,46)&amp;""))),IFERROR(VALUE(LEFT((INDEX(입력_구리근무자명단!$A$3:$GZ$3,1,46)&amp;""),4))*100+VALUE(MID((INDEX(입력_구리근무자명단!$A$3:$GZ$3,1,46)&amp;""),6,MIN(FIND("월",(INDEX(입력_구리근무자명단!$A$3:$GZ$3,1,46)&amp;"")&amp;"월"),FIND(CHAR(10),(INDEX(입력_구리근무자명단!$A$3:$GZ$3,1,46)&amp;"")&amp;CHAR(10)),FIND(" ",(INDEX(입력_구리근무자명단!$A$3:$GZ$3,1,46)&amp;"")&amp;" "))-6)),""),"")</f>
        <v/>
      </c>
    </row>
    <row r="52">
      <c r="A52" s="29" t="n">
        <v>50</v>
      </c>
      <c r="B52" s="26">
        <f>IF(TRIM(INDEX(입력_구리근무자명단!$A$1:$GZ$303,$A52,1)&amp;"")&lt;&gt;"",TRIM(INDEX(입력_구리근무자명단!$A$1:$GZ$303,$A52,1)&amp;""),B51)</f>
        <v/>
      </c>
      <c r="C52" s="26">
        <f>IF(INDEX(입력_구리근무자명단!$A$1:$GZ$303,$A52,2)="","",INDEX(입력_구리근무자명단!$A$1:$GZ$303,$A52,2))</f>
        <v/>
      </c>
      <c r="D52" s="26">
        <f>IF($G$2="","",TRIM(IF($I$2="확정",INDEX(입력_구리근무자명단!$A$1:$GZ$303,$A52,$G$2+1)&amp;"",INDEX(입력_구리근무자명단!$A$1:$GZ$303,$A52,$G$2+0)&amp;"")))</f>
        <v/>
      </c>
      <c r="E52" s="26">
        <f>IF($D52="","",$I$2)</f>
        <v/>
      </c>
      <c r="F52" s="28">
        <f>IF($D52="","",IF(INDEX(입력_구리근무자명단!$A$1:$GZ$303,$A52,$G$2+2)="",출력_요약!$B$3,IF(ISNUMBER(INDEX(입력_구리근무자명단!$A$1:$GZ$303,$A52,$G$2+2)),INDEX(입력_구리근무자명단!$A$1:$GZ$303,$A52,$G$2+2),IFERROR(DATE(VALUE(LEFT(INDEX(입력_구리근무자명단!$A$1:$GZ$303,$A52,$G$2+2),4)),VALUE(MID(INDEX(입력_구리근무자명단!$A$1:$GZ$303,$A52,$G$2+2),6,2)),VALUE(MID(INDEX(입력_구리근무자명단!$A$1:$GZ$303,$A52,$G$2+2),9,2))),IFERROR(DATEVALUE(SUBSTITUTE(TRIM(INDEX(입력_구리근무자명단!$A$1:$GZ$303,$A52,$G$2+2)),".","-")),"⚠"&amp;INDEX(입력_구리근무자명단!$A$1:$GZ$303,$A52,$G$2+2))))))</f>
        <v/>
      </c>
      <c r="G52" s="28">
        <f>IF($D52="","",IF(INDEX(입력_구리근무자명단!$A$1:$GZ$303,$A52,$G$2+3)="",EOMONTH(출력_요약!$B$3,0),IF(ISNUMBER(INDEX(입력_구리근무자명단!$A$1:$GZ$303,$A52,$G$2+3)),INDEX(입력_구리근무자명단!$A$1:$GZ$303,$A52,$G$2+3),IFERROR(DATE(VALUE(LEFT(INDEX(입력_구리근무자명단!$A$1:$GZ$303,$A52,$G$2+3),4)),VALUE(MID(INDEX(입력_구리근무자명단!$A$1:$GZ$303,$A52,$G$2+3),6,2)),VALUE(MID(INDEX(입력_구리근무자명단!$A$1:$GZ$303,$A52,$G$2+3),9,2))),IFERROR(DATEVALUE(SUBSTITUTE(TRIM(INDEX(입력_구리근무자명단!$A$1:$GZ$303,$A52,$G$2+3)),".","-")),"⚠"&amp;INDEX(입력_구리근무자명단!$A$1:$GZ$303,$A52,$G$2+3))))))</f>
        <v/>
      </c>
      <c r="H52" s="26">
        <f>IF($D52="","",IF(OR(NOT(ISNUMBER($F52)),NOT(ISNUMBER($G52))),0,MAX(0,MIN($G52,EOMONTH(출력_요약!$B$3,0))-MAX($F52,출력_요약!$B$3)+1)))</f>
        <v/>
      </c>
      <c r="I52" s="26">
        <f>IF($D52="","",TRIM(INDEX(입력_구리근무자명단!$A$1:$GZ$303,$A52,$G$2+5)&amp;""))</f>
        <v/>
      </c>
      <c r="J52" s="26">
        <f>IF($D52="","",IF(ISNUMBER(SEARCH("구리독자",$I52)),"구리독자",""))</f>
        <v/>
      </c>
      <c r="K52" s="29">
        <f>IF($D52="","",IF(COUNTIFS(입력_전공의명단!$C$2:$C$401,$D52,입력_전공의명단!$F$2:$F$401,IF(OR($C52="인턴",ISNUMBER(SEARCH("수련교육부",$B52))),"인턴",$B52))=1,MATCH($D52&amp;"|"&amp;IF(OR($C52="인턴",ISNUMBER(SEARCH("수련교육부",$B52))),"인턴",$B52),입력_전공의명단!$AP$2:$AP$401,0),IF(AND(COUNTIFS(입력_전공의명단!$C$2:$C$401,$D52,입력_전공의명단!$F$2:$F$401,IF(OR($C52="인턴",ISNUMBER(SEARCH("수련교육부",$B52))),"인턴",$B52))=0,COUNTIF(입력_전공의명단!$C$2:$C$401,$D52)=1),MATCH($D52,입력_전공의명단!$C$2:$C$401,0),"")))</f>
        <v/>
      </c>
      <c r="L52" s="26">
        <f>IF($D52="","",IF($K52&lt;&gt;"",IF(COUNTIFS(입력_전공의명단!$C$2:$C$401,$D52,입력_전공의명단!$F$2:$F$401,IF(OR($C52="인턴",ISNUMBER(SEARCH("수련교육부",$B52))),"인턴",$B52))=1,"명단 일치","명단 일치(이름만, 과 다름)"),IF(COUNTIF(입력_전공의명단!$C$2:$C$401,$D52)=0,IF(COUNTIF(입력_기본자료!$C$2:$C$1001,$D52)&gt;0,"명단에 없음(기본자료에는 있음)","명단에 없음"),"동명이인 확인")))</f>
        <v/>
      </c>
      <c r="N52" s="8" t="n">
        <v>47</v>
      </c>
      <c r="O52" s="8">
        <f>IF(ISNUMBER(SEARCH("근무예정자",(INDEX(입력_구리근무자명단!$A$3:$GZ$3,1,47)&amp;""))),IFERROR(VALUE(LEFT((INDEX(입력_구리근무자명단!$A$3:$GZ$3,1,47)&amp;""),4))*100+VALUE(MID((INDEX(입력_구리근무자명단!$A$3:$GZ$3,1,47)&amp;""),6,MIN(FIND("월",(INDEX(입력_구리근무자명단!$A$3:$GZ$3,1,47)&amp;"")&amp;"월"),FIND(CHAR(10),(INDEX(입력_구리근무자명단!$A$3:$GZ$3,1,47)&amp;"")&amp;CHAR(10)),FIND(" ",(INDEX(입력_구리근무자명단!$A$3:$GZ$3,1,47)&amp;"")&amp;" "))-6)),""),"")</f>
        <v/>
      </c>
    </row>
    <row r="53">
      <c r="A53" s="29" t="n">
        <v>51</v>
      </c>
      <c r="B53" s="26">
        <f>IF(TRIM(INDEX(입력_구리근무자명단!$A$1:$GZ$303,$A53,1)&amp;"")&lt;&gt;"",TRIM(INDEX(입력_구리근무자명단!$A$1:$GZ$303,$A53,1)&amp;""),B52)</f>
        <v/>
      </c>
      <c r="C53" s="26">
        <f>IF(INDEX(입력_구리근무자명단!$A$1:$GZ$303,$A53,2)="","",INDEX(입력_구리근무자명단!$A$1:$GZ$303,$A53,2))</f>
        <v/>
      </c>
      <c r="D53" s="26">
        <f>IF($G$2="","",TRIM(IF($I$2="확정",INDEX(입력_구리근무자명단!$A$1:$GZ$303,$A53,$G$2+1)&amp;"",INDEX(입력_구리근무자명단!$A$1:$GZ$303,$A53,$G$2+0)&amp;"")))</f>
        <v/>
      </c>
      <c r="E53" s="26">
        <f>IF($D53="","",$I$2)</f>
        <v/>
      </c>
      <c r="F53" s="28">
        <f>IF($D53="","",IF(INDEX(입력_구리근무자명단!$A$1:$GZ$303,$A53,$G$2+2)="",출력_요약!$B$3,IF(ISNUMBER(INDEX(입력_구리근무자명단!$A$1:$GZ$303,$A53,$G$2+2)),INDEX(입력_구리근무자명단!$A$1:$GZ$303,$A53,$G$2+2),IFERROR(DATE(VALUE(LEFT(INDEX(입력_구리근무자명단!$A$1:$GZ$303,$A53,$G$2+2),4)),VALUE(MID(INDEX(입력_구리근무자명단!$A$1:$GZ$303,$A53,$G$2+2),6,2)),VALUE(MID(INDEX(입력_구리근무자명단!$A$1:$GZ$303,$A53,$G$2+2),9,2))),IFERROR(DATEVALUE(SUBSTITUTE(TRIM(INDEX(입력_구리근무자명단!$A$1:$GZ$303,$A53,$G$2+2)),".","-")),"⚠"&amp;INDEX(입력_구리근무자명단!$A$1:$GZ$303,$A53,$G$2+2))))))</f>
        <v/>
      </c>
      <c r="G53" s="28">
        <f>IF($D53="","",IF(INDEX(입력_구리근무자명단!$A$1:$GZ$303,$A53,$G$2+3)="",EOMONTH(출력_요약!$B$3,0),IF(ISNUMBER(INDEX(입력_구리근무자명단!$A$1:$GZ$303,$A53,$G$2+3)),INDEX(입력_구리근무자명단!$A$1:$GZ$303,$A53,$G$2+3),IFERROR(DATE(VALUE(LEFT(INDEX(입력_구리근무자명단!$A$1:$GZ$303,$A53,$G$2+3),4)),VALUE(MID(INDEX(입력_구리근무자명단!$A$1:$GZ$303,$A53,$G$2+3),6,2)),VALUE(MID(INDEX(입력_구리근무자명단!$A$1:$GZ$303,$A53,$G$2+3),9,2))),IFERROR(DATEVALUE(SUBSTITUTE(TRIM(INDEX(입력_구리근무자명단!$A$1:$GZ$303,$A53,$G$2+3)),".","-")),"⚠"&amp;INDEX(입력_구리근무자명단!$A$1:$GZ$303,$A53,$G$2+3))))))</f>
        <v/>
      </c>
      <c r="H53" s="26">
        <f>IF($D53="","",IF(OR(NOT(ISNUMBER($F53)),NOT(ISNUMBER($G53))),0,MAX(0,MIN($G53,EOMONTH(출력_요약!$B$3,0))-MAX($F53,출력_요약!$B$3)+1)))</f>
        <v/>
      </c>
      <c r="I53" s="26">
        <f>IF($D53="","",TRIM(INDEX(입력_구리근무자명단!$A$1:$GZ$303,$A53,$G$2+5)&amp;""))</f>
        <v/>
      </c>
      <c r="J53" s="26">
        <f>IF($D53="","",IF(ISNUMBER(SEARCH("구리독자",$I53)),"구리독자",""))</f>
        <v/>
      </c>
      <c r="K53" s="29">
        <f>IF($D53="","",IF(COUNTIFS(입력_전공의명단!$C$2:$C$401,$D53,입력_전공의명단!$F$2:$F$401,IF(OR($C53="인턴",ISNUMBER(SEARCH("수련교육부",$B53))),"인턴",$B53))=1,MATCH($D53&amp;"|"&amp;IF(OR($C53="인턴",ISNUMBER(SEARCH("수련교육부",$B53))),"인턴",$B53),입력_전공의명단!$AP$2:$AP$401,0),IF(AND(COUNTIFS(입력_전공의명단!$C$2:$C$401,$D53,입력_전공의명단!$F$2:$F$401,IF(OR($C53="인턴",ISNUMBER(SEARCH("수련교육부",$B53))),"인턴",$B53))=0,COUNTIF(입력_전공의명단!$C$2:$C$401,$D53)=1),MATCH($D53,입력_전공의명단!$C$2:$C$401,0),"")))</f>
        <v/>
      </c>
      <c r="L53" s="26">
        <f>IF($D53="","",IF($K53&lt;&gt;"",IF(COUNTIFS(입력_전공의명단!$C$2:$C$401,$D53,입력_전공의명단!$F$2:$F$401,IF(OR($C53="인턴",ISNUMBER(SEARCH("수련교육부",$B53))),"인턴",$B53))=1,"명단 일치","명단 일치(이름만, 과 다름)"),IF(COUNTIF(입력_전공의명단!$C$2:$C$401,$D53)=0,IF(COUNTIF(입력_기본자료!$C$2:$C$1001,$D53)&gt;0,"명단에 없음(기본자료에는 있음)","명단에 없음"),"동명이인 확인")))</f>
        <v/>
      </c>
      <c r="N53" s="8" t="n">
        <v>48</v>
      </c>
      <c r="O53" s="8">
        <f>IF(ISNUMBER(SEARCH("근무예정자",(INDEX(입력_구리근무자명단!$A$3:$GZ$3,1,48)&amp;""))),IFERROR(VALUE(LEFT((INDEX(입력_구리근무자명단!$A$3:$GZ$3,1,48)&amp;""),4))*100+VALUE(MID((INDEX(입력_구리근무자명단!$A$3:$GZ$3,1,48)&amp;""),6,MIN(FIND("월",(INDEX(입력_구리근무자명단!$A$3:$GZ$3,1,48)&amp;"")&amp;"월"),FIND(CHAR(10),(INDEX(입력_구리근무자명단!$A$3:$GZ$3,1,48)&amp;"")&amp;CHAR(10)),FIND(" ",(INDEX(입력_구리근무자명단!$A$3:$GZ$3,1,48)&amp;"")&amp;" "))-6)),""),"")</f>
        <v/>
      </c>
    </row>
    <row r="54">
      <c r="A54" s="29" t="n">
        <v>52</v>
      </c>
      <c r="B54" s="26">
        <f>IF(TRIM(INDEX(입력_구리근무자명단!$A$1:$GZ$303,$A54,1)&amp;"")&lt;&gt;"",TRIM(INDEX(입력_구리근무자명단!$A$1:$GZ$303,$A54,1)&amp;""),B53)</f>
        <v/>
      </c>
      <c r="C54" s="26">
        <f>IF(INDEX(입력_구리근무자명단!$A$1:$GZ$303,$A54,2)="","",INDEX(입력_구리근무자명단!$A$1:$GZ$303,$A54,2))</f>
        <v/>
      </c>
      <c r="D54" s="26">
        <f>IF($G$2="","",TRIM(IF($I$2="확정",INDEX(입력_구리근무자명단!$A$1:$GZ$303,$A54,$G$2+1)&amp;"",INDEX(입력_구리근무자명단!$A$1:$GZ$303,$A54,$G$2+0)&amp;"")))</f>
        <v/>
      </c>
      <c r="E54" s="26">
        <f>IF($D54="","",$I$2)</f>
        <v/>
      </c>
      <c r="F54" s="28">
        <f>IF($D54="","",IF(INDEX(입력_구리근무자명단!$A$1:$GZ$303,$A54,$G$2+2)="",출력_요약!$B$3,IF(ISNUMBER(INDEX(입력_구리근무자명단!$A$1:$GZ$303,$A54,$G$2+2)),INDEX(입력_구리근무자명단!$A$1:$GZ$303,$A54,$G$2+2),IFERROR(DATE(VALUE(LEFT(INDEX(입력_구리근무자명단!$A$1:$GZ$303,$A54,$G$2+2),4)),VALUE(MID(INDEX(입력_구리근무자명단!$A$1:$GZ$303,$A54,$G$2+2),6,2)),VALUE(MID(INDEX(입력_구리근무자명단!$A$1:$GZ$303,$A54,$G$2+2),9,2))),IFERROR(DATEVALUE(SUBSTITUTE(TRIM(INDEX(입력_구리근무자명단!$A$1:$GZ$303,$A54,$G$2+2)),".","-")),"⚠"&amp;INDEX(입력_구리근무자명단!$A$1:$GZ$303,$A54,$G$2+2))))))</f>
        <v/>
      </c>
      <c r="G54" s="28">
        <f>IF($D54="","",IF(INDEX(입력_구리근무자명단!$A$1:$GZ$303,$A54,$G$2+3)="",EOMONTH(출력_요약!$B$3,0),IF(ISNUMBER(INDEX(입력_구리근무자명단!$A$1:$GZ$303,$A54,$G$2+3)),INDEX(입력_구리근무자명단!$A$1:$GZ$303,$A54,$G$2+3),IFERROR(DATE(VALUE(LEFT(INDEX(입력_구리근무자명단!$A$1:$GZ$303,$A54,$G$2+3),4)),VALUE(MID(INDEX(입력_구리근무자명단!$A$1:$GZ$303,$A54,$G$2+3),6,2)),VALUE(MID(INDEX(입력_구리근무자명단!$A$1:$GZ$303,$A54,$G$2+3),9,2))),IFERROR(DATEVALUE(SUBSTITUTE(TRIM(INDEX(입력_구리근무자명단!$A$1:$GZ$303,$A54,$G$2+3)),".","-")),"⚠"&amp;INDEX(입력_구리근무자명단!$A$1:$GZ$303,$A54,$G$2+3))))))</f>
        <v/>
      </c>
      <c r="H54" s="26">
        <f>IF($D54="","",IF(OR(NOT(ISNUMBER($F54)),NOT(ISNUMBER($G54))),0,MAX(0,MIN($G54,EOMONTH(출력_요약!$B$3,0))-MAX($F54,출력_요약!$B$3)+1)))</f>
        <v/>
      </c>
      <c r="I54" s="26">
        <f>IF($D54="","",TRIM(INDEX(입력_구리근무자명단!$A$1:$GZ$303,$A54,$G$2+5)&amp;""))</f>
        <v/>
      </c>
      <c r="J54" s="26">
        <f>IF($D54="","",IF(ISNUMBER(SEARCH("구리독자",$I54)),"구리독자",""))</f>
        <v/>
      </c>
      <c r="K54" s="29">
        <f>IF($D54="","",IF(COUNTIFS(입력_전공의명단!$C$2:$C$401,$D54,입력_전공의명단!$F$2:$F$401,IF(OR($C54="인턴",ISNUMBER(SEARCH("수련교육부",$B54))),"인턴",$B54))=1,MATCH($D54&amp;"|"&amp;IF(OR($C54="인턴",ISNUMBER(SEARCH("수련교육부",$B54))),"인턴",$B54),입력_전공의명단!$AP$2:$AP$401,0),IF(AND(COUNTIFS(입력_전공의명단!$C$2:$C$401,$D54,입력_전공의명단!$F$2:$F$401,IF(OR($C54="인턴",ISNUMBER(SEARCH("수련교육부",$B54))),"인턴",$B54))=0,COUNTIF(입력_전공의명단!$C$2:$C$401,$D54)=1),MATCH($D54,입력_전공의명단!$C$2:$C$401,0),"")))</f>
        <v/>
      </c>
      <c r="L54" s="26">
        <f>IF($D54="","",IF($K54&lt;&gt;"",IF(COUNTIFS(입력_전공의명단!$C$2:$C$401,$D54,입력_전공의명단!$F$2:$F$401,IF(OR($C54="인턴",ISNUMBER(SEARCH("수련교육부",$B54))),"인턴",$B54))=1,"명단 일치","명단 일치(이름만, 과 다름)"),IF(COUNTIF(입력_전공의명단!$C$2:$C$401,$D54)=0,IF(COUNTIF(입력_기본자료!$C$2:$C$1001,$D54)&gt;0,"명단에 없음(기본자료에는 있음)","명단에 없음"),"동명이인 확인")))</f>
        <v/>
      </c>
      <c r="N54" s="8" t="n">
        <v>49</v>
      </c>
      <c r="O54" s="8">
        <f>IF(ISNUMBER(SEARCH("근무예정자",(INDEX(입력_구리근무자명단!$A$3:$GZ$3,1,49)&amp;""))),IFERROR(VALUE(LEFT((INDEX(입력_구리근무자명단!$A$3:$GZ$3,1,49)&amp;""),4))*100+VALUE(MID((INDEX(입력_구리근무자명단!$A$3:$GZ$3,1,49)&amp;""),6,MIN(FIND("월",(INDEX(입력_구리근무자명단!$A$3:$GZ$3,1,49)&amp;"")&amp;"월"),FIND(CHAR(10),(INDEX(입력_구리근무자명단!$A$3:$GZ$3,1,49)&amp;"")&amp;CHAR(10)),FIND(" ",(INDEX(입력_구리근무자명단!$A$3:$GZ$3,1,49)&amp;"")&amp;" "))-6)),""),"")</f>
        <v/>
      </c>
    </row>
    <row r="55">
      <c r="A55" s="29" t="n">
        <v>53</v>
      </c>
      <c r="B55" s="26">
        <f>IF(TRIM(INDEX(입력_구리근무자명단!$A$1:$GZ$303,$A55,1)&amp;"")&lt;&gt;"",TRIM(INDEX(입력_구리근무자명단!$A$1:$GZ$303,$A55,1)&amp;""),B54)</f>
        <v/>
      </c>
      <c r="C55" s="26">
        <f>IF(INDEX(입력_구리근무자명단!$A$1:$GZ$303,$A55,2)="","",INDEX(입력_구리근무자명단!$A$1:$GZ$303,$A55,2))</f>
        <v/>
      </c>
      <c r="D55" s="26">
        <f>IF($G$2="","",TRIM(IF($I$2="확정",INDEX(입력_구리근무자명단!$A$1:$GZ$303,$A55,$G$2+1)&amp;"",INDEX(입력_구리근무자명단!$A$1:$GZ$303,$A55,$G$2+0)&amp;"")))</f>
        <v/>
      </c>
      <c r="E55" s="26">
        <f>IF($D55="","",$I$2)</f>
        <v/>
      </c>
      <c r="F55" s="28">
        <f>IF($D55="","",IF(INDEX(입력_구리근무자명단!$A$1:$GZ$303,$A55,$G$2+2)="",출력_요약!$B$3,IF(ISNUMBER(INDEX(입력_구리근무자명단!$A$1:$GZ$303,$A55,$G$2+2)),INDEX(입력_구리근무자명단!$A$1:$GZ$303,$A55,$G$2+2),IFERROR(DATE(VALUE(LEFT(INDEX(입력_구리근무자명단!$A$1:$GZ$303,$A55,$G$2+2),4)),VALUE(MID(INDEX(입력_구리근무자명단!$A$1:$GZ$303,$A55,$G$2+2),6,2)),VALUE(MID(INDEX(입력_구리근무자명단!$A$1:$GZ$303,$A55,$G$2+2),9,2))),IFERROR(DATEVALUE(SUBSTITUTE(TRIM(INDEX(입력_구리근무자명단!$A$1:$GZ$303,$A55,$G$2+2)),".","-")),"⚠"&amp;INDEX(입력_구리근무자명단!$A$1:$GZ$303,$A55,$G$2+2))))))</f>
        <v/>
      </c>
      <c r="G55" s="28">
        <f>IF($D55="","",IF(INDEX(입력_구리근무자명단!$A$1:$GZ$303,$A55,$G$2+3)="",EOMONTH(출력_요약!$B$3,0),IF(ISNUMBER(INDEX(입력_구리근무자명단!$A$1:$GZ$303,$A55,$G$2+3)),INDEX(입력_구리근무자명단!$A$1:$GZ$303,$A55,$G$2+3),IFERROR(DATE(VALUE(LEFT(INDEX(입력_구리근무자명단!$A$1:$GZ$303,$A55,$G$2+3),4)),VALUE(MID(INDEX(입력_구리근무자명단!$A$1:$GZ$303,$A55,$G$2+3),6,2)),VALUE(MID(INDEX(입력_구리근무자명단!$A$1:$GZ$303,$A55,$G$2+3),9,2))),IFERROR(DATEVALUE(SUBSTITUTE(TRIM(INDEX(입력_구리근무자명단!$A$1:$GZ$303,$A55,$G$2+3)),".","-")),"⚠"&amp;INDEX(입력_구리근무자명단!$A$1:$GZ$303,$A55,$G$2+3))))))</f>
        <v/>
      </c>
      <c r="H55" s="26">
        <f>IF($D55="","",IF(OR(NOT(ISNUMBER($F55)),NOT(ISNUMBER($G55))),0,MAX(0,MIN($G55,EOMONTH(출력_요약!$B$3,0))-MAX($F55,출력_요약!$B$3)+1)))</f>
        <v/>
      </c>
      <c r="I55" s="26">
        <f>IF($D55="","",TRIM(INDEX(입력_구리근무자명단!$A$1:$GZ$303,$A55,$G$2+5)&amp;""))</f>
        <v/>
      </c>
      <c r="J55" s="26">
        <f>IF($D55="","",IF(ISNUMBER(SEARCH("구리독자",$I55)),"구리독자",""))</f>
        <v/>
      </c>
      <c r="K55" s="29">
        <f>IF($D55="","",IF(COUNTIFS(입력_전공의명단!$C$2:$C$401,$D55,입력_전공의명단!$F$2:$F$401,IF(OR($C55="인턴",ISNUMBER(SEARCH("수련교육부",$B55))),"인턴",$B55))=1,MATCH($D55&amp;"|"&amp;IF(OR($C55="인턴",ISNUMBER(SEARCH("수련교육부",$B55))),"인턴",$B55),입력_전공의명단!$AP$2:$AP$401,0),IF(AND(COUNTIFS(입력_전공의명단!$C$2:$C$401,$D55,입력_전공의명단!$F$2:$F$401,IF(OR($C55="인턴",ISNUMBER(SEARCH("수련교육부",$B55))),"인턴",$B55))=0,COUNTIF(입력_전공의명단!$C$2:$C$401,$D55)=1),MATCH($D55,입력_전공의명단!$C$2:$C$401,0),"")))</f>
        <v/>
      </c>
      <c r="L55" s="26">
        <f>IF($D55="","",IF($K55&lt;&gt;"",IF(COUNTIFS(입력_전공의명단!$C$2:$C$401,$D55,입력_전공의명단!$F$2:$F$401,IF(OR($C55="인턴",ISNUMBER(SEARCH("수련교육부",$B55))),"인턴",$B55))=1,"명단 일치","명단 일치(이름만, 과 다름)"),IF(COUNTIF(입력_전공의명단!$C$2:$C$401,$D55)=0,IF(COUNTIF(입력_기본자료!$C$2:$C$1001,$D55)&gt;0,"명단에 없음(기본자료에는 있음)","명단에 없음"),"동명이인 확인")))</f>
        <v/>
      </c>
      <c r="N55" s="8" t="n">
        <v>50</v>
      </c>
      <c r="O55" s="8">
        <f>IF(ISNUMBER(SEARCH("근무예정자",(INDEX(입력_구리근무자명단!$A$3:$GZ$3,1,50)&amp;""))),IFERROR(VALUE(LEFT((INDEX(입력_구리근무자명단!$A$3:$GZ$3,1,50)&amp;""),4))*100+VALUE(MID((INDEX(입력_구리근무자명단!$A$3:$GZ$3,1,50)&amp;""),6,MIN(FIND("월",(INDEX(입력_구리근무자명단!$A$3:$GZ$3,1,50)&amp;"")&amp;"월"),FIND(CHAR(10),(INDEX(입력_구리근무자명단!$A$3:$GZ$3,1,50)&amp;"")&amp;CHAR(10)),FIND(" ",(INDEX(입력_구리근무자명단!$A$3:$GZ$3,1,50)&amp;"")&amp;" "))-6)),""),"")</f>
        <v/>
      </c>
    </row>
    <row r="56">
      <c r="A56" s="29" t="n">
        <v>54</v>
      </c>
      <c r="B56" s="26">
        <f>IF(TRIM(INDEX(입력_구리근무자명단!$A$1:$GZ$303,$A56,1)&amp;"")&lt;&gt;"",TRIM(INDEX(입력_구리근무자명단!$A$1:$GZ$303,$A56,1)&amp;""),B55)</f>
        <v/>
      </c>
      <c r="C56" s="26">
        <f>IF(INDEX(입력_구리근무자명단!$A$1:$GZ$303,$A56,2)="","",INDEX(입력_구리근무자명단!$A$1:$GZ$303,$A56,2))</f>
        <v/>
      </c>
      <c r="D56" s="26">
        <f>IF($G$2="","",TRIM(IF($I$2="확정",INDEX(입력_구리근무자명단!$A$1:$GZ$303,$A56,$G$2+1)&amp;"",INDEX(입력_구리근무자명단!$A$1:$GZ$303,$A56,$G$2+0)&amp;"")))</f>
        <v/>
      </c>
      <c r="E56" s="26">
        <f>IF($D56="","",$I$2)</f>
        <v/>
      </c>
      <c r="F56" s="28">
        <f>IF($D56="","",IF(INDEX(입력_구리근무자명단!$A$1:$GZ$303,$A56,$G$2+2)="",출력_요약!$B$3,IF(ISNUMBER(INDEX(입력_구리근무자명단!$A$1:$GZ$303,$A56,$G$2+2)),INDEX(입력_구리근무자명단!$A$1:$GZ$303,$A56,$G$2+2),IFERROR(DATE(VALUE(LEFT(INDEX(입력_구리근무자명단!$A$1:$GZ$303,$A56,$G$2+2),4)),VALUE(MID(INDEX(입력_구리근무자명단!$A$1:$GZ$303,$A56,$G$2+2),6,2)),VALUE(MID(INDEX(입력_구리근무자명단!$A$1:$GZ$303,$A56,$G$2+2),9,2))),IFERROR(DATEVALUE(SUBSTITUTE(TRIM(INDEX(입력_구리근무자명단!$A$1:$GZ$303,$A56,$G$2+2)),".","-")),"⚠"&amp;INDEX(입력_구리근무자명단!$A$1:$GZ$303,$A56,$G$2+2))))))</f>
        <v/>
      </c>
      <c r="G56" s="28">
        <f>IF($D56="","",IF(INDEX(입력_구리근무자명단!$A$1:$GZ$303,$A56,$G$2+3)="",EOMONTH(출력_요약!$B$3,0),IF(ISNUMBER(INDEX(입력_구리근무자명단!$A$1:$GZ$303,$A56,$G$2+3)),INDEX(입력_구리근무자명단!$A$1:$GZ$303,$A56,$G$2+3),IFERROR(DATE(VALUE(LEFT(INDEX(입력_구리근무자명단!$A$1:$GZ$303,$A56,$G$2+3),4)),VALUE(MID(INDEX(입력_구리근무자명단!$A$1:$GZ$303,$A56,$G$2+3),6,2)),VALUE(MID(INDEX(입력_구리근무자명단!$A$1:$GZ$303,$A56,$G$2+3),9,2))),IFERROR(DATEVALUE(SUBSTITUTE(TRIM(INDEX(입력_구리근무자명단!$A$1:$GZ$303,$A56,$G$2+3)),".","-")),"⚠"&amp;INDEX(입력_구리근무자명단!$A$1:$GZ$303,$A56,$G$2+3))))))</f>
        <v/>
      </c>
      <c r="H56" s="26">
        <f>IF($D56="","",IF(OR(NOT(ISNUMBER($F56)),NOT(ISNUMBER($G56))),0,MAX(0,MIN($G56,EOMONTH(출력_요약!$B$3,0))-MAX($F56,출력_요약!$B$3)+1)))</f>
        <v/>
      </c>
      <c r="I56" s="26">
        <f>IF($D56="","",TRIM(INDEX(입력_구리근무자명단!$A$1:$GZ$303,$A56,$G$2+5)&amp;""))</f>
        <v/>
      </c>
      <c r="J56" s="26">
        <f>IF($D56="","",IF(ISNUMBER(SEARCH("구리독자",$I56)),"구리독자",""))</f>
        <v/>
      </c>
      <c r="K56" s="29">
        <f>IF($D56="","",IF(COUNTIFS(입력_전공의명단!$C$2:$C$401,$D56,입력_전공의명단!$F$2:$F$401,IF(OR($C56="인턴",ISNUMBER(SEARCH("수련교육부",$B56))),"인턴",$B56))=1,MATCH($D56&amp;"|"&amp;IF(OR($C56="인턴",ISNUMBER(SEARCH("수련교육부",$B56))),"인턴",$B56),입력_전공의명단!$AP$2:$AP$401,0),IF(AND(COUNTIFS(입력_전공의명단!$C$2:$C$401,$D56,입력_전공의명단!$F$2:$F$401,IF(OR($C56="인턴",ISNUMBER(SEARCH("수련교육부",$B56))),"인턴",$B56))=0,COUNTIF(입력_전공의명단!$C$2:$C$401,$D56)=1),MATCH($D56,입력_전공의명단!$C$2:$C$401,0),"")))</f>
        <v/>
      </c>
      <c r="L56" s="26">
        <f>IF($D56="","",IF($K56&lt;&gt;"",IF(COUNTIFS(입력_전공의명단!$C$2:$C$401,$D56,입력_전공의명단!$F$2:$F$401,IF(OR($C56="인턴",ISNUMBER(SEARCH("수련교육부",$B56))),"인턴",$B56))=1,"명단 일치","명단 일치(이름만, 과 다름)"),IF(COUNTIF(입력_전공의명단!$C$2:$C$401,$D56)=0,IF(COUNTIF(입력_기본자료!$C$2:$C$1001,$D56)&gt;0,"명단에 없음(기본자료에는 있음)","명단에 없음"),"동명이인 확인")))</f>
        <v/>
      </c>
      <c r="N56" s="8" t="n">
        <v>51</v>
      </c>
      <c r="O56" s="8">
        <f>IF(ISNUMBER(SEARCH("근무예정자",(INDEX(입력_구리근무자명단!$A$3:$GZ$3,1,51)&amp;""))),IFERROR(VALUE(LEFT((INDEX(입력_구리근무자명단!$A$3:$GZ$3,1,51)&amp;""),4))*100+VALUE(MID((INDEX(입력_구리근무자명단!$A$3:$GZ$3,1,51)&amp;""),6,MIN(FIND("월",(INDEX(입력_구리근무자명단!$A$3:$GZ$3,1,51)&amp;"")&amp;"월"),FIND(CHAR(10),(INDEX(입력_구리근무자명단!$A$3:$GZ$3,1,51)&amp;"")&amp;CHAR(10)),FIND(" ",(INDEX(입력_구리근무자명단!$A$3:$GZ$3,1,51)&amp;"")&amp;" "))-6)),""),"")</f>
        <v/>
      </c>
    </row>
    <row r="57">
      <c r="A57" s="29" t="n">
        <v>55</v>
      </c>
      <c r="B57" s="26">
        <f>IF(TRIM(INDEX(입력_구리근무자명단!$A$1:$GZ$303,$A57,1)&amp;"")&lt;&gt;"",TRIM(INDEX(입력_구리근무자명단!$A$1:$GZ$303,$A57,1)&amp;""),B56)</f>
        <v/>
      </c>
      <c r="C57" s="26">
        <f>IF(INDEX(입력_구리근무자명단!$A$1:$GZ$303,$A57,2)="","",INDEX(입력_구리근무자명단!$A$1:$GZ$303,$A57,2))</f>
        <v/>
      </c>
      <c r="D57" s="26">
        <f>IF($G$2="","",TRIM(IF($I$2="확정",INDEX(입력_구리근무자명단!$A$1:$GZ$303,$A57,$G$2+1)&amp;"",INDEX(입력_구리근무자명단!$A$1:$GZ$303,$A57,$G$2+0)&amp;"")))</f>
        <v/>
      </c>
      <c r="E57" s="26">
        <f>IF($D57="","",$I$2)</f>
        <v/>
      </c>
      <c r="F57" s="28">
        <f>IF($D57="","",IF(INDEX(입력_구리근무자명단!$A$1:$GZ$303,$A57,$G$2+2)="",출력_요약!$B$3,IF(ISNUMBER(INDEX(입력_구리근무자명단!$A$1:$GZ$303,$A57,$G$2+2)),INDEX(입력_구리근무자명단!$A$1:$GZ$303,$A57,$G$2+2),IFERROR(DATE(VALUE(LEFT(INDEX(입력_구리근무자명단!$A$1:$GZ$303,$A57,$G$2+2),4)),VALUE(MID(INDEX(입력_구리근무자명단!$A$1:$GZ$303,$A57,$G$2+2),6,2)),VALUE(MID(INDEX(입력_구리근무자명단!$A$1:$GZ$303,$A57,$G$2+2),9,2))),IFERROR(DATEVALUE(SUBSTITUTE(TRIM(INDEX(입력_구리근무자명단!$A$1:$GZ$303,$A57,$G$2+2)),".","-")),"⚠"&amp;INDEX(입력_구리근무자명단!$A$1:$GZ$303,$A57,$G$2+2))))))</f>
        <v/>
      </c>
      <c r="G57" s="28">
        <f>IF($D57="","",IF(INDEX(입력_구리근무자명단!$A$1:$GZ$303,$A57,$G$2+3)="",EOMONTH(출력_요약!$B$3,0),IF(ISNUMBER(INDEX(입력_구리근무자명단!$A$1:$GZ$303,$A57,$G$2+3)),INDEX(입력_구리근무자명단!$A$1:$GZ$303,$A57,$G$2+3),IFERROR(DATE(VALUE(LEFT(INDEX(입력_구리근무자명단!$A$1:$GZ$303,$A57,$G$2+3),4)),VALUE(MID(INDEX(입력_구리근무자명단!$A$1:$GZ$303,$A57,$G$2+3),6,2)),VALUE(MID(INDEX(입력_구리근무자명단!$A$1:$GZ$303,$A57,$G$2+3),9,2))),IFERROR(DATEVALUE(SUBSTITUTE(TRIM(INDEX(입력_구리근무자명단!$A$1:$GZ$303,$A57,$G$2+3)),".","-")),"⚠"&amp;INDEX(입력_구리근무자명단!$A$1:$GZ$303,$A57,$G$2+3))))))</f>
        <v/>
      </c>
      <c r="H57" s="26">
        <f>IF($D57="","",IF(OR(NOT(ISNUMBER($F57)),NOT(ISNUMBER($G57))),0,MAX(0,MIN($G57,EOMONTH(출력_요약!$B$3,0))-MAX($F57,출력_요약!$B$3)+1)))</f>
        <v/>
      </c>
      <c r="I57" s="26">
        <f>IF($D57="","",TRIM(INDEX(입력_구리근무자명단!$A$1:$GZ$303,$A57,$G$2+5)&amp;""))</f>
        <v/>
      </c>
      <c r="J57" s="26">
        <f>IF($D57="","",IF(ISNUMBER(SEARCH("구리독자",$I57)),"구리독자",""))</f>
        <v/>
      </c>
      <c r="K57" s="29">
        <f>IF($D57="","",IF(COUNTIFS(입력_전공의명단!$C$2:$C$401,$D57,입력_전공의명단!$F$2:$F$401,IF(OR($C57="인턴",ISNUMBER(SEARCH("수련교육부",$B57))),"인턴",$B57))=1,MATCH($D57&amp;"|"&amp;IF(OR($C57="인턴",ISNUMBER(SEARCH("수련교육부",$B57))),"인턴",$B57),입력_전공의명단!$AP$2:$AP$401,0),IF(AND(COUNTIFS(입력_전공의명단!$C$2:$C$401,$D57,입력_전공의명단!$F$2:$F$401,IF(OR($C57="인턴",ISNUMBER(SEARCH("수련교육부",$B57))),"인턴",$B57))=0,COUNTIF(입력_전공의명단!$C$2:$C$401,$D57)=1),MATCH($D57,입력_전공의명단!$C$2:$C$401,0),"")))</f>
        <v/>
      </c>
      <c r="L57" s="26">
        <f>IF($D57="","",IF($K57&lt;&gt;"",IF(COUNTIFS(입력_전공의명단!$C$2:$C$401,$D57,입력_전공의명단!$F$2:$F$401,IF(OR($C57="인턴",ISNUMBER(SEARCH("수련교육부",$B57))),"인턴",$B57))=1,"명단 일치","명단 일치(이름만, 과 다름)"),IF(COUNTIF(입력_전공의명단!$C$2:$C$401,$D57)=0,IF(COUNTIF(입력_기본자료!$C$2:$C$1001,$D57)&gt;0,"명단에 없음(기본자료에는 있음)","명단에 없음"),"동명이인 확인")))</f>
        <v/>
      </c>
      <c r="N57" s="8" t="n">
        <v>52</v>
      </c>
      <c r="O57" s="8">
        <f>IF(ISNUMBER(SEARCH("근무예정자",(INDEX(입력_구리근무자명단!$A$3:$GZ$3,1,52)&amp;""))),IFERROR(VALUE(LEFT((INDEX(입력_구리근무자명단!$A$3:$GZ$3,1,52)&amp;""),4))*100+VALUE(MID((INDEX(입력_구리근무자명단!$A$3:$GZ$3,1,52)&amp;""),6,MIN(FIND("월",(INDEX(입력_구리근무자명단!$A$3:$GZ$3,1,52)&amp;"")&amp;"월"),FIND(CHAR(10),(INDEX(입력_구리근무자명단!$A$3:$GZ$3,1,52)&amp;"")&amp;CHAR(10)),FIND(" ",(INDEX(입력_구리근무자명단!$A$3:$GZ$3,1,52)&amp;"")&amp;" "))-6)),""),"")</f>
        <v/>
      </c>
    </row>
    <row r="58">
      <c r="A58" s="29" t="n">
        <v>56</v>
      </c>
      <c r="B58" s="26">
        <f>IF(TRIM(INDEX(입력_구리근무자명단!$A$1:$GZ$303,$A58,1)&amp;"")&lt;&gt;"",TRIM(INDEX(입력_구리근무자명단!$A$1:$GZ$303,$A58,1)&amp;""),B57)</f>
        <v/>
      </c>
      <c r="C58" s="26">
        <f>IF(INDEX(입력_구리근무자명단!$A$1:$GZ$303,$A58,2)="","",INDEX(입력_구리근무자명단!$A$1:$GZ$303,$A58,2))</f>
        <v/>
      </c>
      <c r="D58" s="26">
        <f>IF($G$2="","",TRIM(IF($I$2="확정",INDEX(입력_구리근무자명단!$A$1:$GZ$303,$A58,$G$2+1)&amp;"",INDEX(입력_구리근무자명단!$A$1:$GZ$303,$A58,$G$2+0)&amp;"")))</f>
        <v/>
      </c>
      <c r="E58" s="26">
        <f>IF($D58="","",$I$2)</f>
        <v/>
      </c>
      <c r="F58" s="28">
        <f>IF($D58="","",IF(INDEX(입력_구리근무자명단!$A$1:$GZ$303,$A58,$G$2+2)="",출력_요약!$B$3,IF(ISNUMBER(INDEX(입력_구리근무자명단!$A$1:$GZ$303,$A58,$G$2+2)),INDEX(입력_구리근무자명단!$A$1:$GZ$303,$A58,$G$2+2),IFERROR(DATE(VALUE(LEFT(INDEX(입력_구리근무자명단!$A$1:$GZ$303,$A58,$G$2+2),4)),VALUE(MID(INDEX(입력_구리근무자명단!$A$1:$GZ$303,$A58,$G$2+2),6,2)),VALUE(MID(INDEX(입력_구리근무자명단!$A$1:$GZ$303,$A58,$G$2+2),9,2))),IFERROR(DATEVALUE(SUBSTITUTE(TRIM(INDEX(입력_구리근무자명단!$A$1:$GZ$303,$A58,$G$2+2)),".","-")),"⚠"&amp;INDEX(입력_구리근무자명단!$A$1:$GZ$303,$A58,$G$2+2))))))</f>
        <v/>
      </c>
      <c r="G58" s="28">
        <f>IF($D58="","",IF(INDEX(입력_구리근무자명단!$A$1:$GZ$303,$A58,$G$2+3)="",EOMONTH(출력_요약!$B$3,0),IF(ISNUMBER(INDEX(입력_구리근무자명단!$A$1:$GZ$303,$A58,$G$2+3)),INDEX(입력_구리근무자명단!$A$1:$GZ$303,$A58,$G$2+3),IFERROR(DATE(VALUE(LEFT(INDEX(입력_구리근무자명단!$A$1:$GZ$303,$A58,$G$2+3),4)),VALUE(MID(INDEX(입력_구리근무자명단!$A$1:$GZ$303,$A58,$G$2+3),6,2)),VALUE(MID(INDEX(입력_구리근무자명단!$A$1:$GZ$303,$A58,$G$2+3),9,2))),IFERROR(DATEVALUE(SUBSTITUTE(TRIM(INDEX(입력_구리근무자명단!$A$1:$GZ$303,$A58,$G$2+3)),".","-")),"⚠"&amp;INDEX(입력_구리근무자명단!$A$1:$GZ$303,$A58,$G$2+3))))))</f>
        <v/>
      </c>
      <c r="H58" s="26">
        <f>IF($D58="","",IF(OR(NOT(ISNUMBER($F58)),NOT(ISNUMBER($G58))),0,MAX(0,MIN($G58,EOMONTH(출력_요약!$B$3,0))-MAX($F58,출력_요약!$B$3)+1)))</f>
        <v/>
      </c>
      <c r="I58" s="26">
        <f>IF($D58="","",TRIM(INDEX(입력_구리근무자명단!$A$1:$GZ$303,$A58,$G$2+5)&amp;""))</f>
        <v/>
      </c>
      <c r="J58" s="26">
        <f>IF($D58="","",IF(ISNUMBER(SEARCH("구리독자",$I58)),"구리독자",""))</f>
        <v/>
      </c>
      <c r="K58" s="29">
        <f>IF($D58="","",IF(COUNTIFS(입력_전공의명단!$C$2:$C$401,$D58,입력_전공의명단!$F$2:$F$401,IF(OR($C58="인턴",ISNUMBER(SEARCH("수련교육부",$B58))),"인턴",$B58))=1,MATCH($D58&amp;"|"&amp;IF(OR($C58="인턴",ISNUMBER(SEARCH("수련교육부",$B58))),"인턴",$B58),입력_전공의명단!$AP$2:$AP$401,0),IF(AND(COUNTIFS(입력_전공의명단!$C$2:$C$401,$D58,입력_전공의명단!$F$2:$F$401,IF(OR($C58="인턴",ISNUMBER(SEARCH("수련교육부",$B58))),"인턴",$B58))=0,COUNTIF(입력_전공의명단!$C$2:$C$401,$D58)=1),MATCH($D58,입력_전공의명단!$C$2:$C$401,0),"")))</f>
        <v/>
      </c>
      <c r="L58" s="26">
        <f>IF($D58="","",IF($K58&lt;&gt;"",IF(COUNTIFS(입력_전공의명단!$C$2:$C$401,$D58,입력_전공의명단!$F$2:$F$401,IF(OR($C58="인턴",ISNUMBER(SEARCH("수련교육부",$B58))),"인턴",$B58))=1,"명단 일치","명단 일치(이름만, 과 다름)"),IF(COUNTIF(입력_전공의명단!$C$2:$C$401,$D58)=0,IF(COUNTIF(입력_기본자료!$C$2:$C$1001,$D58)&gt;0,"명단에 없음(기본자료에는 있음)","명단에 없음"),"동명이인 확인")))</f>
        <v/>
      </c>
      <c r="N58" s="8" t="n">
        <v>53</v>
      </c>
      <c r="O58" s="8">
        <f>IF(ISNUMBER(SEARCH("근무예정자",(INDEX(입력_구리근무자명단!$A$3:$GZ$3,1,53)&amp;""))),IFERROR(VALUE(LEFT((INDEX(입력_구리근무자명단!$A$3:$GZ$3,1,53)&amp;""),4))*100+VALUE(MID((INDEX(입력_구리근무자명단!$A$3:$GZ$3,1,53)&amp;""),6,MIN(FIND("월",(INDEX(입력_구리근무자명단!$A$3:$GZ$3,1,53)&amp;"")&amp;"월"),FIND(CHAR(10),(INDEX(입력_구리근무자명단!$A$3:$GZ$3,1,53)&amp;"")&amp;CHAR(10)),FIND(" ",(INDEX(입력_구리근무자명단!$A$3:$GZ$3,1,53)&amp;"")&amp;" "))-6)),""),"")</f>
        <v/>
      </c>
    </row>
    <row r="59">
      <c r="A59" s="29" t="n">
        <v>57</v>
      </c>
      <c r="B59" s="26">
        <f>IF(TRIM(INDEX(입력_구리근무자명단!$A$1:$GZ$303,$A59,1)&amp;"")&lt;&gt;"",TRIM(INDEX(입력_구리근무자명단!$A$1:$GZ$303,$A59,1)&amp;""),B58)</f>
        <v/>
      </c>
      <c r="C59" s="26">
        <f>IF(INDEX(입력_구리근무자명단!$A$1:$GZ$303,$A59,2)="","",INDEX(입력_구리근무자명단!$A$1:$GZ$303,$A59,2))</f>
        <v/>
      </c>
      <c r="D59" s="26">
        <f>IF($G$2="","",TRIM(IF($I$2="확정",INDEX(입력_구리근무자명단!$A$1:$GZ$303,$A59,$G$2+1)&amp;"",INDEX(입력_구리근무자명단!$A$1:$GZ$303,$A59,$G$2+0)&amp;"")))</f>
        <v/>
      </c>
      <c r="E59" s="26">
        <f>IF($D59="","",$I$2)</f>
        <v/>
      </c>
      <c r="F59" s="28">
        <f>IF($D59="","",IF(INDEX(입력_구리근무자명단!$A$1:$GZ$303,$A59,$G$2+2)="",출력_요약!$B$3,IF(ISNUMBER(INDEX(입력_구리근무자명단!$A$1:$GZ$303,$A59,$G$2+2)),INDEX(입력_구리근무자명단!$A$1:$GZ$303,$A59,$G$2+2),IFERROR(DATE(VALUE(LEFT(INDEX(입력_구리근무자명단!$A$1:$GZ$303,$A59,$G$2+2),4)),VALUE(MID(INDEX(입력_구리근무자명단!$A$1:$GZ$303,$A59,$G$2+2),6,2)),VALUE(MID(INDEX(입력_구리근무자명단!$A$1:$GZ$303,$A59,$G$2+2),9,2))),IFERROR(DATEVALUE(SUBSTITUTE(TRIM(INDEX(입력_구리근무자명단!$A$1:$GZ$303,$A59,$G$2+2)),".","-")),"⚠"&amp;INDEX(입력_구리근무자명단!$A$1:$GZ$303,$A59,$G$2+2))))))</f>
        <v/>
      </c>
      <c r="G59" s="28">
        <f>IF($D59="","",IF(INDEX(입력_구리근무자명단!$A$1:$GZ$303,$A59,$G$2+3)="",EOMONTH(출력_요약!$B$3,0),IF(ISNUMBER(INDEX(입력_구리근무자명단!$A$1:$GZ$303,$A59,$G$2+3)),INDEX(입력_구리근무자명단!$A$1:$GZ$303,$A59,$G$2+3),IFERROR(DATE(VALUE(LEFT(INDEX(입력_구리근무자명단!$A$1:$GZ$303,$A59,$G$2+3),4)),VALUE(MID(INDEX(입력_구리근무자명단!$A$1:$GZ$303,$A59,$G$2+3),6,2)),VALUE(MID(INDEX(입력_구리근무자명단!$A$1:$GZ$303,$A59,$G$2+3),9,2))),IFERROR(DATEVALUE(SUBSTITUTE(TRIM(INDEX(입력_구리근무자명단!$A$1:$GZ$303,$A59,$G$2+3)),".","-")),"⚠"&amp;INDEX(입력_구리근무자명단!$A$1:$GZ$303,$A59,$G$2+3))))))</f>
        <v/>
      </c>
      <c r="H59" s="26">
        <f>IF($D59="","",IF(OR(NOT(ISNUMBER($F59)),NOT(ISNUMBER($G59))),0,MAX(0,MIN($G59,EOMONTH(출력_요약!$B$3,0))-MAX($F59,출력_요약!$B$3)+1)))</f>
        <v/>
      </c>
      <c r="I59" s="26">
        <f>IF($D59="","",TRIM(INDEX(입력_구리근무자명단!$A$1:$GZ$303,$A59,$G$2+5)&amp;""))</f>
        <v/>
      </c>
      <c r="J59" s="26">
        <f>IF($D59="","",IF(ISNUMBER(SEARCH("구리독자",$I59)),"구리독자",""))</f>
        <v/>
      </c>
      <c r="K59" s="29">
        <f>IF($D59="","",IF(COUNTIFS(입력_전공의명단!$C$2:$C$401,$D59,입력_전공의명단!$F$2:$F$401,IF(OR($C59="인턴",ISNUMBER(SEARCH("수련교육부",$B59))),"인턴",$B59))=1,MATCH($D59&amp;"|"&amp;IF(OR($C59="인턴",ISNUMBER(SEARCH("수련교육부",$B59))),"인턴",$B59),입력_전공의명단!$AP$2:$AP$401,0),IF(AND(COUNTIFS(입력_전공의명단!$C$2:$C$401,$D59,입력_전공의명단!$F$2:$F$401,IF(OR($C59="인턴",ISNUMBER(SEARCH("수련교육부",$B59))),"인턴",$B59))=0,COUNTIF(입력_전공의명단!$C$2:$C$401,$D59)=1),MATCH($D59,입력_전공의명단!$C$2:$C$401,0),"")))</f>
        <v/>
      </c>
      <c r="L59" s="26">
        <f>IF($D59="","",IF($K59&lt;&gt;"",IF(COUNTIFS(입력_전공의명단!$C$2:$C$401,$D59,입력_전공의명단!$F$2:$F$401,IF(OR($C59="인턴",ISNUMBER(SEARCH("수련교육부",$B59))),"인턴",$B59))=1,"명단 일치","명단 일치(이름만, 과 다름)"),IF(COUNTIF(입력_전공의명단!$C$2:$C$401,$D59)=0,IF(COUNTIF(입력_기본자료!$C$2:$C$1001,$D59)&gt;0,"명단에 없음(기본자료에는 있음)","명단에 없음"),"동명이인 확인")))</f>
        <v/>
      </c>
      <c r="N59" s="8" t="n">
        <v>54</v>
      </c>
      <c r="O59" s="8">
        <f>IF(ISNUMBER(SEARCH("근무예정자",(INDEX(입력_구리근무자명단!$A$3:$GZ$3,1,54)&amp;""))),IFERROR(VALUE(LEFT((INDEX(입력_구리근무자명단!$A$3:$GZ$3,1,54)&amp;""),4))*100+VALUE(MID((INDEX(입력_구리근무자명단!$A$3:$GZ$3,1,54)&amp;""),6,MIN(FIND("월",(INDEX(입력_구리근무자명단!$A$3:$GZ$3,1,54)&amp;"")&amp;"월"),FIND(CHAR(10),(INDEX(입력_구리근무자명단!$A$3:$GZ$3,1,54)&amp;"")&amp;CHAR(10)),FIND(" ",(INDEX(입력_구리근무자명단!$A$3:$GZ$3,1,54)&amp;"")&amp;" "))-6)),""),"")</f>
        <v/>
      </c>
    </row>
    <row r="60">
      <c r="A60" s="29" t="n">
        <v>58</v>
      </c>
      <c r="B60" s="26">
        <f>IF(TRIM(INDEX(입력_구리근무자명단!$A$1:$GZ$303,$A60,1)&amp;"")&lt;&gt;"",TRIM(INDEX(입력_구리근무자명단!$A$1:$GZ$303,$A60,1)&amp;""),B59)</f>
        <v/>
      </c>
      <c r="C60" s="26">
        <f>IF(INDEX(입력_구리근무자명단!$A$1:$GZ$303,$A60,2)="","",INDEX(입력_구리근무자명단!$A$1:$GZ$303,$A60,2))</f>
        <v/>
      </c>
      <c r="D60" s="26">
        <f>IF($G$2="","",TRIM(IF($I$2="확정",INDEX(입력_구리근무자명단!$A$1:$GZ$303,$A60,$G$2+1)&amp;"",INDEX(입력_구리근무자명단!$A$1:$GZ$303,$A60,$G$2+0)&amp;"")))</f>
        <v/>
      </c>
      <c r="E60" s="26">
        <f>IF($D60="","",$I$2)</f>
        <v/>
      </c>
      <c r="F60" s="28">
        <f>IF($D60="","",IF(INDEX(입력_구리근무자명단!$A$1:$GZ$303,$A60,$G$2+2)="",출력_요약!$B$3,IF(ISNUMBER(INDEX(입력_구리근무자명단!$A$1:$GZ$303,$A60,$G$2+2)),INDEX(입력_구리근무자명단!$A$1:$GZ$303,$A60,$G$2+2),IFERROR(DATE(VALUE(LEFT(INDEX(입력_구리근무자명단!$A$1:$GZ$303,$A60,$G$2+2),4)),VALUE(MID(INDEX(입력_구리근무자명단!$A$1:$GZ$303,$A60,$G$2+2),6,2)),VALUE(MID(INDEX(입력_구리근무자명단!$A$1:$GZ$303,$A60,$G$2+2),9,2))),IFERROR(DATEVALUE(SUBSTITUTE(TRIM(INDEX(입력_구리근무자명단!$A$1:$GZ$303,$A60,$G$2+2)),".","-")),"⚠"&amp;INDEX(입력_구리근무자명단!$A$1:$GZ$303,$A60,$G$2+2))))))</f>
        <v/>
      </c>
      <c r="G60" s="28">
        <f>IF($D60="","",IF(INDEX(입력_구리근무자명단!$A$1:$GZ$303,$A60,$G$2+3)="",EOMONTH(출력_요약!$B$3,0),IF(ISNUMBER(INDEX(입력_구리근무자명단!$A$1:$GZ$303,$A60,$G$2+3)),INDEX(입력_구리근무자명단!$A$1:$GZ$303,$A60,$G$2+3),IFERROR(DATE(VALUE(LEFT(INDEX(입력_구리근무자명단!$A$1:$GZ$303,$A60,$G$2+3),4)),VALUE(MID(INDEX(입력_구리근무자명단!$A$1:$GZ$303,$A60,$G$2+3),6,2)),VALUE(MID(INDEX(입력_구리근무자명단!$A$1:$GZ$303,$A60,$G$2+3),9,2))),IFERROR(DATEVALUE(SUBSTITUTE(TRIM(INDEX(입력_구리근무자명단!$A$1:$GZ$303,$A60,$G$2+3)),".","-")),"⚠"&amp;INDEX(입력_구리근무자명단!$A$1:$GZ$303,$A60,$G$2+3))))))</f>
        <v/>
      </c>
      <c r="H60" s="26">
        <f>IF($D60="","",IF(OR(NOT(ISNUMBER($F60)),NOT(ISNUMBER($G60))),0,MAX(0,MIN($G60,EOMONTH(출력_요약!$B$3,0))-MAX($F60,출력_요약!$B$3)+1)))</f>
        <v/>
      </c>
      <c r="I60" s="26">
        <f>IF($D60="","",TRIM(INDEX(입력_구리근무자명단!$A$1:$GZ$303,$A60,$G$2+5)&amp;""))</f>
        <v/>
      </c>
      <c r="J60" s="26">
        <f>IF($D60="","",IF(ISNUMBER(SEARCH("구리독자",$I60)),"구리독자",""))</f>
        <v/>
      </c>
      <c r="K60" s="29">
        <f>IF($D60="","",IF(COUNTIFS(입력_전공의명단!$C$2:$C$401,$D60,입력_전공의명단!$F$2:$F$401,IF(OR($C60="인턴",ISNUMBER(SEARCH("수련교육부",$B60))),"인턴",$B60))=1,MATCH($D60&amp;"|"&amp;IF(OR($C60="인턴",ISNUMBER(SEARCH("수련교육부",$B60))),"인턴",$B60),입력_전공의명단!$AP$2:$AP$401,0),IF(AND(COUNTIFS(입력_전공의명단!$C$2:$C$401,$D60,입력_전공의명단!$F$2:$F$401,IF(OR($C60="인턴",ISNUMBER(SEARCH("수련교육부",$B60))),"인턴",$B60))=0,COUNTIF(입력_전공의명단!$C$2:$C$401,$D60)=1),MATCH($D60,입력_전공의명단!$C$2:$C$401,0),"")))</f>
        <v/>
      </c>
      <c r="L60" s="26">
        <f>IF($D60="","",IF($K60&lt;&gt;"",IF(COUNTIFS(입력_전공의명단!$C$2:$C$401,$D60,입력_전공의명단!$F$2:$F$401,IF(OR($C60="인턴",ISNUMBER(SEARCH("수련교육부",$B60))),"인턴",$B60))=1,"명단 일치","명단 일치(이름만, 과 다름)"),IF(COUNTIF(입력_전공의명단!$C$2:$C$401,$D60)=0,IF(COUNTIF(입력_기본자료!$C$2:$C$1001,$D60)&gt;0,"명단에 없음(기본자료에는 있음)","명단에 없음"),"동명이인 확인")))</f>
        <v/>
      </c>
      <c r="N60" s="8" t="n">
        <v>55</v>
      </c>
      <c r="O60" s="8">
        <f>IF(ISNUMBER(SEARCH("근무예정자",(INDEX(입력_구리근무자명단!$A$3:$GZ$3,1,55)&amp;""))),IFERROR(VALUE(LEFT((INDEX(입력_구리근무자명단!$A$3:$GZ$3,1,55)&amp;""),4))*100+VALUE(MID((INDEX(입력_구리근무자명단!$A$3:$GZ$3,1,55)&amp;""),6,MIN(FIND("월",(INDEX(입력_구리근무자명단!$A$3:$GZ$3,1,55)&amp;"")&amp;"월"),FIND(CHAR(10),(INDEX(입력_구리근무자명단!$A$3:$GZ$3,1,55)&amp;"")&amp;CHAR(10)),FIND(" ",(INDEX(입력_구리근무자명단!$A$3:$GZ$3,1,55)&amp;"")&amp;" "))-6)),""),"")</f>
        <v/>
      </c>
    </row>
    <row r="61">
      <c r="A61" s="29" t="n">
        <v>59</v>
      </c>
      <c r="B61" s="26">
        <f>IF(TRIM(INDEX(입력_구리근무자명단!$A$1:$GZ$303,$A61,1)&amp;"")&lt;&gt;"",TRIM(INDEX(입력_구리근무자명단!$A$1:$GZ$303,$A61,1)&amp;""),B60)</f>
        <v/>
      </c>
      <c r="C61" s="26">
        <f>IF(INDEX(입력_구리근무자명단!$A$1:$GZ$303,$A61,2)="","",INDEX(입력_구리근무자명단!$A$1:$GZ$303,$A61,2))</f>
        <v/>
      </c>
      <c r="D61" s="26">
        <f>IF($G$2="","",TRIM(IF($I$2="확정",INDEX(입력_구리근무자명단!$A$1:$GZ$303,$A61,$G$2+1)&amp;"",INDEX(입력_구리근무자명단!$A$1:$GZ$303,$A61,$G$2+0)&amp;"")))</f>
        <v/>
      </c>
      <c r="E61" s="26">
        <f>IF($D61="","",$I$2)</f>
        <v/>
      </c>
      <c r="F61" s="28">
        <f>IF($D61="","",IF(INDEX(입력_구리근무자명단!$A$1:$GZ$303,$A61,$G$2+2)="",출력_요약!$B$3,IF(ISNUMBER(INDEX(입력_구리근무자명단!$A$1:$GZ$303,$A61,$G$2+2)),INDEX(입력_구리근무자명단!$A$1:$GZ$303,$A61,$G$2+2),IFERROR(DATE(VALUE(LEFT(INDEX(입력_구리근무자명단!$A$1:$GZ$303,$A61,$G$2+2),4)),VALUE(MID(INDEX(입력_구리근무자명단!$A$1:$GZ$303,$A61,$G$2+2),6,2)),VALUE(MID(INDEX(입력_구리근무자명단!$A$1:$GZ$303,$A61,$G$2+2),9,2))),IFERROR(DATEVALUE(SUBSTITUTE(TRIM(INDEX(입력_구리근무자명단!$A$1:$GZ$303,$A61,$G$2+2)),".","-")),"⚠"&amp;INDEX(입력_구리근무자명단!$A$1:$GZ$303,$A61,$G$2+2))))))</f>
        <v/>
      </c>
      <c r="G61" s="28">
        <f>IF($D61="","",IF(INDEX(입력_구리근무자명단!$A$1:$GZ$303,$A61,$G$2+3)="",EOMONTH(출력_요약!$B$3,0),IF(ISNUMBER(INDEX(입력_구리근무자명단!$A$1:$GZ$303,$A61,$G$2+3)),INDEX(입력_구리근무자명단!$A$1:$GZ$303,$A61,$G$2+3),IFERROR(DATE(VALUE(LEFT(INDEX(입력_구리근무자명단!$A$1:$GZ$303,$A61,$G$2+3),4)),VALUE(MID(INDEX(입력_구리근무자명단!$A$1:$GZ$303,$A61,$G$2+3),6,2)),VALUE(MID(INDEX(입력_구리근무자명단!$A$1:$GZ$303,$A61,$G$2+3),9,2))),IFERROR(DATEVALUE(SUBSTITUTE(TRIM(INDEX(입력_구리근무자명단!$A$1:$GZ$303,$A61,$G$2+3)),".","-")),"⚠"&amp;INDEX(입력_구리근무자명단!$A$1:$GZ$303,$A61,$G$2+3))))))</f>
        <v/>
      </c>
      <c r="H61" s="26">
        <f>IF($D61="","",IF(OR(NOT(ISNUMBER($F61)),NOT(ISNUMBER($G61))),0,MAX(0,MIN($G61,EOMONTH(출력_요약!$B$3,0))-MAX($F61,출력_요약!$B$3)+1)))</f>
        <v/>
      </c>
      <c r="I61" s="26">
        <f>IF($D61="","",TRIM(INDEX(입력_구리근무자명단!$A$1:$GZ$303,$A61,$G$2+5)&amp;""))</f>
        <v/>
      </c>
      <c r="J61" s="26">
        <f>IF($D61="","",IF(ISNUMBER(SEARCH("구리독자",$I61)),"구리독자",""))</f>
        <v/>
      </c>
      <c r="K61" s="29">
        <f>IF($D61="","",IF(COUNTIFS(입력_전공의명단!$C$2:$C$401,$D61,입력_전공의명단!$F$2:$F$401,IF(OR($C61="인턴",ISNUMBER(SEARCH("수련교육부",$B61))),"인턴",$B61))=1,MATCH($D61&amp;"|"&amp;IF(OR($C61="인턴",ISNUMBER(SEARCH("수련교육부",$B61))),"인턴",$B61),입력_전공의명단!$AP$2:$AP$401,0),IF(AND(COUNTIFS(입력_전공의명단!$C$2:$C$401,$D61,입력_전공의명단!$F$2:$F$401,IF(OR($C61="인턴",ISNUMBER(SEARCH("수련교육부",$B61))),"인턴",$B61))=0,COUNTIF(입력_전공의명단!$C$2:$C$401,$D61)=1),MATCH($D61,입력_전공의명단!$C$2:$C$401,0),"")))</f>
        <v/>
      </c>
      <c r="L61" s="26">
        <f>IF($D61="","",IF($K61&lt;&gt;"",IF(COUNTIFS(입력_전공의명단!$C$2:$C$401,$D61,입력_전공의명단!$F$2:$F$401,IF(OR($C61="인턴",ISNUMBER(SEARCH("수련교육부",$B61))),"인턴",$B61))=1,"명단 일치","명단 일치(이름만, 과 다름)"),IF(COUNTIF(입력_전공의명단!$C$2:$C$401,$D61)=0,IF(COUNTIF(입력_기본자료!$C$2:$C$1001,$D61)&gt;0,"명단에 없음(기본자료에는 있음)","명단에 없음"),"동명이인 확인")))</f>
        <v/>
      </c>
      <c r="N61" s="8" t="n">
        <v>56</v>
      </c>
      <c r="O61" s="8">
        <f>IF(ISNUMBER(SEARCH("근무예정자",(INDEX(입력_구리근무자명단!$A$3:$GZ$3,1,56)&amp;""))),IFERROR(VALUE(LEFT((INDEX(입력_구리근무자명단!$A$3:$GZ$3,1,56)&amp;""),4))*100+VALUE(MID((INDEX(입력_구리근무자명단!$A$3:$GZ$3,1,56)&amp;""),6,MIN(FIND("월",(INDEX(입력_구리근무자명단!$A$3:$GZ$3,1,56)&amp;"")&amp;"월"),FIND(CHAR(10),(INDEX(입력_구리근무자명단!$A$3:$GZ$3,1,56)&amp;"")&amp;CHAR(10)),FIND(" ",(INDEX(입력_구리근무자명단!$A$3:$GZ$3,1,56)&amp;"")&amp;" "))-6)),""),"")</f>
        <v/>
      </c>
    </row>
    <row r="62">
      <c r="A62" s="29" t="n">
        <v>60</v>
      </c>
      <c r="B62" s="26">
        <f>IF(TRIM(INDEX(입력_구리근무자명단!$A$1:$GZ$303,$A62,1)&amp;"")&lt;&gt;"",TRIM(INDEX(입력_구리근무자명단!$A$1:$GZ$303,$A62,1)&amp;""),B61)</f>
        <v/>
      </c>
      <c r="C62" s="26">
        <f>IF(INDEX(입력_구리근무자명단!$A$1:$GZ$303,$A62,2)="","",INDEX(입력_구리근무자명단!$A$1:$GZ$303,$A62,2))</f>
        <v/>
      </c>
      <c r="D62" s="26">
        <f>IF($G$2="","",TRIM(IF($I$2="확정",INDEX(입력_구리근무자명단!$A$1:$GZ$303,$A62,$G$2+1)&amp;"",INDEX(입력_구리근무자명단!$A$1:$GZ$303,$A62,$G$2+0)&amp;"")))</f>
        <v/>
      </c>
      <c r="E62" s="26">
        <f>IF($D62="","",$I$2)</f>
        <v/>
      </c>
      <c r="F62" s="28">
        <f>IF($D62="","",IF(INDEX(입력_구리근무자명단!$A$1:$GZ$303,$A62,$G$2+2)="",출력_요약!$B$3,IF(ISNUMBER(INDEX(입력_구리근무자명단!$A$1:$GZ$303,$A62,$G$2+2)),INDEX(입력_구리근무자명단!$A$1:$GZ$303,$A62,$G$2+2),IFERROR(DATE(VALUE(LEFT(INDEX(입력_구리근무자명단!$A$1:$GZ$303,$A62,$G$2+2),4)),VALUE(MID(INDEX(입력_구리근무자명단!$A$1:$GZ$303,$A62,$G$2+2),6,2)),VALUE(MID(INDEX(입력_구리근무자명단!$A$1:$GZ$303,$A62,$G$2+2),9,2))),IFERROR(DATEVALUE(SUBSTITUTE(TRIM(INDEX(입력_구리근무자명단!$A$1:$GZ$303,$A62,$G$2+2)),".","-")),"⚠"&amp;INDEX(입력_구리근무자명단!$A$1:$GZ$303,$A62,$G$2+2))))))</f>
        <v/>
      </c>
      <c r="G62" s="28">
        <f>IF($D62="","",IF(INDEX(입력_구리근무자명단!$A$1:$GZ$303,$A62,$G$2+3)="",EOMONTH(출력_요약!$B$3,0),IF(ISNUMBER(INDEX(입력_구리근무자명단!$A$1:$GZ$303,$A62,$G$2+3)),INDEX(입력_구리근무자명단!$A$1:$GZ$303,$A62,$G$2+3),IFERROR(DATE(VALUE(LEFT(INDEX(입력_구리근무자명단!$A$1:$GZ$303,$A62,$G$2+3),4)),VALUE(MID(INDEX(입력_구리근무자명단!$A$1:$GZ$303,$A62,$G$2+3),6,2)),VALUE(MID(INDEX(입력_구리근무자명단!$A$1:$GZ$303,$A62,$G$2+3),9,2))),IFERROR(DATEVALUE(SUBSTITUTE(TRIM(INDEX(입력_구리근무자명단!$A$1:$GZ$303,$A62,$G$2+3)),".","-")),"⚠"&amp;INDEX(입력_구리근무자명단!$A$1:$GZ$303,$A62,$G$2+3))))))</f>
        <v/>
      </c>
      <c r="H62" s="26">
        <f>IF($D62="","",IF(OR(NOT(ISNUMBER($F62)),NOT(ISNUMBER($G62))),0,MAX(0,MIN($G62,EOMONTH(출력_요약!$B$3,0))-MAX($F62,출력_요약!$B$3)+1)))</f>
        <v/>
      </c>
      <c r="I62" s="26">
        <f>IF($D62="","",TRIM(INDEX(입력_구리근무자명단!$A$1:$GZ$303,$A62,$G$2+5)&amp;""))</f>
        <v/>
      </c>
      <c r="J62" s="26">
        <f>IF($D62="","",IF(ISNUMBER(SEARCH("구리독자",$I62)),"구리독자",""))</f>
        <v/>
      </c>
      <c r="K62" s="29">
        <f>IF($D62="","",IF(COUNTIFS(입력_전공의명단!$C$2:$C$401,$D62,입력_전공의명단!$F$2:$F$401,IF(OR($C62="인턴",ISNUMBER(SEARCH("수련교육부",$B62))),"인턴",$B62))=1,MATCH($D62&amp;"|"&amp;IF(OR($C62="인턴",ISNUMBER(SEARCH("수련교육부",$B62))),"인턴",$B62),입력_전공의명단!$AP$2:$AP$401,0),IF(AND(COUNTIFS(입력_전공의명단!$C$2:$C$401,$D62,입력_전공의명단!$F$2:$F$401,IF(OR($C62="인턴",ISNUMBER(SEARCH("수련교육부",$B62))),"인턴",$B62))=0,COUNTIF(입력_전공의명단!$C$2:$C$401,$D62)=1),MATCH($D62,입력_전공의명단!$C$2:$C$401,0),"")))</f>
        <v/>
      </c>
      <c r="L62" s="26">
        <f>IF($D62="","",IF($K62&lt;&gt;"",IF(COUNTIFS(입력_전공의명단!$C$2:$C$401,$D62,입력_전공의명단!$F$2:$F$401,IF(OR($C62="인턴",ISNUMBER(SEARCH("수련교육부",$B62))),"인턴",$B62))=1,"명단 일치","명단 일치(이름만, 과 다름)"),IF(COUNTIF(입력_전공의명단!$C$2:$C$401,$D62)=0,IF(COUNTIF(입력_기본자료!$C$2:$C$1001,$D62)&gt;0,"명단에 없음(기본자료에는 있음)","명단에 없음"),"동명이인 확인")))</f>
        <v/>
      </c>
      <c r="N62" s="8" t="n">
        <v>57</v>
      </c>
      <c r="O62" s="8">
        <f>IF(ISNUMBER(SEARCH("근무예정자",(INDEX(입력_구리근무자명단!$A$3:$GZ$3,1,57)&amp;""))),IFERROR(VALUE(LEFT((INDEX(입력_구리근무자명단!$A$3:$GZ$3,1,57)&amp;""),4))*100+VALUE(MID((INDEX(입력_구리근무자명단!$A$3:$GZ$3,1,57)&amp;""),6,MIN(FIND("월",(INDEX(입력_구리근무자명단!$A$3:$GZ$3,1,57)&amp;"")&amp;"월"),FIND(CHAR(10),(INDEX(입력_구리근무자명단!$A$3:$GZ$3,1,57)&amp;"")&amp;CHAR(10)),FIND(" ",(INDEX(입력_구리근무자명단!$A$3:$GZ$3,1,57)&amp;"")&amp;" "))-6)),""),"")</f>
        <v/>
      </c>
    </row>
    <row r="63">
      <c r="A63" s="29" t="n">
        <v>61</v>
      </c>
      <c r="B63" s="26">
        <f>IF(TRIM(INDEX(입력_구리근무자명단!$A$1:$GZ$303,$A63,1)&amp;"")&lt;&gt;"",TRIM(INDEX(입력_구리근무자명단!$A$1:$GZ$303,$A63,1)&amp;""),B62)</f>
        <v/>
      </c>
      <c r="C63" s="26">
        <f>IF(INDEX(입력_구리근무자명단!$A$1:$GZ$303,$A63,2)="","",INDEX(입력_구리근무자명단!$A$1:$GZ$303,$A63,2))</f>
        <v/>
      </c>
      <c r="D63" s="26">
        <f>IF($G$2="","",TRIM(IF($I$2="확정",INDEX(입력_구리근무자명단!$A$1:$GZ$303,$A63,$G$2+1)&amp;"",INDEX(입력_구리근무자명단!$A$1:$GZ$303,$A63,$G$2+0)&amp;"")))</f>
        <v/>
      </c>
      <c r="E63" s="26">
        <f>IF($D63="","",$I$2)</f>
        <v/>
      </c>
      <c r="F63" s="28">
        <f>IF($D63="","",IF(INDEX(입력_구리근무자명단!$A$1:$GZ$303,$A63,$G$2+2)="",출력_요약!$B$3,IF(ISNUMBER(INDEX(입력_구리근무자명단!$A$1:$GZ$303,$A63,$G$2+2)),INDEX(입력_구리근무자명단!$A$1:$GZ$303,$A63,$G$2+2),IFERROR(DATE(VALUE(LEFT(INDEX(입력_구리근무자명단!$A$1:$GZ$303,$A63,$G$2+2),4)),VALUE(MID(INDEX(입력_구리근무자명단!$A$1:$GZ$303,$A63,$G$2+2),6,2)),VALUE(MID(INDEX(입력_구리근무자명단!$A$1:$GZ$303,$A63,$G$2+2),9,2))),IFERROR(DATEVALUE(SUBSTITUTE(TRIM(INDEX(입력_구리근무자명단!$A$1:$GZ$303,$A63,$G$2+2)),".","-")),"⚠"&amp;INDEX(입력_구리근무자명단!$A$1:$GZ$303,$A63,$G$2+2))))))</f>
        <v/>
      </c>
      <c r="G63" s="28">
        <f>IF($D63="","",IF(INDEX(입력_구리근무자명단!$A$1:$GZ$303,$A63,$G$2+3)="",EOMONTH(출력_요약!$B$3,0),IF(ISNUMBER(INDEX(입력_구리근무자명단!$A$1:$GZ$303,$A63,$G$2+3)),INDEX(입력_구리근무자명단!$A$1:$GZ$303,$A63,$G$2+3),IFERROR(DATE(VALUE(LEFT(INDEX(입력_구리근무자명단!$A$1:$GZ$303,$A63,$G$2+3),4)),VALUE(MID(INDEX(입력_구리근무자명단!$A$1:$GZ$303,$A63,$G$2+3),6,2)),VALUE(MID(INDEX(입력_구리근무자명단!$A$1:$GZ$303,$A63,$G$2+3),9,2))),IFERROR(DATEVALUE(SUBSTITUTE(TRIM(INDEX(입력_구리근무자명단!$A$1:$GZ$303,$A63,$G$2+3)),".","-")),"⚠"&amp;INDEX(입력_구리근무자명단!$A$1:$GZ$303,$A63,$G$2+3))))))</f>
        <v/>
      </c>
      <c r="H63" s="26">
        <f>IF($D63="","",IF(OR(NOT(ISNUMBER($F63)),NOT(ISNUMBER($G63))),0,MAX(0,MIN($G63,EOMONTH(출력_요약!$B$3,0))-MAX($F63,출력_요약!$B$3)+1)))</f>
        <v/>
      </c>
      <c r="I63" s="26">
        <f>IF($D63="","",TRIM(INDEX(입력_구리근무자명단!$A$1:$GZ$303,$A63,$G$2+5)&amp;""))</f>
        <v/>
      </c>
      <c r="J63" s="26">
        <f>IF($D63="","",IF(ISNUMBER(SEARCH("구리독자",$I63)),"구리독자",""))</f>
        <v/>
      </c>
      <c r="K63" s="29">
        <f>IF($D63="","",IF(COUNTIFS(입력_전공의명단!$C$2:$C$401,$D63,입력_전공의명단!$F$2:$F$401,IF(OR($C63="인턴",ISNUMBER(SEARCH("수련교육부",$B63))),"인턴",$B63))=1,MATCH($D63&amp;"|"&amp;IF(OR($C63="인턴",ISNUMBER(SEARCH("수련교육부",$B63))),"인턴",$B63),입력_전공의명단!$AP$2:$AP$401,0),IF(AND(COUNTIFS(입력_전공의명단!$C$2:$C$401,$D63,입력_전공의명단!$F$2:$F$401,IF(OR($C63="인턴",ISNUMBER(SEARCH("수련교육부",$B63))),"인턴",$B63))=0,COUNTIF(입력_전공의명단!$C$2:$C$401,$D63)=1),MATCH($D63,입력_전공의명단!$C$2:$C$401,0),"")))</f>
        <v/>
      </c>
      <c r="L63" s="26">
        <f>IF($D63="","",IF($K63&lt;&gt;"",IF(COUNTIFS(입력_전공의명단!$C$2:$C$401,$D63,입력_전공의명단!$F$2:$F$401,IF(OR($C63="인턴",ISNUMBER(SEARCH("수련교육부",$B63))),"인턴",$B63))=1,"명단 일치","명단 일치(이름만, 과 다름)"),IF(COUNTIF(입력_전공의명단!$C$2:$C$401,$D63)=0,IF(COUNTIF(입력_기본자료!$C$2:$C$1001,$D63)&gt;0,"명단에 없음(기본자료에는 있음)","명단에 없음"),"동명이인 확인")))</f>
        <v/>
      </c>
      <c r="N63" s="8" t="n">
        <v>58</v>
      </c>
      <c r="O63" s="8">
        <f>IF(ISNUMBER(SEARCH("근무예정자",(INDEX(입력_구리근무자명단!$A$3:$GZ$3,1,58)&amp;""))),IFERROR(VALUE(LEFT((INDEX(입력_구리근무자명단!$A$3:$GZ$3,1,58)&amp;""),4))*100+VALUE(MID((INDEX(입력_구리근무자명단!$A$3:$GZ$3,1,58)&amp;""),6,MIN(FIND("월",(INDEX(입력_구리근무자명단!$A$3:$GZ$3,1,58)&amp;"")&amp;"월"),FIND(CHAR(10),(INDEX(입력_구리근무자명단!$A$3:$GZ$3,1,58)&amp;"")&amp;CHAR(10)),FIND(" ",(INDEX(입력_구리근무자명단!$A$3:$GZ$3,1,58)&amp;"")&amp;" "))-6)),""),"")</f>
        <v/>
      </c>
    </row>
    <row r="64">
      <c r="A64" s="29" t="n">
        <v>62</v>
      </c>
      <c r="B64" s="26">
        <f>IF(TRIM(INDEX(입력_구리근무자명단!$A$1:$GZ$303,$A64,1)&amp;"")&lt;&gt;"",TRIM(INDEX(입력_구리근무자명단!$A$1:$GZ$303,$A64,1)&amp;""),B63)</f>
        <v/>
      </c>
      <c r="C64" s="26">
        <f>IF(INDEX(입력_구리근무자명단!$A$1:$GZ$303,$A64,2)="","",INDEX(입력_구리근무자명단!$A$1:$GZ$303,$A64,2))</f>
        <v/>
      </c>
      <c r="D64" s="26">
        <f>IF($G$2="","",TRIM(IF($I$2="확정",INDEX(입력_구리근무자명단!$A$1:$GZ$303,$A64,$G$2+1)&amp;"",INDEX(입력_구리근무자명단!$A$1:$GZ$303,$A64,$G$2+0)&amp;"")))</f>
        <v/>
      </c>
      <c r="E64" s="26">
        <f>IF($D64="","",$I$2)</f>
        <v/>
      </c>
      <c r="F64" s="28">
        <f>IF($D64="","",IF(INDEX(입력_구리근무자명단!$A$1:$GZ$303,$A64,$G$2+2)="",출력_요약!$B$3,IF(ISNUMBER(INDEX(입력_구리근무자명단!$A$1:$GZ$303,$A64,$G$2+2)),INDEX(입력_구리근무자명단!$A$1:$GZ$303,$A64,$G$2+2),IFERROR(DATE(VALUE(LEFT(INDEX(입력_구리근무자명단!$A$1:$GZ$303,$A64,$G$2+2),4)),VALUE(MID(INDEX(입력_구리근무자명단!$A$1:$GZ$303,$A64,$G$2+2),6,2)),VALUE(MID(INDEX(입력_구리근무자명단!$A$1:$GZ$303,$A64,$G$2+2),9,2))),IFERROR(DATEVALUE(SUBSTITUTE(TRIM(INDEX(입력_구리근무자명단!$A$1:$GZ$303,$A64,$G$2+2)),".","-")),"⚠"&amp;INDEX(입력_구리근무자명단!$A$1:$GZ$303,$A64,$G$2+2))))))</f>
        <v/>
      </c>
      <c r="G64" s="28">
        <f>IF($D64="","",IF(INDEX(입력_구리근무자명단!$A$1:$GZ$303,$A64,$G$2+3)="",EOMONTH(출력_요약!$B$3,0),IF(ISNUMBER(INDEX(입력_구리근무자명단!$A$1:$GZ$303,$A64,$G$2+3)),INDEX(입력_구리근무자명단!$A$1:$GZ$303,$A64,$G$2+3),IFERROR(DATE(VALUE(LEFT(INDEX(입력_구리근무자명단!$A$1:$GZ$303,$A64,$G$2+3),4)),VALUE(MID(INDEX(입력_구리근무자명단!$A$1:$GZ$303,$A64,$G$2+3),6,2)),VALUE(MID(INDEX(입력_구리근무자명단!$A$1:$GZ$303,$A64,$G$2+3),9,2))),IFERROR(DATEVALUE(SUBSTITUTE(TRIM(INDEX(입력_구리근무자명단!$A$1:$GZ$303,$A64,$G$2+3)),".","-")),"⚠"&amp;INDEX(입력_구리근무자명단!$A$1:$GZ$303,$A64,$G$2+3))))))</f>
        <v/>
      </c>
      <c r="H64" s="26">
        <f>IF($D64="","",IF(OR(NOT(ISNUMBER($F64)),NOT(ISNUMBER($G64))),0,MAX(0,MIN($G64,EOMONTH(출력_요약!$B$3,0))-MAX($F64,출력_요약!$B$3)+1)))</f>
        <v/>
      </c>
      <c r="I64" s="26">
        <f>IF($D64="","",TRIM(INDEX(입력_구리근무자명단!$A$1:$GZ$303,$A64,$G$2+5)&amp;""))</f>
        <v/>
      </c>
      <c r="J64" s="26">
        <f>IF($D64="","",IF(ISNUMBER(SEARCH("구리독자",$I64)),"구리독자",""))</f>
        <v/>
      </c>
      <c r="K64" s="29">
        <f>IF($D64="","",IF(COUNTIFS(입력_전공의명단!$C$2:$C$401,$D64,입력_전공의명단!$F$2:$F$401,IF(OR($C64="인턴",ISNUMBER(SEARCH("수련교육부",$B64))),"인턴",$B64))=1,MATCH($D64&amp;"|"&amp;IF(OR($C64="인턴",ISNUMBER(SEARCH("수련교육부",$B64))),"인턴",$B64),입력_전공의명단!$AP$2:$AP$401,0),IF(AND(COUNTIFS(입력_전공의명단!$C$2:$C$401,$D64,입력_전공의명단!$F$2:$F$401,IF(OR($C64="인턴",ISNUMBER(SEARCH("수련교육부",$B64))),"인턴",$B64))=0,COUNTIF(입력_전공의명단!$C$2:$C$401,$D64)=1),MATCH($D64,입력_전공의명단!$C$2:$C$401,0),"")))</f>
        <v/>
      </c>
      <c r="L64" s="26">
        <f>IF($D64="","",IF($K64&lt;&gt;"",IF(COUNTIFS(입력_전공의명단!$C$2:$C$401,$D64,입력_전공의명단!$F$2:$F$401,IF(OR($C64="인턴",ISNUMBER(SEARCH("수련교육부",$B64))),"인턴",$B64))=1,"명단 일치","명단 일치(이름만, 과 다름)"),IF(COUNTIF(입력_전공의명단!$C$2:$C$401,$D64)=0,IF(COUNTIF(입력_기본자료!$C$2:$C$1001,$D64)&gt;0,"명단에 없음(기본자료에는 있음)","명단에 없음"),"동명이인 확인")))</f>
        <v/>
      </c>
      <c r="N64" s="8" t="n">
        <v>59</v>
      </c>
      <c r="O64" s="8">
        <f>IF(ISNUMBER(SEARCH("근무예정자",(INDEX(입력_구리근무자명단!$A$3:$GZ$3,1,59)&amp;""))),IFERROR(VALUE(LEFT((INDEX(입력_구리근무자명단!$A$3:$GZ$3,1,59)&amp;""),4))*100+VALUE(MID((INDEX(입력_구리근무자명단!$A$3:$GZ$3,1,59)&amp;""),6,MIN(FIND("월",(INDEX(입력_구리근무자명단!$A$3:$GZ$3,1,59)&amp;"")&amp;"월"),FIND(CHAR(10),(INDEX(입력_구리근무자명단!$A$3:$GZ$3,1,59)&amp;"")&amp;CHAR(10)),FIND(" ",(INDEX(입력_구리근무자명단!$A$3:$GZ$3,1,59)&amp;"")&amp;" "))-6)),""),"")</f>
        <v/>
      </c>
    </row>
    <row r="65">
      <c r="A65" s="29" t="n">
        <v>63</v>
      </c>
      <c r="B65" s="26">
        <f>IF(TRIM(INDEX(입력_구리근무자명단!$A$1:$GZ$303,$A65,1)&amp;"")&lt;&gt;"",TRIM(INDEX(입력_구리근무자명단!$A$1:$GZ$303,$A65,1)&amp;""),B64)</f>
        <v/>
      </c>
      <c r="C65" s="26">
        <f>IF(INDEX(입력_구리근무자명단!$A$1:$GZ$303,$A65,2)="","",INDEX(입력_구리근무자명단!$A$1:$GZ$303,$A65,2))</f>
        <v/>
      </c>
      <c r="D65" s="26">
        <f>IF($G$2="","",TRIM(IF($I$2="확정",INDEX(입력_구리근무자명단!$A$1:$GZ$303,$A65,$G$2+1)&amp;"",INDEX(입력_구리근무자명단!$A$1:$GZ$303,$A65,$G$2+0)&amp;"")))</f>
        <v/>
      </c>
      <c r="E65" s="26">
        <f>IF($D65="","",$I$2)</f>
        <v/>
      </c>
      <c r="F65" s="28">
        <f>IF($D65="","",IF(INDEX(입력_구리근무자명단!$A$1:$GZ$303,$A65,$G$2+2)="",출력_요약!$B$3,IF(ISNUMBER(INDEX(입력_구리근무자명단!$A$1:$GZ$303,$A65,$G$2+2)),INDEX(입력_구리근무자명단!$A$1:$GZ$303,$A65,$G$2+2),IFERROR(DATE(VALUE(LEFT(INDEX(입력_구리근무자명단!$A$1:$GZ$303,$A65,$G$2+2),4)),VALUE(MID(INDEX(입력_구리근무자명단!$A$1:$GZ$303,$A65,$G$2+2),6,2)),VALUE(MID(INDEX(입력_구리근무자명단!$A$1:$GZ$303,$A65,$G$2+2),9,2))),IFERROR(DATEVALUE(SUBSTITUTE(TRIM(INDEX(입력_구리근무자명단!$A$1:$GZ$303,$A65,$G$2+2)),".","-")),"⚠"&amp;INDEX(입력_구리근무자명단!$A$1:$GZ$303,$A65,$G$2+2))))))</f>
        <v/>
      </c>
      <c r="G65" s="28">
        <f>IF($D65="","",IF(INDEX(입력_구리근무자명단!$A$1:$GZ$303,$A65,$G$2+3)="",EOMONTH(출력_요약!$B$3,0),IF(ISNUMBER(INDEX(입력_구리근무자명단!$A$1:$GZ$303,$A65,$G$2+3)),INDEX(입력_구리근무자명단!$A$1:$GZ$303,$A65,$G$2+3),IFERROR(DATE(VALUE(LEFT(INDEX(입력_구리근무자명단!$A$1:$GZ$303,$A65,$G$2+3),4)),VALUE(MID(INDEX(입력_구리근무자명단!$A$1:$GZ$303,$A65,$G$2+3),6,2)),VALUE(MID(INDEX(입력_구리근무자명단!$A$1:$GZ$303,$A65,$G$2+3),9,2))),IFERROR(DATEVALUE(SUBSTITUTE(TRIM(INDEX(입력_구리근무자명단!$A$1:$GZ$303,$A65,$G$2+3)),".","-")),"⚠"&amp;INDEX(입력_구리근무자명단!$A$1:$GZ$303,$A65,$G$2+3))))))</f>
        <v/>
      </c>
      <c r="H65" s="26">
        <f>IF($D65="","",IF(OR(NOT(ISNUMBER($F65)),NOT(ISNUMBER($G65))),0,MAX(0,MIN($G65,EOMONTH(출력_요약!$B$3,0))-MAX($F65,출력_요약!$B$3)+1)))</f>
        <v/>
      </c>
      <c r="I65" s="26">
        <f>IF($D65="","",TRIM(INDEX(입력_구리근무자명단!$A$1:$GZ$303,$A65,$G$2+5)&amp;""))</f>
        <v/>
      </c>
      <c r="J65" s="26">
        <f>IF($D65="","",IF(ISNUMBER(SEARCH("구리독자",$I65)),"구리독자",""))</f>
        <v/>
      </c>
      <c r="K65" s="29">
        <f>IF($D65="","",IF(COUNTIFS(입력_전공의명단!$C$2:$C$401,$D65,입력_전공의명단!$F$2:$F$401,IF(OR($C65="인턴",ISNUMBER(SEARCH("수련교육부",$B65))),"인턴",$B65))=1,MATCH($D65&amp;"|"&amp;IF(OR($C65="인턴",ISNUMBER(SEARCH("수련교육부",$B65))),"인턴",$B65),입력_전공의명단!$AP$2:$AP$401,0),IF(AND(COUNTIFS(입력_전공의명단!$C$2:$C$401,$D65,입력_전공의명단!$F$2:$F$401,IF(OR($C65="인턴",ISNUMBER(SEARCH("수련교육부",$B65))),"인턴",$B65))=0,COUNTIF(입력_전공의명단!$C$2:$C$401,$D65)=1),MATCH($D65,입력_전공의명단!$C$2:$C$401,0),"")))</f>
        <v/>
      </c>
      <c r="L65" s="26">
        <f>IF($D65="","",IF($K65&lt;&gt;"",IF(COUNTIFS(입력_전공의명단!$C$2:$C$401,$D65,입력_전공의명단!$F$2:$F$401,IF(OR($C65="인턴",ISNUMBER(SEARCH("수련교육부",$B65))),"인턴",$B65))=1,"명단 일치","명단 일치(이름만, 과 다름)"),IF(COUNTIF(입력_전공의명단!$C$2:$C$401,$D65)=0,IF(COUNTIF(입력_기본자료!$C$2:$C$1001,$D65)&gt;0,"명단에 없음(기본자료에는 있음)","명단에 없음"),"동명이인 확인")))</f>
        <v/>
      </c>
      <c r="N65" s="8" t="n">
        <v>60</v>
      </c>
      <c r="O65" s="8">
        <f>IF(ISNUMBER(SEARCH("근무예정자",(INDEX(입력_구리근무자명단!$A$3:$GZ$3,1,60)&amp;""))),IFERROR(VALUE(LEFT((INDEX(입력_구리근무자명단!$A$3:$GZ$3,1,60)&amp;""),4))*100+VALUE(MID((INDEX(입력_구리근무자명단!$A$3:$GZ$3,1,60)&amp;""),6,MIN(FIND("월",(INDEX(입력_구리근무자명단!$A$3:$GZ$3,1,60)&amp;"")&amp;"월"),FIND(CHAR(10),(INDEX(입력_구리근무자명단!$A$3:$GZ$3,1,60)&amp;"")&amp;CHAR(10)),FIND(" ",(INDEX(입력_구리근무자명단!$A$3:$GZ$3,1,60)&amp;"")&amp;" "))-6)),""),"")</f>
        <v/>
      </c>
    </row>
    <row r="66">
      <c r="A66" s="29" t="n">
        <v>64</v>
      </c>
      <c r="B66" s="26">
        <f>IF(TRIM(INDEX(입력_구리근무자명단!$A$1:$GZ$303,$A66,1)&amp;"")&lt;&gt;"",TRIM(INDEX(입력_구리근무자명단!$A$1:$GZ$303,$A66,1)&amp;""),B65)</f>
        <v/>
      </c>
      <c r="C66" s="26">
        <f>IF(INDEX(입력_구리근무자명단!$A$1:$GZ$303,$A66,2)="","",INDEX(입력_구리근무자명단!$A$1:$GZ$303,$A66,2))</f>
        <v/>
      </c>
      <c r="D66" s="26">
        <f>IF($G$2="","",TRIM(IF($I$2="확정",INDEX(입력_구리근무자명단!$A$1:$GZ$303,$A66,$G$2+1)&amp;"",INDEX(입력_구리근무자명단!$A$1:$GZ$303,$A66,$G$2+0)&amp;"")))</f>
        <v/>
      </c>
      <c r="E66" s="26">
        <f>IF($D66="","",$I$2)</f>
        <v/>
      </c>
      <c r="F66" s="28">
        <f>IF($D66="","",IF(INDEX(입력_구리근무자명단!$A$1:$GZ$303,$A66,$G$2+2)="",출력_요약!$B$3,IF(ISNUMBER(INDEX(입력_구리근무자명단!$A$1:$GZ$303,$A66,$G$2+2)),INDEX(입력_구리근무자명단!$A$1:$GZ$303,$A66,$G$2+2),IFERROR(DATE(VALUE(LEFT(INDEX(입력_구리근무자명단!$A$1:$GZ$303,$A66,$G$2+2),4)),VALUE(MID(INDEX(입력_구리근무자명단!$A$1:$GZ$303,$A66,$G$2+2),6,2)),VALUE(MID(INDEX(입력_구리근무자명단!$A$1:$GZ$303,$A66,$G$2+2),9,2))),IFERROR(DATEVALUE(SUBSTITUTE(TRIM(INDEX(입력_구리근무자명단!$A$1:$GZ$303,$A66,$G$2+2)),".","-")),"⚠"&amp;INDEX(입력_구리근무자명단!$A$1:$GZ$303,$A66,$G$2+2))))))</f>
        <v/>
      </c>
      <c r="G66" s="28">
        <f>IF($D66="","",IF(INDEX(입력_구리근무자명단!$A$1:$GZ$303,$A66,$G$2+3)="",EOMONTH(출력_요약!$B$3,0),IF(ISNUMBER(INDEX(입력_구리근무자명단!$A$1:$GZ$303,$A66,$G$2+3)),INDEX(입력_구리근무자명단!$A$1:$GZ$303,$A66,$G$2+3),IFERROR(DATE(VALUE(LEFT(INDEX(입력_구리근무자명단!$A$1:$GZ$303,$A66,$G$2+3),4)),VALUE(MID(INDEX(입력_구리근무자명단!$A$1:$GZ$303,$A66,$G$2+3),6,2)),VALUE(MID(INDEX(입력_구리근무자명단!$A$1:$GZ$303,$A66,$G$2+3),9,2))),IFERROR(DATEVALUE(SUBSTITUTE(TRIM(INDEX(입력_구리근무자명단!$A$1:$GZ$303,$A66,$G$2+3)),".","-")),"⚠"&amp;INDEX(입력_구리근무자명단!$A$1:$GZ$303,$A66,$G$2+3))))))</f>
        <v/>
      </c>
      <c r="H66" s="26">
        <f>IF($D66="","",IF(OR(NOT(ISNUMBER($F66)),NOT(ISNUMBER($G66))),0,MAX(0,MIN($G66,EOMONTH(출력_요약!$B$3,0))-MAX($F66,출력_요약!$B$3)+1)))</f>
        <v/>
      </c>
      <c r="I66" s="26">
        <f>IF($D66="","",TRIM(INDEX(입력_구리근무자명단!$A$1:$GZ$303,$A66,$G$2+5)&amp;""))</f>
        <v/>
      </c>
      <c r="J66" s="26">
        <f>IF($D66="","",IF(ISNUMBER(SEARCH("구리독자",$I66)),"구리독자",""))</f>
        <v/>
      </c>
      <c r="K66" s="29">
        <f>IF($D66="","",IF(COUNTIFS(입력_전공의명단!$C$2:$C$401,$D66,입력_전공의명단!$F$2:$F$401,IF(OR($C66="인턴",ISNUMBER(SEARCH("수련교육부",$B66))),"인턴",$B66))=1,MATCH($D66&amp;"|"&amp;IF(OR($C66="인턴",ISNUMBER(SEARCH("수련교육부",$B66))),"인턴",$B66),입력_전공의명단!$AP$2:$AP$401,0),IF(AND(COUNTIFS(입력_전공의명단!$C$2:$C$401,$D66,입력_전공의명단!$F$2:$F$401,IF(OR($C66="인턴",ISNUMBER(SEARCH("수련교육부",$B66))),"인턴",$B66))=0,COUNTIF(입력_전공의명단!$C$2:$C$401,$D66)=1),MATCH($D66,입력_전공의명단!$C$2:$C$401,0),"")))</f>
        <v/>
      </c>
      <c r="L66" s="26">
        <f>IF($D66="","",IF($K66&lt;&gt;"",IF(COUNTIFS(입력_전공의명단!$C$2:$C$401,$D66,입력_전공의명단!$F$2:$F$401,IF(OR($C66="인턴",ISNUMBER(SEARCH("수련교육부",$B66))),"인턴",$B66))=1,"명단 일치","명단 일치(이름만, 과 다름)"),IF(COUNTIF(입력_전공의명단!$C$2:$C$401,$D66)=0,IF(COUNTIF(입력_기본자료!$C$2:$C$1001,$D66)&gt;0,"명단에 없음(기본자료에는 있음)","명단에 없음"),"동명이인 확인")))</f>
        <v/>
      </c>
      <c r="N66" s="8" t="n">
        <v>61</v>
      </c>
      <c r="O66" s="8">
        <f>IF(ISNUMBER(SEARCH("근무예정자",(INDEX(입력_구리근무자명단!$A$3:$GZ$3,1,61)&amp;""))),IFERROR(VALUE(LEFT((INDEX(입력_구리근무자명단!$A$3:$GZ$3,1,61)&amp;""),4))*100+VALUE(MID((INDEX(입력_구리근무자명단!$A$3:$GZ$3,1,61)&amp;""),6,MIN(FIND("월",(INDEX(입력_구리근무자명단!$A$3:$GZ$3,1,61)&amp;"")&amp;"월"),FIND(CHAR(10),(INDEX(입력_구리근무자명단!$A$3:$GZ$3,1,61)&amp;"")&amp;CHAR(10)),FIND(" ",(INDEX(입력_구리근무자명단!$A$3:$GZ$3,1,61)&amp;"")&amp;" "))-6)),""),"")</f>
        <v/>
      </c>
    </row>
    <row r="67">
      <c r="A67" s="29" t="n">
        <v>65</v>
      </c>
      <c r="B67" s="26">
        <f>IF(TRIM(INDEX(입력_구리근무자명단!$A$1:$GZ$303,$A67,1)&amp;"")&lt;&gt;"",TRIM(INDEX(입력_구리근무자명단!$A$1:$GZ$303,$A67,1)&amp;""),B66)</f>
        <v/>
      </c>
      <c r="C67" s="26">
        <f>IF(INDEX(입력_구리근무자명단!$A$1:$GZ$303,$A67,2)="","",INDEX(입력_구리근무자명단!$A$1:$GZ$303,$A67,2))</f>
        <v/>
      </c>
      <c r="D67" s="26">
        <f>IF($G$2="","",TRIM(IF($I$2="확정",INDEX(입력_구리근무자명단!$A$1:$GZ$303,$A67,$G$2+1)&amp;"",INDEX(입력_구리근무자명단!$A$1:$GZ$303,$A67,$G$2+0)&amp;"")))</f>
        <v/>
      </c>
      <c r="E67" s="26">
        <f>IF($D67="","",$I$2)</f>
        <v/>
      </c>
      <c r="F67" s="28">
        <f>IF($D67="","",IF(INDEX(입력_구리근무자명단!$A$1:$GZ$303,$A67,$G$2+2)="",출력_요약!$B$3,IF(ISNUMBER(INDEX(입력_구리근무자명단!$A$1:$GZ$303,$A67,$G$2+2)),INDEX(입력_구리근무자명단!$A$1:$GZ$303,$A67,$G$2+2),IFERROR(DATE(VALUE(LEFT(INDEX(입력_구리근무자명단!$A$1:$GZ$303,$A67,$G$2+2),4)),VALUE(MID(INDEX(입력_구리근무자명단!$A$1:$GZ$303,$A67,$G$2+2),6,2)),VALUE(MID(INDEX(입력_구리근무자명단!$A$1:$GZ$303,$A67,$G$2+2),9,2))),IFERROR(DATEVALUE(SUBSTITUTE(TRIM(INDEX(입력_구리근무자명단!$A$1:$GZ$303,$A67,$G$2+2)),".","-")),"⚠"&amp;INDEX(입력_구리근무자명단!$A$1:$GZ$303,$A67,$G$2+2))))))</f>
        <v/>
      </c>
      <c r="G67" s="28">
        <f>IF($D67="","",IF(INDEX(입력_구리근무자명단!$A$1:$GZ$303,$A67,$G$2+3)="",EOMONTH(출력_요약!$B$3,0),IF(ISNUMBER(INDEX(입력_구리근무자명단!$A$1:$GZ$303,$A67,$G$2+3)),INDEX(입력_구리근무자명단!$A$1:$GZ$303,$A67,$G$2+3),IFERROR(DATE(VALUE(LEFT(INDEX(입력_구리근무자명단!$A$1:$GZ$303,$A67,$G$2+3),4)),VALUE(MID(INDEX(입력_구리근무자명단!$A$1:$GZ$303,$A67,$G$2+3),6,2)),VALUE(MID(INDEX(입력_구리근무자명단!$A$1:$GZ$303,$A67,$G$2+3),9,2))),IFERROR(DATEVALUE(SUBSTITUTE(TRIM(INDEX(입력_구리근무자명단!$A$1:$GZ$303,$A67,$G$2+3)),".","-")),"⚠"&amp;INDEX(입력_구리근무자명단!$A$1:$GZ$303,$A67,$G$2+3))))))</f>
        <v/>
      </c>
      <c r="H67" s="26">
        <f>IF($D67="","",IF(OR(NOT(ISNUMBER($F67)),NOT(ISNUMBER($G67))),0,MAX(0,MIN($G67,EOMONTH(출력_요약!$B$3,0))-MAX($F67,출력_요약!$B$3)+1)))</f>
        <v/>
      </c>
      <c r="I67" s="26">
        <f>IF($D67="","",TRIM(INDEX(입력_구리근무자명단!$A$1:$GZ$303,$A67,$G$2+5)&amp;""))</f>
        <v/>
      </c>
      <c r="J67" s="26">
        <f>IF($D67="","",IF(ISNUMBER(SEARCH("구리독자",$I67)),"구리독자",""))</f>
        <v/>
      </c>
      <c r="K67" s="29">
        <f>IF($D67="","",IF(COUNTIFS(입력_전공의명단!$C$2:$C$401,$D67,입력_전공의명단!$F$2:$F$401,IF(OR($C67="인턴",ISNUMBER(SEARCH("수련교육부",$B67))),"인턴",$B67))=1,MATCH($D67&amp;"|"&amp;IF(OR($C67="인턴",ISNUMBER(SEARCH("수련교육부",$B67))),"인턴",$B67),입력_전공의명단!$AP$2:$AP$401,0),IF(AND(COUNTIFS(입력_전공의명단!$C$2:$C$401,$D67,입력_전공의명단!$F$2:$F$401,IF(OR($C67="인턴",ISNUMBER(SEARCH("수련교육부",$B67))),"인턴",$B67))=0,COUNTIF(입력_전공의명단!$C$2:$C$401,$D67)=1),MATCH($D67,입력_전공의명단!$C$2:$C$401,0),"")))</f>
        <v/>
      </c>
      <c r="L67" s="26">
        <f>IF($D67="","",IF($K67&lt;&gt;"",IF(COUNTIFS(입력_전공의명단!$C$2:$C$401,$D67,입력_전공의명단!$F$2:$F$401,IF(OR($C67="인턴",ISNUMBER(SEARCH("수련교육부",$B67))),"인턴",$B67))=1,"명단 일치","명단 일치(이름만, 과 다름)"),IF(COUNTIF(입력_전공의명단!$C$2:$C$401,$D67)=0,IF(COUNTIF(입력_기본자료!$C$2:$C$1001,$D67)&gt;0,"명단에 없음(기본자료에는 있음)","명단에 없음"),"동명이인 확인")))</f>
        <v/>
      </c>
      <c r="N67" s="8" t="n">
        <v>62</v>
      </c>
      <c r="O67" s="8">
        <f>IF(ISNUMBER(SEARCH("근무예정자",(INDEX(입력_구리근무자명단!$A$3:$GZ$3,1,62)&amp;""))),IFERROR(VALUE(LEFT((INDEX(입력_구리근무자명단!$A$3:$GZ$3,1,62)&amp;""),4))*100+VALUE(MID((INDEX(입력_구리근무자명단!$A$3:$GZ$3,1,62)&amp;""),6,MIN(FIND("월",(INDEX(입력_구리근무자명단!$A$3:$GZ$3,1,62)&amp;"")&amp;"월"),FIND(CHAR(10),(INDEX(입력_구리근무자명단!$A$3:$GZ$3,1,62)&amp;"")&amp;CHAR(10)),FIND(" ",(INDEX(입력_구리근무자명단!$A$3:$GZ$3,1,62)&amp;"")&amp;" "))-6)),""),"")</f>
        <v/>
      </c>
    </row>
    <row r="68">
      <c r="A68" s="29" t="n">
        <v>66</v>
      </c>
      <c r="B68" s="26">
        <f>IF(TRIM(INDEX(입력_구리근무자명단!$A$1:$GZ$303,$A68,1)&amp;"")&lt;&gt;"",TRIM(INDEX(입력_구리근무자명단!$A$1:$GZ$303,$A68,1)&amp;""),B67)</f>
        <v/>
      </c>
      <c r="C68" s="26">
        <f>IF(INDEX(입력_구리근무자명단!$A$1:$GZ$303,$A68,2)="","",INDEX(입력_구리근무자명단!$A$1:$GZ$303,$A68,2))</f>
        <v/>
      </c>
      <c r="D68" s="26">
        <f>IF($G$2="","",TRIM(IF($I$2="확정",INDEX(입력_구리근무자명단!$A$1:$GZ$303,$A68,$G$2+1)&amp;"",INDEX(입력_구리근무자명단!$A$1:$GZ$303,$A68,$G$2+0)&amp;"")))</f>
        <v/>
      </c>
      <c r="E68" s="26">
        <f>IF($D68="","",$I$2)</f>
        <v/>
      </c>
      <c r="F68" s="28">
        <f>IF($D68="","",IF(INDEX(입력_구리근무자명단!$A$1:$GZ$303,$A68,$G$2+2)="",출력_요약!$B$3,IF(ISNUMBER(INDEX(입력_구리근무자명단!$A$1:$GZ$303,$A68,$G$2+2)),INDEX(입력_구리근무자명단!$A$1:$GZ$303,$A68,$G$2+2),IFERROR(DATE(VALUE(LEFT(INDEX(입력_구리근무자명단!$A$1:$GZ$303,$A68,$G$2+2),4)),VALUE(MID(INDEX(입력_구리근무자명단!$A$1:$GZ$303,$A68,$G$2+2),6,2)),VALUE(MID(INDEX(입력_구리근무자명단!$A$1:$GZ$303,$A68,$G$2+2),9,2))),IFERROR(DATEVALUE(SUBSTITUTE(TRIM(INDEX(입력_구리근무자명단!$A$1:$GZ$303,$A68,$G$2+2)),".","-")),"⚠"&amp;INDEX(입력_구리근무자명단!$A$1:$GZ$303,$A68,$G$2+2))))))</f>
        <v/>
      </c>
      <c r="G68" s="28">
        <f>IF($D68="","",IF(INDEX(입력_구리근무자명단!$A$1:$GZ$303,$A68,$G$2+3)="",EOMONTH(출력_요약!$B$3,0),IF(ISNUMBER(INDEX(입력_구리근무자명단!$A$1:$GZ$303,$A68,$G$2+3)),INDEX(입력_구리근무자명단!$A$1:$GZ$303,$A68,$G$2+3),IFERROR(DATE(VALUE(LEFT(INDEX(입력_구리근무자명단!$A$1:$GZ$303,$A68,$G$2+3),4)),VALUE(MID(INDEX(입력_구리근무자명단!$A$1:$GZ$303,$A68,$G$2+3),6,2)),VALUE(MID(INDEX(입력_구리근무자명단!$A$1:$GZ$303,$A68,$G$2+3),9,2))),IFERROR(DATEVALUE(SUBSTITUTE(TRIM(INDEX(입력_구리근무자명단!$A$1:$GZ$303,$A68,$G$2+3)),".","-")),"⚠"&amp;INDEX(입력_구리근무자명단!$A$1:$GZ$303,$A68,$G$2+3))))))</f>
        <v/>
      </c>
      <c r="H68" s="26">
        <f>IF($D68="","",IF(OR(NOT(ISNUMBER($F68)),NOT(ISNUMBER($G68))),0,MAX(0,MIN($G68,EOMONTH(출력_요약!$B$3,0))-MAX($F68,출력_요약!$B$3)+1)))</f>
        <v/>
      </c>
      <c r="I68" s="26">
        <f>IF($D68="","",TRIM(INDEX(입력_구리근무자명단!$A$1:$GZ$303,$A68,$G$2+5)&amp;""))</f>
        <v/>
      </c>
      <c r="J68" s="26">
        <f>IF($D68="","",IF(ISNUMBER(SEARCH("구리독자",$I68)),"구리독자",""))</f>
        <v/>
      </c>
      <c r="K68" s="29">
        <f>IF($D68="","",IF(COUNTIFS(입력_전공의명단!$C$2:$C$401,$D68,입력_전공의명단!$F$2:$F$401,IF(OR($C68="인턴",ISNUMBER(SEARCH("수련교육부",$B68))),"인턴",$B68))=1,MATCH($D68&amp;"|"&amp;IF(OR($C68="인턴",ISNUMBER(SEARCH("수련교육부",$B68))),"인턴",$B68),입력_전공의명단!$AP$2:$AP$401,0),IF(AND(COUNTIFS(입력_전공의명단!$C$2:$C$401,$D68,입력_전공의명단!$F$2:$F$401,IF(OR($C68="인턴",ISNUMBER(SEARCH("수련교육부",$B68))),"인턴",$B68))=0,COUNTIF(입력_전공의명단!$C$2:$C$401,$D68)=1),MATCH($D68,입력_전공의명단!$C$2:$C$401,0),"")))</f>
        <v/>
      </c>
      <c r="L68" s="26">
        <f>IF($D68="","",IF($K68&lt;&gt;"",IF(COUNTIFS(입력_전공의명단!$C$2:$C$401,$D68,입력_전공의명단!$F$2:$F$401,IF(OR($C68="인턴",ISNUMBER(SEARCH("수련교육부",$B68))),"인턴",$B68))=1,"명단 일치","명단 일치(이름만, 과 다름)"),IF(COUNTIF(입력_전공의명단!$C$2:$C$401,$D68)=0,IF(COUNTIF(입력_기본자료!$C$2:$C$1001,$D68)&gt;0,"명단에 없음(기본자료에는 있음)","명단에 없음"),"동명이인 확인")))</f>
        <v/>
      </c>
      <c r="N68" s="8" t="n">
        <v>63</v>
      </c>
      <c r="O68" s="8">
        <f>IF(ISNUMBER(SEARCH("근무예정자",(INDEX(입력_구리근무자명단!$A$3:$GZ$3,1,63)&amp;""))),IFERROR(VALUE(LEFT((INDEX(입력_구리근무자명단!$A$3:$GZ$3,1,63)&amp;""),4))*100+VALUE(MID((INDEX(입력_구리근무자명단!$A$3:$GZ$3,1,63)&amp;""),6,MIN(FIND("월",(INDEX(입력_구리근무자명단!$A$3:$GZ$3,1,63)&amp;"")&amp;"월"),FIND(CHAR(10),(INDEX(입력_구리근무자명단!$A$3:$GZ$3,1,63)&amp;"")&amp;CHAR(10)),FIND(" ",(INDEX(입력_구리근무자명단!$A$3:$GZ$3,1,63)&amp;"")&amp;" "))-6)),""),"")</f>
        <v/>
      </c>
    </row>
    <row r="69">
      <c r="A69" s="29" t="n">
        <v>67</v>
      </c>
      <c r="B69" s="26">
        <f>IF(TRIM(INDEX(입력_구리근무자명단!$A$1:$GZ$303,$A69,1)&amp;"")&lt;&gt;"",TRIM(INDEX(입력_구리근무자명단!$A$1:$GZ$303,$A69,1)&amp;""),B68)</f>
        <v/>
      </c>
      <c r="C69" s="26">
        <f>IF(INDEX(입력_구리근무자명단!$A$1:$GZ$303,$A69,2)="","",INDEX(입력_구리근무자명단!$A$1:$GZ$303,$A69,2))</f>
        <v/>
      </c>
      <c r="D69" s="26">
        <f>IF($G$2="","",TRIM(IF($I$2="확정",INDEX(입력_구리근무자명단!$A$1:$GZ$303,$A69,$G$2+1)&amp;"",INDEX(입력_구리근무자명단!$A$1:$GZ$303,$A69,$G$2+0)&amp;"")))</f>
        <v/>
      </c>
      <c r="E69" s="26">
        <f>IF($D69="","",$I$2)</f>
        <v/>
      </c>
      <c r="F69" s="28">
        <f>IF($D69="","",IF(INDEX(입력_구리근무자명단!$A$1:$GZ$303,$A69,$G$2+2)="",출력_요약!$B$3,IF(ISNUMBER(INDEX(입력_구리근무자명단!$A$1:$GZ$303,$A69,$G$2+2)),INDEX(입력_구리근무자명단!$A$1:$GZ$303,$A69,$G$2+2),IFERROR(DATE(VALUE(LEFT(INDEX(입력_구리근무자명단!$A$1:$GZ$303,$A69,$G$2+2),4)),VALUE(MID(INDEX(입력_구리근무자명단!$A$1:$GZ$303,$A69,$G$2+2),6,2)),VALUE(MID(INDEX(입력_구리근무자명단!$A$1:$GZ$303,$A69,$G$2+2),9,2))),IFERROR(DATEVALUE(SUBSTITUTE(TRIM(INDEX(입력_구리근무자명단!$A$1:$GZ$303,$A69,$G$2+2)),".","-")),"⚠"&amp;INDEX(입력_구리근무자명단!$A$1:$GZ$303,$A69,$G$2+2))))))</f>
        <v/>
      </c>
      <c r="G69" s="28">
        <f>IF($D69="","",IF(INDEX(입력_구리근무자명단!$A$1:$GZ$303,$A69,$G$2+3)="",EOMONTH(출력_요약!$B$3,0),IF(ISNUMBER(INDEX(입력_구리근무자명단!$A$1:$GZ$303,$A69,$G$2+3)),INDEX(입력_구리근무자명단!$A$1:$GZ$303,$A69,$G$2+3),IFERROR(DATE(VALUE(LEFT(INDEX(입력_구리근무자명단!$A$1:$GZ$303,$A69,$G$2+3),4)),VALUE(MID(INDEX(입력_구리근무자명단!$A$1:$GZ$303,$A69,$G$2+3),6,2)),VALUE(MID(INDEX(입력_구리근무자명단!$A$1:$GZ$303,$A69,$G$2+3),9,2))),IFERROR(DATEVALUE(SUBSTITUTE(TRIM(INDEX(입력_구리근무자명단!$A$1:$GZ$303,$A69,$G$2+3)),".","-")),"⚠"&amp;INDEX(입력_구리근무자명단!$A$1:$GZ$303,$A69,$G$2+3))))))</f>
        <v/>
      </c>
      <c r="H69" s="26">
        <f>IF($D69="","",IF(OR(NOT(ISNUMBER($F69)),NOT(ISNUMBER($G69))),0,MAX(0,MIN($G69,EOMONTH(출력_요약!$B$3,0))-MAX($F69,출력_요약!$B$3)+1)))</f>
        <v/>
      </c>
      <c r="I69" s="26">
        <f>IF($D69="","",TRIM(INDEX(입력_구리근무자명단!$A$1:$GZ$303,$A69,$G$2+5)&amp;""))</f>
        <v/>
      </c>
      <c r="J69" s="26">
        <f>IF($D69="","",IF(ISNUMBER(SEARCH("구리독자",$I69)),"구리독자",""))</f>
        <v/>
      </c>
      <c r="K69" s="29">
        <f>IF($D69="","",IF(COUNTIFS(입력_전공의명단!$C$2:$C$401,$D69,입력_전공의명단!$F$2:$F$401,IF(OR($C69="인턴",ISNUMBER(SEARCH("수련교육부",$B69))),"인턴",$B69))=1,MATCH($D69&amp;"|"&amp;IF(OR($C69="인턴",ISNUMBER(SEARCH("수련교육부",$B69))),"인턴",$B69),입력_전공의명단!$AP$2:$AP$401,0),IF(AND(COUNTIFS(입력_전공의명단!$C$2:$C$401,$D69,입력_전공의명단!$F$2:$F$401,IF(OR($C69="인턴",ISNUMBER(SEARCH("수련교육부",$B69))),"인턴",$B69))=0,COUNTIF(입력_전공의명단!$C$2:$C$401,$D69)=1),MATCH($D69,입력_전공의명단!$C$2:$C$401,0),"")))</f>
        <v/>
      </c>
      <c r="L69" s="26">
        <f>IF($D69="","",IF($K69&lt;&gt;"",IF(COUNTIFS(입력_전공의명단!$C$2:$C$401,$D69,입력_전공의명단!$F$2:$F$401,IF(OR($C69="인턴",ISNUMBER(SEARCH("수련교육부",$B69))),"인턴",$B69))=1,"명단 일치","명단 일치(이름만, 과 다름)"),IF(COUNTIF(입력_전공의명단!$C$2:$C$401,$D69)=0,IF(COUNTIF(입력_기본자료!$C$2:$C$1001,$D69)&gt;0,"명단에 없음(기본자료에는 있음)","명단에 없음"),"동명이인 확인")))</f>
        <v/>
      </c>
      <c r="N69" s="8" t="n">
        <v>64</v>
      </c>
      <c r="O69" s="8">
        <f>IF(ISNUMBER(SEARCH("근무예정자",(INDEX(입력_구리근무자명단!$A$3:$GZ$3,1,64)&amp;""))),IFERROR(VALUE(LEFT((INDEX(입력_구리근무자명단!$A$3:$GZ$3,1,64)&amp;""),4))*100+VALUE(MID((INDEX(입력_구리근무자명단!$A$3:$GZ$3,1,64)&amp;""),6,MIN(FIND("월",(INDEX(입력_구리근무자명단!$A$3:$GZ$3,1,64)&amp;"")&amp;"월"),FIND(CHAR(10),(INDEX(입력_구리근무자명단!$A$3:$GZ$3,1,64)&amp;"")&amp;CHAR(10)),FIND(" ",(INDEX(입력_구리근무자명단!$A$3:$GZ$3,1,64)&amp;"")&amp;" "))-6)),""),"")</f>
        <v/>
      </c>
    </row>
    <row r="70">
      <c r="A70" s="29" t="n">
        <v>68</v>
      </c>
      <c r="B70" s="26">
        <f>IF(TRIM(INDEX(입력_구리근무자명단!$A$1:$GZ$303,$A70,1)&amp;"")&lt;&gt;"",TRIM(INDEX(입력_구리근무자명단!$A$1:$GZ$303,$A70,1)&amp;""),B69)</f>
        <v/>
      </c>
      <c r="C70" s="26">
        <f>IF(INDEX(입력_구리근무자명단!$A$1:$GZ$303,$A70,2)="","",INDEX(입력_구리근무자명단!$A$1:$GZ$303,$A70,2))</f>
        <v/>
      </c>
      <c r="D70" s="26">
        <f>IF($G$2="","",TRIM(IF($I$2="확정",INDEX(입력_구리근무자명단!$A$1:$GZ$303,$A70,$G$2+1)&amp;"",INDEX(입력_구리근무자명단!$A$1:$GZ$303,$A70,$G$2+0)&amp;"")))</f>
        <v/>
      </c>
      <c r="E70" s="26">
        <f>IF($D70="","",$I$2)</f>
        <v/>
      </c>
      <c r="F70" s="28">
        <f>IF($D70="","",IF(INDEX(입력_구리근무자명단!$A$1:$GZ$303,$A70,$G$2+2)="",출력_요약!$B$3,IF(ISNUMBER(INDEX(입력_구리근무자명단!$A$1:$GZ$303,$A70,$G$2+2)),INDEX(입력_구리근무자명단!$A$1:$GZ$303,$A70,$G$2+2),IFERROR(DATE(VALUE(LEFT(INDEX(입력_구리근무자명단!$A$1:$GZ$303,$A70,$G$2+2),4)),VALUE(MID(INDEX(입력_구리근무자명단!$A$1:$GZ$303,$A70,$G$2+2),6,2)),VALUE(MID(INDEX(입력_구리근무자명단!$A$1:$GZ$303,$A70,$G$2+2),9,2))),IFERROR(DATEVALUE(SUBSTITUTE(TRIM(INDEX(입력_구리근무자명단!$A$1:$GZ$303,$A70,$G$2+2)),".","-")),"⚠"&amp;INDEX(입력_구리근무자명단!$A$1:$GZ$303,$A70,$G$2+2))))))</f>
        <v/>
      </c>
      <c r="G70" s="28">
        <f>IF($D70="","",IF(INDEX(입력_구리근무자명단!$A$1:$GZ$303,$A70,$G$2+3)="",EOMONTH(출력_요약!$B$3,0),IF(ISNUMBER(INDEX(입력_구리근무자명단!$A$1:$GZ$303,$A70,$G$2+3)),INDEX(입력_구리근무자명단!$A$1:$GZ$303,$A70,$G$2+3),IFERROR(DATE(VALUE(LEFT(INDEX(입력_구리근무자명단!$A$1:$GZ$303,$A70,$G$2+3),4)),VALUE(MID(INDEX(입력_구리근무자명단!$A$1:$GZ$303,$A70,$G$2+3),6,2)),VALUE(MID(INDEX(입력_구리근무자명단!$A$1:$GZ$303,$A70,$G$2+3),9,2))),IFERROR(DATEVALUE(SUBSTITUTE(TRIM(INDEX(입력_구리근무자명단!$A$1:$GZ$303,$A70,$G$2+3)),".","-")),"⚠"&amp;INDEX(입력_구리근무자명단!$A$1:$GZ$303,$A70,$G$2+3))))))</f>
        <v/>
      </c>
      <c r="H70" s="26">
        <f>IF($D70="","",IF(OR(NOT(ISNUMBER($F70)),NOT(ISNUMBER($G70))),0,MAX(0,MIN($G70,EOMONTH(출력_요약!$B$3,0))-MAX($F70,출력_요약!$B$3)+1)))</f>
        <v/>
      </c>
      <c r="I70" s="26">
        <f>IF($D70="","",TRIM(INDEX(입력_구리근무자명단!$A$1:$GZ$303,$A70,$G$2+5)&amp;""))</f>
        <v/>
      </c>
      <c r="J70" s="26">
        <f>IF($D70="","",IF(ISNUMBER(SEARCH("구리독자",$I70)),"구리독자",""))</f>
        <v/>
      </c>
      <c r="K70" s="29">
        <f>IF($D70="","",IF(COUNTIFS(입력_전공의명단!$C$2:$C$401,$D70,입력_전공의명단!$F$2:$F$401,IF(OR($C70="인턴",ISNUMBER(SEARCH("수련교육부",$B70))),"인턴",$B70))=1,MATCH($D70&amp;"|"&amp;IF(OR($C70="인턴",ISNUMBER(SEARCH("수련교육부",$B70))),"인턴",$B70),입력_전공의명단!$AP$2:$AP$401,0),IF(AND(COUNTIFS(입력_전공의명단!$C$2:$C$401,$D70,입력_전공의명단!$F$2:$F$401,IF(OR($C70="인턴",ISNUMBER(SEARCH("수련교육부",$B70))),"인턴",$B70))=0,COUNTIF(입력_전공의명단!$C$2:$C$401,$D70)=1),MATCH($D70,입력_전공의명단!$C$2:$C$401,0),"")))</f>
        <v/>
      </c>
      <c r="L70" s="26">
        <f>IF($D70="","",IF($K70&lt;&gt;"",IF(COUNTIFS(입력_전공의명단!$C$2:$C$401,$D70,입력_전공의명단!$F$2:$F$401,IF(OR($C70="인턴",ISNUMBER(SEARCH("수련교육부",$B70))),"인턴",$B70))=1,"명단 일치","명단 일치(이름만, 과 다름)"),IF(COUNTIF(입력_전공의명단!$C$2:$C$401,$D70)=0,IF(COUNTIF(입력_기본자료!$C$2:$C$1001,$D70)&gt;0,"명단에 없음(기본자료에는 있음)","명단에 없음"),"동명이인 확인")))</f>
        <v/>
      </c>
      <c r="N70" s="8" t="n">
        <v>65</v>
      </c>
      <c r="O70" s="8">
        <f>IF(ISNUMBER(SEARCH("근무예정자",(INDEX(입력_구리근무자명단!$A$3:$GZ$3,1,65)&amp;""))),IFERROR(VALUE(LEFT((INDEX(입력_구리근무자명단!$A$3:$GZ$3,1,65)&amp;""),4))*100+VALUE(MID((INDEX(입력_구리근무자명단!$A$3:$GZ$3,1,65)&amp;""),6,MIN(FIND("월",(INDEX(입력_구리근무자명단!$A$3:$GZ$3,1,65)&amp;"")&amp;"월"),FIND(CHAR(10),(INDEX(입력_구리근무자명단!$A$3:$GZ$3,1,65)&amp;"")&amp;CHAR(10)),FIND(" ",(INDEX(입력_구리근무자명단!$A$3:$GZ$3,1,65)&amp;"")&amp;" "))-6)),""),"")</f>
        <v/>
      </c>
    </row>
    <row r="71">
      <c r="A71" s="29" t="n">
        <v>69</v>
      </c>
      <c r="B71" s="26">
        <f>IF(TRIM(INDEX(입력_구리근무자명단!$A$1:$GZ$303,$A71,1)&amp;"")&lt;&gt;"",TRIM(INDEX(입력_구리근무자명단!$A$1:$GZ$303,$A71,1)&amp;""),B70)</f>
        <v/>
      </c>
      <c r="C71" s="26">
        <f>IF(INDEX(입력_구리근무자명단!$A$1:$GZ$303,$A71,2)="","",INDEX(입력_구리근무자명단!$A$1:$GZ$303,$A71,2))</f>
        <v/>
      </c>
      <c r="D71" s="26">
        <f>IF($G$2="","",TRIM(IF($I$2="확정",INDEX(입력_구리근무자명단!$A$1:$GZ$303,$A71,$G$2+1)&amp;"",INDEX(입력_구리근무자명단!$A$1:$GZ$303,$A71,$G$2+0)&amp;"")))</f>
        <v/>
      </c>
      <c r="E71" s="26">
        <f>IF($D71="","",$I$2)</f>
        <v/>
      </c>
      <c r="F71" s="28">
        <f>IF($D71="","",IF(INDEX(입력_구리근무자명단!$A$1:$GZ$303,$A71,$G$2+2)="",출력_요약!$B$3,IF(ISNUMBER(INDEX(입력_구리근무자명단!$A$1:$GZ$303,$A71,$G$2+2)),INDEX(입력_구리근무자명단!$A$1:$GZ$303,$A71,$G$2+2),IFERROR(DATE(VALUE(LEFT(INDEX(입력_구리근무자명단!$A$1:$GZ$303,$A71,$G$2+2),4)),VALUE(MID(INDEX(입력_구리근무자명단!$A$1:$GZ$303,$A71,$G$2+2),6,2)),VALUE(MID(INDEX(입력_구리근무자명단!$A$1:$GZ$303,$A71,$G$2+2),9,2))),IFERROR(DATEVALUE(SUBSTITUTE(TRIM(INDEX(입력_구리근무자명단!$A$1:$GZ$303,$A71,$G$2+2)),".","-")),"⚠"&amp;INDEX(입력_구리근무자명단!$A$1:$GZ$303,$A71,$G$2+2))))))</f>
        <v/>
      </c>
      <c r="G71" s="28">
        <f>IF($D71="","",IF(INDEX(입력_구리근무자명단!$A$1:$GZ$303,$A71,$G$2+3)="",EOMONTH(출력_요약!$B$3,0),IF(ISNUMBER(INDEX(입력_구리근무자명단!$A$1:$GZ$303,$A71,$G$2+3)),INDEX(입력_구리근무자명단!$A$1:$GZ$303,$A71,$G$2+3),IFERROR(DATE(VALUE(LEFT(INDEX(입력_구리근무자명단!$A$1:$GZ$303,$A71,$G$2+3),4)),VALUE(MID(INDEX(입력_구리근무자명단!$A$1:$GZ$303,$A71,$G$2+3),6,2)),VALUE(MID(INDEX(입력_구리근무자명단!$A$1:$GZ$303,$A71,$G$2+3),9,2))),IFERROR(DATEVALUE(SUBSTITUTE(TRIM(INDEX(입력_구리근무자명단!$A$1:$GZ$303,$A71,$G$2+3)),".","-")),"⚠"&amp;INDEX(입력_구리근무자명단!$A$1:$GZ$303,$A71,$G$2+3))))))</f>
        <v/>
      </c>
      <c r="H71" s="26">
        <f>IF($D71="","",IF(OR(NOT(ISNUMBER($F71)),NOT(ISNUMBER($G71))),0,MAX(0,MIN($G71,EOMONTH(출력_요약!$B$3,0))-MAX($F71,출력_요약!$B$3)+1)))</f>
        <v/>
      </c>
      <c r="I71" s="26">
        <f>IF($D71="","",TRIM(INDEX(입력_구리근무자명단!$A$1:$GZ$303,$A71,$G$2+5)&amp;""))</f>
        <v/>
      </c>
      <c r="J71" s="26">
        <f>IF($D71="","",IF(ISNUMBER(SEARCH("구리독자",$I71)),"구리독자",""))</f>
        <v/>
      </c>
      <c r="K71" s="29">
        <f>IF($D71="","",IF(COUNTIFS(입력_전공의명단!$C$2:$C$401,$D71,입력_전공의명단!$F$2:$F$401,IF(OR($C71="인턴",ISNUMBER(SEARCH("수련교육부",$B71))),"인턴",$B71))=1,MATCH($D71&amp;"|"&amp;IF(OR($C71="인턴",ISNUMBER(SEARCH("수련교육부",$B71))),"인턴",$B71),입력_전공의명단!$AP$2:$AP$401,0),IF(AND(COUNTIFS(입력_전공의명단!$C$2:$C$401,$D71,입력_전공의명단!$F$2:$F$401,IF(OR($C71="인턴",ISNUMBER(SEARCH("수련교육부",$B71))),"인턴",$B71))=0,COUNTIF(입력_전공의명단!$C$2:$C$401,$D71)=1),MATCH($D71,입력_전공의명단!$C$2:$C$401,0),"")))</f>
        <v/>
      </c>
      <c r="L71" s="26">
        <f>IF($D71="","",IF($K71&lt;&gt;"",IF(COUNTIFS(입력_전공의명단!$C$2:$C$401,$D71,입력_전공의명단!$F$2:$F$401,IF(OR($C71="인턴",ISNUMBER(SEARCH("수련교육부",$B71))),"인턴",$B71))=1,"명단 일치","명단 일치(이름만, 과 다름)"),IF(COUNTIF(입력_전공의명단!$C$2:$C$401,$D71)=0,IF(COUNTIF(입력_기본자료!$C$2:$C$1001,$D71)&gt;0,"명단에 없음(기본자료에는 있음)","명단에 없음"),"동명이인 확인")))</f>
        <v/>
      </c>
      <c r="N71" s="8" t="n">
        <v>66</v>
      </c>
      <c r="O71" s="8">
        <f>IF(ISNUMBER(SEARCH("근무예정자",(INDEX(입력_구리근무자명단!$A$3:$GZ$3,1,66)&amp;""))),IFERROR(VALUE(LEFT((INDEX(입력_구리근무자명단!$A$3:$GZ$3,1,66)&amp;""),4))*100+VALUE(MID((INDEX(입력_구리근무자명단!$A$3:$GZ$3,1,66)&amp;""),6,MIN(FIND("월",(INDEX(입력_구리근무자명단!$A$3:$GZ$3,1,66)&amp;"")&amp;"월"),FIND(CHAR(10),(INDEX(입력_구리근무자명단!$A$3:$GZ$3,1,66)&amp;"")&amp;CHAR(10)),FIND(" ",(INDEX(입력_구리근무자명단!$A$3:$GZ$3,1,66)&amp;"")&amp;" "))-6)),""),"")</f>
        <v/>
      </c>
    </row>
    <row r="72">
      <c r="A72" s="29" t="n">
        <v>70</v>
      </c>
      <c r="B72" s="26">
        <f>IF(TRIM(INDEX(입력_구리근무자명단!$A$1:$GZ$303,$A72,1)&amp;"")&lt;&gt;"",TRIM(INDEX(입력_구리근무자명단!$A$1:$GZ$303,$A72,1)&amp;""),B71)</f>
        <v/>
      </c>
      <c r="C72" s="26">
        <f>IF(INDEX(입력_구리근무자명단!$A$1:$GZ$303,$A72,2)="","",INDEX(입력_구리근무자명단!$A$1:$GZ$303,$A72,2))</f>
        <v/>
      </c>
      <c r="D72" s="26">
        <f>IF($G$2="","",TRIM(IF($I$2="확정",INDEX(입력_구리근무자명단!$A$1:$GZ$303,$A72,$G$2+1)&amp;"",INDEX(입력_구리근무자명단!$A$1:$GZ$303,$A72,$G$2+0)&amp;"")))</f>
        <v/>
      </c>
      <c r="E72" s="26">
        <f>IF($D72="","",$I$2)</f>
        <v/>
      </c>
      <c r="F72" s="28">
        <f>IF($D72="","",IF(INDEX(입력_구리근무자명단!$A$1:$GZ$303,$A72,$G$2+2)="",출력_요약!$B$3,IF(ISNUMBER(INDEX(입력_구리근무자명단!$A$1:$GZ$303,$A72,$G$2+2)),INDEX(입력_구리근무자명단!$A$1:$GZ$303,$A72,$G$2+2),IFERROR(DATE(VALUE(LEFT(INDEX(입력_구리근무자명단!$A$1:$GZ$303,$A72,$G$2+2),4)),VALUE(MID(INDEX(입력_구리근무자명단!$A$1:$GZ$303,$A72,$G$2+2),6,2)),VALUE(MID(INDEX(입력_구리근무자명단!$A$1:$GZ$303,$A72,$G$2+2),9,2))),IFERROR(DATEVALUE(SUBSTITUTE(TRIM(INDEX(입력_구리근무자명단!$A$1:$GZ$303,$A72,$G$2+2)),".","-")),"⚠"&amp;INDEX(입력_구리근무자명단!$A$1:$GZ$303,$A72,$G$2+2))))))</f>
        <v/>
      </c>
      <c r="G72" s="28">
        <f>IF($D72="","",IF(INDEX(입력_구리근무자명단!$A$1:$GZ$303,$A72,$G$2+3)="",EOMONTH(출력_요약!$B$3,0),IF(ISNUMBER(INDEX(입력_구리근무자명단!$A$1:$GZ$303,$A72,$G$2+3)),INDEX(입력_구리근무자명단!$A$1:$GZ$303,$A72,$G$2+3),IFERROR(DATE(VALUE(LEFT(INDEX(입력_구리근무자명단!$A$1:$GZ$303,$A72,$G$2+3),4)),VALUE(MID(INDEX(입력_구리근무자명단!$A$1:$GZ$303,$A72,$G$2+3),6,2)),VALUE(MID(INDEX(입력_구리근무자명단!$A$1:$GZ$303,$A72,$G$2+3),9,2))),IFERROR(DATEVALUE(SUBSTITUTE(TRIM(INDEX(입력_구리근무자명단!$A$1:$GZ$303,$A72,$G$2+3)),".","-")),"⚠"&amp;INDEX(입력_구리근무자명단!$A$1:$GZ$303,$A72,$G$2+3))))))</f>
        <v/>
      </c>
      <c r="H72" s="26">
        <f>IF($D72="","",IF(OR(NOT(ISNUMBER($F72)),NOT(ISNUMBER($G72))),0,MAX(0,MIN($G72,EOMONTH(출력_요약!$B$3,0))-MAX($F72,출력_요약!$B$3)+1)))</f>
        <v/>
      </c>
      <c r="I72" s="26">
        <f>IF($D72="","",TRIM(INDEX(입력_구리근무자명단!$A$1:$GZ$303,$A72,$G$2+5)&amp;""))</f>
        <v/>
      </c>
      <c r="J72" s="26">
        <f>IF($D72="","",IF(ISNUMBER(SEARCH("구리독자",$I72)),"구리독자",""))</f>
        <v/>
      </c>
      <c r="K72" s="29">
        <f>IF($D72="","",IF(COUNTIFS(입력_전공의명단!$C$2:$C$401,$D72,입력_전공의명단!$F$2:$F$401,IF(OR($C72="인턴",ISNUMBER(SEARCH("수련교육부",$B72))),"인턴",$B72))=1,MATCH($D72&amp;"|"&amp;IF(OR($C72="인턴",ISNUMBER(SEARCH("수련교육부",$B72))),"인턴",$B72),입력_전공의명단!$AP$2:$AP$401,0),IF(AND(COUNTIFS(입력_전공의명단!$C$2:$C$401,$D72,입력_전공의명단!$F$2:$F$401,IF(OR($C72="인턴",ISNUMBER(SEARCH("수련교육부",$B72))),"인턴",$B72))=0,COUNTIF(입력_전공의명단!$C$2:$C$401,$D72)=1),MATCH($D72,입력_전공의명단!$C$2:$C$401,0),"")))</f>
        <v/>
      </c>
      <c r="L72" s="26">
        <f>IF($D72="","",IF($K72&lt;&gt;"",IF(COUNTIFS(입력_전공의명단!$C$2:$C$401,$D72,입력_전공의명단!$F$2:$F$401,IF(OR($C72="인턴",ISNUMBER(SEARCH("수련교육부",$B72))),"인턴",$B72))=1,"명단 일치","명단 일치(이름만, 과 다름)"),IF(COUNTIF(입력_전공의명단!$C$2:$C$401,$D72)=0,IF(COUNTIF(입력_기본자료!$C$2:$C$1001,$D72)&gt;0,"명단에 없음(기본자료에는 있음)","명단에 없음"),"동명이인 확인")))</f>
        <v/>
      </c>
      <c r="N72" s="8" t="n">
        <v>67</v>
      </c>
      <c r="O72" s="8">
        <f>IF(ISNUMBER(SEARCH("근무예정자",(INDEX(입력_구리근무자명단!$A$3:$GZ$3,1,67)&amp;""))),IFERROR(VALUE(LEFT((INDEX(입력_구리근무자명단!$A$3:$GZ$3,1,67)&amp;""),4))*100+VALUE(MID((INDEX(입력_구리근무자명단!$A$3:$GZ$3,1,67)&amp;""),6,MIN(FIND("월",(INDEX(입력_구리근무자명단!$A$3:$GZ$3,1,67)&amp;"")&amp;"월"),FIND(CHAR(10),(INDEX(입력_구리근무자명단!$A$3:$GZ$3,1,67)&amp;"")&amp;CHAR(10)),FIND(" ",(INDEX(입력_구리근무자명단!$A$3:$GZ$3,1,67)&amp;"")&amp;" "))-6)),""),"")</f>
        <v/>
      </c>
    </row>
    <row r="73">
      <c r="A73" s="29" t="n">
        <v>71</v>
      </c>
      <c r="B73" s="26">
        <f>IF(TRIM(INDEX(입력_구리근무자명단!$A$1:$GZ$303,$A73,1)&amp;"")&lt;&gt;"",TRIM(INDEX(입력_구리근무자명단!$A$1:$GZ$303,$A73,1)&amp;""),B72)</f>
        <v/>
      </c>
      <c r="C73" s="26">
        <f>IF(INDEX(입력_구리근무자명단!$A$1:$GZ$303,$A73,2)="","",INDEX(입력_구리근무자명단!$A$1:$GZ$303,$A73,2))</f>
        <v/>
      </c>
      <c r="D73" s="26">
        <f>IF($G$2="","",TRIM(IF($I$2="확정",INDEX(입력_구리근무자명단!$A$1:$GZ$303,$A73,$G$2+1)&amp;"",INDEX(입력_구리근무자명단!$A$1:$GZ$303,$A73,$G$2+0)&amp;"")))</f>
        <v/>
      </c>
      <c r="E73" s="26">
        <f>IF($D73="","",$I$2)</f>
        <v/>
      </c>
      <c r="F73" s="28">
        <f>IF($D73="","",IF(INDEX(입력_구리근무자명단!$A$1:$GZ$303,$A73,$G$2+2)="",출력_요약!$B$3,IF(ISNUMBER(INDEX(입력_구리근무자명단!$A$1:$GZ$303,$A73,$G$2+2)),INDEX(입력_구리근무자명단!$A$1:$GZ$303,$A73,$G$2+2),IFERROR(DATE(VALUE(LEFT(INDEX(입력_구리근무자명단!$A$1:$GZ$303,$A73,$G$2+2),4)),VALUE(MID(INDEX(입력_구리근무자명단!$A$1:$GZ$303,$A73,$G$2+2),6,2)),VALUE(MID(INDEX(입력_구리근무자명단!$A$1:$GZ$303,$A73,$G$2+2),9,2))),IFERROR(DATEVALUE(SUBSTITUTE(TRIM(INDEX(입력_구리근무자명단!$A$1:$GZ$303,$A73,$G$2+2)),".","-")),"⚠"&amp;INDEX(입력_구리근무자명단!$A$1:$GZ$303,$A73,$G$2+2))))))</f>
        <v/>
      </c>
      <c r="G73" s="28">
        <f>IF($D73="","",IF(INDEX(입력_구리근무자명단!$A$1:$GZ$303,$A73,$G$2+3)="",EOMONTH(출력_요약!$B$3,0),IF(ISNUMBER(INDEX(입력_구리근무자명단!$A$1:$GZ$303,$A73,$G$2+3)),INDEX(입력_구리근무자명단!$A$1:$GZ$303,$A73,$G$2+3),IFERROR(DATE(VALUE(LEFT(INDEX(입력_구리근무자명단!$A$1:$GZ$303,$A73,$G$2+3),4)),VALUE(MID(INDEX(입력_구리근무자명단!$A$1:$GZ$303,$A73,$G$2+3),6,2)),VALUE(MID(INDEX(입력_구리근무자명단!$A$1:$GZ$303,$A73,$G$2+3),9,2))),IFERROR(DATEVALUE(SUBSTITUTE(TRIM(INDEX(입력_구리근무자명단!$A$1:$GZ$303,$A73,$G$2+3)),".","-")),"⚠"&amp;INDEX(입력_구리근무자명단!$A$1:$GZ$303,$A73,$G$2+3))))))</f>
        <v/>
      </c>
      <c r="H73" s="26">
        <f>IF($D73="","",IF(OR(NOT(ISNUMBER($F73)),NOT(ISNUMBER($G73))),0,MAX(0,MIN($G73,EOMONTH(출력_요약!$B$3,0))-MAX($F73,출력_요약!$B$3)+1)))</f>
        <v/>
      </c>
      <c r="I73" s="26">
        <f>IF($D73="","",TRIM(INDEX(입력_구리근무자명단!$A$1:$GZ$303,$A73,$G$2+5)&amp;""))</f>
        <v/>
      </c>
      <c r="J73" s="26">
        <f>IF($D73="","",IF(ISNUMBER(SEARCH("구리독자",$I73)),"구리독자",""))</f>
        <v/>
      </c>
      <c r="K73" s="29">
        <f>IF($D73="","",IF(COUNTIFS(입력_전공의명단!$C$2:$C$401,$D73,입력_전공의명단!$F$2:$F$401,IF(OR($C73="인턴",ISNUMBER(SEARCH("수련교육부",$B73))),"인턴",$B73))=1,MATCH($D73&amp;"|"&amp;IF(OR($C73="인턴",ISNUMBER(SEARCH("수련교육부",$B73))),"인턴",$B73),입력_전공의명단!$AP$2:$AP$401,0),IF(AND(COUNTIFS(입력_전공의명단!$C$2:$C$401,$D73,입력_전공의명단!$F$2:$F$401,IF(OR($C73="인턴",ISNUMBER(SEARCH("수련교육부",$B73))),"인턴",$B73))=0,COUNTIF(입력_전공의명단!$C$2:$C$401,$D73)=1),MATCH($D73,입력_전공의명단!$C$2:$C$401,0),"")))</f>
        <v/>
      </c>
      <c r="L73" s="26">
        <f>IF($D73="","",IF($K73&lt;&gt;"",IF(COUNTIFS(입력_전공의명단!$C$2:$C$401,$D73,입력_전공의명단!$F$2:$F$401,IF(OR($C73="인턴",ISNUMBER(SEARCH("수련교육부",$B73))),"인턴",$B73))=1,"명단 일치","명단 일치(이름만, 과 다름)"),IF(COUNTIF(입력_전공의명단!$C$2:$C$401,$D73)=0,IF(COUNTIF(입력_기본자료!$C$2:$C$1001,$D73)&gt;0,"명단에 없음(기본자료에는 있음)","명단에 없음"),"동명이인 확인")))</f>
        <v/>
      </c>
      <c r="N73" s="8" t="n">
        <v>68</v>
      </c>
      <c r="O73" s="8">
        <f>IF(ISNUMBER(SEARCH("근무예정자",(INDEX(입력_구리근무자명단!$A$3:$GZ$3,1,68)&amp;""))),IFERROR(VALUE(LEFT((INDEX(입력_구리근무자명단!$A$3:$GZ$3,1,68)&amp;""),4))*100+VALUE(MID((INDEX(입력_구리근무자명단!$A$3:$GZ$3,1,68)&amp;""),6,MIN(FIND("월",(INDEX(입력_구리근무자명단!$A$3:$GZ$3,1,68)&amp;"")&amp;"월"),FIND(CHAR(10),(INDEX(입력_구리근무자명단!$A$3:$GZ$3,1,68)&amp;"")&amp;CHAR(10)),FIND(" ",(INDEX(입력_구리근무자명단!$A$3:$GZ$3,1,68)&amp;"")&amp;" "))-6)),""),"")</f>
        <v/>
      </c>
    </row>
    <row r="74">
      <c r="A74" s="29" t="n">
        <v>72</v>
      </c>
      <c r="B74" s="26">
        <f>IF(TRIM(INDEX(입력_구리근무자명단!$A$1:$GZ$303,$A74,1)&amp;"")&lt;&gt;"",TRIM(INDEX(입력_구리근무자명단!$A$1:$GZ$303,$A74,1)&amp;""),B73)</f>
        <v/>
      </c>
      <c r="C74" s="26">
        <f>IF(INDEX(입력_구리근무자명단!$A$1:$GZ$303,$A74,2)="","",INDEX(입력_구리근무자명단!$A$1:$GZ$303,$A74,2))</f>
        <v/>
      </c>
      <c r="D74" s="26">
        <f>IF($G$2="","",TRIM(IF($I$2="확정",INDEX(입력_구리근무자명단!$A$1:$GZ$303,$A74,$G$2+1)&amp;"",INDEX(입력_구리근무자명단!$A$1:$GZ$303,$A74,$G$2+0)&amp;"")))</f>
        <v/>
      </c>
      <c r="E74" s="26">
        <f>IF($D74="","",$I$2)</f>
        <v/>
      </c>
      <c r="F74" s="28">
        <f>IF($D74="","",IF(INDEX(입력_구리근무자명단!$A$1:$GZ$303,$A74,$G$2+2)="",출력_요약!$B$3,IF(ISNUMBER(INDEX(입력_구리근무자명단!$A$1:$GZ$303,$A74,$G$2+2)),INDEX(입력_구리근무자명단!$A$1:$GZ$303,$A74,$G$2+2),IFERROR(DATE(VALUE(LEFT(INDEX(입력_구리근무자명단!$A$1:$GZ$303,$A74,$G$2+2),4)),VALUE(MID(INDEX(입력_구리근무자명단!$A$1:$GZ$303,$A74,$G$2+2),6,2)),VALUE(MID(INDEX(입력_구리근무자명단!$A$1:$GZ$303,$A74,$G$2+2),9,2))),IFERROR(DATEVALUE(SUBSTITUTE(TRIM(INDEX(입력_구리근무자명단!$A$1:$GZ$303,$A74,$G$2+2)),".","-")),"⚠"&amp;INDEX(입력_구리근무자명단!$A$1:$GZ$303,$A74,$G$2+2))))))</f>
        <v/>
      </c>
      <c r="G74" s="28">
        <f>IF($D74="","",IF(INDEX(입력_구리근무자명단!$A$1:$GZ$303,$A74,$G$2+3)="",EOMONTH(출력_요약!$B$3,0),IF(ISNUMBER(INDEX(입력_구리근무자명단!$A$1:$GZ$303,$A74,$G$2+3)),INDEX(입력_구리근무자명단!$A$1:$GZ$303,$A74,$G$2+3),IFERROR(DATE(VALUE(LEFT(INDEX(입력_구리근무자명단!$A$1:$GZ$303,$A74,$G$2+3),4)),VALUE(MID(INDEX(입력_구리근무자명단!$A$1:$GZ$303,$A74,$G$2+3),6,2)),VALUE(MID(INDEX(입력_구리근무자명단!$A$1:$GZ$303,$A74,$G$2+3),9,2))),IFERROR(DATEVALUE(SUBSTITUTE(TRIM(INDEX(입력_구리근무자명단!$A$1:$GZ$303,$A74,$G$2+3)),".","-")),"⚠"&amp;INDEX(입력_구리근무자명단!$A$1:$GZ$303,$A74,$G$2+3))))))</f>
        <v/>
      </c>
      <c r="H74" s="26">
        <f>IF($D74="","",IF(OR(NOT(ISNUMBER($F74)),NOT(ISNUMBER($G74))),0,MAX(0,MIN($G74,EOMONTH(출력_요약!$B$3,0))-MAX($F74,출력_요약!$B$3)+1)))</f>
        <v/>
      </c>
      <c r="I74" s="26">
        <f>IF($D74="","",TRIM(INDEX(입력_구리근무자명단!$A$1:$GZ$303,$A74,$G$2+5)&amp;""))</f>
        <v/>
      </c>
      <c r="J74" s="26">
        <f>IF($D74="","",IF(ISNUMBER(SEARCH("구리독자",$I74)),"구리독자",""))</f>
        <v/>
      </c>
      <c r="K74" s="29">
        <f>IF($D74="","",IF(COUNTIFS(입력_전공의명단!$C$2:$C$401,$D74,입력_전공의명단!$F$2:$F$401,IF(OR($C74="인턴",ISNUMBER(SEARCH("수련교육부",$B74))),"인턴",$B74))=1,MATCH($D74&amp;"|"&amp;IF(OR($C74="인턴",ISNUMBER(SEARCH("수련교육부",$B74))),"인턴",$B74),입력_전공의명단!$AP$2:$AP$401,0),IF(AND(COUNTIFS(입력_전공의명단!$C$2:$C$401,$D74,입력_전공의명단!$F$2:$F$401,IF(OR($C74="인턴",ISNUMBER(SEARCH("수련교육부",$B74))),"인턴",$B74))=0,COUNTIF(입력_전공의명단!$C$2:$C$401,$D74)=1),MATCH($D74,입력_전공의명단!$C$2:$C$401,0),"")))</f>
        <v/>
      </c>
      <c r="L74" s="26">
        <f>IF($D74="","",IF($K74&lt;&gt;"",IF(COUNTIFS(입력_전공의명단!$C$2:$C$401,$D74,입력_전공의명단!$F$2:$F$401,IF(OR($C74="인턴",ISNUMBER(SEARCH("수련교육부",$B74))),"인턴",$B74))=1,"명단 일치","명단 일치(이름만, 과 다름)"),IF(COUNTIF(입력_전공의명단!$C$2:$C$401,$D74)=0,IF(COUNTIF(입력_기본자료!$C$2:$C$1001,$D74)&gt;0,"명단에 없음(기본자료에는 있음)","명단에 없음"),"동명이인 확인")))</f>
        <v/>
      </c>
      <c r="N74" s="8" t="n">
        <v>69</v>
      </c>
      <c r="O74" s="8">
        <f>IF(ISNUMBER(SEARCH("근무예정자",(INDEX(입력_구리근무자명단!$A$3:$GZ$3,1,69)&amp;""))),IFERROR(VALUE(LEFT((INDEX(입력_구리근무자명단!$A$3:$GZ$3,1,69)&amp;""),4))*100+VALUE(MID((INDEX(입력_구리근무자명단!$A$3:$GZ$3,1,69)&amp;""),6,MIN(FIND("월",(INDEX(입력_구리근무자명단!$A$3:$GZ$3,1,69)&amp;"")&amp;"월"),FIND(CHAR(10),(INDEX(입력_구리근무자명단!$A$3:$GZ$3,1,69)&amp;"")&amp;CHAR(10)),FIND(" ",(INDEX(입력_구리근무자명단!$A$3:$GZ$3,1,69)&amp;"")&amp;" "))-6)),""),"")</f>
        <v/>
      </c>
    </row>
    <row r="75">
      <c r="A75" s="29" t="n">
        <v>73</v>
      </c>
      <c r="B75" s="26">
        <f>IF(TRIM(INDEX(입력_구리근무자명단!$A$1:$GZ$303,$A75,1)&amp;"")&lt;&gt;"",TRIM(INDEX(입력_구리근무자명단!$A$1:$GZ$303,$A75,1)&amp;""),B74)</f>
        <v/>
      </c>
      <c r="C75" s="26">
        <f>IF(INDEX(입력_구리근무자명단!$A$1:$GZ$303,$A75,2)="","",INDEX(입력_구리근무자명단!$A$1:$GZ$303,$A75,2))</f>
        <v/>
      </c>
      <c r="D75" s="26">
        <f>IF($G$2="","",TRIM(IF($I$2="확정",INDEX(입력_구리근무자명단!$A$1:$GZ$303,$A75,$G$2+1)&amp;"",INDEX(입력_구리근무자명단!$A$1:$GZ$303,$A75,$G$2+0)&amp;"")))</f>
        <v/>
      </c>
      <c r="E75" s="26">
        <f>IF($D75="","",$I$2)</f>
        <v/>
      </c>
      <c r="F75" s="28">
        <f>IF($D75="","",IF(INDEX(입력_구리근무자명단!$A$1:$GZ$303,$A75,$G$2+2)="",출력_요약!$B$3,IF(ISNUMBER(INDEX(입력_구리근무자명단!$A$1:$GZ$303,$A75,$G$2+2)),INDEX(입력_구리근무자명단!$A$1:$GZ$303,$A75,$G$2+2),IFERROR(DATE(VALUE(LEFT(INDEX(입력_구리근무자명단!$A$1:$GZ$303,$A75,$G$2+2),4)),VALUE(MID(INDEX(입력_구리근무자명단!$A$1:$GZ$303,$A75,$G$2+2),6,2)),VALUE(MID(INDEX(입력_구리근무자명단!$A$1:$GZ$303,$A75,$G$2+2),9,2))),IFERROR(DATEVALUE(SUBSTITUTE(TRIM(INDEX(입력_구리근무자명단!$A$1:$GZ$303,$A75,$G$2+2)),".","-")),"⚠"&amp;INDEX(입력_구리근무자명단!$A$1:$GZ$303,$A75,$G$2+2))))))</f>
        <v/>
      </c>
      <c r="G75" s="28">
        <f>IF($D75="","",IF(INDEX(입력_구리근무자명단!$A$1:$GZ$303,$A75,$G$2+3)="",EOMONTH(출력_요약!$B$3,0),IF(ISNUMBER(INDEX(입력_구리근무자명단!$A$1:$GZ$303,$A75,$G$2+3)),INDEX(입력_구리근무자명단!$A$1:$GZ$303,$A75,$G$2+3),IFERROR(DATE(VALUE(LEFT(INDEX(입력_구리근무자명단!$A$1:$GZ$303,$A75,$G$2+3),4)),VALUE(MID(INDEX(입력_구리근무자명단!$A$1:$GZ$303,$A75,$G$2+3),6,2)),VALUE(MID(INDEX(입력_구리근무자명단!$A$1:$GZ$303,$A75,$G$2+3),9,2))),IFERROR(DATEVALUE(SUBSTITUTE(TRIM(INDEX(입력_구리근무자명단!$A$1:$GZ$303,$A75,$G$2+3)),".","-")),"⚠"&amp;INDEX(입력_구리근무자명단!$A$1:$GZ$303,$A75,$G$2+3))))))</f>
        <v/>
      </c>
      <c r="H75" s="26">
        <f>IF($D75="","",IF(OR(NOT(ISNUMBER($F75)),NOT(ISNUMBER($G75))),0,MAX(0,MIN($G75,EOMONTH(출력_요약!$B$3,0))-MAX($F75,출력_요약!$B$3)+1)))</f>
        <v/>
      </c>
      <c r="I75" s="26">
        <f>IF($D75="","",TRIM(INDEX(입력_구리근무자명단!$A$1:$GZ$303,$A75,$G$2+5)&amp;""))</f>
        <v/>
      </c>
      <c r="J75" s="26">
        <f>IF($D75="","",IF(ISNUMBER(SEARCH("구리독자",$I75)),"구리독자",""))</f>
        <v/>
      </c>
      <c r="K75" s="29">
        <f>IF($D75="","",IF(COUNTIFS(입력_전공의명단!$C$2:$C$401,$D75,입력_전공의명단!$F$2:$F$401,IF(OR($C75="인턴",ISNUMBER(SEARCH("수련교육부",$B75))),"인턴",$B75))=1,MATCH($D75&amp;"|"&amp;IF(OR($C75="인턴",ISNUMBER(SEARCH("수련교육부",$B75))),"인턴",$B75),입력_전공의명단!$AP$2:$AP$401,0),IF(AND(COUNTIFS(입력_전공의명단!$C$2:$C$401,$D75,입력_전공의명단!$F$2:$F$401,IF(OR($C75="인턴",ISNUMBER(SEARCH("수련교육부",$B75))),"인턴",$B75))=0,COUNTIF(입력_전공의명단!$C$2:$C$401,$D75)=1),MATCH($D75,입력_전공의명단!$C$2:$C$401,0),"")))</f>
        <v/>
      </c>
      <c r="L75" s="26">
        <f>IF($D75="","",IF($K75&lt;&gt;"",IF(COUNTIFS(입력_전공의명단!$C$2:$C$401,$D75,입력_전공의명단!$F$2:$F$401,IF(OR($C75="인턴",ISNUMBER(SEARCH("수련교육부",$B75))),"인턴",$B75))=1,"명단 일치","명단 일치(이름만, 과 다름)"),IF(COUNTIF(입력_전공의명단!$C$2:$C$401,$D75)=0,IF(COUNTIF(입력_기본자료!$C$2:$C$1001,$D75)&gt;0,"명단에 없음(기본자료에는 있음)","명단에 없음"),"동명이인 확인")))</f>
        <v/>
      </c>
      <c r="N75" s="8" t="n">
        <v>70</v>
      </c>
      <c r="O75" s="8">
        <f>IF(ISNUMBER(SEARCH("근무예정자",(INDEX(입력_구리근무자명단!$A$3:$GZ$3,1,70)&amp;""))),IFERROR(VALUE(LEFT((INDEX(입력_구리근무자명단!$A$3:$GZ$3,1,70)&amp;""),4))*100+VALUE(MID((INDEX(입력_구리근무자명단!$A$3:$GZ$3,1,70)&amp;""),6,MIN(FIND("월",(INDEX(입력_구리근무자명단!$A$3:$GZ$3,1,70)&amp;"")&amp;"월"),FIND(CHAR(10),(INDEX(입력_구리근무자명단!$A$3:$GZ$3,1,70)&amp;"")&amp;CHAR(10)),FIND(" ",(INDEX(입력_구리근무자명단!$A$3:$GZ$3,1,70)&amp;"")&amp;" "))-6)),""),"")</f>
        <v/>
      </c>
    </row>
    <row r="76">
      <c r="A76" s="29" t="n">
        <v>74</v>
      </c>
      <c r="B76" s="26">
        <f>IF(TRIM(INDEX(입력_구리근무자명단!$A$1:$GZ$303,$A76,1)&amp;"")&lt;&gt;"",TRIM(INDEX(입력_구리근무자명단!$A$1:$GZ$303,$A76,1)&amp;""),B75)</f>
        <v/>
      </c>
      <c r="C76" s="26">
        <f>IF(INDEX(입력_구리근무자명단!$A$1:$GZ$303,$A76,2)="","",INDEX(입력_구리근무자명단!$A$1:$GZ$303,$A76,2))</f>
        <v/>
      </c>
      <c r="D76" s="26">
        <f>IF($G$2="","",TRIM(IF($I$2="확정",INDEX(입력_구리근무자명단!$A$1:$GZ$303,$A76,$G$2+1)&amp;"",INDEX(입력_구리근무자명단!$A$1:$GZ$303,$A76,$G$2+0)&amp;"")))</f>
        <v/>
      </c>
      <c r="E76" s="26">
        <f>IF($D76="","",$I$2)</f>
        <v/>
      </c>
      <c r="F76" s="28">
        <f>IF($D76="","",IF(INDEX(입력_구리근무자명단!$A$1:$GZ$303,$A76,$G$2+2)="",출력_요약!$B$3,IF(ISNUMBER(INDEX(입력_구리근무자명단!$A$1:$GZ$303,$A76,$G$2+2)),INDEX(입력_구리근무자명단!$A$1:$GZ$303,$A76,$G$2+2),IFERROR(DATE(VALUE(LEFT(INDEX(입력_구리근무자명단!$A$1:$GZ$303,$A76,$G$2+2),4)),VALUE(MID(INDEX(입력_구리근무자명단!$A$1:$GZ$303,$A76,$G$2+2),6,2)),VALUE(MID(INDEX(입력_구리근무자명단!$A$1:$GZ$303,$A76,$G$2+2),9,2))),IFERROR(DATEVALUE(SUBSTITUTE(TRIM(INDEX(입력_구리근무자명단!$A$1:$GZ$303,$A76,$G$2+2)),".","-")),"⚠"&amp;INDEX(입력_구리근무자명단!$A$1:$GZ$303,$A76,$G$2+2))))))</f>
        <v/>
      </c>
      <c r="G76" s="28">
        <f>IF($D76="","",IF(INDEX(입력_구리근무자명단!$A$1:$GZ$303,$A76,$G$2+3)="",EOMONTH(출력_요약!$B$3,0),IF(ISNUMBER(INDEX(입력_구리근무자명단!$A$1:$GZ$303,$A76,$G$2+3)),INDEX(입력_구리근무자명단!$A$1:$GZ$303,$A76,$G$2+3),IFERROR(DATE(VALUE(LEFT(INDEX(입력_구리근무자명단!$A$1:$GZ$303,$A76,$G$2+3),4)),VALUE(MID(INDEX(입력_구리근무자명단!$A$1:$GZ$303,$A76,$G$2+3),6,2)),VALUE(MID(INDEX(입력_구리근무자명단!$A$1:$GZ$303,$A76,$G$2+3),9,2))),IFERROR(DATEVALUE(SUBSTITUTE(TRIM(INDEX(입력_구리근무자명단!$A$1:$GZ$303,$A76,$G$2+3)),".","-")),"⚠"&amp;INDEX(입력_구리근무자명단!$A$1:$GZ$303,$A76,$G$2+3))))))</f>
        <v/>
      </c>
      <c r="H76" s="26">
        <f>IF($D76="","",IF(OR(NOT(ISNUMBER($F76)),NOT(ISNUMBER($G76))),0,MAX(0,MIN($G76,EOMONTH(출력_요약!$B$3,0))-MAX($F76,출력_요약!$B$3)+1)))</f>
        <v/>
      </c>
      <c r="I76" s="26">
        <f>IF($D76="","",TRIM(INDEX(입력_구리근무자명단!$A$1:$GZ$303,$A76,$G$2+5)&amp;""))</f>
        <v/>
      </c>
      <c r="J76" s="26">
        <f>IF($D76="","",IF(ISNUMBER(SEARCH("구리독자",$I76)),"구리독자",""))</f>
        <v/>
      </c>
      <c r="K76" s="29">
        <f>IF($D76="","",IF(COUNTIFS(입력_전공의명단!$C$2:$C$401,$D76,입력_전공의명단!$F$2:$F$401,IF(OR($C76="인턴",ISNUMBER(SEARCH("수련교육부",$B76))),"인턴",$B76))=1,MATCH($D76&amp;"|"&amp;IF(OR($C76="인턴",ISNUMBER(SEARCH("수련교육부",$B76))),"인턴",$B76),입력_전공의명단!$AP$2:$AP$401,0),IF(AND(COUNTIFS(입력_전공의명단!$C$2:$C$401,$D76,입력_전공의명단!$F$2:$F$401,IF(OR($C76="인턴",ISNUMBER(SEARCH("수련교육부",$B76))),"인턴",$B76))=0,COUNTIF(입력_전공의명단!$C$2:$C$401,$D76)=1),MATCH($D76,입력_전공의명단!$C$2:$C$401,0),"")))</f>
        <v/>
      </c>
      <c r="L76" s="26">
        <f>IF($D76="","",IF($K76&lt;&gt;"",IF(COUNTIFS(입력_전공의명단!$C$2:$C$401,$D76,입력_전공의명단!$F$2:$F$401,IF(OR($C76="인턴",ISNUMBER(SEARCH("수련교육부",$B76))),"인턴",$B76))=1,"명단 일치","명단 일치(이름만, 과 다름)"),IF(COUNTIF(입력_전공의명단!$C$2:$C$401,$D76)=0,IF(COUNTIF(입력_기본자료!$C$2:$C$1001,$D76)&gt;0,"명단에 없음(기본자료에는 있음)","명단에 없음"),"동명이인 확인")))</f>
        <v/>
      </c>
      <c r="N76" s="8" t="n">
        <v>71</v>
      </c>
      <c r="O76" s="8">
        <f>IF(ISNUMBER(SEARCH("근무예정자",(INDEX(입력_구리근무자명단!$A$3:$GZ$3,1,71)&amp;""))),IFERROR(VALUE(LEFT((INDEX(입력_구리근무자명단!$A$3:$GZ$3,1,71)&amp;""),4))*100+VALUE(MID((INDEX(입력_구리근무자명단!$A$3:$GZ$3,1,71)&amp;""),6,MIN(FIND("월",(INDEX(입력_구리근무자명단!$A$3:$GZ$3,1,71)&amp;"")&amp;"월"),FIND(CHAR(10),(INDEX(입력_구리근무자명단!$A$3:$GZ$3,1,71)&amp;"")&amp;CHAR(10)),FIND(" ",(INDEX(입력_구리근무자명단!$A$3:$GZ$3,1,71)&amp;"")&amp;" "))-6)),""),"")</f>
        <v/>
      </c>
    </row>
    <row r="77">
      <c r="A77" s="29" t="n">
        <v>75</v>
      </c>
      <c r="B77" s="26">
        <f>IF(TRIM(INDEX(입력_구리근무자명단!$A$1:$GZ$303,$A77,1)&amp;"")&lt;&gt;"",TRIM(INDEX(입력_구리근무자명단!$A$1:$GZ$303,$A77,1)&amp;""),B76)</f>
        <v/>
      </c>
      <c r="C77" s="26">
        <f>IF(INDEX(입력_구리근무자명단!$A$1:$GZ$303,$A77,2)="","",INDEX(입력_구리근무자명단!$A$1:$GZ$303,$A77,2))</f>
        <v/>
      </c>
      <c r="D77" s="26">
        <f>IF($G$2="","",TRIM(IF($I$2="확정",INDEX(입력_구리근무자명단!$A$1:$GZ$303,$A77,$G$2+1)&amp;"",INDEX(입력_구리근무자명단!$A$1:$GZ$303,$A77,$G$2+0)&amp;"")))</f>
        <v/>
      </c>
      <c r="E77" s="26">
        <f>IF($D77="","",$I$2)</f>
        <v/>
      </c>
      <c r="F77" s="28">
        <f>IF($D77="","",IF(INDEX(입력_구리근무자명단!$A$1:$GZ$303,$A77,$G$2+2)="",출력_요약!$B$3,IF(ISNUMBER(INDEX(입력_구리근무자명단!$A$1:$GZ$303,$A77,$G$2+2)),INDEX(입력_구리근무자명단!$A$1:$GZ$303,$A77,$G$2+2),IFERROR(DATE(VALUE(LEFT(INDEX(입력_구리근무자명단!$A$1:$GZ$303,$A77,$G$2+2),4)),VALUE(MID(INDEX(입력_구리근무자명단!$A$1:$GZ$303,$A77,$G$2+2),6,2)),VALUE(MID(INDEX(입력_구리근무자명단!$A$1:$GZ$303,$A77,$G$2+2),9,2))),IFERROR(DATEVALUE(SUBSTITUTE(TRIM(INDEX(입력_구리근무자명단!$A$1:$GZ$303,$A77,$G$2+2)),".","-")),"⚠"&amp;INDEX(입력_구리근무자명단!$A$1:$GZ$303,$A77,$G$2+2))))))</f>
        <v/>
      </c>
      <c r="G77" s="28">
        <f>IF($D77="","",IF(INDEX(입력_구리근무자명단!$A$1:$GZ$303,$A77,$G$2+3)="",EOMONTH(출력_요약!$B$3,0),IF(ISNUMBER(INDEX(입력_구리근무자명단!$A$1:$GZ$303,$A77,$G$2+3)),INDEX(입력_구리근무자명단!$A$1:$GZ$303,$A77,$G$2+3),IFERROR(DATE(VALUE(LEFT(INDEX(입력_구리근무자명단!$A$1:$GZ$303,$A77,$G$2+3),4)),VALUE(MID(INDEX(입력_구리근무자명단!$A$1:$GZ$303,$A77,$G$2+3),6,2)),VALUE(MID(INDEX(입력_구리근무자명단!$A$1:$GZ$303,$A77,$G$2+3),9,2))),IFERROR(DATEVALUE(SUBSTITUTE(TRIM(INDEX(입력_구리근무자명단!$A$1:$GZ$303,$A77,$G$2+3)),".","-")),"⚠"&amp;INDEX(입력_구리근무자명단!$A$1:$GZ$303,$A77,$G$2+3))))))</f>
        <v/>
      </c>
      <c r="H77" s="26">
        <f>IF($D77="","",IF(OR(NOT(ISNUMBER($F77)),NOT(ISNUMBER($G77))),0,MAX(0,MIN($G77,EOMONTH(출력_요약!$B$3,0))-MAX($F77,출력_요약!$B$3)+1)))</f>
        <v/>
      </c>
      <c r="I77" s="26">
        <f>IF($D77="","",TRIM(INDEX(입력_구리근무자명단!$A$1:$GZ$303,$A77,$G$2+5)&amp;""))</f>
        <v/>
      </c>
      <c r="J77" s="26">
        <f>IF($D77="","",IF(ISNUMBER(SEARCH("구리독자",$I77)),"구리독자",""))</f>
        <v/>
      </c>
      <c r="K77" s="29">
        <f>IF($D77="","",IF(COUNTIFS(입력_전공의명단!$C$2:$C$401,$D77,입력_전공의명단!$F$2:$F$401,IF(OR($C77="인턴",ISNUMBER(SEARCH("수련교육부",$B77))),"인턴",$B77))=1,MATCH($D77&amp;"|"&amp;IF(OR($C77="인턴",ISNUMBER(SEARCH("수련교육부",$B77))),"인턴",$B77),입력_전공의명단!$AP$2:$AP$401,0),IF(AND(COUNTIFS(입력_전공의명단!$C$2:$C$401,$D77,입력_전공의명단!$F$2:$F$401,IF(OR($C77="인턴",ISNUMBER(SEARCH("수련교육부",$B77))),"인턴",$B77))=0,COUNTIF(입력_전공의명단!$C$2:$C$401,$D77)=1),MATCH($D77,입력_전공의명단!$C$2:$C$401,0),"")))</f>
        <v/>
      </c>
      <c r="L77" s="26">
        <f>IF($D77="","",IF($K77&lt;&gt;"",IF(COUNTIFS(입력_전공의명단!$C$2:$C$401,$D77,입력_전공의명단!$F$2:$F$401,IF(OR($C77="인턴",ISNUMBER(SEARCH("수련교육부",$B77))),"인턴",$B77))=1,"명단 일치","명단 일치(이름만, 과 다름)"),IF(COUNTIF(입력_전공의명단!$C$2:$C$401,$D77)=0,IF(COUNTIF(입력_기본자료!$C$2:$C$1001,$D77)&gt;0,"명단에 없음(기본자료에는 있음)","명단에 없음"),"동명이인 확인")))</f>
        <v/>
      </c>
      <c r="N77" s="8" t="n">
        <v>72</v>
      </c>
      <c r="O77" s="8">
        <f>IF(ISNUMBER(SEARCH("근무예정자",(INDEX(입력_구리근무자명단!$A$3:$GZ$3,1,72)&amp;""))),IFERROR(VALUE(LEFT((INDEX(입력_구리근무자명단!$A$3:$GZ$3,1,72)&amp;""),4))*100+VALUE(MID((INDEX(입력_구리근무자명단!$A$3:$GZ$3,1,72)&amp;""),6,MIN(FIND("월",(INDEX(입력_구리근무자명단!$A$3:$GZ$3,1,72)&amp;"")&amp;"월"),FIND(CHAR(10),(INDEX(입력_구리근무자명단!$A$3:$GZ$3,1,72)&amp;"")&amp;CHAR(10)),FIND(" ",(INDEX(입력_구리근무자명단!$A$3:$GZ$3,1,72)&amp;"")&amp;" "))-6)),""),"")</f>
        <v/>
      </c>
    </row>
    <row r="78">
      <c r="A78" s="29" t="n">
        <v>76</v>
      </c>
      <c r="B78" s="26">
        <f>IF(TRIM(INDEX(입력_구리근무자명단!$A$1:$GZ$303,$A78,1)&amp;"")&lt;&gt;"",TRIM(INDEX(입력_구리근무자명단!$A$1:$GZ$303,$A78,1)&amp;""),B77)</f>
        <v/>
      </c>
      <c r="C78" s="26">
        <f>IF(INDEX(입력_구리근무자명단!$A$1:$GZ$303,$A78,2)="","",INDEX(입력_구리근무자명단!$A$1:$GZ$303,$A78,2))</f>
        <v/>
      </c>
      <c r="D78" s="26">
        <f>IF($G$2="","",TRIM(IF($I$2="확정",INDEX(입력_구리근무자명단!$A$1:$GZ$303,$A78,$G$2+1)&amp;"",INDEX(입력_구리근무자명단!$A$1:$GZ$303,$A78,$G$2+0)&amp;"")))</f>
        <v/>
      </c>
      <c r="E78" s="26">
        <f>IF($D78="","",$I$2)</f>
        <v/>
      </c>
      <c r="F78" s="28">
        <f>IF($D78="","",IF(INDEX(입력_구리근무자명단!$A$1:$GZ$303,$A78,$G$2+2)="",출력_요약!$B$3,IF(ISNUMBER(INDEX(입력_구리근무자명단!$A$1:$GZ$303,$A78,$G$2+2)),INDEX(입력_구리근무자명단!$A$1:$GZ$303,$A78,$G$2+2),IFERROR(DATE(VALUE(LEFT(INDEX(입력_구리근무자명단!$A$1:$GZ$303,$A78,$G$2+2),4)),VALUE(MID(INDEX(입력_구리근무자명단!$A$1:$GZ$303,$A78,$G$2+2),6,2)),VALUE(MID(INDEX(입력_구리근무자명단!$A$1:$GZ$303,$A78,$G$2+2),9,2))),IFERROR(DATEVALUE(SUBSTITUTE(TRIM(INDEX(입력_구리근무자명단!$A$1:$GZ$303,$A78,$G$2+2)),".","-")),"⚠"&amp;INDEX(입력_구리근무자명단!$A$1:$GZ$303,$A78,$G$2+2))))))</f>
        <v/>
      </c>
      <c r="G78" s="28">
        <f>IF($D78="","",IF(INDEX(입력_구리근무자명단!$A$1:$GZ$303,$A78,$G$2+3)="",EOMONTH(출력_요약!$B$3,0),IF(ISNUMBER(INDEX(입력_구리근무자명단!$A$1:$GZ$303,$A78,$G$2+3)),INDEX(입력_구리근무자명단!$A$1:$GZ$303,$A78,$G$2+3),IFERROR(DATE(VALUE(LEFT(INDEX(입력_구리근무자명단!$A$1:$GZ$303,$A78,$G$2+3),4)),VALUE(MID(INDEX(입력_구리근무자명단!$A$1:$GZ$303,$A78,$G$2+3),6,2)),VALUE(MID(INDEX(입력_구리근무자명단!$A$1:$GZ$303,$A78,$G$2+3),9,2))),IFERROR(DATEVALUE(SUBSTITUTE(TRIM(INDEX(입력_구리근무자명단!$A$1:$GZ$303,$A78,$G$2+3)),".","-")),"⚠"&amp;INDEX(입력_구리근무자명단!$A$1:$GZ$303,$A78,$G$2+3))))))</f>
        <v/>
      </c>
      <c r="H78" s="26">
        <f>IF($D78="","",IF(OR(NOT(ISNUMBER($F78)),NOT(ISNUMBER($G78))),0,MAX(0,MIN($G78,EOMONTH(출력_요약!$B$3,0))-MAX($F78,출력_요약!$B$3)+1)))</f>
        <v/>
      </c>
      <c r="I78" s="26">
        <f>IF($D78="","",TRIM(INDEX(입력_구리근무자명단!$A$1:$GZ$303,$A78,$G$2+5)&amp;""))</f>
        <v/>
      </c>
      <c r="J78" s="26">
        <f>IF($D78="","",IF(ISNUMBER(SEARCH("구리독자",$I78)),"구리독자",""))</f>
        <v/>
      </c>
      <c r="K78" s="29">
        <f>IF($D78="","",IF(COUNTIFS(입력_전공의명단!$C$2:$C$401,$D78,입력_전공의명단!$F$2:$F$401,IF(OR($C78="인턴",ISNUMBER(SEARCH("수련교육부",$B78))),"인턴",$B78))=1,MATCH($D78&amp;"|"&amp;IF(OR($C78="인턴",ISNUMBER(SEARCH("수련교육부",$B78))),"인턴",$B78),입력_전공의명단!$AP$2:$AP$401,0),IF(AND(COUNTIFS(입력_전공의명단!$C$2:$C$401,$D78,입력_전공의명단!$F$2:$F$401,IF(OR($C78="인턴",ISNUMBER(SEARCH("수련교육부",$B78))),"인턴",$B78))=0,COUNTIF(입력_전공의명단!$C$2:$C$401,$D78)=1),MATCH($D78,입력_전공의명단!$C$2:$C$401,0),"")))</f>
        <v/>
      </c>
      <c r="L78" s="26">
        <f>IF($D78="","",IF($K78&lt;&gt;"",IF(COUNTIFS(입력_전공의명단!$C$2:$C$401,$D78,입력_전공의명단!$F$2:$F$401,IF(OR($C78="인턴",ISNUMBER(SEARCH("수련교육부",$B78))),"인턴",$B78))=1,"명단 일치","명단 일치(이름만, 과 다름)"),IF(COUNTIF(입력_전공의명단!$C$2:$C$401,$D78)=0,IF(COUNTIF(입력_기본자료!$C$2:$C$1001,$D78)&gt;0,"명단에 없음(기본자료에는 있음)","명단에 없음"),"동명이인 확인")))</f>
        <v/>
      </c>
      <c r="N78" s="8" t="n">
        <v>73</v>
      </c>
      <c r="O78" s="8">
        <f>IF(ISNUMBER(SEARCH("근무예정자",(INDEX(입력_구리근무자명단!$A$3:$GZ$3,1,73)&amp;""))),IFERROR(VALUE(LEFT((INDEX(입력_구리근무자명단!$A$3:$GZ$3,1,73)&amp;""),4))*100+VALUE(MID((INDEX(입력_구리근무자명단!$A$3:$GZ$3,1,73)&amp;""),6,MIN(FIND("월",(INDEX(입력_구리근무자명단!$A$3:$GZ$3,1,73)&amp;"")&amp;"월"),FIND(CHAR(10),(INDEX(입력_구리근무자명단!$A$3:$GZ$3,1,73)&amp;"")&amp;CHAR(10)),FIND(" ",(INDEX(입력_구리근무자명단!$A$3:$GZ$3,1,73)&amp;"")&amp;" "))-6)),""),"")</f>
        <v/>
      </c>
    </row>
    <row r="79">
      <c r="A79" s="29" t="n">
        <v>77</v>
      </c>
      <c r="B79" s="26">
        <f>IF(TRIM(INDEX(입력_구리근무자명단!$A$1:$GZ$303,$A79,1)&amp;"")&lt;&gt;"",TRIM(INDEX(입력_구리근무자명단!$A$1:$GZ$303,$A79,1)&amp;""),B78)</f>
        <v/>
      </c>
      <c r="C79" s="26">
        <f>IF(INDEX(입력_구리근무자명단!$A$1:$GZ$303,$A79,2)="","",INDEX(입력_구리근무자명단!$A$1:$GZ$303,$A79,2))</f>
        <v/>
      </c>
      <c r="D79" s="26">
        <f>IF($G$2="","",TRIM(IF($I$2="확정",INDEX(입력_구리근무자명단!$A$1:$GZ$303,$A79,$G$2+1)&amp;"",INDEX(입력_구리근무자명단!$A$1:$GZ$303,$A79,$G$2+0)&amp;"")))</f>
        <v/>
      </c>
      <c r="E79" s="26">
        <f>IF($D79="","",$I$2)</f>
        <v/>
      </c>
      <c r="F79" s="28">
        <f>IF($D79="","",IF(INDEX(입력_구리근무자명단!$A$1:$GZ$303,$A79,$G$2+2)="",출력_요약!$B$3,IF(ISNUMBER(INDEX(입력_구리근무자명단!$A$1:$GZ$303,$A79,$G$2+2)),INDEX(입력_구리근무자명단!$A$1:$GZ$303,$A79,$G$2+2),IFERROR(DATE(VALUE(LEFT(INDEX(입력_구리근무자명단!$A$1:$GZ$303,$A79,$G$2+2),4)),VALUE(MID(INDEX(입력_구리근무자명단!$A$1:$GZ$303,$A79,$G$2+2),6,2)),VALUE(MID(INDEX(입력_구리근무자명단!$A$1:$GZ$303,$A79,$G$2+2),9,2))),IFERROR(DATEVALUE(SUBSTITUTE(TRIM(INDEX(입력_구리근무자명단!$A$1:$GZ$303,$A79,$G$2+2)),".","-")),"⚠"&amp;INDEX(입력_구리근무자명단!$A$1:$GZ$303,$A79,$G$2+2))))))</f>
        <v/>
      </c>
      <c r="G79" s="28">
        <f>IF($D79="","",IF(INDEX(입력_구리근무자명단!$A$1:$GZ$303,$A79,$G$2+3)="",EOMONTH(출력_요약!$B$3,0),IF(ISNUMBER(INDEX(입력_구리근무자명단!$A$1:$GZ$303,$A79,$G$2+3)),INDEX(입력_구리근무자명단!$A$1:$GZ$303,$A79,$G$2+3),IFERROR(DATE(VALUE(LEFT(INDEX(입력_구리근무자명단!$A$1:$GZ$303,$A79,$G$2+3),4)),VALUE(MID(INDEX(입력_구리근무자명단!$A$1:$GZ$303,$A79,$G$2+3),6,2)),VALUE(MID(INDEX(입력_구리근무자명단!$A$1:$GZ$303,$A79,$G$2+3),9,2))),IFERROR(DATEVALUE(SUBSTITUTE(TRIM(INDEX(입력_구리근무자명단!$A$1:$GZ$303,$A79,$G$2+3)),".","-")),"⚠"&amp;INDEX(입력_구리근무자명단!$A$1:$GZ$303,$A79,$G$2+3))))))</f>
        <v/>
      </c>
      <c r="H79" s="26">
        <f>IF($D79="","",IF(OR(NOT(ISNUMBER($F79)),NOT(ISNUMBER($G79))),0,MAX(0,MIN($G79,EOMONTH(출력_요약!$B$3,0))-MAX($F79,출력_요약!$B$3)+1)))</f>
        <v/>
      </c>
      <c r="I79" s="26">
        <f>IF($D79="","",TRIM(INDEX(입력_구리근무자명단!$A$1:$GZ$303,$A79,$G$2+5)&amp;""))</f>
        <v/>
      </c>
      <c r="J79" s="26">
        <f>IF($D79="","",IF(ISNUMBER(SEARCH("구리독자",$I79)),"구리독자",""))</f>
        <v/>
      </c>
      <c r="K79" s="29">
        <f>IF($D79="","",IF(COUNTIFS(입력_전공의명단!$C$2:$C$401,$D79,입력_전공의명단!$F$2:$F$401,IF(OR($C79="인턴",ISNUMBER(SEARCH("수련교육부",$B79))),"인턴",$B79))=1,MATCH($D79&amp;"|"&amp;IF(OR($C79="인턴",ISNUMBER(SEARCH("수련교육부",$B79))),"인턴",$B79),입력_전공의명단!$AP$2:$AP$401,0),IF(AND(COUNTIFS(입력_전공의명단!$C$2:$C$401,$D79,입력_전공의명단!$F$2:$F$401,IF(OR($C79="인턴",ISNUMBER(SEARCH("수련교육부",$B79))),"인턴",$B79))=0,COUNTIF(입력_전공의명단!$C$2:$C$401,$D79)=1),MATCH($D79,입력_전공의명단!$C$2:$C$401,0),"")))</f>
        <v/>
      </c>
      <c r="L79" s="26">
        <f>IF($D79="","",IF($K79&lt;&gt;"",IF(COUNTIFS(입력_전공의명단!$C$2:$C$401,$D79,입력_전공의명단!$F$2:$F$401,IF(OR($C79="인턴",ISNUMBER(SEARCH("수련교육부",$B79))),"인턴",$B79))=1,"명단 일치","명단 일치(이름만, 과 다름)"),IF(COUNTIF(입력_전공의명단!$C$2:$C$401,$D79)=0,IF(COUNTIF(입력_기본자료!$C$2:$C$1001,$D79)&gt;0,"명단에 없음(기본자료에는 있음)","명단에 없음"),"동명이인 확인")))</f>
        <v/>
      </c>
      <c r="N79" s="8" t="n">
        <v>74</v>
      </c>
      <c r="O79" s="8">
        <f>IF(ISNUMBER(SEARCH("근무예정자",(INDEX(입력_구리근무자명단!$A$3:$GZ$3,1,74)&amp;""))),IFERROR(VALUE(LEFT((INDEX(입력_구리근무자명단!$A$3:$GZ$3,1,74)&amp;""),4))*100+VALUE(MID((INDEX(입력_구리근무자명단!$A$3:$GZ$3,1,74)&amp;""),6,MIN(FIND("월",(INDEX(입력_구리근무자명단!$A$3:$GZ$3,1,74)&amp;"")&amp;"월"),FIND(CHAR(10),(INDEX(입력_구리근무자명단!$A$3:$GZ$3,1,74)&amp;"")&amp;CHAR(10)),FIND(" ",(INDEX(입력_구리근무자명단!$A$3:$GZ$3,1,74)&amp;"")&amp;" "))-6)),""),"")</f>
        <v/>
      </c>
    </row>
    <row r="80">
      <c r="A80" s="29" t="n">
        <v>78</v>
      </c>
      <c r="B80" s="26">
        <f>IF(TRIM(INDEX(입력_구리근무자명단!$A$1:$GZ$303,$A80,1)&amp;"")&lt;&gt;"",TRIM(INDEX(입력_구리근무자명단!$A$1:$GZ$303,$A80,1)&amp;""),B79)</f>
        <v/>
      </c>
      <c r="C80" s="26">
        <f>IF(INDEX(입력_구리근무자명단!$A$1:$GZ$303,$A80,2)="","",INDEX(입력_구리근무자명단!$A$1:$GZ$303,$A80,2))</f>
        <v/>
      </c>
      <c r="D80" s="26">
        <f>IF($G$2="","",TRIM(IF($I$2="확정",INDEX(입력_구리근무자명단!$A$1:$GZ$303,$A80,$G$2+1)&amp;"",INDEX(입력_구리근무자명단!$A$1:$GZ$303,$A80,$G$2+0)&amp;"")))</f>
        <v/>
      </c>
      <c r="E80" s="26">
        <f>IF($D80="","",$I$2)</f>
        <v/>
      </c>
      <c r="F80" s="28">
        <f>IF($D80="","",IF(INDEX(입력_구리근무자명단!$A$1:$GZ$303,$A80,$G$2+2)="",출력_요약!$B$3,IF(ISNUMBER(INDEX(입력_구리근무자명단!$A$1:$GZ$303,$A80,$G$2+2)),INDEX(입력_구리근무자명단!$A$1:$GZ$303,$A80,$G$2+2),IFERROR(DATE(VALUE(LEFT(INDEX(입력_구리근무자명단!$A$1:$GZ$303,$A80,$G$2+2),4)),VALUE(MID(INDEX(입력_구리근무자명단!$A$1:$GZ$303,$A80,$G$2+2),6,2)),VALUE(MID(INDEX(입력_구리근무자명단!$A$1:$GZ$303,$A80,$G$2+2),9,2))),IFERROR(DATEVALUE(SUBSTITUTE(TRIM(INDEX(입력_구리근무자명단!$A$1:$GZ$303,$A80,$G$2+2)),".","-")),"⚠"&amp;INDEX(입력_구리근무자명단!$A$1:$GZ$303,$A80,$G$2+2))))))</f>
        <v/>
      </c>
      <c r="G80" s="28">
        <f>IF($D80="","",IF(INDEX(입력_구리근무자명단!$A$1:$GZ$303,$A80,$G$2+3)="",EOMONTH(출력_요약!$B$3,0),IF(ISNUMBER(INDEX(입력_구리근무자명단!$A$1:$GZ$303,$A80,$G$2+3)),INDEX(입력_구리근무자명단!$A$1:$GZ$303,$A80,$G$2+3),IFERROR(DATE(VALUE(LEFT(INDEX(입력_구리근무자명단!$A$1:$GZ$303,$A80,$G$2+3),4)),VALUE(MID(INDEX(입력_구리근무자명단!$A$1:$GZ$303,$A80,$G$2+3),6,2)),VALUE(MID(INDEX(입력_구리근무자명단!$A$1:$GZ$303,$A80,$G$2+3),9,2))),IFERROR(DATEVALUE(SUBSTITUTE(TRIM(INDEX(입력_구리근무자명단!$A$1:$GZ$303,$A80,$G$2+3)),".","-")),"⚠"&amp;INDEX(입력_구리근무자명단!$A$1:$GZ$303,$A80,$G$2+3))))))</f>
        <v/>
      </c>
      <c r="H80" s="26">
        <f>IF($D80="","",IF(OR(NOT(ISNUMBER($F80)),NOT(ISNUMBER($G80))),0,MAX(0,MIN($G80,EOMONTH(출력_요약!$B$3,0))-MAX($F80,출력_요약!$B$3)+1)))</f>
        <v/>
      </c>
      <c r="I80" s="26">
        <f>IF($D80="","",TRIM(INDEX(입력_구리근무자명단!$A$1:$GZ$303,$A80,$G$2+5)&amp;""))</f>
        <v/>
      </c>
      <c r="J80" s="26">
        <f>IF($D80="","",IF(ISNUMBER(SEARCH("구리독자",$I80)),"구리독자",""))</f>
        <v/>
      </c>
      <c r="K80" s="29">
        <f>IF($D80="","",IF(COUNTIFS(입력_전공의명단!$C$2:$C$401,$D80,입력_전공의명단!$F$2:$F$401,IF(OR($C80="인턴",ISNUMBER(SEARCH("수련교육부",$B80))),"인턴",$B80))=1,MATCH($D80&amp;"|"&amp;IF(OR($C80="인턴",ISNUMBER(SEARCH("수련교육부",$B80))),"인턴",$B80),입력_전공의명단!$AP$2:$AP$401,0),IF(AND(COUNTIFS(입력_전공의명단!$C$2:$C$401,$D80,입력_전공의명단!$F$2:$F$401,IF(OR($C80="인턴",ISNUMBER(SEARCH("수련교육부",$B80))),"인턴",$B80))=0,COUNTIF(입력_전공의명단!$C$2:$C$401,$D80)=1),MATCH($D80,입력_전공의명단!$C$2:$C$401,0),"")))</f>
        <v/>
      </c>
      <c r="L80" s="26">
        <f>IF($D80="","",IF($K80&lt;&gt;"",IF(COUNTIFS(입력_전공의명단!$C$2:$C$401,$D80,입력_전공의명단!$F$2:$F$401,IF(OR($C80="인턴",ISNUMBER(SEARCH("수련교육부",$B80))),"인턴",$B80))=1,"명단 일치","명단 일치(이름만, 과 다름)"),IF(COUNTIF(입력_전공의명단!$C$2:$C$401,$D80)=0,IF(COUNTIF(입력_기본자료!$C$2:$C$1001,$D80)&gt;0,"명단에 없음(기본자료에는 있음)","명단에 없음"),"동명이인 확인")))</f>
        <v/>
      </c>
      <c r="N80" s="8" t="n">
        <v>75</v>
      </c>
      <c r="O80" s="8">
        <f>IF(ISNUMBER(SEARCH("근무예정자",(INDEX(입력_구리근무자명단!$A$3:$GZ$3,1,75)&amp;""))),IFERROR(VALUE(LEFT((INDEX(입력_구리근무자명단!$A$3:$GZ$3,1,75)&amp;""),4))*100+VALUE(MID((INDEX(입력_구리근무자명단!$A$3:$GZ$3,1,75)&amp;""),6,MIN(FIND("월",(INDEX(입력_구리근무자명단!$A$3:$GZ$3,1,75)&amp;"")&amp;"월"),FIND(CHAR(10),(INDEX(입력_구리근무자명단!$A$3:$GZ$3,1,75)&amp;"")&amp;CHAR(10)),FIND(" ",(INDEX(입력_구리근무자명단!$A$3:$GZ$3,1,75)&amp;"")&amp;" "))-6)),""),"")</f>
        <v/>
      </c>
    </row>
    <row r="81">
      <c r="A81" s="29" t="n">
        <v>79</v>
      </c>
      <c r="B81" s="26">
        <f>IF(TRIM(INDEX(입력_구리근무자명단!$A$1:$GZ$303,$A81,1)&amp;"")&lt;&gt;"",TRIM(INDEX(입력_구리근무자명단!$A$1:$GZ$303,$A81,1)&amp;""),B80)</f>
        <v/>
      </c>
      <c r="C81" s="26">
        <f>IF(INDEX(입력_구리근무자명단!$A$1:$GZ$303,$A81,2)="","",INDEX(입력_구리근무자명단!$A$1:$GZ$303,$A81,2))</f>
        <v/>
      </c>
      <c r="D81" s="26">
        <f>IF($G$2="","",TRIM(IF($I$2="확정",INDEX(입력_구리근무자명단!$A$1:$GZ$303,$A81,$G$2+1)&amp;"",INDEX(입력_구리근무자명단!$A$1:$GZ$303,$A81,$G$2+0)&amp;"")))</f>
        <v/>
      </c>
      <c r="E81" s="26">
        <f>IF($D81="","",$I$2)</f>
        <v/>
      </c>
      <c r="F81" s="28">
        <f>IF($D81="","",IF(INDEX(입력_구리근무자명단!$A$1:$GZ$303,$A81,$G$2+2)="",출력_요약!$B$3,IF(ISNUMBER(INDEX(입력_구리근무자명단!$A$1:$GZ$303,$A81,$G$2+2)),INDEX(입력_구리근무자명단!$A$1:$GZ$303,$A81,$G$2+2),IFERROR(DATE(VALUE(LEFT(INDEX(입력_구리근무자명단!$A$1:$GZ$303,$A81,$G$2+2),4)),VALUE(MID(INDEX(입력_구리근무자명단!$A$1:$GZ$303,$A81,$G$2+2),6,2)),VALUE(MID(INDEX(입력_구리근무자명단!$A$1:$GZ$303,$A81,$G$2+2),9,2))),IFERROR(DATEVALUE(SUBSTITUTE(TRIM(INDEX(입력_구리근무자명단!$A$1:$GZ$303,$A81,$G$2+2)),".","-")),"⚠"&amp;INDEX(입력_구리근무자명단!$A$1:$GZ$303,$A81,$G$2+2))))))</f>
        <v/>
      </c>
      <c r="G81" s="28">
        <f>IF($D81="","",IF(INDEX(입력_구리근무자명단!$A$1:$GZ$303,$A81,$G$2+3)="",EOMONTH(출력_요약!$B$3,0),IF(ISNUMBER(INDEX(입력_구리근무자명단!$A$1:$GZ$303,$A81,$G$2+3)),INDEX(입력_구리근무자명단!$A$1:$GZ$303,$A81,$G$2+3),IFERROR(DATE(VALUE(LEFT(INDEX(입력_구리근무자명단!$A$1:$GZ$303,$A81,$G$2+3),4)),VALUE(MID(INDEX(입력_구리근무자명단!$A$1:$GZ$303,$A81,$G$2+3),6,2)),VALUE(MID(INDEX(입력_구리근무자명단!$A$1:$GZ$303,$A81,$G$2+3),9,2))),IFERROR(DATEVALUE(SUBSTITUTE(TRIM(INDEX(입력_구리근무자명단!$A$1:$GZ$303,$A81,$G$2+3)),".","-")),"⚠"&amp;INDEX(입력_구리근무자명단!$A$1:$GZ$303,$A81,$G$2+3))))))</f>
        <v/>
      </c>
      <c r="H81" s="26">
        <f>IF($D81="","",IF(OR(NOT(ISNUMBER($F81)),NOT(ISNUMBER($G81))),0,MAX(0,MIN($G81,EOMONTH(출력_요약!$B$3,0))-MAX($F81,출력_요약!$B$3)+1)))</f>
        <v/>
      </c>
      <c r="I81" s="26">
        <f>IF($D81="","",TRIM(INDEX(입력_구리근무자명단!$A$1:$GZ$303,$A81,$G$2+5)&amp;""))</f>
        <v/>
      </c>
      <c r="J81" s="26">
        <f>IF($D81="","",IF(ISNUMBER(SEARCH("구리독자",$I81)),"구리독자",""))</f>
        <v/>
      </c>
      <c r="K81" s="29">
        <f>IF($D81="","",IF(COUNTIFS(입력_전공의명단!$C$2:$C$401,$D81,입력_전공의명단!$F$2:$F$401,IF(OR($C81="인턴",ISNUMBER(SEARCH("수련교육부",$B81))),"인턴",$B81))=1,MATCH($D81&amp;"|"&amp;IF(OR($C81="인턴",ISNUMBER(SEARCH("수련교육부",$B81))),"인턴",$B81),입력_전공의명단!$AP$2:$AP$401,0),IF(AND(COUNTIFS(입력_전공의명단!$C$2:$C$401,$D81,입력_전공의명단!$F$2:$F$401,IF(OR($C81="인턴",ISNUMBER(SEARCH("수련교육부",$B81))),"인턴",$B81))=0,COUNTIF(입력_전공의명단!$C$2:$C$401,$D81)=1),MATCH($D81,입력_전공의명단!$C$2:$C$401,0),"")))</f>
        <v/>
      </c>
      <c r="L81" s="26">
        <f>IF($D81="","",IF($K81&lt;&gt;"",IF(COUNTIFS(입력_전공의명단!$C$2:$C$401,$D81,입력_전공의명단!$F$2:$F$401,IF(OR($C81="인턴",ISNUMBER(SEARCH("수련교육부",$B81))),"인턴",$B81))=1,"명단 일치","명단 일치(이름만, 과 다름)"),IF(COUNTIF(입력_전공의명단!$C$2:$C$401,$D81)=0,IF(COUNTIF(입력_기본자료!$C$2:$C$1001,$D81)&gt;0,"명단에 없음(기본자료에는 있음)","명단에 없음"),"동명이인 확인")))</f>
        <v/>
      </c>
      <c r="N81" s="8" t="n">
        <v>76</v>
      </c>
      <c r="O81" s="8">
        <f>IF(ISNUMBER(SEARCH("근무예정자",(INDEX(입력_구리근무자명단!$A$3:$GZ$3,1,76)&amp;""))),IFERROR(VALUE(LEFT((INDEX(입력_구리근무자명단!$A$3:$GZ$3,1,76)&amp;""),4))*100+VALUE(MID((INDEX(입력_구리근무자명단!$A$3:$GZ$3,1,76)&amp;""),6,MIN(FIND("월",(INDEX(입력_구리근무자명단!$A$3:$GZ$3,1,76)&amp;"")&amp;"월"),FIND(CHAR(10),(INDEX(입력_구리근무자명단!$A$3:$GZ$3,1,76)&amp;"")&amp;CHAR(10)),FIND(" ",(INDEX(입력_구리근무자명단!$A$3:$GZ$3,1,76)&amp;"")&amp;" "))-6)),""),"")</f>
        <v/>
      </c>
    </row>
    <row r="82">
      <c r="A82" s="29" t="n">
        <v>80</v>
      </c>
      <c r="B82" s="26">
        <f>IF(TRIM(INDEX(입력_구리근무자명단!$A$1:$GZ$303,$A82,1)&amp;"")&lt;&gt;"",TRIM(INDEX(입력_구리근무자명단!$A$1:$GZ$303,$A82,1)&amp;""),B81)</f>
        <v/>
      </c>
      <c r="C82" s="26">
        <f>IF(INDEX(입력_구리근무자명단!$A$1:$GZ$303,$A82,2)="","",INDEX(입력_구리근무자명단!$A$1:$GZ$303,$A82,2))</f>
        <v/>
      </c>
      <c r="D82" s="26">
        <f>IF($G$2="","",TRIM(IF($I$2="확정",INDEX(입력_구리근무자명단!$A$1:$GZ$303,$A82,$G$2+1)&amp;"",INDEX(입력_구리근무자명단!$A$1:$GZ$303,$A82,$G$2+0)&amp;"")))</f>
        <v/>
      </c>
      <c r="E82" s="26">
        <f>IF($D82="","",$I$2)</f>
        <v/>
      </c>
      <c r="F82" s="28">
        <f>IF($D82="","",IF(INDEX(입력_구리근무자명단!$A$1:$GZ$303,$A82,$G$2+2)="",출력_요약!$B$3,IF(ISNUMBER(INDEX(입력_구리근무자명단!$A$1:$GZ$303,$A82,$G$2+2)),INDEX(입력_구리근무자명단!$A$1:$GZ$303,$A82,$G$2+2),IFERROR(DATE(VALUE(LEFT(INDEX(입력_구리근무자명단!$A$1:$GZ$303,$A82,$G$2+2),4)),VALUE(MID(INDEX(입력_구리근무자명단!$A$1:$GZ$303,$A82,$G$2+2),6,2)),VALUE(MID(INDEX(입력_구리근무자명단!$A$1:$GZ$303,$A82,$G$2+2),9,2))),IFERROR(DATEVALUE(SUBSTITUTE(TRIM(INDEX(입력_구리근무자명단!$A$1:$GZ$303,$A82,$G$2+2)),".","-")),"⚠"&amp;INDEX(입력_구리근무자명단!$A$1:$GZ$303,$A82,$G$2+2))))))</f>
        <v/>
      </c>
      <c r="G82" s="28">
        <f>IF($D82="","",IF(INDEX(입력_구리근무자명단!$A$1:$GZ$303,$A82,$G$2+3)="",EOMONTH(출력_요약!$B$3,0),IF(ISNUMBER(INDEX(입력_구리근무자명단!$A$1:$GZ$303,$A82,$G$2+3)),INDEX(입력_구리근무자명단!$A$1:$GZ$303,$A82,$G$2+3),IFERROR(DATE(VALUE(LEFT(INDEX(입력_구리근무자명단!$A$1:$GZ$303,$A82,$G$2+3),4)),VALUE(MID(INDEX(입력_구리근무자명단!$A$1:$GZ$303,$A82,$G$2+3),6,2)),VALUE(MID(INDEX(입력_구리근무자명단!$A$1:$GZ$303,$A82,$G$2+3),9,2))),IFERROR(DATEVALUE(SUBSTITUTE(TRIM(INDEX(입력_구리근무자명단!$A$1:$GZ$303,$A82,$G$2+3)),".","-")),"⚠"&amp;INDEX(입력_구리근무자명단!$A$1:$GZ$303,$A82,$G$2+3))))))</f>
        <v/>
      </c>
      <c r="H82" s="26">
        <f>IF($D82="","",IF(OR(NOT(ISNUMBER($F82)),NOT(ISNUMBER($G82))),0,MAX(0,MIN($G82,EOMONTH(출력_요약!$B$3,0))-MAX($F82,출력_요약!$B$3)+1)))</f>
        <v/>
      </c>
      <c r="I82" s="26">
        <f>IF($D82="","",TRIM(INDEX(입력_구리근무자명단!$A$1:$GZ$303,$A82,$G$2+5)&amp;""))</f>
        <v/>
      </c>
      <c r="J82" s="26">
        <f>IF($D82="","",IF(ISNUMBER(SEARCH("구리독자",$I82)),"구리독자",""))</f>
        <v/>
      </c>
      <c r="K82" s="29">
        <f>IF($D82="","",IF(COUNTIFS(입력_전공의명단!$C$2:$C$401,$D82,입력_전공의명단!$F$2:$F$401,IF(OR($C82="인턴",ISNUMBER(SEARCH("수련교육부",$B82))),"인턴",$B82))=1,MATCH($D82&amp;"|"&amp;IF(OR($C82="인턴",ISNUMBER(SEARCH("수련교육부",$B82))),"인턴",$B82),입력_전공의명단!$AP$2:$AP$401,0),IF(AND(COUNTIFS(입력_전공의명단!$C$2:$C$401,$D82,입력_전공의명단!$F$2:$F$401,IF(OR($C82="인턴",ISNUMBER(SEARCH("수련교육부",$B82))),"인턴",$B82))=0,COUNTIF(입력_전공의명단!$C$2:$C$401,$D82)=1),MATCH($D82,입력_전공의명단!$C$2:$C$401,0),"")))</f>
        <v/>
      </c>
      <c r="L82" s="26">
        <f>IF($D82="","",IF($K82&lt;&gt;"",IF(COUNTIFS(입력_전공의명단!$C$2:$C$401,$D82,입력_전공의명단!$F$2:$F$401,IF(OR($C82="인턴",ISNUMBER(SEARCH("수련교육부",$B82))),"인턴",$B82))=1,"명단 일치","명단 일치(이름만, 과 다름)"),IF(COUNTIF(입력_전공의명단!$C$2:$C$401,$D82)=0,IF(COUNTIF(입력_기본자료!$C$2:$C$1001,$D82)&gt;0,"명단에 없음(기본자료에는 있음)","명단에 없음"),"동명이인 확인")))</f>
        <v/>
      </c>
      <c r="N82" s="8" t="n">
        <v>77</v>
      </c>
      <c r="O82" s="8">
        <f>IF(ISNUMBER(SEARCH("근무예정자",(INDEX(입력_구리근무자명단!$A$3:$GZ$3,1,77)&amp;""))),IFERROR(VALUE(LEFT((INDEX(입력_구리근무자명단!$A$3:$GZ$3,1,77)&amp;""),4))*100+VALUE(MID((INDEX(입력_구리근무자명단!$A$3:$GZ$3,1,77)&amp;""),6,MIN(FIND("월",(INDEX(입력_구리근무자명단!$A$3:$GZ$3,1,77)&amp;"")&amp;"월"),FIND(CHAR(10),(INDEX(입력_구리근무자명단!$A$3:$GZ$3,1,77)&amp;"")&amp;CHAR(10)),FIND(" ",(INDEX(입력_구리근무자명단!$A$3:$GZ$3,1,77)&amp;"")&amp;" "))-6)),""),"")</f>
        <v/>
      </c>
    </row>
    <row r="83">
      <c r="A83" s="29" t="n">
        <v>81</v>
      </c>
      <c r="B83" s="26">
        <f>IF(TRIM(INDEX(입력_구리근무자명단!$A$1:$GZ$303,$A83,1)&amp;"")&lt;&gt;"",TRIM(INDEX(입력_구리근무자명단!$A$1:$GZ$303,$A83,1)&amp;""),B82)</f>
        <v/>
      </c>
      <c r="C83" s="26">
        <f>IF(INDEX(입력_구리근무자명단!$A$1:$GZ$303,$A83,2)="","",INDEX(입력_구리근무자명단!$A$1:$GZ$303,$A83,2))</f>
        <v/>
      </c>
      <c r="D83" s="26">
        <f>IF($G$2="","",TRIM(IF($I$2="확정",INDEX(입력_구리근무자명단!$A$1:$GZ$303,$A83,$G$2+1)&amp;"",INDEX(입력_구리근무자명단!$A$1:$GZ$303,$A83,$G$2+0)&amp;"")))</f>
        <v/>
      </c>
      <c r="E83" s="26">
        <f>IF($D83="","",$I$2)</f>
        <v/>
      </c>
      <c r="F83" s="28">
        <f>IF($D83="","",IF(INDEX(입력_구리근무자명단!$A$1:$GZ$303,$A83,$G$2+2)="",출력_요약!$B$3,IF(ISNUMBER(INDEX(입력_구리근무자명단!$A$1:$GZ$303,$A83,$G$2+2)),INDEX(입력_구리근무자명단!$A$1:$GZ$303,$A83,$G$2+2),IFERROR(DATE(VALUE(LEFT(INDEX(입력_구리근무자명단!$A$1:$GZ$303,$A83,$G$2+2),4)),VALUE(MID(INDEX(입력_구리근무자명단!$A$1:$GZ$303,$A83,$G$2+2),6,2)),VALUE(MID(INDEX(입력_구리근무자명단!$A$1:$GZ$303,$A83,$G$2+2),9,2))),IFERROR(DATEVALUE(SUBSTITUTE(TRIM(INDEX(입력_구리근무자명단!$A$1:$GZ$303,$A83,$G$2+2)),".","-")),"⚠"&amp;INDEX(입력_구리근무자명단!$A$1:$GZ$303,$A83,$G$2+2))))))</f>
        <v/>
      </c>
      <c r="G83" s="28">
        <f>IF($D83="","",IF(INDEX(입력_구리근무자명단!$A$1:$GZ$303,$A83,$G$2+3)="",EOMONTH(출력_요약!$B$3,0),IF(ISNUMBER(INDEX(입력_구리근무자명단!$A$1:$GZ$303,$A83,$G$2+3)),INDEX(입력_구리근무자명단!$A$1:$GZ$303,$A83,$G$2+3),IFERROR(DATE(VALUE(LEFT(INDEX(입력_구리근무자명단!$A$1:$GZ$303,$A83,$G$2+3),4)),VALUE(MID(INDEX(입력_구리근무자명단!$A$1:$GZ$303,$A83,$G$2+3),6,2)),VALUE(MID(INDEX(입력_구리근무자명단!$A$1:$GZ$303,$A83,$G$2+3),9,2))),IFERROR(DATEVALUE(SUBSTITUTE(TRIM(INDEX(입력_구리근무자명단!$A$1:$GZ$303,$A83,$G$2+3)),".","-")),"⚠"&amp;INDEX(입력_구리근무자명단!$A$1:$GZ$303,$A83,$G$2+3))))))</f>
        <v/>
      </c>
      <c r="H83" s="26">
        <f>IF($D83="","",IF(OR(NOT(ISNUMBER($F83)),NOT(ISNUMBER($G83))),0,MAX(0,MIN($G83,EOMONTH(출력_요약!$B$3,0))-MAX($F83,출력_요약!$B$3)+1)))</f>
        <v/>
      </c>
      <c r="I83" s="26">
        <f>IF($D83="","",TRIM(INDEX(입력_구리근무자명단!$A$1:$GZ$303,$A83,$G$2+5)&amp;""))</f>
        <v/>
      </c>
      <c r="J83" s="26">
        <f>IF($D83="","",IF(ISNUMBER(SEARCH("구리독자",$I83)),"구리독자",""))</f>
        <v/>
      </c>
      <c r="K83" s="29">
        <f>IF($D83="","",IF(COUNTIFS(입력_전공의명단!$C$2:$C$401,$D83,입력_전공의명단!$F$2:$F$401,IF(OR($C83="인턴",ISNUMBER(SEARCH("수련교육부",$B83))),"인턴",$B83))=1,MATCH($D83&amp;"|"&amp;IF(OR($C83="인턴",ISNUMBER(SEARCH("수련교육부",$B83))),"인턴",$B83),입력_전공의명단!$AP$2:$AP$401,0),IF(AND(COUNTIFS(입력_전공의명단!$C$2:$C$401,$D83,입력_전공의명단!$F$2:$F$401,IF(OR($C83="인턴",ISNUMBER(SEARCH("수련교육부",$B83))),"인턴",$B83))=0,COUNTIF(입력_전공의명단!$C$2:$C$401,$D83)=1),MATCH($D83,입력_전공의명단!$C$2:$C$401,0),"")))</f>
        <v/>
      </c>
      <c r="L83" s="26">
        <f>IF($D83="","",IF($K83&lt;&gt;"",IF(COUNTIFS(입력_전공의명단!$C$2:$C$401,$D83,입력_전공의명단!$F$2:$F$401,IF(OR($C83="인턴",ISNUMBER(SEARCH("수련교육부",$B83))),"인턴",$B83))=1,"명단 일치","명단 일치(이름만, 과 다름)"),IF(COUNTIF(입력_전공의명단!$C$2:$C$401,$D83)=0,IF(COUNTIF(입력_기본자료!$C$2:$C$1001,$D83)&gt;0,"명단에 없음(기본자료에는 있음)","명단에 없음"),"동명이인 확인")))</f>
        <v/>
      </c>
      <c r="N83" s="8" t="n">
        <v>78</v>
      </c>
      <c r="O83" s="8">
        <f>IF(ISNUMBER(SEARCH("근무예정자",(INDEX(입력_구리근무자명단!$A$3:$GZ$3,1,78)&amp;""))),IFERROR(VALUE(LEFT((INDEX(입력_구리근무자명단!$A$3:$GZ$3,1,78)&amp;""),4))*100+VALUE(MID((INDEX(입력_구리근무자명단!$A$3:$GZ$3,1,78)&amp;""),6,MIN(FIND("월",(INDEX(입력_구리근무자명단!$A$3:$GZ$3,1,78)&amp;"")&amp;"월"),FIND(CHAR(10),(INDEX(입력_구리근무자명단!$A$3:$GZ$3,1,78)&amp;"")&amp;CHAR(10)),FIND(" ",(INDEX(입력_구리근무자명단!$A$3:$GZ$3,1,78)&amp;"")&amp;" "))-6)),""),"")</f>
        <v/>
      </c>
    </row>
    <row r="84">
      <c r="A84" s="29" t="n">
        <v>82</v>
      </c>
      <c r="B84" s="26">
        <f>IF(TRIM(INDEX(입력_구리근무자명단!$A$1:$GZ$303,$A84,1)&amp;"")&lt;&gt;"",TRIM(INDEX(입력_구리근무자명단!$A$1:$GZ$303,$A84,1)&amp;""),B83)</f>
        <v/>
      </c>
      <c r="C84" s="26">
        <f>IF(INDEX(입력_구리근무자명단!$A$1:$GZ$303,$A84,2)="","",INDEX(입력_구리근무자명단!$A$1:$GZ$303,$A84,2))</f>
        <v/>
      </c>
      <c r="D84" s="26">
        <f>IF($G$2="","",TRIM(IF($I$2="확정",INDEX(입력_구리근무자명단!$A$1:$GZ$303,$A84,$G$2+1)&amp;"",INDEX(입력_구리근무자명단!$A$1:$GZ$303,$A84,$G$2+0)&amp;"")))</f>
        <v/>
      </c>
      <c r="E84" s="26">
        <f>IF($D84="","",$I$2)</f>
        <v/>
      </c>
      <c r="F84" s="28">
        <f>IF($D84="","",IF(INDEX(입력_구리근무자명단!$A$1:$GZ$303,$A84,$G$2+2)="",출력_요약!$B$3,IF(ISNUMBER(INDEX(입력_구리근무자명단!$A$1:$GZ$303,$A84,$G$2+2)),INDEX(입력_구리근무자명단!$A$1:$GZ$303,$A84,$G$2+2),IFERROR(DATE(VALUE(LEFT(INDEX(입력_구리근무자명단!$A$1:$GZ$303,$A84,$G$2+2),4)),VALUE(MID(INDEX(입력_구리근무자명단!$A$1:$GZ$303,$A84,$G$2+2),6,2)),VALUE(MID(INDEX(입력_구리근무자명단!$A$1:$GZ$303,$A84,$G$2+2),9,2))),IFERROR(DATEVALUE(SUBSTITUTE(TRIM(INDEX(입력_구리근무자명단!$A$1:$GZ$303,$A84,$G$2+2)),".","-")),"⚠"&amp;INDEX(입력_구리근무자명단!$A$1:$GZ$303,$A84,$G$2+2))))))</f>
        <v/>
      </c>
      <c r="G84" s="28">
        <f>IF($D84="","",IF(INDEX(입력_구리근무자명단!$A$1:$GZ$303,$A84,$G$2+3)="",EOMONTH(출력_요약!$B$3,0),IF(ISNUMBER(INDEX(입력_구리근무자명단!$A$1:$GZ$303,$A84,$G$2+3)),INDEX(입력_구리근무자명단!$A$1:$GZ$303,$A84,$G$2+3),IFERROR(DATE(VALUE(LEFT(INDEX(입력_구리근무자명단!$A$1:$GZ$303,$A84,$G$2+3),4)),VALUE(MID(INDEX(입력_구리근무자명단!$A$1:$GZ$303,$A84,$G$2+3),6,2)),VALUE(MID(INDEX(입력_구리근무자명단!$A$1:$GZ$303,$A84,$G$2+3),9,2))),IFERROR(DATEVALUE(SUBSTITUTE(TRIM(INDEX(입력_구리근무자명단!$A$1:$GZ$303,$A84,$G$2+3)),".","-")),"⚠"&amp;INDEX(입력_구리근무자명단!$A$1:$GZ$303,$A84,$G$2+3))))))</f>
        <v/>
      </c>
      <c r="H84" s="26">
        <f>IF($D84="","",IF(OR(NOT(ISNUMBER($F84)),NOT(ISNUMBER($G84))),0,MAX(0,MIN($G84,EOMONTH(출력_요약!$B$3,0))-MAX($F84,출력_요약!$B$3)+1)))</f>
        <v/>
      </c>
      <c r="I84" s="26">
        <f>IF($D84="","",TRIM(INDEX(입력_구리근무자명단!$A$1:$GZ$303,$A84,$G$2+5)&amp;""))</f>
        <v/>
      </c>
      <c r="J84" s="26">
        <f>IF($D84="","",IF(ISNUMBER(SEARCH("구리독자",$I84)),"구리독자",""))</f>
        <v/>
      </c>
      <c r="K84" s="29">
        <f>IF($D84="","",IF(COUNTIFS(입력_전공의명단!$C$2:$C$401,$D84,입력_전공의명단!$F$2:$F$401,IF(OR($C84="인턴",ISNUMBER(SEARCH("수련교육부",$B84))),"인턴",$B84))=1,MATCH($D84&amp;"|"&amp;IF(OR($C84="인턴",ISNUMBER(SEARCH("수련교육부",$B84))),"인턴",$B84),입력_전공의명단!$AP$2:$AP$401,0),IF(AND(COUNTIFS(입력_전공의명단!$C$2:$C$401,$D84,입력_전공의명단!$F$2:$F$401,IF(OR($C84="인턴",ISNUMBER(SEARCH("수련교육부",$B84))),"인턴",$B84))=0,COUNTIF(입력_전공의명단!$C$2:$C$401,$D84)=1),MATCH($D84,입력_전공의명단!$C$2:$C$401,0),"")))</f>
        <v/>
      </c>
      <c r="L84" s="26">
        <f>IF($D84="","",IF($K84&lt;&gt;"",IF(COUNTIFS(입력_전공의명단!$C$2:$C$401,$D84,입력_전공의명단!$F$2:$F$401,IF(OR($C84="인턴",ISNUMBER(SEARCH("수련교육부",$B84))),"인턴",$B84))=1,"명단 일치","명단 일치(이름만, 과 다름)"),IF(COUNTIF(입력_전공의명단!$C$2:$C$401,$D84)=0,IF(COUNTIF(입력_기본자료!$C$2:$C$1001,$D84)&gt;0,"명단에 없음(기본자료에는 있음)","명단에 없음"),"동명이인 확인")))</f>
        <v/>
      </c>
      <c r="N84" s="8" t="n">
        <v>79</v>
      </c>
      <c r="O84" s="8">
        <f>IF(ISNUMBER(SEARCH("근무예정자",(INDEX(입력_구리근무자명단!$A$3:$GZ$3,1,79)&amp;""))),IFERROR(VALUE(LEFT((INDEX(입력_구리근무자명단!$A$3:$GZ$3,1,79)&amp;""),4))*100+VALUE(MID((INDEX(입력_구리근무자명단!$A$3:$GZ$3,1,79)&amp;""),6,MIN(FIND("월",(INDEX(입력_구리근무자명단!$A$3:$GZ$3,1,79)&amp;"")&amp;"월"),FIND(CHAR(10),(INDEX(입력_구리근무자명단!$A$3:$GZ$3,1,79)&amp;"")&amp;CHAR(10)),FIND(" ",(INDEX(입력_구리근무자명단!$A$3:$GZ$3,1,79)&amp;"")&amp;" "))-6)),""),"")</f>
        <v/>
      </c>
    </row>
    <row r="85">
      <c r="A85" s="29" t="n">
        <v>83</v>
      </c>
      <c r="B85" s="26">
        <f>IF(TRIM(INDEX(입력_구리근무자명단!$A$1:$GZ$303,$A85,1)&amp;"")&lt;&gt;"",TRIM(INDEX(입력_구리근무자명단!$A$1:$GZ$303,$A85,1)&amp;""),B84)</f>
        <v/>
      </c>
      <c r="C85" s="26">
        <f>IF(INDEX(입력_구리근무자명단!$A$1:$GZ$303,$A85,2)="","",INDEX(입력_구리근무자명단!$A$1:$GZ$303,$A85,2))</f>
        <v/>
      </c>
      <c r="D85" s="26">
        <f>IF($G$2="","",TRIM(IF($I$2="확정",INDEX(입력_구리근무자명단!$A$1:$GZ$303,$A85,$G$2+1)&amp;"",INDEX(입력_구리근무자명단!$A$1:$GZ$303,$A85,$G$2+0)&amp;"")))</f>
        <v/>
      </c>
      <c r="E85" s="26">
        <f>IF($D85="","",$I$2)</f>
        <v/>
      </c>
      <c r="F85" s="28">
        <f>IF($D85="","",IF(INDEX(입력_구리근무자명단!$A$1:$GZ$303,$A85,$G$2+2)="",출력_요약!$B$3,IF(ISNUMBER(INDEX(입력_구리근무자명단!$A$1:$GZ$303,$A85,$G$2+2)),INDEX(입력_구리근무자명단!$A$1:$GZ$303,$A85,$G$2+2),IFERROR(DATE(VALUE(LEFT(INDEX(입력_구리근무자명단!$A$1:$GZ$303,$A85,$G$2+2),4)),VALUE(MID(INDEX(입력_구리근무자명단!$A$1:$GZ$303,$A85,$G$2+2),6,2)),VALUE(MID(INDEX(입력_구리근무자명단!$A$1:$GZ$303,$A85,$G$2+2),9,2))),IFERROR(DATEVALUE(SUBSTITUTE(TRIM(INDEX(입력_구리근무자명단!$A$1:$GZ$303,$A85,$G$2+2)),".","-")),"⚠"&amp;INDEX(입력_구리근무자명단!$A$1:$GZ$303,$A85,$G$2+2))))))</f>
        <v/>
      </c>
      <c r="G85" s="28">
        <f>IF($D85="","",IF(INDEX(입력_구리근무자명단!$A$1:$GZ$303,$A85,$G$2+3)="",EOMONTH(출력_요약!$B$3,0),IF(ISNUMBER(INDEX(입력_구리근무자명단!$A$1:$GZ$303,$A85,$G$2+3)),INDEX(입력_구리근무자명단!$A$1:$GZ$303,$A85,$G$2+3),IFERROR(DATE(VALUE(LEFT(INDEX(입력_구리근무자명단!$A$1:$GZ$303,$A85,$G$2+3),4)),VALUE(MID(INDEX(입력_구리근무자명단!$A$1:$GZ$303,$A85,$G$2+3),6,2)),VALUE(MID(INDEX(입력_구리근무자명단!$A$1:$GZ$303,$A85,$G$2+3),9,2))),IFERROR(DATEVALUE(SUBSTITUTE(TRIM(INDEX(입력_구리근무자명단!$A$1:$GZ$303,$A85,$G$2+3)),".","-")),"⚠"&amp;INDEX(입력_구리근무자명단!$A$1:$GZ$303,$A85,$G$2+3))))))</f>
        <v/>
      </c>
      <c r="H85" s="26">
        <f>IF($D85="","",IF(OR(NOT(ISNUMBER($F85)),NOT(ISNUMBER($G85))),0,MAX(0,MIN($G85,EOMONTH(출력_요약!$B$3,0))-MAX($F85,출력_요약!$B$3)+1)))</f>
        <v/>
      </c>
      <c r="I85" s="26">
        <f>IF($D85="","",TRIM(INDEX(입력_구리근무자명단!$A$1:$GZ$303,$A85,$G$2+5)&amp;""))</f>
        <v/>
      </c>
      <c r="J85" s="26">
        <f>IF($D85="","",IF(ISNUMBER(SEARCH("구리독자",$I85)),"구리독자",""))</f>
        <v/>
      </c>
      <c r="K85" s="29">
        <f>IF($D85="","",IF(COUNTIFS(입력_전공의명단!$C$2:$C$401,$D85,입력_전공의명단!$F$2:$F$401,IF(OR($C85="인턴",ISNUMBER(SEARCH("수련교육부",$B85))),"인턴",$B85))=1,MATCH($D85&amp;"|"&amp;IF(OR($C85="인턴",ISNUMBER(SEARCH("수련교육부",$B85))),"인턴",$B85),입력_전공의명단!$AP$2:$AP$401,0),IF(AND(COUNTIFS(입력_전공의명단!$C$2:$C$401,$D85,입력_전공의명단!$F$2:$F$401,IF(OR($C85="인턴",ISNUMBER(SEARCH("수련교육부",$B85))),"인턴",$B85))=0,COUNTIF(입력_전공의명단!$C$2:$C$401,$D85)=1),MATCH($D85,입력_전공의명단!$C$2:$C$401,0),"")))</f>
        <v/>
      </c>
      <c r="L85" s="26">
        <f>IF($D85="","",IF($K85&lt;&gt;"",IF(COUNTIFS(입력_전공의명단!$C$2:$C$401,$D85,입력_전공의명단!$F$2:$F$401,IF(OR($C85="인턴",ISNUMBER(SEARCH("수련교육부",$B85))),"인턴",$B85))=1,"명단 일치","명단 일치(이름만, 과 다름)"),IF(COUNTIF(입력_전공의명단!$C$2:$C$401,$D85)=0,IF(COUNTIF(입력_기본자료!$C$2:$C$1001,$D85)&gt;0,"명단에 없음(기본자료에는 있음)","명단에 없음"),"동명이인 확인")))</f>
        <v/>
      </c>
      <c r="N85" s="8" t="n">
        <v>80</v>
      </c>
      <c r="O85" s="8">
        <f>IF(ISNUMBER(SEARCH("근무예정자",(INDEX(입력_구리근무자명단!$A$3:$GZ$3,1,80)&amp;""))),IFERROR(VALUE(LEFT((INDEX(입력_구리근무자명단!$A$3:$GZ$3,1,80)&amp;""),4))*100+VALUE(MID((INDEX(입력_구리근무자명단!$A$3:$GZ$3,1,80)&amp;""),6,MIN(FIND("월",(INDEX(입력_구리근무자명단!$A$3:$GZ$3,1,80)&amp;"")&amp;"월"),FIND(CHAR(10),(INDEX(입력_구리근무자명단!$A$3:$GZ$3,1,80)&amp;"")&amp;CHAR(10)),FIND(" ",(INDEX(입력_구리근무자명단!$A$3:$GZ$3,1,80)&amp;"")&amp;" "))-6)),""),"")</f>
        <v/>
      </c>
    </row>
    <row r="86">
      <c r="A86" s="29" t="n">
        <v>84</v>
      </c>
      <c r="B86" s="26">
        <f>IF(TRIM(INDEX(입력_구리근무자명단!$A$1:$GZ$303,$A86,1)&amp;"")&lt;&gt;"",TRIM(INDEX(입력_구리근무자명단!$A$1:$GZ$303,$A86,1)&amp;""),B85)</f>
        <v/>
      </c>
      <c r="C86" s="26">
        <f>IF(INDEX(입력_구리근무자명단!$A$1:$GZ$303,$A86,2)="","",INDEX(입력_구리근무자명단!$A$1:$GZ$303,$A86,2))</f>
        <v/>
      </c>
      <c r="D86" s="26">
        <f>IF($G$2="","",TRIM(IF($I$2="확정",INDEX(입력_구리근무자명단!$A$1:$GZ$303,$A86,$G$2+1)&amp;"",INDEX(입력_구리근무자명단!$A$1:$GZ$303,$A86,$G$2+0)&amp;"")))</f>
        <v/>
      </c>
      <c r="E86" s="26">
        <f>IF($D86="","",$I$2)</f>
        <v/>
      </c>
      <c r="F86" s="28">
        <f>IF($D86="","",IF(INDEX(입력_구리근무자명단!$A$1:$GZ$303,$A86,$G$2+2)="",출력_요약!$B$3,IF(ISNUMBER(INDEX(입력_구리근무자명단!$A$1:$GZ$303,$A86,$G$2+2)),INDEX(입력_구리근무자명단!$A$1:$GZ$303,$A86,$G$2+2),IFERROR(DATE(VALUE(LEFT(INDEX(입력_구리근무자명단!$A$1:$GZ$303,$A86,$G$2+2),4)),VALUE(MID(INDEX(입력_구리근무자명단!$A$1:$GZ$303,$A86,$G$2+2),6,2)),VALUE(MID(INDEX(입력_구리근무자명단!$A$1:$GZ$303,$A86,$G$2+2),9,2))),IFERROR(DATEVALUE(SUBSTITUTE(TRIM(INDEX(입력_구리근무자명단!$A$1:$GZ$303,$A86,$G$2+2)),".","-")),"⚠"&amp;INDEX(입력_구리근무자명단!$A$1:$GZ$303,$A86,$G$2+2))))))</f>
        <v/>
      </c>
      <c r="G86" s="28">
        <f>IF($D86="","",IF(INDEX(입력_구리근무자명단!$A$1:$GZ$303,$A86,$G$2+3)="",EOMONTH(출력_요약!$B$3,0),IF(ISNUMBER(INDEX(입력_구리근무자명단!$A$1:$GZ$303,$A86,$G$2+3)),INDEX(입력_구리근무자명단!$A$1:$GZ$303,$A86,$G$2+3),IFERROR(DATE(VALUE(LEFT(INDEX(입력_구리근무자명단!$A$1:$GZ$303,$A86,$G$2+3),4)),VALUE(MID(INDEX(입력_구리근무자명단!$A$1:$GZ$303,$A86,$G$2+3),6,2)),VALUE(MID(INDEX(입력_구리근무자명단!$A$1:$GZ$303,$A86,$G$2+3),9,2))),IFERROR(DATEVALUE(SUBSTITUTE(TRIM(INDEX(입력_구리근무자명단!$A$1:$GZ$303,$A86,$G$2+3)),".","-")),"⚠"&amp;INDEX(입력_구리근무자명단!$A$1:$GZ$303,$A86,$G$2+3))))))</f>
        <v/>
      </c>
      <c r="H86" s="26">
        <f>IF($D86="","",IF(OR(NOT(ISNUMBER($F86)),NOT(ISNUMBER($G86))),0,MAX(0,MIN($G86,EOMONTH(출력_요약!$B$3,0))-MAX($F86,출력_요약!$B$3)+1)))</f>
        <v/>
      </c>
      <c r="I86" s="26">
        <f>IF($D86="","",TRIM(INDEX(입력_구리근무자명단!$A$1:$GZ$303,$A86,$G$2+5)&amp;""))</f>
        <v/>
      </c>
      <c r="J86" s="26">
        <f>IF($D86="","",IF(ISNUMBER(SEARCH("구리독자",$I86)),"구리독자",""))</f>
        <v/>
      </c>
      <c r="K86" s="29">
        <f>IF($D86="","",IF(COUNTIFS(입력_전공의명단!$C$2:$C$401,$D86,입력_전공의명단!$F$2:$F$401,IF(OR($C86="인턴",ISNUMBER(SEARCH("수련교육부",$B86))),"인턴",$B86))=1,MATCH($D86&amp;"|"&amp;IF(OR($C86="인턴",ISNUMBER(SEARCH("수련교육부",$B86))),"인턴",$B86),입력_전공의명단!$AP$2:$AP$401,0),IF(AND(COUNTIFS(입력_전공의명단!$C$2:$C$401,$D86,입력_전공의명단!$F$2:$F$401,IF(OR($C86="인턴",ISNUMBER(SEARCH("수련교육부",$B86))),"인턴",$B86))=0,COUNTIF(입력_전공의명단!$C$2:$C$401,$D86)=1),MATCH($D86,입력_전공의명단!$C$2:$C$401,0),"")))</f>
        <v/>
      </c>
      <c r="L86" s="26">
        <f>IF($D86="","",IF($K86&lt;&gt;"",IF(COUNTIFS(입력_전공의명단!$C$2:$C$401,$D86,입력_전공의명단!$F$2:$F$401,IF(OR($C86="인턴",ISNUMBER(SEARCH("수련교육부",$B86))),"인턴",$B86))=1,"명단 일치","명단 일치(이름만, 과 다름)"),IF(COUNTIF(입력_전공의명단!$C$2:$C$401,$D86)=0,IF(COUNTIF(입력_기본자료!$C$2:$C$1001,$D86)&gt;0,"명단에 없음(기본자료에는 있음)","명단에 없음"),"동명이인 확인")))</f>
        <v/>
      </c>
      <c r="N86" s="8" t="n">
        <v>81</v>
      </c>
      <c r="O86" s="8">
        <f>IF(ISNUMBER(SEARCH("근무예정자",(INDEX(입력_구리근무자명단!$A$3:$GZ$3,1,81)&amp;""))),IFERROR(VALUE(LEFT((INDEX(입력_구리근무자명단!$A$3:$GZ$3,1,81)&amp;""),4))*100+VALUE(MID((INDEX(입력_구리근무자명단!$A$3:$GZ$3,1,81)&amp;""),6,MIN(FIND("월",(INDEX(입력_구리근무자명단!$A$3:$GZ$3,1,81)&amp;"")&amp;"월"),FIND(CHAR(10),(INDEX(입력_구리근무자명단!$A$3:$GZ$3,1,81)&amp;"")&amp;CHAR(10)),FIND(" ",(INDEX(입력_구리근무자명단!$A$3:$GZ$3,1,81)&amp;"")&amp;" "))-6)),""),"")</f>
        <v/>
      </c>
    </row>
    <row r="87">
      <c r="A87" s="29" t="n">
        <v>85</v>
      </c>
      <c r="B87" s="26">
        <f>IF(TRIM(INDEX(입력_구리근무자명단!$A$1:$GZ$303,$A87,1)&amp;"")&lt;&gt;"",TRIM(INDEX(입력_구리근무자명단!$A$1:$GZ$303,$A87,1)&amp;""),B86)</f>
        <v/>
      </c>
      <c r="C87" s="26">
        <f>IF(INDEX(입력_구리근무자명단!$A$1:$GZ$303,$A87,2)="","",INDEX(입력_구리근무자명단!$A$1:$GZ$303,$A87,2))</f>
        <v/>
      </c>
      <c r="D87" s="26">
        <f>IF($G$2="","",TRIM(IF($I$2="확정",INDEX(입력_구리근무자명단!$A$1:$GZ$303,$A87,$G$2+1)&amp;"",INDEX(입력_구리근무자명단!$A$1:$GZ$303,$A87,$G$2+0)&amp;"")))</f>
        <v/>
      </c>
      <c r="E87" s="26">
        <f>IF($D87="","",$I$2)</f>
        <v/>
      </c>
      <c r="F87" s="28">
        <f>IF($D87="","",IF(INDEX(입력_구리근무자명단!$A$1:$GZ$303,$A87,$G$2+2)="",출력_요약!$B$3,IF(ISNUMBER(INDEX(입력_구리근무자명단!$A$1:$GZ$303,$A87,$G$2+2)),INDEX(입력_구리근무자명단!$A$1:$GZ$303,$A87,$G$2+2),IFERROR(DATE(VALUE(LEFT(INDEX(입력_구리근무자명단!$A$1:$GZ$303,$A87,$G$2+2),4)),VALUE(MID(INDEX(입력_구리근무자명단!$A$1:$GZ$303,$A87,$G$2+2),6,2)),VALUE(MID(INDEX(입력_구리근무자명단!$A$1:$GZ$303,$A87,$G$2+2),9,2))),IFERROR(DATEVALUE(SUBSTITUTE(TRIM(INDEX(입력_구리근무자명단!$A$1:$GZ$303,$A87,$G$2+2)),".","-")),"⚠"&amp;INDEX(입력_구리근무자명단!$A$1:$GZ$303,$A87,$G$2+2))))))</f>
        <v/>
      </c>
      <c r="G87" s="28">
        <f>IF($D87="","",IF(INDEX(입력_구리근무자명단!$A$1:$GZ$303,$A87,$G$2+3)="",EOMONTH(출력_요약!$B$3,0),IF(ISNUMBER(INDEX(입력_구리근무자명단!$A$1:$GZ$303,$A87,$G$2+3)),INDEX(입력_구리근무자명단!$A$1:$GZ$303,$A87,$G$2+3),IFERROR(DATE(VALUE(LEFT(INDEX(입력_구리근무자명단!$A$1:$GZ$303,$A87,$G$2+3),4)),VALUE(MID(INDEX(입력_구리근무자명단!$A$1:$GZ$303,$A87,$G$2+3),6,2)),VALUE(MID(INDEX(입력_구리근무자명단!$A$1:$GZ$303,$A87,$G$2+3),9,2))),IFERROR(DATEVALUE(SUBSTITUTE(TRIM(INDEX(입력_구리근무자명단!$A$1:$GZ$303,$A87,$G$2+3)),".","-")),"⚠"&amp;INDEX(입력_구리근무자명단!$A$1:$GZ$303,$A87,$G$2+3))))))</f>
        <v/>
      </c>
      <c r="H87" s="26">
        <f>IF($D87="","",IF(OR(NOT(ISNUMBER($F87)),NOT(ISNUMBER($G87))),0,MAX(0,MIN($G87,EOMONTH(출력_요약!$B$3,0))-MAX($F87,출력_요약!$B$3)+1)))</f>
        <v/>
      </c>
      <c r="I87" s="26">
        <f>IF($D87="","",TRIM(INDEX(입력_구리근무자명단!$A$1:$GZ$303,$A87,$G$2+5)&amp;""))</f>
        <v/>
      </c>
      <c r="J87" s="26">
        <f>IF($D87="","",IF(ISNUMBER(SEARCH("구리독자",$I87)),"구리독자",""))</f>
        <v/>
      </c>
      <c r="K87" s="29">
        <f>IF($D87="","",IF(COUNTIFS(입력_전공의명단!$C$2:$C$401,$D87,입력_전공의명단!$F$2:$F$401,IF(OR($C87="인턴",ISNUMBER(SEARCH("수련교육부",$B87))),"인턴",$B87))=1,MATCH($D87&amp;"|"&amp;IF(OR($C87="인턴",ISNUMBER(SEARCH("수련교육부",$B87))),"인턴",$B87),입력_전공의명단!$AP$2:$AP$401,0),IF(AND(COUNTIFS(입력_전공의명단!$C$2:$C$401,$D87,입력_전공의명단!$F$2:$F$401,IF(OR($C87="인턴",ISNUMBER(SEARCH("수련교육부",$B87))),"인턴",$B87))=0,COUNTIF(입력_전공의명단!$C$2:$C$401,$D87)=1),MATCH($D87,입력_전공의명단!$C$2:$C$401,0),"")))</f>
        <v/>
      </c>
      <c r="L87" s="26">
        <f>IF($D87="","",IF($K87&lt;&gt;"",IF(COUNTIFS(입력_전공의명단!$C$2:$C$401,$D87,입력_전공의명단!$F$2:$F$401,IF(OR($C87="인턴",ISNUMBER(SEARCH("수련교육부",$B87))),"인턴",$B87))=1,"명단 일치","명단 일치(이름만, 과 다름)"),IF(COUNTIF(입력_전공의명단!$C$2:$C$401,$D87)=0,IF(COUNTIF(입력_기본자료!$C$2:$C$1001,$D87)&gt;0,"명단에 없음(기본자료에는 있음)","명단에 없음"),"동명이인 확인")))</f>
        <v/>
      </c>
      <c r="N87" s="8" t="n">
        <v>82</v>
      </c>
      <c r="O87" s="8">
        <f>IF(ISNUMBER(SEARCH("근무예정자",(INDEX(입력_구리근무자명단!$A$3:$GZ$3,1,82)&amp;""))),IFERROR(VALUE(LEFT((INDEX(입력_구리근무자명단!$A$3:$GZ$3,1,82)&amp;""),4))*100+VALUE(MID((INDEX(입력_구리근무자명단!$A$3:$GZ$3,1,82)&amp;""),6,MIN(FIND("월",(INDEX(입력_구리근무자명단!$A$3:$GZ$3,1,82)&amp;"")&amp;"월"),FIND(CHAR(10),(INDEX(입력_구리근무자명단!$A$3:$GZ$3,1,82)&amp;"")&amp;CHAR(10)),FIND(" ",(INDEX(입력_구리근무자명단!$A$3:$GZ$3,1,82)&amp;"")&amp;" "))-6)),""),"")</f>
        <v/>
      </c>
    </row>
    <row r="88">
      <c r="A88" s="29" t="n">
        <v>86</v>
      </c>
      <c r="B88" s="26">
        <f>IF(TRIM(INDEX(입력_구리근무자명단!$A$1:$GZ$303,$A88,1)&amp;"")&lt;&gt;"",TRIM(INDEX(입력_구리근무자명단!$A$1:$GZ$303,$A88,1)&amp;""),B87)</f>
        <v/>
      </c>
      <c r="C88" s="26">
        <f>IF(INDEX(입력_구리근무자명단!$A$1:$GZ$303,$A88,2)="","",INDEX(입력_구리근무자명단!$A$1:$GZ$303,$A88,2))</f>
        <v/>
      </c>
      <c r="D88" s="26">
        <f>IF($G$2="","",TRIM(IF($I$2="확정",INDEX(입력_구리근무자명단!$A$1:$GZ$303,$A88,$G$2+1)&amp;"",INDEX(입력_구리근무자명단!$A$1:$GZ$303,$A88,$G$2+0)&amp;"")))</f>
        <v/>
      </c>
      <c r="E88" s="26">
        <f>IF($D88="","",$I$2)</f>
        <v/>
      </c>
      <c r="F88" s="28">
        <f>IF($D88="","",IF(INDEX(입력_구리근무자명단!$A$1:$GZ$303,$A88,$G$2+2)="",출력_요약!$B$3,IF(ISNUMBER(INDEX(입력_구리근무자명단!$A$1:$GZ$303,$A88,$G$2+2)),INDEX(입력_구리근무자명단!$A$1:$GZ$303,$A88,$G$2+2),IFERROR(DATE(VALUE(LEFT(INDEX(입력_구리근무자명단!$A$1:$GZ$303,$A88,$G$2+2),4)),VALUE(MID(INDEX(입력_구리근무자명단!$A$1:$GZ$303,$A88,$G$2+2),6,2)),VALUE(MID(INDEX(입력_구리근무자명단!$A$1:$GZ$303,$A88,$G$2+2),9,2))),IFERROR(DATEVALUE(SUBSTITUTE(TRIM(INDEX(입력_구리근무자명단!$A$1:$GZ$303,$A88,$G$2+2)),".","-")),"⚠"&amp;INDEX(입력_구리근무자명단!$A$1:$GZ$303,$A88,$G$2+2))))))</f>
        <v/>
      </c>
      <c r="G88" s="28">
        <f>IF($D88="","",IF(INDEX(입력_구리근무자명단!$A$1:$GZ$303,$A88,$G$2+3)="",EOMONTH(출력_요약!$B$3,0),IF(ISNUMBER(INDEX(입력_구리근무자명단!$A$1:$GZ$303,$A88,$G$2+3)),INDEX(입력_구리근무자명단!$A$1:$GZ$303,$A88,$G$2+3),IFERROR(DATE(VALUE(LEFT(INDEX(입력_구리근무자명단!$A$1:$GZ$303,$A88,$G$2+3),4)),VALUE(MID(INDEX(입력_구리근무자명단!$A$1:$GZ$303,$A88,$G$2+3),6,2)),VALUE(MID(INDEX(입력_구리근무자명단!$A$1:$GZ$303,$A88,$G$2+3),9,2))),IFERROR(DATEVALUE(SUBSTITUTE(TRIM(INDEX(입력_구리근무자명단!$A$1:$GZ$303,$A88,$G$2+3)),".","-")),"⚠"&amp;INDEX(입력_구리근무자명단!$A$1:$GZ$303,$A88,$G$2+3))))))</f>
        <v/>
      </c>
      <c r="H88" s="26">
        <f>IF($D88="","",IF(OR(NOT(ISNUMBER($F88)),NOT(ISNUMBER($G88))),0,MAX(0,MIN($G88,EOMONTH(출력_요약!$B$3,0))-MAX($F88,출력_요약!$B$3)+1)))</f>
        <v/>
      </c>
      <c r="I88" s="26">
        <f>IF($D88="","",TRIM(INDEX(입력_구리근무자명단!$A$1:$GZ$303,$A88,$G$2+5)&amp;""))</f>
        <v/>
      </c>
      <c r="J88" s="26">
        <f>IF($D88="","",IF(ISNUMBER(SEARCH("구리독자",$I88)),"구리독자",""))</f>
        <v/>
      </c>
      <c r="K88" s="29">
        <f>IF($D88="","",IF(COUNTIFS(입력_전공의명단!$C$2:$C$401,$D88,입력_전공의명단!$F$2:$F$401,IF(OR($C88="인턴",ISNUMBER(SEARCH("수련교육부",$B88))),"인턴",$B88))=1,MATCH($D88&amp;"|"&amp;IF(OR($C88="인턴",ISNUMBER(SEARCH("수련교육부",$B88))),"인턴",$B88),입력_전공의명단!$AP$2:$AP$401,0),IF(AND(COUNTIFS(입력_전공의명단!$C$2:$C$401,$D88,입력_전공의명단!$F$2:$F$401,IF(OR($C88="인턴",ISNUMBER(SEARCH("수련교육부",$B88))),"인턴",$B88))=0,COUNTIF(입력_전공의명단!$C$2:$C$401,$D88)=1),MATCH($D88,입력_전공의명단!$C$2:$C$401,0),"")))</f>
        <v/>
      </c>
      <c r="L88" s="26">
        <f>IF($D88="","",IF($K88&lt;&gt;"",IF(COUNTIFS(입력_전공의명단!$C$2:$C$401,$D88,입력_전공의명단!$F$2:$F$401,IF(OR($C88="인턴",ISNUMBER(SEARCH("수련교육부",$B88))),"인턴",$B88))=1,"명단 일치","명단 일치(이름만, 과 다름)"),IF(COUNTIF(입력_전공의명단!$C$2:$C$401,$D88)=0,IF(COUNTIF(입력_기본자료!$C$2:$C$1001,$D88)&gt;0,"명단에 없음(기본자료에는 있음)","명단에 없음"),"동명이인 확인")))</f>
        <v/>
      </c>
      <c r="N88" s="8" t="n">
        <v>83</v>
      </c>
      <c r="O88" s="8">
        <f>IF(ISNUMBER(SEARCH("근무예정자",(INDEX(입력_구리근무자명단!$A$3:$GZ$3,1,83)&amp;""))),IFERROR(VALUE(LEFT((INDEX(입력_구리근무자명단!$A$3:$GZ$3,1,83)&amp;""),4))*100+VALUE(MID((INDEX(입력_구리근무자명단!$A$3:$GZ$3,1,83)&amp;""),6,MIN(FIND("월",(INDEX(입력_구리근무자명단!$A$3:$GZ$3,1,83)&amp;"")&amp;"월"),FIND(CHAR(10),(INDEX(입력_구리근무자명단!$A$3:$GZ$3,1,83)&amp;"")&amp;CHAR(10)),FIND(" ",(INDEX(입력_구리근무자명단!$A$3:$GZ$3,1,83)&amp;"")&amp;" "))-6)),""),"")</f>
        <v/>
      </c>
    </row>
    <row r="89">
      <c r="A89" s="29" t="n">
        <v>87</v>
      </c>
      <c r="B89" s="26">
        <f>IF(TRIM(INDEX(입력_구리근무자명단!$A$1:$GZ$303,$A89,1)&amp;"")&lt;&gt;"",TRIM(INDEX(입력_구리근무자명단!$A$1:$GZ$303,$A89,1)&amp;""),B88)</f>
        <v/>
      </c>
      <c r="C89" s="26">
        <f>IF(INDEX(입력_구리근무자명단!$A$1:$GZ$303,$A89,2)="","",INDEX(입력_구리근무자명단!$A$1:$GZ$303,$A89,2))</f>
        <v/>
      </c>
      <c r="D89" s="26">
        <f>IF($G$2="","",TRIM(IF($I$2="확정",INDEX(입력_구리근무자명단!$A$1:$GZ$303,$A89,$G$2+1)&amp;"",INDEX(입력_구리근무자명단!$A$1:$GZ$303,$A89,$G$2+0)&amp;"")))</f>
        <v/>
      </c>
      <c r="E89" s="26">
        <f>IF($D89="","",$I$2)</f>
        <v/>
      </c>
      <c r="F89" s="28">
        <f>IF($D89="","",IF(INDEX(입력_구리근무자명단!$A$1:$GZ$303,$A89,$G$2+2)="",출력_요약!$B$3,IF(ISNUMBER(INDEX(입력_구리근무자명단!$A$1:$GZ$303,$A89,$G$2+2)),INDEX(입력_구리근무자명단!$A$1:$GZ$303,$A89,$G$2+2),IFERROR(DATE(VALUE(LEFT(INDEX(입력_구리근무자명단!$A$1:$GZ$303,$A89,$G$2+2),4)),VALUE(MID(INDEX(입력_구리근무자명단!$A$1:$GZ$303,$A89,$G$2+2),6,2)),VALUE(MID(INDEX(입력_구리근무자명단!$A$1:$GZ$303,$A89,$G$2+2),9,2))),IFERROR(DATEVALUE(SUBSTITUTE(TRIM(INDEX(입력_구리근무자명단!$A$1:$GZ$303,$A89,$G$2+2)),".","-")),"⚠"&amp;INDEX(입력_구리근무자명단!$A$1:$GZ$303,$A89,$G$2+2))))))</f>
        <v/>
      </c>
      <c r="G89" s="28">
        <f>IF($D89="","",IF(INDEX(입력_구리근무자명단!$A$1:$GZ$303,$A89,$G$2+3)="",EOMONTH(출력_요약!$B$3,0),IF(ISNUMBER(INDEX(입력_구리근무자명단!$A$1:$GZ$303,$A89,$G$2+3)),INDEX(입력_구리근무자명단!$A$1:$GZ$303,$A89,$G$2+3),IFERROR(DATE(VALUE(LEFT(INDEX(입력_구리근무자명단!$A$1:$GZ$303,$A89,$G$2+3),4)),VALUE(MID(INDEX(입력_구리근무자명단!$A$1:$GZ$303,$A89,$G$2+3),6,2)),VALUE(MID(INDEX(입력_구리근무자명단!$A$1:$GZ$303,$A89,$G$2+3),9,2))),IFERROR(DATEVALUE(SUBSTITUTE(TRIM(INDEX(입력_구리근무자명단!$A$1:$GZ$303,$A89,$G$2+3)),".","-")),"⚠"&amp;INDEX(입력_구리근무자명단!$A$1:$GZ$303,$A89,$G$2+3))))))</f>
        <v/>
      </c>
      <c r="H89" s="26">
        <f>IF($D89="","",IF(OR(NOT(ISNUMBER($F89)),NOT(ISNUMBER($G89))),0,MAX(0,MIN($G89,EOMONTH(출력_요약!$B$3,0))-MAX($F89,출력_요약!$B$3)+1)))</f>
        <v/>
      </c>
      <c r="I89" s="26">
        <f>IF($D89="","",TRIM(INDEX(입력_구리근무자명단!$A$1:$GZ$303,$A89,$G$2+5)&amp;""))</f>
        <v/>
      </c>
      <c r="J89" s="26">
        <f>IF($D89="","",IF(ISNUMBER(SEARCH("구리독자",$I89)),"구리독자",""))</f>
        <v/>
      </c>
      <c r="K89" s="29">
        <f>IF($D89="","",IF(COUNTIFS(입력_전공의명단!$C$2:$C$401,$D89,입력_전공의명단!$F$2:$F$401,IF(OR($C89="인턴",ISNUMBER(SEARCH("수련교육부",$B89))),"인턴",$B89))=1,MATCH($D89&amp;"|"&amp;IF(OR($C89="인턴",ISNUMBER(SEARCH("수련교육부",$B89))),"인턴",$B89),입력_전공의명단!$AP$2:$AP$401,0),IF(AND(COUNTIFS(입력_전공의명단!$C$2:$C$401,$D89,입력_전공의명단!$F$2:$F$401,IF(OR($C89="인턴",ISNUMBER(SEARCH("수련교육부",$B89))),"인턴",$B89))=0,COUNTIF(입력_전공의명단!$C$2:$C$401,$D89)=1),MATCH($D89,입력_전공의명단!$C$2:$C$401,0),"")))</f>
        <v/>
      </c>
      <c r="L89" s="26">
        <f>IF($D89="","",IF($K89&lt;&gt;"",IF(COUNTIFS(입력_전공의명단!$C$2:$C$401,$D89,입력_전공의명단!$F$2:$F$401,IF(OR($C89="인턴",ISNUMBER(SEARCH("수련교육부",$B89))),"인턴",$B89))=1,"명단 일치","명단 일치(이름만, 과 다름)"),IF(COUNTIF(입력_전공의명단!$C$2:$C$401,$D89)=0,IF(COUNTIF(입력_기본자료!$C$2:$C$1001,$D89)&gt;0,"명단에 없음(기본자료에는 있음)","명단에 없음"),"동명이인 확인")))</f>
        <v/>
      </c>
      <c r="N89" s="8" t="n">
        <v>84</v>
      </c>
      <c r="O89" s="8">
        <f>IF(ISNUMBER(SEARCH("근무예정자",(INDEX(입력_구리근무자명단!$A$3:$GZ$3,1,84)&amp;""))),IFERROR(VALUE(LEFT((INDEX(입력_구리근무자명단!$A$3:$GZ$3,1,84)&amp;""),4))*100+VALUE(MID((INDEX(입력_구리근무자명단!$A$3:$GZ$3,1,84)&amp;""),6,MIN(FIND("월",(INDEX(입력_구리근무자명단!$A$3:$GZ$3,1,84)&amp;"")&amp;"월"),FIND(CHAR(10),(INDEX(입력_구리근무자명단!$A$3:$GZ$3,1,84)&amp;"")&amp;CHAR(10)),FIND(" ",(INDEX(입력_구리근무자명단!$A$3:$GZ$3,1,84)&amp;"")&amp;" "))-6)),""),"")</f>
        <v/>
      </c>
    </row>
    <row r="90">
      <c r="A90" s="29" t="n">
        <v>88</v>
      </c>
      <c r="B90" s="26">
        <f>IF(TRIM(INDEX(입력_구리근무자명단!$A$1:$GZ$303,$A90,1)&amp;"")&lt;&gt;"",TRIM(INDEX(입력_구리근무자명단!$A$1:$GZ$303,$A90,1)&amp;""),B89)</f>
        <v/>
      </c>
      <c r="C90" s="26">
        <f>IF(INDEX(입력_구리근무자명단!$A$1:$GZ$303,$A90,2)="","",INDEX(입력_구리근무자명단!$A$1:$GZ$303,$A90,2))</f>
        <v/>
      </c>
      <c r="D90" s="26">
        <f>IF($G$2="","",TRIM(IF($I$2="확정",INDEX(입력_구리근무자명단!$A$1:$GZ$303,$A90,$G$2+1)&amp;"",INDEX(입력_구리근무자명단!$A$1:$GZ$303,$A90,$G$2+0)&amp;"")))</f>
        <v/>
      </c>
      <c r="E90" s="26">
        <f>IF($D90="","",$I$2)</f>
        <v/>
      </c>
      <c r="F90" s="28">
        <f>IF($D90="","",IF(INDEX(입력_구리근무자명단!$A$1:$GZ$303,$A90,$G$2+2)="",출력_요약!$B$3,IF(ISNUMBER(INDEX(입력_구리근무자명단!$A$1:$GZ$303,$A90,$G$2+2)),INDEX(입력_구리근무자명단!$A$1:$GZ$303,$A90,$G$2+2),IFERROR(DATE(VALUE(LEFT(INDEX(입력_구리근무자명단!$A$1:$GZ$303,$A90,$G$2+2),4)),VALUE(MID(INDEX(입력_구리근무자명단!$A$1:$GZ$303,$A90,$G$2+2),6,2)),VALUE(MID(INDEX(입력_구리근무자명단!$A$1:$GZ$303,$A90,$G$2+2),9,2))),IFERROR(DATEVALUE(SUBSTITUTE(TRIM(INDEX(입력_구리근무자명단!$A$1:$GZ$303,$A90,$G$2+2)),".","-")),"⚠"&amp;INDEX(입력_구리근무자명단!$A$1:$GZ$303,$A90,$G$2+2))))))</f>
        <v/>
      </c>
      <c r="G90" s="28">
        <f>IF($D90="","",IF(INDEX(입력_구리근무자명단!$A$1:$GZ$303,$A90,$G$2+3)="",EOMONTH(출력_요약!$B$3,0),IF(ISNUMBER(INDEX(입력_구리근무자명단!$A$1:$GZ$303,$A90,$G$2+3)),INDEX(입력_구리근무자명단!$A$1:$GZ$303,$A90,$G$2+3),IFERROR(DATE(VALUE(LEFT(INDEX(입력_구리근무자명단!$A$1:$GZ$303,$A90,$G$2+3),4)),VALUE(MID(INDEX(입력_구리근무자명단!$A$1:$GZ$303,$A90,$G$2+3),6,2)),VALUE(MID(INDEX(입력_구리근무자명단!$A$1:$GZ$303,$A90,$G$2+3),9,2))),IFERROR(DATEVALUE(SUBSTITUTE(TRIM(INDEX(입력_구리근무자명단!$A$1:$GZ$303,$A90,$G$2+3)),".","-")),"⚠"&amp;INDEX(입력_구리근무자명단!$A$1:$GZ$303,$A90,$G$2+3))))))</f>
        <v/>
      </c>
      <c r="H90" s="26">
        <f>IF($D90="","",IF(OR(NOT(ISNUMBER($F90)),NOT(ISNUMBER($G90))),0,MAX(0,MIN($G90,EOMONTH(출력_요약!$B$3,0))-MAX($F90,출력_요약!$B$3)+1)))</f>
        <v/>
      </c>
      <c r="I90" s="26">
        <f>IF($D90="","",TRIM(INDEX(입력_구리근무자명단!$A$1:$GZ$303,$A90,$G$2+5)&amp;""))</f>
        <v/>
      </c>
      <c r="J90" s="26">
        <f>IF($D90="","",IF(ISNUMBER(SEARCH("구리독자",$I90)),"구리독자",""))</f>
        <v/>
      </c>
      <c r="K90" s="29">
        <f>IF($D90="","",IF(COUNTIFS(입력_전공의명단!$C$2:$C$401,$D90,입력_전공의명단!$F$2:$F$401,IF(OR($C90="인턴",ISNUMBER(SEARCH("수련교육부",$B90))),"인턴",$B90))=1,MATCH($D90&amp;"|"&amp;IF(OR($C90="인턴",ISNUMBER(SEARCH("수련교육부",$B90))),"인턴",$B90),입력_전공의명단!$AP$2:$AP$401,0),IF(AND(COUNTIFS(입력_전공의명단!$C$2:$C$401,$D90,입력_전공의명단!$F$2:$F$401,IF(OR($C90="인턴",ISNUMBER(SEARCH("수련교육부",$B90))),"인턴",$B90))=0,COUNTIF(입력_전공의명단!$C$2:$C$401,$D90)=1),MATCH($D90,입력_전공의명단!$C$2:$C$401,0),"")))</f>
        <v/>
      </c>
      <c r="L90" s="26">
        <f>IF($D90="","",IF($K90&lt;&gt;"",IF(COUNTIFS(입력_전공의명단!$C$2:$C$401,$D90,입력_전공의명단!$F$2:$F$401,IF(OR($C90="인턴",ISNUMBER(SEARCH("수련교육부",$B90))),"인턴",$B90))=1,"명단 일치","명단 일치(이름만, 과 다름)"),IF(COUNTIF(입력_전공의명단!$C$2:$C$401,$D90)=0,IF(COUNTIF(입력_기본자료!$C$2:$C$1001,$D90)&gt;0,"명단에 없음(기본자료에는 있음)","명단에 없음"),"동명이인 확인")))</f>
        <v/>
      </c>
      <c r="N90" s="8" t="n">
        <v>85</v>
      </c>
      <c r="O90" s="8">
        <f>IF(ISNUMBER(SEARCH("근무예정자",(INDEX(입력_구리근무자명단!$A$3:$GZ$3,1,85)&amp;""))),IFERROR(VALUE(LEFT((INDEX(입력_구리근무자명단!$A$3:$GZ$3,1,85)&amp;""),4))*100+VALUE(MID((INDEX(입력_구리근무자명단!$A$3:$GZ$3,1,85)&amp;""),6,MIN(FIND("월",(INDEX(입력_구리근무자명단!$A$3:$GZ$3,1,85)&amp;"")&amp;"월"),FIND(CHAR(10),(INDEX(입력_구리근무자명단!$A$3:$GZ$3,1,85)&amp;"")&amp;CHAR(10)),FIND(" ",(INDEX(입력_구리근무자명단!$A$3:$GZ$3,1,85)&amp;"")&amp;" "))-6)),""),"")</f>
        <v/>
      </c>
    </row>
    <row r="91">
      <c r="A91" s="29" t="n">
        <v>89</v>
      </c>
      <c r="B91" s="26">
        <f>IF(TRIM(INDEX(입력_구리근무자명단!$A$1:$GZ$303,$A91,1)&amp;"")&lt;&gt;"",TRIM(INDEX(입력_구리근무자명단!$A$1:$GZ$303,$A91,1)&amp;""),B90)</f>
        <v/>
      </c>
      <c r="C91" s="26">
        <f>IF(INDEX(입력_구리근무자명단!$A$1:$GZ$303,$A91,2)="","",INDEX(입력_구리근무자명단!$A$1:$GZ$303,$A91,2))</f>
        <v/>
      </c>
      <c r="D91" s="26">
        <f>IF($G$2="","",TRIM(IF($I$2="확정",INDEX(입력_구리근무자명단!$A$1:$GZ$303,$A91,$G$2+1)&amp;"",INDEX(입력_구리근무자명단!$A$1:$GZ$303,$A91,$G$2+0)&amp;"")))</f>
        <v/>
      </c>
      <c r="E91" s="26">
        <f>IF($D91="","",$I$2)</f>
        <v/>
      </c>
      <c r="F91" s="28">
        <f>IF($D91="","",IF(INDEX(입력_구리근무자명단!$A$1:$GZ$303,$A91,$G$2+2)="",출력_요약!$B$3,IF(ISNUMBER(INDEX(입력_구리근무자명단!$A$1:$GZ$303,$A91,$G$2+2)),INDEX(입력_구리근무자명단!$A$1:$GZ$303,$A91,$G$2+2),IFERROR(DATE(VALUE(LEFT(INDEX(입력_구리근무자명단!$A$1:$GZ$303,$A91,$G$2+2),4)),VALUE(MID(INDEX(입력_구리근무자명단!$A$1:$GZ$303,$A91,$G$2+2),6,2)),VALUE(MID(INDEX(입력_구리근무자명단!$A$1:$GZ$303,$A91,$G$2+2),9,2))),IFERROR(DATEVALUE(SUBSTITUTE(TRIM(INDEX(입력_구리근무자명단!$A$1:$GZ$303,$A91,$G$2+2)),".","-")),"⚠"&amp;INDEX(입력_구리근무자명단!$A$1:$GZ$303,$A91,$G$2+2))))))</f>
        <v/>
      </c>
      <c r="G91" s="28">
        <f>IF($D91="","",IF(INDEX(입력_구리근무자명단!$A$1:$GZ$303,$A91,$G$2+3)="",EOMONTH(출력_요약!$B$3,0),IF(ISNUMBER(INDEX(입력_구리근무자명단!$A$1:$GZ$303,$A91,$G$2+3)),INDEX(입력_구리근무자명단!$A$1:$GZ$303,$A91,$G$2+3),IFERROR(DATE(VALUE(LEFT(INDEX(입력_구리근무자명단!$A$1:$GZ$303,$A91,$G$2+3),4)),VALUE(MID(INDEX(입력_구리근무자명단!$A$1:$GZ$303,$A91,$G$2+3),6,2)),VALUE(MID(INDEX(입력_구리근무자명단!$A$1:$GZ$303,$A91,$G$2+3),9,2))),IFERROR(DATEVALUE(SUBSTITUTE(TRIM(INDEX(입력_구리근무자명단!$A$1:$GZ$303,$A91,$G$2+3)),".","-")),"⚠"&amp;INDEX(입력_구리근무자명단!$A$1:$GZ$303,$A91,$G$2+3))))))</f>
        <v/>
      </c>
      <c r="H91" s="26">
        <f>IF($D91="","",IF(OR(NOT(ISNUMBER($F91)),NOT(ISNUMBER($G91))),0,MAX(0,MIN($G91,EOMONTH(출력_요약!$B$3,0))-MAX($F91,출력_요약!$B$3)+1)))</f>
        <v/>
      </c>
      <c r="I91" s="26">
        <f>IF($D91="","",TRIM(INDEX(입력_구리근무자명단!$A$1:$GZ$303,$A91,$G$2+5)&amp;""))</f>
        <v/>
      </c>
      <c r="J91" s="26">
        <f>IF($D91="","",IF(ISNUMBER(SEARCH("구리독자",$I91)),"구리독자",""))</f>
        <v/>
      </c>
      <c r="K91" s="29">
        <f>IF($D91="","",IF(COUNTIFS(입력_전공의명단!$C$2:$C$401,$D91,입력_전공의명단!$F$2:$F$401,IF(OR($C91="인턴",ISNUMBER(SEARCH("수련교육부",$B91))),"인턴",$B91))=1,MATCH($D91&amp;"|"&amp;IF(OR($C91="인턴",ISNUMBER(SEARCH("수련교육부",$B91))),"인턴",$B91),입력_전공의명단!$AP$2:$AP$401,0),IF(AND(COUNTIFS(입력_전공의명단!$C$2:$C$401,$D91,입력_전공의명단!$F$2:$F$401,IF(OR($C91="인턴",ISNUMBER(SEARCH("수련교육부",$B91))),"인턴",$B91))=0,COUNTIF(입력_전공의명단!$C$2:$C$401,$D91)=1),MATCH($D91,입력_전공의명단!$C$2:$C$401,0),"")))</f>
        <v/>
      </c>
      <c r="L91" s="26">
        <f>IF($D91="","",IF($K91&lt;&gt;"",IF(COUNTIFS(입력_전공의명단!$C$2:$C$401,$D91,입력_전공의명단!$F$2:$F$401,IF(OR($C91="인턴",ISNUMBER(SEARCH("수련교육부",$B91))),"인턴",$B91))=1,"명단 일치","명단 일치(이름만, 과 다름)"),IF(COUNTIF(입력_전공의명단!$C$2:$C$401,$D91)=0,IF(COUNTIF(입력_기본자료!$C$2:$C$1001,$D91)&gt;0,"명단에 없음(기본자료에는 있음)","명단에 없음"),"동명이인 확인")))</f>
        <v/>
      </c>
      <c r="N91" s="8" t="n">
        <v>86</v>
      </c>
      <c r="O91" s="8">
        <f>IF(ISNUMBER(SEARCH("근무예정자",(INDEX(입력_구리근무자명단!$A$3:$GZ$3,1,86)&amp;""))),IFERROR(VALUE(LEFT((INDEX(입력_구리근무자명단!$A$3:$GZ$3,1,86)&amp;""),4))*100+VALUE(MID((INDEX(입력_구리근무자명단!$A$3:$GZ$3,1,86)&amp;""),6,MIN(FIND("월",(INDEX(입력_구리근무자명단!$A$3:$GZ$3,1,86)&amp;"")&amp;"월"),FIND(CHAR(10),(INDEX(입력_구리근무자명단!$A$3:$GZ$3,1,86)&amp;"")&amp;CHAR(10)),FIND(" ",(INDEX(입력_구리근무자명단!$A$3:$GZ$3,1,86)&amp;"")&amp;" "))-6)),""),"")</f>
        <v/>
      </c>
    </row>
    <row r="92">
      <c r="A92" s="29" t="n">
        <v>90</v>
      </c>
      <c r="B92" s="26">
        <f>IF(TRIM(INDEX(입력_구리근무자명단!$A$1:$GZ$303,$A92,1)&amp;"")&lt;&gt;"",TRIM(INDEX(입력_구리근무자명단!$A$1:$GZ$303,$A92,1)&amp;""),B91)</f>
        <v/>
      </c>
      <c r="C92" s="26">
        <f>IF(INDEX(입력_구리근무자명단!$A$1:$GZ$303,$A92,2)="","",INDEX(입력_구리근무자명단!$A$1:$GZ$303,$A92,2))</f>
        <v/>
      </c>
      <c r="D92" s="26">
        <f>IF($G$2="","",TRIM(IF($I$2="확정",INDEX(입력_구리근무자명단!$A$1:$GZ$303,$A92,$G$2+1)&amp;"",INDEX(입력_구리근무자명단!$A$1:$GZ$303,$A92,$G$2+0)&amp;"")))</f>
        <v/>
      </c>
      <c r="E92" s="26">
        <f>IF($D92="","",$I$2)</f>
        <v/>
      </c>
      <c r="F92" s="28">
        <f>IF($D92="","",IF(INDEX(입력_구리근무자명단!$A$1:$GZ$303,$A92,$G$2+2)="",출력_요약!$B$3,IF(ISNUMBER(INDEX(입력_구리근무자명단!$A$1:$GZ$303,$A92,$G$2+2)),INDEX(입력_구리근무자명단!$A$1:$GZ$303,$A92,$G$2+2),IFERROR(DATE(VALUE(LEFT(INDEX(입력_구리근무자명단!$A$1:$GZ$303,$A92,$G$2+2),4)),VALUE(MID(INDEX(입력_구리근무자명단!$A$1:$GZ$303,$A92,$G$2+2),6,2)),VALUE(MID(INDEX(입력_구리근무자명단!$A$1:$GZ$303,$A92,$G$2+2),9,2))),IFERROR(DATEVALUE(SUBSTITUTE(TRIM(INDEX(입력_구리근무자명단!$A$1:$GZ$303,$A92,$G$2+2)),".","-")),"⚠"&amp;INDEX(입력_구리근무자명단!$A$1:$GZ$303,$A92,$G$2+2))))))</f>
        <v/>
      </c>
      <c r="G92" s="28">
        <f>IF($D92="","",IF(INDEX(입력_구리근무자명단!$A$1:$GZ$303,$A92,$G$2+3)="",EOMONTH(출력_요약!$B$3,0),IF(ISNUMBER(INDEX(입력_구리근무자명단!$A$1:$GZ$303,$A92,$G$2+3)),INDEX(입력_구리근무자명단!$A$1:$GZ$303,$A92,$G$2+3),IFERROR(DATE(VALUE(LEFT(INDEX(입력_구리근무자명단!$A$1:$GZ$303,$A92,$G$2+3),4)),VALUE(MID(INDEX(입력_구리근무자명단!$A$1:$GZ$303,$A92,$G$2+3),6,2)),VALUE(MID(INDEX(입력_구리근무자명단!$A$1:$GZ$303,$A92,$G$2+3),9,2))),IFERROR(DATEVALUE(SUBSTITUTE(TRIM(INDEX(입력_구리근무자명단!$A$1:$GZ$303,$A92,$G$2+3)),".","-")),"⚠"&amp;INDEX(입력_구리근무자명단!$A$1:$GZ$303,$A92,$G$2+3))))))</f>
        <v/>
      </c>
      <c r="H92" s="26">
        <f>IF($D92="","",IF(OR(NOT(ISNUMBER($F92)),NOT(ISNUMBER($G92))),0,MAX(0,MIN($G92,EOMONTH(출력_요약!$B$3,0))-MAX($F92,출력_요약!$B$3)+1)))</f>
        <v/>
      </c>
      <c r="I92" s="26">
        <f>IF($D92="","",TRIM(INDEX(입력_구리근무자명단!$A$1:$GZ$303,$A92,$G$2+5)&amp;""))</f>
        <v/>
      </c>
      <c r="J92" s="26">
        <f>IF($D92="","",IF(ISNUMBER(SEARCH("구리독자",$I92)),"구리독자",""))</f>
        <v/>
      </c>
      <c r="K92" s="29">
        <f>IF($D92="","",IF(COUNTIFS(입력_전공의명단!$C$2:$C$401,$D92,입력_전공의명단!$F$2:$F$401,IF(OR($C92="인턴",ISNUMBER(SEARCH("수련교육부",$B92))),"인턴",$B92))=1,MATCH($D92&amp;"|"&amp;IF(OR($C92="인턴",ISNUMBER(SEARCH("수련교육부",$B92))),"인턴",$B92),입력_전공의명단!$AP$2:$AP$401,0),IF(AND(COUNTIFS(입력_전공의명단!$C$2:$C$401,$D92,입력_전공의명단!$F$2:$F$401,IF(OR($C92="인턴",ISNUMBER(SEARCH("수련교육부",$B92))),"인턴",$B92))=0,COUNTIF(입력_전공의명단!$C$2:$C$401,$D92)=1),MATCH($D92,입력_전공의명단!$C$2:$C$401,0),"")))</f>
        <v/>
      </c>
      <c r="L92" s="26">
        <f>IF($D92="","",IF($K92&lt;&gt;"",IF(COUNTIFS(입력_전공의명단!$C$2:$C$401,$D92,입력_전공의명단!$F$2:$F$401,IF(OR($C92="인턴",ISNUMBER(SEARCH("수련교육부",$B92))),"인턴",$B92))=1,"명단 일치","명단 일치(이름만, 과 다름)"),IF(COUNTIF(입력_전공의명단!$C$2:$C$401,$D92)=0,IF(COUNTIF(입력_기본자료!$C$2:$C$1001,$D92)&gt;0,"명단에 없음(기본자료에는 있음)","명단에 없음"),"동명이인 확인")))</f>
        <v/>
      </c>
      <c r="N92" s="8" t="n">
        <v>87</v>
      </c>
      <c r="O92" s="8">
        <f>IF(ISNUMBER(SEARCH("근무예정자",(INDEX(입력_구리근무자명단!$A$3:$GZ$3,1,87)&amp;""))),IFERROR(VALUE(LEFT((INDEX(입력_구리근무자명단!$A$3:$GZ$3,1,87)&amp;""),4))*100+VALUE(MID((INDEX(입력_구리근무자명단!$A$3:$GZ$3,1,87)&amp;""),6,MIN(FIND("월",(INDEX(입력_구리근무자명단!$A$3:$GZ$3,1,87)&amp;"")&amp;"월"),FIND(CHAR(10),(INDEX(입력_구리근무자명단!$A$3:$GZ$3,1,87)&amp;"")&amp;CHAR(10)),FIND(" ",(INDEX(입력_구리근무자명단!$A$3:$GZ$3,1,87)&amp;"")&amp;" "))-6)),""),"")</f>
        <v/>
      </c>
    </row>
    <row r="93">
      <c r="A93" s="29" t="n">
        <v>91</v>
      </c>
      <c r="B93" s="26">
        <f>IF(TRIM(INDEX(입력_구리근무자명단!$A$1:$GZ$303,$A93,1)&amp;"")&lt;&gt;"",TRIM(INDEX(입력_구리근무자명단!$A$1:$GZ$303,$A93,1)&amp;""),B92)</f>
        <v/>
      </c>
      <c r="C93" s="26">
        <f>IF(INDEX(입력_구리근무자명단!$A$1:$GZ$303,$A93,2)="","",INDEX(입력_구리근무자명단!$A$1:$GZ$303,$A93,2))</f>
        <v/>
      </c>
      <c r="D93" s="26">
        <f>IF($G$2="","",TRIM(IF($I$2="확정",INDEX(입력_구리근무자명단!$A$1:$GZ$303,$A93,$G$2+1)&amp;"",INDEX(입력_구리근무자명단!$A$1:$GZ$303,$A93,$G$2+0)&amp;"")))</f>
        <v/>
      </c>
      <c r="E93" s="26">
        <f>IF($D93="","",$I$2)</f>
        <v/>
      </c>
      <c r="F93" s="28">
        <f>IF($D93="","",IF(INDEX(입력_구리근무자명단!$A$1:$GZ$303,$A93,$G$2+2)="",출력_요약!$B$3,IF(ISNUMBER(INDEX(입력_구리근무자명단!$A$1:$GZ$303,$A93,$G$2+2)),INDEX(입력_구리근무자명단!$A$1:$GZ$303,$A93,$G$2+2),IFERROR(DATE(VALUE(LEFT(INDEX(입력_구리근무자명단!$A$1:$GZ$303,$A93,$G$2+2),4)),VALUE(MID(INDEX(입력_구리근무자명단!$A$1:$GZ$303,$A93,$G$2+2),6,2)),VALUE(MID(INDEX(입력_구리근무자명단!$A$1:$GZ$303,$A93,$G$2+2),9,2))),IFERROR(DATEVALUE(SUBSTITUTE(TRIM(INDEX(입력_구리근무자명단!$A$1:$GZ$303,$A93,$G$2+2)),".","-")),"⚠"&amp;INDEX(입력_구리근무자명단!$A$1:$GZ$303,$A93,$G$2+2))))))</f>
        <v/>
      </c>
      <c r="G93" s="28">
        <f>IF($D93="","",IF(INDEX(입력_구리근무자명단!$A$1:$GZ$303,$A93,$G$2+3)="",EOMONTH(출력_요약!$B$3,0),IF(ISNUMBER(INDEX(입력_구리근무자명단!$A$1:$GZ$303,$A93,$G$2+3)),INDEX(입력_구리근무자명단!$A$1:$GZ$303,$A93,$G$2+3),IFERROR(DATE(VALUE(LEFT(INDEX(입력_구리근무자명단!$A$1:$GZ$303,$A93,$G$2+3),4)),VALUE(MID(INDEX(입력_구리근무자명단!$A$1:$GZ$303,$A93,$G$2+3),6,2)),VALUE(MID(INDEX(입력_구리근무자명단!$A$1:$GZ$303,$A93,$G$2+3),9,2))),IFERROR(DATEVALUE(SUBSTITUTE(TRIM(INDEX(입력_구리근무자명단!$A$1:$GZ$303,$A93,$G$2+3)),".","-")),"⚠"&amp;INDEX(입력_구리근무자명단!$A$1:$GZ$303,$A93,$G$2+3))))))</f>
        <v/>
      </c>
      <c r="H93" s="26">
        <f>IF($D93="","",IF(OR(NOT(ISNUMBER($F93)),NOT(ISNUMBER($G93))),0,MAX(0,MIN($G93,EOMONTH(출력_요약!$B$3,0))-MAX($F93,출력_요약!$B$3)+1)))</f>
        <v/>
      </c>
      <c r="I93" s="26">
        <f>IF($D93="","",TRIM(INDEX(입력_구리근무자명단!$A$1:$GZ$303,$A93,$G$2+5)&amp;""))</f>
        <v/>
      </c>
      <c r="J93" s="26">
        <f>IF($D93="","",IF(ISNUMBER(SEARCH("구리독자",$I93)),"구리독자",""))</f>
        <v/>
      </c>
      <c r="K93" s="29">
        <f>IF($D93="","",IF(COUNTIFS(입력_전공의명단!$C$2:$C$401,$D93,입력_전공의명단!$F$2:$F$401,IF(OR($C93="인턴",ISNUMBER(SEARCH("수련교육부",$B93))),"인턴",$B93))=1,MATCH($D93&amp;"|"&amp;IF(OR($C93="인턴",ISNUMBER(SEARCH("수련교육부",$B93))),"인턴",$B93),입력_전공의명단!$AP$2:$AP$401,0),IF(AND(COUNTIFS(입력_전공의명단!$C$2:$C$401,$D93,입력_전공의명단!$F$2:$F$401,IF(OR($C93="인턴",ISNUMBER(SEARCH("수련교육부",$B93))),"인턴",$B93))=0,COUNTIF(입력_전공의명단!$C$2:$C$401,$D93)=1),MATCH($D93,입력_전공의명단!$C$2:$C$401,0),"")))</f>
        <v/>
      </c>
      <c r="L93" s="26">
        <f>IF($D93="","",IF($K93&lt;&gt;"",IF(COUNTIFS(입력_전공의명단!$C$2:$C$401,$D93,입력_전공의명단!$F$2:$F$401,IF(OR($C93="인턴",ISNUMBER(SEARCH("수련교육부",$B93))),"인턴",$B93))=1,"명단 일치","명단 일치(이름만, 과 다름)"),IF(COUNTIF(입력_전공의명단!$C$2:$C$401,$D93)=0,IF(COUNTIF(입력_기본자료!$C$2:$C$1001,$D93)&gt;0,"명단에 없음(기본자료에는 있음)","명단에 없음"),"동명이인 확인")))</f>
        <v/>
      </c>
      <c r="N93" s="8" t="n">
        <v>88</v>
      </c>
      <c r="O93" s="8">
        <f>IF(ISNUMBER(SEARCH("근무예정자",(INDEX(입력_구리근무자명단!$A$3:$GZ$3,1,88)&amp;""))),IFERROR(VALUE(LEFT((INDEX(입력_구리근무자명단!$A$3:$GZ$3,1,88)&amp;""),4))*100+VALUE(MID((INDEX(입력_구리근무자명단!$A$3:$GZ$3,1,88)&amp;""),6,MIN(FIND("월",(INDEX(입력_구리근무자명단!$A$3:$GZ$3,1,88)&amp;"")&amp;"월"),FIND(CHAR(10),(INDEX(입력_구리근무자명단!$A$3:$GZ$3,1,88)&amp;"")&amp;CHAR(10)),FIND(" ",(INDEX(입력_구리근무자명단!$A$3:$GZ$3,1,88)&amp;"")&amp;" "))-6)),""),"")</f>
        <v/>
      </c>
    </row>
    <row r="94">
      <c r="A94" s="29" t="n">
        <v>92</v>
      </c>
      <c r="B94" s="26">
        <f>IF(TRIM(INDEX(입력_구리근무자명단!$A$1:$GZ$303,$A94,1)&amp;"")&lt;&gt;"",TRIM(INDEX(입력_구리근무자명단!$A$1:$GZ$303,$A94,1)&amp;""),B93)</f>
        <v/>
      </c>
      <c r="C94" s="26">
        <f>IF(INDEX(입력_구리근무자명단!$A$1:$GZ$303,$A94,2)="","",INDEX(입력_구리근무자명단!$A$1:$GZ$303,$A94,2))</f>
        <v/>
      </c>
      <c r="D94" s="26">
        <f>IF($G$2="","",TRIM(IF($I$2="확정",INDEX(입력_구리근무자명단!$A$1:$GZ$303,$A94,$G$2+1)&amp;"",INDEX(입력_구리근무자명단!$A$1:$GZ$303,$A94,$G$2+0)&amp;"")))</f>
        <v/>
      </c>
      <c r="E94" s="26">
        <f>IF($D94="","",$I$2)</f>
        <v/>
      </c>
      <c r="F94" s="28">
        <f>IF($D94="","",IF(INDEX(입력_구리근무자명단!$A$1:$GZ$303,$A94,$G$2+2)="",출력_요약!$B$3,IF(ISNUMBER(INDEX(입력_구리근무자명단!$A$1:$GZ$303,$A94,$G$2+2)),INDEX(입력_구리근무자명단!$A$1:$GZ$303,$A94,$G$2+2),IFERROR(DATE(VALUE(LEFT(INDEX(입력_구리근무자명단!$A$1:$GZ$303,$A94,$G$2+2),4)),VALUE(MID(INDEX(입력_구리근무자명단!$A$1:$GZ$303,$A94,$G$2+2),6,2)),VALUE(MID(INDEX(입력_구리근무자명단!$A$1:$GZ$303,$A94,$G$2+2),9,2))),IFERROR(DATEVALUE(SUBSTITUTE(TRIM(INDEX(입력_구리근무자명단!$A$1:$GZ$303,$A94,$G$2+2)),".","-")),"⚠"&amp;INDEX(입력_구리근무자명단!$A$1:$GZ$303,$A94,$G$2+2))))))</f>
        <v/>
      </c>
      <c r="G94" s="28">
        <f>IF($D94="","",IF(INDEX(입력_구리근무자명단!$A$1:$GZ$303,$A94,$G$2+3)="",EOMONTH(출력_요약!$B$3,0),IF(ISNUMBER(INDEX(입력_구리근무자명단!$A$1:$GZ$303,$A94,$G$2+3)),INDEX(입력_구리근무자명단!$A$1:$GZ$303,$A94,$G$2+3),IFERROR(DATE(VALUE(LEFT(INDEX(입력_구리근무자명단!$A$1:$GZ$303,$A94,$G$2+3),4)),VALUE(MID(INDEX(입력_구리근무자명단!$A$1:$GZ$303,$A94,$G$2+3),6,2)),VALUE(MID(INDEX(입력_구리근무자명단!$A$1:$GZ$303,$A94,$G$2+3),9,2))),IFERROR(DATEVALUE(SUBSTITUTE(TRIM(INDEX(입력_구리근무자명단!$A$1:$GZ$303,$A94,$G$2+3)),".","-")),"⚠"&amp;INDEX(입력_구리근무자명단!$A$1:$GZ$303,$A94,$G$2+3))))))</f>
        <v/>
      </c>
      <c r="H94" s="26">
        <f>IF($D94="","",IF(OR(NOT(ISNUMBER($F94)),NOT(ISNUMBER($G94))),0,MAX(0,MIN($G94,EOMONTH(출력_요약!$B$3,0))-MAX($F94,출력_요약!$B$3)+1)))</f>
        <v/>
      </c>
      <c r="I94" s="26">
        <f>IF($D94="","",TRIM(INDEX(입력_구리근무자명단!$A$1:$GZ$303,$A94,$G$2+5)&amp;""))</f>
        <v/>
      </c>
      <c r="J94" s="26">
        <f>IF($D94="","",IF(ISNUMBER(SEARCH("구리독자",$I94)),"구리독자",""))</f>
        <v/>
      </c>
      <c r="K94" s="29">
        <f>IF($D94="","",IF(COUNTIFS(입력_전공의명단!$C$2:$C$401,$D94,입력_전공의명단!$F$2:$F$401,IF(OR($C94="인턴",ISNUMBER(SEARCH("수련교육부",$B94))),"인턴",$B94))=1,MATCH($D94&amp;"|"&amp;IF(OR($C94="인턴",ISNUMBER(SEARCH("수련교육부",$B94))),"인턴",$B94),입력_전공의명단!$AP$2:$AP$401,0),IF(AND(COUNTIFS(입력_전공의명단!$C$2:$C$401,$D94,입력_전공의명단!$F$2:$F$401,IF(OR($C94="인턴",ISNUMBER(SEARCH("수련교육부",$B94))),"인턴",$B94))=0,COUNTIF(입력_전공의명단!$C$2:$C$401,$D94)=1),MATCH($D94,입력_전공의명단!$C$2:$C$401,0),"")))</f>
        <v/>
      </c>
      <c r="L94" s="26">
        <f>IF($D94="","",IF($K94&lt;&gt;"",IF(COUNTIFS(입력_전공의명단!$C$2:$C$401,$D94,입력_전공의명단!$F$2:$F$401,IF(OR($C94="인턴",ISNUMBER(SEARCH("수련교육부",$B94))),"인턴",$B94))=1,"명단 일치","명단 일치(이름만, 과 다름)"),IF(COUNTIF(입력_전공의명단!$C$2:$C$401,$D94)=0,IF(COUNTIF(입력_기본자료!$C$2:$C$1001,$D94)&gt;0,"명단에 없음(기본자료에는 있음)","명단에 없음"),"동명이인 확인")))</f>
        <v/>
      </c>
      <c r="N94" s="8" t="n">
        <v>89</v>
      </c>
      <c r="O94" s="8">
        <f>IF(ISNUMBER(SEARCH("근무예정자",(INDEX(입력_구리근무자명단!$A$3:$GZ$3,1,89)&amp;""))),IFERROR(VALUE(LEFT((INDEX(입력_구리근무자명단!$A$3:$GZ$3,1,89)&amp;""),4))*100+VALUE(MID((INDEX(입력_구리근무자명단!$A$3:$GZ$3,1,89)&amp;""),6,MIN(FIND("월",(INDEX(입력_구리근무자명단!$A$3:$GZ$3,1,89)&amp;"")&amp;"월"),FIND(CHAR(10),(INDEX(입력_구리근무자명단!$A$3:$GZ$3,1,89)&amp;"")&amp;CHAR(10)),FIND(" ",(INDEX(입력_구리근무자명단!$A$3:$GZ$3,1,89)&amp;"")&amp;" "))-6)),""),"")</f>
        <v/>
      </c>
    </row>
    <row r="95">
      <c r="A95" s="29" t="n">
        <v>93</v>
      </c>
      <c r="B95" s="26">
        <f>IF(TRIM(INDEX(입력_구리근무자명단!$A$1:$GZ$303,$A95,1)&amp;"")&lt;&gt;"",TRIM(INDEX(입력_구리근무자명단!$A$1:$GZ$303,$A95,1)&amp;""),B94)</f>
        <v/>
      </c>
      <c r="C95" s="26">
        <f>IF(INDEX(입력_구리근무자명단!$A$1:$GZ$303,$A95,2)="","",INDEX(입력_구리근무자명단!$A$1:$GZ$303,$A95,2))</f>
        <v/>
      </c>
      <c r="D95" s="26">
        <f>IF($G$2="","",TRIM(IF($I$2="확정",INDEX(입력_구리근무자명단!$A$1:$GZ$303,$A95,$G$2+1)&amp;"",INDEX(입력_구리근무자명단!$A$1:$GZ$303,$A95,$G$2+0)&amp;"")))</f>
        <v/>
      </c>
      <c r="E95" s="26">
        <f>IF($D95="","",$I$2)</f>
        <v/>
      </c>
      <c r="F95" s="28">
        <f>IF($D95="","",IF(INDEX(입력_구리근무자명단!$A$1:$GZ$303,$A95,$G$2+2)="",출력_요약!$B$3,IF(ISNUMBER(INDEX(입력_구리근무자명단!$A$1:$GZ$303,$A95,$G$2+2)),INDEX(입력_구리근무자명단!$A$1:$GZ$303,$A95,$G$2+2),IFERROR(DATE(VALUE(LEFT(INDEX(입력_구리근무자명단!$A$1:$GZ$303,$A95,$G$2+2),4)),VALUE(MID(INDEX(입력_구리근무자명단!$A$1:$GZ$303,$A95,$G$2+2),6,2)),VALUE(MID(INDEX(입력_구리근무자명단!$A$1:$GZ$303,$A95,$G$2+2),9,2))),IFERROR(DATEVALUE(SUBSTITUTE(TRIM(INDEX(입력_구리근무자명단!$A$1:$GZ$303,$A95,$G$2+2)),".","-")),"⚠"&amp;INDEX(입력_구리근무자명단!$A$1:$GZ$303,$A95,$G$2+2))))))</f>
        <v/>
      </c>
      <c r="G95" s="28">
        <f>IF($D95="","",IF(INDEX(입력_구리근무자명단!$A$1:$GZ$303,$A95,$G$2+3)="",EOMONTH(출력_요약!$B$3,0),IF(ISNUMBER(INDEX(입력_구리근무자명단!$A$1:$GZ$303,$A95,$G$2+3)),INDEX(입력_구리근무자명단!$A$1:$GZ$303,$A95,$G$2+3),IFERROR(DATE(VALUE(LEFT(INDEX(입력_구리근무자명단!$A$1:$GZ$303,$A95,$G$2+3),4)),VALUE(MID(INDEX(입력_구리근무자명단!$A$1:$GZ$303,$A95,$G$2+3),6,2)),VALUE(MID(INDEX(입력_구리근무자명단!$A$1:$GZ$303,$A95,$G$2+3),9,2))),IFERROR(DATEVALUE(SUBSTITUTE(TRIM(INDEX(입력_구리근무자명단!$A$1:$GZ$303,$A95,$G$2+3)),".","-")),"⚠"&amp;INDEX(입력_구리근무자명단!$A$1:$GZ$303,$A95,$G$2+3))))))</f>
        <v/>
      </c>
      <c r="H95" s="26">
        <f>IF($D95="","",IF(OR(NOT(ISNUMBER($F95)),NOT(ISNUMBER($G95))),0,MAX(0,MIN($G95,EOMONTH(출력_요약!$B$3,0))-MAX($F95,출력_요약!$B$3)+1)))</f>
        <v/>
      </c>
      <c r="I95" s="26">
        <f>IF($D95="","",TRIM(INDEX(입력_구리근무자명단!$A$1:$GZ$303,$A95,$G$2+5)&amp;""))</f>
        <v/>
      </c>
      <c r="J95" s="26">
        <f>IF($D95="","",IF(ISNUMBER(SEARCH("구리독자",$I95)),"구리독자",""))</f>
        <v/>
      </c>
      <c r="K95" s="29">
        <f>IF($D95="","",IF(COUNTIFS(입력_전공의명단!$C$2:$C$401,$D95,입력_전공의명단!$F$2:$F$401,IF(OR($C95="인턴",ISNUMBER(SEARCH("수련교육부",$B95))),"인턴",$B95))=1,MATCH($D95&amp;"|"&amp;IF(OR($C95="인턴",ISNUMBER(SEARCH("수련교육부",$B95))),"인턴",$B95),입력_전공의명단!$AP$2:$AP$401,0),IF(AND(COUNTIFS(입력_전공의명단!$C$2:$C$401,$D95,입력_전공의명단!$F$2:$F$401,IF(OR($C95="인턴",ISNUMBER(SEARCH("수련교육부",$B95))),"인턴",$B95))=0,COUNTIF(입력_전공의명단!$C$2:$C$401,$D95)=1),MATCH($D95,입력_전공의명단!$C$2:$C$401,0),"")))</f>
        <v/>
      </c>
      <c r="L95" s="26">
        <f>IF($D95="","",IF($K95&lt;&gt;"",IF(COUNTIFS(입력_전공의명단!$C$2:$C$401,$D95,입력_전공의명단!$F$2:$F$401,IF(OR($C95="인턴",ISNUMBER(SEARCH("수련교육부",$B95))),"인턴",$B95))=1,"명단 일치","명단 일치(이름만, 과 다름)"),IF(COUNTIF(입력_전공의명단!$C$2:$C$401,$D95)=0,IF(COUNTIF(입력_기본자료!$C$2:$C$1001,$D95)&gt;0,"명단에 없음(기본자료에는 있음)","명단에 없음"),"동명이인 확인")))</f>
        <v/>
      </c>
      <c r="N95" s="8" t="n">
        <v>90</v>
      </c>
      <c r="O95" s="8">
        <f>IF(ISNUMBER(SEARCH("근무예정자",(INDEX(입력_구리근무자명단!$A$3:$GZ$3,1,90)&amp;""))),IFERROR(VALUE(LEFT((INDEX(입력_구리근무자명단!$A$3:$GZ$3,1,90)&amp;""),4))*100+VALUE(MID((INDEX(입력_구리근무자명단!$A$3:$GZ$3,1,90)&amp;""),6,MIN(FIND("월",(INDEX(입력_구리근무자명단!$A$3:$GZ$3,1,90)&amp;"")&amp;"월"),FIND(CHAR(10),(INDEX(입력_구리근무자명단!$A$3:$GZ$3,1,90)&amp;"")&amp;CHAR(10)),FIND(" ",(INDEX(입력_구리근무자명단!$A$3:$GZ$3,1,90)&amp;"")&amp;" "))-6)),""),"")</f>
        <v/>
      </c>
    </row>
    <row r="96">
      <c r="A96" s="29" t="n">
        <v>94</v>
      </c>
      <c r="B96" s="26">
        <f>IF(TRIM(INDEX(입력_구리근무자명단!$A$1:$GZ$303,$A96,1)&amp;"")&lt;&gt;"",TRIM(INDEX(입력_구리근무자명단!$A$1:$GZ$303,$A96,1)&amp;""),B95)</f>
        <v/>
      </c>
      <c r="C96" s="26">
        <f>IF(INDEX(입력_구리근무자명단!$A$1:$GZ$303,$A96,2)="","",INDEX(입력_구리근무자명단!$A$1:$GZ$303,$A96,2))</f>
        <v/>
      </c>
      <c r="D96" s="26">
        <f>IF($G$2="","",TRIM(IF($I$2="확정",INDEX(입력_구리근무자명단!$A$1:$GZ$303,$A96,$G$2+1)&amp;"",INDEX(입력_구리근무자명단!$A$1:$GZ$303,$A96,$G$2+0)&amp;"")))</f>
        <v/>
      </c>
      <c r="E96" s="26">
        <f>IF($D96="","",$I$2)</f>
        <v/>
      </c>
      <c r="F96" s="28">
        <f>IF($D96="","",IF(INDEX(입력_구리근무자명단!$A$1:$GZ$303,$A96,$G$2+2)="",출력_요약!$B$3,IF(ISNUMBER(INDEX(입력_구리근무자명단!$A$1:$GZ$303,$A96,$G$2+2)),INDEX(입력_구리근무자명단!$A$1:$GZ$303,$A96,$G$2+2),IFERROR(DATE(VALUE(LEFT(INDEX(입력_구리근무자명단!$A$1:$GZ$303,$A96,$G$2+2),4)),VALUE(MID(INDEX(입력_구리근무자명단!$A$1:$GZ$303,$A96,$G$2+2),6,2)),VALUE(MID(INDEX(입력_구리근무자명단!$A$1:$GZ$303,$A96,$G$2+2),9,2))),IFERROR(DATEVALUE(SUBSTITUTE(TRIM(INDEX(입력_구리근무자명단!$A$1:$GZ$303,$A96,$G$2+2)),".","-")),"⚠"&amp;INDEX(입력_구리근무자명단!$A$1:$GZ$303,$A96,$G$2+2))))))</f>
        <v/>
      </c>
      <c r="G96" s="28">
        <f>IF($D96="","",IF(INDEX(입력_구리근무자명단!$A$1:$GZ$303,$A96,$G$2+3)="",EOMONTH(출력_요약!$B$3,0),IF(ISNUMBER(INDEX(입력_구리근무자명단!$A$1:$GZ$303,$A96,$G$2+3)),INDEX(입력_구리근무자명단!$A$1:$GZ$303,$A96,$G$2+3),IFERROR(DATE(VALUE(LEFT(INDEX(입력_구리근무자명단!$A$1:$GZ$303,$A96,$G$2+3),4)),VALUE(MID(INDEX(입력_구리근무자명단!$A$1:$GZ$303,$A96,$G$2+3),6,2)),VALUE(MID(INDEX(입력_구리근무자명단!$A$1:$GZ$303,$A96,$G$2+3),9,2))),IFERROR(DATEVALUE(SUBSTITUTE(TRIM(INDEX(입력_구리근무자명단!$A$1:$GZ$303,$A96,$G$2+3)),".","-")),"⚠"&amp;INDEX(입력_구리근무자명단!$A$1:$GZ$303,$A96,$G$2+3))))))</f>
        <v/>
      </c>
      <c r="H96" s="26">
        <f>IF($D96="","",IF(OR(NOT(ISNUMBER($F96)),NOT(ISNUMBER($G96))),0,MAX(0,MIN($G96,EOMONTH(출력_요약!$B$3,0))-MAX($F96,출력_요약!$B$3)+1)))</f>
        <v/>
      </c>
      <c r="I96" s="26">
        <f>IF($D96="","",TRIM(INDEX(입력_구리근무자명단!$A$1:$GZ$303,$A96,$G$2+5)&amp;""))</f>
        <v/>
      </c>
      <c r="J96" s="26">
        <f>IF($D96="","",IF(ISNUMBER(SEARCH("구리독자",$I96)),"구리독자",""))</f>
        <v/>
      </c>
      <c r="K96" s="29">
        <f>IF($D96="","",IF(COUNTIFS(입력_전공의명단!$C$2:$C$401,$D96,입력_전공의명단!$F$2:$F$401,IF(OR($C96="인턴",ISNUMBER(SEARCH("수련교육부",$B96))),"인턴",$B96))=1,MATCH($D96&amp;"|"&amp;IF(OR($C96="인턴",ISNUMBER(SEARCH("수련교육부",$B96))),"인턴",$B96),입력_전공의명단!$AP$2:$AP$401,0),IF(AND(COUNTIFS(입력_전공의명단!$C$2:$C$401,$D96,입력_전공의명단!$F$2:$F$401,IF(OR($C96="인턴",ISNUMBER(SEARCH("수련교육부",$B96))),"인턴",$B96))=0,COUNTIF(입력_전공의명단!$C$2:$C$401,$D96)=1),MATCH($D96,입력_전공의명단!$C$2:$C$401,0),"")))</f>
        <v/>
      </c>
      <c r="L96" s="26">
        <f>IF($D96="","",IF($K96&lt;&gt;"",IF(COUNTIFS(입력_전공의명단!$C$2:$C$401,$D96,입력_전공의명단!$F$2:$F$401,IF(OR($C96="인턴",ISNUMBER(SEARCH("수련교육부",$B96))),"인턴",$B96))=1,"명단 일치","명단 일치(이름만, 과 다름)"),IF(COUNTIF(입력_전공의명단!$C$2:$C$401,$D96)=0,IF(COUNTIF(입력_기본자료!$C$2:$C$1001,$D96)&gt;0,"명단에 없음(기본자료에는 있음)","명단에 없음"),"동명이인 확인")))</f>
        <v/>
      </c>
      <c r="N96" s="8" t="n">
        <v>91</v>
      </c>
      <c r="O96" s="8">
        <f>IF(ISNUMBER(SEARCH("근무예정자",(INDEX(입력_구리근무자명단!$A$3:$GZ$3,1,91)&amp;""))),IFERROR(VALUE(LEFT((INDEX(입력_구리근무자명단!$A$3:$GZ$3,1,91)&amp;""),4))*100+VALUE(MID((INDEX(입력_구리근무자명단!$A$3:$GZ$3,1,91)&amp;""),6,MIN(FIND("월",(INDEX(입력_구리근무자명단!$A$3:$GZ$3,1,91)&amp;"")&amp;"월"),FIND(CHAR(10),(INDEX(입력_구리근무자명단!$A$3:$GZ$3,1,91)&amp;"")&amp;CHAR(10)),FIND(" ",(INDEX(입력_구리근무자명단!$A$3:$GZ$3,1,91)&amp;"")&amp;" "))-6)),""),"")</f>
        <v/>
      </c>
    </row>
    <row r="97">
      <c r="A97" s="29" t="n">
        <v>95</v>
      </c>
      <c r="B97" s="26">
        <f>IF(TRIM(INDEX(입력_구리근무자명단!$A$1:$GZ$303,$A97,1)&amp;"")&lt;&gt;"",TRIM(INDEX(입력_구리근무자명단!$A$1:$GZ$303,$A97,1)&amp;""),B96)</f>
        <v/>
      </c>
      <c r="C97" s="26">
        <f>IF(INDEX(입력_구리근무자명단!$A$1:$GZ$303,$A97,2)="","",INDEX(입력_구리근무자명단!$A$1:$GZ$303,$A97,2))</f>
        <v/>
      </c>
      <c r="D97" s="26">
        <f>IF($G$2="","",TRIM(IF($I$2="확정",INDEX(입력_구리근무자명단!$A$1:$GZ$303,$A97,$G$2+1)&amp;"",INDEX(입력_구리근무자명단!$A$1:$GZ$303,$A97,$G$2+0)&amp;"")))</f>
        <v/>
      </c>
      <c r="E97" s="26">
        <f>IF($D97="","",$I$2)</f>
        <v/>
      </c>
      <c r="F97" s="28">
        <f>IF($D97="","",IF(INDEX(입력_구리근무자명단!$A$1:$GZ$303,$A97,$G$2+2)="",출력_요약!$B$3,IF(ISNUMBER(INDEX(입력_구리근무자명단!$A$1:$GZ$303,$A97,$G$2+2)),INDEX(입력_구리근무자명단!$A$1:$GZ$303,$A97,$G$2+2),IFERROR(DATE(VALUE(LEFT(INDEX(입력_구리근무자명단!$A$1:$GZ$303,$A97,$G$2+2),4)),VALUE(MID(INDEX(입력_구리근무자명단!$A$1:$GZ$303,$A97,$G$2+2),6,2)),VALUE(MID(INDEX(입력_구리근무자명단!$A$1:$GZ$303,$A97,$G$2+2),9,2))),IFERROR(DATEVALUE(SUBSTITUTE(TRIM(INDEX(입력_구리근무자명단!$A$1:$GZ$303,$A97,$G$2+2)),".","-")),"⚠"&amp;INDEX(입력_구리근무자명단!$A$1:$GZ$303,$A97,$G$2+2))))))</f>
        <v/>
      </c>
      <c r="G97" s="28">
        <f>IF($D97="","",IF(INDEX(입력_구리근무자명단!$A$1:$GZ$303,$A97,$G$2+3)="",EOMONTH(출력_요약!$B$3,0),IF(ISNUMBER(INDEX(입력_구리근무자명단!$A$1:$GZ$303,$A97,$G$2+3)),INDEX(입력_구리근무자명단!$A$1:$GZ$303,$A97,$G$2+3),IFERROR(DATE(VALUE(LEFT(INDEX(입력_구리근무자명단!$A$1:$GZ$303,$A97,$G$2+3),4)),VALUE(MID(INDEX(입력_구리근무자명단!$A$1:$GZ$303,$A97,$G$2+3),6,2)),VALUE(MID(INDEX(입력_구리근무자명단!$A$1:$GZ$303,$A97,$G$2+3),9,2))),IFERROR(DATEVALUE(SUBSTITUTE(TRIM(INDEX(입력_구리근무자명단!$A$1:$GZ$303,$A97,$G$2+3)),".","-")),"⚠"&amp;INDEX(입력_구리근무자명단!$A$1:$GZ$303,$A97,$G$2+3))))))</f>
        <v/>
      </c>
      <c r="H97" s="26">
        <f>IF($D97="","",IF(OR(NOT(ISNUMBER($F97)),NOT(ISNUMBER($G97))),0,MAX(0,MIN($G97,EOMONTH(출력_요약!$B$3,0))-MAX($F97,출력_요약!$B$3)+1)))</f>
        <v/>
      </c>
      <c r="I97" s="26">
        <f>IF($D97="","",TRIM(INDEX(입력_구리근무자명단!$A$1:$GZ$303,$A97,$G$2+5)&amp;""))</f>
        <v/>
      </c>
      <c r="J97" s="26">
        <f>IF($D97="","",IF(ISNUMBER(SEARCH("구리독자",$I97)),"구리독자",""))</f>
        <v/>
      </c>
      <c r="K97" s="29">
        <f>IF($D97="","",IF(COUNTIFS(입력_전공의명단!$C$2:$C$401,$D97,입력_전공의명단!$F$2:$F$401,IF(OR($C97="인턴",ISNUMBER(SEARCH("수련교육부",$B97))),"인턴",$B97))=1,MATCH($D97&amp;"|"&amp;IF(OR($C97="인턴",ISNUMBER(SEARCH("수련교육부",$B97))),"인턴",$B97),입력_전공의명단!$AP$2:$AP$401,0),IF(AND(COUNTIFS(입력_전공의명단!$C$2:$C$401,$D97,입력_전공의명단!$F$2:$F$401,IF(OR($C97="인턴",ISNUMBER(SEARCH("수련교육부",$B97))),"인턴",$B97))=0,COUNTIF(입력_전공의명단!$C$2:$C$401,$D97)=1),MATCH($D97,입력_전공의명단!$C$2:$C$401,0),"")))</f>
        <v/>
      </c>
      <c r="L97" s="26">
        <f>IF($D97="","",IF($K97&lt;&gt;"",IF(COUNTIFS(입력_전공의명단!$C$2:$C$401,$D97,입력_전공의명단!$F$2:$F$401,IF(OR($C97="인턴",ISNUMBER(SEARCH("수련교육부",$B97))),"인턴",$B97))=1,"명단 일치","명단 일치(이름만, 과 다름)"),IF(COUNTIF(입력_전공의명단!$C$2:$C$401,$D97)=0,IF(COUNTIF(입력_기본자료!$C$2:$C$1001,$D97)&gt;0,"명단에 없음(기본자료에는 있음)","명단에 없음"),"동명이인 확인")))</f>
        <v/>
      </c>
      <c r="N97" s="8" t="n">
        <v>92</v>
      </c>
      <c r="O97" s="8">
        <f>IF(ISNUMBER(SEARCH("근무예정자",(INDEX(입력_구리근무자명단!$A$3:$GZ$3,1,92)&amp;""))),IFERROR(VALUE(LEFT((INDEX(입력_구리근무자명단!$A$3:$GZ$3,1,92)&amp;""),4))*100+VALUE(MID((INDEX(입력_구리근무자명단!$A$3:$GZ$3,1,92)&amp;""),6,MIN(FIND("월",(INDEX(입력_구리근무자명단!$A$3:$GZ$3,1,92)&amp;"")&amp;"월"),FIND(CHAR(10),(INDEX(입력_구리근무자명단!$A$3:$GZ$3,1,92)&amp;"")&amp;CHAR(10)),FIND(" ",(INDEX(입력_구리근무자명단!$A$3:$GZ$3,1,92)&amp;"")&amp;" "))-6)),""),"")</f>
        <v/>
      </c>
    </row>
    <row r="98">
      <c r="A98" s="29" t="n">
        <v>96</v>
      </c>
      <c r="B98" s="26">
        <f>IF(TRIM(INDEX(입력_구리근무자명단!$A$1:$GZ$303,$A98,1)&amp;"")&lt;&gt;"",TRIM(INDEX(입력_구리근무자명단!$A$1:$GZ$303,$A98,1)&amp;""),B97)</f>
        <v/>
      </c>
      <c r="C98" s="26">
        <f>IF(INDEX(입력_구리근무자명단!$A$1:$GZ$303,$A98,2)="","",INDEX(입력_구리근무자명단!$A$1:$GZ$303,$A98,2))</f>
        <v/>
      </c>
      <c r="D98" s="26">
        <f>IF($G$2="","",TRIM(IF($I$2="확정",INDEX(입력_구리근무자명단!$A$1:$GZ$303,$A98,$G$2+1)&amp;"",INDEX(입력_구리근무자명단!$A$1:$GZ$303,$A98,$G$2+0)&amp;"")))</f>
        <v/>
      </c>
      <c r="E98" s="26">
        <f>IF($D98="","",$I$2)</f>
        <v/>
      </c>
      <c r="F98" s="28">
        <f>IF($D98="","",IF(INDEX(입력_구리근무자명단!$A$1:$GZ$303,$A98,$G$2+2)="",출력_요약!$B$3,IF(ISNUMBER(INDEX(입력_구리근무자명단!$A$1:$GZ$303,$A98,$G$2+2)),INDEX(입력_구리근무자명단!$A$1:$GZ$303,$A98,$G$2+2),IFERROR(DATE(VALUE(LEFT(INDEX(입력_구리근무자명단!$A$1:$GZ$303,$A98,$G$2+2),4)),VALUE(MID(INDEX(입력_구리근무자명단!$A$1:$GZ$303,$A98,$G$2+2),6,2)),VALUE(MID(INDEX(입력_구리근무자명단!$A$1:$GZ$303,$A98,$G$2+2),9,2))),IFERROR(DATEVALUE(SUBSTITUTE(TRIM(INDEX(입력_구리근무자명단!$A$1:$GZ$303,$A98,$G$2+2)),".","-")),"⚠"&amp;INDEX(입력_구리근무자명단!$A$1:$GZ$303,$A98,$G$2+2))))))</f>
        <v/>
      </c>
      <c r="G98" s="28">
        <f>IF($D98="","",IF(INDEX(입력_구리근무자명단!$A$1:$GZ$303,$A98,$G$2+3)="",EOMONTH(출력_요약!$B$3,0),IF(ISNUMBER(INDEX(입력_구리근무자명단!$A$1:$GZ$303,$A98,$G$2+3)),INDEX(입력_구리근무자명단!$A$1:$GZ$303,$A98,$G$2+3),IFERROR(DATE(VALUE(LEFT(INDEX(입력_구리근무자명단!$A$1:$GZ$303,$A98,$G$2+3),4)),VALUE(MID(INDEX(입력_구리근무자명단!$A$1:$GZ$303,$A98,$G$2+3),6,2)),VALUE(MID(INDEX(입력_구리근무자명단!$A$1:$GZ$303,$A98,$G$2+3),9,2))),IFERROR(DATEVALUE(SUBSTITUTE(TRIM(INDEX(입력_구리근무자명단!$A$1:$GZ$303,$A98,$G$2+3)),".","-")),"⚠"&amp;INDEX(입력_구리근무자명단!$A$1:$GZ$303,$A98,$G$2+3))))))</f>
        <v/>
      </c>
      <c r="H98" s="26">
        <f>IF($D98="","",IF(OR(NOT(ISNUMBER($F98)),NOT(ISNUMBER($G98))),0,MAX(0,MIN($G98,EOMONTH(출력_요약!$B$3,0))-MAX($F98,출력_요약!$B$3)+1)))</f>
        <v/>
      </c>
      <c r="I98" s="26">
        <f>IF($D98="","",TRIM(INDEX(입력_구리근무자명단!$A$1:$GZ$303,$A98,$G$2+5)&amp;""))</f>
        <v/>
      </c>
      <c r="J98" s="26">
        <f>IF($D98="","",IF(ISNUMBER(SEARCH("구리독자",$I98)),"구리독자",""))</f>
        <v/>
      </c>
      <c r="K98" s="29">
        <f>IF($D98="","",IF(COUNTIFS(입력_전공의명단!$C$2:$C$401,$D98,입력_전공의명단!$F$2:$F$401,IF(OR($C98="인턴",ISNUMBER(SEARCH("수련교육부",$B98))),"인턴",$B98))=1,MATCH($D98&amp;"|"&amp;IF(OR($C98="인턴",ISNUMBER(SEARCH("수련교육부",$B98))),"인턴",$B98),입력_전공의명단!$AP$2:$AP$401,0),IF(AND(COUNTIFS(입력_전공의명단!$C$2:$C$401,$D98,입력_전공의명단!$F$2:$F$401,IF(OR($C98="인턴",ISNUMBER(SEARCH("수련교육부",$B98))),"인턴",$B98))=0,COUNTIF(입력_전공의명단!$C$2:$C$401,$D98)=1),MATCH($D98,입력_전공의명단!$C$2:$C$401,0),"")))</f>
        <v/>
      </c>
      <c r="L98" s="26">
        <f>IF($D98="","",IF($K98&lt;&gt;"",IF(COUNTIFS(입력_전공의명단!$C$2:$C$401,$D98,입력_전공의명단!$F$2:$F$401,IF(OR($C98="인턴",ISNUMBER(SEARCH("수련교육부",$B98))),"인턴",$B98))=1,"명단 일치","명단 일치(이름만, 과 다름)"),IF(COUNTIF(입력_전공의명단!$C$2:$C$401,$D98)=0,IF(COUNTIF(입력_기본자료!$C$2:$C$1001,$D98)&gt;0,"명단에 없음(기본자료에는 있음)","명단에 없음"),"동명이인 확인")))</f>
        <v/>
      </c>
      <c r="N98" s="8" t="n">
        <v>93</v>
      </c>
      <c r="O98" s="8">
        <f>IF(ISNUMBER(SEARCH("근무예정자",(INDEX(입력_구리근무자명단!$A$3:$GZ$3,1,93)&amp;""))),IFERROR(VALUE(LEFT((INDEX(입력_구리근무자명단!$A$3:$GZ$3,1,93)&amp;""),4))*100+VALUE(MID((INDEX(입력_구리근무자명단!$A$3:$GZ$3,1,93)&amp;""),6,MIN(FIND("월",(INDEX(입력_구리근무자명단!$A$3:$GZ$3,1,93)&amp;"")&amp;"월"),FIND(CHAR(10),(INDEX(입력_구리근무자명단!$A$3:$GZ$3,1,93)&amp;"")&amp;CHAR(10)),FIND(" ",(INDEX(입력_구리근무자명단!$A$3:$GZ$3,1,93)&amp;"")&amp;" "))-6)),""),"")</f>
        <v/>
      </c>
    </row>
    <row r="99">
      <c r="A99" s="29" t="n">
        <v>97</v>
      </c>
      <c r="B99" s="26">
        <f>IF(TRIM(INDEX(입력_구리근무자명단!$A$1:$GZ$303,$A99,1)&amp;"")&lt;&gt;"",TRIM(INDEX(입력_구리근무자명단!$A$1:$GZ$303,$A99,1)&amp;""),B98)</f>
        <v/>
      </c>
      <c r="C99" s="26">
        <f>IF(INDEX(입력_구리근무자명단!$A$1:$GZ$303,$A99,2)="","",INDEX(입력_구리근무자명단!$A$1:$GZ$303,$A99,2))</f>
        <v/>
      </c>
      <c r="D99" s="26">
        <f>IF($G$2="","",TRIM(IF($I$2="확정",INDEX(입력_구리근무자명단!$A$1:$GZ$303,$A99,$G$2+1)&amp;"",INDEX(입력_구리근무자명단!$A$1:$GZ$303,$A99,$G$2+0)&amp;"")))</f>
        <v/>
      </c>
      <c r="E99" s="26">
        <f>IF($D99="","",$I$2)</f>
        <v/>
      </c>
      <c r="F99" s="28">
        <f>IF($D99="","",IF(INDEX(입력_구리근무자명단!$A$1:$GZ$303,$A99,$G$2+2)="",출력_요약!$B$3,IF(ISNUMBER(INDEX(입력_구리근무자명단!$A$1:$GZ$303,$A99,$G$2+2)),INDEX(입력_구리근무자명단!$A$1:$GZ$303,$A99,$G$2+2),IFERROR(DATE(VALUE(LEFT(INDEX(입력_구리근무자명단!$A$1:$GZ$303,$A99,$G$2+2),4)),VALUE(MID(INDEX(입력_구리근무자명단!$A$1:$GZ$303,$A99,$G$2+2),6,2)),VALUE(MID(INDEX(입력_구리근무자명단!$A$1:$GZ$303,$A99,$G$2+2),9,2))),IFERROR(DATEVALUE(SUBSTITUTE(TRIM(INDEX(입력_구리근무자명단!$A$1:$GZ$303,$A99,$G$2+2)),".","-")),"⚠"&amp;INDEX(입력_구리근무자명단!$A$1:$GZ$303,$A99,$G$2+2))))))</f>
        <v/>
      </c>
      <c r="G99" s="28">
        <f>IF($D99="","",IF(INDEX(입력_구리근무자명단!$A$1:$GZ$303,$A99,$G$2+3)="",EOMONTH(출력_요약!$B$3,0),IF(ISNUMBER(INDEX(입력_구리근무자명단!$A$1:$GZ$303,$A99,$G$2+3)),INDEX(입력_구리근무자명단!$A$1:$GZ$303,$A99,$G$2+3),IFERROR(DATE(VALUE(LEFT(INDEX(입력_구리근무자명단!$A$1:$GZ$303,$A99,$G$2+3),4)),VALUE(MID(INDEX(입력_구리근무자명단!$A$1:$GZ$303,$A99,$G$2+3),6,2)),VALUE(MID(INDEX(입력_구리근무자명단!$A$1:$GZ$303,$A99,$G$2+3),9,2))),IFERROR(DATEVALUE(SUBSTITUTE(TRIM(INDEX(입력_구리근무자명단!$A$1:$GZ$303,$A99,$G$2+3)),".","-")),"⚠"&amp;INDEX(입력_구리근무자명단!$A$1:$GZ$303,$A99,$G$2+3))))))</f>
        <v/>
      </c>
      <c r="H99" s="26">
        <f>IF($D99="","",IF(OR(NOT(ISNUMBER($F99)),NOT(ISNUMBER($G99))),0,MAX(0,MIN($G99,EOMONTH(출력_요약!$B$3,0))-MAX($F99,출력_요약!$B$3)+1)))</f>
        <v/>
      </c>
      <c r="I99" s="26">
        <f>IF($D99="","",TRIM(INDEX(입력_구리근무자명단!$A$1:$GZ$303,$A99,$G$2+5)&amp;""))</f>
        <v/>
      </c>
      <c r="J99" s="26">
        <f>IF($D99="","",IF(ISNUMBER(SEARCH("구리독자",$I99)),"구리독자",""))</f>
        <v/>
      </c>
      <c r="K99" s="29">
        <f>IF($D99="","",IF(COUNTIFS(입력_전공의명단!$C$2:$C$401,$D99,입력_전공의명단!$F$2:$F$401,IF(OR($C99="인턴",ISNUMBER(SEARCH("수련교육부",$B99))),"인턴",$B99))=1,MATCH($D99&amp;"|"&amp;IF(OR($C99="인턴",ISNUMBER(SEARCH("수련교육부",$B99))),"인턴",$B99),입력_전공의명단!$AP$2:$AP$401,0),IF(AND(COUNTIFS(입력_전공의명단!$C$2:$C$401,$D99,입력_전공의명단!$F$2:$F$401,IF(OR($C99="인턴",ISNUMBER(SEARCH("수련교육부",$B99))),"인턴",$B99))=0,COUNTIF(입력_전공의명단!$C$2:$C$401,$D99)=1),MATCH($D99,입력_전공의명단!$C$2:$C$401,0),"")))</f>
        <v/>
      </c>
      <c r="L99" s="26">
        <f>IF($D99="","",IF($K99&lt;&gt;"",IF(COUNTIFS(입력_전공의명단!$C$2:$C$401,$D99,입력_전공의명단!$F$2:$F$401,IF(OR($C99="인턴",ISNUMBER(SEARCH("수련교육부",$B99))),"인턴",$B99))=1,"명단 일치","명단 일치(이름만, 과 다름)"),IF(COUNTIF(입력_전공의명단!$C$2:$C$401,$D99)=0,IF(COUNTIF(입력_기본자료!$C$2:$C$1001,$D99)&gt;0,"명단에 없음(기본자료에는 있음)","명단에 없음"),"동명이인 확인")))</f>
        <v/>
      </c>
      <c r="N99" s="8" t="n">
        <v>94</v>
      </c>
      <c r="O99" s="8">
        <f>IF(ISNUMBER(SEARCH("근무예정자",(INDEX(입력_구리근무자명단!$A$3:$GZ$3,1,94)&amp;""))),IFERROR(VALUE(LEFT((INDEX(입력_구리근무자명단!$A$3:$GZ$3,1,94)&amp;""),4))*100+VALUE(MID((INDEX(입력_구리근무자명단!$A$3:$GZ$3,1,94)&amp;""),6,MIN(FIND("월",(INDEX(입력_구리근무자명단!$A$3:$GZ$3,1,94)&amp;"")&amp;"월"),FIND(CHAR(10),(INDEX(입력_구리근무자명단!$A$3:$GZ$3,1,94)&amp;"")&amp;CHAR(10)),FIND(" ",(INDEX(입력_구리근무자명단!$A$3:$GZ$3,1,94)&amp;"")&amp;" "))-6)),""),"")</f>
        <v/>
      </c>
    </row>
    <row r="100">
      <c r="A100" s="29" t="n">
        <v>98</v>
      </c>
      <c r="B100" s="26">
        <f>IF(TRIM(INDEX(입력_구리근무자명단!$A$1:$GZ$303,$A100,1)&amp;"")&lt;&gt;"",TRIM(INDEX(입력_구리근무자명단!$A$1:$GZ$303,$A100,1)&amp;""),B99)</f>
        <v/>
      </c>
      <c r="C100" s="26">
        <f>IF(INDEX(입력_구리근무자명단!$A$1:$GZ$303,$A100,2)="","",INDEX(입력_구리근무자명단!$A$1:$GZ$303,$A100,2))</f>
        <v/>
      </c>
      <c r="D100" s="26">
        <f>IF($G$2="","",TRIM(IF($I$2="확정",INDEX(입력_구리근무자명단!$A$1:$GZ$303,$A100,$G$2+1)&amp;"",INDEX(입력_구리근무자명단!$A$1:$GZ$303,$A100,$G$2+0)&amp;"")))</f>
        <v/>
      </c>
      <c r="E100" s="26">
        <f>IF($D100="","",$I$2)</f>
        <v/>
      </c>
      <c r="F100" s="28">
        <f>IF($D100="","",IF(INDEX(입력_구리근무자명단!$A$1:$GZ$303,$A100,$G$2+2)="",출력_요약!$B$3,IF(ISNUMBER(INDEX(입력_구리근무자명단!$A$1:$GZ$303,$A100,$G$2+2)),INDEX(입력_구리근무자명단!$A$1:$GZ$303,$A100,$G$2+2),IFERROR(DATE(VALUE(LEFT(INDEX(입력_구리근무자명단!$A$1:$GZ$303,$A100,$G$2+2),4)),VALUE(MID(INDEX(입력_구리근무자명단!$A$1:$GZ$303,$A100,$G$2+2),6,2)),VALUE(MID(INDEX(입력_구리근무자명단!$A$1:$GZ$303,$A100,$G$2+2),9,2))),IFERROR(DATEVALUE(SUBSTITUTE(TRIM(INDEX(입력_구리근무자명단!$A$1:$GZ$303,$A100,$G$2+2)),".","-")),"⚠"&amp;INDEX(입력_구리근무자명단!$A$1:$GZ$303,$A100,$G$2+2))))))</f>
        <v/>
      </c>
      <c r="G100" s="28">
        <f>IF($D100="","",IF(INDEX(입력_구리근무자명단!$A$1:$GZ$303,$A100,$G$2+3)="",EOMONTH(출력_요약!$B$3,0),IF(ISNUMBER(INDEX(입력_구리근무자명단!$A$1:$GZ$303,$A100,$G$2+3)),INDEX(입력_구리근무자명단!$A$1:$GZ$303,$A100,$G$2+3),IFERROR(DATE(VALUE(LEFT(INDEX(입력_구리근무자명단!$A$1:$GZ$303,$A100,$G$2+3),4)),VALUE(MID(INDEX(입력_구리근무자명단!$A$1:$GZ$303,$A100,$G$2+3),6,2)),VALUE(MID(INDEX(입력_구리근무자명단!$A$1:$GZ$303,$A100,$G$2+3),9,2))),IFERROR(DATEVALUE(SUBSTITUTE(TRIM(INDEX(입력_구리근무자명단!$A$1:$GZ$303,$A100,$G$2+3)),".","-")),"⚠"&amp;INDEX(입력_구리근무자명단!$A$1:$GZ$303,$A100,$G$2+3))))))</f>
        <v/>
      </c>
      <c r="H100" s="26">
        <f>IF($D100="","",IF(OR(NOT(ISNUMBER($F100)),NOT(ISNUMBER($G100))),0,MAX(0,MIN($G100,EOMONTH(출력_요약!$B$3,0))-MAX($F100,출력_요약!$B$3)+1)))</f>
        <v/>
      </c>
      <c r="I100" s="26">
        <f>IF($D100="","",TRIM(INDEX(입력_구리근무자명단!$A$1:$GZ$303,$A100,$G$2+5)&amp;""))</f>
        <v/>
      </c>
      <c r="J100" s="26">
        <f>IF($D100="","",IF(ISNUMBER(SEARCH("구리독자",$I100)),"구리독자",""))</f>
        <v/>
      </c>
      <c r="K100" s="29">
        <f>IF($D100="","",IF(COUNTIFS(입력_전공의명단!$C$2:$C$401,$D100,입력_전공의명단!$F$2:$F$401,IF(OR($C100="인턴",ISNUMBER(SEARCH("수련교육부",$B100))),"인턴",$B100))=1,MATCH($D100&amp;"|"&amp;IF(OR($C100="인턴",ISNUMBER(SEARCH("수련교육부",$B100))),"인턴",$B100),입력_전공의명단!$AP$2:$AP$401,0),IF(AND(COUNTIFS(입력_전공의명단!$C$2:$C$401,$D100,입력_전공의명단!$F$2:$F$401,IF(OR($C100="인턴",ISNUMBER(SEARCH("수련교육부",$B100))),"인턴",$B100))=0,COUNTIF(입력_전공의명단!$C$2:$C$401,$D100)=1),MATCH($D100,입력_전공의명단!$C$2:$C$401,0),"")))</f>
        <v/>
      </c>
      <c r="L100" s="26">
        <f>IF($D100="","",IF($K100&lt;&gt;"",IF(COUNTIFS(입력_전공의명단!$C$2:$C$401,$D100,입력_전공의명단!$F$2:$F$401,IF(OR($C100="인턴",ISNUMBER(SEARCH("수련교육부",$B100))),"인턴",$B100))=1,"명단 일치","명단 일치(이름만, 과 다름)"),IF(COUNTIF(입력_전공의명단!$C$2:$C$401,$D100)=0,IF(COUNTIF(입력_기본자료!$C$2:$C$1001,$D100)&gt;0,"명단에 없음(기본자료에는 있음)","명단에 없음"),"동명이인 확인")))</f>
        <v/>
      </c>
      <c r="N100" s="8" t="n">
        <v>95</v>
      </c>
      <c r="O100" s="8">
        <f>IF(ISNUMBER(SEARCH("근무예정자",(INDEX(입력_구리근무자명단!$A$3:$GZ$3,1,95)&amp;""))),IFERROR(VALUE(LEFT((INDEX(입력_구리근무자명단!$A$3:$GZ$3,1,95)&amp;""),4))*100+VALUE(MID((INDEX(입력_구리근무자명단!$A$3:$GZ$3,1,95)&amp;""),6,MIN(FIND("월",(INDEX(입력_구리근무자명단!$A$3:$GZ$3,1,95)&amp;"")&amp;"월"),FIND(CHAR(10),(INDEX(입력_구리근무자명단!$A$3:$GZ$3,1,95)&amp;"")&amp;CHAR(10)),FIND(" ",(INDEX(입력_구리근무자명단!$A$3:$GZ$3,1,95)&amp;"")&amp;" "))-6)),""),"")</f>
        <v/>
      </c>
    </row>
    <row r="101">
      <c r="A101" s="29" t="n">
        <v>99</v>
      </c>
      <c r="B101" s="26">
        <f>IF(TRIM(INDEX(입력_구리근무자명단!$A$1:$GZ$303,$A101,1)&amp;"")&lt;&gt;"",TRIM(INDEX(입력_구리근무자명단!$A$1:$GZ$303,$A101,1)&amp;""),B100)</f>
        <v/>
      </c>
      <c r="C101" s="26">
        <f>IF(INDEX(입력_구리근무자명단!$A$1:$GZ$303,$A101,2)="","",INDEX(입력_구리근무자명단!$A$1:$GZ$303,$A101,2))</f>
        <v/>
      </c>
      <c r="D101" s="26">
        <f>IF($G$2="","",TRIM(IF($I$2="확정",INDEX(입력_구리근무자명단!$A$1:$GZ$303,$A101,$G$2+1)&amp;"",INDEX(입력_구리근무자명단!$A$1:$GZ$303,$A101,$G$2+0)&amp;"")))</f>
        <v/>
      </c>
      <c r="E101" s="26">
        <f>IF($D101="","",$I$2)</f>
        <v/>
      </c>
      <c r="F101" s="28">
        <f>IF($D101="","",IF(INDEX(입력_구리근무자명단!$A$1:$GZ$303,$A101,$G$2+2)="",출력_요약!$B$3,IF(ISNUMBER(INDEX(입력_구리근무자명단!$A$1:$GZ$303,$A101,$G$2+2)),INDEX(입력_구리근무자명단!$A$1:$GZ$303,$A101,$G$2+2),IFERROR(DATE(VALUE(LEFT(INDEX(입력_구리근무자명단!$A$1:$GZ$303,$A101,$G$2+2),4)),VALUE(MID(INDEX(입력_구리근무자명단!$A$1:$GZ$303,$A101,$G$2+2),6,2)),VALUE(MID(INDEX(입력_구리근무자명단!$A$1:$GZ$303,$A101,$G$2+2),9,2))),IFERROR(DATEVALUE(SUBSTITUTE(TRIM(INDEX(입력_구리근무자명단!$A$1:$GZ$303,$A101,$G$2+2)),".","-")),"⚠"&amp;INDEX(입력_구리근무자명단!$A$1:$GZ$303,$A101,$G$2+2))))))</f>
        <v/>
      </c>
      <c r="G101" s="28">
        <f>IF($D101="","",IF(INDEX(입력_구리근무자명단!$A$1:$GZ$303,$A101,$G$2+3)="",EOMONTH(출력_요약!$B$3,0),IF(ISNUMBER(INDEX(입력_구리근무자명단!$A$1:$GZ$303,$A101,$G$2+3)),INDEX(입력_구리근무자명단!$A$1:$GZ$303,$A101,$G$2+3),IFERROR(DATE(VALUE(LEFT(INDEX(입력_구리근무자명단!$A$1:$GZ$303,$A101,$G$2+3),4)),VALUE(MID(INDEX(입력_구리근무자명단!$A$1:$GZ$303,$A101,$G$2+3),6,2)),VALUE(MID(INDEX(입력_구리근무자명단!$A$1:$GZ$303,$A101,$G$2+3),9,2))),IFERROR(DATEVALUE(SUBSTITUTE(TRIM(INDEX(입력_구리근무자명단!$A$1:$GZ$303,$A101,$G$2+3)),".","-")),"⚠"&amp;INDEX(입력_구리근무자명단!$A$1:$GZ$303,$A101,$G$2+3))))))</f>
        <v/>
      </c>
      <c r="H101" s="26">
        <f>IF($D101="","",IF(OR(NOT(ISNUMBER($F101)),NOT(ISNUMBER($G101))),0,MAX(0,MIN($G101,EOMONTH(출력_요약!$B$3,0))-MAX($F101,출력_요약!$B$3)+1)))</f>
        <v/>
      </c>
      <c r="I101" s="26">
        <f>IF($D101="","",TRIM(INDEX(입력_구리근무자명단!$A$1:$GZ$303,$A101,$G$2+5)&amp;""))</f>
        <v/>
      </c>
      <c r="J101" s="26">
        <f>IF($D101="","",IF(ISNUMBER(SEARCH("구리독자",$I101)),"구리독자",""))</f>
        <v/>
      </c>
      <c r="K101" s="29">
        <f>IF($D101="","",IF(COUNTIFS(입력_전공의명단!$C$2:$C$401,$D101,입력_전공의명단!$F$2:$F$401,IF(OR($C101="인턴",ISNUMBER(SEARCH("수련교육부",$B101))),"인턴",$B101))=1,MATCH($D101&amp;"|"&amp;IF(OR($C101="인턴",ISNUMBER(SEARCH("수련교육부",$B101))),"인턴",$B101),입력_전공의명단!$AP$2:$AP$401,0),IF(AND(COUNTIFS(입력_전공의명단!$C$2:$C$401,$D101,입력_전공의명단!$F$2:$F$401,IF(OR($C101="인턴",ISNUMBER(SEARCH("수련교육부",$B101))),"인턴",$B101))=0,COUNTIF(입력_전공의명단!$C$2:$C$401,$D101)=1),MATCH($D101,입력_전공의명단!$C$2:$C$401,0),"")))</f>
        <v/>
      </c>
      <c r="L101" s="26">
        <f>IF($D101="","",IF($K101&lt;&gt;"",IF(COUNTIFS(입력_전공의명단!$C$2:$C$401,$D101,입력_전공의명단!$F$2:$F$401,IF(OR($C101="인턴",ISNUMBER(SEARCH("수련교육부",$B101))),"인턴",$B101))=1,"명단 일치","명단 일치(이름만, 과 다름)"),IF(COUNTIF(입력_전공의명단!$C$2:$C$401,$D101)=0,IF(COUNTIF(입력_기본자료!$C$2:$C$1001,$D101)&gt;0,"명단에 없음(기본자료에는 있음)","명단에 없음"),"동명이인 확인")))</f>
        <v/>
      </c>
      <c r="N101" s="8" t="n">
        <v>96</v>
      </c>
      <c r="O101" s="8">
        <f>IF(ISNUMBER(SEARCH("근무예정자",(INDEX(입력_구리근무자명단!$A$3:$GZ$3,1,96)&amp;""))),IFERROR(VALUE(LEFT((INDEX(입력_구리근무자명단!$A$3:$GZ$3,1,96)&amp;""),4))*100+VALUE(MID((INDEX(입력_구리근무자명단!$A$3:$GZ$3,1,96)&amp;""),6,MIN(FIND("월",(INDEX(입력_구리근무자명단!$A$3:$GZ$3,1,96)&amp;"")&amp;"월"),FIND(CHAR(10),(INDEX(입력_구리근무자명단!$A$3:$GZ$3,1,96)&amp;"")&amp;CHAR(10)),FIND(" ",(INDEX(입력_구리근무자명단!$A$3:$GZ$3,1,96)&amp;"")&amp;" "))-6)),""),"")</f>
        <v/>
      </c>
    </row>
    <row r="102">
      <c r="A102" s="29" t="n">
        <v>100</v>
      </c>
      <c r="B102" s="26">
        <f>IF(TRIM(INDEX(입력_구리근무자명단!$A$1:$GZ$303,$A102,1)&amp;"")&lt;&gt;"",TRIM(INDEX(입력_구리근무자명단!$A$1:$GZ$303,$A102,1)&amp;""),B101)</f>
        <v/>
      </c>
      <c r="C102" s="26">
        <f>IF(INDEX(입력_구리근무자명단!$A$1:$GZ$303,$A102,2)="","",INDEX(입력_구리근무자명단!$A$1:$GZ$303,$A102,2))</f>
        <v/>
      </c>
      <c r="D102" s="26">
        <f>IF($G$2="","",TRIM(IF($I$2="확정",INDEX(입력_구리근무자명단!$A$1:$GZ$303,$A102,$G$2+1)&amp;"",INDEX(입력_구리근무자명단!$A$1:$GZ$303,$A102,$G$2+0)&amp;"")))</f>
        <v/>
      </c>
      <c r="E102" s="26">
        <f>IF($D102="","",$I$2)</f>
        <v/>
      </c>
      <c r="F102" s="28">
        <f>IF($D102="","",IF(INDEX(입력_구리근무자명단!$A$1:$GZ$303,$A102,$G$2+2)="",출력_요약!$B$3,IF(ISNUMBER(INDEX(입력_구리근무자명단!$A$1:$GZ$303,$A102,$G$2+2)),INDEX(입력_구리근무자명단!$A$1:$GZ$303,$A102,$G$2+2),IFERROR(DATE(VALUE(LEFT(INDEX(입력_구리근무자명단!$A$1:$GZ$303,$A102,$G$2+2),4)),VALUE(MID(INDEX(입력_구리근무자명단!$A$1:$GZ$303,$A102,$G$2+2),6,2)),VALUE(MID(INDEX(입력_구리근무자명단!$A$1:$GZ$303,$A102,$G$2+2),9,2))),IFERROR(DATEVALUE(SUBSTITUTE(TRIM(INDEX(입력_구리근무자명단!$A$1:$GZ$303,$A102,$G$2+2)),".","-")),"⚠"&amp;INDEX(입력_구리근무자명단!$A$1:$GZ$303,$A102,$G$2+2))))))</f>
        <v/>
      </c>
      <c r="G102" s="28">
        <f>IF($D102="","",IF(INDEX(입력_구리근무자명단!$A$1:$GZ$303,$A102,$G$2+3)="",EOMONTH(출력_요약!$B$3,0),IF(ISNUMBER(INDEX(입력_구리근무자명단!$A$1:$GZ$303,$A102,$G$2+3)),INDEX(입력_구리근무자명단!$A$1:$GZ$303,$A102,$G$2+3),IFERROR(DATE(VALUE(LEFT(INDEX(입력_구리근무자명단!$A$1:$GZ$303,$A102,$G$2+3),4)),VALUE(MID(INDEX(입력_구리근무자명단!$A$1:$GZ$303,$A102,$G$2+3),6,2)),VALUE(MID(INDEX(입력_구리근무자명단!$A$1:$GZ$303,$A102,$G$2+3),9,2))),IFERROR(DATEVALUE(SUBSTITUTE(TRIM(INDEX(입력_구리근무자명단!$A$1:$GZ$303,$A102,$G$2+3)),".","-")),"⚠"&amp;INDEX(입력_구리근무자명단!$A$1:$GZ$303,$A102,$G$2+3))))))</f>
        <v/>
      </c>
      <c r="H102" s="26">
        <f>IF($D102="","",IF(OR(NOT(ISNUMBER($F102)),NOT(ISNUMBER($G102))),0,MAX(0,MIN($G102,EOMONTH(출력_요약!$B$3,0))-MAX($F102,출력_요약!$B$3)+1)))</f>
        <v/>
      </c>
      <c r="I102" s="26">
        <f>IF($D102="","",TRIM(INDEX(입력_구리근무자명단!$A$1:$GZ$303,$A102,$G$2+5)&amp;""))</f>
        <v/>
      </c>
      <c r="J102" s="26">
        <f>IF($D102="","",IF(ISNUMBER(SEARCH("구리독자",$I102)),"구리독자",""))</f>
        <v/>
      </c>
      <c r="K102" s="29">
        <f>IF($D102="","",IF(COUNTIFS(입력_전공의명단!$C$2:$C$401,$D102,입력_전공의명단!$F$2:$F$401,IF(OR($C102="인턴",ISNUMBER(SEARCH("수련교육부",$B102))),"인턴",$B102))=1,MATCH($D102&amp;"|"&amp;IF(OR($C102="인턴",ISNUMBER(SEARCH("수련교육부",$B102))),"인턴",$B102),입력_전공의명단!$AP$2:$AP$401,0),IF(AND(COUNTIFS(입력_전공의명단!$C$2:$C$401,$D102,입력_전공의명단!$F$2:$F$401,IF(OR($C102="인턴",ISNUMBER(SEARCH("수련교육부",$B102))),"인턴",$B102))=0,COUNTIF(입력_전공의명단!$C$2:$C$401,$D102)=1),MATCH($D102,입력_전공의명단!$C$2:$C$401,0),"")))</f>
        <v/>
      </c>
      <c r="L102" s="26">
        <f>IF($D102="","",IF($K102&lt;&gt;"",IF(COUNTIFS(입력_전공의명단!$C$2:$C$401,$D102,입력_전공의명단!$F$2:$F$401,IF(OR($C102="인턴",ISNUMBER(SEARCH("수련교육부",$B102))),"인턴",$B102))=1,"명단 일치","명단 일치(이름만, 과 다름)"),IF(COUNTIF(입력_전공의명단!$C$2:$C$401,$D102)=0,IF(COUNTIF(입력_기본자료!$C$2:$C$1001,$D102)&gt;0,"명단에 없음(기본자료에는 있음)","명단에 없음"),"동명이인 확인")))</f>
        <v/>
      </c>
      <c r="N102" s="8" t="n">
        <v>97</v>
      </c>
      <c r="O102" s="8">
        <f>IF(ISNUMBER(SEARCH("근무예정자",(INDEX(입력_구리근무자명단!$A$3:$GZ$3,1,97)&amp;""))),IFERROR(VALUE(LEFT((INDEX(입력_구리근무자명단!$A$3:$GZ$3,1,97)&amp;""),4))*100+VALUE(MID((INDEX(입력_구리근무자명단!$A$3:$GZ$3,1,97)&amp;""),6,MIN(FIND("월",(INDEX(입력_구리근무자명단!$A$3:$GZ$3,1,97)&amp;"")&amp;"월"),FIND(CHAR(10),(INDEX(입력_구리근무자명단!$A$3:$GZ$3,1,97)&amp;"")&amp;CHAR(10)),FIND(" ",(INDEX(입력_구리근무자명단!$A$3:$GZ$3,1,97)&amp;"")&amp;" "))-6)),""),"")</f>
        <v/>
      </c>
    </row>
    <row r="103">
      <c r="A103" s="29" t="n">
        <v>101</v>
      </c>
      <c r="B103" s="26">
        <f>IF(TRIM(INDEX(입력_구리근무자명단!$A$1:$GZ$303,$A103,1)&amp;"")&lt;&gt;"",TRIM(INDEX(입력_구리근무자명단!$A$1:$GZ$303,$A103,1)&amp;""),B102)</f>
        <v/>
      </c>
      <c r="C103" s="26">
        <f>IF(INDEX(입력_구리근무자명단!$A$1:$GZ$303,$A103,2)="","",INDEX(입력_구리근무자명단!$A$1:$GZ$303,$A103,2))</f>
        <v/>
      </c>
      <c r="D103" s="26">
        <f>IF($G$2="","",TRIM(IF($I$2="확정",INDEX(입력_구리근무자명단!$A$1:$GZ$303,$A103,$G$2+1)&amp;"",INDEX(입력_구리근무자명단!$A$1:$GZ$303,$A103,$G$2+0)&amp;"")))</f>
        <v/>
      </c>
      <c r="E103" s="26">
        <f>IF($D103="","",$I$2)</f>
        <v/>
      </c>
      <c r="F103" s="28">
        <f>IF($D103="","",IF(INDEX(입력_구리근무자명단!$A$1:$GZ$303,$A103,$G$2+2)="",출력_요약!$B$3,IF(ISNUMBER(INDEX(입력_구리근무자명단!$A$1:$GZ$303,$A103,$G$2+2)),INDEX(입력_구리근무자명단!$A$1:$GZ$303,$A103,$G$2+2),IFERROR(DATE(VALUE(LEFT(INDEX(입력_구리근무자명단!$A$1:$GZ$303,$A103,$G$2+2),4)),VALUE(MID(INDEX(입력_구리근무자명단!$A$1:$GZ$303,$A103,$G$2+2),6,2)),VALUE(MID(INDEX(입력_구리근무자명단!$A$1:$GZ$303,$A103,$G$2+2),9,2))),IFERROR(DATEVALUE(SUBSTITUTE(TRIM(INDEX(입력_구리근무자명단!$A$1:$GZ$303,$A103,$G$2+2)),".","-")),"⚠"&amp;INDEX(입력_구리근무자명단!$A$1:$GZ$303,$A103,$G$2+2))))))</f>
        <v/>
      </c>
      <c r="G103" s="28">
        <f>IF($D103="","",IF(INDEX(입력_구리근무자명단!$A$1:$GZ$303,$A103,$G$2+3)="",EOMONTH(출력_요약!$B$3,0),IF(ISNUMBER(INDEX(입력_구리근무자명단!$A$1:$GZ$303,$A103,$G$2+3)),INDEX(입력_구리근무자명단!$A$1:$GZ$303,$A103,$G$2+3),IFERROR(DATE(VALUE(LEFT(INDEX(입력_구리근무자명단!$A$1:$GZ$303,$A103,$G$2+3),4)),VALUE(MID(INDEX(입력_구리근무자명단!$A$1:$GZ$303,$A103,$G$2+3),6,2)),VALUE(MID(INDEX(입력_구리근무자명단!$A$1:$GZ$303,$A103,$G$2+3),9,2))),IFERROR(DATEVALUE(SUBSTITUTE(TRIM(INDEX(입력_구리근무자명단!$A$1:$GZ$303,$A103,$G$2+3)),".","-")),"⚠"&amp;INDEX(입력_구리근무자명단!$A$1:$GZ$303,$A103,$G$2+3))))))</f>
        <v/>
      </c>
      <c r="H103" s="26">
        <f>IF($D103="","",IF(OR(NOT(ISNUMBER($F103)),NOT(ISNUMBER($G103))),0,MAX(0,MIN($G103,EOMONTH(출력_요약!$B$3,0))-MAX($F103,출력_요약!$B$3)+1)))</f>
        <v/>
      </c>
      <c r="I103" s="26">
        <f>IF($D103="","",TRIM(INDEX(입력_구리근무자명단!$A$1:$GZ$303,$A103,$G$2+5)&amp;""))</f>
        <v/>
      </c>
      <c r="J103" s="26">
        <f>IF($D103="","",IF(ISNUMBER(SEARCH("구리독자",$I103)),"구리독자",""))</f>
        <v/>
      </c>
      <c r="K103" s="29">
        <f>IF($D103="","",IF(COUNTIFS(입력_전공의명단!$C$2:$C$401,$D103,입력_전공의명단!$F$2:$F$401,IF(OR($C103="인턴",ISNUMBER(SEARCH("수련교육부",$B103))),"인턴",$B103))=1,MATCH($D103&amp;"|"&amp;IF(OR($C103="인턴",ISNUMBER(SEARCH("수련교육부",$B103))),"인턴",$B103),입력_전공의명단!$AP$2:$AP$401,0),IF(AND(COUNTIFS(입력_전공의명단!$C$2:$C$401,$D103,입력_전공의명단!$F$2:$F$401,IF(OR($C103="인턴",ISNUMBER(SEARCH("수련교육부",$B103))),"인턴",$B103))=0,COUNTIF(입력_전공의명단!$C$2:$C$401,$D103)=1),MATCH($D103,입력_전공의명단!$C$2:$C$401,0),"")))</f>
        <v/>
      </c>
      <c r="L103" s="26">
        <f>IF($D103="","",IF($K103&lt;&gt;"",IF(COUNTIFS(입력_전공의명단!$C$2:$C$401,$D103,입력_전공의명단!$F$2:$F$401,IF(OR($C103="인턴",ISNUMBER(SEARCH("수련교육부",$B103))),"인턴",$B103))=1,"명단 일치","명단 일치(이름만, 과 다름)"),IF(COUNTIF(입력_전공의명단!$C$2:$C$401,$D103)=0,IF(COUNTIF(입력_기본자료!$C$2:$C$1001,$D103)&gt;0,"명단에 없음(기본자료에는 있음)","명단에 없음"),"동명이인 확인")))</f>
        <v/>
      </c>
      <c r="N103" s="8" t="n">
        <v>98</v>
      </c>
      <c r="O103" s="8">
        <f>IF(ISNUMBER(SEARCH("근무예정자",(INDEX(입력_구리근무자명단!$A$3:$GZ$3,1,98)&amp;""))),IFERROR(VALUE(LEFT((INDEX(입력_구리근무자명단!$A$3:$GZ$3,1,98)&amp;""),4))*100+VALUE(MID((INDEX(입력_구리근무자명단!$A$3:$GZ$3,1,98)&amp;""),6,MIN(FIND("월",(INDEX(입력_구리근무자명단!$A$3:$GZ$3,1,98)&amp;"")&amp;"월"),FIND(CHAR(10),(INDEX(입력_구리근무자명단!$A$3:$GZ$3,1,98)&amp;"")&amp;CHAR(10)),FIND(" ",(INDEX(입력_구리근무자명단!$A$3:$GZ$3,1,98)&amp;"")&amp;" "))-6)),""),"")</f>
        <v/>
      </c>
    </row>
    <row r="104">
      <c r="A104" s="29" t="n">
        <v>102</v>
      </c>
      <c r="B104" s="26">
        <f>IF(TRIM(INDEX(입력_구리근무자명단!$A$1:$GZ$303,$A104,1)&amp;"")&lt;&gt;"",TRIM(INDEX(입력_구리근무자명단!$A$1:$GZ$303,$A104,1)&amp;""),B103)</f>
        <v/>
      </c>
      <c r="C104" s="26">
        <f>IF(INDEX(입력_구리근무자명단!$A$1:$GZ$303,$A104,2)="","",INDEX(입력_구리근무자명단!$A$1:$GZ$303,$A104,2))</f>
        <v/>
      </c>
      <c r="D104" s="26">
        <f>IF($G$2="","",TRIM(IF($I$2="확정",INDEX(입력_구리근무자명단!$A$1:$GZ$303,$A104,$G$2+1)&amp;"",INDEX(입력_구리근무자명단!$A$1:$GZ$303,$A104,$G$2+0)&amp;"")))</f>
        <v/>
      </c>
      <c r="E104" s="26">
        <f>IF($D104="","",$I$2)</f>
        <v/>
      </c>
      <c r="F104" s="28">
        <f>IF($D104="","",IF(INDEX(입력_구리근무자명단!$A$1:$GZ$303,$A104,$G$2+2)="",출력_요약!$B$3,IF(ISNUMBER(INDEX(입력_구리근무자명단!$A$1:$GZ$303,$A104,$G$2+2)),INDEX(입력_구리근무자명단!$A$1:$GZ$303,$A104,$G$2+2),IFERROR(DATE(VALUE(LEFT(INDEX(입력_구리근무자명단!$A$1:$GZ$303,$A104,$G$2+2),4)),VALUE(MID(INDEX(입력_구리근무자명단!$A$1:$GZ$303,$A104,$G$2+2),6,2)),VALUE(MID(INDEX(입력_구리근무자명단!$A$1:$GZ$303,$A104,$G$2+2),9,2))),IFERROR(DATEVALUE(SUBSTITUTE(TRIM(INDEX(입력_구리근무자명단!$A$1:$GZ$303,$A104,$G$2+2)),".","-")),"⚠"&amp;INDEX(입력_구리근무자명단!$A$1:$GZ$303,$A104,$G$2+2))))))</f>
        <v/>
      </c>
      <c r="G104" s="28">
        <f>IF($D104="","",IF(INDEX(입력_구리근무자명단!$A$1:$GZ$303,$A104,$G$2+3)="",EOMONTH(출력_요약!$B$3,0),IF(ISNUMBER(INDEX(입력_구리근무자명단!$A$1:$GZ$303,$A104,$G$2+3)),INDEX(입력_구리근무자명단!$A$1:$GZ$303,$A104,$G$2+3),IFERROR(DATE(VALUE(LEFT(INDEX(입력_구리근무자명단!$A$1:$GZ$303,$A104,$G$2+3),4)),VALUE(MID(INDEX(입력_구리근무자명단!$A$1:$GZ$303,$A104,$G$2+3),6,2)),VALUE(MID(INDEX(입력_구리근무자명단!$A$1:$GZ$303,$A104,$G$2+3),9,2))),IFERROR(DATEVALUE(SUBSTITUTE(TRIM(INDEX(입력_구리근무자명단!$A$1:$GZ$303,$A104,$G$2+3)),".","-")),"⚠"&amp;INDEX(입력_구리근무자명단!$A$1:$GZ$303,$A104,$G$2+3))))))</f>
        <v/>
      </c>
      <c r="H104" s="26">
        <f>IF($D104="","",IF(OR(NOT(ISNUMBER($F104)),NOT(ISNUMBER($G104))),0,MAX(0,MIN($G104,EOMONTH(출력_요약!$B$3,0))-MAX($F104,출력_요약!$B$3)+1)))</f>
        <v/>
      </c>
      <c r="I104" s="26">
        <f>IF($D104="","",TRIM(INDEX(입력_구리근무자명단!$A$1:$GZ$303,$A104,$G$2+5)&amp;""))</f>
        <v/>
      </c>
      <c r="J104" s="26">
        <f>IF($D104="","",IF(ISNUMBER(SEARCH("구리독자",$I104)),"구리독자",""))</f>
        <v/>
      </c>
      <c r="K104" s="29">
        <f>IF($D104="","",IF(COUNTIFS(입력_전공의명단!$C$2:$C$401,$D104,입력_전공의명단!$F$2:$F$401,IF(OR($C104="인턴",ISNUMBER(SEARCH("수련교육부",$B104))),"인턴",$B104))=1,MATCH($D104&amp;"|"&amp;IF(OR($C104="인턴",ISNUMBER(SEARCH("수련교육부",$B104))),"인턴",$B104),입력_전공의명단!$AP$2:$AP$401,0),IF(AND(COUNTIFS(입력_전공의명단!$C$2:$C$401,$D104,입력_전공의명단!$F$2:$F$401,IF(OR($C104="인턴",ISNUMBER(SEARCH("수련교육부",$B104))),"인턴",$B104))=0,COUNTIF(입력_전공의명단!$C$2:$C$401,$D104)=1),MATCH($D104,입력_전공의명단!$C$2:$C$401,0),"")))</f>
        <v/>
      </c>
      <c r="L104" s="26">
        <f>IF($D104="","",IF($K104&lt;&gt;"",IF(COUNTIFS(입력_전공의명단!$C$2:$C$401,$D104,입력_전공의명단!$F$2:$F$401,IF(OR($C104="인턴",ISNUMBER(SEARCH("수련교육부",$B104))),"인턴",$B104))=1,"명단 일치","명단 일치(이름만, 과 다름)"),IF(COUNTIF(입력_전공의명단!$C$2:$C$401,$D104)=0,IF(COUNTIF(입력_기본자료!$C$2:$C$1001,$D104)&gt;0,"명단에 없음(기본자료에는 있음)","명단에 없음"),"동명이인 확인")))</f>
        <v/>
      </c>
      <c r="N104" s="8" t="n">
        <v>99</v>
      </c>
      <c r="O104" s="8">
        <f>IF(ISNUMBER(SEARCH("근무예정자",(INDEX(입력_구리근무자명단!$A$3:$GZ$3,1,99)&amp;""))),IFERROR(VALUE(LEFT((INDEX(입력_구리근무자명단!$A$3:$GZ$3,1,99)&amp;""),4))*100+VALUE(MID((INDEX(입력_구리근무자명단!$A$3:$GZ$3,1,99)&amp;""),6,MIN(FIND("월",(INDEX(입력_구리근무자명단!$A$3:$GZ$3,1,99)&amp;"")&amp;"월"),FIND(CHAR(10),(INDEX(입력_구리근무자명단!$A$3:$GZ$3,1,99)&amp;"")&amp;CHAR(10)),FIND(" ",(INDEX(입력_구리근무자명단!$A$3:$GZ$3,1,99)&amp;"")&amp;" "))-6)),""),"")</f>
        <v/>
      </c>
    </row>
    <row r="105">
      <c r="A105" s="29" t="n">
        <v>103</v>
      </c>
      <c r="B105" s="26">
        <f>IF(TRIM(INDEX(입력_구리근무자명단!$A$1:$GZ$303,$A105,1)&amp;"")&lt;&gt;"",TRIM(INDEX(입력_구리근무자명단!$A$1:$GZ$303,$A105,1)&amp;""),B104)</f>
        <v/>
      </c>
      <c r="C105" s="26">
        <f>IF(INDEX(입력_구리근무자명단!$A$1:$GZ$303,$A105,2)="","",INDEX(입력_구리근무자명단!$A$1:$GZ$303,$A105,2))</f>
        <v/>
      </c>
      <c r="D105" s="26">
        <f>IF($G$2="","",TRIM(IF($I$2="확정",INDEX(입력_구리근무자명단!$A$1:$GZ$303,$A105,$G$2+1)&amp;"",INDEX(입력_구리근무자명단!$A$1:$GZ$303,$A105,$G$2+0)&amp;"")))</f>
        <v/>
      </c>
      <c r="E105" s="26">
        <f>IF($D105="","",$I$2)</f>
        <v/>
      </c>
      <c r="F105" s="28">
        <f>IF($D105="","",IF(INDEX(입력_구리근무자명단!$A$1:$GZ$303,$A105,$G$2+2)="",출력_요약!$B$3,IF(ISNUMBER(INDEX(입력_구리근무자명단!$A$1:$GZ$303,$A105,$G$2+2)),INDEX(입력_구리근무자명단!$A$1:$GZ$303,$A105,$G$2+2),IFERROR(DATE(VALUE(LEFT(INDEX(입력_구리근무자명단!$A$1:$GZ$303,$A105,$G$2+2),4)),VALUE(MID(INDEX(입력_구리근무자명단!$A$1:$GZ$303,$A105,$G$2+2),6,2)),VALUE(MID(INDEX(입력_구리근무자명단!$A$1:$GZ$303,$A105,$G$2+2),9,2))),IFERROR(DATEVALUE(SUBSTITUTE(TRIM(INDEX(입력_구리근무자명단!$A$1:$GZ$303,$A105,$G$2+2)),".","-")),"⚠"&amp;INDEX(입력_구리근무자명단!$A$1:$GZ$303,$A105,$G$2+2))))))</f>
        <v/>
      </c>
      <c r="G105" s="28">
        <f>IF($D105="","",IF(INDEX(입력_구리근무자명단!$A$1:$GZ$303,$A105,$G$2+3)="",EOMONTH(출력_요약!$B$3,0),IF(ISNUMBER(INDEX(입력_구리근무자명단!$A$1:$GZ$303,$A105,$G$2+3)),INDEX(입력_구리근무자명단!$A$1:$GZ$303,$A105,$G$2+3),IFERROR(DATE(VALUE(LEFT(INDEX(입력_구리근무자명단!$A$1:$GZ$303,$A105,$G$2+3),4)),VALUE(MID(INDEX(입력_구리근무자명단!$A$1:$GZ$303,$A105,$G$2+3),6,2)),VALUE(MID(INDEX(입력_구리근무자명단!$A$1:$GZ$303,$A105,$G$2+3),9,2))),IFERROR(DATEVALUE(SUBSTITUTE(TRIM(INDEX(입력_구리근무자명단!$A$1:$GZ$303,$A105,$G$2+3)),".","-")),"⚠"&amp;INDEX(입력_구리근무자명단!$A$1:$GZ$303,$A105,$G$2+3))))))</f>
        <v/>
      </c>
      <c r="H105" s="26">
        <f>IF($D105="","",IF(OR(NOT(ISNUMBER($F105)),NOT(ISNUMBER($G105))),0,MAX(0,MIN($G105,EOMONTH(출력_요약!$B$3,0))-MAX($F105,출력_요약!$B$3)+1)))</f>
        <v/>
      </c>
      <c r="I105" s="26">
        <f>IF($D105="","",TRIM(INDEX(입력_구리근무자명단!$A$1:$GZ$303,$A105,$G$2+5)&amp;""))</f>
        <v/>
      </c>
      <c r="J105" s="26">
        <f>IF($D105="","",IF(ISNUMBER(SEARCH("구리독자",$I105)),"구리독자",""))</f>
        <v/>
      </c>
      <c r="K105" s="29">
        <f>IF($D105="","",IF(COUNTIFS(입력_전공의명단!$C$2:$C$401,$D105,입력_전공의명단!$F$2:$F$401,IF(OR($C105="인턴",ISNUMBER(SEARCH("수련교육부",$B105))),"인턴",$B105))=1,MATCH($D105&amp;"|"&amp;IF(OR($C105="인턴",ISNUMBER(SEARCH("수련교육부",$B105))),"인턴",$B105),입력_전공의명단!$AP$2:$AP$401,0),IF(AND(COUNTIFS(입력_전공의명단!$C$2:$C$401,$D105,입력_전공의명단!$F$2:$F$401,IF(OR($C105="인턴",ISNUMBER(SEARCH("수련교육부",$B105))),"인턴",$B105))=0,COUNTIF(입력_전공의명단!$C$2:$C$401,$D105)=1),MATCH($D105,입력_전공의명단!$C$2:$C$401,0),"")))</f>
        <v/>
      </c>
      <c r="L105" s="26">
        <f>IF($D105="","",IF($K105&lt;&gt;"",IF(COUNTIFS(입력_전공의명단!$C$2:$C$401,$D105,입력_전공의명단!$F$2:$F$401,IF(OR($C105="인턴",ISNUMBER(SEARCH("수련교육부",$B105))),"인턴",$B105))=1,"명단 일치","명단 일치(이름만, 과 다름)"),IF(COUNTIF(입력_전공의명단!$C$2:$C$401,$D105)=0,IF(COUNTIF(입력_기본자료!$C$2:$C$1001,$D105)&gt;0,"명단에 없음(기본자료에는 있음)","명단에 없음"),"동명이인 확인")))</f>
        <v/>
      </c>
      <c r="N105" s="8" t="n">
        <v>100</v>
      </c>
      <c r="O105" s="8">
        <f>IF(ISNUMBER(SEARCH("근무예정자",(INDEX(입력_구리근무자명단!$A$3:$GZ$3,1,100)&amp;""))),IFERROR(VALUE(LEFT((INDEX(입력_구리근무자명단!$A$3:$GZ$3,1,100)&amp;""),4))*100+VALUE(MID((INDEX(입력_구리근무자명단!$A$3:$GZ$3,1,100)&amp;""),6,MIN(FIND("월",(INDEX(입력_구리근무자명단!$A$3:$GZ$3,1,100)&amp;"")&amp;"월"),FIND(CHAR(10),(INDEX(입력_구리근무자명단!$A$3:$GZ$3,1,100)&amp;"")&amp;CHAR(10)),FIND(" ",(INDEX(입력_구리근무자명단!$A$3:$GZ$3,1,100)&amp;"")&amp;" "))-6)),""),"")</f>
        <v/>
      </c>
    </row>
    <row r="106">
      <c r="A106" s="29" t="n">
        <v>104</v>
      </c>
      <c r="B106" s="26">
        <f>IF(TRIM(INDEX(입력_구리근무자명단!$A$1:$GZ$303,$A106,1)&amp;"")&lt;&gt;"",TRIM(INDEX(입력_구리근무자명단!$A$1:$GZ$303,$A106,1)&amp;""),B105)</f>
        <v/>
      </c>
      <c r="C106" s="26">
        <f>IF(INDEX(입력_구리근무자명단!$A$1:$GZ$303,$A106,2)="","",INDEX(입력_구리근무자명단!$A$1:$GZ$303,$A106,2))</f>
        <v/>
      </c>
      <c r="D106" s="26">
        <f>IF($G$2="","",TRIM(IF($I$2="확정",INDEX(입력_구리근무자명단!$A$1:$GZ$303,$A106,$G$2+1)&amp;"",INDEX(입력_구리근무자명단!$A$1:$GZ$303,$A106,$G$2+0)&amp;"")))</f>
        <v/>
      </c>
      <c r="E106" s="26">
        <f>IF($D106="","",$I$2)</f>
        <v/>
      </c>
      <c r="F106" s="28">
        <f>IF($D106="","",IF(INDEX(입력_구리근무자명단!$A$1:$GZ$303,$A106,$G$2+2)="",출력_요약!$B$3,IF(ISNUMBER(INDEX(입력_구리근무자명단!$A$1:$GZ$303,$A106,$G$2+2)),INDEX(입력_구리근무자명단!$A$1:$GZ$303,$A106,$G$2+2),IFERROR(DATE(VALUE(LEFT(INDEX(입력_구리근무자명단!$A$1:$GZ$303,$A106,$G$2+2),4)),VALUE(MID(INDEX(입력_구리근무자명단!$A$1:$GZ$303,$A106,$G$2+2),6,2)),VALUE(MID(INDEX(입력_구리근무자명단!$A$1:$GZ$303,$A106,$G$2+2),9,2))),IFERROR(DATEVALUE(SUBSTITUTE(TRIM(INDEX(입력_구리근무자명단!$A$1:$GZ$303,$A106,$G$2+2)),".","-")),"⚠"&amp;INDEX(입력_구리근무자명단!$A$1:$GZ$303,$A106,$G$2+2))))))</f>
        <v/>
      </c>
      <c r="G106" s="28">
        <f>IF($D106="","",IF(INDEX(입력_구리근무자명단!$A$1:$GZ$303,$A106,$G$2+3)="",EOMONTH(출력_요약!$B$3,0),IF(ISNUMBER(INDEX(입력_구리근무자명단!$A$1:$GZ$303,$A106,$G$2+3)),INDEX(입력_구리근무자명단!$A$1:$GZ$303,$A106,$G$2+3),IFERROR(DATE(VALUE(LEFT(INDEX(입력_구리근무자명단!$A$1:$GZ$303,$A106,$G$2+3),4)),VALUE(MID(INDEX(입력_구리근무자명단!$A$1:$GZ$303,$A106,$G$2+3),6,2)),VALUE(MID(INDEX(입력_구리근무자명단!$A$1:$GZ$303,$A106,$G$2+3),9,2))),IFERROR(DATEVALUE(SUBSTITUTE(TRIM(INDEX(입력_구리근무자명단!$A$1:$GZ$303,$A106,$G$2+3)),".","-")),"⚠"&amp;INDEX(입력_구리근무자명단!$A$1:$GZ$303,$A106,$G$2+3))))))</f>
        <v/>
      </c>
      <c r="H106" s="26">
        <f>IF($D106="","",IF(OR(NOT(ISNUMBER($F106)),NOT(ISNUMBER($G106))),0,MAX(0,MIN($G106,EOMONTH(출력_요약!$B$3,0))-MAX($F106,출력_요약!$B$3)+1)))</f>
        <v/>
      </c>
      <c r="I106" s="26">
        <f>IF($D106="","",TRIM(INDEX(입력_구리근무자명단!$A$1:$GZ$303,$A106,$G$2+5)&amp;""))</f>
        <v/>
      </c>
      <c r="J106" s="26">
        <f>IF($D106="","",IF(ISNUMBER(SEARCH("구리독자",$I106)),"구리독자",""))</f>
        <v/>
      </c>
      <c r="K106" s="29">
        <f>IF($D106="","",IF(COUNTIFS(입력_전공의명단!$C$2:$C$401,$D106,입력_전공의명단!$F$2:$F$401,IF(OR($C106="인턴",ISNUMBER(SEARCH("수련교육부",$B106))),"인턴",$B106))=1,MATCH($D106&amp;"|"&amp;IF(OR($C106="인턴",ISNUMBER(SEARCH("수련교육부",$B106))),"인턴",$B106),입력_전공의명단!$AP$2:$AP$401,0),IF(AND(COUNTIFS(입력_전공의명단!$C$2:$C$401,$D106,입력_전공의명단!$F$2:$F$401,IF(OR($C106="인턴",ISNUMBER(SEARCH("수련교육부",$B106))),"인턴",$B106))=0,COUNTIF(입력_전공의명단!$C$2:$C$401,$D106)=1),MATCH($D106,입력_전공의명단!$C$2:$C$401,0),"")))</f>
        <v/>
      </c>
      <c r="L106" s="26">
        <f>IF($D106="","",IF($K106&lt;&gt;"",IF(COUNTIFS(입력_전공의명단!$C$2:$C$401,$D106,입력_전공의명단!$F$2:$F$401,IF(OR($C106="인턴",ISNUMBER(SEARCH("수련교육부",$B106))),"인턴",$B106))=1,"명단 일치","명단 일치(이름만, 과 다름)"),IF(COUNTIF(입력_전공의명단!$C$2:$C$401,$D106)=0,IF(COUNTIF(입력_기본자료!$C$2:$C$1001,$D106)&gt;0,"명단에 없음(기본자료에는 있음)","명단에 없음"),"동명이인 확인")))</f>
        <v/>
      </c>
      <c r="N106" s="8" t="n">
        <v>101</v>
      </c>
      <c r="O106" s="8">
        <f>IF(ISNUMBER(SEARCH("근무예정자",(INDEX(입력_구리근무자명단!$A$3:$GZ$3,1,101)&amp;""))),IFERROR(VALUE(LEFT((INDEX(입력_구리근무자명단!$A$3:$GZ$3,1,101)&amp;""),4))*100+VALUE(MID((INDEX(입력_구리근무자명단!$A$3:$GZ$3,1,101)&amp;""),6,MIN(FIND("월",(INDEX(입력_구리근무자명단!$A$3:$GZ$3,1,101)&amp;"")&amp;"월"),FIND(CHAR(10),(INDEX(입력_구리근무자명단!$A$3:$GZ$3,1,101)&amp;"")&amp;CHAR(10)),FIND(" ",(INDEX(입력_구리근무자명단!$A$3:$GZ$3,1,101)&amp;"")&amp;" "))-6)),""),"")</f>
        <v/>
      </c>
    </row>
    <row r="107">
      <c r="A107" s="29" t="n">
        <v>105</v>
      </c>
      <c r="B107" s="26">
        <f>IF(TRIM(INDEX(입력_구리근무자명단!$A$1:$GZ$303,$A107,1)&amp;"")&lt;&gt;"",TRIM(INDEX(입력_구리근무자명단!$A$1:$GZ$303,$A107,1)&amp;""),B106)</f>
        <v/>
      </c>
      <c r="C107" s="26">
        <f>IF(INDEX(입력_구리근무자명단!$A$1:$GZ$303,$A107,2)="","",INDEX(입력_구리근무자명단!$A$1:$GZ$303,$A107,2))</f>
        <v/>
      </c>
      <c r="D107" s="26">
        <f>IF($G$2="","",TRIM(IF($I$2="확정",INDEX(입력_구리근무자명단!$A$1:$GZ$303,$A107,$G$2+1)&amp;"",INDEX(입력_구리근무자명단!$A$1:$GZ$303,$A107,$G$2+0)&amp;"")))</f>
        <v/>
      </c>
      <c r="E107" s="26">
        <f>IF($D107="","",$I$2)</f>
        <v/>
      </c>
      <c r="F107" s="28">
        <f>IF($D107="","",IF(INDEX(입력_구리근무자명단!$A$1:$GZ$303,$A107,$G$2+2)="",출력_요약!$B$3,IF(ISNUMBER(INDEX(입력_구리근무자명단!$A$1:$GZ$303,$A107,$G$2+2)),INDEX(입력_구리근무자명단!$A$1:$GZ$303,$A107,$G$2+2),IFERROR(DATE(VALUE(LEFT(INDEX(입력_구리근무자명단!$A$1:$GZ$303,$A107,$G$2+2),4)),VALUE(MID(INDEX(입력_구리근무자명단!$A$1:$GZ$303,$A107,$G$2+2),6,2)),VALUE(MID(INDEX(입력_구리근무자명단!$A$1:$GZ$303,$A107,$G$2+2),9,2))),IFERROR(DATEVALUE(SUBSTITUTE(TRIM(INDEX(입력_구리근무자명단!$A$1:$GZ$303,$A107,$G$2+2)),".","-")),"⚠"&amp;INDEX(입력_구리근무자명단!$A$1:$GZ$303,$A107,$G$2+2))))))</f>
        <v/>
      </c>
      <c r="G107" s="28">
        <f>IF($D107="","",IF(INDEX(입력_구리근무자명단!$A$1:$GZ$303,$A107,$G$2+3)="",EOMONTH(출력_요약!$B$3,0),IF(ISNUMBER(INDEX(입력_구리근무자명단!$A$1:$GZ$303,$A107,$G$2+3)),INDEX(입력_구리근무자명단!$A$1:$GZ$303,$A107,$G$2+3),IFERROR(DATE(VALUE(LEFT(INDEX(입력_구리근무자명단!$A$1:$GZ$303,$A107,$G$2+3),4)),VALUE(MID(INDEX(입력_구리근무자명단!$A$1:$GZ$303,$A107,$G$2+3),6,2)),VALUE(MID(INDEX(입력_구리근무자명단!$A$1:$GZ$303,$A107,$G$2+3),9,2))),IFERROR(DATEVALUE(SUBSTITUTE(TRIM(INDEX(입력_구리근무자명단!$A$1:$GZ$303,$A107,$G$2+3)),".","-")),"⚠"&amp;INDEX(입력_구리근무자명단!$A$1:$GZ$303,$A107,$G$2+3))))))</f>
        <v/>
      </c>
      <c r="H107" s="26">
        <f>IF($D107="","",IF(OR(NOT(ISNUMBER($F107)),NOT(ISNUMBER($G107))),0,MAX(0,MIN($G107,EOMONTH(출력_요약!$B$3,0))-MAX($F107,출력_요약!$B$3)+1)))</f>
        <v/>
      </c>
      <c r="I107" s="26">
        <f>IF($D107="","",TRIM(INDEX(입력_구리근무자명단!$A$1:$GZ$303,$A107,$G$2+5)&amp;""))</f>
        <v/>
      </c>
      <c r="J107" s="26">
        <f>IF($D107="","",IF(ISNUMBER(SEARCH("구리독자",$I107)),"구리독자",""))</f>
        <v/>
      </c>
      <c r="K107" s="29">
        <f>IF($D107="","",IF(COUNTIFS(입력_전공의명단!$C$2:$C$401,$D107,입력_전공의명단!$F$2:$F$401,IF(OR($C107="인턴",ISNUMBER(SEARCH("수련교육부",$B107))),"인턴",$B107))=1,MATCH($D107&amp;"|"&amp;IF(OR($C107="인턴",ISNUMBER(SEARCH("수련교육부",$B107))),"인턴",$B107),입력_전공의명단!$AP$2:$AP$401,0),IF(AND(COUNTIFS(입력_전공의명단!$C$2:$C$401,$D107,입력_전공의명단!$F$2:$F$401,IF(OR($C107="인턴",ISNUMBER(SEARCH("수련교육부",$B107))),"인턴",$B107))=0,COUNTIF(입력_전공의명단!$C$2:$C$401,$D107)=1),MATCH($D107,입력_전공의명단!$C$2:$C$401,0),"")))</f>
        <v/>
      </c>
      <c r="L107" s="26">
        <f>IF($D107="","",IF($K107&lt;&gt;"",IF(COUNTIFS(입력_전공의명단!$C$2:$C$401,$D107,입력_전공의명단!$F$2:$F$401,IF(OR($C107="인턴",ISNUMBER(SEARCH("수련교육부",$B107))),"인턴",$B107))=1,"명단 일치","명단 일치(이름만, 과 다름)"),IF(COUNTIF(입력_전공의명단!$C$2:$C$401,$D107)=0,IF(COUNTIF(입력_기본자료!$C$2:$C$1001,$D107)&gt;0,"명단에 없음(기본자료에는 있음)","명단에 없음"),"동명이인 확인")))</f>
        <v/>
      </c>
      <c r="N107" s="8" t="n">
        <v>102</v>
      </c>
      <c r="O107" s="8">
        <f>IF(ISNUMBER(SEARCH("근무예정자",(INDEX(입력_구리근무자명단!$A$3:$GZ$3,1,102)&amp;""))),IFERROR(VALUE(LEFT((INDEX(입력_구리근무자명단!$A$3:$GZ$3,1,102)&amp;""),4))*100+VALUE(MID((INDEX(입력_구리근무자명단!$A$3:$GZ$3,1,102)&amp;""),6,MIN(FIND("월",(INDEX(입력_구리근무자명단!$A$3:$GZ$3,1,102)&amp;"")&amp;"월"),FIND(CHAR(10),(INDEX(입력_구리근무자명단!$A$3:$GZ$3,1,102)&amp;"")&amp;CHAR(10)),FIND(" ",(INDEX(입력_구리근무자명단!$A$3:$GZ$3,1,102)&amp;"")&amp;" "))-6)),""),"")</f>
        <v/>
      </c>
    </row>
    <row r="108">
      <c r="A108" s="29" t="n">
        <v>106</v>
      </c>
      <c r="B108" s="26">
        <f>IF(TRIM(INDEX(입력_구리근무자명단!$A$1:$GZ$303,$A108,1)&amp;"")&lt;&gt;"",TRIM(INDEX(입력_구리근무자명단!$A$1:$GZ$303,$A108,1)&amp;""),B107)</f>
        <v/>
      </c>
      <c r="C108" s="26">
        <f>IF(INDEX(입력_구리근무자명단!$A$1:$GZ$303,$A108,2)="","",INDEX(입력_구리근무자명단!$A$1:$GZ$303,$A108,2))</f>
        <v/>
      </c>
      <c r="D108" s="26">
        <f>IF($G$2="","",TRIM(IF($I$2="확정",INDEX(입력_구리근무자명단!$A$1:$GZ$303,$A108,$G$2+1)&amp;"",INDEX(입력_구리근무자명단!$A$1:$GZ$303,$A108,$G$2+0)&amp;"")))</f>
        <v/>
      </c>
      <c r="E108" s="26">
        <f>IF($D108="","",$I$2)</f>
        <v/>
      </c>
      <c r="F108" s="28">
        <f>IF($D108="","",IF(INDEX(입력_구리근무자명단!$A$1:$GZ$303,$A108,$G$2+2)="",출력_요약!$B$3,IF(ISNUMBER(INDEX(입력_구리근무자명단!$A$1:$GZ$303,$A108,$G$2+2)),INDEX(입력_구리근무자명단!$A$1:$GZ$303,$A108,$G$2+2),IFERROR(DATE(VALUE(LEFT(INDEX(입력_구리근무자명단!$A$1:$GZ$303,$A108,$G$2+2),4)),VALUE(MID(INDEX(입력_구리근무자명단!$A$1:$GZ$303,$A108,$G$2+2),6,2)),VALUE(MID(INDEX(입력_구리근무자명단!$A$1:$GZ$303,$A108,$G$2+2),9,2))),IFERROR(DATEVALUE(SUBSTITUTE(TRIM(INDEX(입력_구리근무자명단!$A$1:$GZ$303,$A108,$G$2+2)),".","-")),"⚠"&amp;INDEX(입력_구리근무자명단!$A$1:$GZ$303,$A108,$G$2+2))))))</f>
        <v/>
      </c>
      <c r="G108" s="28">
        <f>IF($D108="","",IF(INDEX(입력_구리근무자명단!$A$1:$GZ$303,$A108,$G$2+3)="",EOMONTH(출력_요약!$B$3,0),IF(ISNUMBER(INDEX(입력_구리근무자명단!$A$1:$GZ$303,$A108,$G$2+3)),INDEX(입력_구리근무자명단!$A$1:$GZ$303,$A108,$G$2+3),IFERROR(DATE(VALUE(LEFT(INDEX(입력_구리근무자명단!$A$1:$GZ$303,$A108,$G$2+3),4)),VALUE(MID(INDEX(입력_구리근무자명단!$A$1:$GZ$303,$A108,$G$2+3),6,2)),VALUE(MID(INDEX(입력_구리근무자명단!$A$1:$GZ$303,$A108,$G$2+3),9,2))),IFERROR(DATEVALUE(SUBSTITUTE(TRIM(INDEX(입력_구리근무자명단!$A$1:$GZ$303,$A108,$G$2+3)),".","-")),"⚠"&amp;INDEX(입력_구리근무자명단!$A$1:$GZ$303,$A108,$G$2+3))))))</f>
        <v/>
      </c>
      <c r="H108" s="26">
        <f>IF($D108="","",IF(OR(NOT(ISNUMBER($F108)),NOT(ISNUMBER($G108))),0,MAX(0,MIN($G108,EOMONTH(출력_요약!$B$3,0))-MAX($F108,출력_요약!$B$3)+1)))</f>
        <v/>
      </c>
      <c r="I108" s="26">
        <f>IF($D108="","",TRIM(INDEX(입력_구리근무자명단!$A$1:$GZ$303,$A108,$G$2+5)&amp;""))</f>
        <v/>
      </c>
      <c r="J108" s="26">
        <f>IF($D108="","",IF(ISNUMBER(SEARCH("구리독자",$I108)),"구리독자",""))</f>
        <v/>
      </c>
      <c r="K108" s="29">
        <f>IF($D108="","",IF(COUNTIFS(입력_전공의명단!$C$2:$C$401,$D108,입력_전공의명단!$F$2:$F$401,IF(OR($C108="인턴",ISNUMBER(SEARCH("수련교육부",$B108))),"인턴",$B108))=1,MATCH($D108&amp;"|"&amp;IF(OR($C108="인턴",ISNUMBER(SEARCH("수련교육부",$B108))),"인턴",$B108),입력_전공의명단!$AP$2:$AP$401,0),IF(AND(COUNTIFS(입력_전공의명단!$C$2:$C$401,$D108,입력_전공의명단!$F$2:$F$401,IF(OR($C108="인턴",ISNUMBER(SEARCH("수련교육부",$B108))),"인턴",$B108))=0,COUNTIF(입력_전공의명단!$C$2:$C$401,$D108)=1),MATCH($D108,입력_전공의명단!$C$2:$C$401,0),"")))</f>
        <v/>
      </c>
      <c r="L108" s="26">
        <f>IF($D108="","",IF($K108&lt;&gt;"",IF(COUNTIFS(입력_전공의명단!$C$2:$C$401,$D108,입력_전공의명단!$F$2:$F$401,IF(OR($C108="인턴",ISNUMBER(SEARCH("수련교육부",$B108))),"인턴",$B108))=1,"명단 일치","명단 일치(이름만, 과 다름)"),IF(COUNTIF(입력_전공의명단!$C$2:$C$401,$D108)=0,IF(COUNTIF(입력_기본자료!$C$2:$C$1001,$D108)&gt;0,"명단에 없음(기본자료에는 있음)","명단에 없음"),"동명이인 확인")))</f>
        <v/>
      </c>
      <c r="N108" s="8" t="n">
        <v>103</v>
      </c>
      <c r="O108" s="8">
        <f>IF(ISNUMBER(SEARCH("근무예정자",(INDEX(입력_구리근무자명단!$A$3:$GZ$3,1,103)&amp;""))),IFERROR(VALUE(LEFT((INDEX(입력_구리근무자명단!$A$3:$GZ$3,1,103)&amp;""),4))*100+VALUE(MID((INDEX(입력_구리근무자명단!$A$3:$GZ$3,1,103)&amp;""),6,MIN(FIND("월",(INDEX(입력_구리근무자명단!$A$3:$GZ$3,1,103)&amp;"")&amp;"월"),FIND(CHAR(10),(INDEX(입력_구리근무자명단!$A$3:$GZ$3,1,103)&amp;"")&amp;CHAR(10)),FIND(" ",(INDEX(입력_구리근무자명단!$A$3:$GZ$3,1,103)&amp;"")&amp;" "))-6)),""),"")</f>
        <v/>
      </c>
    </row>
    <row r="109">
      <c r="A109" s="29" t="n">
        <v>107</v>
      </c>
      <c r="B109" s="26">
        <f>IF(TRIM(INDEX(입력_구리근무자명단!$A$1:$GZ$303,$A109,1)&amp;"")&lt;&gt;"",TRIM(INDEX(입력_구리근무자명단!$A$1:$GZ$303,$A109,1)&amp;""),B108)</f>
        <v/>
      </c>
      <c r="C109" s="26">
        <f>IF(INDEX(입력_구리근무자명단!$A$1:$GZ$303,$A109,2)="","",INDEX(입력_구리근무자명단!$A$1:$GZ$303,$A109,2))</f>
        <v/>
      </c>
      <c r="D109" s="26">
        <f>IF($G$2="","",TRIM(IF($I$2="확정",INDEX(입력_구리근무자명단!$A$1:$GZ$303,$A109,$G$2+1)&amp;"",INDEX(입력_구리근무자명단!$A$1:$GZ$303,$A109,$G$2+0)&amp;"")))</f>
        <v/>
      </c>
      <c r="E109" s="26">
        <f>IF($D109="","",$I$2)</f>
        <v/>
      </c>
      <c r="F109" s="28">
        <f>IF($D109="","",IF(INDEX(입력_구리근무자명단!$A$1:$GZ$303,$A109,$G$2+2)="",출력_요약!$B$3,IF(ISNUMBER(INDEX(입력_구리근무자명단!$A$1:$GZ$303,$A109,$G$2+2)),INDEX(입력_구리근무자명단!$A$1:$GZ$303,$A109,$G$2+2),IFERROR(DATE(VALUE(LEFT(INDEX(입력_구리근무자명단!$A$1:$GZ$303,$A109,$G$2+2),4)),VALUE(MID(INDEX(입력_구리근무자명단!$A$1:$GZ$303,$A109,$G$2+2),6,2)),VALUE(MID(INDEX(입력_구리근무자명단!$A$1:$GZ$303,$A109,$G$2+2),9,2))),IFERROR(DATEVALUE(SUBSTITUTE(TRIM(INDEX(입력_구리근무자명단!$A$1:$GZ$303,$A109,$G$2+2)),".","-")),"⚠"&amp;INDEX(입력_구리근무자명단!$A$1:$GZ$303,$A109,$G$2+2))))))</f>
        <v/>
      </c>
      <c r="G109" s="28">
        <f>IF($D109="","",IF(INDEX(입력_구리근무자명단!$A$1:$GZ$303,$A109,$G$2+3)="",EOMONTH(출력_요약!$B$3,0),IF(ISNUMBER(INDEX(입력_구리근무자명단!$A$1:$GZ$303,$A109,$G$2+3)),INDEX(입력_구리근무자명단!$A$1:$GZ$303,$A109,$G$2+3),IFERROR(DATE(VALUE(LEFT(INDEX(입력_구리근무자명단!$A$1:$GZ$303,$A109,$G$2+3),4)),VALUE(MID(INDEX(입력_구리근무자명단!$A$1:$GZ$303,$A109,$G$2+3),6,2)),VALUE(MID(INDEX(입력_구리근무자명단!$A$1:$GZ$303,$A109,$G$2+3),9,2))),IFERROR(DATEVALUE(SUBSTITUTE(TRIM(INDEX(입력_구리근무자명단!$A$1:$GZ$303,$A109,$G$2+3)),".","-")),"⚠"&amp;INDEX(입력_구리근무자명단!$A$1:$GZ$303,$A109,$G$2+3))))))</f>
        <v/>
      </c>
      <c r="H109" s="26">
        <f>IF($D109="","",IF(OR(NOT(ISNUMBER($F109)),NOT(ISNUMBER($G109))),0,MAX(0,MIN($G109,EOMONTH(출력_요약!$B$3,0))-MAX($F109,출력_요약!$B$3)+1)))</f>
        <v/>
      </c>
      <c r="I109" s="26">
        <f>IF($D109="","",TRIM(INDEX(입력_구리근무자명단!$A$1:$GZ$303,$A109,$G$2+5)&amp;""))</f>
        <v/>
      </c>
      <c r="J109" s="26">
        <f>IF($D109="","",IF(ISNUMBER(SEARCH("구리독자",$I109)),"구리독자",""))</f>
        <v/>
      </c>
      <c r="K109" s="29">
        <f>IF($D109="","",IF(COUNTIFS(입력_전공의명단!$C$2:$C$401,$D109,입력_전공의명단!$F$2:$F$401,IF(OR($C109="인턴",ISNUMBER(SEARCH("수련교육부",$B109))),"인턴",$B109))=1,MATCH($D109&amp;"|"&amp;IF(OR($C109="인턴",ISNUMBER(SEARCH("수련교육부",$B109))),"인턴",$B109),입력_전공의명단!$AP$2:$AP$401,0),IF(AND(COUNTIFS(입력_전공의명단!$C$2:$C$401,$D109,입력_전공의명단!$F$2:$F$401,IF(OR($C109="인턴",ISNUMBER(SEARCH("수련교육부",$B109))),"인턴",$B109))=0,COUNTIF(입력_전공의명단!$C$2:$C$401,$D109)=1),MATCH($D109,입력_전공의명단!$C$2:$C$401,0),"")))</f>
        <v/>
      </c>
      <c r="L109" s="26">
        <f>IF($D109="","",IF($K109&lt;&gt;"",IF(COUNTIFS(입력_전공의명단!$C$2:$C$401,$D109,입력_전공의명단!$F$2:$F$401,IF(OR($C109="인턴",ISNUMBER(SEARCH("수련교육부",$B109))),"인턴",$B109))=1,"명단 일치","명단 일치(이름만, 과 다름)"),IF(COUNTIF(입력_전공의명단!$C$2:$C$401,$D109)=0,IF(COUNTIF(입력_기본자료!$C$2:$C$1001,$D109)&gt;0,"명단에 없음(기본자료에는 있음)","명단에 없음"),"동명이인 확인")))</f>
        <v/>
      </c>
      <c r="N109" s="8" t="n">
        <v>104</v>
      </c>
      <c r="O109" s="8">
        <f>IF(ISNUMBER(SEARCH("근무예정자",(INDEX(입력_구리근무자명단!$A$3:$GZ$3,1,104)&amp;""))),IFERROR(VALUE(LEFT((INDEX(입력_구리근무자명단!$A$3:$GZ$3,1,104)&amp;""),4))*100+VALUE(MID((INDEX(입력_구리근무자명단!$A$3:$GZ$3,1,104)&amp;""),6,MIN(FIND("월",(INDEX(입력_구리근무자명단!$A$3:$GZ$3,1,104)&amp;"")&amp;"월"),FIND(CHAR(10),(INDEX(입력_구리근무자명단!$A$3:$GZ$3,1,104)&amp;"")&amp;CHAR(10)),FIND(" ",(INDEX(입력_구리근무자명단!$A$3:$GZ$3,1,104)&amp;"")&amp;" "))-6)),""),"")</f>
        <v/>
      </c>
    </row>
    <row r="110">
      <c r="A110" s="29" t="n">
        <v>108</v>
      </c>
      <c r="B110" s="26">
        <f>IF(TRIM(INDEX(입력_구리근무자명단!$A$1:$GZ$303,$A110,1)&amp;"")&lt;&gt;"",TRIM(INDEX(입력_구리근무자명단!$A$1:$GZ$303,$A110,1)&amp;""),B109)</f>
        <v/>
      </c>
      <c r="C110" s="26">
        <f>IF(INDEX(입력_구리근무자명단!$A$1:$GZ$303,$A110,2)="","",INDEX(입력_구리근무자명단!$A$1:$GZ$303,$A110,2))</f>
        <v/>
      </c>
      <c r="D110" s="26">
        <f>IF($G$2="","",TRIM(IF($I$2="확정",INDEX(입력_구리근무자명단!$A$1:$GZ$303,$A110,$G$2+1)&amp;"",INDEX(입력_구리근무자명단!$A$1:$GZ$303,$A110,$G$2+0)&amp;"")))</f>
        <v/>
      </c>
      <c r="E110" s="26">
        <f>IF($D110="","",$I$2)</f>
        <v/>
      </c>
      <c r="F110" s="28">
        <f>IF($D110="","",IF(INDEX(입력_구리근무자명단!$A$1:$GZ$303,$A110,$G$2+2)="",출력_요약!$B$3,IF(ISNUMBER(INDEX(입력_구리근무자명단!$A$1:$GZ$303,$A110,$G$2+2)),INDEX(입력_구리근무자명단!$A$1:$GZ$303,$A110,$G$2+2),IFERROR(DATE(VALUE(LEFT(INDEX(입력_구리근무자명단!$A$1:$GZ$303,$A110,$G$2+2),4)),VALUE(MID(INDEX(입력_구리근무자명단!$A$1:$GZ$303,$A110,$G$2+2),6,2)),VALUE(MID(INDEX(입력_구리근무자명단!$A$1:$GZ$303,$A110,$G$2+2),9,2))),IFERROR(DATEVALUE(SUBSTITUTE(TRIM(INDEX(입력_구리근무자명단!$A$1:$GZ$303,$A110,$G$2+2)),".","-")),"⚠"&amp;INDEX(입력_구리근무자명단!$A$1:$GZ$303,$A110,$G$2+2))))))</f>
        <v/>
      </c>
      <c r="G110" s="28">
        <f>IF($D110="","",IF(INDEX(입력_구리근무자명단!$A$1:$GZ$303,$A110,$G$2+3)="",EOMONTH(출력_요약!$B$3,0),IF(ISNUMBER(INDEX(입력_구리근무자명단!$A$1:$GZ$303,$A110,$G$2+3)),INDEX(입력_구리근무자명단!$A$1:$GZ$303,$A110,$G$2+3),IFERROR(DATE(VALUE(LEFT(INDEX(입력_구리근무자명단!$A$1:$GZ$303,$A110,$G$2+3),4)),VALUE(MID(INDEX(입력_구리근무자명단!$A$1:$GZ$303,$A110,$G$2+3),6,2)),VALUE(MID(INDEX(입력_구리근무자명단!$A$1:$GZ$303,$A110,$G$2+3),9,2))),IFERROR(DATEVALUE(SUBSTITUTE(TRIM(INDEX(입력_구리근무자명단!$A$1:$GZ$303,$A110,$G$2+3)),".","-")),"⚠"&amp;INDEX(입력_구리근무자명단!$A$1:$GZ$303,$A110,$G$2+3))))))</f>
        <v/>
      </c>
      <c r="H110" s="26">
        <f>IF($D110="","",IF(OR(NOT(ISNUMBER($F110)),NOT(ISNUMBER($G110))),0,MAX(0,MIN($G110,EOMONTH(출력_요약!$B$3,0))-MAX($F110,출력_요약!$B$3)+1)))</f>
        <v/>
      </c>
      <c r="I110" s="26">
        <f>IF($D110="","",TRIM(INDEX(입력_구리근무자명단!$A$1:$GZ$303,$A110,$G$2+5)&amp;""))</f>
        <v/>
      </c>
      <c r="J110" s="26">
        <f>IF($D110="","",IF(ISNUMBER(SEARCH("구리독자",$I110)),"구리독자",""))</f>
        <v/>
      </c>
      <c r="K110" s="29">
        <f>IF($D110="","",IF(COUNTIFS(입력_전공의명단!$C$2:$C$401,$D110,입력_전공의명단!$F$2:$F$401,IF(OR($C110="인턴",ISNUMBER(SEARCH("수련교육부",$B110))),"인턴",$B110))=1,MATCH($D110&amp;"|"&amp;IF(OR($C110="인턴",ISNUMBER(SEARCH("수련교육부",$B110))),"인턴",$B110),입력_전공의명단!$AP$2:$AP$401,0),IF(AND(COUNTIFS(입력_전공의명단!$C$2:$C$401,$D110,입력_전공의명단!$F$2:$F$401,IF(OR($C110="인턴",ISNUMBER(SEARCH("수련교육부",$B110))),"인턴",$B110))=0,COUNTIF(입력_전공의명단!$C$2:$C$401,$D110)=1),MATCH($D110,입력_전공의명단!$C$2:$C$401,0),"")))</f>
        <v/>
      </c>
      <c r="L110" s="26">
        <f>IF($D110="","",IF($K110&lt;&gt;"",IF(COUNTIFS(입력_전공의명단!$C$2:$C$401,$D110,입력_전공의명단!$F$2:$F$401,IF(OR($C110="인턴",ISNUMBER(SEARCH("수련교육부",$B110))),"인턴",$B110))=1,"명단 일치","명단 일치(이름만, 과 다름)"),IF(COUNTIF(입력_전공의명단!$C$2:$C$401,$D110)=0,IF(COUNTIF(입력_기본자료!$C$2:$C$1001,$D110)&gt;0,"명단에 없음(기본자료에는 있음)","명단에 없음"),"동명이인 확인")))</f>
        <v/>
      </c>
      <c r="N110" s="8" t="n">
        <v>105</v>
      </c>
      <c r="O110" s="8">
        <f>IF(ISNUMBER(SEARCH("근무예정자",(INDEX(입력_구리근무자명단!$A$3:$GZ$3,1,105)&amp;""))),IFERROR(VALUE(LEFT((INDEX(입력_구리근무자명단!$A$3:$GZ$3,1,105)&amp;""),4))*100+VALUE(MID((INDEX(입력_구리근무자명단!$A$3:$GZ$3,1,105)&amp;""),6,MIN(FIND("월",(INDEX(입력_구리근무자명단!$A$3:$GZ$3,1,105)&amp;"")&amp;"월"),FIND(CHAR(10),(INDEX(입력_구리근무자명단!$A$3:$GZ$3,1,105)&amp;"")&amp;CHAR(10)),FIND(" ",(INDEX(입력_구리근무자명단!$A$3:$GZ$3,1,105)&amp;"")&amp;" "))-6)),""),"")</f>
        <v/>
      </c>
    </row>
    <row r="111">
      <c r="A111" s="29" t="n">
        <v>109</v>
      </c>
      <c r="B111" s="26">
        <f>IF(TRIM(INDEX(입력_구리근무자명단!$A$1:$GZ$303,$A111,1)&amp;"")&lt;&gt;"",TRIM(INDEX(입력_구리근무자명단!$A$1:$GZ$303,$A111,1)&amp;""),B110)</f>
        <v/>
      </c>
      <c r="C111" s="26">
        <f>IF(INDEX(입력_구리근무자명단!$A$1:$GZ$303,$A111,2)="","",INDEX(입력_구리근무자명단!$A$1:$GZ$303,$A111,2))</f>
        <v/>
      </c>
      <c r="D111" s="26">
        <f>IF($G$2="","",TRIM(IF($I$2="확정",INDEX(입력_구리근무자명단!$A$1:$GZ$303,$A111,$G$2+1)&amp;"",INDEX(입력_구리근무자명단!$A$1:$GZ$303,$A111,$G$2+0)&amp;"")))</f>
        <v/>
      </c>
      <c r="E111" s="26">
        <f>IF($D111="","",$I$2)</f>
        <v/>
      </c>
      <c r="F111" s="28">
        <f>IF($D111="","",IF(INDEX(입력_구리근무자명단!$A$1:$GZ$303,$A111,$G$2+2)="",출력_요약!$B$3,IF(ISNUMBER(INDEX(입력_구리근무자명단!$A$1:$GZ$303,$A111,$G$2+2)),INDEX(입력_구리근무자명단!$A$1:$GZ$303,$A111,$G$2+2),IFERROR(DATE(VALUE(LEFT(INDEX(입력_구리근무자명단!$A$1:$GZ$303,$A111,$G$2+2),4)),VALUE(MID(INDEX(입력_구리근무자명단!$A$1:$GZ$303,$A111,$G$2+2),6,2)),VALUE(MID(INDEX(입력_구리근무자명단!$A$1:$GZ$303,$A111,$G$2+2),9,2))),IFERROR(DATEVALUE(SUBSTITUTE(TRIM(INDEX(입력_구리근무자명단!$A$1:$GZ$303,$A111,$G$2+2)),".","-")),"⚠"&amp;INDEX(입력_구리근무자명단!$A$1:$GZ$303,$A111,$G$2+2))))))</f>
        <v/>
      </c>
      <c r="G111" s="28">
        <f>IF($D111="","",IF(INDEX(입력_구리근무자명단!$A$1:$GZ$303,$A111,$G$2+3)="",EOMONTH(출력_요약!$B$3,0),IF(ISNUMBER(INDEX(입력_구리근무자명단!$A$1:$GZ$303,$A111,$G$2+3)),INDEX(입력_구리근무자명단!$A$1:$GZ$303,$A111,$G$2+3),IFERROR(DATE(VALUE(LEFT(INDEX(입력_구리근무자명단!$A$1:$GZ$303,$A111,$G$2+3),4)),VALUE(MID(INDEX(입력_구리근무자명단!$A$1:$GZ$303,$A111,$G$2+3),6,2)),VALUE(MID(INDEX(입력_구리근무자명단!$A$1:$GZ$303,$A111,$G$2+3),9,2))),IFERROR(DATEVALUE(SUBSTITUTE(TRIM(INDEX(입력_구리근무자명단!$A$1:$GZ$303,$A111,$G$2+3)),".","-")),"⚠"&amp;INDEX(입력_구리근무자명단!$A$1:$GZ$303,$A111,$G$2+3))))))</f>
        <v/>
      </c>
      <c r="H111" s="26">
        <f>IF($D111="","",IF(OR(NOT(ISNUMBER($F111)),NOT(ISNUMBER($G111))),0,MAX(0,MIN($G111,EOMONTH(출력_요약!$B$3,0))-MAX($F111,출력_요약!$B$3)+1)))</f>
        <v/>
      </c>
      <c r="I111" s="26">
        <f>IF($D111="","",TRIM(INDEX(입력_구리근무자명단!$A$1:$GZ$303,$A111,$G$2+5)&amp;""))</f>
        <v/>
      </c>
      <c r="J111" s="26">
        <f>IF($D111="","",IF(ISNUMBER(SEARCH("구리독자",$I111)),"구리독자",""))</f>
        <v/>
      </c>
      <c r="K111" s="29">
        <f>IF($D111="","",IF(COUNTIFS(입력_전공의명단!$C$2:$C$401,$D111,입력_전공의명단!$F$2:$F$401,IF(OR($C111="인턴",ISNUMBER(SEARCH("수련교육부",$B111))),"인턴",$B111))=1,MATCH($D111&amp;"|"&amp;IF(OR($C111="인턴",ISNUMBER(SEARCH("수련교육부",$B111))),"인턴",$B111),입력_전공의명단!$AP$2:$AP$401,0),IF(AND(COUNTIFS(입력_전공의명단!$C$2:$C$401,$D111,입력_전공의명단!$F$2:$F$401,IF(OR($C111="인턴",ISNUMBER(SEARCH("수련교육부",$B111))),"인턴",$B111))=0,COUNTIF(입력_전공의명단!$C$2:$C$401,$D111)=1),MATCH($D111,입력_전공의명단!$C$2:$C$401,0),"")))</f>
        <v/>
      </c>
      <c r="L111" s="26">
        <f>IF($D111="","",IF($K111&lt;&gt;"",IF(COUNTIFS(입력_전공의명단!$C$2:$C$401,$D111,입력_전공의명단!$F$2:$F$401,IF(OR($C111="인턴",ISNUMBER(SEARCH("수련교육부",$B111))),"인턴",$B111))=1,"명단 일치","명단 일치(이름만, 과 다름)"),IF(COUNTIF(입력_전공의명단!$C$2:$C$401,$D111)=0,IF(COUNTIF(입력_기본자료!$C$2:$C$1001,$D111)&gt;0,"명단에 없음(기본자료에는 있음)","명단에 없음"),"동명이인 확인")))</f>
        <v/>
      </c>
      <c r="N111" s="8" t="n">
        <v>106</v>
      </c>
      <c r="O111" s="8">
        <f>IF(ISNUMBER(SEARCH("근무예정자",(INDEX(입력_구리근무자명단!$A$3:$GZ$3,1,106)&amp;""))),IFERROR(VALUE(LEFT((INDEX(입력_구리근무자명단!$A$3:$GZ$3,1,106)&amp;""),4))*100+VALUE(MID((INDEX(입력_구리근무자명단!$A$3:$GZ$3,1,106)&amp;""),6,MIN(FIND("월",(INDEX(입력_구리근무자명단!$A$3:$GZ$3,1,106)&amp;"")&amp;"월"),FIND(CHAR(10),(INDEX(입력_구리근무자명단!$A$3:$GZ$3,1,106)&amp;"")&amp;CHAR(10)),FIND(" ",(INDEX(입력_구리근무자명단!$A$3:$GZ$3,1,106)&amp;"")&amp;" "))-6)),""),"")</f>
        <v/>
      </c>
    </row>
    <row r="112">
      <c r="A112" s="29" t="n">
        <v>110</v>
      </c>
      <c r="B112" s="26">
        <f>IF(TRIM(INDEX(입력_구리근무자명단!$A$1:$GZ$303,$A112,1)&amp;"")&lt;&gt;"",TRIM(INDEX(입력_구리근무자명단!$A$1:$GZ$303,$A112,1)&amp;""),B111)</f>
        <v/>
      </c>
      <c r="C112" s="26">
        <f>IF(INDEX(입력_구리근무자명단!$A$1:$GZ$303,$A112,2)="","",INDEX(입력_구리근무자명단!$A$1:$GZ$303,$A112,2))</f>
        <v/>
      </c>
      <c r="D112" s="26">
        <f>IF($G$2="","",TRIM(IF($I$2="확정",INDEX(입력_구리근무자명단!$A$1:$GZ$303,$A112,$G$2+1)&amp;"",INDEX(입력_구리근무자명단!$A$1:$GZ$303,$A112,$G$2+0)&amp;"")))</f>
        <v/>
      </c>
      <c r="E112" s="26">
        <f>IF($D112="","",$I$2)</f>
        <v/>
      </c>
      <c r="F112" s="28">
        <f>IF($D112="","",IF(INDEX(입력_구리근무자명단!$A$1:$GZ$303,$A112,$G$2+2)="",출력_요약!$B$3,IF(ISNUMBER(INDEX(입력_구리근무자명단!$A$1:$GZ$303,$A112,$G$2+2)),INDEX(입력_구리근무자명단!$A$1:$GZ$303,$A112,$G$2+2),IFERROR(DATE(VALUE(LEFT(INDEX(입력_구리근무자명단!$A$1:$GZ$303,$A112,$G$2+2),4)),VALUE(MID(INDEX(입력_구리근무자명단!$A$1:$GZ$303,$A112,$G$2+2),6,2)),VALUE(MID(INDEX(입력_구리근무자명단!$A$1:$GZ$303,$A112,$G$2+2),9,2))),IFERROR(DATEVALUE(SUBSTITUTE(TRIM(INDEX(입력_구리근무자명단!$A$1:$GZ$303,$A112,$G$2+2)),".","-")),"⚠"&amp;INDEX(입력_구리근무자명단!$A$1:$GZ$303,$A112,$G$2+2))))))</f>
        <v/>
      </c>
      <c r="G112" s="28">
        <f>IF($D112="","",IF(INDEX(입력_구리근무자명단!$A$1:$GZ$303,$A112,$G$2+3)="",EOMONTH(출력_요약!$B$3,0),IF(ISNUMBER(INDEX(입력_구리근무자명단!$A$1:$GZ$303,$A112,$G$2+3)),INDEX(입력_구리근무자명단!$A$1:$GZ$303,$A112,$G$2+3),IFERROR(DATE(VALUE(LEFT(INDEX(입력_구리근무자명단!$A$1:$GZ$303,$A112,$G$2+3),4)),VALUE(MID(INDEX(입력_구리근무자명단!$A$1:$GZ$303,$A112,$G$2+3),6,2)),VALUE(MID(INDEX(입력_구리근무자명단!$A$1:$GZ$303,$A112,$G$2+3),9,2))),IFERROR(DATEVALUE(SUBSTITUTE(TRIM(INDEX(입력_구리근무자명단!$A$1:$GZ$303,$A112,$G$2+3)),".","-")),"⚠"&amp;INDEX(입력_구리근무자명단!$A$1:$GZ$303,$A112,$G$2+3))))))</f>
        <v/>
      </c>
      <c r="H112" s="26">
        <f>IF($D112="","",IF(OR(NOT(ISNUMBER($F112)),NOT(ISNUMBER($G112))),0,MAX(0,MIN($G112,EOMONTH(출력_요약!$B$3,0))-MAX($F112,출력_요약!$B$3)+1)))</f>
        <v/>
      </c>
      <c r="I112" s="26">
        <f>IF($D112="","",TRIM(INDEX(입력_구리근무자명단!$A$1:$GZ$303,$A112,$G$2+5)&amp;""))</f>
        <v/>
      </c>
      <c r="J112" s="26">
        <f>IF($D112="","",IF(ISNUMBER(SEARCH("구리독자",$I112)),"구리독자",""))</f>
        <v/>
      </c>
      <c r="K112" s="29">
        <f>IF($D112="","",IF(COUNTIFS(입력_전공의명단!$C$2:$C$401,$D112,입력_전공의명단!$F$2:$F$401,IF(OR($C112="인턴",ISNUMBER(SEARCH("수련교육부",$B112))),"인턴",$B112))=1,MATCH($D112&amp;"|"&amp;IF(OR($C112="인턴",ISNUMBER(SEARCH("수련교육부",$B112))),"인턴",$B112),입력_전공의명단!$AP$2:$AP$401,0),IF(AND(COUNTIFS(입력_전공의명단!$C$2:$C$401,$D112,입력_전공의명단!$F$2:$F$401,IF(OR($C112="인턴",ISNUMBER(SEARCH("수련교육부",$B112))),"인턴",$B112))=0,COUNTIF(입력_전공의명단!$C$2:$C$401,$D112)=1),MATCH($D112,입력_전공의명단!$C$2:$C$401,0),"")))</f>
        <v/>
      </c>
      <c r="L112" s="26">
        <f>IF($D112="","",IF($K112&lt;&gt;"",IF(COUNTIFS(입력_전공의명단!$C$2:$C$401,$D112,입력_전공의명단!$F$2:$F$401,IF(OR($C112="인턴",ISNUMBER(SEARCH("수련교육부",$B112))),"인턴",$B112))=1,"명단 일치","명단 일치(이름만, 과 다름)"),IF(COUNTIF(입력_전공의명단!$C$2:$C$401,$D112)=0,IF(COUNTIF(입력_기본자료!$C$2:$C$1001,$D112)&gt;0,"명단에 없음(기본자료에는 있음)","명단에 없음"),"동명이인 확인")))</f>
        <v/>
      </c>
      <c r="N112" s="8" t="n">
        <v>107</v>
      </c>
      <c r="O112" s="8">
        <f>IF(ISNUMBER(SEARCH("근무예정자",(INDEX(입력_구리근무자명단!$A$3:$GZ$3,1,107)&amp;""))),IFERROR(VALUE(LEFT((INDEX(입력_구리근무자명단!$A$3:$GZ$3,1,107)&amp;""),4))*100+VALUE(MID((INDEX(입력_구리근무자명단!$A$3:$GZ$3,1,107)&amp;""),6,MIN(FIND("월",(INDEX(입력_구리근무자명단!$A$3:$GZ$3,1,107)&amp;"")&amp;"월"),FIND(CHAR(10),(INDEX(입력_구리근무자명단!$A$3:$GZ$3,1,107)&amp;"")&amp;CHAR(10)),FIND(" ",(INDEX(입력_구리근무자명단!$A$3:$GZ$3,1,107)&amp;"")&amp;" "))-6)),""),"")</f>
        <v/>
      </c>
    </row>
    <row r="113">
      <c r="A113" s="29" t="n">
        <v>111</v>
      </c>
      <c r="B113" s="26">
        <f>IF(TRIM(INDEX(입력_구리근무자명단!$A$1:$GZ$303,$A113,1)&amp;"")&lt;&gt;"",TRIM(INDEX(입력_구리근무자명단!$A$1:$GZ$303,$A113,1)&amp;""),B112)</f>
        <v/>
      </c>
      <c r="C113" s="26">
        <f>IF(INDEX(입력_구리근무자명단!$A$1:$GZ$303,$A113,2)="","",INDEX(입력_구리근무자명단!$A$1:$GZ$303,$A113,2))</f>
        <v/>
      </c>
      <c r="D113" s="26">
        <f>IF($G$2="","",TRIM(IF($I$2="확정",INDEX(입력_구리근무자명단!$A$1:$GZ$303,$A113,$G$2+1)&amp;"",INDEX(입력_구리근무자명단!$A$1:$GZ$303,$A113,$G$2+0)&amp;"")))</f>
        <v/>
      </c>
      <c r="E113" s="26">
        <f>IF($D113="","",$I$2)</f>
        <v/>
      </c>
      <c r="F113" s="28">
        <f>IF($D113="","",IF(INDEX(입력_구리근무자명단!$A$1:$GZ$303,$A113,$G$2+2)="",출력_요약!$B$3,IF(ISNUMBER(INDEX(입력_구리근무자명단!$A$1:$GZ$303,$A113,$G$2+2)),INDEX(입력_구리근무자명단!$A$1:$GZ$303,$A113,$G$2+2),IFERROR(DATE(VALUE(LEFT(INDEX(입력_구리근무자명단!$A$1:$GZ$303,$A113,$G$2+2),4)),VALUE(MID(INDEX(입력_구리근무자명단!$A$1:$GZ$303,$A113,$G$2+2),6,2)),VALUE(MID(INDEX(입력_구리근무자명단!$A$1:$GZ$303,$A113,$G$2+2),9,2))),IFERROR(DATEVALUE(SUBSTITUTE(TRIM(INDEX(입력_구리근무자명단!$A$1:$GZ$303,$A113,$G$2+2)),".","-")),"⚠"&amp;INDEX(입력_구리근무자명단!$A$1:$GZ$303,$A113,$G$2+2))))))</f>
        <v/>
      </c>
      <c r="G113" s="28">
        <f>IF($D113="","",IF(INDEX(입력_구리근무자명단!$A$1:$GZ$303,$A113,$G$2+3)="",EOMONTH(출력_요약!$B$3,0),IF(ISNUMBER(INDEX(입력_구리근무자명단!$A$1:$GZ$303,$A113,$G$2+3)),INDEX(입력_구리근무자명단!$A$1:$GZ$303,$A113,$G$2+3),IFERROR(DATE(VALUE(LEFT(INDEX(입력_구리근무자명단!$A$1:$GZ$303,$A113,$G$2+3),4)),VALUE(MID(INDEX(입력_구리근무자명단!$A$1:$GZ$303,$A113,$G$2+3),6,2)),VALUE(MID(INDEX(입력_구리근무자명단!$A$1:$GZ$303,$A113,$G$2+3),9,2))),IFERROR(DATEVALUE(SUBSTITUTE(TRIM(INDEX(입력_구리근무자명단!$A$1:$GZ$303,$A113,$G$2+3)),".","-")),"⚠"&amp;INDEX(입력_구리근무자명단!$A$1:$GZ$303,$A113,$G$2+3))))))</f>
        <v/>
      </c>
      <c r="H113" s="26">
        <f>IF($D113="","",IF(OR(NOT(ISNUMBER($F113)),NOT(ISNUMBER($G113))),0,MAX(0,MIN($G113,EOMONTH(출력_요약!$B$3,0))-MAX($F113,출력_요약!$B$3)+1)))</f>
        <v/>
      </c>
      <c r="I113" s="26">
        <f>IF($D113="","",TRIM(INDEX(입력_구리근무자명단!$A$1:$GZ$303,$A113,$G$2+5)&amp;""))</f>
        <v/>
      </c>
      <c r="J113" s="26">
        <f>IF($D113="","",IF(ISNUMBER(SEARCH("구리독자",$I113)),"구리독자",""))</f>
        <v/>
      </c>
      <c r="K113" s="29">
        <f>IF($D113="","",IF(COUNTIFS(입력_전공의명단!$C$2:$C$401,$D113,입력_전공의명단!$F$2:$F$401,IF(OR($C113="인턴",ISNUMBER(SEARCH("수련교육부",$B113))),"인턴",$B113))=1,MATCH($D113&amp;"|"&amp;IF(OR($C113="인턴",ISNUMBER(SEARCH("수련교육부",$B113))),"인턴",$B113),입력_전공의명단!$AP$2:$AP$401,0),IF(AND(COUNTIFS(입력_전공의명단!$C$2:$C$401,$D113,입력_전공의명단!$F$2:$F$401,IF(OR($C113="인턴",ISNUMBER(SEARCH("수련교육부",$B113))),"인턴",$B113))=0,COUNTIF(입력_전공의명단!$C$2:$C$401,$D113)=1),MATCH($D113,입력_전공의명단!$C$2:$C$401,0),"")))</f>
        <v/>
      </c>
      <c r="L113" s="26">
        <f>IF($D113="","",IF($K113&lt;&gt;"",IF(COUNTIFS(입력_전공의명단!$C$2:$C$401,$D113,입력_전공의명단!$F$2:$F$401,IF(OR($C113="인턴",ISNUMBER(SEARCH("수련교육부",$B113))),"인턴",$B113))=1,"명단 일치","명단 일치(이름만, 과 다름)"),IF(COUNTIF(입력_전공의명단!$C$2:$C$401,$D113)=0,IF(COUNTIF(입력_기본자료!$C$2:$C$1001,$D113)&gt;0,"명단에 없음(기본자료에는 있음)","명단에 없음"),"동명이인 확인")))</f>
        <v/>
      </c>
      <c r="N113" s="8" t="n">
        <v>108</v>
      </c>
      <c r="O113" s="8">
        <f>IF(ISNUMBER(SEARCH("근무예정자",(INDEX(입력_구리근무자명단!$A$3:$GZ$3,1,108)&amp;""))),IFERROR(VALUE(LEFT((INDEX(입력_구리근무자명단!$A$3:$GZ$3,1,108)&amp;""),4))*100+VALUE(MID((INDEX(입력_구리근무자명단!$A$3:$GZ$3,1,108)&amp;""),6,MIN(FIND("월",(INDEX(입력_구리근무자명단!$A$3:$GZ$3,1,108)&amp;"")&amp;"월"),FIND(CHAR(10),(INDEX(입력_구리근무자명단!$A$3:$GZ$3,1,108)&amp;"")&amp;CHAR(10)),FIND(" ",(INDEX(입력_구리근무자명단!$A$3:$GZ$3,1,108)&amp;"")&amp;" "))-6)),""),"")</f>
        <v/>
      </c>
    </row>
    <row r="114">
      <c r="A114" s="29" t="n">
        <v>112</v>
      </c>
      <c r="B114" s="26">
        <f>IF(TRIM(INDEX(입력_구리근무자명단!$A$1:$GZ$303,$A114,1)&amp;"")&lt;&gt;"",TRIM(INDEX(입력_구리근무자명단!$A$1:$GZ$303,$A114,1)&amp;""),B113)</f>
        <v/>
      </c>
      <c r="C114" s="26">
        <f>IF(INDEX(입력_구리근무자명단!$A$1:$GZ$303,$A114,2)="","",INDEX(입력_구리근무자명단!$A$1:$GZ$303,$A114,2))</f>
        <v/>
      </c>
      <c r="D114" s="26">
        <f>IF($G$2="","",TRIM(IF($I$2="확정",INDEX(입력_구리근무자명단!$A$1:$GZ$303,$A114,$G$2+1)&amp;"",INDEX(입력_구리근무자명단!$A$1:$GZ$303,$A114,$G$2+0)&amp;"")))</f>
        <v/>
      </c>
      <c r="E114" s="26">
        <f>IF($D114="","",$I$2)</f>
        <v/>
      </c>
      <c r="F114" s="28">
        <f>IF($D114="","",IF(INDEX(입력_구리근무자명단!$A$1:$GZ$303,$A114,$G$2+2)="",출력_요약!$B$3,IF(ISNUMBER(INDEX(입력_구리근무자명단!$A$1:$GZ$303,$A114,$G$2+2)),INDEX(입력_구리근무자명단!$A$1:$GZ$303,$A114,$G$2+2),IFERROR(DATE(VALUE(LEFT(INDEX(입력_구리근무자명단!$A$1:$GZ$303,$A114,$G$2+2),4)),VALUE(MID(INDEX(입력_구리근무자명단!$A$1:$GZ$303,$A114,$G$2+2),6,2)),VALUE(MID(INDEX(입력_구리근무자명단!$A$1:$GZ$303,$A114,$G$2+2),9,2))),IFERROR(DATEVALUE(SUBSTITUTE(TRIM(INDEX(입력_구리근무자명단!$A$1:$GZ$303,$A114,$G$2+2)),".","-")),"⚠"&amp;INDEX(입력_구리근무자명단!$A$1:$GZ$303,$A114,$G$2+2))))))</f>
        <v/>
      </c>
      <c r="G114" s="28">
        <f>IF($D114="","",IF(INDEX(입력_구리근무자명단!$A$1:$GZ$303,$A114,$G$2+3)="",EOMONTH(출력_요약!$B$3,0),IF(ISNUMBER(INDEX(입력_구리근무자명단!$A$1:$GZ$303,$A114,$G$2+3)),INDEX(입력_구리근무자명단!$A$1:$GZ$303,$A114,$G$2+3),IFERROR(DATE(VALUE(LEFT(INDEX(입력_구리근무자명단!$A$1:$GZ$303,$A114,$G$2+3),4)),VALUE(MID(INDEX(입력_구리근무자명단!$A$1:$GZ$303,$A114,$G$2+3),6,2)),VALUE(MID(INDEX(입력_구리근무자명단!$A$1:$GZ$303,$A114,$G$2+3),9,2))),IFERROR(DATEVALUE(SUBSTITUTE(TRIM(INDEX(입력_구리근무자명단!$A$1:$GZ$303,$A114,$G$2+3)),".","-")),"⚠"&amp;INDEX(입력_구리근무자명단!$A$1:$GZ$303,$A114,$G$2+3))))))</f>
        <v/>
      </c>
      <c r="H114" s="26">
        <f>IF($D114="","",IF(OR(NOT(ISNUMBER($F114)),NOT(ISNUMBER($G114))),0,MAX(0,MIN($G114,EOMONTH(출력_요약!$B$3,0))-MAX($F114,출력_요약!$B$3)+1)))</f>
        <v/>
      </c>
      <c r="I114" s="26">
        <f>IF($D114="","",TRIM(INDEX(입력_구리근무자명단!$A$1:$GZ$303,$A114,$G$2+5)&amp;""))</f>
        <v/>
      </c>
      <c r="J114" s="26">
        <f>IF($D114="","",IF(ISNUMBER(SEARCH("구리독자",$I114)),"구리독자",""))</f>
        <v/>
      </c>
      <c r="K114" s="29">
        <f>IF($D114="","",IF(COUNTIFS(입력_전공의명단!$C$2:$C$401,$D114,입력_전공의명단!$F$2:$F$401,IF(OR($C114="인턴",ISNUMBER(SEARCH("수련교육부",$B114))),"인턴",$B114))=1,MATCH($D114&amp;"|"&amp;IF(OR($C114="인턴",ISNUMBER(SEARCH("수련교육부",$B114))),"인턴",$B114),입력_전공의명단!$AP$2:$AP$401,0),IF(AND(COUNTIFS(입력_전공의명단!$C$2:$C$401,$D114,입력_전공의명단!$F$2:$F$401,IF(OR($C114="인턴",ISNUMBER(SEARCH("수련교육부",$B114))),"인턴",$B114))=0,COUNTIF(입력_전공의명단!$C$2:$C$401,$D114)=1),MATCH($D114,입력_전공의명단!$C$2:$C$401,0),"")))</f>
        <v/>
      </c>
      <c r="L114" s="26">
        <f>IF($D114="","",IF($K114&lt;&gt;"",IF(COUNTIFS(입력_전공의명단!$C$2:$C$401,$D114,입력_전공의명단!$F$2:$F$401,IF(OR($C114="인턴",ISNUMBER(SEARCH("수련교육부",$B114))),"인턴",$B114))=1,"명단 일치","명단 일치(이름만, 과 다름)"),IF(COUNTIF(입력_전공의명단!$C$2:$C$401,$D114)=0,IF(COUNTIF(입력_기본자료!$C$2:$C$1001,$D114)&gt;0,"명단에 없음(기본자료에는 있음)","명단에 없음"),"동명이인 확인")))</f>
        <v/>
      </c>
      <c r="N114" s="8" t="n">
        <v>109</v>
      </c>
      <c r="O114" s="8">
        <f>IF(ISNUMBER(SEARCH("근무예정자",(INDEX(입력_구리근무자명단!$A$3:$GZ$3,1,109)&amp;""))),IFERROR(VALUE(LEFT((INDEX(입력_구리근무자명단!$A$3:$GZ$3,1,109)&amp;""),4))*100+VALUE(MID((INDEX(입력_구리근무자명단!$A$3:$GZ$3,1,109)&amp;""),6,MIN(FIND("월",(INDEX(입력_구리근무자명단!$A$3:$GZ$3,1,109)&amp;"")&amp;"월"),FIND(CHAR(10),(INDEX(입력_구리근무자명단!$A$3:$GZ$3,1,109)&amp;"")&amp;CHAR(10)),FIND(" ",(INDEX(입력_구리근무자명단!$A$3:$GZ$3,1,109)&amp;"")&amp;" "))-6)),""),"")</f>
        <v/>
      </c>
    </row>
    <row r="115">
      <c r="A115" s="29" t="n">
        <v>113</v>
      </c>
      <c r="B115" s="26">
        <f>IF(TRIM(INDEX(입력_구리근무자명단!$A$1:$GZ$303,$A115,1)&amp;"")&lt;&gt;"",TRIM(INDEX(입력_구리근무자명단!$A$1:$GZ$303,$A115,1)&amp;""),B114)</f>
        <v/>
      </c>
      <c r="C115" s="26">
        <f>IF(INDEX(입력_구리근무자명단!$A$1:$GZ$303,$A115,2)="","",INDEX(입력_구리근무자명단!$A$1:$GZ$303,$A115,2))</f>
        <v/>
      </c>
      <c r="D115" s="26">
        <f>IF($G$2="","",TRIM(IF($I$2="확정",INDEX(입력_구리근무자명단!$A$1:$GZ$303,$A115,$G$2+1)&amp;"",INDEX(입력_구리근무자명단!$A$1:$GZ$303,$A115,$G$2+0)&amp;"")))</f>
        <v/>
      </c>
      <c r="E115" s="26">
        <f>IF($D115="","",$I$2)</f>
        <v/>
      </c>
      <c r="F115" s="28">
        <f>IF($D115="","",IF(INDEX(입력_구리근무자명단!$A$1:$GZ$303,$A115,$G$2+2)="",출력_요약!$B$3,IF(ISNUMBER(INDEX(입력_구리근무자명단!$A$1:$GZ$303,$A115,$G$2+2)),INDEX(입력_구리근무자명단!$A$1:$GZ$303,$A115,$G$2+2),IFERROR(DATE(VALUE(LEFT(INDEX(입력_구리근무자명단!$A$1:$GZ$303,$A115,$G$2+2),4)),VALUE(MID(INDEX(입력_구리근무자명단!$A$1:$GZ$303,$A115,$G$2+2),6,2)),VALUE(MID(INDEX(입력_구리근무자명단!$A$1:$GZ$303,$A115,$G$2+2),9,2))),IFERROR(DATEVALUE(SUBSTITUTE(TRIM(INDEX(입력_구리근무자명단!$A$1:$GZ$303,$A115,$G$2+2)),".","-")),"⚠"&amp;INDEX(입력_구리근무자명단!$A$1:$GZ$303,$A115,$G$2+2))))))</f>
        <v/>
      </c>
      <c r="G115" s="28">
        <f>IF($D115="","",IF(INDEX(입력_구리근무자명단!$A$1:$GZ$303,$A115,$G$2+3)="",EOMONTH(출력_요약!$B$3,0),IF(ISNUMBER(INDEX(입력_구리근무자명단!$A$1:$GZ$303,$A115,$G$2+3)),INDEX(입력_구리근무자명단!$A$1:$GZ$303,$A115,$G$2+3),IFERROR(DATE(VALUE(LEFT(INDEX(입력_구리근무자명단!$A$1:$GZ$303,$A115,$G$2+3),4)),VALUE(MID(INDEX(입력_구리근무자명단!$A$1:$GZ$303,$A115,$G$2+3),6,2)),VALUE(MID(INDEX(입력_구리근무자명단!$A$1:$GZ$303,$A115,$G$2+3),9,2))),IFERROR(DATEVALUE(SUBSTITUTE(TRIM(INDEX(입력_구리근무자명단!$A$1:$GZ$303,$A115,$G$2+3)),".","-")),"⚠"&amp;INDEX(입력_구리근무자명단!$A$1:$GZ$303,$A115,$G$2+3))))))</f>
        <v/>
      </c>
      <c r="H115" s="26">
        <f>IF($D115="","",IF(OR(NOT(ISNUMBER($F115)),NOT(ISNUMBER($G115))),0,MAX(0,MIN($G115,EOMONTH(출력_요약!$B$3,0))-MAX($F115,출력_요약!$B$3)+1)))</f>
        <v/>
      </c>
      <c r="I115" s="26">
        <f>IF($D115="","",TRIM(INDEX(입력_구리근무자명단!$A$1:$GZ$303,$A115,$G$2+5)&amp;""))</f>
        <v/>
      </c>
      <c r="J115" s="26">
        <f>IF($D115="","",IF(ISNUMBER(SEARCH("구리독자",$I115)),"구리독자",""))</f>
        <v/>
      </c>
      <c r="K115" s="29">
        <f>IF($D115="","",IF(COUNTIFS(입력_전공의명단!$C$2:$C$401,$D115,입력_전공의명단!$F$2:$F$401,IF(OR($C115="인턴",ISNUMBER(SEARCH("수련교육부",$B115))),"인턴",$B115))=1,MATCH($D115&amp;"|"&amp;IF(OR($C115="인턴",ISNUMBER(SEARCH("수련교육부",$B115))),"인턴",$B115),입력_전공의명단!$AP$2:$AP$401,0),IF(AND(COUNTIFS(입력_전공의명단!$C$2:$C$401,$D115,입력_전공의명단!$F$2:$F$401,IF(OR($C115="인턴",ISNUMBER(SEARCH("수련교육부",$B115))),"인턴",$B115))=0,COUNTIF(입력_전공의명단!$C$2:$C$401,$D115)=1),MATCH($D115,입력_전공의명단!$C$2:$C$401,0),"")))</f>
        <v/>
      </c>
      <c r="L115" s="26">
        <f>IF($D115="","",IF($K115&lt;&gt;"",IF(COUNTIFS(입력_전공의명단!$C$2:$C$401,$D115,입력_전공의명단!$F$2:$F$401,IF(OR($C115="인턴",ISNUMBER(SEARCH("수련교육부",$B115))),"인턴",$B115))=1,"명단 일치","명단 일치(이름만, 과 다름)"),IF(COUNTIF(입력_전공의명단!$C$2:$C$401,$D115)=0,IF(COUNTIF(입력_기본자료!$C$2:$C$1001,$D115)&gt;0,"명단에 없음(기본자료에는 있음)","명단에 없음"),"동명이인 확인")))</f>
        <v/>
      </c>
      <c r="N115" s="8" t="n">
        <v>110</v>
      </c>
      <c r="O115" s="8">
        <f>IF(ISNUMBER(SEARCH("근무예정자",(INDEX(입력_구리근무자명단!$A$3:$GZ$3,1,110)&amp;""))),IFERROR(VALUE(LEFT((INDEX(입력_구리근무자명단!$A$3:$GZ$3,1,110)&amp;""),4))*100+VALUE(MID((INDEX(입력_구리근무자명단!$A$3:$GZ$3,1,110)&amp;""),6,MIN(FIND("월",(INDEX(입력_구리근무자명단!$A$3:$GZ$3,1,110)&amp;"")&amp;"월"),FIND(CHAR(10),(INDEX(입력_구리근무자명단!$A$3:$GZ$3,1,110)&amp;"")&amp;CHAR(10)),FIND(" ",(INDEX(입력_구리근무자명단!$A$3:$GZ$3,1,110)&amp;"")&amp;" "))-6)),""),"")</f>
        <v/>
      </c>
    </row>
    <row r="116">
      <c r="A116" s="29" t="n">
        <v>114</v>
      </c>
      <c r="B116" s="26">
        <f>IF(TRIM(INDEX(입력_구리근무자명단!$A$1:$GZ$303,$A116,1)&amp;"")&lt;&gt;"",TRIM(INDEX(입력_구리근무자명단!$A$1:$GZ$303,$A116,1)&amp;""),B115)</f>
        <v/>
      </c>
      <c r="C116" s="26">
        <f>IF(INDEX(입력_구리근무자명단!$A$1:$GZ$303,$A116,2)="","",INDEX(입력_구리근무자명단!$A$1:$GZ$303,$A116,2))</f>
        <v/>
      </c>
      <c r="D116" s="26">
        <f>IF($G$2="","",TRIM(IF($I$2="확정",INDEX(입력_구리근무자명단!$A$1:$GZ$303,$A116,$G$2+1)&amp;"",INDEX(입력_구리근무자명단!$A$1:$GZ$303,$A116,$G$2+0)&amp;"")))</f>
        <v/>
      </c>
      <c r="E116" s="26">
        <f>IF($D116="","",$I$2)</f>
        <v/>
      </c>
      <c r="F116" s="28">
        <f>IF($D116="","",IF(INDEX(입력_구리근무자명단!$A$1:$GZ$303,$A116,$G$2+2)="",출력_요약!$B$3,IF(ISNUMBER(INDEX(입력_구리근무자명단!$A$1:$GZ$303,$A116,$G$2+2)),INDEX(입력_구리근무자명단!$A$1:$GZ$303,$A116,$G$2+2),IFERROR(DATE(VALUE(LEFT(INDEX(입력_구리근무자명단!$A$1:$GZ$303,$A116,$G$2+2),4)),VALUE(MID(INDEX(입력_구리근무자명단!$A$1:$GZ$303,$A116,$G$2+2),6,2)),VALUE(MID(INDEX(입력_구리근무자명단!$A$1:$GZ$303,$A116,$G$2+2),9,2))),IFERROR(DATEVALUE(SUBSTITUTE(TRIM(INDEX(입력_구리근무자명단!$A$1:$GZ$303,$A116,$G$2+2)),".","-")),"⚠"&amp;INDEX(입력_구리근무자명단!$A$1:$GZ$303,$A116,$G$2+2))))))</f>
        <v/>
      </c>
      <c r="G116" s="28">
        <f>IF($D116="","",IF(INDEX(입력_구리근무자명단!$A$1:$GZ$303,$A116,$G$2+3)="",EOMONTH(출력_요약!$B$3,0),IF(ISNUMBER(INDEX(입력_구리근무자명단!$A$1:$GZ$303,$A116,$G$2+3)),INDEX(입력_구리근무자명단!$A$1:$GZ$303,$A116,$G$2+3),IFERROR(DATE(VALUE(LEFT(INDEX(입력_구리근무자명단!$A$1:$GZ$303,$A116,$G$2+3),4)),VALUE(MID(INDEX(입력_구리근무자명단!$A$1:$GZ$303,$A116,$G$2+3),6,2)),VALUE(MID(INDEX(입력_구리근무자명단!$A$1:$GZ$303,$A116,$G$2+3),9,2))),IFERROR(DATEVALUE(SUBSTITUTE(TRIM(INDEX(입력_구리근무자명단!$A$1:$GZ$303,$A116,$G$2+3)),".","-")),"⚠"&amp;INDEX(입력_구리근무자명단!$A$1:$GZ$303,$A116,$G$2+3))))))</f>
        <v/>
      </c>
      <c r="H116" s="26">
        <f>IF($D116="","",IF(OR(NOT(ISNUMBER($F116)),NOT(ISNUMBER($G116))),0,MAX(0,MIN($G116,EOMONTH(출력_요약!$B$3,0))-MAX($F116,출력_요약!$B$3)+1)))</f>
        <v/>
      </c>
      <c r="I116" s="26">
        <f>IF($D116="","",TRIM(INDEX(입력_구리근무자명단!$A$1:$GZ$303,$A116,$G$2+5)&amp;""))</f>
        <v/>
      </c>
      <c r="J116" s="26">
        <f>IF($D116="","",IF(ISNUMBER(SEARCH("구리독자",$I116)),"구리독자",""))</f>
        <v/>
      </c>
      <c r="K116" s="29">
        <f>IF($D116="","",IF(COUNTIFS(입력_전공의명단!$C$2:$C$401,$D116,입력_전공의명단!$F$2:$F$401,IF(OR($C116="인턴",ISNUMBER(SEARCH("수련교육부",$B116))),"인턴",$B116))=1,MATCH($D116&amp;"|"&amp;IF(OR($C116="인턴",ISNUMBER(SEARCH("수련교육부",$B116))),"인턴",$B116),입력_전공의명단!$AP$2:$AP$401,0),IF(AND(COUNTIFS(입력_전공의명단!$C$2:$C$401,$D116,입력_전공의명단!$F$2:$F$401,IF(OR($C116="인턴",ISNUMBER(SEARCH("수련교육부",$B116))),"인턴",$B116))=0,COUNTIF(입력_전공의명단!$C$2:$C$401,$D116)=1),MATCH($D116,입력_전공의명단!$C$2:$C$401,0),"")))</f>
        <v/>
      </c>
      <c r="L116" s="26">
        <f>IF($D116="","",IF($K116&lt;&gt;"",IF(COUNTIFS(입력_전공의명단!$C$2:$C$401,$D116,입력_전공의명단!$F$2:$F$401,IF(OR($C116="인턴",ISNUMBER(SEARCH("수련교육부",$B116))),"인턴",$B116))=1,"명단 일치","명단 일치(이름만, 과 다름)"),IF(COUNTIF(입력_전공의명단!$C$2:$C$401,$D116)=0,IF(COUNTIF(입력_기본자료!$C$2:$C$1001,$D116)&gt;0,"명단에 없음(기본자료에는 있음)","명단에 없음"),"동명이인 확인")))</f>
        <v/>
      </c>
      <c r="N116" s="8" t="n">
        <v>111</v>
      </c>
      <c r="O116" s="8">
        <f>IF(ISNUMBER(SEARCH("근무예정자",(INDEX(입력_구리근무자명단!$A$3:$GZ$3,1,111)&amp;""))),IFERROR(VALUE(LEFT((INDEX(입력_구리근무자명단!$A$3:$GZ$3,1,111)&amp;""),4))*100+VALUE(MID((INDEX(입력_구리근무자명단!$A$3:$GZ$3,1,111)&amp;""),6,MIN(FIND("월",(INDEX(입력_구리근무자명단!$A$3:$GZ$3,1,111)&amp;"")&amp;"월"),FIND(CHAR(10),(INDEX(입력_구리근무자명단!$A$3:$GZ$3,1,111)&amp;"")&amp;CHAR(10)),FIND(" ",(INDEX(입력_구리근무자명단!$A$3:$GZ$3,1,111)&amp;"")&amp;" "))-6)),""),"")</f>
        <v/>
      </c>
    </row>
    <row r="117">
      <c r="A117" s="29" t="n">
        <v>115</v>
      </c>
      <c r="B117" s="26">
        <f>IF(TRIM(INDEX(입력_구리근무자명단!$A$1:$GZ$303,$A117,1)&amp;"")&lt;&gt;"",TRIM(INDEX(입력_구리근무자명단!$A$1:$GZ$303,$A117,1)&amp;""),B116)</f>
        <v/>
      </c>
      <c r="C117" s="26">
        <f>IF(INDEX(입력_구리근무자명단!$A$1:$GZ$303,$A117,2)="","",INDEX(입력_구리근무자명단!$A$1:$GZ$303,$A117,2))</f>
        <v/>
      </c>
      <c r="D117" s="26">
        <f>IF($G$2="","",TRIM(IF($I$2="확정",INDEX(입력_구리근무자명단!$A$1:$GZ$303,$A117,$G$2+1)&amp;"",INDEX(입력_구리근무자명단!$A$1:$GZ$303,$A117,$G$2+0)&amp;"")))</f>
        <v/>
      </c>
      <c r="E117" s="26">
        <f>IF($D117="","",$I$2)</f>
        <v/>
      </c>
      <c r="F117" s="28">
        <f>IF($D117="","",IF(INDEX(입력_구리근무자명단!$A$1:$GZ$303,$A117,$G$2+2)="",출력_요약!$B$3,IF(ISNUMBER(INDEX(입력_구리근무자명단!$A$1:$GZ$303,$A117,$G$2+2)),INDEX(입력_구리근무자명단!$A$1:$GZ$303,$A117,$G$2+2),IFERROR(DATE(VALUE(LEFT(INDEX(입력_구리근무자명단!$A$1:$GZ$303,$A117,$G$2+2),4)),VALUE(MID(INDEX(입력_구리근무자명단!$A$1:$GZ$303,$A117,$G$2+2),6,2)),VALUE(MID(INDEX(입력_구리근무자명단!$A$1:$GZ$303,$A117,$G$2+2),9,2))),IFERROR(DATEVALUE(SUBSTITUTE(TRIM(INDEX(입력_구리근무자명단!$A$1:$GZ$303,$A117,$G$2+2)),".","-")),"⚠"&amp;INDEX(입력_구리근무자명단!$A$1:$GZ$303,$A117,$G$2+2))))))</f>
        <v/>
      </c>
      <c r="G117" s="28">
        <f>IF($D117="","",IF(INDEX(입력_구리근무자명단!$A$1:$GZ$303,$A117,$G$2+3)="",EOMONTH(출력_요약!$B$3,0),IF(ISNUMBER(INDEX(입력_구리근무자명단!$A$1:$GZ$303,$A117,$G$2+3)),INDEX(입력_구리근무자명단!$A$1:$GZ$303,$A117,$G$2+3),IFERROR(DATE(VALUE(LEFT(INDEX(입력_구리근무자명단!$A$1:$GZ$303,$A117,$G$2+3),4)),VALUE(MID(INDEX(입력_구리근무자명단!$A$1:$GZ$303,$A117,$G$2+3),6,2)),VALUE(MID(INDEX(입력_구리근무자명단!$A$1:$GZ$303,$A117,$G$2+3),9,2))),IFERROR(DATEVALUE(SUBSTITUTE(TRIM(INDEX(입력_구리근무자명단!$A$1:$GZ$303,$A117,$G$2+3)),".","-")),"⚠"&amp;INDEX(입력_구리근무자명단!$A$1:$GZ$303,$A117,$G$2+3))))))</f>
        <v/>
      </c>
      <c r="H117" s="26">
        <f>IF($D117="","",IF(OR(NOT(ISNUMBER($F117)),NOT(ISNUMBER($G117))),0,MAX(0,MIN($G117,EOMONTH(출력_요약!$B$3,0))-MAX($F117,출력_요약!$B$3)+1)))</f>
        <v/>
      </c>
      <c r="I117" s="26">
        <f>IF($D117="","",TRIM(INDEX(입력_구리근무자명단!$A$1:$GZ$303,$A117,$G$2+5)&amp;""))</f>
        <v/>
      </c>
      <c r="J117" s="26">
        <f>IF($D117="","",IF(ISNUMBER(SEARCH("구리독자",$I117)),"구리독자",""))</f>
        <v/>
      </c>
      <c r="K117" s="29">
        <f>IF($D117="","",IF(COUNTIFS(입력_전공의명단!$C$2:$C$401,$D117,입력_전공의명단!$F$2:$F$401,IF(OR($C117="인턴",ISNUMBER(SEARCH("수련교육부",$B117))),"인턴",$B117))=1,MATCH($D117&amp;"|"&amp;IF(OR($C117="인턴",ISNUMBER(SEARCH("수련교육부",$B117))),"인턴",$B117),입력_전공의명단!$AP$2:$AP$401,0),IF(AND(COUNTIFS(입력_전공의명단!$C$2:$C$401,$D117,입력_전공의명단!$F$2:$F$401,IF(OR($C117="인턴",ISNUMBER(SEARCH("수련교육부",$B117))),"인턴",$B117))=0,COUNTIF(입력_전공의명단!$C$2:$C$401,$D117)=1),MATCH($D117,입력_전공의명단!$C$2:$C$401,0),"")))</f>
        <v/>
      </c>
      <c r="L117" s="26">
        <f>IF($D117="","",IF($K117&lt;&gt;"",IF(COUNTIFS(입력_전공의명단!$C$2:$C$401,$D117,입력_전공의명단!$F$2:$F$401,IF(OR($C117="인턴",ISNUMBER(SEARCH("수련교육부",$B117))),"인턴",$B117))=1,"명단 일치","명단 일치(이름만, 과 다름)"),IF(COUNTIF(입력_전공의명단!$C$2:$C$401,$D117)=0,IF(COUNTIF(입력_기본자료!$C$2:$C$1001,$D117)&gt;0,"명단에 없음(기본자료에는 있음)","명단에 없음"),"동명이인 확인")))</f>
        <v/>
      </c>
      <c r="N117" s="8" t="n">
        <v>112</v>
      </c>
      <c r="O117" s="8">
        <f>IF(ISNUMBER(SEARCH("근무예정자",(INDEX(입력_구리근무자명단!$A$3:$GZ$3,1,112)&amp;""))),IFERROR(VALUE(LEFT((INDEX(입력_구리근무자명단!$A$3:$GZ$3,1,112)&amp;""),4))*100+VALUE(MID((INDEX(입력_구리근무자명단!$A$3:$GZ$3,1,112)&amp;""),6,MIN(FIND("월",(INDEX(입력_구리근무자명단!$A$3:$GZ$3,1,112)&amp;"")&amp;"월"),FIND(CHAR(10),(INDEX(입력_구리근무자명단!$A$3:$GZ$3,1,112)&amp;"")&amp;CHAR(10)),FIND(" ",(INDEX(입력_구리근무자명단!$A$3:$GZ$3,1,112)&amp;"")&amp;" "))-6)),""),"")</f>
        <v/>
      </c>
    </row>
    <row r="118">
      <c r="A118" s="29" t="n">
        <v>116</v>
      </c>
      <c r="B118" s="26">
        <f>IF(TRIM(INDEX(입력_구리근무자명단!$A$1:$GZ$303,$A118,1)&amp;"")&lt;&gt;"",TRIM(INDEX(입력_구리근무자명단!$A$1:$GZ$303,$A118,1)&amp;""),B117)</f>
        <v/>
      </c>
      <c r="C118" s="26">
        <f>IF(INDEX(입력_구리근무자명단!$A$1:$GZ$303,$A118,2)="","",INDEX(입력_구리근무자명단!$A$1:$GZ$303,$A118,2))</f>
        <v/>
      </c>
      <c r="D118" s="26">
        <f>IF($G$2="","",TRIM(IF($I$2="확정",INDEX(입력_구리근무자명단!$A$1:$GZ$303,$A118,$G$2+1)&amp;"",INDEX(입력_구리근무자명단!$A$1:$GZ$303,$A118,$G$2+0)&amp;"")))</f>
        <v/>
      </c>
      <c r="E118" s="26">
        <f>IF($D118="","",$I$2)</f>
        <v/>
      </c>
      <c r="F118" s="28">
        <f>IF($D118="","",IF(INDEX(입력_구리근무자명단!$A$1:$GZ$303,$A118,$G$2+2)="",출력_요약!$B$3,IF(ISNUMBER(INDEX(입력_구리근무자명단!$A$1:$GZ$303,$A118,$G$2+2)),INDEX(입력_구리근무자명단!$A$1:$GZ$303,$A118,$G$2+2),IFERROR(DATE(VALUE(LEFT(INDEX(입력_구리근무자명단!$A$1:$GZ$303,$A118,$G$2+2),4)),VALUE(MID(INDEX(입력_구리근무자명단!$A$1:$GZ$303,$A118,$G$2+2),6,2)),VALUE(MID(INDEX(입력_구리근무자명단!$A$1:$GZ$303,$A118,$G$2+2),9,2))),IFERROR(DATEVALUE(SUBSTITUTE(TRIM(INDEX(입력_구리근무자명단!$A$1:$GZ$303,$A118,$G$2+2)),".","-")),"⚠"&amp;INDEX(입력_구리근무자명단!$A$1:$GZ$303,$A118,$G$2+2))))))</f>
        <v/>
      </c>
      <c r="G118" s="28">
        <f>IF($D118="","",IF(INDEX(입력_구리근무자명단!$A$1:$GZ$303,$A118,$G$2+3)="",EOMONTH(출력_요약!$B$3,0),IF(ISNUMBER(INDEX(입력_구리근무자명단!$A$1:$GZ$303,$A118,$G$2+3)),INDEX(입력_구리근무자명단!$A$1:$GZ$303,$A118,$G$2+3),IFERROR(DATE(VALUE(LEFT(INDEX(입력_구리근무자명단!$A$1:$GZ$303,$A118,$G$2+3),4)),VALUE(MID(INDEX(입력_구리근무자명단!$A$1:$GZ$303,$A118,$G$2+3),6,2)),VALUE(MID(INDEX(입력_구리근무자명단!$A$1:$GZ$303,$A118,$G$2+3),9,2))),IFERROR(DATEVALUE(SUBSTITUTE(TRIM(INDEX(입력_구리근무자명단!$A$1:$GZ$303,$A118,$G$2+3)),".","-")),"⚠"&amp;INDEX(입력_구리근무자명단!$A$1:$GZ$303,$A118,$G$2+3))))))</f>
        <v/>
      </c>
      <c r="H118" s="26">
        <f>IF($D118="","",IF(OR(NOT(ISNUMBER($F118)),NOT(ISNUMBER($G118))),0,MAX(0,MIN($G118,EOMONTH(출력_요약!$B$3,0))-MAX($F118,출력_요약!$B$3)+1)))</f>
        <v/>
      </c>
      <c r="I118" s="26">
        <f>IF($D118="","",TRIM(INDEX(입력_구리근무자명단!$A$1:$GZ$303,$A118,$G$2+5)&amp;""))</f>
        <v/>
      </c>
      <c r="J118" s="26">
        <f>IF($D118="","",IF(ISNUMBER(SEARCH("구리독자",$I118)),"구리독자",""))</f>
        <v/>
      </c>
      <c r="K118" s="29">
        <f>IF($D118="","",IF(COUNTIFS(입력_전공의명단!$C$2:$C$401,$D118,입력_전공의명단!$F$2:$F$401,IF(OR($C118="인턴",ISNUMBER(SEARCH("수련교육부",$B118))),"인턴",$B118))=1,MATCH($D118&amp;"|"&amp;IF(OR($C118="인턴",ISNUMBER(SEARCH("수련교육부",$B118))),"인턴",$B118),입력_전공의명단!$AP$2:$AP$401,0),IF(AND(COUNTIFS(입력_전공의명단!$C$2:$C$401,$D118,입력_전공의명단!$F$2:$F$401,IF(OR($C118="인턴",ISNUMBER(SEARCH("수련교육부",$B118))),"인턴",$B118))=0,COUNTIF(입력_전공의명단!$C$2:$C$401,$D118)=1),MATCH($D118,입력_전공의명단!$C$2:$C$401,0),"")))</f>
        <v/>
      </c>
      <c r="L118" s="26">
        <f>IF($D118="","",IF($K118&lt;&gt;"",IF(COUNTIFS(입력_전공의명단!$C$2:$C$401,$D118,입력_전공의명단!$F$2:$F$401,IF(OR($C118="인턴",ISNUMBER(SEARCH("수련교육부",$B118))),"인턴",$B118))=1,"명단 일치","명단 일치(이름만, 과 다름)"),IF(COUNTIF(입력_전공의명단!$C$2:$C$401,$D118)=0,IF(COUNTIF(입력_기본자료!$C$2:$C$1001,$D118)&gt;0,"명단에 없음(기본자료에는 있음)","명단에 없음"),"동명이인 확인")))</f>
        <v/>
      </c>
      <c r="N118" s="8" t="n">
        <v>113</v>
      </c>
      <c r="O118" s="8">
        <f>IF(ISNUMBER(SEARCH("근무예정자",(INDEX(입력_구리근무자명단!$A$3:$GZ$3,1,113)&amp;""))),IFERROR(VALUE(LEFT((INDEX(입력_구리근무자명단!$A$3:$GZ$3,1,113)&amp;""),4))*100+VALUE(MID((INDEX(입력_구리근무자명단!$A$3:$GZ$3,1,113)&amp;""),6,MIN(FIND("월",(INDEX(입력_구리근무자명단!$A$3:$GZ$3,1,113)&amp;"")&amp;"월"),FIND(CHAR(10),(INDEX(입력_구리근무자명단!$A$3:$GZ$3,1,113)&amp;"")&amp;CHAR(10)),FIND(" ",(INDEX(입력_구리근무자명단!$A$3:$GZ$3,1,113)&amp;"")&amp;" "))-6)),""),"")</f>
        <v/>
      </c>
    </row>
    <row r="119">
      <c r="A119" s="29" t="n">
        <v>117</v>
      </c>
      <c r="B119" s="26">
        <f>IF(TRIM(INDEX(입력_구리근무자명단!$A$1:$GZ$303,$A119,1)&amp;"")&lt;&gt;"",TRIM(INDEX(입력_구리근무자명단!$A$1:$GZ$303,$A119,1)&amp;""),B118)</f>
        <v/>
      </c>
      <c r="C119" s="26">
        <f>IF(INDEX(입력_구리근무자명단!$A$1:$GZ$303,$A119,2)="","",INDEX(입력_구리근무자명단!$A$1:$GZ$303,$A119,2))</f>
        <v/>
      </c>
      <c r="D119" s="26">
        <f>IF($G$2="","",TRIM(IF($I$2="확정",INDEX(입력_구리근무자명단!$A$1:$GZ$303,$A119,$G$2+1)&amp;"",INDEX(입력_구리근무자명단!$A$1:$GZ$303,$A119,$G$2+0)&amp;"")))</f>
        <v/>
      </c>
      <c r="E119" s="26">
        <f>IF($D119="","",$I$2)</f>
        <v/>
      </c>
      <c r="F119" s="28">
        <f>IF($D119="","",IF(INDEX(입력_구리근무자명단!$A$1:$GZ$303,$A119,$G$2+2)="",출력_요약!$B$3,IF(ISNUMBER(INDEX(입력_구리근무자명단!$A$1:$GZ$303,$A119,$G$2+2)),INDEX(입력_구리근무자명단!$A$1:$GZ$303,$A119,$G$2+2),IFERROR(DATE(VALUE(LEFT(INDEX(입력_구리근무자명단!$A$1:$GZ$303,$A119,$G$2+2),4)),VALUE(MID(INDEX(입력_구리근무자명단!$A$1:$GZ$303,$A119,$G$2+2),6,2)),VALUE(MID(INDEX(입력_구리근무자명단!$A$1:$GZ$303,$A119,$G$2+2),9,2))),IFERROR(DATEVALUE(SUBSTITUTE(TRIM(INDEX(입력_구리근무자명단!$A$1:$GZ$303,$A119,$G$2+2)),".","-")),"⚠"&amp;INDEX(입력_구리근무자명단!$A$1:$GZ$303,$A119,$G$2+2))))))</f>
        <v/>
      </c>
      <c r="G119" s="28">
        <f>IF($D119="","",IF(INDEX(입력_구리근무자명단!$A$1:$GZ$303,$A119,$G$2+3)="",EOMONTH(출력_요약!$B$3,0),IF(ISNUMBER(INDEX(입력_구리근무자명단!$A$1:$GZ$303,$A119,$G$2+3)),INDEX(입력_구리근무자명단!$A$1:$GZ$303,$A119,$G$2+3),IFERROR(DATE(VALUE(LEFT(INDEX(입력_구리근무자명단!$A$1:$GZ$303,$A119,$G$2+3),4)),VALUE(MID(INDEX(입력_구리근무자명단!$A$1:$GZ$303,$A119,$G$2+3),6,2)),VALUE(MID(INDEX(입력_구리근무자명단!$A$1:$GZ$303,$A119,$G$2+3),9,2))),IFERROR(DATEVALUE(SUBSTITUTE(TRIM(INDEX(입력_구리근무자명단!$A$1:$GZ$303,$A119,$G$2+3)),".","-")),"⚠"&amp;INDEX(입력_구리근무자명단!$A$1:$GZ$303,$A119,$G$2+3))))))</f>
        <v/>
      </c>
      <c r="H119" s="26">
        <f>IF($D119="","",IF(OR(NOT(ISNUMBER($F119)),NOT(ISNUMBER($G119))),0,MAX(0,MIN($G119,EOMONTH(출력_요약!$B$3,0))-MAX($F119,출력_요약!$B$3)+1)))</f>
        <v/>
      </c>
      <c r="I119" s="26">
        <f>IF($D119="","",TRIM(INDEX(입력_구리근무자명단!$A$1:$GZ$303,$A119,$G$2+5)&amp;""))</f>
        <v/>
      </c>
      <c r="J119" s="26">
        <f>IF($D119="","",IF(ISNUMBER(SEARCH("구리독자",$I119)),"구리독자",""))</f>
        <v/>
      </c>
      <c r="K119" s="29">
        <f>IF($D119="","",IF(COUNTIFS(입력_전공의명단!$C$2:$C$401,$D119,입력_전공의명단!$F$2:$F$401,IF(OR($C119="인턴",ISNUMBER(SEARCH("수련교육부",$B119))),"인턴",$B119))=1,MATCH($D119&amp;"|"&amp;IF(OR($C119="인턴",ISNUMBER(SEARCH("수련교육부",$B119))),"인턴",$B119),입력_전공의명단!$AP$2:$AP$401,0),IF(AND(COUNTIFS(입력_전공의명단!$C$2:$C$401,$D119,입력_전공의명단!$F$2:$F$401,IF(OR($C119="인턴",ISNUMBER(SEARCH("수련교육부",$B119))),"인턴",$B119))=0,COUNTIF(입력_전공의명단!$C$2:$C$401,$D119)=1),MATCH($D119,입력_전공의명단!$C$2:$C$401,0),"")))</f>
        <v/>
      </c>
      <c r="L119" s="26">
        <f>IF($D119="","",IF($K119&lt;&gt;"",IF(COUNTIFS(입력_전공의명단!$C$2:$C$401,$D119,입력_전공의명단!$F$2:$F$401,IF(OR($C119="인턴",ISNUMBER(SEARCH("수련교육부",$B119))),"인턴",$B119))=1,"명단 일치","명단 일치(이름만, 과 다름)"),IF(COUNTIF(입력_전공의명단!$C$2:$C$401,$D119)=0,IF(COUNTIF(입력_기본자료!$C$2:$C$1001,$D119)&gt;0,"명단에 없음(기본자료에는 있음)","명단에 없음"),"동명이인 확인")))</f>
        <v/>
      </c>
      <c r="N119" s="8" t="n">
        <v>114</v>
      </c>
      <c r="O119" s="8">
        <f>IF(ISNUMBER(SEARCH("근무예정자",(INDEX(입력_구리근무자명단!$A$3:$GZ$3,1,114)&amp;""))),IFERROR(VALUE(LEFT((INDEX(입력_구리근무자명단!$A$3:$GZ$3,1,114)&amp;""),4))*100+VALUE(MID((INDEX(입력_구리근무자명단!$A$3:$GZ$3,1,114)&amp;""),6,MIN(FIND("월",(INDEX(입력_구리근무자명단!$A$3:$GZ$3,1,114)&amp;"")&amp;"월"),FIND(CHAR(10),(INDEX(입력_구리근무자명단!$A$3:$GZ$3,1,114)&amp;"")&amp;CHAR(10)),FIND(" ",(INDEX(입력_구리근무자명단!$A$3:$GZ$3,1,114)&amp;"")&amp;" "))-6)),""),"")</f>
        <v/>
      </c>
    </row>
    <row r="120">
      <c r="A120" s="29" t="n">
        <v>118</v>
      </c>
      <c r="B120" s="26">
        <f>IF(TRIM(INDEX(입력_구리근무자명단!$A$1:$GZ$303,$A120,1)&amp;"")&lt;&gt;"",TRIM(INDEX(입력_구리근무자명단!$A$1:$GZ$303,$A120,1)&amp;""),B119)</f>
        <v/>
      </c>
      <c r="C120" s="26">
        <f>IF(INDEX(입력_구리근무자명단!$A$1:$GZ$303,$A120,2)="","",INDEX(입력_구리근무자명단!$A$1:$GZ$303,$A120,2))</f>
        <v/>
      </c>
      <c r="D120" s="26">
        <f>IF($G$2="","",TRIM(IF($I$2="확정",INDEX(입력_구리근무자명단!$A$1:$GZ$303,$A120,$G$2+1)&amp;"",INDEX(입력_구리근무자명단!$A$1:$GZ$303,$A120,$G$2+0)&amp;"")))</f>
        <v/>
      </c>
      <c r="E120" s="26">
        <f>IF($D120="","",$I$2)</f>
        <v/>
      </c>
      <c r="F120" s="28">
        <f>IF($D120="","",IF(INDEX(입력_구리근무자명단!$A$1:$GZ$303,$A120,$G$2+2)="",출력_요약!$B$3,IF(ISNUMBER(INDEX(입력_구리근무자명단!$A$1:$GZ$303,$A120,$G$2+2)),INDEX(입력_구리근무자명단!$A$1:$GZ$303,$A120,$G$2+2),IFERROR(DATE(VALUE(LEFT(INDEX(입력_구리근무자명단!$A$1:$GZ$303,$A120,$G$2+2),4)),VALUE(MID(INDEX(입력_구리근무자명단!$A$1:$GZ$303,$A120,$G$2+2),6,2)),VALUE(MID(INDEX(입력_구리근무자명단!$A$1:$GZ$303,$A120,$G$2+2),9,2))),IFERROR(DATEVALUE(SUBSTITUTE(TRIM(INDEX(입력_구리근무자명단!$A$1:$GZ$303,$A120,$G$2+2)),".","-")),"⚠"&amp;INDEX(입력_구리근무자명단!$A$1:$GZ$303,$A120,$G$2+2))))))</f>
        <v/>
      </c>
      <c r="G120" s="28">
        <f>IF($D120="","",IF(INDEX(입력_구리근무자명단!$A$1:$GZ$303,$A120,$G$2+3)="",EOMONTH(출력_요약!$B$3,0),IF(ISNUMBER(INDEX(입력_구리근무자명단!$A$1:$GZ$303,$A120,$G$2+3)),INDEX(입력_구리근무자명단!$A$1:$GZ$303,$A120,$G$2+3),IFERROR(DATE(VALUE(LEFT(INDEX(입력_구리근무자명단!$A$1:$GZ$303,$A120,$G$2+3),4)),VALUE(MID(INDEX(입력_구리근무자명단!$A$1:$GZ$303,$A120,$G$2+3),6,2)),VALUE(MID(INDEX(입력_구리근무자명단!$A$1:$GZ$303,$A120,$G$2+3),9,2))),IFERROR(DATEVALUE(SUBSTITUTE(TRIM(INDEX(입력_구리근무자명단!$A$1:$GZ$303,$A120,$G$2+3)),".","-")),"⚠"&amp;INDEX(입력_구리근무자명단!$A$1:$GZ$303,$A120,$G$2+3))))))</f>
        <v/>
      </c>
      <c r="H120" s="26">
        <f>IF($D120="","",IF(OR(NOT(ISNUMBER($F120)),NOT(ISNUMBER($G120))),0,MAX(0,MIN($G120,EOMONTH(출력_요약!$B$3,0))-MAX($F120,출력_요약!$B$3)+1)))</f>
        <v/>
      </c>
      <c r="I120" s="26">
        <f>IF($D120="","",TRIM(INDEX(입력_구리근무자명단!$A$1:$GZ$303,$A120,$G$2+5)&amp;""))</f>
        <v/>
      </c>
      <c r="J120" s="26">
        <f>IF($D120="","",IF(ISNUMBER(SEARCH("구리독자",$I120)),"구리독자",""))</f>
        <v/>
      </c>
      <c r="K120" s="29">
        <f>IF($D120="","",IF(COUNTIFS(입력_전공의명단!$C$2:$C$401,$D120,입력_전공의명단!$F$2:$F$401,IF(OR($C120="인턴",ISNUMBER(SEARCH("수련교육부",$B120))),"인턴",$B120))=1,MATCH($D120&amp;"|"&amp;IF(OR($C120="인턴",ISNUMBER(SEARCH("수련교육부",$B120))),"인턴",$B120),입력_전공의명단!$AP$2:$AP$401,0),IF(AND(COUNTIFS(입력_전공의명단!$C$2:$C$401,$D120,입력_전공의명단!$F$2:$F$401,IF(OR($C120="인턴",ISNUMBER(SEARCH("수련교육부",$B120))),"인턴",$B120))=0,COUNTIF(입력_전공의명단!$C$2:$C$401,$D120)=1),MATCH($D120,입력_전공의명단!$C$2:$C$401,0),"")))</f>
        <v/>
      </c>
      <c r="L120" s="26">
        <f>IF($D120="","",IF($K120&lt;&gt;"",IF(COUNTIFS(입력_전공의명단!$C$2:$C$401,$D120,입력_전공의명단!$F$2:$F$401,IF(OR($C120="인턴",ISNUMBER(SEARCH("수련교육부",$B120))),"인턴",$B120))=1,"명단 일치","명단 일치(이름만, 과 다름)"),IF(COUNTIF(입력_전공의명단!$C$2:$C$401,$D120)=0,IF(COUNTIF(입력_기본자료!$C$2:$C$1001,$D120)&gt;0,"명단에 없음(기본자료에는 있음)","명단에 없음"),"동명이인 확인")))</f>
        <v/>
      </c>
      <c r="N120" s="8" t="n">
        <v>115</v>
      </c>
      <c r="O120" s="8">
        <f>IF(ISNUMBER(SEARCH("근무예정자",(INDEX(입력_구리근무자명단!$A$3:$GZ$3,1,115)&amp;""))),IFERROR(VALUE(LEFT((INDEX(입력_구리근무자명단!$A$3:$GZ$3,1,115)&amp;""),4))*100+VALUE(MID((INDEX(입력_구리근무자명단!$A$3:$GZ$3,1,115)&amp;""),6,MIN(FIND("월",(INDEX(입력_구리근무자명단!$A$3:$GZ$3,1,115)&amp;"")&amp;"월"),FIND(CHAR(10),(INDEX(입력_구리근무자명단!$A$3:$GZ$3,1,115)&amp;"")&amp;CHAR(10)),FIND(" ",(INDEX(입력_구리근무자명단!$A$3:$GZ$3,1,115)&amp;"")&amp;" "))-6)),""),"")</f>
        <v/>
      </c>
    </row>
    <row r="121">
      <c r="A121" s="29" t="n">
        <v>119</v>
      </c>
      <c r="B121" s="26">
        <f>IF(TRIM(INDEX(입력_구리근무자명단!$A$1:$GZ$303,$A121,1)&amp;"")&lt;&gt;"",TRIM(INDEX(입력_구리근무자명단!$A$1:$GZ$303,$A121,1)&amp;""),B120)</f>
        <v/>
      </c>
      <c r="C121" s="26">
        <f>IF(INDEX(입력_구리근무자명단!$A$1:$GZ$303,$A121,2)="","",INDEX(입력_구리근무자명단!$A$1:$GZ$303,$A121,2))</f>
        <v/>
      </c>
      <c r="D121" s="26">
        <f>IF($G$2="","",TRIM(IF($I$2="확정",INDEX(입력_구리근무자명단!$A$1:$GZ$303,$A121,$G$2+1)&amp;"",INDEX(입력_구리근무자명단!$A$1:$GZ$303,$A121,$G$2+0)&amp;"")))</f>
        <v/>
      </c>
      <c r="E121" s="26">
        <f>IF($D121="","",$I$2)</f>
        <v/>
      </c>
      <c r="F121" s="28">
        <f>IF($D121="","",IF(INDEX(입력_구리근무자명단!$A$1:$GZ$303,$A121,$G$2+2)="",출력_요약!$B$3,IF(ISNUMBER(INDEX(입력_구리근무자명단!$A$1:$GZ$303,$A121,$G$2+2)),INDEX(입력_구리근무자명단!$A$1:$GZ$303,$A121,$G$2+2),IFERROR(DATE(VALUE(LEFT(INDEX(입력_구리근무자명단!$A$1:$GZ$303,$A121,$G$2+2),4)),VALUE(MID(INDEX(입력_구리근무자명단!$A$1:$GZ$303,$A121,$G$2+2),6,2)),VALUE(MID(INDEX(입력_구리근무자명단!$A$1:$GZ$303,$A121,$G$2+2),9,2))),IFERROR(DATEVALUE(SUBSTITUTE(TRIM(INDEX(입력_구리근무자명단!$A$1:$GZ$303,$A121,$G$2+2)),".","-")),"⚠"&amp;INDEX(입력_구리근무자명단!$A$1:$GZ$303,$A121,$G$2+2))))))</f>
        <v/>
      </c>
      <c r="G121" s="28">
        <f>IF($D121="","",IF(INDEX(입력_구리근무자명단!$A$1:$GZ$303,$A121,$G$2+3)="",EOMONTH(출력_요약!$B$3,0),IF(ISNUMBER(INDEX(입력_구리근무자명단!$A$1:$GZ$303,$A121,$G$2+3)),INDEX(입력_구리근무자명단!$A$1:$GZ$303,$A121,$G$2+3),IFERROR(DATE(VALUE(LEFT(INDEX(입력_구리근무자명단!$A$1:$GZ$303,$A121,$G$2+3),4)),VALUE(MID(INDEX(입력_구리근무자명단!$A$1:$GZ$303,$A121,$G$2+3),6,2)),VALUE(MID(INDEX(입력_구리근무자명단!$A$1:$GZ$303,$A121,$G$2+3),9,2))),IFERROR(DATEVALUE(SUBSTITUTE(TRIM(INDEX(입력_구리근무자명단!$A$1:$GZ$303,$A121,$G$2+3)),".","-")),"⚠"&amp;INDEX(입력_구리근무자명단!$A$1:$GZ$303,$A121,$G$2+3))))))</f>
        <v/>
      </c>
      <c r="H121" s="26">
        <f>IF($D121="","",IF(OR(NOT(ISNUMBER($F121)),NOT(ISNUMBER($G121))),0,MAX(0,MIN($G121,EOMONTH(출력_요약!$B$3,0))-MAX($F121,출력_요약!$B$3)+1)))</f>
        <v/>
      </c>
      <c r="I121" s="26">
        <f>IF($D121="","",TRIM(INDEX(입력_구리근무자명단!$A$1:$GZ$303,$A121,$G$2+5)&amp;""))</f>
        <v/>
      </c>
      <c r="J121" s="26">
        <f>IF($D121="","",IF(ISNUMBER(SEARCH("구리독자",$I121)),"구리독자",""))</f>
        <v/>
      </c>
      <c r="K121" s="29">
        <f>IF($D121="","",IF(COUNTIFS(입력_전공의명단!$C$2:$C$401,$D121,입력_전공의명단!$F$2:$F$401,IF(OR($C121="인턴",ISNUMBER(SEARCH("수련교육부",$B121))),"인턴",$B121))=1,MATCH($D121&amp;"|"&amp;IF(OR($C121="인턴",ISNUMBER(SEARCH("수련교육부",$B121))),"인턴",$B121),입력_전공의명단!$AP$2:$AP$401,0),IF(AND(COUNTIFS(입력_전공의명단!$C$2:$C$401,$D121,입력_전공의명단!$F$2:$F$401,IF(OR($C121="인턴",ISNUMBER(SEARCH("수련교육부",$B121))),"인턴",$B121))=0,COUNTIF(입력_전공의명단!$C$2:$C$401,$D121)=1),MATCH($D121,입력_전공의명단!$C$2:$C$401,0),"")))</f>
        <v/>
      </c>
      <c r="L121" s="26">
        <f>IF($D121="","",IF($K121&lt;&gt;"",IF(COUNTIFS(입력_전공의명단!$C$2:$C$401,$D121,입력_전공의명단!$F$2:$F$401,IF(OR($C121="인턴",ISNUMBER(SEARCH("수련교육부",$B121))),"인턴",$B121))=1,"명단 일치","명단 일치(이름만, 과 다름)"),IF(COUNTIF(입력_전공의명단!$C$2:$C$401,$D121)=0,IF(COUNTIF(입력_기본자료!$C$2:$C$1001,$D121)&gt;0,"명단에 없음(기본자료에는 있음)","명단에 없음"),"동명이인 확인")))</f>
        <v/>
      </c>
      <c r="N121" s="8" t="n">
        <v>116</v>
      </c>
      <c r="O121" s="8">
        <f>IF(ISNUMBER(SEARCH("근무예정자",(INDEX(입력_구리근무자명단!$A$3:$GZ$3,1,116)&amp;""))),IFERROR(VALUE(LEFT((INDEX(입력_구리근무자명단!$A$3:$GZ$3,1,116)&amp;""),4))*100+VALUE(MID((INDEX(입력_구리근무자명단!$A$3:$GZ$3,1,116)&amp;""),6,MIN(FIND("월",(INDEX(입력_구리근무자명단!$A$3:$GZ$3,1,116)&amp;"")&amp;"월"),FIND(CHAR(10),(INDEX(입력_구리근무자명단!$A$3:$GZ$3,1,116)&amp;"")&amp;CHAR(10)),FIND(" ",(INDEX(입력_구리근무자명단!$A$3:$GZ$3,1,116)&amp;"")&amp;" "))-6)),""),"")</f>
        <v/>
      </c>
    </row>
    <row r="122">
      <c r="A122" s="29" t="n">
        <v>120</v>
      </c>
      <c r="B122" s="26">
        <f>IF(TRIM(INDEX(입력_구리근무자명단!$A$1:$GZ$303,$A122,1)&amp;"")&lt;&gt;"",TRIM(INDEX(입력_구리근무자명단!$A$1:$GZ$303,$A122,1)&amp;""),B121)</f>
        <v/>
      </c>
      <c r="C122" s="26">
        <f>IF(INDEX(입력_구리근무자명단!$A$1:$GZ$303,$A122,2)="","",INDEX(입력_구리근무자명단!$A$1:$GZ$303,$A122,2))</f>
        <v/>
      </c>
      <c r="D122" s="26">
        <f>IF($G$2="","",TRIM(IF($I$2="확정",INDEX(입력_구리근무자명단!$A$1:$GZ$303,$A122,$G$2+1)&amp;"",INDEX(입력_구리근무자명단!$A$1:$GZ$303,$A122,$G$2+0)&amp;"")))</f>
        <v/>
      </c>
      <c r="E122" s="26">
        <f>IF($D122="","",$I$2)</f>
        <v/>
      </c>
      <c r="F122" s="28">
        <f>IF($D122="","",IF(INDEX(입력_구리근무자명단!$A$1:$GZ$303,$A122,$G$2+2)="",출력_요약!$B$3,IF(ISNUMBER(INDEX(입력_구리근무자명단!$A$1:$GZ$303,$A122,$G$2+2)),INDEX(입력_구리근무자명단!$A$1:$GZ$303,$A122,$G$2+2),IFERROR(DATE(VALUE(LEFT(INDEX(입력_구리근무자명단!$A$1:$GZ$303,$A122,$G$2+2),4)),VALUE(MID(INDEX(입력_구리근무자명단!$A$1:$GZ$303,$A122,$G$2+2),6,2)),VALUE(MID(INDEX(입력_구리근무자명단!$A$1:$GZ$303,$A122,$G$2+2),9,2))),IFERROR(DATEVALUE(SUBSTITUTE(TRIM(INDEX(입력_구리근무자명단!$A$1:$GZ$303,$A122,$G$2+2)),".","-")),"⚠"&amp;INDEX(입력_구리근무자명단!$A$1:$GZ$303,$A122,$G$2+2))))))</f>
        <v/>
      </c>
      <c r="G122" s="28">
        <f>IF($D122="","",IF(INDEX(입력_구리근무자명단!$A$1:$GZ$303,$A122,$G$2+3)="",EOMONTH(출력_요약!$B$3,0),IF(ISNUMBER(INDEX(입력_구리근무자명단!$A$1:$GZ$303,$A122,$G$2+3)),INDEX(입력_구리근무자명단!$A$1:$GZ$303,$A122,$G$2+3),IFERROR(DATE(VALUE(LEFT(INDEX(입력_구리근무자명단!$A$1:$GZ$303,$A122,$G$2+3),4)),VALUE(MID(INDEX(입력_구리근무자명단!$A$1:$GZ$303,$A122,$G$2+3),6,2)),VALUE(MID(INDEX(입력_구리근무자명단!$A$1:$GZ$303,$A122,$G$2+3),9,2))),IFERROR(DATEVALUE(SUBSTITUTE(TRIM(INDEX(입력_구리근무자명단!$A$1:$GZ$303,$A122,$G$2+3)),".","-")),"⚠"&amp;INDEX(입력_구리근무자명단!$A$1:$GZ$303,$A122,$G$2+3))))))</f>
        <v/>
      </c>
      <c r="H122" s="26">
        <f>IF($D122="","",IF(OR(NOT(ISNUMBER($F122)),NOT(ISNUMBER($G122))),0,MAX(0,MIN($G122,EOMONTH(출력_요약!$B$3,0))-MAX($F122,출력_요약!$B$3)+1)))</f>
        <v/>
      </c>
      <c r="I122" s="26">
        <f>IF($D122="","",TRIM(INDEX(입력_구리근무자명단!$A$1:$GZ$303,$A122,$G$2+5)&amp;""))</f>
        <v/>
      </c>
      <c r="J122" s="26">
        <f>IF($D122="","",IF(ISNUMBER(SEARCH("구리독자",$I122)),"구리독자",""))</f>
        <v/>
      </c>
      <c r="K122" s="29">
        <f>IF($D122="","",IF(COUNTIFS(입력_전공의명단!$C$2:$C$401,$D122,입력_전공의명단!$F$2:$F$401,IF(OR($C122="인턴",ISNUMBER(SEARCH("수련교육부",$B122))),"인턴",$B122))=1,MATCH($D122&amp;"|"&amp;IF(OR($C122="인턴",ISNUMBER(SEARCH("수련교육부",$B122))),"인턴",$B122),입력_전공의명단!$AP$2:$AP$401,0),IF(AND(COUNTIFS(입력_전공의명단!$C$2:$C$401,$D122,입력_전공의명단!$F$2:$F$401,IF(OR($C122="인턴",ISNUMBER(SEARCH("수련교육부",$B122))),"인턴",$B122))=0,COUNTIF(입력_전공의명단!$C$2:$C$401,$D122)=1),MATCH($D122,입력_전공의명단!$C$2:$C$401,0),"")))</f>
        <v/>
      </c>
      <c r="L122" s="26">
        <f>IF($D122="","",IF($K122&lt;&gt;"",IF(COUNTIFS(입력_전공의명단!$C$2:$C$401,$D122,입력_전공의명단!$F$2:$F$401,IF(OR($C122="인턴",ISNUMBER(SEARCH("수련교육부",$B122))),"인턴",$B122))=1,"명단 일치","명단 일치(이름만, 과 다름)"),IF(COUNTIF(입력_전공의명단!$C$2:$C$401,$D122)=0,IF(COUNTIF(입력_기본자료!$C$2:$C$1001,$D122)&gt;0,"명단에 없음(기본자료에는 있음)","명단에 없음"),"동명이인 확인")))</f>
        <v/>
      </c>
      <c r="N122" s="8" t="n">
        <v>117</v>
      </c>
      <c r="O122" s="8">
        <f>IF(ISNUMBER(SEARCH("근무예정자",(INDEX(입력_구리근무자명단!$A$3:$GZ$3,1,117)&amp;""))),IFERROR(VALUE(LEFT((INDEX(입력_구리근무자명단!$A$3:$GZ$3,1,117)&amp;""),4))*100+VALUE(MID((INDEX(입력_구리근무자명단!$A$3:$GZ$3,1,117)&amp;""),6,MIN(FIND("월",(INDEX(입력_구리근무자명단!$A$3:$GZ$3,1,117)&amp;"")&amp;"월"),FIND(CHAR(10),(INDEX(입력_구리근무자명단!$A$3:$GZ$3,1,117)&amp;"")&amp;CHAR(10)),FIND(" ",(INDEX(입력_구리근무자명단!$A$3:$GZ$3,1,117)&amp;"")&amp;" "))-6)),""),"")</f>
        <v/>
      </c>
    </row>
    <row r="123">
      <c r="A123" s="29" t="n">
        <v>121</v>
      </c>
      <c r="B123" s="26">
        <f>IF(TRIM(INDEX(입력_구리근무자명단!$A$1:$GZ$303,$A123,1)&amp;"")&lt;&gt;"",TRIM(INDEX(입력_구리근무자명단!$A$1:$GZ$303,$A123,1)&amp;""),B122)</f>
        <v/>
      </c>
      <c r="C123" s="26">
        <f>IF(INDEX(입력_구리근무자명단!$A$1:$GZ$303,$A123,2)="","",INDEX(입력_구리근무자명단!$A$1:$GZ$303,$A123,2))</f>
        <v/>
      </c>
      <c r="D123" s="26">
        <f>IF($G$2="","",TRIM(IF($I$2="확정",INDEX(입력_구리근무자명단!$A$1:$GZ$303,$A123,$G$2+1)&amp;"",INDEX(입력_구리근무자명단!$A$1:$GZ$303,$A123,$G$2+0)&amp;"")))</f>
        <v/>
      </c>
      <c r="E123" s="26">
        <f>IF($D123="","",$I$2)</f>
        <v/>
      </c>
      <c r="F123" s="28">
        <f>IF($D123="","",IF(INDEX(입력_구리근무자명단!$A$1:$GZ$303,$A123,$G$2+2)="",출력_요약!$B$3,IF(ISNUMBER(INDEX(입력_구리근무자명단!$A$1:$GZ$303,$A123,$G$2+2)),INDEX(입력_구리근무자명단!$A$1:$GZ$303,$A123,$G$2+2),IFERROR(DATE(VALUE(LEFT(INDEX(입력_구리근무자명단!$A$1:$GZ$303,$A123,$G$2+2),4)),VALUE(MID(INDEX(입력_구리근무자명단!$A$1:$GZ$303,$A123,$G$2+2),6,2)),VALUE(MID(INDEX(입력_구리근무자명단!$A$1:$GZ$303,$A123,$G$2+2),9,2))),IFERROR(DATEVALUE(SUBSTITUTE(TRIM(INDEX(입력_구리근무자명단!$A$1:$GZ$303,$A123,$G$2+2)),".","-")),"⚠"&amp;INDEX(입력_구리근무자명단!$A$1:$GZ$303,$A123,$G$2+2))))))</f>
        <v/>
      </c>
      <c r="G123" s="28">
        <f>IF($D123="","",IF(INDEX(입력_구리근무자명단!$A$1:$GZ$303,$A123,$G$2+3)="",EOMONTH(출력_요약!$B$3,0),IF(ISNUMBER(INDEX(입력_구리근무자명단!$A$1:$GZ$303,$A123,$G$2+3)),INDEX(입력_구리근무자명단!$A$1:$GZ$303,$A123,$G$2+3),IFERROR(DATE(VALUE(LEFT(INDEX(입력_구리근무자명단!$A$1:$GZ$303,$A123,$G$2+3),4)),VALUE(MID(INDEX(입력_구리근무자명단!$A$1:$GZ$303,$A123,$G$2+3),6,2)),VALUE(MID(INDEX(입력_구리근무자명단!$A$1:$GZ$303,$A123,$G$2+3),9,2))),IFERROR(DATEVALUE(SUBSTITUTE(TRIM(INDEX(입력_구리근무자명단!$A$1:$GZ$303,$A123,$G$2+3)),".","-")),"⚠"&amp;INDEX(입력_구리근무자명단!$A$1:$GZ$303,$A123,$G$2+3))))))</f>
        <v/>
      </c>
      <c r="H123" s="26">
        <f>IF($D123="","",IF(OR(NOT(ISNUMBER($F123)),NOT(ISNUMBER($G123))),0,MAX(0,MIN($G123,EOMONTH(출력_요약!$B$3,0))-MAX($F123,출력_요약!$B$3)+1)))</f>
        <v/>
      </c>
      <c r="I123" s="26">
        <f>IF($D123="","",TRIM(INDEX(입력_구리근무자명단!$A$1:$GZ$303,$A123,$G$2+5)&amp;""))</f>
        <v/>
      </c>
      <c r="J123" s="26">
        <f>IF($D123="","",IF(ISNUMBER(SEARCH("구리독자",$I123)),"구리독자",""))</f>
        <v/>
      </c>
      <c r="K123" s="29">
        <f>IF($D123="","",IF(COUNTIFS(입력_전공의명단!$C$2:$C$401,$D123,입력_전공의명단!$F$2:$F$401,IF(OR($C123="인턴",ISNUMBER(SEARCH("수련교육부",$B123))),"인턴",$B123))=1,MATCH($D123&amp;"|"&amp;IF(OR($C123="인턴",ISNUMBER(SEARCH("수련교육부",$B123))),"인턴",$B123),입력_전공의명단!$AP$2:$AP$401,0),IF(AND(COUNTIFS(입력_전공의명단!$C$2:$C$401,$D123,입력_전공의명단!$F$2:$F$401,IF(OR($C123="인턴",ISNUMBER(SEARCH("수련교육부",$B123))),"인턴",$B123))=0,COUNTIF(입력_전공의명단!$C$2:$C$401,$D123)=1),MATCH($D123,입력_전공의명단!$C$2:$C$401,0),"")))</f>
        <v/>
      </c>
      <c r="L123" s="26">
        <f>IF($D123="","",IF($K123&lt;&gt;"",IF(COUNTIFS(입력_전공의명단!$C$2:$C$401,$D123,입력_전공의명단!$F$2:$F$401,IF(OR($C123="인턴",ISNUMBER(SEARCH("수련교육부",$B123))),"인턴",$B123))=1,"명단 일치","명단 일치(이름만, 과 다름)"),IF(COUNTIF(입력_전공의명단!$C$2:$C$401,$D123)=0,IF(COUNTIF(입력_기본자료!$C$2:$C$1001,$D123)&gt;0,"명단에 없음(기본자료에는 있음)","명단에 없음"),"동명이인 확인")))</f>
        <v/>
      </c>
      <c r="N123" s="8" t="n">
        <v>118</v>
      </c>
      <c r="O123" s="8">
        <f>IF(ISNUMBER(SEARCH("근무예정자",(INDEX(입력_구리근무자명단!$A$3:$GZ$3,1,118)&amp;""))),IFERROR(VALUE(LEFT((INDEX(입력_구리근무자명단!$A$3:$GZ$3,1,118)&amp;""),4))*100+VALUE(MID((INDEX(입력_구리근무자명단!$A$3:$GZ$3,1,118)&amp;""),6,MIN(FIND("월",(INDEX(입력_구리근무자명단!$A$3:$GZ$3,1,118)&amp;"")&amp;"월"),FIND(CHAR(10),(INDEX(입력_구리근무자명단!$A$3:$GZ$3,1,118)&amp;"")&amp;CHAR(10)),FIND(" ",(INDEX(입력_구리근무자명단!$A$3:$GZ$3,1,118)&amp;"")&amp;" "))-6)),""),"")</f>
        <v/>
      </c>
    </row>
    <row r="124">
      <c r="A124" s="29" t="n">
        <v>122</v>
      </c>
      <c r="B124" s="26">
        <f>IF(TRIM(INDEX(입력_구리근무자명단!$A$1:$GZ$303,$A124,1)&amp;"")&lt;&gt;"",TRIM(INDEX(입력_구리근무자명단!$A$1:$GZ$303,$A124,1)&amp;""),B123)</f>
        <v/>
      </c>
      <c r="C124" s="26">
        <f>IF(INDEX(입력_구리근무자명단!$A$1:$GZ$303,$A124,2)="","",INDEX(입력_구리근무자명단!$A$1:$GZ$303,$A124,2))</f>
        <v/>
      </c>
      <c r="D124" s="26">
        <f>IF($G$2="","",TRIM(IF($I$2="확정",INDEX(입력_구리근무자명단!$A$1:$GZ$303,$A124,$G$2+1)&amp;"",INDEX(입력_구리근무자명단!$A$1:$GZ$303,$A124,$G$2+0)&amp;"")))</f>
        <v/>
      </c>
      <c r="E124" s="26">
        <f>IF($D124="","",$I$2)</f>
        <v/>
      </c>
      <c r="F124" s="28">
        <f>IF($D124="","",IF(INDEX(입력_구리근무자명단!$A$1:$GZ$303,$A124,$G$2+2)="",출력_요약!$B$3,IF(ISNUMBER(INDEX(입력_구리근무자명단!$A$1:$GZ$303,$A124,$G$2+2)),INDEX(입력_구리근무자명단!$A$1:$GZ$303,$A124,$G$2+2),IFERROR(DATE(VALUE(LEFT(INDEX(입력_구리근무자명단!$A$1:$GZ$303,$A124,$G$2+2),4)),VALUE(MID(INDEX(입력_구리근무자명단!$A$1:$GZ$303,$A124,$G$2+2),6,2)),VALUE(MID(INDEX(입력_구리근무자명단!$A$1:$GZ$303,$A124,$G$2+2),9,2))),IFERROR(DATEVALUE(SUBSTITUTE(TRIM(INDEX(입력_구리근무자명단!$A$1:$GZ$303,$A124,$G$2+2)),".","-")),"⚠"&amp;INDEX(입력_구리근무자명단!$A$1:$GZ$303,$A124,$G$2+2))))))</f>
        <v/>
      </c>
      <c r="G124" s="28">
        <f>IF($D124="","",IF(INDEX(입력_구리근무자명단!$A$1:$GZ$303,$A124,$G$2+3)="",EOMONTH(출력_요약!$B$3,0),IF(ISNUMBER(INDEX(입력_구리근무자명단!$A$1:$GZ$303,$A124,$G$2+3)),INDEX(입력_구리근무자명단!$A$1:$GZ$303,$A124,$G$2+3),IFERROR(DATE(VALUE(LEFT(INDEX(입력_구리근무자명단!$A$1:$GZ$303,$A124,$G$2+3),4)),VALUE(MID(INDEX(입력_구리근무자명단!$A$1:$GZ$303,$A124,$G$2+3),6,2)),VALUE(MID(INDEX(입력_구리근무자명단!$A$1:$GZ$303,$A124,$G$2+3),9,2))),IFERROR(DATEVALUE(SUBSTITUTE(TRIM(INDEX(입력_구리근무자명단!$A$1:$GZ$303,$A124,$G$2+3)),".","-")),"⚠"&amp;INDEX(입력_구리근무자명단!$A$1:$GZ$303,$A124,$G$2+3))))))</f>
        <v/>
      </c>
      <c r="H124" s="26">
        <f>IF($D124="","",IF(OR(NOT(ISNUMBER($F124)),NOT(ISNUMBER($G124))),0,MAX(0,MIN($G124,EOMONTH(출력_요약!$B$3,0))-MAX($F124,출력_요약!$B$3)+1)))</f>
        <v/>
      </c>
      <c r="I124" s="26">
        <f>IF($D124="","",TRIM(INDEX(입력_구리근무자명단!$A$1:$GZ$303,$A124,$G$2+5)&amp;""))</f>
        <v/>
      </c>
      <c r="J124" s="26">
        <f>IF($D124="","",IF(ISNUMBER(SEARCH("구리독자",$I124)),"구리독자",""))</f>
        <v/>
      </c>
      <c r="K124" s="29">
        <f>IF($D124="","",IF(COUNTIFS(입력_전공의명단!$C$2:$C$401,$D124,입력_전공의명단!$F$2:$F$401,IF(OR($C124="인턴",ISNUMBER(SEARCH("수련교육부",$B124))),"인턴",$B124))=1,MATCH($D124&amp;"|"&amp;IF(OR($C124="인턴",ISNUMBER(SEARCH("수련교육부",$B124))),"인턴",$B124),입력_전공의명단!$AP$2:$AP$401,0),IF(AND(COUNTIFS(입력_전공의명단!$C$2:$C$401,$D124,입력_전공의명단!$F$2:$F$401,IF(OR($C124="인턴",ISNUMBER(SEARCH("수련교육부",$B124))),"인턴",$B124))=0,COUNTIF(입력_전공의명단!$C$2:$C$401,$D124)=1),MATCH($D124,입력_전공의명단!$C$2:$C$401,0),"")))</f>
        <v/>
      </c>
      <c r="L124" s="26">
        <f>IF($D124="","",IF($K124&lt;&gt;"",IF(COUNTIFS(입력_전공의명단!$C$2:$C$401,$D124,입력_전공의명단!$F$2:$F$401,IF(OR($C124="인턴",ISNUMBER(SEARCH("수련교육부",$B124))),"인턴",$B124))=1,"명단 일치","명단 일치(이름만, 과 다름)"),IF(COUNTIF(입력_전공의명단!$C$2:$C$401,$D124)=0,IF(COUNTIF(입력_기본자료!$C$2:$C$1001,$D124)&gt;0,"명단에 없음(기본자료에는 있음)","명단에 없음"),"동명이인 확인")))</f>
        <v/>
      </c>
      <c r="N124" s="8" t="n">
        <v>119</v>
      </c>
      <c r="O124" s="8">
        <f>IF(ISNUMBER(SEARCH("근무예정자",(INDEX(입력_구리근무자명단!$A$3:$GZ$3,1,119)&amp;""))),IFERROR(VALUE(LEFT((INDEX(입력_구리근무자명단!$A$3:$GZ$3,1,119)&amp;""),4))*100+VALUE(MID((INDEX(입력_구리근무자명단!$A$3:$GZ$3,1,119)&amp;""),6,MIN(FIND("월",(INDEX(입력_구리근무자명단!$A$3:$GZ$3,1,119)&amp;"")&amp;"월"),FIND(CHAR(10),(INDEX(입력_구리근무자명단!$A$3:$GZ$3,1,119)&amp;"")&amp;CHAR(10)),FIND(" ",(INDEX(입력_구리근무자명단!$A$3:$GZ$3,1,119)&amp;"")&amp;" "))-6)),""),"")</f>
        <v/>
      </c>
    </row>
    <row r="125">
      <c r="A125" s="29" t="n">
        <v>123</v>
      </c>
      <c r="B125" s="26">
        <f>IF(TRIM(INDEX(입력_구리근무자명단!$A$1:$GZ$303,$A125,1)&amp;"")&lt;&gt;"",TRIM(INDEX(입력_구리근무자명단!$A$1:$GZ$303,$A125,1)&amp;""),B124)</f>
        <v/>
      </c>
      <c r="C125" s="26">
        <f>IF(INDEX(입력_구리근무자명단!$A$1:$GZ$303,$A125,2)="","",INDEX(입력_구리근무자명단!$A$1:$GZ$303,$A125,2))</f>
        <v/>
      </c>
      <c r="D125" s="26">
        <f>IF($G$2="","",TRIM(IF($I$2="확정",INDEX(입력_구리근무자명단!$A$1:$GZ$303,$A125,$G$2+1)&amp;"",INDEX(입력_구리근무자명단!$A$1:$GZ$303,$A125,$G$2+0)&amp;"")))</f>
        <v/>
      </c>
      <c r="E125" s="26">
        <f>IF($D125="","",$I$2)</f>
        <v/>
      </c>
      <c r="F125" s="28">
        <f>IF($D125="","",IF(INDEX(입력_구리근무자명단!$A$1:$GZ$303,$A125,$G$2+2)="",출력_요약!$B$3,IF(ISNUMBER(INDEX(입력_구리근무자명단!$A$1:$GZ$303,$A125,$G$2+2)),INDEX(입력_구리근무자명단!$A$1:$GZ$303,$A125,$G$2+2),IFERROR(DATE(VALUE(LEFT(INDEX(입력_구리근무자명단!$A$1:$GZ$303,$A125,$G$2+2),4)),VALUE(MID(INDEX(입력_구리근무자명단!$A$1:$GZ$303,$A125,$G$2+2),6,2)),VALUE(MID(INDEX(입력_구리근무자명단!$A$1:$GZ$303,$A125,$G$2+2),9,2))),IFERROR(DATEVALUE(SUBSTITUTE(TRIM(INDEX(입력_구리근무자명단!$A$1:$GZ$303,$A125,$G$2+2)),".","-")),"⚠"&amp;INDEX(입력_구리근무자명단!$A$1:$GZ$303,$A125,$G$2+2))))))</f>
        <v/>
      </c>
      <c r="G125" s="28">
        <f>IF($D125="","",IF(INDEX(입력_구리근무자명단!$A$1:$GZ$303,$A125,$G$2+3)="",EOMONTH(출력_요약!$B$3,0),IF(ISNUMBER(INDEX(입력_구리근무자명단!$A$1:$GZ$303,$A125,$G$2+3)),INDEX(입력_구리근무자명단!$A$1:$GZ$303,$A125,$G$2+3),IFERROR(DATE(VALUE(LEFT(INDEX(입력_구리근무자명단!$A$1:$GZ$303,$A125,$G$2+3),4)),VALUE(MID(INDEX(입력_구리근무자명단!$A$1:$GZ$303,$A125,$G$2+3),6,2)),VALUE(MID(INDEX(입력_구리근무자명단!$A$1:$GZ$303,$A125,$G$2+3),9,2))),IFERROR(DATEVALUE(SUBSTITUTE(TRIM(INDEX(입력_구리근무자명단!$A$1:$GZ$303,$A125,$G$2+3)),".","-")),"⚠"&amp;INDEX(입력_구리근무자명단!$A$1:$GZ$303,$A125,$G$2+3))))))</f>
        <v/>
      </c>
      <c r="H125" s="26">
        <f>IF($D125="","",IF(OR(NOT(ISNUMBER($F125)),NOT(ISNUMBER($G125))),0,MAX(0,MIN($G125,EOMONTH(출력_요약!$B$3,0))-MAX($F125,출력_요약!$B$3)+1)))</f>
        <v/>
      </c>
      <c r="I125" s="26">
        <f>IF($D125="","",TRIM(INDEX(입력_구리근무자명단!$A$1:$GZ$303,$A125,$G$2+5)&amp;""))</f>
        <v/>
      </c>
      <c r="J125" s="26">
        <f>IF($D125="","",IF(ISNUMBER(SEARCH("구리독자",$I125)),"구리독자",""))</f>
        <v/>
      </c>
      <c r="K125" s="29">
        <f>IF($D125="","",IF(COUNTIFS(입력_전공의명단!$C$2:$C$401,$D125,입력_전공의명단!$F$2:$F$401,IF(OR($C125="인턴",ISNUMBER(SEARCH("수련교육부",$B125))),"인턴",$B125))=1,MATCH($D125&amp;"|"&amp;IF(OR($C125="인턴",ISNUMBER(SEARCH("수련교육부",$B125))),"인턴",$B125),입력_전공의명단!$AP$2:$AP$401,0),IF(AND(COUNTIFS(입력_전공의명단!$C$2:$C$401,$D125,입력_전공의명단!$F$2:$F$401,IF(OR($C125="인턴",ISNUMBER(SEARCH("수련교육부",$B125))),"인턴",$B125))=0,COUNTIF(입력_전공의명단!$C$2:$C$401,$D125)=1),MATCH($D125,입력_전공의명단!$C$2:$C$401,0),"")))</f>
        <v/>
      </c>
      <c r="L125" s="26">
        <f>IF($D125="","",IF($K125&lt;&gt;"",IF(COUNTIFS(입력_전공의명단!$C$2:$C$401,$D125,입력_전공의명단!$F$2:$F$401,IF(OR($C125="인턴",ISNUMBER(SEARCH("수련교육부",$B125))),"인턴",$B125))=1,"명단 일치","명단 일치(이름만, 과 다름)"),IF(COUNTIF(입력_전공의명단!$C$2:$C$401,$D125)=0,IF(COUNTIF(입력_기본자료!$C$2:$C$1001,$D125)&gt;0,"명단에 없음(기본자료에는 있음)","명단에 없음"),"동명이인 확인")))</f>
        <v/>
      </c>
      <c r="N125" s="8" t="n">
        <v>120</v>
      </c>
      <c r="O125" s="8">
        <f>IF(ISNUMBER(SEARCH("근무예정자",(INDEX(입력_구리근무자명단!$A$3:$GZ$3,1,120)&amp;""))),IFERROR(VALUE(LEFT((INDEX(입력_구리근무자명단!$A$3:$GZ$3,1,120)&amp;""),4))*100+VALUE(MID((INDEX(입력_구리근무자명단!$A$3:$GZ$3,1,120)&amp;""),6,MIN(FIND("월",(INDEX(입력_구리근무자명단!$A$3:$GZ$3,1,120)&amp;"")&amp;"월"),FIND(CHAR(10),(INDEX(입력_구리근무자명단!$A$3:$GZ$3,1,120)&amp;"")&amp;CHAR(10)),FIND(" ",(INDEX(입력_구리근무자명단!$A$3:$GZ$3,1,120)&amp;"")&amp;" "))-6)),""),"")</f>
        <v/>
      </c>
    </row>
    <row r="126">
      <c r="A126" s="29" t="n">
        <v>124</v>
      </c>
      <c r="B126" s="26">
        <f>IF(TRIM(INDEX(입력_구리근무자명단!$A$1:$GZ$303,$A126,1)&amp;"")&lt;&gt;"",TRIM(INDEX(입력_구리근무자명단!$A$1:$GZ$303,$A126,1)&amp;""),B125)</f>
        <v/>
      </c>
      <c r="C126" s="26">
        <f>IF(INDEX(입력_구리근무자명단!$A$1:$GZ$303,$A126,2)="","",INDEX(입력_구리근무자명단!$A$1:$GZ$303,$A126,2))</f>
        <v/>
      </c>
      <c r="D126" s="26">
        <f>IF($G$2="","",TRIM(IF($I$2="확정",INDEX(입력_구리근무자명단!$A$1:$GZ$303,$A126,$G$2+1)&amp;"",INDEX(입력_구리근무자명단!$A$1:$GZ$303,$A126,$G$2+0)&amp;"")))</f>
        <v/>
      </c>
      <c r="E126" s="26">
        <f>IF($D126="","",$I$2)</f>
        <v/>
      </c>
      <c r="F126" s="28">
        <f>IF($D126="","",IF(INDEX(입력_구리근무자명단!$A$1:$GZ$303,$A126,$G$2+2)="",출력_요약!$B$3,IF(ISNUMBER(INDEX(입력_구리근무자명단!$A$1:$GZ$303,$A126,$G$2+2)),INDEX(입력_구리근무자명단!$A$1:$GZ$303,$A126,$G$2+2),IFERROR(DATE(VALUE(LEFT(INDEX(입력_구리근무자명단!$A$1:$GZ$303,$A126,$G$2+2),4)),VALUE(MID(INDEX(입력_구리근무자명단!$A$1:$GZ$303,$A126,$G$2+2),6,2)),VALUE(MID(INDEX(입력_구리근무자명단!$A$1:$GZ$303,$A126,$G$2+2),9,2))),IFERROR(DATEVALUE(SUBSTITUTE(TRIM(INDEX(입력_구리근무자명단!$A$1:$GZ$303,$A126,$G$2+2)),".","-")),"⚠"&amp;INDEX(입력_구리근무자명단!$A$1:$GZ$303,$A126,$G$2+2))))))</f>
        <v/>
      </c>
      <c r="G126" s="28">
        <f>IF($D126="","",IF(INDEX(입력_구리근무자명단!$A$1:$GZ$303,$A126,$G$2+3)="",EOMONTH(출력_요약!$B$3,0),IF(ISNUMBER(INDEX(입력_구리근무자명단!$A$1:$GZ$303,$A126,$G$2+3)),INDEX(입력_구리근무자명단!$A$1:$GZ$303,$A126,$G$2+3),IFERROR(DATE(VALUE(LEFT(INDEX(입력_구리근무자명단!$A$1:$GZ$303,$A126,$G$2+3),4)),VALUE(MID(INDEX(입력_구리근무자명단!$A$1:$GZ$303,$A126,$G$2+3),6,2)),VALUE(MID(INDEX(입력_구리근무자명단!$A$1:$GZ$303,$A126,$G$2+3),9,2))),IFERROR(DATEVALUE(SUBSTITUTE(TRIM(INDEX(입력_구리근무자명단!$A$1:$GZ$303,$A126,$G$2+3)),".","-")),"⚠"&amp;INDEX(입력_구리근무자명단!$A$1:$GZ$303,$A126,$G$2+3))))))</f>
        <v/>
      </c>
      <c r="H126" s="26">
        <f>IF($D126="","",IF(OR(NOT(ISNUMBER($F126)),NOT(ISNUMBER($G126))),0,MAX(0,MIN($G126,EOMONTH(출력_요약!$B$3,0))-MAX($F126,출력_요약!$B$3)+1)))</f>
        <v/>
      </c>
      <c r="I126" s="26">
        <f>IF($D126="","",TRIM(INDEX(입력_구리근무자명단!$A$1:$GZ$303,$A126,$G$2+5)&amp;""))</f>
        <v/>
      </c>
      <c r="J126" s="26">
        <f>IF($D126="","",IF(ISNUMBER(SEARCH("구리독자",$I126)),"구리독자",""))</f>
        <v/>
      </c>
      <c r="K126" s="29">
        <f>IF($D126="","",IF(COUNTIFS(입력_전공의명단!$C$2:$C$401,$D126,입력_전공의명단!$F$2:$F$401,IF(OR($C126="인턴",ISNUMBER(SEARCH("수련교육부",$B126))),"인턴",$B126))=1,MATCH($D126&amp;"|"&amp;IF(OR($C126="인턴",ISNUMBER(SEARCH("수련교육부",$B126))),"인턴",$B126),입력_전공의명단!$AP$2:$AP$401,0),IF(AND(COUNTIFS(입력_전공의명단!$C$2:$C$401,$D126,입력_전공의명단!$F$2:$F$401,IF(OR($C126="인턴",ISNUMBER(SEARCH("수련교육부",$B126))),"인턴",$B126))=0,COUNTIF(입력_전공의명단!$C$2:$C$401,$D126)=1),MATCH($D126,입력_전공의명단!$C$2:$C$401,0),"")))</f>
        <v/>
      </c>
      <c r="L126" s="26">
        <f>IF($D126="","",IF($K126&lt;&gt;"",IF(COUNTIFS(입력_전공의명단!$C$2:$C$401,$D126,입력_전공의명단!$F$2:$F$401,IF(OR($C126="인턴",ISNUMBER(SEARCH("수련교육부",$B126))),"인턴",$B126))=1,"명단 일치","명단 일치(이름만, 과 다름)"),IF(COUNTIF(입력_전공의명단!$C$2:$C$401,$D126)=0,IF(COUNTIF(입력_기본자료!$C$2:$C$1001,$D126)&gt;0,"명단에 없음(기본자료에는 있음)","명단에 없음"),"동명이인 확인")))</f>
        <v/>
      </c>
      <c r="N126" s="8" t="n">
        <v>121</v>
      </c>
      <c r="O126" s="8">
        <f>IF(ISNUMBER(SEARCH("근무예정자",(INDEX(입력_구리근무자명단!$A$3:$GZ$3,1,121)&amp;""))),IFERROR(VALUE(LEFT((INDEX(입력_구리근무자명단!$A$3:$GZ$3,1,121)&amp;""),4))*100+VALUE(MID((INDEX(입력_구리근무자명단!$A$3:$GZ$3,1,121)&amp;""),6,MIN(FIND("월",(INDEX(입력_구리근무자명단!$A$3:$GZ$3,1,121)&amp;"")&amp;"월"),FIND(CHAR(10),(INDEX(입력_구리근무자명단!$A$3:$GZ$3,1,121)&amp;"")&amp;CHAR(10)),FIND(" ",(INDEX(입력_구리근무자명단!$A$3:$GZ$3,1,121)&amp;"")&amp;" "))-6)),""),"")</f>
        <v/>
      </c>
    </row>
    <row r="127">
      <c r="A127" s="29" t="n">
        <v>125</v>
      </c>
      <c r="B127" s="26">
        <f>IF(TRIM(INDEX(입력_구리근무자명단!$A$1:$GZ$303,$A127,1)&amp;"")&lt;&gt;"",TRIM(INDEX(입력_구리근무자명단!$A$1:$GZ$303,$A127,1)&amp;""),B126)</f>
        <v/>
      </c>
      <c r="C127" s="26">
        <f>IF(INDEX(입력_구리근무자명단!$A$1:$GZ$303,$A127,2)="","",INDEX(입력_구리근무자명단!$A$1:$GZ$303,$A127,2))</f>
        <v/>
      </c>
      <c r="D127" s="26">
        <f>IF($G$2="","",TRIM(IF($I$2="확정",INDEX(입력_구리근무자명단!$A$1:$GZ$303,$A127,$G$2+1)&amp;"",INDEX(입력_구리근무자명단!$A$1:$GZ$303,$A127,$G$2+0)&amp;"")))</f>
        <v/>
      </c>
      <c r="E127" s="26">
        <f>IF($D127="","",$I$2)</f>
        <v/>
      </c>
      <c r="F127" s="28">
        <f>IF($D127="","",IF(INDEX(입력_구리근무자명단!$A$1:$GZ$303,$A127,$G$2+2)="",출력_요약!$B$3,IF(ISNUMBER(INDEX(입력_구리근무자명단!$A$1:$GZ$303,$A127,$G$2+2)),INDEX(입력_구리근무자명단!$A$1:$GZ$303,$A127,$G$2+2),IFERROR(DATE(VALUE(LEFT(INDEX(입력_구리근무자명단!$A$1:$GZ$303,$A127,$G$2+2),4)),VALUE(MID(INDEX(입력_구리근무자명단!$A$1:$GZ$303,$A127,$G$2+2),6,2)),VALUE(MID(INDEX(입력_구리근무자명단!$A$1:$GZ$303,$A127,$G$2+2),9,2))),IFERROR(DATEVALUE(SUBSTITUTE(TRIM(INDEX(입력_구리근무자명단!$A$1:$GZ$303,$A127,$G$2+2)),".","-")),"⚠"&amp;INDEX(입력_구리근무자명단!$A$1:$GZ$303,$A127,$G$2+2))))))</f>
        <v/>
      </c>
      <c r="G127" s="28">
        <f>IF($D127="","",IF(INDEX(입력_구리근무자명단!$A$1:$GZ$303,$A127,$G$2+3)="",EOMONTH(출력_요약!$B$3,0),IF(ISNUMBER(INDEX(입력_구리근무자명단!$A$1:$GZ$303,$A127,$G$2+3)),INDEX(입력_구리근무자명단!$A$1:$GZ$303,$A127,$G$2+3),IFERROR(DATE(VALUE(LEFT(INDEX(입력_구리근무자명단!$A$1:$GZ$303,$A127,$G$2+3),4)),VALUE(MID(INDEX(입력_구리근무자명단!$A$1:$GZ$303,$A127,$G$2+3),6,2)),VALUE(MID(INDEX(입력_구리근무자명단!$A$1:$GZ$303,$A127,$G$2+3),9,2))),IFERROR(DATEVALUE(SUBSTITUTE(TRIM(INDEX(입력_구리근무자명단!$A$1:$GZ$303,$A127,$G$2+3)),".","-")),"⚠"&amp;INDEX(입력_구리근무자명단!$A$1:$GZ$303,$A127,$G$2+3))))))</f>
        <v/>
      </c>
      <c r="H127" s="26">
        <f>IF($D127="","",IF(OR(NOT(ISNUMBER($F127)),NOT(ISNUMBER($G127))),0,MAX(0,MIN($G127,EOMONTH(출력_요약!$B$3,0))-MAX($F127,출력_요약!$B$3)+1)))</f>
        <v/>
      </c>
      <c r="I127" s="26">
        <f>IF($D127="","",TRIM(INDEX(입력_구리근무자명단!$A$1:$GZ$303,$A127,$G$2+5)&amp;""))</f>
        <v/>
      </c>
      <c r="J127" s="26">
        <f>IF($D127="","",IF(ISNUMBER(SEARCH("구리독자",$I127)),"구리독자",""))</f>
        <v/>
      </c>
      <c r="K127" s="29">
        <f>IF($D127="","",IF(COUNTIFS(입력_전공의명단!$C$2:$C$401,$D127,입력_전공의명단!$F$2:$F$401,IF(OR($C127="인턴",ISNUMBER(SEARCH("수련교육부",$B127))),"인턴",$B127))=1,MATCH($D127&amp;"|"&amp;IF(OR($C127="인턴",ISNUMBER(SEARCH("수련교육부",$B127))),"인턴",$B127),입력_전공의명단!$AP$2:$AP$401,0),IF(AND(COUNTIFS(입력_전공의명단!$C$2:$C$401,$D127,입력_전공의명단!$F$2:$F$401,IF(OR($C127="인턴",ISNUMBER(SEARCH("수련교육부",$B127))),"인턴",$B127))=0,COUNTIF(입력_전공의명단!$C$2:$C$401,$D127)=1),MATCH($D127,입력_전공의명단!$C$2:$C$401,0),"")))</f>
        <v/>
      </c>
      <c r="L127" s="26">
        <f>IF($D127="","",IF($K127&lt;&gt;"",IF(COUNTIFS(입력_전공의명단!$C$2:$C$401,$D127,입력_전공의명단!$F$2:$F$401,IF(OR($C127="인턴",ISNUMBER(SEARCH("수련교육부",$B127))),"인턴",$B127))=1,"명단 일치","명단 일치(이름만, 과 다름)"),IF(COUNTIF(입력_전공의명단!$C$2:$C$401,$D127)=0,IF(COUNTIF(입력_기본자료!$C$2:$C$1001,$D127)&gt;0,"명단에 없음(기본자료에는 있음)","명단에 없음"),"동명이인 확인")))</f>
        <v/>
      </c>
      <c r="N127" s="8" t="n">
        <v>122</v>
      </c>
      <c r="O127" s="8">
        <f>IF(ISNUMBER(SEARCH("근무예정자",(INDEX(입력_구리근무자명단!$A$3:$GZ$3,1,122)&amp;""))),IFERROR(VALUE(LEFT((INDEX(입력_구리근무자명단!$A$3:$GZ$3,1,122)&amp;""),4))*100+VALUE(MID((INDEX(입력_구리근무자명단!$A$3:$GZ$3,1,122)&amp;""),6,MIN(FIND("월",(INDEX(입력_구리근무자명단!$A$3:$GZ$3,1,122)&amp;"")&amp;"월"),FIND(CHAR(10),(INDEX(입력_구리근무자명단!$A$3:$GZ$3,1,122)&amp;"")&amp;CHAR(10)),FIND(" ",(INDEX(입력_구리근무자명단!$A$3:$GZ$3,1,122)&amp;"")&amp;" "))-6)),""),"")</f>
        <v/>
      </c>
    </row>
    <row r="128">
      <c r="A128" s="29" t="n">
        <v>126</v>
      </c>
      <c r="B128" s="26">
        <f>IF(TRIM(INDEX(입력_구리근무자명단!$A$1:$GZ$303,$A128,1)&amp;"")&lt;&gt;"",TRIM(INDEX(입력_구리근무자명단!$A$1:$GZ$303,$A128,1)&amp;""),B127)</f>
        <v/>
      </c>
      <c r="C128" s="26">
        <f>IF(INDEX(입력_구리근무자명단!$A$1:$GZ$303,$A128,2)="","",INDEX(입력_구리근무자명단!$A$1:$GZ$303,$A128,2))</f>
        <v/>
      </c>
      <c r="D128" s="26">
        <f>IF($G$2="","",TRIM(IF($I$2="확정",INDEX(입력_구리근무자명단!$A$1:$GZ$303,$A128,$G$2+1)&amp;"",INDEX(입력_구리근무자명단!$A$1:$GZ$303,$A128,$G$2+0)&amp;"")))</f>
        <v/>
      </c>
      <c r="E128" s="26">
        <f>IF($D128="","",$I$2)</f>
        <v/>
      </c>
      <c r="F128" s="28">
        <f>IF($D128="","",IF(INDEX(입력_구리근무자명단!$A$1:$GZ$303,$A128,$G$2+2)="",출력_요약!$B$3,IF(ISNUMBER(INDEX(입력_구리근무자명단!$A$1:$GZ$303,$A128,$G$2+2)),INDEX(입력_구리근무자명단!$A$1:$GZ$303,$A128,$G$2+2),IFERROR(DATE(VALUE(LEFT(INDEX(입력_구리근무자명단!$A$1:$GZ$303,$A128,$G$2+2),4)),VALUE(MID(INDEX(입력_구리근무자명단!$A$1:$GZ$303,$A128,$G$2+2),6,2)),VALUE(MID(INDEX(입력_구리근무자명단!$A$1:$GZ$303,$A128,$G$2+2),9,2))),IFERROR(DATEVALUE(SUBSTITUTE(TRIM(INDEX(입력_구리근무자명단!$A$1:$GZ$303,$A128,$G$2+2)),".","-")),"⚠"&amp;INDEX(입력_구리근무자명단!$A$1:$GZ$303,$A128,$G$2+2))))))</f>
        <v/>
      </c>
      <c r="G128" s="28">
        <f>IF($D128="","",IF(INDEX(입력_구리근무자명단!$A$1:$GZ$303,$A128,$G$2+3)="",EOMONTH(출력_요약!$B$3,0),IF(ISNUMBER(INDEX(입력_구리근무자명단!$A$1:$GZ$303,$A128,$G$2+3)),INDEX(입력_구리근무자명단!$A$1:$GZ$303,$A128,$G$2+3),IFERROR(DATE(VALUE(LEFT(INDEX(입력_구리근무자명단!$A$1:$GZ$303,$A128,$G$2+3),4)),VALUE(MID(INDEX(입력_구리근무자명단!$A$1:$GZ$303,$A128,$G$2+3),6,2)),VALUE(MID(INDEX(입력_구리근무자명단!$A$1:$GZ$303,$A128,$G$2+3),9,2))),IFERROR(DATEVALUE(SUBSTITUTE(TRIM(INDEX(입력_구리근무자명단!$A$1:$GZ$303,$A128,$G$2+3)),".","-")),"⚠"&amp;INDEX(입력_구리근무자명단!$A$1:$GZ$303,$A128,$G$2+3))))))</f>
        <v/>
      </c>
      <c r="H128" s="26">
        <f>IF($D128="","",IF(OR(NOT(ISNUMBER($F128)),NOT(ISNUMBER($G128))),0,MAX(0,MIN($G128,EOMONTH(출력_요약!$B$3,0))-MAX($F128,출력_요약!$B$3)+1)))</f>
        <v/>
      </c>
      <c r="I128" s="26">
        <f>IF($D128="","",TRIM(INDEX(입력_구리근무자명단!$A$1:$GZ$303,$A128,$G$2+5)&amp;""))</f>
        <v/>
      </c>
      <c r="J128" s="26">
        <f>IF($D128="","",IF(ISNUMBER(SEARCH("구리독자",$I128)),"구리독자",""))</f>
        <v/>
      </c>
      <c r="K128" s="29">
        <f>IF($D128="","",IF(COUNTIFS(입력_전공의명단!$C$2:$C$401,$D128,입력_전공의명단!$F$2:$F$401,IF(OR($C128="인턴",ISNUMBER(SEARCH("수련교육부",$B128))),"인턴",$B128))=1,MATCH($D128&amp;"|"&amp;IF(OR($C128="인턴",ISNUMBER(SEARCH("수련교육부",$B128))),"인턴",$B128),입력_전공의명단!$AP$2:$AP$401,0),IF(AND(COUNTIFS(입력_전공의명단!$C$2:$C$401,$D128,입력_전공의명단!$F$2:$F$401,IF(OR($C128="인턴",ISNUMBER(SEARCH("수련교육부",$B128))),"인턴",$B128))=0,COUNTIF(입력_전공의명단!$C$2:$C$401,$D128)=1),MATCH($D128,입력_전공의명단!$C$2:$C$401,0),"")))</f>
        <v/>
      </c>
      <c r="L128" s="26">
        <f>IF($D128="","",IF($K128&lt;&gt;"",IF(COUNTIFS(입력_전공의명단!$C$2:$C$401,$D128,입력_전공의명단!$F$2:$F$401,IF(OR($C128="인턴",ISNUMBER(SEARCH("수련교육부",$B128))),"인턴",$B128))=1,"명단 일치","명단 일치(이름만, 과 다름)"),IF(COUNTIF(입력_전공의명단!$C$2:$C$401,$D128)=0,IF(COUNTIF(입력_기본자료!$C$2:$C$1001,$D128)&gt;0,"명단에 없음(기본자료에는 있음)","명단에 없음"),"동명이인 확인")))</f>
        <v/>
      </c>
      <c r="N128" s="8" t="n">
        <v>123</v>
      </c>
      <c r="O128" s="8">
        <f>IF(ISNUMBER(SEARCH("근무예정자",(INDEX(입력_구리근무자명단!$A$3:$GZ$3,1,123)&amp;""))),IFERROR(VALUE(LEFT((INDEX(입력_구리근무자명단!$A$3:$GZ$3,1,123)&amp;""),4))*100+VALUE(MID((INDEX(입력_구리근무자명단!$A$3:$GZ$3,1,123)&amp;""),6,MIN(FIND("월",(INDEX(입력_구리근무자명단!$A$3:$GZ$3,1,123)&amp;"")&amp;"월"),FIND(CHAR(10),(INDEX(입력_구리근무자명단!$A$3:$GZ$3,1,123)&amp;"")&amp;CHAR(10)),FIND(" ",(INDEX(입력_구리근무자명단!$A$3:$GZ$3,1,123)&amp;"")&amp;" "))-6)),""),"")</f>
        <v/>
      </c>
    </row>
    <row r="129">
      <c r="A129" s="29" t="n">
        <v>127</v>
      </c>
      <c r="B129" s="26">
        <f>IF(TRIM(INDEX(입력_구리근무자명단!$A$1:$GZ$303,$A129,1)&amp;"")&lt;&gt;"",TRIM(INDEX(입력_구리근무자명단!$A$1:$GZ$303,$A129,1)&amp;""),B128)</f>
        <v/>
      </c>
      <c r="C129" s="26">
        <f>IF(INDEX(입력_구리근무자명단!$A$1:$GZ$303,$A129,2)="","",INDEX(입력_구리근무자명단!$A$1:$GZ$303,$A129,2))</f>
        <v/>
      </c>
      <c r="D129" s="26">
        <f>IF($G$2="","",TRIM(IF($I$2="확정",INDEX(입력_구리근무자명단!$A$1:$GZ$303,$A129,$G$2+1)&amp;"",INDEX(입력_구리근무자명단!$A$1:$GZ$303,$A129,$G$2+0)&amp;"")))</f>
        <v/>
      </c>
      <c r="E129" s="26">
        <f>IF($D129="","",$I$2)</f>
        <v/>
      </c>
      <c r="F129" s="28">
        <f>IF($D129="","",IF(INDEX(입력_구리근무자명단!$A$1:$GZ$303,$A129,$G$2+2)="",출력_요약!$B$3,IF(ISNUMBER(INDEX(입력_구리근무자명단!$A$1:$GZ$303,$A129,$G$2+2)),INDEX(입력_구리근무자명단!$A$1:$GZ$303,$A129,$G$2+2),IFERROR(DATE(VALUE(LEFT(INDEX(입력_구리근무자명단!$A$1:$GZ$303,$A129,$G$2+2),4)),VALUE(MID(INDEX(입력_구리근무자명단!$A$1:$GZ$303,$A129,$G$2+2),6,2)),VALUE(MID(INDEX(입력_구리근무자명단!$A$1:$GZ$303,$A129,$G$2+2),9,2))),IFERROR(DATEVALUE(SUBSTITUTE(TRIM(INDEX(입력_구리근무자명단!$A$1:$GZ$303,$A129,$G$2+2)),".","-")),"⚠"&amp;INDEX(입력_구리근무자명단!$A$1:$GZ$303,$A129,$G$2+2))))))</f>
        <v/>
      </c>
      <c r="G129" s="28">
        <f>IF($D129="","",IF(INDEX(입력_구리근무자명단!$A$1:$GZ$303,$A129,$G$2+3)="",EOMONTH(출력_요약!$B$3,0),IF(ISNUMBER(INDEX(입력_구리근무자명단!$A$1:$GZ$303,$A129,$G$2+3)),INDEX(입력_구리근무자명단!$A$1:$GZ$303,$A129,$G$2+3),IFERROR(DATE(VALUE(LEFT(INDEX(입력_구리근무자명단!$A$1:$GZ$303,$A129,$G$2+3),4)),VALUE(MID(INDEX(입력_구리근무자명단!$A$1:$GZ$303,$A129,$G$2+3),6,2)),VALUE(MID(INDEX(입력_구리근무자명단!$A$1:$GZ$303,$A129,$G$2+3),9,2))),IFERROR(DATEVALUE(SUBSTITUTE(TRIM(INDEX(입력_구리근무자명단!$A$1:$GZ$303,$A129,$G$2+3)),".","-")),"⚠"&amp;INDEX(입력_구리근무자명단!$A$1:$GZ$303,$A129,$G$2+3))))))</f>
        <v/>
      </c>
      <c r="H129" s="26">
        <f>IF($D129="","",IF(OR(NOT(ISNUMBER($F129)),NOT(ISNUMBER($G129))),0,MAX(0,MIN($G129,EOMONTH(출력_요약!$B$3,0))-MAX($F129,출력_요약!$B$3)+1)))</f>
        <v/>
      </c>
      <c r="I129" s="26">
        <f>IF($D129="","",TRIM(INDEX(입력_구리근무자명단!$A$1:$GZ$303,$A129,$G$2+5)&amp;""))</f>
        <v/>
      </c>
      <c r="J129" s="26">
        <f>IF($D129="","",IF(ISNUMBER(SEARCH("구리독자",$I129)),"구리독자",""))</f>
        <v/>
      </c>
      <c r="K129" s="29">
        <f>IF($D129="","",IF(COUNTIFS(입력_전공의명단!$C$2:$C$401,$D129,입력_전공의명단!$F$2:$F$401,IF(OR($C129="인턴",ISNUMBER(SEARCH("수련교육부",$B129))),"인턴",$B129))=1,MATCH($D129&amp;"|"&amp;IF(OR($C129="인턴",ISNUMBER(SEARCH("수련교육부",$B129))),"인턴",$B129),입력_전공의명단!$AP$2:$AP$401,0),IF(AND(COUNTIFS(입력_전공의명단!$C$2:$C$401,$D129,입력_전공의명단!$F$2:$F$401,IF(OR($C129="인턴",ISNUMBER(SEARCH("수련교육부",$B129))),"인턴",$B129))=0,COUNTIF(입력_전공의명단!$C$2:$C$401,$D129)=1),MATCH($D129,입력_전공의명단!$C$2:$C$401,0),"")))</f>
        <v/>
      </c>
      <c r="L129" s="26">
        <f>IF($D129="","",IF($K129&lt;&gt;"",IF(COUNTIFS(입력_전공의명단!$C$2:$C$401,$D129,입력_전공의명단!$F$2:$F$401,IF(OR($C129="인턴",ISNUMBER(SEARCH("수련교육부",$B129))),"인턴",$B129))=1,"명단 일치","명단 일치(이름만, 과 다름)"),IF(COUNTIF(입력_전공의명단!$C$2:$C$401,$D129)=0,IF(COUNTIF(입력_기본자료!$C$2:$C$1001,$D129)&gt;0,"명단에 없음(기본자료에는 있음)","명단에 없음"),"동명이인 확인")))</f>
        <v/>
      </c>
      <c r="N129" s="8" t="n">
        <v>124</v>
      </c>
      <c r="O129" s="8">
        <f>IF(ISNUMBER(SEARCH("근무예정자",(INDEX(입력_구리근무자명단!$A$3:$GZ$3,1,124)&amp;""))),IFERROR(VALUE(LEFT((INDEX(입력_구리근무자명단!$A$3:$GZ$3,1,124)&amp;""),4))*100+VALUE(MID((INDEX(입력_구리근무자명단!$A$3:$GZ$3,1,124)&amp;""),6,MIN(FIND("월",(INDEX(입력_구리근무자명단!$A$3:$GZ$3,1,124)&amp;"")&amp;"월"),FIND(CHAR(10),(INDEX(입력_구리근무자명단!$A$3:$GZ$3,1,124)&amp;"")&amp;CHAR(10)),FIND(" ",(INDEX(입력_구리근무자명단!$A$3:$GZ$3,1,124)&amp;"")&amp;" "))-6)),""),"")</f>
        <v/>
      </c>
    </row>
    <row r="130">
      <c r="A130" s="29" t="n">
        <v>128</v>
      </c>
      <c r="B130" s="26">
        <f>IF(TRIM(INDEX(입력_구리근무자명단!$A$1:$GZ$303,$A130,1)&amp;"")&lt;&gt;"",TRIM(INDEX(입력_구리근무자명단!$A$1:$GZ$303,$A130,1)&amp;""),B129)</f>
        <v/>
      </c>
      <c r="C130" s="26">
        <f>IF(INDEX(입력_구리근무자명단!$A$1:$GZ$303,$A130,2)="","",INDEX(입력_구리근무자명단!$A$1:$GZ$303,$A130,2))</f>
        <v/>
      </c>
      <c r="D130" s="26">
        <f>IF($G$2="","",TRIM(IF($I$2="확정",INDEX(입력_구리근무자명단!$A$1:$GZ$303,$A130,$G$2+1)&amp;"",INDEX(입력_구리근무자명단!$A$1:$GZ$303,$A130,$G$2+0)&amp;"")))</f>
        <v/>
      </c>
      <c r="E130" s="26">
        <f>IF($D130="","",$I$2)</f>
        <v/>
      </c>
      <c r="F130" s="28">
        <f>IF($D130="","",IF(INDEX(입력_구리근무자명단!$A$1:$GZ$303,$A130,$G$2+2)="",출력_요약!$B$3,IF(ISNUMBER(INDEX(입력_구리근무자명단!$A$1:$GZ$303,$A130,$G$2+2)),INDEX(입력_구리근무자명단!$A$1:$GZ$303,$A130,$G$2+2),IFERROR(DATE(VALUE(LEFT(INDEX(입력_구리근무자명단!$A$1:$GZ$303,$A130,$G$2+2),4)),VALUE(MID(INDEX(입력_구리근무자명단!$A$1:$GZ$303,$A130,$G$2+2),6,2)),VALUE(MID(INDEX(입력_구리근무자명단!$A$1:$GZ$303,$A130,$G$2+2),9,2))),IFERROR(DATEVALUE(SUBSTITUTE(TRIM(INDEX(입력_구리근무자명단!$A$1:$GZ$303,$A130,$G$2+2)),".","-")),"⚠"&amp;INDEX(입력_구리근무자명단!$A$1:$GZ$303,$A130,$G$2+2))))))</f>
        <v/>
      </c>
      <c r="G130" s="28">
        <f>IF($D130="","",IF(INDEX(입력_구리근무자명단!$A$1:$GZ$303,$A130,$G$2+3)="",EOMONTH(출력_요약!$B$3,0),IF(ISNUMBER(INDEX(입력_구리근무자명단!$A$1:$GZ$303,$A130,$G$2+3)),INDEX(입력_구리근무자명단!$A$1:$GZ$303,$A130,$G$2+3),IFERROR(DATE(VALUE(LEFT(INDEX(입력_구리근무자명단!$A$1:$GZ$303,$A130,$G$2+3),4)),VALUE(MID(INDEX(입력_구리근무자명단!$A$1:$GZ$303,$A130,$G$2+3),6,2)),VALUE(MID(INDEX(입력_구리근무자명단!$A$1:$GZ$303,$A130,$G$2+3),9,2))),IFERROR(DATEVALUE(SUBSTITUTE(TRIM(INDEX(입력_구리근무자명단!$A$1:$GZ$303,$A130,$G$2+3)),".","-")),"⚠"&amp;INDEX(입력_구리근무자명단!$A$1:$GZ$303,$A130,$G$2+3))))))</f>
        <v/>
      </c>
      <c r="H130" s="26">
        <f>IF($D130="","",IF(OR(NOT(ISNUMBER($F130)),NOT(ISNUMBER($G130))),0,MAX(0,MIN($G130,EOMONTH(출력_요약!$B$3,0))-MAX($F130,출력_요약!$B$3)+1)))</f>
        <v/>
      </c>
      <c r="I130" s="26">
        <f>IF($D130="","",TRIM(INDEX(입력_구리근무자명단!$A$1:$GZ$303,$A130,$G$2+5)&amp;""))</f>
        <v/>
      </c>
      <c r="J130" s="26">
        <f>IF($D130="","",IF(ISNUMBER(SEARCH("구리독자",$I130)),"구리독자",""))</f>
        <v/>
      </c>
      <c r="K130" s="29">
        <f>IF($D130="","",IF(COUNTIFS(입력_전공의명단!$C$2:$C$401,$D130,입력_전공의명단!$F$2:$F$401,IF(OR($C130="인턴",ISNUMBER(SEARCH("수련교육부",$B130))),"인턴",$B130))=1,MATCH($D130&amp;"|"&amp;IF(OR($C130="인턴",ISNUMBER(SEARCH("수련교육부",$B130))),"인턴",$B130),입력_전공의명단!$AP$2:$AP$401,0),IF(AND(COUNTIFS(입력_전공의명단!$C$2:$C$401,$D130,입력_전공의명단!$F$2:$F$401,IF(OR($C130="인턴",ISNUMBER(SEARCH("수련교육부",$B130))),"인턴",$B130))=0,COUNTIF(입력_전공의명단!$C$2:$C$401,$D130)=1),MATCH($D130,입력_전공의명단!$C$2:$C$401,0),"")))</f>
        <v/>
      </c>
      <c r="L130" s="26">
        <f>IF($D130="","",IF($K130&lt;&gt;"",IF(COUNTIFS(입력_전공의명단!$C$2:$C$401,$D130,입력_전공의명단!$F$2:$F$401,IF(OR($C130="인턴",ISNUMBER(SEARCH("수련교육부",$B130))),"인턴",$B130))=1,"명단 일치","명단 일치(이름만, 과 다름)"),IF(COUNTIF(입력_전공의명단!$C$2:$C$401,$D130)=0,IF(COUNTIF(입력_기본자료!$C$2:$C$1001,$D130)&gt;0,"명단에 없음(기본자료에는 있음)","명단에 없음"),"동명이인 확인")))</f>
        <v/>
      </c>
      <c r="N130" s="8" t="n">
        <v>125</v>
      </c>
      <c r="O130" s="8">
        <f>IF(ISNUMBER(SEARCH("근무예정자",(INDEX(입력_구리근무자명단!$A$3:$GZ$3,1,125)&amp;""))),IFERROR(VALUE(LEFT((INDEX(입력_구리근무자명단!$A$3:$GZ$3,1,125)&amp;""),4))*100+VALUE(MID((INDEX(입력_구리근무자명단!$A$3:$GZ$3,1,125)&amp;""),6,MIN(FIND("월",(INDEX(입력_구리근무자명단!$A$3:$GZ$3,1,125)&amp;"")&amp;"월"),FIND(CHAR(10),(INDEX(입력_구리근무자명단!$A$3:$GZ$3,1,125)&amp;"")&amp;CHAR(10)),FIND(" ",(INDEX(입력_구리근무자명단!$A$3:$GZ$3,1,125)&amp;"")&amp;" "))-6)),""),"")</f>
        <v/>
      </c>
    </row>
    <row r="131">
      <c r="A131" s="29" t="n">
        <v>129</v>
      </c>
      <c r="B131" s="26">
        <f>IF(TRIM(INDEX(입력_구리근무자명단!$A$1:$GZ$303,$A131,1)&amp;"")&lt;&gt;"",TRIM(INDEX(입력_구리근무자명단!$A$1:$GZ$303,$A131,1)&amp;""),B130)</f>
        <v/>
      </c>
      <c r="C131" s="26">
        <f>IF(INDEX(입력_구리근무자명단!$A$1:$GZ$303,$A131,2)="","",INDEX(입력_구리근무자명단!$A$1:$GZ$303,$A131,2))</f>
        <v/>
      </c>
      <c r="D131" s="26">
        <f>IF($G$2="","",TRIM(IF($I$2="확정",INDEX(입력_구리근무자명단!$A$1:$GZ$303,$A131,$G$2+1)&amp;"",INDEX(입력_구리근무자명단!$A$1:$GZ$303,$A131,$G$2+0)&amp;"")))</f>
        <v/>
      </c>
      <c r="E131" s="26">
        <f>IF($D131="","",$I$2)</f>
        <v/>
      </c>
      <c r="F131" s="28">
        <f>IF($D131="","",IF(INDEX(입력_구리근무자명단!$A$1:$GZ$303,$A131,$G$2+2)="",출력_요약!$B$3,IF(ISNUMBER(INDEX(입력_구리근무자명단!$A$1:$GZ$303,$A131,$G$2+2)),INDEX(입력_구리근무자명단!$A$1:$GZ$303,$A131,$G$2+2),IFERROR(DATE(VALUE(LEFT(INDEX(입력_구리근무자명단!$A$1:$GZ$303,$A131,$G$2+2),4)),VALUE(MID(INDEX(입력_구리근무자명단!$A$1:$GZ$303,$A131,$G$2+2),6,2)),VALUE(MID(INDEX(입력_구리근무자명단!$A$1:$GZ$303,$A131,$G$2+2),9,2))),IFERROR(DATEVALUE(SUBSTITUTE(TRIM(INDEX(입력_구리근무자명단!$A$1:$GZ$303,$A131,$G$2+2)),".","-")),"⚠"&amp;INDEX(입력_구리근무자명단!$A$1:$GZ$303,$A131,$G$2+2))))))</f>
        <v/>
      </c>
      <c r="G131" s="28">
        <f>IF($D131="","",IF(INDEX(입력_구리근무자명단!$A$1:$GZ$303,$A131,$G$2+3)="",EOMONTH(출력_요약!$B$3,0),IF(ISNUMBER(INDEX(입력_구리근무자명단!$A$1:$GZ$303,$A131,$G$2+3)),INDEX(입력_구리근무자명단!$A$1:$GZ$303,$A131,$G$2+3),IFERROR(DATE(VALUE(LEFT(INDEX(입력_구리근무자명단!$A$1:$GZ$303,$A131,$G$2+3),4)),VALUE(MID(INDEX(입력_구리근무자명단!$A$1:$GZ$303,$A131,$G$2+3),6,2)),VALUE(MID(INDEX(입력_구리근무자명단!$A$1:$GZ$303,$A131,$G$2+3),9,2))),IFERROR(DATEVALUE(SUBSTITUTE(TRIM(INDEX(입력_구리근무자명단!$A$1:$GZ$303,$A131,$G$2+3)),".","-")),"⚠"&amp;INDEX(입력_구리근무자명단!$A$1:$GZ$303,$A131,$G$2+3))))))</f>
        <v/>
      </c>
      <c r="H131" s="26">
        <f>IF($D131="","",IF(OR(NOT(ISNUMBER($F131)),NOT(ISNUMBER($G131))),0,MAX(0,MIN($G131,EOMONTH(출력_요약!$B$3,0))-MAX($F131,출력_요약!$B$3)+1)))</f>
        <v/>
      </c>
      <c r="I131" s="26">
        <f>IF($D131="","",TRIM(INDEX(입력_구리근무자명단!$A$1:$GZ$303,$A131,$G$2+5)&amp;""))</f>
        <v/>
      </c>
      <c r="J131" s="26">
        <f>IF($D131="","",IF(ISNUMBER(SEARCH("구리독자",$I131)),"구리독자",""))</f>
        <v/>
      </c>
      <c r="K131" s="29">
        <f>IF($D131="","",IF(COUNTIFS(입력_전공의명단!$C$2:$C$401,$D131,입력_전공의명단!$F$2:$F$401,IF(OR($C131="인턴",ISNUMBER(SEARCH("수련교육부",$B131))),"인턴",$B131))=1,MATCH($D131&amp;"|"&amp;IF(OR($C131="인턴",ISNUMBER(SEARCH("수련교육부",$B131))),"인턴",$B131),입력_전공의명단!$AP$2:$AP$401,0),IF(AND(COUNTIFS(입력_전공의명단!$C$2:$C$401,$D131,입력_전공의명단!$F$2:$F$401,IF(OR($C131="인턴",ISNUMBER(SEARCH("수련교육부",$B131))),"인턴",$B131))=0,COUNTIF(입력_전공의명단!$C$2:$C$401,$D131)=1),MATCH($D131,입력_전공의명단!$C$2:$C$401,0),"")))</f>
        <v/>
      </c>
      <c r="L131" s="26">
        <f>IF($D131="","",IF($K131&lt;&gt;"",IF(COUNTIFS(입력_전공의명단!$C$2:$C$401,$D131,입력_전공의명단!$F$2:$F$401,IF(OR($C131="인턴",ISNUMBER(SEARCH("수련교육부",$B131))),"인턴",$B131))=1,"명단 일치","명단 일치(이름만, 과 다름)"),IF(COUNTIF(입력_전공의명단!$C$2:$C$401,$D131)=0,IF(COUNTIF(입력_기본자료!$C$2:$C$1001,$D131)&gt;0,"명단에 없음(기본자료에는 있음)","명단에 없음"),"동명이인 확인")))</f>
        <v/>
      </c>
      <c r="N131" s="8" t="n">
        <v>126</v>
      </c>
      <c r="O131" s="8">
        <f>IF(ISNUMBER(SEARCH("근무예정자",(INDEX(입력_구리근무자명단!$A$3:$GZ$3,1,126)&amp;""))),IFERROR(VALUE(LEFT((INDEX(입력_구리근무자명단!$A$3:$GZ$3,1,126)&amp;""),4))*100+VALUE(MID((INDEX(입력_구리근무자명단!$A$3:$GZ$3,1,126)&amp;""),6,MIN(FIND("월",(INDEX(입력_구리근무자명단!$A$3:$GZ$3,1,126)&amp;"")&amp;"월"),FIND(CHAR(10),(INDEX(입력_구리근무자명단!$A$3:$GZ$3,1,126)&amp;"")&amp;CHAR(10)),FIND(" ",(INDEX(입력_구리근무자명단!$A$3:$GZ$3,1,126)&amp;"")&amp;" "))-6)),""),"")</f>
        <v/>
      </c>
    </row>
    <row r="132">
      <c r="A132" s="29" t="n">
        <v>130</v>
      </c>
      <c r="B132" s="26">
        <f>IF(TRIM(INDEX(입력_구리근무자명단!$A$1:$GZ$303,$A132,1)&amp;"")&lt;&gt;"",TRIM(INDEX(입력_구리근무자명단!$A$1:$GZ$303,$A132,1)&amp;""),B131)</f>
        <v/>
      </c>
      <c r="C132" s="26">
        <f>IF(INDEX(입력_구리근무자명단!$A$1:$GZ$303,$A132,2)="","",INDEX(입력_구리근무자명단!$A$1:$GZ$303,$A132,2))</f>
        <v/>
      </c>
      <c r="D132" s="26">
        <f>IF($G$2="","",TRIM(IF($I$2="확정",INDEX(입력_구리근무자명단!$A$1:$GZ$303,$A132,$G$2+1)&amp;"",INDEX(입력_구리근무자명단!$A$1:$GZ$303,$A132,$G$2+0)&amp;"")))</f>
        <v/>
      </c>
      <c r="E132" s="26">
        <f>IF($D132="","",$I$2)</f>
        <v/>
      </c>
      <c r="F132" s="28">
        <f>IF($D132="","",IF(INDEX(입력_구리근무자명단!$A$1:$GZ$303,$A132,$G$2+2)="",출력_요약!$B$3,IF(ISNUMBER(INDEX(입력_구리근무자명단!$A$1:$GZ$303,$A132,$G$2+2)),INDEX(입력_구리근무자명단!$A$1:$GZ$303,$A132,$G$2+2),IFERROR(DATE(VALUE(LEFT(INDEX(입력_구리근무자명단!$A$1:$GZ$303,$A132,$G$2+2),4)),VALUE(MID(INDEX(입력_구리근무자명단!$A$1:$GZ$303,$A132,$G$2+2),6,2)),VALUE(MID(INDEX(입력_구리근무자명단!$A$1:$GZ$303,$A132,$G$2+2),9,2))),IFERROR(DATEVALUE(SUBSTITUTE(TRIM(INDEX(입력_구리근무자명단!$A$1:$GZ$303,$A132,$G$2+2)),".","-")),"⚠"&amp;INDEX(입력_구리근무자명단!$A$1:$GZ$303,$A132,$G$2+2))))))</f>
        <v/>
      </c>
      <c r="G132" s="28">
        <f>IF($D132="","",IF(INDEX(입력_구리근무자명단!$A$1:$GZ$303,$A132,$G$2+3)="",EOMONTH(출력_요약!$B$3,0),IF(ISNUMBER(INDEX(입력_구리근무자명단!$A$1:$GZ$303,$A132,$G$2+3)),INDEX(입력_구리근무자명단!$A$1:$GZ$303,$A132,$G$2+3),IFERROR(DATE(VALUE(LEFT(INDEX(입력_구리근무자명단!$A$1:$GZ$303,$A132,$G$2+3),4)),VALUE(MID(INDEX(입력_구리근무자명단!$A$1:$GZ$303,$A132,$G$2+3),6,2)),VALUE(MID(INDEX(입력_구리근무자명단!$A$1:$GZ$303,$A132,$G$2+3),9,2))),IFERROR(DATEVALUE(SUBSTITUTE(TRIM(INDEX(입력_구리근무자명단!$A$1:$GZ$303,$A132,$G$2+3)),".","-")),"⚠"&amp;INDEX(입력_구리근무자명단!$A$1:$GZ$303,$A132,$G$2+3))))))</f>
        <v/>
      </c>
      <c r="H132" s="26">
        <f>IF($D132="","",IF(OR(NOT(ISNUMBER($F132)),NOT(ISNUMBER($G132))),0,MAX(0,MIN($G132,EOMONTH(출력_요약!$B$3,0))-MAX($F132,출력_요약!$B$3)+1)))</f>
        <v/>
      </c>
      <c r="I132" s="26">
        <f>IF($D132="","",TRIM(INDEX(입력_구리근무자명단!$A$1:$GZ$303,$A132,$G$2+5)&amp;""))</f>
        <v/>
      </c>
      <c r="J132" s="26">
        <f>IF($D132="","",IF(ISNUMBER(SEARCH("구리독자",$I132)),"구리독자",""))</f>
        <v/>
      </c>
      <c r="K132" s="29">
        <f>IF($D132="","",IF(COUNTIFS(입력_전공의명단!$C$2:$C$401,$D132,입력_전공의명단!$F$2:$F$401,IF(OR($C132="인턴",ISNUMBER(SEARCH("수련교육부",$B132))),"인턴",$B132))=1,MATCH($D132&amp;"|"&amp;IF(OR($C132="인턴",ISNUMBER(SEARCH("수련교육부",$B132))),"인턴",$B132),입력_전공의명단!$AP$2:$AP$401,0),IF(AND(COUNTIFS(입력_전공의명단!$C$2:$C$401,$D132,입력_전공의명단!$F$2:$F$401,IF(OR($C132="인턴",ISNUMBER(SEARCH("수련교육부",$B132))),"인턴",$B132))=0,COUNTIF(입력_전공의명단!$C$2:$C$401,$D132)=1),MATCH($D132,입력_전공의명단!$C$2:$C$401,0),"")))</f>
        <v/>
      </c>
      <c r="L132" s="26">
        <f>IF($D132="","",IF($K132&lt;&gt;"",IF(COUNTIFS(입력_전공의명단!$C$2:$C$401,$D132,입력_전공의명단!$F$2:$F$401,IF(OR($C132="인턴",ISNUMBER(SEARCH("수련교육부",$B132))),"인턴",$B132))=1,"명단 일치","명단 일치(이름만, 과 다름)"),IF(COUNTIF(입력_전공의명단!$C$2:$C$401,$D132)=0,IF(COUNTIF(입력_기본자료!$C$2:$C$1001,$D132)&gt;0,"명단에 없음(기본자료에는 있음)","명단에 없음"),"동명이인 확인")))</f>
        <v/>
      </c>
      <c r="N132" s="8" t="n">
        <v>127</v>
      </c>
      <c r="O132" s="8">
        <f>IF(ISNUMBER(SEARCH("근무예정자",(INDEX(입력_구리근무자명단!$A$3:$GZ$3,1,127)&amp;""))),IFERROR(VALUE(LEFT((INDEX(입력_구리근무자명단!$A$3:$GZ$3,1,127)&amp;""),4))*100+VALUE(MID((INDEX(입력_구리근무자명단!$A$3:$GZ$3,1,127)&amp;""),6,MIN(FIND("월",(INDEX(입력_구리근무자명단!$A$3:$GZ$3,1,127)&amp;"")&amp;"월"),FIND(CHAR(10),(INDEX(입력_구리근무자명단!$A$3:$GZ$3,1,127)&amp;"")&amp;CHAR(10)),FIND(" ",(INDEX(입력_구리근무자명단!$A$3:$GZ$3,1,127)&amp;"")&amp;" "))-6)),""),"")</f>
        <v/>
      </c>
    </row>
    <row r="133">
      <c r="A133" s="29" t="n">
        <v>131</v>
      </c>
      <c r="B133" s="26">
        <f>IF(TRIM(INDEX(입력_구리근무자명단!$A$1:$GZ$303,$A133,1)&amp;"")&lt;&gt;"",TRIM(INDEX(입력_구리근무자명단!$A$1:$GZ$303,$A133,1)&amp;""),B132)</f>
        <v/>
      </c>
      <c r="C133" s="26">
        <f>IF(INDEX(입력_구리근무자명단!$A$1:$GZ$303,$A133,2)="","",INDEX(입력_구리근무자명단!$A$1:$GZ$303,$A133,2))</f>
        <v/>
      </c>
      <c r="D133" s="26">
        <f>IF($G$2="","",TRIM(IF($I$2="확정",INDEX(입력_구리근무자명단!$A$1:$GZ$303,$A133,$G$2+1)&amp;"",INDEX(입력_구리근무자명단!$A$1:$GZ$303,$A133,$G$2+0)&amp;"")))</f>
        <v/>
      </c>
      <c r="E133" s="26">
        <f>IF($D133="","",$I$2)</f>
        <v/>
      </c>
      <c r="F133" s="28">
        <f>IF($D133="","",IF(INDEX(입력_구리근무자명단!$A$1:$GZ$303,$A133,$G$2+2)="",출력_요약!$B$3,IF(ISNUMBER(INDEX(입력_구리근무자명단!$A$1:$GZ$303,$A133,$G$2+2)),INDEX(입력_구리근무자명단!$A$1:$GZ$303,$A133,$G$2+2),IFERROR(DATE(VALUE(LEFT(INDEX(입력_구리근무자명단!$A$1:$GZ$303,$A133,$G$2+2),4)),VALUE(MID(INDEX(입력_구리근무자명단!$A$1:$GZ$303,$A133,$G$2+2),6,2)),VALUE(MID(INDEX(입력_구리근무자명단!$A$1:$GZ$303,$A133,$G$2+2),9,2))),IFERROR(DATEVALUE(SUBSTITUTE(TRIM(INDEX(입력_구리근무자명단!$A$1:$GZ$303,$A133,$G$2+2)),".","-")),"⚠"&amp;INDEX(입력_구리근무자명단!$A$1:$GZ$303,$A133,$G$2+2))))))</f>
        <v/>
      </c>
      <c r="G133" s="28">
        <f>IF($D133="","",IF(INDEX(입력_구리근무자명단!$A$1:$GZ$303,$A133,$G$2+3)="",EOMONTH(출력_요약!$B$3,0),IF(ISNUMBER(INDEX(입력_구리근무자명단!$A$1:$GZ$303,$A133,$G$2+3)),INDEX(입력_구리근무자명단!$A$1:$GZ$303,$A133,$G$2+3),IFERROR(DATE(VALUE(LEFT(INDEX(입력_구리근무자명단!$A$1:$GZ$303,$A133,$G$2+3),4)),VALUE(MID(INDEX(입력_구리근무자명단!$A$1:$GZ$303,$A133,$G$2+3),6,2)),VALUE(MID(INDEX(입력_구리근무자명단!$A$1:$GZ$303,$A133,$G$2+3),9,2))),IFERROR(DATEVALUE(SUBSTITUTE(TRIM(INDEX(입력_구리근무자명단!$A$1:$GZ$303,$A133,$G$2+3)),".","-")),"⚠"&amp;INDEX(입력_구리근무자명단!$A$1:$GZ$303,$A133,$G$2+3))))))</f>
        <v/>
      </c>
      <c r="H133" s="26">
        <f>IF($D133="","",IF(OR(NOT(ISNUMBER($F133)),NOT(ISNUMBER($G133))),0,MAX(0,MIN($G133,EOMONTH(출력_요약!$B$3,0))-MAX($F133,출력_요약!$B$3)+1)))</f>
        <v/>
      </c>
      <c r="I133" s="26">
        <f>IF($D133="","",TRIM(INDEX(입력_구리근무자명단!$A$1:$GZ$303,$A133,$G$2+5)&amp;""))</f>
        <v/>
      </c>
      <c r="J133" s="26">
        <f>IF($D133="","",IF(ISNUMBER(SEARCH("구리독자",$I133)),"구리독자",""))</f>
        <v/>
      </c>
      <c r="K133" s="29">
        <f>IF($D133="","",IF(COUNTIFS(입력_전공의명단!$C$2:$C$401,$D133,입력_전공의명단!$F$2:$F$401,IF(OR($C133="인턴",ISNUMBER(SEARCH("수련교육부",$B133))),"인턴",$B133))=1,MATCH($D133&amp;"|"&amp;IF(OR($C133="인턴",ISNUMBER(SEARCH("수련교육부",$B133))),"인턴",$B133),입력_전공의명단!$AP$2:$AP$401,0),IF(AND(COUNTIFS(입력_전공의명단!$C$2:$C$401,$D133,입력_전공의명단!$F$2:$F$401,IF(OR($C133="인턴",ISNUMBER(SEARCH("수련교육부",$B133))),"인턴",$B133))=0,COUNTIF(입력_전공의명단!$C$2:$C$401,$D133)=1),MATCH($D133,입력_전공의명단!$C$2:$C$401,0),"")))</f>
        <v/>
      </c>
      <c r="L133" s="26">
        <f>IF($D133="","",IF($K133&lt;&gt;"",IF(COUNTIFS(입력_전공의명단!$C$2:$C$401,$D133,입력_전공의명단!$F$2:$F$401,IF(OR($C133="인턴",ISNUMBER(SEARCH("수련교육부",$B133))),"인턴",$B133))=1,"명단 일치","명단 일치(이름만, 과 다름)"),IF(COUNTIF(입력_전공의명단!$C$2:$C$401,$D133)=0,IF(COUNTIF(입력_기본자료!$C$2:$C$1001,$D133)&gt;0,"명단에 없음(기본자료에는 있음)","명단에 없음"),"동명이인 확인")))</f>
        <v/>
      </c>
      <c r="N133" s="8" t="n">
        <v>128</v>
      </c>
      <c r="O133" s="8">
        <f>IF(ISNUMBER(SEARCH("근무예정자",(INDEX(입력_구리근무자명단!$A$3:$GZ$3,1,128)&amp;""))),IFERROR(VALUE(LEFT((INDEX(입력_구리근무자명단!$A$3:$GZ$3,1,128)&amp;""),4))*100+VALUE(MID((INDEX(입력_구리근무자명단!$A$3:$GZ$3,1,128)&amp;""),6,MIN(FIND("월",(INDEX(입력_구리근무자명단!$A$3:$GZ$3,1,128)&amp;"")&amp;"월"),FIND(CHAR(10),(INDEX(입력_구리근무자명단!$A$3:$GZ$3,1,128)&amp;"")&amp;CHAR(10)),FIND(" ",(INDEX(입력_구리근무자명단!$A$3:$GZ$3,1,128)&amp;"")&amp;" "))-6)),""),"")</f>
        <v/>
      </c>
    </row>
    <row r="134">
      <c r="A134" s="29" t="n">
        <v>132</v>
      </c>
      <c r="B134" s="26">
        <f>IF(TRIM(INDEX(입력_구리근무자명단!$A$1:$GZ$303,$A134,1)&amp;"")&lt;&gt;"",TRIM(INDEX(입력_구리근무자명단!$A$1:$GZ$303,$A134,1)&amp;""),B133)</f>
        <v/>
      </c>
      <c r="C134" s="26">
        <f>IF(INDEX(입력_구리근무자명단!$A$1:$GZ$303,$A134,2)="","",INDEX(입력_구리근무자명단!$A$1:$GZ$303,$A134,2))</f>
        <v/>
      </c>
      <c r="D134" s="26">
        <f>IF($G$2="","",TRIM(IF($I$2="확정",INDEX(입력_구리근무자명단!$A$1:$GZ$303,$A134,$G$2+1)&amp;"",INDEX(입력_구리근무자명단!$A$1:$GZ$303,$A134,$G$2+0)&amp;"")))</f>
        <v/>
      </c>
      <c r="E134" s="26">
        <f>IF($D134="","",$I$2)</f>
        <v/>
      </c>
      <c r="F134" s="28">
        <f>IF($D134="","",IF(INDEX(입력_구리근무자명단!$A$1:$GZ$303,$A134,$G$2+2)="",출력_요약!$B$3,IF(ISNUMBER(INDEX(입력_구리근무자명단!$A$1:$GZ$303,$A134,$G$2+2)),INDEX(입력_구리근무자명단!$A$1:$GZ$303,$A134,$G$2+2),IFERROR(DATE(VALUE(LEFT(INDEX(입력_구리근무자명단!$A$1:$GZ$303,$A134,$G$2+2),4)),VALUE(MID(INDEX(입력_구리근무자명단!$A$1:$GZ$303,$A134,$G$2+2),6,2)),VALUE(MID(INDEX(입력_구리근무자명단!$A$1:$GZ$303,$A134,$G$2+2),9,2))),IFERROR(DATEVALUE(SUBSTITUTE(TRIM(INDEX(입력_구리근무자명단!$A$1:$GZ$303,$A134,$G$2+2)),".","-")),"⚠"&amp;INDEX(입력_구리근무자명단!$A$1:$GZ$303,$A134,$G$2+2))))))</f>
        <v/>
      </c>
      <c r="G134" s="28">
        <f>IF($D134="","",IF(INDEX(입력_구리근무자명단!$A$1:$GZ$303,$A134,$G$2+3)="",EOMONTH(출력_요약!$B$3,0),IF(ISNUMBER(INDEX(입력_구리근무자명단!$A$1:$GZ$303,$A134,$G$2+3)),INDEX(입력_구리근무자명단!$A$1:$GZ$303,$A134,$G$2+3),IFERROR(DATE(VALUE(LEFT(INDEX(입력_구리근무자명단!$A$1:$GZ$303,$A134,$G$2+3),4)),VALUE(MID(INDEX(입력_구리근무자명단!$A$1:$GZ$303,$A134,$G$2+3),6,2)),VALUE(MID(INDEX(입력_구리근무자명단!$A$1:$GZ$303,$A134,$G$2+3),9,2))),IFERROR(DATEVALUE(SUBSTITUTE(TRIM(INDEX(입력_구리근무자명단!$A$1:$GZ$303,$A134,$G$2+3)),".","-")),"⚠"&amp;INDEX(입력_구리근무자명단!$A$1:$GZ$303,$A134,$G$2+3))))))</f>
        <v/>
      </c>
      <c r="H134" s="26">
        <f>IF($D134="","",IF(OR(NOT(ISNUMBER($F134)),NOT(ISNUMBER($G134))),0,MAX(0,MIN($G134,EOMONTH(출력_요약!$B$3,0))-MAX($F134,출력_요약!$B$3)+1)))</f>
        <v/>
      </c>
      <c r="I134" s="26">
        <f>IF($D134="","",TRIM(INDEX(입력_구리근무자명단!$A$1:$GZ$303,$A134,$G$2+5)&amp;""))</f>
        <v/>
      </c>
      <c r="J134" s="26">
        <f>IF($D134="","",IF(ISNUMBER(SEARCH("구리독자",$I134)),"구리독자",""))</f>
        <v/>
      </c>
      <c r="K134" s="29">
        <f>IF($D134="","",IF(COUNTIFS(입력_전공의명단!$C$2:$C$401,$D134,입력_전공의명단!$F$2:$F$401,IF(OR($C134="인턴",ISNUMBER(SEARCH("수련교육부",$B134))),"인턴",$B134))=1,MATCH($D134&amp;"|"&amp;IF(OR($C134="인턴",ISNUMBER(SEARCH("수련교육부",$B134))),"인턴",$B134),입력_전공의명단!$AP$2:$AP$401,0),IF(AND(COUNTIFS(입력_전공의명단!$C$2:$C$401,$D134,입력_전공의명단!$F$2:$F$401,IF(OR($C134="인턴",ISNUMBER(SEARCH("수련교육부",$B134))),"인턴",$B134))=0,COUNTIF(입력_전공의명단!$C$2:$C$401,$D134)=1),MATCH($D134,입력_전공의명단!$C$2:$C$401,0),"")))</f>
        <v/>
      </c>
      <c r="L134" s="26">
        <f>IF($D134="","",IF($K134&lt;&gt;"",IF(COUNTIFS(입력_전공의명단!$C$2:$C$401,$D134,입력_전공의명단!$F$2:$F$401,IF(OR($C134="인턴",ISNUMBER(SEARCH("수련교육부",$B134))),"인턴",$B134))=1,"명단 일치","명단 일치(이름만, 과 다름)"),IF(COUNTIF(입력_전공의명단!$C$2:$C$401,$D134)=0,IF(COUNTIF(입력_기본자료!$C$2:$C$1001,$D134)&gt;0,"명단에 없음(기본자료에는 있음)","명단에 없음"),"동명이인 확인")))</f>
        <v/>
      </c>
      <c r="N134" s="8" t="n">
        <v>129</v>
      </c>
      <c r="O134" s="8">
        <f>IF(ISNUMBER(SEARCH("근무예정자",(INDEX(입력_구리근무자명단!$A$3:$GZ$3,1,129)&amp;""))),IFERROR(VALUE(LEFT((INDEX(입력_구리근무자명단!$A$3:$GZ$3,1,129)&amp;""),4))*100+VALUE(MID((INDEX(입력_구리근무자명단!$A$3:$GZ$3,1,129)&amp;""),6,MIN(FIND("월",(INDEX(입력_구리근무자명단!$A$3:$GZ$3,1,129)&amp;"")&amp;"월"),FIND(CHAR(10),(INDEX(입력_구리근무자명단!$A$3:$GZ$3,1,129)&amp;"")&amp;CHAR(10)),FIND(" ",(INDEX(입력_구리근무자명단!$A$3:$GZ$3,1,129)&amp;"")&amp;" "))-6)),""),"")</f>
        <v/>
      </c>
    </row>
    <row r="135">
      <c r="A135" s="29" t="n">
        <v>133</v>
      </c>
      <c r="B135" s="26">
        <f>IF(TRIM(INDEX(입력_구리근무자명단!$A$1:$GZ$303,$A135,1)&amp;"")&lt;&gt;"",TRIM(INDEX(입력_구리근무자명단!$A$1:$GZ$303,$A135,1)&amp;""),B134)</f>
        <v/>
      </c>
      <c r="C135" s="26">
        <f>IF(INDEX(입력_구리근무자명단!$A$1:$GZ$303,$A135,2)="","",INDEX(입력_구리근무자명단!$A$1:$GZ$303,$A135,2))</f>
        <v/>
      </c>
      <c r="D135" s="26">
        <f>IF($G$2="","",TRIM(IF($I$2="확정",INDEX(입력_구리근무자명단!$A$1:$GZ$303,$A135,$G$2+1)&amp;"",INDEX(입력_구리근무자명단!$A$1:$GZ$303,$A135,$G$2+0)&amp;"")))</f>
        <v/>
      </c>
      <c r="E135" s="26">
        <f>IF($D135="","",$I$2)</f>
        <v/>
      </c>
      <c r="F135" s="28">
        <f>IF($D135="","",IF(INDEX(입력_구리근무자명단!$A$1:$GZ$303,$A135,$G$2+2)="",출력_요약!$B$3,IF(ISNUMBER(INDEX(입력_구리근무자명단!$A$1:$GZ$303,$A135,$G$2+2)),INDEX(입력_구리근무자명단!$A$1:$GZ$303,$A135,$G$2+2),IFERROR(DATE(VALUE(LEFT(INDEX(입력_구리근무자명단!$A$1:$GZ$303,$A135,$G$2+2),4)),VALUE(MID(INDEX(입력_구리근무자명단!$A$1:$GZ$303,$A135,$G$2+2),6,2)),VALUE(MID(INDEX(입력_구리근무자명단!$A$1:$GZ$303,$A135,$G$2+2),9,2))),IFERROR(DATEVALUE(SUBSTITUTE(TRIM(INDEX(입력_구리근무자명단!$A$1:$GZ$303,$A135,$G$2+2)),".","-")),"⚠"&amp;INDEX(입력_구리근무자명단!$A$1:$GZ$303,$A135,$G$2+2))))))</f>
        <v/>
      </c>
      <c r="G135" s="28">
        <f>IF($D135="","",IF(INDEX(입력_구리근무자명단!$A$1:$GZ$303,$A135,$G$2+3)="",EOMONTH(출력_요약!$B$3,0),IF(ISNUMBER(INDEX(입력_구리근무자명단!$A$1:$GZ$303,$A135,$G$2+3)),INDEX(입력_구리근무자명단!$A$1:$GZ$303,$A135,$G$2+3),IFERROR(DATE(VALUE(LEFT(INDEX(입력_구리근무자명단!$A$1:$GZ$303,$A135,$G$2+3),4)),VALUE(MID(INDEX(입력_구리근무자명단!$A$1:$GZ$303,$A135,$G$2+3),6,2)),VALUE(MID(INDEX(입력_구리근무자명단!$A$1:$GZ$303,$A135,$G$2+3),9,2))),IFERROR(DATEVALUE(SUBSTITUTE(TRIM(INDEX(입력_구리근무자명단!$A$1:$GZ$303,$A135,$G$2+3)),".","-")),"⚠"&amp;INDEX(입력_구리근무자명단!$A$1:$GZ$303,$A135,$G$2+3))))))</f>
        <v/>
      </c>
      <c r="H135" s="26">
        <f>IF($D135="","",IF(OR(NOT(ISNUMBER($F135)),NOT(ISNUMBER($G135))),0,MAX(0,MIN($G135,EOMONTH(출력_요약!$B$3,0))-MAX($F135,출력_요약!$B$3)+1)))</f>
        <v/>
      </c>
      <c r="I135" s="26">
        <f>IF($D135="","",TRIM(INDEX(입력_구리근무자명단!$A$1:$GZ$303,$A135,$G$2+5)&amp;""))</f>
        <v/>
      </c>
      <c r="J135" s="26">
        <f>IF($D135="","",IF(ISNUMBER(SEARCH("구리독자",$I135)),"구리독자",""))</f>
        <v/>
      </c>
      <c r="K135" s="29">
        <f>IF($D135="","",IF(COUNTIFS(입력_전공의명단!$C$2:$C$401,$D135,입력_전공의명단!$F$2:$F$401,IF(OR($C135="인턴",ISNUMBER(SEARCH("수련교육부",$B135))),"인턴",$B135))=1,MATCH($D135&amp;"|"&amp;IF(OR($C135="인턴",ISNUMBER(SEARCH("수련교육부",$B135))),"인턴",$B135),입력_전공의명단!$AP$2:$AP$401,0),IF(AND(COUNTIFS(입력_전공의명단!$C$2:$C$401,$D135,입력_전공의명단!$F$2:$F$401,IF(OR($C135="인턴",ISNUMBER(SEARCH("수련교육부",$B135))),"인턴",$B135))=0,COUNTIF(입력_전공의명단!$C$2:$C$401,$D135)=1),MATCH($D135,입력_전공의명단!$C$2:$C$401,0),"")))</f>
        <v/>
      </c>
      <c r="L135" s="26">
        <f>IF($D135="","",IF($K135&lt;&gt;"",IF(COUNTIFS(입력_전공의명단!$C$2:$C$401,$D135,입력_전공의명단!$F$2:$F$401,IF(OR($C135="인턴",ISNUMBER(SEARCH("수련교육부",$B135))),"인턴",$B135))=1,"명단 일치","명단 일치(이름만, 과 다름)"),IF(COUNTIF(입력_전공의명단!$C$2:$C$401,$D135)=0,IF(COUNTIF(입력_기본자료!$C$2:$C$1001,$D135)&gt;0,"명단에 없음(기본자료에는 있음)","명단에 없음"),"동명이인 확인")))</f>
        <v/>
      </c>
      <c r="N135" s="8" t="n">
        <v>130</v>
      </c>
      <c r="O135" s="8">
        <f>IF(ISNUMBER(SEARCH("근무예정자",(INDEX(입력_구리근무자명단!$A$3:$GZ$3,1,130)&amp;""))),IFERROR(VALUE(LEFT((INDEX(입력_구리근무자명단!$A$3:$GZ$3,1,130)&amp;""),4))*100+VALUE(MID((INDEX(입력_구리근무자명단!$A$3:$GZ$3,1,130)&amp;""),6,MIN(FIND("월",(INDEX(입력_구리근무자명단!$A$3:$GZ$3,1,130)&amp;"")&amp;"월"),FIND(CHAR(10),(INDEX(입력_구리근무자명단!$A$3:$GZ$3,1,130)&amp;"")&amp;CHAR(10)),FIND(" ",(INDEX(입력_구리근무자명단!$A$3:$GZ$3,1,130)&amp;"")&amp;" "))-6)),""),"")</f>
        <v/>
      </c>
    </row>
    <row r="136">
      <c r="A136" s="29" t="n">
        <v>134</v>
      </c>
      <c r="B136" s="26">
        <f>IF(TRIM(INDEX(입력_구리근무자명단!$A$1:$GZ$303,$A136,1)&amp;"")&lt;&gt;"",TRIM(INDEX(입력_구리근무자명단!$A$1:$GZ$303,$A136,1)&amp;""),B135)</f>
        <v/>
      </c>
      <c r="C136" s="26">
        <f>IF(INDEX(입력_구리근무자명단!$A$1:$GZ$303,$A136,2)="","",INDEX(입력_구리근무자명단!$A$1:$GZ$303,$A136,2))</f>
        <v/>
      </c>
      <c r="D136" s="26">
        <f>IF($G$2="","",TRIM(IF($I$2="확정",INDEX(입력_구리근무자명단!$A$1:$GZ$303,$A136,$G$2+1)&amp;"",INDEX(입력_구리근무자명단!$A$1:$GZ$303,$A136,$G$2+0)&amp;"")))</f>
        <v/>
      </c>
      <c r="E136" s="26">
        <f>IF($D136="","",$I$2)</f>
        <v/>
      </c>
      <c r="F136" s="28">
        <f>IF($D136="","",IF(INDEX(입력_구리근무자명단!$A$1:$GZ$303,$A136,$G$2+2)="",출력_요약!$B$3,IF(ISNUMBER(INDEX(입력_구리근무자명단!$A$1:$GZ$303,$A136,$G$2+2)),INDEX(입력_구리근무자명단!$A$1:$GZ$303,$A136,$G$2+2),IFERROR(DATE(VALUE(LEFT(INDEX(입력_구리근무자명단!$A$1:$GZ$303,$A136,$G$2+2),4)),VALUE(MID(INDEX(입력_구리근무자명단!$A$1:$GZ$303,$A136,$G$2+2),6,2)),VALUE(MID(INDEX(입력_구리근무자명단!$A$1:$GZ$303,$A136,$G$2+2),9,2))),IFERROR(DATEVALUE(SUBSTITUTE(TRIM(INDEX(입력_구리근무자명단!$A$1:$GZ$303,$A136,$G$2+2)),".","-")),"⚠"&amp;INDEX(입력_구리근무자명단!$A$1:$GZ$303,$A136,$G$2+2))))))</f>
        <v/>
      </c>
      <c r="G136" s="28">
        <f>IF($D136="","",IF(INDEX(입력_구리근무자명단!$A$1:$GZ$303,$A136,$G$2+3)="",EOMONTH(출력_요약!$B$3,0),IF(ISNUMBER(INDEX(입력_구리근무자명단!$A$1:$GZ$303,$A136,$G$2+3)),INDEX(입력_구리근무자명단!$A$1:$GZ$303,$A136,$G$2+3),IFERROR(DATE(VALUE(LEFT(INDEX(입력_구리근무자명단!$A$1:$GZ$303,$A136,$G$2+3),4)),VALUE(MID(INDEX(입력_구리근무자명단!$A$1:$GZ$303,$A136,$G$2+3),6,2)),VALUE(MID(INDEX(입력_구리근무자명단!$A$1:$GZ$303,$A136,$G$2+3),9,2))),IFERROR(DATEVALUE(SUBSTITUTE(TRIM(INDEX(입력_구리근무자명단!$A$1:$GZ$303,$A136,$G$2+3)),".","-")),"⚠"&amp;INDEX(입력_구리근무자명단!$A$1:$GZ$303,$A136,$G$2+3))))))</f>
        <v/>
      </c>
      <c r="H136" s="26">
        <f>IF($D136="","",IF(OR(NOT(ISNUMBER($F136)),NOT(ISNUMBER($G136))),0,MAX(0,MIN($G136,EOMONTH(출력_요약!$B$3,0))-MAX($F136,출력_요약!$B$3)+1)))</f>
        <v/>
      </c>
      <c r="I136" s="26">
        <f>IF($D136="","",TRIM(INDEX(입력_구리근무자명단!$A$1:$GZ$303,$A136,$G$2+5)&amp;""))</f>
        <v/>
      </c>
      <c r="J136" s="26">
        <f>IF($D136="","",IF(ISNUMBER(SEARCH("구리독자",$I136)),"구리독자",""))</f>
        <v/>
      </c>
      <c r="K136" s="29">
        <f>IF($D136="","",IF(COUNTIFS(입력_전공의명단!$C$2:$C$401,$D136,입력_전공의명단!$F$2:$F$401,IF(OR($C136="인턴",ISNUMBER(SEARCH("수련교육부",$B136))),"인턴",$B136))=1,MATCH($D136&amp;"|"&amp;IF(OR($C136="인턴",ISNUMBER(SEARCH("수련교육부",$B136))),"인턴",$B136),입력_전공의명단!$AP$2:$AP$401,0),IF(AND(COUNTIFS(입력_전공의명단!$C$2:$C$401,$D136,입력_전공의명단!$F$2:$F$401,IF(OR($C136="인턴",ISNUMBER(SEARCH("수련교육부",$B136))),"인턴",$B136))=0,COUNTIF(입력_전공의명단!$C$2:$C$401,$D136)=1),MATCH($D136,입력_전공의명단!$C$2:$C$401,0),"")))</f>
        <v/>
      </c>
      <c r="L136" s="26">
        <f>IF($D136="","",IF($K136&lt;&gt;"",IF(COUNTIFS(입력_전공의명단!$C$2:$C$401,$D136,입력_전공의명단!$F$2:$F$401,IF(OR($C136="인턴",ISNUMBER(SEARCH("수련교육부",$B136))),"인턴",$B136))=1,"명단 일치","명단 일치(이름만, 과 다름)"),IF(COUNTIF(입력_전공의명단!$C$2:$C$401,$D136)=0,IF(COUNTIF(입력_기본자료!$C$2:$C$1001,$D136)&gt;0,"명단에 없음(기본자료에는 있음)","명단에 없음"),"동명이인 확인")))</f>
        <v/>
      </c>
      <c r="N136" s="8" t="n">
        <v>131</v>
      </c>
      <c r="O136" s="8">
        <f>IF(ISNUMBER(SEARCH("근무예정자",(INDEX(입력_구리근무자명단!$A$3:$GZ$3,1,131)&amp;""))),IFERROR(VALUE(LEFT((INDEX(입력_구리근무자명단!$A$3:$GZ$3,1,131)&amp;""),4))*100+VALUE(MID((INDEX(입력_구리근무자명단!$A$3:$GZ$3,1,131)&amp;""),6,MIN(FIND("월",(INDEX(입력_구리근무자명단!$A$3:$GZ$3,1,131)&amp;"")&amp;"월"),FIND(CHAR(10),(INDEX(입력_구리근무자명단!$A$3:$GZ$3,1,131)&amp;"")&amp;CHAR(10)),FIND(" ",(INDEX(입력_구리근무자명단!$A$3:$GZ$3,1,131)&amp;"")&amp;" "))-6)),""),"")</f>
        <v/>
      </c>
    </row>
    <row r="137">
      <c r="A137" s="29" t="n">
        <v>135</v>
      </c>
      <c r="B137" s="26">
        <f>IF(TRIM(INDEX(입력_구리근무자명단!$A$1:$GZ$303,$A137,1)&amp;"")&lt;&gt;"",TRIM(INDEX(입력_구리근무자명단!$A$1:$GZ$303,$A137,1)&amp;""),B136)</f>
        <v/>
      </c>
      <c r="C137" s="26">
        <f>IF(INDEX(입력_구리근무자명단!$A$1:$GZ$303,$A137,2)="","",INDEX(입력_구리근무자명단!$A$1:$GZ$303,$A137,2))</f>
        <v/>
      </c>
      <c r="D137" s="26">
        <f>IF($G$2="","",TRIM(IF($I$2="확정",INDEX(입력_구리근무자명단!$A$1:$GZ$303,$A137,$G$2+1)&amp;"",INDEX(입력_구리근무자명단!$A$1:$GZ$303,$A137,$G$2+0)&amp;"")))</f>
        <v/>
      </c>
      <c r="E137" s="26">
        <f>IF($D137="","",$I$2)</f>
        <v/>
      </c>
      <c r="F137" s="28">
        <f>IF($D137="","",IF(INDEX(입력_구리근무자명단!$A$1:$GZ$303,$A137,$G$2+2)="",출력_요약!$B$3,IF(ISNUMBER(INDEX(입력_구리근무자명단!$A$1:$GZ$303,$A137,$G$2+2)),INDEX(입력_구리근무자명단!$A$1:$GZ$303,$A137,$G$2+2),IFERROR(DATE(VALUE(LEFT(INDEX(입력_구리근무자명단!$A$1:$GZ$303,$A137,$G$2+2),4)),VALUE(MID(INDEX(입력_구리근무자명단!$A$1:$GZ$303,$A137,$G$2+2),6,2)),VALUE(MID(INDEX(입력_구리근무자명단!$A$1:$GZ$303,$A137,$G$2+2),9,2))),IFERROR(DATEVALUE(SUBSTITUTE(TRIM(INDEX(입력_구리근무자명단!$A$1:$GZ$303,$A137,$G$2+2)),".","-")),"⚠"&amp;INDEX(입력_구리근무자명단!$A$1:$GZ$303,$A137,$G$2+2))))))</f>
        <v/>
      </c>
      <c r="G137" s="28">
        <f>IF($D137="","",IF(INDEX(입력_구리근무자명단!$A$1:$GZ$303,$A137,$G$2+3)="",EOMONTH(출력_요약!$B$3,0),IF(ISNUMBER(INDEX(입력_구리근무자명단!$A$1:$GZ$303,$A137,$G$2+3)),INDEX(입력_구리근무자명단!$A$1:$GZ$303,$A137,$G$2+3),IFERROR(DATE(VALUE(LEFT(INDEX(입력_구리근무자명단!$A$1:$GZ$303,$A137,$G$2+3),4)),VALUE(MID(INDEX(입력_구리근무자명단!$A$1:$GZ$303,$A137,$G$2+3),6,2)),VALUE(MID(INDEX(입력_구리근무자명단!$A$1:$GZ$303,$A137,$G$2+3),9,2))),IFERROR(DATEVALUE(SUBSTITUTE(TRIM(INDEX(입력_구리근무자명단!$A$1:$GZ$303,$A137,$G$2+3)),".","-")),"⚠"&amp;INDEX(입력_구리근무자명단!$A$1:$GZ$303,$A137,$G$2+3))))))</f>
        <v/>
      </c>
      <c r="H137" s="26">
        <f>IF($D137="","",IF(OR(NOT(ISNUMBER($F137)),NOT(ISNUMBER($G137))),0,MAX(0,MIN($G137,EOMONTH(출력_요약!$B$3,0))-MAX($F137,출력_요약!$B$3)+1)))</f>
        <v/>
      </c>
      <c r="I137" s="26">
        <f>IF($D137="","",TRIM(INDEX(입력_구리근무자명단!$A$1:$GZ$303,$A137,$G$2+5)&amp;""))</f>
        <v/>
      </c>
      <c r="J137" s="26">
        <f>IF($D137="","",IF(ISNUMBER(SEARCH("구리독자",$I137)),"구리독자",""))</f>
        <v/>
      </c>
      <c r="K137" s="29">
        <f>IF($D137="","",IF(COUNTIFS(입력_전공의명단!$C$2:$C$401,$D137,입력_전공의명단!$F$2:$F$401,IF(OR($C137="인턴",ISNUMBER(SEARCH("수련교육부",$B137))),"인턴",$B137))=1,MATCH($D137&amp;"|"&amp;IF(OR($C137="인턴",ISNUMBER(SEARCH("수련교육부",$B137))),"인턴",$B137),입력_전공의명단!$AP$2:$AP$401,0),IF(AND(COUNTIFS(입력_전공의명단!$C$2:$C$401,$D137,입력_전공의명단!$F$2:$F$401,IF(OR($C137="인턴",ISNUMBER(SEARCH("수련교육부",$B137))),"인턴",$B137))=0,COUNTIF(입력_전공의명단!$C$2:$C$401,$D137)=1),MATCH($D137,입력_전공의명단!$C$2:$C$401,0),"")))</f>
        <v/>
      </c>
      <c r="L137" s="26">
        <f>IF($D137="","",IF($K137&lt;&gt;"",IF(COUNTIFS(입력_전공의명단!$C$2:$C$401,$D137,입력_전공의명단!$F$2:$F$401,IF(OR($C137="인턴",ISNUMBER(SEARCH("수련교육부",$B137))),"인턴",$B137))=1,"명단 일치","명단 일치(이름만, 과 다름)"),IF(COUNTIF(입력_전공의명단!$C$2:$C$401,$D137)=0,IF(COUNTIF(입력_기본자료!$C$2:$C$1001,$D137)&gt;0,"명단에 없음(기본자료에는 있음)","명단에 없음"),"동명이인 확인")))</f>
        <v/>
      </c>
      <c r="N137" s="8" t="n">
        <v>132</v>
      </c>
      <c r="O137" s="8">
        <f>IF(ISNUMBER(SEARCH("근무예정자",(INDEX(입력_구리근무자명단!$A$3:$GZ$3,1,132)&amp;""))),IFERROR(VALUE(LEFT((INDEX(입력_구리근무자명단!$A$3:$GZ$3,1,132)&amp;""),4))*100+VALUE(MID((INDEX(입력_구리근무자명단!$A$3:$GZ$3,1,132)&amp;""),6,MIN(FIND("월",(INDEX(입력_구리근무자명단!$A$3:$GZ$3,1,132)&amp;"")&amp;"월"),FIND(CHAR(10),(INDEX(입력_구리근무자명단!$A$3:$GZ$3,1,132)&amp;"")&amp;CHAR(10)),FIND(" ",(INDEX(입력_구리근무자명단!$A$3:$GZ$3,1,132)&amp;"")&amp;" "))-6)),""),"")</f>
        <v/>
      </c>
    </row>
    <row r="138">
      <c r="A138" s="29" t="n">
        <v>136</v>
      </c>
      <c r="B138" s="26">
        <f>IF(TRIM(INDEX(입력_구리근무자명단!$A$1:$GZ$303,$A138,1)&amp;"")&lt;&gt;"",TRIM(INDEX(입력_구리근무자명단!$A$1:$GZ$303,$A138,1)&amp;""),B137)</f>
        <v/>
      </c>
      <c r="C138" s="26">
        <f>IF(INDEX(입력_구리근무자명단!$A$1:$GZ$303,$A138,2)="","",INDEX(입력_구리근무자명단!$A$1:$GZ$303,$A138,2))</f>
        <v/>
      </c>
      <c r="D138" s="26">
        <f>IF($G$2="","",TRIM(IF($I$2="확정",INDEX(입력_구리근무자명단!$A$1:$GZ$303,$A138,$G$2+1)&amp;"",INDEX(입력_구리근무자명단!$A$1:$GZ$303,$A138,$G$2+0)&amp;"")))</f>
        <v/>
      </c>
      <c r="E138" s="26">
        <f>IF($D138="","",$I$2)</f>
        <v/>
      </c>
      <c r="F138" s="28">
        <f>IF($D138="","",IF(INDEX(입력_구리근무자명단!$A$1:$GZ$303,$A138,$G$2+2)="",출력_요약!$B$3,IF(ISNUMBER(INDEX(입력_구리근무자명단!$A$1:$GZ$303,$A138,$G$2+2)),INDEX(입력_구리근무자명단!$A$1:$GZ$303,$A138,$G$2+2),IFERROR(DATE(VALUE(LEFT(INDEX(입력_구리근무자명단!$A$1:$GZ$303,$A138,$G$2+2),4)),VALUE(MID(INDEX(입력_구리근무자명단!$A$1:$GZ$303,$A138,$G$2+2),6,2)),VALUE(MID(INDEX(입력_구리근무자명단!$A$1:$GZ$303,$A138,$G$2+2),9,2))),IFERROR(DATEVALUE(SUBSTITUTE(TRIM(INDEX(입력_구리근무자명단!$A$1:$GZ$303,$A138,$G$2+2)),".","-")),"⚠"&amp;INDEX(입력_구리근무자명단!$A$1:$GZ$303,$A138,$G$2+2))))))</f>
        <v/>
      </c>
      <c r="G138" s="28">
        <f>IF($D138="","",IF(INDEX(입력_구리근무자명단!$A$1:$GZ$303,$A138,$G$2+3)="",EOMONTH(출력_요약!$B$3,0),IF(ISNUMBER(INDEX(입력_구리근무자명단!$A$1:$GZ$303,$A138,$G$2+3)),INDEX(입력_구리근무자명단!$A$1:$GZ$303,$A138,$G$2+3),IFERROR(DATE(VALUE(LEFT(INDEX(입력_구리근무자명단!$A$1:$GZ$303,$A138,$G$2+3),4)),VALUE(MID(INDEX(입력_구리근무자명단!$A$1:$GZ$303,$A138,$G$2+3),6,2)),VALUE(MID(INDEX(입력_구리근무자명단!$A$1:$GZ$303,$A138,$G$2+3),9,2))),IFERROR(DATEVALUE(SUBSTITUTE(TRIM(INDEX(입력_구리근무자명단!$A$1:$GZ$303,$A138,$G$2+3)),".","-")),"⚠"&amp;INDEX(입력_구리근무자명단!$A$1:$GZ$303,$A138,$G$2+3))))))</f>
        <v/>
      </c>
      <c r="H138" s="26">
        <f>IF($D138="","",IF(OR(NOT(ISNUMBER($F138)),NOT(ISNUMBER($G138))),0,MAX(0,MIN($G138,EOMONTH(출력_요약!$B$3,0))-MAX($F138,출력_요약!$B$3)+1)))</f>
        <v/>
      </c>
      <c r="I138" s="26">
        <f>IF($D138="","",TRIM(INDEX(입력_구리근무자명단!$A$1:$GZ$303,$A138,$G$2+5)&amp;""))</f>
        <v/>
      </c>
      <c r="J138" s="26">
        <f>IF($D138="","",IF(ISNUMBER(SEARCH("구리독자",$I138)),"구리독자",""))</f>
        <v/>
      </c>
      <c r="K138" s="29">
        <f>IF($D138="","",IF(COUNTIFS(입력_전공의명단!$C$2:$C$401,$D138,입력_전공의명단!$F$2:$F$401,IF(OR($C138="인턴",ISNUMBER(SEARCH("수련교육부",$B138))),"인턴",$B138))=1,MATCH($D138&amp;"|"&amp;IF(OR($C138="인턴",ISNUMBER(SEARCH("수련교육부",$B138))),"인턴",$B138),입력_전공의명단!$AP$2:$AP$401,0),IF(AND(COUNTIFS(입력_전공의명단!$C$2:$C$401,$D138,입력_전공의명단!$F$2:$F$401,IF(OR($C138="인턴",ISNUMBER(SEARCH("수련교육부",$B138))),"인턴",$B138))=0,COUNTIF(입력_전공의명단!$C$2:$C$401,$D138)=1),MATCH($D138,입력_전공의명단!$C$2:$C$401,0),"")))</f>
        <v/>
      </c>
      <c r="L138" s="26">
        <f>IF($D138="","",IF($K138&lt;&gt;"",IF(COUNTIFS(입력_전공의명단!$C$2:$C$401,$D138,입력_전공의명단!$F$2:$F$401,IF(OR($C138="인턴",ISNUMBER(SEARCH("수련교육부",$B138))),"인턴",$B138))=1,"명단 일치","명단 일치(이름만, 과 다름)"),IF(COUNTIF(입력_전공의명단!$C$2:$C$401,$D138)=0,IF(COUNTIF(입력_기본자료!$C$2:$C$1001,$D138)&gt;0,"명단에 없음(기본자료에는 있음)","명단에 없음"),"동명이인 확인")))</f>
        <v/>
      </c>
      <c r="N138" s="8" t="n">
        <v>133</v>
      </c>
      <c r="O138" s="8">
        <f>IF(ISNUMBER(SEARCH("근무예정자",(INDEX(입력_구리근무자명단!$A$3:$GZ$3,1,133)&amp;""))),IFERROR(VALUE(LEFT((INDEX(입력_구리근무자명단!$A$3:$GZ$3,1,133)&amp;""),4))*100+VALUE(MID((INDEX(입력_구리근무자명단!$A$3:$GZ$3,1,133)&amp;""),6,MIN(FIND("월",(INDEX(입력_구리근무자명단!$A$3:$GZ$3,1,133)&amp;"")&amp;"월"),FIND(CHAR(10),(INDEX(입력_구리근무자명단!$A$3:$GZ$3,1,133)&amp;"")&amp;CHAR(10)),FIND(" ",(INDEX(입력_구리근무자명단!$A$3:$GZ$3,1,133)&amp;"")&amp;" "))-6)),""),"")</f>
        <v/>
      </c>
    </row>
    <row r="139">
      <c r="A139" s="29" t="n">
        <v>137</v>
      </c>
      <c r="B139" s="26">
        <f>IF(TRIM(INDEX(입력_구리근무자명단!$A$1:$GZ$303,$A139,1)&amp;"")&lt;&gt;"",TRIM(INDEX(입력_구리근무자명단!$A$1:$GZ$303,$A139,1)&amp;""),B138)</f>
        <v/>
      </c>
      <c r="C139" s="26">
        <f>IF(INDEX(입력_구리근무자명단!$A$1:$GZ$303,$A139,2)="","",INDEX(입력_구리근무자명단!$A$1:$GZ$303,$A139,2))</f>
        <v/>
      </c>
      <c r="D139" s="26">
        <f>IF($G$2="","",TRIM(IF($I$2="확정",INDEX(입력_구리근무자명단!$A$1:$GZ$303,$A139,$G$2+1)&amp;"",INDEX(입력_구리근무자명단!$A$1:$GZ$303,$A139,$G$2+0)&amp;"")))</f>
        <v/>
      </c>
      <c r="E139" s="26">
        <f>IF($D139="","",$I$2)</f>
        <v/>
      </c>
      <c r="F139" s="28">
        <f>IF($D139="","",IF(INDEX(입력_구리근무자명단!$A$1:$GZ$303,$A139,$G$2+2)="",출력_요약!$B$3,IF(ISNUMBER(INDEX(입력_구리근무자명단!$A$1:$GZ$303,$A139,$G$2+2)),INDEX(입력_구리근무자명단!$A$1:$GZ$303,$A139,$G$2+2),IFERROR(DATE(VALUE(LEFT(INDEX(입력_구리근무자명단!$A$1:$GZ$303,$A139,$G$2+2),4)),VALUE(MID(INDEX(입력_구리근무자명단!$A$1:$GZ$303,$A139,$G$2+2),6,2)),VALUE(MID(INDEX(입력_구리근무자명단!$A$1:$GZ$303,$A139,$G$2+2),9,2))),IFERROR(DATEVALUE(SUBSTITUTE(TRIM(INDEX(입력_구리근무자명단!$A$1:$GZ$303,$A139,$G$2+2)),".","-")),"⚠"&amp;INDEX(입력_구리근무자명단!$A$1:$GZ$303,$A139,$G$2+2))))))</f>
        <v/>
      </c>
      <c r="G139" s="28">
        <f>IF($D139="","",IF(INDEX(입력_구리근무자명단!$A$1:$GZ$303,$A139,$G$2+3)="",EOMONTH(출력_요약!$B$3,0),IF(ISNUMBER(INDEX(입력_구리근무자명단!$A$1:$GZ$303,$A139,$G$2+3)),INDEX(입력_구리근무자명단!$A$1:$GZ$303,$A139,$G$2+3),IFERROR(DATE(VALUE(LEFT(INDEX(입력_구리근무자명단!$A$1:$GZ$303,$A139,$G$2+3),4)),VALUE(MID(INDEX(입력_구리근무자명단!$A$1:$GZ$303,$A139,$G$2+3),6,2)),VALUE(MID(INDEX(입력_구리근무자명단!$A$1:$GZ$303,$A139,$G$2+3),9,2))),IFERROR(DATEVALUE(SUBSTITUTE(TRIM(INDEX(입력_구리근무자명단!$A$1:$GZ$303,$A139,$G$2+3)),".","-")),"⚠"&amp;INDEX(입력_구리근무자명단!$A$1:$GZ$303,$A139,$G$2+3))))))</f>
        <v/>
      </c>
      <c r="H139" s="26">
        <f>IF($D139="","",IF(OR(NOT(ISNUMBER($F139)),NOT(ISNUMBER($G139))),0,MAX(0,MIN($G139,EOMONTH(출력_요약!$B$3,0))-MAX($F139,출력_요약!$B$3)+1)))</f>
        <v/>
      </c>
      <c r="I139" s="26">
        <f>IF($D139="","",TRIM(INDEX(입력_구리근무자명단!$A$1:$GZ$303,$A139,$G$2+5)&amp;""))</f>
        <v/>
      </c>
      <c r="J139" s="26">
        <f>IF($D139="","",IF(ISNUMBER(SEARCH("구리독자",$I139)),"구리독자",""))</f>
        <v/>
      </c>
      <c r="K139" s="29">
        <f>IF($D139="","",IF(COUNTIFS(입력_전공의명단!$C$2:$C$401,$D139,입력_전공의명단!$F$2:$F$401,IF(OR($C139="인턴",ISNUMBER(SEARCH("수련교육부",$B139))),"인턴",$B139))=1,MATCH($D139&amp;"|"&amp;IF(OR($C139="인턴",ISNUMBER(SEARCH("수련교육부",$B139))),"인턴",$B139),입력_전공의명단!$AP$2:$AP$401,0),IF(AND(COUNTIFS(입력_전공의명단!$C$2:$C$401,$D139,입력_전공의명단!$F$2:$F$401,IF(OR($C139="인턴",ISNUMBER(SEARCH("수련교육부",$B139))),"인턴",$B139))=0,COUNTIF(입력_전공의명단!$C$2:$C$401,$D139)=1),MATCH($D139,입력_전공의명단!$C$2:$C$401,0),"")))</f>
        <v/>
      </c>
      <c r="L139" s="26">
        <f>IF($D139="","",IF($K139&lt;&gt;"",IF(COUNTIFS(입력_전공의명단!$C$2:$C$401,$D139,입력_전공의명단!$F$2:$F$401,IF(OR($C139="인턴",ISNUMBER(SEARCH("수련교육부",$B139))),"인턴",$B139))=1,"명단 일치","명단 일치(이름만, 과 다름)"),IF(COUNTIF(입력_전공의명단!$C$2:$C$401,$D139)=0,IF(COUNTIF(입력_기본자료!$C$2:$C$1001,$D139)&gt;0,"명단에 없음(기본자료에는 있음)","명단에 없음"),"동명이인 확인")))</f>
        <v/>
      </c>
      <c r="N139" s="8" t="n">
        <v>134</v>
      </c>
      <c r="O139" s="8">
        <f>IF(ISNUMBER(SEARCH("근무예정자",(INDEX(입력_구리근무자명단!$A$3:$GZ$3,1,134)&amp;""))),IFERROR(VALUE(LEFT((INDEX(입력_구리근무자명단!$A$3:$GZ$3,1,134)&amp;""),4))*100+VALUE(MID((INDEX(입력_구리근무자명단!$A$3:$GZ$3,1,134)&amp;""),6,MIN(FIND("월",(INDEX(입력_구리근무자명단!$A$3:$GZ$3,1,134)&amp;"")&amp;"월"),FIND(CHAR(10),(INDEX(입력_구리근무자명단!$A$3:$GZ$3,1,134)&amp;"")&amp;CHAR(10)),FIND(" ",(INDEX(입력_구리근무자명단!$A$3:$GZ$3,1,134)&amp;"")&amp;" "))-6)),""),"")</f>
        <v/>
      </c>
    </row>
    <row r="140">
      <c r="A140" s="29" t="n">
        <v>138</v>
      </c>
      <c r="B140" s="26">
        <f>IF(TRIM(INDEX(입력_구리근무자명단!$A$1:$GZ$303,$A140,1)&amp;"")&lt;&gt;"",TRIM(INDEX(입력_구리근무자명단!$A$1:$GZ$303,$A140,1)&amp;""),B139)</f>
        <v/>
      </c>
      <c r="C140" s="26">
        <f>IF(INDEX(입력_구리근무자명단!$A$1:$GZ$303,$A140,2)="","",INDEX(입력_구리근무자명단!$A$1:$GZ$303,$A140,2))</f>
        <v/>
      </c>
      <c r="D140" s="26">
        <f>IF($G$2="","",TRIM(IF($I$2="확정",INDEX(입력_구리근무자명단!$A$1:$GZ$303,$A140,$G$2+1)&amp;"",INDEX(입력_구리근무자명단!$A$1:$GZ$303,$A140,$G$2+0)&amp;"")))</f>
        <v/>
      </c>
      <c r="E140" s="26">
        <f>IF($D140="","",$I$2)</f>
        <v/>
      </c>
      <c r="F140" s="28">
        <f>IF($D140="","",IF(INDEX(입력_구리근무자명단!$A$1:$GZ$303,$A140,$G$2+2)="",출력_요약!$B$3,IF(ISNUMBER(INDEX(입력_구리근무자명단!$A$1:$GZ$303,$A140,$G$2+2)),INDEX(입력_구리근무자명단!$A$1:$GZ$303,$A140,$G$2+2),IFERROR(DATE(VALUE(LEFT(INDEX(입력_구리근무자명단!$A$1:$GZ$303,$A140,$G$2+2),4)),VALUE(MID(INDEX(입력_구리근무자명단!$A$1:$GZ$303,$A140,$G$2+2),6,2)),VALUE(MID(INDEX(입력_구리근무자명단!$A$1:$GZ$303,$A140,$G$2+2),9,2))),IFERROR(DATEVALUE(SUBSTITUTE(TRIM(INDEX(입력_구리근무자명단!$A$1:$GZ$303,$A140,$G$2+2)),".","-")),"⚠"&amp;INDEX(입력_구리근무자명단!$A$1:$GZ$303,$A140,$G$2+2))))))</f>
        <v/>
      </c>
      <c r="G140" s="28">
        <f>IF($D140="","",IF(INDEX(입력_구리근무자명단!$A$1:$GZ$303,$A140,$G$2+3)="",EOMONTH(출력_요약!$B$3,0),IF(ISNUMBER(INDEX(입력_구리근무자명단!$A$1:$GZ$303,$A140,$G$2+3)),INDEX(입력_구리근무자명단!$A$1:$GZ$303,$A140,$G$2+3),IFERROR(DATE(VALUE(LEFT(INDEX(입력_구리근무자명단!$A$1:$GZ$303,$A140,$G$2+3),4)),VALUE(MID(INDEX(입력_구리근무자명단!$A$1:$GZ$303,$A140,$G$2+3),6,2)),VALUE(MID(INDEX(입력_구리근무자명단!$A$1:$GZ$303,$A140,$G$2+3),9,2))),IFERROR(DATEVALUE(SUBSTITUTE(TRIM(INDEX(입력_구리근무자명단!$A$1:$GZ$303,$A140,$G$2+3)),".","-")),"⚠"&amp;INDEX(입력_구리근무자명단!$A$1:$GZ$303,$A140,$G$2+3))))))</f>
        <v/>
      </c>
      <c r="H140" s="26">
        <f>IF($D140="","",IF(OR(NOT(ISNUMBER($F140)),NOT(ISNUMBER($G140))),0,MAX(0,MIN($G140,EOMONTH(출력_요약!$B$3,0))-MAX($F140,출력_요약!$B$3)+1)))</f>
        <v/>
      </c>
      <c r="I140" s="26">
        <f>IF($D140="","",TRIM(INDEX(입력_구리근무자명단!$A$1:$GZ$303,$A140,$G$2+5)&amp;""))</f>
        <v/>
      </c>
      <c r="J140" s="26">
        <f>IF($D140="","",IF(ISNUMBER(SEARCH("구리독자",$I140)),"구리독자",""))</f>
        <v/>
      </c>
      <c r="K140" s="29">
        <f>IF($D140="","",IF(COUNTIFS(입력_전공의명단!$C$2:$C$401,$D140,입력_전공의명단!$F$2:$F$401,IF(OR($C140="인턴",ISNUMBER(SEARCH("수련교육부",$B140))),"인턴",$B140))=1,MATCH($D140&amp;"|"&amp;IF(OR($C140="인턴",ISNUMBER(SEARCH("수련교육부",$B140))),"인턴",$B140),입력_전공의명단!$AP$2:$AP$401,0),IF(AND(COUNTIFS(입력_전공의명단!$C$2:$C$401,$D140,입력_전공의명단!$F$2:$F$401,IF(OR($C140="인턴",ISNUMBER(SEARCH("수련교육부",$B140))),"인턴",$B140))=0,COUNTIF(입력_전공의명단!$C$2:$C$401,$D140)=1),MATCH($D140,입력_전공의명단!$C$2:$C$401,0),"")))</f>
        <v/>
      </c>
      <c r="L140" s="26">
        <f>IF($D140="","",IF($K140&lt;&gt;"",IF(COUNTIFS(입력_전공의명단!$C$2:$C$401,$D140,입력_전공의명단!$F$2:$F$401,IF(OR($C140="인턴",ISNUMBER(SEARCH("수련교육부",$B140))),"인턴",$B140))=1,"명단 일치","명단 일치(이름만, 과 다름)"),IF(COUNTIF(입력_전공의명단!$C$2:$C$401,$D140)=0,IF(COUNTIF(입력_기본자료!$C$2:$C$1001,$D140)&gt;0,"명단에 없음(기본자료에는 있음)","명단에 없음"),"동명이인 확인")))</f>
        <v/>
      </c>
      <c r="N140" s="8" t="n">
        <v>135</v>
      </c>
      <c r="O140" s="8">
        <f>IF(ISNUMBER(SEARCH("근무예정자",(INDEX(입력_구리근무자명단!$A$3:$GZ$3,1,135)&amp;""))),IFERROR(VALUE(LEFT((INDEX(입력_구리근무자명단!$A$3:$GZ$3,1,135)&amp;""),4))*100+VALUE(MID((INDEX(입력_구리근무자명단!$A$3:$GZ$3,1,135)&amp;""),6,MIN(FIND("월",(INDEX(입력_구리근무자명단!$A$3:$GZ$3,1,135)&amp;"")&amp;"월"),FIND(CHAR(10),(INDEX(입력_구리근무자명단!$A$3:$GZ$3,1,135)&amp;"")&amp;CHAR(10)),FIND(" ",(INDEX(입력_구리근무자명단!$A$3:$GZ$3,1,135)&amp;"")&amp;" "))-6)),""),"")</f>
        <v/>
      </c>
    </row>
    <row r="141">
      <c r="A141" s="29" t="n">
        <v>139</v>
      </c>
      <c r="B141" s="26">
        <f>IF(TRIM(INDEX(입력_구리근무자명단!$A$1:$GZ$303,$A141,1)&amp;"")&lt;&gt;"",TRIM(INDEX(입력_구리근무자명단!$A$1:$GZ$303,$A141,1)&amp;""),B140)</f>
        <v/>
      </c>
      <c r="C141" s="26">
        <f>IF(INDEX(입력_구리근무자명단!$A$1:$GZ$303,$A141,2)="","",INDEX(입력_구리근무자명단!$A$1:$GZ$303,$A141,2))</f>
        <v/>
      </c>
      <c r="D141" s="26">
        <f>IF($G$2="","",TRIM(IF($I$2="확정",INDEX(입력_구리근무자명단!$A$1:$GZ$303,$A141,$G$2+1)&amp;"",INDEX(입력_구리근무자명단!$A$1:$GZ$303,$A141,$G$2+0)&amp;"")))</f>
        <v/>
      </c>
      <c r="E141" s="26">
        <f>IF($D141="","",$I$2)</f>
        <v/>
      </c>
      <c r="F141" s="28">
        <f>IF($D141="","",IF(INDEX(입력_구리근무자명단!$A$1:$GZ$303,$A141,$G$2+2)="",출력_요약!$B$3,IF(ISNUMBER(INDEX(입력_구리근무자명단!$A$1:$GZ$303,$A141,$G$2+2)),INDEX(입력_구리근무자명단!$A$1:$GZ$303,$A141,$G$2+2),IFERROR(DATE(VALUE(LEFT(INDEX(입력_구리근무자명단!$A$1:$GZ$303,$A141,$G$2+2),4)),VALUE(MID(INDEX(입력_구리근무자명단!$A$1:$GZ$303,$A141,$G$2+2),6,2)),VALUE(MID(INDEX(입력_구리근무자명단!$A$1:$GZ$303,$A141,$G$2+2),9,2))),IFERROR(DATEVALUE(SUBSTITUTE(TRIM(INDEX(입력_구리근무자명단!$A$1:$GZ$303,$A141,$G$2+2)),".","-")),"⚠"&amp;INDEX(입력_구리근무자명단!$A$1:$GZ$303,$A141,$G$2+2))))))</f>
        <v/>
      </c>
      <c r="G141" s="28">
        <f>IF($D141="","",IF(INDEX(입력_구리근무자명단!$A$1:$GZ$303,$A141,$G$2+3)="",EOMONTH(출력_요약!$B$3,0),IF(ISNUMBER(INDEX(입력_구리근무자명단!$A$1:$GZ$303,$A141,$G$2+3)),INDEX(입력_구리근무자명단!$A$1:$GZ$303,$A141,$G$2+3),IFERROR(DATE(VALUE(LEFT(INDEX(입력_구리근무자명단!$A$1:$GZ$303,$A141,$G$2+3),4)),VALUE(MID(INDEX(입력_구리근무자명단!$A$1:$GZ$303,$A141,$G$2+3),6,2)),VALUE(MID(INDEX(입력_구리근무자명단!$A$1:$GZ$303,$A141,$G$2+3),9,2))),IFERROR(DATEVALUE(SUBSTITUTE(TRIM(INDEX(입력_구리근무자명단!$A$1:$GZ$303,$A141,$G$2+3)),".","-")),"⚠"&amp;INDEX(입력_구리근무자명단!$A$1:$GZ$303,$A141,$G$2+3))))))</f>
        <v/>
      </c>
      <c r="H141" s="26">
        <f>IF($D141="","",IF(OR(NOT(ISNUMBER($F141)),NOT(ISNUMBER($G141))),0,MAX(0,MIN($G141,EOMONTH(출력_요약!$B$3,0))-MAX($F141,출력_요약!$B$3)+1)))</f>
        <v/>
      </c>
      <c r="I141" s="26">
        <f>IF($D141="","",TRIM(INDEX(입력_구리근무자명단!$A$1:$GZ$303,$A141,$G$2+5)&amp;""))</f>
        <v/>
      </c>
      <c r="J141" s="26">
        <f>IF($D141="","",IF(ISNUMBER(SEARCH("구리독자",$I141)),"구리독자",""))</f>
        <v/>
      </c>
      <c r="K141" s="29">
        <f>IF($D141="","",IF(COUNTIFS(입력_전공의명단!$C$2:$C$401,$D141,입력_전공의명단!$F$2:$F$401,IF(OR($C141="인턴",ISNUMBER(SEARCH("수련교육부",$B141))),"인턴",$B141))=1,MATCH($D141&amp;"|"&amp;IF(OR($C141="인턴",ISNUMBER(SEARCH("수련교육부",$B141))),"인턴",$B141),입력_전공의명단!$AP$2:$AP$401,0),IF(AND(COUNTIFS(입력_전공의명단!$C$2:$C$401,$D141,입력_전공의명단!$F$2:$F$401,IF(OR($C141="인턴",ISNUMBER(SEARCH("수련교육부",$B141))),"인턴",$B141))=0,COUNTIF(입력_전공의명단!$C$2:$C$401,$D141)=1),MATCH($D141,입력_전공의명단!$C$2:$C$401,0),"")))</f>
        <v/>
      </c>
      <c r="L141" s="26">
        <f>IF($D141="","",IF($K141&lt;&gt;"",IF(COUNTIFS(입력_전공의명단!$C$2:$C$401,$D141,입력_전공의명단!$F$2:$F$401,IF(OR($C141="인턴",ISNUMBER(SEARCH("수련교육부",$B141))),"인턴",$B141))=1,"명단 일치","명단 일치(이름만, 과 다름)"),IF(COUNTIF(입력_전공의명단!$C$2:$C$401,$D141)=0,IF(COUNTIF(입력_기본자료!$C$2:$C$1001,$D141)&gt;0,"명단에 없음(기본자료에는 있음)","명단에 없음"),"동명이인 확인")))</f>
        <v/>
      </c>
      <c r="N141" s="8" t="n">
        <v>136</v>
      </c>
      <c r="O141" s="8">
        <f>IF(ISNUMBER(SEARCH("근무예정자",(INDEX(입력_구리근무자명단!$A$3:$GZ$3,1,136)&amp;""))),IFERROR(VALUE(LEFT((INDEX(입력_구리근무자명단!$A$3:$GZ$3,1,136)&amp;""),4))*100+VALUE(MID((INDEX(입력_구리근무자명단!$A$3:$GZ$3,1,136)&amp;""),6,MIN(FIND("월",(INDEX(입력_구리근무자명단!$A$3:$GZ$3,1,136)&amp;"")&amp;"월"),FIND(CHAR(10),(INDEX(입력_구리근무자명단!$A$3:$GZ$3,1,136)&amp;"")&amp;CHAR(10)),FIND(" ",(INDEX(입력_구리근무자명단!$A$3:$GZ$3,1,136)&amp;"")&amp;" "))-6)),""),"")</f>
        <v/>
      </c>
    </row>
    <row r="142">
      <c r="A142" s="29" t="n">
        <v>140</v>
      </c>
      <c r="B142" s="26">
        <f>IF(TRIM(INDEX(입력_구리근무자명단!$A$1:$GZ$303,$A142,1)&amp;"")&lt;&gt;"",TRIM(INDEX(입력_구리근무자명단!$A$1:$GZ$303,$A142,1)&amp;""),B141)</f>
        <v/>
      </c>
      <c r="C142" s="26">
        <f>IF(INDEX(입력_구리근무자명단!$A$1:$GZ$303,$A142,2)="","",INDEX(입력_구리근무자명단!$A$1:$GZ$303,$A142,2))</f>
        <v/>
      </c>
      <c r="D142" s="26">
        <f>IF($G$2="","",TRIM(IF($I$2="확정",INDEX(입력_구리근무자명단!$A$1:$GZ$303,$A142,$G$2+1)&amp;"",INDEX(입력_구리근무자명단!$A$1:$GZ$303,$A142,$G$2+0)&amp;"")))</f>
        <v/>
      </c>
      <c r="E142" s="26">
        <f>IF($D142="","",$I$2)</f>
        <v/>
      </c>
      <c r="F142" s="28">
        <f>IF($D142="","",IF(INDEX(입력_구리근무자명단!$A$1:$GZ$303,$A142,$G$2+2)="",출력_요약!$B$3,IF(ISNUMBER(INDEX(입력_구리근무자명단!$A$1:$GZ$303,$A142,$G$2+2)),INDEX(입력_구리근무자명단!$A$1:$GZ$303,$A142,$G$2+2),IFERROR(DATE(VALUE(LEFT(INDEX(입력_구리근무자명단!$A$1:$GZ$303,$A142,$G$2+2),4)),VALUE(MID(INDEX(입력_구리근무자명단!$A$1:$GZ$303,$A142,$G$2+2),6,2)),VALUE(MID(INDEX(입력_구리근무자명단!$A$1:$GZ$303,$A142,$G$2+2),9,2))),IFERROR(DATEVALUE(SUBSTITUTE(TRIM(INDEX(입력_구리근무자명단!$A$1:$GZ$303,$A142,$G$2+2)),".","-")),"⚠"&amp;INDEX(입력_구리근무자명단!$A$1:$GZ$303,$A142,$G$2+2))))))</f>
        <v/>
      </c>
      <c r="G142" s="28">
        <f>IF($D142="","",IF(INDEX(입력_구리근무자명단!$A$1:$GZ$303,$A142,$G$2+3)="",EOMONTH(출력_요약!$B$3,0),IF(ISNUMBER(INDEX(입력_구리근무자명단!$A$1:$GZ$303,$A142,$G$2+3)),INDEX(입력_구리근무자명단!$A$1:$GZ$303,$A142,$G$2+3),IFERROR(DATE(VALUE(LEFT(INDEX(입력_구리근무자명단!$A$1:$GZ$303,$A142,$G$2+3),4)),VALUE(MID(INDEX(입력_구리근무자명단!$A$1:$GZ$303,$A142,$G$2+3),6,2)),VALUE(MID(INDEX(입력_구리근무자명단!$A$1:$GZ$303,$A142,$G$2+3),9,2))),IFERROR(DATEVALUE(SUBSTITUTE(TRIM(INDEX(입력_구리근무자명단!$A$1:$GZ$303,$A142,$G$2+3)),".","-")),"⚠"&amp;INDEX(입력_구리근무자명단!$A$1:$GZ$303,$A142,$G$2+3))))))</f>
        <v/>
      </c>
      <c r="H142" s="26">
        <f>IF($D142="","",IF(OR(NOT(ISNUMBER($F142)),NOT(ISNUMBER($G142))),0,MAX(0,MIN($G142,EOMONTH(출력_요약!$B$3,0))-MAX($F142,출력_요약!$B$3)+1)))</f>
        <v/>
      </c>
      <c r="I142" s="26">
        <f>IF($D142="","",TRIM(INDEX(입력_구리근무자명단!$A$1:$GZ$303,$A142,$G$2+5)&amp;""))</f>
        <v/>
      </c>
      <c r="J142" s="26">
        <f>IF($D142="","",IF(ISNUMBER(SEARCH("구리독자",$I142)),"구리독자",""))</f>
        <v/>
      </c>
      <c r="K142" s="29">
        <f>IF($D142="","",IF(COUNTIFS(입력_전공의명단!$C$2:$C$401,$D142,입력_전공의명단!$F$2:$F$401,IF(OR($C142="인턴",ISNUMBER(SEARCH("수련교육부",$B142))),"인턴",$B142))=1,MATCH($D142&amp;"|"&amp;IF(OR($C142="인턴",ISNUMBER(SEARCH("수련교육부",$B142))),"인턴",$B142),입력_전공의명단!$AP$2:$AP$401,0),IF(AND(COUNTIFS(입력_전공의명단!$C$2:$C$401,$D142,입력_전공의명단!$F$2:$F$401,IF(OR($C142="인턴",ISNUMBER(SEARCH("수련교육부",$B142))),"인턴",$B142))=0,COUNTIF(입력_전공의명단!$C$2:$C$401,$D142)=1),MATCH($D142,입력_전공의명단!$C$2:$C$401,0),"")))</f>
        <v/>
      </c>
      <c r="L142" s="26">
        <f>IF($D142="","",IF($K142&lt;&gt;"",IF(COUNTIFS(입력_전공의명단!$C$2:$C$401,$D142,입력_전공의명단!$F$2:$F$401,IF(OR($C142="인턴",ISNUMBER(SEARCH("수련교육부",$B142))),"인턴",$B142))=1,"명단 일치","명단 일치(이름만, 과 다름)"),IF(COUNTIF(입력_전공의명단!$C$2:$C$401,$D142)=0,IF(COUNTIF(입력_기본자료!$C$2:$C$1001,$D142)&gt;0,"명단에 없음(기본자료에는 있음)","명단에 없음"),"동명이인 확인")))</f>
        <v/>
      </c>
      <c r="N142" s="8" t="n">
        <v>137</v>
      </c>
      <c r="O142" s="8">
        <f>IF(ISNUMBER(SEARCH("근무예정자",(INDEX(입력_구리근무자명단!$A$3:$GZ$3,1,137)&amp;""))),IFERROR(VALUE(LEFT((INDEX(입력_구리근무자명단!$A$3:$GZ$3,1,137)&amp;""),4))*100+VALUE(MID((INDEX(입력_구리근무자명단!$A$3:$GZ$3,1,137)&amp;""),6,MIN(FIND("월",(INDEX(입력_구리근무자명단!$A$3:$GZ$3,1,137)&amp;"")&amp;"월"),FIND(CHAR(10),(INDEX(입력_구리근무자명단!$A$3:$GZ$3,1,137)&amp;"")&amp;CHAR(10)),FIND(" ",(INDEX(입력_구리근무자명단!$A$3:$GZ$3,1,137)&amp;"")&amp;" "))-6)),""),"")</f>
        <v/>
      </c>
    </row>
    <row r="143">
      <c r="A143" s="29" t="n">
        <v>141</v>
      </c>
      <c r="B143" s="26">
        <f>IF(TRIM(INDEX(입력_구리근무자명단!$A$1:$GZ$303,$A143,1)&amp;"")&lt;&gt;"",TRIM(INDEX(입력_구리근무자명단!$A$1:$GZ$303,$A143,1)&amp;""),B142)</f>
        <v/>
      </c>
      <c r="C143" s="26">
        <f>IF(INDEX(입력_구리근무자명단!$A$1:$GZ$303,$A143,2)="","",INDEX(입력_구리근무자명단!$A$1:$GZ$303,$A143,2))</f>
        <v/>
      </c>
      <c r="D143" s="26">
        <f>IF($G$2="","",TRIM(IF($I$2="확정",INDEX(입력_구리근무자명단!$A$1:$GZ$303,$A143,$G$2+1)&amp;"",INDEX(입력_구리근무자명단!$A$1:$GZ$303,$A143,$G$2+0)&amp;"")))</f>
        <v/>
      </c>
      <c r="E143" s="26">
        <f>IF($D143="","",$I$2)</f>
        <v/>
      </c>
      <c r="F143" s="28">
        <f>IF($D143="","",IF(INDEX(입력_구리근무자명단!$A$1:$GZ$303,$A143,$G$2+2)="",출력_요약!$B$3,IF(ISNUMBER(INDEX(입력_구리근무자명단!$A$1:$GZ$303,$A143,$G$2+2)),INDEX(입력_구리근무자명단!$A$1:$GZ$303,$A143,$G$2+2),IFERROR(DATE(VALUE(LEFT(INDEX(입력_구리근무자명단!$A$1:$GZ$303,$A143,$G$2+2),4)),VALUE(MID(INDEX(입력_구리근무자명단!$A$1:$GZ$303,$A143,$G$2+2),6,2)),VALUE(MID(INDEX(입력_구리근무자명단!$A$1:$GZ$303,$A143,$G$2+2),9,2))),IFERROR(DATEVALUE(SUBSTITUTE(TRIM(INDEX(입력_구리근무자명단!$A$1:$GZ$303,$A143,$G$2+2)),".","-")),"⚠"&amp;INDEX(입력_구리근무자명단!$A$1:$GZ$303,$A143,$G$2+2))))))</f>
        <v/>
      </c>
      <c r="G143" s="28">
        <f>IF($D143="","",IF(INDEX(입력_구리근무자명단!$A$1:$GZ$303,$A143,$G$2+3)="",EOMONTH(출력_요약!$B$3,0),IF(ISNUMBER(INDEX(입력_구리근무자명단!$A$1:$GZ$303,$A143,$G$2+3)),INDEX(입력_구리근무자명단!$A$1:$GZ$303,$A143,$G$2+3),IFERROR(DATE(VALUE(LEFT(INDEX(입력_구리근무자명단!$A$1:$GZ$303,$A143,$G$2+3),4)),VALUE(MID(INDEX(입력_구리근무자명단!$A$1:$GZ$303,$A143,$G$2+3),6,2)),VALUE(MID(INDEX(입력_구리근무자명단!$A$1:$GZ$303,$A143,$G$2+3),9,2))),IFERROR(DATEVALUE(SUBSTITUTE(TRIM(INDEX(입력_구리근무자명단!$A$1:$GZ$303,$A143,$G$2+3)),".","-")),"⚠"&amp;INDEX(입력_구리근무자명단!$A$1:$GZ$303,$A143,$G$2+3))))))</f>
        <v/>
      </c>
      <c r="H143" s="26">
        <f>IF($D143="","",IF(OR(NOT(ISNUMBER($F143)),NOT(ISNUMBER($G143))),0,MAX(0,MIN($G143,EOMONTH(출력_요약!$B$3,0))-MAX($F143,출력_요약!$B$3)+1)))</f>
        <v/>
      </c>
      <c r="I143" s="26">
        <f>IF($D143="","",TRIM(INDEX(입력_구리근무자명단!$A$1:$GZ$303,$A143,$G$2+5)&amp;""))</f>
        <v/>
      </c>
      <c r="J143" s="26">
        <f>IF($D143="","",IF(ISNUMBER(SEARCH("구리독자",$I143)),"구리독자",""))</f>
        <v/>
      </c>
      <c r="K143" s="29">
        <f>IF($D143="","",IF(COUNTIFS(입력_전공의명단!$C$2:$C$401,$D143,입력_전공의명단!$F$2:$F$401,IF(OR($C143="인턴",ISNUMBER(SEARCH("수련교육부",$B143))),"인턴",$B143))=1,MATCH($D143&amp;"|"&amp;IF(OR($C143="인턴",ISNUMBER(SEARCH("수련교육부",$B143))),"인턴",$B143),입력_전공의명단!$AP$2:$AP$401,0),IF(AND(COUNTIFS(입력_전공의명단!$C$2:$C$401,$D143,입력_전공의명단!$F$2:$F$401,IF(OR($C143="인턴",ISNUMBER(SEARCH("수련교육부",$B143))),"인턴",$B143))=0,COUNTIF(입력_전공의명단!$C$2:$C$401,$D143)=1),MATCH($D143,입력_전공의명단!$C$2:$C$401,0),"")))</f>
        <v/>
      </c>
      <c r="L143" s="26">
        <f>IF($D143="","",IF($K143&lt;&gt;"",IF(COUNTIFS(입력_전공의명단!$C$2:$C$401,$D143,입력_전공의명단!$F$2:$F$401,IF(OR($C143="인턴",ISNUMBER(SEARCH("수련교육부",$B143))),"인턴",$B143))=1,"명단 일치","명단 일치(이름만, 과 다름)"),IF(COUNTIF(입력_전공의명단!$C$2:$C$401,$D143)=0,IF(COUNTIF(입력_기본자료!$C$2:$C$1001,$D143)&gt;0,"명단에 없음(기본자료에는 있음)","명단에 없음"),"동명이인 확인")))</f>
        <v/>
      </c>
      <c r="N143" s="8" t="n">
        <v>138</v>
      </c>
      <c r="O143" s="8">
        <f>IF(ISNUMBER(SEARCH("근무예정자",(INDEX(입력_구리근무자명단!$A$3:$GZ$3,1,138)&amp;""))),IFERROR(VALUE(LEFT((INDEX(입력_구리근무자명단!$A$3:$GZ$3,1,138)&amp;""),4))*100+VALUE(MID((INDEX(입력_구리근무자명단!$A$3:$GZ$3,1,138)&amp;""),6,MIN(FIND("월",(INDEX(입력_구리근무자명단!$A$3:$GZ$3,1,138)&amp;"")&amp;"월"),FIND(CHAR(10),(INDEX(입력_구리근무자명단!$A$3:$GZ$3,1,138)&amp;"")&amp;CHAR(10)),FIND(" ",(INDEX(입력_구리근무자명단!$A$3:$GZ$3,1,138)&amp;"")&amp;" "))-6)),""),"")</f>
        <v/>
      </c>
    </row>
    <row r="144">
      <c r="A144" s="29" t="n">
        <v>142</v>
      </c>
      <c r="B144" s="26">
        <f>IF(TRIM(INDEX(입력_구리근무자명단!$A$1:$GZ$303,$A144,1)&amp;"")&lt;&gt;"",TRIM(INDEX(입력_구리근무자명단!$A$1:$GZ$303,$A144,1)&amp;""),B143)</f>
        <v/>
      </c>
      <c r="C144" s="26">
        <f>IF(INDEX(입력_구리근무자명단!$A$1:$GZ$303,$A144,2)="","",INDEX(입력_구리근무자명단!$A$1:$GZ$303,$A144,2))</f>
        <v/>
      </c>
      <c r="D144" s="26">
        <f>IF($G$2="","",TRIM(IF($I$2="확정",INDEX(입력_구리근무자명단!$A$1:$GZ$303,$A144,$G$2+1)&amp;"",INDEX(입력_구리근무자명단!$A$1:$GZ$303,$A144,$G$2+0)&amp;"")))</f>
        <v/>
      </c>
      <c r="E144" s="26">
        <f>IF($D144="","",$I$2)</f>
        <v/>
      </c>
      <c r="F144" s="28">
        <f>IF($D144="","",IF(INDEX(입력_구리근무자명단!$A$1:$GZ$303,$A144,$G$2+2)="",출력_요약!$B$3,IF(ISNUMBER(INDEX(입력_구리근무자명단!$A$1:$GZ$303,$A144,$G$2+2)),INDEX(입력_구리근무자명단!$A$1:$GZ$303,$A144,$G$2+2),IFERROR(DATE(VALUE(LEFT(INDEX(입력_구리근무자명단!$A$1:$GZ$303,$A144,$G$2+2),4)),VALUE(MID(INDEX(입력_구리근무자명단!$A$1:$GZ$303,$A144,$G$2+2),6,2)),VALUE(MID(INDEX(입력_구리근무자명단!$A$1:$GZ$303,$A144,$G$2+2),9,2))),IFERROR(DATEVALUE(SUBSTITUTE(TRIM(INDEX(입력_구리근무자명단!$A$1:$GZ$303,$A144,$G$2+2)),".","-")),"⚠"&amp;INDEX(입력_구리근무자명단!$A$1:$GZ$303,$A144,$G$2+2))))))</f>
        <v/>
      </c>
      <c r="G144" s="28">
        <f>IF($D144="","",IF(INDEX(입력_구리근무자명단!$A$1:$GZ$303,$A144,$G$2+3)="",EOMONTH(출력_요약!$B$3,0),IF(ISNUMBER(INDEX(입력_구리근무자명단!$A$1:$GZ$303,$A144,$G$2+3)),INDEX(입력_구리근무자명단!$A$1:$GZ$303,$A144,$G$2+3),IFERROR(DATE(VALUE(LEFT(INDEX(입력_구리근무자명단!$A$1:$GZ$303,$A144,$G$2+3),4)),VALUE(MID(INDEX(입력_구리근무자명단!$A$1:$GZ$303,$A144,$G$2+3),6,2)),VALUE(MID(INDEX(입력_구리근무자명단!$A$1:$GZ$303,$A144,$G$2+3),9,2))),IFERROR(DATEVALUE(SUBSTITUTE(TRIM(INDEX(입력_구리근무자명단!$A$1:$GZ$303,$A144,$G$2+3)),".","-")),"⚠"&amp;INDEX(입력_구리근무자명단!$A$1:$GZ$303,$A144,$G$2+3))))))</f>
        <v/>
      </c>
      <c r="H144" s="26">
        <f>IF($D144="","",IF(OR(NOT(ISNUMBER($F144)),NOT(ISNUMBER($G144))),0,MAX(0,MIN($G144,EOMONTH(출력_요약!$B$3,0))-MAX($F144,출력_요약!$B$3)+1)))</f>
        <v/>
      </c>
      <c r="I144" s="26">
        <f>IF($D144="","",TRIM(INDEX(입력_구리근무자명단!$A$1:$GZ$303,$A144,$G$2+5)&amp;""))</f>
        <v/>
      </c>
      <c r="J144" s="26">
        <f>IF($D144="","",IF(ISNUMBER(SEARCH("구리독자",$I144)),"구리독자",""))</f>
        <v/>
      </c>
      <c r="K144" s="29">
        <f>IF($D144="","",IF(COUNTIFS(입력_전공의명단!$C$2:$C$401,$D144,입력_전공의명단!$F$2:$F$401,IF(OR($C144="인턴",ISNUMBER(SEARCH("수련교육부",$B144))),"인턴",$B144))=1,MATCH($D144&amp;"|"&amp;IF(OR($C144="인턴",ISNUMBER(SEARCH("수련교육부",$B144))),"인턴",$B144),입력_전공의명단!$AP$2:$AP$401,0),IF(AND(COUNTIFS(입력_전공의명단!$C$2:$C$401,$D144,입력_전공의명단!$F$2:$F$401,IF(OR($C144="인턴",ISNUMBER(SEARCH("수련교육부",$B144))),"인턴",$B144))=0,COUNTIF(입력_전공의명단!$C$2:$C$401,$D144)=1),MATCH($D144,입력_전공의명단!$C$2:$C$401,0),"")))</f>
        <v/>
      </c>
      <c r="L144" s="26">
        <f>IF($D144="","",IF($K144&lt;&gt;"",IF(COUNTIFS(입력_전공의명단!$C$2:$C$401,$D144,입력_전공의명단!$F$2:$F$401,IF(OR($C144="인턴",ISNUMBER(SEARCH("수련교육부",$B144))),"인턴",$B144))=1,"명단 일치","명단 일치(이름만, 과 다름)"),IF(COUNTIF(입력_전공의명단!$C$2:$C$401,$D144)=0,IF(COUNTIF(입력_기본자료!$C$2:$C$1001,$D144)&gt;0,"명단에 없음(기본자료에는 있음)","명단에 없음"),"동명이인 확인")))</f>
        <v/>
      </c>
      <c r="N144" s="8" t="n">
        <v>139</v>
      </c>
      <c r="O144" s="8">
        <f>IF(ISNUMBER(SEARCH("근무예정자",(INDEX(입력_구리근무자명단!$A$3:$GZ$3,1,139)&amp;""))),IFERROR(VALUE(LEFT((INDEX(입력_구리근무자명단!$A$3:$GZ$3,1,139)&amp;""),4))*100+VALUE(MID((INDEX(입력_구리근무자명단!$A$3:$GZ$3,1,139)&amp;""),6,MIN(FIND("월",(INDEX(입력_구리근무자명단!$A$3:$GZ$3,1,139)&amp;"")&amp;"월"),FIND(CHAR(10),(INDEX(입력_구리근무자명단!$A$3:$GZ$3,1,139)&amp;"")&amp;CHAR(10)),FIND(" ",(INDEX(입력_구리근무자명단!$A$3:$GZ$3,1,139)&amp;"")&amp;" "))-6)),""),"")</f>
        <v/>
      </c>
    </row>
    <row r="145">
      <c r="A145" s="29" t="n">
        <v>143</v>
      </c>
      <c r="B145" s="26">
        <f>IF(TRIM(INDEX(입력_구리근무자명단!$A$1:$GZ$303,$A145,1)&amp;"")&lt;&gt;"",TRIM(INDEX(입력_구리근무자명단!$A$1:$GZ$303,$A145,1)&amp;""),B144)</f>
        <v/>
      </c>
      <c r="C145" s="26">
        <f>IF(INDEX(입력_구리근무자명단!$A$1:$GZ$303,$A145,2)="","",INDEX(입력_구리근무자명단!$A$1:$GZ$303,$A145,2))</f>
        <v/>
      </c>
      <c r="D145" s="26">
        <f>IF($G$2="","",TRIM(IF($I$2="확정",INDEX(입력_구리근무자명단!$A$1:$GZ$303,$A145,$G$2+1)&amp;"",INDEX(입력_구리근무자명단!$A$1:$GZ$303,$A145,$G$2+0)&amp;"")))</f>
        <v/>
      </c>
      <c r="E145" s="26">
        <f>IF($D145="","",$I$2)</f>
        <v/>
      </c>
      <c r="F145" s="28">
        <f>IF($D145="","",IF(INDEX(입력_구리근무자명단!$A$1:$GZ$303,$A145,$G$2+2)="",출력_요약!$B$3,IF(ISNUMBER(INDEX(입력_구리근무자명단!$A$1:$GZ$303,$A145,$G$2+2)),INDEX(입력_구리근무자명단!$A$1:$GZ$303,$A145,$G$2+2),IFERROR(DATE(VALUE(LEFT(INDEX(입력_구리근무자명단!$A$1:$GZ$303,$A145,$G$2+2),4)),VALUE(MID(INDEX(입력_구리근무자명단!$A$1:$GZ$303,$A145,$G$2+2),6,2)),VALUE(MID(INDEX(입력_구리근무자명단!$A$1:$GZ$303,$A145,$G$2+2),9,2))),IFERROR(DATEVALUE(SUBSTITUTE(TRIM(INDEX(입력_구리근무자명단!$A$1:$GZ$303,$A145,$G$2+2)),".","-")),"⚠"&amp;INDEX(입력_구리근무자명단!$A$1:$GZ$303,$A145,$G$2+2))))))</f>
        <v/>
      </c>
      <c r="G145" s="28">
        <f>IF($D145="","",IF(INDEX(입력_구리근무자명단!$A$1:$GZ$303,$A145,$G$2+3)="",EOMONTH(출력_요약!$B$3,0),IF(ISNUMBER(INDEX(입력_구리근무자명단!$A$1:$GZ$303,$A145,$G$2+3)),INDEX(입력_구리근무자명단!$A$1:$GZ$303,$A145,$G$2+3),IFERROR(DATE(VALUE(LEFT(INDEX(입력_구리근무자명단!$A$1:$GZ$303,$A145,$G$2+3),4)),VALUE(MID(INDEX(입력_구리근무자명단!$A$1:$GZ$303,$A145,$G$2+3),6,2)),VALUE(MID(INDEX(입력_구리근무자명단!$A$1:$GZ$303,$A145,$G$2+3),9,2))),IFERROR(DATEVALUE(SUBSTITUTE(TRIM(INDEX(입력_구리근무자명단!$A$1:$GZ$303,$A145,$G$2+3)),".","-")),"⚠"&amp;INDEX(입력_구리근무자명단!$A$1:$GZ$303,$A145,$G$2+3))))))</f>
        <v/>
      </c>
      <c r="H145" s="26">
        <f>IF($D145="","",IF(OR(NOT(ISNUMBER($F145)),NOT(ISNUMBER($G145))),0,MAX(0,MIN($G145,EOMONTH(출력_요약!$B$3,0))-MAX($F145,출력_요약!$B$3)+1)))</f>
        <v/>
      </c>
      <c r="I145" s="26">
        <f>IF($D145="","",TRIM(INDEX(입력_구리근무자명단!$A$1:$GZ$303,$A145,$G$2+5)&amp;""))</f>
        <v/>
      </c>
      <c r="J145" s="26">
        <f>IF($D145="","",IF(ISNUMBER(SEARCH("구리독자",$I145)),"구리독자",""))</f>
        <v/>
      </c>
      <c r="K145" s="29">
        <f>IF($D145="","",IF(COUNTIFS(입력_전공의명단!$C$2:$C$401,$D145,입력_전공의명단!$F$2:$F$401,IF(OR($C145="인턴",ISNUMBER(SEARCH("수련교육부",$B145))),"인턴",$B145))=1,MATCH($D145&amp;"|"&amp;IF(OR($C145="인턴",ISNUMBER(SEARCH("수련교육부",$B145))),"인턴",$B145),입력_전공의명단!$AP$2:$AP$401,0),IF(AND(COUNTIFS(입력_전공의명단!$C$2:$C$401,$D145,입력_전공의명단!$F$2:$F$401,IF(OR($C145="인턴",ISNUMBER(SEARCH("수련교육부",$B145))),"인턴",$B145))=0,COUNTIF(입력_전공의명단!$C$2:$C$401,$D145)=1),MATCH($D145,입력_전공의명단!$C$2:$C$401,0),"")))</f>
        <v/>
      </c>
      <c r="L145" s="26">
        <f>IF($D145="","",IF($K145&lt;&gt;"",IF(COUNTIFS(입력_전공의명단!$C$2:$C$401,$D145,입력_전공의명단!$F$2:$F$401,IF(OR($C145="인턴",ISNUMBER(SEARCH("수련교육부",$B145))),"인턴",$B145))=1,"명단 일치","명단 일치(이름만, 과 다름)"),IF(COUNTIF(입력_전공의명단!$C$2:$C$401,$D145)=0,IF(COUNTIF(입력_기본자료!$C$2:$C$1001,$D145)&gt;0,"명단에 없음(기본자료에는 있음)","명단에 없음"),"동명이인 확인")))</f>
        <v/>
      </c>
      <c r="N145" s="8" t="n">
        <v>140</v>
      </c>
      <c r="O145" s="8">
        <f>IF(ISNUMBER(SEARCH("근무예정자",(INDEX(입력_구리근무자명단!$A$3:$GZ$3,1,140)&amp;""))),IFERROR(VALUE(LEFT((INDEX(입력_구리근무자명단!$A$3:$GZ$3,1,140)&amp;""),4))*100+VALUE(MID((INDEX(입력_구리근무자명단!$A$3:$GZ$3,1,140)&amp;""),6,MIN(FIND("월",(INDEX(입력_구리근무자명단!$A$3:$GZ$3,1,140)&amp;"")&amp;"월"),FIND(CHAR(10),(INDEX(입력_구리근무자명단!$A$3:$GZ$3,1,140)&amp;"")&amp;CHAR(10)),FIND(" ",(INDEX(입력_구리근무자명단!$A$3:$GZ$3,1,140)&amp;"")&amp;" "))-6)),""),"")</f>
        <v/>
      </c>
    </row>
    <row r="146">
      <c r="A146" s="29" t="n">
        <v>144</v>
      </c>
      <c r="B146" s="26">
        <f>IF(TRIM(INDEX(입력_구리근무자명단!$A$1:$GZ$303,$A146,1)&amp;"")&lt;&gt;"",TRIM(INDEX(입력_구리근무자명단!$A$1:$GZ$303,$A146,1)&amp;""),B145)</f>
        <v/>
      </c>
      <c r="C146" s="26">
        <f>IF(INDEX(입력_구리근무자명단!$A$1:$GZ$303,$A146,2)="","",INDEX(입력_구리근무자명단!$A$1:$GZ$303,$A146,2))</f>
        <v/>
      </c>
      <c r="D146" s="26">
        <f>IF($G$2="","",TRIM(IF($I$2="확정",INDEX(입력_구리근무자명단!$A$1:$GZ$303,$A146,$G$2+1)&amp;"",INDEX(입력_구리근무자명단!$A$1:$GZ$303,$A146,$G$2+0)&amp;"")))</f>
        <v/>
      </c>
      <c r="E146" s="26">
        <f>IF($D146="","",$I$2)</f>
        <v/>
      </c>
      <c r="F146" s="28">
        <f>IF($D146="","",IF(INDEX(입력_구리근무자명단!$A$1:$GZ$303,$A146,$G$2+2)="",출력_요약!$B$3,IF(ISNUMBER(INDEX(입력_구리근무자명단!$A$1:$GZ$303,$A146,$G$2+2)),INDEX(입력_구리근무자명단!$A$1:$GZ$303,$A146,$G$2+2),IFERROR(DATE(VALUE(LEFT(INDEX(입력_구리근무자명단!$A$1:$GZ$303,$A146,$G$2+2),4)),VALUE(MID(INDEX(입력_구리근무자명단!$A$1:$GZ$303,$A146,$G$2+2),6,2)),VALUE(MID(INDEX(입력_구리근무자명단!$A$1:$GZ$303,$A146,$G$2+2),9,2))),IFERROR(DATEVALUE(SUBSTITUTE(TRIM(INDEX(입력_구리근무자명단!$A$1:$GZ$303,$A146,$G$2+2)),".","-")),"⚠"&amp;INDEX(입력_구리근무자명단!$A$1:$GZ$303,$A146,$G$2+2))))))</f>
        <v/>
      </c>
      <c r="G146" s="28">
        <f>IF($D146="","",IF(INDEX(입력_구리근무자명단!$A$1:$GZ$303,$A146,$G$2+3)="",EOMONTH(출력_요약!$B$3,0),IF(ISNUMBER(INDEX(입력_구리근무자명단!$A$1:$GZ$303,$A146,$G$2+3)),INDEX(입력_구리근무자명단!$A$1:$GZ$303,$A146,$G$2+3),IFERROR(DATE(VALUE(LEFT(INDEX(입력_구리근무자명단!$A$1:$GZ$303,$A146,$G$2+3),4)),VALUE(MID(INDEX(입력_구리근무자명단!$A$1:$GZ$303,$A146,$G$2+3),6,2)),VALUE(MID(INDEX(입력_구리근무자명단!$A$1:$GZ$303,$A146,$G$2+3),9,2))),IFERROR(DATEVALUE(SUBSTITUTE(TRIM(INDEX(입력_구리근무자명단!$A$1:$GZ$303,$A146,$G$2+3)),".","-")),"⚠"&amp;INDEX(입력_구리근무자명단!$A$1:$GZ$303,$A146,$G$2+3))))))</f>
        <v/>
      </c>
      <c r="H146" s="26">
        <f>IF($D146="","",IF(OR(NOT(ISNUMBER($F146)),NOT(ISNUMBER($G146))),0,MAX(0,MIN($G146,EOMONTH(출력_요약!$B$3,0))-MAX($F146,출력_요약!$B$3)+1)))</f>
        <v/>
      </c>
      <c r="I146" s="26">
        <f>IF($D146="","",TRIM(INDEX(입력_구리근무자명단!$A$1:$GZ$303,$A146,$G$2+5)&amp;""))</f>
        <v/>
      </c>
      <c r="J146" s="26">
        <f>IF($D146="","",IF(ISNUMBER(SEARCH("구리독자",$I146)),"구리독자",""))</f>
        <v/>
      </c>
      <c r="K146" s="29">
        <f>IF($D146="","",IF(COUNTIFS(입력_전공의명단!$C$2:$C$401,$D146,입력_전공의명단!$F$2:$F$401,IF(OR($C146="인턴",ISNUMBER(SEARCH("수련교육부",$B146))),"인턴",$B146))=1,MATCH($D146&amp;"|"&amp;IF(OR($C146="인턴",ISNUMBER(SEARCH("수련교육부",$B146))),"인턴",$B146),입력_전공의명단!$AP$2:$AP$401,0),IF(AND(COUNTIFS(입력_전공의명단!$C$2:$C$401,$D146,입력_전공의명단!$F$2:$F$401,IF(OR($C146="인턴",ISNUMBER(SEARCH("수련교육부",$B146))),"인턴",$B146))=0,COUNTIF(입력_전공의명단!$C$2:$C$401,$D146)=1),MATCH($D146,입력_전공의명단!$C$2:$C$401,0),"")))</f>
        <v/>
      </c>
      <c r="L146" s="26">
        <f>IF($D146="","",IF($K146&lt;&gt;"",IF(COUNTIFS(입력_전공의명단!$C$2:$C$401,$D146,입력_전공의명단!$F$2:$F$401,IF(OR($C146="인턴",ISNUMBER(SEARCH("수련교육부",$B146))),"인턴",$B146))=1,"명단 일치","명단 일치(이름만, 과 다름)"),IF(COUNTIF(입력_전공의명단!$C$2:$C$401,$D146)=0,IF(COUNTIF(입력_기본자료!$C$2:$C$1001,$D146)&gt;0,"명단에 없음(기본자료에는 있음)","명단에 없음"),"동명이인 확인")))</f>
        <v/>
      </c>
      <c r="N146" s="8" t="n">
        <v>141</v>
      </c>
      <c r="O146" s="8">
        <f>IF(ISNUMBER(SEARCH("근무예정자",(INDEX(입력_구리근무자명단!$A$3:$GZ$3,1,141)&amp;""))),IFERROR(VALUE(LEFT((INDEX(입력_구리근무자명단!$A$3:$GZ$3,1,141)&amp;""),4))*100+VALUE(MID((INDEX(입력_구리근무자명단!$A$3:$GZ$3,1,141)&amp;""),6,MIN(FIND("월",(INDEX(입력_구리근무자명단!$A$3:$GZ$3,1,141)&amp;"")&amp;"월"),FIND(CHAR(10),(INDEX(입력_구리근무자명단!$A$3:$GZ$3,1,141)&amp;"")&amp;CHAR(10)),FIND(" ",(INDEX(입력_구리근무자명단!$A$3:$GZ$3,1,141)&amp;"")&amp;" "))-6)),""),"")</f>
        <v/>
      </c>
    </row>
    <row r="147">
      <c r="A147" s="29" t="n">
        <v>145</v>
      </c>
      <c r="B147" s="26">
        <f>IF(TRIM(INDEX(입력_구리근무자명단!$A$1:$GZ$303,$A147,1)&amp;"")&lt;&gt;"",TRIM(INDEX(입력_구리근무자명단!$A$1:$GZ$303,$A147,1)&amp;""),B146)</f>
        <v/>
      </c>
      <c r="C147" s="26">
        <f>IF(INDEX(입력_구리근무자명단!$A$1:$GZ$303,$A147,2)="","",INDEX(입력_구리근무자명단!$A$1:$GZ$303,$A147,2))</f>
        <v/>
      </c>
      <c r="D147" s="26">
        <f>IF($G$2="","",TRIM(IF($I$2="확정",INDEX(입력_구리근무자명단!$A$1:$GZ$303,$A147,$G$2+1)&amp;"",INDEX(입력_구리근무자명단!$A$1:$GZ$303,$A147,$G$2+0)&amp;"")))</f>
        <v/>
      </c>
      <c r="E147" s="26">
        <f>IF($D147="","",$I$2)</f>
        <v/>
      </c>
      <c r="F147" s="28">
        <f>IF($D147="","",IF(INDEX(입력_구리근무자명단!$A$1:$GZ$303,$A147,$G$2+2)="",출력_요약!$B$3,IF(ISNUMBER(INDEX(입력_구리근무자명단!$A$1:$GZ$303,$A147,$G$2+2)),INDEX(입력_구리근무자명단!$A$1:$GZ$303,$A147,$G$2+2),IFERROR(DATE(VALUE(LEFT(INDEX(입력_구리근무자명단!$A$1:$GZ$303,$A147,$G$2+2),4)),VALUE(MID(INDEX(입력_구리근무자명단!$A$1:$GZ$303,$A147,$G$2+2),6,2)),VALUE(MID(INDEX(입력_구리근무자명단!$A$1:$GZ$303,$A147,$G$2+2),9,2))),IFERROR(DATEVALUE(SUBSTITUTE(TRIM(INDEX(입력_구리근무자명단!$A$1:$GZ$303,$A147,$G$2+2)),".","-")),"⚠"&amp;INDEX(입력_구리근무자명단!$A$1:$GZ$303,$A147,$G$2+2))))))</f>
        <v/>
      </c>
      <c r="G147" s="28">
        <f>IF($D147="","",IF(INDEX(입력_구리근무자명단!$A$1:$GZ$303,$A147,$G$2+3)="",EOMONTH(출력_요약!$B$3,0),IF(ISNUMBER(INDEX(입력_구리근무자명단!$A$1:$GZ$303,$A147,$G$2+3)),INDEX(입력_구리근무자명단!$A$1:$GZ$303,$A147,$G$2+3),IFERROR(DATE(VALUE(LEFT(INDEX(입력_구리근무자명단!$A$1:$GZ$303,$A147,$G$2+3),4)),VALUE(MID(INDEX(입력_구리근무자명단!$A$1:$GZ$303,$A147,$G$2+3),6,2)),VALUE(MID(INDEX(입력_구리근무자명단!$A$1:$GZ$303,$A147,$G$2+3),9,2))),IFERROR(DATEVALUE(SUBSTITUTE(TRIM(INDEX(입력_구리근무자명단!$A$1:$GZ$303,$A147,$G$2+3)),".","-")),"⚠"&amp;INDEX(입력_구리근무자명단!$A$1:$GZ$303,$A147,$G$2+3))))))</f>
        <v/>
      </c>
      <c r="H147" s="26">
        <f>IF($D147="","",IF(OR(NOT(ISNUMBER($F147)),NOT(ISNUMBER($G147))),0,MAX(0,MIN($G147,EOMONTH(출력_요약!$B$3,0))-MAX($F147,출력_요약!$B$3)+1)))</f>
        <v/>
      </c>
      <c r="I147" s="26">
        <f>IF($D147="","",TRIM(INDEX(입력_구리근무자명단!$A$1:$GZ$303,$A147,$G$2+5)&amp;""))</f>
        <v/>
      </c>
      <c r="J147" s="26">
        <f>IF($D147="","",IF(ISNUMBER(SEARCH("구리독자",$I147)),"구리독자",""))</f>
        <v/>
      </c>
      <c r="K147" s="29">
        <f>IF($D147="","",IF(COUNTIFS(입력_전공의명단!$C$2:$C$401,$D147,입력_전공의명단!$F$2:$F$401,IF(OR($C147="인턴",ISNUMBER(SEARCH("수련교육부",$B147))),"인턴",$B147))=1,MATCH($D147&amp;"|"&amp;IF(OR($C147="인턴",ISNUMBER(SEARCH("수련교육부",$B147))),"인턴",$B147),입력_전공의명단!$AP$2:$AP$401,0),IF(AND(COUNTIFS(입력_전공의명단!$C$2:$C$401,$D147,입력_전공의명단!$F$2:$F$401,IF(OR($C147="인턴",ISNUMBER(SEARCH("수련교육부",$B147))),"인턴",$B147))=0,COUNTIF(입력_전공의명단!$C$2:$C$401,$D147)=1),MATCH($D147,입력_전공의명단!$C$2:$C$401,0),"")))</f>
        <v/>
      </c>
      <c r="L147" s="26">
        <f>IF($D147="","",IF($K147&lt;&gt;"",IF(COUNTIFS(입력_전공의명단!$C$2:$C$401,$D147,입력_전공의명단!$F$2:$F$401,IF(OR($C147="인턴",ISNUMBER(SEARCH("수련교육부",$B147))),"인턴",$B147))=1,"명단 일치","명단 일치(이름만, 과 다름)"),IF(COUNTIF(입력_전공의명단!$C$2:$C$401,$D147)=0,IF(COUNTIF(입력_기본자료!$C$2:$C$1001,$D147)&gt;0,"명단에 없음(기본자료에는 있음)","명단에 없음"),"동명이인 확인")))</f>
        <v/>
      </c>
      <c r="N147" s="8" t="n">
        <v>142</v>
      </c>
      <c r="O147" s="8">
        <f>IF(ISNUMBER(SEARCH("근무예정자",(INDEX(입력_구리근무자명단!$A$3:$GZ$3,1,142)&amp;""))),IFERROR(VALUE(LEFT((INDEX(입력_구리근무자명단!$A$3:$GZ$3,1,142)&amp;""),4))*100+VALUE(MID((INDEX(입력_구리근무자명단!$A$3:$GZ$3,1,142)&amp;""),6,MIN(FIND("월",(INDEX(입력_구리근무자명단!$A$3:$GZ$3,1,142)&amp;"")&amp;"월"),FIND(CHAR(10),(INDEX(입력_구리근무자명단!$A$3:$GZ$3,1,142)&amp;"")&amp;CHAR(10)),FIND(" ",(INDEX(입력_구리근무자명단!$A$3:$GZ$3,1,142)&amp;"")&amp;" "))-6)),""),"")</f>
        <v/>
      </c>
    </row>
    <row r="148">
      <c r="A148" s="29" t="n">
        <v>146</v>
      </c>
      <c r="B148" s="26">
        <f>IF(TRIM(INDEX(입력_구리근무자명단!$A$1:$GZ$303,$A148,1)&amp;"")&lt;&gt;"",TRIM(INDEX(입력_구리근무자명단!$A$1:$GZ$303,$A148,1)&amp;""),B147)</f>
        <v/>
      </c>
      <c r="C148" s="26">
        <f>IF(INDEX(입력_구리근무자명단!$A$1:$GZ$303,$A148,2)="","",INDEX(입력_구리근무자명단!$A$1:$GZ$303,$A148,2))</f>
        <v/>
      </c>
      <c r="D148" s="26">
        <f>IF($G$2="","",TRIM(IF($I$2="확정",INDEX(입력_구리근무자명단!$A$1:$GZ$303,$A148,$G$2+1)&amp;"",INDEX(입력_구리근무자명단!$A$1:$GZ$303,$A148,$G$2+0)&amp;"")))</f>
        <v/>
      </c>
      <c r="E148" s="26">
        <f>IF($D148="","",$I$2)</f>
        <v/>
      </c>
      <c r="F148" s="28">
        <f>IF($D148="","",IF(INDEX(입력_구리근무자명단!$A$1:$GZ$303,$A148,$G$2+2)="",출력_요약!$B$3,IF(ISNUMBER(INDEX(입력_구리근무자명단!$A$1:$GZ$303,$A148,$G$2+2)),INDEX(입력_구리근무자명단!$A$1:$GZ$303,$A148,$G$2+2),IFERROR(DATE(VALUE(LEFT(INDEX(입력_구리근무자명단!$A$1:$GZ$303,$A148,$G$2+2),4)),VALUE(MID(INDEX(입력_구리근무자명단!$A$1:$GZ$303,$A148,$G$2+2),6,2)),VALUE(MID(INDEX(입력_구리근무자명단!$A$1:$GZ$303,$A148,$G$2+2),9,2))),IFERROR(DATEVALUE(SUBSTITUTE(TRIM(INDEX(입력_구리근무자명단!$A$1:$GZ$303,$A148,$G$2+2)),".","-")),"⚠"&amp;INDEX(입력_구리근무자명단!$A$1:$GZ$303,$A148,$G$2+2))))))</f>
        <v/>
      </c>
      <c r="G148" s="28">
        <f>IF($D148="","",IF(INDEX(입력_구리근무자명단!$A$1:$GZ$303,$A148,$G$2+3)="",EOMONTH(출력_요약!$B$3,0),IF(ISNUMBER(INDEX(입력_구리근무자명단!$A$1:$GZ$303,$A148,$G$2+3)),INDEX(입력_구리근무자명단!$A$1:$GZ$303,$A148,$G$2+3),IFERROR(DATE(VALUE(LEFT(INDEX(입력_구리근무자명단!$A$1:$GZ$303,$A148,$G$2+3),4)),VALUE(MID(INDEX(입력_구리근무자명단!$A$1:$GZ$303,$A148,$G$2+3),6,2)),VALUE(MID(INDEX(입력_구리근무자명단!$A$1:$GZ$303,$A148,$G$2+3),9,2))),IFERROR(DATEVALUE(SUBSTITUTE(TRIM(INDEX(입력_구리근무자명단!$A$1:$GZ$303,$A148,$G$2+3)),".","-")),"⚠"&amp;INDEX(입력_구리근무자명단!$A$1:$GZ$303,$A148,$G$2+3))))))</f>
        <v/>
      </c>
      <c r="H148" s="26">
        <f>IF($D148="","",IF(OR(NOT(ISNUMBER($F148)),NOT(ISNUMBER($G148))),0,MAX(0,MIN($G148,EOMONTH(출력_요약!$B$3,0))-MAX($F148,출력_요약!$B$3)+1)))</f>
        <v/>
      </c>
      <c r="I148" s="26">
        <f>IF($D148="","",TRIM(INDEX(입력_구리근무자명단!$A$1:$GZ$303,$A148,$G$2+5)&amp;""))</f>
        <v/>
      </c>
      <c r="J148" s="26">
        <f>IF($D148="","",IF(ISNUMBER(SEARCH("구리독자",$I148)),"구리독자",""))</f>
        <v/>
      </c>
      <c r="K148" s="29">
        <f>IF($D148="","",IF(COUNTIFS(입력_전공의명단!$C$2:$C$401,$D148,입력_전공의명단!$F$2:$F$401,IF(OR($C148="인턴",ISNUMBER(SEARCH("수련교육부",$B148))),"인턴",$B148))=1,MATCH($D148&amp;"|"&amp;IF(OR($C148="인턴",ISNUMBER(SEARCH("수련교육부",$B148))),"인턴",$B148),입력_전공의명단!$AP$2:$AP$401,0),IF(AND(COUNTIFS(입력_전공의명단!$C$2:$C$401,$D148,입력_전공의명단!$F$2:$F$401,IF(OR($C148="인턴",ISNUMBER(SEARCH("수련교육부",$B148))),"인턴",$B148))=0,COUNTIF(입력_전공의명단!$C$2:$C$401,$D148)=1),MATCH($D148,입력_전공의명단!$C$2:$C$401,0),"")))</f>
        <v/>
      </c>
      <c r="L148" s="26">
        <f>IF($D148="","",IF($K148&lt;&gt;"",IF(COUNTIFS(입력_전공의명단!$C$2:$C$401,$D148,입력_전공의명단!$F$2:$F$401,IF(OR($C148="인턴",ISNUMBER(SEARCH("수련교육부",$B148))),"인턴",$B148))=1,"명단 일치","명단 일치(이름만, 과 다름)"),IF(COUNTIF(입력_전공의명단!$C$2:$C$401,$D148)=0,IF(COUNTIF(입력_기본자료!$C$2:$C$1001,$D148)&gt;0,"명단에 없음(기본자료에는 있음)","명단에 없음"),"동명이인 확인")))</f>
        <v/>
      </c>
      <c r="N148" s="8" t="n">
        <v>143</v>
      </c>
      <c r="O148" s="8">
        <f>IF(ISNUMBER(SEARCH("근무예정자",(INDEX(입력_구리근무자명단!$A$3:$GZ$3,1,143)&amp;""))),IFERROR(VALUE(LEFT((INDEX(입력_구리근무자명단!$A$3:$GZ$3,1,143)&amp;""),4))*100+VALUE(MID((INDEX(입력_구리근무자명단!$A$3:$GZ$3,1,143)&amp;""),6,MIN(FIND("월",(INDEX(입력_구리근무자명단!$A$3:$GZ$3,1,143)&amp;"")&amp;"월"),FIND(CHAR(10),(INDEX(입력_구리근무자명단!$A$3:$GZ$3,1,143)&amp;"")&amp;CHAR(10)),FIND(" ",(INDEX(입력_구리근무자명단!$A$3:$GZ$3,1,143)&amp;"")&amp;" "))-6)),""),"")</f>
        <v/>
      </c>
    </row>
    <row r="149">
      <c r="A149" s="29" t="n">
        <v>147</v>
      </c>
      <c r="B149" s="26">
        <f>IF(TRIM(INDEX(입력_구리근무자명단!$A$1:$GZ$303,$A149,1)&amp;"")&lt;&gt;"",TRIM(INDEX(입력_구리근무자명단!$A$1:$GZ$303,$A149,1)&amp;""),B148)</f>
        <v/>
      </c>
      <c r="C149" s="26">
        <f>IF(INDEX(입력_구리근무자명단!$A$1:$GZ$303,$A149,2)="","",INDEX(입력_구리근무자명단!$A$1:$GZ$303,$A149,2))</f>
        <v/>
      </c>
      <c r="D149" s="26">
        <f>IF($G$2="","",TRIM(IF($I$2="확정",INDEX(입력_구리근무자명단!$A$1:$GZ$303,$A149,$G$2+1)&amp;"",INDEX(입력_구리근무자명단!$A$1:$GZ$303,$A149,$G$2+0)&amp;"")))</f>
        <v/>
      </c>
      <c r="E149" s="26">
        <f>IF($D149="","",$I$2)</f>
        <v/>
      </c>
      <c r="F149" s="28">
        <f>IF($D149="","",IF(INDEX(입력_구리근무자명단!$A$1:$GZ$303,$A149,$G$2+2)="",출력_요약!$B$3,IF(ISNUMBER(INDEX(입력_구리근무자명단!$A$1:$GZ$303,$A149,$G$2+2)),INDEX(입력_구리근무자명단!$A$1:$GZ$303,$A149,$G$2+2),IFERROR(DATE(VALUE(LEFT(INDEX(입력_구리근무자명단!$A$1:$GZ$303,$A149,$G$2+2),4)),VALUE(MID(INDEX(입력_구리근무자명단!$A$1:$GZ$303,$A149,$G$2+2),6,2)),VALUE(MID(INDEX(입력_구리근무자명단!$A$1:$GZ$303,$A149,$G$2+2),9,2))),IFERROR(DATEVALUE(SUBSTITUTE(TRIM(INDEX(입력_구리근무자명단!$A$1:$GZ$303,$A149,$G$2+2)),".","-")),"⚠"&amp;INDEX(입력_구리근무자명단!$A$1:$GZ$303,$A149,$G$2+2))))))</f>
        <v/>
      </c>
      <c r="G149" s="28">
        <f>IF($D149="","",IF(INDEX(입력_구리근무자명단!$A$1:$GZ$303,$A149,$G$2+3)="",EOMONTH(출력_요약!$B$3,0),IF(ISNUMBER(INDEX(입력_구리근무자명단!$A$1:$GZ$303,$A149,$G$2+3)),INDEX(입력_구리근무자명단!$A$1:$GZ$303,$A149,$G$2+3),IFERROR(DATE(VALUE(LEFT(INDEX(입력_구리근무자명단!$A$1:$GZ$303,$A149,$G$2+3),4)),VALUE(MID(INDEX(입력_구리근무자명단!$A$1:$GZ$303,$A149,$G$2+3),6,2)),VALUE(MID(INDEX(입력_구리근무자명단!$A$1:$GZ$303,$A149,$G$2+3),9,2))),IFERROR(DATEVALUE(SUBSTITUTE(TRIM(INDEX(입력_구리근무자명단!$A$1:$GZ$303,$A149,$G$2+3)),".","-")),"⚠"&amp;INDEX(입력_구리근무자명단!$A$1:$GZ$303,$A149,$G$2+3))))))</f>
        <v/>
      </c>
      <c r="H149" s="26">
        <f>IF($D149="","",IF(OR(NOT(ISNUMBER($F149)),NOT(ISNUMBER($G149))),0,MAX(0,MIN($G149,EOMONTH(출력_요약!$B$3,0))-MAX($F149,출력_요약!$B$3)+1)))</f>
        <v/>
      </c>
      <c r="I149" s="26">
        <f>IF($D149="","",TRIM(INDEX(입력_구리근무자명단!$A$1:$GZ$303,$A149,$G$2+5)&amp;""))</f>
        <v/>
      </c>
      <c r="J149" s="26">
        <f>IF($D149="","",IF(ISNUMBER(SEARCH("구리독자",$I149)),"구리독자",""))</f>
        <v/>
      </c>
      <c r="K149" s="29">
        <f>IF($D149="","",IF(COUNTIFS(입력_전공의명단!$C$2:$C$401,$D149,입력_전공의명단!$F$2:$F$401,IF(OR($C149="인턴",ISNUMBER(SEARCH("수련교육부",$B149))),"인턴",$B149))=1,MATCH($D149&amp;"|"&amp;IF(OR($C149="인턴",ISNUMBER(SEARCH("수련교육부",$B149))),"인턴",$B149),입력_전공의명단!$AP$2:$AP$401,0),IF(AND(COUNTIFS(입력_전공의명단!$C$2:$C$401,$D149,입력_전공의명단!$F$2:$F$401,IF(OR($C149="인턴",ISNUMBER(SEARCH("수련교육부",$B149))),"인턴",$B149))=0,COUNTIF(입력_전공의명단!$C$2:$C$401,$D149)=1),MATCH($D149,입력_전공의명단!$C$2:$C$401,0),"")))</f>
        <v/>
      </c>
      <c r="L149" s="26">
        <f>IF($D149="","",IF($K149&lt;&gt;"",IF(COUNTIFS(입력_전공의명단!$C$2:$C$401,$D149,입력_전공의명단!$F$2:$F$401,IF(OR($C149="인턴",ISNUMBER(SEARCH("수련교육부",$B149))),"인턴",$B149))=1,"명단 일치","명단 일치(이름만, 과 다름)"),IF(COUNTIF(입력_전공의명단!$C$2:$C$401,$D149)=0,IF(COUNTIF(입력_기본자료!$C$2:$C$1001,$D149)&gt;0,"명단에 없음(기본자료에는 있음)","명단에 없음"),"동명이인 확인")))</f>
        <v/>
      </c>
      <c r="N149" s="8" t="n">
        <v>144</v>
      </c>
      <c r="O149" s="8">
        <f>IF(ISNUMBER(SEARCH("근무예정자",(INDEX(입력_구리근무자명단!$A$3:$GZ$3,1,144)&amp;""))),IFERROR(VALUE(LEFT((INDEX(입력_구리근무자명단!$A$3:$GZ$3,1,144)&amp;""),4))*100+VALUE(MID((INDEX(입력_구리근무자명단!$A$3:$GZ$3,1,144)&amp;""),6,MIN(FIND("월",(INDEX(입력_구리근무자명단!$A$3:$GZ$3,1,144)&amp;"")&amp;"월"),FIND(CHAR(10),(INDEX(입력_구리근무자명단!$A$3:$GZ$3,1,144)&amp;"")&amp;CHAR(10)),FIND(" ",(INDEX(입력_구리근무자명단!$A$3:$GZ$3,1,144)&amp;"")&amp;" "))-6)),""),"")</f>
        <v/>
      </c>
    </row>
    <row r="150">
      <c r="A150" s="29" t="n">
        <v>148</v>
      </c>
      <c r="B150" s="26">
        <f>IF(TRIM(INDEX(입력_구리근무자명단!$A$1:$GZ$303,$A150,1)&amp;"")&lt;&gt;"",TRIM(INDEX(입력_구리근무자명단!$A$1:$GZ$303,$A150,1)&amp;""),B149)</f>
        <v/>
      </c>
      <c r="C150" s="26">
        <f>IF(INDEX(입력_구리근무자명단!$A$1:$GZ$303,$A150,2)="","",INDEX(입력_구리근무자명단!$A$1:$GZ$303,$A150,2))</f>
        <v/>
      </c>
      <c r="D150" s="26">
        <f>IF($G$2="","",TRIM(IF($I$2="확정",INDEX(입력_구리근무자명단!$A$1:$GZ$303,$A150,$G$2+1)&amp;"",INDEX(입력_구리근무자명단!$A$1:$GZ$303,$A150,$G$2+0)&amp;"")))</f>
        <v/>
      </c>
      <c r="E150" s="26">
        <f>IF($D150="","",$I$2)</f>
        <v/>
      </c>
      <c r="F150" s="28">
        <f>IF($D150="","",IF(INDEX(입력_구리근무자명단!$A$1:$GZ$303,$A150,$G$2+2)="",출력_요약!$B$3,IF(ISNUMBER(INDEX(입력_구리근무자명단!$A$1:$GZ$303,$A150,$G$2+2)),INDEX(입력_구리근무자명단!$A$1:$GZ$303,$A150,$G$2+2),IFERROR(DATE(VALUE(LEFT(INDEX(입력_구리근무자명단!$A$1:$GZ$303,$A150,$G$2+2),4)),VALUE(MID(INDEX(입력_구리근무자명단!$A$1:$GZ$303,$A150,$G$2+2),6,2)),VALUE(MID(INDEX(입력_구리근무자명단!$A$1:$GZ$303,$A150,$G$2+2),9,2))),IFERROR(DATEVALUE(SUBSTITUTE(TRIM(INDEX(입력_구리근무자명단!$A$1:$GZ$303,$A150,$G$2+2)),".","-")),"⚠"&amp;INDEX(입력_구리근무자명단!$A$1:$GZ$303,$A150,$G$2+2))))))</f>
        <v/>
      </c>
      <c r="G150" s="28">
        <f>IF($D150="","",IF(INDEX(입력_구리근무자명단!$A$1:$GZ$303,$A150,$G$2+3)="",EOMONTH(출력_요약!$B$3,0),IF(ISNUMBER(INDEX(입력_구리근무자명단!$A$1:$GZ$303,$A150,$G$2+3)),INDEX(입력_구리근무자명단!$A$1:$GZ$303,$A150,$G$2+3),IFERROR(DATE(VALUE(LEFT(INDEX(입력_구리근무자명단!$A$1:$GZ$303,$A150,$G$2+3),4)),VALUE(MID(INDEX(입력_구리근무자명단!$A$1:$GZ$303,$A150,$G$2+3),6,2)),VALUE(MID(INDEX(입력_구리근무자명단!$A$1:$GZ$303,$A150,$G$2+3),9,2))),IFERROR(DATEVALUE(SUBSTITUTE(TRIM(INDEX(입력_구리근무자명단!$A$1:$GZ$303,$A150,$G$2+3)),".","-")),"⚠"&amp;INDEX(입력_구리근무자명단!$A$1:$GZ$303,$A150,$G$2+3))))))</f>
        <v/>
      </c>
      <c r="H150" s="26">
        <f>IF($D150="","",IF(OR(NOT(ISNUMBER($F150)),NOT(ISNUMBER($G150))),0,MAX(0,MIN($G150,EOMONTH(출력_요약!$B$3,0))-MAX($F150,출력_요약!$B$3)+1)))</f>
        <v/>
      </c>
      <c r="I150" s="26">
        <f>IF($D150="","",TRIM(INDEX(입력_구리근무자명단!$A$1:$GZ$303,$A150,$G$2+5)&amp;""))</f>
        <v/>
      </c>
      <c r="J150" s="26">
        <f>IF($D150="","",IF(ISNUMBER(SEARCH("구리독자",$I150)),"구리독자",""))</f>
        <v/>
      </c>
      <c r="K150" s="29">
        <f>IF($D150="","",IF(COUNTIFS(입력_전공의명단!$C$2:$C$401,$D150,입력_전공의명단!$F$2:$F$401,IF(OR($C150="인턴",ISNUMBER(SEARCH("수련교육부",$B150))),"인턴",$B150))=1,MATCH($D150&amp;"|"&amp;IF(OR($C150="인턴",ISNUMBER(SEARCH("수련교육부",$B150))),"인턴",$B150),입력_전공의명단!$AP$2:$AP$401,0),IF(AND(COUNTIFS(입력_전공의명단!$C$2:$C$401,$D150,입력_전공의명단!$F$2:$F$401,IF(OR($C150="인턴",ISNUMBER(SEARCH("수련교육부",$B150))),"인턴",$B150))=0,COUNTIF(입력_전공의명단!$C$2:$C$401,$D150)=1),MATCH($D150,입력_전공의명단!$C$2:$C$401,0),"")))</f>
        <v/>
      </c>
      <c r="L150" s="26">
        <f>IF($D150="","",IF($K150&lt;&gt;"",IF(COUNTIFS(입력_전공의명단!$C$2:$C$401,$D150,입력_전공의명단!$F$2:$F$401,IF(OR($C150="인턴",ISNUMBER(SEARCH("수련교육부",$B150))),"인턴",$B150))=1,"명단 일치","명단 일치(이름만, 과 다름)"),IF(COUNTIF(입력_전공의명단!$C$2:$C$401,$D150)=0,IF(COUNTIF(입력_기본자료!$C$2:$C$1001,$D150)&gt;0,"명단에 없음(기본자료에는 있음)","명단에 없음"),"동명이인 확인")))</f>
        <v/>
      </c>
      <c r="N150" s="8" t="n">
        <v>145</v>
      </c>
      <c r="O150" s="8">
        <f>IF(ISNUMBER(SEARCH("근무예정자",(INDEX(입력_구리근무자명단!$A$3:$GZ$3,1,145)&amp;""))),IFERROR(VALUE(LEFT((INDEX(입력_구리근무자명단!$A$3:$GZ$3,1,145)&amp;""),4))*100+VALUE(MID((INDEX(입력_구리근무자명단!$A$3:$GZ$3,1,145)&amp;""),6,MIN(FIND("월",(INDEX(입력_구리근무자명단!$A$3:$GZ$3,1,145)&amp;"")&amp;"월"),FIND(CHAR(10),(INDEX(입력_구리근무자명단!$A$3:$GZ$3,1,145)&amp;"")&amp;CHAR(10)),FIND(" ",(INDEX(입력_구리근무자명단!$A$3:$GZ$3,1,145)&amp;"")&amp;" "))-6)),""),"")</f>
        <v/>
      </c>
    </row>
    <row r="151">
      <c r="A151" s="29" t="n">
        <v>149</v>
      </c>
      <c r="B151" s="26">
        <f>IF(TRIM(INDEX(입력_구리근무자명단!$A$1:$GZ$303,$A151,1)&amp;"")&lt;&gt;"",TRIM(INDEX(입력_구리근무자명단!$A$1:$GZ$303,$A151,1)&amp;""),B150)</f>
        <v/>
      </c>
      <c r="C151" s="26">
        <f>IF(INDEX(입력_구리근무자명단!$A$1:$GZ$303,$A151,2)="","",INDEX(입력_구리근무자명단!$A$1:$GZ$303,$A151,2))</f>
        <v/>
      </c>
      <c r="D151" s="26">
        <f>IF($G$2="","",TRIM(IF($I$2="확정",INDEX(입력_구리근무자명단!$A$1:$GZ$303,$A151,$G$2+1)&amp;"",INDEX(입력_구리근무자명단!$A$1:$GZ$303,$A151,$G$2+0)&amp;"")))</f>
        <v/>
      </c>
      <c r="E151" s="26">
        <f>IF($D151="","",$I$2)</f>
        <v/>
      </c>
      <c r="F151" s="28">
        <f>IF($D151="","",IF(INDEX(입력_구리근무자명단!$A$1:$GZ$303,$A151,$G$2+2)="",출력_요약!$B$3,IF(ISNUMBER(INDEX(입력_구리근무자명단!$A$1:$GZ$303,$A151,$G$2+2)),INDEX(입력_구리근무자명단!$A$1:$GZ$303,$A151,$G$2+2),IFERROR(DATE(VALUE(LEFT(INDEX(입력_구리근무자명단!$A$1:$GZ$303,$A151,$G$2+2),4)),VALUE(MID(INDEX(입력_구리근무자명단!$A$1:$GZ$303,$A151,$G$2+2),6,2)),VALUE(MID(INDEX(입력_구리근무자명단!$A$1:$GZ$303,$A151,$G$2+2),9,2))),IFERROR(DATEVALUE(SUBSTITUTE(TRIM(INDEX(입력_구리근무자명단!$A$1:$GZ$303,$A151,$G$2+2)),".","-")),"⚠"&amp;INDEX(입력_구리근무자명단!$A$1:$GZ$303,$A151,$G$2+2))))))</f>
        <v/>
      </c>
      <c r="G151" s="28">
        <f>IF($D151="","",IF(INDEX(입력_구리근무자명단!$A$1:$GZ$303,$A151,$G$2+3)="",EOMONTH(출력_요약!$B$3,0),IF(ISNUMBER(INDEX(입력_구리근무자명단!$A$1:$GZ$303,$A151,$G$2+3)),INDEX(입력_구리근무자명단!$A$1:$GZ$303,$A151,$G$2+3),IFERROR(DATE(VALUE(LEFT(INDEX(입력_구리근무자명단!$A$1:$GZ$303,$A151,$G$2+3),4)),VALUE(MID(INDEX(입력_구리근무자명단!$A$1:$GZ$303,$A151,$G$2+3),6,2)),VALUE(MID(INDEX(입력_구리근무자명단!$A$1:$GZ$303,$A151,$G$2+3),9,2))),IFERROR(DATEVALUE(SUBSTITUTE(TRIM(INDEX(입력_구리근무자명단!$A$1:$GZ$303,$A151,$G$2+3)),".","-")),"⚠"&amp;INDEX(입력_구리근무자명단!$A$1:$GZ$303,$A151,$G$2+3))))))</f>
        <v/>
      </c>
      <c r="H151" s="26">
        <f>IF($D151="","",IF(OR(NOT(ISNUMBER($F151)),NOT(ISNUMBER($G151))),0,MAX(0,MIN($G151,EOMONTH(출력_요약!$B$3,0))-MAX($F151,출력_요약!$B$3)+1)))</f>
        <v/>
      </c>
      <c r="I151" s="26">
        <f>IF($D151="","",TRIM(INDEX(입력_구리근무자명단!$A$1:$GZ$303,$A151,$G$2+5)&amp;""))</f>
        <v/>
      </c>
      <c r="J151" s="26">
        <f>IF($D151="","",IF(ISNUMBER(SEARCH("구리독자",$I151)),"구리독자",""))</f>
        <v/>
      </c>
      <c r="K151" s="29">
        <f>IF($D151="","",IF(COUNTIFS(입력_전공의명단!$C$2:$C$401,$D151,입력_전공의명단!$F$2:$F$401,IF(OR($C151="인턴",ISNUMBER(SEARCH("수련교육부",$B151))),"인턴",$B151))=1,MATCH($D151&amp;"|"&amp;IF(OR($C151="인턴",ISNUMBER(SEARCH("수련교육부",$B151))),"인턴",$B151),입력_전공의명단!$AP$2:$AP$401,0),IF(AND(COUNTIFS(입력_전공의명단!$C$2:$C$401,$D151,입력_전공의명단!$F$2:$F$401,IF(OR($C151="인턴",ISNUMBER(SEARCH("수련교육부",$B151))),"인턴",$B151))=0,COUNTIF(입력_전공의명단!$C$2:$C$401,$D151)=1),MATCH($D151,입력_전공의명단!$C$2:$C$401,0),"")))</f>
        <v/>
      </c>
      <c r="L151" s="26">
        <f>IF($D151="","",IF($K151&lt;&gt;"",IF(COUNTIFS(입력_전공의명단!$C$2:$C$401,$D151,입력_전공의명단!$F$2:$F$401,IF(OR($C151="인턴",ISNUMBER(SEARCH("수련교육부",$B151))),"인턴",$B151))=1,"명단 일치","명단 일치(이름만, 과 다름)"),IF(COUNTIF(입력_전공의명단!$C$2:$C$401,$D151)=0,IF(COUNTIF(입력_기본자료!$C$2:$C$1001,$D151)&gt;0,"명단에 없음(기본자료에는 있음)","명단에 없음"),"동명이인 확인")))</f>
        <v/>
      </c>
      <c r="N151" s="8" t="n">
        <v>146</v>
      </c>
      <c r="O151" s="8">
        <f>IF(ISNUMBER(SEARCH("근무예정자",(INDEX(입력_구리근무자명단!$A$3:$GZ$3,1,146)&amp;""))),IFERROR(VALUE(LEFT((INDEX(입력_구리근무자명단!$A$3:$GZ$3,1,146)&amp;""),4))*100+VALUE(MID((INDEX(입력_구리근무자명단!$A$3:$GZ$3,1,146)&amp;""),6,MIN(FIND("월",(INDEX(입력_구리근무자명단!$A$3:$GZ$3,1,146)&amp;"")&amp;"월"),FIND(CHAR(10),(INDEX(입력_구리근무자명단!$A$3:$GZ$3,1,146)&amp;"")&amp;CHAR(10)),FIND(" ",(INDEX(입력_구리근무자명단!$A$3:$GZ$3,1,146)&amp;"")&amp;" "))-6)),""),"")</f>
        <v/>
      </c>
    </row>
    <row r="152">
      <c r="A152" s="29" t="n">
        <v>150</v>
      </c>
      <c r="B152" s="26">
        <f>IF(TRIM(INDEX(입력_구리근무자명단!$A$1:$GZ$303,$A152,1)&amp;"")&lt;&gt;"",TRIM(INDEX(입력_구리근무자명단!$A$1:$GZ$303,$A152,1)&amp;""),B151)</f>
        <v/>
      </c>
      <c r="C152" s="26">
        <f>IF(INDEX(입력_구리근무자명단!$A$1:$GZ$303,$A152,2)="","",INDEX(입력_구리근무자명단!$A$1:$GZ$303,$A152,2))</f>
        <v/>
      </c>
      <c r="D152" s="26">
        <f>IF($G$2="","",TRIM(IF($I$2="확정",INDEX(입력_구리근무자명단!$A$1:$GZ$303,$A152,$G$2+1)&amp;"",INDEX(입력_구리근무자명단!$A$1:$GZ$303,$A152,$G$2+0)&amp;"")))</f>
        <v/>
      </c>
      <c r="E152" s="26">
        <f>IF($D152="","",$I$2)</f>
        <v/>
      </c>
      <c r="F152" s="28">
        <f>IF($D152="","",IF(INDEX(입력_구리근무자명단!$A$1:$GZ$303,$A152,$G$2+2)="",출력_요약!$B$3,IF(ISNUMBER(INDEX(입력_구리근무자명단!$A$1:$GZ$303,$A152,$G$2+2)),INDEX(입력_구리근무자명단!$A$1:$GZ$303,$A152,$G$2+2),IFERROR(DATE(VALUE(LEFT(INDEX(입력_구리근무자명단!$A$1:$GZ$303,$A152,$G$2+2),4)),VALUE(MID(INDEX(입력_구리근무자명단!$A$1:$GZ$303,$A152,$G$2+2),6,2)),VALUE(MID(INDEX(입력_구리근무자명단!$A$1:$GZ$303,$A152,$G$2+2),9,2))),IFERROR(DATEVALUE(SUBSTITUTE(TRIM(INDEX(입력_구리근무자명단!$A$1:$GZ$303,$A152,$G$2+2)),".","-")),"⚠"&amp;INDEX(입력_구리근무자명단!$A$1:$GZ$303,$A152,$G$2+2))))))</f>
        <v/>
      </c>
      <c r="G152" s="28">
        <f>IF($D152="","",IF(INDEX(입력_구리근무자명단!$A$1:$GZ$303,$A152,$G$2+3)="",EOMONTH(출력_요약!$B$3,0),IF(ISNUMBER(INDEX(입력_구리근무자명단!$A$1:$GZ$303,$A152,$G$2+3)),INDEX(입력_구리근무자명단!$A$1:$GZ$303,$A152,$G$2+3),IFERROR(DATE(VALUE(LEFT(INDEX(입력_구리근무자명단!$A$1:$GZ$303,$A152,$G$2+3),4)),VALUE(MID(INDEX(입력_구리근무자명단!$A$1:$GZ$303,$A152,$G$2+3),6,2)),VALUE(MID(INDEX(입력_구리근무자명단!$A$1:$GZ$303,$A152,$G$2+3),9,2))),IFERROR(DATEVALUE(SUBSTITUTE(TRIM(INDEX(입력_구리근무자명단!$A$1:$GZ$303,$A152,$G$2+3)),".","-")),"⚠"&amp;INDEX(입력_구리근무자명단!$A$1:$GZ$303,$A152,$G$2+3))))))</f>
        <v/>
      </c>
      <c r="H152" s="26">
        <f>IF($D152="","",IF(OR(NOT(ISNUMBER($F152)),NOT(ISNUMBER($G152))),0,MAX(0,MIN($G152,EOMONTH(출력_요약!$B$3,0))-MAX($F152,출력_요약!$B$3)+1)))</f>
        <v/>
      </c>
      <c r="I152" s="26">
        <f>IF($D152="","",TRIM(INDEX(입력_구리근무자명단!$A$1:$GZ$303,$A152,$G$2+5)&amp;""))</f>
        <v/>
      </c>
      <c r="J152" s="26">
        <f>IF($D152="","",IF(ISNUMBER(SEARCH("구리독자",$I152)),"구리독자",""))</f>
        <v/>
      </c>
      <c r="K152" s="29">
        <f>IF($D152="","",IF(COUNTIFS(입력_전공의명단!$C$2:$C$401,$D152,입력_전공의명단!$F$2:$F$401,IF(OR($C152="인턴",ISNUMBER(SEARCH("수련교육부",$B152))),"인턴",$B152))=1,MATCH($D152&amp;"|"&amp;IF(OR($C152="인턴",ISNUMBER(SEARCH("수련교육부",$B152))),"인턴",$B152),입력_전공의명단!$AP$2:$AP$401,0),IF(AND(COUNTIFS(입력_전공의명단!$C$2:$C$401,$D152,입력_전공의명단!$F$2:$F$401,IF(OR($C152="인턴",ISNUMBER(SEARCH("수련교육부",$B152))),"인턴",$B152))=0,COUNTIF(입력_전공의명단!$C$2:$C$401,$D152)=1),MATCH($D152,입력_전공의명단!$C$2:$C$401,0),"")))</f>
        <v/>
      </c>
      <c r="L152" s="26">
        <f>IF($D152="","",IF($K152&lt;&gt;"",IF(COUNTIFS(입력_전공의명단!$C$2:$C$401,$D152,입력_전공의명단!$F$2:$F$401,IF(OR($C152="인턴",ISNUMBER(SEARCH("수련교육부",$B152))),"인턴",$B152))=1,"명단 일치","명단 일치(이름만, 과 다름)"),IF(COUNTIF(입력_전공의명단!$C$2:$C$401,$D152)=0,IF(COUNTIF(입력_기본자료!$C$2:$C$1001,$D152)&gt;0,"명단에 없음(기본자료에는 있음)","명단에 없음"),"동명이인 확인")))</f>
        <v/>
      </c>
      <c r="N152" s="8" t="n">
        <v>147</v>
      </c>
      <c r="O152" s="8">
        <f>IF(ISNUMBER(SEARCH("근무예정자",(INDEX(입력_구리근무자명단!$A$3:$GZ$3,1,147)&amp;""))),IFERROR(VALUE(LEFT((INDEX(입력_구리근무자명단!$A$3:$GZ$3,1,147)&amp;""),4))*100+VALUE(MID((INDEX(입력_구리근무자명단!$A$3:$GZ$3,1,147)&amp;""),6,MIN(FIND("월",(INDEX(입력_구리근무자명단!$A$3:$GZ$3,1,147)&amp;"")&amp;"월"),FIND(CHAR(10),(INDEX(입력_구리근무자명단!$A$3:$GZ$3,1,147)&amp;"")&amp;CHAR(10)),FIND(" ",(INDEX(입력_구리근무자명단!$A$3:$GZ$3,1,147)&amp;"")&amp;" "))-6)),""),"")</f>
        <v/>
      </c>
    </row>
    <row r="153">
      <c r="A153" s="29" t="n">
        <v>151</v>
      </c>
      <c r="B153" s="26">
        <f>IF(TRIM(INDEX(입력_구리근무자명단!$A$1:$GZ$303,$A153,1)&amp;"")&lt;&gt;"",TRIM(INDEX(입력_구리근무자명단!$A$1:$GZ$303,$A153,1)&amp;""),B152)</f>
        <v/>
      </c>
      <c r="C153" s="26">
        <f>IF(INDEX(입력_구리근무자명단!$A$1:$GZ$303,$A153,2)="","",INDEX(입력_구리근무자명단!$A$1:$GZ$303,$A153,2))</f>
        <v/>
      </c>
      <c r="D153" s="26">
        <f>IF($G$2="","",TRIM(IF($I$2="확정",INDEX(입력_구리근무자명단!$A$1:$GZ$303,$A153,$G$2+1)&amp;"",INDEX(입력_구리근무자명단!$A$1:$GZ$303,$A153,$G$2+0)&amp;"")))</f>
        <v/>
      </c>
      <c r="E153" s="26">
        <f>IF($D153="","",$I$2)</f>
        <v/>
      </c>
      <c r="F153" s="28">
        <f>IF($D153="","",IF(INDEX(입력_구리근무자명단!$A$1:$GZ$303,$A153,$G$2+2)="",출력_요약!$B$3,IF(ISNUMBER(INDEX(입력_구리근무자명단!$A$1:$GZ$303,$A153,$G$2+2)),INDEX(입력_구리근무자명단!$A$1:$GZ$303,$A153,$G$2+2),IFERROR(DATE(VALUE(LEFT(INDEX(입력_구리근무자명단!$A$1:$GZ$303,$A153,$G$2+2),4)),VALUE(MID(INDEX(입력_구리근무자명단!$A$1:$GZ$303,$A153,$G$2+2),6,2)),VALUE(MID(INDEX(입력_구리근무자명단!$A$1:$GZ$303,$A153,$G$2+2),9,2))),IFERROR(DATEVALUE(SUBSTITUTE(TRIM(INDEX(입력_구리근무자명단!$A$1:$GZ$303,$A153,$G$2+2)),".","-")),"⚠"&amp;INDEX(입력_구리근무자명단!$A$1:$GZ$303,$A153,$G$2+2))))))</f>
        <v/>
      </c>
      <c r="G153" s="28">
        <f>IF($D153="","",IF(INDEX(입력_구리근무자명단!$A$1:$GZ$303,$A153,$G$2+3)="",EOMONTH(출력_요약!$B$3,0),IF(ISNUMBER(INDEX(입력_구리근무자명단!$A$1:$GZ$303,$A153,$G$2+3)),INDEX(입력_구리근무자명단!$A$1:$GZ$303,$A153,$G$2+3),IFERROR(DATE(VALUE(LEFT(INDEX(입력_구리근무자명단!$A$1:$GZ$303,$A153,$G$2+3),4)),VALUE(MID(INDEX(입력_구리근무자명단!$A$1:$GZ$303,$A153,$G$2+3),6,2)),VALUE(MID(INDEX(입력_구리근무자명단!$A$1:$GZ$303,$A153,$G$2+3),9,2))),IFERROR(DATEVALUE(SUBSTITUTE(TRIM(INDEX(입력_구리근무자명단!$A$1:$GZ$303,$A153,$G$2+3)),".","-")),"⚠"&amp;INDEX(입력_구리근무자명단!$A$1:$GZ$303,$A153,$G$2+3))))))</f>
        <v/>
      </c>
      <c r="H153" s="26">
        <f>IF($D153="","",IF(OR(NOT(ISNUMBER($F153)),NOT(ISNUMBER($G153))),0,MAX(0,MIN($G153,EOMONTH(출력_요약!$B$3,0))-MAX($F153,출력_요약!$B$3)+1)))</f>
        <v/>
      </c>
      <c r="I153" s="26">
        <f>IF($D153="","",TRIM(INDEX(입력_구리근무자명단!$A$1:$GZ$303,$A153,$G$2+5)&amp;""))</f>
        <v/>
      </c>
      <c r="J153" s="26">
        <f>IF($D153="","",IF(ISNUMBER(SEARCH("구리독자",$I153)),"구리독자",""))</f>
        <v/>
      </c>
      <c r="K153" s="29">
        <f>IF($D153="","",IF(COUNTIFS(입력_전공의명단!$C$2:$C$401,$D153,입력_전공의명단!$F$2:$F$401,IF(OR($C153="인턴",ISNUMBER(SEARCH("수련교육부",$B153))),"인턴",$B153))=1,MATCH($D153&amp;"|"&amp;IF(OR($C153="인턴",ISNUMBER(SEARCH("수련교육부",$B153))),"인턴",$B153),입력_전공의명단!$AP$2:$AP$401,0),IF(AND(COUNTIFS(입력_전공의명단!$C$2:$C$401,$D153,입력_전공의명단!$F$2:$F$401,IF(OR($C153="인턴",ISNUMBER(SEARCH("수련교육부",$B153))),"인턴",$B153))=0,COUNTIF(입력_전공의명단!$C$2:$C$401,$D153)=1),MATCH($D153,입력_전공의명단!$C$2:$C$401,0),"")))</f>
        <v/>
      </c>
      <c r="L153" s="26">
        <f>IF($D153="","",IF($K153&lt;&gt;"",IF(COUNTIFS(입력_전공의명단!$C$2:$C$401,$D153,입력_전공의명단!$F$2:$F$401,IF(OR($C153="인턴",ISNUMBER(SEARCH("수련교육부",$B153))),"인턴",$B153))=1,"명단 일치","명단 일치(이름만, 과 다름)"),IF(COUNTIF(입력_전공의명단!$C$2:$C$401,$D153)=0,IF(COUNTIF(입력_기본자료!$C$2:$C$1001,$D153)&gt;0,"명단에 없음(기본자료에는 있음)","명단에 없음"),"동명이인 확인")))</f>
        <v/>
      </c>
      <c r="N153" s="8" t="n">
        <v>148</v>
      </c>
      <c r="O153" s="8">
        <f>IF(ISNUMBER(SEARCH("근무예정자",(INDEX(입력_구리근무자명단!$A$3:$GZ$3,1,148)&amp;""))),IFERROR(VALUE(LEFT((INDEX(입력_구리근무자명단!$A$3:$GZ$3,1,148)&amp;""),4))*100+VALUE(MID((INDEX(입력_구리근무자명단!$A$3:$GZ$3,1,148)&amp;""),6,MIN(FIND("월",(INDEX(입력_구리근무자명단!$A$3:$GZ$3,1,148)&amp;"")&amp;"월"),FIND(CHAR(10),(INDEX(입력_구리근무자명단!$A$3:$GZ$3,1,148)&amp;"")&amp;CHAR(10)),FIND(" ",(INDEX(입력_구리근무자명단!$A$3:$GZ$3,1,148)&amp;"")&amp;" "))-6)),""),"")</f>
        <v/>
      </c>
    </row>
    <row r="154">
      <c r="A154" s="29" t="n">
        <v>152</v>
      </c>
      <c r="B154" s="26">
        <f>IF(TRIM(INDEX(입력_구리근무자명단!$A$1:$GZ$303,$A154,1)&amp;"")&lt;&gt;"",TRIM(INDEX(입력_구리근무자명단!$A$1:$GZ$303,$A154,1)&amp;""),B153)</f>
        <v/>
      </c>
      <c r="C154" s="26">
        <f>IF(INDEX(입력_구리근무자명단!$A$1:$GZ$303,$A154,2)="","",INDEX(입력_구리근무자명단!$A$1:$GZ$303,$A154,2))</f>
        <v/>
      </c>
      <c r="D154" s="26">
        <f>IF($G$2="","",TRIM(IF($I$2="확정",INDEX(입력_구리근무자명단!$A$1:$GZ$303,$A154,$G$2+1)&amp;"",INDEX(입력_구리근무자명단!$A$1:$GZ$303,$A154,$G$2+0)&amp;"")))</f>
        <v/>
      </c>
      <c r="E154" s="26">
        <f>IF($D154="","",$I$2)</f>
        <v/>
      </c>
      <c r="F154" s="28">
        <f>IF($D154="","",IF(INDEX(입력_구리근무자명단!$A$1:$GZ$303,$A154,$G$2+2)="",출력_요약!$B$3,IF(ISNUMBER(INDEX(입력_구리근무자명단!$A$1:$GZ$303,$A154,$G$2+2)),INDEX(입력_구리근무자명단!$A$1:$GZ$303,$A154,$G$2+2),IFERROR(DATE(VALUE(LEFT(INDEX(입력_구리근무자명단!$A$1:$GZ$303,$A154,$G$2+2),4)),VALUE(MID(INDEX(입력_구리근무자명단!$A$1:$GZ$303,$A154,$G$2+2),6,2)),VALUE(MID(INDEX(입력_구리근무자명단!$A$1:$GZ$303,$A154,$G$2+2),9,2))),IFERROR(DATEVALUE(SUBSTITUTE(TRIM(INDEX(입력_구리근무자명단!$A$1:$GZ$303,$A154,$G$2+2)),".","-")),"⚠"&amp;INDEX(입력_구리근무자명단!$A$1:$GZ$303,$A154,$G$2+2))))))</f>
        <v/>
      </c>
      <c r="G154" s="28">
        <f>IF($D154="","",IF(INDEX(입력_구리근무자명단!$A$1:$GZ$303,$A154,$G$2+3)="",EOMONTH(출력_요약!$B$3,0),IF(ISNUMBER(INDEX(입력_구리근무자명단!$A$1:$GZ$303,$A154,$G$2+3)),INDEX(입력_구리근무자명단!$A$1:$GZ$303,$A154,$G$2+3),IFERROR(DATE(VALUE(LEFT(INDEX(입력_구리근무자명단!$A$1:$GZ$303,$A154,$G$2+3),4)),VALUE(MID(INDEX(입력_구리근무자명단!$A$1:$GZ$303,$A154,$G$2+3),6,2)),VALUE(MID(INDEX(입력_구리근무자명단!$A$1:$GZ$303,$A154,$G$2+3),9,2))),IFERROR(DATEVALUE(SUBSTITUTE(TRIM(INDEX(입력_구리근무자명단!$A$1:$GZ$303,$A154,$G$2+3)),".","-")),"⚠"&amp;INDEX(입력_구리근무자명단!$A$1:$GZ$303,$A154,$G$2+3))))))</f>
        <v/>
      </c>
      <c r="H154" s="26">
        <f>IF($D154="","",IF(OR(NOT(ISNUMBER($F154)),NOT(ISNUMBER($G154))),0,MAX(0,MIN($G154,EOMONTH(출력_요약!$B$3,0))-MAX($F154,출력_요약!$B$3)+1)))</f>
        <v/>
      </c>
      <c r="I154" s="26">
        <f>IF($D154="","",TRIM(INDEX(입력_구리근무자명단!$A$1:$GZ$303,$A154,$G$2+5)&amp;""))</f>
        <v/>
      </c>
      <c r="J154" s="26">
        <f>IF($D154="","",IF(ISNUMBER(SEARCH("구리독자",$I154)),"구리독자",""))</f>
        <v/>
      </c>
      <c r="K154" s="29">
        <f>IF($D154="","",IF(COUNTIFS(입력_전공의명단!$C$2:$C$401,$D154,입력_전공의명단!$F$2:$F$401,IF(OR($C154="인턴",ISNUMBER(SEARCH("수련교육부",$B154))),"인턴",$B154))=1,MATCH($D154&amp;"|"&amp;IF(OR($C154="인턴",ISNUMBER(SEARCH("수련교육부",$B154))),"인턴",$B154),입력_전공의명단!$AP$2:$AP$401,0),IF(AND(COUNTIFS(입력_전공의명단!$C$2:$C$401,$D154,입력_전공의명단!$F$2:$F$401,IF(OR($C154="인턴",ISNUMBER(SEARCH("수련교육부",$B154))),"인턴",$B154))=0,COUNTIF(입력_전공의명단!$C$2:$C$401,$D154)=1),MATCH($D154,입력_전공의명단!$C$2:$C$401,0),"")))</f>
        <v/>
      </c>
      <c r="L154" s="26">
        <f>IF($D154="","",IF($K154&lt;&gt;"",IF(COUNTIFS(입력_전공의명단!$C$2:$C$401,$D154,입력_전공의명단!$F$2:$F$401,IF(OR($C154="인턴",ISNUMBER(SEARCH("수련교육부",$B154))),"인턴",$B154))=1,"명단 일치","명단 일치(이름만, 과 다름)"),IF(COUNTIF(입력_전공의명단!$C$2:$C$401,$D154)=0,IF(COUNTIF(입력_기본자료!$C$2:$C$1001,$D154)&gt;0,"명단에 없음(기본자료에는 있음)","명단에 없음"),"동명이인 확인")))</f>
        <v/>
      </c>
      <c r="N154" s="8" t="n">
        <v>149</v>
      </c>
      <c r="O154" s="8">
        <f>IF(ISNUMBER(SEARCH("근무예정자",(INDEX(입력_구리근무자명단!$A$3:$GZ$3,1,149)&amp;""))),IFERROR(VALUE(LEFT((INDEX(입력_구리근무자명단!$A$3:$GZ$3,1,149)&amp;""),4))*100+VALUE(MID((INDEX(입력_구리근무자명단!$A$3:$GZ$3,1,149)&amp;""),6,MIN(FIND("월",(INDEX(입력_구리근무자명단!$A$3:$GZ$3,1,149)&amp;"")&amp;"월"),FIND(CHAR(10),(INDEX(입력_구리근무자명단!$A$3:$GZ$3,1,149)&amp;"")&amp;CHAR(10)),FIND(" ",(INDEX(입력_구리근무자명단!$A$3:$GZ$3,1,149)&amp;"")&amp;" "))-6)),""),"")</f>
        <v/>
      </c>
    </row>
    <row r="155">
      <c r="A155" s="29" t="n">
        <v>153</v>
      </c>
      <c r="B155" s="26">
        <f>IF(TRIM(INDEX(입력_구리근무자명단!$A$1:$GZ$303,$A155,1)&amp;"")&lt;&gt;"",TRIM(INDEX(입력_구리근무자명단!$A$1:$GZ$303,$A155,1)&amp;""),B154)</f>
        <v/>
      </c>
      <c r="C155" s="26">
        <f>IF(INDEX(입력_구리근무자명단!$A$1:$GZ$303,$A155,2)="","",INDEX(입력_구리근무자명단!$A$1:$GZ$303,$A155,2))</f>
        <v/>
      </c>
      <c r="D155" s="26">
        <f>IF($G$2="","",TRIM(IF($I$2="확정",INDEX(입력_구리근무자명단!$A$1:$GZ$303,$A155,$G$2+1)&amp;"",INDEX(입력_구리근무자명단!$A$1:$GZ$303,$A155,$G$2+0)&amp;"")))</f>
        <v/>
      </c>
      <c r="E155" s="26">
        <f>IF($D155="","",$I$2)</f>
        <v/>
      </c>
      <c r="F155" s="28">
        <f>IF($D155="","",IF(INDEX(입력_구리근무자명단!$A$1:$GZ$303,$A155,$G$2+2)="",출력_요약!$B$3,IF(ISNUMBER(INDEX(입력_구리근무자명단!$A$1:$GZ$303,$A155,$G$2+2)),INDEX(입력_구리근무자명단!$A$1:$GZ$303,$A155,$G$2+2),IFERROR(DATE(VALUE(LEFT(INDEX(입력_구리근무자명단!$A$1:$GZ$303,$A155,$G$2+2),4)),VALUE(MID(INDEX(입력_구리근무자명단!$A$1:$GZ$303,$A155,$G$2+2),6,2)),VALUE(MID(INDEX(입력_구리근무자명단!$A$1:$GZ$303,$A155,$G$2+2),9,2))),IFERROR(DATEVALUE(SUBSTITUTE(TRIM(INDEX(입력_구리근무자명단!$A$1:$GZ$303,$A155,$G$2+2)),".","-")),"⚠"&amp;INDEX(입력_구리근무자명단!$A$1:$GZ$303,$A155,$G$2+2))))))</f>
        <v/>
      </c>
      <c r="G155" s="28">
        <f>IF($D155="","",IF(INDEX(입력_구리근무자명단!$A$1:$GZ$303,$A155,$G$2+3)="",EOMONTH(출력_요약!$B$3,0),IF(ISNUMBER(INDEX(입력_구리근무자명단!$A$1:$GZ$303,$A155,$G$2+3)),INDEX(입력_구리근무자명단!$A$1:$GZ$303,$A155,$G$2+3),IFERROR(DATE(VALUE(LEFT(INDEX(입력_구리근무자명단!$A$1:$GZ$303,$A155,$G$2+3),4)),VALUE(MID(INDEX(입력_구리근무자명단!$A$1:$GZ$303,$A155,$G$2+3),6,2)),VALUE(MID(INDEX(입력_구리근무자명단!$A$1:$GZ$303,$A155,$G$2+3),9,2))),IFERROR(DATEVALUE(SUBSTITUTE(TRIM(INDEX(입력_구리근무자명단!$A$1:$GZ$303,$A155,$G$2+3)),".","-")),"⚠"&amp;INDEX(입력_구리근무자명단!$A$1:$GZ$303,$A155,$G$2+3))))))</f>
        <v/>
      </c>
      <c r="H155" s="26">
        <f>IF($D155="","",IF(OR(NOT(ISNUMBER($F155)),NOT(ISNUMBER($G155))),0,MAX(0,MIN($G155,EOMONTH(출력_요약!$B$3,0))-MAX($F155,출력_요약!$B$3)+1)))</f>
        <v/>
      </c>
      <c r="I155" s="26">
        <f>IF($D155="","",TRIM(INDEX(입력_구리근무자명단!$A$1:$GZ$303,$A155,$G$2+5)&amp;""))</f>
        <v/>
      </c>
      <c r="J155" s="26">
        <f>IF($D155="","",IF(ISNUMBER(SEARCH("구리독자",$I155)),"구리독자",""))</f>
        <v/>
      </c>
      <c r="K155" s="29">
        <f>IF($D155="","",IF(COUNTIFS(입력_전공의명단!$C$2:$C$401,$D155,입력_전공의명단!$F$2:$F$401,IF(OR($C155="인턴",ISNUMBER(SEARCH("수련교육부",$B155))),"인턴",$B155))=1,MATCH($D155&amp;"|"&amp;IF(OR($C155="인턴",ISNUMBER(SEARCH("수련교육부",$B155))),"인턴",$B155),입력_전공의명단!$AP$2:$AP$401,0),IF(AND(COUNTIFS(입력_전공의명단!$C$2:$C$401,$D155,입력_전공의명단!$F$2:$F$401,IF(OR($C155="인턴",ISNUMBER(SEARCH("수련교육부",$B155))),"인턴",$B155))=0,COUNTIF(입력_전공의명단!$C$2:$C$401,$D155)=1),MATCH($D155,입력_전공의명단!$C$2:$C$401,0),"")))</f>
        <v/>
      </c>
      <c r="L155" s="26">
        <f>IF($D155="","",IF($K155&lt;&gt;"",IF(COUNTIFS(입력_전공의명단!$C$2:$C$401,$D155,입력_전공의명단!$F$2:$F$401,IF(OR($C155="인턴",ISNUMBER(SEARCH("수련교육부",$B155))),"인턴",$B155))=1,"명단 일치","명단 일치(이름만, 과 다름)"),IF(COUNTIF(입력_전공의명단!$C$2:$C$401,$D155)=0,IF(COUNTIF(입력_기본자료!$C$2:$C$1001,$D155)&gt;0,"명단에 없음(기본자료에는 있음)","명단에 없음"),"동명이인 확인")))</f>
        <v/>
      </c>
      <c r="N155" s="8" t="n">
        <v>150</v>
      </c>
      <c r="O155" s="8">
        <f>IF(ISNUMBER(SEARCH("근무예정자",(INDEX(입력_구리근무자명단!$A$3:$GZ$3,1,150)&amp;""))),IFERROR(VALUE(LEFT((INDEX(입력_구리근무자명단!$A$3:$GZ$3,1,150)&amp;""),4))*100+VALUE(MID((INDEX(입력_구리근무자명단!$A$3:$GZ$3,1,150)&amp;""),6,MIN(FIND("월",(INDEX(입력_구리근무자명단!$A$3:$GZ$3,1,150)&amp;"")&amp;"월"),FIND(CHAR(10),(INDEX(입력_구리근무자명단!$A$3:$GZ$3,1,150)&amp;"")&amp;CHAR(10)),FIND(" ",(INDEX(입력_구리근무자명단!$A$3:$GZ$3,1,150)&amp;"")&amp;" "))-6)),""),"")</f>
        <v/>
      </c>
    </row>
    <row r="156">
      <c r="A156" s="29" t="n">
        <v>154</v>
      </c>
      <c r="B156" s="26">
        <f>IF(TRIM(INDEX(입력_구리근무자명단!$A$1:$GZ$303,$A156,1)&amp;"")&lt;&gt;"",TRIM(INDEX(입력_구리근무자명단!$A$1:$GZ$303,$A156,1)&amp;""),B155)</f>
        <v/>
      </c>
      <c r="C156" s="26">
        <f>IF(INDEX(입력_구리근무자명단!$A$1:$GZ$303,$A156,2)="","",INDEX(입력_구리근무자명단!$A$1:$GZ$303,$A156,2))</f>
        <v/>
      </c>
      <c r="D156" s="26">
        <f>IF($G$2="","",TRIM(IF($I$2="확정",INDEX(입력_구리근무자명단!$A$1:$GZ$303,$A156,$G$2+1)&amp;"",INDEX(입력_구리근무자명단!$A$1:$GZ$303,$A156,$G$2+0)&amp;"")))</f>
        <v/>
      </c>
      <c r="E156" s="26">
        <f>IF($D156="","",$I$2)</f>
        <v/>
      </c>
      <c r="F156" s="28">
        <f>IF($D156="","",IF(INDEX(입력_구리근무자명단!$A$1:$GZ$303,$A156,$G$2+2)="",출력_요약!$B$3,IF(ISNUMBER(INDEX(입력_구리근무자명단!$A$1:$GZ$303,$A156,$G$2+2)),INDEX(입력_구리근무자명단!$A$1:$GZ$303,$A156,$G$2+2),IFERROR(DATE(VALUE(LEFT(INDEX(입력_구리근무자명단!$A$1:$GZ$303,$A156,$G$2+2),4)),VALUE(MID(INDEX(입력_구리근무자명단!$A$1:$GZ$303,$A156,$G$2+2),6,2)),VALUE(MID(INDEX(입력_구리근무자명단!$A$1:$GZ$303,$A156,$G$2+2),9,2))),IFERROR(DATEVALUE(SUBSTITUTE(TRIM(INDEX(입력_구리근무자명단!$A$1:$GZ$303,$A156,$G$2+2)),".","-")),"⚠"&amp;INDEX(입력_구리근무자명단!$A$1:$GZ$303,$A156,$G$2+2))))))</f>
        <v/>
      </c>
      <c r="G156" s="28">
        <f>IF($D156="","",IF(INDEX(입력_구리근무자명단!$A$1:$GZ$303,$A156,$G$2+3)="",EOMONTH(출력_요약!$B$3,0),IF(ISNUMBER(INDEX(입력_구리근무자명단!$A$1:$GZ$303,$A156,$G$2+3)),INDEX(입력_구리근무자명단!$A$1:$GZ$303,$A156,$G$2+3),IFERROR(DATE(VALUE(LEFT(INDEX(입력_구리근무자명단!$A$1:$GZ$303,$A156,$G$2+3),4)),VALUE(MID(INDEX(입력_구리근무자명단!$A$1:$GZ$303,$A156,$G$2+3),6,2)),VALUE(MID(INDEX(입력_구리근무자명단!$A$1:$GZ$303,$A156,$G$2+3),9,2))),IFERROR(DATEVALUE(SUBSTITUTE(TRIM(INDEX(입력_구리근무자명단!$A$1:$GZ$303,$A156,$G$2+3)),".","-")),"⚠"&amp;INDEX(입력_구리근무자명단!$A$1:$GZ$303,$A156,$G$2+3))))))</f>
        <v/>
      </c>
      <c r="H156" s="26">
        <f>IF($D156="","",IF(OR(NOT(ISNUMBER($F156)),NOT(ISNUMBER($G156))),0,MAX(0,MIN($G156,EOMONTH(출력_요약!$B$3,0))-MAX($F156,출력_요약!$B$3)+1)))</f>
        <v/>
      </c>
      <c r="I156" s="26">
        <f>IF($D156="","",TRIM(INDEX(입력_구리근무자명단!$A$1:$GZ$303,$A156,$G$2+5)&amp;""))</f>
        <v/>
      </c>
      <c r="J156" s="26">
        <f>IF($D156="","",IF(ISNUMBER(SEARCH("구리독자",$I156)),"구리독자",""))</f>
        <v/>
      </c>
      <c r="K156" s="29">
        <f>IF($D156="","",IF(COUNTIFS(입력_전공의명단!$C$2:$C$401,$D156,입력_전공의명단!$F$2:$F$401,IF(OR($C156="인턴",ISNUMBER(SEARCH("수련교육부",$B156))),"인턴",$B156))=1,MATCH($D156&amp;"|"&amp;IF(OR($C156="인턴",ISNUMBER(SEARCH("수련교육부",$B156))),"인턴",$B156),입력_전공의명단!$AP$2:$AP$401,0),IF(AND(COUNTIFS(입력_전공의명단!$C$2:$C$401,$D156,입력_전공의명단!$F$2:$F$401,IF(OR($C156="인턴",ISNUMBER(SEARCH("수련교육부",$B156))),"인턴",$B156))=0,COUNTIF(입력_전공의명단!$C$2:$C$401,$D156)=1),MATCH($D156,입력_전공의명단!$C$2:$C$401,0),"")))</f>
        <v/>
      </c>
      <c r="L156" s="26">
        <f>IF($D156="","",IF($K156&lt;&gt;"",IF(COUNTIFS(입력_전공의명단!$C$2:$C$401,$D156,입력_전공의명단!$F$2:$F$401,IF(OR($C156="인턴",ISNUMBER(SEARCH("수련교육부",$B156))),"인턴",$B156))=1,"명단 일치","명단 일치(이름만, 과 다름)"),IF(COUNTIF(입력_전공의명단!$C$2:$C$401,$D156)=0,IF(COUNTIF(입력_기본자료!$C$2:$C$1001,$D156)&gt;0,"명단에 없음(기본자료에는 있음)","명단에 없음"),"동명이인 확인")))</f>
        <v/>
      </c>
      <c r="N156" s="8" t="n">
        <v>151</v>
      </c>
      <c r="O156" s="8">
        <f>IF(ISNUMBER(SEARCH("근무예정자",(INDEX(입력_구리근무자명단!$A$3:$GZ$3,1,151)&amp;""))),IFERROR(VALUE(LEFT((INDEX(입력_구리근무자명단!$A$3:$GZ$3,1,151)&amp;""),4))*100+VALUE(MID((INDEX(입력_구리근무자명단!$A$3:$GZ$3,1,151)&amp;""),6,MIN(FIND("월",(INDEX(입력_구리근무자명단!$A$3:$GZ$3,1,151)&amp;"")&amp;"월"),FIND(CHAR(10),(INDEX(입력_구리근무자명단!$A$3:$GZ$3,1,151)&amp;"")&amp;CHAR(10)),FIND(" ",(INDEX(입력_구리근무자명단!$A$3:$GZ$3,1,151)&amp;"")&amp;" "))-6)),""),"")</f>
        <v/>
      </c>
    </row>
    <row r="157">
      <c r="A157" s="29" t="n">
        <v>155</v>
      </c>
      <c r="B157" s="26">
        <f>IF(TRIM(INDEX(입력_구리근무자명단!$A$1:$GZ$303,$A157,1)&amp;"")&lt;&gt;"",TRIM(INDEX(입력_구리근무자명단!$A$1:$GZ$303,$A157,1)&amp;""),B156)</f>
        <v/>
      </c>
      <c r="C157" s="26">
        <f>IF(INDEX(입력_구리근무자명단!$A$1:$GZ$303,$A157,2)="","",INDEX(입력_구리근무자명단!$A$1:$GZ$303,$A157,2))</f>
        <v/>
      </c>
      <c r="D157" s="26">
        <f>IF($G$2="","",TRIM(IF($I$2="확정",INDEX(입력_구리근무자명단!$A$1:$GZ$303,$A157,$G$2+1)&amp;"",INDEX(입력_구리근무자명단!$A$1:$GZ$303,$A157,$G$2+0)&amp;"")))</f>
        <v/>
      </c>
      <c r="E157" s="26">
        <f>IF($D157="","",$I$2)</f>
        <v/>
      </c>
      <c r="F157" s="28">
        <f>IF($D157="","",IF(INDEX(입력_구리근무자명단!$A$1:$GZ$303,$A157,$G$2+2)="",출력_요약!$B$3,IF(ISNUMBER(INDEX(입력_구리근무자명단!$A$1:$GZ$303,$A157,$G$2+2)),INDEX(입력_구리근무자명단!$A$1:$GZ$303,$A157,$G$2+2),IFERROR(DATE(VALUE(LEFT(INDEX(입력_구리근무자명단!$A$1:$GZ$303,$A157,$G$2+2),4)),VALUE(MID(INDEX(입력_구리근무자명단!$A$1:$GZ$303,$A157,$G$2+2),6,2)),VALUE(MID(INDEX(입력_구리근무자명단!$A$1:$GZ$303,$A157,$G$2+2),9,2))),IFERROR(DATEVALUE(SUBSTITUTE(TRIM(INDEX(입력_구리근무자명단!$A$1:$GZ$303,$A157,$G$2+2)),".","-")),"⚠"&amp;INDEX(입력_구리근무자명단!$A$1:$GZ$303,$A157,$G$2+2))))))</f>
        <v/>
      </c>
      <c r="G157" s="28">
        <f>IF($D157="","",IF(INDEX(입력_구리근무자명단!$A$1:$GZ$303,$A157,$G$2+3)="",EOMONTH(출력_요약!$B$3,0),IF(ISNUMBER(INDEX(입력_구리근무자명단!$A$1:$GZ$303,$A157,$G$2+3)),INDEX(입력_구리근무자명단!$A$1:$GZ$303,$A157,$G$2+3),IFERROR(DATE(VALUE(LEFT(INDEX(입력_구리근무자명단!$A$1:$GZ$303,$A157,$G$2+3),4)),VALUE(MID(INDEX(입력_구리근무자명단!$A$1:$GZ$303,$A157,$G$2+3),6,2)),VALUE(MID(INDEX(입력_구리근무자명단!$A$1:$GZ$303,$A157,$G$2+3),9,2))),IFERROR(DATEVALUE(SUBSTITUTE(TRIM(INDEX(입력_구리근무자명단!$A$1:$GZ$303,$A157,$G$2+3)),".","-")),"⚠"&amp;INDEX(입력_구리근무자명단!$A$1:$GZ$303,$A157,$G$2+3))))))</f>
        <v/>
      </c>
      <c r="H157" s="26">
        <f>IF($D157="","",IF(OR(NOT(ISNUMBER($F157)),NOT(ISNUMBER($G157))),0,MAX(0,MIN($G157,EOMONTH(출력_요약!$B$3,0))-MAX($F157,출력_요약!$B$3)+1)))</f>
        <v/>
      </c>
      <c r="I157" s="26">
        <f>IF($D157="","",TRIM(INDEX(입력_구리근무자명단!$A$1:$GZ$303,$A157,$G$2+5)&amp;""))</f>
        <v/>
      </c>
      <c r="J157" s="26">
        <f>IF($D157="","",IF(ISNUMBER(SEARCH("구리독자",$I157)),"구리독자",""))</f>
        <v/>
      </c>
      <c r="K157" s="29">
        <f>IF($D157="","",IF(COUNTIFS(입력_전공의명단!$C$2:$C$401,$D157,입력_전공의명단!$F$2:$F$401,IF(OR($C157="인턴",ISNUMBER(SEARCH("수련교육부",$B157))),"인턴",$B157))=1,MATCH($D157&amp;"|"&amp;IF(OR($C157="인턴",ISNUMBER(SEARCH("수련교육부",$B157))),"인턴",$B157),입력_전공의명단!$AP$2:$AP$401,0),IF(AND(COUNTIFS(입력_전공의명단!$C$2:$C$401,$D157,입력_전공의명단!$F$2:$F$401,IF(OR($C157="인턴",ISNUMBER(SEARCH("수련교육부",$B157))),"인턴",$B157))=0,COUNTIF(입력_전공의명단!$C$2:$C$401,$D157)=1),MATCH($D157,입력_전공의명단!$C$2:$C$401,0),"")))</f>
        <v/>
      </c>
      <c r="L157" s="26">
        <f>IF($D157="","",IF($K157&lt;&gt;"",IF(COUNTIFS(입력_전공의명단!$C$2:$C$401,$D157,입력_전공의명단!$F$2:$F$401,IF(OR($C157="인턴",ISNUMBER(SEARCH("수련교육부",$B157))),"인턴",$B157))=1,"명단 일치","명단 일치(이름만, 과 다름)"),IF(COUNTIF(입력_전공의명단!$C$2:$C$401,$D157)=0,IF(COUNTIF(입력_기본자료!$C$2:$C$1001,$D157)&gt;0,"명단에 없음(기본자료에는 있음)","명단에 없음"),"동명이인 확인")))</f>
        <v/>
      </c>
      <c r="N157" s="8" t="n">
        <v>152</v>
      </c>
      <c r="O157" s="8">
        <f>IF(ISNUMBER(SEARCH("근무예정자",(INDEX(입력_구리근무자명단!$A$3:$GZ$3,1,152)&amp;""))),IFERROR(VALUE(LEFT((INDEX(입력_구리근무자명단!$A$3:$GZ$3,1,152)&amp;""),4))*100+VALUE(MID((INDEX(입력_구리근무자명단!$A$3:$GZ$3,1,152)&amp;""),6,MIN(FIND("월",(INDEX(입력_구리근무자명단!$A$3:$GZ$3,1,152)&amp;"")&amp;"월"),FIND(CHAR(10),(INDEX(입력_구리근무자명단!$A$3:$GZ$3,1,152)&amp;"")&amp;CHAR(10)),FIND(" ",(INDEX(입력_구리근무자명단!$A$3:$GZ$3,1,152)&amp;"")&amp;" "))-6)),""),"")</f>
        <v/>
      </c>
    </row>
    <row r="158">
      <c r="A158" s="29" t="n">
        <v>156</v>
      </c>
      <c r="B158" s="26">
        <f>IF(TRIM(INDEX(입력_구리근무자명단!$A$1:$GZ$303,$A158,1)&amp;"")&lt;&gt;"",TRIM(INDEX(입력_구리근무자명단!$A$1:$GZ$303,$A158,1)&amp;""),B157)</f>
        <v/>
      </c>
      <c r="C158" s="26">
        <f>IF(INDEX(입력_구리근무자명단!$A$1:$GZ$303,$A158,2)="","",INDEX(입력_구리근무자명단!$A$1:$GZ$303,$A158,2))</f>
        <v/>
      </c>
      <c r="D158" s="26">
        <f>IF($G$2="","",TRIM(IF($I$2="확정",INDEX(입력_구리근무자명단!$A$1:$GZ$303,$A158,$G$2+1)&amp;"",INDEX(입력_구리근무자명단!$A$1:$GZ$303,$A158,$G$2+0)&amp;"")))</f>
        <v/>
      </c>
      <c r="E158" s="26">
        <f>IF($D158="","",$I$2)</f>
        <v/>
      </c>
      <c r="F158" s="28">
        <f>IF($D158="","",IF(INDEX(입력_구리근무자명단!$A$1:$GZ$303,$A158,$G$2+2)="",출력_요약!$B$3,IF(ISNUMBER(INDEX(입력_구리근무자명단!$A$1:$GZ$303,$A158,$G$2+2)),INDEX(입력_구리근무자명단!$A$1:$GZ$303,$A158,$G$2+2),IFERROR(DATE(VALUE(LEFT(INDEX(입력_구리근무자명단!$A$1:$GZ$303,$A158,$G$2+2),4)),VALUE(MID(INDEX(입력_구리근무자명단!$A$1:$GZ$303,$A158,$G$2+2),6,2)),VALUE(MID(INDEX(입력_구리근무자명단!$A$1:$GZ$303,$A158,$G$2+2),9,2))),IFERROR(DATEVALUE(SUBSTITUTE(TRIM(INDEX(입력_구리근무자명단!$A$1:$GZ$303,$A158,$G$2+2)),".","-")),"⚠"&amp;INDEX(입력_구리근무자명단!$A$1:$GZ$303,$A158,$G$2+2))))))</f>
        <v/>
      </c>
      <c r="G158" s="28">
        <f>IF($D158="","",IF(INDEX(입력_구리근무자명단!$A$1:$GZ$303,$A158,$G$2+3)="",EOMONTH(출력_요약!$B$3,0),IF(ISNUMBER(INDEX(입력_구리근무자명단!$A$1:$GZ$303,$A158,$G$2+3)),INDEX(입력_구리근무자명단!$A$1:$GZ$303,$A158,$G$2+3),IFERROR(DATE(VALUE(LEFT(INDEX(입력_구리근무자명단!$A$1:$GZ$303,$A158,$G$2+3),4)),VALUE(MID(INDEX(입력_구리근무자명단!$A$1:$GZ$303,$A158,$G$2+3),6,2)),VALUE(MID(INDEX(입력_구리근무자명단!$A$1:$GZ$303,$A158,$G$2+3),9,2))),IFERROR(DATEVALUE(SUBSTITUTE(TRIM(INDEX(입력_구리근무자명단!$A$1:$GZ$303,$A158,$G$2+3)),".","-")),"⚠"&amp;INDEX(입력_구리근무자명단!$A$1:$GZ$303,$A158,$G$2+3))))))</f>
        <v/>
      </c>
      <c r="H158" s="26">
        <f>IF($D158="","",IF(OR(NOT(ISNUMBER($F158)),NOT(ISNUMBER($G158))),0,MAX(0,MIN($G158,EOMONTH(출력_요약!$B$3,0))-MAX($F158,출력_요약!$B$3)+1)))</f>
        <v/>
      </c>
      <c r="I158" s="26">
        <f>IF($D158="","",TRIM(INDEX(입력_구리근무자명단!$A$1:$GZ$303,$A158,$G$2+5)&amp;""))</f>
        <v/>
      </c>
      <c r="J158" s="26">
        <f>IF($D158="","",IF(ISNUMBER(SEARCH("구리독자",$I158)),"구리독자",""))</f>
        <v/>
      </c>
      <c r="K158" s="29">
        <f>IF($D158="","",IF(COUNTIFS(입력_전공의명단!$C$2:$C$401,$D158,입력_전공의명단!$F$2:$F$401,IF(OR($C158="인턴",ISNUMBER(SEARCH("수련교육부",$B158))),"인턴",$B158))=1,MATCH($D158&amp;"|"&amp;IF(OR($C158="인턴",ISNUMBER(SEARCH("수련교육부",$B158))),"인턴",$B158),입력_전공의명단!$AP$2:$AP$401,0),IF(AND(COUNTIFS(입력_전공의명단!$C$2:$C$401,$D158,입력_전공의명단!$F$2:$F$401,IF(OR($C158="인턴",ISNUMBER(SEARCH("수련교육부",$B158))),"인턴",$B158))=0,COUNTIF(입력_전공의명단!$C$2:$C$401,$D158)=1),MATCH($D158,입력_전공의명단!$C$2:$C$401,0),"")))</f>
        <v/>
      </c>
      <c r="L158" s="26">
        <f>IF($D158="","",IF($K158&lt;&gt;"",IF(COUNTIFS(입력_전공의명단!$C$2:$C$401,$D158,입력_전공의명단!$F$2:$F$401,IF(OR($C158="인턴",ISNUMBER(SEARCH("수련교육부",$B158))),"인턴",$B158))=1,"명단 일치","명단 일치(이름만, 과 다름)"),IF(COUNTIF(입력_전공의명단!$C$2:$C$401,$D158)=0,IF(COUNTIF(입력_기본자료!$C$2:$C$1001,$D158)&gt;0,"명단에 없음(기본자료에는 있음)","명단에 없음"),"동명이인 확인")))</f>
        <v/>
      </c>
      <c r="N158" s="8" t="n">
        <v>153</v>
      </c>
      <c r="O158" s="8">
        <f>IF(ISNUMBER(SEARCH("근무예정자",(INDEX(입력_구리근무자명단!$A$3:$GZ$3,1,153)&amp;""))),IFERROR(VALUE(LEFT((INDEX(입력_구리근무자명단!$A$3:$GZ$3,1,153)&amp;""),4))*100+VALUE(MID((INDEX(입력_구리근무자명단!$A$3:$GZ$3,1,153)&amp;""),6,MIN(FIND("월",(INDEX(입력_구리근무자명단!$A$3:$GZ$3,1,153)&amp;"")&amp;"월"),FIND(CHAR(10),(INDEX(입력_구리근무자명단!$A$3:$GZ$3,1,153)&amp;"")&amp;CHAR(10)),FIND(" ",(INDEX(입력_구리근무자명단!$A$3:$GZ$3,1,153)&amp;"")&amp;" "))-6)),""),"")</f>
        <v/>
      </c>
    </row>
    <row r="159">
      <c r="A159" s="29" t="n">
        <v>157</v>
      </c>
      <c r="B159" s="26">
        <f>IF(TRIM(INDEX(입력_구리근무자명단!$A$1:$GZ$303,$A159,1)&amp;"")&lt;&gt;"",TRIM(INDEX(입력_구리근무자명단!$A$1:$GZ$303,$A159,1)&amp;""),B158)</f>
        <v/>
      </c>
      <c r="C159" s="26">
        <f>IF(INDEX(입력_구리근무자명단!$A$1:$GZ$303,$A159,2)="","",INDEX(입력_구리근무자명단!$A$1:$GZ$303,$A159,2))</f>
        <v/>
      </c>
      <c r="D159" s="26">
        <f>IF($G$2="","",TRIM(IF($I$2="확정",INDEX(입력_구리근무자명단!$A$1:$GZ$303,$A159,$G$2+1)&amp;"",INDEX(입력_구리근무자명단!$A$1:$GZ$303,$A159,$G$2+0)&amp;"")))</f>
        <v/>
      </c>
      <c r="E159" s="26">
        <f>IF($D159="","",$I$2)</f>
        <v/>
      </c>
      <c r="F159" s="28">
        <f>IF($D159="","",IF(INDEX(입력_구리근무자명단!$A$1:$GZ$303,$A159,$G$2+2)="",출력_요약!$B$3,IF(ISNUMBER(INDEX(입력_구리근무자명단!$A$1:$GZ$303,$A159,$G$2+2)),INDEX(입력_구리근무자명단!$A$1:$GZ$303,$A159,$G$2+2),IFERROR(DATE(VALUE(LEFT(INDEX(입력_구리근무자명단!$A$1:$GZ$303,$A159,$G$2+2),4)),VALUE(MID(INDEX(입력_구리근무자명단!$A$1:$GZ$303,$A159,$G$2+2),6,2)),VALUE(MID(INDEX(입력_구리근무자명단!$A$1:$GZ$303,$A159,$G$2+2),9,2))),IFERROR(DATEVALUE(SUBSTITUTE(TRIM(INDEX(입력_구리근무자명단!$A$1:$GZ$303,$A159,$G$2+2)),".","-")),"⚠"&amp;INDEX(입력_구리근무자명단!$A$1:$GZ$303,$A159,$G$2+2))))))</f>
        <v/>
      </c>
      <c r="G159" s="28">
        <f>IF($D159="","",IF(INDEX(입력_구리근무자명단!$A$1:$GZ$303,$A159,$G$2+3)="",EOMONTH(출력_요약!$B$3,0),IF(ISNUMBER(INDEX(입력_구리근무자명단!$A$1:$GZ$303,$A159,$G$2+3)),INDEX(입력_구리근무자명단!$A$1:$GZ$303,$A159,$G$2+3),IFERROR(DATE(VALUE(LEFT(INDEX(입력_구리근무자명단!$A$1:$GZ$303,$A159,$G$2+3),4)),VALUE(MID(INDEX(입력_구리근무자명단!$A$1:$GZ$303,$A159,$G$2+3),6,2)),VALUE(MID(INDEX(입력_구리근무자명단!$A$1:$GZ$303,$A159,$G$2+3),9,2))),IFERROR(DATEVALUE(SUBSTITUTE(TRIM(INDEX(입력_구리근무자명단!$A$1:$GZ$303,$A159,$G$2+3)),".","-")),"⚠"&amp;INDEX(입력_구리근무자명단!$A$1:$GZ$303,$A159,$G$2+3))))))</f>
        <v/>
      </c>
      <c r="H159" s="26">
        <f>IF($D159="","",IF(OR(NOT(ISNUMBER($F159)),NOT(ISNUMBER($G159))),0,MAX(0,MIN($G159,EOMONTH(출력_요약!$B$3,0))-MAX($F159,출력_요약!$B$3)+1)))</f>
        <v/>
      </c>
      <c r="I159" s="26">
        <f>IF($D159="","",TRIM(INDEX(입력_구리근무자명단!$A$1:$GZ$303,$A159,$G$2+5)&amp;""))</f>
        <v/>
      </c>
      <c r="J159" s="26">
        <f>IF($D159="","",IF(ISNUMBER(SEARCH("구리독자",$I159)),"구리독자",""))</f>
        <v/>
      </c>
      <c r="K159" s="29">
        <f>IF($D159="","",IF(COUNTIFS(입력_전공의명단!$C$2:$C$401,$D159,입력_전공의명단!$F$2:$F$401,IF(OR($C159="인턴",ISNUMBER(SEARCH("수련교육부",$B159))),"인턴",$B159))=1,MATCH($D159&amp;"|"&amp;IF(OR($C159="인턴",ISNUMBER(SEARCH("수련교육부",$B159))),"인턴",$B159),입력_전공의명단!$AP$2:$AP$401,0),IF(AND(COUNTIFS(입력_전공의명단!$C$2:$C$401,$D159,입력_전공의명단!$F$2:$F$401,IF(OR($C159="인턴",ISNUMBER(SEARCH("수련교육부",$B159))),"인턴",$B159))=0,COUNTIF(입력_전공의명단!$C$2:$C$401,$D159)=1),MATCH($D159,입력_전공의명단!$C$2:$C$401,0),"")))</f>
        <v/>
      </c>
      <c r="L159" s="26">
        <f>IF($D159="","",IF($K159&lt;&gt;"",IF(COUNTIFS(입력_전공의명단!$C$2:$C$401,$D159,입력_전공의명단!$F$2:$F$401,IF(OR($C159="인턴",ISNUMBER(SEARCH("수련교육부",$B159))),"인턴",$B159))=1,"명단 일치","명단 일치(이름만, 과 다름)"),IF(COUNTIF(입력_전공의명단!$C$2:$C$401,$D159)=0,IF(COUNTIF(입력_기본자료!$C$2:$C$1001,$D159)&gt;0,"명단에 없음(기본자료에는 있음)","명단에 없음"),"동명이인 확인")))</f>
        <v/>
      </c>
      <c r="N159" s="8" t="n">
        <v>154</v>
      </c>
      <c r="O159" s="8">
        <f>IF(ISNUMBER(SEARCH("근무예정자",(INDEX(입력_구리근무자명단!$A$3:$GZ$3,1,154)&amp;""))),IFERROR(VALUE(LEFT((INDEX(입력_구리근무자명단!$A$3:$GZ$3,1,154)&amp;""),4))*100+VALUE(MID((INDEX(입력_구리근무자명단!$A$3:$GZ$3,1,154)&amp;""),6,MIN(FIND("월",(INDEX(입력_구리근무자명단!$A$3:$GZ$3,1,154)&amp;"")&amp;"월"),FIND(CHAR(10),(INDEX(입력_구리근무자명단!$A$3:$GZ$3,1,154)&amp;"")&amp;CHAR(10)),FIND(" ",(INDEX(입력_구리근무자명단!$A$3:$GZ$3,1,154)&amp;"")&amp;" "))-6)),""),"")</f>
        <v/>
      </c>
    </row>
    <row r="160">
      <c r="A160" s="29" t="n">
        <v>158</v>
      </c>
      <c r="B160" s="26">
        <f>IF(TRIM(INDEX(입력_구리근무자명단!$A$1:$GZ$303,$A160,1)&amp;"")&lt;&gt;"",TRIM(INDEX(입력_구리근무자명단!$A$1:$GZ$303,$A160,1)&amp;""),B159)</f>
        <v/>
      </c>
      <c r="C160" s="26">
        <f>IF(INDEX(입력_구리근무자명단!$A$1:$GZ$303,$A160,2)="","",INDEX(입력_구리근무자명단!$A$1:$GZ$303,$A160,2))</f>
        <v/>
      </c>
      <c r="D160" s="26">
        <f>IF($G$2="","",TRIM(IF($I$2="확정",INDEX(입력_구리근무자명단!$A$1:$GZ$303,$A160,$G$2+1)&amp;"",INDEX(입력_구리근무자명단!$A$1:$GZ$303,$A160,$G$2+0)&amp;"")))</f>
        <v/>
      </c>
      <c r="E160" s="26">
        <f>IF($D160="","",$I$2)</f>
        <v/>
      </c>
      <c r="F160" s="28">
        <f>IF($D160="","",IF(INDEX(입력_구리근무자명단!$A$1:$GZ$303,$A160,$G$2+2)="",출력_요약!$B$3,IF(ISNUMBER(INDEX(입력_구리근무자명단!$A$1:$GZ$303,$A160,$G$2+2)),INDEX(입력_구리근무자명단!$A$1:$GZ$303,$A160,$G$2+2),IFERROR(DATE(VALUE(LEFT(INDEX(입력_구리근무자명단!$A$1:$GZ$303,$A160,$G$2+2),4)),VALUE(MID(INDEX(입력_구리근무자명단!$A$1:$GZ$303,$A160,$G$2+2),6,2)),VALUE(MID(INDEX(입력_구리근무자명단!$A$1:$GZ$303,$A160,$G$2+2),9,2))),IFERROR(DATEVALUE(SUBSTITUTE(TRIM(INDEX(입력_구리근무자명단!$A$1:$GZ$303,$A160,$G$2+2)),".","-")),"⚠"&amp;INDEX(입력_구리근무자명단!$A$1:$GZ$303,$A160,$G$2+2))))))</f>
        <v/>
      </c>
      <c r="G160" s="28">
        <f>IF($D160="","",IF(INDEX(입력_구리근무자명단!$A$1:$GZ$303,$A160,$G$2+3)="",EOMONTH(출력_요약!$B$3,0),IF(ISNUMBER(INDEX(입력_구리근무자명단!$A$1:$GZ$303,$A160,$G$2+3)),INDEX(입력_구리근무자명단!$A$1:$GZ$303,$A160,$G$2+3),IFERROR(DATE(VALUE(LEFT(INDEX(입력_구리근무자명단!$A$1:$GZ$303,$A160,$G$2+3),4)),VALUE(MID(INDEX(입력_구리근무자명단!$A$1:$GZ$303,$A160,$G$2+3),6,2)),VALUE(MID(INDEX(입력_구리근무자명단!$A$1:$GZ$303,$A160,$G$2+3),9,2))),IFERROR(DATEVALUE(SUBSTITUTE(TRIM(INDEX(입력_구리근무자명단!$A$1:$GZ$303,$A160,$G$2+3)),".","-")),"⚠"&amp;INDEX(입력_구리근무자명단!$A$1:$GZ$303,$A160,$G$2+3))))))</f>
        <v/>
      </c>
      <c r="H160" s="26">
        <f>IF($D160="","",IF(OR(NOT(ISNUMBER($F160)),NOT(ISNUMBER($G160))),0,MAX(0,MIN($G160,EOMONTH(출력_요약!$B$3,0))-MAX($F160,출력_요약!$B$3)+1)))</f>
        <v/>
      </c>
      <c r="I160" s="26">
        <f>IF($D160="","",TRIM(INDEX(입력_구리근무자명단!$A$1:$GZ$303,$A160,$G$2+5)&amp;""))</f>
        <v/>
      </c>
      <c r="J160" s="26">
        <f>IF($D160="","",IF(ISNUMBER(SEARCH("구리독자",$I160)),"구리독자",""))</f>
        <v/>
      </c>
      <c r="K160" s="29">
        <f>IF($D160="","",IF(COUNTIFS(입력_전공의명단!$C$2:$C$401,$D160,입력_전공의명단!$F$2:$F$401,IF(OR($C160="인턴",ISNUMBER(SEARCH("수련교육부",$B160))),"인턴",$B160))=1,MATCH($D160&amp;"|"&amp;IF(OR($C160="인턴",ISNUMBER(SEARCH("수련교육부",$B160))),"인턴",$B160),입력_전공의명단!$AP$2:$AP$401,0),IF(AND(COUNTIFS(입력_전공의명단!$C$2:$C$401,$D160,입력_전공의명단!$F$2:$F$401,IF(OR($C160="인턴",ISNUMBER(SEARCH("수련교육부",$B160))),"인턴",$B160))=0,COUNTIF(입력_전공의명단!$C$2:$C$401,$D160)=1),MATCH($D160,입력_전공의명단!$C$2:$C$401,0),"")))</f>
        <v/>
      </c>
      <c r="L160" s="26">
        <f>IF($D160="","",IF($K160&lt;&gt;"",IF(COUNTIFS(입력_전공의명단!$C$2:$C$401,$D160,입력_전공의명단!$F$2:$F$401,IF(OR($C160="인턴",ISNUMBER(SEARCH("수련교육부",$B160))),"인턴",$B160))=1,"명단 일치","명단 일치(이름만, 과 다름)"),IF(COUNTIF(입력_전공의명단!$C$2:$C$401,$D160)=0,IF(COUNTIF(입력_기본자료!$C$2:$C$1001,$D160)&gt;0,"명단에 없음(기본자료에는 있음)","명단에 없음"),"동명이인 확인")))</f>
        <v/>
      </c>
      <c r="N160" s="8" t="n">
        <v>155</v>
      </c>
      <c r="O160" s="8">
        <f>IF(ISNUMBER(SEARCH("근무예정자",(INDEX(입력_구리근무자명단!$A$3:$GZ$3,1,155)&amp;""))),IFERROR(VALUE(LEFT((INDEX(입력_구리근무자명단!$A$3:$GZ$3,1,155)&amp;""),4))*100+VALUE(MID((INDEX(입력_구리근무자명단!$A$3:$GZ$3,1,155)&amp;""),6,MIN(FIND("월",(INDEX(입력_구리근무자명단!$A$3:$GZ$3,1,155)&amp;"")&amp;"월"),FIND(CHAR(10),(INDEX(입력_구리근무자명단!$A$3:$GZ$3,1,155)&amp;"")&amp;CHAR(10)),FIND(" ",(INDEX(입력_구리근무자명단!$A$3:$GZ$3,1,155)&amp;"")&amp;" "))-6)),""),"")</f>
        <v/>
      </c>
    </row>
    <row r="161">
      <c r="A161" s="29" t="n">
        <v>159</v>
      </c>
      <c r="B161" s="26">
        <f>IF(TRIM(INDEX(입력_구리근무자명단!$A$1:$GZ$303,$A161,1)&amp;"")&lt;&gt;"",TRIM(INDEX(입력_구리근무자명단!$A$1:$GZ$303,$A161,1)&amp;""),B160)</f>
        <v/>
      </c>
      <c r="C161" s="26">
        <f>IF(INDEX(입력_구리근무자명단!$A$1:$GZ$303,$A161,2)="","",INDEX(입력_구리근무자명단!$A$1:$GZ$303,$A161,2))</f>
        <v/>
      </c>
      <c r="D161" s="26">
        <f>IF($G$2="","",TRIM(IF($I$2="확정",INDEX(입력_구리근무자명단!$A$1:$GZ$303,$A161,$G$2+1)&amp;"",INDEX(입력_구리근무자명단!$A$1:$GZ$303,$A161,$G$2+0)&amp;"")))</f>
        <v/>
      </c>
      <c r="E161" s="26">
        <f>IF($D161="","",$I$2)</f>
        <v/>
      </c>
      <c r="F161" s="28">
        <f>IF($D161="","",IF(INDEX(입력_구리근무자명단!$A$1:$GZ$303,$A161,$G$2+2)="",출력_요약!$B$3,IF(ISNUMBER(INDEX(입력_구리근무자명단!$A$1:$GZ$303,$A161,$G$2+2)),INDEX(입력_구리근무자명단!$A$1:$GZ$303,$A161,$G$2+2),IFERROR(DATE(VALUE(LEFT(INDEX(입력_구리근무자명단!$A$1:$GZ$303,$A161,$G$2+2),4)),VALUE(MID(INDEX(입력_구리근무자명단!$A$1:$GZ$303,$A161,$G$2+2),6,2)),VALUE(MID(INDEX(입력_구리근무자명단!$A$1:$GZ$303,$A161,$G$2+2),9,2))),IFERROR(DATEVALUE(SUBSTITUTE(TRIM(INDEX(입력_구리근무자명단!$A$1:$GZ$303,$A161,$G$2+2)),".","-")),"⚠"&amp;INDEX(입력_구리근무자명단!$A$1:$GZ$303,$A161,$G$2+2))))))</f>
        <v/>
      </c>
      <c r="G161" s="28">
        <f>IF($D161="","",IF(INDEX(입력_구리근무자명단!$A$1:$GZ$303,$A161,$G$2+3)="",EOMONTH(출력_요약!$B$3,0),IF(ISNUMBER(INDEX(입력_구리근무자명단!$A$1:$GZ$303,$A161,$G$2+3)),INDEX(입력_구리근무자명단!$A$1:$GZ$303,$A161,$G$2+3),IFERROR(DATE(VALUE(LEFT(INDEX(입력_구리근무자명단!$A$1:$GZ$303,$A161,$G$2+3),4)),VALUE(MID(INDEX(입력_구리근무자명단!$A$1:$GZ$303,$A161,$G$2+3),6,2)),VALUE(MID(INDEX(입력_구리근무자명단!$A$1:$GZ$303,$A161,$G$2+3),9,2))),IFERROR(DATEVALUE(SUBSTITUTE(TRIM(INDEX(입력_구리근무자명단!$A$1:$GZ$303,$A161,$G$2+3)),".","-")),"⚠"&amp;INDEX(입력_구리근무자명단!$A$1:$GZ$303,$A161,$G$2+3))))))</f>
        <v/>
      </c>
      <c r="H161" s="26">
        <f>IF($D161="","",IF(OR(NOT(ISNUMBER($F161)),NOT(ISNUMBER($G161))),0,MAX(0,MIN($G161,EOMONTH(출력_요약!$B$3,0))-MAX($F161,출력_요약!$B$3)+1)))</f>
        <v/>
      </c>
      <c r="I161" s="26">
        <f>IF($D161="","",TRIM(INDEX(입력_구리근무자명단!$A$1:$GZ$303,$A161,$G$2+5)&amp;""))</f>
        <v/>
      </c>
      <c r="J161" s="26">
        <f>IF($D161="","",IF(ISNUMBER(SEARCH("구리독자",$I161)),"구리독자",""))</f>
        <v/>
      </c>
      <c r="K161" s="29">
        <f>IF($D161="","",IF(COUNTIFS(입력_전공의명단!$C$2:$C$401,$D161,입력_전공의명단!$F$2:$F$401,IF(OR($C161="인턴",ISNUMBER(SEARCH("수련교육부",$B161))),"인턴",$B161))=1,MATCH($D161&amp;"|"&amp;IF(OR($C161="인턴",ISNUMBER(SEARCH("수련교육부",$B161))),"인턴",$B161),입력_전공의명단!$AP$2:$AP$401,0),IF(AND(COUNTIFS(입력_전공의명단!$C$2:$C$401,$D161,입력_전공의명단!$F$2:$F$401,IF(OR($C161="인턴",ISNUMBER(SEARCH("수련교육부",$B161))),"인턴",$B161))=0,COUNTIF(입력_전공의명단!$C$2:$C$401,$D161)=1),MATCH($D161,입력_전공의명단!$C$2:$C$401,0),"")))</f>
        <v/>
      </c>
      <c r="L161" s="26">
        <f>IF($D161="","",IF($K161&lt;&gt;"",IF(COUNTIFS(입력_전공의명단!$C$2:$C$401,$D161,입력_전공의명단!$F$2:$F$401,IF(OR($C161="인턴",ISNUMBER(SEARCH("수련교육부",$B161))),"인턴",$B161))=1,"명단 일치","명단 일치(이름만, 과 다름)"),IF(COUNTIF(입력_전공의명단!$C$2:$C$401,$D161)=0,IF(COUNTIF(입력_기본자료!$C$2:$C$1001,$D161)&gt;0,"명단에 없음(기본자료에는 있음)","명단에 없음"),"동명이인 확인")))</f>
        <v/>
      </c>
      <c r="N161" s="8" t="n">
        <v>156</v>
      </c>
      <c r="O161" s="8">
        <f>IF(ISNUMBER(SEARCH("근무예정자",(INDEX(입력_구리근무자명단!$A$3:$GZ$3,1,156)&amp;""))),IFERROR(VALUE(LEFT((INDEX(입력_구리근무자명단!$A$3:$GZ$3,1,156)&amp;""),4))*100+VALUE(MID((INDEX(입력_구리근무자명단!$A$3:$GZ$3,1,156)&amp;""),6,MIN(FIND("월",(INDEX(입력_구리근무자명단!$A$3:$GZ$3,1,156)&amp;"")&amp;"월"),FIND(CHAR(10),(INDEX(입력_구리근무자명단!$A$3:$GZ$3,1,156)&amp;"")&amp;CHAR(10)),FIND(" ",(INDEX(입력_구리근무자명단!$A$3:$GZ$3,1,156)&amp;"")&amp;" "))-6)),""),"")</f>
        <v/>
      </c>
    </row>
    <row r="162">
      <c r="A162" s="29" t="n">
        <v>160</v>
      </c>
      <c r="B162" s="26">
        <f>IF(TRIM(INDEX(입력_구리근무자명단!$A$1:$GZ$303,$A162,1)&amp;"")&lt;&gt;"",TRIM(INDEX(입력_구리근무자명단!$A$1:$GZ$303,$A162,1)&amp;""),B161)</f>
        <v/>
      </c>
      <c r="C162" s="26">
        <f>IF(INDEX(입력_구리근무자명단!$A$1:$GZ$303,$A162,2)="","",INDEX(입력_구리근무자명단!$A$1:$GZ$303,$A162,2))</f>
        <v/>
      </c>
      <c r="D162" s="26">
        <f>IF($G$2="","",TRIM(IF($I$2="확정",INDEX(입력_구리근무자명단!$A$1:$GZ$303,$A162,$G$2+1)&amp;"",INDEX(입력_구리근무자명단!$A$1:$GZ$303,$A162,$G$2+0)&amp;"")))</f>
        <v/>
      </c>
      <c r="E162" s="26">
        <f>IF($D162="","",$I$2)</f>
        <v/>
      </c>
      <c r="F162" s="28">
        <f>IF($D162="","",IF(INDEX(입력_구리근무자명단!$A$1:$GZ$303,$A162,$G$2+2)="",출력_요약!$B$3,IF(ISNUMBER(INDEX(입력_구리근무자명단!$A$1:$GZ$303,$A162,$G$2+2)),INDEX(입력_구리근무자명단!$A$1:$GZ$303,$A162,$G$2+2),IFERROR(DATE(VALUE(LEFT(INDEX(입력_구리근무자명단!$A$1:$GZ$303,$A162,$G$2+2),4)),VALUE(MID(INDEX(입력_구리근무자명단!$A$1:$GZ$303,$A162,$G$2+2),6,2)),VALUE(MID(INDEX(입력_구리근무자명단!$A$1:$GZ$303,$A162,$G$2+2),9,2))),IFERROR(DATEVALUE(SUBSTITUTE(TRIM(INDEX(입력_구리근무자명단!$A$1:$GZ$303,$A162,$G$2+2)),".","-")),"⚠"&amp;INDEX(입력_구리근무자명단!$A$1:$GZ$303,$A162,$G$2+2))))))</f>
        <v/>
      </c>
      <c r="G162" s="28">
        <f>IF($D162="","",IF(INDEX(입력_구리근무자명단!$A$1:$GZ$303,$A162,$G$2+3)="",EOMONTH(출력_요약!$B$3,0),IF(ISNUMBER(INDEX(입력_구리근무자명단!$A$1:$GZ$303,$A162,$G$2+3)),INDEX(입력_구리근무자명단!$A$1:$GZ$303,$A162,$G$2+3),IFERROR(DATE(VALUE(LEFT(INDEX(입력_구리근무자명단!$A$1:$GZ$303,$A162,$G$2+3),4)),VALUE(MID(INDEX(입력_구리근무자명단!$A$1:$GZ$303,$A162,$G$2+3),6,2)),VALUE(MID(INDEX(입력_구리근무자명단!$A$1:$GZ$303,$A162,$G$2+3),9,2))),IFERROR(DATEVALUE(SUBSTITUTE(TRIM(INDEX(입력_구리근무자명단!$A$1:$GZ$303,$A162,$G$2+3)),".","-")),"⚠"&amp;INDEX(입력_구리근무자명단!$A$1:$GZ$303,$A162,$G$2+3))))))</f>
        <v/>
      </c>
      <c r="H162" s="26">
        <f>IF($D162="","",IF(OR(NOT(ISNUMBER($F162)),NOT(ISNUMBER($G162))),0,MAX(0,MIN($G162,EOMONTH(출력_요약!$B$3,0))-MAX($F162,출력_요약!$B$3)+1)))</f>
        <v/>
      </c>
      <c r="I162" s="26">
        <f>IF($D162="","",TRIM(INDEX(입력_구리근무자명단!$A$1:$GZ$303,$A162,$G$2+5)&amp;""))</f>
        <v/>
      </c>
      <c r="J162" s="26">
        <f>IF($D162="","",IF(ISNUMBER(SEARCH("구리독자",$I162)),"구리독자",""))</f>
        <v/>
      </c>
      <c r="K162" s="29">
        <f>IF($D162="","",IF(COUNTIFS(입력_전공의명단!$C$2:$C$401,$D162,입력_전공의명단!$F$2:$F$401,IF(OR($C162="인턴",ISNUMBER(SEARCH("수련교육부",$B162))),"인턴",$B162))=1,MATCH($D162&amp;"|"&amp;IF(OR($C162="인턴",ISNUMBER(SEARCH("수련교육부",$B162))),"인턴",$B162),입력_전공의명단!$AP$2:$AP$401,0),IF(AND(COUNTIFS(입력_전공의명단!$C$2:$C$401,$D162,입력_전공의명단!$F$2:$F$401,IF(OR($C162="인턴",ISNUMBER(SEARCH("수련교육부",$B162))),"인턴",$B162))=0,COUNTIF(입력_전공의명단!$C$2:$C$401,$D162)=1),MATCH($D162,입력_전공의명단!$C$2:$C$401,0),"")))</f>
        <v/>
      </c>
      <c r="L162" s="26">
        <f>IF($D162="","",IF($K162&lt;&gt;"",IF(COUNTIFS(입력_전공의명단!$C$2:$C$401,$D162,입력_전공의명단!$F$2:$F$401,IF(OR($C162="인턴",ISNUMBER(SEARCH("수련교육부",$B162))),"인턴",$B162))=1,"명단 일치","명단 일치(이름만, 과 다름)"),IF(COUNTIF(입력_전공의명단!$C$2:$C$401,$D162)=0,IF(COUNTIF(입력_기본자료!$C$2:$C$1001,$D162)&gt;0,"명단에 없음(기본자료에는 있음)","명단에 없음"),"동명이인 확인")))</f>
        <v/>
      </c>
      <c r="N162" s="8" t="n">
        <v>157</v>
      </c>
      <c r="O162" s="8">
        <f>IF(ISNUMBER(SEARCH("근무예정자",(INDEX(입력_구리근무자명단!$A$3:$GZ$3,1,157)&amp;""))),IFERROR(VALUE(LEFT((INDEX(입력_구리근무자명단!$A$3:$GZ$3,1,157)&amp;""),4))*100+VALUE(MID((INDEX(입력_구리근무자명단!$A$3:$GZ$3,1,157)&amp;""),6,MIN(FIND("월",(INDEX(입력_구리근무자명단!$A$3:$GZ$3,1,157)&amp;"")&amp;"월"),FIND(CHAR(10),(INDEX(입력_구리근무자명단!$A$3:$GZ$3,1,157)&amp;"")&amp;CHAR(10)),FIND(" ",(INDEX(입력_구리근무자명단!$A$3:$GZ$3,1,157)&amp;"")&amp;" "))-6)),""),"")</f>
        <v/>
      </c>
    </row>
    <row r="163">
      <c r="A163" s="29" t="n">
        <v>161</v>
      </c>
      <c r="B163" s="26">
        <f>IF(TRIM(INDEX(입력_구리근무자명단!$A$1:$GZ$303,$A163,1)&amp;"")&lt;&gt;"",TRIM(INDEX(입력_구리근무자명단!$A$1:$GZ$303,$A163,1)&amp;""),B162)</f>
        <v/>
      </c>
      <c r="C163" s="26">
        <f>IF(INDEX(입력_구리근무자명단!$A$1:$GZ$303,$A163,2)="","",INDEX(입력_구리근무자명단!$A$1:$GZ$303,$A163,2))</f>
        <v/>
      </c>
      <c r="D163" s="26">
        <f>IF($G$2="","",TRIM(IF($I$2="확정",INDEX(입력_구리근무자명단!$A$1:$GZ$303,$A163,$G$2+1)&amp;"",INDEX(입력_구리근무자명단!$A$1:$GZ$303,$A163,$G$2+0)&amp;"")))</f>
        <v/>
      </c>
      <c r="E163" s="26">
        <f>IF($D163="","",$I$2)</f>
        <v/>
      </c>
      <c r="F163" s="28">
        <f>IF($D163="","",IF(INDEX(입력_구리근무자명단!$A$1:$GZ$303,$A163,$G$2+2)="",출력_요약!$B$3,IF(ISNUMBER(INDEX(입력_구리근무자명단!$A$1:$GZ$303,$A163,$G$2+2)),INDEX(입력_구리근무자명단!$A$1:$GZ$303,$A163,$G$2+2),IFERROR(DATE(VALUE(LEFT(INDEX(입력_구리근무자명단!$A$1:$GZ$303,$A163,$G$2+2),4)),VALUE(MID(INDEX(입력_구리근무자명단!$A$1:$GZ$303,$A163,$G$2+2),6,2)),VALUE(MID(INDEX(입력_구리근무자명단!$A$1:$GZ$303,$A163,$G$2+2),9,2))),IFERROR(DATEVALUE(SUBSTITUTE(TRIM(INDEX(입력_구리근무자명단!$A$1:$GZ$303,$A163,$G$2+2)),".","-")),"⚠"&amp;INDEX(입력_구리근무자명단!$A$1:$GZ$303,$A163,$G$2+2))))))</f>
        <v/>
      </c>
      <c r="G163" s="28">
        <f>IF($D163="","",IF(INDEX(입력_구리근무자명단!$A$1:$GZ$303,$A163,$G$2+3)="",EOMONTH(출력_요약!$B$3,0),IF(ISNUMBER(INDEX(입력_구리근무자명단!$A$1:$GZ$303,$A163,$G$2+3)),INDEX(입력_구리근무자명단!$A$1:$GZ$303,$A163,$G$2+3),IFERROR(DATE(VALUE(LEFT(INDEX(입력_구리근무자명단!$A$1:$GZ$303,$A163,$G$2+3),4)),VALUE(MID(INDEX(입력_구리근무자명단!$A$1:$GZ$303,$A163,$G$2+3),6,2)),VALUE(MID(INDEX(입력_구리근무자명단!$A$1:$GZ$303,$A163,$G$2+3),9,2))),IFERROR(DATEVALUE(SUBSTITUTE(TRIM(INDEX(입력_구리근무자명단!$A$1:$GZ$303,$A163,$G$2+3)),".","-")),"⚠"&amp;INDEX(입력_구리근무자명단!$A$1:$GZ$303,$A163,$G$2+3))))))</f>
        <v/>
      </c>
      <c r="H163" s="26">
        <f>IF($D163="","",IF(OR(NOT(ISNUMBER($F163)),NOT(ISNUMBER($G163))),0,MAX(0,MIN($G163,EOMONTH(출력_요약!$B$3,0))-MAX($F163,출력_요약!$B$3)+1)))</f>
        <v/>
      </c>
      <c r="I163" s="26">
        <f>IF($D163="","",TRIM(INDEX(입력_구리근무자명단!$A$1:$GZ$303,$A163,$G$2+5)&amp;""))</f>
        <v/>
      </c>
      <c r="J163" s="26">
        <f>IF($D163="","",IF(ISNUMBER(SEARCH("구리독자",$I163)),"구리독자",""))</f>
        <v/>
      </c>
      <c r="K163" s="29">
        <f>IF($D163="","",IF(COUNTIFS(입력_전공의명단!$C$2:$C$401,$D163,입력_전공의명단!$F$2:$F$401,IF(OR($C163="인턴",ISNUMBER(SEARCH("수련교육부",$B163))),"인턴",$B163))=1,MATCH($D163&amp;"|"&amp;IF(OR($C163="인턴",ISNUMBER(SEARCH("수련교육부",$B163))),"인턴",$B163),입력_전공의명단!$AP$2:$AP$401,0),IF(AND(COUNTIFS(입력_전공의명단!$C$2:$C$401,$D163,입력_전공의명단!$F$2:$F$401,IF(OR($C163="인턴",ISNUMBER(SEARCH("수련교육부",$B163))),"인턴",$B163))=0,COUNTIF(입력_전공의명단!$C$2:$C$401,$D163)=1),MATCH($D163,입력_전공의명단!$C$2:$C$401,0),"")))</f>
        <v/>
      </c>
      <c r="L163" s="26">
        <f>IF($D163="","",IF($K163&lt;&gt;"",IF(COUNTIFS(입력_전공의명단!$C$2:$C$401,$D163,입력_전공의명단!$F$2:$F$401,IF(OR($C163="인턴",ISNUMBER(SEARCH("수련교육부",$B163))),"인턴",$B163))=1,"명단 일치","명단 일치(이름만, 과 다름)"),IF(COUNTIF(입력_전공의명단!$C$2:$C$401,$D163)=0,IF(COUNTIF(입력_기본자료!$C$2:$C$1001,$D163)&gt;0,"명단에 없음(기본자료에는 있음)","명단에 없음"),"동명이인 확인")))</f>
        <v/>
      </c>
      <c r="N163" s="8" t="n">
        <v>158</v>
      </c>
      <c r="O163" s="8">
        <f>IF(ISNUMBER(SEARCH("근무예정자",(INDEX(입력_구리근무자명단!$A$3:$GZ$3,1,158)&amp;""))),IFERROR(VALUE(LEFT((INDEX(입력_구리근무자명단!$A$3:$GZ$3,1,158)&amp;""),4))*100+VALUE(MID((INDEX(입력_구리근무자명단!$A$3:$GZ$3,1,158)&amp;""),6,MIN(FIND("월",(INDEX(입력_구리근무자명단!$A$3:$GZ$3,1,158)&amp;"")&amp;"월"),FIND(CHAR(10),(INDEX(입력_구리근무자명단!$A$3:$GZ$3,1,158)&amp;"")&amp;CHAR(10)),FIND(" ",(INDEX(입력_구리근무자명단!$A$3:$GZ$3,1,158)&amp;"")&amp;" "))-6)),""),"")</f>
        <v/>
      </c>
    </row>
    <row r="164">
      <c r="A164" s="29" t="n">
        <v>162</v>
      </c>
      <c r="B164" s="26">
        <f>IF(TRIM(INDEX(입력_구리근무자명단!$A$1:$GZ$303,$A164,1)&amp;"")&lt;&gt;"",TRIM(INDEX(입력_구리근무자명단!$A$1:$GZ$303,$A164,1)&amp;""),B163)</f>
        <v/>
      </c>
      <c r="C164" s="26">
        <f>IF(INDEX(입력_구리근무자명단!$A$1:$GZ$303,$A164,2)="","",INDEX(입력_구리근무자명단!$A$1:$GZ$303,$A164,2))</f>
        <v/>
      </c>
      <c r="D164" s="26">
        <f>IF($G$2="","",TRIM(IF($I$2="확정",INDEX(입력_구리근무자명단!$A$1:$GZ$303,$A164,$G$2+1)&amp;"",INDEX(입력_구리근무자명단!$A$1:$GZ$303,$A164,$G$2+0)&amp;"")))</f>
        <v/>
      </c>
      <c r="E164" s="26">
        <f>IF($D164="","",$I$2)</f>
        <v/>
      </c>
      <c r="F164" s="28">
        <f>IF($D164="","",IF(INDEX(입력_구리근무자명단!$A$1:$GZ$303,$A164,$G$2+2)="",출력_요약!$B$3,IF(ISNUMBER(INDEX(입력_구리근무자명단!$A$1:$GZ$303,$A164,$G$2+2)),INDEX(입력_구리근무자명단!$A$1:$GZ$303,$A164,$G$2+2),IFERROR(DATE(VALUE(LEFT(INDEX(입력_구리근무자명단!$A$1:$GZ$303,$A164,$G$2+2),4)),VALUE(MID(INDEX(입력_구리근무자명단!$A$1:$GZ$303,$A164,$G$2+2),6,2)),VALUE(MID(INDEX(입력_구리근무자명단!$A$1:$GZ$303,$A164,$G$2+2),9,2))),IFERROR(DATEVALUE(SUBSTITUTE(TRIM(INDEX(입력_구리근무자명단!$A$1:$GZ$303,$A164,$G$2+2)),".","-")),"⚠"&amp;INDEX(입력_구리근무자명단!$A$1:$GZ$303,$A164,$G$2+2))))))</f>
        <v/>
      </c>
      <c r="G164" s="28">
        <f>IF($D164="","",IF(INDEX(입력_구리근무자명단!$A$1:$GZ$303,$A164,$G$2+3)="",EOMONTH(출력_요약!$B$3,0),IF(ISNUMBER(INDEX(입력_구리근무자명단!$A$1:$GZ$303,$A164,$G$2+3)),INDEX(입력_구리근무자명단!$A$1:$GZ$303,$A164,$G$2+3),IFERROR(DATE(VALUE(LEFT(INDEX(입력_구리근무자명단!$A$1:$GZ$303,$A164,$G$2+3),4)),VALUE(MID(INDEX(입력_구리근무자명단!$A$1:$GZ$303,$A164,$G$2+3),6,2)),VALUE(MID(INDEX(입력_구리근무자명단!$A$1:$GZ$303,$A164,$G$2+3),9,2))),IFERROR(DATEVALUE(SUBSTITUTE(TRIM(INDEX(입력_구리근무자명단!$A$1:$GZ$303,$A164,$G$2+3)),".","-")),"⚠"&amp;INDEX(입력_구리근무자명단!$A$1:$GZ$303,$A164,$G$2+3))))))</f>
        <v/>
      </c>
      <c r="H164" s="26">
        <f>IF($D164="","",IF(OR(NOT(ISNUMBER($F164)),NOT(ISNUMBER($G164))),0,MAX(0,MIN($G164,EOMONTH(출력_요약!$B$3,0))-MAX($F164,출력_요약!$B$3)+1)))</f>
        <v/>
      </c>
      <c r="I164" s="26">
        <f>IF($D164="","",TRIM(INDEX(입력_구리근무자명단!$A$1:$GZ$303,$A164,$G$2+5)&amp;""))</f>
        <v/>
      </c>
      <c r="J164" s="26">
        <f>IF($D164="","",IF(ISNUMBER(SEARCH("구리독자",$I164)),"구리독자",""))</f>
        <v/>
      </c>
      <c r="K164" s="29">
        <f>IF($D164="","",IF(COUNTIFS(입력_전공의명단!$C$2:$C$401,$D164,입력_전공의명단!$F$2:$F$401,IF(OR($C164="인턴",ISNUMBER(SEARCH("수련교육부",$B164))),"인턴",$B164))=1,MATCH($D164&amp;"|"&amp;IF(OR($C164="인턴",ISNUMBER(SEARCH("수련교육부",$B164))),"인턴",$B164),입력_전공의명단!$AP$2:$AP$401,0),IF(AND(COUNTIFS(입력_전공의명단!$C$2:$C$401,$D164,입력_전공의명단!$F$2:$F$401,IF(OR($C164="인턴",ISNUMBER(SEARCH("수련교육부",$B164))),"인턴",$B164))=0,COUNTIF(입력_전공의명단!$C$2:$C$401,$D164)=1),MATCH($D164,입력_전공의명단!$C$2:$C$401,0),"")))</f>
        <v/>
      </c>
      <c r="L164" s="26">
        <f>IF($D164="","",IF($K164&lt;&gt;"",IF(COUNTIFS(입력_전공의명단!$C$2:$C$401,$D164,입력_전공의명단!$F$2:$F$401,IF(OR($C164="인턴",ISNUMBER(SEARCH("수련교육부",$B164))),"인턴",$B164))=1,"명단 일치","명단 일치(이름만, 과 다름)"),IF(COUNTIF(입력_전공의명단!$C$2:$C$401,$D164)=0,IF(COUNTIF(입력_기본자료!$C$2:$C$1001,$D164)&gt;0,"명단에 없음(기본자료에는 있음)","명단에 없음"),"동명이인 확인")))</f>
        <v/>
      </c>
      <c r="N164" s="8" t="n">
        <v>159</v>
      </c>
      <c r="O164" s="8">
        <f>IF(ISNUMBER(SEARCH("근무예정자",(INDEX(입력_구리근무자명단!$A$3:$GZ$3,1,159)&amp;""))),IFERROR(VALUE(LEFT((INDEX(입력_구리근무자명단!$A$3:$GZ$3,1,159)&amp;""),4))*100+VALUE(MID((INDEX(입력_구리근무자명단!$A$3:$GZ$3,1,159)&amp;""),6,MIN(FIND("월",(INDEX(입력_구리근무자명단!$A$3:$GZ$3,1,159)&amp;"")&amp;"월"),FIND(CHAR(10),(INDEX(입력_구리근무자명단!$A$3:$GZ$3,1,159)&amp;"")&amp;CHAR(10)),FIND(" ",(INDEX(입력_구리근무자명단!$A$3:$GZ$3,1,159)&amp;"")&amp;" "))-6)),""),"")</f>
        <v/>
      </c>
    </row>
    <row r="165">
      <c r="A165" s="29" t="n">
        <v>163</v>
      </c>
      <c r="B165" s="26">
        <f>IF(TRIM(INDEX(입력_구리근무자명단!$A$1:$GZ$303,$A165,1)&amp;"")&lt;&gt;"",TRIM(INDEX(입력_구리근무자명단!$A$1:$GZ$303,$A165,1)&amp;""),B164)</f>
        <v/>
      </c>
      <c r="C165" s="26">
        <f>IF(INDEX(입력_구리근무자명단!$A$1:$GZ$303,$A165,2)="","",INDEX(입력_구리근무자명단!$A$1:$GZ$303,$A165,2))</f>
        <v/>
      </c>
      <c r="D165" s="26">
        <f>IF($G$2="","",TRIM(IF($I$2="확정",INDEX(입력_구리근무자명단!$A$1:$GZ$303,$A165,$G$2+1)&amp;"",INDEX(입력_구리근무자명단!$A$1:$GZ$303,$A165,$G$2+0)&amp;"")))</f>
        <v/>
      </c>
      <c r="E165" s="26">
        <f>IF($D165="","",$I$2)</f>
        <v/>
      </c>
      <c r="F165" s="28">
        <f>IF($D165="","",IF(INDEX(입력_구리근무자명단!$A$1:$GZ$303,$A165,$G$2+2)="",출력_요약!$B$3,IF(ISNUMBER(INDEX(입력_구리근무자명단!$A$1:$GZ$303,$A165,$G$2+2)),INDEX(입력_구리근무자명단!$A$1:$GZ$303,$A165,$G$2+2),IFERROR(DATE(VALUE(LEFT(INDEX(입력_구리근무자명단!$A$1:$GZ$303,$A165,$G$2+2),4)),VALUE(MID(INDEX(입력_구리근무자명단!$A$1:$GZ$303,$A165,$G$2+2),6,2)),VALUE(MID(INDEX(입력_구리근무자명단!$A$1:$GZ$303,$A165,$G$2+2),9,2))),IFERROR(DATEVALUE(SUBSTITUTE(TRIM(INDEX(입력_구리근무자명단!$A$1:$GZ$303,$A165,$G$2+2)),".","-")),"⚠"&amp;INDEX(입력_구리근무자명단!$A$1:$GZ$303,$A165,$G$2+2))))))</f>
        <v/>
      </c>
      <c r="G165" s="28">
        <f>IF($D165="","",IF(INDEX(입력_구리근무자명단!$A$1:$GZ$303,$A165,$G$2+3)="",EOMONTH(출력_요약!$B$3,0),IF(ISNUMBER(INDEX(입력_구리근무자명단!$A$1:$GZ$303,$A165,$G$2+3)),INDEX(입력_구리근무자명단!$A$1:$GZ$303,$A165,$G$2+3),IFERROR(DATE(VALUE(LEFT(INDEX(입력_구리근무자명단!$A$1:$GZ$303,$A165,$G$2+3),4)),VALUE(MID(INDEX(입력_구리근무자명단!$A$1:$GZ$303,$A165,$G$2+3),6,2)),VALUE(MID(INDEX(입력_구리근무자명단!$A$1:$GZ$303,$A165,$G$2+3),9,2))),IFERROR(DATEVALUE(SUBSTITUTE(TRIM(INDEX(입력_구리근무자명단!$A$1:$GZ$303,$A165,$G$2+3)),".","-")),"⚠"&amp;INDEX(입력_구리근무자명단!$A$1:$GZ$303,$A165,$G$2+3))))))</f>
        <v/>
      </c>
      <c r="H165" s="26">
        <f>IF($D165="","",IF(OR(NOT(ISNUMBER($F165)),NOT(ISNUMBER($G165))),0,MAX(0,MIN($G165,EOMONTH(출력_요약!$B$3,0))-MAX($F165,출력_요약!$B$3)+1)))</f>
        <v/>
      </c>
      <c r="I165" s="26">
        <f>IF($D165="","",TRIM(INDEX(입력_구리근무자명단!$A$1:$GZ$303,$A165,$G$2+5)&amp;""))</f>
        <v/>
      </c>
      <c r="J165" s="26">
        <f>IF($D165="","",IF(ISNUMBER(SEARCH("구리독자",$I165)),"구리독자",""))</f>
        <v/>
      </c>
      <c r="K165" s="29">
        <f>IF($D165="","",IF(COUNTIFS(입력_전공의명단!$C$2:$C$401,$D165,입력_전공의명단!$F$2:$F$401,IF(OR($C165="인턴",ISNUMBER(SEARCH("수련교육부",$B165))),"인턴",$B165))=1,MATCH($D165&amp;"|"&amp;IF(OR($C165="인턴",ISNUMBER(SEARCH("수련교육부",$B165))),"인턴",$B165),입력_전공의명단!$AP$2:$AP$401,0),IF(AND(COUNTIFS(입력_전공의명단!$C$2:$C$401,$D165,입력_전공의명단!$F$2:$F$401,IF(OR($C165="인턴",ISNUMBER(SEARCH("수련교육부",$B165))),"인턴",$B165))=0,COUNTIF(입력_전공의명단!$C$2:$C$401,$D165)=1),MATCH($D165,입력_전공의명단!$C$2:$C$401,0),"")))</f>
        <v/>
      </c>
      <c r="L165" s="26">
        <f>IF($D165="","",IF($K165&lt;&gt;"",IF(COUNTIFS(입력_전공의명단!$C$2:$C$401,$D165,입력_전공의명단!$F$2:$F$401,IF(OR($C165="인턴",ISNUMBER(SEARCH("수련교육부",$B165))),"인턴",$B165))=1,"명단 일치","명단 일치(이름만, 과 다름)"),IF(COUNTIF(입력_전공의명단!$C$2:$C$401,$D165)=0,IF(COUNTIF(입력_기본자료!$C$2:$C$1001,$D165)&gt;0,"명단에 없음(기본자료에는 있음)","명단에 없음"),"동명이인 확인")))</f>
        <v/>
      </c>
      <c r="N165" s="8" t="n">
        <v>160</v>
      </c>
      <c r="O165" s="8">
        <f>IF(ISNUMBER(SEARCH("근무예정자",(INDEX(입력_구리근무자명단!$A$3:$GZ$3,1,160)&amp;""))),IFERROR(VALUE(LEFT((INDEX(입력_구리근무자명단!$A$3:$GZ$3,1,160)&amp;""),4))*100+VALUE(MID((INDEX(입력_구리근무자명단!$A$3:$GZ$3,1,160)&amp;""),6,MIN(FIND("월",(INDEX(입력_구리근무자명단!$A$3:$GZ$3,1,160)&amp;"")&amp;"월"),FIND(CHAR(10),(INDEX(입력_구리근무자명단!$A$3:$GZ$3,1,160)&amp;"")&amp;CHAR(10)),FIND(" ",(INDEX(입력_구리근무자명단!$A$3:$GZ$3,1,160)&amp;"")&amp;" "))-6)),""),"")</f>
        <v/>
      </c>
    </row>
    <row r="166">
      <c r="A166" s="29" t="n">
        <v>164</v>
      </c>
      <c r="B166" s="26">
        <f>IF(TRIM(INDEX(입력_구리근무자명단!$A$1:$GZ$303,$A166,1)&amp;"")&lt;&gt;"",TRIM(INDEX(입력_구리근무자명단!$A$1:$GZ$303,$A166,1)&amp;""),B165)</f>
        <v/>
      </c>
      <c r="C166" s="26">
        <f>IF(INDEX(입력_구리근무자명단!$A$1:$GZ$303,$A166,2)="","",INDEX(입력_구리근무자명단!$A$1:$GZ$303,$A166,2))</f>
        <v/>
      </c>
      <c r="D166" s="26">
        <f>IF($G$2="","",TRIM(IF($I$2="확정",INDEX(입력_구리근무자명단!$A$1:$GZ$303,$A166,$G$2+1)&amp;"",INDEX(입력_구리근무자명단!$A$1:$GZ$303,$A166,$G$2+0)&amp;"")))</f>
        <v/>
      </c>
      <c r="E166" s="26">
        <f>IF($D166="","",$I$2)</f>
        <v/>
      </c>
      <c r="F166" s="28">
        <f>IF($D166="","",IF(INDEX(입력_구리근무자명단!$A$1:$GZ$303,$A166,$G$2+2)="",출력_요약!$B$3,IF(ISNUMBER(INDEX(입력_구리근무자명단!$A$1:$GZ$303,$A166,$G$2+2)),INDEX(입력_구리근무자명단!$A$1:$GZ$303,$A166,$G$2+2),IFERROR(DATE(VALUE(LEFT(INDEX(입력_구리근무자명단!$A$1:$GZ$303,$A166,$G$2+2),4)),VALUE(MID(INDEX(입력_구리근무자명단!$A$1:$GZ$303,$A166,$G$2+2),6,2)),VALUE(MID(INDEX(입력_구리근무자명단!$A$1:$GZ$303,$A166,$G$2+2),9,2))),IFERROR(DATEVALUE(SUBSTITUTE(TRIM(INDEX(입력_구리근무자명단!$A$1:$GZ$303,$A166,$G$2+2)),".","-")),"⚠"&amp;INDEX(입력_구리근무자명단!$A$1:$GZ$303,$A166,$G$2+2))))))</f>
        <v/>
      </c>
      <c r="G166" s="28">
        <f>IF($D166="","",IF(INDEX(입력_구리근무자명단!$A$1:$GZ$303,$A166,$G$2+3)="",EOMONTH(출력_요약!$B$3,0),IF(ISNUMBER(INDEX(입력_구리근무자명단!$A$1:$GZ$303,$A166,$G$2+3)),INDEX(입력_구리근무자명단!$A$1:$GZ$303,$A166,$G$2+3),IFERROR(DATE(VALUE(LEFT(INDEX(입력_구리근무자명단!$A$1:$GZ$303,$A166,$G$2+3),4)),VALUE(MID(INDEX(입력_구리근무자명단!$A$1:$GZ$303,$A166,$G$2+3),6,2)),VALUE(MID(INDEX(입력_구리근무자명단!$A$1:$GZ$303,$A166,$G$2+3),9,2))),IFERROR(DATEVALUE(SUBSTITUTE(TRIM(INDEX(입력_구리근무자명단!$A$1:$GZ$303,$A166,$G$2+3)),".","-")),"⚠"&amp;INDEX(입력_구리근무자명단!$A$1:$GZ$303,$A166,$G$2+3))))))</f>
        <v/>
      </c>
      <c r="H166" s="26">
        <f>IF($D166="","",IF(OR(NOT(ISNUMBER($F166)),NOT(ISNUMBER($G166))),0,MAX(0,MIN($G166,EOMONTH(출력_요약!$B$3,0))-MAX($F166,출력_요약!$B$3)+1)))</f>
        <v/>
      </c>
      <c r="I166" s="26">
        <f>IF($D166="","",TRIM(INDEX(입력_구리근무자명단!$A$1:$GZ$303,$A166,$G$2+5)&amp;""))</f>
        <v/>
      </c>
      <c r="J166" s="26">
        <f>IF($D166="","",IF(ISNUMBER(SEARCH("구리독자",$I166)),"구리독자",""))</f>
        <v/>
      </c>
      <c r="K166" s="29">
        <f>IF($D166="","",IF(COUNTIFS(입력_전공의명단!$C$2:$C$401,$D166,입력_전공의명단!$F$2:$F$401,IF(OR($C166="인턴",ISNUMBER(SEARCH("수련교육부",$B166))),"인턴",$B166))=1,MATCH($D166&amp;"|"&amp;IF(OR($C166="인턴",ISNUMBER(SEARCH("수련교육부",$B166))),"인턴",$B166),입력_전공의명단!$AP$2:$AP$401,0),IF(AND(COUNTIFS(입력_전공의명단!$C$2:$C$401,$D166,입력_전공의명단!$F$2:$F$401,IF(OR($C166="인턴",ISNUMBER(SEARCH("수련교육부",$B166))),"인턴",$B166))=0,COUNTIF(입력_전공의명단!$C$2:$C$401,$D166)=1),MATCH($D166,입력_전공의명단!$C$2:$C$401,0),"")))</f>
        <v/>
      </c>
      <c r="L166" s="26">
        <f>IF($D166="","",IF($K166&lt;&gt;"",IF(COUNTIFS(입력_전공의명단!$C$2:$C$401,$D166,입력_전공의명단!$F$2:$F$401,IF(OR($C166="인턴",ISNUMBER(SEARCH("수련교육부",$B166))),"인턴",$B166))=1,"명단 일치","명단 일치(이름만, 과 다름)"),IF(COUNTIF(입력_전공의명단!$C$2:$C$401,$D166)=0,IF(COUNTIF(입력_기본자료!$C$2:$C$1001,$D166)&gt;0,"명단에 없음(기본자료에는 있음)","명단에 없음"),"동명이인 확인")))</f>
        <v/>
      </c>
      <c r="N166" s="8" t="n">
        <v>161</v>
      </c>
      <c r="O166" s="8">
        <f>IF(ISNUMBER(SEARCH("근무예정자",(INDEX(입력_구리근무자명단!$A$3:$GZ$3,1,161)&amp;""))),IFERROR(VALUE(LEFT((INDEX(입력_구리근무자명단!$A$3:$GZ$3,1,161)&amp;""),4))*100+VALUE(MID((INDEX(입력_구리근무자명단!$A$3:$GZ$3,1,161)&amp;""),6,MIN(FIND("월",(INDEX(입력_구리근무자명단!$A$3:$GZ$3,1,161)&amp;"")&amp;"월"),FIND(CHAR(10),(INDEX(입력_구리근무자명단!$A$3:$GZ$3,1,161)&amp;"")&amp;CHAR(10)),FIND(" ",(INDEX(입력_구리근무자명단!$A$3:$GZ$3,1,161)&amp;"")&amp;" "))-6)),""),"")</f>
        <v/>
      </c>
    </row>
    <row r="167">
      <c r="A167" s="29" t="n">
        <v>165</v>
      </c>
      <c r="B167" s="26">
        <f>IF(TRIM(INDEX(입력_구리근무자명단!$A$1:$GZ$303,$A167,1)&amp;"")&lt;&gt;"",TRIM(INDEX(입력_구리근무자명단!$A$1:$GZ$303,$A167,1)&amp;""),B166)</f>
        <v/>
      </c>
      <c r="C167" s="26">
        <f>IF(INDEX(입력_구리근무자명단!$A$1:$GZ$303,$A167,2)="","",INDEX(입력_구리근무자명단!$A$1:$GZ$303,$A167,2))</f>
        <v/>
      </c>
      <c r="D167" s="26">
        <f>IF($G$2="","",TRIM(IF($I$2="확정",INDEX(입력_구리근무자명단!$A$1:$GZ$303,$A167,$G$2+1)&amp;"",INDEX(입력_구리근무자명단!$A$1:$GZ$303,$A167,$G$2+0)&amp;"")))</f>
        <v/>
      </c>
      <c r="E167" s="26">
        <f>IF($D167="","",$I$2)</f>
        <v/>
      </c>
      <c r="F167" s="28">
        <f>IF($D167="","",IF(INDEX(입력_구리근무자명단!$A$1:$GZ$303,$A167,$G$2+2)="",출력_요약!$B$3,IF(ISNUMBER(INDEX(입력_구리근무자명단!$A$1:$GZ$303,$A167,$G$2+2)),INDEX(입력_구리근무자명단!$A$1:$GZ$303,$A167,$G$2+2),IFERROR(DATE(VALUE(LEFT(INDEX(입력_구리근무자명단!$A$1:$GZ$303,$A167,$G$2+2),4)),VALUE(MID(INDEX(입력_구리근무자명단!$A$1:$GZ$303,$A167,$G$2+2),6,2)),VALUE(MID(INDEX(입력_구리근무자명단!$A$1:$GZ$303,$A167,$G$2+2),9,2))),IFERROR(DATEVALUE(SUBSTITUTE(TRIM(INDEX(입력_구리근무자명단!$A$1:$GZ$303,$A167,$G$2+2)),".","-")),"⚠"&amp;INDEX(입력_구리근무자명단!$A$1:$GZ$303,$A167,$G$2+2))))))</f>
        <v/>
      </c>
      <c r="G167" s="28">
        <f>IF($D167="","",IF(INDEX(입력_구리근무자명단!$A$1:$GZ$303,$A167,$G$2+3)="",EOMONTH(출력_요약!$B$3,0),IF(ISNUMBER(INDEX(입력_구리근무자명단!$A$1:$GZ$303,$A167,$G$2+3)),INDEX(입력_구리근무자명단!$A$1:$GZ$303,$A167,$G$2+3),IFERROR(DATE(VALUE(LEFT(INDEX(입력_구리근무자명단!$A$1:$GZ$303,$A167,$G$2+3),4)),VALUE(MID(INDEX(입력_구리근무자명단!$A$1:$GZ$303,$A167,$G$2+3),6,2)),VALUE(MID(INDEX(입력_구리근무자명단!$A$1:$GZ$303,$A167,$G$2+3),9,2))),IFERROR(DATEVALUE(SUBSTITUTE(TRIM(INDEX(입력_구리근무자명단!$A$1:$GZ$303,$A167,$G$2+3)),".","-")),"⚠"&amp;INDEX(입력_구리근무자명단!$A$1:$GZ$303,$A167,$G$2+3))))))</f>
        <v/>
      </c>
      <c r="H167" s="26">
        <f>IF($D167="","",IF(OR(NOT(ISNUMBER($F167)),NOT(ISNUMBER($G167))),0,MAX(0,MIN($G167,EOMONTH(출력_요약!$B$3,0))-MAX($F167,출력_요약!$B$3)+1)))</f>
        <v/>
      </c>
      <c r="I167" s="26">
        <f>IF($D167="","",TRIM(INDEX(입력_구리근무자명단!$A$1:$GZ$303,$A167,$G$2+5)&amp;""))</f>
        <v/>
      </c>
      <c r="J167" s="26">
        <f>IF($D167="","",IF(ISNUMBER(SEARCH("구리독자",$I167)),"구리독자",""))</f>
        <v/>
      </c>
      <c r="K167" s="29">
        <f>IF($D167="","",IF(COUNTIFS(입력_전공의명단!$C$2:$C$401,$D167,입력_전공의명단!$F$2:$F$401,IF(OR($C167="인턴",ISNUMBER(SEARCH("수련교육부",$B167))),"인턴",$B167))=1,MATCH($D167&amp;"|"&amp;IF(OR($C167="인턴",ISNUMBER(SEARCH("수련교육부",$B167))),"인턴",$B167),입력_전공의명단!$AP$2:$AP$401,0),IF(AND(COUNTIFS(입력_전공의명단!$C$2:$C$401,$D167,입력_전공의명단!$F$2:$F$401,IF(OR($C167="인턴",ISNUMBER(SEARCH("수련교육부",$B167))),"인턴",$B167))=0,COUNTIF(입력_전공의명단!$C$2:$C$401,$D167)=1),MATCH($D167,입력_전공의명단!$C$2:$C$401,0),"")))</f>
        <v/>
      </c>
      <c r="L167" s="26">
        <f>IF($D167="","",IF($K167&lt;&gt;"",IF(COUNTIFS(입력_전공의명단!$C$2:$C$401,$D167,입력_전공의명단!$F$2:$F$401,IF(OR($C167="인턴",ISNUMBER(SEARCH("수련교육부",$B167))),"인턴",$B167))=1,"명단 일치","명단 일치(이름만, 과 다름)"),IF(COUNTIF(입력_전공의명단!$C$2:$C$401,$D167)=0,IF(COUNTIF(입력_기본자료!$C$2:$C$1001,$D167)&gt;0,"명단에 없음(기본자료에는 있음)","명단에 없음"),"동명이인 확인")))</f>
        <v/>
      </c>
      <c r="N167" s="8" t="n">
        <v>162</v>
      </c>
      <c r="O167" s="8">
        <f>IF(ISNUMBER(SEARCH("근무예정자",(INDEX(입력_구리근무자명단!$A$3:$GZ$3,1,162)&amp;""))),IFERROR(VALUE(LEFT((INDEX(입력_구리근무자명단!$A$3:$GZ$3,1,162)&amp;""),4))*100+VALUE(MID((INDEX(입력_구리근무자명단!$A$3:$GZ$3,1,162)&amp;""),6,MIN(FIND("월",(INDEX(입력_구리근무자명단!$A$3:$GZ$3,1,162)&amp;"")&amp;"월"),FIND(CHAR(10),(INDEX(입력_구리근무자명단!$A$3:$GZ$3,1,162)&amp;"")&amp;CHAR(10)),FIND(" ",(INDEX(입력_구리근무자명단!$A$3:$GZ$3,1,162)&amp;"")&amp;" "))-6)),""),"")</f>
        <v/>
      </c>
    </row>
    <row r="168">
      <c r="A168" s="29" t="n">
        <v>166</v>
      </c>
      <c r="B168" s="26">
        <f>IF(TRIM(INDEX(입력_구리근무자명단!$A$1:$GZ$303,$A168,1)&amp;"")&lt;&gt;"",TRIM(INDEX(입력_구리근무자명단!$A$1:$GZ$303,$A168,1)&amp;""),B167)</f>
        <v/>
      </c>
      <c r="C168" s="26">
        <f>IF(INDEX(입력_구리근무자명단!$A$1:$GZ$303,$A168,2)="","",INDEX(입력_구리근무자명단!$A$1:$GZ$303,$A168,2))</f>
        <v/>
      </c>
      <c r="D168" s="26">
        <f>IF($G$2="","",TRIM(IF($I$2="확정",INDEX(입력_구리근무자명단!$A$1:$GZ$303,$A168,$G$2+1)&amp;"",INDEX(입력_구리근무자명단!$A$1:$GZ$303,$A168,$G$2+0)&amp;"")))</f>
        <v/>
      </c>
      <c r="E168" s="26">
        <f>IF($D168="","",$I$2)</f>
        <v/>
      </c>
      <c r="F168" s="28">
        <f>IF($D168="","",IF(INDEX(입력_구리근무자명단!$A$1:$GZ$303,$A168,$G$2+2)="",출력_요약!$B$3,IF(ISNUMBER(INDEX(입력_구리근무자명단!$A$1:$GZ$303,$A168,$G$2+2)),INDEX(입력_구리근무자명단!$A$1:$GZ$303,$A168,$G$2+2),IFERROR(DATE(VALUE(LEFT(INDEX(입력_구리근무자명단!$A$1:$GZ$303,$A168,$G$2+2),4)),VALUE(MID(INDEX(입력_구리근무자명단!$A$1:$GZ$303,$A168,$G$2+2),6,2)),VALUE(MID(INDEX(입력_구리근무자명단!$A$1:$GZ$303,$A168,$G$2+2),9,2))),IFERROR(DATEVALUE(SUBSTITUTE(TRIM(INDEX(입력_구리근무자명단!$A$1:$GZ$303,$A168,$G$2+2)),".","-")),"⚠"&amp;INDEX(입력_구리근무자명단!$A$1:$GZ$303,$A168,$G$2+2))))))</f>
        <v/>
      </c>
      <c r="G168" s="28">
        <f>IF($D168="","",IF(INDEX(입력_구리근무자명단!$A$1:$GZ$303,$A168,$G$2+3)="",EOMONTH(출력_요약!$B$3,0),IF(ISNUMBER(INDEX(입력_구리근무자명단!$A$1:$GZ$303,$A168,$G$2+3)),INDEX(입력_구리근무자명단!$A$1:$GZ$303,$A168,$G$2+3),IFERROR(DATE(VALUE(LEFT(INDEX(입력_구리근무자명단!$A$1:$GZ$303,$A168,$G$2+3),4)),VALUE(MID(INDEX(입력_구리근무자명단!$A$1:$GZ$303,$A168,$G$2+3),6,2)),VALUE(MID(INDEX(입력_구리근무자명단!$A$1:$GZ$303,$A168,$G$2+3),9,2))),IFERROR(DATEVALUE(SUBSTITUTE(TRIM(INDEX(입력_구리근무자명단!$A$1:$GZ$303,$A168,$G$2+3)),".","-")),"⚠"&amp;INDEX(입력_구리근무자명단!$A$1:$GZ$303,$A168,$G$2+3))))))</f>
        <v/>
      </c>
      <c r="H168" s="26">
        <f>IF($D168="","",IF(OR(NOT(ISNUMBER($F168)),NOT(ISNUMBER($G168))),0,MAX(0,MIN($G168,EOMONTH(출력_요약!$B$3,0))-MAX($F168,출력_요약!$B$3)+1)))</f>
        <v/>
      </c>
      <c r="I168" s="26">
        <f>IF($D168="","",TRIM(INDEX(입력_구리근무자명단!$A$1:$GZ$303,$A168,$G$2+5)&amp;""))</f>
        <v/>
      </c>
      <c r="J168" s="26">
        <f>IF($D168="","",IF(ISNUMBER(SEARCH("구리독자",$I168)),"구리독자",""))</f>
        <v/>
      </c>
      <c r="K168" s="29">
        <f>IF($D168="","",IF(COUNTIFS(입력_전공의명단!$C$2:$C$401,$D168,입력_전공의명단!$F$2:$F$401,IF(OR($C168="인턴",ISNUMBER(SEARCH("수련교육부",$B168))),"인턴",$B168))=1,MATCH($D168&amp;"|"&amp;IF(OR($C168="인턴",ISNUMBER(SEARCH("수련교육부",$B168))),"인턴",$B168),입력_전공의명단!$AP$2:$AP$401,0),IF(AND(COUNTIFS(입력_전공의명단!$C$2:$C$401,$D168,입력_전공의명단!$F$2:$F$401,IF(OR($C168="인턴",ISNUMBER(SEARCH("수련교육부",$B168))),"인턴",$B168))=0,COUNTIF(입력_전공의명단!$C$2:$C$401,$D168)=1),MATCH($D168,입력_전공의명단!$C$2:$C$401,0),"")))</f>
        <v/>
      </c>
      <c r="L168" s="26">
        <f>IF($D168="","",IF($K168&lt;&gt;"",IF(COUNTIFS(입력_전공의명단!$C$2:$C$401,$D168,입력_전공의명단!$F$2:$F$401,IF(OR($C168="인턴",ISNUMBER(SEARCH("수련교육부",$B168))),"인턴",$B168))=1,"명단 일치","명단 일치(이름만, 과 다름)"),IF(COUNTIF(입력_전공의명단!$C$2:$C$401,$D168)=0,IF(COUNTIF(입력_기본자료!$C$2:$C$1001,$D168)&gt;0,"명단에 없음(기본자료에는 있음)","명단에 없음"),"동명이인 확인")))</f>
        <v/>
      </c>
      <c r="N168" s="8" t="n">
        <v>163</v>
      </c>
      <c r="O168" s="8">
        <f>IF(ISNUMBER(SEARCH("근무예정자",(INDEX(입력_구리근무자명단!$A$3:$GZ$3,1,163)&amp;""))),IFERROR(VALUE(LEFT((INDEX(입력_구리근무자명단!$A$3:$GZ$3,1,163)&amp;""),4))*100+VALUE(MID((INDEX(입력_구리근무자명단!$A$3:$GZ$3,1,163)&amp;""),6,MIN(FIND("월",(INDEX(입력_구리근무자명단!$A$3:$GZ$3,1,163)&amp;"")&amp;"월"),FIND(CHAR(10),(INDEX(입력_구리근무자명단!$A$3:$GZ$3,1,163)&amp;"")&amp;CHAR(10)),FIND(" ",(INDEX(입력_구리근무자명단!$A$3:$GZ$3,1,163)&amp;"")&amp;" "))-6)),""),"")</f>
        <v/>
      </c>
    </row>
    <row r="169">
      <c r="A169" s="29" t="n">
        <v>167</v>
      </c>
      <c r="B169" s="26">
        <f>IF(TRIM(INDEX(입력_구리근무자명단!$A$1:$GZ$303,$A169,1)&amp;"")&lt;&gt;"",TRIM(INDEX(입력_구리근무자명단!$A$1:$GZ$303,$A169,1)&amp;""),B168)</f>
        <v/>
      </c>
      <c r="C169" s="26">
        <f>IF(INDEX(입력_구리근무자명단!$A$1:$GZ$303,$A169,2)="","",INDEX(입력_구리근무자명단!$A$1:$GZ$303,$A169,2))</f>
        <v/>
      </c>
      <c r="D169" s="26">
        <f>IF($G$2="","",TRIM(IF($I$2="확정",INDEX(입력_구리근무자명단!$A$1:$GZ$303,$A169,$G$2+1)&amp;"",INDEX(입력_구리근무자명단!$A$1:$GZ$303,$A169,$G$2+0)&amp;"")))</f>
        <v/>
      </c>
      <c r="E169" s="26">
        <f>IF($D169="","",$I$2)</f>
        <v/>
      </c>
      <c r="F169" s="28">
        <f>IF($D169="","",IF(INDEX(입력_구리근무자명단!$A$1:$GZ$303,$A169,$G$2+2)="",출력_요약!$B$3,IF(ISNUMBER(INDEX(입력_구리근무자명단!$A$1:$GZ$303,$A169,$G$2+2)),INDEX(입력_구리근무자명단!$A$1:$GZ$303,$A169,$G$2+2),IFERROR(DATE(VALUE(LEFT(INDEX(입력_구리근무자명단!$A$1:$GZ$303,$A169,$G$2+2),4)),VALUE(MID(INDEX(입력_구리근무자명단!$A$1:$GZ$303,$A169,$G$2+2),6,2)),VALUE(MID(INDEX(입력_구리근무자명단!$A$1:$GZ$303,$A169,$G$2+2),9,2))),IFERROR(DATEVALUE(SUBSTITUTE(TRIM(INDEX(입력_구리근무자명단!$A$1:$GZ$303,$A169,$G$2+2)),".","-")),"⚠"&amp;INDEX(입력_구리근무자명단!$A$1:$GZ$303,$A169,$G$2+2))))))</f>
        <v/>
      </c>
      <c r="G169" s="28">
        <f>IF($D169="","",IF(INDEX(입력_구리근무자명단!$A$1:$GZ$303,$A169,$G$2+3)="",EOMONTH(출력_요약!$B$3,0),IF(ISNUMBER(INDEX(입력_구리근무자명단!$A$1:$GZ$303,$A169,$G$2+3)),INDEX(입력_구리근무자명단!$A$1:$GZ$303,$A169,$G$2+3),IFERROR(DATE(VALUE(LEFT(INDEX(입력_구리근무자명단!$A$1:$GZ$303,$A169,$G$2+3),4)),VALUE(MID(INDEX(입력_구리근무자명단!$A$1:$GZ$303,$A169,$G$2+3),6,2)),VALUE(MID(INDEX(입력_구리근무자명단!$A$1:$GZ$303,$A169,$G$2+3),9,2))),IFERROR(DATEVALUE(SUBSTITUTE(TRIM(INDEX(입력_구리근무자명단!$A$1:$GZ$303,$A169,$G$2+3)),".","-")),"⚠"&amp;INDEX(입력_구리근무자명단!$A$1:$GZ$303,$A169,$G$2+3))))))</f>
        <v/>
      </c>
      <c r="H169" s="26">
        <f>IF($D169="","",IF(OR(NOT(ISNUMBER($F169)),NOT(ISNUMBER($G169))),0,MAX(0,MIN($G169,EOMONTH(출력_요약!$B$3,0))-MAX($F169,출력_요약!$B$3)+1)))</f>
        <v/>
      </c>
      <c r="I169" s="26">
        <f>IF($D169="","",TRIM(INDEX(입력_구리근무자명단!$A$1:$GZ$303,$A169,$G$2+5)&amp;""))</f>
        <v/>
      </c>
      <c r="J169" s="26">
        <f>IF($D169="","",IF(ISNUMBER(SEARCH("구리독자",$I169)),"구리독자",""))</f>
        <v/>
      </c>
      <c r="K169" s="29">
        <f>IF($D169="","",IF(COUNTIFS(입력_전공의명단!$C$2:$C$401,$D169,입력_전공의명단!$F$2:$F$401,IF(OR($C169="인턴",ISNUMBER(SEARCH("수련교육부",$B169))),"인턴",$B169))=1,MATCH($D169&amp;"|"&amp;IF(OR($C169="인턴",ISNUMBER(SEARCH("수련교육부",$B169))),"인턴",$B169),입력_전공의명단!$AP$2:$AP$401,0),IF(AND(COUNTIFS(입력_전공의명단!$C$2:$C$401,$D169,입력_전공의명단!$F$2:$F$401,IF(OR($C169="인턴",ISNUMBER(SEARCH("수련교육부",$B169))),"인턴",$B169))=0,COUNTIF(입력_전공의명단!$C$2:$C$401,$D169)=1),MATCH($D169,입력_전공의명단!$C$2:$C$401,0),"")))</f>
        <v/>
      </c>
      <c r="L169" s="26">
        <f>IF($D169="","",IF($K169&lt;&gt;"",IF(COUNTIFS(입력_전공의명단!$C$2:$C$401,$D169,입력_전공의명단!$F$2:$F$401,IF(OR($C169="인턴",ISNUMBER(SEARCH("수련교육부",$B169))),"인턴",$B169))=1,"명단 일치","명단 일치(이름만, 과 다름)"),IF(COUNTIF(입력_전공의명단!$C$2:$C$401,$D169)=0,IF(COUNTIF(입력_기본자료!$C$2:$C$1001,$D169)&gt;0,"명단에 없음(기본자료에는 있음)","명단에 없음"),"동명이인 확인")))</f>
        <v/>
      </c>
      <c r="N169" s="8" t="n">
        <v>164</v>
      </c>
      <c r="O169" s="8">
        <f>IF(ISNUMBER(SEARCH("근무예정자",(INDEX(입력_구리근무자명단!$A$3:$GZ$3,1,164)&amp;""))),IFERROR(VALUE(LEFT((INDEX(입력_구리근무자명단!$A$3:$GZ$3,1,164)&amp;""),4))*100+VALUE(MID((INDEX(입력_구리근무자명단!$A$3:$GZ$3,1,164)&amp;""),6,MIN(FIND("월",(INDEX(입력_구리근무자명단!$A$3:$GZ$3,1,164)&amp;"")&amp;"월"),FIND(CHAR(10),(INDEX(입력_구리근무자명단!$A$3:$GZ$3,1,164)&amp;"")&amp;CHAR(10)),FIND(" ",(INDEX(입력_구리근무자명단!$A$3:$GZ$3,1,164)&amp;"")&amp;" "))-6)),""),"")</f>
        <v/>
      </c>
    </row>
    <row r="170">
      <c r="A170" s="29" t="n">
        <v>168</v>
      </c>
      <c r="B170" s="26">
        <f>IF(TRIM(INDEX(입력_구리근무자명단!$A$1:$GZ$303,$A170,1)&amp;"")&lt;&gt;"",TRIM(INDEX(입력_구리근무자명단!$A$1:$GZ$303,$A170,1)&amp;""),B169)</f>
        <v/>
      </c>
      <c r="C170" s="26">
        <f>IF(INDEX(입력_구리근무자명단!$A$1:$GZ$303,$A170,2)="","",INDEX(입력_구리근무자명단!$A$1:$GZ$303,$A170,2))</f>
        <v/>
      </c>
      <c r="D170" s="26">
        <f>IF($G$2="","",TRIM(IF($I$2="확정",INDEX(입력_구리근무자명단!$A$1:$GZ$303,$A170,$G$2+1)&amp;"",INDEX(입력_구리근무자명단!$A$1:$GZ$303,$A170,$G$2+0)&amp;"")))</f>
        <v/>
      </c>
      <c r="E170" s="26">
        <f>IF($D170="","",$I$2)</f>
        <v/>
      </c>
      <c r="F170" s="28">
        <f>IF($D170="","",IF(INDEX(입력_구리근무자명단!$A$1:$GZ$303,$A170,$G$2+2)="",출력_요약!$B$3,IF(ISNUMBER(INDEX(입력_구리근무자명단!$A$1:$GZ$303,$A170,$G$2+2)),INDEX(입력_구리근무자명단!$A$1:$GZ$303,$A170,$G$2+2),IFERROR(DATE(VALUE(LEFT(INDEX(입력_구리근무자명단!$A$1:$GZ$303,$A170,$G$2+2),4)),VALUE(MID(INDEX(입력_구리근무자명단!$A$1:$GZ$303,$A170,$G$2+2),6,2)),VALUE(MID(INDEX(입력_구리근무자명단!$A$1:$GZ$303,$A170,$G$2+2),9,2))),IFERROR(DATEVALUE(SUBSTITUTE(TRIM(INDEX(입력_구리근무자명단!$A$1:$GZ$303,$A170,$G$2+2)),".","-")),"⚠"&amp;INDEX(입력_구리근무자명단!$A$1:$GZ$303,$A170,$G$2+2))))))</f>
        <v/>
      </c>
      <c r="G170" s="28">
        <f>IF($D170="","",IF(INDEX(입력_구리근무자명단!$A$1:$GZ$303,$A170,$G$2+3)="",EOMONTH(출력_요약!$B$3,0),IF(ISNUMBER(INDEX(입력_구리근무자명단!$A$1:$GZ$303,$A170,$G$2+3)),INDEX(입력_구리근무자명단!$A$1:$GZ$303,$A170,$G$2+3),IFERROR(DATE(VALUE(LEFT(INDEX(입력_구리근무자명단!$A$1:$GZ$303,$A170,$G$2+3),4)),VALUE(MID(INDEX(입력_구리근무자명단!$A$1:$GZ$303,$A170,$G$2+3),6,2)),VALUE(MID(INDEX(입력_구리근무자명단!$A$1:$GZ$303,$A170,$G$2+3),9,2))),IFERROR(DATEVALUE(SUBSTITUTE(TRIM(INDEX(입력_구리근무자명단!$A$1:$GZ$303,$A170,$G$2+3)),".","-")),"⚠"&amp;INDEX(입력_구리근무자명단!$A$1:$GZ$303,$A170,$G$2+3))))))</f>
        <v/>
      </c>
      <c r="H170" s="26">
        <f>IF($D170="","",IF(OR(NOT(ISNUMBER($F170)),NOT(ISNUMBER($G170))),0,MAX(0,MIN($G170,EOMONTH(출력_요약!$B$3,0))-MAX($F170,출력_요약!$B$3)+1)))</f>
        <v/>
      </c>
      <c r="I170" s="26">
        <f>IF($D170="","",TRIM(INDEX(입력_구리근무자명단!$A$1:$GZ$303,$A170,$G$2+5)&amp;""))</f>
        <v/>
      </c>
      <c r="J170" s="26">
        <f>IF($D170="","",IF(ISNUMBER(SEARCH("구리독자",$I170)),"구리독자",""))</f>
        <v/>
      </c>
      <c r="K170" s="29">
        <f>IF($D170="","",IF(COUNTIFS(입력_전공의명단!$C$2:$C$401,$D170,입력_전공의명단!$F$2:$F$401,IF(OR($C170="인턴",ISNUMBER(SEARCH("수련교육부",$B170))),"인턴",$B170))=1,MATCH($D170&amp;"|"&amp;IF(OR($C170="인턴",ISNUMBER(SEARCH("수련교육부",$B170))),"인턴",$B170),입력_전공의명단!$AP$2:$AP$401,0),IF(AND(COUNTIFS(입력_전공의명단!$C$2:$C$401,$D170,입력_전공의명단!$F$2:$F$401,IF(OR($C170="인턴",ISNUMBER(SEARCH("수련교육부",$B170))),"인턴",$B170))=0,COUNTIF(입력_전공의명단!$C$2:$C$401,$D170)=1),MATCH($D170,입력_전공의명단!$C$2:$C$401,0),"")))</f>
        <v/>
      </c>
      <c r="L170" s="26">
        <f>IF($D170="","",IF($K170&lt;&gt;"",IF(COUNTIFS(입력_전공의명단!$C$2:$C$401,$D170,입력_전공의명단!$F$2:$F$401,IF(OR($C170="인턴",ISNUMBER(SEARCH("수련교육부",$B170))),"인턴",$B170))=1,"명단 일치","명단 일치(이름만, 과 다름)"),IF(COUNTIF(입력_전공의명단!$C$2:$C$401,$D170)=0,IF(COUNTIF(입력_기본자료!$C$2:$C$1001,$D170)&gt;0,"명단에 없음(기본자료에는 있음)","명단에 없음"),"동명이인 확인")))</f>
        <v/>
      </c>
      <c r="N170" s="8" t="n">
        <v>165</v>
      </c>
      <c r="O170" s="8">
        <f>IF(ISNUMBER(SEARCH("근무예정자",(INDEX(입력_구리근무자명단!$A$3:$GZ$3,1,165)&amp;""))),IFERROR(VALUE(LEFT((INDEX(입력_구리근무자명단!$A$3:$GZ$3,1,165)&amp;""),4))*100+VALUE(MID((INDEX(입력_구리근무자명단!$A$3:$GZ$3,1,165)&amp;""),6,MIN(FIND("월",(INDEX(입력_구리근무자명단!$A$3:$GZ$3,1,165)&amp;"")&amp;"월"),FIND(CHAR(10),(INDEX(입력_구리근무자명단!$A$3:$GZ$3,1,165)&amp;"")&amp;CHAR(10)),FIND(" ",(INDEX(입력_구리근무자명단!$A$3:$GZ$3,1,165)&amp;"")&amp;" "))-6)),""),"")</f>
        <v/>
      </c>
    </row>
    <row r="171">
      <c r="A171" s="29" t="n">
        <v>169</v>
      </c>
      <c r="B171" s="26">
        <f>IF(TRIM(INDEX(입력_구리근무자명단!$A$1:$GZ$303,$A171,1)&amp;"")&lt;&gt;"",TRIM(INDEX(입력_구리근무자명단!$A$1:$GZ$303,$A171,1)&amp;""),B170)</f>
        <v/>
      </c>
      <c r="C171" s="26">
        <f>IF(INDEX(입력_구리근무자명단!$A$1:$GZ$303,$A171,2)="","",INDEX(입력_구리근무자명단!$A$1:$GZ$303,$A171,2))</f>
        <v/>
      </c>
      <c r="D171" s="26">
        <f>IF($G$2="","",TRIM(IF($I$2="확정",INDEX(입력_구리근무자명단!$A$1:$GZ$303,$A171,$G$2+1)&amp;"",INDEX(입력_구리근무자명단!$A$1:$GZ$303,$A171,$G$2+0)&amp;"")))</f>
        <v/>
      </c>
      <c r="E171" s="26">
        <f>IF($D171="","",$I$2)</f>
        <v/>
      </c>
      <c r="F171" s="28">
        <f>IF($D171="","",IF(INDEX(입력_구리근무자명단!$A$1:$GZ$303,$A171,$G$2+2)="",출력_요약!$B$3,IF(ISNUMBER(INDEX(입력_구리근무자명단!$A$1:$GZ$303,$A171,$G$2+2)),INDEX(입력_구리근무자명단!$A$1:$GZ$303,$A171,$G$2+2),IFERROR(DATE(VALUE(LEFT(INDEX(입력_구리근무자명단!$A$1:$GZ$303,$A171,$G$2+2),4)),VALUE(MID(INDEX(입력_구리근무자명단!$A$1:$GZ$303,$A171,$G$2+2),6,2)),VALUE(MID(INDEX(입력_구리근무자명단!$A$1:$GZ$303,$A171,$G$2+2),9,2))),IFERROR(DATEVALUE(SUBSTITUTE(TRIM(INDEX(입력_구리근무자명단!$A$1:$GZ$303,$A171,$G$2+2)),".","-")),"⚠"&amp;INDEX(입력_구리근무자명단!$A$1:$GZ$303,$A171,$G$2+2))))))</f>
        <v/>
      </c>
      <c r="G171" s="28">
        <f>IF($D171="","",IF(INDEX(입력_구리근무자명단!$A$1:$GZ$303,$A171,$G$2+3)="",EOMONTH(출력_요약!$B$3,0),IF(ISNUMBER(INDEX(입력_구리근무자명단!$A$1:$GZ$303,$A171,$G$2+3)),INDEX(입력_구리근무자명단!$A$1:$GZ$303,$A171,$G$2+3),IFERROR(DATE(VALUE(LEFT(INDEX(입력_구리근무자명단!$A$1:$GZ$303,$A171,$G$2+3),4)),VALUE(MID(INDEX(입력_구리근무자명단!$A$1:$GZ$303,$A171,$G$2+3),6,2)),VALUE(MID(INDEX(입력_구리근무자명단!$A$1:$GZ$303,$A171,$G$2+3),9,2))),IFERROR(DATEVALUE(SUBSTITUTE(TRIM(INDEX(입력_구리근무자명단!$A$1:$GZ$303,$A171,$G$2+3)),".","-")),"⚠"&amp;INDEX(입력_구리근무자명단!$A$1:$GZ$303,$A171,$G$2+3))))))</f>
        <v/>
      </c>
      <c r="H171" s="26">
        <f>IF($D171="","",IF(OR(NOT(ISNUMBER($F171)),NOT(ISNUMBER($G171))),0,MAX(0,MIN($G171,EOMONTH(출력_요약!$B$3,0))-MAX($F171,출력_요약!$B$3)+1)))</f>
        <v/>
      </c>
      <c r="I171" s="26">
        <f>IF($D171="","",TRIM(INDEX(입력_구리근무자명단!$A$1:$GZ$303,$A171,$G$2+5)&amp;""))</f>
        <v/>
      </c>
      <c r="J171" s="26">
        <f>IF($D171="","",IF(ISNUMBER(SEARCH("구리독자",$I171)),"구리독자",""))</f>
        <v/>
      </c>
      <c r="K171" s="29">
        <f>IF($D171="","",IF(COUNTIFS(입력_전공의명단!$C$2:$C$401,$D171,입력_전공의명단!$F$2:$F$401,IF(OR($C171="인턴",ISNUMBER(SEARCH("수련교육부",$B171))),"인턴",$B171))=1,MATCH($D171&amp;"|"&amp;IF(OR($C171="인턴",ISNUMBER(SEARCH("수련교육부",$B171))),"인턴",$B171),입력_전공의명단!$AP$2:$AP$401,0),IF(AND(COUNTIFS(입력_전공의명단!$C$2:$C$401,$D171,입력_전공의명단!$F$2:$F$401,IF(OR($C171="인턴",ISNUMBER(SEARCH("수련교육부",$B171))),"인턴",$B171))=0,COUNTIF(입력_전공의명단!$C$2:$C$401,$D171)=1),MATCH($D171,입력_전공의명단!$C$2:$C$401,0),"")))</f>
        <v/>
      </c>
      <c r="L171" s="26">
        <f>IF($D171="","",IF($K171&lt;&gt;"",IF(COUNTIFS(입력_전공의명단!$C$2:$C$401,$D171,입력_전공의명단!$F$2:$F$401,IF(OR($C171="인턴",ISNUMBER(SEARCH("수련교육부",$B171))),"인턴",$B171))=1,"명단 일치","명단 일치(이름만, 과 다름)"),IF(COUNTIF(입력_전공의명단!$C$2:$C$401,$D171)=0,IF(COUNTIF(입력_기본자료!$C$2:$C$1001,$D171)&gt;0,"명단에 없음(기본자료에는 있음)","명단에 없음"),"동명이인 확인")))</f>
        <v/>
      </c>
      <c r="N171" s="8" t="n">
        <v>166</v>
      </c>
      <c r="O171" s="8">
        <f>IF(ISNUMBER(SEARCH("근무예정자",(INDEX(입력_구리근무자명단!$A$3:$GZ$3,1,166)&amp;""))),IFERROR(VALUE(LEFT((INDEX(입력_구리근무자명단!$A$3:$GZ$3,1,166)&amp;""),4))*100+VALUE(MID((INDEX(입력_구리근무자명단!$A$3:$GZ$3,1,166)&amp;""),6,MIN(FIND("월",(INDEX(입력_구리근무자명단!$A$3:$GZ$3,1,166)&amp;"")&amp;"월"),FIND(CHAR(10),(INDEX(입력_구리근무자명단!$A$3:$GZ$3,1,166)&amp;"")&amp;CHAR(10)),FIND(" ",(INDEX(입력_구리근무자명단!$A$3:$GZ$3,1,166)&amp;"")&amp;" "))-6)),""),"")</f>
        <v/>
      </c>
    </row>
    <row r="172">
      <c r="A172" s="29" t="n">
        <v>170</v>
      </c>
      <c r="B172" s="26">
        <f>IF(TRIM(INDEX(입력_구리근무자명단!$A$1:$GZ$303,$A172,1)&amp;"")&lt;&gt;"",TRIM(INDEX(입력_구리근무자명단!$A$1:$GZ$303,$A172,1)&amp;""),B171)</f>
        <v/>
      </c>
      <c r="C172" s="26">
        <f>IF(INDEX(입력_구리근무자명단!$A$1:$GZ$303,$A172,2)="","",INDEX(입력_구리근무자명단!$A$1:$GZ$303,$A172,2))</f>
        <v/>
      </c>
      <c r="D172" s="26">
        <f>IF($G$2="","",TRIM(IF($I$2="확정",INDEX(입력_구리근무자명단!$A$1:$GZ$303,$A172,$G$2+1)&amp;"",INDEX(입력_구리근무자명단!$A$1:$GZ$303,$A172,$G$2+0)&amp;"")))</f>
        <v/>
      </c>
      <c r="E172" s="26">
        <f>IF($D172="","",$I$2)</f>
        <v/>
      </c>
      <c r="F172" s="28">
        <f>IF($D172="","",IF(INDEX(입력_구리근무자명단!$A$1:$GZ$303,$A172,$G$2+2)="",출력_요약!$B$3,IF(ISNUMBER(INDEX(입력_구리근무자명단!$A$1:$GZ$303,$A172,$G$2+2)),INDEX(입력_구리근무자명단!$A$1:$GZ$303,$A172,$G$2+2),IFERROR(DATE(VALUE(LEFT(INDEX(입력_구리근무자명단!$A$1:$GZ$303,$A172,$G$2+2),4)),VALUE(MID(INDEX(입력_구리근무자명단!$A$1:$GZ$303,$A172,$G$2+2),6,2)),VALUE(MID(INDEX(입력_구리근무자명단!$A$1:$GZ$303,$A172,$G$2+2),9,2))),IFERROR(DATEVALUE(SUBSTITUTE(TRIM(INDEX(입력_구리근무자명단!$A$1:$GZ$303,$A172,$G$2+2)),".","-")),"⚠"&amp;INDEX(입력_구리근무자명단!$A$1:$GZ$303,$A172,$G$2+2))))))</f>
        <v/>
      </c>
      <c r="G172" s="28">
        <f>IF($D172="","",IF(INDEX(입력_구리근무자명단!$A$1:$GZ$303,$A172,$G$2+3)="",EOMONTH(출력_요약!$B$3,0),IF(ISNUMBER(INDEX(입력_구리근무자명단!$A$1:$GZ$303,$A172,$G$2+3)),INDEX(입력_구리근무자명단!$A$1:$GZ$303,$A172,$G$2+3),IFERROR(DATE(VALUE(LEFT(INDEX(입력_구리근무자명단!$A$1:$GZ$303,$A172,$G$2+3),4)),VALUE(MID(INDEX(입력_구리근무자명단!$A$1:$GZ$303,$A172,$G$2+3),6,2)),VALUE(MID(INDEX(입력_구리근무자명단!$A$1:$GZ$303,$A172,$G$2+3),9,2))),IFERROR(DATEVALUE(SUBSTITUTE(TRIM(INDEX(입력_구리근무자명단!$A$1:$GZ$303,$A172,$G$2+3)),".","-")),"⚠"&amp;INDEX(입력_구리근무자명단!$A$1:$GZ$303,$A172,$G$2+3))))))</f>
        <v/>
      </c>
      <c r="H172" s="26">
        <f>IF($D172="","",IF(OR(NOT(ISNUMBER($F172)),NOT(ISNUMBER($G172))),0,MAX(0,MIN($G172,EOMONTH(출력_요약!$B$3,0))-MAX($F172,출력_요약!$B$3)+1)))</f>
        <v/>
      </c>
      <c r="I172" s="26">
        <f>IF($D172="","",TRIM(INDEX(입력_구리근무자명단!$A$1:$GZ$303,$A172,$G$2+5)&amp;""))</f>
        <v/>
      </c>
      <c r="J172" s="26">
        <f>IF($D172="","",IF(ISNUMBER(SEARCH("구리독자",$I172)),"구리독자",""))</f>
        <v/>
      </c>
      <c r="K172" s="29">
        <f>IF($D172="","",IF(COUNTIFS(입력_전공의명단!$C$2:$C$401,$D172,입력_전공의명단!$F$2:$F$401,IF(OR($C172="인턴",ISNUMBER(SEARCH("수련교육부",$B172))),"인턴",$B172))=1,MATCH($D172&amp;"|"&amp;IF(OR($C172="인턴",ISNUMBER(SEARCH("수련교육부",$B172))),"인턴",$B172),입력_전공의명단!$AP$2:$AP$401,0),IF(AND(COUNTIFS(입력_전공의명단!$C$2:$C$401,$D172,입력_전공의명단!$F$2:$F$401,IF(OR($C172="인턴",ISNUMBER(SEARCH("수련교육부",$B172))),"인턴",$B172))=0,COUNTIF(입력_전공의명단!$C$2:$C$401,$D172)=1),MATCH($D172,입력_전공의명단!$C$2:$C$401,0),"")))</f>
        <v/>
      </c>
      <c r="L172" s="26">
        <f>IF($D172="","",IF($K172&lt;&gt;"",IF(COUNTIFS(입력_전공의명단!$C$2:$C$401,$D172,입력_전공의명단!$F$2:$F$401,IF(OR($C172="인턴",ISNUMBER(SEARCH("수련교육부",$B172))),"인턴",$B172))=1,"명단 일치","명단 일치(이름만, 과 다름)"),IF(COUNTIF(입력_전공의명단!$C$2:$C$401,$D172)=0,IF(COUNTIF(입력_기본자료!$C$2:$C$1001,$D172)&gt;0,"명단에 없음(기본자료에는 있음)","명단에 없음"),"동명이인 확인")))</f>
        <v/>
      </c>
      <c r="N172" s="8" t="n">
        <v>167</v>
      </c>
      <c r="O172" s="8">
        <f>IF(ISNUMBER(SEARCH("근무예정자",(INDEX(입력_구리근무자명단!$A$3:$GZ$3,1,167)&amp;""))),IFERROR(VALUE(LEFT((INDEX(입력_구리근무자명단!$A$3:$GZ$3,1,167)&amp;""),4))*100+VALUE(MID((INDEX(입력_구리근무자명단!$A$3:$GZ$3,1,167)&amp;""),6,MIN(FIND("월",(INDEX(입력_구리근무자명단!$A$3:$GZ$3,1,167)&amp;"")&amp;"월"),FIND(CHAR(10),(INDEX(입력_구리근무자명단!$A$3:$GZ$3,1,167)&amp;"")&amp;CHAR(10)),FIND(" ",(INDEX(입력_구리근무자명단!$A$3:$GZ$3,1,167)&amp;"")&amp;" "))-6)),""),"")</f>
        <v/>
      </c>
    </row>
    <row r="173">
      <c r="A173" s="29" t="n">
        <v>171</v>
      </c>
      <c r="B173" s="26">
        <f>IF(TRIM(INDEX(입력_구리근무자명단!$A$1:$GZ$303,$A173,1)&amp;"")&lt;&gt;"",TRIM(INDEX(입력_구리근무자명단!$A$1:$GZ$303,$A173,1)&amp;""),B172)</f>
        <v/>
      </c>
      <c r="C173" s="26">
        <f>IF(INDEX(입력_구리근무자명단!$A$1:$GZ$303,$A173,2)="","",INDEX(입력_구리근무자명단!$A$1:$GZ$303,$A173,2))</f>
        <v/>
      </c>
      <c r="D173" s="26">
        <f>IF($G$2="","",TRIM(IF($I$2="확정",INDEX(입력_구리근무자명단!$A$1:$GZ$303,$A173,$G$2+1)&amp;"",INDEX(입력_구리근무자명단!$A$1:$GZ$303,$A173,$G$2+0)&amp;"")))</f>
        <v/>
      </c>
      <c r="E173" s="26">
        <f>IF($D173="","",$I$2)</f>
        <v/>
      </c>
      <c r="F173" s="28">
        <f>IF($D173="","",IF(INDEX(입력_구리근무자명단!$A$1:$GZ$303,$A173,$G$2+2)="",출력_요약!$B$3,IF(ISNUMBER(INDEX(입력_구리근무자명단!$A$1:$GZ$303,$A173,$G$2+2)),INDEX(입력_구리근무자명단!$A$1:$GZ$303,$A173,$G$2+2),IFERROR(DATE(VALUE(LEFT(INDEX(입력_구리근무자명단!$A$1:$GZ$303,$A173,$G$2+2),4)),VALUE(MID(INDEX(입력_구리근무자명단!$A$1:$GZ$303,$A173,$G$2+2),6,2)),VALUE(MID(INDEX(입력_구리근무자명단!$A$1:$GZ$303,$A173,$G$2+2),9,2))),IFERROR(DATEVALUE(SUBSTITUTE(TRIM(INDEX(입력_구리근무자명단!$A$1:$GZ$303,$A173,$G$2+2)),".","-")),"⚠"&amp;INDEX(입력_구리근무자명단!$A$1:$GZ$303,$A173,$G$2+2))))))</f>
        <v/>
      </c>
      <c r="G173" s="28">
        <f>IF($D173="","",IF(INDEX(입력_구리근무자명단!$A$1:$GZ$303,$A173,$G$2+3)="",EOMONTH(출력_요약!$B$3,0),IF(ISNUMBER(INDEX(입력_구리근무자명단!$A$1:$GZ$303,$A173,$G$2+3)),INDEX(입력_구리근무자명단!$A$1:$GZ$303,$A173,$G$2+3),IFERROR(DATE(VALUE(LEFT(INDEX(입력_구리근무자명단!$A$1:$GZ$303,$A173,$G$2+3),4)),VALUE(MID(INDEX(입력_구리근무자명단!$A$1:$GZ$303,$A173,$G$2+3),6,2)),VALUE(MID(INDEX(입력_구리근무자명단!$A$1:$GZ$303,$A173,$G$2+3),9,2))),IFERROR(DATEVALUE(SUBSTITUTE(TRIM(INDEX(입력_구리근무자명단!$A$1:$GZ$303,$A173,$G$2+3)),".","-")),"⚠"&amp;INDEX(입력_구리근무자명단!$A$1:$GZ$303,$A173,$G$2+3))))))</f>
        <v/>
      </c>
      <c r="H173" s="26">
        <f>IF($D173="","",IF(OR(NOT(ISNUMBER($F173)),NOT(ISNUMBER($G173))),0,MAX(0,MIN($G173,EOMONTH(출력_요약!$B$3,0))-MAX($F173,출력_요약!$B$3)+1)))</f>
        <v/>
      </c>
      <c r="I173" s="26">
        <f>IF($D173="","",TRIM(INDEX(입력_구리근무자명단!$A$1:$GZ$303,$A173,$G$2+5)&amp;""))</f>
        <v/>
      </c>
      <c r="J173" s="26">
        <f>IF($D173="","",IF(ISNUMBER(SEARCH("구리독자",$I173)),"구리독자",""))</f>
        <v/>
      </c>
      <c r="K173" s="29">
        <f>IF($D173="","",IF(COUNTIFS(입력_전공의명단!$C$2:$C$401,$D173,입력_전공의명단!$F$2:$F$401,IF(OR($C173="인턴",ISNUMBER(SEARCH("수련교육부",$B173))),"인턴",$B173))=1,MATCH($D173&amp;"|"&amp;IF(OR($C173="인턴",ISNUMBER(SEARCH("수련교육부",$B173))),"인턴",$B173),입력_전공의명단!$AP$2:$AP$401,0),IF(AND(COUNTIFS(입력_전공의명단!$C$2:$C$401,$D173,입력_전공의명단!$F$2:$F$401,IF(OR($C173="인턴",ISNUMBER(SEARCH("수련교육부",$B173))),"인턴",$B173))=0,COUNTIF(입력_전공의명단!$C$2:$C$401,$D173)=1),MATCH($D173,입력_전공의명단!$C$2:$C$401,0),"")))</f>
        <v/>
      </c>
      <c r="L173" s="26">
        <f>IF($D173="","",IF($K173&lt;&gt;"",IF(COUNTIFS(입력_전공의명단!$C$2:$C$401,$D173,입력_전공의명단!$F$2:$F$401,IF(OR($C173="인턴",ISNUMBER(SEARCH("수련교육부",$B173))),"인턴",$B173))=1,"명단 일치","명단 일치(이름만, 과 다름)"),IF(COUNTIF(입력_전공의명단!$C$2:$C$401,$D173)=0,IF(COUNTIF(입력_기본자료!$C$2:$C$1001,$D173)&gt;0,"명단에 없음(기본자료에는 있음)","명단에 없음"),"동명이인 확인")))</f>
        <v/>
      </c>
      <c r="N173" s="8" t="n">
        <v>168</v>
      </c>
      <c r="O173" s="8">
        <f>IF(ISNUMBER(SEARCH("근무예정자",(INDEX(입력_구리근무자명단!$A$3:$GZ$3,1,168)&amp;""))),IFERROR(VALUE(LEFT((INDEX(입력_구리근무자명단!$A$3:$GZ$3,1,168)&amp;""),4))*100+VALUE(MID((INDEX(입력_구리근무자명단!$A$3:$GZ$3,1,168)&amp;""),6,MIN(FIND("월",(INDEX(입력_구리근무자명단!$A$3:$GZ$3,1,168)&amp;"")&amp;"월"),FIND(CHAR(10),(INDEX(입력_구리근무자명단!$A$3:$GZ$3,1,168)&amp;"")&amp;CHAR(10)),FIND(" ",(INDEX(입력_구리근무자명단!$A$3:$GZ$3,1,168)&amp;"")&amp;" "))-6)),""),"")</f>
        <v/>
      </c>
    </row>
    <row r="174">
      <c r="A174" s="29" t="n">
        <v>172</v>
      </c>
      <c r="B174" s="26">
        <f>IF(TRIM(INDEX(입력_구리근무자명단!$A$1:$GZ$303,$A174,1)&amp;"")&lt;&gt;"",TRIM(INDEX(입력_구리근무자명단!$A$1:$GZ$303,$A174,1)&amp;""),B173)</f>
        <v/>
      </c>
      <c r="C174" s="26">
        <f>IF(INDEX(입력_구리근무자명단!$A$1:$GZ$303,$A174,2)="","",INDEX(입력_구리근무자명단!$A$1:$GZ$303,$A174,2))</f>
        <v/>
      </c>
      <c r="D174" s="26">
        <f>IF($G$2="","",TRIM(IF($I$2="확정",INDEX(입력_구리근무자명단!$A$1:$GZ$303,$A174,$G$2+1)&amp;"",INDEX(입력_구리근무자명단!$A$1:$GZ$303,$A174,$G$2+0)&amp;"")))</f>
        <v/>
      </c>
      <c r="E174" s="26">
        <f>IF($D174="","",$I$2)</f>
        <v/>
      </c>
      <c r="F174" s="28">
        <f>IF($D174="","",IF(INDEX(입력_구리근무자명단!$A$1:$GZ$303,$A174,$G$2+2)="",출력_요약!$B$3,IF(ISNUMBER(INDEX(입력_구리근무자명단!$A$1:$GZ$303,$A174,$G$2+2)),INDEX(입력_구리근무자명단!$A$1:$GZ$303,$A174,$G$2+2),IFERROR(DATE(VALUE(LEFT(INDEX(입력_구리근무자명단!$A$1:$GZ$303,$A174,$G$2+2),4)),VALUE(MID(INDEX(입력_구리근무자명단!$A$1:$GZ$303,$A174,$G$2+2),6,2)),VALUE(MID(INDEX(입력_구리근무자명단!$A$1:$GZ$303,$A174,$G$2+2),9,2))),IFERROR(DATEVALUE(SUBSTITUTE(TRIM(INDEX(입력_구리근무자명단!$A$1:$GZ$303,$A174,$G$2+2)),".","-")),"⚠"&amp;INDEX(입력_구리근무자명단!$A$1:$GZ$303,$A174,$G$2+2))))))</f>
        <v/>
      </c>
      <c r="G174" s="28">
        <f>IF($D174="","",IF(INDEX(입력_구리근무자명단!$A$1:$GZ$303,$A174,$G$2+3)="",EOMONTH(출력_요약!$B$3,0),IF(ISNUMBER(INDEX(입력_구리근무자명단!$A$1:$GZ$303,$A174,$G$2+3)),INDEX(입력_구리근무자명단!$A$1:$GZ$303,$A174,$G$2+3),IFERROR(DATE(VALUE(LEFT(INDEX(입력_구리근무자명단!$A$1:$GZ$303,$A174,$G$2+3),4)),VALUE(MID(INDEX(입력_구리근무자명단!$A$1:$GZ$303,$A174,$G$2+3),6,2)),VALUE(MID(INDEX(입력_구리근무자명단!$A$1:$GZ$303,$A174,$G$2+3),9,2))),IFERROR(DATEVALUE(SUBSTITUTE(TRIM(INDEX(입력_구리근무자명단!$A$1:$GZ$303,$A174,$G$2+3)),".","-")),"⚠"&amp;INDEX(입력_구리근무자명단!$A$1:$GZ$303,$A174,$G$2+3))))))</f>
        <v/>
      </c>
      <c r="H174" s="26">
        <f>IF($D174="","",IF(OR(NOT(ISNUMBER($F174)),NOT(ISNUMBER($G174))),0,MAX(0,MIN($G174,EOMONTH(출력_요약!$B$3,0))-MAX($F174,출력_요약!$B$3)+1)))</f>
        <v/>
      </c>
      <c r="I174" s="26">
        <f>IF($D174="","",TRIM(INDEX(입력_구리근무자명단!$A$1:$GZ$303,$A174,$G$2+5)&amp;""))</f>
        <v/>
      </c>
      <c r="J174" s="26">
        <f>IF($D174="","",IF(ISNUMBER(SEARCH("구리독자",$I174)),"구리독자",""))</f>
        <v/>
      </c>
      <c r="K174" s="29">
        <f>IF($D174="","",IF(COUNTIFS(입력_전공의명단!$C$2:$C$401,$D174,입력_전공의명단!$F$2:$F$401,IF(OR($C174="인턴",ISNUMBER(SEARCH("수련교육부",$B174))),"인턴",$B174))=1,MATCH($D174&amp;"|"&amp;IF(OR($C174="인턴",ISNUMBER(SEARCH("수련교육부",$B174))),"인턴",$B174),입력_전공의명단!$AP$2:$AP$401,0),IF(AND(COUNTIFS(입력_전공의명단!$C$2:$C$401,$D174,입력_전공의명단!$F$2:$F$401,IF(OR($C174="인턴",ISNUMBER(SEARCH("수련교육부",$B174))),"인턴",$B174))=0,COUNTIF(입력_전공의명단!$C$2:$C$401,$D174)=1),MATCH($D174,입력_전공의명단!$C$2:$C$401,0),"")))</f>
        <v/>
      </c>
      <c r="L174" s="26">
        <f>IF($D174="","",IF($K174&lt;&gt;"",IF(COUNTIFS(입력_전공의명단!$C$2:$C$401,$D174,입력_전공의명단!$F$2:$F$401,IF(OR($C174="인턴",ISNUMBER(SEARCH("수련교육부",$B174))),"인턴",$B174))=1,"명단 일치","명단 일치(이름만, 과 다름)"),IF(COUNTIF(입력_전공의명단!$C$2:$C$401,$D174)=0,IF(COUNTIF(입력_기본자료!$C$2:$C$1001,$D174)&gt;0,"명단에 없음(기본자료에는 있음)","명단에 없음"),"동명이인 확인")))</f>
        <v/>
      </c>
      <c r="N174" s="8" t="n">
        <v>169</v>
      </c>
      <c r="O174" s="8">
        <f>IF(ISNUMBER(SEARCH("근무예정자",(INDEX(입력_구리근무자명단!$A$3:$GZ$3,1,169)&amp;""))),IFERROR(VALUE(LEFT((INDEX(입력_구리근무자명단!$A$3:$GZ$3,1,169)&amp;""),4))*100+VALUE(MID((INDEX(입력_구리근무자명단!$A$3:$GZ$3,1,169)&amp;""),6,MIN(FIND("월",(INDEX(입력_구리근무자명단!$A$3:$GZ$3,1,169)&amp;"")&amp;"월"),FIND(CHAR(10),(INDEX(입력_구리근무자명단!$A$3:$GZ$3,1,169)&amp;"")&amp;CHAR(10)),FIND(" ",(INDEX(입력_구리근무자명단!$A$3:$GZ$3,1,169)&amp;"")&amp;" "))-6)),""),"")</f>
        <v/>
      </c>
    </row>
    <row r="175">
      <c r="A175" s="29" t="n">
        <v>173</v>
      </c>
      <c r="B175" s="26">
        <f>IF(TRIM(INDEX(입력_구리근무자명단!$A$1:$GZ$303,$A175,1)&amp;"")&lt;&gt;"",TRIM(INDEX(입력_구리근무자명단!$A$1:$GZ$303,$A175,1)&amp;""),B174)</f>
        <v/>
      </c>
      <c r="C175" s="26">
        <f>IF(INDEX(입력_구리근무자명단!$A$1:$GZ$303,$A175,2)="","",INDEX(입력_구리근무자명단!$A$1:$GZ$303,$A175,2))</f>
        <v/>
      </c>
      <c r="D175" s="26">
        <f>IF($G$2="","",TRIM(IF($I$2="확정",INDEX(입력_구리근무자명단!$A$1:$GZ$303,$A175,$G$2+1)&amp;"",INDEX(입력_구리근무자명단!$A$1:$GZ$303,$A175,$G$2+0)&amp;"")))</f>
        <v/>
      </c>
      <c r="E175" s="26">
        <f>IF($D175="","",$I$2)</f>
        <v/>
      </c>
      <c r="F175" s="28">
        <f>IF($D175="","",IF(INDEX(입력_구리근무자명단!$A$1:$GZ$303,$A175,$G$2+2)="",출력_요약!$B$3,IF(ISNUMBER(INDEX(입력_구리근무자명단!$A$1:$GZ$303,$A175,$G$2+2)),INDEX(입력_구리근무자명단!$A$1:$GZ$303,$A175,$G$2+2),IFERROR(DATE(VALUE(LEFT(INDEX(입력_구리근무자명단!$A$1:$GZ$303,$A175,$G$2+2),4)),VALUE(MID(INDEX(입력_구리근무자명단!$A$1:$GZ$303,$A175,$G$2+2),6,2)),VALUE(MID(INDEX(입력_구리근무자명단!$A$1:$GZ$303,$A175,$G$2+2),9,2))),IFERROR(DATEVALUE(SUBSTITUTE(TRIM(INDEX(입력_구리근무자명단!$A$1:$GZ$303,$A175,$G$2+2)),".","-")),"⚠"&amp;INDEX(입력_구리근무자명단!$A$1:$GZ$303,$A175,$G$2+2))))))</f>
        <v/>
      </c>
      <c r="G175" s="28">
        <f>IF($D175="","",IF(INDEX(입력_구리근무자명단!$A$1:$GZ$303,$A175,$G$2+3)="",EOMONTH(출력_요약!$B$3,0),IF(ISNUMBER(INDEX(입력_구리근무자명단!$A$1:$GZ$303,$A175,$G$2+3)),INDEX(입력_구리근무자명단!$A$1:$GZ$303,$A175,$G$2+3),IFERROR(DATE(VALUE(LEFT(INDEX(입력_구리근무자명단!$A$1:$GZ$303,$A175,$G$2+3),4)),VALUE(MID(INDEX(입력_구리근무자명단!$A$1:$GZ$303,$A175,$G$2+3),6,2)),VALUE(MID(INDEX(입력_구리근무자명단!$A$1:$GZ$303,$A175,$G$2+3),9,2))),IFERROR(DATEVALUE(SUBSTITUTE(TRIM(INDEX(입력_구리근무자명단!$A$1:$GZ$303,$A175,$G$2+3)),".","-")),"⚠"&amp;INDEX(입력_구리근무자명단!$A$1:$GZ$303,$A175,$G$2+3))))))</f>
        <v/>
      </c>
      <c r="H175" s="26">
        <f>IF($D175="","",IF(OR(NOT(ISNUMBER($F175)),NOT(ISNUMBER($G175))),0,MAX(0,MIN($G175,EOMONTH(출력_요약!$B$3,0))-MAX($F175,출력_요약!$B$3)+1)))</f>
        <v/>
      </c>
      <c r="I175" s="26">
        <f>IF($D175="","",TRIM(INDEX(입력_구리근무자명단!$A$1:$GZ$303,$A175,$G$2+5)&amp;""))</f>
        <v/>
      </c>
      <c r="J175" s="26">
        <f>IF($D175="","",IF(ISNUMBER(SEARCH("구리독자",$I175)),"구리독자",""))</f>
        <v/>
      </c>
      <c r="K175" s="29">
        <f>IF($D175="","",IF(COUNTIFS(입력_전공의명단!$C$2:$C$401,$D175,입력_전공의명단!$F$2:$F$401,IF(OR($C175="인턴",ISNUMBER(SEARCH("수련교육부",$B175))),"인턴",$B175))=1,MATCH($D175&amp;"|"&amp;IF(OR($C175="인턴",ISNUMBER(SEARCH("수련교육부",$B175))),"인턴",$B175),입력_전공의명단!$AP$2:$AP$401,0),IF(AND(COUNTIFS(입력_전공의명단!$C$2:$C$401,$D175,입력_전공의명단!$F$2:$F$401,IF(OR($C175="인턴",ISNUMBER(SEARCH("수련교육부",$B175))),"인턴",$B175))=0,COUNTIF(입력_전공의명단!$C$2:$C$401,$D175)=1),MATCH($D175,입력_전공의명단!$C$2:$C$401,0),"")))</f>
        <v/>
      </c>
      <c r="L175" s="26">
        <f>IF($D175="","",IF($K175&lt;&gt;"",IF(COUNTIFS(입력_전공의명단!$C$2:$C$401,$D175,입력_전공의명단!$F$2:$F$401,IF(OR($C175="인턴",ISNUMBER(SEARCH("수련교육부",$B175))),"인턴",$B175))=1,"명단 일치","명단 일치(이름만, 과 다름)"),IF(COUNTIF(입력_전공의명단!$C$2:$C$401,$D175)=0,IF(COUNTIF(입력_기본자료!$C$2:$C$1001,$D175)&gt;0,"명단에 없음(기본자료에는 있음)","명단에 없음"),"동명이인 확인")))</f>
        <v/>
      </c>
      <c r="N175" s="8" t="n">
        <v>170</v>
      </c>
      <c r="O175" s="8">
        <f>IF(ISNUMBER(SEARCH("근무예정자",(INDEX(입력_구리근무자명단!$A$3:$GZ$3,1,170)&amp;""))),IFERROR(VALUE(LEFT((INDEX(입력_구리근무자명단!$A$3:$GZ$3,1,170)&amp;""),4))*100+VALUE(MID((INDEX(입력_구리근무자명단!$A$3:$GZ$3,1,170)&amp;""),6,MIN(FIND("월",(INDEX(입력_구리근무자명단!$A$3:$GZ$3,1,170)&amp;"")&amp;"월"),FIND(CHAR(10),(INDEX(입력_구리근무자명단!$A$3:$GZ$3,1,170)&amp;"")&amp;CHAR(10)),FIND(" ",(INDEX(입력_구리근무자명단!$A$3:$GZ$3,1,170)&amp;"")&amp;" "))-6)),""),"")</f>
        <v/>
      </c>
    </row>
    <row r="176">
      <c r="A176" s="29" t="n">
        <v>174</v>
      </c>
      <c r="B176" s="26">
        <f>IF(TRIM(INDEX(입력_구리근무자명단!$A$1:$GZ$303,$A176,1)&amp;"")&lt;&gt;"",TRIM(INDEX(입력_구리근무자명단!$A$1:$GZ$303,$A176,1)&amp;""),B175)</f>
        <v/>
      </c>
      <c r="C176" s="26">
        <f>IF(INDEX(입력_구리근무자명단!$A$1:$GZ$303,$A176,2)="","",INDEX(입력_구리근무자명단!$A$1:$GZ$303,$A176,2))</f>
        <v/>
      </c>
      <c r="D176" s="26">
        <f>IF($G$2="","",TRIM(IF($I$2="확정",INDEX(입력_구리근무자명단!$A$1:$GZ$303,$A176,$G$2+1)&amp;"",INDEX(입력_구리근무자명단!$A$1:$GZ$303,$A176,$G$2+0)&amp;"")))</f>
        <v/>
      </c>
      <c r="E176" s="26">
        <f>IF($D176="","",$I$2)</f>
        <v/>
      </c>
      <c r="F176" s="28">
        <f>IF($D176="","",IF(INDEX(입력_구리근무자명단!$A$1:$GZ$303,$A176,$G$2+2)="",출력_요약!$B$3,IF(ISNUMBER(INDEX(입력_구리근무자명단!$A$1:$GZ$303,$A176,$G$2+2)),INDEX(입력_구리근무자명단!$A$1:$GZ$303,$A176,$G$2+2),IFERROR(DATE(VALUE(LEFT(INDEX(입력_구리근무자명단!$A$1:$GZ$303,$A176,$G$2+2),4)),VALUE(MID(INDEX(입력_구리근무자명단!$A$1:$GZ$303,$A176,$G$2+2),6,2)),VALUE(MID(INDEX(입력_구리근무자명단!$A$1:$GZ$303,$A176,$G$2+2),9,2))),IFERROR(DATEVALUE(SUBSTITUTE(TRIM(INDEX(입력_구리근무자명단!$A$1:$GZ$303,$A176,$G$2+2)),".","-")),"⚠"&amp;INDEX(입력_구리근무자명단!$A$1:$GZ$303,$A176,$G$2+2))))))</f>
        <v/>
      </c>
      <c r="G176" s="28">
        <f>IF($D176="","",IF(INDEX(입력_구리근무자명단!$A$1:$GZ$303,$A176,$G$2+3)="",EOMONTH(출력_요약!$B$3,0),IF(ISNUMBER(INDEX(입력_구리근무자명단!$A$1:$GZ$303,$A176,$G$2+3)),INDEX(입력_구리근무자명단!$A$1:$GZ$303,$A176,$G$2+3),IFERROR(DATE(VALUE(LEFT(INDEX(입력_구리근무자명단!$A$1:$GZ$303,$A176,$G$2+3),4)),VALUE(MID(INDEX(입력_구리근무자명단!$A$1:$GZ$303,$A176,$G$2+3),6,2)),VALUE(MID(INDEX(입력_구리근무자명단!$A$1:$GZ$303,$A176,$G$2+3),9,2))),IFERROR(DATEVALUE(SUBSTITUTE(TRIM(INDEX(입력_구리근무자명단!$A$1:$GZ$303,$A176,$G$2+3)),".","-")),"⚠"&amp;INDEX(입력_구리근무자명단!$A$1:$GZ$303,$A176,$G$2+3))))))</f>
        <v/>
      </c>
      <c r="H176" s="26">
        <f>IF($D176="","",IF(OR(NOT(ISNUMBER($F176)),NOT(ISNUMBER($G176))),0,MAX(0,MIN($G176,EOMONTH(출력_요약!$B$3,0))-MAX($F176,출력_요약!$B$3)+1)))</f>
        <v/>
      </c>
      <c r="I176" s="26">
        <f>IF($D176="","",TRIM(INDEX(입력_구리근무자명단!$A$1:$GZ$303,$A176,$G$2+5)&amp;""))</f>
        <v/>
      </c>
      <c r="J176" s="26">
        <f>IF($D176="","",IF(ISNUMBER(SEARCH("구리독자",$I176)),"구리독자",""))</f>
        <v/>
      </c>
      <c r="K176" s="29">
        <f>IF($D176="","",IF(COUNTIFS(입력_전공의명단!$C$2:$C$401,$D176,입력_전공의명단!$F$2:$F$401,IF(OR($C176="인턴",ISNUMBER(SEARCH("수련교육부",$B176))),"인턴",$B176))=1,MATCH($D176&amp;"|"&amp;IF(OR($C176="인턴",ISNUMBER(SEARCH("수련교육부",$B176))),"인턴",$B176),입력_전공의명단!$AP$2:$AP$401,0),IF(AND(COUNTIFS(입력_전공의명단!$C$2:$C$401,$D176,입력_전공의명단!$F$2:$F$401,IF(OR($C176="인턴",ISNUMBER(SEARCH("수련교육부",$B176))),"인턴",$B176))=0,COUNTIF(입력_전공의명단!$C$2:$C$401,$D176)=1),MATCH($D176,입력_전공의명단!$C$2:$C$401,0),"")))</f>
        <v/>
      </c>
      <c r="L176" s="26">
        <f>IF($D176="","",IF($K176&lt;&gt;"",IF(COUNTIFS(입력_전공의명단!$C$2:$C$401,$D176,입력_전공의명단!$F$2:$F$401,IF(OR($C176="인턴",ISNUMBER(SEARCH("수련교육부",$B176))),"인턴",$B176))=1,"명단 일치","명단 일치(이름만, 과 다름)"),IF(COUNTIF(입력_전공의명단!$C$2:$C$401,$D176)=0,IF(COUNTIF(입력_기본자료!$C$2:$C$1001,$D176)&gt;0,"명단에 없음(기본자료에는 있음)","명단에 없음"),"동명이인 확인")))</f>
        <v/>
      </c>
      <c r="N176" s="8" t="n">
        <v>171</v>
      </c>
      <c r="O176" s="8">
        <f>IF(ISNUMBER(SEARCH("근무예정자",(INDEX(입력_구리근무자명단!$A$3:$GZ$3,1,171)&amp;""))),IFERROR(VALUE(LEFT((INDEX(입력_구리근무자명단!$A$3:$GZ$3,1,171)&amp;""),4))*100+VALUE(MID((INDEX(입력_구리근무자명단!$A$3:$GZ$3,1,171)&amp;""),6,MIN(FIND("월",(INDEX(입력_구리근무자명단!$A$3:$GZ$3,1,171)&amp;"")&amp;"월"),FIND(CHAR(10),(INDEX(입력_구리근무자명단!$A$3:$GZ$3,1,171)&amp;"")&amp;CHAR(10)),FIND(" ",(INDEX(입력_구리근무자명단!$A$3:$GZ$3,1,171)&amp;"")&amp;" "))-6)),""),"")</f>
        <v/>
      </c>
    </row>
    <row r="177">
      <c r="A177" s="29" t="n">
        <v>175</v>
      </c>
      <c r="B177" s="26">
        <f>IF(TRIM(INDEX(입력_구리근무자명단!$A$1:$GZ$303,$A177,1)&amp;"")&lt;&gt;"",TRIM(INDEX(입력_구리근무자명단!$A$1:$GZ$303,$A177,1)&amp;""),B176)</f>
        <v/>
      </c>
      <c r="C177" s="26">
        <f>IF(INDEX(입력_구리근무자명단!$A$1:$GZ$303,$A177,2)="","",INDEX(입력_구리근무자명단!$A$1:$GZ$303,$A177,2))</f>
        <v/>
      </c>
      <c r="D177" s="26">
        <f>IF($G$2="","",TRIM(IF($I$2="확정",INDEX(입력_구리근무자명단!$A$1:$GZ$303,$A177,$G$2+1)&amp;"",INDEX(입력_구리근무자명단!$A$1:$GZ$303,$A177,$G$2+0)&amp;"")))</f>
        <v/>
      </c>
      <c r="E177" s="26">
        <f>IF($D177="","",$I$2)</f>
        <v/>
      </c>
      <c r="F177" s="28">
        <f>IF($D177="","",IF(INDEX(입력_구리근무자명단!$A$1:$GZ$303,$A177,$G$2+2)="",출력_요약!$B$3,IF(ISNUMBER(INDEX(입력_구리근무자명단!$A$1:$GZ$303,$A177,$G$2+2)),INDEX(입력_구리근무자명단!$A$1:$GZ$303,$A177,$G$2+2),IFERROR(DATE(VALUE(LEFT(INDEX(입력_구리근무자명단!$A$1:$GZ$303,$A177,$G$2+2),4)),VALUE(MID(INDEX(입력_구리근무자명단!$A$1:$GZ$303,$A177,$G$2+2),6,2)),VALUE(MID(INDEX(입력_구리근무자명단!$A$1:$GZ$303,$A177,$G$2+2),9,2))),IFERROR(DATEVALUE(SUBSTITUTE(TRIM(INDEX(입력_구리근무자명단!$A$1:$GZ$303,$A177,$G$2+2)),".","-")),"⚠"&amp;INDEX(입력_구리근무자명단!$A$1:$GZ$303,$A177,$G$2+2))))))</f>
        <v/>
      </c>
      <c r="G177" s="28">
        <f>IF($D177="","",IF(INDEX(입력_구리근무자명단!$A$1:$GZ$303,$A177,$G$2+3)="",EOMONTH(출력_요약!$B$3,0),IF(ISNUMBER(INDEX(입력_구리근무자명단!$A$1:$GZ$303,$A177,$G$2+3)),INDEX(입력_구리근무자명단!$A$1:$GZ$303,$A177,$G$2+3),IFERROR(DATE(VALUE(LEFT(INDEX(입력_구리근무자명단!$A$1:$GZ$303,$A177,$G$2+3),4)),VALUE(MID(INDEX(입력_구리근무자명단!$A$1:$GZ$303,$A177,$G$2+3),6,2)),VALUE(MID(INDEX(입력_구리근무자명단!$A$1:$GZ$303,$A177,$G$2+3),9,2))),IFERROR(DATEVALUE(SUBSTITUTE(TRIM(INDEX(입력_구리근무자명단!$A$1:$GZ$303,$A177,$G$2+3)),".","-")),"⚠"&amp;INDEX(입력_구리근무자명단!$A$1:$GZ$303,$A177,$G$2+3))))))</f>
        <v/>
      </c>
      <c r="H177" s="26">
        <f>IF($D177="","",IF(OR(NOT(ISNUMBER($F177)),NOT(ISNUMBER($G177))),0,MAX(0,MIN($G177,EOMONTH(출력_요약!$B$3,0))-MAX($F177,출력_요약!$B$3)+1)))</f>
        <v/>
      </c>
      <c r="I177" s="26">
        <f>IF($D177="","",TRIM(INDEX(입력_구리근무자명단!$A$1:$GZ$303,$A177,$G$2+5)&amp;""))</f>
        <v/>
      </c>
      <c r="J177" s="26">
        <f>IF($D177="","",IF(ISNUMBER(SEARCH("구리독자",$I177)),"구리독자",""))</f>
        <v/>
      </c>
      <c r="K177" s="29">
        <f>IF($D177="","",IF(COUNTIFS(입력_전공의명단!$C$2:$C$401,$D177,입력_전공의명단!$F$2:$F$401,IF(OR($C177="인턴",ISNUMBER(SEARCH("수련교육부",$B177))),"인턴",$B177))=1,MATCH($D177&amp;"|"&amp;IF(OR($C177="인턴",ISNUMBER(SEARCH("수련교육부",$B177))),"인턴",$B177),입력_전공의명단!$AP$2:$AP$401,0),IF(AND(COUNTIFS(입력_전공의명단!$C$2:$C$401,$D177,입력_전공의명단!$F$2:$F$401,IF(OR($C177="인턴",ISNUMBER(SEARCH("수련교육부",$B177))),"인턴",$B177))=0,COUNTIF(입력_전공의명단!$C$2:$C$401,$D177)=1),MATCH($D177,입력_전공의명단!$C$2:$C$401,0),"")))</f>
        <v/>
      </c>
      <c r="L177" s="26">
        <f>IF($D177="","",IF($K177&lt;&gt;"",IF(COUNTIFS(입력_전공의명단!$C$2:$C$401,$D177,입력_전공의명단!$F$2:$F$401,IF(OR($C177="인턴",ISNUMBER(SEARCH("수련교육부",$B177))),"인턴",$B177))=1,"명단 일치","명단 일치(이름만, 과 다름)"),IF(COUNTIF(입력_전공의명단!$C$2:$C$401,$D177)=0,IF(COUNTIF(입력_기본자료!$C$2:$C$1001,$D177)&gt;0,"명단에 없음(기본자료에는 있음)","명단에 없음"),"동명이인 확인")))</f>
        <v/>
      </c>
      <c r="N177" s="8" t="n">
        <v>172</v>
      </c>
      <c r="O177" s="8">
        <f>IF(ISNUMBER(SEARCH("근무예정자",(INDEX(입력_구리근무자명단!$A$3:$GZ$3,1,172)&amp;""))),IFERROR(VALUE(LEFT((INDEX(입력_구리근무자명단!$A$3:$GZ$3,1,172)&amp;""),4))*100+VALUE(MID((INDEX(입력_구리근무자명단!$A$3:$GZ$3,1,172)&amp;""),6,MIN(FIND("월",(INDEX(입력_구리근무자명단!$A$3:$GZ$3,1,172)&amp;"")&amp;"월"),FIND(CHAR(10),(INDEX(입력_구리근무자명단!$A$3:$GZ$3,1,172)&amp;"")&amp;CHAR(10)),FIND(" ",(INDEX(입력_구리근무자명단!$A$3:$GZ$3,1,172)&amp;"")&amp;" "))-6)),""),"")</f>
        <v/>
      </c>
    </row>
    <row r="178">
      <c r="A178" s="29" t="n">
        <v>176</v>
      </c>
      <c r="B178" s="26">
        <f>IF(TRIM(INDEX(입력_구리근무자명단!$A$1:$GZ$303,$A178,1)&amp;"")&lt;&gt;"",TRIM(INDEX(입력_구리근무자명단!$A$1:$GZ$303,$A178,1)&amp;""),B177)</f>
        <v/>
      </c>
      <c r="C178" s="26">
        <f>IF(INDEX(입력_구리근무자명단!$A$1:$GZ$303,$A178,2)="","",INDEX(입력_구리근무자명단!$A$1:$GZ$303,$A178,2))</f>
        <v/>
      </c>
      <c r="D178" s="26">
        <f>IF($G$2="","",TRIM(IF($I$2="확정",INDEX(입력_구리근무자명단!$A$1:$GZ$303,$A178,$G$2+1)&amp;"",INDEX(입력_구리근무자명단!$A$1:$GZ$303,$A178,$G$2+0)&amp;"")))</f>
        <v/>
      </c>
      <c r="E178" s="26">
        <f>IF($D178="","",$I$2)</f>
        <v/>
      </c>
      <c r="F178" s="28">
        <f>IF($D178="","",IF(INDEX(입력_구리근무자명단!$A$1:$GZ$303,$A178,$G$2+2)="",출력_요약!$B$3,IF(ISNUMBER(INDEX(입력_구리근무자명단!$A$1:$GZ$303,$A178,$G$2+2)),INDEX(입력_구리근무자명단!$A$1:$GZ$303,$A178,$G$2+2),IFERROR(DATE(VALUE(LEFT(INDEX(입력_구리근무자명단!$A$1:$GZ$303,$A178,$G$2+2),4)),VALUE(MID(INDEX(입력_구리근무자명단!$A$1:$GZ$303,$A178,$G$2+2),6,2)),VALUE(MID(INDEX(입력_구리근무자명단!$A$1:$GZ$303,$A178,$G$2+2),9,2))),IFERROR(DATEVALUE(SUBSTITUTE(TRIM(INDEX(입력_구리근무자명단!$A$1:$GZ$303,$A178,$G$2+2)),".","-")),"⚠"&amp;INDEX(입력_구리근무자명단!$A$1:$GZ$303,$A178,$G$2+2))))))</f>
        <v/>
      </c>
      <c r="G178" s="28">
        <f>IF($D178="","",IF(INDEX(입력_구리근무자명단!$A$1:$GZ$303,$A178,$G$2+3)="",EOMONTH(출력_요약!$B$3,0),IF(ISNUMBER(INDEX(입력_구리근무자명단!$A$1:$GZ$303,$A178,$G$2+3)),INDEX(입력_구리근무자명단!$A$1:$GZ$303,$A178,$G$2+3),IFERROR(DATE(VALUE(LEFT(INDEX(입력_구리근무자명단!$A$1:$GZ$303,$A178,$G$2+3),4)),VALUE(MID(INDEX(입력_구리근무자명단!$A$1:$GZ$303,$A178,$G$2+3),6,2)),VALUE(MID(INDEX(입력_구리근무자명단!$A$1:$GZ$303,$A178,$G$2+3),9,2))),IFERROR(DATEVALUE(SUBSTITUTE(TRIM(INDEX(입력_구리근무자명단!$A$1:$GZ$303,$A178,$G$2+3)),".","-")),"⚠"&amp;INDEX(입력_구리근무자명단!$A$1:$GZ$303,$A178,$G$2+3))))))</f>
        <v/>
      </c>
      <c r="H178" s="26">
        <f>IF($D178="","",IF(OR(NOT(ISNUMBER($F178)),NOT(ISNUMBER($G178))),0,MAX(0,MIN($G178,EOMONTH(출력_요약!$B$3,0))-MAX($F178,출력_요약!$B$3)+1)))</f>
        <v/>
      </c>
      <c r="I178" s="26">
        <f>IF($D178="","",TRIM(INDEX(입력_구리근무자명단!$A$1:$GZ$303,$A178,$G$2+5)&amp;""))</f>
        <v/>
      </c>
      <c r="J178" s="26">
        <f>IF($D178="","",IF(ISNUMBER(SEARCH("구리독자",$I178)),"구리독자",""))</f>
        <v/>
      </c>
      <c r="K178" s="29">
        <f>IF($D178="","",IF(COUNTIFS(입력_전공의명단!$C$2:$C$401,$D178,입력_전공의명단!$F$2:$F$401,IF(OR($C178="인턴",ISNUMBER(SEARCH("수련교육부",$B178))),"인턴",$B178))=1,MATCH($D178&amp;"|"&amp;IF(OR($C178="인턴",ISNUMBER(SEARCH("수련교육부",$B178))),"인턴",$B178),입력_전공의명단!$AP$2:$AP$401,0),IF(AND(COUNTIFS(입력_전공의명단!$C$2:$C$401,$D178,입력_전공의명단!$F$2:$F$401,IF(OR($C178="인턴",ISNUMBER(SEARCH("수련교육부",$B178))),"인턴",$B178))=0,COUNTIF(입력_전공의명단!$C$2:$C$401,$D178)=1),MATCH($D178,입력_전공의명단!$C$2:$C$401,0),"")))</f>
        <v/>
      </c>
      <c r="L178" s="26">
        <f>IF($D178="","",IF($K178&lt;&gt;"",IF(COUNTIFS(입력_전공의명단!$C$2:$C$401,$D178,입력_전공의명단!$F$2:$F$401,IF(OR($C178="인턴",ISNUMBER(SEARCH("수련교육부",$B178))),"인턴",$B178))=1,"명단 일치","명단 일치(이름만, 과 다름)"),IF(COUNTIF(입력_전공의명단!$C$2:$C$401,$D178)=0,IF(COUNTIF(입력_기본자료!$C$2:$C$1001,$D178)&gt;0,"명단에 없음(기본자료에는 있음)","명단에 없음"),"동명이인 확인")))</f>
        <v/>
      </c>
      <c r="N178" s="8" t="n">
        <v>173</v>
      </c>
      <c r="O178" s="8">
        <f>IF(ISNUMBER(SEARCH("근무예정자",(INDEX(입력_구리근무자명단!$A$3:$GZ$3,1,173)&amp;""))),IFERROR(VALUE(LEFT((INDEX(입력_구리근무자명단!$A$3:$GZ$3,1,173)&amp;""),4))*100+VALUE(MID((INDEX(입력_구리근무자명단!$A$3:$GZ$3,1,173)&amp;""),6,MIN(FIND("월",(INDEX(입력_구리근무자명단!$A$3:$GZ$3,1,173)&amp;"")&amp;"월"),FIND(CHAR(10),(INDEX(입력_구리근무자명단!$A$3:$GZ$3,1,173)&amp;"")&amp;CHAR(10)),FIND(" ",(INDEX(입력_구리근무자명단!$A$3:$GZ$3,1,173)&amp;"")&amp;" "))-6)),""),"")</f>
        <v/>
      </c>
    </row>
    <row r="179">
      <c r="A179" s="29" t="n">
        <v>177</v>
      </c>
      <c r="B179" s="26">
        <f>IF(TRIM(INDEX(입력_구리근무자명단!$A$1:$GZ$303,$A179,1)&amp;"")&lt;&gt;"",TRIM(INDEX(입력_구리근무자명단!$A$1:$GZ$303,$A179,1)&amp;""),B178)</f>
        <v/>
      </c>
      <c r="C179" s="26">
        <f>IF(INDEX(입력_구리근무자명단!$A$1:$GZ$303,$A179,2)="","",INDEX(입력_구리근무자명단!$A$1:$GZ$303,$A179,2))</f>
        <v/>
      </c>
      <c r="D179" s="26">
        <f>IF($G$2="","",TRIM(IF($I$2="확정",INDEX(입력_구리근무자명단!$A$1:$GZ$303,$A179,$G$2+1)&amp;"",INDEX(입력_구리근무자명단!$A$1:$GZ$303,$A179,$G$2+0)&amp;"")))</f>
        <v/>
      </c>
      <c r="E179" s="26">
        <f>IF($D179="","",$I$2)</f>
        <v/>
      </c>
      <c r="F179" s="28">
        <f>IF($D179="","",IF(INDEX(입력_구리근무자명단!$A$1:$GZ$303,$A179,$G$2+2)="",출력_요약!$B$3,IF(ISNUMBER(INDEX(입력_구리근무자명단!$A$1:$GZ$303,$A179,$G$2+2)),INDEX(입력_구리근무자명단!$A$1:$GZ$303,$A179,$G$2+2),IFERROR(DATE(VALUE(LEFT(INDEX(입력_구리근무자명단!$A$1:$GZ$303,$A179,$G$2+2),4)),VALUE(MID(INDEX(입력_구리근무자명단!$A$1:$GZ$303,$A179,$G$2+2),6,2)),VALUE(MID(INDEX(입력_구리근무자명단!$A$1:$GZ$303,$A179,$G$2+2),9,2))),IFERROR(DATEVALUE(SUBSTITUTE(TRIM(INDEX(입력_구리근무자명단!$A$1:$GZ$303,$A179,$G$2+2)),".","-")),"⚠"&amp;INDEX(입력_구리근무자명단!$A$1:$GZ$303,$A179,$G$2+2))))))</f>
        <v/>
      </c>
      <c r="G179" s="28">
        <f>IF($D179="","",IF(INDEX(입력_구리근무자명단!$A$1:$GZ$303,$A179,$G$2+3)="",EOMONTH(출력_요약!$B$3,0),IF(ISNUMBER(INDEX(입력_구리근무자명단!$A$1:$GZ$303,$A179,$G$2+3)),INDEX(입력_구리근무자명단!$A$1:$GZ$303,$A179,$G$2+3),IFERROR(DATE(VALUE(LEFT(INDEX(입력_구리근무자명단!$A$1:$GZ$303,$A179,$G$2+3),4)),VALUE(MID(INDEX(입력_구리근무자명단!$A$1:$GZ$303,$A179,$G$2+3),6,2)),VALUE(MID(INDEX(입력_구리근무자명단!$A$1:$GZ$303,$A179,$G$2+3),9,2))),IFERROR(DATEVALUE(SUBSTITUTE(TRIM(INDEX(입력_구리근무자명단!$A$1:$GZ$303,$A179,$G$2+3)),".","-")),"⚠"&amp;INDEX(입력_구리근무자명단!$A$1:$GZ$303,$A179,$G$2+3))))))</f>
        <v/>
      </c>
      <c r="H179" s="26">
        <f>IF($D179="","",IF(OR(NOT(ISNUMBER($F179)),NOT(ISNUMBER($G179))),0,MAX(0,MIN($G179,EOMONTH(출력_요약!$B$3,0))-MAX($F179,출력_요약!$B$3)+1)))</f>
        <v/>
      </c>
      <c r="I179" s="26">
        <f>IF($D179="","",TRIM(INDEX(입력_구리근무자명단!$A$1:$GZ$303,$A179,$G$2+5)&amp;""))</f>
        <v/>
      </c>
      <c r="J179" s="26">
        <f>IF($D179="","",IF(ISNUMBER(SEARCH("구리독자",$I179)),"구리독자",""))</f>
        <v/>
      </c>
      <c r="K179" s="29">
        <f>IF($D179="","",IF(COUNTIFS(입력_전공의명단!$C$2:$C$401,$D179,입력_전공의명단!$F$2:$F$401,IF(OR($C179="인턴",ISNUMBER(SEARCH("수련교육부",$B179))),"인턴",$B179))=1,MATCH($D179&amp;"|"&amp;IF(OR($C179="인턴",ISNUMBER(SEARCH("수련교육부",$B179))),"인턴",$B179),입력_전공의명단!$AP$2:$AP$401,0),IF(AND(COUNTIFS(입력_전공의명단!$C$2:$C$401,$D179,입력_전공의명단!$F$2:$F$401,IF(OR($C179="인턴",ISNUMBER(SEARCH("수련교육부",$B179))),"인턴",$B179))=0,COUNTIF(입력_전공의명단!$C$2:$C$401,$D179)=1),MATCH($D179,입력_전공의명단!$C$2:$C$401,0),"")))</f>
        <v/>
      </c>
      <c r="L179" s="26">
        <f>IF($D179="","",IF($K179&lt;&gt;"",IF(COUNTIFS(입력_전공의명단!$C$2:$C$401,$D179,입력_전공의명단!$F$2:$F$401,IF(OR($C179="인턴",ISNUMBER(SEARCH("수련교육부",$B179))),"인턴",$B179))=1,"명단 일치","명단 일치(이름만, 과 다름)"),IF(COUNTIF(입력_전공의명단!$C$2:$C$401,$D179)=0,IF(COUNTIF(입력_기본자료!$C$2:$C$1001,$D179)&gt;0,"명단에 없음(기본자료에는 있음)","명단에 없음"),"동명이인 확인")))</f>
        <v/>
      </c>
      <c r="N179" s="8" t="n">
        <v>174</v>
      </c>
      <c r="O179" s="8">
        <f>IF(ISNUMBER(SEARCH("근무예정자",(INDEX(입력_구리근무자명단!$A$3:$GZ$3,1,174)&amp;""))),IFERROR(VALUE(LEFT((INDEX(입력_구리근무자명단!$A$3:$GZ$3,1,174)&amp;""),4))*100+VALUE(MID((INDEX(입력_구리근무자명단!$A$3:$GZ$3,1,174)&amp;""),6,MIN(FIND("월",(INDEX(입력_구리근무자명단!$A$3:$GZ$3,1,174)&amp;"")&amp;"월"),FIND(CHAR(10),(INDEX(입력_구리근무자명단!$A$3:$GZ$3,1,174)&amp;"")&amp;CHAR(10)),FIND(" ",(INDEX(입력_구리근무자명단!$A$3:$GZ$3,1,174)&amp;"")&amp;" "))-6)),""),"")</f>
        <v/>
      </c>
    </row>
    <row r="180">
      <c r="A180" s="29" t="n">
        <v>178</v>
      </c>
      <c r="B180" s="26">
        <f>IF(TRIM(INDEX(입력_구리근무자명단!$A$1:$GZ$303,$A180,1)&amp;"")&lt;&gt;"",TRIM(INDEX(입력_구리근무자명단!$A$1:$GZ$303,$A180,1)&amp;""),B179)</f>
        <v/>
      </c>
      <c r="C180" s="26">
        <f>IF(INDEX(입력_구리근무자명단!$A$1:$GZ$303,$A180,2)="","",INDEX(입력_구리근무자명단!$A$1:$GZ$303,$A180,2))</f>
        <v/>
      </c>
      <c r="D180" s="26">
        <f>IF($G$2="","",TRIM(IF($I$2="확정",INDEX(입력_구리근무자명단!$A$1:$GZ$303,$A180,$G$2+1)&amp;"",INDEX(입력_구리근무자명단!$A$1:$GZ$303,$A180,$G$2+0)&amp;"")))</f>
        <v/>
      </c>
      <c r="E180" s="26">
        <f>IF($D180="","",$I$2)</f>
        <v/>
      </c>
      <c r="F180" s="28">
        <f>IF($D180="","",IF(INDEX(입력_구리근무자명단!$A$1:$GZ$303,$A180,$G$2+2)="",출력_요약!$B$3,IF(ISNUMBER(INDEX(입력_구리근무자명단!$A$1:$GZ$303,$A180,$G$2+2)),INDEX(입력_구리근무자명단!$A$1:$GZ$303,$A180,$G$2+2),IFERROR(DATE(VALUE(LEFT(INDEX(입력_구리근무자명단!$A$1:$GZ$303,$A180,$G$2+2),4)),VALUE(MID(INDEX(입력_구리근무자명단!$A$1:$GZ$303,$A180,$G$2+2),6,2)),VALUE(MID(INDEX(입력_구리근무자명단!$A$1:$GZ$303,$A180,$G$2+2),9,2))),IFERROR(DATEVALUE(SUBSTITUTE(TRIM(INDEX(입력_구리근무자명단!$A$1:$GZ$303,$A180,$G$2+2)),".","-")),"⚠"&amp;INDEX(입력_구리근무자명단!$A$1:$GZ$303,$A180,$G$2+2))))))</f>
        <v/>
      </c>
      <c r="G180" s="28">
        <f>IF($D180="","",IF(INDEX(입력_구리근무자명단!$A$1:$GZ$303,$A180,$G$2+3)="",EOMONTH(출력_요약!$B$3,0),IF(ISNUMBER(INDEX(입력_구리근무자명단!$A$1:$GZ$303,$A180,$G$2+3)),INDEX(입력_구리근무자명단!$A$1:$GZ$303,$A180,$G$2+3),IFERROR(DATE(VALUE(LEFT(INDEX(입력_구리근무자명단!$A$1:$GZ$303,$A180,$G$2+3),4)),VALUE(MID(INDEX(입력_구리근무자명단!$A$1:$GZ$303,$A180,$G$2+3),6,2)),VALUE(MID(INDEX(입력_구리근무자명단!$A$1:$GZ$303,$A180,$G$2+3),9,2))),IFERROR(DATEVALUE(SUBSTITUTE(TRIM(INDEX(입력_구리근무자명단!$A$1:$GZ$303,$A180,$G$2+3)),".","-")),"⚠"&amp;INDEX(입력_구리근무자명단!$A$1:$GZ$303,$A180,$G$2+3))))))</f>
        <v/>
      </c>
      <c r="H180" s="26">
        <f>IF($D180="","",IF(OR(NOT(ISNUMBER($F180)),NOT(ISNUMBER($G180))),0,MAX(0,MIN($G180,EOMONTH(출력_요약!$B$3,0))-MAX($F180,출력_요약!$B$3)+1)))</f>
        <v/>
      </c>
      <c r="I180" s="26">
        <f>IF($D180="","",TRIM(INDEX(입력_구리근무자명단!$A$1:$GZ$303,$A180,$G$2+5)&amp;""))</f>
        <v/>
      </c>
      <c r="J180" s="26">
        <f>IF($D180="","",IF(ISNUMBER(SEARCH("구리독자",$I180)),"구리독자",""))</f>
        <v/>
      </c>
      <c r="K180" s="29">
        <f>IF($D180="","",IF(COUNTIFS(입력_전공의명단!$C$2:$C$401,$D180,입력_전공의명단!$F$2:$F$401,IF(OR($C180="인턴",ISNUMBER(SEARCH("수련교육부",$B180))),"인턴",$B180))=1,MATCH($D180&amp;"|"&amp;IF(OR($C180="인턴",ISNUMBER(SEARCH("수련교육부",$B180))),"인턴",$B180),입력_전공의명단!$AP$2:$AP$401,0),IF(AND(COUNTIFS(입력_전공의명단!$C$2:$C$401,$D180,입력_전공의명단!$F$2:$F$401,IF(OR($C180="인턴",ISNUMBER(SEARCH("수련교육부",$B180))),"인턴",$B180))=0,COUNTIF(입력_전공의명단!$C$2:$C$401,$D180)=1),MATCH($D180,입력_전공의명단!$C$2:$C$401,0),"")))</f>
        <v/>
      </c>
      <c r="L180" s="26">
        <f>IF($D180="","",IF($K180&lt;&gt;"",IF(COUNTIFS(입력_전공의명단!$C$2:$C$401,$D180,입력_전공의명단!$F$2:$F$401,IF(OR($C180="인턴",ISNUMBER(SEARCH("수련교육부",$B180))),"인턴",$B180))=1,"명단 일치","명단 일치(이름만, 과 다름)"),IF(COUNTIF(입력_전공의명단!$C$2:$C$401,$D180)=0,IF(COUNTIF(입력_기본자료!$C$2:$C$1001,$D180)&gt;0,"명단에 없음(기본자료에는 있음)","명단에 없음"),"동명이인 확인")))</f>
        <v/>
      </c>
      <c r="N180" s="8" t="n">
        <v>175</v>
      </c>
      <c r="O180" s="8">
        <f>IF(ISNUMBER(SEARCH("근무예정자",(INDEX(입력_구리근무자명단!$A$3:$GZ$3,1,175)&amp;""))),IFERROR(VALUE(LEFT((INDEX(입력_구리근무자명단!$A$3:$GZ$3,1,175)&amp;""),4))*100+VALUE(MID((INDEX(입력_구리근무자명단!$A$3:$GZ$3,1,175)&amp;""),6,MIN(FIND("월",(INDEX(입력_구리근무자명단!$A$3:$GZ$3,1,175)&amp;"")&amp;"월"),FIND(CHAR(10),(INDEX(입력_구리근무자명단!$A$3:$GZ$3,1,175)&amp;"")&amp;CHAR(10)),FIND(" ",(INDEX(입력_구리근무자명단!$A$3:$GZ$3,1,175)&amp;"")&amp;" "))-6)),""),"")</f>
        <v/>
      </c>
    </row>
    <row r="181">
      <c r="A181" s="29" t="n">
        <v>179</v>
      </c>
      <c r="B181" s="26">
        <f>IF(TRIM(INDEX(입력_구리근무자명단!$A$1:$GZ$303,$A181,1)&amp;"")&lt;&gt;"",TRIM(INDEX(입력_구리근무자명단!$A$1:$GZ$303,$A181,1)&amp;""),B180)</f>
        <v/>
      </c>
      <c r="C181" s="26">
        <f>IF(INDEX(입력_구리근무자명단!$A$1:$GZ$303,$A181,2)="","",INDEX(입력_구리근무자명단!$A$1:$GZ$303,$A181,2))</f>
        <v/>
      </c>
      <c r="D181" s="26">
        <f>IF($G$2="","",TRIM(IF($I$2="확정",INDEX(입력_구리근무자명단!$A$1:$GZ$303,$A181,$G$2+1)&amp;"",INDEX(입력_구리근무자명단!$A$1:$GZ$303,$A181,$G$2+0)&amp;"")))</f>
        <v/>
      </c>
      <c r="E181" s="26">
        <f>IF($D181="","",$I$2)</f>
        <v/>
      </c>
      <c r="F181" s="28">
        <f>IF($D181="","",IF(INDEX(입력_구리근무자명단!$A$1:$GZ$303,$A181,$G$2+2)="",출력_요약!$B$3,IF(ISNUMBER(INDEX(입력_구리근무자명단!$A$1:$GZ$303,$A181,$G$2+2)),INDEX(입력_구리근무자명단!$A$1:$GZ$303,$A181,$G$2+2),IFERROR(DATE(VALUE(LEFT(INDEX(입력_구리근무자명단!$A$1:$GZ$303,$A181,$G$2+2),4)),VALUE(MID(INDEX(입력_구리근무자명단!$A$1:$GZ$303,$A181,$G$2+2),6,2)),VALUE(MID(INDEX(입력_구리근무자명단!$A$1:$GZ$303,$A181,$G$2+2),9,2))),IFERROR(DATEVALUE(SUBSTITUTE(TRIM(INDEX(입력_구리근무자명단!$A$1:$GZ$303,$A181,$G$2+2)),".","-")),"⚠"&amp;INDEX(입력_구리근무자명단!$A$1:$GZ$303,$A181,$G$2+2))))))</f>
        <v/>
      </c>
      <c r="G181" s="28">
        <f>IF($D181="","",IF(INDEX(입력_구리근무자명단!$A$1:$GZ$303,$A181,$G$2+3)="",EOMONTH(출력_요약!$B$3,0),IF(ISNUMBER(INDEX(입력_구리근무자명단!$A$1:$GZ$303,$A181,$G$2+3)),INDEX(입력_구리근무자명단!$A$1:$GZ$303,$A181,$G$2+3),IFERROR(DATE(VALUE(LEFT(INDEX(입력_구리근무자명단!$A$1:$GZ$303,$A181,$G$2+3),4)),VALUE(MID(INDEX(입력_구리근무자명단!$A$1:$GZ$303,$A181,$G$2+3),6,2)),VALUE(MID(INDEX(입력_구리근무자명단!$A$1:$GZ$303,$A181,$G$2+3),9,2))),IFERROR(DATEVALUE(SUBSTITUTE(TRIM(INDEX(입력_구리근무자명단!$A$1:$GZ$303,$A181,$G$2+3)),".","-")),"⚠"&amp;INDEX(입력_구리근무자명단!$A$1:$GZ$303,$A181,$G$2+3))))))</f>
        <v/>
      </c>
      <c r="H181" s="26">
        <f>IF($D181="","",IF(OR(NOT(ISNUMBER($F181)),NOT(ISNUMBER($G181))),0,MAX(0,MIN($G181,EOMONTH(출력_요약!$B$3,0))-MAX($F181,출력_요약!$B$3)+1)))</f>
        <v/>
      </c>
      <c r="I181" s="26">
        <f>IF($D181="","",TRIM(INDEX(입력_구리근무자명단!$A$1:$GZ$303,$A181,$G$2+5)&amp;""))</f>
        <v/>
      </c>
      <c r="J181" s="26">
        <f>IF($D181="","",IF(ISNUMBER(SEARCH("구리독자",$I181)),"구리독자",""))</f>
        <v/>
      </c>
      <c r="K181" s="29">
        <f>IF($D181="","",IF(COUNTIFS(입력_전공의명단!$C$2:$C$401,$D181,입력_전공의명단!$F$2:$F$401,IF(OR($C181="인턴",ISNUMBER(SEARCH("수련교육부",$B181))),"인턴",$B181))=1,MATCH($D181&amp;"|"&amp;IF(OR($C181="인턴",ISNUMBER(SEARCH("수련교육부",$B181))),"인턴",$B181),입력_전공의명단!$AP$2:$AP$401,0),IF(AND(COUNTIFS(입력_전공의명단!$C$2:$C$401,$D181,입력_전공의명단!$F$2:$F$401,IF(OR($C181="인턴",ISNUMBER(SEARCH("수련교육부",$B181))),"인턴",$B181))=0,COUNTIF(입력_전공의명단!$C$2:$C$401,$D181)=1),MATCH($D181,입력_전공의명단!$C$2:$C$401,0),"")))</f>
        <v/>
      </c>
      <c r="L181" s="26">
        <f>IF($D181="","",IF($K181&lt;&gt;"",IF(COUNTIFS(입력_전공의명단!$C$2:$C$401,$D181,입력_전공의명단!$F$2:$F$401,IF(OR($C181="인턴",ISNUMBER(SEARCH("수련교육부",$B181))),"인턴",$B181))=1,"명단 일치","명단 일치(이름만, 과 다름)"),IF(COUNTIF(입력_전공의명단!$C$2:$C$401,$D181)=0,IF(COUNTIF(입력_기본자료!$C$2:$C$1001,$D181)&gt;0,"명단에 없음(기본자료에는 있음)","명단에 없음"),"동명이인 확인")))</f>
        <v/>
      </c>
      <c r="N181" s="8" t="n">
        <v>176</v>
      </c>
      <c r="O181" s="8">
        <f>IF(ISNUMBER(SEARCH("근무예정자",(INDEX(입력_구리근무자명단!$A$3:$GZ$3,1,176)&amp;""))),IFERROR(VALUE(LEFT((INDEX(입력_구리근무자명단!$A$3:$GZ$3,1,176)&amp;""),4))*100+VALUE(MID((INDEX(입력_구리근무자명단!$A$3:$GZ$3,1,176)&amp;""),6,MIN(FIND("월",(INDEX(입력_구리근무자명단!$A$3:$GZ$3,1,176)&amp;"")&amp;"월"),FIND(CHAR(10),(INDEX(입력_구리근무자명단!$A$3:$GZ$3,1,176)&amp;"")&amp;CHAR(10)),FIND(" ",(INDEX(입력_구리근무자명단!$A$3:$GZ$3,1,176)&amp;"")&amp;" "))-6)),""),"")</f>
        <v/>
      </c>
    </row>
    <row r="182">
      <c r="A182" s="29" t="n">
        <v>180</v>
      </c>
      <c r="B182" s="26">
        <f>IF(TRIM(INDEX(입력_구리근무자명단!$A$1:$GZ$303,$A182,1)&amp;"")&lt;&gt;"",TRIM(INDEX(입력_구리근무자명단!$A$1:$GZ$303,$A182,1)&amp;""),B181)</f>
        <v/>
      </c>
      <c r="C182" s="26">
        <f>IF(INDEX(입력_구리근무자명단!$A$1:$GZ$303,$A182,2)="","",INDEX(입력_구리근무자명단!$A$1:$GZ$303,$A182,2))</f>
        <v/>
      </c>
      <c r="D182" s="26">
        <f>IF($G$2="","",TRIM(IF($I$2="확정",INDEX(입력_구리근무자명단!$A$1:$GZ$303,$A182,$G$2+1)&amp;"",INDEX(입력_구리근무자명단!$A$1:$GZ$303,$A182,$G$2+0)&amp;"")))</f>
        <v/>
      </c>
      <c r="E182" s="26">
        <f>IF($D182="","",$I$2)</f>
        <v/>
      </c>
      <c r="F182" s="28">
        <f>IF($D182="","",IF(INDEX(입력_구리근무자명단!$A$1:$GZ$303,$A182,$G$2+2)="",출력_요약!$B$3,IF(ISNUMBER(INDEX(입력_구리근무자명단!$A$1:$GZ$303,$A182,$G$2+2)),INDEX(입력_구리근무자명단!$A$1:$GZ$303,$A182,$G$2+2),IFERROR(DATE(VALUE(LEFT(INDEX(입력_구리근무자명단!$A$1:$GZ$303,$A182,$G$2+2),4)),VALUE(MID(INDEX(입력_구리근무자명단!$A$1:$GZ$303,$A182,$G$2+2),6,2)),VALUE(MID(INDEX(입력_구리근무자명단!$A$1:$GZ$303,$A182,$G$2+2),9,2))),IFERROR(DATEVALUE(SUBSTITUTE(TRIM(INDEX(입력_구리근무자명단!$A$1:$GZ$303,$A182,$G$2+2)),".","-")),"⚠"&amp;INDEX(입력_구리근무자명단!$A$1:$GZ$303,$A182,$G$2+2))))))</f>
        <v/>
      </c>
      <c r="G182" s="28">
        <f>IF($D182="","",IF(INDEX(입력_구리근무자명단!$A$1:$GZ$303,$A182,$G$2+3)="",EOMONTH(출력_요약!$B$3,0),IF(ISNUMBER(INDEX(입력_구리근무자명단!$A$1:$GZ$303,$A182,$G$2+3)),INDEX(입력_구리근무자명단!$A$1:$GZ$303,$A182,$G$2+3),IFERROR(DATE(VALUE(LEFT(INDEX(입력_구리근무자명단!$A$1:$GZ$303,$A182,$G$2+3),4)),VALUE(MID(INDEX(입력_구리근무자명단!$A$1:$GZ$303,$A182,$G$2+3),6,2)),VALUE(MID(INDEX(입력_구리근무자명단!$A$1:$GZ$303,$A182,$G$2+3),9,2))),IFERROR(DATEVALUE(SUBSTITUTE(TRIM(INDEX(입력_구리근무자명단!$A$1:$GZ$303,$A182,$G$2+3)),".","-")),"⚠"&amp;INDEX(입력_구리근무자명단!$A$1:$GZ$303,$A182,$G$2+3))))))</f>
        <v/>
      </c>
      <c r="H182" s="26">
        <f>IF($D182="","",IF(OR(NOT(ISNUMBER($F182)),NOT(ISNUMBER($G182))),0,MAX(0,MIN($G182,EOMONTH(출력_요약!$B$3,0))-MAX($F182,출력_요약!$B$3)+1)))</f>
        <v/>
      </c>
      <c r="I182" s="26">
        <f>IF($D182="","",TRIM(INDEX(입력_구리근무자명단!$A$1:$GZ$303,$A182,$G$2+5)&amp;""))</f>
        <v/>
      </c>
      <c r="J182" s="26">
        <f>IF($D182="","",IF(ISNUMBER(SEARCH("구리독자",$I182)),"구리독자",""))</f>
        <v/>
      </c>
      <c r="K182" s="29">
        <f>IF($D182="","",IF(COUNTIFS(입력_전공의명단!$C$2:$C$401,$D182,입력_전공의명단!$F$2:$F$401,IF(OR($C182="인턴",ISNUMBER(SEARCH("수련교육부",$B182))),"인턴",$B182))=1,MATCH($D182&amp;"|"&amp;IF(OR($C182="인턴",ISNUMBER(SEARCH("수련교육부",$B182))),"인턴",$B182),입력_전공의명단!$AP$2:$AP$401,0),IF(AND(COUNTIFS(입력_전공의명단!$C$2:$C$401,$D182,입력_전공의명단!$F$2:$F$401,IF(OR($C182="인턴",ISNUMBER(SEARCH("수련교육부",$B182))),"인턴",$B182))=0,COUNTIF(입력_전공의명단!$C$2:$C$401,$D182)=1),MATCH($D182,입력_전공의명단!$C$2:$C$401,0),"")))</f>
        <v/>
      </c>
      <c r="L182" s="26">
        <f>IF($D182="","",IF($K182&lt;&gt;"",IF(COUNTIFS(입력_전공의명단!$C$2:$C$401,$D182,입력_전공의명단!$F$2:$F$401,IF(OR($C182="인턴",ISNUMBER(SEARCH("수련교육부",$B182))),"인턴",$B182))=1,"명단 일치","명단 일치(이름만, 과 다름)"),IF(COUNTIF(입력_전공의명단!$C$2:$C$401,$D182)=0,IF(COUNTIF(입력_기본자료!$C$2:$C$1001,$D182)&gt;0,"명단에 없음(기본자료에는 있음)","명단에 없음"),"동명이인 확인")))</f>
        <v/>
      </c>
      <c r="N182" s="8" t="n">
        <v>177</v>
      </c>
      <c r="O182" s="8">
        <f>IF(ISNUMBER(SEARCH("근무예정자",(INDEX(입력_구리근무자명단!$A$3:$GZ$3,1,177)&amp;""))),IFERROR(VALUE(LEFT((INDEX(입력_구리근무자명단!$A$3:$GZ$3,1,177)&amp;""),4))*100+VALUE(MID((INDEX(입력_구리근무자명단!$A$3:$GZ$3,1,177)&amp;""),6,MIN(FIND("월",(INDEX(입력_구리근무자명단!$A$3:$GZ$3,1,177)&amp;"")&amp;"월"),FIND(CHAR(10),(INDEX(입력_구리근무자명단!$A$3:$GZ$3,1,177)&amp;"")&amp;CHAR(10)),FIND(" ",(INDEX(입력_구리근무자명단!$A$3:$GZ$3,1,177)&amp;"")&amp;" "))-6)),""),"")</f>
        <v/>
      </c>
    </row>
    <row r="183">
      <c r="A183" s="29" t="n">
        <v>181</v>
      </c>
      <c r="B183" s="26">
        <f>IF(TRIM(INDEX(입력_구리근무자명단!$A$1:$GZ$303,$A183,1)&amp;"")&lt;&gt;"",TRIM(INDEX(입력_구리근무자명단!$A$1:$GZ$303,$A183,1)&amp;""),B182)</f>
        <v/>
      </c>
      <c r="C183" s="26">
        <f>IF(INDEX(입력_구리근무자명단!$A$1:$GZ$303,$A183,2)="","",INDEX(입력_구리근무자명단!$A$1:$GZ$303,$A183,2))</f>
        <v/>
      </c>
      <c r="D183" s="26">
        <f>IF($G$2="","",TRIM(IF($I$2="확정",INDEX(입력_구리근무자명단!$A$1:$GZ$303,$A183,$G$2+1)&amp;"",INDEX(입력_구리근무자명단!$A$1:$GZ$303,$A183,$G$2+0)&amp;"")))</f>
        <v/>
      </c>
      <c r="E183" s="26">
        <f>IF($D183="","",$I$2)</f>
        <v/>
      </c>
      <c r="F183" s="28">
        <f>IF($D183="","",IF(INDEX(입력_구리근무자명단!$A$1:$GZ$303,$A183,$G$2+2)="",출력_요약!$B$3,IF(ISNUMBER(INDEX(입력_구리근무자명단!$A$1:$GZ$303,$A183,$G$2+2)),INDEX(입력_구리근무자명단!$A$1:$GZ$303,$A183,$G$2+2),IFERROR(DATE(VALUE(LEFT(INDEX(입력_구리근무자명단!$A$1:$GZ$303,$A183,$G$2+2),4)),VALUE(MID(INDEX(입력_구리근무자명단!$A$1:$GZ$303,$A183,$G$2+2),6,2)),VALUE(MID(INDEX(입력_구리근무자명단!$A$1:$GZ$303,$A183,$G$2+2),9,2))),IFERROR(DATEVALUE(SUBSTITUTE(TRIM(INDEX(입력_구리근무자명단!$A$1:$GZ$303,$A183,$G$2+2)),".","-")),"⚠"&amp;INDEX(입력_구리근무자명단!$A$1:$GZ$303,$A183,$G$2+2))))))</f>
        <v/>
      </c>
      <c r="G183" s="28">
        <f>IF($D183="","",IF(INDEX(입력_구리근무자명단!$A$1:$GZ$303,$A183,$G$2+3)="",EOMONTH(출력_요약!$B$3,0),IF(ISNUMBER(INDEX(입력_구리근무자명단!$A$1:$GZ$303,$A183,$G$2+3)),INDEX(입력_구리근무자명단!$A$1:$GZ$303,$A183,$G$2+3),IFERROR(DATE(VALUE(LEFT(INDEX(입력_구리근무자명단!$A$1:$GZ$303,$A183,$G$2+3),4)),VALUE(MID(INDEX(입력_구리근무자명단!$A$1:$GZ$303,$A183,$G$2+3),6,2)),VALUE(MID(INDEX(입력_구리근무자명단!$A$1:$GZ$303,$A183,$G$2+3),9,2))),IFERROR(DATEVALUE(SUBSTITUTE(TRIM(INDEX(입력_구리근무자명단!$A$1:$GZ$303,$A183,$G$2+3)),".","-")),"⚠"&amp;INDEX(입력_구리근무자명단!$A$1:$GZ$303,$A183,$G$2+3))))))</f>
        <v/>
      </c>
      <c r="H183" s="26">
        <f>IF($D183="","",IF(OR(NOT(ISNUMBER($F183)),NOT(ISNUMBER($G183))),0,MAX(0,MIN($G183,EOMONTH(출력_요약!$B$3,0))-MAX($F183,출력_요약!$B$3)+1)))</f>
        <v/>
      </c>
      <c r="I183" s="26">
        <f>IF($D183="","",TRIM(INDEX(입력_구리근무자명단!$A$1:$GZ$303,$A183,$G$2+5)&amp;""))</f>
        <v/>
      </c>
      <c r="J183" s="26">
        <f>IF($D183="","",IF(ISNUMBER(SEARCH("구리독자",$I183)),"구리독자",""))</f>
        <v/>
      </c>
      <c r="K183" s="29">
        <f>IF($D183="","",IF(COUNTIFS(입력_전공의명단!$C$2:$C$401,$D183,입력_전공의명단!$F$2:$F$401,IF(OR($C183="인턴",ISNUMBER(SEARCH("수련교육부",$B183))),"인턴",$B183))=1,MATCH($D183&amp;"|"&amp;IF(OR($C183="인턴",ISNUMBER(SEARCH("수련교육부",$B183))),"인턴",$B183),입력_전공의명단!$AP$2:$AP$401,0),IF(AND(COUNTIFS(입력_전공의명단!$C$2:$C$401,$D183,입력_전공의명단!$F$2:$F$401,IF(OR($C183="인턴",ISNUMBER(SEARCH("수련교육부",$B183))),"인턴",$B183))=0,COUNTIF(입력_전공의명단!$C$2:$C$401,$D183)=1),MATCH($D183,입력_전공의명단!$C$2:$C$401,0),"")))</f>
        <v/>
      </c>
      <c r="L183" s="26">
        <f>IF($D183="","",IF($K183&lt;&gt;"",IF(COUNTIFS(입력_전공의명단!$C$2:$C$401,$D183,입력_전공의명단!$F$2:$F$401,IF(OR($C183="인턴",ISNUMBER(SEARCH("수련교육부",$B183))),"인턴",$B183))=1,"명단 일치","명단 일치(이름만, 과 다름)"),IF(COUNTIF(입력_전공의명단!$C$2:$C$401,$D183)=0,IF(COUNTIF(입력_기본자료!$C$2:$C$1001,$D183)&gt;0,"명단에 없음(기본자료에는 있음)","명단에 없음"),"동명이인 확인")))</f>
        <v/>
      </c>
      <c r="N183" s="8" t="n">
        <v>178</v>
      </c>
      <c r="O183" s="8">
        <f>IF(ISNUMBER(SEARCH("근무예정자",(INDEX(입력_구리근무자명단!$A$3:$GZ$3,1,178)&amp;""))),IFERROR(VALUE(LEFT((INDEX(입력_구리근무자명단!$A$3:$GZ$3,1,178)&amp;""),4))*100+VALUE(MID((INDEX(입력_구리근무자명단!$A$3:$GZ$3,1,178)&amp;""),6,MIN(FIND("월",(INDEX(입력_구리근무자명단!$A$3:$GZ$3,1,178)&amp;"")&amp;"월"),FIND(CHAR(10),(INDEX(입력_구리근무자명단!$A$3:$GZ$3,1,178)&amp;"")&amp;CHAR(10)),FIND(" ",(INDEX(입력_구리근무자명단!$A$3:$GZ$3,1,178)&amp;"")&amp;" "))-6)),""),"")</f>
        <v/>
      </c>
    </row>
    <row r="184">
      <c r="A184" s="29" t="n">
        <v>182</v>
      </c>
      <c r="B184" s="26">
        <f>IF(TRIM(INDEX(입력_구리근무자명단!$A$1:$GZ$303,$A184,1)&amp;"")&lt;&gt;"",TRIM(INDEX(입력_구리근무자명단!$A$1:$GZ$303,$A184,1)&amp;""),B183)</f>
        <v/>
      </c>
      <c r="C184" s="26">
        <f>IF(INDEX(입력_구리근무자명단!$A$1:$GZ$303,$A184,2)="","",INDEX(입력_구리근무자명단!$A$1:$GZ$303,$A184,2))</f>
        <v/>
      </c>
      <c r="D184" s="26">
        <f>IF($G$2="","",TRIM(IF($I$2="확정",INDEX(입력_구리근무자명단!$A$1:$GZ$303,$A184,$G$2+1)&amp;"",INDEX(입력_구리근무자명단!$A$1:$GZ$303,$A184,$G$2+0)&amp;"")))</f>
        <v/>
      </c>
      <c r="E184" s="26">
        <f>IF($D184="","",$I$2)</f>
        <v/>
      </c>
      <c r="F184" s="28">
        <f>IF($D184="","",IF(INDEX(입력_구리근무자명단!$A$1:$GZ$303,$A184,$G$2+2)="",출력_요약!$B$3,IF(ISNUMBER(INDEX(입력_구리근무자명단!$A$1:$GZ$303,$A184,$G$2+2)),INDEX(입력_구리근무자명단!$A$1:$GZ$303,$A184,$G$2+2),IFERROR(DATE(VALUE(LEFT(INDEX(입력_구리근무자명단!$A$1:$GZ$303,$A184,$G$2+2),4)),VALUE(MID(INDEX(입력_구리근무자명단!$A$1:$GZ$303,$A184,$G$2+2),6,2)),VALUE(MID(INDEX(입력_구리근무자명단!$A$1:$GZ$303,$A184,$G$2+2),9,2))),IFERROR(DATEVALUE(SUBSTITUTE(TRIM(INDEX(입력_구리근무자명단!$A$1:$GZ$303,$A184,$G$2+2)),".","-")),"⚠"&amp;INDEX(입력_구리근무자명단!$A$1:$GZ$303,$A184,$G$2+2))))))</f>
        <v/>
      </c>
      <c r="G184" s="28">
        <f>IF($D184="","",IF(INDEX(입력_구리근무자명단!$A$1:$GZ$303,$A184,$G$2+3)="",EOMONTH(출력_요약!$B$3,0),IF(ISNUMBER(INDEX(입력_구리근무자명단!$A$1:$GZ$303,$A184,$G$2+3)),INDEX(입력_구리근무자명단!$A$1:$GZ$303,$A184,$G$2+3),IFERROR(DATE(VALUE(LEFT(INDEX(입력_구리근무자명단!$A$1:$GZ$303,$A184,$G$2+3),4)),VALUE(MID(INDEX(입력_구리근무자명단!$A$1:$GZ$303,$A184,$G$2+3),6,2)),VALUE(MID(INDEX(입력_구리근무자명단!$A$1:$GZ$303,$A184,$G$2+3),9,2))),IFERROR(DATEVALUE(SUBSTITUTE(TRIM(INDEX(입력_구리근무자명단!$A$1:$GZ$303,$A184,$G$2+3)),".","-")),"⚠"&amp;INDEX(입력_구리근무자명단!$A$1:$GZ$303,$A184,$G$2+3))))))</f>
        <v/>
      </c>
      <c r="H184" s="26">
        <f>IF($D184="","",IF(OR(NOT(ISNUMBER($F184)),NOT(ISNUMBER($G184))),0,MAX(0,MIN($G184,EOMONTH(출력_요약!$B$3,0))-MAX($F184,출력_요약!$B$3)+1)))</f>
        <v/>
      </c>
      <c r="I184" s="26">
        <f>IF($D184="","",TRIM(INDEX(입력_구리근무자명단!$A$1:$GZ$303,$A184,$G$2+5)&amp;""))</f>
        <v/>
      </c>
      <c r="J184" s="26">
        <f>IF($D184="","",IF(ISNUMBER(SEARCH("구리독자",$I184)),"구리독자",""))</f>
        <v/>
      </c>
      <c r="K184" s="29">
        <f>IF($D184="","",IF(COUNTIFS(입력_전공의명단!$C$2:$C$401,$D184,입력_전공의명단!$F$2:$F$401,IF(OR($C184="인턴",ISNUMBER(SEARCH("수련교육부",$B184))),"인턴",$B184))=1,MATCH($D184&amp;"|"&amp;IF(OR($C184="인턴",ISNUMBER(SEARCH("수련교육부",$B184))),"인턴",$B184),입력_전공의명단!$AP$2:$AP$401,0),IF(AND(COUNTIFS(입력_전공의명단!$C$2:$C$401,$D184,입력_전공의명단!$F$2:$F$401,IF(OR($C184="인턴",ISNUMBER(SEARCH("수련교육부",$B184))),"인턴",$B184))=0,COUNTIF(입력_전공의명단!$C$2:$C$401,$D184)=1),MATCH($D184,입력_전공의명단!$C$2:$C$401,0),"")))</f>
        <v/>
      </c>
      <c r="L184" s="26">
        <f>IF($D184="","",IF($K184&lt;&gt;"",IF(COUNTIFS(입력_전공의명단!$C$2:$C$401,$D184,입력_전공의명단!$F$2:$F$401,IF(OR($C184="인턴",ISNUMBER(SEARCH("수련교육부",$B184))),"인턴",$B184))=1,"명단 일치","명단 일치(이름만, 과 다름)"),IF(COUNTIF(입력_전공의명단!$C$2:$C$401,$D184)=0,IF(COUNTIF(입력_기본자료!$C$2:$C$1001,$D184)&gt;0,"명단에 없음(기본자료에는 있음)","명단에 없음"),"동명이인 확인")))</f>
        <v/>
      </c>
      <c r="N184" s="8" t="n">
        <v>179</v>
      </c>
      <c r="O184" s="8">
        <f>IF(ISNUMBER(SEARCH("근무예정자",(INDEX(입력_구리근무자명단!$A$3:$GZ$3,1,179)&amp;""))),IFERROR(VALUE(LEFT((INDEX(입력_구리근무자명단!$A$3:$GZ$3,1,179)&amp;""),4))*100+VALUE(MID((INDEX(입력_구리근무자명단!$A$3:$GZ$3,1,179)&amp;""),6,MIN(FIND("월",(INDEX(입력_구리근무자명단!$A$3:$GZ$3,1,179)&amp;"")&amp;"월"),FIND(CHAR(10),(INDEX(입력_구리근무자명단!$A$3:$GZ$3,1,179)&amp;"")&amp;CHAR(10)),FIND(" ",(INDEX(입력_구리근무자명단!$A$3:$GZ$3,1,179)&amp;"")&amp;" "))-6)),""),"")</f>
        <v/>
      </c>
    </row>
    <row r="185">
      <c r="A185" s="29" t="n">
        <v>183</v>
      </c>
      <c r="B185" s="26">
        <f>IF(TRIM(INDEX(입력_구리근무자명단!$A$1:$GZ$303,$A185,1)&amp;"")&lt;&gt;"",TRIM(INDEX(입력_구리근무자명단!$A$1:$GZ$303,$A185,1)&amp;""),B184)</f>
        <v/>
      </c>
      <c r="C185" s="26">
        <f>IF(INDEX(입력_구리근무자명단!$A$1:$GZ$303,$A185,2)="","",INDEX(입력_구리근무자명단!$A$1:$GZ$303,$A185,2))</f>
        <v/>
      </c>
      <c r="D185" s="26">
        <f>IF($G$2="","",TRIM(IF($I$2="확정",INDEX(입력_구리근무자명단!$A$1:$GZ$303,$A185,$G$2+1)&amp;"",INDEX(입력_구리근무자명단!$A$1:$GZ$303,$A185,$G$2+0)&amp;"")))</f>
        <v/>
      </c>
      <c r="E185" s="26">
        <f>IF($D185="","",$I$2)</f>
        <v/>
      </c>
      <c r="F185" s="28">
        <f>IF($D185="","",IF(INDEX(입력_구리근무자명단!$A$1:$GZ$303,$A185,$G$2+2)="",출력_요약!$B$3,IF(ISNUMBER(INDEX(입력_구리근무자명단!$A$1:$GZ$303,$A185,$G$2+2)),INDEX(입력_구리근무자명단!$A$1:$GZ$303,$A185,$G$2+2),IFERROR(DATE(VALUE(LEFT(INDEX(입력_구리근무자명단!$A$1:$GZ$303,$A185,$G$2+2),4)),VALUE(MID(INDEX(입력_구리근무자명단!$A$1:$GZ$303,$A185,$G$2+2),6,2)),VALUE(MID(INDEX(입력_구리근무자명단!$A$1:$GZ$303,$A185,$G$2+2),9,2))),IFERROR(DATEVALUE(SUBSTITUTE(TRIM(INDEX(입력_구리근무자명단!$A$1:$GZ$303,$A185,$G$2+2)),".","-")),"⚠"&amp;INDEX(입력_구리근무자명단!$A$1:$GZ$303,$A185,$G$2+2))))))</f>
        <v/>
      </c>
      <c r="G185" s="28">
        <f>IF($D185="","",IF(INDEX(입력_구리근무자명단!$A$1:$GZ$303,$A185,$G$2+3)="",EOMONTH(출력_요약!$B$3,0),IF(ISNUMBER(INDEX(입력_구리근무자명단!$A$1:$GZ$303,$A185,$G$2+3)),INDEX(입력_구리근무자명단!$A$1:$GZ$303,$A185,$G$2+3),IFERROR(DATE(VALUE(LEFT(INDEX(입력_구리근무자명단!$A$1:$GZ$303,$A185,$G$2+3),4)),VALUE(MID(INDEX(입력_구리근무자명단!$A$1:$GZ$303,$A185,$G$2+3),6,2)),VALUE(MID(INDEX(입력_구리근무자명단!$A$1:$GZ$303,$A185,$G$2+3),9,2))),IFERROR(DATEVALUE(SUBSTITUTE(TRIM(INDEX(입력_구리근무자명단!$A$1:$GZ$303,$A185,$G$2+3)),".","-")),"⚠"&amp;INDEX(입력_구리근무자명단!$A$1:$GZ$303,$A185,$G$2+3))))))</f>
        <v/>
      </c>
      <c r="H185" s="26">
        <f>IF($D185="","",IF(OR(NOT(ISNUMBER($F185)),NOT(ISNUMBER($G185))),0,MAX(0,MIN($G185,EOMONTH(출력_요약!$B$3,0))-MAX($F185,출력_요약!$B$3)+1)))</f>
        <v/>
      </c>
      <c r="I185" s="26">
        <f>IF($D185="","",TRIM(INDEX(입력_구리근무자명단!$A$1:$GZ$303,$A185,$G$2+5)&amp;""))</f>
        <v/>
      </c>
      <c r="J185" s="26">
        <f>IF($D185="","",IF(ISNUMBER(SEARCH("구리독자",$I185)),"구리독자",""))</f>
        <v/>
      </c>
      <c r="K185" s="29">
        <f>IF($D185="","",IF(COUNTIFS(입력_전공의명단!$C$2:$C$401,$D185,입력_전공의명단!$F$2:$F$401,IF(OR($C185="인턴",ISNUMBER(SEARCH("수련교육부",$B185))),"인턴",$B185))=1,MATCH($D185&amp;"|"&amp;IF(OR($C185="인턴",ISNUMBER(SEARCH("수련교육부",$B185))),"인턴",$B185),입력_전공의명단!$AP$2:$AP$401,0),IF(AND(COUNTIFS(입력_전공의명단!$C$2:$C$401,$D185,입력_전공의명단!$F$2:$F$401,IF(OR($C185="인턴",ISNUMBER(SEARCH("수련교육부",$B185))),"인턴",$B185))=0,COUNTIF(입력_전공의명단!$C$2:$C$401,$D185)=1),MATCH($D185,입력_전공의명단!$C$2:$C$401,0),"")))</f>
        <v/>
      </c>
      <c r="L185" s="26">
        <f>IF($D185="","",IF($K185&lt;&gt;"",IF(COUNTIFS(입력_전공의명단!$C$2:$C$401,$D185,입력_전공의명단!$F$2:$F$401,IF(OR($C185="인턴",ISNUMBER(SEARCH("수련교육부",$B185))),"인턴",$B185))=1,"명단 일치","명단 일치(이름만, 과 다름)"),IF(COUNTIF(입력_전공의명단!$C$2:$C$401,$D185)=0,IF(COUNTIF(입력_기본자료!$C$2:$C$1001,$D185)&gt;0,"명단에 없음(기본자료에는 있음)","명단에 없음"),"동명이인 확인")))</f>
        <v/>
      </c>
      <c r="N185" s="8" t="n">
        <v>180</v>
      </c>
      <c r="O185" s="8">
        <f>IF(ISNUMBER(SEARCH("근무예정자",(INDEX(입력_구리근무자명단!$A$3:$GZ$3,1,180)&amp;""))),IFERROR(VALUE(LEFT((INDEX(입력_구리근무자명단!$A$3:$GZ$3,1,180)&amp;""),4))*100+VALUE(MID((INDEX(입력_구리근무자명단!$A$3:$GZ$3,1,180)&amp;""),6,MIN(FIND("월",(INDEX(입력_구리근무자명단!$A$3:$GZ$3,1,180)&amp;"")&amp;"월"),FIND(CHAR(10),(INDEX(입력_구리근무자명단!$A$3:$GZ$3,1,180)&amp;"")&amp;CHAR(10)),FIND(" ",(INDEX(입력_구리근무자명단!$A$3:$GZ$3,1,180)&amp;"")&amp;" "))-6)),""),"")</f>
        <v/>
      </c>
    </row>
    <row r="186">
      <c r="A186" s="29" t="n">
        <v>184</v>
      </c>
      <c r="B186" s="26">
        <f>IF(TRIM(INDEX(입력_구리근무자명단!$A$1:$GZ$303,$A186,1)&amp;"")&lt;&gt;"",TRIM(INDEX(입력_구리근무자명단!$A$1:$GZ$303,$A186,1)&amp;""),B185)</f>
        <v/>
      </c>
      <c r="C186" s="26">
        <f>IF(INDEX(입력_구리근무자명단!$A$1:$GZ$303,$A186,2)="","",INDEX(입력_구리근무자명단!$A$1:$GZ$303,$A186,2))</f>
        <v/>
      </c>
      <c r="D186" s="26">
        <f>IF($G$2="","",TRIM(IF($I$2="확정",INDEX(입력_구리근무자명단!$A$1:$GZ$303,$A186,$G$2+1)&amp;"",INDEX(입력_구리근무자명단!$A$1:$GZ$303,$A186,$G$2+0)&amp;"")))</f>
        <v/>
      </c>
      <c r="E186" s="26">
        <f>IF($D186="","",$I$2)</f>
        <v/>
      </c>
      <c r="F186" s="28">
        <f>IF($D186="","",IF(INDEX(입력_구리근무자명단!$A$1:$GZ$303,$A186,$G$2+2)="",출력_요약!$B$3,IF(ISNUMBER(INDEX(입력_구리근무자명단!$A$1:$GZ$303,$A186,$G$2+2)),INDEX(입력_구리근무자명단!$A$1:$GZ$303,$A186,$G$2+2),IFERROR(DATE(VALUE(LEFT(INDEX(입력_구리근무자명단!$A$1:$GZ$303,$A186,$G$2+2),4)),VALUE(MID(INDEX(입력_구리근무자명단!$A$1:$GZ$303,$A186,$G$2+2),6,2)),VALUE(MID(INDEX(입력_구리근무자명단!$A$1:$GZ$303,$A186,$G$2+2),9,2))),IFERROR(DATEVALUE(SUBSTITUTE(TRIM(INDEX(입력_구리근무자명단!$A$1:$GZ$303,$A186,$G$2+2)),".","-")),"⚠"&amp;INDEX(입력_구리근무자명단!$A$1:$GZ$303,$A186,$G$2+2))))))</f>
        <v/>
      </c>
      <c r="G186" s="28">
        <f>IF($D186="","",IF(INDEX(입력_구리근무자명단!$A$1:$GZ$303,$A186,$G$2+3)="",EOMONTH(출력_요약!$B$3,0),IF(ISNUMBER(INDEX(입력_구리근무자명단!$A$1:$GZ$303,$A186,$G$2+3)),INDEX(입력_구리근무자명단!$A$1:$GZ$303,$A186,$G$2+3),IFERROR(DATE(VALUE(LEFT(INDEX(입력_구리근무자명단!$A$1:$GZ$303,$A186,$G$2+3),4)),VALUE(MID(INDEX(입력_구리근무자명단!$A$1:$GZ$303,$A186,$G$2+3),6,2)),VALUE(MID(INDEX(입력_구리근무자명단!$A$1:$GZ$303,$A186,$G$2+3),9,2))),IFERROR(DATEVALUE(SUBSTITUTE(TRIM(INDEX(입력_구리근무자명단!$A$1:$GZ$303,$A186,$G$2+3)),".","-")),"⚠"&amp;INDEX(입력_구리근무자명단!$A$1:$GZ$303,$A186,$G$2+3))))))</f>
        <v/>
      </c>
      <c r="H186" s="26">
        <f>IF($D186="","",IF(OR(NOT(ISNUMBER($F186)),NOT(ISNUMBER($G186))),0,MAX(0,MIN($G186,EOMONTH(출력_요약!$B$3,0))-MAX($F186,출력_요약!$B$3)+1)))</f>
        <v/>
      </c>
      <c r="I186" s="26">
        <f>IF($D186="","",TRIM(INDEX(입력_구리근무자명단!$A$1:$GZ$303,$A186,$G$2+5)&amp;""))</f>
        <v/>
      </c>
      <c r="J186" s="26">
        <f>IF($D186="","",IF(ISNUMBER(SEARCH("구리독자",$I186)),"구리독자",""))</f>
        <v/>
      </c>
      <c r="K186" s="29">
        <f>IF($D186="","",IF(COUNTIFS(입력_전공의명단!$C$2:$C$401,$D186,입력_전공의명단!$F$2:$F$401,IF(OR($C186="인턴",ISNUMBER(SEARCH("수련교육부",$B186))),"인턴",$B186))=1,MATCH($D186&amp;"|"&amp;IF(OR($C186="인턴",ISNUMBER(SEARCH("수련교육부",$B186))),"인턴",$B186),입력_전공의명단!$AP$2:$AP$401,0),IF(AND(COUNTIFS(입력_전공의명단!$C$2:$C$401,$D186,입력_전공의명단!$F$2:$F$401,IF(OR($C186="인턴",ISNUMBER(SEARCH("수련교육부",$B186))),"인턴",$B186))=0,COUNTIF(입력_전공의명단!$C$2:$C$401,$D186)=1),MATCH($D186,입력_전공의명단!$C$2:$C$401,0),"")))</f>
        <v/>
      </c>
      <c r="L186" s="26">
        <f>IF($D186="","",IF($K186&lt;&gt;"",IF(COUNTIFS(입력_전공의명단!$C$2:$C$401,$D186,입력_전공의명단!$F$2:$F$401,IF(OR($C186="인턴",ISNUMBER(SEARCH("수련교육부",$B186))),"인턴",$B186))=1,"명단 일치","명단 일치(이름만, 과 다름)"),IF(COUNTIF(입력_전공의명단!$C$2:$C$401,$D186)=0,IF(COUNTIF(입력_기본자료!$C$2:$C$1001,$D186)&gt;0,"명단에 없음(기본자료에는 있음)","명단에 없음"),"동명이인 확인")))</f>
        <v/>
      </c>
      <c r="N186" s="8" t="n">
        <v>181</v>
      </c>
      <c r="O186" s="8">
        <f>IF(ISNUMBER(SEARCH("근무예정자",(INDEX(입력_구리근무자명단!$A$3:$GZ$3,1,181)&amp;""))),IFERROR(VALUE(LEFT((INDEX(입력_구리근무자명단!$A$3:$GZ$3,1,181)&amp;""),4))*100+VALUE(MID((INDEX(입력_구리근무자명단!$A$3:$GZ$3,1,181)&amp;""),6,MIN(FIND("월",(INDEX(입력_구리근무자명단!$A$3:$GZ$3,1,181)&amp;"")&amp;"월"),FIND(CHAR(10),(INDEX(입력_구리근무자명단!$A$3:$GZ$3,1,181)&amp;"")&amp;CHAR(10)),FIND(" ",(INDEX(입력_구리근무자명단!$A$3:$GZ$3,1,181)&amp;"")&amp;" "))-6)),""),"")</f>
        <v/>
      </c>
    </row>
    <row r="187">
      <c r="A187" s="29" t="n">
        <v>185</v>
      </c>
      <c r="B187" s="26">
        <f>IF(TRIM(INDEX(입력_구리근무자명단!$A$1:$GZ$303,$A187,1)&amp;"")&lt;&gt;"",TRIM(INDEX(입력_구리근무자명단!$A$1:$GZ$303,$A187,1)&amp;""),B186)</f>
        <v/>
      </c>
      <c r="C187" s="26">
        <f>IF(INDEX(입력_구리근무자명단!$A$1:$GZ$303,$A187,2)="","",INDEX(입력_구리근무자명단!$A$1:$GZ$303,$A187,2))</f>
        <v/>
      </c>
      <c r="D187" s="26">
        <f>IF($G$2="","",TRIM(IF($I$2="확정",INDEX(입력_구리근무자명단!$A$1:$GZ$303,$A187,$G$2+1)&amp;"",INDEX(입력_구리근무자명단!$A$1:$GZ$303,$A187,$G$2+0)&amp;"")))</f>
        <v/>
      </c>
      <c r="E187" s="26">
        <f>IF($D187="","",$I$2)</f>
        <v/>
      </c>
      <c r="F187" s="28">
        <f>IF($D187="","",IF(INDEX(입력_구리근무자명단!$A$1:$GZ$303,$A187,$G$2+2)="",출력_요약!$B$3,IF(ISNUMBER(INDEX(입력_구리근무자명단!$A$1:$GZ$303,$A187,$G$2+2)),INDEX(입력_구리근무자명단!$A$1:$GZ$303,$A187,$G$2+2),IFERROR(DATE(VALUE(LEFT(INDEX(입력_구리근무자명단!$A$1:$GZ$303,$A187,$G$2+2),4)),VALUE(MID(INDEX(입력_구리근무자명단!$A$1:$GZ$303,$A187,$G$2+2),6,2)),VALUE(MID(INDEX(입력_구리근무자명단!$A$1:$GZ$303,$A187,$G$2+2),9,2))),IFERROR(DATEVALUE(SUBSTITUTE(TRIM(INDEX(입력_구리근무자명단!$A$1:$GZ$303,$A187,$G$2+2)),".","-")),"⚠"&amp;INDEX(입력_구리근무자명단!$A$1:$GZ$303,$A187,$G$2+2))))))</f>
        <v/>
      </c>
      <c r="G187" s="28">
        <f>IF($D187="","",IF(INDEX(입력_구리근무자명단!$A$1:$GZ$303,$A187,$G$2+3)="",EOMONTH(출력_요약!$B$3,0),IF(ISNUMBER(INDEX(입력_구리근무자명단!$A$1:$GZ$303,$A187,$G$2+3)),INDEX(입력_구리근무자명단!$A$1:$GZ$303,$A187,$G$2+3),IFERROR(DATE(VALUE(LEFT(INDEX(입력_구리근무자명단!$A$1:$GZ$303,$A187,$G$2+3),4)),VALUE(MID(INDEX(입력_구리근무자명단!$A$1:$GZ$303,$A187,$G$2+3),6,2)),VALUE(MID(INDEX(입력_구리근무자명단!$A$1:$GZ$303,$A187,$G$2+3),9,2))),IFERROR(DATEVALUE(SUBSTITUTE(TRIM(INDEX(입력_구리근무자명단!$A$1:$GZ$303,$A187,$G$2+3)),".","-")),"⚠"&amp;INDEX(입력_구리근무자명단!$A$1:$GZ$303,$A187,$G$2+3))))))</f>
        <v/>
      </c>
      <c r="H187" s="26">
        <f>IF($D187="","",IF(OR(NOT(ISNUMBER($F187)),NOT(ISNUMBER($G187))),0,MAX(0,MIN($G187,EOMONTH(출력_요약!$B$3,0))-MAX($F187,출력_요약!$B$3)+1)))</f>
        <v/>
      </c>
      <c r="I187" s="26">
        <f>IF($D187="","",TRIM(INDEX(입력_구리근무자명단!$A$1:$GZ$303,$A187,$G$2+5)&amp;""))</f>
        <v/>
      </c>
      <c r="J187" s="26">
        <f>IF($D187="","",IF(ISNUMBER(SEARCH("구리독자",$I187)),"구리독자",""))</f>
        <v/>
      </c>
      <c r="K187" s="29">
        <f>IF($D187="","",IF(COUNTIFS(입력_전공의명단!$C$2:$C$401,$D187,입력_전공의명단!$F$2:$F$401,IF(OR($C187="인턴",ISNUMBER(SEARCH("수련교육부",$B187))),"인턴",$B187))=1,MATCH($D187&amp;"|"&amp;IF(OR($C187="인턴",ISNUMBER(SEARCH("수련교육부",$B187))),"인턴",$B187),입력_전공의명단!$AP$2:$AP$401,0),IF(AND(COUNTIFS(입력_전공의명단!$C$2:$C$401,$D187,입력_전공의명단!$F$2:$F$401,IF(OR($C187="인턴",ISNUMBER(SEARCH("수련교육부",$B187))),"인턴",$B187))=0,COUNTIF(입력_전공의명단!$C$2:$C$401,$D187)=1),MATCH($D187,입력_전공의명단!$C$2:$C$401,0),"")))</f>
        <v/>
      </c>
      <c r="L187" s="26">
        <f>IF($D187="","",IF($K187&lt;&gt;"",IF(COUNTIFS(입력_전공의명단!$C$2:$C$401,$D187,입력_전공의명단!$F$2:$F$401,IF(OR($C187="인턴",ISNUMBER(SEARCH("수련교육부",$B187))),"인턴",$B187))=1,"명단 일치","명단 일치(이름만, 과 다름)"),IF(COUNTIF(입력_전공의명단!$C$2:$C$401,$D187)=0,IF(COUNTIF(입력_기본자료!$C$2:$C$1001,$D187)&gt;0,"명단에 없음(기본자료에는 있음)","명단에 없음"),"동명이인 확인")))</f>
        <v/>
      </c>
      <c r="N187" s="8" t="n">
        <v>182</v>
      </c>
      <c r="O187" s="8">
        <f>IF(ISNUMBER(SEARCH("근무예정자",(INDEX(입력_구리근무자명단!$A$3:$GZ$3,1,182)&amp;""))),IFERROR(VALUE(LEFT((INDEX(입력_구리근무자명단!$A$3:$GZ$3,1,182)&amp;""),4))*100+VALUE(MID((INDEX(입력_구리근무자명단!$A$3:$GZ$3,1,182)&amp;""),6,MIN(FIND("월",(INDEX(입력_구리근무자명단!$A$3:$GZ$3,1,182)&amp;"")&amp;"월"),FIND(CHAR(10),(INDEX(입력_구리근무자명단!$A$3:$GZ$3,1,182)&amp;"")&amp;CHAR(10)),FIND(" ",(INDEX(입력_구리근무자명단!$A$3:$GZ$3,1,182)&amp;"")&amp;" "))-6)),""),"")</f>
        <v/>
      </c>
    </row>
    <row r="188">
      <c r="A188" s="29" t="n">
        <v>186</v>
      </c>
      <c r="B188" s="26">
        <f>IF(TRIM(INDEX(입력_구리근무자명단!$A$1:$GZ$303,$A188,1)&amp;"")&lt;&gt;"",TRIM(INDEX(입력_구리근무자명단!$A$1:$GZ$303,$A188,1)&amp;""),B187)</f>
        <v/>
      </c>
      <c r="C188" s="26">
        <f>IF(INDEX(입력_구리근무자명단!$A$1:$GZ$303,$A188,2)="","",INDEX(입력_구리근무자명단!$A$1:$GZ$303,$A188,2))</f>
        <v/>
      </c>
      <c r="D188" s="26">
        <f>IF($G$2="","",TRIM(IF($I$2="확정",INDEX(입력_구리근무자명단!$A$1:$GZ$303,$A188,$G$2+1)&amp;"",INDEX(입력_구리근무자명단!$A$1:$GZ$303,$A188,$G$2+0)&amp;"")))</f>
        <v/>
      </c>
      <c r="E188" s="26">
        <f>IF($D188="","",$I$2)</f>
        <v/>
      </c>
      <c r="F188" s="28">
        <f>IF($D188="","",IF(INDEX(입력_구리근무자명단!$A$1:$GZ$303,$A188,$G$2+2)="",출력_요약!$B$3,IF(ISNUMBER(INDEX(입력_구리근무자명단!$A$1:$GZ$303,$A188,$G$2+2)),INDEX(입력_구리근무자명단!$A$1:$GZ$303,$A188,$G$2+2),IFERROR(DATE(VALUE(LEFT(INDEX(입력_구리근무자명단!$A$1:$GZ$303,$A188,$G$2+2),4)),VALUE(MID(INDEX(입력_구리근무자명단!$A$1:$GZ$303,$A188,$G$2+2),6,2)),VALUE(MID(INDEX(입력_구리근무자명단!$A$1:$GZ$303,$A188,$G$2+2),9,2))),IFERROR(DATEVALUE(SUBSTITUTE(TRIM(INDEX(입력_구리근무자명단!$A$1:$GZ$303,$A188,$G$2+2)),".","-")),"⚠"&amp;INDEX(입력_구리근무자명단!$A$1:$GZ$303,$A188,$G$2+2))))))</f>
        <v/>
      </c>
      <c r="G188" s="28">
        <f>IF($D188="","",IF(INDEX(입력_구리근무자명단!$A$1:$GZ$303,$A188,$G$2+3)="",EOMONTH(출력_요약!$B$3,0),IF(ISNUMBER(INDEX(입력_구리근무자명단!$A$1:$GZ$303,$A188,$G$2+3)),INDEX(입력_구리근무자명단!$A$1:$GZ$303,$A188,$G$2+3),IFERROR(DATE(VALUE(LEFT(INDEX(입력_구리근무자명단!$A$1:$GZ$303,$A188,$G$2+3),4)),VALUE(MID(INDEX(입력_구리근무자명단!$A$1:$GZ$303,$A188,$G$2+3),6,2)),VALUE(MID(INDEX(입력_구리근무자명단!$A$1:$GZ$303,$A188,$G$2+3),9,2))),IFERROR(DATEVALUE(SUBSTITUTE(TRIM(INDEX(입력_구리근무자명단!$A$1:$GZ$303,$A188,$G$2+3)),".","-")),"⚠"&amp;INDEX(입력_구리근무자명단!$A$1:$GZ$303,$A188,$G$2+3))))))</f>
        <v/>
      </c>
      <c r="H188" s="26">
        <f>IF($D188="","",IF(OR(NOT(ISNUMBER($F188)),NOT(ISNUMBER($G188))),0,MAX(0,MIN($G188,EOMONTH(출력_요약!$B$3,0))-MAX($F188,출력_요약!$B$3)+1)))</f>
        <v/>
      </c>
      <c r="I188" s="26">
        <f>IF($D188="","",TRIM(INDEX(입력_구리근무자명단!$A$1:$GZ$303,$A188,$G$2+5)&amp;""))</f>
        <v/>
      </c>
      <c r="J188" s="26">
        <f>IF($D188="","",IF(ISNUMBER(SEARCH("구리독자",$I188)),"구리독자",""))</f>
        <v/>
      </c>
      <c r="K188" s="29">
        <f>IF($D188="","",IF(COUNTIFS(입력_전공의명단!$C$2:$C$401,$D188,입력_전공의명단!$F$2:$F$401,IF(OR($C188="인턴",ISNUMBER(SEARCH("수련교육부",$B188))),"인턴",$B188))=1,MATCH($D188&amp;"|"&amp;IF(OR($C188="인턴",ISNUMBER(SEARCH("수련교육부",$B188))),"인턴",$B188),입력_전공의명단!$AP$2:$AP$401,0),IF(AND(COUNTIFS(입력_전공의명단!$C$2:$C$401,$D188,입력_전공의명단!$F$2:$F$401,IF(OR($C188="인턴",ISNUMBER(SEARCH("수련교육부",$B188))),"인턴",$B188))=0,COUNTIF(입력_전공의명단!$C$2:$C$401,$D188)=1),MATCH($D188,입력_전공의명단!$C$2:$C$401,0),"")))</f>
        <v/>
      </c>
      <c r="L188" s="26">
        <f>IF($D188="","",IF($K188&lt;&gt;"",IF(COUNTIFS(입력_전공의명단!$C$2:$C$401,$D188,입력_전공의명단!$F$2:$F$401,IF(OR($C188="인턴",ISNUMBER(SEARCH("수련교육부",$B188))),"인턴",$B188))=1,"명단 일치","명단 일치(이름만, 과 다름)"),IF(COUNTIF(입력_전공의명단!$C$2:$C$401,$D188)=0,IF(COUNTIF(입력_기본자료!$C$2:$C$1001,$D188)&gt;0,"명단에 없음(기본자료에는 있음)","명단에 없음"),"동명이인 확인")))</f>
        <v/>
      </c>
      <c r="N188" s="8" t="n">
        <v>183</v>
      </c>
      <c r="O188" s="8">
        <f>IF(ISNUMBER(SEARCH("근무예정자",(INDEX(입력_구리근무자명단!$A$3:$GZ$3,1,183)&amp;""))),IFERROR(VALUE(LEFT((INDEX(입력_구리근무자명단!$A$3:$GZ$3,1,183)&amp;""),4))*100+VALUE(MID((INDEX(입력_구리근무자명단!$A$3:$GZ$3,1,183)&amp;""),6,MIN(FIND("월",(INDEX(입력_구리근무자명단!$A$3:$GZ$3,1,183)&amp;"")&amp;"월"),FIND(CHAR(10),(INDEX(입력_구리근무자명단!$A$3:$GZ$3,1,183)&amp;"")&amp;CHAR(10)),FIND(" ",(INDEX(입력_구리근무자명단!$A$3:$GZ$3,1,183)&amp;"")&amp;" "))-6)),""),"")</f>
        <v/>
      </c>
    </row>
    <row r="189">
      <c r="A189" s="29" t="n">
        <v>187</v>
      </c>
      <c r="B189" s="26">
        <f>IF(TRIM(INDEX(입력_구리근무자명단!$A$1:$GZ$303,$A189,1)&amp;"")&lt;&gt;"",TRIM(INDEX(입력_구리근무자명단!$A$1:$GZ$303,$A189,1)&amp;""),B188)</f>
        <v/>
      </c>
      <c r="C189" s="26">
        <f>IF(INDEX(입력_구리근무자명단!$A$1:$GZ$303,$A189,2)="","",INDEX(입력_구리근무자명단!$A$1:$GZ$303,$A189,2))</f>
        <v/>
      </c>
      <c r="D189" s="26">
        <f>IF($G$2="","",TRIM(IF($I$2="확정",INDEX(입력_구리근무자명단!$A$1:$GZ$303,$A189,$G$2+1)&amp;"",INDEX(입력_구리근무자명단!$A$1:$GZ$303,$A189,$G$2+0)&amp;"")))</f>
        <v/>
      </c>
      <c r="E189" s="26">
        <f>IF($D189="","",$I$2)</f>
        <v/>
      </c>
      <c r="F189" s="28">
        <f>IF($D189="","",IF(INDEX(입력_구리근무자명단!$A$1:$GZ$303,$A189,$G$2+2)="",출력_요약!$B$3,IF(ISNUMBER(INDEX(입력_구리근무자명단!$A$1:$GZ$303,$A189,$G$2+2)),INDEX(입력_구리근무자명단!$A$1:$GZ$303,$A189,$G$2+2),IFERROR(DATE(VALUE(LEFT(INDEX(입력_구리근무자명단!$A$1:$GZ$303,$A189,$G$2+2),4)),VALUE(MID(INDEX(입력_구리근무자명단!$A$1:$GZ$303,$A189,$G$2+2),6,2)),VALUE(MID(INDEX(입력_구리근무자명단!$A$1:$GZ$303,$A189,$G$2+2),9,2))),IFERROR(DATEVALUE(SUBSTITUTE(TRIM(INDEX(입력_구리근무자명단!$A$1:$GZ$303,$A189,$G$2+2)),".","-")),"⚠"&amp;INDEX(입력_구리근무자명단!$A$1:$GZ$303,$A189,$G$2+2))))))</f>
        <v/>
      </c>
      <c r="G189" s="28">
        <f>IF($D189="","",IF(INDEX(입력_구리근무자명단!$A$1:$GZ$303,$A189,$G$2+3)="",EOMONTH(출력_요약!$B$3,0),IF(ISNUMBER(INDEX(입력_구리근무자명단!$A$1:$GZ$303,$A189,$G$2+3)),INDEX(입력_구리근무자명단!$A$1:$GZ$303,$A189,$G$2+3),IFERROR(DATE(VALUE(LEFT(INDEX(입력_구리근무자명단!$A$1:$GZ$303,$A189,$G$2+3),4)),VALUE(MID(INDEX(입력_구리근무자명단!$A$1:$GZ$303,$A189,$G$2+3),6,2)),VALUE(MID(INDEX(입력_구리근무자명단!$A$1:$GZ$303,$A189,$G$2+3),9,2))),IFERROR(DATEVALUE(SUBSTITUTE(TRIM(INDEX(입력_구리근무자명단!$A$1:$GZ$303,$A189,$G$2+3)),".","-")),"⚠"&amp;INDEX(입력_구리근무자명단!$A$1:$GZ$303,$A189,$G$2+3))))))</f>
        <v/>
      </c>
      <c r="H189" s="26">
        <f>IF($D189="","",IF(OR(NOT(ISNUMBER($F189)),NOT(ISNUMBER($G189))),0,MAX(0,MIN($G189,EOMONTH(출력_요약!$B$3,0))-MAX($F189,출력_요약!$B$3)+1)))</f>
        <v/>
      </c>
      <c r="I189" s="26">
        <f>IF($D189="","",TRIM(INDEX(입력_구리근무자명단!$A$1:$GZ$303,$A189,$G$2+5)&amp;""))</f>
        <v/>
      </c>
      <c r="J189" s="26">
        <f>IF($D189="","",IF(ISNUMBER(SEARCH("구리독자",$I189)),"구리독자",""))</f>
        <v/>
      </c>
      <c r="K189" s="29">
        <f>IF($D189="","",IF(COUNTIFS(입력_전공의명단!$C$2:$C$401,$D189,입력_전공의명단!$F$2:$F$401,IF(OR($C189="인턴",ISNUMBER(SEARCH("수련교육부",$B189))),"인턴",$B189))=1,MATCH($D189&amp;"|"&amp;IF(OR($C189="인턴",ISNUMBER(SEARCH("수련교육부",$B189))),"인턴",$B189),입력_전공의명단!$AP$2:$AP$401,0),IF(AND(COUNTIFS(입력_전공의명단!$C$2:$C$401,$D189,입력_전공의명단!$F$2:$F$401,IF(OR($C189="인턴",ISNUMBER(SEARCH("수련교육부",$B189))),"인턴",$B189))=0,COUNTIF(입력_전공의명단!$C$2:$C$401,$D189)=1),MATCH($D189,입력_전공의명단!$C$2:$C$401,0),"")))</f>
        <v/>
      </c>
      <c r="L189" s="26">
        <f>IF($D189="","",IF($K189&lt;&gt;"",IF(COUNTIFS(입력_전공의명단!$C$2:$C$401,$D189,입력_전공의명단!$F$2:$F$401,IF(OR($C189="인턴",ISNUMBER(SEARCH("수련교육부",$B189))),"인턴",$B189))=1,"명단 일치","명단 일치(이름만, 과 다름)"),IF(COUNTIF(입력_전공의명단!$C$2:$C$401,$D189)=0,IF(COUNTIF(입력_기본자료!$C$2:$C$1001,$D189)&gt;0,"명단에 없음(기본자료에는 있음)","명단에 없음"),"동명이인 확인")))</f>
        <v/>
      </c>
      <c r="N189" s="8" t="n">
        <v>184</v>
      </c>
      <c r="O189" s="8">
        <f>IF(ISNUMBER(SEARCH("근무예정자",(INDEX(입력_구리근무자명단!$A$3:$GZ$3,1,184)&amp;""))),IFERROR(VALUE(LEFT((INDEX(입력_구리근무자명단!$A$3:$GZ$3,1,184)&amp;""),4))*100+VALUE(MID((INDEX(입력_구리근무자명단!$A$3:$GZ$3,1,184)&amp;""),6,MIN(FIND("월",(INDEX(입력_구리근무자명단!$A$3:$GZ$3,1,184)&amp;"")&amp;"월"),FIND(CHAR(10),(INDEX(입력_구리근무자명단!$A$3:$GZ$3,1,184)&amp;"")&amp;CHAR(10)),FIND(" ",(INDEX(입력_구리근무자명단!$A$3:$GZ$3,1,184)&amp;"")&amp;" "))-6)),""),"")</f>
        <v/>
      </c>
    </row>
    <row r="190">
      <c r="A190" s="29" t="n">
        <v>188</v>
      </c>
      <c r="B190" s="26">
        <f>IF(TRIM(INDEX(입력_구리근무자명단!$A$1:$GZ$303,$A190,1)&amp;"")&lt;&gt;"",TRIM(INDEX(입력_구리근무자명단!$A$1:$GZ$303,$A190,1)&amp;""),B189)</f>
        <v/>
      </c>
      <c r="C190" s="26">
        <f>IF(INDEX(입력_구리근무자명단!$A$1:$GZ$303,$A190,2)="","",INDEX(입력_구리근무자명단!$A$1:$GZ$303,$A190,2))</f>
        <v/>
      </c>
      <c r="D190" s="26">
        <f>IF($G$2="","",TRIM(IF($I$2="확정",INDEX(입력_구리근무자명단!$A$1:$GZ$303,$A190,$G$2+1)&amp;"",INDEX(입력_구리근무자명단!$A$1:$GZ$303,$A190,$G$2+0)&amp;"")))</f>
        <v/>
      </c>
      <c r="E190" s="26">
        <f>IF($D190="","",$I$2)</f>
        <v/>
      </c>
      <c r="F190" s="28">
        <f>IF($D190="","",IF(INDEX(입력_구리근무자명단!$A$1:$GZ$303,$A190,$G$2+2)="",출력_요약!$B$3,IF(ISNUMBER(INDEX(입력_구리근무자명단!$A$1:$GZ$303,$A190,$G$2+2)),INDEX(입력_구리근무자명단!$A$1:$GZ$303,$A190,$G$2+2),IFERROR(DATE(VALUE(LEFT(INDEX(입력_구리근무자명단!$A$1:$GZ$303,$A190,$G$2+2),4)),VALUE(MID(INDEX(입력_구리근무자명단!$A$1:$GZ$303,$A190,$G$2+2),6,2)),VALUE(MID(INDEX(입력_구리근무자명단!$A$1:$GZ$303,$A190,$G$2+2),9,2))),IFERROR(DATEVALUE(SUBSTITUTE(TRIM(INDEX(입력_구리근무자명단!$A$1:$GZ$303,$A190,$G$2+2)),".","-")),"⚠"&amp;INDEX(입력_구리근무자명단!$A$1:$GZ$303,$A190,$G$2+2))))))</f>
        <v/>
      </c>
      <c r="G190" s="28">
        <f>IF($D190="","",IF(INDEX(입력_구리근무자명단!$A$1:$GZ$303,$A190,$G$2+3)="",EOMONTH(출력_요약!$B$3,0),IF(ISNUMBER(INDEX(입력_구리근무자명단!$A$1:$GZ$303,$A190,$G$2+3)),INDEX(입력_구리근무자명단!$A$1:$GZ$303,$A190,$G$2+3),IFERROR(DATE(VALUE(LEFT(INDEX(입력_구리근무자명단!$A$1:$GZ$303,$A190,$G$2+3),4)),VALUE(MID(INDEX(입력_구리근무자명단!$A$1:$GZ$303,$A190,$G$2+3),6,2)),VALUE(MID(INDEX(입력_구리근무자명단!$A$1:$GZ$303,$A190,$G$2+3),9,2))),IFERROR(DATEVALUE(SUBSTITUTE(TRIM(INDEX(입력_구리근무자명단!$A$1:$GZ$303,$A190,$G$2+3)),".","-")),"⚠"&amp;INDEX(입력_구리근무자명단!$A$1:$GZ$303,$A190,$G$2+3))))))</f>
        <v/>
      </c>
      <c r="H190" s="26">
        <f>IF($D190="","",IF(OR(NOT(ISNUMBER($F190)),NOT(ISNUMBER($G190))),0,MAX(0,MIN($G190,EOMONTH(출력_요약!$B$3,0))-MAX($F190,출력_요약!$B$3)+1)))</f>
        <v/>
      </c>
      <c r="I190" s="26">
        <f>IF($D190="","",TRIM(INDEX(입력_구리근무자명단!$A$1:$GZ$303,$A190,$G$2+5)&amp;""))</f>
        <v/>
      </c>
      <c r="J190" s="26">
        <f>IF($D190="","",IF(ISNUMBER(SEARCH("구리독자",$I190)),"구리독자",""))</f>
        <v/>
      </c>
      <c r="K190" s="29">
        <f>IF($D190="","",IF(COUNTIFS(입력_전공의명단!$C$2:$C$401,$D190,입력_전공의명단!$F$2:$F$401,IF(OR($C190="인턴",ISNUMBER(SEARCH("수련교육부",$B190))),"인턴",$B190))=1,MATCH($D190&amp;"|"&amp;IF(OR($C190="인턴",ISNUMBER(SEARCH("수련교육부",$B190))),"인턴",$B190),입력_전공의명단!$AP$2:$AP$401,0),IF(AND(COUNTIFS(입력_전공의명단!$C$2:$C$401,$D190,입력_전공의명단!$F$2:$F$401,IF(OR($C190="인턴",ISNUMBER(SEARCH("수련교육부",$B190))),"인턴",$B190))=0,COUNTIF(입력_전공의명단!$C$2:$C$401,$D190)=1),MATCH($D190,입력_전공의명단!$C$2:$C$401,0),"")))</f>
        <v/>
      </c>
      <c r="L190" s="26">
        <f>IF($D190="","",IF($K190&lt;&gt;"",IF(COUNTIFS(입력_전공의명단!$C$2:$C$401,$D190,입력_전공의명단!$F$2:$F$401,IF(OR($C190="인턴",ISNUMBER(SEARCH("수련교육부",$B190))),"인턴",$B190))=1,"명단 일치","명단 일치(이름만, 과 다름)"),IF(COUNTIF(입력_전공의명단!$C$2:$C$401,$D190)=0,IF(COUNTIF(입력_기본자료!$C$2:$C$1001,$D190)&gt;0,"명단에 없음(기본자료에는 있음)","명단에 없음"),"동명이인 확인")))</f>
        <v/>
      </c>
      <c r="N190" s="8" t="n">
        <v>185</v>
      </c>
      <c r="O190" s="8">
        <f>IF(ISNUMBER(SEARCH("근무예정자",(INDEX(입력_구리근무자명단!$A$3:$GZ$3,1,185)&amp;""))),IFERROR(VALUE(LEFT((INDEX(입력_구리근무자명단!$A$3:$GZ$3,1,185)&amp;""),4))*100+VALUE(MID((INDEX(입력_구리근무자명단!$A$3:$GZ$3,1,185)&amp;""),6,MIN(FIND("월",(INDEX(입력_구리근무자명단!$A$3:$GZ$3,1,185)&amp;"")&amp;"월"),FIND(CHAR(10),(INDEX(입력_구리근무자명단!$A$3:$GZ$3,1,185)&amp;"")&amp;CHAR(10)),FIND(" ",(INDEX(입력_구리근무자명단!$A$3:$GZ$3,1,185)&amp;"")&amp;" "))-6)),""),"")</f>
        <v/>
      </c>
    </row>
    <row r="191">
      <c r="A191" s="29" t="n">
        <v>189</v>
      </c>
      <c r="B191" s="26">
        <f>IF(TRIM(INDEX(입력_구리근무자명단!$A$1:$GZ$303,$A191,1)&amp;"")&lt;&gt;"",TRIM(INDEX(입력_구리근무자명단!$A$1:$GZ$303,$A191,1)&amp;""),B190)</f>
        <v/>
      </c>
      <c r="C191" s="26">
        <f>IF(INDEX(입력_구리근무자명단!$A$1:$GZ$303,$A191,2)="","",INDEX(입력_구리근무자명단!$A$1:$GZ$303,$A191,2))</f>
        <v/>
      </c>
      <c r="D191" s="26">
        <f>IF($G$2="","",TRIM(IF($I$2="확정",INDEX(입력_구리근무자명단!$A$1:$GZ$303,$A191,$G$2+1)&amp;"",INDEX(입력_구리근무자명단!$A$1:$GZ$303,$A191,$G$2+0)&amp;"")))</f>
        <v/>
      </c>
      <c r="E191" s="26">
        <f>IF($D191="","",$I$2)</f>
        <v/>
      </c>
      <c r="F191" s="28">
        <f>IF($D191="","",IF(INDEX(입력_구리근무자명단!$A$1:$GZ$303,$A191,$G$2+2)="",출력_요약!$B$3,IF(ISNUMBER(INDEX(입력_구리근무자명단!$A$1:$GZ$303,$A191,$G$2+2)),INDEX(입력_구리근무자명단!$A$1:$GZ$303,$A191,$G$2+2),IFERROR(DATE(VALUE(LEFT(INDEX(입력_구리근무자명단!$A$1:$GZ$303,$A191,$G$2+2),4)),VALUE(MID(INDEX(입력_구리근무자명단!$A$1:$GZ$303,$A191,$G$2+2),6,2)),VALUE(MID(INDEX(입력_구리근무자명단!$A$1:$GZ$303,$A191,$G$2+2),9,2))),IFERROR(DATEVALUE(SUBSTITUTE(TRIM(INDEX(입력_구리근무자명단!$A$1:$GZ$303,$A191,$G$2+2)),".","-")),"⚠"&amp;INDEX(입력_구리근무자명단!$A$1:$GZ$303,$A191,$G$2+2))))))</f>
        <v/>
      </c>
      <c r="G191" s="28">
        <f>IF($D191="","",IF(INDEX(입력_구리근무자명단!$A$1:$GZ$303,$A191,$G$2+3)="",EOMONTH(출력_요약!$B$3,0),IF(ISNUMBER(INDEX(입력_구리근무자명단!$A$1:$GZ$303,$A191,$G$2+3)),INDEX(입력_구리근무자명단!$A$1:$GZ$303,$A191,$G$2+3),IFERROR(DATE(VALUE(LEFT(INDEX(입력_구리근무자명단!$A$1:$GZ$303,$A191,$G$2+3),4)),VALUE(MID(INDEX(입력_구리근무자명단!$A$1:$GZ$303,$A191,$G$2+3),6,2)),VALUE(MID(INDEX(입력_구리근무자명단!$A$1:$GZ$303,$A191,$G$2+3),9,2))),IFERROR(DATEVALUE(SUBSTITUTE(TRIM(INDEX(입력_구리근무자명단!$A$1:$GZ$303,$A191,$G$2+3)),".","-")),"⚠"&amp;INDEX(입력_구리근무자명단!$A$1:$GZ$303,$A191,$G$2+3))))))</f>
        <v/>
      </c>
      <c r="H191" s="26">
        <f>IF($D191="","",IF(OR(NOT(ISNUMBER($F191)),NOT(ISNUMBER($G191))),0,MAX(0,MIN($G191,EOMONTH(출력_요약!$B$3,0))-MAX($F191,출력_요약!$B$3)+1)))</f>
        <v/>
      </c>
      <c r="I191" s="26">
        <f>IF($D191="","",TRIM(INDEX(입력_구리근무자명단!$A$1:$GZ$303,$A191,$G$2+5)&amp;""))</f>
        <v/>
      </c>
      <c r="J191" s="26">
        <f>IF($D191="","",IF(ISNUMBER(SEARCH("구리독자",$I191)),"구리독자",""))</f>
        <v/>
      </c>
      <c r="K191" s="29">
        <f>IF($D191="","",IF(COUNTIFS(입력_전공의명단!$C$2:$C$401,$D191,입력_전공의명단!$F$2:$F$401,IF(OR($C191="인턴",ISNUMBER(SEARCH("수련교육부",$B191))),"인턴",$B191))=1,MATCH($D191&amp;"|"&amp;IF(OR($C191="인턴",ISNUMBER(SEARCH("수련교육부",$B191))),"인턴",$B191),입력_전공의명단!$AP$2:$AP$401,0),IF(AND(COUNTIFS(입력_전공의명단!$C$2:$C$401,$D191,입력_전공의명단!$F$2:$F$401,IF(OR($C191="인턴",ISNUMBER(SEARCH("수련교육부",$B191))),"인턴",$B191))=0,COUNTIF(입력_전공의명단!$C$2:$C$401,$D191)=1),MATCH($D191,입력_전공의명단!$C$2:$C$401,0),"")))</f>
        <v/>
      </c>
      <c r="L191" s="26">
        <f>IF($D191="","",IF($K191&lt;&gt;"",IF(COUNTIFS(입력_전공의명단!$C$2:$C$401,$D191,입력_전공의명단!$F$2:$F$401,IF(OR($C191="인턴",ISNUMBER(SEARCH("수련교육부",$B191))),"인턴",$B191))=1,"명단 일치","명단 일치(이름만, 과 다름)"),IF(COUNTIF(입력_전공의명단!$C$2:$C$401,$D191)=0,IF(COUNTIF(입력_기본자료!$C$2:$C$1001,$D191)&gt;0,"명단에 없음(기본자료에는 있음)","명단에 없음"),"동명이인 확인")))</f>
        <v/>
      </c>
      <c r="N191" s="8" t="n">
        <v>186</v>
      </c>
      <c r="O191" s="8">
        <f>IF(ISNUMBER(SEARCH("근무예정자",(INDEX(입력_구리근무자명단!$A$3:$GZ$3,1,186)&amp;""))),IFERROR(VALUE(LEFT((INDEX(입력_구리근무자명단!$A$3:$GZ$3,1,186)&amp;""),4))*100+VALUE(MID((INDEX(입력_구리근무자명단!$A$3:$GZ$3,1,186)&amp;""),6,MIN(FIND("월",(INDEX(입력_구리근무자명단!$A$3:$GZ$3,1,186)&amp;"")&amp;"월"),FIND(CHAR(10),(INDEX(입력_구리근무자명단!$A$3:$GZ$3,1,186)&amp;"")&amp;CHAR(10)),FIND(" ",(INDEX(입력_구리근무자명단!$A$3:$GZ$3,1,186)&amp;"")&amp;" "))-6)),""),"")</f>
        <v/>
      </c>
    </row>
    <row r="192">
      <c r="A192" s="29" t="n">
        <v>190</v>
      </c>
      <c r="B192" s="26">
        <f>IF(TRIM(INDEX(입력_구리근무자명단!$A$1:$GZ$303,$A192,1)&amp;"")&lt;&gt;"",TRIM(INDEX(입력_구리근무자명단!$A$1:$GZ$303,$A192,1)&amp;""),B191)</f>
        <v/>
      </c>
      <c r="C192" s="26">
        <f>IF(INDEX(입력_구리근무자명단!$A$1:$GZ$303,$A192,2)="","",INDEX(입력_구리근무자명단!$A$1:$GZ$303,$A192,2))</f>
        <v/>
      </c>
      <c r="D192" s="26">
        <f>IF($G$2="","",TRIM(IF($I$2="확정",INDEX(입력_구리근무자명단!$A$1:$GZ$303,$A192,$G$2+1)&amp;"",INDEX(입력_구리근무자명단!$A$1:$GZ$303,$A192,$G$2+0)&amp;"")))</f>
        <v/>
      </c>
      <c r="E192" s="26">
        <f>IF($D192="","",$I$2)</f>
        <v/>
      </c>
      <c r="F192" s="28">
        <f>IF($D192="","",IF(INDEX(입력_구리근무자명단!$A$1:$GZ$303,$A192,$G$2+2)="",출력_요약!$B$3,IF(ISNUMBER(INDEX(입력_구리근무자명단!$A$1:$GZ$303,$A192,$G$2+2)),INDEX(입력_구리근무자명단!$A$1:$GZ$303,$A192,$G$2+2),IFERROR(DATE(VALUE(LEFT(INDEX(입력_구리근무자명단!$A$1:$GZ$303,$A192,$G$2+2),4)),VALUE(MID(INDEX(입력_구리근무자명단!$A$1:$GZ$303,$A192,$G$2+2),6,2)),VALUE(MID(INDEX(입력_구리근무자명단!$A$1:$GZ$303,$A192,$G$2+2),9,2))),IFERROR(DATEVALUE(SUBSTITUTE(TRIM(INDEX(입력_구리근무자명단!$A$1:$GZ$303,$A192,$G$2+2)),".","-")),"⚠"&amp;INDEX(입력_구리근무자명단!$A$1:$GZ$303,$A192,$G$2+2))))))</f>
        <v/>
      </c>
      <c r="G192" s="28">
        <f>IF($D192="","",IF(INDEX(입력_구리근무자명단!$A$1:$GZ$303,$A192,$G$2+3)="",EOMONTH(출력_요약!$B$3,0),IF(ISNUMBER(INDEX(입력_구리근무자명단!$A$1:$GZ$303,$A192,$G$2+3)),INDEX(입력_구리근무자명단!$A$1:$GZ$303,$A192,$G$2+3),IFERROR(DATE(VALUE(LEFT(INDEX(입력_구리근무자명단!$A$1:$GZ$303,$A192,$G$2+3),4)),VALUE(MID(INDEX(입력_구리근무자명단!$A$1:$GZ$303,$A192,$G$2+3),6,2)),VALUE(MID(INDEX(입력_구리근무자명단!$A$1:$GZ$303,$A192,$G$2+3),9,2))),IFERROR(DATEVALUE(SUBSTITUTE(TRIM(INDEX(입력_구리근무자명단!$A$1:$GZ$303,$A192,$G$2+3)),".","-")),"⚠"&amp;INDEX(입력_구리근무자명단!$A$1:$GZ$303,$A192,$G$2+3))))))</f>
        <v/>
      </c>
      <c r="H192" s="26">
        <f>IF($D192="","",IF(OR(NOT(ISNUMBER($F192)),NOT(ISNUMBER($G192))),0,MAX(0,MIN($G192,EOMONTH(출력_요약!$B$3,0))-MAX($F192,출력_요약!$B$3)+1)))</f>
        <v/>
      </c>
      <c r="I192" s="26">
        <f>IF($D192="","",TRIM(INDEX(입력_구리근무자명단!$A$1:$GZ$303,$A192,$G$2+5)&amp;""))</f>
        <v/>
      </c>
      <c r="J192" s="26">
        <f>IF($D192="","",IF(ISNUMBER(SEARCH("구리독자",$I192)),"구리독자",""))</f>
        <v/>
      </c>
      <c r="K192" s="29">
        <f>IF($D192="","",IF(COUNTIFS(입력_전공의명단!$C$2:$C$401,$D192,입력_전공의명단!$F$2:$F$401,IF(OR($C192="인턴",ISNUMBER(SEARCH("수련교육부",$B192))),"인턴",$B192))=1,MATCH($D192&amp;"|"&amp;IF(OR($C192="인턴",ISNUMBER(SEARCH("수련교육부",$B192))),"인턴",$B192),입력_전공의명단!$AP$2:$AP$401,0),IF(AND(COUNTIFS(입력_전공의명단!$C$2:$C$401,$D192,입력_전공의명단!$F$2:$F$401,IF(OR($C192="인턴",ISNUMBER(SEARCH("수련교육부",$B192))),"인턴",$B192))=0,COUNTIF(입력_전공의명단!$C$2:$C$401,$D192)=1),MATCH($D192,입력_전공의명단!$C$2:$C$401,0),"")))</f>
        <v/>
      </c>
      <c r="L192" s="26">
        <f>IF($D192="","",IF($K192&lt;&gt;"",IF(COUNTIFS(입력_전공의명단!$C$2:$C$401,$D192,입력_전공의명단!$F$2:$F$401,IF(OR($C192="인턴",ISNUMBER(SEARCH("수련교육부",$B192))),"인턴",$B192))=1,"명단 일치","명단 일치(이름만, 과 다름)"),IF(COUNTIF(입력_전공의명단!$C$2:$C$401,$D192)=0,IF(COUNTIF(입력_기본자료!$C$2:$C$1001,$D192)&gt;0,"명단에 없음(기본자료에는 있음)","명단에 없음"),"동명이인 확인")))</f>
        <v/>
      </c>
      <c r="N192" s="8" t="n">
        <v>187</v>
      </c>
      <c r="O192" s="8">
        <f>IF(ISNUMBER(SEARCH("근무예정자",(INDEX(입력_구리근무자명단!$A$3:$GZ$3,1,187)&amp;""))),IFERROR(VALUE(LEFT((INDEX(입력_구리근무자명단!$A$3:$GZ$3,1,187)&amp;""),4))*100+VALUE(MID((INDEX(입력_구리근무자명단!$A$3:$GZ$3,1,187)&amp;""),6,MIN(FIND("월",(INDEX(입력_구리근무자명단!$A$3:$GZ$3,1,187)&amp;"")&amp;"월"),FIND(CHAR(10),(INDEX(입력_구리근무자명단!$A$3:$GZ$3,1,187)&amp;"")&amp;CHAR(10)),FIND(" ",(INDEX(입력_구리근무자명단!$A$3:$GZ$3,1,187)&amp;"")&amp;" "))-6)),""),"")</f>
        <v/>
      </c>
    </row>
    <row r="193">
      <c r="A193" s="29" t="n">
        <v>191</v>
      </c>
      <c r="B193" s="26">
        <f>IF(TRIM(INDEX(입력_구리근무자명단!$A$1:$GZ$303,$A193,1)&amp;"")&lt;&gt;"",TRIM(INDEX(입력_구리근무자명단!$A$1:$GZ$303,$A193,1)&amp;""),B192)</f>
        <v/>
      </c>
      <c r="C193" s="26">
        <f>IF(INDEX(입력_구리근무자명단!$A$1:$GZ$303,$A193,2)="","",INDEX(입력_구리근무자명단!$A$1:$GZ$303,$A193,2))</f>
        <v/>
      </c>
      <c r="D193" s="26">
        <f>IF($G$2="","",TRIM(IF($I$2="확정",INDEX(입력_구리근무자명단!$A$1:$GZ$303,$A193,$G$2+1)&amp;"",INDEX(입력_구리근무자명단!$A$1:$GZ$303,$A193,$G$2+0)&amp;"")))</f>
        <v/>
      </c>
      <c r="E193" s="26">
        <f>IF($D193="","",$I$2)</f>
        <v/>
      </c>
      <c r="F193" s="28">
        <f>IF($D193="","",IF(INDEX(입력_구리근무자명단!$A$1:$GZ$303,$A193,$G$2+2)="",출력_요약!$B$3,IF(ISNUMBER(INDEX(입력_구리근무자명단!$A$1:$GZ$303,$A193,$G$2+2)),INDEX(입력_구리근무자명단!$A$1:$GZ$303,$A193,$G$2+2),IFERROR(DATE(VALUE(LEFT(INDEX(입력_구리근무자명단!$A$1:$GZ$303,$A193,$G$2+2),4)),VALUE(MID(INDEX(입력_구리근무자명단!$A$1:$GZ$303,$A193,$G$2+2),6,2)),VALUE(MID(INDEX(입력_구리근무자명단!$A$1:$GZ$303,$A193,$G$2+2),9,2))),IFERROR(DATEVALUE(SUBSTITUTE(TRIM(INDEX(입력_구리근무자명단!$A$1:$GZ$303,$A193,$G$2+2)),".","-")),"⚠"&amp;INDEX(입력_구리근무자명단!$A$1:$GZ$303,$A193,$G$2+2))))))</f>
        <v/>
      </c>
      <c r="G193" s="28">
        <f>IF($D193="","",IF(INDEX(입력_구리근무자명단!$A$1:$GZ$303,$A193,$G$2+3)="",EOMONTH(출력_요약!$B$3,0),IF(ISNUMBER(INDEX(입력_구리근무자명단!$A$1:$GZ$303,$A193,$G$2+3)),INDEX(입력_구리근무자명단!$A$1:$GZ$303,$A193,$G$2+3),IFERROR(DATE(VALUE(LEFT(INDEX(입력_구리근무자명단!$A$1:$GZ$303,$A193,$G$2+3),4)),VALUE(MID(INDEX(입력_구리근무자명단!$A$1:$GZ$303,$A193,$G$2+3),6,2)),VALUE(MID(INDEX(입력_구리근무자명단!$A$1:$GZ$303,$A193,$G$2+3),9,2))),IFERROR(DATEVALUE(SUBSTITUTE(TRIM(INDEX(입력_구리근무자명단!$A$1:$GZ$303,$A193,$G$2+3)),".","-")),"⚠"&amp;INDEX(입력_구리근무자명단!$A$1:$GZ$303,$A193,$G$2+3))))))</f>
        <v/>
      </c>
      <c r="H193" s="26">
        <f>IF($D193="","",IF(OR(NOT(ISNUMBER($F193)),NOT(ISNUMBER($G193))),0,MAX(0,MIN($G193,EOMONTH(출력_요약!$B$3,0))-MAX($F193,출력_요약!$B$3)+1)))</f>
        <v/>
      </c>
      <c r="I193" s="26">
        <f>IF($D193="","",TRIM(INDEX(입력_구리근무자명단!$A$1:$GZ$303,$A193,$G$2+5)&amp;""))</f>
        <v/>
      </c>
      <c r="J193" s="26">
        <f>IF($D193="","",IF(ISNUMBER(SEARCH("구리독자",$I193)),"구리독자",""))</f>
        <v/>
      </c>
      <c r="K193" s="29">
        <f>IF($D193="","",IF(COUNTIFS(입력_전공의명단!$C$2:$C$401,$D193,입력_전공의명단!$F$2:$F$401,IF(OR($C193="인턴",ISNUMBER(SEARCH("수련교육부",$B193))),"인턴",$B193))=1,MATCH($D193&amp;"|"&amp;IF(OR($C193="인턴",ISNUMBER(SEARCH("수련교육부",$B193))),"인턴",$B193),입력_전공의명단!$AP$2:$AP$401,0),IF(AND(COUNTIFS(입력_전공의명단!$C$2:$C$401,$D193,입력_전공의명단!$F$2:$F$401,IF(OR($C193="인턴",ISNUMBER(SEARCH("수련교육부",$B193))),"인턴",$B193))=0,COUNTIF(입력_전공의명단!$C$2:$C$401,$D193)=1),MATCH($D193,입력_전공의명단!$C$2:$C$401,0),"")))</f>
        <v/>
      </c>
      <c r="L193" s="26">
        <f>IF($D193="","",IF($K193&lt;&gt;"",IF(COUNTIFS(입력_전공의명단!$C$2:$C$401,$D193,입력_전공의명단!$F$2:$F$401,IF(OR($C193="인턴",ISNUMBER(SEARCH("수련교육부",$B193))),"인턴",$B193))=1,"명단 일치","명단 일치(이름만, 과 다름)"),IF(COUNTIF(입력_전공의명단!$C$2:$C$401,$D193)=0,IF(COUNTIF(입력_기본자료!$C$2:$C$1001,$D193)&gt;0,"명단에 없음(기본자료에는 있음)","명단에 없음"),"동명이인 확인")))</f>
        <v/>
      </c>
      <c r="N193" s="8" t="n">
        <v>188</v>
      </c>
      <c r="O193" s="8">
        <f>IF(ISNUMBER(SEARCH("근무예정자",(INDEX(입력_구리근무자명단!$A$3:$GZ$3,1,188)&amp;""))),IFERROR(VALUE(LEFT((INDEX(입력_구리근무자명단!$A$3:$GZ$3,1,188)&amp;""),4))*100+VALUE(MID((INDEX(입력_구리근무자명단!$A$3:$GZ$3,1,188)&amp;""),6,MIN(FIND("월",(INDEX(입력_구리근무자명단!$A$3:$GZ$3,1,188)&amp;"")&amp;"월"),FIND(CHAR(10),(INDEX(입력_구리근무자명단!$A$3:$GZ$3,1,188)&amp;"")&amp;CHAR(10)),FIND(" ",(INDEX(입력_구리근무자명단!$A$3:$GZ$3,1,188)&amp;"")&amp;" "))-6)),""),"")</f>
        <v/>
      </c>
    </row>
    <row r="194">
      <c r="A194" s="29" t="n">
        <v>192</v>
      </c>
      <c r="B194" s="26">
        <f>IF(TRIM(INDEX(입력_구리근무자명단!$A$1:$GZ$303,$A194,1)&amp;"")&lt;&gt;"",TRIM(INDEX(입력_구리근무자명단!$A$1:$GZ$303,$A194,1)&amp;""),B193)</f>
        <v/>
      </c>
      <c r="C194" s="26">
        <f>IF(INDEX(입력_구리근무자명단!$A$1:$GZ$303,$A194,2)="","",INDEX(입력_구리근무자명단!$A$1:$GZ$303,$A194,2))</f>
        <v/>
      </c>
      <c r="D194" s="26">
        <f>IF($G$2="","",TRIM(IF($I$2="확정",INDEX(입력_구리근무자명단!$A$1:$GZ$303,$A194,$G$2+1)&amp;"",INDEX(입력_구리근무자명단!$A$1:$GZ$303,$A194,$G$2+0)&amp;"")))</f>
        <v/>
      </c>
      <c r="E194" s="26">
        <f>IF($D194="","",$I$2)</f>
        <v/>
      </c>
      <c r="F194" s="28">
        <f>IF($D194="","",IF(INDEX(입력_구리근무자명단!$A$1:$GZ$303,$A194,$G$2+2)="",출력_요약!$B$3,IF(ISNUMBER(INDEX(입력_구리근무자명단!$A$1:$GZ$303,$A194,$G$2+2)),INDEX(입력_구리근무자명단!$A$1:$GZ$303,$A194,$G$2+2),IFERROR(DATE(VALUE(LEFT(INDEX(입력_구리근무자명단!$A$1:$GZ$303,$A194,$G$2+2),4)),VALUE(MID(INDEX(입력_구리근무자명단!$A$1:$GZ$303,$A194,$G$2+2),6,2)),VALUE(MID(INDEX(입력_구리근무자명단!$A$1:$GZ$303,$A194,$G$2+2),9,2))),IFERROR(DATEVALUE(SUBSTITUTE(TRIM(INDEX(입력_구리근무자명단!$A$1:$GZ$303,$A194,$G$2+2)),".","-")),"⚠"&amp;INDEX(입력_구리근무자명단!$A$1:$GZ$303,$A194,$G$2+2))))))</f>
        <v/>
      </c>
      <c r="G194" s="28">
        <f>IF($D194="","",IF(INDEX(입력_구리근무자명단!$A$1:$GZ$303,$A194,$G$2+3)="",EOMONTH(출력_요약!$B$3,0),IF(ISNUMBER(INDEX(입력_구리근무자명단!$A$1:$GZ$303,$A194,$G$2+3)),INDEX(입력_구리근무자명단!$A$1:$GZ$303,$A194,$G$2+3),IFERROR(DATE(VALUE(LEFT(INDEX(입력_구리근무자명단!$A$1:$GZ$303,$A194,$G$2+3),4)),VALUE(MID(INDEX(입력_구리근무자명단!$A$1:$GZ$303,$A194,$G$2+3),6,2)),VALUE(MID(INDEX(입력_구리근무자명단!$A$1:$GZ$303,$A194,$G$2+3),9,2))),IFERROR(DATEVALUE(SUBSTITUTE(TRIM(INDEX(입력_구리근무자명단!$A$1:$GZ$303,$A194,$G$2+3)),".","-")),"⚠"&amp;INDEX(입력_구리근무자명단!$A$1:$GZ$303,$A194,$G$2+3))))))</f>
        <v/>
      </c>
      <c r="H194" s="26">
        <f>IF($D194="","",IF(OR(NOT(ISNUMBER($F194)),NOT(ISNUMBER($G194))),0,MAX(0,MIN($G194,EOMONTH(출력_요약!$B$3,0))-MAX($F194,출력_요약!$B$3)+1)))</f>
        <v/>
      </c>
      <c r="I194" s="26">
        <f>IF($D194="","",TRIM(INDEX(입력_구리근무자명단!$A$1:$GZ$303,$A194,$G$2+5)&amp;""))</f>
        <v/>
      </c>
      <c r="J194" s="26">
        <f>IF($D194="","",IF(ISNUMBER(SEARCH("구리독자",$I194)),"구리독자",""))</f>
        <v/>
      </c>
      <c r="K194" s="29">
        <f>IF($D194="","",IF(COUNTIFS(입력_전공의명단!$C$2:$C$401,$D194,입력_전공의명단!$F$2:$F$401,IF(OR($C194="인턴",ISNUMBER(SEARCH("수련교육부",$B194))),"인턴",$B194))=1,MATCH($D194&amp;"|"&amp;IF(OR($C194="인턴",ISNUMBER(SEARCH("수련교육부",$B194))),"인턴",$B194),입력_전공의명단!$AP$2:$AP$401,0),IF(AND(COUNTIFS(입력_전공의명단!$C$2:$C$401,$D194,입력_전공의명단!$F$2:$F$401,IF(OR($C194="인턴",ISNUMBER(SEARCH("수련교육부",$B194))),"인턴",$B194))=0,COUNTIF(입력_전공의명단!$C$2:$C$401,$D194)=1),MATCH($D194,입력_전공의명단!$C$2:$C$401,0),"")))</f>
        <v/>
      </c>
      <c r="L194" s="26">
        <f>IF($D194="","",IF($K194&lt;&gt;"",IF(COUNTIFS(입력_전공의명단!$C$2:$C$401,$D194,입력_전공의명단!$F$2:$F$401,IF(OR($C194="인턴",ISNUMBER(SEARCH("수련교육부",$B194))),"인턴",$B194))=1,"명단 일치","명단 일치(이름만, 과 다름)"),IF(COUNTIF(입력_전공의명단!$C$2:$C$401,$D194)=0,IF(COUNTIF(입력_기본자료!$C$2:$C$1001,$D194)&gt;0,"명단에 없음(기본자료에는 있음)","명단에 없음"),"동명이인 확인")))</f>
        <v/>
      </c>
      <c r="N194" s="8" t="n">
        <v>189</v>
      </c>
      <c r="O194" s="8">
        <f>IF(ISNUMBER(SEARCH("근무예정자",(INDEX(입력_구리근무자명단!$A$3:$GZ$3,1,189)&amp;""))),IFERROR(VALUE(LEFT((INDEX(입력_구리근무자명단!$A$3:$GZ$3,1,189)&amp;""),4))*100+VALUE(MID((INDEX(입력_구리근무자명단!$A$3:$GZ$3,1,189)&amp;""),6,MIN(FIND("월",(INDEX(입력_구리근무자명단!$A$3:$GZ$3,1,189)&amp;"")&amp;"월"),FIND(CHAR(10),(INDEX(입력_구리근무자명단!$A$3:$GZ$3,1,189)&amp;"")&amp;CHAR(10)),FIND(" ",(INDEX(입력_구리근무자명단!$A$3:$GZ$3,1,189)&amp;"")&amp;" "))-6)),""),"")</f>
        <v/>
      </c>
    </row>
    <row r="195">
      <c r="A195" s="29" t="n">
        <v>193</v>
      </c>
      <c r="B195" s="26">
        <f>IF(TRIM(INDEX(입력_구리근무자명단!$A$1:$GZ$303,$A195,1)&amp;"")&lt;&gt;"",TRIM(INDEX(입력_구리근무자명단!$A$1:$GZ$303,$A195,1)&amp;""),B194)</f>
        <v/>
      </c>
      <c r="C195" s="26">
        <f>IF(INDEX(입력_구리근무자명단!$A$1:$GZ$303,$A195,2)="","",INDEX(입력_구리근무자명단!$A$1:$GZ$303,$A195,2))</f>
        <v/>
      </c>
      <c r="D195" s="26">
        <f>IF($G$2="","",TRIM(IF($I$2="확정",INDEX(입력_구리근무자명단!$A$1:$GZ$303,$A195,$G$2+1)&amp;"",INDEX(입력_구리근무자명단!$A$1:$GZ$303,$A195,$G$2+0)&amp;"")))</f>
        <v/>
      </c>
      <c r="E195" s="26">
        <f>IF($D195="","",$I$2)</f>
        <v/>
      </c>
      <c r="F195" s="28">
        <f>IF($D195="","",IF(INDEX(입력_구리근무자명단!$A$1:$GZ$303,$A195,$G$2+2)="",출력_요약!$B$3,IF(ISNUMBER(INDEX(입력_구리근무자명단!$A$1:$GZ$303,$A195,$G$2+2)),INDEX(입력_구리근무자명단!$A$1:$GZ$303,$A195,$G$2+2),IFERROR(DATE(VALUE(LEFT(INDEX(입력_구리근무자명단!$A$1:$GZ$303,$A195,$G$2+2),4)),VALUE(MID(INDEX(입력_구리근무자명단!$A$1:$GZ$303,$A195,$G$2+2),6,2)),VALUE(MID(INDEX(입력_구리근무자명단!$A$1:$GZ$303,$A195,$G$2+2),9,2))),IFERROR(DATEVALUE(SUBSTITUTE(TRIM(INDEX(입력_구리근무자명단!$A$1:$GZ$303,$A195,$G$2+2)),".","-")),"⚠"&amp;INDEX(입력_구리근무자명단!$A$1:$GZ$303,$A195,$G$2+2))))))</f>
        <v/>
      </c>
      <c r="G195" s="28">
        <f>IF($D195="","",IF(INDEX(입력_구리근무자명단!$A$1:$GZ$303,$A195,$G$2+3)="",EOMONTH(출력_요약!$B$3,0),IF(ISNUMBER(INDEX(입력_구리근무자명단!$A$1:$GZ$303,$A195,$G$2+3)),INDEX(입력_구리근무자명단!$A$1:$GZ$303,$A195,$G$2+3),IFERROR(DATE(VALUE(LEFT(INDEX(입력_구리근무자명단!$A$1:$GZ$303,$A195,$G$2+3),4)),VALUE(MID(INDEX(입력_구리근무자명단!$A$1:$GZ$303,$A195,$G$2+3),6,2)),VALUE(MID(INDEX(입력_구리근무자명단!$A$1:$GZ$303,$A195,$G$2+3),9,2))),IFERROR(DATEVALUE(SUBSTITUTE(TRIM(INDEX(입력_구리근무자명단!$A$1:$GZ$303,$A195,$G$2+3)),".","-")),"⚠"&amp;INDEX(입력_구리근무자명단!$A$1:$GZ$303,$A195,$G$2+3))))))</f>
        <v/>
      </c>
      <c r="H195" s="26">
        <f>IF($D195="","",IF(OR(NOT(ISNUMBER($F195)),NOT(ISNUMBER($G195))),0,MAX(0,MIN($G195,EOMONTH(출력_요약!$B$3,0))-MAX($F195,출력_요약!$B$3)+1)))</f>
        <v/>
      </c>
      <c r="I195" s="26">
        <f>IF($D195="","",TRIM(INDEX(입력_구리근무자명단!$A$1:$GZ$303,$A195,$G$2+5)&amp;""))</f>
        <v/>
      </c>
      <c r="J195" s="26">
        <f>IF($D195="","",IF(ISNUMBER(SEARCH("구리독자",$I195)),"구리독자",""))</f>
        <v/>
      </c>
      <c r="K195" s="29">
        <f>IF($D195="","",IF(COUNTIFS(입력_전공의명단!$C$2:$C$401,$D195,입력_전공의명단!$F$2:$F$401,IF(OR($C195="인턴",ISNUMBER(SEARCH("수련교육부",$B195))),"인턴",$B195))=1,MATCH($D195&amp;"|"&amp;IF(OR($C195="인턴",ISNUMBER(SEARCH("수련교육부",$B195))),"인턴",$B195),입력_전공의명단!$AP$2:$AP$401,0),IF(AND(COUNTIFS(입력_전공의명단!$C$2:$C$401,$D195,입력_전공의명단!$F$2:$F$401,IF(OR($C195="인턴",ISNUMBER(SEARCH("수련교육부",$B195))),"인턴",$B195))=0,COUNTIF(입력_전공의명단!$C$2:$C$401,$D195)=1),MATCH($D195,입력_전공의명단!$C$2:$C$401,0),"")))</f>
        <v/>
      </c>
      <c r="L195" s="26">
        <f>IF($D195="","",IF($K195&lt;&gt;"",IF(COUNTIFS(입력_전공의명단!$C$2:$C$401,$D195,입력_전공의명단!$F$2:$F$401,IF(OR($C195="인턴",ISNUMBER(SEARCH("수련교육부",$B195))),"인턴",$B195))=1,"명단 일치","명단 일치(이름만, 과 다름)"),IF(COUNTIF(입력_전공의명단!$C$2:$C$401,$D195)=0,IF(COUNTIF(입력_기본자료!$C$2:$C$1001,$D195)&gt;0,"명단에 없음(기본자료에는 있음)","명단에 없음"),"동명이인 확인")))</f>
        <v/>
      </c>
      <c r="N195" s="8" t="n">
        <v>190</v>
      </c>
      <c r="O195" s="8">
        <f>IF(ISNUMBER(SEARCH("근무예정자",(INDEX(입력_구리근무자명단!$A$3:$GZ$3,1,190)&amp;""))),IFERROR(VALUE(LEFT((INDEX(입력_구리근무자명단!$A$3:$GZ$3,1,190)&amp;""),4))*100+VALUE(MID((INDEX(입력_구리근무자명단!$A$3:$GZ$3,1,190)&amp;""),6,MIN(FIND("월",(INDEX(입력_구리근무자명단!$A$3:$GZ$3,1,190)&amp;"")&amp;"월"),FIND(CHAR(10),(INDEX(입력_구리근무자명단!$A$3:$GZ$3,1,190)&amp;"")&amp;CHAR(10)),FIND(" ",(INDEX(입력_구리근무자명단!$A$3:$GZ$3,1,190)&amp;"")&amp;" "))-6)),""),"")</f>
        <v/>
      </c>
    </row>
    <row r="196">
      <c r="A196" s="29" t="n">
        <v>194</v>
      </c>
      <c r="B196" s="26">
        <f>IF(TRIM(INDEX(입력_구리근무자명단!$A$1:$GZ$303,$A196,1)&amp;"")&lt;&gt;"",TRIM(INDEX(입력_구리근무자명단!$A$1:$GZ$303,$A196,1)&amp;""),B195)</f>
        <v/>
      </c>
      <c r="C196" s="26">
        <f>IF(INDEX(입력_구리근무자명단!$A$1:$GZ$303,$A196,2)="","",INDEX(입력_구리근무자명단!$A$1:$GZ$303,$A196,2))</f>
        <v/>
      </c>
      <c r="D196" s="26">
        <f>IF($G$2="","",TRIM(IF($I$2="확정",INDEX(입력_구리근무자명단!$A$1:$GZ$303,$A196,$G$2+1)&amp;"",INDEX(입력_구리근무자명단!$A$1:$GZ$303,$A196,$G$2+0)&amp;"")))</f>
        <v/>
      </c>
      <c r="E196" s="26">
        <f>IF($D196="","",$I$2)</f>
        <v/>
      </c>
      <c r="F196" s="28">
        <f>IF($D196="","",IF(INDEX(입력_구리근무자명단!$A$1:$GZ$303,$A196,$G$2+2)="",출력_요약!$B$3,IF(ISNUMBER(INDEX(입력_구리근무자명단!$A$1:$GZ$303,$A196,$G$2+2)),INDEX(입력_구리근무자명단!$A$1:$GZ$303,$A196,$G$2+2),IFERROR(DATE(VALUE(LEFT(INDEX(입력_구리근무자명단!$A$1:$GZ$303,$A196,$G$2+2),4)),VALUE(MID(INDEX(입력_구리근무자명단!$A$1:$GZ$303,$A196,$G$2+2),6,2)),VALUE(MID(INDEX(입력_구리근무자명단!$A$1:$GZ$303,$A196,$G$2+2),9,2))),IFERROR(DATEVALUE(SUBSTITUTE(TRIM(INDEX(입력_구리근무자명단!$A$1:$GZ$303,$A196,$G$2+2)),".","-")),"⚠"&amp;INDEX(입력_구리근무자명단!$A$1:$GZ$303,$A196,$G$2+2))))))</f>
        <v/>
      </c>
      <c r="G196" s="28">
        <f>IF($D196="","",IF(INDEX(입력_구리근무자명단!$A$1:$GZ$303,$A196,$G$2+3)="",EOMONTH(출력_요약!$B$3,0),IF(ISNUMBER(INDEX(입력_구리근무자명단!$A$1:$GZ$303,$A196,$G$2+3)),INDEX(입력_구리근무자명단!$A$1:$GZ$303,$A196,$G$2+3),IFERROR(DATE(VALUE(LEFT(INDEX(입력_구리근무자명단!$A$1:$GZ$303,$A196,$G$2+3),4)),VALUE(MID(INDEX(입력_구리근무자명단!$A$1:$GZ$303,$A196,$G$2+3),6,2)),VALUE(MID(INDEX(입력_구리근무자명단!$A$1:$GZ$303,$A196,$G$2+3),9,2))),IFERROR(DATEVALUE(SUBSTITUTE(TRIM(INDEX(입력_구리근무자명단!$A$1:$GZ$303,$A196,$G$2+3)),".","-")),"⚠"&amp;INDEX(입력_구리근무자명단!$A$1:$GZ$303,$A196,$G$2+3))))))</f>
        <v/>
      </c>
      <c r="H196" s="26">
        <f>IF($D196="","",IF(OR(NOT(ISNUMBER($F196)),NOT(ISNUMBER($G196))),0,MAX(0,MIN($G196,EOMONTH(출력_요약!$B$3,0))-MAX($F196,출력_요약!$B$3)+1)))</f>
        <v/>
      </c>
      <c r="I196" s="26">
        <f>IF($D196="","",TRIM(INDEX(입력_구리근무자명단!$A$1:$GZ$303,$A196,$G$2+5)&amp;""))</f>
        <v/>
      </c>
      <c r="J196" s="26">
        <f>IF($D196="","",IF(ISNUMBER(SEARCH("구리독자",$I196)),"구리독자",""))</f>
        <v/>
      </c>
      <c r="K196" s="29">
        <f>IF($D196="","",IF(COUNTIFS(입력_전공의명단!$C$2:$C$401,$D196,입력_전공의명단!$F$2:$F$401,IF(OR($C196="인턴",ISNUMBER(SEARCH("수련교육부",$B196))),"인턴",$B196))=1,MATCH($D196&amp;"|"&amp;IF(OR($C196="인턴",ISNUMBER(SEARCH("수련교육부",$B196))),"인턴",$B196),입력_전공의명단!$AP$2:$AP$401,0),IF(AND(COUNTIFS(입력_전공의명단!$C$2:$C$401,$D196,입력_전공의명단!$F$2:$F$401,IF(OR($C196="인턴",ISNUMBER(SEARCH("수련교육부",$B196))),"인턴",$B196))=0,COUNTIF(입력_전공의명단!$C$2:$C$401,$D196)=1),MATCH($D196,입력_전공의명단!$C$2:$C$401,0),"")))</f>
        <v/>
      </c>
      <c r="L196" s="26">
        <f>IF($D196="","",IF($K196&lt;&gt;"",IF(COUNTIFS(입력_전공의명단!$C$2:$C$401,$D196,입력_전공의명단!$F$2:$F$401,IF(OR($C196="인턴",ISNUMBER(SEARCH("수련교육부",$B196))),"인턴",$B196))=1,"명단 일치","명단 일치(이름만, 과 다름)"),IF(COUNTIF(입력_전공의명단!$C$2:$C$401,$D196)=0,IF(COUNTIF(입력_기본자료!$C$2:$C$1001,$D196)&gt;0,"명단에 없음(기본자료에는 있음)","명단에 없음"),"동명이인 확인")))</f>
        <v/>
      </c>
      <c r="N196" s="8" t="n">
        <v>191</v>
      </c>
      <c r="O196" s="8">
        <f>IF(ISNUMBER(SEARCH("근무예정자",(INDEX(입력_구리근무자명단!$A$3:$GZ$3,1,191)&amp;""))),IFERROR(VALUE(LEFT((INDEX(입력_구리근무자명단!$A$3:$GZ$3,1,191)&amp;""),4))*100+VALUE(MID((INDEX(입력_구리근무자명단!$A$3:$GZ$3,1,191)&amp;""),6,MIN(FIND("월",(INDEX(입력_구리근무자명단!$A$3:$GZ$3,1,191)&amp;"")&amp;"월"),FIND(CHAR(10),(INDEX(입력_구리근무자명단!$A$3:$GZ$3,1,191)&amp;"")&amp;CHAR(10)),FIND(" ",(INDEX(입력_구리근무자명단!$A$3:$GZ$3,1,191)&amp;"")&amp;" "))-6)),""),"")</f>
        <v/>
      </c>
    </row>
    <row r="197">
      <c r="A197" s="29" t="n">
        <v>195</v>
      </c>
      <c r="B197" s="26">
        <f>IF(TRIM(INDEX(입력_구리근무자명단!$A$1:$GZ$303,$A197,1)&amp;"")&lt;&gt;"",TRIM(INDEX(입력_구리근무자명단!$A$1:$GZ$303,$A197,1)&amp;""),B196)</f>
        <v/>
      </c>
      <c r="C197" s="26">
        <f>IF(INDEX(입력_구리근무자명단!$A$1:$GZ$303,$A197,2)="","",INDEX(입력_구리근무자명단!$A$1:$GZ$303,$A197,2))</f>
        <v/>
      </c>
      <c r="D197" s="26">
        <f>IF($G$2="","",TRIM(IF($I$2="확정",INDEX(입력_구리근무자명단!$A$1:$GZ$303,$A197,$G$2+1)&amp;"",INDEX(입력_구리근무자명단!$A$1:$GZ$303,$A197,$G$2+0)&amp;"")))</f>
        <v/>
      </c>
      <c r="E197" s="26">
        <f>IF($D197="","",$I$2)</f>
        <v/>
      </c>
      <c r="F197" s="28">
        <f>IF($D197="","",IF(INDEX(입력_구리근무자명단!$A$1:$GZ$303,$A197,$G$2+2)="",출력_요약!$B$3,IF(ISNUMBER(INDEX(입력_구리근무자명단!$A$1:$GZ$303,$A197,$G$2+2)),INDEX(입력_구리근무자명단!$A$1:$GZ$303,$A197,$G$2+2),IFERROR(DATE(VALUE(LEFT(INDEX(입력_구리근무자명단!$A$1:$GZ$303,$A197,$G$2+2),4)),VALUE(MID(INDEX(입력_구리근무자명단!$A$1:$GZ$303,$A197,$G$2+2),6,2)),VALUE(MID(INDEX(입력_구리근무자명단!$A$1:$GZ$303,$A197,$G$2+2),9,2))),IFERROR(DATEVALUE(SUBSTITUTE(TRIM(INDEX(입력_구리근무자명단!$A$1:$GZ$303,$A197,$G$2+2)),".","-")),"⚠"&amp;INDEX(입력_구리근무자명단!$A$1:$GZ$303,$A197,$G$2+2))))))</f>
        <v/>
      </c>
      <c r="G197" s="28">
        <f>IF($D197="","",IF(INDEX(입력_구리근무자명단!$A$1:$GZ$303,$A197,$G$2+3)="",EOMONTH(출력_요약!$B$3,0),IF(ISNUMBER(INDEX(입력_구리근무자명단!$A$1:$GZ$303,$A197,$G$2+3)),INDEX(입력_구리근무자명단!$A$1:$GZ$303,$A197,$G$2+3),IFERROR(DATE(VALUE(LEFT(INDEX(입력_구리근무자명단!$A$1:$GZ$303,$A197,$G$2+3),4)),VALUE(MID(INDEX(입력_구리근무자명단!$A$1:$GZ$303,$A197,$G$2+3),6,2)),VALUE(MID(INDEX(입력_구리근무자명단!$A$1:$GZ$303,$A197,$G$2+3),9,2))),IFERROR(DATEVALUE(SUBSTITUTE(TRIM(INDEX(입력_구리근무자명단!$A$1:$GZ$303,$A197,$G$2+3)),".","-")),"⚠"&amp;INDEX(입력_구리근무자명단!$A$1:$GZ$303,$A197,$G$2+3))))))</f>
        <v/>
      </c>
      <c r="H197" s="26">
        <f>IF($D197="","",IF(OR(NOT(ISNUMBER($F197)),NOT(ISNUMBER($G197))),0,MAX(0,MIN($G197,EOMONTH(출력_요약!$B$3,0))-MAX($F197,출력_요약!$B$3)+1)))</f>
        <v/>
      </c>
      <c r="I197" s="26">
        <f>IF($D197="","",TRIM(INDEX(입력_구리근무자명단!$A$1:$GZ$303,$A197,$G$2+5)&amp;""))</f>
        <v/>
      </c>
      <c r="J197" s="26">
        <f>IF($D197="","",IF(ISNUMBER(SEARCH("구리독자",$I197)),"구리독자",""))</f>
        <v/>
      </c>
      <c r="K197" s="29">
        <f>IF($D197="","",IF(COUNTIFS(입력_전공의명단!$C$2:$C$401,$D197,입력_전공의명단!$F$2:$F$401,IF(OR($C197="인턴",ISNUMBER(SEARCH("수련교육부",$B197))),"인턴",$B197))=1,MATCH($D197&amp;"|"&amp;IF(OR($C197="인턴",ISNUMBER(SEARCH("수련교육부",$B197))),"인턴",$B197),입력_전공의명단!$AP$2:$AP$401,0),IF(AND(COUNTIFS(입력_전공의명단!$C$2:$C$401,$D197,입력_전공의명단!$F$2:$F$401,IF(OR($C197="인턴",ISNUMBER(SEARCH("수련교육부",$B197))),"인턴",$B197))=0,COUNTIF(입력_전공의명단!$C$2:$C$401,$D197)=1),MATCH($D197,입력_전공의명단!$C$2:$C$401,0),"")))</f>
        <v/>
      </c>
      <c r="L197" s="26">
        <f>IF($D197="","",IF($K197&lt;&gt;"",IF(COUNTIFS(입력_전공의명단!$C$2:$C$401,$D197,입력_전공의명단!$F$2:$F$401,IF(OR($C197="인턴",ISNUMBER(SEARCH("수련교육부",$B197))),"인턴",$B197))=1,"명단 일치","명단 일치(이름만, 과 다름)"),IF(COUNTIF(입력_전공의명단!$C$2:$C$401,$D197)=0,IF(COUNTIF(입력_기본자료!$C$2:$C$1001,$D197)&gt;0,"명단에 없음(기본자료에는 있음)","명단에 없음"),"동명이인 확인")))</f>
        <v/>
      </c>
      <c r="N197" s="8" t="n">
        <v>192</v>
      </c>
      <c r="O197" s="8">
        <f>IF(ISNUMBER(SEARCH("근무예정자",(INDEX(입력_구리근무자명단!$A$3:$GZ$3,1,192)&amp;""))),IFERROR(VALUE(LEFT((INDEX(입력_구리근무자명단!$A$3:$GZ$3,1,192)&amp;""),4))*100+VALUE(MID((INDEX(입력_구리근무자명단!$A$3:$GZ$3,1,192)&amp;""),6,MIN(FIND("월",(INDEX(입력_구리근무자명단!$A$3:$GZ$3,1,192)&amp;"")&amp;"월"),FIND(CHAR(10),(INDEX(입력_구리근무자명단!$A$3:$GZ$3,1,192)&amp;"")&amp;CHAR(10)),FIND(" ",(INDEX(입력_구리근무자명단!$A$3:$GZ$3,1,192)&amp;"")&amp;" "))-6)),""),"")</f>
        <v/>
      </c>
    </row>
    <row r="198">
      <c r="A198" s="29" t="n">
        <v>196</v>
      </c>
      <c r="B198" s="26">
        <f>IF(TRIM(INDEX(입력_구리근무자명단!$A$1:$GZ$303,$A198,1)&amp;"")&lt;&gt;"",TRIM(INDEX(입력_구리근무자명단!$A$1:$GZ$303,$A198,1)&amp;""),B197)</f>
        <v/>
      </c>
      <c r="C198" s="26">
        <f>IF(INDEX(입력_구리근무자명단!$A$1:$GZ$303,$A198,2)="","",INDEX(입력_구리근무자명단!$A$1:$GZ$303,$A198,2))</f>
        <v/>
      </c>
      <c r="D198" s="26">
        <f>IF($G$2="","",TRIM(IF($I$2="확정",INDEX(입력_구리근무자명단!$A$1:$GZ$303,$A198,$G$2+1)&amp;"",INDEX(입력_구리근무자명단!$A$1:$GZ$303,$A198,$G$2+0)&amp;"")))</f>
        <v/>
      </c>
      <c r="E198" s="26">
        <f>IF($D198="","",$I$2)</f>
        <v/>
      </c>
      <c r="F198" s="28">
        <f>IF($D198="","",IF(INDEX(입력_구리근무자명단!$A$1:$GZ$303,$A198,$G$2+2)="",출력_요약!$B$3,IF(ISNUMBER(INDEX(입력_구리근무자명단!$A$1:$GZ$303,$A198,$G$2+2)),INDEX(입력_구리근무자명단!$A$1:$GZ$303,$A198,$G$2+2),IFERROR(DATE(VALUE(LEFT(INDEX(입력_구리근무자명단!$A$1:$GZ$303,$A198,$G$2+2),4)),VALUE(MID(INDEX(입력_구리근무자명단!$A$1:$GZ$303,$A198,$G$2+2),6,2)),VALUE(MID(INDEX(입력_구리근무자명단!$A$1:$GZ$303,$A198,$G$2+2),9,2))),IFERROR(DATEVALUE(SUBSTITUTE(TRIM(INDEX(입력_구리근무자명단!$A$1:$GZ$303,$A198,$G$2+2)),".","-")),"⚠"&amp;INDEX(입력_구리근무자명단!$A$1:$GZ$303,$A198,$G$2+2))))))</f>
        <v/>
      </c>
      <c r="G198" s="28">
        <f>IF($D198="","",IF(INDEX(입력_구리근무자명단!$A$1:$GZ$303,$A198,$G$2+3)="",EOMONTH(출력_요약!$B$3,0),IF(ISNUMBER(INDEX(입력_구리근무자명단!$A$1:$GZ$303,$A198,$G$2+3)),INDEX(입력_구리근무자명단!$A$1:$GZ$303,$A198,$G$2+3),IFERROR(DATE(VALUE(LEFT(INDEX(입력_구리근무자명단!$A$1:$GZ$303,$A198,$G$2+3),4)),VALUE(MID(INDEX(입력_구리근무자명단!$A$1:$GZ$303,$A198,$G$2+3),6,2)),VALUE(MID(INDEX(입력_구리근무자명단!$A$1:$GZ$303,$A198,$G$2+3),9,2))),IFERROR(DATEVALUE(SUBSTITUTE(TRIM(INDEX(입력_구리근무자명단!$A$1:$GZ$303,$A198,$G$2+3)),".","-")),"⚠"&amp;INDEX(입력_구리근무자명단!$A$1:$GZ$303,$A198,$G$2+3))))))</f>
        <v/>
      </c>
      <c r="H198" s="26">
        <f>IF($D198="","",IF(OR(NOT(ISNUMBER($F198)),NOT(ISNUMBER($G198))),0,MAX(0,MIN($G198,EOMONTH(출력_요약!$B$3,0))-MAX($F198,출력_요약!$B$3)+1)))</f>
        <v/>
      </c>
      <c r="I198" s="26">
        <f>IF($D198="","",TRIM(INDEX(입력_구리근무자명단!$A$1:$GZ$303,$A198,$G$2+5)&amp;""))</f>
        <v/>
      </c>
      <c r="J198" s="26">
        <f>IF($D198="","",IF(ISNUMBER(SEARCH("구리독자",$I198)),"구리독자",""))</f>
        <v/>
      </c>
      <c r="K198" s="29">
        <f>IF($D198="","",IF(COUNTIFS(입력_전공의명단!$C$2:$C$401,$D198,입력_전공의명단!$F$2:$F$401,IF(OR($C198="인턴",ISNUMBER(SEARCH("수련교육부",$B198))),"인턴",$B198))=1,MATCH($D198&amp;"|"&amp;IF(OR($C198="인턴",ISNUMBER(SEARCH("수련교육부",$B198))),"인턴",$B198),입력_전공의명단!$AP$2:$AP$401,0),IF(AND(COUNTIFS(입력_전공의명단!$C$2:$C$401,$D198,입력_전공의명단!$F$2:$F$401,IF(OR($C198="인턴",ISNUMBER(SEARCH("수련교육부",$B198))),"인턴",$B198))=0,COUNTIF(입력_전공의명단!$C$2:$C$401,$D198)=1),MATCH($D198,입력_전공의명단!$C$2:$C$401,0),"")))</f>
        <v/>
      </c>
      <c r="L198" s="26">
        <f>IF($D198="","",IF($K198&lt;&gt;"",IF(COUNTIFS(입력_전공의명단!$C$2:$C$401,$D198,입력_전공의명단!$F$2:$F$401,IF(OR($C198="인턴",ISNUMBER(SEARCH("수련교육부",$B198))),"인턴",$B198))=1,"명단 일치","명단 일치(이름만, 과 다름)"),IF(COUNTIF(입력_전공의명단!$C$2:$C$401,$D198)=0,IF(COUNTIF(입력_기본자료!$C$2:$C$1001,$D198)&gt;0,"명단에 없음(기본자료에는 있음)","명단에 없음"),"동명이인 확인")))</f>
        <v/>
      </c>
      <c r="N198" s="8" t="n">
        <v>193</v>
      </c>
      <c r="O198" s="8">
        <f>IF(ISNUMBER(SEARCH("근무예정자",(INDEX(입력_구리근무자명단!$A$3:$GZ$3,1,193)&amp;""))),IFERROR(VALUE(LEFT((INDEX(입력_구리근무자명단!$A$3:$GZ$3,1,193)&amp;""),4))*100+VALUE(MID((INDEX(입력_구리근무자명단!$A$3:$GZ$3,1,193)&amp;""),6,MIN(FIND("월",(INDEX(입력_구리근무자명단!$A$3:$GZ$3,1,193)&amp;"")&amp;"월"),FIND(CHAR(10),(INDEX(입력_구리근무자명단!$A$3:$GZ$3,1,193)&amp;"")&amp;CHAR(10)),FIND(" ",(INDEX(입력_구리근무자명단!$A$3:$GZ$3,1,193)&amp;"")&amp;" "))-6)),""),"")</f>
        <v/>
      </c>
    </row>
    <row r="199">
      <c r="A199" s="29" t="n">
        <v>197</v>
      </c>
      <c r="B199" s="26">
        <f>IF(TRIM(INDEX(입력_구리근무자명단!$A$1:$GZ$303,$A199,1)&amp;"")&lt;&gt;"",TRIM(INDEX(입력_구리근무자명단!$A$1:$GZ$303,$A199,1)&amp;""),B198)</f>
        <v/>
      </c>
      <c r="C199" s="26">
        <f>IF(INDEX(입력_구리근무자명단!$A$1:$GZ$303,$A199,2)="","",INDEX(입력_구리근무자명단!$A$1:$GZ$303,$A199,2))</f>
        <v/>
      </c>
      <c r="D199" s="26">
        <f>IF($G$2="","",TRIM(IF($I$2="확정",INDEX(입력_구리근무자명단!$A$1:$GZ$303,$A199,$G$2+1)&amp;"",INDEX(입력_구리근무자명단!$A$1:$GZ$303,$A199,$G$2+0)&amp;"")))</f>
        <v/>
      </c>
      <c r="E199" s="26">
        <f>IF($D199="","",$I$2)</f>
        <v/>
      </c>
      <c r="F199" s="28">
        <f>IF($D199="","",IF(INDEX(입력_구리근무자명단!$A$1:$GZ$303,$A199,$G$2+2)="",출력_요약!$B$3,IF(ISNUMBER(INDEX(입력_구리근무자명단!$A$1:$GZ$303,$A199,$G$2+2)),INDEX(입력_구리근무자명단!$A$1:$GZ$303,$A199,$G$2+2),IFERROR(DATE(VALUE(LEFT(INDEX(입력_구리근무자명단!$A$1:$GZ$303,$A199,$G$2+2),4)),VALUE(MID(INDEX(입력_구리근무자명단!$A$1:$GZ$303,$A199,$G$2+2),6,2)),VALUE(MID(INDEX(입력_구리근무자명단!$A$1:$GZ$303,$A199,$G$2+2),9,2))),IFERROR(DATEVALUE(SUBSTITUTE(TRIM(INDEX(입력_구리근무자명단!$A$1:$GZ$303,$A199,$G$2+2)),".","-")),"⚠"&amp;INDEX(입력_구리근무자명단!$A$1:$GZ$303,$A199,$G$2+2))))))</f>
        <v/>
      </c>
      <c r="G199" s="28">
        <f>IF($D199="","",IF(INDEX(입력_구리근무자명단!$A$1:$GZ$303,$A199,$G$2+3)="",EOMONTH(출력_요약!$B$3,0),IF(ISNUMBER(INDEX(입력_구리근무자명단!$A$1:$GZ$303,$A199,$G$2+3)),INDEX(입력_구리근무자명단!$A$1:$GZ$303,$A199,$G$2+3),IFERROR(DATE(VALUE(LEFT(INDEX(입력_구리근무자명단!$A$1:$GZ$303,$A199,$G$2+3),4)),VALUE(MID(INDEX(입력_구리근무자명단!$A$1:$GZ$303,$A199,$G$2+3),6,2)),VALUE(MID(INDEX(입력_구리근무자명단!$A$1:$GZ$303,$A199,$G$2+3),9,2))),IFERROR(DATEVALUE(SUBSTITUTE(TRIM(INDEX(입력_구리근무자명단!$A$1:$GZ$303,$A199,$G$2+3)),".","-")),"⚠"&amp;INDEX(입력_구리근무자명단!$A$1:$GZ$303,$A199,$G$2+3))))))</f>
        <v/>
      </c>
      <c r="H199" s="26">
        <f>IF($D199="","",IF(OR(NOT(ISNUMBER($F199)),NOT(ISNUMBER($G199))),0,MAX(0,MIN($G199,EOMONTH(출력_요약!$B$3,0))-MAX($F199,출력_요약!$B$3)+1)))</f>
        <v/>
      </c>
      <c r="I199" s="26">
        <f>IF($D199="","",TRIM(INDEX(입력_구리근무자명단!$A$1:$GZ$303,$A199,$G$2+5)&amp;""))</f>
        <v/>
      </c>
      <c r="J199" s="26">
        <f>IF($D199="","",IF(ISNUMBER(SEARCH("구리독자",$I199)),"구리독자",""))</f>
        <v/>
      </c>
      <c r="K199" s="29">
        <f>IF($D199="","",IF(COUNTIFS(입력_전공의명단!$C$2:$C$401,$D199,입력_전공의명단!$F$2:$F$401,IF(OR($C199="인턴",ISNUMBER(SEARCH("수련교육부",$B199))),"인턴",$B199))=1,MATCH($D199&amp;"|"&amp;IF(OR($C199="인턴",ISNUMBER(SEARCH("수련교육부",$B199))),"인턴",$B199),입력_전공의명단!$AP$2:$AP$401,0),IF(AND(COUNTIFS(입력_전공의명단!$C$2:$C$401,$D199,입력_전공의명단!$F$2:$F$401,IF(OR($C199="인턴",ISNUMBER(SEARCH("수련교육부",$B199))),"인턴",$B199))=0,COUNTIF(입력_전공의명단!$C$2:$C$401,$D199)=1),MATCH($D199,입력_전공의명단!$C$2:$C$401,0),"")))</f>
        <v/>
      </c>
      <c r="L199" s="26">
        <f>IF($D199="","",IF($K199&lt;&gt;"",IF(COUNTIFS(입력_전공의명단!$C$2:$C$401,$D199,입력_전공의명단!$F$2:$F$401,IF(OR($C199="인턴",ISNUMBER(SEARCH("수련교육부",$B199))),"인턴",$B199))=1,"명단 일치","명단 일치(이름만, 과 다름)"),IF(COUNTIF(입력_전공의명단!$C$2:$C$401,$D199)=0,IF(COUNTIF(입력_기본자료!$C$2:$C$1001,$D199)&gt;0,"명단에 없음(기본자료에는 있음)","명단에 없음"),"동명이인 확인")))</f>
        <v/>
      </c>
      <c r="N199" s="8" t="n">
        <v>194</v>
      </c>
      <c r="O199" s="8">
        <f>IF(ISNUMBER(SEARCH("근무예정자",(INDEX(입력_구리근무자명단!$A$3:$GZ$3,1,194)&amp;""))),IFERROR(VALUE(LEFT((INDEX(입력_구리근무자명단!$A$3:$GZ$3,1,194)&amp;""),4))*100+VALUE(MID((INDEX(입력_구리근무자명단!$A$3:$GZ$3,1,194)&amp;""),6,MIN(FIND("월",(INDEX(입력_구리근무자명단!$A$3:$GZ$3,1,194)&amp;"")&amp;"월"),FIND(CHAR(10),(INDEX(입력_구리근무자명단!$A$3:$GZ$3,1,194)&amp;"")&amp;CHAR(10)),FIND(" ",(INDEX(입력_구리근무자명단!$A$3:$GZ$3,1,194)&amp;"")&amp;" "))-6)),""),"")</f>
        <v/>
      </c>
    </row>
    <row r="200">
      <c r="A200" s="29" t="n">
        <v>198</v>
      </c>
      <c r="B200" s="26">
        <f>IF(TRIM(INDEX(입력_구리근무자명단!$A$1:$GZ$303,$A200,1)&amp;"")&lt;&gt;"",TRIM(INDEX(입력_구리근무자명단!$A$1:$GZ$303,$A200,1)&amp;""),B199)</f>
        <v/>
      </c>
      <c r="C200" s="26">
        <f>IF(INDEX(입력_구리근무자명단!$A$1:$GZ$303,$A200,2)="","",INDEX(입력_구리근무자명단!$A$1:$GZ$303,$A200,2))</f>
        <v/>
      </c>
      <c r="D200" s="26">
        <f>IF($G$2="","",TRIM(IF($I$2="확정",INDEX(입력_구리근무자명단!$A$1:$GZ$303,$A200,$G$2+1)&amp;"",INDEX(입력_구리근무자명단!$A$1:$GZ$303,$A200,$G$2+0)&amp;"")))</f>
        <v/>
      </c>
      <c r="E200" s="26">
        <f>IF($D200="","",$I$2)</f>
        <v/>
      </c>
      <c r="F200" s="28">
        <f>IF($D200="","",IF(INDEX(입력_구리근무자명단!$A$1:$GZ$303,$A200,$G$2+2)="",출력_요약!$B$3,IF(ISNUMBER(INDEX(입력_구리근무자명단!$A$1:$GZ$303,$A200,$G$2+2)),INDEX(입력_구리근무자명단!$A$1:$GZ$303,$A200,$G$2+2),IFERROR(DATE(VALUE(LEFT(INDEX(입력_구리근무자명단!$A$1:$GZ$303,$A200,$G$2+2),4)),VALUE(MID(INDEX(입력_구리근무자명단!$A$1:$GZ$303,$A200,$G$2+2),6,2)),VALUE(MID(INDEX(입력_구리근무자명단!$A$1:$GZ$303,$A200,$G$2+2),9,2))),IFERROR(DATEVALUE(SUBSTITUTE(TRIM(INDEX(입력_구리근무자명단!$A$1:$GZ$303,$A200,$G$2+2)),".","-")),"⚠"&amp;INDEX(입력_구리근무자명단!$A$1:$GZ$303,$A200,$G$2+2))))))</f>
        <v/>
      </c>
      <c r="G200" s="28">
        <f>IF($D200="","",IF(INDEX(입력_구리근무자명단!$A$1:$GZ$303,$A200,$G$2+3)="",EOMONTH(출력_요약!$B$3,0),IF(ISNUMBER(INDEX(입력_구리근무자명단!$A$1:$GZ$303,$A200,$G$2+3)),INDEX(입력_구리근무자명단!$A$1:$GZ$303,$A200,$G$2+3),IFERROR(DATE(VALUE(LEFT(INDEX(입력_구리근무자명단!$A$1:$GZ$303,$A200,$G$2+3),4)),VALUE(MID(INDEX(입력_구리근무자명단!$A$1:$GZ$303,$A200,$G$2+3),6,2)),VALUE(MID(INDEX(입력_구리근무자명단!$A$1:$GZ$303,$A200,$G$2+3),9,2))),IFERROR(DATEVALUE(SUBSTITUTE(TRIM(INDEX(입력_구리근무자명단!$A$1:$GZ$303,$A200,$G$2+3)),".","-")),"⚠"&amp;INDEX(입력_구리근무자명단!$A$1:$GZ$303,$A200,$G$2+3))))))</f>
        <v/>
      </c>
      <c r="H200" s="26">
        <f>IF($D200="","",IF(OR(NOT(ISNUMBER($F200)),NOT(ISNUMBER($G200))),0,MAX(0,MIN($G200,EOMONTH(출력_요약!$B$3,0))-MAX($F200,출력_요약!$B$3)+1)))</f>
        <v/>
      </c>
      <c r="I200" s="26">
        <f>IF($D200="","",TRIM(INDEX(입력_구리근무자명단!$A$1:$GZ$303,$A200,$G$2+5)&amp;""))</f>
        <v/>
      </c>
      <c r="J200" s="26">
        <f>IF($D200="","",IF(ISNUMBER(SEARCH("구리독자",$I200)),"구리독자",""))</f>
        <v/>
      </c>
      <c r="K200" s="29">
        <f>IF($D200="","",IF(COUNTIFS(입력_전공의명단!$C$2:$C$401,$D200,입력_전공의명단!$F$2:$F$401,IF(OR($C200="인턴",ISNUMBER(SEARCH("수련교육부",$B200))),"인턴",$B200))=1,MATCH($D200&amp;"|"&amp;IF(OR($C200="인턴",ISNUMBER(SEARCH("수련교육부",$B200))),"인턴",$B200),입력_전공의명단!$AP$2:$AP$401,0),IF(AND(COUNTIFS(입력_전공의명단!$C$2:$C$401,$D200,입력_전공의명단!$F$2:$F$401,IF(OR($C200="인턴",ISNUMBER(SEARCH("수련교육부",$B200))),"인턴",$B200))=0,COUNTIF(입력_전공의명단!$C$2:$C$401,$D200)=1),MATCH($D200,입력_전공의명단!$C$2:$C$401,0),"")))</f>
        <v/>
      </c>
      <c r="L200" s="26">
        <f>IF($D200="","",IF($K200&lt;&gt;"",IF(COUNTIFS(입력_전공의명단!$C$2:$C$401,$D200,입력_전공의명단!$F$2:$F$401,IF(OR($C200="인턴",ISNUMBER(SEARCH("수련교육부",$B200))),"인턴",$B200))=1,"명단 일치","명단 일치(이름만, 과 다름)"),IF(COUNTIF(입력_전공의명단!$C$2:$C$401,$D200)=0,IF(COUNTIF(입력_기본자료!$C$2:$C$1001,$D200)&gt;0,"명단에 없음(기본자료에는 있음)","명단에 없음"),"동명이인 확인")))</f>
        <v/>
      </c>
      <c r="N200" s="8" t="n">
        <v>195</v>
      </c>
      <c r="O200" s="8">
        <f>IF(ISNUMBER(SEARCH("근무예정자",(INDEX(입력_구리근무자명단!$A$3:$GZ$3,1,195)&amp;""))),IFERROR(VALUE(LEFT((INDEX(입력_구리근무자명단!$A$3:$GZ$3,1,195)&amp;""),4))*100+VALUE(MID((INDEX(입력_구리근무자명단!$A$3:$GZ$3,1,195)&amp;""),6,MIN(FIND("월",(INDEX(입력_구리근무자명단!$A$3:$GZ$3,1,195)&amp;"")&amp;"월"),FIND(CHAR(10),(INDEX(입력_구리근무자명단!$A$3:$GZ$3,1,195)&amp;"")&amp;CHAR(10)),FIND(" ",(INDEX(입력_구리근무자명단!$A$3:$GZ$3,1,195)&amp;"")&amp;" "))-6)),""),"")</f>
        <v/>
      </c>
    </row>
    <row r="201">
      <c r="A201" s="29" t="n">
        <v>199</v>
      </c>
      <c r="B201" s="26">
        <f>IF(TRIM(INDEX(입력_구리근무자명단!$A$1:$GZ$303,$A201,1)&amp;"")&lt;&gt;"",TRIM(INDEX(입력_구리근무자명단!$A$1:$GZ$303,$A201,1)&amp;""),B200)</f>
        <v/>
      </c>
      <c r="C201" s="26">
        <f>IF(INDEX(입력_구리근무자명단!$A$1:$GZ$303,$A201,2)="","",INDEX(입력_구리근무자명단!$A$1:$GZ$303,$A201,2))</f>
        <v/>
      </c>
      <c r="D201" s="26">
        <f>IF($G$2="","",TRIM(IF($I$2="확정",INDEX(입력_구리근무자명단!$A$1:$GZ$303,$A201,$G$2+1)&amp;"",INDEX(입력_구리근무자명단!$A$1:$GZ$303,$A201,$G$2+0)&amp;"")))</f>
        <v/>
      </c>
      <c r="E201" s="26">
        <f>IF($D201="","",$I$2)</f>
        <v/>
      </c>
      <c r="F201" s="28">
        <f>IF($D201="","",IF(INDEX(입력_구리근무자명단!$A$1:$GZ$303,$A201,$G$2+2)="",출력_요약!$B$3,IF(ISNUMBER(INDEX(입력_구리근무자명단!$A$1:$GZ$303,$A201,$G$2+2)),INDEX(입력_구리근무자명단!$A$1:$GZ$303,$A201,$G$2+2),IFERROR(DATE(VALUE(LEFT(INDEX(입력_구리근무자명단!$A$1:$GZ$303,$A201,$G$2+2),4)),VALUE(MID(INDEX(입력_구리근무자명단!$A$1:$GZ$303,$A201,$G$2+2),6,2)),VALUE(MID(INDEX(입력_구리근무자명단!$A$1:$GZ$303,$A201,$G$2+2),9,2))),IFERROR(DATEVALUE(SUBSTITUTE(TRIM(INDEX(입력_구리근무자명단!$A$1:$GZ$303,$A201,$G$2+2)),".","-")),"⚠"&amp;INDEX(입력_구리근무자명단!$A$1:$GZ$303,$A201,$G$2+2))))))</f>
        <v/>
      </c>
      <c r="G201" s="28">
        <f>IF($D201="","",IF(INDEX(입력_구리근무자명단!$A$1:$GZ$303,$A201,$G$2+3)="",EOMONTH(출력_요약!$B$3,0),IF(ISNUMBER(INDEX(입력_구리근무자명단!$A$1:$GZ$303,$A201,$G$2+3)),INDEX(입력_구리근무자명단!$A$1:$GZ$303,$A201,$G$2+3),IFERROR(DATE(VALUE(LEFT(INDEX(입력_구리근무자명단!$A$1:$GZ$303,$A201,$G$2+3),4)),VALUE(MID(INDEX(입력_구리근무자명단!$A$1:$GZ$303,$A201,$G$2+3),6,2)),VALUE(MID(INDEX(입력_구리근무자명단!$A$1:$GZ$303,$A201,$G$2+3),9,2))),IFERROR(DATEVALUE(SUBSTITUTE(TRIM(INDEX(입력_구리근무자명단!$A$1:$GZ$303,$A201,$G$2+3)),".","-")),"⚠"&amp;INDEX(입력_구리근무자명단!$A$1:$GZ$303,$A201,$G$2+3))))))</f>
        <v/>
      </c>
      <c r="H201" s="26">
        <f>IF($D201="","",IF(OR(NOT(ISNUMBER($F201)),NOT(ISNUMBER($G201))),0,MAX(0,MIN($G201,EOMONTH(출력_요약!$B$3,0))-MAX($F201,출력_요약!$B$3)+1)))</f>
        <v/>
      </c>
      <c r="I201" s="26">
        <f>IF($D201="","",TRIM(INDEX(입력_구리근무자명단!$A$1:$GZ$303,$A201,$G$2+5)&amp;""))</f>
        <v/>
      </c>
      <c r="J201" s="26">
        <f>IF($D201="","",IF(ISNUMBER(SEARCH("구리독자",$I201)),"구리독자",""))</f>
        <v/>
      </c>
      <c r="K201" s="29">
        <f>IF($D201="","",IF(COUNTIFS(입력_전공의명단!$C$2:$C$401,$D201,입력_전공의명단!$F$2:$F$401,IF(OR($C201="인턴",ISNUMBER(SEARCH("수련교육부",$B201))),"인턴",$B201))=1,MATCH($D201&amp;"|"&amp;IF(OR($C201="인턴",ISNUMBER(SEARCH("수련교육부",$B201))),"인턴",$B201),입력_전공의명단!$AP$2:$AP$401,0),IF(AND(COUNTIFS(입력_전공의명단!$C$2:$C$401,$D201,입력_전공의명단!$F$2:$F$401,IF(OR($C201="인턴",ISNUMBER(SEARCH("수련교육부",$B201))),"인턴",$B201))=0,COUNTIF(입력_전공의명단!$C$2:$C$401,$D201)=1),MATCH($D201,입력_전공의명단!$C$2:$C$401,0),"")))</f>
        <v/>
      </c>
      <c r="L201" s="26">
        <f>IF($D201="","",IF($K201&lt;&gt;"",IF(COUNTIFS(입력_전공의명단!$C$2:$C$401,$D201,입력_전공의명단!$F$2:$F$401,IF(OR($C201="인턴",ISNUMBER(SEARCH("수련교육부",$B201))),"인턴",$B201))=1,"명단 일치","명단 일치(이름만, 과 다름)"),IF(COUNTIF(입력_전공의명단!$C$2:$C$401,$D201)=0,IF(COUNTIF(입력_기본자료!$C$2:$C$1001,$D201)&gt;0,"명단에 없음(기본자료에는 있음)","명단에 없음"),"동명이인 확인")))</f>
        <v/>
      </c>
      <c r="N201" s="8" t="n">
        <v>196</v>
      </c>
      <c r="O201" s="8">
        <f>IF(ISNUMBER(SEARCH("근무예정자",(INDEX(입력_구리근무자명단!$A$3:$GZ$3,1,196)&amp;""))),IFERROR(VALUE(LEFT((INDEX(입력_구리근무자명단!$A$3:$GZ$3,1,196)&amp;""),4))*100+VALUE(MID((INDEX(입력_구리근무자명단!$A$3:$GZ$3,1,196)&amp;""),6,MIN(FIND("월",(INDEX(입력_구리근무자명단!$A$3:$GZ$3,1,196)&amp;"")&amp;"월"),FIND(CHAR(10),(INDEX(입력_구리근무자명단!$A$3:$GZ$3,1,196)&amp;"")&amp;CHAR(10)),FIND(" ",(INDEX(입력_구리근무자명단!$A$3:$GZ$3,1,196)&amp;"")&amp;" "))-6)),""),"")</f>
        <v/>
      </c>
    </row>
    <row r="202">
      <c r="A202" s="29" t="n">
        <v>200</v>
      </c>
      <c r="B202" s="26">
        <f>IF(TRIM(INDEX(입력_구리근무자명단!$A$1:$GZ$303,$A202,1)&amp;"")&lt;&gt;"",TRIM(INDEX(입력_구리근무자명단!$A$1:$GZ$303,$A202,1)&amp;""),B201)</f>
        <v/>
      </c>
      <c r="C202" s="26">
        <f>IF(INDEX(입력_구리근무자명단!$A$1:$GZ$303,$A202,2)="","",INDEX(입력_구리근무자명단!$A$1:$GZ$303,$A202,2))</f>
        <v/>
      </c>
      <c r="D202" s="26">
        <f>IF($G$2="","",TRIM(IF($I$2="확정",INDEX(입력_구리근무자명단!$A$1:$GZ$303,$A202,$G$2+1)&amp;"",INDEX(입력_구리근무자명단!$A$1:$GZ$303,$A202,$G$2+0)&amp;"")))</f>
        <v/>
      </c>
      <c r="E202" s="26">
        <f>IF($D202="","",$I$2)</f>
        <v/>
      </c>
      <c r="F202" s="28">
        <f>IF($D202="","",IF(INDEX(입력_구리근무자명단!$A$1:$GZ$303,$A202,$G$2+2)="",출력_요약!$B$3,IF(ISNUMBER(INDEX(입력_구리근무자명단!$A$1:$GZ$303,$A202,$G$2+2)),INDEX(입력_구리근무자명단!$A$1:$GZ$303,$A202,$G$2+2),IFERROR(DATE(VALUE(LEFT(INDEX(입력_구리근무자명단!$A$1:$GZ$303,$A202,$G$2+2),4)),VALUE(MID(INDEX(입력_구리근무자명단!$A$1:$GZ$303,$A202,$G$2+2),6,2)),VALUE(MID(INDEX(입력_구리근무자명단!$A$1:$GZ$303,$A202,$G$2+2),9,2))),IFERROR(DATEVALUE(SUBSTITUTE(TRIM(INDEX(입력_구리근무자명단!$A$1:$GZ$303,$A202,$G$2+2)),".","-")),"⚠"&amp;INDEX(입력_구리근무자명단!$A$1:$GZ$303,$A202,$G$2+2))))))</f>
        <v/>
      </c>
      <c r="G202" s="28">
        <f>IF($D202="","",IF(INDEX(입력_구리근무자명단!$A$1:$GZ$303,$A202,$G$2+3)="",EOMONTH(출력_요약!$B$3,0),IF(ISNUMBER(INDEX(입력_구리근무자명단!$A$1:$GZ$303,$A202,$G$2+3)),INDEX(입력_구리근무자명단!$A$1:$GZ$303,$A202,$G$2+3),IFERROR(DATE(VALUE(LEFT(INDEX(입력_구리근무자명단!$A$1:$GZ$303,$A202,$G$2+3),4)),VALUE(MID(INDEX(입력_구리근무자명단!$A$1:$GZ$303,$A202,$G$2+3),6,2)),VALUE(MID(INDEX(입력_구리근무자명단!$A$1:$GZ$303,$A202,$G$2+3),9,2))),IFERROR(DATEVALUE(SUBSTITUTE(TRIM(INDEX(입력_구리근무자명단!$A$1:$GZ$303,$A202,$G$2+3)),".","-")),"⚠"&amp;INDEX(입력_구리근무자명단!$A$1:$GZ$303,$A202,$G$2+3))))))</f>
        <v/>
      </c>
      <c r="H202" s="26">
        <f>IF($D202="","",IF(OR(NOT(ISNUMBER($F202)),NOT(ISNUMBER($G202))),0,MAX(0,MIN($G202,EOMONTH(출력_요약!$B$3,0))-MAX($F202,출력_요약!$B$3)+1)))</f>
        <v/>
      </c>
      <c r="I202" s="26">
        <f>IF($D202="","",TRIM(INDEX(입력_구리근무자명단!$A$1:$GZ$303,$A202,$G$2+5)&amp;""))</f>
        <v/>
      </c>
      <c r="J202" s="26">
        <f>IF($D202="","",IF(ISNUMBER(SEARCH("구리독자",$I202)),"구리독자",""))</f>
        <v/>
      </c>
      <c r="K202" s="29">
        <f>IF($D202="","",IF(COUNTIFS(입력_전공의명단!$C$2:$C$401,$D202,입력_전공의명단!$F$2:$F$401,IF(OR($C202="인턴",ISNUMBER(SEARCH("수련교육부",$B202))),"인턴",$B202))=1,MATCH($D202&amp;"|"&amp;IF(OR($C202="인턴",ISNUMBER(SEARCH("수련교육부",$B202))),"인턴",$B202),입력_전공의명단!$AP$2:$AP$401,0),IF(AND(COUNTIFS(입력_전공의명단!$C$2:$C$401,$D202,입력_전공의명단!$F$2:$F$401,IF(OR($C202="인턴",ISNUMBER(SEARCH("수련교육부",$B202))),"인턴",$B202))=0,COUNTIF(입력_전공의명단!$C$2:$C$401,$D202)=1),MATCH($D202,입력_전공의명단!$C$2:$C$401,0),"")))</f>
        <v/>
      </c>
      <c r="L202" s="26">
        <f>IF($D202="","",IF($K202&lt;&gt;"",IF(COUNTIFS(입력_전공의명단!$C$2:$C$401,$D202,입력_전공의명단!$F$2:$F$401,IF(OR($C202="인턴",ISNUMBER(SEARCH("수련교육부",$B202))),"인턴",$B202))=1,"명단 일치","명단 일치(이름만, 과 다름)"),IF(COUNTIF(입력_전공의명단!$C$2:$C$401,$D202)=0,IF(COUNTIF(입력_기본자료!$C$2:$C$1001,$D202)&gt;0,"명단에 없음(기본자료에는 있음)","명단에 없음"),"동명이인 확인")))</f>
        <v/>
      </c>
      <c r="N202" s="8" t="n">
        <v>197</v>
      </c>
      <c r="O202" s="8">
        <f>IF(ISNUMBER(SEARCH("근무예정자",(INDEX(입력_구리근무자명단!$A$3:$GZ$3,1,197)&amp;""))),IFERROR(VALUE(LEFT((INDEX(입력_구리근무자명단!$A$3:$GZ$3,1,197)&amp;""),4))*100+VALUE(MID((INDEX(입력_구리근무자명단!$A$3:$GZ$3,1,197)&amp;""),6,MIN(FIND("월",(INDEX(입력_구리근무자명단!$A$3:$GZ$3,1,197)&amp;"")&amp;"월"),FIND(CHAR(10),(INDEX(입력_구리근무자명단!$A$3:$GZ$3,1,197)&amp;"")&amp;CHAR(10)),FIND(" ",(INDEX(입력_구리근무자명단!$A$3:$GZ$3,1,197)&amp;"")&amp;" "))-6)),""),"")</f>
        <v/>
      </c>
    </row>
    <row r="203">
      <c r="A203" s="29" t="n">
        <v>201</v>
      </c>
      <c r="B203" s="26">
        <f>IF(TRIM(INDEX(입력_구리근무자명단!$A$1:$GZ$303,$A203,1)&amp;"")&lt;&gt;"",TRIM(INDEX(입력_구리근무자명단!$A$1:$GZ$303,$A203,1)&amp;""),B202)</f>
        <v/>
      </c>
      <c r="C203" s="26">
        <f>IF(INDEX(입력_구리근무자명단!$A$1:$GZ$303,$A203,2)="","",INDEX(입력_구리근무자명단!$A$1:$GZ$303,$A203,2))</f>
        <v/>
      </c>
      <c r="D203" s="26">
        <f>IF($G$2="","",TRIM(IF($I$2="확정",INDEX(입력_구리근무자명단!$A$1:$GZ$303,$A203,$G$2+1)&amp;"",INDEX(입력_구리근무자명단!$A$1:$GZ$303,$A203,$G$2+0)&amp;"")))</f>
        <v/>
      </c>
      <c r="E203" s="26">
        <f>IF($D203="","",$I$2)</f>
        <v/>
      </c>
      <c r="F203" s="28">
        <f>IF($D203="","",IF(INDEX(입력_구리근무자명단!$A$1:$GZ$303,$A203,$G$2+2)="",출력_요약!$B$3,IF(ISNUMBER(INDEX(입력_구리근무자명단!$A$1:$GZ$303,$A203,$G$2+2)),INDEX(입력_구리근무자명단!$A$1:$GZ$303,$A203,$G$2+2),IFERROR(DATE(VALUE(LEFT(INDEX(입력_구리근무자명단!$A$1:$GZ$303,$A203,$G$2+2),4)),VALUE(MID(INDEX(입력_구리근무자명단!$A$1:$GZ$303,$A203,$G$2+2),6,2)),VALUE(MID(INDEX(입력_구리근무자명단!$A$1:$GZ$303,$A203,$G$2+2),9,2))),IFERROR(DATEVALUE(SUBSTITUTE(TRIM(INDEX(입력_구리근무자명단!$A$1:$GZ$303,$A203,$G$2+2)),".","-")),"⚠"&amp;INDEX(입력_구리근무자명단!$A$1:$GZ$303,$A203,$G$2+2))))))</f>
        <v/>
      </c>
      <c r="G203" s="28">
        <f>IF($D203="","",IF(INDEX(입력_구리근무자명단!$A$1:$GZ$303,$A203,$G$2+3)="",EOMONTH(출력_요약!$B$3,0),IF(ISNUMBER(INDEX(입력_구리근무자명단!$A$1:$GZ$303,$A203,$G$2+3)),INDEX(입력_구리근무자명단!$A$1:$GZ$303,$A203,$G$2+3),IFERROR(DATE(VALUE(LEFT(INDEX(입력_구리근무자명단!$A$1:$GZ$303,$A203,$G$2+3),4)),VALUE(MID(INDEX(입력_구리근무자명단!$A$1:$GZ$303,$A203,$G$2+3),6,2)),VALUE(MID(INDEX(입력_구리근무자명단!$A$1:$GZ$303,$A203,$G$2+3),9,2))),IFERROR(DATEVALUE(SUBSTITUTE(TRIM(INDEX(입력_구리근무자명단!$A$1:$GZ$303,$A203,$G$2+3)),".","-")),"⚠"&amp;INDEX(입력_구리근무자명단!$A$1:$GZ$303,$A203,$G$2+3))))))</f>
        <v/>
      </c>
      <c r="H203" s="26">
        <f>IF($D203="","",IF(OR(NOT(ISNUMBER($F203)),NOT(ISNUMBER($G203))),0,MAX(0,MIN($G203,EOMONTH(출력_요약!$B$3,0))-MAX($F203,출력_요약!$B$3)+1)))</f>
        <v/>
      </c>
      <c r="I203" s="26">
        <f>IF($D203="","",TRIM(INDEX(입력_구리근무자명단!$A$1:$GZ$303,$A203,$G$2+5)&amp;""))</f>
        <v/>
      </c>
      <c r="J203" s="26">
        <f>IF($D203="","",IF(ISNUMBER(SEARCH("구리독자",$I203)),"구리독자",""))</f>
        <v/>
      </c>
      <c r="K203" s="29">
        <f>IF($D203="","",IF(COUNTIFS(입력_전공의명단!$C$2:$C$401,$D203,입력_전공의명단!$F$2:$F$401,IF(OR($C203="인턴",ISNUMBER(SEARCH("수련교육부",$B203))),"인턴",$B203))=1,MATCH($D203&amp;"|"&amp;IF(OR($C203="인턴",ISNUMBER(SEARCH("수련교육부",$B203))),"인턴",$B203),입력_전공의명단!$AP$2:$AP$401,0),IF(AND(COUNTIFS(입력_전공의명단!$C$2:$C$401,$D203,입력_전공의명단!$F$2:$F$401,IF(OR($C203="인턴",ISNUMBER(SEARCH("수련교육부",$B203))),"인턴",$B203))=0,COUNTIF(입력_전공의명단!$C$2:$C$401,$D203)=1),MATCH($D203,입력_전공의명단!$C$2:$C$401,0),"")))</f>
        <v/>
      </c>
      <c r="L203" s="26">
        <f>IF($D203="","",IF($K203&lt;&gt;"",IF(COUNTIFS(입력_전공의명단!$C$2:$C$401,$D203,입력_전공의명단!$F$2:$F$401,IF(OR($C203="인턴",ISNUMBER(SEARCH("수련교육부",$B203))),"인턴",$B203))=1,"명단 일치","명단 일치(이름만, 과 다름)"),IF(COUNTIF(입력_전공의명단!$C$2:$C$401,$D203)=0,IF(COUNTIF(입력_기본자료!$C$2:$C$1001,$D203)&gt;0,"명단에 없음(기본자료에는 있음)","명단에 없음"),"동명이인 확인")))</f>
        <v/>
      </c>
      <c r="N203" s="8" t="n">
        <v>198</v>
      </c>
      <c r="O203" s="8">
        <f>IF(ISNUMBER(SEARCH("근무예정자",(INDEX(입력_구리근무자명단!$A$3:$GZ$3,1,198)&amp;""))),IFERROR(VALUE(LEFT((INDEX(입력_구리근무자명단!$A$3:$GZ$3,1,198)&amp;""),4))*100+VALUE(MID((INDEX(입력_구리근무자명단!$A$3:$GZ$3,1,198)&amp;""),6,MIN(FIND("월",(INDEX(입력_구리근무자명단!$A$3:$GZ$3,1,198)&amp;"")&amp;"월"),FIND(CHAR(10),(INDEX(입력_구리근무자명단!$A$3:$GZ$3,1,198)&amp;"")&amp;CHAR(10)),FIND(" ",(INDEX(입력_구리근무자명단!$A$3:$GZ$3,1,198)&amp;"")&amp;" "))-6)),""),"")</f>
        <v/>
      </c>
    </row>
    <row r="204">
      <c r="A204" s="29" t="n">
        <v>202</v>
      </c>
      <c r="B204" s="26">
        <f>IF(TRIM(INDEX(입력_구리근무자명단!$A$1:$GZ$303,$A204,1)&amp;"")&lt;&gt;"",TRIM(INDEX(입력_구리근무자명단!$A$1:$GZ$303,$A204,1)&amp;""),B203)</f>
        <v/>
      </c>
      <c r="C204" s="26">
        <f>IF(INDEX(입력_구리근무자명단!$A$1:$GZ$303,$A204,2)="","",INDEX(입력_구리근무자명단!$A$1:$GZ$303,$A204,2))</f>
        <v/>
      </c>
      <c r="D204" s="26">
        <f>IF($G$2="","",TRIM(IF($I$2="확정",INDEX(입력_구리근무자명단!$A$1:$GZ$303,$A204,$G$2+1)&amp;"",INDEX(입력_구리근무자명단!$A$1:$GZ$303,$A204,$G$2+0)&amp;"")))</f>
        <v/>
      </c>
      <c r="E204" s="26">
        <f>IF($D204="","",$I$2)</f>
        <v/>
      </c>
      <c r="F204" s="28">
        <f>IF($D204="","",IF(INDEX(입력_구리근무자명단!$A$1:$GZ$303,$A204,$G$2+2)="",출력_요약!$B$3,IF(ISNUMBER(INDEX(입력_구리근무자명단!$A$1:$GZ$303,$A204,$G$2+2)),INDEX(입력_구리근무자명단!$A$1:$GZ$303,$A204,$G$2+2),IFERROR(DATE(VALUE(LEFT(INDEX(입력_구리근무자명단!$A$1:$GZ$303,$A204,$G$2+2),4)),VALUE(MID(INDEX(입력_구리근무자명단!$A$1:$GZ$303,$A204,$G$2+2),6,2)),VALUE(MID(INDEX(입력_구리근무자명단!$A$1:$GZ$303,$A204,$G$2+2),9,2))),IFERROR(DATEVALUE(SUBSTITUTE(TRIM(INDEX(입력_구리근무자명단!$A$1:$GZ$303,$A204,$G$2+2)),".","-")),"⚠"&amp;INDEX(입력_구리근무자명단!$A$1:$GZ$303,$A204,$G$2+2))))))</f>
        <v/>
      </c>
      <c r="G204" s="28">
        <f>IF($D204="","",IF(INDEX(입력_구리근무자명단!$A$1:$GZ$303,$A204,$G$2+3)="",EOMONTH(출력_요약!$B$3,0),IF(ISNUMBER(INDEX(입력_구리근무자명단!$A$1:$GZ$303,$A204,$G$2+3)),INDEX(입력_구리근무자명단!$A$1:$GZ$303,$A204,$G$2+3),IFERROR(DATE(VALUE(LEFT(INDEX(입력_구리근무자명단!$A$1:$GZ$303,$A204,$G$2+3),4)),VALUE(MID(INDEX(입력_구리근무자명단!$A$1:$GZ$303,$A204,$G$2+3),6,2)),VALUE(MID(INDEX(입력_구리근무자명단!$A$1:$GZ$303,$A204,$G$2+3),9,2))),IFERROR(DATEVALUE(SUBSTITUTE(TRIM(INDEX(입력_구리근무자명단!$A$1:$GZ$303,$A204,$G$2+3)),".","-")),"⚠"&amp;INDEX(입력_구리근무자명단!$A$1:$GZ$303,$A204,$G$2+3))))))</f>
        <v/>
      </c>
      <c r="H204" s="26">
        <f>IF($D204="","",IF(OR(NOT(ISNUMBER($F204)),NOT(ISNUMBER($G204))),0,MAX(0,MIN($G204,EOMONTH(출력_요약!$B$3,0))-MAX($F204,출력_요약!$B$3)+1)))</f>
        <v/>
      </c>
      <c r="I204" s="26">
        <f>IF($D204="","",TRIM(INDEX(입력_구리근무자명단!$A$1:$GZ$303,$A204,$G$2+5)&amp;""))</f>
        <v/>
      </c>
      <c r="J204" s="26">
        <f>IF($D204="","",IF(ISNUMBER(SEARCH("구리독자",$I204)),"구리독자",""))</f>
        <v/>
      </c>
      <c r="K204" s="29">
        <f>IF($D204="","",IF(COUNTIFS(입력_전공의명단!$C$2:$C$401,$D204,입력_전공의명단!$F$2:$F$401,IF(OR($C204="인턴",ISNUMBER(SEARCH("수련교육부",$B204))),"인턴",$B204))=1,MATCH($D204&amp;"|"&amp;IF(OR($C204="인턴",ISNUMBER(SEARCH("수련교육부",$B204))),"인턴",$B204),입력_전공의명단!$AP$2:$AP$401,0),IF(AND(COUNTIFS(입력_전공의명단!$C$2:$C$401,$D204,입력_전공의명단!$F$2:$F$401,IF(OR($C204="인턴",ISNUMBER(SEARCH("수련교육부",$B204))),"인턴",$B204))=0,COUNTIF(입력_전공의명단!$C$2:$C$401,$D204)=1),MATCH($D204,입력_전공의명단!$C$2:$C$401,0),"")))</f>
        <v/>
      </c>
      <c r="L204" s="26">
        <f>IF($D204="","",IF($K204&lt;&gt;"",IF(COUNTIFS(입력_전공의명단!$C$2:$C$401,$D204,입력_전공의명단!$F$2:$F$401,IF(OR($C204="인턴",ISNUMBER(SEARCH("수련교육부",$B204))),"인턴",$B204))=1,"명단 일치","명단 일치(이름만, 과 다름)"),IF(COUNTIF(입력_전공의명단!$C$2:$C$401,$D204)=0,IF(COUNTIF(입력_기본자료!$C$2:$C$1001,$D204)&gt;0,"명단에 없음(기본자료에는 있음)","명단에 없음"),"동명이인 확인")))</f>
        <v/>
      </c>
      <c r="N204" s="8" t="n">
        <v>199</v>
      </c>
      <c r="O204" s="8">
        <f>IF(ISNUMBER(SEARCH("근무예정자",(INDEX(입력_구리근무자명단!$A$3:$GZ$3,1,199)&amp;""))),IFERROR(VALUE(LEFT((INDEX(입력_구리근무자명단!$A$3:$GZ$3,1,199)&amp;""),4))*100+VALUE(MID((INDEX(입력_구리근무자명단!$A$3:$GZ$3,1,199)&amp;""),6,MIN(FIND("월",(INDEX(입력_구리근무자명단!$A$3:$GZ$3,1,199)&amp;"")&amp;"월"),FIND(CHAR(10),(INDEX(입력_구리근무자명단!$A$3:$GZ$3,1,199)&amp;"")&amp;CHAR(10)),FIND(" ",(INDEX(입력_구리근무자명단!$A$3:$GZ$3,1,199)&amp;"")&amp;" "))-6)),""),"")</f>
        <v/>
      </c>
    </row>
    <row r="205">
      <c r="A205" s="29" t="n">
        <v>203</v>
      </c>
      <c r="B205" s="26">
        <f>IF(TRIM(INDEX(입력_구리근무자명단!$A$1:$GZ$303,$A205,1)&amp;"")&lt;&gt;"",TRIM(INDEX(입력_구리근무자명단!$A$1:$GZ$303,$A205,1)&amp;""),B204)</f>
        <v/>
      </c>
      <c r="C205" s="26">
        <f>IF(INDEX(입력_구리근무자명단!$A$1:$GZ$303,$A205,2)="","",INDEX(입력_구리근무자명단!$A$1:$GZ$303,$A205,2))</f>
        <v/>
      </c>
      <c r="D205" s="26">
        <f>IF($G$2="","",TRIM(IF($I$2="확정",INDEX(입력_구리근무자명단!$A$1:$GZ$303,$A205,$G$2+1)&amp;"",INDEX(입력_구리근무자명단!$A$1:$GZ$303,$A205,$G$2+0)&amp;"")))</f>
        <v/>
      </c>
      <c r="E205" s="26">
        <f>IF($D205="","",$I$2)</f>
        <v/>
      </c>
      <c r="F205" s="28">
        <f>IF($D205="","",IF(INDEX(입력_구리근무자명단!$A$1:$GZ$303,$A205,$G$2+2)="",출력_요약!$B$3,IF(ISNUMBER(INDEX(입력_구리근무자명단!$A$1:$GZ$303,$A205,$G$2+2)),INDEX(입력_구리근무자명단!$A$1:$GZ$303,$A205,$G$2+2),IFERROR(DATE(VALUE(LEFT(INDEX(입력_구리근무자명단!$A$1:$GZ$303,$A205,$G$2+2),4)),VALUE(MID(INDEX(입력_구리근무자명단!$A$1:$GZ$303,$A205,$G$2+2),6,2)),VALUE(MID(INDEX(입력_구리근무자명단!$A$1:$GZ$303,$A205,$G$2+2),9,2))),IFERROR(DATEVALUE(SUBSTITUTE(TRIM(INDEX(입력_구리근무자명단!$A$1:$GZ$303,$A205,$G$2+2)),".","-")),"⚠"&amp;INDEX(입력_구리근무자명단!$A$1:$GZ$303,$A205,$G$2+2))))))</f>
        <v/>
      </c>
      <c r="G205" s="28">
        <f>IF($D205="","",IF(INDEX(입력_구리근무자명단!$A$1:$GZ$303,$A205,$G$2+3)="",EOMONTH(출력_요약!$B$3,0),IF(ISNUMBER(INDEX(입력_구리근무자명단!$A$1:$GZ$303,$A205,$G$2+3)),INDEX(입력_구리근무자명단!$A$1:$GZ$303,$A205,$G$2+3),IFERROR(DATE(VALUE(LEFT(INDEX(입력_구리근무자명단!$A$1:$GZ$303,$A205,$G$2+3),4)),VALUE(MID(INDEX(입력_구리근무자명단!$A$1:$GZ$303,$A205,$G$2+3),6,2)),VALUE(MID(INDEX(입력_구리근무자명단!$A$1:$GZ$303,$A205,$G$2+3),9,2))),IFERROR(DATEVALUE(SUBSTITUTE(TRIM(INDEX(입력_구리근무자명단!$A$1:$GZ$303,$A205,$G$2+3)),".","-")),"⚠"&amp;INDEX(입력_구리근무자명단!$A$1:$GZ$303,$A205,$G$2+3))))))</f>
        <v/>
      </c>
      <c r="H205" s="26">
        <f>IF($D205="","",IF(OR(NOT(ISNUMBER($F205)),NOT(ISNUMBER($G205))),0,MAX(0,MIN($G205,EOMONTH(출력_요약!$B$3,0))-MAX($F205,출력_요약!$B$3)+1)))</f>
        <v/>
      </c>
      <c r="I205" s="26">
        <f>IF($D205="","",TRIM(INDEX(입력_구리근무자명단!$A$1:$GZ$303,$A205,$G$2+5)&amp;""))</f>
        <v/>
      </c>
      <c r="J205" s="26">
        <f>IF($D205="","",IF(ISNUMBER(SEARCH("구리독자",$I205)),"구리독자",""))</f>
        <v/>
      </c>
      <c r="K205" s="29">
        <f>IF($D205="","",IF(COUNTIFS(입력_전공의명단!$C$2:$C$401,$D205,입력_전공의명단!$F$2:$F$401,IF(OR($C205="인턴",ISNUMBER(SEARCH("수련교육부",$B205))),"인턴",$B205))=1,MATCH($D205&amp;"|"&amp;IF(OR($C205="인턴",ISNUMBER(SEARCH("수련교육부",$B205))),"인턴",$B205),입력_전공의명단!$AP$2:$AP$401,0),IF(AND(COUNTIFS(입력_전공의명단!$C$2:$C$401,$D205,입력_전공의명단!$F$2:$F$401,IF(OR($C205="인턴",ISNUMBER(SEARCH("수련교육부",$B205))),"인턴",$B205))=0,COUNTIF(입력_전공의명단!$C$2:$C$401,$D205)=1),MATCH($D205,입력_전공의명단!$C$2:$C$401,0),"")))</f>
        <v/>
      </c>
      <c r="L205" s="26">
        <f>IF($D205="","",IF($K205&lt;&gt;"",IF(COUNTIFS(입력_전공의명단!$C$2:$C$401,$D205,입력_전공의명단!$F$2:$F$401,IF(OR($C205="인턴",ISNUMBER(SEARCH("수련교육부",$B205))),"인턴",$B205))=1,"명단 일치","명단 일치(이름만, 과 다름)"),IF(COUNTIF(입력_전공의명단!$C$2:$C$401,$D205)=0,IF(COUNTIF(입력_기본자료!$C$2:$C$1001,$D205)&gt;0,"명단에 없음(기본자료에는 있음)","명단에 없음"),"동명이인 확인")))</f>
        <v/>
      </c>
      <c r="N205" s="8" t="n">
        <v>200</v>
      </c>
      <c r="O205" s="8">
        <f>IF(ISNUMBER(SEARCH("근무예정자",(INDEX(입력_구리근무자명단!$A$3:$GZ$3,1,200)&amp;""))),IFERROR(VALUE(LEFT((INDEX(입력_구리근무자명단!$A$3:$GZ$3,1,200)&amp;""),4))*100+VALUE(MID((INDEX(입력_구리근무자명단!$A$3:$GZ$3,1,200)&amp;""),6,MIN(FIND("월",(INDEX(입력_구리근무자명단!$A$3:$GZ$3,1,200)&amp;"")&amp;"월"),FIND(CHAR(10),(INDEX(입력_구리근무자명단!$A$3:$GZ$3,1,200)&amp;"")&amp;CHAR(10)),FIND(" ",(INDEX(입력_구리근무자명단!$A$3:$GZ$3,1,200)&amp;"")&amp;" "))-6)),""),"")</f>
        <v/>
      </c>
    </row>
    <row r="206">
      <c r="A206" s="29" t="n">
        <v>204</v>
      </c>
      <c r="B206" s="26">
        <f>IF(TRIM(INDEX(입력_구리근무자명단!$A$1:$GZ$303,$A206,1)&amp;"")&lt;&gt;"",TRIM(INDEX(입력_구리근무자명단!$A$1:$GZ$303,$A206,1)&amp;""),B205)</f>
        <v/>
      </c>
      <c r="C206" s="26">
        <f>IF(INDEX(입력_구리근무자명단!$A$1:$GZ$303,$A206,2)="","",INDEX(입력_구리근무자명단!$A$1:$GZ$303,$A206,2))</f>
        <v/>
      </c>
      <c r="D206" s="26">
        <f>IF($G$2="","",TRIM(IF($I$2="확정",INDEX(입력_구리근무자명단!$A$1:$GZ$303,$A206,$G$2+1)&amp;"",INDEX(입력_구리근무자명단!$A$1:$GZ$303,$A206,$G$2+0)&amp;"")))</f>
        <v/>
      </c>
      <c r="E206" s="26">
        <f>IF($D206="","",$I$2)</f>
        <v/>
      </c>
      <c r="F206" s="28">
        <f>IF($D206="","",IF(INDEX(입력_구리근무자명단!$A$1:$GZ$303,$A206,$G$2+2)="",출력_요약!$B$3,IF(ISNUMBER(INDEX(입력_구리근무자명단!$A$1:$GZ$303,$A206,$G$2+2)),INDEX(입력_구리근무자명단!$A$1:$GZ$303,$A206,$G$2+2),IFERROR(DATE(VALUE(LEFT(INDEX(입력_구리근무자명단!$A$1:$GZ$303,$A206,$G$2+2),4)),VALUE(MID(INDEX(입력_구리근무자명단!$A$1:$GZ$303,$A206,$G$2+2),6,2)),VALUE(MID(INDEX(입력_구리근무자명단!$A$1:$GZ$303,$A206,$G$2+2),9,2))),IFERROR(DATEVALUE(SUBSTITUTE(TRIM(INDEX(입력_구리근무자명단!$A$1:$GZ$303,$A206,$G$2+2)),".","-")),"⚠"&amp;INDEX(입력_구리근무자명단!$A$1:$GZ$303,$A206,$G$2+2))))))</f>
        <v/>
      </c>
      <c r="G206" s="28">
        <f>IF($D206="","",IF(INDEX(입력_구리근무자명단!$A$1:$GZ$303,$A206,$G$2+3)="",EOMONTH(출력_요약!$B$3,0),IF(ISNUMBER(INDEX(입력_구리근무자명단!$A$1:$GZ$303,$A206,$G$2+3)),INDEX(입력_구리근무자명단!$A$1:$GZ$303,$A206,$G$2+3),IFERROR(DATE(VALUE(LEFT(INDEX(입력_구리근무자명단!$A$1:$GZ$303,$A206,$G$2+3),4)),VALUE(MID(INDEX(입력_구리근무자명단!$A$1:$GZ$303,$A206,$G$2+3),6,2)),VALUE(MID(INDEX(입력_구리근무자명단!$A$1:$GZ$303,$A206,$G$2+3),9,2))),IFERROR(DATEVALUE(SUBSTITUTE(TRIM(INDEX(입력_구리근무자명단!$A$1:$GZ$303,$A206,$G$2+3)),".","-")),"⚠"&amp;INDEX(입력_구리근무자명단!$A$1:$GZ$303,$A206,$G$2+3))))))</f>
        <v/>
      </c>
      <c r="H206" s="26">
        <f>IF($D206="","",IF(OR(NOT(ISNUMBER($F206)),NOT(ISNUMBER($G206))),0,MAX(0,MIN($G206,EOMONTH(출력_요약!$B$3,0))-MAX($F206,출력_요약!$B$3)+1)))</f>
        <v/>
      </c>
      <c r="I206" s="26">
        <f>IF($D206="","",TRIM(INDEX(입력_구리근무자명단!$A$1:$GZ$303,$A206,$G$2+5)&amp;""))</f>
        <v/>
      </c>
      <c r="J206" s="26">
        <f>IF($D206="","",IF(ISNUMBER(SEARCH("구리독자",$I206)),"구리독자",""))</f>
        <v/>
      </c>
      <c r="K206" s="29">
        <f>IF($D206="","",IF(COUNTIFS(입력_전공의명단!$C$2:$C$401,$D206,입력_전공의명단!$F$2:$F$401,IF(OR($C206="인턴",ISNUMBER(SEARCH("수련교육부",$B206))),"인턴",$B206))=1,MATCH($D206&amp;"|"&amp;IF(OR($C206="인턴",ISNUMBER(SEARCH("수련교육부",$B206))),"인턴",$B206),입력_전공의명단!$AP$2:$AP$401,0),IF(AND(COUNTIFS(입력_전공의명단!$C$2:$C$401,$D206,입력_전공의명단!$F$2:$F$401,IF(OR($C206="인턴",ISNUMBER(SEARCH("수련교육부",$B206))),"인턴",$B206))=0,COUNTIF(입력_전공의명단!$C$2:$C$401,$D206)=1),MATCH($D206,입력_전공의명단!$C$2:$C$401,0),"")))</f>
        <v/>
      </c>
      <c r="L206" s="26">
        <f>IF($D206="","",IF($K206&lt;&gt;"",IF(COUNTIFS(입력_전공의명단!$C$2:$C$401,$D206,입력_전공의명단!$F$2:$F$401,IF(OR($C206="인턴",ISNUMBER(SEARCH("수련교육부",$B206))),"인턴",$B206))=1,"명단 일치","명단 일치(이름만, 과 다름)"),IF(COUNTIF(입력_전공의명단!$C$2:$C$401,$D206)=0,IF(COUNTIF(입력_기본자료!$C$2:$C$1001,$D206)&gt;0,"명단에 없음(기본자료에는 있음)","명단에 없음"),"동명이인 확인")))</f>
        <v/>
      </c>
      <c r="N206" s="8" t="n">
        <v>201</v>
      </c>
      <c r="O206" s="8">
        <f>IF(ISNUMBER(SEARCH("근무예정자",(INDEX(입력_구리근무자명단!$A$3:$GZ$3,1,201)&amp;""))),IFERROR(VALUE(LEFT((INDEX(입력_구리근무자명단!$A$3:$GZ$3,1,201)&amp;""),4))*100+VALUE(MID((INDEX(입력_구리근무자명단!$A$3:$GZ$3,1,201)&amp;""),6,MIN(FIND("월",(INDEX(입력_구리근무자명단!$A$3:$GZ$3,1,201)&amp;"")&amp;"월"),FIND(CHAR(10),(INDEX(입력_구리근무자명단!$A$3:$GZ$3,1,201)&amp;"")&amp;CHAR(10)),FIND(" ",(INDEX(입력_구리근무자명단!$A$3:$GZ$3,1,201)&amp;"")&amp;" "))-6)),""),"")</f>
        <v/>
      </c>
    </row>
    <row r="207">
      <c r="A207" s="29" t="n">
        <v>205</v>
      </c>
      <c r="B207" s="26">
        <f>IF(TRIM(INDEX(입력_구리근무자명단!$A$1:$GZ$303,$A207,1)&amp;"")&lt;&gt;"",TRIM(INDEX(입력_구리근무자명단!$A$1:$GZ$303,$A207,1)&amp;""),B206)</f>
        <v/>
      </c>
      <c r="C207" s="26">
        <f>IF(INDEX(입력_구리근무자명단!$A$1:$GZ$303,$A207,2)="","",INDEX(입력_구리근무자명단!$A$1:$GZ$303,$A207,2))</f>
        <v/>
      </c>
      <c r="D207" s="26">
        <f>IF($G$2="","",TRIM(IF($I$2="확정",INDEX(입력_구리근무자명단!$A$1:$GZ$303,$A207,$G$2+1)&amp;"",INDEX(입력_구리근무자명단!$A$1:$GZ$303,$A207,$G$2+0)&amp;"")))</f>
        <v/>
      </c>
      <c r="E207" s="26">
        <f>IF($D207="","",$I$2)</f>
        <v/>
      </c>
      <c r="F207" s="28">
        <f>IF($D207="","",IF(INDEX(입력_구리근무자명단!$A$1:$GZ$303,$A207,$G$2+2)="",출력_요약!$B$3,IF(ISNUMBER(INDEX(입력_구리근무자명단!$A$1:$GZ$303,$A207,$G$2+2)),INDEX(입력_구리근무자명단!$A$1:$GZ$303,$A207,$G$2+2),IFERROR(DATE(VALUE(LEFT(INDEX(입력_구리근무자명단!$A$1:$GZ$303,$A207,$G$2+2),4)),VALUE(MID(INDEX(입력_구리근무자명단!$A$1:$GZ$303,$A207,$G$2+2),6,2)),VALUE(MID(INDEX(입력_구리근무자명단!$A$1:$GZ$303,$A207,$G$2+2),9,2))),IFERROR(DATEVALUE(SUBSTITUTE(TRIM(INDEX(입력_구리근무자명단!$A$1:$GZ$303,$A207,$G$2+2)),".","-")),"⚠"&amp;INDEX(입력_구리근무자명단!$A$1:$GZ$303,$A207,$G$2+2))))))</f>
        <v/>
      </c>
      <c r="G207" s="28">
        <f>IF($D207="","",IF(INDEX(입력_구리근무자명단!$A$1:$GZ$303,$A207,$G$2+3)="",EOMONTH(출력_요약!$B$3,0),IF(ISNUMBER(INDEX(입력_구리근무자명단!$A$1:$GZ$303,$A207,$G$2+3)),INDEX(입력_구리근무자명단!$A$1:$GZ$303,$A207,$G$2+3),IFERROR(DATE(VALUE(LEFT(INDEX(입력_구리근무자명단!$A$1:$GZ$303,$A207,$G$2+3),4)),VALUE(MID(INDEX(입력_구리근무자명단!$A$1:$GZ$303,$A207,$G$2+3),6,2)),VALUE(MID(INDEX(입력_구리근무자명단!$A$1:$GZ$303,$A207,$G$2+3),9,2))),IFERROR(DATEVALUE(SUBSTITUTE(TRIM(INDEX(입력_구리근무자명단!$A$1:$GZ$303,$A207,$G$2+3)),".","-")),"⚠"&amp;INDEX(입력_구리근무자명단!$A$1:$GZ$303,$A207,$G$2+3))))))</f>
        <v/>
      </c>
      <c r="H207" s="26">
        <f>IF($D207="","",IF(OR(NOT(ISNUMBER($F207)),NOT(ISNUMBER($G207))),0,MAX(0,MIN($G207,EOMONTH(출력_요약!$B$3,0))-MAX($F207,출력_요약!$B$3)+1)))</f>
        <v/>
      </c>
      <c r="I207" s="26">
        <f>IF($D207="","",TRIM(INDEX(입력_구리근무자명단!$A$1:$GZ$303,$A207,$G$2+5)&amp;""))</f>
        <v/>
      </c>
      <c r="J207" s="26">
        <f>IF($D207="","",IF(ISNUMBER(SEARCH("구리독자",$I207)),"구리독자",""))</f>
        <v/>
      </c>
      <c r="K207" s="29">
        <f>IF($D207="","",IF(COUNTIFS(입력_전공의명단!$C$2:$C$401,$D207,입력_전공의명단!$F$2:$F$401,IF(OR($C207="인턴",ISNUMBER(SEARCH("수련교육부",$B207))),"인턴",$B207))=1,MATCH($D207&amp;"|"&amp;IF(OR($C207="인턴",ISNUMBER(SEARCH("수련교육부",$B207))),"인턴",$B207),입력_전공의명단!$AP$2:$AP$401,0),IF(AND(COUNTIFS(입력_전공의명단!$C$2:$C$401,$D207,입력_전공의명단!$F$2:$F$401,IF(OR($C207="인턴",ISNUMBER(SEARCH("수련교육부",$B207))),"인턴",$B207))=0,COUNTIF(입력_전공의명단!$C$2:$C$401,$D207)=1),MATCH($D207,입력_전공의명단!$C$2:$C$401,0),"")))</f>
        <v/>
      </c>
      <c r="L207" s="26">
        <f>IF($D207="","",IF($K207&lt;&gt;"",IF(COUNTIFS(입력_전공의명단!$C$2:$C$401,$D207,입력_전공의명단!$F$2:$F$401,IF(OR($C207="인턴",ISNUMBER(SEARCH("수련교육부",$B207))),"인턴",$B207))=1,"명단 일치","명단 일치(이름만, 과 다름)"),IF(COUNTIF(입력_전공의명단!$C$2:$C$401,$D207)=0,IF(COUNTIF(입력_기본자료!$C$2:$C$1001,$D207)&gt;0,"명단에 없음(기본자료에는 있음)","명단에 없음"),"동명이인 확인")))</f>
        <v/>
      </c>
      <c r="N207" s="8" t="n">
        <v>202</v>
      </c>
      <c r="O207" s="8">
        <f>IF(ISNUMBER(SEARCH("근무예정자",(INDEX(입력_구리근무자명단!$A$3:$GZ$3,1,202)&amp;""))),IFERROR(VALUE(LEFT((INDEX(입력_구리근무자명단!$A$3:$GZ$3,1,202)&amp;""),4))*100+VALUE(MID((INDEX(입력_구리근무자명단!$A$3:$GZ$3,1,202)&amp;""),6,MIN(FIND("월",(INDEX(입력_구리근무자명단!$A$3:$GZ$3,1,202)&amp;"")&amp;"월"),FIND(CHAR(10),(INDEX(입력_구리근무자명단!$A$3:$GZ$3,1,202)&amp;"")&amp;CHAR(10)),FIND(" ",(INDEX(입력_구리근무자명단!$A$3:$GZ$3,1,202)&amp;"")&amp;" "))-6)),""),"")</f>
        <v/>
      </c>
    </row>
    <row r="208">
      <c r="A208" s="29" t="n">
        <v>206</v>
      </c>
      <c r="B208" s="26">
        <f>IF(TRIM(INDEX(입력_구리근무자명단!$A$1:$GZ$303,$A208,1)&amp;"")&lt;&gt;"",TRIM(INDEX(입력_구리근무자명단!$A$1:$GZ$303,$A208,1)&amp;""),B207)</f>
        <v/>
      </c>
      <c r="C208" s="26">
        <f>IF(INDEX(입력_구리근무자명단!$A$1:$GZ$303,$A208,2)="","",INDEX(입력_구리근무자명단!$A$1:$GZ$303,$A208,2))</f>
        <v/>
      </c>
      <c r="D208" s="26">
        <f>IF($G$2="","",TRIM(IF($I$2="확정",INDEX(입력_구리근무자명단!$A$1:$GZ$303,$A208,$G$2+1)&amp;"",INDEX(입력_구리근무자명단!$A$1:$GZ$303,$A208,$G$2+0)&amp;"")))</f>
        <v/>
      </c>
      <c r="E208" s="26">
        <f>IF($D208="","",$I$2)</f>
        <v/>
      </c>
      <c r="F208" s="28">
        <f>IF($D208="","",IF(INDEX(입력_구리근무자명단!$A$1:$GZ$303,$A208,$G$2+2)="",출력_요약!$B$3,IF(ISNUMBER(INDEX(입력_구리근무자명단!$A$1:$GZ$303,$A208,$G$2+2)),INDEX(입력_구리근무자명단!$A$1:$GZ$303,$A208,$G$2+2),IFERROR(DATE(VALUE(LEFT(INDEX(입력_구리근무자명단!$A$1:$GZ$303,$A208,$G$2+2),4)),VALUE(MID(INDEX(입력_구리근무자명단!$A$1:$GZ$303,$A208,$G$2+2),6,2)),VALUE(MID(INDEX(입력_구리근무자명단!$A$1:$GZ$303,$A208,$G$2+2),9,2))),IFERROR(DATEVALUE(SUBSTITUTE(TRIM(INDEX(입력_구리근무자명단!$A$1:$GZ$303,$A208,$G$2+2)),".","-")),"⚠"&amp;INDEX(입력_구리근무자명단!$A$1:$GZ$303,$A208,$G$2+2))))))</f>
        <v/>
      </c>
      <c r="G208" s="28">
        <f>IF($D208="","",IF(INDEX(입력_구리근무자명단!$A$1:$GZ$303,$A208,$G$2+3)="",EOMONTH(출력_요약!$B$3,0),IF(ISNUMBER(INDEX(입력_구리근무자명단!$A$1:$GZ$303,$A208,$G$2+3)),INDEX(입력_구리근무자명단!$A$1:$GZ$303,$A208,$G$2+3),IFERROR(DATE(VALUE(LEFT(INDEX(입력_구리근무자명단!$A$1:$GZ$303,$A208,$G$2+3),4)),VALUE(MID(INDEX(입력_구리근무자명단!$A$1:$GZ$303,$A208,$G$2+3),6,2)),VALUE(MID(INDEX(입력_구리근무자명단!$A$1:$GZ$303,$A208,$G$2+3),9,2))),IFERROR(DATEVALUE(SUBSTITUTE(TRIM(INDEX(입력_구리근무자명단!$A$1:$GZ$303,$A208,$G$2+3)),".","-")),"⚠"&amp;INDEX(입력_구리근무자명단!$A$1:$GZ$303,$A208,$G$2+3))))))</f>
        <v/>
      </c>
      <c r="H208" s="26">
        <f>IF($D208="","",IF(OR(NOT(ISNUMBER($F208)),NOT(ISNUMBER($G208))),0,MAX(0,MIN($G208,EOMONTH(출력_요약!$B$3,0))-MAX($F208,출력_요약!$B$3)+1)))</f>
        <v/>
      </c>
      <c r="I208" s="26">
        <f>IF($D208="","",TRIM(INDEX(입력_구리근무자명단!$A$1:$GZ$303,$A208,$G$2+5)&amp;""))</f>
        <v/>
      </c>
      <c r="J208" s="26">
        <f>IF($D208="","",IF(ISNUMBER(SEARCH("구리독자",$I208)),"구리독자",""))</f>
        <v/>
      </c>
      <c r="K208" s="29">
        <f>IF($D208="","",IF(COUNTIFS(입력_전공의명단!$C$2:$C$401,$D208,입력_전공의명단!$F$2:$F$401,IF(OR($C208="인턴",ISNUMBER(SEARCH("수련교육부",$B208))),"인턴",$B208))=1,MATCH($D208&amp;"|"&amp;IF(OR($C208="인턴",ISNUMBER(SEARCH("수련교육부",$B208))),"인턴",$B208),입력_전공의명단!$AP$2:$AP$401,0),IF(AND(COUNTIFS(입력_전공의명단!$C$2:$C$401,$D208,입력_전공의명단!$F$2:$F$401,IF(OR($C208="인턴",ISNUMBER(SEARCH("수련교육부",$B208))),"인턴",$B208))=0,COUNTIF(입력_전공의명단!$C$2:$C$401,$D208)=1),MATCH($D208,입력_전공의명단!$C$2:$C$401,0),"")))</f>
        <v/>
      </c>
      <c r="L208" s="26">
        <f>IF($D208="","",IF($K208&lt;&gt;"",IF(COUNTIFS(입력_전공의명단!$C$2:$C$401,$D208,입력_전공의명단!$F$2:$F$401,IF(OR($C208="인턴",ISNUMBER(SEARCH("수련교육부",$B208))),"인턴",$B208))=1,"명단 일치","명단 일치(이름만, 과 다름)"),IF(COUNTIF(입력_전공의명단!$C$2:$C$401,$D208)=0,IF(COUNTIF(입력_기본자료!$C$2:$C$1001,$D208)&gt;0,"명단에 없음(기본자료에는 있음)","명단에 없음"),"동명이인 확인")))</f>
        <v/>
      </c>
      <c r="N208" s="8" t="n">
        <v>203</v>
      </c>
      <c r="O208" s="8">
        <f>IF(ISNUMBER(SEARCH("근무예정자",(INDEX(입력_구리근무자명단!$A$3:$GZ$3,1,203)&amp;""))),IFERROR(VALUE(LEFT((INDEX(입력_구리근무자명단!$A$3:$GZ$3,1,203)&amp;""),4))*100+VALUE(MID((INDEX(입력_구리근무자명단!$A$3:$GZ$3,1,203)&amp;""),6,MIN(FIND("월",(INDEX(입력_구리근무자명단!$A$3:$GZ$3,1,203)&amp;"")&amp;"월"),FIND(CHAR(10),(INDEX(입력_구리근무자명단!$A$3:$GZ$3,1,203)&amp;"")&amp;CHAR(10)),FIND(" ",(INDEX(입력_구리근무자명단!$A$3:$GZ$3,1,203)&amp;"")&amp;" "))-6)),""),"")</f>
        <v/>
      </c>
    </row>
    <row r="209">
      <c r="A209" s="29" t="n">
        <v>207</v>
      </c>
      <c r="B209" s="26">
        <f>IF(TRIM(INDEX(입력_구리근무자명단!$A$1:$GZ$303,$A209,1)&amp;"")&lt;&gt;"",TRIM(INDEX(입력_구리근무자명단!$A$1:$GZ$303,$A209,1)&amp;""),B208)</f>
        <v/>
      </c>
      <c r="C209" s="26">
        <f>IF(INDEX(입력_구리근무자명단!$A$1:$GZ$303,$A209,2)="","",INDEX(입력_구리근무자명단!$A$1:$GZ$303,$A209,2))</f>
        <v/>
      </c>
      <c r="D209" s="26">
        <f>IF($G$2="","",TRIM(IF($I$2="확정",INDEX(입력_구리근무자명단!$A$1:$GZ$303,$A209,$G$2+1)&amp;"",INDEX(입력_구리근무자명단!$A$1:$GZ$303,$A209,$G$2+0)&amp;"")))</f>
        <v/>
      </c>
      <c r="E209" s="26">
        <f>IF($D209="","",$I$2)</f>
        <v/>
      </c>
      <c r="F209" s="28">
        <f>IF($D209="","",IF(INDEX(입력_구리근무자명단!$A$1:$GZ$303,$A209,$G$2+2)="",출력_요약!$B$3,IF(ISNUMBER(INDEX(입력_구리근무자명단!$A$1:$GZ$303,$A209,$G$2+2)),INDEX(입력_구리근무자명단!$A$1:$GZ$303,$A209,$G$2+2),IFERROR(DATE(VALUE(LEFT(INDEX(입력_구리근무자명단!$A$1:$GZ$303,$A209,$G$2+2),4)),VALUE(MID(INDEX(입력_구리근무자명단!$A$1:$GZ$303,$A209,$G$2+2),6,2)),VALUE(MID(INDEX(입력_구리근무자명단!$A$1:$GZ$303,$A209,$G$2+2),9,2))),IFERROR(DATEVALUE(SUBSTITUTE(TRIM(INDEX(입력_구리근무자명단!$A$1:$GZ$303,$A209,$G$2+2)),".","-")),"⚠"&amp;INDEX(입력_구리근무자명단!$A$1:$GZ$303,$A209,$G$2+2))))))</f>
        <v/>
      </c>
      <c r="G209" s="28">
        <f>IF($D209="","",IF(INDEX(입력_구리근무자명단!$A$1:$GZ$303,$A209,$G$2+3)="",EOMONTH(출력_요약!$B$3,0),IF(ISNUMBER(INDEX(입력_구리근무자명단!$A$1:$GZ$303,$A209,$G$2+3)),INDEX(입력_구리근무자명단!$A$1:$GZ$303,$A209,$G$2+3),IFERROR(DATE(VALUE(LEFT(INDEX(입력_구리근무자명단!$A$1:$GZ$303,$A209,$G$2+3),4)),VALUE(MID(INDEX(입력_구리근무자명단!$A$1:$GZ$303,$A209,$G$2+3),6,2)),VALUE(MID(INDEX(입력_구리근무자명단!$A$1:$GZ$303,$A209,$G$2+3),9,2))),IFERROR(DATEVALUE(SUBSTITUTE(TRIM(INDEX(입력_구리근무자명단!$A$1:$GZ$303,$A209,$G$2+3)),".","-")),"⚠"&amp;INDEX(입력_구리근무자명단!$A$1:$GZ$303,$A209,$G$2+3))))))</f>
        <v/>
      </c>
      <c r="H209" s="26">
        <f>IF($D209="","",IF(OR(NOT(ISNUMBER($F209)),NOT(ISNUMBER($G209))),0,MAX(0,MIN($G209,EOMONTH(출력_요약!$B$3,0))-MAX($F209,출력_요약!$B$3)+1)))</f>
        <v/>
      </c>
      <c r="I209" s="26">
        <f>IF($D209="","",TRIM(INDEX(입력_구리근무자명단!$A$1:$GZ$303,$A209,$G$2+5)&amp;""))</f>
        <v/>
      </c>
      <c r="J209" s="26">
        <f>IF($D209="","",IF(ISNUMBER(SEARCH("구리독자",$I209)),"구리독자",""))</f>
        <v/>
      </c>
      <c r="K209" s="29">
        <f>IF($D209="","",IF(COUNTIFS(입력_전공의명단!$C$2:$C$401,$D209,입력_전공의명단!$F$2:$F$401,IF(OR($C209="인턴",ISNUMBER(SEARCH("수련교육부",$B209))),"인턴",$B209))=1,MATCH($D209&amp;"|"&amp;IF(OR($C209="인턴",ISNUMBER(SEARCH("수련교육부",$B209))),"인턴",$B209),입력_전공의명단!$AP$2:$AP$401,0),IF(AND(COUNTIFS(입력_전공의명단!$C$2:$C$401,$D209,입력_전공의명단!$F$2:$F$401,IF(OR($C209="인턴",ISNUMBER(SEARCH("수련교육부",$B209))),"인턴",$B209))=0,COUNTIF(입력_전공의명단!$C$2:$C$401,$D209)=1),MATCH($D209,입력_전공의명단!$C$2:$C$401,0),"")))</f>
        <v/>
      </c>
      <c r="L209" s="26">
        <f>IF($D209="","",IF($K209&lt;&gt;"",IF(COUNTIFS(입력_전공의명단!$C$2:$C$401,$D209,입력_전공의명단!$F$2:$F$401,IF(OR($C209="인턴",ISNUMBER(SEARCH("수련교육부",$B209))),"인턴",$B209))=1,"명단 일치","명단 일치(이름만, 과 다름)"),IF(COUNTIF(입력_전공의명단!$C$2:$C$401,$D209)=0,IF(COUNTIF(입력_기본자료!$C$2:$C$1001,$D209)&gt;0,"명단에 없음(기본자료에는 있음)","명단에 없음"),"동명이인 확인")))</f>
        <v/>
      </c>
      <c r="N209" s="8" t="n">
        <v>204</v>
      </c>
      <c r="O209" s="8">
        <f>IF(ISNUMBER(SEARCH("근무예정자",(INDEX(입력_구리근무자명단!$A$3:$GZ$3,1,204)&amp;""))),IFERROR(VALUE(LEFT((INDEX(입력_구리근무자명단!$A$3:$GZ$3,1,204)&amp;""),4))*100+VALUE(MID((INDEX(입력_구리근무자명단!$A$3:$GZ$3,1,204)&amp;""),6,MIN(FIND("월",(INDEX(입력_구리근무자명단!$A$3:$GZ$3,1,204)&amp;"")&amp;"월"),FIND(CHAR(10),(INDEX(입력_구리근무자명단!$A$3:$GZ$3,1,204)&amp;"")&amp;CHAR(10)),FIND(" ",(INDEX(입력_구리근무자명단!$A$3:$GZ$3,1,204)&amp;"")&amp;" "))-6)),""),"")</f>
        <v/>
      </c>
    </row>
    <row r="210">
      <c r="A210" s="29" t="n">
        <v>208</v>
      </c>
      <c r="B210" s="26">
        <f>IF(TRIM(INDEX(입력_구리근무자명단!$A$1:$GZ$303,$A210,1)&amp;"")&lt;&gt;"",TRIM(INDEX(입력_구리근무자명단!$A$1:$GZ$303,$A210,1)&amp;""),B209)</f>
        <v/>
      </c>
      <c r="C210" s="26">
        <f>IF(INDEX(입력_구리근무자명단!$A$1:$GZ$303,$A210,2)="","",INDEX(입력_구리근무자명단!$A$1:$GZ$303,$A210,2))</f>
        <v/>
      </c>
      <c r="D210" s="26">
        <f>IF($G$2="","",TRIM(IF($I$2="확정",INDEX(입력_구리근무자명단!$A$1:$GZ$303,$A210,$G$2+1)&amp;"",INDEX(입력_구리근무자명단!$A$1:$GZ$303,$A210,$G$2+0)&amp;"")))</f>
        <v/>
      </c>
      <c r="E210" s="26">
        <f>IF($D210="","",$I$2)</f>
        <v/>
      </c>
      <c r="F210" s="28">
        <f>IF($D210="","",IF(INDEX(입력_구리근무자명단!$A$1:$GZ$303,$A210,$G$2+2)="",출력_요약!$B$3,IF(ISNUMBER(INDEX(입력_구리근무자명단!$A$1:$GZ$303,$A210,$G$2+2)),INDEX(입력_구리근무자명단!$A$1:$GZ$303,$A210,$G$2+2),IFERROR(DATE(VALUE(LEFT(INDEX(입력_구리근무자명단!$A$1:$GZ$303,$A210,$G$2+2),4)),VALUE(MID(INDEX(입력_구리근무자명단!$A$1:$GZ$303,$A210,$G$2+2),6,2)),VALUE(MID(INDEX(입력_구리근무자명단!$A$1:$GZ$303,$A210,$G$2+2),9,2))),IFERROR(DATEVALUE(SUBSTITUTE(TRIM(INDEX(입력_구리근무자명단!$A$1:$GZ$303,$A210,$G$2+2)),".","-")),"⚠"&amp;INDEX(입력_구리근무자명단!$A$1:$GZ$303,$A210,$G$2+2))))))</f>
        <v/>
      </c>
      <c r="G210" s="28">
        <f>IF($D210="","",IF(INDEX(입력_구리근무자명단!$A$1:$GZ$303,$A210,$G$2+3)="",EOMONTH(출력_요약!$B$3,0),IF(ISNUMBER(INDEX(입력_구리근무자명단!$A$1:$GZ$303,$A210,$G$2+3)),INDEX(입력_구리근무자명단!$A$1:$GZ$303,$A210,$G$2+3),IFERROR(DATE(VALUE(LEFT(INDEX(입력_구리근무자명단!$A$1:$GZ$303,$A210,$G$2+3),4)),VALUE(MID(INDEX(입력_구리근무자명단!$A$1:$GZ$303,$A210,$G$2+3),6,2)),VALUE(MID(INDEX(입력_구리근무자명단!$A$1:$GZ$303,$A210,$G$2+3),9,2))),IFERROR(DATEVALUE(SUBSTITUTE(TRIM(INDEX(입력_구리근무자명단!$A$1:$GZ$303,$A210,$G$2+3)),".","-")),"⚠"&amp;INDEX(입력_구리근무자명단!$A$1:$GZ$303,$A210,$G$2+3))))))</f>
        <v/>
      </c>
      <c r="H210" s="26">
        <f>IF($D210="","",IF(OR(NOT(ISNUMBER($F210)),NOT(ISNUMBER($G210))),0,MAX(0,MIN($G210,EOMONTH(출력_요약!$B$3,0))-MAX($F210,출력_요약!$B$3)+1)))</f>
        <v/>
      </c>
      <c r="I210" s="26">
        <f>IF($D210="","",TRIM(INDEX(입력_구리근무자명단!$A$1:$GZ$303,$A210,$G$2+5)&amp;""))</f>
        <v/>
      </c>
      <c r="J210" s="26">
        <f>IF($D210="","",IF(ISNUMBER(SEARCH("구리독자",$I210)),"구리독자",""))</f>
        <v/>
      </c>
      <c r="K210" s="29">
        <f>IF($D210="","",IF(COUNTIFS(입력_전공의명단!$C$2:$C$401,$D210,입력_전공의명단!$F$2:$F$401,IF(OR($C210="인턴",ISNUMBER(SEARCH("수련교육부",$B210))),"인턴",$B210))=1,MATCH($D210&amp;"|"&amp;IF(OR($C210="인턴",ISNUMBER(SEARCH("수련교육부",$B210))),"인턴",$B210),입력_전공의명단!$AP$2:$AP$401,0),IF(AND(COUNTIFS(입력_전공의명단!$C$2:$C$401,$D210,입력_전공의명단!$F$2:$F$401,IF(OR($C210="인턴",ISNUMBER(SEARCH("수련교육부",$B210))),"인턴",$B210))=0,COUNTIF(입력_전공의명단!$C$2:$C$401,$D210)=1),MATCH($D210,입력_전공의명단!$C$2:$C$401,0),"")))</f>
        <v/>
      </c>
      <c r="L210" s="26">
        <f>IF($D210="","",IF($K210&lt;&gt;"",IF(COUNTIFS(입력_전공의명단!$C$2:$C$401,$D210,입력_전공의명단!$F$2:$F$401,IF(OR($C210="인턴",ISNUMBER(SEARCH("수련교육부",$B210))),"인턴",$B210))=1,"명단 일치","명단 일치(이름만, 과 다름)"),IF(COUNTIF(입력_전공의명단!$C$2:$C$401,$D210)=0,IF(COUNTIF(입력_기본자료!$C$2:$C$1001,$D210)&gt;0,"명단에 없음(기본자료에는 있음)","명단에 없음"),"동명이인 확인")))</f>
        <v/>
      </c>
      <c r="N210" s="8" t="n">
        <v>205</v>
      </c>
      <c r="O210" s="8">
        <f>IF(ISNUMBER(SEARCH("근무예정자",(INDEX(입력_구리근무자명단!$A$3:$GZ$3,1,205)&amp;""))),IFERROR(VALUE(LEFT((INDEX(입력_구리근무자명단!$A$3:$GZ$3,1,205)&amp;""),4))*100+VALUE(MID((INDEX(입력_구리근무자명단!$A$3:$GZ$3,1,205)&amp;""),6,MIN(FIND("월",(INDEX(입력_구리근무자명단!$A$3:$GZ$3,1,205)&amp;"")&amp;"월"),FIND(CHAR(10),(INDEX(입력_구리근무자명단!$A$3:$GZ$3,1,205)&amp;"")&amp;CHAR(10)),FIND(" ",(INDEX(입력_구리근무자명단!$A$3:$GZ$3,1,205)&amp;"")&amp;" "))-6)),""),"")</f>
        <v/>
      </c>
    </row>
    <row r="211">
      <c r="A211" s="29" t="n">
        <v>209</v>
      </c>
      <c r="B211" s="26">
        <f>IF(TRIM(INDEX(입력_구리근무자명단!$A$1:$GZ$303,$A211,1)&amp;"")&lt;&gt;"",TRIM(INDEX(입력_구리근무자명단!$A$1:$GZ$303,$A211,1)&amp;""),B210)</f>
        <v/>
      </c>
      <c r="C211" s="26">
        <f>IF(INDEX(입력_구리근무자명단!$A$1:$GZ$303,$A211,2)="","",INDEX(입력_구리근무자명단!$A$1:$GZ$303,$A211,2))</f>
        <v/>
      </c>
      <c r="D211" s="26">
        <f>IF($G$2="","",TRIM(IF($I$2="확정",INDEX(입력_구리근무자명단!$A$1:$GZ$303,$A211,$G$2+1)&amp;"",INDEX(입력_구리근무자명단!$A$1:$GZ$303,$A211,$G$2+0)&amp;"")))</f>
        <v/>
      </c>
      <c r="E211" s="26">
        <f>IF($D211="","",$I$2)</f>
        <v/>
      </c>
      <c r="F211" s="28">
        <f>IF($D211="","",IF(INDEX(입력_구리근무자명단!$A$1:$GZ$303,$A211,$G$2+2)="",출력_요약!$B$3,IF(ISNUMBER(INDEX(입력_구리근무자명단!$A$1:$GZ$303,$A211,$G$2+2)),INDEX(입력_구리근무자명단!$A$1:$GZ$303,$A211,$G$2+2),IFERROR(DATE(VALUE(LEFT(INDEX(입력_구리근무자명단!$A$1:$GZ$303,$A211,$G$2+2),4)),VALUE(MID(INDEX(입력_구리근무자명단!$A$1:$GZ$303,$A211,$G$2+2),6,2)),VALUE(MID(INDEX(입력_구리근무자명단!$A$1:$GZ$303,$A211,$G$2+2),9,2))),IFERROR(DATEVALUE(SUBSTITUTE(TRIM(INDEX(입력_구리근무자명단!$A$1:$GZ$303,$A211,$G$2+2)),".","-")),"⚠"&amp;INDEX(입력_구리근무자명단!$A$1:$GZ$303,$A211,$G$2+2))))))</f>
        <v/>
      </c>
      <c r="G211" s="28">
        <f>IF($D211="","",IF(INDEX(입력_구리근무자명단!$A$1:$GZ$303,$A211,$G$2+3)="",EOMONTH(출력_요약!$B$3,0),IF(ISNUMBER(INDEX(입력_구리근무자명단!$A$1:$GZ$303,$A211,$G$2+3)),INDEX(입력_구리근무자명단!$A$1:$GZ$303,$A211,$G$2+3),IFERROR(DATE(VALUE(LEFT(INDEX(입력_구리근무자명단!$A$1:$GZ$303,$A211,$G$2+3),4)),VALUE(MID(INDEX(입력_구리근무자명단!$A$1:$GZ$303,$A211,$G$2+3),6,2)),VALUE(MID(INDEX(입력_구리근무자명단!$A$1:$GZ$303,$A211,$G$2+3),9,2))),IFERROR(DATEVALUE(SUBSTITUTE(TRIM(INDEX(입력_구리근무자명단!$A$1:$GZ$303,$A211,$G$2+3)),".","-")),"⚠"&amp;INDEX(입력_구리근무자명단!$A$1:$GZ$303,$A211,$G$2+3))))))</f>
        <v/>
      </c>
      <c r="H211" s="26">
        <f>IF($D211="","",IF(OR(NOT(ISNUMBER($F211)),NOT(ISNUMBER($G211))),0,MAX(0,MIN($G211,EOMONTH(출력_요약!$B$3,0))-MAX($F211,출력_요약!$B$3)+1)))</f>
        <v/>
      </c>
      <c r="I211" s="26">
        <f>IF($D211="","",TRIM(INDEX(입력_구리근무자명단!$A$1:$GZ$303,$A211,$G$2+5)&amp;""))</f>
        <v/>
      </c>
      <c r="J211" s="26">
        <f>IF($D211="","",IF(ISNUMBER(SEARCH("구리독자",$I211)),"구리독자",""))</f>
        <v/>
      </c>
      <c r="K211" s="29">
        <f>IF($D211="","",IF(COUNTIFS(입력_전공의명단!$C$2:$C$401,$D211,입력_전공의명단!$F$2:$F$401,IF(OR($C211="인턴",ISNUMBER(SEARCH("수련교육부",$B211))),"인턴",$B211))=1,MATCH($D211&amp;"|"&amp;IF(OR($C211="인턴",ISNUMBER(SEARCH("수련교육부",$B211))),"인턴",$B211),입력_전공의명단!$AP$2:$AP$401,0),IF(AND(COUNTIFS(입력_전공의명단!$C$2:$C$401,$D211,입력_전공의명단!$F$2:$F$401,IF(OR($C211="인턴",ISNUMBER(SEARCH("수련교육부",$B211))),"인턴",$B211))=0,COUNTIF(입력_전공의명단!$C$2:$C$401,$D211)=1),MATCH($D211,입력_전공의명단!$C$2:$C$401,0),"")))</f>
        <v/>
      </c>
      <c r="L211" s="26">
        <f>IF($D211="","",IF($K211&lt;&gt;"",IF(COUNTIFS(입력_전공의명단!$C$2:$C$401,$D211,입력_전공의명단!$F$2:$F$401,IF(OR($C211="인턴",ISNUMBER(SEARCH("수련교육부",$B211))),"인턴",$B211))=1,"명단 일치","명단 일치(이름만, 과 다름)"),IF(COUNTIF(입력_전공의명단!$C$2:$C$401,$D211)=0,IF(COUNTIF(입력_기본자료!$C$2:$C$1001,$D211)&gt;0,"명단에 없음(기본자료에는 있음)","명단에 없음"),"동명이인 확인")))</f>
        <v/>
      </c>
      <c r="N211" s="8" t="n">
        <v>206</v>
      </c>
      <c r="O211" s="8">
        <f>IF(ISNUMBER(SEARCH("근무예정자",(INDEX(입력_구리근무자명단!$A$3:$GZ$3,1,206)&amp;""))),IFERROR(VALUE(LEFT((INDEX(입력_구리근무자명단!$A$3:$GZ$3,1,206)&amp;""),4))*100+VALUE(MID((INDEX(입력_구리근무자명단!$A$3:$GZ$3,1,206)&amp;""),6,MIN(FIND("월",(INDEX(입력_구리근무자명단!$A$3:$GZ$3,1,206)&amp;"")&amp;"월"),FIND(CHAR(10),(INDEX(입력_구리근무자명단!$A$3:$GZ$3,1,206)&amp;"")&amp;CHAR(10)),FIND(" ",(INDEX(입력_구리근무자명단!$A$3:$GZ$3,1,206)&amp;"")&amp;" "))-6)),""),"")</f>
        <v/>
      </c>
    </row>
    <row r="212">
      <c r="A212" s="29" t="n">
        <v>210</v>
      </c>
      <c r="B212" s="26">
        <f>IF(TRIM(INDEX(입력_구리근무자명단!$A$1:$GZ$303,$A212,1)&amp;"")&lt;&gt;"",TRIM(INDEX(입력_구리근무자명단!$A$1:$GZ$303,$A212,1)&amp;""),B211)</f>
        <v/>
      </c>
      <c r="C212" s="26">
        <f>IF(INDEX(입력_구리근무자명단!$A$1:$GZ$303,$A212,2)="","",INDEX(입력_구리근무자명단!$A$1:$GZ$303,$A212,2))</f>
        <v/>
      </c>
      <c r="D212" s="26">
        <f>IF($G$2="","",TRIM(IF($I$2="확정",INDEX(입력_구리근무자명단!$A$1:$GZ$303,$A212,$G$2+1)&amp;"",INDEX(입력_구리근무자명단!$A$1:$GZ$303,$A212,$G$2+0)&amp;"")))</f>
        <v/>
      </c>
      <c r="E212" s="26">
        <f>IF($D212="","",$I$2)</f>
        <v/>
      </c>
      <c r="F212" s="28">
        <f>IF($D212="","",IF(INDEX(입력_구리근무자명단!$A$1:$GZ$303,$A212,$G$2+2)="",출력_요약!$B$3,IF(ISNUMBER(INDEX(입력_구리근무자명단!$A$1:$GZ$303,$A212,$G$2+2)),INDEX(입력_구리근무자명단!$A$1:$GZ$303,$A212,$G$2+2),IFERROR(DATE(VALUE(LEFT(INDEX(입력_구리근무자명단!$A$1:$GZ$303,$A212,$G$2+2),4)),VALUE(MID(INDEX(입력_구리근무자명단!$A$1:$GZ$303,$A212,$G$2+2),6,2)),VALUE(MID(INDEX(입력_구리근무자명단!$A$1:$GZ$303,$A212,$G$2+2),9,2))),IFERROR(DATEVALUE(SUBSTITUTE(TRIM(INDEX(입력_구리근무자명단!$A$1:$GZ$303,$A212,$G$2+2)),".","-")),"⚠"&amp;INDEX(입력_구리근무자명단!$A$1:$GZ$303,$A212,$G$2+2))))))</f>
        <v/>
      </c>
      <c r="G212" s="28">
        <f>IF($D212="","",IF(INDEX(입력_구리근무자명단!$A$1:$GZ$303,$A212,$G$2+3)="",EOMONTH(출력_요약!$B$3,0),IF(ISNUMBER(INDEX(입력_구리근무자명단!$A$1:$GZ$303,$A212,$G$2+3)),INDEX(입력_구리근무자명단!$A$1:$GZ$303,$A212,$G$2+3),IFERROR(DATE(VALUE(LEFT(INDEX(입력_구리근무자명단!$A$1:$GZ$303,$A212,$G$2+3),4)),VALUE(MID(INDEX(입력_구리근무자명단!$A$1:$GZ$303,$A212,$G$2+3),6,2)),VALUE(MID(INDEX(입력_구리근무자명단!$A$1:$GZ$303,$A212,$G$2+3),9,2))),IFERROR(DATEVALUE(SUBSTITUTE(TRIM(INDEX(입력_구리근무자명단!$A$1:$GZ$303,$A212,$G$2+3)),".","-")),"⚠"&amp;INDEX(입력_구리근무자명단!$A$1:$GZ$303,$A212,$G$2+3))))))</f>
        <v/>
      </c>
      <c r="H212" s="26">
        <f>IF($D212="","",IF(OR(NOT(ISNUMBER($F212)),NOT(ISNUMBER($G212))),0,MAX(0,MIN($G212,EOMONTH(출력_요약!$B$3,0))-MAX($F212,출력_요약!$B$3)+1)))</f>
        <v/>
      </c>
      <c r="I212" s="26">
        <f>IF($D212="","",TRIM(INDEX(입력_구리근무자명단!$A$1:$GZ$303,$A212,$G$2+5)&amp;""))</f>
        <v/>
      </c>
      <c r="J212" s="26">
        <f>IF($D212="","",IF(ISNUMBER(SEARCH("구리독자",$I212)),"구리독자",""))</f>
        <v/>
      </c>
      <c r="K212" s="29">
        <f>IF($D212="","",IF(COUNTIFS(입력_전공의명단!$C$2:$C$401,$D212,입력_전공의명단!$F$2:$F$401,IF(OR($C212="인턴",ISNUMBER(SEARCH("수련교육부",$B212))),"인턴",$B212))=1,MATCH($D212&amp;"|"&amp;IF(OR($C212="인턴",ISNUMBER(SEARCH("수련교육부",$B212))),"인턴",$B212),입력_전공의명단!$AP$2:$AP$401,0),IF(AND(COUNTIFS(입력_전공의명단!$C$2:$C$401,$D212,입력_전공의명단!$F$2:$F$401,IF(OR($C212="인턴",ISNUMBER(SEARCH("수련교육부",$B212))),"인턴",$B212))=0,COUNTIF(입력_전공의명단!$C$2:$C$401,$D212)=1),MATCH($D212,입력_전공의명단!$C$2:$C$401,0),"")))</f>
        <v/>
      </c>
      <c r="L212" s="26">
        <f>IF($D212="","",IF($K212&lt;&gt;"",IF(COUNTIFS(입력_전공의명단!$C$2:$C$401,$D212,입력_전공의명단!$F$2:$F$401,IF(OR($C212="인턴",ISNUMBER(SEARCH("수련교육부",$B212))),"인턴",$B212))=1,"명단 일치","명단 일치(이름만, 과 다름)"),IF(COUNTIF(입력_전공의명단!$C$2:$C$401,$D212)=0,IF(COUNTIF(입력_기본자료!$C$2:$C$1001,$D212)&gt;0,"명단에 없음(기본자료에는 있음)","명단에 없음"),"동명이인 확인")))</f>
        <v/>
      </c>
      <c r="N212" s="8" t="n">
        <v>207</v>
      </c>
      <c r="O212" s="8">
        <f>IF(ISNUMBER(SEARCH("근무예정자",(INDEX(입력_구리근무자명단!$A$3:$GZ$3,1,207)&amp;""))),IFERROR(VALUE(LEFT((INDEX(입력_구리근무자명단!$A$3:$GZ$3,1,207)&amp;""),4))*100+VALUE(MID((INDEX(입력_구리근무자명단!$A$3:$GZ$3,1,207)&amp;""),6,MIN(FIND("월",(INDEX(입력_구리근무자명단!$A$3:$GZ$3,1,207)&amp;"")&amp;"월"),FIND(CHAR(10),(INDEX(입력_구리근무자명단!$A$3:$GZ$3,1,207)&amp;"")&amp;CHAR(10)),FIND(" ",(INDEX(입력_구리근무자명단!$A$3:$GZ$3,1,207)&amp;"")&amp;" "))-6)),""),"")</f>
        <v/>
      </c>
    </row>
    <row r="213">
      <c r="A213" s="29" t="n">
        <v>211</v>
      </c>
      <c r="B213" s="26">
        <f>IF(TRIM(INDEX(입력_구리근무자명단!$A$1:$GZ$303,$A213,1)&amp;"")&lt;&gt;"",TRIM(INDEX(입력_구리근무자명단!$A$1:$GZ$303,$A213,1)&amp;""),B212)</f>
        <v/>
      </c>
      <c r="C213" s="26">
        <f>IF(INDEX(입력_구리근무자명단!$A$1:$GZ$303,$A213,2)="","",INDEX(입력_구리근무자명단!$A$1:$GZ$303,$A213,2))</f>
        <v/>
      </c>
      <c r="D213" s="26">
        <f>IF($G$2="","",TRIM(IF($I$2="확정",INDEX(입력_구리근무자명단!$A$1:$GZ$303,$A213,$G$2+1)&amp;"",INDEX(입력_구리근무자명단!$A$1:$GZ$303,$A213,$G$2+0)&amp;"")))</f>
        <v/>
      </c>
      <c r="E213" s="26">
        <f>IF($D213="","",$I$2)</f>
        <v/>
      </c>
      <c r="F213" s="28">
        <f>IF($D213="","",IF(INDEX(입력_구리근무자명단!$A$1:$GZ$303,$A213,$G$2+2)="",출력_요약!$B$3,IF(ISNUMBER(INDEX(입력_구리근무자명단!$A$1:$GZ$303,$A213,$G$2+2)),INDEX(입력_구리근무자명단!$A$1:$GZ$303,$A213,$G$2+2),IFERROR(DATE(VALUE(LEFT(INDEX(입력_구리근무자명단!$A$1:$GZ$303,$A213,$G$2+2),4)),VALUE(MID(INDEX(입력_구리근무자명단!$A$1:$GZ$303,$A213,$G$2+2),6,2)),VALUE(MID(INDEX(입력_구리근무자명단!$A$1:$GZ$303,$A213,$G$2+2),9,2))),IFERROR(DATEVALUE(SUBSTITUTE(TRIM(INDEX(입력_구리근무자명단!$A$1:$GZ$303,$A213,$G$2+2)),".","-")),"⚠"&amp;INDEX(입력_구리근무자명단!$A$1:$GZ$303,$A213,$G$2+2))))))</f>
        <v/>
      </c>
      <c r="G213" s="28">
        <f>IF($D213="","",IF(INDEX(입력_구리근무자명단!$A$1:$GZ$303,$A213,$G$2+3)="",EOMONTH(출력_요약!$B$3,0),IF(ISNUMBER(INDEX(입력_구리근무자명단!$A$1:$GZ$303,$A213,$G$2+3)),INDEX(입력_구리근무자명단!$A$1:$GZ$303,$A213,$G$2+3),IFERROR(DATE(VALUE(LEFT(INDEX(입력_구리근무자명단!$A$1:$GZ$303,$A213,$G$2+3),4)),VALUE(MID(INDEX(입력_구리근무자명단!$A$1:$GZ$303,$A213,$G$2+3),6,2)),VALUE(MID(INDEX(입력_구리근무자명단!$A$1:$GZ$303,$A213,$G$2+3),9,2))),IFERROR(DATEVALUE(SUBSTITUTE(TRIM(INDEX(입력_구리근무자명단!$A$1:$GZ$303,$A213,$G$2+3)),".","-")),"⚠"&amp;INDEX(입력_구리근무자명단!$A$1:$GZ$303,$A213,$G$2+3))))))</f>
        <v/>
      </c>
      <c r="H213" s="26">
        <f>IF($D213="","",IF(OR(NOT(ISNUMBER($F213)),NOT(ISNUMBER($G213))),0,MAX(0,MIN($G213,EOMONTH(출력_요약!$B$3,0))-MAX($F213,출력_요약!$B$3)+1)))</f>
        <v/>
      </c>
      <c r="I213" s="26">
        <f>IF($D213="","",TRIM(INDEX(입력_구리근무자명단!$A$1:$GZ$303,$A213,$G$2+5)&amp;""))</f>
        <v/>
      </c>
      <c r="J213" s="26">
        <f>IF($D213="","",IF(ISNUMBER(SEARCH("구리독자",$I213)),"구리독자",""))</f>
        <v/>
      </c>
      <c r="K213" s="29">
        <f>IF($D213="","",IF(COUNTIFS(입력_전공의명단!$C$2:$C$401,$D213,입력_전공의명단!$F$2:$F$401,IF(OR($C213="인턴",ISNUMBER(SEARCH("수련교육부",$B213))),"인턴",$B213))=1,MATCH($D213&amp;"|"&amp;IF(OR($C213="인턴",ISNUMBER(SEARCH("수련교육부",$B213))),"인턴",$B213),입력_전공의명단!$AP$2:$AP$401,0),IF(AND(COUNTIFS(입력_전공의명단!$C$2:$C$401,$D213,입력_전공의명단!$F$2:$F$401,IF(OR($C213="인턴",ISNUMBER(SEARCH("수련교육부",$B213))),"인턴",$B213))=0,COUNTIF(입력_전공의명단!$C$2:$C$401,$D213)=1),MATCH($D213,입력_전공의명단!$C$2:$C$401,0),"")))</f>
        <v/>
      </c>
      <c r="L213" s="26">
        <f>IF($D213="","",IF($K213&lt;&gt;"",IF(COUNTIFS(입력_전공의명단!$C$2:$C$401,$D213,입력_전공의명단!$F$2:$F$401,IF(OR($C213="인턴",ISNUMBER(SEARCH("수련교육부",$B213))),"인턴",$B213))=1,"명단 일치","명단 일치(이름만, 과 다름)"),IF(COUNTIF(입력_전공의명단!$C$2:$C$401,$D213)=0,IF(COUNTIF(입력_기본자료!$C$2:$C$1001,$D213)&gt;0,"명단에 없음(기본자료에는 있음)","명단에 없음"),"동명이인 확인")))</f>
        <v/>
      </c>
      <c r="N213" s="8" t="n">
        <v>208</v>
      </c>
      <c r="O213" s="8">
        <f>IF(ISNUMBER(SEARCH("근무예정자",(INDEX(입력_구리근무자명단!$A$3:$GZ$3,1,208)&amp;""))),IFERROR(VALUE(LEFT((INDEX(입력_구리근무자명단!$A$3:$GZ$3,1,208)&amp;""),4))*100+VALUE(MID((INDEX(입력_구리근무자명단!$A$3:$GZ$3,1,208)&amp;""),6,MIN(FIND("월",(INDEX(입력_구리근무자명단!$A$3:$GZ$3,1,208)&amp;"")&amp;"월"),FIND(CHAR(10),(INDEX(입력_구리근무자명단!$A$3:$GZ$3,1,208)&amp;"")&amp;CHAR(10)),FIND(" ",(INDEX(입력_구리근무자명단!$A$3:$GZ$3,1,208)&amp;"")&amp;" "))-6)),""),"")</f>
        <v/>
      </c>
    </row>
    <row r="214">
      <c r="A214" s="29" t="n">
        <v>212</v>
      </c>
      <c r="B214" s="26">
        <f>IF(TRIM(INDEX(입력_구리근무자명단!$A$1:$GZ$303,$A214,1)&amp;"")&lt;&gt;"",TRIM(INDEX(입력_구리근무자명단!$A$1:$GZ$303,$A214,1)&amp;""),B213)</f>
        <v/>
      </c>
      <c r="C214" s="26">
        <f>IF(INDEX(입력_구리근무자명단!$A$1:$GZ$303,$A214,2)="","",INDEX(입력_구리근무자명단!$A$1:$GZ$303,$A214,2))</f>
        <v/>
      </c>
      <c r="D214" s="26">
        <f>IF($G$2="","",TRIM(IF($I$2="확정",INDEX(입력_구리근무자명단!$A$1:$GZ$303,$A214,$G$2+1)&amp;"",INDEX(입력_구리근무자명단!$A$1:$GZ$303,$A214,$G$2+0)&amp;"")))</f>
        <v/>
      </c>
      <c r="E214" s="26">
        <f>IF($D214="","",$I$2)</f>
        <v/>
      </c>
      <c r="F214" s="28">
        <f>IF($D214="","",IF(INDEX(입력_구리근무자명단!$A$1:$GZ$303,$A214,$G$2+2)="",출력_요약!$B$3,IF(ISNUMBER(INDEX(입력_구리근무자명단!$A$1:$GZ$303,$A214,$G$2+2)),INDEX(입력_구리근무자명단!$A$1:$GZ$303,$A214,$G$2+2),IFERROR(DATE(VALUE(LEFT(INDEX(입력_구리근무자명단!$A$1:$GZ$303,$A214,$G$2+2),4)),VALUE(MID(INDEX(입력_구리근무자명단!$A$1:$GZ$303,$A214,$G$2+2),6,2)),VALUE(MID(INDEX(입력_구리근무자명단!$A$1:$GZ$303,$A214,$G$2+2),9,2))),IFERROR(DATEVALUE(SUBSTITUTE(TRIM(INDEX(입력_구리근무자명단!$A$1:$GZ$303,$A214,$G$2+2)),".","-")),"⚠"&amp;INDEX(입력_구리근무자명단!$A$1:$GZ$303,$A214,$G$2+2))))))</f>
        <v/>
      </c>
      <c r="G214" s="28">
        <f>IF($D214="","",IF(INDEX(입력_구리근무자명단!$A$1:$GZ$303,$A214,$G$2+3)="",EOMONTH(출력_요약!$B$3,0),IF(ISNUMBER(INDEX(입력_구리근무자명단!$A$1:$GZ$303,$A214,$G$2+3)),INDEX(입력_구리근무자명단!$A$1:$GZ$303,$A214,$G$2+3),IFERROR(DATE(VALUE(LEFT(INDEX(입력_구리근무자명단!$A$1:$GZ$303,$A214,$G$2+3),4)),VALUE(MID(INDEX(입력_구리근무자명단!$A$1:$GZ$303,$A214,$G$2+3),6,2)),VALUE(MID(INDEX(입력_구리근무자명단!$A$1:$GZ$303,$A214,$G$2+3),9,2))),IFERROR(DATEVALUE(SUBSTITUTE(TRIM(INDEX(입력_구리근무자명단!$A$1:$GZ$303,$A214,$G$2+3)),".","-")),"⚠"&amp;INDEX(입력_구리근무자명단!$A$1:$GZ$303,$A214,$G$2+3))))))</f>
        <v/>
      </c>
      <c r="H214" s="26">
        <f>IF($D214="","",IF(OR(NOT(ISNUMBER($F214)),NOT(ISNUMBER($G214))),0,MAX(0,MIN($G214,EOMONTH(출력_요약!$B$3,0))-MAX($F214,출력_요약!$B$3)+1)))</f>
        <v/>
      </c>
      <c r="I214" s="26">
        <f>IF($D214="","",TRIM(INDEX(입력_구리근무자명단!$A$1:$GZ$303,$A214,$G$2+5)&amp;""))</f>
        <v/>
      </c>
      <c r="J214" s="26">
        <f>IF($D214="","",IF(ISNUMBER(SEARCH("구리독자",$I214)),"구리독자",""))</f>
        <v/>
      </c>
      <c r="K214" s="29">
        <f>IF($D214="","",IF(COUNTIFS(입력_전공의명단!$C$2:$C$401,$D214,입력_전공의명단!$F$2:$F$401,IF(OR($C214="인턴",ISNUMBER(SEARCH("수련교육부",$B214))),"인턴",$B214))=1,MATCH($D214&amp;"|"&amp;IF(OR($C214="인턴",ISNUMBER(SEARCH("수련교육부",$B214))),"인턴",$B214),입력_전공의명단!$AP$2:$AP$401,0),IF(AND(COUNTIFS(입력_전공의명단!$C$2:$C$401,$D214,입력_전공의명단!$F$2:$F$401,IF(OR($C214="인턴",ISNUMBER(SEARCH("수련교육부",$B214))),"인턴",$B214))=0,COUNTIF(입력_전공의명단!$C$2:$C$401,$D214)=1),MATCH($D214,입력_전공의명단!$C$2:$C$401,0),"")))</f>
        <v/>
      </c>
      <c r="L214" s="26">
        <f>IF($D214="","",IF($K214&lt;&gt;"",IF(COUNTIFS(입력_전공의명단!$C$2:$C$401,$D214,입력_전공의명단!$F$2:$F$401,IF(OR($C214="인턴",ISNUMBER(SEARCH("수련교육부",$B214))),"인턴",$B214))=1,"명단 일치","명단 일치(이름만, 과 다름)"),IF(COUNTIF(입력_전공의명단!$C$2:$C$401,$D214)=0,IF(COUNTIF(입력_기본자료!$C$2:$C$1001,$D214)&gt;0,"명단에 없음(기본자료에는 있음)","명단에 없음"),"동명이인 확인")))</f>
        <v/>
      </c>
    </row>
    <row r="215">
      <c r="A215" s="29" t="n">
        <v>213</v>
      </c>
      <c r="B215" s="26">
        <f>IF(TRIM(INDEX(입력_구리근무자명단!$A$1:$GZ$303,$A215,1)&amp;"")&lt;&gt;"",TRIM(INDEX(입력_구리근무자명단!$A$1:$GZ$303,$A215,1)&amp;""),B214)</f>
        <v/>
      </c>
      <c r="C215" s="26">
        <f>IF(INDEX(입력_구리근무자명단!$A$1:$GZ$303,$A215,2)="","",INDEX(입력_구리근무자명단!$A$1:$GZ$303,$A215,2))</f>
        <v/>
      </c>
      <c r="D215" s="26">
        <f>IF($G$2="","",TRIM(IF($I$2="확정",INDEX(입력_구리근무자명단!$A$1:$GZ$303,$A215,$G$2+1)&amp;"",INDEX(입력_구리근무자명단!$A$1:$GZ$303,$A215,$G$2+0)&amp;"")))</f>
        <v/>
      </c>
      <c r="E215" s="26">
        <f>IF($D215="","",$I$2)</f>
        <v/>
      </c>
      <c r="F215" s="28">
        <f>IF($D215="","",IF(INDEX(입력_구리근무자명단!$A$1:$GZ$303,$A215,$G$2+2)="",출력_요약!$B$3,IF(ISNUMBER(INDEX(입력_구리근무자명단!$A$1:$GZ$303,$A215,$G$2+2)),INDEX(입력_구리근무자명단!$A$1:$GZ$303,$A215,$G$2+2),IFERROR(DATE(VALUE(LEFT(INDEX(입력_구리근무자명단!$A$1:$GZ$303,$A215,$G$2+2),4)),VALUE(MID(INDEX(입력_구리근무자명단!$A$1:$GZ$303,$A215,$G$2+2),6,2)),VALUE(MID(INDEX(입력_구리근무자명단!$A$1:$GZ$303,$A215,$G$2+2),9,2))),IFERROR(DATEVALUE(SUBSTITUTE(TRIM(INDEX(입력_구리근무자명단!$A$1:$GZ$303,$A215,$G$2+2)),".","-")),"⚠"&amp;INDEX(입력_구리근무자명단!$A$1:$GZ$303,$A215,$G$2+2))))))</f>
        <v/>
      </c>
      <c r="G215" s="28">
        <f>IF($D215="","",IF(INDEX(입력_구리근무자명단!$A$1:$GZ$303,$A215,$G$2+3)="",EOMONTH(출력_요약!$B$3,0),IF(ISNUMBER(INDEX(입력_구리근무자명단!$A$1:$GZ$303,$A215,$G$2+3)),INDEX(입력_구리근무자명단!$A$1:$GZ$303,$A215,$G$2+3),IFERROR(DATE(VALUE(LEFT(INDEX(입력_구리근무자명단!$A$1:$GZ$303,$A215,$G$2+3),4)),VALUE(MID(INDEX(입력_구리근무자명단!$A$1:$GZ$303,$A215,$G$2+3),6,2)),VALUE(MID(INDEX(입력_구리근무자명단!$A$1:$GZ$303,$A215,$G$2+3),9,2))),IFERROR(DATEVALUE(SUBSTITUTE(TRIM(INDEX(입력_구리근무자명단!$A$1:$GZ$303,$A215,$G$2+3)),".","-")),"⚠"&amp;INDEX(입력_구리근무자명단!$A$1:$GZ$303,$A215,$G$2+3))))))</f>
        <v/>
      </c>
      <c r="H215" s="26">
        <f>IF($D215="","",IF(OR(NOT(ISNUMBER($F215)),NOT(ISNUMBER($G215))),0,MAX(0,MIN($G215,EOMONTH(출력_요약!$B$3,0))-MAX($F215,출력_요약!$B$3)+1)))</f>
        <v/>
      </c>
      <c r="I215" s="26">
        <f>IF($D215="","",TRIM(INDEX(입력_구리근무자명단!$A$1:$GZ$303,$A215,$G$2+5)&amp;""))</f>
        <v/>
      </c>
      <c r="J215" s="26">
        <f>IF($D215="","",IF(ISNUMBER(SEARCH("구리독자",$I215)),"구리독자",""))</f>
        <v/>
      </c>
      <c r="K215" s="29">
        <f>IF($D215="","",IF(COUNTIFS(입력_전공의명단!$C$2:$C$401,$D215,입력_전공의명단!$F$2:$F$401,IF(OR($C215="인턴",ISNUMBER(SEARCH("수련교육부",$B215))),"인턴",$B215))=1,MATCH($D215&amp;"|"&amp;IF(OR($C215="인턴",ISNUMBER(SEARCH("수련교육부",$B215))),"인턴",$B215),입력_전공의명단!$AP$2:$AP$401,0),IF(AND(COUNTIFS(입력_전공의명단!$C$2:$C$401,$D215,입력_전공의명단!$F$2:$F$401,IF(OR($C215="인턴",ISNUMBER(SEARCH("수련교육부",$B215))),"인턴",$B215))=0,COUNTIF(입력_전공의명단!$C$2:$C$401,$D215)=1),MATCH($D215,입력_전공의명단!$C$2:$C$401,0),"")))</f>
        <v/>
      </c>
      <c r="L215" s="26">
        <f>IF($D215="","",IF($K215&lt;&gt;"",IF(COUNTIFS(입력_전공의명단!$C$2:$C$401,$D215,입력_전공의명단!$F$2:$F$401,IF(OR($C215="인턴",ISNUMBER(SEARCH("수련교육부",$B215))),"인턴",$B215))=1,"명단 일치","명단 일치(이름만, 과 다름)"),IF(COUNTIF(입력_전공의명단!$C$2:$C$401,$D215)=0,IF(COUNTIF(입력_기본자료!$C$2:$C$1001,$D215)&gt;0,"명단에 없음(기본자료에는 있음)","명단에 없음"),"동명이인 확인")))</f>
        <v/>
      </c>
    </row>
    <row r="216">
      <c r="A216" s="29" t="n">
        <v>214</v>
      </c>
      <c r="B216" s="26">
        <f>IF(TRIM(INDEX(입력_구리근무자명단!$A$1:$GZ$303,$A216,1)&amp;"")&lt;&gt;"",TRIM(INDEX(입력_구리근무자명단!$A$1:$GZ$303,$A216,1)&amp;""),B215)</f>
        <v/>
      </c>
      <c r="C216" s="26">
        <f>IF(INDEX(입력_구리근무자명단!$A$1:$GZ$303,$A216,2)="","",INDEX(입력_구리근무자명단!$A$1:$GZ$303,$A216,2))</f>
        <v/>
      </c>
      <c r="D216" s="26">
        <f>IF($G$2="","",TRIM(IF($I$2="확정",INDEX(입력_구리근무자명단!$A$1:$GZ$303,$A216,$G$2+1)&amp;"",INDEX(입력_구리근무자명단!$A$1:$GZ$303,$A216,$G$2+0)&amp;"")))</f>
        <v/>
      </c>
      <c r="E216" s="26">
        <f>IF($D216="","",$I$2)</f>
        <v/>
      </c>
      <c r="F216" s="28">
        <f>IF($D216="","",IF(INDEX(입력_구리근무자명단!$A$1:$GZ$303,$A216,$G$2+2)="",출력_요약!$B$3,IF(ISNUMBER(INDEX(입력_구리근무자명단!$A$1:$GZ$303,$A216,$G$2+2)),INDEX(입력_구리근무자명단!$A$1:$GZ$303,$A216,$G$2+2),IFERROR(DATE(VALUE(LEFT(INDEX(입력_구리근무자명단!$A$1:$GZ$303,$A216,$G$2+2),4)),VALUE(MID(INDEX(입력_구리근무자명단!$A$1:$GZ$303,$A216,$G$2+2),6,2)),VALUE(MID(INDEX(입력_구리근무자명단!$A$1:$GZ$303,$A216,$G$2+2),9,2))),IFERROR(DATEVALUE(SUBSTITUTE(TRIM(INDEX(입력_구리근무자명단!$A$1:$GZ$303,$A216,$G$2+2)),".","-")),"⚠"&amp;INDEX(입력_구리근무자명단!$A$1:$GZ$303,$A216,$G$2+2))))))</f>
        <v/>
      </c>
      <c r="G216" s="28">
        <f>IF($D216="","",IF(INDEX(입력_구리근무자명단!$A$1:$GZ$303,$A216,$G$2+3)="",EOMONTH(출력_요약!$B$3,0),IF(ISNUMBER(INDEX(입력_구리근무자명단!$A$1:$GZ$303,$A216,$G$2+3)),INDEX(입력_구리근무자명단!$A$1:$GZ$303,$A216,$G$2+3),IFERROR(DATE(VALUE(LEFT(INDEX(입력_구리근무자명단!$A$1:$GZ$303,$A216,$G$2+3),4)),VALUE(MID(INDEX(입력_구리근무자명단!$A$1:$GZ$303,$A216,$G$2+3),6,2)),VALUE(MID(INDEX(입력_구리근무자명단!$A$1:$GZ$303,$A216,$G$2+3),9,2))),IFERROR(DATEVALUE(SUBSTITUTE(TRIM(INDEX(입력_구리근무자명단!$A$1:$GZ$303,$A216,$G$2+3)),".","-")),"⚠"&amp;INDEX(입력_구리근무자명단!$A$1:$GZ$303,$A216,$G$2+3))))))</f>
        <v/>
      </c>
      <c r="H216" s="26">
        <f>IF($D216="","",IF(OR(NOT(ISNUMBER($F216)),NOT(ISNUMBER($G216))),0,MAX(0,MIN($G216,EOMONTH(출력_요약!$B$3,0))-MAX($F216,출력_요약!$B$3)+1)))</f>
        <v/>
      </c>
      <c r="I216" s="26">
        <f>IF($D216="","",TRIM(INDEX(입력_구리근무자명단!$A$1:$GZ$303,$A216,$G$2+5)&amp;""))</f>
        <v/>
      </c>
      <c r="J216" s="26">
        <f>IF($D216="","",IF(ISNUMBER(SEARCH("구리독자",$I216)),"구리독자",""))</f>
        <v/>
      </c>
      <c r="K216" s="29">
        <f>IF($D216="","",IF(COUNTIFS(입력_전공의명단!$C$2:$C$401,$D216,입력_전공의명단!$F$2:$F$401,IF(OR($C216="인턴",ISNUMBER(SEARCH("수련교육부",$B216))),"인턴",$B216))=1,MATCH($D216&amp;"|"&amp;IF(OR($C216="인턴",ISNUMBER(SEARCH("수련교육부",$B216))),"인턴",$B216),입력_전공의명단!$AP$2:$AP$401,0),IF(AND(COUNTIFS(입력_전공의명단!$C$2:$C$401,$D216,입력_전공의명단!$F$2:$F$401,IF(OR($C216="인턴",ISNUMBER(SEARCH("수련교육부",$B216))),"인턴",$B216))=0,COUNTIF(입력_전공의명단!$C$2:$C$401,$D216)=1),MATCH($D216,입력_전공의명단!$C$2:$C$401,0),"")))</f>
        <v/>
      </c>
      <c r="L216" s="26">
        <f>IF($D216="","",IF($K216&lt;&gt;"",IF(COUNTIFS(입력_전공의명단!$C$2:$C$401,$D216,입력_전공의명단!$F$2:$F$401,IF(OR($C216="인턴",ISNUMBER(SEARCH("수련교육부",$B216))),"인턴",$B216))=1,"명단 일치","명단 일치(이름만, 과 다름)"),IF(COUNTIF(입력_전공의명단!$C$2:$C$401,$D216)=0,IF(COUNTIF(입력_기본자료!$C$2:$C$1001,$D216)&gt;0,"명단에 없음(기본자료에는 있음)","명단에 없음"),"동명이인 확인")))</f>
        <v/>
      </c>
    </row>
    <row r="217">
      <c r="A217" s="29" t="n">
        <v>215</v>
      </c>
      <c r="B217" s="26">
        <f>IF(TRIM(INDEX(입력_구리근무자명단!$A$1:$GZ$303,$A217,1)&amp;"")&lt;&gt;"",TRIM(INDEX(입력_구리근무자명단!$A$1:$GZ$303,$A217,1)&amp;""),B216)</f>
        <v/>
      </c>
      <c r="C217" s="26">
        <f>IF(INDEX(입력_구리근무자명단!$A$1:$GZ$303,$A217,2)="","",INDEX(입력_구리근무자명단!$A$1:$GZ$303,$A217,2))</f>
        <v/>
      </c>
      <c r="D217" s="26">
        <f>IF($G$2="","",TRIM(IF($I$2="확정",INDEX(입력_구리근무자명단!$A$1:$GZ$303,$A217,$G$2+1)&amp;"",INDEX(입력_구리근무자명단!$A$1:$GZ$303,$A217,$G$2+0)&amp;"")))</f>
        <v/>
      </c>
      <c r="E217" s="26">
        <f>IF($D217="","",$I$2)</f>
        <v/>
      </c>
      <c r="F217" s="28">
        <f>IF($D217="","",IF(INDEX(입력_구리근무자명단!$A$1:$GZ$303,$A217,$G$2+2)="",출력_요약!$B$3,IF(ISNUMBER(INDEX(입력_구리근무자명단!$A$1:$GZ$303,$A217,$G$2+2)),INDEX(입력_구리근무자명단!$A$1:$GZ$303,$A217,$G$2+2),IFERROR(DATE(VALUE(LEFT(INDEX(입력_구리근무자명단!$A$1:$GZ$303,$A217,$G$2+2),4)),VALUE(MID(INDEX(입력_구리근무자명단!$A$1:$GZ$303,$A217,$G$2+2),6,2)),VALUE(MID(INDEX(입력_구리근무자명단!$A$1:$GZ$303,$A217,$G$2+2),9,2))),IFERROR(DATEVALUE(SUBSTITUTE(TRIM(INDEX(입력_구리근무자명단!$A$1:$GZ$303,$A217,$G$2+2)),".","-")),"⚠"&amp;INDEX(입력_구리근무자명단!$A$1:$GZ$303,$A217,$G$2+2))))))</f>
        <v/>
      </c>
      <c r="G217" s="28">
        <f>IF($D217="","",IF(INDEX(입력_구리근무자명단!$A$1:$GZ$303,$A217,$G$2+3)="",EOMONTH(출력_요약!$B$3,0),IF(ISNUMBER(INDEX(입력_구리근무자명단!$A$1:$GZ$303,$A217,$G$2+3)),INDEX(입력_구리근무자명단!$A$1:$GZ$303,$A217,$G$2+3),IFERROR(DATE(VALUE(LEFT(INDEX(입력_구리근무자명단!$A$1:$GZ$303,$A217,$G$2+3),4)),VALUE(MID(INDEX(입력_구리근무자명단!$A$1:$GZ$303,$A217,$G$2+3),6,2)),VALUE(MID(INDEX(입력_구리근무자명단!$A$1:$GZ$303,$A217,$G$2+3),9,2))),IFERROR(DATEVALUE(SUBSTITUTE(TRIM(INDEX(입력_구리근무자명단!$A$1:$GZ$303,$A217,$G$2+3)),".","-")),"⚠"&amp;INDEX(입력_구리근무자명단!$A$1:$GZ$303,$A217,$G$2+3))))))</f>
        <v/>
      </c>
      <c r="H217" s="26">
        <f>IF($D217="","",IF(OR(NOT(ISNUMBER($F217)),NOT(ISNUMBER($G217))),0,MAX(0,MIN($G217,EOMONTH(출력_요약!$B$3,0))-MAX($F217,출력_요약!$B$3)+1)))</f>
        <v/>
      </c>
      <c r="I217" s="26">
        <f>IF($D217="","",TRIM(INDEX(입력_구리근무자명단!$A$1:$GZ$303,$A217,$G$2+5)&amp;""))</f>
        <v/>
      </c>
      <c r="J217" s="26">
        <f>IF($D217="","",IF(ISNUMBER(SEARCH("구리독자",$I217)),"구리독자",""))</f>
        <v/>
      </c>
      <c r="K217" s="29">
        <f>IF($D217="","",IF(COUNTIFS(입력_전공의명단!$C$2:$C$401,$D217,입력_전공의명단!$F$2:$F$401,IF(OR($C217="인턴",ISNUMBER(SEARCH("수련교육부",$B217))),"인턴",$B217))=1,MATCH($D217&amp;"|"&amp;IF(OR($C217="인턴",ISNUMBER(SEARCH("수련교육부",$B217))),"인턴",$B217),입력_전공의명단!$AP$2:$AP$401,0),IF(AND(COUNTIFS(입력_전공의명단!$C$2:$C$401,$D217,입력_전공의명단!$F$2:$F$401,IF(OR($C217="인턴",ISNUMBER(SEARCH("수련교육부",$B217))),"인턴",$B217))=0,COUNTIF(입력_전공의명단!$C$2:$C$401,$D217)=1),MATCH($D217,입력_전공의명단!$C$2:$C$401,0),"")))</f>
        <v/>
      </c>
      <c r="L217" s="26">
        <f>IF($D217="","",IF($K217&lt;&gt;"",IF(COUNTIFS(입력_전공의명단!$C$2:$C$401,$D217,입력_전공의명단!$F$2:$F$401,IF(OR($C217="인턴",ISNUMBER(SEARCH("수련교육부",$B217))),"인턴",$B217))=1,"명단 일치","명단 일치(이름만, 과 다름)"),IF(COUNTIF(입력_전공의명단!$C$2:$C$401,$D217)=0,IF(COUNTIF(입력_기본자료!$C$2:$C$1001,$D217)&gt;0,"명단에 없음(기본자료에는 있음)","명단에 없음"),"동명이인 확인")))</f>
        <v/>
      </c>
    </row>
    <row r="218">
      <c r="A218" s="29" t="n">
        <v>216</v>
      </c>
      <c r="B218" s="26">
        <f>IF(TRIM(INDEX(입력_구리근무자명단!$A$1:$GZ$303,$A218,1)&amp;"")&lt;&gt;"",TRIM(INDEX(입력_구리근무자명단!$A$1:$GZ$303,$A218,1)&amp;""),B217)</f>
        <v/>
      </c>
      <c r="C218" s="26">
        <f>IF(INDEX(입력_구리근무자명단!$A$1:$GZ$303,$A218,2)="","",INDEX(입력_구리근무자명단!$A$1:$GZ$303,$A218,2))</f>
        <v/>
      </c>
      <c r="D218" s="26">
        <f>IF($G$2="","",TRIM(IF($I$2="확정",INDEX(입력_구리근무자명단!$A$1:$GZ$303,$A218,$G$2+1)&amp;"",INDEX(입력_구리근무자명단!$A$1:$GZ$303,$A218,$G$2+0)&amp;"")))</f>
        <v/>
      </c>
      <c r="E218" s="26">
        <f>IF($D218="","",$I$2)</f>
        <v/>
      </c>
      <c r="F218" s="28">
        <f>IF($D218="","",IF(INDEX(입력_구리근무자명단!$A$1:$GZ$303,$A218,$G$2+2)="",출력_요약!$B$3,IF(ISNUMBER(INDEX(입력_구리근무자명단!$A$1:$GZ$303,$A218,$G$2+2)),INDEX(입력_구리근무자명단!$A$1:$GZ$303,$A218,$G$2+2),IFERROR(DATE(VALUE(LEFT(INDEX(입력_구리근무자명단!$A$1:$GZ$303,$A218,$G$2+2),4)),VALUE(MID(INDEX(입력_구리근무자명단!$A$1:$GZ$303,$A218,$G$2+2),6,2)),VALUE(MID(INDEX(입력_구리근무자명단!$A$1:$GZ$303,$A218,$G$2+2),9,2))),IFERROR(DATEVALUE(SUBSTITUTE(TRIM(INDEX(입력_구리근무자명단!$A$1:$GZ$303,$A218,$G$2+2)),".","-")),"⚠"&amp;INDEX(입력_구리근무자명단!$A$1:$GZ$303,$A218,$G$2+2))))))</f>
        <v/>
      </c>
      <c r="G218" s="28">
        <f>IF($D218="","",IF(INDEX(입력_구리근무자명단!$A$1:$GZ$303,$A218,$G$2+3)="",EOMONTH(출력_요약!$B$3,0),IF(ISNUMBER(INDEX(입력_구리근무자명단!$A$1:$GZ$303,$A218,$G$2+3)),INDEX(입력_구리근무자명단!$A$1:$GZ$303,$A218,$G$2+3),IFERROR(DATE(VALUE(LEFT(INDEX(입력_구리근무자명단!$A$1:$GZ$303,$A218,$G$2+3),4)),VALUE(MID(INDEX(입력_구리근무자명단!$A$1:$GZ$303,$A218,$G$2+3),6,2)),VALUE(MID(INDEX(입력_구리근무자명단!$A$1:$GZ$303,$A218,$G$2+3),9,2))),IFERROR(DATEVALUE(SUBSTITUTE(TRIM(INDEX(입력_구리근무자명단!$A$1:$GZ$303,$A218,$G$2+3)),".","-")),"⚠"&amp;INDEX(입력_구리근무자명단!$A$1:$GZ$303,$A218,$G$2+3))))))</f>
        <v/>
      </c>
      <c r="H218" s="26">
        <f>IF($D218="","",IF(OR(NOT(ISNUMBER($F218)),NOT(ISNUMBER($G218))),0,MAX(0,MIN($G218,EOMONTH(출력_요약!$B$3,0))-MAX($F218,출력_요약!$B$3)+1)))</f>
        <v/>
      </c>
      <c r="I218" s="26">
        <f>IF($D218="","",TRIM(INDEX(입력_구리근무자명단!$A$1:$GZ$303,$A218,$G$2+5)&amp;""))</f>
        <v/>
      </c>
      <c r="J218" s="26">
        <f>IF($D218="","",IF(ISNUMBER(SEARCH("구리독자",$I218)),"구리독자",""))</f>
        <v/>
      </c>
      <c r="K218" s="29">
        <f>IF($D218="","",IF(COUNTIFS(입력_전공의명단!$C$2:$C$401,$D218,입력_전공의명단!$F$2:$F$401,IF(OR($C218="인턴",ISNUMBER(SEARCH("수련교육부",$B218))),"인턴",$B218))=1,MATCH($D218&amp;"|"&amp;IF(OR($C218="인턴",ISNUMBER(SEARCH("수련교육부",$B218))),"인턴",$B218),입력_전공의명단!$AP$2:$AP$401,0),IF(AND(COUNTIFS(입력_전공의명단!$C$2:$C$401,$D218,입력_전공의명단!$F$2:$F$401,IF(OR($C218="인턴",ISNUMBER(SEARCH("수련교육부",$B218))),"인턴",$B218))=0,COUNTIF(입력_전공의명단!$C$2:$C$401,$D218)=1),MATCH($D218,입력_전공의명단!$C$2:$C$401,0),"")))</f>
        <v/>
      </c>
      <c r="L218" s="26">
        <f>IF($D218="","",IF($K218&lt;&gt;"",IF(COUNTIFS(입력_전공의명단!$C$2:$C$401,$D218,입력_전공의명단!$F$2:$F$401,IF(OR($C218="인턴",ISNUMBER(SEARCH("수련교육부",$B218))),"인턴",$B218))=1,"명단 일치","명단 일치(이름만, 과 다름)"),IF(COUNTIF(입력_전공의명단!$C$2:$C$401,$D218)=0,IF(COUNTIF(입력_기본자료!$C$2:$C$1001,$D218)&gt;0,"명단에 없음(기본자료에는 있음)","명단에 없음"),"동명이인 확인")))</f>
        <v/>
      </c>
    </row>
    <row r="219">
      <c r="A219" s="29" t="n">
        <v>217</v>
      </c>
      <c r="B219" s="26">
        <f>IF(TRIM(INDEX(입력_구리근무자명단!$A$1:$GZ$303,$A219,1)&amp;"")&lt;&gt;"",TRIM(INDEX(입력_구리근무자명단!$A$1:$GZ$303,$A219,1)&amp;""),B218)</f>
        <v/>
      </c>
      <c r="C219" s="26">
        <f>IF(INDEX(입력_구리근무자명단!$A$1:$GZ$303,$A219,2)="","",INDEX(입력_구리근무자명단!$A$1:$GZ$303,$A219,2))</f>
        <v/>
      </c>
      <c r="D219" s="26">
        <f>IF($G$2="","",TRIM(IF($I$2="확정",INDEX(입력_구리근무자명단!$A$1:$GZ$303,$A219,$G$2+1)&amp;"",INDEX(입력_구리근무자명단!$A$1:$GZ$303,$A219,$G$2+0)&amp;"")))</f>
        <v/>
      </c>
      <c r="E219" s="26">
        <f>IF($D219="","",$I$2)</f>
        <v/>
      </c>
      <c r="F219" s="28">
        <f>IF($D219="","",IF(INDEX(입력_구리근무자명단!$A$1:$GZ$303,$A219,$G$2+2)="",출력_요약!$B$3,IF(ISNUMBER(INDEX(입력_구리근무자명단!$A$1:$GZ$303,$A219,$G$2+2)),INDEX(입력_구리근무자명단!$A$1:$GZ$303,$A219,$G$2+2),IFERROR(DATE(VALUE(LEFT(INDEX(입력_구리근무자명단!$A$1:$GZ$303,$A219,$G$2+2),4)),VALUE(MID(INDEX(입력_구리근무자명단!$A$1:$GZ$303,$A219,$G$2+2),6,2)),VALUE(MID(INDEX(입력_구리근무자명단!$A$1:$GZ$303,$A219,$G$2+2),9,2))),IFERROR(DATEVALUE(SUBSTITUTE(TRIM(INDEX(입력_구리근무자명단!$A$1:$GZ$303,$A219,$G$2+2)),".","-")),"⚠"&amp;INDEX(입력_구리근무자명단!$A$1:$GZ$303,$A219,$G$2+2))))))</f>
        <v/>
      </c>
      <c r="G219" s="28">
        <f>IF($D219="","",IF(INDEX(입력_구리근무자명단!$A$1:$GZ$303,$A219,$G$2+3)="",EOMONTH(출력_요약!$B$3,0),IF(ISNUMBER(INDEX(입력_구리근무자명단!$A$1:$GZ$303,$A219,$G$2+3)),INDEX(입력_구리근무자명단!$A$1:$GZ$303,$A219,$G$2+3),IFERROR(DATE(VALUE(LEFT(INDEX(입력_구리근무자명단!$A$1:$GZ$303,$A219,$G$2+3),4)),VALUE(MID(INDEX(입력_구리근무자명단!$A$1:$GZ$303,$A219,$G$2+3),6,2)),VALUE(MID(INDEX(입력_구리근무자명단!$A$1:$GZ$303,$A219,$G$2+3),9,2))),IFERROR(DATEVALUE(SUBSTITUTE(TRIM(INDEX(입력_구리근무자명단!$A$1:$GZ$303,$A219,$G$2+3)),".","-")),"⚠"&amp;INDEX(입력_구리근무자명단!$A$1:$GZ$303,$A219,$G$2+3))))))</f>
        <v/>
      </c>
      <c r="H219" s="26">
        <f>IF($D219="","",IF(OR(NOT(ISNUMBER($F219)),NOT(ISNUMBER($G219))),0,MAX(0,MIN($G219,EOMONTH(출력_요약!$B$3,0))-MAX($F219,출력_요약!$B$3)+1)))</f>
        <v/>
      </c>
      <c r="I219" s="26">
        <f>IF($D219="","",TRIM(INDEX(입력_구리근무자명단!$A$1:$GZ$303,$A219,$G$2+5)&amp;""))</f>
        <v/>
      </c>
      <c r="J219" s="26">
        <f>IF($D219="","",IF(ISNUMBER(SEARCH("구리독자",$I219)),"구리독자",""))</f>
        <v/>
      </c>
      <c r="K219" s="29">
        <f>IF($D219="","",IF(COUNTIFS(입력_전공의명단!$C$2:$C$401,$D219,입력_전공의명단!$F$2:$F$401,IF(OR($C219="인턴",ISNUMBER(SEARCH("수련교육부",$B219))),"인턴",$B219))=1,MATCH($D219&amp;"|"&amp;IF(OR($C219="인턴",ISNUMBER(SEARCH("수련교육부",$B219))),"인턴",$B219),입력_전공의명단!$AP$2:$AP$401,0),IF(AND(COUNTIFS(입력_전공의명단!$C$2:$C$401,$D219,입력_전공의명단!$F$2:$F$401,IF(OR($C219="인턴",ISNUMBER(SEARCH("수련교육부",$B219))),"인턴",$B219))=0,COUNTIF(입력_전공의명단!$C$2:$C$401,$D219)=1),MATCH($D219,입력_전공의명단!$C$2:$C$401,0),"")))</f>
        <v/>
      </c>
      <c r="L219" s="26">
        <f>IF($D219="","",IF($K219&lt;&gt;"",IF(COUNTIFS(입력_전공의명단!$C$2:$C$401,$D219,입력_전공의명단!$F$2:$F$401,IF(OR($C219="인턴",ISNUMBER(SEARCH("수련교육부",$B219))),"인턴",$B219))=1,"명단 일치","명단 일치(이름만, 과 다름)"),IF(COUNTIF(입력_전공의명단!$C$2:$C$401,$D219)=0,IF(COUNTIF(입력_기본자료!$C$2:$C$1001,$D219)&gt;0,"명단에 없음(기본자료에는 있음)","명단에 없음"),"동명이인 확인")))</f>
        <v/>
      </c>
    </row>
    <row r="220">
      <c r="A220" s="29" t="n">
        <v>218</v>
      </c>
      <c r="B220" s="26">
        <f>IF(TRIM(INDEX(입력_구리근무자명단!$A$1:$GZ$303,$A220,1)&amp;"")&lt;&gt;"",TRIM(INDEX(입력_구리근무자명단!$A$1:$GZ$303,$A220,1)&amp;""),B219)</f>
        <v/>
      </c>
      <c r="C220" s="26">
        <f>IF(INDEX(입력_구리근무자명단!$A$1:$GZ$303,$A220,2)="","",INDEX(입력_구리근무자명단!$A$1:$GZ$303,$A220,2))</f>
        <v/>
      </c>
      <c r="D220" s="26">
        <f>IF($G$2="","",TRIM(IF($I$2="확정",INDEX(입력_구리근무자명단!$A$1:$GZ$303,$A220,$G$2+1)&amp;"",INDEX(입력_구리근무자명단!$A$1:$GZ$303,$A220,$G$2+0)&amp;"")))</f>
        <v/>
      </c>
      <c r="E220" s="26">
        <f>IF($D220="","",$I$2)</f>
        <v/>
      </c>
      <c r="F220" s="28">
        <f>IF($D220="","",IF(INDEX(입력_구리근무자명단!$A$1:$GZ$303,$A220,$G$2+2)="",출력_요약!$B$3,IF(ISNUMBER(INDEX(입력_구리근무자명단!$A$1:$GZ$303,$A220,$G$2+2)),INDEX(입력_구리근무자명단!$A$1:$GZ$303,$A220,$G$2+2),IFERROR(DATE(VALUE(LEFT(INDEX(입력_구리근무자명단!$A$1:$GZ$303,$A220,$G$2+2),4)),VALUE(MID(INDEX(입력_구리근무자명단!$A$1:$GZ$303,$A220,$G$2+2),6,2)),VALUE(MID(INDEX(입력_구리근무자명단!$A$1:$GZ$303,$A220,$G$2+2),9,2))),IFERROR(DATEVALUE(SUBSTITUTE(TRIM(INDEX(입력_구리근무자명단!$A$1:$GZ$303,$A220,$G$2+2)),".","-")),"⚠"&amp;INDEX(입력_구리근무자명단!$A$1:$GZ$303,$A220,$G$2+2))))))</f>
        <v/>
      </c>
      <c r="G220" s="28">
        <f>IF($D220="","",IF(INDEX(입력_구리근무자명단!$A$1:$GZ$303,$A220,$G$2+3)="",EOMONTH(출력_요약!$B$3,0),IF(ISNUMBER(INDEX(입력_구리근무자명단!$A$1:$GZ$303,$A220,$G$2+3)),INDEX(입력_구리근무자명단!$A$1:$GZ$303,$A220,$G$2+3),IFERROR(DATE(VALUE(LEFT(INDEX(입력_구리근무자명단!$A$1:$GZ$303,$A220,$G$2+3),4)),VALUE(MID(INDEX(입력_구리근무자명단!$A$1:$GZ$303,$A220,$G$2+3),6,2)),VALUE(MID(INDEX(입력_구리근무자명단!$A$1:$GZ$303,$A220,$G$2+3),9,2))),IFERROR(DATEVALUE(SUBSTITUTE(TRIM(INDEX(입력_구리근무자명단!$A$1:$GZ$303,$A220,$G$2+3)),".","-")),"⚠"&amp;INDEX(입력_구리근무자명단!$A$1:$GZ$303,$A220,$G$2+3))))))</f>
        <v/>
      </c>
      <c r="H220" s="26">
        <f>IF($D220="","",IF(OR(NOT(ISNUMBER($F220)),NOT(ISNUMBER($G220))),0,MAX(0,MIN($G220,EOMONTH(출력_요약!$B$3,0))-MAX($F220,출력_요약!$B$3)+1)))</f>
        <v/>
      </c>
      <c r="I220" s="26">
        <f>IF($D220="","",TRIM(INDEX(입력_구리근무자명단!$A$1:$GZ$303,$A220,$G$2+5)&amp;""))</f>
        <v/>
      </c>
      <c r="J220" s="26">
        <f>IF($D220="","",IF(ISNUMBER(SEARCH("구리독자",$I220)),"구리독자",""))</f>
        <v/>
      </c>
      <c r="K220" s="29">
        <f>IF($D220="","",IF(COUNTIFS(입력_전공의명단!$C$2:$C$401,$D220,입력_전공의명단!$F$2:$F$401,IF(OR($C220="인턴",ISNUMBER(SEARCH("수련교육부",$B220))),"인턴",$B220))=1,MATCH($D220&amp;"|"&amp;IF(OR($C220="인턴",ISNUMBER(SEARCH("수련교육부",$B220))),"인턴",$B220),입력_전공의명단!$AP$2:$AP$401,0),IF(AND(COUNTIFS(입력_전공의명단!$C$2:$C$401,$D220,입력_전공의명단!$F$2:$F$401,IF(OR($C220="인턴",ISNUMBER(SEARCH("수련교육부",$B220))),"인턴",$B220))=0,COUNTIF(입력_전공의명단!$C$2:$C$401,$D220)=1),MATCH($D220,입력_전공의명단!$C$2:$C$401,0),"")))</f>
        <v/>
      </c>
      <c r="L220" s="26">
        <f>IF($D220="","",IF($K220&lt;&gt;"",IF(COUNTIFS(입력_전공의명단!$C$2:$C$401,$D220,입력_전공의명단!$F$2:$F$401,IF(OR($C220="인턴",ISNUMBER(SEARCH("수련교육부",$B220))),"인턴",$B220))=1,"명단 일치","명단 일치(이름만, 과 다름)"),IF(COUNTIF(입력_전공의명단!$C$2:$C$401,$D220)=0,IF(COUNTIF(입력_기본자료!$C$2:$C$1001,$D220)&gt;0,"명단에 없음(기본자료에는 있음)","명단에 없음"),"동명이인 확인")))</f>
        <v/>
      </c>
    </row>
    <row r="221">
      <c r="A221" s="29" t="n">
        <v>219</v>
      </c>
      <c r="B221" s="26">
        <f>IF(TRIM(INDEX(입력_구리근무자명단!$A$1:$GZ$303,$A221,1)&amp;"")&lt;&gt;"",TRIM(INDEX(입력_구리근무자명단!$A$1:$GZ$303,$A221,1)&amp;""),B220)</f>
        <v/>
      </c>
      <c r="C221" s="26">
        <f>IF(INDEX(입력_구리근무자명단!$A$1:$GZ$303,$A221,2)="","",INDEX(입력_구리근무자명단!$A$1:$GZ$303,$A221,2))</f>
        <v/>
      </c>
      <c r="D221" s="26">
        <f>IF($G$2="","",TRIM(IF($I$2="확정",INDEX(입력_구리근무자명단!$A$1:$GZ$303,$A221,$G$2+1)&amp;"",INDEX(입력_구리근무자명단!$A$1:$GZ$303,$A221,$G$2+0)&amp;"")))</f>
        <v/>
      </c>
      <c r="E221" s="26">
        <f>IF($D221="","",$I$2)</f>
        <v/>
      </c>
      <c r="F221" s="28">
        <f>IF($D221="","",IF(INDEX(입력_구리근무자명단!$A$1:$GZ$303,$A221,$G$2+2)="",출력_요약!$B$3,IF(ISNUMBER(INDEX(입력_구리근무자명단!$A$1:$GZ$303,$A221,$G$2+2)),INDEX(입력_구리근무자명단!$A$1:$GZ$303,$A221,$G$2+2),IFERROR(DATE(VALUE(LEFT(INDEX(입력_구리근무자명단!$A$1:$GZ$303,$A221,$G$2+2),4)),VALUE(MID(INDEX(입력_구리근무자명단!$A$1:$GZ$303,$A221,$G$2+2),6,2)),VALUE(MID(INDEX(입력_구리근무자명단!$A$1:$GZ$303,$A221,$G$2+2),9,2))),IFERROR(DATEVALUE(SUBSTITUTE(TRIM(INDEX(입력_구리근무자명단!$A$1:$GZ$303,$A221,$G$2+2)),".","-")),"⚠"&amp;INDEX(입력_구리근무자명단!$A$1:$GZ$303,$A221,$G$2+2))))))</f>
        <v/>
      </c>
      <c r="G221" s="28">
        <f>IF($D221="","",IF(INDEX(입력_구리근무자명단!$A$1:$GZ$303,$A221,$G$2+3)="",EOMONTH(출력_요약!$B$3,0),IF(ISNUMBER(INDEX(입력_구리근무자명단!$A$1:$GZ$303,$A221,$G$2+3)),INDEX(입력_구리근무자명단!$A$1:$GZ$303,$A221,$G$2+3),IFERROR(DATE(VALUE(LEFT(INDEX(입력_구리근무자명단!$A$1:$GZ$303,$A221,$G$2+3),4)),VALUE(MID(INDEX(입력_구리근무자명단!$A$1:$GZ$303,$A221,$G$2+3),6,2)),VALUE(MID(INDEX(입력_구리근무자명단!$A$1:$GZ$303,$A221,$G$2+3),9,2))),IFERROR(DATEVALUE(SUBSTITUTE(TRIM(INDEX(입력_구리근무자명단!$A$1:$GZ$303,$A221,$G$2+3)),".","-")),"⚠"&amp;INDEX(입력_구리근무자명단!$A$1:$GZ$303,$A221,$G$2+3))))))</f>
        <v/>
      </c>
      <c r="H221" s="26">
        <f>IF($D221="","",IF(OR(NOT(ISNUMBER($F221)),NOT(ISNUMBER($G221))),0,MAX(0,MIN($G221,EOMONTH(출력_요약!$B$3,0))-MAX($F221,출력_요약!$B$3)+1)))</f>
        <v/>
      </c>
      <c r="I221" s="26">
        <f>IF($D221="","",TRIM(INDEX(입력_구리근무자명단!$A$1:$GZ$303,$A221,$G$2+5)&amp;""))</f>
        <v/>
      </c>
      <c r="J221" s="26">
        <f>IF($D221="","",IF(ISNUMBER(SEARCH("구리독자",$I221)),"구리독자",""))</f>
        <v/>
      </c>
      <c r="K221" s="29">
        <f>IF($D221="","",IF(COUNTIFS(입력_전공의명단!$C$2:$C$401,$D221,입력_전공의명단!$F$2:$F$401,IF(OR($C221="인턴",ISNUMBER(SEARCH("수련교육부",$B221))),"인턴",$B221))=1,MATCH($D221&amp;"|"&amp;IF(OR($C221="인턴",ISNUMBER(SEARCH("수련교육부",$B221))),"인턴",$B221),입력_전공의명단!$AP$2:$AP$401,0),IF(AND(COUNTIFS(입력_전공의명단!$C$2:$C$401,$D221,입력_전공의명단!$F$2:$F$401,IF(OR($C221="인턴",ISNUMBER(SEARCH("수련교육부",$B221))),"인턴",$B221))=0,COUNTIF(입력_전공의명단!$C$2:$C$401,$D221)=1),MATCH($D221,입력_전공의명단!$C$2:$C$401,0),"")))</f>
        <v/>
      </c>
      <c r="L221" s="26">
        <f>IF($D221="","",IF($K221&lt;&gt;"",IF(COUNTIFS(입력_전공의명단!$C$2:$C$401,$D221,입력_전공의명단!$F$2:$F$401,IF(OR($C221="인턴",ISNUMBER(SEARCH("수련교육부",$B221))),"인턴",$B221))=1,"명단 일치","명단 일치(이름만, 과 다름)"),IF(COUNTIF(입력_전공의명단!$C$2:$C$401,$D221)=0,IF(COUNTIF(입력_기본자료!$C$2:$C$1001,$D221)&gt;0,"명단에 없음(기본자료에는 있음)","명단에 없음"),"동명이인 확인")))</f>
        <v/>
      </c>
    </row>
    <row r="222">
      <c r="A222" s="29" t="n">
        <v>220</v>
      </c>
      <c r="B222" s="26">
        <f>IF(TRIM(INDEX(입력_구리근무자명단!$A$1:$GZ$303,$A222,1)&amp;"")&lt;&gt;"",TRIM(INDEX(입력_구리근무자명단!$A$1:$GZ$303,$A222,1)&amp;""),B221)</f>
        <v/>
      </c>
      <c r="C222" s="26">
        <f>IF(INDEX(입력_구리근무자명단!$A$1:$GZ$303,$A222,2)="","",INDEX(입력_구리근무자명단!$A$1:$GZ$303,$A222,2))</f>
        <v/>
      </c>
      <c r="D222" s="26">
        <f>IF($G$2="","",TRIM(IF($I$2="확정",INDEX(입력_구리근무자명단!$A$1:$GZ$303,$A222,$G$2+1)&amp;"",INDEX(입력_구리근무자명단!$A$1:$GZ$303,$A222,$G$2+0)&amp;"")))</f>
        <v/>
      </c>
      <c r="E222" s="26">
        <f>IF($D222="","",$I$2)</f>
        <v/>
      </c>
      <c r="F222" s="28">
        <f>IF($D222="","",IF(INDEX(입력_구리근무자명단!$A$1:$GZ$303,$A222,$G$2+2)="",출력_요약!$B$3,IF(ISNUMBER(INDEX(입력_구리근무자명단!$A$1:$GZ$303,$A222,$G$2+2)),INDEX(입력_구리근무자명단!$A$1:$GZ$303,$A222,$G$2+2),IFERROR(DATE(VALUE(LEFT(INDEX(입력_구리근무자명단!$A$1:$GZ$303,$A222,$G$2+2),4)),VALUE(MID(INDEX(입력_구리근무자명단!$A$1:$GZ$303,$A222,$G$2+2),6,2)),VALUE(MID(INDEX(입력_구리근무자명단!$A$1:$GZ$303,$A222,$G$2+2),9,2))),IFERROR(DATEVALUE(SUBSTITUTE(TRIM(INDEX(입력_구리근무자명단!$A$1:$GZ$303,$A222,$G$2+2)),".","-")),"⚠"&amp;INDEX(입력_구리근무자명단!$A$1:$GZ$303,$A222,$G$2+2))))))</f>
        <v/>
      </c>
      <c r="G222" s="28">
        <f>IF($D222="","",IF(INDEX(입력_구리근무자명단!$A$1:$GZ$303,$A222,$G$2+3)="",EOMONTH(출력_요약!$B$3,0),IF(ISNUMBER(INDEX(입력_구리근무자명단!$A$1:$GZ$303,$A222,$G$2+3)),INDEX(입력_구리근무자명단!$A$1:$GZ$303,$A222,$G$2+3),IFERROR(DATE(VALUE(LEFT(INDEX(입력_구리근무자명단!$A$1:$GZ$303,$A222,$G$2+3),4)),VALUE(MID(INDEX(입력_구리근무자명단!$A$1:$GZ$303,$A222,$G$2+3),6,2)),VALUE(MID(INDEX(입력_구리근무자명단!$A$1:$GZ$303,$A222,$G$2+3),9,2))),IFERROR(DATEVALUE(SUBSTITUTE(TRIM(INDEX(입력_구리근무자명단!$A$1:$GZ$303,$A222,$G$2+3)),".","-")),"⚠"&amp;INDEX(입력_구리근무자명단!$A$1:$GZ$303,$A222,$G$2+3))))))</f>
        <v/>
      </c>
      <c r="H222" s="26">
        <f>IF($D222="","",IF(OR(NOT(ISNUMBER($F222)),NOT(ISNUMBER($G222))),0,MAX(0,MIN($G222,EOMONTH(출력_요약!$B$3,0))-MAX($F222,출력_요약!$B$3)+1)))</f>
        <v/>
      </c>
      <c r="I222" s="26">
        <f>IF($D222="","",TRIM(INDEX(입력_구리근무자명단!$A$1:$GZ$303,$A222,$G$2+5)&amp;""))</f>
        <v/>
      </c>
      <c r="J222" s="26">
        <f>IF($D222="","",IF(ISNUMBER(SEARCH("구리독자",$I222)),"구리독자",""))</f>
        <v/>
      </c>
      <c r="K222" s="29">
        <f>IF($D222="","",IF(COUNTIFS(입력_전공의명단!$C$2:$C$401,$D222,입력_전공의명단!$F$2:$F$401,IF(OR($C222="인턴",ISNUMBER(SEARCH("수련교육부",$B222))),"인턴",$B222))=1,MATCH($D222&amp;"|"&amp;IF(OR($C222="인턴",ISNUMBER(SEARCH("수련교육부",$B222))),"인턴",$B222),입력_전공의명단!$AP$2:$AP$401,0),IF(AND(COUNTIFS(입력_전공의명단!$C$2:$C$401,$D222,입력_전공의명단!$F$2:$F$401,IF(OR($C222="인턴",ISNUMBER(SEARCH("수련교육부",$B222))),"인턴",$B222))=0,COUNTIF(입력_전공의명단!$C$2:$C$401,$D222)=1),MATCH($D222,입력_전공의명단!$C$2:$C$401,0),"")))</f>
        <v/>
      </c>
      <c r="L222" s="26">
        <f>IF($D222="","",IF($K222&lt;&gt;"",IF(COUNTIFS(입력_전공의명단!$C$2:$C$401,$D222,입력_전공의명단!$F$2:$F$401,IF(OR($C222="인턴",ISNUMBER(SEARCH("수련교육부",$B222))),"인턴",$B222))=1,"명단 일치","명단 일치(이름만, 과 다름)"),IF(COUNTIF(입력_전공의명단!$C$2:$C$401,$D222)=0,IF(COUNTIF(입력_기본자료!$C$2:$C$1001,$D222)&gt;0,"명단에 없음(기본자료에는 있음)","명단에 없음"),"동명이인 확인")))</f>
        <v/>
      </c>
    </row>
    <row r="223">
      <c r="A223" s="29" t="n">
        <v>221</v>
      </c>
      <c r="B223" s="26">
        <f>IF(TRIM(INDEX(입력_구리근무자명단!$A$1:$GZ$303,$A223,1)&amp;"")&lt;&gt;"",TRIM(INDEX(입력_구리근무자명단!$A$1:$GZ$303,$A223,1)&amp;""),B222)</f>
        <v/>
      </c>
      <c r="C223" s="26">
        <f>IF(INDEX(입력_구리근무자명단!$A$1:$GZ$303,$A223,2)="","",INDEX(입력_구리근무자명단!$A$1:$GZ$303,$A223,2))</f>
        <v/>
      </c>
      <c r="D223" s="26">
        <f>IF($G$2="","",TRIM(IF($I$2="확정",INDEX(입력_구리근무자명단!$A$1:$GZ$303,$A223,$G$2+1)&amp;"",INDEX(입력_구리근무자명단!$A$1:$GZ$303,$A223,$G$2+0)&amp;"")))</f>
        <v/>
      </c>
      <c r="E223" s="26">
        <f>IF($D223="","",$I$2)</f>
        <v/>
      </c>
      <c r="F223" s="28">
        <f>IF($D223="","",IF(INDEX(입력_구리근무자명단!$A$1:$GZ$303,$A223,$G$2+2)="",출력_요약!$B$3,IF(ISNUMBER(INDEX(입력_구리근무자명단!$A$1:$GZ$303,$A223,$G$2+2)),INDEX(입력_구리근무자명단!$A$1:$GZ$303,$A223,$G$2+2),IFERROR(DATE(VALUE(LEFT(INDEX(입력_구리근무자명단!$A$1:$GZ$303,$A223,$G$2+2),4)),VALUE(MID(INDEX(입력_구리근무자명단!$A$1:$GZ$303,$A223,$G$2+2),6,2)),VALUE(MID(INDEX(입력_구리근무자명단!$A$1:$GZ$303,$A223,$G$2+2),9,2))),IFERROR(DATEVALUE(SUBSTITUTE(TRIM(INDEX(입력_구리근무자명단!$A$1:$GZ$303,$A223,$G$2+2)),".","-")),"⚠"&amp;INDEX(입력_구리근무자명단!$A$1:$GZ$303,$A223,$G$2+2))))))</f>
        <v/>
      </c>
      <c r="G223" s="28">
        <f>IF($D223="","",IF(INDEX(입력_구리근무자명단!$A$1:$GZ$303,$A223,$G$2+3)="",EOMONTH(출력_요약!$B$3,0),IF(ISNUMBER(INDEX(입력_구리근무자명단!$A$1:$GZ$303,$A223,$G$2+3)),INDEX(입력_구리근무자명단!$A$1:$GZ$303,$A223,$G$2+3),IFERROR(DATE(VALUE(LEFT(INDEX(입력_구리근무자명단!$A$1:$GZ$303,$A223,$G$2+3),4)),VALUE(MID(INDEX(입력_구리근무자명단!$A$1:$GZ$303,$A223,$G$2+3),6,2)),VALUE(MID(INDEX(입력_구리근무자명단!$A$1:$GZ$303,$A223,$G$2+3),9,2))),IFERROR(DATEVALUE(SUBSTITUTE(TRIM(INDEX(입력_구리근무자명단!$A$1:$GZ$303,$A223,$G$2+3)),".","-")),"⚠"&amp;INDEX(입력_구리근무자명단!$A$1:$GZ$303,$A223,$G$2+3))))))</f>
        <v/>
      </c>
      <c r="H223" s="26">
        <f>IF($D223="","",IF(OR(NOT(ISNUMBER($F223)),NOT(ISNUMBER($G223))),0,MAX(0,MIN($G223,EOMONTH(출력_요약!$B$3,0))-MAX($F223,출력_요약!$B$3)+1)))</f>
        <v/>
      </c>
      <c r="I223" s="26">
        <f>IF($D223="","",TRIM(INDEX(입력_구리근무자명단!$A$1:$GZ$303,$A223,$G$2+5)&amp;""))</f>
        <v/>
      </c>
      <c r="J223" s="26">
        <f>IF($D223="","",IF(ISNUMBER(SEARCH("구리독자",$I223)),"구리독자",""))</f>
        <v/>
      </c>
      <c r="K223" s="29">
        <f>IF($D223="","",IF(COUNTIFS(입력_전공의명단!$C$2:$C$401,$D223,입력_전공의명단!$F$2:$F$401,IF(OR($C223="인턴",ISNUMBER(SEARCH("수련교육부",$B223))),"인턴",$B223))=1,MATCH($D223&amp;"|"&amp;IF(OR($C223="인턴",ISNUMBER(SEARCH("수련교육부",$B223))),"인턴",$B223),입력_전공의명단!$AP$2:$AP$401,0),IF(AND(COUNTIFS(입력_전공의명단!$C$2:$C$401,$D223,입력_전공의명단!$F$2:$F$401,IF(OR($C223="인턴",ISNUMBER(SEARCH("수련교육부",$B223))),"인턴",$B223))=0,COUNTIF(입력_전공의명단!$C$2:$C$401,$D223)=1),MATCH($D223,입력_전공의명단!$C$2:$C$401,0),"")))</f>
        <v/>
      </c>
      <c r="L223" s="26">
        <f>IF($D223="","",IF($K223&lt;&gt;"",IF(COUNTIFS(입력_전공의명단!$C$2:$C$401,$D223,입력_전공의명단!$F$2:$F$401,IF(OR($C223="인턴",ISNUMBER(SEARCH("수련교육부",$B223))),"인턴",$B223))=1,"명단 일치","명단 일치(이름만, 과 다름)"),IF(COUNTIF(입력_전공의명단!$C$2:$C$401,$D223)=0,IF(COUNTIF(입력_기본자료!$C$2:$C$1001,$D223)&gt;0,"명단에 없음(기본자료에는 있음)","명단에 없음"),"동명이인 확인")))</f>
        <v/>
      </c>
    </row>
    <row r="224">
      <c r="A224" s="29" t="n">
        <v>222</v>
      </c>
      <c r="B224" s="26">
        <f>IF(TRIM(INDEX(입력_구리근무자명단!$A$1:$GZ$303,$A224,1)&amp;"")&lt;&gt;"",TRIM(INDEX(입력_구리근무자명단!$A$1:$GZ$303,$A224,1)&amp;""),B223)</f>
        <v/>
      </c>
      <c r="C224" s="26">
        <f>IF(INDEX(입력_구리근무자명단!$A$1:$GZ$303,$A224,2)="","",INDEX(입력_구리근무자명단!$A$1:$GZ$303,$A224,2))</f>
        <v/>
      </c>
      <c r="D224" s="26">
        <f>IF($G$2="","",TRIM(IF($I$2="확정",INDEX(입력_구리근무자명단!$A$1:$GZ$303,$A224,$G$2+1)&amp;"",INDEX(입력_구리근무자명단!$A$1:$GZ$303,$A224,$G$2+0)&amp;"")))</f>
        <v/>
      </c>
      <c r="E224" s="26">
        <f>IF($D224="","",$I$2)</f>
        <v/>
      </c>
      <c r="F224" s="28">
        <f>IF($D224="","",IF(INDEX(입력_구리근무자명단!$A$1:$GZ$303,$A224,$G$2+2)="",출력_요약!$B$3,IF(ISNUMBER(INDEX(입력_구리근무자명단!$A$1:$GZ$303,$A224,$G$2+2)),INDEX(입력_구리근무자명단!$A$1:$GZ$303,$A224,$G$2+2),IFERROR(DATE(VALUE(LEFT(INDEX(입력_구리근무자명단!$A$1:$GZ$303,$A224,$G$2+2),4)),VALUE(MID(INDEX(입력_구리근무자명단!$A$1:$GZ$303,$A224,$G$2+2),6,2)),VALUE(MID(INDEX(입력_구리근무자명단!$A$1:$GZ$303,$A224,$G$2+2),9,2))),IFERROR(DATEVALUE(SUBSTITUTE(TRIM(INDEX(입력_구리근무자명단!$A$1:$GZ$303,$A224,$G$2+2)),".","-")),"⚠"&amp;INDEX(입력_구리근무자명단!$A$1:$GZ$303,$A224,$G$2+2))))))</f>
        <v/>
      </c>
      <c r="G224" s="28">
        <f>IF($D224="","",IF(INDEX(입력_구리근무자명단!$A$1:$GZ$303,$A224,$G$2+3)="",EOMONTH(출력_요약!$B$3,0),IF(ISNUMBER(INDEX(입력_구리근무자명단!$A$1:$GZ$303,$A224,$G$2+3)),INDEX(입력_구리근무자명단!$A$1:$GZ$303,$A224,$G$2+3),IFERROR(DATE(VALUE(LEFT(INDEX(입력_구리근무자명단!$A$1:$GZ$303,$A224,$G$2+3),4)),VALUE(MID(INDEX(입력_구리근무자명단!$A$1:$GZ$303,$A224,$G$2+3),6,2)),VALUE(MID(INDEX(입력_구리근무자명단!$A$1:$GZ$303,$A224,$G$2+3),9,2))),IFERROR(DATEVALUE(SUBSTITUTE(TRIM(INDEX(입력_구리근무자명단!$A$1:$GZ$303,$A224,$G$2+3)),".","-")),"⚠"&amp;INDEX(입력_구리근무자명단!$A$1:$GZ$303,$A224,$G$2+3))))))</f>
        <v/>
      </c>
      <c r="H224" s="26">
        <f>IF($D224="","",IF(OR(NOT(ISNUMBER($F224)),NOT(ISNUMBER($G224))),0,MAX(0,MIN($G224,EOMONTH(출력_요약!$B$3,0))-MAX($F224,출력_요약!$B$3)+1)))</f>
        <v/>
      </c>
      <c r="I224" s="26">
        <f>IF($D224="","",TRIM(INDEX(입력_구리근무자명단!$A$1:$GZ$303,$A224,$G$2+5)&amp;""))</f>
        <v/>
      </c>
      <c r="J224" s="26">
        <f>IF($D224="","",IF(ISNUMBER(SEARCH("구리독자",$I224)),"구리독자",""))</f>
        <v/>
      </c>
      <c r="K224" s="29">
        <f>IF($D224="","",IF(COUNTIFS(입력_전공의명단!$C$2:$C$401,$D224,입력_전공의명단!$F$2:$F$401,IF(OR($C224="인턴",ISNUMBER(SEARCH("수련교육부",$B224))),"인턴",$B224))=1,MATCH($D224&amp;"|"&amp;IF(OR($C224="인턴",ISNUMBER(SEARCH("수련교육부",$B224))),"인턴",$B224),입력_전공의명단!$AP$2:$AP$401,0),IF(AND(COUNTIFS(입력_전공의명단!$C$2:$C$401,$D224,입력_전공의명단!$F$2:$F$401,IF(OR($C224="인턴",ISNUMBER(SEARCH("수련교육부",$B224))),"인턴",$B224))=0,COUNTIF(입력_전공의명단!$C$2:$C$401,$D224)=1),MATCH($D224,입력_전공의명단!$C$2:$C$401,0),"")))</f>
        <v/>
      </c>
      <c r="L224" s="26">
        <f>IF($D224="","",IF($K224&lt;&gt;"",IF(COUNTIFS(입력_전공의명단!$C$2:$C$401,$D224,입력_전공의명단!$F$2:$F$401,IF(OR($C224="인턴",ISNUMBER(SEARCH("수련교육부",$B224))),"인턴",$B224))=1,"명단 일치","명단 일치(이름만, 과 다름)"),IF(COUNTIF(입력_전공의명단!$C$2:$C$401,$D224)=0,IF(COUNTIF(입력_기본자료!$C$2:$C$1001,$D224)&gt;0,"명단에 없음(기본자료에는 있음)","명단에 없음"),"동명이인 확인")))</f>
        <v/>
      </c>
    </row>
    <row r="225">
      <c r="A225" s="29" t="n">
        <v>223</v>
      </c>
      <c r="B225" s="26">
        <f>IF(TRIM(INDEX(입력_구리근무자명단!$A$1:$GZ$303,$A225,1)&amp;"")&lt;&gt;"",TRIM(INDEX(입력_구리근무자명단!$A$1:$GZ$303,$A225,1)&amp;""),B224)</f>
        <v/>
      </c>
      <c r="C225" s="26">
        <f>IF(INDEX(입력_구리근무자명단!$A$1:$GZ$303,$A225,2)="","",INDEX(입력_구리근무자명단!$A$1:$GZ$303,$A225,2))</f>
        <v/>
      </c>
      <c r="D225" s="26">
        <f>IF($G$2="","",TRIM(IF($I$2="확정",INDEX(입력_구리근무자명단!$A$1:$GZ$303,$A225,$G$2+1)&amp;"",INDEX(입력_구리근무자명단!$A$1:$GZ$303,$A225,$G$2+0)&amp;"")))</f>
        <v/>
      </c>
      <c r="E225" s="26">
        <f>IF($D225="","",$I$2)</f>
        <v/>
      </c>
      <c r="F225" s="28">
        <f>IF($D225="","",IF(INDEX(입력_구리근무자명단!$A$1:$GZ$303,$A225,$G$2+2)="",출력_요약!$B$3,IF(ISNUMBER(INDEX(입력_구리근무자명단!$A$1:$GZ$303,$A225,$G$2+2)),INDEX(입력_구리근무자명단!$A$1:$GZ$303,$A225,$G$2+2),IFERROR(DATE(VALUE(LEFT(INDEX(입력_구리근무자명단!$A$1:$GZ$303,$A225,$G$2+2),4)),VALUE(MID(INDEX(입력_구리근무자명단!$A$1:$GZ$303,$A225,$G$2+2),6,2)),VALUE(MID(INDEX(입력_구리근무자명단!$A$1:$GZ$303,$A225,$G$2+2),9,2))),IFERROR(DATEVALUE(SUBSTITUTE(TRIM(INDEX(입력_구리근무자명단!$A$1:$GZ$303,$A225,$G$2+2)),".","-")),"⚠"&amp;INDEX(입력_구리근무자명단!$A$1:$GZ$303,$A225,$G$2+2))))))</f>
        <v/>
      </c>
      <c r="G225" s="28">
        <f>IF($D225="","",IF(INDEX(입력_구리근무자명단!$A$1:$GZ$303,$A225,$G$2+3)="",EOMONTH(출력_요약!$B$3,0),IF(ISNUMBER(INDEX(입력_구리근무자명단!$A$1:$GZ$303,$A225,$G$2+3)),INDEX(입력_구리근무자명단!$A$1:$GZ$303,$A225,$G$2+3),IFERROR(DATE(VALUE(LEFT(INDEX(입력_구리근무자명단!$A$1:$GZ$303,$A225,$G$2+3),4)),VALUE(MID(INDEX(입력_구리근무자명단!$A$1:$GZ$303,$A225,$G$2+3),6,2)),VALUE(MID(INDEX(입력_구리근무자명단!$A$1:$GZ$303,$A225,$G$2+3),9,2))),IFERROR(DATEVALUE(SUBSTITUTE(TRIM(INDEX(입력_구리근무자명단!$A$1:$GZ$303,$A225,$G$2+3)),".","-")),"⚠"&amp;INDEX(입력_구리근무자명단!$A$1:$GZ$303,$A225,$G$2+3))))))</f>
        <v/>
      </c>
      <c r="H225" s="26">
        <f>IF($D225="","",IF(OR(NOT(ISNUMBER($F225)),NOT(ISNUMBER($G225))),0,MAX(0,MIN($G225,EOMONTH(출력_요약!$B$3,0))-MAX($F225,출력_요약!$B$3)+1)))</f>
        <v/>
      </c>
      <c r="I225" s="26">
        <f>IF($D225="","",TRIM(INDEX(입력_구리근무자명단!$A$1:$GZ$303,$A225,$G$2+5)&amp;""))</f>
        <v/>
      </c>
      <c r="J225" s="26">
        <f>IF($D225="","",IF(ISNUMBER(SEARCH("구리독자",$I225)),"구리독자",""))</f>
        <v/>
      </c>
      <c r="K225" s="29">
        <f>IF($D225="","",IF(COUNTIFS(입력_전공의명단!$C$2:$C$401,$D225,입력_전공의명단!$F$2:$F$401,IF(OR($C225="인턴",ISNUMBER(SEARCH("수련교육부",$B225))),"인턴",$B225))=1,MATCH($D225&amp;"|"&amp;IF(OR($C225="인턴",ISNUMBER(SEARCH("수련교육부",$B225))),"인턴",$B225),입력_전공의명단!$AP$2:$AP$401,0),IF(AND(COUNTIFS(입력_전공의명단!$C$2:$C$401,$D225,입력_전공의명단!$F$2:$F$401,IF(OR($C225="인턴",ISNUMBER(SEARCH("수련교육부",$B225))),"인턴",$B225))=0,COUNTIF(입력_전공의명단!$C$2:$C$401,$D225)=1),MATCH($D225,입력_전공의명단!$C$2:$C$401,0),"")))</f>
        <v/>
      </c>
      <c r="L225" s="26">
        <f>IF($D225="","",IF($K225&lt;&gt;"",IF(COUNTIFS(입력_전공의명단!$C$2:$C$401,$D225,입력_전공의명단!$F$2:$F$401,IF(OR($C225="인턴",ISNUMBER(SEARCH("수련교육부",$B225))),"인턴",$B225))=1,"명단 일치","명단 일치(이름만, 과 다름)"),IF(COUNTIF(입력_전공의명단!$C$2:$C$401,$D225)=0,IF(COUNTIF(입력_기본자료!$C$2:$C$1001,$D225)&gt;0,"명단에 없음(기본자료에는 있음)","명단에 없음"),"동명이인 확인")))</f>
        <v/>
      </c>
    </row>
    <row r="226">
      <c r="A226" s="29" t="n">
        <v>224</v>
      </c>
      <c r="B226" s="26">
        <f>IF(TRIM(INDEX(입력_구리근무자명단!$A$1:$GZ$303,$A226,1)&amp;"")&lt;&gt;"",TRIM(INDEX(입력_구리근무자명단!$A$1:$GZ$303,$A226,1)&amp;""),B225)</f>
        <v/>
      </c>
      <c r="C226" s="26">
        <f>IF(INDEX(입력_구리근무자명단!$A$1:$GZ$303,$A226,2)="","",INDEX(입력_구리근무자명단!$A$1:$GZ$303,$A226,2))</f>
        <v/>
      </c>
      <c r="D226" s="26">
        <f>IF($G$2="","",TRIM(IF($I$2="확정",INDEX(입력_구리근무자명단!$A$1:$GZ$303,$A226,$G$2+1)&amp;"",INDEX(입력_구리근무자명단!$A$1:$GZ$303,$A226,$G$2+0)&amp;"")))</f>
        <v/>
      </c>
      <c r="E226" s="26">
        <f>IF($D226="","",$I$2)</f>
        <v/>
      </c>
      <c r="F226" s="28">
        <f>IF($D226="","",IF(INDEX(입력_구리근무자명단!$A$1:$GZ$303,$A226,$G$2+2)="",출력_요약!$B$3,IF(ISNUMBER(INDEX(입력_구리근무자명단!$A$1:$GZ$303,$A226,$G$2+2)),INDEX(입력_구리근무자명단!$A$1:$GZ$303,$A226,$G$2+2),IFERROR(DATE(VALUE(LEFT(INDEX(입력_구리근무자명단!$A$1:$GZ$303,$A226,$G$2+2),4)),VALUE(MID(INDEX(입력_구리근무자명단!$A$1:$GZ$303,$A226,$G$2+2),6,2)),VALUE(MID(INDEX(입력_구리근무자명단!$A$1:$GZ$303,$A226,$G$2+2),9,2))),IFERROR(DATEVALUE(SUBSTITUTE(TRIM(INDEX(입력_구리근무자명단!$A$1:$GZ$303,$A226,$G$2+2)),".","-")),"⚠"&amp;INDEX(입력_구리근무자명단!$A$1:$GZ$303,$A226,$G$2+2))))))</f>
        <v/>
      </c>
      <c r="G226" s="28">
        <f>IF($D226="","",IF(INDEX(입력_구리근무자명단!$A$1:$GZ$303,$A226,$G$2+3)="",EOMONTH(출력_요약!$B$3,0),IF(ISNUMBER(INDEX(입력_구리근무자명단!$A$1:$GZ$303,$A226,$G$2+3)),INDEX(입력_구리근무자명단!$A$1:$GZ$303,$A226,$G$2+3),IFERROR(DATE(VALUE(LEFT(INDEX(입력_구리근무자명단!$A$1:$GZ$303,$A226,$G$2+3),4)),VALUE(MID(INDEX(입력_구리근무자명단!$A$1:$GZ$303,$A226,$G$2+3),6,2)),VALUE(MID(INDEX(입력_구리근무자명단!$A$1:$GZ$303,$A226,$G$2+3),9,2))),IFERROR(DATEVALUE(SUBSTITUTE(TRIM(INDEX(입력_구리근무자명단!$A$1:$GZ$303,$A226,$G$2+3)),".","-")),"⚠"&amp;INDEX(입력_구리근무자명단!$A$1:$GZ$303,$A226,$G$2+3))))))</f>
        <v/>
      </c>
      <c r="H226" s="26">
        <f>IF($D226="","",IF(OR(NOT(ISNUMBER($F226)),NOT(ISNUMBER($G226))),0,MAX(0,MIN($G226,EOMONTH(출력_요약!$B$3,0))-MAX($F226,출력_요약!$B$3)+1)))</f>
        <v/>
      </c>
      <c r="I226" s="26">
        <f>IF($D226="","",TRIM(INDEX(입력_구리근무자명단!$A$1:$GZ$303,$A226,$G$2+5)&amp;""))</f>
        <v/>
      </c>
      <c r="J226" s="26">
        <f>IF($D226="","",IF(ISNUMBER(SEARCH("구리독자",$I226)),"구리독자",""))</f>
        <v/>
      </c>
      <c r="K226" s="29">
        <f>IF($D226="","",IF(COUNTIFS(입력_전공의명단!$C$2:$C$401,$D226,입력_전공의명단!$F$2:$F$401,IF(OR($C226="인턴",ISNUMBER(SEARCH("수련교육부",$B226))),"인턴",$B226))=1,MATCH($D226&amp;"|"&amp;IF(OR($C226="인턴",ISNUMBER(SEARCH("수련교육부",$B226))),"인턴",$B226),입력_전공의명단!$AP$2:$AP$401,0),IF(AND(COUNTIFS(입력_전공의명단!$C$2:$C$401,$D226,입력_전공의명단!$F$2:$F$401,IF(OR($C226="인턴",ISNUMBER(SEARCH("수련교육부",$B226))),"인턴",$B226))=0,COUNTIF(입력_전공의명단!$C$2:$C$401,$D226)=1),MATCH($D226,입력_전공의명단!$C$2:$C$401,0),"")))</f>
        <v/>
      </c>
      <c r="L226" s="26">
        <f>IF($D226="","",IF($K226&lt;&gt;"",IF(COUNTIFS(입력_전공의명단!$C$2:$C$401,$D226,입력_전공의명단!$F$2:$F$401,IF(OR($C226="인턴",ISNUMBER(SEARCH("수련교육부",$B226))),"인턴",$B226))=1,"명단 일치","명단 일치(이름만, 과 다름)"),IF(COUNTIF(입력_전공의명단!$C$2:$C$401,$D226)=0,IF(COUNTIF(입력_기본자료!$C$2:$C$1001,$D226)&gt;0,"명단에 없음(기본자료에는 있음)","명단에 없음"),"동명이인 확인")))</f>
        <v/>
      </c>
    </row>
    <row r="227">
      <c r="A227" s="29" t="n">
        <v>225</v>
      </c>
      <c r="B227" s="26">
        <f>IF(TRIM(INDEX(입력_구리근무자명단!$A$1:$GZ$303,$A227,1)&amp;"")&lt;&gt;"",TRIM(INDEX(입력_구리근무자명단!$A$1:$GZ$303,$A227,1)&amp;""),B226)</f>
        <v/>
      </c>
      <c r="C227" s="26">
        <f>IF(INDEX(입력_구리근무자명단!$A$1:$GZ$303,$A227,2)="","",INDEX(입력_구리근무자명단!$A$1:$GZ$303,$A227,2))</f>
        <v/>
      </c>
      <c r="D227" s="26">
        <f>IF($G$2="","",TRIM(IF($I$2="확정",INDEX(입력_구리근무자명단!$A$1:$GZ$303,$A227,$G$2+1)&amp;"",INDEX(입력_구리근무자명단!$A$1:$GZ$303,$A227,$G$2+0)&amp;"")))</f>
        <v/>
      </c>
      <c r="E227" s="26">
        <f>IF($D227="","",$I$2)</f>
        <v/>
      </c>
      <c r="F227" s="28">
        <f>IF($D227="","",IF(INDEX(입력_구리근무자명단!$A$1:$GZ$303,$A227,$G$2+2)="",출력_요약!$B$3,IF(ISNUMBER(INDEX(입력_구리근무자명단!$A$1:$GZ$303,$A227,$G$2+2)),INDEX(입력_구리근무자명단!$A$1:$GZ$303,$A227,$G$2+2),IFERROR(DATE(VALUE(LEFT(INDEX(입력_구리근무자명단!$A$1:$GZ$303,$A227,$G$2+2),4)),VALUE(MID(INDEX(입력_구리근무자명단!$A$1:$GZ$303,$A227,$G$2+2),6,2)),VALUE(MID(INDEX(입력_구리근무자명단!$A$1:$GZ$303,$A227,$G$2+2),9,2))),IFERROR(DATEVALUE(SUBSTITUTE(TRIM(INDEX(입력_구리근무자명단!$A$1:$GZ$303,$A227,$G$2+2)),".","-")),"⚠"&amp;INDEX(입력_구리근무자명단!$A$1:$GZ$303,$A227,$G$2+2))))))</f>
        <v/>
      </c>
      <c r="G227" s="28">
        <f>IF($D227="","",IF(INDEX(입력_구리근무자명단!$A$1:$GZ$303,$A227,$G$2+3)="",EOMONTH(출력_요약!$B$3,0),IF(ISNUMBER(INDEX(입력_구리근무자명단!$A$1:$GZ$303,$A227,$G$2+3)),INDEX(입력_구리근무자명단!$A$1:$GZ$303,$A227,$G$2+3),IFERROR(DATE(VALUE(LEFT(INDEX(입력_구리근무자명단!$A$1:$GZ$303,$A227,$G$2+3),4)),VALUE(MID(INDEX(입력_구리근무자명단!$A$1:$GZ$303,$A227,$G$2+3),6,2)),VALUE(MID(INDEX(입력_구리근무자명단!$A$1:$GZ$303,$A227,$G$2+3),9,2))),IFERROR(DATEVALUE(SUBSTITUTE(TRIM(INDEX(입력_구리근무자명단!$A$1:$GZ$303,$A227,$G$2+3)),".","-")),"⚠"&amp;INDEX(입력_구리근무자명단!$A$1:$GZ$303,$A227,$G$2+3))))))</f>
        <v/>
      </c>
      <c r="H227" s="26">
        <f>IF($D227="","",IF(OR(NOT(ISNUMBER($F227)),NOT(ISNUMBER($G227))),0,MAX(0,MIN($G227,EOMONTH(출력_요약!$B$3,0))-MAX($F227,출력_요약!$B$3)+1)))</f>
        <v/>
      </c>
      <c r="I227" s="26">
        <f>IF($D227="","",TRIM(INDEX(입력_구리근무자명단!$A$1:$GZ$303,$A227,$G$2+5)&amp;""))</f>
        <v/>
      </c>
      <c r="J227" s="26">
        <f>IF($D227="","",IF(ISNUMBER(SEARCH("구리독자",$I227)),"구리독자",""))</f>
        <v/>
      </c>
      <c r="K227" s="29">
        <f>IF($D227="","",IF(COUNTIFS(입력_전공의명단!$C$2:$C$401,$D227,입력_전공의명단!$F$2:$F$401,IF(OR($C227="인턴",ISNUMBER(SEARCH("수련교육부",$B227))),"인턴",$B227))=1,MATCH($D227&amp;"|"&amp;IF(OR($C227="인턴",ISNUMBER(SEARCH("수련교육부",$B227))),"인턴",$B227),입력_전공의명단!$AP$2:$AP$401,0),IF(AND(COUNTIFS(입력_전공의명단!$C$2:$C$401,$D227,입력_전공의명단!$F$2:$F$401,IF(OR($C227="인턴",ISNUMBER(SEARCH("수련교육부",$B227))),"인턴",$B227))=0,COUNTIF(입력_전공의명단!$C$2:$C$401,$D227)=1),MATCH($D227,입력_전공의명단!$C$2:$C$401,0),"")))</f>
        <v/>
      </c>
      <c r="L227" s="26">
        <f>IF($D227="","",IF($K227&lt;&gt;"",IF(COUNTIFS(입력_전공의명단!$C$2:$C$401,$D227,입력_전공의명단!$F$2:$F$401,IF(OR($C227="인턴",ISNUMBER(SEARCH("수련교육부",$B227))),"인턴",$B227))=1,"명단 일치","명단 일치(이름만, 과 다름)"),IF(COUNTIF(입력_전공의명단!$C$2:$C$401,$D227)=0,IF(COUNTIF(입력_기본자료!$C$2:$C$1001,$D227)&gt;0,"명단에 없음(기본자료에는 있음)","명단에 없음"),"동명이인 확인")))</f>
        <v/>
      </c>
    </row>
    <row r="228">
      <c r="A228" s="29" t="n">
        <v>226</v>
      </c>
      <c r="B228" s="26">
        <f>IF(TRIM(INDEX(입력_구리근무자명단!$A$1:$GZ$303,$A228,1)&amp;"")&lt;&gt;"",TRIM(INDEX(입력_구리근무자명단!$A$1:$GZ$303,$A228,1)&amp;""),B227)</f>
        <v/>
      </c>
      <c r="C228" s="26">
        <f>IF(INDEX(입력_구리근무자명단!$A$1:$GZ$303,$A228,2)="","",INDEX(입력_구리근무자명단!$A$1:$GZ$303,$A228,2))</f>
        <v/>
      </c>
      <c r="D228" s="26">
        <f>IF($G$2="","",TRIM(IF($I$2="확정",INDEX(입력_구리근무자명단!$A$1:$GZ$303,$A228,$G$2+1)&amp;"",INDEX(입력_구리근무자명단!$A$1:$GZ$303,$A228,$G$2+0)&amp;"")))</f>
        <v/>
      </c>
      <c r="E228" s="26">
        <f>IF($D228="","",$I$2)</f>
        <v/>
      </c>
      <c r="F228" s="28">
        <f>IF($D228="","",IF(INDEX(입력_구리근무자명단!$A$1:$GZ$303,$A228,$G$2+2)="",출력_요약!$B$3,IF(ISNUMBER(INDEX(입력_구리근무자명단!$A$1:$GZ$303,$A228,$G$2+2)),INDEX(입력_구리근무자명단!$A$1:$GZ$303,$A228,$G$2+2),IFERROR(DATE(VALUE(LEFT(INDEX(입력_구리근무자명단!$A$1:$GZ$303,$A228,$G$2+2),4)),VALUE(MID(INDEX(입력_구리근무자명단!$A$1:$GZ$303,$A228,$G$2+2),6,2)),VALUE(MID(INDEX(입력_구리근무자명단!$A$1:$GZ$303,$A228,$G$2+2),9,2))),IFERROR(DATEVALUE(SUBSTITUTE(TRIM(INDEX(입력_구리근무자명단!$A$1:$GZ$303,$A228,$G$2+2)),".","-")),"⚠"&amp;INDEX(입력_구리근무자명단!$A$1:$GZ$303,$A228,$G$2+2))))))</f>
        <v/>
      </c>
      <c r="G228" s="28">
        <f>IF($D228="","",IF(INDEX(입력_구리근무자명단!$A$1:$GZ$303,$A228,$G$2+3)="",EOMONTH(출력_요약!$B$3,0),IF(ISNUMBER(INDEX(입력_구리근무자명단!$A$1:$GZ$303,$A228,$G$2+3)),INDEX(입력_구리근무자명단!$A$1:$GZ$303,$A228,$G$2+3),IFERROR(DATE(VALUE(LEFT(INDEX(입력_구리근무자명단!$A$1:$GZ$303,$A228,$G$2+3),4)),VALUE(MID(INDEX(입력_구리근무자명단!$A$1:$GZ$303,$A228,$G$2+3),6,2)),VALUE(MID(INDEX(입력_구리근무자명단!$A$1:$GZ$303,$A228,$G$2+3),9,2))),IFERROR(DATEVALUE(SUBSTITUTE(TRIM(INDEX(입력_구리근무자명단!$A$1:$GZ$303,$A228,$G$2+3)),".","-")),"⚠"&amp;INDEX(입력_구리근무자명단!$A$1:$GZ$303,$A228,$G$2+3))))))</f>
        <v/>
      </c>
      <c r="H228" s="26">
        <f>IF($D228="","",IF(OR(NOT(ISNUMBER($F228)),NOT(ISNUMBER($G228))),0,MAX(0,MIN($G228,EOMONTH(출력_요약!$B$3,0))-MAX($F228,출력_요약!$B$3)+1)))</f>
        <v/>
      </c>
      <c r="I228" s="26">
        <f>IF($D228="","",TRIM(INDEX(입력_구리근무자명단!$A$1:$GZ$303,$A228,$G$2+5)&amp;""))</f>
        <v/>
      </c>
      <c r="J228" s="26">
        <f>IF($D228="","",IF(ISNUMBER(SEARCH("구리독자",$I228)),"구리독자",""))</f>
        <v/>
      </c>
      <c r="K228" s="29">
        <f>IF($D228="","",IF(COUNTIFS(입력_전공의명단!$C$2:$C$401,$D228,입력_전공의명단!$F$2:$F$401,IF(OR($C228="인턴",ISNUMBER(SEARCH("수련교육부",$B228))),"인턴",$B228))=1,MATCH($D228&amp;"|"&amp;IF(OR($C228="인턴",ISNUMBER(SEARCH("수련교육부",$B228))),"인턴",$B228),입력_전공의명단!$AP$2:$AP$401,0),IF(AND(COUNTIFS(입력_전공의명단!$C$2:$C$401,$D228,입력_전공의명단!$F$2:$F$401,IF(OR($C228="인턴",ISNUMBER(SEARCH("수련교육부",$B228))),"인턴",$B228))=0,COUNTIF(입력_전공의명단!$C$2:$C$401,$D228)=1),MATCH($D228,입력_전공의명단!$C$2:$C$401,0),"")))</f>
        <v/>
      </c>
      <c r="L228" s="26">
        <f>IF($D228="","",IF($K228&lt;&gt;"",IF(COUNTIFS(입력_전공의명단!$C$2:$C$401,$D228,입력_전공의명단!$F$2:$F$401,IF(OR($C228="인턴",ISNUMBER(SEARCH("수련교육부",$B228))),"인턴",$B228))=1,"명단 일치","명단 일치(이름만, 과 다름)"),IF(COUNTIF(입력_전공의명단!$C$2:$C$401,$D228)=0,IF(COUNTIF(입력_기본자료!$C$2:$C$1001,$D228)&gt;0,"명단에 없음(기본자료에는 있음)","명단에 없음"),"동명이인 확인")))</f>
        <v/>
      </c>
    </row>
    <row r="229">
      <c r="A229" s="29" t="n">
        <v>227</v>
      </c>
      <c r="B229" s="26">
        <f>IF(TRIM(INDEX(입력_구리근무자명단!$A$1:$GZ$303,$A229,1)&amp;"")&lt;&gt;"",TRIM(INDEX(입력_구리근무자명단!$A$1:$GZ$303,$A229,1)&amp;""),B228)</f>
        <v/>
      </c>
      <c r="C229" s="26">
        <f>IF(INDEX(입력_구리근무자명단!$A$1:$GZ$303,$A229,2)="","",INDEX(입력_구리근무자명단!$A$1:$GZ$303,$A229,2))</f>
        <v/>
      </c>
      <c r="D229" s="26">
        <f>IF($G$2="","",TRIM(IF($I$2="확정",INDEX(입력_구리근무자명단!$A$1:$GZ$303,$A229,$G$2+1)&amp;"",INDEX(입력_구리근무자명단!$A$1:$GZ$303,$A229,$G$2+0)&amp;"")))</f>
        <v/>
      </c>
      <c r="E229" s="26">
        <f>IF($D229="","",$I$2)</f>
        <v/>
      </c>
      <c r="F229" s="28">
        <f>IF($D229="","",IF(INDEX(입력_구리근무자명단!$A$1:$GZ$303,$A229,$G$2+2)="",출력_요약!$B$3,IF(ISNUMBER(INDEX(입력_구리근무자명단!$A$1:$GZ$303,$A229,$G$2+2)),INDEX(입력_구리근무자명단!$A$1:$GZ$303,$A229,$G$2+2),IFERROR(DATE(VALUE(LEFT(INDEX(입력_구리근무자명단!$A$1:$GZ$303,$A229,$G$2+2),4)),VALUE(MID(INDEX(입력_구리근무자명단!$A$1:$GZ$303,$A229,$G$2+2),6,2)),VALUE(MID(INDEX(입력_구리근무자명단!$A$1:$GZ$303,$A229,$G$2+2),9,2))),IFERROR(DATEVALUE(SUBSTITUTE(TRIM(INDEX(입력_구리근무자명단!$A$1:$GZ$303,$A229,$G$2+2)),".","-")),"⚠"&amp;INDEX(입력_구리근무자명단!$A$1:$GZ$303,$A229,$G$2+2))))))</f>
        <v/>
      </c>
      <c r="G229" s="28">
        <f>IF($D229="","",IF(INDEX(입력_구리근무자명단!$A$1:$GZ$303,$A229,$G$2+3)="",EOMONTH(출력_요약!$B$3,0),IF(ISNUMBER(INDEX(입력_구리근무자명단!$A$1:$GZ$303,$A229,$G$2+3)),INDEX(입력_구리근무자명단!$A$1:$GZ$303,$A229,$G$2+3),IFERROR(DATE(VALUE(LEFT(INDEX(입력_구리근무자명단!$A$1:$GZ$303,$A229,$G$2+3),4)),VALUE(MID(INDEX(입력_구리근무자명단!$A$1:$GZ$303,$A229,$G$2+3),6,2)),VALUE(MID(INDEX(입력_구리근무자명단!$A$1:$GZ$303,$A229,$G$2+3),9,2))),IFERROR(DATEVALUE(SUBSTITUTE(TRIM(INDEX(입력_구리근무자명단!$A$1:$GZ$303,$A229,$G$2+3)),".","-")),"⚠"&amp;INDEX(입력_구리근무자명단!$A$1:$GZ$303,$A229,$G$2+3))))))</f>
        <v/>
      </c>
      <c r="H229" s="26">
        <f>IF($D229="","",IF(OR(NOT(ISNUMBER($F229)),NOT(ISNUMBER($G229))),0,MAX(0,MIN($G229,EOMONTH(출력_요약!$B$3,0))-MAX($F229,출력_요약!$B$3)+1)))</f>
        <v/>
      </c>
      <c r="I229" s="26">
        <f>IF($D229="","",TRIM(INDEX(입력_구리근무자명단!$A$1:$GZ$303,$A229,$G$2+5)&amp;""))</f>
        <v/>
      </c>
      <c r="J229" s="26">
        <f>IF($D229="","",IF(ISNUMBER(SEARCH("구리독자",$I229)),"구리독자",""))</f>
        <v/>
      </c>
      <c r="K229" s="29">
        <f>IF($D229="","",IF(COUNTIFS(입력_전공의명단!$C$2:$C$401,$D229,입력_전공의명단!$F$2:$F$401,IF(OR($C229="인턴",ISNUMBER(SEARCH("수련교육부",$B229))),"인턴",$B229))=1,MATCH($D229&amp;"|"&amp;IF(OR($C229="인턴",ISNUMBER(SEARCH("수련교육부",$B229))),"인턴",$B229),입력_전공의명단!$AP$2:$AP$401,0),IF(AND(COUNTIFS(입력_전공의명단!$C$2:$C$401,$D229,입력_전공의명단!$F$2:$F$401,IF(OR($C229="인턴",ISNUMBER(SEARCH("수련교육부",$B229))),"인턴",$B229))=0,COUNTIF(입력_전공의명단!$C$2:$C$401,$D229)=1),MATCH($D229,입력_전공의명단!$C$2:$C$401,0),"")))</f>
        <v/>
      </c>
      <c r="L229" s="26">
        <f>IF($D229="","",IF($K229&lt;&gt;"",IF(COUNTIFS(입력_전공의명단!$C$2:$C$401,$D229,입력_전공의명단!$F$2:$F$401,IF(OR($C229="인턴",ISNUMBER(SEARCH("수련교육부",$B229))),"인턴",$B229))=1,"명단 일치","명단 일치(이름만, 과 다름)"),IF(COUNTIF(입력_전공의명단!$C$2:$C$401,$D229)=0,IF(COUNTIF(입력_기본자료!$C$2:$C$1001,$D229)&gt;0,"명단에 없음(기본자료에는 있음)","명단에 없음"),"동명이인 확인")))</f>
        <v/>
      </c>
    </row>
    <row r="230">
      <c r="A230" s="29" t="n">
        <v>228</v>
      </c>
      <c r="B230" s="26">
        <f>IF(TRIM(INDEX(입력_구리근무자명단!$A$1:$GZ$303,$A230,1)&amp;"")&lt;&gt;"",TRIM(INDEX(입력_구리근무자명단!$A$1:$GZ$303,$A230,1)&amp;""),B229)</f>
        <v/>
      </c>
      <c r="C230" s="26">
        <f>IF(INDEX(입력_구리근무자명단!$A$1:$GZ$303,$A230,2)="","",INDEX(입력_구리근무자명단!$A$1:$GZ$303,$A230,2))</f>
        <v/>
      </c>
      <c r="D230" s="26">
        <f>IF($G$2="","",TRIM(IF($I$2="확정",INDEX(입력_구리근무자명단!$A$1:$GZ$303,$A230,$G$2+1)&amp;"",INDEX(입력_구리근무자명단!$A$1:$GZ$303,$A230,$G$2+0)&amp;"")))</f>
        <v/>
      </c>
      <c r="E230" s="26">
        <f>IF($D230="","",$I$2)</f>
        <v/>
      </c>
      <c r="F230" s="28">
        <f>IF($D230="","",IF(INDEX(입력_구리근무자명단!$A$1:$GZ$303,$A230,$G$2+2)="",출력_요약!$B$3,IF(ISNUMBER(INDEX(입력_구리근무자명단!$A$1:$GZ$303,$A230,$G$2+2)),INDEX(입력_구리근무자명단!$A$1:$GZ$303,$A230,$G$2+2),IFERROR(DATE(VALUE(LEFT(INDEX(입력_구리근무자명단!$A$1:$GZ$303,$A230,$G$2+2),4)),VALUE(MID(INDEX(입력_구리근무자명단!$A$1:$GZ$303,$A230,$G$2+2),6,2)),VALUE(MID(INDEX(입력_구리근무자명단!$A$1:$GZ$303,$A230,$G$2+2),9,2))),IFERROR(DATEVALUE(SUBSTITUTE(TRIM(INDEX(입력_구리근무자명단!$A$1:$GZ$303,$A230,$G$2+2)),".","-")),"⚠"&amp;INDEX(입력_구리근무자명단!$A$1:$GZ$303,$A230,$G$2+2))))))</f>
        <v/>
      </c>
      <c r="G230" s="28">
        <f>IF($D230="","",IF(INDEX(입력_구리근무자명단!$A$1:$GZ$303,$A230,$G$2+3)="",EOMONTH(출력_요약!$B$3,0),IF(ISNUMBER(INDEX(입력_구리근무자명단!$A$1:$GZ$303,$A230,$G$2+3)),INDEX(입력_구리근무자명단!$A$1:$GZ$303,$A230,$G$2+3),IFERROR(DATE(VALUE(LEFT(INDEX(입력_구리근무자명단!$A$1:$GZ$303,$A230,$G$2+3),4)),VALUE(MID(INDEX(입력_구리근무자명단!$A$1:$GZ$303,$A230,$G$2+3),6,2)),VALUE(MID(INDEX(입력_구리근무자명단!$A$1:$GZ$303,$A230,$G$2+3),9,2))),IFERROR(DATEVALUE(SUBSTITUTE(TRIM(INDEX(입력_구리근무자명단!$A$1:$GZ$303,$A230,$G$2+3)),".","-")),"⚠"&amp;INDEX(입력_구리근무자명단!$A$1:$GZ$303,$A230,$G$2+3))))))</f>
        <v/>
      </c>
      <c r="H230" s="26">
        <f>IF($D230="","",IF(OR(NOT(ISNUMBER($F230)),NOT(ISNUMBER($G230))),0,MAX(0,MIN($G230,EOMONTH(출력_요약!$B$3,0))-MAX($F230,출력_요약!$B$3)+1)))</f>
        <v/>
      </c>
      <c r="I230" s="26">
        <f>IF($D230="","",TRIM(INDEX(입력_구리근무자명단!$A$1:$GZ$303,$A230,$G$2+5)&amp;""))</f>
        <v/>
      </c>
      <c r="J230" s="26">
        <f>IF($D230="","",IF(ISNUMBER(SEARCH("구리독자",$I230)),"구리독자",""))</f>
        <v/>
      </c>
      <c r="K230" s="29">
        <f>IF($D230="","",IF(COUNTIFS(입력_전공의명단!$C$2:$C$401,$D230,입력_전공의명단!$F$2:$F$401,IF(OR($C230="인턴",ISNUMBER(SEARCH("수련교육부",$B230))),"인턴",$B230))=1,MATCH($D230&amp;"|"&amp;IF(OR($C230="인턴",ISNUMBER(SEARCH("수련교육부",$B230))),"인턴",$B230),입력_전공의명단!$AP$2:$AP$401,0),IF(AND(COUNTIFS(입력_전공의명단!$C$2:$C$401,$D230,입력_전공의명단!$F$2:$F$401,IF(OR($C230="인턴",ISNUMBER(SEARCH("수련교육부",$B230))),"인턴",$B230))=0,COUNTIF(입력_전공의명단!$C$2:$C$401,$D230)=1),MATCH($D230,입력_전공의명단!$C$2:$C$401,0),"")))</f>
        <v/>
      </c>
      <c r="L230" s="26">
        <f>IF($D230="","",IF($K230&lt;&gt;"",IF(COUNTIFS(입력_전공의명단!$C$2:$C$401,$D230,입력_전공의명단!$F$2:$F$401,IF(OR($C230="인턴",ISNUMBER(SEARCH("수련교육부",$B230))),"인턴",$B230))=1,"명단 일치","명단 일치(이름만, 과 다름)"),IF(COUNTIF(입력_전공의명단!$C$2:$C$401,$D230)=0,IF(COUNTIF(입력_기본자료!$C$2:$C$1001,$D230)&gt;0,"명단에 없음(기본자료에는 있음)","명단에 없음"),"동명이인 확인")))</f>
        <v/>
      </c>
    </row>
    <row r="231">
      <c r="A231" s="29" t="n">
        <v>229</v>
      </c>
      <c r="B231" s="26">
        <f>IF(TRIM(INDEX(입력_구리근무자명단!$A$1:$GZ$303,$A231,1)&amp;"")&lt;&gt;"",TRIM(INDEX(입력_구리근무자명단!$A$1:$GZ$303,$A231,1)&amp;""),B230)</f>
        <v/>
      </c>
      <c r="C231" s="26">
        <f>IF(INDEX(입력_구리근무자명단!$A$1:$GZ$303,$A231,2)="","",INDEX(입력_구리근무자명단!$A$1:$GZ$303,$A231,2))</f>
        <v/>
      </c>
      <c r="D231" s="26">
        <f>IF($G$2="","",TRIM(IF($I$2="확정",INDEX(입력_구리근무자명단!$A$1:$GZ$303,$A231,$G$2+1)&amp;"",INDEX(입력_구리근무자명단!$A$1:$GZ$303,$A231,$G$2+0)&amp;"")))</f>
        <v/>
      </c>
      <c r="E231" s="26">
        <f>IF($D231="","",$I$2)</f>
        <v/>
      </c>
      <c r="F231" s="28">
        <f>IF($D231="","",IF(INDEX(입력_구리근무자명단!$A$1:$GZ$303,$A231,$G$2+2)="",출력_요약!$B$3,IF(ISNUMBER(INDEX(입력_구리근무자명단!$A$1:$GZ$303,$A231,$G$2+2)),INDEX(입력_구리근무자명단!$A$1:$GZ$303,$A231,$G$2+2),IFERROR(DATE(VALUE(LEFT(INDEX(입력_구리근무자명단!$A$1:$GZ$303,$A231,$G$2+2),4)),VALUE(MID(INDEX(입력_구리근무자명단!$A$1:$GZ$303,$A231,$G$2+2),6,2)),VALUE(MID(INDEX(입력_구리근무자명단!$A$1:$GZ$303,$A231,$G$2+2),9,2))),IFERROR(DATEVALUE(SUBSTITUTE(TRIM(INDEX(입력_구리근무자명단!$A$1:$GZ$303,$A231,$G$2+2)),".","-")),"⚠"&amp;INDEX(입력_구리근무자명단!$A$1:$GZ$303,$A231,$G$2+2))))))</f>
        <v/>
      </c>
      <c r="G231" s="28">
        <f>IF($D231="","",IF(INDEX(입력_구리근무자명단!$A$1:$GZ$303,$A231,$G$2+3)="",EOMONTH(출력_요약!$B$3,0),IF(ISNUMBER(INDEX(입력_구리근무자명단!$A$1:$GZ$303,$A231,$G$2+3)),INDEX(입력_구리근무자명단!$A$1:$GZ$303,$A231,$G$2+3),IFERROR(DATE(VALUE(LEFT(INDEX(입력_구리근무자명단!$A$1:$GZ$303,$A231,$G$2+3),4)),VALUE(MID(INDEX(입력_구리근무자명단!$A$1:$GZ$303,$A231,$G$2+3),6,2)),VALUE(MID(INDEX(입력_구리근무자명단!$A$1:$GZ$303,$A231,$G$2+3),9,2))),IFERROR(DATEVALUE(SUBSTITUTE(TRIM(INDEX(입력_구리근무자명단!$A$1:$GZ$303,$A231,$G$2+3)),".","-")),"⚠"&amp;INDEX(입력_구리근무자명단!$A$1:$GZ$303,$A231,$G$2+3))))))</f>
        <v/>
      </c>
      <c r="H231" s="26">
        <f>IF($D231="","",IF(OR(NOT(ISNUMBER($F231)),NOT(ISNUMBER($G231))),0,MAX(0,MIN($G231,EOMONTH(출력_요약!$B$3,0))-MAX($F231,출력_요약!$B$3)+1)))</f>
        <v/>
      </c>
      <c r="I231" s="26">
        <f>IF($D231="","",TRIM(INDEX(입력_구리근무자명단!$A$1:$GZ$303,$A231,$G$2+5)&amp;""))</f>
        <v/>
      </c>
      <c r="J231" s="26">
        <f>IF($D231="","",IF(ISNUMBER(SEARCH("구리독자",$I231)),"구리독자",""))</f>
        <v/>
      </c>
      <c r="K231" s="29">
        <f>IF($D231="","",IF(COUNTIFS(입력_전공의명단!$C$2:$C$401,$D231,입력_전공의명단!$F$2:$F$401,IF(OR($C231="인턴",ISNUMBER(SEARCH("수련교육부",$B231))),"인턴",$B231))=1,MATCH($D231&amp;"|"&amp;IF(OR($C231="인턴",ISNUMBER(SEARCH("수련교육부",$B231))),"인턴",$B231),입력_전공의명단!$AP$2:$AP$401,0),IF(AND(COUNTIFS(입력_전공의명단!$C$2:$C$401,$D231,입력_전공의명단!$F$2:$F$401,IF(OR($C231="인턴",ISNUMBER(SEARCH("수련교육부",$B231))),"인턴",$B231))=0,COUNTIF(입력_전공의명단!$C$2:$C$401,$D231)=1),MATCH($D231,입력_전공의명단!$C$2:$C$401,0),"")))</f>
        <v/>
      </c>
      <c r="L231" s="26">
        <f>IF($D231="","",IF($K231&lt;&gt;"",IF(COUNTIFS(입력_전공의명단!$C$2:$C$401,$D231,입력_전공의명단!$F$2:$F$401,IF(OR($C231="인턴",ISNUMBER(SEARCH("수련교육부",$B231))),"인턴",$B231))=1,"명단 일치","명단 일치(이름만, 과 다름)"),IF(COUNTIF(입력_전공의명단!$C$2:$C$401,$D231)=0,IF(COUNTIF(입력_기본자료!$C$2:$C$1001,$D231)&gt;0,"명단에 없음(기본자료에는 있음)","명단에 없음"),"동명이인 확인")))</f>
        <v/>
      </c>
    </row>
    <row r="232">
      <c r="A232" s="29" t="n">
        <v>230</v>
      </c>
      <c r="B232" s="26">
        <f>IF(TRIM(INDEX(입력_구리근무자명단!$A$1:$GZ$303,$A232,1)&amp;"")&lt;&gt;"",TRIM(INDEX(입력_구리근무자명단!$A$1:$GZ$303,$A232,1)&amp;""),B231)</f>
        <v/>
      </c>
      <c r="C232" s="26">
        <f>IF(INDEX(입력_구리근무자명단!$A$1:$GZ$303,$A232,2)="","",INDEX(입력_구리근무자명단!$A$1:$GZ$303,$A232,2))</f>
        <v/>
      </c>
      <c r="D232" s="26">
        <f>IF($G$2="","",TRIM(IF($I$2="확정",INDEX(입력_구리근무자명단!$A$1:$GZ$303,$A232,$G$2+1)&amp;"",INDEX(입력_구리근무자명단!$A$1:$GZ$303,$A232,$G$2+0)&amp;"")))</f>
        <v/>
      </c>
      <c r="E232" s="26">
        <f>IF($D232="","",$I$2)</f>
        <v/>
      </c>
      <c r="F232" s="28">
        <f>IF($D232="","",IF(INDEX(입력_구리근무자명단!$A$1:$GZ$303,$A232,$G$2+2)="",출력_요약!$B$3,IF(ISNUMBER(INDEX(입력_구리근무자명단!$A$1:$GZ$303,$A232,$G$2+2)),INDEX(입력_구리근무자명단!$A$1:$GZ$303,$A232,$G$2+2),IFERROR(DATE(VALUE(LEFT(INDEX(입력_구리근무자명단!$A$1:$GZ$303,$A232,$G$2+2),4)),VALUE(MID(INDEX(입력_구리근무자명단!$A$1:$GZ$303,$A232,$G$2+2),6,2)),VALUE(MID(INDEX(입력_구리근무자명단!$A$1:$GZ$303,$A232,$G$2+2),9,2))),IFERROR(DATEVALUE(SUBSTITUTE(TRIM(INDEX(입력_구리근무자명단!$A$1:$GZ$303,$A232,$G$2+2)),".","-")),"⚠"&amp;INDEX(입력_구리근무자명단!$A$1:$GZ$303,$A232,$G$2+2))))))</f>
        <v/>
      </c>
      <c r="G232" s="28">
        <f>IF($D232="","",IF(INDEX(입력_구리근무자명단!$A$1:$GZ$303,$A232,$G$2+3)="",EOMONTH(출력_요약!$B$3,0),IF(ISNUMBER(INDEX(입력_구리근무자명단!$A$1:$GZ$303,$A232,$G$2+3)),INDEX(입력_구리근무자명단!$A$1:$GZ$303,$A232,$G$2+3),IFERROR(DATE(VALUE(LEFT(INDEX(입력_구리근무자명단!$A$1:$GZ$303,$A232,$G$2+3),4)),VALUE(MID(INDEX(입력_구리근무자명단!$A$1:$GZ$303,$A232,$G$2+3),6,2)),VALUE(MID(INDEX(입력_구리근무자명단!$A$1:$GZ$303,$A232,$G$2+3),9,2))),IFERROR(DATEVALUE(SUBSTITUTE(TRIM(INDEX(입력_구리근무자명단!$A$1:$GZ$303,$A232,$G$2+3)),".","-")),"⚠"&amp;INDEX(입력_구리근무자명단!$A$1:$GZ$303,$A232,$G$2+3))))))</f>
        <v/>
      </c>
      <c r="H232" s="26">
        <f>IF($D232="","",IF(OR(NOT(ISNUMBER($F232)),NOT(ISNUMBER($G232))),0,MAX(0,MIN($G232,EOMONTH(출력_요약!$B$3,0))-MAX($F232,출력_요약!$B$3)+1)))</f>
        <v/>
      </c>
      <c r="I232" s="26">
        <f>IF($D232="","",TRIM(INDEX(입력_구리근무자명단!$A$1:$GZ$303,$A232,$G$2+5)&amp;""))</f>
        <v/>
      </c>
      <c r="J232" s="26">
        <f>IF($D232="","",IF(ISNUMBER(SEARCH("구리독자",$I232)),"구리독자",""))</f>
        <v/>
      </c>
      <c r="K232" s="29">
        <f>IF($D232="","",IF(COUNTIFS(입력_전공의명단!$C$2:$C$401,$D232,입력_전공의명단!$F$2:$F$401,IF(OR($C232="인턴",ISNUMBER(SEARCH("수련교육부",$B232))),"인턴",$B232))=1,MATCH($D232&amp;"|"&amp;IF(OR($C232="인턴",ISNUMBER(SEARCH("수련교육부",$B232))),"인턴",$B232),입력_전공의명단!$AP$2:$AP$401,0),IF(AND(COUNTIFS(입력_전공의명단!$C$2:$C$401,$D232,입력_전공의명단!$F$2:$F$401,IF(OR($C232="인턴",ISNUMBER(SEARCH("수련교육부",$B232))),"인턴",$B232))=0,COUNTIF(입력_전공의명단!$C$2:$C$401,$D232)=1),MATCH($D232,입력_전공의명단!$C$2:$C$401,0),"")))</f>
        <v/>
      </c>
      <c r="L232" s="26">
        <f>IF($D232="","",IF($K232&lt;&gt;"",IF(COUNTIFS(입력_전공의명단!$C$2:$C$401,$D232,입력_전공의명단!$F$2:$F$401,IF(OR($C232="인턴",ISNUMBER(SEARCH("수련교육부",$B232))),"인턴",$B232))=1,"명단 일치","명단 일치(이름만, 과 다름)"),IF(COUNTIF(입력_전공의명단!$C$2:$C$401,$D232)=0,IF(COUNTIF(입력_기본자료!$C$2:$C$1001,$D232)&gt;0,"명단에 없음(기본자료에는 있음)","명단에 없음"),"동명이인 확인")))</f>
        <v/>
      </c>
    </row>
    <row r="233">
      <c r="A233" s="29" t="n">
        <v>231</v>
      </c>
      <c r="B233" s="26">
        <f>IF(TRIM(INDEX(입력_구리근무자명단!$A$1:$GZ$303,$A233,1)&amp;"")&lt;&gt;"",TRIM(INDEX(입력_구리근무자명단!$A$1:$GZ$303,$A233,1)&amp;""),B232)</f>
        <v/>
      </c>
      <c r="C233" s="26">
        <f>IF(INDEX(입력_구리근무자명단!$A$1:$GZ$303,$A233,2)="","",INDEX(입력_구리근무자명단!$A$1:$GZ$303,$A233,2))</f>
        <v/>
      </c>
      <c r="D233" s="26">
        <f>IF($G$2="","",TRIM(IF($I$2="확정",INDEX(입력_구리근무자명단!$A$1:$GZ$303,$A233,$G$2+1)&amp;"",INDEX(입력_구리근무자명단!$A$1:$GZ$303,$A233,$G$2+0)&amp;"")))</f>
        <v/>
      </c>
      <c r="E233" s="26">
        <f>IF($D233="","",$I$2)</f>
        <v/>
      </c>
      <c r="F233" s="28">
        <f>IF($D233="","",IF(INDEX(입력_구리근무자명단!$A$1:$GZ$303,$A233,$G$2+2)="",출력_요약!$B$3,IF(ISNUMBER(INDEX(입력_구리근무자명단!$A$1:$GZ$303,$A233,$G$2+2)),INDEX(입력_구리근무자명단!$A$1:$GZ$303,$A233,$G$2+2),IFERROR(DATE(VALUE(LEFT(INDEX(입력_구리근무자명단!$A$1:$GZ$303,$A233,$G$2+2),4)),VALUE(MID(INDEX(입력_구리근무자명단!$A$1:$GZ$303,$A233,$G$2+2),6,2)),VALUE(MID(INDEX(입력_구리근무자명단!$A$1:$GZ$303,$A233,$G$2+2),9,2))),IFERROR(DATEVALUE(SUBSTITUTE(TRIM(INDEX(입력_구리근무자명단!$A$1:$GZ$303,$A233,$G$2+2)),".","-")),"⚠"&amp;INDEX(입력_구리근무자명단!$A$1:$GZ$303,$A233,$G$2+2))))))</f>
        <v/>
      </c>
      <c r="G233" s="28">
        <f>IF($D233="","",IF(INDEX(입력_구리근무자명단!$A$1:$GZ$303,$A233,$G$2+3)="",EOMONTH(출력_요약!$B$3,0),IF(ISNUMBER(INDEX(입력_구리근무자명단!$A$1:$GZ$303,$A233,$G$2+3)),INDEX(입력_구리근무자명단!$A$1:$GZ$303,$A233,$G$2+3),IFERROR(DATE(VALUE(LEFT(INDEX(입력_구리근무자명단!$A$1:$GZ$303,$A233,$G$2+3),4)),VALUE(MID(INDEX(입력_구리근무자명단!$A$1:$GZ$303,$A233,$G$2+3),6,2)),VALUE(MID(INDEX(입력_구리근무자명단!$A$1:$GZ$303,$A233,$G$2+3),9,2))),IFERROR(DATEVALUE(SUBSTITUTE(TRIM(INDEX(입력_구리근무자명단!$A$1:$GZ$303,$A233,$G$2+3)),".","-")),"⚠"&amp;INDEX(입력_구리근무자명단!$A$1:$GZ$303,$A233,$G$2+3))))))</f>
        <v/>
      </c>
      <c r="H233" s="26">
        <f>IF($D233="","",IF(OR(NOT(ISNUMBER($F233)),NOT(ISNUMBER($G233))),0,MAX(0,MIN($G233,EOMONTH(출력_요약!$B$3,0))-MAX($F233,출력_요약!$B$3)+1)))</f>
        <v/>
      </c>
      <c r="I233" s="26">
        <f>IF($D233="","",TRIM(INDEX(입력_구리근무자명단!$A$1:$GZ$303,$A233,$G$2+5)&amp;""))</f>
        <v/>
      </c>
      <c r="J233" s="26">
        <f>IF($D233="","",IF(ISNUMBER(SEARCH("구리독자",$I233)),"구리독자",""))</f>
        <v/>
      </c>
      <c r="K233" s="29">
        <f>IF($D233="","",IF(COUNTIFS(입력_전공의명단!$C$2:$C$401,$D233,입력_전공의명단!$F$2:$F$401,IF(OR($C233="인턴",ISNUMBER(SEARCH("수련교육부",$B233))),"인턴",$B233))=1,MATCH($D233&amp;"|"&amp;IF(OR($C233="인턴",ISNUMBER(SEARCH("수련교육부",$B233))),"인턴",$B233),입력_전공의명단!$AP$2:$AP$401,0),IF(AND(COUNTIFS(입력_전공의명단!$C$2:$C$401,$D233,입력_전공의명단!$F$2:$F$401,IF(OR($C233="인턴",ISNUMBER(SEARCH("수련교육부",$B233))),"인턴",$B233))=0,COUNTIF(입력_전공의명단!$C$2:$C$401,$D233)=1),MATCH($D233,입력_전공의명단!$C$2:$C$401,0),"")))</f>
        <v/>
      </c>
      <c r="L233" s="26">
        <f>IF($D233="","",IF($K233&lt;&gt;"",IF(COUNTIFS(입력_전공의명단!$C$2:$C$401,$D233,입력_전공의명단!$F$2:$F$401,IF(OR($C233="인턴",ISNUMBER(SEARCH("수련교육부",$B233))),"인턴",$B233))=1,"명단 일치","명단 일치(이름만, 과 다름)"),IF(COUNTIF(입력_전공의명단!$C$2:$C$401,$D233)=0,IF(COUNTIF(입력_기본자료!$C$2:$C$1001,$D233)&gt;0,"명단에 없음(기본자료에는 있음)","명단에 없음"),"동명이인 확인")))</f>
        <v/>
      </c>
    </row>
    <row r="234">
      <c r="A234" s="29" t="n">
        <v>232</v>
      </c>
      <c r="B234" s="26">
        <f>IF(TRIM(INDEX(입력_구리근무자명단!$A$1:$GZ$303,$A234,1)&amp;"")&lt;&gt;"",TRIM(INDEX(입력_구리근무자명단!$A$1:$GZ$303,$A234,1)&amp;""),B233)</f>
        <v/>
      </c>
      <c r="C234" s="26">
        <f>IF(INDEX(입력_구리근무자명단!$A$1:$GZ$303,$A234,2)="","",INDEX(입력_구리근무자명단!$A$1:$GZ$303,$A234,2))</f>
        <v/>
      </c>
      <c r="D234" s="26">
        <f>IF($G$2="","",TRIM(IF($I$2="확정",INDEX(입력_구리근무자명단!$A$1:$GZ$303,$A234,$G$2+1)&amp;"",INDEX(입력_구리근무자명단!$A$1:$GZ$303,$A234,$G$2+0)&amp;"")))</f>
        <v/>
      </c>
      <c r="E234" s="26">
        <f>IF($D234="","",$I$2)</f>
        <v/>
      </c>
      <c r="F234" s="28">
        <f>IF($D234="","",IF(INDEX(입력_구리근무자명단!$A$1:$GZ$303,$A234,$G$2+2)="",출력_요약!$B$3,IF(ISNUMBER(INDEX(입력_구리근무자명단!$A$1:$GZ$303,$A234,$G$2+2)),INDEX(입력_구리근무자명단!$A$1:$GZ$303,$A234,$G$2+2),IFERROR(DATE(VALUE(LEFT(INDEX(입력_구리근무자명단!$A$1:$GZ$303,$A234,$G$2+2),4)),VALUE(MID(INDEX(입력_구리근무자명단!$A$1:$GZ$303,$A234,$G$2+2),6,2)),VALUE(MID(INDEX(입력_구리근무자명단!$A$1:$GZ$303,$A234,$G$2+2),9,2))),IFERROR(DATEVALUE(SUBSTITUTE(TRIM(INDEX(입력_구리근무자명단!$A$1:$GZ$303,$A234,$G$2+2)),".","-")),"⚠"&amp;INDEX(입력_구리근무자명단!$A$1:$GZ$303,$A234,$G$2+2))))))</f>
        <v/>
      </c>
      <c r="G234" s="28">
        <f>IF($D234="","",IF(INDEX(입력_구리근무자명단!$A$1:$GZ$303,$A234,$G$2+3)="",EOMONTH(출력_요약!$B$3,0),IF(ISNUMBER(INDEX(입력_구리근무자명단!$A$1:$GZ$303,$A234,$G$2+3)),INDEX(입력_구리근무자명단!$A$1:$GZ$303,$A234,$G$2+3),IFERROR(DATE(VALUE(LEFT(INDEX(입력_구리근무자명단!$A$1:$GZ$303,$A234,$G$2+3),4)),VALUE(MID(INDEX(입력_구리근무자명단!$A$1:$GZ$303,$A234,$G$2+3),6,2)),VALUE(MID(INDEX(입력_구리근무자명단!$A$1:$GZ$303,$A234,$G$2+3),9,2))),IFERROR(DATEVALUE(SUBSTITUTE(TRIM(INDEX(입력_구리근무자명단!$A$1:$GZ$303,$A234,$G$2+3)),".","-")),"⚠"&amp;INDEX(입력_구리근무자명단!$A$1:$GZ$303,$A234,$G$2+3))))))</f>
        <v/>
      </c>
      <c r="H234" s="26">
        <f>IF($D234="","",IF(OR(NOT(ISNUMBER($F234)),NOT(ISNUMBER($G234))),0,MAX(0,MIN($G234,EOMONTH(출력_요약!$B$3,0))-MAX($F234,출력_요약!$B$3)+1)))</f>
        <v/>
      </c>
      <c r="I234" s="26">
        <f>IF($D234="","",TRIM(INDEX(입력_구리근무자명단!$A$1:$GZ$303,$A234,$G$2+5)&amp;""))</f>
        <v/>
      </c>
      <c r="J234" s="26">
        <f>IF($D234="","",IF(ISNUMBER(SEARCH("구리독자",$I234)),"구리독자",""))</f>
        <v/>
      </c>
      <c r="K234" s="29">
        <f>IF($D234="","",IF(COUNTIFS(입력_전공의명단!$C$2:$C$401,$D234,입력_전공의명단!$F$2:$F$401,IF(OR($C234="인턴",ISNUMBER(SEARCH("수련교육부",$B234))),"인턴",$B234))=1,MATCH($D234&amp;"|"&amp;IF(OR($C234="인턴",ISNUMBER(SEARCH("수련교육부",$B234))),"인턴",$B234),입력_전공의명단!$AP$2:$AP$401,0),IF(AND(COUNTIFS(입력_전공의명단!$C$2:$C$401,$D234,입력_전공의명단!$F$2:$F$401,IF(OR($C234="인턴",ISNUMBER(SEARCH("수련교육부",$B234))),"인턴",$B234))=0,COUNTIF(입력_전공의명단!$C$2:$C$401,$D234)=1),MATCH($D234,입력_전공의명단!$C$2:$C$401,0),"")))</f>
        <v/>
      </c>
      <c r="L234" s="26">
        <f>IF($D234="","",IF($K234&lt;&gt;"",IF(COUNTIFS(입력_전공의명단!$C$2:$C$401,$D234,입력_전공의명단!$F$2:$F$401,IF(OR($C234="인턴",ISNUMBER(SEARCH("수련교육부",$B234))),"인턴",$B234))=1,"명단 일치","명단 일치(이름만, 과 다름)"),IF(COUNTIF(입력_전공의명단!$C$2:$C$401,$D234)=0,IF(COUNTIF(입력_기본자료!$C$2:$C$1001,$D234)&gt;0,"명단에 없음(기본자료에는 있음)","명단에 없음"),"동명이인 확인")))</f>
        <v/>
      </c>
    </row>
    <row r="235">
      <c r="A235" s="29" t="n">
        <v>233</v>
      </c>
      <c r="B235" s="26">
        <f>IF(TRIM(INDEX(입력_구리근무자명단!$A$1:$GZ$303,$A235,1)&amp;"")&lt;&gt;"",TRIM(INDEX(입력_구리근무자명단!$A$1:$GZ$303,$A235,1)&amp;""),B234)</f>
        <v/>
      </c>
      <c r="C235" s="26">
        <f>IF(INDEX(입력_구리근무자명단!$A$1:$GZ$303,$A235,2)="","",INDEX(입력_구리근무자명단!$A$1:$GZ$303,$A235,2))</f>
        <v/>
      </c>
      <c r="D235" s="26">
        <f>IF($G$2="","",TRIM(IF($I$2="확정",INDEX(입력_구리근무자명단!$A$1:$GZ$303,$A235,$G$2+1)&amp;"",INDEX(입력_구리근무자명단!$A$1:$GZ$303,$A235,$G$2+0)&amp;"")))</f>
        <v/>
      </c>
      <c r="E235" s="26">
        <f>IF($D235="","",$I$2)</f>
        <v/>
      </c>
      <c r="F235" s="28">
        <f>IF($D235="","",IF(INDEX(입력_구리근무자명단!$A$1:$GZ$303,$A235,$G$2+2)="",출력_요약!$B$3,IF(ISNUMBER(INDEX(입력_구리근무자명단!$A$1:$GZ$303,$A235,$G$2+2)),INDEX(입력_구리근무자명단!$A$1:$GZ$303,$A235,$G$2+2),IFERROR(DATE(VALUE(LEFT(INDEX(입력_구리근무자명단!$A$1:$GZ$303,$A235,$G$2+2),4)),VALUE(MID(INDEX(입력_구리근무자명단!$A$1:$GZ$303,$A235,$G$2+2),6,2)),VALUE(MID(INDEX(입력_구리근무자명단!$A$1:$GZ$303,$A235,$G$2+2),9,2))),IFERROR(DATEVALUE(SUBSTITUTE(TRIM(INDEX(입력_구리근무자명단!$A$1:$GZ$303,$A235,$G$2+2)),".","-")),"⚠"&amp;INDEX(입력_구리근무자명단!$A$1:$GZ$303,$A235,$G$2+2))))))</f>
        <v/>
      </c>
      <c r="G235" s="28">
        <f>IF($D235="","",IF(INDEX(입력_구리근무자명단!$A$1:$GZ$303,$A235,$G$2+3)="",EOMONTH(출력_요약!$B$3,0),IF(ISNUMBER(INDEX(입력_구리근무자명단!$A$1:$GZ$303,$A235,$G$2+3)),INDEX(입력_구리근무자명단!$A$1:$GZ$303,$A235,$G$2+3),IFERROR(DATE(VALUE(LEFT(INDEX(입력_구리근무자명단!$A$1:$GZ$303,$A235,$G$2+3),4)),VALUE(MID(INDEX(입력_구리근무자명단!$A$1:$GZ$303,$A235,$G$2+3),6,2)),VALUE(MID(INDEX(입력_구리근무자명단!$A$1:$GZ$303,$A235,$G$2+3),9,2))),IFERROR(DATEVALUE(SUBSTITUTE(TRIM(INDEX(입력_구리근무자명단!$A$1:$GZ$303,$A235,$G$2+3)),".","-")),"⚠"&amp;INDEX(입력_구리근무자명단!$A$1:$GZ$303,$A235,$G$2+3))))))</f>
        <v/>
      </c>
      <c r="H235" s="26">
        <f>IF($D235="","",IF(OR(NOT(ISNUMBER($F235)),NOT(ISNUMBER($G235))),0,MAX(0,MIN($G235,EOMONTH(출력_요약!$B$3,0))-MAX($F235,출력_요약!$B$3)+1)))</f>
        <v/>
      </c>
      <c r="I235" s="26">
        <f>IF($D235="","",TRIM(INDEX(입력_구리근무자명단!$A$1:$GZ$303,$A235,$G$2+5)&amp;""))</f>
        <v/>
      </c>
      <c r="J235" s="26">
        <f>IF($D235="","",IF(ISNUMBER(SEARCH("구리독자",$I235)),"구리독자",""))</f>
        <v/>
      </c>
      <c r="K235" s="29">
        <f>IF($D235="","",IF(COUNTIFS(입력_전공의명단!$C$2:$C$401,$D235,입력_전공의명단!$F$2:$F$401,IF(OR($C235="인턴",ISNUMBER(SEARCH("수련교육부",$B235))),"인턴",$B235))=1,MATCH($D235&amp;"|"&amp;IF(OR($C235="인턴",ISNUMBER(SEARCH("수련교육부",$B235))),"인턴",$B235),입력_전공의명단!$AP$2:$AP$401,0),IF(AND(COUNTIFS(입력_전공의명단!$C$2:$C$401,$D235,입력_전공의명단!$F$2:$F$401,IF(OR($C235="인턴",ISNUMBER(SEARCH("수련교육부",$B235))),"인턴",$B235))=0,COUNTIF(입력_전공의명단!$C$2:$C$401,$D235)=1),MATCH($D235,입력_전공의명단!$C$2:$C$401,0),"")))</f>
        <v/>
      </c>
      <c r="L235" s="26">
        <f>IF($D235="","",IF($K235&lt;&gt;"",IF(COUNTIFS(입력_전공의명단!$C$2:$C$401,$D235,입력_전공의명단!$F$2:$F$401,IF(OR($C235="인턴",ISNUMBER(SEARCH("수련교육부",$B235))),"인턴",$B235))=1,"명단 일치","명단 일치(이름만, 과 다름)"),IF(COUNTIF(입력_전공의명단!$C$2:$C$401,$D235)=0,IF(COUNTIF(입력_기본자료!$C$2:$C$1001,$D235)&gt;0,"명단에 없음(기본자료에는 있음)","명단에 없음"),"동명이인 확인")))</f>
        <v/>
      </c>
    </row>
    <row r="236">
      <c r="A236" s="29" t="n">
        <v>234</v>
      </c>
      <c r="B236" s="26">
        <f>IF(TRIM(INDEX(입력_구리근무자명단!$A$1:$GZ$303,$A236,1)&amp;"")&lt;&gt;"",TRIM(INDEX(입력_구리근무자명단!$A$1:$GZ$303,$A236,1)&amp;""),B235)</f>
        <v/>
      </c>
      <c r="C236" s="26">
        <f>IF(INDEX(입력_구리근무자명단!$A$1:$GZ$303,$A236,2)="","",INDEX(입력_구리근무자명단!$A$1:$GZ$303,$A236,2))</f>
        <v/>
      </c>
      <c r="D236" s="26">
        <f>IF($G$2="","",TRIM(IF($I$2="확정",INDEX(입력_구리근무자명단!$A$1:$GZ$303,$A236,$G$2+1)&amp;"",INDEX(입력_구리근무자명단!$A$1:$GZ$303,$A236,$G$2+0)&amp;"")))</f>
        <v/>
      </c>
      <c r="E236" s="26">
        <f>IF($D236="","",$I$2)</f>
        <v/>
      </c>
      <c r="F236" s="28">
        <f>IF($D236="","",IF(INDEX(입력_구리근무자명단!$A$1:$GZ$303,$A236,$G$2+2)="",출력_요약!$B$3,IF(ISNUMBER(INDEX(입력_구리근무자명단!$A$1:$GZ$303,$A236,$G$2+2)),INDEX(입력_구리근무자명단!$A$1:$GZ$303,$A236,$G$2+2),IFERROR(DATE(VALUE(LEFT(INDEX(입력_구리근무자명단!$A$1:$GZ$303,$A236,$G$2+2),4)),VALUE(MID(INDEX(입력_구리근무자명단!$A$1:$GZ$303,$A236,$G$2+2),6,2)),VALUE(MID(INDEX(입력_구리근무자명단!$A$1:$GZ$303,$A236,$G$2+2),9,2))),IFERROR(DATEVALUE(SUBSTITUTE(TRIM(INDEX(입력_구리근무자명단!$A$1:$GZ$303,$A236,$G$2+2)),".","-")),"⚠"&amp;INDEX(입력_구리근무자명단!$A$1:$GZ$303,$A236,$G$2+2))))))</f>
        <v/>
      </c>
      <c r="G236" s="28">
        <f>IF($D236="","",IF(INDEX(입력_구리근무자명단!$A$1:$GZ$303,$A236,$G$2+3)="",EOMONTH(출력_요약!$B$3,0),IF(ISNUMBER(INDEX(입력_구리근무자명단!$A$1:$GZ$303,$A236,$G$2+3)),INDEX(입력_구리근무자명단!$A$1:$GZ$303,$A236,$G$2+3),IFERROR(DATE(VALUE(LEFT(INDEX(입력_구리근무자명단!$A$1:$GZ$303,$A236,$G$2+3),4)),VALUE(MID(INDEX(입력_구리근무자명단!$A$1:$GZ$303,$A236,$G$2+3),6,2)),VALUE(MID(INDEX(입력_구리근무자명단!$A$1:$GZ$303,$A236,$G$2+3),9,2))),IFERROR(DATEVALUE(SUBSTITUTE(TRIM(INDEX(입력_구리근무자명단!$A$1:$GZ$303,$A236,$G$2+3)),".","-")),"⚠"&amp;INDEX(입력_구리근무자명단!$A$1:$GZ$303,$A236,$G$2+3))))))</f>
        <v/>
      </c>
      <c r="H236" s="26">
        <f>IF($D236="","",IF(OR(NOT(ISNUMBER($F236)),NOT(ISNUMBER($G236))),0,MAX(0,MIN($G236,EOMONTH(출력_요약!$B$3,0))-MAX($F236,출력_요약!$B$3)+1)))</f>
        <v/>
      </c>
      <c r="I236" s="26">
        <f>IF($D236="","",TRIM(INDEX(입력_구리근무자명단!$A$1:$GZ$303,$A236,$G$2+5)&amp;""))</f>
        <v/>
      </c>
      <c r="J236" s="26">
        <f>IF($D236="","",IF(ISNUMBER(SEARCH("구리독자",$I236)),"구리독자",""))</f>
        <v/>
      </c>
      <c r="K236" s="29">
        <f>IF($D236="","",IF(COUNTIFS(입력_전공의명단!$C$2:$C$401,$D236,입력_전공의명단!$F$2:$F$401,IF(OR($C236="인턴",ISNUMBER(SEARCH("수련교육부",$B236))),"인턴",$B236))=1,MATCH($D236&amp;"|"&amp;IF(OR($C236="인턴",ISNUMBER(SEARCH("수련교육부",$B236))),"인턴",$B236),입력_전공의명단!$AP$2:$AP$401,0),IF(AND(COUNTIFS(입력_전공의명단!$C$2:$C$401,$D236,입력_전공의명단!$F$2:$F$401,IF(OR($C236="인턴",ISNUMBER(SEARCH("수련교육부",$B236))),"인턴",$B236))=0,COUNTIF(입력_전공의명단!$C$2:$C$401,$D236)=1),MATCH($D236,입력_전공의명단!$C$2:$C$401,0),"")))</f>
        <v/>
      </c>
      <c r="L236" s="26">
        <f>IF($D236="","",IF($K236&lt;&gt;"",IF(COUNTIFS(입력_전공의명단!$C$2:$C$401,$D236,입력_전공의명단!$F$2:$F$401,IF(OR($C236="인턴",ISNUMBER(SEARCH("수련교육부",$B236))),"인턴",$B236))=1,"명단 일치","명단 일치(이름만, 과 다름)"),IF(COUNTIF(입력_전공의명단!$C$2:$C$401,$D236)=0,IF(COUNTIF(입력_기본자료!$C$2:$C$1001,$D236)&gt;0,"명단에 없음(기본자료에는 있음)","명단에 없음"),"동명이인 확인")))</f>
        <v/>
      </c>
    </row>
    <row r="237">
      <c r="A237" s="29" t="n">
        <v>235</v>
      </c>
      <c r="B237" s="26">
        <f>IF(TRIM(INDEX(입력_구리근무자명단!$A$1:$GZ$303,$A237,1)&amp;"")&lt;&gt;"",TRIM(INDEX(입력_구리근무자명단!$A$1:$GZ$303,$A237,1)&amp;""),B236)</f>
        <v/>
      </c>
      <c r="C237" s="26">
        <f>IF(INDEX(입력_구리근무자명단!$A$1:$GZ$303,$A237,2)="","",INDEX(입력_구리근무자명단!$A$1:$GZ$303,$A237,2))</f>
        <v/>
      </c>
      <c r="D237" s="26">
        <f>IF($G$2="","",TRIM(IF($I$2="확정",INDEX(입력_구리근무자명단!$A$1:$GZ$303,$A237,$G$2+1)&amp;"",INDEX(입력_구리근무자명단!$A$1:$GZ$303,$A237,$G$2+0)&amp;"")))</f>
        <v/>
      </c>
      <c r="E237" s="26">
        <f>IF($D237="","",$I$2)</f>
        <v/>
      </c>
      <c r="F237" s="28">
        <f>IF($D237="","",IF(INDEX(입력_구리근무자명단!$A$1:$GZ$303,$A237,$G$2+2)="",출력_요약!$B$3,IF(ISNUMBER(INDEX(입력_구리근무자명단!$A$1:$GZ$303,$A237,$G$2+2)),INDEX(입력_구리근무자명단!$A$1:$GZ$303,$A237,$G$2+2),IFERROR(DATE(VALUE(LEFT(INDEX(입력_구리근무자명단!$A$1:$GZ$303,$A237,$G$2+2),4)),VALUE(MID(INDEX(입력_구리근무자명단!$A$1:$GZ$303,$A237,$G$2+2),6,2)),VALUE(MID(INDEX(입력_구리근무자명단!$A$1:$GZ$303,$A237,$G$2+2),9,2))),IFERROR(DATEVALUE(SUBSTITUTE(TRIM(INDEX(입력_구리근무자명단!$A$1:$GZ$303,$A237,$G$2+2)),".","-")),"⚠"&amp;INDEX(입력_구리근무자명단!$A$1:$GZ$303,$A237,$G$2+2))))))</f>
        <v/>
      </c>
      <c r="G237" s="28">
        <f>IF($D237="","",IF(INDEX(입력_구리근무자명단!$A$1:$GZ$303,$A237,$G$2+3)="",EOMONTH(출력_요약!$B$3,0),IF(ISNUMBER(INDEX(입력_구리근무자명단!$A$1:$GZ$303,$A237,$G$2+3)),INDEX(입력_구리근무자명단!$A$1:$GZ$303,$A237,$G$2+3),IFERROR(DATE(VALUE(LEFT(INDEX(입력_구리근무자명단!$A$1:$GZ$303,$A237,$G$2+3),4)),VALUE(MID(INDEX(입력_구리근무자명단!$A$1:$GZ$303,$A237,$G$2+3),6,2)),VALUE(MID(INDEX(입력_구리근무자명단!$A$1:$GZ$303,$A237,$G$2+3),9,2))),IFERROR(DATEVALUE(SUBSTITUTE(TRIM(INDEX(입력_구리근무자명단!$A$1:$GZ$303,$A237,$G$2+3)),".","-")),"⚠"&amp;INDEX(입력_구리근무자명단!$A$1:$GZ$303,$A237,$G$2+3))))))</f>
        <v/>
      </c>
      <c r="H237" s="26">
        <f>IF($D237="","",IF(OR(NOT(ISNUMBER($F237)),NOT(ISNUMBER($G237))),0,MAX(0,MIN($G237,EOMONTH(출력_요약!$B$3,0))-MAX($F237,출력_요약!$B$3)+1)))</f>
        <v/>
      </c>
      <c r="I237" s="26">
        <f>IF($D237="","",TRIM(INDEX(입력_구리근무자명단!$A$1:$GZ$303,$A237,$G$2+5)&amp;""))</f>
        <v/>
      </c>
      <c r="J237" s="26">
        <f>IF($D237="","",IF(ISNUMBER(SEARCH("구리독자",$I237)),"구리독자",""))</f>
        <v/>
      </c>
      <c r="K237" s="29">
        <f>IF($D237="","",IF(COUNTIFS(입력_전공의명단!$C$2:$C$401,$D237,입력_전공의명단!$F$2:$F$401,IF(OR($C237="인턴",ISNUMBER(SEARCH("수련교육부",$B237))),"인턴",$B237))=1,MATCH($D237&amp;"|"&amp;IF(OR($C237="인턴",ISNUMBER(SEARCH("수련교육부",$B237))),"인턴",$B237),입력_전공의명단!$AP$2:$AP$401,0),IF(AND(COUNTIFS(입력_전공의명단!$C$2:$C$401,$D237,입력_전공의명단!$F$2:$F$401,IF(OR($C237="인턴",ISNUMBER(SEARCH("수련교육부",$B237))),"인턴",$B237))=0,COUNTIF(입력_전공의명단!$C$2:$C$401,$D237)=1),MATCH($D237,입력_전공의명단!$C$2:$C$401,0),"")))</f>
        <v/>
      </c>
      <c r="L237" s="26">
        <f>IF($D237="","",IF($K237&lt;&gt;"",IF(COUNTIFS(입력_전공의명단!$C$2:$C$401,$D237,입력_전공의명단!$F$2:$F$401,IF(OR($C237="인턴",ISNUMBER(SEARCH("수련교육부",$B237))),"인턴",$B237))=1,"명단 일치","명단 일치(이름만, 과 다름)"),IF(COUNTIF(입력_전공의명단!$C$2:$C$401,$D237)=0,IF(COUNTIF(입력_기본자료!$C$2:$C$1001,$D237)&gt;0,"명단에 없음(기본자료에는 있음)","명단에 없음"),"동명이인 확인")))</f>
        <v/>
      </c>
    </row>
    <row r="238">
      <c r="A238" s="29" t="n">
        <v>236</v>
      </c>
      <c r="B238" s="26">
        <f>IF(TRIM(INDEX(입력_구리근무자명단!$A$1:$GZ$303,$A238,1)&amp;"")&lt;&gt;"",TRIM(INDEX(입력_구리근무자명단!$A$1:$GZ$303,$A238,1)&amp;""),B237)</f>
        <v/>
      </c>
      <c r="C238" s="26">
        <f>IF(INDEX(입력_구리근무자명단!$A$1:$GZ$303,$A238,2)="","",INDEX(입력_구리근무자명단!$A$1:$GZ$303,$A238,2))</f>
        <v/>
      </c>
      <c r="D238" s="26">
        <f>IF($G$2="","",TRIM(IF($I$2="확정",INDEX(입력_구리근무자명단!$A$1:$GZ$303,$A238,$G$2+1)&amp;"",INDEX(입력_구리근무자명단!$A$1:$GZ$303,$A238,$G$2+0)&amp;"")))</f>
        <v/>
      </c>
      <c r="E238" s="26">
        <f>IF($D238="","",$I$2)</f>
        <v/>
      </c>
      <c r="F238" s="28">
        <f>IF($D238="","",IF(INDEX(입력_구리근무자명단!$A$1:$GZ$303,$A238,$G$2+2)="",출력_요약!$B$3,IF(ISNUMBER(INDEX(입력_구리근무자명단!$A$1:$GZ$303,$A238,$G$2+2)),INDEX(입력_구리근무자명단!$A$1:$GZ$303,$A238,$G$2+2),IFERROR(DATE(VALUE(LEFT(INDEX(입력_구리근무자명단!$A$1:$GZ$303,$A238,$G$2+2),4)),VALUE(MID(INDEX(입력_구리근무자명단!$A$1:$GZ$303,$A238,$G$2+2),6,2)),VALUE(MID(INDEX(입력_구리근무자명단!$A$1:$GZ$303,$A238,$G$2+2),9,2))),IFERROR(DATEVALUE(SUBSTITUTE(TRIM(INDEX(입력_구리근무자명단!$A$1:$GZ$303,$A238,$G$2+2)),".","-")),"⚠"&amp;INDEX(입력_구리근무자명단!$A$1:$GZ$303,$A238,$G$2+2))))))</f>
        <v/>
      </c>
      <c r="G238" s="28">
        <f>IF($D238="","",IF(INDEX(입력_구리근무자명단!$A$1:$GZ$303,$A238,$G$2+3)="",EOMONTH(출력_요약!$B$3,0),IF(ISNUMBER(INDEX(입력_구리근무자명단!$A$1:$GZ$303,$A238,$G$2+3)),INDEX(입력_구리근무자명단!$A$1:$GZ$303,$A238,$G$2+3),IFERROR(DATE(VALUE(LEFT(INDEX(입력_구리근무자명단!$A$1:$GZ$303,$A238,$G$2+3),4)),VALUE(MID(INDEX(입력_구리근무자명단!$A$1:$GZ$303,$A238,$G$2+3),6,2)),VALUE(MID(INDEX(입력_구리근무자명단!$A$1:$GZ$303,$A238,$G$2+3),9,2))),IFERROR(DATEVALUE(SUBSTITUTE(TRIM(INDEX(입력_구리근무자명단!$A$1:$GZ$303,$A238,$G$2+3)),".","-")),"⚠"&amp;INDEX(입력_구리근무자명단!$A$1:$GZ$303,$A238,$G$2+3))))))</f>
        <v/>
      </c>
      <c r="H238" s="26">
        <f>IF($D238="","",IF(OR(NOT(ISNUMBER($F238)),NOT(ISNUMBER($G238))),0,MAX(0,MIN($G238,EOMONTH(출력_요약!$B$3,0))-MAX($F238,출력_요약!$B$3)+1)))</f>
        <v/>
      </c>
      <c r="I238" s="26">
        <f>IF($D238="","",TRIM(INDEX(입력_구리근무자명단!$A$1:$GZ$303,$A238,$G$2+5)&amp;""))</f>
        <v/>
      </c>
      <c r="J238" s="26">
        <f>IF($D238="","",IF(ISNUMBER(SEARCH("구리독자",$I238)),"구리독자",""))</f>
        <v/>
      </c>
      <c r="K238" s="29">
        <f>IF($D238="","",IF(COUNTIFS(입력_전공의명단!$C$2:$C$401,$D238,입력_전공의명단!$F$2:$F$401,IF(OR($C238="인턴",ISNUMBER(SEARCH("수련교육부",$B238))),"인턴",$B238))=1,MATCH($D238&amp;"|"&amp;IF(OR($C238="인턴",ISNUMBER(SEARCH("수련교육부",$B238))),"인턴",$B238),입력_전공의명단!$AP$2:$AP$401,0),IF(AND(COUNTIFS(입력_전공의명단!$C$2:$C$401,$D238,입력_전공의명단!$F$2:$F$401,IF(OR($C238="인턴",ISNUMBER(SEARCH("수련교육부",$B238))),"인턴",$B238))=0,COUNTIF(입력_전공의명단!$C$2:$C$401,$D238)=1),MATCH($D238,입력_전공의명단!$C$2:$C$401,0),"")))</f>
        <v/>
      </c>
      <c r="L238" s="26">
        <f>IF($D238="","",IF($K238&lt;&gt;"",IF(COUNTIFS(입력_전공의명단!$C$2:$C$401,$D238,입력_전공의명단!$F$2:$F$401,IF(OR($C238="인턴",ISNUMBER(SEARCH("수련교육부",$B238))),"인턴",$B238))=1,"명단 일치","명단 일치(이름만, 과 다름)"),IF(COUNTIF(입력_전공의명단!$C$2:$C$401,$D238)=0,IF(COUNTIF(입력_기본자료!$C$2:$C$1001,$D238)&gt;0,"명단에 없음(기본자료에는 있음)","명단에 없음"),"동명이인 확인")))</f>
        <v/>
      </c>
    </row>
    <row r="239">
      <c r="A239" s="29" t="n">
        <v>237</v>
      </c>
      <c r="B239" s="26">
        <f>IF(TRIM(INDEX(입력_구리근무자명단!$A$1:$GZ$303,$A239,1)&amp;"")&lt;&gt;"",TRIM(INDEX(입력_구리근무자명단!$A$1:$GZ$303,$A239,1)&amp;""),B238)</f>
        <v/>
      </c>
      <c r="C239" s="26">
        <f>IF(INDEX(입력_구리근무자명단!$A$1:$GZ$303,$A239,2)="","",INDEX(입력_구리근무자명단!$A$1:$GZ$303,$A239,2))</f>
        <v/>
      </c>
      <c r="D239" s="26">
        <f>IF($G$2="","",TRIM(IF($I$2="확정",INDEX(입력_구리근무자명단!$A$1:$GZ$303,$A239,$G$2+1)&amp;"",INDEX(입력_구리근무자명단!$A$1:$GZ$303,$A239,$G$2+0)&amp;"")))</f>
        <v/>
      </c>
      <c r="E239" s="26">
        <f>IF($D239="","",$I$2)</f>
        <v/>
      </c>
      <c r="F239" s="28">
        <f>IF($D239="","",IF(INDEX(입력_구리근무자명단!$A$1:$GZ$303,$A239,$G$2+2)="",출력_요약!$B$3,IF(ISNUMBER(INDEX(입력_구리근무자명단!$A$1:$GZ$303,$A239,$G$2+2)),INDEX(입력_구리근무자명단!$A$1:$GZ$303,$A239,$G$2+2),IFERROR(DATE(VALUE(LEFT(INDEX(입력_구리근무자명단!$A$1:$GZ$303,$A239,$G$2+2),4)),VALUE(MID(INDEX(입력_구리근무자명단!$A$1:$GZ$303,$A239,$G$2+2),6,2)),VALUE(MID(INDEX(입력_구리근무자명단!$A$1:$GZ$303,$A239,$G$2+2),9,2))),IFERROR(DATEVALUE(SUBSTITUTE(TRIM(INDEX(입력_구리근무자명단!$A$1:$GZ$303,$A239,$G$2+2)),".","-")),"⚠"&amp;INDEX(입력_구리근무자명단!$A$1:$GZ$303,$A239,$G$2+2))))))</f>
        <v/>
      </c>
      <c r="G239" s="28">
        <f>IF($D239="","",IF(INDEX(입력_구리근무자명단!$A$1:$GZ$303,$A239,$G$2+3)="",EOMONTH(출력_요약!$B$3,0),IF(ISNUMBER(INDEX(입력_구리근무자명단!$A$1:$GZ$303,$A239,$G$2+3)),INDEX(입력_구리근무자명단!$A$1:$GZ$303,$A239,$G$2+3),IFERROR(DATE(VALUE(LEFT(INDEX(입력_구리근무자명단!$A$1:$GZ$303,$A239,$G$2+3),4)),VALUE(MID(INDEX(입력_구리근무자명단!$A$1:$GZ$303,$A239,$G$2+3),6,2)),VALUE(MID(INDEX(입력_구리근무자명단!$A$1:$GZ$303,$A239,$G$2+3),9,2))),IFERROR(DATEVALUE(SUBSTITUTE(TRIM(INDEX(입력_구리근무자명단!$A$1:$GZ$303,$A239,$G$2+3)),".","-")),"⚠"&amp;INDEX(입력_구리근무자명단!$A$1:$GZ$303,$A239,$G$2+3))))))</f>
        <v/>
      </c>
      <c r="H239" s="26">
        <f>IF($D239="","",IF(OR(NOT(ISNUMBER($F239)),NOT(ISNUMBER($G239))),0,MAX(0,MIN($G239,EOMONTH(출력_요약!$B$3,0))-MAX($F239,출력_요약!$B$3)+1)))</f>
        <v/>
      </c>
      <c r="I239" s="26">
        <f>IF($D239="","",TRIM(INDEX(입력_구리근무자명단!$A$1:$GZ$303,$A239,$G$2+5)&amp;""))</f>
        <v/>
      </c>
      <c r="J239" s="26">
        <f>IF($D239="","",IF(ISNUMBER(SEARCH("구리독자",$I239)),"구리독자",""))</f>
        <v/>
      </c>
      <c r="K239" s="29">
        <f>IF($D239="","",IF(COUNTIFS(입력_전공의명단!$C$2:$C$401,$D239,입력_전공의명단!$F$2:$F$401,IF(OR($C239="인턴",ISNUMBER(SEARCH("수련교육부",$B239))),"인턴",$B239))=1,MATCH($D239&amp;"|"&amp;IF(OR($C239="인턴",ISNUMBER(SEARCH("수련교육부",$B239))),"인턴",$B239),입력_전공의명단!$AP$2:$AP$401,0),IF(AND(COUNTIFS(입력_전공의명단!$C$2:$C$401,$D239,입력_전공의명단!$F$2:$F$401,IF(OR($C239="인턴",ISNUMBER(SEARCH("수련교육부",$B239))),"인턴",$B239))=0,COUNTIF(입력_전공의명단!$C$2:$C$401,$D239)=1),MATCH($D239,입력_전공의명단!$C$2:$C$401,0),"")))</f>
        <v/>
      </c>
      <c r="L239" s="26">
        <f>IF($D239="","",IF($K239&lt;&gt;"",IF(COUNTIFS(입력_전공의명단!$C$2:$C$401,$D239,입력_전공의명단!$F$2:$F$401,IF(OR($C239="인턴",ISNUMBER(SEARCH("수련교육부",$B239))),"인턴",$B239))=1,"명단 일치","명단 일치(이름만, 과 다름)"),IF(COUNTIF(입력_전공의명단!$C$2:$C$401,$D239)=0,IF(COUNTIF(입력_기본자료!$C$2:$C$1001,$D239)&gt;0,"명단에 없음(기본자료에는 있음)","명단에 없음"),"동명이인 확인")))</f>
        <v/>
      </c>
    </row>
    <row r="240">
      <c r="A240" s="29" t="n">
        <v>238</v>
      </c>
      <c r="B240" s="26">
        <f>IF(TRIM(INDEX(입력_구리근무자명단!$A$1:$GZ$303,$A240,1)&amp;"")&lt;&gt;"",TRIM(INDEX(입력_구리근무자명단!$A$1:$GZ$303,$A240,1)&amp;""),B239)</f>
        <v/>
      </c>
      <c r="C240" s="26">
        <f>IF(INDEX(입력_구리근무자명단!$A$1:$GZ$303,$A240,2)="","",INDEX(입력_구리근무자명단!$A$1:$GZ$303,$A240,2))</f>
        <v/>
      </c>
      <c r="D240" s="26">
        <f>IF($G$2="","",TRIM(IF($I$2="확정",INDEX(입력_구리근무자명단!$A$1:$GZ$303,$A240,$G$2+1)&amp;"",INDEX(입력_구리근무자명단!$A$1:$GZ$303,$A240,$G$2+0)&amp;"")))</f>
        <v/>
      </c>
      <c r="E240" s="26">
        <f>IF($D240="","",$I$2)</f>
        <v/>
      </c>
      <c r="F240" s="28">
        <f>IF($D240="","",IF(INDEX(입력_구리근무자명단!$A$1:$GZ$303,$A240,$G$2+2)="",출력_요약!$B$3,IF(ISNUMBER(INDEX(입력_구리근무자명단!$A$1:$GZ$303,$A240,$G$2+2)),INDEX(입력_구리근무자명단!$A$1:$GZ$303,$A240,$G$2+2),IFERROR(DATE(VALUE(LEFT(INDEX(입력_구리근무자명단!$A$1:$GZ$303,$A240,$G$2+2),4)),VALUE(MID(INDEX(입력_구리근무자명단!$A$1:$GZ$303,$A240,$G$2+2),6,2)),VALUE(MID(INDEX(입력_구리근무자명단!$A$1:$GZ$303,$A240,$G$2+2),9,2))),IFERROR(DATEVALUE(SUBSTITUTE(TRIM(INDEX(입력_구리근무자명단!$A$1:$GZ$303,$A240,$G$2+2)),".","-")),"⚠"&amp;INDEX(입력_구리근무자명단!$A$1:$GZ$303,$A240,$G$2+2))))))</f>
        <v/>
      </c>
      <c r="G240" s="28">
        <f>IF($D240="","",IF(INDEX(입력_구리근무자명단!$A$1:$GZ$303,$A240,$G$2+3)="",EOMONTH(출력_요약!$B$3,0),IF(ISNUMBER(INDEX(입력_구리근무자명단!$A$1:$GZ$303,$A240,$G$2+3)),INDEX(입력_구리근무자명단!$A$1:$GZ$303,$A240,$G$2+3),IFERROR(DATE(VALUE(LEFT(INDEX(입력_구리근무자명단!$A$1:$GZ$303,$A240,$G$2+3),4)),VALUE(MID(INDEX(입력_구리근무자명단!$A$1:$GZ$303,$A240,$G$2+3),6,2)),VALUE(MID(INDEX(입력_구리근무자명단!$A$1:$GZ$303,$A240,$G$2+3),9,2))),IFERROR(DATEVALUE(SUBSTITUTE(TRIM(INDEX(입력_구리근무자명단!$A$1:$GZ$303,$A240,$G$2+3)),".","-")),"⚠"&amp;INDEX(입력_구리근무자명단!$A$1:$GZ$303,$A240,$G$2+3))))))</f>
        <v/>
      </c>
      <c r="H240" s="26">
        <f>IF($D240="","",IF(OR(NOT(ISNUMBER($F240)),NOT(ISNUMBER($G240))),0,MAX(0,MIN($G240,EOMONTH(출력_요약!$B$3,0))-MAX($F240,출력_요약!$B$3)+1)))</f>
        <v/>
      </c>
      <c r="I240" s="26">
        <f>IF($D240="","",TRIM(INDEX(입력_구리근무자명단!$A$1:$GZ$303,$A240,$G$2+5)&amp;""))</f>
        <v/>
      </c>
      <c r="J240" s="26">
        <f>IF($D240="","",IF(ISNUMBER(SEARCH("구리독자",$I240)),"구리독자",""))</f>
        <v/>
      </c>
      <c r="K240" s="29">
        <f>IF($D240="","",IF(COUNTIFS(입력_전공의명단!$C$2:$C$401,$D240,입력_전공의명단!$F$2:$F$401,IF(OR($C240="인턴",ISNUMBER(SEARCH("수련교육부",$B240))),"인턴",$B240))=1,MATCH($D240&amp;"|"&amp;IF(OR($C240="인턴",ISNUMBER(SEARCH("수련교육부",$B240))),"인턴",$B240),입력_전공의명단!$AP$2:$AP$401,0),IF(AND(COUNTIFS(입력_전공의명단!$C$2:$C$401,$D240,입력_전공의명단!$F$2:$F$401,IF(OR($C240="인턴",ISNUMBER(SEARCH("수련교육부",$B240))),"인턴",$B240))=0,COUNTIF(입력_전공의명단!$C$2:$C$401,$D240)=1),MATCH($D240,입력_전공의명단!$C$2:$C$401,0),"")))</f>
        <v/>
      </c>
      <c r="L240" s="26">
        <f>IF($D240="","",IF($K240&lt;&gt;"",IF(COUNTIFS(입력_전공의명단!$C$2:$C$401,$D240,입력_전공의명단!$F$2:$F$401,IF(OR($C240="인턴",ISNUMBER(SEARCH("수련교육부",$B240))),"인턴",$B240))=1,"명단 일치","명단 일치(이름만, 과 다름)"),IF(COUNTIF(입력_전공의명단!$C$2:$C$401,$D240)=0,IF(COUNTIF(입력_기본자료!$C$2:$C$1001,$D240)&gt;0,"명단에 없음(기본자료에는 있음)","명단에 없음"),"동명이인 확인")))</f>
        <v/>
      </c>
    </row>
    <row r="241">
      <c r="A241" s="29" t="n">
        <v>239</v>
      </c>
      <c r="B241" s="26">
        <f>IF(TRIM(INDEX(입력_구리근무자명단!$A$1:$GZ$303,$A241,1)&amp;"")&lt;&gt;"",TRIM(INDEX(입력_구리근무자명단!$A$1:$GZ$303,$A241,1)&amp;""),B240)</f>
        <v/>
      </c>
      <c r="C241" s="26">
        <f>IF(INDEX(입력_구리근무자명단!$A$1:$GZ$303,$A241,2)="","",INDEX(입력_구리근무자명단!$A$1:$GZ$303,$A241,2))</f>
        <v/>
      </c>
      <c r="D241" s="26">
        <f>IF($G$2="","",TRIM(IF($I$2="확정",INDEX(입력_구리근무자명단!$A$1:$GZ$303,$A241,$G$2+1)&amp;"",INDEX(입력_구리근무자명단!$A$1:$GZ$303,$A241,$G$2+0)&amp;"")))</f>
        <v/>
      </c>
      <c r="E241" s="26">
        <f>IF($D241="","",$I$2)</f>
        <v/>
      </c>
      <c r="F241" s="28">
        <f>IF($D241="","",IF(INDEX(입력_구리근무자명단!$A$1:$GZ$303,$A241,$G$2+2)="",출력_요약!$B$3,IF(ISNUMBER(INDEX(입력_구리근무자명단!$A$1:$GZ$303,$A241,$G$2+2)),INDEX(입력_구리근무자명단!$A$1:$GZ$303,$A241,$G$2+2),IFERROR(DATE(VALUE(LEFT(INDEX(입력_구리근무자명단!$A$1:$GZ$303,$A241,$G$2+2),4)),VALUE(MID(INDEX(입력_구리근무자명단!$A$1:$GZ$303,$A241,$G$2+2),6,2)),VALUE(MID(INDEX(입력_구리근무자명단!$A$1:$GZ$303,$A241,$G$2+2),9,2))),IFERROR(DATEVALUE(SUBSTITUTE(TRIM(INDEX(입력_구리근무자명단!$A$1:$GZ$303,$A241,$G$2+2)),".","-")),"⚠"&amp;INDEX(입력_구리근무자명단!$A$1:$GZ$303,$A241,$G$2+2))))))</f>
        <v/>
      </c>
      <c r="G241" s="28">
        <f>IF($D241="","",IF(INDEX(입력_구리근무자명단!$A$1:$GZ$303,$A241,$G$2+3)="",EOMONTH(출력_요약!$B$3,0),IF(ISNUMBER(INDEX(입력_구리근무자명단!$A$1:$GZ$303,$A241,$G$2+3)),INDEX(입력_구리근무자명단!$A$1:$GZ$303,$A241,$G$2+3),IFERROR(DATE(VALUE(LEFT(INDEX(입력_구리근무자명단!$A$1:$GZ$303,$A241,$G$2+3),4)),VALUE(MID(INDEX(입력_구리근무자명단!$A$1:$GZ$303,$A241,$G$2+3),6,2)),VALUE(MID(INDEX(입력_구리근무자명단!$A$1:$GZ$303,$A241,$G$2+3),9,2))),IFERROR(DATEVALUE(SUBSTITUTE(TRIM(INDEX(입력_구리근무자명단!$A$1:$GZ$303,$A241,$G$2+3)),".","-")),"⚠"&amp;INDEX(입력_구리근무자명단!$A$1:$GZ$303,$A241,$G$2+3))))))</f>
        <v/>
      </c>
      <c r="H241" s="26">
        <f>IF($D241="","",IF(OR(NOT(ISNUMBER($F241)),NOT(ISNUMBER($G241))),0,MAX(0,MIN($G241,EOMONTH(출력_요약!$B$3,0))-MAX($F241,출력_요약!$B$3)+1)))</f>
        <v/>
      </c>
      <c r="I241" s="26">
        <f>IF($D241="","",TRIM(INDEX(입력_구리근무자명단!$A$1:$GZ$303,$A241,$G$2+5)&amp;""))</f>
        <v/>
      </c>
      <c r="J241" s="26">
        <f>IF($D241="","",IF(ISNUMBER(SEARCH("구리독자",$I241)),"구리독자",""))</f>
        <v/>
      </c>
      <c r="K241" s="29">
        <f>IF($D241="","",IF(COUNTIFS(입력_전공의명단!$C$2:$C$401,$D241,입력_전공의명단!$F$2:$F$401,IF(OR($C241="인턴",ISNUMBER(SEARCH("수련교육부",$B241))),"인턴",$B241))=1,MATCH($D241&amp;"|"&amp;IF(OR($C241="인턴",ISNUMBER(SEARCH("수련교육부",$B241))),"인턴",$B241),입력_전공의명단!$AP$2:$AP$401,0),IF(AND(COUNTIFS(입력_전공의명단!$C$2:$C$401,$D241,입력_전공의명단!$F$2:$F$401,IF(OR($C241="인턴",ISNUMBER(SEARCH("수련교육부",$B241))),"인턴",$B241))=0,COUNTIF(입력_전공의명단!$C$2:$C$401,$D241)=1),MATCH($D241,입력_전공의명단!$C$2:$C$401,0),"")))</f>
        <v/>
      </c>
      <c r="L241" s="26">
        <f>IF($D241="","",IF($K241&lt;&gt;"",IF(COUNTIFS(입력_전공의명단!$C$2:$C$401,$D241,입력_전공의명단!$F$2:$F$401,IF(OR($C241="인턴",ISNUMBER(SEARCH("수련교육부",$B241))),"인턴",$B241))=1,"명단 일치","명단 일치(이름만, 과 다름)"),IF(COUNTIF(입력_전공의명단!$C$2:$C$401,$D241)=0,IF(COUNTIF(입력_기본자료!$C$2:$C$1001,$D241)&gt;0,"명단에 없음(기본자료에는 있음)","명단에 없음"),"동명이인 확인")))</f>
        <v/>
      </c>
    </row>
    <row r="242">
      <c r="A242" s="29" t="n">
        <v>240</v>
      </c>
      <c r="B242" s="26">
        <f>IF(TRIM(INDEX(입력_구리근무자명단!$A$1:$GZ$303,$A242,1)&amp;"")&lt;&gt;"",TRIM(INDEX(입력_구리근무자명단!$A$1:$GZ$303,$A242,1)&amp;""),B241)</f>
        <v/>
      </c>
      <c r="C242" s="26">
        <f>IF(INDEX(입력_구리근무자명단!$A$1:$GZ$303,$A242,2)="","",INDEX(입력_구리근무자명단!$A$1:$GZ$303,$A242,2))</f>
        <v/>
      </c>
      <c r="D242" s="26">
        <f>IF($G$2="","",TRIM(IF($I$2="확정",INDEX(입력_구리근무자명단!$A$1:$GZ$303,$A242,$G$2+1)&amp;"",INDEX(입력_구리근무자명단!$A$1:$GZ$303,$A242,$G$2+0)&amp;"")))</f>
        <v/>
      </c>
      <c r="E242" s="26">
        <f>IF($D242="","",$I$2)</f>
        <v/>
      </c>
      <c r="F242" s="28">
        <f>IF($D242="","",IF(INDEX(입력_구리근무자명단!$A$1:$GZ$303,$A242,$G$2+2)="",출력_요약!$B$3,IF(ISNUMBER(INDEX(입력_구리근무자명단!$A$1:$GZ$303,$A242,$G$2+2)),INDEX(입력_구리근무자명단!$A$1:$GZ$303,$A242,$G$2+2),IFERROR(DATE(VALUE(LEFT(INDEX(입력_구리근무자명단!$A$1:$GZ$303,$A242,$G$2+2),4)),VALUE(MID(INDEX(입력_구리근무자명단!$A$1:$GZ$303,$A242,$G$2+2),6,2)),VALUE(MID(INDEX(입력_구리근무자명단!$A$1:$GZ$303,$A242,$G$2+2),9,2))),IFERROR(DATEVALUE(SUBSTITUTE(TRIM(INDEX(입력_구리근무자명단!$A$1:$GZ$303,$A242,$G$2+2)),".","-")),"⚠"&amp;INDEX(입력_구리근무자명단!$A$1:$GZ$303,$A242,$G$2+2))))))</f>
        <v/>
      </c>
      <c r="G242" s="28">
        <f>IF($D242="","",IF(INDEX(입력_구리근무자명단!$A$1:$GZ$303,$A242,$G$2+3)="",EOMONTH(출력_요약!$B$3,0),IF(ISNUMBER(INDEX(입력_구리근무자명단!$A$1:$GZ$303,$A242,$G$2+3)),INDEX(입력_구리근무자명단!$A$1:$GZ$303,$A242,$G$2+3),IFERROR(DATE(VALUE(LEFT(INDEX(입력_구리근무자명단!$A$1:$GZ$303,$A242,$G$2+3),4)),VALUE(MID(INDEX(입력_구리근무자명단!$A$1:$GZ$303,$A242,$G$2+3),6,2)),VALUE(MID(INDEX(입력_구리근무자명단!$A$1:$GZ$303,$A242,$G$2+3),9,2))),IFERROR(DATEVALUE(SUBSTITUTE(TRIM(INDEX(입력_구리근무자명단!$A$1:$GZ$303,$A242,$G$2+3)),".","-")),"⚠"&amp;INDEX(입력_구리근무자명단!$A$1:$GZ$303,$A242,$G$2+3))))))</f>
        <v/>
      </c>
      <c r="H242" s="26">
        <f>IF($D242="","",IF(OR(NOT(ISNUMBER($F242)),NOT(ISNUMBER($G242))),0,MAX(0,MIN($G242,EOMONTH(출력_요약!$B$3,0))-MAX($F242,출력_요약!$B$3)+1)))</f>
        <v/>
      </c>
      <c r="I242" s="26">
        <f>IF($D242="","",TRIM(INDEX(입력_구리근무자명단!$A$1:$GZ$303,$A242,$G$2+5)&amp;""))</f>
        <v/>
      </c>
      <c r="J242" s="26">
        <f>IF($D242="","",IF(ISNUMBER(SEARCH("구리독자",$I242)),"구리독자",""))</f>
        <v/>
      </c>
      <c r="K242" s="29">
        <f>IF($D242="","",IF(COUNTIFS(입력_전공의명단!$C$2:$C$401,$D242,입력_전공의명단!$F$2:$F$401,IF(OR($C242="인턴",ISNUMBER(SEARCH("수련교육부",$B242))),"인턴",$B242))=1,MATCH($D242&amp;"|"&amp;IF(OR($C242="인턴",ISNUMBER(SEARCH("수련교육부",$B242))),"인턴",$B242),입력_전공의명단!$AP$2:$AP$401,0),IF(AND(COUNTIFS(입력_전공의명단!$C$2:$C$401,$D242,입력_전공의명단!$F$2:$F$401,IF(OR($C242="인턴",ISNUMBER(SEARCH("수련교육부",$B242))),"인턴",$B242))=0,COUNTIF(입력_전공의명단!$C$2:$C$401,$D242)=1),MATCH($D242,입력_전공의명단!$C$2:$C$401,0),"")))</f>
        <v/>
      </c>
      <c r="L242" s="26">
        <f>IF($D242="","",IF($K242&lt;&gt;"",IF(COUNTIFS(입력_전공의명단!$C$2:$C$401,$D242,입력_전공의명단!$F$2:$F$401,IF(OR($C242="인턴",ISNUMBER(SEARCH("수련교육부",$B242))),"인턴",$B242))=1,"명단 일치","명단 일치(이름만, 과 다름)"),IF(COUNTIF(입력_전공의명단!$C$2:$C$401,$D242)=0,IF(COUNTIF(입력_기본자료!$C$2:$C$1001,$D242)&gt;0,"명단에 없음(기본자료에는 있음)","명단에 없음"),"동명이인 확인")))</f>
        <v/>
      </c>
    </row>
    <row r="243">
      <c r="A243" s="29" t="n">
        <v>241</v>
      </c>
      <c r="B243" s="26">
        <f>IF(TRIM(INDEX(입력_구리근무자명단!$A$1:$GZ$303,$A243,1)&amp;"")&lt;&gt;"",TRIM(INDEX(입력_구리근무자명단!$A$1:$GZ$303,$A243,1)&amp;""),B242)</f>
        <v/>
      </c>
      <c r="C243" s="26">
        <f>IF(INDEX(입력_구리근무자명단!$A$1:$GZ$303,$A243,2)="","",INDEX(입력_구리근무자명단!$A$1:$GZ$303,$A243,2))</f>
        <v/>
      </c>
      <c r="D243" s="26">
        <f>IF($G$2="","",TRIM(IF($I$2="확정",INDEX(입력_구리근무자명단!$A$1:$GZ$303,$A243,$G$2+1)&amp;"",INDEX(입력_구리근무자명단!$A$1:$GZ$303,$A243,$G$2+0)&amp;"")))</f>
        <v/>
      </c>
      <c r="E243" s="26">
        <f>IF($D243="","",$I$2)</f>
        <v/>
      </c>
      <c r="F243" s="28">
        <f>IF($D243="","",IF(INDEX(입력_구리근무자명단!$A$1:$GZ$303,$A243,$G$2+2)="",출력_요약!$B$3,IF(ISNUMBER(INDEX(입력_구리근무자명단!$A$1:$GZ$303,$A243,$G$2+2)),INDEX(입력_구리근무자명단!$A$1:$GZ$303,$A243,$G$2+2),IFERROR(DATE(VALUE(LEFT(INDEX(입력_구리근무자명단!$A$1:$GZ$303,$A243,$G$2+2),4)),VALUE(MID(INDEX(입력_구리근무자명단!$A$1:$GZ$303,$A243,$G$2+2),6,2)),VALUE(MID(INDEX(입력_구리근무자명단!$A$1:$GZ$303,$A243,$G$2+2),9,2))),IFERROR(DATEVALUE(SUBSTITUTE(TRIM(INDEX(입력_구리근무자명단!$A$1:$GZ$303,$A243,$G$2+2)),".","-")),"⚠"&amp;INDEX(입력_구리근무자명단!$A$1:$GZ$303,$A243,$G$2+2))))))</f>
        <v/>
      </c>
      <c r="G243" s="28">
        <f>IF($D243="","",IF(INDEX(입력_구리근무자명단!$A$1:$GZ$303,$A243,$G$2+3)="",EOMONTH(출력_요약!$B$3,0),IF(ISNUMBER(INDEX(입력_구리근무자명단!$A$1:$GZ$303,$A243,$G$2+3)),INDEX(입력_구리근무자명단!$A$1:$GZ$303,$A243,$G$2+3),IFERROR(DATE(VALUE(LEFT(INDEX(입력_구리근무자명단!$A$1:$GZ$303,$A243,$G$2+3),4)),VALUE(MID(INDEX(입력_구리근무자명단!$A$1:$GZ$303,$A243,$G$2+3),6,2)),VALUE(MID(INDEX(입력_구리근무자명단!$A$1:$GZ$303,$A243,$G$2+3),9,2))),IFERROR(DATEVALUE(SUBSTITUTE(TRIM(INDEX(입력_구리근무자명단!$A$1:$GZ$303,$A243,$G$2+3)),".","-")),"⚠"&amp;INDEX(입력_구리근무자명단!$A$1:$GZ$303,$A243,$G$2+3))))))</f>
        <v/>
      </c>
      <c r="H243" s="26">
        <f>IF($D243="","",IF(OR(NOT(ISNUMBER($F243)),NOT(ISNUMBER($G243))),0,MAX(0,MIN($G243,EOMONTH(출력_요약!$B$3,0))-MAX($F243,출력_요약!$B$3)+1)))</f>
        <v/>
      </c>
      <c r="I243" s="26">
        <f>IF($D243="","",TRIM(INDEX(입력_구리근무자명단!$A$1:$GZ$303,$A243,$G$2+5)&amp;""))</f>
        <v/>
      </c>
      <c r="J243" s="26">
        <f>IF($D243="","",IF(ISNUMBER(SEARCH("구리독자",$I243)),"구리독자",""))</f>
        <v/>
      </c>
      <c r="K243" s="29">
        <f>IF($D243="","",IF(COUNTIFS(입력_전공의명단!$C$2:$C$401,$D243,입력_전공의명단!$F$2:$F$401,IF(OR($C243="인턴",ISNUMBER(SEARCH("수련교육부",$B243))),"인턴",$B243))=1,MATCH($D243&amp;"|"&amp;IF(OR($C243="인턴",ISNUMBER(SEARCH("수련교육부",$B243))),"인턴",$B243),입력_전공의명단!$AP$2:$AP$401,0),IF(AND(COUNTIFS(입력_전공의명단!$C$2:$C$401,$D243,입력_전공의명단!$F$2:$F$401,IF(OR($C243="인턴",ISNUMBER(SEARCH("수련교육부",$B243))),"인턴",$B243))=0,COUNTIF(입력_전공의명단!$C$2:$C$401,$D243)=1),MATCH($D243,입력_전공의명단!$C$2:$C$401,0),"")))</f>
        <v/>
      </c>
      <c r="L243" s="26">
        <f>IF($D243="","",IF($K243&lt;&gt;"",IF(COUNTIFS(입력_전공의명단!$C$2:$C$401,$D243,입력_전공의명단!$F$2:$F$401,IF(OR($C243="인턴",ISNUMBER(SEARCH("수련교육부",$B243))),"인턴",$B243))=1,"명단 일치","명단 일치(이름만, 과 다름)"),IF(COUNTIF(입력_전공의명단!$C$2:$C$401,$D243)=0,IF(COUNTIF(입력_기본자료!$C$2:$C$1001,$D243)&gt;0,"명단에 없음(기본자료에는 있음)","명단에 없음"),"동명이인 확인")))</f>
        <v/>
      </c>
    </row>
    <row r="244">
      <c r="A244" s="29" t="n">
        <v>242</v>
      </c>
      <c r="B244" s="26">
        <f>IF(TRIM(INDEX(입력_구리근무자명단!$A$1:$GZ$303,$A244,1)&amp;"")&lt;&gt;"",TRIM(INDEX(입력_구리근무자명단!$A$1:$GZ$303,$A244,1)&amp;""),B243)</f>
        <v/>
      </c>
      <c r="C244" s="26">
        <f>IF(INDEX(입력_구리근무자명단!$A$1:$GZ$303,$A244,2)="","",INDEX(입력_구리근무자명단!$A$1:$GZ$303,$A244,2))</f>
        <v/>
      </c>
      <c r="D244" s="26">
        <f>IF($G$2="","",TRIM(IF($I$2="확정",INDEX(입력_구리근무자명단!$A$1:$GZ$303,$A244,$G$2+1)&amp;"",INDEX(입력_구리근무자명단!$A$1:$GZ$303,$A244,$G$2+0)&amp;"")))</f>
        <v/>
      </c>
      <c r="E244" s="26">
        <f>IF($D244="","",$I$2)</f>
        <v/>
      </c>
      <c r="F244" s="28">
        <f>IF($D244="","",IF(INDEX(입력_구리근무자명단!$A$1:$GZ$303,$A244,$G$2+2)="",출력_요약!$B$3,IF(ISNUMBER(INDEX(입력_구리근무자명단!$A$1:$GZ$303,$A244,$G$2+2)),INDEX(입력_구리근무자명단!$A$1:$GZ$303,$A244,$G$2+2),IFERROR(DATE(VALUE(LEFT(INDEX(입력_구리근무자명단!$A$1:$GZ$303,$A244,$G$2+2),4)),VALUE(MID(INDEX(입력_구리근무자명단!$A$1:$GZ$303,$A244,$G$2+2),6,2)),VALUE(MID(INDEX(입력_구리근무자명단!$A$1:$GZ$303,$A244,$G$2+2),9,2))),IFERROR(DATEVALUE(SUBSTITUTE(TRIM(INDEX(입력_구리근무자명단!$A$1:$GZ$303,$A244,$G$2+2)),".","-")),"⚠"&amp;INDEX(입력_구리근무자명단!$A$1:$GZ$303,$A244,$G$2+2))))))</f>
        <v/>
      </c>
      <c r="G244" s="28">
        <f>IF($D244="","",IF(INDEX(입력_구리근무자명단!$A$1:$GZ$303,$A244,$G$2+3)="",EOMONTH(출력_요약!$B$3,0),IF(ISNUMBER(INDEX(입력_구리근무자명단!$A$1:$GZ$303,$A244,$G$2+3)),INDEX(입력_구리근무자명단!$A$1:$GZ$303,$A244,$G$2+3),IFERROR(DATE(VALUE(LEFT(INDEX(입력_구리근무자명단!$A$1:$GZ$303,$A244,$G$2+3),4)),VALUE(MID(INDEX(입력_구리근무자명단!$A$1:$GZ$303,$A244,$G$2+3),6,2)),VALUE(MID(INDEX(입력_구리근무자명단!$A$1:$GZ$303,$A244,$G$2+3),9,2))),IFERROR(DATEVALUE(SUBSTITUTE(TRIM(INDEX(입력_구리근무자명단!$A$1:$GZ$303,$A244,$G$2+3)),".","-")),"⚠"&amp;INDEX(입력_구리근무자명단!$A$1:$GZ$303,$A244,$G$2+3))))))</f>
        <v/>
      </c>
      <c r="H244" s="26">
        <f>IF($D244="","",IF(OR(NOT(ISNUMBER($F244)),NOT(ISNUMBER($G244))),0,MAX(0,MIN($G244,EOMONTH(출력_요약!$B$3,0))-MAX($F244,출력_요약!$B$3)+1)))</f>
        <v/>
      </c>
      <c r="I244" s="26">
        <f>IF($D244="","",TRIM(INDEX(입력_구리근무자명단!$A$1:$GZ$303,$A244,$G$2+5)&amp;""))</f>
        <v/>
      </c>
      <c r="J244" s="26">
        <f>IF($D244="","",IF(ISNUMBER(SEARCH("구리독자",$I244)),"구리독자",""))</f>
        <v/>
      </c>
      <c r="K244" s="29">
        <f>IF($D244="","",IF(COUNTIFS(입력_전공의명단!$C$2:$C$401,$D244,입력_전공의명단!$F$2:$F$401,IF(OR($C244="인턴",ISNUMBER(SEARCH("수련교육부",$B244))),"인턴",$B244))=1,MATCH($D244&amp;"|"&amp;IF(OR($C244="인턴",ISNUMBER(SEARCH("수련교육부",$B244))),"인턴",$B244),입력_전공의명단!$AP$2:$AP$401,0),IF(AND(COUNTIFS(입력_전공의명단!$C$2:$C$401,$D244,입력_전공의명단!$F$2:$F$401,IF(OR($C244="인턴",ISNUMBER(SEARCH("수련교육부",$B244))),"인턴",$B244))=0,COUNTIF(입력_전공의명단!$C$2:$C$401,$D244)=1),MATCH($D244,입력_전공의명단!$C$2:$C$401,0),"")))</f>
        <v/>
      </c>
      <c r="L244" s="26">
        <f>IF($D244="","",IF($K244&lt;&gt;"",IF(COUNTIFS(입력_전공의명단!$C$2:$C$401,$D244,입력_전공의명단!$F$2:$F$401,IF(OR($C244="인턴",ISNUMBER(SEARCH("수련교육부",$B244))),"인턴",$B244))=1,"명단 일치","명단 일치(이름만, 과 다름)"),IF(COUNTIF(입력_전공의명단!$C$2:$C$401,$D244)=0,IF(COUNTIF(입력_기본자료!$C$2:$C$1001,$D244)&gt;0,"명단에 없음(기본자료에는 있음)","명단에 없음"),"동명이인 확인")))</f>
        <v/>
      </c>
    </row>
    <row r="245">
      <c r="A245" s="29" t="n">
        <v>243</v>
      </c>
      <c r="B245" s="26">
        <f>IF(TRIM(INDEX(입력_구리근무자명단!$A$1:$GZ$303,$A245,1)&amp;"")&lt;&gt;"",TRIM(INDEX(입력_구리근무자명단!$A$1:$GZ$303,$A245,1)&amp;""),B244)</f>
        <v/>
      </c>
      <c r="C245" s="26">
        <f>IF(INDEX(입력_구리근무자명단!$A$1:$GZ$303,$A245,2)="","",INDEX(입력_구리근무자명단!$A$1:$GZ$303,$A245,2))</f>
        <v/>
      </c>
      <c r="D245" s="26">
        <f>IF($G$2="","",TRIM(IF($I$2="확정",INDEX(입력_구리근무자명단!$A$1:$GZ$303,$A245,$G$2+1)&amp;"",INDEX(입력_구리근무자명단!$A$1:$GZ$303,$A245,$G$2+0)&amp;"")))</f>
        <v/>
      </c>
      <c r="E245" s="26">
        <f>IF($D245="","",$I$2)</f>
        <v/>
      </c>
      <c r="F245" s="28">
        <f>IF($D245="","",IF(INDEX(입력_구리근무자명단!$A$1:$GZ$303,$A245,$G$2+2)="",출력_요약!$B$3,IF(ISNUMBER(INDEX(입력_구리근무자명단!$A$1:$GZ$303,$A245,$G$2+2)),INDEX(입력_구리근무자명단!$A$1:$GZ$303,$A245,$G$2+2),IFERROR(DATE(VALUE(LEFT(INDEX(입력_구리근무자명단!$A$1:$GZ$303,$A245,$G$2+2),4)),VALUE(MID(INDEX(입력_구리근무자명단!$A$1:$GZ$303,$A245,$G$2+2),6,2)),VALUE(MID(INDEX(입력_구리근무자명단!$A$1:$GZ$303,$A245,$G$2+2),9,2))),IFERROR(DATEVALUE(SUBSTITUTE(TRIM(INDEX(입력_구리근무자명단!$A$1:$GZ$303,$A245,$G$2+2)),".","-")),"⚠"&amp;INDEX(입력_구리근무자명단!$A$1:$GZ$303,$A245,$G$2+2))))))</f>
        <v/>
      </c>
      <c r="G245" s="28">
        <f>IF($D245="","",IF(INDEX(입력_구리근무자명단!$A$1:$GZ$303,$A245,$G$2+3)="",EOMONTH(출력_요약!$B$3,0),IF(ISNUMBER(INDEX(입력_구리근무자명단!$A$1:$GZ$303,$A245,$G$2+3)),INDEX(입력_구리근무자명단!$A$1:$GZ$303,$A245,$G$2+3),IFERROR(DATE(VALUE(LEFT(INDEX(입력_구리근무자명단!$A$1:$GZ$303,$A245,$G$2+3),4)),VALUE(MID(INDEX(입력_구리근무자명단!$A$1:$GZ$303,$A245,$G$2+3),6,2)),VALUE(MID(INDEX(입력_구리근무자명단!$A$1:$GZ$303,$A245,$G$2+3),9,2))),IFERROR(DATEVALUE(SUBSTITUTE(TRIM(INDEX(입력_구리근무자명단!$A$1:$GZ$303,$A245,$G$2+3)),".","-")),"⚠"&amp;INDEX(입력_구리근무자명단!$A$1:$GZ$303,$A245,$G$2+3))))))</f>
        <v/>
      </c>
      <c r="H245" s="26">
        <f>IF($D245="","",IF(OR(NOT(ISNUMBER($F245)),NOT(ISNUMBER($G245))),0,MAX(0,MIN($G245,EOMONTH(출력_요약!$B$3,0))-MAX($F245,출력_요약!$B$3)+1)))</f>
        <v/>
      </c>
      <c r="I245" s="26">
        <f>IF($D245="","",TRIM(INDEX(입력_구리근무자명단!$A$1:$GZ$303,$A245,$G$2+5)&amp;""))</f>
        <v/>
      </c>
      <c r="J245" s="26">
        <f>IF($D245="","",IF(ISNUMBER(SEARCH("구리독자",$I245)),"구리독자",""))</f>
        <v/>
      </c>
      <c r="K245" s="29">
        <f>IF($D245="","",IF(COUNTIFS(입력_전공의명단!$C$2:$C$401,$D245,입력_전공의명단!$F$2:$F$401,IF(OR($C245="인턴",ISNUMBER(SEARCH("수련교육부",$B245))),"인턴",$B245))=1,MATCH($D245&amp;"|"&amp;IF(OR($C245="인턴",ISNUMBER(SEARCH("수련교육부",$B245))),"인턴",$B245),입력_전공의명단!$AP$2:$AP$401,0),IF(AND(COUNTIFS(입력_전공의명단!$C$2:$C$401,$D245,입력_전공의명단!$F$2:$F$401,IF(OR($C245="인턴",ISNUMBER(SEARCH("수련교육부",$B245))),"인턴",$B245))=0,COUNTIF(입력_전공의명단!$C$2:$C$401,$D245)=1),MATCH($D245,입력_전공의명단!$C$2:$C$401,0),"")))</f>
        <v/>
      </c>
      <c r="L245" s="26">
        <f>IF($D245="","",IF($K245&lt;&gt;"",IF(COUNTIFS(입력_전공의명단!$C$2:$C$401,$D245,입력_전공의명단!$F$2:$F$401,IF(OR($C245="인턴",ISNUMBER(SEARCH("수련교육부",$B245))),"인턴",$B245))=1,"명단 일치","명단 일치(이름만, 과 다름)"),IF(COUNTIF(입력_전공의명단!$C$2:$C$401,$D245)=0,IF(COUNTIF(입력_기본자료!$C$2:$C$1001,$D245)&gt;0,"명단에 없음(기본자료에는 있음)","명단에 없음"),"동명이인 확인")))</f>
        <v/>
      </c>
    </row>
    <row r="246">
      <c r="A246" s="29" t="n">
        <v>244</v>
      </c>
      <c r="B246" s="26">
        <f>IF(TRIM(INDEX(입력_구리근무자명단!$A$1:$GZ$303,$A246,1)&amp;"")&lt;&gt;"",TRIM(INDEX(입력_구리근무자명단!$A$1:$GZ$303,$A246,1)&amp;""),B245)</f>
        <v/>
      </c>
      <c r="C246" s="26">
        <f>IF(INDEX(입력_구리근무자명단!$A$1:$GZ$303,$A246,2)="","",INDEX(입력_구리근무자명단!$A$1:$GZ$303,$A246,2))</f>
        <v/>
      </c>
      <c r="D246" s="26">
        <f>IF($G$2="","",TRIM(IF($I$2="확정",INDEX(입력_구리근무자명단!$A$1:$GZ$303,$A246,$G$2+1)&amp;"",INDEX(입력_구리근무자명단!$A$1:$GZ$303,$A246,$G$2+0)&amp;"")))</f>
        <v/>
      </c>
      <c r="E246" s="26">
        <f>IF($D246="","",$I$2)</f>
        <v/>
      </c>
      <c r="F246" s="28">
        <f>IF($D246="","",IF(INDEX(입력_구리근무자명단!$A$1:$GZ$303,$A246,$G$2+2)="",출력_요약!$B$3,IF(ISNUMBER(INDEX(입력_구리근무자명단!$A$1:$GZ$303,$A246,$G$2+2)),INDEX(입력_구리근무자명단!$A$1:$GZ$303,$A246,$G$2+2),IFERROR(DATE(VALUE(LEFT(INDEX(입력_구리근무자명단!$A$1:$GZ$303,$A246,$G$2+2),4)),VALUE(MID(INDEX(입력_구리근무자명단!$A$1:$GZ$303,$A246,$G$2+2),6,2)),VALUE(MID(INDEX(입력_구리근무자명단!$A$1:$GZ$303,$A246,$G$2+2),9,2))),IFERROR(DATEVALUE(SUBSTITUTE(TRIM(INDEX(입력_구리근무자명단!$A$1:$GZ$303,$A246,$G$2+2)),".","-")),"⚠"&amp;INDEX(입력_구리근무자명단!$A$1:$GZ$303,$A246,$G$2+2))))))</f>
        <v/>
      </c>
      <c r="G246" s="28">
        <f>IF($D246="","",IF(INDEX(입력_구리근무자명단!$A$1:$GZ$303,$A246,$G$2+3)="",EOMONTH(출력_요약!$B$3,0),IF(ISNUMBER(INDEX(입력_구리근무자명단!$A$1:$GZ$303,$A246,$G$2+3)),INDEX(입력_구리근무자명단!$A$1:$GZ$303,$A246,$G$2+3),IFERROR(DATE(VALUE(LEFT(INDEX(입력_구리근무자명단!$A$1:$GZ$303,$A246,$G$2+3),4)),VALUE(MID(INDEX(입력_구리근무자명단!$A$1:$GZ$303,$A246,$G$2+3),6,2)),VALUE(MID(INDEX(입력_구리근무자명단!$A$1:$GZ$303,$A246,$G$2+3),9,2))),IFERROR(DATEVALUE(SUBSTITUTE(TRIM(INDEX(입력_구리근무자명단!$A$1:$GZ$303,$A246,$G$2+3)),".","-")),"⚠"&amp;INDEX(입력_구리근무자명단!$A$1:$GZ$303,$A246,$G$2+3))))))</f>
        <v/>
      </c>
      <c r="H246" s="26">
        <f>IF($D246="","",IF(OR(NOT(ISNUMBER($F246)),NOT(ISNUMBER($G246))),0,MAX(0,MIN($G246,EOMONTH(출력_요약!$B$3,0))-MAX($F246,출력_요약!$B$3)+1)))</f>
        <v/>
      </c>
      <c r="I246" s="26">
        <f>IF($D246="","",TRIM(INDEX(입력_구리근무자명단!$A$1:$GZ$303,$A246,$G$2+5)&amp;""))</f>
        <v/>
      </c>
      <c r="J246" s="26">
        <f>IF($D246="","",IF(ISNUMBER(SEARCH("구리독자",$I246)),"구리독자",""))</f>
        <v/>
      </c>
      <c r="K246" s="29">
        <f>IF($D246="","",IF(COUNTIFS(입력_전공의명단!$C$2:$C$401,$D246,입력_전공의명단!$F$2:$F$401,IF(OR($C246="인턴",ISNUMBER(SEARCH("수련교육부",$B246))),"인턴",$B246))=1,MATCH($D246&amp;"|"&amp;IF(OR($C246="인턴",ISNUMBER(SEARCH("수련교육부",$B246))),"인턴",$B246),입력_전공의명단!$AP$2:$AP$401,0),IF(AND(COUNTIFS(입력_전공의명단!$C$2:$C$401,$D246,입력_전공의명단!$F$2:$F$401,IF(OR($C246="인턴",ISNUMBER(SEARCH("수련교육부",$B246))),"인턴",$B246))=0,COUNTIF(입력_전공의명단!$C$2:$C$401,$D246)=1),MATCH($D246,입력_전공의명단!$C$2:$C$401,0),"")))</f>
        <v/>
      </c>
      <c r="L246" s="26">
        <f>IF($D246="","",IF($K246&lt;&gt;"",IF(COUNTIFS(입력_전공의명단!$C$2:$C$401,$D246,입력_전공의명단!$F$2:$F$401,IF(OR($C246="인턴",ISNUMBER(SEARCH("수련교육부",$B246))),"인턴",$B246))=1,"명단 일치","명단 일치(이름만, 과 다름)"),IF(COUNTIF(입력_전공의명단!$C$2:$C$401,$D246)=0,IF(COUNTIF(입력_기본자료!$C$2:$C$1001,$D246)&gt;0,"명단에 없음(기본자료에는 있음)","명단에 없음"),"동명이인 확인")))</f>
        <v/>
      </c>
    </row>
    <row r="247">
      <c r="A247" s="29" t="n">
        <v>245</v>
      </c>
      <c r="B247" s="26">
        <f>IF(TRIM(INDEX(입력_구리근무자명단!$A$1:$GZ$303,$A247,1)&amp;"")&lt;&gt;"",TRIM(INDEX(입력_구리근무자명단!$A$1:$GZ$303,$A247,1)&amp;""),B246)</f>
        <v/>
      </c>
      <c r="C247" s="26">
        <f>IF(INDEX(입력_구리근무자명단!$A$1:$GZ$303,$A247,2)="","",INDEX(입력_구리근무자명단!$A$1:$GZ$303,$A247,2))</f>
        <v/>
      </c>
      <c r="D247" s="26">
        <f>IF($G$2="","",TRIM(IF($I$2="확정",INDEX(입력_구리근무자명단!$A$1:$GZ$303,$A247,$G$2+1)&amp;"",INDEX(입력_구리근무자명단!$A$1:$GZ$303,$A247,$G$2+0)&amp;"")))</f>
        <v/>
      </c>
      <c r="E247" s="26">
        <f>IF($D247="","",$I$2)</f>
        <v/>
      </c>
      <c r="F247" s="28">
        <f>IF($D247="","",IF(INDEX(입력_구리근무자명단!$A$1:$GZ$303,$A247,$G$2+2)="",출력_요약!$B$3,IF(ISNUMBER(INDEX(입력_구리근무자명단!$A$1:$GZ$303,$A247,$G$2+2)),INDEX(입력_구리근무자명단!$A$1:$GZ$303,$A247,$G$2+2),IFERROR(DATE(VALUE(LEFT(INDEX(입력_구리근무자명단!$A$1:$GZ$303,$A247,$G$2+2),4)),VALUE(MID(INDEX(입력_구리근무자명단!$A$1:$GZ$303,$A247,$G$2+2),6,2)),VALUE(MID(INDEX(입력_구리근무자명단!$A$1:$GZ$303,$A247,$G$2+2),9,2))),IFERROR(DATEVALUE(SUBSTITUTE(TRIM(INDEX(입력_구리근무자명단!$A$1:$GZ$303,$A247,$G$2+2)),".","-")),"⚠"&amp;INDEX(입력_구리근무자명단!$A$1:$GZ$303,$A247,$G$2+2))))))</f>
        <v/>
      </c>
      <c r="G247" s="28">
        <f>IF($D247="","",IF(INDEX(입력_구리근무자명단!$A$1:$GZ$303,$A247,$G$2+3)="",EOMONTH(출력_요약!$B$3,0),IF(ISNUMBER(INDEX(입력_구리근무자명단!$A$1:$GZ$303,$A247,$G$2+3)),INDEX(입력_구리근무자명단!$A$1:$GZ$303,$A247,$G$2+3),IFERROR(DATE(VALUE(LEFT(INDEX(입력_구리근무자명단!$A$1:$GZ$303,$A247,$G$2+3),4)),VALUE(MID(INDEX(입력_구리근무자명단!$A$1:$GZ$303,$A247,$G$2+3),6,2)),VALUE(MID(INDEX(입력_구리근무자명단!$A$1:$GZ$303,$A247,$G$2+3),9,2))),IFERROR(DATEVALUE(SUBSTITUTE(TRIM(INDEX(입력_구리근무자명단!$A$1:$GZ$303,$A247,$G$2+3)),".","-")),"⚠"&amp;INDEX(입력_구리근무자명단!$A$1:$GZ$303,$A247,$G$2+3))))))</f>
        <v/>
      </c>
      <c r="H247" s="26">
        <f>IF($D247="","",IF(OR(NOT(ISNUMBER($F247)),NOT(ISNUMBER($G247))),0,MAX(0,MIN($G247,EOMONTH(출력_요약!$B$3,0))-MAX($F247,출력_요약!$B$3)+1)))</f>
        <v/>
      </c>
      <c r="I247" s="26">
        <f>IF($D247="","",TRIM(INDEX(입력_구리근무자명단!$A$1:$GZ$303,$A247,$G$2+5)&amp;""))</f>
        <v/>
      </c>
      <c r="J247" s="26">
        <f>IF($D247="","",IF(ISNUMBER(SEARCH("구리독자",$I247)),"구리독자",""))</f>
        <v/>
      </c>
      <c r="K247" s="29">
        <f>IF($D247="","",IF(COUNTIFS(입력_전공의명단!$C$2:$C$401,$D247,입력_전공의명단!$F$2:$F$401,IF(OR($C247="인턴",ISNUMBER(SEARCH("수련교육부",$B247))),"인턴",$B247))=1,MATCH($D247&amp;"|"&amp;IF(OR($C247="인턴",ISNUMBER(SEARCH("수련교육부",$B247))),"인턴",$B247),입력_전공의명단!$AP$2:$AP$401,0),IF(AND(COUNTIFS(입력_전공의명단!$C$2:$C$401,$D247,입력_전공의명단!$F$2:$F$401,IF(OR($C247="인턴",ISNUMBER(SEARCH("수련교육부",$B247))),"인턴",$B247))=0,COUNTIF(입력_전공의명단!$C$2:$C$401,$D247)=1),MATCH($D247,입력_전공의명단!$C$2:$C$401,0),"")))</f>
        <v/>
      </c>
      <c r="L247" s="26">
        <f>IF($D247="","",IF($K247&lt;&gt;"",IF(COUNTIFS(입력_전공의명단!$C$2:$C$401,$D247,입력_전공의명단!$F$2:$F$401,IF(OR($C247="인턴",ISNUMBER(SEARCH("수련교육부",$B247))),"인턴",$B247))=1,"명단 일치","명단 일치(이름만, 과 다름)"),IF(COUNTIF(입력_전공의명단!$C$2:$C$401,$D247)=0,IF(COUNTIF(입력_기본자료!$C$2:$C$1001,$D247)&gt;0,"명단에 없음(기본자료에는 있음)","명단에 없음"),"동명이인 확인")))</f>
        <v/>
      </c>
    </row>
    <row r="248">
      <c r="A248" s="29" t="n">
        <v>246</v>
      </c>
      <c r="B248" s="26">
        <f>IF(TRIM(INDEX(입력_구리근무자명단!$A$1:$GZ$303,$A248,1)&amp;"")&lt;&gt;"",TRIM(INDEX(입력_구리근무자명단!$A$1:$GZ$303,$A248,1)&amp;""),B247)</f>
        <v/>
      </c>
      <c r="C248" s="26">
        <f>IF(INDEX(입력_구리근무자명단!$A$1:$GZ$303,$A248,2)="","",INDEX(입력_구리근무자명단!$A$1:$GZ$303,$A248,2))</f>
        <v/>
      </c>
      <c r="D248" s="26">
        <f>IF($G$2="","",TRIM(IF($I$2="확정",INDEX(입력_구리근무자명단!$A$1:$GZ$303,$A248,$G$2+1)&amp;"",INDEX(입력_구리근무자명단!$A$1:$GZ$303,$A248,$G$2+0)&amp;"")))</f>
        <v/>
      </c>
      <c r="E248" s="26">
        <f>IF($D248="","",$I$2)</f>
        <v/>
      </c>
      <c r="F248" s="28">
        <f>IF($D248="","",IF(INDEX(입력_구리근무자명단!$A$1:$GZ$303,$A248,$G$2+2)="",출력_요약!$B$3,IF(ISNUMBER(INDEX(입력_구리근무자명단!$A$1:$GZ$303,$A248,$G$2+2)),INDEX(입력_구리근무자명단!$A$1:$GZ$303,$A248,$G$2+2),IFERROR(DATE(VALUE(LEFT(INDEX(입력_구리근무자명단!$A$1:$GZ$303,$A248,$G$2+2),4)),VALUE(MID(INDEX(입력_구리근무자명단!$A$1:$GZ$303,$A248,$G$2+2),6,2)),VALUE(MID(INDEX(입력_구리근무자명단!$A$1:$GZ$303,$A248,$G$2+2),9,2))),IFERROR(DATEVALUE(SUBSTITUTE(TRIM(INDEX(입력_구리근무자명단!$A$1:$GZ$303,$A248,$G$2+2)),".","-")),"⚠"&amp;INDEX(입력_구리근무자명단!$A$1:$GZ$303,$A248,$G$2+2))))))</f>
        <v/>
      </c>
      <c r="G248" s="28">
        <f>IF($D248="","",IF(INDEX(입력_구리근무자명단!$A$1:$GZ$303,$A248,$G$2+3)="",EOMONTH(출력_요약!$B$3,0),IF(ISNUMBER(INDEX(입력_구리근무자명단!$A$1:$GZ$303,$A248,$G$2+3)),INDEX(입력_구리근무자명단!$A$1:$GZ$303,$A248,$G$2+3),IFERROR(DATE(VALUE(LEFT(INDEX(입력_구리근무자명단!$A$1:$GZ$303,$A248,$G$2+3),4)),VALUE(MID(INDEX(입력_구리근무자명단!$A$1:$GZ$303,$A248,$G$2+3),6,2)),VALUE(MID(INDEX(입력_구리근무자명단!$A$1:$GZ$303,$A248,$G$2+3),9,2))),IFERROR(DATEVALUE(SUBSTITUTE(TRIM(INDEX(입력_구리근무자명단!$A$1:$GZ$303,$A248,$G$2+3)),".","-")),"⚠"&amp;INDEX(입력_구리근무자명단!$A$1:$GZ$303,$A248,$G$2+3))))))</f>
        <v/>
      </c>
      <c r="H248" s="26">
        <f>IF($D248="","",IF(OR(NOT(ISNUMBER($F248)),NOT(ISNUMBER($G248))),0,MAX(0,MIN($G248,EOMONTH(출력_요약!$B$3,0))-MAX($F248,출력_요약!$B$3)+1)))</f>
        <v/>
      </c>
      <c r="I248" s="26">
        <f>IF($D248="","",TRIM(INDEX(입력_구리근무자명단!$A$1:$GZ$303,$A248,$G$2+5)&amp;""))</f>
        <v/>
      </c>
      <c r="J248" s="26">
        <f>IF($D248="","",IF(ISNUMBER(SEARCH("구리독자",$I248)),"구리독자",""))</f>
        <v/>
      </c>
      <c r="K248" s="29">
        <f>IF($D248="","",IF(COUNTIFS(입력_전공의명단!$C$2:$C$401,$D248,입력_전공의명단!$F$2:$F$401,IF(OR($C248="인턴",ISNUMBER(SEARCH("수련교육부",$B248))),"인턴",$B248))=1,MATCH($D248&amp;"|"&amp;IF(OR($C248="인턴",ISNUMBER(SEARCH("수련교육부",$B248))),"인턴",$B248),입력_전공의명단!$AP$2:$AP$401,0),IF(AND(COUNTIFS(입력_전공의명단!$C$2:$C$401,$D248,입력_전공의명단!$F$2:$F$401,IF(OR($C248="인턴",ISNUMBER(SEARCH("수련교육부",$B248))),"인턴",$B248))=0,COUNTIF(입력_전공의명단!$C$2:$C$401,$D248)=1),MATCH($D248,입력_전공의명단!$C$2:$C$401,0),"")))</f>
        <v/>
      </c>
      <c r="L248" s="26">
        <f>IF($D248="","",IF($K248&lt;&gt;"",IF(COUNTIFS(입력_전공의명단!$C$2:$C$401,$D248,입력_전공의명단!$F$2:$F$401,IF(OR($C248="인턴",ISNUMBER(SEARCH("수련교육부",$B248))),"인턴",$B248))=1,"명단 일치","명단 일치(이름만, 과 다름)"),IF(COUNTIF(입력_전공의명단!$C$2:$C$401,$D248)=0,IF(COUNTIF(입력_기본자료!$C$2:$C$1001,$D248)&gt;0,"명단에 없음(기본자료에는 있음)","명단에 없음"),"동명이인 확인")))</f>
        <v/>
      </c>
    </row>
    <row r="249">
      <c r="A249" s="29" t="n">
        <v>247</v>
      </c>
      <c r="B249" s="26">
        <f>IF(TRIM(INDEX(입력_구리근무자명단!$A$1:$GZ$303,$A249,1)&amp;"")&lt;&gt;"",TRIM(INDEX(입력_구리근무자명단!$A$1:$GZ$303,$A249,1)&amp;""),B248)</f>
        <v/>
      </c>
      <c r="C249" s="26">
        <f>IF(INDEX(입력_구리근무자명단!$A$1:$GZ$303,$A249,2)="","",INDEX(입력_구리근무자명단!$A$1:$GZ$303,$A249,2))</f>
        <v/>
      </c>
      <c r="D249" s="26">
        <f>IF($G$2="","",TRIM(IF($I$2="확정",INDEX(입력_구리근무자명단!$A$1:$GZ$303,$A249,$G$2+1)&amp;"",INDEX(입력_구리근무자명단!$A$1:$GZ$303,$A249,$G$2+0)&amp;"")))</f>
        <v/>
      </c>
      <c r="E249" s="26">
        <f>IF($D249="","",$I$2)</f>
        <v/>
      </c>
      <c r="F249" s="28">
        <f>IF($D249="","",IF(INDEX(입력_구리근무자명단!$A$1:$GZ$303,$A249,$G$2+2)="",출력_요약!$B$3,IF(ISNUMBER(INDEX(입력_구리근무자명단!$A$1:$GZ$303,$A249,$G$2+2)),INDEX(입력_구리근무자명단!$A$1:$GZ$303,$A249,$G$2+2),IFERROR(DATE(VALUE(LEFT(INDEX(입력_구리근무자명단!$A$1:$GZ$303,$A249,$G$2+2),4)),VALUE(MID(INDEX(입력_구리근무자명단!$A$1:$GZ$303,$A249,$G$2+2),6,2)),VALUE(MID(INDEX(입력_구리근무자명단!$A$1:$GZ$303,$A249,$G$2+2),9,2))),IFERROR(DATEVALUE(SUBSTITUTE(TRIM(INDEX(입력_구리근무자명단!$A$1:$GZ$303,$A249,$G$2+2)),".","-")),"⚠"&amp;INDEX(입력_구리근무자명단!$A$1:$GZ$303,$A249,$G$2+2))))))</f>
        <v/>
      </c>
      <c r="G249" s="28">
        <f>IF($D249="","",IF(INDEX(입력_구리근무자명단!$A$1:$GZ$303,$A249,$G$2+3)="",EOMONTH(출력_요약!$B$3,0),IF(ISNUMBER(INDEX(입력_구리근무자명단!$A$1:$GZ$303,$A249,$G$2+3)),INDEX(입력_구리근무자명단!$A$1:$GZ$303,$A249,$G$2+3),IFERROR(DATE(VALUE(LEFT(INDEX(입력_구리근무자명단!$A$1:$GZ$303,$A249,$G$2+3),4)),VALUE(MID(INDEX(입력_구리근무자명단!$A$1:$GZ$303,$A249,$G$2+3),6,2)),VALUE(MID(INDEX(입력_구리근무자명단!$A$1:$GZ$303,$A249,$G$2+3),9,2))),IFERROR(DATEVALUE(SUBSTITUTE(TRIM(INDEX(입력_구리근무자명단!$A$1:$GZ$303,$A249,$G$2+3)),".","-")),"⚠"&amp;INDEX(입력_구리근무자명단!$A$1:$GZ$303,$A249,$G$2+3))))))</f>
        <v/>
      </c>
      <c r="H249" s="26">
        <f>IF($D249="","",IF(OR(NOT(ISNUMBER($F249)),NOT(ISNUMBER($G249))),0,MAX(0,MIN($G249,EOMONTH(출력_요약!$B$3,0))-MAX($F249,출력_요약!$B$3)+1)))</f>
        <v/>
      </c>
      <c r="I249" s="26">
        <f>IF($D249="","",TRIM(INDEX(입력_구리근무자명단!$A$1:$GZ$303,$A249,$G$2+5)&amp;""))</f>
        <v/>
      </c>
      <c r="J249" s="26">
        <f>IF($D249="","",IF(ISNUMBER(SEARCH("구리독자",$I249)),"구리독자",""))</f>
        <v/>
      </c>
      <c r="K249" s="29">
        <f>IF($D249="","",IF(COUNTIFS(입력_전공의명단!$C$2:$C$401,$D249,입력_전공의명단!$F$2:$F$401,IF(OR($C249="인턴",ISNUMBER(SEARCH("수련교육부",$B249))),"인턴",$B249))=1,MATCH($D249&amp;"|"&amp;IF(OR($C249="인턴",ISNUMBER(SEARCH("수련교육부",$B249))),"인턴",$B249),입력_전공의명단!$AP$2:$AP$401,0),IF(AND(COUNTIFS(입력_전공의명단!$C$2:$C$401,$D249,입력_전공의명단!$F$2:$F$401,IF(OR($C249="인턴",ISNUMBER(SEARCH("수련교육부",$B249))),"인턴",$B249))=0,COUNTIF(입력_전공의명단!$C$2:$C$401,$D249)=1),MATCH($D249,입력_전공의명단!$C$2:$C$401,0),"")))</f>
        <v/>
      </c>
      <c r="L249" s="26">
        <f>IF($D249="","",IF($K249&lt;&gt;"",IF(COUNTIFS(입력_전공의명단!$C$2:$C$401,$D249,입력_전공의명단!$F$2:$F$401,IF(OR($C249="인턴",ISNUMBER(SEARCH("수련교육부",$B249))),"인턴",$B249))=1,"명단 일치","명단 일치(이름만, 과 다름)"),IF(COUNTIF(입력_전공의명단!$C$2:$C$401,$D249)=0,IF(COUNTIF(입력_기본자료!$C$2:$C$1001,$D249)&gt;0,"명단에 없음(기본자료에는 있음)","명단에 없음"),"동명이인 확인")))</f>
        <v/>
      </c>
    </row>
    <row r="250">
      <c r="A250" s="29" t="n">
        <v>248</v>
      </c>
      <c r="B250" s="26">
        <f>IF(TRIM(INDEX(입력_구리근무자명단!$A$1:$GZ$303,$A250,1)&amp;"")&lt;&gt;"",TRIM(INDEX(입력_구리근무자명단!$A$1:$GZ$303,$A250,1)&amp;""),B249)</f>
        <v/>
      </c>
      <c r="C250" s="26">
        <f>IF(INDEX(입력_구리근무자명단!$A$1:$GZ$303,$A250,2)="","",INDEX(입력_구리근무자명단!$A$1:$GZ$303,$A250,2))</f>
        <v/>
      </c>
      <c r="D250" s="26">
        <f>IF($G$2="","",TRIM(IF($I$2="확정",INDEX(입력_구리근무자명단!$A$1:$GZ$303,$A250,$G$2+1)&amp;"",INDEX(입력_구리근무자명단!$A$1:$GZ$303,$A250,$G$2+0)&amp;"")))</f>
        <v/>
      </c>
      <c r="E250" s="26">
        <f>IF($D250="","",$I$2)</f>
        <v/>
      </c>
      <c r="F250" s="28">
        <f>IF($D250="","",IF(INDEX(입력_구리근무자명단!$A$1:$GZ$303,$A250,$G$2+2)="",출력_요약!$B$3,IF(ISNUMBER(INDEX(입력_구리근무자명단!$A$1:$GZ$303,$A250,$G$2+2)),INDEX(입력_구리근무자명단!$A$1:$GZ$303,$A250,$G$2+2),IFERROR(DATE(VALUE(LEFT(INDEX(입력_구리근무자명단!$A$1:$GZ$303,$A250,$G$2+2),4)),VALUE(MID(INDEX(입력_구리근무자명단!$A$1:$GZ$303,$A250,$G$2+2),6,2)),VALUE(MID(INDEX(입력_구리근무자명단!$A$1:$GZ$303,$A250,$G$2+2),9,2))),IFERROR(DATEVALUE(SUBSTITUTE(TRIM(INDEX(입력_구리근무자명단!$A$1:$GZ$303,$A250,$G$2+2)),".","-")),"⚠"&amp;INDEX(입력_구리근무자명단!$A$1:$GZ$303,$A250,$G$2+2))))))</f>
        <v/>
      </c>
      <c r="G250" s="28">
        <f>IF($D250="","",IF(INDEX(입력_구리근무자명단!$A$1:$GZ$303,$A250,$G$2+3)="",EOMONTH(출력_요약!$B$3,0),IF(ISNUMBER(INDEX(입력_구리근무자명단!$A$1:$GZ$303,$A250,$G$2+3)),INDEX(입력_구리근무자명단!$A$1:$GZ$303,$A250,$G$2+3),IFERROR(DATE(VALUE(LEFT(INDEX(입력_구리근무자명단!$A$1:$GZ$303,$A250,$G$2+3),4)),VALUE(MID(INDEX(입력_구리근무자명단!$A$1:$GZ$303,$A250,$G$2+3),6,2)),VALUE(MID(INDEX(입력_구리근무자명단!$A$1:$GZ$303,$A250,$G$2+3),9,2))),IFERROR(DATEVALUE(SUBSTITUTE(TRIM(INDEX(입력_구리근무자명단!$A$1:$GZ$303,$A250,$G$2+3)),".","-")),"⚠"&amp;INDEX(입력_구리근무자명단!$A$1:$GZ$303,$A250,$G$2+3))))))</f>
        <v/>
      </c>
      <c r="H250" s="26">
        <f>IF($D250="","",IF(OR(NOT(ISNUMBER($F250)),NOT(ISNUMBER($G250))),0,MAX(0,MIN($G250,EOMONTH(출력_요약!$B$3,0))-MAX($F250,출력_요약!$B$3)+1)))</f>
        <v/>
      </c>
      <c r="I250" s="26">
        <f>IF($D250="","",TRIM(INDEX(입력_구리근무자명단!$A$1:$GZ$303,$A250,$G$2+5)&amp;""))</f>
        <v/>
      </c>
      <c r="J250" s="26">
        <f>IF($D250="","",IF(ISNUMBER(SEARCH("구리독자",$I250)),"구리독자",""))</f>
        <v/>
      </c>
      <c r="K250" s="29">
        <f>IF($D250="","",IF(COUNTIFS(입력_전공의명단!$C$2:$C$401,$D250,입력_전공의명단!$F$2:$F$401,IF(OR($C250="인턴",ISNUMBER(SEARCH("수련교육부",$B250))),"인턴",$B250))=1,MATCH($D250&amp;"|"&amp;IF(OR($C250="인턴",ISNUMBER(SEARCH("수련교육부",$B250))),"인턴",$B250),입력_전공의명단!$AP$2:$AP$401,0),IF(AND(COUNTIFS(입력_전공의명단!$C$2:$C$401,$D250,입력_전공의명단!$F$2:$F$401,IF(OR($C250="인턴",ISNUMBER(SEARCH("수련교육부",$B250))),"인턴",$B250))=0,COUNTIF(입력_전공의명단!$C$2:$C$401,$D250)=1),MATCH($D250,입력_전공의명단!$C$2:$C$401,0),"")))</f>
        <v/>
      </c>
      <c r="L250" s="26">
        <f>IF($D250="","",IF($K250&lt;&gt;"",IF(COUNTIFS(입력_전공의명단!$C$2:$C$401,$D250,입력_전공의명단!$F$2:$F$401,IF(OR($C250="인턴",ISNUMBER(SEARCH("수련교육부",$B250))),"인턴",$B250))=1,"명단 일치","명단 일치(이름만, 과 다름)"),IF(COUNTIF(입력_전공의명단!$C$2:$C$401,$D250)=0,IF(COUNTIF(입력_기본자료!$C$2:$C$1001,$D250)&gt;0,"명단에 없음(기본자료에는 있음)","명단에 없음"),"동명이인 확인")))</f>
        <v/>
      </c>
    </row>
    <row r="251">
      <c r="A251" s="29" t="n">
        <v>249</v>
      </c>
      <c r="B251" s="26">
        <f>IF(TRIM(INDEX(입력_구리근무자명단!$A$1:$GZ$303,$A251,1)&amp;"")&lt;&gt;"",TRIM(INDEX(입력_구리근무자명단!$A$1:$GZ$303,$A251,1)&amp;""),B250)</f>
        <v/>
      </c>
      <c r="C251" s="26">
        <f>IF(INDEX(입력_구리근무자명단!$A$1:$GZ$303,$A251,2)="","",INDEX(입력_구리근무자명단!$A$1:$GZ$303,$A251,2))</f>
        <v/>
      </c>
      <c r="D251" s="26">
        <f>IF($G$2="","",TRIM(IF($I$2="확정",INDEX(입력_구리근무자명단!$A$1:$GZ$303,$A251,$G$2+1)&amp;"",INDEX(입력_구리근무자명단!$A$1:$GZ$303,$A251,$G$2+0)&amp;"")))</f>
        <v/>
      </c>
      <c r="E251" s="26">
        <f>IF($D251="","",$I$2)</f>
        <v/>
      </c>
      <c r="F251" s="28">
        <f>IF($D251="","",IF(INDEX(입력_구리근무자명단!$A$1:$GZ$303,$A251,$G$2+2)="",출력_요약!$B$3,IF(ISNUMBER(INDEX(입력_구리근무자명단!$A$1:$GZ$303,$A251,$G$2+2)),INDEX(입력_구리근무자명단!$A$1:$GZ$303,$A251,$G$2+2),IFERROR(DATE(VALUE(LEFT(INDEX(입력_구리근무자명단!$A$1:$GZ$303,$A251,$G$2+2),4)),VALUE(MID(INDEX(입력_구리근무자명단!$A$1:$GZ$303,$A251,$G$2+2),6,2)),VALUE(MID(INDEX(입력_구리근무자명단!$A$1:$GZ$303,$A251,$G$2+2),9,2))),IFERROR(DATEVALUE(SUBSTITUTE(TRIM(INDEX(입력_구리근무자명단!$A$1:$GZ$303,$A251,$G$2+2)),".","-")),"⚠"&amp;INDEX(입력_구리근무자명단!$A$1:$GZ$303,$A251,$G$2+2))))))</f>
        <v/>
      </c>
      <c r="G251" s="28">
        <f>IF($D251="","",IF(INDEX(입력_구리근무자명단!$A$1:$GZ$303,$A251,$G$2+3)="",EOMONTH(출력_요약!$B$3,0),IF(ISNUMBER(INDEX(입력_구리근무자명단!$A$1:$GZ$303,$A251,$G$2+3)),INDEX(입력_구리근무자명단!$A$1:$GZ$303,$A251,$G$2+3),IFERROR(DATE(VALUE(LEFT(INDEX(입력_구리근무자명단!$A$1:$GZ$303,$A251,$G$2+3),4)),VALUE(MID(INDEX(입력_구리근무자명단!$A$1:$GZ$303,$A251,$G$2+3),6,2)),VALUE(MID(INDEX(입력_구리근무자명단!$A$1:$GZ$303,$A251,$G$2+3),9,2))),IFERROR(DATEVALUE(SUBSTITUTE(TRIM(INDEX(입력_구리근무자명단!$A$1:$GZ$303,$A251,$G$2+3)),".","-")),"⚠"&amp;INDEX(입력_구리근무자명단!$A$1:$GZ$303,$A251,$G$2+3))))))</f>
        <v/>
      </c>
      <c r="H251" s="26">
        <f>IF($D251="","",IF(OR(NOT(ISNUMBER($F251)),NOT(ISNUMBER($G251))),0,MAX(0,MIN($G251,EOMONTH(출력_요약!$B$3,0))-MAX($F251,출력_요약!$B$3)+1)))</f>
        <v/>
      </c>
      <c r="I251" s="26">
        <f>IF($D251="","",TRIM(INDEX(입력_구리근무자명단!$A$1:$GZ$303,$A251,$G$2+5)&amp;""))</f>
        <v/>
      </c>
      <c r="J251" s="26">
        <f>IF($D251="","",IF(ISNUMBER(SEARCH("구리독자",$I251)),"구리독자",""))</f>
        <v/>
      </c>
      <c r="K251" s="29">
        <f>IF($D251="","",IF(COUNTIFS(입력_전공의명단!$C$2:$C$401,$D251,입력_전공의명단!$F$2:$F$401,IF(OR($C251="인턴",ISNUMBER(SEARCH("수련교육부",$B251))),"인턴",$B251))=1,MATCH($D251&amp;"|"&amp;IF(OR($C251="인턴",ISNUMBER(SEARCH("수련교육부",$B251))),"인턴",$B251),입력_전공의명단!$AP$2:$AP$401,0),IF(AND(COUNTIFS(입력_전공의명단!$C$2:$C$401,$D251,입력_전공의명단!$F$2:$F$401,IF(OR($C251="인턴",ISNUMBER(SEARCH("수련교육부",$B251))),"인턴",$B251))=0,COUNTIF(입력_전공의명단!$C$2:$C$401,$D251)=1),MATCH($D251,입력_전공의명단!$C$2:$C$401,0),"")))</f>
        <v/>
      </c>
      <c r="L251" s="26">
        <f>IF($D251="","",IF($K251&lt;&gt;"",IF(COUNTIFS(입력_전공의명단!$C$2:$C$401,$D251,입력_전공의명단!$F$2:$F$401,IF(OR($C251="인턴",ISNUMBER(SEARCH("수련교육부",$B251))),"인턴",$B251))=1,"명단 일치","명단 일치(이름만, 과 다름)"),IF(COUNTIF(입력_전공의명단!$C$2:$C$401,$D251)=0,IF(COUNTIF(입력_기본자료!$C$2:$C$1001,$D251)&gt;0,"명단에 없음(기본자료에는 있음)","명단에 없음"),"동명이인 확인")))</f>
        <v/>
      </c>
    </row>
    <row r="252">
      <c r="A252" s="29" t="n">
        <v>250</v>
      </c>
      <c r="B252" s="26">
        <f>IF(TRIM(INDEX(입력_구리근무자명단!$A$1:$GZ$303,$A252,1)&amp;"")&lt;&gt;"",TRIM(INDEX(입력_구리근무자명단!$A$1:$GZ$303,$A252,1)&amp;""),B251)</f>
        <v/>
      </c>
      <c r="C252" s="26">
        <f>IF(INDEX(입력_구리근무자명단!$A$1:$GZ$303,$A252,2)="","",INDEX(입력_구리근무자명단!$A$1:$GZ$303,$A252,2))</f>
        <v/>
      </c>
      <c r="D252" s="26">
        <f>IF($G$2="","",TRIM(IF($I$2="확정",INDEX(입력_구리근무자명단!$A$1:$GZ$303,$A252,$G$2+1)&amp;"",INDEX(입력_구리근무자명단!$A$1:$GZ$303,$A252,$G$2+0)&amp;"")))</f>
        <v/>
      </c>
      <c r="E252" s="26">
        <f>IF($D252="","",$I$2)</f>
        <v/>
      </c>
      <c r="F252" s="28">
        <f>IF($D252="","",IF(INDEX(입력_구리근무자명단!$A$1:$GZ$303,$A252,$G$2+2)="",출력_요약!$B$3,IF(ISNUMBER(INDEX(입력_구리근무자명단!$A$1:$GZ$303,$A252,$G$2+2)),INDEX(입력_구리근무자명단!$A$1:$GZ$303,$A252,$G$2+2),IFERROR(DATE(VALUE(LEFT(INDEX(입력_구리근무자명단!$A$1:$GZ$303,$A252,$G$2+2),4)),VALUE(MID(INDEX(입력_구리근무자명단!$A$1:$GZ$303,$A252,$G$2+2),6,2)),VALUE(MID(INDEX(입력_구리근무자명단!$A$1:$GZ$303,$A252,$G$2+2),9,2))),IFERROR(DATEVALUE(SUBSTITUTE(TRIM(INDEX(입력_구리근무자명단!$A$1:$GZ$303,$A252,$G$2+2)),".","-")),"⚠"&amp;INDEX(입력_구리근무자명단!$A$1:$GZ$303,$A252,$G$2+2))))))</f>
        <v/>
      </c>
      <c r="G252" s="28">
        <f>IF($D252="","",IF(INDEX(입력_구리근무자명단!$A$1:$GZ$303,$A252,$G$2+3)="",EOMONTH(출력_요약!$B$3,0),IF(ISNUMBER(INDEX(입력_구리근무자명단!$A$1:$GZ$303,$A252,$G$2+3)),INDEX(입력_구리근무자명단!$A$1:$GZ$303,$A252,$G$2+3),IFERROR(DATE(VALUE(LEFT(INDEX(입력_구리근무자명단!$A$1:$GZ$303,$A252,$G$2+3),4)),VALUE(MID(INDEX(입력_구리근무자명단!$A$1:$GZ$303,$A252,$G$2+3),6,2)),VALUE(MID(INDEX(입력_구리근무자명단!$A$1:$GZ$303,$A252,$G$2+3),9,2))),IFERROR(DATEVALUE(SUBSTITUTE(TRIM(INDEX(입력_구리근무자명단!$A$1:$GZ$303,$A252,$G$2+3)),".","-")),"⚠"&amp;INDEX(입력_구리근무자명단!$A$1:$GZ$303,$A252,$G$2+3))))))</f>
        <v/>
      </c>
      <c r="H252" s="26">
        <f>IF($D252="","",IF(OR(NOT(ISNUMBER($F252)),NOT(ISNUMBER($G252))),0,MAX(0,MIN($G252,EOMONTH(출력_요약!$B$3,0))-MAX($F252,출력_요약!$B$3)+1)))</f>
        <v/>
      </c>
      <c r="I252" s="26">
        <f>IF($D252="","",TRIM(INDEX(입력_구리근무자명단!$A$1:$GZ$303,$A252,$G$2+5)&amp;""))</f>
        <v/>
      </c>
      <c r="J252" s="26">
        <f>IF($D252="","",IF(ISNUMBER(SEARCH("구리독자",$I252)),"구리독자",""))</f>
        <v/>
      </c>
      <c r="K252" s="29">
        <f>IF($D252="","",IF(COUNTIFS(입력_전공의명단!$C$2:$C$401,$D252,입력_전공의명단!$F$2:$F$401,IF(OR($C252="인턴",ISNUMBER(SEARCH("수련교육부",$B252))),"인턴",$B252))=1,MATCH($D252&amp;"|"&amp;IF(OR($C252="인턴",ISNUMBER(SEARCH("수련교육부",$B252))),"인턴",$B252),입력_전공의명단!$AP$2:$AP$401,0),IF(AND(COUNTIFS(입력_전공의명단!$C$2:$C$401,$D252,입력_전공의명단!$F$2:$F$401,IF(OR($C252="인턴",ISNUMBER(SEARCH("수련교육부",$B252))),"인턴",$B252))=0,COUNTIF(입력_전공의명단!$C$2:$C$401,$D252)=1),MATCH($D252,입력_전공의명단!$C$2:$C$401,0),"")))</f>
        <v/>
      </c>
      <c r="L252" s="26">
        <f>IF($D252="","",IF($K252&lt;&gt;"",IF(COUNTIFS(입력_전공의명단!$C$2:$C$401,$D252,입력_전공의명단!$F$2:$F$401,IF(OR($C252="인턴",ISNUMBER(SEARCH("수련교육부",$B252))),"인턴",$B252))=1,"명단 일치","명단 일치(이름만, 과 다름)"),IF(COUNTIF(입력_전공의명단!$C$2:$C$401,$D252)=0,IF(COUNTIF(입력_기본자료!$C$2:$C$1001,$D252)&gt;0,"명단에 없음(기본자료에는 있음)","명단에 없음"),"동명이인 확인")))</f>
        <v/>
      </c>
    </row>
    <row r="253">
      <c r="A253" s="29" t="n">
        <v>251</v>
      </c>
      <c r="B253" s="26">
        <f>IF(TRIM(INDEX(입력_구리근무자명단!$A$1:$GZ$303,$A253,1)&amp;"")&lt;&gt;"",TRIM(INDEX(입력_구리근무자명단!$A$1:$GZ$303,$A253,1)&amp;""),B252)</f>
        <v/>
      </c>
      <c r="C253" s="26">
        <f>IF(INDEX(입력_구리근무자명단!$A$1:$GZ$303,$A253,2)="","",INDEX(입력_구리근무자명단!$A$1:$GZ$303,$A253,2))</f>
        <v/>
      </c>
      <c r="D253" s="26">
        <f>IF($G$2="","",TRIM(IF($I$2="확정",INDEX(입력_구리근무자명단!$A$1:$GZ$303,$A253,$G$2+1)&amp;"",INDEX(입력_구리근무자명단!$A$1:$GZ$303,$A253,$G$2+0)&amp;"")))</f>
        <v/>
      </c>
      <c r="E253" s="26">
        <f>IF($D253="","",$I$2)</f>
        <v/>
      </c>
      <c r="F253" s="28">
        <f>IF($D253="","",IF(INDEX(입력_구리근무자명단!$A$1:$GZ$303,$A253,$G$2+2)="",출력_요약!$B$3,IF(ISNUMBER(INDEX(입력_구리근무자명단!$A$1:$GZ$303,$A253,$G$2+2)),INDEX(입력_구리근무자명단!$A$1:$GZ$303,$A253,$G$2+2),IFERROR(DATE(VALUE(LEFT(INDEX(입력_구리근무자명단!$A$1:$GZ$303,$A253,$G$2+2),4)),VALUE(MID(INDEX(입력_구리근무자명단!$A$1:$GZ$303,$A253,$G$2+2),6,2)),VALUE(MID(INDEX(입력_구리근무자명단!$A$1:$GZ$303,$A253,$G$2+2),9,2))),IFERROR(DATEVALUE(SUBSTITUTE(TRIM(INDEX(입력_구리근무자명단!$A$1:$GZ$303,$A253,$G$2+2)),".","-")),"⚠"&amp;INDEX(입력_구리근무자명단!$A$1:$GZ$303,$A253,$G$2+2))))))</f>
        <v/>
      </c>
      <c r="G253" s="28">
        <f>IF($D253="","",IF(INDEX(입력_구리근무자명단!$A$1:$GZ$303,$A253,$G$2+3)="",EOMONTH(출력_요약!$B$3,0),IF(ISNUMBER(INDEX(입력_구리근무자명단!$A$1:$GZ$303,$A253,$G$2+3)),INDEX(입력_구리근무자명단!$A$1:$GZ$303,$A253,$G$2+3),IFERROR(DATE(VALUE(LEFT(INDEX(입력_구리근무자명단!$A$1:$GZ$303,$A253,$G$2+3),4)),VALUE(MID(INDEX(입력_구리근무자명단!$A$1:$GZ$303,$A253,$G$2+3),6,2)),VALUE(MID(INDEX(입력_구리근무자명단!$A$1:$GZ$303,$A253,$G$2+3),9,2))),IFERROR(DATEVALUE(SUBSTITUTE(TRIM(INDEX(입력_구리근무자명단!$A$1:$GZ$303,$A253,$G$2+3)),".","-")),"⚠"&amp;INDEX(입력_구리근무자명단!$A$1:$GZ$303,$A253,$G$2+3))))))</f>
        <v/>
      </c>
      <c r="H253" s="26">
        <f>IF($D253="","",IF(OR(NOT(ISNUMBER($F253)),NOT(ISNUMBER($G253))),0,MAX(0,MIN($G253,EOMONTH(출력_요약!$B$3,0))-MAX($F253,출력_요약!$B$3)+1)))</f>
        <v/>
      </c>
      <c r="I253" s="26">
        <f>IF($D253="","",TRIM(INDEX(입력_구리근무자명단!$A$1:$GZ$303,$A253,$G$2+5)&amp;""))</f>
        <v/>
      </c>
      <c r="J253" s="26">
        <f>IF($D253="","",IF(ISNUMBER(SEARCH("구리독자",$I253)),"구리독자",""))</f>
        <v/>
      </c>
      <c r="K253" s="29">
        <f>IF($D253="","",IF(COUNTIFS(입력_전공의명단!$C$2:$C$401,$D253,입력_전공의명단!$F$2:$F$401,IF(OR($C253="인턴",ISNUMBER(SEARCH("수련교육부",$B253))),"인턴",$B253))=1,MATCH($D253&amp;"|"&amp;IF(OR($C253="인턴",ISNUMBER(SEARCH("수련교육부",$B253))),"인턴",$B253),입력_전공의명단!$AP$2:$AP$401,0),IF(AND(COUNTIFS(입력_전공의명단!$C$2:$C$401,$D253,입력_전공의명단!$F$2:$F$401,IF(OR($C253="인턴",ISNUMBER(SEARCH("수련교육부",$B253))),"인턴",$B253))=0,COUNTIF(입력_전공의명단!$C$2:$C$401,$D253)=1),MATCH($D253,입력_전공의명단!$C$2:$C$401,0),"")))</f>
        <v/>
      </c>
      <c r="L253" s="26">
        <f>IF($D253="","",IF($K253&lt;&gt;"",IF(COUNTIFS(입력_전공의명단!$C$2:$C$401,$D253,입력_전공의명단!$F$2:$F$401,IF(OR($C253="인턴",ISNUMBER(SEARCH("수련교육부",$B253))),"인턴",$B253))=1,"명단 일치","명단 일치(이름만, 과 다름)"),IF(COUNTIF(입력_전공의명단!$C$2:$C$401,$D253)=0,IF(COUNTIF(입력_기본자료!$C$2:$C$1001,$D253)&gt;0,"명단에 없음(기본자료에는 있음)","명단에 없음"),"동명이인 확인")))</f>
        <v/>
      </c>
    </row>
    <row r="254">
      <c r="A254" s="29" t="n">
        <v>252</v>
      </c>
      <c r="B254" s="26">
        <f>IF(TRIM(INDEX(입력_구리근무자명단!$A$1:$GZ$303,$A254,1)&amp;"")&lt;&gt;"",TRIM(INDEX(입력_구리근무자명단!$A$1:$GZ$303,$A254,1)&amp;""),B253)</f>
        <v/>
      </c>
      <c r="C254" s="26">
        <f>IF(INDEX(입력_구리근무자명단!$A$1:$GZ$303,$A254,2)="","",INDEX(입력_구리근무자명단!$A$1:$GZ$303,$A254,2))</f>
        <v/>
      </c>
      <c r="D254" s="26">
        <f>IF($G$2="","",TRIM(IF($I$2="확정",INDEX(입력_구리근무자명단!$A$1:$GZ$303,$A254,$G$2+1)&amp;"",INDEX(입력_구리근무자명단!$A$1:$GZ$303,$A254,$G$2+0)&amp;"")))</f>
        <v/>
      </c>
      <c r="E254" s="26">
        <f>IF($D254="","",$I$2)</f>
        <v/>
      </c>
      <c r="F254" s="28">
        <f>IF($D254="","",IF(INDEX(입력_구리근무자명단!$A$1:$GZ$303,$A254,$G$2+2)="",출력_요약!$B$3,IF(ISNUMBER(INDEX(입력_구리근무자명단!$A$1:$GZ$303,$A254,$G$2+2)),INDEX(입력_구리근무자명단!$A$1:$GZ$303,$A254,$G$2+2),IFERROR(DATE(VALUE(LEFT(INDEX(입력_구리근무자명단!$A$1:$GZ$303,$A254,$G$2+2),4)),VALUE(MID(INDEX(입력_구리근무자명단!$A$1:$GZ$303,$A254,$G$2+2),6,2)),VALUE(MID(INDEX(입력_구리근무자명단!$A$1:$GZ$303,$A254,$G$2+2),9,2))),IFERROR(DATEVALUE(SUBSTITUTE(TRIM(INDEX(입력_구리근무자명단!$A$1:$GZ$303,$A254,$G$2+2)),".","-")),"⚠"&amp;INDEX(입력_구리근무자명단!$A$1:$GZ$303,$A254,$G$2+2))))))</f>
        <v/>
      </c>
      <c r="G254" s="28">
        <f>IF($D254="","",IF(INDEX(입력_구리근무자명단!$A$1:$GZ$303,$A254,$G$2+3)="",EOMONTH(출력_요약!$B$3,0),IF(ISNUMBER(INDEX(입력_구리근무자명단!$A$1:$GZ$303,$A254,$G$2+3)),INDEX(입력_구리근무자명단!$A$1:$GZ$303,$A254,$G$2+3),IFERROR(DATE(VALUE(LEFT(INDEX(입력_구리근무자명단!$A$1:$GZ$303,$A254,$G$2+3),4)),VALUE(MID(INDEX(입력_구리근무자명단!$A$1:$GZ$303,$A254,$G$2+3),6,2)),VALUE(MID(INDEX(입력_구리근무자명단!$A$1:$GZ$303,$A254,$G$2+3),9,2))),IFERROR(DATEVALUE(SUBSTITUTE(TRIM(INDEX(입력_구리근무자명단!$A$1:$GZ$303,$A254,$G$2+3)),".","-")),"⚠"&amp;INDEX(입력_구리근무자명단!$A$1:$GZ$303,$A254,$G$2+3))))))</f>
        <v/>
      </c>
      <c r="H254" s="26">
        <f>IF($D254="","",IF(OR(NOT(ISNUMBER($F254)),NOT(ISNUMBER($G254))),0,MAX(0,MIN($G254,EOMONTH(출력_요약!$B$3,0))-MAX($F254,출력_요약!$B$3)+1)))</f>
        <v/>
      </c>
      <c r="I254" s="26">
        <f>IF($D254="","",TRIM(INDEX(입력_구리근무자명단!$A$1:$GZ$303,$A254,$G$2+5)&amp;""))</f>
        <v/>
      </c>
      <c r="J254" s="26">
        <f>IF($D254="","",IF(ISNUMBER(SEARCH("구리독자",$I254)),"구리독자",""))</f>
        <v/>
      </c>
      <c r="K254" s="29">
        <f>IF($D254="","",IF(COUNTIFS(입력_전공의명단!$C$2:$C$401,$D254,입력_전공의명단!$F$2:$F$401,IF(OR($C254="인턴",ISNUMBER(SEARCH("수련교육부",$B254))),"인턴",$B254))=1,MATCH($D254&amp;"|"&amp;IF(OR($C254="인턴",ISNUMBER(SEARCH("수련교육부",$B254))),"인턴",$B254),입력_전공의명단!$AP$2:$AP$401,0),IF(AND(COUNTIFS(입력_전공의명단!$C$2:$C$401,$D254,입력_전공의명단!$F$2:$F$401,IF(OR($C254="인턴",ISNUMBER(SEARCH("수련교육부",$B254))),"인턴",$B254))=0,COUNTIF(입력_전공의명단!$C$2:$C$401,$D254)=1),MATCH($D254,입력_전공의명단!$C$2:$C$401,0),"")))</f>
        <v/>
      </c>
      <c r="L254" s="26">
        <f>IF($D254="","",IF($K254&lt;&gt;"",IF(COUNTIFS(입력_전공의명단!$C$2:$C$401,$D254,입력_전공의명단!$F$2:$F$401,IF(OR($C254="인턴",ISNUMBER(SEARCH("수련교육부",$B254))),"인턴",$B254))=1,"명단 일치","명단 일치(이름만, 과 다름)"),IF(COUNTIF(입력_전공의명단!$C$2:$C$401,$D254)=0,IF(COUNTIF(입력_기본자료!$C$2:$C$1001,$D254)&gt;0,"명단에 없음(기본자료에는 있음)","명단에 없음"),"동명이인 확인")))</f>
        <v/>
      </c>
    </row>
    <row r="255">
      <c r="A255" s="29" t="n">
        <v>253</v>
      </c>
      <c r="B255" s="26">
        <f>IF(TRIM(INDEX(입력_구리근무자명단!$A$1:$GZ$303,$A255,1)&amp;"")&lt;&gt;"",TRIM(INDEX(입력_구리근무자명단!$A$1:$GZ$303,$A255,1)&amp;""),B254)</f>
        <v/>
      </c>
      <c r="C255" s="26">
        <f>IF(INDEX(입력_구리근무자명단!$A$1:$GZ$303,$A255,2)="","",INDEX(입력_구리근무자명단!$A$1:$GZ$303,$A255,2))</f>
        <v/>
      </c>
      <c r="D255" s="26">
        <f>IF($G$2="","",TRIM(IF($I$2="확정",INDEX(입력_구리근무자명단!$A$1:$GZ$303,$A255,$G$2+1)&amp;"",INDEX(입력_구리근무자명단!$A$1:$GZ$303,$A255,$G$2+0)&amp;"")))</f>
        <v/>
      </c>
      <c r="E255" s="26">
        <f>IF($D255="","",$I$2)</f>
        <v/>
      </c>
      <c r="F255" s="28">
        <f>IF($D255="","",IF(INDEX(입력_구리근무자명단!$A$1:$GZ$303,$A255,$G$2+2)="",출력_요약!$B$3,IF(ISNUMBER(INDEX(입력_구리근무자명단!$A$1:$GZ$303,$A255,$G$2+2)),INDEX(입력_구리근무자명단!$A$1:$GZ$303,$A255,$G$2+2),IFERROR(DATE(VALUE(LEFT(INDEX(입력_구리근무자명단!$A$1:$GZ$303,$A255,$G$2+2),4)),VALUE(MID(INDEX(입력_구리근무자명단!$A$1:$GZ$303,$A255,$G$2+2),6,2)),VALUE(MID(INDEX(입력_구리근무자명단!$A$1:$GZ$303,$A255,$G$2+2),9,2))),IFERROR(DATEVALUE(SUBSTITUTE(TRIM(INDEX(입력_구리근무자명단!$A$1:$GZ$303,$A255,$G$2+2)),".","-")),"⚠"&amp;INDEX(입력_구리근무자명단!$A$1:$GZ$303,$A255,$G$2+2))))))</f>
        <v/>
      </c>
      <c r="G255" s="28">
        <f>IF($D255="","",IF(INDEX(입력_구리근무자명단!$A$1:$GZ$303,$A255,$G$2+3)="",EOMONTH(출력_요약!$B$3,0),IF(ISNUMBER(INDEX(입력_구리근무자명단!$A$1:$GZ$303,$A255,$G$2+3)),INDEX(입력_구리근무자명단!$A$1:$GZ$303,$A255,$G$2+3),IFERROR(DATE(VALUE(LEFT(INDEX(입력_구리근무자명단!$A$1:$GZ$303,$A255,$G$2+3),4)),VALUE(MID(INDEX(입력_구리근무자명단!$A$1:$GZ$303,$A255,$G$2+3),6,2)),VALUE(MID(INDEX(입력_구리근무자명단!$A$1:$GZ$303,$A255,$G$2+3),9,2))),IFERROR(DATEVALUE(SUBSTITUTE(TRIM(INDEX(입력_구리근무자명단!$A$1:$GZ$303,$A255,$G$2+3)),".","-")),"⚠"&amp;INDEX(입력_구리근무자명단!$A$1:$GZ$303,$A255,$G$2+3))))))</f>
        <v/>
      </c>
      <c r="H255" s="26">
        <f>IF($D255="","",IF(OR(NOT(ISNUMBER($F255)),NOT(ISNUMBER($G255))),0,MAX(0,MIN($G255,EOMONTH(출력_요약!$B$3,0))-MAX($F255,출력_요약!$B$3)+1)))</f>
        <v/>
      </c>
      <c r="I255" s="26">
        <f>IF($D255="","",TRIM(INDEX(입력_구리근무자명단!$A$1:$GZ$303,$A255,$G$2+5)&amp;""))</f>
        <v/>
      </c>
      <c r="J255" s="26">
        <f>IF($D255="","",IF(ISNUMBER(SEARCH("구리독자",$I255)),"구리독자",""))</f>
        <v/>
      </c>
      <c r="K255" s="29">
        <f>IF($D255="","",IF(COUNTIFS(입력_전공의명단!$C$2:$C$401,$D255,입력_전공의명단!$F$2:$F$401,IF(OR($C255="인턴",ISNUMBER(SEARCH("수련교육부",$B255))),"인턴",$B255))=1,MATCH($D255&amp;"|"&amp;IF(OR($C255="인턴",ISNUMBER(SEARCH("수련교육부",$B255))),"인턴",$B255),입력_전공의명단!$AP$2:$AP$401,0),IF(AND(COUNTIFS(입력_전공의명단!$C$2:$C$401,$D255,입력_전공의명단!$F$2:$F$401,IF(OR($C255="인턴",ISNUMBER(SEARCH("수련교육부",$B255))),"인턴",$B255))=0,COUNTIF(입력_전공의명단!$C$2:$C$401,$D255)=1),MATCH($D255,입력_전공의명단!$C$2:$C$401,0),"")))</f>
        <v/>
      </c>
      <c r="L255" s="26">
        <f>IF($D255="","",IF($K255&lt;&gt;"",IF(COUNTIFS(입력_전공의명단!$C$2:$C$401,$D255,입력_전공의명단!$F$2:$F$401,IF(OR($C255="인턴",ISNUMBER(SEARCH("수련교육부",$B255))),"인턴",$B255))=1,"명단 일치","명단 일치(이름만, 과 다름)"),IF(COUNTIF(입력_전공의명단!$C$2:$C$401,$D255)=0,IF(COUNTIF(입력_기본자료!$C$2:$C$1001,$D255)&gt;0,"명단에 없음(기본자료에는 있음)","명단에 없음"),"동명이인 확인")))</f>
        <v/>
      </c>
    </row>
    <row r="256">
      <c r="A256" s="29" t="n">
        <v>254</v>
      </c>
      <c r="B256" s="26">
        <f>IF(TRIM(INDEX(입력_구리근무자명단!$A$1:$GZ$303,$A256,1)&amp;"")&lt;&gt;"",TRIM(INDEX(입력_구리근무자명단!$A$1:$GZ$303,$A256,1)&amp;""),B255)</f>
        <v/>
      </c>
      <c r="C256" s="26">
        <f>IF(INDEX(입력_구리근무자명단!$A$1:$GZ$303,$A256,2)="","",INDEX(입력_구리근무자명단!$A$1:$GZ$303,$A256,2))</f>
        <v/>
      </c>
      <c r="D256" s="26">
        <f>IF($G$2="","",TRIM(IF($I$2="확정",INDEX(입력_구리근무자명단!$A$1:$GZ$303,$A256,$G$2+1)&amp;"",INDEX(입력_구리근무자명단!$A$1:$GZ$303,$A256,$G$2+0)&amp;"")))</f>
        <v/>
      </c>
      <c r="E256" s="26">
        <f>IF($D256="","",$I$2)</f>
        <v/>
      </c>
      <c r="F256" s="28">
        <f>IF($D256="","",IF(INDEX(입력_구리근무자명단!$A$1:$GZ$303,$A256,$G$2+2)="",출력_요약!$B$3,IF(ISNUMBER(INDEX(입력_구리근무자명단!$A$1:$GZ$303,$A256,$G$2+2)),INDEX(입력_구리근무자명단!$A$1:$GZ$303,$A256,$G$2+2),IFERROR(DATE(VALUE(LEFT(INDEX(입력_구리근무자명단!$A$1:$GZ$303,$A256,$G$2+2),4)),VALUE(MID(INDEX(입력_구리근무자명단!$A$1:$GZ$303,$A256,$G$2+2),6,2)),VALUE(MID(INDEX(입력_구리근무자명단!$A$1:$GZ$303,$A256,$G$2+2),9,2))),IFERROR(DATEVALUE(SUBSTITUTE(TRIM(INDEX(입력_구리근무자명단!$A$1:$GZ$303,$A256,$G$2+2)),".","-")),"⚠"&amp;INDEX(입력_구리근무자명단!$A$1:$GZ$303,$A256,$G$2+2))))))</f>
        <v/>
      </c>
      <c r="G256" s="28">
        <f>IF($D256="","",IF(INDEX(입력_구리근무자명단!$A$1:$GZ$303,$A256,$G$2+3)="",EOMONTH(출력_요약!$B$3,0),IF(ISNUMBER(INDEX(입력_구리근무자명단!$A$1:$GZ$303,$A256,$G$2+3)),INDEX(입력_구리근무자명단!$A$1:$GZ$303,$A256,$G$2+3),IFERROR(DATE(VALUE(LEFT(INDEX(입력_구리근무자명단!$A$1:$GZ$303,$A256,$G$2+3),4)),VALUE(MID(INDEX(입력_구리근무자명단!$A$1:$GZ$303,$A256,$G$2+3),6,2)),VALUE(MID(INDEX(입력_구리근무자명단!$A$1:$GZ$303,$A256,$G$2+3),9,2))),IFERROR(DATEVALUE(SUBSTITUTE(TRIM(INDEX(입력_구리근무자명단!$A$1:$GZ$303,$A256,$G$2+3)),".","-")),"⚠"&amp;INDEX(입력_구리근무자명단!$A$1:$GZ$303,$A256,$G$2+3))))))</f>
        <v/>
      </c>
      <c r="H256" s="26">
        <f>IF($D256="","",IF(OR(NOT(ISNUMBER($F256)),NOT(ISNUMBER($G256))),0,MAX(0,MIN($G256,EOMONTH(출력_요약!$B$3,0))-MAX($F256,출력_요약!$B$3)+1)))</f>
        <v/>
      </c>
      <c r="I256" s="26">
        <f>IF($D256="","",TRIM(INDEX(입력_구리근무자명단!$A$1:$GZ$303,$A256,$G$2+5)&amp;""))</f>
        <v/>
      </c>
      <c r="J256" s="26">
        <f>IF($D256="","",IF(ISNUMBER(SEARCH("구리독자",$I256)),"구리독자",""))</f>
        <v/>
      </c>
      <c r="K256" s="29">
        <f>IF($D256="","",IF(COUNTIFS(입력_전공의명단!$C$2:$C$401,$D256,입력_전공의명단!$F$2:$F$401,IF(OR($C256="인턴",ISNUMBER(SEARCH("수련교육부",$B256))),"인턴",$B256))=1,MATCH($D256&amp;"|"&amp;IF(OR($C256="인턴",ISNUMBER(SEARCH("수련교육부",$B256))),"인턴",$B256),입력_전공의명단!$AP$2:$AP$401,0),IF(AND(COUNTIFS(입력_전공의명단!$C$2:$C$401,$D256,입력_전공의명단!$F$2:$F$401,IF(OR($C256="인턴",ISNUMBER(SEARCH("수련교육부",$B256))),"인턴",$B256))=0,COUNTIF(입력_전공의명단!$C$2:$C$401,$D256)=1),MATCH($D256,입력_전공의명단!$C$2:$C$401,0),"")))</f>
        <v/>
      </c>
      <c r="L256" s="26">
        <f>IF($D256="","",IF($K256&lt;&gt;"",IF(COUNTIFS(입력_전공의명단!$C$2:$C$401,$D256,입력_전공의명단!$F$2:$F$401,IF(OR($C256="인턴",ISNUMBER(SEARCH("수련교육부",$B256))),"인턴",$B256))=1,"명단 일치","명단 일치(이름만, 과 다름)"),IF(COUNTIF(입력_전공의명단!$C$2:$C$401,$D256)=0,IF(COUNTIF(입력_기본자료!$C$2:$C$1001,$D256)&gt;0,"명단에 없음(기본자료에는 있음)","명단에 없음"),"동명이인 확인")))</f>
        <v/>
      </c>
    </row>
    <row r="257">
      <c r="A257" s="29" t="n">
        <v>255</v>
      </c>
      <c r="B257" s="26">
        <f>IF(TRIM(INDEX(입력_구리근무자명단!$A$1:$GZ$303,$A257,1)&amp;"")&lt;&gt;"",TRIM(INDEX(입력_구리근무자명단!$A$1:$GZ$303,$A257,1)&amp;""),B256)</f>
        <v/>
      </c>
      <c r="C257" s="26">
        <f>IF(INDEX(입력_구리근무자명단!$A$1:$GZ$303,$A257,2)="","",INDEX(입력_구리근무자명단!$A$1:$GZ$303,$A257,2))</f>
        <v/>
      </c>
      <c r="D257" s="26">
        <f>IF($G$2="","",TRIM(IF($I$2="확정",INDEX(입력_구리근무자명단!$A$1:$GZ$303,$A257,$G$2+1)&amp;"",INDEX(입력_구리근무자명단!$A$1:$GZ$303,$A257,$G$2+0)&amp;"")))</f>
        <v/>
      </c>
      <c r="E257" s="26">
        <f>IF($D257="","",$I$2)</f>
        <v/>
      </c>
      <c r="F257" s="28">
        <f>IF($D257="","",IF(INDEX(입력_구리근무자명단!$A$1:$GZ$303,$A257,$G$2+2)="",출력_요약!$B$3,IF(ISNUMBER(INDEX(입력_구리근무자명단!$A$1:$GZ$303,$A257,$G$2+2)),INDEX(입력_구리근무자명단!$A$1:$GZ$303,$A257,$G$2+2),IFERROR(DATE(VALUE(LEFT(INDEX(입력_구리근무자명단!$A$1:$GZ$303,$A257,$G$2+2),4)),VALUE(MID(INDEX(입력_구리근무자명단!$A$1:$GZ$303,$A257,$G$2+2),6,2)),VALUE(MID(INDEX(입력_구리근무자명단!$A$1:$GZ$303,$A257,$G$2+2),9,2))),IFERROR(DATEVALUE(SUBSTITUTE(TRIM(INDEX(입력_구리근무자명단!$A$1:$GZ$303,$A257,$G$2+2)),".","-")),"⚠"&amp;INDEX(입력_구리근무자명단!$A$1:$GZ$303,$A257,$G$2+2))))))</f>
        <v/>
      </c>
      <c r="G257" s="28">
        <f>IF($D257="","",IF(INDEX(입력_구리근무자명단!$A$1:$GZ$303,$A257,$G$2+3)="",EOMONTH(출력_요약!$B$3,0),IF(ISNUMBER(INDEX(입력_구리근무자명단!$A$1:$GZ$303,$A257,$G$2+3)),INDEX(입력_구리근무자명단!$A$1:$GZ$303,$A257,$G$2+3),IFERROR(DATE(VALUE(LEFT(INDEX(입력_구리근무자명단!$A$1:$GZ$303,$A257,$G$2+3),4)),VALUE(MID(INDEX(입력_구리근무자명단!$A$1:$GZ$303,$A257,$G$2+3),6,2)),VALUE(MID(INDEX(입력_구리근무자명단!$A$1:$GZ$303,$A257,$G$2+3),9,2))),IFERROR(DATEVALUE(SUBSTITUTE(TRIM(INDEX(입력_구리근무자명단!$A$1:$GZ$303,$A257,$G$2+3)),".","-")),"⚠"&amp;INDEX(입력_구리근무자명단!$A$1:$GZ$303,$A257,$G$2+3))))))</f>
        <v/>
      </c>
      <c r="H257" s="26">
        <f>IF($D257="","",IF(OR(NOT(ISNUMBER($F257)),NOT(ISNUMBER($G257))),0,MAX(0,MIN($G257,EOMONTH(출력_요약!$B$3,0))-MAX($F257,출력_요약!$B$3)+1)))</f>
        <v/>
      </c>
      <c r="I257" s="26">
        <f>IF($D257="","",TRIM(INDEX(입력_구리근무자명단!$A$1:$GZ$303,$A257,$G$2+5)&amp;""))</f>
        <v/>
      </c>
      <c r="J257" s="26">
        <f>IF($D257="","",IF(ISNUMBER(SEARCH("구리독자",$I257)),"구리독자",""))</f>
        <v/>
      </c>
      <c r="K257" s="29">
        <f>IF($D257="","",IF(COUNTIFS(입력_전공의명단!$C$2:$C$401,$D257,입력_전공의명단!$F$2:$F$401,IF(OR($C257="인턴",ISNUMBER(SEARCH("수련교육부",$B257))),"인턴",$B257))=1,MATCH($D257&amp;"|"&amp;IF(OR($C257="인턴",ISNUMBER(SEARCH("수련교육부",$B257))),"인턴",$B257),입력_전공의명단!$AP$2:$AP$401,0),IF(AND(COUNTIFS(입력_전공의명단!$C$2:$C$401,$D257,입력_전공의명단!$F$2:$F$401,IF(OR($C257="인턴",ISNUMBER(SEARCH("수련교육부",$B257))),"인턴",$B257))=0,COUNTIF(입력_전공의명단!$C$2:$C$401,$D257)=1),MATCH($D257,입력_전공의명단!$C$2:$C$401,0),"")))</f>
        <v/>
      </c>
      <c r="L257" s="26">
        <f>IF($D257="","",IF($K257&lt;&gt;"",IF(COUNTIFS(입력_전공의명단!$C$2:$C$401,$D257,입력_전공의명단!$F$2:$F$401,IF(OR($C257="인턴",ISNUMBER(SEARCH("수련교육부",$B257))),"인턴",$B257))=1,"명단 일치","명단 일치(이름만, 과 다름)"),IF(COUNTIF(입력_전공의명단!$C$2:$C$401,$D257)=0,IF(COUNTIF(입력_기본자료!$C$2:$C$1001,$D257)&gt;0,"명단에 없음(기본자료에는 있음)","명단에 없음"),"동명이인 확인")))</f>
        <v/>
      </c>
    </row>
    <row r="258">
      <c r="A258" s="29" t="n">
        <v>256</v>
      </c>
      <c r="B258" s="26">
        <f>IF(TRIM(INDEX(입력_구리근무자명단!$A$1:$GZ$303,$A258,1)&amp;"")&lt;&gt;"",TRIM(INDEX(입력_구리근무자명단!$A$1:$GZ$303,$A258,1)&amp;""),B257)</f>
        <v/>
      </c>
      <c r="C258" s="26">
        <f>IF(INDEX(입력_구리근무자명단!$A$1:$GZ$303,$A258,2)="","",INDEX(입력_구리근무자명단!$A$1:$GZ$303,$A258,2))</f>
        <v/>
      </c>
      <c r="D258" s="26">
        <f>IF($G$2="","",TRIM(IF($I$2="확정",INDEX(입력_구리근무자명단!$A$1:$GZ$303,$A258,$G$2+1)&amp;"",INDEX(입력_구리근무자명단!$A$1:$GZ$303,$A258,$G$2+0)&amp;"")))</f>
        <v/>
      </c>
      <c r="E258" s="26">
        <f>IF($D258="","",$I$2)</f>
        <v/>
      </c>
      <c r="F258" s="28">
        <f>IF($D258="","",IF(INDEX(입력_구리근무자명단!$A$1:$GZ$303,$A258,$G$2+2)="",출력_요약!$B$3,IF(ISNUMBER(INDEX(입력_구리근무자명단!$A$1:$GZ$303,$A258,$G$2+2)),INDEX(입력_구리근무자명단!$A$1:$GZ$303,$A258,$G$2+2),IFERROR(DATE(VALUE(LEFT(INDEX(입력_구리근무자명단!$A$1:$GZ$303,$A258,$G$2+2),4)),VALUE(MID(INDEX(입력_구리근무자명단!$A$1:$GZ$303,$A258,$G$2+2),6,2)),VALUE(MID(INDEX(입력_구리근무자명단!$A$1:$GZ$303,$A258,$G$2+2),9,2))),IFERROR(DATEVALUE(SUBSTITUTE(TRIM(INDEX(입력_구리근무자명단!$A$1:$GZ$303,$A258,$G$2+2)),".","-")),"⚠"&amp;INDEX(입력_구리근무자명단!$A$1:$GZ$303,$A258,$G$2+2))))))</f>
        <v/>
      </c>
      <c r="G258" s="28">
        <f>IF($D258="","",IF(INDEX(입력_구리근무자명단!$A$1:$GZ$303,$A258,$G$2+3)="",EOMONTH(출력_요약!$B$3,0),IF(ISNUMBER(INDEX(입력_구리근무자명단!$A$1:$GZ$303,$A258,$G$2+3)),INDEX(입력_구리근무자명단!$A$1:$GZ$303,$A258,$G$2+3),IFERROR(DATE(VALUE(LEFT(INDEX(입력_구리근무자명단!$A$1:$GZ$303,$A258,$G$2+3),4)),VALUE(MID(INDEX(입력_구리근무자명단!$A$1:$GZ$303,$A258,$G$2+3),6,2)),VALUE(MID(INDEX(입력_구리근무자명단!$A$1:$GZ$303,$A258,$G$2+3),9,2))),IFERROR(DATEVALUE(SUBSTITUTE(TRIM(INDEX(입력_구리근무자명단!$A$1:$GZ$303,$A258,$G$2+3)),".","-")),"⚠"&amp;INDEX(입력_구리근무자명단!$A$1:$GZ$303,$A258,$G$2+3))))))</f>
        <v/>
      </c>
      <c r="H258" s="26">
        <f>IF($D258="","",IF(OR(NOT(ISNUMBER($F258)),NOT(ISNUMBER($G258))),0,MAX(0,MIN($G258,EOMONTH(출력_요약!$B$3,0))-MAX($F258,출력_요약!$B$3)+1)))</f>
        <v/>
      </c>
      <c r="I258" s="26">
        <f>IF($D258="","",TRIM(INDEX(입력_구리근무자명단!$A$1:$GZ$303,$A258,$G$2+5)&amp;""))</f>
        <v/>
      </c>
      <c r="J258" s="26">
        <f>IF($D258="","",IF(ISNUMBER(SEARCH("구리독자",$I258)),"구리독자",""))</f>
        <v/>
      </c>
      <c r="K258" s="29">
        <f>IF($D258="","",IF(COUNTIFS(입력_전공의명단!$C$2:$C$401,$D258,입력_전공의명단!$F$2:$F$401,IF(OR($C258="인턴",ISNUMBER(SEARCH("수련교육부",$B258))),"인턴",$B258))=1,MATCH($D258&amp;"|"&amp;IF(OR($C258="인턴",ISNUMBER(SEARCH("수련교육부",$B258))),"인턴",$B258),입력_전공의명단!$AP$2:$AP$401,0),IF(AND(COUNTIFS(입력_전공의명단!$C$2:$C$401,$D258,입력_전공의명단!$F$2:$F$401,IF(OR($C258="인턴",ISNUMBER(SEARCH("수련교육부",$B258))),"인턴",$B258))=0,COUNTIF(입력_전공의명단!$C$2:$C$401,$D258)=1),MATCH($D258,입력_전공의명단!$C$2:$C$401,0),"")))</f>
        <v/>
      </c>
      <c r="L258" s="26">
        <f>IF($D258="","",IF($K258&lt;&gt;"",IF(COUNTIFS(입력_전공의명단!$C$2:$C$401,$D258,입력_전공의명단!$F$2:$F$401,IF(OR($C258="인턴",ISNUMBER(SEARCH("수련교육부",$B258))),"인턴",$B258))=1,"명단 일치","명단 일치(이름만, 과 다름)"),IF(COUNTIF(입력_전공의명단!$C$2:$C$401,$D258)=0,IF(COUNTIF(입력_기본자료!$C$2:$C$1001,$D258)&gt;0,"명단에 없음(기본자료에는 있음)","명단에 없음"),"동명이인 확인")))</f>
        <v/>
      </c>
    </row>
    <row r="259">
      <c r="A259" s="29" t="n">
        <v>257</v>
      </c>
      <c r="B259" s="26">
        <f>IF(TRIM(INDEX(입력_구리근무자명단!$A$1:$GZ$303,$A259,1)&amp;"")&lt;&gt;"",TRIM(INDEX(입력_구리근무자명단!$A$1:$GZ$303,$A259,1)&amp;""),B258)</f>
        <v/>
      </c>
      <c r="C259" s="26">
        <f>IF(INDEX(입력_구리근무자명단!$A$1:$GZ$303,$A259,2)="","",INDEX(입력_구리근무자명단!$A$1:$GZ$303,$A259,2))</f>
        <v/>
      </c>
      <c r="D259" s="26">
        <f>IF($G$2="","",TRIM(IF($I$2="확정",INDEX(입력_구리근무자명단!$A$1:$GZ$303,$A259,$G$2+1)&amp;"",INDEX(입력_구리근무자명단!$A$1:$GZ$303,$A259,$G$2+0)&amp;"")))</f>
        <v/>
      </c>
      <c r="E259" s="26">
        <f>IF($D259="","",$I$2)</f>
        <v/>
      </c>
      <c r="F259" s="28">
        <f>IF($D259="","",IF(INDEX(입력_구리근무자명단!$A$1:$GZ$303,$A259,$G$2+2)="",출력_요약!$B$3,IF(ISNUMBER(INDEX(입력_구리근무자명단!$A$1:$GZ$303,$A259,$G$2+2)),INDEX(입력_구리근무자명단!$A$1:$GZ$303,$A259,$G$2+2),IFERROR(DATE(VALUE(LEFT(INDEX(입력_구리근무자명단!$A$1:$GZ$303,$A259,$G$2+2),4)),VALUE(MID(INDEX(입력_구리근무자명단!$A$1:$GZ$303,$A259,$G$2+2),6,2)),VALUE(MID(INDEX(입력_구리근무자명단!$A$1:$GZ$303,$A259,$G$2+2),9,2))),IFERROR(DATEVALUE(SUBSTITUTE(TRIM(INDEX(입력_구리근무자명단!$A$1:$GZ$303,$A259,$G$2+2)),".","-")),"⚠"&amp;INDEX(입력_구리근무자명단!$A$1:$GZ$303,$A259,$G$2+2))))))</f>
        <v/>
      </c>
      <c r="G259" s="28">
        <f>IF($D259="","",IF(INDEX(입력_구리근무자명단!$A$1:$GZ$303,$A259,$G$2+3)="",EOMONTH(출력_요약!$B$3,0),IF(ISNUMBER(INDEX(입력_구리근무자명단!$A$1:$GZ$303,$A259,$G$2+3)),INDEX(입력_구리근무자명단!$A$1:$GZ$303,$A259,$G$2+3),IFERROR(DATE(VALUE(LEFT(INDEX(입력_구리근무자명단!$A$1:$GZ$303,$A259,$G$2+3),4)),VALUE(MID(INDEX(입력_구리근무자명단!$A$1:$GZ$303,$A259,$G$2+3),6,2)),VALUE(MID(INDEX(입력_구리근무자명단!$A$1:$GZ$303,$A259,$G$2+3),9,2))),IFERROR(DATEVALUE(SUBSTITUTE(TRIM(INDEX(입력_구리근무자명단!$A$1:$GZ$303,$A259,$G$2+3)),".","-")),"⚠"&amp;INDEX(입력_구리근무자명단!$A$1:$GZ$303,$A259,$G$2+3))))))</f>
        <v/>
      </c>
      <c r="H259" s="26">
        <f>IF($D259="","",IF(OR(NOT(ISNUMBER($F259)),NOT(ISNUMBER($G259))),0,MAX(0,MIN($G259,EOMONTH(출력_요약!$B$3,0))-MAX($F259,출력_요약!$B$3)+1)))</f>
        <v/>
      </c>
      <c r="I259" s="26">
        <f>IF($D259="","",TRIM(INDEX(입력_구리근무자명단!$A$1:$GZ$303,$A259,$G$2+5)&amp;""))</f>
        <v/>
      </c>
      <c r="J259" s="26">
        <f>IF($D259="","",IF(ISNUMBER(SEARCH("구리독자",$I259)),"구리독자",""))</f>
        <v/>
      </c>
      <c r="K259" s="29">
        <f>IF($D259="","",IF(COUNTIFS(입력_전공의명단!$C$2:$C$401,$D259,입력_전공의명단!$F$2:$F$401,IF(OR($C259="인턴",ISNUMBER(SEARCH("수련교육부",$B259))),"인턴",$B259))=1,MATCH($D259&amp;"|"&amp;IF(OR($C259="인턴",ISNUMBER(SEARCH("수련교육부",$B259))),"인턴",$B259),입력_전공의명단!$AP$2:$AP$401,0),IF(AND(COUNTIFS(입력_전공의명단!$C$2:$C$401,$D259,입력_전공의명단!$F$2:$F$401,IF(OR($C259="인턴",ISNUMBER(SEARCH("수련교육부",$B259))),"인턴",$B259))=0,COUNTIF(입력_전공의명단!$C$2:$C$401,$D259)=1),MATCH($D259,입력_전공의명단!$C$2:$C$401,0),"")))</f>
        <v/>
      </c>
      <c r="L259" s="26">
        <f>IF($D259="","",IF($K259&lt;&gt;"",IF(COUNTIFS(입력_전공의명단!$C$2:$C$401,$D259,입력_전공의명단!$F$2:$F$401,IF(OR($C259="인턴",ISNUMBER(SEARCH("수련교육부",$B259))),"인턴",$B259))=1,"명단 일치","명단 일치(이름만, 과 다름)"),IF(COUNTIF(입력_전공의명단!$C$2:$C$401,$D259)=0,IF(COUNTIF(입력_기본자료!$C$2:$C$1001,$D259)&gt;0,"명단에 없음(기본자료에는 있음)","명단에 없음"),"동명이인 확인")))</f>
        <v/>
      </c>
    </row>
    <row r="260">
      <c r="A260" s="29" t="n">
        <v>258</v>
      </c>
      <c r="B260" s="26">
        <f>IF(TRIM(INDEX(입력_구리근무자명단!$A$1:$GZ$303,$A260,1)&amp;"")&lt;&gt;"",TRIM(INDEX(입력_구리근무자명단!$A$1:$GZ$303,$A260,1)&amp;""),B259)</f>
        <v/>
      </c>
      <c r="C260" s="26">
        <f>IF(INDEX(입력_구리근무자명단!$A$1:$GZ$303,$A260,2)="","",INDEX(입력_구리근무자명단!$A$1:$GZ$303,$A260,2))</f>
        <v/>
      </c>
      <c r="D260" s="26">
        <f>IF($G$2="","",TRIM(IF($I$2="확정",INDEX(입력_구리근무자명단!$A$1:$GZ$303,$A260,$G$2+1)&amp;"",INDEX(입력_구리근무자명단!$A$1:$GZ$303,$A260,$G$2+0)&amp;"")))</f>
        <v/>
      </c>
      <c r="E260" s="26">
        <f>IF($D260="","",$I$2)</f>
        <v/>
      </c>
      <c r="F260" s="28">
        <f>IF($D260="","",IF(INDEX(입력_구리근무자명단!$A$1:$GZ$303,$A260,$G$2+2)="",출력_요약!$B$3,IF(ISNUMBER(INDEX(입력_구리근무자명단!$A$1:$GZ$303,$A260,$G$2+2)),INDEX(입력_구리근무자명단!$A$1:$GZ$303,$A260,$G$2+2),IFERROR(DATE(VALUE(LEFT(INDEX(입력_구리근무자명단!$A$1:$GZ$303,$A260,$G$2+2),4)),VALUE(MID(INDEX(입력_구리근무자명단!$A$1:$GZ$303,$A260,$G$2+2),6,2)),VALUE(MID(INDEX(입력_구리근무자명단!$A$1:$GZ$303,$A260,$G$2+2),9,2))),IFERROR(DATEVALUE(SUBSTITUTE(TRIM(INDEX(입력_구리근무자명단!$A$1:$GZ$303,$A260,$G$2+2)),".","-")),"⚠"&amp;INDEX(입력_구리근무자명단!$A$1:$GZ$303,$A260,$G$2+2))))))</f>
        <v/>
      </c>
      <c r="G260" s="28">
        <f>IF($D260="","",IF(INDEX(입력_구리근무자명단!$A$1:$GZ$303,$A260,$G$2+3)="",EOMONTH(출력_요약!$B$3,0),IF(ISNUMBER(INDEX(입력_구리근무자명단!$A$1:$GZ$303,$A260,$G$2+3)),INDEX(입력_구리근무자명단!$A$1:$GZ$303,$A260,$G$2+3),IFERROR(DATE(VALUE(LEFT(INDEX(입력_구리근무자명단!$A$1:$GZ$303,$A260,$G$2+3),4)),VALUE(MID(INDEX(입력_구리근무자명단!$A$1:$GZ$303,$A260,$G$2+3),6,2)),VALUE(MID(INDEX(입력_구리근무자명단!$A$1:$GZ$303,$A260,$G$2+3),9,2))),IFERROR(DATEVALUE(SUBSTITUTE(TRIM(INDEX(입력_구리근무자명단!$A$1:$GZ$303,$A260,$G$2+3)),".","-")),"⚠"&amp;INDEX(입력_구리근무자명단!$A$1:$GZ$303,$A260,$G$2+3))))))</f>
        <v/>
      </c>
      <c r="H260" s="26">
        <f>IF($D260="","",IF(OR(NOT(ISNUMBER($F260)),NOT(ISNUMBER($G260))),0,MAX(0,MIN($G260,EOMONTH(출력_요약!$B$3,0))-MAX($F260,출력_요약!$B$3)+1)))</f>
        <v/>
      </c>
      <c r="I260" s="26">
        <f>IF($D260="","",TRIM(INDEX(입력_구리근무자명단!$A$1:$GZ$303,$A260,$G$2+5)&amp;""))</f>
        <v/>
      </c>
      <c r="J260" s="26">
        <f>IF($D260="","",IF(ISNUMBER(SEARCH("구리독자",$I260)),"구리독자",""))</f>
        <v/>
      </c>
      <c r="K260" s="29">
        <f>IF($D260="","",IF(COUNTIFS(입력_전공의명단!$C$2:$C$401,$D260,입력_전공의명단!$F$2:$F$401,IF(OR($C260="인턴",ISNUMBER(SEARCH("수련교육부",$B260))),"인턴",$B260))=1,MATCH($D260&amp;"|"&amp;IF(OR($C260="인턴",ISNUMBER(SEARCH("수련교육부",$B260))),"인턴",$B260),입력_전공의명단!$AP$2:$AP$401,0),IF(AND(COUNTIFS(입력_전공의명단!$C$2:$C$401,$D260,입력_전공의명단!$F$2:$F$401,IF(OR($C260="인턴",ISNUMBER(SEARCH("수련교육부",$B260))),"인턴",$B260))=0,COUNTIF(입력_전공의명단!$C$2:$C$401,$D260)=1),MATCH($D260,입력_전공의명단!$C$2:$C$401,0),"")))</f>
        <v/>
      </c>
      <c r="L260" s="26">
        <f>IF($D260="","",IF($K260&lt;&gt;"",IF(COUNTIFS(입력_전공의명단!$C$2:$C$401,$D260,입력_전공의명단!$F$2:$F$401,IF(OR($C260="인턴",ISNUMBER(SEARCH("수련교육부",$B260))),"인턴",$B260))=1,"명단 일치","명단 일치(이름만, 과 다름)"),IF(COUNTIF(입력_전공의명단!$C$2:$C$401,$D260)=0,IF(COUNTIF(입력_기본자료!$C$2:$C$1001,$D260)&gt;0,"명단에 없음(기본자료에는 있음)","명단에 없음"),"동명이인 확인")))</f>
        <v/>
      </c>
    </row>
    <row r="261">
      <c r="A261" s="29" t="n">
        <v>259</v>
      </c>
      <c r="B261" s="26">
        <f>IF(TRIM(INDEX(입력_구리근무자명단!$A$1:$GZ$303,$A261,1)&amp;"")&lt;&gt;"",TRIM(INDEX(입력_구리근무자명단!$A$1:$GZ$303,$A261,1)&amp;""),B260)</f>
        <v/>
      </c>
      <c r="C261" s="26">
        <f>IF(INDEX(입력_구리근무자명단!$A$1:$GZ$303,$A261,2)="","",INDEX(입력_구리근무자명단!$A$1:$GZ$303,$A261,2))</f>
        <v/>
      </c>
      <c r="D261" s="26">
        <f>IF($G$2="","",TRIM(IF($I$2="확정",INDEX(입력_구리근무자명단!$A$1:$GZ$303,$A261,$G$2+1)&amp;"",INDEX(입력_구리근무자명단!$A$1:$GZ$303,$A261,$G$2+0)&amp;"")))</f>
        <v/>
      </c>
      <c r="E261" s="26">
        <f>IF($D261="","",$I$2)</f>
        <v/>
      </c>
      <c r="F261" s="28">
        <f>IF($D261="","",IF(INDEX(입력_구리근무자명단!$A$1:$GZ$303,$A261,$G$2+2)="",출력_요약!$B$3,IF(ISNUMBER(INDEX(입력_구리근무자명단!$A$1:$GZ$303,$A261,$G$2+2)),INDEX(입력_구리근무자명단!$A$1:$GZ$303,$A261,$G$2+2),IFERROR(DATE(VALUE(LEFT(INDEX(입력_구리근무자명단!$A$1:$GZ$303,$A261,$G$2+2),4)),VALUE(MID(INDEX(입력_구리근무자명단!$A$1:$GZ$303,$A261,$G$2+2),6,2)),VALUE(MID(INDEX(입력_구리근무자명단!$A$1:$GZ$303,$A261,$G$2+2),9,2))),IFERROR(DATEVALUE(SUBSTITUTE(TRIM(INDEX(입력_구리근무자명단!$A$1:$GZ$303,$A261,$G$2+2)),".","-")),"⚠"&amp;INDEX(입력_구리근무자명단!$A$1:$GZ$303,$A261,$G$2+2))))))</f>
        <v/>
      </c>
      <c r="G261" s="28">
        <f>IF($D261="","",IF(INDEX(입력_구리근무자명단!$A$1:$GZ$303,$A261,$G$2+3)="",EOMONTH(출력_요약!$B$3,0),IF(ISNUMBER(INDEX(입력_구리근무자명단!$A$1:$GZ$303,$A261,$G$2+3)),INDEX(입력_구리근무자명단!$A$1:$GZ$303,$A261,$G$2+3),IFERROR(DATE(VALUE(LEFT(INDEX(입력_구리근무자명단!$A$1:$GZ$303,$A261,$G$2+3),4)),VALUE(MID(INDEX(입력_구리근무자명단!$A$1:$GZ$303,$A261,$G$2+3),6,2)),VALUE(MID(INDEX(입력_구리근무자명단!$A$1:$GZ$303,$A261,$G$2+3),9,2))),IFERROR(DATEVALUE(SUBSTITUTE(TRIM(INDEX(입력_구리근무자명단!$A$1:$GZ$303,$A261,$G$2+3)),".","-")),"⚠"&amp;INDEX(입력_구리근무자명단!$A$1:$GZ$303,$A261,$G$2+3))))))</f>
        <v/>
      </c>
      <c r="H261" s="26">
        <f>IF($D261="","",IF(OR(NOT(ISNUMBER($F261)),NOT(ISNUMBER($G261))),0,MAX(0,MIN($G261,EOMONTH(출력_요약!$B$3,0))-MAX($F261,출력_요약!$B$3)+1)))</f>
        <v/>
      </c>
      <c r="I261" s="26">
        <f>IF($D261="","",TRIM(INDEX(입력_구리근무자명단!$A$1:$GZ$303,$A261,$G$2+5)&amp;""))</f>
        <v/>
      </c>
      <c r="J261" s="26">
        <f>IF($D261="","",IF(ISNUMBER(SEARCH("구리독자",$I261)),"구리독자",""))</f>
        <v/>
      </c>
      <c r="K261" s="29">
        <f>IF($D261="","",IF(COUNTIFS(입력_전공의명단!$C$2:$C$401,$D261,입력_전공의명단!$F$2:$F$401,IF(OR($C261="인턴",ISNUMBER(SEARCH("수련교육부",$B261))),"인턴",$B261))=1,MATCH($D261&amp;"|"&amp;IF(OR($C261="인턴",ISNUMBER(SEARCH("수련교육부",$B261))),"인턴",$B261),입력_전공의명단!$AP$2:$AP$401,0),IF(AND(COUNTIFS(입력_전공의명단!$C$2:$C$401,$D261,입력_전공의명단!$F$2:$F$401,IF(OR($C261="인턴",ISNUMBER(SEARCH("수련교육부",$B261))),"인턴",$B261))=0,COUNTIF(입력_전공의명단!$C$2:$C$401,$D261)=1),MATCH($D261,입력_전공의명단!$C$2:$C$401,0),"")))</f>
        <v/>
      </c>
      <c r="L261" s="26">
        <f>IF($D261="","",IF($K261&lt;&gt;"",IF(COUNTIFS(입력_전공의명단!$C$2:$C$401,$D261,입력_전공의명단!$F$2:$F$401,IF(OR($C261="인턴",ISNUMBER(SEARCH("수련교육부",$B261))),"인턴",$B261))=1,"명단 일치","명단 일치(이름만, 과 다름)"),IF(COUNTIF(입력_전공의명단!$C$2:$C$401,$D261)=0,IF(COUNTIF(입력_기본자료!$C$2:$C$1001,$D261)&gt;0,"명단에 없음(기본자료에는 있음)","명단에 없음"),"동명이인 확인")))</f>
        <v/>
      </c>
    </row>
    <row r="262">
      <c r="A262" s="29" t="n">
        <v>260</v>
      </c>
      <c r="B262" s="26">
        <f>IF(TRIM(INDEX(입력_구리근무자명단!$A$1:$GZ$303,$A262,1)&amp;"")&lt;&gt;"",TRIM(INDEX(입력_구리근무자명단!$A$1:$GZ$303,$A262,1)&amp;""),B261)</f>
        <v/>
      </c>
      <c r="C262" s="26">
        <f>IF(INDEX(입력_구리근무자명단!$A$1:$GZ$303,$A262,2)="","",INDEX(입력_구리근무자명단!$A$1:$GZ$303,$A262,2))</f>
        <v/>
      </c>
      <c r="D262" s="26">
        <f>IF($G$2="","",TRIM(IF($I$2="확정",INDEX(입력_구리근무자명단!$A$1:$GZ$303,$A262,$G$2+1)&amp;"",INDEX(입력_구리근무자명단!$A$1:$GZ$303,$A262,$G$2+0)&amp;"")))</f>
        <v/>
      </c>
      <c r="E262" s="26">
        <f>IF($D262="","",$I$2)</f>
        <v/>
      </c>
      <c r="F262" s="28">
        <f>IF($D262="","",IF(INDEX(입력_구리근무자명단!$A$1:$GZ$303,$A262,$G$2+2)="",출력_요약!$B$3,IF(ISNUMBER(INDEX(입력_구리근무자명단!$A$1:$GZ$303,$A262,$G$2+2)),INDEX(입력_구리근무자명단!$A$1:$GZ$303,$A262,$G$2+2),IFERROR(DATE(VALUE(LEFT(INDEX(입력_구리근무자명단!$A$1:$GZ$303,$A262,$G$2+2),4)),VALUE(MID(INDEX(입력_구리근무자명단!$A$1:$GZ$303,$A262,$G$2+2),6,2)),VALUE(MID(INDEX(입력_구리근무자명단!$A$1:$GZ$303,$A262,$G$2+2),9,2))),IFERROR(DATEVALUE(SUBSTITUTE(TRIM(INDEX(입력_구리근무자명단!$A$1:$GZ$303,$A262,$G$2+2)),".","-")),"⚠"&amp;INDEX(입력_구리근무자명단!$A$1:$GZ$303,$A262,$G$2+2))))))</f>
        <v/>
      </c>
      <c r="G262" s="28">
        <f>IF($D262="","",IF(INDEX(입력_구리근무자명단!$A$1:$GZ$303,$A262,$G$2+3)="",EOMONTH(출력_요약!$B$3,0),IF(ISNUMBER(INDEX(입력_구리근무자명단!$A$1:$GZ$303,$A262,$G$2+3)),INDEX(입력_구리근무자명단!$A$1:$GZ$303,$A262,$G$2+3),IFERROR(DATE(VALUE(LEFT(INDEX(입력_구리근무자명단!$A$1:$GZ$303,$A262,$G$2+3),4)),VALUE(MID(INDEX(입력_구리근무자명단!$A$1:$GZ$303,$A262,$G$2+3),6,2)),VALUE(MID(INDEX(입력_구리근무자명단!$A$1:$GZ$303,$A262,$G$2+3),9,2))),IFERROR(DATEVALUE(SUBSTITUTE(TRIM(INDEX(입력_구리근무자명단!$A$1:$GZ$303,$A262,$G$2+3)),".","-")),"⚠"&amp;INDEX(입력_구리근무자명단!$A$1:$GZ$303,$A262,$G$2+3))))))</f>
        <v/>
      </c>
      <c r="H262" s="26">
        <f>IF($D262="","",IF(OR(NOT(ISNUMBER($F262)),NOT(ISNUMBER($G262))),0,MAX(0,MIN($G262,EOMONTH(출력_요약!$B$3,0))-MAX($F262,출력_요약!$B$3)+1)))</f>
        <v/>
      </c>
      <c r="I262" s="26">
        <f>IF($D262="","",TRIM(INDEX(입력_구리근무자명단!$A$1:$GZ$303,$A262,$G$2+5)&amp;""))</f>
        <v/>
      </c>
      <c r="J262" s="26">
        <f>IF($D262="","",IF(ISNUMBER(SEARCH("구리독자",$I262)),"구리독자",""))</f>
        <v/>
      </c>
      <c r="K262" s="29">
        <f>IF($D262="","",IF(COUNTIFS(입력_전공의명단!$C$2:$C$401,$D262,입력_전공의명단!$F$2:$F$401,IF(OR($C262="인턴",ISNUMBER(SEARCH("수련교육부",$B262))),"인턴",$B262))=1,MATCH($D262&amp;"|"&amp;IF(OR($C262="인턴",ISNUMBER(SEARCH("수련교육부",$B262))),"인턴",$B262),입력_전공의명단!$AP$2:$AP$401,0),IF(AND(COUNTIFS(입력_전공의명단!$C$2:$C$401,$D262,입력_전공의명단!$F$2:$F$401,IF(OR($C262="인턴",ISNUMBER(SEARCH("수련교육부",$B262))),"인턴",$B262))=0,COUNTIF(입력_전공의명단!$C$2:$C$401,$D262)=1),MATCH($D262,입력_전공의명단!$C$2:$C$401,0),"")))</f>
        <v/>
      </c>
      <c r="L262" s="26">
        <f>IF($D262="","",IF($K262&lt;&gt;"",IF(COUNTIFS(입력_전공의명단!$C$2:$C$401,$D262,입력_전공의명단!$F$2:$F$401,IF(OR($C262="인턴",ISNUMBER(SEARCH("수련교육부",$B262))),"인턴",$B262))=1,"명단 일치","명단 일치(이름만, 과 다름)"),IF(COUNTIF(입력_전공의명단!$C$2:$C$401,$D262)=0,IF(COUNTIF(입력_기본자료!$C$2:$C$1001,$D262)&gt;0,"명단에 없음(기본자료에는 있음)","명단에 없음"),"동명이인 확인")))</f>
        <v/>
      </c>
    </row>
    <row r="263">
      <c r="A263" s="29" t="n">
        <v>261</v>
      </c>
      <c r="B263" s="26">
        <f>IF(TRIM(INDEX(입력_구리근무자명단!$A$1:$GZ$303,$A263,1)&amp;"")&lt;&gt;"",TRIM(INDEX(입력_구리근무자명단!$A$1:$GZ$303,$A263,1)&amp;""),B262)</f>
        <v/>
      </c>
      <c r="C263" s="26">
        <f>IF(INDEX(입력_구리근무자명단!$A$1:$GZ$303,$A263,2)="","",INDEX(입력_구리근무자명단!$A$1:$GZ$303,$A263,2))</f>
        <v/>
      </c>
      <c r="D263" s="26">
        <f>IF($G$2="","",TRIM(IF($I$2="확정",INDEX(입력_구리근무자명단!$A$1:$GZ$303,$A263,$G$2+1)&amp;"",INDEX(입력_구리근무자명단!$A$1:$GZ$303,$A263,$G$2+0)&amp;"")))</f>
        <v/>
      </c>
      <c r="E263" s="26">
        <f>IF($D263="","",$I$2)</f>
        <v/>
      </c>
      <c r="F263" s="28">
        <f>IF($D263="","",IF(INDEX(입력_구리근무자명단!$A$1:$GZ$303,$A263,$G$2+2)="",출력_요약!$B$3,IF(ISNUMBER(INDEX(입력_구리근무자명단!$A$1:$GZ$303,$A263,$G$2+2)),INDEX(입력_구리근무자명단!$A$1:$GZ$303,$A263,$G$2+2),IFERROR(DATE(VALUE(LEFT(INDEX(입력_구리근무자명단!$A$1:$GZ$303,$A263,$G$2+2),4)),VALUE(MID(INDEX(입력_구리근무자명단!$A$1:$GZ$303,$A263,$G$2+2),6,2)),VALUE(MID(INDEX(입력_구리근무자명단!$A$1:$GZ$303,$A263,$G$2+2),9,2))),IFERROR(DATEVALUE(SUBSTITUTE(TRIM(INDEX(입력_구리근무자명단!$A$1:$GZ$303,$A263,$G$2+2)),".","-")),"⚠"&amp;INDEX(입력_구리근무자명단!$A$1:$GZ$303,$A263,$G$2+2))))))</f>
        <v/>
      </c>
      <c r="G263" s="28">
        <f>IF($D263="","",IF(INDEX(입력_구리근무자명단!$A$1:$GZ$303,$A263,$G$2+3)="",EOMONTH(출력_요약!$B$3,0),IF(ISNUMBER(INDEX(입력_구리근무자명단!$A$1:$GZ$303,$A263,$G$2+3)),INDEX(입력_구리근무자명단!$A$1:$GZ$303,$A263,$G$2+3),IFERROR(DATE(VALUE(LEFT(INDEX(입력_구리근무자명단!$A$1:$GZ$303,$A263,$G$2+3),4)),VALUE(MID(INDEX(입력_구리근무자명단!$A$1:$GZ$303,$A263,$G$2+3),6,2)),VALUE(MID(INDEX(입력_구리근무자명단!$A$1:$GZ$303,$A263,$G$2+3),9,2))),IFERROR(DATEVALUE(SUBSTITUTE(TRIM(INDEX(입력_구리근무자명단!$A$1:$GZ$303,$A263,$G$2+3)),".","-")),"⚠"&amp;INDEX(입력_구리근무자명단!$A$1:$GZ$303,$A263,$G$2+3))))))</f>
        <v/>
      </c>
      <c r="H263" s="26">
        <f>IF($D263="","",IF(OR(NOT(ISNUMBER($F263)),NOT(ISNUMBER($G263))),0,MAX(0,MIN($G263,EOMONTH(출력_요약!$B$3,0))-MAX($F263,출력_요약!$B$3)+1)))</f>
        <v/>
      </c>
      <c r="I263" s="26">
        <f>IF($D263="","",TRIM(INDEX(입력_구리근무자명단!$A$1:$GZ$303,$A263,$G$2+5)&amp;""))</f>
        <v/>
      </c>
      <c r="J263" s="26">
        <f>IF($D263="","",IF(ISNUMBER(SEARCH("구리독자",$I263)),"구리독자",""))</f>
        <v/>
      </c>
      <c r="K263" s="29">
        <f>IF($D263="","",IF(COUNTIFS(입력_전공의명단!$C$2:$C$401,$D263,입력_전공의명단!$F$2:$F$401,IF(OR($C263="인턴",ISNUMBER(SEARCH("수련교육부",$B263))),"인턴",$B263))=1,MATCH($D263&amp;"|"&amp;IF(OR($C263="인턴",ISNUMBER(SEARCH("수련교육부",$B263))),"인턴",$B263),입력_전공의명단!$AP$2:$AP$401,0),IF(AND(COUNTIFS(입력_전공의명단!$C$2:$C$401,$D263,입력_전공의명단!$F$2:$F$401,IF(OR($C263="인턴",ISNUMBER(SEARCH("수련교육부",$B263))),"인턴",$B263))=0,COUNTIF(입력_전공의명단!$C$2:$C$401,$D263)=1),MATCH($D263,입력_전공의명단!$C$2:$C$401,0),"")))</f>
        <v/>
      </c>
      <c r="L263" s="26">
        <f>IF($D263="","",IF($K263&lt;&gt;"",IF(COUNTIFS(입력_전공의명단!$C$2:$C$401,$D263,입력_전공의명단!$F$2:$F$401,IF(OR($C263="인턴",ISNUMBER(SEARCH("수련교육부",$B263))),"인턴",$B263))=1,"명단 일치","명단 일치(이름만, 과 다름)"),IF(COUNTIF(입력_전공의명단!$C$2:$C$401,$D263)=0,IF(COUNTIF(입력_기본자료!$C$2:$C$1001,$D263)&gt;0,"명단에 없음(기본자료에는 있음)","명단에 없음"),"동명이인 확인")))</f>
        <v/>
      </c>
    </row>
    <row r="264">
      <c r="A264" s="29" t="n">
        <v>262</v>
      </c>
      <c r="B264" s="26">
        <f>IF(TRIM(INDEX(입력_구리근무자명단!$A$1:$GZ$303,$A264,1)&amp;"")&lt;&gt;"",TRIM(INDEX(입력_구리근무자명단!$A$1:$GZ$303,$A264,1)&amp;""),B263)</f>
        <v/>
      </c>
      <c r="C264" s="26">
        <f>IF(INDEX(입력_구리근무자명단!$A$1:$GZ$303,$A264,2)="","",INDEX(입력_구리근무자명단!$A$1:$GZ$303,$A264,2))</f>
        <v/>
      </c>
      <c r="D264" s="26">
        <f>IF($G$2="","",TRIM(IF($I$2="확정",INDEX(입력_구리근무자명단!$A$1:$GZ$303,$A264,$G$2+1)&amp;"",INDEX(입력_구리근무자명단!$A$1:$GZ$303,$A264,$G$2+0)&amp;"")))</f>
        <v/>
      </c>
      <c r="E264" s="26">
        <f>IF($D264="","",$I$2)</f>
        <v/>
      </c>
      <c r="F264" s="28">
        <f>IF($D264="","",IF(INDEX(입력_구리근무자명단!$A$1:$GZ$303,$A264,$G$2+2)="",출력_요약!$B$3,IF(ISNUMBER(INDEX(입력_구리근무자명단!$A$1:$GZ$303,$A264,$G$2+2)),INDEX(입력_구리근무자명단!$A$1:$GZ$303,$A264,$G$2+2),IFERROR(DATE(VALUE(LEFT(INDEX(입력_구리근무자명단!$A$1:$GZ$303,$A264,$G$2+2),4)),VALUE(MID(INDEX(입력_구리근무자명단!$A$1:$GZ$303,$A264,$G$2+2),6,2)),VALUE(MID(INDEX(입력_구리근무자명단!$A$1:$GZ$303,$A264,$G$2+2),9,2))),IFERROR(DATEVALUE(SUBSTITUTE(TRIM(INDEX(입력_구리근무자명단!$A$1:$GZ$303,$A264,$G$2+2)),".","-")),"⚠"&amp;INDEX(입력_구리근무자명단!$A$1:$GZ$303,$A264,$G$2+2))))))</f>
        <v/>
      </c>
      <c r="G264" s="28">
        <f>IF($D264="","",IF(INDEX(입력_구리근무자명단!$A$1:$GZ$303,$A264,$G$2+3)="",EOMONTH(출력_요약!$B$3,0),IF(ISNUMBER(INDEX(입력_구리근무자명단!$A$1:$GZ$303,$A264,$G$2+3)),INDEX(입력_구리근무자명단!$A$1:$GZ$303,$A264,$G$2+3),IFERROR(DATE(VALUE(LEFT(INDEX(입력_구리근무자명단!$A$1:$GZ$303,$A264,$G$2+3),4)),VALUE(MID(INDEX(입력_구리근무자명단!$A$1:$GZ$303,$A264,$G$2+3),6,2)),VALUE(MID(INDEX(입력_구리근무자명단!$A$1:$GZ$303,$A264,$G$2+3),9,2))),IFERROR(DATEVALUE(SUBSTITUTE(TRIM(INDEX(입력_구리근무자명단!$A$1:$GZ$303,$A264,$G$2+3)),".","-")),"⚠"&amp;INDEX(입력_구리근무자명단!$A$1:$GZ$303,$A264,$G$2+3))))))</f>
        <v/>
      </c>
      <c r="H264" s="26">
        <f>IF($D264="","",IF(OR(NOT(ISNUMBER($F264)),NOT(ISNUMBER($G264))),0,MAX(0,MIN($G264,EOMONTH(출력_요약!$B$3,0))-MAX($F264,출력_요약!$B$3)+1)))</f>
        <v/>
      </c>
      <c r="I264" s="26">
        <f>IF($D264="","",TRIM(INDEX(입력_구리근무자명단!$A$1:$GZ$303,$A264,$G$2+5)&amp;""))</f>
        <v/>
      </c>
      <c r="J264" s="26">
        <f>IF($D264="","",IF(ISNUMBER(SEARCH("구리독자",$I264)),"구리독자",""))</f>
        <v/>
      </c>
      <c r="K264" s="29">
        <f>IF($D264="","",IF(COUNTIFS(입력_전공의명단!$C$2:$C$401,$D264,입력_전공의명단!$F$2:$F$401,IF(OR($C264="인턴",ISNUMBER(SEARCH("수련교육부",$B264))),"인턴",$B264))=1,MATCH($D264&amp;"|"&amp;IF(OR($C264="인턴",ISNUMBER(SEARCH("수련교육부",$B264))),"인턴",$B264),입력_전공의명단!$AP$2:$AP$401,0),IF(AND(COUNTIFS(입력_전공의명단!$C$2:$C$401,$D264,입력_전공의명단!$F$2:$F$401,IF(OR($C264="인턴",ISNUMBER(SEARCH("수련교육부",$B264))),"인턴",$B264))=0,COUNTIF(입력_전공의명단!$C$2:$C$401,$D264)=1),MATCH($D264,입력_전공의명단!$C$2:$C$401,0),"")))</f>
        <v/>
      </c>
      <c r="L264" s="26">
        <f>IF($D264="","",IF($K264&lt;&gt;"",IF(COUNTIFS(입력_전공의명단!$C$2:$C$401,$D264,입력_전공의명단!$F$2:$F$401,IF(OR($C264="인턴",ISNUMBER(SEARCH("수련교육부",$B264))),"인턴",$B264))=1,"명단 일치","명단 일치(이름만, 과 다름)"),IF(COUNTIF(입력_전공의명단!$C$2:$C$401,$D264)=0,IF(COUNTIF(입력_기본자료!$C$2:$C$1001,$D264)&gt;0,"명단에 없음(기본자료에는 있음)","명단에 없음"),"동명이인 확인")))</f>
        <v/>
      </c>
    </row>
    <row r="265">
      <c r="A265" s="29" t="n">
        <v>263</v>
      </c>
      <c r="B265" s="26">
        <f>IF(TRIM(INDEX(입력_구리근무자명단!$A$1:$GZ$303,$A265,1)&amp;"")&lt;&gt;"",TRIM(INDEX(입력_구리근무자명단!$A$1:$GZ$303,$A265,1)&amp;""),B264)</f>
        <v/>
      </c>
      <c r="C265" s="26">
        <f>IF(INDEX(입력_구리근무자명단!$A$1:$GZ$303,$A265,2)="","",INDEX(입력_구리근무자명단!$A$1:$GZ$303,$A265,2))</f>
        <v/>
      </c>
      <c r="D265" s="26">
        <f>IF($G$2="","",TRIM(IF($I$2="확정",INDEX(입력_구리근무자명단!$A$1:$GZ$303,$A265,$G$2+1)&amp;"",INDEX(입력_구리근무자명단!$A$1:$GZ$303,$A265,$G$2+0)&amp;"")))</f>
        <v/>
      </c>
      <c r="E265" s="26">
        <f>IF($D265="","",$I$2)</f>
        <v/>
      </c>
      <c r="F265" s="28">
        <f>IF($D265="","",IF(INDEX(입력_구리근무자명단!$A$1:$GZ$303,$A265,$G$2+2)="",출력_요약!$B$3,IF(ISNUMBER(INDEX(입력_구리근무자명단!$A$1:$GZ$303,$A265,$G$2+2)),INDEX(입력_구리근무자명단!$A$1:$GZ$303,$A265,$G$2+2),IFERROR(DATE(VALUE(LEFT(INDEX(입력_구리근무자명단!$A$1:$GZ$303,$A265,$G$2+2),4)),VALUE(MID(INDEX(입력_구리근무자명단!$A$1:$GZ$303,$A265,$G$2+2),6,2)),VALUE(MID(INDEX(입력_구리근무자명단!$A$1:$GZ$303,$A265,$G$2+2),9,2))),IFERROR(DATEVALUE(SUBSTITUTE(TRIM(INDEX(입력_구리근무자명단!$A$1:$GZ$303,$A265,$G$2+2)),".","-")),"⚠"&amp;INDEX(입력_구리근무자명단!$A$1:$GZ$303,$A265,$G$2+2))))))</f>
        <v/>
      </c>
      <c r="G265" s="28">
        <f>IF($D265="","",IF(INDEX(입력_구리근무자명단!$A$1:$GZ$303,$A265,$G$2+3)="",EOMONTH(출력_요약!$B$3,0),IF(ISNUMBER(INDEX(입력_구리근무자명단!$A$1:$GZ$303,$A265,$G$2+3)),INDEX(입력_구리근무자명단!$A$1:$GZ$303,$A265,$G$2+3),IFERROR(DATE(VALUE(LEFT(INDEX(입력_구리근무자명단!$A$1:$GZ$303,$A265,$G$2+3),4)),VALUE(MID(INDEX(입력_구리근무자명단!$A$1:$GZ$303,$A265,$G$2+3),6,2)),VALUE(MID(INDEX(입력_구리근무자명단!$A$1:$GZ$303,$A265,$G$2+3),9,2))),IFERROR(DATEVALUE(SUBSTITUTE(TRIM(INDEX(입력_구리근무자명단!$A$1:$GZ$303,$A265,$G$2+3)),".","-")),"⚠"&amp;INDEX(입력_구리근무자명단!$A$1:$GZ$303,$A265,$G$2+3))))))</f>
        <v/>
      </c>
      <c r="H265" s="26">
        <f>IF($D265="","",IF(OR(NOT(ISNUMBER($F265)),NOT(ISNUMBER($G265))),0,MAX(0,MIN($G265,EOMONTH(출력_요약!$B$3,0))-MAX($F265,출력_요약!$B$3)+1)))</f>
        <v/>
      </c>
      <c r="I265" s="26">
        <f>IF($D265="","",TRIM(INDEX(입력_구리근무자명단!$A$1:$GZ$303,$A265,$G$2+5)&amp;""))</f>
        <v/>
      </c>
      <c r="J265" s="26">
        <f>IF($D265="","",IF(ISNUMBER(SEARCH("구리독자",$I265)),"구리독자",""))</f>
        <v/>
      </c>
      <c r="K265" s="29">
        <f>IF($D265="","",IF(COUNTIFS(입력_전공의명단!$C$2:$C$401,$D265,입력_전공의명단!$F$2:$F$401,IF(OR($C265="인턴",ISNUMBER(SEARCH("수련교육부",$B265))),"인턴",$B265))=1,MATCH($D265&amp;"|"&amp;IF(OR($C265="인턴",ISNUMBER(SEARCH("수련교육부",$B265))),"인턴",$B265),입력_전공의명단!$AP$2:$AP$401,0),IF(AND(COUNTIFS(입력_전공의명단!$C$2:$C$401,$D265,입력_전공의명단!$F$2:$F$401,IF(OR($C265="인턴",ISNUMBER(SEARCH("수련교육부",$B265))),"인턴",$B265))=0,COUNTIF(입력_전공의명단!$C$2:$C$401,$D265)=1),MATCH($D265,입력_전공의명단!$C$2:$C$401,0),"")))</f>
        <v/>
      </c>
      <c r="L265" s="26">
        <f>IF($D265="","",IF($K265&lt;&gt;"",IF(COUNTIFS(입력_전공의명단!$C$2:$C$401,$D265,입력_전공의명단!$F$2:$F$401,IF(OR($C265="인턴",ISNUMBER(SEARCH("수련교육부",$B265))),"인턴",$B265))=1,"명단 일치","명단 일치(이름만, 과 다름)"),IF(COUNTIF(입력_전공의명단!$C$2:$C$401,$D265)=0,IF(COUNTIF(입력_기본자료!$C$2:$C$1001,$D265)&gt;0,"명단에 없음(기본자료에는 있음)","명단에 없음"),"동명이인 확인")))</f>
        <v/>
      </c>
    </row>
    <row r="266">
      <c r="A266" s="29" t="n">
        <v>264</v>
      </c>
      <c r="B266" s="26">
        <f>IF(TRIM(INDEX(입력_구리근무자명단!$A$1:$GZ$303,$A266,1)&amp;"")&lt;&gt;"",TRIM(INDEX(입력_구리근무자명단!$A$1:$GZ$303,$A266,1)&amp;""),B265)</f>
        <v/>
      </c>
      <c r="C266" s="26">
        <f>IF(INDEX(입력_구리근무자명단!$A$1:$GZ$303,$A266,2)="","",INDEX(입력_구리근무자명단!$A$1:$GZ$303,$A266,2))</f>
        <v/>
      </c>
      <c r="D266" s="26">
        <f>IF($G$2="","",TRIM(IF($I$2="확정",INDEX(입력_구리근무자명단!$A$1:$GZ$303,$A266,$G$2+1)&amp;"",INDEX(입력_구리근무자명단!$A$1:$GZ$303,$A266,$G$2+0)&amp;"")))</f>
        <v/>
      </c>
      <c r="E266" s="26">
        <f>IF($D266="","",$I$2)</f>
        <v/>
      </c>
      <c r="F266" s="28">
        <f>IF($D266="","",IF(INDEX(입력_구리근무자명단!$A$1:$GZ$303,$A266,$G$2+2)="",출력_요약!$B$3,IF(ISNUMBER(INDEX(입력_구리근무자명단!$A$1:$GZ$303,$A266,$G$2+2)),INDEX(입력_구리근무자명단!$A$1:$GZ$303,$A266,$G$2+2),IFERROR(DATE(VALUE(LEFT(INDEX(입력_구리근무자명단!$A$1:$GZ$303,$A266,$G$2+2),4)),VALUE(MID(INDEX(입력_구리근무자명단!$A$1:$GZ$303,$A266,$G$2+2),6,2)),VALUE(MID(INDEX(입력_구리근무자명단!$A$1:$GZ$303,$A266,$G$2+2),9,2))),IFERROR(DATEVALUE(SUBSTITUTE(TRIM(INDEX(입력_구리근무자명단!$A$1:$GZ$303,$A266,$G$2+2)),".","-")),"⚠"&amp;INDEX(입력_구리근무자명단!$A$1:$GZ$303,$A266,$G$2+2))))))</f>
        <v/>
      </c>
      <c r="G266" s="28">
        <f>IF($D266="","",IF(INDEX(입력_구리근무자명단!$A$1:$GZ$303,$A266,$G$2+3)="",EOMONTH(출력_요약!$B$3,0),IF(ISNUMBER(INDEX(입력_구리근무자명단!$A$1:$GZ$303,$A266,$G$2+3)),INDEX(입력_구리근무자명단!$A$1:$GZ$303,$A266,$G$2+3),IFERROR(DATE(VALUE(LEFT(INDEX(입력_구리근무자명단!$A$1:$GZ$303,$A266,$G$2+3),4)),VALUE(MID(INDEX(입력_구리근무자명단!$A$1:$GZ$303,$A266,$G$2+3),6,2)),VALUE(MID(INDEX(입력_구리근무자명단!$A$1:$GZ$303,$A266,$G$2+3),9,2))),IFERROR(DATEVALUE(SUBSTITUTE(TRIM(INDEX(입력_구리근무자명단!$A$1:$GZ$303,$A266,$G$2+3)),".","-")),"⚠"&amp;INDEX(입력_구리근무자명단!$A$1:$GZ$303,$A266,$G$2+3))))))</f>
        <v/>
      </c>
      <c r="H266" s="26">
        <f>IF($D266="","",IF(OR(NOT(ISNUMBER($F266)),NOT(ISNUMBER($G266))),0,MAX(0,MIN($G266,EOMONTH(출력_요약!$B$3,0))-MAX($F266,출력_요약!$B$3)+1)))</f>
        <v/>
      </c>
      <c r="I266" s="26">
        <f>IF($D266="","",TRIM(INDEX(입력_구리근무자명단!$A$1:$GZ$303,$A266,$G$2+5)&amp;""))</f>
        <v/>
      </c>
      <c r="J266" s="26">
        <f>IF($D266="","",IF(ISNUMBER(SEARCH("구리독자",$I266)),"구리독자",""))</f>
        <v/>
      </c>
      <c r="K266" s="29">
        <f>IF($D266="","",IF(COUNTIFS(입력_전공의명단!$C$2:$C$401,$D266,입력_전공의명단!$F$2:$F$401,IF(OR($C266="인턴",ISNUMBER(SEARCH("수련교육부",$B266))),"인턴",$B266))=1,MATCH($D266&amp;"|"&amp;IF(OR($C266="인턴",ISNUMBER(SEARCH("수련교육부",$B266))),"인턴",$B266),입력_전공의명단!$AP$2:$AP$401,0),IF(AND(COUNTIFS(입력_전공의명단!$C$2:$C$401,$D266,입력_전공의명단!$F$2:$F$401,IF(OR($C266="인턴",ISNUMBER(SEARCH("수련교육부",$B266))),"인턴",$B266))=0,COUNTIF(입력_전공의명단!$C$2:$C$401,$D266)=1),MATCH($D266,입력_전공의명단!$C$2:$C$401,0),"")))</f>
        <v/>
      </c>
      <c r="L266" s="26">
        <f>IF($D266="","",IF($K266&lt;&gt;"",IF(COUNTIFS(입력_전공의명단!$C$2:$C$401,$D266,입력_전공의명단!$F$2:$F$401,IF(OR($C266="인턴",ISNUMBER(SEARCH("수련교육부",$B266))),"인턴",$B266))=1,"명단 일치","명단 일치(이름만, 과 다름)"),IF(COUNTIF(입력_전공의명단!$C$2:$C$401,$D266)=0,IF(COUNTIF(입력_기본자료!$C$2:$C$1001,$D266)&gt;0,"명단에 없음(기본자료에는 있음)","명단에 없음"),"동명이인 확인")))</f>
        <v/>
      </c>
    </row>
    <row r="267">
      <c r="A267" s="29" t="n">
        <v>265</v>
      </c>
      <c r="B267" s="26">
        <f>IF(TRIM(INDEX(입력_구리근무자명단!$A$1:$GZ$303,$A267,1)&amp;"")&lt;&gt;"",TRIM(INDEX(입력_구리근무자명단!$A$1:$GZ$303,$A267,1)&amp;""),B266)</f>
        <v/>
      </c>
      <c r="C267" s="26">
        <f>IF(INDEX(입력_구리근무자명단!$A$1:$GZ$303,$A267,2)="","",INDEX(입력_구리근무자명단!$A$1:$GZ$303,$A267,2))</f>
        <v/>
      </c>
      <c r="D267" s="26">
        <f>IF($G$2="","",TRIM(IF($I$2="확정",INDEX(입력_구리근무자명단!$A$1:$GZ$303,$A267,$G$2+1)&amp;"",INDEX(입력_구리근무자명단!$A$1:$GZ$303,$A267,$G$2+0)&amp;"")))</f>
        <v/>
      </c>
      <c r="E267" s="26">
        <f>IF($D267="","",$I$2)</f>
        <v/>
      </c>
      <c r="F267" s="28">
        <f>IF($D267="","",IF(INDEX(입력_구리근무자명단!$A$1:$GZ$303,$A267,$G$2+2)="",출력_요약!$B$3,IF(ISNUMBER(INDEX(입력_구리근무자명단!$A$1:$GZ$303,$A267,$G$2+2)),INDEX(입력_구리근무자명단!$A$1:$GZ$303,$A267,$G$2+2),IFERROR(DATE(VALUE(LEFT(INDEX(입력_구리근무자명단!$A$1:$GZ$303,$A267,$G$2+2),4)),VALUE(MID(INDEX(입력_구리근무자명단!$A$1:$GZ$303,$A267,$G$2+2),6,2)),VALUE(MID(INDEX(입력_구리근무자명단!$A$1:$GZ$303,$A267,$G$2+2),9,2))),IFERROR(DATEVALUE(SUBSTITUTE(TRIM(INDEX(입력_구리근무자명단!$A$1:$GZ$303,$A267,$G$2+2)),".","-")),"⚠"&amp;INDEX(입력_구리근무자명단!$A$1:$GZ$303,$A267,$G$2+2))))))</f>
        <v/>
      </c>
      <c r="G267" s="28">
        <f>IF($D267="","",IF(INDEX(입력_구리근무자명단!$A$1:$GZ$303,$A267,$G$2+3)="",EOMONTH(출력_요약!$B$3,0),IF(ISNUMBER(INDEX(입력_구리근무자명단!$A$1:$GZ$303,$A267,$G$2+3)),INDEX(입력_구리근무자명단!$A$1:$GZ$303,$A267,$G$2+3),IFERROR(DATE(VALUE(LEFT(INDEX(입력_구리근무자명단!$A$1:$GZ$303,$A267,$G$2+3),4)),VALUE(MID(INDEX(입력_구리근무자명단!$A$1:$GZ$303,$A267,$G$2+3),6,2)),VALUE(MID(INDEX(입력_구리근무자명단!$A$1:$GZ$303,$A267,$G$2+3),9,2))),IFERROR(DATEVALUE(SUBSTITUTE(TRIM(INDEX(입력_구리근무자명단!$A$1:$GZ$303,$A267,$G$2+3)),".","-")),"⚠"&amp;INDEX(입력_구리근무자명단!$A$1:$GZ$303,$A267,$G$2+3))))))</f>
        <v/>
      </c>
      <c r="H267" s="26">
        <f>IF($D267="","",IF(OR(NOT(ISNUMBER($F267)),NOT(ISNUMBER($G267))),0,MAX(0,MIN($G267,EOMONTH(출력_요약!$B$3,0))-MAX($F267,출력_요약!$B$3)+1)))</f>
        <v/>
      </c>
      <c r="I267" s="26">
        <f>IF($D267="","",TRIM(INDEX(입력_구리근무자명단!$A$1:$GZ$303,$A267,$G$2+5)&amp;""))</f>
        <v/>
      </c>
      <c r="J267" s="26">
        <f>IF($D267="","",IF(ISNUMBER(SEARCH("구리독자",$I267)),"구리독자",""))</f>
        <v/>
      </c>
      <c r="K267" s="29">
        <f>IF($D267="","",IF(COUNTIFS(입력_전공의명단!$C$2:$C$401,$D267,입력_전공의명단!$F$2:$F$401,IF(OR($C267="인턴",ISNUMBER(SEARCH("수련교육부",$B267))),"인턴",$B267))=1,MATCH($D267&amp;"|"&amp;IF(OR($C267="인턴",ISNUMBER(SEARCH("수련교육부",$B267))),"인턴",$B267),입력_전공의명단!$AP$2:$AP$401,0),IF(AND(COUNTIFS(입력_전공의명단!$C$2:$C$401,$D267,입력_전공의명단!$F$2:$F$401,IF(OR($C267="인턴",ISNUMBER(SEARCH("수련교육부",$B267))),"인턴",$B267))=0,COUNTIF(입력_전공의명단!$C$2:$C$401,$D267)=1),MATCH($D267,입력_전공의명단!$C$2:$C$401,0),"")))</f>
        <v/>
      </c>
      <c r="L267" s="26">
        <f>IF($D267="","",IF($K267&lt;&gt;"",IF(COUNTIFS(입력_전공의명단!$C$2:$C$401,$D267,입력_전공의명단!$F$2:$F$401,IF(OR($C267="인턴",ISNUMBER(SEARCH("수련교육부",$B267))),"인턴",$B267))=1,"명단 일치","명단 일치(이름만, 과 다름)"),IF(COUNTIF(입력_전공의명단!$C$2:$C$401,$D267)=0,IF(COUNTIF(입력_기본자료!$C$2:$C$1001,$D267)&gt;0,"명단에 없음(기본자료에는 있음)","명단에 없음"),"동명이인 확인")))</f>
        <v/>
      </c>
    </row>
    <row r="268">
      <c r="A268" s="29" t="n">
        <v>266</v>
      </c>
      <c r="B268" s="26">
        <f>IF(TRIM(INDEX(입력_구리근무자명단!$A$1:$GZ$303,$A268,1)&amp;"")&lt;&gt;"",TRIM(INDEX(입력_구리근무자명단!$A$1:$GZ$303,$A268,1)&amp;""),B267)</f>
        <v/>
      </c>
      <c r="C268" s="26">
        <f>IF(INDEX(입력_구리근무자명단!$A$1:$GZ$303,$A268,2)="","",INDEX(입력_구리근무자명단!$A$1:$GZ$303,$A268,2))</f>
        <v/>
      </c>
      <c r="D268" s="26">
        <f>IF($G$2="","",TRIM(IF($I$2="확정",INDEX(입력_구리근무자명단!$A$1:$GZ$303,$A268,$G$2+1)&amp;"",INDEX(입력_구리근무자명단!$A$1:$GZ$303,$A268,$G$2+0)&amp;"")))</f>
        <v/>
      </c>
      <c r="E268" s="26">
        <f>IF($D268="","",$I$2)</f>
        <v/>
      </c>
      <c r="F268" s="28">
        <f>IF($D268="","",IF(INDEX(입력_구리근무자명단!$A$1:$GZ$303,$A268,$G$2+2)="",출력_요약!$B$3,IF(ISNUMBER(INDEX(입력_구리근무자명단!$A$1:$GZ$303,$A268,$G$2+2)),INDEX(입력_구리근무자명단!$A$1:$GZ$303,$A268,$G$2+2),IFERROR(DATE(VALUE(LEFT(INDEX(입력_구리근무자명단!$A$1:$GZ$303,$A268,$G$2+2),4)),VALUE(MID(INDEX(입력_구리근무자명단!$A$1:$GZ$303,$A268,$G$2+2),6,2)),VALUE(MID(INDEX(입력_구리근무자명단!$A$1:$GZ$303,$A268,$G$2+2),9,2))),IFERROR(DATEVALUE(SUBSTITUTE(TRIM(INDEX(입력_구리근무자명단!$A$1:$GZ$303,$A268,$G$2+2)),".","-")),"⚠"&amp;INDEX(입력_구리근무자명단!$A$1:$GZ$303,$A268,$G$2+2))))))</f>
        <v/>
      </c>
      <c r="G268" s="28">
        <f>IF($D268="","",IF(INDEX(입력_구리근무자명단!$A$1:$GZ$303,$A268,$G$2+3)="",EOMONTH(출력_요약!$B$3,0),IF(ISNUMBER(INDEX(입력_구리근무자명단!$A$1:$GZ$303,$A268,$G$2+3)),INDEX(입력_구리근무자명단!$A$1:$GZ$303,$A268,$G$2+3),IFERROR(DATE(VALUE(LEFT(INDEX(입력_구리근무자명단!$A$1:$GZ$303,$A268,$G$2+3),4)),VALUE(MID(INDEX(입력_구리근무자명단!$A$1:$GZ$303,$A268,$G$2+3),6,2)),VALUE(MID(INDEX(입력_구리근무자명단!$A$1:$GZ$303,$A268,$G$2+3),9,2))),IFERROR(DATEVALUE(SUBSTITUTE(TRIM(INDEX(입력_구리근무자명단!$A$1:$GZ$303,$A268,$G$2+3)),".","-")),"⚠"&amp;INDEX(입력_구리근무자명단!$A$1:$GZ$303,$A268,$G$2+3))))))</f>
        <v/>
      </c>
      <c r="H268" s="26">
        <f>IF($D268="","",IF(OR(NOT(ISNUMBER($F268)),NOT(ISNUMBER($G268))),0,MAX(0,MIN($G268,EOMONTH(출력_요약!$B$3,0))-MAX($F268,출력_요약!$B$3)+1)))</f>
        <v/>
      </c>
      <c r="I268" s="26">
        <f>IF($D268="","",TRIM(INDEX(입력_구리근무자명단!$A$1:$GZ$303,$A268,$G$2+5)&amp;""))</f>
        <v/>
      </c>
      <c r="J268" s="26">
        <f>IF($D268="","",IF(ISNUMBER(SEARCH("구리독자",$I268)),"구리독자",""))</f>
        <v/>
      </c>
      <c r="K268" s="29">
        <f>IF($D268="","",IF(COUNTIFS(입력_전공의명단!$C$2:$C$401,$D268,입력_전공의명단!$F$2:$F$401,IF(OR($C268="인턴",ISNUMBER(SEARCH("수련교육부",$B268))),"인턴",$B268))=1,MATCH($D268&amp;"|"&amp;IF(OR($C268="인턴",ISNUMBER(SEARCH("수련교육부",$B268))),"인턴",$B268),입력_전공의명단!$AP$2:$AP$401,0),IF(AND(COUNTIFS(입력_전공의명단!$C$2:$C$401,$D268,입력_전공의명단!$F$2:$F$401,IF(OR($C268="인턴",ISNUMBER(SEARCH("수련교육부",$B268))),"인턴",$B268))=0,COUNTIF(입력_전공의명단!$C$2:$C$401,$D268)=1),MATCH($D268,입력_전공의명단!$C$2:$C$401,0),"")))</f>
        <v/>
      </c>
      <c r="L268" s="26">
        <f>IF($D268="","",IF($K268&lt;&gt;"",IF(COUNTIFS(입력_전공의명단!$C$2:$C$401,$D268,입력_전공의명단!$F$2:$F$401,IF(OR($C268="인턴",ISNUMBER(SEARCH("수련교육부",$B268))),"인턴",$B268))=1,"명단 일치","명단 일치(이름만, 과 다름)"),IF(COUNTIF(입력_전공의명단!$C$2:$C$401,$D268)=0,IF(COUNTIF(입력_기본자료!$C$2:$C$1001,$D268)&gt;0,"명단에 없음(기본자료에는 있음)","명단에 없음"),"동명이인 확인")))</f>
        <v/>
      </c>
    </row>
    <row r="269">
      <c r="A269" s="29" t="n">
        <v>267</v>
      </c>
      <c r="B269" s="26">
        <f>IF(TRIM(INDEX(입력_구리근무자명단!$A$1:$GZ$303,$A269,1)&amp;"")&lt;&gt;"",TRIM(INDEX(입력_구리근무자명단!$A$1:$GZ$303,$A269,1)&amp;""),B268)</f>
        <v/>
      </c>
      <c r="C269" s="26">
        <f>IF(INDEX(입력_구리근무자명단!$A$1:$GZ$303,$A269,2)="","",INDEX(입력_구리근무자명단!$A$1:$GZ$303,$A269,2))</f>
        <v/>
      </c>
      <c r="D269" s="26">
        <f>IF($G$2="","",TRIM(IF($I$2="확정",INDEX(입력_구리근무자명단!$A$1:$GZ$303,$A269,$G$2+1)&amp;"",INDEX(입력_구리근무자명단!$A$1:$GZ$303,$A269,$G$2+0)&amp;"")))</f>
        <v/>
      </c>
      <c r="E269" s="26">
        <f>IF($D269="","",$I$2)</f>
        <v/>
      </c>
      <c r="F269" s="28">
        <f>IF($D269="","",IF(INDEX(입력_구리근무자명단!$A$1:$GZ$303,$A269,$G$2+2)="",출력_요약!$B$3,IF(ISNUMBER(INDEX(입력_구리근무자명단!$A$1:$GZ$303,$A269,$G$2+2)),INDEX(입력_구리근무자명단!$A$1:$GZ$303,$A269,$G$2+2),IFERROR(DATE(VALUE(LEFT(INDEX(입력_구리근무자명단!$A$1:$GZ$303,$A269,$G$2+2),4)),VALUE(MID(INDEX(입력_구리근무자명단!$A$1:$GZ$303,$A269,$G$2+2),6,2)),VALUE(MID(INDEX(입력_구리근무자명단!$A$1:$GZ$303,$A269,$G$2+2),9,2))),IFERROR(DATEVALUE(SUBSTITUTE(TRIM(INDEX(입력_구리근무자명단!$A$1:$GZ$303,$A269,$G$2+2)),".","-")),"⚠"&amp;INDEX(입력_구리근무자명단!$A$1:$GZ$303,$A269,$G$2+2))))))</f>
        <v/>
      </c>
      <c r="G269" s="28">
        <f>IF($D269="","",IF(INDEX(입력_구리근무자명단!$A$1:$GZ$303,$A269,$G$2+3)="",EOMONTH(출력_요약!$B$3,0),IF(ISNUMBER(INDEX(입력_구리근무자명단!$A$1:$GZ$303,$A269,$G$2+3)),INDEX(입력_구리근무자명단!$A$1:$GZ$303,$A269,$G$2+3),IFERROR(DATE(VALUE(LEFT(INDEX(입력_구리근무자명단!$A$1:$GZ$303,$A269,$G$2+3),4)),VALUE(MID(INDEX(입력_구리근무자명단!$A$1:$GZ$303,$A269,$G$2+3),6,2)),VALUE(MID(INDEX(입력_구리근무자명단!$A$1:$GZ$303,$A269,$G$2+3),9,2))),IFERROR(DATEVALUE(SUBSTITUTE(TRIM(INDEX(입력_구리근무자명단!$A$1:$GZ$303,$A269,$G$2+3)),".","-")),"⚠"&amp;INDEX(입력_구리근무자명단!$A$1:$GZ$303,$A269,$G$2+3))))))</f>
        <v/>
      </c>
      <c r="H269" s="26">
        <f>IF($D269="","",IF(OR(NOT(ISNUMBER($F269)),NOT(ISNUMBER($G269))),0,MAX(0,MIN($G269,EOMONTH(출력_요약!$B$3,0))-MAX($F269,출력_요약!$B$3)+1)))</f>
        <v/>
      </c>
      <c r="I269" s="26">
        <f>IF($D269="","",TRIM(INDEX(입력_구리근무자명단!$A$1:$GZ$303,$A269,$G$2+5)&amp;""))</f>
        <v/>
      </c>
      <c r="J269" s="26">
        <f>IF($D269="","",IF(ISNUMBER(SEARCH("구리독자",$I269)),"구리독자",""))</f>
        <v/>
      </c>
      <c r="K269" s="29">
        <f>IF($D269="","",IF(COUNTIFS(입력_전공의명단!$C$2:$C$401,$D269,입력_전공의명단!$F$2:$F$401,IF(OR($C269="인턴",ISNUMBER(SEARCH("수련교육부",$B269))),"인턴",$B269))=1,MATCH($D269&amp;"|"&amp;IF(OR($C269="인턴",ISNUMBER(SEARCH("수련교육부",$B269))),"인턴",$B269),입력_전공의명단!$AP$2:$AP$401,0),IF(AND(COUNTIFS(입력_전공의명단!$C$2:$C$401,$D269,입력_전공의명단!$F$2:$F$401,IF(OR($C269="인턴",ISNUMBER(SEARCH("수련교육부",$B269))),"인턴",$B269))=0,COUNTIF(입력_전공의명단!$C$2:$C$401,$D269)=1),MATCH($D269,입력_전공의명단!$C$2:$C$401,0),"")))</f>
        <v/>
      </c>
      <c r="L269" s="26">
        <f>IF($D269="","",IF($K269&lt;&gt;"",IF(COUNTIFS(입력_전공의명단!$C$2:$C$401,$D269,입력_전공의명단!$F$2:$F$401,IF(OR($C269="인턴",ISNUMBER(SEARCH("수련교육부",$B269))),"인턴",$B269))=1,"명단 일치","명단 일치(이름만, 과 다름)"),IF(COUNTIF(입력_전공의명단!$C$2:$C$401,$D269)=0,IF(COUNTIF(입력_기본자료!$C$2:$C$1001,$D269)&gt;0,"명단에 없음(기본자료에는 있음)","명단에 없음"),"동명이인 확인")))</f>
        <v/>
      </c>
    </row>
    <row r="270">
      <c r="A270" s="29" t="n">
        <v>268</v>
      </c>
      <c r="B270" s="26">
        <f>IF(TRIM(INDEX(입력_구리근무자명단!$A$1:$GZ$303,$A270,1)&amp;"")&lt;&gt;"",TRIM(INDEX(입력_구리근무자명단!$A$1:$GZ$303,$A270,1)&amp;""),B269)</f>
        <v/>
      </c>
      <c r="C270" s="26">
        <f>IF(INDEX(입력_구리근무자명단!$A$1:$GZ$303,$A270,2)="","",INDEX(입력_구리근무자명단!$A$1:$GZ$303,$A270,2))</f>
        <v/>
      </c>
      <c r="D270" s="26">
        <f>IF($G$2="","",TRIM(IF($I$2="확정",INDEX(입력_구리근무자명단!$A$1:$GZ$303,$A270,$G$2+1)&amp;"",INDEX(입력_구리근무자명단!$A$1:$GZ$303,$A270,$G$2+0)&amp;"")))</f>
        <v/>
      </c>
      <c r="E270" s="26">
        <f>IF($D270="","",$I$2)</f>
        <v/>
      </c>
      <c r="F270" s="28">
        <f>IF($D270="","",IF(INDEX(입력_구리근무자명단!$A$1:$GZ$303,$A270,$G$2+2)="",출력_요약!$B$3,IF(ISNUMBER(INDEX(입력_구리근무자명단!$A$1:$GZ$303,$A270,$G$2+2)),INDEX(입력_구리근무자명단!$A$1:$GZ$303,$A270,$G$2+2),IFERROR(DATE(VALUE(LEFT(INDEX(입력_구리근무자명단!$A$1:$GZ$303,$A270,$G$2+2),4)),VALUE(MID(INDEX(입력_구리근무자명단!$A$1:$GZ$303,$A270,$G$2+2),6,2)),VALUE(MID(INDEX(입력_구리근무자명단!$A$1:$GZ$303,$A270,$G$2+2),9,2))),IFERROR(DATEVALUE(SUBSTITUTE(TRIM(INDEX(입력_구리근무자명단!$A$1:$GZ$303,$A270,$G$2+2)),".","-")),"⚠"&amp;INDEX(입력_구리근무자명단!$A$1:$GZ$303,$A270,$G$2+2))))))</f>
        <v/>
      </c>
      <c r="G270" s="28">
        <f>IF($D270="","",IF(INDEX(입력_구리근무자명단!$A$1:$GZ$303,$A270,$G$2+3)="",EOMONTH(출력_요약!$B$3,0),IF(ISNUMBER(INDEX(입력_구리근무자명단!$A$1:$GZ$303,$A270,$G$2+3)),INDEX(입력_구리근무자명단!$A$1:$GZ$303,$A270,$G$2+3),IFERROR(DATE(VALUE(LEFT(INDEX(입력_구리근무자명단!$A$1:$GZ$303,$A270,$G$2+3),4)),VALUE(MID(INDEX(입력_구리근무자명단!$A$1:$GZ$303,$A270,$G$2+3),6,2)),VALUE(MID(INDEX(입력_구리근무자명단!$A$1:$GZ$303,$A270,$G$2+3),9,2))),IFERROR(DATEVALUE(SUBSTITUTE(TRIM(INDEX(입력_구리근무자명단!$A$1:$GZ$303,$A270,$G$2+3)),".","-")),"⚠"&amp;INDEX(입력_구리근무자명단!$A$1:$GZ$303,$A270,$G$2+3))))))</f>
        <v/>
      </c>
      <c r="H270" s="26">
        <f>IF($D270="","",IF(OR(NOT(ISNUMBER($F270)),NOT(ISNUMBER($G270))),0,MAX(0,MIN($G270,EOMONTH(출력_요약!$B$3,0))-MAX($F270,출력_요약!$B$3)+1)))</f>
        <v/>
      </c>
      <c r="I270" s="26">
        <f>IF($D270="","",TRIM(INDEX(입력_구리근무자명단!$A$1:$GZ$303,$A270,$G$2+5)&amp;""))</f>
        <v/>
      </c>
      <c r="J270" s="26">
        <f>IF($D270="","",IF(ISNUMBER(SEARCH("구리독자",$I270)),"구리독자",""))</f>
        <v/>
      </c>
      <c r="K270" s="29">
        <f>IF($D270="","",IF(COUNTIFS(입력_전공의명단!$C$2:$C$401,$D270,입력_전공의명단!$F$2:$F$401,IF(OR($C270="인턴",ISNUMBER(SEARCH("수련교육부",$B270))),"인턴",$B270))=1,MATCH($D270&amp;"|"&amp;IF(OR($C270="인턴",ISNUMBER(SEARCH("수련교육부",$B270))),"인턴",$B270),입력_전공의명단!$AP$2:$AP$401,0),IF(AND(COUNTIFS(입력_전공의명단!$C$2:$C$401,$D270,입력_전공의명단!$F$2:$F$401,IF(OR($C270="인턴",ISNUMBER(SEARCH("수련교육부",$B270))),"인턴",$B270))=0,COUNTIF(입력_전공의명단!$C$2:$C$401,$D270)=1),MATCH($D270,입력_전공의명단!$C$2:$C$401,0),"")))</f>
        <v/>
      </c>
      <c r="L270" s="26">
        <f>IF($D270="","",IF($K270&lt;&gt;"",IF(COUNTIFS(입력_전공의명단!$C$2:$C$401,$D270,입력_전공의명단!$F$2:$F$401,IF(OR($C270="인턴",ISNUMBER(SEARCH("수련교육부",$B270))),"인턴",$B270))=1,"명단 일치","명단 일치(이름만, 과 다름)"),IF(COUNTIF(입력_전공의명단!$C$2:$C$401,$D270)=0,IF(COUNTIF(입력_기본자료!$C$2:$C$1001,$D270)&gt;0,"명단에 없음(기본자료에는 있음)","명단에 없음"),"동명이인 확인")))</f>
        <v/>
      </c>
    </row>
    <row r="271">
      <c r="A271" s="29" t="n">
        <v>269</v>
      </c>
      <c r="B271" s="26">
        <f>IF(TRIM(INDEX(입력_구리근무자명단!$A$1:$GZ$303,$A271,1)&amp;"")&lt;&gt;"",TRIM(INDEX(입력_구리근무자명단!$A$1:$GZ$303,$A271,1)&amp;""),B270)</f>
        <v/>
      </c>
      <c r="C271" s="26">
        <f>IF(INDEX(입력_구리근무자명단!$A$1:$GZ$303,$A271,2)="","",INDEX(입력_구리근무자명단!$A$1:$GZ$303,$A271,2))</f>
        <v/>
      </c>
      <c r="D271" s="26">
        <f>IF($G$2="","",TRIM(IF($I$2="확정",INDEX(입력_구리근무자명단!$A$1:$GZ$303,$A271,$G$2+1)&amp;"",INDEX(입력_구리근무자명단!$A$1:$GZ$303,$A271,$G$2+0)&amp;"")))</f>
        <v/>
      </c>
      <c r="E271" s="26">
        <f>IF($D271="","",$I$2)</f>
        <v/>
      </c>
      <c r="F271" s="28">
        <f>IF($D271="","",IF(INDEX(입력_구리근무자명단!$A$1:$GZ$303,$A271,$G$2+2)="",출력_요약!$B$3,IF(ISNUMBER(INDEX(입력_구리근무자명단!$A$1:$GZ$303,$A271,$G$2+2)),INDEX(입력_구리근무자명단!$A$1:$GZ$303,$A271,$G$2+2),IFERROR(DATE(VALUE(LEFT(INDEX(입력_구리근무자명단!$A$1:$GZ$303,$A271,$G$2+2),4)),VALUE(MID(INDEX(입력_구리근무자명단!$A$1:$GZ$303,$A271,$G$2+2),6,2)),VALUE(MID(INDEX(입력_구리근무자명단!$A$1:$GZ$303,$A271,$G$2+2),9,2))),IFERROR(DATEVALUE(SUBSTITUTE(TRIM(INDEX(입력_구리근무자명단!$A$1:$GZ$303,$A271,$G$2+2)),".","-")),"⚠"&amp;INDEX(입력_구리근무자명단!$A$1:$GZ$303,$A271,$G$2+2))))))</f>
        <v/>
      </c>
      <c r="G271" s="28">
        <f>IF($D271="","",IF(INDEX(입력_구리근무자명단!$A$1:$GZ$303,$A271,$G$2+3)="",EOMONTH(출력_요약!$B$3,0),IF(ISNUMBER(INDEX(입력_구리근무자명단!$A$1:$GZ$303,$A271,$G$2+3)),INDEX(입력_구리근무자명단!$A$1:$GZ$303,$A271,$G$2+3),IFERROR(DATE(VALUE(LEFT(INDEX(입력_구리근무자명단!$A$1:$GZ$303,$A271,$G$2+3),4)),VALUE(MID(INDEX(입력_구리근무자명단!$A$1:$GZ$303,$A271,$G$2+3),6,2)),VALUE(MID(INDEX(입력_구리근무자명단!$A$1:$GZ$303,$A271,$G$2+3),9,2))),IFERROR(DATEVALUE(SUBSTITUTE(TRIM(INDEX(입력_구리근무자명단!$A$1:$GZ$303,$A271,$G$2+3)),".","-")),"⚠"&amp;INDEX(입력_구리근무자명단!$A$1:$GZ$303,$A271,$G$2+3))))))</f>
        <v/>
      </c>
      <c r="H271" s="26">
        <f>IF($D271="","",IF(OR(NOT(ISNUMBER($F271)),NOT(ISNUMBER($G271))),0,MAX(0,MIN($G271,EOMONTH(출력_요약!$B$3,0))-MAX($F271,출력_요약!$B$3)+1)))</f>
        <v/>
      </c>
      <c r="I271" s="26">
        <f>IF($D271="","",TRIM(INDEX(입력_구리근무자명단!$A$1:$GZ$303,$A271,$G$2+5)&amp;""))</f>
        <v/>
      </c>
      <c r="J271" s="26">
        <f>IF($D271="","",IF(ISNUMBER(SEARCH("구리독자",$I271)),"구리독자",""))</f>
        <v/>
      </c>
      <c r="K271" s="29">
        <f>IF($D271="","",IF(COUNTIFS(입력_전공의명단!$C$2:$C$401,$D271,입력_전공의명단!$F$2:$F$401,IF(OR($C271="인턴",ISNUMBER(SEARCH("수련교육부",$B271))),"인턴",$B271))=1,MATCH($D271&amp;"|"&amp;IF(OR($C271="인턴",ISNUMBER(SEARCH("수련교육부",$B271))),"인턴",$B271),입력_전공의명단!$AP$2:$AP$401,0),IF(AND(COUNTIFS(입력_전공의명단!$C$2:$C$401,$D271,입력_전공의명단!$F$2:$F$401,IF(OR($C271="인턴",ISNUMBER(SEARCH("수련교육부",$B271))),"인턴",$B271))=0,COUNTIF(입력_전공의명단!$C$2:$C$401,$D271)=1),MATCH($D271,입력_전공의명단!$C$2:$C$401,0),"")))</f>
        <v/>
      </c>
      <c r="L271" s="26">
        <f>IF($D271="","",IF($K271&lt;&gt;"",IF(COUNTIFS(입력_전공의명단!$C$2:$C$401,$D271,입력_전공의명단!$F$2:$F$401,IF(OR($C271="인턴",ISNUMBER(SEARCH("수련교육부",$B271))),"인턴",$B271))=1,"명단 일치","명단 일치(이름만, 과 다름)"),IF(COUNTIF(입력_전공의명단!$C$2:$C$401,$D271)=0,IF(COUNTIF(입력_기본자료!$C$2:$C$1001,$D271)&gt;0,"명단에 없음(기본자료에는 있음)","명단에 없음"),"동명이인 확인")))</f>
        <v/>
      </c>
    </row>
    <row r="272">
      <c r="A272" s="29" t="n">
        <v>270</v>
      </c>
      <c r="B272" s="26">
        <f>IF(TRIM(INDEX(입력_구리근무자명단!$A$1:$GZ$303,$A272,1)&amp;"")&lt;&gt;"",TRIM(INDEX(입력_구리근무자명단!$A$1:$GZ$303,$A272,1)&amp;""),B271)</f>
        <v/>
      </c>
      <c r="C272" s="26">
        <f>IF(INDEX(입력_구리근무자명단!$A$1:$GZ$303,$A272,2)="","",INDEX(입력_구리근무자명단!$A$1:$GZ$303,$A272,2))</f>
        <v/>
      </c>
      <c r="D272" s="26">
        <f>IF($G$2="","",TRIM(IF($I$2="확정",INDEX(입력_구리근무자명단!$A$1:$GZ$303,$A272,$G$2+1)&amp;"",INDEX(입력_구리근무자명단!$A$1:$GZ$303,$A272,$G$2+0)&amp;"")))</f>
        <v/>
      </c>
      <c r="E272" s="26">
        <f>IF($D272="","",$I$2)</f>
        <v/>
      </c>
      <c r="F272" s="28">
        <f>IF($D272="","",IF(INDEX(입력_구리근무자명단!$A$1:$GZ$303,$A272,$G$2+2)="",출력_요약!$B$3,IF(ISNUMBER(INDEX(입력_구리근무자명단!$A$1:$GZ$303,$A272,$G$2+2)),INDEX(입력_구리근무자명단!$A$1:$GZ$303,$A272,$G$2+2),IFERROR(DATE(VALUE(LEFT(INDEX(입력_구리근무자명단!$A$1:$GZ$303,$A272,$G$2+2),4)),VALUE(MID(INDEX(입력_구리근무자명단!$A$1:$GZ$303,$A272,$G$2+2),6,2)),VALUE(MID(INDEX(입력_구리근무자명단!$A$1:$GZ$303,$A272,$G$2+2),9,2))),IFERROR(DATEVALUE(SUBSTITUTE(TRIM(INDEX(입력_구리근무자명단!$A$1:$GZ$303,$A272,$G$2+2)),".","-")),"⚠"&amp;INDEX(입력_구리근무자명단!$A$1:$GZ$303,$A272,$G$2+2))))))</f>
        <v/>
      </c>
      <c r="G272" s="28">
        <f>IF($D272="","",IF(INDEX(입력_구리근무자명단!$A$1:$GZ$303,$A272,$G$2+3)="",EOMONTH(출력_요약!$B$3,0),IF(ISNUMBER(INDEX(입력_구리근무자명단!$A$1:$GZ$303,$A272,$G$2+3)),INDEX(입력_구리근무자명단!$A$1:$GZ$303,$A272,$G$2+3),IFERROR(DATE(VALUE(LEFT(INDEX(입력_구리근무자명단!$A$1:$GZ$303,$A272,$G$2+3),4)),VALUE(MID(INDEX(입력_구리근무자명단!$A$1:$GZ$303,$A272,$G$2+3),6,2)),VALUE(MID(INDEX(입력_구리근무자명단!$A$1:$GZ$303,$A272,$G$2+3),9,2))),IFERROR(DATEVALUE(SUBSTITUTE(TRIM(INDEX(입력_구리근무자명단!$A$1:$GZ$303,$A272,$G$2+3)),".","-")),"⚠"&amp;INDEX(입력_구리근무자명단!$A$1:$GZ$303,$A272,$G$2+3))))))</f>
        <v/>
      </c>
      <c r="H272" s="26">
        <f>IF($D272="","",IF(OR(NOT(ISNUMBER($F272)),NOT(ISNUMBER($G272))),0,MAX(0,MIN($G272,EOMONTH(출력_요약!$B$3,0))-MAX($F272,출력_요약!$B$3)+1)))</f>
        <v/>
      </c>
      <c r="I272" s="26">
        <f>IF($D272="","",TRIM(INDEX(입력_구리근무자명단!$A$1:$GZ$303,$A272,$G$2+5)&amp;""))</f>
        <v/>
      </c>
      <c r="J272" s="26">
        <f>IF($D272="","",IF(ISNUMBER(SEARCH("구리독자",$I272)),"구리독자",""))</f>
        <v/>
      </c>
      <c r="K272" s="29">
        <f>IF($D272="","",IF(COUNTIFS(입력_전공의명단!$C$2:$C$401,$D272,입력_전공의명단!$F$2:$F$401,IF(OR($C272="인턴",ISNUMBER(SEARCH("수련교육부",$B272))),"인턴",$B272))=1,MATCH($D272&amp;"|"&amp;IF(OR($C272="인턴",ISNUMBER(SEARCH("수련교육부",$B272))),"인턴",$B272),입력_전공의명단!$AP$2:$AP$401,0),IF(AND(COUNTIFS(입력_전공의명단!$C$2:$C$401,$D272,입력_전공의명단!$F$2:$F$401,IF(OR($C272="인턴",ISNUMBER(SEARCH("수련교육부",$B272))),"인턴",$B272))=0,COUNTIF(입력_전공의명단!$C$2:$C$401,$D272)=1),MATCH($D272,입력_전공의명단!$C$2:$C$401,0),"")))</f>
        <v/>
      </c>
      <c r="L272" s="26">
        <f>IF($D272="","",IF($K272&lt;&gt;"",IF(COUNTIFS(입력_전공의명단!$C$2:$C$401,$D272,입력_전공의명단!$F$2:$F$401,IF(OR($C272="인턴",ISNUMBER(SEARCH("수련교육부",$B272))),"인턴",$B272))=1,"명단 일치","명단 일치(이름만, 과 다름)"),IF(COUNTIF(입력_전공의명단!$C$2:$C$401,$D272)=0,IF(COUNTIF(입력_기본자료!$C$2:$C$1001,$D272)&gt;0,"명단에 없음(기본자료에는 있음)","명단에 없음"),"동명이인 확인")))</f>
        <v/>
      </c>
    </row>
    <row r="273">
      <c r="A273" s="29" t="n">
        <v>271</v>
      </c>
      <c r="B273" s="26">
        <f>IF(TRIM(INDEX(입력_구리근무자명단!$A$1:$GZ$303,$A273,1)&amp;"")&lt;&gt;"",TRIM(INDEX(입력_구리근무자명단!$A$1:$GZ$303,$A273,1)&amp;""),B272)</f>
        <v/>
      </c>
      <c r="C273" s="26">
        <f>IF(INDEX(입력_구리근무자명단!$A$1:$GZ$303,$A273,2)="","",INDEX(입력_구리근무자명단!$A$1:$GZ$303,$A273,2))</f>
        <v/>
      </c>
      <c r="D273" s="26">
        <f>IF($G$2="","",TRIM(IF($I$2="확정",INDEX(입력_구리근무자명단!$A$1:$GZ$303,$A273,$G$2+1)&amp;"",INDEX(입력_구리근무자명단!$A$1:$GZ$303,$A273,$G$2+0)&amp;"")))</f>
        <v/>
      </c>
      <c r="E273" s="26">
        <f>IF($D273="","",$I$2)</f>
        <v/>
      </c>
      <c r="F273" s="28">
        <f>IF($D273="","",IF(INDEX(입력_구리근무자명단!$A$1:$GZ$303,$A273,$G$2+2)="",출력_요약!$B$3,IF(ISNUMBER(INDEX(입력_구리근무자명단!$A$1:$GZ$303,$A273,$G$2+2)),INDEX(입력_구리근무자명단!$A$1:$GZ$303,$A273,$G$2+2),IFERROR(DATE(VALUE(LEFT(INDEX(입력_구리근무자명단!$A$1:$GZ$303,$A273,$G$2+2),4)),VALUE(MID(INDEX(입력_구리근무자명단!$A$1:$GZ$303,$A273,$G$2+2),6,2)),VALUE(MID(INDEX(입력_구리근무자명단!$A$1:$GZ$303,$A273,$G$2+2),9,2))),IFERROR(DATEVALUE(SUBSTITUTE(TRIM(INDEX(입력_구리근무자명단!$A$1:$GZ$303,$A273,$G$2+2)),".","-")),"⚠"&amp;INDEX(입력_구리근무자명단!$A$1:$GZ$303,$A273,$G$2+2))))))</f>
        <v/>
      </c>
      <c r="G273" s="28">
        <f>IF($D273="","",IF(INDEX(입력_구리근무자명단!$A$1:$GZ$303,$A273,$G$2+3)="",EOMONTH(출력_요약!$B$3,0),IF(ISNUMBER(INDEX(입력_구리근무자명단!$A$1:$GZ$303,$A273,$G$2+3)),INDEX(입력_구리근무자명단!$A$1:$GZ$303,$A273,$G$2+3),IFERROR(DATE(VALUE(LEFT(INDEX(입력_구리근무자명단!$A$1:$GZ$303,$A273,$G$2+3),4)),VALUE(MID(INDEX(입력_구리근무자명단!$A$1:$GZ$303,$A273,$G$2+3),6,2)),VALUE(MID(INDEX(입력_구리근무자명단!$A$1:$GZ$303,$A273,$G$2+3),9,2))),IFERROR(DATEVALUE(SUBSTITUTE(TRIM(INDEX(입력_구리근무자명단!$A$1:$GZ$303,$A273,$G$2+3)),".","-")),"⚠"&amp;INDEX(입력_구리근무자명단!$A$1:$GZ$303,$A273,$G$2+3))))))</f>
        <v/>
      </c>
      <c r="H273" s="26">
        <f>IF($D273="","",IF(OR(NOT(ISNUMBER($F273)),NOT(ISNUMBER($G273))),0,MAX(0,MIN($G273,EOMONTH(출력_요약!$B$3,0))-MAX($F273,출력_요약!$B$3)+1)))</f>
        <v/>
      </c>
      <c r="I273" s="26">
        <f>IF($D273="","",TRIM(INDEX(입력_구리근무자명단!$A$1:$GZ$303,$A273,$G$2+5)&amp;""))</f>
        <v/>
      </c>
      <c r="J273" s="26">
        <f>IF($D273="","",IF(ISNUMBER(SEARCH("구리독자",$I273)),"구리독자",""))</f>
        <v/>
      </c>
      <c r="K273" s="29">
        <f>IF($D273="","",IF(COUNTIFS(입력_전공의명단!$C$2:$C$401,$D273,입력_전공의명단!$F$2:$F$401,IF(OR($C273="인턴",ISNUMBER(SEARCH("수련교육부",$B273))),"인턴",$B273))=1,MATCH($D273&amp;"|"&amp;IF(OR($C273="인턴",ISNUMBER(SEARCH("수련교육부",$B273))),"인턴",$B273),입력_전공의명단!$AP$2:$AP$401,0),IF(AND(COUNTIFS(입력_전공의명단!$C$2:$C$401,$D273,입력_전공의명단!$F$2:$F$401,IF(OR($C273="인턴",ISNUMBER(SEARCH("수련교육부",$B273))),"인턴",$B273))=0,COUNTIF(입력_전공의명단!$C$2:$C$401,$D273)=1),MATCH($D273,입력_전공의명단!$C$2:$C$401,0),"")))</f>
        <v/>
      </c>
      <c r="L273" s="26">
        <f>IF($D273="","",IF($K273&lt;&gt;"",IF(COUNTIFS(입력_전공의명단!$C$2:$C$401,$D273,입력_전공의명단!$F$2:$F$401,IF(OR($C273="인턴",ISNUMBER(SEARCH("수련교육부",$B273))),"인턴",$B273))=1,"명단 일치","명단 일치(이름만, 과 다름)"),IF(COUNTIF(입력_전공의명단!$C$2:$C$401,$D273)=0,IF(COUNTIF(입력_기본자료!$C$2:$C$1001,$D273)&gt;0,"명단에 없음(기본자료에는 있음)","명단에 없음"),"동명이인 확인")))</f>
        <v/>
      </c>
    </row>
    <row r="274">
      <c r="A274" s="29" t="n">
        <v>272</v>
      </c>
      <c r="B274" s="26">
        <f>IF(TRIM(INDEX(입력_구리근무자명단!$A$1:$GZ$303,$A274,1)&amp;"")&lt;&gt;"",TRIM(INDEX(입력_구리근무자명단!$A$1:$GZ$303,$A274,1)&amp;""),B273)</f>
        <v/>
      </c>
      <c r="C274" s="26">
        <f>IF(INDEX(입력_구리근무자명단!$A$1:$GZ$303,$A274,2)="","",INDEX(입력_구리근무자명단!$A$1:$GZ$303,$A274,2))</f>
        <v/>
      </c>
      <c r="D274" s="26">
        <f>IF($G$2="","",TRIM(IF($I$2="확정",INDEX(입력_구리근무자명단!$A$1:$GZ$303,$A274,$G$2+1)&amp;"",INDEX(입력_구리근무자명단!$A$1:$GZ$303,$A274,$G$2+0)&amp;"")))</f>
        <v/>
      </c>
      <c r="E274" s="26">
        <f>IF($D274="","",$I$2)</f>
        <v/>
      </c>
      <c r="F274" s="28">
        <f>IF($D274="","",IF(INDEX(입력_구리근무자명단!$A$1:$GZ$303,$A274,$G$2+2)="",출력_요약!$B$3,IF(ISNUMBER(INDEX(입력_구리근무자명단!$A$1:$GZ$303,$A274,$G$2+2)),INDEX(입력_구리근무자명단!$A$1:$GZ$303,$A274,$G$2+2),IFERROR(DATE(VALUE(LEFT(INDEX(입력_구리근무자명단!$A$1:$GZ$303,$A274,$G$2+2),4)),VALUE(MID(INDEX(입력_구리근무자명단!$A$1:$GZ$303,$A274,$G$2+2),6,2)),VALUE(MID(INDEX(입력_구리근무자명단!$A$1:$GZ$303,$A274,$G$2+2),9,2))),IFERROR(DATEVALUE(SUBSTITUTE(TRIM(INDEX(입력_구리근무자명단!$A$1:$GZ$303,$A274,$G$2+2)),".","-")),"⚠"&amp;INDEX(입력_구리근무자명단!$A$1:$GZ$303,$A274,$G$2+2))))))</f>
        <v/>
      </c>
      <c r="G274" s="28">
        <f>IF($D274="","",IF(INDEX(입력_구리근무자명단!$A$1:$GZ$303,$A274,$G$2+3)="",EOMONTH(출력_요약!$B$3,0),IF(ISNUMBER(INDEX(입력_구리근무자명단!$A$1:$GZ$303,$A274,$G$2+3)),INDEX(입력_구리근무자명단!$A$1:$GZ$303,$A274,$G$2+3),IFERROR(DATE(VALUE(LEFT(INDEX(입력_구리근무자명단!$A$1:$GZ$303,$A274,$G$2+3),4)),VALUE(MID(INDEX(입력_구리근무자명단!$A$1:$GZ$303,$A274,$G$2+3),6,2)),VALUE(MID(INDEX(입력_구리근무자명단!$A$1:$GZ$303,$A274,$G$2+3),9,2))),IFERROR(DATEVALUE(SUBSTITUTE(TRIM(INDEX(입력_구리근무자명단!$A$1:$GZ$303,$A274,$G$2+3)),".","-")),"⚠"&amp;INDEX(입력_구리근무자명단!$A$1:$GZ$303,$A274,$G$2+3))))))</f>
        <v/>
      </c>
      <c r="H274" s="26">
        <f>IF($D274="","",IF(OR(NOT(ISNUMBER($F274)),NOT(ISNUMBER($G274))),0,MAX(0,MIN($G274,EOMONTH(출력_요약!$B$3,0))-MAX($F274,출력_요약!$B$3)+1)))</f>
        <v/>
      </c>
      <c r="I274" s="26">
        <f>IF($D274="","",TRIM(INDEX(입력_구리근무자명단!$A$1:$GZ$303,$A274,$G$2+5)&amp;""))</f>
        <v/>
      </c>
      <c r="J274" s="26">
        <f>IF($D274="","",IF(ISNUMBER(SEARCH("구리독자",$I274)),"구리독자",""))</f>
        <v/>
      </c>
      <c r="K274" s="29">
        <f>IF($D274="","",IF(COUNTIFS(입력_전공의명단!$C$2:$C$401,$D274,입력_전공의명단!$F$2:$F$401,IF(OR($C274="인턴",ISNUMBER(SEARCH("수련교육부",$B274))),"인턴",$B274))=1,MATCH($D274&amp;"|"&amp;IF(OR($C274="인턴",ISNUMBER(SEARCH("수련교육부",$B274))),"인턴",$B274),입력_전공의명단!$AP$2:$AP$401,0),IF(AND(COUNTIFS(입력_전공의명단!$C$2:$C$401,$D274,입력_전공의명단!$F$2:$F$401,IF(OR($C274="인턴",ISNUMBER(SEARCH("수련교육부",$B274))),"인턴",$B274))=0,COUNTIF(입력_전공의명단!$C$2:$C$401,$D274)=1),MATCH($D274,입력_전공의명단!$C$2:$C$401,0),"")))</f>
        <v/>
      </c>
      <c r="L274" s="26">
        <f>IF($D274="","",IF($K274&lt;&gt;"",IF(COUNTIFS(입력_전공의명단!$C$2:$C$401,$D274,입력_전공의명단!$F$2:$F$401,IF(OR($C274="인턴",ISNUMBER(SEARCH("수련교육부",$B274))),"인턴",$B274))=1,"명단 일치","명단 일치(이름만, 과 다름)"),IF(COUNTIF(입력_전공의명단!$C$2:$C$401,$D274)=0,IF(COUNTIF(입력_기본자료!$C$2:$C$1001,$D274)&gt;0,"명단에 없음(기본자료에는 있음)","명단에 없음"),"동명이인 확인")))</f>
        <v/>
      </c>
    </row>
    <row r="275">
      <c r="A275" s="29" t="n">
        <v>273</v>
      </c>
      <c r="B275" s="26">
        <f>IF(TRIM(INDEX(입력_구리근무자명단!$A$1:$GZ$303,$A275,1)&amp;"")&lt;&gt;"",TRIM(INDEX(입력_구리근무자명단!$A$1:$GZ$303,$A275,1)&amp;""),B274)</f>
        <v/>
      </c>
      <c r="C275" s="26">
        <f>IF(INDEX(입력_구리근무자명단!$A$1:$GZ$303,$A275,2)="","",INDEX(입력_구리근무자명단!$A$1:$GZ$303,$A275,2))</f>
        <v/>
      </c>
      <c r="D275" s="26">
        <f>IF($G$2="","",TRIM(IF($I$2="확정",INDEX(입력_구리근무자명단!$A$1:$GZ$303,$A275,$G$2+1)&amp;"",INDEX(입력_구리근무자명단!$A$1:$GZ$303,$A275,$G$2+0)&amp;"")))</f>
        <v/>
      </c>
      <c r="E275" s="26">
        <f>IF($D275="","",$I$2)</f>
        <v/>
      </c>
      <c r="F275" s="28">
        <f>IF($D275="","",IF(INDEX(입력_구리근무자명단!$A$1:$GZ$303,$A275,$G$2+2)="",출력_요약!$B$3,IF(ISNUMBER(INDEX(입력_구리근무자명단!$A$1:$GZ$303,$A275,$G$2+2)),INDEX(입력_구리근무자명단!$A$1:$GZ$303,$A275,$G$2+2),IFERROR(DATE(VALUE(LEFT(INDEX(입력_구리근무자명단!$A$1:$GZ$303,$A275,$G$2+2),4)),VALUE(MID(INDEX(입력_구리근무자명단!$A$1:$GZ$303,$A275,$G$2+2),6,2)),VALUE(MID(INDEX(입력_구리근무자명단!$A$1:$GZ$303,$A275,$G$2+2),9,2))),IFERROR(DATEVALUE(SUBSTITUTE(TRIM(INDEX(입력_구리근무자명단!$A$1:$GZ$303,$A275,$G$2+2)),".","-")),"⚠"&amp;INDEX(입력_구리근무자명단!$A$1:$GZ$303,$A275,$G$2+2))))))</f>
        <v/>
      </c>
      <c r="G275" s="28">
        <f>IF($D275="","",IF(INDEX(입력_구리근무자명단!$A$1:$GZ$303,$A275,$G$2+3)="",EOMONTH(출력_요약!$B$3,0),IF(ISNUMBER(INDEX(입력_구리근무자명단!$A$1:$GZ$303,$A275,$G$2+3)),INDEX(입력_구리근무자명단!$A$1:$GZ$303,$A275,$G$2+3),IFERROR(DATE(VALUE(LEFT(INDEX(입력_구리근무자명단!$A$1:$GZ$303,$A275,$G$2+3),4)),VALUE(MID(INDEX(입력_구리근무자명단!$A$1:$GZ$303,$A275,$G$2+3),6,2)),VALUE(MID(INDEX(입력_구리근무자명단!$A$1:$GZ$303,$A275,$G$2+3),9,2))),IFERROR(DATEVALUE(SUBSTITUTE(TRIM(INDEX(입력_구리근무자명단!$A$1:$GZ$303,$A275,$G$2+3)),".","-")),"⚠"&amp;INDEX(입력_구리근무자명단!$A$1:$GZ$303,$A275,$G$2+3))))))</f>
        <v/>
      </c>
      <c r="H275" s="26">
        <f>IF($D275="","",IF(OR(NOT(ISNUMBER($F275)),NOT(ISNUMBER($G275))),0,MAX(0,MIN($G275,EOMONTH(출력_요약!$B$3,0))-MAX($F275,출력_요약!$B$3)+1)))</f>
        <v/>
      </c>
      <c r="I275" s="26">
        <f>IF($D275="","",TRIM(INDEX(입력_구리근무자명단!$A$1:$GZ$303,$A275,$G$2+5)&amp;""))</f>
        <v/>
      </c>
      <c r="J275" s="26">
        <f>IF($D275="","",IF(ISNUMBER(SEARCH("구리독자",$I275)),"구리독자",""))</f>
        <v/>
      </c>
      <c r="K275" s="29">
        <f>IF($D275="","",IF(COUNTIFS(입력_전공의명단!$C$2:$C$401,$D275,입력_전공의명단!$F$2:$F$401,IF(OR($C275="인턴",ISNUMBER(SEARCH("수련교육부",$B275))),"인턴",$B275))=1,MATCH($D275&amp;"|"&amp;IF(OR($C275="인턴",ISNUMBER(SEARCH("수련교육부",$B275))),"인턴",$B275),입력_전공의명단!$AP$2:$AP$401,0),IF(AND(COUNTIFS(입력_전공의명단!$C$2:$C$401,$D275,입력_전공의명단!$F$2:$F$401,IF(OR($C275="인턴",ISNUMBER(SEARCH("수련교육부",$B275))),"인턴",$B275))=0,COUNTIF(입력_전공의명단!$C$2:$C$401,$D275)=1),MATCH($D275,입력_전공의명단!$C$2:$C$401,0),"")))</f>
        <v/>
      </c>
      <c r="L275" s="26">
        <f>IF($D275="","",IF($K275&lt;&gt;"",IF(COUNTIFS(입력_전공의명단!$C$2:$C$401,$D275,입력_전공의명단!$F$2:$F$401,IF(OR($C275="인턴",ISNUMBER(SEARCH("수련교육부",$B275))),"인턴",$B275))=1,"명단 일치","명단 일치(이름만, 과 다름)"),IF(COUNTIF(입력_전공의명단!$C$2:$C$401,$D275)=0,IF(COUNTIF(입력_기본자료!$C$2:$C$1001,$D275)&gt;0,"명단에 없음(기본자료에는 있음)","명단에 없음"),"동명이인 확인")))</f>
        <v/>
      </c>
    </row>
    <row r="276">
      <c r="A276" s="29" t="n">
        <v>274</v>
      </c>
      <c r="B276" s="26">
        <f>IF(TRIM(INDEX(입력_구리근무자명단!$A$1:$GZ$303,$A276,1)&amp;"")&lt;&gt;"",TRIM(INDEX(입력_구리근무자명단!$A$1:$GZ$303,$A276,1)&amp;""),B275)</f>
        <v/>
      </c>
      <c r="C276" s="26">
        <f>IF(INDEX(입력_구리근무자명단!$A$1:$GZ$303,$A276,2)="","",INDEX(입력_구리근무자명단!$A$1:$GZ$303,$A276,2))</f>
        <v/>
      </c>
      <c r="D276" s="26">
        <f>IF($G$2="","",TRIM(IF($I$2="확정",INDEX(입력_구리근무자명단!$A$1:$GZ$303,$A276,$G$2+1)&amp;"",INDEX(입력_구리근무자명단!$A$1:$GZ$303,$A276,$G$2+0)&amp;"")))</f>
        <v/>
      </c>
      <c r="E276" s="26">
        <f>IF($D276="","",$I$2)</f>
        <v/>
      </c>
      <c r="F276" s="28">
        <f>IF($D276="","",IF(INDEX(입력_구리근무자명단!$A$1:$GZ$303,$A276,$G$2+2)="",출력_요약!$B$3,IF(ISNUMBER(INDEX(입력_구리근무자명단!$A$1:$GZ$303,$A276,$G$2+2)),INDEX(입력_구리근무자명단!$A$1:$GZ$303,$A276,$G$2+2),IFERROR(DATE(VALUE(LEFT(INDEX(입력_구리근무자명단!$A$1:$GZ$303,$A276,$G$2+2),4)),VALUE(MID(INDEX(입력_구리근무자명단!$A$1:$GZ$303,$A276,$G$2+2),6,2)),VALUE(MID(INDEX(입력_구리근무자명단!$A$1:$GZ$303,$A276,$G$2+2),9,2))),IFERROR(DATEVALUE(SUBSTITUTE(TRIM(INDEX(입력_구리근무자명단!$A$1:$GZ$303,$A276,$G$2+2)),".","-")),"⚠"&amp;INDEX(입력_구리근무자명단!$A$1:$GZ$303,$A276,$G$2+2))))))</f>
        <v/>
      </c>
      <c r="G276" s="28">
        <f>IF($D276="","",IF(INDEX(입력_구리근무자명단!$A$1:$GZ$303,$A276,$G$2+3)="",EOMONTH(출력_요약!$B$3,0),IF(ISNUMBER(INDEX(입력_구리근무자명단!$A$1:$GZ$303,$A276,$G$2+3)),INDEX(입력_구리근무자명단!$A$1:$GZ$303,$A276,$G$2+3),IFERROR(DATE(VALUE(LEFT(INDEX(입력_구리근무자명단!$A$1:$GZ$303,$A276,$G$2+3),4)),VALUE(MID(INDEX(입력_구리근무자명단!$A$1:$GZ$303,$A276,$G$2+3),6,2)),VALUE(MID(INDEX(입력_구리근무자명단!$A$1:$GZ$303,$A276,$G$2+3),9,2))),IFERROR(DATEVALUE(SUBSTITUTE(TRIM(INDEX(입력_구리근무자명단!$A$1:$GZ$303,$A276,$G$2+3)),".","-")),"⚠"&amp;INDEX(입력_구리근무자명단!$A$1:$GZ$303,$A276,$G$2+3))))))</f>
        <v/>
      </c>
      <c r="H276" s="26">
        <f>IF($D276="","",IF(OR(NOT(ISNUMBER($F276)),NOT(ISNUMBER($G276))),0,MAX(0,MIN($G276,EOMONTH(출력_요약!$B$3,0))-MAX($F276,출력_요약!$B$3)+1)))</f>
        <v/>
      </c>
      <c r="I276" s="26">
        <f>IF($D276="","",TRIM(INDEX(입력_구리근무자명단!$A$1:$GZ$303,$A276,$G$2+5)&amp;""))</f>
        <v/>
      </c>
      <c r="J276" s="26">
        <f>IF($D276="","",IF(ISNUMBER(SEARCH("구리독자",$I276)),"구리독자",""))</f>
        <v/>
      </c>
      <c r="K276" s="29">
        <f>IF($D276="","",IF(COUNTIFS(입력_전공의명단!$C$2:$C$401,$D276,입력_전공의명단!$F$2:$F$401,IF(OR($C276="인턴",ISNUMBER(SEARCH("수련교육부",$B276))),"인턴",$B276))=1,MATCH($D276&amp;"|"&amp;IF(OR($C276="인턴",ISNUMBER(SEARCH("수련교육부",$B276))),"인턴",$B276),입력_전공의명단!$AP$2:$AP$401,0),IF(AND(COUNTIFS(입력_전공의명단!$C$2:$C$401,$D276,입력_전공의명단!$F$2:$F$401,IF(OR($C276="인턴",ISNUMBER(SEARCH("수련교육부",$B276))),"인턴",$B276))=0,COUNTIF(입력_전공의명단!$C$2:$C$401,$D276)=1),MATCH($D276,입력_전공의명단!$C$2:$C$401,0),"")))</f>
        <v/>
      </c>
      <c r="L276" s="26">
        <f>IF($D276="","",IF($K276&lt;&gt;"",IF(COUNTIFS(입력_전공의명단!$C$2:$C$401,$D276,입력_전공의명단!$F$2:$F$401,IF(OR($C276="인턴",ISNUMBER(SEARCH("수련교육부",$B276))),"인턴",$B276))=1,"명단 일치","명단 일치(이름만, 과 다름)"),IF(COUNTIF(입력_전공의명단!$C$2:$C$401,$D276)=0,IF(COUNTIF(입력_기본자료!$C$2:$C$1001,$D276)&gt;0,"명단에 없음(기본자료에는 있음)","명단에 없음"),"동명이인 확인")))</f>
        <v/>
      </c>
    </row>
    <row r="277">
      <c r="A277" s="29" t="n">
        <v>275</v>
      </c>
      <c r="B277" s="26">
        <f>IF(TRIM(INDEX(입력_구리근무자명단!$A$1:$GZ$303,$A277,1)&amp;"")&lt;&gt;"",TRIM(INDEX(입력_구리근무자명단!$A$1:$GZ$303,$A277,1)&amp;""),B276)</f>
        <v/>
      </c>
      <c r="C277" s="26">
        <f>IF(INDEX(입력_구리근무자명단!$A$1:$GZ$303,$A277,2)="","",INDEX(입력_구리근무자명단!$A$1:$GZ$303,$A277,2))</f>
        <v/>
      </c>
      <c r="D277" s="26">
        <f>IF($G$2="","",TRIM(IF($I$2="확정",INDEX(입력_구리근무자명단!$A$1:$GZ$303,$A277,$G$2+1)&amp;"",INDEX(입력_구리근무자명단!$A$1:$GZ$303,$A277,$G$2+0)&amp;"")))</f>
        <v/>
      </c>
      <c r="E277" s="26">
        <f>IF($D277="","",$I$2)</f>
        <v/>
      </c>
      <c r="F277" s="28">
        <f>IF($D277="","",IF(INDEX(입력_구리근무자명단!$A$1:$GZ$303,$A277,$G$2+2)="",출력_요약!$B$3,IF(ISNUMBER(INDEX(입력_구리근무자명단!$A$1:$GZ$303,$A277,$G$2+2)),INDEX(입력_구리근무자명단!$A$1:$GZ$303,$A277,$G$2+2),IFERROR(DATE(VALUE(LEFT(INDEX(입력_구리근무자명단!$A$1:$GZ$303,$A277,$G$2+2),4)),VALUE(MID(INDEX(입력_구리근무자명단!$A$1:$GZ$303,$A277,$G$2+2),6,2)),VALUE(MID(INDEX(입력_구리근무자명단!$A$1:$GZ$303,$A277,$G$2+2),9,2))),IFERROR(DATEVALUE(SUBSTITUTE(TRIM(INDEX(입력_구리근무자명단!$A$1:$GZ$303,$A277,$G$2+2)),".","-")),"⚠"&amp;INDEX(입력_구리근무자명단!$A$1:$GZ$303,$A277,$G$2+2))))))</f>
        <v/>
      </c>
      <c r="G277" s="28">
        <f>IF($D277="","",IF(INDEX(입력_구리근무자명단!$A$1:$GZ$303,$A277,$G$2+3)="",EOMONTH(출력_요약!$B$3,0),IF(ISNUMBER(INDEX(입력_구리근무자명단!$A$1:$GZ$303,$A277,$G$2+3)),INDEX(입력_구리근무자명단!$A$1:$GZ$303,$A277,$G$2+3),IFERROR(DATE(VALUE(LEFT(INDEX(입력_구리근무자명단!$A$1:$GZ$303,$A277,$G$2+3),4)),VALUE(MID(INDEX(입력_구리근무자명단!$A$1:$GZ$303,$A277,$G$2+3),6,2)),VALUE(MID(INDEX(입력_구리근무자명단!$A$1:$GZ$303,$A277,$G$2+3),9,2))),IFERROR(DATEVALUE(SUBSTITUTE(TRIM(INDEX(입력_구리근무자명단!$A$1:$GZ$303,$A277,$G$2+3)),".","-")),"⚠"&amp;INDEX(입력_구리근무자명단!$A$1:$GZ$303,$A277,$G$2+3))))))</f>
        <v/>
      </c>
      <c r="H277" s="26">
        <f>IF($D277="","",IF(OR(NOT(ISNUMBER($F277)),NOT(ISNUMBER($G277))),0,MAX(0,MIN($G277,EOMONTH(출력_요약!$B$3,0))-MAX($F277,출력_요약!$B$3)+1)))</f>
        <v/>
      </c>
      <c r="I277" s="26">
        <f>IF($D277="","",TRIM(INDEX(입력_구리근무자명단!$A$1:$GZ$303,$A277,$G$2+5)&amp;""))</f>
        <v/>
      </c>
      <c r="J277" s="26">
        <f>IF($D277="","",IF(ISNUMBER(SEARCH("구리독자",$I277)),"구리독자",""))</f>
        <v/>
      </c>
      <c r="K277" s="29">
        <f>IF($D277="","",IF(COUNTIFS(입력_전공의명단!$C$2:$C$401,$D277,입력_전공의명단!$F$2:$F$401,IF(OR($C277="인턴",ISNUMBER(SEARCH("수련교육부",$B277))),"인턴",$B277))=1,MATCH($D277&amp;"|"&amp;IF(OR($C277="인턴",ISNUMBER(SEARCH("수련교육부",$B277))),"인턴",$B277),입력_전공의명단!$AP$2:$AP$401,0),IF(AND(COUNTIFS(입력_전공의명단!$C$2:$C$401,$D277,입력_전공의명단!$F$2:$F$401,IF(OR($C277="인턴",ISNUMBER(SEARCH("수련교육부",$B277))),"인턴",$B277))=0,COUNTIF(입력_전공의명단!$C$2:$C$401,$D277)=1),MATCH($D277,입력_전공의명단!$C$2:$C$401,0),"")))</f>
        <v/>
      </c>
      <c r="L277" s="26">
        <f>IF($D277="","",IF($K277&lt;&gt;"",IF(COUNTIFS(입력_전공의명단!$C$2:$C$401,$D277,입력_전공의명단!$F$2:$F$401,IF(OR($C277="인턴",ISNUMBER(SEARCH("수련교육부",$B277))),"인턴",$B277))=1,"명단 일치","명단 일치(이름만, 과 다름)"),IF(COUNTIF(입력_전공의명단!$C$2:$C$401,$D277)=0,IF(COUNTIF(입력_기본자료!$C$2:$C$1001,$D277)&gt;0,"명단에 없음(기본자료에는 있음)","명단에 없음"),"동명이인 확인")))</f>
        <v/>
      </c>
    </row>
    <row r="278">
      <c r="A278" s="29" t="n">
        <v>276</v>
      </c>
      <c r="B278" s="26">
        <f>IF(TRIM(INDEX(입력_구리근무자명단!$A$1:$GZ$303,$A278,1)&amp;"")&lt;&gt;"",TRIM(INDEX(입력_구리근무자명단!$A$1:$GZ$303,$A278,1)&amp;""),B277)</f>
        <v/>
      </c>
      <c r="C278" s="26">
        <f>IF(INDEX(입력_구리근무자명단!$A$1:$GZ$303,$A278,2)="","",INDEX(입력_구리근무자명단!$A$1:$GZ$303,$A278,2))</f>
        <v/>
      </c>
      <c r="D278" s="26">
        <f>IF($G$2="","",TRIM(IF($I$2="확정",INDEX(입력_구리근무자명단!$A$1:$GZ$303,$A278,$G$2+1)&amp;"",INDEX(입력_구리근무자명단!$A$1:$GZ$303,$A278,$G$2+0)&amp;"")))</f>
        <v/>
      </c>
      <c r="E278" s="26">
        <f>IF($D278="","",$I$2)</f>
        <v/>
      </c>
      <c r="F278" s="28">
        <f>IF($D278="","",IF(INDEX(입력_구리근무자명단!$A$1:$GZ$303,$A278,$G$2+2)="",출력_요약!$B$3,IF(ISNUMBER(INDEX(입력_구리근무자명단!$A$1:$GZ$303,$A278,$G$2+2)),INDEX(입력_구리근무자명단!$A$1:$GZ$303,$A278,$G$2+2),IFERROR(DATE(VALUE(LEFT(INDEX(입력_구리근무자명단!$A$1:$GZ$303,$A278,$G$2+2),4)),VALUE(MID(INDEX(입력_구리근무자명단!$A$1:$GZ$303,$A278,$G$2+2),6,2)),VALUE(MID(INDEX(입력_구리근무자명단!$A$1:$GZ$303,$A278,$G$2+2),9,2))),IFERROR(DATEVALUE(SUBSTITUTE(TRIM(INDEX(입력_구리근무자명단!$A$1:$GZ$303,$A278,$G$2+2)),".","-")),"⚠"&amp;INDEX(입력_구리근무자명단!$A$1:$GZ$303,$A278,$G$2+2))))))</f>
        <v/>
      </c>
      <c r="G278" s="28">
        <f>IF($D278="","",IF(INDEX(입력_구리근무자명단!$A$1:$GZ$303,$A278,$G$2+3)="",EOMONTH(출력_요약!$B$3,0),IF(ISNUMBER(INDEX(입력_구리근무자명단!$A$1:$GZ$303,$A278,$G$2+3)),INDEX(입력_구리근무자명단!$A$1:$GZ$303,$A278,$G$2+3),IFERROR(DATE(VALUE(LEFT(INDEX(입력_구리근무자명단!$A$1:$GZ$303,$A278,$G$2+3),4)),VALUE(MID(INDEX(입력_구리근무자명단!$A$1:$GZ$303,$A278,$G$2+3),6,2)),VALUE(MID(INDEX(입력_구리근무자명단!$A$1:$GZ$303,$A278,$G$2+3),9,2))),IFERROR(DATEVALUE(SUBSTITUTE(TRIM(INDEX(입력_구리근무자명단!$A$1:$GZ$303,$A278,$G$2+3)),".","-")),"⚠"&amp;INDEX(입력_구리근무자명단!$A$1:$GZ$303,$A278,$G$2+3))))))</f>
        <v/>
      </c>
      <c r="H278" s="26">
        <f>IF($D278="","",IF(OR(NOT(ISNUMBER($F278)),NOT(ISNUMBER($G278))),0,MAX(0,MIN($G278,EOMONTH(출력_요약!$B$3,0))-MAX($F278,출력_요약!$B$3)+1)))</f>
        <v/>
      </c>
      <c r="I278" s="26">
        <f>IF($D278="","",TRIM(INDEX(입력_구리근무자명단!$A$1:$GZ$303,$A278,$G$2+5)&amp;""))</f>
        <v/>
      </c>
      <c r="J278" s="26">
        <f>IF($D278="","",IF(ISNUMBER(SEARCH("구리독자",$I278)),"구리독자",""))</f>
        <v/>
      </c>
      <c r="K278" s="29">
        <f>IF($D278="","",IF(COUNTIFS(입력_전공의명단!$C$2:$C$401,$D278,입력_전공의명단!$F$2:$F$401,IF(OR($C278="인턴",ISNUMBER(SEARCH("수련교육부",$B278))),"인턴",$B278))=1,MATCH($D278&amp;"|"&amp;IF(OR($C278="인턴",ISNUMBER(SEARCH("수련교육부",$B278))),"인턴",$B278),입력_전공의명단!$AP$2:$AP$401,0),IF(AND(COUNTIFS(입력_전공의명단!$C$2:$C$401,$D278,입력_전공의명단!$F$2:$F$401,IF(OR($C278="인턴",ISNUMBER(SEARCH("수련교육부",$B278))),"인턴",$B278))=0,COUNTIF(입력_전공의명단!$C$2:$C$401,$D278)=1),MATCH($D278,입력_전공의명단!$C$2:$C$401,0),"")))</f>
        <v/>
      </c>
      <c r="L278" s="26">
        <f>IF($D278="","",IF($K278&lt;&gt;"",IF(COUNTIFS(입력_전공의명단!$C$2:$C$401,$D278,입력_전공의명단!$F$2:$F$401,IF(OR($C278="인턴",ISNUMBER(SEARCH("수련교육부",$B278))),"인턴",$B278))=1,"명단 일치","명단 일치(이름만, 과 다름)"),IF(COUNTIF(입력_전공의명단!$C$2:$C$401,$D278)=0,IF(COUNTIF(입력_기본자료!$C$2:$C$1001,$D278)&gt;0,"명단에 없음(기본자료에는 있음)","명단에 없음"),"동명이인 확인")))</f>
        <v/>
      </c>
    </row>
    <row r="279">
      <c r="A279" s="29" t="n">
        <v>277</v>
      </c>
      <c r="B279" s="26">
        <f>IF(TRIM(INDEX(입력_구리근무자명단!$A$1:$GZ$303,$A279,1)&amp;"")&lt;&gt;"",TRIM(INDEX(입력_구리근무자명단!$A$1:$GZ$303,$A279,1)&amp;""),B278)</f>
        <v/>
      </c>
      <c r="C279" s="26">
        <f>IF(INDEX(입력_구리근무자명단!$A$1:$GZ$303,$A279,2)="","",INDEX(입력_구리근무자명단!$A$1:$GZ$303,$A279,2))</f>
        <v/>
      </c>
      <c r="D279" s="26">
        <f>IF($G$2="","",TRIM(IF($I$2="확정",INDEX(입력_구리근무자명단!$A$1:$GZ$303,$A279,$G$2+1)&amp;"",INDEX(입력_구리근무자명단!$A$1:$GZ$303,$A279,$G$2+0)&amp;"")))</f>
        <v/>
      </c>
      <c r="E279" s="26">
        <f>IF($D279="","",$I$2)</f>
        <v/>
      </c>
      <c r="F279" s="28">
        <f>IF($D279="","",IF(INDEX(입력_구리근무자명단!$A$1:$GZ$303,$A279,$G$2+2)="",출력_요약!$B$3,IF(ISNUMBER(INDEX(입력_구리근무자명단!$A$1:$GZ$303,$A279,$G$2+2)),INDEX(입력_구리근무자명단!$A$1:$GZ$303,$A279,$G$2+2),IFERROR(DATE(VALUE(LEFT(INDEX(입력_구리근무자명단!$A$1:$GZ$303,$A279,$G$2+2),4)),VALUE(MID(INDEX(입력_구리근무자명단!$A$1:$GZ$303,$A279,$G$2+2),6,2)),VALUE(MID(INDEX(입력_구리근무자명단!$A$1:$GZ$303,$A279,$G$2+2),9,2))),IFERROR(DATEVALUE(SUBSTITUTE(TRIM(INDEX(입력_구리근무자명단!$A$1:$GZ$303,$A279,$G$2+2)),".","-")),"⚠"&amp;INDEX(입력_구리근무자명단!$A$1:$GZ$303,$A279,$G$2+2))))))</f>
        <v/>
      </c>
      <c r="G279" s="28">
        <f>IF($D279="","",IF(INDEX(입력_구리근무자명단!$A$1:$GZ$303,$A279,$G$2+3)="",EOMONTH(출력_요약!$B$3,0),IF(ISNUMBER(INDEX(입력_구리근무자명단!$A$1:$GZ$303,$A279,$G$2+3)),INDEX(입력_구리근무자명단!$A$1:$GZ$303,$A279,$G$2+3),IFERROR(DATE(VALUE(LEFT(INDEX(입력_구리근무자명단!$A$1:$GZ$303,$A279,$G$2+3),4)),VALUE(MID(INDEX(입력_구리근무자명단!$A$1:$GZ$303,$A279,$G$2+3),6,2)),VALUE(MID(INDEX(입력_구리근무자명단!$A$1:$GZ$303,$A279,$G$2+3),9,2))),IFERROR(DATEVALUE(SUBSTITUTE(TRIM(INDEX(입력_구리근무자명단!$A$1:$GZ$303,$A279,$G$2+3)),".","-")),"⚠"&amp;INDEX(입력_구리근무자명단!$A$1:$GZ$303,$A279,$G$2+3))))))</f>
        <v/>
      </c>
      <c r="H279" s="26">
        <f>IF($D279="","",IF(OR(NOT(ISNUMBER($F279)),NOT(ISNUMBER($G279))),0,MAX(0,MIN($G279,EOMONTH(출력_요약!$B$3,0))-MAX($F279,출력_요약!$B$3)+1)))</f>
        <v/>
      </c>
      <c r="I279" s="26">
        <f>IF($D279="","",TRIM(INDEX(입력_구리근무자명단!$A$1:$GZ$303,$A279,$G$2+5)&amp;""))</f>
        <v/>
      </c>
      <c r="J279" s="26">
        <f>IF($D279="","",IF(ISNUMBER(SEARCH("구리독자",$I279)),"구리독자",""))</f>
        <v/>
      </c>
      <c r="K279" s="29">
        <f>IF($D279="","",IF(COUNTIFS(입력_전공의명단!$C$2:$C$401,$D279,입력_전공의명단!$F$2:$F$401,IF(OR($C279="인턴",ISNUMBER(SEARCH("수련교육부",$B279))),"인턴",$B279))=1,MATCH($D279&amp;"|"&amp;IF(OR($C279="인턴",ISNUMBER(SEARCH("수련교육부",$B279))),"인턴",$B279),입력_전공의명단!$AP$2:$AP$401,0),IF(AND(COUNTIFS(입력_전공의명단!$C$2:$C$401,$D279,입력_전공의명단!$F$2:$F$401,IF(OR($C279="인턴",ISNUMBER(SEARCH("수련교육부",$B279))),"인턴",$B279))=0,COUNTIF(입력_전공의명단!$C$2:$C$401,$D279)=1),MATCH($D279,입력_전공의명단!$C$2:$C$401,0),"")))</f>
        <v/>
      </c>
      <c r="L279" s="26">
        <f>IF($D279="","",IF($K279&lt;&gt;"",IF(COUNTIFS(입력_전공의명단!$C$2:$C$401,$D279,입력_전공의명단!$F$2:$F$401,IF(OR($C279="인턴",ISNUMBER(SEARCH("수련교육부",$B279))),"인턴",$B279))=1,"명단 일치","명단 일치(이름만, 과 다름)"),IF(COUNTIF(입력_전공의명단!$C$2:$C$401,$D279)=0,IF(COUNTIF(입력_기본자료!$C$2:$C$1001,$D279)&gt;0,"명단에 없음(기본자료에는 있음)","명단에 없음"),"동명이인 확인")))</f>
        <v/>
      </c>
    </row>
    <row r="280">
      <c r="A280" s="29" t="n">
        <v>278</v>
      </c>
      <c r="B280" s="26">
        <f>IF(TRIM(INDEX(입력_구리근무자명단!$A$1:$GZ$303,$A280,1)&amp;"")&lt;&gt;"",TRIM(INDEX(입력_구리근무자명단!$A$1:$GZ$303,$A280,1)&amp;""),B279)</f>
        <v/>
      </c>
      <c r="C280" s="26">
        <f>IF(INDEX(입력_구리근무자명단!$A$1:$GZ$303,$A280,2)="","",INDEX(입력_구리근무자명단!$A$1:$GZ$303,$A280,2))</f>
        <v/>
      </c>
      <c r="D280" s="26">
        <f>IF($G$2="","",TRIM(IF($I$2="확정",INDEX(입력_구리근무자명단!$A$1:$GZ$303,$A280,$G$2+1)&amp;"",INDEX(입력_구리근무자명단!$A$1:$GZ$303,$A280,$G$2+0)&amp;"")))</f>
        <v/>
      </c>
      <c r="E280" s="26">
        <f>IF($D280="","",$I$2)</f>
        <v/>
      </c>
      <c r="F280" s="28">
        <f>IF($D280="","",IF(INDEX(입력_구리근무자명단!$A$1:$GZ$303,$A280,$G$2+2)="",출력_요약!$B$3,IF(ISNUMBER(INDEX(입력_구리근무자명단!$A$1:$GZ$303,$A280,$G$2+2)),INDEX(입력_구리근무자명단!$A$1:$GZ$303,$A280,$G$2+2),IFERROR(DATE(VALUE(LEFT(INDEX(입력_구리근무자명단!$A$1:$GZ$303,$A280,$G$2+2),4)),VALUE(MID(INDEX(입력_구리근무자명단!$A$1:$GZ$303,$A280,$G$2+2),6,2)),VALUE(MID(INDEX(입력_구리근무자명단!$A$1:$GZ$303,$A280,$G$2+2),9,2))),IFERROR(DATEVALUE(SUBSTITUTE(TRIM(INDEX(입력_구리근무자명단!$A$1:$GZ$303,$A280,$G$2+2)),".","-")),"⚠"&amp;INDEX(입력_구리근무자명단!$A$1:$GZ$303,$A280,$G$2+2))))))</f>
        <v/>
      </c>
      <c r="G280" s="28">
        <f>IF($D280="","",IF(INDEX(입력_구리근무자명단!$A$1:$GZ$303,$A280,$G$2+3)="",EOMONTH(출력_요약!$B$3,0),IF(ISNUMBER(INDEX(입력_구리근무자명단!$A$1:$GZ$303,$A280,$G$2+3)),INDEX(입력_구리근무자명단!$A$1:$GZ$303,$A280,$G$2+3),IFERROR(DATE(VALUE(LEFT(INDEX(입력_구리근무자명단!$A$1:$GZ$303,$A280,$G$2+3),4)),VALUE(MID(INDEX(입력_구리근무자명단!$A$1:$GZ$303,$A280,$G$2+3),6,2)),VALUE(MID(INDEX(입력_구리근무자명단!$A$1:$GZ$303,$A280,$G$2+3),9,2))),IFERROR(DATEVALUE(SUBSTITUTE(TRIM(INDEX(입력_구리근무자명단!$A$1:$GZ$303,$A280,$G$2+3)),".","-")),"⚠"&amp;INDEX(입력_구리근무자명단!$A$1:$GZ$303,$A280,$G$2+3))))))</f>
        <v/>
      </c>
      <c r="H280" s="26">
        <f>IF($D280="","",IF(OR(NOT(ISNUMBER($F280)),NOT(ISNUMBER($G280))),0,MAX(0,MIN($G280,EOMONTH(출력_요약!$B$3,0))-MAX($F280,출력_요약!$B$3)+1)))</f>
        <v/>
      </c>
      <c r="I280" s="26">
        <f>IF($D280="","",TRIM(INDEX(입력_구리근무자명단!$A$1:$GZ$303,$A280,$G$2+5)&amp;""))</f>
        <v/>
      </c>
      <c r="J280" s="26">
        <f>IF($D280="","",IF(ISNUMBER(SEARCH("구리독자",$I280)),"구리독자",""))</f>
        <v/>
      </c>
      <c r="K280" s="29">
        <f>IF($D280="","",IF(COUNTIFS(입력_전공의명단!$C$2:$C$401,$D280,입력_전공의명단!$F$2:$F$401,IF(OR($C280="인턴",ISNUMBER(SEARCH("수련교육부",$B280))),"인턴",$B280))=1,MATCH($D280&amp;"|"&amp;IF(OR($C280="인턴",ISNUMBER(SEARCH("수련교육부",$B280))),"인턴",$B280),입력_전공의명단!$AP$2:$AP$401,0),IF(AND(COUNTIFS(입력_전공의명단!$C$2:$C$401,$D280,입력_전공의명단!$F$2:$F$401,IF(OR($C280="인턴",ISNUMBER(SEARCH("수련교육부",$B280))),"인턴",$B280))=0,COUNTIF(입력_전공의명단!$C$2:$C$401,$D280)=1),MATCH($D280,입력_전공의명단!$C$2:$C$401,0),"")))</f>
        <v/>
      </c>
      <c r="L280" s="26">
        <f>IF($D280="","",IF($K280&lt;&gt;"",IF(COUNTIFS(입력_전공의명단!$C$2:$C$401,$D280,입력_전공의명단!$F$2:$F$401,IF(OR($C280="인턴",ISNUMBER(SEARCH("수련교육부",$B280))),"인턴",$B280))=1,"명단 일치","명단 일치(이름만, 과 다름)"),IF(COUNTIF(입력_전공의명단!$C$2:$C$401,$D280)=0,IF(COUNTIF(입력_기본자료!$C$2:$C$1001,$D280)&gt;0,"명단에 없음(기본자료에는 있음)","명단에 없음"),"동명이인 확인")))</f>
        <v/>
      </c>
    </row>
    <row r="281">
      <c r="A281" s="29" t="n">
        <v>279</v>
      </c>
      <c r="B281" s="26">
        <f>IF(TRIM(INDEX(입력_구리근무자명단!$A$1:$GZ$303,$A281,1)&amp;"")&lt;&gt;"",TRIM(INDEX(입력_구리근무자명단!$A$1:$GZ$303,$A281,1)&amp;""),B280)</f>
        <v/>
      </c>
      <c r="C281" s="26">
        <f>IF(INDEX(입력_구리근무자명단!$A$1:$GZ$303,$A281,2)="","",INDEX(입력_구리근무자명단!$A$1:$GZ$303,$A281,2))</f>
        <v/>
      </c>
      <c r="D281" s="26">
        <f>IF($G$2="","",TRIM(IF($I$2="확정",INDEX(입력_구리근무자명단!$A$1:$GZ$303,$A281,$G$2+1)&amp;"",INDEX(입력_구리근무자명단!$A$1:$GZ$303,$A281,$G$2+0)&amp;"")))</f>
        <v/>
      </c>
      <c r="E281" s="26">
        <f>IF($D281="","",$I$2)</f>
        <v/>
      </c>
      <c r="F281" s="28">
        <f>IF($D281="","",IF(INDEX(입력_구리근무자명단!$A$1:$GZ$303,$A281,$G$2+2)="",출력_요약!$B$3,IF(ISNUMBER(INDEX(입력_구리근무자명단!$A$1:$GZ$303,$A281,$G$2+2)),INDEX(입력_구리근무자명단!$A$1:$GZ$303,$A281,$G$2+2),IFERROR(DATE(VALUE(LEFT(INDEX(입력_구리근무자명단!$A$1:$GZ$303,$A281,$G$2+2),4)),VALUE(MID(INDEX(입력_구리근무자명단!$A$1:$GZ$303,$A281,$G$2+2),6,2)),VALUE(MID(INDEX(입력_구리근무자명단!$A$1:$GZ$303,$A281,$G$2+2),9,2))),IFERROR(DATEVALUE(SUBSTITUTE(TRIM(INDEX(입력_구리근무자명단!$A$1:$GZ$303,$A281,$G$2+2)),".","-")),"⚠"&amp;INDEX(입력_구리근무자명단!$A$1:$GZ$303,$A281,$G$2+2))))))</f>
        <v/>
      </c>
      <c r="G281" s="28">
        <f>IF($D281="","",IF(INDEX(입력_구리근무자명단!$A$1:$GZ$303,$A281,$G$2+3)="",EOMONTH(출력_요약!$B$3,0),IF(ISNUMBER(INDEX(입력_구리근무자명단!$A$1:$GZ$303,$A281,$G$2+3)),INDEX(입력_구리근무자명단!$A$1:$GZ$303,$A281,$G$2+3),IFERROR(DATE(VALUE(LEFT(INDEX(입력_구리근무자명단!$A$1:$GZ$303,$A281,$G$2+3),4)),VALUE(MID(INDEX(입력_구리근무자명단!$A$1:$GZ$303,$A281,$G$2+3),6,2)),VALUE(MID(INDEX(입력_구리근무자명단!$A$1:$GZ$303,$A281,$G$2+3),9,2))),IFERROR(DATEVALUE(SUBSTITUTE(TRIM(INDEX(입력_구리근무자명단!$A$1:$GZ$303,$A281,$G$2+3)),".","-")),"⚠"&amp;INDEX(입력_구리근무자명단!$A$1:$GZ$303,$A281,$G$2+3))))))</f>
        <v/>
      </c>
      <c r="H281" s="26">
        <f>IF($D281="","",IF(OR(NOT(ISNUMBER($F281)),NOT(ISNUMBER($G281))),0,MAX(0,MIN($G281,EOMONTH(출력_요약!$B$3,0))-MAX($F281,출력_요약!$B$3)+1)))</f>
        <v/>
      </c>
      <c r="I281" s="26">
        <f>IF($D281="","",TRIM(INDEX(입력_구리근무자명단!$A$1:$GZ$303,$A281,$G$2+5)&amp;""))</f>
        <v/>
      </c>
      <c r="J281" s="26">
        <f>IF($D281="","",IF(ISNUMBER(SEARCH("구리독자",$I281)),"구리독자",""))</f>
        <v/>
      </c>
      <c r="K281" s="29">
        <f>IF($D281="","",IF(COUNTIFS(입력_전공의명단!$C$2:$C$401,$D281,입력_전공의명단!$F$2:$F$401,IF(OR($C281="인턴",ISNUMBER(SEARCH("수련교육부",$B281))),"인턴",$B281))=1,MATCH($D281&amp;"|"&amp;IF(OR($C281="인턴",ISNUMBER(SEARCH("수련교육부",$B281))),"인턴",$B281),입력_전공의명단!$AP$2:$AP$401,0),IF(AND(COUNTIFS(입력_전공의명단!$C$2:$C$401,$D281,입력_전공의명단!$F$2:$F$401,IF(OR($C281="인턴",ISNUMBER(SEARCH("수련교육부",$B281))),"인턴",$B281))=0,COUNTIF(입력_전공의명단!$C$2:$C$401,$D281)=1),MATCH($D281,입력_전공의명단!$C$2:$C$401,0),"")))</f>
        <v/>
      </c>
      <c r="L281" s="26">
        <f>IF($D281="","",IF($K281&lt;&gt;"",IF(COUNTIFS(입력_전공의명단!$C$2:$C$401,$D281,입력_전공의명단!$F$2:$F$401,IF(OR($C281="인턴",ISNUMBER(SEARCH("수련교육부",$B281))),"인턴",$B281))=1,"명단 일치","명단 일치(이름만, 과 다름)"),IF(COUNTIF(입력_전공의명단!$C$2:$C$401,$D281)=0,IF(COUNTIF(입력_기본자료!$C$2:$C$1001,$D281)&gt;0,"명단에 없음(기본자료에는 있음)","명단에 없음"),"동명이인 확인")))</f>
        <v/>
      </c>
    </row>
    <row r="282">
      <c r="A282" s="29" t="n">
        <v>280</v>
      </c>
      <c r="B282" s="26">
        <f>IF(TRIM(INDEX(입력_구리근무자명단!$A$1:$GZ$303,$A282,1)&amp;"")&lt;&gt;"",TRIM(INDEX(입력_구리근무자명단!$A$1:$GZ$303,$A282,1)&amp;""),B281)</f>
        <v/>
      </c>
      <c r="C282" s="26">
        <f>IF(INDEX(입력_구리근무자명단!$A$1:$GZ$303,$A282,2)="","",INDEX(입력_구리근무자명단!$A$1:$GZ$303,$A282,2))</f>
        <v/>
      </c>
      <c r="D282" s="26">
        <f>IF($G$2="","",TRIM(IF($I$2="확정",INDEX(입력_구리근무자명단!$A$1:$GZ$303,$A282,$G$2+1)&amp;"",INDEX(입력_구리근무자명단!$A$1:$GZ$303,$A282,$G$2+0)&amp;"")))</f>
        <v/>
      </c>
      <c r="E282" s="26">
        <f>IF($D282="","",$I$2)</f>
        <v/>
      </c>
      <c r="F282" s="28">
        <f>IF($D282="","",IF(INDEX(입력_구리근무자명단!$A$1:$GZ$303,$A282,$G$2+2)="",출력_요약!$B$3,IF(ISNUMBER(INDEX(입력_구리근무자명단!$A$1:$GZ$303,$A282,$G$2+2)),INDEX(입력_구리근무자명단!$A$1:$GZ$303,$A282,$G$2+2),IFERROR(DATE(VALUE(LEFT(INDEX(입력_구리근무자명단!$A$1:$GZ$303,$A282,$G$2+2),4)),VALUE(MID(INDEX(입력_구리근무자명단!$A$1:$GZ$303,$A282,$G$2+2),6,2)),VALUE(MID(INDEX(입력_구리근무자명단!$A$1:$GZ$303,$A282,$G$2+2),9,2))),IFERROR(DATEVALUE(SUBSTITUTE(TRIM(INDEX(입력_구리근무자명단!$A$1:$GZ$303,$A282,$G$2+2)),".","-")),"⚠"&amp;INDEX(입력_구리근무자명단!$A$1:$GZ$303,$A282,$G$2+2))))))</f>
        <v/>
      </c>
      <c r="G282" s="28">
        <f>IF($D282="","",IF(INDEX(입력_구리근무자명단!$A$1:$GZ$303,$A282,$G$2+3)="",EOMONTH(출력_요약!$B$3,0),IF(ISNUMBER(INDEX(입력_구리근무자명단!$A$1:$GZ$303,$A282,$G$2+3)),INDEX(입력_구리근무자명단!$A$1:$GZ$303,$A282,$G$2+3),IFERROR(DATE(VALUE(LEFT(INDEX(입력_구리근무자명단!$A$1:$GZ$303,$A282,$G$2+3),4)),VALUE(MID(INDEX(입력_구리근무자명단!$A$1:$GZ$303,$A282,$G$2+3),6,2)),VALUE(MID(INDEX(입력_구리근무자명단!$A$1:$GZ$303,$A282,$G$2+3),9,2))),IFERROR(DATEVALUE(SUBSTITUTE(TRIM(INDEX(입력_구리근무자명단!$A$1:$GZ$303,$A282,$G$2+3)),".","-")),"⚠"&amp;INDEX(입력_구리근무자명단!$A$1:$GZ$303,$A282,$G$2+3))))))</f>
        <v/>
      </c>
      <c r="H282" s="26">
        <f>IF($D282="","",IF(OR(NOT(ISNUMBER($F282)),NOT(ISNUMBER($G282))),0,MAX(0,MIN($G282,EOMONTH(출력_요약!$B$3,0))-MAX($F282,출력_요약!$B$3)+1)))</f>
        <v/>
      </c>
      <c r="I282" s="26">
        <f>IF($D282="","",TRIM(INDEX(입력_구리근무자명단!$A$1:$GZ$303,$A282,$G$2+5)&amp;""))</f>
        <v/>
      </c>
      <c r="J282" s="26">
        <f>IF($D282="","",IF(ISNUMBER(SEARCH("구리독자",$I282)),"구리독자",""))</f>
        <v/>
      </c>
      <c r="K282" s="29">
        <f>IF($D282="","",IF(COUNTIFS(입력_전공의명단!$C$2:$C$401,$D282,입력_전공의명단!$F$2:$F$401,IF(OR($C282="인턴",ISNUMBER(SEARCH("수련교육부",$B282))),"인턴",$B282))=1,MATCH($D282&amp;"|"&amp;IF(OR($C282="인턴",ISNUMBER(SEARCH("수련교육부",$B282))),"인턴",$B282),입력_전공의명단!$AP$2:$AP$401,0),IF(AND(COUNTIFS(입력_전공의명단!$C$2:$C$401,$D282,입력_전공의명단!$F$2:$F$401,IF(OR($C282="인턴",ISNUMBER(SEARCH("수련교육부",$B282))),"인턴",$B282))=0,COUNTIF(입력_전공의명단!$C$2:$C$401,$D282)=1),MATCH($D282,입력_전공의명단!$C$2:$C$401,0),"")))</f>
        <v/>
      </c>
      <c r="L282" s="26">
        <f>IF($D282="","",IF($K282&lt;&gt;"",IF(COUNTIFS(입력_전공의명단!$C$2:$C$401,$D282,입력_전공의명단!$F$2:$F$401,IF(OR($C282="인턴",ISNUMBER(SEARCH("수련교육부",$B282))),"인턴",$B282))=1,"명단 일치","명단 일치(이름만, 과 다름)"),IF(COUNTIF(입력_전공의명단!$C$2:$C$401,$D282)=0,IF(COUNTIF(입력_기본자료!$C$2:$C$1001,$D282)&gt;0,"명단에 없음(기본자료에는 있음)","명단에 없음"),"동명이인 확인")))</f>
        <v/>
      </c>
    </row>
    <row r="283">
      <c r="A283" s="29" t="n">
        <v>281</v>
      </c>
      <c r="B283" s="26">
        <f>IF(TRIM(INDEX(입력_구리근무자명단!$A$1:$GZ$303,$A283,1)&amp;"")&lt;&gt;"",TRIM(INDEX(입력_구리근무자명단!$A$1:$GZ$303,$A283,1)&amp;""),B282)</f>
        <v/>
      </c>
      <c r="C283" s="26">
        <f>IF(INDEX(입력_구리근무자명단!$A$1:$GZ$303,$A283,2)="","",INDEX(입력_구리근무자명단!$A$1:$GZ$303,$A283,2))</f>
        <v/>
      </c>
      <c r="D283" s="26">
        <f>IF($G$2="","",TRIM(IF($I$2="확정",INDEX(입력_구리근무자명단!$A$1:$GZ$303,$A283,$G$2+1)&amp;"",INDEX(입력_구리근무자명단!$A$1:$GZ$303,$A283,$G$2+0)&amp;"")))</f>
        <v/>
      </c>
      <c r="E283" s="26">
        <f>IF($D283="","",$I$2)</f>
        <v/>
      </c>
      <c r="F283" s="28">
        <f>IF($D283="","",IF(INDEX(입력_구리근무자명단!$A$1:$GZ$303,$A283,$G$2+2)="",출력_요약!$B$3,IF(ISNUMBER(INDEX(입력_구리근무자명단!$A$1:$GZ$303,$A283,$G$2+2)),INDEX(입력_구리근무자명단!$A$1:$GZ$303,$A283,$G$2+2),IFERROR(DATE(VALUE(LEFT(INDEX(입력_구리근무자명단!$A$1:$GZ$303,$A283,$G$2+2),4)),VALUE(MID(INDEX(입력_구리근무자명단!$A$1:$GZ$303,$A283,$G$2+2),6,2)),VALUE(MID(INDEX(입력_구리근무자명단!$A$1:$GZ$303,$A283,$G$2+2),9,2))),IFERROR(DATEVALUE(SUBSTITUTE(TRIM(INDEX(입력_구리근무자명단!$A$1:$GZ$303,$A283,$G$2+2)),".","-")),"⚠"&amp;INDEX(입력_구리근무자명단!$A$1:$GZ$303,$A283,$G$2+2))))))</f>
        <v/>
      </c>
      <c r="G283" s="28">
        <f>IF($D283="","",IF(INDEX(입력_구리근무자명단!$A$1:$GZ$303,$A283,$G$2+3)="",EOMONTH(출력_요약!$B$3,0),IF(ISNUMBER(INDEX(입력_구리근무자명단!$A$1:$GZ$303,$A283,$G$2+3)),INDEX(입력_구리근무자명단!$A$1:$GZ$303,$A283,$G$2+3),IFERROR(DATE(VALUE(LEFT(INDEX(입력_구리근무자명단!$A$1:$GZ$303,$A283,$G$2+3),4)),VALUE(MID(INDEX(입력_구리근무자명단!$A$1:$GZ$303,$A283,$G$2+3),6,2)),VALUE(MID(INDEX(입력_구리근무자명단!$A$1:$GZ$303,$A283,$G$2+3),9,2))),IFERROR(DATEVALUE(SUBSTITUTE(TRIM(INDEX(입력_구리근무자명단!$A$1:$GZ$303,$A283,$G$2+3)),".","-")),"⚠"&amp;INDEX(입력_구리근무자명단!$A$1:$GZ$303,$A283,$G$2+3))))))</f>
        <v/>
      </c>
      <c r="H283" s="26">
        <f>IF($D283="","",IF(OR(NOT(ISNUMBER($F283)),NOT(ISNUMBER($G283))),0,MAX(0,MIN($G283,EOMONTH(출력_요약!$B$3,0))-MAX($F283,출력_요약!$B$3)+1)))</f>
        <v/>
      </c>
      <c r="I283" s="26">
        <f>IF($D283="","",TRIM(INDEX(입력_구리근무자명단!$A$1:$GZ$303,$A283,$G$2+5)&amp;""))</f>
        <v/>
      </c>
      <c r="J283" s="26">
        <f>IF($D283="","",IF(ISNUMBER(SEARCH("구리독자",$I283)),"구리독자",""))</f>
        <v/>
      </c>
      <c r="K283" s="29">
        <f>IF($D283="","",IF(COUNTIFS(입력_전공의명단!$C$2:$C$401,$D283,입력_전공의명단!$F$2:$F$401,IF(OR($C283="인턴",ISNUMBER(SEARCH("수련교육부",$B283))),"인턴",$B283))=1,MATCH($D283&amp;"|"&amp;IF(OR($C283="인턴",ISNUMBER(SEARCH("수련교육부",$B283))),"인턴",$B283),입력_전공의명단!$AP$2:$AP$401,0),IF(AND(COUNTIFS(입력_전공의명단!$C$2:$C$401,$D283,입력_전공의명단!$F$2:$F$401,IF(OR($C283="인턴",ISNUMBER(SEARCH("수련교육부",$B283))),"인턴",$B283))=0,COUNTIF(입력_전공의명단!$C$2:$C$401,$D283)=1),MATCH($D283,입력_전공의명단!$C$2:$C$401,0),"")))</f>
        <v/>
      </c>
      <c r="L283" s="26">
        <f>IF($D283="","",IF($K283&lt;&gt;"",IF(COUNTIFS(입력_전공의명단!$C$2:$C$401,$D283,입력_전공의명단!$F$2:$F$401,IF(OR($C283="인턴",ISNUMBER(SEARCH("수련교육부",$B283))),"인턴",$B283))=1,"명단 일치","명단 일치(이름만, 과 다름)"),IF(COUNTIF(입력_전공의명단!$C$2:$C$401,$D283)=0,IF(COUNTIF(입력_기본자료!$C$2:$C$1001,$D283)&gt;0,"명단에 없음(기본자료에는 있음)","명단에 없음"),"동명이인 확인")))</f>
        <v/>
      </c>
    </row>
    <row r="284">
      <c r="A284" s="29" t="n">
        <v>282</v>
      </c>
      <c r="B284" s="26">
        <f>IF(TRIM(INDEX(입력_구리근무자명단!$A$1:$GZ$303,$A284,1)&amp;"")&lt;&gt;"",TRIM(INDEX(입력_구리근무자명단!$A$1:$GZ$303,$A284,1)&amp;""),B283)</f>
        <v/>
      </c>
      <c r="C284" s="26">
        <f>IF(INDEX(입력_구리근무자명단!$A$1:$GZ$303,$A284,2)="","",INDEX(입력_구리근무자명단!$A$1:$GZ$303,$A284,2))</f>
        <v/>
      </c>
      <c r="D284" s="26">
        <f>IF($G$2="","",TRIM(IF($I$2="확정",INDEX(입력_구리근무자명단!$A$1:$GZ$303,$A284,$G$2+1)&amp;"",INDEX(입력_구리근무자명단!$A$1:$GZ$303,$A284,$G$2+0)&amp;"")))</f>
        <v/>
      </c>
      <c r="E284" s="26">
        <f>IF($D284="","",$I$2)</f>
        <v/>
      </c>
      <c r="F284" s="28">
        <f>IF($D284="","",IF(INDEX(입력_구리근무자명단!$A$1:$GZ$303,$A284,$G$2+2)="",출력_요약!$B$3,IF(ISNUMBER(INDEX(입력_구리근무자명단!$A$1:$GZ$303,$A284,$G$2+2)),INDEX(입력_구리근무자명단!$A$1:$GZ$303,$A284,$G$2+2),IFERROR(DATE(VALUE(LEFT(INDEX(입력_구리근무자명단!$A$1:$GZ$303,$A284,$G$2+2),4)),VALUE(MID(INDEX(입력_구리근무자명단!$A$1:$GZ$303,$A284,$G$2+2),6,2)),VALUE(MID(INDEX(입력_구리근무자명단!$A$1:$GZ$303,$A284,$G$2+2),9,2))),IFERROR(DATEVALUE(SUBSTITUTE(TRIM(INDEX(입력_구리근무자명단!$A$1:$GZ$303,$A284,$G$2+2)),".","-")),"⚠"&amp;INDEX(입력_구리근무자명단!$A$1:$GZ$303,$A284,$G$2+2))))))</f>
        <v/>
      </c>
      <c r="G284" s="28">
        <f>IF($D284="","",IF(INDEX(입력_구리근무자명단!$A$1:$GZ$303,$A284,$G$2+3)="",EOMONTH(출력_요약!$B$3,0),IF(ISNUMBER(INDEX(입력_구리근무자명단!$A$1:$GZ$303,$A284,$G$2+3)),INDEX(입력_구리근무자명단!$A$1:$GZ$303,$A284,$G$2+3),IFERROR(DATE(VALUE(LEFT(INDEX(입력_구리근무자명단!$A$1:$GZ$303,$A284,$G$2+3),4)),VALUE(MID(INDEX(입력_구리근무자명단!$A$1:$GZ$303,$A284,$G$2+3),6,2)),VALUE(MID(INDEX(입력_구리근무자명단!$A$1:$GZ$303,$A284,$G$2+3),9,2))),IFERROR(DATEVALUE(SUBSTITUTE(TRIM(INDEX(입력_구리근무자명단!$A$1:$GZ$303,$A284,$G$2+3)),".","-")),"⚠"&amp;INDEX(입력_구리근무자명단!$A$1:$GZ$303,$A284,$G$2+3))))))</f>
        <v/>
      </c>
      <c r="H284" s="26">
        <f>IF($D284="","",IF(OR(NOT(ISNUMBER($F284)),NOT(ISNUMBER($G284))),0,MAX(0,MIN($G284,EOMONTH(출력_요약!$B$3,0))-MAX($F284,출력_요약!$B$3)+1)))</f>
        <v/>
      </c>
      <c r="I284" s="26">
        <f>IF($D284="","",TRIM(INDEX(입력_구리근무자명단!$A$1:$GZ$303,$A284,$G$2+5)&amp;""))</f>
        <v/>
      </c>
      <c r="J284" s="26">
        <f>IF($D284="","",IF(ISNUMBER(SEARCH("구리독자",$I284)),"구리독자",""))</f>
        <v/>
      </c>
      <c r="K284" s="29">
        <f>IF($D284="","",IF(COUNTIFS(입력_전공의명단!$C$2:$C$401,$D284,입력_전공의명단!$F$2:$F$401,IF(OR($C284="인턴",ISNUMBER(SEARCH("수련교육부",$B284))),"인턴",$B284))=1,MATCH($D284&amp;"|"&amp;IF(OR($C284="인턴",ISNUMBER(SEARCH("수련교육부",$B284))),"인턴",$B284),입력_전공의명단!$AP$2:$AP$401,0),IF(AND(COUNTIFS(입력_전공의명단!$C$2:$C$401,$D284,입력_전공의명단!$F$2:$F$401,IF(OR($C284="인턴",ISNUMBER(SEARCH("수련교육부",$B284))),"인턴",$B284))=0,COUNTIF(입력_전공의명단!$C$2:$C$401,$D284)=1),MATCH($D284,입력_전공의명단!$C$2:$C$401,0),"")))</f>
        <v/>
      </c>
      <c r="L284" s="26">
        <f>IF($D284="","",IF($K284&lt;&gt;"",IF(COUNTIFS(입력_전공의명단!$C$2:$C$401,$D284,입력_전공의명단!$F$2:$F$401,IF(OR($C284="인턴",ISNUMBER(SEARCH("수련교육부",$B284))),"인턴",$B284))=1,"명단 일치","명단 일치(이름만, 과 다름)"),IF(COUNTIF(입력_전공의명단!$C$2:$C$401,$D284)=0,IF(COUNTIF(입력_기본자료!$C$2:$C$1001,$D284)&gt;0,"명단에 없음(기본자료에는 있음)","명단에 없음"),"동명이인 확인")))</f>
        <v/>
      </c>
    </row>
    <row r="285">
      <c r="A285" s="29" t="n">
        <v>283</v>
      </c>
      <c r="B285" s="26">
        <f>IF(TRIM(INDEX(입력_구리근무자명단!$A$1:$GZ$303,$A285,1)&amp;"")&lt;&gt;"",TRIM(INDEX(입력_구리근무자명단!$A$1:$GZ$303,$A285,1)&amp;""),B284)</f>
        <v/>
      </c>
      <c r="C285" s="26">
        <f>IF(INDEX(입력_구리근무자명단!$A$1:$GZ$303,$A285,2)="","",INDEX(입력_구리근무자명단!$A$1:$GZ$303,$A285,2))</f>
        <v/>
      </c>
      <c r="D285" s="26">
        <f>IF($G$2="","",TRIM(IF($I$2="확정",INDEX(입력_구리근무자명단!$A$1:$GZ$303,$A285,$G$2+1)&amp;"",INDEX(입력_구리근무자명단!$A$1:$GZ$303,$A285,$G$2+0)&amp;"")))</f>
        <v/>
      </c>
      <c r="E285" s="26">
        <f>IF($D285="","",$I$2)</f>
        <v/>
      </c>
      <c r="F285" s="28">
        <f>IF($D285="","",IF(INDEX(입력_구리근무자명단!$A$1:$GZ$303,$A285,$G$2+2)="",출력_요약!$B$3,IF(ISNUMBER(INDEX(입력_구리근무자명단!$A$1:$GZ$303,$A285,$G$2+2)),INDEX(입력_구리근무자명단!$A$1:$GZ$303,$A285,$G$2+2),IFERROR(DATE(VALUE(LEFT(INDEX(입력_구리근무자명단!$A$1:$GZ$303,$A285,$G$2+2),4)),VALUE(MID(INDEX(입력_구리근무자명단!$A$1:$GZ$303,$A285,$G$2+2),6,2)),VALUE(MID(INDEX(입력_구리근무자명단!$A$1:$GZ$303,$A285,$G$2+2),9,2))),IFERROR(DATEVALUE(SUBSTITUTE(TRIM(INDEX(입력_구리근무자명단!$A$1:$GZ$303,$A285,$G$2+2)),".","-")),"⚠"&amp;INDEX(입력_구리근무자명단!$A$1:$GZ$303,$A285,$G$2+2))))))</f>
        <v/>
      </c>
      <c r="G285" s="28">
        <f>IF($D285="","",IF(INDEX(입력_구리근무자명단!$A$1:$GZ$303,$A285,$G$2+3)="",EOMONTH(출력_요약!$B$3,0),IF(ISNUMBER(INDEX(입력_구리근무자명단!$A$1:$GZ$303,$A285,$G$2+3)),INDEX(입력_구리근무자명단!$A$1:$GZ$303,$A285,$G$2+3),IFERROR(DATE(VALUE(LEFT(INDEX(입력_구리근무자명단!$A$1:$GZ$303,$A285,$G$2+3),4)),VALUE(MID(INDEX(입력_구리근무자명단!$A$1:$GZ$303,$A285,$G$2+3),6,2)),VALUE(MID(INDEX(입력_구리근무자명단!$A$1:$GZ$303,$A285,$G$2+3),9,2))),IFERROR(DATEVALUE(SUBSTITUTE(TRIM(INDEX(입력_구리근무자명단!$A$1:$GZ$303,$A285,$G$2+3)),".","-")),"⚠"&amp;INDEX(입력_구리근무자명단!$A$1:$GZ$303,$A285,$G$2+3))))))</f>
        <v/>
      </c>
      <c r="H285" s="26">
        <f>IF($D285="","",IF(OR(NOT(ISNUMBER($F285)),NOT(ISNUMBER($G285))),0,MAX(0,MIN($G285,EOMONTH(출력_요약!$B$3,0))-MAX($F285,출력_요약!$B$3)+1)))</f>
        <v/>
      </c>
      <c r="I285" s="26">
        <f>IF($D285="","",TRIM(INDEX(입력_구리근무자명단!$A$1:$GZ$303,$A285,$G$2+5)&amp;""))</f>
        <v/>
      </c>
      <c r="J285" s="26">
        <f>IF($D285="","",IF(ISNUMBER(SEARCH("구리독자",$I285)),"구리독자",""))</f>
        <v/>
      </c>
      <c r="K285" s="29">
        <f>IF($D285="","",IF(COUNTIFS(입력_전공의명단!$C$2:$C$401,$D285,입력_전공의명단!$F$2:$F$401,IF(OR($C285="인턴",ISNUMBER(SEARCH("수련교육부",$B285))),"인턴",$B285))=1,MATCH($D285&amp;"|"&amp;IF(OR($C285="인턴",ISNUMBER(SEARCH("수련교육부",$B285))),"인턴",$B285),입력_전공의명단!$AP$2:$AP$401,0),IF(AND(COUNTIFS(입력_전공의명단!$C$2:$C$401,$D285,입력_전공의명단!$F$2:$F$401,IF(OR($C285="인턴",ISNUMBER(SEARCH("수련교육부",$B285))),"인턴",$B285))=0,COUNTIF(입력_전공의명단!$C$2:$C$401,$D285)=1),MATCH($D285,입력_전공의명단!$C$2:$C$401,0),"")))</f>
        <v/>
      </c>
      <c r="L285" s="26">
        <f>IF($D285="","",IF($K285&lt;&gt;"",IF(COUNTIFS(입력_전공의명단!$C$2:$C$401,$D285,입력_전공의명단!$F$2:$F$401,IF(OR($C285="인턴",ISNUMBER(SEARCH("수련교육부",$B285))),"인턴",$B285))=1,"명단 일치","명단 일치(이름만, 과 다름)"),IF(COUNTIF(입력_전공의명단!$C$2:$C$401,$D285)=0,IF(COUNTIF(입력_기본자료!$C$2:$C$1001,$D285)&gt;0,"명단에 없음(기본자료에는 있음)","명단에 없음"),"동명이인 확인")))</f>
        <v/>
      </c>
    </row>
    <row r="286">
      <c r="A286" s="29" t="n">
        <v>284</v>
      </c>
      <c r="B286" s="26">
        <f>IF(TRIM(INDEX(입력_구리근무자명단!$A$1:$GZ$303,$A286,1)&amp;"")&lt;&gt;"",TRIM(INDEX(입력_구리근무자명단!$A$1:$GZ$303,$A286,1)&amp;""),B285)</f>
        <v/>
      </c>
      <c r="C286" s="26">
        <f>IF(INDEX(입력_구리근무자명단!$A$1:$GZ$303,$A286,2)="","",INDEX(입력_구리근무자명단!$A$1:$GZ$303,$A286,2))</f>
        <v/>
      </c>
      <c r="D286" s="26">
        <f>IF($G$2="","",TRIM(IF($I$2="확정",INDEX(입력_구리근무자명단!$A$1:$GZ$303,$A286,$G$2+1)&amp;"",INDEX(입력_구리근무자명단!$A$1:$GZ$303,$A286,$G$2+0)&amp;"")))</f>
        <v/>
      </c>
      <c r="E286" s="26">
        <f>IF($D286="","",$I$2)</f>
        <v/>
      </c>
      <c r="F286" s="28">
        <f>IF($D286="","",IF(INDEX(입력_구리근무자명단!$A$1:$GZ$303,$A286,$G$2+2)="",출력_요약!$B$3,IF(ISNUMBER(INDEX(입력_구리근무자명단!$A$1:$GZ$303,$A286,$G$2+2)),INDEX(입력_구리근무자명단!$A$1:$GZ$303,$A286,$G$2+2),IFERROR(DATE(VALUE(LEFT(INDEX(입력_구리근무자명단!$A$1:$GZ$303,$A286,$G$2+2),4)),VALUE(MID(INDEX(입력_구리근무자명단!$A$1:$GZ$303,$A286,$G$2+2),6,2)),VALUE(MID(INDEX(입력_구리근무자명단!$A$1:$GZ$303,$A286,$G$2+2),9,2))),IFERROR(DATEVALUE(SUBSTITUTE(TRIM(INDEX(입력_구리근무자명단!$A$1:$GZ$303,$A286,$G$2+2)),".","-")),"⚠"&amp;INDEX(입력_구리근무자명단!$A$1:$GZ$303,$A286,$G$2+2))))))</f>
        <v/>
      </c>
      <c r="G286" s="28">
        <f>IF($D286="","",IF(INDEX(입력_구리근무자명단!$A$1:$GZ$303,$A286,$G$2+3)="",EOMONTH(출력_요약!$B$3,0),IF(ISNUMBER(INDEX(입력_구리근무자명단!$A$1:$GZ$303,$A286,$G$2+3)),INDEX(입력_구리근무자명단!$A$1:$GZ$303,$A286,$G$2+3),IFERROR(DATE(VALUE(LEFT(INDEX(입력_구리근무자명단!$A$1:$GZ$303,$A286,$G$2+3),4)),VALUE(MID(INDEX(입력_구리근무자명단!$A$1:$GZ$303,$A286,$G$2+3),6,2)),VALUE(MID(INDEX(입력_구리근무자명단!$A$1:$GZ$303,$A286,$G$2+3),9,2))),IFERROR(DATEVALUE(SUBSTITUTE(TRIM(INDEX(입력_구리근무자명단!$A$1:$GZ$303,$A286,$G$2+3)),".","-")),"⚠"&amp;INDEX(입력_구리근무자명단!$A$1:$GZ$303,$A286,$G$2+3))))))</f>
        <v/>
      </c>
      <c r="H286" s="26">
        <f>IF($D286="","",IF(OR(NOT(ISNUMBER($F286)),NOT(ISNUMBER($G286))),0,MAX(0,MIN($G286,EOMONTH(출력_요약!$B$3,0))-MAX($F286,출력_요약!$B$3)+1)))</f>
        <v/>
      </c>
      <c r="I286" s="26">
        <f>IF($D286="","",TRIM(INDEX(입력_구리근무자명단!$A$1:$GZ$303,$A286,$G$2+5)&amp;""))</f>
        <v/>
      </c>
      <c r="J286" s="26">
        <f>IF($D286="","",IF(ISNUMBER(SEARCH("구리독자",$I286)),"구리독자",""))</f>
        <v/>
      </c>
      <c r="K286" s="29">
        <f>IF($D286="","",IF(COUNTIFS(입력_전공의명단!$C$2:$C$401,$D286,입력_전공의명단!$F$2:$F$401,IF(OR($C286="인턴",ISNUMBER(SEARCH("수련교육부",$B286))),"인턴",$B286))=1,MATCH($D286&amp;"|"&amp;IF(OR($C286="인턴",ISNUMBER(SEARCH("수련교육부",$B286))),"인턴",$B286),입력_전공의명단!$AP$2:$AP$401,0),IF(AND(COUNTIFS(입력_전공의명단!$C$2:$C$401,$D286,입력_전공의명단!$F$2:$F$401,IF(OR($C286="인턴",ISNUMBER(SEARCH("수련교육부",$B286))),"인턴",$B286))=0,COUNTIF(입력_전공의명단!$C$2:$C$401,$D286)=1),MATCH($D286,입력_전공의명단!$C$2:$C$401,0),"")))</f>
        <v/>
      </c>
      <c r="L286" s="26">
        <f>IF($D286="","",IF($K286&lt;&gt;"",IF(COUNTIFS(입력_전공의명단!$C$2:$C$401,$D286,입력_전공의명단!$F$2:$F$401,IF(OR($C286="인턴",ISNUMBER(SEARCH("수련교육부",$B286))),"인턴",$B286))=1,"명단 일치","명단 일치(이름만, 과 다름)"),IF(COUNTIF(입력_전공의명단!$C$2:$C$401,$D286)=0,IF(COUNTIF(입력_기본자료!$C$2:$C$1001,$D286)&gt;0,"명단에 없음(기본자료에는 있음)","명단에 없음"),"동명이인 확인")))</f>
        <v/>
      </c>
    </row>
    <row r="287">
      <c r="A287" s="29" t="n">
        <v>285</v>
      </c>
      <c r="B287" s="26">
        <f>IF(TRIM(INDEX(입력_구리근무자명단!$A$1:$GZ$303,$A287,1)&amp;"")&lt;&gt;"",TRIM(INDEX(입력_구리근무자명단!$A$1:$GZ$303,$A287,1)&amp;""),B286)</f>
        <v/>
      </c>
      <c r="C287" s="26">
        <f>IF(INDEX(입력_구리근무자명단!$A$1:$GZ$303,$A287,2)="","",INDEX(입력_구리근무자명단!$A$1:$GZ$303,$A287,2))</f>
        <v/>
      </c>
      <c r="D287" s="26">
        <f>IF($G$2="","",TRIM(IF($I$2="확정",INDEX(입력_구리근무자명단!$A$1:$GZ$303,$A287,$G$2+1)&amp;"",INDEX(입력_구리근무자명단!$A$1:$GZ$303,$A287,$G$2+0)&amp;"")))</f>
        <v/>
      </c>
      <c r="E287" s="26">
        <f>IF($D287="","",$I$2)</f>
        <v/>
      </c>
      <c r="F287" s="28">
        <f>IF($D287="","",IF(INDEX(입력_구리근무자명단!$A$1:$GZ$303,$A287,$G$2+2)="",출력_요약!$B$3,IF(ISNUMBER(INDEX(입력_구리근무자명단!$A$1:$GZ$303,$A287,$G$2+2)),INDEX(입력_구리근무자명단!$A$1:$GZ$303,$A287,$G$2+2),IFERROR(DATE(VALUE(LEFT(INDEX(입력_구리근무자명단!$A$1:$GZ$303,$A287,$G$2+2),4)),VALUE(MID(INDEX(입력_구리근무자명단!$A$1:$GZ$303,$A287,$G$2+2),6,2)),VALUE(MID(INDEX(입력_구리근무자명단!$A$1:$GZ$303,$A287,$G$2+2),9,2))),IFERROR(DATEVALUE(SUBSTITUTE(TRIM(INDEX(입력_구리근무자명단!$A$1:$GZ$303,$A287,$G$2+2)),".","-")),"⚠"&amp;INDEX(입력_구리근무자명단!$A$1:$GZ$303,$A287,$G$2+2))))))</f>
        <v/>
      </c>
      <c r="G287" s="28">
        <f>IF($D287="","",IF(INDEX(입력_구리근무자명단!$A$1:$GZ$303,$A287,$G$2+3)="",EOMONTH(출력_요약!$B$3,0),IF(ISNUMBER(INDEX(입력_구리근무자명단!$A$1:$GZ$303,$A287,$G$2+3)),INDEX(입력_구리근무자명단!$A$1:$GZ$303,$A287,$G$2+3),IFERROR(DATE(VALUE(LEFT(INDEX(입력_구리근무자명단!$A$1:$GZ$303,$A287,$G$2+3),4)),VALUE(MID(INDEX(입력_구리근무자명단!$A$1:$GZ$303,$A287,$G$2+3),6,2)),VALUE(MID(INDEX(입력_구리근무자명단!$A$1:$GZ$303,$A287,$G$2+3),9,2))),IFERROR(DATEVALUE(SUBSTITUTE(TRIM(INDEX(입력_구리근무자명단!$A$1:$GZ$303,$A287,$G$2+3)),".","-")),"⚠"&amp;INDEX(입력_구리근무자명단!$A$1:$GZ$303,$A287,$G$2+3))))))</f>
        <v/>
      </c>
      <c r="H287" s="26">
        <f>IF($D287="","",IF(OR(NOT(ISNUMBER($F287)),NOT(ISNUMBER($G287))),0,MAX(0,MIN($G287,EOMONTH(출력_요약!$B$3,0))-MAX($F287,출력_요약!$B$3)+1)))</f>
        <v/>
      </c>
      <c r="I287" s="26">
        <f>IF($D287="","",TRIM(INDEX(입력_구리근무자명단!$A$1:$GZ$303,$A287,$G$2+5)&amp;""))</f>
        <v/>
      </c>
      <c r="J287" s="26">
        <f>IF($D287="","",IF(ISNUMBER(SEARCH("구리독자",$I287)),"구리독자",""))</f>
        <v/>
      </c>
      <c r="K287" s="29">
        <f>IF($D287="","",IF(COUNTIFS(입력_전공의명단!$C$2:$C$401,$D287,입력_전공의명단!$F$2:$F$401,IF(OR($C287="인턴",ISNUMBER(SEARCH("수련교육부",$B287))),"인턴",$B287))=1,MATCH($D287&amp;"|"&amp;IF(OR($C287="인턴",ISNUMBER(SEARCH("수련교육부",$B287))),"인턴",$B287),입력_전공의명단!$AP$2:$AP$401,0),IF(AND(COUNTIFS(입력_전공의명단!$C$2:$C$401,$D287,입력_전공의명단!$F$2:$F$401,IF(OR($C287="인턴",ISNUMBER(SEARCH("수련교육부",$B287))),"인턴",$B287))=0,COUNTIF(입력_전공의명단!$C$2:$C$401,$D287)=1),MATCH($D287,입력_전공의명단!$C$2:$C$401,0),"")))</f>
        <v/>
      </c>
      <c r="L287" s="26">
        <f>IF($D287="","",IF($K287&lt;&gt;"",IF(COUNTIFS(입력_전공의명단!$C$2:$C$401,$D287,입력_전공의명단!$F$2:$F$401,IF(OR($C287="인턴",ISNUMBER(SEARCH("수련교육부",$B287))),"인턴",$B287))=1,"명단 일치","명단 일치(이름만, 과 다름)"),IF(COUNTIF(입력_전공의명단!$C$2:$C$401,$D287)=0,IF(COUNTIF(입력_기본자료!$C$2:$C$1001,$D287)&gt;0,"명단에 없음(기본자료에는 있음)","명단에 없음"),"동명이인 확인")))</f>
        <v/>
      </c>
    </row>
    <row r="288">
      <c r="A288" s="29" t="n">
        <v>286</v>
      </c>
      <c r="B288" s="26">
        <f>IF(TRIM(INDEX(입력_구리근무자명단!$A$1:$GZ$303,$A288,1)&amp;"")&lt;&gt;"",TRIM(INDEX(입력_구리근무자명단!$A$1:$GZ$303,$A288,1)&amp;""),B287)</f>
        <v/>
      </c>
      <c r="C288" s="26">
        <f>IF(INDEX(입력_구리근무자명단!$A$1:$GZ$303,$A288,2)="","",INDEX(입력_구리근무자명단!$A$1:$GZ$303,$A288,2))</f>
        <v/>
      </c>
      <c r="D288" s="26">
        <f>IF($G$2="","",TRIM(IF($I$2="확정",INDEX(입력_구리근무자명단!$A$1:$GZ$303,$A288,$G$2+1)&amp;"",INDEX(입력_구리근무자명단!$A$1:$GZ$303,$A288,$G$2+0)&amp;"")))</f>
        <v/>
      </c>
      <c r="E288" s="26">
        <f>IF($D288="","",$I$2)</f>
        <v/>
      </c>
      <c r="F288" s="28">
        <f>IF($D288="","",IF(INDEX(입력_구리근무자명단!$A$1:$GZ$303,$A288,$G$2+2)="",출력_요약!$B$3,IF(ISNUMBER(INDEX(입력_구리근무자명단!$A$1:$GZ$303,$A288,$G$2+2)),INDEX(입력_구리근무자명단!$A$1:$GZ$303,$A288,$G$2+2),IFERROR(DATE(VALUE(LEFT(INDEX(입력_구리근무자명단!$A$1:$GZ$303,$A288,$G$2+2),4)),VALUE(MID(INDEX(입력_구리근무자명단!$A$1:$GZ$303,$A288,$G$2+2),6,2)),VALUE(MID(INDEX(입력_구리근무자명단!$A$1:$GZ$303,$A288,$G$2+2),9,2))),IFERROR(DATEVALUE(SUBSTITUTE(TRIM(INDEX(입력_구리근무자명단!$A$1:$GZ$303,$A288,$G$2+2)),".","-")),"⚠"&amp;INDEX(입력_구리근무자명단!$A$1:$GZ$303,$A288,$G$2+2))))))</f>
        <v/>
      </c>
      <c r="G288" s="28">
        <f>IF($D288="","",IF(INDEX(입력_구리근무자명단!$A$1:$GZ$303,$A288,$G$2+3)="",EOMONTH(출력_요약!$B$3,0),IF(ISNUMBER(INDEX(입력_구리근무자명단!$A$1:$GZ$303,$A288,$G$2+3)),INDEX(입력_구리근무자명단!$A$1:$GZ$303,$A288,$G$2+3),IFERROR(DATE(VALUE(LEFT(INDEX(입력_구리근무자명단!$A$1:$GZ$303,$A288,$G$2+3),4)),VALUE(MID(INDEX(입력_구리근무자명단!$A$1:$GZ$303,$A288,$G$2+3),6,2)),VALUE(MID(INDEX(입력_구리근무자명단!$A$1:$GZ$303,$A288,$G$2+3),9,2))),IFERROR(DATEVALUE(SUBSTITUTE(TRIM(INDEX(입력_구리근무자명단!$A$1:$GZ$303,$A288,$G$2+3)),".","-")),"⚠"&amp;INDEX(입력_구리근무자명단!$A$1:$GZ$303,$A288,$G$2+3))))))</f>
        <v/>
      </c>
      <c r="H288" s="26">
        <f>IF($D288="","",IF(OR(NOT(ISNUMBER($F288)),NOT(ISNUMBER($G288))),0,MAX(0,MIN($G288,EOMONTH(출력_요약!$B$3,0))-MAX($F288,출력_요약!$B$3)+1)))</f>
        <v/>
      </c>
      <c r="I288" s="26">
        <f>IF($D288="","",TRIM(INDEX(입력_구리근무자명단!$A$1:$GZ$303,$A288,$G$2+5)&amp;""))</f>
        <v/>
      </c>
      <c r="J288" s="26">
        <f>IF($D288="","",IF(ISNUMBER(SEARCH("구리독자",$I288)),"구리독자",""))</f>
        <v/>
      </c>
      <c r="K288" s="29">
        <f>IF($D288="","",IF(COUNTIFS(입력_전공의명단!$C$2:$C$401,$D288,입력_전공의명단!$F$2:$F$401,IF(OR($C288="인턴",ISNUMBER(SEARCH("수련교육부",$B288))),"인턴",$B288))=1,MATCH($D288&amp;"|"&amp;IF(OR($C288="인턴",ISNUMBER(SEARCH("수련교육부",$B288))),"인턴",$B288),입력_전공의명단!$AP$2:$AP$401,0),IF(AND(COUNTIFS(입력_전공의명단!$C$2:$C$401,$D288,입력_전공의명단!$F$2:$F$401,IF(OR($C288="인턴",ISNUMBER(SEARCH("수련교육부",$B288))),"인턴",$B288))=0,COUNTIF(입력_전공의명단!$C$2:$C$401,$D288)=1),MATCH($D288,입력_전공의명단!$C$2:$C$401,0),"")))</f>
        <v/>
      </c>
      <c r="L288" s="26">
        <f>IF($D288="","",IF($K288&lt;&gt;"",IF(COUNTIFS(입력_전공의명단!$C$2:$C$401,$D288,입력_전공의명단!$F$2:$F$401,IF(OR($C288="인턴",ISNUMBER(SEARCH("수련교육부",$B288))),"인턴",$B288))=1,"명단 일치","명단 일치(이름만, 과 다름)"),IF(COUNTIF(입력_전공의명단!$C$2:$C$401,$D288)=0,IF(COUNTIF(입력_기본자료!$C$2:$C$1001,$D288)&gt;0,"명단에 없음(기본자료에는 있음)","명단에 없음"),"동명이인 확인")))</f>
        <v/>
      </c>
    </row>
    <row r="289">
      <c r="A289" s="29" t="n">
        <v>287</v>
      </c>
      <c r="B289" s="26">
        <f>IF(TRIM(INDEX(입력_구리근무자명단!$A$1:$GZ$303,$A289,1)&amp;"")&lt;&gt;"",TRIM(INDEX(입력_구리근무자명단!$A$1:$GZ$303,$A289,1)&amp;""),B288)</f>
        <v/>
      </c>
      <c r="C289" s="26">
        <f>IF(INDEX(입력_구리근무자명단!$A$1:$GZ$303,$A289,2)="","",INDEX(입력_구리근무자명단!$A$1:$GZ$303,$A289,2))</f>
        <v/>
      </c>
      <c r="D289" s="26">
        <f>IF($G$2="","",TRIM(IF($I$2="확정",INDEX(입력_구리근무자명단!$A$1:$GZ$303,$A289,$G$2+1)&amp;"",INDEX(입력_구리근무자명단!$A$1:$GZ$303,$A289,$G$2+0)&amp;"")))</f>
        <v/>
      </c>
      <c r="E289" s="26">
        <f>IF($D289="","",$I$2)</f>
        <v/>
      </c>
      <c r="F289" s="28">
        <f>IF($D289="","",IF(INDEX(입력_구리근무자명단!$A$1:$GZ$303,$A289,$G$2+2)="",출력_요약!$B$3,IF(ISNUMBER(INDEX(입력_구리근무자명단!$A$1:$GZ$303,$A289,$G$2+2)),INDEX(입력_구리근무자명단!$A$1:$GZ$303,$A289,$G$2+2),IFERROR(DATE(VALUE(LEFT(INDEX(입력_구리근무자명단!$A$1:$GZ$303,$A289,$G$2+2),4)),VALUE(MID(INDEX(입력_구리근무자명단!$A$1:$GZ$303,$A289,$G$2+2),6,2)),VALUE(MID(INDEX(입력_구리근무자명단!$A$1:$GZ$303,$A289,$G$2+2),9,2))),IFERROR(DATEVALUE(SUBSTITUTE(TRIM(INDEX(입력_구리근무자명단!$A$1:$GZ$303,$A289,$G$2+2)),".","-")),"⚠"&amp;INDEX(입력_구리근무자명단!$A$1:$GZ$303,$A289,$G$2+2))))))</f>
        <v/>
      </c>
      <c r="G289" s="28">
        <f>IF($D289="","",IF(INDEX(입력_구리근무자명단!$A$1:$GZ$303,$A289,$G$2+3)="",EOMONTH(출력_요약!$B$3,0),IF(ISNUMBER(INDEX(입력_구리근무자명단!$A$1:$GZ$303,$A289,$G$2+3)),INDEX(입력_구리근무자명단!$A$1:$GZ$303,$A289,$G$2+3),IFERROR(DATE(VALUE(LEFT(INDEX(입력_구리근무자명단!$A$1:$GZ$303,$A289,$G$2+3),4)),VALUE(MID(INDEX(입력_구리근무자명단!$A$1:$GZ$303,$A289,$G$2+3),6,2)),VALUE(MID(INDEX(입력_구리근무자명단!$A$1:$GZ$303,$A289,$G$2+3),9,2))),IFERROR(DATEVALUE(SUBSTITUTE(TRIM(INDEX(입력_구리근무자명단!$A$1:$GZ$303,$A289,$G$2+3)),".","-")),"⚠"&amp;INDEX(입력_구리근무자명단!$A$1:$GZ$303,$A289,$G$2+3))))))</f>
        <v/>
      </c>
      <c r="H289" s="26">
        <f>IF($D289="","",IF(OR(NOT(ISNUMBER($F289)),NOT(ISNUMBER($G289))),0,MAX(0,MIN($G289,EOMONTH(출력_요약!$B$3,0))-MAX($F289,출력_요약!$B$3)+1)))</f>
        <v/>
      </c>
      <c r="I289" s="26">
        <f>IF($D289="","",TRIM(INDEX(입력_구리근무자명단!$A$1:$GZ$303,$A289,$G$2+5)&amp;""))</f>
        <v/>
      </c>
      <c r="J289" s="26">
        <f>IF($D289="","",IF(ISNUMBER(SEARCH("구리독자",$I289)),"구리독자",""))</f>
        <v/>
      </c>
      <c r="K289" s="29">
        <f>IF($D289="","",IF(COUNTIFS(입력_전공의명단!$C$2:$C$401,$D289,입력_전공의명단!$F$2:$F$401,IF(OR($C289="인턴",ISNUMBER(SEARCH("수련교육부",$B289))),"인턴",$B289))=1,MATCH($D289&amp;"|"&amp;IF(OR($C289="인턴",ISNUMBER(SEARCH("수련교육부",$B289))),"인턴",$B289),입력_전공의명단!$AP$2:$AP$401,0),IF(AND(COUNTIFS(입력_전공의명단!$C$2:$C$401,$D289,입력_전공의명단!$F$2:$F$401,IF(OR($C289="인턴",ISNUMBER(SEARCH("수련교육부",$B289))),"인턴",$B289))=0,COUNTIF(입력_전공의명단!$C$2:$C$401,$D289)=1),MATCH($D289,입력_전공의명단!$C$2:$C$401,0),"")))</f>
        <v/>
      </c>
      <c r="L289" s="26">
        <f>IF($D289="","",IF($K289&lt;&gt;"",IF(COUNTIFS(입력_전공의명단!$C$2:$C$401,$D289,입력_전공의명단!$F$2:$F$401,IF(OR($C289="인턴",ISNUMBER(SEARCH("수련교육부",$B289))),"인턴",$B289))=1,"명단 일치","명단 일치(이름만, 과 다름)"),IF(COUNTIF(입력_전공의명단!$C$2:$C$401,$D289)=0,IF(COUNTIF(입력_기본자료!$C$2:$C$1001,$D289)&gt;0,"명단에 없음(기본자료에는 있음)","명단에 없음"),"동명이인 확인")))</f>
        <v/>
      </c>
    </row>
    <row r="290">
      <c r="A290" s="29" t="n">
        <v>288</v>
      </c>
      <c r="B290" s="26">
        <f>IF(TRIM(INDEX(입력_구리근무자명단!$A$1:$GZ$303,$A290,1)&amp;"")&lt;&gt;"",TRIM(INDEX(입력_구리근무자명단!$A$1:$GZ$303,$A290,1)&amp;""),B289)</f>
        <v/>
      </c>
      <c r="C290" s="26">
        <f>IF(INDEX(입력_구리근무자명단!$A$1:$GZ$303,$A290,2)="","",INDEX(입력_구리근무자명단!$A$1:$GZ$303,$A290,2))</f>
        <v/>
      </c>
      <c r="D290" s="26">
        <f>IF($G$2="","",TRIM(IF($I$2="확정",INDEX(입력_구리근무자명단!$A$1:$GZ$303,$A290,$G$2+1)&amp;"",INDEX(입력_구리근무자명단!$A$1:$GZ$303,$A290,$G$2+0)&amp;"")))</f>
        <v/>
      </c>
      <c r="E290" s="26">
        <f>IF($D290="","",$I$2)</f>
        <v/>
      </c>
      <c r="F290" s="28">
        <f>IF($D290="","",IF(INDEX(입력_구리근무자명단!$A$1:$GZ$303,$A290,$G$2+2)="",출력_요약!$B$3,IF(ISNUMBER(INDEX(입력_구리근무자명단!$A$1:$GZ$303,$A290,$G$2+2)),INDEX(입력_구리근무자명단!$A$1:$GZ$303,$A290,$G$2+2),IFERROR(DATE(VALUE(LEFT(INDEX(입력_구리근무자명단!$A$1:$GZ$303,$A290,$G$2+2),4)),VALUE(MID(INDEX(입력_구리근무자명단!$A$1:$GZ$303,$A290,$G$2+2),6,2)),VALUE(MID(INDEX(입력_구리근무자명단!$A$1:$GZ$303,$A290,$G$2+2),9,2))),IFERROR(DATEVALUE(SUBSTITUTE(TRIM(INDEX(입력_구리근무자명단!$A$1:$GZ$303,$A290,$G$2+2)),".","-")),"⚠"&amp;INDEX(입력_구리근무자명단!$A$1:$GZ$303,$A290,$G$2+2))))))</f>
        <v/>
      </c>
      <c r="G290" s="28">
        <f>IF($D290="","",IF(INDEX(입력_구리근무자명단!$A$1:$GZ$303,$A290,$G$2+3)="",EOMONTH(출력_요약!$B$3,0),IF(ISNUMBER(INDEX(입력_구리근무자명단!$A$1:$GZ$303,$A290,$G$2+3)),INDEX(입력_구리근무자명단!$A$1:$GZ$303,$A290,$G$2+3),IFERROR(DATE(VALUE(LEFT(INDEX(입력_구리근무자명단!$A$1:$GZ$303,$A290,$G$2+3),4)),VALUE(MID(INDEX(입력_구리근무자명단!$A$1:$GZ$303,$A290,$G$2+3),6,2)),VALUE(MID(INDEX(입력_구리근무자명단!$A$1:$GZ$303,$A290,$G$2+3),9,2))),IFERROR(DATEVALUE(SUBSTITUTE(TRIM(INDEX(입력_구리근무자명단!$A$1:$GZ$303,$A290,$G$2+3)),".","-")),"⚠"&amp;INDEX(입력_구리근무자명단!$A$1:$GZ$303,$A290,$G$2+3))))))</f>
        <v/>
      </c>
      <c r="H290" s="26">
        <f>IF($D290="","",IF(OR(NOT(ISNUMBER($F290)),NOT(ISNUMBER($G290))),0,MAX(0,MIN($G290,EOMONTH(출력_요약!$B$3,0))-MAX($F290,출력_요약!$B$3)+1)))</f>
        <v/>
      </c>
      <c r="I290" s="26">
        <f>IF($D290="","",TRIM(INDEX(입력_구리근무자명단!$A$1:$GZ$303,$A290,$G$2+5)&amp;""))</f>
        <v/>
      </c>
      <c r="J290" s="26">
        <f>IF($D290="","",IF(ISNUMBER(SEARCH("구리독자",$I290)),"구리독자",""))</f>
        <v/>
      </c>
      <c r="K290" s="29">
        <f>IF($D290="","",IF(COUNTIFS(입력_전공의명단!$C$2:$C$401,$D290,입력_전공의명단!$F$2:$F$401,IF(OR($C290="인턴",ISNUMBER(SEARCH("수련교육부",$B290))),"인턴",$B290))=1,MATCH($D290&amp;"|"&amp;IF(OR($C290="인턴",ISNUMBER(SEARCH("수련교육부",$B290))),"인턴",$B290),입력_전공의명단!$AP$2:$AP$401,0),IF(AND(COUNTIFS(입력_전공의명단!$C$2:$C$401,$D290,입력_전공의명단!$F$2:$F$401,IF(OR($C290="인턴",ISNUMBER(SEARCH("수련교육부",$B290))),"인턴",$B290))=0,COUNTIF(입력_전공의명단!$C$2:$C$401,$D290)=1),MATCH($D290,입력_전공의명단!$C$2:$C$401,0),"")))</f>
        <v/>
      </c>
      <c r="L290" s="26">
        <f>IF($D290="","",IF($K290&lt;&gt;"",IF(COUNTIFS(입력_전공의명단!$C$2:$C$401,$D290,입력_전공의명단!$F$2:$F$401,IF(OR($C290="인턴",ISNUMBER(SEARCH("수련교육부",$B290))),"인턴",$B290))=1,"명단 일치","명단 일치(이름만, 과 다름)"),IF(COUNTIF(입력_전공의명단!$C$2:$C$401,$D290)=0,IF(COUNTIF(입력_기본자료!$C$2:$C$1001,$D290)&gt;0,"명단에 없음(기본자료에는 있음)","명단에 없음"),"동명이인 확인")))</f>
        <v/>
      </c>
    </row>
    <row r="291">
      <c r="A291" s="29" t="n">
        <v>289</v>
      </c>
      <c r="B291" s="26">
        <f>IF(TRIM(INDEX(입력_구리근무자명단!$A$1:$GZ$303,$A291,1)&amp;"")&lt;&gt;"",TRIM(INDEX(입력_구리근무자명단!$A$1:$GZ$303,$A291,1)&amp;""),B290)</f>
        <v/>
      </c>
      <c r="C291" s="26">
        <f>IF(INDEX(입력_구리근무자명단!$A$1:$GZ$303,$A291,2)="","",INDEX(입력_구리근무자명단!$A$1:$GZ$303,$A291,2))</f>
        <v/>
      </c>
      <c r="D291" s="26">
        <f>IF($G$2="","",TRIM(IF($I$2="확정",INDEX(입력_구리근무자명단!$A$1:$GZ$303,$A291,$G$2+1)&amp;"",INDEX(입력_구리근무자명단!$A$1:$GZ$303,$A291,$G$2+0)&amp;"")))</f>
        <v/>
      </c>
      <c r="E291" s="26">
        <f>IF($D291="","",$I$2)</f>
        <v/>
      </c>
      <c r="F291" s="28">
        <f>IF($D291="","",IF(INDEX(입력_구리근무자명단!$A$1:$GZ$303,$A291,$G$2+2)="",출력_요약!$B$3,IF(ISNUMBER(INDEX(입력_구리근무자명단!$A$1:$GZ$303,$A291,$G$2+2)),INDEX(입력_구리근무자명단!$A$1:$GZ$303,$A291,$G$2+2),IFERROR(DATE(VALUE(LEFT(INDEX(입력_구리근무자명단!$A$1:$GZ$303,$A291,$G$2+2),4)),VALUE(MID(INDEX(입력_구리근무자명단!$A$1:$GZ$303,$A291,$G$2+2),6,2)),VALUE(MID(INDEX(입력_구리근무자명단!$A$1:$GZ$303,$A291,$G$2+2),9,2))),IFERROR(DATEVALUE(SUBSTITUTE(TRIM(INDEX(입력_구리근무자명단!$A$1:$GZ$303,$A291,$G$2+2)),".","-")),"⚠"&amp;INDEX(입력_구리근무자명단!$A$1:$GZ$303,$A291,$G$2+2))))))</f>
        <v/>
      </c>
      <c r="G291" s="28">
        <f>IF($D291="","",IF(INDEX(입력_구리근무자명단!$A$1:$GZ$303,$A291,$G$2+3)="",EOMONTH(출력_요약!$B$3,0),IF(ISNUMBER(INDEX(입력_구리근무자명단!$A$1:$GZ$303,$A291,$G$2+3)),INDEX(입력_구리근무자명단!$A$1:$GZ$303,$A291,$G$2+3),IFERROR(DATE(VALUE(LEFT(INDEX(입력_구리근무자명단!$A$1:$GZ$303,$A291,$G$2+3),4)),VALUE(MID(INDEX(입력_구리근무자명단!$A$1:$GZ$303,$A291,$G$2+3),6,2)),VALUE(MID(INDEX(입력_구리근무자명단!$A$1:$GZ$303,$A291,$G$2+3),9,2))),IFERROR(DATEVALUE(SUBSTITUTE(TRIM(INDEX(입력_구리근무자명단!$A$1:$GZ$303,$A291,$G$2+3)),".","-")),"⚠"&amp;INDEX(입력_구리근무자명단!$A$1:$GZ$303,$A291,$G$2+3))))))</f>
        <v/>
      </c>
      <c r="H291" s="26">
        <f>IF($D291="","",IF(OR(NOT(ISNUMBER($F291)),NOT(ISNUMBER($G291))),0,MAX(0,MIN($G291,EOMONTH(출력_요약!$B$3,0))-MAX($F291,출력_요약!$B$3)+1)))</f>
        <v/>
      </c>
      <c r="I291" s="26">
        <f>IF($D291="","",TRIM(INDEX(입력_구리근무자명단!$A$1:$GZ$303,$A291,$G$2+5)&amp;""))</f>
        <v/>
      </c>
      <c r="J291" s="26">
        <f>IF($D291="","",IF(ISNUMBER(SEARCH("구리독자",$I291)),"구리독자",""))</f>
        <v/>
      </c>
      <c r="K291" s="29">
        <f>IF($D291="","",IF(COUNTIFS(입력_전공의명단!$C$2:$C$401,$D291,입력_전공의명단!$F$2:$F$401,IF(OR($C291="인턴",ISNUMBER(SEARCH("수련교육부",$B291))),"인턴",$B291))=1,MATCH($D291&amp;"|"&amp;IF(OR($C291="인턴",ISNUMBER(SEARCH("수련교육부",$B291))),"인턴",$B291),입력_전공의명단!$AP$2:$AP$401,0),IF(AND(COUNTIFS(입력_전공의명단!$C$2:$C$401,$D291,입력_전공의명단!$F$2:$F$401,IF(OR($C291="인턴",ISNUMBER(SEARCH("수련교육부",$B291))),"인턴",$B291))=0,COUNTIF(입력_전공의명단!$C$2:$C$401,$D291)=1),MATCH($D291,입력_전공의명단!$C$2:$C$401,0),"")))</f>
        <v/>
      </c>
      <c r="L291" s="26">
        <f>IF($D291="","",IF($K291&lt;&gt;"",IF(COUNTIFS(입력_전공의명단!$C$2:$C$401,$D291,입력_전공의명단!$F$2:$F$401,IF(OR($C291="인턴",ISNUMBER(SEARCH("수련교육부",$B291))),"인턴",$B291))=1,"명단 일치","명단 일치(이름만, 과 다름)"),IF(COUNTIF(입력_전공의명단!$C$2:$C$401,$D291)=0,IF(COUNTIF(입력_기본자료!$C$2:$C$1001,$D291)&gt;0,"명단에 없음(기본자료에는 있음)","명단에 없음"),"동명이인 확인")))</f>
        <v/>
      </c>
    </row>
    <row r="292">
      <c r="A292" s="29" t="n">
        <v>290</v>
      </c>
      <c r="B292" s="26">
        <f>IF(TRIM(INDEX(입력_구리근무자명단!$A$1:$GZ$303,$A292,1)&amp;"")&lt;&gt;"",TRIM(INDEX(입력_구리근무자명단!$A$1:$GZ$303,$A292,1)&amp;""),B291)</f>
        <v/>
      </c>
      <c r="C292" s="26">
        <f>IF(INDEX(입력_구리근무자명단!$A$1:$GZ$303,$A292,2)="","",INDEX(입력_구리근무자명단!$A$1:$GZ$303,$A292,2))</f>
        <v/>
      </c>
      <c r="D292" s="26">
        <f>IF($G$2="","",TRIM(IF($I$2="확정",INDEX(입력_구리근무자명단!$A$1:$GZ$303,$A292,$G$2+1)&amp;"",INDEX(입력_구리근무자명단!$A$1:$GZ$303,$A292,$G$2+0)&amp;"")))</f>
        <v/>
      </c>
      <c r="E292" s="26">
        <f>IF($D292="","",$I$2)</f>
        <v/>
      </c>
      <c r="F292" s="28">
        <f>IF($D292="","",IF(INDEX(입력_구리근무자명단!$A$1:$GZ$303,$A292,$G$2+2)="",출력_요약!$B$3,IF(ISNUMBER(INDEX(입력_구리근무자명단!$A$1:$GZ$303,$A292,$G$2+2)),INDEX(입력_구리근무자명단!$A$1:$GZ$303,$A292,$G$2+2),IFERROR(DATE(VALUE(LEFT(INDEX(입력_구리근무자명단!$A$1:$GZ$303,$A292,$G$2+2),4)),VALUE(MID(INDEX(입력_구리근무자명단!$A$1:$GZ$303,$A292,$G$2+2),6,2)),VALUE(MID(INDEX(입력_구리근무자명단!$A$1:$GZ$303,$A292,$G$2+2),9,2))),IFERROR(DATEVALUE(SUBSTITUTE(TRIM(INDEX(입력_구리근무자명단!$A$1:$GZ$303,$A292,$G$2+2)),".","-")),"⚠"&amp;INDEX(입력_구리근무자명단!$A$1:$GZ$303,$A292,$G$2+2))))))</f>
        <v/>
      </c>
      <c r="G292" s="28">
        <f>IF($D292="","",IF(INDEX(입력_구리근무자명단!$A$1:$GZ$303,$A292,$G$2+3)="",EOMONTH(출력_요약!$B$3,0),IF(ISNUMBER(INDEX(입력_구리근무자명단!$A$1:$GZ$303,$A292,$G$2+3)),INDEX(입력_구리근무자명단!$A$1:$GZ$303,$A292,$G$2+3),IFERROR(DATE(VALUE(LEFT(INDEX(입력_구리근무자명단!$A$1:$GZ$303,$A292,$G$2+3),4)),VALUE(MID(INDEX(입력_구리근무자명단!$A$1:$GZ$303,$A292,$G$2+3),6,2)),VALUE(MID(INDEX(입력_구리근무자명단!$A$1:$GZ$303,$A292,$G$2+3),9,2))),IFERROR(DATEVALUE(SUBSTITUTE(TRIM(INDEX(입력_구리근무자명단!$A$1:$GZ$303,$A292,$G$2+3)),".","-")),"⚠"&amp;INDEX(입력_구리근무자명단!$A$1:$GZ$303,$A292,$G$2+3))))))</f>
        <v/>
      </c>
      <c r="H292" s="26">
        <f>IF($D292="","",IF(OR(NOT(ISNUMBER($F292)),NOT(ISNUMBER($G292))),0,MAX(0,MIN($G292,EOMONTH(출력_요약!$B$3,0))-MAX($F292,출력_요약!$B$3)+1)))</f>
        <v/>
      </c>
      <c r="I292" s="26">
        <f>IF($D292="","",TRIM(INDEX(입력_구리근무자명단!$A$1:$GZ$303,$A292,$G$2+5)&amp;""))</f>
        <v/>
      </c>
      <c r="J292" s="26">
        <f>IF($D292="","",IF(ISNUMBER(SEARCH("구리독자",$I292)),"구리독자",""))</f>
        <v/>
      </c>
      <c r="K292" s="29">
        <f>IF($D292="","",IF(COUNTIFS(입력_전공의명단!$C$2:$C$401,$D292,입력_전공의명단!$F$2:$F$401,IF(OR($C292="인턴",ISNUMBER(SEARCH("수련교육부",$B292))),"인턴",$B292))=1,MATCH($D292&amp;"|"&amp;IF(OR($C292="인턴",ISNUMBER(SEARCH("수련교육부",$B292))),"인턴",$B292),입력_전공의명단!$AP$2:$AP$401,0),IF(AND(COUNTIFS(입력_전공의명단!$C$2:$C$401,$D292,입력_전공의명단!$F$2:$F$401,IF(OR($C292="인턴",ISNUMBER(SEARCH("수련교육부",$B292))),"인턴",$B292))=0,COUNTIF(입력_전공의명단!$C$2:$C$401,$D292)=1),MATCH($D292,입력_전공의명단!$C$2:$C$401,0),"")))</f>
        <v/>
      </c>
      <c r="L292" s="26">
        <f>IF($D292="","",IF($K292&lt;&gt;"",IF(COUNTIFS(입력_전공의명단!$C$2:$C$401,$D292,입력_전공의명단!$F$2:$F$401,IF(OR($C292="인턴",ISNUMBER(SEARCH("수련교육부",$B292))),"인턴",$B292))=1,"명단 일치","명단 일치(이름만, 과 다름)"),IF(COUNTIF(입력_전공의명단!$C$2:$C$401,$D292)=0,IF(COUNTIF(입력_기본자료!$C$2:$C$1001,$D292)&gt;0,"명단에 없음(기본자료에는 있음)","명단에 없음"),"동명이인 확인")))</f>
        <v/>
      </c>
    </row>
    <row r="293">
      <c r="A293" s="29" t="n">
        <v>291</v>
      </c>
      <c r="B293" s="26">
        <f>IF(TRIM(INDEX(입력_구리근무자명단!$A$1:$GZ$303,$A293,1)&amp;"")&lt;&gt;"",TRIM(INDEX(입력_구리근무자명단!$A$1:$GZ$303,$A293,1)&amp;""),B292)</f>
        <v/>
      </c>
      <c r="C293" s="26">
        <f>IF(INDEX(입력_구리근무자명단!$A$1:$GZ$303,$A293,2)="","",INDEX(입력_구리근무자명단!$A$1:$GZ$303,$A293,2))</f>
        <v/>
      </c>
      <c r="D293" s="26">
        <f>IF($G$2="","",TRIM(IF($I$2="확정",INDEX(입력_구리근무자명단!$A$1:$GZ$303,$A293,$G$2+1)&amp;"",INDEX(입력_구리근무자명단!$A$1:$GZ$303,$A293,$G$2+0)&amp;"")))</f>
        <v/>
      </c>
      <c r="E293" s="26">
        <f>IF($D293="","",$I$2)</f>
        <v/>
      </c>
      <c r="F293" s="28">
        <f>IF($D293="","",IF(INDEX(입력_구리근무자명단!$A$1:$GZ$303,$A293,$G$2+2)="",출력_요약!$B$3,IF(ISNUMBER(INDEX(입력_구리근무자명단!$A$1:$GZ$303,$A293,$G$2+2)),INDEX(입력_구리근무자명단!$A$1:$GZ$303,$A293,$G$2+2),IFERROR(DATE(VALUE(LEFT(INDEX(입력_구리근무자명단!$A$1:$GZ$303,$A293,$G$2+2),4)),VALUE(MID(INDEX(입력_구리근무자명단!$A$1:$GZ$303,$A293,$G$2+2),6,2)),VALUE(MID(INDEX(입력_구리근무자명단!$A$1:$GZ$303,$A293,$G$2+2),9,2))),IFERROR(DATEVALUE(SUBSTITUTE(TRIM(INDEX(입력_구리근무자명단!$A$1:$GZ$303,$A293,$G$2+2)),".","-")),"⚠"&amp;INDEX(입력_구리근무자명단!$A$1:$GZ$303,$A293,$G$2+2))))))</f>
        <v/>
      </c>
      <c r="G293" s="28">
        <f>IF($D293="","",IF(INDEX(입력_구리근무자명단!$A$1:$GZ$303,$A293,$G$2+3)="",EOMONTH(출력_요약!$B$3,0),IF(ISNUMBER(INDEX(입력_구리근무자명단!$A$1:$GZ$303,$A293,$G$2+3)),INDEX(입력_구리근무자명단!$A$1:$GZ$303,$A293,$G$2+3),IFERROR(DATE(VALUE(LEFT(INDEX(입력_구리근무자명단!$A$1:$GZ$303,$A293,$G$2+3),4)),VALUE(MID(INDEX(입력_구리근무자명단!$A$1:$GZ$303,$A293,$G$2+3),6,2)),VALUE(MID(INDEX(입력_구리근무자명단!$A$1:$GZ$303,$A293,$G$2+3),9,2))),IFERROR(DATEVALUE(SUBSTITUTE(TRIM(INDEX(입력_구리근무자명단!$A$1:$GZ$303,$A293,$G$2+3)),".","-")),"⚠"&amp;INDEX(입력_구리근무자명단!$A$1:$GZ$303,$A293,$G$2+3))))))</f>
        <v/>
      </c>
      <c r="H293" s="26">
        <f>IF($D293="","",IF(OR(NOT(ISNUMBER($F293)),NOT(ISNUMBER($G293))),0,MAX(0,MIN($G293,EOMONTH(출력_요약!$B$3,0))-MAX($F293,출력_요약!$B$3)+1)))</f>
        <v/>
      </c>
      <c r="I293" s="26">
        <f>IF($D293="","",TRIM(INDEX(입력_구리근무자명단!$A$1:$GZ$303,$A293,$G$2+5)&amp;""))</f>
        <v/>
      </c>
      <c r="J293" s="26">
        <f>IF($D293="","",IF(ISNUMBER(SEARCH("구리독자",$I293)),"구리독자",""))</f>
        <v/>
      </c>
      <c r="K293" s="29">
        <f>IF($D293="","",IF(COUNTIFS(입력_전공의명단!$C$2:$C$401,$D293,입력_전공의명단!$F$2:$F$401,IF(OR($C293="인턴",ISNUMBER(SEARCH("수련교육부",$B293))),"인턴",$B293))=1,MATCH($D293&amp;"|"&amp;IF(OR($C293="인턴",ISNUMBER(SEARCH("수련교육부",$B293))),"인턴",$B293),입력_전공의명단!$AP$2:$AP$401,0),IF(AND(COUNTIFS(입력_전공의명단!$C$2:$C$401,$D293,입력_전공의명단!$F$2:$F$401,IF(OR($C293="인턴",ISNUMBER(SEARCH("수련교육부",$B293))),"인턴",$B293))=0,COUNTIF(입력_전공의명단!$C$2:$C$401,$D293)=1),MATCH($D293,입력_전공의명단!$C$2:$C$401,0),"")))</f>
        <v/>
      </c>
      <c r="L293" s="26">
        <f>IF($D293="","",IF($K293&lt;&gt;"",IF(COUNTIFS(입력_전공의명단!$C$2:$C$401,$D293,입력_전공의명단!$F$2:$F$401,IF(OR($C293="인턴",ISNUMBER(SEARCH("수련교육부",$B293))),"인턴",$B293))=1,"명단 일치","명단 일치(이름만, 과 다름)"),IF(COUNTIF(입력_전공의명단!$C$2:$C$401,$D293)=0,IF(COUNTIF(입력_기본자료!$C$2:$C$1001,$D293)&gt;0,"명단에 없음(기본자료에는 있음)","명단에 없음"),"동명이인 확인")))</f>
        <v/>
      </c>
    </row>
    <row r="294">
      <c r="A294" s="29" t="n">
        <v>292</v>
      </c>
      <c r="B294" s="26">
        <f>IF(TRIM(INDEX(입력_구리근무자명단!$A$1:$GZ$303,$A294,1)&amp;"")&lt;&gt;"",TRIM(INDEX(입력_구리근무자명단!$A$1:$GZ$303,$A294,1)&amp;""),B293)</f>
        <v/>
      </c>
      <c r="C294" s="26">
        <f>IF(INDEX(입력_구리근무자명단!$A$1:$GZ$303,$A294,2)="","",INDEX(입력_구리근무자명단!$A$1:$GZ$303,$A294,2))</f>
        <v/>
      </c>
      <c r="D294" s="26">
        <f>IF($G$2="","",TRIM(IF($I$2="확정",INDEX(입력_구리근무자명단!$A$1:$GZ$303,$A294,$G$2+1)&amp;"",INDEX(입력_구리근무자명단!$A$1:$GZ$303,$A294,$G$2+0)&amp;"")))</f>
        <v/>
      </c>
      <c r="E294" s="26">
        <f>IF($D294="","",$I$2)</f>
        <v/>
      </c>
      <c r="F294" s="28">
        <f>IF($D294="","",IF(INDEX(입력_구리근무자명단!$A$1:$GZ$303,$A294,$G$2+2)="",출력_요약!$B$3,IF(ISNUMBER(INDEX(입력_구리근무자명단!$A$1:$GZ$303,$A294,$G$2+2)),INDEX(입력_구리근무자명단!$A$1:$GZ$303,$A294,$G$2+2),IFERROR(DATE(VALUE(LEFT(INDEX(입력_구리근무자명단!$A$1:$GZ$303,$A294,$G$2+2),4)),VALUE(MID(INDEX(입력_구리근무자명단!$A$1:$GZ$303,$A294,$G$2+2),6,2)),VALUE(MID(INDEX(입력_구리근무자명단!$A$1:$GZ$303,$A294,$G$2+2),9,2))),IFERROR(DATEVALUE(SUBSTITUTE(TRIM(INDEX(입력_구리근무자명단!$A$1:$GZ$303,$A294,$G$2+2)),".","-")),"⚠"&amp;INDEX(입력_구리근무자명단!$A$1:$GZ$303,$A294,$G$2+2))))))</f>
        <v/>
      </c>
      <c r="G294" s="28">
        <f>IF($D294="","",IF(INDEX(입력_구리근무자명단!$A$1:$GZ$303,$A294,$G$2+3)="",EOMONTH(출력_요약!$B$3,0),IF(ISNUMBER(INDEX(입력_구리근무자명단!$A$1:$GZ$303,$A294,$G$2+3)),INDEX(입력_구리근무자명단!$A$1:$GZ$303,$A294,$G$2+3),IFERROR(DATE(VALUE(LEFT(INDEX(입력_구리근무자명단!$A$1:$GZ$303,$A294,$G$2+3),4)),VALUE(MID(INDEX(입력_구리근무자명단!$A$1:$GZ$303,$A294,$G$2+3),6,2)),VALUE(MID(INDEX(입력_구리근무자명단!$A$1:$GZ$303,$A294,$G$2+3),9,2))),IFERROR(DATEVALUE(SUBSTITUTE(TRIM(INDEX(입력_구리근무자명단!$A$1:$GZ$303,$A294,$G$2+3)),".","-")),"⚠"&amp;INDEX(입력_구리근무자명단!$A$1:$GZ$303,$A294,$G$2+3))))))</f>
        <v/>
      </c>
      <c r="H294" s="26">
        <f>IF($D294="","",IF(OR(NOT(ISNUMBER($F294)),NOT(ISNUMBER($G294))),0,MAX(0,MIN($G294,EOMONTH(출력_요약!$B$3,0))-MAX($F294,출력_요약!$B$3)+1)))</f>
        <v/>
      </c>
      <c r="I294" s="26">
        <f>IF($D294="","",TRIM(INDEX(입력_구리근무자명단!$A$1:$GZ$303,$A294,$G$2+5)&amp;""))</f>
        <v/>
      </c>
      <c r="J294" s="26">
        <f>IF($D294="","",IF(ISNUMBER(SEARCH("구리독자",$I294)),"구리독자",""))</f>
        <v/>
      </c>
      <c r="K294" s="29">
        <f>IF($D294="","",IF(COUNTIFS(입력_전공의명단!$C$2:$C$401,$D294,입력_전공의명단!$F$2:$F$401,IF(OR($C294="인턴",ISNUMBER(SEARCH("수련교육부",$B294))),"인턴",$B294))=1,MATCH($D294&amp;"|"&amp;IF(OR($C294="인턴",ISNUMBER(SEARCH("수련교육부",$B294))),"인턴",$B294),입력_전공의명단!$AP$2:$AP$401,0),IF(AND(COUNTIFS(입력_전공의명단!$C$2:$C$401,$D294,입력_전공의명단!$F$2:$F$401,IF(OR($C294="인턴",ISNUMBER(SEARCH("수련교육부",$B294))),"인턴",$B294))=0,COUNTIF(입력_전공의명단!$C$2:$C$401,$D294)=1),MATCH($D294,입력_전공의명단!$C$2:$C$401,0),"")))</f>
        <v/>
      </c>
      <c r="L294" s="26">
        <f>IF($D294="","",IF($K294&lt;&gt;"",IF(COUNTIFS(입력_전공의명단!$C$2:$C$401,$D294,입력_전공의명단!$F$2:$F$401,IF(OR($C294="인턴",ISNUMBER(SEARCH("수련교육부",$B294))),"인턴",$B294))=1,"명단 일치","명단 일치(이름만, 과 다름)"),IF(COUNTIF(입력_전공의명단!$C$2:$C$401,$D294)=0,IF(COUNTIF(입력_기본자료!$C$2:$C$1001,$D294)&gt;0,"명단에 없음(기본자료에는 있음)","명단에 없음"),"동명이인 확인")))</f>
        <v/>
      </c>
    </row>
    <row r="295">
      <c r="A295" s="29" t="n">
        <v>293</v>
      </c>
      <c r="B295" s="26">
        <f>IF(TRIM(INDEX(입력_구리근무자명단!$A$1:$GZ$303,$A295,1)&amp;"")&lt;&gt;"",TRIM(INDEX(입력_구리근무자명단!$A$1:$GZ$303,$A295,1)&amp;""),B294)</f>
        <v/>
      </c>
      <c r="C295" s="26">
        <f>IF(INDEX(입력_구리근무자명단!$A$1:$GZ$303,$A295,2)="","",INDEX(입력_구리근무자명단!$A$1:$GZ$303,$A295,2))</f>
        <v/>
      </c>
      <c r="D295" s="26">
        <f>IF($G$2="","",TRIM(IF($I$2="확정",INDEX(입력_구리근무자명단!$A$1:$GZ$303,$A295,$G$2+1)&amp;"",INDEX(입력_구리근무자명단!$A$1:$GZ$303,$A295,$G$2+0)&amp;"")))</f>
        <v/>
      </c>
      <c r="E295" s="26">
        <f>IF($D295="","",$I$2)</f>
        <v/>
      </c>
      <c r="F295" s="28">
        <f>IF($D295="","",IF(INDEX(입력_구리근무자명단!$A$1:$GZ$303,$A295,$G$2+2)="",출력_요약!$B$3,IF(ISNUMBER(INDEX(입력_구리근무자명단!$A$1:$GZ$303,$A295,$G$2+2)),INDEX(입력_구리근무자명단!$A$1:$GZ$303,$A295,$G$2+2),IFERROR(DATE(VALUE(LEFT(INDEX(입력_구리근무자명단!$A$1:$GZ$303,$A295,$G$2+2),4)),VALUE(MID(INDEX(입력_구리근무자명단!$A$1:$GZ$303,$A295,$G$2+2),6,2)),VALUE(MID(INDEX(입력_구리근무자명단!$A$1:$GZ$303,$A295,$G$2+2),9,2))),IFERROR(DATEVALUE(SUBSTITUTE(TRIM(INDEX(입력_구리근무자명단!$A$1:$GZ$303,$A295,$G$2+2)),".","-")),"⚠"&amp;INDEX(입력_구리근무자명단!$A$1:$GZ$303,$A295,$G$2+2))))))</f>
        <v/>
      </c>
      <c r="G295" s="28">
        <f>IF($D295="","",IF(INDEX(입력_구리근무자명단!$A$1:$GZ$303,$A295,$G$2+3)="",EOMONTH(출력_요약!$B$3,0),IF(ISNUMBER(INDEX(입력_구리근무자명단!$A$1:$GZ$303,$A295,$G$2+3)),INDEX(입력_구리근무자명단!$A$1:$GZ$303,$A295,$G$2+3),IFERROR(DATE(VALUE(LEFT(INDEX(입력_구리근무자명단!$A$1:$GZ$303,$A295,$G$2+3),4)),VALUE(MID(INDEX(입력_구리근무자명단!$A$1:$GZ$303,$A295,$G$2+3),6,2)),VALUE(MID(INDEX(입력_구리근무자명단!$A$1:$GZ$303,$A295,$G$2+3),9,2))),IFERROR(DATEVALUE(SUBSTITUTE(TRIM(INDEX(입력_구리근무자명단!$A$1:$GZ$303,$A295,$G$2+3)),".","-")),"⚠"&amp;INDEX(입력_구리근무자명단!$A$1:$GZ$303,$A295,$G$2+3))))))</f>
        <v/>
      </c>
      <c r="H295" s="26">
        <f>IF($D295="","",IF(OR(NOT(ISNUMBER($F295)),NOT(ISNUMBER($G295))),0,MAX(0,MIN($G295,EOMONTH(출력_요약!$B$3,0))-MAX($F295,출력_요약!$B$3)+1)))</f>
        <v/>
      </c>
      <c r="I295" s="26">
        <f>IF($D295="","",TRIM(INDEX(입력_구리근무자명단!$A$1:$GZ$303,$A295,$G$2+5)&amp;""))</f>
        <v/>
      </c>
      <c r="J295" s="26">
        <f>IF($D295="","",IF(ISNUMBER(SEARCH("구리독자",$I295)),"구리독자",""))</f>
        <v/>
      </c>
      <c r="K295" s="29">
        <f>IF($D295="","",IF(COUNTIFS(입력_전공의명단!$C$2:$C$401,$D295,입력_전공의명단!$F$2:$F$401,IF(OR($C295="인턴",ISNUMBER(SEARCH("수련교육부",$B295))),"인턴",$B295))=1,MATCH($D295&amp;"|"&amp;IF(OR($C295="인턴",ISNUMBER(SEARCH("수련교육부",$B295))),"인턴",$B295),입력_전공의명단!$AP$2:$AP$401,0),IF(AND(COUNTIFS(입력_전공의명단!$C$2:$C$401,$D295,입력_전공의명단!$F$2:$F$401,IF(OR($C295="인턴",ISNUMBER(SEARCH("수련교육부",$B295))),"인턴",$B295))=0,COUNTIF(입력_전공의명단!$C$2:$C$401,$D295)=1),MATCH($D295,입력_전공의명단!$C$2:$C$401,0),"")))</f>
        <v/>
      </c>
      <c r="L295" s="26">
        <f>IF($D295="","",IF($K295&lt;&gt;"",IF(COUNTIFS(입력_전공의명단!$C$2:$C$401,$D295,입력_전공의명단!$F$2:$F$401,IF(OR($C295="인턴",ISNUMBER(SEARCH("수련교육부",$B295))),"인턴",$B295))=1,"명단 일치","명단 일치(이름만, 과 다름)"),IF(COUNTIF(입력_전공의명단!$C$2:$C$401,$D295)=0,IF(COUNTIF(입력_기본자료!$C$2:$C$1001,$D295)&gt;0,"명단에 없음(기본자료에는 있음)","명단에 없음"),"동명이인 확인")))</f>
        <v/>
      </c>
    </row>
    <row r="296">
      <c r="A296" s="29" t="n">
        <v>294</v>
      </c>
      <c r="B296" s="26">
        <f>IF(TRIM(INDEX(입력_구리근무자명단!$A$1:$GZ$303,$A296,1)&amp;"")&lt;&gt;"",TRIM(INDEX(입력_구리근무자명단!$A$1:$GZ$303,$A296,1)&amp;""),B295)</f>
        <v/>
      </c>
      <c r="C296" s="26">
        <f>IF(INDEX(입력_구리근무자명단!$A$1:$GZ$303,$A296,2)="","",INDEX(입력_구리근무자명단!$A$1:$GZ$303,$A296,2))</f>
        <v/>
      </c>
      <c r="D296" s="26">
        <f>IF($G$2="","",TRIM(IF($I$2="확정",INDEX(입력_구리근무자명단!$A$1:$GZ$303,$A296,$G$2+1)&amp;"",INDEX(입력_구리근무자명단!$A$1:$GZ$303,$A296,$G$2+0)&amp;"")))</f>
        <v/>
      </c>
      <c r="E296" s="26">
        <f>IF($D296="","",$I$2)</f>
        <v/>
      </c>
      <c r="F296" s="28">
        <f>IF($D296="","",IF(INDEX(입력_구리근무자명단!$A$1:$GZ$303,$A296,$G$2+2)="",출력_요약!$B$3,IF(ISNUMBER(INDEX(입력_구리근무자명단!$A$1:$GZ$303,$A296,$G$2+2)),INDEX(입력_구리근무자명단!$A$1:$GZ$303,$A296,$G$2+2),IFERROR(DATE(VALUE(LEFT(INDEX(입력_구리근무자명단!$A$1:$GZ$303,$A296,$G$2+2),4)),VALUE(MID(INDEX(입력_구리근무자명단!$A$1:$GZ$303,$A296,$G$2+2),6,2)),VALUE(MID(INDEX(입력_구리근무자명단!$A$1:$GZ$303,$A296,$G$2+2),9,2))),IFERROR(DATEVALUE(SUBSTITUTE(TRIM(INDEX(입력_구리근무자명단!$A$1:$GZ$303,$A296,$G$2+2)),".","-")),"⚠"&amp;INDEX(입력_구리근무자명단!$A$1:$GZ$303,$A296,$G$2+2))))))</f>
        <v/>
      </c>
      <c r="G296" s="28">
        <f>IF($D296="","",IF(INDEX(입력_구리근무자명단!$A$1:$GZ$303,$A296,$G$2+3)="",EOMONTH(출력_요약!$B$3,0),IF(ISNUMBER(INDEX(입력_구리근무자명단!$A$1:$GZ$303,$A296,$G$2+3)),INDEX(입력_구리근무자명단!$A$1:$GZ$303,$A296,$G$2+3),IFERROR(DATE(VALUE(LEFT(INDEX(입력_구리근무자명단!$A$1:$GZ$303,$A296,$G$2+3),4)),VALUE(MID(INDEX(입력_구리근무자명단!$A$1:$GZ$303,$A296,$G$2+3),6,2)),VALUE(MID(INDEX(입력_구리근무자명단!$A$1:$GZ$303,$A296,$G$2+3),9,2))),IFERROR(DATEVALUE(SUBSTITUTE(TRIM(INDEX(입력_구리근무자명단!$A$1:$GZ$303,$A296,$G$2+3)),".","-")),"⚠"&amp;INDEX(입력_구리근무자명단!$A$1:$GZ$303,$A296,$G$2+3))))))</f>
        <v/>
      </c>
      <c r="H296" s="26">
        <f>IF($D296="","",IF(OR(NOT(ISNUMBER($F296)),NOT(ISNUMBER($G296))),0,MAX(0,MIN($G296,EOMONTH(출력_요약!$B$3,0))-MAX($F296,출력_요약!$B$3)+1)))</f>
        <v/>
      </c>
      <c r="I296" s="26">
        <f>IF($D296="","",TRIM(INDEX(입력_구리근무자명단!$A$1:$GZ$303,$A296,$G$2+5)&amp;""))</f>
        <v/>
      </c>
      <c r="J296" s="26">
        <f>IF($D296="","",IF(ISNUMBER(SEARCH("구리독자",$I296)),"구리독자",""))</f>
        <v/>
      </c>
      <c r="K296" s="29">
        <f>IF($D296="","",IF(COUNTIFS(입력_전공의명단!$C$2:$C$401,$D296,입력_전공의명단!$F$2:$F$401,IF(OR($C296="인턴",ISNUMBER(SEARCH("수련교육부",$B296))),"인턴",$B296))=1,MATCH($D296&amp;"|"&amp;IF(OR($C296="인턴",ISNUMBER(SEARCH("수련교육부",$B296))),"인턴",$B296),입력_전공의명단!$AP$2:$AP$401,0),IF(AND(COUNTIFS(입력_전공의명단!$C$2:$C$401,$D296,입력_전공의명단!$F$2:$F$401,IF(OR($C296="인턴",ISNUMBER(SEARCH("수련교육부",$B296))),"인턴",$B296))=0,COUNTIF(입력_전공의명단!$C$2:$C$401,$D296)=1),MATCH($D296,입력_전공의명단!$C$2:$C$401,0),"")))</f>
        <v/>
      </c>
      <c r="L296" s="26">
        <f>IF($D296="","",IF($K296&lt;&gt;"",IF(COUNTIFS(입력_전공의명단!$C$2:$C$401,$D296,입력_전공의명단!$F$2:$F$401,IF(OR($C296="인턴",ISNUMBER(SEARCH("수련교육부",$B296))),"인턴",$B296))=1,"명단 일치","명단 일치(이름만, 과 다름)"),IF(COUNTIF(입력_전공의명단!$C$2:$C$401,$D296)=0,IF(COUNTIF(입력_기본자료!$C$2:$C$1001,$D296)&gt;0,"명단에 없음(기본자료에는 있음)","명단에 없음"),"동명이인 확인")))</f>
        <v/>
      </c>
    </row>
    <row r="297">
      <c r="A297" s="29" t="n">
        <v>295</v>
      </c>
      <c r="B297" s="26">
        <f>IF(TRIM(INDEX(입력_구리근무자명단!$A$1:$GZ$303,$A297,1)&amp;"")&lt;&gt;"",TRIM(INDEX(입력_구리근무자명단!$A$1:$GZ$303,$A297,1)&amp;""),B296)</f>
        <v/>
      </c>
      <c r="C297" s="26">
        <f>IF(INDEX(입력_구리근무자명단!$A$1:$GZ$303,$A297,2)="","",INDEX(입력_구리근무자명단!$A$1:$GZ$303,$A297,2))</f>
        <v/>
      </c>
      <c r="D297" s="26">
        <f>IF($G$2="","",TRIM(IF($I$2="확정",INDEX(입력_구리근무자명단!$A$1:$GZ$303,$A297,$G$2+1)&amp;"",INDEX(입력_구리근무자명단!$A$1:$GZ$303,$A297,$G$2+0)&amp;"")))</f>
        <v/>
      </c>
      <c r="E297" s="26">
        <f>IF($D297="","",$I$2)</f>
        <v/>
      </c>
      <c r="F297" s="28">
        <f>IF($D297="","",IF(INDEX(입력_구리근무자명단!$A$1:$GZ$303,$A297,$G$2+2)="",출력_요약!$B$3,IF(ISNUMBER(INDEX(입력_구리근무자명단!$A$1:$GZ$303,$A297,$G$2+2)),INDEX(입력_구리근무자명단!$A$1:$GZ$303,$A297,$G$2+2),IFERROR(DATE(VALUE(LEFT(INDEX(입력_구리근무자명단!$A$1:$GZ$303,$A297,$G$2+2),4)),VALUE(MID(INDEX(입력_구리근무자명단!$A$1:$GZ$303,$A297,$G$2+2),6,2)),VALUE(MID(INDEX(입력_구리근무자명단!$A$1:$GZ$303,$A297,$G$2+2),9,2))),IFERROR(DATEVALUE(SUBSTITUTE(TRIM(INDEX(입력_구리근무자명단!$A$1:$GZ$303,$A297,$G$2+2)),".","-")),"⚠"&amp;INDEX(입력_구리근무자명단!$A$1:$GZ$303,$A297,$G$2+2))))))</f>
        <v/>
      </c>
      <c r="G297" s="28">
        <f>IF($D297="","",IF(INDEX(입력_구리근무자명단!$A$1:$GZ$303,$A297,$G$2+3)="",EOMONTH(출력_요약!$B$3,0),IF(ISNUMBER(INDEX(입력_구리근무자명단!$A$1:$GZ$303,$A297,$G$2+3)),INDEX(입력_구리근무자명단!$A$1:$GZ$303,$A297,$G$2+3),IFERROR(DATE(VALUE(LEFT(INDEX(입력_구리근무자명단!$A$1:$GZ$303,$A297,$G$2+3),4)),VALUE(MID(INDEX(입력_구리근무자명단!$A$1:$GZ$303,$A297,$G$2+3),6,2)),VALUE(MID(INDEX(입력_구리근무자명단!$A$1:$GZ$303,$A297,$G$2+3),9,2))),IFERROR(DATEVALUE(SUBSTITUTE(TRIM(INDEX(입력_구리근무자명단!$A$1:$GZ$303,$A297,$G$2+3)),".","-")),"⚠"&amp;INDEX(입력_구리근무자명단!$A$1:$GZ$303,$A297,$G$2+3))))))</f>
        <v/>
      </c>
      <c r="H297" s="26">
        <f>IF($D297="","",IF(OR(NOT(ISNUMBER($F297)),NOT(ISNUMBER($G297))),0,MAX(0,MIN($G297,EOMONTH(출력_요약!$B$3,0))-MAX($F297,출력_요약!$B$3)+1)))</f>
        <v/>
      </c>
      <c r="I297" s="26">
        <f>IF($D297="","",TRIM(INDEX(입력_구리근무자명단!$A$1:$GZ$303,$A297,$G$2+5)&amp;""))</f>
        <v/>
      </c>
      <c r="J297" s="26">
        <f>IF($D297="","",IF(ISNUMBER(SEARCH("구리독자",$I297)),"구리독자",""))</f>
        <v/>
      </c>
      <c r="K297" s="29">
        <f>IF($D297="","",IF(COUNTIFS(입력_전공의명단!$C$2:$C$401,$D297,입력_전공의명단!$F$2:$F$401,IF(OR($C297="인턴",ISNUMBER(SEARCH("수련교육부",$B297))),"인턴",$B297))=1,MATCH($D297&amp;"|"&amp;IF(OR($C297="인턴",ISNUMBER(SEARCH("수련교육부",$B297))),"인턴",$B297),입력_전공의명단!$AP$2:$AP$401,0),IF(AND(COUNTIFS(입력_전공의명단!$C$2:$C$401,$D297,입력_전공의명단!$F$2:$F$401,IF(OR($C297="인턴",ISNUMBER(SEARCH("수련교육부",$B297))),"인턴",$B297))=0,COUNTIF(입력_전공의명단!$C$2:$C$401,$D297)=1),MATCH($D297,입력_전공의명단!$C$2:$C$401,0),"")))</f>
        <v/>
      </c>
      <c r="L297" s="26">
        <f>IF($D297="","",IF($K297&lt;&gt;"",IF(COUNTIFS(입력_전공의명단!$C$2:$C$401,$D297,입력_전공의명단!$F$2:$F$401,IF(OR($C297="인턴",ISNUMBER(SEARCH("수련교육부",$B297))),"인턴",$B297))=1,"명단 일치","명단 일치(이름만, 과 다름)"),IF(COUNTIF(입력_전공의명단!$C$2:$C$401,$D297)=0,IF(COUNTIF(입력_기본자료!$C$2:$C$1001,$D297)&gt;0,"명단에 없음(기본자료에는 있음)","명단에 없음"),"동명이인 확인")))</f>
        <v/>
      </c>
    </row>
    <row r="298">
      <c r="A298" s="29" t="n">
        <v>296</v>
      </c>
      <c r="B298" s="26">
        <f>IF(TRIM(INDEX(입력_구리근무자명단!$A$1:$GZ$303,$A298,1)&amp;"")&lt;&gt;"",TRIM(INDEX(입력_구리근무자명단!$A$1:$GZ$303,$A298,1)&amp;""),B297)</f>
        <v/>
      </c>
      <c r="C298" s="26">
        <f>IF(INDEX(입력_구리근무자명단!$A$1:$GZ$303,$A298,2)="","",INDEX(입력_구리근무자명단!$A$1:$GZ$303,$A298,2))</f>
        <v/>
      </c>
      <c r="D298" s="26">
        <f>IF($G$2="","",TRIM(IF($I$2="확정",INDEX(입력_구리근무자명단!$A$1:$GZ$303,$A298,$G$2+1)&amp;"",INDEX(입력_구리근무자명단!$A$1:$GZ$303,$A298,$G$2+0)&amp;"")))</f>
        <v/>
      </c>
      <c r="E298" s="26">
        <f>IF($D298="","",$I$2)</f>
        <v/>
      </c>
      <c r="F298" s="28">
        <f>IF($D298="","",IF(INDEX(입력_구리근무자명단!$A$1:$GZ$303,$A298,$G$2+2)="",출력_요약!$B$3,IF(ISNUMBER(INDEX(입력_구리근무자명단!$A$1:$GZ$303,$A298,$G$2+2)),INDEX(입력_구리근무자명단!$A$1:$GZ$303,$A298,$G$2+2),IFERROR(DATE(VALUE(LEFT(INDEX(입력_구리근무자명단!$A$1:$GZ$303,$A298,$G$2+2),4)),VALUE(MID(INDEX(입력_구리근무자명단!$A$1:$GZ$303,$A298,$G$2+2),6,2)),VALUE(MID(INDEX(입력_구리근무자명단!$A$1:$GZ$303,$A298,$G$2+2),9,2))),IFERROR(DATEVALUE(SUBSTITUTE(TRIM(INDEX(입력_구리근무자명단!$A$1:$GZ$303,$A298,$G$2+2)),".","-")),"⚠"&amp;INDEX(입력_구리근무자명단!$A$1:$GZ$303,$A298,$G$2+2))))))</f>
        <v/>
      </c>
      <c r="G298" s="28">
        <f>IF($D298="","",IF(INDEX(입력_구리근무자명단!$A$1:$GZ$303,$A298,$G$2+3)="",EOMONTH(출력_요약!$B$3,0),IF(ISNUMBER(INDEX(입력_구리근무자명단!$A$1:$GZ$303,$A298,$G$2+3)),INDEX(입력_구리근무자명단!$A$1:$GZ$303,$A298,$G$2+3),IFERROR(DATE(VALUE(LEFT(INDEX(입력_구리근무자명단!$A$1:$GZ$303,$A298,$G$2+3),4)),VALUE(MID(INDEX(입력_구리근무자명단!$A$1:$GZ$303,$A298,$G$2+3),6,2)),VALUE(MID(INDEX(입력_구리근무자명단!$A$1:$GZ$303,$A298,$G$2+3),9,2))),IFERROR(DATEVALUE(SUBSTITUTE(TRIM(INDEX(입력_구리근무자명단!$A$1:$GZ$303,$A298,$G$2+3)),".","-")),"⚠"&amp;INDEX(입력_구리근무자명단!$A$1:$GZ$303,$A298,$G$2+3))))))</f>
        <v/>
      </c>
      <c r="H298" s="26">
        <f>IF($D298="","",IF(OR(NOT(ISNUMBER($F298)),NOT(ISNUMBER($G298))),0,MAX(0,MIN($G298,EOMONTH(출력_요약!$B$3,0))-MAX($F298,출력_요약!$B$3)+1)))</f>
        <v/>
      </c>
      <c r="I298" s="26">
        <f>IF($D298="","",TRIM(INDEX(입력_구리근무자명단!$A$1:$GZ$303,$A298,$G$2+5)&amp;""))</f>
        <v/>
      </c>
      <c r="J298" s="26">
        <f>IF($D298="","",IF(ISNUMBER(SEARCH("구리독자",$I298)),"구리독자",""))</f>
        <v/>
      </c>
      <c r="K298" s="29">
        <f>IF($D298="","",IF(COUNTIFS(입력_전공의명단!$C$2:$C$401,$D298,입력_전공의명단!$F$2:$F$401,IF(OR($C298="인턴",ISNUMBER(SEARCH("수련교육부",$B298))),"인턴",$B298))=1,MATCH($D298&amp;"|"&amp;IF(OR($C298="인턴",ISNUMBER(SEARCH("수련교육부",$B298))),"인턴",$B298),입력_전공의명단!$AP$2:$AP$401,0),IF(AND(COUNTIFS(입력_전공의명단!$C$2:$C$401,$D298,입력_전공의명단!$F$2:$F$401,IF(OR($C298="인턴",ISNUMBER(SEARCH("수련교육부",$B298))),"인턴",$B298))=0,COUNTIF(입력_전공의명단!$C$2:$C$401,$D298)=1),MATCH($D298,입력_전공의명단!$C$2:$C$401,0),"")))</f>
        <v/>
      </c>
      <c r="L298" s="26">
        <f>IF($D298="","",IF($K298&lt;&gt;"",IF(COUNTIFS(입력_전공의명단!$C$2:$C$401,$D298,입력_전공의명단!$F$2:$F$401,IF(OR($C298="인턴",ISNUMBER(SEARCH("수련교육부",$B298))),"인턴",$B298))=1,"명단 일치","명단 일치(이름만, 과 다름)"),IF(COUNTIF(입력_전공의명단!$C$2:$C$401,$D298)=0,IF(COUNTIF(입력_기본자료!$C$2:$C$1001,$D298)&gt;0,"명단에 없음(기본자료에는 있음)","명단에 없음"),"동명이인 확인")))</f>
        <v/>
      </c>
    </row>
    <row r="299">
      <c r="A299" s="29" t="n">
        <v>297</v>
      </c>
      <c r="B299" s="26">
        <f>IF(TRIM(INDEX(입력_구리근무자명단!$A$1:$GZ$303,$A299,1)&amp;"")&lt;&gt;"",TRIM(INDEX(입력_구리근무자명단!$A$1:$GZ$303,$A299,1)&amp;""),B298)</f>
        <v/>
      </c>
      <c r="C299" s="26">
        <f>IF(INDEX(입력_구리근무자명단!$A$1:$GZ$303,$A299,2)="","",INDEX(입력_구리근무자명단!$A$1:$GZ$303,$A299,2))</f>
        <v/>
      </c>
      <c r="D299" s="26">
        <f>IF($G$2="","",TRIM(IF($I$2="확정",INDEX(입력_구리근무자명단!$A$1:$GZ$303,$A299,$G$2+1)&amp;"",INDEX(입력_구리근무자명단!$A$1:$GZ$303,$A299,$G$2+0)&amp;"")))</f>
        <v/>
      </c>
      <c r="E299" s="26">
        <f>IF($D299="","",$I$2)</f>
        <v/>
      </c>
      <c r="F299" s="28">
        <f>IF($D299="","",IF(INDEX(입력_구리근무자명단!$A$1:$GZ$303,$A299,$G$2+2)="",출력_요약!$B$3,IF(ISNUMBER(INDEX(입력_구리근무자명단!$A$1:$GZ$303,$A299,$G$2+2)),INDEX(입력_구리근무자명단!$A$1:$GZ$303,$A299,$G$2+2),IFERROR(DATE(VALUE(LEFT(INDEX(입력_구리근무자명단!$A$1:$GZ$303,$A299,$G$2+2),4)),VALUE(MID(INDEX(입력_구리근무자명단!$A$1:$GZ$303,$A299,$G$2+2),6,2)),VALUE(MID(INDEX(입력_구리근무자명단!$A$1:$GZ$303,$A299,$G$2+2),9,2))),IFERROR(DATEVALUE(SUBSTITUTE(TRIM(INDEX(입력_구리근무자명단!$A$1:$GZ$303,$A299,$G$2+2)),".","-")),"⚠"&amp;INDEX(입력_구리근무자명단!$A$1:$GZ$303,$A299,$G$2+2))))))</f>
        <v/>
      </c>
      <c r="G299" s="28">
        <f>IF($D299="","",IF(INDEX(입력_구리근무자명단!$A$1:$GZ$303,$A299,$G$2+3)="",EOMONTH(출력_요약!$B$3,0),IF(ISNUMBER(INDEX(입력_구리근무자명단!$A$1:$GZ$303,$A299,$G$2+3)),INDEX(입력_구리근무자명단!$A$1:$GZ$303,$A299,$G$2+3),IFERROR(DATE(VALUE(LEFT(INDEX(입력_구리근무자명단!$A$1:$GZ$303,$A299,$G$2+3),4)),VALUE(MID(INDEX(입력_구리근무자명단!$A$1:$GZ$303,$A299,$G$2+3),6,2)),VALUE(MID(INDEX(입력_구리근무자명단!$A$1:$GZ$303,$A299,$G$2+3),9,2))),IFERROR(DATEVALUE(SUBSTITUTE(TRIM(INDEX(입력_구리근무자명단!$A$1:$GZ$303,$A299,$G$2+3)),".","-")),"⚠"&amp;INDEX(입력_구리근무자명단!$A$1:$GZ$303,$A299,$G$2+3))))))</f>
        <v/>
      </c>
      <c r="H299" s="26">
        <f>IF($D299="","",IF(OR(NOT(ISNUMBER($F299)),NOT(ISNUMBER($G299))),0,MAX(0,MIN($G299,EOMONTH(출력_요약!$B$3,0))-MAX($F299,출력_요약!$B$3)+1)))</f>
        <v/>
      </c>
      <c r="I299" s="26">
        <f>IF($D299="","",TRIM(INDEX(입력_구리근무자명단!$A$1:$GZ$303,$A299,$G$2+5)&amp;""))</f>
        <v/>
      </c>
      <c r="J299" s="26">
        <f>IF($D299="","",IF(ISNUMBER(SEARCH("구리독자",$I299)),"구리독자",""))</f>
        <v/>
      </c>
      <c r="K299" s="29">
        <f>IF($D299="","",IF(COUNTIFS(입력_전공의명단!$C$2:$C$401,$D299,입력_전공의명단!$F$2:$F$401,IF(OR($C299="인턴",ISNUMBER(SEARCH("수련교육부",$B299))),"인턴",$B299))=1,MATCH($D299&amp;"|"&amp;IF(OR($C299="인턴",ISNUMBER(SEARCH("수련교육부",$B299))),"인턴",$B299),입력_전공의명단!$AP$2:$AP$401,0),IF(AND(COUNTIFS(입력_전공의명단!$C$2:$C$401,$D299,입력_전공의명단!$F$2:$F$401,IF(OR($C299="인턴",ISNUMBER(SEARCH("수련교육부",$B299))),"인턴",$B299))=0,COUNTIF(입력_전공의명단!$C$2:$C$401,$D299)=1),MATCH($D299,입력_전공의명단!$C$2:$C$401,0),"")))</f>
        <v/>
      </c>
      <c r="L299" s="26">
        <f>IF($D299="","",IF($K299&lt;&gt;"",IF(COUNTIFS(입력_전공의명단!$C$2:$C$401,$D299,입력_전공의명단!$F$2:$F$401,IF(OR($C299="인턴",ISNUMBER(SEARCH("수련교육부",$B299))),"인턴",$B299))=1,"명단 일치","명단 일치(이름만, 과 다름)"),IF(COUNTIF(입력_전공의명단!$C$2:$C$401,$D299)=0,IF(COUNTIF(입력_기본자료!$C$2:$C$1001,$D299)&gt;0,"명단에 없음(기본자료에는 있음)","명단에 없음"),"동명이인 확인")))</f>
        <v/>
      </c>
    </row>
    <row r="300">
      <c r="A300" s="29" t="n">
        <v>298</v>
      </c>
      <c r="B300" s="26">
        <f>IF(TRIM(INDEX(입력_구리근무자명단!$A$1:$GZ$303,$A300,1)&amp;"")&lt;&gt;"",TRIM(INDEX(입력_구리근무자명단!$A$1:$GZ$303,$A300,1)&amp;""),B299)</f>
        <v/>
      </c>
      <c r="C300" s="26">
        <f>IF(INDEX(입력_구리근무자명단!$A$1:$GZ$303,$A300,2)="","",INDEX(입력_구리근무자명단!$A$1:$GZ$303,$A300,2))</f>
        <v/>
      </c>
      <c r="D300" s="26">
        <f>IF($G$2="","",TRIM(IF($I$2="확정",INDEX(입력_구리근무자명단!$A$1:$GZ$303,$A300,$G$2+1)&amp;"",INDEX(입력_구리근무자명단!$A$1:$GZ$303,$A300,$G$2+0)&amp;"")))</f>
        <v/>
      </c>
      <c r="E300" s="26">
        <f>IF($D300="","",$I$2)</f>
        <v/>
      </c>
      <c r="F300" s="28">
        <f>IF($D300="","",IF(INDEX(입력_구리근무자명단!$A$1:$GZ$303,$A300,$G$2+2)="",출력_요약!$B$3,IF(ISNUMBER(INDEX(입력_구리근무자명단!$A$1:$GZ$303,$A300,$G$2+2)),INDEX(입력_구리근무자명단!$A$1:$GZ$303,$A300,$G$2+2),IFERROR(DATE(VALUE(LEFT(INDEX(입력_구리근무자명단!$A$1:$GZ$303,$A300,$G$2+2),4)),VALUE(MID(INDEX(입력_구리근무자명단!$A$1:$GZ$303,$A300,$G$2+2),6,2)),VALUE(MID(INDEX(입력_구리근무자명단!$A$1:$GZ$303,$A300,$G$2+2),9,2))),IFERROR(DATEVALUE(SUBSTITUTE(TRIM(INDEX(입력_구리근무자명단!$A$1:$GZ$303,$A300,$G$2+2)),".","-")),"⚠"&amp;INDEX(입력_구리근무자명단!$A$1:$GZ$303,$A300,$G$2+2))))))</f>
        <v/>
      </c>
      <c r="G300" s="28">
        <f>IF($D300="","",IF(INDEX(입력_구리근무자명단!$A$1:$GZ$303,$A300,$G$2+3)="",EOMONTH(출력_요약!$B$3,0),IF(ISNUMBER(INDEX(입력_구리근무자명단!$A$1:$GZ$303,$A300,$G$2+3)),INDEX(입력_구리근무자명단!$A$1:$GZ$303,$A300,$G$2+3),IFERROR(DATE(VALUE(LEFT(INDEX(입력_구리근무자명단!$A$1:$GZ$303,$A300,$G$2+3),4)),VALUE(MID(INDEX(입력_구리근무자명단!$A$1:$GZ$303,$A300,$G$2+3),6,2)),VALUE(MID(INDEX(입력_구리근무자명단!$A$1:$GZ$303,$A300,$G$2+3),9,2))),IFERROR(DATEVALUE(SUBSTITUTE(TRIM(INDEX(입력_구리근무자명단!$A$1:$GZ$303,$A300,$G$2+3)),".","-")),"⚠"&amp;INDEX(입력_구리근무자명단!$A$1:$GZ$303,$A300,$G$2+3))))))</f>
        <v/>
      </c>
      <c r="H300" s="26">
        <f>IF($D300="","",IF(OR(NOT(ISNUMBER($F300)),NOT(ISNUMBER($G300))),0,MAX(0,MIN($G300,EOMONTH(출력_요약!$B$3,0))-MAX($F300,출력_요약!$B$3)+1)))</f>
        <v/>
      </c>
      <c r="I300" s="26">
        <f>IF($D300="","",TRIM(INDEX(입력_구리근무자명단!$A$1:$GZ$303,$A300,$G$2+5)&amp;""))</f>
        <v/>
      </c>
      <c r="J300" s="26">
        <f>IF($D300="","",IF(ISNUMBER(SEARCH("구리독자",$I300)),"구리독자",""))</f>
        <v/>
      </c>
      <c r="K300" s="29">
        <f>IF($D300="","",IF(COUNTIFS(입력_전공의명단!$C$2:$C$401,$D300,입력_전공의명단!$F$2:$F$401,IF(OR($C300="인턴",ISNUMBER(SEARCH("수련교육부",$B300))),"인턴",$B300))=1,MATCH($D300&amp;"|"&amp;IF(OR($C300="인턴",ISNUMBER(SEARCH("수련교육부",$B300))),"인턴",$B300),입력_전공의명단!$AP$2:$AP$401,0),IF(AND(COUNTIFS(입력_전공의명단!$C$2:$C$401,$D300,입력_전공의명단!$F$2:$F$401,IF(OR($C300="인턴",ISNUMBER(SEARCH("수련교육부",$B300))),"인턴",$B300))=0,COUNTIF(입력_전공의명단!$C$2:$C$401,$D300)=1),MATCH($D300,입력_전공의명단!$C$2:$C$401,0),"")))</f>
        <v/>
      </c>
      <c r="L300" s="26">
        <f>IF($D300="","",IF($K300&lt;&gt;"",IF(COUNTIFS(입력_전공의명단!$C$2:$C$401,$D300,입력_전공의명단!$F$2:$F$401,IF(OR($C300="인턴",ISNUMBER(SEARCH("수련교육부",$B300))),"인턴",$B300))=1,"명단 일치","명단 일치(이름만, 과 다름)"),IF(COUNTIF(입력_전공의명단!$C$2:$C$401,$D300)=0,IF(COUNTIF(입력_기본자료!$C$2:$C$1001,$D300)&gt;0,"명단에 없음(기본자료에는 있음)","명단에 없음"),"동명이인 확인")))</f>
        <v/>
      </c>
    </row>
    <row r="301">
      <c r="A301" s="29" t="n">
        <v>299</v>
      </c>
      <c r="B301" s="26">
        <f>IF(TRIM(INDEX(입력_구리근무자명단!$A$1:$GZ$303,$A301,1)&amp;"")&lt;&gt;"",TRIM(INDEX(입력_구리근무자명단!$A$1:$GZ$303,$A301,1)&amp;""),B300)</f>
        <v/>
      </c>
      <c r="C301" s="26">
        <f>IF(INDEX(입력_구리근무자명단!$A$1:$GZ$303,$A301,2)="","",INDEX(입력_구리근무자명단!$A$1:$GZ$303,$A301,2))</f>
        <v/>
      </c>
      <c r="D301" s="26">
        <f>IF($G$2="","",TRIM(IF($I$2="확정",INDEX(입력_구리근무자명단!$A$1:$GZ$303,$A301,$G$2+1)&amp;"",INDEX(입력_구리근무자명단!$A$1:$GZ$303,$A301,$G$2+0)&amp;"")))</f>
        <v/>
      </c>
      <c r="E301" s="26">
        <f>IF($D301="","",$I$2)</f>
        <v/>
      </c>
      <c r="F301" s="28">
        <f>IF($D301="","",IF(INDEX(입력_구리근무자명단!$A$1:$GZ$303,$A301,$G$2+2)="",출력_요약!$B$3,IF(ISNUMBER(INDEX(입력_구리근무자명단!$A$1:$GZ$303,$A301,$G$2+2)),INDEX(입력_구리근무자명단!$A$1:$GZ$303,$A301,$G$2+2),IFERROR(DATE(VALUE(LEFT(INDEX(입력_구리근무자명단!$A$1:$GZ$303,$A301,$G$2+2),4)),VALUE(MID(INDEX(입력_구리근무자명단!$A$1:$GZ$303,$A301,$G$2+2),6,2)),VALUE(MID(INDEX(입력_구리근무자명단!$A$1:$GZ$303,$A301,$G$2+2),9,2))),IFERROR(DATEVALUE(SUBSTITUTE(TRIM(INDEX(입력_구리근무자명단!$A$1:$GZ$303,$A301,$G$2+2)),".","-")),"⚠"&amp;INDEX(입력_구리근무자명단!$A$1:$GZ$303,$A301,$G$2+2))))))</f>
        <v/>
      </c>
      <c r="G301" s="28">
        <f>IF($D301="","",IF(INDEX(입력_구리근무자명단!$A$1:$GZ$303,$A301,$G$2+3)="",EOMONTH(출력_요약!$B$3,0),IF(ISNUMBER(INDEX(입력_구리근무자명단!$A$1:$GZ$303,$A301,$G$2+3)),INDEX(입력_구리근무자명단!$A$1:$GZ$303,$A301,$G$2+3),IFERROR(DATE(VALUE(LEFT(INDEX(입력_구리근무자명단!$A$1:$GZ$303,$A301,$G$2+3),4)),VALUE(MID(INDEX(입력_구리근무자명단!$A$1:$GZ$303,$A301,$G$2+3),6,2)),VALUE(MID(INDEX(입력_구리근무자명단!$A$1:$GZ$303,$A301,$G$2+3),9,2))),IFERROR(DATEVALUE(SUBSTITUTE(TRIM(INDEX(입력_구리근무자명단!$A$1:$GZ$303,$A301,$G$2+3)),".","-")),"⚠"&amp;INDEX(입력_구리근무자명단!$A$1:$GZ$303,$A301,$G$2+3))))))</f>
        <v/>
      </c>
      <c r="H301" s="26">
        <f>IF($D301="","",IF(OR(NOT(ISNUMBER($F301)),NOT(ISNUMBER($G301))),0,MAX(0,MIN($G301,EOMONTH(출력_요약!$B$3,0))-MAX($F301,출력_요약!$B$3)+1)))</f>
        <v/>
      </c>
      <c r="I301" s="26">
        <f>IF($D301="","",TRIM(INDEX(입력_구리근무자명단!$A$1:$GZ$303,$A301,$G$2+5)&amp;""))</f>
        <v/>
      </c>
      <c r="J301" s="26">
        <f>IF($D301="","",IF(ISNUMBER(SEARCH("구리독자",$I301)),"구리독자",""))</f>
        <v/>
      </c>
      <c r="K301" s="29">
        <f>IF($D301="","",IF(COUNTIFS(입력_전공의명단!$C$2:$C$401,$D301,입력_전공의명단!$F$2:$F$401,IF(OR($C301="인턴",ISNUMBER(SEARCH("수련교육부",$B301))),"인턴",$B301))=1,MATCH($D301&amp;"|"&amp;IF(OR($C301="인턴",ISNUMBER(SEARCH("수련교육부",$B301))),"인턴",$B301),입력_전공의명단!$AP$2:$AP$401,0),IF(AND(COUNTIFS(입력_전공의명단!$C$2:$C$401,$D301,입력_전공의명단!$F$2:$F$401,IF(OR($C301="인턴",ISNUMBER(SEARCH("수련교육부",$B301))),"인턴",$B301))=0,COUNTIF(입력_전공의명단!$C$2:$C$401,$D301)=1),MATCH($D301,입력_전공의명단!$C$2:$C$401,0),"")))</f>
        <v/>
      </c>
      <c r="L301" s="26">
        <f>IF($D301="","",IF($K301&lt;&gt;"",IF(COUNTIFS(입력_전공의명단!$C$2:$C$401,$D301,입력_전공의명단!$F$2:$F$401,IF(OR($C301="인턴",ISNUMBER(SEARCH("수련교육부",$B301))),"인턴",$B301))=1,"명단 일치","명단 일치(이름만, 과 다름)"),IF(COUNTIF(입력_전공의명단!$C$2:$C$401,$D301)=0,IF(COUNTIF(입력_기본자료!$C$2:$C$1001,$D301)&gt;0,"명단에 없음(기본자료에는 있음)","명단에 없음"),"동명이인 확인")))</f>
        <v/>
      </c>
    </row>
    <row r="302">
      <c r="A302" s="29" t="n">
        <v>300</v>
      </c>
      <c r="B302" s="26">
        <f>IF(TRIM(INDEX(입력_구리근무자명단!$A$1:$GZ$303,$A302,1)&amp;"")&lt;&gt;"",TRIM(INDEX(입력_구리근무자명단!$A$1:$GZ$303,$A302,1)&amp;""),B301)</f>
        <v/>
      </c>
      <c r="C302" s="26">
        <f>IF(INDEX(입력_구리근무자명단!$A$1:$GZ$303,$A302,2)="","",INDEX(입력_구리근무자명단!$A$1:$GZ$303,$A302,2))</f>
        <v/>
      </c>
      <c r="D302" s="26">
        <f>IF($G$2="","",TRIM(IF($I$2="확정",INDEX(입력_구리근무자명단!$A$1:$GZ$303,$A302,$G$2+1)&amp;"",INDEX(입력_구리근무자명단!$A$1:$GZ$303,$A302,$G$2+0)&amp;"")))</f>
        <v/>
      </c>
      <c r="E302" s="26">
        <f>IF($D302="","",$I$2)</f>
        <v/>
      </c>
      <c r="F302" s="28">
        <f>IF($D302="","",IF(INDEX(입력_구리근무자명단!$A$1:$GZ$303,$A302,$G$2+2)="",출력_요약!$B$3,IF(ISNUMBER(INDEX(입력_구리근무자명단!$A$1:$GZ$303,$A302,$G$2+2)),INDEX(입력_구리근무자명단!$A$1:$GZ$303,$A302,$G$2+2),IFERROR(DATE(VALUE(LEFT(INDEX(입력_구리근무자명단!$A$1:$GZ$303,$A302,$G$2+2),4)),VALUE(MID(INDEX(입력_구리근무자명단!$A$1:$GZ$303,$A302,$G$2+2),6,2)),VALUE(MID(INDEX(입력_구리근무자명단!$A$1:$GZ$303,$A302,$G$2+2),9,2))),IFERROR(DATEVALUE(SUBSTITUTE(TRIM(INDEX(입력_구리근무자명단!$A$1:$GZ$303,$A302,$G$2+2)),".","-")),"⚠"&amp;INDEX(입력_구리근무자명단!$A$1:$GZ$303,$A302,$G$2+2))))))</f>
        <v/>
      </c>
      <c r="G302" s="28">
        <f>IF($D302="","",IF(INDEX(입력_구리근무자명단!$A$1:$GZ$303,$A302,$G$2+3)="",EOMONTH(출력_요약!$B$3,0),IF(ISNUMBER(INDEX(입력_구리근무자명단!$A$1:$GZ$303,$A302,$G$2+3)),INDEX(입력_구리근무자명단!$A$1:$GZ$303,$A302,$G$2+3),IFERROR(DATE(VALUE(LEFT(INDEX(입력_구리근무자명단!$A$1:$GZ$303,$A302,$G$2+3),4)),VALUE(MID(INDEX(입력_구리근무자명단!$A$1:$GZ$303,$A302,$G$2+3),6,2)),VALUE(MID(INDEX(입력_구리근무자명단!$A$1:$GZ$303,$A302,$G$2+3),9,2))),IFERROR(DATEVALUE(SUBSTITUTE(TRIM(INDEX(입력_구리근무자명단!$A$1:$GZ$303,$A302,$G$2+3)),".","-")),"⚠"&amp;INDEX(입력_구리근무자명단!$A$1:$GZ$303,$A302,$G$2+3))))))</f>
        <v/>
      </c>
      <c r="H302" s="26">
        <f>IF($D302="","",IF(OR(NOT(ISNUMBER($F302)),NOT(ISNUMBER($G302))),0,MAX(0,MIN($G302,EOMONTH(출력_요약!$B$3,0))-MAX($F302,출력_요약!$B$3)+1)))</f>
        <v/>
      </c>
      <c r="I302" s="26">
        <f>IF($D302="","",TRIM(INDEX(입력_구리근무자명단!$A$1:$GZ$303,$A302,$G$2+5)&amp;""))</f>
        <v/>
      </c>
      <c r="J302" s="26">
        <f>IF($D302="","",IF(ISNUMBER(SEARCH("구리독자",$I302)),"구리독자",""))</f>
        <v/>
      </c>
      <c r="K302" s="29">
        <f>IF($D302="","",IF(COUNTIFS(입력_전공의명단!$C$2:$C$401,$D302,입력_전공의명단!$F$2:$F$401,IF(OR($C302="인턴",ISNUMBER(SEARCH("수련교육부",$B302))),"인턴",$B302))=1,MATCH($D302&amp;"|"&amp;IF(OR($C302="인턴",ISNUMBER(SEARCH("수련교육부",$B302))),"인턴",$B302),입력_전공의명단!$AP$2:$AP$401,0),IF(AND(COUNTIFS(입력_전공의명단!$C$2:$C$401,$D302,입력_전공의명단!$F$2:$F$401,IF(OR($C302="인턴",ISNUMBER(SEARCH("수련교육부",$B302))),"인턴",$B302))=0,COUNTIF(입력_전공의명단!$C$2:$C$401,$D302)=1),MATCH($D302,입력_전공의명단!$C$2:$C$401,0),"")))</f>
        <v/>
      </c>
      <c r="L302" s="26">
        <f>IF($D302="","",IF($K302&lt;&gt;"",IF(COUNTIFS(입력_전공의명단!$C$2:$C$401,$D302,입력_전공의명단!$F$2:$F$401,IF(OR($C302="인턴",ISNUMBER(SEARCH("수련교육부",$B302))),"인턴",$B302))=1,"명단 일치","명단 일치(이름만, 과 다름)"),IF(COUNTIF(입력_전공의명단!$C$2:$C$401,$D302)=0,IF(COUNTIF(입력_기본자료!$C$2:$C$1001,$D302)&gt;0,"명단에 없음(기본자료에는 있음)","명단에 없음"),"동명이인 확인")))</f>
        <v/>
      </c>
    </row>
    <row r="303">
      <c r="A303" s="29" t="n">
        <v>301</v>
      </c>
      <c r="B303" s="26">
        <f>IF(TRIM(INDEX(입력_구리근무자명단!$A$1:$GZ$303,$A303,1)&amp;"")&lt;&gt;"",TRIM(INDEX(입력_구리근무자명단!$A$1:$GZ$303,$A303,1)&amp;""),B302)</f>
        <v/>
      </c>
      <c r="C303" s="26">
        <f>IF(INDEX(입력_구리근무자명단!$A$1:$GZ$303,$A303,2)="","",INDEX(입력_구리근무자명단!$A$1:$GZ$303,$A303,2))</f>
        <v/>
      </c>
      <c r="D303" s="26">
        <f>IF($G$2="","",TRIM(IF($I$2="확정",INDEX(입력_구리근무자명단!$A$1:$GZ$303,$A303,$G$2+1)&amp;"",INDEX(입력_구리근무자명단!$A$1:$GZ$303,$A303,$G$2+0)&amp;"")))</f>
        <v/>
      </c>
      <c r="E303" s="26">
        <f>IF($D303="","",$I$2)</f>
        <v/>
      </c>
      <c r="F303" s="28">
        <f>IF($D303="","",IF(INDEX(입력_구리근무자명단!$A$1:$GZ$303,$A303,$G$2+2)="",출력_요약!$B$3,IF(ISNUMBER(INDEX(입력_구리근무자명단!$A$1:$GZ$303,$A303,$G$2+2)),INDEX(입력_구리근무자명단!$A$1:$GZ$303,$A303,$G$2+2),IFERROR(DATE(VALUE(LEFT(INDEX(입력_구리근무자명단!$A$1:$GZ$303,$A303,$G$2+2),4)),VALUE(MID(INDEX(입력_구리근무자명단!$A$1:$GZ$303,$A303,$G$2+2),6,2)),VALUE(MID(INDEX(입력_구리근무자명단!$A$1:$GZ$303,$A303,$G$2+2),9,2))),IFERROR(DATEVALUE(SUBSTITUTE(TRIM(INDEX(입력_구리근무자명단!$A$1:$GZ$303,$A303,$G$2+2)),".","-")),"⚠"&amp;INDEX(입력_구리근무자명단!$A$1:$GZ$303,$A303,$G$2+2))))))</f>
        <v/>
      </c>
      <c r="G303" s="28">
        <f>IF($D303="","",IF(INDEX(입력_구리근무자명단!$A$1:$GZ$303,$A303,$G$2+3)="",EOMONTH(출력_요약!$B$3,0),IF(ISNUMBER(INDEX(입력_구리근무자명단!$A$1:$GZ$303,$A303,$G$2+3)),INDEX(입력_구리근무자명단!$A$1:$GZ$303,$A303,$G$2+3),IFERROR(DATE(VALUE(LEFT(INDEX(입력_구리근무자명단!$A$1:$GZ$303,$A303,$G$2+3),4)),VALUE(MID(INDEX(입력_구리근무자명단!$A$1:$GZ$303,$A303,$G$2+3),6,2)),VALUE(MID(INDEX(입력_구리근무자명단!$A$1:$GZ$303,$A303,$G$2+3),9,2))),IFERROR(DATEVALUE(SUBSTITUTE(TRIM(INDEX(입력_구리근무자명단!$A$1:$GZ$303,$A303,$G$2+3)),".","-")),"⚠"&amp;INDEX(입력_구리근무자명단!$A$1:$GZ$303,$A303,$G$2+3))))))</f>
        <v/>
      </c>
      <c r="H303" s="26">
        <f>IF($D303="","",IF(OR(NOT(ISNUMBER($F303)),NOT(ISNUMBER($G303))),0,MAX(0,MIN($G303,EOMONTH(출력_요약!$B$3,0))-MAX($F303,출력_요약!$B$3)+1)))</f>
        <v/>
      </c>
      <c r="I303" s="26">
        <f>IF($D303="","",TRIM(INDEX(입력_구리근무자명단!$A$1:$GZ$303,$A303,$G$2+5)&amp;""))</f>
        <v/>
      </c>
      <c r="J303" s="26">
        <f>IF($D303="","",IF(ISNUMBER(SEARCH("구리독자",$I303)),"구리독자",""))</f>
        <v/>
      </c>
      <c r="K303" s="29">
        <f>IF($D303="","",IF(COUNTIFS(입력_전공의명단!$C$2:$C$401,$D303,입력_전공의명단!$F$2:$F$401,IF(OR($C303="인턴",ISNUMBER(SEARCH("수련교육부",$B303))),"인턴",$B303))=1,MATCH($D303&amp;"|"&amp;IF(OR($C303="인턴",ISNUMBER(SEARCH("수련교육부",$B303))),"인턴",$B303),입력_전공의명단!$AP$2:$AP$401,0),IF(AND(COUNTIFS(입력_전공의명단!$C$2:$C$401,$D303,입력_전공의명단!$F$2:$F$401,IF(OR($C303="인턴",ISNUMBER(SEARCH("수련교육부",$B303))),"인턴",$B303))=0,COUNTIF(입력_전공의명단!$C$2:$C$401,$D303)=1),MATCH($D303,입력_전공의명단!$C$2:$C$401,0),"")))</f>
        <v/>
      </c>
      <c r="L303" s="26">
        <f>IF($D303="","",IF($K303&lt;&gt;"",IF(COUNTIFS(입력_전공의명단!$C$2:$C$401,$D303,입력_전공의명단!$F$2:$F$401,IF(OR($C303="인턴",ISNUMBER(SEARCH("수련교육부",$B303))),"인턴",$B303))=1,"명단 일치","명단 일치(이름만, 과 다름)"),IF(COUNTIF(입력_전공의명단!$C$2:$C$401,$D303)=0,IF(COUNTIF(입력_기본자료!$C$2:$C$1001,$D303)&gt;0,"명단에 없음(기본자료에는 있음)","명단에 없음"),"동명이인 확인")))</f>
        <v/>
      </c>
    </row>
    <row r="304">
      <c r="A304" s="29" t="n">
        <v>302</v>
      </c>
      <c r="B304" s="26">
        <f>IF(TRIM(INDEX(입력_구리근무자명단!$A$1:$GZ$303,$A304,1)&amp;"")&lt;&gt;"",TRIM(INDEX(입력_구리근무자명단!$A$1:$GZ$303,$A304,1)&amp;""),B303)</f>
        <v/>
      </c>
      <c r="C304" s="26">
        <f>IF(INDEX(입력_구리근무자명단!$A$1:$GZ$303,$A304,2)="","",INDEX(입력_구리근무자명단!$A$1:$GZ$303,$A304,2))</f>
        <v/>
      </c>
      <c r="D304" s="26">
        <f>IF($G$2="","",TRIM(IF($I$2="확정",INDEX(입력_구리근무자명단!$A$1:$GZ$303,$A304,$G$2+1)&amp;"",INDEX(입력_구리근무자명단!$A$1:$GZ$303,$A304,$G$2+0)&amp;"")))</f>
        <v/>
      </c>
      <c r="E304" s="26">
        <f>IF($D304="","",$I$2)</f>
        <v/>
      </c>
      <c r="F304" s="28">
        <f>IF($D304="","",IF(INDEX(입력_구리근무자명단!$A$1:$GZ$303,$A304,$G$2+2)="",출력_요약!$B$3,IF(ISNUMBER(INDEX(입력_구리근무자명단!$A$1:$GZ$303,$A304,$G$2+2)),INDEX(입력_구리근무자명단!$A$1:$GZ$303,$A304,$G$2+2),IFERROR(DATE(VALUE(LEFT(INDEX(입력_구리근무자명단!$A$1:$GZ$303,$A304,$G$2+2),4)),VALUE(MID(INDEX(입력_구리근무자명단!$A$1:$GZ$303,$A304,$G$2+2),6,2)),VALUE(MID(INDEX(입력_구리근무자명단!$A$1:$GZ$303,$A304,$G$2+2),9,2))),IFERROR(DATEVALUE(SUBSTITUTE(TRIM(INDEX(입력_구리근무자명단!$A$1:$GZ$303,$A304,$G$2+2)),".","-")),"⚠"&amp;INDEX(입력_구리근무자명단!$A$1:$GZ$303,$A304,$G$2+2))))))</f>
        <v/>
      </c>
      <c r="G304" s="28">
        <f>IF($D304="","",IF(INDEX(입력_구리근무자명단!$A$1:$GZ$303,$A304,$G$2+3)="",EOMONTH(출력_요약!$B$3,0),IF(ISNUMBER(INDEX(입력_구리근무자명단!$A$1:$GZ$303,$A304,$G$2+3)),INDEX(입력_구리근무자명단!$A$1:$GZ$303,$A304,$G$2+3),IFERROR(DATE(VALUE(LEFT(INDEX(입력_구리근무자명단!$A$1:$GZ$303,$A304,$G$2+3),4)),VALUE(MID(INDEX(입력_구리근무자명단!$A$1:$GZ$303,$A304,$G$2+3),6,2)),VALUE(MID(INDEX(입력_구리근무자명단!$A$1:$GZ$303,$A304,$G$2+3),9,2))),IFERROR(DATEVALUE(SUBSTITUTE(TRIM(INDEX(입력_구리근무자명단!$A$1:$GZ$303,$A304,$G$2+3)),".","-")),"⚠"&amp;INDEX(입력_구리근무자명단!$A$1:$GZ$303,$A304,$G$2+3))))))</f>
        <v/>
      </c>
      <c r="H304" s="26">
        <f>IF($D304="","",IF(OR(NOT(ISNUMBER($F304)),NOT(ISNUMBER($G304))),0,MAX(0,MIN($G304,EOMONTH(출력_요약!$B$3,0))-MAX($F304,출력_요약!$B$3)+1)))</f>
        <v/>
      </c>
      <c r="I304" s="26">
        <f>IF($D304="","",TRIM(INDEX(입력_구리근무자명단!$A$1:$GZ$303,$A304,$G$2+5)&amp;""))</f>
        <v/>
      </c>
      <c r="J304" s="26">
        <f>IF($D304="","",IF(ISNUMBER(SEARCH("구리독자",$I304)),"구리독자",""))</f>
        <v/>
      </c>
      <c r="K304" s="29">
        <f>IF($D304="","",IF(COUNTIFS(입력_전공의명단!$C$2:$C$401,$D304,입력_전공의명단!$F$2:$F$401,IF(OR($C304="인턴",ISNUMBER(SEARCH("수련교육부",$B304))),"인턴",$B304))=1,MATCH($D304&amp;"|"&amp;IF(OR($C304="인턴",ISNUMBER(SEARCH("수련교육부",$B304))),"인턴",$B304),입력_전공의명단!$AP$2:$AP$401,0),IF(AND(COUNTIFS(입력_전공의명단!$C$2:$C$401,$D304,입력_전공의명단!$F$2:$F$401,IF(OR($C304="인턴",ISNUMBER(SEARCH("수련교육부",$B304))),"인턴",$B304))=0,COUNTIF(입력_전공의명단!$C$2:$C$401,$D304)=1),MATCH($D304,입력_전공의명단!$C$2:$C$401,0),"")))</f>
        <v/>
      </c>
      <c r="L304" s="26">
        <f>IF($D304="","",IF($K304&lt;&gt;"",IF(COUNTIFS(입력_전공의명단!$C$2:$C$401,$D304,입력_전공의명단!$F$2:$F$401,IF(OR($C304="인턴",ISNUMBER(SEARCH("수련교육부",$B304))),"인턴",$B304))=1,"명단 일치","명단 일치(이름만, 과 다름)"),IF(COUNTIF(입력_전공의명단!$C$2:$C$401,$D304)=0,IF(COUNTIF(입력_기본자료!$C$2:$C$1001,$D304)&gt;0,"명단에 없음(기본자료에는 있음)","명단에 없음"),"동명이인 확인")))</f>
        <v/>
      </c>
    </row>
    <row r="305">
      <c r="A305" s="29" t="n">
        <v>303</v>
      </c>
      <c r="B305" s="26">
        <f>IF(TRIM(INDEX(입력_구리근무자명단!$A$1:$GZ$303,$A305,1)&amp;"")&lt;&gt;"",TRIM(INDEX(입력_구리근무자명단!$A$1:$GZ$303,$A305,1)&amp;""),B304)</f>
        <v/>
      </c>
      <c r="C305" s="26">
        <f>IF(INDEX(입력_구리근무자명단!$A$1:$GZ$303,$A305,2)="","",INDEX(입력_구리근무자명단!$A$1:$GZ$303,$A305,2))</f>
        <v/>
      </c>
      <c r="D305" s="26">
        <f>IF($G$2="","",TRIM(IF($I$2="확정",INDEX(입력_구리근무자명단!$A$1:$GZ$303,$A305,$G$2+1)&amp;"",INDEX(입력_구리근무자명단!$A$1:$GZ$303,$A305,$G$2+0)&amp;"")))</f>
        <v/>
      </c>
      <c r="E305" s="26">
        <f>IF($D305="","",$I$2)</f>
        <v/>
      </c>
      <c r="F305" s="28">
        <f>IF($D305="","",IF(INDEX(입력_구리근무자명단!$A$1:$GZ$303,$A305,$G$2+2)="",출력_요약!$B$3,IF(ISNUMBER(INDEX(입력_구리근무자명단!$A$1:$GZ$303,$A305,$G$2+2)),INDEX(입력_구리근무자명단!$A$1:$GZ$303,$A305,$G$2+2),IFERROR(DATE(VALUE(LEFT(INDEX(입력_구리근무자명단!$A$1:$GZ$303,$A305,$G$2+2),4)),VALUE(MID(INDEX(입력_구리근무자명단!$A$1:$GZ$303,$A305,$G$2+2),6,2)),VALUE(MID(INDEX(입력_구리근무자명단!$A$1:$GZ$303,$A305,$G$2+2),9,2))),IFERROR(DATEVALUE(SUBSTITUTE(TRIM(INDEX(입력_구리근무자명단!$A$1:$GZ$303,$A305,$G$2+2)),".","-")),"⚠"&amp;INDEX(입력_구리근무자명단!$A$1:$GZ$303,$A305,$G$2+2))))))</f>
        <v/>
      </c>
      <c r="G305" s="28">
        <f>IF($D305="","",IF(INDEX(입력_구리근무자명단!$A$1:$GZ$303,$A305,$G$2+3)="",EOMONTH(출력_요약!$B$3,0),IF(ISNUMBER(INDEX(입력_구리근무자명단!$A$1:$GZ$303,$A305,$G$2+3)),INDEX(입력_구리근무자명단!$A$1:$GZ$303,$A305,$G$2+3),IFERROR(DATE(VALUE(LEFT(INDEX(입력_구리근무자명단!$A$1:$GZ$303,$A305,$G$2+3),4)),VALUE(MID(INDEX(입력_구리근무자명단!$A$1:$GZ$303,$A305,$G$2+3),6,2)),VALUE(MID(INDEX(입력_구리근무자명단!$A$1:$GZ$303,$A305,$G$2+3),9,2))),IFERROR(DATEVALUE(SUBSTITUTE(TRIM(INDEX(입력_구리근무자명단!$A$1:$GZ$303,$A305,$G$2+3)),".","-")),"⚠"&amp;INDEX(입력_구리근무자명단!$A$1:$GZ$303,$A305,$G$2+3))))))</f>
        <v/>
      </c>
      <c r="H305" s="26">
        <f>IF($D305="","",IF(OR(NOT(ISNUMBER($F305)),NOT(ISNUMBER($G305))),0,MAX(0,MIN($G305,EOMONTH(출력_요약!$B$3,0))-MAX($F305,출력_요약!$B$3)+1)))</f>
        <v/>
      </c>
      <c r="I305" s="26">
        <f>IF($D305="","",TRIM(INDEX(입력_구리근무자명단!$A$1:$GZ$303,$A305,$G$2+5)&amp;""))</f>
        <v/>
      </c>
      <c r="J305" s="26">
        <f>IF($D305="","",IF(ISNUMBER(SEARCH("구리독자",$I305)),"구리독자",""))</f>
        <v/>
      </c>
      <c r="K305" s="29">
        <f>IF($D305="","",IF(COUNTIFS(입력_전공의명단!$C$2:$C$401,$D305,입력_전공의명단!$F$2:$F$401,IF(OR($C305="인턴",ISNUMBER(SEARCH("수련교육부",$B305))),"인턴",$B305))=1,MATCH($D305&amp;"|"&amp;IF(OR($C305="인턴",ISNUMBER(SEARCH("수련교육부",$B305))),"인턴",$B305),입력_전공의명단!$AP$2:$AP$401,0),IF(AND(COUNTIFS(입력_전공의명단!$C$2:$C$401,$D305,입력_전공의명단!$F$2:$F$401,IF(OR($C305="인턴",ISNUMBER(SEARCH("수련교육부",$B305))),"인턴",$B305))=0,COUNTIF(입력_전공의명단!$C$2:$C$401,$D305)=1),MATCH($D305,입력_전공의명단!$C$2:$C$401,0),"")))</f>
        <v/>
      </c>
      <c r="L305" s="26">
        <f>IF($D305="","",IF($K305&lt;&gt;"",IF(COUNTIFS(입력_전공의명단!$C$2:$C$401,$D305,입력_전공의명단!$F$2:$F$401,IF(OR($C305="인턴",ISNUMBER(SEARCH("수련교육부",$B305))),"인턴",$B305))=1,"명단 일치","명단 일치(이름만, 과 다름)"),IF(COUNTIF(입력_전공의명단!$C$2:$C$401,$D305)=0,IF(COUNTIF(입력_기본자료!$C$2:$C$1001,$D305)&gt;0,"명단에 없음(기본자료에는 있음)","명단에 없음"),"동명이인 확인")))</f>
        <v/>
      </c>
    </row>
  </sheetData>
  <autoFilter ref="A5:L305"/>
  <conditionalFormatting sqref="L2:L3">
    <cfRule type="expression" priority="1" dxfId="0">
      <formula>L2&gt;0</formula>
    </cfRule>
  </conditionalFormatting>
  <conditionalFormatting sqref="L6:L305">
    <cfRule type="expression" priority="2" dxfId="6">
      <formula>AND($L6&lt;&gt;"",LEFT($L6,5)&lt;&gt;"명단 일치")</formula>
    </cfRule>
  </conditionalFormatting>
  <conditionalFormatting sqref="F6:G305">
    <cfRule type="expression" priority="3" dxfId="2">
      <formula>LEFT(F6,1)="⚠"</formula>
    </cfRule>
  </conditionalFormatting>
  <conditionalFormatting sqref="A6:K305">
    <cfRule type="expression" priority="4" dxfId="13">
      <formula>$J6="구리독자"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3" customWidth="1" min="3" max="3"/>
    <col width="14" customWidth="1" min="4" max="4"/>
    <col width="12" customWidth="1" min="5" max="5"/>
    <col width="14" customWidth="1" min="6" max="6"/>
    <col width="14" customWidth="1" min="7" max="7"/>
    <col width="3" customWidth="1" min="8" max="8"/>
    <col width="20" customWidth="1" min="9" max="9"/>
    <col width="10" customWidth="1" min="10" max="10"/>
  </cols>
  <sheetData>
    <row r="1">
      <c r="A1" s="1" t="inlineStr">
        <is>
          <t>파견 현황 요약</t>
        </is>
      </c>
    </row>
    <row r="2">
      <c r="A2" s="3" t="inlineStr">
        <is>
          <t>기준일</t>
        </is>
      </c>
      <c r="B2" s="33">
        <f>TODAY()</f>
        <v/>
      </c>
      <c r="D2" s="3" t="inlineStr">
        <is>
          <t>종료 임박 기준(일)</t>
        </is>
      </c>
      <c r="E2" s="3">
        <f>설정_코드표!$N$11</f>
        <v/>
      </c>
      <c r="F2" s="8" t="inlineStr">
        <is>
          <t>← 설정값은 설정_코드표 시트에서 변경</t>
        </is>
      </c>
    </row>
    <row r="3">
      <c r="A3" s="3" t="inlineStr">
        <is>
          <t>급여 기준월(1일)</t>
        </is>
      </c>
      <c r="B3" s="34">
        <f>설정_코드표!$N$9</f>
        <v/>
      </c>
      <c r="D3" s="3" t="inlineStr">
        <is>
          <t>서울·구리 15일 기준(일)</t>
        </is>
      </c>
      <c r="E3" s="3">
        <f>설정_코드표!$N$10</f>
        <v/>
      </c>
    </row>
    <row r="4" ht="30" customHeight="1">
      <c r="A4" s="12" t="inlineStr">
        <is>
          <t>파견상태</t>
        </is>
      </c>
      <c r="B4" s="12" t="inlineStr">
        <is>
          <t>인원</t>
        </is>
      </c>
      <c r="D4" s="12" t="inlineStr">
        <is>
          <t>병원</t>
        </is>
      </c>
      <c r="E4" s="12" t="inlineStr">
        <is>
          <t>현재 근무</t>
        </is>
      </c>
      <c r="F4" s="12" t="inlineStr">
        <is>
          <t>급여 지급(기준월)</t>
        </is>
      </c>
      <c r="G4" s="12" t="inlineStr">
        <is>
          <t>파견 수용(파견중)</t>
        </is>
      </c>
      <c r="I4" s="12" t="inlineStr">
        <is>
          <t>현재 진료과</t>
        </is>
      </c>
      <c r="J4" s="12" t="inlineStr">
        <is>
          <t>인원</t>
        </is>
      </c>
    </row>
    <row r="5">
      <c r="A5" s="26" t="inlineStr">
        <is>
          <t>파견중</t>
        </is>
      </c>
      <c r="B5" s="26">
        <f>COUNTIF(입력_전공의명단!$U$2:$U$401,A5)</f>
        <v/>
      </c>
      <c r="D5" s="26">
        <f>IF(설정_코드표!A2="","",설정_코드표!A2)</f>
        <v/>
      </c>
      <c r="E5" s="26">
        <f>IF(D5="","",COUNTIF(입력_전공의명단!$N$2:$N$401,D5))</f>
        <v/>
      </c>
      <c r="F5" s="26">
        <f>IF(D5="","",COUNTIF(입력_전공의명단!$Y$2:$Y$401,D5))</f>
        <v/>
      </c>
      <c r="G5" s="26">
        <f>IF(D5="","",COUNTIFS(입력_전공의명단!$Q$2:$Q$401,D5,입력_전공의명단!$U$2:$U$401,"파견중"))</f>
        <v/>
      </c>
      <c r="I5" s="26">
        <f>IF(설정_코드표!B2="","",설정_코드표!B2)</f>
        <v/>
      </c>
      <c r="J5" s="26">
        <f>IF(I5="","",COUNTIF(입력_전공의명단!$O$2:$O$401,I5))</f>
        <v/>
      </c>
    </row>
    <row r="6">
      <c r="A6" s="26" t="inlineStr">
        <is>
          <t>파견예정</t>
        </is>
      </c>
      <c r="B6" s="26">
        <f>COUNTIF(입력_전공의명단!$U$2:$U$401,A6)</f>
        <v/>
      </c>
      <c r="D6" s="26">
        <f>IF(설정_코드표!A3="","",설정_코드표!A3)</f>
        <v/>
      </c>
      <c r="E6" s="26">
        <f>IF(D6="","",COUNTIF(입력_전공의명단!$N$2:$N$401,D6))</f>
        <v/>
      </c>
      <c r="F6" s="26">
        <f>IF(D6="","",COUNTIF(입력_전공의명단!$Y$2:$Y$401,D6))</f>
        <v/>
      </c>
      <c r="G6" s="26">
        <f>IF(D6="","",COUNTIFS(입력_전공의명단!$Q$2:$Q$401,D6,입력_전공의명단!$U$2:$U$401,"파견중"))</f>
        <v/>
      </c>
      <c r="I6" s="26">
        <f>IF(설정_코드표!B3="","",설정_코드표!B3)</f>
        <v/>
      </c>
      <c r="J6" s="26">
        <f>IF(I6="","",COUNTIF(입력_전공의명단!$O$2:$O$401,I6))</f>
        <v/>
      </c>
    </row>
    <row r="7">
      <c r="A7" s="26" t="inlineStr">
        <is>
          <t>파견종료</t>
        </is>
      </c>
      <c r="B7" s="26">
        <f>COUNTIF(입력_전공의명단!$U$2:$U$401,A7)</f>
        <v/>
      </c>
      <c r="D7" s="26">
        <f>IF(설정_코드표!A4="","",설정_코드표!A4)</f>
        <v/>
      </c>
      <c r="E7" s="26">
        <f>IF(D7="","",COUNTIF(입력_전공의명단!$N$2:$N$401,D7))</f>
        <v/>
      </c>
      <c r="F7" s="26">
        <f>IF(D7="","",COUNTIF(입력_전공의명단!$Y$2:$Y$401,D7))</f>
        <v/>
      </c>
      <c r="G7" s="26">
        <f>IF(D7="","",COUNTIFS(입력_전공의명단!$Q$2:$Q$401,D7,입력_전공의명단!$U$2:$U$401,"파견중"))</f>
        <v/>
      </c>
      <c r="I7" s="26">
        <f>IF(설정_코드표!B4="","",설정_코드표!B4)</f>
        <v/>
      </c>
      <c r="J7" s="26">
        <f>IF(I7="","",COUNTIF(입력_전공의명단!$O$2:$O$401,I7))</f>
        <v/>
      </c>
    </row>
    <row r="8">
      <c r="A8" s="31" t="inlineStr">
        <is>
          <t>명단 등록 인원</t>
        </is>
      </c>
      <c r="B8" s="31">
        <f>COUNTA(입력_전공의명단!$B$2:$B$401)</f>
        <v/>
      </c>
      <c r="D8" s="26">
        <f>IF(설정_코드표!A5="","",설정_코드표!A5)</f>
        <v/>
      </c>
      <c r="E8" s="26">
        <f>IF(D8="","",COUNTIF(입력_전공의명단!$N$2:$N$401,D8))</f>
        <v/>
      </c>
      <c r="F8" s="26">
        <f>IF(D8="","",COUNTIF(입력_전공의명단!$Y$2:$Y$401,D8))</f>
        <v/>
      </c>
      <c r="G8" s="26">
        <f>IF(D8="","",COUNTIFS(입력_전공의명단!$Q$2:$Q$401,D8,입력_전공의명단!$U$2:$U$401,"파견중"))</f>
        <v/>
      </c>
      <c r="I8" s="26">
        <f>IF(설정_코드표!B5="","",설정_코드표!B5)</f>
        <v/>
      </c>
      <c r="J8" s="26">
        <f>IF(I8="","",COUNTIF(입력_전공의명단!$O$2:$O$401,I8))</f>
        <v/>
      </c>
    </row>
    <row r="9">
      <c r="A9" s="26" t="inlineStr">
        <is>
          <t>종료 임박(파견중)</t>
        </is>
      </c>
      <c r="B9" s="26">
        <f>COUNTIFS(입력_전공의명단!$U$2:$U$401,"파견중",입력_전공의명단!$W$2:$W$401,"&lt;="&amp;$E$2)</f>
        <v/>
      </c>
      <c r="D9" s="26">
        <f>IF(설정_코드표!A6="","",설정_코드표!A6)</f>
        <v/>
      </c>
      <c r="E9" s="26">
        <f>IF(D9="","",COUNTIF(입력_전공의명단!$N$2:$N$401,D9))</f>
        <v/>
      </c>
      <c r="F9" s="26">
        <f>IF(D9="","",COUNTIF(입력_전공의명단!$Y$2:$Y$401,D9))</f>
        <v/>
      </c>
      <c r="G9" s="26">
        <f>IF(D9="","",COUNTIFS(입력_전공의명단!$Q$2:$Q$401,D9,입력_전공의명단!$U$2:$U$401,"파견중"))</f>
        <v/>
      </c>
      <c r="I9" s="26">
        <f>IF(설정_코드표!B6="","",설정_코드표!B6)</f>
        <v/>
      </c>
      <c r="J9" s="26">
        <f>IF(I9="","",COUNTIF(입력_전공의명단!$O$2:$O$401,I9))</f>
        <v/>
      </c>
    </row>
    <row r="10">
      <c r="D10" s="26">
        <f>IF(설정_코드표!A7="","",설정_코드표!A7)</f>
        <v/>
      </c>
      <c r="E10" s="26">
        <f>IF(D10="","",COUNTIF(입력_전공의명단!$N$2:$N$401,D10))</f>
        <v/>
      </c>
      <c r="F10" s="26">
        <f>IF(D10="","",COUNTIF(입력_전공의명단!$Y$2:$Y$401,D10))</f>
        <v/>
      </c>
      <c r="G10" s="26">
        <f>IF(D10="","",COUNTIFS(입력_전공의명단!$Q$2:$Q$401,D10,입력_전공의명단!$U$2:$U$401,"파견중"))</f>
        <v/>
      </c>
      <c r="I10" s="26">
        <f>IF(설정_코드표!B7="","",설정_코드표!B7)</f>
        <v/>
      </c>
      <c r="J10" s="26">
        <f>IF(I10="","",COUNTIF(입력_전공의명단!$O$2:$O$401,I10))</f>
        <v/>
      </c>
    </row>
    <row r="11">
      <c r="D11" s="26">
        <f>IF(설정_코드표!A8="","",설정_코드표!A8)</f>
        <v/>
      </c>
      <c r="E11" s="26">
        <f>IF(D11="","",COUNTIF(입력_전공의명단!$N$2:$N$401,D11))</f>
        <v/>
      </c>
      <c r="F11" s="26">
        <f>IF(D11="","",COUNTIF(입력_전공의명단!$Y$2:$Y$401,D11))</f>
        <v/>
      </c>
      <c r="G11" s="26">
        <f>IF(D11="","",COUNTIFS(입력_전공의명단!$Q$2:$Q$401,D11,입력_전공의명단!$U$2:$U$401,"파견중"))</f>
        <v/>
      </c>
      <c r="I11" s="26">
        <f>IF(설정_코드표!B8="","",설정_코드표!B8)</f>
        <v/>
      </c>
      <c r="J11" s="26">
        <f>IF(I11="","",COUNTIF(입력_전공의명단!$O$2:$O$401,I11))</f>
        <v/>
      </c>
    </row>
    <row r="12">
      <c r="A12" s="12" t="inlineStr">
        <is>
          <t>파견근거(종류)</t>
        </is>
      </c>
      <c r="B12" s="12" t="inlineStr">
        <is>
          <t>인원</t>
        </is>
      </c>
      <c r="D12" s="26">
        <f>IF(설정_코드표!A9="","",설정_코드표!A9)</f>
        <v/>
      </c>
      <c r="E12" s="26">
        <f>IF(D12="","",COUNTIF(입력_전공의명단!$N$2:$N$401,D12))</f>
        <v/>
      </c>
      <c r="F12" s="26">
        <f>IF(D12="","",COUNTIF(입력_전공의명단!$Y$2:$Y$401,D12))</f>
        <v/>
      </c>
      <c r="G12" s="26">
        <f>IF(D12="","",COUNTIFS(입력_전공의명단!$Q$2:$Q$401,D12,입력_전공의명단!$U$2:$U$401,"파견중"))</f>
        <v/>
      </c>
      <c r="I12" s="26">
        <f>IF(설정_코드표!B9="","",설정_코드표!B9)</f>
        <v/>
      </c>
      <c r="J12" s="26">
        <f>IF(I12="","",COUNTIF(입력_전공의명단!$O$2:$O$401,I12))</f>
        <v/>
      </c>
    </row>
    <row r="13">
      <c r="A13" s="26">
        <f>IF(설정_코드표!C2="","",설정_코드표!C2)</f>
        <v/>
      </c>
      <c r="B13" s="26">
        <f>IF(A13="","",COUNTIF(입력_전공의명단!$P$2:$P$401,A13))</f>
        <v/>
      </c>
      <c r="D13" s="26">
        <f>IF(설정_코드표!A10="","",설정_코드표!A10)</f>
        <v/>
      </c>
      <c r="E13" s="26">
        <f>IF(D13="","",COUNTIF(입력_전공의명단!$N$2:$N$401,D13))</f>
        <v/>
      </c>
      <c r="F13" s="26">
        <f>IF(D13="","",COUNTIF(입력_전공의명단!$Y$2:$Y$401,D13))</f>
        <v/>
      </c>
      <c r="G13" s="26">
        <f>IF(D13="","",COUNTIFS(입력_전공의명단!$Q$2:$Q$401,D13,입력_전공의명단!$U$2:$U$401,"파견중"))</f>
        <v/>
      </c>
      <c r="I13" s="26">
        <f>IF(설정_코드표!B10="","",설정_코드표!B10)</f>
        <v/>
      </c>
      <c r="J13" s="26">
        <f>IF(I13="","",COUNTIF(입력_전공의명단!$O$2:$O$401,I13))</f>
        <v/>
      </c>
    </row>
    <row r="14">
      <c r="A14" s="26">
        <f>IF(설정_코드표!C3="","",설정_코드표!C3)</f>
        <v/>
      </c>
      <c r="B14" s="26">
        <f>IF(A14="","",COUNTIF(입력_전공의명단!$P$2:$P$401,A14))</f>
        <v/>
      </c>
      <c r="D14" s="26">
        <f>IF(설정_코드표!A11="","",설정_코드표!A11)</f>
        <v/>
      </c>
      <c r="E14" s="26">
        <f>IF(D14="","",COUNTIF(입력_전공의명단!$N$2:$N$401,D14))</f>
        <v/>
      </c>
      <c r="F14" s="26">
        <f>IF(D14="","",COUNTIF(입력_전공의명단!$Y$2:$Y$401,D14))</f>
        <v/>
      </c>
      <c r="G14" s="26">
        <f>IF(D14="","",COUNTIFS(입력_전공의명단!$Q$2:$Q$401,D14,입력_전공의명단!$U$2:$U$401,"파견중"))</f>
        <v/>
      </c>
      <c r="I14" s="26">
        <f>IF(설정_코드표!B11="","",설정_코드표!B11)</f>
        <v/>
      </c>
      <c r="J14" s="26">
        <f>IF(I14="","",COUNTIF(입력_전공의명단!$O$2:$O$401,I14))</f>
        <v/>
      </c>
    </row>
    <row r="15">
      <c r="A15" s="26">
        <f>IF(설정_코드표!C4="","",설정_코드표!C4)</f>
        <v/>
      </c>
      <c r="B15" s="26">
        <f>IF(A15="","",COUNTIF(입력_전공의명단!$P$2:$P$401,A15))</f>
        <v/>
      </c>
      <c r="D15" s="26">
        <f>IF(설정_코드표!A12="","",설정_코드표!A12)</f>
        <v/>
      </c>
      <c r="E15" s="26">
        <f>IF(D15="","",COUNTIF(입력_전공의명단!$N$2:$N$401,D15))</f>
        <v/>
      </c>
      <c r="F15" s="26">
        <f>IF(D15="","",COUNTIF(입력_전공의명단!$Y$2:$Y$401,D15))</f>
        <v/>
      </c>
      <c r="G15" s="26">
        <f>IF(D15="","",COUNTIFS(입력_전공의명단!$Q$2:$Q$401,D15,입력_전공의명단!$U$2:$U$401,"파견중"))</f>
        <v/>
      </c>
      <c r="I15" s="26">
        <f>IF(설정_코드표!B12="","",설정_코드표!B12)</f>
        <v/>
      </c>
      <c r="J15" s="26">
        <f>IF(I15="","",COUNTIF(입력_전공의명단!$O$2:$O$401,I15))</f>
        <v/>
      </c>
    </row>
    <row r="16">
      <c r="A16" s="26">
        <f>IF(설정_코드표!C5="","",설정_코드표!C5)</f>
        <v/>
      </c>
      <c r="B16" s="26">
        <f>IF(A16="","",COUNTIF(입력_전공의명단!$P$2:$P$401,A16))</f>
        <v/>
      </c>
      <c r="D16" s="26">
        <f>IF(설정_코드표!A13="","",설정_코드표!A13)</f>
        <v/>
      </c>
      <c r="E16" s="26">
        <f>IF(D16="","",COUNTIF(입력_전공의명단!$N$2:$N$401,D16))</f>
        <v/>
      </c>
      <c r="F16" s="26">
        <f>IF(D16="","",COUNTIF(입력_전공의명단!$Y$2:$Y$401,D16))</f>
        <v/>
      </c>
      <c r="G16" s="26">
        <f>IF(D16="","",COUNTIFS(입력_전공의명단!$Q$2:$Q$401,D16,입력_전공의명단!$U$2:$U$401,"파견중"))</f>
        <v/>
      </c>
      <c r="I16" s="26">
        <f>IF(설정_코드표!B13="","",설정_코드표!B13)</f>
        <v/>
      </c>
      <c r="J16" s="26">
        <f>IF(I16="","",COUNTIF(입력_전공의명단!$O$2:$O$401,I16))</f>
        <v/>
      </c>
    </row>
    <row r="17">
      <c r="A17" s="26">
        <f>IF(설정_코드표!C6="","",설정_코드표!C6)</f>
        <v/>
      </c>
      <c r="B17" s="26">
        <f>IF(A17="","",COUNTIF(입력_전공의명단!$P$2:$P$401,A17))</f>
        <v/>
      </c>
      <c r="D17" s="26">
        <f>IF(설정_코드표!A14="","",설정_코드표!A14)</f>
        <v/>
      </c>
      <c r="E17" s="26">
        <f>IF(D17="","",COUNTIF(입력_전공의명단!$N$2:$N$401,D17))</f>
        <v/>
      </c>
      <c r="F17" s="26">
        <f>IF(D17="","",COUNTIF(입력_전공의명단!$Y$2:$Y$401,D17))</f>
        <v/>
      </c>
      <c r="G17" s="26">
        <f>IF(D17="","",COUNTIFS(입력_전공의명단!$Q$2:$Q$401,D17,입력_전공의명단!$U$2:$U$401,"파견중"))</f>
        <v/>
      </c>
      <c r="I17" s="26">
        <f>IF(설정_코드표!B14="","",설정_코드표!B14)</f>
        <v/>
      </c>
      <c r="J17" s="26">
        <f>IF(I17="","",COUNTIF(입력_전공의명단!$O$2:$O$401,I17))</f>
        <v/>
      </c>
    </row>
    <row r="18">
      <c r="A18" s="26">
        <f>IF(설정_코드표!C7="","",설정_코드표!C7)</f>
        <v/>
      </c>
      <c r="B18" s="26">
        <f>IF(A18="","",COUNTIF(입력_전공의명단!$P$2:$P$401,A18))</f>
        <v/>
      </c>
      <c r="D18" s="26">
        <f>IF(설정_코드표!A15="","",설정_코드표!A15)</f>
        <v/>
      </c>
      <c r="E18" s="26">
        <f>IF(D18="","",COUNTIF(입력_전공의명단!$N$2:$N$401,D18))</f>
        <v/>
      </c>
      <c r="F18" s="26">
        <f>IF(D18="","",COUNTIF(입력_전공의명단!$Y$2:$Y$401,D18))</f>
        <v/>
      </c>
      <c r="G18" s="26">
        <f>IF(D18="","",COUNTIFS(입력_전공의명단!$Q$2:$Q$401,D18,입력_전공의명단!$U$2:$U$401,"파견중"))</f>
        <v/>
      </c>
      <c r="I18" s="26">
        <f>IF(설정_코드표!B15="","",설정_코드표!B15)</f>
        <v/>
      </c>
      <c r="J18" s="26">
        <f>IF(I18="","",COUNTIF(입력_전공의명단!$O$2:$O$401,I18))</f>
        <v/>
      </c>
    </row>
    <row r="19">
      <c r="A19" s="26">
        <f>IF(설정_코드표!C8="","",설정_코드표!C8)</f>
        <v/>
      </c>
      <c r="B19" s="26">
        <f>IF(A19="","",COUNTIF(입력_전공의명단!$P$2:$P$401,A19))</f>
        <v/>
      </c>
      <c r="D19" s="26">
        <f>IF(설정_코드표!A16="","",설정_코드표!A16)</f>
        <v/>
      </c>
      <c r="E19" s="26">
        <f>IF(D19="","",COUNTIF(입력_전공의명단!$N$2:$N$401,D19))</f>
        <v/>
      </c>
      <c r="F19" s="26">
        <f>IF(D19="","",COUNTIF(입력_전공의명단!$Y$2:$Y$401,D19))</f>
        <v/>
      </c>
      <c r="G19" s="26">
        <f>IF(D19="","",COUNTIFS(입력_전공의명단!$Q$2:$Q$401,D19,입력_전공의명단!$U$2:$U$401,"파견중"))</f>
        <v/>
      </c>
      <c r="I19" s="26">
        <f>IF(설정_코드표!B16="","",설정_코드표!B16)</f>
        <v/>
      </c>
      <c r="J19" s="26">
        <f>IF(I19="","",COUNTIF(입력_전공의명단!$O$2:$O$401,I19))</f>
        <v/>
      </c>
    </row>
    <row r="20">
      <c r="A20" s="26">
        <f>IF(설정_코드표!C9="","",설정_코드표!C9)</f>
        <v/>
      </c>
      <c r="B20" s="26">
        <f>IF(A20="","",COUNTIF(입력_전공의명단!$P$2:$P$401,A20))</f>
        <v/>
      </c>
      <c r="D20" s="26">
        <f>IF(설정_코드표!A17="","",설정_코드표!A17)</f>
        <v/>
      </c>
      <c r="E20" s="26">
        <f>IF(D20="","",COUNTIF(입력_전공의명단!$N$2:$N$401,D20))</f>
        <v/>
      </c>
      <c r="F20" s="26">
        <f>IF(D20="","",COUNTIF(입력_전공의명단!$Y$2:$Y$401,D20))</f>
        <v/>
      </c>
      <c r="G20" s="26">
        <f>IF(D20="","",COUNTIFS(입력_전공의명단!$Q$2:$Q$401,D20,입력_전공의명단!$U$2:$U$401,"파견중"))</f>
        <v/>
      </c>
      <c r="I20" s="26">
        <f>IF(설정_코드표!B17="","",설정_코드표!B17)</f>
        <v/>
      </c>
      <c r="J20" s="26">
        <f>IF(I20="","",COUNTIF(입력_전공의명단!$O$2:$O$401,I20))</f>
        <v/>
      </c>
    </row>
    <row r="21">
      <c r="D21" s="26">
        <f>IF(설정_코드표!A18="","",설정_코드표!A18)</f>
        <v/>
      </c>
      <c r="E21" s="26">
        <f>IF(D21="","",COUNTIF(입력_전공의명단!$N$2:$N$401,D21))</f>
        <v/>
      </c>
      <c r="F21" s="26">
        <f>IF(D21="","",COUNTIF(입력_전공의명단!$Y$2:$Y$401,D21))</f>
        <v/>
      </c>
      <c r="G21" s="26">
        <f>IF(D21="","",COUNTIFS(입력_전공의명단!$Q$2:$Q$401,D21,입력_전공의명단!$U$2:$U$401,"파견중"))</f>
        <v/>
      </c>
      <c r="I21" s="26">
        <f>IF(설정_코드표!B18="","",설정_코드표!B18)</f>
        <v/>
      </c>
      <c r="J21" s="26">
        <f>IF(I21="","",COUNTIF(입력_전공의명단!$O$2:$O$401,I21))</f>
        <v/>
      </c>
    </row>
    <row r="22">
      <c r="A22" s="12" t="inlineStr">
        <is>
          <t>데이터 점검</t>
        </is>
      </c>
      <c r="B22" s="12" t="inlineStr">
        <is>
          <t>건수</t>
        </is>
      </c>
      <c r="D22" s="26">
        <f>IF(설정_코드표!A19="","",설정_코드표!A19)</f>
        <v/>
      </c>
      <c r="E22" s="26">
        <f>IF(D22="","",COUNTIF(입력_전공의명단!$N$2:$N$401,D22))</f>
        <v/>
      </c>
      <c r="F22" s="26">
        <f>IF(D22="","",COUNTIF(입력_전공의명단!$Y$2:$Y$401,D22))</f>
        <v/>
      </c>
      <c r="G22" s="26">
        <f>IF(D22="","",COUNTIFS(입력_전공의명단!$Q$2:$Q$401,D22,입력_전공의명단!$U$2:$U$401,"파견중"))</f>
        <v/>
      </c>
      <c r="I22" s="26">
        <f>IF(설정_코드표!B19="","",설정_코드표!B19)</f>
        <v/>
      </c>
      <c r="J22" s="26">
        <f>IF(I22="","",COUNTIF(입력_전공의명단!$O$2:$O$401,I22))</f>
        <v/>
      </c>
    </row>
    <row r="23">
      <c r="A23" s="26" t="inlineStr">
        <is>
          <t>기본자료 인원</t>
        </is>
      </c>
      <c r="B23" s="26">
        <f>COUNTA(입력_기본자료!$B$2:$B$1001)</f>
        <v/>
      </c>
      <c r="D23" s="26">
        <f>IF(설정_코드표!A20="","",설정_코드표!A20)</f>
        <v/>
      </c>
      <c r="E23" s="26">
        <f>IF(D23="","",COUNTIF(입력_전공의명단!$N$2:$N$401,D23))</f>
        <v/>
      </c>
      <c r="F23" s="26">
        <f>IF(D23="","",COUNTIF(입력_전공의명단!$Y$2:$Y$401,D23))</f>
        <v/>
      </c>
      <c r="G23" s="26">
        <f>IF(D23="","",COUNTIFS(입력_전공의명단!$Q$2:$Q$401,D23,입력_전공의명단!$U$2:$U$401,"파견중"))</f>
        <v/>
      </c>
      <c r="I23" s="26">
        <f>IF(설정_코드표!B20="","",설정_코드표!B20)</f>
        <v/>
      </c>
      <c r="J23" s="26">
        <f>IF(I23="","",COUNTIF(입력_전공의명단!$O$2:$O$401,I23))</f>
        <v/>
      </c>
    </row>
    <row r="24">
      <c r="A24" s="26" t="inlineStr">
        <is>
          <t>기본자료 재직 인원</t>
        </is>
      </c>
      <c r="B24" s="26">
        <f>COUNTIF(입력_기본자료!$A$2:$A$1001,"재직")</f>
        <v/>
      </c>
      <c r="D24" s="26">
        <f>IF(설정_코드표!A21="","",설정_코드표!A21)</f>
        <v/>
      </c>
      <c r="E24" s="26">
        <f>IF(D24="","",COUNTIF(입력_전공의명단!$N$2:$N$401,D24))</f>
        <v/>
      </c>
      <c r="F24" s="26">
        <f>IF(D24="","",COUNTIF(입력_전공의명단!$Y$2:$Y$401,D24))</f>
        <v/>
      </c>
      <c r="G24" s="26">
        <f>IF(D24="","",COUNTIFS(입력_전공의명단!$Q$2:$Q$401,D24,입력_전공의명단!$U$2:$U$401,"파견중"))</f>
        <v/>
      </c>
      <c r="I24" s="26">
        <f>IF(설정_코드표!B21="","",설정_코드표!B21)</f>
        <v/>
      </c>
      <c r="J24" s="26">
        <f>IF(I24="","",COUNTIF(입력_전공의명단!$O$2:$O$401,I24))</f>
        <v/>
      </c>
    </row>
    <row r="25">
      <c r="A25" s="26" t="inlineStr">
        <is>
          <t>기본자료에 없는 사번</t>
        </is>
      </c>
      <c r="B25" s="26">
        <f>SUMPRODUCT((입력_전공의명단!$B$2:$B$401&lt;&gt;"")*(입력_전공의명단!$AB$2:$AB$401=""))</f>
        <v/>
      </c>
      <c r="I25" s="26">
        <f>IF(설정_코드표!B22="","",설정_코드표!B22)</f>
        <v/>
      </c>
      <c r="J25" s="26">
        <f>IF(I25="","",COUNTIF(입력_전공의명단!$O$2:$O$401,I25))</f>
        <v/>
      </c>
    </row>
    <row r="26">
      <c r="A26" s="26" t="inlineStr">
        <is>
          <t>명단 중복 사번</t>
        </is>
      </c>
      <c r="B26" s="26">
        <f>SUMPRODUCT((입력_전공의명단!$B$2:$B$401&lt;&gt;"")*(COUNTIF(입력_전공의명단!$B$2:$B$401,입력_전공의명단!$B$2:$B$401)&gt;1))</f>
        <v/>
      </c>
      <c r="I26" s="26">
        <f>IF(설정_코드표!B23="","",설정_코드표!B23)</f>
        <v/>
      </c>
      <c r="J26" s="26">
        <f>IF(I26="","",COUNTIF(입력_전공의명단!$O$2:$O$401,I26))</f>
        <v/>
      </c>
    </row>
    <row r="27">
      <c r="A27" s="26" t="inlineStr">
        <is>
          <t>날짜 형식 오류(생년월일/수련개시일)</t>
        </is>
      </c>
      <c r="B27" s="26">
        <f>SUMPRODUCT((입력_전공의명단!$E$2:$E$401&lt;&gt;"")*1)-COUNT(입력_전공의명단!$E$2:$E$401)+SUMPRODUCT((입력_전공의명단!$I$2:$I$401&lt;&gt;"")*1)-COUNT(입력_전공의명단!$I$2:$I$401)</f>
        <v/>
      </c>
      <c r="I27" s="26">
        <f>IF(설정_코드표!B24="","",설정_코드표!B24)</f>
        <v/>
      </c>
      <c r="J27" s="26">
        <f>IF(I27="","",COUNTIF(입력_전공의명단!$O$2:$O$401,I27))</f>
        <v/>
      </c>
    </row>
    <row r="28">
      <c r="A28" s="26" t="inlineStr">
        <is>
          <t>인턴계획 입력 오류(병원/진료과)</t>
        </is>
      </c>
      <c r="B28" s="26">
        <f>SUM(입력_인턴근무계획!$T$3:$T$402)</f>
        <v/>
      </c>
      <c r="I28" s="26">
        <f>IF(설정_코드표!B25="","",설정_코드표!B25)</f>
        <v/>
      </c>
      <c r="J28" s="26">
        <f>IF(I28="","",COUNTIF(입력_전공의명단!$O$2:$O$401,I28))</f>
        <v/>
      </c>
    </row>
    <row r="29">
      <c r="A29" s="26" t="inlineStr">
        <is>
          <t>파견수련계획 입력 오류</t>
        </is>
      </c>
      <c r="B29" s="26">
        <f>SUMPRODUCT(--(LEN(입력_파견수련계획!$AA$4:$AA$803)&gt;0))</f>
        <v/>
      </c>
      <c r="I29" s="26">
        <f>IF(설정_코드표!B26="","",설정_코드표!B26)</f>
        <v/>
      </c>
      <c r="J29" s="26">
        <f>IF(I29="","",COUNTIF(입력_전공의명단!$O$2:$O$401,I29))</f>
        <v/>
      </c>
    </row>
    <row r="30">
      <c r="A30" s="26" t="inlineStr">
        <is>
          <t>명단에 없는 파견 기록(등록번호)</t>
        </is>
      </c>
      <c r="B30" s="26">
        <f>SUMPRODUCT((입력_파견수련계획!$Q$4:$Q$803&lt;&gt;"")*ISNA(MATCH(입력_파견수련계획!$Q$4:$Q$803,입력_전공의명단!$J$2:$J$401,0)))</f>
        <v/>
      </c>
      <c r="I30" s="26">
        <f>IF(설정_코드표!B27="","",설정_코드표!B27)</f>
        <v/>
      </c>
      <c r="J30" s="26">
        <f>IF(I30="","",COUNTIF(입력_전공의명단!$O$2:$O$401,I30))</f>
        <v/>
      </c>
    </row>
    <row r="31">
      <c r="A31" s="26" t="inlineStr">
        <is>
          <t>서울·구리 15일 판정 불가(양쪽 모두 이상/미만)</t>
        </is>
      </c>
      <c r="B31" s="26">
        <f>COUNTIF(입력_전공의명단!$Y$2:$Y$401,"⚠*")</f>
        <v/>
      </c>
      <c r="I31" s="26">
        <f>IF(설정_코드표!B28="","",설정_코드표!B28)</f>
        <v/>
      </c>
      <c r="J31" s="26">
        <f>IF(I31="","",COUNTIF(입력_전공의명단!$O$2:$O$401,I31))</f>
        <v/>
      </c>
    </row>
    <row r="32">
      <c r="A32" s="26" t="inlineStr">
        <is>
          <t>구리 근무자명단: 명단에 없음/동명이인</t>
        </is>
      </c>
      <c r="B32" s="26">
        <f>출력_구리근무자!$L$2</f>
        <v/>
      </c>
      <c r="I32" s="26">
        <f>IF(설정_코드표!B29="","",설정_코드표!B29)</f>
        <v/>
      </c>
      <c r="J32" s="26">
        <f>IF(I32="","",COUNTIF(입력_전공의명단!$O$2:$O$401,I32))</f>
        <v/>
      </c>
    </row>
    <row r="33">
      <c r="A33" s="26" t="inlineStr">
        <is>
          <t>구리 근무자명단: 날짜 오류</t>
        </is>
      </c>
      <c r="B33" s="26">
        <f>출력_구리근무자!$L$3</f>
        <v/>
      </c>
      <c r="I33" s="26">
        <f>IF(설정_코드표!B30="","",설정_코드표!B30)</f>
        <v/>
      </c>
      <c r="J33" s="26">
        <f>IF(I33="","",COUNTIF(입력_전공의명단!$O$2:$O$401,I33))</f>
        <v/>
      </c>
    </row>
    <row r="34">
      <c r="A34" s="26" t="inlineStr">
        <is>
          <t>점검 필요 행(전공의명단 '점검' 열)</t>
        </is>
      </c>
      <c r="B34" s="26">
        <f>SUMPRODUCT((입력_전공의명단!$B$2:$B$401&lt;&gt;"")*(입력_전공의명단!$Z$2:$Z$401&lt;&gt;"정상"))</f>
        <v/>
      </c>
      <c r="I34" s="26">
        <f>IF(설정_코드표!B31="","",설정_코드표!B31)</f>
        <v/>
      </c>
      <c r="J34" s="26">
        <f>IF(I34="","",COUNTIF(입력_전공의명단!$O$2:$O$401,I34))</f>
        <v/>
      </c>
    </row>
    <row r="35">
      <c r="I35" s="26">
        <f>IF(설정_코드표!B32="","",설정_코드표!B32)</f>
        <v/>
      </c>
      <c r="J35" s="26">
        <f>IF(I35="","",COUNTIF(입력_전공의명단!$O$2:$O$401,I35))</f>
        <v/>
      </c>
    </row>
    <row r="36">
      <c r="I36" s="26">
        <f>IF(설정_코드표!B33="","",설정_코드표!B33)</f>
        <v/>
      </c>
      <c r="J36" s="26">
        <f>IF(I36="","",COUNTIF(입력_전공의명단!$O$2:$O$401,I36))</f>
        <v/>
      </c>
    </row>
    <row r="37">
      <c r="I37" s="26">
        <f>IF(설정_코드표!B34="","",설정_코드표!B34)</f>
        <v/>
      </c>
      <c r="J37" s="26">
        <f>IF(I37="","",COUNTIF(입력_전공의명단!$O$2:$O$401,I37))</f>
        <v/>
      </c>
    </row>
    <row r="38">
      <c r="I38" s="26">
        <f>IF(설정_코드표!B35="","",설정_코드표!B35)</f>
        <v/>
      </c>
      <c r="J38" s="26">
        <f>IF(I38="","",COUNTIF(입력_전공의명단!$O$2:$O$401,I38))</f>
        <v/>
      </c>
    </row>
    <row r="39">
      <c r="I39" s="26">
        <f>IF(설정_코드표!B36="","",설정_코드표!B36)</f>
        <v/>
      </c>
      <c r="J39" s="26">
        <f>IF(I39="","",COUNTIF(입력_전공의명단!$O$2:$O$401,I39))</f>
        <v/>
      </c>
    </row>
    <row r="40">
      <c r="I40" s="26">
        <f>IF(설정_코드표!B37="","",설정_코드표!B37)</f>
        <v/>
      </c>
      <c r="J40" s="26">
        <f>IF(I40="","",COUNTIF(입력_전공의명단!$O$2:$O$401,I40))</f>
        <v/>
      </c>
    </row>
    <row r="41">
      <c r="I41" s="26">
        <f>IF(설정_코드표!B38="","",설정_코드표!B38)</f>
        <v/>
      </c>
      <c r="J41" s="26">
        <f>IF(I41="","",COUNTIF(입력_전공의명단!$O$2:$O$401,I41))</f>
        <v/>
      </c>
    </row>
    <row r="42">
      <c r="I42" s="26">
        <f>IF(설정_코드표!B39="","",설정_코드표!B39)</f>
        <v/>
      </c>
      <c r="J42" s="26">
        <f>IF(I42="","",COUNTIF(입력_전공의명단!$O$2:$O$401,I42))</f>
        <v/>
      </c>
    </row>
    <row r="43">
      <c r="I43" s="26">
        <f>IF(설정_코드표!B40="","",설정_코드표!B40)</f>
        <v/>
      </c>
      <c r="J43" s="26">
        <f>IF(I43="","",COUNTIF(입력_전공의명단!$O$2:$O$401,I43))</f>
        <v/>
      </c>
    </row>
    <row r="44">
      <c r="I44" s="26">
        <f>IF(설정_코드표!B41="","",설정_코드표!B41)</f>
        <v/>
      </c>
      <c r="J44" s="26">
        <f>IF(I44="","",COUNTIF(입력_전공의명단!$O$2:$O$401,I44))</f>
        <v/>
      </c>
    </row>
    <row r="45">
      <c r="I45" s="26">
        <f>IF(설정_코드표!D2="","",설정_코드표!D2&amp;" (인턴)")</f>
        <v/>
      </c>
      <c r="J45" s="26">
        <f>IF(설정_코드표!D2="","",COUNTIF(입력_전공의명단!$O$2:$O$401,설정_코드표!D2))</f>
        <v/>
      </c>
    </row>
    <row r="46">
      <c r="I46" s="26">
        <f>IF(설정_코드표!D3="","",설정_코드표!D3&amp;" (인턴)")</f>
        <v/>
      </c>
      <c r="J46" s="26">
        <f>IF(설정_코드표!D3="","",COUNTIF(입력_전공의명단!$O$2:$O$401,설정_코드표!D3))</f>
        <v/>
      </c>
    </row>
  </sheetData>
  <conditionalFormatting sqref="B25:B34">
    <cfRule type="expression" priority="1" dxfId="0">
      <formula>B25&gt;0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48235"/>
    <outlinePr summaryBelow="1" summaryRight="1"/>
    <pageSetUpPr/>
  </sheetPr>
  <dimension ref="A1:Y40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10" customWidth="1" min="3" max="3"/>
    <col width="10" customWidth="1" min="4" max="4"/>
    <col width="11" customWidth="1" min="5" max="5"/>
    <col width="12" customWidth="1" min="6" max="6"/>
    <col width="15" customWidth="1" min="7" max="7"/>
    <col width="16" customWidth="1" min="8" max="8"/>
    <col width="15" customWidth="1" min="9" max="9"/>
    <col width="16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9" customWidth="1" min="17" max="17"/>
    <col width="3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인턴 근무 현황</t>
        </is>
      </c>
    </row>
    <row r="2">
      <c r="A2" s="3" t="inlineStr">
        <is>
          <t>기준일</t>
        </is>
      </c>
      <c r="B2" s="33">
        <f>TODAY()</f>
        <v/>
      </c>
      <c r="J2" s="8" t="inlineStr">
        <is>
          <t>급여 기준월 위치→</t>
        </is>
      </c>
      <c r="K2" s="32">
        <f>IFERROR(MATCH(MONTH(출력_요약!$B$3),$K$3:$P$3,0),"")</f>
        <v/>
      </c>
    </row>
    <row r="3">
      <c r="A3" s="8" t="inlineStr">
        <is>
          <t>계획 월 번호(자동)</t>
        </is>
      </c>
      <c r="F3" s="8" t="inlineStr">
        <is>
          <t>이번/다음 달 위치→</t>
        </is>
      </c>
      <c r="G3" s="32">
        <f>IFERROR(MATCH(MONTH(TODAY()),$K$3:$P$3,0),"")</f>
        <v/>
      </c>
      <c r="I3" s="32">
        <f>IFERROR(MATCH(MONTH(EDATE(TODAY(),1)),$K$3:$P$3,0),"")</f>
        <v/>
      </c>
      <c r="K3" s="32">
        <f>IFERROR(VALUE(SUBSTITUTE(TRIM(K5),"월","")),"")</f>
        <v/>
      </c>
      <c r="L3" s="32">
        <f>IFERROR(VALUE(SUBSTITUTE(TRIM(L5),"월","")),"")</f>
        <v/>
      </c>
      <c r="M3" s="32">
        <f>IFERROR(VALUE(SUBSTITUTE(TRIM(M5),"월","")),"")</f>
        <v/>
      </c>
      <c r="N3" s="32">
        <f>IFERROR(VALUE(SUBSTITUTE(TRIM(N5),"월","")),"")</f>
        <v/>
      </c>
      <c r="O3" s="32">
        <f>IFERROR(VALUE(SUBSTITUTE(TRIM(O5),"월","")),"")</f>
        <v/>
      </c>
      <c r="P3" s="32">
        <f>IFERROR(VALUE(SUBSTITUTE(TRIM(P5),"월","")),"")</f>
        <v/>
      </c>
    </row>
    <row r="4">
      <c r="S4" s="3" t="inlineStr">
        <is>
          <t>월별 병원별 인턴 인원</t>
        </is>
      </c>
    </row>
    <row r="5" ht="30" customHeight="1">
      <c r="A5" s="12" t="inlineStr">
        <is>
          <t>계획행</t>
        </is>
      </c>
      <c r="B5" s="12" t="inlineStr">
        <is>
          <t>순번</t>
        </is>
      </c>
      <c r="C5" s="12" t="inlineStr">
        <is>
          <t>이름</t>
        </is>
      </c>
      <c r="D5" s="12" t="inlineStr">
        <is>
          <t>사번</t>
        </is>
      </c>
      <c r="E5" s="12" t="inlineStr">
        <is>
          <t>기본자료 확인</t>
        </is>
      </c>
      <c r="F5" s="12" t="inlineStr">
        <is>
          <t>입사일</t>
        </is>
      </c>
      <c r="G5" s="12">
        <f>"이번 달("&amp;IF($G$3="","계획 외",MONTH(TODAY())&amp;"월")&amp;") 병원"</f>
        <v/>
      </c>
      <c r="H5" s="12" t="inlineStr">
        <is>
          <t>이번 달 진료과</t>
        </is>
      </c>
      <c r="I5" s="12">
        <f>"다음 달("&amp;IF($I$3="","계획 외",MONTH(EDATE(TODAY(),1))&amp;"월")&amp;") 병원"</f>
        <v/>
      </c>
      <c r="J5" s="12" t="inlineStr">
        <is>
          <t>다음 달 진료과</t>
        </is>
      </c>
      <c r="K5" s="12">
        <f>TRIM(입력_인턴근무계획!E$2&amp;"")</f>
        <v/>
      </c>
      <c r="L5" s="12">
        <f>TRIM(입력_인턴근무계획!F$2&amp;"")</f>
        <v/>
      </c>
      <c r="M5" s="12">
        <f>TRIM(입력_인턴근무계획!G$2&amp;"")</f>
        <v/>
      </c>
      <c r="N5" s="12">
        <f>TRIM(입력_인턴근무계획!H$2&amp;"")</f>
        <v/>
      </c>
      <c r="O5" s="12">
        <f>TRIM(입력_인턴근무계획!I$2&amp;"")</f>
        <v/>
      </c>
      <c r="P5" s="12">
        <f>TRIM(입력_인턴근무계획!J$2&amp;"")</f>
        <v/>
      </c>
      <c r="Q5" s="12" t="inlineStr">
        <is>
          <t>입력오류(건)</t>
        </is>
      </c>
      <c r="S5" s="12" t="inlineStr">
        <is>
          <t>병원</t>
        </is>
      </c>
      <c r="T5" s="12">
        <f>K5</f>
        <v/>
      </c>
      <c r="U5" s="12">
        <f>L5</f>
        <v/>
      </c>
      <c r="V5" s="12">
        <f>M5</f>
        <v/>
      </c>
      <c r="W5" s="12">
        <f>N5</f>
        <v/>
      </c>
      <c r="X5" s="12">
        <f>O5</f>
        <v/>
      </c>
      <c r="Y5" s="12">
        <f>P5</f>
        <v/>
      </c>
    </row>
    <row r="6">
      <c r="A6" s="29" t="n">
        <v>1</v>
      </c>
      <c r="B6" s="26">
        <f>IF($C6="","",INDEX(입력_인턴근무계획!$B$3:$B$402,$A6))</f>
        <v/>
      </c>
      <c r="C6" s="26">
        <f>IFERROR(TRIM(INDEX(입력_인턴근무계획!$C$3:$C$402,$A6)&amp;""),"")</f>
        <v/>
      </c>
      <c r="D6" s="26">
        <f>IF($C6="","",INDEX(입력_인턴근무계획!$D$3:$D$402,$A6))</f>
        <v/>
      </c>
      <c r="E6" s="26">
        <f>IF($C6="","",IF(IFERROR(MATCH($D6,입력_기본자료!$B$2:$B$1001,0),IFERROR(MATCH($D6&amp;"",입력_기본자료!$B$2:$B$1001,0),IFERROR(MATCH(VALUE($D6),입력_기본자료!$B$2:$B$1001,0),0)))&gt;0,"확인","미등록"))</f>
        <v/>
      </c>
      <c r="F6" s="28">
        <f>IF($C6="","",INDEX(입력_인턴근무계획!$S$3:$S$402,$A6))</f>
        <v/>
      </c>
      <c r="G6" s="26">
        <f>IF(OR($C6="",$G$3=""),"",IF(INDEX(입력_인턴근무계획!$M$3:$R$402,$A6,$G$3)&amp;""="","",IF(LEFT(INDEX(입력_인턴근무계획!$M$3:$R$402,$A6,$G$3)&amp;"",1)="⚠",INDEX(입력_인턴근무계획!$M$3:$R$402,$A6,$G$3)&amp;"",LEFT(INDEX(입력_인턴근무계획!$M$3:$R$402,$A6,$G$3)&amp;"",FIND(" ",INDEX(입력_인턴근무계획!$M$3:$R$402,$A6,$G$3)&amp;"")-1))))</f>
        <v/>
      </c>
      <c r="H6" s="26">
        <f>IF(OR($C6="",$G$3=""),"",IF(INDEX(입력_인턴근무계획!$M$3:$R$402,$A6,$G$3)&amp;""="","",IF(LEFT(INDEX(입력_인턴근무계획!$M$3:$R$402,$A6,$G$3)&amp;"",1)="⚠","",MID(INDEX(입력_인턴근무계획!$M$3:$R$402,$A6,$G$3)&amp;"",FIND(" ",INDEX(입력_인턴근무계획!$M$3:$R$402,$A6,$G$3)&amp;"")+1,60))))</f>
        <v/>
      </c>
      <c r="I6" s="26">
        <f>IF(OR($C6="",$I$3=""),"",IF(INDEX(입력_인턴근무계획!$M$3:$R$402,$A6,$I$3)&amp;""="","",IF(LEFT(INDEX(입력_인턴근무계획!$M$3:$R$402,$A6,$I$3)&amp;"",1)="⚠",INDEX(입력_인턴근무계획!$M$3:$R$402,$A6,$I$3)&amp;"",LEFT(INDEX(입력_인턴근무계획!$M$3:$R$402,$A6,$I$3)&amp;"",FIND(" ",INDEX(입력_인턴근무계획!$M$3:$R$402,$A6,$I$3)&amp;"")-1))))</f>
        <v/>
      </c>
      <c r="J6" s="26">
        <f>IF(OR($C6="",$I$3=""),"",IF(INDEX(입력_인턴근무계획!$M$3:$R$402,$A6,$I$3)&amp;""="","",IF(LEFT(INDEX(입력_인턴근무계획!$M$3:$R$402,$A6,$I$3)&amp;"",1)="⚠","",MID(INDEX(입력_인턴근무계획!$M$3:$R$402,$A6,$I$3)&amp;"",FIND(" ",INDEX(입력_인턴근무계획!$M$3:$R$402,$A6,$I$3)&amp;"")+1,60))))</f>
        <v/>
      </c>
      <c r="K6" s="26">
        <f>IF($C6="","",INDEX(입력_인턴근무계획!$M$3:$M$402,$A6)&amp;"")</f>
        <v/>
      </c>
      <c r="L6" s="26">
        <f>IF($C6="","",INDEX(입력_인턴근무계획!$N$3:$N$402,$A6)&amp;"")</f>
        <v/>
      </c>
      <c r="M6" s="26">
        <f>IF($C6="","",INDEX(입력_인턴근무계획!$O$3:$O$402,$A6)&amp;"")</f>
        <v/>
      </c>
      <c r="N6" s="26">
        <f>IF($C6="","",INDEX(입력_인턴근무계획!$P$3:$P$402,$A6)&amp;"")</f>
        <v/>
      </c>
      <c r="O6" s="26">
        <f>IF($C6="","",INDEX(입력_인턴근무계획!$Q$3:$Q$402,$A6)&amp;"")</f>
        <v/>
      </c>
      <c r="P6" s="26">
        <f>IF($C6="","",INDEX(입력_인턴근무계획!$R$3:$R$402,$A6)&amp;"")</f>
        <v/>
      </c>
      <c r="Q6" s="26">
        <f>IF($C6="","",INDEX(입력_인턴근무계획!$T$3:$T$402,$A6))</f>
        <v/>
      </c>
      <c r="S6" s="26">
        <f>IF(설정_코드표!A2="","",설정_코드표!A2)</f>
        <v/>
      </c>
      <c r="T6" s="26">
        <f>IF($S6="","",COUNTIF(K$6:K$405,$S6&amp;" *"))</f>
        <v/>
      </c>
      <c r="U6" s="26">
        <f>IF($S6="","",COUNTIF(L$6:L$405,$S6&amp;" *"))</f>
        <v/>
      </c>
      <c r="V6" s="26">
        <f>IF($S6="","",COUNTIF(M$6:M$405,$S6&amp;" *"))</f>
        <v/>
      </c>
      <c r="W6" s="26">
        <f>IF($S6="","",COUNTIF(N$6:N$405,$S6&amp;" *"))</f>
        <v/>
      </c>
      <c r="X6" s="26">
        <f>IF($S6="","",COUNTIF(O$6:O$405,$S6&amp;" *"))</f>
        <v/>
      </c>
      <c r="Y6" s="26">
        <f>IF($S6="","",COUNTIF(P$6:P$405,$S6&amp;" *"))</f>
        <v/>
      </c>
    </row>
    <row r="7">
      <c r="A7" s="29" t="n">
        <v>2</v>
      </c>
      <c r="B7" s="26">
        <f>IF($C7="","",INDEX(입력_인턴근무계획!$B$3:$B$402,$A7))</f>
        <v/>
      </c>
      <c r="C7" s="26">
        <f>IFERROR(TRIM(INDEX(입력_인턴근무계획!$C$3:$C$402,$A7)&amp;""),"")</f>
        <v/>
      </c>
      <c r="D7" s="26">
        <f>IF($C7="","",INDEX(입력_인턴근무계획!$D$3:$D$402,$A7))</f>
        <v/>
      </c>
      <c r="E7" s="26">
        <f>IF($C7="","",IF(IFERROR(MATCH($D7,입력_기본자료!$B$2:$B$1001,0),IFERROR(MATCH($D7&amp;"",입력_기본자료!$B$2:$B$1001,0),IFERROR(MATCH(VALUE($D7),입력_기본자료!$B$2:$B$1001,0),0)))&gt;0,"확인","미등록"))</f>
        <v/>
      </c>
      <c r="F7" s="28">
        <f>IF($C7="","",INDEX(입력_인턴근무계획!$S$3:$S$402,$A7))</f>
        <v/>
      </c>
      <c r="G7" s="26">
        <f>IF(OR($C7="",$G$3=""),"",IF(INDEX(입력_인턴근무계획!$M$3:$R$402,$A7,$G$3)&amp;""="","",IF(LEFT(INDEX(입력_인턴근무계획!$M$3:$R$402,$A7,$G$3)&amp;"",1)="⚠",INDEX(입력_인턴근무계획!$M$3:$R$402,$A7,$G$3)&amp;"",LEFT(INDEX(입력_인턴근무계획!$M$3:$R$402,$A7,$G$3)&amp;"",FIND(" ",INDEX(입력_인턴근무계획!$M$3:$R$402,$A7,$G$3)&amp;"")-1))))</f>
        <v/>
      </c>
      <c r="H7" s="26">
        <f>IF(OR($C7="",$G$3=""),"",IF(INDEX(입력_인턴근무계획!$M$3:$R$402,$A7,$G$3)&amp;""="","",IF(LEFT(INDEX(입력_인턴근무계획!$M$3:$R$402,$A7,$G$3)&amp;"",1)="⚠","",MID(INDEX(입력_인턴근무계획!$M$3:$R$402,$A7,$G$3)&amp;"",FIND(" ",INDEX(입력_인턴근무계획!$M$3:$R$402,$A7,$G$3)&amp;"")+1,60))))</f>
        <v/>
      </c>
      <c r="I7" s="26">
        <f>IF(OR($C7="",$I$3=""),"",IF(INDEX(입력_인턴근무계획!$M$3:$R$402,$A7,$I$3)&amp;""="","",IF(LEFT(INDEX(입력_인턴근무계획!$M$3:$R$402,$A7,$I$3)&amp;"",1)="⚠",INDEX(입력_인턴근무계획!$M$3:$R$402,$A7,$I$3)&amp;"",LEFT(INDEX(입력_인턴근무계획!$M$3:$R$402,$A7,$I$3)&amp;"",FIND(" ",INDEX(입력_인턴근무계획!$M$3:$R$402,$A7,$I$3)&amp;"")-1))))</f>
        <v/>
      </c>
      <c r="J7" s="26">
        <f>IF(OR($C7="",$I$3=""),"",IF(INDEX(입력_인턴근무계획!$M$3:$R$402,$A7,$I$3)&amp;""="","",IF(LEFT(INDEX(입력_인턴근무계획!$M$3:$R$402,$A7,$I$3)&amp;"",1)="⚠","",MID(INDEX(입력_인턴근무계획!$M$3:$R$402,$A7,$I$3)&amp;"",FIND(" ",INDEX(입력_인턴근무계획!$M$3:$R$402,$A7,$I$3)&amp;"")+1,60))))</f>
        <v/>
      </c>
      <c r="K7" s="26">
        <f>IF($C7="","",INDEX(입력_인턴근무계획!$M$3:$M$402,$A7)&amp;"")</f>
        <v/>
      </c>
      <c r="L7" s="26">
        <f>IF($C7="","",INDEX(입력_인턴근무계획!$N$3:$N$402,$A7)&amp;"")</f>
        <v/>
      </c>
      <c r="M7" s="26">
        <f>IF($C7="","",INDEX(입력_인턴근무계획!$O$3:$O$402,$A7)&amp;"")</f>
        <v/>
      </c>
      <c r="N7" s="26">
        <f>IF($C7="","",INDEX(입력_인턴근무계획!$P$3:$P$402,$A7)&amp;"")</f>
        <v/>
      </c>
      <c r="O7" s="26">
        <f>IF($C7="","",INDEX(입력_인턴근무계획!$Q$3:$Q$402,$A7)&amp;"")</f>
        <v/>
      </c>
      <c r="P7" s="26">
        <f>IF($C7="","",INDEX(입력_인턴근무계획!$R$3:$R$402,$A7)&amp;"")</f>
        <v/>
      </c>
      <c r="Q7" s="26">
        <f>IF($C7="","",INDEX(입력_인턴근무계획!$T$3:$T$402,$A7))</f>
        <v/>
      </c>
      <c r="S7" s="26">
        <f>IF(설정_코드표!A3="","",설정_코드표!A3)</f>
        <v/>
      </c>
      <c r="T7" s="26">
        <f>IF($S7="","",COUNTIF(K$6:K$405,$S7&amp;" *"))</f>
        <v/>
      </c>
      <c r="U7" s="26">
        <f>IF($S7="","",COUNTIF(L$6:L$405,$S7&amp;" *"))</f>
        <v/>
      </c>
      <c r="V7" s="26">
        <f>IF($S7="","",COUNTIF(M$6:M$405,$S7&amp;" *"))</f>
        <v/>
      </c>
      <c r="W7" s="26">
        <f>IF($S7="","",COUNTIF(N$6:N$405,$S7&amp;" *"))</f>
        <v/>
      </c>
      <c r="X7" s="26">
        <f>IF($S7="","",COUNTIF(O$6:O$405,$S7&amp;" *"))</f>
        <v/>
      </c>
      <c r="Y7" s="26">
        <f>IF($S7="","",COUNTIF(P$6:P$405,$S7&amp;" *"))</f>
        <v/>
      </c>
    </row>
    <row r="8">
      <c r="A8" s="29" t="n">
        <v>3</v>
      </c>
      <c r="B8" s="26">
        <f>IF($C8="","",INDEX(입력_인턴근무계획!$B$3:$B$402,$A8))</f>
        <v/>
      </c>
      <c r="C8" s="26">
        <f>IFERROR(TRIM(INDEX(입력_인턴근무계획!$C$3:$C$402,$A8)&amp;""),"")</f>
        <v/>
      </c>
      <c r="D8" s="26">
        <f>IF($C8="","",INDEX(입력_인턴근무계획!$D$3:$D$402,$A8))</f>
        <v/>
      </c>
      <c r="E8" s="26">
        <f>IF($C8="","",IF(IFERROR(MATCH($D8,입력_기본자료!$B$2:$B$1001,0),IFERROR(MATCH($D8&amp;"",입력_기본자료!$B$2:$B$1001,0),IFERROR(MATCH(VALUE($D8),입력_기본자료!$B$2:$B$1001,0),0)))&gt;0,"확인","미등록"))</f>
        <v/>
      </c>
      <c r="F8" s="28">
        <f>IF($C8="","",INDEX(입력_인턴근무계획!$S$3:$S$402,$A8))</f>
        <v/>
      </c>
      <c r="G8" s="26">
        <f>IF(OR($C8="",$G$3=""),"",IF(INDEX(입력_인턴근무계획!$M$3:$R$402,$A8,$G$3)&amp;""="","",IF(LEFT(INDEX(입력_인턴근무계획!$M$3:$R$402,$A8,$G$3)&amp;"",1)="⚠",INDEX(입력_인턴근무계획!$M$3:$R$402,$A8,$G$3)&amp;"",LEFT(INDEX(입력_인턴근무계획!$M$3:$R$402,$A8,$G$3)&amp;"",FIND(" ",INDEX(입력_인턴근무계획!$M$3:$R$402,$A8,$G$3)&amp;"")-1))))</f>
        <v/>
      </c>
      <c r="H8" s="26">
        <f>IF(OR($C8="",$G$3=""),"",IF(INDEX(입력_인턴근무계획!$M$3:$R$402,$A8,$G$3)&amp;""="","",IF(LEFT(INDEX(입력_인턴근무계획!$M$3:$R$402,$A8,$G$3)&amp;"",1)="⚠","",MID(INDEX(입력_인턴근무계획!$M$3:$R$402,$A8,$G$3)&amp;"",FIND(" ",INDEX(입력_인턴근무계획!$M$3:$R$402,$A8,$G$3)&amp;"")+1,60))))</f>
        <v/>
      </c>
      <c r="I8" s="26">
        <f>IF(OR($C8="",$I$3=""),"",IF(INDEX(입력_인턴근무계획!$M$3:$R$402,$A8,$I$3)&amp;""="","",IF(LEFT(INDEX(입력_인턴근무계획!$M$3:$R$402,$A8,$I$3)&amp;"",1)="⚠",INDEX(입력_인턴근무계획!$M$3:$R$402,$A8,$I$3)&amp;"",LEFT(INDEX(입력_인턴근무계획!$M$3:$R$402,$A8,$I$3)&amp;"",FIND(" ",INDEX(입력_인턴근무계획!$M$3:$R$402,$A8,$I$3)&amp;"")-1))))</f>
        <v/>
      </c>
      <c r="J8" s="26">
        <f>IF(OR($C8="",$I$3=""),"",IF(INDEX(입력_인턴근무계획!$M$3:$R$402,$A8,$I$3)&amp;""="","",IF(LEFT(INDEX(입력_인턴근무계획!$M$3:$R$402,$A8,$I$3)&amp;"",1)="⚠","",MID(INDEX(입력_인턴근무계획!$M$3:$R$402,$A8,$I$3)&amp;"",FIND(" ",INDEX(입력_인턴근무계획!$M$3:$R$402,$A8,$I$3)&amp;"")+1,60))))</f>
        <v/>
      </c>
      <c r="K8" s="26">
        <f>IF($C8="","",INDEX(입력_인턴근무계획!$M$3:$M$402,$A8)&amp;"")</f>
        <v/>
      </c>
      <c r="L8" s="26">
        <f>IF($C8="","",INDEX(입력_인턴근무계획!$N$3:$N$402,$A8)&amp;"")</f>
        <v/>
      </c>
      <c r="M8" s="26">
        <f>IF($C8="","",INDEX(입력_인턴근무계획!$O$3:$O$402,$A8)&amp;"")</f>
        <v/>
      </c>
      <c r="N8" s="26">
        <f>IF($C8="","",INDEX(입력_인턴근무계획!$P$3:$P$402,$A8)&amp;"")</f>
        <v/>
      </c>
      <c r="O8" s="26">
        <f>IF($C8="","",INDEX(입력_인턴근무계획!$Q$3:$Q$402,$A8)&amp;"")</f>
        <v/>
      </c>
      <c r="P8" s="26">
        <f>IF($C8="","",INDEX(입력_인턴근무계획!$R$3:$R$402,$A8)&amp;"")</f>
        <v/>
      </c>
      <c r="Q8" s="26">
        <f>IF($C8="","",INDEX(입력_인턴근무계획!$T$3:$T$402,$A8))</f>
        <v/>
      </c>
      <c r="S8" s="26">
        <f>IF(설정_코드표!A4="","",설정_코드표!A4)</f>
        <v/>
      </c>
      <c r="T8" s="26">
        <f>IF($S8="","",COUNTIF(K$6:K$405,$S8&amp;" *"))</f>
        <v/>
      </c>
      <c r="U8" s="26">
        <f>IF($S8="","",COUNTIF(L$6:L$405,$S8&amp;" *"))</f>
        <v/>
      </c>
      <c r="V8" s="26">
        <f>IF($S8="","",COUNTIF(M$6:M$405,$S8&amp;" *"))</f>
        <v/>
      </c>
      <c r="W8" s="26">
        <f>IF($S8="","",COUNTIF(N$6:N$405,$S8&amp;" *"))</f>
        <v/>
      </c>
      <c r="X8" s="26">
        <f>IF($S8="","",COUNTIF(O$6:O$405,$S8&amp;" *"))</f>
        <v/>
      </c>
      <c r="Y8" s="26">
        <f>IF($S8="","",COUNTIF(P$6:P$405,$S8&amp;" *"))</f>
        <v/>
      </c>
    </row>
    <row r="9">
      <c r="A9" s="29" t="n">
        <v>4</v>
      </c>
      <c r="B9" s="26">
        <f>IF($C9="","",INDEX(입력_인턴근무계획!$B$3:$B$402,$A9))</f>
        <v/>
      </c>
      <c r="C9" s="26">
        <f>IFERROR(TRIM(INDEX(입력_인턴근무계획!$C$3:$C$402,$A9)&amp;""),"")</f>
        <v/>
      </c>
      <c r="D9" s="26">
        <f>IF($C9="","",INDEX(입력_인턴근무계획!$D$3:$D$402,$A9))</f>
        <v/>
      </c>
      <c r="E9" s="26">
        <f>IF($C9="","",IF(IFERROR(MATCH($D9,입력_기본자료!$B$2:$B$1001,0),IFERROR(MATCH($D9&amp;"",입력_기본자료!$B$2:$B$1001,0),IFERROR(MATCH(VALUE($D9),입력_기본자료!$B$2:$B$1001,0),0)))&gt;0,"확인","미등록"))</f>
        <v/>
      </c>
      <c r="F9" s="28">
        <f>IF($C9="","",INDEX(입력_인턴근무계획!$S$3:$S$402,$A9))</f>
        <v/>
      </c>
      <c r="G9" s="26">
        <f>IF(OR($C9="",$G$3=""),"",IF(INDEX(입력_인턴근무계획!$M$3:$R$402,$A9,$G$3)&amp;""="","",IF(LEFT(INDEX(입력_인턴근무계획!$M$3:$R$402,$A9,$G$3)&amp;"",1)="⚠",INDEX(입력_인턴근무계획!$M$3:$R$402,$A9,$G$3)&amp;"",LEFT(INDEX(입력_인턴근무계획!$M$3:$R$402,$A9,$G$3)&amp;"",FIND(" ",INDEX(입력_인턴근무계획!$M$3:$R$402,$A9,$G$3)&amp;"")-1))))</f>
        <v/>
      </c>
      <c r="H9" s="26">
        <f>IF(OR($C9="",$G$3=""),"",IF(INDEX(입력_인턴근무계획!$M$3:$R$402,$A9,$G$3)&amp;""="","",IF(LEFT(INDEX(입력_인턴근무계획!$M$3:$R$402,$A9,$G$3)&amp;"",1)="⚠","",MID(INDEX(입력_인턴근무계획!$M$3:$R$402,$A9,$G$3)&amp;"",FIND(" ",INDEX(입력_인턴근무계획!$M$3:$R$402,$A9,$G$3)&amp;"")+1,60))))</f>
        <v/>
      </c>
      <c r="I9" s="26">
        <f>IF(OR($C9="",$I$3=""),"",IF(INDEX(입력_인턴근무계획!$M$3:$R$402,$A9,$I$3)&amp;""="","",IF(LEFT(INDEX(입력_인턴근무계획!$M$3:$R$402,$A9,$I$3)&amp;"",1)="⚠",INDEX(입력_인턴근무계획!$M$3:$R$402,$A9,$I$3)&amp;"",LEFT(INDEX(입력_인턴근무계획!$M$3:$R$402,$A9,$I$3)&amp;"",FIND(" ",INDEX(입력_인턴근무계획!$M$3:$R$402,$A9,$I$3)&amp;"")-1))))</f>
        <v/>
      </c>
      <c r="J9" s="26">
        <f>IF(OR($C9="",$I$3=""),"",IF(INDEX(입력_인턴근무계획!$M$3:$R$402,$A9,$I$3)&amp;""="","",IF(LEFT(INDEX(입력_인턴근무계획!$M$3:$R$402,$A9,$I$3)&amp;"",1)="⚠","",MID(INDEX(입력_인턴근무계획!$M$3:$R$402,$A9,$I$3)&amp;"",FIND(" ",INDEX(입력_인턴근무계획!$M$3:$R$402,$A9,$I$3)&amp;"")+1,60))))</f>
        <v/>
      </c>
      <c r="K9" s="26">
        <f>IF($C9="","",INDEX(입력_인턴근무계획!$M$3:$M$402,$A9)&amp;"")</f>
        <v/>
      </c>
      <c r="L9" s="26">
        <f>IF($C9="","",INDEX(입력_인턴근무계획!$N$3:$N$402,$A9)&amp;"")</f>
        <v/>
      </c>
      <c r="M9" s="26">
        <f>IF($C9="","",INDEX(입력_인턴근무계획!$O$3:$O$402,$A9)&amp;"")</f>
        <v/>
      </c>
      <c r="N9" s="26">
        <f>IF($C9="","",INDEX(입력_인턴근무계획!$P$3:$P$402,$A9)&amp;"")</f>
        <v/>
      </c>
      <c r="O9" s="26">
        <f>IF($C9="","",INDEX(입력_인턴근무계획!$Q$3:$Q$402,$A9)&amp;"")</f>
        <v/>
      </c>
      <c r="P9" s="26">
        <f>IF($C9="","",INDEX(입력_인턴근무계획!$R$3:$R$402,$A9)&amp;"")</f>
        <v/>
      </c>
      <c r="Q9" s="26">
        <f>IF($C9="","",INDEX(입력_인턴근무계획!$T$3:$T$402,$A9))</f>
        <v/>
      </c>
      <c r="S9" s="26">
        <f>IF(설정_코드표!A5="","",설정_코드표!A5)</f>
        <v/>
      </c>
      <c r="T9" s="26">
        <f>IF($S9="","",COUNTIF(K$6:K$405,$S9&amp;" *"))</f>
        <v/>
      </c>
      <c r="U9" s="26">
        <f>IF($S9="","",COUNTIF(L$6:L$405,$S9&amp;" *"))</f>
        <v/>
      </c>
      <c r="V9" s="26">
        <f>IF($S9="","",COUNTIF(M$6:M$405,$S9&amp;" *"))</f>
        <v/>
      </c>
      <c r="W9" s="26">
        <f>IF($S9="","",COUNTIF(N$6:N$405,$S9&amp;" *"))</f>
        <v/>
      </c>
      <c r="X9" s="26">
        <f>IF($S9="","",COUNTIF(O$6:O$405,$S9&amp;" *"))</f>
        <v/>
      </c>
      <c r="Y9" s="26">
        <f>IF($S9="","",COUNTIF(P$6:P$405,$S9&amp;" *"))</f>
        <v/>
      </c>
    </row>
    <row r="10">
      <c r="A10" s="29" t="n">
        <v>5</v>
      </c>
      <c r="B10" s="26">
        <f>IF($C10="","",INDEX(입력_인턴근무계획!$B$3:$B$402,$A10))</f>
        <v/>
      </c>
      <c r="C10" s="26">
        <f>IFERROR(TRIM(INDEX(입력_인턴근무계획!$C$3:$C$402,$A10)&amp;""),"")</f>
        <v/>
      </c>
      <c r="D10" s="26">
        <f>IF($C10="","",INDEX(입력_인턴근무계획!$D$3:$D$402,$A10))</f>
        <v/>
      </c>
      <c r="E10" s="26">
        <f>IF($C10="","",IF(IFERROR(MATCH($D10,입력_기본자료!$B$2:$B$1001,0),IFERROR(MATCH($D10&amp;"",입력_기본자료!$B$2:$B$1001,0),IFERROR(MATCH(VALUE($D10),입력_기본자료!$B$2:$B$1001,0),0)))&gt;0,"확인","미등록"))</f>
        <v/>
      </c>
      <c r="F10" s="28">
        <f>IF($C10="","",INDEX(입력_인턴근무계획!$S$3:$S$402,$A10))</f>
        <v/>
      </c>
      <c r="G10" s="26">
        <f>IF(OR($C10="",$G$3=""),"",IF(INDEX(입력_인턴근무계획!$M$3:$R$402,$A10,$G$3)&amp;""="","",IF(LEFT(INDEX(입력_인턴근무계획!$M$3:$R$402,$A10,$G$3)&amp;"",1)="⚠",INDEX(입력_인턴근무계획!$M$3:$R$402,$A10,$G$3)&amp;"",LEFT(INDEX(입력_인턴근무계획!$M$3:$R$402,$A10,$G$3)&amp;"",FIND(" ",INDEX(입력_인턴근무계획!$M$3:$R$402,$A10,$G$3)&amp;"")-1))))</f>
        <v/>
      </c>
      <c r="H10" s="26">
        <f>IF(OR($C10="",$G$3=""),"",IF(INDEX(입력_인턴근무계획!$M$3:$R$402,$A10,$G$3)&amp;""="","",IF(LEFT(INDEX(입력_인턴근무계획!$M$3:$R$402,$A10,$G$3)&amp;"",1)="⚠","",MID(INDEX(입력_인턴근무계획!$M$3:$R$402,$A10,$G$3)&amp;"",FIND(" ",INDEX(입력_인턴근무계획!$M$3:$R$402,$A10,$G$3)&amp;"")+1,60))))</f>
        <v/>
      </c>
      <c r="I10" s="26">
        <f>IF(OR($C10="",$I$3=""),"",IF(INDEX(입력_인턴근무계획!$M$3:$R$402,$A10,$I$3)&amp;""="","",IF(LEFT(INDEX(입력_인턴근무계획!$M$3:$R$402,$A10,$I$3)&amp;"",1)="⚠",INDEX(입력_인턴근무계획!$M$3:$R$402,$A10,$I$3)&amp;"",LEFT(INDEX(입력_인턴근무계획!$M$3:$R$402,$A10,$I$3)&amp;"",FIND(" ",INDEX(입력_인턴근무계획!$M$3:$R$402,$A10,$I$3)&amp;"")-1))))</f>
        <v/>
      </c>
      <c r="J10" s="26">
        <f>IF(OR($C10="",$I$3=""),"",IF(INDEX(입력_인턴근무계획!$M$3:$R$402,$A10,$I$3)&amp;""="","",IF(LEFT(INDEX(입력_인턴근무계획!$M$3:$R$402,$A10,$I$3)&amp;"",1)="⚠","",MID(INDEX(입력_인턴근무계획!$M$3:$R$402,$A10,$I$3)&amp;"",FIND(" ",INDEX(입력_인턴근무계획!$M$3:$R$402,$A10,$I$3)&amp;"")+1,60))))</f>
        <v/>
      </c>
      <c r="K10" s="26">
        <f>IF($C10="","",INDEX(입력_인턴근무계획!$M$3:$M$402,$A10)&amp;"")</f>
        <v/>
      </c>
      <c r="L10" s="26">
        <f>IF($C10="","",INDEX(입력_인턴근무계획!$N$3:$N$402,$A10)&amp;"")</f>
        <v/>
      </c>
      <c r="M10" s="26">
        <f>IF($C10="","",INDEX(입력_인턴근무계획!$O$3:$O$402,$A10)&amp;"")</f>
        <v/>
      </c>
      <c r="N10" s="26">
        <f>IF($C10="","",INDEX(입력_인턴근무계획!$P$3:$P$402,$A10)&amp;"")</f>
        <v/>
      </c>
      <c r="O10" s="26">
        <f>IF($C10="","",INDEX(입력_인턴근무계획!$Q$3:$Q$402,$A10)&amp;"")</f>
        <v/>
      </c>
      <c r="P10" s="26">
        <f>IF($C10="","",INDEX(입력_인턴근무계획!$R$3:$R$402,$A10)&amp;"")</f>
        <v/>
      </c>
      <c r="Q10" s="26">
        <f>IF($C10="","",INDEX(입력_인턴근무계획!$T$3:$T$402,$A10))</f>
        <v/>
      </c>
      <c r="S10" s="26">
        <f>IF(설정_코드표!A6="","",설정_코드표!A6)</f>
        <v/>
      </c>
      <c r="T10" s="26">
        <f>IF($S10="","",COUNTIF(K$6:K$405,$S10&amp;" *"))</f>
        <v/>
      </c>
      <c r="U10" s="26">
        <f>IF($S10="","",COUNTIF(L$6:L$405,$S10&amp;" *"))</f>
        <v/>
      </c>
      <c r="V10" s="26">
        <f>IF($S10="","",COUNTIF(M$6:M$405,$S10&amp;" *"))</f>
        <v/>
      </c>
      <c r="W10" s="26">
        <f>IF($S10="","",COUNTIF(N$6:N$405,$S10&amp;" *"))</f>
        <v/>
      </c>
      <c r="X10" s="26">
        <f>IF($S10="","",COUNTIF(O$6:O$405,$S10&amp;" *"))</f>
        <v/>
      </c>
      <c r="Y10" s="26">
        <f>IF($S10="","",COUNTIF(P$6:P$405,$S10&amp;" *"))</f>
        <v/>
      </c>
    </row>
    <row r="11">
      <c r="A11" s="29" t="n">
        <v>6</v>
      </c>
      <c r="B11" s="26">
        <f>IF($C11="","",INDEX(입력_인턴근무계획!$B$3:$B$402,$A11))</f>
        <v/>
      </c>
      <c r="C11" s="26">
        <f>IFERROR(TRIM(INDEX(입력_인턴근무계획!$C$3:$C$402,$A11)&amp;""),"")</f>
        <v/>
      </c>
      <c r="D11" s="26">
        <f>IF($C11="","",INDEX(입력_인턴근무계획!$D$3:$D$402,$A11))</f>
        <v/>
      </c>
      <c r="E11" s="26">
        <f>IF($C11="","",IF(IFERROR(MATCH($D11,입력_기본자료!$B$2:$B$1001,0),IFERROR(MATCH($D11&amp;"",입력_기본자료!$B$2:$B$1001,0),IFERROR(MATCH(VALUE($D11),입력_기본자료!$B$2:$B$1001,0),0)))&gt;0,"확인","미등록"))</f>
        <v/>
      </c>
      <c r="F11" s="28">
        <f>IF($C11="","",INDEX(입력_인턴근무계획!$S$3:$S$402,$A11))</f>
        <v/>
      </c>
      <c r="G11" s="26">
        <f>IF(OR($C11="",$G$3=""),"",IF(INDEX(입력_인턴근무계획!$M$3:$R$402,$A11,$G$3)&amp;""="","",IF(LEFT(INDEX(입력_인턴근무계획!$M$3:$R$402,$A11,$G$3)&amp;"",1)="⚠",INDEX(입력_인턴근무계획!$M$3:$R$402,$A11,$G$3)&amp;"",LEFT(INDEX(입력_인턴근무계획!$M$3:$R$402,$A11,$G$3)&amp;"",FIND(" ",INDEX(입력_인턴근무계획!$M$3:$R$402,$A11,$G$3)&amp;"")-1))))</f>
        <v/>
      </c>
      <c r="H11" s="26">
        <f>IF(OR($C11="",$G$3=""),"",IF(INDEX(입력_인턴근무계획!$M$3:$R$402,$A11,$G$3)&amp;""="","",IF(LEFT(INDEX(입력_인턴근무계획!$M$3:$R$402,$A11,$G$3)&amp;"",1)="⚠","",MID(INDEX(입력_인턴근무계획!$M$3:$R$402,$A11,$G$3)&amp;"",FIND(" ",INDEX(입력_인턴근무계획!$M$3:$R$402,$A11,$G$3)&amp;"")+1,60))))</f>
        <v/>
      </c>
      <c r="I11" s="26">
        <f>IF(OR($C11="",$I$3=""),"",IF(INDEX(입력_인턴근무계획!$M$3:$R$402,$A11,$I$3)&amp;""="","",IF(LEFT(INDEX(입력_인턴근무계획!$M$3:$R$402,$A11,$I$3)&amp;"",1)="⚠",INDEX(입력_인턴근무계획!$M$3:$R$402,$A11,$I$3)&amp;"",LEFT(INDEX(입력_인턴근무계획!$M$3:$R$402,$A11,$I$3)&amp;"",FIND(" ",INDEX(입력_인턴근무계획!$M$3:$R$402,$A11,$I$3)&amp;"")-1))))</f>
        <v/>
      </c>
      <c r="J11" s="26">
        <f>IF(OR($C11="",$I$3=""),"",IF(INDEX(입력_인턴근무계획!$M$3:$R$402,$A11,$I$3)&amp;""="","",IF(LEFT(INDEX(입력_인턴근무계획!$M$3:$R$402,$A11,$I$3)&amp;"",1)="⚠","",MID(INDEX(입력_인턴근무계획!$M$3:$R$402,$A11,$I$3)&amp;"",FIND(" ",INDEX(입력_인턴근무계획!$M$3:$R$402,$A11,$I$3)&amp;"")+1,60))))</f>
        <v/>
      </c>
      <c r="K11" s="26">
        <f>IF($C11="","",INDEX(입력_인턴근무계획!$M$3:$M$402,$A11)&amp;"")</f>
        <v/>
      </c>
      <c r="L11" s="26">
        <f>IF($C11="","",INDEX(입력_인턴근무계획!$N$3:$N$402,$A11)&amp;"")</f>
        <v/>
      </c>
      <c r="M11" s="26">
        <f>IF($C11="","",INDEX(입력_인턴근무계획!$O$3:$O$402,$A11)&amp;"")</f>
        <v/>
      </c>
      <c r="N11" s="26">
        <f>IF($C11="","",INDEX(입력_인턴근무계획!$P$3:$P$402,$A11)&amp;"")</f>
        <v/>
      </c>
      <c r="O11" s="26">
        <f>IF($C11="","",INDEX(입력_인턴근무계획!$Q$3:$Q$402,$A11)&amp;"")</f>
        <v/>
      </c>
      <c r="P11" s="26">
        <f>IF($C11="","",INDEX(입력_인턴근무계획!$R$3:$R$402,$A11)&amp;"")</f>
        <v/>
      </c>
      <c r="Q11" s="26">
        <f>IF($C11="","",INDEX(입력_인턴근무계획!$T$3:$T$402,$A11))</f>
        <v/>
      </c>
      <c r="S11" s="26">
        <f>IF(설정_코드표!A7="","",설정_코드표!A7)</f>
        <v/>
      </c>
      <c r="T11" s="26">
        <f>IF($S11="","",COUNTIF(K$6:K$405,$S11&amp;" *"))</f>
        <v/>
      </c>
      <c r="U11" s="26">
        <f>IF($S11="","",COUNTIF(L$6:L$405,$S11&amp;" *"))</f>
        <v/>
      </c>
      <c r="V11" s="26">
        <f>IF($S11="","",COUNTIF(M$6:M$405,$S11&amp;" *"))</f>
        <v/>
      </c>
      <c r="W11" s="26">
        <f>IF($S11="","",COUNTIF(N$6:N$405,$S11&amp;" *"))</f>
        <v/>
      </c>
      <c r="X11" s="26">
        <f>IF($S11="","",COUNTIF(O$6:O$405,$S11&amp;" *"))</f>
        <v/>
      </c>
      <c r="Y11" s="26">
        <f>IF($S11="","",COUNTIF(P$6:P$405,$S11&amp;" *"))</f>
        <v/>
      </c>
    </row>
    <row r="12">
      <c r="A12" s="29" t="n">
        <v>7</v>
      </c>
      <c r="B12" s="26">
        <f>IF($C12="","",INDEX(입력_인턴근무계획!$B$3:$B$402,$A12))</f>
        <v/>
      </c>
      <c r="C12" s="26">
        <f>IFERROR(TRIM(INDEX(입력_인턴근무계획!$C$3:$C$402,$A12)&amp;""),"")</f>
        <v/>
      </c>
      <c r="D12" s="26">
        <f>IF($C12="","",INDEX(입력_인턴근무계획!$D$3:$D$402,$A12))</f>
        <v/>
      </c>
      <c r="E12" s="26">
        <f>IF($C12="","",IF(IFERROR(MATCH($D12,입력_기본자료!$B$2:$B$1001,0),IFERROR(MATCH($D12&amp;"",입력_기본자료!$B$2:$B$1001,0),IFERROR(MATCH(VALUE($D12),입력_기본자료!$B$2:$B$1001,0),0)))&gt;0,"확인","미등록"))</f>
        <v/>
      </c>
      <c r="F12" s="28">
        <f>IF($C12="","",INDEX(입력_인턴근무계획!$S$3:$S$402,$A12))</f>
        <v/>
      </c>
      <c r="G12" s="26">
        <f>IF(OR($C12="",$G$3=""),"",IF(INDEX(입력_인턴근무계획!$M$3:$R$402,$A12,$G$3)&amp;""="","",IF(LEFT(INDEX(입력_인턴근무계획!$M$3:$R$402,$A12,$G$3)&amp;"",1)="⚠",INDEX(입력_인턴근무계획!$M$3:$R$402,$A12,$G$3)&amp;"",LEFT(INDEX(입력_인턴근무계획!$M$3:$R$402,$A12,$G$3)&amp;"",FIND(" ",INDEX(입력_인턴근무계획!$M$3:$R$402,$A12,$G$3)&amp;"")-1))))</f>
        <v/>
      </c>
      <c r="H12" s="26">
        <f>IF(OR($C12="",$G$3=""),"",IF(INDEX(입력_인턴근무계획!$M$3:$R$402,$A12,$G$3)&amp;""="","",IF(LEFT(INDEX(입력_인턴근무계획!$M$3:$R$402,$A12,$G$3)&amp;"",1)="⚠","",MID(INDEX(입력_인턴근무계획!$M$3:$R$402,$A12,$G$3)&amp;"",FIND(" ",INDEX(입력_인턴근무계획!$M$3:$R$402,$A12,$G$3)&amp;"")+1,60))))</f>
        <v/>
      </c>
      <c r="I12" s="26">
        <f>IF(OR($C12="",$I$3=""),"",IF(INDEX(입력_인턴근무계획!$M$3:$R$402,$A12,$I$3)&amp;""="","",IF(LEFT(INDEX(입력_인턴근무계획!$M$3:$R$402,$A12,$I$3)&amp;"",1)="⚠",INDEX(입력_인턴근무계획!$M$3:$R$402,$A12,$I$3)&amp;"",LEFT(INDEX(입력_인턴근무계획!$M$3:$R$402,$A12,$I$3)&amp;"",FIND(" ",INDEX(입력_인턴근무계획!$M$3:$R$402,$A12,$I$3)&amp;"")-1))))</f>
        <v/>
      </c>
      <c r="J12" s="26">
        <f>IF(OR($C12="",$I$3=""),"",IF(INDEX(입력_인턴근무계획!$M$3:$R$402,$A12,$I$3)&amp;""="","",IF(LEFT(INDEX(입력_인턴근무계획!$M$3:$R$402,$A12,$I$3)&amp;"",1)="⚠","",MID(INDEX(입력_인턴근무계획!$M$3:$R$402,$A12,$I$3)&amp;"",FIND(" ",INDEX(입력_인턴근무계획!$M$3:$R$402,$A12,$I$3)&amp;"")+1,60))))</f>
        <v/>
      </c>
      <c r="K12" s="26">
        <f>IF($C12="","",INDEX(입력_인턴근무계획!$M$3:$M$402,$A12)&amp;"")</f>
        <v/>
      </c>
      <c r="L12" s="26">
        <f>IF($C12="","",INDEX(입력_인턴근무계획!$N$3:$N$402,$A12)&amp;"")</f>
        <v/>
      </c>
      <c r="M12" s="26">
        <f>IF($C12="","",INDEX(입력_인턴근무계획!$O$3:$O$402,$A12)&amp;"")</f>
        <v/>
      </c>
      <c r="N12" s="26">
        <f>IF($C12="","",INDEX(입력_인턴근무계획!$P$3:$P$402,$A12)&amp;"")</f>
        <v/>
      </c>
      <c r="O12" s="26">
        <f>IF($C12="","",INDEX(입력_인턴근무계획!$Q$3:$Q$402,$A12)&amp;"")</f>
        <v/>
      </c>
      <c r="P12" s="26">
        <f>IF($C12="","",INDEX(입력_인턴근무계획!$R$3:$R$402,$A12)&amp;"")</f>
        <v/>
      </c>
      <c r="Q12" s="26">
        <f>IF($C12="","",INDEX(입력_인턴근무계획!$T$3:$T$402,$A12))</f>
        <v/>
      </c>
      <c r="S12" s="26">
        <f>IF(설정_코드표!A8="","",설정_코드표!A8)</f>
        <v/>
      </c>
      <c r="T12" s="26">
        <f>IF($S12="","",COUNTIF(K$6:K$405,$S12&amp;" *"))</f>
        <v/>
      </c>
      <c r="U12" s="26">
        <f>IF($S12="","",COUNTIF(L$6:L$405,$S12&amp;" *"))</f>
        <v/>
      </c>
      <c r="V12" s="26">
        <f>IF($S12="","",COUNTIF(M$6:M$405,$S12&amp;" *"))</f>
        <v/>
      </c>
      <c r="W12" s="26">
        <f>IF($S12="","",COUNTIF(N$6:N$405,$S12&amp;" *"))</f>
        <v/>
      </c>
      <c r="X12" s="26">
        <f>IF($S12="","",COUNTIF(O$6:O$405,$S12&amp;" *"))</f>
        <v/>
      </c>
      <c r="Y12" s="26">
        <f>IF($S12="","",COUNTIF(P$6:P$405,$S12&amp;" *"))</f>
        <v/>
      </c>
    </row>
    <row r="13">
      <c r="A13" s="29" t="n">
        <v>8</v>
      </c>
      <c r="B13" s="26">
        <f>IF($C13="","",INDEX(입력_인턴근무계획!$B$3:$B$402,$A13))</f>
        <v/>
      </c>
      <c r="C13" s="26">
        <f>IFERROR(TRIM(INDEX(입력_인턴근무계획!$C$3:$C$402,$A13)&amp;""),"")</f>
        <v/>
      </c>
      <c r="D13" s="26">
        <f>IF($C13="","",INDEX(입력_인턴근무계획!$D$3:$D$402,$A13))</f>
        <v/>
      </c>
      <c r="E13" s="26">
        <f>IF($C13="","",IF(IFERROR(MATCH($D13,입력_기본자료!$B$2:$B$1001,0),IFERROR(MATCH($D13&amp;"",입력_기본자료!$B$2:$B$1001,0),IFERROR(MATCH(VALUE($D13),입력_기본자료!$B$2:$B$1001,0),0)))&gt;0,"확인","미등록"))</f>
        <v/>
      </c>
      <c r="F13" s="28">
        <f>IF($C13="","",INDEX(입력_인턴근무계획!$S$3:$S$402,$A13))</f>
        <v/>
      </c>
      <c r="G13" s="26">
        <f>IF(OR($C13="",$G$3=""),"",IF(INDEX(입력_인턴근무계획!$M$3:$R$402,$A13,$G$3)&amp;""="","",IF(LEFT(INDEX(입력_인턴근무계획!$M$3:$R$402,$A13,$G$3)&amp;"",1)="⚠",INDEX(입력_인턴근무계획!$M$3:$R$402,$A13,$G$3)&amp;"",LEFT(INDEX(입력_인턴근무계획!$M$3:$R$402,$A13,$G$3)&amp;"",FIND(" ",INDEX(입력_인턴근무계획!$M$3:$R$402,$A13,$G$3)&amp;"")-1))))</f>
        <v/>
      </c>
      <c r="H13" s="26">
        <f>IF(OR($C13="",$G$3=""),"",IF(INDEX(입력_인턴근무계획!$M$3:$R$402,$A13,$G$3)&amp;""="","",IF(LEFT(INDEX(입력_인턴근무계획!$M$3:$R$402,$A13,$G$3)&amp;"",1)="⚠","",MID(INDEX(입력_인턴근무계획!$M$3:$R$402,$A13,$G$3)&amp;"",FIND(" ",INDEX(입력_인턴근무계획!$M$3:$R$402,$A13,$G$3)&amp;"")+1,60))))</f>
        <v/>
      </c>
      <c r="I13" s="26">
        <f>IF(OR($C13="",$I$3=""),"",IF(INDEX(입력_인턴근무계획!$M$3:$R$402,$A13,$I$3)&amp;""="","",IF(LEFT(INDEX(입력_인턴근무계획!$M$3:$R$402,$A13,$I$3)&amp;"",1)="⚠",INDEX(입력_인턴근무계획!$M$3:$R$402,$A13,$I$3)&amp;"",LEFT(INDEX(입력_인턴근무계획!$M$3:$R$402,$A13,$I$3)&amp;"",FIND(" ",INDEX(입력_인턴근무계획!$M$3:$R$402,$A13,$I$3)&amp;"")-1))))</f>
        <v/>
      </c>
      <c r="J13" s="26">
        <f>IF(OR($C13="",$I$3=""),"",IF(INDEX(입력_인턴근무계획!$M$3:$R$402,$A13,$I$3)&amp;""="","",IF(LEFT(INDEX(입력_인턴근무계획!$M$3:$R$402,$A13,$I$3)&amp;"",1)="⚠","",MID(INDEX(입력_인턴근무계획!$M$3:$R$402,$A13,$I$3)&amp;"",FIND(" ",INDEX(입력_인턴근무계획!$M$3:$R$402,$A13,$I$3)&amp;"")+1,60))))</f>
        <v/>
      </c>
      <c r="K13" s="26">
        <f>IF($C13="","",INDEX(입력_인턴근무계획!$M$3:$M$402,$A13)&amp;"")</f>
        <v/>
      </c>
      <c r="L13" s="26">
        <f>IF($C13="","",INDEX(입력_인턴근무계획!$N$3:$N$402,$A13)&amp;"")</f>
        <v/>
      </c>
      <c r="M13" s="26">
        <f>IF($C13="","",INDEX(입력_인턴근무계획!$O$3:$O$402,$A13)&amp;"")</f>
        <v/>
      </c>
      <c r="N13" s="26">
        <f>IF($C13="","",INDEX(입력_인턴근무계획!$P$3:$P$402,$A13)&amp;"")</f>
        <v/>
      </c>
      <c r="O13" s="26">
        <f>IF($C13="","",INDEX(입력_인턴근무계획!$Q$3:$Q$402,$A13)&amp;"")</f>
        <v/>
      </c>
      <c r="P13" s="26">
        <f>IF($C13="","",INDEX(입력_인턴근무계획!$R$3:$R$402,$A13)&amp;"")</f>
        <v/>
      </c>
      <c r="Q13" s="26">
        <f>IF($C13="","",INDEX(입력_인턴근무계획!$T$3:$T$402,$A13))</f>
        <v/>
      </c>
      <c r="S13" s="26">
        <f>IF(설정_코드표!A9="","",설정_코드표!A9)</f>
        <v/>
      </c>
      <c r="T13" s="26">
        <f>IF($S13="","",COUNTIF(K$6:K$405,$S13&amp;" *"))</f>
        <v/>
      </c>
      <c r="U13" s="26">
        <f>IF($S13="","",COUNTIF(L$6:L$405,$S13&amp;" *"))</f>
        <v/>
      </c>
      <c r="V13" s="26">
        <f>IF($S13="","",COUNTIF(M$6:M$405,$S13&amp;" *"))</f>
        <v/>
      </c>
      <c r="W13" s="26">
        <f>IF($S13="","",COUNTIF(N$6:N$405,$S13&amp;" *"))</f>
        <v/>
      </c>
      <c r="X13" s="26">
        <f>IF($S13="","",COUNTIF(O$6:O$405,$S13&amp;" *"))</f>
        <v/>
      </c>
      <c r="Y13" s="26">
        <f>IF($S13="","",COUNTIF(P$6:P$405,$S13&amp;" *"))</f>
        <v/>
      </c>
    </row>
    <row r="14">
      <c r="A14" s="29" t="n">
        <v>9</v>
      </c>
      <c r="B14" s="26">
        <f>IF($C14="","",INDEX(입력_인턴근무계획!$B$3:$B$402,$A14))</f>
        <v/>
      </c>
      <c r="C14" s="26">
        <f>IFERROR(TRIM(INDEX(입력_인턴근무계획!$C$3:$C$402,$A14)&amp;""),"")</f>
        <v/>
      </c>
      <c r="D14" s="26">
        <f>IF($C14="","",INDEX(입력_인턴근무계획!$D$3:$D$402,$A14))</f>
        <v/>
      </c>
      <c r="E14" s="26">
        <f>IF($C14="","",IF(IFERROR(MATCH($D14,입력_기본자료!$B$2:$B$1001,0),IFERROR(MATCH($D14&amp;"",입력_기본자료!$B$2:$B$1001,0),IFERROR(MATCH(VALUE($D14),입력_기본자료!$B$2:$B$1001,0),0)))&gt;0,"확인","미등록"))</f>
        <v/>
      </c>
      <c r="F14" s="28">
        <f>IF($C14="","",INDEX(입력_인턴근무계획!$S$3:$S$402,$A14))</f>
        <v/>
      </c>
      <c r="G14" s="26">
        <f>IF(OR($C14="",$G$3=""),"",IF(INDEX(입력_인턴근무계획!$M$3:$R$402,$A14,$G$3)&amp;""="","",IF(LEFT(INDEX(입력_인턴근무계획!$M$3:$R$402,$A14,$G$3)&amp;"",1)="⚠",INDEX(입력_인턴근무계획!$M$3:$R$402,$A14,$G$3)&amp;"",LEFT(INDEX(입력_인턴근무계획!$M$3:$R$402,$A14,$G$3)&amp;"",FIND(" ",INDEX(입력_인턴근무계획!$M$3:$R$402,$A14,$G$3)&amp;"")-1))))</f>
        <v/>
      </c>
      <c r="H14" s="26">
        <f>IF(OR($C14="",$G$3=""),"",IF(INDEX(입력_인턴근무계획!$M$3:$R$402,$A14,$G$3)&amp;""="","",IF(LEFT(INDEX(입력_인턴근무계획!$M$3:$R$402,$A14,$G$3)&amp;"",1)="⚠","",MID(INDEX(입력_인턴근무계획!$M$3:$R$402,$A14,$G$3)&amp;"",FIND(" ",INDEX(입력_인턴근무계획!$M$3:$R$402,$A14,$G$3)&amp;"")+1,60))))</f>
        <v/>
      </c>
      <c r="I14" s="26">
        <f>IF(OR($C14="",$I$3=""),"",IF(INDEX(입력_인턴근무계획!$M$3:$R$402,$A14,$I$3)&amp;""="","",IF(LEFT(INDEX(입력_인턴근무계획!$M$3:$R$402,$A14,$I$3)&amp;"",1)="⚠",INDEX(입력_인턴근무계획!$M$3:$R$402,$A14,$I$3)&amp;"",LEFT(INDEX(입력_인턴근무계획!$M$3:$R$402,$A14,$I$3)&amp;"",FIND(" ",INDEX(입력_인턴근무계획!$M$3:$R$402,$A14,$I$3)&amp;"")-1))))</f>
        <v/>
      </c>
      <c r="J14" s="26">
        <f>IF(OR($C14="",$I$3=""),"",IF(INDEX(입력_인턴근무계획!$M$3:$R$402,$A14,$I$3)&amp;""="","",IF(LEFT(INDEX(입력_인턴근무계획!$M$3:$R$402,$A14,$I$3)&amp;"",1)="⚠","",MID(INDEX(입력_인턴근무계획!$M$3:$R$402,$A14,$I$3)&amp;"",FIND(" ",INDEX(입력_인턴근무계획!$M$3:$R$402,$A14,$I$3)&amp;"")+1,60))))</f>
        <v/>
      </c>
      <c r="K14" s="26">
        <f>IF($C14="","",INDEX(입력_인턴근무계획!$M$3:$M$402,$A14)&amp;"")</f>
        <v/>
      </c>
      <c r="L14" s="26">
        <f>IF($C14="","",INDEX(입력_인턴근무계획!$N$3:$N$402,$A14)&amp;"")</f>
        <v/>
      </c>
      <c r="M14" s="26">
        <f>IF($C14="","",INDEX(입력_인턴근무계획!$O$3:$O$402,$A14)&amp;"")</f>
        <v/>
      </c>
      <c r="N14" s="26">
        <f>IF($C14="","",INDEX(입력_인턴근무계획!$P$3:$P$402,$A14)&amp;"")</f>
        <v/>
      </c>
      <c r="O14" s="26">
        <f>IF($C14="","",INDEX(입력_인턴근무계획!$Q$3:$Q$402,$A14)&amp;"")</f>
        <v/>
      </c>
      <c r="P14" s="26">
        <f>IF($C14="","",INDEX(입력_인턴근무계획!$R$3:$R$402,$A14)&amp;"")</f>
        <v/>
      </c>
      <c r="Q14" s="26">
        <f>IF($C14="","",INDEX(입력_인턴근무계획!$T$3:$T$402,$A14))</f>
        <v/>
      </c>
      <c r="S14" s="26">
        <f>IF(설정_코드표!A10="","",설정_코드표!A10)</f>
        <v/>
      </c>
      <c r="T14" s="26">
        <f>IF($S14="","",COUNTIF(K$6:K$405,$S14&amp;" *"))</f>
        <v/>
      </c>
      <c r="U14" s="26">
        <f>IF($S14="","",COUNTIF(L$6:L$405,$S14&amp;" *"))</f>
        <v/>
      </c>
      <c r="V14" s="26">
        <f>IF($S14="","",COUNTIF(M$6:M$405,$S14&amp;" *"))</f>
        <v/>
      </c>
      <c r="W14" s="26">
        <f>IF($S14="","",COUNTIF(N$6:N$405,$S14&amp;" *"))</f>
        <v/>
      </c>
      <c r="X14" s="26">
        <f>IF($S14="","",COUNTIF(O$6:O$405,$S14&amp;" *"))</f>
        <v/>
      </c>
      <c r="Y14" s="26">
        <f>IF($S14="","",COUNTIF(P$6:P$405,$S14&amp;" *"))</f>
        <v/>
      </c>
    </row>
    <row r="15">
      <c r="A15" s="29" t="n">
        <v>10</v>
      </c>
      <c r="B15" s="26">
        <f>IF($C15="","",INDEX(입력_인턴근무계획!$B$3:$B$402,$A15))</f>
        <v/>
      </c>
      <c r="C15" s="26">
        <f>IFERROR(TRIM(INDEX(입력_인턴근무계획!$C$3:$C$402,$A15)&amp;""),"")</f>
        <v/>
      </c>
      <c r="D15" s="26">
        <f>IF($C15="","",INDEX(입력_인턴근무계획!$D$3:$D$402,$A15))</f>
        <v/>
      </c>
      <c r="E15" s="26">
        <f>IF($C15="","",IF(IFERROR(MATCH($D15,입력_기본자료!$B$2:$B$1001,0),IFERROR(MATCH($D15&amp;"",입력_기본자료!$B$2:$B$1001,0),IFERROR(MATCH(VALUE($D15),입력_기본자료!$B$2:$B$1001,0),0)))&gt;0,"확인","미등록"))</f>
        <v/>
      </c>
      <c r="F15" s="28">
        <f>IF($C15="","",INDEX(입력_인턴근무계획!$S$3:$S$402,$A15))</f>
        <v/>
      </c>
      <c r="G15" s="26">
        <f>IF(OR($C15="",$G$3=""),"",IF(INDEX(입력_인턴근무계획!$M$3:$R$402,$A15,$G$3)&amp;""="","",IF(LEFT(INDEX(입력_인턴근무계획!$M$3:$R$402,$A15,$G$3)&amp;"",1)="⚠",INDEX(입력_인턴근무계획!$M$3:$R$402,$A15,$G$3)&amp;"",LEFT(INDEX(입력_인턴근무계획!$M$3:$R$402,$A15,$G$3)&amp;"",FIND(" ",INDEX(입력_인턴근무계획!$M$3:$R$402,$A15,$G$3)&amp;"")-1))))</f>
        <v/>
      </c>
      <c r="H15" s="26">
        <f>IF(OR($C15="",$G$3=""),"",IF(INDEX(입력_인턴근무계획!$M$3:$R$402,$A15,$G$3)&amp;""="","",IF(LEFT(INDEX(입력_인턴근무계획!$M$3:$R$402,$A15,$G$3)&amp;"",1)="⚠","",MID(INDEX(입력_인턴근무계획!$M$3:$R$402,$A15,$G$3)&amp;"",FIND(" ",INDEX(입력_인턴근무계획!$M$3:$R$402,$A15,$G$3)&amp;"")+1,60))))</f>
        <v/>
      </c>
      <c r="I15" s="26">
        <f>IF(OR($C15="",$I$3=""),"",IF(INDEX(입력_인턴근무계획!$M$3:$R$402,$A15,$I$3)&amp;""="","",IF(LEFT(INDEX(입력_인턴근무계획!$M$3:$R$402,$A15,$I$3)&amp;"",1)="⚠",INDEX(입력_인턴근무계획!$M$3:$R$402,$A15,$I$3)&amp;"",LEFT(INDEX(입력_인턴근무계획!$M$3:$R$402,$A15,$I$3)&amp;"",FIND(" ",INDEX(입력_인턴근무계획!$M$3:$R$402,$A15,$I$3)&amp;"")-1))))</f>
        <v/>
      </c>
      <c r="J15" s="26">
        <f>IF(OR($C15="",$I$3=""),"",IF(INDEX(입력_인턴근무계획!$M$3:$R$402,$A15,$I$3)&amp;""="","",IF(LEFT(INDEX(입력_인턴근무계획!$M$3:$R$402,$A15,$I$3)&amp;"",1)="⚠","",MID(INDEX(입력_인턴근무계획!$M$3:$R$402,$A15,$I$3)&amp;"",FIND(" ",INDEX(입력_인턴근무계획!$M$3:$R$402,$A15,$I$3)&amp;"")+1,60))))</f>
        <v/>
      </c>
      <c r="K15" s="26">
        <f>IF($C15="","",INDEX(입력_인턴근무계획!$M$3:$M$402,$A15)&amp;"")</f>
        <v/>
      </c>
      <c r="L15" s="26">
        <f>IF($C15="","",INDEX(입력_인턴근무계획!$N$3:$N$402,$A15)&amp;"")</f>
        <v/>
      </c>
      <c r="M15" s="26">
        <f>IF($C15="","",INDEX(입력_인턴근무계획!$O$3:$O$402,$A15)&amp;"")</f>
        <v/>
      </c>
      <c r="N15" s="26">
        <f>IF($C15="","",INDEX(입력_인턴근무계획!$P$3:$P$402,$A15)&amp;"")</f>
        <v/>
      </c>
      <c r="O15" s="26">
        <f>IF($C15="","",INDEX(입력_인턴근무계획!$Q$3:$Q$402,$A15)&amp;"")</f>
        <v/>
      </c>
      <c r="P15" s="26">
        <f>IF($C15="","",INDEX(입력_인턴근무계획!$R$3:$R$402,$A15)&amp;"")</f>
        <v/>
      </c>
      <c r="Q15" s="26">
        <f>IF($C15="","",INDEX(입력_인턴근무계획!$T$3:$T$402,$A15))</f>
        <v/>
      </c>
      <c r="S15" s="26">
        <f>IF(설정_코드표!A11="","",설정_코드표!A11)</f>
        <v/>
      </c>
      <c r="T15" s="26">
        <f>IF($S15="","",COUNTIF(K$6:K$405,$S15&amp;" *"))</f>
        <v/>
      </c>
      <c r="U15" s="26">
        <f>IF($S15="","",COUNTIF(L$6:L$405,$S15&amp;" *"))</f>
        <v/>
      </c>
      <c r="V15" s="26">
        <f>IF($S15="","",COUNTIF(M$6:M$405,$S15&amp;" *"))</f>
        <v/>
      </c>
      <c r="W15" s="26">
        <f>IF($S15="","",COUNTIF(N$6:N$405,$S15&amp;" *"))</f>
        <v/>
      </c>
      <c r="X15" s="26">
        <f>IF($S15="","",COUNTIF(O$6:O$405,$S15&amp;" *"))</f>
        <v/>
      </c>
      <c r="Y15" s="26">
        <f>IF($S15="","",COUNTIF(P$6:P$405,$S15&amp;" *"))</f>
        <v/>
      </c>
    </row>
    <row r="16">
      <c r="A16" s="29" t="n">
        <v>11</v>
      </c>
      <c r="B16" s="26">
        <f>IF($C16="","",INDEX(입력_인턴근무계획!$B$3:$B$402,$A16))</f>
        <v/>
      </c>
      <c r="C16" s="26">
        <f>IFERROR(TRIM(INDEX(입력_인턴근무계획!$C$3:$C$402,$A16)&amp;""),"")</f>
        <v/>
      </c>
      <c r="D16" s="26">
        <f>IF($C16="","",INDEX(입력_인턴근무계획!$D$3:$D$402,$A16))</f>
        <v/>
      </c>
      <c r="E16" s="26">
        <f>IF($C16="","",IF(IFERROR(MATCH($D16,입력_기본자료!$B$2:$B$1001,0),IFERROR(MATCH($D16&amp;"",입력_기본자료!$B$2:$B$1001,0),IFERROR(MATCH(VALUE($D16),입력_기본자료!$B$2:$B$1001,0),0)))&gt;0,"확인","미등록"))</f>
        <v/>
      </c>
      <c r="F16" s="28">
        <f>IF($C16="","",INDEX(입력_인턴근무계획!$S$3:$S$402,$A16))</f>
        <v/>
      </c>
      <c r="G16" s="26">
        <f>IF(OR($C16="",$G$3=""),"",IF(INDEX(입력_인턴근무계획!$M$3:$R$402,$A16,$G$3)&amp;""="","",IF(LEFT(INDEX(입력_인턴근무계획!$M$3:$R$402,$A16,$G$3)&amp;"",1)="⚠",INDEX(입력_인턴근무계획!$M$3:$R$402,$A16,$G$3)&amp;"",LEFT(INDEX(입력_인턴근무계획!$M$3:$R$402,$A16,$G$3)&amp;"",FIND(" ",INDEX(입력_인턴근무계획!$M$3:$R$402,$A16,$G$3)&amp;"")-1))))</f>
        <v/>
      </c>
      <c r="H16" s="26">
        <f>IF(OR($C16="",$G$3=""),"",IF(INDEX(입력_인턴근무계획!$M$3:$R$402,$A16,$G$3)&amp;""="","",IF(LEFT(INDEX(입력_인턴근무계획!$M$3:$R$402,$A16,$G$3)&amp;"",1)="⚠","",MID(INDEX(입력_인턴근무계획!$M$3:$R$402,$A16,$G$3)&amp;"",FIND(" ",INDEX(입력_인턴근무계획!$M$3:$R$402,$A16,$G$3)&amp;"")+1,60))))</f>
        <v/>
      </c>
      <c r="I16" s="26">
        <f>IF(OR($C16="",$I$3=""),"",IF(INDEX(입력_인턴근무계획!$M$3:$R$402,$A16,$I$3)&amp;""="","",IF(LEFT(INDEX(입력_인턴근무계획!$M$3:$R$402,$A16,$I$3)&amp;"",1)="⚠",INDEX(입력_인턴근무계획!$M$3:$R$402,$A16,$I$3)&amp;"",LEFT(INDEX(입력_인턴근무계획!$M$3:$R$402,$A16,$I$3)&amp;"",FIND(" ",INDEX(입력_인턴근무계획!$M$3:$R$402,$A16,$I$3)&amp;"")-1))))</f>
        <v/>
      </c>
      <c r="J16" s="26">
        <f>IF(OR($C16="",$I$3=""),"",IF(INDEX(입력_인턴근무계획!$M$3:$R$402,$A16,$I$3)&amp;""="","",IF(LEFT(INDEX(입력_인턴근무계획!$M$3:$R$402,$A16,$I$3)&amp;"",1)="⚠","",MID(INDEX(입력_인턴근무계획!$M$3:$R$402,$A16,$I$3)&amp;"",FIND(" ",INDEX(입력_인턴근무계획!$M$3:$R$402,$A16,$I$3)&amp;"")+1,60))))</f>
        <v/>
      </c>
      <c r="K16" s="26">
        <f>IF($C16="","",INDEX(입력_인턴근무계획!$M$3:$M$402,$A16)&amp;"")</f>
        <v/>
      </c>
      <c r="L16" s="26">
        <f>IF($C16="","",INDEX(입력_인턴근무계획!$N$3:$N$402,$A16)&amp;"")</f>
        <v/>
      </c>
      <c r="M16" s="26">
        <f>IF($C16="","",INDEX(입력_인턴근무계획!$O$3:$O$402,$A16)&amp;"")</f>
        <v/>
      </c>
      <c r="N16" s="26">
        <f>IF($C16="","",INDEX(입력_인턴근무계획!$P$3:$P$402,$A16)&amp;"")</f>
        <v/>
      </c>
      <c r="O16" s="26">
        <f>IF($C16="","",INDEX(입력_인턴근무계획!$Q$3:$Q$402,$A16)&amp;"")</f>
        <v/>
      </c>
      <c r="P16" s="26">
        <f>IF($C16="","",INDEX(입력_인턴근무계획!$R$3:$R$402,$A16)&amp;"")</f>
        <v/>
      </c>
      <c r="Q16" s="26">
        <f>IF($C16="","",INDEX(입력_인턴근무계획!$T$3:$T$402,$A16))</f>
        <v/>
      </c>
      <c r="S16" s="26">
        <f>IF(설정_코드표!A12="","",설정_코드표!A12)</f>
        <v/>
      </c>
      <c r="T16" s="26">
        <f>IF($S16="","",COUNTIF(K$6:K$405,$S16&amp;" *"))</f>
        <v/>
      </c>
      <c r="U16" s="26">
        <f>IF($S16="","",COUNTIF(L$6:L$405,$S16&amp;" *"))</f>
        <v/>
      </c>
      <c r="V16" s="26">
        <f>IF($S16="","",COUNTIF(M$6:M$405,$S16&amp;" *"))</f>
        <v/>
      </c>
      <c r="W16" s="26">
        <f>IF($S16="","",COUNTIF(N$6:N$405,$S16&amp;" *"))</f>
        <v/>
      </c>
      <c r="X16" s="26">
        <f>IF($S16="","",COUNTIF(O$6:O$405,$S16&amp;" *"))</f>
        <v/>
      </c>
      <c r="Y16" s="26">
        <f>IF($S16="","",COUNTIF(P$6:P$405,$S16&amp;" *"))</f>
        <v/>
      </c>
    </row>
    <row r="17">
      <c r="A17" s="29" t="n">
        <v>12</v>
      </c>
      <c r="B17" s="26">
        <f>IF($C17="","",INDEX(입력_인턴근무계획!$B$3:$B$402,$A17))</f>
        <v/>
      </c>
      <c r="C17" s="26">
        <f>IFERROR(TRIM(INDEX(입력_인턴근무계획!$C$3:$C$402,$A17)&amp;""),"")</f>
        <v/>
      </c>
      <c r="D17" s="26">
        <f>IF($C17="","",INDEX(입력_인턴근무계획!$D$3:$D$402,$A17))</f>
        <v/>
      </c>
      <c r="E17" s="26">
        <f>IF($C17="","",IF(IFERROR(MATCH($D17,입력_기본자료!$B$2:$B$1001,0),IFERROR(MATCH($D17&amp;"",입력_기본자료!$B$2:$B$1001,0),IFERROR(MATCH(VALUE($D17),입력_기본자료!$B$2:$B$1001,0),0)))&gt;0,"확인","미등록"))</f>
        <v/>
      </c>
      <c r="F17" s="28">
        <f>IF($C17="","",INDEX(입력_인턴근무계획!$S$3:$S$402,$A17))</f>
        <v/>
      </c>
      <c r="G17" s="26">
        <f>IF(OR($C17="",$G$3=""),"",IF(INDEX(입력_인턴근무계획!$M$3:$R$402,$A17,$G$3)&amp;""="","",IF(LEFT(INDEX(입력_인턴근무계획!$M$3:$R$402,$A17,$G$3)&amp;"",1)="⚠",INDEX(입력_인턴근무계획!$M$3:$R$402,$A17,$G$3)&amp;"",LEFT(INDEX(입력_인턴근무계획!$M$3:$R$402,$A17,$G$3)&amp;"",FIND(" ",INDEX(입력_인턴근무계획!$M$3:$R$402,$A17,$G$3)&amp;"")-1))))</f>
        <v/>
      </c>
      <c r="H17" s="26">
        <f>IF(OR($C17="",$G$3=""),"",IF(INDEX(입력_인턴근무계획!$M$3:$R$402,$A17,$G$3)&amp;""="","",IF(LEFT(INDEX(입력_인턴근무계획!$M$3:$R$402,$A17,$G$3)&amp;"",1)="⚠","",MID(INDEX(입력_인턴근무계획!$M$3:$R$402,$A17,$G$3)&amp;"",FIND(" ",INDEX(입력_인턴근무계획!$M$3:$R$402,$A17,$G$3)&amp;"")+1,60))))</f>
        <v/>
      </c>
      <c r="I17" s="26">
        <f>IF(OR($C17="",$I$3=""),"",IF(INDEX(입력_인턴근무계획!$M$3:$R$402,$A17,$I$3)&amp;""="","",IF(LEFT(INDEX(입력_인턴근무계획!$M$3:$R$402,$A17,$I$3)&amp;"",1)="⚠",INDEX(입력_인턴근무계획!$M$3:$R$402,$A17,$I$3)&amp;"",LEFT(INDEX(입력_인턴근무계획!$M$3:$R$402,$A17,$I$3)&amp;"",FIND(" ",INDEX(입력_인턴근무계획!$M$3:$R$402,$A17,$I$3)&amp;"")-1))))</f>
        <v/>
      </c>
      <c r="J17" s="26">
        <f>IF(OR($C17="",$I$3=""),"",IF(INDEX(입력_인턴근무계획!$M$3:$R$402,$A17,$I$3)&amp;""="","",IF(LEFT(INDEX(입력_인턴근무계획!$M$3:$R$402,$A17,$I$3)&amp;"",1)="⚠","",MID(INDEX(입력_인턴근무계획!$M$3:$R$402,$A17,$I$3)&amp;"",FIND(" ",INDEX(입력_인턴근무계획!$M$3:$R$402,$A17,$I$3)&amp;"")+1,60))))</f>
        <v/>
      </c>
      <c r="K17" s="26">
        <f>IF($C17="","",INDEX(입력_인턴근무계획!$M$3:$M$402,$A17)&amp;"")</f>
        <v/>
      </c>
      <c r="L17" s="26">
        <f>IF($C17="","",INDEX(입력_인턴근무계획!$N$3:$N$402,$A17)&amp;"")</f>
        <v/>
      </c>
      <c r="M17" s="26">
        <f>IF($C17="","",INDEX(입력_인턴근무계획!$O$3:$O$402,$A17)&amp;"")</f>
        <v/>
      </c>
      <c r="N17" s="26">
        <f>IF($C17="","",INDEX(입력_인턴근무계획!$P$3:$P$402,$A17)&amp;"")</f>
        <v/>
      </c>
      <c r="O17" s="26">
        <f>IF($C17="","",INDEX(입력_인턴근무계획!$Q$3:$Q$402,$A17)&amp;"")</f>
        <v/>
      </c>
      <c r="P17" s="26">
        <f>IF($C17="","",INDEX(입력_인턴근무계획!$R$3:$R$402,$A17)&amp;"")</f>
        <v/>
      </c>
      <c r="Q17" s="26">
        <f>IF($C17="","",INDEX(입력_인턴근무계획!$T$3:$T$402,$A17))</f>
        <v/>
      </c>
      <c r="S17" s="26">
        <f>IF(설정_코드표!A13="","",설정_코드표!A13)</f>
        <v/>
      </c>
      <c r="T17" s="26">
        <f>IF($S17="","",COUNTIF(K$6:K$405,$S17&amp;" *"))</f>
        <v/>
      </c>
      <c r="U17" s="26">
        <f>IF($S17="","",COUNTIF(L$6:L$405,$S17&amp;" *"))</f>
        <v/>
      </c>
      <c r="V17" s="26">
        <f>IF($S17="","",COUNTIF(M$6:M$405,$S17&amp;" *"))</f>
        <v/>
      </c>
      <c r="W17" s="26">
        <f>IF($S17="","",COUNTIF(N$6:N$405,$S17&amp;" *"))</f>
        <v/>
      </c>
      <c r="X17" s="26">
        <f>IF($S17="","",COUNTIF(O$6:O$405,$S17&amp;" *"))</f>
        <v/>
      </c>
      <c r="Y17" s="26">
        <f>IF($S17="","",COUNTIF(P$6:P$405,$S17&amp;" *"))</f>
        <v/>
      </c>
    </row>
    <row r="18">
      <c r="A18" s="29" t="n">
        <v>13</v>
      </c>
      <c r="B18" s="26">
        <f>IF($C18="","",INDEX(입력_인턴근무계획!$B$3:$B$402,$A18))</f>
        <v/>
      </c>
      <c r="C18" s="26">
        <f>IFERROR(TRIM(INDEX(입력_인턴근무계획!$C$3:$C$402,$A18)&amp;""),"")</f>
        <v/>
      </c>
      <c r="D18" s="26">
        <f>IF($C18="","",INDEX(입력_인턴근무계획!$D$3:$D$402,$A18))</f>
        <v/>
      </c>
      <c r="E18" s="26">
        <f>IF($C18="","",IF(IFERROR(MATCH($D18,입력_기본자료!$B$2:$B$1001,0),IFERROR(MATCH($D18&amp;"",입력_기본자료!$B$2:$B$1001,0),IFERROR(MATCH(VALUE($D18),입력_기본자료!$B$2:$B$1001,0),0)))&gt;0,"확인","미등록"))</f>
        <v/>
      </c>
      <c r="F18" s="28">
        <f>IF($C18="","",INDEX(입력_인턴근무계획!$S$3:$S$402,$A18))</f>
        <v/>
      </c>
      <c r="G18" s="26">
        <f>IF(OR($C18="",$G$3=""),"",IF(INDEX(입력_인턴근무계획!$M$3:$R$402,$A18,$G$3)&amp;""="","",IF(LEFT(INDEX(입력_인턴근무계획!$M$3:$R$402,$A18,$G$3)&amp;"",1)="⚠",INDEX(입력_인턴근무계획!$M$3:$R$402,$A18,$G$3)&amp;"",LEFT(INDEX(입력_인턴근무계획!$M$3:$R$402,$A18,$G$3)&amp;"",FIND(" ",INDEX(입력_인턴근무계획!$M$3:$R$402,$A18,$G$3)&amp;"")-1))))</f>
        <v/>
      </c>
      <c r="H18" s="26">
        <f>IF(OR($C18="",$G$3=""),"",IF(INDEX(입력_인턴근무계획!$M$3:$R$402,$A18,$G$3)&amp;""="","",IF(LEFT(INDEX(입력_인턴근무계획!$M$3:$R$402,$A18,$G$3)&amp;"",1)="⚠","",MID(INDEX(입력_인턴근무계획!$M$3:$R$402,$A18,$G$3)&amp;"",FIND(" ",INDEX(입력_인턴근무계획!$M$3:$R$402,$A18,$G$3)&amp;"")+1,60))))</f>
        <v/>
      </c>
      <c r="I18" s="26">
        <f>IF(OR($C18="",$I$3=""),"",IF(INDEX(입력_인턴근무계획!$M$3:$R$402,$A18,$I$3)&amp;""="","",IF(LEFT(INDEX(입력_인턴근무계획!$M$3:$R$402,$A18,$I$3)&amp;"",1)="⚠",INDEX(입력_인턴근무계획!$M$3:$R$402,$A18,$I$3)&amp;"",LEFT(INDEX(입력_인턴근무계획!$M$3:$R$402,$A18,$I$3)&amp;"",FIND(" ",INDEX(입력_인턴근무계획!$M$3:$R$402,$A18,$I$3)&amp;"")-1))))</f>
        <v/>
      </c>
      <c r="J18" s="26">
        <f>IF(OR($C18="",$I$3=""),"",IF(INDEX(입력_인턴근무계획!$M$3:$R$402,$A18,$I$3)&amp;""="","",IF(LEFT(INDEX(입력_인턴근무계획!$M$3:$R$402,$A18,$I$3)&amp;"",1)="⚠","",MID(INDEX(입력_인턴근무계획!$M$3:$R$402,$A18,$I$3)&amp;"",FIND(" ",INDEX(입력_인턴근무계획!$M$3:$R$402,$A18,$I$3)&amp;"")+1,60))))</f>
        <v/>
      </c>
      <c r="K18" s="26">
        <f>IF($C18="","",INDEX(입력_인턴근무계획!$M$3:$M$402,$A18)&amp;"")</f>
        <v/>
      </c>
      <c r="L18" s="26">
        <f>IF($C18="","",INDEX(입력_인턴근무계획!$N$3:$N$402,$A18)&amp;"")</f>
        <v/>
      </c>
      <c r="M18" s="26">
        <f>IF($C18="","",INDEX(입력_인턴근무계획!$O$3:$O$402,$A18)&amp;"")</f>
        <v/>
      </c>
      <c r="N18" s="26">
        <f>IF($C18="","",INDEX(입력_인턴근무계획!$P$3:$P$402,$A18)&amp;"")</f>
        <v/>
      </c>
      <c r="O18" s="26">
        <f>IF($C18="","",INDEX(입력_인턴근무계획!$Q$3:$Q$402,$A18)&amp;"")</f>
        <v/>
      </c>
      <c r="P18" s="26">
        <f>IF($C18="","",INDEX(입력_인턴근무계획!$R$3:$R$402,$A18)&amp;"")</f>
        <v/>
      </c>
      <c r="Q18" s="26">
        <f>IF($C18="","",INDEX(입력_인턴근무계획!$T$3:$T$402,$A18))</f>
        <v/>
      </c>
      <c r="S18" s="26">
        <f>IF(설정_코드표!A14="","",설정_코드표!A14)</f>
        <v/>
      </c>
      <c r="T18" s="26">
        <f>IF($S18="","",COUNTIF(K$6:K$405,$S18&amp;" *"))</f>
        <v/>
      </c>
      <c r="U18" s="26">
        <f>IF($S18="","",COUNTIF(L$6:L$405,$S18&amp;" *"))</f>
        <v/>
      </c>
      <c r="V18" s="26">
        <f>IF($S18="","",COUNTIF(M$6:M$405,$S18&amp;" *"))</f>
        <v/>
      </c>
      <c r="W18" s="26">
        <f>IF($S18="","",COUNTIF(N$6:N$405,$S18&amp;" *"))</f>
        <v/>
      </c>
      <c r="X18" s="26">
        <f>IF($S18="","",COUNTIF(O$6:O$405,$S18&amp;" *"))</f>
        <v/>
      </c>
      <c r="Y18" s="26">
        <f>IF($S18="","",COUNTIF(P$6:P$405,$S18&amp;" *"))</f>
        <v/>
      </c>
    </row>
    <row r="19">
      <c r="A19" s="29" t="n">
        <v>14</v>
      </c>
      <c r="B19" s="26">
        <f>IF($C19="","",INDEX(입력_인턴근무계획!$B$3:$B$402,$A19))</f>
        <v/>
      </c>
      <c r="C19" s="26">
        <f>IFERROR(TRIM(INDEX(입력_인턴근무계획!$C$3:$C$402,$A19)&amp;""),"")</f>
        <v/>
      </c>
      <c r="D19" s="26">
        <f>IF($C19="","",INDEX(입력_인턴근무계획!$D$3:$D$402,$A19))</f>
        <v/>
      </c>
      <c r="E19" s="26">
        <f>IF($C19="","",IF(IFERROR(MATCH($D19,입력_기본자료!$B$2:$B$1001,0),IFERROR(MATCH($D19&amp;"",입력_기본자료!$B$2:$B$1001,0),IFERROR(MATCH(VALUE($D19),입력_기본자료!$B$2:$B$1001,0),0)))&gt;0,"확인","미등록"))</f>
        <v/>
      </c>
      <c r="F19" s="28">
        <f>IF($C19="","",INDEX(입력_인턴근무계획!$S$3:$S$402,$A19))</f>
        <v/>
      </c>
      <c r="G19" s="26">
        <f>IF(OR($C19="",$G$3=""),"",IF(INDEX(입력_인턴근무계획!$M$3:$R$402,$A19,$G$3)&amp;""="","",IF(LEFT(INDEX(입력_인턴근무계획!$M$3:$R$402,$A19,$G$3)&amp;"",1)="⚠",INDEX(입력_인턴근무계획!$M$3:$R$402,$A19,$G$3)&amp;"",LEFT(INDEX(입력_인턴근무계획!$M$3:$R$402,$A19,$G$3)&amp;"",FIND(" ",INDEX(입력_인턴근무계획!$M$3:$R$402,$A19,$G$3)&amp;"")-1))))</f>
        <v/>
      </c>
      <c r="H19" s="26">
        <f>IF(OR($C19="",$G$3=""),"",IF(INDEX(입력_인턴근무계획!$M$3:$R$402,$A19,$G$3)&amp;""="","",IF(LEFT(INDEX(입력_인턴근무계획!$M$3:$R$402,$A19,$G$3)&amp;"",1)="⚠","",MID(INDEX(입력_인턴근무계획!$M$3:$R$402,$A19,$G$3)&amp;"",FIND(" ",INDEX(입력_인턴근무계획!$M$3:$R$402,$A19,$G$3)&amp;"")+1,60))))</f>
        <v/>
      </c>
      <c r="I19" s="26">
        <f>IF(OR($C19="",$I$3=""),"",IF(INDEX(입력_인턴근무계획!$M$3:$R$402,$A19,$I$3)&amp;""="","",IF(LEFT(INDEX(입력_인턴근무계획!$M$3:$R$402,$A19,$I$3)&amp;"",1)="⚠",INDEX(입력_인턴근무계획!$M$3:$R$402,$A19,$I$3)&amp;"",LEFT(INDEX(입력_인턴근무계획!$M$3:$R$402,$A19,$I$3)&amp;"",FIND(" ",INDEX(입력_인턴근무계획!$M$3:$R$402,$A19,$I$3)&amp;"")-1))))</f>
        <v/>
      </c>
      <c r="J19" s="26">
        <f>IF(OR($C19="",$I$3=""),"",IF(INDEX(입력_인턴근무계획!$M$3:$R$402,$A19,$I$3)&amp;""="","",IF(LEFT(INDEX(입력_인턴근무계획!$M$3:$R$402,$A19,$I$3)&amp;"",1)="⚠","",MID(INDEX(입력_인턴근무계획!$M$3:$R$402,$A19,$I$3)&amp;"",FIND(" ",INDEX(입력_인턴근무계획!$M$3:$R$402,$A19,$I$3)&amp;"")+1,60))))</f>
        <v/>
      </c>
      <c r="K19" s="26">
        <f>IF($C19="","",INDEX(입력_인턴근무계획!$M$3:$M$402,$A19)&amp;"")</f>
        <v/>
      </c>
      <c r="L19" s="26">
        <f>IF($C19="","",INDEX(입력_인턴근무계획!$N$3:$N$402,$A19)&amp;"")</f>
        <v/>
      </c>
      <c r="M19" s="26">
        <f>IF($C19="","",INDEX(입력_인턴근무계획!$O$3:$O$402,$A19)&amp;"")</f>
        <v/>
      </c>
      <c r="N19" s="26">
        <f>IF($C19="","",INDEX(입력_인턴근무계획!$P$3:$P$402,$A19)&amp;"")</f>
        <v/>
      </c>
      <c r="O19" s="26">
        <f>IF($C19="","",INDEX(입력_인턴근무계획!$Q$3:$Q$402,$A19)&amp;"")</f>
        <v/>
      </c>
      <c r="P19" s="26">
        <f>IF($C19="","",INDEX(입력_인턴근무계획!$R$3:$R$402,$A19)&amp;"")</f>
        <v/>
      </c>
      <c r="Q19" s="26">
        <f>IF($C19="","",INDEX(입력_인턴근무계획!$T$3:$T$402,$A19))</f>
        <v/>
      </c>
      <c r="S19" s="26">
        <f>IF(설정_코드표!A15="","",설정_코드표!A15)</f>
        <v/>
      </c>
      <c r="T19" s="26">
        <f>IF($S19="","",COUNTIF(K$6:K$405,$S19&amp;" *"))</f>
        <v/>
      </c>
      <c r="U19" s="26">
        <f>IF($S19="","",COUNTIF(L$6:L$405,$S19&amp;" *"))</f>
        <v/>
      </c>
      <c r="V19" s="26">
        <f>IF($S19="","",COUNTIF(M$6:M$405,$S19&amp;" *"))</f>
        <v/>
      </c>
      <c r="W19" s="26">
        <f>IF($S19="","",COUNTIF(N$6:N$405,$S19&amp;" *"))</f>
        <v/>
      </c>
      <c r="X19" s="26">
        <f>IF($S19="","",COUNTIF(O$6:O$405,$S19&amp;" *"))</f>
        <v/>
      </c>
      <c r="Y19" s="26">
        <f>IF($S19="","",COUNTIF(P$6:P$405,$S19&amp;" *"))</f>
        <v/>
      </c>
    </row>
    <row r="20">
      <c r="A20" s="29" t="n">
        <v>15</v>
      </c>
      <c r="B20" s="26">
        <f>IF($C20="","",INDEX(입력_인턴근무계획!$B$3:$B$402,$A20))</f>
        <v/>
      </c>
      <c r="C20" s="26">
        <f>IFERROR(TRIM(INDEX(입력_인턴근무계획!$C$3:$C$402,$A20)&amp;""),"")</f>
        <v/>
      </c>
      <c r="D20" s="26">
        <f>IF($C20="","",INDEX(입력_인턴근무계획!$D$3:$D$402,$A20))</f>
        <v/>
      </c>
      <c r="E20" s="26">
        <f>IF($C20="","",IF(IFERROR(MATCH($D20,입력_기본자료!$B$2:$B$1001,0),IFERROR(MATCH($D20&amp;"",입력_기본자료!$B$2:$B$1001,0),IFERROR(MATCH(VALUE($D20),입력_기본자료!$B$2:$B$1001,0),0)))&gt;0,"확인","미등록"))</f>
        <v/>
      </c>
      <c r="F20" s="28">
        <f>IF($C20="","",INDEX(입력_인턴근무계획!$S$3:$S$402,$A20))</f>
        <v/>
      </c>
      <c r="G20" s="26">
        <f>IF(OR($C20="",$G$3=""),"",IF(INDEX(입력_인턴근무계획!$M$3:$R$402,$A20,$G$3)&amp;""="","",IF(LEFT(INDEX(입력_인턴근무계획!$M$3:$R$402,$A20,$G$3)&amp;"",1)="⚠",INDEX(입력_인턴근무계획!$M$3:$R$402,$A20,$G$3)&amp;"",LEFT(INDEX(입력_인턴근무계획!$M$3:$R$402,$A20,$G$3)&amp;"",FIND(" ",INDEX(입력_인턴근무계획!$M$3:$R$402,$A20,$G$3)&amp;"")-1))))</f>
        <v/>
      </c>
      <c r="H20" s="26">
        <f>IF(OR($C20="",$G$3=""),"",IF(INDEX(입력_인턴근무계획!$M$3:$R$402,$A20,$G$3)&amp;""="","",IF(LEFT(INDEX(입력_인턴근무계획!$M$3:$R$402,$A20,$G$3)&amp;"",1)="⚠","",MID(INDEX(입력_인턴근무계획!$M$3:$R$402,$A20,$G$3)&amp;"",FIND(" ",INDEX(입력_인턴근무계획!$M$3:$R$402,$A20,$G$3)&amp;"")+1,60))))</f>
        <v/>
      </c>
      <c r="I20" s="26">
        <f>IF(OR($C20="",$I$3=""),"",IF(INDEX(입력_인턴근무계획!$M$3:$R$402,$A20,$I$3)&amp;""="","",IF(LEFT(INDEX(입력_인턴근무계획!$M$3:$R$402,$A20,$I$3)&amp;"",1)="⚠",INDEX(입력_인턴근무계획!$M$3:$R$402,$A20,$I$3)&amp;"",LEFT(INDEX(입력_인턴근무계획!$M$3:$R$402,$A20,$I$3)&amp;"",FIND(" ",INDEX(입력_인턴근무계획!$M$3:$R$402,$A20,$I$3)&amp;"")-1))))</f>
        <v/>
      </c>
      <c r="J20" s="26">
        <f>IF(OR($C20="",$I$3=""),"",IF(INDEX(입력_인턴근무계획!$M$3:$R$402,$A20,$I$3)&amp;""="","",IF(LEFT(INDEX(입력_인턴근무계획!$M$3:$R$402,$A20,$I$3)&amp;"",1)="⚠","",MID(INDEX(입력_인턴근무계획!$M$3:$R$402,$A20,$I$3)&amp;"",FIND(" ",INDEX(입력_인턴근무계획!$M$3:$R$402,$A20,$I$3)&amp;"")+1,60))))</f>
        <v/>
      </c>
      <c r="K20" s="26">
        <f>IF($C20="","",INDEX(입력_인턴근무계획!$M$3:$M$402,$A20)&amp;"")</f>
        <v/>
      </c>
      <c r="L20" s="26">
        <f>IF($C20="","",INDEX(입력_인턴근무계획!$N$3:$N$402,$A20)&amp;"")</f>
        <v/>
      </c>
      <c r="M20" s="26">
        <f>IF($C20="","",INDEX(입력_인턴근무계획!$O$3:$O$402,$A20)&amp;"")</f>
        <v/>
      </c>
      <c r="N20" s="26">
        <f>IF($C20="","",INDEX(입력_인턴근무계획!$P$3:$P$402,$A20)&amp;"")</f>
        <v/>
      </c>
      <c r="O20" s="26">
        <f>IF($C20="","",INDEX(입력_인턴근무계획!$Q$3:$Q$402,$A20)&amp;"")</f>
        <v/>
      </c>
      <c r="P20" s="26">
        <f>IF($C20="","",INDEX(입력_인턴근무계획!$R$3:$R$402,$A20)&amp;"")</f>
        <v/>
      </c>
      <c r="Q20" s="26">
        <f>IF($C20="","",INDEX(입력_인턴근무계획!$T$3:$T$402,$A20))</f>
        <v/>
      </c>
      <c r="S20" s="26">
        <f>IF(설정_코드표!A16="","",설정_코드표!A16)</f>
        <v/>
      </c>
      <c r="T20" s="26">
        <f>IF($S20="","",COUNTIF(K$6:K$405,$S20&amp;" *"))</f>
        <v/>
      </c>
      <c r="U20" s="26">
        <f>IF($S20="","",COUNTIF(L$6:L$405,$S20&amp;" *"))</f>
        <v/>
      </c>
      <c r="V20" s="26">
        <f>IF($S20="","",COUNTIF(M$6:M$405,$S20&amp;" *"))</f>
        <v/>
      </c>
      <c r="W20" s="26">
        <f>IF($S20="","",COUNTIF(N$6:N$405,$S20&amp;" *"))</f>
        <v/>
      </c>
      <c r="X20" s="26">
        <f>IF($S20="","",COUNTIF(O$6:O$405,$S20&amp;" *"))</f>
        <v/>
      </c>
      <c r="Y20" s="26">
        <f>IF($S20="","",COUNTIF(P$6:P$405,$S20&amp;" *"))</f>
        <v/>
      </c>
    </row>
    <row r="21">
      <c r="A21" s="29" t="n">
        <v>16</v>
      </c>
      <c r="B21" s="26">
        <f>IF($C21="","",INDEX(입력_인턴근무계획!$B$3:$B$402,$A21))</f>
        <v/>
      </c>
      <c r="C21" s="26">
        <f>IFERROR(TRIM(INDEX(입력_인턴근무계획!$C$3:$C$402,$A21)&amp;""),"")</f>
        <v/>
      </c>
      <c r="D21" s="26">
        <f>IF($C21="","",INDEX(입력_인턴근무계획!$D$3:$D$402,$A21))</f>
        <v/>
      </c>
      <c r="E21" s="26">
        <f>IF($C21="","",IF(IFERROR(MATCH($D21,입력_기본자료!$B$2:$B$1001,0),IFERROR(MATCH($D21&amp;"",입력_기본자료!$B$2:$B$1001,0),IFERROR(MATCH(VALUE($D21),입력_기본자료!$B$2:$B$1001,0),0)))&gt;0,"확인","미등록"))</f>
        <v/>
      </c>
      <c r="F21" s="28">
        <f>IF($C21="","",INDEX(입력_인턴근무계획!$S$3:$S$402,$A21))</f>
        <v/>
      </c>
      <c r="G21" s="26">
        <f>IF(OR($C21="",$G$3=""),"",IF(INDEX(입력_인턴근무계획!$M$3:$R$402,$A21,$G$3)&amp;""="","",IF(LEFT(INDEX(입력_인턴근무계획!$M$3:$R$402,$A21,$G$3)&amp;"",1)="⚠",INDEX(입력_인턴근무계획!$M$3:$R$402,$A21,$G$3)&amp;"",LEFT(INDEX(입력_인턴근무계획!$M$3:$R$402,$A21,$G$3)&amp;"",FIND(" ",INDEX(입력_인턴근무계획!$M$3:$R$402,$A21,$G$3)&amp;"")-1))))</f>
        <v/>
      </c>
      <c r="H21" s="26">
        <f>IF(OR($C21="",$G$3=""),"",IF(INDEX(입력_인턴근무계획!$M$3:$R$402,$A21,$G$3)&amp;""="","",IF(LEFT(INDEX(입력_인턴근무계획!$M$3:$R$402,$A21,$G$3)&amp;"",1)="⚠","",MID(INDEX(입력_인턴근무계획!$M$3:$R$402,$A21,$G$3)&amp;"",FIND(" ",INDEX(입력_인턴근무계획!$M$3:$R$402,$A21,$G$3)&amp;"")+1,60))))</f>
        <v/>
      </c>
      <c r="I21" s="26">
        <f>IF(OR($C21="",$I$3=""),"",IF(INDEX(입력_인턴근무계획!$M$3:$R$402,$A21,$I$3)&amp;""="","",IF(LEFT(INDEX(입력_인턴근무계획!$M$3:$R$402,$A21,$I$3)&amp;"",1)="⚠",INDEX(입력_인턴근무계획!$M$3:$R$402,$A21,$I$3)&amp;"",LEFT(INDEX(입력_인턴근무계획!$M$3:$R$402,$A21,$I$3)&amp;"",FIND(" ",INDEX(입력_인턴근무계획!$M$3:$R$402,$A21,$I$3)&amp;"")-1))))</f>
        <v/>
      </c>
      <c r="J21" s="26">
        <f>IF(OR($C21="",$I$3=""),"",IF(INDEX(입력_인턴근무계획!$M$3:$R$402,$A21,$I$3)&amp;""="","",IF(LEFT(INDEX(입력_인턴근무계획!$M$3:$R$402,$A21,$I$3)&amp;"",1)="⚠","",MID(INDEX(입력_인턴근무계획!$M$3:$R$402,$A21,$I$3)&amp;"",FIND(" ",INDEX(입력_인턴근무계획!$M$3:$R$402,$A21,$I$3)&amp;"")+1,60))))</f>
        <v/>
      </c>
      <c r="K21" s="26">
        <f>IF($C21="","",INDEX(입력_인턴근무계획!$M$3:$M$402,$A21)&amp;"")</f>
        <v/>
      </c>
      <c r="L21" s="26">
        <f>IF($C21="","",INDEX(입력_인턴근무계획!$N$3:$N$402,$A21)&amp;"")</f>
        <v/>
      </c>
      <c r="M21" s="26">
        <f>IF($C21="","",INDEX(입력_인턴근무계획!$O$3:$O$402,$A21)&amp;"")</f>
        <v/>
      </c>
      <c r="N21" s="26">
        <f>IF($C21="","",INDEX(입력_인턴근무계획!$P$3:$P$402,$A21)&amp;"")</f>
        <v/>
      </c>
      <c r="O21" s="26">
        <f>IF($C21="","",INDEX(입력_인턴근무계획!$Q$3:$Q$402,$A21)&amp;"")</f>
        <v/>
      </c>
      <c r="P21" s="26">
        <f>IF($C21="","",INDEX(입력_인턴근무계획!$R$3:$R$402,$A21)&amp;"")</f>
        <v/>
      </c>
      <c r="Q21" s="26">
        <f>IF($C21="","",INDEX(입력_인턴근무계획!$T$3:$T$402,$A21))</f>
        <v/>
      </c>
      <c r="S21" s="26">
        <f>IF(설정_코드표!A17="","",설정_코드표!A17)</f>
        <v/>
      </c>
      <c r="T21" s="26">
        <f>IF($S21="","",COUNTIF(K$6:K$405,$S21&amp;" *"))</f>
        <v/>
      </c>
      <c r="U21" s="26">
        <f>IF($S21="","",COUNTIF(L$6:L$405,$S21&amp;" *"))</f>
        <v/>
      </c>
      <c r="V21" s="26">
        <f>IF($S21="","",COUNTIF(M$6:M$405,$S21&amp;" *"))</f>
        <v/>
      </c>
      <c r="W21" s="26">
        <f>IF($S21="","",COUNTIF(N$6:N$405,$S21&amp;" *"))</f>
        <v/>
      </c>
      <c r="X21" s="26">
        <f>IF($S21="","",COUNTIF(O$6:O$405,$S21&amp;" *"))</f>
        <v/>
      </c>
      <c r="Y21" s="26">
        <f>IF($S21="","",COUNTIF(P$6:P$405,$S21&amp;" *"))</f>
        <v/>
      </c>
    </row>
    <row r="22">
      <c r="A22" s="29" t="n">
        <v>17</v>
      </c>
      <c r="B22" s="26">
        <f>IF($C22="","",INDEX(입력_인턴근무계획!$B$3:$B$402,$A22))</f>
        <v/>
      </c>
      <c r="C22" s="26">
        <f>IFERROR(TRIM(INDEX(입력_인턴근무계획!$C$3:$C$402,$A22)&amp;""),"")</f>
        <v/>
      </c>
      <c r="D22" s="26">
        <f>IF($C22="","",INDEX(입력_인턴근무계획!$D$3:$D$402,$A22))</f>
        <v/>
      </c>
      <c r="E22" s="26">
        <f>IF($C22="","",IF(IFERROR(MATCH($D22,입력_기본자료!$B$2:$B$1001,0),IFERROR(MATCH($D22&amp;"",입력_기본자료!$B$2:$B$1001,0),IFERROR(MATCH(VALUE($D22),입력_기본자료!$B$2:$B$1001,0),0)))&gt;0,"확인","미등록"))</f>
        <v/>
      </c>
      <c r="F22" s="28">
        <f>IF($C22="","",INDEX(입력_인턴근무계획!$S$3:$S$402,$A22))</f>
        <v/>
      </c>
      <c r="G22" s="26">
        <f>IF(OR($C22="",$G$3=""),"",IF(INDEX(입력_인턴근무계획!$M$3:$R$402,$A22,$G$3)&amp;""="","",IF(LEFT(INDEX(입력_인턴근무계획!$M$3:$R$402,$A22,$G$3)&amp;"",1)="⚠",INDEX(입력_인턴근무계획!$M$3:$R$402,$A22,$G$3)&amp;"",LEFT(INDEX(입력_인턴근무계획!$M$3:$R$402,$A22,$G$3)&amp;"",FIND(" ",INDEX(입력_인턴근무계획!$M$3:$R$402,$A22,$G$3)&amp;"")-1))))</f>
        <v/>
      </c>
      <c r="H22" s="26">
        <f>IF(OR($C22="",$G$3=""),"",IF(INDEX(입력_인턴근무계획!$M$3:$R$402,$A22,$G$3)&amp;""="","",IF(LEFT(INDEX(입력_인턴근무계획!$M$3:$R$402,$A22,$G$3)&amp;"",1)="⚠","",MID(INDEX(입력_인턴근무계획!$M$3:$R$402,$A22,$G$3)&amp;"",FIND(" ",INDEX(입력_인턴근무계획!$M$3:$R$402,$A22,$G$3)&amp;"")+1,60))))</f>
        <v/>
      </c>
      <c r="I22" s="26">
        <f>IF(OR($C22="",$I$3=""),"",IF(INDEX(입력_인턴근무계획!$M$3:$R$402,$A22,$I$3)&amp;""="","",IF(LEFT(INDEX(입력_인턴근무계획!$M$3:$R$402,$A22,$I$3)&amp;"",1)="⚠",INDEX(입력_인턴근무계획!$M$3:$R$402,$A22,$I$3)&amp;"",LEFT(INDEX(입력_인턴근무계획!$M$3:$R$402,$A22,$I$3)&amp;"",FIND(" ",INDEX(입력_인턴근무계획!$M$3:$R$402,$A22,$I$3)&amp;"")-1))))</f>
        <v/>
      </c>
      <c r="J22" s="26">
        <f>IF(OR($C22="",$I$3=""),"",IF(INDEX(입력_인턴근무계획!$M$3:$R$402,$A22,$I$3)&amp;""="","",IF(LEFT(INDEX(입력_인턴근무계획!$M$3:$R$402,$A22,$I$3)&amp;"",1)="⚠","",MID(INDEX(입력_인턴근무계획!$M$3:$R$402,$A22,$I$3)&amp;"",FIND(" ",INDEX(입력_인턴근무계획!$M$3:$R$402,$A22,$I$3)&amp;"")+1,60))))</f>
        <v/>
      </c>
      <c r="K22" s="26">
        <f>IF($C22="","",INDEX(입력_인턴근무계획!$M$3:$M$402,$A22)&amp;"")</f>
        <v/>
      </c>
      <c r="L22" s="26">
        <f>IF($C22="","",INDEX(입력_인턴근무계획!$N$3:$N$402,$A22)&amp;"")</f>
        <v/>
      </c>
      <c r="M22" s="26">
        <f>IF($C22="","",INDEX(입력_인턴근무계획!$O$3:$O$402,$A22)&amp;"")</f>
        <v/>
      </c>
      <c r="N22" s="26">
        <f>IF($C22="","",INDEX(입력_인턴근무계획!$P$3:$P$402,$A22)&amp;"")</f>
        <v/>
      </c>
      <c r="O22" s="26">
        <f>IF($C22="","",INDEX(입력_인턴근무계획!$Q$3:$Q$402,$A22)&amp;"")</f>
        <v/>
      </c>
      <c r="P22" s="26">
        <f>IF($C22="","",INDEX(입력_인턴근무계획!$R$3:$R$402,$A22)&amp;"")</f>
        <v/>
      </c>
      <c r="Q22" s="26">
        <f>IF($C22="","",INDEX(입력_인턴근무계획!$T$3:$T$402,$A22))</f>
        <v/>
      </c>
      <c r="S22" s="26">
        <f>IF(설정_코드표!A18="","",설정_코드표!A18)</f>
        <v/>
      </c>
      <c r="T22" s="26">
        <f>IF($S22="","",COUNTIF(K$6:K$405,$S22&amp;" *"))</f>
        <v/>
      </c>
      <c r="U22" s="26">
        <f>IF($S22="","",COUNTIF(L$6:L$405,$S22&amp;" *"))</f>
        <v/>
      </c>
      <c r="V22" s="26">
        <f>IF($S22="","",COUNTIF(M$6:M$405,$S22&amp;" *"))</f>
        <v/>
      </c>
      <c r="W22" s="26">
        <f>IF($S22="","",COUNTIF(N$6:N$405,$S22&amp;" *"))</f>
        <v/>
      </c>
      <c r="X22" s="26">
        <f>IF($S22="","",COUNTIF(O$6:O$405,$S22&amp;" *"))</f>
        <v/>
      </c>
      <c r="Y22" s="26">
        <f>IF($S22="","",COUNTIF(P$6:P$405,$S22&amp;" *"))</f>
        <v/>
      </c>
    </row>
    <row r="23">
      <c r="A23" s="29" t="n">
        <v>18</v>
      </c>
      <c r="B23" s="26">
        <f>IF($C23="","",INDEX(입력_인턴근무계획!$B$3:$B$402,$A23))</f>
        <v/>
      </c>
      <c r="C23" s="26">
        <f>IFERROR(TRIM(INDEX(입력_인턴근무계획!$C$3:$C$402,$A23)&amp;""),"")</f>
        <v/>
      </c>
      <c r="D23" s="26">
        <f>IF($C23="","",INDEX(입력_인턴근무계획!$D$3:$D$402,$A23))</f>
        <v/>
      </c>
      <c r="E23" s="26">
        <f>IF($C23="","",IF(IFERROR(MATCH($D23,입력_기본자료!$B$2:$B$1001,0),IFERROR(MATCH($D23&amp;"",입력_기본자료!$B$2:$B$1001,0),IFERROR(MATCH(VALUE($D23),입력_기본자료!$B$2:$B$1001,0),0)))&gt;0,"확인","미등록"))</f>
        <v/>
      </c>
      <c r="F23" s="28">
        <f>IF($C23="","",INDEX(입력_인턴근무계획!$S$3:$S$402,$A23))</f>
        <v/>
      </c>
      <c r="G23" s="26">
        <f>IF(OR($C23="",$G$3=""),"",IF(INDEX(입력_인턴근무계획!$M$3:$R$402,$A23,$G$3)&amp;""="","",IF(LEFT(INDEX(입력_인턴근무계획!$M$3:$R$402,$A23,$G$3)&amp;"",1)="⚠",INDEX(입력_인턴근무계획!$M$3:$R$402,$A23,$G$3)&amp;"",LEFT(INDEX(입력_인턴근무계획!$M$3:$R$402,$A23,$G$3)&amp;"",FIND(" ",INDEX(입력_인턴근무계획!$M$3:$R$402,$A23,$G$3)&amp;"")-1))))</f>
        <v/>
      </c>
      <c r="H23" s="26">
        <f>IF(OR($C23="",$G$3=""),"",IF(INDEX(입력_인턴근무계획!$M$3:$R$402,$A23,$G$3)&amp;""="","",IF(LEFT(INDEX(입력_인턴근무계획!$M$3:$R$402,$A23,$G$3)&amp;"",1)="⚠","",MID(INDEX(입력_인턴근무계획!$M$3:$R$402,$A23,$G$3)&amp;"",FIND(" ",INDEX(입력_인턴근무계획!$M$3:$R$402,$A23,$G$3)&amp;"")+1,60))))</f>
        <v/>
      </c>
      <c r="I23" s="26">
        <f>IF(OR($C23="",$I$3=""),"",IF(INDEX(입력_인턴근무계획!$M$3:$R$402,$A23,$I$3)&amp;""="","",IF(LEFT(INDEX(입력_인턴근무계획!$M$3:$R$402,$A23,$I$3)&amp;"",1)="⚠",INDEX(입력_인턴근무계획!$M$3:$R$402,$A23,$I$3)&amp;"",LEFT(INDEX(입력_인턴근무계획!$M$3:$R$402,$A23,$I$3)&amp;"",FIND(" ",INDEX(입력_인턴근무계획!$M$3:$R$402,$A23,$I$3)&amp;"")-1))))</f>
        <v/>
      </c>
      <c r="J23" s="26">
        <f>IF(OR($C23="",$I$3=""),"",IF(INDEX(입력_인턴근무계획!$M$3:$R$402,$A23,$I$3)&amp;""="","",IF(LEFT(INDEX(입력_인턴근무계획!$M$3:$R$402,$A23,$I$3)&amp;"",1)="⚠","",MID(INDEX(입력_인턴근무계획!$M$3:$R$402,$A23,$I$3)&amp;"",FIND(" ",INDEX(입력_인턴근무계획!$M$3:$R$402,$A23,$I$3)&amp;"")+1,60))))</f>
        <v/>
      </c>
      <c r="K23" s="26">
        <f>IF($C23="","",INDEX(입력_인턴근무계획!$M$3:$M$402,$A23)&amp;"")</f>
        <v/>
      </c>
      <c r="L23" s="26">
        <f>IF($C23="","",INDEX(입력_인턴근무계획!$N$3:$N$402,$A23)&amp;"")</f>
        <v/>
      </c>
      <c r="M23" s="26">
        <f>IF($C23="","",INDEX(입력_인턴근무계획!$O$3:$O$402,$A23)&amp;"")</f>
        <v/>
      </c>
      <c r="N23" s="26">
        <f>IF($C23="","",INDEX(입력_인턴근무계획!$P$3:$P$402,$A23)&amp;"")</f>
        <v/>
      </c>
      <c r="O23" s="26">
        <f>IF($C23="","",INDEX(입력_인턴근무계획!$Q$3:$Q$402,$A23)&amp;"")</f>
        <v/>
      </c>
      <c r="P23" s="26">
        <f>IF($C23="","",INDEX(입력_인턴근무계획!$R$3:$R$402,$A23)&amp;"")</f>
        <v/>
      </c>
      <c r="Q23" s="26">
        <f>IF($C23="","",INDEX(입력_인턴근무계획!$T$3:$T$402,$A23))</f>
        <v/>
      </c>
      <c r="S23" s="26">
        <f>IF(설정_코드표!A19="","",설정_코드표!A19)</f>
        <v/>
      </c>
      <c r="T23" s="26">
        <f>IF($S23="","",COUNTIF(K$6:K$405,$S23&amp;" *"))</f>
        <v/>
      </c>
      <c r="U23" s="26">
        <f>IF($S23="","",COUNTIF(L$6:L$405,$S23&amp;" *"))</f>
        <v/>
      </c>
      <c r="V23" s="26">
        <f>IF($S23="","",COUNTIF(M$6:M$405,$S23&amp;" *"))</f>
        <v/>
      </c>
      <c r="W23" s="26">
        <f>IF($S23="","",COUNTIF(N$6:N$405,$S23&amp;" *"))</f>
        <v/>
      </c>
      <c r="X23" s="26">
        <f>IF($S23="","",COUNTIF(O$6:O$405,$S23&amp;" *"))</f>
        <v/>
      </c>
      <c r="Y23" s="26">
        <f>IF($S23="","",COUNTIF(P$6:P$405,$S23&amp;" *"))</f>
        <v/>
      </c>
    </row>
    <row r="24">
      <c r="A24" s="29" t="n">
        <v>19</v>
      </c>
      <c r="B24" s="26">
        <f>IF($C24="","",INDEX(입력_인턴근무계획!$B$3:$B$402,$A24))</f>
        <v/>
      </c>
      <c r="C24" s="26">
        <f>IFERROR(TRIM(INDEX(입력_인턴근무계획!$C$3:$C$402,$A24)&amp;""),"")</f>
        <v/>
      </c>
      <c r="D24" s="26">
        <f>IF($C24="","",INDEX(입력_인턴근무계획!$D$3:$D$402,$A24))</f>
        <v/>
      </c>
      <c r="E24" s="26">
        <f>IF($C24="","",IF(IFERROR(MATCH($D24,입력_기본자료!$B$2:$B$1001,0),IFERROR(MATCH($D24&amp;"",입력_기본자료!$B$2:$B$1001,0),IFERROR(MATCH(VALUE($D24),입력_기본자료!$B$2:$B$1001,0),0)))&gt;0,"확인","미등록"))</f>
        <v/>
      </c>
      <c r="F24" s="28">
        <f>IF($C24="","",INDEX(입력_인턴근무계획!$S$3:$S$402,$A24))</f>
        <v/>
      </c>
      <c r="G24" s="26">
        <f>IF(OR($C24="",$G$3=""),"",IF(INDEX(입력_인턴근무계획!$M$3:$R$402,$A24,$G$3)&amp;""="","",IF(LEFT(INDEX(입력_인턴근무계획!$M$3:$R$402,$A24,$G$3)&amp;"",1)="⚠",INDEX(입력_인턴근무계획!$M$3:$R$402,$A24,$G$3)&amp;"",LEFT(INDEX(입력_인턴근무계획!$M$3:$R$402,$A24,$G$3)&amp;"",FIND(" ",INDEX(입력_인턴근무계획!$M$3:$R$402,$A24,$G$3)&amp;"")-1))))</f>
        <v/>
      </c>
      <c r="H24" s="26">
        <f>IF(OR($C24="",$G$3=""),"",IF(INDEX(입력_인턴근무계획!$M$3:$R$402,$A24,$G$3)&amp;""="","",IF(LEFT(INDEX(입력_인턴근무계획!$M$3:$R$402,$A24,$G$3)&amp;"",1)="⚠","",MID(INDEX(입력_인턴근무계획!$M$3:$R$402,$A24,$G$3)&amp;"",FIND(" ",INDEX(입력_인턴근무계획!$M$3:$R$402,$A24,$G$3)&amp;"")+1,60))))</f>
        <v/>
      </c>
      <c r="I24" s="26">
        <f>IF(OR($C24="",$I$3=""),"",IF(INDEX(입력_인턴근무계획!$M$3:$R$402,$A24,$I$3)&amp;""="","",IF(LEFT(INDEX(입력_인턴근무계획!$M$3:$R$402,$A24,$I$3)&amp;"",1)="⚠",INDEX(입력_인턴근무계획!$M$3:$R$402,$A24,$I$3)&amp;"",LEFT(INDEX(입력_인턴근무계획!$M$3:$R$402,$A24,$I$3)&amp;"",FIND(" ",INDEX(입력_인턴근무계획!$M$3:$R$402,$A24,$I$3)&amp;"")-1))))</f>
        <v/>
      </c>
      <c r="J24" s="26">
        <f>IF(OR($C24="",$I$3=""),"",IF(INDEX(입력_인턴근무계획!$M$3:$R$402,$A24,$I$3)&amp;""="","",IF(LEFT(INDEX(입력_인턴근무계획!$M$3:$R$402,$A24,$I$3)&amp;"",1)="⚠","",MID(INDEX(입력_인턴근무계획!$M$3:$R$402,$A24,$I$3)&amp;"",FIND(" ",INDEX(입력_인턴근무계획!$M$3:$R$402,$A24,$I$3)&amp;"")+1,60))))</f>
        <v/>
      </c>
      <c r="K24" s="26">
        <f>IF($C24="","",INDEX(입력_인턴근무계획!$M$3:$M$402,$A24)&amp;"")</f>
        <v/>
      </c>
      <c r="L24" s="26">
        <f>IF($C24="","",INDEX(입력_인턴근무계획!$N$3:$N$402,$A24)&amp;"")</f>
        <v/>
      </c>
      <c r="M24" s="26">
        <f>IF($C24="","",INDEX(입력_인턴근무계획!$O$3:$O$402,$A24)&amp;"")</f>
        <v/>
      </c>
      <c r="N24" s="26">
        <f>IF($C24="","",INDEX(입력_인턴근무계획!$P$3:$P$402,$A24)&amp;"")</f>
        <v/>
      </c>
      <c r="O24" s="26">
        <f>IF($C24="","",INDEX(입력_인턴근무계획!$Q$3:$Q$402,$A24)&amp;"")</f>
        <v/>
      </c>
      <c r="P24" s="26">
        <f>IF($C24="","",INDEX(입력_인턴근무계획!$R$3:$R$402,$A24)&amp;"")</f>
        <v/>
      </c>
      <c r="Q24" s="26">
        <f>IF($C24="","",INDEX(입력_인턴근무계획!$T$3:$T$402,$A24))</f>
        <v/>
      </c>
      <c r="S24" s="26">
        <f>IF(설정_코드표!A20="","",설정_코드표!A20)</f>
        <v/>
      </c>
      <c r="T24" s="26">
        <f>IF($S24="","",COUNTIF(K$6:K$405,$S24&amp;" *"))</f>
        <v/>
      </c>
      <c r="U24" s="26">
        <f>IF($S24="","",COUNTIF(L$6:L$405,$S24&amp;" *"))</f>
        <v/>
      </c>
      <c r="V24" s="26">
        <f>IF($S24="","",COUNTIF(M$6:M$405,$S24&amp;" *"))</f>
        <v/>
      </c>
      <c r="W24" s="26">
        <f>IF($S24="","",COUNTIF(N$6:N$405,$S24&amp;" *"))</f>
        <v/>
      </c>
      <c r="X24" s="26">
        <f>IF($S24="","",COUNTIF(O$6:O$405,$S24&amp;" *"))</f>
        <v/>
      </c>
      <c r="Y24" s="26">
        <f>IF($S24="","",COUNTIF(P$6:P$405,$S24&amp;" *"))</f>
        <v/>
      </c>
    </row>
    <row r="25">
      <c r="A25" s="29" t="n">
        <v>20</v>
      </c>
      <c r="B25" s="26">
        <f>IF($C25="","",INDEX(입력_인턴근무계획!$B$3:$B$402,$A25))</f>
        <v/>
      </c>
      <c r="C25" s="26">
        <f>IFERROR(TRIM(INDEX(입력_인턴근무계획!$C$3:$C$402,$A25)&amp;""),"")</f>
        <v/>
      </c>
      <c r="D25" s="26">
        <f>IF($C25="","",INDEX(입력_인턴근무계획!$D$3:$D$402,$A25))</f>
        <v/>
      </c>
      <c r="E25" s="26">
        <f>IF($C25="","",IF(IFERROR(MATCH($D25,입력_기본자료!$B$2:$B$1001,0),IFERROR(MATCH($D25&amp;"",입력_기본자료!$B$2:$B$1001,0),IFERROR(MATCH(VALUE($D25),입력_기본자료!$B$2:$B$1001,0),0)))&gt;0,"확인","미등록"))</f>
        <v/>
      </c>
      <c r="F25" s="28">
        <f>IF($C25="","",INDEX(입력_인턴근무계획!$S$3:$S$402,$A25))</f>
        <v/>
      </c>
      <c r="G25" s="26">
        <f>IF(OR($C25="",$G$3=""),"",IF(INDEX(입력_인턴근무계획!$M$3:$R$402,$A25,$G$3)&amp;""="","",IF(LEFT(INDEX(입력_인턴근무계획!$M$3:$R$402,$A25,$G$3)&amp;"",1)="⚠",INDEX(입력_인턴근무계획!$M$3:$R$402,$A25,$G$3)&amp;"",LEFT(INDEX(입력_인턴근무계획!$M$3:$R$402,$A25,$G$3)&amp;"",FIND(" ",INDEX(입력_인턴근무계획!$M$3:$R$402,$A25,$G$3)&amp;"")-1))))</f>
        <v/>
      </c>
      <c r="H25" s="26">
        <f>IF(OR($C25="",$G$3=""),"",IF(INDEX(입력_인턴근무계획!$M$3:$R$402,$A25,$G$3)&amp;""="","",IF(LEFT(INDEX(입력_인턴근무계획!$M$3:$R$402,$A25,$G$3)&amp;"",1)="⚠","",MID(INDEX(입력_인턴근무계획!$M$3:$R$402,$A25,$G$3)&amp;"",FIND(" ",INDEX(입력_인턴근무계획!$M$3:$R$402,$A25,$G$3)&amp;"")+1,60))))</f>
        <v/>
      </c>
      <c r="I25" s="26">
        <f>IF(OR($C25="",$I$3=""),"",IF(INDEX(입력_인턴근무계획!$M$3:$R$402,$A25,$I$3)&amp;""="","",IF(LEFT(INDEX(입력_인턴근무계획!$M$3:$R$402,$A25,$I$3)&amp;"",1)="⚠",INDEX(입력_인턴근무계획!$M$3:$R$402,$A25,$I$3)&amp;"",LEFT(INDEX(입력_인턴근무계획!$M$3:$R$402,$A25,$I$3)&amp;"",FIND(" ",INDEX(입력_인턴근무계획!$M$3:$R$402,$A25,$I$3)&amp;"")-1))))</f>
        <v/>
      </c>
      <c r="J25" s="26">
        <f>IF(OR($C25="",$I$3=""),"",IF(INDEX(입력_인턴근무계획!$M$3:$R$402,$A25,$I$3)&amp;""="","",IF(LEFT(INDEX(입력_인턴근무계획!$M$3:$R$402,$A25,$I$3)&amp;"",1)="⚠","",MID(INDEX(입력_인턴근무계획!$M$3:$R$402,$A25,$I$3)&amp;"",FIND(" ",INDEX(입력_인턴근무계획!$M$3:$R$402,$A25,$I$3)&amp;"")+1,60))))</f>
        <v/>
      </c>
      <c r="K25" s="26">
        <f>IF($C25="","",INDEX(입력_인턴근무계획!$M$3:$M$402,$A25)&amp;"")</f>
        <v/>
      </c>
      <c r="L25" s="26">
        <f>IF($C25="","",INDEX(입력_인턴근무계획!$N$3:$N$402,$A25)&amp;"")</f>
        <v/>
      </c>
      <c r="M25" s="26">
        <f>IF($C25="","",INDEX(입력_인턴근무계획!$O$3:$O$402,$A25)&amp;"")</f>
        <v/>
      </c>
      <c r="N25" s="26">
        <f>IF($C25="","",INDEX(입력_인턴근무계획!$P$3:$P$402,$A25)&amp;"")</f>
        <v/>
      </c>
      <c r="O25" s="26">
        <f>IF($C25="","",INDEX(입력_인턴근무계획!$Q$3:$Q$402,$A25)&amp;"")</f>
        <v/>
      </c>
      <c r="P25" s="26">
        <f>IF($C25="","",INDEX(입력_인턴근무계획!$R$3:$R$402,$A25)&amp;"")</f>
        <v/>
      </c>
      <c r="Q25" s="26">
        <f>IF($C25="","",INDEX(입력_인턴근무계획!$T$3:$T$402,$A25))</f>
        <v/>
      </c>
      <c r="S25" s="26">
        <f>IF(설정_코드표!A21="","",설정_코드표!A21)</f>
        <v/>
      </c>
      <c r="T25" s="26">
        <f>IF($S25="","",COUNTIF(K$6:K$405,$S25&amp;" *"))</f>
        <v/>
      </c>
      <c r="U25" s="26">
        <f>IF($S25="","",COUNTIF(L$6:L$405,$S25&amp;" *"))</f>
        <v/>
      </c>
      <c r="V25" s="26">
        <f>IF($S25="","",COUNTIF(M$6:M$405,$S25&amp;" *"))</f>
        <v/>
      </c>
      <c r="W25" s="26">
        <f>IF($S25="","",COUNTIF(N$6:N$405,$S25&amp;" *"))</f>
        <v/>
      </c>
      <c r="X25" s="26">
        <f>IF($S25="","",COUNTIF(O$6:O$405,$S25&amp;" *"))</f>
        <v/>
      </c>
      <c r="Y25" s="26">
        <f>IF($S25="","",COUNTIF(P$6:P$405,$S25&amp;" *"))</f>
        <v/>
      </c>
    </row>
    <row r="26">
      <c r="A26" s="29" t="n">
        <v>21</v>
      </c>
      <c r="B26" s="26">
        <f>IF($C26="","",INDEX(입력_인턴근무계획!$B$3:$B$402,$A26))</f>
        <v/>
      </c>
      <c r="C26" s="26">
        <f>IFERROR(TRIM(INDEX(입력_인턴근무계획!$C$3:$C$402,$A26)&amp;""),"")</f>
        <v/>
      </c>
      <c r="D26" s="26">
        <f>IF($C26="","",INDEX(입력_인턴근무계획!$D$3:$D$402,$A26))</f>
        <v/>
      </c>
      <c r="E26" s="26">
        <f>IF($C26="","",IF(IFERROR(MATCH($D26,입력_기본자료!$B$2:$B$1001,0),IFERROR(MATCH($D26&amp;"",입력_기본자료!$B$2:$B$1001,0),IFERROR(MATCH(VALUE($D26),입력_기본자료!$B$2:$B$1001,0),0)))&gt;0,"확인","미등록"))</f>
        <v/>
      </c>
      <c r="F26" s="28">
        <f>IF($C26="","",INDEX(입력_인턴근무계획!$S$3:$S$402,$A26))</f>
        <v/>
      </c>
      <c r="G26" s="26">
        <f>IF(OR($C26="",$G$3=""),"",IF(INDEX(입력_인턴근무계획!$M$3:$R$402,$A26,$G$3)&amp;""="","",IF(LEFT(INDEX(입력_인턴근무계획!$M$3:$R$402,$A26,$G$3)&amp;"",1)="⚠",INDEX(입력_인턴근무계획!$M$3:$R$402,$A26,$G$3)&amp;"",LEFT(INDEX(입력_인턴근무계획!$M$3:$R$402,$A26,$G$3)&amp;"",FIND(" ",INDEX(입력_인턴근무계획!$M$3:$R$402,$A26,$G$3)&amp;"")-1))))</f>
        <v/>
      </c>
      <c r="H26" s="26">
        <f>IF(OR($C26="",$G$3=""),"",IF(INDEX(입력_인턴근무계획!$M$3:$R$402,$A26,$G$3)&amp;""="","",IF(LEFT(INDEX(입력_인턴근무계획!$M$3:$R$402,$A26,$G$3)&amp;"",1)="⚠","",MID(INDEX(입력_인턴근무계획!$M$3:$R$402,$A26,$G$3)&amp;"",FIND(" ",INDEX(입력_인턴근무계획!$M$3:$R$402,$A26,$G$3)&amp;"")+1,60))))</f>
        <v/>
      </c>
      <c r="I26" s="26">
        <f>IF(OR($C26="",$I$3=""),"",IF(INDEX(입력_인턴근무계획!$M$3:$R$402,$A26,$I$3)&amp;""="","",IF(LEFT(INDEX(입력_인턴근무계획!$M$3:$R$402,$A26,$I$3)&amp;"",1)="⚠",INDEX(입력_인턴근무계획!$M$3:$R$402,$A26,$I$3)&amp;"",LEFT(INDEX(입력_인턴근무계획!$M$3:$R$402,$A26,$I$3)&amp;"",FIND(" ",INDEX(입력_인턴근무계획!$M$3:$R$402,$A26,$I$3)&amp;"")-1))))</f>
        <v/>
      </c>
      <c r="J26" s="26">
        <f>IF(OR($C26="",$I$3=""),"",IF(INDEX(입력_인턴근무계획!$M$3:$R$402,$A26,$I$3)&amp;""="","",IF(LEFT(INDEX(입력_인턴근무계획!$M$3:$R$402,$A26,$I$3)&amp;"",1)="⚠","",MID(INDEX(입력_인턴근무계획!$M$3:$R$402,$A26,$I$3)&amp;"",FIND(" ",INDEX(입력_인턴근무계획!$M$3:$R$402,$A26,$I$3)&amp;"")+1,60))))</f>
        <v/>
      </c>
      <c r="K26" s="26">
        <f>IF($C26="","",INDEX(입력_인턴근무계획!$M$3:$M$402,$A26)&amp;"")</f>
        <v/>
      </c>
      <c r="L26" s="26">
        <f>IF($C26="","",INDEX(입력_인턴근무계획!$N$3:$N$402,$A26)&amp;"")</f>
        <v/>
      </c>
      <c r="M26" s="26">
        <f>IF($C26="","",INDEX(입력_인턴근무계획!$O$3:$O$402,$A26)&amp;"")</f>
        <v/>
      </c>
      <c r="N26" s="26">
        <f>IF($C26="","",INDEX(입력_인턴근무계획!$P$3:$P$402,$A26)&amp;"")</f>
        <v/>
      </c>
      <c r="O26" s="26">
        <f>IF($C26="","",INDEX(입력_인턴근무계획!$Q$3:$Q$402,$A26)&amp;"")</f>
        <v/>
      </c>
      <c r="P26" s="26">
        <f>IF($C26="","",INDEX(입력_인턴근무계획!$R$3:$R$402,$A26)&amp;"")</f>
        <v/>
      </c>
      <c r="Q26" s="26">
        <f>IF($C26="","",INDEX(입력_인턴근무계획!$T$3:$T$402,$A26))</f>
        <v/>
      </c>
      <c r="S26" s="31" t="inlineStr">
        <is>
          <t>⚠ 오류(인식 불가)</t>
        </is>
      </c>
      <c r="T26" s="31">
        <f>COUNTIF(K$6:K$405,"⚠*")</f>
        <v/>
      </c>
      <c r="U26" s="31">
        <f>COUNTIF(L$6:L$405,"⚠*")</f>
        <v/>
      </c>
      <c r="V26" s="31">
        <f>COUNTIF(M$6:M$405,"⚠*")</f>
        <v/>
      </c>
      <c r="W26" s="31">
        <f>COUNTIF(N$6:N$405,"⚠*")</f>
        <v/>
      </c>
      <c r="X26" s="31">
        <f>COUNTIF(O$6:O$405,"⚠*")</f>
        <v/>
      </c>
      <c r="Y26" s="31">
        <f>COUNTIF(P$6:P$405,"⚠*")</f>
        <v/>
      </c>
    </row>
    <row r="27">
      <c r="A27" s="29" t="n">
        <v>22</v>
      </c>
      <c r="B27" s="26">
        <f>IF($C27="","",INDEX(입력_인턴근무계획!$B$3:$B$402,$A27))</f>
        <v/>
      </c>
      <c r="C27" s="26">
        <f>IFERROR(TRIM(INDEX(입력_인턴근무계획!$C$3:$C$402,$A27)&amp;""),"")</f>
        <v/>
      </c>
      <c r="D27" s="26">
        <f>IF($C27="","",INDEX(입력_인턴근무계획!$D$3:$D$402,$A27))</f>
        <v/>
      </c>
      <c r="E27" s="26">
        <f>IF($C27="","",IF(IFERROR(MATCH($D27,입력_기본자료!$B$2:$B$1001,0),IFERROR(MATCH($D27&amp;"",입력_기본자료!$B$2:$B$1001,0),IFERROR(MATCH(VALUE($D27),입력_기본자료!$B$2:$B$1001,0),0)))&gt;0,"확인","미등록"))</f>
        <v/>
      </c>
      <c r="F27" s="28">
        <f>IF($C27="","",INDEX(입력_인턴근무계획!$S$3:$S$402,$A27))</f>
        <v/>
      </c>
      <c r="G27" s="26">
        <f>IF(OR($C27="",$G$3=""),"",IF(INDEX(입력_인턴근무계획!$M$3:$R$402,$A27,$G$3)&amp;""="","",IF(LEFT(INDEX(입력_인턴근무계획!$M$3:$R$402,$A27,$G$3)&amp;"",1)="⚠",INDEX(입력_인턴근무계획!$M$3:$R$402,$A27,$G$3)&amp;"",LEFT(INDEX(입력_인턴근무계획!$M$3:$R$402,$A27,$G$3)&amp;"",FIND(" ",INDEX(입력_인턴근무계획!$M$3:$R$402,$A27,$G$3)&amp;"")-1))))</f>
        <v/>
      </c>
      <c r="H27" s="26">
        <f>IF(OR($C27="",$G$3=""),"",IF(INDEX(입력_인턴근무계획!$M$3:$R$402,$A27,$G$3)&amp;""="","",IF(LEFT(INDEX(입력_인턴근무계획!$M$3:$R$402,$A27,$G$3)&amp;"",1)="⚠","",MID(INDEX(입력_인턴근무계획!$M$3:$R$402,$A27,$G$3)&amp;"",FIND(" ",INDEX(입력_인턴근무계획!$M$3:$R$402,$A27,$G$3)&amp;"")+1,60))))</f>
        <v/>
      </c>
      <c r="I27" s="26">
        <f>IF(OR($C27="",$I$3=""),"",IF(INDEX(입력_인턴근무계획!$M$3:$R$402,$A27,$I$3)&amp;""="","",IF(LEFT(INDEX(입력_인턴근무계획!$M$3:$R$402,$A27,$I$3)&amp;"",1)="⚠",INDEX(입력_인턴근무계획!$M$3:$R$402,$A27,$I$3)&amp;"",LEFT(INDEX(입력_인턴근무계획!$M$3:$R$402,$A27,$I$3)&amp;"",FIND(" ",INDEX(입력_인턴근무계획!$M$3:$R$402,$A27,$I$3)&amp;"")-1))))</f>
        <v/>
      </c>
      <c r="J27" s="26">
        <f>IF(OR($C27="",$I$3=""),"",IF(INDEX(입력_인턴근무계획!$M$3:$R$402,$A27,$I$3)&amp;""="","",IF(LEFT(INDEX(입력_인턴근무계획!$M$3:$R$402,$A27,$I$3)&amp;"",1)="⚠","",MID(INDEX(입력_인턴근무계획!$M$3:$R$402,$A27,$I$3)&amp;"",FIND(" ",INDEX(입력_인턴근무계획!$M$3:$R$402,$A27,$I$3)&amp;"")+1,60))))</f>
        <v/>
      </c>
      <c r="K27" s="26">
        <f>IF($C27="","",INDEX(입력_인턴근무계획!$M$3:$M$402,$A27)&amp;"")</f>
        <v/>
      </c>
      <c r="L27" s="26">
        <f>IF($C27="","",INDEX(입력_인턴근무계획!$N$3:$N$402,$A27)&amp;"")</f>
        <v/>
      </c>
      <c r="M27" s="26">
        <f>IF($C27="","",INDEX(입력_인턴근무계획!$O$3:$O$402,$A27)&amp;"")</f>
        <v/>
      </c>
      <c r="N27" s="26">
        <f>IF($C27="","",INDEX(입력_인턴근무계획!$P$3:$P$402,$A27)&amp;"")</f>
        <v/>
      </c>
      <c r="O27" s="26">
        <f>IF($C27="","",INDEX(입력_인턴근무계획!$Q$3:$Q$402,$A27)&amp;"")</f>
        <v/>
      </c>
      <c r="P27" s="26">
        <f>IF($C27="","",INDEX(입력_인턴근무계획!$R$3:$R$402,$A27)&amp;"")</f>
        <v/>
      </c>
      <c r="Q27" s="26">
        <f>IF($C27="","",INDEX(입력_인턴근무계획!$T$3:$T$402,$A27))</f>
        <v/>
      </c>
      <c r="S27" s="31" t="inlineStr">
        <is>
          <t>합계</t>
        </is>
      </c>
      <c r="T27" s="31">
        <f>SUM(T6:T26)</f>
        <v/>
      </c>
      <c r="U27" s="31">
        <f>SUM(U6:U26)</f>
        <v/>
      </c>
      <c r="V27" s="31">
        <f>SUM(V6:V26)</f>
        <v/>
      </c>
      <c r="W27" s="31">
        <f>SUM(W6:W26)</f>
        <v/>
      </c>
      <c r="X27" s="31">
        <f>SUM(X6:X26)</f>
        <v/>
      </c>
      <c r="Y27" s="31">
        <f>SUM(Y6:Y26)</f>
        <v/>
      </c>
    </row>
    <row r="28">
      <c r="A28" s="29" t="n">
        <v>23</v>
      </c>
      <c r="B28" s="26">
        <f>IF($C28="","",INDEX(입력_인턴근무계획!$B$3:$B$402,$A28))</f>
        <v/>
      </c>
      <c r="C28" s="26">
        <f>IFERROR(TRIM(INDEX(입력_인턴근무계획!$C$3:$C$402,$A28)&amp;""),"")</f>
        <v/>
      </c>
      <c r="D28" s="26">
        <f>IF($C28="","",INDEX(입력_인턴근무계획!$D$3:$D$402,$A28))</f>
        <v/>
      </c>
      <c r="E28" s="26">
        <f>IF($C28="","",IF(IFERROR(MATCH($D28,입력_기본자료!$B$2:$B$1001,0),IFERROR(MATCH($D28&amp;"",입력_기본자료!$B$2:$B$1001,0),IFERROR(MATCH(VALUE($D28),입력_기본자료!$B$2:$B$1001,0),0)))&gt;0,"확인","미등록"))</f>
        <v/>
      </c>
      <c r="F28" s="28">
        <f>IF($C28="","",INDEX(입력_인턴근무계획!$S$3:$S$402,$A28))</f>
        <v/>
      </c>
      <c r="G28" s="26">
        <f>IF(OR($C28="",$G$3=""),"",IF(INDEX(입력_인턴근무계획!$M$3:$R$402,$A28,$G$3)&amp;""="","",IF(LEFT(INDEX(입력_인턴근무계획!$M$3:$R$402,$A28,$G$3)&amp;"",1)="⚠",INDEX(입력_인턴근무계획!$M$3:$R$402,$A28,$G$3)&amp;"",LEFT(INDEX(입력_인턴근무계획!$M$3:$R$402,$A28,$G$3)&amp;"",FIND(" ",INDEX(입력_인턴근무계획!$M$3:$R$402,$A28,$G$3)&amp;"")-1))))</f>
        <v/>
      </c>
      <c r="H28" s="26">
        <f>IF(OR($C28="",$G$3=""),"",IF(INDEX(입력_인턴근무계획!$M$3:$R$402,$A28,$G$3)&amp;""="","",IF(LEFT(INDEX(입력_인턴근무계획!$M$3:$R$402,$A28,$G$3)&amp;"",1)="⚠","",MID(INDEX(입력_인턴근무계획!$M$3:$R$402,$A28,$G$3)&amp;"",FIND(" ",INDEX(입력_인턴근무계획!$M$3:$R$402,$A28,$G$3)&amp;"")+1,60))))</f>
        <v/>
      </c>
      <c r="I28" s="26">
        <f>IF(OR($C28="",$I$3=""),"",IF(INDEX(입력_인턴근무계획!$M$3:$R$402,$A28,$I$3)&amp;""="","",IF(LEFT(INDEX(입력_인턴근무계획!$M$3:$R$402,$A28,$I$3)&amp;"",1)="⚠",INDEX(입력_인턴근무계획!$M$3:$R$402,$A28,$I$3)&amp;"",LEFT(INDEX(입력_인턴근무계획!$M$3:$R$402,$A28,$I$3)&amp;"",FIND(" ",INDEX(입력_인턴근무계획!$M$3:$R$402,$A28,$I$3)&amp;"")-1))))</f>
        <v/>
      </c>
      <c r="J28" s="26">
        <f>IF(OR($C28="",$I$3=""),"",IF(INDEX(입력_인턴근무계획!$M$3:$R$402,$A28,$I$3)&amp;""="","",IF(LEFT(INDEX(입력_인턴근무계획!$M$3:$R$402,$A28,$I$3)&amp;"",1)="⚠","",MID(INDEX(입력_인턴근무계획!$M$3:$R$402,$A28,$I$3)&amp;"",FIND(" ",INDEX(입력_인턴근무계획!$M$3:$R$402,$A28,$I$3)&amp;"")+1,60))))</f>
        <v/>
      </c>
      <c r="K28" s="26">
        <f>IF($C28="","",INDEX(입력_인턴근무계획!$M$3:$M$402,$A28)&amp;"")</f>
        <v/>
      </c>
      <c r="L28" s="26">
        <f>IF($C28="","",INDEX(입력_인턴근무계획!$N$3:$N$402,$A28)&amp;"")</f>
        <v/>
      </c>
      <c r="M28" s="26">
        <f>IF($C28="","",INDEX(입력_인턴근무계획!$O$3:$O$402,$A28)&amp;"")</f>
        <v/>
      </c>
      <c r="N28" s="26">
        <f>IF($C28="","",INDEX(입력_인턴근무계획!$P$3:$P$402,$A28)&amp;"")</f>
        <v/>
      </c>
      <c r="O28" s="26">
        <f>IF($C28="","",INDEX(입력_인턴근무계획!$Q$3:$Q$402,$A28)&amp;"")</f>
        <v/>
      </c>
      <c r="P28" s="26">
        <f>IF($C28="","",INDEX(입력_인턴근무계획!$R$3:$R$402,$A28)&amp;"")</f>
        <v/>
      </c>
      <c r="Q28" s="26">
        <f>IF($C28="","",INDEX(입력_인턴근무계획!$T$3:$T$402,$A28))</f>
        <v/>
      </c>
      <c r="S28" s="8" t="inlineStr">
        <is>
          <t>※ 합계는 계획표에 입력된 인턴 수와 같아야 합니다.</t>
        </is>
      </c>
    </row>
    <row r="29">
      <c r="A29" s="29" t="n">
        <v>24</v>
      </c>
      <c r="B29" s="26">
        <f>IF($C29="","",INDEX(입력_인턴근무계획!$B$3:$B$402,$A29))</f>
        <v/>
      </c>
      <c r="C29" s="26">
        <f>IFERROR(TRIM(INDEX(입력_인턴근무계획!$C$3:$C$402,$A29)&amp;""),"")</f>
        <v/>
      </c>
      <c r="D29" s="26">
        <f>IF($C29="","",INDEX(입력_인턴근무계획!$D$3:$D$402,$A29))</f>
        <v/>
      </c>
      <c r="E29" s="26">
        <f>IF($C29="","",IF(IFERROR(MATCH($D29,입력_기본자료!$B$2:$B$1001,0),IFERROR(MATCH($D29&amp;"",입력_기본자료!$B$2:$B$1001,0),IFERROR(MATCH(VALUE($D29),입력_기본자료!$B$2:$B$1001,0),0)))&gt;0,"확인","미등록"))</f>
        <v/>
      </c>
      <c r="F29" s="28">
        <f>IF($C29="","",INDEX(입력_인턴근무계획!$S$3:$S$402,$A29))</f>
        <v/>
      </c>
      <c r="G29" s="26">
        <f>IF(OR($C29="",$G$3=""),"",IF(INDEX(입력_인턴근무계획!$M$3:$R$402,$A29,$G$3)&amp;""="","",IF(LEFT(INDEX(입력_인턴근무계획!$M$3:$R$402,$A29,$G$3)&amp;"",1)="⚠",INDEX(입력_인턴근무계획!$M$3:$R$402,$A29,$G$3)&amp;"",LEFT(INDEX(입력_인턴근무계획!$M$3:$R$402,$A29,$G$3)&amp;"",FIND(" ",INDEX(입력_인턴근무계획!$M$3:$R$402,$A29,$G$3)&amp;"")-1))))</f>
        <v/>
      </c>
      <c r="H29" s="26">
        <f>IF(OR($C29="",$G$3=""),"",IF(INDEX(입력_인턴근무계획!$M$3:$R$402,$A29,$G$3)&amp;""="","",IF(LEFT(INDEX(입력_인턴근무계획!$M$3:$R$402,$A29,$G$3)&amp;"",1)="⚠","",MID(INDEX(입력_인턴근무계획!$M$3:$R$402,$A29,$G$3)&amp;"",FIND(" ",INDEX(입력_인턴근무계획!$M$3:$R$402,$A29,$G$3)&amp;"")+1,60))))</f>
        <v/>
      </c>
      <c r="I29" s="26">
        <f>IF(OR($C29="",$I$3=""),"",IF(INDEX(입력_인턴근무계획!$M$3:$R$402,$A29,$I$3)&amp;""="","",IF(LEFT(INDEX(입력_인턴근무계획!$M$3:$R$402,$A29,$I$3)&amp;"",1)="⚠",INDEX(입력_인턴근무계획!$M$3:$R$402,$A29,$I$3)&amp;"",LEFT(INDEX(입력_인턴근무계획!$M$3:$R$402,$A29,$I$3)&amp;"",FIND(" ",INDEX(입력_인턴근무계획!$M$3:$R$402,$A29,$I$3)&amp;"")-1))))</f>
        <v/>
      </c>
      <c r="J29" s="26">
        <f>IF(OR($C29="",$I$3=""),"",IF(INDEX(입력_인턴근무계획!$M$3:$R$402,$A29,$I$3)&amp;""="","",IF(LEFT(INDEX(입력_인턴근무계획!$M$3:$R$402,$A29,$I$3)&amp;"",1)="⚠","",MID(INDEX(입력_인턴근무계획!$M$3:$R$402,$A29,$I$3)&amp;"",FIND(" ",INDEX(입력_인턴근무계획!$M$3:$R$402,$A29,$I$3)&amp;"")+1,60))))</f>
        <v/>
      </c>
      <c r="K29" s="26">
        <f>IF($C29="","",INDEX(입력_인턴근무계획!$M$3:$M$402,$A29)&amp;"")</f>
        <v/>
      </c>
      <c r="L29" s="26">
        <f>IF($C29="","",INDEX(입력_인턴근무계획!$N$3:$N$402,$A29)&amp;"")</f>
        <v/>
      </c>
      <c r="M29" s="26">
        <f>IF($C29="","",INDEX(입력_인턴근무계획!$O$3:$O$402,$A29)&amp;"")</f>
        <v/>
      </c>
      <c r="N29" s="26">
        <f>IF($C29="","",INDEX(입력_인턴근무계획!$P$3:$P$402,$A29)&amp;"")</f>
        <v/>
      </c>
      <c r="O29" s="26">
        <f>IF($C29="","",INDEX(입력_인턴근무계획!$Q$3:$Q$402,$A29)&amp;"")</f>
        <v/>
      </c>
      <c r="P29" s="26">
        <f>IF($C29="","",INDEX(입력_인턴근무계획!$R$3:$R$402,$A29)&amp;"")</f>
        <v/>
      </c>
      <c r="Q29" s="26">
        <f>IF($C29="","",INDEX(입력_인턴근무계획!$T$3:$T$402,$A29))</f>
        <v/>
      </c>
    </row>
    <row r="30">
      <c r="A30" s="29" t="n">
        <v>25</v>
      </c>
      <c r="B30" s="26">
        <f>IF($C30="","",INDEX(입력_인턴근무계획!$B$3:$B$402,$A30))</f>
        <v/>
      </c>
      <c r="C30" s="26">
        <f>IFERROR(TRIM(INDEX(입력_인턴근무계획!$C$3:$C$402,$A30)&amp;""),"")</f>
        <v/>
      </c>
      <c r="D30" s="26">
        <f>IF($C30="","",INDEX(입력_인턴근무계획!$D$3:$D$402,$A30))</f>
        <v/>
      </c>
      <c r="E30" s="26">
        <f>IF($C30="","",IF(IFERROR(MATCH($D30,입력_기본자료!$B$2:$B$1001,0),IFERROR(MATCH($D30&amp;"",입력_기본자료!$B$2:$B$1001,0),IFERROR(MATCH(VALUE($D30),입력_기본자료!$B$2:$B$1001,0),0)))&gt;0,"확인","미등록"))</f>
        <v/>
      </c>
      <c r="F30" s="28">
        <f>IF($C30="","",INDEX(입력_인턴근무계획!$S$3:$S$402,$A30))</f>
        <v/>
      </c>
      <c r="G30" s="26">
        <f>IF(OR($C30="",$G$3=""),"",IF(INDEX(입력_인턴근무계획!$M$3:$R$402,$A30,$G$3)&amp;""="","",IF(LEFT(INDEX(입력_인턴근무계획!$M$3:$R$402,$A30,$G$3)&amp;"",1)="⚠",INDEX(입력_인턴근무계획!$M$3:$R$402,$A30,$G$3)&amp;"",LEFT(INDEX(입력_인턴근무계획!$M$3:$R$402,$A30,$G$3)&amp;"",FIND(" ",INDEX(입력_인턴근무계획!$M$3:$R$402,$A30,$G$3)&amp;"")-1))))</f>
        <v/>
      </c>
      <c r="H30" s="26">
        <f>IF(OR($C30="",$G$3=""),"",IF(INDEX(입력_인턴근무계획!$M$3:$R$402,$A30,$G$3)&amp;""="","",IF(LEFT(INDEX(입력_인턴근무계획!$M$3:$R$402,$A30,$G$3)&amp;"",1)="⚠","",MID(INDEX(입력_인턴근무계획!$M$3:$R$402,$A30,$G$3)&amp;"",FIND(" ",INDEX(입력_인턴근무계획!$M$3:$R$402,$A30,$G$3)&amp;"")+1,60))))</f>
        <v/>
      </c>
      <c r="I30" s="26">
        <f>IF(OR($C30="",$I$3=""),"",IF(INDEX(입력_인턴근무계획!$M$3:$R$402,$A30,$I$3)&amp;""="","",IF(LEFT(INDEX(입력_인턴근무계획!$M$3:$R$402,$A30,$I$3)&amp;"",1)="⚠",INDEX(입력_인턴근무계획!$M$3:$R$402,$A30,$I$3)&amp;"",LEFT(INDEX(입력_인턴근무계획!$M$3:$R$402,$A30,$I$3)&amp;"",FIND(" ",INDEX(입력_인턴근무계획!$M$3:$R$402,$A30,$I$3)&amp;"")-1))))</f>
        <v/>
      </c>
      <c r="J30" s="26">
        <f>IF(OR($C30="",$I$3=""),"",IF(INDEX(입력_인턴근무계획!$M$3:$R$402,$A30,$I$3)&amp;""="","",IF(LEFT(INDEX(입력_인턴근무계획!$M$3:$R$402,$A30,$I$3)&amp;"",1)="⚠","",MID(INDEX(입력_인턴근무계획!$M$3:$R$402,$A30,$I$3)&amp;"",FIND(" ",INDEX(입력_인턴근무계획!$M$3:$R$402,$A30,$I$3)&amp;"")+1,60))))</f>
        <v/>
      </c>
      <c r="K30" s="26">
        <f>IF($C30="","",INDEX(입력_인턴근무계획!$M$3:$M$402,$A30)&amp;"")</f>
        <v/>
      </c>
      <c r="L30" s="26">
        <f>IF($C30="","",INDEX(입력_인턴근무계획!$N$3:$N$402,$A30)&amp;"")</f>
        <v/>
      </c>
      <c r="M30" s="26">
        <f>IF($C30="","",INDEX(입력_인턴근무계획!$O$3:$O$402,$A30)&amp;"")</f>
        <v/>
      </c>
      <c r="N30" s="26">
        <f>IF($C30="","",INDEX(입력_인턴근무계획!$P$3:$P$402,$A30)&amp;"")</f>
        <v/>
      </c>
      <c r="O30" s="26">
        <f>IF($C30="","",INDEX(입력_인턴근무계획!$Q$3:$Q$402,$A30)&amp;"")</f>
        <v/>
      </c>
      <c r="P30" s="26">
        <f>IF($C30="","",INDEX(입력_인턴근무계획!$R$3:$R$402,$A30)&amp;"")</f>
        <v/>
      </c>
      <c r="Q30" s="26">
        <f>IF($C30="","",INDEX(입력_인턴근무계획!$T$3:$T$402,$A30))</f>
        <v/>
      </c>
    </row>
    <row r="31">
      <c r="A31" s="29" t="n">
        <v>26</v>
      </c>
      <c r="B31" s="26">
        <f>IF($C31="","",INDEX(입력_인턴근무계획!$B$3:$B$402,$A31))</f>
        <v/>
      </c>
      <c r="C31" s="26">
        <f>IFERROR(TRIM(INDEX(입력_인턴근무계획!$C$3:$C$402,$A31)&amp;""),"")</f>
        <v/>
      </c>
      <c r="D31" s="26">
        <f>IF($C31="","",INDEX(입력_인턴근무계획!$D$3:$D$402,$A31))</f>
        <v/>
      </c>
      <c r="E31" s="26">
        <f>IF($C31="","",IF(IFERROR(MATCH($D31,입력_기본자료!$B$2:$B$1001,0),IFERROR(MATCH($D31&amp;"",입력_기본자료!$B$2:$B$1001,0),IFERROR(MATCH(VALUE($D31),입력_기본자료!$B$2:$B$1001,0),0)))&gt;0,"확인","미등록"))</f>
        <v/>
      </c>
      <c r="F31" s="28">
        <f>IF($C31="","",INDEX(입력_인턴근무계획!$S$3:$S$402,$A31))</f>
        <v/>
      </c>
      <c r="G31" s="26">
        <f>IF(OR($C31="",$G$3=""),"",IF(INDEX(입력_인턴근무계획!$M$3:$R$402,$A31,$G$3)&amp;""="","",IF(LEFT(INDEX(입력_인턴근무계획!$M$3:$R$402,$A31,$G$3)&amp;"",1)="⚠",INDEX(입력_인턴근무계획!$M$3:$R$402,$A31,$G$3)&amp;"",LEFT(INDEX(입력_인턴근무계획!$M$3:$R$402,$A31,$G$3)&amp;"",FIND(" ",INDEX(입력_인턴근무계획!$M$3:$R$402,$A31,$G$3)&amp;"")-1))))</f>
        <v/>
      </c>
      <c r="H31" s="26">
        <f>IF(OR($C31="",$G$3=""),"",IF(INDEX(입력_인턴근무계획!$M$3:$R$402,$A31,$G$3)&amp;""="","",IF(LEFT(INDEX(입력_인턴근무계획!$M$3:$R$402,$A31,$G$3)&amp;"",1)="⚠","",MID(INDEX(입력_인턴근무계획!$M$3:$R$402,$A31,$G$3)&amp;"",FIND(" ",INDEX(입력_인턴근무계획!$M$3:$R$402,$A31,$G$3)&amp;"")+1,60))))</f>
        <v/>
      </c>
      <c r="I31" s="26">
        <f>IF(OR($C31="",$I$3=""),"",IF(INDEX(입력_인턴근무계획!$M$3:$R$402,$A31,$I$3)&amp;""="","",IF(LEFT(INDEX(입력_인턴근무계획!$M$3:$R$402,$A31,$I$3)&amp;"",1)="⚠",INDEX(입력_인턴근무계획!$M$3:$R$402,$A31,$I$3)&amp;"",LEFT(INDEX(입력_인턴근무계획!$M$3:$R$402,$A31,$I$3)&amp;"",FIND(" ",INDEX(입력_인턴근무계획!$M$3:$R$402,$A31,$I$3)&amp;"")-1))))</f>
        <v/>
      </c>
      <c r="J31" s="26">
        <f>IF(OR($C31="",$I$3=""),"",IF(INDEX(입력_인턴근무계획!$M$3:$R$402,$A31,$I$3)&amp;""="","",IF(LEFT(INDEX(입력_인턴근무계획!$M$3:$R$402,$A31,$I$3)&amp;"",1)="⚠","",MID(INDEX(입력_인턴근무계획!$M$3:$R$402,$A31,$I$3)&amp;"",FIND(" ",INDEX(입력_인턴근무계획!$M$3:$R$402,$A31,$I$3)&amp;"")+1,60))))</f>
        <v/>
      </c>
      <c r="K31" s="26">
        <f>IF($C31="","",INDEX(입력_인턴근무계획!$M$3:$M$402,$A31)&amp;"")</f>
        <v/>
      </c>
      <c r="L31" s="26">
        <f>IF($C31="","",INDEX(입력_인턴근무계획!$N$3:$N$402,$A31)&amp;"")</f>
        <v/>
      </c>
      <c r="M31" s="26">
        <f>IF($C31="","",INDEX(입력_인턴근무계획!$O$3:$O$402,$A31)&amp;"")</f>
        <v/>
      </c>
      <c r="N31" s="26">
        <f>IF($C31="","",INDEX(입력_인턴근무계획!$P$3:$P$402,$A31)&amp;"")</f>
        <v/>
      </c>
      <c r="O31" s="26">
        <f>IF($C31="","",INDEX(입력_인턴근무계획!$Q$3:$Q$402,$A31)&amp;"")</f>
        <v/>
      </c>
      <c r="P31" s="26">
        <f>IF($C31="","",INDEX(입력_인턴근무계획!$R$3:$R$402,$A31)&amp;"")</f>
        <v/>
      </c>
      <c r="Q31" s="26">
        <f>IF($C31="","",INDEX(입력_인턴근무계획!$T$3:$T$402,$A31))</f>
        <v/>
      </c>
    </row>
    <row r="32">
      <c r="A32" s="29" t="n">
        <v>27</v>
      </c>
      <c r="B32" s="26">
        <f>IF($C32="","",INDEX(입력_인턴근무계획!$B$3:$B$402,$A32))</f>
        <v/>
      </c>
      <c r="C32" s="26">
        <f>IFERROR(TRIM(INDEX(입력_인턴근무계획!$C$3:$C$402,$A32)&amp;""),"")</f>
        <v/>
      </c>
      <c r="D32" s="26">
        <f>IF($C32="","",INDEX(입력_인턴근무계획!$D$3:$D$402,$A32))</f>
        <v/>
      </c>
      <c r="E32" s="26">
        <f>IF($C32="","",IF(IFERROR(MATCH($D32,입력_기본자료!$B$2:$B$1001,0),IFERROR(MATCH($D32&amp;"",입력_기본자료!$B$2:$B$1001,0),IFERROR(MATCH(VALUE($D32),입력_기본자료!$B$2:$B$1001,0),0)))&gt;0,"확인","미등록"))</f>
        <v/>
      </c>
      <c r="F32" s="28">
        <f>IF($C32="","",INDEX(입력_인턴근무계획!$S$3:$S$402,$A32))</f>
        <v/>
      </c>
      <c r="G32" s="26">
        <f>IF(OR($C32="",$G$3=""),"",IF(INDEX(입력_인턴근무계획!$M$3:$R$402,$A32,$G$3)&amp;""="","",IF(LEFT(INDEX(입력_인턴근무계획!$M$3:$R$402,$A32,$G$3)&amp;"",1)="⚠",INDEX(입력_인턴근무계획!$M$3:$R$402,$A32,$G$3)&amp;"",LEFT(INDEX(입력_인턴근무계획!$M$3:$R$402,$A32,$G$3)&amp;"",FIND(" ",INDEX(입력_인턴근무계획!$M$3:$R$402,$A32,$G$3)&amp;"")-1))))</f>
        <v/>
      </c>
      <c r="H32" s="26">
        <f>IF(OR($C32="",$G$3=""),"",IF(INDEX(입력_인턴근무계획!$M$3:$R$402,$A32,$G$3)&amp;""="","",IF(LEFT(INDEX(입력_인턴근무계획!$M$3:$R$402,$A32,$G$3)&amp;"",1)="⚠","",MID(INDEX(입력_인턴근무계획!$M$3:$R$402,$A32,$G$3)&amp;"",FIND(" ",INDEX(입력_인턴근무계획!$M$3:$R$402,$A32,$G$3)&amp;"")+1,60))))</f>
        <v/>
      </c>
      <c r="I32" s="26">
        <f>IF(OR($C32="",$I$3=""),"",IF(INDEX(입력_인턴근무계획!$M$3:$R$402,$A32,$I$3)&amp;""="","",IF(LEFT(INDEX(입력_인턴근무계획!$M$3:$R$402,$A32,$I$3)&amp;"",1)="⚠",INDEX(입력_인턴근무계획!$M$3:$R$402,$A32,$I$3)&amp;"",LEFT(INDEX(입력_인턴근무계획!$M$3:$R$402,$A32,$I$3)&amp;"",FIND(" ",INDEX(입력_인턴근무계획!$M$3:$R$402,$A32,$I$3)&amp;"")-1))))</f>
        <v/>
      </c>
      <c r="J32" s="26">
        <f>IF(OR($C32="",$I$3=""),"",IF(INDEX(입력_인턴근무계획!$M$3:$R$402,$A32,$I$3)&amp;""="","",IF(LEFT(INDEX(입력_인턴근무계획!$M$3:$R$402,$A32,$I$3)&amp;"",1)="⚠","",MID(INDEX(입력_인턴근무계획!$M$3:$R$402,$A32,$I$3)&amp;"",FIND(" ",INDEX(입력_인턴근무계획!$M$3:$R$402,$A32,$I$3)&amp;"")+1,60))))</f>
        <v/>
      </c>
      <c r="K32" s="26">
        <f>IF($C32="","",INDEX(입력_인턴근무계획!$M$3:$M$402,$A32)&amp;"")</f>
        <v/>
      </c>
      <c r="L32" s="26">
        <f>IF($C32="","",INDEX(입력_인턴근무계획!$N$3:$N$402,$A32)&amp;"")</f>
        <v/>
      </c>
      <c r="M32" s="26">
        <f>IF($C32="","",INDEX(입력_인턴근무계획!$O$3:$O$402,$A32)&amp;"")</f>
        <v/>
      </c>
      <c r="N32" s="26">
        <f>IF($C32="","",INDEX(입력_인턴근무계획!$P$3:$P$402,$A32)&amp;"")</f>
        <v/>
      </c>
      <c r="O32" s="26">
        <f>IF($C32="","",INDEX(입력_인턴근무계획!$Q$3:$Q$402,$A32)&amp;"")</f>
        <v/>
      </c>
      <c r="P32" s="26">
        <f>IF($C32="","",INDEX(입력_인턴근무계획!$R$3:$R$402,$A32)&amp;"")</f>
        <v/>
      </c>
      <c r="Q32" s="26">
        <f>IF($C32="","",INDEX(입력_인턴근무계획!$T$3:$T$402,$A32))</f>
        <v/>
      </c>
    </row>
    <row r="33">
      <c r="A33" s="29" t="n">
        <v>28</v>
      </c>
      <c r="B33" s="26">
        <f>IF($C33="","",INDEX(입력_인턴근무계획!$B$3:$B$402,$A33))</f>
        <v/>
      </c>
      <c r="C33" s="26">
        <f>IFERROR(TRIM(INDEX(입력_인턴근무계획!$C$3:$C$402,$A33)&amp;""),"")</f>
        <v/>
      </c>
      <c r="D33" s="26">
        <f>IF($C33="","",INDEX(입력_인턴근무계획!$D$3:$D$402,$A33))</f>
        <v/>
      </c>
      <c r="E33" s="26">
        <f>IF($C33="","",IF(IFERROR(MATCH($D33,입력_기본자료!$B$2:$B$1001,0),IFERROR(MATCH($D33&amp;"",입력_기본자료!$B$2:$B$1001,0),IFERROR(MATCH(VALUE($D33),입력_기본자료!$B$2:$B$1001,0),0)))&gt;0,"확인","미등록"))</f>
        <v/>
      </c>
      <c r="F33" s="28">
        <f>IF($C33="","",INDEX(입력_인턴근무계획!$S$3:$S$402,$A33))</f>
        <v/>
      </c>
      <c r="G33" s="26">
        <f>IF(OR($C33="",$G$3=""),"",IF(INDEX(입력_인턴근무계획!$M$3:$R$402,$A33,$G$3)&amp;""="","",IF(LEFT(INDEX(입력_인턴근무계획!$M$3:$R$402,$A33,$G$3)&amp;"",1)="⚠",INDEX(입력_인턴근무계획!$M$3:$R$402,$A33,$G$3)&amp;"",LEFT(INDEX(입력_인턴근무계획!$M$3:$R$402,$A33,$G$3)&amp;"",FIND(" ",INDEX(입력_인턴근무계획!$M$3:$R$402,$A33,$G$3)&amp;"")-1))))</f>
        <v/>
      </c>
      <c r="H33" s="26">
        <f>IF(OR($C33="",$G$3=""),"",IF(INDEX(입력_인턴근무계획!$M$3:$R$402,$A33,$G$3)&amp;""="","",IF(LEFT(INDEX(입력_인턴근무계획!$M$3:$R$402,$A33,$G$3)&amp;"",1)="⚠","",MID(INDEX(입력_인턴근무계획!$M$3:$R$402,$A33,$G$3)&amp;"",FIND(" ",INDEX(입력_인턴근무계획!$M$3:$R$402,$A33,$G$3)&amp;"")+1,60))))</f>
        <v/>
      </c>
      <c r="I33" s="26">
        <f>IF(OR($C33="",$I$3=""),"",IF(INDEX(입력_인턴근무계획!$M$3:$R$402,$A33,$I$3)&amp;""="","",IF(LEFT(INDEX(입력_인턴근무계획!$M$3:$R$402,$A33,$I$3)&amp;"",1)="⚠",INDEX(입력_인턴근무계획!$M$3:$R$402,$A33,$I$3)&amp;"",LEFT(INDEX(입력_인턴근무계획!$M$3:$R$402,$A33,$I$3)&amp;"",FIND(" ",INDEX(입력_인턴근무계획!$M$3:$R$402,$A33,$I$3)&amp;"")-1))))</f>
        <v/>
      </c>
      <c r="J33" s="26">
        <f>IF(OR($C33="",$I$3=""),"",IF(INDEX(입력_인턴근무계획!$M$3:$R$402,$A33,$I$3)&amp;""="","",IF(LEFT(INDEX(입력_인턴근무계획!$M$3:$R$402,$A33,$I$3)&amp;"",1)="⚠","",MID(INDEX(입력_인턴근무계획!$M$3:$R$402,$A33,$I$3)&amp;"",FIND(" ",INDEX(입력_인턴근무계획!$M$3:$R$402,$A33,$I$3)&amp;"")+1,60))))</f>
        <v/>
      </c>
      <c r="K33" s="26">
        <f>IF($C33="","",INDEX(입력_인턴근무계획!$M$3:$M$402,$A33)&amp;"")</f>
        <v/>
      </c>
      <c r="L33" s="26">
        <f>IF($C33="","",INDEX(입력_인턴근무계획!$N$3:$N$402,$A33)&amp;"")</f>
        <v/>
      </c>
      <c r="M33" s="26">
        <f>IF($C33="","",INDEX(입력_인턴근무계획!$O$3:$O$402,$A33)&amp;"")</f>
        <v/>
      </c>
      <c r="N33" s="26">
        <f>IF($C33="","",INDEX(입력_인턴근무계획!$P$3:$P$402,$A33)&amp;"")</f>
        <v/>
      </c>
      <c r="O33" s="26">
        <f>IF($C33="","",INDEX(입력_인턴근무계획!$Q$3:$Q$402,$A33)&amp;"")</f>
        <v/>
      </c>
      <c r="P33" s="26">
        <f>IF($C33="","",INDEX(입력_인턴근무계획!$R$3:$R$402,$A33)&amp;"")</f>
        <v/>
      </c>
      <c r="Q33" s="26">
        <f>IF($C33="","",INDEX(입력_인턴근무계획!$T$3:$T$402,$A33))</f>
        <v/>
      </c>
    </row>
    <row r="34">
      <c r="A34" s="29" t="n">
        <v>29</v>
      </c>
      <c r="B34" s="26">
        <f>IF($C34="","",INDEX(입력_인턴근무계획!$B$3:$B$402,$A34))</f>
        <v/>
      </c>
      <c r="C34" s="26">
        <f>IFERROR(TRIM(INDEX(입력_인턴근무계획!$C$3:$C$402,$A34)&amp;""),"")</f>
        <v/>
      </c>
      <c r="D34" s="26">
        <f>IF($C34="","",INDEX(입력_인턴근무계획!$D$3:$D$402,$A34))</f>
        <v/>
      </c>
      <c r="E34" s="26">
        <f>IF($C34="","",IF(IFERROR(MATCH($D34,입력_기본자료!$B$2:$B$1001,0),IFERROR(MATCH($D34&amp;"",입력_기본자료!$B$2:$B$1001,0),IFERROR(MATCH(VALUE($D34),입력_기본자료!$B$2:$B$1001,0),0)))&gt;0,"확인","미등록"))</f>
        <v/>
      </c>
      <c r="F34" s="28">
        <f>IF($C34="","",INDEX(입력_인턴근무계획!$S$3:$S$402,$A34))</f>
        <v/>
      </c>
      <c r="G34" s="26">
        <f>IF(OR($C34="",$G$3=""),"",IF(INDEX(입력_인턴근무계획!$M$3:$R$402,$A34,$G$3)&amp;""="","",IF(LEFT(INDEX(입력_인턴근무계획!$M$3:$R$402,$A34,$G$3)&amp;"",1)="⚠",INDEX(입력_인턴근무계획!$M$3:$R$402,$A34,$G$3)&amp;"",LEFT(INDEX(입력_인턴근무계획!$M$3:$R$402,$A34,$G$3)&amp;"",FIND(" ",INDEX(입력_인턴근무계획!$M$3:$R$402,$A34,$G$3)&amp;"")-1))))</f>
        <v/>
      </c>
      <c r="H34" s="26">
        <f>IF(OR($C34="",$G$3=""),"",IF(INDEX(입력_인턴근무계획!$M$3:$R$402,$A34,$G$3)&amp;""="","",IF(LEFT(INDEX(입력_인턴근무계획!$M$3:$R$402,$A34,$G$3)&amp;"",1)="⚠","",MID(INDEX(입력_인턴근무계획!$M$3:$R$402,$A34,$G$3)&amp;"",FIND(" ",INDEX(입력_인턴근무계획!$M$3:$R$402,$A34,$G$3)&amp;"")+1,60))))</f>
        <v/>
      </c>
      <c r="I34" s="26">
        <f>IF(OR($C34="",$I$3=""),"",IF(INDEX(입력_인턴근무계획!$M$3:$R$402,$A34,$I$3)&amp;""="","",IF(LEFT(INDEX(입력_인턴근무계획!$M$3:$R$402,$A34,$I$3)&amp;"",1)="⚠",INDEX(입력_인턴근무계획!$M$3:$R$402,$A34,$I$3)&amp;"",LEFT(INDEX(입력_인턴근무계획!$M$3:$R$402,$A34,$I$3)&amp;"",FIND(" ",INDEX(입력_인턴근무계획!$M$3:$R$402,$A34,$I$3)&amp;"")-1))))</f>
        <v/>
      </c>
      <c r="J34" s="26">
        <f>IF(OR($C34="",$I$3=""),"",IF(INDEX(입력_인턴근무계획!$M$3:$R$402,$A34,$I$3)&amp;""="","",IF(LEFT(INDEX(입력_인턴근무계획!$M$3:$R$402,$A34,$I$3)&amp;"",1)="⚠","",MID(INDEX(입력_인턴근무계획!$M$3:$R$402,$A34,$I$3)&amp;"",FIND(" ",INDEX(입력_인턴근무계획!$M$3:$R$402,$A34,$I$3)&amp;"")+1,60))))</f>
        <v/>
      </c>
      <c r="K34" s="26">
        <f>IF($C34="","",INDEX(입력_인턴근무계획!$M$3:$M$402,$A34)&amp;"")</f>
        <v/>
      </c>
      <c r="L34" s="26">
        <f>IF($C34="","",INDEX(입력_인턴근무계획!$N$3:$N$402,$A34)&amp;"")</f>
        <v/>
      </c>
      <c r="M34" s="26">
        <f>IF($C34="","",INDEX(입력_인턴근무계획!$O$3:$O$402,$A34)&amp;"")</f>
        <v/>
      </c>
      <c r="N34" s="26">
        <f>IF($C34="","",INDEX(입력_인턴근무계획!$P$3:$P$402,$A34)&amp;"")</f>
        <v/>
      </c>
      <c r="O34" s="26">
        <f>IF($C34="","",INDEX(입력_인턴근무계획!$Q$3:$Q$402,$A34)&amp;"")</f>
        <v/>
      </c>
      <c r="P34" s="26">
        <f>IF($C34="","",INDEX(입력_인턴근무계획!$R$3:$R$402,$A34)&amp;"")</f>
        <v/>
      </c>
      <c r="Q34" s="26">
        <f>IF($C34="","",INDEX(입력_인턴근무계획!$T$3:$T$402,$A34))</f>
        <v/>
      </c>
    </row>
    <row r="35">
      <c r="A35" s="29" t="n">
        <v>30</v>
      </c>
      <c r="B35" s="26">
        <f>IF($C35="","",INDEX(입력_인턴근무계획!$B$3:$B$402,$A35))</f>
        <v/>
      </c>
      <c r="C35" s="26">
        <f>IFERROR(TRIM(INDEX(입력_인턴근무계획!$C$3:$C$402,$A35)&amp;""),"")</f>
        <v/>
      </c>
      <c r="D35" s="26">
        <f>IF($C35="","",INDEX(입력_인턴근무계획!$D$3:$D$402,$A35))</f>
        <v/>
      </c>
      <c r="E35" s="26">
        <f>IF($C35="","",IF(IFERROR(MATCH($D35,입력_기본자료!$B$2:$B$1001,0),IFERROR(MATCH($D35&amp;"",입력_기본자료!$B$2:$B$1001,0),IFERROR(MATCH(VALUE($D35),입력_기본자료!$B$2:$B$1001,0),0)))&gt;0,"확인","미등록"))</f>
        <v/>
      </c>
      <c r="F35" s="28">
        <f>IF($C35="","",INDEX(입력_인턴근무계획!$S$3:$S$402,$A35))</f>
        <v/>
      </c>
      <c r="G35" s="26">
        <f>IF(OR($C35="",$G$3=""),"",IF(INDEX(입력_인턴근무계획!$M$3:$R$402,$A35,$G$3)&amp;""="","",IF(LEFT(INDEX(입력_인턴근무계획!$M$3:$R$402,$A35,$G$3)&amp;"",1)="⚠",INDEX(입력_인턴근무계획!$M$3:$R$402,$A35,$G$3)&amp;"",LEFT(INDEX(입력_인턴근무계획!$M$3:$R$402,$A35,$G$3)&amp;"",FIND(" ",INDEX(입력_인턴근무계획!$M$3:$R$402,$A35,$G$3)&amp;"")-1))))</f>
        <v/>
      </c>
      <c r="H35" s="26">
        <f>IF(OR($C35="",$G$3=""),"",IF(INDEX(입력_인턴근무계획!$M$3:$R$402,$A35,$G$3)&amp;""="","",IF(LEFT(INDEX(입력_인턴근무계획!$M$3:$R$402,$A35,$G$3)&amp;"",1)="⚠","",MID(INDEX(입력_인턴근무계획!$M$3:$R$402,$A35,$G$3)&amp;"",FIND(" ",INDEX(입력_인턴근무계획!$M$3:$R$402,$A35,$G$3)&amp;"")+1,60))))</f>
        <v/>
      </c>
      <c r="I35" s="26">
        <f>IF(OR($C35="",$I$3=""),"",IF(INDEX(입력_인턴근무계획!$M$3:$R$402,$A35,$I$3)&amp;""="","",IF(LEFT(INDEX(입력_인턴근무계획!$M$3:$R$402,$A35,$I$3)&amp;"",1)="⚠",INDEX(입력_인턴근무계획!$M$3:$R$402,$A35,$I$3)&amp;"",LEFT(INDEX(입력_인턴근무계획!$M$3:$R$402,$A35,$I$3)&amp;"",FIND(" ",INDEX(입력_인턴근무계획!$M$3:$R$402,$A35,$I$3)&amp;"")-1))))</f>
        <v/>
      </c>
      <c r="J35" s="26">
        <f>IF(OR($C35="",$I$3=""),"",IF(INDEX(입력_인턴근무계획!$M$3:$R$402,$A35,$I$3)&amp;""="","",IF(LEFT(INDEX(입력_인턴근무계획!$M$3:$R$402,$A35,$I$3)&amp;"",1)="⚠","",MID(INDEX(입력_인턴근무계획!$M$3:$R$402,$A35,$I$3)&amp;"",FIND(" ",INDEX(입력_인턴근무계획!$M$3:$R$402,$A35,$I$3)&amp;"")+1,60))))</f>
        <v/>
      </c>
      <c r="K35" s="26">
        <f>IF($C35="","",INDEX(입력_인턴근무계획!$M$3:$M$402,$A35)&amp;"")</f>
        <v/>
      </c>
      <c r="L35" s="26">
        <f>IF($C35="","",INDEX(입력_인턴근무계획!$N$3:$N$402,$A35)&amp;"")</f>
        <v/>
      </c>
      <c r="M35" s="26">
        <f>IF($C35="","",INDEX(입력_인턴근무계획!$O$3:$O$402,$A35)&amp;"")</f>
        <v/>
      </c>
      <c r="N35" s="26">
        <f>IF($C35="","",INDEX(입력_인턴근무계획!$P$3:$P$402,$A35)&amp;"")</f>
        <v/>
      </c>
      <c r="O35" s="26">
        <f>IF($C35="","",INDEX(입력_인턴근무계획!$Q$3:$Q$402,$A35)&amp;"")</f>
        <v/>
      </c>
      <c r="P35" s="26">
        <f>IF($C35="","",INDEX(입력_인턴근무계획!$R$3:$R$402,$A35)&amp;"")</f>
        <v/>
      </c>
      <c r="Q35" s="26">
        <f>IF($C35="","",INDEX(입력_인턴근무계획!$T$3:$T$402,$A35))</f>
        <v/>
      </c>
    </row>
    <row r="36">
      <c r="A36" s="29" t="n">
        <v>31</v>
      </c>
      <c r="B36" s="26">
        <f>IF($C36="","",INDEX(입력_인턴근무계획!$B$3:$B$402,$A36))</f>
        <v/>
      </c>
      <c r="C36" s="26">
        <f>IFERROR(TRIM(INDEX(입력_인턴근무계획!$C$3:$C$402,$A36)&amp;""),"")</f>
        <v/>
      </c>
      <c r="D36" s="26">
        <f>IF($C36="","",INDEX(입력_인턴근무계획!$D$3:$D$402,$A36))</f>
        <v/>
      </c>
      <c r="E36" s="26">
        <f>IF($C36="","",IF(IFERROR(MATCH($D36,입력_기본자료!$B$2:$B$1001,0),IFERROR(MATCH($D36&amp;"",입력_기본자료!$B$2:$B$1001,0),IFERROR(MATCH(VALUE($D36),입력_기본자료!$B$2:$B$1001,0),0)))&gt;0,"확인","미등록"))</f>
        <v/>
      </c>
      <c r="F36" s="28">
        <f>IF($C36="","",INDEX(입력_인턴근무계획!$S$3:$S$402,$A36))</f>
        <v/>
      </c>
      <c r="G36" s="26">
        <f>IF(OR($C36="",$G$3=""),"",IF(INDEX(입력_인턴근무계획!$M$3:$R$402,$A36,$G$3)&amp;""="","",IF(LEFT(INDEX(입력_인턴근무계획!$M$3:$R$402,$A36,$G$3)&amp;"",1)="⚠",INDEX(입력_인턴근무계획!$M$3:$R$402,$A36,$G$3)&amp;"",LEFT(INDEX(입력_인턴근무계획!$M$3:$R$402,$A36,$G$3)&amp;"",FIND(" ",INDEX(입력_인턴근무계획!$M$3:$R$402,$A36,$G$3)&amp;"")-1))))</f>
        <v/>
      </c>
      <c r="H36" s="26">
        <f>IF(OR($C36="",$G$3=""),"",IF(INDEX(입력_인턴근무계획!$M$3:$R$402,$A36,$G$3)&amp;""="","",IF(LEFT(INDEX(입력_인턴근무계획!$M$3:$R$402,$A36,$G$3)&amp;"",1)="⚠","",MID(INDEX(입력_인턴근무계획!$M$3:$R$402,$A36,$G$3)&amp;"",FIND(" ",INDEX(입력_인턴근무계획!$M$3:$R$402,$A36,$G$3)&amp;"")+1,60))))</f>
        <v/>
      </c>
      <c r="I36" s="26">
        <f>IF(OR($C36="",$I$3=""),"",IF(INDEX(입력_인턴근무계획!$M$3:$R$402,$A36,$I$3)&amp;""="","",IF(LEFT(INDEX(입력_인턴근무계획!$M$3:$R$402,$A36,$I$3)&amp;"",1)="⚠",INDEX(입력_인턴근무계획!$M$3:$R$402,$A36,$I$3)&amp;"",LEFT(INDEX(입력_인턴근무계획!$M$3:$R$402,$A36,$I$3)&amp;"",FIND(" ",INDEX(입력_인턴근무계획!$M$3:$R$402,$A36,$I$3)&amp;"")-1))))</f>
        <v/>
      </c>
      <c r="J36" s="26">
        <f>IF(OR($C36="",$I$3=""),"",IF(INDEX(입력_인턴근무계획!$M$3:$R$402,$A36,$I$3)&amp;""="","",IF(LEFT(INDEX(입력_인턴근무계획!$M$3:$R$402,$A36,$I$3)&amp;"",1)="⚠","",MID(INDEX(입력_인턴근무계획!$M$3:$R$402,$A36,$I$3)&amp;"",FIND(" ",INDEX(입력_인턴근무계획!$M$3:$R$402,$A36,$I$3)&amp;"")+1,60))))</f>
        <v/>
      </c>
      <c r="K36" s="26">
        <f>IF($C36="","",INDEX(입력_인턴근무계획!$M$3:$M$402,$A36)&amp;"")</f>
        <v/>
      </c>
      <c r="L36" s="26">
        <f>IF($C36="","",INDEX(입력_인턴근무계획!$N$3:$N$402,$A36)&amp;"")</f>
        <v/>
      </c>
      <c r="M36" s="26">
        <f>IF($C36="","",INDEX(입력_인턴근무계획!$O$3:$O$402,$A36)&amp;"")</f>
        <v/>
      </c>
      <c r="N36" s="26">
        <f>IF($C36="","",INDEX(입력_인턴근무계획!$P$3:$P$402,$A36)&amp;"")</f>
        <v/>
      </c>
      <c r="O36" s="26">
        <f>IF($C36="","",INDEX(입력_인턴근무계획!$Q$3:$Q$402,$A36)&amp;"")</f>
        <v/>
      </c>
      <c r="P36" s="26">
        <f>IF($C36="","",INDEX(입력_인턴근무계획!$R$3:$R$402,$A36)&amp;"")</f>
        <v/>
      </c>
      <c r="Q36" s="26">
        <f>IF($C36="","",INDEX(입력_인턴근무계획!$T$3:$T$402,$A36))</f>
        <v/>
      </c>
    </row>
    <row r="37">
      <c r="A37" s="29" t="n">
        <v>32</v>
      </c>
      <c r="B37" s="26">
        <f>IF($C37="","",INDEX(입력_인턴근무계획!$B$3:$B$402,$A37))</f>
        <v/>
      </c>
      <c r="C37" s="26">
        <f>IFERROR(TRIM(INDEX(입력_인턴근무계획!$C$3:$C$402,$A37)&amp;""),"")</f>
        <v/>
      </c>
      <c r="D37" s="26">
        <f>IF($C37="","",INDEX(입력_인턴근무계획!$D$3:$D$402,$A37))</f>
        <v/>
      </c>
      <c r="E37" s="26">
        <f>IF($C37="","",IF(IFERROR(MATCH($D37,입력_기본자료!$B$2:$B$1001,0),IFERROR(MATCH($D37&amp;"",입력_기본자료!$B$2:$B$1001,0),IFERROR(MATCH(VALUE($D37),입력_기본자료!$B$2:$B$1001,0),0)))&gt;0,"확인","미등록"))</f>
        <v/>
      </c>
      <c r="F37" s="28">
        <f>IF($C37="","",INDEX(입력_인턴근무계획!$S$3:$S$402,$A37))</f>
        <v/>
      </c>
      <c r="G37" s="26">
        <f>IF(OR($C37="",$G$3=""),"",IF(INDEX(입력_인턴근무계획!$M$3:$R$402,$A37,$G$3)&amp;""="","",IF(LEFT(INDEX(입력_인턴근무계획!$M$3:$R$402,$A37,$G$3)&amp;"",1)="⚠",INDEX(입력_인턴근무계획!$M$3:$R$402,$A37,$G$3)&amp;"",LEFT(INDEX(입력_인턴근무계획!$M$3:$R$402,$A37,$G$3)&amp;"",FIND(" ",INDEX(입력_인턴근무계획!$M$3:$R$402,$A37,$G$3)&amp;"")-1))))</f>
        <v/>
      </c>
      <c r="H37" s="26">
        <f>IF(OR($C37="",$G$3=""),"",IF(INDEX(입력_인턴근무계획!$M$3:$R$402,$A37,$G$3)&amp;""="","",IF(LEFT(INDEX(입력_인턴근무계획!$M$3:$R$402,$A37,$G$3)&amp;"",1)="⚠","",MID(INDEX(입력_인턴근무계획!$M$3:$R$402,$A37,$G$3)&amp;"",FIND(" ",INDEX(입력_인턴근무계획!$M$3:$R$402,$A37,$G$3)&amp;"")+1,60))))</f>
        <v/>
      </c>
      <c r="I37" s="26">
        <f>IF(OR($C37="",$I$3=""),"",IF(INDEX(입력_인턴근무계획!$M$3:$R$402,$A37,$I$3)&amp;""="","",IF(LEFT(INDEX(입력_인턴근무계획!$M$3:$R$402,$A37,$I$3)&amp;"",1)="⚠",INDEX(입력_인턴근무계획!$M$3:$R$402,$A37,$I$3)&amp;"",LEFT(INDEX(입력_인턴근무계획!$M$3:$R$402,$A37,$I$3)&amp;"",FIND(" ",INDEX(입력_인턴근무계획!$M$3:$R$402,$A37,$I$3)&amp;"")-1))))</f>
        <v/>
      </c>
      <c r="J37" s="26">
        <f>IF(OR($C37="",$I$3=""),"",IF(INDEX(입력_인턴근무계획!$M$3:$R$402,$A37,$I$3)&amp;""="","",IF(LEFT(INDEX(입력_인턴근무계획!$M$3:$R$402,$A37,$I$3)&amp;"",1)="⚠","",MID(INDEX(입력_인턴근무계획!$M$3:$R$402,$A37,$I$3)&amp;"",FIND(" ",INDEX(입력_인턴근무계획!$M$3:$R$402,$A37,$I$3)&amp;"")+1,60))))</f>
        <v/>
      </c>
      <c r="K37" s="26">
        <f>IF($C37="","",INDEX(입력_인턴근무계획!$M$3:$M$402,$A37)&amp;"")</f>
        <v/>
      </c>
      <c r="L37" s="26">
        <f>IF($C37="","",INDEX(입력_인턴근무계획!$N$3:$N$402,$A37)&amp;"")</f>
        <v/>
      </c>
      <c r="M37" s="26">
        <f>IF($C37="","",INDEX(입력_인턴근무계획!$O$3:$O$402,$A37)&amp;"")</f>
        <v/>
      </c>
      <c r="N37" s="26">
        <f>IF($C37="","",INDEX(입력_인턴근무계획!$P$3:$P$402,$A37)&amp;"")</f>
        <v/>
      </c>
      <c r="O37" s="26">
        <f>IF($C37="","",INDEX(입력_인턴근무계획!$Q$3:$Q$402,$A37)&amp;"")</f>
        <v/>
      </c>
      <c r="P37" s="26">
        <f>IF($C37="","",INDEX(입력_인턴근무계획!$R$3:$R$402,$A37)&amp;"")</f>
        <v/>
      </c>
      <c r="Q37" s="26">
        <f>IF($C37="","",INDEX(입력_인턴근무계획!$T$3:$T$402,$A37))</f>
        <v/>
      </c>
    </row>
    <row r="38">
      <c r="A38" s="29" t="n">
        <v>33</v>
      </c>
      <c r="B38" s="26">
        <f>IF($C38="","",INDEX(입력_인턴근무계획!$B$3:$B$402,$A38))</f>
        <v/>
      </c>
      <c r="C38" s="26">
        <f>IFERROR(TRIM(INDEX(입력_인턴근무계획!$C$3:$C$402,$A38)&amp;""),"")</f>
        <v/>
      </c>
      <c r="D38" s="26">
        <f>IF($C38="","",INDEX(입력_인턴근무계획!$D$3:$D$402,$A38))</f>
        <v/>
      </c>
      <c r="E38" s="26">
        <f>IF($C38="","",IF(IFERROR(MATCH($D38,입력_기본자료!$B$2:$B$1001,0),IFERROR(MATCH($D38&amp;"",입력_기본자료!$B$2:$B$1001,0),IFERROR(MATCH(VALUE($D38),입력_기본자료!$B$2:$B$1001,0),0)))&gt;0,"확인","미등록"))</f>
        <v/>
      </c>
      <c r="F38" s="28">
        <f>IF($C38="","",INDEX(입력_인턴근무계획!$S$3:$S$402,$A38))</f>
        <v/>
      </c>
      <c r="G38" s="26">
        <f>IF(OR($C38="",$G$3=""),"",IF(INDEX(입력_인턴근무계획!$M$3:$R$402,$A38,$G$3)&amp;""="","",IF(LEFT(INDEX(입력_인턴근무계획!$M$3:$R$402,$A38,$G$3)&amp;"",1)="⚠",INDEX(입력_인턴근무계획!$M$3:$R$402,$A38,$G$3)&amp;"",LEFT(INDEX(입력_인턴근무계획!$M$3:$R$402,$A38,$G$3)&amp;"",FIND(" ",INDEX(입력_인턴근무계획!$M$3:$R$402,$A38,$G$3)&amp;"")-1))))</f>
        <v/>
      </c>
      <c r="H38" s="26">
        <f>IF(OR($C38="",$G$3=""),"",IF(INDEX(입력_인턴근무계획!$M$3:$R$402,$A38,$G$3)&amp;""="","",IF(LEFT(INDEX(입력_인턴근무계획!$M$3:$R$402,$A38,$G$3)&amp;"",1)="⚠","",MID(INDEX(입력_인턴근무계획!$M$3:$R$402,$A38,$G$3)&amp;"",FIND(" ",INDEX(입력_인턴근무계획!$M$3:$R$402,$A38,$G$3)&amp;"")+1,60))))</f>
        <v/>
      </c>
      <c r="I38" s="26">
        <f>IF(OR($C38="",$I$3=""),"",IF(INDEX(입력_인턴근무계획!$M$3:$R$402,$A38,$I$3)&amp;""="","",IF(LEFT(INDEX(입력_인턴근무계획!$M$3:$R$402,$A38,$I$3)&amp;"",1)="⚠",INDEX(입력_인턴근무계획!$M$3:$R$402,$A38,$I$3)&amp;"",LEFT(INDEX(입력_인턴근무계획!$M$3:$R$402,$A38,$I$3)&amp;"",FIND(" ",INDEX(입력_인턴근무계획!$M$3:$R$402,$A38,$I$3)&amp;"")-1))))</f>
        <v/>
      </c>
      <c r="J38" s="26">
        <f>IF(OR($C38="",$I$3=""),"",IF(INDEX(입력_인턴근무계획!$M$3:$R$402,$A38,$I$3)&amp;""="","",IF(LEFT(INDEX(입력_인턴근무계획!$M$3:$R$402,$A38,$I$3)&amp;"",1)="⚠","",MID(INDEX(입력_인턴근무계획!$M$3:$R$402,$A38,$I$3)&amp;"",FIND(" ",INDEX(입력_인턴근무계획!$M$3:$R$402,$A38,$I$3)&amp;"")+1,60))))</f>
        <v/>
      </c>
      <c r="K38" s="26">
        <f>IF($C38="","",INDEX(입력_인턴근무계획!$M$3:$M$402,$A38)&amp;"")</f>
        <v/>
      </c>
      <c r="L38" s="26">
        <f>IF($C38="","",INDEX(입력_인턴근무계획!$N$3:$N$402,$A38)&amp;"")</f>
        <v/>
      </c>
      <c r="M38" s="26">
        <f>IF($C38="","",INDEX(입력_인턴근무계획!$O$3:$O$402,$A38)&amp;"")</f>
        <v/>
      </c>
      <c r="N38" s="26">
        <f>IF($C38="","",INDEX(입력_인턴근무계획!$P$3:$P$402,$A38)&amp;"")</f>
        <v/>
      </c>
      <c r="O38" s="26">
        <f>IF($C38="","",INDEX(입력_인턴근무계획!$Q$3:$Q$402,$A38)&amp;"")</f>
        <v/>
      </c>
      <c r="P38" s="26">
        <f>IF($C38="","",INDEX(입력_인턴근무계획!$R$3:$R$402,$A38)&amp;"")</f>
        <v/>
      </c>
      <c r="Q38" s="26">
        <f>IF($C38="","",INDEX(입력_인턴근무계획!$T$3:$T$402,$A38))</f>
        <v/>
      </c>
    </row>
    <row r="39">
      <c r="A39" s="29" t="n">
        <v>34</v>
      </c>
      <c r="B39" s="26">
        <f>IF($C39="","",INDEX(입력_인턴근무계획!$B$3:$B$402,$A39))</f>
        <v/>
      </c>
      <c r="C39" s="26">
        <f>IFERROR(TRIM(INDEX(입력_인턴근무계획!$C$3:$C$402,$A39)&amp;""),"")</f>
        <v/>
      </c>
      <c r="D39" s="26">
        <f>IF($C39="","",INDEX(입력_인턴근무계획!$D$3:$D$402,$A39))</f>
        <v/>
      </c>
      <c r="E39" s="26">
        <f>IF($C39="","",IF(IFERROR(MATCH($D39,입력_기본자료!$B$2:$B$1001,0),IFERROR(MATCH($D39&amp;"",입력_기본자료!$B$2:$B$1001,0),IFERROR(MATCH(VALUE($D39),입력_기본자료!$B$2:$B$1001,0),0)))&gt;0,"확인","미등록"))</f>
        <v/>
      </c>
      <c r="F39" s="28">
        <f>IF($C39="","",INDEX(입력_인턴근무계획!$S$3:$S$402,$A39))</f>
        <v/>
      </c>
      <c r="G39" s="26">
        <f>IF(OR($C39="",$G$3=""),"",IF(INDEX(입력_인턴근무계획!$M$3:$R$402,$A39,$G$3)&amp;""="","",IF(LEFT(INDEX(입력_인턴근무계획!$M$3:$R$402,$A39,$G$3)&amp;"",1)="⚠",INDEX(입력_인턴근무계획!$M$3:$R$402,$A39,$G$3)&amp;"",LEFT(INDEX(입력_인턴근무계획!$M$3:$R$402,$A39,$G$3)&amp;"",FIND(" ",INDEX(입력_인턴근무계획!$M$3:$R$402,$A39,$G$3)&amp;"")-1))))</f>
        <v/>
      </c>
      <c r="H39" s="26">
        <f>IF(OR($C39="",$G$3=""),"",IF(INDEX(입력_인턴근무계획!$M$3:$R$402,$A39,$G$3)&amp;""="","",IF(LEFT(INDEX(입력_인턴근무계획!$M$3:$R$402,$A39,$G$3)&amp;"",1)="⚠","",MID(INDEX(입력_인턴근무계획!$M$3:$R$402,$A39,$G$3)&amp;"",FIND(" ",INDEX(입력_인턴근무계획!$M$3:$R$402,$A39,$G$3)&amp;"")+1,60))))</f>
        <v/>
      </c>
      <c r="I39" s="26">
        <f>IF(OR($C39="",$I$3=""),"",IF(INDEX(입력_인턴근무계획!$M$3:$R$402,$A39,$I$3)&amp;""="","",IF(LEFT(INDEX(입력_인턴근무계획!$M$3:$R$402,$A39,$I$3)&amp;"",1)="⚠",INDEX(입력_인턴근무계획!$M$3:$R$402,$A39,$I$3)&amp;"",LEFT(INDEX(입력_인턴근무계획!$M$3:$R$402,$A39,$I$3)&amp;"",FIND(" ",INDEX(입력_인턴근무계획!$M$3:$R$402,$A39,$I$3)&amp;"")-1))))</f>
        <v/>
      </c>
      <c r="J39" s="26">
        <f>IF(OR($C39="",$I$3=""),"",IF(INDEX(입력_인턴근무계획!$M$3:$R$402,$A39,$I$3)&amp;""="","",IF(LEFT(INDEX(입력_인턴근무계획!$M$3:$R$402,$A39,$I$3)&amp;"",1)="⚠","",MID(INDEX(입력_인턴근무계획!$M$3:$R$402,$A39,$I$3)&amp;"",FIND(" ",INDEX(입력_인턴근무계획!$M$3:$R$402,$A39,$I$3)&amp;"")+1,60))))</f>
        <v/>
      </c>
      <c r="K39" s="26">
        <f>IF($C39="","",INDEX(입력_인턴근무계획!$M$3:$M$402,$A39)&amp;"")</f>
        <v/>
      </c>
      <c r="L39" s="26">
        <f>IF($C39="","",INDEX(입력_인턴근무계획!$N$3:$N$402,$A39)&amp;"")</f>
        <v/>
      </c>
      <c r="M39" s="26">
        <f>IF($C39="","",INDEX(입력_인턴근무계획!$O$3:$O$402,$A39)&amp;"")</f>
        <v/>
      </c>
      <c r="N39" s="26">
        <f>IF($C39="","",INDEX(입력_인턴근무계획!$P$3:$P$402,$A39)&amp;"")</f>
        <v/>
      </c>
      <c r="O39" s="26">
        <f>IF($C39="","",INDEX(입력_인턴근무계획!$Q$3:$Q$402,$A39)&amp;"")</f>
        <v/>
      </c>
      <c r="P39" s="26">
        <f>IF($C39="","",INDEX(입력_인턴근무계획!$R$3:$R$402,$A39)&amp;"")</f>
        <v/>
      </c>
      <c r="Q39" s="26">
        <f>IF($C39="","",INDEX(입력_인턴근무계획!$T$3:$T$402,$A39))</f>
        <v/>
      </c>
    </row>
    <row r="40">
      <c r="A40" s="29" t="n">
        <v>35</v>
      </c>
      <c r="B40" s="26">
        <f>IF($C40="","",INDEX(입력_인턴근무계획!$B$3:$B$402,$A40))</f>
        <v/>
      </c>
      <c r="C40" s="26">
        <f>IFERROR(TRIM(INDEX(입력_인턴근무계획!$C$3:$C$402,$A40)&amp;""),"")</f>
        <v/>
      </c>
      <c r="D40" s="26">
        <f>IF($C40="","",INDEX(입력_인턴근무계획!$D$3:$D$402,$A40))</f>
        <v/>
      </c>
      <c r="E40" s="26">
        <f>IF($C40="","",IF(IFERROR(MATCH($D40,입력_기본자료!$B$2:$B$1001,0),IFERROR(MATCH($D40&amp;"",입력_기본자료!$B$2:$B$1001,0),IFERROR(MATCH(VALUE($D40),입력_기본자료!$B$2:$B$1001,0),0)))&gt;0,"확인","미등록"))</f>
        <v/>
      </c>
      <c r="F40" s="28">
        <f>IF($C40="","",INDEX(입력_인턴근무계획!$S$3:$S$402,$A40))</f>
        <v/>
      </c>
      <c r="G40" s="26">
        <f>IF(OR($C40="",$G$3=""),"",IF(INDEX(입력_인턴근무계획!$M$3:$R$402,$A40,$G$3)&amp;""="","",IF(LEFT(INDEX(입력_인턴근무계획!$M$3:$R$402,$A40,$G$3)&amp;"",1)="⚠",INDEX(입력_인턴근무계획!$M$3:$R$402,$A40,$G$3)&amp;"",LEFT(INDEX(입력_인턴근무계획!$M$3:$R$402,$A40,$G$3)&amp;"",FIND(" ",INDEX(입력_인턴근무계획!$M$3:$R$402,$A40,$G$3)&amp;"")-1))))</f>
        <v/>
      </c>
      <c r="H40" s="26">
        <f>IF(OR($C40="",$G$3=""),"",IF(INDEX(입력_인턴근무계획!$M$3:$R$402,$A40,$G$3)&amp;""="","",IF(LEFT(INDEX(입력_인턴근무계획!$M$3:$R$402,$A40,$G$3)&amp;"",1)="⚠","",MID(INDEX(입력_인턴근무계획!$M$3:$R$402,$A40,$G$3)&amp;"",FIND(" ",INDEX(입력_인턴근무계획!$M$3:$R$402,$A40,$G$3)&amp;"")+1,60))))</f>
        <v/>
      </c>
      <c r="I40" s="26">
        <f>IF(OR($C40="",$I$3=""),"",IF(INDEX(입력_인턴근무계획!$M$3:$R$402,$A40,$I$3)&amp;""="","",IF(LEFT(INDEX(입력_인턴근무계획!$M$3:$R$402,$A40,$I$3)&amp;"",1)="⚠",INDEX(입력_인턴근무계획!$M$3:$R$402,$A40,$I$3)&amp;"",LEFT(INDEX(입력_인턴근무계획!$M$3:$R$402,$A40,$I$3)&amp;"",FIND(" ",INDEX(입력_인턴근무계획!$M$3:$R$402,$A40,$I$3)&amp;"")-1))))</f>
        <v/>
      </c>
      <c r="J40" s="26">
        <f>IF(OR($C40="",$I$3=""),"",IF(INDEX(입력_인턴근무계획!$M$3:$R$402,$A40,$I$3)&amp;""="","",IF(LEFT(INDEX(입력_인턴근무계획!$M$3:$R$402,$A40,$I$3)&amp;"",1)="⚠","",MID(INDEX(입력_인턴근무계획!$M$3:$R$402,$A40,$I$3)&amp;"",FIND(" ",INDEX(입력_인턴근무계획!$M$3:$R$402,$A40,$I$3)&amp;"")+1,60))))</f>
        <v/>
      </c>
      <c r="K40" s="26">
        <f>IF($C40="","",INDEX(입력_인턴근무계획!$M$3:$M$402,$A40)&amp;"")</f>
        <v/>
      </c>
      <c r="L40" s="26">
        <f>IF($C40="","",INDEX(입력_인턴근무계획!$N$3:$N$402,$A40)&amp;"")</f>
        <v/>
      </c>
      <c r="M40" s="26">
        <f>IF($C40="","",INDEX(입력_인턴근무계획!$O$3:$O$402,$A40)&amp;"")</f>
        <v/>
      </c>
      <c r="N40" s="26">
        <f>IF($C40="","",INDEX(입력_인턴근무계획!$P$3:$P$402,$A40)&amp;"")</f>
        <v/>
      </c>
      <c r="O40" s="26">
        <f>IF($C40="","",INDEX(입력_인턴근무계획!$Q$3:$Q$402,$A40)&amp;"")</f>
        <v/>
      </c>
      <c r="P40" s="26">
        <f>IF($C40="","",INDEX(입력_인턴근무계획!$R$3:$R$402,$A40)&amp;"")</f>
        <v/>
      </c>
      <c r="Q40" s="26">
        <f>IF($C40="","",INDEX(입력_인턴근무계획!$T$3:$T$402,$A40))</f>
        <v/>
      </c>
    </row>
    <row r="41">
      <c r="A41" s="29" t="n">
        <v>36</v>
      </c>
      <c r="B41" s="26">
        <f>IF($C41="","",INDEX(입력_인턴근무계획!$B$3:$B$402,$A41))</f>
        <v/>
      </c>
      <c r="C41" s="26">
        <f>IFERROR(TRIM(INDEX(입력_인턴근무계획!$C$3:$C$402,$A41)&amp;""),"")</f>
        <v/>
      </c>
      <c r="D41" s="26">
        <f>IF($C41="","",INDEX(입력_인턴근무계획!$D$3:$D$402,$A41))</f>
        <v/>
      </c>
      <c r="E41" s="26">
        <f>IF($C41="","",IF(IFERROR(MATCH($D41,입력_기본자료!$B$2:$B$1001,0),IFERROR(MATCH($D41&amp;"",입력_기본자료!$B$2:$B$1001,0),IFERROR(MATCH(VALUE($D41),입력_기본자료!$B$2:$B$1001,0),0)))&gt;0,"확인","미등록"))</f>
        <v/>
      </c>
      <c r="F41" s="28">
        <f>IF($C41="","",INDEX(입력_인턴근무계획!$S$3:$S$402,$A41))</f>
        <v/>
      </c>
      <c r="G41" s="26">
        <f>IF(OR($C41="",$G$3=""),"",IF(INDEX(입력_인턴근무계획!$M$3:$R$402,$A41,$G$3)&amp;""="","",IF(LEFT(INDEX(입력_인턴근무계획!$M$3:$R$402,$A41,$G$3)&amp;"",1)="⚠",INDEX(입력_인턴근무계획!$M$3:$R$402,$A41,$G$3)&amp;"",LEFT(INDEX(입력_인턴근무계획!$M$3:$R$402,$A41,$G$3)&amp;"",FIND(" ",INDEX(입력_인턴근무계획!$M$3:$R$402,$A41,$G$3)&amp;"")-1))))</f>
        <v/>
      </c>
      <c r="H41" s="26">
        <f>IF(OR($C41="",$G$3=""),"",IF(INDEX(입력_인턴근무계획!$M$3:$R$402,$A41,$G$3)&amp;""="","",IF(LEFT(INDEX(입력_인턴근무계획!$M$3:$R$402,$A41,$G$3)&amp;"",1)="⚠","",MID(INDEX(입력_인턴근무계획!$M$3:$R$402,$A41,$G$3)&amp;"",FIND(" ",INDEX(입력_인턴근무계획!$M$3:$R$402,$A41,$G$3)&amp;"")+1,60))))</f>
        <v/>
      </c>
      <c r="I41" s="26">
        <f>IF(OR($C41="",$I$3=""),"",IF(INDEX(입력_인턴근무계획!$M$3:$R$402,$A41,$I$3)&amp;""="","",IF(LEFT(INDEX(입력_인턴근무계획!$M$3:$R$402,$A41,$I$3)&amp;"",1)="⚠",INDEX(입력_인턴근무계획!$M$3:$R$402,$A41,$I$3)&amp;"",LEFT(INDEX(입력_인턴근무계획!$M$3:$R$402,$A41,$I$3)&amp;"",FIND(" ",INDEX(입력_인턴근무계획!$M$3:$R$402,$A41,$I$3)&amp;"")-1))))</f>
        <v/>
      </c>
      <c r="J41" s="26">
        <f>IF(OR($C41="",$I$3=""),"",IF(INDEX(입력_인턴근무계획!$M$3:$R$402,$A41,$I$3)&amp;""="","",IF(LEFT(INDEX(입력_인턴근무계획!$M$3:$R$402,$A41,$I$3)&amp;"",1)="⚠","",MID(INDEX(입력_인턴근무계획!$M$3:$R$402,$A41,$I$3)&amp;"",FIND(" ",INDEX(입력_인턴근무계획!$M$3:$R$402,$A41,$I$3)&amp;"")+1,60))))</f>
        <v/>
      </c>
      <c r="K41" s="26">
        <f>IF($C41="","",INDEX(입력_인턴근무계획!$M$3:$M$402,$A41)&amp;"")</f>
        <v/>
      </c>
      <c r="L41" s="26">
        <f>IF($C41="","",INDEX(입력_인턴근무계획!$N$3:$N$402,$A41)&amp;"")</f>
        <v/>
      </c>
      <c r="M41" s="26">
        <f>IF($C41="","",INDEX(입력_인턴근무계획!$O$3:$O$402,$A41)&amp;"")</f>
        <v/>
      </c>
      <c r="N41" s="26">
        <f>IF($C41="","",INDEX(입력_인턴근무계획!$P$3:$P$402,$A41)&amp;"")</f>
        <v/>
      </c>
      <c r="O41" s="26">
        <f>IF($C41="","",INDEX(입력_인턴근무계획!$Q$3:$Q$402,$A41)&amp;"")</f>
        <v/>
      </c>
      <c r="P41" s="26">
        <f>IF($C41="","",INDEX(입력_인턴근무계획!$R$3:$R$402,$A41)&amp;"")</f>
        <v/>
      </c>
      <c r="Q41" s="26">
        <f>IF($C41="","",INDEX(입력_인턴근무계획!$T$3:$T$402,$A41))</f>
        <v/>
      </c>
    </row>
    <row r="42">
      <c r="A42" s="29" t="n">
        <v>37</v>
      </c>
      <c r="B42" s="26">
        <f>IF($C42="","",INDEX(입력_인턴근무계획!$B$3:$B$402,$A42))</f>
        <v/>
      </c>
      <c r="C42" s="26">
        <f>IFERROR(TRIM(INDEX(입력_인턴근무계획!$C$3:$C$402,$A42)&amp;""),"")</f>
        <v/>
      </c>
      <c r="D42" s="26">
        <f>IF($C42="","",INDEX(입력_인턴근무계획!$D$3:$D$402,$A42))</f>
        <v/>
      </c>
      <c r="E42" s="26">
        <f>IF($C42="","",IF(IFERROR(MATCH($D42,입력_기본자료!$B$2:$B$1001,0),IFERROR(MATCH($D42&amp;"",입력_기본자료!$B$2:$B$1001,0),IFERROR(MATCH(VALUE($D42),입력_기본자료!$B$2:$B$1001,0),0)))&gt;0,"확인","미등록"))</f>
        <v/>
      </c>
      <c r="F42" s="28">
        <f>IF($C42="","",INDEX(입력_인턴근무계획!$S$3:$S$402,$A42))</f>
        <v/>
      </c>
      <c r="G42" s="26">
        <f>IF(OR($C42="",$G$3=""),"",IF(INDEX(입력_인턴근무계획!$M$3:$R$402,$A42,$G$3)&amp;""="","",IF(LEFT(INDEX(입력_인턴근무계획!$M$3:$R$402,$A42,$G$3)&amp;"",1)="⚠",INDEX(입력_인턴근무계획!$M$3:$R$402,$A42,$G$3)&amp;"",LEFT(INDEX(입력_인턴근무계획!$M$3:$R$402,$A42,$G$3)&amp;"",FIND(" ",INDEX(입력_인턴근무계획!$M$3:$R$402,$A42,$G$3)&amp;"")-1))))</f>
        <v/>
      </c>
      <c r="H42" s="26">
        <f>IF(OR($C42="",$G$3=""),"",IF(INDEX(입력_인턴근무계획!$M$3:$R$402,$A42,$G$3)&amp;""="","",IF(LEFT(INDEX(입력_인턴근무계획!$M$3:$R$402,$A42,$G$3)&amp;"",1)="⚠","",MID(INDEX(입력_인턴근무계획!$M$3:$R$402,$A42,$G$3)&amp;"",FIND(" ",INDEX(입력_인턴근무계획!$M$3:$R$402,$A42,$G$3)&amp;"")+1,60))))</f>
        <v/>
      </c>
      <c r="I42" s="26">
        <f>IF(OR($C42="",$I$3=""),"",IF(INDEX(입력_인턴근무계획!$M$3:$R$402,$A42,$I$3)&amp;""="","",IF(LEFT(INDEX(입력_인턴근무계획!$M$3:$R$402,$A42,$I$3)&amp;"",1)="⚠",INDEX(입력_인턴근무계획!$M$3:$R$402,$A42,$I$3)&amp;"",LEFT(INDEX(입력_인턴근무계획!$M$3:$R$402,$A42,$I$3)&amp;"",FIND(" ",INDEX(입력_인턴근무계획!$M$3:$R$402,$A42,$I$3)&amp;"")-1))))</f>
        <v/>
      </c>
      <c r="J42" s="26">
        <f>IF(OR($C42="",$I$3=""),"",IF(INDEX(입력_인턴근무계획!$M$3:$R$402,$A42,$I$3)&amp;""="","",IF(LEFT(INDEX(입력_인턴근무계획!$M$3:$R$402,$A42,$I$3)&amp;"",1)="⚠","",MID(INDEX(입력_인턴근무계획!$M$3:$R$402,$A42,$I$3)&amp;"",FIND(" ",INDEX(입력_인턴근무계획!$M$3:$R$402,$A42,$I$3)&amp;"")+1,60))))</f>
        <v/>
      </c>
      <c r="K42" s="26">
        <f>IF($C42="","",INDEX(입력_인턴근무계획!$M$3:$M$402,$A42)&amp;"")</f>
        <v/>
      </c>
      <c r="L42" s="26">
        <f>IF($C42="","",INDEX(입력_인턴근무계획!$N$3:$N$402,$A42)&amp;"")</f>
        <v/>
      </c>
      <c r="M42" s="26">
        <f>IF($C42="","",INDEX(입력_인턴근무계획!$O$3:$O$402,$A42)&amp;"")</f>
        <v/>
      </c>
      <c r="N42" s="26">
        <f>IF($C42="","",INDEX(입력_인턴근무계획!$P$3:$P$402,$A42)&amp;"")</f>
        <v/>
      </c>
      <c r="O42" s="26">
        <f>IF($C42="","",INDEX(입력_인턴근무계획!$Q$3:$Q$402,$A42)&amp;"")</f>
        <v/>
      </c>
      <c r="P42" s="26">
        <f>IF($C42="","",INDEX(입력_인턴근무계획!$R$3:$R$402,$A42)&amp;"")</f>
        <v/>
      </c>
      <c r="Q42" s="26">
        <f>IF($C42="","",INDEX(입력_인턴근무계획!$T$3:$T$402,$A42))</f>
        <v/>
      </c>
    </row>
    <row r="43">
      <c r="A43" s="29" t="n">
        <v>38</v>
      </c>
      <c r="B43" s="26">
        <f>IF($C43="","",INDEX(입력_인턴근무계획!$B$3:$B$402,$A43))</f>
        <v/>
      </c>
      <c r="C43" s="26">
        <f>IFERROR(TRIM(INDEX(입력_인턴근무계획!$C$3:$C$402,$A43)&amp;""),"")</f>
        <v/>
      </c>
      <c r="D43" s="26">
        <f>IF($C43="","",INDEX(입력_인턴근무계획!$D$3:$D$402,$A43))</f>
        <v/>
      </c>
      <c r="E43" s="26">
        <f>IF($C43="","",IF(IFERROR(MATCH($D43,입력_기본자료!$B$2:$B$1001,0),IFERROR(MATCH($D43&amp;"",입력_기본자료!$B$2:$B$1001,0),IFERROR(MATCH(VALUE($D43),입력_기본자료!$B$2:$B$1001,0),0)))&gt;0,"확인","미등록"))</f>
        <v/>
      </c>
      <c r="F43" s="28">
        <f>IF($C43="","",INDEX(입력_인턴근무계획!$S$3:$S$402,$A43))</f>
        <v/>
      </c>
      <c r="G43" s="26">
        <f>IF(OR($C43="",$G$3=""),"",IF(INDEX(입력_인턴근무계획!$M$3:$R$402,$A43,$G$3)&amp;""="","",IF(LEFT(INDEX(입력_인턴근무계획!$M$3:$R$402,$A43,$G$3)&amp;"",1)="⚠",INDEX(입력_인턴근무계획!$M$3:$R$402,$A43,$G$3)&amp;"",LEFT(INDEX(입력_인턴근무계획!$M$3:$R$402,$A43,$G$3)&amp;"",FIND(" ",INDEX(입력_인턴근무계획!$M$3:$R$402,$A43,$G$3)&amp;"")-1))))</f>
        <v/>
      </c>
      <c r="H43" s="26">
        <f>IF(OR($C43="",$G$3=""),"",IF(INDEX(입력_인턴근무계획!$M$3:$R$402,$A43,$G$3)&amp;""="","",IF(LEFT(INDEX(입력_인턴근무계획!$M$3:$R$402,$A43,$G$3)&amp;"",1)="⚠","",MID(INDEX(입력_인턴근무계획!$M$3:$R$402,$A43,$G$3)&amp;"",FIND(" ",INDEX(입력_인턴근무계획!$M$3:$R$402,$A43,$G$3)&amp;"")+1,60))))</f>
        <v/>
      </c>
      <c r="I43" s="26">
        <f>IF(OR($C43="",$I$3=""),"",IF(INDEX(입력_인턴근무계획!$M$3:$R$402,$A43,$I$3)&amp;""="","",IF(LEFT(INDEX(입력_인턴근무계획!$M$3:$R$402,$A43,$I$3)&amp;"",1)="⚠",INDEX(입력_인턴근무계획!$M$3:$R$402,$A43,$I$3)&amp;"",LEFT(INDEX(입력_인턴근무계획!$M$3:$R$402,$A43,$I$3)&amp;"",FIND(" ",INDEX(입력_인턴근무계획!$M$3:$R$402,$A43,$I$3)&amp;"")-1))))</f>
        <v/>
      </c>
      <c r="J43" s="26">
        <f>IF(OR($C43="",$I$3=""),"",IF(INDEX(입력_인턴근무계획!$M$3:$R$402,$A43,$I$3)&amp;""="","",IF(LEFT(INDEX(입력_인턴근무계획!$M$3:$R$402,$A43,$I$3)&amp;"",1)="⚠","",MID(INDEX(입력_인턴근무계획!$M$3:$R$402,$A43,$I$3)&amp;"",FIND(" ",INDEX(입력_인턴근무계획!$M$3:$R$402,$A43,$I$3)&amp;"")+1,60))))</f>
        <v/>
      </c>
      <c r="K43" s="26">
        <f>IF($C43="","",INDEX(입력_인턴근무계획!$M$3:$M$402,$A43)&amp;"")</f>
        <v/>
      </c>
      <c r="L43" s="26">
        <f>IF($C43="","",INDEX(입력_인턴근무계획!$N$3:$N$402,$A43)&amp;"")</f>
        <v/>
      </c>
      <c r="M43" s="26">
        <f>IF($C43="","",INDEX(입력_인턴근무계획!$O$3:$O$402,$A43)&amp;"")</f>
        <v/>
      </c>
      <c r="N43" s="26">
        <f>IF($C43="","",INDEX(입력_인턴근무계획!$P$3:$P$402,$A43)&amp;"")</f>
        <v/>
      </c>
      <c r="O43" s="26">
        <f>IF($C43="","",INDEX(입력_인턴근무계획!$Q$3:$Q$402,$A43)&amp;"")</f>
        <v/>
      </c>
      <c r="P43" s="26">
        <f>IF($C43="","",INDEX(입력_인턴근무계획!$R$3:$R$402,$A43)&amp;"")</f>
        <v/>
      </c>
      <c r="Q43" s="26">
        <f>IF($C43="","",INDEX(입력_인턴근무계획!$T$3:$T$402,$A43))</f>
        <v/>
      </c>
    </row>
    <row r="44">
      <c r="A44" s="29" t="n">
        <v>39</v>
      </c>
      <c r="B44" s="26">
        <f>IF($C44="","",INDEX(입력_인턴근무계획!$B$3:$B$402,$A44))</f>
        <v/>
      </c>
      <c r="C44" s="26">
        <f>IFERROR(TRIM(INDEX(입력_인턴근무계획!$C$3:$C$402,$A44)&amp;""),"")</f>
        <v/>
      </c>
      <c r="D44" s="26">
        <f>IF($C44="","",INDEX(입력_인턴근무계획!$D$3:$D$402,$A44))</f>
        <v/>
      </c>
      <c r="E44" s="26">
        <f>IF($C44="","",IF(IFERROR(MATCH($D44,입력_기본자료!$B$2:$B$1001,0),IFERROR(MATCH($D44&amp;"",입력_기본자료!$B$2:$B$1001,0),IFERROR(MATCH(VALUE($D44),입력_기본자료!$B$2:$B$1001,0),0)))&gt;0,"확인","미등록"))</f>
        <v/>
      </c>
      <c r="F44" s="28">
        <f>IF($C44="","",INDEX(입력_인턴근무계획!$S$3:$S$402,$A44))</f>
        <v/>
      </c>
      <c r="G44" s="26">
        <f>IF(OR($C44="",$G$3=""),"",IF(INDEX(입력_인턴근무계획!$M$3:$R$402,$A44,$G$3)&amp;""="","",IF(LEFT(INDEX(입력_인턴근무계획!$M$3:$R$402,$A44,$G$3)&amp;"",1)="⚠",INDEX(입력_인턴근무계획!$M$3:$R$402,$A44,$G$3)&amp;"",LEFT(INDEX(입력_인턴근무계획!$M$3:$R$402,$A44,$G$3)&amp;"",FIND(" ",INDEX(입력_인턴근무계획!$M$3:$R$402,$A44,$G$3)&amp;"")-1))))</f>
        <v/>
      </c>
      <c r="H44" s="26">
        <f>IF(OR($C44="",$G$3=""),"",IF(INDEX(입력_인턴근무계획!$M$3:$R$402,$A44,$G$3)&amp;""="","",IF(LEFT(INDEX(입력_인턴근무계획!$M$3:$R$402,$A44,$G$3)&amp;"",1)="⚠","",MID(INDEX(입력_인턴근무계획!$M$3:$R$402,$A44,$G$3)&amp;"",FIND(" ",INDEX(입력_인턴근무계획!$M$3:$R$402,$A44,$G$3)&amp;"")+1,60))))</f>
        <v/>
      </c>
      <c r="I44" s="26">
        <f>IF(OR($C44="",$I$3=""),"",IF(INDEX(입력_인턴근무계획!$M$3:$R$402,$A44,$I$3)&amp;""="","",IF(LEFT(INDEX(입력_인턴근무계획!$M$3:$R$402,$A44,$I$3)&amp;"",1)="⚠",INDEX(입력_인턴근무계획!$M$3:$R$402,$A44,$I$3)&amp;"",LEFT(INDEX(입력_인턴근무계획!$M$3:$R$402,$A44,$I$3)&amp;"",FIND(" ",INDEX(입력_인턴근무계획!$M$3:$R$402,$A44,$I$3)&amp;"")-1))))</f>
        <v/>
      </c>
      <c r="J44" s="26">
        <f>IF(OR($C44="",$I$3=""),"",IF(INDEX(입력_인턴근무계획!$M$3:$R$402,$A44,$I$3)&amp;""="","",IF(LEFT(INDEX(입력_인턴근무계획!$M$3:$R$402,$A44,$I$3)&amp;"",1)="⚠","",MID(INDEX(입력_인턴근무계획!$M$3:$R$402,$A44,$I$3)&amp;"",FIND(" ",INDEX(입력_인턴근무계획!$M$3:$R$402,$A44,$I$3)&amp;"")+1,60))))</f>
        <v/>
      </c>
      <c r="K44" s="26">
        <f>IF($C44="","",INDEX(입력_인턴근무계획!$M$3:$M$402,$A44)&amp;"")</f>
        <v/>
      </c>
      <c r="L44" s="26">
        <f>IF($C44="","",INDEX(입력_인턴근무계획!$N$3:$N$402,$A44)&amp;"")</f>
        <v/>
      </c>
      <c r="M44" s="26">
        <f>IF($C44="","",INDEX(입력_인턴근무계획!$O$3:$O$402,$A44)&amp;"")</f>
        <v/>
      </c>
      <c r="N44" s="26">
        <f>IF($C44="","",INDEX(입력_인턴근무계획!$P$3:$P$402,$A44)&amp;"")</f>
        <v/>
      </c>
      <c r="O44" s="26">
        <f>IF($C44="","",INDEX(입력_인턴근무계획!$Q$3:$Q$402,$A44)&amp;"")</f>
        <v/>
      </c>
      <c r="P44" s="26">
        <f>IF($C44="","",INDEX(입력_인턴근무계획!$R$3:$R$402,$A44)&amp;"")</f>
        <v/>
      </c>
      <c r="Q44" s="26">
        <f>IF($C44="","",INDEX(입력_인턴근무계획!$T$3:$T$402,$A44))</f>
        <v/>
      </c>
    </row>
    <row r="45">
      <c r="A45" s="29" t="n">
        <v>40</v>
      </c>
      <c r="B45" s="26">
        <f>IF($C45="","",INDEX(입력_인턴근무계획!$B$3:$B$402,$A45))</f>
        <v/>
      </c>
      <c r="C45" s="26">
        <f>IFERROR(TRIM(INDEX(입력_인턴근무계획!$C$3:$C$402,$A45)&amp;""),"")</f>
        <v/>
      </c>
      <c r="D45" s="26">
        <f>IF($C45="","",INDEX(입력_인턴근무계획!$D$3:$D$402,$A45))</f>
        <v/>
      </c>
      <c r="E45" s="26">
        <f>IF($C45="","",IF(IFERROR(MATCH($D45,입력_기본자료!$B$2:$B$1001,0),IFERROR(MATCH($D45&amp;"",입력_기본자료!$B$2:$B$1001,0),IFERROR(MATCH(VALUE($D45),입력_기본자료!$B$2:$B$1001,0),0)))&gt;0,"확인","미등록"))</f>
        <v/>
      </c>
      <c r="F45" s="28">
        <f>IF($C45="","",INDEX(입력_인턴근무계획!$S$3:$S$402,$A45))</f>
        <v/>
      </c>
      <c r="G45" s="26">
        <f>IF(OR($C45="",$G$3=""),"",IF(INDEX(입력_인턴근무계획!$M$3:$R$402,$A45,$G$3)&amp;""="","",IF(LEFT(INDEX(입력_인턴근무계획!$M$3:$R$402,$A45,$G$3)&amp;"",1)="⚠",INDEX(입력_인턴근무계획!$M$3:$R$402,$A45,$G$3)&amp;"",LEFT(INDEX(입력_인턴근무계획!$M$3:$R$402,$A45,$G$3)&amp;"",FIND(" ",INDEX(입력_인턴근무계획!$M$3:$R$402,$A45,$G$3)&amp;"")-1))))</f>
        <v/>
      </c>
      <c r="H45" s="26">
        <f>IF(OR($C45="",$G$3=""),"",IF(INDEX(입력_인턴근무계획!$M$3:$R$402,$A45,$G$3)&amp;""="","",IF(LEFT(INDEX(입력_인턴근무계획!$M$3:$R$402,$A45,$G$3)&amp;"",1)="⚠","",MID(INDEX(입력_인턴근무계획!$M$3:$R$402,$A45,$G$3)&amp;"",FIND(" ",INDEX(입력_인턴근무계획!$M$3:$R$402,$A45,$G$3)&amp;"")+1,60))))</f>
        <v/>
      </c>
      <c r="I45" s="26">
        <f>IF(OR($C45="",$I$3=""),"",IF(INDEX(입력_인턴근무계획!$M$3:$R$402,$A45,$I$3)&amp;""="","",IF(LEFT(INDEX(입력_인턴근무계획!$M$3:$R$402,$A45,$I$3)&amp;"",1)="⚠",INDEX(입력_인턴근무계획!$M$3:$R$402,$A45,$I$3)&amp;"",LEFT(INDEX(입력_인턴근무계획!$M$3:$R$402,$A45,$I$3)&amp;"",FIND(" ",INDEX(입력_인턴근무계획!$M$3:$R$402,$A45,$I$3)&amp;"")-1))))</f>
        <v/>
      </c>
      <c r="J45" s="26">
        <f>IF(OR($C45="",$I$3=""),"",IF(INDEX(입력_인턴근무계획!$M$3:$R$402,$A45,$I$3)&amp;""="","",IF(LEFT(INDEX(입력_인턴근무계획!$M$3:$R$402,$A45,$I$3)&amp;"",1)="⚠","",MID(INDEX(입력_인턴근무계획!$M$3:$R$402,$A45,$I$3)&amp;"",FIND(" ",INDEX(입력_인턴근무계획!$M$3:$R$402,$A45,$I$3)&amp;"")+1,60))))</f>
        <v/>
      </c>
      <c r="K45" s="26">
        <f>IF($C45="","",INDEX(입력_인턴근무계획!$M$3:$M$402,$A45)&amp;"")</f>
        <v/>
      </c>
      <c r="L45" s="26">
        <f>IF($C45="","",INDEX(입력_인턴근무계획!$N$3:$N$402,$A45)&amp;"")</f>
        <v/>
      </c>
      <c r="M45" s="26">
        <f>IF($C45="","",INDEX(입력_인턴근무계획!$O$3:$O$402,$A45)&amp;"")</f>
        <v/>
      </c>
      <c r="N45" s="26">
        <f>IF($C45="","",INDEX(입력_인턴근무계획!$P$3:$P$402,$A45)&amp;"")</f>
        <v/>
      </c>
      <c r="O45" s="26">
        <f>IF($C45="","",INDEX(입력_인턴근무계획!$Q$3:$Q$402,$A45)&amp;"")</f>
        <v/>
      </c>
      <c r="P45" s="26">
        <f>IF($C45="","",INDEX(입력_인턴근무계획!$R$3:$R$402,$A45)&amp;"")</f>
        <v/>
      </c>
      <c r="Q45" s="26">
        <f>IF($C45="","",INDEX(입력_인턴근무계획!$T$3:$T$402,$A45))</f>
        <v/>
      </c>
    </row>
    <row r="46">
      <c r="A46" s="29" t="n">
        <v>41</v>
      </c>
      <c r="B46" s="26">
        <f>IF($C46="","",INDEX(입력_인턴근무계획!$B$3:$B$402,$A46))</f>
        <v/>
      </c>
      <c r="C46" s="26">
        <f>IFERROR(TRIM(INDEX(입력_인턴근무계획!$C$3:$C$402,$A46)&amp;""),"")</f>
        <v/>
      </c>
      <c r="D46" s="26">
        <f>IF($C46="","",INDEX(입력_인턴근무계획!$D$3:$D$402,$A46))</f>
        <v/>
      </c>
      <c r="E46" s="26">
        <f>IF($C46="","",IF(IFERROR(MATCH($D46,입력_기본자료!$B$2:$B$1001,0),IFERROR(MATCH($D46&amp;"",입력_기본자료!$B$2:$B$1001,0),IFERROR(MATCH(VALUE($D46),입력_기본자료!$B$2:$B$1001,0),0)))&gt;0,"확인","미등록"))</f>
        <v/>
      </c>
      <c r="F46" s="28">
        <f>IF($C46="","",INDEX(입력_인턴근무계획!$S$3:$S$402,$A46))</f>
        <v/>
      </c>
      <c r="G46" s="26">
        <f>IF(OR($C46="",$G$3=""),"",IF(INDEX(입력_인턴근무계획!$M$3:$R$402,$A46,$G$3)&amp;""="","",IF(LEFT(INDEX(입력_인턴근무계획!$M$3:$R$402,$A46,$G$3)&amp;"",1)="⚠",INDEX(입력_인턴근무계획!$M$3:$R$402,$A46,$G$3)&amp;"",LEFT(INDEX(입력_인턴근무계획!$M$3:$R$402,$A46,$G$3)&amp;"",FIND(" ",INDEX(입력_인턴근무계획!$M$3:$R$402,$A46,$G$3)&amp;"")-1))))</f>
        <v/>
      </c>
      <c r="H46" s="26">
        <f>IF(OR($C46="",$G$3=""),"",IF(INDEX(입력_인턴근무계획!$M$3:$R$402,$A46,$G$3)&amp;""="","",IF(LEFT(INDEX(입력_인턴근무계획!$M$3:$R$402,$A46,$G$3)&amp;"",1)="⚠","",MID(INDEX(입력_인턴근무계획!$M$3:$R$402,$A46,$G$3)&amp;"",FIND(" ",INDEX(입력_인턴근무계획!$M$3:$R$402,$A46,$G$3)&amp;"")+1,60))))</f>
        <v/>
      </c>
      <c r="I46" s="26">
        <f>IF(OR($C46="",$I$3=""),"",IF(INDEX(입력_인턴근무계획!$M$3:$R$402,$A46,$I$3)&amp;""="","",IF(LEFT(INDEX(입력_인턴근무계획!$M$3:$R$402,$A46,$I$3)&amp;"",1)="⚠",INDEX(입력_인턴근무계획!$M$3:$R$402,$A46,$I$3)&amp;"",LEFT(INDEX(입력_인턴근무계획!$M$3:$R$402,$A46,$I$3)&amp;"",FIND(" ",INDEX(입력_인턴근무계획!$M$3:$R$402,$A46,$I$3)&amp;"")-1))))</f>
        <v/>
      </c>
      <c r="J46" s="26">
        <f>IF(OR($C46="",$I$3=""),"",IF(INDEX(입력_인턴근무계획!$M$3:$R$402,$A46,$I$3)&amp;""="","",IF(LEFT(INDEX(입력_인턴근무계획!$M$3:$R$402,$A46,$I$3)&amp;"",1)="⚠","",MID(INDEX(입력_인턴근무계획!$M$3:$R$402,$A46,$I$3)&amp;"",FIND(" ",INDEX(입력_인턴근무계획!$M$3:$R$402,$A46,$I$3)&amp;"")+1,60))))</f>
        <v/>
      </c>
      <c r="K46" s="26">
        <f>IF($C46="","",INDEX(입력_인턴근무계획!$M$3:$M$402,$A46)&amp;"")</f>
        <v/>
      </c>
      <c r="L46" s="26">
        <f>IF($C46="","",INDEX(입력_인턴근무계획!$N$3:$N$402,$A46)&amp;"")</f>
        <v/>
      </c>
      <c r="M46" s="26">
        <f>IF($C46="","",INDEX(입력_인턴근무계획!$O$3:$O$402,$A46)&amp;"")</f>
        <v/>
      </c>
      <c r="N46" s="26">
        <f>IF($C46="","",INDEX(입력_인턴근무계획!$P$3:$P$402,$A46)&amp;"")</f>
        <v/>
      </c>
      <c r="O46" s="26">
        <f>IF($C46="","",INDEX(입력_인턴근무계획!$Q$3:$Q$402,$A46)&amp;"")</f>
        <v/>
      </c>
      <c r="P46" s="26">
        <f>IF($C46="","",INDEX(입력_인턴근무계획!$R$3:$R$402,$A46)&amp;"")</f>
        <v/>
      </c>
      <c r="Q46" s="26">
        <f>IF($C46="","",INDEX(입력_인턴근무계획!$T$3:$T$402,$A46))</f>
        <v/>
      </c>
    </row>
    <row r="47">
      <c r="A47" s="29" t="n">
        <v>42</v>
      </c>
      <c r="B47" s="26">
        <f>IF($C47="","",INDEX(입력_인턴근무계획!$B$3:$B$402,$A47))</f>
        <v/>
      </c>
      <c r="C47" s="26">
        <f>IFERROR(TRIM(INDEX(입력_인턴근무계획!$C$3:$C$402,$A47)&amp;""),"")</f>
        <v/>
      </c>
      <c r="D47" s="26">
        <f>IF($C47="","",INDEX(입력_인턴근무계획!$D$3:$D$402,$A47))</f>
        <v/>
      </c>
      <c r="E47" s="26">
        <f>IF($C47="","",IF(IFERROR(MATCH($D47,입력_기본자료!$B$2:$B$1001,0),IFERROR(MATCH($D47&amp;"",입력_기본자료!$B$2:$B$1001,0),IFERROR(MATCH(VALUE($D47),입력_기본자료!$B$2:$B$1001,0),0)))&gt;0,"확인","미등록"))</f>
        <v/>
      </c>
      <c r="F47" s="28">
        <f>IF($C47="","",INDEX(입력_인턴근무계획!$S$3:$S$402,$A47))</f>
        <v/>
      </c>
      <c r="G47" s="26">
        <f>IF(OR($C47="",$G$3=""),"",IF(INDEX(입력_인턴근무계획!$M$3:$R$402,$A47,$G$3)&amp;""="","",IF(LEFT(INDEX(입력_인턴근무계획!$M$3:$R$402,$A47,$G$3)&amp;"",1)="⚠",INDEX(입력_인턴근무계획!$M$3:$R$402,$A47,$G$3)&amp;"",LEFT(INDEX(입력_인턴근무계획!$M$3:$R$402,$A47,$G$3)&amp;"",FIND(" ",INDEX(입력_인턴근무계획!$M$3:$R$402,$A47,$G$3)&amp;"")-1))))</f>
        <v/>
      </c>
      <c r="H47" s="26">
        <f>IF(OR($C47="",$G$3=""),"",IF(INDEX(입력_인턴근무계획!$M$3:$R$402,$A47,$G$3)&amp;""="","",IF(LEFT(INDEX(입력_인턴근무계획!$M$3:$R$402,$A47,$G$3)&amp;"",1)="⚠","",MID(INDEX(입력_인턴근무계획!$M$3:$R$402,$A47,$G$3)&amp;"",FIND(" ",INDEX(입력_인턴근무계획!$M$3:$R$402,$A47,$G$3)&amp;"")+1,60))))</f>
        <v/>
      </c>
      <c r="I47" s="26">
        <f>IF(OR($C47="",$I$3=""),"",IF(INDEX(입력_인턴근무계획!$M$3:$R$402,$A47,$I$3)&amp;""="","",IF(LEFT(INDEX(입력_인턴근무계획!$M$3:$R$402,$A47,$I$3)&amp;"",1)="⚠",INDEX(입력_인턴근무계획!$M$3:$R$402,$A47,$I$3)&amp;"",LEFT(INDEX(입력_인턴근무계획!$M$3:$R$402,$A47,$I$3)&amp;"",FIND(" ",INDEX(입력_인턴근무계획!$M$3:$R$402,$A47,$I$3)&amp;"")-1))))</f>
        <v/>
      </c>
      <c r="J47" s="26">
        <f>IF(OR($C47="",$I$3=""),"",IF(INDEX(입력_인턴근무계획!$M$3:$R$402,$A47,$I$3)&amp;""="","",IF(LEFT(INDEX(입력_인턴근무계획!$M$3:$R$402,$A47,$I$3)&amp;"",1)="⚠","",MID(INDEX(입력_인턴근무계획!$M$3:$R$402,$A47,$I$3)&amp;"",FIND(" ",INDEX(입력_인턴근무계획!$M$3:$R$402,$A47,$I$3)&amp;"")+1,60))))</f>
        <v/>
      </c>
      <c r="K47" s="26">
        <f>IF($C47="","",INDEX(입력_인턴근무계획!$M$3:$M$402,$A47)&amp;"")</f>
        <v/>
      </c>
      <c r="L47" s="26">
        <f>IF($C47="","",INDEX(입력_인턴근무계획!$N$3:$N$402,$A47)&amp;"")</f>
        <v/>
      </c>
      <c r="M47" s="26">
        <f>IF($C47="","",INDEX(입력_인턴근무계획!$O$3:$O$402,$A47)&amp;"")</f>
        <v/>
      </c>
      <c r="N47" s="26">
        <f>IF($C47="","",INDEX(입력_인턴근무계획!$P$3:$P$402,$A47)&amp;"")</f>
        <v/>
      </c>
      <c r="O47" s="26">
        <f>IF($C47="","",INDEX(입력_인턴근무계획!$Q$3:$Q$402,$A47)&amp;"")</f>
        <v/>
      </c>
      <c r="P47" s="26">
        <f>IF($C47="","",INDEX(입력_인턴근무계획!$R$3:$R$402,$A47)&amp;"")</f>
        <v/>
      </c>
      <c r="Q47" s="26">
        <f>IF($C47="","",INDEX(입력_인턴근무계획!$T$3:$T$402,$A47))</f>
        <v/>
      </c>
    </row>
    <row r="48">
      <c r="A48" s="29" t="n">
        <v>43</v>
      </c>
      <c r="B48" s="26">
        <f>IF($C48="","",INDEX(입력_인턴근무계획!$B$3:$B$402,$A48))</f>
        <v/>
      </c>
      <c r="C48" s="26">
        <f>IFERROR(TRIM(INDEX(입력_인턴근무계획!$C$3:$C$402,$A48)&amp;""),"")</f>
        <v/>
      </c>
      <c r="D48" s="26">
        <f>IF($C48="","",INDEX(입력_인턴근무계획!$D$3:$D$402,$A48))</f>
        <v/>
      </c>
      <c r="E48" s="26">
        <f>IF($C48="","",IF(IFERROR(MATCH($D48,입력_기본자료!$B$2:$B$1001,0),IFERROR(MATCH($D48&amp;"",입력_기본자료!$B$2:$B$1001,0),IFERROR(MATCH(VALUE($D48),입력_기본자료!$B$2:$B$1001,0),0)))&gt;0,"확인","미등록"))</f>
        <v/>
      </c>
      <c r="F48" s="28">
        <f>IF($C48="","",INDEX(입력_인턴근무계획!$S$3:$S$402,$A48))</f>
        <v/>
      </c>
      <c r="G48" s="26">
        <f>IF(OR($C48="",$G$3=""),"",IF(INDEX(입력_인턴근무계획!$M$3:$R$402,$A48,$G$3)&amp;""="","",IF(LEFT(INDEX(입력_인턴근무계획!$M$3:$R$402,$A48,$G$3)&amp;"",1)="⚠",INDEX(입력_인턴근무계획!$M$3:$R$402,$A48,$G$3)&amp;"",LEFT(INDEX(입력_인턴근무계획!$M$3:$R$402,$A48,$G$3)&amp;"",FIND(" ",INDEX(입력_인턴근무계획!$M$3:$R$402,$A48,$G$3)&amp;"")-1))))</f>
        <v/>
      </c>
      <c r="H48" s="26">
        <f>IF(OR($C48="",$G$3=""),"",IF(INDEX(입력_인턴근무계획!$M$3:$R$402,$A48,$G$3)&amp;""="","",IF(LEFT(INDEX(입력_인턴근무계획!$M$3:$R$402,$A48,$G$3)&amp;"",1)="⚠","",MID(INDEX(입력_인턴근무계획!$M$3:$R$402,$A48,$G$3)&amp;"",FIND(" ",INDEX(입력_인턴근무계획!$M$3:$R$402,$A48,$G$3)&amp;"")+1,60))))</f>
        <v/>
      </c>
      <c r="I48" s="26">
        <f>IF(OR($C48="",$I$3=""),"",IF(INDEX(입력_인턴근무계획!$M$3:$R$402,$A48,$I$3)&amp;""="","",IF(LEFT(INDEX(입력_인턴근무계획!$M$3:$R$402,$A48,$I$3)&amp;"",1)="⚠",INDEX(입력_인턴근무계획!$M$3:$R$402,$A48,$I$3)&amp;"",LEFT(INDEX(입력_인턴근무계획!$M$3:$R$402,$A48,$I$3)&amp;"",FIND(" ",INDEX(입력_인턴근무계획!$M$3:$R$402,$A48,$I$3)&amp;"")-1))))</f>
        <v/>
      </c>
      <c r="J48" s="26">
        <f>IF(OR($C48="",$I$3=""),"",IF(INDEX(입력_인턴근무계획!$M$3:$R$402,$A48,$I$3)&amp;""="","",IF(LEFT(INDEX(입력_인턴근무계획!$M$3:$R$402,$A48,$I$3)&amp;"",1)="⚠","",MID(INDEX(입력_인턴근무계획!$M$3:$R$402,$A48,$I$3)&amp;"",FIND(" ",INDEX(입력_인턴근무계획!$M$3:$R$402,$A48,$I$3)&amp;"")+1,60))))</f>
        <v/>
      </c>
      <c r="K48" s="26">
        <f>IF($C48="","",INDEX(입력_인턴근무계획!$M$3:$M$402,$A48)&amp;"")</f>
        <v/>
      </c>
      <c r="L48" s="26">
        <f>IF($C48="","",INDEX(입력_인턴근무계획!$N$3:$N$402,$A48)&amp;"")</f>
        <v/>
      </c>
      <c r="M48" s="26">
        <f>IF($C48="","",INDEX(입력_인턴근무계획!$O$3:$O$402,$A48)&amp;"")</f>
        <v/>
      </c>
      <c r="N48" s="26">
        <f>IF($C48="","",INDEX(입력_인턴근무계획!$P$3:$P$402,$A48)&amp;"")</f>
        <v/>
      </c>
      <c r="O48" s="26">
        <f>IF($C48="","",INDEX(입력_인턴근무계획!$Q$3:$Q$402,$A48)&amp;"")</f>
        <v/>
      </c>
      <c r="P48" s="26">
        <f>IF($C48="","",INDEX(입력_인턴근무계획!$R$3:$R$402,$A48)&amp;"")</f>
        <v/>
      </c>
      <c r="Q48" s="26">
        <f>IF($C48="","",INDEX(입력_인턴근무계획!$T$3:$T$402,$A48))</f>
        <v/>
      </c>
    </row>
    <row r="49">
      <c r="A49" s="29" t="n">
        <v>44</v>
      </c>
      <c r="B49" s="26">
        <f>IF($C49="","",INDEX(입력_인턴근무계획!$B$3:$B$402,$A49))</f>
        <v/>
      </c>
      <c r="C49" s="26">
        <f>IFERROR(TRIM(INDEX(입력_인턴근무계획!$C$3:$C$402,$A49)&amp;""),"")</f>
        <v/>
      </c>
      <c r="D49" s="26">
        <f>IF($C49="","",INDEX(입력_인턴근무계획!$D$3:$D$402,$A49))</f>
        <v/>
      </c>
      <c r="E49" s="26">
        <f>IF($C49="","",IF(IFERROR(MATCH($D49,입력_기본자료!$B$2:$B$1001,0),IFERROR(MATCH($D49&amp;"",입력_기본자료!$B$2:$B$1001,0),IFERROR(MATCH(VALUE($D49),입력_기본자료!$B$2:$B$1001,0),0)))&gt;0,"확인","미등록"))</f>
        <v/>
      </c>
      <c r="F49" s="28">
        <f>IF($C49="","",INDEX(입력_인턴근무계획!$S$3:$S$402,$A49))</f>
        <v/>
      </c>
      <c r="G49" s="26">
        <f>IF(OR($C49="",$G$3=""),"",IF(INDEX(입력_인턴근무계획!$M$3:$R$402,$A49,$G$3)&amp;""="","",IF(LEFT(INDEX(입력_인턴근무계획!$M$3:$R$402,$A49,$G$3)&amp;"",1)="⚠",INDEX(입력_인턴근무계획!$M$3:$R$402,$A49,$G$3)&amp;"",LEFT(INDEX(입력_인턴근무계획!$M$3:$R$402,$A49,$G$3)&amp;"",FIND(" ",INDEX(입력_인턴근무계획!$M$3:$R$402,$A49,$G$3)&amp;"")-1))))</f>
        <v/>
      </c>
      <c r="H49" s="26">
        <f>IF(OR($C49="",$G$3=""),"",IF(INDEX(입력_인턴근무계획!$M$3:$R$402,$A49,$G$3)&amp;""="","",IF(LEFT(INDEX(입력_인턴근무계획!$M$3:$R$402,$A49,$G$3)&amp;"",1)="⚠","",MID(INDEX(입력_인턴근무계획!$M$3:$R$402,$A49,$G$3)&amp;"",FIND(" ",INDEX(입력_인턴근무계획!$M$3:$R$402,$A49,$G$3)&amp;"")+1,60))))</f>
        <v/>
      </c>
      <c r="I49" s="26">
        <f>IF(OR($C49="",$I$3=""),"",IF(INDEX(입력_인턴근무계획!$M$3:$R$402,$A49,$I$3)&amp;""="","",IF(LEFT(INDEX(입력_인턴근무계획!$M$3:$R$402,$A49,$I$3)&amp;"",1)="⚠",INDEX(입력_인턴근무계획!$M$3:$R$402,$A49,$I$3)&amp;"",LEFT(INDEX(입력_인턴근무계획!$M$3:$R$402,$A49,$I$3)&amp;"",FIND(" ",INDEX(입력_인턴근무계획!$M$3:$R$402,$A49,$I$3)&amp;"")-1))))</f>
        <v/>
      </c>
      <c r="J49" s="26">
        <f>IF(OR($C49="",$I$3=""),"",IF(INDEX(입력_인턴근무계획!$M$3:$R$402,$A49,$I$3)&amp;""="","",IF(LEFT(INDEX(입력_인턴근무계획!$M$3:$R$402,$A49,$I$3)&amp;"",1)="⚠","",MID(INDEX(입력_인턴근무계획!$M$3:$R$402,$A49,$I$3)&amp;"",FIND(" ",INDEX(입력_인턴근무계획!$M$3:$R$402,$A49,$I$3)&amp;"")+1,60))))</f>
        <v/>
      </c>
      <c r="K49" s="26">
        <f>IF($C49="","",INDEX(입력_인턴근무계획!$M$3:$M$402,$A49)&amp;"")</f>
        <v/>
      </c>
      <c r="L49" s="26">
        <f>IF($C49="","",INDEX(입력_인턴근무계획!$N$3:$N$402,$A49)&amp;"")</f>
        <v/>
      </c>
      <c r="M49" s="26">
        <f>IF($C49="","",INDEX(입력_인턴근무계획!$O$3:$O$402,$A49)&amp;"")</f>
        <v/>
      </c>
      <c r="N49" s="26">
        <f>IF($C49="","",INDEX(입력_인턴근무계획!$P$3:$P$402,$A49)&amp;"")</f>
        <v/>
      </c>
      <c r="O49" s="26">
        <f>IF($C49="","",INDEX(입력_인턴근무계획!$Q$3:$Q$402,$A49)&amp;"")</f>
        <v/>
      </c>
      <c r="P49" s="26">
        <f>IF($C49="","",INDEX(입력_인턴근무계획!$R$3:$R$402,$A49)&amp;"")</f>
        <v/>
      </c>
      <c r="Q49" s="26">
        <f>IF($C49="","",INDEX(입력_인턴근무계획!$T$3:$T$402,$A49))</f>
        <v/>
      </c>
    </row>
    <row r="50">
      <c r="A50" s="29" t="n">
        <v>45</v>
      </c>
      <c r="B50" s="26">
        <f>IF($C50="","",INDEX(입력_인턴근무계획!$B$3:$B$402,$A50))</f>
        <v/>
      </c>
      <c r="C50" s="26">
        <f>IFERROR(TRIM(INDEX(입력_인턴근무계획!$C$3:$C$402,$A50)&amp;""),"")</f>
        <v/>
      </c>
      <c r="D50" s="26">
        <f>IF($C50="","",INDEX(입력_인턴근무계획!$D$3:$D$402,$A50))</f>
        <v/>
      </c>
      <c r="E50" s="26">
        <f>IF($C50="","",IF(IFERROR(MATCH($D50,입력_기본자료!$B$2:$B$1001,0),IFERROR(MATCH($D50&amp;"",입력_기본자료!$B$2:$B$1001,0),IFERROR(MATCH(VALUE($D50),입력_기본자료!$B$2:$B$1001,0),0)))&gt;0,"확인","미등록"))</f>
        <v/>
      </c>
      <c r="F50" s="28">
        <f>IF($C50="","",INDEX(입력_인턴근무계획!$S$3:$S$402,$A50))</f>
        <v/>
      </c>
      <c r="G50" s="26">
        <f>IF(OR($C50="",$G$3=""),"",IF(INDEX(입력_인턴근무계획!$M$3:$R$402,$A50,$G$3)&amp;""="","",IF(LEFT(INDEX(입력_인턴근무계획!$M$3:$R$402,$A50,$G$3)&amp;"",1)="⚠",INDEX(입력_인턴근무계획!$M$3:$R$402,$A50,$G$3)&amp;"",LEFT(INDEX(입력_인턴근무계획!$M$3:$R$402,$A50,$G$3)&amp;"",FIND(" ",INDEX(입력_인턴근무계획!$M$3:$R$402,$A50,$G$3)&amp;"")-1))))</f>
        <v/>
      </c>
      <c r="H50" s="26">
        <f>IF(OR($C50="",$G$3=""),"",IF(INDEX(입력_인턴근무계획!$M$3:$R$402,$A50,$G$3)&amp;""="","",IF(LEFT(INDEX(입력_인턴근무계획!$M$3:$R$402,$A50,$G$3)&amp;"",1)="⚠","",MID(INDEX(입력_인턴근무계획!$M$3:$R$402,$A50,$G$3)&amp;"",FIND(" ",INDEX(입력_인턴근무계획!$M$3:$R$402,$A50,$G$3)&amp;"")+1,60))))</f>
        <v/>
      </c>
      <c r="I50" s="26">
        <f>IF(OR($C50="",$I$3=""),"",IF(INDEX(입력_인턴근무계획!$M$3:$R$402,$A50,$I$3)&amp;""="","",IF(LEFT(INDEX(입력_인턴근무계획!$M$3:$R$402,$A50,$I$3)&amp;"",1)="⚠",INDEX(입력_인턴근무계획!$M$3:$R$402,$A50,$I$3)&amp;"",LEFT(INDEX(입력_인턴근무계획!$M$3:$R$402,$A50,$I$3)&amp;"",FIND(" ",INDEX(입력_인턴근무계획!$M$3:$R$402,$A50,$I$3)&amp;"")-1))))</f>
        <v/>
      </c>
      <c r="J50" s="26">
        <f>IF(OR($C50="",$I$3=""),"",IF(INDEX(입력_인턴근무계획!$M$3:$R$402,$A50,$I$3)&amp;""="","",IF(LEFT(INDEX(입력_인턴근무계획!$M$3:$R$402,$A50,$I$3)&amp;"",1)="⚠","",MID(INDEX(입력_인턴근무계획!$M$3:$R$402,$A50,$I$3)&amp;"",FIND(" ",INDEX(입력_인턴근무계획!$M$3:$R$402,$A50,$I$3)&amp;"")+1,60))))</f>
        <v/>
      </c>
      <c r="K50" s="26">
        <f>IF($C50="","",INDEX(입력_인턴근무계획!$M$3:$M$402,$A50)&amp;"")</f>
        <v/>
      </c>
      <c r="L50" s="26">
        <f>IF($C50="","",INDEX(입력_인턴근무계획!$N$3:$N$402,$A50)&amp;"")</f>
        <v/>
      </c>
      <c r="M50" s="26">
        <f>IF($C50="","",INDEX(입력_인턴근무계획!$O$3:$O$402,$A50)&amp;"")</f>
        <v/>
      </c>
      <c r="N50" s="26">
        <f>IF($C50="","",INDEX(입력_인턴근무계획!$P$3:$P$402,$A50)&amp;"")</f>
        <v/>
      </c>
      <c r="O50" s="26">
        <f>IF($C50="","",INDEX(입력_인턴근무계획!$Q$3:$Q$402,$A50)&amp;"")</f>
        <v/>
      </c>
      <c r="P50" s="26">
        <f>IF($C50="","",INDEX(입력_인턴근무계획!$R$3:$R$402,$A50)&amp;"")</f>
        <v/>
      </c>
      <c r="Q50" s="26">
        <f>IF($C50="","",INDEX(입력_인턴근무계획!$T$3:$T$402,$A50))</f>
        <v/>
      </c>
    </row>
    <row r="51">
      <c r="A51" s="29" t="n">
        <v>46</v>
      </c>
      <c r="B51" s="26">
        <f>IF($C51="","",INDEX(입력_인턴근무계획!$B$3:$B$402,$A51))</f>
        <v/>
      </c>
      <c r="C51" s="26">
        <f>IFERROR(TRIM(INDEX(입력_인턴근무계획!$C$3:$C$402,$A51)&amp;""),"")</f>
        <v/>
      </c>
      <c r="D51" s="26">
        <f>IF($C51="","",INDEX(입력_인턴근무계획!$D$3:$D$402,$A51))</f>
        <v/>
      </c>
      <c r="E51" s="26">
        <f>IF($C51="","",IF(IFERROR(MATCH($D51,입력_기본자료!$B$2:$B$1001,0),IFERROR(MATCH($D51&amp;"",입력_기본자료!$B$2:$B$1001,0),IFERROR(MATCH(VALUE($D51),입력_기본자료!$B$2:$B$1001,0),0)))&gt;0,"확인","미등록"))</f>
        <v/>
      </c>
      <c r="F51" s="28">
        <f>IF($C51="","",INDEX(입력_인턴근무계획!$S$3:$S$402,$A51))</f>
        <v/>
      </c>
      <c r="G51" s="26">
        <f>IF(OR($C51="",$G$3=""),"",IF(INDEX(입력_인턴근무계획!$M$3:$R$402,$A51,$G$3)&amp;""="","",IF(LEFT(INDEX(입력_인턴근무계획!$M$3:$R$402,$A51,$G$3)&amp;"",1)="⚠",INDEX(입력_인턴근무계획!$M$3:$R$402,$A51,$G$3)&amp;"",LEFT(INDEX(입력_인턴근무계획!$M$3:$R$402,$A51,$G$3)&amp;"",FIND(" ",INDEX(입력_인턴근무계획!$M$3:$R$402,$A51,$G$3)&amp;"")-1))))</f>
        <v/>
      </c>
      <c r="H51" s="26">
        <f>IF(OR($C51="",$G$3=""),"",IF(INDEX(입력_인턴근무계획!$M$3:$R$402,$A51,$G$3)&amp;""="","",IF(LEFT(INDEX(입력_인턴근무계획!$M$3:$R$402,$A51,$G$3)&amp;"",1)="⚠","",MID(INDEX(입력_인턴근무계획!$M$3:$R$402,$A51,$G$3)&amp;"",FIND(" ",INDEX(입력_인턴근무계획!$M$3:$R$402,$A51,$G$3)&amp;"")+1,60))))</f>
        <v/>
      </c>
      <c r="I51" s="26">
        <f>IF(OR($C51="",$I$3=""),"",IF(INDEX(입력_인턴근무계획!$M$3:$R$402,$A51,$I$3)&amp;""="","",IF(LEFT(INDEX(입력_인턴근무계획!$M$3:$R$402,$A51,$I$3)&amp;"",1)="⚠",INDEX(입력_인턴근무계획!$M$3:$R$402,$A51,$I$3)&amp;"",LEFT(INDEX(입력_인턴근무계획!$M$3:$R$402,$A51,$I$3)&amp;"",FIND(" ",INDEX(입력_인턴근무계획!$M$3:$R$402,$A51,$I$3)&amp;"")-1))))</f>
        <v/>
      </c>
      <c r="J51" s="26">
        <f>IF(OR($C51="",$I$3=""),"",IF(INDEX(입력_인턴근무계획!$M$3:$R$402,$A51,$I$3)&amp;""="","",IF(LEFT(INDEX(입력_인턴근무계획!$M$3:$R$402,$A51,$I$3)&amp;"",1)="⚠","",MID(INDEX(입력_인턴근무계획!$M$3:$R$402,$A51,$I$3)&amp;"",FIND(" ",INDEX(입력_인턴근무계획!$M$3:$R$402,$A51,$I$3)&amp;"")+1,60))))</f>
        <v/>
      </c>
      <c r="K51" s="26">
        <f>IF($C51="","",INDEX(입력_인턴근무계획!$M$3:$M$402,$A51)&amp;"")</f>
        <v/>
      </c>
      <c r="L51" s="26">
        <f>IF($C51="","",INDEX(입력_인턴근무계획!$N$3:$N$402,$A51)&amp;"")</f>
        <v/>
      </c>
      <c r="M51" s="26">
        <f>IF($C51="","",INDEX(입력_인턴근무계획!$O$3:$O$402,$A51)&amp;"")</f>
        <v/>
      </c>
      <c r="N51" s="26">
        <f>IF($C51="","",INDEX(입력_인턴근무계획!$P$3:$P$402,$A51)&amp;"")</f>
        <v/>
      </c>
      <c r="O51" s="26">
        <f>IF($C51="","",INDEX(입력_인턴근무계획!$Q$3:$Q$402,$A51)&amp;"")</f>
        <v/>
      </c>
      <c r="P51" s="26">
        <f>IF($C51="","",INDEX(입력_인턴근무계획!$R$3:$R$402,$A51)&amp;"")</f>
        <v/>
      </c>
      <c r="Q51" s="26">
        <f>IF($C51="","",INDEX(입력_인턴근무계획!$T$3:$T$402,$A51))</f>
        <v/>
      </c>
    </row>
    <row r="52">
      <c r="A52" s="29" t="n">
        <v>47</v>
      </c>
      <c r="B52" s="26">
        <f>IF($C52="","",INDEX(입력_인턴근무계획!$B$3:$B$402,$A52))</f>
        <v/>
      </c>
      <c r="C52" s="26">
        <f>IFERROR(TRIM(INDEX(입력_인턴근무계획!$C$3:$C$402,$A52)&amp;""),"")</f>
        <v/>
      </c>
      <c r="D52" s="26">
        <f>IF($C52="","",INDEX(입력_인턴근무계획!$D$3:$D$402,$A52))</f>
        <v/>
      </c>
      <c r="E52" s="26">
        <f>IF($C52="","",IF(IFERROR(MATCH($D52,입력_기본자료!$B$2:$B$1001,0),IFERROR(MATCH($D52&amp;"",입력_기본자료!$B$2:$B$1001,0),IFERROR(MATCH(VALUE($D52),입력_기본자료!$B$2:$B$1001,0),0)))&gt;0,"확인","미등록"))</f>
        <v/>
      </c>
      <c r="F52" s="28">
        <f>IF($C52="","",INDEX(입력_인턴근무계획!$S$3:$S$402,$A52))</f>
        <v/>
      </c>
      <c r="G52" s="26">
        <f>IF(OR($C52="",$G$3=""),"",IF(INDEX(입력_인턴근무계획!$M$3:$R$402,$A52,$G$3)&amp;""="","",IF(LEFT(INDEX(입력_인턴근무계획!$M$3:$R$402,$A52,$G$3)&amp;"",1)="⚠",INDEX(입력_인턴근무계획!$M$3:$R$402,$A52,$G$3)&amp;"",LEFT(INDEX(입력_인턴근무계획!$M$3:$R$402,$A52,$G$3)&amp;"",FIND(" ",INDEX(입력_인턴근무계획!$M$3:$R$402,$A52,$G$3)&amp;"")-1))))</f>
        <v/>
      </c>
      <c r="H52" s="26">
        <f>IF(OR($C52="",$G$3=""),"",IF(INDEX(입력_인턴근무계획!$M$3:$R$402,$A52,$G$3)&amp;""="","",IF(LEFT(INDEX(입력_인턴근무계획!$M$3:$R$402,$A52,$G$3)&amp;"",1)="⚠","",MID(INDEX(입력_인턴근무계획!$M$3:$R$402,$A52,$G$3)&amp;"",FIND(" ",INDEX(입력_인턴근무계획!$M$3:$R$402,$A52,$G$3)&amp;"")+1,60))))</f>
        <v/>
      </c>
      <c r="I52" s="26">
        <f>IF(OR($C52="",$I$3=""),"",IF(INDEX(입력_인턴근무계획!$M$3:$R$402,$A52,$I$3)&amp;""="","",IF(LEFT(INDEX(입력_인턴근무계획!$M$3:$R$402,$A52,$I$3)&amp;"",1)="⚠",INDEX(입력_인턴근무계획!$M$3:$R$402,$A52,$I$3)&amp;"",LEFT(INDEX(입력_인턴근무계획!$M$3:$R$402,$A52,$I$3)&amp;"",FIND(" ",INDEX(입력_인턴근무계획!$M$3:$R$402,$A52,$I$3)&amp;"")-1))))</f>
        <v/>
      </c>
      <c r="J52" s="26">
        <f>IF(OR($C52="",$I$3=""),"",IF(INDEX(입력_인턴근무계획!$M$3:$R$402,$A52,$I$3)&amp;""="","",IF(LEFT(INDEX(입력_인턴근무계획!$M$3:$R$402,$A52,$I$3)&amp;"",1)="⚠","",MID(INDEX(입력_인턴근무계획!$M$3:$R$402,$A52,$I$3)&amp;"",FIND(" ",INDEX(입력_인턴근무계획!$M$3:$R$402,$A52,$I$3)&amp;"")+1,60))))</f>
        <v/>
      </c>
      <c r="K52" s="26">
        <f>IF($C52="","",INDEX(입력_인턴근무계획!$M$3:$M$402,$A52)&amp;"")</f>
        <v/>
      </c>
      <c r="L52" s="26">
        <f>IF($C52="","",INDEX(입력_인턴근무계획!$N$3:$N$402,$A52)&amp;"")</f>
        <v/>
      </c>
      <c r="M52" s="26">
        <f>IF($C52="","",INDEX(입력_인턴근무계획!$O$3:$O$402,$A52)&amp;"")</f>
        <v/>
      </c>
      <c r="N52" s="26">
        <f>IF($C52="","",INDEX(입력_인턴근무계획!$P$3:$P$402,$A52)&amp;"")</f>
        <v/>
      </c>
      <c r="O52" s="26">
        <f>IF($C52="","",INDEX(입력_인턴근무계획!$Q$3:$Q$402,$A52)&amp;"")</f>
        <v/>
      </c>
      <c r="P52" s="26">
        <f>IF($C52="","",INDEX(입력_인턴근무계획!$R$3:$R$402,$A52)&amp;"")</f>
        <v/>
      </c>
      <c r="Q52" s="26">
        <f>IF($C52="","",INDEX(입력_인턴근무계획!$T$3:$T$402,$A52))</f>
        <v/>
      </c>
    </row>
    <row r="53">
      <c r="A53" s="29" t="n">
        <v>48</v>
      </c>
      <c r="B53" s="26">
        <f>IF($C53="","",INDEX(입력_인턴근무계획!$B$3:$B$402,$A53))</f>
        <v/>
      </c>
      <c r="C53" s="26">
        <f>IFERROR(TRIM(INDEX(입력_인턴근무계획!$C$3:$C$402,$A53)&amp;""),"")</f>
        <v/>
      </c>
      <c r="D53" s="26">
        <f>IF($C53="","",INDEX(입력_인턴근무계획!$D$3:$D$402,$A53))</f>
        <v/>
      </c>
      <c r="E53" s="26">
        <f>IF($C53="","",IF(IFERROR(MATCH($D53,입력_기본자료!$B$2:$B$1001,0),IFERROR(MATCH($D53&amp;"",입력_기본자료!$B$2:$B$1001,0),IFERROR(MATCH(VALUE($D53),입력_기본자료!$B$2:$B$1001,0),0)))&gt;0,"확인","미등록"))</f>
        <v/>
      </c>
      <c r="F53" s="28">
        <f>IF($C53="","",INDEX(입력_인턴근무계획!$S$3:$S$402,$A53))</f>
        <v/>
      </c>
      <c r="G53" s="26">
        <f>IF(OR($C53="",$G$3=""),"",IF(INDEX(입력_인턴근무계획!$M$3:$R$402,$A53,$G$3)&amp;""="","",IF(LEFT(INDEX(입력_인턴근무계획!$M$3:$R$402,$A53,$G$3)&amp;"",1)="⚠",INDEX(입력_인턴근무계획!$M$3:$R$402,$A53,$G$3)&amp;"",LEFT(INDEX(입력_인턴근무계획!$M$3:$R$402,$A53,$G$3)&amp;"",FIND(" ",INDEX(입력_인턴근무계획!$M$3:$R$402,$A53,$G$3)&amp;"")-1))))</f>
        <v/>
      </c>
      <c r="H53" s="26">
        <f>IF(OR($C53="",$G$3=""),"",IF(INDEX(입력_인턴근무계획!$M$3:$R$402,$A53,$G$3)&amp;""="","",IF(LEFT(INDEX(입력_인턴근무계획!$M$3:$R$402,$A53,$G$3)&amp;"",1)="⚠","",MID(INDEX(입력_인턴근무계획!$M$3:$R$402,$A53,$G$3)&amp;"",FIND(" ",INDEX(입력_인턴근무계획!$M$3:$R$402,$A53,$G$3)&amp;"")+1,60))))</f>
        <v/>
      </c>
      <c r="I53" s="26">
        <f>IF(OR($C53="",$I$3=""),"",IF(INDEX(입력_인턴근무계획!$M$3:$R$402,$A53,$I$3)&amp;""="","",IF(LEFT(INDEX(입력_인턴근무계획!$M$3:$R$402,$A53,$I$3)&amp;"",1)="⚠",INDEX(입력_인턴근무계획!$M$3:$R$402,$A53,$I$3)&amp;"",LEFT(INDEX(입력_인턴근무계획!$M$3:$R$402,$A53,$I$3)&amp;"",FIND(" ",INDEX(입력_인턴근무계획!$M$3:$R$402,$A53,$I$3)&amp;"")-1))))</f>
        <v/>
      </c>
      <c r="J53" s="26">
        <f>IF(OR($C53="",$I$3=""),"",IF(INDEX(입력_인턴근무계획!$M$3:$R$402,$A53,$I$3)&amp;""="","",IF(LEFT(INDEX(입력_인턴근무계획!$M$3:$R$402,$A53,$I$3)&amp;"",1)="⚠","",MID(INDEX(입력_인턴근무계획!$M$3:$R$402,$A53,$I$3)&amp;"",FIND(" ",INDEX(입력_인턴근무계획!$M$3:$R$402,$A53,$I$3)&amp;"")+1,60))))</f>
        <v/>
      </c>
      <c r="K53" s="26">
        <f>IF($C53="","",INDEX(입력_인턴근무계획!$M$3:$M$402,$A53)&amp;"")</f>
        <v/>
      </c>
      <c r="L53" s="26">
        <f>IF($C53="","",INDEX(입력_인턴근무계획!$N$3:$N$402,$A53)&amp;"")</f>
        <v/>
      </c>
      <c r="M53" s="26">
        <f>IF($C53="","",INDEX(입력_인턴근무계획!$O$3:$O$402,$A53)&amp;"")</f>
        <v/>
      </c>
      <c r="N53" s="26">
        <f>IF($C53="","",INDEX(입력_인턴근무계획!$P$3:$P$402,$A53)&amp;"")</f>
        <v/>
      </c>
      <c r="O53" s="26">
        <f>IF($C53="","",INDEX(입력_인턴근무계획!$Q$3:$Q$402,$A53)&amp;"")</f>
        <v/>
      </c>
      <c r="P53" s="26">
        <f>IF($C53="","",INDEX(입력_인턴근무계획!$R$3:$R$402,$A53)&amp;"")</f>
        <v/>
      </c>
      <c r="Q53" s="26">
        <f>IF($C53="","",INDEX(입력_인턴근무계획!$T$3:$T$402,$A53))</f>
        <v/>
      </c>
    </row>
    <row r="54">
      <c r="A54" s="29" t="n">
        <v>49</v>
      </c>
      <c r="B54" s="26">
        <f>IF($C54="","",INDEX(입력_인턴근무계획!$B$3:$B$402,$A54))</f>
        <v/>
      </c>
      <c r="C54" s="26">
        <f>IFERROR(TRIM(INDEX(입력_인턴근무계획!$C$3:$C$402,$A54)&amp;""),"")</f>
        <v/>
      </c>
      <c r="D54" s="26">
        <f>IF($C54="","",INDEX(입력_인턴근무계획!$D$3:$D$402,$A54))</f>
        <v/>
      </c>
      <c r="E54" s="26">
        <f>IF($C54="","",IF(IFERROR(MATCH($D54,입력_기본자료!$B$2:$B$1001,0),IFERROR(MATCH($D54&amp;"",입력_기본자료!$B$2:$B$1001,0),IFERROR(MATCH(VALUE($D54),입력_기본자료!$B$2:$B$1001,0),0)))&gt;0,"확인","미등록"))</f>
        <v/>
      </c>
      <c r="F54" s="28">
        <f>IF($C54="","",INDEX(입력_인턴근무계획!$S$3:$S$402,$A54))</f>
        <v/>
      </c>
      <c r="G54" s="26">
        <f>IF(OR($C54="",$G$3=""),"",IF(INDEX(입력_인턴근무계획!$M$3:$R$402,$A54,$G$3)&amp;""="","",IF(LEFT(INDEX(입력_인턴근무계획!$M$3:$R$402,$A54,$G$3)&amp;"",1)="⚠",INDEX(입력_인턴근무계획!$M$3:$R$402,$A54,$G$3)&amp;"",LEFT(INDEX(입력_인턴근무계획!$M$3:$R$402,$A54,$G$3)&amp;"",FIND(" ",INDEX(입력_인턴근무계획!$M$3:$R$402,$A54,$G$3)&amp;"")-1))))</f>
        <v/>
      </c>
      <c r="H54" s="26">
        <f>IF(OR($C54="",$G$3=""),"",IF(INDEX(입력_인턴근무계획!$M$3:$R$402,$A54,$G$3)&amp;""="","",IF(LEFT(INDEX(입력_인턴근무계획!$M$3:$R$402,$A54,$G$3)&amp;"",1)="⚠","",MID(INDEX(입력_인턴근무계획!$M$3:$R$402,$A54,$G$3)&amp;"",FIND(" ",INDEX(입력_인턴근무계획!$M$3:$R$402,$A54,$G$3)&amp;"")+1,60))))</f>
        <v/>
      </c>
      <c r="I54" s="26">
        <f>IF(OR($C54="",$I$3=""),"",IF(INDEX(입력_인턴근무계획!$M$3:$R$402,$A54,$I$3)&amp;""="","",IF(LEFT(INDEX(입력_인턴근무계획!$M$3:$R$402,$A54,$I$3)&amp;"",1)="⚠",INDEX(입력_인턴근무계획!$M$3:$R$402,$A54,$I$3)&amp;"",LEFT(INDEX(입력_인턴근무계획!$M$3:$R$402,$A54,$I$3)&amp;"",FIND(" ",INDEX(입력_인턴근무계획!$M$3:$R$402,$A54,$I$3)&amp;"")-1))))</f>
        <v/>
      </c>
      <c r="J54" s="26">
        <f>IF(OR($C54="",$I$3=""),"",IF(INDEX(입력_인턴근무계획!$M$3:$R$402,$A54,$I$3)&amp;""="","",IF(LEFT(INDEX(입력_인턴근무계획!$M$3:$R$402,$A54,$I$3)&amp;"",1)="⚠","",MID(INDEX(입력_인턴근무계획!$M$3:$R$402,$A54,$I$3)&amp;"",FIND(" ",INDEX(입력_인턴근무계획!$M$3:$R$402,$A54,$I$3)&amp;"")+1,60))))</f>
        <v/>
      </c>
      <c r="K54" s="26">
        <f>IF($C54="","",INDEX(입력_인턴근무계획!$M$3:$M$402,$A54)&amp;"")</f>
        <v/>
      </c>
      <c r="L54" s="26">
        <f>IF($C54="","",INDEX(입력_인턴근무계획!$N$3:$N$402,$A54)&amp;"")</f>
        <v/>
      </c>
      <c r="M54" s="26">
        <f>IF($C54="","",INDEX(입력_인턴근무계획!$O$3:$O$402,$A54)&amp;"")</f>
        <v/>
      </c>
      <c r="N54" s="26">
        <f>IF($C54="","",INDEX(입력_인턴근무계획!$P$3:$P$402,$A54)&amp;"")</f>
        <v/>
      </c>
      <c r="O54" s="26">
        <f>IF($C54="","",INDEX(입력_인턴근무계획!$Q$3:$Q$402,$A54)&amp;"")</f>
        <v/>
      </c>
      <c r="P54" s="26">
        <f>IF($C54="","",INDEX(입력_인턴근무계획!$R$3:$R$402,$A54)&amp;"")</f>
        <v/>
      </c>
      <c r="Q54" s="26">
        <f>IF($C54="","",INDEX(입력_인턴근무계획!$T$3:$T$402,$A54))</f>
        <v/>
      </c>
    </row>
    <row r="55">
      <c r="A55" s="29" t="n">
        <v>50</v>
      </c>
      <c r="B55" s="26">
        <f>IF($C55="","",INDEX(입력_인턴근무계획!$B$3:$B$402,$A55))</f>
        <v/>
      </c>
      <c r="C55" s="26">
        <f>IFERROR(TRIM(INDEX(입력_인턴근무계획!$C$3:$C$402,$A55)&amp;""),"")</f>
        <v/>
      </c>
      <c r="D55" s="26">
        <f>IF($C55="","",INDEX(입력_인턴근무계획!$D$3:$D$402,$A55))</f>
        <v/>
      </c>
      <c r="E55" s="26">
        <f>IF($C55="","",IF(IFERROR(MATCH($D55,입력_기본자료!$B$2:$B$1001,0),IFERROR(MATCH($D55&amp;"",입력_기본자료!$B$2:$B$1001,0),IFERROR(MATCH(VALUE($D55),입력_기본자료!$B$2:$B$1001,0),0)))&gt;0,"확인","미등록"))</f>
        <v/>
      </c>
      <c r="F55" s="28">
        <f>IF($C55="","",INDEX(입력_인턴근무계획!$S$3:$S$402,$A55))</f>
        <v/>
      </c>
      <c r="G55" s="26">
        <f>IF(OR($C55="",$G$3=""),"",IF(INDEX(입력_인턴근무계획!$M$3:$R$402,$A55,$G$3)&amp;""="","",IF(LEFT(INDEX(입력_인턴근무계획!$M$3:$R$402,$A55,$G$3)&amp;"",1)="⚠",INDEX(입력_인턴근무계획!$M$3:$R$402,$A55,$G$3)&amp;"",LEFT(INDEX(입력_인턴근무계획!$M$3:$R$402,$A55,$G$3)&amp;"",FIND(" ",INDEX(입력_인턴근무계획!$M$3:$R$402,$A55,$G$3)&amp;"")-1))))</f>
        <v/>
      </c>
      <c r="H55" s="26">
        <f>IF(OR($C55="",$G$3=""),"",IF(INDEX(입력_인턴근무계획!$M$3:$R$402,$A55,$G$3)&amp;""="","",IF(LEFT(INDEX(입력_인턴근무계획!$M$3:$R$402,$A55,$G$3)&amp;"",1)="⚠","",MID(INDEX(입력_인턴근무계획!$M$3:$R$402,$A55,$G$3)&amp;"",FIND(" ",INDEX(입력_인턴근무계획!$M$3:$R$402,$A55,$G$3)&amp;"")+1,60))))</f>
        <v/>
      </c>
      <c r="I55" s="26">
        <f>IF(OR($C55="",$I$3=""),"",IF(INDEX(입력_인턴근무계획!$M$3:$R$402,$A55,$I$3)&amp;""="","",IF(LEFT(INDEX(입력_인턴근무계획!$M$3:$R$402,$A55,$I$3)&amp;"",1)="⚠",INDEX(입력_인턴근무계획!$M$3:$R$402,$A55,$I$3)&amp;"",LEFT(INDEX(입력_인턴근무계획!$M$3:$R$402,$A55,$I$3)&amp;"",FIND(" ",INDEX(입력_인턴근무계획!$M$3:$R$402,$A55,$I$3)&amp;"")-1))))</f>
        <v/>
      </c>
      <c r="J55" s="26">
        <f>IF(OR($C55="",$I$3=""),"",IF(INDEX(입력_인턴근무계획!$M$3:$R$402,$A55,$I$3)&amp;""="","",IF(LEFT(INDEX(입력_인턴근무계획!$M$3:$R$402,$A55,$I$3)&amp;"",1)="⚠","",MID(INDEX(입력_인턴근무계획!$M$3:$R$402,$A55,$I$3)&amp;"",FIND(" ",INDEX(입력_인턴근무계획!$M$3:$R$402,$A55,$I$3)&amp;"")+1,60))))</f>
        <v/>
      </c>
      <c r="K55" s="26">
        <f>IF($C55="","",INDEX(입력_인턴근무계획!$M$3:$M$402,$A55)&amp;"")</f>
        <v/>
      </c>
      <c r="L55" s="26">
        <f>IF($C55="","",INDEX(입력_인턴근무계획!$N$3:$N$402,$A55)&amp;"")</f>
        <v/>
      </c>
      <c r="M55" s="26">
        <f>IF($C55="","",INDEX(입력_인턴근무계획!$O$3:$O$402,$A55)&amp;"")</f>
        <v/>
      </c>
      <c r="N55" s="26">
        <f>IF($C55="","",INDEX(입력_인턴근무계획!$P$3:$P$402,$A55)&amp;"")</f>
        <v/>
      </c>
      <c r="O55" s="26">
        <f>IF($C55="","",INDEX(입력_인턴근무계획!$Q$3:$Q$402,$A55)&amp;"")</f>
        <v/>
      </c>
      <c r="P55" s="26">
        <f>IF($C55="","",INDEX(입력_인턴근무계획!$R$3:$R$402,$A55)&amp;"")</f>
        <v/>
      </c>
      <c r="Q55" s="26">
        <f>IF($C55="","",INDEX(입력_인턴근무계획!$T$3:$T$402,$A55))</f>
        <v/>
      </c>
    </row>
    <row r="56">
      <c r="A56" s="29" t="n">
        <v>51</v>
      </c>
      <c r="B56" s="26">
        <f>IF($C56="","",INDEX(입력_인턴근무계획!$B$3:$B$402,$A56))</f>
        <v/>
      </c>
      <c r="C56" s="26">
        <f>IFERROR(TRIM(INDEX(입력_인턴근무계획!$C$3:$C$402,$A56)&amp;""),"")</f>
        <v/>
      </c>
      <c r="D56" s="26">
        <f>IF($C56="","",INDEX(입력_인턴근무계획!$D$3:$D$402,$A56))</f>
        <v/>
      </c>
      <c r="E56" s="26">
        <f>IF($C56="","",IF(IFERROR(MATCH($D56,입력_기본자료!$B$2:$B$1001,0),IFERROR(MATCH($D56&amp;"",입력_기본자료!$B$2:$B$1001,0),IFERROR(MATCH(VALUE($D56),입력_기본자료!$B$2:$B$1001,0),0)))&gt;0,"확인","미등록"))</f>
        <v/>
      </c>
      <c r="F56" s="28">
        <f>IF($C56="","",INDEX(입력_인턴근무계획!$S$3:$S$402,$A56))</f>
        <v/>
      </c>
      <c r="G56" s="26">
        <f>IF(OR($C56="",$G$3=""),"",IF(INDEX(입력_인턴근무계획!$M$3:$R$402,$A56,$G$3)&amp;""="","",IF(LEFT(INDEX(입력_인턴근무계획!$M$3:$R$402,$A56,$G$3)&amp;"",1)="⚠",INDEX(입력_인턴근무계획!$M$3:$R$402,$A56,$G$3)&amp;"",LEFT(INDEX(입력_인턴근무계획!$M$3:$R$402,$A56,$G$3)&amp;"",FIND(" ",INDEX(입력_인턴근무계획!$M$3:$R$402,$A56,$G$3)&amp;"")-1))))</f>
        <v/>
      </c>
      <c r="H56" s="26">
        <f>IF(OR($C56="",$G$3=""),"",IF(INDEX(입력_인턴근무계획!$M$3:$R$402,$A56,$G$3)&amp;""="","",IF(LEFT(INDEX(입력_인턴근무계획!$M$3:$R$402,$A56,$G$3)&amp;"",1)="⚠","",MID(INDEX(입력_인턴근무계획!$M$3:$R$402,$A56,$G$3)&amp;"",FIND(" ",INDEX(입력_인턴근무계획!$M$3:$R$402,$A56,$G$3)&amp;"")+1,60))))</f>
        <v/>
      </c>
      <c r="I56" s="26">
        <f>IF(OR($C56="",$I$3=""),"",IF(INDEX(입력_인턴근무계획!$M$3:$R$402,$A56,$I$3)&amp;""="","",IF(LEFT(INDEX(입력_인턴근무계획!$M$3:$R$402,$A56,$I$3)&amp;"",1)="⚠",INDEX(입력_인턴근무계획!$M$3:$R$402,$A56,$I$3)&amp;"",LEFT(INDEX(입력_인턴근무계획!$M$3:$R$402,$A56,$I$3)&amp;"",FIND(" ",INDEX(입력_인턴근무계획!$M$3:$R$402,$A56,$I$3)&amp;"")-1))))</f>
        <v/>
      </c>
      <c r="J56" s="26">
        <f>IF(OR($C56="",$I$3=""),"",IF(INDEX(입력_인턴근무계획!$M$3:$R$402,$A56,$I$3)&amp;""="","",IF(LEFT(INDEX(입력_인턴근무계획!$M$3:$R$402,$A56,$I$3)&amp;"",1)="⚠","",MID(INDEX(입력_인턴근무계획!$M$3:$R$402,$A56,$I$3)&amp;"",FIND(" ",INDEX(입력_인턴근무계획!$M$3:$R$402,$A56,$I$3)&amp;"")+1,60))))</f>
        <v/>
      </c>
      <c r="K56" s="26">
        <f>IF($C56="","",INDEX(입력_인턴근무계획!$M$3:$M$402,$A56)&amp;"")</f>
        <v/>
      </c>
      <c r="L56" s="26">
        <f>IF($C56="","",INDEX(입력_인턴근무계획!$N$3:$N$402,$A56)&amp;"")</f>
        <v/>
      </c>
      <c r="M56" s="26">
        <f>IF($C56="","",INDEX(입력_인턴근무계획!$O$3:$O$402,$A56)&amp;"")</f>
        <v/>
      </c>
      <c r="N56" s="26">
        <f>IF($C56="","",INDEX(입력_인턴근무계획!$P$3:$P$402,$A56)&amp;"")</f>
        <v/>
      </c>
      <c r="O56" s="26">
        <f>IF($C56="","",INDEX(입력_인턴근무계획!$Q$3:$Q$402,$A56)&amp;"")</f>
        <v/>
      </c>
      <c r="P56" s="26">
        <f>IF($C56="","",INDEX(입력_인턴근무계획!$R$3:$R$402,$A56)&amp;"")</f>
        <v/>
      </c>
      <c r="Q56" s="26">
        <f>IF($C56="","",INDEX(입력_인턴근무계획!$T$3:$T$402,$A56))</f>
        <v/>
      </c>
    </row>
    <row r="57">
      <c r="A57" s="29" t="n">
        <v>52</v>
      </c>
      <c r="B57" s="26">
        <f>IF($C57="","",INDEX(입력_인턴근무계획!$B$3:$B$402,$A57))</f>
        <v/>
      </c>
      <c r="C57" s="26">
        <f>IFERROR(TRIM(INDEX(입력_인턴근무계획!$C$3:$C$402,$A57)&amp;""),"")</f>
        <v/>
      </c>
      <c r="D57" s="26">
        <f>IF($C57="","",INDEX(입력_인턴근무계획!$D$3:$D$402,$A57))</f>
        <v/>
      </c>
      <c r="E57" s="26">
        <f>IF($C57="","",IF(IFERROR(MATCH($D57,입력_기본자료!$B$2:$B$1001,0),IFERROR(MATCH($D57&amp;"",입력_기본자료!$B$2:$B$1001,0),IFERROR(MATCH(VALUE($D57),입력_기본자료!$B$2:$B$1001,0),0)))&gt;0,"확인","미등록"))</f>
        <v/>
      </c>
      <c r="F57" s="28">
        <f>IF($C57="","",INDEX(입력_인턴근무계획!$S$3:$S$402,$A57))</f>
        <v/>
      </c>
      <c r="G57" s="26">
        <f>IF(OR($C57="",$G$3=""),"",IF(INDEX(입력_인턴근무계획!$M$3:$R$402,$A57,$G$3)&amp;""="","",IF(LEFT(INDEX(입력_인턴근무계획!$M$3:$R$402,$A57,$G$3)&amp;"",1)="⚠",INDEX(입력_인턴근무계획!$M$3:$R$402,$A57,$G$3)&amp;"",LEFT(INDEX(입력_인턴근무계획!$M$3:$R$402,$A57,$G$3)&amp;"",FIND(" ",INDEX(입력_인턴근무계획!$M$3:$R$402,$A57,$G$3)&amp;"")-1))))</f>
        <v/>
      </c>
      <c r="H57" s="26">
        <f>IF(OR($C57="",$G$3=""),"",IF(INDEX(입력_인턴근무계획!$M$3:$R$402,$A57,$G$3)&amp;""="","",IF(LEFT(INDEX(입력_인턴근무계획!$M$3:$R$402,$A57,$G$3)&amp;"",1)="⚠","",MID(INDEX(입력_인턴근무계획!$M$3:$R$402,$A57,$G$3)&amp;"",FIND(" ",INDEX(입력_인턴근무계획!$M$3:$R$402,$A57,$G$3)&amp;"")+1,60))))</f>
        <v/>
      </c>
      <c r="I57" s="26">
        <f>IF(OR($C57="",$I$3=""),"",IF(INDEX(입력_인턴근무계획!$M$3:$R$402,$A57,$I$3)&amp;""="","",IF(LEFT(INDEX(입력_인턴근무계획!$M$3:$R$402,$A57,$I$3)&amp;"",1)="⚠",INDEX(입력_인턴근무계획!$M$3:$R$402,$A57,$I$3)&amp;"",LEFT(INDEX(입력_인턴근무계획!$M$3:$R$402,$A57,$I$3)&amp;"",FIND(" ",INDEX(입력_인턴근무계획!$M$3:$R$402,$A57,$I$3)&amp;"")-1))))</f>
        <v/>
      </c>
      <c r="J57" s="26">
        <f>IF(OR($C57="",$I$3=""),"",IF(INDEX(입력_인턴근무계획!$M$3:$R$402,$A57,$I$3)&amp;""="","",IF(LEFT(INDEX(입력_인턴근무계획!$M$3:$R$402,$A57,$I$3)&amp;"",1)="⚠","",MID(INDEX(입력_인턴근무계획!$M$3:$R$402,$A57,$I$3)&amp;"",FIND(" ",INDEX(입력_인턴근무계획!$M$3:$R$402,$A57,$I$3)&amp;"")+1,60))))</f>
        <v/>
      </c>
      <c r="K57" s="26">
        <f>IF($C57="","",INDEX(입력_인턴근무계획!$M$3:$M$402,$A57)&amp;"")</f>
        <v/>
      </c>
      <c r="L57" s="26">
        <f>IF($C57="","",INDEX(입력_인턴근무계획!$N$3:$N$402,$A57)&amp;"")</f>
        <v/>
      </c>
      <c r="M57" s="26">
        <f>IF($C57="","",INDEX(입력_인턴근무계획!$O$3:$O$402,$A57)&amp;"")</f>
        <v/>
      </c>
      <c r="N57" s="26">
        <f>IF($C57="","",INDEX(입력_인턴근무계획!$P$3:$P$402,$A57)&amp;"")</f>
        <v/>
      </c>
      <c r="O57" s="26">
        <f>IF($C57="","",INDEX(입력_인턴근무계획!$Q$3:$Q$402,$A57)&amp;"")</f>
        <v/>
      </c>
      <c r="P57" s="26">
        <f>IF($C57="","",INDEX(입력_인턴근무계획!$R$3:$R$402,$A57)&amp;"")</f>
        <v/>
      </c>
      <c r="Q57" s="26">
        <f>IF($C57="","",INDEX(입력_인턴근무계획!$T$3:$T$402,$A57))</f>
        <v/>
      </c>
    </row>
    <row r="58">
      <c r="A58" s="29" t="n">
        <v>53</v>
      </c>
      <c r="B58" s="26">
        <f>IF($C58="","",INDEX(입력_인턴근무계획!$B$3:$B$402,$A58))</f>
        <v/>
      </c>
      <c r="C58" s="26">
        <f>IFERROR(TRIM(INDEX(입력_인턴근무계획!$C$3:$C$402,$A58)&amp;""),"")</f>
        <v/>
      </c>
      <c r="D58" s="26">
        <f>IF($C58="","",INDEX(입력_인턴근무계획!$D$3:$D$402,$A58))</f>
        <v/>
      </c>
      <c r="E58" s="26">
        <f>IF($C58="","",IF(IFERROR(MATCH($D58,입력_기본자료!$B$2:$B$1001,0),IFERROR(MATCH($D58&amp;"",입력_기본자료!$B$2:$B$1001,0),IFERROR(MATCH(VALUE($D58),입력_기본자료!$B$2:$B$1001,0),0)))&gt;0,"확인","미등록"))</f>
        <v/>
      </c>
      <c r="F58" s="28">
        <f>IF($C58="","",INDEX(입력_인턴근무계획!$S$3:$S$402,$A58))</f>
        <v/>
      </c>
      <c r="G58" s="26">
        <f>IF(OR($C58="",$G$3=""),"",IF(INDEX(입력_인턴근무계획!$M$3:$R$402,$A58,$G$3)&amp;""="","",IF(LEFT(INDEX(입력_인턴근무계획!$M$3:$R$402,$A58,$G$3)&amp;"",1)="⚠",INDEX(입력_인턴근무계획!$M$3:$R$402,$A58,$G$3)&amp;"",LEFT(INDEX(입력_인턴근무계획!$M$3:$R$402,$A58,$G$3)&amp;"",FIND(" ",INDEX(입력_인턴근무계획!$M$3:$R$402,$A58,$G$3)&amp;"")-1))))</f>
        <v/>
      </c>
      <c r="H58" s="26">
        <f>IF(OR($C58="",$G$3=""),"",IF(INDEX(입력_인턴근무계획!$M$3:$R$402,$A58,$G$3)&amp;""="","",IF(LEFT(INDEX(입력_인턴근무계획!$M$3:$R$402,$A58,$G$3)&amp;"",1)="⚠","",MID(INDEX(입력_인턴근무계획!$M$3:$R$402,$A58,$G$3)&amp;"",FIND(" ",INDEX(입력_인턴근무계획!$M$3:$R$402,$A58,$G$3)&amp;"")+1,60))))</f>
        <v/>
      </c>
      <c r="I58" s="26">
        <f>IF(OR($C58="",$I$3=""),"",IF(INDEX(입력_인턴근무계획!$M$3:$R$402,$A58,$I$3)&amp;""="","",IF(LEFT(INDEX(입력_인턴근무계획!$M$3:$R$402,$A58,$I$3)&amp;"",1)="⚠",INDEX(입력_인턴근무계획!$M$3:$R$402,$A58,$I$3)&amp;"",LEFT(INDEX(입력_인턴근무계획!$M$3:$R$402,$A58,$I$3)&amp;"",FIND(" ",INDEX(입력_인턴근무계획!$M$3:$R$402,$A58,$I$3)&amp;"")-1))))</f>
        <v/>
      </c>
      <c r="J58" s="26">
        <f>IF(OR($C58="",$I$3=""),"",IF(INDEX(입력_인턴근무계획!$M$3:$R$402,$A58,$I$3)&amp;""="","",IF(LEFT(INDEX(입력_인턴근무계획!$M$3:$R$402,$A58,$I$3)&amp;"",1)="⚠","",MID(INDEX(입력_인턴근무계획!$M$3:$R$402,$A58,$I$3)&amp;"",FIND(" ",INDEX(입력_인턴근무계획!$M$3:$R$402,$A58,$I$3)&amp;"")+1,60))))</f>
        <v/>
      </c>
      <c r="K58" s="26">
        <f>IF($C58="","",INDEX(입력_인턴근무계획!$M$3:$M$402,$A58)&amp;"")</f>
        <v/>
      </c>
      <c r="L58" s="26">
        <f>IF($C58="","",INDEX(입력_인턴근무계획!$N$3:$N$402,$A58)&amp;"")</f>
        <v/>
      </c>
      <c r="M58" s="26">
        <f>IF($C58="","",INDEX(입력_인턴근무계획!$O$3:$O$402,$A58)&amp;"")</f>
        <v/>
      </c>
      <c r="N58" s="26">
        <f>IF($C58="","",INDEX(입력_인턴근무계획!$P$3:$P$402,$A58)&amp;"")</f>
        <v/>
      </c>
      <c r="O58" s="26">
        <f>IF($C58="","",INDEX(입력_인턴근무계획!$Q$3:$Q$402,$A58)&amp;"")</f>
        <v/>
      </c>
      <c r="P58" s="26">
        <f>IF($C58="","",INDEX(입력_인턴근무계획!$R$3:$R$402,$A58)&amp;"")</f>
        <v/>
      </c>
      <c r="Q58" s="26">
        <f>IF($C58="","",INDEX(입력_인턴근무계획!$T$3:$T$402,$A58))</f>
        <v/>
      </c>
    </row>
    <row r="59">
      <c r="A59" s="29" t="n">
        <v>54</v>
      </c>
      <c r="B59" s="26">
        <f>IF($C59="","",INDEX(입력_인턴근무계획!$B$3:$B$402,$A59))</f>
        <v/>
      </c>
      <c r="C59" s="26">
        <f>IFERROR(TRIM(INDEX(입력_인턴근무계획!$C$3:$C$402,$A59)&amp;""),"")</f>
        <v/>
      </c>
      <c r="D59" s="26">
        <f>IF($C59="","",INDEX(입력_인턴근무계획!$D$3:$D$402,$A59))</f>
        <v/>
      </c>
      <c r="E59" s="26">
        <f>IF($C59="","",IF(IFERROR(MATCH($D59,입력_기본자료!$B$2:$B$1001,0),IFERROR(MATCH($D59&amp;"",입력_기본자료!$B$2:$B$1001,0),IFERROR(MATCH(VALUE($D59),입력_기본자료!$B$2:$B$1001,0),0)))&gt;0,"확인","미등록"))</f>
        <v/>
      </c>
      <c r="F59" s="28">
        <f>IF($C59="","",INDEX(입력_인턴근무계획!$S$3:$S$402,$A59))</f>
        <v/>
      </c>
      <c r="G59" s="26">
        <f>IF(OR($C59="",$G$3=""),"",IF(INDEX(입력_인턴근무계획!$M$3:$R$402,$A59,$G$3)&amp;""="","",IF(LEFT(INDEX(입력_인턴근무계획!$M$3:$R$402,$A59,$G$3)&amp;"",1)="⚠",INDEX(입력_인턴근무계획!$M$3:$R$402,$A59,$G$3)&amp;"",LEFT(INDEX(입력_인턴근무계획!$M$3:$R$402,$A59,$G$3)&amp;"",FIND(" ",INDEX(입력_인턴근무계획!$M$3:$R$402,$A59,$G$3)&amp;"")-1))))</f>
        <v/>
      </c>
      <c r="H59" s="26">
        <f>IF(OR($C59="",$G$3=""),"",IF(INDEX(입력_인턴근무계획!$M$3:$R$402,$A59,$G$3)&amp;""="","",IF(LEFT(INDEX(입력_인턴근무계획!$M$3:$R$402,$A59,$G$3)&amp;"",1)="⚠","",MID(INDEX(입력_인턴근무계획!$M$3:$R$402,$A59,$G$3)&amp;"",FIND(" ",INDEX(입력_인턴근무계획!$M$3:$R$402,$A59,$G$3)&amp;"")+1,60))))</f>
        <v/>
      </c>
      <c r="I59" s="26">
        <f>IF(OR($C59="",$I$3=""),"",IF(INDEX(입력_인턴근무계획!$M$3:$R$402,$A59,$I$3)&amp;""="","",IF(LEFT(INDEX(입력_인턴근무계획!$M$3:$R$402,$A59,$I$3)&amp;"",1)="⚠",INDEX(입력_인턴근무계획!$M$3:$R$402,$A59,$I$3)&amp;"",LEFT(INDEX(입력_인턴근무계획!$M$3:$R$402,$A59,$I$3)&amp;"",FIND(" ",INDEX(입력_인턴근무계획!$M$3:$R$402,$A59,$I$3)&amp;"")-1))))</f>
        <v/>
      </c>
      <c r="J59" s="26">
        <f>IF(OR($C59="",$I$3=""),"",IF(INDEX(입력_인턴근무계획!$M$3:$R$402,$A59,$I$3)&amp;""="","",IF(LEFT(INDEX(입력_인턴근무계획!$M$3:$R$402,$A59,$I$3)&amp;"",1)="⚠","",MID(INDEX(입력_인턴근무계획!$M$3:$R$402,$A59,$I$3)&amp;"",FIND(" ",INDEX(입력_인턴근무계획!$M$3:$R$402,$A59,$I$3)&amp;"")+1,60))))</f>
        <v/>
      </c>
      <c r="K59" s="26">
        <f>IF($C59="","",INDEX(입력_인턴근무계획!$M$3:$M$402,$A59)&amp;"")</f>
        <v/>
      </c>
      <c r="L59" s="26">
        <f>IF($C59="","",INDEX(입력_인턴근무계획!$N$3:$N$402,$A59)&amp;"")</f>
        <v/>
      </c>
      <c r="M59" s="26">
        <f>IF($C59="","",INDEX(입력_인턴근무계획!$O$3:$O$402,$A59)&amp;"")</f>
        <v/>
      </c>
      <c r="N59" s="26">
        <f>IF($C59="","",INDEX(입력_인턴근무계획!$P$3:$P$402,$A59)&amp;"")</f>
        <v/>
      </c>
      <c r="O59" s="26">
        <f>IF($C59="","",INDEX(입력_인턴근무계획!$Q$3:$Q$402,$A59)&amp;"")</f>
        <v/>
      </c>
      <c r="P59" s="26">
        <f>IF($C59="","",INDEX(입력_인턴근무계획!$R$3:$R$402,$A59)&amp;"")</f>
        <v/>
      </c>
      <c r="Q59" s="26">
        <f>IF($C59="","",INDEX(입력_인턴근무계획!$T$3:$T$402,$A59))</f>
        <v/>
      </c>
    </row>
    <row r="60">
      <c r="A60" s="29" t="n">
        <v>55</v>
      </c>
      <c r="B60" s="26">
        <f>IF($C60="","",INDEX(입력_인턴근무계획!$B$3:$B$402,$A60))</f>
        <v/>
      </c>
      <c r="C60" s="26">
        <f>IFERROR(TRIM(INDEX(입력_인턴근무계획!$C$3:$C$402,$A60)&amp;""),"")</f>
        <v/>
      </c>
      <c r="D60" s="26">
        <f>IF($C60="","",INDEX(입력_인턴근무계획!$D$3:$D$402,$A60))</f>
        <v/>
      </c>
      <c r="E60" s="26">
        <f>IF($C60="","",IF(IFERROR(MATCH($D60,입력_기본자료!$B$2:$B$1001,0),IFERROR(MATCH($D60&amp;"",입력_기본자료!$B$2:$B$1001,0),IFERROR(MATCH(VALUE($D60),입력_기본자료!$B$2:$B$1001,0),0)))&gt;0,"확인","미등록"))</f>
        <v/>
      </c>
      <c r="F60" s="28">
        <f>IF($C60="","",INDEX(입력_인턴근무계획!$S$3:$S$402,$A60))</f>
        <v/>
      </c>
      <c r="G60" s="26">
        <f>IF(OR($C60="",$G$3=""),"",IF(INDEX(입력_인턴근무계획!$M$3:$R$402,$A60,$G$3)&amp;""="","",IF(LEFT(INDEX(입력_인턴근무계획!$M$3:$R$402,$A60,$G$3)&amp;"",1)="⚠",INDEX(입력_인턴근무계획!$M$3:$R$402,$A60,$G$3)&amp;"",LEFT(INDEX(입력_인턴근무계획!$M$3:$R$402,$A60,$G$3)&amp;"",FIND(" ",INDEX(입력_인턴근무계획!$M$3:$R$402,$A60,$G$3)&amp;"")-1))))</f>
        <v/>
      </c>
      <c r="H60" s="26">
        <f>IF(OR($C60="",$G$3=""),"",IF(INDEX(입력_인턴근무계획!$M$3:$R$402,$A60,$G$3)&amp;""="","",IF(LEFT(INDEX(입력_인턴근무계획!$M$3:$R$402,$A60,$G$3)&amp;"",1)="⚠","",MID(INDEX(입력_인턴근무계획!$M$3:$R$402,$A60,$G$3)&amp;"",FIND(" ",INDEX(입력_인턴근무계획!$M$3:$R$402,$A60,$G$3)&amp;"")+1,60))))</f>
        <v/>
      </c>
      <c r="I60" s="26">
        <f>IF(OR($C60="",$I$3=""),"",IF(INDEX(입력_인턴근무계획!$M$3:$R$402,$A60,$I$3)&amp;""="","",IF(LEFT(INDEX(입력_인턴근무계획!$M$3:$R$402,$A60,$I$3)&amp;"",1)="⚠",INDEX(입력_인턴근무계획!$M$3:$R$402,$A60,$I$3)&amp;"",LEFT(INDEX(입력_인턴근무계획!$M$3:$R$402,$A60,$I$3)&amp;"",FIND(" ",INDEX(입력_인턴근무계획!$M$3:$R$402,$A60,$I$3)&amp;"")-1))))</f>
        <v/>
      </c>
      <c r="J60" s="26">
        <f>IF(OR($C60="",$I$3=""),"",IF(INDEX(입력_인턴근무계획!$M$3:$R$402,$A60,$I$3)&amp;""="","",IF(LEFT(INDEX(입력_인턴근무계획!$M$3:$R$402,$A60,$I$3)&amp;"",1)="⚠","",MID(INDEX(입력_인턴근무계획!$M$3:$R$402,$A60,$I$3)&amp;"",FIND(" ",INDEX(입력_인턴근무계획!$M$3:$R$402,$A60,$I$3)&amp;"")+1,60))))</f>
        <v/>
      </c>
      <c r="K60" s="26">
        <f>IF($C60="","",INDEX(입력_인턴근무계획!$M$3:$M$402,$A60)&amp;"")</f>
        <v/>
      </c>
      <c r="L60" s="26">
        <f>IF($C60="","",INDEX(입력_인턴근무계획!$N$3:$N$402,$A60)&amp;"")</f>
        <v/>
      </c>
      <c r="M60" s="26">
        <f>IF($C60="","",INDEX(입력_인턴근무계획!$O$3:$O$402,$A60)&amp;"")</f>
        <v/>
      </c>
      <c r="N60" s="26">
        <f>IF($C60="","",INDEX(입력_인턴근무계획!$P$3:$P$402,$A60)&amp;"")</f>
        <v/>
      </c>
      <c r="O60" s="26">
        <f>IF($C60="","",INDEX(입력_인턴근무계획!$Q$3:$Q$402,$A60)&amp;"")</f>
        <v/>
      </c>
      <c r="P60" s="26">
        <f>IF($C60="","",INDEX(입력_인턴근무계획!$R$3:$R$402,$A60)&amp;"")</f>
        <v/>
      </c>
      <c r="Q60" s="26">
        <f>IF($C60="","",INDEX(입력_인턴근무계획!$T$3:$T$402,$A60))</f>
        <v/>
      </c>
    </row>
    <row r="61">
      <c r="A61" s="29" t="n">
        <v>56</v>
      </c>
      <c r="B61" s="26">
        <f>IF($C61="","",INDEX(입력_인턴근무계획!$B$3:$B$402,$A61))</f>
        <v/>
      </c>
      <c r="C61" s="26">
        <f>IFERROR(TRIM(INDEX(입력_인턴근무계획!$C$3:$C$402,$A61)&amp;""),"")</f>
        <v/>
      </c>
      <c r="D61" s="26">
        <f>IF($C61="","",INDEX(입력_인턴근무계획!$D$3:$D$402,$A61))</f>
        <v/>
      </c>
      <c r="E61" s="26">
        <f>IF($C61="","",IF(IFERROR(MATCH($D61,입력_기본자료!$B$2:$B$1001,0),IFERROR(MATCH($D61&amp;"",입력_기본자료!$B$2:$B$1001,0),IFERROR(MATCH(VALUE($D61),입력_기본자료!$B$2:$B$1001,0),0)))&gt;0,"확인","미등록"))</f>
        <v/>
      </c>
      <c r="F61" s="28">
        <f>IF($C61="","",INDEX(입력_인턴근무계획!$S$3:$S$402,$A61))</f>
        <v/>
      </c>
      <c r="G61" s="26">
        <f>IF(OR($C61="",$G$3=""),"",IF(INDEX(입력_인턴근무계획!$M$3:$R$402,$A61,$G$3)&amp;""="","",IF(LEFT(INDEX(입력_인턴근무계획!$M$3:$R$402,$A61,$G$3)&amp;"",1)="⚠",INDEX(입력_인턴근무계획!$M$3:$R$402,$A61,$G$3)&amp;"",LEFT(INDEX(입력_인턴근무계획!$M$3:$R$402,$A61,$G$3)&amp;"",FIND(" ",INDEX(입력_인턴근무계획!$M$3:$R$402,$A61,$G$3)&amp;"")-1))))</f>
        <v/>
      </c>
      <c r="H61" s="26">
        <f>IF(OR($C61="",$G$3=""),"",IF(INDEX(입력_인턴근무계획!$M$3:$R$402,$A61,$G$3)&amp;""="","",IF(LEFT(INDEX(입력_인턴근무계획!$M$3:$R$402,$A61,$G$3)&amp;"",1)="⚠","",MID(INDEX(입력_인턴근무계획!$M$3:$R$402,$A61,$G$3)&amp;"",FIND(" ",INDEX(입력_인턴근무계획!$M$3:$R$402,$A61,$G$3)&amp;"")+1,60))))</f>
        <v/>
      </c>
      <c r="I61" s="26">
        <f>IF(OR($C61="",$I$3=""),"",IF(INDEX(입력_인턴근무계획!$M$3:$R$402,$A61,$I$3)&amp;""="","",IF(LEFT(INDEX(입력_인턴근무계획!$M$3:$R$402,$A61,$I$3)&amp;"",1)="⚠",INDEX(입력_인턴근무계획!$M$3:$R$402,$A61,$I$3)&amp;"",LEFT(INDEX(입력_인턴근무계획!$M$3:$R$402,$A61,$I$3)&amp;"",FIND(" ",INDEX(입력_인턴근무계획!$M$3:$R$402,$A61,$I$3)&amp;"")-1))))</f>
        <v/>
      </c>
      <c r="J61" s="26">
        <f>IF(OR($C61="",$I$3=""),"",IF(INDEX(입력_인턴근무계획!$M$3:$R$402,$A61,$I$3)&amp;""="","",IF(LEFT(INDEX(입력_인턴근무계획!$M$3:$R$402,$A61,$I$3)&amp;"",1)="⚠","",MID(INDEX(입력_인턴근무계획!$M$3:$R$402,$A61,$I$3)&amp;"",FIND(" ",INDEX(입력_인턴근무계획!$M$3:$R$402,$A61,$I$3)&amp;"")+1,60))))</f>
        <v/>
      </c>
      <c r="K61" s="26">
        <f>IF($C61="","",INDEX(입력_인턴근무계획!$M$3:$M$402,$A61)&amp;"")</f>
        <v/>
      </c>
      <c r="L61" s="26">
        <f>IF($C61="","",INDEX(입력_인턴근무계획!$N$3:$N$402,$A61)&amp;"")</f>
        <v/>
      </c>
      <c r="M61" s="26">
        <f>IF($C61="","",INDEX(입력_인턴근무계획!$O$3:$O$402,$A61)&amp;"")</f>
        <v/>
      </c>
      <c r="N61" s="26">
        <f>IF($C61="","",INDEX(입력_인턴근무계획!$P$3:$P$402,$A61)&amp;"")</f>
        <v/>
      </c>
      <c r="O61" s="26">
        <f>IF($C61="","",INDEX(입력_인턴근무계획!$Q$3:$Q$402,$A61)&amp;"")</f>
        <v/>
      </c>
      <c r="P61" s="26">
        <f>IF($C61="","",INDEX(입력_인턴근무계획!$R$3:$R$402,$A61)&amp;"")</f>
        <v/>
      </c>
      <c r="Q61" s="26">
        <f>IF($C61="","",INDEX(입력_인턴근무계획!$T$3:$T$402,$A61))</f>
        <v/>
      </c>
    </row>
    <row r="62">
      <c r="A62" s="29" t="n">
        <v>57</v>
      </c>
      <c r="B62" s="26">
        <f>IF($C62="","",INDEX(입력_인턴근무계획!$B$3:$B$402,$A62))</f>
        <v/>
      </c>
      <c r="C62" s="26">
        <f>IFERROR(TRIM(INDEX(입력_인턴근무계획!$C$3:$C$402,$A62)&amp;""),"")</f>
        <v/>
      </c>
      <c r="D62" s="26">
        <f>IF($C62="","",INDEX(입력_인턴근무계획!$D$3:$D$402,$A62))</f>
        <v/>
      </c>
      <c r="E62" s="26">
        <f>IF($C62="","",IF(IFERROR(MATCH($D62,입력_기본자료!$B$2:$B$1001,0),IFERROR(MATCH($D62&amp;"",입력_기본자료!$B$2:$B$1001,0),IFERROR(MATCH(VALUE($D62),입력_기본자료!$B$2:$B$1001,0),0)))&gt;0,"확인","미등록"))</f>
        <v/>
      </c>
      <c r="F62" s="28">
        <f>IF($C62="","",INDEX(입력_인턴근무계획!$S$3:$S$402,$A62))</f>
        <v/>
      </c>
      <c r="G62" s="26">
        <f>IF(OR($C62="",$G$3=""),"",IF(INDEX(입력_인턴근무계획!$M$3:$R$402,$A62,$G$3)&amp;""="","",IF(LEFT(INDEX(입력_인턴근무계획!$M$3:$R$402,$A62,$G$3)&amp;"",1)="⚠",INDEX(입력_인턴근무계획!$M$3:$R$402,$A62,$G$3)&amp;"",LEFT(INDEX(입력_인턴근무계획!$M$3:$R$402,$A62,$G$3)&amp;"",FIND(" ",INDEX(입력_인턴근무계획!$M$3:$R$402,$A62,$G$3)&amp;"")-1))))</f>
        <v/>
      </c>
      <c r="H62" s="26">
        <f>IF(OR($C62="",$G$3=""),"",IF(INDEX(입력_인턴근무계획!$M$3:$R$402,$A62,$G$3)&amp;""="","",IF(LEFT(INDEX(입력_인턴근무계획!$M$3:$R$402,$A62,$G$3)&amp;"",1)="⚠","",MID(INDEX(입력_인턴근무계획!$M$3:$R$402,$A62,$G$3)&amp;"",FIND(" ",INDEX(입력_인턴근무계획!$M$3:$R$402,$A62,$G$3)&amp;"")+1,60))))</f>
        <v/>
      </c>
      <c r="I62" s="26">
        <f>IF(OR($C62="",$I$3=""),"",IF(INDEX(입력_인턴근무계획!$M$3:$R$402,$A62,$I$3)&amp;""="","",IF(LEFT(INDEX(입력_인턴근무계획!$M$3:$R$402,$A62,$I$3)&amp;"",1)="⚠",INDEX(입력_인턴근무계획!$M$3:$R$402,$A62,$I$3)&amp;"",LEFT(INDEX(입력_인턴근무계획!$M$3:$R$402,$A62,$I$3)&amp;"",FIND(" ",INDEX(입력_인턴근무계획!$M$3:$R$402,$A62,$I$3)&amp;"")-1))))</f>
        <v/>
      </c>
      <c r="J62" s="26">
        <f>IF(OR($C62="",$I$3=""),"",IF(INDEX(입력_인턴근무계획!$M$3:$R$402,$A62,$I$3)&amp;""="","",IF(LEFT(INDEX(입력_인턴근무계획!$M$3:$R$402,$A62,$I$3)&amp;"",1)="⚠","",MID(INDEX(입력_인턴근무계획!$M$3:$R$402,$A62,$I$3)&amp;"",FIND(" ",INDEX(입력_인턴근무계획!$M$3:$R$402,$A62,$I$3)&amp;"")+1,60))))</f>
        <v/>
      </c>
      <c r="K62" s="26">
        <f>IF($C62="","",INDEX(입력_인턴근무계획!$M$3:$M$402,$A62)&amp;"")</f>
        <v/>
      </c>
      <c r="L62" s="26">
        <f>IF($C62="","",INDEX(입력_인턴근무계획!$N$3:$N$402,$A62)&amp;"")</f>
        <v/>
      </c>
      <c r="M62" s="26">
        <f>IF($C62="","",INDEX(입력_인턴근무계획!$O$3:$O$402,$A62)&amp;"")</f>
        <v/>
      </c>
      <c r="N62" s="26">
        <f>IF($C62="","",INDEX(입력_인턴근무계획!$P$3:$P$402,$A62)&amp;"")</f>
        <v/>
      </c>
      <c r="O62" s="26">
        <f>IF($C62="","",INDEX(입력_인턴근무계획!$Q$3:$Q$402,$A62)&amp;"")</f>
        <v/>
      </c>
      <c r="P62" s="26">
        <f>IF($C62="","",INDEX(입력_인턴근무계획!$R$3:$R$402,$A62)&amp;"")</f>
        <v/>
      </c>
      <c r="Q62" s="26">
        <f>IF($C62="","",INDEX(입력_인턴근무계획!$T$3:$T$402,$A62))</f>
        <v/>
      </c>
    </row>
    <row r="63">
      <c r="A63" s="29" t="n">
        <v>58</v>
      </c>
      <c r="B63" s="26">
        <f>IF($C63="","",INDEX(입력_인턴근무계획!$B$3:$B$402,$A63))</f>
        <v/>
      </c>
      <c r="C63" s="26">
        <f>IFERROR(TRIM(INDEX(입력_인턴근무계획!$C$3:$C$402,$A63)&amp;""),"")</f>
        <v/>
      </c>
      <c r="D63" s="26">
        <f>IF($C63="","",INDEX(입력_인턴근무계획!$D$3:$D$402,$A63))</f>
        <v/>
      </c>
      <c r="E63" s="26">
        <f>IF($C63="","",IF(IFERROR(MATCH($D63,입력_기본자료!$B$2:$B$1001,0),IFERROR(MATCH($D63&amp;"",입력_기본자료!$B$2:$B$1001,0),IFERROR(MATCH(VALUE($D63),입력_기본자료!$B$2:$B$1001,0),0)))&gt;0,"확인","미등록"))</f>
        <v/>
      </c>
      <c r="F63" s="28">
        <f>IF($C63="","",INDEX(입력_인턴근무계획!$S$3:$S$402,$A63))</f>
        <v/>
      </c>
      <c r="G63" s="26">
        <f>IF(OR($C63="",$G$3=""),"",IF(INDEX(입력_인턴근무계획!$M$3:$R$402,$A63,$G$3)&amp;""="","",IF(LEFT(INDEX(입력_인턴근무계획!$M$3:$R$402,$A63,$G$3)&amp;"",1)="⚠",INDEX(입력_인턴근무계획!$M$3:$R$402,$A63,$G$3)&amp;"",LEFT(INDEX(입력_인턴근무계획!$M$3:$R$402,$A63,$G$3)&amp;"",FIND(" ",INDEX(입력_인턴근무계획!$M$3:$R$402,$A63,$G$3)&amp;"")-1))))</f>
        <v/>
      </c>
      <c r="H63" s="26">
        <f>IF(OR($C63="",$G$3=""),"",IF(INDEX(입력_인턴근무계획!$M$3:$R$402,$A63,$G$3)&amp;""="","",IF(LEFT(INDEX(입력_인턴근무계획!$M$3:$R$402,$A63,$G$3)&amp;"",1)="⚠","",MID(INDEX(입력_인턴근무계획!$M$3:$R$402,$A63,$G$3)&amp;"",FIND(" ",INDEX(입력_인턴근무계획!$M$3:$R$402,$A63,$G$3)&amp;"")+1,60))))</f>
        <v/>
      </c>
      <c r="I63" s="26">
        <f>IF(OR($C63="",$I$3=""),"",IF(INDEX(입력_인턴근무계획!$M$3:$R$402,$A63,$I$3)&amp;""="","",IF(LEFT(INDEX(입력_인턴근무계획!$M$3:$R$402,$A63,$I$3)&amp;"",1)="⚠",INDEX(입력_인턴근무계획!$M$3:$R$402,$A63,$I$3)&amp;"",LEFT(INDEX(입력_인턴근무계획!$M$3:$R$402,$A63,$I$3)&amp;"",FIND(" ",INDEX(입력_인턴근무계획!$M$3:$R$402,$A63,$I$3)&amp;"")-1))))</f>
        <v/>
      </c>
      <c r="J63" s="26">
        <f>IF(OR($C63="",$I$3=""),"",IF(INDEX(입력_인턴근무계획!$M$3:$R$402,$A63,$I$3)&amp;""="","",IF(LEFT(INDEX(입력_인턴근무계획!$M$3:$R$402,$A63,$I$3)&amp;"",1)="⚠","",MID(INDEX(입력_인턴근무계획!$M$3:$R$402,$A63,$I$3)&amp;"",FIND(" ",INDEX(입력_인턴근무계획!$M$3:$R$402,$A63,$I$3)&amp;"")+1,60))))</f>
        <v/>
      </c>
      <c r="K63" s="26">
        <f>IF($C63="","",INDEX(입력_인턴근무계획!$M$3:$M$402,$A63)&amp;"")</f>
        <v/>
      </c>
      <c r="L63" s="26">
        <f>IF($C63="","",INDEX(입력_인턴근무계획!$N$3:$N$402,$A63)&amp;"")</f>
        <v/>
      </c>
      <c r="M63" s="26">
        <f>IF($C63="","",INDEX(입력_인턴근무계획!$O$3:$O$402,$A63)&amp;"")</f>
        <v/>
      </c>
      <c r="N63" s="26">
        <f>IF($C63="","",INDEX(입력_인턴근무계획!$P$3:$P$402,$A63)&amp;"")</f>
        <v/>
      </c>
      <c r="O63" s="26">
        <f>IF($C63="","",INDEX(입력_인턴근무계획!$Q$3:$Q$402,$A63)&amp;"")</f>
        <v/>
      </c>
      <c r="P63" s="26">
        <f>IF($C63="","",INDEX(입력_인턴근무계획!$R$3:$R$402,$A63)&amp;"")</f>
        <v/>
      </c>
      <c r="Q63" s="26">
        <f>IF($C63="","",INDEX(입력_인턴근무계획!$T$3:$T$402,$A63))</f>
        <v/>
      </c>
    </row>
    <row r="64">
      <c r="A64" s="29" t="n">
        <v>59</v>
      </c>
      <c r="B64" s="26">
        <f>IF($C64="","",INDEX(입력_인턴근무계획!$B$3:$B$402,$A64))</f>
        <v/>
      </c>
      <c r="C64" s="26">
        <f>IFERROR(TRIM(INDEX(입력_인턴근무계획!$C$3:$C$402,$A64)&amp;""),"")</f>
        <v/>
      </c>
      <c r="D64" s="26">
        <f>IF($C64="","",INDEX(입력_인턴근무계획!$D$3:$D$402,$A64))</f>
        <v/>
      </c>
      <c r="E64" s="26">
        <f>IF($C64="","",IF(IFERROR(MATCH($D64,입력_기본자료!$B$2:$B$1001,0),IFERROR(MATCH($D64&amp;"",입력_기본자료!$B$2:$B$1001,0),IFERROR(MATCH(VALUE($D64),입력_기본자료!$B$2:$B$1001,0),0)))&gt;0,"확인","미등록"))</f>
        <v/>
      </c>
      <c r="F64" s="28">
        <f>IF($C64="","",INDEX(입력_인턴근무계획!$S$3:$S$402,$A64))</f>
        <v/>
      </c>
      <c r="G64" s="26">
        <f>IF(OR($C64="",$G$3=""),"",IF(INDEX(입력_인턴근무계획!$M$3:$R$402,$A64,$G$3)&amp;""="","",IF(LEFT(INDEX(입력_인턴근무계획!$M$3:$R$402,$A64,$G$3)&amp;"",1)="⚠",INDEX(입력_인턴근무계획!$M$3:$R$402,$A64,$G$3)&amp;"",LEFT(INDEX(입력_인턴근무계획!$M$3:$R$402,$A64,$G$3)&amp;"",FIND(" ",INDEX(입력_인턴근무계획!$M$3:$R$402,$A64,$G$3)&amp;"")-1))))</f>
        <v/>
      </c>
      <c r="H64" s="26">
        <f>IF(OR($C64="",$G$3=""),"",IF(INDEX(입력_인턴근무계획!$M$3:$R$402,$A64,$G$3)&amp;""="","",IF(LEFT(INDEX(입력_인턴근무계획!$M$3:$R$402,$A64,$G$3)&amp;"",1)="⚠","",MID(INDEX(입력_인턴근무계획!$M$3:$R$402,$A64,$G$3)&amp;"",FIND(" ",INDEX(입력_인턴근무계획!$M$3:$R$402,$A64,$G$3)&amp;"")+1,60))))</f>
        <v/>
      </c>
      <c r="I64" s="26">
        <f>IF(OR($C64="",$I$3=""),"",IF(INDEX(입력_인턴근무계획!$M$3:$R$402,$A64,$I$3)&amp;""="","",IF(LEFT(INDEX(입력_인턴근무계획!$M$3:$R$402,$A64,$I$3)&amp;"",1)="⚠",INDEX(입력_인턴근무계획!$M$3:$R$402,$A64,$I$3)&amp;"",LEFT(INDEX(입력_인턴근무계획!$M$3:$R$402,$A64,$I$3)&amp;"",FIND(" ",INDEX(입력_인턴근무계획!$M$3:$R$402,$A64,$I$3)&amp;"")-1))))</f>
        <v/>
      </c>
      <c r="J64" s="26">
        <f>IF(OR($C64="",$I$3=""),"",IF(INDEX(입력_인턴근무계획!$M$3:$R$402,$A64,$I$3)&amp;""="","",IF(LEFT(INDEX(입력_인턴근무계획!$M$3:$R$402,$A64,$I$3)&amp;"",1)="⚠","",MID(INDEX(입력_인턴근무계획!$M$3:$R$402,$A64,$I$3)&amp;"",FIND(" ",INDEX(입력_인턴근무계획!$M$3:$R$402,$A64,$I$3)&amp;"")+1,60))))</f>
        <v/>
      </c>
      <c r="K64" s="26">
        <f>IF($C64="","",INDEX(입력_인턴근무계획!$M$3:$M$402,$A64)&amp;"")</f>
        <v/>
      </c>
      <c r="L64" s="26">
        <f>IF($C64="","",INDEX(입력_인턴근무계획!$N$3:$N$402,$A64)&amp;"")</f>
        <v/>
      </c>
      <c r="M64" s="26">
        <f>IF($C64="","",INDEX(입력_인턴근무계획!$O$3:$O$402,$A64)&amp;"")</f>
        <v/>
      </c>
      <c r="N64" s="26">
        <f>IF($C64="","",INDEX(입력_인턴근무계획!$P$3:$P$402,$A64)&amp;"")</f>
        <v/>
      </c>
      <c r="O64" s="26">
        <f>IF($C64="","",INDEX(입력_인턴근무계획!$Q$3:$Q$402,$A64)&amp;"")</f>
        <v/>
      </c>
      <c r="P64" s="26">
        <f>IF($C64="","",INDEX(입력_인턴근무계획!$R$3:$R$402,$A64)&amp;"")</f>
        <v/>
      </c>
      <c r="Q64" s="26">
        <f>IF($C64="","",INDEX(입력_인턴근무계획!$T$3:$T$402,$A64))</f>
        <v/>
      </c>
    </row>
    <row r="65">
      <c r="A65" s="29" t="n">
        <v>60</v>
      </c>
      <c r="B65" s="26">
        <f>IF($C65="","",INDEX(입력_인턴근무계획!$B$3:$B$402,$A65))</f>
        <v/>
      </c>
      <c r="C65" s="26">
        <f>IFERROR(TRIM(INDEX(입력_인턴근무계획!$C$3:$C$402,$A65)&amp;""),"")</f>
        <v/>
      </c>
      <c r="D65" s="26">
        <f>IF($C65="","",INDEX(입력_인턴근무계획!$D$3:$D$402,$A65))</f>
        <v/>
      </c>
      <c r="E65" s="26">
        <f>IF($C65="","",IF(IFERROR(MATCH($D65,입력_기본자료!$B$2:$B$1001,0),IFERROR(MATCH($D65&amp;"",입력_기본자료!$B$2:$B$1001,0),IFERROR(MATCH(VALUE($D65),입력_기본자료!$B$2:$B$1001,0),0)))&gt;0,"확인","미등록"))</f>
        <v/>
      </c>
      <c r="F65" s="28">
        <f>IF($C65="","",INDEX(입력_인턴근무계획!$S$3:$S$402,$A65))</f>
        <v/>
      </c>
      <c r="G65" s="26">
        <f>IF(OR($C65="",$G$3=""),"",IF(INDEX(입력_인턴근무계획!$M$3:$R$402,$A65,$G$3)&amp;""="","",IF(LEFT(INDEX(입력_인턴근무계획!$M$3:$R$402,$A65,$G$3)&amp;"",1)="⚠",INDEX(입력_인턴근무계획!$M$3:$R$402,$A65,$G$3)&amp;"",LEFT(INDEX(입력_인턴근무계획!$M$3:$R$402,$A65,$G$3)&amp;"",FIND(" ",INDEX(입력_인턴근무계획!$M$3:$R$402,$A65,$G$3)&amp;"")-1))))</f>
        <v/>
      </c>
      <c r="H65" s="26">
        <f>IF(OR($C65="",$G$3=""),"",IF(INDEX(입력_인턴근무계획!$M$3:$R$402,$A65,$G$3)&amp;""="","",IF(LEFT(INDEX(입력_인턴근무계획!$M$3:$R$402,$A65,$G$3)&amp;"",1)="⚠","",MID(INDEX(입력_인턴근무계획!$M$3:$R$402,$A65,$G$3)&amp;"",FIND(" ",INDEX(입력_인턴근무계획!$M$3:$R$402,$A65,$G$3)&amp;"")+1,60))))</f>
        <v/>
      </c>
      <c r="I65" s="26">
        <f>IF(OR($C65="",$I$3=""),"",IF(INDEX(입력_인턴근무계획!$M$3:$R$402,$A65,$I$3)&amp;""="","",IF(LEFT(INDEX(입력_인턴근무계획!$M$3:$R$402,$A65,$I$3)&amp;"",1)="⚠",INDEX(입력_인턴근무계획!$M$3:$R$402,$A65,$I$3)&amp;"",LEFT(INDEX(입력_인턴근무계획!$M$3:$R$402,$A65,$I$3)&amp;"",FIND(" ",INDEX(입력_인턴근무계획!$M$3:$R$402,$A65,$I$3)&amp;"")-1))))</f>
        <v/>
      </c>
      <c r="J65" s="26">
        <f>IF(OR($C65="",$I$3=""),"",IF(INDEX(입력_인턴근무계획!$M$3:$R$402,$A65,$I$3)&amp;""="","",IF(LEFT(INDEX(입력_인턴근무계획!$M$3:$R$402,$A65,$I$3)&amp;"",1)="⚠","",MID(INDEX(입력_인턴근무계획!$M$3:$R$402,$A65,$I$3)&amp;"",FIND(" ",INDEX(입력_인턴근무계획!$M$3:$R$402,$A65,$I$3)&amp;"")+1,60))))</f>
        <v/>
      </c>
      <c r="K65" s="26">
        <f>IF($C65="","",INDEX(입력_인턴근무계획!$M$3:$M$402,$A65)&amp;"")</f>
        <v/>
      </c>
      <c r="L65" s="26">
        <f>IF($C65="","",INDEX(입력_인턴근무계획!$N$3:$N$402,$A65)&amp;"")</f>
        <v/>
      </c>
      <c r="M65" s="26">
        <f>IF($C65="","",INDEX(입력_인턴근무계획!$O$3:$O$402,$A65)&amp;"")</f>
        <v/>
      </c>
      <c r="N65" s="26">
        <f>IF($C65="","",INDEX(입력_인턴근무계획!$P$3:$P$402,$A65)&amp;"")</f>
        <v/>
      </c>
      <c r="O65" s="26">
        <f>IF($C65="","",INDEX(입력_인턴근무계획!$Q$3:$Q$402,$A65)&amp;"")</f>
        <v/>
      </c>
      <c r="P65" s="26">
        <f>IF($C65="","",INDEX(입력_인턴근무계획!$R$3:$R$402,$A65)&amp;"")</f>
        <v/>
      </c>
      <c r="Q65" s="26">
        <f>IF($C65="","",INDEX(입력_인턴근무계획!$T$3:$T$402,$A65))</f>
        <v/>
      </c>
    </row>
    <row r="66">
      <c r="A66" s="29" t="n">
        <v>61</v>
      </c>
      <c r="B66" s="26">
        <f>IF($C66="","",INDEX(입력_인턴근무계획!$B$3:$B$402,$A66))</f>
        <v/>
      </c>
      <c r="C66" s="26">
        <f>IFERROR(TRIM(INDEX(입력_인턴근무계획!$C$3:$C$402,$A66)&amp;""),"")</f>
        <v/>
      </c>
      <c r="D66" s="26">
        <f>IF($C66="","",INDEX(입력_인턴근무계획!$D$3:$D$402,$A66))</f>
        <v/>
      </c>
      <c r="E66" s="26">
        <f>IF($C66="","",IF(IFERROR(MATCH($D66,입력_기본자료!$B$2:$B$1001,0),IFERROR(MATCH($D66&amp;"",입력_기본자료!$B$2:$B$1001,0),IFERROR(MATCH(VALUE($D66),입력_기본자료!$B$2:$B$1001,0),0)))&gt;0,"확인","미등록"))</f>
        <v/>
      </c>
      <c r="F66" s="28">
        <f>IF($C66="","",INDEX(입력_인턴근무계획!$S$3:$S$402,$A66))</f>
        <v/>
      </c>
      <c r="G66" s="26">
        <f>IF(OR($C66="",$G$3=""),"",IF(INDEX(입력_인턴근무계획!$M$3:$R$402,$A66,$G$3)&amp;""="","",IF(LEFT(INDEX(입력_인턴근무계획!$M$3:$R$402,$A66,$G$3)&amp;"",1)="⚠",INDEX(입력_인턴근무계획!$M$3:$R$402,$A66,$G$3)&amp;"",LEFT(INDEX(입력_인턴근무계획!$M$3:$R$402,$A66,$G$3)&amp;"",FIND(" ",INDEX(입력_인턴근무계획!$M$3:$R$402,$A66,$G$3)&amp;"")-1))))</f>
        <v/>
      </c>
      <c r="H66" s="26">
        <f>IF(OR($C66="",$G$3=""),"",IF(INDEX(입력_인턴근무계획!$M$3:$R$402,$A66,$G$3)&amp;""="","",IF(LEFT(INDEX(입력_인턴근무계획!$M$3:$R$402,$A66,$G$3)&amp;"",1)="⚠","",MID(INDEX(입력_인턴근무계획!$M$3:$R$402,$A66,$G$3)&amp;"",FIND(" ",INDEX(입력_인턴근무계획!$M$3:$R$402,$A66,$G$3)&amp;"")+1,60))))</f>
        <v/>
      </c>
      <c r="I66" s="26">
        <f>IF(OR($C66="",$I$3=""),"",IF(INDEX(입력_인턴근무계획!$M$3:$R$402,$A66,$I$3)&amp;""="","",IF(LEFT(INDEX(입력_인턴근무계획!$M$3:$R$402,$A66,$I$3)&amp;"",1)="⚠",INDEX(입력_인턴근무계획!$M$3:$R$402,$A66,$I$3)&amp;"",LEFT(INDEX(입력_인턴근무계획!$M$3:$R$402,$A66,$I$3)&amp;"",FIND(" ",INDEX(입력_인턴근무계획!$M$3:$R$402,$A66,$I$3)&amp;"")-1))))</f>
        <v/>
      </c>
      <c r="J66" s="26">
        <f>IF(OR($C66="",$I$3=""),"",IF(INDEX(입력_인턴근무계획!$M$3:$R$402,$A66,$I$3)&amp;""="","",IF(LEFT(INDEX(입력_인턴근무계획!$M$3:$R$402,$A66,$I$3)&amp;"",1)="⚠","",MID(INDEX(입력_인턴근무계획!$M$3:$R$402,$A66,$I$3)&amp;"",FIND(" ",INDEX(입력_인턴근무계획!$M$3:$R$402,$A66,$I$3)&amp;"")+1,60))))</f>
        <v/>
      </c>
      <c r="K66" s="26">
        <f>IF($C66="","",INDEX(입력_인턴근무계획!$M$3:$M$402,$A66)&amp;"")</f>
        <v/>
      </c>
      <c r="L66" s="26">
        <f>IF($C66="","",INDEX(입력_인턴근무계획!$N$3:$N$402,$A66)&amp;"")</f>
        <v/>
      </c>
      <c r="M66" s="26">
        <f>IF($C66="","",INDEX(입력_인턴근무계획!$O$3:$O$402,$A66)&amp;"")</f>
        <v/>
      </c>
      <c r="N66" s="26">
        <f>IF($C66="","",INDEX(입력_인턴근무계획!$P$3:$P$402,$A66)&amp;"")</f>
        <v/>
      </c>
      <c r="O66" s="26">
        <f>IF($C66="","",INDEX(입력_인턴근무계획!$Q$3:$Q$402,$A66)&amp;"")</f>
        <v/>
      </c>
      <c r="P66" s="26">
        <f>IF($C66="","",INDEX(입력_인턴근무계획!$R$3:$R$402,$A66)&amp;"")</f>
        <v/>
      </c>
      <c r="Q66" s="26">
        <f>IF($C66="","",INDEX(입력_인턴근무계획!$T$3:$T$402,$A66))</f>
        <v/>
      </c>
    </row>
    <row r="67">
      <c r="A67" s="29" t="n">
        <v>62</v>
      </c>
      <c r="B67" s="26">
        <f>IF($C67="","",INDEX(입력_인턴근무계획!$B$3:$B$402,$A67))</f>
        <v/>
      </c>
      <c r="C67" s="26">
        <f>IFERROR(TRIM(INDEX(입력_인턴근무계획!$C$3:$C$402,$A67)&amp;""),"")</f>
        <v/>
      </c>
      <c r="D67" s="26">
        <f>IF($C67="","",INDEX(입력_인턴근무계획!$D$3:$D$402,$A67))</f>
        <v/>
      </c>
      <c r="E67" s="26">
        <f>IF($C67="","",IF(IFERROR(MATCH($D67,입력_기본자료!$B$2:$B$1001,0),IFERROR(MATCH($D67&amp;"",입력_기본자료!$B$2:$B$1001,0),IFERROR(MATCH(VALUE($D67),입력_기본자료!$B$2:$B$1001,0),0)))&gt;0,"확인","미등록"))</f>
        <v/>
      </c>
      <c r="F67" s="28">
        <f>IF($C67="","",INDEX(입력_인턴근무계획!$S$3:$S$402,$A67))</f>
        <v/>
      </c>
      <c r="G67" s="26">
        <f>IF(OR($C67="",$G$3=""),"",IF(INDEX(입력_인턴근무계획!$M$3:$R$402,$A67,$G$3)&amp;""="","",IF(LEFT(INDEX(입력_인턴근무계획!$M$3:$R$402,$A67,$G$3)&amp;"",1)="⚠",INDEX(입력_인턴근무계획!$M$3:$R$402,$A67,$G$3)&amp;"",LEFT(INDEX(입력_인턴근무계획!$M$3:$R$402,$A67,$G$3)&amp;"",FIND(" ",INDEX(입력_인턴근무계획!$M$3:$R$402,$A67,$G$3)&amp;"")-1))))</f>
        <v/>
      </c>
      <c r="H67" s="26">
        <f>IF(OR($C67="",$G$3=""),"",IF(INDEX(입력_인턴근무계획!$M$3:$R$402,$A67,$G$3)&amp;""="","",IF(LEFT(INDEX(입력_인턴근무계획!$M$3:$R$402,$A67,$G$3)&amp;"",1)="⚠","",MID(INDEX(입력_인턴근무계획!$M$3:$R$402,$A67,$G$3)&amp;"",FIND(" ",INDEX(입력_인턴근무계획!$M$3:$R$402,$A67,$G$3)&amp;"")+1,60))))</f>
        <v/>
      </c>
      <c r="I67" s="26">
        <f>IF(OR($C67="",$I$3=""),"",IF(INDEX(입력_인턴근무계획!$M$3:$R$402,$A67,$I$3)&amp;""="","",IF(LEFT(INDEX(입력_인턴근무계획!$M$3:$R$402,$A67,$I$3)&amp;"",1)="⚠",INDEX(입력_인턴근무계획!$M$3:$R$402,$A67,$I$3)&amp;"",LEFT(INDEX(입력_인턴근무계획!$M$3:$R$402,$A67,$I$3)&amp;"",FIND(" ",INDEX(입력_인턴근무계획!$M$3:$R$402,$A67,$I$3)&amp;"")-1))))</f>
        <v/>
      </c>
      <c r="J67" s="26">
        <f>IF(OR($C67="",$I$3=""),"",IF(INDEX(입력_인턴근무계획!$M$3:$R$402,$A67,$I$3)&amp;""="","",IF(LEFT(INDEX(입력_인턴근무계획!$M$3:$R$402,$A67,$I$3)&amp;"",1)="⚠","",MID(INDEX(입력_인턴근무계획!$M$3:$R$402,$A67,$I$3)&amp;"",FIND(" ",INDEX(입력_인턴근무계획!$M$3:$R$402,$A67,$I$3)&amp;"")+1,60))))</f>
        <v/>
      </c>
      <c r="K67" s="26">
        <f>IF($C67="","",INDEX(입력_인턴근무계획!$M$3:$M$402,$A67)&amp;"")</f>
        <v/>
      </c>
      <c r="L67" s="26">
        <f>IF($C67="","",INDEX(입력_인턴근무계획!$N$3:$N$402,$A67)&amp;"")</f>
        <v/>
      </c>
      <c r="M67" s="26">
        <f>IF($C67="","",INDEX(입력_인턴근무계획!$O$3:$O$402,$A67)&amp;"")</f>
        <v/>
      </c>
      <c r="N67" s="26">
        <f>IF($C67="","",INDEX(입력_인턴근무계획!$P$3:$P$402,$A67)&amp;"")</f>
        <v/>
      </c>
      <c r="O67" s="26">
        <f>IF($C67="","",INDEX(입력_인턴근무계획!$Q$3:$Q$402,$A67)&amp;"")</f>
        <v/>
      </c>
      <c r="P67" s="26">
        <f>IF($C67="","",INDEX(입력_인턴근무계획!$R$3:$R$402,$A67)&amp;"")</f>
        <v/>
      </c>
      <c r="Q67" s="26">
        <f>IF($C67="","",INDEX(입력_인턴근무계획!$T$3:$T$402,$A67))</f>
        <v/>
      </c>
    </row>
    <row r="68">
      <c r="A68" s="29" t="n">
        <v>63</v>
      </c>
      <c r="B68" s="26">
        <f>IF($C68="","",INDEX(입력_인턴근무계획!$B$3:$B$402,$A68))</f>
        <v/>
      </c>
      <c r="C68" s="26">
        <f>IFERROR(TRIM(INDEX(입력_인턴근무계획!$C$3:$C$402,$A68)&amp;""),"")</f>
        <v/>
      </c>
      <c r="D68" s="26">
        <f>IF($C68="","",INDEX(입력_인턴근무계획!$D$3:$D$402,$A68))</f>
        <v/>
      </c>
      <c r="E68" s="26">
        <f>IF($C68="","",IF(IFERROR(MATCH($D68,입력_기본자료!$B$2:$B$1001,0),IFERROR(MATCH($D68&amp;"",입력_기본자료!$B$2:$B$1001,0),IFERROR(MATCH(VALUE($D68),입력_기본자료!$B$2:$B$1001,0),0)))&gt;0,"확인","미등록"))</f>
        <v/>
      </c>
      <c r="F68" s="28">
        <f>IF($C68="","",INDEX(입력_인턴근무계획!$S$3:$S$402,$A68))</f>
        <v/>
      </c>
      <c r="G68" s="26">
        <f>IF(OR($C68="",$G$3=""),"",IF(INDEX(입력_인턴근무계획!$M$3:$R$402,$A68,$G$3)&amp;""="","",IF(LEFT(INDEX(입력_인턴근무계획!$M$3:$R$402,$A68,$G$3)&amp;"",1)="⚠",INDEX(입력_인턴근무계획!$M$3:$R$402,$A68,$G$3)&amp;"",LEFT(INDEX(입력_인턴근무계획!$M$3:$R$402,$A68,$G$3)&amp;"",FIND(" ",INDEX(입력_인턴근무계획!$M$3:$R$402,$A68,$G$3)&amp;"")-1))))</f>
        <v/>
      </c>
      <c r="H68" s="26">
        <f>IF(OR($C68="",$G$3=""),"",IF(INDEX(입력_인턴근무계획!$M$3:$R$402,$A68,$G$3)&amp;""="","",IF(LEFT(INDEX(입력_인턴근무계획!$M$3:$R$402,$A68,$G$3)&amp;"",1)="⚠","",MID(INDEX(입력_인턴근무계획!$M$3:$R$402,$A68,$G$3)&amp;"",FIND(" ",INDEX(입력_인턴근무계획!$M$3:$R$402,$A68,$G$3)&amp;"")+1,60))))</f>
        <v/>
      </c>
      <c r="I68" s="26">
        <f>IF(OR($C68="",$I$3=""),"",IF(INDEX(입력_인턴근무계획!$M$3:$R$402,$A68,$I$3)&amp;""="","",IF(LEFT(INDEX(입력_인턴근무계획!$M$3:$R$402,$A68,$I$3)&amp;"",1)="⚠",INDEX(입력_인턴근무계획!$M$3:$R$402,$A68,$I$3)&amp;"",LEFT(INDEX(입력_인턴근무계획!$M$3:$R$402,$A68,$I$3)&amp;"",FIND(" ",INDEX(입력_인턴근무계획!$M$3:$R$402,$A68,$I$3)&amp;"")-1))))</f>
        <v/>
      </c>
      <c r="J68" s="26">
        <f>IF(OR($C68="",$I$3=""),"",IF(INDEX(입력_인턴근무계획!$M$3:$R$402,$A68,$I$3)&amp;""="","",IF(LEFT(INDEX(입력_인턴근무계획!$M$3:$R$402,$A68,$I$3)&amp;"",1)="⚠","",MID(INDEX(입력_인턴근무계획!$M$3:$R$402,$A68,$I$3)&amp;"",FIND(" ",INDEX(입력_인턴근무계획!$M$3:$R$402,$A68,$I$3)&amp;"")+1,60))))</f>
        <v/>
      </c>
      <c r="K68" s="26">
        <f>IF($C68="","",INDEX(입력_인턴근무계획!$M$3:$M$402,$A68)&amp;"")</f>
        <v/>
      </c>
      <c r="L68" s="26">
        <f>IF($C68="","",INDEX(입력_인턴근무계획!$N$3:$N$402,$A68)&amp;"")</f>
        <v/>
      </c>
      <c r="M68" s="26">
        <f>IF($C68="","",INDEX(입력_인턴근무계획!$O$3:$O$402,$A68)&amp;"")</f>
        <v/>
      </c>
      <c r="N68" s="26">
        <f>IF($C68="","",INDEX(입력_인턴근무계획!$P$3:$P$402,$A68)&amp;"")</f>
        <v/>
      </c>
      <c r="O68" s="26">
        <f>IF($C68="","",INDEX(입력_인턴근무계획!$Q$3:$Q$402,$A68)&amp;"")</f>
        <v/>
      </c>
      <c r="P68" s="26">
        <f>IF($C68="","",INDEX(입력_인턴근무계획!$R$3:$R$402,$A68)&amp;"")</f>
        <v/>
      </c>
      <c r="Q68" s="26">
        <f>IF($C68="","",INDEX(입력_인턴근무계획!$T$3:$T$402,$A68))</f>
        <v/>
      </c>
    </row>
    <row r="69">
      <c r="A69" s="29" t="n">
        <v>64</v>
      </c>
      <c r="B69" s="26">
        <f>IF($C69="","",INDEX(입력_인턴근무계획!$B$3:$B$402,$A69))</f>
        <v/>
      </c>
      <c r="C69" s="26">
        <f>IFERROR(TRIM(INDEX(입력_인턴근무계획!$C$3:$C$402,$A69)&amp;""),"")</f>
        <v/>
      </c>
      <c r="D69" s="26">
        <f>IF($C69="","",INDEX(입력_인턴근무계획!$D$3:$D$402,$A69))</f>
        <v/>
      </c>
      <c r="E69" s="26">
        <f>IF($C69="","",IF(IFERROR(MATCH($D69,입력_기본자료!$B$2:$B$1001,0),IFERROR(MATCH($D69&amp;"",입력_기본자료!$B$2:$B$1001,0),IFERROR(MATCH(VALUE($D69),입력_기본자료!$B$2:$B$1001,0),0)))&gt;0,"확인","미등록"))</f>
        <v/>
      </c>
      <c r="F69" s="28">
        <f>IF($C69="","",INDEX(입력_인턴근무계획!$S$3:$S$402,$A69))</f>
        <v/>
      </c>
      <c r="G69" s="26">
        <f>IF(OR($C69="",$G$3=""),"",IF(INDEX(입력_인턴근무계획!$M$3:$R$402,$A69,$G$3)&amp;""="","",IF(LEFT(INDEX(입력_인턴근무계획!$M$3:$R$402,$A69,$G$3)&amp;"",1)="⚠",INDEX(입력_인턴근무계획!$M$3:$R$402,$A69,$G$3)&amp;"",LEFT(INDEX(입력_인턴근무계획!$M$3:$R$402,$A69,$G$3)&amp;"",FIND(" ",INDEX(입력_인턴근무계획!$M$3:$R$402,$A69,$G$3)&amp;"")-1))))</f>
        <v/>
      </c>
      <c r="H69" s="26">
        <f>IF(OR($C69="",$G$3=""),"",IF(INDEX(입력_인턴근무계획!$M$3:$R$402,$A69,$G$3)&amp;""="","",IF(LEFT(INDEX(입력_인턴근무계획!$M$3:$R$402,$A69,$G$3)&amp;"",1)="⚠","",MID(INDEX(입력_인턴근무계획!$M$3:$R$402,$A69,$G$3)&amp;"",FIND(" ",INDEX(입력_인턴근무계획!$M$3:$R$402,$A69,$G$3)&amp;"")+1,60))))</f>
        <v/>
      </c>
      <c r="I69" s="26">
        <f>IF(OR($C69="",$I$3=""),"",IF(INDEX(입력_인턴근무계획!$M$3:$R$402,$A69,$I$3)&amp;""="","",IF(LEFT(INDEX(입력_인턴근무계획!$M$3:$R$402,$A69,$I$3)&amp;"",1)="⚠",INDEX(입력_인턴근무계획!$M$3:$R$402,$A69,$I$3)&amp;"",LEFT(INDEX(입력_인턴근무계획!$M$3:$R$402,$A69,$I$3)&amp;"",FIND(" ",INDEX(입력_인턴근무계획!$M$3:$R$402,$A69,$I$3)&amp;"")-1))))</f>
        <v/>
      </c>
      <c r="J69" s="26">
        <f>IF(OR($C69="",$I$3=""),"",IF(INDEX(입력_인턴근무계획!$M$3:$R$402,$A69,$I$3)&amp;""="","",IF(LEFT(INDEX(입력_인턴근무계획!$M$3:$R$402,$A69,$I$3)&amp;"",1)="⚠","",MID(INDEX(입력_인턴근무계획!$M$3:$R$402,$A69,$I$3)&amp;"",FIND(" ",INDEX(입력_인턴근무계획!$M$3:$R$402,$A69,$I$3)&amp;"")+1,60))))</f>
        <v/>
      </c>
      <c r="K69" s="26">
        <f>IF($C69="","",INDEX(입력_인턴근무계획!$M$3:$M$402,$A69)&amp;"")</f>
        <v/>
      </c>
      <c r="L69" s="26">
        <f>IF($C69="","",INDEX(입력_인턴근무계획!$N$3:$N$402,$A69)&amp;"")</f>
        <v/>
      </c>
      <c r="M69" s="26">
        <f>IF($C69="","",INDEX(입력_인턴근무계획!$O$3:$O$402,$A69)&amp;"")</f>
        <v/>
      </c>
      <c r="N69" s="26">
        <f>IF($C69="","",INDEX(입력_인턴근무계획!$P$3:$P$402,$A69)&amp;"")</f>
        <v/>
      </c>
      <c r="O69" s="26">
        <f>IF($C69="","",INDEX(입력_인턴근무계획!$Q$3:$Q$402,$A69)&amp;"")</f>
        <v/>
      </c>
      <c r="P69" s="26">
        <f>IF($C69="","",INDEX(입력_인턴근무계획!$R$3:$R$402,$A69)&amp;"")</f>
        <v/>
      </c>
      <c r="Q69" s="26">
        <f>IF($C69="","",INDEX(입력_인턴근무계획!$T$3:$T$402,$A69))</f>
        <v/>
      </c>
    </row>
    <row r="70">
      <c r="A70" s="29" t="n">
        <v>65</v>
      </c>
      <c r="B70" s="26">
        <f>IF($C70="","",INDEX(입력_인턴근무계획!$B$3:$B$402,$A70))</f>
        <v/>
      </c>
      <c r="C70" s="26">
        <f>IFERROR(TRIM(INDEX(입력_인턴근무계획!$C$3:$C$402,$A70)&amp;""),"")</f>
        <v/>
      </c>
      <c r="D70" s="26">
        <f>IF($C70="","",INDEX(입력_인턴근무계획!$D$3:$D$402,$A70))</f>
        <v/>
      </c>
      <c r="E70" s="26">
        <f>IF($C70="","",IF(IFERROR(MATCH($D70,입력_기본자료!$B$2:$B$1001,0),IFERROR(MATCH($D70&amp;"",입력_기본자료!$B$2:$B$1001,0),IFERROR(MATCH(VALUE($D70),입력_기본자료!$B$2:$B$1001,0),0)))&gt;0,"확인","미등록"))</f>
        <v/>
      </c>
      <c r="F70" s="28">
        <f>IF($C70="","",INDEX(입력_인턴근무계획!$S$3:$S$402,$A70))</f>
        <v/>
      </c>
      <c r="G70" s="26">
        <f>IF(OR($C70="",$G$3=""),"",IF(INDEX(입력_인턴근무계획!$M$3:$R$402,$A70,$G$3)&amp;""="","",IF(LEFT(INDEX(입력_인턴근무계획!$M$3:$R$402,$A70,$G$3)&amp;"",1)="⚠",INDEX(입력_인턴근무계획!$M$3:$R$402,$A70,$G$3)&amp;"",LEFT(INDEX(입력_인턴근무계획!$M$3:$R$402,$A70,$G$3)&amp;"",FIND(" ",INDEX(입력_인턴근무계획!$M$3:$R$402,$A70,$G$3)&amp;"")-1))))</f>
        <v/>
      </c>
      <c r="H70" s="26">
        <f>IF(OR($C70="",$G$3=""),"",IF(INDEX(입력_인턴근무계획!$M$3:$R$402,$A70,$G$3)&amp;""="","",IF(LEFT(INDEX(입력_인턴근무계획!$M$3:$R$402,$A70,$G$3)&amp;"",1)="⚠","",MID(INDEX(입력_인턴근무계획!$M$3:$R$402,$A70,$G$3)&amp;"",FIND(" ",INDEX(입력_인턴근무계획!$M$3:$R$402,$A70,$G$3)&amp;"")+1,60))))</f>
        <v/>
      </c>
      <c r="I70" s="26">
        <f>IF(OR($C70="",$I$3=""),"",IF(INDEX(입력_인턴근무계획!$M$3:$R$402,$A70,$I$3)&amp;""="","",IF(LEFT(INDEX(입력_인턴근무계획!$M$3:$R$402,$A70,$I$3)&amp;"",1)="⚠",INDEX(입력_인턴근무계획!$M$3:$R$402,$A70,$I$3)&amp;"",LEFT(INDEX(입력_인턴근무계획!$M$3:$R$402,$A70,$I$3)&amp;"",FIND(" ",INDEX(입력_인턴근무계획!$M$3:$R$402,$A70,$I$3)&amp;"")-1))))</f>
        <v/>
      </c>
      <c r="J70" s="26">
        <f>IF(OR($C70="",$I$3=""),"",IF(INDEX(입력_인턴근무계획!$M$3:$R$402,$A70,$I$3)&amp;""="","",IF(LEFT(INDEX(입력_인턴근무계획!$M$3:$R$402,$A70,$I$3)&amp;"",1)="⚠","",MID(INDEX(입력_인턴근무계획!$M$3:$R$402,$A70,$I$3)&amp;"",FIND(" ",INDEX(입력_인턴근무계획!$M$3:$R$402,$A70,$I$3)&amp;"")+1,60))))</f>
        <v/>
      </c>
      <c r="K70" s="26">
        <f>IF($C70="","",INDEX(입력_인턴근무계획!$M$3:$M$402,$A70)&amp;"")</f>
        <v/>
      </c>
      <c r="L70" s="26">
        <f>IF($C70="","",INDEX(입력_인턴근무계획!$N$3:$N$402,$A70)&amp;"")</f>
        <v/>
      </c>
      <c r="M70" s="26">
        <f>IF($C70="","",INDEX(입력_인턴근무계획!$O$3:$O$402,$A70)&amp;"")</f>
        <v/>
      </c>
      <c r="N70" s="26">
        <f>IF($C70="","",INDEX(입력_인턴근무계획!$P$3:$P$402,$A70)&amp;"")</f>
        <v/>
      </c>
      <c r="O70" s="26">
        <f>IF($C70="","",INDEX(입력_인턴근무계획!$Q$3:$Q$402,$A70)&amp;"")</f>
        <v/>
      </c>
      <c r="P70" s="26">
        <f>IF($C70="","",INDEX(입력_인턴근무계획!$R$3:$R$402,$A70)&amp;"")</f>
        <v/>
      </c>
      <c r="Q70" s="26">
        <f>IF($C70="","",INDEX(입력_인턴근무계획!$T$3:$T$402,$A70))</f>
        <v/>
      </c>
    </row>
    <row r="71">
      <c r="A71" s="29" t="n">
        <v>66</v>
      </c>
      <c r="B71" s="26">
        <f>IF($C71="","",INDEX(입력_인턴근무계획!$B$3:$B$402,$A71))</f>
        <v/>
      </c>
      <c r="C71" s="26">
        <f>IFERROR(TRIM(INDEX(입력_인턴근무계획!$C$3:$C$402,$A71)&amp;""),"")</f>
        <v/>
      </c>
      <c r="D71" s="26">
        <f>IF($C71="","",INDEX(입력_인턴근무계획!$D$3:$D$402,$A71))</f>
        <v/>
      </c>
      <c r="E71" s="26">
        <f>IF($C71="","",IF(IFERROR(MATCH($D71,입력_기본자료!$B$2:$B$1001,0),IFERROR(MATCH($D71&amp;"",입력_기본자료!$B$2:$B$1001,0),IFERROR(MATCH(VALUE($D71),입력_기본자료!$B$2:$B$1001,0),0)))&gt;0,"확인","미등록"))</f>
        <v/>
      </c>
      <c r="F71" s="28">
        <f>IF($C71="","",INDEX(입력_인턴근무계획!$S$3:$S$402,$A71))</f>
        <v/>
      </c>
      <c r="G71" s="26">
        <f>IF(OR($C71="",$G$3=""),"",IF(INDEX(입력_인턴근무계획!$M$3:$R$402,$A71,$G$3)&amp;""="","",IF(LEFT(INDEX(입력_인턴근무계획!$M$3:$R$402,$A71,$G$3)&amp;"",1)="⚠",INDEX(입력_인턴근무계획!$M$3:$R$402,$A71,$G$3)&amp;"",LEFT(INDEX(입력_인턴근무계획!$M$3:$R$402,$A71,$G$3)&amp;"",FIND(" ",INDEX(입력_인턴근무계획!$M$3:$R$402,$A71,$G$3)&amp;"")-1))))</f>
        <v/>
      </c>
      <c r="H71" s="26">
        <f>IF(OR($C71="",$G$3=""),"",IF(INDEX(입력_인턴근무계획!$M$3:$R$402,$A71,$G$3)&amp;""="","",IF(LEFT(INDEX(입력_인턴근무계획!$M$3:$R$402,$A71,$G$3)&amp;"",1)="⚠","",MID(INDEX(입력_인턴근무계획!$M$3:$R$402,$A71,$G$3)&amp;"",FIND(" ",INDEX(입력_인턴근무계획!$M$3:$R$402,$A71,$G$3)&amp;"")+1,60))))</f>
        <v/>
      </c>
      <c r="I71" s="26">
        <f>IF(OR($C71="",$I$3=""),"",IF(INDEX(입력_인턴근무계획!$M$3:$R$402,$A71,$I$3)&amp;""="","",IF(LEFT(INDEX(입력_인턴근무계획!$M$3:$R$402,$A71,$I$3)&amp;"",1)="⚠",INDEX(입력_인턴근무계획!$M$3:$R$402,$A71,$I$3)&amp;"",LEFT(INDEX(입력_인턴근무계획!$M$3:$R$402,$A71,$I$3)&amp;"",FIND(" ",INDEX(입력_인턴근무계획!$M$3:$R$402,$A71,$I$3)&amp;"")-1))))</f>
        <v/>
      </c>
      <c r="J71" s="26">
        <f>IF(OR($C71="",$I$3=""),"",IF(INDEX(입력_인턴근무계획!$M$3:$R$402,$A71,$I$3)&amp;""="","",IF(LEFT(INDEX(입력_인턴근무계획!$M$3:$R$402,$A71,$I$3)&amp;"",1)="⚠","",MID(INDEX(입력_인턴근무계획!$M$3:$R$402,$A71,$I$3)&amp;"",FIND(" ",INDEX(입력_인턴근무계획!$M$3:$R$402,$A71,$I$3)&amp;"")+1,60))))</f>
        <v/>
      </c>
      <c r="K71" s="26">
        <f>IF($C71="","",INDEX(입력_인턴근무계획!$M$3:$M$402,$A71)&amp;"")</f>
        <v/>
      </c>
      <c r="L71" s="26">
        <f>IF($C71="","",INDEX(입력_인턴근무계획!$N$3:$N$402,$A71)&amp;"")</f>
        <v/>
      </c>
      <c r="M71" s="26">
        <f>IF($C71="","",INDEX(입력_인턴근무계획!$O$3:$O$402,$A71)&amp;"")</f>
        <v/>
      </c>
      <c r="N71" s="26">
        <f>IF($C71="","",INDEX(입력_인턴근무계획!$P$3:$P$402,$A71)&amp;"")</f>
        <v/>
      </c>
      <c r="O71" s="26">
        <f>IF($C71="","",INDEX(입력_인턴근무계획!$Q$3:$Q$402,$A71)&amp;"")</f>
        <v/>
      </c>
      <c r="P71" s="26">
        <f>IF($C71="","",INDEX(입력_인턴근무계획!$R$3:$R$402,$A71)&amp;"")</f>
        <v/>
      </c>
      <c r="Q71" s="26">
        <f>IF($C71="","",INDEX(입력_인턴근무계획!$T$3:$T$402,$A71))</f>
        <v/>
      </c>
    </row>
    <row r="72">
      <c r="A72" s="29" t="n">
        <v>67</v>
      </c>
      <c r="B72" s="26">
        <f>IF($C72="","",INDEX(입력_인턴근무계획!$B$3:$B$402,$A72))</f>
        <v/>
      </c>
      <c r="C72" s="26">
        <f>IFERROR(TRIM(INDEX(입력_인턴근무계획!$C$3:$C$402,$A72)&amp;""),"")</f>
        <v/>
      </c>
      <c r="D72" s="26">
        <f>IF($C72="","",INDEX(입력_인턴근무계획!$D$3:$D$402,$A72))</f>
        <v/>
      </c>
      <c r="E72" s="26">
        <f>IF($C72="","",IF(IFERROR(MATCH($D72,입력_기본자료!$B$2:$B$1001,0),IFERROR(MATCH($D72&amp;"",입력_기본자료!$B$2:$B$1001,0),IFERROR(MATCH(VALUE($D72),입력_기본자료!$B$2:$B$1001,0),0)))&gt;0,"확인","미등록"))</f>
        <v/>
      </c>
      <c r="F72" s="28">
        <f>IF($C72="","",INDEX(입력_인턴근무계획!$S$3:$S$402,$A72))</f>
        <v/>
      </c>
      <c r="G72" s="26">
        <f>IF(OR($C72="",$G$3=""),"",IF(INDEX(입력_인턴근무계획!$M$3:$R$402,$A72,$G$3)&amp;""="","",IF(LEFT(INDEX(입력_인턴근무계획!$M$3:$R$402,$A72,$G$3)&amp;"",1)="⚠",INDEX(입력_인턴근무계획!$M$3:$R$402,$A72,$G$3)&amp;"",LEFT(INDEX(입력_인턴근무계획!$M$3:$R$402,$A72,$G$3)&amp;"",FIND(" ",INDEX(입력_인턴근무계획!$M$3:$R$402,$A72,$G$3)&amp;"")-1))))</f>
        <v/>
      </c>
      <c r="H72" s="26">
        <f>IF(OR($C72="",$G$3=""),"",IF(INDEX(입력_인턴근무계획!$M$3:$R$402,$A72,$G$3)&amp;""="","",IF(LEFT(INDEX(입력_인턴근무계획!$M$3:$R$402,$A72,$G$3)&amp;"",1)="⚠","",MID(INDEX(입력_인턴근무계획!$M$3:$R$402,$A72,$G$3)&amp;"",FIND(" ",INDEX(입력_인턴근무계획!$M$3:$R$402,$A72,$G$3)&amp;"")+1,60))))</f>
        <v/>
      </c>
      <c r="I72" s="26">
        <f>IF(OR($C72="",$I$3=""),"",IF(INDEX(입력_인턴근무계획!$M$3:$R$402,$A72,$I$3)&amp;""="","",IF(LEFT(INDEX(입력_인턴근무계획!$M$3:$R$402,$A72,$I$3)&amp;"",1)="⚠",INDEX(입력_인턴근무계획!$M$3:$R$402,$A72,$I$3)&amp;"",LEFT(INDEX(입력_인턴근무계획!$M$3:$R$402,$A72,$I$3)&amp;"",FIND(" ",INDEX(입력_인턴근무계획!$M$3:$R$402,$A72,$I$3)&amp;"")-1))))</f>
        <v/>
      </c>
      <c r="J72" s="26">
        <f>IF(OR($C72="",$I$3=""),"",IF(INDEX(입력_인턴근무계획!$M$3:$R$402,$A72,$I$3)&amp;""="","",IF(LEFT(INDEX(입력_인턴근무계획!$M$3:$R$402,$A72,$I$3)&amp;"",1)="⚠","",MID(INDEX(입력_인턴근무계획!$M$3:$R$402,$A72,$I$3)&amp;"",FIND(" ",INDEX(입력_인턴근무계획!$M$3:$R$402,$A72,$I$3)&amp;"")+1,60))))</f>
        <v/>
      </c>
      <c r="K72" s="26">
        <f>IF($C72="","",INDEX(입력_인턴근무계획!$M$3:$M$402,$A72)&amp;"")</f>
        <v/>
      </c>
      <c r="L72" s="26">
        <f>IF($C72="","",INDEX(입력_인턴근무계획!$N$3:$N$402,$A72)&amp;"")</f>
        <v/>
      </c>
      <c r="M72" s="26">
        <f>IF($C72="","",INDEX(입력_인턴근무계획!$O$3:$O$402,$A72)&amp;"")</f>
        <v/>
      </c>
      <c r="N72" s="26">
        <f>IF($C72="","",INDEX(입력_인턴근무계획!$P$3:$P$402,$A72)&amp;"")</f>
        <v/>
      </c>
      <c r="O72" s="26">
        <f>IF($C72="","",INDEX(입력_인턴근무계획!$Q$3:$Q$402,$A72)&amp;"")</f>
        <v/>
      </c>
      <c r="P72" s="26">
        <f>IF($C72="","",INDEX(입력_인턴근무계획!$R$3:$R$402,$A72)&amp;"")</f>
        <v/>
      </c>
      <c r="Q72" s="26">
        <f>IF($C72="","",INDEX(입력_인턴근무계획!$T$3:$T$402,$A72))</f>
        <v/>
      </c>
    </row>
    <row r="73">
      <c r="A73" s="29" t="n">
        <v>68</v>
      </c>
      <c r="B73" s="26">
        <f>IF($C73="","",INDEX(입력_인턴근무계획!$B$3:$B$402,$A73))</f>
        <v/>
      </c>
      <c r="C73" s="26">
        <f>IFERROR(TRIM(INDEX(입력_인턴근무계획!$C$3:$C$402,$A73)&amp;""),"")</f>
        <v/>
      </c>
      <c r="D73" s="26">
        <f>IF($C73="","",INDEX(입력_인턴근무계획!$D$3:$D$402,$A73))</f>
        <v/>
      </c>
      <c r="E73" s="26">
        <f>IF($C73="","",IF(IFERROR(MATCH($D73,입력_기본자료!$B$2:$B$1001,0),IFERROR(MATCH($D73&amp;"",입력_기본자료!$B$2:$B$1001,0),IFERROR(MATCH(VALUE($D73),입력_기본자료!$B$2:$B$1001,0),0)))&gt;0,"확인","미등록"))</f>
        <v/>
      </c>
      <c r="F73" s="28">
        <f>IF($C73="","",INDEX(입력_인턴근무계획!$S$3:$S$402,$A73))</f>
        <v/>
      </c>
      <c r="G73" s="26">
        <f>IF(OR($C73="",$G$3=""),"",IF(INDEX(입력_인턴근무계획!$M$3:$R$402,$A73,$G$3)&amp;""="","",IF(LEFT(INDEX(입력_인턴근무계획!$M$3:$R$402,$A73,$G$3)&amp;"",1)="⚠",INDEX(입력_인턴근무계획!$M$3:$R$402,$A73,$G$3)&amp;"",LEFT(INDEX(입력_인턴근무계획!$M$3:$R$402,$A73,$G$3)&amp;"",FIND(" ",INDEX(입력_인턴근무계획!$M$3:$R$402,$A73,$G$3)&amp;"")-1))))</f>
        <v/>
      </c>
      <c r="H73" s="26">
        <f>IF(OR($C73="",$G$3=""),"",IF(INDEX(입력_인턴근무계획!$M$3:$R$402,$A73,$G$3)&amp;""="","",IF(LEFT(INDEX(입력_인턴근무계획!$M$3:$R$402,$A73,$G$3)&amp;"",1)="⚠","",MID(INDEX(입력_인턴근무계획!$M$3:$R$402,$A73,$G$3)&amp;"",FIND(" ",INDEX(입력_인턴근무계획!$M$3:$R$402,$A73,$G$3)&amp;"")+1,60))))</f>
        <v/>
      </c>
      <c r="I73" s="26">
        <f>IF(OR($C73="",$I$3=""),"",IF(INDEX(입력_인턴근무계획!$M$3:$R$402,$A73,$I$3)&amp;""="","",IF(LEFT(INDEX(입력_인턴근무계획!$M$3:$R$402,$A73,$I$3)&amp;"",1)="⚠",INDEX(입력_인턴근무계획!$M$3:$R$402,$A73,$I$3)&amp;"",LEFT(INDEX(입력_인턴근무계획!$M$3:$R$402,$A73,$I$3)&amp;"",FIND(" ",INDEX(입력_인턴근무계획!$M$3:$R$402,$A73,$I$3)&amp;"")-1))))</f>
        <v/>
      </c>
      <c r="J73" s="26">
        <f>IF(OR($C73="",$I$3=""),"",IF(INDEX(입력_인턴근무계획!$M$3:$R$402,$A73,$I$3)&amp;""="","",IF(LEFT(INDEX(입력_인턴근무계획!$M$3:$R$402,$A73,$I$3)&amp;"",1)="⚠","",MID(INDEX(입력_인턴근무계획!$M$3:$R$402,$A73,$I$3)&amp;"",FIND(" ",INDEX(입력_인턴근무계획!$M$3:$R$402,$A73,$I$3)&amp;"")+1,60))))</f>
        <v/>
      </c>
      <c r="K73" s="26">
        <f>IF($C73="","",INDEX(입력_인턴근무계획!$M$3:$M$402,$A73)&amp;"")</f>
        <v/>
      </c>
      <c r="L73" s="26">
        <f>IF($C73="","",INDEX(입력_인턴근무계획!$N$3:$N$402,$A73)&amp;"")</f>
        <v/>
      </c>
      <c r="M73" s="26">
        <f>IF($C73="","",INDEX(입력_인턴근무계획!$O$3:$O$402,$A73)&amp;"")</f>
        <v/>
      </c>
      <c r="N73" s="26">
        <f>IF($C73="","",INDEX(입력_인턴근무계획!$P$3:$P$402,$A73)&amp;"")</f>
        <v/>
      </c>
      <c r="O73" s="26">
        <f>IF($C73="","",INDEX(입력_인턴근무계획!$Q$3:$Q$402,$A73)&amp;"")</f>
        <v/>
      </c>
      <c r="P73" s="26">
        <f>IF($C73="","",INDEX(입력_인턴근무계획!$R$3:$R$402,$A73)&amp;"")</f>
        <v/>
      </c>
      <c r="Q73" s="26">
        <f>IF($C73="","",INDEX(입력_인턴근무계획!$T$3:$T$402,$A73))</f>
        <v/>
      </c>
    </row>
    <row r="74">
      <c r="A74" s="29" t="n">
        <v>69</v>
      </c>
      <c r="B74" s="26">
        <f>IF($C74="","",INDEX(입력_인턴근무계획!$B$3:$B$402,$A74))</f>
        <v/>
      </c>
      <c r="C74" s="26">
        <f>IFERROR(TRIM(INDEX(입력_인턴근무계획!$C$3:$C$402,$A74)&amp;""),"")</f>
        <v/>
      </c>
      <c r="D74" s="26">
        <f>IF($C74="","",INDEX(입력_인턴근무계획!$D$3:$D$402,$A74))</f>
        <v/>
      </c>
      <c r="E74" s="26">
        <f>IF($C74="","",IF(IFERROR(MATCH($D74,입력_기본자료!$B$2:$B$1001,0),IFERROR(MATCH($D74&amp;"",입력_기본자료!$B$2:$B$1001,0),IFERROR(MATCH(VALUE($D74),입력_기본자료!$B$2:$B$1001,0),0)))&gt;0,"확인","미등록"))</f>
        <v/>
      </c>
      <c r="F74" s="28">
        <f>IF($C74="","",INDEX(입력_인턴근무계획!$S$3:$S$402,$A74))</f>
        <v/>
      </c>
      <c r="G74" s="26">
        <f>IF(OR($C74="",$G$3=""),"",IF(INDEX(입력_인턴근무계획!$M$3:$R$402,$A74,$G$3)&amp;""="","",IF(LEFT(INDEX(입력_인턴근무계획!$M$3:$R$402,$A74,$G$3)&amp;"",1)="⚠",INDEX(입력_인턴근무계획!$M$3:$R$402,$A74,$G$3)&amp;"",LEFT(INDEX(입력_인턴근무계획!$M$3:$R$402,$A74,$G$3)&amp;"",FIND(" ",INDEX(입력_인턴근무계획!$M$3:$R$402,$A74,$G$3)&amp;"")-1))))</f>
        <v/>
      </c>
      <c r="H74" s="26">
        <f>IF(OR($C74="",$G$3=""),"",IF(INDEX(입력_인턴근무계획!$M$3:$R$402,$A74,$G$3)&amp;""="","",IF(LEFT(INDEX(입력_인턴근무계획!$M$3:$R$402,$A74,$G$3)&amp;"",1)="⚠","",MID(INDEX(입력_인턴근무계획!$M$3:$R$402,$A74,$G$3)&amp;"",FIND(" ",INDEX(입력_인턴근무계획!$M$3:$R$402,$A74,$G$3)&amp;"")+1,60))))</f>
        <v/>
      </c>
      <c r="I74" s="26">
        <f>IF(OR($C74="",$I$3=""),"",IF(INDEX(입력_인턴근무계획!$M$3:$R$402,$A74,$I$3)&amp;""="","",IF(LEFT(INDEX(입력_인턴근무계획!$M$3:$R$402,$A74,$I$3)&amp;"",1)="⚠",INDEX(입력_인턴근무계획!$M$3:$R$402,$A74,$I$3)&amp;"",LEFT(INDEX(입력_인턴근무계획!$M$3:$R$402,$A74,$I$3)&amp;"",FIND(" ",INDEX(입력_인턴근무계획!$M$3:$R$402,$A74,$I$3)&amp;"")-1))))</f>
        <v/>
      </c>
      <c r="J74" s="26">
        <f>IF(OR($C74="",$I$3=""),"",IF(INDEX(입력_인턴근무계획!$M$3:$R$402,$A74,$I$3)&amp;""="","",IF(LEFT(INDEX(입력_인턴근무계획!$M$3:$R$402,$A74,$I$3)&amp;"",1)="⚠","",MID(INDEX(입력_인턴근무계획!$M$3:$R$402,$A74,$I$3)&amp;"",FIND(" ",INDEX(입력_인턴근무계획!$M$3:$R$402,$A74,$I$3)&amp;"")+1,60))))</f>
        <v/>
      </c>
      <c r="K74" s="26">
        <f>IF($C74="","",INDEX(입력_인턴근무계획!$M$3:$M$402,$A74)&amp;"")</f>
        <v/>
      </c>
      <c r="L74" s="26">
        <f>IF($C74="","",INDEX(입력_인턴근무계획!$N$3:$N$402,$A74)&amp;"")</f>
        <v/>
      </c>
      <c r="M74" s="26">
        <f>IF($C74="","",INDEX(입력_인턴근무계획!$O$3:$O$402,$A74)&amp;"")</f>
        <v/>
      </c>
      <c r="N74" s="26">
        <f>IF($C74="","",INDEX(입력_인턴근무계획!$P$3:$P$402,$A74)&amp;"")</f>
        <v/>
      </c>
      <c r="O74" s="26">
        <f>IF($C74="","",INDEX(입력_인턴근무계획!$Q$3:$Q$402,$A74)&amp;"")</f>
        <v/>
      </c>
      <c r="P74" s="26">
        <f>IF($C74="","",INDEX(입력_인턴근무계획!$R$3:$R$402,$A74)&amp;"")</f>
        <v/>
      </c>
      <c r="Q74" s="26">
        <f>IF($C74="","",INDEX(입력_인턴근무계획!$T$3:$T$402,$A74))</f>
        <v/>
      </c>
    </row>
    <row r="75">
      <c r="A75" s="29" t="n">
        <v>70</v>
      </c>
      <c r="B75" s="26">
        <f>IF($C75="","",INDEX(입력_인턴근무계획!$B$3:$B$402,$A75))</f>
        <v/>
      </c>
      <c r="C75" s="26">
        <f>IFERROR(TRIM(INDEX(입력_인턴근무계획!$C$3:$C$402,$A75)&amp;""),"")</f>
        <v/>
      </c>
      <c r="D75" s="26">
        <f>IF($C75="","",INDEX(입력_인턴근무계획!$D$3:$D$402,$A75))</f>
        <v/>
      </c>
      <c r="E75" s="26">
        <f>IF($C75="","",IF(IFERROR(MATCH($D75,입력_기본자료!$B$2:$B$1001,0),IFERROR(MATCH($D75&amp;"",입력_기본자료!$B$2:$B$1001,0),IFERROR(MATCH(VALUE($D75),입력_기본자료!$B$2:$B$1001,0),0)))&gt;0,"확인","미등록"))</f>
        <v/>
      </c>
      <c r="F75" s="28">
        <f>IF($C75="","",INDEX(입력_인턴근무계획!$S$3:$S$402,$A75))</f>
        <v/>
      </c>
      <c r="G75" s="26">
        <f>IF(OR($C75="",$G$3=""),"",IF(INDEX(입력_인턴근무계획!$M$3:$R$402,$A75,$G$3)&amp;""="","",IF(LEFT(INDEX(입력_인턴근무계획!$M$3:$R$402,$A75,$G$3)&amp;"",1)="⚠",INDEX(입력_인턴근무계획!$M$3:$R$402,$A75,$G$3)&amp;"",LEFT(INDEX(입력_인턴근무계획!$M$3:$R$402,$A75,$G$3)&amp;"",FIND(" ",INDEX(입력_인턴근무계획!$M$3:$R$402,$A75,$G$3)&amp;"")-1))))</f>
        <v/>
      </c>
      <c r="H75" s="26">
        <f>IF(OR($C75="",$G$3=""),"",IF(INDEX(입력_인턴근무계획!$M$3:$R$402,$A75,$G$3)&amp;""="","",IF(LEFT(INDEX(입력_인턴근무계획!$M$3:$R$402,$A75,$G$3)&amp;"",1)="⚠","",MID(INDEX(입력_인턴근무계획!$M$3:$R$402,$A75,$G$3)&amp;"",FIND(" ",INDEX(입력_인턴근무계획!$M$3:$R$402,$A75,$G$3)&amp;"")+1,60))))</f>
        <v/>
      </c>
      <c r="I75" s="26">
        <f>IF(OR($C75="",$I$3=""),"",IF(INDEX(입력_인턴근무계획!$M$3:$R$402,$A75,$I$3)&amp;""="","",IF(LEFT(INDEX(입력_인턴근무계획!$M$3:$R$402,$A75,$I$3)&amp;"",1)="⚠",INDEX(입력_인턴근무계획!$M$3:$R$402,$A75,$I$3)&amp;"",LEFT(INDEX(입력_인턴근무계획!$M$3:$R$402,$A75,$I$3)&amp;"",FIND(" ",INDEX(입력_인턴근무계획!$M$3:$R$402,$A75,$I$3)&amp;"")-1))))</f>
        <v/>
      </c>
      <c r="J75" s="26">
        <f>IF(OR($C75="",$I$3=""),"",IF(INDEX(입력_인턴근무계획!$M$3:$R$402,$A75,$I$3)&amp;""="","",IF(LEFT(INDEX(입력_인턴근무계획!$M$3:$R$402,$A75,$I$3)&amp;"",1)="⚠","",MID(INDEX(입력_인턴근무계획!$M$3:$R$402,$A75,$I$3)&amp;"",FIND(" ",INDEX(입력_인턴근무계획!$M$3:$R$402,$A75,$I$3)&amp;"")+1,60))))</f>
        <v/>
      </c>
      <c r="K75" s="26">
        <f>IF($C75="","",INDEX(입력_인턴근무계획!$M$3:$M$402,$A75)&amp;"")</f>
        <v/>
      </c>
      <c r="L75" s="26">
        <f>IF($C75="","",INDEX(입력_인턴근무계획!$N$3:$N$402,$A75)&amp;"")</f>
        <v/>
      </c>
      <c r="M75" s="26">
        <f>IF($C75="","",INDEX(입력_인턴근무계획!$O$3:$O$402,$A75)&amp;"")</f>
        <v/>
      </c>
      <c r="N75" s="26">
        <f>IF($C75="","",INDEX(입력_인턴근무계획!$P$3:$P$402,$A75)&amp;"")</f>
        <v/>
      </c>
      <c r="O75" s="26">
        <f>IF($C75="","",INDEX(입력_인턴근무계획!$Q$3:$Q$402,$A75)&amp;"")</f>
        <v/>
      </c>
      <c r="P75" s="26">
        <f>IF($C75="","",INDEX(입력_인턴근무계획!$R$3:$R$402,$A75)&amp;"")</f>
        <v/>
      </c>
      <c r="Q75" s="26">
        <f>IF($C75="","",INDEX(입력_인턴근무계획!$T$3:$T$402,$A75))</f>
        <v/>
      </c>
    </row>
    <row r="76">
      <c r="A76" s="29" t="n">
        <v>71</v>
      </c>
      <c r="B76" s="26">
        <f>IF($C76="","",INDEX(입력_인턴근무계획!$B$3:$B$402,$A76))</f>
        <v/>
      </c>
      <c r="C76" s="26">
        <f>IFERROR(TRIM(INDEX(입력_인턴근무계획!$C$3:$C$402,$A76)&amp;""),"")</f>
        <v/>
      </c>
      <c r="D76" s="26">
        <f>IF($C76="","",INDEX(입력_인턴근무계획!$D$3:$D$402,$A76))</f>
        <v/>
      </c>
      <c r="E76" s="26">
        <f>IF($C76="","",IF(IFERROR(MATCH($D76,입력_기본자료!$B$2:$B$1001,0),IFERROR(MATCH($D76&amp;"",입력_기본자료!$B$2:$B$1001,0),IFERROR(MATCH(VALUE($D76),입력_기본자료!$B$2:$B$1001,0),0)))&gt;0,"확인","미등록"))</f>
        <v/>
      </c>
      <c r="F76" s="28">
        <f>IF($C76="","",INDEX(입력_인턴근무계획!$S$3:$S$402,$A76))</f>
        <v/>
      </c>
      <c r="G76" s="26">
        <f>IF(OR($C76="",$G$3=""),"",IF(INDEX(입력_인턴근무계획!$M$3:$R$402,$A76,$G$3)&amp;""="","",IF(LEFT(INDEX(입력_인턴근무계획!$M$3:$R$402,$A76,$G$3)&amp;"",1)="⚠",INDEX(입력_인턴근무계획!$M$3:$R$402,$A76,$G$3)&amp;"",LEFT(INDEX(입력_인턴근무계획!$M$3:$R$402,$A76,$G$3)&amp;"",FIND(" ",INDEX(입력_인턴근무계획!$M$3:$R$402,$A76,$G$3)&amp;"")-1))))</f>
        <v/>
      </c>
      <c r="H76" s="26">
        <f>IF(OR($C76="",$G$3=""),"",IF(INDEX(입력_인턴근무계획!$M$3:$R$402,$A76,$G$3)&amp;""="","",IF(LEFT(INDEX(입력_인턴근무계획!$M$3:$R$402,$A76,$G$3)&amp;"",1)="⚠","",MID(INDEX(입력_인턴근무계획!$M$3:$R$402,$A76,$G$3)&amp;"",FIND(" ",INDEX(입력_인턴근무계획!$M$3:$R$402,$A76,$G$3)&amp;"")+1,60))))</f>
        <v/>
      </c>
      <c r="I76" s="26">
        <f>IF(OR($C76="",$I$3=""),"",IF(INDEX(입력_인턴근무계획!$M$3:$R$402,$A76,$I$3)&amp;""="","",IF(LEFT(INDEX(입력_인턴근무계획!$M$3:$R$402,$A76,$I$3)&amp;"",1)="⚠",INDEX(입력_인턴근무계획!$M$3:$R$402,$A76,$I$3)&amp;"",LEFT(INDEX(입력_인턴근무계획!$M$3:$R$402,$A76,$I$3)&amp;"",FIND(" ",INDEX(입력_인턴근무계획!$M$3:$R$402,$A76,$I$3)&amp;"")-1))))</f>
        <v/>
      </c>
      <c r="J76" s="26">
        <f>IF(OR($C76="",$I$3=""),"",IF(INDEX(입력_인턴근무계획!$M$3:$R$402,$A76,$I$3)&amp;""="","",IF(LEFT(INDEX(입력_인턴근무계획!$M$3:$R$402,$A76,$I$3)&amp;"",1)="⚠","",MID(INDEX(입력_인턴근무계획!$M$3:$R$402,$A76,$I$3)&amp;"",FIND(" ",INDEX(입력_인턴근무계획!$M$3:$R$402,$A76,$I$3)&amp;"")+1,60))))</f>
        <v/>
      </c>
      <c r="K76" s="26">
        <f>IF($C76="","",INDEX(입력_인턴근무계획!$M$3:$M$402,$A76)&amp;"")</f>
        <v/>
      </c>
      <c r="L76" s="26">
        <f>IF($C76="","",INDEX(입력_인턴근무계획!$N$3:$N$402,$A76)&amp;"")</f>
        <v/>
      </c>
      <c r="M76" s="26">
        <f>IF($C76="","",INDEX(입력_인턴근무계획!$O$3:$O$402,$A76)&amp;"")</f>
        <v/>
      </c>
      <c r="N76" s="26">
        <f>IF($C76="","",INDEX(입력_인턴근무계획!$P$3:$P$402,$A76)&amp;"")</f>
        <v/>
      </c>
      <c r="O76" s="26">
        <f>IF($C76="","",INDEX(입력_인턴근무계획!$Q$3:$Q$402,$A76)&amp;"")</f>
        <v/>
      </c>
      <c r="P76" s="26">
        <f>IF($C76="","",INDEX(입력_인턴근무계획!$R$3:$R$402,$A76)&amp;"")</f>
        <v/>
      </c>
      <c r="Q76" s="26">
        <f>IF($C76="","",INDEX(입력_인턴근무계획!$T$3:$T$402,$A76))</f>
        <v/>
      </c>
    </row>
    <row r="77">
      <c r="A77" s="29" t="n">
        <v>72</v>
      </c>
      <c r="B77" s="26">
        <f>IF($C77="","",INDEX(입력_인턴근무계획!$B$3:$B$402,$A77))</f>
        <v/>
      </c>
      <c r="C77" s="26">
        <f>IFERROR(TRIM(INDEX(입력_인턴근무계획!$C$3:$C$402,$A77)&amp;""),"")</f>
        <v/>
      </c>
      <c r="D77" s="26">
        <f>IF($C77="","",INDEX(입력_인턴근무계획!$D$3:$D$402,$A77))</f>
        <v/>
      </c>
      <c r="E77" s="26">
        <f>IF($C77="","",IF(IFERROR(MATCH($D77,입력_기본자료!$B$2:$B$1001,0),IFERROR(MATCH($D77&amp;"",입력_기본자료!$B$2:$B$1001,0),IFERROR(MATCH(VALUE($D77),입력_기본자료!$B$2:$B$1001,0),0)))&gt;0,"확인","미등록"))</f>
        <v/>
      </c>
      <c r="F77" s="28">
        <f>IF($C77="","",INDEX(입력_인턴근무계획!$S$3:$S$402,$A77))</f>
        <v/>
      </c>
      <c r="G77" s="26">
        <f>IF(OR($C77="",$G$3=""),"",IF(INDEX(입력_인턴근무계획!$M$3:$R$402,$A77,$G$3)&amp;""="","",IF(LEFT(INDEX(입력_인턴근무계획!$M$3:$R$402,$A77,$G$3)&amp;"",1)="⚠",INDEX(입력_인턴근무계획!$M$3:$R$402,$A77,$G$3)&amp;"",LEFT(INDEX(입력_인턴근무계획!$M$3:$R$402,$A77,$G$3)&amp;"",FIND(" ",INDEX(입력_인턴근무계획!$M$3:$R$402,$A77,$G$3)&amp;"")-1))))</f>
        <v/>
      </c>
      <c r="H77" s="26">
        <f>IF(OR($C77="",$G$3=""),"",IF(INDEX(입력_인턴근무계획!$M$3:$R$402,$A77,$G$3)&amp;""="","",IF(LEFT(INDEX(입력_인턴근무계획!$M$3:$R$402,$A77,$G$3)&amp;"",1)="⚠","",MID(INDEX(입력_인턴근무계획!$M$3:$R$402,$A77,$G$3)&amp;"",FIND(" ",INDEX(입력_인턴근무계획!$M$3:$R$402,$A77,$G$3)&amp;"")+1,60))))</f>
        <v/>
      </c>
      <c r="I77" s="26">
        <f>IF(OR($C77="",$I$3=""),"",IF(INDEX(입력_인턴근무계획!$M$3:$R$402,$A77,$I$3)&amp;""="","",IF(LEFT(INDEX(입력_인턴근무계획!$M$3:$R$402,$A77,$I$3)&amp;"",1)="⚠",INDEX(입력_인턴근무계획!$M$3:$R$402,$A77,$I$3)&amp;"",LEFT(INDEX(입력_인턴근무계획!$M$3:$R$402,$A77,$I$3)&amp;"",FIND(" ",INDEX(입력_인턴근무계획!$M$3:$R$402,$A77,$I$3)&amp;"")-1))))</f>
        <v/>
      </c>
      <c r="J77" s="26">
        <f>IF(OR($C77="",$I$3=""),"",IF(INDEX(입력_인턴근무계획!$M$3:$R$402,$A77,$I$3)&amp;""="","",IF(LEFT(INDEX(입력_인턴근무계획!$M$3:$R$402,$A77,$I$3)&amp;"",1)="⚠","",MID(INDEX(입력_인턴근무계획!$M$3:$R$402,$A77,$I$3)&amp;"",FIND(" ",INDEX(입력_인턴근무계획!$M$3:$R$402,$A77,$I$3)&amp;"")+1,60))))</f>
        <v/>
      </c>
      <c r="K77" s="26">
        <f>IF($C77="","",INDEX(입력_인턴근무계획!$M$3:$M$402,$A77)&amp;"")</f>
        <v/>
      </c>
      <c r="L77" s="26">
        <f>IF($C77="","",INDEX(입력_인턴근무계획!$N$3:$N$402,$A77)&amp;"")</f>
        <v/>
      </c>
      <c r="M77" s="26">
        <f>IF($C77="","",INDEX(입력_인턴근무계획!$O$3:$O$402,$A77)&amp;"")</f>
        <v/>
      </c>
      <c r="N77" s="26">
        <f>IF($C77="","",INDEX(입력_인턴근무계획!$P$3:$P$402,$A77)&amp;"")</f>
        <v/>
      </c>
      <c r="O77" s="26">
        <f>IF($C77="","",INDEX(입력_인턴근무계획!$Q$3:$Q$402,$A77)&amp;"")</f>
        <v/>
      </c>
      <c r="P77" s="26">
        <f>IF($C77="","",INDEX(입력_인턴근무계획!$R$3:$R$402,$A77)&amp;"")</f>
        <v/>
      </c>
      <c r="Q77" s="26">
        <f>IF($C77="","",INDEX(입력_인턴근무계획!$T$3:$T$402,$A77))</f>
        <v/>
      </c>
    </row>
    <row r="78">
      <c r="A78" s="29" t="n">
        <v>73</v>
      </c>
      <c r="B78" s="26">
        <f>IF($C78="","",INDEX(입력_인턴근무계획!$B$3:$B$402,$A78))</f>
        <v/>
      </c>
      <c r="C78" s="26">
        <f>IFERROR(TRIM(INDEX(입력_인턴근무계획!$C$3:$C$402,$A78)&amp;""),"")</f>
        <v/>
      </c>
      <c r="D78" s="26">
        <f>IF($C78="","",INDEX(입력_인턴근무계획!$D$3:$D$402,$A78))</f>
        <v/>
      </c>
      <c r="E78" s="26">
        <f>IF($C78="","",IF(IFERROR(MATCH($D78,입력_기본자료!$B$2:$B$1001,0),IFERROR(MATCH($D78&amp;"",입력_기본자료!$B$2:$B$1001,0),IFERROR(MATCH(VALUE($D78),입력_기본자료!$B$2:$B$1001,0),0)))&gt;0,"확인","미등록"))</f>
        <v/>
      </c>
      <c r="F78" s="28">
        <f>IF($C78="","",INDEX(입력_인턴근무계획!$S$3:$S$402,$A78))</f>
        <v/>
      </c>
      <c r="G78" s="26">
        <f>IF(OR($C78="",$G$3=""),"",IF(INDEX(입력_인턴근무계획!$M$3:$R$402,$A78,$G$3)&amp;""="","",IF(LEFT(INDEX(입력_인턴근무계획!$M$3:$R$402,$A78,$G$3)&amp;"",1)="⚠",INDEX(입력_인턴근무계획!$M$3:$R$402,$A78,$G$3)&amp;"",LEFT(INDEX(입력_인턴근무계획!$M$3:$R$402,$A78,$G$3)&amp;"",FIND(" ",INDEX(입력_인턴근무계획!$M$3:$R$402,$A78,$G$3)&amp;"")-1))))</f>
        <v/>
      </c>
      <c r="H78" s="26">
        <f>IF(OR($C78="",$G$3=""),"",IF(INDEX(입력_인턴근무계획!$M$3:$R$402,$A78,$G$3)&amp;""="","",IF(LEFT(INDEX(입력_인턴근무계획!$M$3:$R$402,$A78,$G$3)&amp;"",1)="⚠","",MID(INDEX(입력_인턴근무계획!$M$3:$R$402,$A78,$G$3)&amp;"",FIND(" ",INDEX(입력_인턴근무계획!$M$3:$R$402,$A78,$G$3)&amp;"")+1,60))))</f>
        <v/>
      </c>
      <c r="I78" s="26">
        <f>IF(OR($C78="",$I$3=""),"",IF(INDEX(입력_인턴근무계획!$M$3:$R$402,$A78,$I$3)&amp;""="","",IF(LEFT(INDEX(입력_인턴근무계획!$M$3:$R$402,$A78,$I$3)&amp;"",1)="⚠",INDEX(입력_인턴근무계획!$M$3:$R$402,$A78,$I$3)&amp;"",LEFT(INDEX(입력_인턴근무계획!$M$3:$R$402,$A78,$I$3)&amp;"",FIND(" ",INDEX(입력_인턴근무계획!$M$3:$R$402,$A78,$I$3)&amp;"")-1))))</f>
        <v/>
      </c>
      <c r="J78" s="26">
        <f>IF(OR($C78="",$I$3=""),"",IF(INDEX(입력_인턴근무계획!$M$3:$R$402,$A78,$I$3)&amp;""="","",IF(LEFT(INDEX(입력_인턴근무계획!$M$3:$R$402,$A78,$I$3)&amp;"",1)="⚠","",MID(INDEX(입력_인턴근무계획!$M$3:$R$402,$A78,$I$3)&amp;"",FIND(" ",INDEX(입력_인턴근무계획!$M$3:$R$402,$A78,$I$3)&amp;"")+1,60))))</f>
        <v/>
      </c>
      <c r="K78" s="26">
        <f>IF($C78="","",INDEX(입력_인턴근무계획!$M$3:$M$402,$A78)&amp;"")</f>
        <v/>
      </c>
      <c r="L78" s="26">
        <f>IF($C78="","",INDEX(입력_인턴근무계획!$N$3:$N$402,$A78)&amp;"")</f>
        <v/>
      </c>
      <c r="M78" s="26">
        <f>IF($C78="","",INDEX(입력_인턴근무계획!$O$3:$O$402,$A78)&amp;"")</f>
        <v/>
      </c>
      <c r="N78" s="26">
        <f>IF($C78="","",INDEX(입력_인턴근무계획!$P$3:$P$402,$A78)&amp;"")</f>
        <v/>
      </c>
      <c r="O78" s="26">
        <f>IF($C78="","",INDEX(입력_인턴근무계획!$Q$3:$Q$402,$A78)&amp;"")</f>
        <v/>
      </c>
      <c r="P78" s="26">
        <f>IF($C78="","",INDEX(입력_인턴근무계획!$R$3:$R$402,$A78)&amp;"")</f>
        <v/>
      </c>
      <c r="Q78" s="26">
        <f>IF($C78="","",INDEX(입력_인턴근무계획!$T$3:$T$402,$A78))</f>
        <v/>
      </c>
    </row>
    <row r="79">
      <c r="A79" s="29" t="n">
        <v>74</v>
      </c>
      <c r="B79" s="26">
        <f>IF($C79="","",INDEX(입력_인턴근무계획!$B$3:$B$402,$A79))</f>
        <v/>
      </c>
      <c r="C79" s="26">
        <f>IFERROR(TRIM(INDEX(입력_인턴근무계획!$C$3:$C$402,$A79)&amp;""),"")</f>
        <v/>
      </c>
      <c r="D79" s="26">
        <f>IF($C79="","",INDEX(입력_인턴근무계획!$D$3:$D$402,$A79))</f>
        <v/>
      </c>
      <c r="E79" s="26">
        <f>IF($C79="","",IF(IFERROR(MATCH($D79,입력_기본자료!$B$2:$B$1001,0),IFERROR(MATCH($D79&amp;"",입력_기본자료!$B$2:$B$1001,0),IFERROR(MATCH(VALUE($D79),입력_기본자료!$B$2:$B$1001,0),0)))&gt;0,"확인","미등록"))</f>
        <v/>
      </c>
      <c r="F79" s="28">
        <f>IF($C79="","",INDEX(입력_인턴근무계획!$S$3:$S$402,$A79))</f>
        <v/>
      </c>
      <c r="G79" s="26">
        <f>IF(OR($C79="",$G$3=""),"",IF(INDEX(입력_인턴근무계획!$M$3:$R$402,$A79,$G$3)&amp;""="","",IF(LEFT(INDEX(입력_인턴근무계획!$M$3:$R$402,$A79,$G$3)&amp;"",1)="⚠",INDEX(입력_인턴근무계획!$M$3:$R$402,$A79,$G$3)&amp;"",LEFT(INDEX(입력_인턴근무계획!$M$3:$R$402,$A79,$G$3)&amp;"",FIND(" ",INDEX(입력_인턴근무계획!$M$3:$R$402,$A79,$G$3)&amp;"")-1))))</f>
        <v/>
      </c>
      <c r="H79" s="26">
        <f>IF(OR($C79="",$G$3=""),"",IF(INDEX(입력_인턴근무계획!$M$3:$R$402,$A79,$G$3)&amp;""="","",IF(LEFT(INDEX(입력_인턴근무계획!$M$3:$R$402,$A79,$G$3)&amp;"",1)="⚠","",MID(INDEX(입력_인턴근무계획!$M$3:$R$402,$A79,$G$3)&amp;"",FIND(" ",INDEX(입력_인턴근무계획!$M$3:$R$402,$A79,$G$3)&amp;"")+1,60))))</f>
        <v/>
      </c>
      <c r="I79" s="26">
        <f>IF(OR($C79="",$I$3=""),"",IF(INDEX(입력_인턴근무계획!$M$3:$R$402,$A79,$I$3)&amp;""="","",IF(LEFT(INDEX(입력_인턴근무계획!$M$3:$R$402,$A79,$I$3)&amp;"",1)="⚠",INDEX(입력_인턴근무계획!$M$3:$R$402,$A79,$I$3)&amp;"",LEFT(INDEX(입력_인턴근무계획!$M$3:$R$402,$A79,$I$3)&amp;"",FIND(" ",INDEX(입력_인턴근무계획!$M$3:$R$402,$A79,$I$3)&amp;"")-1))))</f>
        <v/>
      </c>
      <c r="J79" s="26">
        <f>IF(OR($C79="",$I$3=""),"",IF(INDEX(입력_인턴근무계획!$M$3:$R$402,$A79,$I$3)&amp;""="","",IF(LEFT(INDEX(입력_인턴근무계획!$M$3:$R$402,$A79,$I$3)&amp;"",1)="⚠","",MID(INDEX(입력_인턴근무계획!$M$3:$R$402,$A79,$I$3)&amp;"",FIND(" ",INDEX(입력_인턴근무계획!$M$3:$R$402,$A79,$I$3)&amp;"")+1,60))))</f>
        <v/>
      </c>
      <c r="K79" s="26">
        <f>IF($C79="","",INDEX(입력_인턴근무계획!$M$3:$M$402,$A79)&amp;"")</f>
        <v/>
      </c>
      <c r="L79" s="26">
        <f>IF($C79="","",INDEX(입력_인턴근무계획!$N$3:$N$402,$A79)&amp;"")</f>
        <v/>
      </c>
      <c r="M79" s="26">
        <f>IF($C79="","",INDEX(입력_인턴근무계획!$O$3:$O$402,$A79)&amp;"")</f>
        <v/>
      </c>
      <c r="N79" s="26">
        <f>IF($C79="","",INDEX(입력_인턴근무계획!$P$3:$P$402,$A79)&amp;"")</f>
        <v/>
      </c>
      <c r="O79" s="26">
        <f>IF($C79="","",INDEX(입력_인턴근무계획!$Q$3:$Q$402,$A79)&amp;"")</f>
        <v/>
      </c>
      <c r="P79" s="26">
        <f>IF($C79="","",INDEX(입력_인턴근무계획!$R$3:$R$402,$A79)&amp;"")</f>
        <v/>
      </c>
      <c r="Q79" s="26">
        <f>IF($C79="","",INDEX(입력_인턴근무계획!$T$3:$T$402,$A79))</f>
        <v/>
      </c>
    </row>
    <row r="80">
      <c r="A80" s="29" t="n">
        <v>75</v>
      </c>
      <c r="B80" s="26">
        <f>IF($C80="","",INDEX(입력_인턴근무계획!$B$3:$B$402,$A80))</f>
        <v/>
      </c>
      <c r="C80" s="26">
        <f>IFERROR(TRIM(INDEX(입력_인턴근무계획!$C$3:$C$402,$A80)&amp;""),"")</f>
        <v/>
      </c>
      <c r="D80" s="26">
        <f>IF($C80="","",INDEX(입력_인턴근무계획!$D$3:$D$402,$A80))</f>
        <v/>
      </c>
      <c r="E80" s="26">
        <f>IF($C80="","",IF(IFERROR(MATCH($D80,입력_기본자료!$B$2:$B$1001,0),IFERROR(MATCH($D80&amp;"",입력_기본자료!$B$2:$B$1001,0),IFERROR(MATCH(VALUE($D80),입력_기본자료!$B$2:$B$1001,0),0)))&gt;0,"확인","미등록"))</f>
        <v/>
      </c>
      <c r="F80" s="28">
        <f>IF($C80="","",INDEX(입력_인턴근무계획!$S$3:$S$402,$A80))</f>
        <v/>
      </c>
      <c r="G80" s="26">
        <f>IF(OR($C80="",$G$3=""),"",IF(INDEX(입력_인턴근무계획!$M$3:$R$402,$A80,$G$3)&amp;""="","",IF(LEFT(INDEX(입력_인턴근무계획!$M$3:$R$402,$A80,$G$3)&amp;"",1)="⚠",INDEX(입력_인턴근무계획!$M$3:$R$402,$A80,$G$3)&amp;"",LEFT(INDEX(입력_인턴근무계획!$M$3:$R$402,$A80,$G$3)&amp;"",FIND(" ",INDEX(입력_인턴근무계획!$M$3:$R$402,$A80,$G$3)&amp;"")-1))))</f>
        <v/>
      </c>
      <c r="H80" s="26">
        <f>IF(OR($C80="",$G$3=""),"",IF(INDEX(입력_인턴근무계획!$M$3:$R$402,$A80,$G$3)&amp;""="","",IF(LEFT(INDEX(입력_인턴근무계획!$M$3:$R$402,$A80,$G$3)&amp;"",1)="⚠","",MID(INDEX(입력_인턴근무계획!$M$3:$R$402,$A80,$G$3)&amp;"",FIND(" ",INDEX(입력_인턴근무계획!$M$3:$R$402,$A80,$G$3)&amp;"")+1,60))))</f>
        <v/>
      </c>
      <c r="I80" s="26">
        <f>IF(OR($C80="",$I$3=""),"",IF(INDEX(입력_인턴근무계획!$M$3:$R$402,$A80,$I$3)&amp;""="","",IF(LEFT(INDEX(입력_인턴근무계획!$M$3:$R$402,$A80,$I$3)&amp;"",1)="⚠",INDEX(입력_인턴근무계획!$M$3:$R$402,$A80,$I$3)&amp;"",LEFT(INDEX(입력_인턴근무계획!$M$3:$R$402,$A80,$I$3)&amp;"",FIND(" ",INDEX(입력_인턴근무계획!$M$3:$R$402,$A80,$I$3)&amp;"")-1))))</f>
        <v/>
      </c>
      <c r="J80" s="26">
        <f>IF(OR($C80="",$I$3=""),"",IF(INDEX(입력_인턴근무계획!$M$3:$R$402,$A80,$I$3)&amp;""="","",IF(LEFT(INDEX(입력_인턴근무계획!$M$3:$R$402,$A80,$I$3)&amp;"",1)="⚠","",MID(INDEX(입력_인턴근무계획!$M$3:$R$402,$A80,$I$3)&amp;"",FIND(" ",INDEX(입력_인턴근무계획!$M$3:$R$402,$A80,$I$3)&amp;"")+1,60))))</f>
        <v/>
      </c>
      <c r="K80" s="26">
        <f>IF($C80="","",INDEX(입력_인턴근무계획!$M$3:$M$402,$A80)&amp;"")</f>
        <v/>
      </c>
      <c r="L80" s="26">
        <f>IF($C80="","",INDEX(입력_인턴근무계획!$N$3:$N$402,$A80)&amp;"")</f>
        <v/>
      </c>
      <c r="M80" s="26">
        <f>IF($C80="","",INDEX(입력_인턴근무계획!$O$3:$O$402,$A80)&amp;"")</f>
        <v/>
      </c>
      <c r="N80" s="26">
        <f>IF($C80="","",INDEX(입력_인턴근무계획!$P$3:$P$402,$A80)&amp;"")</f>
        <v/>
      </c>
      <c r="O80" s="26">
        <f>IF($C80="","",INDEX(입력_인턴근무계획!$Q$3:$Q$402,$A80)&amp;"")</f>
        <v/>
      </c>
      <c r="P80" s="26">
        <f>IF($C80="","",INDEX(입력_인턴근무계획!$R$3:$R$402,$A80)&amp;"")</f>
        <v/>
      </c>
      <c r="Q80" s="26">
        <f>IF($C80="","",INDEX(입력_인턴근무계획!$T$3:$T$402,$A80))</f>
        <v/>
      </c>
    </row>
    <row r="81">
      <c r="A81" s="29" t="n">
        <v>76</v>
      </c>
      <c r="B81" s="26">
        <f>IF($C81="","",INDEX(입력_인턴근무계획!$B$3:$B$402,$A81))</f>
        <v/>
      </c>
      <c r="C81" s="26">
        <f>IFERROR(TRIM(INDEX(입력_인턴근무계획!$C$3:$C$402,$A81)&amp;""),"")</f>
        <v/>
      </c>
      <c r="D81" s="26">
        <f>IF($C81="","",INDEX(입력_인턴근무계획!$D$3:$D$402,$A81))</f>
        <v/>
      </c>
      <c r="E81" s="26">
        <f>IF($C81="","",IF(IFERROR(MATCH($D81,입력_기본자료!$B$2:$B$1001,0),IFERROR(MATCH($D81&amp;"",입력_기본자료!$B$2:$B$1001,0),IFERROR(MATCH(VALUE($D81),입력_기본자료!$B$2:$B$1001,0),0)))&gt;0,"확인","미등록"))</f>
        <v/>
      </c>
      <c r="F81" s="28">
        <f>IF($C81="","",INDEX(입력_인턴근무계획!$S$3:$S$402,$A81))</f>
        <v/>
      </c>
      <c r="G81" s="26">
        <f>IF(OR($C81="",$G$3=""),"",IF(INDEX(입력_인턴근무계획!$M$3:$R$402,$A81,$G$3)&amp;""="","",IF(LEFT(INDEX(입력_인턴근무계획!$M$3:$R$402,$A81,$G$3)&amp;"",1)="⚠",INDEX(입력_인턴근무계획!$M$3:$R$402,$A81,$G$3)&amp;"",LEFT(INDEX(입력_인턴근무계획!$M$3:$R$402,$A81,$G$3)&amp;"",FIND(" ",INDEX(입력_인턴근무계획!$M$3:$R$402,$A81,$G$3)&amp;"")-1))))</f>
        <v/>
      </c>
      <c r="H81" s="26">
        <f>IF(OR($C81="",$G$3=""),"",IF(INDEX(입력_인턴근무계획!$M$3:$R$402,$A81,$G$3)&amp;""="","",IF(LEFT(INDEX(입력_인턴근무계획!$M$3:$R$402,$A81,$G$3)&amp;"",1)="⚠","",MID(INDEX(입력_인턴근무계획!$M$3:$R$402,$A81,$G$3)&amp;"",FIND(" ",INDEX(입력_인턴근무계획!$M$3:$R$402,$A81,$G$3)&amp;"")+1,60))))</f>
        <v/>
      </c>
      <c r="I81" s="26">
        <f>IF(OR($C81="",$I$3=""),"",IF(INDEX(입력_인턴근무계획!$M$3:$R$402,$A81,$I$3)&amp;""="","",IF(LEFT(INDEX(입력_인턴근무계획!$M$3:$R$402,$A81,$I$3)&amp;"",1)="⚠",INDEX(입력_인턴근무계획!$M$3:$R$402,$A81,$I$3)&amp;"",LEFT(INDEX(입력_인턴근무계획!$M$3:$R$402,$A81,$I$3)&amp;"",FIND(" ",INDEX(입력_인턴근무계획!$M$3:$R$402,$A81,$I$3)&amp;"")-1))))</f>
        <v/>
      </c>
      <c r="J81" s="26">
        <f>IF(OR($C81="",$I$3=""),"",IF(INDEX(입력_인턴근무계획!$M$3:$R$402,$A81,$I$3)&amp;""="","",IF(LEFT(INDEX(입력_인턴근무계획!$M$3:$R$402,$A81,$I$3)&amp;"",1)="⚠","",MID(INDEX(입력_인턴근무계획!$M$3:$R$402,$A81,$I$3)&amp;"",FIND(" ",INDEX(입력_인턴근무계획!$M$3:$R$402,$A81,$I$3)&amp;"")+1,60))))</f>
        <v/>
      </c>
      <c r="K81" s="26">
        <f>IF($C81="","",INDEX(입력_인턴근무계획!$M$3:$M$402,$A81)&amp;"")</f>
        <v/>
      </c>
      <c r="L81" s="26">
        <f>IF($C81="","",INDEX(입력_인턴근무계획!$N$3:$N$402,$A81)&amp;"")</f>
        <v/>
      </c>
      <c r="M81" s="26">
        <f>IF($C81="","",INDEX(입력_인턴근무계획!$O$3:$O$402,$A81)&amp;"")</f>
        <v/>
      </c>
      <c r="N81" s="26">
        <f>IF($C81="","",INDEX(입력_인턴근무계획!$P$3:$P$402,$A81)&amp;"")</f>
        <v/>
      </c>
      <c r="O81" s="26">
        <f>IF($C81="","",INDEX(입력_인턴근무계획!$Q$3:$Q$402,$A81)&amp;"")</f>
        <v/>
      </c>
      <c r="P81" s="26">
        <f>IF($C81="","",INDEX(입력_인턴근무계획!$R$3:$R$402,$A81)&amp;"")</f>
        <v/>
      </c>
      <c r="Q81" s="26">
        <f>IF($C81="","",INDEX(입력_인턴근무계획!$T$3:$T$402,$A81))</f>
        <v/>
      </c>
    </row>
    <row r="82">
      <c r="A82" s="29" t="n">
        <v>77</v>
      </c>
      <c r="B82" s="26">
        <f>IF($C82="","",INDEX(입력_인턴근무계획!$B$3:$B$402,$A82))</f>
        <v/>
      </c>
      <c r="C82" s="26">
        <f>IFERROR(TRIM(INDEX(입력_인턴근무계획!$C$3:$C$402,$A82)&amp;""),"")</f>
        <v/>
      </c>
      <c r="D82" s="26">
        <f>IF($C82="","",INDEX(입력_인턴근무계획!$D$3:$D$402,$A82))</f>
        <v/>
      </c>
      <c r="E82" s="26">
        <f>IF($C82="","",IF(IFERROR(MATCH($D82,입력_기본자료!$B$2:$B$1001,0),IFERROR(MATCH($D82&amp;"",입력_기본자료!$B$2:$B$1001,0),IFERROR(MATCH(VALUE($D82),입력_기본자료!$B$2:$B$1001,0),0)))&gt;0,"확인","미등록"))</f>
        <v/>
      </c>
      <c r="F82" s="28">
        <f>IF($C82="","",INDEX(입력_인턴근무계획!$S$3:$S$402,$A82))</f>
        <v/>
      </c>
      <c r="G82" s="26">
        <f>IF(OR($C82="",$G$3=""),"",IF(INDEX(입력_인턴근무계획!$M$3:$R$402,$A82,$G$3)&amp;""="","",IF(LEFT(INDEX(입력_인턴근무계획!$M$3:$R$402,$A82,$G$3)&amp;"",1)="⚠",INDEX(입력_인턴근무계획!$M$3:$R$402,$A82,$G$3)&amp;"",LEFT(INDEX(입력_인턴근무계획!$M$3:$R$402,$A82,$G$3)&amp;"",FIND(" ",INDEX(입력_인턴근무계획!$M$3:$R$402,$A82,$G$3)&amp;"")-1))))</f>
        <v/>
      </c>
      <c r="H82" s="26">
        <f>IF(OR($C82="",$G$3=""),"",IF(INDEX(입력_인턴근무계획!$M$3:$R$402,$A82,$G$3)&amp;""="","",IF(LEFT(INDEX(입력_인턴근무계획!$M$3:$R$402,$A82,$G$3)&amp;"",1)="⚠","",MID(INDEX(입력_인턴근무계획!$M$3:$R$402,$A82,$G$3)&amp;"",FIND(" ",INDEX(입력_인턴근무계획!$M$3:$R$402,$A82,$G$3)&amp;"")+1,60))))</f>
        <v/>
      </c>
      <c r="I82" s="26">
        <f>IF(OR($C82="",$I$3=""),"",IF(INDEX(입력_인턴근무계획!$M$3:$R$402,$A82,$I$3)&amp;""="","",IF(LEFT(INDEX(입력_인턴근무계획!$M$3:$R$402,$A82,$I$3)&amp;"",1)="⚠",INDEX(입력_인턴근무계획!$M$3:$R$402,$A82,$I$3)&amp;"",LEFT(INDEX(입력_인턴근무계획!$M$3:$R$402,$A82,$I$3)&amp;"",FIND(" ",INDEX(입력_인턴근무계획!$M$3:$R$402,$A82,$I$3)&amp;"")-1))))</f>
        <v/>
      </c>
      <c r="J82" s="26">
        <f>IF(OR($C82="",$I$3=""),"",IF(INDEX(입력_인턴근무계획!$M$3:$R$402,$A82,$I$3)&amp;""="","",IF(LEFT(INDEX(입력_인턴근무계획!$M$3:$R$402,$A82,$I$3)&amp;"",1)="⚠","",MID(INDEX(입력_인턴근무계획!$M$3:$R$402,$A82,$I$3)&amp;"",FIND(" ",INDEX(입력_인턴근무계획!$M$3:$R$402,$A82,$I$3)&amp;"")+1,60))))</f>
        <v/>
      </c>
      <c r="K82" s="26">
        <f>IF($C82="","",INDEX(입력_인턴근무계획!$M$3:$M$402,$A82)&amp;"")</f>
        <v/>
      </c>
      <c r="L82" s="26">
        <f>IF($C82="","",INDEX(입력_인턴근무계획!$N$3:$N$402,$A82)&amp;"")</f>
        <v/>
      </c>
      <c r="M82" s="26">
        <f>IF($C82="","",INDEX(입력_인턴근무계획!$O$3:$O$402,$A82)&amp;"")</f>
        <v/>
      </c>
      <c r="N82" s="26">
        <f>IF($C82="","",INDEX(입력_인턴근무계획!$P$3:$P$402,$A82)&amp;"")</f>
        <v/>
      </c>
      <c r="O82" s="26">
        <f>IF($C82="","",INDEX(입력_인턴근무계획!$Q$3:$Q$402,$A82)&amp;"")</f>
        <v/>
      </c>
      <c r="P82" s="26">
        <f>IF($C82="","",INDEX(입력_인턴근무계획!$R$3:$R$402,$A82)&amp;"")</f>
        <v/>
      </c>
      <c r="Q82" s="26">
        <f>IF($C82="","",INDEX(입력_인턴근무계획!$T$3:$T$402,$A82))</f>
        <v/>
      </c>
    </row>
    <row r="83">
      <c r="A83" s="29" t="n">
        <v>78</v>
      </c>
      <c r="B83" s="26">
        <f>IF($C83="","",INDEX(입력_인턴근무계획!$B$3:$B$402,$A83))</f>
        <v/>
      </c>
      <c r="C83" s="26">
        <f>IFERROR(TRIM(INDEX(입력_인턴근무계획!$C$3:$C$402,$A83)&amp;""),"")</f>
        <v/>
      </c>
      <c r="D83" s="26">
        <f>IF($C83="","",INDEX(입력_인턴근무계획!$D$3:$D$402,$A83))</f>
        <v/>
      </c>
      <c r="E83" s="26">
        <f>IF($C83="","",IF(IFERROR(MATCH($D83,입력_기본자료!$B$2:$B$1001,0),IFERROR(MATCH($D83&amp;"",입력_기본자료!$B$2:$B$1001,0),IFERROR(MATCH(VALUE($D83),입력_기본자료!$B$2:$B$1001,0),0)))&gt;0,"확인","미등록"))</f>
        <v/>
      </c>
      <c r="F83" s="28">
        <f>IF($C83="","",INDEX(입력_인턴근무계획!$S$3:$S$402,$A83))</f>
        <v/>
      </c>
      <c r="G83" s="26">
        <f>IF(OR($C83="",$G$3=""),"",IF(INDEX(입력_인턴근무계획!$M$3:$R$402,$A83,$G$3)&amp;""="","",IF(LEFT(INDEX(입력_인턴근무계획!$M$3:$R$402,$A83,$G$3)&amp;"",1)="⚠",INDEX(입력_인턴근무계획!$M$3:$R$402,$A83,$G$3)&amp;"",LEFT(INDEX(입력_인턴근무계획!$M$3:$R$402,$A83,$G$3)&amp;"",FIND(" ",INDEX(입력_인턴근무계획!$M$3:$R$402,$A83,$G$3)&amp;"")-1))))</f>
        <v/>
      </c>
      <c r="H83" s="26">
        <f>IF(OR($C83="",$G$3=""),"",IF(INDEX(입력_인턴근무계획!$M$3:$R$402,$A83,$G$3)&amp;""="","",IF(LEFT(INDEX(입력_인턴근무계획!$M$3:$R$402,$A83,$G$3)&amp;"",1)="⚠","",MID(INDEX(입력_인턴근무계획!$M$3:$R$402,$A83,$G$3)&amp;"",FIND(" ",INDEX(입력_인턴근무계획!$M$3:$R$402,$A83,$G$3)&amp;"")+1,60))))</f>
        <v/>
      </c>
      <c r="I83" s="26">
        <f>IF(OR($C83="",$I$3=""),"",IF(INDEX(입력_인턴근무계획!$M$3:$R$402,$A83,$I$3)&amp;""="","",IF(LEFT(INDEX(입력_인턴근무계획!$M$3:$R$402,$A83,$I$3)&amp;"",1)="⚠",INDEX(입력_인턴근무계획!$M$3:$R$402,$A83,$I$3)&amp;"",LEFT(INDEX(입력_인턴근무계획!$M$3:$R$402,$A83,$I$3)&amp;"",FIND(" ",INDEX(입력_인턴근무계획!$M$3:$R$402,$A83,$I$3)&amp;"")-1))))</f>
        <v/>
      </c>
      <c r="J83" s="26">
        <f>IF(OR($C83="",$I$3=""),"",IF(INDEX(입력_인턴근무계획!$M$3:$R$402,$A83,$I$3)&amp;""="","",IF(LEFT(INDEX(입력_인턴근무계획!$M$3:$R$402,$A83,$I$3)&amp;"",1)="⚠","",MID(INDEX(입력_인턴근무계획!$M$3:$R$402,$A83,$I$3)&amp;"",FIND(" ",INDEX(입력_인턴근무계획!$M$3:$R$402,$A83,$I$3)&amp;"")+1,60))))</f>
        <v/>
      </c>
      <c r="K83" s="26">
        <f>IF($C83="","",INDEX(입력_인턴근무계획!$M$3:$M$402,$A83)&amp;"")</f>
        <v/>
      </c>
      <c r="L83" s="26">
        <f>IF($C83="","",INDEX(입력_인턴근무계획!$N$3:$N$402,$A83)&amp;"")</f>
        <v/>
      </c>
      <c r="M83" s="26">
        <f>IF($C83="","",INDEX(입력_인턴근무계획!$O$3:$O$402,$A83)&amp;"")</f>
        <v/>
      </c>
      <c r="N83" s="26">
        <f>IF($C83="","",INDEX(입력_인턴근무계획!$P$3:$P$402,$A83)&amp;"")</f>
        <v/>
      </c>
      <c r="O83" s="26">
        <f>IF($C83="","",INDEX(입력_인턴근무계획!$Q$3:$Q$402,$A83)&amp;"")</f>
        <v/>
      </c>
      <c r="P83" s="26">
        <f>IF($C83="","",INDEX(입력_인턴근무계획!$R$3:$R$402,$A83)&amp;"")</f>
        <v/>
      </c>
      <c r="Q83" s="26">
        <f>IF($C83="","",INDEX(입력_인턴근무계획!$T$3:$T$402,$A83))</f>
        <v/>
      </c>
    </row>
    <row r="84">
      <c r="A84" s="29" t="n">
        <v>79</v>
      </c>
      <c r="B84" s="26">
        <f>IF($C84="","",INDEX(입력_인턴근무계획!$B$3:$B$402,$A84))</f>
        <v/>
      </c>
      <c r="C84" s="26">
        <f>IFERROR(TRIM(INDEX(입력_인턴근무계획!$C$3:$C$402,$A84)&amp;""),"")</f>
        <v/>
      </c>
      <c r="D84" s="26">
        <f>IF($C84="","",INDEX(입력_인턴근무계획!$D$3:$D$402,$A84))</f>
        <v/>
      </c>
      <c r="E84" s="26">
        <f>IF($C84="","",IF(IFERROR(MATCH($D84,입력_기본자료!$B$2:$B$1001,0),IFERROR(MATCH($D84&amp;"",입력_기본자료!$B$2:$B$1001,0),IFERROR(MATCH(VALUE($D84),입력_기본자료!$B$2:$B$1001,0),0)))&gt;0,"확인","미등록"))</f>
        <v/>
      </c>
      <c r="F84" s="28">
        <f>IF($C84="","",INDEX(입력_인턴근무계획!$S$3:$S$402,$A84))</f>
        <v/>
      </c>
      <c r="G84" s="26">
        <f>IF(OR($C84="",$G$3=""),"",IF(INDEX(입력_인턴근무계획!$M$3:$R$402,$A84,$G$3)&amp;""="","",IF(LEFT(INDEX(입력_인턴근무계획!$M$3:$R$402,$A84,$G$3)&amp;"",1)="⚠",INDEX(입력_인턴근무계획!$M$3:$R$402,$A84,$G$3)&amp;"",LEFT(INDEX(입력_인턴근무계획!$M$3:$R$402,$A84,$G$3)&amp;"",FIND(" ",INDEX(입력_인턴근무계획!$M$3:$R$402,$A84,$G$3)&amp;"")-1))))</f>
        <v/>
      </c>
      <c r="H84" s="26">
        <f>IF(OR($C84="",$G$3=""),"",IF(INDEX(입력_인턴근무계획!$M$3:$R$402,$A84,$G$3)&amp;""="","",IF(LEFT(INDEX(입력_인턴근무계획!$M$3:$R$402,$A84,$G$3)&amp;"",1)="⚠","",MID(INDEX(입력_인턴근무계획!$M$3:$R$402,$A84,$G$3)&amp;"",FIND(" ",INDEX(입력_인턴근무계획!$M$3:$R$402,$A84,$G$3)&amp;"")+1,60))))</f>
        <v/>
      </c>
      <c r="I84" s="26">
        <f>IF(OR($C84="",$I$3=""),"",IF(INDEX(입력_인턴근무계획!$M$3:$R$402,$A84,$I$3)&amp;""="","",IF(LEFT(INDEX(입력_인턴근무계획!$M$3:$R$402,$A84,$I$3)&amp;"",1)="⚠",INDEX(입력_인턴근무계획!$M$3:$R$402,$A84,$I$3)&amp;"",LEFT(INDEX(입력_인턴근무계획!$M$3:$R$402,$A84,$I$3)&amp;"",FIND(" ",INDEX(입력_인턴근무계획!$M$3:$R$402,$A84,$I$3)&amp;"")-1))))</f>
        <v/>
      </c>
      <c r="J84" s="26">
        <f>IF(OR($C84="",$I$3=""),"",IF(INDEX(입력_인턴근무계획!$M$3:$R$402,$A84,$I$3)&amp;""="","",IF(LEFT(INDEX(입력_인턴근무계획!$M$3:$R$402,$A84,$I$3)&amp;"",1)="⚠","",MID(INDEX(입력_인턴근무계획!$M$3:$R$402,$A84,$I$3)&amp;"",FIND(" ",INDEX(입력_인턴근무계획!$M$3:$R$402,$A84,$I$3)&amp;"")+1,60))))</f>
        <v/>
      </c>
      <c r="K84" s="26">
        <f>IF($C84="","",INDEX(입력_인턴근무계획!$M$3:$M$402,$A84)&amp;"")</f>
        <v/>
      </c>
      <c r="L84" s="26">
        <f>IF($C84="","",INDEX(입력_인턴근무계획!$N$3:$N$402,$A84)&amp;"")</f>
        <v/>
      </c>
      <c r="M84" s="26">
        <f>IF($C84="","",INDEX(입력_인턴근무계획!$O$3:$O$402,$A84)&amp;"")</f>
        <v/>
      </c>
      <c r="N84" s="26">
        <f>IF($C84="","",INDEX(입력_인턴근무계획!$P$3:$P$402,$A84)&amp;"")</f>
        <v/>
      </c>
      <c r="O84" s="26">
        <f>IF($C84="","",INDEX(입력_인턴근무계획!$Q$3:$Q$402,$A84)&amp;"")</f>
        <v/>
      </c>
      <c r="P84" s="26">
        <f>IF($C84="","",INDEX(입력_인턴근무계획!$R$3:$R$402,$A84)&amp;"")</f>
        <v/>
      </c>
      <c r="Q84" s="26">
        <f>IF($C84="","",INDEX(입력_인턴근무계획!$T$3:$T$402,$A84))</f>
        <v/>
      </c>
    </row>
    <row r="85">
      <c r="A85" s="29" t="n">
        <v>80</v>
      </c>
      <c r="B85" s="26">
        <f>IF($C85="","",INDEX(입력_인턴근무계획!$B$3:$B$402,$A85))</f>
        <v/>
      </c>
      <c r="C85" s="26">
        <f>IFERROR(TRIM(INDEX(입력_인턴근무계획!$C$3:$C$402,$A85)&amp;""),"")</f>
        <v/>
      </c>
      <c r="D85" s="26">
        <f>IF($C85="","",INDEX(입력_인턴근무계획!$D$3:$D$402,$A85))</f>
        <v/>
      </c>
      <c r="E85" s="26">
        <f>IF($C85="","",IF(IFERROR(MATCH($D85,입력_기본자료!$B$2:$B$1001,0),IFERROR(MATCH($D85&amp;"",입력_기본자료!$B$2:$B$1001,0),IFERROR(MATCH(VALUE($D85),입력_기본자료!$B$2:$B$1001,0),0)))&gt;0,"확인","미등록"))</f>
        <v/>
      </c>
      <c r="F85" s="28">
        <f>IF($C85="","",INDEX(입력_인턴근무계획!$S$3:$S$402,$A85))</f>
        <v/>
      </c>
      <c r="G85" s="26">
        <f>IF(OR($C85="",$G$3=""),"",IF(INDEX(입력_인턴근무계획!$M$3:$R$402,$A85,$G$3)&amp;""="","",IF(LEFT(INDEX(입력_인턴근무계획!$M$3:$R$402,$A85,$G$3)&amp;"",1)="⚠",INDEX(입력_인턴근무계획!$M$3:$R$402,$A85,$G$3)&amp;"",LEFT(INDEX(입력_인턴근무계획!$M$3:$R$402,$A85,$G$3)&amp;"",FIND(" ",INDEX(입력_인턴근무계획!$M$3:$R$402,$A85,$G$3)&amp;"")-1))))</f>
        <v/>
      </c>
      <c r="H85" s="26">
        <f>IF(OR($C85="",$G$3=""),"",IF(INDEX(입력_인턴근무계획!$M$3:$R$402,$A85,$G$3)&amp;""="","",IF(LEFT(INDEX(입력_인턴근무계획!$M$3:$R$402,$A85,$G$3)&amp;"",1)="⚠","",MID(INDEX(입력_인턴근무계획!$M$3:$R$402,$A85,$G$3)&amp;"",FIND(" ",INDEX(입력_인턴근무계획!$M$3:$R$402,$A85,$G$3)&amp;"")+1,60))))</f>
        <v/>
      </c>
      <c r="I85" s="26">
        <f>IF(OR($C85="",$I$3=""),"",IF(INDEX(입력_인턴근무계획!$M$3:$R$402,$A85,$I$3)&amp;""="","",IF(LEFT(INDEX(입력_인턴근무계획!$M$3:$R$402,$A85,$I$3)&amp;"",1)="⚠",INDEX(입력_인턴근무계획!$M$3:$R$402,$A85,$I$3)&amp;"",LEFT(INDEX(입력_인턴근무계획!$M$3:$R$402,$A85,$I$3)&amp;"",FIND(" ",INDEX(입력_인턴근무계획!$M$3:$R$402,$A85,$I$3)&amp;"")-1))))</f>
        <v/>
      </c>
      <c r="J85" s="26">
        <f>IF(OR($C85="",$I$3=""),"",IF(INDEX(입력_인턴근무계획!$M$3:$R$402,$A85,$I$3)&amp;""="","",IF(LEFT(INDEX(입력_인턴근무계획!$M$3:$R$402,$A85,$I$3)&amp;"",1)="⚠","",MID(INDEX(입력_인턴근무계획!$M$3:$R$402,$A85,$I$3)&amp;"",FIND(" ",INDEX(입력_인턴근무계획!$M$3:$R$402,$A85,$I$3)&amp;"")+1,60))))</f>
        <v/>
      </c>
      <c r="K85" s="26">
        <f>IF($C85="","",INDEX(입력_인턴근무계획!$M$3:$M$402,$A85)&amp;"")</f>
        <v/>
      </c>
      <c r="L85" s="26">
        <f>IF($C85="","",INDEX(입력_인턴근무계획!$N$3:$N$402,$A85)&amp;"")</f>
        <v/>
      </c>
      <c r="M85" s="26">
        <f>IF($C85="","",INDEX(입력_인턴근무계획!$O$3:$O$402,$A85)&amp;"")</f>
        <v/>
      </c>
      <c r="N85" s="26">
        <f>IF($C85="","",INDEX(입력_인턴근무계획!$P$3:$P$402,$A85)&amp;"")</f>
        <v/>
      </c>
      <c r="O85" s="26">
        <f>IF($C85="","",INDEX(입력_인턴근무계획!$Q$3:$Q$402,$A85)&amp;"")</f>
        <v/>
      </c>
      <c r="P85" s="26">
        <f>IF($C85="","",INDEX(입력_인턴근무계획!$R$3:$R$402,$A85)&amp;"")</f>
        <v/>
      </c>
      <c r="Q85" s="26">
        <f>IF($C85="","",INDEX(입력_인턴근무계획!$T$3:$T$402,$A85))</f>
        <v/>
      </c>
    </row>
    <row r="86">
      <c r="A86" s="29" t="n">
        <v>81</v>
      </c>
      <c r="B86" s="26">
        <f>IF($C86="","",INDEX(입력_인턴근무계획!$B$3:$B$402,$A86))</f>
        <v/>
      </c>
      <c r="C86" s="26">
        <f>IFERROR(TRIM(INDEX(입력_인턴근무계획!$C$3:$C$402,$A86)&amp;""),"")</f>
        <v/>
      </c>
      <c r="D86" s="26">
        <f>IF($C86="","",INDEX(입력_인턴근무계획!$D$3:$D$402,$A86))</f>
        <v/>
      </c>
      <c r="E86" s="26">
        <f>IF($C86="","",IF(IFERROR(MATCH($D86,입력_기본자료!$B$2:$B$1001,0),IFERROR(MATCH($D86&amp;"",입력_기본자료!$B$2:$B$1001,0),IFERROR(MATCH(VALUE($D86),입력_기본자료!$B$2:$B$1001,0),0)))&gt;0,"확인","미등록"))</f>
        <v/>
      </c>
      <c r="F86" s="28">
        <f>IF($C86="","",INDEX(입력_인턴근무계획!$S$3:$S$402,$A86))</f>
        <v/>
      </c>
      <c r="G86" s="26">
        <f>IF(OR($C86="",$G$3=""),"",IF(INDEX(입력_인턴근무계획!$M$3:$R$402,$A86,$G$3)&amp;""="","",IF(LEFT(INDEX(입력_인턴근무계획!$M$3:$R$402,$A86,$G$3)&amp;"",1)="⚠",INDEX(입력_인턴근무계획!$M$3:$R$402,$A86,$G$3)&amp;"",LEFT(INDEX(입력_인턴근무계획!$M$3:$R$402,$A86,$G$3)&amp;"",FIND(" ",INDEX(입력_인턴근무계획!$M$3:$R$402,$A86,$G$3)&amp;"")-1))))</f>
        <v/>
      </c>
      <c r="H86" s="26">
        <f>IF(OR($C86="",$G$3=""),"",IF(INDEX(입력_인턴근무계획!$M$3:$R$402,$A86,$G$3)&amp;""="","",IF(LEFT(INDEX(입력_인턴근무계획!$M$3:$R$402,$A86,$G$3)&amp;"",1)="⚠","",MID(INDEX(입력_인턴근무계획!$M$3:$R$402,$A86,$G$3)&amp;"",FIND(" ",INDEX(입력_인턴근무계획!$M$3:$R$402,$A86,$G$3)&amp;"")+1,60))))</f>
        <v/>
      </c>
      <c r="I86" s="26">
        <f>IF(OR($C86="",$I$3=""),"",IF(INDEX(입력_인턴근무계획!$M$3:$R$402,$A86,$I$3)&amp;""="","",IF(LEFT(INDEX(입력_인턴근무계획!$M$3:$R$402,$A86,$I$3)&amp;"",1)="⚠",INDEX(입력_인턴근무계획!$M$3:$R$402,$A86,$I$3)&amp;"",LEFT(INDEX(입력_인턴근무계획!$M$3:$R$402,$A86,$I$3)&amp;"",FIND(" ",INDEX(입력_인턴근무계획!$M$3:$R$402,$A86,$I$3)&amp;"")-1))))</f>
        <v/>
      </c>
      <c r="J86" s="26">
        <f>IF(OR($C86="",$I$3=""),"",IF(INDEX(입력_인턴근무계획!$M$3:$R$402,$A86,$I$3)&amp;""="","",IF(LEFT(INDEX(입력_인턴근무계획!$M$3:$R$402,$A86,$I$3)&amp;"",1)="⚠","",MID(INDEX(입력_인턴근무계획!$M$3:$R$402,$A86,$I$3)&amp;"",FIND(" ",INDEX(입력_인턴근무계획!$M$3:$R$402,$A86,$I$3)&amp;"")+1,60))))</f>
        <v/>
      </c>
      <c r="K86" s="26">
        <f>IF($C86="","",INDEX(입력_인턴근무계획!$M$3:$M$402,$A86)&amp;"")</f>
        <v/>
      </c>
      <c r="L86" s="26">
        <f>IF($C86="","",INDEX(입력_인턴근무계획!$N$3:$N$402,$A86)&amp;"")</f>
        <v/>
      </c>
      <c r="M86" s="26">
        <f>IF($C86="","",INDEX(입력_인턴근무계획!$O$3:$O$402,$A86)&amp;"")</f>
        <v/>
      </c>
      <c r="N86" s="26">
        <f>IF($C86="","",INDEX(입력_인턴근무계획!$P$3:$P$402,$A86)&amp;"")</f>
        <v/>
      </c>
      <c r="O86" s="26">
        <f>IF($C86="","",INDEX(입력_인턴근무계획!$Q$3:$Q$402,$A86)&amp;"")</f>
        <v/>
      </c>
      <c r="P86" s="26">
        <f>IF($C86="","",INDEX(입력_인턴근무계획!$R$3:$R$402,$A86)&amp;"")</f>
        <v/>
      </c>
      <c r="Q86" s="26">
        <f>IF($C86="","",INDEX(입력_인턴근무계획!$T$3:$T$402,$A86))</f>
        <v/>
      </c>
    </row>
    <row r="87">
      <c r="A87" s="29" t="n">
        <v>82</v>
      </c>
      <c r="B87" s="26">
        <f>IF($C87="","",INDEX(입력_인턴근무계획!$B$3:$B$402,$A87))</f>
        <v/>
      </c>
      <c r="C87" s="26">
        <f>IFERROR(TRIM(INDEX(입력_인턴근무계획!$C$3:$C$402,$A87)&amp;""),"")</f>
        <v/>
      </c>
      <c r="D87" s="26">
        <f>IF($C87="","",INDEX(입력_인턴근무계획!$D$3:$D$402,$A87))</f>
        <v/>
      </c>
      <c r="E87" s="26">
        <f>IF($C87="","",IF(IFERROR(MATCH($D87,입력_기본자료!$B$2:$B$1001,0),IFERROR(MATCH($D87&amp;"",입력_기본자료!$B$2:$B$1001,0),IFERROR(MATCH(VALUE($D87),입력_기본자료!$B$2:$B$1001,0),0)))&gt;0,"확인","미등록"))</f>
        <v/>
      </c>
      <c r="F87" s="28">
        <f>IF($C87="","",INDEX(입력_인턴근무계획!$S$3:$S$402,$A87))</f>
        <v/>
      </c>
      <c r="G87" s="26">
        <f>IF(OR($C87="",$G$3=""),"",IF(INDEX(입력_인턴근무계획!$M$3:$R$402,$A87,$G$3)&amp;""="","",IF(LEFT(INDEX(입력_인턴근무계획!$M$3:$R$402,$A87,$G$3)&amp;"",1)="⚠",INDEX(입력_인턴근무계획!$M$3:$R$402,$A87,$G$3)&amp;"",LEFT(INDEX(입력_인턴근무계획!$M$3:$R$402,$A87,$G$3)&amp;"",FIND(" ",INDEX(입력_인턴근무계획!$M$3:$R$402,$A87,$G$3)&amp;"")-1))))</f>
        <v/>
      </c>
      <c r="H87" s="26">
        <f>IF(OR($C87="",$G$3=""),"",IF(INDEX(입력_인턴근무계획!$M$3:$R$402,$A87,$G$3)&amp;""="","",IF(LEFT(INDEX(입력_인턴근무계획!$M$3:$R$402,$A87,$G$3)&amp;"",1)="⚠","",MID(INDEX(입력_인턴근무계획!$M$3:$R$402,$A87,$G$3)&amp;"",FIND(" ",INDEX(입력_인턴근무계획!$M$3:$R$402,$A87,$G$3)&amp;"")+1,60))))</f>
        <v/>
      </c>
      <c r="I87" s="26">
        <f>IF(OR($C87="",$I$3=""),"",IF(INDEX(입력_인턴근무계획!$M$3:$R$402,$A87,$I$3)&amp;""="","",IF(LEFT(INDEX(입력_인턴근무계획!$M$3:$R$402,$A87,$I$3)&amp;"",1)="⚠",INDEX(입력_인턴근무계획!$M$3:$R$402,$A87,$I$3)&amp;"",LEFT(INDEX(입력_인턴근무계획!$M$3:$R$402,$A87,$I$3)&amp;"",FIND(" ",INDEX(입력_인턴근무계획!$M$3:$R$402,$A87,$I$3)&amp;"")-1))))</f>
        <v/>
      </c>
      <c r="J87" s="26">
        <f>IF(OR($C87="",$I$3=""),"",IF(INDEX(입력_인턴근무계획!$M$3:$R$402,$A87,$I$3)&amp;""="","",IF(LEFT(INDEX(입력_인턴근무계획!$M$3:$R$402,$A87,$I$3)&amp;"",1)="⚠","",MID(INDEX(입력_인턴근무계획!$M$3:$R$402,$A87,$I$3)&amp;"",FIND(" ",INDEX(입력_인턴근무계획!$M$3:$R$402,$A87,$I$3)&amp;"")+1,60))))</f>
        <v/>
      </c>
      <c r="K87" s="26">
        <f>IF($C87="","",INDEX(입력_인턴근무계획!$M$3:$M$402,$A87)&amp;"")</f>
        <v/>
      </c>
      <c r="L87" s="26">
        <f>IF($C87="","",INDEX(입력_인턴근무계획!$N$3:$N$402,$A87)&amp;"")</f>
        <v/>
      </c>
      <c r="M87" s="26">
        <f>IF($C87="","",INDEX(입력_인턴근무계획!$O$3:$O$402,$A87)&amp;"")</f>
        <v/>
      </c>
      <c r="N87" s="26">
        <f>IF($C87="","",INDEX(입력_인턴근무계획!$P$3:$P$402,$A87)&amp;"")</f>
        <v/>
      </c>
      <c r="O87" s="26">
        <f>IF($C87="","",INDEX(입력_인턴근무계획!$Q$3:$Q$402,$A87)&amp;"")</f>
        <v/>
      </c>
      <c r="P87" s="26">
        <f>IF($C87="","",INDEX(입력_인턴근무계획!$R$3:$R$402,$A87)&amp;"")</f>
        <v/>
      </c>
      <c r="Q87" s="26">
        <f>IF($C87="","",INDEX(입력_인턴근무계획!$T$3:$T$402,$A87))</f>
        <v/>
      </c>
    </row>
    <row r="88">
      <c r="A88" s="29" t="n">
        <v>83</v>
      </c>
      <c r="B88" s="26">
        <f>IF($C88="","",INDEX(입력_인턴근무계획!$B$3:$B$402,$A88))</f>
        <v/>
      </c>
      <c r="C88" s="26">
        <f>IFERROR(TRIM(INDEX(입력_인턴근무계획!$C$3:$C$402,$A88)&amp;""),"")</f>
        <v/>
      </c>
      <c r="D88" s="26">
        <f>IF($C88="","",INDEX(입력_인턴근무계획!$D$3:$D$402,$A88))</f>
        <v/>
      </c>
      <c r="E88" s="26">
        <f>IF($C88="","",IF(IFERROR(MATCH($D88,입력_기본자료!$B$2:$B$1001,0),IFERROR(MATCH($D88&amp;"",입력_기본자료!$B$2:$B$1001,0),IFERROR(MATCH(VALUE($D88),입력_기본자료!$B$2:$B$1001,0),0)))&gt;0,"확인","미등록"))</f>
        <v/>
      </c>
      <c r="F88" s="28">
        <f>IF($C88="","",INDEX(입력_인턴근무계획!$S$3:$S$402,$A88))</f>
        <v/>
      </c>
      <c r="G88" s="26">
        <f>IF(OR($C88="",$G$3=""),"",IF(INDEX(입력_인턴근무계획!$M$3:$R$402,$A88,$G$3)&amp;""="","",IF(LEFT(INDEX(입력_인턴근무계획!$M$3:$R$402,$A88,$G$3)&amp;"",1)="⚠",INDEX(입력_인턴근무계획!$M$3:$R$402,$A88,$G$3)&amp;"",LEFT(INDEX(입력_인턴근무계획!$M$3:$R$402,$A88,$G$3)&amp;"",FIND(" ",INDEX(입력_인턴근무계획!$M$3:$R$402,$A88,$G$3)&amp;"")-1))))</f>
        <v/>
      </c>
      <c r="H88" s="26">
        <f>IF(OR($C88="",$G$3=""),"",IF(INDEX(입력_인턴근무계획!$M$3:$R$402,$A88,$G$3)&amp;""="","",IF(LEFT(INDEX(입력_인턴근무계획!$M$3:$R$402,$A88,$G$3)&amp;"",1)="⚠","",MID(INDEX(입력_인턴근무계획!$M$3:$R$402,$A88,$G$3)&amp;"",FIND(" ",INDEX(입력_인턴근무계획!$M$3:$R$402,$A88,$G$3)&amp;"")+1,60))))</f>
        <v/>
      </c>
      <c r="I88" s="26">
        <f>IF(OR($C88="",$I$3=""),"",IF(INDEX(입력_인턴근무계획!$M$3:$R$402,$A88,$I$3)&amp;""="","",IF(LEFT(INDEX(입력_인턴근무계획!$M$3:$R$402,$A88,$I$3)&amp;"",1)="⚠",INDEX(입력_인턴근무계획!$M$3:$R$402,$A88,$I$3)&amp;"",LEFT(INDEX(입력_인턴근무계획!$M$3:$R$402,$A88,$I$3)&amp;"",FIND(" ",INDEX(입력_인턴근무계획!$M$3:$R$402,$A88,$I$3)&amp;"")-1))))</f>
        <v/>
      </c>
      <c r="J88" s="26">
        <f>IF(OR($C88="",$I$3=""),"",IF(INDEX(입력_인턴근무계획!$M$3:$R$402,$A88,$I$3)&amp;""="","",IF(LEFT(INDEX(입력_인턴근무계획!$M$3:$R$402,$A88,$I$3)&amp;"",1)="⚠","",MID(INDEX(입력_인턴근무계획!$M$3:$R$402,$A88,$I$3)&amp;"",FIND(" ",INDEX(입력_인턴근무계획!$M$3:$R$402,$A88,$I$3)&amp;"")+1,60))))</f>
        <v/>
      </c>
      <c r="K88" s="26">
        <f>IF($C88="","",INDEX(입력_인턴근무계획!$M$3:$M$402,$A88)&amp;"")</f>
        <v/>
      </c>
      <c r="L88" s="26">
        <f>IF($C88="","",INDEX(입력_인턴근무계획!$N$3:$N$402,$A88)&amp;"")</f>
        <v/>
      </c>
      <c r="M88" s="26">
        <f>IF($C88="","",INDEX(입력_인턴근무계획!$O$3:$O$402,$A88)&amp;"")</f>
        <v/>
      </c>
      <c r="N88" s="26">
        <f>IF($C88="","",INDEX(입력_인턴근무계획!$P$3:$P$402,$A88)&amp;"")</f>
        <v/>
      </c>
      <c r="O88" s="26">
        <f>IF($C88="","",INDEX(입력_인턴근무계획!$Q$3:$Q$402,$A88)&amp;"")</f>
        <v/>
      </c>
      <c r="P88" s="26">
        <f>IF($C88="","",INDEX(입력_인턴근무계획!$R$3:$R$402,$A88)&amp;"")</f>
        <v/>
      </c>
      <c r="Q88" s="26">
        <f>IF($C88="","",INDEX(입력_인턴근무계획!$T$3:$T$402,$A88))</f>
        <v/>
      </c>
    </row>
    <row r="89">
      <c r="A89" s="29" t="n">
        <v>84</v>
      </c>
      <c r="B89" s="26">
        <f>IF($C89="","",INDEX(입력_인턴근무계획!$B$3:$B$402,$A89))</f>
        <v/>
      </c>
      <c r="C89" s="26">
        <f>IFERROR(TRIM(INDEX(입력_인턴근무계획!$C$3:$C$402,$A89)&amp;""),"")</f>
        <v/>
      </c>
      <c r="D89" s="26">
        <f>IF($C89="","",INDEX(입력_인턴근무계획!$D$3:$D$402,$A89))</f>
        <v/>
      </c>
      <c r="E89" s="26">
        <f>IF($C89="","",IF(IFERROR(MATCH($D89,입력_기본자료!$B$2:$B$1001,0),IFERROR(MATCH($D89&amp;"",입력_기본자료!$B$2:$B$1001,0),IFERROR(MATCH(VALUE($D89),입력_기본자료!$B$2:$B$1001,0),0)))&gt;0,"확인","미등록"))</f>
        <v/>
      </c>
      <c r="F89" s="28">
        <f>IF($C89="","",INDEX(입력_인턴근무계획!$S$3:$S$402,$A89))</f>
        <v/>
      </c>
      <c r="G89" s="26">
        <f>IF(OR($C89="",$G$3=""),"",IF(INDEX(입력_인턴근무계획!$M$3:$R$402,$A89,$G$3)&amp;""="","",IF(LEFT(INDEX(입력_인턴근무계획!$M$3:$R$402,$A89,$G$3)&amp;"",1)="⚠",INDEX(입력_인턴근무계획!$M$3:$R$402,$A89,$G$3)&amp;"",LEFT(INDEX(입력_인턴근무계획!$M$3:$R$402,$A89,$G$3)&amp;"",FIND(" ",INDEX(입력_인턴근무계획!$M$3:$R$402,$A89,$G$3)&amp;"")-1))))</f>
        <v/>
      </c>
      <c r="H89" s="26">
        <f>IF(OR($C89="",$G$3=""),"",IF(INDEX(입력_인턴근무계획!$M$3:$R$402,$A89,$G$3)&amp;""="","",IF(LEFT(INDEX(입력_인턴근무계획!$M$3:$R$402,$A89,$G$3)&amp;"",1)="⚠","",MID(INDEX(입력_인턴근무계획!$M$3:$R$402,$A89,$G$3)&amp;"",FIND(" ",INDEX(입력_인턴근무계획!$M$3:$R$402,$A89,$G$3)&amp;"")+1,60))))</f>
        <v/>
      </c>
      <c r="I89" s="26">
        <f>IF(OR($C89="",$I$3=""),"",IF(INDEX(입력_인턴근무계획!$M$3:$R$402,$A89,$I$3)&amp;""="","",IF(LEFT(INDEX(입력_인턴근무계획!$M$3:$R$402,$A89,$I$3)&amp;"",1)="⚠",INDEX(입력_인턴근무계획!$M$3:$R$402,$A89,$I$3)&amp;"",LEFT(INDEX(입력_인턴근무계획!$M$3:$R$402,$A89,$I$3)&amp;"",FIND(" ",INDEX(입력_인턴근무계획!$M$3:$R$402,$A89,$I$3)&amp;"")-1))))</f>
        <v/>
      </c>
      <c r="J89" s="26">
        <f>IF(OR($C89="",$I$3=""),"",IF(INDEX(입력_인턴근무계획!$M$3:$R$402,$A89,$I$3)&amp;""="","",IF(LEFT(INDEX(입력_인턴근무계획!$M$3:$R$402,$A89,$I$3)&amp;"",1)="⚠","",MID(INDEX(입력_인턴근무계획!$M$3:$R$402,$A89,$I$3)&amp;"",FIND(" ",INDEX(입력_인턴근무계획!$M$3:$R$402,$A89,$I$3)&amp;"")+1,60))))</f>
        <v/>
      </c>
      <c r="K89" s="26">
        <f>IF($C89="","",INDEX(입력_인턴근무계획!$M$3:$M$402,$A89)&amp;"")</f>
        <v/>
      </c>
      <c r="L89" s="26">
        <f>IF($C89="","",INDEX(입력_인턴근무계획!$N$3:$N$402,$A89)&amp;"")</f>
        <v/>
      </c>
      <c r="M89" s="26">
        <f>IF($C89="","",INDEX(입력_인턴근무계획!$O$3:$O$402,$A89)&amp;"")</f>
        <v/>
      </c>
      <c r="N89" s="26">
        <f>IF($C89="","",INDEX(입력_인턴근무계획!$P$3:$P$402,$A89)&amp;"")</f>
        <v/>
      </c>
      <c r="O89" s="26">
        <f>IF($C89="","",INDEX(입력_인턴근무계획!$Q$3:$Q$402,$A89)&amp;"")</f>
        <v/>
      </c>
      <c r="P89" s="26">
        <f>IF($C89="","",INDEX(입력_인턴근무계획!$R$3:$R$402,$A89)&amp;"")</f>
        <v/>
      </c>
      <c r="Q89" s="26">
        <f>IF($C89="","",INDEX(입력_인턴근무계획!$T$3:$T$402,$A89))</f>
        <v/>
      </c>
    </row>
    <row r="90">
      <c r="A90" s="29" t="n">
        <v>85</v>
      </c>
      <c r="B90" s="26">
        <f>IF($C90="","",INDEX(입력_인턴근무계획!$B$3:$B$402,$A90))</f>
        <v/>
      </c>
      <c r="C90" s="26">
        <f>IFERROR(TRIM(INDEX(입력_인턴근무계획!$C$3:$C$402,$A90)&amp;""),"")</f>
        <v/>
      </c>
      <c r="D90" s="26">
        <f>IF($C90="","",INDEX(입력_인턴근무계획!$D$3:$D$402,$A90))</f>
        <v/>
      </c>
      <c r="E90" s="26">
        <f>IF($C90="","",IF(IFERROR(MATCH($D90,입력_기본자료!$B$2:$B$1001,0),IFERROR(MATCH($D90&amp;"",입력_기본자료!$B$2:$B$1001,0),IFERROR(MATCH(VALUE($D90),입력_기본자료!$B$2:$B$1001,0),0)))&gt;0,"확인","미등록"))</f>
        <v/>
      </c>
      <c r="F90" s="28">
        <f>IF($C90="","",INDEX(입력_인턴근무계획!$S$3:$S$402,$A90))</f>
        <v/>
      </c>
      <c r="G90" s="26">
        <f>IF(OR($C90="",$G$3=""),"",IF(INDEX(입력_인턴근무계획!$M$3:$R$402,$A90,$G$3)&amp;""="","",IF(LEFT(INDEX(입력_인턴근무계획!$M$3:$R$402,$A90,$G$3)&amp;"",1)="⚠",INDEX(입력_인턴근무계획!$M$3:$R$402,$A90,$G$3)&amp;"",LEFT(INDEX(입력_인턴근무계획!$M$3:$R$402,$A90,$G$3)&amp;"",FIND(" ",INDEX(입력_인턴근무계획!$M$3:$R$402,$A90,$G$3)&amp;"")-1))))</f>
        <v/>
      </c>
      <c r="H90" s="26">
        <f>IF(OR($C90="",$G$3=""),"",IF(INDEX(입력_인턴근무계획!$M$3:$R$402,$A90,$G$3)&amp;""="","",IF(LEFT(INDEX(입력_인턴근무계획!$M$3:$R$402,$A90,$G$3)&amp;"",1)="⚠","",MID(INDEX(입력_인턴근무계획!$M$3:$R$402,$A90,$G$3)&amp;"",FIND(" ",INDEX(입력_인턴근무계획!$M$3:$R$402,$A90,$G$3)&amp;"")+1,60))))</f>
        <v/>
      </c>
      <c r="I90" s="26">
        <f>IF(OR($C90="",$I$3=""),"",IF(INDEX(입력_인턴근무계획!$M$3:$R$402,$A90,$I$3)&amp;""="","",IF(LEFT(INDEX(입력_인턴근무계획!$M$3:$R$402,$A90,$I$3)&amp;"",1)="⚠",INDEX(입력_인턴근무계획!$M$3:$R$402,$A90,$I$3)&amp;"",LEFT(INDEX(입력_인턴근무계획!$M$3:$R$402,$A90,$I$3)&amp;"",FIND(" ",INDEX(입력_인턴근무계획!$M$3:$R$402,$A90,$I$3)&amp;"")-1))))</f>
        <v/>
      </c>
      <c r="J90" s="26">
        <f>IF(OR($C90="",$I$3=""),"",IF(INDEX(입력_인턴근무계획!$M$3:$R$402,$A90,$I$3)&amp;""="","",IF(LEFT(INDEX(입력_인턴근무계획!$M$3:$R$402,$A90,$I$3)&amp;"",1)="⚠","",MID(INDEX(입력_인턴근무계획!$M$3:$R$402,$A90,$I$3)&amp;"",FIND(" ",INDEX(입력_인턴근무계획!$M$3:$R$402,$A90,$I$3)&amp;"")+1,60))))</f>
        <v/>
      </c>
      <c r="K90" s="26">
        <f>IF($C90="","",INDEX(입력_인턴근무계획!$M$3:$M$402,$A90)&amp;"")</f>
        <v/>
      </c>
      <c r="L90" s="26">
        <f>IF($C90="","",INDEX(입력_인턴근무계획!$N$3:$N$402,$A90)&amp;"")</f>
        <v/>
      </c>
      <c r="M90" s="26">
        <f>IF($C90="","",INDEX(입력_인턴근무계획!$O$3:$O$402,$A90)&amp;"")</f>
        <v/>
      </c>
      <c r="N90" s="26">
        <f>IF($C90="","",INDEX(입력_인턴근무계획!$P$3:$P$402,$A90)&amp;"")</f>
        <v/>
      </c>
      <c r="O90" s="26">
        <f>IF($C90="","",INDEX(입력_인턴근무계획!$Q$3:$Q$402,$A90)&amp;"")</f>
        <v/>
      </c>
      <c r="P90" s="26">
        <f>IF($C90="","",INDEX(입력_인턴근무계획!$R$3:$R$402,$A90)&amp;"")</f>
        <v/>
      </c>
      <c r="Q90" s="26">
        <f>IF($C90="","",INDEX(입력_인턴근무계획!$T$3:$T$402,$A90))</f>
        <v/>
      </c>
    </row>
    <row r="91">
      <c r="A91" s="29" t="n">
        <v>86</v>
      </c>
      <c r="B91" s="26">
        <f>IF($C91="","",INDEX(입력_인턴근무계획!$B$3:$B$402,$A91))</f>
        <v/>
      </c>
      <c r="C91" s="26">
        <f>IFERROR(TRIM(INDEX(입력_인턴근무계획!$C$3:$C$402,$A91)&amp;""),"")</f>
        <v/>
      </c>
      <c r="D91" s="26">
        <f>IF($C91="","",INDEX(입력_인턴근무계획!$D$3:$D$402,$A91))</f>
        <v/>
      </c>
      <c r="E91" s="26">
        <f>IF($C91="","",IF(IFERROR(MATCH($D91,입력_기본자료!$B$2:$B$1001,0),IFERROR(MATCH($D91&amp;"",입력_기본자료!$B$2:$B$1001,0),IFERROR(MATCH(VALUE($D91),입력_기본자료!$B$2:$B$1001,0),0)))&gt;0,"확인","미등록"))</f>
        <v/>
      </c>
      <c r="F91" s="28">
        <f>IF($C91="","",INDEX(입력_인턴근무계획!$S$3:$S$402,$A91))</f>
        <v/>
      </c>
      <c r="G91" s="26">
        <f>IF(OR($C91="",$G$3=""),"",IF(INDEX(입력_인턴근무계획!$M$3:$R$402,$A91,$G$3)&amp;""="","",IF(LEFT(INDEX(입력_인턴근무계획!$M$3:$R$402,$A91,$G$3)&amp;"",1)="⚠",INDEX(입력_인턴근무계획!$M$3:$R$402,$A91,$G$3)&amp;"",LEFT(INDEX(입력_인턴근무계획!$M$3:$R$402,$A91,$G$3)&amp;"",FIND(" ",INDEX(입력_인턴근무계획!$M$3:$R$402,$A91,$G$3)&amp;"")-1))))</f>
        <v/>
      </c>
      <c r="H91" s="26">
        <f>IF(OR($C91="",$G$3=""),"",IF(INDEX(입력_인턴근무계획!$M$3:$R$402,$A91,$G$3)&amp;""="","",IF(LEFT(INDEX(입력_인턴근무계획!$M$3:$R$402,$A91,$G$3)&amp;"",1)="⚠","",MID(INDEX(입력_인턴근무계획!$M$3:$R$402,$A91,$G$3)&amp;"",FIND(" ",INDEX(입력_인턴근무계획!$M$3:$R$402,$A91,$G$3)&amp;"")+1,60))))</f>
        <v/>
      </c>
      <c r="I91" s="26">
        <f>IF(OR($C91="",$I$3=""),"",IF(INDEX(입력_인턴근무계획!$M$3:$R$402,$A91,$I$3)&amp;""="","",IF(LEFT(INDEX(입력_인턴근무계획!$M$3:$R$402,$A91,$I$3)&amp;"",1)="⚠",INDEX(입력_인턴근무계획!$M$3:$R$402,$A91,$I$3)&amp;"",LEFT(INDEX(입력_인턴근무계획!$M$3:$R$402,$A91,$I$3)&amp;"",FIND(" ",INDEX(입력_인턴근무계획!$M$3:$R$402,$A91,$I$3)&amp;"")-1))))</f>
        <v/>
      </c>
      <c r="J91" s="26">
        <f>IF(OR($C91="",$I$3=""),"",IF(INDEX(입력_인턴근무계획!$M$3:$R$402,$A91,$I$3)&amp;""="","",IF(LEFT(INDEX(입력_인턴근무계획!$M$3:$R$402,$A91,$I$3)&amp;"",1)="⚠","",MID(INDEX(입력_인턴근무계획!$M$3:$R$402,$A91,$I$3)&amp;"",FIND(" ",INDEX(입력_인턴근무계획!$M$3:$R$402,$A91,$I$3)&amp;"")+1,60))))</f>
        <v/>
      </c>
      <c r="K91" s="26">
        <f>IF($C91="","",INDEX(입력_인턴근무계획!$M$3:$M$402,$A91)&amp;"")</f>
        <v/>
      </c>
      <c r="L91" s="26">
        <f>IF($C91="","",INDEX(입력_인턴근무계획!$N$3:$N$402,$A91)&amp;"")</f>
        <v/>
      </c>
      <c r="M91" s="26">
        <f>IF($C91="","",INDEX(입력_인턴근무계획!$O$3:$O$402,$A91)&amp;"")</f>
        <v/>
      </c>
      <c r="N91" s="26">
        <f>IF($C91="","",INDEX(입력_인턴근무계획!$P$3:$P$402,$A91)&amp;"")</f>
        <v/>
      </c>
      <c r="O91" s="26">
        <f>IF($C91="","",INDEX(입력_인턴근무계획!$Q$3:$Q$402,$A91)&amp;"")</f>
        <v/>
      </c>
      <c r="P91" s="26">
        <f>IF($C91="","",INDEX(입력_인턴근무계획!$R$3:$R$402,$A91)&amp;"")</f>
        <v/>
      </c>
      <c r="Q91" s="26">
        <f>IF($C91="","",INDEX(입력_인턴근무계획!$T$3:$T$402,$A91))</f>
        <v/>
      </c>
    </row>
    <row r="92">
      <c r="A92" s="29" t="n">
        <v>87</v>
      </c>
      <c r="B92" s="26">
        <f>IF($C92="","",INDEX(입력_인턴근무계획!$B$3:$B$402,$A92))</f>
        <v/>
      </c>
      <c r="C92" s="26">
        <f>IFERROR(TRIM(INDEX(입력_인턴근무계획!$C$3:$C$402,$A92)&amp;""),"")</f>
        <v/>
      </c>
      <c r="D92" s="26">
        <f>IF($C92="","",INDEX(입력_인턴근무계획!$D$3:$D$402,$A92))</f>
        <v/>
      </c>
      <c r="E92" s="26">
        <f>IF($C92="","",IF(IFERROR(MATCH($D92,입력_기본자료!$B$2:$B$1001,0),IFERROR(MATCH($D92&amp;"",입력_기본자료!$B$2:$B$1001,0),IFERROR(MATCH(VALUE($D92),입력_기본자료!$B$2:$B$1001,0),0)))&gt;0,"확인","미등록"))</f>
        <v/>
      </c>
      <c r="F92" s="28">
        <f>IF($C92="","",INDEX(입력_인턴근무계획!$S$3:$S$402,$A92))</f>
        <v/>
      </c>
      <c r="G92" s="26">
        <f>IF(OR($C92="",$G$3=""),"",IF(INDEX(입력_인턴근무계획!$M$3:$R$402,$A92,$G$3)&amp;""="","",IF(LEFT(INDEX(입력_인턴근무계획!$M$3:$R$402,$A92,$G$3)&amp;"",1)="⚠",INDEX(입력_인턴근무계획!$M$3:$R$402,$A92,$G$3)&amp;"",LEFT(INDEX(입력_인턴근무계획!$M$3:$R$402,$A92,$G$3)&amp;"",FIND(" ",INDEX(입력_인턴근무계획!$M$3:$R$402,$A92,$G$3)&amp;"")-1))))</f>
        <v/>
      </c>
      <c r="H92" s="26">
        <f>IF(OR($C92="",$G$3=""),"",IF(INDEX(입력_인턴근무계획!$M$3:$R$402,$A92,$G$3)&amp;""="","",IF(LEFT(INDEX(입력_인턴근무계획!$M$3:$R$402,$A92,$G$3)&amp;"",1)="⚠","",MID(INDEX(입력_인턴근무계획!$M$3:$R$402,$A92,$G$3)&amp;"",FIND(" ",INDEX(입력_인턴근무계획!$M$3:$R$402,$A92,$G$3)&amp;"")+1,60))))</f>
        <v/>
      </c>
      <c r="I92" s="26">
        <f>IF(OR($C92="",$I$3=""),"",IF(INDEX(입력_인턴근무계획!$M$3:$R$402,$A92,$I$3)&amp;""="","",IF(LEFT(INDEX(입력_인턴근무계획!$M$3:$R$402,$A92,$I$3)&amp;"",1)="⚠",INDEX(입력_인턴근무계획!$M$3:$R$402,$A92,$I$3)&amp;"",LEFT(INDEX(입력_인턴근무계획!$M$3:$R$402,$A92,$I$3)&amp;"",FIND(" ",INDEX(입력_인턴근무계획!$M$3:$R$402,$A92,$I$3)&amp;"")-1))))</f>
        <v/>
      </c>
      <c r="J92" s="26">
        <f>IF(OR($C92="",$I$3=""),"",IF(INDEX(입력_인턴근무계획!$M$3:$R$402,$A92,$I$3)&amp;""="","",IF(LEFT(INDEX(입력_인턴근무계획!$M$3:$R$402,$A92,$I$3)&amp;"",1)="⚠","",MID(INDEX(입력_인턴근무계획!$M$3:$R$402,$A92,$I$3)&amp;"",FIND(" ",INDEX(입력_인턴근무계획!$M$3:$R$402,$A92,$I$3)&amp;"")+1,60))))</f>
        <v/>
      </c>
      <c r="K92" s="26">
        <f>IF($C92="","",INDEX(입력_인턴근무계획!$M$3:$M$402,$A92)&amp;"")</f>
        <v/>
      </c>
      <c r="L92" s="26">
        <f>IF($C92="","",INDEX(입력_인턴근무계획!$N$3:$N$402,$A92)&amp;"")</f>
        <v/>
      </c>
      <c r="M92" s="26">
        <f>IF($C92="","",INDEX(입력_인턴근무계획!$O$3:$O$402,$A92)&amp;"")</f>
        <v/>
      </c>
      <c r="N92" s="26">
        <f>IF($C92="","",INDEX(입력_인턴근무계획!$P$3:$P$402,$A92)&amp;"")</f>
        <v/>
      </c>
      <c r="O92" s="26">
        <f>IF($C92="","",INDEX(입력_인턴근무계획!$Q$3:$Q$402,$A92)&amp;"")</f>
        <v/>
      </c>
      <c r="P92" s="26">
        <f>IF($C92="","",INDEX(입력_인턴근무계획!$R$3:$R$402,$A92)&amp;"")</f>
        <v/>
      </c>
      <c r="Q92" s="26">
        <f>IF($C92="","",INDEX(입력_인턴근무계획!$T$3:$T$402,$A92))</f>
        <v/>
      </c>
    </row>
    <row r="93">
      <c r="A93" s="29" t="n">
        <v>88</v>
      </c>
      <c r="B93" s="26">
        <f>IF($C93="","",INDEX(입력_인턴근무계획!$B$3:$B$402,$A93))</f>
        <v/>
      </c>
      <c r="C93" s="26">
        <f>IFERROR(TRIM(INDEX(입력_인턴근무계획!$C$3:$C$402,$A93)&amp;""),"")</f>
        <v/>
      </c>
      <c r="D93" s="26">
        <f>IF($C93="","",INDEX(입력_인턴근무계획!$D$3:$D$402,$A93))</f>
        <v/>
      </c>
      <c r="E93" s="26">
        <f>IF($C93="","",IF(IFERROR(MATCH($D93,입력_기본자료!$B$2:$B$1001,0),IFERROR(MATCH($D93&amp;"",입력_기본자료!$B$2:$B$1001,0),IFERROR(MATCH(VALUE($D93),입력_기본자료!$B$2:$B$1001,0),0)))&gt;0,"확인","미등록"))</f>
        <v/>
      </c>
      <c r="F93" s="28">
        <f>IF($C93="","",INDEX(입력_인턴근무계획!$S$3:$S$402,$A93))</f>
        <v/>
      </c>
      <c r="G93" s="26">
        <f>IF(OR($C93="",$G$3=""),"",IF(INDEX(입력_인턴근무계획!$M$3:$R$402,$A93,$G$3)&amp;""="","",IF(LEFT(INDEX(입력_인턴근무계획!$M$3:$R$402,$A93,$G$3)&amp;"",1)="⚠",INDEX(입력_인턴근무계획!$M$3:$R$402,$A93,$G$3)&amp;"",LEFT(INDEX(입력_인턴근무계획!$M$3:$R$402,$A93,$G$3)&amp;"",FIND(" ",INDEX(입력_인턴근무계획!$M$3:$R$402,$A93,$G$3)&amp;"")-1))))</f>
        <v/>
      </c>
      <c r="H93" s="26">
        <f>IF(OR($C93="",$G$3=""),"",IF(INDEX(입력_인턴근무계획!$M$3:$R$402,$A93,$G$3)&amp;""="","",IF(LEFT(INDEX(입력_인턴근무계획!$M$3:$R$402,$A93,$G$3)&amp;"",1)="⚠","",MID(INDEX(입력_인턴근무계획!$M$3:$R$402,$A93,$G$3)&amp;"",FIND(" ",INDEX(입력_인턴근무계획!$M$3:$R$402,$A93,$G$3)&amp;"")+1,60))))</f>
        <v/>
      </c>
      <c r="I93" s="26">
        <f>IF(OR($C93="",$I$3=""),"",IF(INDEX(입력_인턴근무계획!$M$3:$R$402,$A93,$I$3)&amp;""="","",IF(LEFT(INDEX(입력_인턴근무계획!$M$3:$R$402,$A93,$I$3)&amp;"",1)="⚠",INDEX(입력_인턴근무계획!$M$3:$R$402,$A93,$I$3)&amp;"",LEFT(INDEX(입력_인턴근무계획!$M$3:$R$402,$A93,$I$3)&amp;"",FIND(" ",INDEX(입력_인턴근무계획!$M$3:$R$402,$A93,$I$3)&amp;"")-1))))</f>
        <v/>
      </c>
      <c r="J93" s="26">
        <f>IF(OR($C93="",$I$3=""),"",IF(INDEX(입력_인턴근무계획!$M$3:$R$402,$A93,$I$3)&amp;""="","",IF(LEFT(INDEX(입력_인턴근무계획!$M$3:$R$402,$A93,$I$3)&amp;"",1)="⚠","",MID(INDEX(입력_인턴근무계획!$M$3:$R$402,$A93,$I$3)&amp;"",FIND(" ",INDEX(입력_인턴근무계획!$M$3:$R$402,$A93,$I$3)&amp;"")+1,60))))</f>
        <v/>
      </c>
      <c r="K93" s="26">
        <f>IF($C93="","",INDEX(입력_인턴근무계획!$M$3:$M$402,$A93)&amp;"")</f>
        <v/>
      </c>
      <c r="L93" s="26">
        <f>IF($C93="","",INDEX(입력_인턴근무계획!$N$3:$N$402,$A93)&amp;"")</f>
        <v/>
      </c>
      <c r="M93" s="26">
        <f>IF($C93="","",INDEX(입력_인턴근무계획!$O$3:$O$402,$A93)&amp;"")</f>
        <v/>
      </c>
      <c r="N93" s="26">
        <f>IF($C93="","",INDEX(입력_인턴근무계획!$P$3:$P$402,$A93)&amp;"")</f>
        <v/>
      </c>
      <c r="O93" s="26">
        <f>IF($C93="","",INDEX(입력_인턴근무계획!$Q$3:$Q$402,$A93)&amp;"")</f>
        <v/>
      </c>
      <c r="P93" s="26">
        <f>IF($C93="","",INDEX(입력_인턴근무계획!$R$3:$R$402,$A93)&amp;"")</f>
        <v/>
      </c>
      <c r="Q93" s="26">
        <f>IF($C93="","",INDEX(입력_인턴근무계획!$T$3:$T$402,$A93))</f>
        <v/>
      </c>
    </row>
    <row r="94">
      <c r="A94" s="29" t="n">
        <v>89</v>
      </c>
      <c r="B94" s="26">
        <f>IF($C94="","",INDEX(입력_인턴근무계획!$B$3:$B$402,$A94))</f>
        <v/>
      </c>
      <c r="C94" s="26">
        <f>IFERROR(TRIM(INDEX(입력_인턴근무계획!$C$3:$C$402,$A94)&amp;""),"")</f>
        <v/>
      </c>
      <c r="D94" s="26">
        <f>IF($C94="","",INDEX(입력_인턴근무계획!$D$3:$D$402,$A94))</f>
        <v/>
      </c>
      <c r="E94" s="26">
        <f>IF($C94="","",IF(IFERROR(MATCH($D94,입력_기본자료!$B$2:$B$1001,0),IFERROR(MATCH($D94&amp;"",입력_기본자료!$B$2:$B$1001,0),IFERROR(MATCH(VALUE($D94),입력_기본자료!$B$2:$B$1001,0),0)))&gt;0,"확인","미등록"))</f>
        <v/>
      </c>
      <c r="F94" s="28">
        <f>IF($C94="","",INDEX(입력_인턴근무계획!$S$3:$S$402,$A94))</f>
        <v/>
      </c>
      <c r="G94" s="26">
        <f>IF(OR($C94="",$G$3=""),"",IF(INDEX(입력_인턴근무계획!$M$3:$R$402,$A94,$G$3)&amp;""="","",IF(LEFT(INDEX(입력_인턴근무계획!$M$3:$R$402,$A94,$G$3)&amp;"",1)="⚠",INDEX(입력_인턴근무계획!$M$3:$R$402,$A94,$G$3)&amp;"",LEFT(INDEX(입력_인턴근무계획!$M$3:$R$402,$A94,$G$3)&amp;"",FIND(" ",INDEX(입력_인턴근무계획!$M$3:$R$402,$A94,$G$3)&amp;"")-1))))</f>
        <v/>
      </c>
      <c r="H94" s="26">
        <f>IF(OR($C94="",$G$3=""),"",IF(INDEX(입력_인턴근무계획!$M$3:$R$402,$A94,$G$3)&amp;""="","",IF(LEFT(INDEX(입력_인턴근무계획!$M$3:$R$402,$A94,$G$3)&amp;"",1)="⚠","",MID(INDEX(입력_인턴근무계획!$M$3:$R$402,$A94,$G$3)&amp;"",FIND(" ",INDEX(입력_인턴근무계획!$M$3:$R$402,$A94,$G$3)&amp;"")+1,60))))</f>
        <v/>
      </c>
      <c r="I94" s="26">
        <f>IF(OR($C94="",$I$3=""),"",IF(INDEX(입력_인턴근무계획!$M$3:$R$402,$A94,$I$3)&amp;""="","",IF(LEFT(INDEX(입력_인턴근무계획!$M$3:$R$402,$A94,$I$3)&amp;"",1)="⚠",INDEX(입력_인턴근무계획!$M$3:$R$402,$A94,$I$3)&amp;"",LEFT(INDEX(입력_인턴근무계획!$M$3:$R$402,$A94,$I$3)&amp;"",FIND(" ",INDEX(입력_인턴근무계획!$M$3:$R$402,$A94,$I$3)&amp;"")-1))))</f>
        <v/>
      </c>
      <c r="J94" s="26">
        <f>IF(OR($C94="",$I$3=""),"",IF(INDEX(입력_인턴근무계획!$M$3:$R$402,$A94,$I$3)&amp;""="","",IF(LEFT(INDEX(입력_인턴근무계획!$M$3:$R$402,$A94,$I$3)&amp;"",1)="⚠","",MID(INDEX(입력_인턴근무계획!$M$3:$R$402,$A94,$I$3)&amp;"",FIND(" ",INDEX(입력_인턴근무계획!$M$3:$R$402,$A94,$I$3)&amp;"")+1,60))))</f>
        <v/>
      </c>
      <c r="K94" s="26">
        <f>IF($C94="","",INDEX(입력_인턴근무계획!$M$3:$M$402,$A94)&amp;"")</f>
        <v/>
      </c>
      <c r="L94" s="26">
        <f>IF($C94="","",INDEX(입력_인턴근무계획!$N$3:$N$402,$A94)&amp;"")</f>
        <v/>
      </c>
      <c r="M94" s="26">
        <f>IF($C94="","",INDEX(입력_인턴근무계획!$O$3:$O$402,$A94)&amp;"")</f>
        <v/>
      </c>
      <c r="N94" s="26">
        <f>IF($C94="","",INDEX(입력_인턴근무계획!$P$3:$P$402,$A94)&amp;"")</f>
        <v/>
      </c>
      <c r="O94" s="26">
        <f>IF($C94="","",INDEX(입력_인턴근무계획!$Q$3:$Q$402,$A94)&amp;"")</f>
        <v/>
      </c>
      <c r="P94" s="26">
        <f>IF($C94="","",INDEX(입력_인턴근무계획!$R$3:$R$402,$A94)&amp;"")</f>
        <v/>
      </c>
      <c r="Q94" s="26">
        <f>IF($C94="","",INDEX(입력_인턴근무계획!$T$3:$T$402,$A94))</f>
        <v/>
      </c>
    </row>
    <row r="95">
      <c r="A95" s="29" t="n">
        <v>90</v>
      </c>
      <c r="B95" s="26">
        <f>IF($C95="","",INDEX(입력_인턴근무계획!$B$3:$B$402,$A95))</f>
        <v/>
      </c>
      <c r="C95" s="26">
        <f>IFERROR(TRIM(INDEX(입력_인턴근무계획!$C$3:$C$402,$A95)&amp;""),"")</f>
        <v/>
      </c>
      <c r="D95" s="26">
        <f>IF($C95="","",INDEX(입력_인턴근무계획!$D$3:$D$402,$A95))</f>
        <v/>
      </c>
      <c r="E95" s="26">
        <f>IF($C95="","",IF(IFERROR(MATCH($D95,입력_기본자료!$B$2:$B$1001,0),IFERROR(MATCH($D95&amp;"",입력_기본자료!$B$2:$B$1001,0),IFERROR(MATCH(VALUE($D95),입력_기본자료!$B$2:$B$1001,0),0)))&gt;0,"확인","미등록"))</f>
        <v/>
      </c>
      <c r="F95" s="28">
        <f>IF($C95="","",INDEX(입력_인턴근무계획!$S$3:$S$402,$A95))</f>
        <v/>
      </c>
      <c r="G95" s="26">
        <f>IF(OR($C95="",$G$3=""),"",IF(INDEX(입력_인턴근무계획!$M$3:$R$402,$A95,$G$3)&amp;""="","",IF(LEFT(INDEX(입력_인턴근무계획!$M$3:$R$402,$A95,$G$3)&amp;"",1)="⚠",INDEX(입력_인턴근무계획!$M$3:$R$402,$A95,$G$3)&amp;"",LEFT(INDEX(입력_인턴근무계획!$M$3:$R$402,$A95,$G$3)&amp;"",FIND(" ",INDEX(입력_인턴근무계획!$M$3:$R$402,$A95,$G$3)&amp;"")-1))))</f>
        <v/>
      </c>
      <c r="H95" s="26">
        <f>IF(OR($C95="",$G$3=""),"",IF(INDEX(입력_인턴근무계획!$M$3:$R$402,$A95,$G$3)&amp;""="","",IF(LEFT(INDEX(입력_인턴근무계획!$M$3:$R$402,$A95,$G$3)&amp;"",1)="⚠","",MID(INDEX(입력_인턴근무계획!$M$3:$R$402,$A95,$G$3)&amp;"",FIND(" ",INDEX(입력_인턴근무계획!$M$3:$R$402,$A95,$G$3)&amp;"")+1,60))))</f>
        <v/>
      </c>
      <c r="I95" s="26">
        <f>IF(OR($C95="",$I$3=""),"",IF(INDEX(입력_인턴근무계획!$M$3:$R$402,$A95,$I$3)&amp;""="","",IF(LEFT(INDEX(입력_인턴근무계획!$M$3:$R$402,$A95,$I$3)&amp;"",1)="⚠",INDEX(입력_인턴근무계획!$M$3:$R$402,$A95,$I$3)&amp;"",LEFT(INDEX(입력_인턴근무계획!$M$3:$R$402,$A95,$I$3)&amp;"",FIND(" ",INDEX(입력_인턴근무계획!$M$3:$R$402,$A95,$I$3)&amp;"")-1))))</f>
        <v/>
      </c>
      <c r="J95" s="26">
        <f>IF(OR($C95="",$I$3=""),"",IF(INDEX(입력_인턴근무계획!$M$3:$R$402,$A95,$I$3)&amp;""="","",IF(LEFT(INDEX(입력_인턴근무계획!$M$3:$R$402,$A95,$I$3)&amp;"",1)="⚠","",MID(INDEX(입력_인턴근무계획!$M$3:$R$402,$A95,$I$3)&amp;"",FIND(" ",INDEX(입력_인턴근무계획!$M$3:$R$402,$A95,$I$3)&amp;"")+1,60))))</f>
        <v/>
      </c>
      <c r="K95" s="26">
        <f>IF($C95="","",INDEX(입력_인턴근무계획!$M$3:$M$402,$A95)&amp;"")</f>
        <v/>
      </c>
      <c r="L95" s="26">
        <f>IF($C95="","",INDEX(입력_인턴근무계획!$N$3:$N$402,$A95)&amp;"")</f>
        <v/>
      </c>
      <c r="M95" s="26">
        <f>IF($C95="","",INDEX(입력_인턴근무계획!$O$3:$O$402,$A95)&amp;"")</f>
        <v/>
      </c>
      <c r="N95" s="26">
        <f>IF($C95="","",INDEX(입력_인턴근무계획!$P$3:$P$402,$A95)&amp;"")</f>
        <v/>
      </c>
      <c r="O95" s="26">
        <f>IF($C95="","",INDEX(입력_인턴근무계획!$Q$3:$Q$402,$A95)&amp;"")</f>
        <v/>
      </c>
      <c r="P95" s="26">
        <f>IF($C95="","",INDEX(입력_인턴근무계획!$R$3:$R$402,$A95)&amp;"")</f>
        <v/>
      </c>
      <c r="Q95" s="26">
        <f>IF($C95="","",INDEX(입력_인턴근무계획!$T$3:$T$402,$A95))</f>
        <v/>
      </c>
    </row>
    <row r="96">
      <c r="A96" s="29" t="n">
        <v>91</v>
      </c>
      <c r="B96" s="26">
        <f>IF($C96="","",INDEX(입력_인턴근무계획!$B$3:$B$402,$A96))</f>
        <v/>
      </c>
      <c r="C96" s="26">
        <f>IFERROR(TRIM(INDEX(입력_인턴근무계획!$C$3:$C$402,$A96)&amp;""),"")</f>
        <v/>
      </c>
      <c r="D96" s="26">
        <f>IF($C96="","",INDEX(입력_인턴근무계획!$D$3:$D$402,$A96))</f>
        <v/>
      </c>
      <c r="E96" s="26">
        <f>IF($C96="","",IF(IFERROR(MATCH($D96,입력_기본자료!$B$2:$B$1001,0),IFERROR(MATCH($D96&amp;"",입력_기본자료!$B$2:$B$1001,0),IFERROR(MATCH(VALUE($D96),입력_기본자료!$B$2:$B$1001,0),0)))&gt;0,"확인","미등록"))</f>
        <v/>
      </c>
      <c r="F96" s="28">
        <f>IF($C96="","",INDEX(입력_인턴근무계획!$S$3:$S$402,$A96))</f>
        <v/>
      </c>
      <c r="G96" s="26">
        <f>IF(OR($C96="",$G$3=""),"",IF(INDEX(입력_인턴근무계획!$M$3:$R$402,$A96,$G$3)&amp;""="","",IF(LEFT(INDEX(입력_인턴근무계획!$M$3:$R$402,$A96,$G$3)&amp;"",1)="⚠",INDEX(입력_인턴근무계획!$M$3:$R$402,$A96,$G$3)&amp;"",LEFT(INDEX(입력_인턴근무계획!$M$3:$R$402,$A96,$G$3)&amp;"",FIND(" ",INDEX(입력_인턴근무계획!$M$3:$R$402,$A96,$G$3)&amp;"")-1))))</f>
        <v/>
      </c>
      <c r="H96" s="26">
        <f>IF(OR($C96="",$G$3=""),"",IF(INDEX(입력_인턴근무계획!$M$3:$R$402,$A96,$G$3)&amp;""="","",IF(LEFT(INDEX(입력_인턴근무계획!$M$3:$R$402,$A96,$G$3)&amp;"",1)="⚠","",MID(INDEX(입력_인턴근무계획!$M$3:$R$402,$A96,$G$3)&amp;"",FIND(" ",INDEX(입력_인턴근무계획!$M$3:$R$402,$A96,$G$3)&amp;"")+1,60))))</f>
        <v/>
      </c>
      <c r="I96" s="26">
        <f>IF(OR($C96="",$I$3=""),"",IF(INDEX(입력_인턴근무계획!$M$3:$R$402,$A96,$I$3)&amp;""="","",IF(LEFT(INDEX(입력_인턴근무계획!$M$3:$R$402,$A96,$I$3)&amp;"",1)="⚠",INDEX(입력_인턴근무계획!$M$3:$R$402,$A96,$I$3)&amp;"",LEFT(INDEX(입력_인턴근무계획!$M$3:$R$402,$A96,$I$3)&amp;"",FIND(" ",INDEX(입력_인턴근무계획!$M$3:$R$402,$A96,$I$3)&amp;"")-1))))</f>
        <v/>
      </c>
      <c r="J96" s="26">
        <f>IF(OR($C96="",$I$3=""),"",IF(INDEX(입력_인턴근무계획!$M$3:$R$402,$A96,$I$3)&amp;""="","",IF(LEFT(INDEX(입력_인턴근무계획!$M$3:$R$402,$A96,$I$3)&amp;"",1)="⚠","",MID(INDEX(입력_인턴근무계획!$M$3:$R$402,$A96,$I$3)&amp;"",FIND(" ",INDEX(입력_인턴근무계획!$M$3:$R$402,$A96,$I$3)&amp;"")+1,60))))</f>
        <v/>
      </c>
      <c r="K96" s="26">
        <f>IF($C96="","",INDEX(입력_인턴근무계획!$M$3:$M$402,$A96)&amp;"")</f>
        <v/>
      </c>
      <c r="L96" s="26">
        <f>IF($C96="","",INDEX(입력_인턴근무계획!$N$3:$N$402,$A96)&amp;"")</f>
        <v/>
      </c>
      <c r="M96" s="26">
        <f>IF($C96="","",INDEX(입력_인턴근무계획!$O$3:$O$402,$A96)&amp;"")</f>
        <v/>
      </c>
      <c r="N96" s="26">
        <f>IF($C96="","",INDEX(입력_인턴근무계획!$P$3:$P$402,$A96)&amp;"")</f>
        <v/>
      </c>
      <c r="O96" s="26">
        <f>IF($C96="","",INDEX(입력_인턴근무계획!$Q$3:$Q$402,$A96)&amp;"")</f>
        <v/>
      </c>
      <c r="P96" s="26">
        <f>IF($C96="","",INDEX(입력_인턴근무계획!$R$3:$R$402,$A96)&amp;"")</f>
        <v/>
      </c>
      <c r="Q96" s="26">
        <f>IF($C96="","",INDEX(입력_인턴근무계획!$T$3:$T$402,$A96))</f>
        <v/>
      </c>
    </row>
    <row r="97">
      <c r="A97" s="29" t="n">
        <v>92</v>
      </c>
      <c r="B97" s="26">
        <f>IF($C97="","",INDEX(입력_인턴근무계획!$B$3:$B$402,$A97))</f>
        <v/>
      </c>
      <c r="C97" s="26">
        <f>IFERROR(TRIM(INDEX(입력_인턴근무계획!$C$3:$C$402,$A97)&amp;""),"")</f>
        <v/>
      </c>
      <c r="D97" s="26">
        <f>IF($C97="","",INDEX(입력_인턴근무계획!$D$3:$D$402,$A97))</f>
        <v/>
      </c>
      <c r="E97" s="26">
        <f>IF($C97="","",IF(IFERROR(MATCH($D97,입력_기본자료!$B$2:$B$1001,0),IFERROR(MATCH($D97&amp;"",입력_기본자료!$B$2:$B$1001,0),IFERROR(MATCH(VALUE($D97),입력_기본자료!$B$2:$B$1001,0),0)))&gt;0,"확인","미등록"))</f>
        <v/>
      </c>
      <c r="F97" s="28">
        <f>IF($C97="","",INDEX(입력_인턴근무계획!$S$3:$S$402,$A97))</f>
        <v/>
      </c>
      <c r="G97" s="26">
        <f>IF(OR($C97="",$G$3=""),"",IF(INDEX(입력_인턴근무계획!$M$3:$R$402,$A97,$G$3)&amp;""="","",IF(LEFT(INDEX(입력_인턴근무계획!$M$3:$R$402,$A97,$G$3)&amp;"",1)="⚠",INDEX(입력_인턴근무계획!$M$3:$R$402,$A97,$G$3)&amp;"",LEFT(INDEX(입력_인턴근무계획!$M$3:$R$402,$A97,$G$3)&amp;"",FIND(" ",INDEX(입력_인턴근무계획!$M$3:$R$402,$A97,$G$3)&amp;"")-1))))</f>
        <v/>
      </c>
      <c r="H97" s="26">
        <f>IF(OR($C97="",$G$3=""),"",IF(INDEX(입력_인턴근무계획!$M$3:$R$402,$A97,$G$3)&amp;""="","",IF(LEFT(INDEX(입력_인턴근무계획!$M$3:$R$402,$A97,$G$3)&amp;"",1)="⚠","",MID(INDEX(입력_인턴근무계획!$M$3:$R$402,$A97,$G$3)&amp;"",FIND(" ",INDEX(입력_인턴근무계획!$M$3:$R$402,$A97,$G$3)&amp;"")+1,60))))</f>
        <v/>
      </c>
      <c r="I97" s="26">
        <f>IF(OR($C97="",$I$3=""),"",IF(INDEX(입력_인턴근무계획!$M$3:$R$402,$A97,$I$3)&amp;""="","",IF(LEFT(INDEX(입력_인턴근무계획!$M$3:$R$402,$A97,$I$3)&amp;"",1)="⚠",INDEX(입력_인턴근무계획!$M$3:$R$402,$A97,$I$3)&amp;"",LEFT(INDEX(입력_인턴근무계획!$M$3:$R$402,$A97,$I$3)&amp;"",FIND(" ",INDEX(입력_인턴근무계획!$M$3:$R$402,$A97,$I$3)&amp;"")-1))))</f>
        <v/>
      </c>
      <c r="J97" s="26">
        <f>IF(OR($C97="",$I$3=""),"",IF(INDEX(입력_인턴근무계획!$M$3:$R$402,$A97,$I$3)&amp;""="","",IF(LEFT(INDEX(입력_인턴근무계획!$M$3:$R$402,$A97,$I$3)&amp;"",1)="⚠","",MID(INDEX(입력_인턴근무계획!$M$3:$R$402,$A97,$I$3)&amp;"",FIND(" ",INDEX(입력_인턴근무계획!$M$3:$R$402,$A97,$I$3)&amp;"")+1,60))))</f>
        <v/>
      </c>
      <c r="K97" s="26">
        <f>IF($C97="","",INDEX(입력_인턴근무계획!$M$3:$M$402,$A97)&amp;"")</f>
        <v/>
      </c>
      <c r="L97" s="26">
        <f>IF($C97="","",INDEX(입력_인턴근무계획!$N$3:$N$402,$A97)&amp;"")</f>
        <v/>
      </c>
      <c r="M97" s="26">
        <f>IF($C97="","",INDEX(입력_인턴근무계획!$O$3:$O$402,$A97)&amp;"")</f>
        <v/>
      </c>
      <c r="N97" s="26">
        <f>IF($C97="","",INDEX(입력_인턴근무계획!$P$3:$P$402,$A97)&amp;"")</f>
        <v/>
      </c>
      <c r="O97" s="26">
        <f>IF($C97="","",INDEX(입력_인턴근무계획!$Q$3:$Q$402,$A97)&amp;"")</f>
        <v/>
      </c>
      <c r="P97" s="26">
        <f>IF($C97="","",INDEX(입력_인턴근무계획!$R$3:$R$402,$A97)&amp;"")</f>
        <v/>
      </c>
      <c r="Q97" s="26">
        <f>IF($C97="","",INDEX(입력_인턴근무계획!$T$3:$T$402,$A97))</f>
        <v/>
      </c>
    </row>
    <row r="98">
      <c r="A98" s="29" t="n">
        <v>93</v>
      </c>
      <c r="B98" s="26">
        <f>IF($C98="","",INDEX(입력_인턴근무계획!$B$3:$B$402,$A98))</f>
        <v/>
      </c>
      <c r="C98" s="26">
        <f>IFERROR(TRIM(INDEX(입력_인턴근무계획!$C$3:$C$402,$A98)&amp;""),"")</f>
        <v/>
      </c>
      <c r="D98" s="26">
        <f>IF($C98="","",INDEX(입력_인턴근무계획!$D$3:$D$402,$A98))</f>
        <v/>
      </c>
      <c r="E98" s="26">
        <f>IF($C98="","",IF(IFERROR(MATCH($D98,입력_기본자료!$B$2:$B$1001,0),IFERROR(MATCH($D98&amp;"",입력_기본자료!$B$2:$B$1001,0),IFERROR(MATCH(VALUE($D98),입력_기본자료!$B$2:$B$1001,0),0)))&gt;0,"확인","미등록"))</f>
        <v/>
      </c>
      <c r="F98" s="28">
        <f>IF($C98="","",INDEX(입력_인턴근무계획!$S$3:$S$402,$A98))</f>
        <v/>
      </c>
      <c r="G98" s="26">
        <f>IF(OR($C98="",$G$3=""),"",IF(INDEX(입력_인턴근무계획!$M$3:$R$402,$A98,$G$3)&amp;""="","",IF(LEFT(INDEX(입력_인턴근무계획!$M$3:$R$402,$A98,$G$3)&amp;"",1)="⚠",INDEX(입력_인턴근무계획!$M$3:$R$402,$A98,$G$3)&amp;"",LEFT(INDEX(입력_인턴근무계획!$M$3:$R$402,$A98,$G$3)&amp;"",FIND(" ",INDEX(입력_인턴근무계획!$M$3:$R$402,$A98,$G$3)&amp;"")-1))))</f>
        <v/>
      </c>
      <c r="H98" s="26">
        <f>IF(OR($C98="",$G$3=""),"",IF(INDEX(입력_인턴근무계획!$M$3:$R$402,$A98,$G$3)&amp;""="","",IF(LEFT(INDEX(입력_인턴근무계획!$M$3:$R$402,$A98,$G$3)&amp;"",1)="⚠","",MID(INDEX(입력_인턴근무계획!$M$3:$R$402,$A98,$G$3)&amp;"",FIND(" ",INDEX(입력_인턴근무계획!$M$3:$R$402,$A98,$G$3)&amp;"")+1,60))))</f>
        <v/>
      </c>
      <c r="I98" s="26">
        <f>IF(OR($C98="",$I$3=""),"",IF(INDEX(입력_인턴근무계획!$M$3:$R$402,$A98,$I$3)&amp;""="","",IF(LEFT(INDEX(입력_인턴근무계획!$M$3:$R$402,$A98,$I$3)&amp;"",1)="⚠",INDEX(입력_인턴근무계획!$M$3:$R$402,$A98,$I$3)&amp;"",LEFT(INDEX(입력_인턴근무계획!$M$3:$R$402,$A98,$I$3)&amp;"",FIND(" ",INDEX(입력_인턴근무계획!$M$3:$R$402,$A98,$I$3)&amp;"")-1))))</f>
        <v/>
      </c>
      <c r="J98" s="26">
        <f>IF(OR($C98="",$I$3=""),"",IF(INDEX(입력_인턴근무계획!$M$3:$R$402,$A98,$I$3)&amp;""="","",IF(LEFT(INDEX(입력_인턴근무계획!$M$3:$R$402,$A98,$I$3)&amp;"",1)="⚠","",MID(INDEX(입력_인턴근무계획!$M$3:$R$402,$A98,$I$3)&amp;"",FIND(" ",INDEX(입력_인턴근무계획!$M$3:$R$402,$A98,$I$3)&amp;"")+1,60))))</f>
        <v/>
      </c>
      <c r="K98" s="26">
        <f>IF($C98="","",INDEX(입력_인턴근무계획!$M$3:$M$402,$A98)&amp;"")</f>
        <v/>
      </c>
      <c r="L98" s="26">
        <f>IF($C98="","",INDEX(입력_인턴근무계획!$N$3:$N$402,$A98)&amp;"")</f>
        <v/>
      </c>
      <c r="M98" s="26">
        <f>IF($C98="","",INDEX(입력_인턴근무계획!$O$3:$O$402,$A98)&amp;"")</f>
        <v/>
      </c>
      <c r="N98" s="26">
        <f>IF($C98="","",INDEX(입력_인턴근무계획!$P$3:$P$402,$A98)&amp;"")</f>
        <v/>
      </c>
      <c r="O98" s="26">
        <f>IF($C98="","",INDEX(입력_인턴근무계획!$Q$3:$Q$402,$A98)&amp;"")</f>
        <v/>
      </c>
      <c r="P98" s="26">
        <f>IF($C98="","",INDEX(입력_인턴근무계획!$R$3:$R$402,$A98)&amp;"")</f>
        <v/>
      </c>
      <c r="Q98" s="26">
        <f>IF($C98="","",INDEX(입력_인턴근무계획!$T$3:$T$402,$A98))</f>
        <v/>
      </c>
    </row>
    <row r="99">
      <c r="A99" s="29" t="n">
        <v>94</v>
      </c>
      <c r="B99" s="26">
        <f>IF($C99="","",INDEX(입력_인턴근무계획!$B$3:$B$402,$A99))</f>
        <v/>
      </c>
      <c r="C99" s="26">
        <f>IFERROR(TRIM(INDEX(입력_인턴근무계획!$C$3:$C$402,$A99)&amp;""),"")</f>
        <v/>
      </c>
      <c r="D99" s="26">
        <f>IF($C99="","",INDEX(입력_인턴근무계획!$D$3:$D$402,$A99))</f>
        <v/>
      </c>
      <c r="E99" s="26">
        <f>IF($C99="","",IF(IFERROR(MATCH($D99,입력_기본자료!$B$2:$B$1001,0),IFERROR(MATCH($D99&amp;"",입력_기본자료!$B$2:$B$1001,0),IFERROR(MATCH(VALUE($D99),입력_기본자료!$B$2:$B$1001,0),0)))&gt;0,"확인","미등록"))</f>
        <v/>
      </c>
      <c r="F99" s="28">
        <f>IF($C99="","",INDEX(입력_인턴근무계획!$S$3:$S$402,$A99))</f>
        <v/>
      </c>
      <c r="G99" s="26">
        <f>IF(OR($C99="",$G$3=""),"",IF(INDEX(입력_인턴근무계획!$M$3:$R$402,$A99,$G$3)&amp;""="","",IF(LEFT(INDEX(입력_인턴근무계획!$M$3:$R$402,$A99,$G$3)&amp;"",1)="⚠",INDEX(입력_인턴근무계획!$M$3:$R$402,$A99,$G$3)&amp;"",LEFT(INDEX(입력_인턴근무계획!$M$3:$R$402,$A99,$G$3)&amp;"",FIND(" ",INDEX(입력_인턴근무계획!$M$3:$R$402,$A99,$G$3)&amp;"")-1))))</f>
        <v/>
      </c>
      <c r="H99" s="26">
        <f>IF(OR($C99="",$G$3=""),"",IF(INDEX(입력_인턴근무계획!$M$3:$R$402,$A99,$G$3)&amp;""="","",IF(LEFT(INDEX(입력_인턴근무계획!$M$3:$R$402,$A99,$G$3)&amp;"",1)="⚠","",MID(INDEX(입력_인턴근무계획!$M$3:$R$402,$A99,$G$3)&amp;"",FIND(" ",INDEX(입력_인턴근무계획!$M$3:$R$402,$A99,$G$3)&amp;"")+1,60))))</f>
        <v/>
      </c>
      <c r="I99" s="26">
        <f>IF(OR($C99="",$I$3=""),"",IF(INDEX(입력_인턴근무계획!$M$3:$R$402,$A99,$I$3)&amp;""="","",IF(LEFT(INDEX(입력_인턴근무계획!$M$3:$R$402,$A99,$I$3)&amp;"",1)="⚠",INDEX(입력_인턴근무계획!$M$3:$R$402,$A99,$I$3)&amp;"",LEFT(INDEX(입력_인턴근무계획!$M$3:$R$402,$A99,$I$3)&amp;"",FIND(" ",INDEX(입력_인턴근무계획!$M$3:$R$402,$A99,$I$3)&amp;"")-1))))</f>
        <v/>
      </c>
      <c r="J99" s="26">
        <f>IF(OR($C99="",$I$3=""),"",IF(INDEX(입력_인턴근무계획!$M$3:$R$402,$A99,$I$3)&amp;""="","",IF(LEFT(INDEX(입력_인턴근무계획!$M$3:$R$402,$A99,$I$3)&amp;"",1)="⚠","",MID(INDEX(입력_인턴근무계획!$M$3:$R$402,$A99,$I$3)&amp;"",FIND(" ",INDEX(입력_인턴근무계획!$M$3:$R$402,$A99,$I$3)&amp;"")+1,60))))</f>
        <v/>
      </c>
      <c r="K99" s="26">
        <f>IF($C99="","",INDEX(입력_인턴근무계획!$M$3:$M$402,$A99)&amp;"")</f>
        <v/>
      </c>
      <c r="L99" s="26">
        <f>IF($C99="","",INDEX(입력_인턴근무계획!$N$3:$N$402,$A99)&amp;"")</f>
        <v/>
      </c>
      <c r="M99" s="26">
        <f>IF($C99="","",INDEX(입력_인턴근무계획!$O$3:$O$402,$A99)&amp;"")</f>
        <v/>
      </c>
      <c r="N99" s="26">
        <f>IF($C99="","",INDEX(입력_인턴근무계획!$P$3:$P$402,$A99)&amp;"")</f>
        <v/>
      </c>
      <c r="O99" s="26">
        <f>IF($C99="","",INDEX(입력_인턴근무계획!$Q$3:$Q$402,$A99)&amp;"")</f>
        <v/>
      </c>
      <c r="P99" s="26">
        <f>IF($C99="","",INDEX(입력_인턴근무계획!$R$3:$R$402,$A99)&amp;"")</f>
        <v/>
      </c>
      <c r="Q99" s="26">
        <f>IF($C99="","",INDEX(입력_인턴근무계획!$T$3:$T$402,$A99))</f>
        <v/>
      </c>
    </row>
    <row r="100">
      <c r="A100" s="29" t="n">
        <v>95</v>
      </c>
      <c r="B100" s="26">
        <f>IF($C100="","",INDEX(입력_인턴근무계획!$B$3:$B$402,$A100))</f>
        <v/>
      </c>
      <c r="C100" s="26">
        <f>IFERROR(TRIM(INDEX(입력_인턴근무계획!$C$3:$C$402,$A100)&amp;""),"")</f>
        <v/>
      </c>
      <c r="D100" s="26">
        <f>IF($C100="","",INDEX(입력_인턴근무계획!$D$3:$D$402,$A100))</f>
        <v/>
      </c>
      <c r="E100" s="26">
        <f>IF($C100="","",IF(IFERROR(MATCH($D100,입력_기본자료!$B$2:$B$1001,0),IFERROR(MATCH($D100&amp;"",입력_기본자료!$B$2:$B$1001,0),IFERROR(MATCH(VALUE($D100),입력_기본자료!$B$2:$B$1001,0),0)))&gt;0,"확인","미등록"))</f>
        <v/>
      </c>
      <c r="F100" s="28">
        <f>IF($C100="","",INDEX(입력_인턴근무계획!$S$3:$S$402,$A100))</f>
        <v/>
      </c>
      <c r="G100" s="26">
        <f>IF(OR($C100="",$G$3=""),"",IF(INDEX(입력_인턴근무계획!$M$3:$R$402,$A100,$G$3)&amp;""="","",IF(LEFT(INDEX(입력_인턴근무계획!$M$3:$R$402,$A100,$G$3)&amp;"",1)="⚠",INDEX(입력_인턴근무계획!$M$3:$R$402,$A100,$G$3)&amp;"",LEFT(INDEX(입력_인턴근무계획!$M$3:$R$402,$A100,$G$3)&amp;"",FIND(" ",INDEX(입력_인턴근무계획!$M$3:$R$402,$A100,$G$3)&amp;"")-1))))</f>
        <v/>
      </c>
      <c r="H100" s="26">
        <f>IF(OR($C100="",$G$3=""),"",IF(INDEX(입력_인턴근무계획!$M$3:$R$402,$A100,$G$3)&amp;""="","",IF(LEFT(INDEX(입력_인턴근무계획!$M$3:$R$402,$A100,$G$3)&amp;"",1)="⚠","",MID(INDEX(입력_인턴근무계획!$M$3:$R$402,$A100,$G$3)&amp;"",FIND(" ",INDEX(입력_인턴근무계획!$M$3:$R$402,$A100,$G$3)&amp;"")+1,60))))</f>
        <v/>
      </c>
      <c r="I100" s="26">
        <f>IF(OR($C100="",$I$3=""),"",IF(INDEX(입력_인턴근무계획!$M$3:$R$402,$A100,$I$3)&amp;""="","",IF(LEFT(INDEX(입력_인턴근무계획!$M$3:$R$402,$A100,$I$3)&amp;"",1)="⚠",INDEX(입력_인턴근무계획!$M$3:$R$402,$A100,$I$3)&amp;"",LEFT(INDEX(입력_인턴근무계획!$M$3:$R$402,$A100,$I$3)&amp;"",FIND(" ",INDEX(입력_인턴근무계획!$M$3:$R$402,$A100,$I$3)&amp;"")-1))))</f>
        <v/>
      </c>
      <c r="J100" s="26">
        <f>IF(OR($C100="",$I$3=""),"",IF(INDEX(입력_인턴근무계획!$M$3:$R$402,$A100,$I$3)&amp;""="","",IF(LEFT(INDEX(입력_인턴근무계획!$M$3:$R$402,$A100,$I$3)&amp;"",1)="⚠","",MID(INDEX(입력_인턴근무계획!$M$3:$R$402,$A100,$I$3)&amp;"",FIND(" ",INDEX(입력_인턴근무계획!$M$3:$R$402,$A100,$I$3)&amp;"")+1,60))))</f>
        <v/>
      </c>
      <c r="K100" s="26">
        <f>IF($C100="","",INDEX(입력_인턴근무계획!$M$3:$M$402,$A100)&amp;"")</f>
        <v/>
      </c>
      <c r="L100" s="26">
        <f>IF($C100="","",INDEX(입력_인턴근무계획!$N$3:$N$402,$A100)&amp;"")</f>
        <v/>
      </c>
      <c r="M100" s="26">
        <f>IF($C100="","",INDEX(입력_인턴근무계획!$O$3:$O$402,$A100)&amp;"")</f>
        <v/>
      </c>
      <c r="N100" s="26">
        <f>IF($C100="","",INDEX(입력_인턴근무계획!$P$3:$P$402,$A100)&amp;"")</f>
        <v/>
      </c>
      <c r="O100" s="26">
        <f>IF($C100="","",INDEX(입력_인턴근무계획!$Q$3:$Q$402,$A100)&amp;"")</f>
        <v/>
      </c>
      <c r="P100" s="26">
        <f>IF($C100="","",INDEX(입력_인턴근무계획!$R$3:$R$402,$A100)&amp;"")</f>
        <v/>
      </c>
      <c r="Q100" s="26">
        <f>IF($C100="","",INDEX(입력_인턴근무계획!$T$3:$T$402,$A100))</f>
        <v/>
      </c>
    </row>
    <row r="101">
      <c r="A101" s="29" t="n">
        <v>96</v>
      </c>
      <c r="B101" s="26">
        <f>IF($C101="","",INDEX(입력_인턴근무계획!$B$3:$B$402,$A101))</f>
        <v/>
      </c>
      <c r="C101" s="26">
        <f>IFERROR(TRIM(INDEX(입력_인턴근무계획!$C$3:$C$402,$A101)&amp;""),"")</f>
        <v/>
      </c>
      <c r="D101" s="26">
        <f>IF($C101="","",INDEX(입력_인턴근무계획!$D$3:$D$402,$A101))</f>
        <v/>
      </c>
      <c r="E101" s="26">
        <f>IF($C101="","",IF(IFERROR(MATCH($D101,입력_기본자료!$B$2:$B$1001,0),IFERROR(MATCH($D101&amp;"",입력_기본자료!$B$2:$B$1001,0),IFERROR(MATCH(VALUE($D101),입력_기본자료!$B$2:$B$1001,0),0)))&gt;0,"확인","미등록"))</f>
        <v/>
      </c>
      <c r="F101" s="28">
        <f>IF($C101="","",INDEX(입력_인턴근무계획!$S$3:$S$402,$A101))</f>
        <v/>
      </c>
      <c r="G101" s="26">
        <f>IF(OR($C101="",$G$3=""),"",IF(INDEX(입력_인턴근무계획!$M$3:$R$402,$A101,$G$3)&amp;""="","",IF(LEFT(INDEX(입력_인턴근무계획!$M$3:$R$402,$A101,$G$3)&amp;"",1)="⚠",INDEX(입력_인턴근무계획!$M$3:$R$402,$A101,$G$3)&amp;"",LEFT(INDEX(입력_인턴근무계획!$M$3:$R$402,$A101,$G$3)&amp;"",FIND(" ",INDEX(입력_인턴근무계획!$M$3:$R$402,$A101,$G$3)&amp;"")-1))))</f>
        <v/>
      </c>
      <c r="H101" s="26">
        <f>IF(OR($C101="",$G$3=""),"",IF(INDEX(입력_인턴근무계획!$M$3:$R$402,$A101,$G$3)&amp;""="","",IF(LEFT(INDEX(입력_인턴근무계획!$M$3:$R$402,$A101,$G$3)&amp;"",1)="⚠","",MID(INDEX(입력_인턴근무계획!$M$3:$R$402,$A101,$G$3)&amp;"",FIND(" ",INDEX(입력_인턴근무계획!$M$3:$R$402,$A101,$G$3)&amp;"")+1,60))))</f>
        <v/>
      </c>
      <c r="I101" s="26">
        <f>IF(OR($C101="",$I$3=""),"",IF(INDEX(입력_인턴근무계획!$M$3:$R$402,$A101,$I$3)&amp;""="","",IF(LEFT(INDEX(입력_인턴근무계획!$M$3:$R$402,$A101,$I$3)&amp;"",1)="⚠",INDEX(입력_인턴근무계획!$M$3:$R$402,$A101,$I$3)&amp;"",LEFT(INDEX(입력_인턴근무계획!$M$3:$R$402,$A101,$I$3)&amp;"",FIND(" ",INDEX(입력_인턴근무계획!$M$3:$R$402,$A101,$I$3)&amp;"")-1))))</f>
        <v/>
      </c>
      <c r="J101" s="26">
        <f>IF(OR($C101="",$I$3=""),"",IF(INDEX(입력_인턴근무계획!$M$3:$R$402,$A101,$I$3)&amp;""="","",IF(LEFT(INDEX(입력_인턴근무계획!$M$3:$R$402,$A101,$I$3)&amp;"",1)="⚠","",MID(INDEX(입력_인턴근무계획!$M$3:$R$402,$A101,$I$3)&amp;"",FIND(" ",INDEX(입력_인턴근무계획!$M$3:$R$402,$A101,$I$3)&amp;"")+1,60))))</f>
        <v/>
      </c>
      <c r="K101" s="26">
        <f>IF($C101="","",INDEX(입력_인턴근무계획!$M$3:$M$402,$A101)&amp;"")</f>
        <v/>
      </c>
      <c r="L101" s="26">
        <f>IF($C101="","",INDEX(입력_인턴근무계획!$N$3:$N$402,$A101)&amp;"")</f>
        <v/>
      </c>
      <c r="M101" s="26">
        <f>IF($C101="","",INDEX(입력_인턴근무계획!$O$3:$O$402,$A101)&amp;"")</f>
        <v/>
      </c>
      <c r="N101" s="26">
        <f>IF($C101="","",INDEX(입력_인턴근무계획!$P$3:$P$402,$A101)&amp;"")</f>
        <v/>
      </c>
      <c r="O101" s="26">
        <f>IF($C101="","",INDEX(입력_인턴근무계획!$Q$3:$Q$402,$A101)&amp;"")</f>
        <v/>
      </c>
      <c r="P101" s="26">
        <f>IF($C101="","",INDEX(입력_인턴근무계획!$R$3:$R$402,$A101)&amp;"")</f>
        <v/>
      </c>
      <c r="Q101" s="26">
        <f>IF($C101="","",INDEX(입력_인턴근무계획!$T$3:$T$402,$A101))</f>
        <v/>
      </c>
    </row>
    <row r="102">
      <c r="A102" s="29" t="n">
        <v>97</v>
      </c>
      <c r="B102" s="26">
        <f>IF($C102="","",INDEX(입력_인턴근무계획!$B$3:$B$402,$A102))</f>
        <v/>
      </c>
      <c r="C102" s="26">
        <f>IFERROR(TRIM(INDEX(입력_인턴근무계획!$C$3:$C$402,$A102)&amp;""),"")</f>
        <v/>
      </c>
      <c r="D102" s="26">
        <f>IF($C102="","",INDEX(입력_인턴근무계획!$D$3:$D$402,$A102))</f>
        <v/>
      </c>
      <c r="E102" s="26">
        <f>IF($C102="","",IF(IFERROR(MATCH($D102,입력_기본자료!$B$2:$B$1001,0),IFERROR(MATCH($D102&amp;"",입력_기본자료!$B$2:$B$1001,0),IFERROR(MATCH(VALUE($D102),입력_기본자료!$B$2:$B$1001,0),0)))&gt;0,"확인","미등록"))</f>
        <v/>
      </c>
      <c r="F102" s="28">
        <f>IF($C102="","",INDEX(입력_인턴근무계획!$S$3:$S$402,$A102))</f>
        <v/>
      </c>
      <c r="G102" s="26">
        <f>IF(OR($C102="",$G$3=""),"",IF(INDEX(입력_인턴근무계획!$M$3:$R$402,$A102,$G$3)&amp;""="","",IF(LEFT(INDEX(입력_인턴근무계획!$M$3:$R$402,$A102,$G$3)&amp;"",1)="⚠",INDEX(입력_인턴근무계획!$M$3:$R$402,$A102,$G$3)&amp;"",LEFT(INDEX(입력_인턴근무계획!$M$3:$R$402,$A102,$G$3)&amp;"",FIND(" ",INDEX(입력_인턴근무계획!$M$3:$R$402,$A102,$G$3)&amp;"")-1))))</f>
        <v/>
      </c>
      <c r="H102" s="26">
        <f>IF(OR($C102="",$G$3=""),"",IF(INDEX(입력_인턴근무계획!$M$3:$R$402,$A102,$G$3)&amp;""="","",IF(LEFT(INDEX(입력_인턴근무계획!$M$3:$R$402,$A102,$G$3)&amp;"",1)="⚠","",MID(INDEX(입력_인턴근무계획!$M$3:$R$402,$A102,$G$3)&amp;"",FIND(" ",INDEX(입력_인턴근무계획!$M$3:$R$402,$A102,$G$3)&amp;"")+1,60))))</f>
        <v/>
      </c>
      <c r="I102" s="26">
        <f>IF(OR($C102="",$I$3=""),"",IF(INDEX(입력_인턴근무계획!$M$3:$R$402,$A102,$I$3)&amp;""="","",IF(LEFT(INDEX(입력_인턴근무계획!$M$3:$R$402,$A102,$I$3)&amp;"",1)="⚠",INDEX(입력_인턴근무계획!$M$3:$R$402,$A102,$I$3)&amp;"",LEFT(INDEX(입력_인턴근무계획!$M$3:$R$402,$A102,$I$3)&amp;"",FIND(" ",INDEX(입력_인턴근무계획!$M$3:$R$402,$A102,$I$3)&amp;"")-1))))</f>
        <v/>
      </c>
      <c r="J102" s="26">
        <f>IF(OR($C102="",$I$3=""),"",IF(INDEX(입력_인턴근무계획!$M$3:$R$402,$A102,$I$3)&amp;""="","",IF(LEFT(INDEX(입력_인턴근무계획!$M$3:$R$402,$A102,$I$3)&amp;"",1)="⚠","",MID(INDEX(입력_인턴근무계획!$M$3:$R$402,$A102,$I$3)&amp;"",FIND(" ",INDEX(입력_인턴근무계획!$M$3:$R$402,$A102,$I$3)&amp;"")+1,60))))</f>
        <v/>
      </c>
      <c r="K102" s="26">
        <f>IF($C102="","",INDEX(입력_인턴근무계획!$M$3:$M$402,$A102)&amp;"")</f>
        <v/>
      </c>
      <c r="L102" s="26">
        <f>IF($C102="","",INDEX(입력_인턴근무계획!$N$3:$N$402,$A102)&amp;"")</f>
        <v/>
      </c>
      <c r="M102" s="26">
        <f>IF($C102="","",INDEX(입력_인턴근무계획!$O$3:$O$402,$A102)&amp;"")</f>
        <v/>
      </c>
      <c r="N102" s="26">
        <f>IF($C102="","",INDEX(입력_인턴근무계획!$P$3:$P$402,$A102)&amp;"")</f>
        <v/>
      </c>
      <c r="O102" s="26">
        <f>IF($C102="","",INDEX(입력_인턴근무계획!$Q$3:$Q$402,$A102)&amp;"")</f>
        <v/>
      </c>
      <c r="P102" s="26">
        <f>IF($C102="","",INDEX(입력_인턴근무계획!$R$3:$R$402,$A102)&amp;"")</f>
        <v/>
      </c>
      <c r="Q102" s="26">
        <f>IF($C102="","",INDEX(입력_인턴근무계획!$T$3:$T$402,$A102))</f>
        <v/>
      </c>
    </row>
    <row r="103">
      <c r="A103" s="29" t="n">
        <v>98</v>
      </c>
      <c r="B103" s="26">
        <f>IF($C103="","",INDEX(입력_인턴근무계획!$B$3:$B$402,$A103))</f>
        <v/>
      </c>
      <c r="C103" s="26">
        <f>IFERROR(TRIM(INDEX(입력_인턴근무계획!$C$3:$C$402,$A103)&amp;""),"")</f>
        <v/>
      </c>
      <c r="D103" s="26">
        <f>IF($C103="","",INDEX(입력_인턴근무계획!$D$3:$D$402,$A103))</f>
        <v/>
      </c>
      <c r="E103" s="26">
        <f>IF($C103="","",IF(IFERROR(MATCH($D103,입력_기본자료!$B$2:$B$1001,0),IFERROR(MATCH($D103&amp;"",입력_기본자료!$B$2:$B$1001,0),IFERROR(MATCH(VALUE($D103),입력_기본자료!$B$2:$B$1001,0),0)))&gt;0,"확인","미등록"))</f>
        <v/>
      </c>
      <c r="F103" s="28">
        <f>IF($C103="","",INDEX(입력_인턴근무계획!$S$3:$S$402,$A103))</f>
        <v/>
      </c>
      <c r="G103" s="26">
        <f>IF(OR($C103="",$G$3=""),"",IF(INDEX(입력_인턴근무계획!$M$3:$R$402,$A103,$G$3)&amp;""="","",IF(LEFT(INDEX(입력_인턴근무계획!$M$3:$R$402,$A103,$G$3)&amp;"",1)="⚠",INDEX(입력_인턴근무계획!$M$3:$R$402,$A103,$G$3)&amp;"",LEFT(INDEX(입력_인턴근무계획!$M$3:$R$402,$A103,$G$3)&amp;"",FIND(" ",INDEX(입력_인턴근무계획!$M$3:$R$402,$A103,$G$3)&amp;"")-1))))</f>
        <v/>
      </c>
      <c r="H103" s="26">
        <f>IF(OR($C103="",$G$3=""),"",IF(INDEX(입력_인턴근무계획!$M$3:$R$402,$A103,$G$3)&amp;""="","",IF(LEFT(INDEX(입력_인턴근무계획!$M$3:$R$402,$A103,$G$3)&amp;"",1)="⚠","",MID(INDEX(입력_인턴근무계획!$M$3:$R$402,$A103,$G$3)&amp;"",FIND(" ",INDEX(입력_인턴근무계획!$M$3:$R$402,$A103,$G$3)&amp;"")+1,60))))</f>
        <v/>
      </c>
      <c r="I103" s="26">
        <f>IF(OR($C103="",$I$3=""),"",IF(INDEX(입력_인턴근무계획!$M$3:$R$402,$A103,$I$3)&amp;""="","",IF(LEFT(INDEX(입력_인턴근무계획!$M$3:$R$402,$A103,$I$3)&amp;"",1)="⚠",INDEX(입력_인턴근무계획!$M$3:$R$402,$A103,$I$3)&amp;"",LEFT(INDEX(입력_인턴근무계획!$M$3:$R$402,$A103,$I$3)&amp;"",FIND(" ",INDEX(입력_인턴근무계획!$M$3:$R$402,$A103,$I$3)&amp;"")-1))))</f>
        <v/>
      </c>
      <c r="J103" s="26">
        <f>IF(OR($C103="",$I$3=""),"",IF(INDEX(입력_인턴근무계획!$M$3:$R$402,$A103,$I$3)&amp;""="","",IF(LEFT(INDEX(입력_인턴근무계획!$M$3:$R$402,$A103,$I$3)&amp;"",1)="⚠","",MID(INDEX(입력_인턴근무계획!$M$3:$R$402,$A103,$I$3)&amp;"",FIND(" ",INDEX(입력_인턴근무계획!$M$3:$R$402,$A103,$I$3)&amp;"")+1,60))))</f>
        <v/>
      </c>
      <c r="K103" s="26">
        <f>IF($C103="","",INDEX(입력_인턴근무계획!$M$3:$M$402,$A103)&amp;"")</f>
        <v/>
      </c>
      <c r="L103" s="26">
        <f>IF($C103="","",INDEX(입력_인턴근무계획!$N$3:$N$402,$A103)&amp;"")</f>
        <v/>
      </c>
      <c r="M103" s="26">
        <f>IF($C103="","",INDEX(입력_인턴근무계획!$O$3:$O$402,$A103)&amp;"")</f>
        <v/>
      </c>
      <c r="N103" s="26">
        <f>IF($C103="","",INDEX(입력_인턴근무계획!$P$3:$P$402,$A103)&amp;"")</f>
        <v/>
      </c>
      <c r="O103" s="26">
        <f>IF($C103="","",INDEX(입력_인턴근무계획!$Q$3:$Q$402,$A103)&amp;"")</f>
        <v/>
      </c>
      <c r="P103" s="26">
        <f>IF($C103="","",INDEX(입력_인턴근무계획!$R$3:$R$402,$A103)&amp;"")</f>
        <v/>
      </c>
      <c r="Q103" s="26">
        <f>IF($C103="","",INDEX(입력_인턴근무계획!$T$3:$T$402,$A103))</f>
        <v/>
      </c>
    </row>
    <row r="104">
      <c r="A104" s="29" t="n">
        <v>99</v>
      </c>
      <c r="B104" s="26">
        <f>IF($C104="","",INDEX(입력_인턴근무계획!$B$3:$B$402,$A104))</f>
        <v/>
      </c>
      <c r="C104" s="26">
        <f>IFERROR(TRIM(INDEX(입력_인턴근무계획!$C$3:$C$402,$A104)&amp;""),"")</f>
        <v/>
      </c>
      <c r="D104" s="26">
        <f>IF($C104="","",INDEX(입력_인턴근무계획!$D$3:$D$402,$A104))</f>
        <v/>
      </c>
      <c r="E104" s="26">
        <f>IF($C104="","",IF(IFERROR(MATCH($D104,입력_기본자료!$B$2:$B$1001,0),IFERROR(MATCH($D104&amp;"",입력_기본자료!$B$2:$B$1001,0),IFERROR(MATCH(VALUE($D104),입력_기본자료!$B$2:$B$1001,0),0)))&gt;0,"확인","미등록"))</f>
        <v/>
      </c>
      <c r="F104" s="28">
        <f>IF($C104="","",INDEX(입력_인턴근무계획!$S$3:$S$402,$A104))</f>
        <v/>
      </c>
      <c r="G104" s="26">
        <f>IF(OR($C104="",$G$3=""),"",IF(INDEX(입력_인턴근무계획!$M$3:$R$402,$A104,$G$3)&amp;""="","",IF(LEFT(INDEX(입력_인턴근무계획!$M$3:$R$402,$A104,$G$3)&amp;"",1)="⚠",INDEX(입력_인턴근무계획!$M$3:$R$402,$A104,$G$3)&amp;"",LEFT(INDEX(입력_인턴근무계획!$M$3:$R$402,$A104,$G$3)&amp;"",FIND(" ",INDEX(입력_인턴근무계획!$M$3:$R$402,$A104,$G$3)&amp;"")-1))))</f>
        <v/>
      </c>
      <c r="H104" s="26">
        <f>IF(OR($C104="",$G$3=""),"",IF(INDEX(입력_인턴근무계획!$M$3:$R$402,$A104,$G$3)&amp;""="","",IF(LEFT(INDEX(입력_인턴근무계획!$M$3:$R$402,$A104,$G$3)&amp;"",1)="⚠","",MID(INDEX(입력_인턴근무계획!$M$3:$R$402,$A104,$G$3)&amp;"",FIND(" ",INDEX(입력_인턴근무계획!$M$3:$R$402,$A104,$G$3)&amp;"")+1,60))))</f>
        <v/>
      </c>
      <c r="I104" s="26">
        <f>IF(OR($C104="",$I$3=""),"",IF(INDEX(입력_인턴근무계획!$M$3:$R$402,$A104,$I$3)&amp;""="","",IF(LEFT(INDEX(입력_인턴근무계획!$M$3:$R$402,$A104,$I$3)&amp;"",1)="⚠",INDEX(입력_인턴근무계획!$M$3:$R$402,$A104,$I$3)&amp;"",LEFT(INDEX(입력_인턴근무계획!$M$3:$R$402,$A104,$I$3)&amp;"",FIND(" ",INDEX(입력_인턴근무계획!$M$3:$R$402,$A104,$I$3)&amp;"")-1))))</f>
        <v/>
      </c>
      <c r="J104" s="26">
        <f>IF(OR($C104="",$I$3=""),"",IF(INDEX(입력_인턴근무계획!$M$3:$R$402,$A104,$I$3)&amp;""="","",IF(LEFT(INDEX(입력_인턴근무계획!$M$3:$R$402,$A104,$I$3)&amp;"",1)="⚠","",MID(INDEX(입력_인턴근무계획!$M$3:$R$402,$A104,$I$3)&amp;"",FIND(" ",INDEX(입력_인턴근무계획!$M$3:$R$402,$A104,$I$3)&amp;"")+1,60))))</f>
        <v/>
      </c>
      <c r="K104" s="26">
        <f>IF($C104="","",INDEX(입력_인턴근무계획!$M$3:$M$402,$A104)&amp;"")</f>
        <v/>
      </c>
      <c r="L104" s="26">
        <f>IF($C104="","",INDEX(입력_인턴근무계획!$N$3:$N$402,$A104)&amp;"")</f>
        <v/>
      </c>
      <c r="M104" s="26">
        <f>IF($C104="","",INDEX(입력_인턴근무계획!$O$3:$O$402,$A104)&amp;"")</f>
        <v/>
      </c>
      <c r="N104" s="26">
        <f>IF($C104="","",INDEX(입력_인턴근무계획!$P$3:$P$402,$A104)&amp;"")</f>
        <v/>
      </c>
      <c r="O104" s="26">
        <f>IF($C104="","",INDEX(입력_인턴근무계획!$Q$3:$Q$402,$A104)&amp;"")</f>
        <v/>
      </c>
      <c r="P104" s="26">
        <f>IF($C104="","",INDEX(입력_인턴근무계획!$R$3:$R$402,$A104)&amp;"")</f>
        <v/>
      </c>
      <c r="Q104" s="26">
        <f>IF($C104="","",INDEX(입력_인턴근무계획!$T$3:$T$402,$A104))</f>
        <v/>
      </c>
    </row>
    <row r="105">
      <c r="A105" s="29" t="n">
        <v>100</v>
      </c>
      <c r="B105" s="26">
        <f>IF($C105="","",INDEX(입력_인턴근무계획!$B$3:$B$402,$A105))</f>
        <v/>
      </c>
      <c r="C105" s="26">
        <f>IFERROR(TRIM(INDEX(입력_인턴근무계획!$C$3:$C$402,$A105)&amp;""),"")</f>
        <v/>
      </c>
      <c r="D105" s="26">
        <f>IF($C105="","",INDEX(입력_인턴근무계획!$D$3:$D$402,$A105))</f>
        <v/>
      </c>
      <c r="E105" s="26">
        <f>IF($C105="","",IF(IFERROR(MATCH($D105,입력_기본자료!$B$2:$B$1001,0),IFERROR(MATCH($D105&amp;"",입력_기본자료!$B$2:$B$1001,0),IFERROR(MATCH(VALUE($D105),입력_기본자료!$B$2:$B$1001,0),0)))&gt;0,"확인","미등록"))</f>
        <v/>
      </c>
      <c r="F105" s="28">
        <f>IF($C105="","",INDEX(입력_인턴근무계획!$S$3:$S$402,$A105))</f>
        <v/>
      </c>
      <c r="G105" s="26">
        <f>IF(OR($C105="",$G$3=""),"",IF(INDEX(입력_인턴근무계획!$M$3:$R$402,$A105,$G$3)&amp;""="","",IF(LEFT(INDEX(입력_인턴근무계획!$M$3:$R$402,$A105,$G$3)&amp;"",1)="⚠",INDEX(입력_인턴근무계획!$M$3:$R$402,$A105,$G$3)&amp;"",LEFT(INDEX(입력_인턴근무계획!$M$3:$R$402,$A105,$G$3)&amp;"",FIND(" ",INDEX(입력_인턴근무계획!$M$3:$R$402,$A105,$G$3)&amp;"")-1))))</f>
        <v/>
      </c>
      <c r="H105" s="26">
        <f>IF(OR($C105="",$G$3=""),"",IF(INDEX(입력_인턴근무계획!$M$3:$R$402,$A105,$G$3)&amp;""="","",IF(LEFT(INDEX(입력_인턴근무계획!$M$3:$R$402,$A105,$G$3)&amp;"",1)="⚠","",MID(INDEX(입력_인턴근무계획!$M$3:$R$402,$A105,$G$3)&amp;"",FIND(" ",INDEX(입력_인턴근무계획!$M$3:$R$402,$A105,$G$3)&amp;"")+1,60))))</f>
        <v/>
      </c>
      <c r="I105" s="26">
        <f>IF(OR($C105="",$I$3=""),"",IF(INDEX(입력_인턴근무계획!$M$3:$R$402,$A105,$I$3)&amp;""="","",IF(LEFT(INDEX(입력_인턴근무계획!$M$3:$R$402,$A105,$I$3)&amp;"",1)="⚠",INDEX(입력_인턴근무계획!$M$3:$R$402,$A105,$I$3)&amp;"",LEFT(INDEX(입력_인턴근무계획!$M$3:$R$402,$A105,$I$3)&amp;"",FIND(" ",INDEX(입력_인턴근무계획!$M$3:$R$402,$A105,$I$3)&amp;"")-1))))</f>
        <v/>
      </c>
      <c r="J105" s="26">
        <f>IF(OR($C105="",$I$3=""),"",IF(INDEX(입력_인턴근무계획!$M$3:$R$402,$A105,$I$3)&amp;""="","",IF(LEFT(INDEX(입력_인턴근무계획!$M$3:$R$402,$A105,$I$3)&amp;"",1)="⚠","",MID(INDEX(입력_인턴근무계획!$M$3:$R$402,$A105,$I$3)&amp;"",FIND(" ",INDEX(입력_인턴근무계획!$M$3:$R$402,$A105,$I$3)&amp;"")+1,60))))</f>
        <v/>
      </c>
      <c r="K105" s="26">
        <f>IF($C105="","",INDEX(입력_인턴근무계획!$M$3:$M$402,$A105)&amp;"")</f>
        <v/>
      </c>
      <c r="L105" s="26">
        <f>IF($C105="","",INDEX(입력_인턴근무계획!$N$3:$N$402,$A105)&amp;"")</f>
        <v/>
      </c>
      <c r="M105" s="26">
        <f>IF($C105="","",INDEX(입력_인턴근무계획!$O$3:$O$402,$A105)&amp;"")</f>
        <v/>
      </c>
      <c r="N105" s="26">
        <f>IF($C105="","",INDEX(입력_인턴근무계획!$P$3:$P$402,$A105)&amp;"")</f>
        <v/>
      </c>
      <c r="O105" s="26">
        <f>IF($C105="","",INDEX(입력_인턴근무계획!$Q$3:$Q$402,$A105)&amp;"")</f>
        <v/>
      </c>
      <c r="P105" s="26">
        <f>IF($C105="","",INDEX(입력_인턴근무계획!$R$3:$R$402,$A105)&amp;"")</f>
        <v/>
      </c>
      <c r="Q105" s="26">
        <f>IF($C105="","",INDEX(입력_인턴근무계획!$T$3:$T$402,$A105))</f>
        <v/>
      </c>
    </row>
    <row r="106">
      <c r="A106" s="29" t="n">
        <v>101</v>
      </c>
      <c r="B106" s="26">
        <f>IF($C106="","",INDEX(입력_인턴근무계획!$B$3:$B$402,$A106))</f>
        <v/>
      </c>
      <c r="C106" s="26">
        <f>IFERROR(TRIM(INDEX(입력_인턴근무계획!$C$3:$C$402,$A106)&amp;""),"")</f>
        <v/>
      </c>
      <c r="D106" s="26">
        <f>IF($C106="","",INDEX(입력_인턴근무계획!$D$3:$D$402,$A106))</f>
        <v/>
      </c>
      <c r="E106" s="26">
        <f>IF($C106="","",IF(IFERROR(MATCH($D106,입력_기본자료!$B$2:$B$1001,0),IFERROR(MATCH($D106&amp;"",입력_기본자료!$B$2:$B$1001,0),IFERROR(MATCH(VALUE($D106),입력_기본자료!$B$2:$B$1001,0),0)))&gt;0,"확인","미등록"))</f>
        <v/>
      </c>
      <c r="F106" s="28">
        <f>IF($C106="","",INDEX(입력_인턴근무계획!$S$3:$S$402,$A106))</f>
        <v/>
      </c>
      <c r="G106" s="26">
        <f>IF(OR($C106="",$G$3=""),"",IF(INDEX(입력_인턴근무계획!$M$3:$R$402,$A106,$G$3)&amp;""="","",IF(LEFT(INDEX(입력_인턴근무계획!$M$3:$R$402,$A106,$G$3)&amp;"",1)="⚠",INDEX(입력_인턴근무계획!$M$3:$R$402,$A106,$G$3)&amp;"",LEFT(INDEX(입력_인턴근무계획!$M$3:$R$402,$A106,$G$3)&amp;"",FIND(" ",INDEX(입력_인턴근무계획!$M$3:$R$402,$A106,$G$3)&amp;"")-1))))</f>
        <v/>
      </c>
      <c r="H106" s="26">
        <f>IF(OR($C106="",$G$3=""),"",IF(INDEX(입력_인턴근무계획!$M$3:$R$402,$A106,$G$3)&amp;""="","",IF(LEFT(INDEX(입력_인턴근무계획!$M$3:$R$402,$A106,$G$3)&amp;"",1)="⚠","",MID(INDEX(입력_인턴근무계획!$M$3:$R$402,$A106,$G$3)&amp;"",FIND(" ",INDEX(입력_인턴근무계획!$M$3:$R$402,$A106,$G$3)&amp;"")+1,60))))</f>
        <v/>
      </c>
      <c r="I106" s="26">
        <f>IF(OR($C106="",$I$3=""),"",IF(INDEX(입력_인턴근무계획!$M$3:$R$402,$A106,$I$3)&amp;""="","",IF(LEFT(INDEX(입력_인턴근무계획!$M$3:$R$402,$A106,$I$3)&amp;"",1)="⚠",INDEX(입력_인턴근무계획!$M$3:$R$402,$A106,$I$3)&amp;"",LEFT(INDEX(입력_인턴근무계획!$M$3:$R$402,$A106,$I$3)&amp;"",FIND(" ",INDEX(입력_인턴근무계획!$M$3:$R$402,$A106,$I$3)&amp;"")-1))))</f>
        <v/>
      </c>
      <c r="J106" s="26">
        <f>IF(OR($C106="",$I$3=""),"",IF(INDEX(입력_인턴근무계획!$M$3:$R$402,$A106,$I$3)&amp;""="","",IF(LEFT(INDEX(입력_인턴근무계획!$M$3:$R$402,$A106,$I$3)&amp;"",1)="⚠","",MID(INDEX(입력_인턴근무계획!$M$3:$R$402,$A106,$I$3)&amp;"",FIND(" ",INDEX(입력_인턴근무계획!$M$3:$R$402,$A106,$I$3)&amp;"")+1,60))))</f>
        <v/>
      </c>
      <c r="K106" s="26">
        <f>IF($C106="","",INDEX(입력_인턴근무계획!$M$3:$M$402,$A106)&amp;"")</f>
        <v/>
      </c>
      <c r="L106" s="26">
        <f>IF($C106="","",INDEX(입력_인턴근무계획!$N$3:$N$402,$A106)&amp;"")</f>
        <v/>
      </c>
      <c r="M106" s="26">
        <f>IF($C106="","",INDEX(입력_인턴근무계획!$O$3:$O$402,$A106)&amp;"")</f>
        <v/>
      </c>
      <c r="N106" s="26">
        <f>IF($C106="","",INDEX(입력_인턴근무계획!$P$3:$P$402,$A106)&amp;"")</f>
        <v/>
      </c>
      <c r="O106" s="26">
        <f>IF($C106="","",INDEX(입력_인턴근무계획!$Q$3:$Q$402,$A106)&amp;"")</f>
        <v/>
      </c>
      <c r="P106" s="26">
        <f>IF($C106="","",INDEX(입력_인턴근무계획!$R$3:$R$402,$A106)&amp;"")</f>
        <v/>
      </c>
      <c r="Q106" s="26">
        <f>IF($C106="","",INDEX(입력_인턴근무계획!$T$3:$T$402,$A106))</f>
        <v/>
      </c>
    </row>
    <row r="107">
      <c r="A107" s="29" t="n">
        <v>102</v>
      </c>
      <c r="B107" s="26">
        <f>IF($C107="","",INDEX(입력_인턴근무계획!$B$3:$B$402,$A107))</f>
        <v/>
      </c>
      <c r="C107" s="26">
        <f>IFERROR(TRIM(INDEX(입력_인턴근무계획!$C$3:$C$402,$A107)&amp;""),"")</f>
        <v/>
      </c>
      <c r="D107" s="26">
        <f>IF($C107="","",INDEX(입력_인턴근무계획!$D$3:$D$402,$A107))</f>
        <v/>
      </c>
      <c r="E107" s="26">
        <f>IF($C107="","",IF(IFERROR(MATCH($D107,입력_기본자료!$B$2:$B$1001,0),IFERROR(MATCH($D107&amp;"",입력_기본자료!$B$2:$B$1001,0),IFERROR(MATCH(VALUE($D107),입력_기본자료!$B$2:$B$1001,0),0)))&gt;0,"확인","미등록"))</f>
        <v/>
      </c>
      <c r="F107" s="28">
        <f>IF($C107="","",INDEX(입력_인턴근무계획!$S$3:$S$402,$A107))</f>
        <v/>
      </c>
      <c r="G107" s="26">
        <f>IF(OR($C107="",$G$3=""),"",IF(INDEX(입력_인턴근무계획!$M$3:$R$402,$A107,$G$3)&amp;""="","",IF(LEFT(INDEX(입력_인턴근무계획!$M$3:$R$402,$A107,$G$3)&amp;"",1)="⚠",INDEX(입력_인턴근무계획!$M$3:$R$402,$A107,$G$3)&amp;"",LEFT(INDEX(입력_인턴근무계획!$M$3:$R$402,$A107,$G$3)&amp;"",FIND(" ",INDEX(입력_인턴근무계획!$M$3:$R$402,$A107,$G$3)&amp;"")-1))))</f>
        <v/>
      </c>
      <c r="H107" s="26">
        <f>IF(OR($C107="",$G$3=""),"",IF(INDEX(입력_인턴근무계획!$M$3:$R$402,$A107,$G$3)&amp;""="","",IF(LEFT(INDEX(입력_인턴근무계획!$M$3:$R$402,$A107,$G$3)&amp;"",1)="⚠","",MID(INDEX(입력_인턴근무계획!$M$3:$R$402,$A107,$G$3)&amp;"",FIND(" ",INDEX(입력_인턴근무계획!$M$3:$R$402,$A107,$G$3)&amp;"")+1,60))))</f>
        <v/>
      </c>
      <c r="I107" s="26">
        <f>IF(OR($C107="",$I$3=""),"",IF(INDEX(입력_인턴근무계획!$M$3:$R$402,$A107,$I$3)&amp;""="","",IF(LEFT(INDEX(입력_인턴근무계획!$M$3:$R$402,$A107,$I$3)&amp;"",1)="⚠",INDEX(입력_인턴근무계획!$M$3:$R$402,$A107,$I$3)&amp;"",LEFT(INDEX(입력_인턴근무계획!$M$3:$R$402,$A107,$I$3)&amp;"",FIND(" ",INDEX(입력_인턴근무계획!$M$3:$R$402,$A107,$I$3)&amp;"")-1))))</f>
        <v/>
      </c>
      <c r="J107" s="26">
        <f>IF(OR($C107="",$I$3=""),"",IF(INDEX(입력_인턴근무계획!$M$3:$R$402,$A107,$I$3)&amp;""="","",IF(LEFT(INDEX(입력_인턴근무계획!$M$3:$R$402,$A107,$I$3)&amp;"",1)="⚠","",MID(INDEX(입력_인턴근무계획!$M$3:$R$402,$A107,$I$3)&amp;"",FIND(" ",INDEX(입력_인턴근무계획!$M$3:$R$402,$A107,$I$3)&amp;"")+1,60))))</f>
        <v/>
      </c>
      <c r="K107" s="26">
        <f>IF($C107="","",INDEX(입력_인턴근무계획!$M$3:$M$402,$A107)&amp;"")</f>
        <v/>
      </c>
      <c r="L107" s="26">
        <f>IF($C107="","",INDEX(입력_인턴근무계획!$N$3:$N$402,$A107)&amp;"")</f>
        <v/>
      </c>
      <c r="M107" s="26">
        <f>IF($C107="","",INDEX(입력_인턴근무계획!$O$3:$O$402,$A107)&amp;"")</f>
        <v/>
      </c>
      <c r="N107" s="26">
        <f>IF($C107="","",INDEX(입력_인턴근무계획!$P$3:$P$402,$A107)&amp;"")</f>
        <v/>
      </c>
      <c r="O107" s="26">
        <f>IF($C107="","",INDEX(입력_인턴근무계획!$Q$3:$Q$402,$A107)&amp;"")</f>
        <v/>
      </c>
      <c r="P107" s="26">
        <f>IF($C107="","",INDEX(입력_인턴근무계획!$R$3:$R$402,$A107)&amp;"")</f>
        <v/>
      </c>
      <c r="Q107" s="26">
        <f>IF($C107="","",INDEX(입력_인턴근무계획!$T$3:$T$402,$A107))</f>
        <v/>
      </c>
    </row>
    <row r="108">
      <c r="A108" s="29" t="n">
        <v>103</v>
      </c>
      <c r="B108" s="26">
        <f>IF($C108="","",INDEX(입력_인턴근무계획!$B$3:$B$402,$A108))</f>
        <v/>
      </c>
      <c r="C108" s="26">
        <f>IFERROR(TRIM(INDEX(입력_인턴근무계획!$C$3:$C$402,$A108)&amp;""),"")</f>
        <v/>
      </c>
      <c r="D108" s="26">
        <f>IF($C108="","",INDEX(입력_인턴근무계획!$D$3:$D$402,$A108))</f>
        <v/>
      </c>
      <c r="E108" s="26">
        <f>IF($C108="","",IF(IFERROR(MATCH($D108,입력_기본자료!$B$2:$B$1001,0),IFERROR(MATCH($D108&amp;"",입력_기본자료!$B$2:$B$1001,0),IFERROR(MATCH(VALUE($D108),입력_기본자료!$B$2:$B$1001,0),0)))&gt;0,"확인","미등록"))</f>
        <v/>
      </c>
      <c r="F108" s="28">
        <f>IF($C108="","",INDEX(입력_인턴근무계획!$S$3:$S$402,$A108))</f>
        <v/>
      </c>
      <c r="G108" s="26">
        <f>IF(OR($C108="",$G$3=""),"",IF(INDEX(입력_인턴근무계획!$M$3:$R$402,$A108,$G$3)&amp;""="","",IF(LEFT(INDEX(입력_인턴근무계획!$M$3:$R$402,$A108,$G$3)&amp;"",1)="⚠",INDEX(입력_인턴근무계획!$M$3:$R$402,$A108,$G$3)&amp;"",LEFT(INDEX(입력_인턴근무계획!$M$3:$R$402,$A108,$G$3)&amp;"",FIND(" ",INDEX(입력_인턴근무계획!$M$3:$R$402,$A108,$G$3)&amp;"")-1))))</f>
        <v/>
      </c>
      <c r="H108" s="26">
        <f>IF(OR($C108="",$G$3=""),"",IF(INDEX(입력_인턴근무계획!$M$3:$R$402,$A108,$G$3)&amp;""="","",IF(LEFT(INDEX(입력_인턴근무계획!$M$3:$R$402,$A108,$G$3)&amp;"",1)="⚠","",MID(INDEX(입력_인턴근무계획!$M$3:$R$402,$A108,$G$3)&amp;"",FIND(" ",INDEX(입력_인턴근무계획!$M$3:$R$402,$A108,$G$3)&amp;"")+1,60))))</f>
        <v/>
      </c>
      <c r="I108" s="26">
        <f>IF(OR($C108="",$I$3=""),"",IF(INDEX(입력_인턴근무계획!$M$3:$R$402,$A108,$I$3)&amp;""="","",IF(LEFT(INDEX(입력_인턴근무계획!$M$3:$R$402,$A108,$I$3)&amp;"",1)="⚠",INDEX(입력_인턴근무계획!$M$3:$R$402,$A108,$I$3)&amp;"",LEFT(INDEX(입력_인턴근무계획!$M$3:$R$402,$A108,$I$3)&amp;"",FIND(" ",INDEX(입력_인턴근무계획!$M$3:$R$402,$A108,$I$3)&amp;"")-1))))</f>
        <v/>
      </c>
      <c r="J108" s="26">
        <f>IF(OR($C108="",$I$3=""),"",IF(INDEX(입력_인턴근무계획!$M$3:$R$402,$A108,$I$3)&amp;""="","",IF(LEFT(INDEX(입력_인턴근무계획!$M$3:$R$402,$A108,$I$3)&amp;"",1)="⚠","",MID(INDEX(입력_인턴근무계획!$M$3:$R$402,$A108,$I$3)&amp;"",FIND(" ",INDEX(입력_인턴근무계획!$M$3:$R$402,$A108,$I$3)&amp;"")+1,60))))</f>
        <v/>
      </c>
      <c r="K108" s="26">
        <f>IF($C108="","",INDEX(입력_인턴근무계획!$M$3:$M$402,$A108)&amp;"")</f>
        <v/>
      </c>
      <c r="L108" s="26">
        <f>IF($C108="","",INDEX(입력_인턴근무계획!$N$3:$N$402,$A108)&amp;"")</f>
        <v/>
      </c>
      <c r="M108" s="26">
        <f>IF($C108="","",INDEX(입력_인턴근무계획!$O$3:$O$402,$A108)&amp;"")</f>
        <v/>
      </c>
      <c r="N108" s="26">
        <f>IF($C108="","",INDEX(입력_인턴근무계획!$P$3:$P$402,$A108)&amp;"")</f>
        <v/>
      </c>
      <c r="O108" s="26">
        <f>IF($C108="","",INDEX(입력_인턴근무계획!$Q$3:$Q$402,$A108)&amp;"")</f>
        <v/>
      </c>
      <c r="P108" s="26">
        <f>IF($C108="","",INDEX(입력_인턴근무계획!$R$3:$R$402,$A108)&amp;"")</f>
        <v/>
      </c>
      <c r="Q108" s="26">
        <f>IF($C108="","",INDEX(입력_인턴근무계획!$T$3:$T$402,$A108))</f>
        <v/>
      </c>
    </row>
    <row r="109">
      <c r="A109" s="29" t="n">
        <v>104</v>
      </c>
      <c r="B109" s="26">
        <f>IF($C109="","",INDEX(입력_인턴근무계획!$B$3:$B$402,$A109))</f>
        <v/>
      </c>
      <c r="C109" s="26">
        <f>IFERROR(TRIM(INDEX(입력_인턴근무계획!$C$3:$C$402,$A109)&amp;""),"")</f>
        <v/>
      </c>
      <c r="D109" s="26">
        <f>IF($C109="","",INDEX(입력_인턴근무계획!$D$3:$D$402,$A109))</f>
        <v/>
      </c>
      <c r="E109" s="26">
        <f>IF($C109="","",IF(IFERROR(MATCH($D109,입력_기본자료!$B$2:$B$1001,0),IFERROR(MATCH($D109&amp;"",입력_기본자료!$B$2:$B$1001,0),IFERROR(MATCH(VALUE($D109),입력_기본자료!$B$2:$B$1001,0),0)))&gt;0,"확인","미등록"))</f>
        <v/>
      </c>
      <c r="F109" s="28">
        <f>IF($C109="","",INDEX(입력_인턴근무계획!$S$3:$S$402,$A109))</f>
        <v/>
      </c>
      <c r="G109" s="26">
        <f>IF(OR($C109="",$G$3=""),"",IF(INDEX(입력_인턴근무계획!$M$3:$R$402,$A109,$G$3)&amp;""="","",IF(LEFT(INDEX(입력_인턴근무계획!$M$3:$R$402,$A109,$G$3)&amp;"",1)="⚠",INDEX(입력_인턴근무계획!$M$3:$R$402,$A109,$G$3)&amp;"",LEFT(INDEX(입력_인턴근무계획!$M$3:$R$402,$A109,$G$3)&amp;"",FIND(" ",INDEX(입력_인턴근무계획!$M$3:$R$402,$A109,$G$3)&amp;"")-1))))</f>
        <v/>
      </c>
      <c r="H109" s="26">
        <f>IF(OR($C109="",$G$3=""),"",IF(INDEX(입력_인턴근무계획!$M$3:$R$402,$A109,$G$3)&amp;""="","",IF(LEFT(INDEX(입력_인턴근무계획!$M$3:$R$402,$A109,$G$3)&amp;"",1)="⚠","",MID(INDEX(입력_인턴근무계획!$M$3:$R$402,$A109,$G$3)&amp;"",FIND(" ",INDEX(입력_인턴근무계획!$M$3:$R$402,$A109,$G$3)&amp;"")+1,60))))</f>
        <v/>
      </c>
      <c r="I109" s="26">
        <f>IF(OR($C109="",$I$3=""),"",IF(INDEX(입력_인턴근무계획!$M$3:$R$402,$A109,$I$3)&amp;""="","",IF(LEFT(INDEX(입력_인턴근무계획!$M$3:$R$402,$A109,$I$3)&amp;"",1)="⚠",INDEX(입력_인턴근무계획!$M$3:$R$402,$A109,$I$3)&amp;"",LEFT(INDEX(입력_인턴근무계획!$M$3:$R$402,$A109,$I$3)&amp;"",FIND(" ",INDEX(입력_인턴근무계획!$M$3:$R$402,$A109,$I$3)&amp;"")-1))))</f>
        <v/>
      </c>
      <c r="J109" s="26">
        <f>IF(OR($C109="",$I$3=""),"",IF(INDEX(입력_인턴근무계획!$M$3:$R$402,$A109,$I$3)&amp;""="","",IF(LEFT(INDEX(입력_인턴근무계획!$M$3:$R$402,$A109,$I$3)&amp;"",1)="⚠","",MID(INDEX(입력_인턴근무계획!$M$3:$R$402,$A109,$I$3)&amp;"",FIND(" ",INDEX(입력_인턴근무계획!$M$3:$R$402,$A109,$I$3)&amp;"")+1,60))))</f>
        <v/>
      </c>
      <c r="K109" s="26">
        <f>IF($C109="","",INDEX(입력_인턴근무계획!$M$3:$M$402,$A109)&amp;"")</f>
        <v/>
      </c>
      <c r="L109" s="26">
        <f>IF($C109="","",INDEX(입력_인턴근무계획!$N$3:$N$402,$A109)&amp;"")</f>
        <v/>
      </c>
      <c r="M109" s="26">
        <f>IF($C109="","",INDEX(입력_인턴근무계획!$O$3:$O$402,$A109)&amp;"")</f>
        <v/>
      </c>
      <c r="N109" s="26">
        <f>IF($C109="","",INDEX(입력_인턴근무계획!$P$3:$P$402,$A109)&amp;"")</f>
        <v/>
      </c>
      <c r="O109" s="26">
        <f>IF($C109="","",INDEX(입력_인턴근무계획!$Q$3:$Q$402,$A109)&amp;"")</f>
        <v/>
      </c>
      <c r="P109" s="26">
        <f>IF($C109="","",INDEX(입력_인턴근무계획!$R$3:$R$402,$A109)&amp;"")</f>
        <v/>
      </c>
      <c r="Q109" s="26">
        <f>IF($C109="","",INDEX(입력_인턴근무계획!$T$3:$T$402,$A109))</f>
        <v/>
      </c>
    </row>
    <row r="110">
      <c r="A110" s="29" t="n">
        <v>105</v>
      </c>
      <c r="B110" s="26">
        <f>IF($C110="","",INDEX(입력_인턴근무계획!$B$3:$B$402,$A110))</f>
        <v/>
      </c>
      <c r="C110" s="26">
        <f>IFERROR(TRIM(INDEX(입력_인턴근무계획!$C$3:$C$402,$A110)&amp;""),"")</f>
        <v/>
      </c>
      <c r="D110" s="26">
        <f>IF($C110="","",INDEX(입력_인턴근무계획!$D$3:$D$402,$A110))</f>
        <v/>
      </c>
      <c r="E110" s="26">
        <f>IF($C110="","",IF(IFERROR(MATCH($D110,입력_기본자료!$B$2:$B$1001,0),IFERROR(MATCH($D110&amp;"",입력_기본자료!$B$2:$B$1001,0),IFERROR(MATCH(VALUE($D110),입력_기본자료!$B$2:$B$1001,0),0)))&gt;0,"확인","미등록"))</f>
        <v/>
      </c>
      <c r="F110" s="28">
        <f>IF($C110="","",INDEX(입력_인턴근무계획!$S$3:$S$402,$A110))</f>
        <v/>
      </c>
      <c r="G110" s="26">
        <f>IF(OR($C110="",$G$3=""),"",IF(INDEX(입력_인턴근무계획!$M$3:$R$402,$A110,$G$3)&amp;""="","",IF(LEFT(INDEX(입력_인턴근무계획!$M$3:$R$402,$A110,$G$3)&amp;"",1)="⚠",INDEX(입력_인턴근무계획!$M$3:$R$402,$A110,$G$3)&amp;"",LEFT(INDEX(입력_인턴근무계획!$M$3:$R$402,$A110,$G$3)&amp;"",FIND(" ",INDEX(입력_인턴근무계획!$M$3:$R$402,$A110,$G$3)&amp;"")-1))))</f>
        <v/>
      </c>
      <c r="H110" s="26">
        <f>IF(OR($C110="",$G$3=""),"",IF(INDEX(입력_인턴근무계획!$M$3:$R$402,$A110,$G$3)&amp;""="","",IF(LEFT(INDEX(입력_인턴근무계획!$M$3:$R$402,$A110,$G$3)&amp;"",1)="⚠","",MID(INDEX(입력_인턴근무계획!$M$3:$R$402,$A110,$G$3)&amp;"",FIND(" ",INDEX(입력_인턴근무계획!$M$3:$R$402,$A110,$G$3)&amp;"")+1,60))))</f>
        <v/>
      </c>
      <c r="I110" s="26">
        <f>IF(OR($C110="",$I$3=""),"",IF(INDEX(입력_인턴근무계획!$M$3:$R$402,$A110,$I$3)&amp;""="","",IF(LEFT(INDEX(입력_인턴근무계획!$M$3:$R$402,$A110,$I$3)&amp;"",1)="⚠",INDEX(입력_인턴근무계획!$M$3:$R$402,$A110,$I$3)&amp;"",LEFT(INDEX(입력_인턴근무계획!$M$3:$R$402,$A110,$I$3)&amp;"",FIND(" ",INDEX(입력_인턴근무계획!$M$3:$R$402,$A110,$I$3)&amp;"")-1))))</f>
        <v/>
      </c>
      <c r="J110" s="26">
        <f>IF(OR($C110="",$I$3=""),"",IF(INDEX(입력_인턴근무계획!$M$3:$R$402,$A110,$I$3)&amp;""="","",IF(LEFT(INDEX(입력_인턴근무계획!$M$3:$R$402,$A110,$I$3)&amp;"",1)="⚠","",MID(INDEX(입력_인턴근무계획!$M$3:$R$402,$A110,$I$3)&amp;"",FIND(" ",INDEX(입력_인턴근무계획!$M$3:$R$402,$A110,$I$3)&amp;"")+1,60))))</f>
        <v/>
      </c>
      <c r="K110" s="26">
        <f>IF($C110="","",INDEX(입력_인턴근무계획!$M$3:$M$402,$A110)&amp;"")</f>
        <v/>
      </c>
      <c r="L110" s="26">
        <f>IF($C110="","",INDEX(입력_인턴근무계획!$N$3:$N$402,$A110)&amp;"")</f>
        <v/>
      </c>
      <c r="M110" s="26">
        <f>IF($C110="","",INDEX(입력_인턴근무계획!$O$3:$O$402,$A110)&amp;"")</f>
        <v/>
      </c>
      <c r="N110" s="26">
        <f>IF($C110="","",INDEX(입력_인턴근무계획!$P$3:$P$402,$A110)&amp;"")</f>
        <v/>
      </c>
      <c r="O110" s="26">
        <f>IF($C110="","",INDEX(입력_인턴근무계획!$Q$3:$Q$402,$A110)&amp;"")</f>
        <v/>
      </c>
      <c r="P110" s="26">
        <f>IF($C110="","",INDEX(입력_인턴근무계획!$R$3:$R$402,$A110)&amp;"")</f>
        <v/>
      </c>
      <c r="Q110" s="26">
        <f>IF($C110="","",INDEX(입력_인턴근무계획!$T$3:$T$402,$A110))</f>
        <v/>
      </c>
    </row>
    <row r="111">
      <c r="A111" s="29" t="n">
        <v>106</v>
      </c>
      <c r="B111" s="26">
        <f>IF($C111="","",INDEX(입력_인턴근무계획!$B$3:$B$402,$A111))</f>
        <v/>
      </c>
      <c r="C111" s="26">
        <f>IFERROR(TRIM(INDEX(입력_인턴근무계획!$C$3:$C$402,$A111)&amp;""),"")</f>
        <v/>
      </c>
      <c r="D111" s="26">
        <f>IF($C111="","",INDEX(입력_인턴근무계획!$D$3:$D$402,$A111))</f>
        <v/>
      </c>
      <c r="E111" s="26">
        <f>IF($C111="","",IF(IFERROR(MATCH($D111,입력_기본자료!$B$2:$B$1001,0),IFERROR(MATCH($D111&amp;"",입력_기본자료!$B$2:$B$1001,0),IFERROR(MATCH(VALUE($D111),입력_기본자료!$B$2:$B$1001,0),0)))&gt;0,"확인","미등록"))</f>
        <v/>
      </c>
      <c r="F111" s="28">
        <f>IF($C111="","",INDEX(입력_인턴근무계획!$S$3:$S$402,$A111))</f>
        <v/>
      </c>
      <c r="G111" s="26">
        <f>IF(OR($C111="",$G$3=""),"",IF(INDEX(입력_인턴근무계획!$M$3:$R$402,$A111,$G$3)&amp;""="","",IF(LEFT(INDEX(입력_인턴근무계획!$M$3:$R$402,$A111,$G$3)&amp;"",1)="⚠",INDEX(입력_인턴근무계획!$M$3:$R$402,$A111,$G$3)&amp;"",LEFT(INDEX(입력_인턴근무계획!$M$3:$R$402,$A111,$G$3)&amp;"",FIND(" ",INDEX(입력_인턴근무계획!$M$3:$R$402,$A111,$G$3)&amp;"")-1))))</f>
        <v/>
      </c>
      <c r="H111" s="26">
        <f>IF(OR($C111="",$G$3=""),"",IF(INDEX(입력_인턴근무계획!$M$3:$R$402,$A111,$G$3)&amp;""="","",IF(LEFT(INDEX(입력_인턴근무계획!$M$3:$R$402,$A111,$G$3)&amp;"",1)="⚠","",MID(INDEX(입력_인턴근무계획!$M$3:$R$402,$A111,$G$3)&amp;"",FIND(" ",INDEX(입력_인턴근무계획!$M$3:$R$402,$A111,$G$3)&amp;"")+1,60))))</f>
        <v/>
      </c>
      <c r="I111" s="26">
        <f>IF(OR($C111="",$I$3=""),"",IF(INDEX(입력_인턴근무계획!$M$3:$R$402,$A111,$I$3)&amp;""="","",IF(LEFT(INDEX(입력_인턴근무계획!$M$3:$R$402,$A111,$I$3)&amp;"",1)="⚠",INDEX(입력_인턴근무계획!$M$3:$R$402,$A111,$I$3)&amp;"",LEFT(INDEX(입력_인턴근무계획!$M$3:$R$402,$A111,$I$3)&amp;"",FIND(" ",INDEX(입력_인턴근무계획!$M$3:$R$402,$A111,$I$3)&amp;"")-1))))</f>
        <v/>
      </c>
      <c r="J111" s="26">
        <f>IF(OR($C111="",$I$3=""),"",IF(INDEX(입력_인턴근무계획!$M$3:$R$402,$A111,$I$3)&amp;""="","",IF(LEFT(INDEX(입력_인턴근무계획!$M$3:$R$402,$A111,$I$3)&amp;"",1)="⚠","",MID(INDEX(입력_인턴근무계획!$M$3:$R$402,$A111,$I$3)&amp;"",FIND(" ",INDEX(입력_인턴근무계획!$M$3:$R$402,$A111,$I$3)&amp;"")+1,60))))</f>
        <v/>
      </c>
      <c r="K111" s="26">
        <f>IF($C111="","",INDEX(입력_인턴근무계획!$M$3:$M$402,$A111)&amp;"")</f>
        <v/>
      </c>
      <c r="L111" s="26">
        <f>IF($C111="","",INDEX(입력_인턴근무계획!$N$3:$N$402,$A111)&amp;"")</f>
        <v/>
      </c>
      <c r="M111" s="26">
        <f>IF($C111="","",INDEX(입력_인턴근무계획!$O$3:$O$402,$A111)&amp;"")</f>
        <v/>
      </c>
      <c r="N111" s="26">
        <f>IF($C111="","",INDEX(입력_인턴근무계획!$P$3:$P$402,$A111)&amp;"")</f>
        <v/>
      </c>
      <c r="O111" s="26">
        <f>IF($C111="","",INDEX(입력_인턴근무계획!$Q$3:$Q$402,$A111)&amp;"")</f>
        <v/>
      </c>
      <c r="P111" s="26">
        <f>IF($C111="","",INDEX(입력_인턴근무계획!$R$3:$R$402,$A111)&amp;"")</f>
        <v/>
      </c>
      <c r="Q111" s="26">
        <f>IF($C111="","",INDEX(입력_인턴근무계획!$T$3:$T$402,$A111))</f>
        <v/>
      </c>
    </row>
    <row r="112">
      <c r="A112" s="29" t="n">
        <v>107</v>
      </c>
      <c r="B112" s="26">
        <f>IF($C112="","",INDEX(입력_인턴근무계획!$B$3:$B$402,$A112))</f>
        <v/>
      </c>
      <c r="C112" s="26">
        <f>IFERROR(TRIM(INDEX(입력_인턴근무계획!$C$3:$C$402,$A112)&amp;""),"")</f>
        <v/>
      </c>
      <c r="D112" s="26">
        <f>IF($C112="","",INDEX(입력_인턴근무계획!$D$3:$D$402,$A112))</f>
        <v/>
      </c>
      <c r="E112" s="26">
        <f>IF($C112="","",IF(IFERROR(MATCH($D112,입력_기본자료!$B$2:$B$1001,0),IFERROR(MATCH($D112&amp;"",입력_기본자료!$B$2:$B$1001,0),IFERROR(MATCH(VALUE($D112),입력_기본자료!$B$2:$B$1001,0),0)))&gt;0,"확인","미등록"))</f>
        <v/>
      </c>
      <c r="F112" s="28">
        <f>IF($C112="","",INDEX(입력_인턴근무계획!$S$3:$S$402,$A112))</f>
        <v/>
      </c>
      <c r="G112" s="26">
        <f>IF(OR($C112="",$G$3=""),"",IF(INDEX(입력_인턴근무계획!$M$3:$R$402,$A112,$G$3)&amp;""="","",IF(LEFT(INDEX(입력_인턴근무계획!$M$3:$R$402,$A112,$G$3)&amp;"",1)="⚠",INDEX(입력_인턴근무계획!$M$3:$R$402,$A112,$G$3)&amp;"",LEFT(INDEX(입력_인턴근무계획!$M$3:$R$402,$A112,$G$3)&amp;"",FIND(" ",INDEX(입력_인턴근무계획!$M$3:$R$402,$A112,$G$3)&amp;"")-1))))</f>
        <v/>
      </c>
      <c r="H112" s="26">
        <f>IF(OR($C112="",$G$3=""),"",IF(INDEX(입력_인턴근무계획!$M$3:$R$402,$A112,$G$3)&amp;""="","",IF(LEFT(INDEX(입력_인턴근무계획!$M$3:$R$402,$A112,$G$3)&amp;"",1)="⚠","",MID(INDEX(입력_인턴근무계획!$M$3:$R$402,$A112,$G$3)&amp;"",FIND(" ",INDEX(입력_인턴근무계획!$M$3:$R$402,$A112,$G$3)&amp;"")+1,60))))</f>
        <v/>
      </c>
      <c r="I112" s="26">
        <f>IF(OR($C112="",$I$3=""),"",IF(INDEX(입력_인턴근무계획!$M$3:$R$402,$A112,$I$3)&amp;""="","",IF(LEFT(INDEX(입력_인턴근무계획!$M$3:$R$402,$A112,$I$3)&amp;"",1)="⚠",INDEX(입력_인턴근무계획!$M$3:$R$402,$A112,$I$3)&amp;"",LEFT(INDEX(입력_인턴근무계획!$M$3:$R$402,$A112,$I$3)&amp;"",FIND(" ",INDEX(입력_인턴근무계획!$M$3:$R$402,$A112,$I$3)&amp;"")-1))))</f>
        <v/>
      </c>
      <c r="J112" s="26">
        <f>IF(OR($C112="",$I$3=""),"",IF(INDEX(입력_인턴근무계획!$M$3:$R$402,$A112,$I$3)&amp;""="","",IF(LEFT(INDEX(입력_인턴근무계획!$M$3:$R$402,$A112,$I$3)&amp;"",1)="⚠","",MID(INDEX(입력_인턴근무계획!$M$3:$R$402,$A112,$I$3)&amp;"",FIND(" ",INDEX(입력_인턴근무계획!$M$3:$R$402,$A112,$I$3)&amp;"")+1,60))))</f>
        <v/>
      </c>
      <c r="K112" s="26">
        <f>IF($C112="","",INDEX(입력_인턴근무계획!$M$3:$M$402,$A112)&amp;"")</f>
        <v/>
      </c>
      <c r="L112" s="26">
        <f>IF($C112="","",INDEX(입력_인턴근무계획!$N$3:$N$402,$A112)&amp;"")</f>
        <v/>
      </c>
      <c r="M112" s="26">
        <f>IF($C112="","",INDEX(입력_인턴근무계획!$O$3:$O$402,$A112)&amp;"")</f>
        <v/>
      </c>
      <c r="N112" s="26">
        <f>IF($C112="","",INDEX(입력_인턴근무계획!$P$3:$P$402,$A112)&amp;"")</f>
        <v/>
      </c>
      <c r="O112" s="26">
        <f>IF($C112="","",INDEX(입력_인턴근무계획!$Q$3:$Q$402,$A112)&amp;"")</f>
        <v/>
      </c>
      <c r="P112" s="26">
        <f>IF($C112="","",INDEX(입력_인턴근무계획!$R$3:$R$402,$A112)&amp;"")</f>
        <v/>
      </c>
      <c r="Q112" s="26">
        <f>IF($C112="","",INDEX(입력_인턴근무계획!$T$3:$T$402,$A112))</f>
        <v/>
      </c>
    </row>
    <row r="113">
      <c r="A113" s="29" t="n">
        <v>108</v>
      </c>
      <c r="B113" s="26">
        <f>IF($C113="","",INDEX(입력_인턴근무계획!$B$3:$B$402,$A113))</f>
        <v/>
      </c>
      <c r="C113" s="26">
        <f>IFERROR(TRIM(INDEX(입력_인턴근무계획!$C$3:$C$402,$A113)&amp;""),"")</f>
        <v/>
      </c>
      <c r="D113" s="26">
        <f>IF($C113="","",INDEX(입력_인턴근무계획!$D$3:$D$402,$A113))</f>
        <v/>
      </c>
      <c r="E113" s="26">
        <f>IF($C113="","",IF(IFERROR(MATCH($D113,입력_기본자료!$B$2:$B$1001,0),IFERROR(MATCH($D113&amp;"",입력_기본자료!$B$2:$B$1001,0),IFERROR(MATCH(VALUE($D113),입력_기본자료!$B$2:$B$1001,0),0)))&gt;0,"확인","미등록"))</f>
        <v/>
      </c>
      <c r="F113" s="28">
        <f>IF($C113="","",INDEX(입력_인턴근무계획!$S$3:$S$402,$A113))</f>
        <v/>
      </c>
      <c r="G113" s="26">
        <f>IF(OR($C113="",$G$3=""),"",IF(INDEX(입력_인턴근무계획!$M$3:$R$402,$A113,$G$3)&amp;""="","",IF(LEFT(INDEX(입력_인턴근무계획!$M$3:$R$402,$A113,$G$3)&amp;"",1)="⚠",INDEX(입력_인턴근무계획!$M$3:$R$402,$A113,$G$3)&amp;"",LEFT(INDEX(입력_인턴근무계획!$M$3:$R$402,$A113,$G$3)&amp;"",FIND(" ",INDEX(입력_인턴근무계획!$M$3:$R$402,$A113,$G$3)&amp;"")-1))))</f>
        <v/>
      </c>
      <c r="H113" s="26">
        <f>IF(OR($C113="",$G$3=""),"",IF(INDEX(입력_인턴근무계획!$M$3:$R$402,$A113,$G$3)&amp;""="","",IF(LEFT(INDEX(입력_인턴근무계획!$M$3:$R$402,$A113,$G$3)&amp;"",1)="⚠","",MID(INDEX(입력_인턴근무계획!$M$3:$R$402,$A113,$G$3)&amp;"",FIND(" ",INDEX(입력_인턴근무계획!$M$3:$R$402,$A113,$G$3)&amp;"")+1,60))))</f>
        <v/>
      </c>
      <c r="I113" s="26">
        <f>IF(OR($C113="",$I$3=""),"",IF(INDEX(입력_인턴근무계획!$M$3:$R$402,$A113,$I$3)&amp;""="","",IF(LEFT(INDEX(입력_인턴근무계획!$M$3:$R$402,$A113,$I$3)&amp;"",1)="⚠",INDEX(입력_인턴근무계획!$M$3:$R$402,$A113,$I$3)&amp;"",LEFT(INDEX(입력_인턴근무계획!$M$3:$R$402,$A113,$I$3)&amp;"",FIND(" ",INDEX(입력_인턴근무계획!$M$3:$R$402,$A113,$I$3)&amp;"")-1))))</f>
        <v/>
      </c>
      <c r="J113" s="26">
        <f>IF(OR($C113="",$I$3=""),"",IF(INDEX(입력_인턴근무계획!$M$3:$R$402,$A113,$I$3)&amp;""="","",IF(LEFT(INDEX(입력_인턴근무계획!$M$3:$R$402,$A113,$I$3)&amp;"",1)="⚠","",MID(INDEX(입력_인턴근무계획!$M$3:$R$402,$A113,$I$3)&amp;"",FIND(" ",INDEX(입력_인턴근무계획!$M$3:$R$402,$A113,$I$3)&amp;"")+1,60))))</f>
        <v/>
      </c>
      <c r="K113" s="26">
        <f>IF($C113="","",INDEX(입력_인턴근무계획!$M$3:$M$402,$A113)&amp;"")</f>
        <v/>
      </c>
      <c r="L113" s="26">
        <f>IF($C113="","",INDEX(입력_인턴근무계획!$N$3:$N$402,$A113)&amp;"")</f>
        <v/>
      </c>
      <c r="M113" s="26">
        <f>IF($C113="","",INDEX(입력_인턴근무계획!$O$3:$O$402,$A113)&amp;"")</f>
        <v/>
      </c>
      <c r="N113" s="26">
        <f>IF($C113="","",INDEX(입력_인턴근무계획!$P$3:$P$402,$A113)&amp;"")</f>
        <v/>
      </c>
      <c r="O113" s="26">
        <f>IF($C113="","",INDEX(입력_인턴근무계획!$Q$3:$Q$402,$A113)&amp;"")</f>
        <v/>
      </c>
      <c r="P113" s="26">
        <f>IF($C113="","",INDEX(입력_인턴근무계획!$R$3:$R$402,$A113)&amp;"")</f>
        <v/>
      </c>
      <c r="Q113" s="26">
        <f>IF($C113="","",INDEX(입력_인턴근무계획!$T$3:$T$402,$A113))</f>
        <v/>
      </c>
    </row>
    <row r="114">
      <c r="A114" s="29" t="n">
        <v>109</v>
      </c>
      <c r="B114" s="26">
        <f>IF($C114="","",INDEX(입력_인턴근무계획!$B$3:$B$402,$A114))</f>
        <v/>
      </c>
      <c r="C114" s="26">
        <f>IFERROR(TRIM(INDEX(입력_인턴근무계획!$C$3:$C$402,$A114)&amp;""),"")</f>
        <v/>
      </c>
      <c r="D114" s="26">
        <f>IF($C114="","",INDEX(입력_인턴근무계획!$D$3:$D$402,$A114))</f>
        <v/>
      </c>
      <c r="E114" s="26">
        <f>IF($C114="","",IF(IFERROR(MATCH($D114,입력_기본자료!$B$2:$B$1001,0),IFERROR(MATCH($D114&amp;"",입력_기본자료!$B$2:$B$1001,0),IFERROR(MATCH(VALUE($D114),입력_기본자료!$B$2:$B$1001,0),0)))&gt;0,"확인","미등록"))</f>
        <v/>
      </c>
      <c r="F114" s="28">
        <f>IF($C114="","",INDEX(입력_인턴근무계획!$S$3:$S$402,$A114))</f>
        <v/>
      </c>
      <c r="G114" s="26">
        <f>IF(OR($C114="",$G$3=""),"",IF(INDEX(입력_인턴근무계획!$M$3:$R$402,$A114,$G$3)&amp;""="","",IF(LEFT(INDEX(입력_인턴근무계획!$M$3:$R$402,$A114,$G$3)&amp;"",1)="⚠",INDEX(입력_인턴근무계획!$M$3:$R$402,$A114,$G$3)&amp;"",LEFT(INDEX(입력_인턴근무계획!$M$3:$R$402,$A114,$G$3)&amp;"",FIND(" ",INDEX(입력_인턴근무계획!$M$3:$R$402,$A114,$G$3)&amp;"")-1))))</f>
        <v/>
      </c>
      <c r="H114" s="26">
        <f>IF(OR($C114="",$G$3=""),"",IF(INDEX(입력_인턴근무계획!$M$3:$R$402,$A114,$G$3)&amp;""="","",IF(LEFT(INDEX(입력_인턴근무계획!$M$3:$R$402,$A114,$G$3)&amp;"",1)="⚠","",MID(INDEX(입력_인턴근무계획!$M$3:$R$402,$A114,$G$3)&amp;"",FIND(" ",INDEX(입력_인턴근무계획!$M$3:$R$402,$A114,$G$3)&amp;"")+1,60))))</f>
        <v/>
      </c>
      <c r="I114" s="26">
        <f>IF(OR($C114="",$I$3=""),"",IF(INDEX(입력_인턴근무계획!$M$3:$R$402,$A114,$I$3)&amp;""="","",IF(LEFT(INDEX(입력_인턴근무계획!$M$3:$R$402,$A114,$I$3)&amp;"",1)="⚠",INDEX(입력_인턴근무계획!$M$3:$R$402,$A114,$I$3)&amp;"",LEFT(INDEX(입력_인턴근무계획!$M$3:$R$402,$A114,$I$3)&amp;"",FIND(" ",INDEX(입력_인턴근무계획!$M$3:$R$402,$A114,$I$3)&amp;"")-1))))</f>
        <v/>
      </c>
      <c r="J114" s="26">
        <f>IF(OR($C114="",$I$3=""),"",IF(INDEX(입력_인턴근무계획!$M$3:$R$402,$A114,$I$3)&amp;""="","",IF(LEFT(INDEX(입력_인턴근무계획!$M$3:$R$402,$A114,$I$3)&amp;"",1)="⚠","",MID(INDEX(입력_인턴근무계획!$M$3:$R$402,$A114,$I$3)&amp;"",FIND(" ",INDEX(입력_인턴근무계획!$M$3:$R$402,$A114,$I$3)&amp;"")+1,60))))</f>
        <v/>
      </c>
      <c r="K114" s="26">
        <f>IF($C114="","",INDEX(입력_인턴근무계획!$M$3:$M$402,$A114)&amp;"")</f>
        <v/>
      </c>
      <c r="L114" s="26">
        <f>IF($C114="","",INDEX(입력_인턴근무계획!$N$3:$N$402,$A114)&amp;"")</f>
        <v/>
      </c>
      <c r="M114" s="26">
        <f>IF($C114="","",INDEX(입력_인턴근무계획!$O$3:$O$402,$A114)&amp;"")</f>
        <v/>
      </c>
      <c r="N114" s="26">
        <f>IF($C114="","",INDEX(입력_인턴근무계획!$P$3:$P$402,$A114)&amp;"")</f>
        <v/>
      </c>
      <c r="O114" s="26">
        <f>IF($C114="","",INDEX(입력_인턴근무계획!$Q$3:$Q$402,$A114)&amp;"")</f>
        <v/>
      </c>
      <c r="P114" s="26">
        <f>IF($C114="","",INDEX(입력_인턴근무계획!$R$3:$R$402,$A114)&amp;"")</f>
        <v/>
      </c>
      <c r="Q114" s="26">
        <f>IF($C114="","",INDEX(입력_인턴근무계획!$T$3:$T$402,$A114))</f>
        <v/>
      </c>
    </row>
    <row r="115">
      <c r="A115" s="29" t="n">
        <v>110</v>
      </c>
      <c r="B115" s="26">
        <f>IF($C115="","",INDEX(입력_인턴근무계획!$B$3:$B$402,$A115))</f>
        <v/>
      </c>
      <c r="C115" s="26">
        <f>IFERROR(TRIM(INDEX(입력_인턴근무계획!$C$3:$C$402,$A115)&amp;""),"")</f>
        <v/>
      </c>
      <c r="D115" s="26">
        <f>IF($C115="","",INDEX(입력_인턴근무계획!$D$3:$D$402,$A115))</f>
        <v/>
      </c>
      <c r="E115" s="26">
        <f>IF($C115="","",IF(IFERROR(MATCH($D115,입력_기본자료!$B$2:$B$1001,0),IFERROR(MATCH($D115&amp;"",입력_기본자료!$B$2:$B$1001,0),IFERROR(MATCH(VALUE($D115),입력_기본자료!$B$2:$B$1001,0),0)))&gt;0,"확인","미등록"))</f>
        <v/>
      </c>
      <c r="F115" s="28">
        <f>IF($C115="","",INDEX(입력_인턴근무계획!$S$3:$S$402,$A115))</f>
        <v/>
      </c>
      <c r="G115" s="26">
        <f>IF(OR($C115="",$G$3=""),"",IF(INDEX(입력_인턴근무계획!$M$3:$R$402,$A115,$G$3)&amp;""="","",IF(LEFT(INDEX(입력_인턴근무계획!$M$3:$R$402,$A115,$G$3)&amp;"",1)="⚠",INDEX(입력_인턴근무계획!$M$3:$R$402,$A115,$G$3)&amp;"",LEFT(INDEX(입력_인턴근무계획!$M$3:$R$402,$A115,$G$3)&amp;"",FIND(" ",INDEX(입력_인턴근무계획!$M$3:$R$402,$A115,$G$3)&amp;"")-1))))</f>
        <v/>
      </c>
      <c r="H115" s="26">
        <f>IF(OR($C115="",$G$3=""),"",IF(INDEX(입력_인턴근무계획!$M$3:$R$402,$A115,$G$3)&amp;""="","",IF(LEFT(INDEX(입력_인턴근무계획!$M$3:$R$402,$A115,$G$3)&amp;"",1)="⚠","",MID(INDEX(입력_인턴근무계획!$M$3:$R$402,$A115,$G$3)&amp;"",FIND(" ",INDEX(입력_인턴근무계획!$M$3:$R$402,$A115,$G$3)&amp;"")+1,60))))</f>
        <v/>
      </c>
      <c r="I115" s="26">
        <f>IF(OR($C115="",$I$3=""),"",IF(INDEX(입력_인턴근무계획!$M$3:$R$402,$A115,$I$3)&amp;""="","",IF(LEFT(INDEX(입력_인턴근무계획!$M$3:$R$402,$A115,$I$3)&amp;"",1)="⚠",INDEX(입력_인턴근무계획!$M$3:$R$402,$A115,$I$3)&amp;"",LEFT(INDEX(입력_인턴근무계획!$M$3:$R$402,$A115,$I$3)&amp;"",FIND(" ",INDEX(입력_인턴근무계획!$M$3:$R$402,$A115,$I$3)&amp;"")-1))))</f>
        <v/>
      </c>
      <c r="J115" s="26">
        <f>IF(OR($C115="",$I$3=""),"",IF(INDEX(입력_인턴근무계획!$M$3:$R$402,$A115,$I$3)&amp;""="","",IF(LEFT(INDEX(입력_인턴근무계획!$M$3:$R$402,$A115,$I$3)&amp;"",1)="⚠","",MID(INDEX(입력_인턴근무계획!$M$3:$R$402,$A115,$I$3)&amp;"",FIND(" ",INDEX(입력_인턴근무계획!$M$3:$R$402,$A115,$I$3)&amp;"")+1,60))))</f>
        <v/>
      </c>
      <c r="K115" s="26">
        <f>IF($C115="","",INDEX(입력_인턴근무계획!$M$3:$M$402,$A115)&amp;"")</f>
        <v/>
      </c>
      <c r="L115" s="26">
        <f>IF($C115="","",INDEX(입력_인턴근무계획!$N$3:$N$402,$A115)&amp;"")</f>
        <v/>
      </c>
      <c r="M115" s="26">
        <f>IF($C115="","",INDEX(입력_인턴근무계획!$O$3:$O$402,$A115)&amp;"")</f>
        <v/>
      </c>
      <c r="N115" s="26">
        <f>IF($C115="","",INDEX(입력_인턴근무계획!$P$3:$P$402,$A115)&amp;"")</f>
        <v/>
      </c>
      <c r="O115" s="26">
        <f>IF($C115="","",INDEX(입력_인턴근무계획!$Q$3:$Q$402,$A115)&amp;"")</f>
        <v/>
      </c>
      <c r="P115" s="26">
        <f>IF($C115="","",INDEX(입력_인턴근무계획!$R$3:$R$402,$A115)&amp;"")</f>
        <v/>
      </c>
      <c r="Q115" s="26">
        <f>IF($C115="","",INDEX(입력_인턴근무계획!$T$3:$T$402,$A115))</f>
        <v/>
      </c>
    </row>
    <row r="116">
      <c r="A116" s="29" t="n">
        <v>111</v>
      </c>
      <c r="B116" s="26">
        <f>IF($C116="","",INDEX(입력_인턴근무계획!$B$3:$B$402,$A116))</f>
        <v/>
      </c>
      <c r="C116" s="26">
        <f>IFERROR(TRIM(INDEX(입력_인턴근무계획!$C$3:$C$402,$A116)&amp;""),"")</f>
        <v/>
      </c>
      <c r="D116" s="26">
        <f>IF($C116="","",INDEX(입력_인턴근무계획!$D$3:$D$402,$A116))</f>
        <v/>
      </c>
      <c r="E116" s="26">
        <f>IF($C116="","",IF(IFERROR(MATCH($D116,입력_기본자료!$B$2:$B$1001,0),IFERROR(MATCH($D116&amp;"",입력_기본자료!$B$2:$B$1001,0),IFERROR(MATCH(VALUE($D116),입력_기본자료!$B$2:$B$1001,0),0)))&gt;0,"확인","미등록"))</f>
        <v/>
      </c>
      <c r="F116" s="28">
        <f>IF($C116="","",INDEX(입력_인턴근무계획!$S$3:$S$402,$A116))</f>
        <v/>
      </c>
      <c r="G116" s="26">
        <f>IF(OR($C116="",$G$3=""),"",IF(INDEX(입력_인턴근무계획!$M$3:$R$402,$A116,$G$3)&amp;""="","",IF(LEFT(INDEX(입력_인턴근무계획!$M$3:$R$402,$A116,$G$3)&amp;"",1)="⚠",INDEX(입력_인턴근무계획!$M$3:$R$402,$A116,$G$3)&amp;"",LEFT(INDEX(입력_인턴근무계획!$M$3:$R$402,$A116,$G$3)&amp;"",FIND(" ",INDEX(입력_인턴근무계획!$M$3:$R$402,$A116,$G$3)&amp;"")-1))))</f>
        <v/>
      </c>
      <c r="H116" s="26">
        <f>IF(OR($C116="",$G$3=""),"",IF(INDEX(입력_인턴근무계획!$M$3:$R$402,$A116,$G$3)&amp;""="","",IF(LEFT(INDEX(입력_인턴근무계획!$M$3:$R$402,$A116,$G$3)&amp;"",1)="⚠","",MID(INDEX(입력_인턴근무계획!$M$3:$R$402,$A116,$G$3)&amp;"",FIND(" ",INDEX(입력_인턴근무계획!$M$3:$R$402,$A116,$G$3)&amp;"")+1,60))))</f>
        <v/>
      </c>
      <c r="I116" s="26">
        <f>IF(OR($C116="",$I$3=""),"",IF(INDEX(입력_인턴근무계획!$M$3:$R$402,$A116,$I$3)&amp;""="","",IF(LEFT(INDEX(입력_인턴근무계획!$M$3:$R$402,$A116,$I$3)&amp;"",1)="⚠",INDEX(입력_인턴근무계획!$M$3:$R$402,$A116,$I$3)&amp;"",LEFT(INDEX(입력_인턴근무계획!$M$3:$R$402,$A116,$I$3)&amp;"",FIND(" ",INDEX(입력_인턴근무계획!$M$3:$R$402,$A116,$I$3)&amp;"")-1))))</f>
        <v/>
      </c>
      <c r="J116" s="26">
        <f>IF(OR($C116="",$I$3=""),"",IF(INDEX(입력_인턴근무계획!$M$3:$R$402,$A116,$I$3)&amp;""="","",IF(LEFT(INDEX(입력_인턴근무계획!$M$3:$R$402,$A116,$I$3)&amp;"",1)="⚠","",MID(INDEX(입력_인턴근무계획!$M$3:$R$402,$A116,$I$3)&amp;"",FIND(" ",INDEX(입력_인턴근무계획!$M$3:$R$402,$A116,$I$3)&amp;"")+1,60))))</f>
        <v/>
      </c>
      <c r="K116" s="26">
        <f>IF($C116="","",INDEX(입력_인턴근무계획!$M$3:$M$402,$A116)&amp;"")</f>
        <v/>
      </c>
      <c r="L116" s="26">
        <f>IF($C116="","",INDEX(입력_인턴근무계획!$N$3:$N$402,$A116)&amp;"")</f>
        <v/>
      </c>
      <c r="M116" s="26">
        <f>IF($C116="","",INDEX(입력_인턴근무계획!$O$3:$O$402,$A116)&amp;"")</f>
        <v/>
      </c>
      <c r="N116" s="26">
        <f>IF($C116="","",INDEX(입력_인턴근무계획!$P$3:$P$402,$A116)&amp;"")</f>
        <v/>
      </c>
      <c r="O116" s="26">
        <f>IF($C116="","",INDEX(입력_인턴근무계획!$Q$3:$Q$402,$A116)&amp;"")</f>
        <v/>
      </c>
      <c r="P116" s="26">
        <f>IF($C116="","",INDEX(입력_인턴근무계획!$R$3:$R$402,$A116)&amp;"")</f>
        <v/>
      </c>
      <c r="Q116" s="26">
        <f>IF($C116="","",INDEX(입력_인턴근무계획!$T$3:$T$402,$A116))</f>
        <v/>
      </c>
    </row>
    <row r="117">
      <c r="A117" s="29" t="n">
        <v>112</v>
      </c>
      <c r="B117" s="26">
        <f>IF($C117="","",INDEX(입력_인턴근무계획!$B$3:$B$402,$A117))</f>
        <v/>
      </c>
      <c r="C117" s="26">
        <f>IFERROR(TRIM(INDEX(입력_인턴근무계획!$C$3:$C$402,$A117)&amp;""),"")</f>
        <v/>
      </c>
      <c r="D117" s="26">
        <f>IF($C117="","",INDEX(입력_인턴근무계획!$D$3:$D$402,$A117))</f>
        <v/>
      </c>
      <c r="E117" s="26">
        <f>IF($C117="","",IF(IFERROR(MATCH($D117,입력_기본자료!$B$2:$B$1001,0),IFERROR(MATCH($D117&amp;"",입력_기본자료!$B$2:$B$1001,0),IFERROR(MATCH(VALUE($D117),입력_기본자료!$B$2:$B$1001,0),0)))&gt;0,"확인","미등록"))</f>
        <v/>
      </c>
      <c r="F117" s="28">
        <f>IF($C117="","",INDEX(입력_인턴근무계획!$S$3:$S$402,$A117))</f>
        <v/>
      </c>
      <c r="G117" s="26">
        <f>IF(OR($C117="",$G$3=""),"",IF(INDEX(입력_인턴근무계획!$M$3:$R$402,$A117,$G$3)&amp;""="","",IF(LEFT(INDEX(입력_인턴근무계획!$M$3:$R$402,$A117,$G$3)&amp;"",1)="⚠",INDEX(입력_인턴근무계획!$M$3:$R$402,$A117,$G$3)&amp;"",LEFT(INDEX(입력_인턴근무계획!$M$3:$R$402,$A117,$G$3)&amp;"",FIND(" ",INDEX(입력_인턴근무계획!$M$3:$R$402,$A117,$G$3)&amp;"")-1))))</f>
        <v/>
      </c>
      <c r="H117" s="26">
        <f>IF(OR($C117="",$G$3=""),"",IF(INDEX(입력_인턴근무계획!$M$3:$R$402,$A117,$G$3)&amp;""="","",IF(LEFT(INDEX(입력_인턴근무계획!$M$3:$R$402,$A117,$G$3)&amp;"",1)="⚠","",MID(INDEX(입력_인턴근무계획!$M$3:$R$402,$A117,$G$3)&amp;"",FIND(" ",INDEX(입력_인턴근무계획!$M$3:$R$402,$A117,$G$3)&amp;"")+1,60))))</f>
        <v/>
      </c>
      <c r="I117" s="26">
        <f>IF(OR($C117="",$I$3=""),"",IF(INDEX(입력_인턴근무계획!$M$3:$R$402,$A117,$I$3)&amp;""="","",IF(LEFT(INDEX(입력_인턴근무계획!$M$3:$R$402,$A117,$I$3)&amp;"",1)="⚠",INDEX(입력_인턴근무계획!$M$3:$R$402,$A117,$I$3)&amp;"",LEFT(INDEX(입력_인턴근무계획!$M$3:$R$402,$A117,$I$3)&amp;"",FIND(" ",INDEX(입력_인턴근무계획!$M$3:$R$402,$A117,$I$3)&amp;"")-1))))</f>
        <v/>
      </c>
      <c r="J117" s="26">
        <f>IF(OR($C117="",$I$3=""),"",IF(INDEX(입력_인턴근무계획!$M$3:$R$402,$A117,$I$3)&amp;""="","",IF(LEFT(INDEX(입력_인턴근무계획!$M$3:$R$402,$A117,$I$3)&amp;"",1)="⚠","",MID(INDEX(입력_인턴근무계획!$M$3:$R$402,$A117,$I$3)&amp;"",FIND(" ",INDEX(입력_인턴근무계획!$M$3:$R$402,$A117,$I$3)&amp;"")+1,60))))</f>
        <v/>
      </c>
      <c r="K117" s="26">
        <f>IF($C117="","",INDEX(입력_인턴근무계획!$M$3:$M$402,$A117)&amp;"")</f>
        <v/>
      </c>
      <c r="L117" s="26">
        <f>IF($C117="","",INDEX(입력_인턴근무계획!$N$3:$N$402,$A117)&amp;"")</f>
        <v/>
      </c>
      <c r="M117" s="26">
        <f>IF($C117="","",INDEX(입력_인턴근무계획!$O$3:$O$402,$A117)&amp;"")</f>
        <v/>
      </c>
      <c r="N117" s="26">
        <f>IF($C117="","",INDEX(입력_인턴근무계획!$P$3:$P$402,$A117)&amp;"")</f>
        <v/>
      </c>
      <c r="O117" s="26">
        <f>IF($C117="","",INDEX(입력_인턴근무계획!$Q$3:$Q$402,$A117)&amp;"")</f>
        <v/>
      </c>
      <c r="P117" s="26">
        <f>IF($C117="","",INDEX(입력_인턴근무계획!$R$3:$R$402,$A117)&amp;"")</f>
        <v/>
      </c>
      <c r="Q117" s="26">
        <f>IF($C117="","",INDEX(입력_인턴근무계획!$T$3:$T$402,$A117))</f>
        <v/>
      </c>
    </row>
    <row r="118">
      <c r="A118" s="29" t="n">
        <v>113</v>
      </c>
      <c r="B118" s="26">
        <f>IF($C118="","",INDEX(입력_인턴근무계획!$B$3:$B$402,$A118))</f>
        <v/>
      </c>
      <c r="C118" s="26">
        <f>IFERROR(TRIM(INDEX(입력_인턴근무계획!$C$3:$C$402,$A118)&amp;""),"")</f>
        <v/>
      </c>
      <c r="D118" s="26">
        <f>IF($C118="","",INDEX(입력_인턴근무계획!$D$3:$D$402,$A118))</f>
        <v/>
      </c>
      <c r="E118" s="26">
        <f>IF($C118="","",IF(IFERROR(MATCH($D118,입력_기본자료!$B$2:$B$1001,0),IFERROR(MATCH($D118&amp;"",입력_기본자료!$B$2:$B$1001,0),IFERROR(MATCH(VALUE($D118),입력_기본자료!$B$2:$B$1001,0),0)))&gt;0,"확인","미등록"))</f>
        <v/>
      </c>
      <c r="F118" s="28">
        <f>IF($C118="","",INDEX(입력_인턴근무계획!$S$3:$S$402,$A118))</f>
        <v/>
      </c>
      <c r="G118" s="26">
        <f>IF(OR($C118="",$G$3=""),"",IF(INDEX(입력_인턴근무계획!$M$3:$R$402,$A118,$G$3)&amp;""="","",IF(LEFT(INDEX(입력_인턴근무계획!$M$3:$R$402,$A118,$G$3)&amp;"",1)="⚠",INDEX(입력_인턴근무계획!$M$3:$R$402,$A118,$G$3)&amp;"",LEFT(INDEX(입력_인턴근무계획!$M$3:$R$402,$A118,$G$3)&amp;"",FIND(" ",INDEX(입력_인턴근무계획!$M$3:$R$402,$A118,$G$3)&amp;"")-1))))</f>
        <v/>
      </c>
      <c r="H118" s="26">
        <f>IF(OR($C118="",$G$3=""),"",IF(INDEX(입력_인턴근무계획!$M$3:$R$402,$A118,$G$3)&amp;""="","",IF(LEFT(INDEX(입력_인턴근무계획!$M$3:$R$402,$A118,$G$3)&amp;"",1)="⚠","",MID(INDEX(입력_인턴근무계획!$M$3:$R$402,$A118,$G$3)&amp;"",FIND(" ",INDEX(입력_인턴근무계획!$M$3:$R$402,$A118,$G$3)&amp;"")+1,60))))</f>
        <v/>
      </c>
      <c r="I118" s="26">
        <f>IF(OR($C118="",$I$3=""),"",IF(INDEX(입력_인턴근무계획!$M$3:$R$402,$A118,$I$3)&amp;""="","",IF(LEFT(INDEX(입력_인턴근무계획!$M$3:$R$402,$A118,$I$3)&amp;"",1)="⚠",INDEX(입력_인턴근무계획!$M$3:$R$402,$A118,$I$3)&amp;"",LEFT(INDEX(입력_인턴근무계획!$M$3:$R$402,$A118,$I$3)&amp;"",FIND(" ",INDEX(입력_인턴근무계획!$M$3:$R$402,$A118,$I$3)&amp;"")-1))))</f>
        <v/>
      </c>
      <c r="J118" s="26">
        <f>IF(OR($C118="",$I$3=""),"",IF(INDEX(입력_인턴근무계획!$M$3:$R$402,$A118,$I$3)&amp;""="","",IF(LEFT(INDEX(입력_인턴근무계획!$M$3:$R$402,$A118,$I$3)&amp;"",1)="⚠","",MID(INDEX(입력_인턴근무계획!$M$3:$R$402,$A118,$I$3)&amp;"",FIND(" ",INDEX(입력_인턴근무계획!$M$3:$R$402,$A118,$I$3)&amp;"")+1,60))))</f>
        <v/>
      </c>
      <c r="K118" s="26">
        <f>IF($C118="","",INDEX(입력_인턴근무계획!$M$3:$M$402,$A118)&amp;"")</f>
        <v/>
      </c>
      <c r="L118" s="26">
        <f>IF($C118="","",INDEX(입력_인턴근무계획!$N$3:$N$402,$A118)&amp;"")</f>
        <v/>
      </c>
      <c r="M118" s="26">
        <f>IF($C118="","",INDEX(입력_인턴근무계획!$O$3:$O$402,$A118)&amp;"")</f>
        <v/>
      </c>
      <c r="N118" s="26">
        <f>IF($C118="","",INDEX(입력_인턴근무계획!$P$3:$P$402,$A118)&amp;"")</f>
        <v/>
      </c>
      <c r="O118" s="26">
        <f>IF($C118="","",INDEX(입력_인턴근무계획!$Q$3:$Q$402,$A118)&amp;"")</f>
        <v/>
      </c>
      <c r="P118" s="26">
        <f>IF($C118="","",INDEX(입력_인턴근무계획!$R$3:$R$402,$A118)&amp;"")</f>
        <v/>
      </c>
      <c r="Q118" s="26">
        <f>IF($C118="","",INDEX(입력_인턴근무계획!$T$3:$T$402,$A118))</f>
        <v/>
      </c>
    </row>
    <row r="119">
      <c r="A119" s="29" t="n">
        <v>114</v>
      </c>
      <c r="B119" s="26">
        <f>IF($C119="","",INDEX(입력_인턴근무계획!$B$3:$B$402,$A119))</f>
        <v/>
      </c>
      <c r="C119" s="26">
        <f>IFERROR(TRIM(INDEX(입력_인턴근무계획!$C$3:$C$402,$A119)&amp;""),"")</f>
        <v/>
      </c>
      <c r="D119" s="26">
        <f>IF($C119="","",INDEX(입력_인턴근무계획!$D$3:$D$402,$A119))</f>
        <v/>
      </c>
      <c r="E119" s="26">
        <f>IF($C119="","",IF(IFERROR(MATCH($D119,입력_기본자료!$B$2:$B$1001,0),IFERROR(MATCH($D119&amp;"",입력_기본자료!$B$2:$B$1001,0),IFERROR(MATCH(VALUE($D119),입력_기본자료!$B$2:$B$1001,0),0)))&gt;0,"확인","미등록"))</f>
        <v/>
      </c>
      <c r="F119" s="28">
        <f>IF($C119="","",INDEX(입력_인턴근무계획!$S$3:$S$402,$A119))</f>
        <v/>
      </c>
      <c r="G119" s="26">
        <f>IF(OR($C119="",$G$3=""),"",IF(INDEX(입력_인턴근무계획!$M$3:$R$402,$A119,$G$3)&amp;""="","",IF(LEFT(INDEX(입력_인턴근무계획!$M$3:$R$402,$A119,$G$3)&amp;"",1)="⚠",INDEX(입력_인턴근무계획!$M$3:$R$402,$A119,$G$3)&amp;"",LEFT(INDEX(입력_인턴근무계획!$M$3:$R$402,$A119,$G$3)&amp;"",FIND(" ",INDEX(입력_인턴근무계획!$M$3:$R$402,$A119,$G$3)&amp;"")-1))))</f>
        <v/>
      </c>
      <c r="H119" s="26">
        <f>IF(OR($C119="",$G$3=""),"",IF(INDEX(입력_인턴근무계획!$M$3:$R$402,$A119,$G$3)&amp;""="","",IF(LEFT(INDEX(입력_인턴근무계획!$M$3:$R$402,$A119,$G$3)&amp;"",1)="⚠","",MID(INDEX(입력_인턴근무계획!$M$3:$R$402,$A119,$G$3)&amp;"",FIND(" ",INDEX(입력_인턴근무계획!$M$3:$R$402,$A119,$G$3)&amp;"")+1,60))))</f>
        <v/>
      </c>
      <c r="I119" s="26">
        <f>IF(OR($C119="",$I$3=""),"",IF(INDEX(입력_인턴근무계획!$M$3:$R$402,$A119,$I$3)&amp;""="","",IF(LEFT(INDEX(입력_인턴근무계획!$M$3:$R$402,$A119,$I$3)&amp;"",1)="⚠",INDEX(입력_인턴근무계획!$M$3:$R$402,$A119,$I$3)&amp;"",LEFT(INDEX(입력_인턴근무계획!$M$3:$R$402,$A119,$I$3)&amp;"",FIND(" ",INDEX(입력_인턴근무계획!$M$3:$R$402,$A119,$I$3)&amp;"")-1))))</f>
        <v/>
      </c>
      <c r="J119" s="26">
        <f>IF(OR($C119="",$I$3=""),"",IF(INDEX(입력_인턴근무계획!$M$3:$R$402,$A119,$I$3)&amp;""="","",IF(LEFT(INDEX(입력_인턴근무계획!$M$3:$R$402,$A119,$I$3)&amp;"",1)="⚠","",MID(INDEX(입력_인턴근무계획!$M$3:$R$402,$A119,$I$3)&amp;"",FIND(" ",INDEX(입력_인턴근무계획!$M$3:$R$402,$A119,$I$3)&amp;"")+1,60))))</f>
        <v/>
      </c>
      <c r="K119" s="26">
        <f>IF($C119="","",INDEX(입력_인턴근무계획!$M$3:$M$402,$A119)&amp;"")</f>
        <v/>
      </c>
      <c r="L119" s="26">
        <f>IF($C119="","",INDEX(입력_인턴근무계획!$N$3:$N$402,$A119)&amp;"")</f>
        <v/>
      </c>
      <c r="M119" s="26">
        <f>IF($C119="","",INDEX(입력_인턴근무계획!$O$3:$O$402,$A119)&amp;"")</f>
        <v/>
      </c>
      <c r="N119" s="26">
        <f>IF($C119="","",INDEX(입력_인턴근무계획!$P$3:$P$402,$A119)&amp;"")</f>
        <v/>
      </c>
      <c r="O119" s="26">
        <f>IF($C119="","",INDEX(입력_인턴근무계획!$Q$3:$Q$402,$A119)&amp;"")</f>
        <v/>
      </c>
      <c r="P119" s="26">
        <f>IF($C119="","",INDEX(입력_인턴근무계획!$R$3:$R$402,$A119)&amp;"")</f>
        <v/>
      </c>
      <c r="Q119" s="26">
        <f>IF($C119="","",INDEX(입력_인턴근무계획!$T$3:$T$402,$A119))</f>
        <v/>
      </c>
    </row>
    <row r="120">
      <c r="A120" s="29" t="n">
        <v>115</v>
      </c>
      <c r="B120" s="26">
        <f>IF($C120="","",INDEX(입력_인턴근무계획!$B$3:$B$402,$A120))</f>
        <v/>
      </c>
      <c r="C120" s="26">
        <f>IFERROR(TRIM(INDEX(입력_인턴근무계획!$C$3:$C$402,$A120)&amp;""),"")</f>
        <v/>
      </c>
      <c r="D120" s="26">
        <f>IF($C120="","",INDEX(입력_인턴근무계획!$D$3:$D$402,$A120))</f>
        <v/>
      </c>
      <c r="E120" s="26">
        <f>IF($C120="","",IF(IFERROR(MATCH($D120,입력_기본자료!$B$2:$B$1001,0),IFERROR(MATCH($D120&amp;"",입력_기본자료!$B$2:$B$1001,0),IFERROR(MATCH(VALUE($D120),입력_기본자료!$B$2:$B$1001,0),0)))&gt;0,"확인","미등록"))</f>
        <v/>
      </c>
      <c r="F120" s="28">
        <f>IF($C120="","",INDEX(입력_인턴근무계획!$S$3:$S$402,$A120))</f>
        <v/>
      </c>
      <c r="G120" s="26">
        <f>IF(OR($C120="",$G$3=""),"",IF(INDEX(입력_인턴근무계획!$M$3:$R$402,$A120,$G$3)&amp;""="","",IF(LEFT(INDEX(입력_인턴근무계획!$M$3:$R$402,$A120,$G$3)&amp;"",1)="⚠",INDEX(입력_인턴근무계획!$M$3:$R$402,$A120,$G$3)&amp;"",LEFT(INDEX(입력_인턴근무계획!$M$3:$R$402,$A120,$G$3)&amp;"",FIND(" ",INDEX(입력_인턴근무계획!$M$3:$R$402,$A120,$G$3)&amp;"")-1))))</f>
        <v/>
      </c>
      <c r="H120" s="26">
        <f>IF(OR($C120="",$G$3=""),"",IF(INDEX(입력_인턴근무계획!$M$3:$R$402,$A120,$G$3)&amp;""="","",IF(LEFT(INDEX(입력_인턴근무계획!$M$3:$R$402,$A120,$G$3)&amp;"",1)="⚠","",MID(INDEX(입력_인턴근무계획!$M$3:$R$402,$A120,$G$3)&amp;"",FIND(" ",INDEX(입력_인턴근무계획!$M$3:$R$402,$A120,$G$3)&amp;"")+1,60))))</f>
        <v/>
      </c>
      <c r="I120" s="26">
        <f>IF(OR($C120="",$I$3=""),"",IF(INDEX(입력_인턴근무계획!$M$3:$R$402,$A120,$I$3)&amp;""="","",IF(LEFT(INDEX(입력_인턴근무계획!$M$3:$R$402,$A120,$I$3)&amp;"",1)="⚠",INDEX(입력_인턴근무계획!$M$3:$R$402,$A120,$I$3)&amp;"",LEFT(INDEX(입력_인턴근무계획!$M$3:$R$402,$A120,$I$3)&amp;"",FIND(" ",INDEX(입력_인턴근무계획!$M$3:$R$402,$A120,$I$3)&amp;"")-1))))</f>
        <v/>
      </c>
      <c r="J120" s="26">
        <f>IF(OR($C120="",$I$3=""),"",IF(INDEX(입력_인턴근무계획!$M$3:$R$402,$A120,$I$3)&amp;""="","",IF(LEFT(INDEX(입력_인턴근무계획!$M$3:$R$402,$A120,$I$3)&amp;"",1)="⚠","",MID(INDEX(입력_인턴근무계획!$M$3:$R$402,$A120,$I$3)&amp;"",FIND(" ",INDEX(입력_인턴근무계획!$M$3:$R$402,$A120,$I$3)&amp;"")+1,60))))</f>
        <v/>
      </c>
      <c r="K120" s="26">
        <f>IF($C120="","",INDEX(입력_인턴근무계획!$M$3:$M$402,$A120)&amp;"")</f>
        <v/>
      </c>
      <c r="L120" s="26">
        <f>IF($C120="","",INDEX(입력_인턴근무계획!$N$3:$N$402,$A120)&amp;"")</f>
        <v/>
      </c>
      <c r="M120" s="26">
        <f>IF($C120="","",INDEX(입력_인턴근무계획!$O$3:$O$402,$A120)&amp;"")</f>
        <v/>
      </c>
      <c r="N120" s="26">
        <f>IF($C120="","",INDEX(입력_인턴근무계획!$P$3:$P$402,$A120)&amp;"")</f>
        <v/>
      </c>
      <c r="O120" s="26">
        <f>IF($C120="","",INDEX(입력_인턴근무계획!$Q$3:$Q$402,$A120)&amp;"")</f>
        <v/>
      </c>
      <c r="P120" s="26">
        <f>IF($C120="","",INDEX(입력_인턴근무계획!$R$3:$R$402,$A120)&amp;"")</f>
        <v/>
      </c>
      <c r="Q120" s="26">
        <f>IF($C120="","",INDEX(입력_인턴근무계획!$T$3:$T$402,$A120))</f>
        <v/>
      </c>
    </row>
    <row r="121">
      <c r="A121" s="29" t="n">
        <v>116</v>
      </c>
      <c r="B121" s="26">
        <f>IF($C121="","",INDEX(입력_인턴근무계획!$B$3:$B$402,$A121))</f>
        <v/>
      </c>
      <c r="C121" s="26">
        <f>IFERROR(TRIM(INDEX(입력_인턴근무계획!$C$3:$C$402,$A121)&amp;""),"")</f>
        <v/>
      </c>
      <c r="D121" s="26">
        <f>IF($C121="","",INDEX(입력_인턴근무계획!$D$3:$D$402,$A121))</f>
        <v/>
      </c>
      <c r="E121" s="26">
        <f>IF($C121="","",IF(IFERROR(MATCH($D121,입력_기본자료!$B$2:$B$1001,0),IFERROR(MATCH($D121&amp;"",입력_기본자료!$B$2:$B$1001,0),IFERROR(MATCH(VALUE($D121),입력_기본자료!$B$2:$B$1001,0),0)))&gt;0,"확인","미등록"))</f>
        <v/>
      </c>
      <c r="F121" s="28">
        <f>IF($C121="","",INDEX(입력_인턴근무계획!$S$3:$S$402,$A121))</f>
        <v/>
      </c>
      <c r="G121" s="26">
        <f>IF(OR($C121="",$G$3=""),"",IF(INDEX(입력_인턴근무계획!$M$3:$R$402,$A121,$G$3)&amp;""="","",IF(LEFT(INDEX(입력_인턴근무계획!$M$3:$R$402,$A121,$G$3)&amp;"",1)="⚠",INDEX(입력_인턴근무계획!$M$3:$R$402,$A121,$G$3)&amp;"",LEFT(INDEX(입력_인턴근무계획!$M$3:$R$402,$A121,$G$3)&amp;"",FIND(" ",INDEX(입력_인턴근무계획!$M$3:$R$402,$A121,$G$3)&amp;"")-1))))</f>
        <v/>
      </c>
      <c r="H121" s="26">
        <f>IF(OR($C121="",$G$3=""),"",IF(INDEX(입력_인턴근무계획!$M$3:$R$402,$A121,$G$3)&amp;""="","",IF(LEFT(INDEX(입력_인턴근무계획!$M$3:$R$402,$A121,$G$3)&amp;"",1)="⚠","",MID(INDEX(입력_인턴근무계획!$M$3:$R$402,$A121,$G$3)&amp;"",FIND(" ",INDEX(입력_인턴근무계획!$M$3:$R$402,$A121,$G$3)&amp;"")+1,60))))</f>
        <v/>
      </c>
      <c r="I121" s="26">
        <f>IF(OR($C121="",$I$3=""),"",IF(INDEX(입력_인턴근무계획!$M$3:$R$402,$A121,$I$3)&amp;""="","",IF(LEFT(INDEX(입력_인턴근무계획!$M$3:$R$402,$A121,$I$3)&amp;"",1)="⚠",INDEX(입력_인턴근무계획!$M$3:$R$402,$A121,$I$3)&amp;"",LEFT(INDEX(입력_인턴근무계획!$M$3:$R$402,$A121,$I$3)&amp;"",FIND(" ",INDEX(입력_인턴근무계획!$M$3:$R$402,$A121,$I$3)&amp;"")-1))))</f>
        <v/>
      </c>
      <c r="J121" s="26">
        <f>IF(OR($C121="",$I$3=""),"",IF(INDEX(입력_인턴근무계획!$M$3:$R$402,$A121,$I$3)&amp;""="","",IF(LEFT(INDEX(입력_인턴근무계획!$M$3:$R$402,$A121,$I$3)&amp;"",1)="⚠","",MID(INDEX(입력_인턴근무계획!$M$3:$R$402,$A121,$I$3)&amp;"",FIND(" ",INDEX(입력_인턴근무계획!$M$3:$R$402,$A121,$I$3)&amp;"")+1,60))))</f>
        <v/>
      </c>
      <c r="K121" s="26">
        <f>IF($C121="","",INDEX(입력_인턴근무계획!$M$3:$M$402,$A121)&amp;"")</f>
        <v/>
      </c>
      <c r="L121" s="26">
        <f>IF($C121="","",INDEX(입력_인턴근무계획!$N$3:$N$402,$A121)&amp;"")</f>
        <v/>
      </c>
      <c r="M121" s="26">
        <f>IF($C121="","",INDEX(입력_인턴근무계획!$O$3:$O$402,$A121)&amp;"")</f>
        <v/>
      </c>
      <c r="N121" s="26">
        <f>IF($C121="","",INDEX(입력_인턴근무계획!$P$3:$P$402,$A121)&amp;"")</f>
        <v/>
      </c>
      <c r="O121" s="26">
        <f>IF($C121="","",INDEX(입력_인턴근무계획!$Q$3:$Q$402,$A121)&amp;"")</f>
        <v/>
      </c>
      <c r="P121" s="26">
        <f>IF($C121="","",INDEX(입력_인턴근무계획!$R$3:$R$402,$A121)&amp;"")</f>
        <v/>
      </c>
      <c r="Q121" s="26">
        <f>IF($C121="","",INDEX(입력_인턴근무계획!$T$3:$T$402,$A121))</f>
        <v/>
      </c>
    </row>
    <row r="122">
      <c r="A122" s="29" t="n">
        <v>117</v>
      </c>
      <c r="B122" s="26">
        <f>IF($C122="","",INDEX(입력_인턴근무계획!$B$3:$B$402,$A122))</f>
        <v/>
      </c>
      <c r="C122" s="26">
        <f>IFERROR(TRIM(INDEX(입력_인턴근무계획!$C$3:$C$402,$A122)&amp;""),"")</f>
        <v/>
      </c>
      <c r="D122" s="26">
        <f>IF($C122="","",INDEX(입력_인턴근무계획!$D$3:$D$402,$A122))</f>
        <v/>
      </c>
      <c r="E122" s="26">
        <f>IF($C122="","",IF(IFERROR(MATCH($D122,입력_기본자료!$B$2:$B$1001,0),IFERROR(MATCH($D122&amp;"",입력_기본자료!$B$2:$B$1001,0),IFERROR(MATCH(VALUE($D122),입력_기본자료!$B$2:$B$1001,0),0)))&gt;0,"확인","미등록"))</f>
        <v/>
      </c>
      <c r="F122" s="28">
        <f>IF($C122="","",INDEX(입력_인턴근무계획!$S$3:$S$402,$A122))</f>
        <v/>
      </c>
      <c r="G122" s="26">
        <f>IF(OR($C122="",$G$3=""),"",IF(INDEX(입력_인턴근무계획!$M$3:$R$402,$A122,$G$3)&amp;""="","",IF(LEFT(INDEX(입력_인턴근무계획!$M$3:$R$402,$A122,$G$3)&amp;"",1)="⚠",INDEX(입력_인턴근무계획!$M$3:$R$402,$A122,$G$3)&amp;"",LEFT(INDEX(입력_인턴근무계획!$M$3:$R$402,$A122,$G$3)&amp;"",FIND(" ",INDEX(입력_인턴근무계획!$M$3:$R$402,$A122,$G$3)&amp;"")-1))))</f>
        <v/>
      </c>
      <c r="H122" s="26">
        <f>IF(OR($C122="",$G$3=""),"",IF(INDEX(입력_인턴근무계획!$M$3:$R$402,$A122,$G$3)&amp;""="","",IF(LEFT(INDEX(입력_인턴근무계획!$M$3:$R$402,$A122,$G$3)&amp;"",1)="⚠","",MID(INDEX(입력_인턴근무계획!$M$3:$R$402,$A122,$G$3)&amp;"",FIND(" ",INDEX(입력_인턴근무계획!$M$3:$R$402,$A122,$G$3)&amp;"")+1,60))))</f>
        <v/>
      </c>
      <c r="I122" s="26">
        <f>IF(OR($C122="",$I$3=""),"",IF(INDEX(입력_인턴근무계획!$M$3:$R$402,$A122,$I$3)&amp;""="","",IF(LEFT(INDEX(입력_인턴근무계획!$M$3:$R$402,$A122,$I$3)&amp;"",1)="⚠",INDEX(입력_인턴근무계획!$M$3:$R$402,$A122,$I$3)&amp;"",LEFT(INDEX(입력_인턴근무계획!$M$3:$R$402,$A122,$I$3)&amp;"",FIND(" ",INDEX(입력_인턴근무계획!$M$3:$R$402,$A122,$I$3)&amp;"")-1))))</f>
        <v/>
      </c>
      <c r="J122" s="26">
        <f>IF(OR($C122="",$I$3=""),"",IF(INDEX(입력_인턴근무계획!$M$3:$R$402,$A122,$I$3)&amp;""="","",IF(LEFT(INDEX(입력_인턴근무계획!$M$3:$R$402,$A122,$I$3)&amp;"",1)="⚠","",MID(INDEX(입력_인턴근무계획!$M$3:$R$402,$A122,$I$3)&amp;"",FIND(" ",INDEX(입력_인턴근무계획!$M$3:$R$402,$A122,$I$3)&amp;"")+1,60))))</f>
        <v/>
      </c>
      <c r="K122" s="26">
        <f>IF($C122="","",INDEX(입력_인턴근무계획!$M$3:$M$402,$A122)&amp;"")</f>
        <v/>
      </c>
      <c r="L122" s="26">
        <f>IF($C122="","",INDEX(입력_인턴근무계획!$N$3:$N$402,$A122)&amp;"")</f>
        <v/>
      </c>
      <c r="M122" s="26">
        <f>IF($C122="","",INDEX(입력_인턴근무계획!$O$3:$O$402,$A122)&amp;"")</f>
        <v/>
      </c>
      <c r="N122" s="26">
        <f>IF($C122="","",INDEX(입력_인턴근무계획!$P$3:$P$402,$A122)&amp;"")</f>
        <v/>
      </c>
      <c r="O122" s="26">
        <f>IF($C122="","",INDEX(입력_인턴근무계획!$Q$3:$Q$402,$A122)&amp;"")</f>
        <v/>
      </c>
      <c r="P122" s="26">
        <f>IF($C122="","",INDEX(입력_인턴근무계획!$R$3:$R$402,$A122)&amp;"")</f>
        <v/>
      </c>
      <c r="Q122" s="26">
        <f>IF($C122="","",INDEX(입력_인턴근무계획!$T$3:$T$402,$A122))</f>
        <v/>
      </c>
    </row>
    <row r="123">
      <c r="A123" s="29" t="n">
        <v>118</v>
      </c>
      <c r="B123" s="26">
        <f>IF($C123="","",INDEX(입력_인턴근무계획!$B$3:$B$402,$A123))</f>
        <v/>
      </c>
      <c r="C123" s="26">
        <f>IFERROR(TRIM(INDEX(입력_인턴근무계획!$C$3:$C$402,$A123)&amp;""),"")</f>
        <v/>
      </c>
      <c r="D123" s="26">
        <f>IF($C123="","",INDEX(입력_인턴근무계획!$D$3:$D$402,$A123))</f>
        <v/>
      </c>
      <c r="E123" s="26">
        <f>IF($C123="","",IF(IFERROR(MATCH($D123,입력_기본자료!$B$2:$B$1001,0),IFERROR(MATCH($D123&amp;"",입력_기본자료!$B$2:$B$1001,0),IFERROR(MATCH(VALUE($D123),입력_기본자료!$B$2:$B$1001,0),0)))&gt;0,"확인","미등록"))</f>
        <v/>
      </c>
      <c r="F123" s="28">
        <f>IF($C123="","",INDEX(입력_인턴근무계획!$S$3:$S$402,$A123))</f>
        <v/>
      </c>
      <c r="G123" s="26">
        <f>IF(OR($C123="",$G$3=""),"",IF(INDEX(입력_인턴근무계획!$M$3:$R$402,$A123,$G$3)&amp;""="","",IF(LEFT(INDEX(입력_인턴근무계획!$M$3:$R$402,$A123,$G$3)&amp;"",1)="⚠",INDEX(입력_인턴근무계획!$M$3:$R$402,$A123,$G$3)&amp;"",LEFT(INDEX(입력_인턴근무계획!$M$3:$R$402,$A123,$G$3)&amp;"",FIND(" ",INDEX(입력_인턴근무계획!$M$3:$R$402,$A123,$G$3)&amp;"")-1))))</f>
        <v/>
      </c>
      <c r="H123" s="26">
        <f>IF(OR($C123="",$G$3=""),"",IF(INDEX(입력_인턴근무계획!$M$3:$R$402,$A123,$G$3)&amp;""="","",IF(LEFT(INDEX(입력_인턴근무계획!$M$3:$R$402,$A123,$G$3)&amp;"",1)="⚠","",MID(INDEX(입력_인턴근무계획!$M$3:$R$402,$A123,$G$3)&amp;"",FIND(" ",INDEX(입력_인턴근무계획!$M$3:$R$402,$A123,$G$3)&amp;"")+1,60))))</f>
        <v/>
      </c>
      <c r="I123" s="26">
        <f>IF(OR($C123="",$I$3=""),"",IF(INDEX(입력_인턴근무계획!$M$3:$R$402,$A123,$I$3)&amp;""="","",IF(LEFT(INDEX(입력_인턴근무계획!$M$3:$R$402,$A123,$I$3)&amp;"",1)="⚠",INDEX(입력_인턴근무계획!$M$3:$R$402,$A123,$I$3)&amp;"",LEFT(INDEX(입력_인턴근무계획!$M$3:$R$402,$A123,$I$3)&amp;"",FIND(" ",INDEX(입력_인턴근무계획!$M$3:$R$402,$A123,$I$3)&amp;"")-1))))</f>
        <v/>
      </c>
      <c r="J123" s="26">
        <f>IF(OR($C123="",$I$3=""),"",IF(INDEX(입력_인턴근무계획!$M$3:$R$402,$A123,$I$3)&amp;""="","",IF(LEFT(INDEX(입력_인턴근무계획!$M$3:$R$402,$A123,$I$3)&amp;"",1)="⚠","",MID(INDEX(입력_인턴근무계획!$M$3:$R$402,$A123,$I$3)&amp;"",FIND(" ",INDEX(입력_인턴근무계획!$M$3:$R$402,$A123,$I$3)&amp;"")+1,60))))</f>
        <v/>
      </c>
      <c r="K123" s="26">
        <f>IF($C123="","",INDEX(입력_인턴근무계획!$M$3:$M$402,$A123)&amp;"")</f>
        <v/>
      </c>
      <c r="L123" s="26">
        <f>IF($C123="","",INDEX(입력_인턴근무계획!$N$3:$N$402,$A123)&amp;"")</f>
        <v/>
      </c>
      <c r="M123" s="26">
        <f>IF($C123="","",INDEX(입력_인턴근무계획!$O$3:$O$402,$A123)&amp;"")</f>
        <v/>
      </c>
      <c r="N123" s="26">
        <f>IF($C123="","",INDEX(입력_인턴근무계획!$P$3:$P$402,$A123)&amp;"")</f>
        <v/>
      </c>
      <c r="O123" s="26">
        <f>IF($C123="","",INDEX(입력_인턴근무계획!$Q$3:$Q$402,$A123)&amp;"")</f>
        <v/>
      </c>
      <c r="P123" s="26">
        <f>IF($C123="","",INDEX(입력_인턴근무계획!$R$3:$R$402,$A123)&amp;"")</f>
        <v/>
      </c>
      <c r="Q123" s="26">
        <f>IF($C123="","",INDEX(입력_인턴근무계획!$T$3:$T$402,$A123))</f>
        <v/>
      </c>
    </row>
    <row r="124">
      <c r="A124" s="29" t="n">
        <v>119</v>
      </c>
      <c r="B124" s="26">
        <f>IF($C124="","",INDEX(입력_인턴근무계획!$B$3:$B$402,$A124))</f>
        <v/>
      </c>
      <c r="C124" s="26">
        <f>IFERROR(TRIM(INDEX(입력_인턴근무계획!$C$3:$C$402,$A124)&amp;""),"")</f>
        <v/>
      </c>
      <c r="D124" s="26">
        <f>IF($C124="","",INDEX(입력_인턴근무계획!$D$3:$D$402,$A124))</f>
        <v/>
      </c>
      <c r="E124" s="26">
        <f>IF($C124="","",IF(IFERROR(MATCH($D124,입력_기본자료!$B$2:$B$1001,0),IFERROR(MATCH($D124&amp;"",입력_기본자료!$B$2:$B$1001,0),IFERROR(MATCH(VALUE($D124),입력_기본자료!$B$2:$B$1001,0),0)))&gt;0,"확인","미등록"))</f>
        <v/>
      </c>
      <c r="F124" s="28">
        <f>IF($C124="","",INDEX(입력_인턴근무계획!$S$3:$S$402,$A124))</f>
        <v/>
      </c>
      <c r="G124" s="26">
        <f>IF(OR($C124="",$G$3=""),"",IF(INDEX(입력_인턴근무계획!$M$3:$R$402,$A124,$G$3)&amp;""="","",IF(LEFT(INDEX(입력_인턴근무계획!$M$3:$R$402,$A124,$G$3)&amp;"",1)="⚠",INDEX(입력_인턴근무계획!$M$3:$R$402,$A124,$G$3)&amp;"",LEFT(INDEX(입력_인턴근무계획!$M$3:$R$402,$A124,$G$3)&amp;"",FIND(" ",INDEX(입력_인턴근무계획!$M$3:$R$402,$A124,$G$3)&amp;"")-1))))</f>
        <v/>
      </c>
      <c r="H124" s="26">
        <f>IF(OR($C124="",$G$3=""),"",IF(INDEX(입력_인턴근무계획!$M$3:$R$402,$A124,$G$3)&amp;""="","",IF(LEFT(INDEX(입력_인턴근무계획!$M$3:$R$402,$A124,$G$3)&amp;"",1)="⚠","",MID(INDEX(입력_인턴근무계획!$M$3:$R$402,$A124,$G$3)&amp;"",FIND(" ",INDEX(입력_인턴근무계획!$M$3:$R$402,$A124,$G$3)&amp;"")+1,60))))</f>
        <v/>
      </c>
      <c r="I124" s="26">
        <f>IF(OR($C124="",$I$3=""),"",IF(INDEX(입력_인턴근무계획!$M$3:$R$402,$A124,$I$3)&amp;""="","",IF(LEFT(INDEX(입력_인턴근무계획!$M$3:$R$402,$A124,$I$3)&amp;"",1)="⚠",INDEX(입력_인턴근무계획!$M$3:$R$402,$A124,$I$3)&amp;"",LEFT(INDEX(입력_인턴근무계획!$M$3:$R$402,$A124,$I$3)&amp;"",FIND(" ",INDEX(입력_인턴근무계획!$M$3:$R$402,$A124,$I$3)&amp;"")-1))))</f>
        <v/>
      </c>
      <c r="J124" s="26">
        <f>IF(OR($C124="",$I$3=""),"",IF(INDEX(입력_인턴근무계획!$M$3:$R$402,$A124,$I$3)&amp;""="","",IF(LEFT(INDEX(입력_인턴근무계획!$M$3:$R$402,$A124,$I$3)&amp;"",1)="⚠","",MID(INDEX(입력_인턴근무계획!$M$3:$R$402,$A124,$I$3)&amp;"",FIND(" ",INDEX(입력_인턴근무계획!$M$3:$R$402,$A124,$I$3)&amp;"")+1,60))))</f>
        <v/>
      </c>
      <c r="K124" s="26">
        <f>IF($C124="","",INDEX(입력_인턴근무계획!$M$3:$M$402,$A124)&amp;"")</f>
        <v/>
      </c>
      <c r="L124" s="26">
        <f>IF($C124="","",INDEX(입력_인턴근무계획!$N$3:$N$402,$A124)&amp;"")</f>
        <v/>
      </c>
      <c r="M124" s="26">
        <f>IF($C124="","",INDEX(입력_인턴근무계획!$O$3:$O$402,$A124)&amp;"")</f>
        <v/>
      </c>
      <c r="N124" s="26">
        <f>IF($C124="","",INDEX(입력_인턴근무계획!$P$3:$P$402,$A124)&amp;"")</f>
        <v/>
      </c>
      <c r="O124" s="26">
        <f>IF($C124="","",INDEX(입력_인턴근무계획!$Q$3:$Q$402,$A124)&amp;"")</f>
        <v/>
      </c>
      <c r="P124" s="26">
        <f>IF($C124="","",INDEX(입력_인턴근무계획!$R$3:$R$402,$A124)&amp;"")</f>
        <v/>
      </c>
      <c r="Q124" s="26">
        <f>IF($C124="","",INDEX(입력_인턴근무계획!$T$3:$T$402,$A124))</f>
        <v/>
      </c>
    </row>
    <row r="125">
      <c r="A125" s="29" t="n">
        <v>120</v>
      </c>
      <c r="B125" s="26">
        <f>IF($C125="","",INDEX(입력_인턴근무계획!$B$3:$B$402,$A125))</f>
        <v/>
      </c>
      <c r="C125" s="26">
        <f>IFERROR(TRIM(INDEX(입력_인턴근무계획!$C$3:$C$402,$A125)&amp;""),"")</f>
        <v/>
      </c>
      <c r="D125" s="26">
        <f>IF($C125="","",INDEX(입력_인턴근무계획!$D$3:$D$402,$A125))</f>
        <v/>
      </c>
      <c r="E125" s="26">
        <f>IF($C125="","",IF(IFERROR(MATCH($D125,입력_기본자료!$B$2:$B$1001,0),IFERROR(MATCH($D125&amp;"",입력_기본자료!$B$2:$B$1001,0),IFERROR(MATCH(VALUE($D125),입력_기본자료!$B$2:$B$1001,0),0)))&gt;0,"확인","미등록"))</f>
        <v/>
      </c>
      <c r="F125" s="28">
        <f>IF($C125="","",INDEX(입력_인턴근무계획!$S$3:$S$402,$A125))</f>
        <v/>
      </c>
      <c r="G125" s="26">
        <f>IF(OR($C125="",$G$3=""),"",IF(INDEX(입력_인턴근무계획!$M$3:$R$402,$A125,$G$3)&amp;""="","",IF(LEFT(INDEX(입력_인턴근무계획!$M$3:$R$402,$A125,$G$3)&amp;"",1)="⚠",INDEX(입력_인턴근무계획!$M$3:$R$402,$A125,$G$3)&amp;"",LEFT(INDEX(입력_인턴근무계획!$M$3:$R$402,$A125,$G$3)&amp;"",FIND(" ",INDEX(입력_인턴근무계획!$M$3:$R$402,$A125,$G$3)&amp;"")-1))))</f>
        <v/>
      </c>
      <c r="H125" s="26">
        <f>IF(OR($C125="",$G$3=""),"",IF(INDEX(입력_인턴근무계획!$M$3:$R$402,$A125,$G$3)&amp;""="","",IF(LEFT(INDEX(입력_인턴근무계획!$M$3:$R$402,$A125,$G$3)&amp;"",1)="⚠","",MID(INDEX(입력_인턴근무계획!$M$3:$R$402,$A125,$G$3)&amp;"",FIND(" ",INDEX(입력_인턴근무계획!$M$3:$R$402,$A125,$G$3)&amp;"")+1,60))))</f>
        <v/>
      </c>
      <c r="I125" s="26">
        <f>IF(OR($C125="",$I$3=""),"",IF(INDEX(입력_인턴근무계획!$M$3:$R$402,$A125,$I$3)&amp;""="","",IF(LEFT(INDEX(입력_인턴근무계획!$M$3:$R$402,$A125,$I$3)&amp;"",1)="⚠",INDEX(입력_인턴근무계획!$M$3:$R$402,$A125,$I$3)&amp;"",LEFT(INDEX(입력_인턴근무계획!$M$3:$R$402,$A125,$I$3)&amp;"",FIND(" ",INDEX(입력_인턴근무계획!$M$3:$R$402,$A125,$I$3)&amp;"")-1))))</f>
        <v/>
      </c>
      <c r="J125" s="26">
        <f>IF(OR($C125="",$I$3=""),"",IF(INDEX(입력_인턴근무계획!$M$3:$R$402,$A125,$I$3)&amp;""="","",IF(LEFT(INDEX(입력_인턴근무계획!$M$3:$R$402,$A125,$I$3)&amp;"",1)="⚠","",MID(INDEX(입력_인턴근무계획!$M$3:$R$402,$A125,$I$3)&amp;"",FIND(" ",INDEX(입력_인턴근무계획!$M$3:$R$402,$A125,$I$3)&amp;"")+1,60))))</f>
        <v/>
      </c>
      <c r="K125" s="26">
        <f>IF($C125="","",INDEX(입력_인턴근무계획!$M$3:$M$402,$A125)&amp;"")</f>
        <v/>
      </c>
      <c r="L125" s="26">
        <f>IF($C125="","",INDEX(입력_인턴근무계획!$N$3:$N$402,$A125)&amp;"")</f>
        <v/>
      </c>
      <c r="M125" s="26">
        <f>IF($C125="","",INDEX(입력_인턴근무계획!$O$3:$O$402,$A125)&amp;"")</f>
        <v/>
      </c>
      <c r="N125" s="26">
        <f>IF($C125="","",INDEX(입력_인턴근무계획!$P$3:$P$402,$A125)&amp;"")</f>
        <v/>
      </c>
      <c r="O125" s="26">
        <f>IF($C125="","",INDEX(입력_인턴근무계획!$Q$3:$Q$402,$A125)&amp;"")</f>
        <v/>
      </c>
      <c r="P125" s="26">
        <f>IF($C125="","",INDEX(입력_인턴근무계획!$R$3:$R$402,$A125)&amp;"")</f>
        <v/>
      </c>
      <c r="Q125" s="26">
        <f>IF($C125="","",INDEX(입력_인턴근무계획!$T$3:$T$402,$A125))</f>
        <v/>
      </c>
    </row>
    <row r="126">
      <c r="A126" s="29" t="n">
        <v>121</v>
      </c>
      <c r="B126" s="26">
        <f>IF($C126="","",INDEX(입력_인턴근무계획!$B$3:$B$402,$A126))</f>
        <v/>
      </c>
      <c r="C126" s="26">
        <f>IFERROR(TRIM(INDEX(입력_인턴근무계획!$C$3:$C$402,$A126)&amp;""),"")</f>
        <v/>
      </c>
      <c r="D126" s="26">
        <f>IF($C126="","",INDEX(입력_인턴근무계획!$D$3:$D$402,$A126))</f>
        <v/>
      </c>
      <c r="E126" s="26">
        <f>IF($C126="","",IF(IFERROR(MATCH($D126,입력_기본자료!$B$2:$B$1001,0),IFERROR(MATCH($D126&amp;"",입력_기본자료!$B$2:$B$1001,0),IFERROR(MATCH(VALUE($D126),입력_기본자료!$B$2:$B$1001,0),0)))&gt;0,"확인","미등록"))</f>
        <v/>
      </c>
      <c r="F126" s="28">
        <f>IF($C126="","",INDEX(입력_인턴근무계획!$S$3:$S$402,$A126))</f>
        <v/>
      </c>
      <c r="G126" s="26">
        <f>IF(OR($C126="",$G$3=""),"",IF(INDEX(입력_인턴근무계획!$M$3:$R$402,$A126,$G$3)&amp;""="","",IF(LEFT(INDEX(입력_인턴근무계획!$M$3:$R$402,$A126,$G$3)&amp;"",1)="⚠",INDEX(입력_인턴근무계획!$M$3:$R$402,$A126,$G$3)&amp;"",LEFT(INDEX(입력_인턴근무계획!$M$3:$R$402,$A126,$G$3)&amp;"",FIND(" ",INDEX(입력_인턴근무계획!$M$3:$R$402,$A126,$G$3)&amp;"")-1))))</f>
        <v/>
      </c>
      <c r="H126" s="26">
        <f>IF(OR($C126="",$G$3=""),"",IF(INDEX(입력_인턴근무계획!$M$3:$R$402,$A126,$G$3)&amp;""="","",IF(LEFT(INDEX(입력_인턴근무계획!$M$3:$R$402,$A126,$G$3)&amp;"",1)="⚠","",MID(INDEX(입력_인턴근무계획!$M$3:$R$402,$A126,$G$3)&amp;"",FIND(" ",INDEX(입력_인턴근무계획!$M$3:$R$402,$A126,$G$3)&amp;"")+1,60))))</f>
        <v/>
      </c>
      <c r="I126" s="26">
        <f>IF(OR($C126="",$I$3=""),"",IF(INDEX(입력_인턴근무계획!$M$3:$R$402,$A126,$I$3)&amp;""="","",IF(LEFT(INDEX(입력_인턴근무계획!$M$3:$R$402,$A126,$I$3)&amp;"",1)="⚠",INDEX(입력_인턴근무계획!$M$3:$R$402,$A126,$I$3)&amp;"",LEFT(INDEX(입력_인턴근무계획!$M$3:$R$402,$A126,$I$3)&amp;"",FIND(" ",INDEX(입력_인턴근무계획!$M$3:$R$402,$A126,$I$3)&amp;"")-1))))</f>
        <v/>
      </c>
      <c r="J126" s="26">
        <f>IF(OR($C126="",$I$3=""),"",IF(INDEX(입력_인턴근무계획!$M$3:$R$402,$A126,$I$3)&amp;""="","",IF(LEFT(INDEX(입력_인턴근무계획!$M$3:$R$402,$A126,$I$3)&amp;"",1)="⚠","",MID(INDEX(입력_인턴근무계획!$M$3:$R$402,$A126,$I$3)&amp;"",FIND(" ",INDEX(입력_인턴근무계획!$M$3:$R$402,$A126,$I$3)&amp;"")+1,60))))</f>
        <v/>
      </c>
      <c r="K126" s="26">
        <f>IF($C126="","",INDEX(입력_인턴근무계획!$M$3:$M$402,$A126)&amp;"")</f>
        <v/>
      </c>
      <c r="L126" s="26">
        <f>IF($C126="","",INDEX(입력_인턴근무계획!$N$3:$N$402,$A126)&amp;"")</f>
        <v/>
      </c>
      <c r="M126" s="26">
        <f>IF($C126="","",INDEX(입력_인턴근무계획!$O$3:$O$402,$A126)&amp;"")</f>
        <v/>
      </c>
      <c r="N126" s="26">
        <f>IF($C126="","",INDEX(입력_인턴근무계획!$P$3:$P$402,$A126)&amp;"")</f>
        <v/>
      </c>
      <c r="O126" s="26">
        <f>IF($C126="","",INDEX(입력_인턴근무계획!$Q$3:$Q$402,$A126)&amp;"")</f>
        <v/>
      </c>
      <c r="P126" s="26">
        <f>IF($C126="","",INDEX(입력_인턴근무계획!$R$3:$R$402,$A126)&amp;"")</f>
        <v/>
      </c>
      <c r="Q126" s="26">
        <f>IF($C126="","",INDEX(입력_인턴근무계획!$T$3:$T$402,$A126))</f>
        <v/>
      </c>
    </row>
    <row r="127">
      <c r="A127" s="29" t="n">
        <v>122</v>
      </c>
      <c r="B127" s="26">
        <f>IF($C127="","",INDEX(입력_인턴근무계획!$B$3:$B$402,$A127))</f>
        <v/>
      </c>
      <c r="C127" s="26">
        <f>IFERROR(TRIM(INDEX(입력_인턴근무계획!$C$3:$C$402,$A127)&amp;""),"")</f>
        <v/>
      </c>
      <c r="D127" s="26">
        <f>IF($C127="","",INDEX(입력_인턴근무계획!$D$3:$D$402,$A127))</f>
        <v/>
      </c>
      <c r="E127" s="26">
        <f>IF($C127="","",IF(IFERROR(MATCH($D127,입력_기본자료!$B$2:$B$1001,0),IFERROR(MATCH($D127&amp;"",입력_기본자료!$B$2:$B$1001,0),IFERROR(MATCH(VALUE($D127),입력_기본자료!$B$2:$B$1001,0),0)))&gt;0,"확인","미등록"))</f>
        <v/>
      </c>
      <c r="F127" s="28">
        <f>IF($C127="","",INDEX(입력_인턴근무계획!$S$3:$S$402,$A127))</f>
        <v/>
      </c>
      <c r="G127" s="26">
        <f>IF(OR($C127="",$G$3=""),"",IF(INDEX(입력_인턴근무계획!$M$3:$R$402,$A127,$G$3)&amp;""="","",IF(LEFT(INDEX(입력_인턴근무계획!$M$3:$R$402,$A127,$G$3)&amp;"",1)="⚠",INDEX(입력_인턴근무계획!$M$3:$R$402,$A127,$G$3)&amp;"",LEFT(INDEX(입력_인턴근무계획!$M$3:$R$402,$A127,$G$3)&amp;"",FIND(" ",INDEX(입력_인턴근무계획!$M$3:$R$402,$A127,$G$3)&amp;"")-1))))</f>
        <v/>
      </c>
      <c r="H127" s="26">
        <f>IF(OR($C127="",$G$3=""),"",IF(INDEX(입력_인턴근무계획!$M$3:$R$402,$A127,$G$3)&amp;""="","",IF(LEFT(INDEX(입력_인턴근무계획!$M$3:$R$402,$A127,$G$3)&amp;"",1)="⚠","",MID(INDEX(입력_인턴근무계획!$M$3:$R$402,$A127,$G$3)&amp;"",FIND(" ",INDEX(입력_인턴근무계획!$M$3:$R$402,$A127,$G$3)&amp;"")+1,60))))</f>
        <v/>
      </c>
      <c r="I127" s="26">
        <f>IF(OR($C127="",$I$3=""),"",IF(INDEX(입력_인턴근무계획!$M$3:$R$402,$A127,$I$3)&amp;""="","",IF(LEFT(INDEX(입력_인턴근무계획!$M$3:$R$402,$A127,$I$3)&amp;"",1)="⚠",INDEX(입력_인턴근무계획!$M$3:$R$402,$A127,$I$3)&amp;"",LEFT(INDEX(입력_인턴근무계획!$M$3:$R$402,$A127,$I$3)&amp;"",FIND(" ",INDEX(입력_인턴근무계획!$M$3:$R$402,$A127,$I$3)&amp;"")-1))))</f>
        <v/>
      </c>
      <c r="J127" s="26">
        <f>IF(OR($C127="",$I$3=""),"",IF(INDEX(입력_인턴근무계획!$M$3:$R$402,$A127,$I$3)&amp;""="","",IF(LEFT(INDEX(입력_인턴근무계획!$M$3:$R$402,$A127,$I$3)&amp;"",1)="⚠","",MID(INDEX(입력_인턴근무계획!$M$3:$R$402,$A127,$I$3)&amp;"",FIND(" ",INDEX(입력_인턴근무계획!$M$3:$R$402,$A127,$I$3)&amp;"")+1,60))))</f>
        <v/>
      </c>
      <c r="K127" s="26">
        <f>IF($C127="","",INDEX(입력_인턴근무계획!$M$3:$M$402,$A127)&amp;"")</f>
        <v/>
      </c>
      <c r="L127" s="26">
        <f>IF($C127="","",INDEX(입력_인턴근무계획!$N$3:$N$402,$A127)&amp;"")</f>
        <v/>
      </c>
      <c r="M127" s="26">
        <f>IF($C127="","",INDEX(입력_인턴근무계획!$O$3:$O$402,$A127)&amp;"")</f>
        <v/>
      </c>
      <c r="N127" s="26">
        <f>IF($C127="","",INDEX(입력_인턴근무계획!$P$3:$P$402,$A127)&amp;"")</f>
        <v/>
      </c>
      <c r="O127" s="26">
        <f>IF($C127="","",INDEX(입력_인턴근무계획!$Q$3:$Q$402,$A127)&amp;"")</f>
        <v/>
      </c>
      <c r="P127" s="26">
        <f>IF($C127="","",INDEX(입력_인턴근무계획!$R$3:$R$402,$A127)&amp;"")</f>
        <v/>
      </c>
      <c r="Q127" s="26">
        <f>IF($C127="","",INDEX(입력_인턴근무계획!$T$3:$T$402,$A127))</f>
        <v/>
      </c>
    </row>
    <row r="128">
      <c r="A128" s="29" t="n">
        <v>123</v>
      </c>
      <c r="B128" s="26">
        <f>IF($C128="","",INDEX(입력_인턴근무계획!$B$3:$B$402,$A128))</f>
        <v/>
      </c>
      <c r="C128" s="26">
        <f>IFERROR(TRIM(INDEX(입력_인턴근무계획!$C$3:$C$402,$A128)&amp;""),"")</f>
        <v/>
      </c>
      <c r="D128" s="26">
        <f>IF($C128="","",INDEX(입력_인턴근무계획!$D$3:$D$402,$A128))</f>
        <v/>
      </c>
      <c r="E128" s="26">
        <f>IF($C128="","",IF(IFERROR(MATCH($D128,입력_기본자료!$B$2:$B$1001,0),IFERROR(MATCH($D128&amp;"",입력_기본자료!$B$2:$B$1001,0),IFERROR(MATCH(VALUE($D128),입력_기본자료!$B$2:$B$1001,0),0)))&gt;0,"확인","미등록"))</f>
        <v/>
      </c>
      <c r="F128" s="28">
        <f>IF($C128="","",INDEX(입력_인턴근무계획!$S$3:$S$402,$A128))</f>
        <v/>
      </c>
      <c r="G128" s="26">
        <f>IF(OR($C128="",$G$3=""),"",IF(INDEX(입력_인턴근무계획!$M$3:$R$402,$A128,$G$3)&amp;""="","",IF(LEFT(INDEX(입력_인턴근무계획!$M$3:$R$402,$A128,$G$3)&amp;"",1)="⚠",INDEX(입력_인턴근무계획!$M$3:$R$402,$A128,$G$3)&amp;"",LEFT(INDEX(입력_인턴근무계획!$M$3:$R$402,$A128,$G$3)&amp;"",FIND(" ",INDEX(입력_인턴근무계획!$M$3:$R$402,$A128,$G$3)&amp;"")-1))))</f>
        <v/>
      </c>
      <c r="H128" s="26">
        <f>IF(OR($C128="",$G$3=""),"",IF(INDEX(입력_인턴근무계획!$M$3:$R$402,$A128,$G$3)&amp;""="","",IF(LEFT(INDEX(입력_인턴근무계획!$M$3:$R$402,$A128,$G$3)&amp;"",1)="⚠","",MID(INDEX(입력_인턴근무계획!$M$3:$R$402,$A128,$G$3)&amp;"",FIND(" ",INDEX(입력_인턴근무계획!$M$3:$R$402,$A128,$G$3)&amp;"")+1,60))))</f>
        <v/>
      </c>
      <c r="I128" s="26">
        <f>IF(OR($C128="",$I$3=""),"",IF(INDEX(입력_인턴근무계획!$M$3:$R$402,$A128,$I$3)&amp;""="","",IF(LEFT(INDEX(입력_인턴근무계획!$M$3:$R$402,$A128,$I$3)&amp;"",1)="⚠",INDEX(입력_인턴근무계획!$M$3:$R$402,$A128,$I$3)&amp;"",LEFT(INDEX(입력_인턴근무계획!$M$3:$R$402,$A128,$I$3)&amp;"",FIND(" ",INDEX(입력_인턴근무계획!$M$3:$R$402,$A128,$I$3)&amp;"")-1))))</f>
        <v/>
      </c>
      <c r="J128" s="26">
        <f>IF(OR($C128="",$I$3=""),"",IF(INDEX(입력_인턴근무계획!$M$3:$R$402,$A128,$I$3)&amp;""="","",IF(LEFT(INDEX(입력_인턴근무계획!$M$3:$R$402,$A128,$I$3)&amp;"",1)="⚠","",MID(INDEX(입력_인턴근무계획!$M$3:$R$402,$A128,$I$3)&amp;"",FIND(" ",INDEX(입력_인턴근무계획!$M$3:$R$402,$A128,$I$3)&amp;"")+1,60))))</f>
        <v/>
      </c>
      <c r="K128" s="26">
        <f>IF($C128="","",INDEX(입력_인턴근무계획!$M$3:$M$402,$A128)&amp;"")</f>
        <v/>
      </c>
      <c r="L128" s="26">
        <f>IF($C128="","",INDEX(입력_인턴근무계획!$N$3:$N$402,$A128)&amp;"")</f>
        <v/>
      </c>
      <c r="M128" s="26">
        <f>IF($C128="","",INDEX(입력_인턴근무계획!$O$3:$O$402,$A128)&amp;"")</f>
        <v/>
      </c>
      <c r="N128" s="26">
        <f>IF($C128="","",INDEX(입력_인턴근무계획!$P$3:$P$402,$A128)&amp;"")</f>
        <v/>
      </c>
      <c r="O128" s="26">
        <f>IF($C128="","",INDEX(입력_인턴근무계획!$Q$3:$Q$402,$A128)&amp;"")</f>
        <v/>
      </c>
      <c r="P128" s="26">
        <f>IF($C128="","",INDEX(입력_인턴근무계획!$R$3:$R$402,$A128)&amp;"")</f>
        <v/>
      </c>
      <c r="Q128" s="26">
        <f>IF($C128="","",INDEX(입력_인턴근무계획!$T$3:$T$402,$A128))</f>
        <v/>
      </c>
    </row>
    <row r="129">
      <c r="A129" s="29" t="n">
        <v>124</v>
      </c>
      <c r="B129" s="26">
        <f>IF($C129="","",INDEX(입력_인턴근무계획!$B$3:$B$402,$A129))</f>
        <v/>
      </c>
      <c r="C129" s="26">
        <f>IFERROR(TRIM(INDEX(입력_인턴근무계획!$C$3:$C$402,$A129)&amp;""),"")</f>
        <v/>
      </c>
      <c r="D129" s="26">
        <f>IF($C129="","",INDEX(입력_인턴근무계획!$D$3:$D$402,$A129))</f>
        <v/>
      </c>
      <c r="E129" s="26">
        <f>IF($C129="","",IF(IFERROR(MATCH($D129,입력_기본자료!$B$2:$B$1001,0),IFERROR(MATCH($D129&amp;"",입력_기본자료!$B$2:$B$1001,0),IFERROR(MATCH(VALUE($D129),입력_기본자료!$B$2:$B$1001,0),0)))&gt;0,"확인","미등록"))</f>
        <v/>
      </c>
      <c r="F129" s="28">
        <f>IF($C129="","",INDEX(입력_인턴근무계획!$S$3:$S$402,$A129))</f>
        <v/>
      </c>
      <c r="G129" s="26">
        <f>IF(OR($C129="",$G$3=""),"",IF(INDEX(입력_인턴근무계획!$M$3:$R$402,$A129,$G$3)&amp;""="","",IF(LEFT(INDEX(입력_인턴근무계획!$M$3:$R$402,$A129,$G$3)&amp;"",1)="⚠",INDEX(입력_인턴근무계획!$M$3:$R$402,$A129,$G$3)&amp;"",LEFT(INDEX(입력_인턴근무계획!$M$3:$R$402,$A129,$G$3)&amp;"",FIND(" ",INDEX(입력_인턴근무계획!$M$3:$R$402,$A129,$G$3)&amp;"")-1))))</f>
        <v/>
      </c>
      <c r="H129" s="26">
        <f>IF(OR($C129="",$G$3=""),"",IF(INDEX(입력_인턴근무계획!$M$3:$R$402,$A129,$G$3)&amp;""="","",IF(LEFT(INDEX(입력_인턴근무계획!$M$3:$R$402,$A129,$G$3)&amp;"",1)="⚠","",MID(INDEX(입력_인턴근무계획!$M$3:$R$402,$A129,$G$3)&amp;"",FIND(" ",INDEX(입력_인턴근무계획!$M$3:$R$402,$A129,$G$3)&amp;"")+1,60))))</f>
        <v/>
      </c>
      <c r="I129" s="26">
        <f>IF(OR($C129="",$I$3=""),"",IF(INDEX(입력_인턴근무계획!$M$3:$R$402,$A129,$I$3)&amp;""="","",IF(LEFT(INDEX(입력_인턴근무계획!$M$3:$R$402,$A129,$I$3)&amp;"",1)="⚠",INDEX(입력_인턴근무계획!$M$3:$R$402,$A129,$I$3)&amp;"",LEFT(INDEX(입력_인턴근무계획!$M$3:$R$402,$A129,$I$3)&amp;"",FIND(" ",INDEX(입력_인턴근무계획!$M$3:$R$402,$A129,$I$3)&amp;"")-1))))</f>
        <v/>
      </c>
      <c r="J129" s="26">
        <f>IF(OR($C129="",$I$3=""),"",IF(INDEX(입력_인턴근무계획!$M$3:$R$402,$A129,$I$3)&amp;""="","",IF(LEFT(INDEX(입력_인턴근무계획!$M$3:$R$402,$A129,$I$3)&amp;"",1)="⚠","",MID(INDEX(입력_인턴근무계획!$M$3:$R$402,$A129,$I$3)&amp;"",FIND(" ",INDEX(입력_인턴근무계획!$M$3:$R$402,$A129,$I$3)&amp;"")+1,60))))</f>
        <v/>
      </c>
      <c r="K129" s="26">
        <f>IF($C129="","",INDEX(입력_인턴근무계획!$M$3:$M$402,$A129)&amp;"")</f>
        <v/>
      </c>
      <c r="L129" s="26">
        <f>IF($C129="","",INDEX(입력_인턴근무계획!$N$3:$N$402,$A129)&amp;"")</f>
        <v/>
      </c>
      <c r="M129" s="26">
        <f>IF($C129="","",INDEX(입력_인턴근무계획!$O$3:$O$402,$A129)&amp;"")</f>
        <v/>
      </c>
      <c r="N129" s="26">
        <f>IF($C129="","",INDEX(입력_인턴근무계획!$P$3:$P$402,$A129)&amp;"")</f>
        <v/>
      </c>
      <c r="O129" s="26">
        <f>IF($C129="","",INDEX(입력_인턴근무계획!$Q$3:$Q$402,$A129)&amp;"")</f>
        <v/>
      </c>
      <c r="P129" s="26">
        <f>IF($C129="","",INDEX(입력_인턴근무계획!$R$3:$R$402,$A129)&amp;"")</f>
        <v/>
      </c>
      <c r="Q129" s="26">
        <f>IF($C129="","",INDEX(입력_인턴근무계획!$T$3:$T$402,$A129))</f>
        <v/>
      </c>
    </row>
    <row r="130">
      <c r="A130" s="29" t="n">
        <v>125</v>
      </c>
      <c r="B130" s="26">
        <f>IF($C130="","",INDEX(입력_인턴근무계획!$B$3:$B$402,$A130))</f>
        <v/>
      </c>
      <c r="C130" s="26">
        <f>IFERROR(TRIM(INDEX(입력_인턴근무계획!$C$3:$C$402,$A130)&amp;""),"")</f>
        <v/>
      </c>
      <c r="D130" s="26">
        <f>IF($C130="","",INDEX(입력_인턴근무계획!$D$3:$D$402,$A130))</f>
        <v/>
      </c>
      <c r="E130" s="26">
        <f>IF($C130="","",IF(IFERROR(MATCH($D130,입력_기본자료!$B$2:$B$1001,0),IFERROR(MATCH($D130&amp;"",입력_기본자료!$B$2:$B$1001,0),IFERROR(MATCH(VALUE($D130),입력_기본자료!$B$2:$B$1001,0),0)))&gt;0,"확인","미등록"))</f>
        <v/>
      </c>
      <c r="F130" s="28">
        <f>IF($C130="","",INDEX(입력_인턴근무계획!$S$3:$S$402,$A130))</f>
        <v/>
      </c>
      <c r="G130" s="26">
        <f>IF(OR($C130="",$G$3=""),"",IF(INDEX(입력_인턴근무계획!$M$3:$R$402,$A130,$G$3)&amp;""="","",IF(LEFT(INDEX(입력_인턴근무계획!$M$3:$R$402,$A130,$G$3)&amp;"",1)="⚠",INDEX(입력_인턴근무계획!$M$3:$R$402,$A130,$G$3)&amp;"",LEFT(INDEX(입력_인턴근무계획!$M$3:$R$402,$A130,$G$3)&amp;"",FIND(" ",INDEX(입력_인턴근무계획!$M$3:$R$402,$A130,$G$3)&amp;"")-1))))</f>
        <v/>
      </c>
      <c r="H130" s="26">
        <f>IF(OR($C130="",$G$3=""),"",IF(INDEX(입력_인턴근무계획!$M$3:$R$402,$A130,$G$3)&amp;""="","",IF(LEFT(INDEX(입력_인턴근무계획!$M$3:$R$402,$A130,$G$3)&amp;"",1)="⚠","",MID(INDEX(입력_인턴근무계획!$M$3:$R$402,$A130,$G$3)&amp;"",FIND(" ",INDEX(입력_인턴근무계획!$M$3:$R$402,$A130,$G$3)&amp;"")+1,60))))</f>
        <v/>
      </c>
      <c r="I130" s="26">
        <f>IF(OR($C130="",$I$3=""),"",IF(INDEX(입력_인턴근무계획!$M$3:$R$402,$A130,$I$3)&amp;""="","",IF(LEFT(INDEX(입력_인턴근무계획!$M$3:$R$402,$A130,$I$3)&amp;"",1)="⚠",INDEX(입력_인턴근무계획!$M$3:$R$402,$A130,$I$3)&amp;"",LEFT(INDEX(입력_인턴근무계획!$M$3:$R$402,$A130,$I$3)&amp;"",FIND(" ",INDEX(입력_인턴근무계획!$M$3:$R$402,$A130,$I$3)&amp;"")-1))))</f>
        <v/>
      </c>
      <c r="J130" s="26">
        <f>IF(OR($C130="",$I$3=""),"",IF(INDEX(입력_인턴근무계획!$M$3:$R$402,$A130,$I$3)&amp;""="","",IF(LEFT(INDEX(입력_인턴근무계획!$M$3:$R$402,$A130,$I$3)&amp;"",1)="⚠","",MID(INDEX(입력_인턴근무계획!$M$3:$R$402,$A130,$I$3)&amp;"",FIND(" ",INDEX(입력_인턴근무계획!$M$3:$R$402,$A130,$I$3)&amp;"")+1,60))))</f>
        <v/>
      </c>
      <c r="K130" s="26">
        <f>IF($C130="","",INDEX(입력_인턴근무계획!$M$3:$M$402,$A130)&amp;"")</f>
        <v/>
      </c>
      <c r="L130" s="26">
        <f>IF($C130="","",INDEX(입력_인턴근무계획!$N$3:$N$402,$A130)&amp;"")</f>
        <v/>
      </c>
      <c r="M130" s="26">
        <f>IF($C130="","",INDEX(입력_인턴근무계획!$O$3:$O$402,$A130)&amp;"")</f>
        <v/>
      </c>
      <c r="N130" s="26">
        <f>IF($C130="","",INDEX(입력_인턴근무계획!$P$3:$P$402,$A130)&amp;"")</f>
        <v/>
      </c>
      <c r="O130" s="26">
        <f>IF($C130="","",INDEX(입력_인턴근무계획!$Q$3:$Q$402,$A130)&amp;"")</f>
        <v/>
      </c>
      <c r="P130" s="26">
        <f>IF($C130="","",INDEX(입력_인턴근무계획!$R$3:$R$402,$A130)&amp;"")</f>
        <v/>
      </c>
      <c r="Q130" s="26">
        <f>IF($C130="","",INDEX(입력_인턴근무계획!$T$3:$T$402,$A130))</f>
        <v/>
      </c>
    </row>
    <row r="131">
      <c r="A131" s="29" t="n">
        <v>126</v>
      </c>
      <c r="B131" s="26">
        <f>IF($C131="","",INDEX(입력_인턴근무계획!$B$3:$B$402,$A131))</f>
        <v/>
      </c>
      <c r="C131" s="26">
        <f>IFERROR(TRIM(INDEX(입력_인턴근무계획!$C$3:$C$402,$A131)&amp;""),"")</f>
        <v/>
      </c>
      <c r="D131" s="26">
        <f>IF($C131="","",INDEX(입력_인턴근무계획!$D$3:$D$402,$A131))</f>
        <v/>
      </c>
      <c r="E131" s="26">
        <f>IF($C131="","",IF(IFERROR(MATCH($D131,입력_기본자료!$B$2:$B$1001,0),IFERROR(MATCH($D131&amp;"",입력_기본자료!$B$2:$B$1001,0),IFERROR(MATCH(VALUE($D131),입력_기본자료!$B$2:$B$1001,0),0)))&gt;0,"확인","미등록"))</f>
        <v/>
      </c>
      <c r="F131" s="28">
        <f>IF($C131="","",INDEX(입력_인턴근무계획!$S$3:$S$402,$A131))</f>
        <v/>
      </c>
      <c r="G131" s="26">
        <f>IF(OR($C131="",$G$3=""),"",IF(INDEX(입력_인턴근무계획!$M$3:$R$402,$A131,$G$3)&amp;""="","",IF(LEFT(INDEX(입력_인턴근무계획!$M$3:$R$402,$A131,$G$3)&amp;"",1)="⚠",INDEX(입력_인턴근무계획!$M$3:$R$402,$A131,$G$3)&amp;"",LEFT(INDEX(입력_인턴근무계획!$M$3:$R$402,$A131,$G$3)&amp;"",FIND(" ",INDEX(입력_인턴근무계획!$M$3:$R$402,$A131,$G$3)&amp;"")-1))))</f>
        <v/>
      </c>
      <c r="H131" s="26">
        <f>IF(OR($C131="",$G$3=""),"",IF(INDEX(입력_인턴근무계획!$M$3:$R$402,$A131,$G$3)&amp;""="","",IF(LEFT(INDEX(입력_인턴근무계획!$M$3:$R$402,$A131,$G$3)&amp;"",1)="⚠","",MID(INDEX(입력_인턴근무계획!$M$3:$R$402,$A131,$G$3)&amp;"",FIND(" ",INDEX(입력_인턴근무계획!$M$3:$R$402,$A131,$G$3)&amp;"")+1,60))))</f>
        <v/>
      </c>
      <c r="I131" s="26">
        <f>IF(OR($C131="",$I$3=""),"",IF(INDEX(입력_인턴근무계획!$M$3:$R$402,$A131,$I$3)&amp;""="","",IF(LEFT(INDEX(입력_인턴근무계획!$M$3:$R$402,$A131,$I$3)&amp;"",1)="⚠",INDEX(입력_인턴근무계획!$M$3:$R$402,$A131,$I$3)&amp;"",LEFT(INDEX(입력_인턴근무계획!$M$3:$R$402,$A131,$I$3)&amp;"",FIND(" ",INDEX(입력_인턴근무계획!$M$3:$R$402,$A131,$I$3)&amp;"")-1))))</f>
        <v/>
      </c>
      <c r="J131" s="26">
        <f>IF(OR($C131="",$I$3=""),"",IF(INDEX(입력_인턴근무계획!$M$3:$R$402,$A131,$I$3)&amp;""="","",IF(LEFT(INDEX(입력_인턴근무계획!$M$3:$R$402,$A131,$I$3)&amp;"",1)="⚠","",MID(INDEX(입력_인턴근무계획!$M$3:$R$402,$A131,$I$3)&amp;"",FIND(" ",INDEX(입력_인턴근무계획!$M$3:$R$402,$A131,$I$3)&amp;"")+1,60))))</f>
        <v/>
      </c>
      <c r="K131" s="26">
        <f>IF($C131="","",INDEX(입력_인턴근무계획!$M$3:$M$402,$A131)&amp;"")</f>
        <v/>
      </c>
      <c r="L131" s="26">
        <f>IF($C131="","",INDEX(입력_인턴근무계획!$N$3:$N$402,$A131)&amp;"")</f>
        <v/>
      </c>
      <c r="M131" s="26">
        <f>IF($C131="","",INDEX(입력_인턴근무계획!$O$3:$O$402,$A131)&amp;"")</f>
        <v/>
      </c>
      <c r="N131" s="26">
        <f>IF($C131="","",INDEX(입력_인턴근무계획!$P$3:$P$402,$A131)&amp;"")</f>
        <v/>
      </c>
      <c r="O131" s="26">
        <f>IF($C131="","",INDEX(입력_인턴근무계획!$Q$3:$Q$402,$A131)&amp;"")</f>
        <v/>
      </c>
      <c r="P131" s="26">
        <f>IF($C131="","",INDEX(입력_인턴근무계획!$R$3:$R$402,$A131)&amp;"")</f>
        <v/>
      </c>
      <c r="Q131" s="26">
        <f>IF($C131="","",INDEX(입력_인턴근무계획!$T$3:$T$402,$A131))</f>
        <v/>
      </c>
    </row>
    <row r="132">
      <c r="A132" s="29" t="n">
        <v>127</v>
      </c>
      <c r="B132" s="26">
        <f>IF($C132="","",INDEX(입력_인턴근무계획!$B$3:$B$402,$A132))</f>
        <v/>
      </c>
      <c r="C132" s="26">
        <f>IFERROR(TRIM(INDEX(입력_인턴근무계획!$C$3:$C$402,$A132)&amp;""),"")</f>
        <v/>
      </c>
      <c r="D132" s="26">
        <f>IF($C132="","",INDEX(입력_인턴근무계획!$D$3:$D$402,$A132))</f>
        <v/>
      </c>
      <c r="E132" s="26">
        <f>IF($C132="","",IF(IFERROR(MATCH($D132,입력_기본자료!$B$2:$B$1001,0),IFERROR(MATCH($D132&amp;"",입력_기본자료!$B$2:$B$1001,0),IFERROR(MATCH(VALUE($D132),입력_기본자료!$B$2:$B$1001,0),0)))&gt;0,"확인","미등록"))</f>
        <v/>
      </c>
      <c r="F132" s="28">
        <f>IF($C132="","",INDEX(입력_인턴근무계획!$S$3:$S$402,$A132))</f>
        <v/>
      </c>
      <c r="G132" s="26">
        <f>IF(OR($C132="",$G$3=""),"",IF(INDEX(입력_인턴근무계획!$M$3:$R$402,$A132,$G$3)&amp;""="","",IF(LEFT(INDEX(입력_인턴근무계획!$M$3:$R$402,$A132,$G$3)&amp;"",1)="⚠",INDEX(입력_인턴근무계획!$M$3:$R$402,$A132,$G$3)&amp;"",LEFT(INDEX(입력_인턴근무계획!$M$3:$R$402,$A132,$G$3)&amp;"",FIND(" ",INDEX(입력_인턴근무계획!$M$3:$R$402,$A132,$G$3)&amp;"")-1))))</f>
        <v/>
      </c>
      <c r="H132" s="26">
        <f>IF(OR($C132="",$G$3=""),"",IF(INDEX(입력_인턴근무계획!$M$3:$R$402,$A132,$G$3)&amp;""="","",IF(LEFT(INDEX(입력_인턴근무계획!$M$3:$R$402,$A132,$G$3)&amp;"",1)="⚠","",MID(INDEX(입력_인턴근무계획!$M$3:$R$402,$A132,$G$3)&amp;"",FIND(" ",INDEX(입력_인턴근무계획!$M$3:$R$402,$A132,$G$3)&amp;"")+1,60))))</f>
        <v/>
      </c>
      <c r="I132" s="26">
        <f>IF(OR($C132="",$I$3=""),"",IF(INDEX(입력_인턴근무계획!$M$3:$R$402,$A132,$I$3)&amp;""="","",IF(LEFT(INDEX(입력_인턴근무계획!$M$3:$R$402,$A132,$I$3)&amp;"",1)="⚠",INDEX(입력_인턴근무계획!$M$3:$R$402,$A132,$I$3)&amp;"",LEFT(INDEX(입력_인턴근무계획!$M$3:$R$402,$A132,$I$3)&amp;"",FIND(" ",INDEX(입력_인턴근무계획!$M$3:$R$402,$A132,$I$3)&amp;"")-1))))</f>
        <v/>
      </c>
      <c r="J132" s="26">
        <f>IF(OR($C132="",$I$3=""),"",IF(INDEX(입력_인턴근무계획!$M$3:$R$402,$A132,$I$3)&amp;""="","",IF(LEFT(INDEX(입력_인턴근무계획!$M$3:$R$402,$A132,$I$3)&amp;"",1)="⚠","",MID(INDEX(입력_인턴근무계획!$M$3:$R$402,$A132,$I$3)&amp;"",FIND(" ",INDEX(입력_인턴근무계획!$M$3:$R$402,$A132,$I$3)&amp;"")+1,60))))</f>
        <v/>
      </c>
      <c r="K132" s="26">
        <f>IF($C132="","",INDEX(입력_인턴근무계획!$M$3:$M$402,$A132)&amp;"")</f>
        <v/>
      </c>
      <c r="L132" s="26">
        <f>IF($C132="","",INDEX(입력_인턴근무계획!$N$3:$N$402,$A132)&amp;"")</f>
        <v/>
      </c>
      <c r="M132" s="26">
        <f>IF($C132="","",INDEX(입력_인턴근무계획!$O$3:$O$402,$A132)&amp;"")</f>
        <v/>
      </c>
      <c r="N132" s="26">
        <f>IF($C132="","",INDEX(입력_인턴근무계획!$P$3:$P$402,$A132)&amp;"")</f>
        <v/>
      </c>
      <c r="O132" s="26">
        <f>IF($C132="","",INDEX(입력_인턴근무계획!$Q$3:$Q$402,$A132)&amp;"")</f>
        <v/>
      </c>
      <c r="P132" s="26">
        <f>IF($C132="","",INDEX(입력_인턴근무계획!$R$3:$R$402,$A132)&amp;"")</f>
        <v/>
      </c>
      <c r="Q132" s="26">
        <f>IF($C132="","",INDEX(입력_인턴근무계획!$T$3:$T$402,$A132))</f>
        <v/>
      </c>
    </row>
    <row r="133">
      <c r="A133" s="29" t="n">
        <v>128</v>
      </c>
      <c r="B133" s="26">
        <f>IF($C133="","",INDEX(입력_인턴근무계획!$B$3:$B$402,$A133))</f>
        <v/>
      </c>
      <c r="C133" s="26">
        <f>IFERROR(TRIM(INDEX(입력_인턴근무계획!$C$3:$C$402,$A133)&amp;""),"")</f>
        <v/>
      </c>
      <c r="D133" s="26">
        <f>IF($C133="","",INDEX(입력_인턴근무계획!$D$3:$D$402,$A133))</f>
        <v/>
      </c>
      <c r="E133" s="26">
        <f>IF($C133="","",IF(IFERROR(MATCH($D133,입력_기본자료!$B$2:$B$1001,0),IFERROR(MATCH($D133&amp;"",입력_기본자료!$B$2:$B$1001,0),IFERROR(MATCH(VALUE($D133),입력_기본자료!$B$2:$B$1001,0),0)))&gt;0,"확인","미등록"))</f>
        <v/>
      </c>
      <c r="F133" s="28">
        <f>IF($C133="","",INDEX(입력_인턴근무계획!$S$3:$S$402,$A133))</f>
        <v/>
      </c>
      <c r="G133" s="26">
        <f>IF(OR($C133="",$G$3=""),"",IF(INDEX(입력_인턴근무계획!$M$3:$R$402,$A133,$G$3)&amp;""="","",IF(LEFT(INDEX(입력_인턴근무계획!$M$3:$R$402,$A133,$G$3)&amp;"",1)="⚠",INDEX(입력_인턴근무계획!$M$3:$R$402,$A133,$G$3)&amp;"",LEFT(INDEX(입력_인턴근무계획!$M$3:$R$402,$A133,$G$3)&amp;"",FIND(" ",INDEX(입력_인턴근무계획!$M$3:$R$402,$A133,$G$3)&amp;"")-1))))</f>
        <v/>
      </c>
      <c r="H133" s="26">
        <f>IF(OR($C133="",$G$3=""),"",IF(INDEX(입력_인턴근무계획!$M$3:$R$402,$A133,$G$3)&amp;""="","",IF(LEFT(INDEX(입력_인턴근무계획!$M$3:$R$402,$A133,$G$3)&amp;"",1)="⚠","",MID(INDEX(입력_인턴근무계획!$M$3:$R$402,$A133,$G$3)&amp;"",FIND(" ",INDEX(입력_인턴근무계획!$M$3:$R$402,$A133,$G$3)&amp;"")+1,60))))</f>
        <v/>
      </c>
      <c r="I133" s="26">
        <f>IF(OR($C133="",$I$3=""),"",IF(INDEX(입력_인턴근무계획!$M$3:$R$402,$A133,$I$3)&amp;""="","",IF(LEFT(INDEX(입력_인턴근무계획!$M$3:$R$402,$A133,$I$3)&amp;"",1)="⚠",INDEX(입력_인턴근무계획!$M$3:$R$402,$A133,$I$3)&amp;"",LEFT(INDEX(입력_인턴근무계획!$M$3:$R$402,$A133,$I$3)&amp;"",FIND(" ",INDEX(입력_인턴근무계획!$M$3:$R$402,$A133,$I$3)&amp;"")-1))))</f>
        <v/>
      </c>
      <c r="J133" s="26">
        <f>IF(OR($C133="",$I$3=""),"",IF(INDEX(입력_인턴근무계획!$M$3:$R$402,$A133,$I$3)&amp;""="","",IF(LEFT(INDEX(입력_인턴근무계획!$M$3:$R$402,$A133,$I$3)&amp;"",1)="⚠","",MID(INDEX(입력_인턴근무계획!$M$3:$R$402,$A133,$I$3)&amp;"",FIND(" ",INDEX(입력_인턴근무계획!$M$3:$R$402,$A133,$I$3)&amp;"")+1,60))))</f>
        <v/>
      </c>
      <c r="K133" s="26">
        <f>IF($C133="","",INDEX(입력_인턴근무계획!$M$3:$M$402,$A133)&amp;"")</f>
        <v/>
      </c>
      <c r="L133" s="26">
        <f>IF($C133="","",INDEX(입력_인턴근무계획!$N$3:$N$402,$A133)&amp;"")</f>
        <v/>
      </c>
      <c r="M133" s="26">
        <f>IF($C133="","",INDEX(입력_인턴근무계획!$O$3:$O$402,$A133)&amp;"")</f>
        <v/>
      </c>
      <c r="N133" s="26">
        <f>IF($C133="","",INDEX(입력_인턴근무계획!$P$3:$P$402,$A133)&amp;"")</f>
        <v/>
      </c>
      <c r="O133" s="26">
        <f>IF($C133="","",INDEX(입력_인턴근무계획!$Q$3:$Q$402,$A133)&amp;"")</f>
        <v/>
      </c>
      <c r="P133" s="26">
        <f>IF($C133="","",INDEX(입력_인턴근무계획!$R$3:$R$402,$A133)&amp;"")</f>
        <v/>
      </c>
      <c r="Q133" s="26">
        <f>IF($C133="","",INDEX(입력_인턴근무계획!$T$3:$T$402,$A133))</f>
        <v/>
      </c>
    </row>
    <row r="134">
      <c r="A134" s="29" t="n">
        <v>129</v>
      </c>
      <c r="B134" s="26">
        <f>IF($C134="","",INDEX(입력_인턴근무계획!$B$3:$B$402,$A134))</f>
        <v/>
      </c>
      <c r="C134" s="26">
        <f>IFERROR(TRIM(INDEX(입력_인턴근무계획!$C$3:$C$402,$A134)&amp;""),"")</f>
        <v/>
      </c>
      <c r="D134" s="26">
        <f>IF($C134="","",INDEX(입력_인턴근무계획!$D$3:$D$402,$A134))</f>
        <v/>
      </c>
      <c r="E134" s="26">
        <f>IF($C134="","",IF(IFERROR(MATCH($D134,입력_기본자료!$B$2:$B$1001,0),IFERROR(MATCH($D134&amp;"",입력_기본자료!$B$2:$B$1001,0),IFERROR(MATCH(VALUE($D134),입력_기본자료!$B$2:$B$1001,0),0)))&gt;0,"확인","미등록"))</f>
        <v/>
      </c>
      <c r="F134" s="28">
        <f>IF($C134="","",INDEX(입력_인턴근무계획!$S$3:$S$402,$A134))</f>
        <v/>
      </c>
      <c r="G134" s="26">
        <f>IF(OR($C134="",$G$3=""),"",IF(INDEX(입력_인턴근무계획!$M$3:$R$402,$A134,$G$3)&amp;""="","",IF(LEFT(INDEX(입력_인턴근무계획!$M$3:$R$402,$A134,$G$3)&amp;"",1)="⚠",INDEX(입력_인턴근무계획!$M$3:$R$402,$A134,$G$3)&amp;"",LEFT(INDEX(입력_인턴근무계획!$M$3:$R$402,$A134,$G$3)&amp;"",FIND(" ",INDEX(입력_인턴근무계획!$M$3:$R$402,$A134,$G$3)&amp;"")-1))))</f>
        <v/>
      </c>
      <c r="H134" s="26">
        <f>IF(OR($C134="",$G$3=""),"",IF(INDEX(입력_인턴근무계획!$M$3:$R$402,$A134,$G$3)&amp;""="","",IF(LEFT(INDEX(입력_인턴근무계획!$M$3:$R$402,$A134,$G$3)&amp;"",1)="⚠","",MID(INDEX(입력_인턴근무계획!$M$3:$R$402,$A134,$G$3)&amp;"",FIND(" ",INDEX(입력_인턴근무계획!$M$3:$R$402,$A134,$G$3)&amp;"")+1,60))))</f>
        <v/>
      </c>
      <c r="I134" s="26">
        <f>IF(OR($C134="",$I$3=""),"",IF(INDEX(입력_인턴근무계획!$M$3:$R$402,$A134,$I$3)&amp;""="","",IF(LEFT(INDEX(입력_인턴근무계획!$M$3:$R$402,$A134,$I$3)&amp;"",1)="⚠",INDEX(입력_인턴근무계획!$M$3:$R$402,$A134,$I$3)&amp;"",LEFT(INDEX(입력_인턴근무계획!$M$3:$R$402,$A134,$I$3)&amp;"",FIND(" ",INDEX(입력_인턴근무계획!$M$3:$R$402,$A134,$I$3)&amp;"")-1))))</f>
        <v/>
      </c>
      <c r="J134" s="26">
        <f>IF(OR($C134="",$I$3=""),"",IF(INDEX(입력_인턴근무계획!$M$3:$R$402,$A134,$I$3)&amp;""="","",IF(LEFT(INDEX(입력_인턴근무계획!$M$3:$R$402,$A134,$I$3)&amp;"",1)="⚠","",MID(INDEX(입력_인턴근무계획!$M$3:$R$402,$A134,$I$3)&amp;"",FIND(" ",INDEX(입력_인턴근무계획!$M$3:$R$402,$A134,$I$3)&amp;"")+1,60))))</f>
        <v/>
      </c>
      <c r="K134" s="26">
        <f>IF($C134="","",INDEX(입력_인턴근무계획!$M$3:$M$402,$A134)&amp;"")</f>
        <v/>
      </c>
      <c r="L134" s="26">
        <f>IF($C134="","",INDEX(입력_인턴근무계획!$N$3:$N$402,$A134)&amp;"")</f>
        <v/>
      </c>
      <c r="M134" s="26">
        <f>IF($C134="","",INDEX(입력_인턴근무계획!$O$3:$O$402,$A134)&amp;"")</f>
        <v/>
      </c>
      <c r="N134" s="26">
        <f>IF($C134="","",INDEX(입력_인턴근무계획!$P$3:$P$402,$A134)&amp;"")</f>
        <v/>
      </c>
      <c r="O134" s="26">
        <f>IF($C134="","",INDEX(입력_인턴근무계획!$Q$3:$Q$402,$A134)&amp;"")</f>
        <v/>
      </c>
      <c r="P134" s="26">
        <f>IF($C134="","",INDEX(입력_인턴근무계획!$R$3:$R$402,$A134)&amp;"")</f>
        <v/>
      </c>
      <c r="Q134" s="26">
        <f>IF($C134="","",INDEX(입력_인턴근무계획!$T$3:$T$402,$A134))</f>
        <v/>
      </c>
    </row>
    <row r="135">
      <c r="A135" s="29" t="n">
        <v>130</v>
      </c>
      <c r="B135" s="26">
        <f>IF($C135="","",INDEX(입력_인턴근무계획!$B$3:$B$402,$A135))</f>
        <v/>
      </c>
      <c r="C135" s="26">
        <f>IFERROR(TRIM(INDEX(입력_인턴근무계획!$C$3:$C$402,$A135)&amp;""),"")</f>
        <v/>
      </c>
      <c r="D135" s="26">
        <f>IF($C135="","",INDEX(입력_인턴근무계획!$D$3:$D$402,$A135))</f>
        <v/>
      </c>
      <c r="E135" s="26">
        <f>IF($C135="","",IF(IFERROR(MATCH($D135,입력_기본자료!$B$2:$B$1001,0),IFERROR(MATCH($D135&amp;"",입력_기본자료!$B$2:$B$1001,0),IFERROR(MATCH(VALUE($D135),입력_기본자료!$B$2:$B$1001,0),0)))&gt;0,"확인","미등록"))</f>
        <v/>
      </c>
      <c r="F135" s="28">
        <f>IF($C135="","",INDEX(입력_인턴근무계획!$S$3:$S$402,$A135))</f>
        <v/>
      </c>
      <c r="G135" s="26">
        <f>IF(OR($C135="",$G$3=""),"",IF(INDEX(입력_인턴근무계획!$M$3:$R$402,$A135,$G$3)&amp;""="","",IF(LEFT(INDEX(입력_인턴근무계획!$M$3:$R$402,$A135,$G$3)&amp;"",1)="⚠",INDEX(입력_인턴근무계획!$M$3:$R$402,$A135,$G$3)&amp;"",LEFT(INDEX(입력_인턴근무계획!$M$3:$R$402,$A135,$G$3)&amp;"",FIND(" ",INDEX(입력_인턴근무계획!$M$3:$R$402,$A135,$G$3)&amp;"")-1))))</f>
        <v/>
      </c>
      <c r="H135" s="26">
        <f>IF(OR($C135="",$G$3=""),"",IF(INDEX(입력_인턴근무계획!$M$3:$R$402,$A135,$G$3)&amp;""="","",IF(LEFT(INDEX(입력_인턴근무계획!$M$3:$R$402,$A135,$G$3)&amp;"",1)="⚠","",MID(INDEX(입력_인턴근무계획!$M$3:$R$402,$A135,$G$3)&amp;"",FIND(" ",INDEX(입력_인턴근무계획!$M$3:$R$402,$A135,$G$3)&amp;"")+1,60))))</f>
        <v/>
      </c>
      <c r="I135" s="26">
        <f>IF(OR($C135="",$I$3=""),"",IF(INDEX(입력_인턴근무계획!$M$3:$R$402,$A135,$I$3)&amp;""="","",IF(LEFT(INDEX(입력_인턴근무계획!$M$3:$R$402,$A135,$I$3)&amp;"",1)="⚠",INDEX(입력_인턴근무계획!$M$3:$R$402,$A135,$I$3)&amp;"",LEFT(INDEX(입력_인턴근무계획!$M$3:$R$402,$A135,$I$3)&amp;"",FIND(" ",INDEX(입력_인턴근무계획!$M$3:$R$402,$A135,$I$3)&amp;"")-1))))</f>
        <v/>
      </c>
      <c r="J135" s="26">
        <f>IF(OR($C135="",$I$3=""),"",IF(INDEX(입력_인턴근무계획!$M$3:$R$402,$A135,$I$3)&amp;""="","",IF(LEFT(INDEX(입력_인턴근무계획!$M$3:$R$402,$A135,$I$3)&amp;"",1)="⚠","",MID(INDEX(입력_인턴근무계획!$M$3:$R$402,$A135,$I$3)&amp;"",FIND(" ",INDEX(입력_인턴근무계획!$M$3:$R$402,$A135,$I$3)&amp;"")+1,60))))</f>
        <v/>
      </c>
      <c r="K135" s="26">
        <f>IF($C135="","",INDEX(입력_인턴근무계획!$M$3:$M$402,$A135)&amp;"")</f>
        <v/>
      </c>
      <c r="L135" s="26">
        <f>IF($C135="","",INDEX(입력_인턴근무계획!$N$3:$N$402,$A135)&amp;"")</f>
        <v/>
      </c>
      <c r="M135" s="26">
        <f>IF($C135="","",INDEX(입력_인턴근무계획!$O$3:$O$402,$A135)&amp;"")</f>
        <v/>
      </c>
      <c r="N135" s="26">
        <f>IF($C135="","",INDEX(입력_인턴근무계획!$P$3:$P$402,$A135)&amp;"")</f>
        <v/>
      </c>
      <c r="O135" s="26">
        <f>IF($C135="","",INDEX(입력_인턴근무계획!$Q$3:$Q$402,$A135)&amp;"")</f>
        <v/>
      </c>
      <c r="P135" s="26">
        <f>IF($C135="","",INDEX(입력_인턴근무계획!$R$3:$R$402,$A135)&amp;"")</f>
        <v/>
      </c>
      <c r="Q135" s="26">
        <f>IF($C135="","",INDEX(입력_인턴근무계획!$T$3:$T$402,$A135))</f>
        <v/>
      </c>
    </row>
    <row r="136">
      <c r="A136" s="29" t="n">
        <v>131</v>
      </c>
      <c r="B136" s="26">
        <f>IF($C136="","",INDEX(입력_인턴근무계획!$B$3:$B$402,$A136))</f>
        <v/>
      </c>
      <c r="C136" s="26">
        <f>IFERROR(TRIM(INDEX(입력_인턴근무계획!$C$3:$C$402,$A136)&amp;""),"")</f>
        <v/>
      </c>
      <c r="D136" s="26">
        <f>IF($C136="","",INDEX(입력_인턴근무계획!$D$3:$D$402,$A136))</f>
        <v/>
      </c>
      <c r="E136" s="26">
        <f>IF($C136="","",IF(IFERROR(MATCH($D136,입력_기본자료!$B$2:$B$1001,0),IFERROR(MATCH($D136&amp;"",입력_기본자료!$B$2:$B$1001,0),IFERROR(MATCH(VALUE($D136),입력_기본자료!$B$2:$B$1001,0),0)))&gt;0,"확인","미등록"))</f>
        <v/>
      </c>
      <c r="F136" s="28">
        <f>IF($C136="","",INDEX(입력_인턴근무계획!$S$3:$S$402,$A136))</f>
        <v/>
      </c>
      <c r="G136" s="26">
        <f>IF(OR($C136="",$G$3=""),"",IF(INDEX(입력_인턴근무계획!$M$3:$R$402,$A136,$G$3)&amp;""="","",IF(LEFT(INDEX(입력_인턴근무계획!$M$3:$R$402,$A136,$G$3)&amp;"",1)="⚠",INDEX(입력_인턴근무계획!$M$3:$R$402,$A136,$G$3)&amp;"",LEFT(INDEX(입력_인턴근무계획!$M$3:$R$402,$A136,$G$3)&amp;"",FIND(" ",INDEX(입력_인턴근무계획!$M$3:$R$402,$A136,$G$3)&amp;"")-1))))</f>
        <v/>
      </c>
      <c r="H136" s="26">
        <f>IF(OR($C136="",$G$3=""),"",IF(INDEX(입력_인턴근무계획!$M$3:$R$402,$A136,$G$3)&amp;""="","",IF(LEFT(INDEX(입력_인턴근무계획!$M$3:$R$402,$A136,$G$3)&amp;"",1)="⚠","",MID(INDEX(입력_인턴근무계획!$M$3:$R$402,$A136,$G$3)&amp;"",FIND(" ",INDEX(입력_인턴근무계획!$M$3:$R$402,$A136,$G$3)&amp;"")+1,60))))</f>
        <v/>
      </c>
      <c r="I136" s="26">
        <f>IF(OR($C136="",$I$3=""),"",IF(INDEX(입력_인턴근무계획!$M$3:$R$402,$A136,$I$3)&amp;""="","",IF(LEFT(INDEX(입력_인턴근무계획!$M$3:$R$402,$A136,$I$3)&amp;"",1)="⚠",INDEX(입력_인턴근무계획!$M$3:$R$402,$A136,$I$3)&amp;"",LEFT(INDEX(입력_인턴근무계획!$M$3:$R$402,$A136,$I$3)&amp;"",FIND(" ",INDEX(입력_인턴근무계획!$M$3:$R$402,$A136,$I$3)&amp;"")-1))))</f>
        <v/>
      </c>
      <c r="J136" s="26">
        <f>IF(OR($C136="",$I$3=""),"",IF(INDEX(입력_인턴근무계획!$M$3:$R$402,$A136,$I$3)&amp;""="","",IF(LEFT(INDEX(입력_인턴근무계획!$M$3:$R$402,$A136,$I$3)&amp;"",1)="⚠","",MID(INDEX(입력_인턴근무계획!$M$3:$R$402,$A136,$I$3)&amp;"",FIND(" ",INDEX(입력_인턴근무계획!$M$3:$R$402,$A136,$I$3)&amp;"")+1,60))))</f>
        <v/>
      </c>
      <c r="K136" s="26">
        <f>IF($C136="","",INDEX(입력_인턴근무계획!$M$3:$M$402,$A136)&amp;"")</f>
        <v/>
      </c>
      <c r="L136" s="26">
        <f>IF($C136="","",INDEX(입력_인턴근무계획!$N$3:$N$402,$A136)&amp;"")</f>
        <v/>
      </c>
      <c r="M136" s="26">
        <f>IF($C136="","",INDEX(입력_인턴근무계획!$O$3:$O$402,$A136)&amp;"")</f>
        <v/>
      </c>
      <c r="N136" s="26">
        <f>IF($C136="","",INDEX(입력_인턴근무계획!$P$3:$P$402,$A136)&amp;"")</f>
        <v/>
      </c>
      <c r="O136" s="26">
        <f>IF($C136="","",INDEX(입력_인턴근무계획!$Q$3:$Q$402,$A136)&amp;"")</f>
        <v/>
      </c>
      <c r="P136" s="26">
        <f>IF($C136="","",INDEX(입력_인턴근무계획!$R$3:$R$402,$A136)&amp;"")</f>
        <v/>
      </c>
      <c r="Q136" s="26">
        <f>IF($C136="","",INDEX(입력_인턴근무계획!$T$3:$T$402,$A136))</f>
        <v/>
      </c>
    </row>
    <row r="137">
      <c r="A137" s="29" t="n">
        <v>132</v>
      </c>
      <c r="B137" s="26">
        <f>IF($C137="","",INDEX(입력_인턴근무계획!$B$3:$B$402,$A137))</f>
        <v/>
      </c>
      <c r="C137" s="26">
        <f>IFERROR(TRIM(INDEX(입력_인턴근무계획!$C$3:$C$402,$A137)&amp;""),"")</f>
        <v/>
      </c>
      <c r="D137" s="26">
        <f>IF($C137="","",INDEX(입력_인턴근무계획!$D$3:$D$402,$A137))</f>
        <v/>
      </c>
      <c r="E137" s="26">
        <f>IF($C137="","",IF(IFERROR(MATCH($D137,입력_기본자료!$B$2:$B$1001,0),IFERROR(MATCH($D137&amp;"",입력_기본자료!$B$2:$B$1001,0),IFERROR(MATCH(VALUE($D137),입력_기본자료!$B$2:$B$1001,0),0)))&gt;0,"확인","미등록"))</f>
        <v/>
      </c>
      <c r="F137" s="28">
        <f>IF($C137="","",INDEX(입력_인턴근무계획!$S$3:$S$402,$A137))</f>
        <v/>
      </c>
      <c r="G137" s="26">
        <f>IF(OR($C137="",$G$3=""),"",IF(INDEX(입력_인턴근무계획!$M$3:$R$402,$A137,$G$3)&amp;""="","",IF(LEFT(INDEX(입력_인턴근무계획!$M$3:$R$402,$A137,$G$3)&amp;"",1)="⚠",INDEX(입력_인턴근무계획!$M$3:$R$402,$A137,$G$3)&amp;"",LEFT(INDEX(입력_인턴근무계획!$M$3:$R$402,$A137,$G$3)&amp;"",FIND(" ",INDEX(입력_인턴근무계획!$M$3:$R$402,$A137,$G$3)&amp;"")-1))))</f>
        <v/>
      </c>
      <c r="H137" s="26">
        <f>IF(OR($C137="",$G$3=""),"",IF(INDEX(입력_인턴근무계획!$M$3:$R$402,$A137,$G$3)&amp;""="","",IF(LEFT(INDEX(입력_인턴근무계획!$M$3:$R$402,$A137,$G$3)&amp;"",1)="⚠","",MID(INDEX(입력_인턴근무계획!$M$3:$R$402,$A137,$G$3)&amp;"",FIND(" ",INDEX(입력_인턴근무계획!$M$3:$R$402,$A137,$G$3)&amp;"")+1,60))))</f>
        <v/>
      </c>
      <c r="I137" s="26">
        <f>IF(OR($C137="",$I$3=""),"",IF(INDEX(입력_인턴근무계획!$M$3:$R$402,$A137,$I$3)&amp;""="","",IF(LEFT(INDEX(입력_인턴근무계획!$M$3:$R$402,$A137,$I$3)&amp;"",1)="⚠",INDEX(입력_인턴근무계획!$M$3:$R$402,$A137,$I$3)&amp;"",LEFT(INDEX(입력_인턴근무계획!$M$3:$R$402,$A137,$I$3)&amp;"",FIND(" ",INDEX(입력_인턴근무계획!$M$3:$R$402,$A137,$I$3)&amp;"")-1))))</f>
        <v/>
      </c>
      <c r="J137" s="26">
        <f>IF(OR($C137="",$I$3=""),"",IF(INDEX(입력_인턴근무계획!$M$3:$R$402,$A137,$I$3)&amp;""="","",IF(LEFT(INDEX(입력_인턴근무계획!$M$3:$R$402,$A137,$I$3)&amp;"",1)="⚠","",MID(INDEX(입력_인턴근무계획!$M$3:$R$402,$A137,$I$3)&amp;"",FIND(" ",INDEX(입력_인턴근무계획!$M$3:$R$402,$A137,$I$3)&amp;"")+1,60))))</f>
        <v/>
      </c>
      <c r="K137" s="26">
        <f>IF($C137="","",INDEX(입력_인턴근무계획!$M$3:$M$402,$A137)&amp;"")</f>
        <v/>
      </c>
      <c r="L137" s="26">
        <f>IF($C137="","",INDEX(입력_인턴근무계획!$N$3:$N$402,$A137)&amp;"")</f>
        <v/>
      </c>
      <c r="M137" s="26">
        <f>IF($C137="","",INDEX(입력_인턴근무계획!$O$3:$O$402,$A137)&amp;"")</f>
        <v/>
      </c>
      <c r="N137" s="26">
        <f>IF($C137="","",INDEX(입력_인턴근무계획!$P$3:$P$402,$A137)&amp;"")</f>
        <v/>
      </c>
      <c r="O137" s="26">
        <f>IF($C137="","",INDEX(입력_인턴근무계획!$Q$3:$Q$402,$A137)&amp;"")</f>
        <v/>
      </c>
      <c r="P137" s="26">
        <f>IF($C137="","",INDEX(입력_인턴근무계획!$R$3:$R$402,$A137)&amp;"")</f>
        <v/>
      </c>
      <c r="Q137" s="26">
        <f>IF($C137="","",INDEX(입력_인턴근무계획!$T$3:$T$402,$A137))</f>
        <v/>
      </c>
    </row>
    <row r="138">
      <c r="A138" s="29" t="n">
        <v>133</v>
      </c>
      <c r="B138" s="26">
        <f>IF($C138="","",INDEX(입력_인턴근무계획!$B$3:$B$402,$A138))</f>
        <v/>
      </c>
      <c r="C138" s="26">
        <f>IFERROR(TRIM(INDEX(입력_인턴근무계획!$C$3:$C$402,$A138)&amp;""),"")</f>
        <v/>
      </c>
      <c r="D138" s="26">
        <f>IF($C138="","",INDEX(입력_인턴근무계획!$D$3:$D$402,$A138))</f>
        <v/>
      </c>
      <c r="E138" s="26">
        <f>IF($C138="","",IF(IFERROR(MATCH($D138,입력_기본자료!$B$2:$B$1001,0),IFERROR(MATCH($D138&amp;"",입력_기본자료!$B$2:$B$1001,0),IFERROR(MATCH(VALUE($D138),입력_기본자료!$B$2:$B$1001,0),0)))&gt;0,"확인","미등록"))</f>
        <v/>
      </c>
      <c r="F138" s="28">
        <f>IF($C138="","",INDEX(입력_인턴근무계획!$S$3:$S$402,$A138))</f>
        <v/>
      </c>
      <c r="G138" s="26">
        <f>IF(OR($C138="",$G$3=""),"",IF(INDEX(입력_인턴근무계획!$M$3:$R$402,$A138,$G$3)&amp;""="","",IF(LEFT(INDEX(입력_인턴근무계획!$M$3:$R$402,$A138,$G$3)&amp;"",1)="⚠",INDEX(입력_인턴근무계획!$M$3:$R$402,$A138,$G$3)&amp;"",LEFT(INDEX(입력_인턴근무계획!$M$3:$R$402,$A138,$G$3)&amp;"",FIND(" ",INDEX(입력_인턴근무계획!$M$3:$R$402,$A138,$G$3)&amp;"")-1))))</f>
        <v/>
      </c>
      <c r="H138" s="26">
        <f>IF(OR($C138="",$G$3=""),"",IF(INDEX(입력_인턴근무계획!$M$3:$R$402,$A138,$G$3)&amp;""="","",IF(LEFT(INDEX(입력_인턴근무계획!$M$3:$R$402,$A138,$G$3)&amp;"",1)="⚠","",MID(INDEX(입력_인턴근무계획!$M$3:$R$402,$A138,$G$3)&amp;"",FIND(" ",INDEX(입력_인턴근무계획!$M$3:$R$402,$A138,$G$3)&amp;"")+1,60))))</f>
        <v/>
      </c>
      <c r="I138" s="26">
        <f>IF(OR($C138="",$I$3=""),"",IF(INDEX(입력_인턴근무계획!$M$3:$R$402,$A138,$I$3)&amp;""="","",IF(LEFT(INDEX(입력_인턴근무계획!$M$3:$R$402,$A138,$I$3)&amp;"",1)="⚠",INDEX(입력_인턴근무계획!$M$3:$R$402,$A138,$I$3)&amp;"",LEFT(INDEX(입력_인턴근무계획!$M$3:$R$402,$A138,$I$3)&amp;"",FIND(" ",INDEX(입력_인턴근무계획!$M$3:$R$402,$A138,$I$3)&amp;"")-1))))</f>
        <v/>
      </c>
      <c r="J138" s="26">
        <f>IF(OR($C138="",$I$3=""),"",IF(INDEX(입력_인턴근무계획!$M$3:$R$402,$A138,$I$3)&amp;""="","",IF(LEFT(INDEX(입력_인턴근무계획!$M$3:$R$402,$A138,$I$3)&amp;"",1)="⚠","",MID(INDEX(입력_인턴근무계획!$M$3:$R$402,$A138,$I$3)&amp;"",FIND(" ",INDEX(입력_인턴근무계획!$M$3:$R$402,$A138,$I$3)&amp;"")+1,60))))</f>
        <v/>
      </c>
      <c r="K138" s="26">
        <f>IF($C138="","",INDEX(입력_인턴근무계획!$M$3:$M$402,$A138)&amp;"")</f>
        <v/>
      </c>
      <c r="L138" s="26">
        <f>IF($C138="","",INDEX(입력_인턴근무계획!$N$3:$N$402,$A138)&amp;"")</f>
        <v/>
      </c>
      <c r="M138" s="26">
        <f>IF($C138="","",INDEX(입력_인턴근무계획!$O$3:$O$402,$A138)&amp;"")</f>
        <v/>
      </c>
      <c r="N138" s="26">
        <f>IF($C138="","",INDEX(입력_인턴근무계획!$P$3:$P$402,$A138)&amp;"")</f>
        <v/>
      </c>
      <c r="O138" s="26">
        <f>IF($C138="","",INDEX(입력_인턴근무계획!$Q$3:$Q$402,$A138)&amp;"")</f>
        <v/>
      </c>
      <c r="P138" s="26">
        <f>IF($C138="","",INDEX(입력_인턴근무계획!$R$3:$R$402,$A138)&amp;"")</f>
        <v/>
      </c>
      <c r="Q138" s="26">
        <f>IF($C138="","",INDEX(입력_인턴근무계획!$T$3:$T$402,$A138))</f>
        <v/>
      </c>
    </row>
    <row r="139">
      <c r="A139" s="29" t="n">
        <v>134</v>
      </c>
      <c r="B139" s="26">
        <f>IF($C139="","",INDEX(입력_인턴근무계획!$B$3:$B$402,$A139))</f>
        <v/>
      </c>
      <c r="C139" s="26">
        <f>IFERROR(TRIM(INDEX(입력_인턴근무계획!$C$3:$C$402,$A139)&amp;""),"")</f>
        <v/>
      </c>
      <c r="D139" s="26">
        <f>IF($C139="","",INDEX(입력_인턴근무계획!$D$3:$D$402,$A139))</f>
        <v/>
      </c>
      <c r="E139" s="26">
        <f>IF($C139="","",IF(IFERROR(MATCH($D139,입력_기본자료!$B$2:$B$1001,0),IFERROR(MATCH($D139&amp;"",입력_기본자료!$B$2:$B$1001,0),IFERROR(MATCH(VALUE($D139),입력_기본자료!$B$2:$B$1001,0),0)))&gt;0,"확인","미등록"))</f>
        <v/>
      </c>
      <c r="F139" s="28">
        <f>IF($C139="","",INDEX(입력_인턴근무계획!$S$3:$S$402,$A139))</f>
        <v/>
      </c>
      <c r="G139" s="26">
        <f>IF(OR($C139="",$G$3=""),"",IF(INDEX(입력_인턴근무계획!$M$3:$R$402,$A139,$G$3)&amp;""="","",IF(LEFT(INDEX(입력_인턴근무계획!$M$3:$R$402,$A139,$G$3)&amp;"",1)="⚠",INDEX(입력_인턴근무계획!$M$3:$R$402,$A139,$G$3)&amp;"",LEFT(INDEX(입력_인턴근무계획!$M$3:$R$402,$A139,$G$3)&amp;"",FIND(" ",INDEX(입력_인턴근무계획!$M$3:$R$402,$A139,$G$3)&amp;"")-1))))</f>
        <v/>
      </c>
      <c r="H139" s="26">
        <f>IF(OR($C139="",$G$3=""),"",IF(INDEX(입력_인턴근무계획!$M$3:$R$402,$A139,$G$3)&amp;""="","",IF(LEFT(INDEX(입력_인턴근무계획!$M$3:$R$402,$A139,$G$3)&amp;"",1)="⚠","",MID(INDEX(입력_인턴근무계획!$M$3:$R$402,$A139,$G$3)&amp;"",FIND(" ",INDEX(입력_인턴근무계획!$M$3:$R$402,$A139,$G$3)&amp;"")+1,60))))</f>
        <v/>
      </c>
      <c r="I139" s="26">
        <f>IF(OR($C139="",$I$3=""),"",IF(INDEX(입력_인턴근무계획!$M$3:$R$402,$A139,$I$3)&amp;""="","",IF(LEFT(INDEX(입력_인턴근무계획!$M$3:$R$402,$A139,$I$3)&amp;"",1)="⚠",INDEX(입력_인턴근무계획!$M$3:$R$402,$A139,$I$3)&amp;"",LEFT(INDEX(입력_인턴근무계획!$M$3:$R$402,$A139,$I$3)&amp;"",FIND(" ",INDEX(입력_인턴근무계획!$M$3:$R$402,$A139,$I$3)&amp;"")-1))))</f>
        <v/>
      </c>
      <c r="J139" s="26">
        <f>IF(OR($C139="",$I$3=""),"",IF(INDEX(입력_인턴근무계획!$M$3:$R$402,$A139,$I$3)&amp;""="","",IF(LEFT(INDEX(입력_인턴근무계획!$M$3:$R$402,$A139,$I$3)&amp;"",1)="⚠","",MID(INDEX(입력_인턴근무계획!$M$3:$R$402,$A139,$I$3)&amp;"",FIND(" ",INDEX(입력_인턴근무계획!$M$3:$R$402,$A139,$I$3)&amp;"")+1,60))))</f>
        <v/>
      </c>
      <c r="K139" s="26">
        <f>IF($C139="","",INDEX(입력_인턴근무계획!$M$3:$M$402,$A139)&amp;"")</f>
        <v/>
      </c>
      <c r="L139" s="26">
        <f>IF($C139="","",INDEX(입력_인턴근무계획!$N$3:$N$402,$A139)&amp;"")</f>
        <v/>
      </c>
      <c r="M139" s="26">
        <f>IF($C139="","",INDEX(입력_인턴근무계획!$O$3:$O$402,$A139)&amp;"")</f>
        <v/>
      </c>
      <c r="N139" s="26">
        <f>IF($C139="","",INDEX(입력_인턴근무계획!$P$3:$P$402,$A139)&amp;"")</f>
        <v/>
      </c>
      <c r="O139" s="26">
        <f>IF($C139="","",INDEX(입력_인턴근무계획!$Q$3:$Q$402,$A139)&amp;"")</f>
        <v/>
      </c>
      <c r="P139" s="26">
        <f>IF($C139="","",INDEX(입력_인턴근무계획!$R$3:$R$402,$A139)&amp;"")</f>
        <v/>
      </c>
      <c r="Q139" s="26">
        <f>IF($C139="","",INDEX(입력_인턴근무계획!$T$3:$T$402,$A139))</f>
        <v/>
      </c>
    </row>
    <row r="140">
      <c r="A140" s="29" t="n">
        <v>135</v>
      </c>
      <c r="B140" s="26">
        <f>IF($C140="","",INDEX(입력_인턴근무계획!$B$3:$B$402,$A140))</f>
        <v/>
      </c>
      <c r="C140" s="26">
        <f>IFERROR(TRIM(INDEX(입력_인턴근무계획!$C$3:$C$402,$A140)&amp;""),"")</f>
        <v/>
      </c>
      <c r="D140" s="26">
        <f>IF($C140="","",INDEX(입력_인턴근무계획!$D$3:$D$402,$A140))</f>
        <v/>
      </c>
      <c r="E140" s="26">
        <f>IF($C140="","",IF(IFERROR(MATCH($D140,입력_기본자료!$B$2:$B$1001,0),IFERROR(MATCH($D140&amp;"",입력_기본자료!$B$2:$B$1001,0),IFERROR(MATCH(VALUE($D140),입력_기본자료!$B$2:$B$1001,0),0)))&gt;0,"확인","미등록"))</f>
        <v/>
      </c>
      <c r="F140" s="28">
        <f>IF($C140="","",INDEX(입력_인턴근무계획!$S$3:$S$402,$A140))</f>
        <v/>
      </c>
      <c r="G140" s="26">
        <f>IF(OR($C140="",$G$3=""),"",IF(INDEX(입력_인턴근무계획!$M$3:$R$402,$A140,$G$3)&amp;""="","",IF(LEFT(INDEX(입력_인턴근무계획!$M$3:$R$402,$A140,$G$3)&amp;"",1)="⚠",INDEX(입력_인턴근무계획!$M$3:$R$402,$A140,$G$3)&amp;"",LEFT(INDEX(입력_인턴근무계획!$M$3:$R$402,$A140,$G$3)&amp;"",FIND(" ",INDEX(입력_인턴근무계획!$M$3:$R$402,$A140,$G$3)&amp;"")-1))))</f>
        <v/>
      </c>
      <c r="H140" s="26">
        <f>IF(OR($C140="",$G$3=""),"",IF(INDEX(입력_인턴근무계획!$M$3:$R$402,$A140,$G$3)&amp;""="","",IF(LEFT(INDEX(입력_인턴근무계획!$M$3:$R$402,$A140,$G$3)&amp;"",1)="⚠","",MID(INDEX(입력_인턴근무계획!$M$3:$R$402,$A140,$G$3)&amp;"",FIND(" ",INDEX(입력_인턴근무계획!$M$3:$R$402,$A140,$G$3)&amp;"")+1,60))))</f>
        <v/>
      </c>
      <c r="I140" s="26">
        <f>IF(OR($C140="",$I$3=""),"",IF(INDEX(입력_인턴근무계획!$M$3:$R$402,$A140,$I$3)&amp;""="","",IF(LEFT(INDEX(입력_인턴근무계획!$M$3:$R$402,$A140,$I$3)&amp;"",1)="⚠",INDEX(입력_인턴근무계획!$M$3:$R$402,$A140,$I$3)&amp;"",LEFT(INDEX(입력_인턴근무계획!$M$3:$R$402,$A140,$I$3)&amp;"",FIND(" ",INDEX(입력_인턴근무계획!$M$3:$R$402,$A140,$I$3)&amp;"")-1))))</f>
        <v/>
      </c>
      <c r="J140" s="26">
        <f>IF(OR($C140="",$I$3=""),"",IF(INDEX(입력_인턴근무계획!$M$3:$R$402,$A140,$I$3)&amp;""="","",IF(LEFT(INDEX(입력_인턴근무계획!$M$3:$R$402,$A140,$I$3)&amp;"",1)="⚠","",MID(INDEX(입력_인턴근무계획!$M$3:$R$402,$A140,$I$3)&amp;"",FIND(" ",INDEX(입력_인턴근무계획!$M$3:$R$402,$A140,$I$3)&amp;"")+1,60))))</f>
        <v/>
      </c>
      <c r="K140" s="26">
        <f>IF($C140="","",INDEX(입력_인턴근무계획!$M$3:$M$402,$A140)&amp;"")</f>
        <v/>
      </c>
      <c r="L140" s="26">
        <f>IF($C140="","",INDEX(입력_인턴근무계획!$N$3:$N$402,$A140)&amp;"")</f>
        <v/>
      </c>
      <c r="M140" s="26">
        <f>IF($C140="","",INDEX(입력_인턴근무계획!$O$3:$O$402,$A140)&amp;"")</f>
        <v/>
      </c>
      <c r="N140" s="26">
        <f>IF($C140="","",INDEX(입력_인턴근무계획!$P$3:$P$402,$A140)&amp;"")</f>
        <v/>
      </c>
      <c r="O140" s="26">
        <f>IF($C140="","",INDEX(입력_인턴근무계획!$Q$3:$Q$402,$A140)&amp;"")</f>
        <v/>
      </c>
      <c r="P140" s="26">
        <f>IF($C140="","",INDEX(입력_인턴근무계획!$R$3:$R$402,$A140)&amp;"")</f>
        <v/>
      </c>
      <c r="Q140" s="26">
        <f>IF($C140="","",INDEX(입력_인턴근무계획!$T$3:$T$402,$A140))</f>
        <v/>
      </c>
    </row>
    <row r="141">
      <c r="A141" s="29" t="n">
        <v>136</v>
      </c>
      <c r="B141" s="26">
        <f>IF($C141="","",INDEX(입력_인턴근무계획!$B$3:$B$402,$A141))</f>
        <v/>
      </c>
      <c r="C141" s="26">
        <f>IFERROR(TRIM(INDEX(입력_인턴근무계획!$C$3:$C$402,$A141)&amp;""),"")</f>
        <v/>
      </c>
      <c r="D141" s="26">
        <f>IF($C141="","",INDEX(입력_인턴근무계획!$D$3:$D$402,$A141))</f>
        <v/>
      </c>
      <c r="E141" s="26">
        <f>IF($C141="","",IF(IFERROR(MATCH($D141,입력_기본자료!$B$2:$B$1001,0),IFERROR(MATCH($D141&amp;"",입력_기본자료!$B$2:$B$1001,0),IFERROR(MATCH(VALUE($D141),입력_기본자료!$B$2:$B$1001,0),0)))&gt;0,"확인","미등록"))</f>
        <v/>
      </c>
      <c r="F141" s="28">
        <f>IF($C141="","",INDEX(입력_인턴근무계획!$S$3:$S$402,$A141))</f>
        <v/>
      </c>
      <c r="G141" s="26">
        <f>IF(OR($C141="",$G$3=""),"",IF(INDEX(입력_인턴근무계획!$M$3:$R$402,$A141,$G$3)&amp;""="","",IF(LEFT(INDEX(입력_인턴근무계획!$M$3:$R$402,$A141,$G$3)&amp;"",1)="⚠",INDEX(입력_인턴근무계획!$M$3:$R$402,$A141,$G$3)&amp;"",LEFT(INDEX(입력_인턴근무계획!$M$3:$R$402,$A141,$G$3)&amp;"",FIND(" ",INDEX(입력_인턴근무계획!$M$3:$R$402,$A141,$G$3)&amp;"")-1))))</f>
        <v/>
      </c>
      <c r="H141" s="26">
        <f>IF(OR($C141="",$G$3=""),"",IF(INDEX(입력_인턴근무계획!$M$3:$R$402,$A141,$G$3)&amp;""="","",IF(LEFT(INDEX(입력_인턴근무계획!$M$3:$R$402,$A141,$G$3)&amp;"",1)="⚠","",MID(INDEX(입력_인턴근무계획!$M$3:$R$402,$A141,$G$3)&amp;"",FIND(" ",INDEX(입력_인턴근무계획!$M$3:$R$402,$A141,$G$3)&amp;"")+1,60))))</f>
        <v/>
      </c>
      <c r="I141" s="26">
        <f>IF(OR($C141="",$I$3=""),"",IF(INDEX(입력_인턴근무계획!$M$3:$R$402,$A141,$I$3)&amp;""="","",IF(LEFT(INDEX(입력_인턴근무계획!$M$3:$R$402,$A141,$I$3)&amp;"",1)="⚠",INDEX(입력_인턴근무계획!$M$3:$R$402,$A141,$I$3)&amp;"",LEFT(INDEX(입력_인턴근무계획!$M$3:$R$402,$A141,$I$3)&amp;"",FIND(" ",INDEX(입력_인턴근무계획!$M$3:$R$402,$A141,$I$3)&amp;"")-1))))</f>
        <v/>
      </c>
      <c r="J141" s="26">
        <f>IF(OR($C141="",$I$3=""),"",IF(INDEX(입력_인턴근무계획!$M$3:$R$402,$A141,$I$3)&amp;""="","",IF(LEFT(INDEX(입력_인턴근무계획!$M$3:$R$402,$A141,$I$3)&amp;"",1)="⚠","",MID(INDEX(입력_인턴근무계획!$M$3:$R$402,$A141,$I$3)&amp;"",FIND(" ",INDEX(입력_인턴근무계획!$M$3:$R$402,$A141,$I$3)&amp;"")+1,60))))</f>
        <v/>
      </c>
      <c r="K141" s="26">
        <f>IF($C141="","",INDEX(입력_인턴근무계획!$M$3:$M$402,$A141)&amp;"")</f>
        <v/>
      </c>
      <c r="L141" s="26">
        <f>IF($C141="","",INDEX(입력_인턴근무계획!$N$3:$N$402,$A141)&amp;"")</f>
        <v/>
      </c>
      <c r="M141" s="26">
        <f>IF($C141="","",INDEX(입력_인턴근무계획!$O$3:$O$402,$A141)&amp;"")</f>
        <v/>
      </c>
      <c r="N141" s="26">
        <f>IF($C141="","",INDEX(입력_인턴근무계획!$P$3:$P$402,$A141)&amp;"")</f>
        <v/>
      </c>
      <c r="O141" s="26">
        <f>IF($C141="","",INDEX(입력_인턴근무계획!$Q$3:$Q$402,$A141)&amp;"")</f>
        <v/>
      </c>
      <c r="P141" s="26">
        <f>IF($C141="","",INDEX(입력_인턴근무계획!$R$3:$R$402,$A141)&amp;"")</f>
        <v/>
      </c>
      <c r="Q141" s="26">
        <f>IF($C141="","",INDEX(입력_인턴근무계획!$T$3:$T$402,$A141))</f>
        <v/>
      </c>
    </row>
    <row r="142">
      <c r="A142" s="29" t="n">
        <v>137</v>
      </c>
      <c r="B142" s="26">
        <f>IF($C142="","",INDEX(입력_인턴근무계획!$B$3:$B$402,$A142))</f>
        <v/>
      </c>
      <c r="C142" s="26">
        <f>IFERROR(TRIM(INDEX(입력_인턴근무계획!$C$3:$C$402,$A142)&amp;""),"")</f>
        <v/>
      </c>
      <c r="D142" s="26">
        <f>IF($C142="","",INDEX(입력_인턴근무계획!$D$3:$D$402,$A142))</f>
        <v/>
      </c>
      <c r="E142" s="26">
        <f>IF($C142="","",IF(IFERROR(MATCH($D142,입력_기본자료!$B$2:$B$1001,0),IFERROR(MATCH($D142&amp;"",입력_기본자료!$B$2:$B$1001,0),IFERROR(MATCH(VALUE($D142),입력_기본자료!$B$2:$B$1001,0),0)))&gt;0,"확인","미등록"))</f>
        <v/>
      </c>
      <c r="F142" s="28">
        <f>IF($C142="","",INDEX(입력_인턴근무계획!$S$3:$S$402,$A142))</f>
        <v/>
      </c>
      <c r="G142" s="26">
        <f>IF(OR($C142="",$G$3=""),"",IF(INDEX(입력_인턴근무계획!$M$3:$R$402,$A142,$G$3)&amp;""="","",IF(LEFT(INDEX(입력_인턴근무계획!$M$3:$R$402,$A142,$G$3)&amp;"",1)="⚠",INDEX(입력_인턴근무계획!$M$3:$R$402,$A142,$G$3)&amp;"",LEFT(INDEX(입력_인턴근무계획!$M$3:$R$402,$A142,$G$3)&amp;"",FIND(" ",INDEX(입력_인턴근무계획!$M$3:$R$402,$A142,$G$3)&amp;"")-1))))</f>
        <v/>
      </c>
      <c r="H142" s="26">
        <f>IF(OR($C142="",$G$3=""),"",IF(INDEX(입력_인턴근무계획!$M$3:$R$402,$A142,$G$3)&amp;""="","",IF(LEFT(INDEX(입력_인턴근무계획!$M$3:$R$402,$A142,$G$3)&amp;"",1)="⚠","",MID(INDEX(입력_인턴근무계획!$M$3:$R$402,$A142,$G$3)&amp;"",FIND(" ",INDEX(입력_인턴근무계획!$M$3:$R$402,$A142,$G$3)&amp;"")+1,60))))</f>
        <v/>
      </c>
      <c r="I142" s="26">
        <f>IF(OR($C142="",$I$3=""),"",IF(INDEX(입력_인턴근무계획!$M$3:$R$402,$A142,$I$3)&amp;""="","",IF(LEFT(INDEX(입력_인턴근무계획!$M$3:$R$402,$A142,$I$3)&amp;"",1)="⚠",INDEX(입력_인턴근무계획!$M$3:$R$402,$A142,$I$3)&amp;"",LEFT(INDEX(입력_인턴근무계획!$M$3:$R$402,$A142,$I$3)&amp;"",FIND(" ",INDEX(입력_인턴근무계획!$M$3:$R$402,$A142,$I$3)&amp;"")-1))))</f>
        <v/>
      </c>
      <c r="J142" s="26">
        <f>IF(OR($C142="",$I$3=""),"",IF(INDEX(입력_인턴근무계획!$M$3:$R$402,$A142,$I$3)&amp;""="","",IF(LEFT(INDEX(입력_인턴근무계획!$M$3:$R$402,$A142,$I$3)&amp;"",1)="⚠","",MID(INDEX(입력_인턴근무계획!$M$3:$R$402,$A142,$I$3)&amp;"",FIND(" ",INDEX(입력_인턴근무계획!$M$3:$R$402,$A142,$I$3)&amp;"")+1,60))))</f>
        <v/>
      </c>
      <c r="K142" s="26">
        <f>IF($C142="","",INDEX(입력_인턴근무계획!$M$3:$M$402,$A142)&amp;"")</f>
        <v/>
      </c>
      <c r="L142" s="26">
        <f>IF($C142="","",INDEX(입력_인턴근무계획!$N$3:$N$402,$A142)&amp;"")</f>
        <v/>
      </c>
      <c r="M142" s="26">
        <f>IF($C142="","",INDEX(입력_인턴근무계획!$O$3:$O$402,$A142)&amp;"")</f>
        <v/>
      </c>
      <c r="N142" s="26">
        <f>IF($C142="","",INDEX(입력_인턴근무계획!$P$3:$P$402,$A142)&amp;"")</f>
        <v/>
      </c>
      <c r="O142" s="26">
        <f>IF($C142="","",INDEX(입력_인턴근무계획!$Q$3:$Q$402,$A142)&amp;"")</f>
        <v/>
      </c>
      <c r="P142" s="26">
        <f>IF($C142="","",INDEX(입력_인턴근무계획!$R$3:$R$402,$A142)&amp;"")</f>
        <v/>
      </c>
      <c r="Q142" s="26">
        <f>IF($C142="","",INDEX(입력_인턴근무계획!$T$3:$T$402,$A142))</f>
        <v/>
      </c>
    </row>
    <row r="143">
      <c r="A143" s="29" t="n">
        <v>138</v>
      </c>
      <c r="B143" s="26">
        <f>IF($C143="","",INDEX(입력_인턴근무계획!$B$3:$B$402,$A143))</f>
        <v/>
      </c>
      <c r="C143" s="26">
        <f>IFERROR(TRIM(INDEX(입력_인턴근무계획!$C$3:$C$402,$A143)&amp;""),"")</f>
        <v/>
      </c>
      <c r="D143" s="26">
        <f>IF($C143="","",INDEX(입력_인턴근무계획!$D$3:$D$402,$A143))</f>
        <v/>
      </c>
      <c r="E143" s="26">
        <f>IF($C143="","",IF(IFERROR(MATCH($D143,입력_기본자료!$B$2:$B$1001,0),IFERROR(MATCH($D143&amp;"",입력_기본자료!$B$2:$B$1001,0),IFERROR(MATCH(VALUE($D143),입력_기본자료!$B$2:$B$1001,0),0)))&gt;0,"확인","미등록"))</f>
        <v/>
      </c>
      <c r="F143" s="28">
        <f>IF($C143="","",INDEX(입력_인턴근무계획!$S$3:$S$402,$A143))</f>
        <v/>
      </c>
      <c r="G143" s="26">
        <f>IF(OR($C143="",$G$3=""),"",IF(INDEX(입력_인턴근무계획!$M$3:$R$402,$A143,$G$3)&amp;""="","",IF(LEFT(INDEX(입력_인턴근무계획!$M$3:$R$402,$A143,$G$3)&amp;"",1)="⚠",INDEX(입력_인턴근무계획!$M$3:$R$402,$A143,$G$3)&amp;"",LEFT(INDEX(입력_인턴근무계획!$M$3:$R$402,$A143,$G$3)&amp;"",FIND(" ",INDEX(입력_인턴근무계획!$M$3:$R$402,$A143,$G$3)&amp;"")-1))))</f>
        <v/>
      </c>
      <c r="H143" s="26">
        <f>IF(OR($C143="",$G$3=""),"",IF(INDEX(입력_인턴근무계획!$M$3:$R$402,$A143,$G$3)&amp;""="","",IF(LEFT(INDEX(입력_인턴근무계획!$M$3:$R$402,$A143,$G$3)&amp;"",1)="⚠","",MID(INDEX(입력_인턴근무계획!$M$3:$R$402,$A143,$G$3)&amp;"",FIND(" ",INDEX(입력_인턴근무계획!$M$3:$R$402,$A143,$G$3)&amp;"")+1,60))))</f>
        <v/>
      </c>
      <c r="I143" s="26">
        <f>IF(OR($C143="",$I$3=""),"",IF(INDEX(입력_인턴근무계획!$M$3:$R$402,$A143,$I$3)&amp;""="","",IF(LEFT(INDEX(입력_인턴근무계획!$M$3:$R$402,$A143,$I$3)&amp;"",1)="⚠",INDEX(입력_인턴근무계획!$M$3:$R$402,$A143,$I$3)&amp;"",LEFT(INDEX(입력_인턴근무계획!$M$3:$R$402,$A143,$I$3)&amp;"",FIND(" ",INDEX(입력_인턴근무계획!$M$3:$R$402,$A143,$I$3)&amp;"")-1))))</f>
        <v/>
      </c>
      <c r="J143" s="26">
        <f>IF(OR($C143="",$I$3=""),"",IF(INDEX(입력_인턴근무계획!$M$3:$R$402,$A143,$I$3)&amp;""="","",IF(LEFT(INDEX(입력_인턴근무계획!$M$3:$R$402,$A143,$I$3)&amp;"",1)="⚠","",MID(INDEX(입력_인턴근무계획!$M$3:$R$402,$A143,$I$3)&amp;"",FIND(" ",INDEX(입력_인턴근무계획!$M$3:$R$402,$A143,$I$3)&amp;"")+1,60))))</f>
        <v/>
      </c>
      <c r="K143" s="26">
        <f>IF($C143="","",INDEX(입력_인턴근무계획!$M$3:$M$402,$A143)&amp;"")</f>
        <v/>
      </c>
      <c r="L143" s="26">
        <f>IF($C143="","",INDEX(입력_인턴근무계획!$N$3:$N$402,$A143)&amp;"")</f>
        <v/>
      </c>
      <c r="M143" s="26">
        <f>IF($C143="","",INDEX(입력_인턴근무계획!$O$3:$O$402,$A143)&amp;"")</f>
        <v/>
      </c>
      <c r="N143" s="26">
        <f>IF($C143="","",INDEX(입력_인턴근무계획!$P$3:$P$402,$A143)&amp;"")</f>
        <v/>
      </c>
      <c r="O143" s="26">
        <f>IF($C143="","",INDEX(입력_인턴근무계획!$Q$3:$Q$402,$A143)&amp;"")</f>
        <v/>
      </c>
      <c r="P143" s="26">
        <f>IF($C143="","",INDEX(입력_인턴근무계획!$R$3:$R$402,$A143)&amp;"")</f>
        <v/>
      </c>
      <c r="Q143" s="26">
        <f>IF($C143="","",INDEX(입력_인턴근무계획!$T$3:$T$402,$A143))</f>
        <v/>
      </c>
    </row>
    <row r="144">
      <c r="A144" s="29" t="n">
        <v>139</v>
      </c>
      <c r="B144" s="26">
        <f>IF($C144="","",INDEX(입력_인턴근무계획!$B$3:$B$402,$A144))</f>
        <v/>
      </c>
      <c r="C144" s="26">
        <f>IFERROR(TRIM(INDEX(입력_인턴근무계획!$C$3:$C$402,$A144)&amp;""),"")</f>
        <v/>
      </c>
      <c r="D144" s="26">
        <f>IF($C144="","",INDEX(입력_인턴근무계획!$D$3:$D$402,$A144))</f>
        <v/>
      </c>
      <c r="E144" s="26">
        <f>IF($C144="","",IF(IFERROR(MATCH($D144,입력_기본자료!$B$2:$B$1001,0),IFERROR(MATCH($D144&amp;"",입력_기본자료!$B$2:$B$1001,0),IFERROR(MATCH(VALUE($D144),입력_기본자료!$B$2:$B$1001,0),0)))&gt;0,"확인","미등록"))</f>
        <v/>
      </c>
      <c r="F144" s="28">
        <f>IF($C144="","",INDEX(입력_인턴근무계획!$S$3:$S$402,$A144))</f>
        <v/>
      </c>
      <c r="G144" s="26">
        <f>IF(OR($C144="",$G$3=""),"",IF(INDEX(입력_인턴근무계획!$M$3:$R$402,$A144,$G$3)&amp;""="","",IF(LEFT(INDEX(입력_인턴근무계획!$M$3:$R$402,$A144,$G$3)&amp;"",1)="⚠",INDEX(입력_인턴근무계획!$M$3:$R$402,$A144,$G$3)&amp;"",LEFT(INDEX(입력_인턴근무계획!$M$3:$R$402,$A144,$G$3)&amp;"",FIND(" ",INDEX(입력_인턴근무계획!$M$3:$R$402,$A144,$G$3)&amp;"")-1))))</f>
        <v/>
      </c>
      <c r="H144" s="26">
        <f>IF(OR($C144="",$G$3=""),"",IF(INDEX(입력_인턴근무계획!$M$3:$R$402,$A144,$G$3)&amp;""="","",IF(LEFT(INDEX(입력_인턴근무계획!$M$3:$R$402,$A144,$G$3)&amp;"",1)="⚠","",MID(INDEX(입력_인턴근무계획!$M$3:$R$402,$A144,$G$3)&amp;"",FIND(" ",INDEX(입력_인턴근무계획!$M$3:$R$402,$A144,$G$3)&amp;"")+1,60))))</f>
        <v/>
      </c>
      <c r="I144" s="26">
        <f>IF(OR($C144="",$I$3=""),"",IF(INDEX(입력_인턴근무계획!$M$3:$R$402,$A144,$I$3)&amp;""="","",IF(LEFT(INDEX(입력_인턴근무계획!$M$3:$R$402,$A144,$I$3)&amp;"",1)="⚠",INDEX(입력_인턴근무계획!$M$3:$R$402,$A144,$I$3)&amp;"",LEFT(INDEX(입력_인턴근무계획!$M$3:$R$402,$A144,$I$3)&amp;"",FIND(" ",INDEX(입력_인턴근무계획!$M$3:$R$402,$A144,$I$3)&amp;"")-1))))</f>
        <v/>
      </c>
      <c r="J144" s="26">
        <f>IF(OR($C144="",$I$3=""),"",IF(INDEX(입력_인턴근무계획!$M$3:$R$402,$A144,$I$3)&amp;""="","",IF(LEFT(INDEX(입력_인턴근무계획!$M$3:$R$402,$A144,$I$3)&amp;"",1)="⚠","",MID(INDEX(입력_인턴근무계획!$M$3:$R$402,$A144,$I$3)&amp;"",FIND(" ",INDEX(입력_인턴근무계획!$M$3:$R$402,$A144,$I$3)&amp;"")+1,60))))</f>
        <v/>
      </c>
      <c r="K144" s="26">
        <f>IF($C144="","",INDEX(입력_인턴근무계획!$M$3:$M$402,$A144)&amp;"")</f>
        <v/>
      </c>
      <c r="L144" s="26">
        <f>IF($C144="","",INDEX(입력_인턴근무계획!$N$3:$N$402,$A144)&amp;"")</f>
        <v/>
      </c>
      <c r="M144" s="26">
        <f>IF($C144="","",INDEX(입력_인턴근무계획!$O$3:$O$402,$A144)&amp;"")</f>
        <v/>
      </c>
      <c r="N144" s="26">
        <f>IF($C144="","",INDEX(입력_인턴근무계획!$P$3:$P$402,$A144)&amp;"")</f>
        <v/>
      </c>
      <c r="O144" s="26">
        <f>IF($C144="","",INDEX(입력_인턴근무계획!$Q$3:$Q$402,$A144)&amp;"")</f>
        <v/>
      </c>
      <c r="P144" s="26">
        <f>IF($C144="","",INDEX(입력_인턴근무계획!$R$3:$R$402,$A144)&amp;"")</f>
        <v/>
      </c>
      <c r="Q144" s="26">
        <f>IF($C144="","",INDEX(입력_인턴근무계획!$T$3:$T$402,$A144))</f>
        <v/>
      </c>
    </row>
    <row r="145">
      <c r="A145" s="29" t="n">
        <v>140</v>
      </c>
      <c r="B145" s="26">
        <f>IF($C145="","",INDEX(입력_인턴근무계획!$B$3:$B$402,$A145))</f>
        <v/>
      </c>
      <c r="C145" s="26">
        <f>IFERROR(TRIM(INDEX(입력_인턴근무계획!$C$3:$C$402,$A145)&amp;""),"")</f>
        <v/>
      </c>
      <c r="D145" s="26">
        <f>IF($C145="","",INDEX(입력_인턴근무계획!$D$3:$D$402,$A145))</f>
        <v/>
      </c>
      <c r="E145" s="26">
        <f>IF($C145="","",IF(IFERROR(MATCH($D145,입력_기본자료!$B$2:$B$1001,0),IFERROR(MATCH($D145&amp;"",입력_기본자료!$B$2:$B$1001,0),IFERROR(MATCH(VALUE($D145),입력_기본자료!$B$2:$B$1001,0),0)))&gt;0,"확인","미등록"))</f>
        <v/>
      </c>
      <c r="F145" s="28">
        <f>IF($C145="","",INDEX(입력_인턴근무계획!$S$3:$S$402,$A145))</f>
        <v/>
      </c>
      <c r="G145" s="26">
        <f>IF(OR($C145="",$G$3=""),"",IF(INDEX(입력_인턴근무계획!$M$3:$R$402,$A145,$G$3)&amp;""="","",IF(LEFT(INDEX(입력_인턴근무계획!$M$3:$R$402,$A145,$G$3)&amp;"",1)="⚠",INDEX(입력_인턴근무계획!$M$3:$R$402,$A145,$G$3)&amp;"",LEFT(INDEX(입력_인턴근무계획!$M$3:$R$402,$A145,$G$3)&amp;"",FIND(" ",INDEX(입력_인턴근무계획!$M$3:$R$402,$A145,$G$3)&amp;"")-1))))</f>
        <v/>
      </c>
      <c r="H145" s="26">
        <f>IF(OR($C145="",$G$3=""),"",IF(INDEX(입력_인턴근무계획!$M$3:$R$402,$A145,$G$3)&amp;""="","",IF(LEFT(INDEX(입력_인턴근무계획!$M$3:$R$402,$A145,$G$3)&amp;"",1)="⚠","",MID(INDEX(입력_인턴근무계획!$M$3:$R$402,$A145,$G$3)&amp;"",FIND(" ",INDEX(입력_인턴근무계획!$M$3:$R$402,$A145,$G$3)&amp;"")+1,60))))</f>
        <v/>
      </c>
      <c r="I145" s="26">
        <f>IF(OR($C145="",$I$3=""),"",IF(INDEX(입력_인턴근무계획!$M$3:$R$402,$A145,$I$3)&amp;""="","",IF(LEFT(INDEX(입력_인턴근무계획!$M$3:$R$402,$A145,$I$3)&amp;"",1)="⚠",INDEX(입력_인턴근무계획!$M$3:$R$402,$A145,$I$3)&amp;"",LEFT(INDEX(입력_인턴근무계획!$M$3:$R$402,$A145,$I$3)&amp;"",FIND(" ",INDEX(입력_인턴근무계획!$M$3:$R$402,$A145,$I$3)&amp;"")-1))))</f>
        <v/>
      </c>
      <c r="J145" s="26">
        <f>IF(OR($C145="",$I$3=""),"",IF(INDEX(입력_인턴근무계획!$M$3:$R$402,$A145,$I$3)&amp;""="","",IF(LEFT(INDEX(입력_인턴근무계획!$M$3:$R$402,$A145,$I$3)&amp;"",1)="⚠","",MID(INDEX(입력_인턴근무계획!$M$3:$R$402,$A145,$I$3)&amp;"",FIND(" ",INDEX(입력_인턴근무계획!$M$3:$R$402,$A145,$I$3)&amp;"")+1,60))))</f>
        <v/>
      </c>
      <c r="K145" s="26">
        <f>IF($C145="","",INDEX(입력_인턴근무계획!$M$3:$M$402,$A145)&amp;"")</f>
        <v/>
      </c>
      <c r="L145" s="26">
        <f>IF($C145="","",INDEX(입력_인턴근무계획!$N$3:$N$402,$A145)&amp;"")</f>
        <v/>
      </c>
      <c r="M145" s="26">
        <f>IF($C145="","",INDEX(입력_인턴근무계획!$O$3:$O$402,$A145)&amp;"")</f>
        <v/>
      </c>
      <c r="N145" s="26">
        <f>IF($C145="","",INDEX(입력_인턴근무계획!$P$3:$P$402,$A145)&amp;"")</f>
        <v/>
      </c>
      <c r="O145" s="26">
        <f>IF($C145="","",INDEX(입력_인턴근무계획!$Q$3:$Q$402,$A145)&amp;"")</f>
        <v/>
      </c>
      <c r="P145" s="26">
        <f>IF($C145="","",INDEX(입력_인턴근무계획!$R$3:$R$402,$A145)&amp;"")</f>
        <v/>
      </c>
      <c r="Q145" s="26">
        <f>IF($C145="","",INDEX(입력_인턴근무계획!$T$3:$T$402,$A145))</f>
        <v/>
      </c>
    </row>
    <row r="146">
      <c r="A146" s="29" t="n">
        <v>141</v>
      </c>
      <c r="B146" s="26">
        <f>IF($C146="","",INDEX(입력_인턴근무계획!$B$3:$B$402,$A146))</f>
        <v/>
      </c>
      <c r="C146" s="26">
        <f>IFERROR(TRIM(INDEX(입력_인턴근무계획!$C$3:$C$402,$A146)&amp;""),"")</f>
        <v/>
      </c>
      <c r="D146" s="26">
        <f>IF($C146="","",INDEX(입력_인턴근무계획!$D$3:$D$402,$A146))</f>
        <v/>
      </c>
      <c r="E146" s="26">
        <f>IF($C146="","",IF(IFERROR(MATCH($D146,입력_기본자료!$B$2:$B$1001,0),IFERROR(MATCH($D146&amp;"",입력_기본자료!$B$2:$B$1001,0),IFERROR(MATCH(VALUE($D146),입력_기본자료!$B$2:$B$1001,0),0)))&gt;0,"확인","미등록"))</f>
        <v/>
      </c>
      <c r="F146" s="28">
        <f>IF($C146="","",INDEX(입력_인턴근무계획!$S$3:$S$402,$A146))</f>
        <v/>
      </c>
      <c r="G146" s="26">
        <f>IF(OR($C146="",$G$3=""),"",IF(INDEX(입력_인턴근무계획!$M$3:$R$402,$A146,$G$3)&amp;""="","",IF(LEFT(INDEX(입력_인턴근무계획!$M$3:$R$402,$A146,$G$3)&amp;"",1)="⚠",INDEX(입력_인턴근무계획!$M$3:$R$402,$A146,$G$3)&amp;"",LEFT(INDEX(입력_인턴근무계획!$M$3:$R$402,$A146,$G$3)&amp;"",FIND(" ",INDEX(입력_인턴근무계획!$M$3:$R$402,$A146,$G$3)&amp;"")-1))))</f>
        <v/>
      </c>
      <c r="H146" s="26">
        <f>IF(OR($C146="",$G$3=""),"",IF(INDEX(입력_인턴근무계획!$M$3:$R$402,$A146,$G$3)&amp;""="","",IF(LEFT(INDEX(입력_인턴근무계획!$M$3:$R$402,$A146,$G$3)&amp;"",1)="⚠","",MID(INDEX(입력_인턴근무계획!$M$3:$R$402,$A146,$G$3)&amp;"",FIND(" ",INDEX(입력_인턴근무계획!$M$3:$R$402,$A146,$G$3)&amp;"")+1,60))))</f>
        <v/>
      </c>
      <c r="I146" s="26">
        <f>IF(OR($C146="",$I$3=""),"",IF(INDEX(입력_인턴근무계획!$M$3:$R$402,$A146,$I$3)&amp;""="","",IF(LEFT(INDEX(입력_인턴근무계획!$M$3:$R$402,$A146,$I$3)&amp;"",1)="⚠",INDEX(입력_인턴근무계획!$M$3:$R$402,$A146,$I$3)&amp;"",LEFT(INDEX(입력_인턴근무계획!$M$3:$R$402,$A146,$I$3)&amp;"",FIND(" ",INDEX(입력_인턴근무계획!$M$3:$R$402,$A146,$I$3)&amp;"")-1))))</f>
        <v/>
      </c>
      <c r="J146" s="26">
        <f>IF(OR($C146="",$I$3=""),"",IF(INDEX(입력_인턴근무계획!$M$3:$R$402,$A146,$I$3)&amp;""="","",IF(LEFT(INDEX(입력_인턴근무계획!$M$3:$R$402,$A146,$I$3)&amp;"",1)="⚠","",MID(INDEX(입력_인턴근무계획!$M$3:$R$402,$A146,$I$3)&amp;"",FIND(" ",INDEX(입력_인턴근무계획!$M$3:$R$402,$A146,$I$3)&amp;"")+1,60))))</f>
        <v/>
      </c>
      <c r="K146" s="26">
        <f>IF($C146="","",INDEX(입력_인턴근무계획!$M$3:$M$402,$A146)&amp;"")</f>
        <v/>
      </c>
      <c r="L146" s="26">
        <f>IF($C146="","",INDEX(입력_인턴근무계획!$N$3:$N$402,$A146)&amp;"")</f>
        <v/>
      </c>
      <c r="M146" s="26">
        <f>IF($C146="","",INDEX(입력_인턴근무계획!$O$3:$O$402,$A146)&amp;"")</f>
        <v/>
      </c>
      <c r="N146" s="26">
        <f>IF($C146="","",INDEX(입력_인턴근무계획!$P$3:$P$402,$A146)&amp;"")</f>
        <v/>
      </c>
      <c r="O146" s="26">
        <f>IF($C146="","",INDEX(입력_인턴근무계획!$Q$3:$Q$402,$A146)&amp;"")</f>
        <v/>
      </c>
      <c r="P146" s="26">
        <f>IF($C146="","",INDEX(입력_인턴근무계획!$R$3:$R$402,$A146)&amp;"")</f>
        <v/>
      </c>
      <c r="Q146" s="26">
        <f>IF($C146="","",INDEX(입력_인턴근무계획!$T$3:$T$402,$A146))</f>
        <v/>
      </c>
    </row>
    <row r="147">
      <c r="A147" s="29" t="n">
        <v>142</v>
      </c>
      <c r="B147" s="26">
        <f>IF($C147="","",INDEX(입력_인턴근무계획!$B$3:$B$402,$A147))</f>
        <v/>
      </c>
      <c r="C147" s="26">
        <f>IFERROR(TRIM(INDEX(입력_인턴근무계획!$C$3:$C$402,$A147)&amp;""),"")</f>
        <v/>
      </c>
      <c r="D147" s="26">
        <f>IF($C147="","",INDEX(입력_인턴근무계획!$D$3:$D$402,$A147))</f>
        <v/>
      </c>
      <c r="E147" s="26">
        <f>IF($C147="","",IF(IFERROR(MATCH($D147,입력_기본자료!$B$2:$B$1001,0),IFERROR(MATCH($D147&amp;"",입력_기본자료!$B$2:$B$1001,0),IFERROR(MATCH(VALUE($D147),입력_기본자료!$B$2:$B$1001,0),0)))&gt;0,"확인","미등록"))</f>
        <v/>
      </c>
      <c r="F147" s="28">
        <f>IF($C147="","",INDEX(입력_인턴근무계획!$S$3:$S$402,$A147))</f>
        <v/>
      </c>
      <c r="G147" s="26">
        <f>IF(OR($C147="",$G$3=""),"",IF(INDEX(입력_인턴근무계획!$M$3:$R$402,$A147,$G$3)&amp;""="","",IF(LEFT(INDEX(입력_인턴근무계획!$M$3:$R$402,$A147,$G$3)&amp;"",1)="⚠",INDEX(입력_인턴근무계획!$M$3:$R$402,$A147,$G$3)&amp;"",LEFT(INDEX(입력_인턴근무계획!$M$3:$R$402,$A147,$G$3)&amp;"",FIND(" ",INDEX(입력_인턴근무계획!$M$3:$R$402,$A147,$G$3)&amp;"")-1))))</f>
        <v/>
      </c>
      <c r="H147" s="26">
        <f>IF(OR($C147="",$G$3=""),"",IF(INDEX(입력_인턴근무계획!$M$3:$R$402,$A147,$G$3)&amp;""="","",IF(LEFT(INDEX(입력_인턴근무계획!$M$3:$R$402,$A147,$G$3)&amp;"",1)="⚠","",MID(INDEX(입력_인턴근무계획!$M$3:$R$402,$A147,$G$3)&amp;"",FIND(" ",INDEX(입력_인턴근무계획!$M$3:$R$402,$A147,$G$3)&amp;"")+1,60))))</f>
        <v/>
      </c>
      <c r="I147" s="26">
        <f>IF(OR($C147="",$I$3=""),"",IF(INDEX(입력_인턴근무계획!$M$3:$R$402,$A147,$I$3)&amp;""="","",IF(LEFT(INDEX(입력_인턴근무계획!$M$3:$R$402,$A147,$I$3)&amp;"",1)="⚠",INDEX(입력_인턴근무계획!$M$3:$R$402,$A147,$I$3)&amp;"",LEFT(INDEX(입력_인턴근무계획!$M$3:$R$402,$A147,$I$3)&amp;"",FIND(" ",INDEX(입력_인턴근무계획!$M$3:$R$402,$A147,$I$3)&amp;"")-1))))</f>
        <v/>
      </c>
      <c r="J147" s="26">
        <f>IF(OR($C147="",$I$3=""),"",IF(INDEX(입력_인턴근무계획!$M$3:$R$402,$A147,$I$3)&amp;""="","",IF(LEFT(INDEX(입력_인턴근무계획!$M$3:$R$402,$A147,$I$3)&amp;"",1)="⚠","",MID(INDEX(입력_인턴근무계획!$M$3:$R$402,$A147,$I$3)&amp;"",FIND(" ",INDEX(입력_인턴근무계획!$M$3:$R$402,$A147,$I$3)&amp;"")+1,60))))</f>
        <v/>
      </c>
      <c r="K147" s="26">
        <f>IF($C147="","",INDEX(입력_인턴근무계획!$M$3:$M$402,$A147)&amp;"")</f>
        <v/>
      </c>
      <c r="L147" s="26">
        <f>IF($C147="","",INDEX(입력_인턴근무계획!$N$3:$N$402,$A147)&amp;"")</f>
        <v/>
      </c>
      <c r="M147" s="26">
        <f>IF($C147="","",INDEX(입력_인턴근무계획!$O$3:$O$402,$A147)&amp;"")</f>
        <v/>
      </c>
      <c r="N147" s="26">
        <f>IF($C147="","",INDEX(입력_인턴근무계획!$P$3:$P$402,$A147)&amp;"")</f>
        <v/>
      </c>
      <c r="O147" s="26">
        <f>IF($C147="","",INDEX(입력_인턴근무계획!$Q$3:$Q$402,$A147)&amp;"")</f>
        <v/>
      </c>
      <c r="P147" s="26">
        <f>IF($C147="","",INDEX(입력_인턴근무계획!$R$3:$R$402,$A147)&amp;"")</f>
        <v/>
      </c>
      <c r="Q147" s="26">
        <f>IF($C147="","",INDEX(입력_인턴근무계획!$T$3:$T$402,$A147))</f>
        <v/>
      </c>
    </row>
    <row r="148">
      <c r="A148" s="29" t="n">
        <v>143</v>
      </c>
      <c r="B148" s="26">
        <f>IF($C148="","",INDEX(입력_인턴근무계획!$B$3:$B$402,$A148))</f>
        <v/>
      </c>
      <c r="C148" s="26">
        <f>IFERROR(TRIM(INDEX(입력_인턴근무계획!$C$3:$C$402,$A148)&amp;""),"")</f>
        <v/>
      </c>
      <c r="D148" s="26">
        <f>IF($C148="","",INDEX(입력_인턴근무계획!$D$3:$D$402,$A148))</f>
        <v/>
      </c>
      <c r="E148" s="26">
        <f>IF($C148="","",IF(IFERROR(MATCH($D148,입력_기본자료!$B$2:$B$1001,0),IFERROR(MATCH($D148&amp;"",입력_기본자료!$B$2:$B$1001,0),IFERROR(MATCH(VALUE($D148),입력_기본자료!$B$2:$B$1001,0),0)))&gt;0,"확인","미등록"))</f>
        <v/>
      </c>
      <c r="F148" s="28">
        <f>IF($C148="","",INDEX(입력_인턴근무계획!$S$3:$S$402,$A148))</f>
        <v/>
      </c>
      <c r="G148" s="26">
        <f>IF(OR($C148="",$G$3=""),"",IF(INDEX(입력_인턴근무계획!$M$3:$R$402,$A148,$G$3)&amp;""="","",IF(LEFT(INDEX(입력_인턴근무계획!$M$3:$R$402,$A148,$G$3)&amp;"",1)="⚠",INDEX(입력_인턴근무계획!$M$3:$R$402,$A148,$G$3)&amp;"",LEFT(INDEX(입력_인턴근무계획!$M$3:$R$402,$A148,$G$3)&amp;"",FIND(" ",INDEX(입력_인턴근무계획!$M$3:$R$402,$A148,$G$3)&amp;"")-1))))</f>
        <v/>
      </c>
      <c r="H148" s="26">
        <f>IF(OR($C148="",$G$3=""),"",IF(INDEX(입력_인턴근무계획!$M$3:$R$402,$A148,$G$3)&amp;""="","",IF(LEFT(INDEX(입력_인턴근무계획!$M$3:$R$402,$A148,$G$3)&amp;"",1)="⚠","",MID(INDEX(입력_인턴근무계획!$M$3:$R$402,$A148,$G$3)&amp;"",FIND(" ",INDEX(입력_인턴근무계획!$M$3:$R$402,$A148,$G$3)&amp;"")+1,60))))</f>
        <v/>
      </c>
      <c r="I148" s="26">
        <f>IF(OR($C148="",$I$3=""),"",IF(INDEX(입력_인턴근무계획!$M$3:$R$402,$A148,$I$3)&amp;""="","",IF(LEFT(INDEX(입력_인턴근무계획!$M$3:$R$402,$A148,$I$3)&amp;"",1)="⚠",INDEX(입력_인턴근무계획!$M$3:$R$402,$A148,$I$3)&amp;"",LEFT(INDEX(입력_인턴근무계획!$M$3:$R$402,$A148,$I$3)&amp;"",FIND(" ",INDEX(입력_인턴근무계획!$M$3:$R$402,$A148,$I$3)&amp;"")-1))))</f>
        <v/>
      </c>
      <c r="J148" s="26">
        <f>IF(OR($C148="",$I$3=""),"",IF(INDEX(입력_인턴근무계획!$M$3:$R$402,$A148,$I$3)&amp;""="","",IF(LEFT(INDEX(입력_인턴근무계획!$M$3:$R$402,$A148,$I$3)&amp;"",1)="⚠","",MID(INDEX(입력_인턴근무계획!$M$3:$R$402,$A148,$I$3)&amp;"",FIND(" ",INDEX(입력_인턴근무계획!$M$3:$R$402,$A148,$I$3)&amp;"")+1,60))))</f>
        <v/>
      </c>
      <c r="K148" s="26">
        <f>IF($C148="","",INDEX(입력_인턴근무계획!$M$3:$M$402,$A148)&amp;"")</f>
        <v/>
      </c>
      <c r="L148" s="26">
        <f>IF($C148="","",INDEX(입력_인턴근무계획!$N$3:$N$402,$A148)&amp;"")</f>
        <v/>
      </c>
      <c r="M148" s="26">
        <f>IF($C148="","",INDEX(입력_인턴근무계획!$O$3:$O$402,$A148)&amp;"")</f>
        <v/>
      </c>
      <c r="N148" s="26">
        <f>IF($C148="","",INDEX(입력_인턴근무계획!$P$3:$P$402,$A148)&amp;"")</f>
        <v/>
      </c>
      <c r="O148" s="26">
        <f>IF($C148="","",INDEX(입력_인턴근무계획!$Q$3:$Q$402,$A148)&amp;"")</f>
        <v/>
      </c>
      <c r="P148" s="26">
        <f>IF($C148="","",INDEX(입력_인턴근무계획!$R$3:$R$402,$A148)&amp;"")</f>
        <v/>
      </c>
      <c r="Q148" s="26">
        <f>IF($C148="","",INDEX(입력_인턴근무계획!$T$3:$T$402,$A148))</f>
        <v/>
      </c>
    </row>
    <row r="149">
      <c r="A149" s="29" t="n">
        <v>144</v>
      </c>
      <c r="B149" s="26">
        <f>IF($C149="","",INDEX(입력_인턴근무계획!$B$3:$B$402,$A149))</f>
        <v/>
      </c>
      <c r="C149" s="26">
        <f>IFERROR(TRIM(INDEX(입력_인턴근무계획!$C$3:$C$402,$A149)&amp;""),"")</f>
        <v/>
      </c>
      <c r="D149" s="26">
        <f>IF($C149="","",INDEX(입력_인턴근무계획!$D$3:$D$402,$A149))</f>
        <v/>
      </c>
      <c r="E149" s="26">
        <f>IF($C149="","",IF(IFERROR(MATCH($D149,입력_기본자료!$B$2:$B$1001,0),IFERROR(MATCH($D149&amp;"",입력_기본자료!$B$2:$B$1001,0),IFERROR(MATCH(VALUE($D149),입력_기본자료!$B$2:$B$1001,0),0)))&gt;0,"확인","미등록"))</f>
        <v/>
      </c>
      <c r="F149" s="28">
        <f>IF($C149="","",INDEX(입력_인턴근무계획!$S$3:$S$402,$A149))</f>
        <v/>
      </c>
      <c r="G149" s="26">
        <f>IF(OR($C149="",$G$3=""),"",IF(INDEX(입력_인턴근무계획!$M$3:$R$402,$A149,$G$3)&amp;""="","",IF(LEFT(INDEX(입력_인턴근무계획!$M$3:$R$402,$A149,$G$3)&amp;"",1)="⚠",INDEX(입력_인턴근무계획!$M$3:$R$402,$A149,$G$3)&amp;"",LEFT(INDEX(입력_인턴근무계획!$M$3:$R$402,$A149,$G$3)&amp;"",FIND(" ",INDEX(입력_인턴근무계획!$M$3:$R$402,$A149,$G$3)&amp;"")-1))))</f>
        <v/>
      </c>
      <c r="H149" s="26">
        <f>IF(OR($C149="",$G$3=""),"",IF(INDEX(입력_인턴근무계획!$M$3:$R$402,$A149,$G$3)&amp;""="","",IF(LEFT(INDEX(입력_인턴근무계획!$M$3:$R$402,$A149,$G$3)&amp;"",1)="⚠","",MID(INDEX(입력_인턴근무계획!$M$3:$R$402,$A149,$G$3)&amp;"",FIND(" ",INDEX(입력_인턴근무계획!$M$3:$R$402,$A149,$G$3)&amp;"")+1,60))))</f>
        <v/>
      </c>
      <c r="I149" s="26">
        <f>IF(OR($C149="",$I$3=""),"",IF(INDEX(입력_인턴근무계획!$M$3:$R$402,$A149,$I$3)&amp;""="","",IF(LEFT(INDEX(입력_인턴근무계획!$M$3:$R$402,$A149,$I$3)&amp;"",1)="⚠",INDEX(입력_인턴근무계획!$M$3:$R$402,$A149,$I$3)&amp;"",LEFT(INDEX(입력_인턴근무계획!$M$3:$R$402,$A149,$I$3)&amp;"",FIND(" ",INDEX(입력_인턴근무계획!$M$3:$R$402,$A149,$I$3)&amp;"")-1))))</f>
        <v/>
      </c>
      <c r="J149" s="26">
        <f>IF(OR($C149="",$I$3=""),"",IF(INDEX(입력_인턴근무계획!$M$3:$R$402,$A149,$I$3)&amp;""="","",IF(LEFT(INDEX(입력_인턴근무계획!$M$3:$R$402,$A149,$I$3)&amp;"",1)="⚠","",MID(INDEX(입력_인턴근무계획!$M$3:$R$402,$A149,$I$3)&amp;"",FIND(" ",INDEX(입력_인턴근무계획!$M$3:$R$402,$A149,$I$3)&amp;"")+1,60))))</f>
        <v/>
      </c>
      <c r="K149" s="26">
        <f>IF($C149="","",INDEX(입력_인턴근무계획!$M$3:$M$402,$A149)&amp;"")</f>
        <v/>
      </c>
      <c r="L149" s="26">
        <f>IF($C149="","",INDEX(입력_인턴근무계획!$N$3:$N$402,$A149)&amp;"")</f>
        <v/>
      </c>
      <c r="M149" s="26">
        <f>IF($C149="","",INDEX(입력_인턴근무계획!$O$3:$O$402,$A149)&amp;"")</f>
        <v/>
      </c>
      <c r="N149" s="26">
        <f>IF($C149="","",INDEX(입력_인턴근무계획!$P$3:$P$402,$A149)&amp;"")</f>
        <v/>
      </c>
      <c r="O149" s="26">
        <f>IF($C149="","",INDEX(입력_인턴근무계획!$Q$3:$Q$402,$A149)&amp;"")</f>
        <v/>
      </c>
      <c r="P149" s="26">
        <f>IF($C149="","",INDEX(입력_인턴근무계획!$R$3:$R$402,$A149)&amp;"")</f>
        <v/>
      </c>
      <c r="Q149" s="26">
        <f>IF($C149="","",INDEX(입력_인턴근무계획!$T$3:$T$402,$A149))</f>
        <v/>
      </c>
    </row>
    <row r="150">
      <c r="A150" s="29" t="n">
        <v>145</v>
      </c>
      <c r="B150" s="26">
        <f>IF($C150="","",INDEX(입력_인턴근무계획!$B$3:$B$402,$A150))</f>
        <v/>
      </c>
      <c r="C150" s="26">
        <f>IFERROR(TRIM(INDEX(입력_인턴근무계획!$C$3:$C$402,$A150)&amp;""),"")</f>
        <v/>
      </c>
      <c r="D150" s="26">
        <f>IF($C150="","",INDEX(입력_인턴근무계획!$D$3:$D$402,$A150))</f>
        <v/>
      </c>
      <c r="E150" s="26">
        <f>IF($C150="","",IF(IFERROR(MATCH($D150,입력_기본자료!$B$2:$B$1001,0),IFERROR(MATCH($D150&amp;"",입력_기본자료!$B$2:$B$1001,0),IFERROR(MATCH(VALUE($D150),입력_기본자료!$B$2:$B$1001,0),0)))&gt;0,"확인","미등록"))</f>
        <v/>
      </c>
      <c r="F150" s="28">
        <f>IF($C150="","",INDEX(입력_인턴근무계획!$S$3:$S$402,$A150))</f>
        <v/>
      </c>
      <c r="G150" s="26">
        <f>IF(OR($C150="",$G$3=""),"",IF(INDEX(입력_인턴근무계획!$M$3:$R$402,$A150,$G$3)&amp;""="","",IF(LEFT(INDEX(입력_인턴근무계획!$M$3:$R$402,$A150,$G$3)&amp;"",1)="⚠",INDEX(입력_인턴근무계획!$M$3:$R$402,$A150,$G$3)&amp;"",LEFT(INDEX(입력_인턴근무계획!$M$3:$R$402,$A150,$G$3)&amp;"",FIND(" ",INDEX(입력_인턴근무계획!$M$3:$R$402,$A150,$G$3)&amp;"")-1))))</f>
        <v/>
      </c>
      <c r="H150" s="26">
        <f>IF(OR($C150="",$G$3=""),"",IF(INDEX(입력_인턴근무계획!$M$3:$R$402,$A150,$G$3)&amp;""="","",IF(LEFT(INDEX(입력_인턴근무계획!$M$3:$R$402,$A150,$G$3)&amp;"",1)="⚠","",MID(INDEX(입력_인턴근무계획!$M$3:$R$402,$A150,$G$3)&amp;"",FIND(" ",INDEX(입력_인턴근무계획!$M$3:$R$402,$A150,$G$3)&amp;"")+1,60))))</f>
        <v/>
      </c>
      <c r="I150" s="26">
        <f>IF(OR($C150="",$I$3=""),"",IF(INDEX(입력_인턴근무계획!$M$3:$R$402,$A150,$I$3)&amp;""="","",IF(LEFT(INDEX(입력_인턴근무계획!$M$3:$R$402,$A150,$I$3)&amp;"",1)="⚠",INDEX(입력_인턴근무계획!$M$3:$R$402,$A150,$I$3)&amp;"",LEFT(INDEX(입력_인턴근무계획!$M$3:$R$402,$A150,$I$3)&amp;"",FIND(" ",INDEX(입력_인턴근무계획!$M$3:$R$402,$A150,$I$3)&amp;"")-1))))</f>
        <v/>
      </c>
      <c r="J150" s="26">
        <f>IF(OR($C150="",$I$3=""),"",IF(INDEX(입력_인턴근무계획!$M$3:$R$402,$A150,$I$3)&amp;""="","",IF(LEFT(INDEX(입력_인턴근무계획!$M$3:$R$402,$A150,$I$3)&amp;"",1)="⚠","",MID(INDEX(입력_인턴근무계획!$M$3:$R$402,$A150,$I$3)&amp;"",FIND(" ",INDEX(입력_인턴근무계획!$M$3:$R$402,$A150,$I$3)&amp;"")+1,60))))</f>
        <v/>
      </c>
      <c r="K150" s="26">
        <f>IF($C150="","",INDEX(입력_인턴근무계획!$M$3:$M$402,$A150)&amp;"")</f>
        <v/>
      </c>
      <c r="L150" s="26">
        <f>IF($C150="","",INDEX(입력_인턴근무계획!$N$3:$N$402,$A150)&amp;"")</f>
        <v/>
      </c>
      <c r="M150" s="26">
        <f>IF($C150="","",INDEX(입력_인턴근무계획!$O$3:$O$402,$A150)&amp;"")</f>
        <v/>
      </c>
      <c r="N150" s="26">
        <f>IF($C150="","",INDEX(입력_인턴근무계획!$P$3:$P$402,$A150)&amp;"")</f>
        <v/>
      </c>
      <c r="O150" s="26">
        <f>IF($C150="","",INDEX(입력_인턴근무계획!$Q$3:$Q$402,$A150)&amp;"")</f>
        <v/>
      </c>
      <c r="P150" s="26">
        <f>IF($C150="","",INDEX(입력_인턴근무계획!$R$3:$R$402,$A150)&amp;"")</f>
        <v/>
      </c>
      <c r="Q150" s="26">
        <f>IF($C150="","",INDEX(입력_인턴근무계획!$T$3:$T$402,$A150))</f>
        <v/>
      </c>
    </row>
    <row r="151">
      <c r="A151" s="29" t="n">
        <v>146</v>
      </c>
      <c r="B151" s="26">
        <f>IF($C151="","",INDEX(입력_인턴근무계획!$B$3:$B$402,$A151))</f>
        <v/>
      </c>
      <c r="C151" s="26">
        <f>IFERROR(TRIM(INDEX(입력_인턴근무계획!$C$3:$C$402,$A151)&amp;""),"")</f>
        <v/>
      </c>
      <c r="D151" s="26">
        <f>IF($C151="","",INDEX(입력_인턴근무계획!$D$3:$D$402,$A151))</f>
        <v/>
      </c>
      <c r="E151" s="26">
        <f>IF($C151="","",IF(IFERROR(MATCH($D151,입력_기본자료!$B$2:$B$1001,0),IFERROR(MATCH($D151&amp;"",입력_기본자료!$B$2:$B$1001,0),IFERROR(MATCH(VALUE($D151),입력_기본자료!$B$2:$B$1001,0),0)))&gt;0,"확인","미등록"))</f>
        <v/>
      </c>
      <c r="F151" s="28">
        <f>IF($C151="","",INDEX(입력_인턴근무계획!$S$3:$S$402,$A151))</f>
        <v/>
      </c>
      <c r="G151" s="26">
        <f>IF(OR($C151="",$G$3=""),"",IF(INDEX(입력_인턴근무계획!$M$3:$R$402,$A151,$G$3)&amp;""="","",IF(LEFT(INDEX(입력_인턴근무계획!$M$3:$R$402,$A151,$G$3)&amp;"",1)="⚠",INDEX(입력_인턴근무계획!$M$3:$R$402,$A151,$G$3)&amp;"",LEFT(INDEX(입력_인턴근무계획!$M$3:$R$402,$A151,$G$3)&amp;"",FIND(" ",INDEX(입력_인턴근무계획!$M$3:$R$402,$A151,$G$3)&amp;"")-1))))</f>
        <v/>
      </c>
      <c r="H151" s="26">
        <f>IF(OR($C151="",$G$3=""),"",IF(INDEX(입력_인턴근무계획!$M$3:$R$402,$A151,$G$3)&amp;""="","",IF(LEFT(INDEX(입력_인턴근무계획!$M$3:$R$402,$A151,$G$3)&amp;"",1)="⚠","",MID(INDEX(입력_인턴근무계획!$M$3:$R$402,$A151,$G$3)&amp;"",FIND(" ",INDEX(입력_인턴근무계획!$M$3:$R$402,$A151,$G$3)&amp;"")+1,60))))</f>
        <v/>
      </c>
      <c r="I151" s="26">
        <f>IF(OR($C151="",$I$3=""),"",IF(INDEX(입력_인턴근무계획!$M$3:$R$402,$A151,$I$3)&amp;""="","",IF(LEFT(INDEX(입력_인턴근무계획!$M$3:$R$402,$A151,$I$3)&amp;"",1)="⚠",INDEX(입력_인턴근무계획!$M$3:$R$402,$A151,$I$3)&amp;"",LEFT(INDEX(입력_인턴근무계획!$M$3:$R$402,$A151,$I$3)&amp;"",FIND(" ",INDEX(입력_인턴근무계획!$M$3:$R$402,$A151,$I$3)&amp;"")-1))))</f>
        <v/>
      </c>
      <c r="J151" s="26">
        <f>IF(OR($C151="",$I$3=""),"",IF(INDEX(입력_인턴근무계획!$M$3:$R$402,$A151,$I$3)&amp;""="","",IF(LEFT(INDEX(입력_인턴근무계획!$M$3:$R$402,$A151,$I$3)&amp;"",1)="⚠","",MID(INDEX(입력_인턴근무계획!$M$3:$R$402,$A151,$I$3)&amp;"",FIND(" ",INDEX(입력_인턴근무계획!$M$3:$R$402,$A151,$I$3)&amp;"")+1,60))))</f>
        <v/>
      </c>
      <c r="K151" s="26">
        <f>IF($C151="","",INDEX(입력_인턴근무계획!$M$3:$M$402,$A151)&amp;"")</f>
        <v/>
      </c>
      <c r="L151" s="26">
        <f>IF($C151="","",INDEX(입력_인턴근무계획!$N$3:$N$402,$A151)&amp;"")</f>
        <v/>
      </c>
      <c r="M151" s="26">
        <f>IF($C151="","",INDEX(입력_인턴근무계획!$O$3:$O$402,$A151)&amp;"")</f>
        <v/>
      </c>
      <c r="N151" s="26">
        <f>IF($C151="","",INDEX(입력_인턴근무계획!$P$3:$P$402,$A151)&amp;"")</f>
        <v/>
      </c>
      <c r="O151" s="26">
        <f>IF($C151="","",INDEX(입력_인턴근무계획!$Q$3:$Q$402,$A151)&amp;"")</f>
        <v/>
      </c>
      <c r="P151" s="26">
        <f>IF($C151="","",INDEX(입력_인턴근무계획!$R$3:$R$402,$A151)&amp;"")</f>
        <v/>
      </c>
      <c r="Q151" s="26">
        <f>IF($C151="","",INDEX(입력_인턴근무계획!$T$3:$T$402,$A151))</f>
        <v/>
      </c>
    </row>
    <row r="152">
      <c r="A152" s="29" t="n">
        <v>147</v>
      </c>
      <c r="B152" s="26">
        <f>IF($C152="","",INDEX(입력_인턴근무계획!$B$3:$B$402,$A152))</f>
        <v/>
      </c>
      <c r="C152" s="26">
        <f>IFERROR(TRIM(INDEX(입력_인턴근무계획!$C$3:$C$402,$A152)&amp;""),"")</f>
        <v/>
      </c>
      <c r="D152" s="26">
        <f>IF($C152="","",INDEX(입력_인턴근무계획!$D$3:$D$402,$A152))</f>
        <v/>
      </c>
      <c r="E152" s="26">
        <f>IF($C152="","",IF(IFERROR(MATCH($D152,입력_기본자료!$B$2:$B$1001,0),IFERROR(MATCH($D152&amp;"",입력_기본자료!$B$2:$B$1001,0),IFERROR(MATCH(VALUE($D152),입력_기본자료!$B$2:$B$1001,0),0)))&gt;0,"확인","미등록"))</f>
        <v/>
      </c>
      <c r="F152" s="28">
        <f>IF($C152="","",INDEX(입력_인턴근무계획!$S$3:$S$402,$A152))</f>
        <v/>
      </c>
      <c r="G152" s="26">
        <f>IF(OR($C152="",$G$3=""),"",IF(INDEX(입력_인턴근무계획!$M$3:$R$402,$A152,$G$3)&amp;""="","",IF(LEFT(INDEX(입력_인턴근무계획!$M$3:$R$402,$A152,$G$3)&amp;"",1)="⚠",INDEX(입력_인턴근무계획!$M$3:$R$402,$A152,$G$3)&amp;"",LEFT(INDEX(입력_인턴근무계획!$M$3:$R$402,$A152,$G$3)&amp;"",FIND(" ",INDEX(입력_인턴근무계획!$M$3:$R$402,$A152,$G$3)&amp;"")-1))))</f>
        <v/>
      </c>
      <c r="H152" s="26">
        <f>IF(OR($C152="",$G$3=""),"",IF(INDEX(입력_인턴근무계획!$M$3:$R$402,$A152,$G$3)&amp;""="","",IF(LEFT(INDEX(입력_인턴근무계획!$M$3:$R$402,$A152,$G$3)&amp;"",1)="⚠","",MID(INDEX(입력_인턴근무계획!$M$3:$R$402,$A152,$G$3)&amp;"",FIND(" ",INDEX(입력_인턴근무계획!$M$3:$R$402,$A152,$G$3)&amp;"")+1,60))))</f>
        <v/>
      </c>
      <c r="I152" s="26">
        <f>IF(OR($C152="",$I$3=""),"",IF(INDEX(입력_인턴근무계획!$M$3:$R$402,$A152,$I$3)&amp;""="","",IF(LEFT(INDEX(입력_인턴근무계획!$M$3:$R$402,$A152,$I$3)&amp;"",1)="⚠",INDEX(입력_인턴근무계획!$M$3:$R$402,$A152,$I$3)&amp;"",LEFT(INDEX(입력_인턴근무계획!$M$3:$R$402,$A152,$I$3)&amp;"",FIND(" ",INDEX(입력_인턴근무계획!$M$3:$R$402,$A152,$I$3)&amp;"")-1))))</f>
        <v/>
      </c>
      <c r="J152" s="26">
        <f>IF(OR($C152="",$I$3=""),"",IF(INDEX(입력_인턴근무계획!$M$3:$R$402,$A152,$I$3)&amp;""="","",IF(LEFT(INDEX(입력_인턴근무계획!$M$3:$R$402,$A152,$I$3)&amp;"",1)="⚠","",MID(INDEX(입력_인턴근무계획!$M$3:$R$402,$A152,$I$3)&amp;"",FIND(" ",INDEX(입력_인턴근무계획!$M$3:$R$402,$A152,$I$3)&amp;"")+1,60))))</f>
        <v/>
      </c>
      <c r="K152" s="26">
        <f>IF($C152="","",INDEX(입력_인턴근무계획!$M$3:$M$402,$A152)&amp;"")</f>
        <v/>
      </c>
      <c r="L152" s="26">
        <f>IF($C152="","",INDEX(입력_인턴근무계획!$N$3:$N$402,$A152)&amp;"")</f>
        <v/>
      </c>
      <c r="M152" s="26">
        <f>IF($C152="","",INDEX(입력_인턴근무계획!$O$3:$O$402,$A152)&amp;"")</f>
        <v/>
      </c>
      <c r="N152" s="26">
        <f>IF($C152="","",INDEX(입력_인턴근무계획!$P$3:$P$402,$A152)&amp;"")</f>
        <v/>
      </c>
      <c r="O152" s="26">
        <f>IF($C152="","",INDEX(입력_인턴근무계획!$Q$3:$Q$402,$A152)&amp;"")</f>
        <v/>
      </c>
      <c r="P152" s="26">
        <f>IF($C152="","",INDEX(입력_인턴근무계획!$R$3:$R$402,$A152)&amp;"")</f>
        <v/>
      </c>
      <c r="Q152" s="26">
        <f>IF($C152="","",INDEX(입력_인턴근무계획!$T$3:$T$402,$A152))</f>
        <v/>
      </c>
    </row>
    <row r="153">
      <c r="A153" s="29" t="n">
        <v>148</v>
      </c>
      <c r="B153" s="26">
        <f>IF($C153="","",INDEX(입력_인턴근무계획!$B$3:$B$402,$A153))</f>
        <v/>
      </c>
      <c r="C153" s="26">
        <f>IFERROR(TRIM(INDEX(입력_인턴근무계획!$C$3:$C$402,$A153)&amp;""),"")</f>
        <v/>
      </c>
      <c r="D153" s="26">
        <f>IF($C153="","",INDEX(입력_인턴근무계획!$D$3:$D$402,$A153))</f>
        <v/>
      </c>
      <c r="E153" s="26">
        <f>IF($C153="","",IF(IFERROR(MATCH($D153,입력_기본자료!$B$2:$B$1001,0),IFERROR(MATCH($D153&amp;"",입력_기본자료!$B$2:$B$1001,0),IFERROR(MATCH(VALUE($D153),입력_기본자료!$B$2:$B$1001,0),0)))&gt;0,"확인","미등록"))</f>
        <v/>
      </c>
      <c r="F153" s="28">
        <f>IF($C153="","",INDEX(입력_인턴근무계획!$S$3:$S$402,$A153))</f>
        <v/>
      </c>
      <c r="G153" s="26">
        <f>IF(OR($C153="",$G$3=""),"",IF(INDEX(입력_인턴근무계획!$M$3:$R$402,$A153,$G$3)&amp;""="","",IF(LEFT(INDEX(입력_인턴근무계획!$M$3:$R$402,$A153,$G$3)&amp;"",1)="⚠",INDEX(입력_인턴근무계획!$M$3:$R$402,$A153,$G$3)&amp;"",LEFT(INDEX(입력_인턴근무계획!$M$3:$R$402,$A153,$G$3)&amp;"",FIND(" ",INDEX(입력_인턴근무계획!$M$3:$R$402,$A153,$G$3)&amp;"")-1))))</f>
        <v/>
      </c>
      <c r="H153" s="26">
        <f>IF(OR($C153="",$G$3=""),"",IF(INDEX(입력_인턴근무계획!$M$3:$R$402,$A153,$G$3)&amp;""="","",IF(LEFT(INDEX(입력_인턴근무계획!$M$3:$R$402,$A153,$G$3)&amp;"",1)="⚠","",MID(INDEX(입력_인턴근무계획!$M$3:$R$402,$A153,$G$3)&amp;"",FIND(" ",INDEX(입력_인턴근무계획!$M$3:$R$402,$A153,$G$3)&amp;"")+1,60))))</f>
        <v/>
      </c>
      <c r="I153" s="26">
        <f>IF(OR($C153="",$I$3=""),"",IF(INDEX(입력_인턴근무계획!$M$3:$R$402,$A153,$I$3)&amp;""="","",IF(LEFT(INDEX(입력_인턴근무계획!$M$3:$R$402,$A153,$I$3)&amp;"",1)="⚠",INDEX(입력_인턴근무계획!$M$3:$R$402,$A153,$I$3)&amp;"",LEFT(INDEX(입력_인턴근무계획!$M$3:$R$402,$A153,$I$3)&amp;"",FIND(" ",INDEX(입력_인턴근무계획!$M$3:$R$402,$A153,$I$3)&amp;"")-1))))</f>
        <v/>
      </c>
      <c r="J153" s="26">
        <f>IF(OR($C153="",$I$3=""),"",IF(INDEX(입력_인턴근무계획!$M$3:$R$402,$A153,$I$3)&amp;""="","",IF(LEFT(INDEX(입력_인턴근무계획!$M$3:$R$402,$A153,$I$3)&amp;"",1)="⚠","",MID(INDEX(입력_인턴근무계획!$M$3:$R$402,$A153,$I$3)&amp;"",FIND(" ",INDEX(입력_인턴근무계획!$M$3:$R$402,$A153,$I$3)&amp;"")+1,60))))</f>
        <v/>
      </c>
      <c r="K153" s="26">
        <f>IF($C153="","",INDEX(입력_인턴근무계획!$M$3:$M$402,$A153)&amp;"")</f>
        <v/>
      </c>
      <c r="L153" s="26">
        <f>IF($C153="","",INDEX(입력_인턴근무계획!$N$3:$N$402,$A153)&amp;"")</f>
        <v/>
      </c>
      <c r="M153" s="26">
        <f>IF($C153="","",INDEX(입력_인턴근무계획!$O$3:$O$402,$A153)&amp;"")</f>
        <v/>
      </c>
      <c r="N153" s="26">
        <f>IF($C153="","",INDEX(입력_인턴근무계획!$P$3:$P$402,$A153)&amp;"")</f>
        <v/>
      </c>
      <c r="O153" s="26">
        <f>IF($C153="","",INDEX(입력_인턴근무계획!$Q$3:$Q$402,$A153)&amp;"")</f>
        <v/>
      </c>
      <c r="P153" s="26">
        <f>IF($C153="","",INDEX(입력_인턴근무계획!$R$3:$R$402,$A153)&amp;"")</f>
        <v/>
      </c>
      <c r="Q153" s="26">
        <f>IF($C153="","",INDEX(입력_인턴근무계획!$T$3:$T$402,$A153))</f>
        <v/>
      </c>
    </row>
    <row r="154">
      <c r="A154" s="29" t="n">
        <v>149</v>
      </c>
      <c r="B154" s="26">
        <f>IF($C154="","",INDEX(입력_인턴근무계획!$B$3:$B$402,$A154))</f>
        <v/>
      </c>
      <c r="C154" s="26">
        <f>IFERROR(TRIM(INDEX(입력_인턴근무계획!$C$3:$C$402,$A154)&amp;""),"")</f>
        <v/>
      </c>
      <c r="D154" s="26">
        <f>IF($C154="","",INDEX(입력_인턴근무계획!$D$3:$D$402,$A154))</f>
        <v/>
      </c>
      <c r="E154" s="26">
        <f>IF($C154="","",IF(IFERROR(MATCH($D154,입력_기본자료!$B$2:$B$1001,0),IFERROR(MATCH($D154&amp;"",입력_기본자료!$B$2:$B$1001,0),IFERROR(MATCH(VALUE($D154),입력_기본자료!$B$2:$B$1001,0),0)))&gt;0,"확인","미등록"))</f>
        <v/>
      </c>
      <c r="F154" s="28">
        <f>IF($C154="","",INDEX(입력_인턴근무계획!$S$3:$S$402,$A154))</f>
        <v/>
      </c>
      <c r="G154" s="26">
        <f>IF(OR($C154="",$G$3=""),"",IF(INDEX(입력_인턴근무계획!$M$3:$R$402,$A154,$G$3)&amp;""="","",IF(LEFT(INDEX(입력_인턴근무계획!$M$3:$R$402,$A154,$G$3)&amp;"",1)="⚠",INDEX(입력_인턴근무계획!$M$3:$R$402,$A154,$G$3)&amp;"",LEFT(INDEX(입력_인턴근무계획!$M$3:$R$402,$A154,$G$3)&amp;"",FIND(" ",INDEX(입력_인턴근무계획!$M$3:$R$402,$A154,$G$3)&amp;"")-1))))</f>
        <v/>
      </c>
      <c r="H154" s="26">
        <f>IF(OR($C154="",$G$3=""),"",IF(INDEX(입력_인턴근무계획!$M$3:$R$402,$A154,$G$3)&amp;""="","",IF(LEFT(INDEX(입력_인턴근무계획!$M$3:$R$402,$A154,$G$3)&amp;"",1)="⚠","",MID(INDEX(입력_인턴근무계획!$M$3:$R$402,$A154,$G$3)&amp;"",FIND(" ",INDEX(입력_인턴근무계획!$M$3:$R$402,$A154,$G$3)&amp;"")+1,60))))</f>
        <v/>
      </c>
      <c r="I154" s="26">
        <f>IF(OR($C154="",$I$3=""),"",IF(INDEX(입력_인턴근무계획!$M$3:$R$402,$A154,$I$3)&amp;""="","",IF(LEFT(INDEX(입력_인턴근무계획!$M$3:$R$402,$A154,$I$3)&amp;"",1)="⚠",INDEX(입력_인턴근무계획!$M$3:$R$402,$A154,$I$3)&amp;"",LEFT(INDEX(입력_인턴근무계획!$M$3:$R$402,$A154,$I$3)&amp;"",FIND(" ",INDEX(입력_인턴근무계획!$M$3:$R$402,$A154,$I$3)&amp;"")-1))))</f>
        <v/>
      </c>
      <c r="J154" s="26">
        <f>IF(OR($C154="",$I$3=""),"",IF(INDEX(입력_인턴근무계획!$M$3:$R$402,$A154,$I$3)&amp;""="","",IF(LEFT(INDEX(입력_인턴근무계획!$M$3:$R$402,$A154,$I$3)&amp;"",1)="⚠","",MID(INDEX(입력_인턴근무계획!$M$3:$R$402,$A154,$I$3)&amp;"",FIND(" ",INDEX(입력_인턴근무계획!$M$3:$R$402,$A154,$I$3)&amp;"")+1,60))))</f>
        <v/>
      </c>
      <c r="K154" s="26">
        <f>IF($C154="","",INDEX(입력_인턴근무계획!$M$3:$M$402,$A154)&amp;"")</f>
        <v/>
      </c>
      <c r="L154" s="26">
        <f>IF($C154="","",INDEX(입력_인턴근무계획!$N$3:$N$402,$A154)&amp;"")</f>
        <v/>
      </c>
      <c r="M154" s="26">
        <f>IF($C154="","",INDEX(입력_인턴근무계획!$O$3:$O$402,$A154)&amp;"")</f>
        <v/>
      </c>
      <c r="N154" s="26">
        <f>IF($C154="","",INDEX(입력_인턴근무계획!$P$3:$P$402,$A154)&amp;"")</f>
        <v/>
      </c>
      <c r="O154" s="26">
        <f>IF($C154="","",INDEX(입력_인턴근무계획!$Q$3:$Q$402,$A154)&amp;"")</f>
        <v/>
      </c>
      <c r="P154" s="26">
        <f>IF($C154="","",INDEX(입력_인턴근무계획!$R$3:$R$402,$A154)&amp;"")</f>
        <v/>
      </c>
      <c r="Q154" s="26">
        <f>IF($C154="","",INDEX(입력_인턴근무계획!$T$3:$T$402,$A154))</f>
        <v/>
      </c>
    </row>
    <row r="155">
      <c r="A155" s="29" t="n">
        <v>150</v>
      </c>
      <c r="B155" s="26">
        <f>IF($C155="","",INDEX(입력_인턴근무계획!$B$3:$B$402,$A155))</f>
        <v/>
      </c>
      <c r="C155" s="26">
        <f>IFERROR(TRIM(INDEX(입력_인턴근무계획!$C$3:$C$402,$A155)&amp;""),"")</f>
        <v/>
      </c>
      <c r="D155" s="26">
        <f>IF($C155="","",INDEX(입력_인턴근무계획!$D$3:$D$402,$A155))</f>
        <v/>
      </c>
      <c r="E155" s="26">
        <f>IF($C155="","",IF(IFERROR(MATCH($D155,입력_기본자료!$B$2:$B$1001,0),IFERROR(MATCH($D155&amp;"",입력_기본자료!$B$2:$B$1001,0),IFERROR(MATCH(VALUE($D155),입력_기본자료!$B$2:$B$1001,0),0)))&gt;0,"확인","미등록"))</f>
        <v/>
      </c>
      <c r="F155" s="28">
        <f>IF($C155="","",INDEX(입력_인턴근무계획!$S$3:$S$402,$A155))</f>
        <v/>
      </c>
      <c r="G155" s="26">
        <f>IF(OR($C155="",$G$3=""),"",IF(INDEX(입력_인턴근무계획!$M$3:$R$402,$A155,$G$3)&amp;""="","",IF(LEFT(INDEX(입력_인턴근무계획!$M$3:$R$402,$A155,$G$3)&amp;"",1)="⚠",INDEX(입력_인턴근무계획!$M$3:$R$402,$A155,$G$3)&amp;"",LEFT(INDEX(입력_인턴근무계획!$M$3:$R$402,$A155,$G$3)&amp;"",FIND(" ",INDEX(입력_인턴근무계획!$M$3:$R$402,$A155,$G$3)&amp;"")-1))))</f>
        <v/>
      </c>
      <c r="H155" s="26">
        <f>IF(OR($C155="",$G$3=""),"",IF(INDEX(입력_인턴근무계획!$M$3:$R$402,$A155,$G$3)&amp;""="","",IF(LEFT(INDEX(입력_인턴근무계획!$M$3:$R$402,$A155,$G$3)&amp;"",1)="⚠","",MID(INDEX(입력_인턴근무계획!$M$3:$R$402,$A155,$G$3)&amp;"",FIND(" ",INDEX(입력_인턴근무계획!$M$3:$R$402,$A155,$G$3)&amp;"")+1,60))))</f>
        <v/>
      </c>
      <c r="I155" s="26">
        <f>IF(OR($C155="",$I$3=""),"",IF(INDEX(입력_인턴근무계획!$M$3:$R$402,$A155,$I$3)&amp;""="","",IF(LEFT(INDEX(입력_인턴근무계획!$M$3:$R$402,$A155,$I$3)&amp;"",1)="⚠",INDEX(입력_인턴근무계획!$M$3:$R$402,$A155,$I$3)&amp;"",LEFT(INDEX(입력_인턴근무계획!$M$3:$R$402,$A155,$I$3)&amp;"",FIND(" ",INDEX(입력_인턴근무계획!$M$3:$R$402,$A155,$I$3)&amp;"")-1))))</f>
        <v/>
      </c>
      <c r="J155" s="26">
        <f>IF(OR($C155="",$I$3=""),"",IF(INDEX(입력_인턴근무계획!$M$3:$R$402,$A155,$I$3)&amp;""="","",IF(LEFT(INDEX(입력_인턴근무계획!$M$3:$R$402,$A155,$I$3)&amp;"",1)="⚠","",MID(INDEX(입력_인턴근무계획!$M$3:$R$402,$A155,$I$3)&amp;"",FIND(" ",INDEX(입력_인턴근무계획!$M$3:$R$402,$A155,$I$3)&amp;"")+1,60))))</f>
        <v/>
      </c>
      <c r="K155" s="26">
        <f>IF($C155="","",INDEX(입력_인턴근무계획!$M$3:$M$402,$A155)&amp;"")</f>
        <v/>
      </c>
      <c r="L155" s="26">
        <f>IF($C155="","",INDEX(입력_인턴근무계획!$N$3:$N$402,$A155)&amp;"")</f>
        <v/>
      </c>
      <c r="M155" s="26">
        <f>IF($C155="","",INDEX(입력_인턴근무계획!$O$3:$O$402,$A155)&amp;"")</f>
        <v/>
      </c>
      <c r="N155" s="26">
        <f>IF($C155="","",INDEX(입력_인턴근무계획!$P$3:$P$402,$A155)&amp;"")</f>
        <v/>
      </c>
      <c r="O155" s="26">
        <f>IF($C155="","",INDEX(입력_인턴근무계획!$Q$3:$Q$402,$A155)&amp;"")</f>
        <v/>
      </c>
      <c r="P155" s="26">
        <f>IF($C155="","",INDEX(입력_인턴근무계획!$R$3:$R$402,$A155)&amp;"")</f>
        <v/>
      </c>
      <c r="Q155" s="26">
        <f>IF($C155="","",INDEX(입력_인턴근무계획!$T$3:$T$402,$A155))</f>
        <v/>
      </c>
    </row>
    <row r="156">
      <c r="A156" s="29" t="n">
        <v>151</v>
      </c>
      <c r="B156" s="26">
        <f>IF($C156="","",INDEX(입력_인턴근무계획!$B$3:$B$402,$A156))</f>
        <v/>
      </c>
      <c r="C156" s="26">
        <f>IFERROR(TRIM(INDEX(입력_인턴근무계획!$C$3:$C$402,$A156)&amp;""),"")</f>
        <v/>
      </c>
      <c r="D156" s="26">
        <f>IF($C156="","",INDEX(입력_인턴근무계획!$D$3:$D$402,$A156))</f>
        <v/>
      </c>
      <c r="E156" s="26">
        <f>IF($C156="","",IF(IFERROR(MATCH($D156,입력_기본자료!$B$2:$B$1001,0),IFERROR(MATCH($D156&amp;"",입력_기본자료!$B$2:$B$1001,0),IFERROR(MATCH(VALUE($D156),입력_기본자료!$B$2:$B$1001,0),0)))&gt;0,"확인","미등록"))</f>
        <v/>
      </c>
      <c r="F156" s="28">
        <f>IF($C156="","",INDEX(입력_인턴근무계획!$S$3:$S$402,$A156))</f>
        <v/>
      </c>
      <c r="G156" s="26">
        <f>IF(OR($C156="",$G$3=""),"",IF(INDEX(입력_인턴근무계획!$M$3:$R$402,$A156,$G$3)&amp;""="","",IF(LEFT(INDEX(입력_인턴근무계획!$M$3:$R$402,$A156,$G$3)&amp;"",1)="⚠",INDEX(입력_인턴근무계획!$M$3:$R$402,$A156,$G$3)&amp;"",LEFT(INDEX(입력_인턴근무계획!$M$3:$R$402,$A156,$G$3)&amp;"",FIND(" ",INDEX(입력_인턴근무계획!$M$3:$R$402,$A156,$G$3)&amp;"")-1))))</f>
        <v/>
      </c>
      <c r="H156" s="26">
        <f>IF(OR($C156="",$G$3=""),"",IF(INDEX(입력_인턴근무계획!$M$3:$R$402,$A156,$G$3)&amp;""="","",IF(LEFT(INDEX(입력_인턴근무계획!$M$3:$R$402,$A156,$G$3)&amp;"",1)="⚠","",MID(INDEX(입력_인턴근무계획!$M$3:$R$402,$A156,$G$3)&amp;"",FIND(" ",INDEX(입력_인턴근무계획!$M$3:$R$402,$A156,$G$3)&amp;"")+1,60))))</f>
        <v/>
      </c>
      <c r="I156" s="26">
        <f>IF(OR($C156="",$I$3=""),"",IF(INDEX(입력_인턴근무계획!$M$3:$R$402,$A156,$I$3)&amp;""="","",IF(LEFT(INDEX(입력_인턴근무계획!$M$3:$R$402,$A156,$I$3)&amp;"",1)="⚠",INDEX(입력_인턴근무계획!$M$3:$R$402,$A156,$I$3)&amp;"",LEFT(INDEX(입력_인턴근무계획!$M$3:$R$402,$A156,$I$3)&amp;"",FIND(" ",INDEX(입력_인턴근무계획!$M$3:$R$402,$A156,$I$3)&amp;"")-1))))</f>
        <v/>
      </c>
      <c r="J156" s="26">
        <f>IF(OR($C156="",$I$3=""),"",IF(INDEX(입력_인턴근무계획!$M$3:$R$402,$A156,$I$3)&amp;""="","",IF(LEFT(INDEX(입력_인턴근무계획!$M$3:$R$402,$A156,$I$3)&amp;"",1)="⚠","",MID(INDEX(입력_인턴근무계획!$M$3:$R$402,$A156,$I$3)&amp;"",FIND(" ",INDEX(입력_인턴근무계획!$M$3:$R$402,$A156,$I$3)&amp;"")+1,60))))</f>
        <v/>
      </c>
      <c r="K156" s="26">
        <f>IF($C156="","",INDEX(입력_인턴근무계획!$M$3:$M$402,$A156)&amp;"")</f>
        <v/>
      </c>
      <c r="L156" s="26">
        <f>IF($C156="","",INDEX(입력_인턴근무계획!$N$3:$N$402,$A156)&amp;"")</f>
        <v/>
      </c>
      <c r="M156" s="26">
        <f>IF($C156="","",INDEX(입력_인턴근무계획!$O$3:$O$402,$A156)&amp;"")</f>
        <v/>
      </c>
      <c r="N156" s="26">
        <f>IF($C156="","",INDEX(입력_인턴근무계획!$P$3:$P$402,$A156)&amp;"")</f>
        <v/>
      </c>
      <c r="O156" s="26">
        <f>IF($C156="","",INDEX(입력_인턴근무계획!$Q$3:$Q$402,$A156)&amp;"")</f>
        <v/>
      </c>
      <c r="P156" s="26">
        <f>IF($C156="","",INDEX(입력_인턴근무계획!$R$3:$R$402,$A156)&amp;"")</f>
        <v/>
      </c>
      <c r="Q156" s="26">
        <f>IF($C156="","",INDEX(입력_인턴근무계획!$T$3:$T$402,$A156))</f>
        <v/>
      </c>
    </row>
    <row r="157">
      <c r="A157" s="29" t="n">
        <v>152</v>
      </c>
      <c r="B157" s="26">
        <f>IF($C157="","",INDEX(입력_인턴근무계획!$B$3:$B$402,$A157))</f>
        <v/>
      </c>
      <c r="C157" s="26">
        <f>IFERROR(TRIM(INDEX(입력_인턴근무계획!$C$3:$C$402,$A157)&amp;""),"")</f>
        <v/>
      </c>
      <c r="D157" s="26">
        <f>IF($C157="","",INDEX(입력_인턴근무계획!$D$3:$D$402,$A157))</f>
        <v/>
      </c>
      <c r="E157" s="26">
        <f>IF($C157="","",IF(IFERROR(MATCH($D157,입력_기본자료!$B$2:$B$1001,0),IFERROR(MATCH($D157&amp;"",입력_기본자료!$B$2:$B$1001,0),IFERROR(MATCH(VALUE($D157),입력_기본자료!$B$2:$B$1001,0),0)))&gt;0,"확인","미등록"))</f>
        <v/>
      </c>
      <c r="F157" s="28">
        <f>IF($C157="","",INDEX(입력_인턴근무계획!$S$3:$S$402,$A157))</f>
        <v/>
      </c>
      <c r="G157" s="26">
        <f>IF(OR($C157="",$G$3=""),"",IF(INDEX(입력_인턴근무계획!$M$3:$R$402,$A157,$G$3)&amp;""="","",IF(LEFT(INDEX(입력_인턴근무계획!$M$3:$R$402,$A157,$G$3)&amp;"",1)="⚠",INDEX(입력_인턴근무계획!$M$3:$R$402,$A157,$G$3)&amp;"",LEFT(INDEX(입력_인턴근무계획!$M$3:$R$402,$A157,$G$3)&amp;"",FIND(" ",INDEX(입력_인턴근무계획!$M$3:$R$402,$A157,$G$3)&amp;"")-1))))</f>
        <v/>
      </c>
      <c r="H157" s="26">
        <f>IF(OR($C157="",$G$3=""),"",IF(INDEX(입력_인턴근무계획!$M$3:$R$402,$A157,$G$3)&amp;""="","",IF(LEFT(INDEX(입력_인턴근무계획!$M$3:$R$402,$A157,$G$3)&amp;"",1)="⚠","",MID(INDEX(입력_인턴근무계획!$M$3:$R$402,$A157,$G$3)&amp;"",FIND(" ",INDEX(입력_인턴근무계획!$M$3:$R$402,$A157,$G$3)&amp;"")+1,60))))</f>
        <v/>
      </c>
      <c r="I157" s="26">
        <f>IF(OR($C157="",$I$3=""),"",IF(INDEX(입력_인턴근무계획!$M$3:$R$402,$A157,$I$3)&amp;""="","",IF(LEFT(INDEX(입력_인턴근무계획!$M$3:$R$402,$A157,$I$3)&amp;"",1)="⚠",INDEX(입력_인턴근무계획!$M$3:$R$402,$A157,$I$3)&amp;"",LEFT(INDEX(입력_인턴근무계획!$M$3:$R$402,$A157,$I$3)&amp;"",FIND(" ",INDEX(입력_인턴근무계획!$M$3:$R$402,$A157,$I$3)&amp;"")-1))))</f>
        <v/>
      </c>
      <c r="J157" s="26">
        <f>IF(OR($C157="",$I$3=""),"",IF(INDEX(입력_인턴근무계획!$M$3:$R$402,$A157,$I$3)&amp;""="","",IF(LEFT(INDEX(입력_인턴근무계획!$M$3:$R$402,$A157,$I$3)&amp;"",1)="⚠","",MID(INDEX(입력_인턴근무계획!$M$3:$R$402,$A157,$I$3)&amp;"",FIND(" ",INDEX(입력_인턴근무계획!$M$3:$R$402,$A157,$I$3)&amp;"")+1,60))))</f>
        <v/>
      </c>
      <c r="K157" s="26">
        <f>IF($C157="","",INDEX(입력_인턴근무계획!$M$3:$M$402,$A157)&amp;"")</f>
        <v/>
      </c>
      <c r="L157" s="26">
        <f>IF($C157="","",INDEX(입력_인턴근무계획!$N$3:$N$402,$A157)&amp;"")</f>
        <v/>
      </c>
      <c r="M157" s="26">
        <f>IF($C157="","",INDEX(입력_인턴근무계획!$O$3:$O$402,$A157)&amp;"")</f>
        <v/>
      </c>
      <c r="N157" s="26">
        <f>IF($C157="","",INDEX(입력_인턴근무계획!$P$3:$P$402,$A157)&amp;"")</f>
        <v/>
      </c>
      <c r="O157" s="26">
        <f>IF($C157="","",INDEX(입력_인턴근무계획!$Q$3:$Q$402,$A157)&amp;"")</f>
        <v/>
      </c>
      <c r="P157" s="26">
        <f>IF($C157="","",INDEX(입력_인턴근무계획!$R$3:$R$402,$A157)&amp;"")</f>
        <v/>
      </c>
      <c r="Q157" s="26">
        <f>IF($C157="","",INDEX(입력_인턴근무계획!$T$3:$T$402,$A157))</f>
        <v/>
      </c>
    </row>
    <row r="158">
      <c r="A158" s="29" t="n">
        <v>153</v>
      </c>
      <c r="B158" s="26">
        <f>IF($C158="","",INDEX(입력_인턴근무계획!$B$3:$B$402,$A158))</f>
        <v/>
      </c>
      <c r="C158" s="26">
        <f>IFERROR(TRIM(INDEX(입력_인턴근무계획!$C$3:$C$402,$A158)&amp;""),"")</f>
        <v/>
      </c>
      <c r="D158" s="26">
        <f>IF($C158="","",INDEX(입력_인턴근무계획!$D$3:$D$402,$A158))</f>
        <v/>
      </c>
      <c r="E158" s="26">
        <f>IF($C158="","",IF(IFERROR(MATCH($D158,입력_기본자료!$B$2:$B$1001,0),IFERROR(MATCH($D158&amp;"",입력_기본자료!$B$2:$B$1001,0),IFERROR(MATCH(VALUE($D158),입력_기본자료!$B$2:$B$1001,0),0)))&gt;0,"확인","미등록"))</f>
        <v/>
      </c>
      <c r="F158" s="28">
        <f>IF($C158="","",INDEX(입력_인턴근무계획!$S$3:$S$402,$A158))</f>
        <v/>
      </c>
      <c r="G158" s="26">
        <f>IF(OR($C158="",$G$3=""),"",IF(INDEX(입력_인턴근무계획!$M$3:$R$402,$A158,$G$3)&amp;""="","",IF(LEFT(INDEX(입력_인턴근무계획!$M$3:$R$402,$A158,$G$3)&amp;"",1)="⚠",INDEX(입력_인턴근무계획!$M$3:$R$402,$A158,$G$3)&amp;"",LEFT(INDEX(입력_인턴근무계획!$M$3:$R$402,$A158,$G$3)&amp;"",FIND(" ",INDEX(입력_인턴근무계획!$M$3:$R$402,$A158,$G$3)&amp;"")-1))))</f>
        <v/>
      </c>
      <c r="H158" s="26">
        <f>IF(OR($C158="",$G$3=""),"",IF(INDEX(입력_인턴근무계획!$M$3:$R$402,$A158,$G$3)&amp;""="","",IF(LEFT(INDEX(입력_인턴근무계획!$M$3:$R$402,$A158,$G$3)&amp;"",1)="⚠","",MID(INDEX(입력_인턴근무계획!$M$3:$R$402,$A158,$G$3)&amp;"",FIND(" ",INDEX(입력_인턴근무계획!$M$3:$R$402,$A158,$G$3)&amp;"")+1,60))))</f>
        <v/>
      </c>
      <c r="I158" s="26">
        <f>IF(OR($C158="",$I$3=""),"",IF(INDEX(입력_인턴근무계획!$M$3:$R$402,$A158,$I$3)&amp;""="","",IF(LEFT(INDEX(입력_인턴근무계획!$M$3:$R$402,$A158,$I$3)&amp;"",1)="⚠",INDEX(입력_인턴근무계획!$M$3:$R$402,$A158,$I$3)&amp;"",LEFT(INDEX(입력_인턴근무계획!$M$3:$R$402,$A158,$I$3)&amp;"",FIND(" ",INDEX(입력_인턴근무계획!$M$3:$R$402,$A158,$I$3)&amp;"")-1))))</f>
        <v/>
      </c>
      <c r="J158" s="26">
        <f>IF(OR($C158="",$I$3=""),"",IF(INDEX(입력_인턴근무계획!$M$3:$R$402,$A158,$I$3)&amp;""="","",IF(LEFT(INDEX(입력_인턴근무계획!$M$3:$R$402,$A158,$I$3)&amp;"",1)="⚠","",MID(INDEX(입력_인턴근무계획!$M$3:$R$402,$A158,$I$3)&amp;"",FIND(" ",INDEX(입력_인턴근무계획!$M$3:$R$402,$A158,$I$3)&amp;"")+1,60))))</f>
        <v/>
      </c>
      <c r="K158" s="26">
        <f>IF($C158="","",INDEX(입력_인턴근무계획!$M$3:$M$402,$A158)&amp;"")</f>
        <v/>
      </c>
      <c r="L158" s="26">
        <f>IF($C158="","",INDEX(입력_인턴근무계획!$N$3:$N$402,$A158)&amp;"")</f>
        <v/>
      </c>
      <c r="M158" s="26">
        <f>IF($C158="","",INDEX(입력_인턴근무계획!$O$3:$O$402,$A158)&amp;"")</f>
        <v/>
      </c>
      <c r="N158" s="26">
        <f>IF($C158="","",INDEX(입력_인턴근무계획!$P$3:$P$402,$A158)&amp;"")</f>
        <v/>
      </c>
      <c r="O158" s="26">
        <f>IF($C158="","",INDEX(입력_인턴근무계획!$Q$3:$Q$402,$A158)&amp;"")</f>
        <v/>
      </c>
      <c r="P158" s="26">
        <f>IF($C158="","",INDEX(입력_인턴근무계획!$R$3:$R$402,$A158)&amp;"")</f>
        <v/>
      </c>
      <c r="Q158" s="26">
        <f>IF($C158="","",INDEX(입력_인턴근무계획!$T$3:$T$402,$A158))</f>
        <v/>
      </c>
    </row>
    <row r="159">
      <c r="A159" s="29" t="n">
        <v>154</v>
      </c>
      <c r="B159" s="26">
        <f>IF($C159="","",INDEX(입력_인턴근무계획!$B$3:$B$402,$A159))</f>
        <v/>
      </c>
      <c r="C159" s="26">
        <f>IFERROR(TRIM(INDEX(입력_인턴근무계획!$C$3:$C$402,$A159)&amp;""),"")</f>
        <v/>
      </c>
      <c r="D159" s="26">
        <f>IF($C159="","",INDEX(입력_인턴근무계획!$D$3:$D$402,$A159))</f>
        <v/>
      </c>
      <c r="E159" s="26">
        <f>IF($C159="","",IF(IFERROR(MATCH($D159,입력_기본자료!$B$2:$B$1001,0),IFERROR(MATCH($D159&amp;"",입력_기본자료!$B$2:$B$1001,0),IFERROR(MATCH(VALUE($D159),입력_기본자료!$B$2:$B$1001,0),0)))&gt;0,"확인","미등록"))</f>
        <v/>
      </c>
      <c r="F159" s="28">
        <f>IF($C159="","",INDEX(입력_인턴근무계획!$S$3:$S$402,$A159))</f>
        <v/>
      </c>
      <c r="G159" s="26">
        <f>IF(OR($C159="",$G$3=""),"",IF(INDEX(입력_인턴근무계획!$M$3:$R$402,$A159,$G$3)&amp;""="","",IF(LEFT(INDEX(입력_인턴근무계획!$M$3:$R$402,$A159,$G$3)&amp;"",1)="⚠",INDEX(입력_인턴근무계획!$M$3:$R$402,$A159,$G$3)&amp;"",LEFT(INDEX(입력_인턴근무계획!$M$3:$R$402,$A159,$G$3)&amp;"",FIND(" ",INDEX(입력_인턴근무계획!$M$3:$R$402,$A159,$G$3)&amp;"")-1))))</f>
        <v/>
      </c>
      <c r="H159" s="26">
        <f>IF(OR($C159="",$G$3=""),"",IF(INDEX(입력_인턴근무계획!$M$3:$R$402,$A159,$G$3)&amp;""="","",IF(LEFT(INDEX(입력_인턴근무계획!$M$3:$R$402,$A159,$G$3)&amp;"",1)="⚠","",MID(INDEX(입력_인턴근무계획!$M$3:$R$402,$A159,$G$3)&amp;"",FIND(" ",INDEX(입력_인턴근무계획!$M$3:$R$402,$A159,$G$3)&amp;"")+1,60))))</f>
        <v/>
      </c>
      <c r="I159" s="26">
        <f>IF(OR($C159="",$I$3=""),"",IF(INDEX(입력_인턴근무계획!$M$3:$R$402,$A159,$I$3)&amp;""="","",IF(LEFT(INDEX(입력_인턴근무계획!$M$3:$R$402,$A159,$I$3)&amp;"",1)="⚠",INDEX(입력_인턴근무계획!$M$3:$R$402,$A159,$I$3)&amp;"",LEFT(INDEX(입력_인턴근무계획!$M$3:$R$402,$A159,$I$3)&amp;"",FIND(" ",INDEX(입력_인턴근무계획!$M$3:$R$402,$A159,$I$3)&amp;"")-1))))</f>
        <v/>
      </c>
      <c r="J159" s="26">
        <f>IF(OR($C159="",$I$3=""),"",IF(INDEX(입력_인턴근무계획!$M$3:$R$402,$A159,$I$3)&amp;""="","",IF(LEFT(INDEX(입력_인턴근무계획!$M$3:$R$402,$A159,$I$3)&amp;"",1)="⚠","",MID(INDEX(입력_인턴근무계획!$M$3:$R$402,$A159,$I$3)&amp;"",FIND(" ",INDEX(입력_인턴근무계획!$M$3:$R$402,$A159,$I$3)&amp;"")+1,60))))</f>
        <v/>
      </c>
      <c r="K159" s="26">
        <f>IF($C159="","",INDEX(입력_인턴근무계획!$M$3:$M$402,$A159)&amp;"")</f>
        <v/>
      </c>
      <c r="L159" s="26">
        <f>IF($C159="","",INDEX(입력_인턴근무계획!$N$3:$N$402,$A159)&amp;"")</f>
        <v/>
      </c>
      <c r="M159" s="26">
        <f>IF($C159="","",INDEX(입력_인턴근무계획!$O$3:$O$402,$A159)&amp;"")</f>
        <v/>
      </c>
      <c r="N159" s="26">
        <f>IF($C159="","",INDEX(입력_인턴근무계획!$P$3:$P$402,$A159)&amp;"")</f>
        <v/>
      </c>
      <c r="O159" s="26">
        <f>IF($C159="","",INDEX(입력_인턴근무계획!$Q$3:$Q$402,$A159)&amp;"")</f>
        <v/>
      </c>
      <c r="P159" s="26">
        <f>IF($C159="","",INDEX(입력_인턴근무계획!$R$3:$R$402,$A159)&amp;"")</f>
        <v/>
      </c>
      <c r="Q159" s="26">
        <f>IF($C159="","",INDEX(입력_인턴근무계획!$T$3:$T$402,$A159))</f>
        <v/>
      </c>
    </row>
    <row r="160">
      <c r="A160" s="29" t="n">
        <v>155</v>
      </c>
      <c r="B160" s="26">
        <f>IF($C160="","",INDEX(입력_인턴근무계획!$B$3:$B$402,$A160))</f>
        <v/>
      </c>
      <c r="C160" s="26">
        <f>IFERROR(TRIM(INDEX(입력_인턴근무계획!$C$3:$C$402,$A160)&amp;""),"")</f>
        <v/>
      </c>
      <c r="D160" s="26">
        <f>IF($C160="","",INDEX(입력_인턴근무계획!$D$3:$D$402,$A160))</f>
        <v/>
      </c>
      <c r="E160" s="26">
        <f>IF($C160="","",IF(IFERROR(MATCH($D160,입력_기본자료!$B$2:$B$1001,0),IFERROR(MATCH($D160&amp;"",입력_기본자료!$B$2:$B$1001,0),IFERROR(MATCH(VALUE($D160),입력_기본자료!$B$2:$B$1001,0),0)))&gt;0,"확인","미등록"))</f>
        <v/>
      </c>
      <c r="F160" s="28">
        <f>IF($C160="","",INDEX(입력_인턴근무계획!$S$3:$S$402,$A160))</f>
        <v/>
      </c>
      <c r="G160" s="26">
        <f>IF(OR($C160="",$G$3=""),"",IF(INDEX(입력_인턴근무계획!$M$3:$R$402,$A160,$G$3)&amp;""="","",IF(LEFT(INDEX(입력_인턴근무계획!$M$3:$R$402,$A160,$G$3)&amp;"",1)="⚠",INDEX(입력_인턴근무계획!$M$3:$R$402,$A160,$G$3)&amp;"",LEFT(INDEX(입력_인턴근무계획!$M$3:$R$402,$A160,$G$3)&amp;"",FIND(" ",INDEX(입력_인턴근무계획!$M$3:$R$402,$A160,$G$3)&amp;"")-1))))</f>
        <v/>
      </c>
      <c r="H160" s="26">
        <f>IF(OR($C160="",$G$3=""),"",IF(INDEX(입력_인턴근무계획!$M$3:$R$402,$A160,$G$3)&amp;""="","",IF(LEFT(INDEX(입력_인턴근무계획!$M$3:$R$402,$A160,$G$3)&amp;"",1)="⚠","",MID(INDEX(입력_인턴근무계획!$M$3:$R$402,$A160,$G$3)&amp;"",FIND(" ",INDEX(입력_인턴근무계획!$M$3:$R$402,$A160,$G$3)&amp;"")+1,60))))</f>
        <v/>
      </c>
      <c r="I160" s="26">
        <f>IF(OR($C160="",$I$3=""),"",IF(INDEX(입력_인턴근무계획!$M$3:$R$402,$A160,$I$3)&amp;""="","",IF(LEFT(INDEX(입력_인턴근무계획!$M$3:$R$402,$A160,$I$3)&amp;"",1)="⚠",INDEX(입력_인턴근무계획!$M$3:$R$402,$A160,$I$3)&amp;"",LEFT(INDEX(입력_인턴근무계획!$M$3:$R$402,$A160,$I$3)&amp;"",FIND(" ",INDEX(입력_인턴근무계획!$M$3:$R$402,$A160,$I$3)&amp;"")-1))))</f>
        <v/>
      </c>
      <c r="J160" s="26">
        <f>IF(OR($C160="",$I$3=""),"",IF(INDEX(입력_인턴근무계획!$M$3:$R$402,$A160,$I$3)&amp;""="","",IF(LEFT(INDEX(입력_인턴근무계획!$M$3:$R$402,$A160,$I$3)&amp;"",1)="⚠","",MID(INDEX(입력_인턴근무계획!$M$3:$R$402,$A160,$I$3)&amp;"",FIND(" ",INDEX(입력_인턴근무계획!$M$3:$R$402,$A160,$I$3)&amp;"")+1,60))))</f>
        <v/>
      </c>
      <c r="K160" s="26">
        <f>IF($C160="","",INDEX(입력_인턴근무계획!$M$3:$M$402,$A160)&amp;"")</f>
        <v/>
      </c>
      <c r="L160" s="26">
        <f>IF($C160="","",INDEX(입력_인턴근무계획!$N$3:$N$402,$A160)&amp;"")</f>
        <v/>
      </c>
      <c r="M160" s="26">
        <f>IF($C160="","",INDEX(입력_인턴근무계획!$O$3:$O$402,$A160)&amp;"")</f>
        <v/>
      </c>
      <c r="N160" s="26">
        <f>IF($C160="","",INDEX(입력_인턴근무계획!$P$3:$P$402,$A160)&amp;"")</f>
        <v/>
      </c>
      <c r="O160" s="26">
        <f>IF($C160="","",INDEX(입력_인턴근무계획!$Q$3:$Q$402,$A160)&amp;"")</f>
        <v/>
      </c>
      <c r="P160" s="26">
        <f>IF($C160="","",INDEX(입력_인턴근무계획!$R$3:$R$402,$A160)&amp;"")</f>
        <v/>
      </c>
      <c r="Q160" s="26">
        <f>IF($C160="","",INDEX(입력_인턴근무계획!$T$3:$T$402,$A160))</f>
        <v/>
      </c>
    </row>
    <row r="161">
      <c r="A161" s="29" t="n">
        <v>156</v>
      </c>
      <c r="B161" s="26">
        <f>IF($C161="","",INDEX(입력_인턴근무계획!$B$3:$B$402,$A161))</f>
        <v/>
      </c>
      <c r="C161" s="26">
        <f>IFERROR(TRIM(INDEX(입력_인턴근무계획!$C$3:$C$402,$A161)&amp;""),"")</f>
        <v/>
      </c>
      <c r="D161" s="26">
        <f>IF($C161="","",INDEX(입력_인턴근무계획!$D$3:$D$402,$A161))</f>
        <v/>
      </c>
      <c r="E161" s="26">
        <f>IF($C161="","",IF(IFERROR(MATCH($D161,입력_기본자료!$B$2:$B$1001,0),IFERROR(MATCH($D161&amp;"",입력_기본자료!$B$2:$B$1001,0),IFERROR(MATCH(VALUE($D161),입력_기본자료!$B$2:$B$1001,0),0)))&gt;0,"확인","미등록"))</f>
        <v/>
      </c>
      <c r="F161" s="28">
        <f>IF($C161="","",INDEX(입력_인턴근무계획!$S$3:$S$402,$A161))</f>
        <v/>
      </c>
      <c r="G161" s="26">
        <f>IF(OR($C161="",$G$3=""),"",IF(INDEX(입력_인턴근무계획!$M$3:$R$402,$A161,$G$3)&amp;""="","",IF(LEFT(INDEX(입력_인턴근무계획!$M$3:$R$402,$A161,$G$3)&amp;"",1)="⚠",INDEX(입력_인턴근무계획!$M$3:$R$402,$A161,$G$3)&amp;"",LEFT(INDEX(입력_인턴근무계획!$M$3:$R$402,$A161,$G$3)&amp;"",FIND(" ",INDEX(입력_인턴근무계획!$M$3:$R$402,$A161,$G$3)&amp;"")-1))))</f>
        <v/>
      </c>
      <c r="H161" s="26">
        <f>IF(OR($C161="",$G$3=""),"",IF(INDEX(입력_인턴근무계획!$M$3:$R$402,$A161,$G$3)&amp;""="","",IF(LEFT(INDEX(입력_인턴근무계획!$M$3:$R$402,$A161,$G$3)&amp;"",1)="⚠","",MID(INDEX(입력_인턴근무계획!$M$3:$R$402,$A161,$G$3)&amp;"",FIND(" ",INDEX(입력_인턴근무계획!$M$3:$R$402,$A161,$G$3)&amp;"")+1,60))))</f>
        <v/>
      </c>
      <c r="I161" s="26">
        <f>IF(OR($C161="",$I$3=""),"",IF(INDEX(입력_인턴근무계획!$M$3:$R$402,$A161,$I$3)&amp;""="","",IF(LEFT(INDEX(입력_인턴근무계획!$M$3:$R$402,$A161,$I$3)&amp;"",1)="⚠",INDEX(입력_인턴근무계획!$M$3:$R$402,$A161,$I$3)&amp;"",LEFT(INDEX(입력_인턴근무계획!$M$3:$R$402,$A161,$I$3)&amp;"",FIND(" ",INDEX(입력_인턴근무계획!$M$3:$R$402,$A161,$I$3)&amp;"")-1))))</f>
        <v/>
      </c>
      <c r="J161" s="26">
        <f>IF(OR($C161="",$I$3=""),"",IF(INDEX(입력_인턴근무계획!$M$3:$R$402,$A161,$I$3)&amp;""="","",IF(LEFT(INDEX(입력_인턴근무계획!$M$3:$R$402,$A161,$I$3)&amp;"",1)="⚠","",MID(INDEX(입력_인턴근무계획!$M$3:$R$402,$A161,$I$3)&amp;"",FIND(" ",INDEX(입력_인턴근무계획!$M$3:$R$402,$A161,$I$3)&amp;"")+1,60))))</f>
        <v/>
      </c>
      <c r="K161" s="26">
        <f>IF($C161="","",INDEX(입력_인턴근무계획!$M$3:$M$402,$A161)&amp;"")</f>
        <v/>
      </c>
      <c r="L161" s="26">
        <f>IF($C161="","",INDEX(입력_인턴근무계획!$N$3:$N$402,$A161)&amp;"")</f>
        <v/>
      </c>
      <c r="M161" s="26">
        <f>IF($C161="","",INDEX(입력_인턴근무계획!$O$3:$O$402,$A161)&amp;"")</f>
        <v/>
      </c>
      <c r="N161" s="26">
        <f>IF($C161="","",INDEX(입력_인턴근무계획!$P$3:$P$402,$A161)&amp;"")</f>
        <v/>
      </c>
      <c r="O161" s="26">
        <f>IF($C161="","",INDEX(입력_인턴근무계획!$Q$3:$Q$402,$A161)&amp;"")</f>
        <v/>
      </c>
      <c r="P161" s="26">
        <f>IF($C161="","",INDEX(입력_인턴근무계획!$R$3:$R$402,$A161)&amp;"")</f>
        <v/>
      </c>
      <c r="Q161" s="26">
        <f>IF($C161="","",INDEX(입력_인턴근무계획!$T$3:$T$402,$A161))</f>
        <v/>
      </c>
    </row>
    <row r="162">
      <c r="A162" s="29" t="n">
        <v>157</v>
      </c>
      <c r="B162" s="26">
        <f>IF($C162="","",INDEX(입력_인턴근무계획!$B$3:$B$402,$A162))</f>
        <v/>
      </c>
      <c r="C162" s="26">
        <f>IFERROR(TRIM(INDEX(입력_인턴근무계획!$C$3:$C$402,$A162)&amp;""),"")</f>
        <v/>
      </c>
      <c r="D162" s="26">
        <f>IF($C162="","",INDEX(입력_인턴근무계획!$D$3:$D$402,$A162))</f>
        <v/>
      </c>
      <c r="E162" s="26">
        <f>IF($C162="","",IF(IFERROR(MATCH($D162,입력_기본자료!$B$2:$B$1001,0),IFERROR(MATCH($D162&amp;"",입력_기본자료!$B$2:$B$1001,0),IFERROR(MATCH(VALUE($D162),입력_기본자료!$B$2:$B$1001,0),0)))&gt;0,"확인","미등록"))</f>
        <v/>
      </c>
      <c r="F162" s="28">
        <f>IF($C162="","",INDEX(입력_인턴근무계획!$S$3:$S$402,$A162))</f>
        <v/>
      </c>
      <c r="G162" s="26">
        <f>IF(OR($C162="",$G$3=""),"",IF(INDEX(입력_인턴근무계획!$M$3:$R$402,$A162,$G$3)&amp;""="","",IF(LEFT(INDEX(입력_인턴근무계획!$M$3:$R$402,$A162,$G$3)&amp;"",1)="⚠",INDEX(입력_인턴근무계획!$M$3:$R$402,$A162,$G$3)&amp;"",LEFT(INDEX(입력_인턴근무계획!$M$3:$R$402,$A162,$G$3)&amp;"",FIND(" ",INDEX(입력_인턴근무계획!$M$3:$R$402,$A162,$G$3)&amp;"")-1))))</f>
        <v/>
      </c>
      <c r="H162" s="26">
        <f>IF(OR($C162="",$G$3=""),"",IF(INDEX(입력_인턴근무계획!$M$3:$R$402,$A162,$G$3)&amp;""="","",IF(LEFT(INDEX(입력_인턴근무계획!$M$3:$R$402,$A162,$G$3)&amp;"",1)="⚠","",MID(INDEX(입력_인턴근무계획!$M$3:$R$402,$A162,$G$3)&amp;"",FIND(" ",INDEX(입력_인턴근무계획!$M$3:$R$402,$A162,$G$3)&amp;"")+1,60))))</f>
        <v/>
      </c>
      <c r="I162" s="26">
        <f>IF(OR($C162="",$I$3=""),"",IF(INDEX(입력_인턴근무계획!$M$3:$R$402,$A162,$I$3)&amp;""="","",IF(LEFT(INDEX(입력_인턴근무계획!$M$3:$R$402,$A162,$I$3)&amp;"",1)="⚠",INDEX(입력_인턴근무계획!$M$3:$R$402,$A162,$I$3)&amp;"",LEFT(INDEX(입력_인턴근무계획!$M$3:$R$402,$A162,$I$3)&amp;"",FIND(" ",INDEX(입력_인턴근무계획!$M$3:$R$402,$A162,$I$3)&amp;"")-1))))</f>
        <v/>
      </c>
      <c r="J162" s="26">
        <f>IF(OR($C162="",$I$3=""),"",IF(INDEX(입력_인턴근무계획!$M$3:$R$402,$A162,$I$3)&amp;""="","",IF(LEFT(INDEX(입력_인턴근무계획!$M$3:$R$402,$A162,$I$3)&amp;"",1)="⚠","",MID(INDEX(입력_인턴근무계획!$M$3:$R$402,$A162,$I$3)&amp;"",FIND(" ",INDEX(입력_인턴근무계획!$M$3:$R$402,$A162,$I$3)&amp;"")+1,60))))</f>
        <v/>
      </c>
      <c r="K162" s="26">
        <f>IF($C162="","",INDEX(입력_인턴근무계획!$M$3:$M$402,$A162)&amp;"")</f>
        <v/>
      </c>
      <c r="L162" s="26">
        <f>IF($C162="","",INDEX(입력_인턴근무계획!$N$3:$N$402,$A162)&amp;"")</f>
        <v/>
      </c>
      <c r="M162" s="26">
        <f>IF($C162="","",INDEX(입력_인턴근무계획!$O$3:$O$402,$A162)&amp;"")</f>
        <v/>
      </c>
      <c r="N162" s="26">
        <f>IF($C162="","",INDEX(입력_인턴근무계획!$P$3:$P$402,$A162)&amp;"")</f>
        <v/>
      </c>
      <c r="O162" s="26">
        <f>IF($C162="","",INDEX(입력_인턴근무계획!$Q$3:$Q$402,$A162)&amp;"")</f>
        <v/>
      </c>
      <c r="P162" s="26">
        <f>IF($C162="","",INDEX(입력_인턴근무계획!$R$3:$R$402,$A162)&amp;"")</f>
        <v/>
      </c>
      <c r="Q162" s="26">
        <f>IF($C162="","",INDEX(입력_인턴근무계획!$T$3:$T$402,$A162))</f>
        <v/>
      </c>
    </row>
    <row r="163">
      <c r="A163" s="29" t="n">
        <v>158</v>
      </c>
      <c r="B163" s="26">
        <f>IF($C163="","",INDEX(입력_인턴근무계획!$B$3:$B$402,$A163))</f>
        <v/>
      </c>
      <c r="C163" s="26">
        <f>IFERROR(TRIM(INDEX(입력_인턴근무계획!$C$3:$C$402,$A163)&amp;""),"")</f>
        <v/>
      </c>
      <c r="D163" s="26">
        <f>IF($C163="","",INDEX(입력_인턴근무계획!$D$3:$D$402,$A163))</f>
        <v/>
      </c>
      <c r="E163" s="26">
        <f>IF($C163="","",IF(IFERROR(MATCH($D163,입력_기본자료!$B$2:$B$1001,0),IFERROR(MATCH($D163&amp;"",입력_기본자료!$B$2:$B$1001,0),IFERROR(MATCH(VALUE($D163),입력_기본자료!$B$2:$B$1001,0),0)))&gt;0,"확인","미등록"))</f>
        <v/>
      </c>
      <c r="F163" s="28">
        <f>IF($C163="","",INDEX(입력_인턴근무계획!$S$3:$S$402,$A163))</f>
        <v/>
      </c>
      <c r="G163" s="26">
        <f>IF(OR($C163="",$G$3=""),"",IF(INDEX(입력_인턴근무계획!$M$3:$R$402,$A163,$G$3)&amp;""="","",IF(LEFT(INDEX(입력_인턴근무계획!$M$3:$R$402,$A163,$G$3)&amp;"",1)="⚠",INDEX(입력_인턴근무계획!$M$3:$R$402,$A163,$G$3)&amp;"",LEFT(INDEX(입력_인턴근무계획!$M$3:$R$402,$A163,$G$3)&amp;"",FIND(" ",INDEX(입력_인턴근무계획!$M$3:$R$402,$A163,$G$3)&amp;"")-1))))</f>
        <v/>
      </c>
      <c r="H163" s="26">
        <f>IF(OR($C163="",$G$3=""),"",IF(INDEX(입력_인턴근무계획!$M$3:$R$402,$A163,$G$3)&amp;""="","",IF(LEFT(INDEX(입력_인턴근무계획!$M$3:$R$402,$A163,$G$3)&amp;"",1)="⚠","",MID(INDEX(입력_인턴근무계획!$M$3:$R$402,$A163,$G$3)&amp;"",FIND(" ",INDEX(입력_인턴근무계획!$M$3:$R$402,$A163,$G$3)&amp;"")+1,60))))</f>
        <v/>
      </c>
      <c r="I163" s="26">
        <f>IF(OR($C163="",$I$3=""),"",IF(INDEX(입력_인턴근무계획!$M$3:$R$402,$A163,$I$3)&amp;""="","",IF(LEFT(INDEX(입력_인턴근무계획!$M$3:$R$402,$A163,$I$3)&amp;"",1)="⚠",INDEX(입력_인턴근무계획!$M$3:$R$402,$A163,$I$3)&amp;"",LEFT(INDEX(입력_인턴근무계획!$M$3:$R$402,$A163,$I$3)&amp;"",FIND(" ",INDEX(입력_인턴근무계획!$M$3:$R$402,$A163,$I$3)&amp;"")-1))))</f>
        <v/>
      </c>
      <c r="J163" s="26">
        <f>IF(OR($C163="",$I$3=""),"",IF(INDEX(입력_인턴근무계획!$M$3:$R$402,$A163,$I$3)&amp;""="","",IF(LEFT(INDEX(입력_인턴근무계획!$M$3:$R$402,$A163,$I$3)&amp;"",1)="⚠","",MID(INDEX(입력_인턴근무계획!$M$3:$R$402,$A163,$I$3)&amp;"",FIND(" ",INDEX(입력_인턴근무계획!$M$3:$R$402,$A163,$I$3)&amp;"")+1,60))))</f>
        <v/>
      </c>
      <c r="K163" s="26">
        <f>IF($C163="","",INDEX(입력_인턴근무계획!$M$3:$M$402,$A163)&amp;"")</f>
        <v/>
      </c>
      <c r="L163" s="26">
        <f>IF($C163="","",INDEX(입력_인턴근무계획!$N$3:$N$402,$A163)&amp;"")</f>
        <v/>
      </c>
      <c r="M163" s="26">
        <f>IF($C163="","",INDEX(입력_인턴근무계획!$O$3:$O$402,$A163)&amp;"")</f>
        <v/>
      </c>
      <c r="N163" s="26">
        <f>IF($C163="","",INDEX(입력_인턴근무계획!$P$3:$P$402,$A163)&amp;"")</f>
        <v/>
      </c>
      <c r="O163" s="26">
        <f>IF($C163="","",INDEX(입력_인턴근무계획!$Q$3:$Q$402,$A163)&amp;"")</f>
        <v/>
      </c>
      <c r="P163" s="26">
        <f>IF($C163="","",INDEX(입력_인턴근무계획!$R$3:$R$402,$A163)&amp;"")</f>
        <v/>
      </c>
      <c r="Q163" s="26">
        <f>IF($C163="","",INDEX(입력_인턴근무계획!$T$3:$T$402,$A163))</f>
        <v/>
      </c>
    </row>
    <row r="164">
      <c r="A164" s="29" t="n">
        <v>159</v>
      </c>
      <c r="B164" s="26">
        <f>IF($C164="","",INDEX(입력_인턴근무계획!$B$3:$B$402,$A164))</f>
        <v/>
      </c>
      <c r="C164" s="26">
        <f>IFERROR(TRIM(INDEX(입력_인턴근무계획!$C$3:$C$402,$A164)&amp;""),"")</f>
        <v/>
      </c>
      <c r="D164" s="26">
        <f>IF($C164="","",INDEX(입력_인턴근무계획!$D$3:$D$402,$A164))</f>
        <v/>
      </c>
      <c r="E164" s="26">
        <f>IF($C164="","",IF(IFERROR(MATCH($D164,입력_기본자료!$B$2:$B$1001,0),IFERROR(MATCH($D164&amp;"",입력_기본자료!$B$2:$B$1001,0),IFERROR(MATCH(VALUE($D164),입력_기본자료!$B$2:$B$1001,0),0)))&gt;0,"확인","미등록"))</f>
        <v/>
      </c>
      <c r="F164" s="28">
        <f>IF($C164="","",INDEX(입력_인턴근무계획!$S$3:$S$402,$A164))</f>
        <v/>
      </c>
      <c r="G164" s="26">
        <f>IF(OR($C164="",$G$3=""),"",IF(INDEX(입력_인턴근무계획!$M$3:$R$402,$A164,$G$3)&amp;""="","",IF(LEFT(INDEX(입력_인턴근무계획!$M$3:$R$402,$A164,$G$3)&amp;"",1)="⚠",INDEX(입력_인턴근무계획!$M$3:$R$402,$A164,$G$3)&amp;"",LEFT(INDEX(입력_인턴근무계획!$M$3:$R$402,$A164,$G$3)&amp;"",FIND(" ",INDEX(입력_인턴근무계획!$M$3:$R$402,$A164,$G$3)&amp;"")-1))))</f>
        <v/>
      </c>
      <c r="H164" s="26">
        <f>IF(OR($C164="",$G$3=""),"",IF(INDEX(입력_인턴근무계획!$M$3:$R$402,$A164,$G$3)&amp;""="","",IF(LEFT(INDEX(입력_인턴근무계획!$M$3:$R$402,$A164,$G$3)&amp;"",1)="⚠","",MID(INDEX(입력_인턴근무계획!$M$3:$R$402,$A164,$G$3)&amp;"",FIND(" ",INDEX(입력_인턴근무계획!$M$3:$R$402,$A164,$G$3)&amp;"")+1,60))))</f>
        <v/>
      </c>
      <c r="I164" s="26">
        <f>IF(OR($C164="",$I$3=""),"",IF(INDEX(입력_인턴근무계획!$M$3:$R$402,$A164,$I$3)&amp;""="","",IF(LEFT(INDEX(입력_인턴근무계획!$M$3:$R$402,$A164,$I$3)&amp;"",1)="⚠",INDEX(입력_인턴근무계획!$M$3:$R$402,$A164,$I$3)&amp;"",LEFT(INDEX(입력_인턴근무계획!$M$3:$R$402,$A164,$I$3)&amp;"",FIND(" ",INDEX(입력_인턴근무계획!$M$3:$R$402,$A164,$I$3)&amp;"")-1))))</f>
        <v/>
      </c>
      <c r="J164" s="26">
        <f>IF(OR($C164="",$I$3=""),"",IF(INDEX(입력_인턴근무계획!$M$3:$R$402,$A164,$I$3)&amp;""="","",IF(LEFT(INDEX(입력_인턴근무계획!$M$3:$R$402,$A164,$I$3)&amp;"",1)="⚠","",MID(INDEX(입력_인턴근무계획!$M$3:$R$402,$A164,$I$3)&amp;"",FIND(" ",INDEX(입력_인턴근무계획!$M$3:$R$402,$A164,$I$3)&amp;"")+1,60))))</f>
        <v/>
      </c>
      <c r="K164" s="26">
        <f>IF($C164="","",INDEX(입력_인턴근무계획!$M$3:$M$402,$A164)&amp;"")</f>
        <v/>
      </c>
      <c r="L164" s="26">
        <f>IF($C164="","",INDEX(입력_인턴근무계획!$N$3:$N$402,$A164)&amp;"")</f>
        <v/>
      </c>
      <c r="M164" s="26">
        <f>IF($C164="","",INDEX(입력_인턴근무계획!$O$3:$O$402,$A164)&amp;"")</f>
        <v/>
      </c>
      <c r="N164" s="26">
        <f>IF($C164="","",INDEX(입력_인턴근무계획!$P$3:$P$402,$A164)&amp;"")</f>
        <v/>
      </c>
      <c r="O164" s="26">
        <f>IF($C164="","",INDEX(입력_인턴근무계획!$Q$3:$Q$402,$A164)&amp;"")</f>
        <v/>
      </c>
      <c r="P164" s="26">
        <f>IF($C164="","",INDEX(입력_인턴근무계획!$R$3:$R$402,$A164)&amp;"")</f>
        <v/>
      </c>
      <c r="Q164" s="26">
        <f>IF($C164="","",INDEX(입력_인턴근무계획!$T$3:$T$402,$A164))</f>
        <v/>
      </c>
    </row>
    <row r="165">
      <c r="A165" s="29" t="n">
        <v>160</v>
      </c>
      <c r="B165" s="26">
        <f>IF($C165="","",INDEX(입력_인턴근무계획!$B$3:$B$402,$A165))</f>
        <v/>
      </c>
      <c r="C165" s="26">
        <f>IFERROR(TRIM(INDEX(입력_인턴근무계획!$C$3:$C$402,$A165)&amp;""),"")</f>
        <v/>
      </c>
      <c r="D165" s="26">
        <f>IF($C165="","",INDEX(입력_인턴근무계획!$D$3:$D$402,$A165))</f>
        <v/>
      </c>
      <c r="E165" s="26">
        <f>IF($C165="","",IF(IFERROR(MATCH($D165,입력_기본자료!$B$2:$B$1001,0),IFERROR(MATCH($D165&amp;"",입력_기본자료!$B$2:$B$1001,0),IFERROR(MATCH(VALUE($D165),입력_기본자료!$B$2:$B$1001,0),0)))&gt;0,"확인","미등록"))</f>
        <v/>
      </c>
      <c r="F165" s="28">
        <f>IF($C165="","",INDEX(입력_인턴근무계획!$S$3:$S$402,$A165))</f>
        <v/>
      </c>
      <c r="G165" s="26">
        <f>IF(OR($C165="",$G$3=""),"",IF(INDEX(입력_인턴근무계획!$M$3:$R$402,$A165,$G$3)&amp;""="","",IF(LEFT(INDEX(입력_인턴근무계획!$M$3:$R$402,$A165,$G$3)&amp;"",1)="⚠",INDEX(입력_인턴근무계획!$M$3:$R$402,$A165,$G$3)&amp;"",LEFT(INDEX(입력_인턴근무계획!$M$3:$R$402,$A165,$G$3)&amp;"",FIND(" ",INDEX(입력_인턴근무계획!$M$3:$R$402,$A165,$G$3)&amp;"")-1))))</f>
        <v/>
      </c>
      <c r="H165" s="26">
        <f>IF(OR($C165="",$G$3=""),"",IF(INDEX(입력_인턴근무계획!$M$3:$R$402,$A165,$G$3)&amp;""="","",IF(LEFT(INDEX(입력_인턴근무계획!$M$3:$R$402,$A165,$G$3)&amp;"",1)="⚠","",MID(INDEX(입력_인턴근무계획!$M$3:$R$402,$A165,$G$3)&amp;"",FIND(" ",INDEX(입력_인턴근무계획!$M$3:$R$402,$A165,$G$3)&amp;"")+1,60))))</f>
        <v/>
      </c>
      <c r="I165" s="26">
        <f>IF(OR($C165="",$I$3=""),"",IF(INDEX(입력_인턴근무계획!$M$3:$R$402,$A165,$I$3)&amp;""="","",IF(LEFT(INDEX(입력_인턴근무계획!$M$3:$R$402,$A165,$I$3)&amp;"",1)="⚠",INDEX(입력_인턴근무계획!$M$3:$R$402,$A165,$I$3)&amp;"",LEFT(INDEX(입력_인턴근무계획!$M$3:$R$402,$A165,$I$3)&amp;"",FIND(" ",INDEX(입력_인턴근무계획!$M$3:$R$402,$A165,$I$3)&amp;"")-1))))</f>
        <v/>
      </c>
      <c r="J165" s="26">
        <f>IF(OR($C165="",$I$3=""),"",IF(INDEX(입력_인턴근무계획!$M$3:$R$402,$A165,$I$3)&amp;""="","",IF(LEFT(INDEX(입력_인턴근무계획!$M$3:$R$402,$A165,$I$3)&amp;"",1)="⚠","",MID(INDEX(입력_인턴근무계획!$M$3:$R$402,$A165,$I$3)&amp;"",FIND(" ",INDEX(입력_인턴근무계획!$M$3:$R$402,$A165,$I$3)&amp;"")+1,60))))</f>
        <v/>
      </c>
      <c r="K165" s="26">
        <f>IF($C165="","",INDEX(입력_인턴근무계획!$M$3:$M$402,$A165)&amp;"")</f>
        <v/>
      </c>
      <c r="L165" s="26">
        <f>IF($C165="","",INDEX(입력_인턴근무계획!$N$3:$N$402,$A165)&amp;"")</f>
        <v/>
      </c>
      <c r="M165" s="26">
        <f>IF($C165="","",INDEX(입력_인턴근무계획!$O$3:$O$402,$A165)&amp;"")</f>
        <v/>
      </c>
      <c r="N165" s="26">
        <f>IF($C165="","",INDEX(입력_인턴근무계획!$P$3:$P$402,$A165)&amp;"")</f>
        <v/>
      </c>
      <c r="O165" s="26">
        <f>IF($C165="","",INDEX(입력_인턴근무계획!$Q$3:$Q$402,$A165)&amp;"")</f>
        <v/>
      </c>
      <c r="P165" s="26">
        <f>IF($C165="","",INDEX(입력_인턴근무계획!$R$3:$R$402,$A165)&amp;"")</f>
        <v/>
      </c>
      <c r="Q165" s="26">
        <f>IF($C165="","",INDEX(입력_인턴근무계획!$T$3:$T$402,$A165))</f>
        <v/>
      </c>
    </row>
    <row r="166">
      <c r="A166" s="29" t="n">
        <v>161</v>
      </c>
      <c r="B166" s="26">
        <f>IF($C166="","",INDEX(입력_인턴근무계획!$B$3:$B$402,$A166))</f>
        <v/>
      </c>
      <c r="C166" s="26">
        <f>IFERROR(TRIM(INDEX(입력_인턴근무계획!$C$3:$C$402,$A166)&amp;""),"")</f>
        <v/>
      </c>
      <c r="D166" s="26">
        <f>IF($C166="","",INDEX(입력_인턴근무계획!$D$3:$D$402,$A166))</f>
        <v/>
      </c>
      <c r="E166" s="26">
        <f>IF($C166="","",IF(IFERROR(MATCH($D166,입력_기본자료!$B$2:$B$1001,0),IFERROR(MATCH($D166&amp;"",입력_기본자료!$B$2:$B$1001,0),IFERROR(MATCH(VALUE($D166),입력_기본자료!$B$2:$B$1001,0),0)))&gt;0,"확인","미등록"))</f>
        <v/>
      </c>
      <c r="F166" s="28">
        <f>IF($C166="","",INDEX(입력_인턴근무계획!$S$3:$S$402,$A166))</f>
        <v/>
      </c>
      <c r="G166" s="26">
        <f>IF(OR($C166="",$G$3=""),"",IF(INDEX(입력_인턴근무계획!$M$3:$R$402,$A166,$G$3)&amp;""="","",IF(LEFT(INDEX(입력_인턴근무계획!$M$3:$R$402,$A166,$G$3)&amp;"",1)="⚠",INDEX(입력_인턴근무계획!$M$3:$R$402,$A166,$G$3)&amp;"",LEFT(INDEX(입력_인턴근무계획!$M$3:$R$402,$A166,$G$3)&amp;"",FIND(" ",INDEX(입력_인턴근무계획!$M$3:$R$402,$A166,$G$3)&amp;"")-1))))</f>
        <v/>
      </c>
      <c r="H166" s="26">
        <f>IF(OR($C166="",$G$3=""),"",IF(INDEX(입력_인턴근무계획!$M$3:$R$402,$A166,$G$3)&amp;""="","",IF(LEFT(INDEX(입력_인턴근무계획!$M$3:$R$402,$A166,$G$3)&amp;"",1)="⚠","",MID(INDEX(입력_인턴근무계획!$M$3:$R$402,$A166,$G$3)&amp;"",FIND(" ",INDEX(입력_인턴근무계획!$M$3:$R$402,$A166,$G$3)&amp;"")+1,60))))</f>
        <v/>
      </c>
      <c r="I166" s="26">
        <f>IF(OR($C166="",$I$3=""),"",IF(INDEX(입력_인턴근무계획!$M$3:$R$402,$A166,$I$3)&amp;""="","",IF(LEFT(INDEX(입력_인턴근무계획!$M$3:$R$402,$A166,$I$3)&amp;"",1)="⚠",INDEX(입력_인턴근무계획!$M$3:$R$402,$A166,$I$3)&amp;"",LEFT(INDEX(입력_인턴근무계획!$M$3:$R$402,$A166,$I$3)&amp;"",FIND(" ",INDEX(입력_인턴근무계획!$M$3:$R$402,$A166,$I$3)&amp;"")-1))))</f>
        <v/>
      </c>
      <c r="J166" s="26">
        <f>IF(OR($C166="",$I$3=""),"",IF(INDEX(입력_인턴근무계획!$M$3:$R$402,$A166,$I$3)&amp;""="","",IF(LEFT(INDEX(입력_인턴근무계획!$M$3:$R$402,$A166,$I$3)&amp;"",1)="⚠","",MID(INDEX(입력_인턴근무계획!$M$3:$R$402,$A166,$I$3)&amp;"",FIND(" ",INDEX(입력_인턴근무계획!$M$3:$R$402,$A166,$I$3)&amp;"")+1,60))))</f>
        <v/>
      </c>
      <c r="K166" s="26">
        <f>IF($C166="","",INDEX(입력_인턴근무계획!$M$3:$M$402,$A166)&amp;"")</f>
        <v/>
      </c>
      <c r="L166" s="26">
        <f>IF($C166="","",INDEX(입력_인턴근무계획!$N$3:$N$402,$A166)&amp;"")</f>
        <v/>
      </c>
      <c r="M166" s="26">
        <f>IF($C166="","",INDEX(입력_인턴근무계획!$O$3:$O$402,$A166)&amp;"")</f>
        <v/>
      </c>
      <c r="N166" s="26">
        <f>IF($C166="","",INDEX(입력_인턴근무계획!$P$3:$P$402,$A166)&amp;"")</f>
        <v/>
      </c>
      <c r="O166" s="26">
        <f>IF($C166="","",INDEX(입력_인턴근무계획!$Q$3:$Q$402,$A166)&amp;"")</f>
        <v/>
      </c>
      <c r="P166" s="26">
        <f>IF($C166="","",INDEX(입력_인턴근무계획!$R$3:$R$402,$A166)&amp;"")</f>
        <v/>
      </c>
      <c r="Q166" s="26">
        <f>IF($C166="","",INDEX(입력_인턴근무계획!$T$3:$T$402,$A166))</f>
        <v/>
      </c>
    </row>
    <row r="167">
      <c r="A167" s="29" t="n">
        <v>162</v>
      </c>
      <c r="B167" s="26">
        <f>IF($C167="","",INDEX(입력_인턴근무계획!$B$3:$B$402,$A167))</f>
        <v/>
      </c>
      <c r="C167" s="26">
        <f>IFERROR(TRIM(INDEX(입력_인턴근무계획!$C$3:$C$402,$A167)&amp;""),"")</f>
        <v/>
      </c>
      <c r="D167" s="26">
        <f>IF($C167="","",INDEX(입력_인턴근무계획!$D$3:$D$402,$A167))</f>
        <v/>
      </c>
      <c r="E167" s="26">
        <f>IF($C167="","",IF(IFERROR(MATCH($D167,입력_기본자료!$B$2:$B$1001,0),IFERROR(MATCH($D167&amp;"",입력_기본자료!$B$2:$B$1001,0),IFERROR(MATCH(VALUE($D167),입력_기본자료!$B$2:$B$1001,0),0)))&gt;0,"확인","미등록"))</f>
        <v/>
      </c>
      <c r="F167" s="28">
        <f>IF($C167="","",INDEX(입력_인턴근무계획!$S$3:$S$402,$A167))</f>
        <v/>
      </c>
      <c r="G167" s="26">
        <f>IF(OR($C167="",$G$3=""),"",IF(INDEX(입력_인턴근무계획!$M$3:$R$402,$A167,$G$3)&amp;""="","",IF(LEFT(INDEX(입력_인턴근무계획!$M$3:$R$402,$A167,$G$3)&amp;"",1)="⚠",INDEX(입력_인턴근무계획!$M$3:$R$402,$A167,$G$3)&amp;"",LEFT(INDEX(입력_인턴근무계획!$M$3:$R$402,$A167,$G$3)&amp;"",FIND(" ",INDEX(입력_인턴근무계획!$M$3:$R$402,$A167,$G$3)&amp;"")-1))))</f>
        <v/>
      </c>
      <c r="H167" s="26">
        <f>IF(OR($C167="",$G$3=""),"",IF(INDEX(입력_인턴근무계획!$M$3:$R$402,$A167,$G$3)&amp;""="","",IF(LEFT(INDEX(입력_인턴근무계획!$M$3:$R$402,$A167,$G$3)&amp;"",1)="⚠","",MID(INDEX(입력_인턴근무계획!$M$3:$R$402,$A167,$G$3)&amp;"",FIND(" ",INDEX(입력_인턴근무계획!$M$3:$R$402,$A167,$G$3)&amp;"")+1,60))))</f>
        <v/>
      </c>
      <c r="I167" s="26">
        <f>IF(OR($C167="",$I$3=""),"",IF(INDEX(입력_인턴근무계획!$M$3:$R$402,$A167,$I$3)&amp;""="","",IF(LEFT(INDEX(입력_인턴근무계획!$M$3:$R$402,$A167,$I$3)&amp;"",1)="⚠",INDEX(입력_인턴근무계획!$M$3:$R$402,$A167,$I$3)&amp;"",LEFT(INDEX(입력_인턴근무계획!$M$3:$R$402,$A167,$I$3)&amp;"",FIND(" ",INDEX(입력_인턴근무계획!$M$3:$R$402,$A167,$I$3)&amp;"")-1))))</f>
        <v/>
      </c>
      <c r="J167" s="26">
        <f>IF(OR($C167="",$I$3=""),"",IF(INDEX(입력_인턴근무계획!$M$3:$R$402,$A167,$I$3)&amp;""="","",IF(LEFT(INDEX(입력_인턴근무계획!$M$3:$R$402,$A167,$I$3)&amp;"",1)="⚠","",MID(INDEX(입력_인턴근무계획!$M$3:$R$402,$A167,$I$3)&amp;"",FIND(" ",INDEX(입력_인턴근무계획!$M$3:$R$402,$A167,$I$3)&amp;"")+1,60))))</f>
        <v/>
      </c>
      <c r="K167" s="26">
        <f>IF($C167="","",INDEX(입력_인턴근무계획!$M$3:$M$402,$A167)&amp;"")</f>
        <v/>
      </c>
      <c r="L167" s="26">
        <f>IF($C167="","",INDEX(입력_인턴근무계획!$N$3:$N$402,$A167)&amp;"")</f>
        <v/>
      </c>
      <c r="M167" s="26">
        <f>IF($C167="","",INDEX(입력_인턴근무계획!$O$3:$O$402,$A167)&amp;"")</f>
        <v/>
      </c>
      <c r="N167" s="26">
        <f>IF($C167="","",INDEX(입력_인턴근무계획!$P$3:$P$402,$A167)&amp;"")</f>
        <v/>
      </c>
      <c r="O167" s="26">
        <f>IF($C167="","",INDEX(입력_인턴근무계획!$Q$3:$Q$402,$A167)&amp;"")</f>
        <v/>
      </c>
      <c r="P167" s="26">
        <f>IF($C167="","",INDEX(입력_인턴근무계획!$R$3:$R$402,$A167)&amp;"")</f>
        <v/>
      </c>
      <c r="Q167" s="26">
        <f>IF($C167="","",INDEX(입력_인턴근무계획!$T$3:$T$402,$A167))</f>
        <v/>
      </c>
    </row>
    <row r="168">
      <c r="A168" s="29" t="n">
        <v>163</v>
      </c>
      <c r="B168" s="26">
        <f>IF($C168="","",INDEX(입력_인턴근무계획!$B$3:$B$402,$A168))</f>
        <v/>
      </c>
      <c r="C168" s="26">
        <f>IFERROR(TRIM(INDEX(입력_인턴근무계획!$C$3:$C$402,$A168)&amp;""),"")</f>
        <v/>
      </c>
      <c r="D168" s="26">
        <f>IF($C168="","",INDEX(입력_인턴근무계획!$D$3:$D$402,$A168))</f>
        <v/>
      </c>
      <c r="E168" s="26">
        <f>IF($C168="","",IF(IFERROR(MATCH($D168,입력_기본자료!$B$2:$B$1001,0),IFERROR(MATCH($D168&amp;"",입력_기본자료!$B$2:$B$1001,0),IFERROR(MATCH(VALUE($D168),입력_기본자료!$B$2:$B$1001,0),0)))&gt;0,"확인","미등록"))</f>
        <v/>
      </c>
      <c r="F168" s="28">
        <f>IF($C168="","",INDEX(입력_인턴근무계획!$S$3:$S$402,$A168))</f>
        <v/>
      </c>
      <c r="G168" s="26">
        <f>IF(OR($C168="",$G$3=""),"",IF(INDEX(입력_인턴근무계획!$M$3:$R$402,$A168,$G$3)&amp;""="","",IF(LEFT(INDEX(입력_인턴근무계획!$M$3:$R$402,$A168,$G$3)&amp;"",1)="⚠",INDEX(입력_인턴근무계획!$M$3:$R$402,$A168,$G$3)&amp;"",LEFT(INDEX(입력_인턴근무계획!$M$3:$R$402,$A168,$G$3)&amp;"",FIND(" ",INDEX(입력_인턴근무계획!$M$3:$R$402,$A168,$G$3)&amp;"")-1))))</f>
        <v/>
      </c>
      <c r="H168" s="26">
        <f>IF(OR($C168="",$G$3=""),"",IF(INDEX(입력_인턴근무계획!$M$3:$R$402,$A168,$G$3)&amp;""="","",IF(LEFT(INDEX(입력_인턴근무계획!$M$3:$R$402,$A168,$G$3)&amp;"",1)="⚠","",MID(INDEX(입력_인턴근무계획!$M$3:$R$402,$A168,$G$3)&amp;"",FIND(" ",INDEX(입력_인턴근무계획!$M$3:$R$402,$A168,$G$3)&amp;"")+1,60))))</f>
        <v/>
      </c>
      <c r="I168" s="26">
        <f>IF(OR($C168="",$I$3=""),"",IF(INDEX(입력_인턴근무계획!$M$3:$R$402,$A168,$I$3)&amp;""="","",IF(LEFT(INDEX(입력_인턴근무계획!$M$3:$R$402,$A168,$I$3)&amp;"",1)="⚠",INDEX(입력_인턴근무계획!$M$3:$R$402,$A168,$I$3)&amp;"",LEFT(INDEX(입력_인턴근무계획!$M$3:$R$402,$A168,$I$3)&amp;"",FIND(" ",INDEX(입력_인턴근무계획!$M$3:$R$402,$A168,$I$3)&amp;"")-1))))</f>
        <v/>
      </c>
      <c r="J168" s="26">
        <f>IF(OR($C168="",$I$3=""),"",IF(INDEX(입력_인턴근무계획!$M$3:$R$402,$A168,$I$3)&amp;""="","",IF(LEFT(INDEX(입력_인턴근무계획!$M$3:$R$402,$A168,$I$3)&amp;"",1)="⚠","",MID(INDEX(입력_인턴근무계획!$M$3:$R$402,$A168,$I$3)&amp;"",FIND(" ",INDEX(입력_인턴근무계획!$M$3:$R$402,$A168,$I$3)&amp;"")+1,60))))</f>
        <v/>
      </c>
      <c r="K168" s="26">
        <f>IF($C168="","",INDEX(입력_인턴근무계획!$M$3:$M$402,$A168)&amp;"")</f>
        <v/>
      </c>
      <c r="L168" s="26">
        <f>IF($C168="","",INDEX(입력_인턴근무계획!$N$3:$N$402,$A168)&amp;"")</f>
        <v/>
      </c>
      <c r="M168" s="26">
        <f>IF($C168="","",INDEX(입력_인턴근무계획!$O$3:$O$402,$A168)&amp;"")</f>
        <v/>
      </c>
      <c r="N168" s="26">
        <f>IF($C168="","",INDEX(입력_인턴근무계획!$P$3:$P$402,$A168)&amp;"")</f>
        <v/>
      </c>
      <c r="O168" s="26">
        <f>IF($C168="","",INDEX(입력_인턴근무계획!$Q$3:$Q$402,$A168)&amp;"")</f>
        <v/>
      </c>
      <c r="P168" s="26">
        <f>IF($C168="","",INDEX(입력_인턴근무계획!$R$3:$R$402,$A168)&amp;"")</f>
        <v/>
      </c>
      <c r="Q168" s="26">
        <f>IF($C168="","",INDEX(입력_인턴근무계획!$T$3:$T$402,$A168))</f>
        <v/>
      </c>
    </row>
    <row r="169">
      <c r="A169" s="29" t="n">
        <v>164</v>
      </c>
      <c r="B169" s="26">
        <f>IF($C169="","",INDEX(입력_인턴근무계획!$B$3:$B$402,$A169))</f>
        <v/>
      </c>
      <c r="C169" s="26">
        <f>IFERROR(TRIM(INDEX(입력_인턴근무계획!$C$3:$C$402,$A169)&amp;""),"")</f>
        <v/>
      </c>
      <c r="D169" s="26">
        <f>IF($C169="","",INDEX(입력_인턴근무계획!$D$3:$D$402,$A169))</f>
        <v/>
      </c>
      <c r="E169" s="26">
        <f>IF($C169="","",IF(IFERROR(MATCH($D169,입력_기본자료!$B$2:$B$1001,0),IFERROR(MATCH($D169&amp;"",입력_기본자료!$B$2:$B$1001,0),IFERROR(MATCH(VALUE($D169),입력_기본자료!$B$2:$B$1001,0),0)))&gt;0,"확인","미등록"))</f>
        <v/>
      </c>
      <c r="F169" s="28">
        <f>IF($C169="","",INDEX(입력_인턴근무계획!$S$3:$S$402,$A169))</f>
        <v/>
      </c>
      <c r="G169" s="26">
        <f>IF(OR($C169="",$G$3=""),"",IF(INDEX(입력_인턴근무계획!$M$3:$R$402,$A169,$G$3)&amp;""="","",IF(LEFT(INDEX(입력_인턴근무계획!$M$3:$R$402,$A169,$G$3)&amp;"",1)="⚠",INDEX(입력_인턴근무계획!$M$3:$R$402,$A169,$G$3)&amp;"",LEFT(INDEX(입력_인턴근무계획!$M$3:$R$402,$A169,$G$3)&amp;"",FIND(" ",INDEX(입력_인턴근무계획!$M$3:$R$402,$A169,$G$3)&amp;"")-1))))</f>
        <v/>
      </c>
      <c r="H169" s="26">
        <f>IF(OR($C169="",$G$3=""),"",IF(INDEX(입력_인턴근무계획!$M$3:$R$402,$A169,$G$3)&amp;""="","",IF(LEFT(INDEX(입력_인턴근무계획!$M$3:$R$402,$A169,$G$3)&amp;"",1)="⚠","",MID(INDEX(입력_인턴근무계획!$M$3:$R$402,$A169,$G$3)&amp;"",FIND(" ",INDEX(입력_인턴근무계획!$M$3:$R$402,$A169,$G$3)&amp;"")+1,60))))</f>
        <v/>
      </c>
      <c r="I169" s="26">
        <f>IF(OR($C169="",$I$3=""),"",IF(INDEX(입력_인턴근무계획!$M$3:$R$402,$A169,$I$3)&amp;""="","",IF(LEFT(INDEX(입력_인턴근무계획!$M$3:$R$402,$A169,$I$3)&amp;"",1)="⚠",INDEX(입력_인턴근무계획!$M$3:$R$402,$A169,$I$3)&amp;"",LEFT(INDEX(입력_인턴근무계획!$M$3:$R$402,$A169,$I$3)&amp;"",FIND(" ",INDEX(입력_인턴근무계획!$M$3:$R$402,$A169,$I$3)&amp;"")-1))))</f>
        <v/>
      </c>
      <c r="J169" s="26">
        <f>IF(OR($C169="",$I$3=""),"",IF(INDEX(입력_인턴근무계획!$M$3:$R$402,$A169,$I$3)&amp;""="","",IF(LEFT(INDEX(입력_인턴근무계획!$M$3:$R$402,$A169,$I$3)&amp;"",1)="⚠","",MID(INDEX(입력_인턴근무계획!$M$3:$R$402,$A169,$I$3)&amp;"",FIND(" ",INDEX(입력_인턴근무계획!$M$3:$R$402,$A169,$I$3)&amp;"")+1,60))))</f>
        <v/>
      </c>
      <c r="K169" s="26">
        <f>IF($C169="","",INDEX(입력_인턴근무계획!$M$3:$M$402,$A169)&amp;"")</f>
        <v/>
      </c>
      <c r="L169" s="26">
        <f>IF($C169="","",INDEX(입력_인턴근무계획!$N$3:$N$402,$A169)&amp;"")</f>
        <v/>
      </c>
      <c r="M169" s="26">
        <f>IF($C169="","",INDEX(입력_인턴근무계획!$O$3:$O$402,$A169)&amp;"")</f>
        <v/>
      </c>
      <c r="N169" s="26">
        <f>IF($C169="","",INDEX(입력_인턴근무계획!$P$3:$P$402,$A169)&amp;"")</f>
        <v/>
      </c>
      <c r="O169" s="26">
        <f>IF($C169="","",INDEX(입력_인턴근무계획!$Q$3:$Q$402,$A169)&amp;"")</f>
        <v/>
      </c>
      <c r="P169" s="26">
        <f>IF($C169="","",INDEX(입력_인턴근무계획!$R$3:$R$402,$A169)&amp;"")</f>
        <v/>
      </c>
      <c r="Q169" s="26">
        <f>IF($C169="","",INDEX(입력_인턴근무계획!$T$3:$T$402,$A169))</f>
        <v/>
      </c>
    </row>
    <row r="170">
      <c r="A170" s="29" t="n">
        <v>165</v>
      </c>
      <c r="B170" s="26">
        <f>IF($C170="","",INDEX(입력_인턴근무계획!$B$3:$B$402,$A170))</f>
        <v/>
      </c>
      <c r="C170" s="26">
        <f>IFERROR(TRIM(INDEX(입력_인턴근무계획!$C$3:$C$402,$A170)&amp;""),"")</f>
        <v/>
      </c>
      <c r="D170" s="26">
        <f>IF($C170="","",INDEX(입력_인턴근무계획!$D$3:$D$402,$A170))</f>
        <v/>
      </c>
      <c r="E170" s="26">
        <f>IF($C170="","",IF(IFERROR(MATCH($D170,입력_기본자료!$B$2:$B$1001,0),IFERROR(MATCH($D170&amp;"",입력_기본자료!$B$2:$B$1001,0),IFERROR(MATCH(VALUE($D170),입력_기본자료!$B$2:$B$1001,0),0)))&gt;0,"확인","미등록"))</f>
        <v/>
      </c>
      <c r="F170" s="28">
        <f>IF($C170="","",INDEX(입력_인턴근무계획!$S$3:$S$402,$A170))</f>
        <v/>
      </c>
      <c r="G170" s="26">
        <f>IF(OR($C170="",$G$3=""),"",IF(INDEX(입력_인턴근무계획!$M$3:$R$402,$A170,$G$3)&amp;""="","",IF(LEFT(INDEX(입력_인턴근무계획!$M$3:$R$402,$A170,$G$3)&amp;"",1)="⚠",INDEX(입력_인턴근무계획!$M$3:$R$402,$A170,$G$3)&amp;"",LEFT(INDEX(입력_인턴근무계획!$M$3:$R$402,$A170,$G$3)&amp;"",FIND(" ",INDEX(입력_인턴근무계획!$M$3:$R$402,$A170,$G$3)&amp;"")-1))))</f>
        <v/>
      </c>
      <c r="H170" s="26">
        <f>IF(OR($C170="",$G$3=""),"",IF(INDEX(입력_인턴근무계획!$M$3:$R$402,$A170,$G$3)&amp;""="","",IF(LEFT(INDEX(입력_인턴근무계획!$M$3:$R$402,$A170,$G$3)&amp;"",1)="⚠","",MID(INDEX(입력_인턴근무계획!$M$3:$R$402,$A170,$G$3)&amp;"",FIND(" ",INDEX(입력_인턴근무계획!$M$3:$R$402,$A170,$G$3)&amp;"")+1,60))))</f>
        <v/>
      </c>
      <c r="I170" s="26">
        <f>IF(OR($C170="",$I$3=""),"",IF(INDEX(입력_인턴근무계획!$M$3:$R$402,$A170,$I$3)&amp;""="","",IF(LEFT(INDEX(입력_인턴근무계획!$M$3:$R$402,$A170,$I$3)&amp;"",1)="⚠",INDEX(입력_인턴근무계획!$M$3:$R$402,$A170,$I$3)&amp;"",LEFT(INDEX(입력_인턴근무계획!$M$3:$R$402,$A170,$I$3)&amp;"",FIND(" ",INDEX(입력_인턴근무계획!$M$3:$R$402,$A170,$I$3)&amp;"")-1))))</f>
        <v/>
      </c>
      <c r="J170" s="26">
        <f>IF(OR($C170="",$I$3=""),"",IF(INDEX(입력_인턴근무계획!$M$3:$R$402,$A170,$I$3)&amp;""="","",IF(LEFT(INDEX(입력_인턴근무계획!$M$3:$R$402,$A170,$I$3)&amp;"",1)="⚠","",MID(INDEX(입력_인턴근무계획!$M$3:$R$402,$A170,$I$3)&amp;"",FIND(" ",INDEX(입력_인턴근무계획!$M$3:$R$402,$A170,$I$3)&amp;"")+1,60))))</f>
        <v/>
      </c>
      <c r="K170" s="26">
        <f>IF($C170="","",INDEX(입력_인턴근무계획!$M$3:$M$402,$A170)&amp;"")</f>
        <v/>
      </c>
      <c r="L170" s="26">
        <f>IF($C170="","",INDEX(입력_인턴근무계획!$N$3:$N$402,$A170)&amp;"")</f>
        <v/>
      </c>
      <c r="M170" s="26">
        <f>IF($C170="","",INDEX(입력_인턴근무계획!$O$3:$O$402,$A170)&amp;"")</f>
        <v/>
      </c>
      <c r="N170" s="26">
        <f>IF($C170="","",INDEX(입력_인턴근무계획!$P$3:$P$402,$A170)&amp;"")</f>
        <v/>
      </c>
      <c r="O170" s="26">
        <f>IF($C170="","",INDEX(입력_인턴근무계획!$Q$3:$Q$402,$A170)&amp;"")</f>
        <v/>
      </c>
      <c r="P170" s="26">
        <f>IF($C170="","",INDEX(입력_인턴근무계획!$R$3:$R$402,$A170)&amp;"")</f>
        <v/>
      </c>
      <c r="Q170" s="26">
        <f>IF($C170="","",INDEX(입력_인턴근무계획!$T$3:$T$402,$A170))</f>
        <v/>
      </c>
    </row>
    <row r="171">
      <c r="A171" s="29" t="n">
        <v>166</v>
      </c>
      <c r="B171" s="26">
        <f>IF($C171="","",INDEX(입력_인턴근무계획!$B$3:$B$402,$A171))</f>
        <v/>
      </c>
      <c r="C171" s="26">
        <f>IFERROR(TRIM(INDEX(입력_인턴근무계획!$C$3:$C$402,$A171)&amp;""),"")</f>
        <v/>
      </c>
      <c r="D171" s="26">
        <f>IF($C171="","",INDEX(입력_인턴근무계획!$D$3:$D$402,$A171))</f>
        <v/>
      </c>
      <c r="E171" s="26">
        <f>IF($C171="","",IF(IFERROR(MATCH($D171,입력_기본자료!$B$2:$B$1001,0),IFERROR(MATCH($D171&amp;"",입력_기본자료!$B$2:$B$1001,0),IFERROR(MATCH(VALUE($D171),입력_기본자료!$B$2:$B$1001,0),0)))&gt;0,"확인","미등록"))</f>
        <v/>
      </c>
      <c r="F171" s="28">
        <f>IF($C171="","",INDEX(입력_인턴근무계획!$S$3:$S$402,$A171))</f>
        <v/>
      </c>
      <c r="G171" s="26">
        <f>IF(OR($C171="",$G$3=""),"",IF(INDEX(입력_인턴근무계획!$M$3:$R$402,$A171,$G$3)&amp;""="","",IF(LEFT(INDEX(입력_인턴근무계획!$M$3:$R$402,$A171,$G$3)&amp;"",1)="⚠",INDEX(입력_인턴근무계획!$M$3:$R$402,$A171,$G$3)&amp;"",LEFT(INDEX(입력_인턴근무계획!$M$3:$R$402,$A171,$G$3)&amp;"",FIND(" ",INDEX(입력_인턴근무계획!$M$3:$R$402,$A171,$G$3)&amp;"")-1))))</f>
        <v/>
      </c>
      <c r="H171" s="26">
        <f>IF(OR($C171="",$G$3=""),"",IF(INDEX(입력_인턴근무계획!$M$3:$R$402,$A171,$G$3)&amp;""="","",IF(LEFT(INDEX(입력_인턴근무계획!$M$3:$R$402,$A171,$G$3)&amp;"",1)="⚠","",MID(INDEX(입력_인턴근무계획!$M$3:$R$402,$A171,$G$3)&amp;"",FIND(" ",INDEX(입력_인턴근무계획!$M$3:$R$402,$A171,$G$3)&amp;"")+1,60))))</f>
        <v/>
      </c>
      <c r="I171" s="26">
        <f>IF(OR($C171="",$I$3=""),"",IF(INDEX(입력_인턴근무계획!$M$3:$R$402,$A171,$I$3)&amp;""="","",IF(LEFT(INDEX(입력_인턴근무계획!$M$3:$R$402,$A171,$I$3)&amp;"",1)="⚠",INDEX(입력_인턴근무계획!$M$3:$R$402,$A171,$I$3)&amp;"",LEFT(INDEX(입력_인턴근무계획!$M$3:$R$402,$A171,$I$3)&amp;"",FIND(" ",INDEX(입력_인턴근무계획!$M$3:$R$402,$A171,$I$3)&amp;"")-1))))</f>
        <v/>
      </c>
      <c r="J171" s="26">
        <f>IF(OR($C171="",$I$3=""),"",IF(INDEX(입력_인턴근무계획!$M$3:$R$402,$A171,$I$3)&amp;""="","",IF(LEFT(INDEX(입력_인턴근무계획!$M$3:$R$402,$A171,$I$3)&amp;"",1)="⚠","",MID(INDEX(입력_인턴근무계획!$M$3:$R$402,$A171,$I$3)&amp;"",FIND(" ",INDEX(입력_인턴근무계획!$M$3:$R$402,$A171,$I$3)&amp;"")+1,60))))</f>
        <v/>
      </c>
      <c r="K171" s="26">
        <f>IF($C171="","",INDEX(입력_인턴근무계획!$M$3:$M$402,$A171)&amp;"")</f>
        <v/>
      </c>
      <c r="L171" s="26">
        <f>IF($C171="","",INDEX(입력_인턴근무계획!$N$3:$N$402,$A171)&amp;"")</f>
        <v/>
      </c>
      <c r="M171" s="26">
        <f>IF($C171="","",INDEX(입력_인턴근무계획!$O$3:$O$402,$A171)&amp;"")</f>
        <v/>
      </c>
      <c r="N171" s="26">
        <f>IF($C171="","",INDEX(입력_인턴근무계획!$P$3:$P$402,$A171)&amp;"")</f>
        <v/>
      </c>
      <c r="O171" s="26">
        <f>IF($C171="","",INDEX(입력_인턴근무계획!$Q$3:$Q$402,$A171)&amp;"")</f>
        <v/>
      </c>
      <c r="P171" s="26">
        <f>IF($C171="","",INDEX(입력_인턴근무계획!$R$3:$R$402,$A171)&amp;"")</f>
        <v/>
      </c>
      <c r="Q171" s="26">
        <f>IF($C171="","",INDEX(입력_인턴근무계획!$T$3:$T$402,$A171))</f>
        <v/>
      </c>
    </row>
    <row r="172">
      <c r="A172" s="29" t="n">
        <v>167</v>
      </c>
      <c r="B172" s="26">
        <f>IF($C172="","",INDEX(입력_인턴근무계획!$B$3:$B$402,$A172))</f>
        <v/>
      </c>
      <c r="C172" s="26">
        <f>IFERROR(TRIM(INDEX(입력_인턴근무계획!$C$3:$C$402,$A172)&amp;""),"")</f>
        <v/>
      </c>
      <c r="D172" s="26">
        <f>IF($C172="","",INDEX(입력_인턴근무계획!$D$3:$D$402,$A172))</f>
        <v/>
      </c>
      <c r="E172" s="26">
        <f>IF($C172="","",IF(IFERROR(MATCH($D172,입력_기본자료!$B$2:$B$1001,0),IFERROR(MATCH($D172&amp;"",입력_기본자료!$B$2:$B$1001,0),IFERROR(MATCH(VALUE($D172),입력_기본자료!$B$2:$B$1001,0),0)))&gt;0,"확인","미등록"))</f>
        <v/>
      </c>
      <c r="F172" s="28">
        <f>IF($C172="","",INDEX(입력_인턴근무계획!$S$3:$S$402,$A172))</f>
        <v/>
      </c>
      <c r="G172" s="26">
        <f>IF(OR($C172="",$G$3=""),"",IF(INDEX(입력_인턴근무계획!$M$3:$R$402,$A172,$G$3)&amp;""="","",IF(LEFT(INDEX(입력_인턴근무계획!$M$3:$R$402,$A172,$G$3)&amp;"",1)="⚠",INDEX(입력_인턴근무계획!$M$3:$R$402,$A172,$G$3)&amp;"",LEFT(INDEX(입력_인턴근무계획!$M$3:$R$402,$A172,$G$3)&amp;"",FIND(" ",INDEX(입력_인턴근무계획!$M$3:$R$402,$A172,$G$3)&amp;"")-1))))</f>
        <v/>
      </c>
      <c r="H172" s="26">
        <f>IF(OR($C172="",$G$3=""),"",IF(INDEX(입력_인턴근무계획!$M$3:$R$402,$A172,$G$3)&amp;""="","",IF(LEFT(INDEX(입력_인턴근무계획!$M$3:$R$402,$A172,$G$3)&amp;"",1)="⚠","",MID(INDEX(입력_인턴근무계획!$M$3:$R$402,$A172,$G$3)&amp;"",FIND(" ",INDEX(입력_인턴근무계획!$M$3:$R$402,$A172,$G$3)&amp;"")+1,60))))</f>
        <v/>
      </c>
      <c r="I172" s="26">
        <f>IF(OR($C172="",$I$3=""),"",IF(INDEX(입력_인턴근무계획!$M$3:$R$402,$A172,$I$3)&amp;""="","",IF(LEFT(INDEX(입력_인턴근무계획!$M$3:$R$402,$A172,$I$3)&amp;"",1)="⚠",INDEX(입력_인턴근무계획!$M$3:$R$402,$A172,$I$3)&amp;"",LEFT(INDEX(입력_인턴근무계획!$M$3:$R$402,$A172,$I$3)&amp;"",FIND(" ",INDEX(입력_인턴근무계획!$M$3:$R$402,$A172,$I$3)&amp;"")-1))))</f>
        <v/>
      </c>
      <c r="J172" s="26">
        <f>IF(OR($C172="",$I$3=""),"",IF(INDEX(입력_인턴근무계획!$M$3:$R$402,$A172,$I$3)&amp;""="","",IF(LEFT(INDEX(입력_인턴근무계획!$M$3:$R$402,$A172,$I$3)&amp;"",1)="⚠","",MID(INDEX(입력_인턴근무계획!$M$3:$R$402,$A172,$I$3)&amp;"",FIND(" ",INDEX(입력_인턴근무계획!$M$3:$R$402,$A172,$I$3)&amp;"")+1,60))))</f>
        <v/>
      </c>
      <c r="K172" s="26">
        <f>IF($C172="","",INDEX(입력_인턴근무계획!$M$3:$M$402,$A172)&amp;"")</f>
        <v/>
      </c>
      <c r="L172" s="26">
        <f>IF($C172="","",INDEX(입력_인턴근무계획!$N$3:$N$402,$A172)&amp;"")</f>
        <v/>
      </c>
      <c r="M172" s="26">
        <f>IF($C172="","",INDEX(입력_인턴근무계획!$O$3:$O$402,$A172)&amp;"")</f>
        <v/>
      </c>
      <c r="N172" s="26">
        <f>IF($C172="","",INDEX(입력_인턴근무계획!$P$3:$P$402,$A172)&amp;"")</f>
        <v/>
      </c>
      <c r="O172" s="26">
        <f>IF($C172="","",INDEX(입력_인턴근무계획!$Q$3:$Q$402,$A172)&amp;"")</f>
        <v/>
      </c>
      <c r="P172" s="26">
        <f>IF($C172="","",INDEX(입력_인턴근무계획!$R$3:$R$402,$A172)&amp;"")</f>
        <v/>
      </c>
      <c r="Q172" s="26">
        <f>IF($C172="","",INDEX(입력_인턴근무계획!$T$3:$T$402,$A172))</f>
        <v/>
      </c>
    </row>
    <row r="173">
      <c r="A173" s="29" t="n">
        <v>168</v>
      </c>
      <c r="B173" s="26">
        <f>IF($C173="","",INDEX(입력_인턴근무계획!$B$3:$B$402,$A173))</f>
        <v/>
      </c>
      <c r="C173" s="26">
        <f>IFERROR(TRIM(INDEX(입력_인턴근무계획!$C$3:$C$402,$A173)&amp;""),"")</f>
        <v/>
      </c>
      <c r="D173" s="26">
        <f>IF($C173="","",INDEX(입력_인턴근무계획!$D$3:$D$402,$A173))</f>
        <v/>
      </c>
      <c r="E173" s="26">
        <f>IF($C173="","",IF(IFERROR(MATCH($D173,입력_기본자료!$B$2:$B$1001,0),IFERROR(MATCH($D173&amp;"",입력_기본자료!$B$2:$B$1001,0),IFERROR(MATCH(VALUE($D173),입력_기본자료!$B$2:$B$1001,0),0)))&gt;0,"확인","미등록"))</f>
        <v/>
      </c>
      <c r="F173" s="28">
        <f>IF($C173="","",INDEX(입력_인턴근무계획!$S$3:$S$402,$A173))</f>
        <v/>
      </c>
      <c r="G173" s="26">
        <f>IF(OR($C173="",$G$3=""),"",IF(INDEX(입력_인턴근무계획!$M$3:$R$402,$A173,$G$3)&amp;""="","",IF(LEFT(INDEX(입력_인턴근무계획!$M$3:$R$402,$A173,$G$3)&amp;"",1)="⚠",INDEX(입력_인턴근무계획!$M$3:$R$402,$A173,$G$3)&amp;"",LEFT(INDEX(입력_인턴근무계획!$M$3:$R$402,$A173,$G$3)&amp;"",FIND(" ",INDEX(입력_인턴근무계획!$M$3:$R$402,$A173,$G$3)&amp;"")-1))))</f>
        <v/>
      </c>
      <c r="H173" s="26">
        <f>IF(OR($C173="",$G$3=""),"",IF(INDEX(입력_인턴근무계획!$M$3:$R$402,$A173,$G$3)&amp;""="","",IF(LEFT(INDEX(입력_인턴근무계획!$M$3:$R$402,$A173,$G$3)&amp;"",1)="⚠","",MID(INDEX(입력_인턴근무계획!$M$3:$R$402,$A173,$G$3)&amp;"",FIND(" ",INDEX(입력_인턴근무계획!$M$3:$R$402,$A173,$G$3)&amp;"")+1,60))))</f>
        <v/>
      </c>
      <c r="I173" s="26">
        <f>IF(OR($C173="",$I$3=""),"",IF(INDEX(입력_인턴근무계획!$M$3:$R$402,$A173,$I$3)&amp;""="","",IF(LEFT(INDEX(입력_인턴근무계획!$M$3:$R$402,$A173,$I$3)&amp;"",1)="⚠",INDEX(입력_인턴근무계획!$M$3:$R$402,$A173,$I$3)&amp;"",LEFT(INDEX(입력_인턴근무계획!$M$3:$R$402,$A173,$I$3)&amp;"",FIND(" ",INDEX(입력_인턴근무계획!$M$3:$R$402,$A173,$I$3)&amp;"")-1))))</f>
        <v/>
      </c>
      <c r="J173" s="26">
        <f>IF(OR($C173="",$I$3=""),"",IF(INDEX(입력_인턴근무계획!$M$3:$R$402,$A173,$I$3)&amp;""="","",IF(LEFT(INDEX(입력_인턴근무계획!$M$3:$R$402,$A173,$I$3)&amp;"",1)="⚠","",MID(INDEX(입력_인턴근무계획!$M$3:$R$402,$A173,$I$3)&amp;"",FIND(" ",INDEX(입력_인턴근무계획!$M$3:$R$402,$A173,$I$3)&amp;"")+1,60))))</f>
        <v/>
      </c>
      <c r="K173" s="26">
        <f>IF($C173="","",INDEX(입력_인턴근무계획!$M$3:$M$402,$A173)&amp;"")</f>
        <v/>
      </c>
      <c r="L173" s="26">
        <f>IF($C173="","",INDEX(입력_인턴근무계획!$N$3:$N$402,$A173)&amp;"")</f>
        <v/>
      </c>
      <c r="M173" s="26">
        <f>IF($C173="","",INDEX(입력_인턴근무계획!$O$3:$O$402,$A173)&amp;"")</f>
        <v/>
      </c>
      <c r="N173" s="26">
        <f>IF($C173="","",INDEX(입력_인턴근무계획!$P$3:$P$402,$A173)&amp;"")</f>
        <v/>
      </c>
      <c r="O173" s="26">
        <f>IF($C173="","",INDEX(입력_인턴근무계획!$Q$3:$Q$402,$A173)&amp;"")</f>
        <v/>
      </c>
      <c r="P173" s="26">
        <f>IF($C173="","",INDEX(입력_인턴근무계획!$R$3:$R$402,$A173)&amp;"")</f>
        <v/>
      </c>
      <c r="Q173" s="26">
        <f>IF($C173="","",INDEX(입력_인턴근무계획!$T$3:$T$402,$A173))</f>
        <v/>
      </c>
    </row>
    <row r="174">
      <c r="A174" s="29" t="n">
        <v>169</v>
      </c>
      <c r="B174" s="26">
        <f>IF($C174="","",INDEX(입력_인턴근무계획!$B$3:$B$402,$A174))</f>
        <v/>
      </c>
      <c r="C174" s="26">
        <f>IFERROR(TRIM(INDEX(입력_인턴근무계획!$C$3:$C$402,$A174)&amp;""),"")</f>
        <v/>
      </c>
      <c r="D174" s="26">
        <f>IF($C174="","",INDEX(입력_인턴근무계획!$D$3:$D$402,$A174))</f>
        <v/>
      </c>
      <c r="E174" s="26">
        <f>IF($C174="","",IF(IFERROR(MATCH($D174,입력_기본자료!$B$2:$B$1001,0),IFERROR(MATCH($D174&amp;"",입력_기본자료!$B$2:$B$1001,0),IFERROR(MATCH(VALUE($D174),입력_기본자료!$B$2:$B$1001,0),0)))&gt;0,"확인","미등록"))</f>
        <v/>
      </c>
      <c r="F174" s="28">
        <f>IF($C174="","",INDEX(입력_인턴근무계획!$S$3:$S$402,$A174))</f>
        <v/>
      </c>
      <c r="G174" s="26">
        <f>IF(OR($C174="",$G$3=""),"",IF(INDEX(입력_인턴근무계획!$M$3:$R$402,$A174,$G$3)&amp;""="","",IF(LEFT(INDEX(입력_인턴근무계획!$M$3:$R$402,$A174,$G$3)&amp;"",1)="⚠",INDEX(입력_인턴근무계획!$M$3:$R$402,$A174,$G$3)&amp;"",LEFT(INDEX(입력_인턴근무계획!$M$3:$R$402,$A174,$G$3)&amp;"",FIND(" ",INDEX(입력_인턴근무계획!$M$3:$R$402,$A174,$G$3)&amp;"")-1))))</f>
        <v/>
      </c>
      <c r="H174" s="26">
        <f>IF(OR($C174="",$G$3=""),"",IF(INDEX(입력_인턴근무계획!$M$3:$R$402,$A174,$G$3)&amp;""="","",IF(LEFT(INDEX(입력_인턴근무계획!$M$3:$R$402,$A174,$G$3)&amp;"",1)="⚠","",MID(INDEX(입력_인턴근무계획!$M$3:$R$402,$A174,$G$3)&amp;"",FIND(" ",INDEX(입력_인턴근무계획!$M$3:$R$402,$A174,$G$3)&amp;"")+1,60))))</f>
        <v/>
      </c>
      <c r="I174" s="26">
        <f>IF(OR($C174="",$I$3=""),"",IF(INDEX(입력_인턴근무계획!$M$3:$R$402,$A174,$I$3)&amp;""="","",IF(LEFT(INDEX(입력_인턴근무계획!$M$3:$R$402,$A174,$I$3)&amp;"",1)="⚠",INDEX(입력_인턴근무계획!$M$3:$R$402,$A174,$I$3)&amp;"",LEFT(INDEX(입력_인턴근무계획!$M$3:$R$402,$A174,$I$3)&amp;"",FIND(" ",INDEX(입력_인턴근무계획!$M$3:$R$402,$A174,$I$3)&amp;"")-1))))</f>
        <v/>
      </c>
      <c r="J174" s="26">
        <f>IF(OR($C174="",$I$3=""),"",IF(INDEX(입력_인턴근무계획!$M$3:$R$402,$A174,$I$3)&amp;""="","",IF(LEFT(INDEX(입력_인턴근무계획!$M$3:$R$402,$A174,$I$3)&amp;"",1)="⚠","",MID(INDEX(입력_인턴근무계획!$M$3:$R$402,$A174,$I$3)&amp;"",FIND(" ",INDEX(입력_인턴근무계획!$M$3:$R$402,$A174,$I$3)&amp;"")+1,60))))</f>
        <v/>
      </c>
      <c r="K174" s="26">
        <f>IF($C174="","",INDEX(입력_인턴근무계획!$M$3:$M$402,$A174)&amp;"")</f>
        <v/>
      </c>
      <c r="L174" s="26">
        <f>IF($C174="","",INDEX(입력_인턴근무계획!$N$3:$N$402,$A174)&amp;"")</f>
        <v/>
      </c>
      <c r="M174" s="26">
        <f>IF($C174="","",INDEX(입력_인턴근무계획!$O$3:$O$402,$A174)&amp;"")</f>
        <v/>
      </c>
      <c r="N174" s="26">
        <f>IF($C174="","",INDEX(입력_인턴근무계획!$P$3:$P$402,$A174)&amp;"")</f>
        <v/>
      </c>
      <c r="O174" s="26">
        <f>IF($C174="","",INDEX(입력_인턴근무계획!$Q$3:$Q$402,$A174)&amp;"")</f>
        <v/>
      </c>
      <c r="P174" s="26">
        <f>IF($C174="","",INDEX(입력_인턴근무계획!$R$3:$R$402,$A174)&amp;"")</f>
        <v/>
      </c>
      <c r="Q174" s="26">
        <f>IF($C174="","",INDEX(입력_인턴근무계획!$T$3:$T$402,$A174))</f>
        <v/>
      </c>
    </row>
    <row r="175">
      <c r="A175" s="29" t="n">
        <v>170</v>
      </c>
      <c r="B175" s="26">
        <f>IF($C175="","",INDEX(입력_인턴근무계획!$B$3:$B$402,$A175))</f>
        <v/>
      </c>
      <c r="C175" s="26">
        <f>IFERROR(TRIM(INDEX(입력_인턴근무계획!$C$3:$C$402,$A175)&amp;""),"")</f>
        <v/>
      </c>
      <c r="D175" s="26">
        <f>IF($C175="","",INDEX(입력_인턴근무계획!$D$3:$D$402,$A175))</f>
        <v/>
      </c>
      <c r="E175" s="26">
        <f>IF($C175="","",IF(IFERROR(MATCH($D175,입력_기본자료!$B$2:$B$1001,0),IFERROR(MATCH($D175&amp;"",입력_기본자료!$B$2:$B$1001,0),IFERROR(MATCH(VALUE($D175),입력_기본자료!$B$2:$B$1001,0),0)))&gt;0,"확인","미등록"))</f>
        <v/>
      </c>
      <c r="F175" s="28">
        <f>IF($C175="","",INDEX(입력_인턴근무계획!$S$3:$S$402,$A175))</f>
        <v/>
      </c>
      <c r="G175" s="26">
        <f>IF(OR($C175="",$G$3=""),"",IF(INDEX(입력_인턴근무계획!$M$3:$R$402,$A175,$G$3)&amp;""="","",IF(LEFT(INDEX(입력_인턴근무계획!$M$3:$R$402,$A175,$G$3)&amp;"",1)="⚠",INDEX(입력_인턴근무계획!$M$3:$R$402,$A175,$G$3)&amp;"",LEFT(INDEX(입력_인턴근무계획!$M$3:$R$402,$A175,$G$3)&amp;"",FIND(" ",INDEX(입력_인턴근무계획!$M$3:$R$402,$A175,$G$3)&amp;"")-1))))</f>
        <v/>
      </c>
      <c r="H175" s="26">
        <f>IF(OR($C175="",$G$3=""),"",IF(INDEX(입력_인턴근무계획!$M$3:$R$402,$A175,$G$3)&amp;""="","",IF(LEFT(INDEX(입력_인턴근무계획!$M$3:$R$402,$A175,$G$3)&amp;"",1)="⚠","",MID(INDEX(입력_인턴근무계획!$M$3:$R$402,$A175,$G$3)&amp;"",FIND(" ",INDEX(입력_인턴근무계획!$M$3:$R$402,$A175,$G$3)&amp;"")+1,60))))</f>
        <v/>
      </c>
      <c r="I175" s="26">
        <f>IF(OR($C175="",$I$3=""),"",IF(INDEX(입력_인턴근무계획!$M$3:$R$402,$A175,$I$3)&amp;""="","",IF(LEFT(INDEX(입력_인턴근무계획!$M$3:$R$402,$A175,$I$3)&amp;"",1)="⚠",INDEX(입력_인턴근무계획!$M$3:$R$402,$A175,$I$3)&amp;"",LEFT(INDEX(입력_인턴근무계획!$M$3:$R$402,$A175,$I$3)&amp;"",FIND(" ",INDEX(입력_인턴근무계획!$M$3:$R$402,$A175,$I$3)&amp;"")-1))))</f>
        <v/>
      </c>
      <c r="J175" s="26">
        <f>IF(OR($C175="",$I$3=""),"",IF(INDEX(입력_인턴근무계획!$M$3:$R$402,$A175,$I$3)&amp;""="","",IF(LEFT(INDEX(입력_인턴근무계획!$M$3:$R$402,$A175,$I$3)&amp;"",1)="⚠","",MID(INDEX(입력_인턴근무계획!$M$3:$R$402,$A175,$I$3)&amp;"",FIND(" ",INDEX(입력_인턴근무계획!$M$3:$R$402,$A175,$I$3)&amp;"")+1,60))))</f>
        <v/>
      </c>
      <c r="K175" s="26">
        <f>IF($C175="","",INDEX(입력_인턴근무계획!$M$3:$M$402,$A175)&amp;"")</f>
        <v/>
      </c>
      <c r="L175" s="26">
        <f>IF($C175="","",INDEX(입력_인턴근무계획!$N$3:$N$402,$A175)&amp;"")</f>
        <v/>
      </c>
      <c r="M175" s="26">
        <f>IF($C175="","",INDEX(입력_인턴근무계획!$O$3:$O$402,$A175)&amp;"")</f>
        <v/>
      </c>
      <c r="N175" s="26">
        <f>IF($C175="","",INDEX(입력_인턴근무계획!$P$3:$P$402,$A175)&amp;"")</f>
        <v/>
      </c>
      <c r="O175" s="26">
        <f>IF($C175="","",INDEX(입력_인턴근무계획!$Q$3:$Q$402,$A175)&amp;"")</f>
        <v/>
      </c>
      <c r="P175" s="26">
        <f>IF($C175="","",INDEX(입력_인턴근무계획!$R$3:$R$402,$A175)&amp;"")</f>
        <v/>
      </c>
      <c r="Q175" s="26">
        <f>IF($C175="","",INDEX(입력_인턴근무계획!$T$3:$T$402,$A175))</f>
        <v/>
      </c>
    </row>
    <row r="176">
      <c r="A176" s="29" t="n">
        <v>171</v>
      </c>
      <c r="B176" s="26">
        <f>IF($C176="","",INDEX(입력_인턴근무계획!$B$3:$B$402,$A176))</f>
        <v/>
      </c>
      <c r="C176" s="26">
        <f>IFERROR(TRIM(INDEX(입력_인턴근무계획!$C$3:$C$402,$A176)&amp;""),"")</f>
        <v/>
      </c>
      <c r="D176" s="26">
        <f>IF($C176="","",INDEX(입력_인턴근무계획!$D$3:$D$402,$A176))</f>
        <v/>
      </c>
      <c r="E176" s="26">
        <f>IF($C176="","",IF(IFERROR(MATCH($D176,입력_기본자료!$B$2:$B$1001,0),IFERROR(MATCH($D176&amp;"",입력_기본자료!$B$2:$B$1001,0),IFERROR(MATCH(VALUE($D176),입력_기본자료!$B$2:$B$1001,0),0)))&gt;0,"확인","미등록"))</f>
        <v/>
      </c>
      <c r="F176" s="28">
        <f>IF($C176="","",INDEX(입력_인턴근무계획!$S$3:$S$402,$A176))</f>
        <v/>
      </c>
      <c r="G176" s="26">
        <f>IF(OR($C176="",$G$3=""),"",IF(INDEX(입력_인턴근무계획!$M$3:$R$402,$A176,$G$3)&amp;""="","",IF(LEFT(INDEX(입력_인턴근무계획!$M$3:$R$402,$A176,$G$3)&amp;"",1)="⚠",INDEX(입력_인턴근무계획!$M$3:$R$402,$A176,$G$3)&amp;"",LEFT(INDEX(입력_인턴근무계획!$M$3:$R$402,$A176,$G$3)&amp;"",FIND(" ",INDEX(입력_인턴근무계획!$M$3:$R$402,$A176,$G$3)&amp;"")-1))))</f>
        <v/>
      </c>
      <c r="H176" s="26">
        <f>IF(OR($C176="",$G$3=""),"",IF(INDEX(입력_인턴근무계획!$M$3:$R$402,$A176,$G$3)&amp;""="","",IF(LEFT(INDEX(입력_인턴근무계획!$M$3:$R$402,$A176,$G$3)&amp;"",1)="⚠","",MID(INDEX(입력_인턴근무계획!$M$3:$R$402,$A176,$G$3)&amp;"",FIND(" ",INDEX(입력_인턴근무계획!$M$3:$R$402,$A176,$G$3)&amp;"")+1,60))))</f>
        <v/>
      </c>
      <c r="I176" s="26">
        <f>IF(OR($C176="",$I$3=""),"",IF(INDEX(입력_인턴근무계획!$M$3:$R$402,$A176,$I$3)&amp;""="","",IF(LEFT(INDEX(입력_인턴근무계획!$M$3:$R$402,$A176,$I$3)&amp;"",1)="⚠",INDEX(입력_인턴근무계획!$M$3:$R$402,$A176,$I$3)&amp;"",LEFT(INDEX(입력_인턴근무계획!$M$3:$R$402,$A176,$I$3)&amp;"",FIND(" ",INDEX(입력_인턴근무계획!$M$3:$R$402,$A176,$I$3)&amp;"")-1))))</f>
        <v/>
      </c>
      <c r="J176" s="26">
        <f>IF(OR($C176="",$I$3=""),"",IF(INDEX(입력_인턴근무계획!$M$3:$R$402,$A176,$I$3)&amp;""="","",IF(LEFT(INDEX(입력_인턴근무계획!$M$3:$R$402,$A176,$I$3)&amp;"",1)="⚠","",MID(INDEX(입력_인턴근무계획!$M$3:$R$402,$A176,$I$3)&amp;"",FIND(" ",INDEX(입력_인턴근무계획!$M$3:$R$402,$A176,$I$3)&amp;"")+1,60))))</f>
        <v/>
      </c>
      <c r="K176" s="26">
        <f>IF($C176="","",INDEX(입력_인턴근무계획!$M$3:$M$402,$A176)&amp;"")</f>
        <v/>
      </c>
      <c r="L176" s="26">
        <f>IF($C176="","",INDEX(입력_인턴근무계획!$N$3:$N$402,$A176)&amp;"")</f>
        <v/>
      </c>
      <c r="M176" s="26">
        <f>IF($C176="","",INDEX(입력_인턴근무계획!$O$3:$O$402,$A176)&amp;"")</f>
        <v/>
      </c>
      <c r="N176" s="26">
        <f>IF($C176="","",INDEX(입력_인턴근무계획!$P$3:$P$402,$A176)&amp;"")</f>
        <v/>
      </c>
      <c r="O176" s="26">
        <f>IF($C176="","",INDEX(입력_인턴근무계획!$Q$3:$Q$402,$A176)&amp;"")</f>
        <v/>
      </c>
      <c r="P176" s="26">
        <f>IF($C176="","",INDEX(입력_인턴근무계획!$R$3:$R$402,$A176)&amp;"")</f>
        <v/>
      </c>
      <c r="Q176" s="26">
        <f>IF($C176="","",INDEX(입력_인턴근무계획!$T$3:$T$402,$A176))</f>
        <v/>
      </c>
    </row>
    <row r="177">
      <c r="A177" s="29" t="n">
        <v>172</v>
      </c>
      <c r="B177" s="26">
        <f>IF($C177="","",INDEX(입력_인턴근무계획!$B$3:$B$402,$A177))</f>
        <v/>
      </c>
      <c r="C177" s="26">
        <f>IFERROR(TRIM(INDEX(입력_인턴근무계획!$C$3:$C$402,$A177)&amp;""),"")</f>
        <v/>
      </c>
      <c r="D177" s="26">
        <f>IF($C177="","",INDEX(입력_인턴근무계획!$D$3:$D$402,$A177))</f>
        <v/>
      </c>
      <c r="E177" s="26">
        <f>IF($C177="","",IF(IFERROR(MATCH($D177,입력_기본자료!$B$2:$B$1001,0),IFERROR(MATCH($D177&amp;"",입력_기본자료!$B$2:$B$1001,0),IFERROR(MATCH(VALUE($D177),입력_기본자료!$B$2:$B$1001,0),0)))&gt;0,"확인","미등록"))</f>
        <v/>
      </c>
      <c r="F177" s="28">
        <f>IF($C177="","",INDEX(입력_인턴근무계획!$S$3:$S$402,$A177))</f>
        <v/>
      </c>
      <c r="G177" s="26">
        <f>IF(OR($C177="",$G$3=""),"",IF(INDEX(입력_인턴근무계획!$M$3:$R$402,$A177,$G$3)&amp;""="","",IF(LEFT(INDEX(입력_인턴근무계획!$M$3:$R$402,$A177,$G$3)&amp;"",1)="⚠",INDEX(입력_인턴근무계획!$M$3:$R$402,$A177,$G$3)&amp;"",LEFT(INDEX(입력_인턴근무계획!$M$3:$R$402,$A177,$G$3)&amp;"",FIND(" ",INDEX(입력_인턴근무계획!$M$3:$R$402,$A177,$G$3)&amp;"")-1))))</f>
        <v/>
      </c>
      <c r="H177" s="26">
        <f>IF(OR($C177="",$G$3=""),"",IF(INDEX(입력_인턴근무계획!$M$3:$R$402,$A177,$G$3)&amp;""="","",IF(LEFT(INDEX(입력_인턴근무계획!$M$3:$R$402,$A177,$G$3)&amp;"",1)="⚠","",MID(INDEX(입력_인턴근무계획!$M$3:$R$402,$A177,$G$3)&amp;"",FIND(" ",INDEX(입력_인턴근무계획!$M$3:$R$402,$A177,$G$3)&amp;"")+1,60))))</f>
        <v/>
      </c>
      <c r="I177" s="26">
        <f>IF(OR($C177="",$I$3=""),"",IF(INDEX(입력_인턴근무계획!$M$3:$R$402,$A177,$I$3)&amp;""="","",IF(LEFT(INDEX(입력_인턴근무계획!$M$3:$R$402,$A177,$I$3)&amp;"",1)="⚠",INDEX(입력_인턴근무계획!$M$3:$R$402,$A177,$I$3)&amp;"",LEFT(INDEX(입력_인턴근무계획!$M$3:$R$402,$A177,$I$3)&amp;"",FIND(" ",INDEX(입력_인턴근무계획!$M$3:$R$402,$A177,$I$3)&amp;"")-1))))</f>
        <v/>
      </c>
      <c r="J177" s="26">
        <f>IF(OR($C177="",$I$3=""),"",IF(INDEX(입력_인턴근무계획!$M$3:$R$402,$A177,$I$3)&amp;""="","",IF(LEFT(INDEX(입력_인턴근무계획!$M$3:$R$402,$A177,$I$3)&amp;"",1)="⚠","",MID(INDEX(입력_인턴근무계획!$M$3:$R$402,$A177,$I$3)&amp;"",FIND(" ",INDEX(입력_인턴근무계획!$M$3:$R$402,$A177,$I$3)&amp;"")+1,60))))</f>
        <v/>
      </c>
      <c r="K177" s="26">
        <f>IF($C177="","",INDEX(입력_인턴근무계획!$M$3:$M$402,$A177)&amp;"")</f>
        <v/>
      </c>
      <c r="L177" s="26">
        <f>IF($C177="","",INDEX(입력_인턴근무계획!$N$3:$N$402,$A177)&amp;"")</f>
        <v/>
      </c>
      <c r="M177" s="26">
        <f>IF($C177="","",INDEX(입력_인턴근무계획!$O$3:$O$402,$A177)&amp;"")</f>
        <v/>
      </c>
      <c r="N177" s="26">
        <f>IF($C177="","",INDEX(입력_인턴근무계획!$P$3:$P$402,$A177)&amp;"")</f>
        <v/>
      </c>
      <c r="O177" s="26">
        <f>IF($C177="","",INDEX(입력_인턴근무계획!$Q$3:$Q$402,$A177)&amp;"")</f>
        <v/>
      </c>
      <c r="P177" s="26">
        <f>IF($C177="","",INDEX(입력_인턴근무계획!$R$3:$R$402,$A177)&amp;"")</f>
        <v/>
      </c>
      <c r="Q177" s="26">
        <f>IF($C177="","",INDEX(입력_인턴근무계획!$T$3:$T$402,$A177))</f>
        <v/>
      </c>
    </row>
    <row r="178">
      <c r="A178" s="29" t="n">
        <v>173</v>
      </c>
      <c r="B178" s="26">
        <f>IF($C178="","",INDEX(입력_인턴근무계획!$B$3:$B$402,$A178))</f>
        <v/>
      </c>
      <c r="C178" s="26">
        <f>IFERROR(TRIM(INDEX(입력_인턴근무계획!$C$3:$C$402,$A178)&amp;""),"")</f>
        <v/>
      </c>
      <c r="D178" s="26">
        <f>IF($C178="","",INDEX(입력_인턴근무계획!$D$3:$D$402,$A178))</f>
        <v/>
      </c>
      <c r="E178" s="26">
        <f>IF($C178="","",IF(IFERROR(MATCH($D178,입력_기본자료!$B$2:$B$1001,0),IFERROR(MATCH($D178&amp;"",입력_기본자료!$B$2:$B$1001,0),IFERROR(MATCH(VALUE($D178),입력_기본자료!$B$2:$B$1001,0),0)))&gt;0,"확인","미등록"))</f>
        <v/>
      </c>
      <c r="F178" s="28">
        <f>IF($C178="","",INDEX(입력_인턴근무계획!$S$3:$S$402,$A178))</f>
        <v/>
      </c>
      <c r="G178" s="26">
        <f>IF(OR($C178="",$G$3=""),"",IF(INDEX(입력_인턴근무계획!$M$3:$R$402,$A178,$G$3)&amp;""="","",IF(LEFT(INDEX(입력_인턴근무계획!$M$3:$R$402,$A178,$G$3)&amp;"",1)="⚠",INDEX(입력_인턴근무계획!$M$3:$R$402,$A178,$G$3)&amp;"",LEFT(INDEX(입력_인턴근무계획!$M$3:$R$402,$A178,$G$3)&amp;"",FIND(" ",INDEX(입력_인턴근무계획!$M$3:$R$402,$A178,$G$3)&amp;"")-1))))</f>
        <v/>
      </c>
      <c r="H178" s="26">
        <f>IF(OR($C178="",$G$3=""),"",IF(INDEX(입력_인턴근무계획!$M$3:$R$402,$A178,$G$3)&amp;""="","",IF(LEFT(INDEX(입력_인턴근무계획!$M$3:$R$402,$A178,$G$3)&amp;"",1)="⚠","",MID(INDEX(입력_인턴근무계획!$M$3:$R$402,$A178,$G$3)&amp;"",FIND(" ",INDEX(입력_인턴근무계획!$M$3:$R$402,$A178,$G$3)&amp;"")+1,60))))</f>
        <v/>
      </c>
      <c r="I178" s="26">
        <f>IF(OR($C178="",$I$3=""),"",IF(INDEX(입력_인턴근무계획!$M$3:$R$402,$A178,$I$3)&amp;""="","",IF(LEFT(INDEX(입력_인턴근무계획!$M$3:$R$402,$A178,$I$3)&amp;"",1)="⚠",INDEX(입력_인턴근무계획!$M$3:$R$402,$A178,$I$3)&amp;"",LEFT(INDEX(입력_인턴근무계획!$M$3:$R$402,$A178,$I$3)&amp;"",FIND(" ",INDEX(입력_인턴근무계획!$M$3:$R$402,$A178,$I$3)&amp;"")-1))))</f>
        <v/>
      </c>
      <c r="J178" s="26">
        <f>IF(OR($C178="",$I$3=""),"",IF(INDEX(입력_인턴근무계획!$M$3:$R$402,$A178,$I$3)&amp;""="","",IF(LEFT(INDEX(입력_인턴근무계획!$M$3:$R$402,$A178,$I$3)&amp;"",1)="⚠","",MID(INDEX(입력_인턴근무계획!$M$3:$R$402,$A178,$I$3)&amp;"",FIND(" ",INDEX(입력_인턴근무계획!$M$3:$R$402,$A178,$I$3)&amp;"")+1,60))))</f>
        <v/>
      </c>
      <c r="K178" s="26">
        <f>IF($C178="","",INDEX(입력_인턴근무계획!$M$3:$M$402,$A178)&amp;"")</f>
        <v/>
      </c>
      <c r="L178" s="26">
        <f>IF($C178="","",INDEX(입력_인턴근무계획!$N$3:$N$402,$A178)&amp;"")</f>
        <v/>
      </c>
      <c r="M178" s="26">
        <f>IF($C178="","",INDEX(입력_인턴근무계획!$O$3:$O$402,$A178)&amp;"")</f>
        <v/>
      </c>
      <c r="N178" s="26">
        <f>IF($C178="","",INDEX(입력_인턴근무계획!$P$3:$P$402,$A178)&amp;"")</f>
        <v/>
      </c>
      <c r="O178" s="26">
        <f>IF($C178="","",INDEX(입력_인턴근무계획!$Q$3:$Q$402,$A178)&amp;"")</f>
        <v/>
      </c>
      <c r="P178" s="26">
        <f>IF($C178="","",INDEX(입력_인턴근무계획!$R$3:$R$402,$A178)&amp;"")</f>
        <v/>
      </c>
      <c r="Q178" s="26">
        <f>IF($C178="","",INDEX(입력_인턴근무계획!$T$3:$T$402,$A178))</f>
        <v/>
      </c>
    </row>
    <row r="179">
      <c r="A179" s="29" t="n">
        <v>174</v>
      </c>
      <c r="B179" s="26">
        <f>IF($C179="","",INDEX(입력_인턴근무계획!$B$3:$B$402,$A179))</f>
        <v/>
      </c>
      <c r="C179" s="26">
        <f>IFERROR(TRIM(INDEX(입력_인턴근무계획!$C$3:$C$402,$A179)&amp;""),"")</f>
        <v/>
      </c>
      <c r="D179" s="26">
        <f>IF($C179="","",INDEX(입력_인턴근무계획!$D$3:$D$402,$A179))</f>
        <v/>
      </c>
      <c r="E179" s="26">
        <f>IF($C179="","",IF(IFERROR(MATCH($D179,입력_기본자료!$B$2:$B$1001,0),IFERROR(MATCH($D179&amp;"",입력_기본자료!$B$2:$B$1001,0),IFERROR(MATCH(VALUE($D179),입력_기본자료!$B$2:$B$1001,0),0)))&gt;0,"확인","미등록"))</f>
        <v/>
      </c>
      <c r="F179" s="28">
        <f>IF($C179="","",INDEX(입력_인턴근무계획!$S$3:$S$402,$A179))</f>
        <v/>
      </c>
      <c r="G179" s="26">
        <f>IF(OR($C179="",$G$3=""),"",IF(INDEX(입력_인턴근무계획!$M$3:$R$402,$A179,$G$3)&amp;""="","",IF(LEFT(INDEX(입력_인턴근무계획!$M$3:$R$402,$A179,$G$3)&amp;"",1)="⚠",INDEX(입력_인턴근무계획!$M$3:$R$402,$A179,$G$3)&amp;"",LEFT(INDEX(입력_인턴근무계획!$M$3:$R$402,$A179,$G$3)&amp;"",FIND(" ",INDEX(입력_인턴근무계획!$M$3:$R$402,$A179,$G$3)&amp;"")-1))))</f>
        <v/>
      </c>
      <c r="H179" s="26">
        <f>IF(OR($C179="",$G$3=""),"",IF(INDEX(입력_인턴근무계획!$M$3:$R$402,$A179,$G$3)&amp;""="","",IF(LEFT(INDEX(입력_인턴근무계획!$M$3:$R$402,$A179,$G$3)&amp;"",1)="⚠","",MID(INDEX(입력_인턴근무계획!$M$3:$R$402,$A179,$G$3)&amp;"",FIND(" ",INDEX(입력_인턴근무계획!$M$3:$R$402,$A179,$G$3)&amp;"")+1,60))))</f>
        <v/>
      </c>
      <c r="I179" s="26">
        <f>IF(OR($C179="",$I$3=""),"",IF(INDEX(입력_인턴근무계획!$M$3:$R$402,$A179,$I$3)&amp;""="","",IF(LEFT(INDEX(입력_인턴근무계획!$M$3:$R$402,$A179,$I$3)&amp;"",1)="⚠",INDEX(입력_인턴근무계획!$M$3:$R$402,$A179,$I$3)&amp;"",LEFT(INDEX(입력_인턴근무계획!$M$3:$R$402,$A179,$I$3)&amp;"",FIND(" ",INDEX(입력_인턴근무계획!$M$3:$R$402,$A179,$I$3)&amp;"")-1))))</f>
        <v/>
      </c>
      <c r="J179" s="26">
        <f>IF(OR($C179="",$I$3=""),"",IF(INDEX(입력_인턴근무계획!$M$3:$R$402,$A179,$I$3)&amp;""="","",IF(LEFT(INDEX(입력_인턴근무계획!$M$3:$R$402,$A179,$I$3)&amp;"",1)="⚠","",MID(INDEX(입력_인턴근무계획!$M$3:$R$402,$A179,$I$3)&amp;"",FIND(" ",INDEX(입력_인턴근무계획!$M$3:$R$402,$A179,$I$3)&amp;"")+1,60))))</f>
        <v/>
      </c>
      <c r="K179" s="26">
        <f>IF($C179="","",INDEX(입력_인턴근무계획!$M$3:$M$402,$A179)&amp;"")</f>
        <v/>
      </c>
      <c r="L179" s="26">
        <f>IF($C179="","",INDEX(입력_인턴근무계획!$N$3:$N$402,$A179)&amp;"")</f>
        <v/>
      </c>
      <c r="M179" s="26">
        <f>IF($C179="","",INDEX(입력_인턴근무계획!$O$3:$O$402,$A179)&amp;"")</f>
        <v/>
      </c>
      <c r="N179" s="26">
        <f>IF($C179="","",INDEX(입력_인턴근무계획!$P$3:$P$402,$A179)&amp;"")</f>
        <v/>
      </c>
      <c r="O179" s="26">
        <f>IF($C179="","",INDEX(입력_인턴근무계획!$Q$3:$Q$402,$A179)&amp;"")</f>
        <v/>
      </c>
      <c r="P179" s="26">
        <f>IF($C179="","",INDEX(입력_인턴근무계획!$R$3:$R$402,$A179)&amp;"")</f>
        <v/>
      </c>
      <c r="Q179" s="26">
        <f>IF($C179="","",INDEX(입력_인턴근무계획!$T$3:$T$402,$A179))</f>
        <v/>
      </c>
    </row>
    <row r="180">
      <c r="A180" s="29" t="n">
        <v>175</v>
      </c>
      <c r="B180" s="26">
        <f>IF($C180="","",INDEX(입력_인턴근무계획!$B$3:$B$402,$A180))</f>
        <v/>
      </c>
      <c r="C180" s="26">
        <f>IFERROR(TRIM(INDEX(입력_인턴근무계획!$C$3:$C$402,$A180)&amp;""),"")</f>
        <v/>
      </c>
      <c r="D180" s="26">
        <f>IF($C180="","",INDEX(입력_인턴근무계획!$D$3:$D$402,$A180))</f>
        <v/>
      </c>
      <c r="E180" s="26">
        <f>IF($C180="","",IF(IFERROR(MATCH($D180,입력_기본자료!$B$2:$B$1001,0),IFERROR(MATCH($D180&amp;"",입력_기본자료!$B$2:$B$1001,0),IFERROR(MATCH(VALUE($D180),입력_기본자료!$B$2:$B$1001,0),0)))&gt;0,"확인","미등록"))</f>
        <v/>
      </c>
      <c r="F180" s="28">
        <f>IF($C180="","",INDEX(입력_인턴근무계획!$S$3:$S$402,$A180))</f>
        <v/>
      </c>
      <c r="G180" s="26">
        <f>IF(OR($C180="",$G$3=""),"",IF(INDEX(입력_인턴근무계획!$M$3:$R$402,$A180,$G$3)&amp;""="","",IF(LEFT(INDEX(입력_인턴근무계획!$M$3:$R$402,$A180,$G$3)&amp;"",1)="⚠",INDEX(입력_인턴근무계획!$M$3:$R$402,$A180,$G$3)&amp;"",LEFT(INDEX(입력_인턴근무계획!$M$3:$R$402,$A180,$G$3)&amp;"",FIND(" ",INDEX(입력_인턴근무계획!$M$3:$R$402,$A180,$G$3)&amp;"")-1))))</f>
        <v/>
      </c>
      <c r="H180" s="26">
        <f>IF(OR($C180="",$G$3=""),"",IF(INDEX(입력_인턴근무계획!$M$3:$R$402,$A180,$G$3)&amp;""="","",IF(LEFT(INDEX(입력_인턴근무계획!$M$3:$R$402,$A180,$G$3)&amp;"",1)="⚠","",MID(INDEX(입력_인턴근무계획!$M$3:$R$402,$A180,$G$3)&amp;"",FIND(" ",INDEX(입력_인턴근무계획!$M$3:$R$402,$A180,$G$3)&amp;"")+1,60))))</f>
        <v/>
      </c>
      <c r="I180" s="26">
        <f>IF(OR($C180="",$I$3=""),"",IF(INDEX(입력_인턴근무계획!$M$3:$R$402,$A180,$I$3)&amp;""="","",IF(LEFT(INDEX(입력_인턴근무계획!$M$3:$R$402,$A180,$I$3)&amp;"",1)="⚠",INDEX(입력_인턴근무계획!$M$3:$R$402,$A180,$I$3)&amp;"",LEFT(INDEX(입력_인턴근무계획!$M$3:$R$402,$A180,$I$3)&amp;"",FIND(" ",INDEX(입력_인턴근무계획!$M$3:$R$402,$A180,$I$3)&amp;"")-1))))</f>
        <v/>
      </c>
      <c r="J180" s="26">
        <f>IF(OR($C180="",$I$3=""),"",IF(INDEX(입력_인턴근무계획!$M$3:$R$402,$A180,$I$3)&amp;""="","",IF(LEFT(INDEX(입력_인턴근무계획!$M$3:$R$402,$A180,$I$3)&amp;"",1)="⚠","",MID(INDEX(입력_인턴근무계획!$M$3:$R$402,$A180,$I$3)&amp;"",FIND(" ",INDEX(입력_인턴근무계획!$M$3:$R$402,$A180,$I$3)&amp;"")+1,60))))</f>
        <v/>
      </c>
      <c r="K180" s="26">
        <f>IF($C180="","",INDEX(입력_인턴근무계획!$M$3:$M$402,$A180)&amp;"")</f>
        <v/>
      </c>
      <c r="L180" s="26">
        <f>IF($C180="","",INDEX(입력_인턴근무계획!$N$3:$N$402,$A180)&amp;"")</f>
        <v/>
      </c>
      <c r="M180" s="26">
        <f>IF($C180="","",INDEX(입력_인턴근무계획!$O$3:$O$402,$A180)&amp;"")</f>
        <v/>
      </c>
      <c r="N180" s="26">
        <f>IF($C180="","",INDEX(입력_인턴근무계획!$P$3:$P$402,$A180)&amp;"")</f>
        <v/>
      </c>
      <c r="O180" s="26">
        <f>IF($C180="","",INDEX(입력_인턴근무계획!$Q$3:$Q$402,$A180)&amp;"")</f>
        <v/>
      </c>
      <c r="P180" s="26">
        <f>IF($C180="","",INDEX(입력_인턴근무계획!$R$3:$R$402,$A180)&amp;"")</f>
        <v/>
      </c>
      <c r="Q180" s="26">
        <f>IF($C180="","",INDEX(입력_인턴근무계획!$T$3:$T$402,$A180))</f>
        <v/>
      </c>
    </row>
    <row r="181">
      <c r="A181" s="29" t="n">
        <v>176</v>
      </c>
      <c r="B181" s="26">
        <f>IF($C181="","",INDEX(입력_인턴근무계획!$B$3:$B$402,$A181))</f>
        <v/>
      </c>
      <c r="C181" s="26">
        <f>IFERROR(TRIM(INDEX(입력_인턴근무계획!$C$3:$C$402,$A181)&amp;""),"")</f>
        <v/>
      </c>
      <c r="D181" s="26">
        <f>IF($C181="","",INDEX(입력_인턴근무계획!$D$3:$D$402,$A181))</f>
        <v/>
      </c>
      <c r="E181" s="26">
        <f>IF($C181="","",IF(IFERROR(MATCH($D181,입력_기본자료!$B$2:$B$1001,0),IFERROR(MATCH($D181&amp;"",입력_기본자료!$B$2:$B$1001,0),IFERROR(MATCH(VALUE($D181),입력_기본자료!$B$2:$B$1001,0),0)))&gt;0,"확인","미등록"))</f>
        <v/>
      </c>
      <c r="F181" s="28">
        <f>IF($C181="","",INDEX(입력_인턴근무계획!$S$3:$S$402,$A181))</f>
        <v/>
      </c>
      <c r="G181" s="26">
        <f>IF(OR($C181="",$G$3=""),"",IF(INDEX(입력_인턴근무계획!$M$3:$R$402,$A181,$G$3)&amp;""="","",IF(LEFT(INDEX(입력_인턴근무계획!$M$3:$R$402,$A181,$G$3)&amp;"",1)="⚠",INDEX(입력_인턴근무계획!$M$3:$R$402,$A181,$G$3)&amp;"",LEFT(INDEX(입력_인턴근무계획!$M$3:$R$402,$A181,$G$3)&amp;"",FIND(" ",INDEX(입력_인턴근무계획!$M$3:$R$402,$A181,$G$3)&amp;"")-1))))</f>
        <v/>
      </c>
      <c r="H181" s="26">
        <f>IF(OR($C181="",$G$3=""),"",IF(INDEX(입력_인턴근무계획!$M$3:$R$402,$A181,$G$3)&amp;""="","",IF(LEFT(INDEX(입력_인턴근무계획!$M$3:$R$402,$A181,$G$3)&amp;"",1)="⚠","",MID(INDEX(입력_인턴근무계획!$M$3:$R$402,$A181,$G$3)&amp;"",FIND(" ",INDEX(입력_인턴근무계획!$M$3:$R$402,$A181,$G$3)&amp;"")+1,60))))</f>
        <v/>
      </c>
      <c r="I181" s="26">
        <f>IF(OR($C181="",$I$3=""),"",IF(INDEX(입력_인턴근무계획!$M$3:$R$402,$A181,$I$3)&amp;""="","",IF(LEFT(INDEX(입력_인턴근무계획!$M$3:$R$402,$A181,$I$3)&amp;"",1)="⚠",INDEX(입력_인턴근무계획!$M$3:$R$402,$A181,$I$3)&amp;"",LEFT(INDEX(입력_인턴근무계획!$M$3:$R$402,$A181,$I$3)&amp;"",FIND(" ",INDEX(입력_인턴근무계획!$M$3:$R$402,$A181,$I$3)&amp;"")-1))))</f>
        <v/>
      </c>
      <c r="J181" s="26">
        <f>IF(OR($C181="",$I$3=""),"",IF(INDEX(입력_인턴근무계획!$M$3:$R$402,$A181,$I$3)&amp;""="","",IF(LEFT(INDEX(입력_인턴근무계획!$M$3:$R$402,$A181,$I$3)&amp;"",1)="⚠","",MID(INDEX(입력_인턴근무계획!$M$3:$R$402,$A181,$I$3)&amp;"",FIND(" ",INDEX(입력_인턴근무계획!$M$3:$R$402,$A181,$I$3)&amp;"")+1,60))))</f>
        <v/>
      </c>
      <c r="K181" s="26">
        <f>IF($C181="","",INDEX(입력_인턴근무계획!$M$3:$M$402,$A181)&amp;"")</f>
        <v/>
      </c>
      <c r="L181" s="26">
        <f>IF($C181="","",INDEX(입력_인턴근무계획!$N$3:$N$402,$A181)&amp;"")</f>
        <v/>
      </c>
      <c r="M181" s="26">
        <f>IF($C181="","",INDEX(입력_인턴근무계획!$O$3:$O$402,$A181)&amp;"")</f>
        <v/>
      </c>
      <c r="N181" s="26">
        <f>IF($C181="","",INDEX(입력_인턴근무계획!$P$3:$P$402,$A181)&amp;"")</f>
        <v/>
      </c>
      <c r="O181" s="26">
        <f>IF($C181="","",INDEX(입력_인턴근무계획!$Q$3:$Q$402,$A181)&amp;"")</f>
        <v/>
      </c>
      <c r="P181" s="26">
        <f>IF($C181="","",INDEX(입력_인턴근무계획!$R$3:$R$402,$A181)&amp;"")</f>
        <v/>
      </c>
      <c r="Q181" s="26">
        <f>IF($C181="","",INDEX(입력_인턴근무계획!$T$3:$T$402,$A181))</f>
        <v/>
      </c>
    </row>
    <row r="182">
      <c r="A182" s="29" t="n">
        <v>177</v>
      </c>
      <c r="B182" s="26">
        <f>IF($C182="","",INDEX(입력_인턴근무계획!$B$3:$B$402,$A182))</f>
        <v/>
      </c>
      <c r="C182" s="26">
        <f>IFERROR(TRIM(INDEX(입력_인턴근무계획!$C$3:$C$402,$A182)&amp;""),"")</f>
        <v/>
      </c>
      <c r="D182" s="26">
        <f>IF($C182="","",INDEX(입력_인턴근무계획!$D$3:$D$402,$A182))</f>
        <v/>
      </c>
      <c r="E182" s="26">
        <f>IF($C182="","",IF(IFERROR(MATCH($D182,입력_기본자료!$B$2:$B$1001,0),IFERROR(MATCH($D182&amp;"",입력_기본자료!$B$2:$B$1001,0),IFERROR(MATCH(VALUE($D182),입력_기본자료!$B$2:$B$1001,0),0)))&gt;0,"확인","미등록"))</f>
        <v/>
      </c>
      <c r="F182" s="28">
        <f>IF($C182="","",INDEX(입력_인턴근무계획!$S$3:$S$402,$A182))</f>
        <v/>
      </c>
      <c r="G182" s="26">
        <f>IF(OR($C182="",$G$3=""),"",IF(INDEX(입력_인턴근무계획!$M$3:$R$402,$A182,$G$3)&amp;""="","",IF(LEFT(INDEX(입력_인턴근무계획!$M$3:$R$402,$A182,$G$3)&amp;"",1)="⚠",INDEX(입력_인턴근무계획!$M$3:$R$402,$A182,$G$3)&amp;"",LEFT(INDEX(입력_인턴근무계획!$M$3:$R$402,$A182,$G$3)&amp;"",FIND(" ",INDEX(입력_인턴근무계획!$M$3:$R$402,$A182,$G$3)&amp;"")-1))))</f>
        <v/>
      </c>
      <c r="H182" s="26">
        <f>IF(OR($C182="",$G$3=""),"",IF(INDEX(입력_인턴근무계획!$M$3:$R$402,$A182,$G$3)&amp;""="","",IF(LEFT(INDEX(입력_인턴근무계획!$M$3:$R$402,$A182,$G$3)&amp;"",1)="⚠","",MID(INDEX(입력_인턴근무계획!$M$3:$R$402,$A182,$G$3)&amp;"",FIND(" ",INDEX(입력_인턴근무계획!$M$3:$R$402,$A182,$G$3)&amp;"")+1,60))))</f>
        <v/>
      </c>
      <c r="I182" s="26">
        <f>IF(OR($C182="",$I$3=""),"",IF(INDEX(입력_인턴근무계획!$M$3:$R$402,$A182,$I$3)&amp;""="","",IF(LEFT(INDEX(입력_인턴근무계획!$M$3:$R$402,$A182,$I$3)&amp;"",1)="⚠",INDEX(입력_인턴근무계획!$M$3:$R$402,$A182,$I$3)&amp;"",LEFT(INDEX(입력_인턴근무계획!$M$3:$R$402,$A182,$I$3)&amp;"",FIND(" ",INDEX(입력_인턴근무계획!$M$3:$R$402,$A182,$I$3)&amp;"")-1))))</f>
        <v/>
      </c>
      <c r="J182" s="26">
        <f>IF(OR($C182="",$I$3=""),"",IF(INDEX(입력_인턴근무계획!$M$3:$R$402,$A182,$I$3)&amp;""="","",IF(LEFT(INDEX(입력_인턴근무계획!$M$3:$R$402,$A182,$I$3)&amp;"",1)="⚠","",MID(INDEX(입력_인턴근무계획!$M$3:$R$402,$A182,$I$3)&amp;"",FIND(" ",INDEX(입력_인턴근무계획!$M$3:$R$402,$A182,$I$3)&amp;"")+1,60))))</f>
        <v/>
      </c>
      <c r="K182" s="26">
        <f>IF($C182="","",INDEX(입력_인턴근무계획!$M$3:$M$402,$A182)&amp;"")</f>
        <v/>
      </c>
      <c r="L182" s="26">
        <f>IF($C182="","",INDEX(입력_인턴근무계획!$N$3:$N$402,$A182)&amp;"")</f>
        <v/>
      </c>
      <c r="M182" s="26">
        <f>IF($C182="","",INDEX(입력_인턴근무계획!$O$3:$O$402,$A182)&amp;"")</f>
        <v/>
      </c>
      <c r="N182" s="26">
        <f>IF($C182="","",INDEX(입력_인턴근무계획!$P$3:$P$402,$A182)&amp;"")</f>
        <v/>
      </c>
      <c r="O182" s="26">
        <f>IF($C182="","",INDEX(입력_인턴근무계획!$Q$3:$Q$402,$A182)&amp;"")</f>
        <v/>
      </c>
      <c r="P182" s="26">
        <f>IF($C182="","",INDEX(입력_인턴근무계획!$R$3:$R$402,$A182)&amp;"")</f>
        <v/>
      </c>
      <c r="Q182" s="26">
        <f>IF($C182="","",INDEX(입력_인턴근무계획!$T$3:$T$402,$A182))</f>
        <v/>
      </c>
    </row>
    <row r="183">
      <c r="A183" s="29" t="n">
        <v>178</v>
      </c>
      <c r="B183" s="26">
        <f>IF($C183="","",INDEX(입력_인턴근무계획!$B$3:$B$402,$A183))</f>
        <v/>
      </c>
      <c r="C183" s="26">
        <f>IFERROR(TRIM(INDEX(입력_인턴근무계획!$C$3:$C$402,$A183)&amp;""),"")</f>
        <v/>
      </c>
      <c r="D183" s="26">
        <f>IF($C183="","",INDEX(입력_인턴근무계획!$D$3:$D$402,$A183))</f>
        <v/>
      </c>
      <c r="E183" s="26">
        <f>IF($C183="","",IF(IFERROR(MATCH($D183,입력_기본자료!$B$2:$B$1001,0),IFERROR(MATCH($D183&amp;"",입력_기본자료!$B$2:$B$1001,0),IFERROR(MATCH(VALUE($D183),입력_기본자료!$B$2:$B$1001,0),0)))&gt;0,"확인","미등록"))</f>
        <v/>
      </c>
      <c r="F183" s="28">
        <f>IF($C183="","",INDEX(입력_인턴근무계획!$S$3:$S$402,$A183))</f>
        <v/>
      </c>
      <c r="G183" s="26">
        <f>IF(OR($C183="",$G$3=""),"",IF(INDEX(입력_인턴근무계획!$M$3:$R$402,$A183,$G$3)&amp;""="","",IF(LEFT(INDEX(입력_인턴근무계획!$M$3:$R$402,$A183,$G$3)&amp;"",1)="⚠",INDEX(입력_인턴근무계획!$M$3:$R$402,$A183,$G$3)&amp;"",LEFT(INDEX(입력_인턴근무계획!$M$3:$R$402,$A183,$G$3)&amp;"",FIND(" ",INDEX(입력_인턴근무계획!$M$3:$R$402,$A183,$G$3)&amp;"")-1))))</f>
        <v/>
      </c>
      <c r="H183" s="26">
        <f>IF(OR($C183="",$G$3=""),"",IF(INDEX(입력_인턴근무계획!$M$3:$R$402,$A183,$G$3)&amp;""="","",IF(LEFT(INDEX(입력_인턴근무계획!$M$3:$R$402,$A183,$G$3)&amp;"",1)="⚠","",MID(INDEX(입력_인턴근무계획!$M$3:$R$402,$A183,$G$3)&amp;"",FIND(" ",INDEX(입력_인턴근무계획!$M$3:$R$402,$A183,$G$3)&amp;"")+1,60))))</f>
        <v/>
      </c>
      <c r="I183" s="26">
        <f>IF(OR($C183="",$I$3=""),"",IF(INDEX(입력_인턴근무계획!$M$3:$R$402,$A183,$I$3)&amp;""="","",IF(LEFT(INDEX(입력_인턴근무계획!$M$3:$R$402,$A183,$I$3)&amp;"",1)="⚠",INDEX(입력_인턴근무계획!$M$3:$R$402,$A183,$I$3)&amp;"",LEFT(INDEX(입력_인턴근무계획!$M$3:$R$402,$A183,$I$3)&amp;"",FIND(" ",INDEX(입력_인턴근무계획!$M$3:$R$402,$A183,$I$3)&amp;"")-1))))</f>
        <v/>
      </c>
      <c r="J183" s="26">
        <f>IF(OR($C183="",$I$3=""),"",IF(INDEX(입력_인턴근무계획!$M$3:$R$402,$A183,$I$3)&amp;""="","",IF(LEFT(INDEX(입력_인턴근무계획!$M$3:$R$402,$A183,$I$3)&amp;"",1)="⚠","",MID(INDEX(입력_인턴근무계획!$M$3:$R$402,$A183,$I$3)&amp;"",FIND(" ",INDEX(입력_인턴근무계획!$M$3:$R$402,$A183,$I$3)&amp;"")+1,60))))</f>
        <v/>
      </c>
      <c r="K183" s="26">
        <f>IF($C183="","",INDEX(입력_인턴근무계획!$M$3:$M$402,$A183)&amp;"")</f>
        <v/>
      </c>
      <c r="L183" s="26">
        <f>IF($C183="","",INDEX(입력_인턴근무계획!$N$3:$N$402,$A183)&amp;"")</f>
        <v/>
      </c>
      <c r="M183" s="26">
        <f>IF($C183="","",INDEX(입력_인턴근무계획!$O$3:$O$402,$A183)&amp;"")</f>
        <v/>
      </c>
      <c r="N183" s="26">
        <f>IF($C183="","",INDEX(입력_인턴근무계획!$P$3:$P$402,$A183)&amp;"")</f>
        <v/>
      </c>
      <c r="O183" s="26">
        <f>IF($C183="","",INDEX(입력_인턴근무계획!$Q$3:$Q$402,$A183)&amp;"")</f>
        <v/>
      </c>
      <c r="P183" s="26">
        <f>IF($C183="","",INDEX(입력_인턴근무계획!$R$3:$R$402,$A183)&amp;"")</f>
        <v/>
      </c>
      <c r="Q183" s="26">
        <f>IF($C183="","",INDEX(입력_인턴근무계획!$T$3:$T$402,$A183))</f>
        <v/>
      </c>
    </row>
    <row r="184">
      <c r="A184" s="29" t="n">
        <v>179</v>
      </c>
      <c r="B184" s="26">
        <f>IF($C184="","",INDEX(입력_인턴근무계획!$B$3:$B$402,$A184))</f>
        <v/>
      </c>
      <c r="C184" s="26">
        <f>IFERROR(TRIM(INDEX(입력_인턴근무계획!$C$3:$C$402,$A184)&amp;""),"")</f>
        <v/>
      </c>
      <c r="D184" s="26">
        <f>IF($C184="","",INDEX(입력_인턴근무계획!$D$3:$D$402,$A184))</f>
        <v/>
      </c>
      <c r="E184" s="26">
        <f>IF($C184="","",IF(IFERROR(MATCH($D184,입력_기본자료!$B$2:$B$1001,0),IFERROR(MATCH($D184&amp;"",입력_기본자료!$B$2:$B$1001,0),IFERROR(MATCH(VALUE($D184),입력_기본자료!$B$2:$B$1001,0),0)))&gt;0,"확인","미등록"))</f>
        <v/>
      </c>
      <c r="F184" s="28">
        <f>IF($C184="","",INDEX(입력_인턴근무계획!$S$3:$S$402,$A184))</f>
        <v/>
      </c>
      <c r="G184" s="26">
        <f>IF(OR($C184="",$G$3=""),"",IF(INDEX(입력_인턴근무계획!$M$3:$R$402,$A184,$G$3)&amp;""="","",IF(LEFT(INDEX(입력_인턴근무계획!$M$3:$R$402,$A184,$G$3)&amp;"",1)="⚠",INDEX(입력_인턴근무계획!$M$3:$R$402,$A184,$G$3)&amp;"",LEFT(INDEX(입력_인턴근무계획!$M$3:$R$402,$A184,$G$3)&amp;"",FIND(" ",INDEX(입력_인턴근무계획!$M$3:$R$402,$A184,$G$3)&amp;"")-1))))</f>
        <v/>
      </c>
      <c r="H184" s="26">
        <f>IF(OR($C184="",$G$3=""),"",IF(INDEX(입력_인턴근무계획!$M$3:$R$402,$A184,$G$3)&amp;""="","",IF(LEFT(INDEX(입력_인턴근무계획!$M$3:$R$402,$A184,$G$3)&amp;"",1)="⚠","",MID(INDEX(입력_인턴근무계획!$M$3:$R$402,$A184,$G$3)&amp;"",FIND(" ",INDEX(입력_인턴근무계획!$M$3:$R$402,$A184,$G$3)&amp;"")+1,60))))</f>
        <v/>
      </c>
      <c r="I184" s="26">
        <f>IF(OR($C184="",$I$3=""),"",IF(INDEX(입력_인턴근무계획!$M$3:$R$402,$A184,$I$3)&amp;""="","",IF(LEFT(INDEX(입력_인턴근무계획!$M$3:$R$402,$A184,$I$3)&amp;"",1)="⚠",INDEX(입력_인턴근무계획!$M$3:$R$402,$A184,$I$3)&amp;"",LEFT(INDEX(입력_인턴근무계획!$M$3:$R$402,$A184,$I$3)&amp;"",FIND(" ",INDEX(입력_인턴근무계획!$M$3:$R$402,$A184,$I$3)&amp;"")-1))))</f>
        <v/>
      </c>
      <c r="J184" s="26">
        <f>IF(OR($C184="",$I$3=""),"",IF(INDEX(입력_인턴근무계획!$M$3:$R$402,$A184,$I$3)&amp;""="","",IF(LEFT(INDEX(입력_인턴근무계획!$M$3:$R$402,$A184,$I$3)&amp;"",1)="⚠","",MID(INDEX(입력_인턴근무계획!$M$3:$R$402,$A184,$I$3)&amp;"",FIND(" ",INDEX(입력_인턴근무계획!$M$3:$R$402,$A184,$I$3)&amp;"")+1,60))))</f>
        <v/>
      </c>
      <c r="K184" s="26">
        <f>IF($C184="","",INDEX(입력_인턴근무계획!$M$3:$M$402,$A184)&amp;"")</f>
        <v/>
      </c>
      <c r="L184" s="26">
        <f>IF($C184="","",INDEX(입력_인턴근무계획!$N$3:$N$402,$A184)&amp;"")</f>
        <v/>
      </c>
      <c r="M184" s="26">
        <f>IF($C184="","",INDEX(입력_인턴근무계획!$O$3:$O$402,$A184)&amp;"")</f>
        <v/>
      </c>
      <c r="N184" s="26">
        <f>IF($C184="","",INDEX(입력_인턴근무계획!$P$3:$P$402,$A184)&amp;"")</f>
        <v/>
      </c>
      <c r="O184" s="26">
        <f>IF($C184="","",INDEX(입력_인턴근무계획!$Q$3:$Q$402,$A184)&amp;"")</f>
        <v/>
      </c>
      <c r="P184" s="26">
        <f>IF($C184="","",INDEX(입력_인턴근무계획!$R$3:$R$402,$A184)&amp;"")</f>
        <v/>
      </c>
      <c r="Q184" s="26">
        <f>IF($C184="","",INDEX(입력_인턴근무계획!$T$3:$T$402,$A184))</f>
        <v/>
      </c>
    </row>
    <row r="185">
      <c r="A185" s="29" t="n">
        <v>180</v>
      </c>
      <c r="B185" s="26">
        <f>IF($C185="","",INDEX(입력_인턴근무계획!$B$3:$B$402,$A185))</f>
        <v/>
      </c>
      <c r="C185" s="26">
        <f>IFERROR(TRIM(INDEX(입력_인턴근무계획!$C$3:$C$402,$A185)&amp;""),"")</f>
        <v/>
      </c>
      <c r="D185" s="26">
        <f>IF($C185="","",INDEX(입력_인턴근무계획!$D$3:$D$402,$A185))</f>
        <v/>
      </c>
      <c r="E185" s="26">
        <f>IF($C185="","",IF(IFERROR(MATCH($D185,입력_기본자료!$B$2:$B$1001,0),IFERROR(MATCH($D185&amp;"",입력_기본자료!$B$2:$B$1001,0),IFERROR(MATCH(VALUE($D185),입력_기본자료!$B$2:$B$1001,0),0)))&gt;0,"확인","미등록"))</f>
        <v/>
      </c>
      <c r="F185" s="28">
        <f>IF($C185="","",INDEX(입력_인턴근무계획!$S$3:$S$402,$A185))</f>
        <v/>
      </c>
      <c r="G185" s="26">
        <f>IF(OR($C185="",$G$3=""),"",IF(INDEX(입력_인턴근무계획!$M$3:$R$402,$A185,$G$3)&amp;""="","",IF(LEFT(INDEX(입력_인턴근무계획!$M$3:$R$402,$A185,$G$3)&amp;"",1)="⚠",INDEX(입력_인턴근무계획!$M$3:$R$402,$A185,$G$3)&amp;"",LEFT(INDEX(입력_인턴근무계획!$M$3:$R$402,$A185,$G$3)&amp;"",FIND(" ",INDEX(입력_인턴근무계획!$M$3:$R$402,$A185,$G$3)&amp;"")-1))))</f>
        <v/>
      </c>
      <c r="H185" s="26">
        <f>IF(OR($C185="",$G$3=""),"",IF(INDEX(입력_인턴근무계획!$M$3:$R$402,$A185,$G$3)&amp;""="","",IF(LEFT(INDEX(입력_인턴근무계획!$M$3:$R$402,$A185,$G$3)&amp;"",1)="⚠","",MID(INDEX(입력_인턴근무계획!$M$3:$R$402,$A185,$G$3)&amp;"",FIND(" ",INDEX(입력_인턴근무계획!$M$3:$R$402,$A185,$G$3)&amp;"")+1,60))))</f>
        <v/>
      </c>
      <c r="I185" s="26">
        <f>IF(OR($C185="",$I$3=""),"",IF(INDEX(입력_인턴근무계획!$M$3:$R$402,$A185,$I$3)&amp;""="","",IF(LEFT(INDEX(입력_인턴근무계획!$M$3:$R$402,$A185,$I$3)&amp;"",1)="⚠",INDEX(입력_인턴근무계획!$M$3:$R$402,$A185,$I$3)&amp;"",LEFT(INDEX(입력_인턴근무계획!$M$3:$R$402,$A185,$I$3)&amp;"",FIND(" ",INDEX(입력_인턴근무계획!$M$3:$R$402,$A185,$I$3)&amp;"")-1))))</f>
        <v/>
      </c>
      <c r="J185" s="26">
        <f>IF(OR($C185="",$I$3=""),"",IF(INDEX(입력_인턴근무계획!$M$3:$R$402,$A185,$I$3)&amp;""="","",IF(LEFT(INDEX(입력_인턴근무계획!$M$3:$R$402,$A185,$I$3)&amp;"",1)="⚠","",MID(INDEX(입력_인턴근무계획!$M$3:$R$402,$A185,$I$3)&amp;"",FIND(" ",INDEX(입력_인턴근무계획!$M$3:$R$402,$A185,$I$3)&amp;"")+1,60))))</f>
        <v/>
      </c>
      <c r="K185" s="26">
        <f>IF($C185="","",INDEX(입력_인턴근무계획!$M$3:$M$402,$A185)&amp;"")</f>
        <v/>
      </c>
      <c r="L185" s="26">
        <f>IF($C185="","",INDEX(입력_인턴근무계획!$N$3:$N$402,$A185)&amp;"")</f>
        <v/>
      </c>
      <c r="M185" s="26">
        <f>IF($C185="","",INDEX(입력_인턴근무계획!$O$3:$O$402,$A185)&amp;"")</f>
        <v/>
      </c>
      <c r="N185" s="26">
        <f>IF($C185="","",INDEX(입력_인턴근무계획!$P$3:$P$402,$A185)&amp;"")</f>
        <v/>
      </c>
      <c r="O185" s="26">
        <f>IF($C185="","",INDEX(입력_인턴근무계획!$Q$3:$Q$402,$A185)&amp;"")</f>
        <v/>
      </c>
      <c r="P185" s="26">
        <f>IF($C185="","",INDEX(입력_인턴근무계획!$R$3:$R$402,$A185)&amp;"")</f>
        <v/>
      </c>
      <c r="Q185" s="26">
        <f>IF($C185="","",INDEX(입력_인턴근무계획!$T$3:$T$402,$A185))</f>
        <v/>
      </c>
    </row>
    <row r="186">
      <c r="A186" s="29" t="n">
        <v>181</v>
      </c>
      <c r="B186" s="26">
        <f>IF($C186="","",INDEX(입력_인턴근무계획!$B$3:$B$402,$A186))</f>
        <v/>
      </c>
      <c r="C186" s="26">
        <f>IFERROR(TRIM(INDEX(입력_인턴근무계획!$C$3:$C$402,$A186)&amp;""),"")</f>
        <v/>
      </c>
      <c r="D186" s="26">
        <f>IF($C186="","",INDEX(입력_인턴근무계획!$D$3:$D$402,$A186))</f>
        <v/>
      </c>
      <c r="E186" s="26">
        <f>IF($C186="","",IF(IFERROR(MATCH($D186,입력_기본자료!$B$2:$B$1001,0),IFERROR(MATCH($D186&amp;"",입력_기본자료!$B$2:$B$1001,0),IFERROR(MATCH(VALUE($D186),입력_기본자료!$B$2:$B$1001,0),0)))&gt;0,"확인","미등록"))</f>
        <v/>
      </c>
      <c r="F186" s="28">
        <f>IF($C186="","",INDEX(입력_인턴근무계획!$S$3:$S$402,$A186))</f>
        <v/>
      </c>
      <c r="G186" s="26">
        <f>IF(OR($C186="",$G$3=""),"",IF(INDEX(입력_인턴근무계획!$M$3:$R$402,$A186,$G$3)&amp;""="","",IF(LEFT(INDEX(입력_인턴근무계획!$M$3:$R$402,$A186,$G$3)&amp;"",1)="⚠",INDEX(입력_인턴근무계획!$M$3:$R$402,$A186,$G$3)&amp;"",LEFT(INDEX(입력_인턴근무계획!$M$3:$R$402,$A186,$G$3)&amp;"",FIND(" ",INDEX(입력_인턴근무계획!$M$3:$R$402,$A186,$G$3)&amp;"")-1))))</f>
        <v/>
      </c>
      <c r="H186" s="26">
        <f>IF(OR($C186="",$G$3=""),"",IF(INDEX(입력_인턴근무계획!$M$3:$R$402,$A186,$G$3)&amp;""="","",IF(LEFT(INDEX(입력_인턴근무계획!$M$3:$R$402,$A186,$G$3)&amp;"",1)="⚠","",MID(INDEX(입력_인턴근무계획!$M$3:$R$402,$A186,$G$3)&amp;"",FIND(" ",INDEX(입력_인턴근무계획!$M$3:$R$402,$A186,$G$3)&amp;"")+1,60))))</f>
        <v/>
      </c>
      <c r="I186" s="26">
        <f>IF(OR($C186="",$I$3=""),"",IF(INDEX(입력_인턴근무계획!$M$3:$R$402,$A186,$I$3)&amp;""="","",IF(LEFT(INDEX(입력_인턴근무계획!$M$3:$R$402,$A186,$I$3)&amp;"",1)="⚠",INDEX(입력_인턴근무계획!$M$3:$R$402,$A186,$I$3)&amp;"",LEFT(INDEX(입력_인턴근무계획!$M$3:$R$402,$A186,$I$3)&amp;"",FIND(" ",INDEX(입력_인턴근무계획!$M$3:$R$402,$A186,$I$3)&amp;"")-1))))</f>
        <v/>
      </c>
      <c r="J186" s="26">
        <f>IF(OR($C186="",$I$3=""),"",IF(INDEX(입력_인턴근무계획!$M$3:$R$402,$A186,$I$3)&amp;""="","",IF(LEFT(INDEX(입력_인턴근무계획!$M$3:$R$402,$A186,$I$3)&amp;"",1)="⚠","",MID(INDEX(입력_인턴근무계획!$M$3:$R$402,$A186,$I$3)&amp;"",FIND(" ",INDEX(입력_인턴근무계획!$M$3:$R$402,$A186,$I$3)&amp;"")+1,60))))</f>
        <v/>
      </c>
      <c r="K186" s="26">
        <f>IF($C186="","",INDEX(입력_인턴근무계획!$M$3:$M$402,$A186)&amp;"")</f>
        <v/>
      </c>
      <c r="L186" s="26">
        <f>IF($C186="","",INDEX(입력_인턴근무계획!$N$3:$N$402,$A186)&amp;"")</f>
        <v/>
      </c>
      <c r="M186" s="26">
        <f>IF($C186="","",INDEX(입력_인턴근무계획!$O$3:$O$402,$A186)&amp;"")</f>
        <v/>
      </c>
      <c r="N186" s="26">
        <f>IF($C186="","",INDEX(입력_인턴근무계획!$P$3:$P$402,$A186)&amp;"")</f>
        <v/>
      </c>
      <c r="O186" s="26">
        <f>IF($C186="","",INDEX(입력_인턴근무계획!$Q$3:$Q$402,$A186)&amp;"")</f>
        <v/>
      </c>
      <c r="P186" s="26">
        <f>IF($C186="","",INDEX(입력_인턴근무계획!$R$3:$R$402,$A186)&amp;"")</f>
        <v/>
      </c>
      <c r="Q186" s="26">
        <f>IF($C186="","",INDEX(입력_인턴근무계획!$T$3:$T$402,$A186))</f>
        <v/>
      </c>
    </row>
    <row r="187">
      <c r="A187" s="29" t="n">
        <v>182</v>
      </c>
      <c r="B187" s="26">
        <f>IF($C187="","",INDEX(입력_인턴근무계획!$B$3:$B$402,$A187))</f>
        <v/>
      </c>
      <c r="C187" s="26">
        <f>IFERROR(TRIM(INDEX(입력_인턴근무계획!$C$3:$C$402,$A187)&amp;""),"")</f>
        <v/>
      </c>
      <c r="D187" s="26">
        <f>IF($C187="","",INDEX(입력_인턴근무계획!$D$3:$D$402,$A187))</f>
        <v/>
      </c>
      <c r="E187" s="26">
        <f>IF($C187="","",IF(IFERROR(MATCH($D187,입력_기본자료!$B$2:$B$1001,0),IFERROR(MATCH($D187&amp;"",입력_기본자료!$B$2:$B$1001,0),IFERROR(MATCH(VALUE($D187),입력_기본자료!$B$2:$B$1001,0),0)))&gt;0,"확인","미등록"))</f>
        <v/>
      </c>
      <c r="F187" s="28">
        <f>IF($C187="","",INDEX(입력_인턴근무계획!$S$3:$S$402,$A187))</f>
        <v/>
      </c>
      <c r="G187" s="26">
        <f>IF(OR($C187="",$G$3=""),"",IF(INDEX(입력_인턴근무계획!$M$3:$R$402,$A187,$G$3)&amp;""="","",IF(LEFT(INDEX(입력_인턴근무계획!$M$3:$R$402,$A187,$G$3)&amp;"",1)="⚠",INDEX(입력_인턴근무계획!$M$3:$R$402,$A187,$G$3)&amp;"",LEFT(INDEX(입력_인턴근무계획!$M$3:$R$402,$A187,$G$3)&amp;"",FIND(" ",INDEX(입력_인턴근무계획!$M$3:$R$402,$A187,$G$3)&amp;"")-1))))</f>
        <v/>
      </c>
      <c r="H187" s="26">
        <f>IF(OR($C187="",$G$3=""),"",IF(INDEX(입력_인턴근무계획!$M$3:$R$402,$A187,$G$3)&amp;""="","",IF(LEFT(INDEX(입력_인턴근무계획!$M$3:$R$402,$A187,$G$3)&amp;"",1)="⚠","",MID(INDEX(입력_인턴근무계획!$M$3:$R$402,$A187,$G$3)&amp;"",FIND(" ",INDEX(입력_인턴근무계획!$M$3:$R$402,$A187,$G$3)&amp;"")+1,60))))</f>
        <v/>
      </c>
      <c r="I187" s="26">
        <f>IF(OR($C187="",$I$3=""),"",IF(INDEX(입력_인턴근무계획!$M$3:$R$402,$A187,$I$3)&amp;""="","",IF(LEFT(INDEX(입력_인턴근무계획!$M$3:$R$402,$A187,$I$3)&amp;"",1)="⚠",INDEX(입력_인턴근무계획!$M$3:$R$402,$A187,$I$3)&amp;"",LEFT(INDEX(입력_인턴근무계획!$M$3:$R$402,$A187,$I$3)&amp;"",FIND(" ",INDEX(입력_인턴근무계획!$M$3:$R$402,$A187,$I$3)&amp;"")-1))))</f>
        <v/>
      </c>
      <c r="J187" s="26">
        <f>IF(OR($C187="",$I$3=""),"",IF(INDEX(입력_인턴근무계획!$M$3:$R$402,$A187,$I$3)&amp;""="","",IF(LEFT(INDEX(입력_인턴근무계획!$M$3:$R$402,$A187,$I$3)&amp;"",1)="⚠","",MID(INDEX(입력_인턴근무계획!$M$3:$R$402,$A187,$I$3)&amp;"",FIND(" ",INDEX(입력_인턴근무계획!$M$3:$R$402,$A187,$I$3)&amp;"")+1,60))))</f>
        <v/>
      </c>
      <c r="K187" s="26">
        <f>IF($C187="","",INDEX(입력_인턴근무계획!$M$3:$M$402,$A187)&amp;"")</f>
        <v/>
      </c>
      <c r="L187" s="26">
        <f>IF($C187="","",INDEX(입력_인턴근무계획!$N$3:$N$402,$A187)&amp;"")</f>
        <v/>
      </c>
      <c r="M187" s="26">
        <f>IF($C187="","",INDEX(입력_인턴근무계획!$O$3:$O$402,$A187)&amp;"")</f>
        <v/>
      </c>
      <c r="N187" s="26">
        <f>IF($C187="","",INDEX(입력_인턴근무계획!$P$3:$P$402,$A187)&amp;"")</f>
        <v/>
      </c>
      <c r="O187" s="26">
        <f>IF($C187="","",INDEX(입력_인턴근무계획!$Q$3:$Q$402,$A187)&amp;"")</f>
        <v/>
      </c>
      <c r="P187" s="26">
        <f>IF($C187="","",INDEX(입력_인턴근무계획!$R$3:$R$402,$A187)&amp;"")</f>
        <v/>
      </c>
      <c r="Q187" s="26">
        <f>IF($C187="","",INDEX(입력_인턴근무계획!$T$3:$T$402,$A187))</f>
        <v/>
      </c>
    </row>
    <row r="188">
      <c r="A188" s="29" t="n">
        <v>183</v>
      </c>
      <c r="B188" s="26">
        <f>IF($C188="","",INDEX(입력_인턴근무계획!$B$3:$B$402,$A188))</f>
        <v/>
      </c>
      <c r="C188" s="26">
        <f>IFERROR(TRIM(INDEX(입력_인턴근무계획!$C$3:$C$402,$A188)&amp;""),"")</f>
        <v/>
      </c>
      <c r="D188" s="26">
        <f>IF($C188="","",INDEX(입력_인턴근무계획!$D$3:$D$402,$A188))</f>
        <v/>
      </c>
      <c r="E188" s="26">
        <f>IF($C188="","",IF(IFERROR(MATCH($D188,입력_기본자료!$B$2:$B$1001,0),IFERROR(MATCH($D188&amp;"",입력_기본자료!$B$2:$B$1001,0),IFERROR(MATCH(VALUE($D188),입력_기본자료!$B$2:$B$1001,0),0)))&gt;0,"확인","미등록"))</f>
        <v/>
      </c>
      <c r="F188" s="28">
        <f>IF($C188="","",INDEX(입력_인턴근무계획!$S$3:$S$402,$A188))</f>
        <v/>
      </c>
      <c r="G188" s="26">
        <f>IF(OR($C188="",$G$3=""),"",IF(INDEX(입력_인턴근무계획!$M$3:$R$402,$A188,$G$3)&amp;""="","",IF(LEFT(INDEX(입력_인턴근무계획!$M$3:$R$402,$A188,$G$3)&amp;"",1)="⚠",INDEX(입력_인턴근무계획!$M$3:$R$402,$A188,$G$3)&amp;"",LEFT(INDEX(입력_인턴근무계획!$M$3:$R$402,$A188,$G$3)&amp;"",FIND(" ",INDEX(입력_인턴근무계획!$M$3:$R$402,$A188,$G$3)&amp;"")-1))))</f>
        <v/>
      </c>
      <c r="H188" s="26">
        <f>IF(OR($C188="",$G$3=""),"",IF(INDEX(입력_인턴근무계획!$M$3:$R$402,$A188,$G$3)&amp;""="","",IF(LEFT(INDEX(입력_인턴근무계획!$M$3:$R$402,$A188,$G$3)&amp;"",1)="⚠","",MID(INDEX(입력_인턴근무계획!$M$3:$R$402,$A188,$G$3)&amp;"",FIND(" ",INDEX(입력_인턴근무계획!$M$3:$R$402,$A188,$G$3)&amp;"")+1,60))))</f>
        <v/>
      </c>
      <c r="I188" s="26">
        <f>IF(OR($C188="",$I$3=""),"",IF(INDEX(입력_인턴근무계획!$M$3:$R$402,$A188,$I$3)&amp;""="","",IF(LEFT(INDEX(입력_인턴근무계획!$M$3:$R$402,$A188,$I$3)&amp;"",1)="⚠",INDEX(입력_인턴근무계획!$M$3:$R$402,$A188,$I$3)&amp;"",LEFT(INDEX(입력_인턴근무계획!$M$3:$R$402,$A188,$I$3)&amp;"",FIND(" ",INDEX(입력_인턴근무계획!$M$3:$R$402,$A188,$I$3)&amp;"")-1))))</f>
        <v/>
      </c>
      <c r="J188" s="26">
        <f>IF(OR($C188="",$I$3=""),"",IF(INDEX(입력_인턴근무계획!$M$3:$R$402,$A188,$I$3)&amp;""="","",IF(LEFT(INDEX(입력_인턴근무계획!$M$3:$R$402,$A188,$I$3)&amp;"",1)="⚠","",MID(INDEX(입력_인턴근무계획!$M$3:$R$402,$A188,$I$3)&amp;"",FIND(" ",INDEX(입력_인턴근무계획!$M$3:$R$402,$A188,$I$3)&amp;"")+1,60))))</f>
        <v/>
      </c>
      <c r="K188" s="26">
        <f>IF($C188="","",INDEX(입력_인턴근무계획!$M$3:$M$402,$A188)&amp;"")</f>
        <v/>
      </c>
      <c r="L188" s="26">
        <f>IF($C188="","",INDEX(입력_인턴근무계획!$N$3:$N$402,$A188)&amp;"")</f>
        <v/>
      </c>
      <c r="M188" s="26">
        <f>IF($C188="","",INDEX(입력_인턴근무계획!$O$3:$O$402,$A188)&amp;"")</f>
        <v/>
      </c>
      <c r="N188" s="26">
        <f>IF($C188="","",INDEX(입력_인턴근무계획!$P$3:$P$402,$A188)&amp;"")</f>
        <v/>
      </c>
      <c r="O188" s="26">
        <f>IF($C188="","",INDEX(입력_인턴근무계획!$Q$3:$Q$402,$A188)&amp;"")</f>
        <v/>
      </c>
      <c r="P188" s="26">
        <f>IF($C188="","",INDEX(입력_인턴근무계획!$R$3:$R$402,$A188)&amp;"")</f>
        <v/>
      </c>
      <c r="Q188" s="26">
        <f>IF($C188="","",INDEX(입력_인턴근무계획!$T$3:$T$402,$A188))</f>
        <v/>
      </c>
    </row>
    <row r="189">
      <c r="A189" s="29" t="n">
        <v>184</v>
      </c>
      <c r="B189" s="26">
        <f>IF($C189="","",INDEX(입력_인턴근무계획!$B$3:$B$402,$A189))</f>
        <v/>
      </c>
      <c r="C189" s="26">
        <f>IFERROR(TRIM(INDEX(입력_인턴근무계획!$C$3:$C$402,$A189)&amp;""),"")</f>
        <v/>
      </c>
      <c r="D189" s="26">
        <f>IF($C189="","",INDEX(입력_인턴근무계획!$D$3:$D$402,$A189))</f>
        <v/>
      </c>
      <c r="E189" s="26">
        <f>IF($C189="","",IF(IFERROR(MATCH($D189,입력_기본자료!$B$2:$B$1001,0),IFERROR(MATCH($D189&amp;"",입력_기본자료!$B$2:$B$1001,0),IFERROR(MATCH(VALUE($D189),입력_기본자료!$B$2:$B$1001,0),0)))&gt;0,"확인","미등록"))</f>
        <v/>
      </c>
      <c r="F189" s="28">
        <f>IF($C189="","",INDEX(입력_인턴근무계획!$S$3:$S$402,$A189))</f>
        <v/>
      </c>
      <c r="G189" s="26">
        <f>IF(OR($C189="",$G$3=""),"",IF(INDEX(입력_인턴근무계획!$M$3:$R$402,$A189,$G$3)&amp;""="","",IF(LEFT(INDEX(입력_인턴근무계획!$M$3:$R$402,$A189,$G$3)&amp;"",1)="⚠",INDEX(입력_인턴근무계획!$M$3:$R$402,$A189,$G$3)&amp;"",LEFT(INDEX(입력_인턴근무계획!$M$3:$R$402,$A189,$G$3)&amp;"",FIND(" ",INDEX(입력_인턴근무계획!$M$3:$R$402,$A189,$G$3)&amp;"")-1))))</f>
        <v/>
      </c>
      <c r="H189" s="26">
        <f>IF(OR($C189="",$G$3=""),"",IF(INDEX(입력_인턴근무계획!$M$3:$R$402,$A189,$G$3)&amp;""="","",IF(LEFT(INDEX(입력_인턴근무계획!$M$3:$R$402,$A189,$G$3)&amp;"",1)="⚠","",MID(INDEX(입력_인턴근무계획!$M$3:$R$402,$A189,$G$3)&amp;"",FIND(" ",INDEX(입력_인턴근무계획!$M$3:$R$402,$A189,$G$3)&amp;"")+1,60))))</f>
        <v/>
      </c>
      <c r="I189" s="26">
        <f>IF(OR($C189="",$I$3=""),"",IF(INDEX(입력_인턴근무계획!$M$3:$R$402,$A189,$I$3)&amp;""="","",IF(LEFT(INDEX(입력_인턴근무계획!$M$3:$R$402,$A189,$I$3)&amp;"",1)="⚠",INDEX(입력_인턴근무계획!$M$3:$R$402,$A189,$I$3)&amp;"",LEFT(INDEX(입력_인턴근무계획!$M$3:$R$402,$A189,$I$3)&amp;"",FIND(" ",INDEX(입력_인턴근무계획!$M$3:$R$402,$A189,$I$3)&amp;"")-1))))</f>
        <v/>
      </c>
      <c r="J189" s="26">
        <f>IF(OR($C189="",$I$3=""),"",IF(INDEX(입력_인턴근무계획!$M$3:$R$402,$A189,$I$3)&amp;""="","",IF(LEFT(INDEX(입력_인턴근무계획!$M$3:$R$402,$A189,$I$3)&amp;"",1)="⚠","",MID(INDEX(입력_인턴근무계획!$M$3:$R$402,$A189,$I$3)&amp;"",FIND(" ",INDEX(입력_인턴근무계획!$M$3:$R$402,$A189,$I$3)&amp;"")+1,60))))</f>
        <v/>
      </c>
      <c r="K189" s="26">
        <f>IF($C189="","",INDEX(입력_인턴근무계획!$M$3:$M$402,$A189)&amp;"")</f>
        <v/>
      </c>
      <c r="L189" s="26">
        <f>IF($C189="","",INDEX(입력_인턴근무계획!$N$3:$N$402,$A189)&amp;"")</f>
        <v/>
      </c>
      <c r="M189" s="26">
        <f>IF($C189="","",INDEX(입력_인턴근무계획!$O$3:$O$402,$A189)&amp;"")</f>
        <v/>
      </c>
      <c r="N189" s="26">
        <f>IF($C189="","",INDEX(입력_인턴근무계획!$P$3:$P$402,$A189)&amp;"")</f>
        <v/>
      </c>
      <c r="O189" s="26">
        <f>IF($C189="","",INDEX(입력_인턴근무계획!$Q$3:$Q$402,$A189)&amp;"")</f>
        <v/>
      </c>
      <c r="P189" s="26">
        <f>IF($C189="","",INDEX(입력_인턴근무계획!$R$3:$R$402,$A189)&amp;"")</f>
        <v/>
      </c>
      <c r="Q189" s="26">
        <f>IF($C189="","",INDEX(입력_인턴근무계획!$T$3:$T$402,$A189))</f>
        <v/>
      </c>
    </row>
    <row r="190">
      <c r="A190" s="29" t="n">
        <v>185</v>
      </c>
      <c r="B190" s="26">
        <f>IF($C190="","",INDEX(입력_인턴근무계획!$B$3:$B$402,$A190))</f>
        <v/>
      </c>
      <c r="C190" s="26">
        <f>IFERROR(TRIM(INDEX(입력_인턴근무계획!$C$3:$C$402,$A190)&amp;""),"")</f>
        <v/>
      </c>
      <c r="D190" s="26">
        <f>IF($C190="","",INDEX(입력_인턴근무계획!$D$3:$D$402,$A190))</f>
        <v/>
      </c>
      <c r="E190" s="26">
        <f>IF($C190="","",IF(IFERROR(MATCH($D190,입력_기본자료!$B$2:$B$1001,0),IFERROR(MATCH($D190&amp;"",입력_기본자료!$B$2:$B$1001,0),IFERROR(MATCH(VALUE($D190),입력_기본자료!$B$2:$B$1001,0),0)))&gt;0,"확인","미등록"))</f>
        <v/>
      </c>
      <c r="F190" s="28">
        <f>IF($C190="","",INDEX(입력_인턴근무계획!$S$3:$S$402,$A190))</f>
        <v/>
      </c>
      <c r="G190" s="26">
        <f>IF(OR($C190="",$G$3=""),"",IF(INDEX(입력_인턴근무계획!$M$3:$R$402,$A190,$G$3)&amp;""="","",IF(LEFT(INDEX(입력_인턴근무계획!$M$3:$R$402,$A190,$G$3)&amp;"",1)="⚠",INDEX(입력_인턴근무계획!$M$3:$R$402,$A190,$G$3)&amp;"",LEFT(INDEX(입력_인턴근무계획!$M$3:$R$402,$A190,$G$3)&amp;"",FIND(" ",INDEX(입력_인턴근무계획!$M$3:$R$402,$A190,$G$3)&amp;"")-1))))</f>
        <v/>
      </c>
      <c r="H190" s="26">
        <f>IF(OR($C190="",$G$3=""),"",IF(INDEX(입력_인턴근무계획!$M$3:$R$402,$A190,$G$3)&amp;""="","",IF(LEFT(INDEX(입력_인턴근무계획!$M$3:$R$402,$A190,$G$3)&amp;"",1)="⚠","",MID(INDEX(입력_인턴근무계획!$M$3:$R$402,$A190,$G$3)&amp;"",FIND(" ",INDEX(입력_인턴근무계획!$M$3:$R$402,$A190,$G$3)&amp;"")+1,60))))</f>
        <v/>
      </c>
      <c r="I190" s="26">
        <f>IF(OR($C190="",$I$3=""),"",IF(INDEX(입력_인턴근무계획!$M$3:$R$402,$A190,$I$3)&amp;""="","",IF(LEFT(INDEX(입력_인턴근무계획!$M$3:$R$402,$A190,$I$3)&amp;"",1)="⚠",INDEX(입력_인턴근무계획!$M$3:$R$402,$A190,$I$3)&amp;"",LEFT(INDEX(입력_인턴근무계획!$M$3:$R$402,$A190,$I$3)&amp;"",FIND(" ",INDEX(입력_인턴근무계획!$M$3:$R$402,$A190,$I$3)&amp;"")-1))))</f>
        <v/>
      </c>
      <c r="J190" s="26">
        <f>IF(OR($C190="",$I$3=""),"",IF(INDEX(입력_인턴근무계획!$M$3:$R$402,$A190,$I$3)&amp;""="","",IF(LEFT(INDEX(입력_인턴근무계획!$M$3:$R$402,$A190,$I$3)&amp;"",1)="⚠","",MID(INDEX(입력_인턴근무계획!$M$3:$R$402,$A190,$I$3)&amp;"",FIND(" ",INDEX(입력_인턴근무계획!$M$3:$R$402,$A190,$I$3)&amp;"")+1,60))))</f>
        <v/>
      </c>
      <c r="K190" s="26">
        <f>IF($C190="","",INDEX(입력_인턴근무계획!$M$3:$M$402,$A190)&amp;"")</f>
        <v/>
      </c>
      <c r="L190" s="26">
        <f>IF($C190="","",INDEX(입력_인턴근무계획!$N$3:$N$402,$A190)&amp;"")</f>
        <v/>
      </c>
      <c r="M190" s="26">
        <f>IF($C190="","",INDEX(입력_인턴근무계획!$O$3:$O$402,$A190)&amp;"")</f>
        <v/>
      </c>
      <c r="N190" s="26">
        <f>IF($C190="","",INDEX(입력_인턴근무계획!$P$3:$P$402,$A190)&amp;"")</f>
        <v/>
      </c>
      <c r="O190" s="26">
        <f>IF($C190="","",INDEX(입력_인턴근무계획!$Q$3:$Q$402,$A190)&amp;"")</f>
        <v/>
      </c>
      <c r="P190" s="26">
        <f>IF($C190="","",INDEX(입력_인턴근무계획!$R$3:$R$402,$A190)&amp;"")</f>
        <v/>
      </c>
      <c r="Q190" s="26">
        <f>IF($C190="","",INDEX(입력_인턴근무계획!$T$3:$T$402,$A190))</f>
        <v/>
      </c>
    </row>
    <row r="191">
      <c r="A191" s="29" t="n">
        <v>186</v>
      </c>
      <c r="B191" s="26">
        <f>IF($C191="","",INDEX(입력_인턴근무계획!$B$3:$B$402,$A191))</f>
        <v/>
      </c>
      <c r="C191" s="26">
        <f>IFERROR(TRIM(INDEX(입력_인턴근무계획!$C$3:$C$402,$A191)&amp;""),"")</f>
        <v/>
      </c>
      <c r="D191" s="26">
        <f>IF($C191="","",INDEX(입력_인턴근무계획!$D$3:$D$402,$A191))</f>
        <v/>
      </c>
      <c r="E191" s="26">
        <f>IF($C191="","",IF(IFERROR(MATCH($D191,입력_기본자료!$B$2:$B$1001,0),IFERROR(MATCH($D191&amp;"",입력_기본자료!$B$2:$B$1001,0),IFERROR(MATCH(VALUE($D191),입력_기본자료!$B$2:$B$1001,0),0)))&gt;0,"확인","미등록"))</f>
        <v/>
      </c>
      <c r="F191" s="28">
        <f>IF($C191="","",INDEX(입력_인턴근무계획!$S$3:$S$402,$A191))</f>
        <v/>
      </c>
      <c r="G191" s="26">
        <f>IF(OR($C191="",$G$3=""),"",IF(INDEX(입력_인턴근무계획!$M$3:$R$402,$A191,$G$3)&amp;""="","",IF(LEFT(INDEX(입력_인턴근무계획!$M$3:$R$402,$A191,$G$3)&amp;"",1)="⚠",INDEX(입력_인턴근무계획!$M$3:$R$402,$A191,$G$3)&amp;"",LEFT(INDEX(입력_인턴근무계획!$M$3:$R$402,$A191,$G$3)&amp;"",FIND(" ",INDEX(입력_인턴근무계획!$M$3:$R$402,$A191,$G$3)&amp;"")-1))))</f>
        <v/>
      </c>
      <c r="H191" s="26">
        <f>IF(OR($C191="",$G$3=""),"",IF(INDEX(입력_인턴근무계획!$M$3:$R$402,$A191,$G$3)&amp;""="","",IF(LEFT(INDEX(입력_인턴근무계획!$M$3:$R$402,$A191,$G$3)&amp;"",1)="⚠","",MID(INDEX(입력_인턴근무계획!$M$3:$R$402,$A191,$G$3)&amp;"",FIND(" ",INDEX(입력_인턴근무계획!$M$3:$R$402,$A191,$G$3)&amp;"")+1,60))))</f>
        <v/>
      </c>
      <c r="I191" s="26">
        <f>IF(OR($C191="",$I$3=""),"",IF(INDEX(입력_인턴근무계획!$M$3:$R$402,$A191,$I$3)&amp;""="","",IF(LEFT(INDEX(입력_인턴근무계획!$M$3:$R$402,$A191,$I$3)&amp;"",1)="⚠",INDEX(입력_인턴근무계획!$M$3:$R$402,$A191,$I$3)&amp;"",LEFT(INDEX(입력_인턴근무계획!$M$3:$R$402,$A191,$I$3)&amp;"",FIND(" ",INDEX(입력_인턴근무계획!$M$3:$R$402,$A191,$I$3)&amp;"")-1))))</f>
        <v/>
      </c>
      <c r="J191" s="26">
        <f>IF(OR($C191="",$I$3=""),"",IF(INDEX(입력_인턴근무계획!$M$3:$R$402,$A191,$I$3)&amp;""="","",IF(LEFT(INDEX(입력_인턴근무계획!$M$3:$R$402,$A191,$I$3)&amp;"",1)="⚠","",MID(INDEX(입력_인턴근무계획!$M$3:$R$402,$A191,$I$3)&amp;"",FIND(" ",INDEX(입력_인턴근무계획!$M$3:$R$402,$A191,$I$3)&amp;"")+1,60))))</f>
        <v/>
      </c>
      <c r="K191" s="26">
        <f>IF($C191="","",INDEX(입력_인턴근무계획!$M$3:$M$402,$A191)&amp;"")</f>
        <v/>
      </c>
      <c r="L191" s="26">
        <f>IF($C191="","",INDEX(입력_인턴근무계획!$N$3:$N$402,$A191)&amp;"")</f>
        <v/>
      </c>
      <c r="M191" s="26">
        <f>IF($C191="","",INDEX(입력_인턴근무계획!$O$3:$O$402,$A191)&amp;"")</f>
        <v/>
      </c>
      <c r="N191" s="26">
        <f>IF($C191="","",INDEX(입력_인턴근무계획!$P$3:$P$402,$A191)&amp;"")</f>
        <v/>
      </c>
      <c r="O191" s="26">
        <f>IF($C191="","",INDEX(입력_인턴근무계획!$Q$3:$Q$402,$A191)&amp;"")</f>
        <v/>
      </c>
      <c r="P191" s="26">
        <f>IF($C191="","",INDEX(입력_인턴근무계획!$R$3:$R$402,$A191)&amp;"")</f>
        <v/>
      </c>
      <c r="Q191" s="26">
        <f>IF($C191="","",INDEX(입력_인턴근무계획!$T$3:$T$402,$A191))</f>
        <v/>
      </c>
    </row>
    <row r="192">
      <c r="A192" s="29" t="n">
        <v>187</v>
      </c>
      <c r="B192" s="26">
        <f>IF($C192="","",INDEX(입력_인턴근무계획!$B$3:$B$402,$A192))</f>
        <v/>
      </c>
      <c r="C192" s="26">
        <f>IFERROR(TRIM(INDEX(입력_인턴근무계획!$C$3:$C$402,$A192)&amp;""),"")</f>
        <v/>
      </c>
      <c r="D192" s="26">
        <f>IF($C192="","",INDEX(입력_인턴근무계획!$D$3:$D$402,$A192))</f>
        <v/>
      </c>
      <c r="E192" s="26">
        <f>IF($C192="","",IF(IFERROR(MATCH($D192,입력_기본자료!$B$2:$B$1001,0),IFERROR(MATCH($D192&amp;"",입력_기본자료!$B$2:$B$1001,0),IFERROR(MATCH(VALUE($D192),입력_기본자료!$B$2:$B$1001,0),0)))&gt;0,"확인","미등록"))</f>
        <v/>
      </c>
      <c r="F192" s="28">
        <f>IF($C192="","",INDEX(입력_인턴근무계획!$S$3:$S$402,$A192))</f>
        <v/>
      </c>
      <c r="G192" s="26">
        <f>IF(OR($C192="",$G$3=""),"",IF(INDEX(입력_인턴근무계획!$M$3:$R$402,$A192,$G$3)&amp;""="","",IF(LEFT(INDEX(입력_인턴근무계획!$M$3:$R$402,$A192,$G$3)&amp;"",1)="⚠",INDEX(입력_인턴근무계획!$M$3:$R$402,$A192,$G$3)&amp;"",LEFT(INDEX(입력_인턴근무계획!$M$3:$R$402,$A192,$G$3)&amp;"",FIND(" ",INDEX(입력_인턴근무계획!$M$3:$R$402,$A192,$G$3)&amp;"")-1))))</f>
        <v/>
      </c>
      <c r="H192" s="26">
        <f>IF(OR($C192="",$G$3=""),"",IF(INDEX(입력_인턴근무계획!$M$3:$R$402,$A192,$G$3)&amp;""="","",IF(LEFT(INDEX(입력_인턴근무계획!$M$3:$R$402,$A192,$G$3)&amp;"",1)="⚠","",MID(INDEX(입력_인턴근무계획!$M$3:$R$402,$A192,$G$3)&amp;"",FIND(" ",INDEX(입력_인턴근무계획!$M$3:$R$402,$A192,$G$3)&amp;"")+1,60))))</f>
        <v/>
      </c>
      <c r="I192" s="26">
        <f>IF(OR($C192="",$I$3=""),"",IF(INDEX(입력_인턴근무계획!$M$3:$R$402,$A192,$I$3)&amp;""="","",IF(LEFT(INDEX(입력_인턴근무계획!$M$3:$R$402,$A192,$I$3)&amp;"",1)="⚠",INDEX(입력_인턴근무계획!$M$3:$R$402,$A192,$I$3)&amp;"",LEFT(INDEX(입력_인턴근무계획!$M$3:$R$402,$A192,$I$3)&amp;"",FIND(" ",INDEX(입력_인턴근무계획!$M$3:$R$402,$A192,$I$3)&amp;"")-1))))</f>
        <v/>
      </c>
      <c r="J192" s="26">
        <f>IF(OR($C192="",$I$3=""),"",IF(INDEX(입력_인턴근무계획!$M$3:$R$402,$A192,$I$3)&amp;""="","",IF(LEFT(INDEX(입력_인턴근무계획!$M$3:$R$402,$A192,$I$3)&amp;"",1)="⚠","",MID(INDEX(입력_인턴근무계획!$M$3:$R$402,$A192,$I$3)&amp;"",FIND(" ",INDEX(입력_인턴근무계획!$M$3:$R$402,$A192,$I$3)&amp;"")+1,60))))</f>
        <v/>
      </c>
      <c r="K192" s="26">
        <f>IF($C192="","",INDEX(입력_인턴근무계획!$M$3:$M$402,$A192)&amp;"")</f>
        <v/>
      </c>
      <c r="L192" s="26">
        <f>IF($C192="","",INDEX(입력_인턴근무계획!$N$3:$N$402,$A192)&amp;"")</f>
        <v/>
      </c>
      <c r="M192" s="26">
        <f>IF($C192="","",INDEX(입력_인턴근무계획!$O$3:$O$402,$A192)&amp;"")</f>
        <v/>
      </c>
      <c r="N192" s="26">
        <f>IF($C192="","",INDEX(입력_인턴근무계획!$P$3:$P$402,$A192)&amp;"")</f>
        <v/>
      </c>
      <c r="O192" s="26">
        <f>IF($C192="","",INDEX(입력_인턴근무계획!$Q$3:$Q$402,$A192)&amp;"")</f>
        <v/>
      </c>
      <c r="P192" s="26">
        <f>IF($C192="","",INDEX(입력_인턴근무계획!$R$3:$R$402,$A192)&amp;"")</f>
        <v/>
      </c>
      <c r="Q192" s="26">
        <f>IF($C192="","",INDEX(입력_인턴근무계획!$T$3:$T$402,$A192))</f>
        <v/>
      </c>
    </row>
    <row r="193">
      <c r="A193" s="29" t="n">
        <v>188</v>
      </c>
      <c r="B193" s="26">
        <f>IF($C193="","",INDEX(입력_인턴근무계획!$B$3:$B$402,$A193))</f>
        <v/>
      </c>
      <c r="C193" s="26">
        <f>IFERROR(TRIM(INDEX(입력_인턴근무계획!$C$3:$C$402,$A193)&amp;""),"")</f>
        <v/>
      </c>
      <c r="D193" s="26">
        <f>IF($C193="","",INDEX(입력_인턴근무계획!$D$3:$D$402,$A193))</f>
        <v/>
      </c>
      <c r="E193" s="26">
        <f>IF($C193="","",IF(IFERROR(MATCH($D193,입력_기본자료!$B$2:$B$1001,0),IFERROR(MATCH($D193&amp;"",입력_기본자료!$B$2:$B$1001,0),IFERROR(MATCH(VALUE($D193),입력_기본자료!$B$2:$B$1001,0),0)))&gt;0,"확인","미등록"))</f>
        <v/>
      </c>
      <c r="F193" s="28">
        <f>IF($C193="","",INDEX(입력_인턴근무계획!$S$3:$S$402,$A193))</f>
        <v/>
      </c>
      <c r="G193" s="26">
        <f>IF(OR($C193="",$G$3=""),"",IF(INDEX(입력_인턴근무계획!$M$3:$R$402,$A193,$G$3)&amp;""="","",IF(LEFT(INDEX(입력_인턴근무계획!$M$3:$R$402,$A193,$G$3)&amp;"",1)="⚠",INDEX(입력_인턴근무계획!$M$3:$R$402,$A193,$G$3)&amp;"",LEFT(INDEX(입력_인턴근무계획!$M$3:$R$402,$A193,$G$3)&amp;"",FIND(" ",INDEX(입력_인턴근무계획!$M$3:$R$402,$A193,$G$3)&amp;"")-1))))</f>
        <v/>
      </c>
      <c r="H193" s="26">
        <f>IF(OR($C193="",$G$3=""),"",IF(INDEX(입력_인턴근무계획!$M$3:$R$402,$A193,$G$3)&amp;""="","",IF(LEFT(INDEX(입력_인턴근무계획!$M$3:$R$402,$A193,$G$3)&amp;"",1)="⚠","",MID(INDEX(입력_인턴근무계획!$M$3:$R$402,$A193,$G$3)&amp;"",FIND(" ",INDEX(입력_인턴근무계획!$M$3:$R$402,$A193,$G$3)&amp;"")+1,60))))</f>
        <v/>
      </c>
      <c r="I193" s="26">
        <f>IF(OR($C193="",$I$3=""),"",IF(INDEX(입력_인턴근무계획!$M$3:$R$402,$A193,$I$3)&amp;""="","",IF(LEFT(INDEX(입력_인턴근무계획!$M$3:$R$402,$A193,$I$3)&amp;"",1)="⚠",INDEX(입력_인턴근무계획!$M$3:$R$402,$A193,$I$3)&amp;"",LEFT(INDEX(입력_인턴근무계획!$M$3:$R$402,$A193,$I$3)&amp;"",FIND(" ",INDEX(입력_인턴근무계획!$M$3:$R$402,$A193,$I$3)&amp;"")-1))))</f>
        <v/>
      </c>
      <c r="J193" s="26">
        <f>IF(OR($C193="",$I$3=""),"",IF(INDEX(입력_인턴근무계획!$M$3:$R$402,$A193,$I$3)&amp;""="","",IF(LEFT(INDEX(입력_인턴근무계획!$M$3:$R$402,$A193,$I$3)&amp;"",1)="⚠","",MID(INDEX(입력_인턴근무계획!$M$3:$R$402,$A193,$I$3)&amp;"",FIND(" ",INDEX(입력_인턴근무계획!$M$3:$R$402,$A193,$I$3)&amp;"")+1,60))))</f>
        <v/>
      </c>
      <c r="K193" s="26">
        <f>IF($C193="","",INDEX(입력_인턴근무계획!$M$3:$M$402,$A193)&amp;"")</f>
        <v/>
      </c>
      <c r="L193" s="26">
        <f>IF($C193="","",INDEX(입력_인턴근무계획!$N$3:$N$402,$A193)&amp;"")</f>
        <v/>
      </c>
      <c r="M193" s="26">
        <f>IF($C193="","",INDEX(입력_인턴근무계획!$O$3:$O$402,$A193)&amp;"")</f>
        <v/>
      </c>
      <c r="N193" s="26">
        <f>IF($C193="","",INDEX(입력_인턴근무계획!$P$3:$P$402,$A193)&amp;"")</f>
        <v/>
      </c>
      <c r="O193" s="26">
        <f>IF($C193="","",INDEX(입력_인턴근무계획!$Q$3:$Q$402,$A193)&amp;"")</f>
        <v/>
      </c>
      <c r="P193" s="26">
        <f>IF($C193="","",INDEX(입력_인턴근무계획!$R$3:$R$402,$A193)&amp;"")</f>
        <v/>
      </c>
      <c r="Q193" s="26">
        <f>IF($C193="","",INDEX(입력_인턴근무계획!$T$3:$T$402,$A193))</f>
        <v/>
      </c>
    </row>
    <row r="194">
      <c r="A194" s="29" t="n">
        <v>189</v>
      </c>
      <c r="B194" s="26">
        <f>IF($C194="","",INDEX(입력_인턴근무계획!$B$3:$B$402,$A194))</f>
        <v/>
      </c>
      <c r="C194" s="26">
        <f>IFERROR(TRIM(INDEX(입력_인턴근무계획!$C$3:$C$402,$A194)&amp;""),"")</f>
        <v/>
      </c>
      <c r="D194" s="26">
        <f>IF($C194="","",INDEX(입력_인턴근무계획!$D$3:$D$402,$A194))</f>
        <v/>
      </c>
      <c r="E194" s="26">
        <f>IF($C194="","",IF(IFERROR(MATCH($D194,입력_기본자료!$B$2:$B$1001,0),IFERROR(MATCH($D194&amp;"",입력_기본자료!$B$2:$B$1001,0),IFERROR(MATCH(VALUE($D194),입력_기본자료!$B$2:$B$1001,0),0)))&gt;0,"확인","미등록"))</f>
        <v/>
      </c>
      <c r="F194" s="28">
        <f>IF($C194="","",INDEX(입력_인턴근무계획!$S$3:$S$402,$A194))</f>
        <v/>
      </c>
      <c r="G194" s="26">
        <f>IF(OR($C194="",$G$3=""),"",IF(INDEX(입력_인턴근무계획!$M$3:$R$402,$A194,$G$3)&amp;""="","",IF(LEFT(INDEX(입력_인턴근무계획!$M$3:$R$402,$A194,$G$3)&amp;"",1)="⚠",INDEX(입력_인턴근무계획!$M$3:$R$402,$A194,$G$3)&amp;"",LEFT(INDEX(입력_인턴근무계획!$M$3:$R$402,$A194,$G$3)&amp;"",FIND(" ",INDEX(입력_인턴근무계획!$M$3:$R$402,$A194,$G$3)&amp;"")-1))))</f>
        <v/>
      </c>
      <c r="H194" s="26">
        <f>IF(OR($C194="",$G$3=""),"",IF(INDEX(입력_인턴근무계획!$M$3:$R$402,$A194,$G$3)&amp;""="","",IF(LEFT(INDEX(입력_인턴근무계획!$M$3:$R$402,$A194,$G$3)&amp;"",1)="⚠","",MID(INDEX(입력_인턴근무계획!$M$3:$R$402,$A194,$G$3)&amp;"",FIND(" ",INDEX(입력_인턴근무계획!$M$3:$R$402,$A194,$G$3)&amp;"")+1,60))))</f>
        <v/>
      </c>
      <c r="I194" s="26">
        <f>IF(OR($C194="",$I$3=""),"",IF(INDEX(입력_인턴근무계획!$M$3:$R$402,$A194,$I$3)&amp;""="","",IF(LEFT(INDEX(입력_인턴근무계획!$M$3:$R$402,$A194,$I$3)&amp;"",1)="⚠",INDEX(입력_인턴근무계획!$M$3:$R$402,$A194,$I$3)&amp;"",LEFT(INDEX(입력_인턴근무계획!$M$3:$R$402,$A194,$I$3)&amp;"",FIND(" ",INDEX(입력_인턴근무계획!$M$3:$R$402,$A194,$I$3)&amp;"")-1))))</f>
        <v/>
      </c>
      <c r="J194" s="26">
        <f>IF(OR($C194="",$I$3=""),"",IF(INDEX(입력_인턴근무계획!$M$3:$R$402,$A194,$I$3)&amp;""="","",IF(LEFT(INDEX(입력_인턴근무계획!$M$3:$R$402,$A194,$I$3)&amp;"",1)="⚠","",MID(INDEX(입력_인턴근무계획!$M$3:$R$402,$A194,$I$3)&amp;"",FIND(" ",INDEX(입력_인턴근무계획!$M$3:$R$402,$A194,$I$3)&amp;"")+1,60))))</f>
        <v/>
      </c>
      <c r="K194" s="26">
        <f>IF($C194="","",INDEX(입력_인턴근무계획!$M$3:$M$402,$A194)&amp;"")</f>
        <v/>
      </c>
      <c r="L194" s="26">
        <f>IF($C194="","",INDEX(입력_인턴근무계획!$N$3:$N$402,$A194)&amp;"")</f>
        <v/>
      </c>
      <c r="M194" s="26">
        <f>IF($C194="","",INDEX(입력_인턴근무계획!$O$3:$O$402,$A194)&amp;"")</f>
        <v/>
      </c>
      <c r="N194" s="26">
        <f>IF($C194="","",INDEX(입력_인턴근무계획!$P$3:$P$402,$A194)&amp;"")</f>
        <v/>
      </c>
      <c r="O194" s="26">
        <f>IF($C194="","",INDEX(입력_인턴근무계획!$Q$3:$Q$402,$A194)&amp;"")</f>
        <v/>
      </c>
      <c r="P194" s="26">
        <f>IF($C194="","",INDEX(입력_인턴근무계획!$R$3:$R$402,$A194)&amp;"")</f>
        <v/>
      </c>
      <c r="Q194" s="26">
        <f>IF($C194="","",INDEX(입력_인턴근무계획!$T$3:$T$402,$A194))</f>
        <v/>
      </c>
    </row>
    <row r="195">
      <c r="A195" s="29" t="n">
        <v>190</v>
      </c>
      <c r="B195" s="26">
        <f>IF($C195="","",INDEX(입력_인턴근무계획!$B$3:$B$402,$A195))</f>
        <v/>
      </c>
      <c r="C195" s="26">
        <f>IFERROR(TRIM(INDEX(입력_인턴근무계획!$C$3:$C$402,$A195)&amp;""),"")</f>
        <v/>
      </c>
      <c r="D195" s="26">
        <f>IF($C195="","",INDEX(입력_인턴근무계획!$D$3:$D$402,$A195))</f>
        <v/>
      </c>
      <c r="E195" s="26">
        <f>IF($C195="","",IF(IFERROR(MATCH($D195,입력_기본자료!$B$2:$B$1001,0),IFERROR(MATCH($D195&amp;"",입력_기본자료!$B$2:$B$1001,0),IFERROR(MATCH(VALUE($D195),입력_기본자료!$B$2:$B$1001,0),0)))&gt;0,"확인","미등록"))</f>
        <v/>
      </c>
      <c r="F195" s="28">
        <f>IF($C195="","",INDEX(입력_인턴근무계획!$S$3:$S$402,$A195))</f>
        <v/>
      </c>
      <c r="G195" s="26">
        <f>IF(OR($C195="",$G$3=""),"",IF(INDEX(입력_인턴근무계획!$M$3:$R$402,$A195,$G$3)&amp;""="","",IF(LEFT(INDEX(입력_인턴근무계획!$M$3:$R$402,$A195,$G$3)&amp;"",1)="⚠",INDEX(입력_인턴근무계획!$M$3:$R$402,$A195,$G$3)&amp;"",LEFT(INDEX(입력_인턴근무계획!$M$3:$R$402,$A195,$G$3)&amp;"",FIND(" ",INDEX(입력_인턴근무계획!$M$3:$R$402,$A195,$G$3)&amp;"")-1))))</f>
        <v/>
      </c>
      <c r="H195" s="26">
        <f>IF(OR($C195="",$G$3=""),"",IF(INDEX(입력_인턴근무계획!$M$3:$R$402,$A195,$G$3)&amp;""="","",IF(LEFT(INDEX(입력_인턴근무계획!$M$3:$R$402,$A195,$G$3)&amp;"",1)="⚠","",MID(INDEX(입력_인턴근무계획!$M$3:$R$402,$A195,$G$3)&amp;"",FIND(" ",INDEX(입력_인턴근무계획!$M$3:$R$402,$A195,$G$3)&amp;"")+1,60))))</f>
        <v/>
      </c>
      <c r="I195" s="26">
        <f>IF(OR($C195="",$I$3=""),"",IF(INDEX(입력_인턴근무계획!$M$3:$R$402,$A195,$I$3)&amp;""="","",IF(LEFT(INDEX(입력_인턴근무계획!$M$3:$R$402,$A195,$I$3)&amp;"",1)="⚠",INDEX(입력_인턴근무계획!$M$3:$R$402,$A195,$I$3)&amp;"",LEFT(INDEX(입력_인턴근무계획!$M$3:$R$402,$A195,$I$3)&amp;"",FIND(" ",INDEX(입력_인턴근무계획!$M$3:$R$402,$A195,$I$3)&amp;"")-1))))</f>
        <v/>
      </c>
      <c r="J195" s="26">
        <f>IF(OR($C195="",$I$3=""),"",IF(INDEX(입력_인턴근무계획!$M$3:$R$402,$A195,$I$3)&amp;""="","",IF(LEFT(INDEX(입력_인턴근무계획!$M$3:$R$402,$A195,$I$3)&amp;"",1)="⚠","",MID(INDEX(입력_인턴근무계획!$M$3:$R$402,$A195,$I$3)&amp;"",FIND(" ",INDEX(입력_인턴근무계획!$M$3:$R$402,$A195,$I$3)&amp;"")+1,60))))</f>
        <v/>
      </c>
      <c r="K195" s="26">
        <f>IF($C195="","",INDEX(입력_인턴근무계획!$M$3:$M$402,$A195)&amp;"")</f>
        <v/>
      </c>
      <c r="L195" s="26">
        <f>IF($C195="","",INDEX(입력_인턴근무계획!$N$3:$N$402,$A195)&amp;"")</f>
        <v/>
      </c>
      <c r="M195" s="26">
        <f>IF($C195="","",INDEX(입력_인턴근무계획!$O$3:$O$402,$A195)&amp;"")</f>
        <v/>
      </c>
      <c r="N195" s="26">
        <f>IF($C195="","",INDEX(입력_인턴근무계획!$P$3:$P$402,$A195)&amp;"")</f>
        <v/>
      </c>
      <c r="O195" s="26">
        <f>IF($C195="","",INDEX(입력_인턴근무계획!$Q$3:$Q$402,$A195)&amp;"")</f>
        <v/>
      </c>
      <c r="P195" s="26">
        <f>IF($C195="","",INDEX(입력_인턴근무계획!$R$3:$R$402,$A195)&amp;"")</f>
        <v/>
      </c>
      <c r="Q195" s="26">
        <f>IF($C195="","",INDEX(입력_인턴근무계획!$T$3:$T$402,$A195))</f>
        <v/>
      </c>
    </row>
    <row r="196">
      <c r="A196" s="29" t="n">
        <v>191</v>
      </c>
      <c r="B196" s="26">
        <f>IF($C196="","",INDEX(입력_인턴근무계획!$B$3:$B$402,$A196))</f>
        <v/>
      </c>
      <c r="C196" s="26">
        <f>IFERROR(TRIM(INDEX(입력_인턴근무계획!$C$3:$C$402,$A196)&amp;""),"")</f>
        <v/>
      </c>
      <c r="D196" s="26">
        <f>IF($C196="","",INDEX(입력_인턴근무계획!$D$3:$D$402,$A196))</f>
        <v/>
      </c>
      <c r="E196" s="26">
        <f>IF($C196="","",IF(IFERROR(MATCH($D196,입력_기본자료!$B$2:$B$1001,0),IFERROR(MATCH($D196&amp;"",입력_기본자료!$B$2:$B$1001,0),IFERROR(MATCH(VALUE($D196),입력_기본자료!$B$2:$B$1001,0),0)))&gt;0,"확인","미등록"))</f>
        <v/>
      </c>
      <c r="F196" s="28">
        <f>IF($C196="","",INDEX(입력_인턴근무계획!$S$3:$S$402,$A196))</f>
        <v/>
      </c>
      <c r="G196" s="26">
        <f>IF(OR($C196="",$G$3=""),"",IF(INDEX(입력_인턴근무계획!$M$3:$R$402,$A196,$G$3)&amp;""="","",IF(LEFT(INDEX(입력_인턴근무계획!$M$3:$R$402,$A196,$G$3)&amp;"",1)="⚠",INDEX(입력_인턴근무계획!$M$3:$R$402,$A196,$G$3)&amp;"",LEFT(INDEX(입력_인턴근무계획!$M$3:$R$402,$A196,$G$3)&amp;"",FIND(" ",INDEX(입력_인턴근무계획!$M$3:$R$402,$A196,$G$3)&amp;"")-1))))</f>
        <v/>
      </c>
      <c r="H196" s="26">
        <f>IF(OR($C196="",$G$3=""),"",IF(INDEX(입력_인턴근무계획!$M$3:$R$402,$A196,$G$3)&amp;""="","",IF(LEFT(INDEX(입력_인턴근무계획!$M$3:$R$402,$A196,$G$3)&amp;"",1)="⚠","",MID(INDEX(입력_인턴근무계획!$M$3:$R$402,$A196,$G$3)&amp;"",FIND(" ",INDEX(입력_인턴근무계획!$M$3:$R$402,$A196,$G$3)&amp;"")+1,60))))</f>
        <v/>
      </c>
      <c r="I196" s="26">
        <f>IF(OR($C196="",$I$3=""),"",IF(INDEX(입력_인턴근무계획!$M$3:$R$402,$A196,$I$3)&amp;""="","",IF(LEFT(INDEX(입력_인턴근무계획!$M$3:$R$402,$A196,$I$3)&amp;"",1)="⚠",INDEX(입력_인턴근무계획!$M$3:$R$402,$A196,$I$3)&amp;"",LEFT(INDEX(입력_인턴근무계획!$M$3:$R$402,$A196,$I$3)&amp;"",FIND(" ",INDEX(입력_인턴근무계획!$M$3:$R$402,$A196,$I$3)&amp;"")-1))))</f>
        <v/>
      </c>
      <c r="J196" s="26">
        <f>IF(OR($C196="",$I$3=""),"",IF(INDEX(입력_인턴근무계획!$M$3:$R$402,$A196,$I$3)&amp;""="","",IF(LEFT(INDEX(입력_인턴근무계획!$M$3:$R$402,$A196,$I$3)&amp;"",1)="⚠","",MID(INDEX(입력_인턴근무계획!$M$3:$R$402,$A196,$I$3)&amp;"",FIND(" ",INDEX(입력_인턴근무계획!$M$3:$R$402,$A196,$I$3)&amp;"")+1,60))))</f>
        <v/>
      </c>
      <c r="K196" s="26">
        <f>IF($C196="","",INDEX(입력_인턴근무계획!$M$3:$M$402,$A196)&amp;"")</f>
        <v/>
      </c>
      <c r="L196" s="26">
        <f>IF($C196="","",INDEX(입력_인턴근무계획!$N$3:$N$402,$A196)&amp;"")</f>
        <v/>
      </c>
      <c r="M196" s="26">
        <f>IF($C196="","",INDEX(입력_인턴근무계획!$O$3:$O$402,$A196)&amp;"")</f>
        <v/>
      </c>
      <c r="N196" s="26">
        <f>IF($C196="","",INDEX(입력_인턴근무계획!$P$3:$P$402,$A196)&amp;"")</f>
        <v/>
      </c>
      <c r="O196" s="26">
        <f>IF($C196="","",INDEX(입력_인턴근무계획!$Q$3:$Q$402,$A196)&amp;"")</f>
        <v/>
      </c>
      <c r="P196" s="26">
        <f>IF($C196="","",INDEX(입력_인턴근무계획!$R$3:$R$402,$A196)&amp;"")</f>
        <v/>
      </c>
      <c r="Q196" s="26">
        <f>IF($C196="","",INDEX(입력_인턴근무계획!$T$3:$T$402,$A196))</f>
        <v/>
      </c>
    </row>
    <row r="197">
      <c r="A197" s="29" t="n">
        <v>192</v>
      </c>
      <c r="B197" s="26">
        <f>IF($C197="","",INDEX(입력_인턴근무계획!$B$3:$B$402,$A197))</f>
        <v/>
      </c>
      <c r="C197" s="26">
        <f>IFERROR(TRIM(INDEX(입력_인턴근무계획!$C$3:$C$402,$A197)&amp;""),"")</f>
        <v/>
      </c>
      <c r="D197" s="26">
        <f>IF($C197="","",INDEX(입력_인턴근무계획!$D$3:$D$402,$A197))</f>
        <v/>
      </c>
      <c r="E197" s="26">
        <f>IF($C197="","",IF(IFERROR(MATCH($D197,입력_기본자료!$B$2:$B$1001,0),IFERROR(MATCH($D197&amp;"",입력_기본자료!$B$2:$B$1001,0),IFERROR(MATCH(VALUE($D197),입력_기본자료!$B$2:$B$1001,0),0)))&gt;0,"확인","미등록"))</f>
        <v/>
      </c>
      <c r="F197" s="28">
        <f>IF($C197="","",INDEX(입력_인턴근무계획!$S$3:$S$402,$A197))</f>
        <v/>
      </c>
      <c r="G197" s="26">
        <f>IF(OR($C197="",$G$3=""),"",IF(INDEX(입력_인턴근무계획!$M$3:$R$402,$A197,$G$3)&amp;""="","",IF(LEFT(INDEX(입력_인턴근무계획!$M$3:$R$402,$A197,$G$3)&amp;"",1)="⚠",INDEX(입력_인턴근무계획!$M$3:$R$402,$A197,$G$3)&amp;"",LEFT(INDEX(입력_인턴근무계획!$M$3:$R$402,$A197,$G$3)&amp;"",FIND(" ",INDEX(입력_인턴근무계획!$M$3:$R$402,$A197,$G$3)&amp;"")-1))))</f>
        <v/>
      </c>
      <c r="H197" s="26">
        <f>IF(OR($C197="",$G$3=""),"",IF(INDEX(입력_인턴근무계획!$M$3:$R$402,$A197,$G$3)&amp;""="","",IF(LEFT(INDEX(입력_인턴근무계획!$M$3:$R$402,$A197,$G$3)&amp;"",1)="⚠","",MID(INDEX(입력_인턴근무계획!$M$3:$R$402,$A197,$G$3)&amp;"",FIND(" ",INDEX(입력_인턴근무계획!$M$3:$R$402,$A197,$G$3)&amp;"")+1,60))))</f>
        <v/>
      </c>
      <c r="I197" s="26">
        <f>IF(OR($C197="",$I$3=""),"",IF(INDEX(입력_인턴근무계획!$M$3:$R$402,$A197,$I$3)&amp;""="","",IF(LEFT(INDEX(입력_인턴근무계획!$M$3:$R$402,$A197,$I$3)&amp;"",1)="⚠",INDEX(입력_인턴근무계획!$M$3:$R$402,$A197,$I$3)&amp;"",LEFT(INDEX(입력_인턴근무계획!$M$3:$R$402,$A197,$I$3)&amp;"",FIND(" ",INDEX(입력_인턴근무계획!$M$3:$R$402,$A197,$I$3)&amp;"")-1))))</f>
        <v/>
      </c>
      <c r="J197" s="26">
        <f>IF(OR($C197="",$I$3=""),"",IF(INDEX(입력_인턴근무계획!$M$3:$R$402,$A197,$I$3)&amp;""="","",IF(LEFT(INDEX(입력_인턴근무계획!$M$3:$R$402,$A197,$I$3)&amp;"",1)="⚠","",MID(INDEX(입력_인턴근무계획!$M$3:$R$402,$A197,$I$3)&amp;"",FIND(" ",INDEX(입력_인턴근무계획!$M$3:$R$402,$A197,$I$3)&amp;"")+1,60))))</f>
        <v/>
      </c>
      <c r="K197" s="26">
        <f>IF($C197="","",INDEX(입력_인턴근무계획!$M$3:$M$402,$A197)&amp;"")</f>
        <v/>
      </c>
      <c r="L197" s="26">
        <f>IF($C197="","",INDEX(입력_인턴근무계획!$N$3:$N$402,$A197)&amp;"")</f>
        <v/>
      </c>
      <c r="M197" s="26">
        <f>IF($C197="","",INDEX(입력_인턴근무계획!$O$3:$O$402,$A197)&amp;"")</f>
        <v/>
      </c>
      <c r="N197" s="26">
        <f>IF($C197="","",INDEX(입력_인턴근무계획!$P$3:$P$402,$A197)&amp;"")</f>
        <v/>
      </c>
      <c r="O197" s="26">
        <f>IF($C197="","",INDEX(입력_인턴근무계획!$Q$3:$Q$402,$A197)&amp;"")</f>
        <v/>
      </c>
      <c r="P197" s="26">
        <f>IF($C197="","",INDEX(입력_인턴근무계획!$R$3:$R$402,$A197)&amp;"")</f>
        <v/>
      </c>
      <c r="Q197" s="26">
        <f>IF($C197="","",INDEX(입력_인턴근무계획!$T$3:$T$402,$A197))</f>
        <v/>
      </c>
    </row>
    <row r="198">
      <c r="A198" s="29" t="n">
        <v>193</v>
      </c>
      <c r="B198" s="26">
        <f>IF($C198="","",INDEX(입력_인턴근무계획!$B$3:$B$402,$A198))</f>
        <v/>
      </c>
      <c r="C198" s="26">
        <f>IFERROR(TRIM(INDEX(입력_인턴근무계획!$C$3:$C$402,$A198)&amp;""),"")</f>
        <v/>
      </c>
      <c r="D198" s="26">
        <f>IF($C198="","",INDEX(입력_인턴근무계획!$D$3:$D$402,$A198))</f>
        <v/>
      </c>
      <c r="E198" s="26">
        <f>IF($C198="","",IF(IFERROR(MATCH($D198,입력_기본자료!$B$2:$B$1001,0),IFERROR(MATCH($D198&amp;"",입력_기본자료!$B$2:$B$1001,0),IFERROR(MATCH(VALUE($D198),입력_기본자료!$B$2:$B$1001,0),0)))&gt;0,"확인","미등록"))</f>
        <v/>
      </c>
      <c r="F198" s="28">
        <f>IF($C198="","",INDEX(입력_인턴근무계획!$S$3:$S$402,$A198))</f>
        <v/>
      </c>
      <c r="G198" s="26">
        <f>IF(OR($C198="",$G$3=""),"",IF(INDEX(입력_인턴근무계획!$M$3:$R$402,$A198,$G$3)&amp;""="","",IF(LEFT(INDEX(입력_인턴근무계획!$M$3:$R$402,$A198,$G$3)&amp;"",1)="⚠",INDEX(입력_인턴근무계획!$M$3:$R$402,$A198,$G$3)&amp;"",LEFT(INDEX(입력_인턴근무계획!$M$3:$R$402,$A198,$G$3)&amp;"",FIND(" ",INDEX(입력_인턴근무계획!$M$3:$R$402,$A198,$G$3)&amp;"")-1))))</f>
        <v/>
      </c>
      <c r="H198" s="26">
        <f>IF(OR($C198="",$G$3=""),"",IF(INDEX(입력_인턴근무계획!$M$3:$R$402,$A198,$G$3)&amp;""="","",IF(LEFT(INDEX(입력_인턴근무계획!$M$3:$R$402,$A198,$G$3)&amp;"",1)="⚠","",MID(INDEX(입력_인턴근무계획!$M$3:$R$402,$A198,$G$3)&amp;"",FIND(" ",INDEX(입력_인턴근무계획!$M$3:$R$402,$A198,$G$3)&amp;"")+1,60))))</f>
        <v/>
      </c>
      <c r="I198" s="26">
        <f>IF(OR($C198="",$I$3=""),"",IF(INDEX(입력_인턴근무계획!$M$3:$R$402,$A198,$I$3)&amp;""="","",IF(LEFT(INDEX(입력_인턴근무계획!$M$3:$R$402,$A198,$I$3)&amp;"",1)="⚠",INDEX(입력_인턴근무계획!$M$3:$R$402,$A198,$I$3)&amp;"",LEFT(INDEX(입력_인턴근무계획!$M$3:$R$402,$A198,$I$3)&amp;"",FIND(" ",INDEX(입력_인턴근무계획!$M$3:$R$402,$A198,$I$3)&amp;"")-1))))</f>
        <v/>
      </c>
      <c r="J198" s="26">
        <f>IF(OR($C198="",$I$3=""),"",IF(INDEX(입력_인턴근무계획!$M$3:$R$402,$A198,$I$3)&amp;""="","",IF(LEFT(INDEX(입력_인턴근무계획!$M$3:$R$402,$A198,$I$3)&amp;"",1)="⚠","",MID(INDEX(입력_인턴근무계획!$M$3:$R$402,$A198,$I$3)&amp;"",FIND(" ",INDEX(입력_인턴근무계획!$M$3:$R$402,$A198,$I$3)&amp;"")+1,60))))</f>
        <v/>
      </c>
      <c r="K198" s="26">
        <f>IF($C198="","",INDEX(입력_인턴근무계획!$M$3:$M$402,$A198)&amp;"")</f>
        <v/>
      </c>
      <c r="L198" s="26">
        <f>IF($C198="","",INDEX(입력_인턴근무계획!$N$3:$N$402,$A198)&amp;"")</f>
        <v/>
      </c>
      <c r="M198" s="26">
        <f>IF($C198="","",INDEX(입력_인턴근무계획!$O$3:$O$402,$A198)&amp;"")</f>
        <v/>
      </c>
      <c r="N198" s="26">
        <f>IF($C198="","",INDEX(입력_인턴근무계획!$P$3:$P$402,$A198)&amp;"")</f>
        <v/>
      </c>
      <c r="O198" s="26">
        <f>IF($C198="","",INDEX(입력_인턴근무계획!$Q$3:$Q$402,$A198)&amp;"")</f>
        <v/>
      </c>
      <c r="P198" s="26">
        <f>IF($C198="","",INDEX(입력_인턴근무계획!$R$3:$R$402,$A198)&amp;"")</f>
        <v/>
      </c>
      <c r="Q198" s="26">
        <f>IF($C198="","",INDEX(입력_인턴근무계획!$T$3:$T$402,$A198))</f>
        <v/>
      </c>
    </row>
    <row r="199">
      <c r="A199" s="29" t="n">
        <v>194</v>
      </c>
      <c r="B199" s="26">
        <f>IF($C199="","",INDEX(입력_인턴근무계획!$B$3:$B$402,$A199))</f>
        <v/>
      </c>
      <c r="C199" s="26">
        <f>IFERROR(TRIM(INDEX(입력_인턴근무계획!$C$3:$C$402,$A199)&amp;""),"")</f>
        <v/>
      </c>
      <c r="D199" s="26">
        <f>IF($C199="","",INDEX(입력_인턴근무계획!$D$3:$D$402,$A199))</f>
        <v/>
      </c>
      <c r="E199" s="26">
        <f>IF($C199="","",IF(IFERROR(MATCH($D199,입력_기본자료!$B$2:$B$1001,0),IFERROR(MATCH($D199&amp;"",입력_기본자료!$B$2:$B$1001,0),IFERROR(MATCH(VALUE($D199),입력_기본자료!$B$2:$B$1001,0),0)))&gt;0,"확인","미등록"))</f>
        <v/>
      </c>
      <c r="F199" s="28">
        <f>IF($C199="","",INDEX(입력_인턴근무계획!$S$3:$S$402,$A199))</f>
        <v/>
      </c>
      <c r="G199" s="26">
        <f>IF(OR($C199="",$G$3=""),"",IF(INDEX(입력_인턴근무계획!$M$3:$R$402,$A199,$G$3)&amp;""="","",IF(LEFT(INDEX(입력_인턴근무계획!$M$3:$R$402,$A199,$G$3)&amp;"",1)="⚠",INDEX(입력_인턴근무계획!$M$3:$R$402,$A199,$G$3)&amp;"",LEFT(INDEX(입력_인턴근무계획!$M$3:$R$402,$A199,$G$3)&amp;"",FIND(" ",INDEX(입력_인턴근무계획!$M$3:$R$402,$A199,$G$3)&amp;"")-1))))</f>
        <v/>
      </c>
      <c r="H199" s="26">
        <f>IF(OR($C199="",$G$3=""),"",IF(INDEX(입력_인턴근무계획!$M$3:$R$402,$A199,$G$3)&amp;""="","",IF(LEFT(INDEX(입력_인턴근무계획!$M$3:$R$402,$A199,$G$3)&amp;"",1)="⚠","",MID(INDEX(입력_인턴근무계획!$M$3:$R$402,$A199,$G$3)&amp;"",FIND(" ",INDEX(입력_인턴근무계획!$M$3:$R$402,$A199,$G$3)&amp;"")+1,60))))</f>
        <v/>
      </c>
      <c r="I199" s="26">
        <f>IF(OR($C199="",$I$3=""),"",IF(INDEX(입력_인턴근무계획!$M$3:$R$402,$A199,$I$3)&amp;""="","",IF(LEFT(INDEX(입력_인턴근무계획!$M$3:$R$402,$A199,$I$3)&amp;"",1)="⚠",INDEX(입력_인턴근무계획!$M$3:$R$402,$A199,$I$3)&amp;"",LEFT(INDEX(입력_인턴근무계획!$M$3:$R$402,$A199,$I$3)&amp;"",FIND(" ",INDEX(입력_인턴근무계획!$M$3:$R$402,$A199,$I$3)&amp;"")-1))))</f>
        <v/>
      </c>
      <c r="J199" s="26">
        <f>IF(OR($C199="",$I$3=""),"",IF(INDEX(입력_인턴근무계획!$M$3:$R$402,$A199,$I$3)&amp;""="","",IF(LEFT(INDEX(입력_인턴근무계획!$M$3:$R$402,$A199,$I$3)&amp;"",1)="⚠","",MID(INDEX(입력_인턴근무계획!$M$3:$R$402,$A199,$I$3)&amp;"",FIND(" ",INDEX(입력_인턴근무계획!$M$3:$R$402,$A199,$I$3)&amp;"")+1,60))))</f>
        <v/>
      </c>
      <c r="K199" s="26">
        <f>IF($C199="","",INDEX(입력_인턴근무계획!$M$3:$M$402,$A199)&amp;"")</f>
        <v/>
      </c>
      <c r="L199" s="26">
        <f>IF($C199="","",INDEX(입력_인턴근무계획!$N$3:$N$402,$A199)&amp;"")</f>
        <v/>
      </c>
      <c r="M199" s="26">
        <f>IF($C199="","",INDEX(입력_인턴근무계획!$O$3:$O$402,$A199)&amp;"")</f>
        <v/>
      </c>
      <c r="N199" s="26">
        <f>IF($C199="","",INDEX(입력_인턴근무계획!$P$3:$P$402,$A199)&amp;"")</f>
        <v/>
      </c>
      <c r="O199" s="26">
        <f>IF($C199="","",INDEX(입력_인턴근무계획!$Q$3:$Q$402,$A199)&amp;"")</f>
        <v/>
      </c>
      <c r="P199" s="26">
        <f>IF($C199="","",INDEX(입력_인턴근무계획!$R$3:$R$402,$A199)&amp;"")</f>
        <v/>
      </c>
      <c r="Q199" s="26">
        <f>IF($C199="","",INDEX(입력_인턴근무계획!$T$3:$T$402,$A199))</f>
        <v/>
      </c>
    </row>
    <row r="200">
      <c r="A200" s="29" t="n">
        <v>195</v>
      </c>
      <c r="B200" s="26">
        <f>IF($C200="","",INDEX(입력_인턴근무계획!$B$3:$B$402,$A200))</f>
        <v/>
      </c>
      <c r="C200" s="26">
        <f>IFERROR(TRIM(INDEX(입력_인턴근무계획!$C$3:$C$402,$A200)&amp;""),"")</f>
        <v/>
      </c>
      <c r="D200" s="26">
        <f>IF($C200="","",INDEX(입력_인턴근무계획!$D$3:$D$402,$A200))</f>
        <v/>
      </c>
      <c r="E200" s="26">
        <f>IF($C200="","",IF(IFERROR(MATCH($D200,입력_기본자료!$B$2:$B$1001,0),IFERROR(MATCH($D200&amp;"",입력_기본자료!$B$2:$B$1001,0),IFERROR(MATCH(VALUE($D200),입력_기본자료!$B$2:$B$1001,0),0)))&gt;0,"확인","미등록"))</f>
        <v/>
      </c>
      <c r="F200" s="28">
        <f>IF($C200="","",INDEX(입력_인턴근무계획!$S$3:$S$402,$A200))</f>
        <v/>
      </c>
      <c r="G200" s="26">
        <f>IF(OR($C200="",$G$3=""),"",IF(INDEX(입력_인턴근무계획!$M$3:$R$402,$A200,$G$3)&amp;""="","",IF(LEFT(INDEX(입력_인턴근무계획!$M$3:$R$402,$A200,$G$3)&amp;"",1)="⚠",INDEX(입력_인턴근무계획!$M$3:$R$402,$A200,$G$3)&amp;"",LEFT(INDEX(입력_인턴근무계획!$M$3:$R$402,$A200,$G$3)&amp;"",FIND(" ",INDEX(입력_인턴근무계획!$M$3:$R$402,$A200,$G$3)&amp;"")-1))))</f>
        <v/>
      </c>
      <c r="H200" s="26">
        <f>IF(OR($C200="",$G$3=""),"",IF(INDEX(입력_인턴근무계획!$M$3:$R$402,$A200,$G$3)&amp;""="","",IF(LEFT(INDEX(입력_인턴근무계획!$M$3:$R$402,$A200,$G$3)&amp;"",1)="⚠","",MID(INDEX(입력_인턴근무계획!$M$3:$R$402,$A200,$G$3)&amp;"",FIND(" ",INDEX(입력_인턴근무계획!$M$3:$R$402,$A200,$G$3)&amp;"")+1,60))))</f>
        <v/>
      </c>
      <c r="I200" s="26">
        <f>IF(OR($C200="",$I$3=""),"",IF(INDEX(입력_인턴근무계획!$M$3:$R$402,$A200,$I$3)&amp;""="","",IF(LEFT(INDEX(입력_인턴근무계획!$M$3:$R$402,$A200,$I$3)&amp;"",1)="⚠",INDEX(입력_인턴근무계획!$M$3:$R$402,$A200,$I$3)&amp;"",LEFT(INDEX(입력_인턴근무계획!$M$3:$R$402,$A200,$I$3)&amp;"",FIND(" ",INDEX(입력_인턴근무계획!$M$3:$R$402,$A200,$I$3)&amp;"")-1))))</f>
        <v/>
      </c>
      <c r="J200" s="26">
        <f>IF(OR($C200="",$I$3=""),"",IF(INDEX(입력_인턴근무계획!$M$3:$R$402,$A200,$I$3)&amp;""="","",IF(LEFT(INDEX(입력_인턴근무계획!$M$3:$R$402,$A200,$I$3)&amp;"",1)="⚠","",MID(INDEX(입력_인턴근무계획!$M$3:$R$402,$A200,$I$3)&amp;"",FIND(" ",INDEX(입력_인턴근무계획!$M$3:$R$402,$A200,$I$3)&amp;"")+1,60))))</f>
        <v/>
      </c>
      <c r="K200" s="26">
        <f>IF($C200="","",INDEX(입력_인턴근무계획!$M$3:$M$402,$A200)&amp;"")</f>
        <v/>
      </c>
      <c r="L200" s="26">
        <f>IF($C200="","",INDEX(입력_인턴근무계획!$N$3:$N$402,$A200)&amp;"")</f>
        <v/>
      </c>
      <c r="M200" s="26">
        <f>IF($C200="","",INDEX(입력_인턴근무계획!$O$3:$O$402,$A200)&amp;"")</f>
        <v/>
      </c>
      <c r="N200" s="26">
        <f>IF($C200="","",INDEX(입력_인턴근무계획!$P$3:$P$402,$A200)&amp;"")</f>
        <v/>
      </c>
      <c r="O200" s="26">
        <f>IF($C200="","",INDEX(입력_인턴근무계획!$Q$3:$Q$402,$A200)&amp;"")</f>
        <v/>
      </c>
      <c r="P200" s="26">
        <f>IF($C200="","",INDEX(입력_인턴근무계획!$R$3:$R$402,$A200)&amp;"")</f>
        <v/>
      </c>
      <c r="Q200" s="26">
        <f>IF($C200="","",INDEX(입력_인턴근무계획!$T$3:$T$402,$A200))</f>
        <v/>
      </c>
    </row>
    <row r="201">
      <c r="A201" s="29" t="n">
        <v>196</v>
      </c>
      <c r="B201" s="26">
        <f>IF($C201="","",INDEX(입력_인턴근무계획!$B$3:$B$402,$A201))</f>
        <v/>
      </c>
      <c r="C201" s="26">
        <f>IFERROR(TRIM(INDEX(입력_인턴근무계획!$C$3:$C$402,$A201)&amp;""),"")</f>
        <v/>
      </c>
      <c r="D201" s="26">
        <f>IF($C201="","",INDEX(입력_인턴근무계획!$D$3:$D$402,$A201))</f>
        <v/>
      </c>
      <c r="E201" s="26">
        <f>IF($C201="","",IF(IFERROR(MATCH($D201,입력_기본자료!$B$2:$B$1001,0),IFERROR(MATCH($D201&amp;"",입력_기본자료!$B$2:$B$1001,0),IFERROR(MATCH(VALUE($D201),입력_기본자료!$B$2:$B$1001,0),0)))&gt;0,"확인","미등록"))</f>
        <v/>
      </c>
      <c r="F201" s="28">
        <f>IF($C201="","",INDEX(입력_인턴근무계획!$S$3:$S$402,$A201))</f>
        <v/>
      </c>
      <c r="G201" s="26">
        <f>IF(OR($C201="",$G$3=""),"",IF(INDEX(입력_인턴근무계획!$M$3:$R$402,$A201,$G$3)&amp;""="","",IF(LEFT(INDEX(입력_인턴근무계획!$M$3:$R$402,$A201,$G$3)&amp;"",1)="⚠",INDEX(입력_인턴근무계획!$M$3:$R$402,$A201,$G$3)&amp;"",LEFT(INDEX(입력_인턴근무계획!$M$3:$R$402,$A201,$G$3)&amp;"",FIND(" ",INDEX(입력_인턴근무계획!$M$3:$R$402,$A201,$G$3)&amp;"")-1))))</f>
        <v/>
      </c>
      <c r="H201" s="26">
        <f>IF(OR($C201="",$G$3=""),"",IF(INDEX(입력_인턴근무계획!$M$3:$R$402,$A201,$G$3)&amp;""="","",IF(LEFT(INDEX(입력_인턴근무계획!$M$3:$R$402,$A201,$G$3)&amp;"",1)="⚠","",MID(INDEX(입력_인턴근무계획!$M$3:$R$402,$A201,$G$3)&amp;"",FIND(" ",INDEX(입력_인턴근무계획!$M$3:$R$402,$A201,$G$3)&amp;"")+1,60))))</f>
        <v/>
      </c>
      <c r="I201" s="26">
        <f>IF(OR($C201="",$I$3=""),"",IF(INDEX(입력_인턴근무계획!$M$3:$R$402,$A201,$I$3)&amp;""="","",IF(LEFT(INDEX(입력_인턴근무계획!$M$3:$R$402,$A201,$I$3)&amp;"",1)="⚠",INDEX(입력_인턴근무계획!$M$3:$R$402,$A201,$I$3)&amp;"",LEFT(INDEX(입력_인턴근무계획!$M$3:$R$402,$A201,$I$3)&amp;"",FIND(" ",INDEX(입력_인턴근무계획!$M$3:$R$402,$A201,$I$3)&amp;"")-1))))</f>
        <v/>
      </c>
      <c r="J201" s="26">
        <f>IF(OR($C201="",$I$3=""),"",IF(INDEX(입력_인턴근무계획!$M$3:$R$402,$A201,$I$3)&amp;""="","",IF(LEFT(INDEX(입력_인턴근무계획!$M$3:$R$402,$A201,$I$3)&amp;"",1)="⚠","",MID(INDEX(입력_인턴근무계획!$M$3:$R$402,$A201,$I$3)&amp;"",FIND(" ",INDEX(입력_인턴근무계획!$M$3:$R$402,$A201,$I$3)&amp;"")+1,60))))</f>
        <v/>
      </c>
      <c r="K201" s="26">
        <f>IF($C201="","",INDEX(입력_인턴근무계획!$M$3:$M$402,$A201)&amp;"")</f>
        <v/>
      </c>
      <c r="L201" s="26">
        <f>IF($C201="","",INDEX(입력_인턴근무계획!$N$3:$N$402,$A201)&amp;"")</f>
        <v/>
      </c>
      <c r="M201" s="26">
        <f>IF($C201="","",INDEX(입력_인턴근무계획!$O$3:$O$402,$A201)&amp;"")</f>
        <v/>
      </c>
      <c r="N201" s="26">
        <f>IF($C201="","",INDEX(입력_인턴근무계획!$P$3:$P$402,$A201)&amp;"")</f>
        <v/>
      </c>
      <c r="O201" s="26">
        <f>IF($C201="","",INDEX(입력_인턴근무계획!$Q$3:$Q$402,$A201)&amp;"")</f>
        <v/>
      </c>
      <c r="P201" s="26">
        <f>IF($C201="","",INDEX(입력_인턴근무계획!$R$3:$R$402,$A201)&amp;"")</f>
        <v/>
      </c>
      <c r="Q201" s="26">
        <f>IF($C201="","",INDEX(입력_인턴근무계획!$T$3:$T$402,$A201))</f>
        <v/>
      </c>
    </row>
    <row r="202">
      <c r="A202" s="29" t="n">
        <v>197</v>
      </c>
      <c r="B202" s="26">
        <f>IF($C202="","",INDEX(입력_인턴근무계획!$B$3:$B$402,$A202))</f>
        <v/>
      </c>
      <c r="C202" s="26">
        <f>IFERROR(TRIM(INDEX(입력_인턴근무계획!$C$3:$C$402,$A202)&amp;""),"")</f>
        <v/>
      </c>
      <c r="D202" s="26">
        <f>IF($C202="","",INDEX(입력_인턴근무계획!$D$3:$D$402,$A202))</f>
        <v/>
      </c>
      <c r="E202" s="26">
        <f>IF($C202="","",IF(IFERROR(MATCH($D202,입력_기본자료!$B$2:$B$1001,0),IFERROR(MATCH($D202&amp;"",입력_기본자료!$B$2:$B$1001,0),IFERROR(MATCH(VALUE($D202),입력_기본자료!$B$2:$B$1001,0),0)))&gt;0,"확인","미등록"))</f>
        <v/>
      </c>
      <c r="F202" s="28">
        <f>IF($C202="","",INDEX(입력_인턴근무계획!$S$3:$S$402,$A202))</f>
        <v/>
      </c>
      <c r="G202" s="26">
        <f>IF(OR($C202="",$G$3=""),"",IF(INDEX(입력_인턴근무계획!$M$3:$R$402,$A202,$G$3)&amp;""="","",IF(LEFT(INDEX(입력_인턴근무계획!$M$3:$R$402,$A202,$G$3)&amp;"",1)="⚠",INDEX(입력_인턴근무계획!$M$3:$R$402,$A202,$G$3)&amp;"",LEFT(INDEX(입력_인턴근무계획!$M$3:$R$402,$A202,$G$3)&amp;"",FIND(" ",INDEX(입력_인턴근무계획!$M$3:$R$402,$A202,$G$3)&amp;"")-1))))</f>
        <v/>
      </c>
      <c r="H202" s="26">
        <f>IF(OR($C202="",$G$3=""),"",IF(INDEX(입력_인턴근무계획!$M$3:$R$402,$A202,$G$3)&amp;""="","",IF(LEFT(INDEX(입력_인턴근무계획!$M$3:$R$402,$A202,$G$3)&amp;"",1)="⚠","",MID(INDEX(입력_인턴근무계획!$M$3:$R$402,$A202,$G$3)&amp;"",FIND(" ",INDEX(입력_인턴근무계획!$M$3:$R$402,$A202,$G$3)&amp;"")+1,60))))</f>
        <v/>
      </c>
      <c r="I202" s="26">
        <f>IF(OR($C202="",$I$3=""),"",IF(INDEX(입력_인턴근무계획!$M$3:$R$402,$A202,$I$3)&amp;""="","",IF(LEFT(INDEX(입력_인턴근무계획!$M$3:$R$402,$A202,$I$3)&amp;"",1)="⚠",INDEX(입력_인턴근무계획!$M$3:$R$402,$A202,$I$3)&amp;"",LEFT(INDEX(입력_인턴근무계획!$M$3:$R$402,$A202,$I$3)&amp;"",FIND(" ",INDEX(입력_인턴근무계획!$M$3:$R$402,$A202,$I$3)&amp;"")-1))))</f>
        <v/>
      </c>
      <c r="J202" s="26">
        <f>IF(OR($C202="",$I$3=""),"",IF(INDEX(입력_인턴근무계획!$M$3:$R$402,$A202,$I$3)&amp;""="","",IF(LEFT(INDEX(입력_인턴근무계획!$M$3:$R$402,$A202,$I$3)&amp;"",1)="⚠","",MID(INDEX(입력_인턴근무계획!$M$3:$R$402,$A202,$I$3)&amp;"",FIND(" ",INDEX(입력_인턴근무계획!$M$3:$R$402,$A202,$I$3)&amp;"")+1,60))))</f>
        <v/>
      </c>
      <c r="K202" s="26">
        <f>IF($C202="","",INDEX(입력_인턴근무계획!$M$3:$M$402,$A202)&amp;"")</f>
        <v/>
      </c>
      <c r="L202" s="26">
        <f>IF($C202="","",INDEX(입력_인턴근무계획!$N$3:$N$402,$A202)&amp;"")</f>
        <v/>
      </c>
      <c r="M202" s="26">
        <f>IF($C202="","",INDEX(입력_인턴근무계획!$O$3:$O$402,$A202)&amp;"")</f>
        <v/>
      </c>
      <c r="N202" s="26">
        <f>IF($C202="","",INDEX(입력_인턴근무계획!$P$3:$P$402,$A202)&amp;"")</f>
        <v/>
      </c>
      <c r="O202" s="26">
        <f>IF($C202="","",INDEX(입력_인턴근무계획!$Q$3:$Q$402,$A202)&amp;"")</f>
        <v/>
      </c>
      <c r="P202" s="26">
        <f>IF($C202="","",INDEX(입력_인턴근무계획!$R$3:$R$402,$A202)&amp;"")</f>
        <v/>
      </c>
      <c r="Q202" s="26">
        <f>IF($C202="","",INDEX(입력_인턴근무계획!$T$3:$T$402,$A202))</f>
        <v/>
      </c>
    </row>
    <row r="203">
      <c r="A203" s="29" t="n">
        <v>198</v>
      </c>
      <c r="B203" s="26">
        <f>IF($C203="","",INDEX(입력_인턴근무계획!$B$3:$B$402,$A203))</f>
        <v/>
      </c>
      <c r="C203" s="26">
        <f>IFERROR(TRIM(INDEX(입력_인턴근무계획!$C$3:$C$402,$A203)&amp;""),"")</f>
        <v/>
      </c>
      <c r="D203" s="26">
        <f>IF($C203="","",INDEX(입력_인턴근무계획!$D$3:$D$402,$A203))</f>
        <v/>
      </c>
      <c r="E203" s="26">
        <f>IF($C203="","",IF(IFERROR(MATCH($D203,입력_기본자료!$B$2:$B$1001,0),IFERROR(MATCH($D203&amp;"",입력_기본자료!$B$2:$B$1001,0),IFERROR(MATCH(VALUE($D203),입력_기본자료!$B$2:$B$1001,0),0)))&gt;0,"확인","미등록"))</f>
        <v/>
      </c>
      <c r="F203" s="28">
        <f>IF($C203="","",INDEX(입력_인턴근무계획!$S$3:$S$402,$A203))</f>
        <v/>
      </c>
      <c r="G203" s="26">
        <f>IF(OR($C203="",$G$3=""),"",IF(INDEX(입력_인턴근무계획!$M$3:$R$402,$A203,$G$3)&amp;""="","",IF(LEFT(INDEX(입력_인턴근무계획!$M$3:$R$402,$A203,$G$3)&amp;"",1)="⚠",INDEX(입력_인턴근무계획!$M$3:$R$402,$A203,$G$3)&amp;"",LEFT(INDEX(입력_인턴근무계획!$M$3:$R$402,$A203,$G$3)&amp;"",FIND(" ",INDEX(입력_인턴근무계획!$M$3:$R$402,$A203,$G$3)&amp;"")-1))))</f>
        <v/>
      </c>
      <c r="H203" s="26">
        <f>IF(OR($C203="",$G$3=""),"",IF(INDEX(입력_인턴근무계획!$M$3:$R$402,$A203,$G$3)&amp;""="","",IF(LEFT(INDEX(입력_인턴근무계획!$M$3:$R$402,$A203,$G$3)&amp;"",1)="⚠","",MID(INDEX(입력_인턴근무계획!$M$3:$R$402,$A203,$G$3)&amp;"",FIND(" ",INDEX(입력_인턴근무계획!$M$3:$R$402,$A203,$G$3)&amp;"")+1,60))))</f>
        <v/>
      </c>
      <c r="I203" s="26">
        <f>IF(OR($C203="",$I$3=""),"",IF(INDEX(입력_인턴근무계획!$M$3:$R$402,$A203,$I$3)&amp;""="","",IF(LEFT(INDEX(입력_인턴근무계획!$M$3:$R$402,$A203,$I$3)&amp;"",1)="⚠",INDEX(입력_인턴근무계획!$M$3:$R$402,$A203,$I$3)&amp;"",LEFT(INDEX(입력_인턴근무계획!$M$3:$R$402,$A203,$I$3)&amp;"",FIND(" ",INDEX(입력_인턴근무계획!$M$3:$R$402,$A203,$I$3)&amp;"")-1))))</f>
        <v/>
      </c>
      <c r="J203" s="26">
        <f>IF(OR($C203="",$I$3=""),"",IF(INDEX(입력_인턴근무계획!$M$3:$R$402,$A203,$I$3)&amp;""="","",IF(LEFT(INDEX(입력_인턴근무계획!$M$3:$R$402,$A203,$I$3)&amp;"",1)="⚠","",MID(INDEX(입력_인턴근무계획!$M$3:$R$402,$A203,$I$3)&amp;"",FIND(" ",INDEX(입력_인턴근무계획!$M$3:$R$402,$A203,$I$3)&amp;"")+1,60))))</f>
        <v/>
      </c>
      <c r="K203" s="26">
        <f>IF($C203="","",INDEX(입력_인턴근무계획!$M$3:$M$402,$A203)&amp;"")</f>
        <v/>
      </c>
      <c r="L203" s="26">
        <f>IF($C203="","",INDEX(입력_인턴근무계획!$N$3:$N$402,$A203)&amp;"")</f>
        <v/>
      </c>
      <c r="M203" s="26">
        <f>IF($C203="","",INDEX(입력_인턴근무계획!$O$3:$O$402,$A203)&amp;"")</f>
        <v/>
      </c>
      <c r="N203" s="26">
        <f>IF($C203="","",INDEX(입력_인턴근무계획!$P$3:$P$402,$A203)&amp;"")</f>
        <v/>
      </c>
      <c r="O203" s="26">
        <f>IF($C203="","",INDEX(입력_인턴근무계획!$Q$3:$Q$402,$A203)&amp;"")</f>
        <v/>
      </c>
      <c r="P203" s="26">
        <f>IF($C203="","",INDEX(입력_인턴근무계획!$R$3:$R$402,$A203)&amp;"")</f>
        <v/>
      </c>
      <c r="Q203" s="26">
        <f>IF($C203="","",INDEX(입력_인턴근무계획!$T$3:$T$402,$A203))</f>
        <v/>
      </c>
    </row>
    <row r="204">
      <c r="A204" s="29" t="n">
        <v>199</v>
      </c>
      <c r="B204" s="26">
        <f>IF($C204="","",INDEX(입력_인턴근무계획!$B$3:$B$402,$A204))</f>
        <v/>
      </c>
      <c r="C204" s="26">
        <f>IFERROR(TRIM(INDEX(입력_인턴근무계획!$C$3:$C$402,$A204)&amp;""),"")</f>
        <v/>
      </c>
      <c r="D204" s="26">
        <f>IF($C204="","",INDEX(입력_인턴근무계획!$D$3:$D$402,$A204))</f>
        <v/>
      </c>
      <c r="E204" s="26">
        <f>IF($C204="","",IF(IFERROR(MATCH($D204,입력_기본자료!$B$2:$B$1001,0),IFERROR(MATCH($D204&amp;"",입력_기본자료!$B$2:$B$1001,0),IFERROR(MATCH(VALUE($D204),입력_기본자료!$B$2:$B$1001,0),0)))&gt;0,"확인","미등록"))</f>
        <v/>
      </c>
      <c r="F204" s="28">
        <f>IF($C204="","",INDEX(입력_인턴근무계획!$S$3:$S$402,$A204))</f>
        <v/>
      </c>
      <c r="G204" s="26">
        <f>IF(OR($C204="",$G$3=""),"",IF(INDEX(입력_인턴근무계획!$M$3:$R$402,$A204,$G$3)&amp;""="","",IF(LEFT(INDEX(입력_인턴근무계획!$M$3:$R$402,$A204,$G$3)&amp;"",1)="⚠",INDEX(입력_인턴근무계획!$M$3:$R$402,$A204,$G$3)&amp;"",LEFT(INDEX(입력_인턴근무계획!$M$3:$R$402,$A204,$G$3)&amp;"",FIND(" ",INDEX(입력_인턴근무계획!$M$3:$R$402,$A204,$G$3)&amp;"")-1))))</f>
        <v/>
      </c>
      <c r="H204" s="26">
        <f>IF(OR($C204="",$G$3=""),"",IF(INDEX(입력_인턴근무계획!$M$3:$R$402,$A204,$G$3)&amp;""="","",IF(LEFT(INDEX(입력_인턴근무계획!$M$3:$R$402,$A204,$G$3)&amp;"",1)="⚠","",MID(INDEX(입력_인턴근무계획!$M$3:$R$402,$A204,$G$3)&amp;"",FIND(" ",INDEX(입력_인턴근무계획!$M$3:$R$402,$A204,$G$3)&amp;"")+1,60))))</f>
        <v/>
      </c>
      <c r="I204" s="26">
        <f>IF(OR($C204="",$I$3=""),"",IF(INDEX(입력_인턴근무계획!$M$3:$R$402,$A204,$I$3)&amp;""="","",IF(LEFT(INDEX(입력_인턴근무계획!$M$3:$R$402,$A204,$I$3)&amp;"",1)="⚠",INDEX(입력_인턴근무계획!$M$3:$R$402,$A204,$I$3)&amp;"",LEFT(INDEX(입력_인턴근무계획!$M$3:$R$402,$A204,$I$3)&amp;"",FIND(" ",INDEX(입력_인턴근무계획!$M$3:$R$402,$A204,$I$3)&amp;"")-1))))</f>
        <v/>
      </c>
      <c r="J204" s="26">
        <f>IF(OR($C204="",$I$3=""),"",IF(INDEX(입력_인턴근무계획!$M$3:$R$402,$A204,$I$3)&amp;""="","",IF(LEFT(INDEX(입력_인턴근무계획!$M$3:$R$402,$A204,$I$3)&amp;"",1)="⚠","",MID(INDEX(입력_인턴근무계획!$M$3:$R$402,$A204,$I$3)&amp;"",FIND(" ",INDEX(입력_인턴근무계획!$M$3:$R$402,$A204,$I$3)&amp;"")+1,60))))</f>
        <v/>
      </c>
      <c r="K204" s="26">
        <f>IF($C204="","",INDEX(입력_인턴근무계획!$M$3:$M$402,$A204)&amp;"")</f>
        <v/>
      </c>
      <c r="L204" s="26">
        <f>IF($C204="","",INDEX(입력_인턴근무계획!$N$3:$N$402,$A204)&amp;"")</f>
        <v/>
      </c>
      <c r="M204" s="26">
        <f>IF($C204="","",INDEX(입력_인턴근무계획!$O$3:$O$402,$A204)&amp;"")</f>
        <v/>
      </c>
      <c r="N204" s="26">
        <f>IF($C204="","",INDEX(입력_인턴근무계획!$P$3:$P$402,$A204)&amp;"")</f>
        <v/>
      </c>
      <c r="O204" s="26">
        <f>IF($C204="","",INDEX(입력_인턴근무계획!$Q$3:$Q$402,$A204)&amp;"")</f>
        <v/>
      </c>
      <c r="P204" s="26">
        <f>IF($C204="","",INDEX(입력_인턴근무계획!$R$3:$R$402,$A204)&amp;"")</f>
        <v/>
      </c>
      <c r="Q204" s="26">
        <f>IF($C204="","",INDEX(입력_인턴근무계획!$T$3:$T$402,$A204))</f>
        <v/>
      </c>
    </row>
    <row r="205">
      <c r="A205" s="29" t="n">
        <v>200</v>
      </c>
      <c r="B205" s="26">
        <f>IF($C205="","",INDEX(입력_인턴근무계획!$B$3:$B$402,$A205))</f>
        <v/>
      </c>
      <c r="C205" s="26">
        <f>IFERROR(TRIM(INDEX(입력_인턴근무계획!$C$3:$C$402,$A205)&amp;""),"")</f>
        <v/>
      </c>
      <c r="D205" s="26">
        <f>IF($C205="","",INDEX(입력_인턴근무계획!$D$3:$D$402,$A205))</f>
        <v/>
      </c>
      <c r="E205" s="26">
        <f>IF($C205="","",IF(IFERROR(MATCH($D205,입력_기본자료!$B$2:$B$1001,0),IFERROR(MATCH($D205&amp;"",입력_기본자료!$B$2:$B$1001,0),IFERROR(MATCH(VALUE($D205),입력_기본자료!$B$2:$B$1001,0),0)))&gt;0,"확인","미등록"))</f>
        <v/>
      </c>
      <c r="F205" s="28">
        <f>IF($C205="","",INDEX(입력_인턴근무계획!$S$3:$S$402,$A205))</f>
        <v/>
      </c>
      <c r="G205" s="26">
        <f>IF(OR($C205="",$G$3=""),"",IF(INDEX(입력_인턴근무계획!$M$3:$R$402,$A205,$G$3)&amp;""="","",IF(LEFT(INDEX(입력_인턴근무계획!$M$3:$R$402,$A205,$G$3)&amp;"",1)="⚠",INDEX(입력_인턴근무계획!$M$3:$R$402,$A205,$G$3)&amp;"",LEFT(INDEX(입력_인턴근무계획!$M$3:$R$402,$A205,$G$3)&amp;"",FIND(" ",INDEX(입력_인턴근무계획!$M$3:$R$402,$A205,$G$3)&amp;"")-1))))</f>
        <v/>
      </c>
      <c r="H205" s="26">
        <f>IF(OR($C205="",$G$3=""),"",IF(INDEX(입력_인턴근무계획!$M$3:$R$402,$A205,$G$3)&amp;""="","",IF(LEFT(INDEX(입력_인턴근무계획!$M$3:$R$402,$A205,$G$3)&amp;"",1)="⚠","",MID(INDEX(입력_인턴근무계획!$M$3:$R$402,$A205,$G$3)&amp;"",FIND(" ",INDEX(입력_인턴근무계획!$M$3:$R$402,$A205,$G$3)&amp;"")+1,60))))</f>
        <v/>
      </c>
      <c r="I205" s="26">
        <f>IF(OR($C205="",$I$3=""),"",IF(INDEX(입력_인턴근무계획!$M$3:$R$402,$A205,$I$3)&amp;""="","",IF(LEFT(INDEX(입력_인턴근무계획!$M$3:$R$402,$A205,$I$3)&amp;"",1)="⚠",INDEX(입력_인턴근무계획!$M$3:$R$402,$A205,$I$3)&amp;"",LEFT(INDEX(입력_인턴근무계획!$M$3:$R$402,$A205,$I$3)&amp;"",FIND(" ",INDEX(입력_인턴근무계획!$M$3:$R$402,$A205,$I$3)&amp;"")-1))))</f>
        <v/>
      </c>
      <c r="J205" s="26">
        <f>IF(OR($C205="",$I$3=""),"",IF(INDEX(입력_인턴근무계획!$M$3:$R$402,$A205,$I$3)&amp;""="","",IF(LEFT(INDEX(입력_인턴근무계획!$M$3:$R$402,$A205,$I$3)&amp;"",1)="⚠","",MID(INDEX(입력_인턴근무계획!$M$3:$R$402,$A205,$I$3)&amp;"",FIND(" ",INDEX(입력_인턴근무계획!$M$3:$R$402,$A205,$I$3)&amp;"")+1,60))))</f>
        <v/>
      </c>
      <c r="K205" s="26">
        <f>IF($C205="","",INDEX(입력_인턴근무계획!$M$3:$M$402,$A205)&amp;"")</f>
        <v/>
      </c>
      <c r="L205" s="26">
        <f>IF($C205="","",INDEX(입력_인턴근무계획!$N$3:$N$402,$A205)&amp;"")</f>
        <v/>
      </c>
      <c r="M205" s="26">
        <f>IF($C205="","",INDEX(입력_인턴근무계획!$O$3:$O$402,$A205)&amp;"")</f>
        <v/>
      </c>
      <c r="N205" s="26">
        <f>IF($C205="","",INDEX(입력_인턴근무계획!$P$3:$P$402,$A205)&amp;"")</f>
        <v/>
      </c>
      <c r="O205" s="26">
        <f>IF($C205="","",INDEX(입력_인턴근무계획!$Q$3:$Q$402,$A205)&amp;"")</f>
        <v/>
      </c>
      <c r="P205" s="26">
        <f>IF($C205="","",INDEX(입력_인턴근무계획!$R$3:$R$402,$A205)&amp;"")</f>
        <v/>
      </c>
      <c r="Q205" s="26">
        <f>IF($C205="","",INDEX(입력_인턴근무계획!$T$3:$T$402,$A205))</f>
        <v/>
      </c>
    </row>
    <row r="206">
      <c r="A206" s="29" t="n">
        <v>201</v>
      </c>
      <c r="B206" s="26">
        <f>IF($C206="","",INDEX(입력_인턴근무계획!$B$3:$B$402,$A206))</f>
        <v/>
      </c>
      <c r="C206" s="26">
        <f>IFERROR(TRIM(INDEX(입력_인턴근무계획!$C$3:$C$402,$A206)&amp;""),"")</f>
        <v/>
      </c>
      <c r="D206" s="26">
        <f>IF($C206="","",INDEX(입력_인턴근무계획!$D$3:$D$402,$A206))</f>
        <v/>
      </c>
      <c r="E206" s="26">
        <f>IF($C206="","",IF(IFERROR(MATCH($D206,입력_기본자료!$B$2:$B$1001,0),IFERROR(MATCH($D206&amp;"",입력_기본자료!$B$2:$B$1001,0),IFERROR(MATCH(VALUE($D206),입력_기본자료!$B$2:$B$1001,0),0)))&gt;0,"확인","미등록"))</f>
        <v/>
      </c>
      <c r="F206" s="28">
        <f>IF($C206="","",INDEX(입력_인턴근무계획!$S$3:$S$402,$A206))</f>
        <v/>
      </c>
      <c r="G206" s="26">
        <f>IF(OR($C206="",$G$3=""),"",IF(INDEX(입력_인턴근무계획!$M$3:$R$402,$A206,$G$3)&amp;""="","",IF(LEFT(INDEX(입력_인턴근무계획!$M$3:$R$402,$A206,$G$3)&amp;"",1)="⚠",INDEX(입력_인턴근무계획!$M$3:$R$402,$A206,$G$3)&amp;"",LEFT(INDEX(입력_인턴근무계획!$M$3:$R$402,$A206,$G$3)&amp;"",FIND(" ",INDEX(입력_인턴근무계획!$M$3:$R$402,$A206,$G$3)&amp;"")-1))))</f>
        <v/>
      </c>
      <c r="H206" s="26">
        <f>IF(OR($C206="",$G$3=""),"",IF(INDEX(입력_인턴근무계획!$M$3:$R$402,$A206,$G$3)&amp;""="","",IF(LEFT(INDEX(입력_인턴근무계획!$M$3:$R$402,$A206,$G$3)&amp;"",1)="⚠","",MID(INDEX(입력_인턴근무계획!$M$3:$R$402,$A206,$G$3)&amp;"",FIND(" ",INDEX(입력_인턴근무계획!$M$3:$R$402,$A206,$G$3)&amp;"")+1,60))))</f>
        <v/>
      </c>
      <c r="I206" s="26">
        <f>IF(OR($C206="",$I$3=""),"",IF(INDEX(입력_인턴근무계획!$M$3:$R$402,$A206,$I$3)&amp;""="","",IF(LEFT(INDEX(입력_인턴근무계획!$M$3:$R$402,$A206,$I$3)&amp;"",1)="⚠",INDEX(입력_인턴근무계획!$M$3:$R$402,$A206,$I$3)&amp;"",LEFT(INDEX(입력_인턴근무계획!$M$3:$R$402,$A206,$I$3)&amp;"",FIND(" ",INDEX(입력_인턴근무계획!$M$3:$R$402,$A206,$I$3)&amp;"")-1))))</f>
        <v/>
      </c>
      <c r="J206" s="26">
        <f>IF(OR($C206="",$I$3=""),"",IF(INDEX(입력_인턴근무계획!$M$3:$R$402,$A206,$I$3)&amp;""="","",IF(LEFT(INDEX(입력_인턴근무계획!$M$3:$R$402,$A206,$I$3)&amp;"",1)="⚠","",MID(INDEX(입력_인턴근무계획!$M$3:$R$402,$A206,$I$3)&amp;"",FIND(" ",INDEX(입력_인턴근무계획!$M$3:$R$402,$A206,$I$3)&amp;"")+1,60))))</f>
        <v/>
      </c>
      <c r="K206" s="26">
        <f>IF($C206="","",INDEX(입력_인턴근무계획!$M$3:$M$402,$A206)&amp;"")</f>
        <v/>
      </c>
      <c r="L206" s="26">
        <f>IF($C206="","",INDEX(입력_인턴근무계획!$N$3:$N$402,$A206)&amp;"")</f>
        <v/>
      </c>
      <c r="M206" s="26">
        <f>IF($C206="","",INDEX(입력_인턴근무계획!$O$3:$O$402,$A206)&amp;"")</f>
        <v/>
      </c>
      <c r="N206" s="26">
        <f>IF($C206="","",INDEX(입력_인턴근무계획!$P$3:$P$402,$A206)&amp;"")</f>
        <v/>
      </c>
      <c r="O206" s="26">
        <f>IF($C206="","",INDEX(입력_인턴근무계획!$Q$3:$Q$402,$A206)&amp;"")</f>
        <v/>
      </c>
      <c r="P206" s="26">
        <f>IF($C206="","",INDEX(입력_인턴근무계획!$R$3:$R$402,$A206)&amp;"")</f>
        <v/>
      </c>
      <c r="Q206" s="26">
        <f>IF($C206="","",INDEX(입력_인턴근무계획!$T$3:$T$402,$A206))</f>
        <v/>
      </c>
    </row>
    <row r="207">
      <c r="A207" s="29" t="n">
        <v>202</v>
      </c>
      <c r="B207" s="26">
        <f>IF($C207="","",INDEX(입력_인턴근무계획!$B$3:$B$402,$A207))</f>
        <v/>
      </c>
      <c r="C207" s="26">
        <f>IFERROR(TRIM(INDEX(입력_인턴근무계획!$C$3:$C$402,$A207)&amp;""),"")</f>
        <v/>
      </c>
      <c r="D207" s="26">
        <f>IF($C207="","",INDEX(입력_인턴근무계획!$D$3:$D$402,$A207))</f>
        <v/>
      </c>
      <c r="E207" s="26">
        <f>IF($C207="","",IF(IFERROR(MATCH($D207,입력_기본자료!$B$2:$B$1001,0),IFERROR(MATCH($D207&amp;"",입력_기본자료!$B$2:$B$1001,0),IFERROR(MATCH(VALUE($D207),입력_기본자료!$B$2:$B$1001,0),0)))&gt;0,"확인","미등록"))</f>
        <v/>
      </c>
      <c r="F207" s="28">
        <f>IF($C207="","",INDEX(입력_인턴근무계획!$S$3:$S$402,$A207))</f>
        <v/>
      </c>
      <c r="G207" s="26">
        <f>IF(OR($C207="",$G$3=""),"",IF(INDEX(입력_인턴근무계획!$M$3:$R$402,$A207,$G$3)&amp;""="","",IF(LEFT(INDEX(입력_인턴근무계획!$M$3:$R$402,$A207,$G$3)&amp;"",1)="⚠",INDEX(입력_인턴근무계획!$M$3:$R$402,$A207,$G$3)&amp;"",LEFT(INDEX(입력_인턴근무계획!$M$3:$R$402,$A207,$G$3)&amp;"",FIND(" ",INDEX(입력_인턴근무계획!$M$3:$R$402,$A207,$G$3)&amp;"")-1))))</f>
        <v/>
      </c>
      <c r="H207" s="26">
        <f>IF(OR($C207="",$G$3=""),"",IF(INDEX(입력_인턴근무계획!$M$3:$R$402,$A207,$G$3)&amp;""="","",IF(LEFT(INDEX(입력_인턴근무계획!$M$3:$R$402,$A207,$G$3)&amp;"",1)="⚠","",MID(INDEX(입력_인턴근무계획!$M$3:$R$402,$A207,$G$3)&amp;"",FIND(" ",INDEX(입력_인턴근무계획!$M$3:$R$402,$A207,$G$3)&amp;"")+1,60))))</f>
        <v/>
      </c>
      <c r="I207" s="26">
        <f>IF(OR($C207="",$I$3=""),"",IF(INDEX(입력_인턴근무계획!$M$3:$R$402,$A207,$I$3)&amp;""="","",IF(LEFT(INDEX(입력_인턴근무계획!$M$3:$R$402,$A207,$I$3)&amp;"",1)="⚠",INDEX(입력_인턴근무계획!$M$3:$R$402,$A207,$I$3)&amp;"",LEFT(INDEX(입력_인턴근무계획!$M$3:$R$402,$A207,$I$3)&amp;"",FIND(" ",INDEX(입력_인턴근무계획!$M$3:$R$402,$A207,$I$3)&amp;"")-1))))</f>
        <v/>
      </c>
      <c r="J207" s="26">
        <f>IF(OR($C207="",$I$3=""),"",IF(INDEX(입력_인턴근무계획!$M$3:$R$402,$A207,$I$3)&amp;""="","",IF(LEFT(INDEX(입력_인턴근무계획!$M$3:$R$402,$A207,$I$3)&amp;"",1)="⚠","",MID(INDEX(입력_인턴근무계획!$M$3:$R$402,$A207,$I$3)&amp;"",FIND(" ",INDEX(입력_인턴근무계획!$M$3:$R$402,$A207,$I$3)&amp;"")+1,60))))</f>
        <v/>
      </c>
      <c r="K207" s="26">
        <f>IF($C207="","",INDEX(입력_인턴근무계획!$M$3:$M$402,$A207)&amp;"")</f>
        <v/>
      </c>
      <c r="L207" s="26">
        <f>IF($C207="","",INDEX(입력_인턴근무계획!$N$3:$N$402,$A207)&amp;"")</f>
        <v/>
      </c>
      <c r="M207" s="26">
        <f>IF($C207="","",INDEX(입력_인턴근무계획!$O$3:$O$402,$A207)&amp;"")</f>
        <v/>
      </c>
      <c r="N207" s="26">
        <f>IF($C207="","",INDEX(입력_인턴근무계획!$P$3:$P$402,$A207)&amp;"")</f>
        <v/>
      </c>
      <c r="O207" s="26">
        <f>IF($C207="","",INDEX(입력_인턴근무계획!$Q$3:$Q$402,$A207)&amp;"")</f>
        <v/>
      </c>
      <c r="P207" s="26">
        <f>IF($C207="","",INDEX(입력_인턴근무계획!$R$3:$R$402,$A207)&amp;"")</f>
        <v/>
      </c>
      <c r="Q207" s="26">
        <f>IF($C207="","",INDEX(입력_인턴근무계획!$T$3:$T$402,$A207))</f>
        <v/>
      </c>
    </row>
    <row r="208">
      <c r="A208" s="29" t="n">
        <v>203</v>
      </c>
      <c r="B208" s="26">
        <f>IF($C208="","",INDEX(입력_인턴근무계획!$B$3:$B$402,$A208))</f>
        <v/>
      </c>
      <c r="C208" s="26">
        <f>IFERROR(TRIM(INDEX(입력_인턴근무계획!$C$3:$C$402,$A208)&amp;""),"")</f>
        <v/>
      </c>
      <c r="D208" s="26">
        <f>IF($C208="","",INDEX(입력_인턴근무계획!$D$3:$D$402,$A208))</f>
        <v/>
      </c>
      <c r="E208" s="26">
        <f>IF($C208="","",IF(IFERROR(MATCH($D208,입력_기본자료!$B$2:$B$1001,0),IFERROR(MATCH($D208&amp;"",입력_기본자료!$B$2:$B$1001,0),IFERROR(MATCH(VALUE($D208),입력_기본자료!$B$2:$B$1001,0),0)))&gt;0,"확인","미등록"))</f>
        <v/>
      </c>
      <c r="F208" s="28">
        <f>IF($C208="","",INDEX(입력_인턴근무계획!$S$3:$S$402,$A208))</f>
        <v/>
      </c>
      <c r="G208" s="26">
        <f>IF(OR($C208="",$G$3=""),"",IF(INDEX(입력_인턴근무계획!$M$3:$R$402,$A208,$G$3)&amp;""="","",IF(LEFT(INDEX(입력_인턴근무계획!$M$3:$R$402,$A208,$G$3)&amp;"",1)="⚠",INDEX(입력_인턴근무계획!$M$3:$R$402,$A208,$G$3)&amp;"",LEFT(INDEX(입력_인턴근무계획!$M$3:$R$402,$A208,$G$3)&amp;"",FIND(" ",INDEX(입력_인턴근무계획!$M$3:$R$402,$A208,$G$3)&amp;"")-1))))</f>
        <v/>
      </c>
      <c r="H208" s="26">
        <f>IF(OR($C208="",$G$3=""),"",IF(INDEX(입력_인턴근무계획!$M$3:$R$402,$A208,$G$3)&amp;""="","",IF(LEFT(INDEX(입력_인턴근무계획!$M$3:$R$402,$A208,$G$3)&amp;"",1)="⚠","",MID(INDEX(입력_인턴근무계획!$M$3:$R$402,$A208,$G$3)&amp;"",FIND(" ",INDEX(입력_인턴근무계획!$M$3:$R$402,$A208,$G$3)&amp;"")+1,60))))</f>
        <v/>
      </c>
      <c r="I208" s="26">
        <f>IF(OR($C208="",$I$3=""),"",IF(INDEX(입력_인턴근무계획!$M$3:$R$402,$A208,$I$3)&amp;""="","",IF(LEFT(INDEX(입력_인턴근무계획!$M$3:$R$402,$A208,$I$3)&amp;"",1)="⚠",INDEX(입력_인턴근무계획!$M$3:$R$402,$A208,$I$3)&amp;"",LEFT(INDEX(입력_인턴근무계획!$M$3:$R$402,$A208,$I$3)&amp;"",FIND(" ",INDEX(입력_인턴근무계획!$M$3:$R$402,$A208,$I$3)&amp;"")-1))))</f>
        <v/>
      </c>
      <c r="J208" s="26">
        <f>IF(OR($C208="",$I$3=""),"",IF(INDEX(입력_인턴근무계획!$M$3:$R$402,$A208,$I$3)&amp;""="","",IF(LEFT(INDEX(입력_인턴근무계획!$M$3:$R$402,$A208,$I$3)&amp;"",1)="⚠","",MID(INDEX(입력_인턴근무계획!$M$3:$R$402,$A208,$I$3)&amp;"",FIND(" ",INDEX(입력_인턴근무계획!$M$3:$R$402,$A208,$I$3)&amp;"")+1,60))))</f>
        <v/>
      </c>
      <c r="K208" s="26">
        <f>IF($C208="","",INDEX(입력_인턴근무계획!$M$3:$M$402,$A208)&amp;"")</f>
        <v/>
      </c>
      <c r="L208" s="26">
        <f>IF($C208="","",INDEX(입력_인턴근무계획!$N$3:$N$402,$A208)&amp;"")</f>
        <v/>
      </c>
      <c r="M208" s="26">
        <f>IF($C208="","",INDEX(입력_인턴근무계획!$O$3:$O$402,$A208)&amp;"")</f>
        <v/>
      </c>
      <c r="N208" s="26">
        <f>IF($C208="","",INDEX(입력_인턴근무계획!$P$3:$P$402,$A208)&amp;"")</f>
        <v/>
      </c>
      <c r="O208" s="26">
        <f>IF($C208="","",INDEX(입력_인턴근무계획!$Q$3:$Q$402,$A208)&amp;"")</f>
        <v/>
      </c>
      <c r="P208" s="26">
        <f>IF($C208="","",INDEX(입력_인턴근무계획!$R$3:$R$402,$A208)&amp;"")</f>
        <v/>
      </c>
      <c r="Q208" s="26">
        <f>IF($C208="","",INDEX(입력_인턴근무계획!$T$3:$T$402,$A208))</f>
        <v/>
      </c>
    </row>
    <row r="209">
      <c r="A209" s="29" t="n">
        <v>204</v>
      </c>
      <c r="B209" s="26">
        <f>IF($C209="","",INDEX(입력_인턴근무계획!$B$3:$B$402,$A209))</f>
        <v/>
      </c>
      <c r="C209" s="26">
        <f>IFERROR(TRIM(INDEX(입력_인턴근무계획!$C$3:$C$402,$A209)&amp;""),"")</f>
        <v/>
      </c>
      <c r="D209" s="26">
        <f>IF($C209="","",INDEX(입력_인턴근무계획!$D$3:$D$402,$A209))</f>
        <v/>
      </c>
      <c r="E209" s="26">
        <f>IF($C209="","",IF(IFERROR(MATCH($D209,입력_기본자료!$B$2:$B$1001,0),IFERROR(MATCH($D209&amp;"",입력_기본자료!$B$2:$B$1001,0),IFERROR(MATCH(VALUE($D209),입력_기본자료!$B$2:$B$1001,0),0)))&gt;0,"확인","미등록"))</f>
        <v/>
      </c>
      <c r="F209" s="28">
        <f>IF($C209="","",INDEX(입력_인턴근무계획!$S$3:$S$402,$A209))</f>
        <v/>
      </c>
      <c r="G209" s="26">
        <f>IF(OR($C209="",$G$3=""),"",IF(INDEX(입력_인턴근무계획!$M$3:$R$402,$A209,$G$3)&amp;""="","",IF(LEFT(INDEX(입력_인턴근무계획!$M$3:$R$402,$A209,$G$3)&amp;"",1)="⚠",INDEX(입력_인턴근무계획!$M$3:$R$402,$A209,$G$3)&amp;"",LEFT(INDEX(입력_인턴근무계획!$M$3:$R$402,$A209,$G$3)&amp;"",FIND(" ",INDEX(입력_인턴근무계획!$M$3:$R$402,$A209,$G$3)&amp;"")-1))))</f>
        <v/>
      </c>
      <c r="H209" s="26">
        <f>IF(OR($C209="",$G$3=""),"",IF(INDEX(입력_인턴근무계획!$M$3:$R$402,$A209,$G$3)&amp;""="","",IF(LEFT(INDEX(입력_인턴근무계획!$M$3:$R$402,$A209,$G$3)&amp;"",1)="⚠","",MID(INDEX(입력_인턴근무계획!$M$3:$R$402,$A209,$G$3)&amp;"",FIND(" ",INDEX(입력_인턴근무계획!$M$3:$R$402,$A209,$G$3)&amp;"")+1,60))))</f>
        <v/>
      </c>
      <c r="I209" s="26">
        <f>IF(OR($C209="",$I$3=""),"",IF(INDEX(입력_인턴근무계획!$M$3:$R$402,$A209,$I$3)&amp;""="","",IF(LEFT(INDEX(입력_인턴근무계획!$M$3:$R$402,$A209,$I$3)&amp;"",1)="⚠",INDEX(입력_인턴근무계획!$M$3:$R$402,$A209,$I$3)&amp;"",LEFT(INDEX(입력_인턴근무계획!$M$3:$R$402,$A209,$I$3)&amp;"",FIND(" ",INDEX(입력_인턴근무계획!$M$3:$R$402,$A209,$I$3)&amp;"")-1))))</f>
        <v/>
      </c>
      <c r="J209" s="26">
        <f>IF(OR($C209="",$I$3=""),"",IF(INDEX(입력_인턴근무계획!$M$3:$R$402,$A209,$I$3)&amp;""="","",IF(LEFT(INDEX(입력_인턴근무계획!$M$3:$R$402,$A209,$I$3)&amp;"",1)="⚠","",MID(INDEX(입력_인턴근무계획!$M$3:$R$402,$A209,$I$3)&amp;"",FIND(" ",INDEX(입력_인턴근무계획!$M$3:$R$402,$A209,$I$3)&amp;"")+1,60))))</f>
        <v/>
      </c>
      <c r="K209" s="26">
        <f>IF($C209="","",INDEX(입력_인턴근무계획!$M$3:$M$402,$A209)&amp;"")</f>
        <v/>
      </c>
      <c r="L209" s="26">
        <f>IF($C209="","",INDEX(입력_인턴근무계획!$N$3:$N$402,$A209)&amp;"")</f>
        <v/>
      </c>
      <c r="M209" s="26">
        <f>IF($C209="","",INDEX(입력_인턴근무계획!$O$3:$O$402,$A209)&amp;"")</f>
        <v/>
      </c>
      <c r="N209" s="26">
        <f>IF($C209="","",INDEX(입력_인턴근무계획!$P$3:$P$402,$A209)&amp;"")</f>
        <v/>
      </c>
      <c r="O209" s="26">
        <f>IF($C209="","",INDEX(입력_인턴근무계획!$Q$3:$Q$402,$A209)&amp;"")</f>
        <v/>
      </c>
      <c r="P209" s="26">
        <f>IF($C209="","",INDEX(입력_인턴근무계획!$R$3:$R$402,$A209)&amp;"")</f>
        <v/>
      </c>
      <c r="Q209" s="26">
        <f>IF($C209="","",INDEX(입력_인턴근무계획!$T$3:$T$402,$A209))</f>
        <v/>
      </c>
    </row>
    <row r="210">
      <c r="A210" s="29" t="n">
        <v>205</v>
      </c>
      <c r="B210" s="26">
        <f>IF($C210="","",INDEX(입력_인턴근무계획!$B$3:$B$402,$A210))</f>
        <v/>
      </c>
      <c r="C210" s="26">
        <f>IFERROR(TRIM(INDEX(입력_인턴근무계획!$C$3:$C$402,$A210)&amp;""),"")</f>
        <v/>
      </c>
      <c r="D210" s="26">
        <f>IF($C210="","",INDEX(입력_인턴근무계획!$D$3:$D$402,$A210))</f>
        <v/>
      </c>
      <c r="E210" s="26">
        <f>IF($C210="","",IF(IFERROR(MATCH($D210,입력_기본자료!$B$2:$B$1001,0),IFERROR(MATCH($D210&amp;"",입력_기본자료!$B$2:$B$1001,0),IFERROR(MATCH(VALUE($D210),입력_기본자료!$B$2:$B$1001,0),0)))&gt;0,"확인","미등록"))</f>
        <v/>
      </c>
      <c r="F210" s="28">
        <f>IF($C210="","",INDEX(입력_인턴근무계획!$S$3:$S$402,$A210))</f>
        <v/>
      </c>
      <c r="G210" s="26">
        <f>IF(OR($C210="",$G$3=""),"",IF(INDEX(입력_인턴근무계획!$M$3:$R$402,$A210,$G$3)&amp;""="","",IF(LEFT(INDEX(입력_인턴근무계획!$M$3:$R$402,$A210,$G$3)&amp;"",1)="⚠",INDEX(입력_인턴근무계획!$M$3:$R$402,$A210,$G$3)&amp;"",LEFT(INDEX(입력_인턴근무계획!$M$3:$R$402,$A210,$G$3)&amp;"",FIND(" ",INDEX(입력_인턴근무계획!$M$3:$R$402,$A210,$G$3)&amp;"")-1))))</f>
        <v/>
      </c>
      <c r="H210" s="26">
        <f>IF(OR($C210="",$G$3=""),"",IF(INDEX(입력_인턴근무계획!$M$3:$R$402,$A210,$G$3)&amp;""="","",IF(LEFT(INDEX(입력_인턴근무계획!$M$3:$R$402,$A210,$G$3)&amp;"",1)="⚠","",MID(INDEX(입력_인턴근무계획!$M$3:$R$402,$A210,$G$3)&amp;"",FIND(" ",INDEX(입력_인턴근무계획!$M$3:$R$402,$A210,$G$3)&amp;"")+1,60))))</f>
        <v/>
      </c>
      <c r="I210" s="26">
        <f>IF(OR($C210="",$I$3=""),"",IF(INDEX(입력_인턴근무계획!$M$3:$R$402,$A210,$I$3)&amp;""="","",IF(LEFT(INDEX(입력_인턴근무계획!$M$3:$R$402,$A210,$I$3)&amp;"",1)="⚠",INDEX(입력_인턴근무계획!$M$3:$R$402,$A210,$I$3)&amp;"",LEFT(INDEX(입력_인턴근무계획!$M$3:$R$402,$A210,$I$3)&amp;"",FIND(" ",INDEX(입력_인턴근무계획!$M$3:$R$402,$A210,$I$3)&amp;"")-1))))</f>
        <v/>
      </c>
      <c r="J210" s="26">
        <f>IF(OR($C210="",$I$3=""),"",IF(INDEX(입력_인턴근무계획!$M$3:$R$402,$A210,$I$3)&amp;""="","",IF(LEFT(INDEX(입력_인턴근무계획!$M$3:$R$402,$A210,$I$3)&amp;"",1)="⚠","",MID(INDEX(입력_인턴근무계획!$M$3:$R$402,$A210,$I$3)&amp;"",FIND(" ",INDEX(입력_인턴근무계획!$M$3:$R$402,$A210,$I$3)&amp;"")+1,60))))</f>
        <v/>
      </c>
      <c r="K210" s="26">
        <f>IF($C210="","",INDEX(입력_인턴근무계획!$M$3:$M$402,$A210)&amp;"")</f>
        <v/>
      </c>
      <c r="L210" s="26">
        <f>IF($C210="","",INDEX(입력_인턴근무계획!$N$3:$N$402,$A210)&amp;"")</f>
        <v/>
      </c>
      <c r="M210" s="26">
        <f>IF($C210="","",INDEX(입력_인턴근무계획!$O$3:$O$402,$A210)&amp;"")</f>
        <v/>
      </c>
      <c r="N210" s="26">
        <f>IF($C210="","",INDEX(입력_인턴근무계획!$P$3:$P$402,$A210)&amp;"")</f>
        <v/>
      </c>
      <c r="O210" s="26">
        <f>IF($C210="","",INDEX(입력_인턴근무계획!$Q$3:$Q$402,$A210)&amp;"")</f>
        <v/>
      </c>
      <c r="P210" s="26">
        <f>IF($C210="","",INDEX(입력_인턴근무계획!$R$3:$R$402,$A210)&amp;"")</f>
        <v/>
      </c>
      <c r="Q210" s="26">
        <f>IF($C210="","",INDEX(입력_인턴근무계획!$T$3:$T$402,$A210))</f>
        <v/>
      </c>
    </row>
    <row r="211">
      <c r="A211" s="29" t="n">
        <v>206</v>
      </c>
      <c r="B211" s="26">
        <f>IF($C211="","",INDEX(입력_인턴근무계획!$B$3:$B$402,$A211))</f>
        <v/>
      </c>
      <c r="C211" s="26">
        <f>IFERROR(TRIM(INDEX(입력_인턴근무계획!$C$3:$C$402,$A211)&amp;""),"")</f>
        <v/>
      </c>
      <c r="D211" s="26">
        <f>IF($C211="","",INDEX(입력_인턴근무계획!$D$3:$D$402,$A211))</f>
        <v/>
      </c>
      <c r="E211" s="26">
        <f>IF($C211="","",IF(IFERROR(MATCH($D211,입력_기본자료!$B$2:$B$1001,0),IFERROR(MATCH($D211&amp;"",입력_기본자료!$B$2:$B$1001,0),IFERROR(MATCH(VALUE($D211),입력_기본자료!$B$2:$B$1001,0),0)))&gt;0,"확인","미등록"))</f>
        <v/>
      </c>
      <c r="F211" s="28">
        <f>IF($C211="","",INDEX(입력_인턴근무계획!$S$3:$S$402,$A211))</f>
        <v/>
      </c>
      <c r="G211" s="26">
        <f>IF(OR($C211="",$G$3=""),"",IF(INDEX(입력_인턴근무계획!$M$3:$R$402,$A211,$G$3)&amp;""="","",IF(LEFT(INDEX(입력_인턴근무계획!$M$3:$R$402,$A211,$G$3)&amp;"",1)="⚠",INDEX(입력_인턴근무계획!$M$3:$R$402,$A211,$G$3)&amp;"",LEFT(INDEX(입력_인턴근무계획!$M$3:$R$402,$A211,$G$3)&amp;"",FIND(" ",INDEX(입력_인턴근무계획!$M$3:$R$402,$A211,$G$3)&amp;"")-1))))</f>
        <v/>
      </c>
      <c r="H211" s="26">
        <f>IF(OR($C211="",$G$3=""),"",IF(INDEX(입력_인턴근무계획!$M$3:$R$402,$A211,$G$3)&amp;""="","",IF(LEFT(INDEX(입력_인턴근무계획!$M$3:$R$402,$A211,$G$3)&amp;"",1)="⚠","",MID(INDEX(입력_인턴근무계획!$M$3:$R$402,$A211,$G$3)&amp;"",FIND(" ",INDEX(입력_인턴근무계획!$M$3:$R$402,$A211,$G$3)&amp;"")+1,60))))</f>
        <v/>
      </c>
      <c r="I211" s="26">
        <f>IF(OR($C211="",$I$3=""),"",IF(INDEX(입력_인턴근무계획!$M$3:$R$402,$A211,$I$3)&amp;""="","",IF(LEFT(INDEX(입력_인턴근무계획!$M$3:$R$402,$A211,$I$3)&amp;"",1)="⚠",INDEX(입력_인턴근무계획!$M$3:$R$402,$A211,$I$3)&amp;"",LEFT(INDEX(입력_인턴근무계획!$M$3:$R$402,$A211,$I$3)&amp;"",FIND(" ",INDEX(입력_인턴근무계획!$M$3:$R$402,$A211,$I$3)&amp;"")-1))))</f>
        <v/>
      </c>
      <c r="J211" s="26">
        <f>IF(OR($C211="",$I$3=""),"",IF(INDEX(입력_인턴근무계획!$M$3:$R$402,$A211,$I$3)&amp;""="","",IF(LEFT(INDEX(입력_인턴근무계획!$M$3:$R$402,$A211,$I$3)&amp;"",1)="⚠","",MID(INDEX(입력_인턴근무계획!$M$3:$R$402,$A211,$I$3)&amp;"",FIND(" ",INDEX(입력_인턴근무계획!$M$3:$R$402,$A211,$I$3)&amp;"")+1,60))))</f>
        <v/>
      </c>
      <c r="K211" s="26">
        <f>IF($C211="","",INDEX(입력_인턴근무계획!$M$3:$M$402,$A211)&amp;"")</f>
        <v/>
      </c>
      <c r="L211" s="26">
        <f>IF($C211="","",INDEX(입력_인턴근무계획!$N$3:$N$402,$A211)&amp;"")</f>
        <v/>
      </c>
      <c r="M211" s="26">
        <f>IF($C211="","",INDEX(입력_인턴근무계획!$O$3:$O$402,$A211)&amp;"")</f>
        <v/>
      </c>
      <c r="N211" s="26">
        <f>IF($C211="","",INDEX(입력_인턴근무계획!$P$3:$P$402,$A211)&amp;"")</f>
        <v/>
      </c>
      <c r="O211" s="26">
        <f>IF($C211="","",INDEX(입력_인턴근무계획!$Q$3:$Q$402,$A211)&amp;"")</f>
        <v/>
      </c>
      <c r="P211" s="26">
        <f>IF($C211="","",INDEX(입력_인턴근무계획!$R$3:$R$402,$A211)&amp;"")</f>
        <v/>
      </c>
      <c r="Q211" s="26">
        <f>IF($C211="","",INDEX(입력_인턴근무계획!$T$3:$T$402,$A211))</f>
        <v/>
      </c>
    </row>
    <row r="212">
      <c r="A212" s="29" t="n">
        <v>207</v>
      </c>
      <c r="B212" s="26">
        <f>IF($C212="","",INDEX(입력_인턴근무계획!$B$3:$B$402,$A212))</f>
        <v/>
      </c>
      <c r="C212" s="26">
        <f>IFERROR(TRIM(INDEX(입력_인턴근무계획!$C$3:$C$402,$A212)&amp;""),"")</f>
        <v/>
      </c>
      <c r="D212" s="26">
        <f>IF($C212="","",INDEX(입력_인턴근무계획!$D$3:$D$402,$A212))</f>
        <v/>
      </c>
      <c r="E212" s="26">
        <f>IF($C212="","",IF(IFERROR(MATCH($D212,입력_기본자료!$B$2:$B$1001,0),IFERROR(MATCH($D212&amp;"",입력_기본자료!$B$2:$B$1001,0),IFERROR(MATCH(VALUE($D212),입력_기본자료!$B$2:$B$1001,0),0)))&gt;0,"확인","미등록"))</f>
        <v/>
      </c>
      <c r="F212" s="28">
        <f>IF($C212="","",INDEX(입력_인턴근무계획!$S$3:$S$402,$A212))</f>
        <v/>
      </c>
      <c r="G212" s="26">
        <f>IF(OR($C212="",$G$3=""),"",IF(INDEX(입력_인턴근무계획!$M$3:$R$402,$A212,$G$3)&amp;""="","",IF(LEFT(INDEX(입력_인턴근무계획!$M$3:$R$402,$A212,$G$3)&amp;"",1)="⚠",INDEX(입력_인턴근무계획!$M$3:$R$402,$A212,$G$3)&amp;"",LEFT(INDEX(입력_인턴근무계획!$M$3:$R$402,$A212,$G$3)&amp;"",FIND(" ",INDEX(입력_인턴근무계획!$M$3:$R$402,$A212,$G$3)&amp;"")-1))))</f>
        <v/>
      </c>
      <c r="H212" s="26">
        <f>IF(OR($C212="",$G$3=""),"",IF(INDEX(입력_인턴근무계획!$M$3:$R$402,$A212,$G$3)&amp;""="","",IF(LEFT(INDEX(입력_인턴근무계획!$M$3:$R$402,$A212,$G$3)&amp;"",1)="⚠","",MID(INDEX(입력_인턴근무계획!$M$3:$R$402,$A212,$G$3)&amp;"",FIND(" ",INDEX(입력_인턴근무계획!$M$3:$R$402,$A212,$G$3)&amp;"")+1,60))))</f>
        <v/>
      </c>
      <c r="I212" s="26">
        <f>IF(OR($C212="",$I$3=""),"",IF(INDEX(입력_인턴근무계획!$M$3:$R$402,$A212,$I$3)&amp;""="","",IF(LEFT(INDEX(입력_인턴근무계획!$M$3:$R$402,$A212,$I$3)&amp;"",1)="⚠",INDEX(입력_인턴근무계획!$M$3:$R$402,$A212,$I$3)&amp;"",LEFT(INDEX(입력_인턴근무계획!$M$3:$R$402,$A212,$I$3)&amp;"",FIND(" ",INDEX(입력_인턴근무계획!$M$3:$R$402,$A212,$I$3)&amp;"")-1))))</f>
        <v/>
      </c>
      <c r="J212" s="26">
        <f>IF(OR($C212="",$I$3=""),"",IF(INDEX(입력_인턴근무계획!$M$3:$R$402,$A212,$I$3)&amp;""="","",IF(LEFT(INDEX(입력_인턴근무계획!$M$3:$R$402,$A212,$I$3)&amp;"",1)="⚠","",MID(INDEX(입력_인턴근무계획!$M$3:$R$402,$A212,$I$3)&amp;"",FIND(" ",INDEX(입력_인턴근무계획!$M$3:$R$402,$A212,$I$3)&amp;"")+1,60))))</f>
        <v/>
      </c>
      <c r="K212" s="26">
        <f>IF($C212="","",INDEX(입력_인턴근무계획!$M$3:$M$402,$A212)&amp;"")</f>
        <v/>
      </c>
      <c r="L212" s="26">
        <f>IF($C212="","",INDEX(입력_인턴근무계획!$N$3:$N$402,$A212)&amp;"")</f>
        <v/>
      </c>
      <c r="M212" s="26">
        <f>IF($C212="","",INDEX(입력_인턴근무계획!$O$3:$O$402,$A212)&amp;"")</f>
        <v/>
      </c>
      <c r="N212" s="26">
        <f>IF($C212="","",INDEX(입력_인턴근무계획!$P$3:$P$402,$A212)&amp;"")</f>
        <v/>
      </c>
      <c r="O212" s="26">
        <f>IF($C212="","",INDEX(입력_인턴근무계획!$Q$3:$Q$402,$A212)&amp;"")</f>
        <v/>
      </c>
      <c r="P212" s="26">
        <f>IF($C212="","",INDEX(입력_인턴근무계획!$R$3:$R$402,$A212)&amp;"")</f>
        <v/>
      </c>
      <c r="Q212" s="26">
        <f>IF($C212="","",INDEX(입력_인턴근무계획!$T$3:$T$402,$A212))</f>
        <v/>
      </c>
    </row>
    <row r="213">
      <c r="A213" s="29" t="n">
        <v>208</v>
      </c>
      <c r="B213" s="26">
        <f>IF($C213="","",INDEX(입력_인턴근무계획!$B$3:$B$402,$A213))</f>
        <v/>
      </c>
      <c r="C213" s="26">
        <f>IFERROR(TRIM(INDEX(입력_인턴근무계획!$C$3:$C$402,$A213)&amp;""),"")</f>
        <v/>
      </c>
      <c r="D213" s="26">
        <f>IF($C213="","",INDEX(입력_인턴근무계획!$D$3:$D$402,$A213))</f>
        <v/>
      </c>
      <c r="E213" s="26">
        <f>IF($C213="","",IF(IFERROR(MATCH($D213,입력_기본자료!$B$2:$B$1001,0),IFERROR(MATCH($D213&amp;"",입력_기본자료!$B$2:$B$1001,0),IFERROR(MATCH(VALUE($D213),입력_기본자료!$B$2:$B$1001,0),0)))&gt;0,"확인","미등록"))</f>
        <v/>
      </c>
      <c r="F213" s="28">
        <f>IF($C213="","",INDEX(입력_인턴근무계획!$S$3:$S$402,$A213))</f>
        <v/>
      </c>
      <c r="G213" s="26">
        <f>IF(OR($C213="",$G$3=""),"",IF(INDEX(입력_인턴근무계획!$M$3:$R$402,$A213,$G$3)&amp;""="","",IF(LEFT(INDEX(입력_인턴근무계획!$M$3:$R$402,$A213,$G$3)&amp;"",1)="⚠",INDEX(입력_인턴근무계획!$M$3:$R$402,$A213,$G$3)&amp;"",LEFT(INDEX(입력_인턴근무계획!$M$3:$R$402,$A213,$G$3)&amp;"",FIND(" ",INDEX(입력_인턴근무계획!$M$3:$R$402,$A213,$G$3)&amp;"")-1))))</f>
        <v/>
      </c>
      <c r="H213" s="26">
        <f>IF(OR($C213="",$G$3=""),"",IF(INDEX(입력_인턴근무계획!$M$3:$R$402,$A213,$G$3)&amp;""="","",IF(LEFT(INDEX(입력_인턴근무계획!$M$3:$R$402,$A213,$G$3)&amp;"",1)="⚠","",MID(INDEX(입력_인턴근무계획!$M$3:$R$402,$A213,$G$3)&amp;"",FIND(" ",INDEX(입력_인턴근무계획!$M$3:$R$402,$A213,$G$3)&amp;"")+1,60))))</f>
        <v/>
      </c>
      <c r="I213" s="26">
        <f>IF(OR($C213="",$I$3=""),"",IF(INDEX(입력_인턴근무계획!$M$3:$R$402,$A213,$I$3)&amp;""="","",IF(LEFT(INDEX(입력_인턴근무계획!$M$3:$R$402,$A213,$I$3)&amp;"",1)="⚠",INDEX(입력_인턴근무계획!$M$3:$R$402,$A213,$I$3)&amp;"",LEFT(INDEX(입력_인턴근무계획!$M$3:$R$402,$A213,$I$3)&amp;"",FIND(" ",INDEX(입력_인턴근무계획!$M$3:$R$402,$A213,$I$3)&amp;"")-1))))</f>
        <v/>
      </c>
      <c r="J213" s="26">
        <f>IF(OR($C213="",$I$3=""),"",IF(INDEX(입력_인턴근무계획!$M$3:$R$402,$A213,$I$3)&amp;""="","",IF(LEFT(INDEX(입력_인턴근무계획!$M$3:$R$402,$A213,$I$3)&amp;"",1)="⚠","",MID(INDEX(입력_인턴근무계획!$M$3:$R$402,$A213,$I$3)&amp;"",FIND(" ",INDEX(입력_인턴근무계획!$M$3:$R$402,$A213,$I$3)&amp;"")+1,60))))</f>
        <v/>
      </c>
      <c r="K213" s="26">
        <f>IF($C213="","",INDEX(입력_인턴근무계획!$M$3:$M$402,$A213)&amp;"")</f>
        <v/>
      </c>
      <c r="L213" s="26">
        <f>IF($C213="","",INDEX(입력_인턴근무계획!$N$3:$N$402,$A213)&amp;"")</f>
        <v/>
      </c>
      <c r="M213" s="26">
        <f>IF($C213="","",INDEX(입력_인턴근무계획!$O$3:$O$402,$A213)&amp;"")</f>
        <v/>
      </c>
      <c r="N213" s="26">
        <f>IF($C213="","",INDEX(입력_인턴근무계획!$P$3:$P$402,$A213)&amp;"")</f>
        <v/>
      </c>
      <c r="O213" s="26">
        <f>IF($C213="","",INDEX(입력_인턴근무계획!$Q$3:$Q$402,$A213)&amp;"")</f>
        <v/>
      </c>
      <c r="P213" s="26">
        <f>IF($C213="","",INDEX(입력_인턴근무계획!$R$3:$R$402,$A213)&amp;"")</f>
        <v/>
      </c>
      <c r="Q213" s="26">
        <f>IF($C213="","",INDEX(입력_인턴근무계획!$T$3:$T$402,$A213))</f>
        <v/>
      </c>
    </row>
    <row r="214">
      <c r="A214" s="29" t="n">
        <v>209</v>
      </c>
      <c r="B214" s="26">
        <f>IF($C214="","",INDEX(입력_인턴근무계획!$B$3:$B$402,$A214))</f>
        <v/>
      </c>
      <c r="C214" s="26">
        <f>IFERROR(TRIM(INDEX(입력_인턴근무계획!$C$3:$C$402,$A214)&amp;""),"")</f>
        <v/>
      </c>
      <c r="D214" s="26">
        <f>IF($C214="","",INDEX(입력_인턴근무계획!$D$3:$D$402,$A214))</f>
        <v/>
      </c>
      <c r="E214" s="26">
        <f>IF($C214="","",IF(IFERROR(MATCH($D214,입력_기본자료!$B$2:$B$1001,0),IFERROR(MATCH($D214&amp;"",입력_기본자료!$B$2:$B$1001,0),IFERROR(MATCH(VALUE($D214),입력_기본자료!$B$2:$B$1001,0),0)))&gt;0,"확인","미등록"))</f>
        <v/>
      </c>
      <c r="F214" s="28">
        <f>IF($C214="","",INDEX(입력_인턴근무계획!$S$3:$S$402,$A214))</f>
        <v/>
      </c>
      <c r="G214" s="26">
        <f>IF(OR($C214="",$G$3=""),"",IF(INDEX(입력_인턴근무계획!$M$3:$R$402,$A214,$G$3)&amp;""="","",IF(LEFT(INDEX(입력_인턴근무계획!$M$3:$R$402,$A214,$G$3)&amp;"",1)="⚠",INDEX(입력_인턴근무계획!$M$3:$R$402,$A214,$G$3)&amp;"",LEFT(INDEX(입력_인턴근무계획!$M$3:$R$402,$A214,$G$3)&amp;"",FIND(" ",INDEX(입력_인턴근무계획!$M$3:$R$402,$A214,$G$3)&amp;"")-1))))</f>
        <v/>
      </c>
      <c r="H214" s="26">
        <f>IF(OR($C214="",$G$3=""),"",IF(INDEX(입력_인턴근무계획!$M$3:$R$402,$A214,$G$3)&amp;""="","",IF(LEFT(INDEX(입력_인턴근무계획!$M$3:$R$402,$A214,$G$3)&amp;"",1)="⚠","",MID(INDEX(입력_인턴근무계획!$M$3:$R$402,$A214,$G$3)&amp;"",FIND(" ",INDEX(입력_인턴근무계획!$M$3:$R$402,$A214,$G$3)&amp;"")+1,60))))</f>
        <v/>
      </c>
      <c r="I214" s="26">
        <f>IF(OR($C214="",$I$3=""),"",IF(INDEX(입력_인턴근무계획!$M$3:$R$402,$A214,$I$3)&amp;""="","",IF(LEFT(INDEX(입력_인턴근무계획!$M$3:$R$402,$A214,$I$3)&amp;"",1)="⚠",INDEX(입력_인턴근무계획!$M$3:$R$402,$A214,$I$3)&amp;"",LEFT(INDEX(입력_인턴근무계획!$M$3:$R$402,$A214,$I$3)&amp;"",FIND(" ",INDEX(입력_인턴근무계획!$M$3:$R$402,$A214,$I$3)&amp;"")-1))))</f>
        <v/>
      </c>
      <c r="J214" s="26">
        <f>IF(OR($C214="",$I$3=""),"",IF(INDEX(입력_인턴근무계획!$M$3:$R$402,$A214,$I$3)&amp;""="","",IF(LEFT(INDEX(입력_인턴근무계획!$M$3:$R$402,$A214,$I$3)&amp;"",1)="⚠","",MID(INDEX(입력_인턴근무계획!$M$3:$R$402,$A214,$I$3)&amp;"",FIND(" ",INDEX(입력_인턴근무계획!$M$3:$R$402,$A214,$I$3)&amp;"")+1,60))))</f>
        <v/>
      </c>
      <c r="K214" s="26">
        <f>IF($C214="","",INDEX(입력_인턴근무계획!$M$3:$M$402,$A214)&amp;"")</f>
        <v/>
      </c>
      <c r="L214" s="26">
        <f>IF($C214="","",INDEX(입력_인턴근무계획!$N$3:$N$402,$A214)&amp;"")</f>
        <v/>
      </c>
      <c r="M214" s="26">
        <f>IF($C214="","",INDEX(입력_인턴근무계획!$O$3:$O$402,$A214)&amp;"")</f>
        <v/>
      </c>
      <c r="N214" s="26">
        <f>IF($C214="","",INDEX(입력_인턴근무계획!$P$3:$P$402,$A214)&amp;"")</f>
        <v/>
      </c>
      <c r="O214" s="26">
        <f>IF($C214="","",INDEX(입력_인턴근무계획!$Q$3:$Q$402,$A214)&amp;"")</f>
        <v/>
      </c>
      <c r="P214" s="26">
        <f>IF($C214="","",INDEX(입력_인턴근무계획!$R$3:$R$402,$A214)&amp;"")</f>
        <v/>
      </c>
      <c r="Q214" s="26">
        <f>IF($C214="","",INDEX(입력_인턴근무계획!$T$3:$T$402,$A214))</f>
        <v/>
      </c>
    </row>
    <row r="215">
      <c r="A215" s="29" t="n">
        <v>210</v>
      </c>
      <c r="B215" s="26">
        <f>IF($C215="","",INDEX(입력_인턴근무계획!$B$3:$B$402,$A215))</f>
        <v/>
      </c>
      <c r="C215" s="26">
        <f>IFERROR(TRIM(INDEX(입력_인턴근무계획!$C$3:$C$402,$A215)&amp;""),"")</f>
        <v/>
      </c>
      <c r="D215" s="26">
        <f>IF($C215="","",INDEX(입력_인턴근무계획!$D$3:$D$402,$A215))</f>
        <v/>
      </c>
      <c r="E215" s="26">
        <f>IF($C215="","",IF(IFERROR(MATCH($D215,입력_기본자료!$B$2:$B$1001,0),IFERROR(MATCH($D215&amp;"",입력_기본자료!$B$2:$B$1001,0),IFERROR(MATCH(VALUE($D215),입력_기본자료!$B$2:$B$1001,0),0)))&gt;0,"확인","미등록"))</f>
        <v/>
      </c>
      <c r="F215" s="28">
        <f>IF($C215="","",INDEX(입력_인턴근무계획!$S$3:$S$402,$A215))</f>
        <v/>
      </c>
      <c r="G215" s="26">
        <f>IF(OR($C215="",$G$3=""),"",IF(INDEX(입력_인턴근무계획!$M$3:$R$402,$A215,$G$3)&amp;""="","",IF(LEFT(INDEX(입력_인턴근무계획!$M$3:$R$402,$A215,$G$3)&amp;"",1)="⚠",INDEX(입력_인턴근무계획!$M$3:$R$402,$A215,$G$3)&amp;"",LEFT(INDEX(입력_인턴근무계획!$M$3:$R$402,$A215,$G$3)&amp;"",FIND(" ",INDEX(입력_인턴근무계획!$M$3:$R$402,$A215,$G$3)&amp;"")-1))))</f>
        <v/>
      </c>
      <c r="H215" s="26">
        <f>IF(OR($C215="",$G$3=""),"",IF(INDEX(입력_인턴근무계획!$M$3:$R$402,$A215,$G$3)&amp;""="","",IF(LEFT(INDEX(입력_인턴근무계획!$M$3:$R$402,$A215,$G$3)&amp;"",1)="⚠","",MID(INDEX(입력_인턴근무계획!$M$3:$R$402,$A215,$G$3)&amp;"",FIND(" ",INDEX(입력_인턴근무계획!$M$3:$R$402,$A215,$G$3)&amp;"")+1,60))))</f>
        <v/>
      </c>
      <c r="I215" s="26">
        <f>IF(OR($C215="",$I$3=""),"",IF(INDEX(입력_인턴근무계획!$M$3:$R$402,$A215,$I$3)&amp;""="","",IF(LEFT(INDEX(입력_인턴근무계획!$M$3:$R$402,$A215,$I$3)&amp;"",1)="⚠",INDEX(입력_인턴근무계획!$M$3:$R$402,$A215,$I$3)&amp;"",LEFT(INDEX(입력_인턴근무계획!$M$3:$R$402,$A215,$I$3)&amp;"",FIND(" ",INDEX(입력_인턴근무계획!$M$3:$R$402,$A215,$I$3)&amp;"")-1))))</f>
        <v/>
      </c>
      <c r="J215" s="26">
        <f>IF(OR($C215="",$I$3=""),"",IF(INDEX(입력_인턴근무계획!$M$3:$R$402,$A215,$I$3)&amp;""="","",IF(LEFT(INDEX(입력_인턴근무계획!$M$3:$R$402,$A215,$I$3)&amp;"",1)="⚠","",MID(INDEX(입력_인턴근무계획!$M$3:$R$402,$A215,$I$3)&amp;"",FIND(" ",INDEX(입력_인턴근무계획!$M$3:$R$402,$A215,$I$3)&amp;"")+1,60))))</f>
        <v/>
      </c>
      <c r="K215" s="26">
        <f>IF($C215="","",INDEX(입력_인턴근무계획!$M$3:$M$402,$A215)&amp;"")</f>
        <v/>
      </c>
      <c r="L215" s="26">
        <f>IF($C215="","",INDEX(입력_인턴근무계획!$N$3:$N$402,$A215)&amp;"")</f>
        <v/>
      </c>
      <c r="M215" s="26">
        <f>IF($C215="","",INDEX(입력_인턴근무계획!$O$3:$O$402,$A215)&amp;"")</f>
        <v/>
      </c>
      <c r="N215" s="26">
        <f>IF($C215="","",INDEX(입력_인턴근무계획!$P$3:$P$402,$A215)&amp;"")</f>
        <v/>
      </c>
      <c r="O215" s="26">
        <f>IF($C215="","",INDEX(입력_인턴근무계획!$Q$3:$Q$402,$A215)&amp;"")</f>
        <v/>
      </c>
      <c r="P215" s="26">
        <f>IF($C215="","",INDEX(입력_인턴근무계획!$R$3:$R$402,$A215)&amp;"")</f>
        <v/>
      </c>
      <c r="Q215" s="26">
        <f>IF($C215="","",INDEX(입력_인턴근무계획!$T$3:$T$402,$A215))</f>
        <v/>
      </c>
    </row>
    <row r="216">
      <c r="A216" s="29" t="n">
        <v>211</v>
      </c>
      <c r="B216" s="26">
        <f>IF($C216="","",INDEX(입력_인턴근무계획!$B$3:$B$402,$A216))</f>
        <v/>
      </c>
      <c r="C216" s="26">
        <f>IFERROR(TRIM(INDEX(입력_인턴근무계획!$C$3:$C$402,$A216)&amp;""),"")</f>
        <v/>
      </c>
      <c r="D216" s="26">
        <f>IF($C216="","",INDEX(입력_인턴근무계획!$D$3:$D$402,$A216))</f>
        <v/>
      </c>
      <c r="E216" s="26">
        <f>IF($C216="","",IF(IFERROR(MATCH($D216,입력_기본자료!$B$2:$B$1001,0),IFERROR(MATCH($D216&amp;"",입력_기본자료!$B$2:$B$1001,0),IFERROR(MATCH(VALUE($D216),입력_기본자료!$B$2:$B$1001,0),0)))&gt;0,"확인","미등록"))</f>
        <v/>
      </c>
      <c r="F216" s="28">
        <f>IF($C216="","",INDEX(입력_인턴근무계획!$S$3:$S$402,$A216))</f>
        <v/>
      </c>
      <c r="G216" s="26">
        <f>IF(OR($C216="",$G$3=""),"",IF(INDEX(입력_인턴근무계획!$M$3:$R$402,$A216,$G$3)&amp;""="","",IF(LEFT(INDEX(입력_인턴근무계획!$M$3:$R$402,$A216,$G$3)&amp;"",1)="⚠",INDEX(입력_인턴근무계획!$M$3:$R$402,$A216,$G$3)&amp;"",LEFT(INDEX(입력_인턴근무계획!$M$3:$R$402,$A216,$G$3)&amp;"",FIND(" ",INDEX(입력_인턴근무계획!$M$3:$R$402,$A216,$G$3)&amp;"")-1))))</f>
        <v/>
      </c>
      <c r="H216" s="26">
        <f>IF(OR($C216="",$G$3=""),"",IF(INDEX(입력_인턴근무계획!$M$3:$R$402,$A216,$G$3)&amp;""="","",IF(LEFT(INDEX(입력_인턴근무계획!$M$3:$R$402,$A216,$G$3)&amp;"",1)="⚠","",MID(INDEX(입력_인턴근무계획!$M$3:$R$402,$A216,$G$3)&amp;"",FIND(" ",INDEX(입력_인턴근무계획!$M$3:$R$402,$A216,$G$3)&amp;"")+1,60))))</f>
        <v/>
      </c>
      <c r="I216" s="26">
        <f>IF(OR($C216="",$I$3=""),"",IF(INDEX(입력_인턴근무계획!$M$3:$R$402,$A216,$I$3)&amp;""="","",IF(LEFT(INDEX(입력_인턴근무계획!$M$3:$R$402,$A216,$I$3)&amp;"",1)="⚠",INDEX(입력_인턴근무계획!$M$3:$R$402,$A216,$I$3)&amp;"",LEFT(INDEX(입력_인턴근무계획!$M$3:$R$402,$A216,$I$3)&amp;"",FIND(" ",INDEX(입력_인턴근무계획!$M$3:$R$402,$A216,$I$3)&amp;"")-1))))</f>
        <v/>
      </c>
      <c r="J216" s="26">
        <f>IF(OR($C216="",$I$3=""),"",IF(INDEX(입력_인턴근무계획!$M$3:$R$402,$A216,$I$3)&amp;""="","",IF(LEFT(INDEX(입력_인턴근무계획!$M$3:$R$402,$A216,$I$3)&amp;"",1)="⚠","",MID(INDEX(입력_인턴근무계획!$M$3:$R$402,$A216,$I$3)&amp;"",FIND(" ",INDEX(입력_인턴근무계획!$M$3:$R$402,$A216,$I$3)&amp;"")+1,60))))</f>
        <v/>
      </c>
      <c r="K216" s="26">
        <f>IF($C216="","",INDEX(입력_인턴근무계획!$M$3:$M$402,$A216)&amp;"")</f>
        <v/>
      </c>
      <c r="L216" s="26">
        <f>IF($C216="","",INDEX(입력_인턴근무계획!$N$3:$N$402,$A216)&amp;"")</f>
        <v/>
      </c>
      <c r="M216" s="26">
        <f>IF($C216="","",INDEX(입력_인턴근무계획!$O$3:$O$402,$A216)&amp;"")</f>
        <v/>
      </c>
      <c r="N216" s="26">
        <f>IF($C216="","",INDEX(입력_인턴근무계획!$P$3:$P$402,$A216)&amp;"")</f>
        <v/>
      </c>
      <c r="O216" s="26">
        <f>IF($C216="","",INDEX(입력_인턴근무계획!$Q$3:$Q$402,$A216)&amp;"")</f>
        <v/>
      </c>
      <c r="P216" s="26">
        <f>IF($C216="","",INDEX(입력_인턴근무계획!$R$3:$R$402,$A216)&amp;"")</f>
        <v/>
      </c>
      <c r="Q216" s="26">
        <f>IF($C216="","",INDEX(입력_인턴근무계획!$T$3:$T$402,$A216))</f>
        <v/>
      </c>
    </row>
    <row r="217">
      <c r="A217" s="29" t="n">
        <v>212</v>
      </c>
      <c r="B217" s="26">
        <f>IF($C217="","",INDEX(입력_인턴근무계획!$B$3:$B$402,$A217))</f>
        <v/>
      </c>
      <c r="C217" s="26">
        <f>IFERROR(TRIM(INDEX(입력_인턴근무계획!$C$3:$C$402,$A217)&amp;""),"")</f>
        <v/>
      </c>
      <c r="D217" s="26">
        <f>IF($C217="","",INDEX(입력_인턴근무계획!$D$3:$D$402,$A217))</f>
        <v/>
      </c>
      <c r="E217" s="26">
        <f>IF($C217="","",IF(IFERROR(MATCH($D217,입력_기본자료!$B$2:$B$1001,0),IFERROR(MATCH($D217&amp;"",입력_기본자료!$B$2:$B$1001,0),IFERROR(MATCH(VALUE($D217),입력_기본자료!$B$2:$B$1001,0),0)))&gt;0,"확인","미등록"))</f>
        <v/>
      </c>
      <c r="F217" s="28">
        <f>IF($C217="","",INDEX(입력_인턴근무계획!$S$3:$S$402,$A217))</f>
        <v/>
      </c>
      <c r="G217" s="26">
        <f>IF(OR($C217="",$G$3=""),"",IF(INDEX(입력_인턴근무계획!$M$3:$R$402,$A217,$G$3)&amp;""="","",IF(LEFT(INDEX(입력_인턴근무계획!$M$3:$R$402,$A217,$G$3)&amp;"",1)="⚠",INDEX(입력_인턴근무계획!$M$3:$R$402,$A217,$G$3)&amp;"",LEFT(INDEX(입력_인턴근무계획!$M$3:$R$402,$A217,$G$3)&amp;"",FIND(" ",INDEX(입력_인턴근무계획!$M$3:$R$402,$A217,$G$3)&amp;"")-1))))</f>
        <v/>
      </c>
      <c r="H217" s="26">
        <f>IF(OR($C217="",$G$3=""),"",IF(INDEX(입력_인턴근무계획!$M$3:$R$402,$A217,$G$3)&amp;""="","",IF(LEFT(INDEX(입력_인턴근무계획!$M$3:$R$402,$A217,$G$3)&amp;"",1)="⚠","",MID(INDEX(입력_인턴근무계획!$M$3:$R$402,$A217,$G$3)&amp;"",FIND(" ",INDEX(입력_인턴근무계획!$M$3:$R$402,$A217,$G$3)&amp;"")+1,60))))</f>
        <v/>
      </c>
      <c r="I217" s="26">
        <f>IF(OR($C217="",$I$3=""),"",IF(INDEX(입력_인턴근무계획!$M$3:$R$402,$A217,$I$3)&amp;""="","",IF(LEFT(INDEX(입력_인턴근무계획!$M$3:$R$402,$A217,$I$3)&amp;"",1)="⚠",INDEX(입력_인턴근무계획!$M$3:$R$402,$A217,$I$3)&amp;"",LEFT(INDEX(입력_인턴근무계획!$M$3:$R$402,$A217,$I$3)&amp;"",FIND(" ",INDEX(입력_인턴근무계획!$M$3:$R$402,$A217,$I$3)&amp;"")-1))))</f>
        <v/>
      </c>
      <c r="J217" s="26">
        <f>IF(OR($C217="",$I$3=""),"",IF(INDEX(입력_인턴근무계획!$M$3:$R$402,$A217,$I$3)&amp;""="","",IF(LEFT(INDEX(입력_인턴근무계획!$M$3:$R$402,$A217,$I$3)&amp;"",1)="⚠","",MID(INDEX(입력_인턴근무계획!$M$3:$R$402,$A217,$I$3)&amp;"",FIND(" ",INDEX(입력_인턴근무계획!$M$3:$R$402,$A217,$I$3)&amp;"")+1,60))))</f>
        <v/>
      </c>
      <c r="K217" s="26">
        <f>IF($C217="","",INDEX(입력_인턴근무계획!$M$3:$M$402,$A217)&amp;"")</f>
        <v/>
      </c>
      <c r="L217" s="26">
        <f>IF($C217="","",INDEX(입력_인턴근무계획!$N$3:$N$402,$A217)&amp;"")</f>
        <v/>
      </c>
      <c r="M217" s="26">
        <f>IF($C217="","",INDEX(입력_인턴근무계획!$O$3:$O$402,$A217)&amp;"")</f>
        <v/>
      </c>
      <c r="N217" s="26">
        <f>IF($C217="","",INDEX(입력_인턴근무계획!$P$3:$P$402,$A217)&amp;"")</f>
        <v/>
      </c>
      <c r="O217" s="26">
        <f>IF($C217="","",INDEX(입력_인턴근무계획!$Q$3:$Q$402,$A217)&amp;"")</f>
        <v/>
      </c>
      <c r="P217" s="26">
        <f>IF($C217="","",INDEX(입력_인턴근무계획!$R$3:$R$402,$A217)&amp;"")</f>
        <v/>
      </c>
      <c r="Q217" s="26">
        <f>IF($C217="","",INDEX(입력_인턴근무계획!$T$3:$T$402,$A217))</f>
        <v/>
      </c>
    </row>
    <row r="218">
      <c r="A218" s="29" t="n">
        <v>213</v>
      </c>
      <c r="B218" s="26">
        <f>IF($C218="","",INDEX(입력_인턴근무계획!$B$3:$B$402,$A218))</f>
        <v/>
      </c>
      <c r="C218" s="26">
        <f>IFERROR(TRIM(INDEX(입력_인턴근무계획!$C$3:$C$402,$A218)&amp;""),"")</f>
        <v/>
      </c>
      <c r="D218" s="26">
        <f>IF($C218="","",INDEX(입력_인턴근무계획!$D$3:$D$402,$A218))</f>
        <v/>
      </c>
      <c r="E218" s="26">
        <f>IF($C218="","",IF(IFERROR(MATCH($D218,입력_기본자료!$B$2:$B$1001,0),IFERROR(MATCH($D218&amp;"",입력_기본자료!$B$2:$B$1001,0),IFERROR(MATCH(VALUE($D218),입력_기본자료!$B$2:$B$1001,0),0)))&gt;0,"확인","미등록"))</f>
        <v/>
      </c>
      <c r="F218" s="28">
        <f>IF($C218="","",INDEX(입력_인턴근무계획!$S$3:$S$402,$A218))</f>
        <v/>
      </c>
      <c r="G218" s="26">
        <f>IF(OR($C218="",$G$3=""),"",IF(INDEX(입력_인턴근무계획!$M$3:$R$402,$A218,$G$3)&amp;""="","",IF(LEFT(INDEX(입력_인턴근무계획!$M$3:$R$402,$A218,$G$3)&amp;"",1)="⚠",INDEX(입력_인턴근무계획!$M$3:$R$402,$A218,$G$3)&amp;"",LEFT(INDEX(입력_인턴근무계획!$M$3:$R$402,$A218,$G$3)&amp;"",FIND(" ",INDEX(입력_인턴근무계획!$M$3:$R$402,$A218,$G$3)&amp;"")-1))))</f>
        <v/>
      </c>
      <c r="H218" s="26">
        <f>IF(OR($C218="",$G$3=""),"",IF(INDEX(입력_인턴근무계획!$M$3:$R$402,$A218,$G$3)&amp;""="","",IF(LEFT(INDEX(입력_인턴근무계획!$M$3:$R$402,$A218,$G$3)&amp;"",1)="⚠","",MID(INDEX(입력_인턴근무계획!$M$3:$R$402,$A218,$G$3)&amp;"",FIND(" ",INDEX(입력_인턴근무계획!$M$3:$R$402,$A218,$G$3)&amp;"")+1,60))))</f>
        <v/>
      </c>
      <c r="I218" s="26">
        <f>IF(OR($C218="",$I$3=""),"",IF(INDEX(입력_인턴근무계획!$M$3:$R$402,$A218,$I$3)&amp;""="","",IF(LEFT(INDEX(입력_인턴근무계획!$M$3:$R$402,$A218,$I$3)&amp;"",1)="⚠",INDEX(입력_인턴근무계획!$M$3:$R$402,$A218,$I$3)&amp;"",LEFT(INDEX(입력_인턴근무계획!$M$3:$R$402,$A218,$I$3)&amp;"",FIND(" ",INDEX(입력_인턴근무계획!$M$3:$R$402,$A218,$I$3)&amp;"")-1))))</f>
        <v/>
      </c>
      <c r="J218" s="26">
        <f>IF(OR($C218="",$I$3=""),"",IF(INDEX(입력_인턴근무계획!$M$3:$R$402,$A218,$I$3)&amp;""="","",IF(LEFT(INDEX(입력_인턴근무계획!$M$3:$R$402,$A218,$I$3)&amp;"",1)="⚠","",MID(INDEX(입력_인턴근무계획!$M$3:$R$402,$A218,$I$3)&amp;"",FIND(" ",INDEX(입력_인턴근무계획!$M$3:$R$402,$A218,$I$3)&amp;"")+1,60))))</f>
        <v/>
      </c>
      <c r="K218" s="26">
        <f>IF($C218="","",INDEX(입력_인턴근무계획!$M$3:$M$402,$A218)&amp;"")</f>
        <v/>
      </c>
      <c r="L218" s="26">
        <f>IF($C218="","",INDEX(입력_인턴근무계획!$N$3:$N$402,$A218)&amp;"")</f>
        <v/>
      </c>
      <c r="M218" s="26">
        <f>IF($C218="","",INDEX(입력_인턴근무계획!$O$3:$O$402,$A218)&amp;"")</f>
        <v/>
      </c>
      <c r="N218" s="26">
        <f>IF($C218="","",INDEX(입력_인턴근무계획!$P$3:$P$402,$A218)&amp;"")</f>
        <v/>
      </c>
      <c r="O218" s="26">
        <f>IF($C218="","",INDEX(입력_인턴근무계획!$Q$3:$Q$402,$A218)&amp;"")</f>
        <v/>
      </c>
      <c r="P218" s="26">
        <f>IF($C218="","",INDEX(입력_인턴근무계획!$R$3:$R$402,$A218)&amp;"")</f>
        <v/>
      </c>
      <c r="Q218" s="26">
        <f>IF($C218="","",INDEX(입력_인턴근무계획!$T$3:$T$402,$A218))</f>
        <v/>
      </c>
    </row>
    <row r="219">
      <c r="A219" s="29" t="n">
        <v>214</v>
      </c>
      <c r="B219" s="26">
        <f>IF($C219="","",INDEX(입력_인턴근무계획!$B$3:$B$402,$A219))</f>
        <v/>
      </c>
      <c r="C219" s="26">
        <f>IFERROR(TRIM(INDEX(입력_인턴근무계획!$C$3:$C$402,$A219)&amp;""),"")</f>
        <v/>
      </c>
      <c r="D219" s="26">
        <f>IF($C219="","",INDEX(입력_인턴근무계획!$D$3:$D$402,$A219))</f>
        <v/>
      </c>
      <c r="E219" s="26">
        <f>IF($C219="","",IF(IFERROR(MATCH($D219,입력_기본자료!$B$2:$B$1001,0),IFERROR(MATCH($D219&amp;"",입력_기본자료!$B$2:$B$1001,0),IFERROR(MATCH(VALUE($D219),입력_기본자료!$B$2:$B$1001,0),0)))&gt;0,"확인","미등록"))</f>
        <v/>
      </c>
      <c r="F219" s="28">
        <f>IF($C219="","",INDEX(입력_인턴근무계획!$S$3:$S$402,$A219))</f>
        <v/>
      </c>
      <c r="G219" s="26">
        <f>IF(OR($C219="",$G$3=""),"",IF(INDEX(입력_인턴근무계획!$M$3:$R$402,$A219,$G$3)&amp;""="","",IF(LEFT(INDEX(입력_인턴근무계획!$M$3:$R$402,$A219,$G$3)&amp;"",1)="⚠",INDEX(입력_인턴근무계획!$M$3:$R$402,$A219,$G$3)&amp;"",LEFT(INDEX(입력_인턴근무계획!$M$3:$R$402,$A219,$G$3)&amp;"",FIND(" ",INDEX(입력_인턴근무계획!$M$3:$R$402,$A219,$G$3)&amp;"")-1))))</f>
        <v/>
      </c>
      <c r="H219" s="26">
        <f>IF(OR($C219="",$G$3=""),"",IF(INDEX(입력_인턴근무계획!$M$3:$R$402,$A219,$G$3)&amp;""="","",IF(LEFT(INDEX(입력_인턴근무계획!$M$3:$R$402,$A219,$G$3)&amp;"",1)="⚠","",MID(INDEX(입력_인턴근무계획!$M$3:$R$402,$A219,$G$3)&amp;"",FIND(" ",INDEX(입력_인턴근무계획!$M$3:$R$402,$A219,$G$3)&amp;"")+1,60))))</f>
        <v/>
      </c>
      <c r="I219" s="26">
        <f>IF(OR($C219="",$I$3=""),"",IF(INDEX(입력_인턴근무계획!$M$3:$R$402,$A219,$I$3)&amp;""="","",IF(LEFT(INDEX(입력_인턴근무계획!$M$3:$R$402,$A219,$I$3)&amp;"",1)="⚠",INDEX(입력_인턴근무계획!$M$3:$R$402,$A219,$I$3)&amp;"",LEFT(INDEX(입력_인턴근무계획!$M$3:$R$402,$A219,$I$3)&amp;"",FIND(" ",INDEX(입력_인턴근무계획!$M$3:$R$402,$A219,$I$3)&amp;"")-1))))</f>
        <v/>
      </c>
      <c r="J219" s="26">
        <f>IF(OR($C219="",$I$3=""),"",IF(INDEX(입력_인턴근무계획!$M$3:$R$402,$A219,$I$3)&amp;""="","",IF(LEFT(INDEX(입력_인턴근무계획!$M$3:$R$402,$A219,$I$3)&amp;"",1)="⚠","",MID(INDEX(입력_인턴근무계획!$M$3:$R$402,$A219,$I$3)&amp;"",FIND(" ",INDEX(입력_인턴근무계획!$M$3:$R$402,$A219,$I$3)&amp;"")+1,60))))</f>
        <v/>
      </c>
      <c r="K219" s="26">
        <f>IF($C219="","",INDEX(입력_인턴근무계획!$M$3:$M$402,$A219)&amp;"")</f>
        <v/>
      </c>
      <c r="L219" s="26">
        <f>IF($C219="","",INDEX(입력_인턴근무계획!$N$3:$N$402,$A219)&amp;"")</f>
        <v/>
      </c>
      <c r="M219" s="26">
        <f>IF($C219="","",INDEX(입력_인턴근무계획!$O$3:$O$402,$A219)&amp;"")</f>
        <v/>
      </c>
      <c r="N219" s="26">
        <f>IF($C219="","",INDEX(입력_인턴근무계획!$P$3:$P$402,$A219)&amp;"")</f>
        <v/>
      </c>
      <c r="O219" s="26">
        <f>IF($C219="","",INDEX(입력_인턴근무계획!$Q$3:$Q$402,$A219)&amp;"")</f>
        <v/>
      </c>
      <c r="P219" s="26">
        <f>IF($C219="","",INDEX(입력_인턴근무계획!$R$3:$R$402,$A219)&amp;"")</f>
        <v/>
      </c>
      <c r="Q219" s="26">
        <f>IF($C219="","",INDEX(입력_인턴근무계획!$T$3:$T$402,$A219))</f>
        <v/>
      </c>
    </row>
    <row r="220">
      <c r="A220" s="29" t="n">
        <v>215</v>
      </c>
      <c r="B220" s="26">
        <f>IF($C220="","",INDEX(입력_인턴근무계획!$B$3:$B$402,$A220))</f>
        <v/>
      </c>
      <c r="C220" s="26">
        <f>IFERROR(TRIM(INDEX(입력_인턴근무계획!$C$3:$C$402,$A220)&amp;""),"")</f>
        <v/>
      </c>
      <c r="D220" s="26">
        <f>IF($C220="","",INDEX(입력_인턴근무계획!$D$3:$D$402,$A220))</f>
        <v/>
      </c>
      <c r="E220" s="26">
        <f>IF($C220="","",IF(IFERROR(MATCH($D220,입력_기본자료!$B$2:$B$1001,0),IFERROR(MATCH($D220&amp;"",입력_기본자료!$B$2:$B$1001,0),IFERROR(MATCH(VALUE($D220),입력_기본자료!$B$2:$B$1001,0),0)))&gt;0,"확인","미등록"))</f>
        <v/>
      </c>
      <c r="F220" s="28">
        <f>IF($C220="","",INDEX(입력_인턴근무계획!$S$3:$S$402,$A220))</f>
        <v/>
      </c>
      <c r="G220" s="26">
        <f>IF(OR($C220="",$G$3=""),"",IF(INDEX(입력_인턴근무계획!$M$3:$R$402,$A220,$G$3)&amp;""="","",IF(LEFT(INDEX(입력_인턴근무계획!$M$3:$R$402,$A220,$G$3)&amp;"",1)="⚠",INDEX(입력_인턴근무계획!$M$3:$R$402,$A220,$G$3)&amp;"",LEFT(INDEX(입력_인턴근무계획!$M$3:$R$402,$A220,$G$3)&amp;"",FIND(" ",INDEX(입력_인턴근무계획!$M$3:$R$402,$A220,$G$3)&amp;"")-1))))</f>
        <v/>
      </c>
      <c r="H220" s="26">
        <f>IF(OR($C220="",$G$3=""),"",IF(INDEX(입력_인턴근무계획!$M$3:$R$402,$A220,$G$3)&amp;""="","",IF(LEFT(INDEX(입력_인턴근무계획!$M$3:$R$402,$A220,$G$3)&amp;"",1)="⚠","",MID(INDEX(입력_인턴근무계획!$M$3:$R$402,$A220,$G$3)&amp;"",FIND(" ",INDEX(입력_인턴근무계획!$M$3:$R$402,$A220,$G$3)&amp;"")+1,60))))</f>
        <v/>
      </c>
      <c r="I220" s="26">
        <f>IF(OR($C220="",$I$3=""),"",IF(INDEX(입력_인턴근무계획!$M$3:$R$402,$A220,$I$3)&amp;""="","",IF(LEFT(INDEX(입력_인턴근무계획!$M$3:$R$402,$A220,$I$3)&amp;"",1)="⚠",INDEX(입력_인턴근무계획!$M$3:$R$402,$A220,$I$3)&amp;"",LEFT(INDEX(입력_인턴근무계획!$M$3:$R$402,$A220,$I$3)&amp;"",FIND(" ",INDEX(입력_인턴근무계획!$M$3:$R$402,$A220,$I$3)&amp;"")-1))))</f>
        <v/>
      </c>
      <c r="J220" s="26">
        <f>IF(OR($C220="",$I$3=""),"",IF(INDEX(입력_인턴근무계획!$M$3:$R$402,$A220,$I$3)&amp;""="","",IF(LEFT(INDEX(입력_인턴근무계획!$M$3:$R$402,$A220,$I$3)&amp;"",1)="⚠","",MID(INDEX(입력_인턴근무계획!$M$3:$R$402,$A220,$I$3)&amp;"",FIND(" ",INDEX(입력_인턴근무계획!$M$3:$R$402,$A220,$I$3)&amp;"")+1,60))))</f>
        <v/>
      </c>
      <c r="K220" s="26">
        <f>IF($C220="","",INDEX(입력_인턴근무계획!$M$3:$M$402,$A220)&amp;"")</f>
        <v/>
      </c>
      <c r="L220" s="26">
        <f>IF($C220="","",INDEX(입력_인턴근무계획!$N$3:$N$402,$A220)&amp;"")</f>
        <v/>
      </c>
      <c r="M220" s="26">
        <f>IF($C220="","",INDEX(입력_인턴근무계획!$O$3:$O$402,$A220)&amp;"")</f>
        <v/>
      </c>
      <c r="N220" s="26">
        <f>IF($C220="","",INDEX(입력_인턴근무계획!$P$3:$P$402,$A220)&amp;"")</f>
        <v/>
      </c>
      <c r="O220" s="26">
        <f>IF($C220="","",INDEX(입력_인턴근무계획!$Q$3:$Q$402,$A220)&amp;"")</f>
        <v/>
      </c>
      <c r="P220" s="26">
        <f>IF($C220="","",INDEX(입력_인턴근무계획!$R$3:$R$402,$A220)&amp;"")</f>
        <v/>
      </c>
      <c r="Q220" s="26">
        <f>IF($C220="","",INDEX(입력_인턴근무계획!$T$3:$T$402,$A220))</f>
        <v/>
      </c>
    </row>
    <row r="221">
      <c r="A221" s="29" t="n">
        <v>216</v>
      </c>
      <c r="B221" s="26">
        <f>IF($C221="","",INDEX(입력_인턴근무계획!$B$3:$B$402,$A221))</f>
        <v/>
      </c>
      <c r="C221" s="26">
        <f>IFERROR(TRIM(INDEX(입력_인턴근무계획!$C$3:$C$402,$A221)&amp;""),"")</f>
        <v/>
      </c>
      <c r="D221" s="26">
        <f>IF($C221="","",INDEX(입력_인턴근무계획!$D$3:$D$402,$A221))</f>
        <v/>
      </c>
      <c r="E221" s="26">
        <f>IF($C221="","",IF(IFERROR(MATCH($D221,입력_기본자료!$B$2:$B$1001,0),IFERROR(MATCH($D221&amp;"",입력_기본자료!$B$2:$B$1001,0),IFERROR(MATCH(VALUE($D221),입력_기본자료!$B$2:$B$1001,0),0)))&gt;0,"확인","미등록"))</f>
        <v/>
      </c>
      <c r="F221" s="28">
        <f>IF($C221="","",INDEX(입력_인턴근무계획!$S$3:$S$402,$A221))</f>
        <v/>
      </c>
      <c r="G221" s="26">
        <f>IF(OR($C221="",$G$3=""),"",IF(INDEX(입력_인턴근무계획!$M$3:$R$402,$A221,$G$3)&amp;""="","",IF(LEFT(INDEX(입력_인턴근무계획!$M$3:$R$402,$A221,$G$3)&amp;"",1)="⚠",INDEX(입력_인턴근무계획!$M$3:$R$402,$A221,$G$3)&amp;"",LEFT(INDEX(입력_인턴근무계획!$M$3:$R$402,$A221,$G$3)&amp;"",FIND(" ",INDEX(입력_인턴근무계획!$M$3:$R$402,$A221,$G$3)&amp;"")-1))))</f>
        <v/>
      </c>
      <c r="H221" s="26">
        <f>IF(OR($C221="",$G$3=""),"",IF(INDEX(입력_인턴근무계획!$M$3:$R$402,$A221,$G$3)&amp;""="","",IF(LEFT(INDEX(입력_인턴근무계획!$M$3:$R$402,$A221,$G$3)&amp;"",1)="⚠","",MID(INDEX(입력_인턴근무계획!$M$3:$R$402,$A221,$G$3)&amp;"",FIND(" ",INDEX(입력_인턴근무계획!$M$3:$R$402,$A221,$G$3)&amp;"")+1,60))))</f>
        <v/>
      </c>
      <c r="I221" s="26">
        <f>IF(OR($C221="",$I$3=""),"",IF(INDEX(입력_인턴근무계획!$M$3:$R$402,$A221,$I$3)&amp;""="","",IF(LEFT(INDEX(입력_인턴근무계획!$M$3:$R$402,$A221,$I$3)&amp;"",1)="⚠",INDEX(입력_인턴근무계획!$M$3:$R$402,$A221,$I$3)&amp;"",LEFT(INDEX(입력_인턴근무계획!$M$3:$R$402,$A221,$I$3)&amp;"",FIND(" ",INDEX(입력_인턴근무계획!$M$3:$R$402,$A221,$I$3)&amp;"")-1))))</f>
        <v/>
      </c>
      <c r="J221" s="26">
        <f>IF(OR($C221="",$I$3=""),"",IF(INDEX(입력_인턴근무계획!$M$3:$R$402,$A221,$I$3)&amp;""="","",IF(LEFT(INDEX(입력_인턴근무계획!$M$3:$R$402,$A221,$I$3)&amp;"",1)="⚠","",MID(INDEX(입력_인턴근무계획!$M$3:$R$402,$A221,$I$3)&amp;"",FIND(" ",INDEX(입력_인턴근무계획!$M$3:$R$402,$A221,$I$3)&amp;"")+1,60))))</f>
        <v/>
      </c>
      <c r="K221" s="26">
        <f>IF($C221="","",INDEX(입력_인턴근무계획!$M$3:$M$402,$A221)&amp;"")</f>
        <v/>
      </c>
      <c r="L221" s="26">
        <f>IF($C221="","",INDEX(입력_인턴근무계획!$N$3:$N$402,$A221)&amp;"")</f>
        <v/>
      </c>
      <c r="M221" s="26">
        <f>IF($C221="","",INDEX(입력_인턴근무계획!$O$3:$O$402,$A221)&amp;"")</f>
        <v/>
      </c>
      <c r="N221" s="26">
        <f>IF($C221="","",INDEX(입력_인턴근무계획!$P$3:$P$402,$A221)&amp;"")</f>
        <v/>
      </c>
      <c r="O221" s="26">
        <f>IF($C221="","",INDEX(입력_인턴근무계획!$Q$3:$Q$402,$A221)&amp;"")</f>
        <v/>
      </c>
      <c r="P221" s="26">
        <f>IF($C221="","",INDEX(입력_인턴근무계획!$R$3:$R$402,$A221)&amp;"")</f>
        <v/>
      </c>
      <c r="Q221" s="26">
        <f>IF($C221="","",INDEX(입력_인턴근무계획!$T$3:$T$402,$A221))</f>
        <v/>
      </c>
    </row>
    <row r="222">
      <c r="A222" s="29" t="n">
        <v>217</v>
      </c>
      <c r="B222" s="26">
        <f>IF($C222="","",INDEX(입력_인턴근무계획!$B$3:$B$402,$A222))</f>
        <v/>
      </c>
      <c r="C222" s="26">
        <f>IFERROR(TRIM(INDEX(입력_인턴근무계획!$C$3:$C$402,$A222)&amp;""),"")</f>
        <v/>
      </c>
      <c r="D222" s="26">
        <f>IF($C222="","",INDEX(입력_인턴근무계획!$D$3:$D$402,$A222))</f>
        <v/>
      </c>
      <c r="E222" s="26">
        <f>IF($C222="","",IF(IFERROR(MATCH($D222,입력_기본자료!$B$2:$B$1001,0),IFERROR(MATCH($D222&amp;"",입력_기본자료!$B$2:$B$1001,0),IFERROR(MATCH(VALUE($D222),입력_기본자료!$B$2:$B$1001,0),0)))&gt;0,"확인","미등록"))</f>
        <v/>
      </c>
      <c r="F222" s="28">
        <f>IF($C222="","",INDEX(입력_인턴근무계획!$S$3:$S$402,$A222))</f>
        <v/>
      </c>
      <c r="G222" s="26">
        <f>IF(OR($C222="",$G$3=""),"",IF(INDEX(입력_인턴근무계획!$M$3:$R$402,$A222,$G$3)&amp;""="","",IF(LEFT(INDEX(입력_인턴근무계획!$M$3:$R$402,$A222,$G$3)&amp;"",1)="⚠",INDEX(입력_인턴근무계획!$M$3:$R$402,$A222,$G$3)&amp;"",LEFT(INDEX(입력_인턴근무계획!$M$3:$R$402,$A222,$G$3)&amp;"",FIND(" ",INDEX(입력_인턴근무계획!$M$3:$R$402,$A222,$G$3)&amp;"")-1))))</f>
        <v/>
      </c>
      <c r="H222" s="26">
        <f>IF(OR($C222="",$G$3=""),"",IF(INDEX(입력_인턴근무계획!$M$3:$R$402,$A222,$G$3)&amp;""="","",IF(LEFT(INDEX(입력_인턴근무계획!$M$3:$R$402,$A222,$G$3)&amp;"",1)="⚠","",MID(INDEX(입력_인턴근무계획!$M$3:$R$402,$A222,$G$3)&amp;"",FIND(" ",INDEX(입력_인턴근무계획!$M$3:$R$402,$A222,$G$3)&amp;"")+1,60))))</f>
        <v/>
      </c>
      <c r="I222" s="26">
        <f>IF(OR($C222="",$I$3=""),"",IF(INDEX(입력_인턴근무계획!$M$3:$R$402,$A222,$I$3)&amp;""="","",IF(LEFT(INDEX(입력_인턴근무계획!$M$3:$R$402,$A222,$I$3)&amp;"",1)="⚠",INDEX(입력_인턴근무계획!$M$3:$R$402,$A222,$I$3)&amp;"",LEFT(INDEX(입력_인턴근무계획!$M$3:$R$402,$A222,$I$3)&amp;"",FIND(" ",INDEX(입력_인턴근무계획!$M$3:$R$402,$A222,$I$3)&amp;"")-1))))</f>
        <v/>
      </c>
      <c r="J222" s="26">
        <f>IF(OR($C222="",$I$3=""),"",IF(INDEX(입력_인턴근무계획!$M$3:$R$402,$A222,$I$3)&amp;""="","",IF(LEFT(INDEX(입력_인턴근무계획!$M$3:$R$402,$A222,$I$3)&amp;"",1)="⚠","",MID(INDEX(입력_인턴근무계획!$M$3:$R$402,$A222,$I$3)&amp;"",FIND(" ",INDEX(입력_인턴근무계획!$M$3:$R$402,$A222,$I$3)&amp;"")+1,60))))</f>
        <v/>
      </c>
      <c r="K222" s="26">
        <f>IF($C222="","",INDEX(입력_인턴근무계획!$M$3:$M$402,$A222)&amp;"")</f>
        <v/>
      </c>
      <c r="L222" s="26">
        <f>IF($C222="","",INDEX(입력_인턴근무계획!$N$3:$N$402,$A222)&amp;"")</f>
        <v/>
      </c>
      <c r="M222" s="26">
        <f>IF($C222="","",INDEX(입력_인턴근무계획!$O$3:$O$402,$A222)&amp;"")</f>
        <v/>
      </c>
      <c r="N222" s="26">
        <f>IF($C222="","",INDEX(입력_인턴근무계획!$P$3:$P$402,$A222)&amp;"")</f>
        <v/>
      </c>
      <c r="O222" s="26">
        <f>IF($C222="","",INDEX(입력_인턴근무계획!$Q$3:$Q$402,$A222)&amp;"")</f>
        <v/>
      </c>
      <c r="P222" s="26">
        <f>IF($C222="","",INDEX(입력_인턴근무계획!$R$3:$R$402,$A222)&amp;"")</f>
        <v/>
      </c>
      <c r="Q222" s="26">
        <f>IF($C222="","",INDEX(입력_인턴근무계획!$T$3:$T$402,$A222))</f>
        <v/>
      </c>
    </row>
    <row r="223">
      <c r="A223" s="29" t="n">
        <v>218</v>
      </c>
      <c r="B223" s="26">
        <f>IF($C223="","",INDEX(입력_인턴근무계획!$B$3:$B$402,$A223))</f>
        <v/>
      </c>
      <c r="C223" s="26">
        <f>IFERROR(TRIM(INDEX(입력_인턴근무계획!$C$3:$C$402,$A223)&amp;""),"")</f>
        <v/>
      </c>
      <c r="D223" s="26">
        <f>IF($C223="","",INDEX(입력_인턴근무계획!$D$3:$D$402,$A223))</f>
        <v/>
      </c>
      <c r="E223" s="26">
        <f>IF($C223="","",IF(IFERROR(MATCH($D223,입력_기본자료!$B$2:$B$1001,0),IFERROR(MATCH($D223&amp;"",입력_기본자료!$B$2:$B$1001,0),IFERROR(MATCH(VALUE($D223),입력_기본자료!$B$2:$B$1001,0),0)))&gt;0,"확인","미등록"))</f>
        <v/>
      </c>
      <c r="F223" s="28">
        <f>IF($C223="","",INDEX(입력_인턴근무계획!$S$3:$S$402,$A223))</f>
        <v/>
      </c>
      <c r="G223" s="26">
        <f>IF(OR($C223="",$G$3=""),"",IF(INDEX(입력_인턴근무계획!$M$3:$R$402,$A223,$G$3)&amp;""="","",IF(LEFT(INDEX(입력_인턴근무계획!$M$3:$R$402,$A223,$G$3)&amp;"",1)="⚠",INDEX(입력_인턴근무계획!$M$3:$R$402,$A223,$G$3)&amp;"",LEFT(INDEX(입력_인턴근무계획!$M$3:$R$402,$A223,$G$3)&amp;"",FIND(" ",INDEX(입력_인턴근무계획!$M$3:$R$402,$A223,$G$3)&amp;"")-1))))</f>
        <v/>
      </c>
      <c r="H223" s="26">
        <f>IF(OR($C223="",$G$3=""),"",IF(INDEX(입력_인턴근무계획!$M$3:$R$402,$A223,$G$3)&amp;""="","",IF(LEFT(INDEX(입력_인턴근무계획!$M$3:$R$402,$A223,$G$3)&amp;"",1)="⚠","",MID(INDEX(입력_인턴근무계획!$M$3:$R$402,$A223,$G$3)&amp;"",FIND(" ",INDEX(입력_인턴근무계획!$M$3:$R$402,$A223,$G$3)&amp;"")+1,60))))</f>
        <v/>
      </c>
      <c r="I223" s="26">
        <f>IF(OR($C223="",$I$3=""),"",IF(INDEX(입력_인턴근무계획!$M$3:$R$402,$A223,$I$3)&amp;""="","",IF(LEFT(INDEX(입력_인턴근무계획!$M$3:$R$402,$A223,$I$3)&amp;"",1)="⚠",INDEX(입력_인턴근무계획!$M$3:$R$402,$A223,$I$3)&amp;"",LEFT(INDEX(입력_인턴근무계획!$M$3:$R$402,$A223,$I$3)&amp;"",FIND(" ",INDEX(입력_인턴근무계획!$M$3:$R$402,$A223,$I$3)&amp;"")-1))))</f>
        <v/>
      </c>
      <c r="J223" s="26">
        <f>IF(OR($C223="",$I$3=""),"",IF(INDEX(입력_인턴근무계획!$M$3:$R$402,$A223,$I$3)&amp;""="","",IF(LEFT(INDEX(입력_인턴근무계획!$M$3:$R$402,$A223,$I$3)&amp;"",1)="⚠","",MID(INDEX(입력_인턴근무계획!$M$3:$R$402,$A223,$I$3)&amp;"",FIND(" ",INDEX(입력_인턴근무계획!$M$3:$R$402,$A223,$I$3)&amp;"")+1,60))))</f>
        <v/>
      </c>
      <c r="K223" s="26">
        <f>IF($C223="","",INDEX(입력_인턴근무계획!$M$3:$M$402,$A223)&amp;"")</f>
        <v/>
      </c>
      <c r="L223" s="26">
        <f>IF($C223="","",INDEX(입력_인턴근무계획!$N$3:$N$402,$A223)&amp;"")</f>
        <v/>
      </c>
      <c r="M223" s="26">
        <f>IF($C223="","",INDEX(입력_인턴근무계획!$O$3:$O$402,$A223)&amp;"")</f>
        <v/>
      </c>
      <c r="N223" s="26">
        <f>IF($C223="","",INDEX(입력_인턴근무계획!$P$3:$P$402,$A223)&amp;"")</f>
        <v/>
      </c>
      <c r="O223" s="26">
        <f>IF($C223="","",INDEX(입력_인턴근무계획!$Q$3:$Q$402,$A223)&amp;"")</f>
        <v/>
      </c>
      <c r="P223" s="26">
        <f>IF($C223="","",INDEX(입력_인턴근무계획!$R$3:$R$402,$A223)&amp;"")</f>
        <v/>
      </c>
      <c r="Q223" s="26">
        <f>IF($C223="","",INDEX(입력_인턴근무계획!$T$3:$T$402,$A223))</f>
        <v/>
      </c>
    </row>
    <row r="224">
      <c r="A224" s="29" t="n">
        <v>219</v>
      </c>
      <c r="B224" s="26">
        <f>IF($C224="","",INDEX(입력_인턴근무계획!$B$3:$B$402,$A224))</f>
        <v/>
      </c>
      <c r="C224" s="26">
        <f>IFERROR(TRIM(INDEX(입력_인턴근무계획!$C$3:$C$402,$A224)&amp;""),"")</f>
        <v/>
      </c>
      <c r="D224" s="26">
        <f>IF($C224="","",INDEX(입력_인턴근무계획!$D$3:$D$402,$A224))</f>
        <v/>
      </c>
      <c r="E224" s="26">
        <f>IF($C224="","",IF(IFERROR(MATCH($D224,입력_기본자료!$B$2:$B$1001,0),IFERROR(MATCH($D224&amp;"",입력_기본자료!$B$2:$B$1001,0),IFERROR(MATCH(VALUE($D224),입력_기본자료!$B$2:$B$1001,0),0)))&gt;0,"확인","미등록"))</f>
        <v/>
      </c>
      <c r="F224" s="28">
        <f>IF($C224="","",INDEX(입력_인턴근무계획!$S$3:$S$402,$A224))</f>
        <v/>
      </c>
      <c r="G224" s="26">
        <f>IF(OR($C224="",$G$3=""),"",IF(INDEX(입력_인턴근무계획!$M$3:$R$402,$A224,$G$3)&amp;""="","",IF(LEFT(INDEX(입력_인턴근무계획!$M$3:$R$402,$A224,$G$3)&amp;"",1)="⚠",INDEX(입력_인턴근무계획!$M$3:$R$402,$A224,$G$3)&amp;"",LEFT(INDEX(입력_인턴근무계획!$M$3:$R$402,$A224,$G$3)&amp;"",FIND(" ",INDEX(입력_인턴근무계획!$M$3:$R$402,$A224,$G$3)&amp;"")-1))))</f>
        <v/>
      </c>
      <c r="H224" s="26">
        <f>IF(OR($C224="",$G$3=""),"",IF(INDEX(입력_인턴근무계획!$M$3:$R$402,$A224,$G$3)&amp;""="","",IF(LEFT(INDEX(입력_인턴근무계획!$M$3:$R$402,$A224,$G$3)&amp;"",1)="⚠","",MID(INDEX(입력_인턴근무계획!$M$3:$R$402,$A224,$G$3)&amp;"",FIND(" ",INDEX(입력_인턴근무계획!$M$3:$R$402,$A224,$G$3)&amp;"")+1,60))))</f>
        <v/>
      </c>
      <c r="I224" s="26">
        <f>IF(OR($C224="",$I$3=""),"",IF(INDEX(입력_인턴근무계획!$M$3:$R$402,$A224,$I$3)&amp;""="","",IF(LEFT(INDEX(입력_인턴근무계획!$M$3:$R$402,$A224,$I$3)&amp;"",1)="⚠",INDEX(입력_인턴근무계획!$M$3:$R$402,$A224,$I$3)&amp;"",LEFT(INDEX(입력_인턴근무계획!$M$3:$R$402,$A224,$I$3)&amp;"",FIND(" ",INDEX(입력_인턴근무계획!$M$3:$R$402,$A224,$I$3)&amp;"")-1))))</f>
        <v/>
      </c>
      <c r="J224" s="26">
        <f>IF(OR($C224="",$I$3=""),"",IF(INDEX(입력_인턴근무계획!$M$3:$R$402,$A224,$I$3)&amp;""="","",IF(LEFT(INDEX(입력_인턴근무계획!$M$3:$R$402,$A224,$I$3)&amp;"",1)="⚠","",MID(INDEX(입력_인턴근무계획!$M$3:$R$402,$A224,$I$3)&amp;"",FIND(" ",INDEX(입력_인턴근무계획!$M$3:$R$402,$A224,$I$3)&amp;"")+1,60))))</f>
        <v/>
      </c>
      <c r="K224" s="26">
        <f>IF($C224="","",INDEX(입력_인턴근무계획!$M$3:$M$402,$A224)&amp;"")</f>
        <v/>
      </c>
      <c r="L224" s="26">
        <f>IF($C224="","",INDEX(입력_인턴근무계획!$N$3:$N$402,$A224)&amp;"")</f>
        <v/>
      </c>
      <c r="M224" s="26">
        <f>IF($C224="","",INDEX(입력_인턴근무계획!$O$3:$O$402,$A224)&amp;"")</f>
        <v/>
      </c>
      <c r="N224" s="26">
        <f>IF($C224="","",INDEX(입력_인턴근무계획!$P$3:$P$402,$A224)&amp;"")</f>
        <v/>
      </c>
      <c r="O224" s="26">
        <f>IF($C224="","",INDEX(입력_인턴근무계획!$Q$3:$Q$402,$A224)&amp;"")</f>
        <v/>
      </c>
      <c r="P224" s="26">
        <f>IF($C224="","",INDEX(입력_인턴근무계획!$R$3:$R$402,$A224)&amp;"")</f>
        <v/>
      </c>
      <c r="Q224" s="26">
        <f>IF($C224="","",INDEX(입력_인턴근무계획!$T$3:$T$402,$A224))</f>
        <v/>
      </c>
    </row>
    <row r="225">
      <c r="A225" s="29" t="n">
        <v>220</v>
      </c>
      <c r="B225" s="26">
        <f>IF($C225="","",INDEX(입력_인턴근무계획!$B$3:$B$402,$A225))</f>
        <v/>
      </c>
      <c r="C225" s="26">
        <f>IFERROR(TRIM(INDEX(입력_인턴근무계획!$C$3:$C$402,$A225)&amp;""),"")</f>
        <v/>
      </c>
      <c r="D225" s="26">
        <f>IF($C225="","",INDEX(입력_인턴근무계획!$D$3:$D$402,$A225))</f>
        <v/>
      </c>
      <c r="E225" s="26">
        <f>IF($C225="","",IF(IFERROR(MATCH($D225,입력_기본자료!$B$2:$B$1001,0),IFERROR(MATCH($D225&amp;"",입력_기본자료!$B$2:$B$1001,0),IFERROR(MATCH(VALUE($D225),입력_기본자료!$B$2:$B$1001,0),0)))&gt;0,"확인","미등록"))</f>
        <v/>
      </c>
      <c r="F225" s="28">
        <f>IF($C225="","",INDEX(입력_인턴근무계획!$S$3:$S$402,$A225))</f>
        <v/>
      </c>
      <c r="G225" s="26">
        <f>IF(OR($C225="",$G$3=""),"",IF(INDEX(입력_인턴근무계획!$M$3:$R$402,$A225,$G$3)&amp;""="","",IF(LEFT(INDEX(입력_인턴근무계획!$M$3:$R$402,$A225,$G$3)&amp;"",1)="⚠",INDEX(입력_인턴근무계획!$M$3:$R$402,$A225,$G$3)&amp;"",LEFT(INDEX(입력_인턴근무계획!$M$3:$R$402,$A225,$G$3)&amp;"",FIND(" ",INDEX(입력_인턴근무계획!$M$3:$R$402,$A225,$G$3)&amp;"")-1))))</f>
        <v/>
      </c>
      <c r="H225" s="26">
        <f>IF(OR($C225="",$G$3=""),"",IF(INDEX(입력_인턴근무계획!$M$3:$R$402,$A225,$G$3)&amp;""="","",IF(LEFT(INDEX(입력_인턴근무계획!$M$3:$R$402,$A225,$G$3)&amp;"",1)="⚠","",MID(INDEX(입력_인턴근무계획!$M$3:$R$402,$A225,$G$3)&amp;"",FIND(" ",INDEX(입력_인턴근무계획!$M$3:$R$402,$A225,$G$3)&amp;"")+1,60))))</f>
        <v/>
      </c>
      <c r="I225" s="26">
        <f>IF(OR($C225="",$I$3=""),"",IF(INDEX(입력_인턴근무계획!$M$3:$R$402,$A225,$I$3)&amp;""="","",IF(LEFT(INDEX(입력_인턴근무계획!$M$3:$R$402,$A225,$I$3)&amp;"",1)="⚠",INDEX(입력_인턴근무계획!$M$3:$R$402,$A225,$I$3)&amp;"",LEFT(INDEX(입력_인턴근무계획!$M$3:$R$402,$A225,$I$3)&amp;"",FIND(" ",INDEX(입력_인턴근무계획!$M$3:$R$402,$A225,$I$3)&amp;"")-1))))</f>
        <v/>
      </c>
      <c r="J225" s="26">
        <f>IF(OR($C225="",$I$3=""),"",IF(INDEX(입력_인턴근무계획!$M$3:$R$402,$A225,$I$3)&amp;""="","",IF(LEFT(INDEX(입력_인턴근무계획!$M$3:$R$402,$A225,$I$3)&amp;"",1)="⚠","",MID(INDEX(입력_인턴근무계획!$M$3:$R$402,$A225,$I$3)&amp;"",FIND(" ",INDEX(입력_인턴근무계획!$M$3:$R$402,$A225,$I$3)&amp;"")+1,60))))</f>
        <v/>
      </c>
      <c r="K225" s="26">
        <f>IF($C225="","",INDEX(입력_인턴근무계획!$M$3:$M$402,$A225)&amp;"")</f>
        <v/>
      </c>
      <c r="L225" s="26">
        <f>IF($C225="","",INDEX(입력_인턴근무계획!$N$3:$N$402,$A225)&amp;"")</f>
        <v/>
      </c>
      <c r="M225" s="26">
        <f>IF($C225="","",INDEX(입력_인턴근무계획!$O$3:$O$402,$A225)&amp;"")</f>
        <v/>
      </c>
      <c r="N225" s="26">
        <f>IF($C225="","",INDEX(입력_인턴근무계획!$P$3:$P$402,$A225)&amp;"")</f>
        <v/>
      </c>
      <c r="O225" s="26">
        <f>IF($C225="","",INDEX(입력_인턴근무계획!$Q$3:$Q$402,$A225)&amp;"")</f>
        <v/>
      </c>
      <c r="P225" s="26">
        <f>IF($C225="","",INDEX(입력_인턴근무계획!$R$3:$R$402,$A225)&amp;"")</f>
        <v/>
      </c>
      <c r="Q225" s="26">
        <f>IF($C225="","",INDEX(입력_인턴근무계획!$T$3:$T$402,$A225))</f>
        <v/>
      </c>
    </row>
    <row r="226">
      <c r="A226" s="29" t="n">
        <v>221</v>
      </c>
      <c r="B226" s="26">
        <f>IF($C226="","",INDEX(입력_인턴근무계획!$B$3:$B$402,$A226))</f>
        <v/>
      </c>
      <c r="C226" s="26">
        <f>IFERROR(TRIM(INDEX(입력_인턴근무계획!$C$3:$C$402,$A226)&amp;""),"")</f>
        <v/>
      </c>
      <c r="D226" s="26">
        <f>IF($C226="","",INDEX(입력_인턴근무계획!$D$3:$D$402,$A226))</f>
        <v/>
      </c>
      <c r="E226" s="26">
        <f>IF($C226="","",IF(IFERROR(MATCH($D226,입력_기본자료!$B$2:$B$1001,0),IFERROR(MATCH($D226&amp;"",입력_기본자료!$B$2:$B$1001,0),IFERROR(MATCH(VALUE($D226),입력_기본자료!$B$2:$B$1001,0),0)))&gt;0,"확인","미등록"))</f>
        <v/>
      </c>
      <c r="F226" s="28">
        <f>IF($C226="","",INDEX(입력_인턴근무계획!$S$3:$S$402,$A226))</f>
        <v/>
      </c>
      <c r="G226" s="26">
        <f>IF(OR($C226="",$G$3=""),"",IF(INDEX(입력_인턴근무계획!$M$3:$R$402,$A226,$G$3)&amp;""="","",IF(LEFT(INDEX(입력_인턴근무계획!$M$3:$R$402,$A226,$G$3)&amp;"",1)="⚠",INDEX(입력_인턴근무계획!$M$3:$R$402,$A226,$G$3)&amp;"",LEFT(INDEX(입력_인턴근무계획!$M$3:$R$402,$A226,$G$3)&amp;"",FIND(" ",INDEX(입력_인턴근무계획!$M$3:$R$402,$A226,$G$3)&amp;"")-1))))</f>
        <v/>
      </c>
      <c r="H226" s="26">
        <f>IF(OR($C226="",$G$3=""),"",IF(INDEX(입력_인턴근무계획!$M$3:$R$402,$A226,$G$3)&amp;""="","",IF(LEFT(INDEX(입력_인턴근무계획!$M$3:$R$402,$A226,$G$3)&amp;"",1)="⚠","",MID(INDEX(입력_인턴근무계획!$M$3:$R$402,$A226,$G$3)&amp;"",FIND(" ",INDEX(입력_인턴근무계획!$M$3:$R$402,$A226,$G$3)&amp;"")+1,60))))</f>
        <v/>
      </c>
      <c r="I226" s="26">
        <f>IF(OR($C226="",$I$3=""),"",IF(INDEX(입력_인턴근무계획!$M$3:$R$402,$A226,$I$3)&amp;""="","",IF(LEFT(INDEX(입력_인턴근무계획!$M$3:$R$402,$A226,$I$3)&amp;"",1)="⚠",INDEX(입력_인턴근무계획!$M$3:$R$402,$A226,$I$3)&amp;"",LEFT(INDEX(입력_인턴근무계획!$M$3:$R$402,$A226,$I$3)&amp;"",FIND(" ",INDEX(입력_인턴근무계획!$M$3:$R$402,$A226,$I$3)&amp;"")-1))))</f>
        <v/>
      </c>
      <c r="J226" s="26">
        <f>IF(OR($C226="",$I$3=""),"",IF(INDEX(입력_인턴근무계획!$M$3:$R$402,$A226,$I$3)&amp;""="","",IF(LEFT(INDEX(입력_인턴근무계획!$M$3:$R$402,$A226,$I$3)&amp;"",1)="⚠","",MID(INDEX(입력_인턴근무계획!$M$3:$R$402,$A226,$I$3)&amp;"",FIND(" ",INDEX(입력_인턴근무계획!$M$3:$R$402,$A226,$I$3)&amp;"")+1,60))))</f>
        <v/>
      </c>
      <c r="K226" s="26">
        <f>IF($C226="","",INDEX(입력_인턴근무계획!$M$3:$M$402,$A226)&amp;"")</f>
        <v/>
      </c>
      <c r="L226" s="26">
        <f>IF($C226="","",INDEX(입력_인턴근무계획!$N$3:$N$402,$A226)&amp;"")</f>
        <v/>
      </c>
      <c r="M226" s="26">
        <f>IF($C226="","",INDEX(입력_인턴근무계획!$O$3:$O$402,$A226)&amp;"")</f>
        <v/>
      </c>
      <c r="N226" s="26">
        <f>IF($C226="","",INDEX(입력_인턴근무계획!$P$3:$P$402,$A226)&amp;"")</f>
        <v/>
      </c>
      <c r="O226" s="26">
        <f>IF($C226="","",INDEX(입력_인턴근무계획!$Q$3:$Q$402,$A226)&amp;"")</f>
        <v/>
      </c>
      <c r="P226" s="26">
        <f>IF($C226="","",INDEX(입력_인턴근무계획!$R$3:$R$402,$A226)&amp;"")</f>
        <v/>
      </c>
      <c r="Q226" s="26">
        <f>IF($C226="","",INDEX(입력_인턴근무계획!$T$3:$T$402,$A226))</f>
        <v/>
      </c>
    </row>
    <row r="227">
      <c r="A227" s="29" t="n">
        <v>222</v>
      </c>
      <c r="B227" s="26">
        <f>IF($C227="","",INDEX(입력_인턴근무계획!$B$3:$B$402,$A227))</f>
        <v/>
      </c>
      <c r="C227" s="26">
        <f>IFERROR(TRIM(INDEX(입력_인턴근무계획!$C$3:$C$402,$A227)&amp;""),"")</f>
        <v/>
      </c>
      <c r="D227" s="26">
        <f>IF($C227="","",INDEX(입력_인턴근무계획!$D$3:$D$402,$A227))</f>
        <v/>
      </c>
      <c r="E227" s="26">
        <f>IF($C227="","",IF(IFERROR(MATCH($D227,입력_기본자료!$B$2:$B$1001,0),IFERROR(MATCH($D227&amp;"",입력_기본자료!$B$2:$B$1001,0),IFERROR(MATCH(VALUE($D227),입력_기본자료!$B$2:$B$1001,0),0)))&gt;0,"확인","미등록"))</f>
        <v/>
      </c>
      <c r="F227" s="28">
        <f>IF($C227="","",INDEX(입력_인턴근무계획!$S$3:$S$402,$A227))</f>
        <v/>
      </c>
      <c r="G227" s="26">
        <f>IF(OR($C227="",$G$3=""),"",IF(INDEX(입력_인턴근무계획!$M$3:$R$402,$A227,$G$3)&amp;""="","",IF(LEFT(INDEX(입력_인턴근무계획!$M$3:$R$402,$A227,$G$3)&amp;"",1)="⚠",INDEX(입력_인턴근무계획!$M$3:$R$402,$A227,$G$3)&amp;"",LEFT(INDEX(입력_인턴근무계획!$M$3:$R$402,$A227,$G$3)&amp;"",FIND(" ",INDEX(입력_인턴근무계획!$M$3:$R$402,$A227,$G$3)&amp;"")-1))))</f>
        <v/>
      </c>
      <c r="H227" s="26">
        <f>IF(OR($C227="",$G$3=""),"",IF(INDEX(입력_인턴근무계획!$M$3:$R$402,$A227,$G$3)&amp;""="","",IF(LEFT(INDEX(입력_인턴근무계획!$M$3:$R$402,$A227,$G$3)&amp;"",1)="⚠","",MID(INDEX(입력_인턴근무계획!$M$3:$R$402,$A227,$G$3)&amp;"",FIND(" ",INDEX(입력_인턴근무계획!$M$3:$R$402,$A227,$G$3)&amp;"")+1,60))))</f>
        <v/>
      </c>
      <c r="I227" s="26">
        <f>IF(OR($C227="",$I$3=""),"",IF(INDEX(입력_인턴근무계획!$M$3:$R$402,$A227,$I$3)&amp;""="","",IF(LEFT(INDEX(입력_인턴근무계획!$M$3:$R$402,$A227,$I$3)&amp;"",1)="⚠",INDEX(입력_인턴근무계획!$M$3:$R$402,$A227,$I$3)&amp;"",LEFT(INDEX(입력_인턴근무계획!$M$3:$R$402,$A227,$I$3)&amp;"",FIND(" ",INDEX(입력_인턴근무계획!$M$3:$R$402,$A227,$I$3)&amp;"")-1))))</f>
        <v/>
      </c>
      <c r="J227" s="26">
        <f>IF(OR($C227="",$I$3=""),"",IF(INDEX(입력_인턴근무계획!$M$3:$R$402,$A227,$I$3)&amp;""="","",IF(LEFT(INDEX(입력_인턴근무계획!$M$3:$R$402,$A227,$I$3)&amp;"",1)="⚠","",MID(INDEX(입력_인턴근무계획!$M$3:$R$402,$A227,$I$3)&amp;"",FIND(" ",INDEX(입력_인턴근무계획!$M$3:$R$402,$A227,$I$3)&amp;"")+1,60))))</f>
        <v/>
      </c>
      <c r="K227" s="26">
        <f>IF($C227="","",INDEX(입력_인턴근무계획!$M$3:$M$402,$A227)&amp;"")</f>
        <v/>
      </c>
      <c r="L227" s="26">
        <f>IF($C227="","",INDEX(입력_인턴근무계획!$N$3:$N$402,$A227)&amp;"")</f>
        <v/>
      </c>
      <c r="M227" s="26">
        <f>IF($C227="","",INDEX(입력_인턴근무계획!$O$3:$O$402,$A227)&amp;"")</f>
        <v/>
      </c>
      <c r="N227" s="26">
        <f>IF($C227="","",INDEX(입력_인턴근무계획!$P$3:$P$402,$A227)&amp;"")</f>
        <v/>
      </c>
      <c r="O227" s="26">
        <f>IF($C227="","",INDEX(입력_인턴근무계획!$Q$3:$Q$402,$A227)&amp;"")</f>
        <v/>
      </c>
      <c r="P227" s="26">
        <f>IF($C227="","",INDEX(입력_인턴근무계획!$R$3:$R$402,$A227)&amp;"")</f>
        <v/>
      </c>
      <c r="Q227" s="26">
        <f>IF($C227="","",INDEX(입력_인턴근무계획!$T$3:$T$402,$A227))</f>
        <v/>
      </c>
    </row>
    <row r="228">
      <c r="A228" s="29" t="n">
        <v>223</v>
      </c>
      <c r="B228" s="26">
        <f>IF($C228="","",INDEX(입력_인턴근무계획!$B$3:$B$402,$A228))</f>
        <v/>
      </c>
      <c r="C228" s="26">
        <f>IFERROR(TRIM(INDEX(입력_인턴근무계획!$C$3:$C$402,$A228)&amp;""),"")</f>
        <v/>
      </c>
      <c r="D228" s="26">
        <f>IF($C228="","",INDEX(입력_인턴근무계획!$D$3:$D$402,$A228))</f>
        <v/>
      </c>
      <c r="E228" s="26">
        <f>IF($C228="","",IF(IFERROR(MATCH($D228,입력_기본자료!$B$2:$B$1001,0),IFERROR(MATCH($D228&amp;"",입력_기본자료!$B$2:$B$1001,0),IFERROR(MATCH(VALUE($D228),입력_기본자료!$B$2:$B$1001,0),0)))&gt;0,"확인","미등록"))</f>
        <v/>
      </c>
      <c r="F228" s="28">
        <f>IF($C228="","",INDEX(입력_인턴근무계획!$S$3:$S$402,$A228))</f>
        <v/>
      </c>
      <c r="G228" s="26">
        <f>IF(OR($C228="",$G$3=""),"",IF(INDEX(입력_인턴근무계획!$M$3:$R$402,$A228,$G$3)&amp;""="","",IF(LEFT(INDEX(입력_인턴근무계획!$M$3:$R$402,$A228,$G$3)&amp;"",1)="⚠",INDEX(입력_인턴근무계획!$M$3:$R$402,$A228,$G$3)&amp;"",LEFT(INDEX(입력_인턴근무계획!$M$3:$R$402,$A228,$G$3)&amp;"",FIND(" ",INDEX(입력_인턴근무계획!$M$3:$R$402,$A228,$G$3)&amp;"")-1))))</f>
        <v/>
      </c>
      <c r="H228" s="26">
        <f>IF(OR($C228="",$G$3=""),"",IF(INDEX(입력_인턴근무계획!$M$3:$R$402,$A228,$G$3)&amp;""="","",IF(LEFT(INDEX(입력_인턴근무계획!$M$3:$R$402,$A228,$G$3)&amp;"",1)="⚠","",MID(INDEX(입력_인턴근무계획!$M$3:$R$402,$A228,$G$3)&amp;"",FIND(" ",INDEX(입력_인턴근무계획!$M$3:$R$402,$A228,$G$3)&amp;"")+1,60))))</f>
        <v/>
      </c>
      <c r="I228" s="26">
        <f>IF(OR($C228="",$I$3=""),"",IF(INDEX(입력_인턴근무계획!$M$3:$R$402,$A228,$I$3)&amp;""="","",IF(LEFT(INDEX(입력_인턴근무계획!$M$3:$R$402,$A228,$I$3)&amp;"",1)="⚠",INDEX(입력_인턴근무계획!$M$3:$R$402,$A228,$I$3)&amp;"",LEFT(INDEX(입력_인턴근무계획!$M$3:$R$402,$A228,$I$3)&amp;"",FIND(" ",INDEX(입력_인턴근무계획!$M$3:$R$402,$A228,$I$3)&amp;"")-1))))</f>
        <v/>
      </c>
      <c r="J228" s="26">
        <f>IF(OR($C228="",$I$3=""),"",IF(INDEX(입력_인턴근무계획!$M$3:$R$402,$A228,$I$3)&amp;""="","",IF(LEFT(INDEX(입력_인턴근무계획!$M$3:$R$402,$A228,$I$3)&amp;"",1)="⚠","",MID(INDEX(입력_인턴근무계획!$M$3:$R$402,$A228,$I$3)&amp;"",FIND(" ",INDEX(입력_인턴근무계획!$M$3:$R$402,$A228,$I$3)&amp;"")+1,60))))</f>
        <v/>
      </c>
      <c r="K228" s="26">
        <f>IF($C228="","",INDEX(입력_인턴근무계획!$M$3:$M$402,$A228)&amp;"")</f>
        <v/>
      </c>
      <c r="L228" s="26">
        <f>IF($C228="","",INDEX(입력_인턴근무계획!$N$3:$N$402,$A228)&amp;"")</f>
        <v/>
      </c>
      <c r="M228" s="26">
        <f>IF($C228="","",INDEX(입력_인턴근무계획!$O$3:$O$402,$A228)&amp;"")</f>
        <v/>
      </c>
      <c r="N228" s="26">
        <f>IF($C228="","",INDEX(입력_인턴근무계획!$P$3:$P$402,$A228)&amp;"")</f>
        <v/>
      </c>
      <c r="O228" s="26">
        <f>IF($C228="","",INDEX(입력_인턴근무계획!$Q$3:$Q$402,$A228)&amp;"")</f>
        <v/>
      </c>
      <c r="P228" s="26">
        <f>IF($C228="","",INDEX(입력_인턴근무계획!$R$3:$R$402,$A228)&amp;"")</f>
        <v/>
      </c>
      <c r="Q228" s="26">
        <f>IF($C228="","",INDEX(입력_인턴근무계획!$T$3:$T$402,$A228))</f>
        <v/>
      </c>
    </row>
    <row r="229">
      <c r="A229" s="29" t="n">
        <v>224</v>
      </c>
      <c r="B229" s="26">
        <f>IF($C229="","",INDEX(입력_인턴근무계획!$B$3:$B$402,$A229))</f>
        <v/>
      </c>
      <c r="C229" s="26">
        <f>IFERROR(TRIM(INDEX(입력_인턴근무계획!$C$3:$C$402,$A229)&amp;""),"")</f>
        <v/>
      </c>
      <c r="D229" s="26">
        <f>IF($C229="","",INDEX(입력_인턴근무계획!$D$3:$D$402,$A229))</f>
        <v/>
      </c>
      <c r="E229" s="26">
        <f>IF($C229="","",IF(IFERROR(MATCH($D229,입력_기본자료!$B$2:$B$1001,0),IFERROR(MATCH($D229&amp;"",입력_기본자료!$B$2:$B$1001,0),IFERROR(MATCH(VALUE($D229),입력_기본자료!$B$2:$B$1001,0),0)))&gt;0,"확인","미등록"))</f>
        <v/>
      </c>
      <c r="F229" s="28">
        <f>IF($C229="","",INDEX(입력_인턴근무계획!$S$3:$S$402,$A229))</f>
        <v/>
      </c>
      <c r="G229" s="26">
        <f>IF(OR($C229="",$G$3=""),"",IF(INDEX(입력_인턴근무계획!$M$3:$R$402,$A229,$G$3)&amp;""="","",IF(LEFT(INDEX(입력_인턴근무계획!$M$3:$R$402,$A229,$G$3)&amp;"",1)="⚠",INDEX(입력_인턴근무계획!$M$3:$R$402,$A229,$G$3)&amp;"",LEFT(INDEX(입력_인턴근무계획!$M$3:$R$402,$A229,$G$3)&amp;"",FIND(" ",INDEX(입력_인턴근무계획!$M$3:$R$402,$A229,$G$3)&amp;"")-1))))</f>
        <v/>
      </c>
      <c r="H229" s="26">
        <f>IF(OR($C229="",$G$3=""),"",IF(INDEX(입력_인턴근무계획!$M$3:$R$402,$A229,$G$3)&amp;""="","",IF(LEFT(INDEX(입력_인턴근무계획!$M$3:$R$402,$A229,$G$3)&amp;"",1)="⚠","",MID(INDEX(입력_인턴근무계획!$M$3:$R$402,$A229,$G$3)&amp;"",FIND(" ",INDEX(입력_인턴근무계획!$M$3:$R$402,$A229,$G$3)&amp;"")+1,60))))</f>
        <v/>
      </c>
      <c r="I229" s="26">
        <f>IF(OR($C229="",$I$3=""),"",IF(INDEX(입력_인턴근무계획!$M$3:$R$402,$A229,$I$3)&amp;""="","",IF(LEFT(INDEX(입력_인턴근무계획!$M$3:$R$402,$A229,$I$3)&amp;"",1)="⚠",INDEX(입력_인턴근무계획!$M$3:$R$402,$A229,$I$3)&amp;"",LEFT(INDEX(입력_인턴근무계획!$M$3:$R$402,$A229,$I$3)&amp;"",FIND(" ",INDEX(입력_인턴근무계획!$M$3:$R$402,$A229,$I$3)&amp;"")-1))))</f>
        <v/>
      </c>
      <c r="J229" s="26">
        <f>IF(OR($C229="",$I$3=""),"",IF(INDEX(입력_인턴근무계획!$M$3:$R$402,$A229,$I$3)&amp;""="","",IF(LEFT(INDEX(입력_인턴근무계획!$M$3:$R$402,$A229,$I$3)&amp;"",1)="⚠","",MID(INDEX(입력_인턴근무계획!$M$3:$R$402,$A229,$I$3)&amp;"",FIND(" ",INDEX(입력_인턴근무계획!$M$3:$R$402,$A229,$I$3)&amp;"")+1,60))))</f>
        <v/>
      </c>
      <c r="K229" s="26">
        <f>IF($C229="","",INDEX(입력_인턴근무계획!$M$3:$M$402,$A229)&amp;"")</f>
        <v/>
      </c>
      <c r="L229" s="26">
        <f>IF($C229="","",INDEX(입력_인턴근무계획!$N$3:$N$402,$A229)&amp;"")</f>
        <v/>
      </c>
      <c r="M229" s="26">
        <f>IF($C229="","",INDEX(입력_인턴근무계획!$O$3:$O$402,$A229)&amp;"")</f>
        <v/>
      </c>
      <c r="N229" s="26">
        <f>IF($C229="","",INDEX(입력_인턴근무계획!$P$3:$P$402,$A229)&amp;"")</f>
        <v/>
      </c>
      <c r="O229" s="26">
        <f>IF($C229="","",INDEX(입력_인턴근무계획!$Q$3:$Q$402,$A229)&amp;"")</f>
        <v/>
      </c>
      <c r="P229" s="26">
        <f>IF($C229="","",INDEX(입력_인턴근무계획!$R$3:$R$402,$A229)&amp;"")</f>
        <v/>
      </c>
      <c r="Q229" s="26">
        <f>IF($C229="","",INDEX(입력_인턴근무계획!$T$3:$T$402,$A229))</f>
        <v/>
      </c>
    </row>
    <row r="230">
      <c r="A230" s="29" t="n">
        <v>225</v>
      </c>
      <c r="B230" s="26">
        <f>IF($C230="","",INDEX(입력_인턴근무계획!$B$3:$B$402,$A230))</f>
        <v/>
      </c>
      <c r="C230" s="26">
        <f>IFERROR(TRIM(INDEX(입력_인턴근무계획!$C$3:$C$402,$A230)&amp;""),"")</f>
        <v/>
      </c>
      <c r="D230" s="26">
        <f>IF($C230="","",INDEX(입력_인턴근무계획!$D$3:$D$402,$A230))</f>
        <v/>
      </c>
      <c r="E230" s="26">
        <f>IF($C230="","",IF(IFERROR(MATCH($D230,입력_기본자료!$B$2:$B$1001,0),IFERROR(MATCH($D230&amp;"",입력_기본자료!$B$2:$B$1001,0),IFERROR(MATCH(VALUE($D230),입력_기본자료!$B$2:$B$1001,0),0)))&gt;0,"확인","미등록"))</f>
        <v/>
      </c>
      <c r="F230" s="28">
        <f>IF($C230="","",INDEX(입력_인턴근무계획!$S$3:$S$402,$A230))</f>
        <v/>
      </c>
      <c r="G230" s="26">
        <f>IF(OR($C230="",$G$3=""),"",IF(INDEX(입력_인턴근무계획!$M$3:$R$402,$A230,$G$3)&amp;""="","",IF(LEFT(INDEX(입력_인턴근무계획!$M$3:$R$402,$A230,$G$3)&amp;"",1)="⚠",INDEX(입력_인턴근무계획!$M$3:$R$402,$A230,$G$3)&amp;"",LEFT(INDEX(입력_인턴근무계획!$M$3:$R$402,$A230,$G$3)&amp;"",FIND(" ",INDEX(입력_인턴근무계획!$M$3:$R$402,$A230,$G$3)&amp;"")-1))))</f>
        <v/>
      </c>
      <c r="H230" s="26">
        <f>IF(OR($C230="",$G$3=""),"",IF(INDEX(입력_인턴근무계획!$M$3:$R$402,$A230,$G$3)&amp;""="","",IF(LEFT(INDEX(입력_인턴근무계획!$M$3:$R$402,$A230,$G$3)&amp;"",1)="⚠","",MID(INDEX(입력_인턴근무계획!$M$3:$R$402,$A230,$G$3)&amp;"",FIND(" ",INDEX(입력_인턴근무계획!$M$3:$R$402,$A230,$G$3)&amp;"")+1,60))))</f>
        <v/>
      </c>
      <c r="I230" s="26">
        <f>IF(OR($C230="",$I$3=""),"",IF(INDEX(입력_인턴근무계획!$M$3:$R$402,$A230,$I$3)&amp;""="","",IF(LEFT(INDEX(입력_인턴근무계획!$M$3:$R$402,$A230,$I$3)&amp;"",1)="⚠",INDEX(입력_인턴근무계획!$M$3:$R$402,$A230,$I$3)&amp;"",LEFT(INDEX(입력_인턴근무계획!$M$3:$R$402,$A230,$I$3)&amp;"",FIND(" ",INDEX(입력_인턴근무계획!$M$3:$R$402,$A230,$I$3)&amp;"")-1))))</f>
        <v/>
      </c>
      <c r="J230" s="26">
        <f>IF(OR($C230="",$I$3=""),"",IF(INDEX(입력_인턴근무계획!$M$3:$R$402,$A230,$I$3)&amp;""="","",IF(LEFT(INDEX(입력_인턴근무계획!$M$3:$R$402,$A230,$I$3)&amp;"",1)="⚠","",MID(INDEX(입력_인턴근무계획!$M$3:$R$402,$A230,$I$3)&amp;"",FIND(" ",INDEX(입력_인턴근무계획!$M$3:$R$402,$A230,$I$3)&amp;"")+1,60))))</f>
        <v/>
      </c>
      <c r="K230" s="26">
        <f>IF($C230="","",INDEX(입력_인턴근무계획!$M$3:$M$402,$A230)&amp;"")</f>
        <v/>
      </c>
      <c r="L230" s="26">
        <f>IF($C230="","",INDEX(입력_인턴근무계획!$N$3:$N$402,$A230)&amp;"")</f>
        <v/>
      </c>
      <c r="M230" s="26">
        <f>IF($C230="","",INDEX(입력_인턴근무계획!$O$3:$O$402,$A230)&amp;"")</f>
        <v/>
      </c>
      <c r="N230" s="26">
        <f>IF($C230="","",INDEX(입력_인턴근무계획!$P$3:$P$402,$A230)&amp;"")</f>
        <v/>
      </c>
      <c r="O230" s="26">
        <f>IF($C230="","",INDEX(입력_인턴근무계획!$Q$3:$Q$402,$A230)&amp;"")</f>
        <v/>
      </c>
      <c r="P230" s="26">
        <f>IF($C230="","",INDEX(입력_인턴근무계획!$R$3:$R$402,$A230)&amp;"")</f>
        <v/>
      </c>
      <c r="Q230" s="26">
        <f>IF($C230="","",INDEX(입력_인턴근무계획!$T$3:$T$402,$A230))</f>
        <v/>
      </c>
    </row>
    <row r="231">
      <c r="A231" s="29" t="n">
        <v>226</v>
      </c>
      <c r="B231" s="26">
        <f>IF($C231="","",INDEX(입력_인턴근무계획!$B$3:$B$402,$A231))</f>
        <v/>
      </c>
      <c r="C231" s="26">
        <f>IFERROR(TRIM(INDEX(입력_인턴근무계획!$C$3:$C$402,$A231)&amp;""),"")</f>
        <v/>
      </c>
      <c r="D231" s="26">
        <f>IF($C231="","",INDEX(입력_인턴근무계획!$D$3:$D$402,$A231))</f>
        <v/>
      </c>
      <c r="E231" s="26">
        <f>IF($C231="","",IF(IFERROR(MATCH($D231,입력_기본자료!$B$2:$B$1001,0),IFERROR(MATCH($D231&amp;"",입력_기본자료!$B$2:$B$1001,0),IFERROR(MATCH(VALUE($D231),입력_기본자료!$B$2:$B$1001,0),0)))&gt;0,"확인","미등록"))</f>
        <v/>
      </c>
      <c r="F231" s="28">
        <f>IF($C231="","",INDEX(입력_인턴근무계획!$S$3:$S$402,$A231))</f>
        <v/>
      </c>
      <c r="G231" s="26">
        <f>IF(OR($C231="",$G$3=""),"",IF(INDEX(입력_인턴근무계획!$M$3:$R$402,$A231,$G$3)&amp;""="","",IF(LEFT(INDEX(입력_인턴근무계획!$M$3:$R$402,$A231,$G$3)&amp;"",1)="⚠",INDEX(입력_인턴근무계획!$M$3:$R$402,$A231,$G$3)&amp;"",LEFT(INDEX(입력_인턴근무계획!$M$3:$R$402,$A231,$G$3)&amp;"",FIND(" ",INDEX(입력_인턴근무계획!$M$3:$R$402,$A231,$G$3)&amp;"")-1))))</f>
        <v/>
      </c>
      <c r="H231" s="26">
        <f>IF(OR($C231="",$G$3=""),"",IF(INDEX(입력_인턴근무계획!$M$3:$R$402,$A231,$G$3)&amp;""="","",IF(LEFT(INDEX(입력_인턴근무계획!$M$3:$R$402,$A231,$G$3)&amp;"",1)="⚠","",MID(INDEX(입력_인턴근무계획!$M$3:$R$402,$A231,$G$3)&amp;"",FIND(" ",INDEX(입력_인턴근무계획!$M$3:$R$402,$A231,$G$3)&amp;"")+1,60))))</f>
        <v/>
      </c>
      <c r="I231" s="26">
        <f>IF(OR($C231="",$I$3=""),"",IF(INDEX(입력_인턴근무계획!$M$3:$R$402,$A231,$I$3)&amp;""="","",IF(LEFT(INDEX(입력_인턴근무계획!$M$3:$R$402,$A231,$I$3)&amp;"",1)="⚠",INDEX(입력_인턴근무계획!$M$3:$R$402,$A231,$I$3)&amp;"",LEFT(INDEX(입력_인턴근무계획!$M$3:$R$402,$A231,$I$3)&amp;"",FIND(" ",INDEX(입력_인턴근무계획!$M$3:$R$402,$A231,$I$3)&amp;"")-1))))</f>
        <v/>
      </c>
      <c r="J231" s="26">
        <f>IF(OR($C231="",$I$3=""),"",IF(INDEX(입력_인턴근무계획!$M$3:$R$402,$A231,$I$3)&amp;""="","",IF(LEFT(INDEX(입력_인턴근무계획!$M$3:$R$402,$A231,$I$3)&amp;"",1)="⚠","",MID(INDEX(입력_인턴근무계획!$M$3:$R$402,$A231,$I$3)&amp;"",FIND(" ",INDEX(입력_인턴근무계획!$M$3:$R$402,$A231,$I$3)&amp;"")+1,60))))</f>
        <v/>
      </c>
      <c r="K231" s="26">
        <f>IF($C231="","",INDEX(입력_인턴근무계획!$M$3:$M$402,$A231)&amp;"")</f>
        <v/>
      </c>
      <c r="L231" s="26">
        <f>IF($C231="","",INDEX(입력_인턴근무계획!$N$3:$N$402,$A231)&amp;"")</f>
        <v/>
      </c>
      <c r="M231" s="26">
        <f>IF($C231="","",INDEX(입력_인턴근무계획!$O$3:$O$402,$A231)&amp;"")</f>
        <v/>
      </c>
      <c r="N231" s="26">
        <f>IF($C231="","",INDEX(입력_인턴근무계획!$P$3:$P$402,$A231)&amp;"")</f>
        <v/>
      </c>
      <c r="O231" s="26">
        <f>IF($C231="","",INDEX(입력_인턴근무계획!$Q$3:$Q$402,$A231)&amp;"")</f>
        <v/>
      </c>
      <c r="P231" s="26">
        <f>IF($C231="","",INDEX(입력_인턴근무계획!$R$3:$R$402,$A231)&amp;"")</f>
        <v/>
      </c>
      <c r="Q231" s="26">
        <f>IF($C231="","",INDEX(입력_인턴근무계획!$T$3:$T$402,$A231))</f>
        <v/>
      </c>
    </row>
    <row r="232">
      <c r="A232" s="29" t="n">
        <v>227</v>
      </c>
      <c r="B232" s="26">
        <f>IF($C232="","",INDEX(입력_인턴근무계획!$B$3:$B$402,$A232))</f>
        <v/>
      </c>
      <c r="C232" s="26">
        <f>IFERROR(TRIM(INDEX(입력_인턴근무계획!$C$3:$C$402,$A232)&amp;""),"")</f>
        <v/>
      </c>
      <c r="D232" s="26">
        <f>IF($C232="","",INDEX(입력_인턴근무계획!$D$3:$D$402,$A232))</f>
        <v/>
      </c>
      <c r="E232" s="26">
        <f>IF($C232="","",IF(IFERROR(MATCH($D232,입력_기본자료!$B$2:$B$1001,0),IFERROR(MATCH($D232&amp;"",입력_기본자료!$B$2:$B$1001,0),IFERROR(MATCH(VALUE($D232),입력_기본자료!$B$2:$B$1001,0),0)))&gt;0,"확인","미등록"))</f>
        <v/>
      </c>
      <c r="F232" s="28">
        <f>IF($C232="","",INDEX(입력_인턴근무계획!$S$3:$S$402,$A232))</f>
        <v/>
      </c>
      <c r="G232" s="26">
        <f>IF(OR($C232="",$G$3=""),"",IF(INDEX(입력_인턴근무계획!$M$3:$R$402,$A232,$G$3)&amp;""="","",IF(LEFT(INDEX(입력_인턴근무계획!$M$3:$R$402,$A232,$G$3)&amp;"",1)="⚠",INDEX(입력_인턴근무계획!$M$3:$R$402,$A232,$G$3)&amp;"",LEFT(INDEX(입력_인턴근무계획!$M$3:$R$402,$A232,$G$3)&amp;"",FIND(" ",INDEX(입력_인턴근무계획!$M$3:$R$402,$A232,$G$3)&amp;"")-1))))</f>
        <v/>
      </c>
      <c r="H232" s="26">
        <f>IF(OR($C232="",$G$3=""),"",IF(INDEX(입력_인턴근무계획!$M$3:$R$402,$A232,$G$3)&amp;""="","",IF(LEFT(INDEX(입력_인턴근무계획!$M$3:$R$402,$A232,$G$3)&amp;"",1)="⚠","",MID(INDEX(입력_인턴근무계획!$M$3:$R$402,$A232,$G$3)&amp;"",FIND(" ",INDEX(입력_인턴근무계획!$M$3:$R$402,$A232,$G$3)&amp;"")+1,60))))</f>
        <v/>
      </c>
      <c r="I232" s="26">
        <f>IF(OR($C232="",$I$3=""),"",IF(INDEX(입력_인턴근무계획!$M$3:$R$402,$A232,$I$3)&amp;""="","",IF(LEFT(INDEX(입력_인턴근무계획!$M$3:$R$402,$A232,$I$3)&amp;"",1)="⚠",INDEX(입력_인턴근무계획!$M$3:$R$402,$A232,$I$3)&amp;"",LEFT(INDEX(입력_인턴근무계획!$M$3:$R$402,$A232,$I$3)&amp;"",FIND(" ",INDEX(입력_인턴근무계획!$M$3:$R$402,$A232,$I$3)&amp;"")-1))))</f>
        <v/>
      </c>
      <c r="J232" s="26">
        <f>IF(OR($C232="",$I$3=""),"",IF(INDEX(입력_인턴근무계획!$M$3:$R$402,$A232,$I$3)&amp;""="","",IF(LEFT(INDEX(입력_인턴근무계획!$M$3:$R$402,$A232,$I$3)&amp;"",1)="⚠","",MID(INDEX(입력_인턴근무계획!$M$3:$R$402,$A232,$I$3)&amp;"",FIND(" ",INDEX(입력_인턴근무계획!$M$3:$R$402,$A232,$I$3)&amp;"")+1,60))))</f>
        <v/>
      </c>
      <c r="K232" s="26">
        <f>IF($C232="","",INDEX(입력_인턴근무계획!$M$3:$M$402,$A232)&amp;"")</f>
        <v/>
      </c>
      <c r="L232" s="26">
        <f>IF($C232="","",INDEX(입력_인턴근무계획!$N$3:$N$402,$A232)&amp;"")</f>
        <v/>
      </c>
      <c r="M232" s="26">
        <f>IF($C232="","",INDEX(입력_인턴근무계획!$O$3:$O$402,$A232)&amp;"")</f>
        <v/>
      </c>
      <c r="N232" s="26">
        <f>IF($C232="","",INDEX(입력_인턴근무계획!$P$3:$P$402,$A232)&amp;"")</f>
        <v/>
      </c>
      <c r="O232" s="26">
        <f>IF($C232="","",INDEX(입력_인턴근무계획!$Q$3:$Q$402,$A232)&amp;"")</f>
        <v/>
      </c>
      <c r="P232" s="26">
        <f>IF($C232="","",INDEX(입력_인턴근무계획!$R$3:$R$402,$A232)&amp;"")</f>
        <v/>
      </c>
      <c r="Q232" s="26">
        <f>IF($C232="","",INDEX(입력_인턴근무계획!$T$3:$T$402,$A232))</f>
        <v/>
      </c>
    </row>
    <row r="233">
      <c r="A233" s="29" t="n">
        <v>228</v>
      </c>
      <c r="B233" s="26">
        <f>IF($C233="","",INDEX(입력_인턴근무계획!$B$3:$B$402,$A233))</f>
        <v/>
      </c>
      <c r="C233" s="26">
        <f>IFERROR(TRIM(INDEX(입력_인턴근무계획!$C$3:$C$402,$A233)&amp;""),"")</f>
        <v/>
      </c>
      <c r="D233" s="26">
        <f>IF($C233="","",INDEX(입력_인턴근무계획!$D$3:$D$402,$A233))</f>
        <v/>
      </c>
      <c r="E233" s="26">
        <f>IF($C233="","",IF(IFERROR(MATCH($D233,입력_기본자료!$B$2:$B$1001,0),IFERROR(MATCH($D233&amp;"",입력_기본자료!$B$2:$B$1001,0),IFERROR(MATCH(VALUE($D233),입력_기본자료!$B$2:$B$1001,0),0)))&gt;0,"확인","미등록"))</f>
        <v/>
      </c>
      <c r="F233" s="28">
        <f>IF($C233="","",INDEX(입력_인턴근무계획!$S$3:$S$402,$A233))</f>
        <v/>
      </c>
      <c r="G233" s="26">
        <f>IF(OR($C233="",$G$3=""),"",IF(INDEX(입력_인턴근무계획!$M$3:$R$402,$A233,$G$3)&amp;""="","",IF(LEFT(INDEX(입력_인턴근무계획!$M$3:$R$402,$A233,$G$3)&amp;"",1)="⚠",INDEX(입력_인턴근무계획!$M$3:$R$402,$A233,$G$3)&amp;"",LEFT(INDEX(입력_인턴근무계획!$M$3:$R$402,$A233,$G$3)&amp;"",FIND(" ",INDEX(입력_인턴근무계획!$M$3:$R$402,$A233,$G$3)&amp;"")-1))))</f>
        <v/>
      </c>
      <c r="H233" s="26">
        <f>IF(OR($C233="",$G$3=""),"",IF(INDEX(입력_인턴근무계획!$M$3:$R$402,$A233,$G$3)&amp;""="","",IF(LEFT(INDEX(입력_인턴근무계획!$M$3:$R$402,$A233,$G$3)&amp;"",1)="⚠","",MID(INDEX(입력_인턴근무계획!$M$3:$R$402,$A233,$G$3)&amp;"",FIND(" ",INDEX(입력_인턴근무계획!$M$3:$R$402,$A233,$G$3)&amp;"")+1,60))))</f>
        <v/>
      </c>
      <c r="I233" s="26">
        <f>IF(OR($C233="",$I$3=""),"",IF(INDEX(입력_인턴근무계획!$M$3:$R$402,$A233,$I$3)&amp;""="","",IF(LEFT(INDEX(입력_인턴근무계획!$M$3:$R$402,$A233,$I$3)&amp;"",1)="⚠",INDEX(입력_인턴근무계획!$M$3:$R$402,$A233,$I$3)&amp;"",LEFT(INDEX(입력_인턴근무계획!$M$3:$R$402,$A233,$I$3)&amp;"",FIND(" ",INDEX(입력_인턴근무계획!$M$3:$R$402,$A233,$I$3)&amp;"")-1))))</f>
        <v/>
      </c>
      <c r="J233" s="26">
        <f>IF(OR($C233="",$I$3=""),"",IF(INDEX(입력_인턴근무계획!$M$3:$R$402,$A233,$I$3)&amp;""="","",IF(LEFT(INDEX(입력_인턴근무계획!$M$3:$R$402,$A233,$I$3)&amp;"",1)="⚠","",MID(INDEX(입력_인턴근무계획!$M$3:$R$402,$A233,$I$3)&amp;"",FIND(" ",INDEX(입력_인턴근무계획!$M$3:$R$402,$A233,$I$3)&amp;"")+1,60))))</f>
        <v/>
      </c>
      <c r="K233" s="26">
        <f>IF($C233="","",INDEX(입력_인턴근무계획!$M$3:$M$402,$A233)&amp;"")</f>
        <v/>
      </c>
      <c r="L233" s="26">
        <f>IF($C233="","",INDEX(입력_인턴근무계획!$N$3:$N$402,$A233)&amp;"")</f>
        <v/>
      </c>
      <c r="M233" s="26">
        <f>IF($C233="","",INDEX(입력_인턴근무계획!$O$3:$O$402,$A233)&amp;"")</f>
        <v/>
      </c>
      <c r="N233" s="26">
        <f>IF($C233="","",INDEX(입력_인턴근무계획!$P$3:$P$402,$A233)&amp;"")</f>
        <v/>
      </c>
      <c r="O233" s="26">
        <f>IF($C233="","",INDEX(입력_인턴근무계획!$Q$3:$Q$402,$A233)&amp;"")</f>
        <v/>
      </c>
      <c r="P233" s="26">
        <f>IF($C233="","",INDEX(입력_인턴근무계획!$R$3:$R$402,$A233)&amp;"")</f>
        <v/>
      </c>
      <c r="Q233" s="26">
        <f>IF($C233="","",INDEX(입력_인턴근무계획!$T$3:$T$402,$A233))</f>
        <v/>
      </c>
    </row>
    <row r="234">
      <c r="A234" s="29" t="n">
        <v>229</v>
      </c>
      <c r="B234" s="26">
        <f>IF($C234="","",INDEX(입력_인턴근무계획!$B$3:$B$402,$A234))</f>
        <v/>
      </c>
      <c r="C234" s="26">
        <f>IFERROR(TRIM(INDEX(입력_인턴근무계획!$C$3:$C$402,$A234)&amp;""),"")</f>
        <v/>
      </c>
      <c r="D234" s="26">
        <f>IF($C234="","",INDEX(입력_인턴근무계획!$D$3:$D$402,$A234))</f>
        <v/>
      </c>
      <c r="E234" s="26">
        <f>IF($C234="","",IF(IFERROR(MATCH($D234,입력_기본자료!$B$2:$B$1001,0),IFERROR(MATCH($D234&amp;"",입력_기본자료!$B$2:$B$1001,0),IFERROR(MATCH(VALUE($D234),입력_기본자료!$B$2:$B$1001,0),0)))&gt;0,"확인","미등록"))</f>
        <v/>
      </c>
      <c r="F234" s="28">
        <f>IF($C234="","",INDEX(입력_인턴근무계획!$S$3:$S$402,$A234))</f>
        <v/>
      </c>
      <c r="G234" s="26">
        <f>IF(OR($C234="",$G$3=""),"",IF(INDEX(입력_인턴근무계획!$M$3:$R$402,$A234,$G$3)&amp;""="","",IF(LEFT(INDEX(입력_인턴근무계획!$M$3:$R$402,$A234,$G$3)&amp;"",1)="⚠",INDEX(입력_인턴근무계획!$M$3:$R$402,$A234,$G$3)&amp;"",LEFT(INDEX(입력_인턴근무계획!$M$3:$R$402,$A234,$G$3)&amp;"",FIND(" ",INDEX(입력_인턴근무계획!$M$3:$R$402,$A234,$G$3)&amp;"")-1))))</f>
        <v/>
      </c>
      <c r="H234" s="26">
        <f>IF(OR($C234="",$G$3=""),"",IF(INDEX(입력_인턴근무계획!$M$3:$R$402,$A234,$G$3)&amp;""="","",IF(LEFT(INDEX(입력_인턴근무계획!$M$3:$R$402,$A234,$G$3)&amp;"",1)="⚠","",MID(INDEX(입력_인턴근무계획!$M$3:$R$402,$A234,$G$3)&amp;"",FIND(" ",INDEX(입력_인턴근무계획!$M$3:$R$402,$A234,$G$3)&amp;"")+1,60))))</f>
        <v/>
      </c>
      <c r="I234" s="26">
        <f>IF(OR($C234="",$I$3=""),"",IF(INDEX(입력_인턴근무계획!$M$3:$R$402,$A234,$I$3)&amp;""="","",IF(LEFT(INDEX(입력_인턴근무계획!$M$3:$R$402,$A234,$I$3)&amp;"",1)="⚠",INDEX(입력_인턴근무계획!$M$3:$R$402,$A234,$I$3)&amp;"",LEFT(INDEX(입력_인턴근무계획!$M$3:$R$402,$A234,$I$3)&amp;"",FIND(" ",INDEX(입력_인턴근무계획!$M$3:$R$402,$A234,$I$3)&amp;"")-1))))</f>
        <v/>
      </c>
      <c r="J234" s="26">
        <f>IF(OR($C234="",$I$3=""),"",IF(INDEX(입력_인턴근무계획!$M$3:$R$402,$A234,$I$3)&amp;""="","",IF(LEFT(INDEX(입력_인턴근무계획!$M$3:$R$402,$A234,$I$3)&amp;"",1)="⚠","",MID(INDEX(입력_인턴근무계획!$M$3:$R$402,$A234,$I$3)&amp;"",FIND(" ",INDEX(입력_인턴근무계획!$M$3:$R$402,$A234,$I$3)&amp;"")+1,60))))</f>
        <v/>
      </c>
      <c r="K234" s="26">
        <f>IF($C234="","",INDEX(입력_인턴근무계획!$M$3:$M$402,$A234)&amp;"")</f>
        <v/>
      </c>
      <c r="L234" s="26">
        <f>IF($C234="","",INDEX(입력_인턴근무계획!$N$3:$N$402,$A234)&amp;"")</f>
        <v/>
      </c>
      <c r="M234" s="26">
        <f>IF($C234="","",INDEX(입력_인턴근무계획!$O$3:$O$402,$A234)&amp;"")</f>
        <v/>
      </c>
      <c r="N234" s="26">
        <f>IF($C234="","",INDEX(입력_인턴근무계획!$P$3:$P$402,$A234)&amp;"")</f>
        <v/>
      </c>
      <c r="O234" s="26">
        <f>IF($C234="","",INDEX(입력_인턴근무계획!$Q$3:$Q$402,$A234)&amp;"")</f>
        <v/>
      </c>
      <c r="P234" s="26">
        <f>IF($C234="","",INDEX(입력_인턴근무계획!$R$3:$R$402,$A234)&amp;"")</f>
        <v/>
      </c>
      <c r="Q234" s="26">
        <f>IF($C234="","",INDEX(입력_인턴근무계획!$T$3:$T$402,$A234))</f>
        <v/>
      </c>
    </row>
    <row r="235">
      <c r="A235" s="29" t="n">
        <v>230</v>
      </c>
      <c r="B235" s="26">
        <f>IF($C235="","",INDEX(입력_인턴근무계획!$B$3:$B$402,$A235))</f>
        <v/>
      </c>
      <c r="C235" s="26">
        <f>IFERROR(TRIM(INDEX(입력_인턴근무계획!$C$3:$C$402,$A235)&amp;""),"")</f>
        <v/>
      </c>
      <c r="D235" s="26">
        <f>IF($C235="","",INDEX(입력_인턴근무계획!$D$3:$D$402,$A235))</f>
        <v/>
      </c>
      <c r="E235" s="26">
        <f>IF($C235="","",IF(IFERROR(MATCH($D235,입력_기본자료!$B$2:$B$1001,0),IFERROR(MATCH($D235&amp;"",입력_기본자료!$B$2:$B$1001,0),IFERROR(MATCH(VALUE($D235),입력_기본자료!$B$2:$B$1001,0),0)))&gt;0,"확인","미등록"))</f>
        <v/>
      </c>
      <c r="F235" s="28">
        <f>IF($C235="","",INDEX(입력_인턴근무계획!$S$3:$S$402,$A235))</f>
        <v/>
      </c>
      <c r="G235" s="26">
        <f>IF(OR($C235="",$G$3=""),"",IF(INDEX(입력_인턴근무계획!$M$3:$R$402,$A235,$G$3)&amp;""="","",IF(LEFT(INDEX(입력_인턴근무계획!$M$3:$R$402,$A235,$G$3)&amp;"",1)="⚠",INDEX(입력_인턴근무계획!$M$3:$R$402,$A235,$G$3)&amp;"",LEFT(INDEX(입력_인턴근무계획!$M$3:$R$402,$A235,$G$3)&amp;"",FIND(" ",INDEX(입력_인턴근무계획!$M$3:$R$402,$A235,$G$3)&amp;"")-1))))</f>
        <v/>
      </c>
      <c r="H235" s="26">
        <f>IF(OR($C235="",$G$3=""),"",IF(INDEX(입력_인턴근무계획!$M$3:$R$402,$A235,$G$3)&amp;""="","",IF(LEFT(INDEX(입력_인턴근무계획!$M$3:$R$402,$A235,$G$3)&amp;"",1)="⚠","",MID(INDEX(입력_인턴근무계획!$M$3:$R$402,$A235,$G$3)&amp;"",FIND(" ",INDEX(입력_인턴근무계획!$M$3:$R$402,$A235,$G$3)&amp;"")+1,60))))</f>
        <v/>
      </c>
      <c r="I235" s="26">
        <f>IF(OR($C235="",$I$3=""),"",IF(INDEX(입력_인턴근무계획!$M$3:$R$402,$A235,$I$3)&amp;""="","",IF(LEFT(INDEX(입력_인턴근무계획!$M$3:$R$402,$A235,$I$3)&amp;"",1)="⚠",INDEX(입력_인턴근무계획!$M$3:$R$402,$A235,$I$3)&amp;"",LEFT(INDEX(입력_인턴근무계획!$M$3:$R$402,$A235,$I$3)&amp;"",FIND(" ",INDEX(입력_인턴근무계획!$M$3:$R$402,$A235,$I$3)&amp;"")-1))))</f>
        <v/>
      </c>
      <c r="J235" s="26">
        <f>IF(OR($C235="",$I$3=""),"",IF(INDEX(입력_인턴근무계획!$M$3:$R$402,$A235,$I$3)&amp;""="","",IF(LEFT(INDEX(입력_인턴근무계획!$M$3:$R$402,$A235,$I$3)&amp;"",1)="⚠","",MID(INDEX(입력_인턴근무계획!$M$3:$R$402,$A235,$I$3)&amp;"",FIND(" ",INDEX(입력_인턴근무계획!$M$3:$R$402,$A235,$I$3)&amp;"")+1,60))))</f>
        <v/>
      </c>
      <c r="K235" s="26">
        <f>IF($C235="","",INDEX(입력_인턴근무계획!$M$3:$M$402,$A235)&amp;"")</f>
        <v/>
      </c>
      <c r="L235" s="26">
        <f>IF($C235="","",INDEX(입력_인턴근무계획!$N$3:$N$402,$A235)&amp;"")</f>
        <v/>
      </c>
      <c r="M235" s="26">
        <f>IF($C235="","",INDEX(입력_인턴근무계획!$O$3:$O$402,$A235)&amp;"")</f>
        <v/>
      </c>
      <c r="N235" s="26">
        <f>IF($C235="","",INDEX(입력_인턴근무계획!$P$3:$P$402,$A235)&amp;"")</f>
        <v/>
      </c>
      <c r="O235" s="26">
        <f>IF($C235="","",INDEX(입력_인턴근무계획!$Q$3:$Q$402,$A235)&amp;"")</f>
        <v/>
      </c>
      <c r="P235" s="26">
        <f>IF($C235="","",INDEX(입력_인턴근무계획!$R$3:$R$402,$A235)&amp;"")</f>
        <v/>
      </c>
      <c r="Q235" s="26">
        <f>IF($C235="","",INDEX(입력_인턴근무계획!$T$3:$T$402,$A235))</f>
        <v/>
      </c>
    </row>
    <row r="236">
      <c r="A236" s="29" t="n">
        <v>231</v>
      </c>
      <c r="B236" s="26">
        <f>IF($C236="","",INDEX(입력_인턴근무계획!$B$3:$B$402,$A236))</f>
        <v/>
      </c>
      <c r="C236" s="26">
        <f>IFERROR(TRIM(INDEX(입력_인턴근무계획!$C$3:$C$402,$A236)&amp;""),"")</f>
        <v/>
      </c>
      <c r="D236" s="26">
        <f>IF($C236="","",INDEX(입력_인턴근무계획!$D$3:$D$402,$A236))</f>
        <v/>
      </c>
      <c r="E236" s="26">
        <f>IF($C236="","",IF(IFERROR(MATCH($D236,입력_기본자료!$B$2:$B$1001,0),IFERROR(MATCH($D236&amp;"",입력_기본자료!$B$2:$B$1001,0),IFERROR(MATCH(VALUE($D236),입력_기본자료!$B$2:$B$1001,0),0)))&gt;0,"확인","미등록"))</f>
        <v/>
      </c>
      <c r="F236" s="28">
        <f>IF($C236="","",INDEX(입력_인턴근무계획!$S$3:$S$402,$A236))</f>
        <v/>
      </c>
      <c r="G236" s="26">
        <f>IF(OR($C236="",$G$3=""),"",IF(INDEX(입력_인턴근무계획!$M$3:$R$402,$A236,$G$3)&amp;""="","",IF(LEFT(INDEX(입력_인턴근무계획!$M$3:$R$402,$A236,$G$3)&amp;"",1)="⚠",INDEX(입력_인턴근무계획!$M$3:$R$402,$A236,$G$3)&amp;"",LEFT(INDEX(입력_인턴근무계획!$M$3:$R$402,$A236,$G$3)&amp;"",FIND(" ",INDEX(입력_인턴근무계획!$M$3:$R$402,$A236,$G$3)&amp;"")-1))))</f>
        <v/>
      </c>
      <c r="H236" s="26">
        <f>IF(OR($C236="",$G$3=""),"",IF(INDEX(입력_인턴근무계획!$M$3:$R$402,$A236,$G$3)&amp;""="","",IF(LEFT(INDEX(입력_인턴근무계획!$M$3:$R$402,$A236,$G$3)&amp;"",1)="⚠","",MID(INDEX(입력_인턴근무계획!$M$3:$R$402,$A236,$G$3)&amp;"",FIND(" ",INDEX(입력_인턴근무계획!$M$3:$R$402,$A236,$G$3)&amp;"")+1,60))))</f>
        <v/>
      </c>
      <c r="I236" s="26">
        <f>IF(OR($C236="",$I$3=""),"",IF(INDEX(입력_인턴근무계획!$M$3:$R$402,$A236,$I$3)&amp;""="","",IF(LEFT(INDEX(입력_인턴근무계획!$M$3:$R$402,$A236,$I$3)&amp;"",1)="⚠",INDEX(입력_인턴근무계획!$M$3:$R$402,$A236,$I$3)&amp;"",LEFT(INDEX(입력_인턴근무계획!$M$3:$R$402,$A236,$I$3)&amp;"",FIND(" ",INDEX(입력_인턴근무계획!$M$3:$R$402,$A236,$I$3)&amp;"")-1))))</f>
        <v/>
      </c>
      <c r="J236" s="26">
        <f>IF(OR($C236="",$I$3=""),"",IF(INDEX(입력_인턴근무계획!$M$3:$R$402,$A236,$I$3)&amp;""="","",IF(LEFT(INDEX(입력_인턴근무계획!$M$3:$R$402,$A236,$I$3)&amp;"",1)="⚠","",MID(INDEX(입력_인턴근무계획!$M$3:$R$402,$A236,$I$3)&amp;"",FIND(" ",INDEX(입력_인턴근무계획!$M$3:$R$402,$A236,$I$3)&amp;"")+1,60))))</f>
        <v/>
      </c>
      <c r="K236" s="26">
        <f>IF($C236="","",INDEX(입력_인턴근무계획!$M$3:$M$402,$A236)&amp;"")</f>
        <v/>
      </c>
      <c r="L236" s="26">
        <f>IF($C236="","",INDEX(입력_인턴근무계획!$N$3:$N$402,$A236)&amp;"")</f>
        <v/>
      </c>
      <c r="M236" s="26">
        <f>IF($C236="","",INDEX(입력_인턴근무계획!$O$3:$O$402,$A236)&amp;"")</f>
        <v/>
      </c>
      <c r="N236" s="26">
        <f>IF($C236="","",INDEX(입력_인턴근무계획!$P$3:$P$402,$A236)&amp;"")</f>
        <v/>
      </c>
      <c r="O236" s="26">
        <f>IF($C236="","",INDEX(입력_인턴근무계획!$Q$3:$Q$402,$A236)&amp;"")</f>
        <v/>
      </c>
      <c r="P236" s="26">
        <f>IF($C236="","",INDEX(입력_인턴근무계획!$R$3:$R$402,$A236)&amp;"")</f>
        <v/>
      </c>
      <c r="Q236" s="26">
        <f>IF($C236="","",INDEX(입력_인턴근무계획!$T$3:$T$402,$A236))</f>
        <v/>
      </c>
    </row>
    <row r="237">
      <c r="A237" s="29" t="n">
        <v>232</v>
      </c>
      <c r="B237" s="26">
        <f>IF($C237="","",INDEX(입력_인턴근무계획!$B$3:$B$402,$A237))</f>
        <v/>
      </c>
      <c r="C237" s="26">
        <f>IFERROR(TRIM(INDEX(입력_인턴근무계획!$C$3:$C$402,$A237)&amp;""),"")</f>
        <v/>
      </c>
      <c r="D237" s="26">
        <f>IF($C237="","",INDEX(입력_인턴근무계획!$D$3:$D$402,$A237))</f>
        <v/>
      </c>
      <c r="E237" s="26">
        <f>IF($C237="","",IF(IFERROR(MATCH($D237,입력_기본자료!$B$2:$B$1001,0),IFERROR(MATCH($D237&amp;"",입력_기본자료!$B$2:$B$1001,0),IFERROR(MATCH(VALUE($D237),입력_기본자료!$B$2:$B$1001,0),0)))&gt;0,"확인","미등록"))</f>
        <v/>
      </c>
      <c r="F237" s="28">
        <f>IF($C237="","",INDEX(입력_인턴근무계획!$S$3:$S$402,$A237))</f>
        <v/>
      </c>
      <c r="G237" s="26">
        <f>IF(OR($C237="",$G$3=""),"",IF(INDEX(입력_인턴근무계획!$M$3:$R$402,$A237,$G$3)&amp;""="","",IF(LEFT(INDEX(입력_인턴근무계획!$M$3:$R$402,$A237,$G$3)&amp;"",1)="⚠",INDEX(입력_인턴근무계획!$M$3:$R$402,$A237,$G$3)&amp;"",LEFT(INDEX(입력_인턴근무계획!$M$3:$R$402,$A237,$G$3)&amp;"",FIND(" ",INDEX(입력_인턴근무계획!$M$3:$R$402,$A237,$G$3)&amp;"")-1))))</f>
        <v/>
      </c>
      <c r="H237" s="26">
        <f>IF(OR($C237="",$G$3=""),"",IF(INDEX(입력_인턴근무계획!$M$3:$R$402,$A237,$G$3)&amp;""="","",IF(LEFT(INDEX(입력_인턴근무계획!$M$3:$R$402,$A237,$G$3)&amp;"",1)="⚠","",MID(INDEX(입력_인턴근무계획!$M$3:$R$402,$A237,$G$3)&amp;"",FIND(" ",INDEX(입력_인턴근무계획!$M$3:$R$402,$A237,$G$3)&amp;"")+1,60))))</f>
        <v/>
      </c>
      <c r="I237" s="26">
        <f>IF(OR($C237="",$I$3=""),"",IF(INDEX(입력_인턴근무계획!$M$3:$R$402,$A237,$I$3)&amp;""="","",IF(LEFT(INDEX(입력_인턴근무계획!$M$3:$R$402,$A237,$I$3)&amp;"",1)="⚠",INDEX(입력_인턴근무계획!$M$3:$R$402,$A237,$I$3)&amp;"",LEFT(INDEX(입력_인턴근무계획!$M$3:$R$402,$A237,$I$3)&amp;"",FIND(" ",INDEX(입력_인턴근무계획!$M$3:$R$402,$A237,$I$3)&amp;"")-1))))</f>
        <v/>
      </c>
      <c r="J237" s="26">
        <f>IF(OR($C237="",$I$3=""),"",IF(INDEX(입력_인턴근무계획!$M$3:$R$402,$A237,$I$3)&amp;""="","",IF(LEFT(INDEX(입력_인턴근무계획!$M$3:$R$402,$A237,$I$3)&amp;"",1)="⚠","",MID(INDEX(입력_인턴근무계획!$M$3:$R$402,$A237,$I$3)&amp;"",FIND(" ",INDEX(입력_인턴근무계획!$M$3:$R$402,$A237,$I$3)&amp;"")+1,60))))</f>
        <v/>
      </c>
      <c r="K237" s="26">
        <f>IF($C237="","",INDEX(입력_인턴근무계획!$M$3:$M$402,$A237)&amp;"")</f>
        <v/>
      </c>
      <c r="L237" s="26">
        <f>IF($C237="","",INDEX(입력_인턴근무계획!$N$3:$N$402,$A237)&amp;"")</f>
        <v/>
      </c>
      <c r="M237" s="26">
        <f>IF($C237="","",INDEX(입력_인턴근무계획!$O$3:$O$402,$A237)&amp;"")</f>
        <v/>
      </c>
      <c r="N237" s="26">
        <f>IF($C237="","",INDEX(입력_인턴근무계획!$P$3:$P$402,$A237)&amp;"")</f>
        <v/>
      </c>
      <c r="O237" s="26">
        <f>IF($C237="","",INDEX(입력_인턴근무계획!$Q$3:$Q$402,$A237)&amp;"")</f>
        <v/>
      </c>
      <c r="P237" s="26">
        <f>IF($C237="","",INDEX(입력_인턴근무계획!$R$3:$R$402,$A237)&amp;"")</f>
        <v/>
      </c>
      <c r="Q237" s="26">
        <f>IF($C237="","",INDEX(입력_인턴근무계획!$T$3:$T$402,$A237))</f>
        <v/>
      </c>
    </row>
    <row r="238">
      <c r="A238" s="29" t="n">
        <v>233</v>
      </c>
      <c r="B238" s="26">
        <f>IF($C238="","",INDEX(입력_인턴근무계획!$B$3:$B$402,$A238))</f>
        <v/>
      </c>
      <c r="C238" s="26">
        <f>IFERROR(TRIM(INDEX(입력_인턴근무계획!$C$3:$C$402,$A238)&amp;""),"")</f>
        <v/>
      </c>
      <c r="D238" s="26">
        <f>IF($C238="","",INDEX(입력_인턴근무계획!$D$3:$D$402,$A238))</f>
        <v/>
      </c>
      <c r="E238" s="26">
        <f>IF($C238="","",IF(IFERROR(MATCH($D238,입력_기본자료!$B$2:$B$1001,0),IFERROR(MATCH($D238&amp;"",입력_기본자료!$B$2:$B$1001,0),IFERROR(MATCH(VALUE($D238),입력_기본자료!$B$2:$B$1001,0),0)))&gt;0,"확인","미등록"))</f>
        <v/>
      </c>
      <c r="F238" s="28">
        <f>IF($C238="","",INDEX(입력_인턴근무계획!$S$3:$S$402,$A238))</f>
        <v/>
      </c>
      <c r="G238" s="26">
        <f>IF(OR($C238="",$G$3=""),"",IF(INDEX(입력_인턴근무계획!$M$3:$R$402,$A238,$G$3)&amp;""="","",IF(LEFT(INDEX(입력_인턴근무계획!$M$3:$R$402,$A238,$G$3)&amp;"",1)="⚠",INDEX(입력_인턴근무계획!$M$3:$R$402,$A238,$G$3)&amp;"",LEFT(INDEX(입력_인턴근무계획!$M$3:$R$402,$A238,$G$3)&amp;"",FIND(" ",INDEX(입력_인턴근무계획!$M$3:$R$402,$A238,$G$3)&amp;"")-1))))</f>
        <v/>
      </c>
      <c r="H238" s="26">
        <f>IF(OR($C238="",$G$3=""),"",IF(INDEX(입력_인턴근무계획!$M$3:$R$402,$A238,$G$3)&amp;""="","",IF(LEFT(INDEX(입력_인턴근무계획!$M$3:$R$402,$A238,$G$3)&amp;"",1)="⚠","",MID(INDEX(입력_인턴근무계획!$M$3:$R$402,$A238,$G$3)&amp;"",FIND(" ",INDEX(입력_인턴근무계획!$M$3:$R$402,$A238,$G$3)&amp;"")+1,60))))</f>
        <v/>
      </c>
      <c r="I238" s="26">
        <f>IF(OR($C238="",$I$3=""),"",IF(INDEX(입력_인턴근무계획!$M$3:$R$402,$A238,$I$3)&amp;""="","",IF(LEFT(INDEX(입력_인턴근무계획!$M$3:$R$402,$A238,$I$3)&amp;"",1)="⚠",INDEX(입력_인턴근무계획!$M$3:$R$402,$A238,$I$3)&amp;"",LEFT(INDEX(입력_인턴근무계획!$M$3:$R$402,$A238,$I$3)&amp;"",FIND(" ",INDEX(입력_인턴근무계획!$M$3:$R$402,$A238,$I$3)&amp;"")-1))))</f>
        <v/>
      </c>
      <c r="J238" s="26">
        <f>IF(OR($C238="",$I$3=""),"",IF(INDEX(입력_인턴근무계획!$M$3:$R$402,$A238,$I$3)&amp;""="","",IF(LEFT(INDEX(입력_인턴근무계획!$M$3:$R$402,$A238,$I$3)&amp;"",1)="⚠","",MID(INDEX(입력_인턴근무계획!$M$3:$R$402,$A238,$I$3)&amp;"",FIND(" ",INDEX(입력_인턴근무계획!$M$3:$R$402,$A238,$I$3)&amp;"")+1,60))))</f>
        <v/>
      </c>
      <c r="K238" s="26">
        <f>IF($C238="","",INDEX(입력_인턴근무계획!$M$3:$M$402,$A238)&amp;"")</f>
        <v/>
      </c>
      <c r="L238" s="26">
        <f>IF($C238="","",INDEX(입력_인턴근무계획!$N$3:$N$402,$A238)&amp;"")</f>
        <v/>
      </c>
      <c r="M238" s="26">
        <f>IF($C238="","",INDEX(입력_인턴근무계획!$O$3:$O$402,$A238)&amp;"")</f>
        <v/>
      </c>
      <c r="N238" s="26">
        <f>IF($C238="","",INDEX(입력_인턴근무계획!$P$3:$P$402,$A238)&amp;"")</f>
        <v/>
      </c>
      <c r="O238" s="26">
        <f>IF($C238="","",INDEX(입력_인턴근무계획!$Q$3:$Q$402,$A238)&amp;"")</f>
        <v/>
      </c>
      <c r="P238" s="26">
        <f>IF($C238="","",INDEX(입력_인턴근무계획!$R$3:$R$402,$A238)&amp;"")</f>
        <v/>
      </c>
      <c r="Q238" s="26">
        <f>IF($C238="","",INDEX(입력_인턴근무계획!$T$3:$T$402,$A238))</f>
        <v/>
      </c>
    </row>
    <row r="239">
      <c r="A239" s="29" t="n">
        <v>234</v>
      </c>
      <c r="B239" s="26">
        <f>IF($C239="","",INDEX(입력_인턴근무계획!$B$3:$B$402,$A239))</f>
        <v/>
      </c>
      <c r="C239" s="26">
        <f>IFERROR(TRIM(INDEX(입력_인턴근무계획!$C$3:$C$402,$A239)&amp;""),"")</f>
        <v/>
      </c>
      <c r="D239" s="26">
        <f>IF($C239="","",INDEX(입력_인턴근무계획!$D$3:$D$402,$A239))</f>
        <v/>
      </c>
      <c r="E239" s="26">
        <f>IF($C239="","",IF(IFERROR(MATCH($D239,입력_기본자료!$B$2:$B$1001,0),IFERROR(MATCH($D239&amp;"",입력_기본자료!$B$2:$B$1001,0),IFERROR(MATCH(VALUE($D239),입력_기본자료!$B$2:$B$1001,0),0)))&gt;0,"확인","미등록"))</f>
        <v/>
      </c>
      <c r="F239" s="28">
        <f>IF($C239="","",INDEX(입력_인턴근무계획!$S$3:$S$402,$A239))</f>
        <v/>
      </c>
      <c r="G239" s="26">
        <f>IF(OR($C239="",$G$3=""),"",IF(INDEX(입력_인턴근무계획!$M$3:$R$402,$A239,$G$3)&amp;""="","",IF(LEFT(INDEX(입력_인턴근무계획!$M$3:$R$402,$A239,$G$3)&amp;"",1)="⚠",INDEX(입력_인턴근무계획!$M$3:$R$402,$A239,$G$3)&amp;"",LEFT(INDEX(입력_인턴근무계획!$M$3:$R$402,$A239,$G$3)&amp;"",FIND(" ",INDEX(입력_인턴근무계획!$M$3:$R$402,$A239,$G$3)&amp;"")-1))))</f>
        <v/>
      </c>
      <c r="H239" s="26">
        <f>IF(OR($C239="",$G$3=""),"",IF(INDEX(입력_인턴근무계획!$M$3:$R$402,$A239,$G$3)&amp;""="","",IF(LEFT(INDEX(입력_인턴근무계획!$M$3:$R$402,$A239,$G$3)&amp;"",1)="⚠","",MID(INDEX(입력_인턴근무계획!$M$3:$R$402,$A239,$G$3)&amp;"",FIND(" ",INDEX(입력_인턴근무계획!$M$3:$R$402,$A239,$G$3)&amp;"")+1,60))))</f>
        <v/>
      </c>
      <c r="I239" s="26">
        <f>IF(OR($C239="",$I$3=""),"",IF(INDEX(입력_인턴근무계획!$M$3:$R$402,$A239,$I$3)&amp;""="","",IF(LEFT(INDEX(입력_인턴근무계획!$M$3:$R$402,$A239,$I$3)&amp;"",1)="⚠",INDEX(입력_인턴근무계획!$M$3:$R$402,$A239,$I$3)&amp;"",LEFT(INDEX(입력_인턴근무계획!$M$3:$R$402,$A239,$I$3)&amp;"",FIND(" ",INDEX(입력_인턴근무계획!$M$3:$R$402,$A239,$I$3)&amp;"")-1))))</f>
        <v/>
      </c>
      <c r="J239" s="26">
        <f>IF(OR($C239="",$I$3=""),"",IF(INDEX(입력_인턴근무계획!$M$3:$R$402,$A239,$I$3)&amp;""="","",IF(LEFT(INDEX(입력_인턴근무계획!$M$3:$R$402,$A239,$I$3)&amp;"",1)="⚠","",MID(INDEX(입력_인턴근무계획!$M$3:$R$402,$A239,$I$3)&amp;"",FIND(" ",INDEX(입력_인턴근무계획!$M$3:$R$402,$A239,$I$3)&amp;"")+1,60))))</f>
        <v/>
      </c>
      <c r="K239" s="26">
        <f>IF($C239="","",INDEX(입력_인턴근무계획!$M$3:$M$402,$A239)&amp;"")</f>
        <v/>
      </c>
      <c r="L239" s="26">
        <f>IF($C239="","",INDEX(입력_인턴근무계획!$N$3:$N$402,$A239)&amp;"")</f>
        <v/>
      </c>
      <c r="M239" s="26">
        <f>IF($C239="","",INDEX(입력_인턴근무계획!$O$3:$O$402,$A239)&amp;"")</f>
        <v/>
      </c>
      <c r="N239" s="26">
        <f>IF($C239="","",INDEX(입력_인턴근무계획!$P$3:$P$402,$A239)&amp;"")</f>
        <v/>
      </c>
      <c r="O239" s="26">
        <f>IF($C239="","",INDEX(입력_인턴근무계획!$Q$3:$Q$402,$A239)&amp;"")</f>
        <v/>
      </c>
      <c r="P239" s="26">
        <f>IF($C239="","",INDEX(입력_인턴근무계획!$R$3:$R$402,$A239)&amp;"")</f>
        <v/>
      </c>
      <c r="Q239" s="26">
        <f>IF($C239="","",INDEX(입력_인턴근무계획!$T$3:$T$402,$A239))</f>
        <v/>
      </c>
    </row>
    <row r="240">
      <c r="A240" s="29" t="n">
        <v>235</v>
      </c>
      <c r="B240" s="26">
        <f>IF($C240="","",INDEX(입력_인턴근무계획!$B$3:$B$402,$A240))</f>
        <v/>
      </c>
      <c r="C240" s="26">
        <f>IFERROR(TRIM(INDEX(입력_인턴근무계획!$C$3:$C$402,$A240)&amp;""),"")</f>
        <v/>
      </c>
      <c r="D240" s="26">
        <f>IF($C240="","",INDEX(입력_인턴근무계획!$D$3:$D$402,$A240))</f>
        <v/>
      </c>
      <c r="E240" s="26">
        <f>IF($C240="","",IF(IFERROR(MATCH($D240,입력_기본자료!$B$2:$B$1001,0),IFERROR(MATCH($D240&amp;"",입력_기본자료!$B$2:$B$1001,0),IFERROR(MATCH(VALUE($D240),입력_기본자료!$B$2:$B$1001,0),0)))&gt;0,"확인","미등록"))</f>
        <v/>
      </c>
      <c r="F240" s="28">
        <f>IF($C240="","",INDEX(입력_인턴근무계획!$S$3:$S$402,$A240))</f>
        <v/>
      </c>
      <c r="G240" s="26">
        <f>IF(OR($C240="",$G$3=""),"",IF(INDEX(입력_인턴근무계획!$M$3:$R$402,$A240,$G$3)&amp;""="","",IF(LEFT(INDEX(입력_인턴근무계획!$M$3:$R$402,$A240,$G$3)&amp;"",1)="⚠",INDEX(입력_인턴근무계획!$M$3:$R$402,$A240,$G$3)&amp;"",LEFT(INDEX(입력_인턴근무계획!$M$3:$R$402,$A240,$G$3)&amp;"",FIND(" ",INDEX(입력_인턴근무계획!$M$3:$R$402,$A240,$G$3)&amp;"")-1))))</f>
        <v/>
      </c>
      <c r="H240" s="26">
        <f>IF(OR($C240="",$G$3=""),"",IF(INDEX(입력_인턴근무계획!$M$3:$R$402,$A240,$G$3)&amp;""="","",IF(LEFT(INDEX(입력_인턴근무계획!$M$3:$R$402,$A240,$G$3)&amp;"",1)="⚠","",MID(INDEX(입력_인턴근무계획!$M$3:$R$402,$A240,$G$3)&amp;"",FIND(" ",INDEX(입력_인턴근무계획!$M$3:$R$402,$A240,$G$3)&amp;"")+1,60))))</f>
        <v/>
      </c>
      <c r="I240" s="26">
        <f>IF(OR($C240="",$I$3=""),"",IF(INDEX(입력_인턴근무계획!$M$3:$R$402,$A240,$I$3)&amp;""="","",IF(LEFT(INDEX(입력_인턴근무계획!$M$3:$R$402,$A240,$I$3)&amp;"",1)="⚠",INDEX(입력_인턴근무계획!$M$3:$R$402,$A240,$I$3)&amp;"",LEFT(INDEX(입력_인턴근무계획!$M$3:$R$402,$A240,$I$3)&amp;"",FIND(" ",INDEX(입력_인턴근무계획!$M$3:$R$402,$A240,$I$3)&amp;"")-1))))</f>
        <v/>
      </c>
      <c r="J240" s="26">
        <f>IF(OR($C240="",$I$3=""),"",IF(INDEX(입력_인턴근무계획!$M$3:$R$402,$A240,$I$3)&amp;""="","",IF(LEFT(INDEX(입력_인턴근무계획!$M$3:$R$402,$A240,$I$3)&amp;"",1)="⚠","",MID(INDEX(입력_인턴근무계획!$M$3:$R$402,$A240,$I$3)&amp;"",FIND(" ",INDEX(입력_인턴근무계획!$M$3:$R$402,$A240,$I$3)&amp;"")+1,60))))</f>
        <v/>
      </c>
      <c r="K240" s="26">
        <f>IF($C240="","",INDEX(입력_인턴근무계획!$M$3:$M$402,$A240)&amp;"")</f>
        <v/>
      </c>
      <c r="L240" s="26">
        <f>IF($C240="","",INDEX(입력_인턴근무계획!$N$3:$N$402,$A240)&amp;"")</f>
        <v/>
      </c>
      <c r="M240" s="26">
        <f>IF($C240="","",INDEX(입력_인턴근무계획!$O$3:$O$402,$A240)&amp;"")</f>
        <v/>
      </c>
      <c r="N240" s="26">
        <f>IF($C240="","",INDEX(입력_인턴근무계획!$P$3:$P$402,$A240)&amp;"")</f>
        <v/>
      </c>
      <c r="O240" s="26">
        <f>IF($C240="","",INDEX(입력_인턴근무계획!$Q$3:$Q$402,$A240)&amp;"")</f>
        <v/>
      </c>
      <c r="P240" s="26">
        <f>IF($C240="","",INDEX(입력_인턴근무계획!$R$3:$R$402,$A240)&amp;"")</f>
        <v/>
      </c>
      <c r="Q240" s="26">
        <f>IF($C240="","",INDEX(입력_인턴근무계획!$T$3:$T$402,$A240))</f>
        <v/>
      </c>
    </row>
    <row r="241">
      <c r="A241" s="29" t="n">
        <v>236</v>
      </c>
      <c r="B241" s="26">
        <f>IF($C241="","",INDEX(입력_인턴근무계획!$B$3:$B$402,$A241))</f>
        <v/>
      </c>
      <c r="C241" s="26">
        <f>IFERROR(TRIM(INDEX(입력_인턴근무계획!$C$3:$C$402,$A241)&amp;""),"")</f>
        <v/>
      </c>
      <c r="D241" s="26">
        <f>IF($C241="","",INDEX(입력_인턴근무계획!$D$3:$D$402,$A241))</f>
        <v/>
      </c>
      <c r="E241" s="26">
        <f>IF($C241="","",IF(IFERROR(MATCH($D241,입력_기본자료!$B$2:$B$1001,0),IFERROR(MATCH($D241&amp;"",입력_기본자료!$B$2:$B$1001,0),IFERROR(MATCH(VALUE($D241),입력_기본자료!$B$2:$B$1001,0),0)))&gt;0,"확인","미등록"))</f>
        <v/>
      </c>
      <c r="F241" s="28">
        <f>IF($C241="","",INDEX(입력_인턴근무계획!$S$3:$S$402,$A241))</f>
        <v/>
      </c>
      <c r="G241" s="26">
        <f>IF(OR($C241="",$G$3=""),"",IF(INDEX(입력_인턴근무계획!$M$3:$R$402,$A241,$G$3)&amp;""="","",IF(LEFT(INDEX(입력_인턴근무계획!$M$3:$R$402,$A241,$G$3)&amp;"",1)="⚠",INDEX(입력_인턴근무계획!$M$3:$R$402,$A241,$G$3)&amp;"",LEFT(INDEX(입력_인턴근무계획!$M$3:$R$402,$A241,$G$3)&amp;"",FIND(" ",INDEX(입력_인턴근무계획!$M$3:$R$402,$A241,$G$3)&amp;"")-1))))</f>
        <v/>
      </c>
      <c r="H241" s="26">
        <f>IF(OR($C241="",$G$3=""),"",IF(INDEX(입력_인턴근무계획!$M$3:$R$402,$A241,$G$3)&amp;""="","",IF(LEFT(INDEX(입력_인턴근무계획!$M$3:$R$402,$A241,$G$3)&amp;"",1)="⚠","",MID(INDEX(입력_인턴근무계획!$M$3:$R$402,$A241,$G$3)&amp;"",FIND(" ",INDEX(입력_인턴근무계획!$M$3:$R$402,$A241,$G$3)&amp;"")+1,60))))</f>
        <v/>
      </c>
      <c r="I241" s="26">
        <f>IF(OR($C241="",$I$3=""),"",IF(INDEX(입력_인턴근무계획!$M$3:$R$402,$A241,$I$3)&amp;""="","",IF(LEFT(INDEX(입력_인턴근무계획!$M$3:$R$402,$A241,$I$3)&amp;"",1)="⚠",INDEX(입력_인턴근무계획!$M$3:$R$402,$A241,$I$3)&amp;"",LEFT(INDEX(입력_인턴근무계획!$M$3:$R$402,$A241,$I$3)&amp;"",FIND(" ",INDEX(입력_인턴근무계획!$M$3:$R$402,$A241,$I$3)&amp;"")-1))))</f>
        <v/>
      </c>
      <c r="J241" s="26">
        <f>IF(OR($C241="",$I$3=""),"",IF(INDEX(입력_인턴근무계획!$M$3:$R$402,$A241,$I$3)&amp;""="","",IF(LEFT(INDEX(입력_인턴근무계획!$M$3:$R$402,$A241,$I$3)&amp;"",1)="⚠","",MID(INDEX(입력_인턴근무계획!$M$3:$R$402,$A241,$I$3)&amp;"",FIND(" ",INDEX(입력_인턴근무계획!$M$3:$R$402,$A241,$I$3)&amp;"")+1,60))))</f>
        <v/>
      </c>
      <c r="K241" s="26">
        <f>IF($C241="","",INDEX(입력_인턴근무계획!$M$3:$M$402,$A241)&amp;"")</f>
        <v/>
      </c>
      <c r="L241" s="26">
        <f>IF($C241="","",INDEX(입력_인턴근무계획!$N$3:$N$402,$A241)&amp;"")</f>
        <v/>
      </c>
      <c r="M241" s="26">
        <f>IF($C241="","",INDEX(입력_인턴근무계획!$O$3:$O$402,$A241)&amp;"")</f>
        <v/>
      </c>
      <c r="N241" s="26">
        <f>IF($C241="","",INDEX(입력_인턴근무계획!$P$3:$P$402,$A241)&amp;"")</f>
        <v/>
      </c>
      <c r="O241" s="26">
        <f>IF($C241="","",INDEX(입력_인턴근무계획!$Q$3:$Q$402,$A241)&amp;"")</f>
        <v/>
      </c>
      <c r="P241" s="26">
        <f>IF($C241="","",INDEX(입력_인턴근무계획!$R$3:$R$402,$A241)&amp;"")</f>
        <v/>
      </c>
      <c r="Q241" s="26">
        <f>IF($C241="","",INDEX(입력_인턴근무계획!$T$3:$T$402,$A241))</f>
        <v/>
      </c>
    </row>
    <row r="242">
      <c r="A242" s="29" t="n">
        <v>237</v>
      </c>
      <c r="B242" s="26">
        <f>IF($C242="","",INDEX(입력_인턴근무계획!$B$3:$B$402,$A242))</f>
        <v/>
      </c>
      <c r="C242" s="26">
        <f>IFERROR(TRIM(INDEX(입력_인턴근무계획!$C$3:$C$402,$A242)&amp;""),"")</f>
        <v/>
      </c>
      <c r="D242" s="26">
        <f>IF($C242="","",INDEX(입력_인턴근무계획!$D$3:$D$402,$A242))</f>
        <v/>
      </c>
      <c r="E242" s="26">
        <f>IF($C242="","",IF(IFERROR(MATCH($D242,입력_기본자료!$B$2:$B$1001,0),IFERROR(MATCH($D242&amp;"",입력_기본자료!$B$2:$B$1001,0),IFERROR(MATCH(VALUE($D242),입력_기본자료!$B$2:$B$1001,0),0)))&gt;0,"확인","미등록"))</f>
        <v/>
      </c>
      <c r="F242" s="28">
        <f>IF($C242="","",INDEX(입력_인턴근무계획!$S$3:$S$402,$A242))</f>
        <v/>
      </c>
      <c r="G242" s="26">
        <f>IF(OR($C242="",$G$3=""),"",IF(INDEX(입력_인턴근무계획!$M$3:$R$402,$A242,$G$3)&amp;""="","",IF(LEFT(INDEX(입력_인턴근무계획!$M$3:$R$402,$A242,$G$3)&amp;"",1)="⚠",INDEX(입력_인턴근무계획!$M$3:$R$402,$A242,$G$3)&amp;"",LEFT(INDEX(입력_인턴근무계획!$M$3:$R$402,$A242,$G$3)&amp;"",FIND(" ",INDEX(입력_인턴근무계획!$M$3:$R$402,$A242,$G$3)&amp;"")-1))))</f>
        <v/>
      </c>
      <c r="H242" s="26">
        <f>IF(OR($C242="",$G$3=""),"",IF(INDEX(입력_인턴근무계획!$M$3:$R$402,$A242,$G$3)&amp;""="","",IF(LEFT(INDEX(입력_인턴근무계획!$M$3:$R$402,$A242,$G$3)&amp;"",1)="⚠","",MID(INDEX(입력_인턴근무계획!$M$3:$R$402,$A242,$G$3)&amp;"",FIND(" ",INDEX(입력_인턴근무계획!$M$3:$R$402,$A242,$G$3)&amp;"")+1,60))))</f>
        <v/>
      </c>
      <c r="I242" s="26">
        <f>IF(OR($C242="",$I$3=""),"",IF(INDEX(입력_인턴근무계획!$M$3:$R$402,$A242,$I$3)&amp;""="","",IF(LEFT(INDEX(입력_인턴근무계획!$M$3:$R$402,$A242,$I$3)&amp;"",1)="⚠",INDEX(입력_인턴근무계획!$M$3:$R$402,$A242,$I$3)&amp;"",LEFT(INDEX(입력_인턴근무계획!$M$3:$R$402,$A242,$I$3)&amp;"",FIND(" ",INDEX(입력_인턴근무계획!$M$3:$R$402,$A242,$I$3)&amp;"")-1))))</f>
        <v/>
      </c>
      <c r="J242" s="26">
        <f>IF(OR($C242="",$I$3=""),"",IF(INDEX(입력_인턴근무계획!$M$3:$R$402,$A242,$I$3)&amp;""="","",IF(LEFT(INDEX(입력_인턴근무계획!$M$3:$R$402,$A242,$I$3)&amp;"",1)="⚠","",MID(INDEX(입력_인턴근무계획!$M$3:$R$402,$A242,$I$3)&amp;"",FIND(" ",INDEX(입력_인턴근무계획!$M$3:$R$402,$A242,$I$3)&amp;"")+1,60))))</f>
        <v/>
      </c>
      <c r="K242" s="26">
        <f>IF($C242="","",INDEX(입력_인턴근무계획!$M$3:$M$402,$A242)&amp;"")</f>
        <v/>
      </c>
      <c r="L242" s="26">
        <f>IF($C242="","",INDEX(입력_인턴근무계획!$N$3:$N$402,$A242)&amp;"")</f>
        <v/>
      </c>
      <c r="M242" s="26">
        <f>IF($C242="","",INDEX(입력_인턴근무계획!$O$3:$O$402,$A242)&amp;"")</f>
        <v/>
      </c>
      <c r="N242" s="26">
        <f>IF($C242="","",INDEX(입력_인턴근무계획!$P$3:$P$402,$A242)&amp;"")</f>
        <v/>
      </c>
      <c r="O242" s="26">
        <f>IF($C242="","",INDEX(입력_인턴근무계획!$Q$3:$Q$402,$A242)&amp;"")</f>
        <v/>
      </c>
      <c r="P242" s="26">
        <f>IF($C242="","",INDEX(입력_인턴근무계획!$R$3:$R$402,$A242)&amp;"")</f>
        <v/>
      </c>
      <c r="Q242" s="26">
        <f>IF($C242="","",INDEX(입력_인턴근무계획!$T$3:$T$402,$A242))</f>
        <v/>
      </c>
    </row>
    <row r="243">
      <c r="A243" s="29" t="n">
        <v>238</v>
      </c>
      <c r="B243" s="26">
        <f>IF($C243="","",INDEX(입력_인턴근무계획!$B$3:$B$402,$A243))</f>
        <v/>
      </c>
      <c r="C243" s="26">
        <f>IFERROR(TRIM(INDEX(입력_인턴근무계획!$C$3:$C$402,$A243)&amp;""),"")</f>
        <v/>
      </c>
      <c r="D243" s="26">
        <f>IF($C243="","",INDEX(입력_인턴근무계획!$D$3:$D$402,$A243))</f>
        <v/>
      </c>
      <c r="E243" s="26">
        <f>IF($C243="","",IF(IFERROR(MATCH($D243,입력_기본자료!$B$2:$B$1001,0),IFERROR(MATCH($D243&amp;"",입력_기본자료!$B$2:$B$1001,0),IFERROR(MATCH(VALUE($D243),입력_기본자료!$B$2:$B$1001,0),0)))&gt;0,"확인","미등록"))</f>
        <v/>
      </c>
      <c r="F243" s="28">
        <f>IF($C243="","",INDEX(입력_인턴근무계획!$S$3:$S$402,$A243))</f>
        <v/>
      </c>
      <c r="G243" s="26">
        <f>IF(OR($C243="",$G$3=""),"",IF(INDEX(입력_인턴근무계획!$M$3:$R$402,$A243,$G$3)&amp;""="","",IF(LEFT(INDEX(입력_인턴근무계획!$M$3:$R$402,$A243,$G$3)&amp;"",1)="⚠",INDEX(입력_인턴근무계획!$M$3:$R$402,$A243,$G$3)&amp;"",LEFT(INDEX(입력_인턴근무계획!$M$3:$R$402,$A243,$G$3)&amp;"",FIND(" ",INDEX(입력_인턴근무계획!$M$3:$R$402,$A243,$G$3)&amp;"")-1))))</f>
        <v/>
      </c>
      <c r="H243" s="26">
        <f>IF(OR($C243="",$G$3=""),"",IF(INDEX(입력_인턴근무계획!$M$3:$R$402,$A243,$G$3)&amp;""="","",IF(LEFT(INDEX(입력_인턴근무계획!$M$3:$R$402,$A243,$G$3)&amp;"",1)="⚠","",MID(INDEX(입력_인턴근무계획!$M$3:$R$402,$A243,$G$3)&amp;"",FIND(" ",INDEX(입력_인턴근무계획!$M$3:$R$402,$A243,$G$3)&amp;"")+1,60))))</f>
        <v/>
      </c>
      <c r="I243" s="26">
        <f>IF(OR($C243="",$I$3=""),"",IF(INDEX(입력_인턴근무계획!$M$3:$R$402,$A243,$I$3)&amp;""="","",IF(LEFT(INDEX(입력_인턴근무계획!$M$3:$R$402,$A243,$I$3)&amp;"",1)="⚠",INDEX(입력_인턴근무계획!$M$3:$R$402,$A243,$I$3)&amp;"",LEFT(INDEX(입력_인턴근무계획!$M$3:$R$402,$A243,$I$3)&amp;"",FIND(" ",INDEX(입력_인턴근무계획!$M$3:$R$402,$A243,$I$3)&amp;"")-1))))</f>
        <v/>
      </c>
      <c r="J243" s="26">
        <f>IF(OR($C243="",$I$3=""),"",IF(INDEX(입력_인턴근무계획!$M$3:$R$402,$A243,$I$3)&amp;""="","",IF(LEFT(INDEX(입력_인턴근무계획!$M$3:$R$402,$A243,$I$3)&amp;"",1)="⚠","",MID(INDEX(입력_인턴근무계획!$M$3:$R$402,$A243,$I$3)&amp;"",FIND(" ",INDEX(입력_인턴근무계획!$M$3:$R$402,$A243,$I$3)&amp;"")+1,60))))</f>
        <v/>
      </c>
      <c r="K243" s="26">
        <f>IF($C243="","",INDEX(입력_인턴근무계획!$M$3:$M$402,$A243)&amp;"")</f>
        <v/>
      </c>
      <c r="L243" s="26">
        <f>IF($C243="","",INDEX(입력_인턴근무계획!$N$3:$N$402,$A243)&amp;"")</f>
        <v/>
      </c>
      <c r="M243" s="26">
        <f>IF($C243="","",INDEX(입력_인턴근무계획!$O$3:$O$402,$A243)&amp;"")</f>
        <v/>
      </c>
      <c r="N243" s="26">
        <f>IF($C243="","",INDEX(입력_인턴근무계획!$P$3:$P$402,$A243)&amp;"")</f>
        <v/>
      </c>
      <c r="O243" s="26">
        <f>IF($C243="","",INDEX(입력_인턴근무계획!$Q$3:$Q$402,$A243)&amp;"")</f>
        <v/>
      </c>
      <c r="P243" s="26">
        <f>IF($C243="","",INDEX(입력_인턴근무계획!$R$3:$R$402,$A243)&amp;"")</f>
        <v/>
      </c>
      <c r="Q243" s="26">
        <f>IF($C243="","",INDEX(입력_인턴근무계획!$T$3:$T$402,$A243))</f>
        <v/>
      </c>
    </row>
    <row r="244">
      <c r="A244" s="29" t="n">
        <v>239</v>
      </c>
      <c r="B244" s="26">
        <f>IF($C244="","",INDEX(입력_인턴근무계획!$B$3:$B$402,$A244))</f>
        <v/>
      </c>
      <c r="C244" s="26">
        <f>IFERROR(TRIM(INDEX(입력_인턴근무계획!$C$3:$C$402,$A244)&amp;""),"")</f>
        <v/>
      </c>
      <c r="D244" s="26">
        <f>IF($C244="","",INDEX(입력_인턴근무계획!$D$3:$D$402,$A244))</f>
        <v/>
      </c>
      <c r="E244" s="26">
        <f>IF($C244="","",IF(IFERROR(MATCH($D244,입력_기본자료!$B$2:$B$1001,0),IFERROR(MATCH($D244&amp;"",입력_기본자료!$B$2:$B$1001,0),IFERROR(MATCH(VALUE($D244),입력_기본자료!$B$2:$B$1001,0),0)))&gt;0,"확인","미등록"))</f>
        <v/>
      </c>
      <c r="F244" s="28">
        <f>IF($C244="","",INDEX(입력_인턴근무계획!$S$3:$S$402,$A244))</f>
        <v/>
      </c>
      <c r="G244" s="26">
        <f>IF(OR($C244="",$G$3=""),"",IF(INDEX(입력_인턴근무계획!$M$3:$R$402,$A244,$G$3)&amp;""="","",IF(LEFT(INDEX(입력_인턴근무계획!$M$3:$R$402,$A244,$G$3)&amp;"",1)="⚠",INDEX(입력_인턴근무계획!$M$3:$R$402,$A244,$G$3)&amp;"",LEFT(INDEX(입력_인턴근무계획!$M$3:$R$402,$A244,$G$3)&amp;"",FIND(" ",INDEX(입력_인턴근무계획!$M$3:$R$402,$A244,$G$3)&amp;"")-1))))</f>
        <v/>
      </c>
      <c r="H244" s="26">
        <f>IF(OR($C244="",$G$3=""),"",IF(INDEX(입력_인턴근무계획!$M$3:$R$402,$A244,$G$3)&amp;""="","",IF(LEFT(INDEX(입력_인턴근무계획!$M$3:$R$402,$A244,$G$3)&amp;"",1)="⚠","",MID(INDEX(입력_인턴근무계획!$M$3:$R$402,$A244,$G$3)&amp;"",FIND(" ",INDEX(입력_인턴근무계획!$M$3:$R$402,$A244,$G$3)&amp;"")+1,60))))</f>
        <v/>
      </c>
      <c r="I244" s="26">
        <f>IF(OR($C244="",$I$3=""),"",IF(INDEX(입력_인턴근무계획!$M$3:$R$402,$A244,$I$3)&amp;""="","",IF(LEFT(INDEX(입력_인턴근무계획!$M$3:$R$402,$A244,$I$3)&amp;"",1)="⚠",INDEX(입력_인턴근무계획!$M$3:$R$402,$A244,$I$3)&amp;"",LEFT(INDEX(입력_인턴근무계획!$M$3:$R$402,$A244,$I$3)&amp;"",FIND(" ",INDEX(입력_인턴근무계획!$M$3:$R$402,$A244,$I$3)&amp;"")-1))))</f>
        <v/>
      </c>
      <c r="J244" s="26">
        <f>IF(OR($C244="",$I$3=""),"",IF(INDEX(입력_인턴근무계획!$M$3:$R$402,$A244,$I$3)&amp;""="","",IF(LEFT(INDEX(입력_인턴근무계획!$M$3:$R$402,$A244,$I$3)&amp;"",1)="⚠","",MID(INDEX(입력_인턴근무계획!$M$3:$R$402,$A244,$I$3)&amp;"",FIND(" ",INDEX(입력_인턴근무계획!$M$3:$R$402,$A244,$I$3)&amp;"")+1,60))))</f>
        <v/>
      </c>
      <c r="K244" s="26">
        <f>IF($C244="","",INDEX(입력_인턴근무계획!$M$3:$M$402,$A244)&amp;"")</f>
        <v/>
      </c>
      <c r="L244" s="26">
        <f>IF($C244="","",INDEX(입력_인턴근무계획!$N$3:$N$402,$A244)&amp;"")</f>
        <v/>
      </c>
      <c r="M244" s="26">
        <f>IF($C244="","",INDEX(입력_인턴근무계획!$O$3:$O$402,$A244)&amp;"")</f>
        <v/>
      </c>
      <c r="N244" s="26">
        <f>IF($C244="","",INDEX(입력_인턴근무계획!$P$3:$P$402,$A244)&amp;"")</f>
        <v/>
      </c>
      <c r="O244" s="26">
        <f>IF($C244="","",INDEX(입력_인턴근무계획!$Q$3:$Q$402,$A244)&amp;"")</f>
        <v/>
      </c>
      <c r="P244" s="26">
        <f>IF($C244="","",INDEX(입력_인턴근무계획!$R$3:$R$402,$A244)&amp;"")</f>
        <v/>
      </c>
      <c r="Q244" s="26">
        <f>IF($C244="","",INDEX(입력_인턴근무계획!$T$3:$T$402,$A244))</f>
        <v/>
      </c>
    </row>
    <row r="245">
      <c r="A245" s="29" t="n">
        <v>240</v>
      </c>
      <c r="B245" s="26">
        <f>IF($C245="","",INDEX(입력_인턴근무계획!$B$3:$B$402,$A245))</f>
        <v/>
      </c>
      <c r="C245" s="26">
        <f>IFERROR(TRIM(INDEX(입력_인턴근무계획!$C$3:$C$402,$A245)&amp;""),"")</f>
        <v/>
      </c>
      <c r="D245" s="26">
        <f>IF($C245="","",INDEX(입력_인턴근무계획!$D$3:$D$402,$A245))</f>
        <v/>
      </c>
      <c r="E245" s="26">
        <f>IF($C245="","",IF(IFERROR(MATCH($D245,입력_기본자료!$B$2:$B$1001,0),IFERROR(MATCH($D245&amp;"",입력_기본자료!$B$2:$B$1001,0),IFERROR(MATCH(VALUE($D245),입력_기본자료!$B$2:$B$1001,0),0)))&gt;0,"확인","미등록"))</f>
        <v/>
      </c>
      <c r="F245" s="28">
        <f>IF($C245="","",INDEX(입력_인턴근무계획!$S$3:$S$402,$A245))</f>
        <v/>
      </c>
      <c r="G245" s="26">
        <f>IF(OR($C245="",$G$3=""),"",IF(INDEX(입력_인턴근무계획!$M$3:$R$402,$A245,$G$3)&amp;""="","",IF(LEFT(INDEX(입력_인턴근무계획!$M$3:$R$402,$A245,$G$3)&amp;"",1)="⚠",INDEX(입력_인턴근무계획!$M$3:$R$402,$A245,$G$3)&amp;"",LEFT(INDEX(입력_인턴근무계획!$M$3:$R$402,$A245,$G$3)&amp;"",FIND(" ",INDEX(입력_인턴근무계획!$M$3:$R$402,$A245,$G$3)&amp;"")-1))))</f>
        <v/>
      </c>
      <c r="H245" s="26">
        <f>IF(OR($C245="",$G$3=""),"",IF(INDEX(입력_인턴근무계획!$M$3:$R$402,$A245,$G$3)&amp;""="","",IF(LEFT(INDEX(입력_인턴근무계획!$M$3:$R$402,$A245,$G$3)&amp;"",1)="⚠","",MID(INDEX(입력_인턴근무계획!$M$3:$R$402,$A245,$G$3)&amp;"",FIND(" ",INDEX(입력_인턴근무계획!$M$3:$R$402,$A245,$G$3)&amp;"")+1,60))))</f>
        <v/>
      </c>
      <c r="I245" s="26">
        <f>IF(OR($C245="",$I$3=""),"",IF(INDEX(입력_인턴근무계획!$M$3:$R$402,$A245,$I$3)&amp;""="","",IF(LEFT(INDEX(입력_인턴근무계획!$M$3:$R$402,$A245,$I$3)&amp;"",1)="⚠",INDEX(입력_인턴근무계획!$M$3:$R$402,$A245,$I$3)&amp;"",LEFT(INDEX(입력_인턴근무계획!$M$3:$R$402,$A245,$I$3)&amp;"",FIND(" ",INDEX(입력_인턴근무계획!$M$3:$R$402,$A245,$I$3)&amp;"")-1))))</f>
        <v/>
      </c>
      <c r="J245" s="26">
        <f>IF(OR($C245="",$I$3=""),"",IF(INDEX(입력_인턴근무계획!$M$3:$R$402,$A245,$I$3)&amp;""="","",IF(LEFT(INDEX(입력_인턴근무계획!$M$3:$R$402,$A245,$I$3)&amp;"",1)="⚠","",MID(INDEX(입력_인턴근무계획!$M$3:$R$402,$A245,$I$3)&amp;"",FIND(" ",INDEX(입력_인턴근무계획!$M$3:$R$402,$A245,$I$3)&amp;"")+1,60))))</f>
        <v/>
      </c>
      <c r="K245" s="26">
        <f>IF($C245="","",INDEX(입력_인턴근무계획!$M$3:$M$402,$A245)&amp;"")</f>
        <v/>
      </c>
      <c r="L245" s="26">
        <f>IF($C245="","",INDEX(입력_인턴근무계획!$N$3:$N$402,$A245)&amp;"")</f>
        <v/>
      </c>
      <c r="M245" s="26">
        <f>IF($C245="","",INDEX(입력_인턴근무계획!$O$3:$O$402,$A245)&amp;"")</f>
        <v/>
      </c>
      <c r="N245" s="26">
        <f>IF($C245="","",INDEX(입력_인턴근무계획!$P$3:$P$402,$A245)&amp;"")</f>
        <v/>
      </c>
      <c r="O245" s="26">
        <f>IF($C245="","",INDEX(입력_인턴근무계획!$Q$3:$Q$402,$A245)&amp;"")</f>
        <v/>
      </c>
      <c r="P245" s="26">
        <f>IF($C245="","",INDEX(입력_인턴근무계획!$R$3:$R$402,$A245)&amp;"")</f>
        <v/>
      </c>
      <c r="Q245" s="26">
        <f>IF($C245="","",INDEX(입력_인턴근무계획!$T$3:$T$402,$A245))</f>
        <v/>
      </c>
    </row>
    <row r="246">
      <c r="A246" s="29" t="n">
        <v>241</v>
      </c>
      <c r="B246" s="26">
        <f>IF($C246="","",INDEX(입력_인턴근무계획!$B$3:$B$402,$A246))</f>
        <v/>
      </c>
      <c r="C246" s="26">
        <f>IFERROR(TRIM(INDEX(입력_인턴근무계획!$C$3:$C$402,$A246)&amp;""),"")</f>
        <v/>
      </c>
      <c r="D246" s="26">
        <f>IF($C246="","",INDEX(입력_인턴근무계획!$D$3:$D$402,$A246))</f>
        <v/>
      </c>
      <c r="E246" s="26">
        <f>IF($C246="","",IF(IFERROR(MATCH($D246,입력_기본자료!$B$2:$B$1001,0),IFERROR(MATCH($D246&amp;"",입력_기본자료!$B$2:$B$1001,0),IFERROR(MATCH(VALUE($D246),입력_기본자료!$B$2:$B$1001,0),0)))&gt;0,"확인","미등록"))</f>
        <v/>
      </c>
      <c r="F246" s="28">
        <f>IF($C246="","",INDEX(입력_인턴근무계획!$S$3:$S$402,$A246))</f>
        <v/>
      </c>
      <c r="G246" s="26">
        <f>IF(OR($C246="",$G$3=""),"",IF(INDEX(입력_인턴근무계획!$M$3:$R$402,$A246,$G$3)&amp;""="","",IF(LEFT(INDEX(입력_인턴근무계획!$M$3:$R$402,$A246,$G$3)&amp;"",1)="⚠",INDEX(입력_인턴근무계획!$M$3:$R$402,$A246,$G$3)&amp;"",LEFT(INDEX(입력_인턴근무계획!$M$3:$R$402,$A246,$G$3)&amp;"",FIND(" ",INDEX(입력_인턴근무계획!$M$3:$R$402,$A246,$G$3)&amp;"")-1))))</f>
        <v/>
      </c>
      <c r="H246" s="26">
        <f>IF(OR($C246="",$G$3=""),"",IF(INDEX(입력_인턴근무계획!$M$3:$R$402,$A246,$G$3)&amp;""="","",IF(LEFT(INDEX(입력_인턴근무계획!$M$3:$R$402,$A246,$G$3)&amp;"",1)="⚠","",MID(INDEX(입력_인턴근무계획!$M$3:$R$402,$A246,$G$3)&amp;"",FIND(" ",INDEX(입력_인턴근무계획!$M$3:$R$402,$A246,$G$3)&amp;"")+1,60))))</f>
        <v/>
      </c>
      <c r="I246" s="26">
        <f>IF(OR($C246="",$I$3=""),"",IF(INDEX(입력_인턴근무계획!$M$3:$R$402,$A246,$I$3)&amp;""="","",IF(LEFT(INDEX(입력_인턴근무계획!$M$3:$R$402,$A246,$I$3)&amp;"",1)="⚠",INDEX(입력_인턴근무계획!$M$3:$R$402,$A246,$I$3)&amp;"",LEFT(INDEX(입력_인턴근무계획!$M$3:$R$402,$A246,$I$3)&amp;"",FIND(" ",INDEX(입력_인턴근무계획!$M$3:$R$402,$A246,$I$3)&amp;"")-1))))</f>
        <v/>
      </c>
      <c r="J246" s="26">
        <f>IF(OR($C246="",$I$3=""),"",IF(INDEX(입력_인턴근무계획!$M$3:$R$402,$A246,$I$3)&amp;""="","",IF(LEFT(INDEX(입력_인턴근무계획!$M$3:$R$402,$A246,$I$3)&amp;"",1)="⚠","",MID(INDEX(입력_인턴근무계획!$M$3:$R$402,$A246,$I$3)&amp;"",FIND(" ",INDEX(입력_인턴근무계획!$M$3:$R$402,$A246,$I$3)&amp;"")+1,60))))</f>
        <v/>
      </c>
      <c r="K246" s="26">
        <f>IF($C246="","",INDEX(입력_인턴근무계획!$M$3:$M$402,$A246)&amp;"")</f>
        <v/>
      </c>
      <c r="L246" s="26">
        <f>IF($C246="","",INDEX(입력_인턴근무계획!$N$3:$N$402,$A246)&amp;"")</f>
        <v/>
      </c>
      <c r="M246" s="26">
        <f>IF($C246="","",INDEX(입력_인턴근무계획!$O$3:$O$402,$A246)&amp;"")</f>
        <v/>
      </c>
      <c r="N246" s="26">
        <f>IF($C246="","",INDEX(입력_인턴근무계획!$P$3:$P$402,$A246)&amp;"")</f>
        <v/>
      </c>
      <c r="O246" s="26">
        <f>IF($C246="","",INDEX(입력_인턴근무계획!$Q$3:$Q$402,$A246)&amp;"")</f>
        <v/>
      </c>
      <c r="P246" s="26">
        <f>IF($C246="","",INDEX(입력_인턴근무계획!$R$3:$R$402,$A246)&amp;"")</f>
        <v/>
      </c>
      <c r="Q246" s="26">
        <f>IF($C246="","",INDEX(입력_인턴근무계획!$T$3:$T$402,$A246))</f>
        <v/>
      </c>
    </row>
    <row r="247">
      <c r="A247" s="29" t="n">
        <v>242</v>
      </c>
      <c r="B247" s="26">
        <f>IF($C247="","",INDEX(입력_인턴근무계획!$B$3:$B$402,$A247))</f>
        <v/>
      </c>
      <c r="C247" s="26">
        <f>IFERROR(TRIM(INDEX(입력_인턴근무계획!$C$3:$C$402,$A247)&amp;""),"")</f>
        <v/>
      </c>
      <c r="D247" s="26">
        <f>IF($C247="","",INDEX(입력_인턴근무계획!$D$3:$D$402,$A247))</f>
        <v/>
      </c>
      <c r="E247" s="26">
        <f>IF($C247="","",IF(IFERROR(MATCH($D247,입력_기본자료!$B$2:$B$1001,0),IFERROR(MATCH($D247&amp;"",입력_기본자료!$B$2:$B$1001,0),IFERROR(MATCH(VALUE($D247),입력_기본자료!$B$2:$B$1001,0),0)))&gt;0,"확인","미등록"))</f>
        <v/>
      </c>
      <c r="F247" s="28">
        <f>IF($C247="","",INDEX(입력_인턴근무계획!$S$3:$S$402,$A247))</f>
        <v/>
      </c>
      <c r="G247" s="26">
        <f>IF(OR($C247="",$G$3=""),"",IF(INDEX(입력_인턴근무계획!$M$3:$R$402,$A247,$G$3)&amp;""="","",IF(LEFT(INDEX(입력_인턴근무계획!$M$3:$R$402,$A247,$G$3)&amp;"",1)="⚠",INDEX(입력_인턴근무계획!$M$3:$R$402,$A247,$G$3)&amp;"",LEFT(INDEX(입력_인턴근무계획!$M$3:$R$402,$A247,$G$3)&amp;"",FIND(" ",INDEX(입력_인턴근무계획!$M$3:$R$402,$A247,$G$3)&amp;"")-1))))</f>
        <v/>
      </c>
      <c r="H247" s="26">
        <f>IF(OR($C247="",$G$3=""),"",IF(INDEX(입력_인턴근무계획!$M$3:$R$402,$A247,$G$3)&amp;""="","",IF(LEFT(INDEX(입력_인턴근무계획!$M$3:$R$402,$A247,$G$3)&amp;"",1)="⚠","",MID(INDEX(입력_인턴근무계획!$M$3:$R$402,$A247,$G$3)&amp;"",FIND(" ",INDEX(입력_인턴근무계획!$M$3:$R$402,$A247,$G$3)&amp;"")+1,60))))</f>
        <v/>
      </c>
      <c r="I247" s="26">
        <f>IF(OR($C247="",$I$3=""),"",IF(INDEX(입력_인턴근무계획!$M$3:$R$402,$A247,$I$3)&amp;""="","",IF(LEFT(INDEX(입력_인턴근무계획!$M$3:$R$402,$A247,$I$3)&amp;"",1)="⚠",INDEX(입력_인턴근무계획!$M$3:$R$402,$A247,$I$3)&amp;"",LEFT(INDEX(입력_인턴근무계획!$M$3:$R$402,$A247,$I$3)&amp;"",FIND(" ",INDEX(입력_인턴근무계획!$M$3:$R$402,$A247,$I$3)&amp;"")-1))))</f>
        <v/>
      </c>
      <c r="J247" s="26">
        <f>IF(OR($C247="",$I$3=""),"",IF(INDEX(입력_인턴근무계획!$M$3:$R$402,$A247,$I$3)&amp;""="","",IF(LEFT(INDEX(입력_인턴근무계획!$M$3:$R$402,$A247,$I$3)&amp;"",1)="⚠","",MID(INDEX(입력_인턴근무계획!$M$3:$R$402,$A247,$I$3)&amp;"",FIND(" ",INDEX(입력_인턴근무계획!$M$3:$R$402,$A247,$I$3)&amp;"")+1,60))))</f>
        <v/>
      </c>
      <c r="K247" s="26">
        <f>IF($C247="","",INDEX(입력_인턴근무계획!$M$3:$M$402,$A247)&amp;"")</f>
        <v/>
      </c>
      <c r="L247" s="26">
        <f>IF($C247="","",INDEX(입력_인턴근무계획!$N$3:$N$402,$A247)&amp;"")</f>
        <v/>
      </c>
      <c r="M247" s="26">
        <f>IF($C247="","",INDEX(입력_인턴근무계획!$O$3:$O$402,$A247)&amp;"")</f>
        <v/>
      </c>
      <c r="N247" s="26">
        <f>IF($C247="","",INDEX(입력_인턴근무계획!$P$3:$P$402,$A247)&amp;"")</f>
        <v/>
      </c>
      <c r="O247" s="26">
        <f>IF($C247="","",INDEX(입력_인턴근무계획!$Q$3:$Q$402,$A247)&amp;"")</f>
        <v/>
      </c>
      <c r="P247" s="26">
        <f>IF($C247="","",INDEX(입력_인턴근무계획!$R$3:$R$402,$A247)&amp;"")</f>
        <v/>
      </c>
      <c r="Q247" s="26">
        <f>IF($C247="","",INDEX(입력_인턴근무계획!$T$3:$T$402,$A247))</f>
        <v/>
      </c>
    </row>
    <row r="248">
      <c r="A248" s="29" t="n">
        <v>243</v>
      </c>
      <c r="B248" s="26">
        <f>IF($C248="","",INDEX(입력_인턴근무계획!$B$3:$B$402,$A248))</f>
        <v/>
      </c>
      <c r="C248" s="26">
        <f>IFERROR(TRIM(INDEX(입력_인턴근무계획!$C$3:$C$402,$A248)&amp;""),"")</f>
        <v/>
      </c>
      <c r="D248" s="26">
        <f>IF($C248="","",INDEX(입력_인턴근무계획!$D$3:$D$402,$A248))</f>
        <v/>
      </c>
      <c r="E248" s="26">
        <f>IF($C248="","",IF(IFERROR(MATCH($D248,입력_기본자료!$B$2:$B$1001,0),IFERROR(MATCH($D248&amp;"",입력_기본자료!$B$2:$B$1001,0),IFERROR(MATCH(VALUE($D248),입력_기본자료!$B$2:$B$1001,0),0)))&gt;0,"확인","미등록"))</f>
        <v/>
      </c>
      <c r="F248" s="28">
        <f>IF($C248="","",INDEX(입력_인턴근무계획!$S$3:$S$402,$A248))</f>
        <v/>
      </c>
      <c r="G248" s="26">
        <f>IF(OR($C248="",$G$3=""),"",IF(INDEX(입력_인턴근무계획!$M$3:$R$402,$A248,$G$3)&amp;""="","",IF(LEFT(INDEX(입력_인턴근무계획!$M$3:$R$402,$A248,$G$3)&amp;"",1)="⚠",INDEX(입력_인턴근무계획!$M$3:$R$402,$A248,$G$3)&amp;"",LEFT(INDEX(입력_인턴근무계획!$M$3:$R$402,$A248,$G$3)&amp;"",FIND(" ",INDEX(입력_인턴근무계획!$M$3:$R$402,$A248,$G$3)&amp;"")-1))))</f>
        <v/>
      </c>
      <c r="H248" s="26">
        <f>IF(OR($C248="",$G$3=""),"",IF(INDEX(입력_인턴근무계획!$M$3:$R$402,$A248,$G$3)&amp;""="","",IF(LEFT(INDEX(입력_인턴근무계획!$M$3:$R$402,$A248,$G$3)&amp;"",1)="⚠","",MID(INDEX(입력_인턴근무계획!$M$3:$R$402,$A248,$G$3)&amp;"",FIND(" ",INDEX(입력_인턴근무계획!$M$3:$R$402,$A248,$G$3)&amp;"")+1,60))))</f>
        <v/>
      </c>
      <c r="I248" s="26">
        <f>IF(OR($C248="",$I$3=""),"",IF(INDEX(입력_인턴근무계획!$M$3:$R$402,$A248,$I$3)&amp;""="","",IF(LEFT(INDEX(입력_인턴근무계획!$M$3:$R$402,$A248,$I$3)&amp;"",1)="⚠",INDEX(입력_인턴근무계획!$M$3:$R$402,$A248,$I$3)&amp;"",LEFT(INDEX(입력_인턴근무계획!$M$3:$R$402,$A248,$I$3)&amp;"",FIND(" ",INDEX(입력_인턴근무계획!$M$3:$R$402,$A248,$I$3)&amp;"")-1))))</f>
        <v/>
      </c>
      <c r="J248" s="26">
        <f>IF(OR($C248="",$I$3=""),"",IF(INDEX(입력_인턴근무계획!$M$3:$R$402,$A248,$I$3)&amp;""="","",IF(LEFT(INDEX(입력_인턴근무계획!$M$3:$R$402,$A248,$I$3)&amp;"",1)="⚠","",MID(INDEX(입력_인턴근무계획!$M$3:$R$402,$A248,$I$3)&amp;"",FIND(" ",INDEX(입력_인턴근무계획!$M$3:$R$402,$A248,$I$3)&amp;"")+1,60))))</f>
        <v/>
      </c>
      <c r="K248" s="26">
        <f>IF($C248="","",INDEX(입력_인턴근무계획!$M$3:$M$402,$A248)&amp;"")</f>
        <v/>
      </c>
      <c r="L248" s="26">
        <f>IF($C248="","",INDEX(입력_인턴근무계획!$N$3:$N$402,$A248)&amp;"")</f>
        <v/>
      </c>
      <c r="M248" s="26">
        <f>IF($C248="","",INDEX(입력_인턴근무계획!$O$3:$O$402,$A248)&amp;"")</f>
        <v/>
      </c>
      <c r="N248" s="26">
        <f>IF($C248="","",INDEX(입력_인턴근무계획!$P$3:$P$402,$A248)&amp;"")</f>
        <v/>
      </c>
      <c r="O248" s="26">
        <f>IF($C248="","",INDEX(입력_인턴근무계획!$Q$3:$Q$402,$A248)&amp;"")</f>
        <v/>
      </c>
      <c r="P248" s="26">
        <f>IF($C248="","",INDEX(입력_인턴근무계획!$R$3:$R$402,$A248)&amp;"")</f>
        <v/>
      </c>
      <c r="Q248" s="26">
        <f>IF($C248="","",INDEX(입력_인턴근무계획!$T$3:$T$402,$A248))</f>
        <v/>
      </c>
    </row>
    <row r="249">
      <c r="A249" s="29" t="n">
        <v>244</v>
      </c>
      <c r="B249" s="26">
        <f>IF($C249="","",INDEX(입력_인턴근무계획!$B$3:$B$402,$A249))</f>
        <v/>
      </c>
      <c r="C249" s="26">
        <f>IFERROR(TRIM(INDEX(입력_인턴근무계획!$C$3:$C$402,$A249)&amp;""),"")</f>
        <v/>
      </c>
      <c r="D249" s="26">
        <f>IF($C249="","",INDEX(입력_인턴근무계획!$D$3:$D$402,$A249))</f>
        <v/>
      </c>
      <c r="E249" s="26">
        <f>IF($C249="","",IF(IFERROR(MATCH($D249,입력_기본자료!$B$2:$B$1001,0),IFERROR(MATCH($D249&amp;"",입력_기본자료!$B$2:$B$1001,0),IFERROR(MATCH(VALUE($D249),입력_기본자료!$B$2:$B$1001,0),0)))&gt;0,"확인","미등록"))</f>
        <v/>
      </c>
      <c r="F249" s="28">
        <f>IF($C249="","",INDEX(입력_인턴근무계획!$S$3:$S$402,$A249))</f>
        <v/>
      </c>
      <c r="G249" s="26">
        <f>IF(OR($C249="",$G$3=""),"",IF(INDEX(입력_인턴근무계획!$M$3:$R$402,$A249,$G$3)&amp;""="","",IF(LEFT(INDEX(입력_인턴근무계획!$M$3:$R$402,$A249,$G$3)&amp;"",1)="⚠",INDEX(입력_인턴근무계획!$M$3:$R$402,$A249,$G$3)&amp;"",LEFT(INDEX(입력_인턴근무계획!$M$3:$R$402,$A249,$G$3)&amp;"",FIND(" ",INDEX(입력_인턴근무계획!$M$3:$R$402,$A249,$G$3)&amp;"")-1))))</f>
        <v/>
      </c>
      <c r="H249" s="26">
        <f>IF(OR($C249="",$G$3=""),"",IF(INDEX(입력_인턴근무계획!$M$3:$R$402,$A249,$G$3)&amp;""="","",IF(LEFT(INDEX(입력_인턴근무계획!$M$3:$R$402,$A249,$G$3)&amp;"",1)="⚠","",MID(INDEX(입력_인턴근무계획!$M$3:$R$402,$A249,$G$3)&amp;"",FIND(" ",INDEX(입력_인턴근무계획!$M$3:$R$402,$A249,$G$3)&amp;"")+1,60))))</f>
        <v/>
      </c>
      <c r="I249" s="26">
        <f>IF(OR($C249="",$I$3=""),"",IF(INDEX(입력_인턴근무계획!$M$3:$R$402,$A249,$I$3)&amp;""="","",IF(LEFT(INDEX(입력_인턴근무계획!$M$3:$R$402,$A249,$I$3)&amp;"",1)="⚠",INDEX(입력_인턴근무계획!$M$3:$R$402,$A249,$I$3)&amp;"",LEFT(INDEX(입력_인턴근무계획!$M$3:$R$402,$A249,$I$3)&amp;"",FIND(" ",INDEX(입력_인턴근무계획!$M$3:$R$402,$A249,$I$3)&amp;"")-1))))</f>
        <v/>
      </c>
      <c r="J249" s="26">
        <f>IF(OR($C249="",$I$3=""),"",IF(INDEX(입력_인턴근무계획!$M$3:$R$402,$A249,$I$3)&amp;""="","",IF(LEFT(INDEX(입력_인턴근무계획!$M$3:$R$402,$A249,$I$3)&amp;"",1)="⚠","",MID(INDEX(입력_인턴근무계획!$M$3:$R$402,$A249,$I$3)&amp;"",FIND(" ",INDEX(입력_인턴근무계획!$M$3:$R$402,$A249,$I$3)&amp;"")+1,60))))</f>
        <v/>
      </c>
      <c r="K249" s="26">
        <f>IF($C249="","",INDEX(입력_인턴근무계획!$M$3:$M$402,$A249)&amp;"")</f>
        <v/>
      </c>
      <c r="L249" s="26">
        <f>IF($C249="","",INDEX(입력_인턴근무계획!$N$3:$N$402,$A249)&amp;"")</f>
        <v/>
      </c>
      <c r="M249" s="26">
        <f>IF($C249="","",INDEX(입력_인턴근무계획!$O$3:$O$402,$A249)&amp;"")</f>
        <v/>
      </c>
      <c r="N249" s="26">
        <f>IF($C249="","",INDEX(입력_인턴근무계획!$P$3:$P$402,$A249)&amp;"")</f>
        <v/>
      </c>
      <c r="O249" s="26">
        <f>IF($C249="","",INDEX(입력_인턴근무계획!$Q$3:$Q$402,$A249)&amp;"")</f>
        <v/>
      </c>
      <c r="P249" s="26">
        <f>IF($C249="","",INDEX(입력_인턴근무계획!$R$3:$R$402,$A249)&amp;"")</f>
        <v/>
      </c>
      <c r="Q249" s="26">
        <f>IF($C249="","",INDEX(입력_인턴근무계획!$T$3:$T$402,$A249))</f>
        <v/>
      </c>
    </row>
    <row r="250">
      <c r="A250" s="29" t="n">
        <v>245</v>
      </c>
      <c r="B250" s="26">
        <f>IF($C250="","",INDEX(입력_인턴근무계획!$B$3:$B$402,$A250))</f>
        <v/>
      </c>
      <c r="C250" s="26">
        <f>IFERROR(TRIM(INDEX(입력_인턴근무계획!$C$3:$C$402,$A250)&amp;""),"")</f>
        <v/>
      </c>
      <c r="D250" s="26">
        <f>IF($C250="","",INDEX(입력_인턴근무계획!$D$3:$D$402,$A250))</f>
        <v/>
      </c>
      <c r="E250" s="26">
        <f>IF($C250="","",IF(IFERROR(MATCH($D250,입력_기본자료!$B$2:$B$1001,0),IFERROR(MATCH($D250&amp;"",입력_기본자료!$B$2:$B$1001,0),IFERROR(MATCH(VALUE($D250),입력_기본자료!$B$2:$B$1001,0),0)))&gt;0,"확인","미등록"))</f>
        <v/>
      </c>
      <c r="F250" s="28">
        <f>IF($C250="","",INDEX(입력_인턴근무계획!$S$3:$S$402,$A250))</f>
        <v/>
      </c>
      <c r="G250" s="26">
        <f>IF(OR($C250="",$G$3=""),"",IF(INDEX(입력_인턴근무계획!$M$3:$R$402,$A250,$G$3)&amp;""="","",IF(LEFT(INDEX(입력_인턴근무계획!$M$3:$R$402,$A250,$G$3)&amp;"",1)="⚠",INDEX(입력_인턴근무계획!$M$3:$R$402,$A250,$G$3)&amp;"",LEFT(INDEX(입력_인턴근무계획!$M$3:$R$402,$A250,$G$3)&amp;"",FIND(" ",INDEX(입력_인턴근무계획!$M$3:$R$402,$A250,$G$3)&amp;"")-1))))</f>
        <v/>
      </c>
      <c r="H250" s="26">
        <f>IF(OR($C250="",$G$3=""),"",IF(INDEX(입력_인턴근무계획!$M$3:$R$402,$A250,$G$3)&amp;""="","",IF(LEFT(INDEX(입력_인턴근무계획!$M$3:$R$402,$A250,$G$3)&amp;"",1)="⚠","",MID(INDEX(입력_인턴근무계획!$M$3:$R$402,$A250,$G$3)&amp;"",FIND(" ",INDEX(입력_인턴근무계획!$M$3:$R$402,$A250,$G$3)&amp;"")+1,60))))</f>
        <v/>
      </c>
      <c r="I250" s="26">
        <f>IF(OR($C250="",$I$3=""),"",IF(INDEX(입력_인턴근무계획!$M$3:$R$402,$A250,$I$3)&amp;""="","",IF(LEFT(INDEX(입력_인턴근무계획!$M$3:$R$402,$A250,$I$3)&amp;"",1)="⚠",INDEX(입력_인턴근무계획!$M$3:$R$402,$A250,$I$3)&amp;"",LEFT(INDEX(입력_인턴근무계획!$M$3:$R$402,$A250,$I$3)&amp;"",FIND(" ",INDEX(입력_인턴근무계획!$M$3:$R$402,$A250,$I$3)&amp;"")-1))))</f>
        <v/>
      </c>
      <c r="J250" s="26">
        <f>IF(OR($C250="",$I$3=""),"",IF(INDEX(입력_인턴근무계획!$M$3:$R$402,$A250,$I$3)&amp;""="","",IF(LEFT(INDEX(입력_인턴근무계획!$M$3:$R$402,$A250,$I$3)&amp;"",1)="⚠","",MID(INDEX(입력_인턴근무계획!$M$3:$R$402,$A250,$I$3)&amp;"",FIND(" ",INDEX(입력_인턴근무계획!$M$3:$R$402,$A250,$I$3)&amp;"")+1,60))))</f>
        <v/>
      </c>
      <c r="K250" s="26">
        <f>IF($C250="","",INDEX(입력_인턴근무계획!$M$3:$M$402,$A250)&amp;"")</f>
        <v/>
      </c>
      <c r="L250" s="26">
        <f>IF($C250="","",INDEX(입력_인턴근무계획!$N$3:$N$402,$A250)&amp;"")</f>
        <v/>
      </c>
      <c r="M250" s="26">
        <f>IF($C250="","",INDEX(입력_인턴근무계획!$O$3:$O$402,$A250)&amp;"")</f>
        <v/>
      </c>
      <c r="N250" s="26">
        <f>IF($C250="","",INDEX(입력_인턴근무계획!$P$3:$P$402,$A250)&amp;"")</f>
        <v/>
      </c>
      <c r="O250" s="26">
        <f>IF($C250="","",INDEX(입력_인턴근무계획!$Q$3:$Q$402,$A250)&amp;"")</f>
        <v/>
      </c>
      <c r="P250" s="26">
        <f>IF($C250="","",INDEX(입력_인턴근무계획!$R$3:$R$402,$A250)&amp;"")</f>
        <v/>
      </c>
      <c r="Q250" s="26">
        <f>IF($C250="","",INDEX(입력_인턴근무계획!$T$3:$T$402,$A250))</f>
        <v/>
      </c>
    </row>
    <row r="251">
      <c r="A251" s="29" t="n">
        <v>246</v>
      </c>
      <c r="B251" s="26">
        <f>IF($C251="","",INDEX(입력_인턴근무계획!$B$3:$B$402,$A251))</f>
        <v/>
      </c>
      <c r="C251" s="26">
        <f>IFERROR(TRIM(INDEX(입력_인턴근무계획!$C$3:$C$402,$A251)&amp;""),"")</f>
        <v/>
      </c>
      <c r="D251" s="26">
        <f>IF($C251="","",INDEX(입력_인턴근무계획!$D$3:$D$402,$A251))</f>
        <v/>
      </c>
      <c r="E251" s="26">
        <f>IF($C251="","",IF(IFERROR(MATCH($D251,입력_기본자료!$B$2:$B$1001,0),IFERROR(MATCH($D251&amp;"",입력_기본자료!$B$2:$B$1001,0),IFERROR(MATCH(VALUE($D251),입력_기본자료!$B$2:$B$1001,0),0)))&gt;0,"확인","미등록"))</f>
        <v/>
      </c>
      <c r="F251" s="28">
        <f>IF($C251="","",INDEX(입력_인턴근무계획!$S$3:$S$402,$A251))</f>
        <v/>
      </c>
      <c r="G251" s="26">
        <f>IF(OR($C251="",$G$3=""),"",IF(INDEX(입력_인턴근무계획!$M$3:$R$402,$A251,$G$3)&amp;""="","",IF(LEFT(INDEX(입력_인턴근무계획!$M$3:$R$402,$A251,$G$3)&amp;"",1)="⚠",INDEX(입력_인턴근무계획!$M$3:$R$402,$A251,$G$3)&amp;"",LEFT(INDEX(입력_인턴근무계획!$M$3:$R$402,$A251,$G$3)&amp;"",FIND(" ",INDEX(입력_인턴근무계획!$M$3:$R$402,$A251,$G$3)&amp;"")-1))))</f>
        <v/>
      </c>
      <c r="H251" s="26">
        <f>IF(OR($C251="",$G$3=""),"",IF(INDEX(입력_인턴근무계획!$M$3:$R$402,$A251,$G$3)&amp;""="","",IF(LEFT(INDEX(입력_인턴근무계획!$M$3:$R$402,$A251,$G$3)&amp;"",1)="⚠","",MID(INDEX(입력_인턴근무계획!$M$3:$R$402,$A251,$G$3)&amp;"",FIND(" ",INDEX(입력_인턴근무계획!$M$3:$R$402,$A251,$G$3)&amp;"")+1,60))))</f>
        <v/>
      </c>
      <c r="I251" s="26">
        <f>IF(OR($C251="",$I$3=""),"",IF(INDEX(입력_인턴근무계획!$M$3:$R$402,$A251,$I$3)&amp;""="","",IF(LEFT(INDEX(입력_인턴근무계획!$M$3:$R$402,$A251,$I$3)&amp;"",1)="⚠",INDEX(입력_인턴근무계획!$M$3:$R$402,$A251,$I$3)&amp;"",LEFT(INDEX(입력_인턴근무계획!$M$3:$R$402,$A251,$I$3)&amp;"",FIND(" ",INDEX(입력_인턴근무계획!$M$3:$R$402,$A251,$I$3)&amp;"")-1))))</f>
        <v/>
      </c>
      <c r="J251" s="26">
        <f>IF(OR($C251="",$I$3=""),"",IF(INDEX(입력_인턴근무계획!$M$3:$R$402,$A251,$I$3)&amp;""="","",IF(LEFT(INDEX(입력_인턴근무계획!$M$3:$R$402,$A251,$I$3)&amp;"",1)="⚠","",MID(INDEX(입력_인턴근무계획!$M$3:$R$402,$A251,$I$3)&amp;"",FIND(" ",INDEX(입력_인턴근무계획!$M$3:$R$402,$A251,$I$3)&amp;"")+1,60))))</f>
        <v/>
      </c>
      <c r="K251" s="26">
        <f>IF($C251="","",INDEX(입력_인턴근무계획!$M$3:$M$402,$A251)&amp;"")</f>
        <v/>
      </c>
      <c r="L251" s="26">
        <f>IF($C251="","",INDEX(입력_인턴근무계획!$N$3:$N$402,$A251)&amp;"")</f>
        <v/>
      </c>
      <c r="M251" s="26">
        <f>IF($C251="","",INDEX(입력_인턴근무계획!$O$3:$O$402,$A251)&amp;"")</f>
        <v/>
      </c>
      <c r="N251" s="26">
        <f>IF($C251="","",INDEX(입력_인턴근무계획!$P$3:$P$402,$A251)&amp;"")</f>
        <v/>
      </c>
      <c r="O251" s="26">
        <f>IF($C251="","",INDEX(입력_인턴근무계획!$Q$3:$Q$402,$A251)&amp;"")</f>
        <v/>
      </c>
      <c r="P251" s="26">
        <f>IF($C251="","",INDEX(입력_인턴근무계획!$R$3:$R$402,$A251)&amp;"")</f>
        <v/>
      </c>
      <c r="Q251" s="26">
        <f>IF($C251="","",INDEX(입력_인턴근무계획!$T$3:$T$402,$A251))</f>
        <v/>
      </c>
    </row>
    <row r="252">
      <c r="A252" s="29" t="n">
        <v>247</v>
      </c>
      <c r="B252" s="26">
        <f>IF($C252="","",INDEX(입력_인턴근무계획!$B$3:$B$402,$A252))</f>
        <v/>
      </c>
      <c r="C252" s="26">
        <f>IFERROR(TRIM(INDEX(입력_인턴근무계획!$C$3:$C$402,$A252)&amp;""),"")</f>
        <v/>
      </c>
      <c r="D252" s="26">
        <f>IF($C252="","",INDEX(입력_인턴근무계획!$D$3:$D$402,$A252))</f>
        <v/>
      </c>
      <c r="E252" s="26">
        <f>IF($C252="","",IF(IFERROR(MATCH($D252,입력_기본자료!$B$2:$B$1001,0),IFERROR(MATCH($D252&amp;"",입력_기본자료!$B$2:$B$1001,0),IFERROR(MATCH(VALUE($D252),입력_기본자료!$B$2:$B$1001,0),0)))&gt;0,"확인","미등록"))</f>
        <v/>
      </c>
      <c r="F252" s="28">
        <f>IF($C252="","",INDEX(입력_인턴근무계획!$S$3:$S$402,$A252))</f>
        <v/>
      </c>
      <c r="G252" s="26">
        <f>IF(OR($C252="",$G$3=""),"",IF(INDEX(입력_인턴근무계획!$M$3:$R$402,$A252,$G$3)&amp;""="","",IF(LEFT(INDEX(입력_인턴근무계획!$M$3:$R$402,$A252,$G$3)&amp;"",1)="⚠",INDEX(입력_인턴근무계획!$M$3:$R$402,$A252,$G$3)&amp;"",LEFT(INDEX(입력_인턴근무계획!$M$3:$R$402,$A252,$G$3)&amp;"",FIND(" ",INDEX(입력_인턴근무계획!$M$3:$R$402,$A252,$G$3)&amp;"")-1))))</f>
        <v/>
      </c>
      <c r="H252" s="26">
        <f>IF(OR($C252="",$G$3=""),"",IF(INDEX(입력_인턴근무계획!$M$3:$R$402,$A252,$G$3)&amp;""="","",IF(LEFT(INDEX(입력_인턴근무계획!$M$3:$R$402,$A252,$G$3)&amp;"",1)="⚠","",MID(INDEX(입력_인턴근무계획!$M$3:$R$402,$A252,$G$3)&amp;"",FIND(" ",INDEX(입력_인턴근무계획!$M$3:$R$402,$A252,$G$3)&amp;"")+1,60))))</f>
        <v/>
      </c>
      <c r="I252" s="26">
        <f>IF(OR($C252="",$I$3=""),"",IF(INDEX(입력_인턴근무계획!$M$3:$R$402,$A252,$I$3)&amp;""="","",IF(LEFT(INDEX(입력_인턴근무계획!$M$3:$R$402,$A252,$I$3)&amp;"",1)="⚠",INDEX(입력_인턴근무계획!$M$3:$R$402,$A252,$I$3)&amp;"",LEFT(INDEX(입력_인턴근무계획!$M$3:$R$402,$A252,$I$3)&amp;"",FIND(" ",INDEX(입력_인턴근무계획!$M$3:$R$402,$A252,$I$3)&amp;"")-1))))</f>
        <v/>
      </c>
      <c r="J252" s="26">
        <f>IF(OR($C252="",$I$3=""),"",IF(INDEX(입력_인턴근무계획!$M$3:$R$402,$A252,$I$3)&amp;""="","",IF(LEFT(INDEX(입력_인턴근무계획!$M$3:$R$402,$A252,$I$3)&amp;"",1)="⚠","",MID(INDEX(입력_인턴근무계획!$M$3:$R$402,$A252,$I$3)&amp;"",FIND(" ",INDEX(입력_인턴근무계획!$M$3:$R$402,$A252,$I$3)&amp;"")+1,60))))</f>
        <v/>
      </c>
      <c r="K252" s="26">
        <f>IF($C252="","",INDEX(입력_인턴근무계획!$M$3:$M$402,$A252)&amp;"")</f>
        <v/>
      </c>
      <c r="L252" s="26">
        <f>IF($C252="","",INDEX(입력_인턴근무계획!$N$3:$N$402,$A252)&amp;"")</f>
        <v/>
      </c>
      <c r="M252" s="26">
        <f>IF($C252="","",INDEX(입력_인턴근무계획!$O$3:$O$402,$A252)&amp;"")</f>
        <v/>
      </c>
      <c r="N252" s="26">
        <f>IF($C252="","",INDEX(입력_인턴근무계획!$P$3:$P$402,$A252)&amp;"")</f>
        <v/>
      </c>
      <c r="O252" s="26">
        <f>IF($C252="","",INDEX(입력_인턴근무계획!$Q$3:$Q$402,$A252)&amp;"")</f>
        <v/>
      </c>
      <c r="P252" s="26">
        <f>IF($C252="","",INDEX(입력_인턴근무계획!$R$3:$R$402,$A252)&amp;"")</f>
        <v/>
      </c>
      <c r="Q252" s="26">
        <f>IF($C252="","",INDEX(입력_인턴근무계획!$T$3:$T$402,$A252))</f>
        <v/>
      </c>
    </row>
    <row r="253">
      <c r="A253" s="29" t="n">
        <v>248</v>
      </c>
      <c r="B253" s="26">
        <f>IF($C253="","",INDEX(입력_인턴근무계획!$B$3:$B$402,$A253))</f>
        <v/>
      </c>
      <c r="C253" s="26">
        <f>IFERROR(TRIM(INDEX(입력_인턴근무계획!$C$3:$C$402,$A253)&amp;""),"")</f>
        <v/>
      </c>
      <c r="D253" s="26">
        <f>IF($C253="","",INDEX(입력_인턴근무계획!$D$3:$D$402,$A253))</f>
        <v/>
      </c>
      <c r="E253" s="26">
        <f>IF($C253="","",IF(IFERROR(MATCH($D253,입력_기본자료!$B$2:$B$1001,0),IFERROR(MATCH($D253&amp;"",입력_기본자료!$B$2:$B$1001,0),IFERROR(MATCH(VALUE($D253),입력_기본자료!$B$2:$B$1001,0),0)))&gt;0,"확인","미등록"))</f>
        <v/>
      </c>
      <c r="F253" s="28">
        <f>IF($C253="","",INDEX(입력_인턴근무계획!$S$3:$S$402,$A253))</f>
        <v/>
      </c>
      <c r="G253" s="26">
        <f>IF(OR($C253="",$G$3=""),"",IF(INDEX(입력_인턴근무계획!$M$3:$R$402,$A253,$G$3)&amp;""="","",IF(LEFT(INDEX(입력_인턴근무계획!$M$3:$R$402,$A253,$G$3)&amp;"",1)="⚠",INDEX(입력_인턴근무계획!$M$3:$R$402,$A253,$G$3)&amp;"",LEFT(INDEX(입력_인턴근무계획!$M$3:$R$402,$A253,$G$3)&amp;"",FIND(" ",INDEX(입력_인턴근무계획!$M$3:$R$402,$A253,$G$3)&amp;"")-1))))</f>
        <v/>
      </c>
      <c r="H253" s="26">
        <f>IF(OR($C253="",$G$3=""),"",IF(INDEX(입력_인턴근무계획!$M$3:$R$402,$A253,$G$3)&amp;""="","",IF(LEFT(INDEX(입력_인턴근무계획!$M$3:$R$402,$A253,$G$3)&amp;"",1)="⚠","",MID(INDEX(입력_인턴근무계획!$M$3:$R$402,$A253,$G$3)&amp;"",FIND(" ",INDEX(입력_인턴근무계획!$M$3:$R$402,$A253,$G$3)&amp;"")+1,60))))</f>
        <v/>
      </c>
      <c r="I253" s="26">
        <f>IF(OR($C253="",$I$3=""),"",IF(INDEX(입력_인턴근무계획!$M$3:$R$402,$A253,$I$3)&amp;""="","",IF(LEFT(INDEX(입력_인턴근무계획!$M$3:$R$402,$A253,$I$3)&amp;"",1)="⚠",INDEX(입력_인턴근무계획!$M$3:$R$402,$A253,$I$3)&amp;"",LEFT(INDEX(입력_인턴근무계획!$M$3:$R$402,$A253,$I$3)&amp;"",FIND(" ",INDEX(입력_인턴근무계획!$M$3:$R$402,$A253,$I$3)&amp;"")-1))))</f>
        <v/>
      </c>
      <c r="J253" s="26">
        <f>IF(OR($C253="",$I$3=""),"",IF(INDEX(입력_인턴근무계획!$M$3:$R$402,$A253,$I$3)&amp;""="","",IF(LEFT(INDEX(입력_인턴근무계획!$M$3:$R$402,$A253,$I$3)&amp;"",1)="⚠","",MID(INDEX(입력_인턴근무계획!$M$3:$R$402,$A253,$I$3)&amp;"",FIND(" ",INDEX(입력_인턴근무계획!$M$3:$R$402,$A253,$I$3)&amp;"")+1,60))))</f>
        <v/>
      </c>
      <c r="K253" s="26">
        <f>IF($C253="","",INDEX(입력_인턴근무계획!$M$3:$M$402,$A253)&amp;"")</f>
        <v/>
      </c>
      <c r="L253" s="26">
        <f>IF($C253="","",INDEX(입력_인턴근무계획!$N$3:$N$402,$A253)&amp;"")</f>
        <v/>
      </c>
      <c r="M253" s="26">
        <f>IF($C253="","",INDEX(입력_인턴근무계획!$O$3:$O$402,$A253)&amp;"")</f>
        <v/>
      </c>
      <c r="N253" s="26">
        <f>IF($C253="","",INDEX(입력_인턴근무계획!$P$3:$P$402,$A253)&amp;"")</f>
        <v/>
      </c>
      <c r="O253" s="26">
        <f>IF($C253="","",INDEX(입력_인턴근무계획!$Q$3:$Q$402,$A253)&amp;"")</f>
        <v/>
      </c>
      <c r="P253" s="26">
        <f>IF($C253="","",INDEX(입력_인턴근무계획!$R$3:$R$402,$A253)&amp;"")</f>
        <v/>
      </c>
      <c r="Q253" s="26">
        <f>IF($C253="","",INDEX(입력_인턴근무계획!$T$3:$T$402,$A253))</f>
        <v/>
      </c>
    </row>
    <row r="254">
      <c r="A254" s="29" t="n">
        <v>249</v>
      </c>
      <c r="B254" s="26">
        <f>IF($C254="","",INDEX(입력_인턴근무계획!$B$3:$B$402,$A254))</f>
        <v/>
      </c>
      <c r="C254" s="26">
        <f>IFERROR(TRIM(INDEX(입력_인턴근무계획!$C$3:$C$402,$A254)&amp;""),"")</f>
        <v/>
      </c>
      <c r="D254" s="26">
        <f>IF($C254="","",INDEX(입력_인턴근무계획!$D$3:$D$402,$A254))</f>
        <v/>
      </c>
      <c r="E254" s="26">
        <f>IF($C254="","",IF(IFERROR(MATCH($D254,입력_기본자료!$B$2:$B$1001,0),IFERROR(MATCH($D254&amp;"",입력_기본자료!$B$2:$B$1001,0),IFERROR(MATCH(VALUE($D254),입력_기본자료!$B$2:$B$1001,0),0)))&gt;0,"확인","미등록"))</f>
        <v/>
      </c>
      <c r="F254" s="28">
        <f>IF($C254="","",INDEX(입력_인턴근무계획!$S$3:$S$402,$A254))</f>
        <v/>
      </c>
      <c r="G254" s="26">
        <f>IF(OR($C254="",$G$3=""),"",IF(INDEX(입력_인턴근무계획!$M$3:$R$402,$A254,$G$3)&amp;""="","",IF(LEFT(INDEX(입력_인턴근무계획!$M$3:$R$402,$A254,$G$3)&amp;"",1)="⚠",INDEX(입력_인턴근무계획!$M$3:$R$402,$A254,$G$3)&amp;"",LEFT(INDEX(입력_인턴근무계획!$M$3:$R$402,$A254,$G$3)&amp;"",FIND(" ",INDEX(입력_인턴근무계획!$M$3:$R$402,$A254,$G$3)&amp;"")-1))))</f>
        <v/>
      </c>
      <c r="H254" s="26">
        <f>IF(OR($C254="",$G$3=""),"",IF(INDEX(입력_인턴근무계획!$M$3:$R$402,$A254,$G$3)&amp;""="","",IF(LEFT(INDEX(입력_인턴근무계획!$M$3:$R$402,$A254,$G$3)&amp;"",1)="⚠","",MID(INDEX(입력_인턴근무계획!$M$3:$R$402,$A254,$G$3)&amp;"",FIND(" ",INDEX(입력_인턴근무계획!$M$3:$R$402,$A254,$G$3)&amp;"")+1,60))))</f>
        <v/>
      </c>
      <c r="I254" s="26">
        <f>IF(OR($C254="",$I$3=""),"",IF(INDEX(입력_인턴근무계획!$M$3:$R$402,$A254,$I$3)&amp;""="","",IF(LEFT(INDEX(입력_인턴근무계획!$M$3:$R$402,$A254,$I$3)&amp;"",1)="⚠",INDEX(입력_인턴근무계획!$M$3:$R$402,$A254,$I$3)&amp;"",LEFT(INDEX(입력_인턴근무계획!$M$3:$R$402,$A254,$I$3)&amp;"",FIND(" ",INDEX(입력_인턴근무계획!$M$3:$R$402,$A254,$I$3)&amp;"")-1))))</f>
        <v/>
      </c>
      <c r="J254" s="26">
        <f>IF(OR($C254="",$I$3=""),"",IF(INDEX(입력_인턴근무계획!$M$3:$R$402,$A254,$I$3)&amp;""="","",IF(LEFT(INDEX(입력_인턴근무계획!$M$3:$R$402,$A254,$I$3)&amp;"",1)="⚠","",MID(INDEX(입력_인턴근무계획!$M$3:$R$402,$A254,$I$3)&amp;"",FIND(" ",INDEX(입력_인턴근무계획!$M$3:$R$402,$A254,$I$3)&amp;"")+1,60))))</f>
        <v/>
      </c>
      <c r="K254" s="26">
        <f>IF($C254="","",INDEX(입력_인턴근무계획!$M$3:$M$402,$A254)&amp;"")</f>
        <v/>
      </c>
      <c r="L254" s="26">
        <f>IF($C254="","",INDEX(입력_인턴근무계획!$N$3:$N$402,$A254)&amp;"")</f>
        <v/>
      </c>
      <c r="M254" s="26">
        <f>IF($C254="","",INDEX(입력_인턴근무계획!$O$3:$O$402,$A254)&amp;"")</f>
        <v/>
      </c>
      <c r="N254" s="26">
        <f>IF($C254="","",INDEX(입력_인턴근무계획!$P$3:$P$402,$A254)&amp;"")</f>
        <v/>
      </c>
      <c r="O254" s="26">
        <f>IF($C254="","",INDEX(입력_인턴근무계획!$Q$3:$Q$402,$A254)&amp;"")</f>
        <v/>
      </c>
      <c r="P254" s="26">
        <f>IF($C254="","",INDEX(입력_인턴근무계획!$R$3:$R$402,$A254)&amp;"")</f>
        <v/>
      </c>
      <c r="Q254" s="26">
        <f>IF($C254="","",INDEX(입력_인턴근무계획!$T$3:$T$402,$A254))</f>
        <v/>
      </c>
    </row>
    <row r="255">
      <c r="A255" s="29" t="n">
        <v>250</v>
      </c>
      <c r="B255" s="26">
        <f>IF($C255="","",INDEX(입력_인턴근무계획!$B$3:$B$402,$A255))</f>
        <v/>
      </c>
      <c r="C255" s="26">
        <f>IFERROR(TRIM(INDEX(입력_인턴근무계획!$C$3:$C$402,$A255)&amp;""),"")</f>
        <v/>
      </c>
      <c r="D255" s="26">
        <f>IF($C255="","",INDEX(입력_인턴근무계획!$D$3:$D$402,$A255))</f>
        <v/>
      </c>
      <c r="E255" s="26">
        <f>IF($C255="","",IF(IFERROR(MATCH($D255,입력_기본자료!$B$2:$B$1001,0),IFERROR(MATCH($D255&amp;"",입력_기본자료!$B$2:$B$1001,0),IFERROR(MATCH(VALUE($D255),입력_기본자료!$B$2:$B$1001,0),0)))&gt;0,"확인","미등록"))</f>
        <v/>
      </c>
      <c r="F255" s="28">
        <f>IF($C255="","",INDEX(입력_인턴근무계획!$S$3:$S$402,$A255))</f>
        <v/>
      </c>
      <c r="G255" s="26">
        <f>IF(OR($C255="",$G$3=""),"",IF(INDEX(입력_인턴근무계획!$M$3:$R$402,$A255,$G$3)&amp;""="","",IF(LEFT(INDEX(입력_인턴근무계획!$M$3:$R$402,$A255,$G$3)&amp;"",1)="⚠",INDEX(입력_인턴근무계획!$M$3:$R$402,$A255,$G$3)&amp;"",LEFT(INDEX(입력_인턴근무계획!$M$3:$R$402,$A255,$G$3)&amp;"",FIND(" ",INDEX(입력_인턴근무계획!$M$3:$R$402,$A255,$G$3)&amp;"")-1))))</f>
        <v/>
      </c>
      <c r="H255" s="26">
        <f>IF(OR($C255="",$G$3=""),"",IF(INDEX(입력_인턴근무계획!$M$3:$R$402,$A255,$G$3)&amp;""="","",IF(LEFT(INDEX(입력_인턴근무계획!$M$3:$R$402,$A255,$G$3)&amp;"",1)="⚠","",MID(INDEX(입력_인턴근무계획!$M$3:$R$402,$A255,$G$3)&amp;"",FIND(" ",INDEX(입력_인턴근무계획!$M$3:$R$402,$A255,$G$3)&amp;"")+1,60))))</f>
        <v/>
      </c>
      <c r="I255" s="26">
        <f>IF(OR($C255="",$I$3=""),"",IF(INDEX(입력_인턴근무계획!$M$3:$R$402,$A255,$I$3)&amp;""="","",IF(LEFT(INDEX(입력_인턴근무계획!$M$3:$R$402,$A255,$I$3)&amp;"",1)="⚠",INDEX(입력_인턴근무계획!$M$3:$R$402,$A255,$I$3)&amp;"",LEFT(INDEX(입력_인턴근무계획!$M$3:$R$402,$A255,$I$3)&amp;"",FIND(" ",INDEX(입력_인턴근무계획!$M$3:$R$402,$A255,$I$3)&amp;"")-1))))</f>
        <v/>
      </c>
      <c r="J255" s="26">
        <f>IF(OR($C255="",$I$3=""),"",IF(INDEX(입력_인턴근무계획!$M$3:$R$402,$A255,$I$3)&amp;""="","",IF(LEFT(INDEX(입력_인턴근무계획!$M$3:$R$402,$A255,$I$3)&amp;"",1)="⚠","",MID(INDEX(입력_인턴근무계획!$M$3:$R$402,$A255,$I$3)&amp;"",FIND(" ",INDEX(입력_인턴근무계획!$M$3:$R$402,$A255,$I$3)&amp;"")+1,60))))</f>
        <v/>
      </c>
      <c r="K255" s="26">
        <f>IF($C255="","",INDEX(입력_인턴근무계획!$M$3:$M$402,$A255)&amp;"")</f>
        <v/>
      </c>
      <c r="L255" s="26">
        <f>IF($C255="","",INDEX(입력_인턴근무계획!$N$3:$N$402,$A255)&amp;"")</f>
        <v/>
      </c>
      <c r="M255" s="26">
        <f>IF($C255="","",INDEX(입력_인턴근무계획!$O$3:$O$402,$A255)&amp;"")</f>
        <v/>
      </c>
      <c r="N255" s="26">
        <f>IF($C255="","",INDEX(입력_인턴근무계획!$P$3:$P$402,$A255)&amp;"")</f>
        <v/>
      </c>
      <c r="O255" s="26">
        <f>IF($C255="","",INDEX(입력_인턴근무계획!$Q$3:$Q$402,$A255)&amp;"")</f>
        <v/>
      </c>
      <c r="P255" s="26">
        <f>IF($C255="","",INDEX(입력_인턴근무계획!$R$3:$R$402,$A255)&amp;"")</f>
        <v/>
      </c>
      <c r="Q255" s="26">
        <f>IF($C255="","",INDEX(입력_인턴근무계획!$T$3:$T$402,$A255))</f>
        <v/>
      </c>
    </row>
    <row r="256">
      <c r="A256" s="29" t="n">
        <v>251</v>
      </c>
      <c r="B256" s="26">
        <f>IF($C256="","",INDEX(입력_인턴근무계획!$B$3:$B$402,$A256))</f>
        <v/>
      </c>
      <c r="C256" s="26">
        <f>IFERROR(TRIM(INDEX(입력_인턴근무계획!$C$3:$C$402,$A256)&amp;""),"")</f>
        <v/>
      </c>
      <c r="D256" s="26">
        <f>IF($C256="","",INDEX(입력_인턴근무계획!$D$3:$D$402,$A256))</f>
        <v/>
      </c>
      <c r="E256" s="26">
        <f>IF($C256="","",IF(IFERROR(MATCH($D256,입력_기본자료!$B$2:$B$1001,0),IFERROR(MATCH($D256&amp;"",입력_기본자료!$B$2:$B$1001,0),IFERROR(MATCH(VALUE($D256),입력_기본자료!$B$2:$B$1001,0),0)))&gt;0,"확인","미등록"))</f>
        <v/>
      </c>
      <c r="F256" s="28">
        <f>IF($C256="","",INDEX(입력_인턴근무계획!$S$3:$S$402,$A256))</f>
        <v/>
      </c>
      <c r="G256" s="26">
        <f>IF(OR($C256="",$G$3=""),"",IF(INDEX(입력_인턴근무계획!$M$3:$R$402,$A256,$G$3)&amp;""="","",IF(LEFT(INDEX(입력_인턴근무계획!$M$3:$R$402,$A256,$G$3)&amp;"",1)="⚠",INDEX(입력_인턴근무계획!$M$3:$R$402,$A256,$G$3)&amp;"",LEFT(INDEX(입력_인턴근무계획!$M$3:$R$402,$A256,$G$3)&amp;"",FIND(" ",INDEX(입력_인턴근무계획!$M$3:$R$402,$A256,$G$3)&amp;"")-1))))</f>
        <v/>
      </c>
      <c r="H256" s="26">
        <f>IF(OR($C256="",$G$3=""),"",IF(INDEX(입력_인턴근무계획!$M$3:$R$402,$A256,$G$3)&amp;""="","",IF(LEFT(INDEX(입력_인턴근무계획!$M$3:$R$402,$A256,$G$3)&amp;"",1)="⚠","",MID(INDEX(입력_인턴근무계획!$M$3:$R$402,$A256,$G$3)&amp;"",FIND(" ",INDEX(입력_인턴근무계획!$M$3:$R$402,$A256,$G$3)&amp;"")+1,60))))</f>
        <v/>
      </c>
      <c r="I256" s="26">
        <f>IF(OR($C256="",$I$3=""),"",IF(INDEX(입력_인턴근무계획!$M$3:$R$402,$A256,$I$3)&amp;""="","",IF(LEFT(INDEX(입력_인턴근무계획!$M$3:$R$402,$A256,$I$3)&amp;"",1)="⚠",INDEX(입력_인턴근무계획!$M$3:$R$402,$A256,$I$3)&amp;"",LEFT(INDEX(입력_인턴근무계획!$M$3:$R$402,$A256,$I$3)&amp;"",FIND(" ",INDEX(입력_인턴근무계획!$M$3:$R$402,$A256,$I$3)&amp;"")-1))))</f>
        <v/>
      </c>
      <c r="J256" s="26">
        <f>IF(OR($C256="",$I$3=""),"",IF(INDEX(입력_인턴근무계획!$M$3:$R$402,$A256,$I$3)&amp;""="","",IF(LEFT(INDEX(입력_인턴근무계획!$M$3:$R$402,$A256,$I$3)&amp;"",1)="⚠","",MID(INDEX(입력_인턴근무계획!$M$3:$R$402,$A256,$I$3)&amp;"",FIND(" ",INDEX(입력_인턴근무계획!$M$3:$R$402,$A256,$I$3)&amp;"")+1,60))))</f>
        <v/>
      </c>
      <c r="K256" s="26">
        <f>IF($C256="","",INDEX(입력_인턴근무계획!$M$3:$M$402,$A256)&amp;"")</f>
        <v/>
      </c>
      <c r="L256" s="26">
        <f>IF($C256="","",INDEX(입력_인턴근무계획!$N$3:$N$402,$A256)&amp;"")</f>
        <v/>
      </c>
      <c r="M256" s="26">
        <f>IF($C256="","",INDEX(입력_인턴근무계획!$O$3:$O$402,$A256)&amp;"")</f>
        <v/>
      </c>
      <c r="N256" s="26">
        <f>IF($C256="","",INDEX(입력_인턴근무계획!$P$3:$P$402,$A256)&amp;"")</f>
        <v/>
      </c>
      <c r="O256" s="26">
        <f>IF($C256="","",INDEX(입력_인턴근무계획!$Q$3:$Q$402,$A256)&amp;"")</f>
        <v/>
      </c>
      <c r="P256" s="26">
        <f>IF($C256="","",INDEX(입력_인턴근무계획!$R$3:$R$402,$A256)&amp;"")</f>
        <v/>
      </c>
      <c r="Q256" s="26">
        <f>IF($C256="","",INDEX(입력_인턴근무계획!$T$3:$T$402,$A256))</f>
        <v/>
      </c>
    </row>
    <row r="257">
      <c r="A257" s="29" t="n">
        <v>252</v>
      </c>
      <c r="B257" s="26">
        <f>IF($C257="","",INDEX(입력_인턴근무계획!$B$3:$B$402,$A257))</f>
        <v/>
      </c>
      <c r="C257" s="26">
        <f>IFERROR(TRIM(INDEX(입력_인턴근무계획!$C$3:$C$402,$A257)&amp;""),"")</f>
        <v/>
      </c>
      <c r="D257" s="26">
        <f>IF($C257="","",INDEX(입력_인턴근무계획!$D$3:$D$402,$A257))</f>
        <v/>
      </c>
      <c r="E257" s="26">
        <f>IF($C257="","",IF(IFERROR(MATCH($D257,입력_기본자료!$B$2:$B$1001,0),IFERROR(MATCH($D257&amp;"",입력_기본자료!$B$2:$B$1001,0),IFERROR(MATCH(VALUE($D257),입력_기본자료!$B$2:$B$1001,0),0)))&gt;0,"확인","미등록"))</f>
        <v/>
      </c>
      <c r="F257" s="28">
        <f>IF($C257="","",INDEX(입력_인턴근무계획!$S$3:$S$402,$A257))</f>
        <v/>
      </c>
      <c r="G257" s="26">
        <f>IF(OR($C257="",$G$3=""),"",IF(INDEX(입력_인턴근무계획!$M$3:$R$402,$A257,$G$3)&amp;""="","",IF(LEFT(INDEX(입력_인턴근무계획!$M$3:$R$402,$A257,$G$3)&amp;"",1)="⚠",INDEX(입력_인턴근무계획!$M$3:$R$402,$A257,$G$3)&amp;"",LEFT(INDEX(입력_인턴근무계획!$M$3:$R$402,$A257,$G$3)&amp;"",FIND(" ",INDEX(입력_인턴근무계획!$M$3:$R$402,$A257,$G$3)&amp;"")-1))))</f>
        <v/>
      </c>
      <c r="H257" s="26">
        <f>IF(OR($C257="",$G$3=""),"",IF(INDEX(입력_인턴근무계획!$M$3:$R$402,$A257,$G$3)&amp;""="","",IF(LEFT(INDEX(입력_인턴근무계획!$M$3:$R$402,$A257,$G$3)&amp;"",1)="⚠","",MID(INDEX(입력_인턴근무계획!$M$3:$R$402,$A257,$G$3)&amp;"",FIND(" ",INDEX(입력_인턴근무계획!$M$3:$R$402,$A257,$G$3)&amp;"")+1,60))))</f>
        <v/>
      </c>
      <c r="I257" s="26">
        <f>IF(OR($C257="",$I$3=""),"",IF(INDEX(입력_인턴근무계획!$M$3:$R$402,$A257,$I$3)&amp;""="","",IF(LEFT(INDEX(입력_인턴근무계획!$M$3:$R$402,$A257,$I$3)&amp;"",1)="⚠",INDEX(입력_인턴근무계획!$M$3:$R$402,$A257,$I$3)&amp;"",LEFT(INDEX(입력_인턴근무계획!$M$3:$R$402,$A257,$I$3)&amp;"",FIND(" ",INDEX(입력_인턴근무계획!$M$3:$R$402,$A257,$I$3)&amp;"")-1))))</f>
        <v/>
      </c>
      <c r="J257" s="26">
        <f>IF(OR($C257="",$I$3=""),"",IF(INDEX(입력_인턴근무계획!$M$3:$R$402,$A257,$I$3)&amp;""="","",IF(LEFT(INDEX(입력_인턴근무계획!$M$3:$R$402,$A257,$I$3)&amp;"",1)="⚠","",MID(INDEX(입력_인턴근무계획!$M$3:$R$402,$A257,$I$3)&amp;"",FIND(" ",INDEX(입력_인턴근무계획!$M$3:$R$402,$A257,$I$3)&amp;"")+1,60))))</f>
        <v/>
      </c>
      <c r="K257" s="26">
        <f>IF($C257="","",INDEX(입력_인턴근무계획!$M$3:$M$402,$A257)&amp;"")</f>
        <v/>
      </c>
      <c r="L257" s="26">
        <f>IF($C257="","",INDEX(입력_인턴근무계획!$N$3:$N$402,$A257)&amp;"")</f>
        <v/>
      </c>
      <c r="M257" s="26">
        <f>IF($C257="","",INDEX(입력_인턴근무계획!$O$3:$O$402,$A257)&amp;"")</f>
        <v/>
      </c>
      <c r="N257" s="26">
        <f>IF($C257="","",INDEX(입력_인턴근무계획!$P$3:$P$402,$A257)&amp;"")</f>
        <v/>
      </c>
      <c r="O257" s="26">
        <f>IF($C257="","",INDEX(입력_인턴근무계획!$Q$3:$Q$402,$A257)&amp;"")</f>
        <v/>
      </c>
      <c r="P257" s="26">
        <f>IF($C257="","",INDEX(입력_인턴근무계획!$R$3:$R$402,$A257)&amp;"")</f>
        <v/>
      </c>
      <c r="Q257" s="26">
        <f>IF($C257="","",INDEX(입력_인턴근무계획!$T$3:$T$402,$A257))</f>
        <v/>
      </c>
    </row>
    <row r="258">
      <c r="A258" s="29" t="n">
        <v>253</v>
      </c>
      <c r="B258" s="26">
        <f>IF($C258="","",INDEX(입력_인턴근무계획!$B$3:$B$402,$A258))</f>
        <v/>
      </c>
      <c r="C258" s="26">
        <f>IFERROR(TRIM(INDEX(입력_인턴근무계획!$C$3:$C$402,$A258)&amp;""),"")</f>
        <v/>
      </c>
      <c r="D258" s="26">
        <f>IF($C258="","",INDEX(입력_인턴근무계획!$D$3:$D$402,$A258))</f>
        <v/>
      </c>
      <c r="E258" s="26">
        <f>IF($C258="","",IF(IFERROR(MATCH($D258,입력_기본자료!$B$2:$B$1001,0),IFERROR(MATCH($D258&amp;"",입력_기본자료!$B$2:$B$1001,0),IFERROR(MATCH(VALUE($D258),입력_기본자료!$B$2:$B$1001,0),0)))&gt;0,"확인","미등록"))</f>
        <v/>
      </c>
      <c r="F258" s="28">
        <f>IF($C258="","",INDEX(입력_인턴근무계획!$S$3:$S$402,$A258))</f>
        <v/>
      </c>
      <c r="G258" s="26">
        <f>IF(OR($C258="",$G$3=""),"",IF(INDEX(입력_인턴근무계획!$M$3:$R$402,$A258,$G$3)&amp;""="","",IF(LEFT(INDEX(입력_인턴근무계획!$M$3:$R$402,$A258,$G$3)&amp;"",1)="⚠",INDEX(입력_인턴근무계획!$M$3:$R$402,$A258,$G$3)&amp;"",LEFT(INDEX(입력_인턴근무계획!$M$3:$R$402,$A258,$G$3)&amp;"",FIND(" ",INDEX(입력_인턴근무계획!$M$3:$R$402,$A258,$G$3)&amp;"")-1))))</f>
        <v/>
      </c>
      <c r="H258" s="26">
        <f>IF(OR($C258="",$G$3=""),"",IF(INDEX(입력_인턴근무계획!$M$3:$R$402,$A258,$G$3)&amp;""="","",IF(LEFT(INDEX(입력_인턴근무계획!$M$3:$R$402,$A258,$G$3)&amp;"",1)="⚠","",MID(INDEX(입력_인턴근무계획!$M$3:$R$402,$A258,$G$3)&amp;"",FIND(" ",INDEX(입력_인턴근무계획!$M$3:$R$402,$A258,$G$3)&amp;"")+1,60))))</f>
        <v/>
      </c>
      <c r="I258" s="26">
        <f>IF(OR($C258="",$I$3=""),"",IF(INDEX(입력_인턴근무계획!$M$3:$R$402,$A258,$I$3)&amp;""="","",IF(LEFT(INDEX(입력_인턴근무계획!$M$3:$R$402,$A258,$I$3)&amp;"",1)="⚠",INDEX(입력_인턴근무계획!$M$3:$R$402,$A258,$I$3)&amp;"",LEFT(INDEX(입력_인턴근무계획!$M$3:$R$402,$A258,$I$3)&amp;"",FIND(" ",INDEX(입력_인턴근무계획!$M$3:$R$402,$A258,$I$3)&amp;"")-1))))</f>
        <v/>
      </c>
      <c r="J258" s="26">
        <f>IF(OR($C258="",$I$3=""),"",IF(INDEX(입력_인턴근무계획!$M$3:$R$402,$A258,$I$3)&amp;""="","",IF(LEFT(INDEX(입력_인턴근무계획!$M$3:$R$402,$A258,$I$3)&amp;"",1)="⚠","",MID(INDEX(입력_인턴근무계획!$M$3:$R$402,$A258,$I$3)&amp;"",FIND(" ",INDEX(입력_인턴근무계획!$M$3:$R$402,$A258,$I$3)&amp;"")+1,60))))</f>
        <v/>
      </c>
      <c r="K258" s="26">
        <f>IF($C258="","",INDEX(입력_인턴근무계획!$M$3:$M$402,$A258)&amp;"")</f>
        <v/>
      </c>
      <c r="L258" s="26">
        <f>IF($C258="","",INDEX(입력_인턴근무계획!$N$3:$N$402,$A258)&amp;"")</f>
        <v/>
      </c>
      <c r="M258" s="26">
        <f>IF($C258="","",INDEX(입력_인턴근무계획!$O$3:$O$402,$A258)&amp;"")</f>
        <v/>
      </c>
      <c r="N258" s="26">
        <f>IF($C258="","",INDEX(입력_인턴근무계획!$P$3:$P$402,$A258)&amp;"")</f>
        <v/>
      </c>
      <c r="O258" s="26">
        <f>IF($C258="","",INDEX(입력_인턴근무계획!$Q$3:$Q$402,$A258)&amp;"")</f>
        <v/>
      </c>
      <c r="P258" s="26">
        <f>IF($C258="","",INDEX(입력_인턴근무계획!$R$3:$R$402,$A258)&amp;"")</f>
        <v/>
      </c>
      <c r="Q258" s="26">
        <f>IF($C258="","",INDEX(입력_인턴근무계획!$T$3:$T$402,$A258))</f>
        <v/>
      </c>
    </row>
    <row r="259">
      <c r="A259" s="29" t="n">
        <v>254</v>
      </c>
      <c r="B259" s="26">
        <f>IF($C259="","",INDEX(입력_인턴근무계획!$B$3:$B$402,$A259))</f>
        <v/>
      </c>
      <c r="C259" s="26">
        <f>IFERROR(TRIM(INDEX(입력_인턴근무계획!$C$3:$C$402,$A259)&amp;""),"")</f>
        <v/>
      </c>
      <c r="D259" s="26">
        <f>IF($C259="","",INDEX(입력_인턴근무계획!$D$3:$D$402,$A259))</f>
        <v/>
      </c>
      <c r="E259" s="26">
        <f>IF($C259="","",IF(IFERROR(MATCH($D259,입력_기본자료!$B$2:$B$1001,0),IFERROR(MATCH($D259&amp;"",입력_기본자료!$B$2:$B$1001,0),IFERROR(MATCH(VALUE($D259),입력_기본자료!$B$2:$B$1001,0),0)))&gt;0,"확인","미등록"))</f>
        <v/>
      </c>
      <c r="F259" s="28">
        <f>IF($C259="","",INDEX(입력_인턴근무계획!$S$3:$S$402,$A259))</f>
        <v/>
      </c>
      <c r="G259" s="26">
        <f>IF(OR($C259="",$G$3=""),"",IF(INDEX(입력_인턴근무계획!$M$3:$R$402,$A259,$G$3)&amp;""="","",IF(LEFT(INDEX(입력_인턴근무계획!$M$3:$R$402,$A259,$G$3)&amp;"",1)="⚠",INDEX(입력_인턴근무계획!$M$3:$R$402,$A259,$G$3)&amp;"",LEFT(INDEX(입력_인턴근무계획!$M$3:$R$402,$A259,$G$3)&amp;"",FIND(" ",INDEX(입력_인턴근무계획!$M$3:$R$402,$A259,$G$3)&amp;"")-1))))</f>
        <v/>
      </c>
      <c r="H259" s="26">
        <f>IF(OR($C259="",$G$3=""),"",IF(INDEX(입력_인턴근무계획!$M$3:$R$402,$A259,$G$3)&amp;""="","",IF(LEFT(INDEX(입력_인턴근무계획!$M$3:$R$402,$A259,$G$3)&amp;"",1)="⚠","",MID(INDEX(입력_인턴근무계획!$M$3:$R$402,$A259,$G$3)&amp;"",FIND(" ",INDEX(입력_인턴근무계획!$M$3:$R$402,$A259,$G$3)&amp;"")+1,60))))</f>
        <v/>
      </c>
      <c r="I259" s="26">
        <f>IF(OR($C259="",$I$3=""),"",IF(INDEX(입력_인턴근무계획!$M$3:$R$402,$A259,$I$3)&amp;""="","",IF(LEFT(INDEX(입력_인턴근무계획!$M$3:$R$402,$A259,$I$3)&amp;"",1)="⚠",INDEX(입력_인턴근무계획!$M$3:$R$402,$A259,$I$3)&amp;"",LEFT(INDEX(입력_인턴근무계획!$M$3:$R$402,$A259,$I$3)&amp;"",FIND(" ",INDEX(입력_인턴근무계획!$M$3:$R$402,$A259,$I$3)&amp;"")-1))))</f>
        <v/>
      </c>
      <c r="J259" s="26">
        <f>IF(OR($C259="",$I$3=""),"",IF(INDEX(입력_인턴근무계획!$M$3:$R$402,$A259,$I$3)&amp;""="","",IF(LEFT(INDEX(입력_인턴근무계획!$M$3:$R$402,$A259,$I$3)&amp;"",1)="⚠","",MID(INDEX(입력_인턴근무계획!$M$3:$R$402,$A259,$I$3)&amp;"",FIND(" ",INDEX(입력_인턴근무계획!$M$3:$R$402,$A259,$I$3)&amp;"")+1,60))))</f>
        <v/>
      </c>
      <c r="K259" s="26">
        <f>IF($C259="","",INDEX(입력_인턴근무계획!$M$3:$M$402,$A259)&amp;"")</f>
        <v/>
      </c>
      <c r="L259" s="26">
        <f>IF($C259="","",INDEX(입력_인턴근무계획!$N$3:$N$402,$A259)&amp;"")</f>
        <v/>
      </c>
      <c r="M259" s="26">
        <f>IF($C259="","",INDEX(입력_인턴근무계획!$O$3:$O$402,$A259)&amp;"")</f>
        <v/>
      </c>
      <c r="N259" s="26">
        <f>IF($C259="","",INDEX(입력_인턴근무계획!$P$3:$P$402,$A259)&amp;"")</f>
        <v/>
      </c>
      <c r="O259" s="26">
        <f>IF($C259="","",INDEX(입력_인턴근무계획!$Q$3:$Q$402,$A259)&amp;"")</f>
        <v/>
      </c>
      <c r="P259" s="26">
        <f>IF($C259="","",INDEX(입력_인턴근무계획!$R$3:$R$402,$A259)&amp;"")</f>
        <v/>
      </c>
      <c r="Q259" s="26">
        <f>IF($C259="","",INDEX(입력_인턴근무계획!$T$3:$T$402,$A259))</f>
        <v/>
      </c>
    </row>
    <row r="260">
      <c r="A260" s="29" t="n">
        <v>255</v>
      </c>
      <c r="B260" s="26">
        <f>IF($C260="","",INDEX(입력_인턴근무계획!$B$3:$B$402,$A260))</f>
        <v/>
      </c>
      <c r="C260" s="26">
        <f>IFERROR(TRIM(INDEX(입력_인턴근무계획!$C$3:$C$402,$A260)&amp;""),"")</f>
        <v/>
      </c>
      <c r="D260" s="26">
        <f>IF($C260="","",INDEX(입력_인턴근무계획!$D$3:$D$402,$A260))</f>
        <v/>
      </c>
      <c r="E260" s="26">
        <f>IF($C260="","",IF(IFERROR(MATCH($D260,입력_기본자료!$B$2:$B$1001,0),IFERROR(MATCH($D260&amp;"",입력_기본자료!$B$2:$B$1001,0),IFERROR(MATCH(VALUE($D260),입력_기본자료!$B$2:$B$1001,0),0)))&gt;0,"확인","미등록"))</f>
        <v/>
      </c>
      <c r="F260" s="28">
        <f>IF($C260="","",INDEX(입력_인턴근무계획!$S$3:$S$402,$A260))</f>
        <v/>
      </c>
      <c r="G260" s="26">
        <f>IF(OR($C260="",$G$3=""),"",IF(INDEX(입력_인턴근무계획!$M$3:$R$402,$A260,$G$3)&amp;""="","",IF(LEFT(INDEX(입력_인턴근무계획!$M$3:$R$402,$A260,$G$3)&amp;"",1)="⚠",INDEX(입력_인턴근무계획!$M$3:$R$402,$A260,$G$3)&amp;"",LEFT(INDEX(입력_인턴근무계획!$M$3:$R$402,$A260,$G$3)&amp;"",FIND(" ",INDEX(입력_인턴근무계획!$M$3:$R$402,$A260,$G$3)&amp;"")-1))))</f>
        <v/>
      </c>
      <c r="H260" s="26">
        <f>IF(OR($C260="",$G$3=""),"",IF(INDEX(입력_인턴근무계획!$M$3:$R$402,$A260,$G$3)&amp;""="","",IF(LEFT(INDEX(입력_인턴근무계획!$M$3:$R$402,$A260,$G$3)&amp;"",1)="⚠","",MID(INDEX(입력_인턴근무계획!$M$3:$R$402,$A260,$G$3)&amp;"",FIND(" ",INDEX(입력_인턴근무계획!$M$3:$R$402,$A260,$G$3)&amp;"")+1,60))))</f>
        <v/>
      </c>
      <c r="I260" s="26">
        <f>IF(OR($C260="",$I$3=""),"",IF(INDEX(입력_인턴근무계획!$M$3:$R$402,$A260,$I$3)&amp;""="","",IF(LEFT(INDEX(입력_인턴근무계획!$M$3:$R$402,$A260,$I$3)&amp;"",1)="⚠",INDEX(입력_인턴근무계획!$M$3:$R$402,$A260,$I$3)&amp;"",LEFT(INDEX(입력_인턴근무계획!$M$3:$R$402,$A260,$I$3)&amp;"",FIND(" ",INDEX(입력_인턴근무계획!$M$3:$R$402,$A260,$I$3)&amp;"")-1))))</f>
        <v/>
      </c>
      <c r="J260" s="26">
        <f>IF(OR($C260="",$I$3=""),"",IF(INDEX(입력_인턴근무계획!$M$3:$R$402,$A260,$I$3)&amp;""="","",IF(LEFT(INDEX(입력_인턴근무계획!$M$3:$R$402,$A260,$I$3)&amp;"",1)="⚠","",MID(INDEX(입력_인턴근무계획!$M$3:$R$402,$A260,$I$3)&amp;"",FIND(" ",INDEX(입력_인턴근무계획!$M$3:$R$402,$A260,$I$3)&amp;"")+1,60))))</f>
        <v/>
      </c>
      <c r="K260" s="26">
        <f>IF($C260="","",INDEX(입력_인턴근무계획!$M$3:$M$402,$A260)&amp;"")</f>
        <v/>
      </c>
      <c r="L260" s="26">
        <f>IF($C260="","",INDEX(입력_인턴근무계획!$N$3:$N$402,$A260)&amp;"")</f>
        <v/>
      </c>
      <c r="M260" s="26">
        <f>IF($C260="","",INDEX(입력_인턴근무계획!$O$3:$O$402,$A260)&amp;"")</f>
        <v/>
      </c>
      <c r="N260" s="26">
        <f>IF($C260="","",INDEX(입력_인턴근무계획!$P$3:$P$402,$A260)&amp;"")</f>
        <v/>
      </c>
      <c r="O260" s="26">
        <f>IF($C260="","",INDEX(입력_인턴근무계획!$Q$3:$Q$402,$A260)&amp;"")</f>
        <v/>
      </c>
      <c r="P260" s="26">
        <f>IF($C260="","",INDEX(입력_인턴근무계획!$R$3:$R$402,$A260)&amp;"")</f>
        <v/>
      </c>
      <c r="Q260" s="26">
        <f>IF($C260="","",INDEX(입력_인턴근무계획!$T$3:$T$402,$A260))</f>
        <v/>
      </c>
    </row>
    <row r="261">
      <c r="A261" s="29" t="n">
        <v>256</v>
      </c>
      <c r="B261" s="26">
        <f>IF($C261="","",INDEX(입력_인턴근무계획!$B$3:$B$402,$A261))</f>
        <v/>
      </c>
      <c r="C261" s="26">
        <f>IFERROR(TRIM(INDEX(입력_인턴근무계획!$C$3:$C$402,$A261)&amp;""),"")</f>
        <v/>
      </c>
      <c r="D261" s="26">
        <f>IF($C261="","",INDEX(입력_인턴근무계획!$D$3:$D$402,$A261))</f>
        <v/>
      </c>
      <c r="E261" s="26">
        <f>IF($C261="","",IF(IFERROR(MATCH($D261,입력_기본자료!$B$2:$B$1001,0),IFERROR(MATCH($D261&amp;"",입력_기본자료!$B$2:$B$1001,0),IFERROR(MATCH(VALUE($D261),입력_기본자료!$B$2:$B$1001,0),0)))&gt;0,"확인","미등록"))</f>
        <v/>
      </c>
      <c r="F261" s="28">
        <f>IF($C261="","",INDEX(입력_인턴근무계획!$S$3:$S$402,$A261))</f>
        <v/>
      </c>
      <c r="G261" s="26">
        <f>IF(OR($C261="",$G$3=""),"",IF(INDEX(입력_인턴근무계획!$M$3:$R$402,$A261,$G$3)&amp;""="","",IF(LEFT(INDEX(입력_인턴근무계획!$M$3:$R$402,$A261,$G$3)&amp;"",1)="⚠",INDEX(입력_인턴근무계획!$M$3:$R$402,$A261,$G$3)&amp;"",LEFT(INDEX(입력_인턴근무계획!$M$3:$R$402,$A261,$G$3)&amp;"",FIND(" ",INDEX(입력_인턴근무계획!$M$3:$R$402,$A261,$G$3)&amp;"")-1))))</f>
        <v/>
      </c>
      <c r="H261" s="26">
        <f>IF(OR($C261="",$G$3=""),"",IF(INDEX(입력_인턴근무계획!$M$3:$R$402,$A261,$G$3)&amp;""="","",IF(LEFT(INDEX(입력_인턴근무계획!$M$3:$R$402,$A261,$G$3)&amp;"",1)="⚠","",MID(INDEX(입력_인턴근무계획!$M$3:$R$402,$A261,$G$3)&amp;"",FIND(" ",INDEX(입력_인턴근무계획!$M$3:$R$402,$A261,$G$3)&amp;"")+1,60))))</f>
        <v/>
      </c>
      <c r="I261" s="26">
        <f>IF(OR($C261="",$I$3=""),"",IF(INDEX(입력_인턴근무계획!$M$3:$R$402,$A261,$I$3)&amp;""="","",IF(LEFT(INDEX(입력_인턴근무계획!$M$3:$R$402,$A261,$I$3)&amp;"",1)="⚠",INDEX(입력_인턴근무계획!$M$3:$R$402,$A261,$I$3)&amp;"",LEFT(INDEX(입력_인턴근무계획!$M$3:$R$402,$A261,$I$3)&amp;"",FIND(" ",INDEX(입력_인턴근무계획!$M$3:$R$402,$A261,$I$3)&amp;"")-1))))</f>
        <v/>
      </c>
      <c r="J261" s="26">
        <f>IF(OR($C261="",$I$3=""),"",IF(INDEX(입력_인턴근무계획!$M$3:$R$402,$A261,$I$3)&amp;""="","",IF(LEFT(INDEX(입력_인턴근무계획!$M$3:$R$402,$A261,$I$3)&amp;"",1)="⚠","",MID(INDEX(입력_인턴근무계획!$M$3:$R$402,$A261,$I$3)&amp;"",FIND(" ",INDEX(입력_인턴근무계획!$M$3:$R$402,$A261,$I$3)&amp;"")+1,60))))</f>
        <v/>
      </c>
      <c r="K261" s="26">
        <f>IF($C261="","",INDEX(입력_인턴근무계획!$M$3:$M$402,$A261)&amp;"")</f>
        <v/>
      </c>
      <c r="L261" s="26">
        <f>IF($C261="","",INDEX(입력_인턴근무계획!$N$3:$N$402,$A261)&amp;"")</f>
        <v/>
      </c>
      <c r="M261" s="26">
        <f>IF($C261="","",INDEX(입력_인턴근무계획!$O$3:$O$402,$A261)&amp;"")</f>
        <v/>
      </c>
      <c r="N261" s="26">
        <f>IF($C261="","",INDEX(입력_인턴근무계획!$P$3:$P$402,$A261)&amp;"")</f>
        <v/>
      </c>
      <c r="O261" s="26">
        <f>IF($C261="","",INDEX(입력_인턴근무계획!$Q$3:$Q$402,$A261)&amp;"")</f>
        <v/>
      </c>
      <c r="P261" s="26">
        <f>IF($C261="","",INDEX(입력_인턴근무계획!$R$3:$R$402,$A261)&amp;"")</f>
        <v/>
      </c>
      <c r="Q261" s="26">
        <f>IF($C261="","",INDEX(입력_인턴근무계획!$T$3:$T$402,$A261))</f>
        <v/>
      </c>
    </row>
    <row r="262">
      <c r="A262" s="29" t="n">
        <v>257</v>
      </c>
      <c r="B262" s="26">
        <f>IF($C262="","",INDEX(입력_인턴근무계획!$B$3:$B$402,$A262))</f>
        <v/>
      </c>
      <c r="C262" s="26">
        <f>IFERROR(TRIM(INDEX(입력_인턴근무계획!$C$3:$C$402,$A262)&amp;""),"")</f>
        <v/>
      </c>
      <c r="D262" s="26">
        <f>IF($C262="","",INDEX(입력_인턴근무계획!$D$3:$D$402,$A262))</f>
        <v/>
      </c>
      <c r="E262" s="26">
        <f>IF($C262="","",IF(IFERROR(MATCH($D262,입력_기본자료!$B$2:$B$1001,0),IFERROR(MATCH($D262&amp;"",입력_기본자료!$B$2:$B$1001,0),IFERROR(MATCH(VALUE($D262),입력_기본자료!$B$2:$B$1001,0),0)))&gt;0,"확인","미등록"))</f>
        <v/>
      </c>
      <c r="F262" s="28">
        <f>IF($C262="","",INDEX(입력_인턴근무계획!$S$3:$S$402,$A262))</f>
        <v/>
      </c>
      <c r="G262" s="26">
        <f>IF(OR($C262="",$G$3=""),"",IF(INDEX(입력_인턴근무계획!$M$3:$R$402,$A262,$G$3)&amp;""="","",IF(LEFT(INDEX(입력_인턴근무계획!$M$3:$R$402,$A262,$G$3)&amp;"",1)="⚠",INDEX(입력_인턴근무계획!$M$3:$R$402,$A262,$G$3)&amp;"",LEFT(INDEX(입력_인턴근무계획!$M$3:$R$402,$A262,$G$3)&amp;"",FIND(" ",INDEX(입력_인턴근무계획!$M$3:$R$402,$A262,$G$3)&amp;"")-1))))</f>
        <v/>
      </c>
      <c r="H262" s="26">
        <f>IF(OR($C262="",$G$3=""),"",IF(INDEX(입력_인턴근무계획!$M$3:$R$402,$A262,$G$3)&amp;""="","",IF(LEFT(INDEX(입력_인턴근무계획!$M$3:$R$402,$A262,$G$3)&amp;"",1)="⚠","",MID(INDEX(입력_인턴근무계획!$M$3:$R$402,$A262,$G$3)&amp;"",FIND(" ",INDEX(입력_인턴근무계획!$M$3:$R$402,$A262,$G$3)&amp;"")+1,60))))</f>
        <v/>
      </c>
      <c r="I262" s="26">
        <f>IF(OR($C262="",$I$3=""),"",IF(INDEX(입력_인턴근무계획!$M$3:$R$402,$A262,$I$3)&amp;""="","",IF(LEFT(INDEX(입력_인턴근무계획!$M$3:$R$402,$A262,$I$3)&amp;"",1)="⚠",INDEX(입력_인턴근무계획!$M$3:$R$402,$A262,$I$3)&amp;"",LEFT(INDEX(입력_인턴근무계획!$M$3:$R$402,$A262,$I$3)&amp;"",FIND(" ",INDEX(입력_인턴근무계획!$M$3:$R$402,$A262,$I$3)&amp;"")-1))))</f>
        <v/>
      </c>
      <c r="J262" s="26">
        <f>IF(OR($C262="",$I$3=""),"",IF(INDEX(입력_인턴근무계획!$M$3:$R$402,$A262,$I$3)&amp;""="","",IF(LEFT(INDEX(입력_인턴근무계획!$M$3:$R$402,$A262,$I$3)&amp;"",1)="⚠","",MID(INDEX(입력_인턴근무계획!$M$3:$R$402,$A262,$I$3)&amp;"",FIND(" ",INDEX(입력_인턴근무계획!$M$3:$R$402,$A262,$I$3)&amp;"")+1,60))))</f>
        <v/>
      </c>
      <c r="K262" s="26">
        <f>IF($C262="","",INDEX(입력_인턴근무계획!$M$3:$M$402,$A262)&amp;"")</f>
        <v/>
      </c>
      <c r="L262" s="26">
        <f>IF($C262="","",INDEX(입력_인턴근무계획!$N$3:$N$402,$A262)&amp;"")</f>
        <v/>
      </c>
      <c r="M262" s="26">
        <f>IF($C262="","",INDEX(입력_인턴근무계획!$O$3:$O$402,$A262)&amp;"")</f>
        <v/>
      </c>
      <c r="N262" s="26">
        <f>IF($C262="","",INDEX(입력_인턴근무계획!$P$3:$P$402,$A262)&amp;"")</f>
        <v/>
      </c>
      <c r="O262" s="26">
        <f>IF($C262="","",INDEX(입력_인턴근무계획!$Q$3:$Q$402,$A262)&amp;"")</f>
        <v/>
      </c>
      <c r="P262" s="26">
        <f>IF($C262="","",INDEX(입력_인턴근무계획!$R$3:$R$402,$A262)&amp;"")</f>
        <v/>
      </c>
      <c r="Q262" s="26">
        <f>IF($C262="","",INDEX(입력_인턴근무계획!$T$3:$T$402,$A262))</f>
        <v/>
      </c>
    </row>
    <row r="263">
      <c r="A263" s="29" t="n">
        <v>258</v>
      </c>
      <c r="B263" s="26">
        <f>IF($C263="","",INDEX(입력_인턴근무계획!$B$3:$B$402,$A263))</f>
        <v/>
      </c>
      <c r="C263" s="26">
        <f>IFERROR(TRIM(INDEX(입력_인턴근무계획!$C$3:$C$402,$A263)&amp;""),"")</f>
        <v/>
      </c>
      <c r="D263" s="26">
        <f>IF($C263="","",INDEX(입력_인턴근무계획!$D$3:$D$402,$A263))</f>
        <v/>
      </c>
      <c r="E263" s="26">
        <f>IF($C263="","",IF(IFERROR(MATCH($D263,입력_기본자료!$B$2:$B$1001,0),IFERROR(MATCH($D263&amp;"",입력_기본자료!$B$2:$B$1001,0),IFERROR(MATCH(VALUE($D263),입력_기본자료!$B$2:$B$1001,0),0)))&gt;0,"확인","미등록"))</f>
        <v/>
      </c>
      <c r="F263" s="28">
        <f>IF($C263="","",INDEX(입력_인턴근무계획!$S$3:$S$402,$A263))</f>
        <v/>
      </c>
      <c r="G263" s="26">
        <f>IF(OR($C263="",$G$3=""),"",IF(INDEX(입력_인턴근무계획!$M$3:$R$402,$A263,$G$3)&amp;""="","",IF(LEFT(INDEX(입력_인턴근무계획!$M$3:$R$402,$A263,$G$3)&amp;"",1)="⚠",INDEX(입력_인턴근무계획!$M$3:$R$402,$A263,$G$3)&amp;"",LEFT(INDEX(입력_인턴근무계획!$M$3:$R$402,$A263,$G$3)&amp;"",FIND(" ",INDEX(입력_인턴근무계획!$M$3:$R$402,$A263,$G$3)&amp;"")-1))))</f>
        <v/>
      </c>
      <c r="H263" s="26">
        <f>IF(OR($C263="",$G$3=""),"",IF(INDEX(입력_인턴근무계획!$M$3:$R$402,$A263,$G$3)&amp;""="","",IF(LEFT(INDEX(입력_인턴근무계획!$M$3:$R$402,$A263,$G$3)&amp;"",1)="⚠","",MID(INDEX(입력_인턴근무계획!$M$3:$R$402,$A263,$G$3)&amp;"",FIND(" ",INDEX(입력_인턴근무계획!$M$3:$R$402,$A263,$G$3)&amp;"")+1,60))))</f>
        <v/>
      </c>
      <c r="I263" s="26">
        <f>IF(OR($C263="",$I$3=""),"",IF(INDEX(입력_인턴근무계획!$M$3:$R$402,$A263,$I$3)&amp;""="","",IF(LEFT(INDEX(입력_인턴근무계획!$M$3:$R$402,$A263,$I$3)&amp;"",1)="⚠",INDEX(입력_인턴근무계획!$M$3:$R$402,$A263,$I$3)&amp;"",LEFT(INDEX(입력_인턴근무계획!$M$3:$R$402,$A263,$I$3)&amp;"",FIND(" ",INDEX(입력_인턴근무계획!$M$3:$R$402,$A263,$I$3)&amp;"")-1))))</f>
        <v/>
      </c>
      <c r="J263" s="26">
        <f>IF(OR($C263="",$I$3=""),"",IF(INDEX(입력_인턴근무계획!$M$3:$R$402,$A263,$I$3)&amp;""="","",IF(LEFT(INDEX(입력_인턴근무계획!$M$3:$R$402,$A263,$I$3)&amp;"",1)="⚠","",MID(INDEX(입력_인턴근무계획!$M$3:$R$402,$A263,$I$3)&amp;"",FIND(" ",INDEX(입력_인턴근무계획!$M$3:$R$402,$A263,$I$3)&amp;"")+1,60))))</f>
        <v/>
      </c>
      <c r="K263" s="26">
        <f>IF($C263="","",INDEX(입력_인턴근무계획!$M$3:$M$402,$A263)&amp;"")</f>
        <v/>
      </c>
      <c r="L263" s="26">
        <f>IF($C263="","",INDEX(입력_인턴근무계획!$N$3:$N$402,$A263)&amp;"")</f>
        <v/>
      </c>
      <c r="M263" s="26">
        <f>IF($C263="","",INDEX(입력_인턴근무계획!$O$3:$O$402,$A263)&amp;"")</f>
        <v/>
      </c>
      <c r="N263" s="26">
        <f>IF($C263="","",INDEX(입력_인턴근무계획!$P$3:$P$402,$A263)&amp;"")</f>
        <v/>
      </c>
      <c r="O263" s="26">
        <f>IF($C263="","",INDEX(입력_인턴근무계획!$Q$3:$Q$402,$A263)&amp;"")</f>
        <v/>
      </c>
      <c r="P263" s="26">
        <f>IF($C263="","",INDEX(입력_인턴근무계획!$R$3:$R$402,$A263)&amp;"")</f>
        <v/>
      </c>
      <c r="Q263" s="26">
        <f>IF($C263="","",INDEX(입력_인턴근무계획!$T$3:$T$402,$A263))</f>
        <v/>
      </c>
    </row>
    <row r="264">
      <c r="A264" s="29" t="n">
        <v>259</v>
      </c>
      <c r="B264" s="26">
        <f>IF($C264="","",INDEX(입력_인턴근무계획!$B$3:$B$402,$A264))</f>
        <v/>
      </c>
      <c r="C264" s="26">
        <f>IFERROR(TRIM(INDEX(입력_인턴근무계획!$C$3:$C$402,$A264)&amp;""),"")</f>
        <v/>
      </c>
      <c r="D264" s="26">
        <f>IF($C264="","",INDEX(입력_인턴근무계획!$D$3:$D$402,$A264))</f>
        <v/>
      </c>
      <c r="E264" s="26">
        <f>IF($C264="","",IF(IFERROR(MATCH($D264,입력_기본자료!$B$2:$B$1001,0),IFERROR(MATCH($D264&amp;"",입력_기본자료!$B$2:$B$1001,0),IFERROR(MATCH(VALUE($D264),입력_기본자료!$B$2:$B$1001,0),0)))&gt;0,"확인","미등록"))</f>
        <v/>
      </c>
      <c r="F264" s="28">
        <f>IF($C264="","",INDEX(입력_인턴근무계획!$S$3:$S$402,$A264))</f>
        <v/>
      </c>
      <c r="G264" s="26">
        <f>IF(OR($C264="",$G$3=""),"",IF(INDEX(입력_인턴근무계획!$M$3:$R$402,$A264,$G$3)&amp;""="","",IF(LEFT(INDEX(입력_인턴근무계획!$M$3:$R$402,$A264,$G$3)&amp;"",1)="⚠",INDEX(입력_인턴근무계획!$M$3:$R$402,$A264,$G$3)&amp;"",LEFT(INDEX(입력_인턴근무계획!$M$3:$R$402,$A264,$G$3)&amp;"",FIND(" ",INDEX(입력_인턴근무계획!$M$3:$R$402,$A264,$G$3)&amp;"")-1))))</f>
        <v/>
      </c>
      <c r="H264" s="26">
        <f>IF(OR($C264="",$G$3=""),"",IF(INDEX(입력_인턴근무계획!$M$3:$R$402,$A264,$G$3)&amp;""="","",IF(LEFT(INDEX(입력_인턴근무계획!$M$3:$R$402,$A264,$G$3)&amp;"",1)="⚠","",MID(INDEX(입력_인턴근무계획!$M$3:$R$402,$A264,$G$3)&amp;"",FIND(" ",INDEX(입력_인턴근무계획!$M$3:$R$402,$A264,$G$3)&amp;"")+1,60))))</f>
        <v/>
      </c>
      <c r="I264" s="26">
        <f>IF(OR($C264="",$I$3=""),"",IF(INDEX(입력_인턴근무계획!$M$3:$R$402,$A264,$I$3)&amp;""="","",IF(LEFT(INDEX(입력_인턴근무계획!$M$3:$R$402,$A264,$I$3)&amp;"",1)="⚠",INDEX(입력_인턴근무계획!$M$3:$R$402,$A264,$I$3)&amp;"",LEFT(INDEX(입력_인턴근무계획!$M$3:$R$402,$A264,$I$3)&amp;"",FIND(" ",INDEX(입력_인턴근무계획!$M$3:$R$402,$A264,$I$3)&amp;"")-1))))</f>
        <v/>
      </c>
      <c r="J264" s="26">
        <f>IF(OR($C264="",$I$3=""),"",IF(INDEX(입력_인턴근무계획!$M$3:$R$402,$A264,$I$3)&amp;""="","",IF(LEFT(INDEX(입력_인턴근무계획!$M$3:$R$402,$A264,$I$3)&amp;"",1)="⚠","",MID(INDEX(입력_인턴근무계획!$M$3:$R$402,$A264,$I$3)&amp;"",FIND(" ",INDEX(입력_인턴근무계획!$M$3:$R$402,$A264,$I$3)&amp;"")+1,60))))</f>
        <v/>
      </c>
      <c r="K264" s="26">
        <f>IF($C264="","",INDEX(입력_인턴근무계획!$M$3:$M$402,$A264)&amp;"")</f>
        <v/>
      </c>
      <c r="L264" s="26">
        <f>IF($C264="","",INDEX(입력_인턴근무계획!$N$3:$N$402,$A264)&amp;"")</f>
        <v/>
      </c>
      <c r="M264" s="26">
        <f>IF($C264="","",INDEX(입력_인턴근무계획!$O$3:$O$402,$A264)&amp;"")</f>
        <v/>
      </c>
      <c r="N264" s="26">
        <f>IF($C264="","",INDEX(입력_인턴근무계획!$P$3:$P$402,$A264)&amp;"")</f>
        <v/>
      </c>
      <c r="O264" s="26">
        <f>IF($C264="","",INDEX(입력_인턴근무계획!$Q$3:$Q$402,$A264)&amp;"")</f>
        <v/>
      </c>
      <c r="P264" s="26">
        <f>IF($C264="","",INDEX(입력_인턴근무계획!$R$3:$R$402,$A264)&amp;"")</f>
        <v/>
      </c>
      <c r="Q264" s="26">
        <f>IF($C264="","",INDEX(입력_인턴근무계획!$T$3:$T$402,$A264))</f>
        <v/>
      </c>
    </row>
    <row r="265">
      <c r="A265" s="29" t="n">
        <v>260</v>
      </c>
      <c r="B265" s="26">
        <f>IF($C265="","",INDEX(입력_인턴근무계획!$B$3:$B$402,$A265))</f>
        <v/>
      </c>
      <c r="C265" s="26">
        <f>IFERROR(TRIM(INDEX(입력_인턴근무계획!$C$3:$C$402,$A265)&amp;""),"")</f>
        <v/>
      </c>
      <c r="D265" s="26">
        <f>IF($C265="","",INDEX(입력_인턴근무계획!$D$3:$D$402,$A265))</f>
        <v/>
      </c>
      <c r="E265" s="26">
        <f>IF($C265="","",IF(IFERROR(MATCH($D265,입력_기본자료!$B$2:$B$1001,0),IFERROR(MATCH($D265&amp;"",입력_기본자료!$B$2:$B$1001,0),IFERROR(MATCH(VALUE($D265),입력_기본자료!$B$2:$B$1001,0),0)))&gt;0,"확인","미등록"))</f>
        <v/>
      </c>
      <c r="F265" s="28">
        <f>IF($C265="","",INDEX(입력_인턴근무계획!$S$3:$S$402,$A265))</f>
        <v/>
      </c>
      <c r="G265" s="26">
        <f>IF(OR($C265="",$G$3=""),"",IF(INDEX(입력_인턴근무계획!$M$3:$R$402,$A265,$G$3)&amp;""="","",IF(LEFT(INDEX(입력_인턴근무계획!$M$3:$R$402,$A265,$G$3)&amp;"",1)="⚠",INDEX(입력_인턴근무계획!$M$3:$R$402,$A265,$G$3)&amp;"",LEFT(INDEX(입력_인턴근무계획!$M$3:$R$402,$A265,$G$3)&amp;"",FIND(" ",INDEX(입력_인턴근무계획!$M$3:$R$402,$A265,$G$3)&amp;"")-1))))</f>
        <v/>
      </c>
      <c r="H265" s="26">
        <f>IF(OR($C265="",$G$3=""),"",IF(INDEX(입력_인턴근무계획!$M$3:$R$402,$A265,$G$3)&amp;""="","",IF(LEFT(INDEX(입력_인턴근무계획!$M$3:$R$402,$A265,$G$3)&amp;"",1)="⚠","",MID(INDEX(입력_인턴근무계획!$M$3:$R$402,$A265,$G$3)&amp;"",FIND(" ",INDEX(입력_인턴근무계획!$M$3:$R$402,$A265,$G$3)&amp;"")+1,60))))</f>
        <v/>
      </c>
      <c r="I265" s="26">
        <f>IF(OR($C265="",$I$3=""),"",IF(INDEX(입력_인턴근무계획!$M$3:$R$402,$A265,$I$3)&amp;""="","",IF(LEFT(INDEX(입력_인턴근무계획!$M$3:$R$402,$A265,$I$3)&amp;"",1)="⚠",INDEX(입력_인턴근무계획!$M$3:$R$402,$A265,$I$3)&amp;"",LEFT(INDEX(입력_인턴근무계획!$M$3:$R$402,$A265,$I$3)&amp;"",FIND(" ",INDEX(입력_인턴근무계획!$M$3:$R$402,$A265,$I$3)&amp;"")-1))))</f>
        <v/>
      </c>
      <c r="J265" s="26">
        <f>IF(OR($C265="",$I$3=""),"",IF(INDEX(입력_인턴근무계획!$M$3:$R$402,$A265,$I$3)&amp;""="","",IF(LEFT(INDEX(입력_인턴근무계획!$M$3:$R$402,$A265,$I$3)&amp;"",1)="⚠","",MID(INDEX(입력_인턴근무계획!$M$3:$R$402,$A265,$I$3)&amp;"",FIND(" ",INDEX(입력_인턴근무계획!$M$3:$R$402,$A265,$I$3)&amp;"")+1,60))))</f>
        <v/>
      </c>
      <c r="K265" s="26">
        <f>IF($C265="","",INDEX(입력_인턴근무계획!$M$3:$M$402,$A265)&amp;"")</f>
        <v/>
      </c>
      <c r="L265" s="26">
        <f>IF($C265="","",INDEX(입력_인턴근무계획!$N$3:$N$402,$A265)&amp;"")</f>
        <v/>
      </c>
      <c r="M265" s="26">
        <f>IF($C265="","",INDEX(입력_인턴근무계획!$O$3:$O$402,$A265)&amp;"")</f>
        <v/>
      </c>
      <c r="N265" s="26">
        <f>IF($C265="","",INDEX(입력_인턴근무계획!$P$3:$P$402,$A265)&amp;"")</f>
        <v/>
      </c>
      <c r="O265" s="26">
        <f>IF($C265="","",INDEX(입력_인턴근무계획!$Q$3:$Q$402,$A265)&amp;"")</f>
        <v/>
      </c>
      <c r="P265" s="26">
        <f>IF($C265="","",INDEX(입력_인턴근무계획!$R$3:$R$402,$A265)&amp;"")</f>
        <v/>
      </c>
      <c r="Q265" s="26">
        <f>IF($C265="","",INDEX(입력_인턴근무계획!$T$3:$T$402,$A265))</f>
        <v/>
      </c>
    </row>
    <row r="266">
      <c r="A266" s="29" t="n">
        <v>261</v>
      </c>
      <c r="B266" s="26">
        <f>IF($C266="","",INDEX(입력_인턴근무계획!$B$3:$B$402,$A266))</f>
        <v/>
      </c>
      <c r="C266" s="26">
        <f>IFERROR(TRIM(INDEX(입력_인턴근무계획!$C$3:$C$402,$A266)&amp;""),"")</f>
        <v/>
      </c>
      <c r="D266" s="26">
        <f>IF($C266="","",INDEX(입력_인턴근무계획!$D$3:$D$402,$A266))</f>
        <v/>
      </c>
      <c r="E266" s="26">
        <f>IF($C266="","",IF(IFERROR(MATCH($D266,입력_기본자료!$B$2:$B$1001,0),IFERROR(MATCH($D266&amp;"",입력_기본자료!$B$2:$B$1001,0),IFERROR(MATCH(VALUE($D266),입력_기본자료!$B$2:$B$1001,0),0)))&gt;0,"확인","미등록"))</f>
        <v/>
      </c>
      <c r="F266" s="28">
        <f>IF($C266="","",INDEX(입력_인턴근무계획!$S$3:$S$402,$A266))</f>
        <v/>
      </c>
      <c r="G266" s="26">
        <f>IF(OR($C266="",$G$3=""),"",IF(INDEX(입력_인턴근무계획!$M$3:$R$402,$A266,$G$3)&amp;""="","",IF(LEFT(INDEX(입력_인턴근무계획!$M$3:$R$402,$A266,$G$3)&amp;"",1)="⚠",INDEX(입력_인턴근무계획!$M$3:$R$402,$A266,$G$3)&amp;"",LEFT(INDEX(입력_인턴근무계획!$M$3:$R$402,$A266,$G$3)&amp;"",FIND(" ",INDEX(입력_인턴근무계획!$M$3:$R$402,$A266,$G$3)&amp;"")-1))))</f>
        <v/>
      </c>
      <c r="H266" s="26">
        <f>IF(OR($C266="",$G$3=""),"",IF(INDEX(입력_인턴근무계획!$M$3:$R$402,$A266,$G$3)&amp;""="","",IF(LEFT(INDEX(입력_인턴근무계획!$M$3:$R$402,$A266,$G$3)&amp;"",1)="⚠","",MID(INDEX(입력_인턴근무계획!$M$3:$R$402,$A266,$G$3)&amp;"",FIND(" ",INDEX(입력_인턴근무계획!$M$3:$R$402,$A266,$G$3)&amp;"")+1,60))))</f>
        <v/>
      </c>
      <c r="I266" s="26">
        <f>IF(OR($C266="",$I$3=""),"",IF(INDEX(입력_인턴근무계획!$M$3:$R$402,$A266,$I$3)&amp;""="","",IF(LEFT(INDEX(입력_인턴근무계획!$M$3:$R$402,$A266,$I$3)&amp;"",1)="⚠",INDEX(입력_인턴근무계획!$M$3:$R$402,$A266,$I$3)&amp;"",LEFT(INDEX(입력_인턴근무계획!$M$3:$R$402,$A266,$I$3)&amp;"",FIND(" ",INDEX(입력_인턴근무계획!$M$3:$R$402,$A266,$I$3)&amp;"")-1))))</f>
        <v/>
      </c>
      <c r="J266" s="26">
        <f>IF(OR($C266="",$I$3=""),"",IF(INDEX(입력_인턴근무계획!$M$3:$R$402,$A266,$I$3)&amp;""="","",IF(LEFT(INDEX(입력_인턴근무계획!$M$3:$R$402,$A266,$I$3)&amp;"",1)="⚠","",MID(INDEX(입력_인턴근무계획!$M$3:$R$402,$A266,$I$3)&amp;"",FIND(" ",INDEX(입력_인턴근무계획!$M$3:$R$402,$A266,$I$3)&amp;"")+1,60))))</f>
        <v/>
      </c>
      <c r="K266" s="26">
        <f>IF($C266="","",INDEX(입력_인턴근무계획!$M$3:$M$402,$A266)&amp;"")</f>
        <v/>
      </c>
      <c r="L266" s="26">
        <f>IF($C266="","",INDEX(입력_인턴근무계획!$N$3:$N$402,$A266)&amp;"")</f>
        <v/>
      </c>
      <c r="M266" s="26">
        <f>IF($C266="","",INDEX(입력_인턴근무계획!$O$3:$O$402,$A266)&amp;"")</f>
        <v/>
      </c>
      <c r="N266" s="26">
        <f>IF($C266="","",INDEX(입력_인턴근무계획!$P$3:$P$402,$A266)&amp;"")</f>
        <v/>
      </c>
      <c r="O266" s="26">
        <f>IF($C266="","",INDEX(입력_인턴근무계획!$Q$3:$Q$402,$A266)&amp;"")</f>
        <v/>
      </c>
      <c r="P266" s="26">
        <f>IF($C266="","",INDEX(입력_인턴근무계획!$R$3:$R$402,$A266)&amp;"")</f>
        <v/>
      </c>
      <c r="Q266" s="26">
        <f>IF($C266="","",INDEX(입력_인턴근무계획!$T$3:$T$402,$A266))</f>
        <v/>
      </c>
    </row>
    <row r="267">
      <c r="A267" s="29" t="n">
        <v>262</v>
      </c>
      <c r="B267" s="26">
        <f>IF($C267="","",INDEX(입력_인턴근무계획!$B$3:$B$402,$A267))</f>
        <v/>
      </c>
      <c r="C267" s="26">
        <f>IFERROR(TRIM(INDEX(입력_인턴근무계획!$C$3:$C$402,$A267)&amp;""),"")</f>
        <v/>
      </c>
      <c r="D267" s="26">
        <f>IF($C267="","",INDEX(입력_인턴근무계획!$D$3:$D$402,$A267))</f>
        <v/>
      </c>
      <c r="E267" s="26">
        <f>IF($C267="","",IF(IFERROR(MATCH($D267,입력_기본자료!$B$2:$B$1001,0),IFERROR(MATCH($D267&amp;"",입력_기본자료!$B$2:$B$1001,0),IFERROR(MATCH(VALUE($D267),입력_기본자료!$B$2:$B$1001,0),0)))&gt;0,"확인","미등록"))</f>
        <v/>
      </c>
      <c r="F267" s="28">
        <f>IF($C267="","",INDEX(입력_인턴근무계획!$S$3:$S$402,$A267))</f>
        <v/>
      </c>
      <c r="G267" s="26">
        <f>IF(OR($C267="",$G$3=""),"",IF(INDEX(입력_인턴근무계획!$M$3:$R$402,$A267,$G$3)&amp;""="","",IF(LEFT(INDEX(입력_인턴근무계획!$M$3:$R$402,$A267,$G$3)&amp;"",1)="⚠",INDEX(입력_인턴근무계획!$M$3:$R$402,$A267,$G$3)&amp;"",LEFT(INDEX(입력_인턴근무계획!$M$3:$R$402,$A267,$G$3)&amp;"",FIND(" ",INDEX(입력_인턴근무계획!$M$3:$R$402,$A267,$G$3)&amp;"")-1))))</f>
        <v/>
      </c>
      <c r="H267" s="26">
        <f>IF(OR($C267="",$G$3=""),"",IF(INDEX(입력_인턴근무계획!$M$3:$R$402,$A267,$G$3)&amp;""="","",IF(LEFT(INDEX(입력_인턴근무계획!$M$3:$R$402,$A267,$G$3)&amp;"",1)="⚠","",MID(INDEX(입력_인턴근무계획!$M$3:$R$402,$A267,$G$3)&amp;"",FIND(" ",INDEX(입력_인턴근무계획!$M$3:$R$402,$A267,$G$3)&amp;"")+1,60))))</f>
        <v/>
      </c>
      <c r="I267" s="26">
        <f>IF(OR($C267="",$I$3=""),"",IF(INDEX(입력_인턴근무계획!$M$3:$R$402,$A267,$I$3)&amp;""="","",IF(LEFT(INDEX(입력_인턴근무계획!$M$3:$R$402,$A267,$I$3)&amp;"",1)="⚠",INDEX(입력_인턴근무계획!$M$3:$R$402,$A267,$I$3)&amp;"",LEFT(INDEX(입력_인턴근무계획!$M$3:$R$402,$A267,$I$3)&amp;"",FIND(" ",INDEX(입력_인턴근무계획!$M$3:$R$402,$A267,$I$3)&amp;"")-1))))</f>
        <v/>
      </c>
      <c r="J267" s="26">
        <f>IF(OR($C267="",$I$3=""),"",IF(INDEX(입력_인턴근무계획!$M$3:$R$402,$A267,$I$3)&amp;""="","",IF(LEFT(INDEX(입력_인턴근무계획!$M$3:$R$402,$A267,$I$3)&amp;"",1)="⚠","",MID(INDEX(입력_인턴근무계획!$M$3:$R$402,$A267,$I$3)&amp;"",FIND(" ",INDEX(입력_인턴근무계획!$M$3:$R$402,$A267,$I$3)&amp;"")+1,60))))</f>
        <v/>
      </c>
      <c r="K267" s="26">
        <f>IF($C267="","",INDEX(입력_인턴근무계획!$M$3:$M$402,$A267)&amp;"")</f>
        <v/>
      </c>
      <c r="L267" s="26">
        <f>IF($C267="","",INDEX(입력_인턴근무계획!$N$3:$N$402,$A267)&amp;"")</f>
        <v/>
      </c>
      <c r="M267" s="26">
        <f>IF($C267="","",INDEX(입력_인턴근무계획!$O$3:$O$402,$A267)&amp;"")</f>
        <v/>
      </c>
      <c r="N267" s="26">
        <f>IF($C267="","",INDEX(입력_인턴근무계획!$P$3:$P$402,$A267)&amp;"")</f>
        <v/>
      </c>
      <c r="O267" s="26">
        <f>IF($C267="","",INDEX(입력_인턴근무계획!$Q$3:$Q$402,$A267)&amp;"")</f>
        <v/>
      </c>
      <c r="P267" s="26">
        <f>IF($C267="","",INDEX(입력_인턴근무계획!$R$3:$R$402,$A267)&amp;"")</f>
        <v/>
      </c>
      <c r="Q267" s="26">
        <f>IF($C267="","",INDEX(입력_인턴근무계획!$T$3:$T$402,$A267))</f>
        <v/>
      </c>
    </row>
    <row r="268">
      <c r="A268" s="29" t="n">
        <v>263</v>
      </c>
      <c r="B268" s="26">
        <f>IF($C268="","",INDEX(입력_인턴근무계획!$B$3:$B$402,$A268))</f>
        <v/>
      </c>
      <c r="C268" s="26">
        <f>IFERROR(TRIM(INDEX(입력_인턴근무계획!$C$3:$C$402,$A268)&amp;""),"")</f>
        <v/>
      </c>
      <c r="D268" s="26">
        <f>IF($C268="","",INDEX(입력_인턴근무계획!$D$3:$D$402,$A268))</f>
        <v/>
      </c>
      <c r="E268" s="26">
        <f>IF($C268="","",IF(IFERROR(MATCH($D268,입력_기본자료!$B$2:$B$1001,0),IFERROR(MATCH($D268&amp;"",입력_기본자료!$B$2:$B$1001,0),IFERROR(MATCH(VALUE($D268),입력_기본자료!$B$2:$B$1001,0),0)))&gt;0,"확인","미등록"))</f>
        <v/>
      </c>
      <c r="F268" s="28">
        <f>IF($C268="","",INDEX(입력_인턴근무계획!$S$3:$S$402,$A268))</f>
        <v/>
      </c>
      <c r="G268" s="26">
        <f>IF(OR($C268="",$G$3=""),"",IF(INDEX(입력_인턴근무계획!$M$3:$R$402,$A268,$G$3)&amp;""="","",IF(LEFT(INDEX(입력_인턴근무계획!$M$3:$R$402,$A268,$G$3)&amp;"",1)="⚠",INDEX(입력_인턴근무계획!$M$3:$R$402,$A268,$G$3)&amp;"",LEFT(INDEX(입력_인턴근무계획!$M$3:$R$402,$A268,$G$3)&amp;"",FIND(" ",INDEX(입력_인턴근무계획!$M$3:$R$402,$A268,$G$3)&amp;"")-1))))</f>
        <v/>
      </c>
      <c r="H268" s="26">
        <f>IF(OR($C268="",$G$3=""),"",IF(INDEX(입력_인턴근무계획!$M$3:$R$402,$A268,$G$3)&amp;""="","",IF(LEFT(INDEX(입력_인턴근무계획!$M$3:$R$402,$A268,$G$3)&amp;"",1)="⚠","",MID(INDEX(입력_인턴근무계획!$M$3:$R$402,$A268,$G$3)&amp;"",FIND(" ",INDEX(입력_인턴근무계획!$M$3:$R$402,$A268,$G$3)&amp;"")+1,60))))</f>
        <v/>
      </c>
      <c r="I268" s="26">
        <f>IF(OR($C268="",$I$3=""),"",IF(INDEX(입력_인턴근무계획!$M$3:$R$402,$A268,$I$3)&amp;""="","",IF(LEFT(INDEX(입력_인턴근무계획!$M$3:$R$402,$A268,$I$3)&amp;"",1)="⚠",INDEX(입력_인턴근무계획!$M$3:$R$402,$A268,$I$3)&amp;"",LEFT(INDEX(입력_인턴근무계획!$M$3:$R$402,$A268,$I$3)&amp;"",FIND(" ",INDEX(입력_인턴근무계획!$M$3:$R$402,$A268,$I$3)&amp;"")-1))))</f>
        <v/>
      </c>
      <c r="J268" s="26">
        <f>IF(OR($C268="",$I$3=""),"",IF(INDEX(입력_인턴근무계획!$M$3:$R$402,$A268,$I$3)&amp;""="","",IF(LEFT(INDEX(입력_인턴근무계획!$M$3:$R$402,$A268,$I$3)&amp;"",1)="⚠","",MID(INDEX(입력_인턴근무계획!$M$3:$R$402,$A268,$I$3)&amp;"",FIND(" ",INDEX(입력_인턴근무계획!$M$3:$R$402,$A268,$I$3)&amp;"")+1,60))))</f>
        <v/>
      </c>
      <c r="K268" s="26">
        <f>IF($C268="","",INDEX(입력_인턴근무계획!$M$3:$M$402,$A268)&amp;"")</f>
        <v/>
      </c>
      <c r="L268" s="26">
        <f>IF($C268="","",INDEX(입력_인턴근무계획!$N$3:$N$402,$A268)&amp;"")</f>
        <v/>
      </c>
      <c r="M268" s="26">
        <f>IF($C268="","",INDEX(입력_인턴근무계획!$O$3:$O$402,$A268)&amp;"")</f>
        <v/>
      </c>
      <c r="N268" s="26">
        <f>IF($C268="","",INDEX(입력_인턴근무계획!$P$3:$P$402,$A268)&amp;"")</f>
        <v/>
      </c>
      <c r="O268" s="26">
        <f>IF($C268="","",INDEX(입력_인턴근무계획!$Q$3:$Q$402,$A268)&amp;"")</f>
        <v/>
      </c>
      <c r="P268" s="26">
        <f>IF($C268="","",INDEX(입력_인턴근무계획!$R$3:$R$402,$A268)&amp;"")</f>
        <v/>
      </c>
      <c r="Q268" s="26">
        <f>IF($C268="","",INDEX(입력_인턴근무계획!$T$3:$T$402,$A268))</f>
        <v/>
      </c>
    </row>
    <row r="269">
      <c r="A269" s="29" t="n">
        <v>264</v>
      </c>
      <c r="B269" s="26">
        <f>IF($C269="","",INDEX(입력_인턴근무계획!$B$3:$B$402,$A269))</f>
        <v/>
      </c>
      <c r="C269" s="26">
        <f>IFERROR(TRIM(INDEX(입력_인턴근무계획!$C$3:$C$402,$A269)&amp;""),"")</f>
        <v/>
      </c>
      <c r="D269" s="26">
        <f>IF($C269="","",INDEX(입력_인턴근무계획!$D$3:$D$402,$A269))</f>
        <v/>
      </c>
      <c r="E269" s="26">
        <f>IF($C269="","",IF(IFERROR(MATCH($D269,입력_기본자료!$B$2:$B$1001,0),IFERROR(MATCH($D269&amp;"",입력_기본자료!$B$2:$B$1001,0),IFERROR(MATCH(VALUE($D269),입력_기본자료!$B$2:$B$1001,0),0)))&gt;0,"확인","미등록"))</f>
        <v/>
      </c>
      <c r="F269" s="28">
        <f>IF($C269="","",INDEX(입력_인턴근무계획!$S$3:$S$402,$A269))</f>
        <v/>
      </c>
      <c r="G269" s="26">
        <f>IF(OR($C269="",$G$3=""),"",IF(INDEX(입력_인턴근무계획!$M$3:$R$402,$A269,$G$3)&amp;""="","",IF(LEFT(INDEX(입력_인턴근무계획!$M$3:$R$402,$A269,$G$3)&amp;"",1)="⚠",INDEX(입력_인턴근무계획!$M$3:$R$402,$A269,$G$3)&amp;"",LEFT(INDEX(입력_인턴근무계획!$M$3:$R$402,$A269,$G$3)&amp;"",FIND(" ",INDEX(입력_인턴근무계획!$M$3:$R$402,$A269,$G$3)&amp;"")-1))))</f>
        <v/>
      </c>
      <c r="H269" s="26">
        <f>IF(OR($C269="",$G$3=""),"",IF(INDEX(입력_인턴근무계획!$M$3:$R$402,$A269,$G$3)&amp;""="","",IF(LEFT(INDEX(입력_인턴근무계획!$M$3:$R$402,$A269,$G$3)&amp;"",1)="⚠","",MID(INDEX(입력_인턴근무계획!$M$3:$R$402,$A269,$G$3)&amp;"",FIND(" ",INDEX(입력_인턴근무계획!$M$3:$R$402,$A269,$G$3)&amp;"")+1,60))))</f>
        <v/>
      </c>
      <c r="I269" s="26">
        <f>IF(OR($C269="",$I$3=""),"",IF(INDEX(입력_인턴근무계획!$M$3:$R$402,$A269,$I$3)&amp;""="","",IF(LEFT(INDEX(입력_인턴근무계획!$M$3:$R$402,$A269,$I$3)&amp;"",1)="⚠",INDEX(입력_인턴근무계획!$M$3:$R$402,$A269,$I$3)&amp;"",LEFT(INDEX(입력_인턴근무계획!$M$3:$R$402,$A269,$I$3)&amp;"",FIND(" ",INDEX(입력_인턴근무계획!$M$3:$R$402,$A269,$I$3)&amp;"")-1))))</f>
        <v/>
      </c>
      <c r="J269" s="26">
        <f>IF(OR($C269="",$I$3=""),"",IF(INDEX(입력_인턴근무계획!$M$3:$R$402,$A269,$I$3)&amp;""="","",IF(LEFT(INDEX(입력_인턴근무계획!$M$3:$R$402,$A269,$I$3)&amp;"",1)="⚠","",MID(INDEX(입력_인턴근무계획!$M$3:$R$402,$A269,$I$3)&amp;"",FIND(" ",INDEX(입력_인턴근무계획!$M$3:$R$402,$A269,$I$3)&amp;"")+1,60))))</f>
        <v/>
      </c>
      <c r="K269" s="26">
        <f>IF($C269="","",INDEX(입력_인턴근무계획!$M$3:$M$402,$A269)&amp;"")</f>
        <v/>
      </c>
      <c r="L269" s="26">
        <f>IF($C269="","",INDEX(입력_인턴근무계획!$N$3:$N$402,$A269)&amp;"")</f>
        <v/>
      </c>
      <c r="M269" s="26">
        <f>IF($C269="","",INDEX(입력_인턴근무계획!$O$3:$O$402,$A269)&amp;"")</f>
        <v/>
      </c>
      <c r="N269" s="26">
        <f>IF($C269="","",INDEX(입력_인턴근무계획!$P$3:$P$402,$A269)&amp;"")</f>
        <v/>
      </c>
      <c r="O269" s="26">
        <f>IF($C269="","",INDEX(입력_인턴근무계획!$Q$3:$Q$402,$A269)&amp;"")</f>
        <v/>
      </c>
      <c r="P269" s="26">
        <f>IF($C269="","",INDEX(입력_인턴근무계획!$R$3:$R$402,$A269)&amp;"")</f>
        <v/>
      </c>
      <c r="Q269" s="26">
        <f>IF($C269="","",INDEX(입력_인턴근무계획!$T$3:$T$402,$A269))</f>
        <v/>
      </c>
    </row>
    <row r="270">
      <c r="A270" s="29" t="n">
        <v>265</v>
      </c>
      <c r="B270" s="26">
        <f>IF($C270="","",INDEX(입력_인턴근무계획!$B$3:$B$402,$A270))</f>
        <v/>
      </c>
      <c r="C270" s="26">
        <f>IFERROR(TRIM(INDEX(입력_인턴근무계획!$C$3:$C$402,$A270)&amp;""),"")</f>
        <v/>
      </c>
      <c r="D270" s="26">
        <f>IF($C270="","",INDEX(입력_인턴근무계획!$D$3:$D$402,$A270))</f>
        <v/>
      </c>
      <c r="E270" s="26">
        <f>IF($C270="","",IF(IFERROR(MATCH($D270,입력_기본자료!$B$2:$B$1001,0),IFERROR(MATCH($D270&amp;"",입력_기본자료!$B$2:$B$1001,0),IFERROR(MATCH(VALUE($D270),입력_기본자료!$B$2:$B$1001,0),0)))&gt;0,"확인","미등록"))</f>
        <v/>
      </c>
      <c r="F270" s="28">
        <f>IF($C270="","",INDEX(입력_인턴근무계획!$S$3:$S$402,$A270))</f>
        <v/>
      </c>
      <c r="G270" s="26">
        <f>IF(OR($C270="",$G$3=""),"",IF(INDEX(입력_인턴근무계획!$M$3:$R$402,$A270,$G$3)&amp;""="","",IF(LEFT(INDEX(입력_인턴근무계획!$M$3:$R$402,$A270,$G$3)&amp;"",1)="⚠",INDEX(입력_인턴근무계획!$M$3:$R$402,$A270,$G$3)&amp;"",LEFT(INDEX(입력_인턴근무계획!$M$3:$R$402,$A270,$G$3)&amp;"",FIND(" ",INDEX(입력_인턴근무계획!$M$3:$R$402,$A270,$G$3)&amp;"")-1))))</f>
        <v/>
      </c>
      <c r="H270" s="26">
        <f>IF(OR($C270="",$G$3=""),"",IF(INDEX(입력_인턴근무계획!$M$3:$R$402,$A270,$G$3)&amp;""="","",IF(LEFT(INDEX(입력_인턴근무계획!$M$3:$R$402,$A270,$G$3)&amp;"",1)="⚠","",MID(INDEX(입력_인턴근무계획!$M$3:$R$402,$A270,$G$3)&amp;"",FIND(" ",INDEX(입력_인턴근무계획!$M$3:$R$402,$A270,$G$3)&amp;"")+1,60))))</f>
        <v/>
      </c>
      <c r="I270" s="26">
        <f>IF(OR($C270="",$I$3=""),"",IF(INDEX(입력_인턴근무계획!$M$3:$R$402,$A270,$I$3)&amp;""="","",IF(LEFT(INDEX(입력_인턴근무계획!$M$3:$R$402,$A270,$I$3)&amp;"",1)="⚠",INDEX(입력_인턴근무계획!$M$3:$R$402,$A270,$I$3)&amp;"",LEFT(INDEX(입력_인턴근무계획!$M$3:$R$402,$A270,$I$3)&amp;"",FIND(" ",INDEX(입력_인턴근무계획!$M$3:$R$402,$A270,$I$3)&amp;"")-1))))</f>
        <v/>
      </c>
      <c r="J270" s="26">
        <f>IF(OR($C270="",$I$3=""),"",IF(INDEX(입력_인턴근무계획!$M$3:$R$402,$A270,$I$3)&amp;""="","",IF(LEFT(INDEX(입력_인턴근무계획!$M$3:$R$402,$A270,$I$3)&amp;"",1)="⚠","",MID(INDEX(입력_인턴근무계획!$M$3:$R$402,$A270,$I$3)&amp;"",FIND(" ",INDEX(입력_인턴근무계획!$M$3:$R$402,$A270,$I$3)&amp;"")+1,60))))</f>
        <v/>
      </c>
      <c r="K270" s="26">
        <f>IF($C270="","",INDEX(입력_인턴근무계획!$M$3:$M$402,$A270)&amp;"")</f>
        <v/>
      </c>
      <c r="L270" s="26">
        <f>IF($C270="","",INDEX(입력_인턴근무계획!$N$3:$N$402,$A270)&amp;"")</f>
        <v/>
      </c>
      <c r="M270" s="26">
        <f>IF($C270="","",INDEX(입력_인턴근무계획!$O$3:$O$402,$A270)&amp;"")</f>
        <v/>
      </c>
      <c r="N270" s="26">
        <f>IF($C270="","",INDEX(입력_인턴근무계획!$P$3:$P$402,$A270)&amp;"")</f>
        <v/>
      </c>
      <c r="O270" s="26">
        <f>IF($C270="","",INDEX(입력_인턴근무계획!$Q$3:$Q$402,$A270)&amp;"")</f>
        <v/>
      </c>
      <c r="P270" s="26">
        <f>IF($C270="","",INDEX(입력_인턴근무계획!$R$3:$R$402,$A270)&amp;"")</f>
        <v/>
      </c>
      <c r="Q270" s="26">
        <f>IF($C270="","",INDEX(입력_인턴근무계획!$T$3:$T$402,$A270))</f>
        <v/>
      </c>
    </row>
    <row r="271">
      <c r="A271" s="29" t="n">
        <v>266</v>
      </c>
      <c r="B271" s="26">
        <f>IF($C271="","",INDEX(입력_인턴근무계획!$B$3:$B$402,$A271))</f>
        <v/>
      </c>
      <c r="C271" s="26">
        <f>IFERROR(TRIM(INDEX(입력_인턴근무계획!$C$3:$C$402,$A271)&amp;""),"")</f>
        <v/>
      </c>
      <c r="D271" s="26">
        <f>IF($C271="","",INDEX(입력_인턴근무계획!$D$3:$D$402,$A271))</f>
        <v/>
      </c>
      <c r="E271" s="26">
        <f>IF($C271="","",IF(IFERROR(MATCH($D271,입력_기본자료!$B$2:$B$1001,0),IFERROR(MATCH($D271&amp;"",입력_기본자료!$B$2:$B$1001,0),IFERROR(MATCH(VALUE($D271),입력_기본자료!$B$2:$B$1001,0),0)))&gt;0,"확인","미등록"))</f>
        <v/>
      </c>
      <c r="F271" s="28">
        <f>IF($C271="","",INDEX(입력_인턴근무계획!$S$3:$S$402,$A271))</f>
        <v/>
      </c>
      <c r="G271" s="26">
        <f>IF(OR($C271="",$G$3=""),"",IF(INDEX(입력_인턴근무계획!$M$3:$R$402,$A271,$G$3)&amp;""="","",IF(LEFT(INDEX(입력_인턴근무계획!$M$3:$R$402,$A271,$G$3)&amp;"",1)="⚠",INDEX(입력_인턴근무계획!$M$3:$R$402,$A271,$G$3)&amp;"",LEFT(INDEX(입력_인턴근무계획!$M$3:$R$402,$A271,$G$3)&amp;"",FIND(" ",INDEX(입력_인턴근무계획!$M$3:$R$402,$A271,$G$3)&amp;"")-1))))</f>
        <v/>
      </c>
      <c r="H271" s="26">
        <f>IF(OR($C271="",$G$3=""),"",IF(INDEX(입력_인턴근무계획!$M$3:$R$402,$A271,$G$3)&amp;""="","",IF(LEFT(INDEX(입력_인턴근무계획!$M$3:$R$402,$A271,$G$3)&amp;"",1)="⚠","",MID(INDEX(입력_인턴근무계획!$M$3:$R$402,$A271,$G$3)&amp;"",FIND(" ",INDEX(입력_인턴근무계획!$M$3:$R$402,$A271,$G$3)&amp;"")+1,60))))</f>
        <v/>
      </c>
      <c r="I271" s="26">
        <f>IF(OR($C271="",$I$3=""),"",IF(INDEX(입력_인턴근무계획!$M$3:$R$402,$A271,$I$3)&amp;""="","",IF(LEFT(INDEX(입력_인턴근무계획!$M$3:$R$402,$A271,$I$3)&amp;"",1)="⚠",INDEX(입력_인턴근무계획!$M$3:$R$402,$A271,$I$3)&amp;"",LEFT(INDEX(입력_인턴근무계획!$M$3:$R$402,$A271,$I$3)&amp;"",FIND(" ",INDEX(입력_인턴근무계획!$M$3:$R$402,$A271,$I$3)&amp;"")-1))))</f>
        <v/>
      </c>
      <c r="J271" s="26">
        <f>IF(OR($C271="",$I$3=""),"",IF(INDEX(입력_인턴근무계획!$M$3:$R$402,$A271,$I$3)&amp;""="","",IF(LEFT(INDEX(입력_인턴근무계획!$M$3:$R$402,$A271,$I$3)&amp;"",1)="⚠","",MID(INDEX(입력_인턴근무계획!$M$3:$R$402,$A271,$I$3)&amp;"",FIND(" ",INDEX(입력_인턴근무계획!$M$3:$R$402,$A271,$I$3)&amp;"")+1,60))))</f>
        <v/>
      </c>
      <c r="K271" s="26">
        <f>IF($C271="","",INDEX(입력_인턴근무계획!$M$3:$M$402,$A271)&amp;"")</f>
        <v/>
      </c>
      <c r="L271" s="26">
        <f>IF($C271="","",INDEX(입력_인턴근무계획!$N$3:$N$402,$A271)&amp;"")</f>
        <v/>
      </c>
      <c r="M271" s="26">
        <f>IF($C271="","",INDEX(입력_인턴근무계획!$O$3:$O$402,$A271)&amp;"")</f>
        <v/>
      </c>
      <c r="N271" s="26">
        <f>IF($C271="","",INDEX(입력_인턴근무계획!$P$3:$P$402,$A271)&amp;"")</f>
        <v/>
      </c>
      <c r="O271" s="26">
        <f>IF($C271="","",INDEX(입력_인턴근무계획!$Q$3:$Q$402,$A271)&amp;"")</f>
        <v/>
      </c>
      <c r="P271" s="26">
        <f>IF($C271="","",INDEX(입력_인턴근무계획!$R$3:$R$402,$A271)&amp;"")</f>
        <v/>
      </c>
      <c r="Q271" s="26">
        <f>IF($C271="","",INDEX(입력_인턴근무계획!$T$3:$T$402,$A271))</f>
        <v/>
      </c>
    </row>
    <row r="272">
      <c r="A272" s="29" t="n">
        <v>267</v>
      </c>
      <c r="B272" s="26">
        <f>IF($C272="","",INDEX(입력_인턴근무계획!$B$3:$B$402,$A272))</f>
        <v/>
      </c>
      <c r="C272" s="26">
        <f>IFERROR(TRIM(INDEX(입력_인턴근무계획!$C$3:$C$402,$A272)&amp;""),"")</f>
        <v/>
      </c>
      <c r="D272" s="26">
        <f>IF($C272="","",INDEX(입력_인턴근무계획!$D$3:$D$402,$A272))</f>
        <v/>
      </c>
      <c r="E272" s="26">
        <f>IF($C272="","",IF(IFERROR(MATCH($D272,입력_기본자료!$B$2:$B$1001,0),IFERROR(MATCH($D272&amp;"",입력_기본자료!$B$2:$B$1001,0),IFERROR(MATCH(VALUE($D272),입력_기본자료!$B$2:$B$1001,0),0)))&gt;0,"확인","미등록"))</f>
        <v/>
      </c>
      <c r="F272" s="28">
        <f>IF($C272="","",INDEX(입력_인턴근무계획!$S$3:$S$402,$A272))</f>
        <v/>
      </c>
      <c r="G272" s="26">
        <f>IF(OR($C272="",$G$3=""),"",IF(INDEX(입력_인턴근무계획!$M$3:$R$402,$A272,$G$3)&amp;""="","",IF(LEFT(INDEX(입력_인턴근무계획!$M$3:$R$402,$A272,$G$3)&amp;"",1)="⚠",INDEX(입력_인턴근무계획!$M$3:$R$402,$A272,$G$3)&amp;"",LEFT(INDEX(입력_인턴근무계획!$M$3:$R$402,$A272,$G$3)&amp;"",FIND(" ",INDEX(입력_인턴근무계획!$M$3:$R$402,$A272,$G$3)&amp;"")-1))))</f>
        <v/>
      </c>
      <c r="H272" s="26">
        <f>IF(OR($C272="",$G$3=""),"",IF(INDEX(입력_인턴근무계획!$M$3:$R$402,$A272,$G$3)&amp;""="","",IF(LEFT(INDEX(입력_인턴근무계획!$M$3:$R$402,$A272,$G$3)&amp;"",1)="⚠","",MID(INDEX(입력_인턴근무계획!$M$3:$R$402,$A272,$G$3)&amp;"",FIND(" ",INDEX(입력_인턴근무계획!$M$3:$R$402,$A272,$G$3)&amp;"")+1,60))))</f>
        <v/>
      </c>
      <c r="I272" s="26">
        <f>IF(OR($C272="",$I$3=""),"",IF(INDEX(입력_인턴근무계획!$M$3:$R$402,$A272,$I$3)&amp;""="","",IF(LEFT(INDEX(입력_인턴근무계획!$M$3:$R$402,$A272,$I$3)&amp;"",1)="⚠",INDEX(입력_인턴근무계획!$M$3:$R$402,$A272,$I$3)&amp;"",LEFT(INDEX(입력_인턴근무계획!$M$3:$R$402,$A272,$I$3)&amp;"",FIND(" ",INDEX(입력_인턴근무계획!$M$3:$R$402,$A272,$I$3)&amp;"")-1))))</f>
        <v/>
      </c>
      <c r="J272" s="26">
        <f>IF(OR($C272="",$I$3=""),"",IF(INDEX(입력_인턴근무계획!$M$3:$R$402,$A272,$I$3)&amp;""="","",IF(LEFT(INDEX(입력_인턴근무계획!$M$3:$R$402,$A272,$I$3)&amp;"",1)="⚠","",MID(INDEX(입력_인턴근무계획!$M$3:$R$402,$A272,$I$3)&amp;"",FIND(" ",INDEX(입력_인턴근무계획!$M$3:$R$402,$A272,$I$3)&amp;"")+1,60))))</f>
        <v/>
      </c>
      <c r="K272" s="26">
        <f>IF($C272="","",INDEX(입력_인턴근무계획!$M$3:$M$402,$A272)&amp;"")</f>
        <v/>
      </c>
      <c r="L272" s="26">
        <f>IF($C272="","",INDEX(입력_인턴근무계획!$N$3:$N$402,$A272)&amp;"")</f>
        <v/>
      </c>
      <c r="M272" s="26">
        <f>IF($C272="","",INDEX(입력_인턴근무계획!$O$3:$O$402,$A272)&amp;"")</f>
        <v/>
      </c>
      <c r="N272" s="26">
        <f>IF($C272="","",INDEX(입력_인턴근무계획!$P$3:$P$402,$A272)&amp;"")</f>
        <v/>
      </c>
      <c r="O272" s="26">
        <f>IF($C272="","",INDEX(입력_인턴근무계획!$Q$3:$Q$402,$A272)&amp;"")</f>
        <v/>
      </c>
      <c r="P272" s="26">
        <f>IF($C272="","",INDEX(입력_인턴근무계획!$R$3:$R$402,$A272)&amp;"")</f>
        <v/>
      </c>
      <c r="Q272" s="26">
        <f>IF($C272="","",INDEX(입력_인턴근무계획!$T$3:$T$402,$A272))</f>
        <v/>
      </c>
    </row>
    <row r="273">
      <c r="A273" s="29" t="n">
        <v>268</v>
      </c>
      <c r="B273" s="26">
        <f>IF($C273="","",INDEX(입력_인턴근무계획!$B$3:$B$402,$A273))</f>
        <v/>
      </c>
      <c r="C273" s="26">
        <f>IFERROR(TRIM(INDEX(입력_인턴근무계획!$C$3:$C$402,$A273)&amp;""),"")</f>
        <v/>
      </c>
      <c r="D273" s="26">
        <f>IF($C273="","",INDEX(입력_인턴근무계획!$D$3:$D$402,$A273))</f>
        <v/>
      </c>
      <c r="E273" s="26">
        <f>IF($C273="","",IF(IFERROR(MATCH($D273,입력_기본자료!$B$2:$B$1001,0),IFERROR(MATCH($D273&amp;"",입력_기본자료!$B$2:$B$1001,0),IFERROR(MATCH(VALUE($D273),입력_기본자료!$B$2:$B$1001,0),0)))&gt;0,"확인","미등록"))</f>
        <v/>
      </c>
      <c r="F273" s="28">
        <f>IF($C273="","",INDEX(입력_인턴근무계획!$S$3:$S$402,$A273))</f>
        <v/>
      </c>
      <c r="G273" s="26">
        <f>IF(OR($C273="",$G$3=""),"",IF(INDEX(입력_인턴근무계획!$M$3:$R$402,$A273,$G$3)&amp;""="","",IF(LEFT(INDEX(입력_인턴근무계획!$M$3:$R$402,$A273,$G$3)&amp;"",1)="⚠",INDEX(입력_인턴근무계획!$M$3:$R$402,$A273,$G$3)&amp;"",LEFT(INDEX(입력_인턴근무계획!$M$3:$R$402,$A273,$G$3)&amp;"",FIND(" ",INDEX(입력_인턴근무계획!$M$3:$R$402,$A273,$G$3)&amp;"")-1))))</f>
        <v/>
      </c>
      <c r="H273" s="26">
        <f>IF(OR($C273="",$G$3=""),"",IF(INDEX(입력_인턴근무계획!$M$3:$R$402,$A273,$G$3)&amp;""="","",IF(LEFT(INDEX(입력_인턴근무계획!$M$3:$R$402,$A273,$G$3)&amp;"",1)="⚠","",MID(INDEX(입력_인턴근무계획!$M$3:$R$402,$A273,$G$3)&amp;"",FIND(" ",INDEX(입력_인턴근무계획!$M$3:$R$402,$A273,$G$3)&amp;"")+1,60))))</f>
        <v/>
      </c>
      <c r="I273" s="26">
        <f>IF(OR($C273="",$I$3=""),"",IF(INDEX(입력_인턴근무계획!$M$3:$R$402,$A273,$I$3)&amp;""="","",IF(LEFT(INDEX(입력_인턴근무계획!$M$3:$R$402,$A273,$I$3)&amp;"",1)="⚠",INDEX(입력_인턴근무계획!$M$3:$R$402,$A273,$I$3)&amp;"",LEFT(INDEX(입력_인턴근무계획!$M$3:$R$402,$A273,$I$3)&amp;"",FIND(" ",INDEX(입력_인턴근무계획!$M$3:$R$402,$A273,$I$3)&amp;"")-1))))</f>
        <v/>
      </c>
      <c r="J273" s="26">
        <f>IF(OR($C273="",$I$3=""),"",IF(INDEX(입력_인턴근무계획!$M$3:$R$402,$A273,$I$3)&amp;""="","",IF(LEFT(INDEX(입력_인턴근무계획!$M$3:$R$402,$A273,$I$3)&amp;"",1)="⚠","",MID(INDEX(입력_인턴근무계획!$M$3:$R$402,$A273,$I$3)&amp;"",FIND(" ",INDEX(입력_인턴근무계획!$M$3:$R$402,$A273,$I$3)&amp;"")+1,60))))</f>
        <v/>
      </c>
      <c r="K273" s="26">
        <f>IF($C273="","",INDEX(입력_인턴근무계획!$M$3:$M$402,$A273)&amp;"")</f>
        <v/>
      </c>
      <c r="L273" s="26">
        <f>IF($C273="","",INDEX(입력_인턴근무계획!$N$3:$N$402,$A273)&amp;"")</f>
        <v/>
      </c>
      <c r="M273" s="26">
        <f>IF($C273="","",INDEX(입력_인턴근무계획!$O$3:$O$402,$A273)&amp;"")</f>
        <v/>
      </c>
      <c r="N273" s="26">
        <f>IF($C273="","",INDEX(입력_인턴근무계획!$P$3:$P$402,$A273)&amp;"")</f>
        <v/>
      </c>
      <c r="O273" s="26">
        <f>IF($C273="","",INDEX(입력_인턴근무계획!$Q$3:$Q$402,$A273)&amp;"")</f>
        <v/>
      </c>
      <c r="P273" s="26">
        <f>IF($C273="","",INDEX(입력_인턴근무계획!$R$3:$R$402,$A273)&amp;"")</f>
        <v/>
      </c>
      <c r="Q273" s="26">
        <f>IF($C273="","",INDEX(입력_인턴근무계획!$T$3:$T$402,$A273))</f>
        <v/>
      </c>
    </row>
    <row r="274">
      <c r="A274" s="29" t="n">
        <v>269</v>
      </c>
      <c r="B274" s="26">
        <f>IF($C274="","",INDEX(입력_인턴근무계획!$B$3:$B$402,$A274))</f>
        <v/>
      </c>
      <c r="C274" s="26">
        <f>IFERROR(TRIM(INDEX(입력_인턴근무계획!$C$3:$C$402,$A274)&amp;""),"")</f>
        <v/>
      </c>
      <c r="D274" s="26">
        <f>IF($C274="","",INDEX(입력_인턴근무계획!$D$3:$D$402,$A274))</f>
        <v/>
      </c>
      <c r="E274" s="26">
        <f>IF($C274="","",IF(IFERROR(MATCH($D274,입력_기본자료!$B$2:$B$1001,0),IFERROR(MATCH($D274&amp;"",입력_기본자료!$B$2:$B$1001,0),IFERROR(MATCH(VALUE($D274),입력_기본자료!$B$2:$B$1001,0),0)))&gt;0,"확인","미등록"))</f>
        <v/>
      </c>
      <c r="F274" s="28">
        <f>IF($C274="","",INDEX(입력_인턴근무계획!$S$3:$S$402,$A274))</f>
        <v/>
      </c>
      <c r="G274" s="26">
        <f>IF(OR($C274="",$G$3=""),"",IF(INDEX(입력_인턴근무계획!$M$3:$R$402,$A274,$G$3)&amp;""="","",IF(LEFT(INDEX(입력_인턴근무계획!$M$3:$R$402,$A274,$G$3)&amp;"",1)="⚠",INDEX(입력_인턴근무계획!$M$3:$R$402,$A274,$G$3)&amp;"",LEFT(INDEX(입력_인턴근무계획!$M$3:$R$402,$A274,$G$3)&amp;"",FIND(" ",INDEX(입력_인턴근무계획!$M$3:$R$402,$A274,$G$3)&amp;"")-1))))</f>
        <v/>
      </c>
      <c r="H274" s="26">
        <f>IF(OR($C274="",$G$3=""),"",IF(INDEX(입력_인턴근무계획!$M$3:$R$402,$A274,$G$3)&amp;""="","",IF(LEFT(INDEX(입력_인턴근무계획!$M$3:$R$402,$A274,$G$3)&amp;"",1)="⚠","",MID(INDEX(입력_인턴근무계획!$M$3:$R$402,$A274,$G$3)&amp;"",FIND(" ",INDEX(입력_인턴근무계획!$M$3:$R$402,$A274,$G$3)&amp;"")+1,60))))</f>
        <v/>
      </c>
      <c r="I274" s="26">
        <f>IF(OR($C274="",$I$3=""),"",IF(INDEX(입력_인턴근무계획!$M$3:$R$402,$A274,$I$3)&amp;""="","",IF(LEFT(INDEX(입력_인턴근무계획!$M$3:$R$402,$A274,$I$3)&amp;"",1)="⚠",INDEX(입력_인턴근무계획!$M$3:$R$402,$A274,$I$3)&amp;"",LEFT(INDEX(입력_인턴근무계획!$M$3:$R$402,$A274,$I$3)&amp;"",FIND(" ",INDEX(입력_인턴근무계획!$M$3:$R$402,$A274,$I$3)&amp;"")-1))))</f>
        <v/>
      </c>
      <c r="J274" s="26">
        <f>IF(OR($C274="",$I$3=""),"",IF(INDEX(입력_인턴근무계획!$M$3:$R$402,$A274,$I$3)&amp;""="","",IF(LEFT(INDEX(입력_인턴근무계획!$M$3:$R$402,$A274,$I$3)&amp;"",1)="⚠","",MID(INDEX(입력_인턴근무계획!$M$3:$R$402,$A274,$I$3)&amp;"",FIND(" ",INDEX(입력_인턴근무계획!$M$3:$R$402,$A274,$I$3)&amp;"")+1,60))))</f>
        <v/>
      </c>
      <c r="K274" s="26">
        <f>IF($C274="","",INDEX(입력_인턴근무계획!$M$3:$M$402,$A274)&amp;"")</f>
        <v/>
      </c>
      <c r="L274" s="26">
        <f>IF($C274="","",INDEX(입력_인턴근무계획!$N$3:$N$402,$A274)&amp;"")</f>
        <v/>
      </c>
      <c r="M274" s="26">
        <f>IF($C274="","",INDEX(입력_인턴근무계획!$O$3:$O$402,$A274)&amp;"")</f>
        <v/>
      </c>
      <c r="N274" s="26">
        <f>IF($C274="","",INDEX(입력_인턴근무계획!$P$3:$P$402,$A274)&amp;"")</f>
        <v/>
      </c>
      <c r="O274" s="26">
        <f>IF($C274="","",INDEX(입력_인턴근무계획!$Q$3:$Q$402,$A274)&amp;"")</f>
        <v/>
      </c>
      <c r="P274" s="26">
        <f>IF($C274="","",INDEX(입력_인턴근무계획!$R$3:$R$402,$A274)&amp;"")</f>
        <v/>
      </c>
      <c r="Q274" s="26">
        <f>IF($C274="","",INDEX(입력_인턴근무계획!$T$3:$T$402,$A274))</f>
        <v/>
      </c>
    </row>
    <row r="275">
      <c r="A275" s="29" t="n">
        <v>270</v>
      </c>
      <c r="B275" s="26">
        <f>IF($C275="","",INDEX(입력_인턴근무계획!$B$3:$B$402,$A275))</f>
        <v/>
      </c>
      <c r="C275" s="26">
        <f>IFERROR(TRIM(INDEX(입력_인턴근무계획!$C$3:$C$402,$A275)&amp;""),"")</f>
        <v/>
      </c>
      <c r="D275" s="26">
        <f>IF($C275="","",INDEX(입력_인턴근무계획!$D$3:$D$402,$A275))</f>
        <v/>
      </c>
      <c r="E275" s="26">
        <f>IF($C275="","",IF(IFERROR(MATCH($D275,입력_기본자료!$B$2:$B$1001,0),IFERROR(MATCH($D275&amp;"",입력_기본자료!$B$2:$B$1001,0),IFERROR(MATCH(VALUE($D275),입력_기본자료!$B$2:$B$1001,0),0)))&gt;0,"확인","미등록"))</f>
        <v/>
      </c>
      <c r="F275" s="28">
        <f>IF($C275="","",INDEX(입력_인턴근무계획!$S$3:$S$402,$A275))</f>
        <v/>
      </c>
      <c r="G275" s="26">
        <f>IF(OR($C275="",$G$3=""),"",IF(INDEX(입력_인턴근무계획!$M$3:$R$402,$A275,$G$3)&amp;""="","",IF(LEFT(INDEX(입력_인턴근무계획!$M$3:$R$402,$A275,$G$3)&amp;"",1)="⚠",INDEX(입력_인턴근무계획!$M$3:$R$402,$A275,$G$3)&amp;"",LEFT(INDEX(입력_인턴근무계획!$M$3:$R$402,$A275,$G$3)&amp;"",FIND(" ",INDEX(입력_인턴근무계획!$M$3:$R$402,$A275,$G$3)&amp;"")-1))))</f>
        <v/>
      </c>
      <c r="H275" s="26">
        <f>IF(OR($C275="",$G$3=""),"",IF(INDEX(입력_인턴근무계획!$M$3:$R$402,$A275,$G$3)&amp;""="","",IF(LEFT(INDEX(입력_인턴근무계획!$M$3:$R$402,$A275,$G$3)&amp;"",1)="⚠","",MID(INDEX(입력_인턴근무계획!$M$3:$R$402,$A275,$G$3)&amp;"",FIND(" ",INDEX(입력_인턴근무계획!$M$3:$R$402,$A275,$G$3)&amp;"")+1,60))))</f>
        <v/>
      </c>
      <c r="I275" s="26">
        <f>IF(OR($C275="",$I$3=""),"",IF(INDEX(입력_인턴근무계획!$M$3:$R$402,$A275,$I$3)&amp;""="","",IF(LEFT(INDEX(입력_인턴근무계획!$M$3:$R$402,$A275,$I$3)&amp;"",1)="⚠",INDEX(입력_인턴근무계획!$M$3:$R$402,$A275,$I$3)&amp;"",LEFT(INDEX(입력_인턴근무계획!$M$3:$R$402,$A275,$I$3)&amp;"",FIND(" ",INDEX(입력_인턴근무계획!$M$3:$R$402,$A275,$I$3)&amp;"")-1))))</f>
        <v/>
      </c>
      <c r="J275" s="26">
        <f>IF(OR($C275="",$I$3=""),"",IF(INDEX(입력_인턴근무계획!$M$3:$R$402,$A275,$I$3)&amp;""="","",IF(LEFT(INDEX(입력_인턴근무계획!$M$3:$R$402,$A275,$I$3)&amp;"",1)="⚠","",MID(INDEX(입력_인턴근무계획!$M$3:$R$402,$A275,$I$3)&amp;"",FIND(" ",INDEX(입력_인턴근무계획!$M$3:$R$402,$A275,$I$3)&amp;"")+1,60))))</f>
        <v/>
      </c>
      <c r="K275" s="26">
        <f>IF($C275="","",INDEX(입력_인턴근무계획!$M$3:$M$402,$A275)&amp;"")</f>
        <v/>
      </c>
      <c r="L275" s="26">
        <f>IF($C275="","",INDEX(입력_인턴근무계획!$N$3:$N$402,$A275)&amp;"")</f>
        <v/>
      </c>
      <c r="M275" s="26">
        <f>IF($C275="","",INDEX(입력_인턴근무계획!$O$3:$O$402,$A275)&amp;"")</f>
        <v/>
      </c>
      <c r="N275" s="26">
        <f>IF($C275="","",INDEX(입력_인턴근무계획!$P$3:$P$402,$A275)&amp;"")</f>
        <v/>
      </c>
      <c r="O275" s="26">
        <f>IF($C275="","",INDEX(입력_인턴근무계획!$Q$3:$Q$402,$A275)&amp;"")</f>
        <v/>
      </c>
      <c r="P275" s="26">
        <f>IF($C275="","",INDEX(입력_인턴근무계획!$R$3:$R$402,$A275)&amp;"")</f>
        <v/>
      </c>
      <c r="Q275" s="26">
        <f>IF($C275="","",INDEX(입력_인턴근무계획!$T$3:$T$402,$A275))</f>
        <v/>
      </c>
    </row>
    <row r="276">
      <c r="A276" s="29" t="n">
        <v>271</v>
      </c>
      <c r="B276" s="26">
        <f>IF($C276="","",INDEX(입력_인턴근무계획!$B$3:$B$402,$A276))</f>
        <v/>
      </c>
      <c r="C276" s="26">
        <f>IFERROR(TRIM(INDEX(입력_인턴근무계획!$C$3:$C$402,$A276)&amp;""),"")</f>
        <v/>
      </c>
      <c r="D276" s="26">
        <f>IF($C276="","",INDEX(입력_인턴근무계획!$D$3:$D$402,$A276))</f>
        <v/>
      </c>
      <c r="E276" s="26">
        <f>IF($C276="","",IF(IFERROR(MATCH($D276,입력_기본자료!$B$2:$B$1001,0),IFERROR(MATCH($D276&amp;"",입력_기본자료!$B$2:$B$1001,0),IFERROR(MATCH(VALUE($D276),입력_기본자료!$B$2:$B$1001,0),0)))&gt;0,"확인","미등록"))</f>
        <v/>
      </c>
      <c r="F276" s="28">
        <f>IF($C276="","",INDEX(입력_인턴근무계획!$S$3:$S$402,$A276))</f>
        <v/>
      </c>
      <c r="G276" s="26">
        <f>IF(OR($C276="",$G$3=""),"",IF(INDEX(입력_인턴근무계획!$M$3:$R$402,$A276,$G$3)&amp;""="","",IF(LEFT(INDEX(입력_인턴근무계획!$M$3:$R$402,$A276,$G$3)&amp;"",1)="⚠",INDEX(입력_인턴근무계획!$M$3:$R$402,$A276,$G$3)&amp;"",LEFT(INDEX(입력_인턴근무계획!$M$3:$R$402,$A276,$G$3)&amp;"",FIND(" ",INDEX(입력_인턴근무계획!$M$3:$R$402,$A276,$G$3)&amp;"")-1))))</f>
        <v/>
      </c>
      <c r="H276" s="26">
        <f>IF(OR($C276="",$G$3=""),"",IF(INDEX(입력_인턴근무계획!$M$3:$R$402,$A276,$G$3)&amp;""="","",IF(LEFT(INDEX(입력_인턴근무계획!$M$3:$R$402,$A276,$G$3)&amp;"",1)="⚠","",MID(INDEX(입력_인턴근무계획!$M$3:$R$402,$A276,$G$3)&amp;"",FIND(" ",INDEX(입력_인턴근무계획!$M$3:$R$402,$A276,$G$3)&amp;"")+1,60))))</f>
        <v/>
      </c>
      <c r="I276" s="26">
        <f>IF(OR($C276="",$I$3=""),"",IF(INDEX(입력_인턴근무계획!$M$3:$R$402,$A276,$I$3)&amp;""="","",IF(LEFT(INDEX(입력_인턴근무계획!$M$3:$R$402,$A276,$I$3)&amp;"",1)="⚠",INDEX(입력_인턴근무계획!$M$3:$R$402,$A276,$I$3)&amp;"",LEFT(INDEX(입력_인턴근무계획!$M$3:$R$402,$A276,$I$3)&amp;"",FIND(" ",INDEX(입력_인턴근무계획!$M$3:$R$402,$A276,$I$3)&amp;"")-1))))</f>
        <v/>
      </c>
      <c r="J276" s="26">
        <f>IF(OR($C276="",$I$3=""),"",IF(INDEX(입력_인턴근무계획!$M$3:$R$402,$A276,$I$3)&amp;""="","",IF(LEFT(INDEX(입력_인턴근무계획!$M$3:$R$402,$A276,$I$3)&amp;"",1)="⚠","",MID(INDEX(입력_인턴근무계획!$M$3:$R$402,$A276,$I$3)&amp;"",FIND(" ",INDEX(입력_인턴근무계획!$M$3:$R$402,$A276,$I$3)&amp;"")+1,60))))</f>
        <v/>
      </c>
      <c r="K276" s="26">
        <f>IF($C276="","",INDEX(입력_인턴근무계획!$M$3:$M$402,$A276)&amp;"")</f>
        <v/>
      </c>
      <c r="L276" s="26">
        <f>IF($C276="","",INDEX(입력_인턴근무계획!$N$3:$N$402,$A276)&amp;"")</f>
        <v/>
      </c>
      <c r="M276" s="26">
        <f>IF($C276="","",INDEX(입력_인턴근무계획!$O$3:$O$402,$A276)&amp;"")</f>
        <v/>
      </c>
      <c r="N276" s="26">
        <f>IF($C276="","",INDEX(입력_인턴근무계획!$P$3:$P$402,$A276)&amp;"")</f>
        <v/>
      </c>
      <c r="O276" s="26">
        <f>IF($C276="","",INDEX(입력_인턴근무계획!$Q$3:$Q$402,$A276)&amp;"")</f>
        <v/>
      </c>
      <c r="P276" s="26">
        <f>IF($C276="","",INDEX(입력_인턴근무계획!$R$3:$R$402,$A276)&amp;"")</f>
        <v/>
      </c>
      <c r="Q276" s="26">
        <f>IF($C276="","",INDEX(입력_인턴근무계획!$T$3:$T$402,$A276))</f>
        <v/>
      </c>
    </row>
    <row r="277">
      <c r="A277" s="29" t="n">
        <v>272</v>
      </c>
      <c r="B277" s="26">
        <f>IF($C277="","",INDEX(입력_인턴근무계획!$B$3:$B$402,$A277))</f>
        <v/>
      </c>
      <c r="C277" s="26">
        <f>IFERROR(TRIM(INDEX(입력_인턴근무계획!$C$3:$C$402,$A277)&amp;""),"")</f>
        <v/>
      </c>
      <c r="D277" s="26">
        <f>IF($C277="","",INDEX(입력_인턴근무계획!$D$3:$D$402,$A277))</f>
        <v/>
      </c>
      <c r="E277" s="26">
        <f>IF($C277="","",IF(IFERROR(MATCH($D277,입력_기본자료!$B$2:$B$1001,0),IFERROR(MATCH($D277&amp;"",입력_기본자료!$B$2:$B$1001,0),IFERROR(MATCH(VALUE($D277),입력_기본자료!$B$2:$B$1001,0),0)))&gt;0,"확인","미등록"))</f>
        <v/>
      </c>
      <c r="F277" s="28">
        <f>IF($C277="","",INDEX(입력_인턴근무계획!$S$3:$S$402,$A277))</f>
        <v/>
      </c>
      <c r="G277" s="26">
        <f>IF(OR($C277="",$G$3=""),"",IF(INDEX(입력_인턴근무계획!$M$3:$R$402,$A277,$G$3)&amp;""="","",IF(LEFT(INDEX(입력_인턴근무계획!$M$3:$R$402,$A277,$G$3)&amp;"",1)="⚠",INDEX(입력_인턴근무계획!$M$3:$R$402,$A277,$G$3)&amp;"",LEFT(INDEX(입력_인턴근무계획!$M$3:$R$402,$A277,$G$3)&amp;"",FIND(" ",INDEX(입력_인턴근무계획!$M$3:$R$402,$A277,$G$3)&amp;"")-1))))</f>
        <v/>
      </c>
      <c r="H277" s="26">
        <f>IF(OR($C277="",$G$3=""),"",IF(INDEX(입력_인턴근무계획!$M$3:$R$402,$A277,$G$3)&amp;""="","",IF(LEFT(INDEX(입력_인턴근무계획!$M$3:$R$402,$A277,$G$3)&amp;"",1)="⚠","",MID(INDEX(입력_인턴근무계획!$M$3:$R$402,$A277,$G$3)&amp;"",FIND(" ",INDEX(입력_인턴근무계획!$M$3:$R$402,$A277,$G$3)&amp;"")+1,60))))</f>
        <v/>
      </c>
      <c r="I277" s="26">
        <f>IF(OR($C277="",$I$3=""),"",IF(INDEX(입력_인턴근무계획!$M$3:$R$402,$A277,$I$3)&amp;""="","",IF(LEFT(INDEX(입력_인턴근무계획!$M$3:$R$402,$A277,$I$3)&amp;"",1)="⚠",INDEX(입력_인턴근무계획!$M$3:$R$402,$A277,$I$3)&amp;"",LEFT(INDEX(입력_인턴근무계획!$M$3:$R$402,$A277,$I$3)&amp;"",FIND(" ",INDEX(입력_인턴근무계획!$M$3:$R$402,$A277,$I$3)&amp;"")-1))))</f>
        <v/>
      </c>
      <c r="J277" s="26">
        <f>IF(OR($C277="",$I$3=""),"",IF(INDEX(입력_인턴근무계획!$M$3:$R$402,$A277,$I$3)&amp;""="","",IF(LEFT(INDEX(입력_인턴근무계획!$M$3:$R$402,$A277,$I$3)&amp;"",1)="⚠","",MID(INDEX(입력_인턴근무계획!$M$3:$R$402,$A277,$I$3)&amp;"",FIND(" ",INDEX(입력_인턴근무계획!$M$3:$R$402,$A277,$I$3)&amp;"")+1,60))))</f>
        <v/>
      </c>
      <c r="K277" s="26">
        <f>IF($C277="","",INDEX(입력_인턴근무계획!$M$3:$M$402,$A277)&amp;"")</f>
        <v/>
      </c>
      <c r="L277" s="26">
        <f>IF($C277="","",INDEX(입력_인턴근무계획!$N$3:$N$402,$A277)&amp;"")</f>
        <v/>
      </c>
      <c r="M277" s="26">
        <f>IF($C277="","",INDEX(입력_인턴근무계획!$O$3:$O$402,$A277)&amp;"")</f>
        <v/>
      </c>
      <c r="N277" s="26">
        <f>IF($C277="","",INDEX(입력_인턴근무계획!$P$3:$P$402,$A277)&amp;"")</f>
        <v/>
      </c>
      <c r="O277" s="26">
        <f>IF($C277="","",INDEX(입력_인턴근무계획!$Q$3:$Q$402,$A277)&amp;"")</f>
        <v/>
      </c>
      <c r="P277" s="26">
        <f>IF($C277="","",INDEX(입력_인턴근무계획!$R$3:$R$402,$A277)&amp;"")</f>
        <v/>
      </c>
      <c r="Q277" s="26">
        <f>IF($C277="","",INDEX(입력_인턴근무계획!$T$3:$T$402,$A277))</f>
        <v/>
      </c>
    </row>
    <row r="278">
      <c r="A278" s="29" t="n">
        <v>273</v>
      </c>
      <c r="B278" s="26">
        <f>IF($C278="","",INDEX(입력_인턴근무계획!$B$3:$B$402,$A278))</f>
        <v/>
      </c>
      <c r="C278" s="26">
        <f>IFERROR(TRIM(INDEX(입력_인턴근무계획!$C$3:$C$402,$A278)&amp;""),"")</f>
        <v/>
      </c>
      <c r="D278" s="26">
        <f>IF($C278="","",INDEX(입력_인턴근무계획!$D$3:$D$402,$A278))</f>
        <v/>
      </c>
      <c r="E278" s="26">
        <f>IF($C278="","",IF(IFERROR(MATCH($D278,입력_기본자료!$B$2:$B$1001,0),IFERROR(MATCH($D278&amp;"",입력_기본자료!$B$2:$B$1001,0),IFERROR(MATCH(VALUE($D278),입력_기본자료!$B$2:$B$1001,0),0)))&gt;0,"확인","미등록"))</f>
        <v/>
      </c>
      <c r="F278" s="28">
        <f>IF($C278="","",INDEX(입력_인턴근무계획!$S$3:$S$402,$A278))</f>
        <v/>
      </c>
      <c r="G278" s="26">
        <f>IF(OR($C278="",$G$3=""),"",IF(INDEX(입력_인턴근무계획!$M$3:$R$402,$A278,$G$3)&amp;""="","",IF(LEFT(INDEX(입력_인턴근무계획!$M$3:$R$402,$A278,$G$3)&amp;"",1)="⚠",INDEX(입력_인턴근무계획!$M$3:$R$402,$A278,$G$3)&amp;"",LEFT(INDEX(입력_인턴근무계획!$M$3:$R$402,$A278,$G$3)&amp;"",FIND(" ",INDEX(입력_인턴근무계획!$M$3:$R$402,$A278,$G$3)&amp;"")-1))))</f>
        <v/>
      </c>
      <c r="H278" s="26">
        <f>IF(OR($C278="",$G$3=""),"",IF(INDEX(입력_인턴근무계획!$M$3:$R$402,$A278,$G$3)&amp;""="","",IF(LEFT(INDEX(입력_인턴근무계획!$M$3:$R$402,$A278,$G$3)&amp;"",1)="⚠","",MID(INDEX(입력_인턴근무계획!$M$3:$R$402,$A278,$G$3)&amp;"",FIND(" ",INDEX(입력_인턴근무계획!$M$3:$R$402,$A278,$G$3)&amp;"")+1,60))))</f>
        <v/>
      </c>
      <c r="I278" s="26">
        <f>IF(OR($C278="",$I$3=""),"",IF(INDEX(입력_인턴근무계획!$M$3:$R$402,$A278,$I$3)&amp;""="","",IF(LEFT(INDEX(입력_인턴근무계획!$M$3:$R$402,$A278,$I$3)&amp;"",1)="⚠",INDEX(입력_인턴근무계획!$M$3:$R$402,$A278,$I$3)&amp;"",LEFT(INDEX(입력_인턴근무계획!$M$3:$R$402,$A278,$I$3)&amp;"",FIND(" ",INDEX(입력_인턴근무계획!$M$3:$R$402,$A278,$I$3)&amp;"")-1))))</f>
        <v/>
      </c>
      <c r="J278" s="26">
        <f>IF(OR($C278="",$I$3=""),"",IF(INDEX(입력_인턴근무계획!$M$3:$R$402,$A278,$I$3)&amp;""="","",IF(LEFT(INDEX(입력_인턴근무계획!$M$3:$R$402,$A278,$I$3)&amp;"",1)="⚠","",MID(INDEX(입력_인턴근무계획!$M$3:$R$402,$A278,$I$3)&amp;"",FIND(" ",INDEX(입력_인턴근무계획!$M$3:$R$402,$A278,$I$3)&amp;"")+1,60))))</f>
        <v/>
      </c>
      <c r="K278" s="26">
        <f>IF($C278="","",INDEX(입력_인턴근무계획!$M$3:$M$402,$A278)&amp;"")</f>
        <v/>
      </c>
      <c r="L278" s="26">
        <f>IF($C278="","",INDEX(입력_인턴근무계획!$N$3:$N$402,$A278)&amp;"")</f>
        <v/>
      </c>
      <c r="M278" s="26">
        <f>IF($C278="","",INDEX(입력_인턴근무계획!$O$3:$O$402,$A278)&amp;"")</f>
        <v/>
      </c>
      <c r="N278" s="26">
        <f>IF($C278="","",INDEX(입력_인턴근무계획!$P$3:$P$402,$A278)&amp;"")</f>
        <v/>
      </c>
      <c r="O278" s="26">
        <f>IF($C278="","",INDEX(입력_인턴근무계획!$Q$3:$Q$402,$A278)&amp;"")</f>
        <v/>
      </c>
      <c r="P278" s="26">
        <f>IF($C278="","",INDEX(입력_인턴근무계획!$R$3:$R$402,$A278)&amp;"")</f>
        <v/>
      </c>
      <c r="Q278" s="26">
        <f>IF($C278="","",INDEX(입력_인턴근무계획!$T$3:$T$402,$A278))</f>
        <v/>
      </c>
    </row>
    <row r="279">
      <c r="A279" s="29" t="n">
        <v>274</v>
      </c>
      <c r="B279" s="26">
        <f>IF($C279="","",INDEX(입력_인턴근무계획!$B$3:$B$402,$A279))</f>
        <v/>
      </c>
      <c r="C279" s="26">
        <f>IFERROR(TRIM(INDEX(입력_인턴근무계획!$C$3:$C$402,$A279)&amp;""),"")</f>
        <v/>
      </c>
      <c r="D279" s="26">
        <f>IF($C279="","",INDEX(입력_인턴근무계획!$D$3:$D$402,$A279))</f>
        <v/>
      </c>
      <c r="E279" s="26">
        <f>IF($C279="","",IF(IFERROR(MATCH($D279,입력_기본자료!$B$2:$B$1001,0),IFERROR(MATCH($D279&amp;"",입력_기본자료!$B$2:$B$1001,0),IFERROR(MATCH(VALUE($D279),입력_기본자료!$B$2:$B$1001,0),0)))&gt;0,"확인","미등록"))</f>
        <v/>
      </c>
      <c r="F279" s="28">
        <f>IF($C279="","",INDEX(입력_인턴근무계획!$S$3:$S$402,$A279))</f>
        <v/>
      </c>
      <c r="G279" s="26">
        <f>IF(OR($C279="",$G$3=""),"",IF(INDEX(입력_인턴근무계획!$M$3:$R$402,$A279,$G$3)&amp;""="","",IF(LEFT(INDEX(입력_인턴근무계획!$M$3:$R$402,$A279,$G$3)&amp;"",1)="⚠",INDEX(입력_인턴근무계획!$M$3:$R$402,$A279,$G$3)&amp;"",LEFT(INDEX(입력_인턴근무계획!$M$3:$R$402,$A279,$G$3)&amp;"",FIND(" ",INDEX(입력_인턴근무계획!$M$3:$R$402,$A279,$G$3)&amp;"")-1))))</f>
        <v/>
      </c>
      <c r="H279" s="26">
        <f>IF(OR($C279="",$G$3=""),"",IF(INDEX(입력_인턴근무계획!$M$3:$R$402,$A279,$G$3)&amp;""="","",IF(LEFT(INDEX(입력_인턴근무계획!$M$3:$R$402,$A279,$G$3)&amp;"",1)="⚠","",MID(INDEX(입력_인턴근무계획!$M$3:$R$402,$A279,$G$3)&amp;"",FIND(" ",INDEX(입력_인턴근무계획!$M$3:$R$402,$A279,$G$3)&amp;"")+1,60))))</f>
        <v/>
      </c>
      <c r="I279" s="26">
        <f>IF(OR($C279="",$I$3=""),"",IF(INDEX(입력_인턴근무계획!$M$3:$R$402,$A279,$I$3)&amp;""="","",IF(LEFT(INDEX(입력_인턴근무계획!$M$3:$R$402,$A279,$I$3)&amp;"",1)="⚠",INDEX(입력_인턴근무계획!$M$3:$R$402,$A279,$I$3)&amp;"",LEFT(INDEX(입력_인턴근무계획!$M$3:$R$402,$A279,$I$3)&amp;"",FIND(" ",INDEX(입력_인턴근무계획!$M$3:$R$402,$A279,$I$3)&amp;"")-1))))</f>
        <v/>
      </c>
      <c r="J279" s="26">
        <f>IF(OR($C279="",$I$3=""),"",IF(INDEX(입력_인턴근무계획!$M$3:$R$402,$A279,$I$3)&amp;""="","",IF(LEFT(INDEX(입력_인턴근무계획!$M$3:$R$402,$A279,$I$3)&amp;"",1)="⚠","",MID(INDEX(입력_인턴근무계획!$M$3:$R$402,$A279,$I$3)&amp;"",FIND(" ",INDEX(입력_인턴근무계획!$M$3:$R$402,$A279,$I$3)&amp;"")+1,60))))</f>
        <v/>
      </c>
      <c r="K279" s="26">
        <f>IF($C279="","",INDEX(입력_인턴근무계획!$M$3:$M$402,$A279)&amp;"")</f>
        <v/>
      </c>
      <c r="L279" s="26">
        <f>IF($C279="","",INDEX(입력_인턴근무계획!$N$3:$N$402,$A279)&amp;"")</f>
        <v/>
      </c>
      <c r="M279" s="26">
        <f>IF($C279="","",INDEX(입력_인턴근무계획!$O$3:$O$402,$A279)&amp;"")</f>
        <v/>
      </c>
      <c r="N279" s="26">
        <f>IF($C279="","",INDEX(입력_인턴근무계획!$P$3:$P$402,$A279)&amp;"")</f>
        <v/>
      </c>
      <c r="O279" s="26">
        <f>IF($C279="","",INDEX(입력_인턴근무계획!$Q$3:$Q$402,$A279)&amp;"")</f>
        <v/>
      </c>
      <c r="P279" s="26">
        <f>IF($C279="","",INDEX(입력_인턴근무계획!$R$3:$R$402,$A279)&amp;"")</f>
        <v/>
      </c>
      <c r="Q279" s="26">
        <f>IF($C279="","",INDEX(입력_인턴근무계획!$T$3:$T$402,$A279))</f>
        <v/>
      </c>
    </row>
    <row r="280">
      <c r="A280" s="29" t="n">
        <v>275</v>
      </c>
      <c r="B280" s="26">
        <f>IF($C280="","",INDEX(입력_인턴근무계획!$B$3:$B$402,$A280))</f>
        <v/>
      </c>
      <c r="C280" s="26">
        <f>IFERROR(TRIM(INDEX(입력_인턴근무계획!$C$3:$C$402,$A280)&amp;""),"")</f>
        <v/>
      </c>
      <c r="D280" s="26">
        <f>IF($C280="","",INDEX(입력_인턴근무계획!$D$3:$D$402,$A280))</f>
        <v/>
      </c>
      <c r="E280" s="26">
        <f>IF($C280="","",IF(IFERROR(MATCH($D280,입력_기본자료!$B$2:$B$1001,0),IFERROR(MATCH($D280&amp;"",입력_기본자료!$B$2:$B$1001,0),IFERROR(MATCH(VALUE($D280),입력_기본자료!$B$2:$B$1001,0),0)))&gt;0,"확인","미등록"))</f>
        <v/>
      </c>
      <c r="F280" s="28">
        <f>IF($C280="","",INDEX(입력_인턴근무계획!$S$3:$S$402,$A280))</f>
        <v/>
      </c>
      <c r="G280" s="26">
        <f>IF(OR($C280="",$G$3=""),"",IF(INDEX(입력_인턴근무계획!$M$3:$R$402,$A280,$G$3)&amp;""="","",IF(LEFT(INDEX(입력_인턴근무계획!$M$3:$R$402,$A280,$G$3)&amp;"",1)="⚠",INDEX(입력_인턴근무계획!$M$3:$R$402,$A280,$G$3)&amp;"",LEFT(INDEX(입력_인턴근무계획!$M$3:$R$402,$A280,$G$3)&amp;"",FIND(" ",INDEX(입력_인턴근무계획!$M$3:$R$402,$A280,$G$3)&amp;"")-1))))</f>
        <v/>
      </c>
      <c r="H280" s="26">
        <f>IF(OR($C280="",$G$3=""),"",IF(INDEX(입력_인턴근무계획!$M$3:$R$402,$A280,$G$3)&amp;""="","",IF(LEFT(INDEX(입력_인턴근무계획!$M$3:$R$402,$A280,$G$3)&amp;"",1)="⚠","",MID(INDEX(입력_인턴근무계획!$M$3:$R$402,$A280,$G$3)&amp;"",FIND(" ",INDEX(입력_인턴근무계획!$M$3:$R$402,$A280,$G$3)&amp;"")+1,60))))</f>
        <v/>
      </c>
      <c r="I280" s="26">
        <f>IF(OR($C280="",$I$3=""),"",IF(INDEX(입력_인턴근무계획!$M$3:$R$402,$A280,$I$3)&amp;""="","",IF(LEFT(INDEX(입력_인턴근무계획!$M$3:$R$402,$A280,$I$3)&amp;"",1)="⚠",INDEX(입력_인턴근무계획!$M$3:$R$402,$A280,$I$3)&amp;"",LEFT(INDEX(입력_인턴근무계획!$M$3:$R$402,$A280,$I$3)&amp;"",FIND(" ",INDEX(입력_인턴근무계획!$M$3:$R$402,$A280,$I$3)&amp;"")-1))))</f>
        <v/>
      </c>
      <c r="J280" s="26">
        <f>IF(OR($C280="",$I$3=""),"",IF(INDEX(입력_인턴근무계획!$M$3:$R$402,$A280,$I$3)&amp;""="","",IF(LEFT(INDEX(입력_인턴근무계획!$M$3:$R$402,$A280,$I$3)&amp;"",1)="⚠","",MID(INDEX(입력_인턴근무계획!$M$3:$R$402,$A280,$I$3)&amp;"",FIND(" ",INDEX(입력_인턴근무계획!$M$3:$R$402,$A280,$I$3)&amp;"")+1,60))))</f>
        <v/>
      </c>
      <c r="K280" s="26">
        <f>IF($C280="","",INDEX(입력_인턴근무계획!$M$3:$M$402,$A280)&amp;"")</f>
        <v/>
      </c>
      <c r="L280" s="26">
        <f>IF($C280="","",INDEX(입력_인턴근무계획!$N$3:$N$402,$A280)&amp;"")</f>
        <v/>
      </c>
      <c r="M280" s="26">
        <f>IF($C280="","",INDEX(입력_인턴근무계획!$O$3:$O$402,$A280)&amp;"")</f>
        <v/>
      </c>
      <c r="N280" s="26">
        <f>IF($C280="","",INDEX(입력_인턴근무계획!$P$3:$P$402,$A280)&amp;"")</f>
        <v/>
      </c>
      <c r="O280" s="26">
        <f>IF($C280="","",INDEX(입력_인턴근무계획!$Q$3:$Q$402,$A280)&amp;"")</f>
        <v/>
      </c>
      <c r="P280" s="26">
        <f>IF($C280="","",INDEX(입력_인턴근무계획!$R$3:$R$402,$A280)&amp;"")</f>
        <v/>
      </c>
      <c r="Q280" s="26">
        <f>IF($C280="","",INDEX(입력_인턴근무계획!$T$3:$T$402,$A280))</f>
        <v/>
      </c>
    </row>
    <row r="281">
      <c r="A281" s="29" t="n">
        <v>276</v>
      </c>
      <c r="B281" s="26">
        <f>IF($C281="","",INDEX(입력_인턴근무계획!$B$3:$B$402,$A281))</f>
        <v/>
      </c>
      <c r="C281" s="26">
        <f>IFERROR(TRIM(INDEX(입력_인턴근무계획!$C$3:$C$402,$A281)&amp;""),"")</f>
        <v/>
      </c>
      <c r="D281" s="26">
        <f>IF($C281="","",INDEX(입력_인턴근무계획!$D$3:$D$402,$A281))</f>
        <v/>
      </c>
      <c r="E281" s="26">
        <f>IF($C281="","",IF(IFERROR(MATCH($D281,입력_기본자료!$B$2:$B$1001,0),IFERROR(MATCH($D281&amp;"",입력_기본자료!$B$2:$B$1001,0),IFERROR(MATCH(VALUE($D281),입력_기본자료!$B$2:$B$1001,0),0)))&gt;0,"확인","미등록"))</f>
        <v/>
      </c>
      <c r="F281" s="28">
        <f>IF($C281="","",INDEX(입력_인턴근무계획!$S$3:$S$402,$A281))</f>
        <v/>
      </c>
      <c r="G281" s="26">
        <f>IF(OR($C281="",$G$3=""),"",IF(INDEX(입력_인턴근무계획!$M$3:$R$402,$A281,$G$3)&amp;""="","",IF(LEFT(INDEX(입력_인턴근무계획!$M$3:$R$402,$A281,$G$3)&amp;"",1)="⚠",INDEX(입력_인턴근무계획!$M$3:$R$402,$A281,$G$3)&amp;"",LEFT(INDEX(입력_인턴근무계획!$M$3:$R$402,$A281,$G$3)&amp;"",FIND(" ",INDEX(입력_인턴근무계획!$M$3:$R$402,$A281,$G$3)&amp;"")-1))))</f>
        <v/>
      </c>
      <c r="H281" s="26">
        <f>IF(OR($C281="",$G$3=""),"",IF(INDEX(입력_인턴근무계획!$M$3:$R$402,$A281,$G$3)&amp;""="","",IF(LEFT(INDEX(입력_인턴근무계획!$M$3:$R$402,$A281,$G$3)&amp;"",1)="⚠","",MID(INDEX(입력_인턴근무계획!$M$3:$R$402,$A281,$G$3)&amp;"",FIND(" ",INDEX(입력_인턴근무계획!$M$3:$R$402,$A281,$G$3)&amp;"")+1,60))))</f>
        <v/>
      </c>
      <c r="I281" s="26">
        <f>IF(OR($C281="",$I$3=""),"",IF(INDEX(입력_인턴근무계획!$M$3:$R$402,$A281,$I$3)&amp;""="","",IF(LEFT(INDEX(입력_인턴근무계획!$M$3:$R$402,$A281,$I$3)&amp;"",1)="⚠",INDEX(입력_인턴근무계획!$M$3:$R$402,$A281,$I$3)&amp;"",LEFT(INDEX(입력_인턴근무계획!$M$3:$R$402,$A281,$I$3)&amp;"",FIND(" ",INDEX(입력_인턴근무계획!$M$3:$R$402,$A281,$I$3)&amp;"")-1))))</f>
        <v/>
      </c>
      <c r="J281" s="26">
        <f>IF(OR($C281="",$I$3=""),"",IF(INDEX(입력_인턴근무계획!$M$3:$R$402,$A281,$I$3)&amp;""="","",IF(LEFT(INDEX(입력_인턴근무계획!$M$3:$R$402,$A281,$I$3)&amp;"",1)="⚠","",MID(INDEX(입력_인턴근무계획!$M$3:$R$402,$A281,$I$3)&amp;"",FIND(" ",INDEX(입력_인턴근무계획!$M$3:$R$402,$A281,$I$3)&amp;"")+1,60))))</f>
        <v/>
      </c>
      <c r="K281" s="26">
        <f>IF($C281="","",INDEX(입력_인턴근무계획!$M$3:$M$402,$A281)&amp;"")</f>
        <v/>
      </c>
      <c r="L281" s="26">
        <f>IF($C281="","",INDEX(입력_인턴근무계획!$N$3:$N$402,$A281)&amp;"")</f>
        <v/>
      </c>
      <c r="M281" s="26">
        <f>IF($C281="","",INDEX(입력_인턴근무계획!$O$3:$O$402,$A281)&amp;"")</f>
        <v/>
      </c>
      <c r="N281" s="26">
        <f>IF($C281="","",INDEX(입력_인턴근무계획!$P$3:$P$402,$A281)&amp;"")</f>
        <v/>
      </c>
      <c r="O281" s="26">
        <f>IF($C281="","",INDEX(입력_인턴근무계획!$Q$3:$Q$402,$A281)&amp;"")</f>
        <v/>
      </c>
      <c r="P281" s="26">
        <f>IF($C281="","",INDEX(입력_인턴근무계획!$R$3:$R$402,$A281)&amp;"")</f>
        <v/>
      </c>
      <c r="Q281" s="26">
        <f>IF($C281="","",INDEX(입력_인턴근무계획!$T$3:$T$402,$A281))</f>
        <v/>
      </c>
    </row>
    <row r="282">
      <c r="A282" s="29" t="n">
        <v>277</v>
      </c>
      <c r="B282" s="26">
        <f>IF($C282="","",INDEX(입력_인턴근무계획!$B$3:$B$402,$A282))</f>
        <v/>
      </c>
      <c r="C282" s="26">
        <f>IFERROR(TRIM(INDEX(입력_인턴근무계획!$C$3:$C$402,$A282)&amp;""),"")</f>
        <v/>
      </c>
      <c r="D282" s="26">
        <f>IF($C282="","",INDEX(입력_인턴근무계획!$D$3:$D$402,$A282))</f>
        <v/>
      </c>
      <c r="E282" s="26">
        <f>IF($C282="","",IF(IFERROR(MATCH($D282,입력_기본자료!$B$2:$B$1001,0),IFERROR(MATCH($D282&amp;"",입력_기본자료!$B$2:$B$1001,0),IFERROR(MATCH(VALUE($D282),입력_기본자료!$B$2:$B$1001,0),0)))&gt;0,"확인","미등록"))</f>
        <v/>
      </c>
      <c r="F282" s="28">
        <f>IF($C282="","",INDEX(입력_인턴근무계획!$S$3:$S$402,$A282))</f>
        <v/>
      </c>
      <c r="G282" s="26">
        <f>IF(OR($C282="",$G$3=""),"",IF(INDEX(입력_인턴근무계획!$M$3:$R$402,$A282,$G$3)&amp;""="","",IF(LEFT(INDEX(입력_인턴근무계획!$M$3:$R$402,$A282,$G$3)&amp;"",1)="⚠",INDEX(입력_인턴근무계획!$M$3:$R$402,$A282,$G$3)&amp;"",LEFT(INDEX(입력_인턴근무계획!$M$3:$R$402,$A282,$G$3)&amp;"",FIND(" ",INDEX(입력_인턴근무계획!$M$3:$R$402,$A282,$G$3)&amp;"")-1))))</f>
        <v/>
      </c>
      <c r="H282" s="26">
        <f>IF(OR($C282="",$G$3=""),"",IF(INDEX(입력_인턴근무계획!$M$3:$R$402,$A282,$G$3)&amp;""="","",IF(LEFT(INDEX(입력_인턴근무계획!$M$3:$R$402,$A282,$G$3)&amp;"",1)="⚠","",MID(INDEX(입력_인턴근무계획!$M$3:$R$402,$A282,$G$3)&amp;"",FIND(" ",INDEX(입력_인턴근무계획!$M$3:$R$402,$A282,$G$3)&amp;"")+1,60))))</f>
        <v/>
      </c>
      <c r="I282" s="26">
        <f>IF(OR($C282="",$I$3=""),"",IF(INDEX(입력_인턴근무계획!$M$3:$R$402,$A282,$I$3)&amp;""="","",IF(LEFT(INDEX(입력_인턴근무계획!$M$3:$R$402,$A282,$I$3)&amp;"",1)="⚠",INDEX(입력_인턴근무계획!$M$3:$R$402,$A282,$I$3)&amp;"",LEFT(INDEX(입력_인턴근무계획!$M$3:$R$402,$A282,$I$3)&amp;"",FIND(" ",INDEX(입력_인턴근무계획!$M$3:$R$402,$A282,$I$3)&amp;"")-1))))</f>
        <v/>
      </c>
      <c r="J282" s="26">
        <f>IF(OR($C282="",$I$3=""),"",IF(INDEX(입력_인턴근무계획!$M$3:$R$402,$A282,$I$3)&amp;""="","",IF(LEFT(INDEX(입력_인턴근무계획!$M$3:$R$402,$A282,$I$3)&amp;"",1)="⚠","",MID(INDEX(입력_인턴근무계획!$M$3:$R$402,$A282,$I$3)&amp;"",FIND(" ",INDEX(입력_인턴근무계획!$M$3:$R$402,$A282,$I$3)&amp;"")+1,60))))</f>
        <v/>
      </c>
      <c r="K282" s="26">
        <f>IF($C282="","",INDEX(입력_인턴근무계획!$M$3:$M$402,$A282)&amp;"")</f>
        <v/>
      </c>
      <c r="L282" s="26">
        <f>IF($C282="","",INDEX(입력_인턴근무계획!$N$3:$N$402,$A282)&amp;"")</f>
        <v/>
      </c>
      <c r="M282" s="26">
        <f>IF($C282="","",INDEX(입력_인턴근무계획!$O$3:$O$402,$A282)&amp;"")</f>
        <v/>
      </c>
      <c r="N282" s="26">
        <f>IF($C282="","",INDEX(입력_인턴근무계획!$P$3:$P$402,$A282)&amp;"")</f>
        <v/>
      </c>
      <c r="O282" s="26">
        <f>IF($C282="","",INDEX(입력_인턴근무계획!$Q$3:$Q$402,$A282)&amp;"")</f>
        <v/>
      </c>
      <c r="P282" s="26">
        <f>IF($C282="","",INDEX(입력_인턴근무계획!$R$3:$R$402,$A282)&amp;"")</f>
        <v/>
      </c>
      <c r="Q282" s="26">
        <f>IF($C282="","",INDEX(입력_인턴근무계획!$T$3:$T$402,$A282))</f>
        <v/>
      </c>
    </row>
    <row r="283">
      <c r="A283" s="29" t="n">
        <v>278</v>
      </c>
      <c r="B283" s="26">
        <f>IF($C283="","",INDEX(입력_인턴근무계획!$B$3:$B$402,$A283))</f>
        <v/>
      </c>
      <c r="C283" s="26">
        <f>IFERROR(TRIM(INDEX(입력_인턴근무계획!$C$3:$C$402,$A283)&amp;""),"")</f>
        <v/>
      </c>
      <c r="D283" s="26">
        <f>IF($C283="","",INDEX(입력_인턴근무계획!$D$3:$D$402,$A283))</f>
        <v/>
      </c>
      <c r="E283" s="26">
        <f>IF($C283="","",IF(IFERROR(MATCH($D283,입력_기본자료!$B$2:$B$1001,0),IFERROR(MATCH($D283&amp;"",입력_기본자료!$B$2:$B$1001,0),IFERROR(MATCH(VALUE($D283),입력_기본자료!$B$2:$B$1001,0),0)))&gt;0,"확인","미등록"))</f>
        <v/>
      </c>
      <c r="F283" s="28">
        <f>IF($C283="","",INDEX(입력_인턴근무계획!$S$3:$S$402,$A283))</f>
        <v/>
      </c>
      <c r="G283" s="26">
        <f>IF(OR($C283="",$G$3=""),"",IF(INDEX(입력_인턴근무계획!$M$3:$R$402,$A283,$G$3)&amp;""="","",IF(LEFT(INDEX(입력_인턴근무계획!$M$3:$R$402,$A283,$G$3)&amp;"",1)="⚠",INDEX(입력_인턴근무계획!$M$3:$R$402,$A283,$G$3)&amp;"",LEFT(INDEX(입력_인턴근무계획!$M$3:$R$402,$A283,$G$3)&amp;"",FIND(" ",INDEX(입력_인턴근무계획!$M$3:$R$402,$A283,$G$3)&amp;"")-1))))</f>
        <v/>
      </c>
      <c r="H283" s="26">
        <f>IF(OR($C283="",$G$3=""),"",IF(INDEX(입력_인턴근무계획!$M$3:$R$402,$A283,$G$3)&amp;""="","",IF(LEFT(INDEX(입력_인턴근무계획!$M$3:$R$402,$A283,$G$3)&amp;"",1)="⚠","",MID(INDEX(입력_인턴근무계획!$M$3:$R$402,$A283,$G$3)&amp;"",FIND(" ",INDEX(입력_인턴근무계획!$M$3:$R$402,$A283,$G$3)&amp;"")+1,60))))</f>
        <v/>
      </c>
      <c r="I283" s="26">
        <f>IF(OR($C283="",$I$3=""),"",IF(INDEX(입력_인턴근무계획!$M$3:$R$402,$A283,$I$3)&amp;""="","",IF(LEFT(INDEX(입력_인턴근무계획!$M$3:$R$402,$A283,$I$3)&amp;"",1)="⚠",INDEX(입력_인턴근무계획!$M$3:$R$402,$A283,$I$3)&amp;"",LEFT(INDEX(입력_인턴근무계획!$M$3:$R$402,$A283,$I$3)&amp;"",FIND(" ",INDEX(입력_인턴근무계획!$M$3:$R$402,$A283,$I$3)&amp;"")-1))))</f>
        <v/>
      </c>
      <c r="J283" s="26">
        <f>IF(OR($C283="",$I$3=""),"",IF(INDEX(입력_인턴근무계획!$M$3:$R$402,$A283,$I$3)&amp;""="","",IF(LEFT(INDEX(입력_인턴근무계획!$M$3:$R$402,$A283,$I$3)&amp;"",1)="⚠","",MID(INDEX(입력_인턴근무계획!$M$3:$R$402,$A283,$I$3)&amp;"",FIND(" ",INDEX(입력_인턴근무계획!$M$3:$R$402,$A283,$I$3)&amp;"")+1,60))))</f>
        <v/>
      </c>
      <c r="K283" s="26">
        <f>IF($C283="","",INDEX(입력_인턴근무계획!$M$3:$M$402,$A283)&amp;"")</f>
        <v/>
      </c>
      <c r="L283" s="26">
        <f>IF($C283="","",INDEX(입력_인턴근무계획!$N$3:$N$402,$A283)&amp;"")</f>
        <v/>
      </c>
      <c r="M283" s="26">
        <f>IF($C283="","",INDEX(입력_인턴근무계획!$O$3:$O$402,$A283)&amp;"")</f>
        <v/>
      </c>
      <c r="N283" s="26">
        <f>IF($C283="","",INDEX(입력_인턴근무계획!$P$3:$P$402,$A283)&amp;"")</f>
        <v/>
      </c>
      <c r="O283" s="26">
        <f>IF($C283="","",INDEX(입력_인턴근무계획!$Q$3:$Q$402,$A283)&amp;"")</f>
        <v/>
      </c>
      <c r="P283" s="26">
        <f>IF($C283="","",INDEX(입력_인턴근무계획!$R$3:$R$402,$A283)&amp;"")</f>
        <v/>
      </c>
      <c r="Q283" s="26">
        <f>IF($C283="","",INDEX(입력_인턴근무계획!$T$3:$T$402,$A283))</f>
        <v/>
      </c>
    </row>
    <row r="284">
      <c r="A284" s="29" t="n">
        <v>279</v>
      </c>
      <c r="B284" s="26">
        <f>IF($C284="","",INDEX(입력_인턴근무계획!$B$3:$B$402,$A284))</f>
        <v/>
      </c>
      <c r="C284" s="26">
        <f>IFERROR(TRIM(INDEX(입력_인턴근무계획!$C$3:$C$402,$A284)&amp;""),"")</f>
        <v/>
      </c>
      <c r="D284" s="26">
        <f>IF($C284="","",INDEX(입력_인턴근무계획!$D$3:$D$402,$A284))</f>
        <v/>
      </c>
      <c r="E284" s="26">
        <f>IF($C284="","",IF(IFERROR(MATCH($D284,입력_기본자료!$B$2:$B$1001,0),IFERROR(MATCH($D284&amp;"",입력_기본자료!$B$2:$B$1001,0),IFERROR(MATCH(VALUE($D284),입력_기본자료!$B$2:$B$1001,0),0)))&gt;0,"확인","미등록"))</f>
        <v/>
      </c>
      <c r="F284" s="28">
        <f>IF($C284="","",INDEX(입력_인턴근무계획!$S$3:$S$402,$A284))</f>
        <v/>
      </c>
      <c r="G284" s="26">
        <f>IF(OR($C284="",$G$3=""),"",IF(INDEX(입력_인턴근무계획!$M$3:$R$402,$A284,$G$3)&amp;""="","",IF(LEFT(INDEX(입력_인턴근무계획!$M$3:$R$402,$A284,$G$3)&amp;"",1)="⚠",INDEX(입력_인턴근무계획!$M$3:$R$402,$A284,$G$3)&amp;"",LEFT(INDEX(입력_인턴근무계획!$M$3:$R$402,$A284,$G$3)&amp;"",FIND(" ",INDEX(입력_인턴근무계획!$M$3:$R$402,$A284,$G$3)&amp;"")-1))))</f>
        <v/>
      </c>
      <c r="H284" s="26">
        <f>IF(OR($C284="",$G$3=""),"",IF(INDEX(입력_인턴근무계획!$M$3:$R$402,$A284,$G$3)&amp;""="","",IF(LEFT(INDEX(입력_인턴근무계획!$M$3:$R$402,$A284,$G$3)&amp;"",1)="⚠","",MID(INDEX(입력_인턴근무계획!$M$3:$R$402,$A284,$G$3)&amp;"",FIND(" ",INDEX(입력_인턴근무계획!$M$3:$R$402,$A284,$G$3)&amp;"")+1,60))))</f>
        <v/>
      </c>
      <c r="I284" s="26">
        <f>IF(OR($C284="",$I$3=""),"",IF(INDEX(입력_인턴근무계획!$M$3:$R$402,$A284,$I$3)&amp;""="","",IF(LEFT(INDEX(입력_인턴근무계획!$M$3:$R$402,$A284,$I$3)&amp;"",1)="⚠",INDEX(입력_인턴근무계획!$M$3:$R$402,$A284,$I$3)&amp;"",LEFT(INDEX(입력_인턴근무계획!$M$3:$R$402,$A284,$I$3)&amp;"",FIND(" ",INDEX(입력_인턴근무계획!$M$3:$R$402,$A284,$I$3)&amp;"")-1))))</f>
        <v/>
      </c>
      <c r="J284" s="26">
        <f>IF(OR($C284="",$I$3=""),"",IF(INDEX(입력_인턴근무계획!$M$3:$R$402,$A284,$I$3)&amp;""="","",IF(LEFT(INDEX(입력_인턴근무계획!$M$3:$R$402,$A284,$I$3)&amp;"",1)="⚠","",MID(INDEX(입력_인턴근무계획!$M$3:$R$402,$A284,$I$3)&amp;"",FIND(" ",INDEX(입력_인턴근무계획!$M$3:$R$402,$A284,$I$3)&amp;"")+1,60))))</f>
        <v/>
      </c>
      <c r="K284" s="26">
        <f>IF($C284="","",INDEX(입력_인턴근무계획!$M$3:$M$402,$A284)&amp;"")</f>
        <v/>
      </c>
      <c r="L284" s="26">
        <f>IF($C284="","",INDEX(입력_인턴근무계획!$N$3:$N$402,$A284)&amp;"")</f>
        <v/>
      </c>
      <c r="M284" s="26">
        <f>IF($C284="","",INDEX(입력_인턴근무계획!$O$3:$O$402,$A284)&amp;"")</f>
        <v/>
      </c>
      <c r="N284" s="26">
        <f>IF($C284="","",INDEX(입력_인턴근무계획!$P$3:$P$402,$A284)&amp;"")</f>
        <v/>
      </c>
      <c r="O284" s="26">
        <f>IF($C284="","",INDEX(입력_인턴근무계획!$Q$3:$Q$402,$A284)&amp;"")</f>
        <v/>
      </c>
      <c r="P284" s="26">
        <f>IF($C284="","",INDEX(입력_인턴근무계획!$R$3:$R$402,$A284)&amp;"")</f>
        <v/>
      </c>
      <c r="Q284" s="26">
        <f>IF($C284="","",INDEX(입력_인턴근무계획!$T$3:$T$402,$A284))</f>
        <v/>
      </c>
    </row>
    <row r="285">
      <c r="A285" s="29" t="n">
        <v>280</v>
      </c>
      <c r="B285" s="26">
        <f>IF($C285="","",INDEX(입력_인턴근무계획!$B$3:$B$402,$A285))</f>
        <v/>
      </c>
      <c r="C285" s="26">
        <f>IFERROR(TRIM(INDEX(입력_인턴근무계획!$C$3:$C$402,$A285)&amp;""),"")</f>
        <v/>
      </c>
      <c r="D285" s="26">
        <f>IF($C285="","",INDEX(입력_인턴근무계획!$D$3:$D$402,$A285))</f>
        <v/>
      </c>
      <c r="E285" s="26">
        <f>IF($C285="","",IF(IFERROR(MATCH($D285,입력_기본자료!$B$2:$B$1001,0),IFERROR(MATCH($D285&amp;"",입력_기본자료!$B$2:$B$1001,0),IFERROR(MATCH(VALUE($D285),입력_기본자료!$B$2:$B$1001,0),0)))&gt;0,"확인","미등록"))</f>
        <v/>
      </c>
      <c r="F285" s="28">
        <f>IF($C285="","",INDEX(입력_인턴근무계획!$S$3:$S$402,$A285))</f>
        <v/>
      </c>
      <c r="G285" s="26">
        <f>IF(OR($C285="",$G$3=""),"",IF(INDEX(입력_인턴근무계획!$M$3:$R$402,$A285,$G$3)&amp;""="","",IF(LEFT(INDEX(입력_인턴근무계획!$M$3:$R$402,$A285,$G$3)&amp;"",1)="⚠",INDEX(입력_인턴근무계획!$M$3:$R$402,$A285,$G$3)&amp;"",LEFT(INDEX(입력_인턴근무계획!$M$3:$R$402,$A285,$G$3)&amp;"",FIND(" ",INDEX(입력_인턴근무계획!$M$3:$R$402,$A285,$G$3)&amp;"")-1))))</f>
        <v/>
      </c>
      <c r="H285" s="26">
        <f>IF(OR($C285="",$G$3=""),"",IF(INDEX(입력_인턴근무계획!$M$3:$R$402,$A285,$G$3)&amp;""="","",IF(LEFT(INDEX(입력_인턴근무계획!$M$3:$R$402,$A285,$G$3)&amp;"",1)="⚠","",MID(INDEX(입력_인턴근무계획!$M$3:$R$402,$A285,$G$3)&amp;"",FIND(" ",INDEX(입력_인턴근무계획!$M$3:$R$402,$A285,$G$3)&amp;"")+1,60))))</f>
        <v/>
      </c>
      <c r="I285" s="26">
        <f>IF(OR($C285="",$I$3=""),"",IF(INDEX(입력_인턴근무계획!$M$3:$R$402,$A285,$I$3)&amp;""="","",IF(LEFT(INDEX(입력_인턴근무계획!$M$3:$R$402,$A285,$I$3)&amp;"",1)="⚠",INDEX(입력_인턴근무계획!$M$3:$R$402,$A285,$I$3)&amp;"",LEFT(INDEX(입력_인턴근무계획!$M$3:$R$402,$A285,$I$3)&amp;"",FIND(" ",INDEX(입력_인턴근무계획!$M$3:$R$402,$A285,$I$3)&amp;"")-1))))</f>
        <v/>
      </c>
      <c r="J285" s="26">
        <f>IF(OR($C285="",$I$3=""),"",IF(INDEX(입력_인턴근무계획!$M$3:$R$402,$A285,$I$3)&amp;""="","",IF(LEFT(INDEX(입력_인턴근무계획!$M$3:$R$402,$A285,$I$3)&amp;"",1)="⚠","",MID(INDEX(입력_인턴근무계획!$M$3:$R$402,$A285,$I$3)&amp;"",FIND(" ",INDEX(입력_인턴근무계획!$M$3:$R$402,$A285,$I$3)&amp;"")+1,60))))</f>
        <v/>
      </c>
      <c r="K285" s="26">
        <f>IF($C285="","",INDEX(입력_인턴근무계획!$M$3:$M$402,$A285)&amp;"")</f>
        <v/>
      </c>
      <c r="L285" s="26">
        <f>IF($C285="","",INDEX(입력_인턴근무계획!$N$3:$N$402,$A285)&amp;"")</f>
        <v/>
      </c>
      <c r="M285" s="26">
        <f>IF($C285="","",INDEX(입력_인턴근무계획!$O$3:$O$402,$A285)&amp;"")</f>
        <v/>
      </c>
      <c r="N285" s="26">
        <f>IF($C285="","",INDEX(입력_인턴근무계획!$P$3:$P$402,$A285)&amp;"")</f>
        <v/>
      </c>
      <c r="O285" s="26">
        <f>IF($C285="","",INDEX(입력_인턴근무계획!$Q$3:$Q$402,$A285)&amp;"")</f>
        <v/>
      </c>
      <c r="P285" s="26">
        <f>IF($C285="","",INDEX(입력_인턴근무계획!$R$3:$R$402,$A285)&amp;"")</f>
        <v/>
      </c>
      <c r="Q285" s="26">
        <f>IF($C285="","",INDEX(입력_인턴근무계획!$T$3:$T$402,$A285))</f>
        <v/>
      </c>
    </row>
    <row r="286">
      <c r="A286" s="29" t="n">
        <v>281</v>
      </c>
      <c r="B286" s="26">
        <f>IF($C286="","",INDEX(입력_인턴근무계획!$B$3:$B$402,$A286))</f>
        <v/>
      </c>
      <c r="C286" s="26">
        <f>IFERROR(TRIM(INDEX(입력_인턴근무계획!$C$3:$C$402,$A286)&amp;""),"")</f>
        <v/>
      </c>
      <c r="D286" s="26">
        <f>IF($C286="","",INDEX(입력_인턴근무계획!$D$3:$D$402,$A286))</f>
        <v/>
      </c>
      <c r="E286" s="26">
        <f>IF($C286="","",IF(IFERROR(MATCH($D286,입력_기본자료!$B$2:$B$1001,0),IFERROR(MATCH($D286&amp;"",입력_기본자료!$B$2:$B$1001,0),IFERROR(MATCH(VALUE($D286),입력_기본자료!$B$2:$B$1001,0),0)))&gt;0,"확인","미등록"))</f>
        <v/>
      </c>
      <c r="F286" s="28">
        <f>IF($C286="","",INDEX(입력_인턴근무계획!$S$3:$S$402,$A286))</f>
        <v/>
      </c>
      <c r="G286" s="26">
        <f>IF(OR($C286="",$G$3=""),"",IF(INDEX(입력_인턴근무계획!$M$3:$R$402,$A286,$G$3)&amp;""="","",IF(LEFT(INDEX(입력_인턴근무계획!$M$3:$R$402,$A286,$G$3)&amp;"",1)="⚠",INDEX(입력_인턴근무계획!$M$3:$R$402,$A286,$G$3)&amp;"",LEFT(INDEX(입력_인턴근무계획!$M$3:$R$402,$A286,$G$3)&amp;"",FIND(" ",INDEX(입력_인턴근무계획!$M$3:$R$402,$A286,$G$3)&amp;"")-1))))</f>
        <v/>
      </c>
      <c r="H286" s="26">
        <f>IF(OR($C286="",$G$3=""),"",IF(INDEX(입력_인턴근무계획!$M$3:$R$402,$A286,$G$3)&amp;""="","",IF(LEFT(INDEX(입력_인턴근무계획!$M$3:$R$402,$A286,$G$3)&amp;"",1)="⚠","",MID(INDEX(입력_인턴근무계획!$M$3:$R$402,$A286,$G$3)&amp;"",FIND(" ",INDEX(입력_인턴근무계획!$M$3:$R$402,$A286,$G$3)&amp;"")+1,60))))</f>
        <v/>
      </c>
      <c r="I286" s="26">
        <f>IF(OR($C286="",$I$3=""),"",IF(INDEX(입력_인턴근무계획!$M$3:$R$402,$A286,$I$3)&amp;""="","",IF(LEFT(INDEX(입력_인턴근무계획!$M$3:$R$402,$A286,$I$3)&amp;"",1)="⚠",INDEX(입력_인턴근무계획!$M$3:$R$402,$A286,$I$3)&amp;"",LEFT(INDEX(입력_인턴근무계획!$M$3:$R$402,$A286,$I$3)&amp;"",FIND(" ",INDEX(입력_인턴근무계획!$M$3:$R$402,$A286,$I$3)&amp;"")-1))))</f>
        <v/>
      </c>
      <c r="J286" s="26">
        <f>IF(OR($C286="",$I$3=""),"",IF(INDEX(입력_인턴근무계획!$M$3:$R$402,$A286,$I$3)&amp;""="","",IF(LEFT(INDEX(입력_인턴근무계획!$M$3:$R$402,$A286,$I$3)&amp;"",1)="⚠","",MID(INDEX(입력_인턴근무계획!$M$3:$R$402,$A286,$I$3)&amp;"",FIND(" ",INDEX(입력_인턴근무계획!$M$3:$R$402,$A286,$I$3)&amp;"")+1,60))))</f>
        <v/>
      </c>
      <c r="K286" s="26">
        <f>IF($C286="","",INDEX(입력_인턴근무계획!$M$3:$M$402,$A286)&amp;"")</f>
        <v/>
      </c>
      <c r="L286" s="26">
        <f>IF($C286="","",INDEX(입력_인턴근무계획!$N$3:$N$402,$A286)&amp;"")</f>
        <v/>
      </c>
      <c r="M286" s="26">
        <f>IF($C286="","",INDEX(입력_인턴근무계획!$O$3:$O$402,$A286)&amp;"")</f>
        <v/>
      </c>
      <c r="N286" s="26">
        <f>IF($C286="","",INDEX(입력_인턴근무계획!$P$3:$P$402,$A286)&amp;"")</f>
        <v/>
      </c>
      <c r="O286" s="26">
        <f>IF($C286="","",INDEX(입력_인턴근무계획!$Q$3:$Q$402,$A286)&amp;"")</f>
        <v/>
      </c>
      <c r="P286" s="26">
        <f>IF($C286="","",INDEX(입력_인턴근무계획!$R$3:$R$402,$A286)&amp;"")</f>
        <v/>
      </c>
      <c r="Q286" s="26">
        <f>IF($C286="","",INDEX(입력_인턴근무계획!$T$3:$T$402,$A286))</f>
        <v/>
      </c>
    </row>
    <row r="287">
      <c r="A287" s="29" t="n">
        <v>282</v>
      </c>
      <c r="B287" s="26">
        <f>IF($C287="","",INDEX(입력_인턴근무계획!$B$3:$B$402,$A287))</f>
        <v/>
      </c>
      <c r="C287" s="26">
        <f>IFERROR(TRIM(INDEX(입력_인턴근무계획!$C$3:$C$402,$A287)&amp;""),"")</f>
        <v/>
      </c>
      <c r="D287" s="26">
        <f>IF($C287="","",INDEX(입력_인턴근무계획!$D$3:$D$402,$A287))</f>
        <v/>
      </c>
      <c r="E287" s="26">
        <f>IF($C287="","",IF(IFERROR(MATCH($D287,입력_기본자료!$B$2:$B$1001,0),IFERROR(MATCH($D287&amp;"",입력_기본자료!$B$2:$B$1001,0),IFERROR(MATCH(VALUE($D287),입력_기본자료!$B$2:$B$1001,0),0)))&gt;0,"확인","미등록"))</f>
        <v/>
      </c>
      <c r="F287" s="28">
        <f>IF($C287="","",INDEX(입력_인턴근무계획!$S$3:$S$402,$A287))</f>
        <v/>
      </c>
      <c r="G287" s="26">
        <f>IF(OR($C287="",$G$3=""),"",IF(INDEX(입력_인턴근무계획!$M$3:$R$402,$A287,$G$3)&amp;""="","",IF(LEFT(INDEX(입력_인턴근무계획!$M$3:$R$402,$A287,$G$3)&amp;"",1)="⚠",INDEX(입력_인턴근무계획!$M$3:$R$402,$A287,$G$3)&amp;"",LEFT(INDEX(입력_인턴근무계획!$M$3:$R$402,$A287,$G$3)&amp;"",FIND(" ",INDEX(입력_인턴근무계획!$M$3:$R$402,$A287,$G$3)&amp;"")-1))))</f>
        <v/>
      </c>
      <c r="H287" s="26">
        <f>IF(OR($C287="",$G$3=""),"",IF(INDEX(입력_인턴근무계획!$M$3:$R$402,$A287,$G$3)&amp;""="","",IF(LEFT(INDEX(입력_인턴근무계획!$M$3:$R$402,$A287,$G$3)&amp;"",1)="⚠","",MID(INDEX(입력_인턴근무계획!$M$3:$R$402,$A287,$G$3)&amp;"",FIND(" ",INDEX(입력_인턴근무계획!$M$3:$R$402,$A287,$G$3)&amp;"")+1,60))))</f>
        <v/>
      </c>
      <c r="I287" s="26">
        <f>IF(OR($C287="",$I$3=""),"",IF(INDEX(입력_인턴근무계획!$M$3:$R$402,$A287,$I$3)&amp;""="","",IF(LEFT(INDEX(입력_인턴근무계획!$M$3:$R$402,$A287,$I$3)&amp;"",1)="⚠",INDEX(입력_인턴근무계획!$M$3:$R$402,$A287,$I$3)&amp;"",LEFT(INDEX(입력_인턴근무계획!$M$3:$R$402,$A287,$I$3)&amp;"",FIND(" ",INDEX(입력_인턴근무계획!$M$3:$R$402,$A287,$I$3)&amp;"")-1))))</f>
        <v/>
      </c>
      <c r="J287" s="26">
        <f>IF(OR($C287="",$I$3=""),"",IF(INDEX(입력_인턴근무계획!$M$3:$R$402,$A287,$I$3)&amp;""="","",IF(LEFT(INDEX(입력_인턴근무계획!$M$3:$R$402,$A287,$I$3)&amp;"",1)="⚠","",MID(INDEX(입력_인턴근무계획!$M$3:$R$402,$A287,$I$3)&amp;"",FIND(" ",INDEX(입력_인턴근무계획!$M$3:$R$402,$A287,$I$3)&amp;"")+1,60))))</f>
        <v/>
      </c>
      <c r="K287" s="26">
        <f>IF($C287="","",INDEX(입력_인턴근무계획!$M$3:$M$402,$A287)&amp;"")</f>
        <v/>
      </c>
      <c r="L287" s="26">
        <f>IF($C287="","",INDEX(입력_인턴근무계획!$N$3:$N$402,$A287)&amp;"")</f>
        <v/>
      </c>
      <c r="M287" s="26">
        <f>IF($C287="","",INDEX(입력_인턴근무계획!$O$3:$O$402,$A287)&amp;"")</f>
        <v/>
      </c>
      <c r="N287" s="26">
        <f>IF($C287="","",INDEX(입력_인턴근무계획!$P$3:$P$402,$A287)&amp;"")</f>
        <v/>
      </c>
      <c r="O287" s="26">
        <f>IF($C287="","",INDEX(입력_인턴근무계획!$Q$3:$Q$402,$A287)&amp;"")</f>
        <v/>
      </c>
      <c r="P287" s="26">
        <f>IF($C287="","",INDEX(입력_인턴근무계획!$R$3:$R$402,$A287)&amp;"")</f>
        <v/>
      </c>
      <c r="Q287" s="26">
        <f>IF($C287="","",INDEX(입력_인턴근무계획!$T$3:$T$402,$A287))</f>
        <v/>
      </c>
    </row>
    <row r="288">
      <c r="A288" s="29" t="n">
        <v>283</v>
      </c>
      <c r="B288" s="26">
        <f>IF($C288="","",INDEX(입력_인턴근무계획!$B$3:$B$402,$A288))</f>
        <v/>
      </c>
      <c r="C288" s="26">
        <f>IFERROR(TRIM(INDEX(입력_인턴근무계획!$C$3:$C$402,$A288)&amp;""),"")</f>
        <v/>
      </c>
      <c r="D288" s="26">
        <f>IF($C288="","",INDEX(입력_인턴근무계획!$D$3:$D$402,$A288))</f>
        <v/>
      </c>
      <c r="E288" s="26">
        <f>IF($C288="","",IF(IFERROR(MATCH($D288,입력_기본자료!$B$2:$B$1001,0),IFERROR(MATCH($D288&amp;"",입력_기본자료!$B$2:$B$1001,0),IFERROR(MATCH(VALUE($D288),입력_기본자료!$B$2:$B$1001,0),0)))&gt;0,"확인","미등록"))</f>
        <v/>
      </c>
      <c r="F288" s="28">
        <f>IF($C288="","",INDEX(입력_인턴근무계획!$S$3:$S$402,$A288))</f>
        <v/>
      </c>
      <c r="G288" s="26">
        <f>IF(OR($C288="",$G$3=""),"",IF(INDEX(입력_인턴근무계획!$M$3:$R$402,$A288,$G$3)&amp;""="","",IF(LEFT(INDEX(입력_인턴근무계획!$M$3:$R$402,$A288,$G$3)&amp;"",1)="⚠",INDEX(입력_인턴근무계획!$M$3:$R$402,$A288,$G$3)&amp;"",LEFT(INDEX(입력_인턴근무계획!$M$3:$R$402,$A288,$G$3)&amp;"",FIND(" ",INDEX(입력_인턴근무계획!$M$3:$R$402,$A288,$G$3)&amp;"")-1))))</f>
        <v/>
      </c>
      <c r="H288" s="26">
        <f>IF(OR($C288="",$G$3=""),"",IF(INDEX(입력_인턴근무계획!$M$3:$R$402,$A288,$G$3)&amp;""="","",IF(LEFT(INDEX(입력_인턴근무계획!$M$3:$R$402,$A288,$G$3)&amp;"",1)="⚠","",MID(INDEX(입력_인턴근무계획!$M$3:$R$402,$A288,$G$3)&amp;"",FIND(" ",INDEX(입력_인턴근무계획!$M$3:$R$402,$A288,$G$3)&amp;"")+1,60))))</f>
        <v/>
      </c>
      <c r="I288" s="26">
        <f>IF(OR($C288="",$I$3=""),"",IF(INDEX(입력_인턴근무계획!$M$3:$R$402,$A288,$I$3)&amp;""="","",IF(LEFT(INDEX(입력_인턴근무계획!$M$3:$R$402,$A288,$I$3)&amp;"",1)="⚠",INDEX(입력_인턴근무계획!$M$3:$R$402,$A288,$I$3)&amp;"",LEFT(INDEX(입력_인턴근무계획!$M$3:$R$402,$A288,$I$3)&amp;"",FIND(" ",INDEX(입력_인턴근무계획!$M$3:$R$402,$A288,$I$3)&amp;"")-1))))</f>
        <v/>
      </c>
      <c r="J288" s="26">
        <f>IF(OR($C288="",$I$3=""),"",IF(INDEX(입력_인턴근무계획!$M$3:$R$402,$A288,$I$3)&amp;""="","",IF(LEFT(INDEX(입력_인턴근무계획!$M$3:$R$402,$A288,$I$3)&amp;"",1)="⚠","",MID(INDEX(입력_인턴근무계획!$M$3:$R$402,$A288,$I$3)&amp;"",FIND(" ",INDEX(입력_인턴근무계획!$M$3:$R$402,$A288,$I$3)&amp;"")+1,60))))</f>
        <v/>
      </c>
      <c r="K288" s="26">
        <f>IF($C288="","",INDEX(입력_인턴근무계획!$M$3:$M$402,$A288)&amp;"")</f>
        <v/>
      </c>
      <c r="L288" s="26">
        <f>IF($C288="","",INDEX(입력_인턴근무계획!$N$3:$N$402,$A288)&amp;"")</f>
        <v/>
      </c>
      <c r="M288" s="26">
        <f>IF($C288="","",INDEX(입력_인턴근무계획!$O$3:$O$402,$A288)&amp;"")</f>
        <v/>
      </c>
      <c r="N288" s="26">
        <f>IF($C288="","",INDEX(입력_인턴근무계획!$P$3:$P$402,$A288)&amp;"")</f>
        <v/>
      </c>
      <c r="O288" s="26">
        <f>IF($C288="","",INDEX(입력_인턴근무계획!$Q$3:$Q$402,$A288)&amp;"")</f>
        <v/>
      </c>
      <c r="P288" s="26">
        <f>IF($C288="","",INDEX(입력_인턴근무계획!$R$3:$R$402,$A288)&amp;"")</f>
        <v/>
      </c>
      <c r="Q288" s="26">
        <f>IF($C288="","",INDEX(입력_인턴근무계획!$T$3:$T$402,$A288))</f>
        <v/>
      </c>
    </row>
    <row r="289">
      <c r="A289" s="29" t="n">
        <v>284</v>
      </c>
      <c r="B289" s="26">
        <f>IF($C289="","",INDEX(입력_인턴근무계획!$B$3:$B$402,$A289))</f>
        <v/>
      </c>
      <c r="C289" s="26">
        <f>IFERROR(TRIM(INDEX(입력_인턴근무계획!$C$3:$C$402,$A289)&amp;""),"")</f>
        <v/>
      </c>
      <c r="D289" s="26">
        <f>IF($C289="","",INDEX(입력_인턴근무계획!$D$3:$D$402,$A289))</f>
        <v/>
      </c>
      <c r="E289" s="26">
        <f>IF($C289="","",IF(IFERROR(MATCH($D289,입력_기본자료!$B$2:$B$1001,0),IFERROR(MATCH($D289&amp;"",입력_기본자료!$B$2:$B$1001,0),IFERROR(MATCH(VALUE($D289),입력_기본자료!$B$2:$B$1001,0),0)))&gt;0,"확인","미등록"))</f>
        <v/>
      </c>
      <c r="F289" s="28">
        <f>IF($C289="","",INDEX(입력_인턴근무계획!$S$3:$S$402,$A289))</f>
        <v/>
      </c>
      <c r="G289" s="26">
        <f>IF(OR($C289="",$G$3=""),"",IF(INDEX(입력_인턴근무계획!$M$3:$R$402,$A289,$G$3)&amp;""="","",IF(LEFT(INDEX(입력_인턴근무계획!$M$3:$R$402,$A289,$G$3)&amp;"",1)="⚠",INDEX(입력_인턴근무계획!$M$3:$R$402,$A289,$G$3)&amp;"",LEFT(INDEX(입력_인턴근무계획!$M$3:$R$402,$A289,$G$3)&amp;"",FIND(" ",INDEX(입력_인턴근무계획!$M$3:$R$402,$A289,$G$3)&amp;"")-1))))</f>
        <v/>
      </c>
      <c r="H289" s="26">
        <f>IF(OR($C289="",$G$3=""),"",IF(INDEX(입력_인턴근무계획!$M$3:$R$402,$A289,$G$3)&amp;""="","",IF(LEFT(INDEX(입력_인턴근무계획!$M$3:$R$402,$A289,$G$3)&amp;"",1)="⚠","",MID(INDEX(입력_인턴근무계획!$M$3:$R$402,$A289,$G$3)&amp;"",FIND(" ",INDEX(입력_인턴근무계획!$M$3:$R$402,$A289,$G$3)&amp;"")+1,60))))</f>
        <v/>
      </c>
      <c r="I289" s="26">
        <f>IF(OR($C289="",$I$3=""),"",IF(INDEX(입력_인턴근무계획!$M$3:$R$402,$A289,$I$3)&amp;""="","",IF(LEFT(INDEX(입력_인턴근무계획!$M$3:$R$402,$A289,$I$3)&amp;"",1)="⚠",INDEX(입력_인턴근무계획!$M$3:$R$402,$A289,$I$3)&amp;"",LEFT(INDEX(입력_인턴근무계획!$M$3:$R$402,$A289,$I$3)&amp;"",FIND(" ",INDEX(입력_인턴근무계획!$M$3:$R$402,$A289,$I$3)&amp;"")-1))))</f>
        <v/>
      </c>
      <c r="J289" s="26">
        <f>IF(OR($C289="",$I$3=""),"",IF(INDEX(입력_인턴근무계획!$M$3:$R$402,$A289,$I$3)&amp;""="","",IF(LEFT(INDEX(입력_인턴근무계획!$M$3:$R$402,$A289,$I$3)&amp;"",1)="⚠","",MID(INDEX(입력_인턴근무계획!$M$3:$R$402,$A289,$I$3)&amp;"",FIND(" ",INDEX(입력_인턴근무계획!$M$3:$R$402,$A289,$I$3)&amp;"")+1,60))))</f>
        <v/>
      </c>
      <c r="K289" s="26">
        <f>IF($C289="","",INDEX(입력_인턴근무계획!$M$3:$M$402,$A289)&amp;"")</f>
        <v/>
      </c>
      <c r="L289" s="26">
        <f>IF($C289="","",INDEX(입력_인턴근무계획!$N$3:$N$402,$A289)&amp;"")</f>
        <v/>
      </c>
      <c r="M289" s="26">
        <f>IF($C289="","",INDEX(입력_인턴근무계획!$O$3:$O$402,$A289)&amp;"")</f>
        <v/>
      </c>
      <c r="N289" s="26">
        <f>IF($C289="","",INDEX(입력_인턴근무계획!$P$3:$P$402,$A289)&amp;"")</f>
        <v/>
      </c>
      <c r="O289" s="26">
        <f>IF($C289="","",INDEX(입력_인턴근무계획!$Q$3:$Q$402,$A289)&amp;"")</f>
        <v/>
      </c>
      <c r="P289" s="26">
        <f>IF($C289="","",INDEX(입력_인턴근무계획!$R$3:$R$402,$A289)&amp;"")</f>
        <v/>
      </c>
      <c r="Q289" s="26">
        <f>IF($C289="","",INDEX(입력_인턴근무계획!$T$3:$T$402,$A289))</f>
        <v/>
      </c>
    </row>
    <row r="290">
      <c r="A290" s="29" t="n">
        <v>285</v>
      </c>
      <c r="B290" s="26">
        <f>IF($C290="","",INDEX(입력_인턴근무계획!$B$3:$B$402,$A290))</f>
        <v/>
      </c>
      <c r="C290" s="26">
        <f>IFERROR(TRIM(INDEX(입력_인턴근무계획!$C$3:$C$402,$A290)&amp;""),"")</f>
        <v/>
      </c>
      <c r="D290" s="26">
        <f>IF($C290="","",INDEX(입력_인턴근무계획!$D$3:$D$402,$A290))</f>
        <v/>
      </c>
      <c r="E290" s="26">
        <f>IF($C290="","",IF(IFERROR(MATCH($D290,입력_기본자료!$B$2:$B$1001,0),IFERROR(MATCH($D290&amp;"",입력_기본자료!$B$2:$B$1001,0),IFERROR(MATCH(VALUE($D290),입력_기본자료!$B$2:$B$1001,0),0)))&gt;0,"확인","미등록"))</f>
        <v/>
      </c>
      <c r="F290" s="28">
        <f>IF($C290="","",INDEX(입력_인턴근무계획!$S$3:$S$402,$A290))</f>
        <v/>
      </c>
      <c r="G290" s="26">
        <f>IF(OR($C290="",$G$3=""),"",IF(INDEX(입력_인턴근무계획!$M$3:$R$402,$A290,$G$3)&amp;""="","",IF(LEFT(INDEX(입력_인턴근무계획!$M$3:$R$402,$A290,$G$3)&amp;"",1)="⚠",INDEX(입력_인턴근무계획!$M$3:$R$402,$A290,$G$3)&amp;"",LEFT(INDEX(입력_인턴근무계획!$M$3:$R$402,$A290,$G$3)&amp;"",FIND(" ",INDEX(입력_인턴근무계획!$M$3:$R$402,$A290,$G$3)&amp;"")-1))))</f>
        <v/>
      </c>
      <c r="H290" s="26">
        <f>IF(OR($C290="",$G$3=""),"",IF(INDEX(입력_인턴근무계획!$M$3:$R$402,$A290,$G$3)&amp;""="","",IF(LEFT(INDEX(입력_인턴근무계획!$M$3:$R$402,$A290,$G$3)&amp;"",1)="⚠","",MID(INDEX(입력_인턴근무계획!$M$3:$R$402,$A290,$G$3)&amp;"",FIND(" ",INDEX(입력_인턴근무계획!$M$3:$R$402,$A290,$G$3)&amp;"")+1,60))))</f>
        <v/>
      </c>
      <c r="I290" s="26">
        <f>IF(OR($C290="",$I$3=""),"",IF(INDEX(입력_인턴근무계획!$M$3:$R$402,$A290,$I$3)&amp;""="","",IF(LEFT(INDEX(입력_인턴근무계획!$M$3:$R$402,$A290,$I$3)&amp;"",1)="⚠",INDEX(입력_인턴근무계획!$M$3:$R$402,$A290,$I$3)&amp;"",LEFT(INDEX(입력_인턴근무계획!$M$3:$R$402,$A290,$I$3)&amp;"",FIND(" ",INDEX(입력_인턴근무계획!$M$3:$R$402,$A290,$I$3)&amp;"")-1))))</f>
        <v/>
      </c>
      <c r="J290" s="26">
        <f>IF(OR($C290="",$I$3=""),"",IF(INDEX(입력_인턴근무계획!$M$3:$R$402,$A290,$I$3)&amp;""="","",IF(LEFT(INDEX(입력_인턴근무계획!$M$3:$R$402,$A290,$I$3)&amp;"",1)="⚠","",MID(INDEX(입력_인턴근무계획!$M$3:$R$402,$A290,$I$3)&amp;"",FIND(" ",INDEX(입력_인턴근무계획!$M$3:$R$402,$A290,$I$3)&amp;"")+1,60))))</f>
        <v/>
      </c>
      <c r="K290" s="26">
        <f>IF($C290="","",INDEX(입력_인턴근무계획!$M$3:$M$402,$A290)&amp;"")</f>
        <v/>
      </c>
      <c r="L290" s="26">
        <f>IF($C290="","",INDEX(입력_인턴근무계획!$N$3:$N$402,$A290)&amp;"")</f>
        <v/>
      </c>
      <c r="M290" s="26">
        <f>IF($C290="","",INDEX(입력_인턴근무계획!$O$3:$O$402,$A290)&amp;"")</f>
        <v/>
      </c>
      <c r="N290" s="26">
        <f>IF($C290="","",INDEX(입력_인턴근무계획!$P$3:$P$402,$A290)&amp;"")</f>
        <v/>
      </c>
      <c r="O290" s="26">
        <f>IF($C290="","",INDEX(입력_인턴근무계획!$Q$3:$Q$402,$A290)&amp;"")</f>
        <v/>
      </c>
      <c r="P290" s="26">
        <f>IF($C290="","",INDEX(입력_인턴근무계획!$R$3:$R$402,$A290)&amp;"")</f>
        <v/>
      </c>
      <c r="Q290" s="26">
        <f>IF($C290="","",INDEX(입력_인턴근무계획!$T$3:$T$402,$A290))</f>
        <v/>
      </c>
    </row>
    <row r="291">
      <c r="A291" s="29" t="n">
        <v>286</v>
      </c>
      <c r="B291" s="26">
        <f>IF($C291="","",INDEX(입력_인턴근무계획!$B$3:$B$402,$A291))</f>
        <v/>
      </c>
      <c r="C291" s="26">
        <f>IFERROR(TRIM(INDEX(입력_인턴근무계획!$C$3:$C$402,$A291)&amp;""),"")</f>
        <v/>
      </c>
      <c r="D291" s="26">
        <f>IF($C291="","",INDEX(입력_인턴근무계획!$D$3:$D$402,$A291))</f>
        <v/>
      </c>
      <c r="E291" s="26">
        <f>IF($C291="","",IF(IFERROR(MATCH($D291,입력_기본자료!$B$2:$B$1001,0),IFERROR(MATCH($D291&amp;"",입력_기본자료!$B$2:$B$1001,0),IFERROR(MATCH(VALUE($D291),입력_기본자료!$B$2:$B$1001,0),0)))&gt;0,"확인","미등록"))</f>
        <v/>
      </c>
      <c r="F291" s="28">
        <f>IF($C291="","",INDEX(입력_인턴근무계획!$S$3:$S$402,$A291))</f>
        <v/>
      </c>
      <c r="G291" s="26">
        <f>IF(OR($C291="",$G$3=""),"",IF(INDEX(입력_인턴근무계획!$M$3:$R$402,$A291,$G$3)&amp;""="","",IF(LEFT(INDEX(입력_인턴근무계획!$M$3:$R$402,$A291,$G$3)&amp;"",1)="⚠",INDEX(입력_인턴근무계획!$M$3:$R$402,$A291,$G$3)&amp;"",LEFT(INDEX(입력_인턴근무계획!$M$3:$R$402,$A291,$G$3)&amp;"",FIND(" ",INDEX(입력_인턴근무계획!$M$3:$R$402,$A291,$G$3)&amp;"")-1))))</f>
        <v/>
      </c>
      <c r="H291" s="26">
        <f>IF(OR($C291="",$G$3=""),"",IF(INDEX(입력_인턴근무계획!$M$3:$R$402,$A291,$G$3)&amp;""="","",IF(LEFT(INDEX(입력_인턴근무계획!$M$3:$R$402,$A291,$G$3)&amp;"",1)="⚠","",MID(INDEX(입력_인턴근무계획!$M$3:$R$402,$A291,$G$3)&amp;"",FIND(" ",INDEX(입력_인턴근무계획!$M$3:$R$402,$A291,$G$3)&amp;"")+1,60))))</f>
        <v/>
      </c>
      <c r="I291" s="26">
        <f>IF(OR($C291="",$I$3=""),"",IF(INDEX(입력_인턴근무계획!$M$3:$R$402,$A291,$I$3)&amp;""="","",IF(LEFT(INDEX(입력_인턴근무계획!$M$3:$R$402,$A291,$I$3)&amp;"",1)="⚠",INDEX(입력_인턴근무계획!$M$3:$R$402,$A291,$I$3)&amp;"",LEFT(INDEX(입력_인턴근무계획!$M$3:$R$402,$A291,$I$3)&amp;"",FIND(" ",INDEX(입력_인턴근무계획!$M$3:$R$402,$A291,$I$3)&amp;"")-1))))</f>
        <v/>
      </c>
      <c r="J291" s="26">
        <f>IF(OR($C291="",$I$3=""),"",IF(INDEX(입력_인턴근무계획!$M$3:$R$402,$A291,$I$3)&amp;""="","",IF(LEFT(INDEX(입력_인턴근무계획!$M$3:$R$402,$A291,$I$3)&amp;"",1)="⚠","",MID(INDEX(입력_인턴근무계획!$M$3:$R$402,$A291,$I$3)&amp;"",FIND(" ",INDEX(입력_인턴근무계획!$M$3:$R$402,$A291,$I$3)&amp;"")+1,60))))</f>
        <v/>
      </c>
      <c r="K291" s="26">
        <f>IF($C291="","",INDEX(입력_인턴근무계획!$M$3:$M$402,$A291)&amp;"")</f>
        <v/>
      </c>
      <c r="L291" s="26">
        <f>IF($C291="","",INDEX(입력_인턴근무계획!$N$3:$N$402,$A291)&amp;"")</f>
        <v/>
      </c>
      <c r="M291" s="26">
        <f>IF($C291="","",INDEX(입력_인턴근무계획!$O$3:$O$402,$A291)&amp;"")</f>
        <v/>
      </c>
      <c r="N291" s="26">
        <f>IF($C291="","",INDEX(입력_인턴근무계획!$P$3:$P$402,$A291)&amp;"")</f>
        <v/>
      </c>
      <c r="O291" s="26">
        <f>IF($C291="","",INDEX(입력_인턴근무계획!$Q$3:$Q$402,$A291)&amp;"")</f>
        <v/>
      </c>
      <c r="P291" s="26">
        <f>IF($C291="","",INDEX(입력_인턴근무계획!$R$3:$R$402,$A291)&amp;"")</f>
        <v/>
      </c>
      <c r="Q291" s="26">
        <f>IF($C291="","",INDEX(입력_인턴근무계획!$T$3:$T$402,$A291))</f>
        <v/>
      </c>
    </row>
    <row r="292">
      <c r="A292" s="29" t="n">
        <v>287</v>
      </c>
      <c r="B292" s="26">
        <f>IF($C292="","",INDEX(입력_인턴근무계획!$B$3:$B$402,$A292))</f>
        <v/>
      </c>
      <c r="C292" s="26">
        <f>IFERROR(TRIM(INDEX(입력_인턴근무계획!$C$3:$C$402,$A292)&amp;""),"")</f>
        <v/>
      </c>
      <c r="D292" s="26">
        <f>IF($C292="","",INDEX(입력_인턴근무계획!$D$3:$D$402,$A292))</f>
        <v/>
      </c>
      <c r="E292" s="26">
        <f>IF($C292="","",IF(IFERROR(MATCH($D292,입력_기본자료!$B$2:$B$1001,0),IFERROR(MATCH($D292&amp;"",입력_기본자료!$B$2:$B$1001,0),IFERROR(MATCH(VALUE($D292),입력_기본자료!$B$2:$B$1001,0),0)))&gt;0,"확인","미등록"))</f>
        <v/>
      </c>
      <c r="F292" s="28">
        <f>IF($C292="","",INDEX(입력_인턴근무계획!$S$3:$S$402,$A292))</f>
        <v/>
      </c>
      <c r="G292" s="26">
        <f>IF(OR($C292="",$G$3=""),"",IF(INDEX(입력_인턴근무계획!$M$3:$R$402,$A292,$G$3)&amp;""="","",IF(LEFT(INDEX(입력_인턴근무계획!$M$3:$R$402,$A292,$G$3)&amp;"",1)="⚠",INDEX(입력_인턴근무계획!$M$3:$R$402,$A292,$G$3)&amp;"",LEFT(INDEX(입력_인턴근무계획!$M$3:$R$402,$A292,$G$3)&amp;"",FIND(" ",INDEX(입력_인턴근무계획!$M$3:$R$402,$A292,$G$3)&amp;"")-1))))</f>
        <v/>
      </c>
      <c r="H292" s="26">
        <f>IF(OR($C292="",$G$3=""),"",IF(INDEX(입력_인턴근무계획!$M$3:$R$402,$A292,$G$3)&amp;""="","",IF(LEFT(INDEX(입력_인턴근무계획!$M$3:$R$402,$A292,$G$3)&amp;"",1)="⚠","",MID(INDEX(입력_인턴근무계획!$M$3:$R$402,$A292,$G$3)&amp;"",FIND(" ",INDEX(입력_인턴근무계획!$M$3:$R$402,$A292,$G$3)&amp;"")+1,60))))</f>
        <v/>
      </c>
      <c r="I292" s="26">
        <f>IF(OR($C292="",$I$3=""),"",IF(INDEX(입력_인턴근무계획!$M$3:$R$402,$A292,$I$3)&amp;""="","",IF(LEFT(INDEX(입력_인턴근무계획!$M$3:$R$402,$A292,$I$3)&amp;"",1)="⚠",INDEX(입력_인턴근무계획!$M$3:$R$402,$A292,$I$3)&amp;"",LEFT(INDEX(입력_인턴근무계획!$M$3:$R$402,$A292,$I$3)&amp;"",FIND(" ",INDEX(입력_인턴근무계획!$M$3:$R$402,$A292,$I$3)&amp;"")-1))))</f>
        <v/>
      </c>
      <c r="J292" s="26">
        <f>IF(OR($C292="",$I$3=""),"",IF(INDEX(입력_인턴근무계획!$M$3:$R$402,$A292,$I$3)&amp;""="","",IF(LEFT(INDEX(입력_인턴근무계획!$M$3:$R$402,$A292,$I$3)&amp;"",1)="⚠","",MID(INDEX(입력_인턴근무계획!$M$3:$R$402,$A292,$I$3)&amp;"",FIND(" ",INDEX(입력_인턴근무계획!$M$3:$R$402,$A292,$I$3)&amp;"")+1,60))))</f>
        <v/>
      </c>
      <c r="K292" s="26">
        <f>IF($C292="","",INDEX(입력_인턴근무계획!$M$3:$M$402,$A292)&amp;"")</f>
        <v/>
      </c>
      <c r="L292" s="26">
        <f>IF($C292="","",INDEX(입력_인턴근무계획!$N$3:$N$402,$A292)&amp;"")</f>
        <v/>
      </c>
      <c r="M292" s="26">
        <f>IF($C292="","",INDEX(입력_인턴근무계획!$O$3:$O$402,$A292)&amp;"")</f>
        <v/>
      </c>
      <c r="N292" s="26">
        <f>IF($C292="","",INDEX(입력_인턴근무계획!$P$3:$P$402,$A292)&amp;"")</f>
        <v/>
      </c>
      <c r="O292" s="26">
        <f>IF($C292="","",INDEX(입력_인턴근무계획!$Q$3:$Q$402,$A292)&amp;"")</f>
        <v/>
      </c>
      <c r="P292" s="26">
        <f>IF($C292="","",INDEX(입력_인턴근무계획!$R$3:$R$402,$A292)&amp;"")</f>
        <v/>
      </c>
      <c r="Q292" s="26">
        <f>IF($C292="","",INDEX(입력_인턴근무계획!$T$3:$T$402,$A292))</f>
        <v/>
      </c>
    </row>
    <row r="293">
      <c r="A293" s="29" t="n">
        <v>288</v>
      </c>
      <c r="B293" s="26">
        <f>IF($C293="","",INDEX(입력_인턴근무계획!$B$3:$B$402,$A293))</f>
        <v/>
      </c>
      <c r="C293" s="26">
        <f>IFERROR(TRIM(INDEX(입력_인턴근무계획!$C$3:$C$402,$A293)&amp;""),"")</f>
        <v/>
      </c>
      <c r="D293" s="26">
        <f>IF($C293="","",INDEX(입력_인턴근무계획!$D$3:$D$402,$A293))</f>
        <v/>
      </c>
      <c r="E293" s="26">
        <f>IF($C293="","",IF(IFERROR(MATCH($D293,입력_기본자료!$B$2:$B$1001,0),IFERROR(MATCH($D293&amp;"",입력_기본자료!$B$2:$B$1001,0),IFERROR(MATCH(VALUE($D293),입력_기본자료!$B$2:$B$1001,0),0)))&gt;0,"확인","미등록"))</f>
        <v/>
      </c>
      <c r="F293" s="28">
        <f>IF($C293="","",INDEX(입력_인턴근무계획!$S$3:$S$402,$A293))</f>
        <v/>
      </c>
      <c r="G293" s="26">
        <f>IF(OR($C293="",$G$3=""),"",IF(INDEX(입력_인턴근무계획!$M$3:$R$402,$A293,$G$3)&amp;""="","",IF(LEFT(INDEX(입력_인턴근무계획!$M$3:$R$402,$A293,$G$3)&amp;"",1)="⚠",INDEX(입력_인턴근무계획!$M$3:$R$402,$A293,$G$3)&amp;"",LEFT(INDEX(입력_인턴근무계획!$M$3:$R$402,$A293,$G$3)&amp;"",FIND(" ",INDEX(입력_인턴근무계획!$M$3:$R$402,$A293,$G$3)&amp;"")-1))))</f>
        <v/>
      </c>
      <c r="H293" s="26">
        <f>IF(OR($C293="",$G$3=""),"",IF(INDEX(입력_인턴근무계획!$M$3:$R$402,$A293,$G$3)&amp;""="","",IF(LEFT(INDEX(입력_인턴근무계획!$M$3:$R$402,$A293,$G$3)&amp;"",1)="⚠","",MID(INDEX(입력_인턴근무계획!$M$3:$R$402,$A293,$G$3)&amp;"",FIND(" ",INDEX(입력_인턴근무계획!$M$3:$R$402,$A293,$G$3)&amp;"")+1,60))))</f>
        <v/>
      </c>
      <c r="I293" s="26">
        <f>IF(OR($C293="",$I$3=""),"",IF(INDEX(입력_인턴근무계획!$M$3:$R$402,$A293,$I$3)&amp;""="","",IF(LEFT(INDEX(입력_인턴근무계획!$M$3:$R$402,$A293,$I$3)&amp;"",1)="⚠",INDEX(입력_인턴근무계획!$M$3:$R$402,$A293,$I$3)&amp;"",LEFT(INDEX(입력_인턴근무계획!$M$3:$R$402,$A293,$I$3)&amp;"",FIND(" ",INDEX(입력_인턴근무계획!$M$3:$R$402,$A293,$I$3)&amp;"")-1))))</f>
        <v/>
      </c>
      <c r="J293" s="26">
        <f>IF(OR($C293="",$I$3=""),"",IF(INDEX(입력_인턴근무계획!$M$3:$R$402,$A293,$I$3)&amp;""="","",IF(LEFT(INDEX(입력_인턴근무계획!$M$3:$R$402,$A293,$I$3)&amp;"",1)="⚠","",MID(INDEX(입력_인턴근무계획!$M$3:$R$402,$A293,$I$3)&amp;"",FIND(" ",INDEX(입력_인턴근무계획!$M$3:$R$402,$A293,$I$3)&amp;"")+1,60))))</f>
        <v/>
      </c>
      <c r="K293" s="26">
        <f>IF($C293="","",INDEX(입력_인턴근무계획!$M$3:$M$402,$A293)&amp;"")</f>
        <v/>
      </c>
      <c r="L293" s="26">
        <f>IF($C293="","",INDEX(입력_인턴근무계획!$N$3:$N$402,$A293)&amp;"")</f>
        <v/>
      </c>
      <c r="M293" s="26">
        <f>IF($C293="","",INDEX(입력_인턴근무계획!$O$3:$O$402,$A293)&amp;"")</f>
        <v/>
      </c>
      <c r="N293" s="26">
        <f>IF($C293="","",INDEX(입력_인턴근무계획!$P$3:$P$402,$A293)&amp;"")</f>
        <v/>
      </c>
      <c r="O293" s="26">
        <f>IF($C293="","",INDEX(입력_인턴근무계획!$Q$3:$Q$402,$A293)&amp;"")</f>
        <v/>
      </c>
      <c r="P293" s="26">
        <f>IF($C293="","",INDEX(입력_인턴근무계획!$R$3:$R$402,$A293)&amp;"")</f>
        <v/>
      </c>
      <c r="Q293" s="26">
        <f>IF($C293="","",INDEX(입력_인턴근무계획!$T$3:$T$402,$A293))</f>
        <v/>
      </c>
    </row>
    <row r="294">
      <c r="A294" s="29" t="n">
        <v>289</v>
      </c>
      <c r="B294" s="26">
        <f>IF($C294="","",INDEX(입력_인턴근무계획!$B$3:$B$402,$A294))</f>
        <v/>
      </c>
      <c r="C294" s="26">
        <f>IFERROR(TRIM(INDEX(입력_인턴근무계획!$C$3:$C$402,$A294)&amp;""),"")</f>
        <v/>
      </c>
      <c r="D294" s="26">
        <f>IF($C294="","",INDEX(입력_인턴근무계획!$D$3:$D$402,$A294))</f>
        <v/>
      </c>
      <c r="E294" s="26">
        <f>IF($C294="","",IF(IFERROR(MATCH($D294,입력_기본자료!$B$2:$B$1001,0),IFERROR(MATCH($D294&amp;"",입력_기본자료!$B$2:$B$1001,0),IFERROR(MATCH(VALUE($D294),입력_기본자료!$B$2:$B$1001,0),0)))&gt;0,"확인","미등록"))</f>
        <v/>
      </c>
      <c r="F294" s="28">
        <f>IF($C294="","",INDEX(입력_인턴근무계획!$S$3:$S$402,$A294))</f>
        <v/>
      </c>
      <c r="G294" s="26">
        <f>IF(OR($C294="",$G$3=""),"",IF(INDEX(입력_인턴근무계획!$M$3:$R$402,$A294,$G$3)&amp;""="","",IF(LEFT(INDEX(입력_인턴근무계획!$M$3:$R$402,$A294,$G$3)&amp;"",1)="⚠",INDEX(입력_인턴근무계획!$M$3:$R$402,$A294,$G$3)&amp;"",LEFT(INDEX(입력_인턴근무계획!$M$3:$R$402,$A294,$G$3)&amp;"",FIND(" ",INDEX(입력_인턴근무계획!$M$3:$R$402,$A294,$G$3)&amp;"")-1))))</f>
        <v/>
      </c>
      <c r="H294" s="26">
        <f>IF(OR($C294="",$G$3=""),"",IF(INDEX(입력_인턴근무계획!$M$3:$R$402,$A294,$G$3)&amp;""="","",IF(LEFT(INDEX(입력_인턴근무계획!$M$3:$R$402,$A294,$G$3)&amp;"",1)="⚠","",MID(INDEX(입력_인턴근무계획!$M$3:$R$402,$A294,$G$3)&amp;"",FIND(" ",INDEX(입력_인턴근무계획!$M$3:$R$402,$A294,$G$3)&amp;"")+1,60))))</f>
        <v/>
      </c>
      <c r="I294" s="26">
        <f>IF(OR($C294="",$I$3=""),"",IF(INDEX(입력_인턴근무계획!$M$3:$R$402,$A294,$I$3)&amp;""="","",IF(LEFT(INDEX(입력_인턴근무계획!$M$3:$R$402,$A294,$I$3)&amp;"",1)="⚠",INDEX(입력_인턴근무계획!$M$3:$R$402,$A294,$I$3)&amp;"",LEFT(INDEX(입력_인턴근무계획!$M$3:$R$402,$A294,$I$3)&amp;"",FIND(" ",INDEX(입력_인턴근무계획!$M$3:$R$402,$A294,$I$3)&amp;"")-1))))</f>
        <v/>
      </c>
      <c r="J294" s="26">
        <f>IF(OR($C294="",$I$3=""),"",IF(INDEX(입력_인턴근무계획!$M$3:$R$402,$A294,$I$3)&amp;""="","",IF(LEFT(INDEX(입력_인턴근무계획!$M$3:$R$402,$A294,$I$3)&amp;"",1)="⚠","",MID(INDEX(입력_인턴근무계획!$M$3:$R$402,$A294,$I$3)&amp;"",FIND(" ",INDEX(입력_인턴근무계획!$M$3:$R$402,$A294,$I$3)&amp;"")+1,60))))</f>
        <v/>
      </c>
      <c r="K294" s="26">
        <f>IF($C294="","",INDEX(입력_인턴근무계획!$M$3:$M$402,$A294)&amp;"")</f>
        <v/>
      </c>
      <c r="L294" s="26">
        <f>IF($C294="","",INDEX(입력_인턴근무계획!$N$3:$N$402,$A294)&amp;"")</f>
        <v/>
      </c>
      <c r="M294" s="26">
        <f>IF($C294="","",INDEX(입력_인턴근무계획!$O$3:$O$402,$A294)&amp;"")</f>
        <v/>
      </c>
      <c r="N294" s="26">
        <f>IF($C294="","",INDEX(입력_인턴근무계획!$P$3:$P$402,$A294)&amp;"")</f>
        <v/>
      </c>
      <c r="O294" s="26">
        <f>IF($C294="","",INDEX(입력_인턴근무계획!$Q$3:$Q$402,$A294)&amp;"")</f>
        <v/>
      </c>
      <c r="P294" s="26">
        <f>IF($C294="","",INDEX(입력_인턴근무계획!$R$3:$R$402,$A294)&amp;"")</f>
        <v/>
      </c>
      <c r="Q294" s="26">
        <f>IF($C294="","",INDEX(입력_인턴근무계획!$T$3:$T$402,$A294))</f>
        <v/>
      </c>
    </row>
    <row r="295">
      <c r="A295" s="29" t="n">
        <v>290</v>
      </c>
      <c r="B295" s="26">
        <f>IF($C295="","",INDEX(입력_인턴근무계획!$B$3:$B$402,$A295))</f>
        <v/>
      </c>
      <c r="C295" s="26">
        <f>IFERROR(TRIM(INDEX(입력_인턴근무계획!$C$3:$C$402,$A295)&amp;""),"")</f>
        <v/>
      </c>
      <c r="D295" s="26">
        <f>IF($C295="","",INDEX(입력_인턴근무계획!$D$3:$D$402,$A295))</f>
        <v/>
      </c>
      <c r="E295" s="26">
        <f>IF($C295="","",IF(IFERROR(MATCH($D295,입력_기본자료!$B$2:$B$1001,0),IFERROR(MATCH($D295&amp;"",입력_기본자료!$B$2:$B$1001,0),IFERROR(MATCH(VALUE($D295),입력_기본자료!$B$2:$B$1001,0),0)))&gt;0,"확인","미등록"))</f>
        <v/>
      </c>
      <c r="F295" s="28">
        <f>IF($C295="","",INDEX(입력_인턴근무계획!$S$3:$S$402,$A295))</f>
        <v/>
      </c>
      <c r="G295" s="26">
        <f>IF(OR($C295="",$G$3=""),"",IF(INDEX(입력_인턴근무계획!$M$3:$R$402,$A295,$G$3)&amp;""="","",IF(LEFT(INDEX(입력_인턴근무계획!$M$3:$R$402,$A295,$G$3)&amp;"",1)="⚠",INDEX(입력_인턴근무계획!$M$3:$R$402,$A295,$G$3)&amp;"",LEFT(INDEX(입력_인턴근무계획!$M$3:$R$402,$A295,$G$3)&amp;"",FIND(" ",INDEX(입력_인턴근무계획!$M$3:$R$402,$A295,$G$3)&amp;"")-1))))</f>
        <v/>
      </c>
      <c r="H295" s="26">
        <f>IF(OR($C295="",$G$3=""),"",IF(INDEX(입력_인턴근무계획!$M$3:$R$402,$A295,$G$3)&amp;""="","",IF(LEFT(INDEX(입력_인턴근무계획!$M$3:$R$402,$A295,$G$3)&amp;"",1)="⚠","",MID(INDEX(입력_인턴근무계획!$M$3:$R$402,$A295,$G$3)&amp;"",FIND(" ",INDEX(입력_인턴근무계획!$M$3:$R$402,$A295,$G$3)&amp;"")+1,60))))</f>
        <v/>
      </c>
      <c r="I295" s="26">
        <f>IF(OR($C295="",$I$3=""),"",IF(INDEX(입력_인턴근무계획!$M$3:$R$402,$A295,$I$3)&amp;""="","",IF(LEFT(INDEX(입력_인턴근무계획!$M$3:$R$402,$A295,$I$3)&amp;"",1)="⚠",INDEX(입력_인턴근무계획!$M$3:$R$402,$A295,$I$3)&amp;"",LEFT(INDEX(입력_인턴근무계획!$M$3:$R$402,$A295,$I$3)&amp;"",FIND(" ",INDEX(입력_인턴근무계획!$M$3:$R$402,$A295,$I$3)&amp;"")-1))))</f>
        <v/>
      </c>
      <c r="J295" s="26">
        <f>IF(OR($C295="",$I$3=""),"",IF(INDEX(입력_인턴근무계획!$M$3:$R$402,$A295,$I$3)&amp;""="","",IF(LEFT(INDEX(입력_인턴근무계획!$M$3:$R$402,$A295,$I$3)&amp;"",1)="⚠","",MID(INDEX(입력_인턴근무계획!$M$3:$R$402,$A295,$I$3)&amp;"",FIND(" ",INDEX(입력_인턴근무계획!$M$3:$R$402,$A295,$I$3)&amp;"")+1,60))))</f>
        <v/>
      </c>
      <c r="K295" s="26">
        <f>IF($C295="","",INDEX(입력_인턴근무계획!$M$3:$M$402,$A295)&amp;"")</f>
        <v/>
      </c>
      <c r="L295" s="26">
        <f>IF($C295="","",INDEX(입력_인턴근무계획!$N$3:$N$402,$A295)&amp;"")</f>
        <v/>
      </c>
      <c r="M295" s="26">
        <f>IF($C295="","",INDEX(입력_인턴근무계획!$O$3:$O$402,$A295)&amp;"")</f>
        <v/>
      </c>
      <c r="N295" s="26">
        <f>IF($C295="","",INDEX(입력_인턴근무계획!$P$3:$P$402,$A295)&amp;"")</f>
        <v/>
      </c>
      <c r="O295" s="26">
        <f>IF($C295="","",INDEX(입력_인턴근무계획!$Q$3:$Q$402,$A295)&amp;"")</f>
        <v/>
      </c>
      <c r="P295" s="26">
        <f>IF($C295="","",INDEX(입력_인턴근무계획!$R$3:$R$402,$A295)&amp;"")</f>
        <v/>
      </c>
      <c r="Q295" s="26">
        <f>IF($C295="","",INDEX(입력_인턴근무계획!$T$3:$T$402,$A295))</f>
        <v/>
      </c>
    </row>
    <row r="296">
      <c r="A296" s="29" t="n">
        <v>291</v>
      </c>
      <c r="B296" s="26">
        <f>IF($C296="","",INDEX(입력_인턴근무계획!$B$3:$B$402,$A296))</f>
        <v/>
      </c>
      <c r="C296" s="26">
        <f>IFERROR(TRIM(INDEX(입력_인턴근무계획!$C$3:$C$402,$A296)&amp;""),"")</f>
        <v/>
      </c>
      <c r="D296" s="26">
        <f>IF($C296="","",INDEX(입력_인턴근무계획!$D$3:$D$402,$A296))</f>
        <v/>
      </c>
      <c r="E296" s="26">
        <f>IF($C296="","",IF(IFERROR(MATCH($D296,입력_기본자료!$B$2:$B$1001,0),IFERROR(MATCH($D296&amp;"",입력_기본자료!$B$2:$B$1001,0),IFERROR(MATCH(VALUE($D296),입력_기본자료!$B$2:$B$1001,0),0)))&gt;0,"확인","미등록"))</f>
        <v/>
      </c>
      <c r="F296" s="28">
        <f>IF($C296="","",INDEX(입력_인턴근무계획!$S$3:$S$402,$A296))</f>
        <v/>
      </c>
      <c r="G296" s="26">
        <f>IF(OR($C296="",$G$3=""),"",IF(INDEX(입력_인턴근무계획!$M$3:$R$402,$A296,$G$3)&amp;""="","",IF(LEFT(INDEX(입력_인턴근무계획!$M$3:$R$402,$A296,$G$3)&amp;"",1)="⚠",INDEX(입력_인턴근무계획!$M$3:$R$402,$A296,$G$3)&amp;"",LEFT(INDEX(입력_인턴근무계획!$M$3:$R$402,$A296,$G$3)&amp;"",FIND(" ",INDEX(입력_인턴근무계획!$M$3:$R$402,$A296,$G$3)&amp;"")-1))))</f>
        <v/>
      </c>
      <c r="H296" s="26">
        <f>IF(OR($C296="",$G$3=""),"",IF(INDEX(입력_인턴근무계획!$M$3:$R$402,$A296,$G$3)&amp;""="","",IF(LEFT(INDEX(입력_인턴근무계획!$M$3:$R$402,$A296,$G$3)&amp;"",1)="⚠","",MID(INDEX(입력_인턴근무계획!$M$3:$R$402,$A296,$G$3)&amp;"",FIND(" ",INDEX(입력_인턴근무계획!$M$3:$R$402,$A296,$G$3)&amp;"")+1,60))))</f>
        <v/>
      </c>
      <c r="I296" s="26">
        <f>IF(OR($C296="",$I$3=""),"",IF(INDEX(입력_인턴근무계획!$M$3:$R$402,$A296,$I$3)&amp;""="","",IF(LEFT(INDEX(입력_인턴근무계획!$M$3:$R$402,$A296,$I$3)&amp;"",1)="⚠",INDEX(입력_인턴근무계획!$M$3:$R$402,$A296,$I$3)&amp;"",LEFT(INDEX(입력_인턴근무계획!$M$3:$R$402,$A296,$I$3)&amp;"",FIND(" ",INDEX(입력_인턴근무계획!$M$3:$R$402,$A296,$I$3)&amp;"")-1))))</f>
        <v/>
      </c>
      <c r="J296" s="26">
        <f>IF(OR($C296="",$I$3=""),"",IF(INDEX(입력_인턴근무계획!$M$3:$R$402,$A296,$I$3)&amp;""="","",IF(LEFT(INDEX(입력_인턴근무계획!$M$3:$R$402,$A296,$I$3)&amp;"",1)="⚠","",MID(INDEX(입력_인턴근무계획!$M$3:$R$402,$A296,$I$3)&amp;"",FIND(" ",INDEX(입력_인턴근무계획!$M$3:$R$402,$A296,$I$3)&amp;"")+1,60))))</f>
        <v/>
      </c>
      <c r="K296" s="26">
        <f>IF($C296="","",INDEX(입력_인턴근무계획!$M$3:$M$402,$A296)&amp;"")</f>
        <v/>
      </c>
      <c r="L296" s="26">
        <f>IF($C296="","",INDEX(입력_인턴근무계획!$N$3:$N$402,$A296)&amp;"")</f>
        <v/>
      </c>
      <c r="M296" s="26">
        <f>IF($C296="","",INDEX(입력_인턴근무계획!$O$3:$O$402,$A296)&amp;"")</f>
        <v/>
      </c>
      <c r="N296" s="26">
        <f>IF($C296="","",INDEX(입력_인턴근무계획!$P$3:$P$402,$A296)&amp;"")</f>
        <v/>
      </c>
      <c r="O296" s="26">
        <f>IF($C296="","",INDEX(입력_인턴근무계획!$Q$3:$Q$402,$A296)&amp;"")</f>
        <v/>
      </c>
      <c r="P296" s="26">
        <f>IF($C296="","",INDEX(입력_인턴근무계획!$R$3:$R$402,$A296)&amp;"")</f>
        <v/>
      </c>
      <c r="Q296" s="26">
        <f>IF($C296="","",INDEX(입력_인턴근무계획!$T$3:$T$402,$A296))</f>
        <v/>
      </c>
    </row>
    <row r="297">
      <c r="A297" s="29" t="n">
        <v>292</v>
      </c>
      <c r="B297" s="26">
        <f>IF($C297="","",INDEX(입력_인턴근무계획!$B$3:$B$402,$A297))</f>
        <v/>
      </c>
      <c r="C297" s="26">
        <f>IFERROR(TRIM(INDEX(입력_인턴근무계획!$C$3:$C$402,$A297)&amp;""),"")</f>
        <v/>
      </c>
      <c r="D297" s="26">
        <f>IF($C297="","",INDEX(입력_인턴근무계획!$D$3:$D$402,$A297))</f>
        <v/>
      </c>
      <c r="E297" s="26">
        <f>IF($C297="","",IF(IFERROR(MATCH($D297,입력_기본자료!$B$2:$B$1001,0),IFERROR(MATCH($D297&amp;"",입력_기본자료!$B$2:$B$1001,0),IFERROR(MATCH(VALUE($D297),입력_기본자료!$B$2:$B$1001,0),0)))&gt;0,"확인","미등록"))</f>
        <v/>
      </c>
      <c r="F297" s="28">
        <f>IF($C297="","",INDEX(입력_인턴근무계획!$S$3:$S$402,$A297))</f>
        <v/>
      </c>
      <c r="G297" s="26">
        <f>IF(OR($C297="",$G$3=""),"",IF(INDEX(입력_인턴근무계획!$M$3:$R$402,$A297,$G$3)&amp;""="","",IF(LEFT(INDEX(입력_인턴근무계획!$M$3:$R$402,$A297,$G$3)&amp;"",1)="⚠",INDEX(입력_인턴근무계획!$M$3:$R$402,$A297,$G$3)&amp;"",LEFT(INDEX(입력_인턴근무계획!$M$3:$R$402,$A297,$G$3)&amp;"",FIND(" ",INDEX(입력_인턴근무계획!$M$3:$R$402,$A297,$G$3)&amp;"")-1))))</f>
        <v/>
      </c>
      <c r="H297" s="26">
        <f>IF(OR($C297="",$G$3=""),"",IF(INDEX(입력_인턴근무계획!$M$3:$R$402,$A297,$G$3)&amp;""="","",IF(LEFT(INDEX(입력_인턴근무계획!$M$3:$R$402,$A297,$G$3)&amp;"",1)="⚠","",MID(INDEX(입력_인턴근무계획!$M$3:$R$402,$A297,$G$3)&amp;"",FIND(" ",INDEX(입력_인턴근무계획!$M$3:$R$402,$A297,$G$3)&amp;"")+1,60))))</f>
        <v/>
      </c>
      <c r="I297" s="26">
        <f>IF(OR($C297="",$I$3=""),"",IF(INDEX(입력_인턴근무계획!$M$3:$R$402,$A297,$I$3)&amp;""="","",IF(LEFT(INDEX(입력_인턴근무계획!$M$3:$R$402,$A297,$I$3)&amp;"",1)="⚠",INDEX(입력_인턴근무계획!$M$3:$R$402,$A297,$I$3)&amp;"",LEFT(INDEX(입력_인턴근무계획!$M$3:$R$402,$A297,$I$3)&amp;"",FIND(" ",INDEX(입력_인턴근무계획!$M$3:$R$402,$A297,$I$3)&amp;"")-1))))</f>
        <v/>
      </c>
      <c r="J297" s="26">
        <f>IF(OR($C297="",$I$3=""),"",IF(INDEX(입력_인턴근무계획!$M$3:$R$402,$A297,$I$3)&amp;""="","",IF(LEFT(INDEX(입력_인턴근무계획!$M$3:$R$402,$A297,$I$3)&amp;"",1)="⚠","",MID(INDEX(입력_인턴근무계획!$M$3:$R$402,$A297,$I$3)&amp;"",FIND(" ",INDEX(입력_인턴근무계획!$M$3:$R$402,$A297,$I$3)&amp;"")+1,60))))</f>
        <v/>
      </c>
      <c r="K297" s="26">
        <f>IF($C297="","",INDEX(입력_인턴근무계획!$M$3:$M$402,$A297)&amp;"")</f>
        <v/>
      </c>
      <c r="L297" s="26">
        <f>IF($C297="","",INDEX(입력_인턴근무계획!$N$3:$N$402,$A297)&amp;"")</f>
        <v/>
      </c>
      <c r="M297" s="26">
        <f>IF($C297="","",INDEX(입력_인턴근무계획!$O$3:$O$402,$A297)&amp;"")</f>
        <v/>
      </c>
      <c r="N297" s="26">
        <f>IF($C297="","",INDEX(입력_인턴근무계획!$P$3:$P$402,$A297)&amp;"")</f>
        <v/>
      </c>
      <c r="O297" s="26">
        <f>IF($C297="","",INDEX(입력_인턴근무계획!$Q$3:$Q$402,$A297)&amp;"")</f>
        <v/>
      </c>
      <c r="P297" s="26">
        <f>IF($C297="","",INDEX(입력_인턴근무계획!$R$3:$R$402,$A297)&amp;"")</f>
        <v/>
      </c>
      <c r="Q297" s="26">
        <f>IF($C297="","",INDEX(입력_인턴근무계획!$T$3:$T$402,$A297))</f>
        <v/>
      </c>
    </row>
    <row r="298">
      <c r="A298" s="29" t="n">
        <v>293</v>
      </c>
      <c r="B298" s="26">
        <f>IF($C298="","",INDEX(입력_인턴근무계획!$B$3:$B$402,$A298))</f>
        <v/>
      </c>
      <c r="C298" s="26">
        <f>IFERROR(TRIM(INDEX(입력_인턴근무계획!$C$3:$C$402,$A298)&amp;""),"")</f>
        <v/>
      </c>
      <c r="D298" s="26">
        <f>IF($C298="","",INDEX(입력_인턴근무계획!$D$3:$D$402,$A298))</f>
        <v/>
      </c>
      <c r="E298" s="26">
        <f>IF($C298="","",IF(IFERROR(MATCH($D298,입력_기본자료!$B$2:$B$1001,0),IFERROR(MATCH($D298&amp;"",입력_기본자료!$B$2:$B$1001,0),IFERROR(MATCH(VALUE($D298),입력_기본자료!$B$2:$B$1001,0),0)))&gt;0,"확인","미등록"))</f>
        <v/>
      </c>
      <c r="F298" s="28">
        <f>IF($C298="","",INDEX(입력_인턴근무계획!$S$3:$S$402,$A298))</f>
        <v/>
      </c>
      <c r="G298" s="26">
        <f>IF(OR($C298="",$G$3=""),"",IF(INDEX(입력_인턴근무계획!$M$3:$R$402,$A298,$G$3)&amp;""="","",IF(LEFT(INDEX(입력_인턴근무계획!$M$3:$R$402,$A298,$G$3)&amp;"",1)="⚠",INDEX(입력_인턴근무계획!$M$3:$R$402,$A298,$G$3)&amp;"",LEFT(INDEX(입력_인턴근무계획!$M$3:$R$402,$A298,$G$3)&amp;"",FIND(" ",INDEX(입력_인턴근무계획!$M$3:$R$402,$A298,$G$3)&amp;"")-1))))</f>
        <v/>
      </c>
      <c r="H298" s="26">
        <f>IF(OR($C298="",$G$3=""),"",IF(INDEX(입력_인턴근무계획!$M$3:$R$402,$A298,$G$3)&amp;""="","",IF(LEFT(INDEX(입력_인턴근무계획!$M$3:$R$402,$A298,$G$3)&amp;"",1)="⚠","",MID(INDEX(입력_인턴근무계획!$M$3:$R$402,$A298,$G$3)&amp;"",FIND(" ",INDEX(입력_인턴근무계획!$M$3:$R$402,$A298,$G$3)&amp;"")+1,60))))</f>
        <v/>
      </c>
      <c r="I298" s="26">
        <f>IF(OR($C298="",$I$3=""),"",IF(INDEX(입력_인턴근무계획!$M$3:$R$402,$A298,$I$3)&amp;""="","",IF(LEFT(INDEX(입력_인턴근무계획!$M$3:$R$402,$A298,$I$3)&amp;"",1)="⚠",INDEX(입력_인턴근무계획!$M$3:$R$402,$A298,$I$3)&amp;"",LEFT(INDEX(입력_인턴근무계획!$M$3:$R$402,$A298,$I$3)&amp;"",FIND(" ",INDEX(입력_인턴근무계획!$M$3:$R$402,$A298,$I$3)&amp;"")-1))))</f>
        <v/>
      </c>
      <c r="J298" s="26">
        <f>IF(OR($C298="",$I$3=""),"",IF(INDEX(입력_인턴근무계획!$M$3:$R$402,$A298,$I$3)&amp;""="","",IF(LEFT(INDEX(입력_인턴근무계획!$M$3:$R$402,$A298,$I$3)&amp;"",1)="⚠","",MID(INDEX(입력_인턴근무계획!$M$3:$R$402,$A298,$I$3)&amp;"",FIND(" ",INDEX(입력_인턴근무계획!$M$3:$R$402,$A298,$I$3)&amp;"")+1,60))))</f>
        <v/>
      </c>
      <c r="K298" s="26">
        <f>IF($C298="","",INDEX(입력_인턴근무계획!$M$3:$M$402,$A298)&amp;"")</f>
        <v/>
      </c>
      <c r="L298" s="26">
        <f>IF($C298="","",INDEX(입력_인턴근무계획!$N$3:$N$402,$A298)&amp;"")</f>
        <v/>
      </c>
      <c r="M298" s="26">
        <f>IF($C298="","",INDEX(입력_인턴근무계획!$O$3:$O$402,$A298)&amp;"")</f>
        <v/>
      </c>
      <c r="N298" s="26">
        <f>IF($C298="","",INDEX(입력_인턴근무계획!$P$3:$P$402,$A298)&amp;"")</f>
        <v/>
      </c>
      <c r="O298" s="26">
        <f>IF($C298="","",INDEX(입력_인턴근무계획!$Q$3:$Q$402,$A298)&amp;"")</f>
        <v/>
      </c>
      <c r="P298" s="26">
        <f>IF($C298="","",INDEX(입력_인턴근무계획!$R$3:$R$402,$A298)&amp;"")</f>
        <v/>
      </c>
      <c r="Q298" s="26">
        <f>IF($C298="","",INDEX(입력_인턴근무계획!$T$3:$T$402,$A298))</f>
        <v/>
      </c>
    </row>
    <row r="299">
      <c r="A299" s="29" t="n">
        <v>294</v>
      </c>
      <c r="B299" s="26">
        <f>IF($C299="","",INDEX(입력_인턴근무계획!$B$3:$B$402,$A299))</f>
        <v/>
      </c>
      <c r="C299" s="26">
        <f>IFERROR(TRIM(INDEX(입력_인턴근무계획!$C$3:$C$402,$A299)&amp;""),"")</f>
        <v/>
      </c>
      <c r="D299" s="26">
        <f>IF($C299="","",INDEX(입력_인턴근무계획!$D$3:$D$402,$A299))</f>
        <v/>
      </c>
      <c r="E299" s="26">
        <f>IF($C299="","",IF(IFERROR(MATCH($D299,입력_기본자료!$B$2:$B$1001,0),IFERROR(MATCH($D299&amp;"",입력_기본자료!$B$2:$B$1001,0),IFERROR(MATCH(VALUE($D299),입력_기본자료!$B$2:$B$1001,0),0)))&gt;0,"확인","미등록"))</f>
        <v/>
      </c>
      <c r="F299" s="28">
        <f>IF($C299="","",INDEX(입력_인턴근무계획!$S$3:$S$402,$A299))</f>
        <v/>
      </c>
      <c r="G299" s="26">
        <f>IF(OR($C299="",$G$3=""),"",IF(INDEX(입력_인턴근무계획!$M$3:$R$402,$A299,$G$3)&amp;""="","",IF(LEFT(INDEX(입력_인턴근무계획!$M$3:$R$402,$A299,$G$3)&amp;"",1)="⚠",INDEX(입력_인턴근무계획!$M$3:$R$402,$A299,$G$3)&amp;"",LEFT(INDEX(입력_인턴근무계획!$M$3:$R$402,$A299,$G$3)&amp;"",FIND(" ",INDEX(입력_인턴근무계획!$M$3:$R$402,$A299,$G$3)&amp;"")-1))))</f>
        <v/>
      </c>
      <c r="H299" s="26">
        <f>IF(OR($C299="",$G$3=""),"",IF(INDEX(입력_인턴근무계획!$M$3:$R$402,$A299,$G$3)&amp;""="","",IF(LEFT(INDEX(입력_인턴근무계획!$M$3:$R$402,$A299,$G$3)&amp;"",1)="⚠","",MID(INDEX(입력_인턴근무계획!$M$3:$R$402,$A299,$G$3)&amp;"",FIND(" ",INDEX(입력_인턴근무계획!$M$3:$R$402,$A299,$G$3)&amp;"")+1,60))))</f>
        <v/>
      </c>
      <c r="I299" s="26">
        <f>IF(OR($C299="",$I$3=""),"",IF(INDEX(입력_인턴근무계획!$M$3:$R$402,$A299,$I$3)&amp;""="","",IF(LEFT(INDEX(입력_인턴근무계획!$M$3:$R$402,$A299,$I$3)&amp;"",1)="⚠",INDEX(입력_인턴근무계획!$M$3:$R$402,$A299,$I$3)&amp;"",LEFT(INDEX(입력_인턴근무계획!$M$3:$R$402,$A299,$I$3)&amp;"",FIND(" ",INDEX(입력_인턴근무계획!$M$3:$R$402,$A299,$I$3)&amp;"")-1))))</f>
        <v/>
      </c>
      <c r="J299" s="26">
        <f>IF(OR($C299="",$I$3=""),"",IF(INDEX(입력_인턴근무계획!$M$3:$R$402,$A299,$I$3)&amp;""="","",IF(LEFT(INDEX(입력_인턴근무계획!$M$3:$R$402,$A299,$I$3)&amp;"",1)="⚠","",MID(INDEX(입력_인턴근무계획!$M$3:$R$402,$A299,$I$3)&amp;"",FIND(" ",INDEX(입력_인턴근무계획!$M$3:$R$402,$A299,$I$3)&amp;"")+1,60))))</f>
        <v/>
      </c>
      <c r="K299" s="26">
        <f>IF($C299="","",INDEX(입력_인턴근무계획!$M$3:$M$402,$A299)&amp;"")</f>
        <v/>
      </c>
      <c r="L299" s="26">
        <f>IF($C299="","",INDEX(입력_인턴근무계획!$N$3:$N$402,$A299)&amp;"")</f>
        <v/>
      </c>
      <c r="M299" s="26">
        <f>IF($C299="","",INDEX(입력_인턴근무계획!$O$3:$O$402,$A299)&amp;"")</f>
        <v/>
      </c>
      <c r="N299" s="26">
        <f>IF($C299="","",INDEX(입력_인턴근무계획!$P$3:$P$402,$A299)&amp;"")</f>
        <v/>
      </c>
      <c r="O299" s="26">
        <f>IF($C299="","",INDEX(입력_인턴근무계획!$Q$3:$Q$402,$A299)&amp;"")</f>
        <v/>
      </c>
      <c r="P299" s="26">
        <f>IF($C299="","",INDEX(입력_인턴근무계획!$R$3:$R$402,$A299)&amp;"")</f>
        <v/>
      </c>
      <c r="Q299" s="26">
        <f>IF($C299="","",INDEX(입력_인턴근무계획!$T$3:$T$402,$A299))</f>
        <v/>
      </c>
    </row>
    <row r="300">
      <c r="A300" s="29" t="n">
        <v>295</v>
      </c>
      <c r="B300" s="26">
        <f>IF($C300="","",INDEX(입력_인턴근무계획!$B$3:$B$402,$A300))</f>
        <v/>
      </c>
      <c r="C300" s="26">
        <f>IFERROR(TRIM(INDEX(입력_인턴근무계획!$C$3:$C$402,$A300)&amp;""),"")</f>
        <v/>
      </c>
      <c r="D300" s="26">
        <f>IF($C300="","",INDEX(입력_인턴근무계획!$D$3:$D$402,$A300))</f>
        <v/>
      </c>
      <c r="E300" s="26">
        <f>IF($C300="","",IF(IFERROR(MATCH($D300,입력_기본자료!$B$2:$B$1001,0),IFERROR(MATCH($D300&amp;"",입력_기본자료!$B$2:$B$1001,0),IFERROR(MATCH(VALUE($D300),입력_기본자료!$B$2:$B$1001,0),0)))&gt;0,"확인","미등록"))</f>
        <v/>
      </c>
      <c r="F300" s="28">
        <f>IF($C300="","",INDEX(입력_인턴근무계획!$S$3:$S$402,$A300))</f>
        <v/>
      </c>
      <c r="G300" s="26">
        <f>IF(OR($C300="",$G$3=""),"",IF(INDEX(입력_인턴근무계획!$M$3:$R$402,$A300,$G$3)&amp;""="","",IF(LEFT(INDEX(입력_인턴근무계획!$M$3:$R$402,$A300,$G$3)&amp;"",1)="⚠",INDEX(입력_인턴근무계획!$M$3:$R$402,$A300,$G$3)&amp;"",LEFT(INDEX(입력_인턴근무계획!$M$3:$R$402,$A300,$G$3)&amp;"",FIND(" ",INDEX(입력_인턴근무계획!$M$3:$R$402,$A300,$G$3)&amp;"")-1))))</f>
        <v/>
      </c>
      <c r="H300" s="26">
        <f>IF(OR($C300="",$G$3=""),"",IF(INDEX(입력_인턴근무계획!$M$3:$R$402,$A300,$G$3)&amp;""="","",IF(LEFT(INDEX(입력_인턴근무계획!$M$3:$R$402,$A300,$G$3)&amp;"",1)="⚠","",MID(INDEX(입력_인턴근무계획!$M$3:$R$402,$A300,$G$3)&amp;"",FIND(" ",INDEX(입력_인턴근무계획!$M$3:$R$402,$A300,$G$3)&amp;"")+1,60))))</f>
        <v/>
      </c>
      <c r="I300" s="26">
        <f>IF(OR($C300="",$I$3=""),"",IF(INDEX(입력_인턴근무계획!$M$3:$R$402,$A300,$I$3)&amp;""="","",IF(LEFT(INDEX(입력_인턴근무계획!$M$3:$R$402,$A300,$I$3)&amp;"",1)="⚠",INDEX(입력_인턴근무계획!$M$3:$R$402,$A300,$I$3)&amp;"",LEFT(INDEX(입력_인턴근무계획!$M$3:$R$402,$A300,$I$3)&amp;"",FIND(" ",INDEX(입력_인턴근무계획!$M$3:$R$402,$A300,$I$3)&amp;"")-1))))</f>
        <v/>
      </c>
      <c r="J300" s="26">
        <f>IF(OR($C300="",$I$3=""),"",IF(INDEX(입력_인턴근무계획!$M$3:$R$402,$A300,$I$3)&amp;""="","",IF(LEFT(INDEX(입력_인턴근무계획!$M$3:$R$402,$A300,$I$3)&amp;"",1)="⚠","",MID(INDEX(입력_인턴근무계획!$M$3:$R$402,$A300,$I$3)&amp;"",FIND(" ",INDEX(입력_인턴근무계획!$M$3:$R$402,$A300,$I$3)&amp;"")+1,60))))</f>
        <v/>
      </c>
      <c r="K300" s="26">
        <f>IF($C300="","",INDEX(입력_인턴근무계획!$M$3:$M$402,$A300)&amp;"")</f>
        <v/>
      </c>
      <c r="L300" s="26">
        <f>IF($C300="","",INDEX(입력_인턴근무계획!$N$3:$N$402,$A300)&amp;"")</f>
        <v/>
      </c>
      <c r="M300" s="26">
        <f>IF($C300="","",INDEX(입력_인턴근무계획!$O$3:$O$402,$A300)&amp;"")</f>
        <v/>
      </c>
      <c r="N300" s="26">
        <f>IF($C300="","",INDEX(입력_인턴근무계획!$P$3:$P$402,$A300)&amp;"")</f>
        <v/>
      </c>
      <c r="O300" s="26">
        <f>IF($C300="","",INDEX(입력_인턴근무계획!$Q$3:$Q$402,$A300)&amp;"")</f>
        <v/>
      </c>
      <c r="P300" s="26">
        <f>IF($C300="","",INDEX(입력_인턴근무계획!$R$3:$R$402,$A300)&amp;"")</f>
        <v/>
      </c>
      <c r="Q300" s="26">
        <f>IF($C300="","",INDEX(입력_인턴근무계획!$T$3:$T$402,$A300))</f>
        <v/>
      </c>
    </row>
    <row r="301">
      <c r="A301" s="29" t="n">
        <v>296</v>
      </c>
      <c r="B301" s="26">
        <f>IF($C301="","",INDEX(입력_인턴근무계획!$B$3:$B$402,$A301))</f>
        <v/>
      </c>
      <c r="C301" s="26">
        <f>IFERROR(TRIM(INDEX(입력_인턴근무계획!$C$3:$C$402,$A301)&amp;""),"")</f>
        <v/>
      </c>
      <c r="D301" s="26">
        <f>IF($C301="","",INDEX(입력_인턴근무계획!$D$3:$D$402,$A301))</f>
        <v/>
      </c>
      <c r="E301" s="26">
        <f>IF($C301="","",IF(IFERROR(MATCH($D301,입력_기본자료!$B$2:$B$1001,0),IFERROR(MATCH($D301&amp;"",입력_기본자료!$B$2:$B$1001,0),IFERROR(MATCH(VALUE($D301),입력_기본자료!$B$2:$B$1001,0),0)))&gt;0,"확인","미등록"))</f>
        <v/>
      </c>
      <c r="F301" s="28">
        <f>IF($C301="","",INDEX(입력_인턴근무계획!$S$3:$S$402,$A301))</f>
        <v/>
      </c>
      <c r="G301" s="26">
        <f>IF(OR($C301="",$G$3=""),"",IF(INDEX(입력_인턴근무계획!$M$3:$R$402,$A301,$G$3)&amp;""="","",IF(LEFT(INDEX(입력_인턴근무계획!$M$3:$R$402,$A301,$G$3)&amp;"",1)="⚠",INDEX(입력_인턴근무계획!$M$3:$R$402,$A301,$G$3)&amp;"",LEFT(INDEX(입력_인턴근무계획!$M$3:$R$402,$A301,$G$3)&amp;"",FIND(" ",INDEX(입력_인턴근무계획!$M$3:$R$402,$A301,$G$3)&amp;"")-1))))</f>
        <v/>
      </c>
      <c r="H301" s="26">
        <f>IF(OR($C301="",$G$3=""),"",IF(INDEX(입력_인턴근무계획!$M$3:$R$402,$A301,$G$3)&amp;""="","",IF(LEFT(INDEX(입력_인턴근무계획!$M$3:$R$402,$A301,$G$3)&amp;"",1)="⚠","",MID(INDEX(입력_인턴근무계획!$M$3:$R$402,$A301,$G$3)&amp;"",FIND(" ",INDEX(입력_인턴근무계획!$M$3:$R$402,$A301,$G$3)&amp;"")+1,60))))</f>
        <v/>
      </c>
      <c r="I301" s="26">
        <f>IF(OR($C301="",$I$3=""),"",IF(INDEX(입력_인턴근무계획!$M$3:$R$402,$A301,$I$3)&amp;""="","",IF(LEFT(INDEX(입력_인턴근무계획!$M$3:$R$402,$A301,$I$3)&amp;"",1)="⚠",INDEX(입력_인턴근무계획!$M$3:$R$402,$A301,$I$3)&amp;"",LEFT(INDEX(입력_인턴근무계획!$M$3:$R$402,$A301,$I$3)&amp;"",FIND(" ",INDEX(입력_인턴근무계획!$M$3:$R$402,$A301,$I$3)&amp;"")-1))))</f>
        <v/>
      </c>
      <c r="J301" s="26">
        <f>IF(OR($C301="",$I$3=""),"",IF(INDEX(입력_인턴근무계획!$M$3:$R$402,$A301,$I$3)&amp;""="","",IF(LEFT(INDEX(입력_인턴근무계획!$M$3:$R$402,$A301,$I$3)&amp;"",1)="⚠","",MID(INDEX(입력_인턴근무계획!$M$3:$R$402,$A301,$I$3)&amp;"",FIND(" ",INDEX(입력_인턴근무계획!$M$3:$R$402,$A301,$I$3)&amp;"")+1,60))))</f>
        <v/>
      </c>
      <c r="K301" s="26">
        <f>IF($C301="","",INDEX(입력_인턴근무계획!$M$3:$M$402,$A301)&amp;"")</f>
        <v/>
      </c>
      <c r="L301" s="26">
        <f>IF($C301="","",INDEX(입력_인턴근무계획!$N$3:$N$402,$A301)&amp;"")</f>
        <v/>
      </c>
      <c r="M301" s="26">
        <f>IF($C301="","",INDEX(입력_인턴근무계획!$O$3:$O$402,$A301)&amp;"")</f>
        <v/>
      </c>
      <c r="N301" s="26">
        <f>IF($C301="","",INDEX(입력_인턴근무계획!$P$3:$P$402,$A301)&amp;"")</f>
        <v/>
      </c>
      <c r="O301" s="26">
        <f>IF($C301="","",INDEX(입력_인턴근무계획!$Q$3:$Q$402,$A301)&amp;"")</f>
        <v/>
      </c>
      <c r="P301" s="26">
        <f>IF($C301="","",INDEX(입력_인턴근무계획!$R$3:$R$402,$A301)&amp;"")</f>
        <v/>
      </c>
      <c r="Q301" s="26">
        <f>IF($C301="","",INDEX(입력_인턴근무계획!$T$3:$T$402,$A301))</f>
        <v/>
      </c>
    </row>
    <row r="302">
      <c r="A302" s="29" t="n">
        <v>297</v>
      </c>
      <c r="B302" s="26">
        <f>IF($C302="","",INDEX(입력_인턴근무계획!$B$3:$B$402,$A302))</f>
        <v/>
      </c>
      <c r="C302" s="26">
        <f>IFERROR(TRIM(INDEX(입력_인턴근무계획!$C$3:$C$402,$A302)&amp;""),"")</f>
        <v/>
      </c>
      <c r="D302" s="26">
        <f>IF($C302="","",INDEX(입력_인턴근무계획!$D$3:$D$402,$A302))</f>
        <v/>
      </c>
      <c r="E302" s="26">
        <f>IF($C302="","",IF(IFERROR(MATCH($D302,입력_기본자료!$B$2:$B$1001,0),IFERROR(MATCH($D302&amp;"",입력_기본자료!$B$2:$B$1001,0),IFERROR(MATCH(VALUE($D302),입력_기본자료!$B$2:$B$1001,0),0)))&gt;0,"확인","미등록"))</f>
        <v/>
      </c>
      <c r="F302" s="28">
        <f>IF($C302="","",INDEX(입력_인턴근무계획!$S$3:$S$402,$A302))</f>
        <v/>
      </c>
      <c r="G302" s="26">
        <f>IF(OR($C302="",$G$3=""),"",IF(INDEX(입력_인턴근무계획!$M$3:$R$402,$A302,$G$3)&amp;""="","",IF(LEFT(INDEX(입력_인턴근무계획!$M$3:$R$402,$A302,$G$3)&amp;"",1)="⚠",INDEX(입력_인턴근무계획!$M$3:$R$402,$A302,$G$3)&amp;"",LEFT(INDEX(입력_인턴근무계획!$M$3:$R$402,$A302,$G$3)&amp;"",FIND(" ",INDEX(입력_인턴근무계획!$M$3:$R$402,$A302,$G$3)&amp;"")-1))))</f>
        <v/>
      </c>
      <c r="H302" s="26">
        <f>IF(OR($C302="",$G$3=""),"",IF(INDEX(입력_인턴근무계획!$M$3:$R$402,$A302,$G$3)&amp;""="","",IF(LEFT(INDEX(입력_인턴근무계획!$M$3:$R$402,$A302,$G$3)&amp;"",1)="⚠","",MID(INDEX(입력_인턴근무계획!$M$3:$R$402,$A302,$G$3)&amp;"",FIND(" ",INDEX(입력_인턴근무계획!$M$3:$R$402,$A302,$G$3)&amp;"")+1,60))))</f>
        <v/>
      </c>
      <c r="I302" s="26">
        <f>IF(OR($C302="",$I$3=""),"",IF(INDEX(입력_인턴근무계획!$M$3:$R$402,$A302,$I$3)&amp;""="","",IF(LEFT(INDEX(입력_인턴근무계획!$M$3:$R$402,$A302,$I$3)&amp;"",1)="⚠",INDEX(입력_인턴근무계획!$M$3:$R$402,$A302,$I$3)&amp;"",LEFT(INDEX(입력_인턴근무계획!$M$3:$R$402,$A302,$I$3)&amp;"",FIND(" ",INDEX(입력_인턴근무계획!$M$3:$R$402,$A302,$I$3)&amp;"")-1))))</f>
        <v/>
      </c>
      <c r="J302" s="26">
        <f>IF(OR($C302="",$I$3=""),"",IF(INDEX(입력_인턴근무계획!$M$3:$R$402,$A302,$I$3)&amp;""="","",IF(LEFT(INDEX(입력_인턴근무계획!$M$3:$R$402,$A302,$I$3)&amp;"",1)="⚠","",MID(INDEX(입력_인턴근무계획!$M$3:$R$402,$A302,$I$3)&amp;"",FIND(" ",INDEX(입력_인턴근무계획!$M$3:$R$402,$A302,$I$3)&amp;"")+1,60))))</f>
        <v/>
      </c>
      <c r="K302" s="26">
        <f>IF($C302="","",INDEX(입력_인턴근무계획!$M$3:$M$402,$A302)&amp;"")</f>
        <v/>
      </c>
      <c r="L302" s="26">
        <f>IF($C302="","",INDEX(입력_인턴근무계획!$N$3:$N$402,$A302)&amp;"")</f>
        <v/>
      </c>
      <c r="M302" s="26">
        <f>IF($C302="","",INDEX(입력_인턴근무계획!$O$3:$O$402,$A302)&amp;"")</f>
        <v/>
      </c>
      <c r="N302" s="26">
        <f>IF($C302="","",INDEX(입력_인턴근무계획!$P$3:$P$402,$A302)&amp;"")</f>
        <v/>
      </c>
      <c r="O302" s="26">
        <f>IF($C302="","",INDEX(입력_인턴근무계획!$Q$3:$Q$402,$A302)&amp;"")</f>
        <v/>
      </c>
      <c r="P302" s="26">
        <f>IF($C302="","",INDEX(입력_인턴근무계획!$R$3:$R$402,$A302)&amp;"")</f>
        <v/>
      </c>
      <c r="Q302" s="26">
        <f>IF($C302="","",INDEX(입력_인턴근무계획!$T$3:$T$402,$A302))</f>
        <v/>
      </c>
    </row>
    <row r="303">
      <c r="A303" s="29" t="n">
        <v>298</v>
      </c>
      <c r="B303" s="26">
        <f>IF($C303="","",INDEX(입력_인턴근무계획!$B$3:$B$402,$A303))</f>
        <v/>
      </c>
      <c r="C303" s="26">
        <f>IFERROR(TRIM(INDEX(입력_인턴근무계획!$C$3:$C$402,$A303)&amp;""),"")</f>
        <v/>
      </c>
      <c r="D303" s="26">
        <f>IF($C303="","",INDEX(입력_인턴근무계획!$D$3:$D$402,$A303))</f>
        <v/>
      </c>
      <c r="E303" s="26">
        <f>IF($C303="","",IF(IFERROR(MATCH($D303,입력_기본자료!$B$2:$B$1001,0),IFERROR(MATCH($D303&amp;"",입력_기본자료!$B$2:$B$1001,0),IFERROR(MATCH(VALUE($D303),입력_기본자료!$B$2:$B$1001,0),0)))&gt;0,"확인","미등록"))</f>
        <v/>
      </c>
      <c r="F303" s="28">
        <f>IF($C303="","",INDEX(입력_인턴근무계획!$S$3:$S$402,$A303))</f>
        <v/>
      </c>
      <c r="G303" s="26">
        <f>IF(OR($C303="",$G$3=""),"",IF(INDEX(입력_인턴근무계획!$M$3:$R$402,$A303,$G$3)&amp;""="","",IF(LEFT(INDEX(입력_인턴근무계획!$M$3:$R$402,$A303,$G$3)&amp;"",1)="⚠",INDEX(입력_인턴근무계획!$M$3:$R$402,$A303,$G$3)&amp;"",LEFT(INDEX(입력_인턴근무계획!$M$3:$R$402,$A303,$G$3)&amp;"",FIND(" ",INDEX(입력_인턴근무계획!$M$3:$R$402,$A303,$G$3)&amp;"")-1))))</f>
        <v/>
      </c>
      <c r="H303" s="26">
        <f>IF(OR($C303="",$G$3=""),"",IF(INDEX(입력_인턴근무계획!$M$3:$R$402,$A303,$G$3)&amp;""="","",IF(LEFT(INDEX(입력_인턴근무계획!$M$3:$R$402,$A303,$G$3)&amp;"",1)="⚠","",MID(INDEX(입력_인턴근무계획!$M$3:$R$402,$A303,$G$3)&amp;"",FIND(" ",INDEX(입력_인턴근무계획!$M$3:$R$402,$A303,$G$3)&amp;"")+1,60))))</f>
        <v/>
      </c>
      <c r="I303" s="26">
        <f>IF(OR($C303="",$I$3=""),"",IF(INDEX(입력_인턴근무계획!$M$3:$R$402,$A303,$I$3)&amp;""="","",IF(LEFT(INDEX(입력_인턴근무계획!$M$3:$R$402,$A303,$I$3)&amp;"",1)="⚠",INDEX(입력_인턴근무계획!$M$3:$R$402,$A303,$I$3)&amp;"",LEFT(INDEX(입력_인턴근무계획!$M$3:$R$402,$A303,$I$3)&amp;"",FIND(" ",INDEX(입력_인턴근무계획!$M$3:$R$402,$A303,$I$3)&amp;"")-1))))</f>
        <v/>
      </c>
      <c r="J303" s="26">
        <f>IF(OR($C303="",$I$3=""),"",IF(INDEX(입력_인턴근무계획!$M$3:$R$402,$A303,$I$3)&amp;""="","",IF(LEFT(INDEX(입력_인턴근무계획!$M$3:$R$402,$A303,$I$3)&amp;"",1)="⚠","",MID(INDEX(입력_인턴근무계획!$M$3:$R$402,$A303,$I$3)&amp;"",FIND(" ",INDEX(입력_인턴근무계획!$M$3:$R$402,$A303,$I$3)&amp;"")+1,60))))</f>
        <v/>
      </c>
      <c r="K303" s="26">
        <f>IF($C303="","",INDEX(입력_인턴근무계획!$M$3:$M$402,$A303)&amp;"")</f>
        <v/>
      </c>
      <c r="L303" s="26">
        <f>IF($C303="","",INDEX(입력_인턴근무계획!$N$3:$N$402,$A303)&amp;"")</f>
        <v/>
      </c>
      <c r="M303" s="26">
        <f>IF($C303="","",INDEX(입력_인턴근무계획!$O$3:$O$402,$A303)&amp;"")</f>
        <v/>
      </c>
      <c r="N303" s="26">
        <f>IF($C303="","",INDEX(입력_인턴근무계획!$P$3:$P$402,$A303)&amp;"")</f>
        <v/>
      </c>
      <c r="O303" s="26">
        <f>IF($C303="","",INDEX(입력_인턴근무계획!$Q$3:$Q$402,$A303)&amp;"")</f>
        <v/>
      </c>
      <c r="P303" s="26">
        <f>IF($C303="","",INDEX(입력_인턴근무계획!$R$3:$R$402,$A303)&amp;"")</f>
        <v/>
      </c>
      <c r="Q303" s="26">
        <f>IF($C303="","",INDEX(입력_인턴근무계획!$T$3:$T$402,$A303))</f>
        <v/>
      </c>
    </row>
    <row r="304">
      <c r="A304" s="29" t="n">
        <v>299</v>
      </c>
      <c r="B304" s="26">
        <f>IF($C304="","",INDEX(입력_인턴근무계획!$B$3:$B$402,$A304))</f>
        <v/>
      </c>
      <c r="C304" s="26">
        <f>IFERROR(TRIM(INDEX(입력_인턴근무계획!$C$3:$C$402,$A304)&amp;""),"")</f>
        <v/>
      </c>
      <c r="D304" s="26">
        <f>IF($C304="","",INDEX(입력_인턴근무계획!$D$3:$D$402,$A304))</f>
        <v/>
      </c>
      <c r="E304" s="26">
        <f>IF($C304="","",IF(IFERROR(MATCH($D304,입력_기본자료!$B$2:$B$1001,0),IFERROR(MATCH($D304&amp;"",입력_기본자료!$B$2:$B$1001,0),IFERROR(MATCH(VALUE($D304),입력_기본자료!$B$2:$B$1001,0),0)))&gt;0,"확인","미등록"))</f>
        <v/>
      </c>
      <c r="F304" s="28">
        <f>IF($C304="","",INDEX(입력_인턴근무계획!$S$3:$S$402,$A304))</f>
        <v/>
      </c>
      <c r="G304" s="26">
        <f>IF(OR($C304="",$G$3=""),"",IF(INDEX(입력_인턴근무계획!$M$3:$R$402,$A304,$G$3)&amp;""="","",IF(LEFT(INDEX(입력_인턴근무계획!$M$3:$R$402,$A304,$G$3)&amp;"",1)="⚠",INDEX(입력_인턴근무계획!$M$3:$R$402,$A304,$G$3)&amp;"",LEFT(INDEX(입력_인턴근무계획!$M$3:$R$402,$A304,$G$3)&amp;"",FIND(" ",INDEX(입력_인턴근무계획!$M$3:$R$402,$A304,$G$3)&amp;"")-1))))</f>
        <v/>
      </c>
      <c r="H304" s="26">
        <f>IF(OR($C304="",$G$3=""),"",IF(INDEX(입력_인턴근무계획!$M$3:$R$402,$A304,$G$3)&amp;""="","",IF(LEFT(INDEX(입력_인턴근무계획!$M$3:$R$402,$A304,$G$3)&amp;"",1)="⚠","",MID(INDEX(입력_인턴근무계획!$M$3:$R$402,$A304,$G$3)&amp;"",FIND(" ",INDEX(입력_인턴근무계획!$M$3:$R$402,$A304,$G$3)&amp;"")+1,60))))</f>
        <v/>
      </c>
      <c r="I304" s="26">
        <f>IF(OR($C304="",$I$3=""),"",IF(INDEX(입력_인턴근무계획!$M$3:$R$402,$A304,$I$3)&amp;""="","",IF(LEFT(INDEX(입력_인턴근무계획!$M$3:$R$402,$A304,$I$3)&amp;"",1)="⚠",INDEX(입력_인턴근무계획!$M$3:$R$402,$A304,$I$3)&amp;"",LEFT(INDEX(입력_인턴근무계획!$M$3:$R$402,$A304,$I$3)&amp;"",FIND(" ",INDEX(입력_인턴근무계획!$M$3:$R$402,$A304,$I$3)&amp;"")-1))))</f>
        <v/>
      </c>
      <c r="J304" s="26">
        <f>IF(OR($C304="",$I$3=""),"",IF(INDEX(입력_인턴근무계획!$M$3:$R$402,$A304,$I$3)&amp;""="","",IF(LEFT(INDEX(입력_인턴근무계획!$M$3:$R$402,$A304,$I$3)&amp;"",1)="⚠","",MID(INDEX(입력_인턴근무계획!$M$3:$R$402,$A304,$I$3)&amp;"",FIND(" ",INDEX(입력_인턴근무계획!$M$3:$R$402,$A304,$I$3)&amp;"")+1,60))))</f>
        <v/>
      </c>
      <c r="K304" s="26">
        <f>IF($C304="","",INDEX(입력_인턴근무계획!$M$3:$M$402,$A304)&amp;"")</f>
        <v/>
      </c>
      <c r="L304" s="26">
        <f>IF($C304="","",INDEX(입력_인턴근무계획!$N$3:$N$402,$A304)&amp;"")</f>
        <v/>
      </c>
      <c r="M304" s="26">
        <f>IF($C304="","",INDEX(입력_인턴근무계획!$O$3:$O$402,$A304)&amp;"")</f>
        <v/>
      </c>
      <c r="N304" s="26">
        <f>IF($C304="","",INDEX(입력_인턴근무계획!$P$3:$P$402,$A304)&amp;"")</f>
        <v/>
      </c>
      <c r="O304" s="26">
        <f>IF($C304="","",INDEX(입력_인턴근무계획!$Q$3:$Q$402,$A304)&amp;"")</f>
        <v/>
      </c>
      <c r="P304" s="26">
        <f>IF($C304="","",INDEX(입력_인턴근무계획!$R$3:$R$402,$A304)&amp;"")</f>
        <v/>
      </c>
      <c r="Q304" s="26">
        <f>IF($C304="","",INDEX(입력_인턴근무계획!$T$3:$T$402,$A304))</f>
        <v/>
      </c>
    </row>
    <row r="305">
      <c r="A305" s="29" t="n">
        <v>300</v>
      </c>
      <c r="B305" s="26">
        <f>IF($C305="","",INDEX(입력_인턴근무계획!$B$3:$B$402,$A305))</f>
        <v/>
      </c>
      <c r="C305" s="26">
        <f>IFERROR(TRIM(INDEX(입력_인턴근무계획!$C$3:$C$402,$A305)&amp;""),"")</f>
        <v/>
      </c>
      <c r="D305" s="26">
        <f>IF($C305="","",INDEX(입력_인턴근무계획!$D$3:$D$402,$A305))</f>
        <v/>
      </c>
      <c r="E305" s="26">
        <f>IF($C305="","",IF(IFERROR(MATCH($D305,입력_기본자료!$B$2:$B$1001,0),IFERROR(MATCH($D305&amp;"",입력_기본자료!$B$2:$B$1001,0),IFERROR(MATCH(VALUE($D305),입력_기본자료!$B$2:$B$1001,0),0)))&gt;0,"확인","미등록"))</f>
        <v/>
      </c>
      <c r="F305" s="28">
        <f>IF($C305="","",INDEX(입력_인턴근무계획!$S$3:$S$402,$A305))</f>
        <v/>
      </c>
      <c r="G305" s="26">
        <f>IF(OR($C305="",$G$3=""),"",IF(INDEX(입력_인턴근무계획!$M$3:$R$402,$A305,$G$3)&amp;""="","",IF(LEFT(INDEX(입력_인턴근무계획!$M$3:$R$402,$A305,$G$3)&amp;"",1)="⚠",INDEX(입력_인턴근무계획!$M$3:$R$402,$A305,$G$3)&amp;"",LEFT(INDEX(입력_인턴근무계획!$M$3:$R$402,$A305,$G$3)&amp;"",FIND(" ",INDEX(입력_인턴근무계획!$M$3:$R$402,$A305,$G$3)&amp;"")-1))))</f>
        <v/>
      </c>
      <c r="H305" s="26">
        <f>IF(OR($C305="",$G$3=""),"",IF(INDEX(입력_인턴근무계획!$M$3:$R$402,$A305,$G$3)&amp;""="","",IF(LEFT(INDEX(입력_인턴근무계획!$M$3:$R$402,$A305,$G$3)&amp;"",1)="⚠","",MID(INDEX(입력_인턴근무계획!$M$3:$R$402,$A305,$G$3)&amp;"",FIND(" ",INDEX(입력_인턴근무계획!$M$3:$R$402,$A305,$G$3)&amp;"")+1,60))))</f>
        <v/>
      </c>
      <c r="I305" s="26">
        <f>IF(OR($C305="",$I$3=""),"",IF(INDEX(입력_인턴근무계획!$M$3:$R$402,$A305,$I$3)&amp;""="","",IF(LEFT(INDEX(입력_인턴근무계획!$M$3:$R$402,$A305,$I$3)&amp;"",1)="⚠",INDEX(입력_인턴근무계획!$M$3:$R$402,$A305,$I$3)&amp;"",LEFT(INDEX(입력_인턴근무계획!$M$3:$R$402,$A305,$I$3)&amp;"",FIND(" ",INDEX(입력_인턴근무계획!$M$3:$R$402,$A305,$I$3)&amp;"")-1))))</f>
        <v/>
      </c>
      <c r="J305" s="26">
        <f>IF(OR($C305="",$I$3=""),"",IF(INDEX(입력_인턴근무계획!$M$3:$R$402,$A305,$I$3)&amp;""="","",IF(LEFT(INDEX(입력_인턴근무계획!$M$3:$R$402,$A305,$I$3)&amp;"",1)="⚠","",MID(INDEX(입력_인턴근무계획!$M$3:$R$402,$A305,$I$3)&amp;"",FIND(" ",INDEX(입력_인턴근무계획!$M$3:$R$402,$A305,$I$3)&amp;"")+1,60))))</f>
        <v/>
      </c>
      <c r="K305" s="26">
        <f>IF($C305="","",INDEX(입력_인턴근무계획!$M$3:$M$402,$A305)&amp;"")</f>
        <v/>
      </c>
      <c r="L305" s="26">
        <f>IF($C305="","",INDEX(입력_인턴근무계획!$N$3:$N$402,$A305)&amp;"")</f>
        <v/>
      </c>
      <c r="M305" s="26">
        <f>IF($C305="","",INDEX(입력_인턴근무계획!$O$3:$O$402,$A305)&amp;"")</f>
        <v/>
      </c>
      <c r="N305" s="26">
        <f>IF($C305="","",INDEX(입력_인턴근무계획!$P$3:$P$402,$A305)&amp;"")</f>
        <v/>
      </c>
      <c r="O305" s="26">
        <f>IF($C305="","",INDEX(입력_인턴근무계획!$Q$3:$Q$402,$A305)&amp;"")</f>
        <v/>
      </c>
      <c r="P305" s="26">
        <f>IF($C305="","",INDEX(입력_인턴근무계획!$R$3:$R$402,$A305)&amp;"")</f>
        <v/>
      </c>
      <c r="Q305" s="26">
        <f>IF($C305="","",INDEX(입력_인턴근무계획!$T$3:$T$402,$A305))</f>
        <v/>
      </c>
    </row>
    <row r="306">
      <c r="A306" s="29" t="n">
        <v>301</v>
      </c>
      <c r="B306" s="26">
        <f>IF($C306="","",INDEX(입력_인턴근무계획!$B$3:$B$402,$A306))</f>
        <v/>
      </c>
      <c r="C306" s="26">
        <f>IFERROR(TRIM(INDEX(입력_인턴근무계획!$C$3:$C$402,$A306)&amp;""),"")</f>
        <v/>
      </c>
      <c r="D306" s="26">
        <f>IF($C306="","",INDEX(입력_인턴근무계획!$D$3:$D$402,$A306))</f>
        <v/>
      </c>
      <c r="E306" s="26">
        <f>IF($C306="","",IF(IFERROR(MATCH($D306,입력_기본자료!$B$2:$B$1001,0),IFERROR(MATCH($D306&amp;"",입력_기본자료!$B$2:$B$1001,0),IFERROR(MATCH(VALUE($D306),입력_기본자료!$B$2:$B$1001,0),0)))&gt;0,"확인","미등록"))</f>
        <v/>
      </c>
      <c r="F306" s="28">
        <f>IF($C306="","",INDEX(입력_인턴근무계획!$S$3:$S$402,$A306))</f>
        <v/>
      </c>
      <c r="G306" s="26">
        <f>IF(OR($C306="",$G$3=""),"",IF(INDEX(입력_인턴근무계획!$M$3:$R$402,$A306,$G$3)&amp;""="","",IF(LEFT(INDEX(입력_인턴근무계획!$M$3:$R$402,$A306,$G$3)&amp;"",1)="⚠",INDEX(입력_인턴근무계획!$M$3:$R$402,$A306,$G$3)&amp;"",LEFT(INDEX(입력_인턴근무계획!$M$3:$R$402,$A306,$G$3)&amp;"",FIND(" ",INDEX(입력_인턴근무계획!$M$3:$R$402,$A306,$G$3)&amp;"")-1))))</f>
        <v/>
      </c>
      <c r="H306" s="26">
        <f>IF(OR($C306="",$G$3=""),"",IF(INDEX(입력_인턴근무계획!$M$3:$R$402,$A306,$G$3)&amp;""="","",IF(LEFT(INDEX(입력_인턴근무계획!$M$3:$R$402,$A306,$G$3)&amp;"",1)="⚠","",MID(INDEX(입력_인턴근무계획!$M$3:$R$402,$A306,$G$3)&amp;"",FIND(" ",INDEX(입력_인턴근무계획!$M$3:$R$402,$A306,$G$3)&amp;"")+1,60))))</f>
        <v/>
      </c>
      <c r="I306" s="26">
        <f>IF(OR($C306="",$I$3=""),"",IF(INDEX(입력_인턴근무계획!$M$3:$R$402,$A306,$I$3)&amp;""="","",IF(LEFT(INDEX(입력_인턴근무계획!$M$3:$R$402,$A306,$I$3)&amp;"",1)="⚠",INDEX(입력_인턴근무계획!$M$3:$R$402,$A306,$I$3)&amp;"",LEFT(INDEX(입력_인턴근무계획!$M$3:$R$402,$A306,$I$3)&amp;"",FIND(" ",INDEX(입력_인턴근무계획!$M$3:$R$402,$A306,$I$3)&amp;"")-1))))</f>
        <v/>
      </c>
      <c r="J306" s="26">
        <f>IF(OR($C306="",$I$3=""),"",IF(INDEX(입력_인턴근무계획!$M$3:$R$402,$A306,$I$3)&amp;""="","",IF(LEFT(INDEX(입력_인턴근무계획!$M$3:$R$402,$A306,$I$3)&amp;"",1)="⚠","",MID(INDEX(입력_인턴근무계획!$M$3:$R$402,$A306,$I$3)&amp;"",FIND(" ",INDEX(입력_인턴근무계획!$M$3:$R$402,$A306,$I$3)&amp;"")+1,60))))</f>
        <v/>
      </c>
      <c r="K306" s="26">
        <f>IF($C306="","",INDEX(입력_인턴근무계획!$M$3:$M$402,$A306)&amp;"")</f>
        <v/>
      </c>
      <c r="L306" s="26">
        <f>IF($C306="","",INDEX(입력_인턴근무계획!$N$3:$N$402,$A306)&amp;"")</f>
        <v/>
      </c>
      <c r="M306" s="26">
        <f>IF($C306="","",INDEX(입력_인턴근무계획!$O$3:$O$402,$A306)&amp;"")</f>
        <v/>
      </c>
      <c r="N306" s="26">
        <f>IF($C306="","",INDEX(입력_인턴근무계획!$P$3:$P$402,$A306)&amp;"")</f>
        <v/>
      </c>
      <c r="O306" s="26">
        <f>IF($C306="","",INDEX(입력_인턴근무계획!$Q$3:$Q$402,$A306)&amp;"")</f>
        <v/>
      </c>
      <c r="P306" s="26">
        <f>IF($C306="","",INDEX(입력_인턴근무계획!$R$3:$R$402,$A306)&amp;"")</f>
        <v/>
      </c>
      <c r="Q306" s="26">
        <f>IF($C306="","",INDEX(입력_인턴근무계획!$T$3:$T$402,$A306))</f>
        <v/>
      </c>
    </row>
    <row r="307">
      <c r="A307" s="29" t="n">
        <v>302</v>
      </c>
      <c r="B307" s="26">
        <f>IF($C307="","",INDEX(입력_인턴근무계획!$B$3:$B$402,$A307))</f>
        <v/>
      </c>
      <c r="C307" s="26">
        <f>IFERROR(TRIM(INDEX(입력_인턴근무계획!$C$3:$C$402,$A307)&amp;""),"")</f>
        <v/>
      </c>
      <c r="D307" s="26">
        <f>IF($C307="","",INDEX(입력_인턴근무계획!$D$3:$D$402,$A307))</f>
        <v/>
      </c>
      <c r="E307" s="26">
        <f>IF($C307="","",IF(IFERROR(MATCH($D307,입력_기본자료!$B$2:$B$1001,0),IFERROR(MATCH($D307&amp;"",입력_기본자료!$B$2:$B$1001,0),IFERROR(MATCH(VALUE($D307),입력_기본자료!$B$2:$B$1001,0),0)))&gt;0,"확인","미등록"))</f>
        <v/>
      </c>
      <c r="F307" s="28">
        <f>IF($C307="","",INDEX(입력_인턴근무계획!$S$3:$S$402,$A307))</f>
        <v/>
      </c>
      <c r="G307" s="26">
        <f>IF(OR($C307="",$G$3=""),"",IF(INDEX(입력_인턴근무계획!$M$3:$R$402,$A307,$G$3)&amp;""="","",IF(LEFT(INDEX(입력_인턴근무계획!$M$3:$R$402,$A307,$G$3)&amp;"",1)="⚠",INDEX(입력_인턴근무계획!$M$3:$R$402,$A307,$G$3)&amp;"",LEFT(INDEX(입력_인턴근무계획!$M$3:$R$402,$A307,$G$3)&amp;"",FIND(" ",INDEX(입력_인턴근무계획!$M$3:$R$402,$A307,$G$3)&amp;"")-1))))</f>
        <v/>
      </c>
      <c r="H307" s="26">
        <f>IF(OR($C307="",$G$3=""),"",IF(INDEX(입력_인턴근무계획!$M$3:$R$402,$A307,$G$3)&amp;""="","",IF(LEFT(INDEX(입력_인턴근무계획!$M$3:$R$402,$A307,$G$3)&amp;"",1)="⚠","",MID(INDEX(입력_인턴근무계획!$M$3:$R$402,$A307,$G$3)&amp;"",FIND(" ",INDEX(입력_인턴근무계획!$M$3:$R$402,$A307,$G$3)&amp;"")+1,60))))</f>
        <v/>
      </c>
      <c r="I307" s="26">
        <f>IF(OR($C307="",$I$3=""),"",IF(INDEX(입력_인턴근무계획!$M$3:$R$402,$A307,$I$3)&amp;""="","",IF(LEFT(INDEX(입력_인턴근무계획!$M$3:$R$402,$A307,$I$3)&amp;"",1)="⚠",INDEX(입력_인턴근무계획!$M$3:$R$402,$A307,$I$3)&amp;"",LEFT(INDEX(입력_인턴근무계획!$M$3:$R$402,$A307,$I$3)&amp;"",FIND(" ",INDEX(입력_인턴근무계획!$M$3:$R$402,$A307,$I$3)&amp;"")-1))))</f>
        <v/>
      </c>
      <c r="J307" s="26">
        <f>IF(OR($C307="",$I$3=""),"",IF(INDEX(입력_인턴근무계획!$M$3:$R$402,$A307,$I$3)&amp;""="","",IF(LEFT(INDEX(입력_인턴근무계획!$M$3:$R$402,$A307,$I$3)&amp;"",1)="⚠","",MID(INDEX(입력_인턴근무계획!$M$3:$R$402,$A307,$I$3)&amp;"",FIND(" ",INDEX(입력_인턴근무계획!$M$3:$R$402,$A307,$I$3)&amp;"")+1,60))))</f>
        <v/>
      </c>
      <c r="K307" s="26">
        <f>IF($C307="","",INDEX(입력_인턴근무계획!$M$3:$M$402,$A307)&amp;"")</f>
        <v/>
      </c>
      <c r="L307" s="26">
        <f>IF($C307="","",INDEX(입력_인턴근무계획!$N$3:$N$402,$A307)&amp;"")</f>
        <v/>
      </c>
      <c r="M307" s="26">
        <f>IF($C307="","",INDEX(입력_인턴근무계획!$O$3:$O$402,$A307)&amp;"")</f>
        <v/>
      </c>
      <c r="N307" s="26">
        <f>IF($C307="","",INDEX(입력_인턴근무계획!$P$3:$P$402,$A307)&amp;"")</f>
        <v/>
      </c>
      <c r="O307" s="26">
        <f>IF($C307="","",INDEX(입력_인턴근무계획!$Q$3:$Q$402,$A307)&amp;"")</f>
        <v/>
      </c>
      <c r="P307" s="26">
        <f>IF($C307="","",INDEX(입력_인턴근무계획!$R$3:$R$402,$A307)&amp;"")</f>
        <v/>
      </c>
      <c r="Q307" s="26">
        <f>IF($C307="","",INDEX(입력_인턴근무계획!$T$3:$T$402,$A307))</f>
        <v/>
      </c>
    </row>
    <row r="308">
      <c r="A308" s="29" t="n">
        <v>303</v>
      </c>
      <c r="B308" s="26">
        <f>IF($C308="","",INDEX(입력_인턴근무계획!$B$3:$B$402,$A308))</f>
        <v/>
      </c>
      <c r="C308" s="26">
        <f>IFERROR(TRIM(INDEX(입력_인턴근무계획!$C$3:$C$402,$A308)&amp;""),"")</f>
        <v/>
      </c>
      <c r="D308" s="26">
        <f>IF($C308="","",INDEX(입력_인턴근무계획!$D$3:$D$402,$A308))</f>
        <v/>
      </c>
      <c r="E308" s="26">
        <f>IF($C308="","",IF(IFERROR(MATCH($D308,입력_기본자료!$B$2:$B$1001,0),IFERROR(MATCH($D308&amp;"",입력_기본자료!$B$2:$B$1001,0),IFERROR(MATCH(VALUE($D308),입력_기본자료!$B$2:$B$1001,0),0)))&gt;0,"확인","미등록"))</f>
        <v/>
      </c>
      <c r="F308" s="28">
        <f>IF($C308="","",INDEX(입력_인턴근무계획!$S$3:$S$402,$A308))</f>
        <v/>
      </c>
      <c r="G308" s="26">
        <f>IF(OR($C308="",$G$3=""),"",IF(INDEX(입력_인턴근무계획!$M$3:$R$402,$A308,$G$3)&amp;""="","",IF(LEFT(INDEX(입력_인턴근무계획!$M$3:$R$402,$A308,$G$3)&amp;"",1)="⚠",INDEX(입력_인턴근무계획!$M$3:$R$402,$A308,$G$3)&amp;"",LEFT(INDEX(입력_인턴근무계획!$M$3:$R$402,$A308,$G$3)&amp;"",FIND(" ",INDEX(입력_인턴근무계획!$M$3:$R$402,$A308,$G$3)&amp;"")-1))))</f>
        <v/>
      </c>
      <c r="H308" s="26">
        <f>IF(OR($C308="",$G$3=""),"",IF(INDEX(입력_인턴근무계획!$M$3:$R$402,$A308,$G$3)&amp;""="","",IF(LEFT(INDEX(입력_인턴근무계획!$M$3:$R$402,$A308,$G$3)&amp;"",1)="⚠","",MID(INDEX(입력_인턴근무계획!$M$3:$R$402,$A308,$G$3)&amp;"",FIND(" ",INDEX(입력_인턴근무계획!$M$3:$R$402,$A308,$G$3)&amp;"")+1,60))))</f>
        <v/>
      </c>
      <c r="I308" s="26">
        <f>IF(OR($C308="",$I$3=""),"",IF(INDEX(입력_인턴근무계획!$M$3:$R$402,$A308,$I$3)&amp;""="","",IF(LEFT(INDEX(입력_인턴근무계획!$M$3:$R$402,$A308,$I$3)&amp;"",1)="⚠",INDEX(입력_인턴근무계획!$M$3:$R$402,$A308,$I$3)&amp;"",LEFT(INDEX(입력_인턴근무계획!$M$3:$R$402,$A308,$I$3)&amp;"",FIND(" ",INDEX(입력_인턴근무계획!$M$3:$R$402,$A308,$I$3)&amp;"")-1))))</f>
        <v/>
      </c>
      <c r="J308" s="26">
        <f>IF(OR($C308="",$I$3=""),"",IF(INDEX(입력_인턴근무계획!$M$3:$R$402,$A308,$I$3)&amp;""="","",IF(LEFT(INDEX(입력_인턴근무계획!$M$3:$R$402,$A308,$I$3)&amp;"",1)="⚠","",MID(INDEX(입력_인턴근무계획!$M$3:$R$402,$A308,$I$3)&amp;"",FIND(" ",INDEX(입력_인턴근무계획!$M$3:$R$402,$A308,$I$3)&amp;"")+1,60))))</f>
        <v/>
      </c>
      <c r="K308" s="26">
        <f>IF($C308="","",INDEX(입력_인턴근무계획!$M$3:$M$402,$A308)&amp;"")</f>
        <v/>
      </c>
      <c r="L308" s="26">
        <f>IF($C308="","",INDEX(입력_인턴근무계획!$N$3:$N$402,$A308)&amp;"")</f>
        <v/>
      </c>
      <c r="M308" s="26">
        <f>IF($C308="","",INDEX(입력_인턴근무계획!$O$3:$O$402,$A308)&amp;"")</f>
        <v/>
      </c>
      <c r="N308" s="26">
        <f>IF($C308="","",INDEX(입력_인턴근무계획!$P$3:$P$402,$A308)&amp;"")</f>
        <v/>
      </c>
      <c r="O308" s="26">
        <f>IF($C308="","",INDEX(입력_인턴근무계획!$Q$3:$Q$402,$A308)&amp;"")</f>
        <v/>
      </c>
      <c r="P308" s="26">
        <f>IF($C308="","",INDEX(입력_인턴근무계획!$R$3:$R$402,$A308)&amp;"")</f>
        <v/>
      </c>
      <c r="Q308" s="26">
        <f>IF($C308="","",INDEX(입력_인턴근무계획!$T$3:$T$402,$A308))</f>
        <v/>
      </c>
    </row>
    <row r="309">
      <c r="A309" s="29" t="n">
        <v>304</v>
      </c>
      <c r="B309" s="26">
        <f>IF($C309="","",INDEX(입력_인턴근무계획!$B$3:$B$402,$A309))</f>
        <v/>
      </c>
      <c r="C309" s="26">
        <f>IFERROR(TRIM(INDEX(입력_인턴근무계획!$C$3:$C$402,$A309)&amp;""),"")</f>
        <v/>
      </c>
      <c r="D309" s="26">
        <f>IF($C309="","",INDEX(입력_인턴근무계획!$D$3:$D$402,$A309))</f>
        <v/>
      </c>
      <c r="E309" s="26">
        <f>IF($C309="","",IF(IFERROR(MATCH($D309,입력_기본자료!$B$2:$B$1001,0),IFERROR(MATCH($D309&amp;"",입력_기본자료!$B$2:$B$1001,0),IFERROR(MATCH(VALUE($D309),입력_기본자료!$B$2:$B$1001,0),0)))&gt;0,"확인","미등록"))</f>
        <v/>
      </c>
      <c r="F309" s="28">
        <f>IF($C309="","",INDEX(입력_인턴근무계획!$S$3:$S$402,$A309))</f>
        <v/>
      </c>
      <c r="G309" s="26">
        <f>IF(OR($C309="",$G$3=""),"",IF(INDEX(입력_인턴근무계획!$M$3:$R$402,$A309,$G$3)&amp;""="","",IF(LEFT(INDEX(입력_인턴근무계획!$M$3:$R$402,$A309,$G$3)&amp;"",1)="⚠",INDEX(입력_인턴근무계획!$M$3:$R$402,$A309,$G$3)&amp;"",LEFT(INDEX(입력_인턴근무계획!$M$3:$R$402,$A309,$G$3)&amp;"",FIND(" ",INDEX(입력_인턴근무계획!$M$3:$R$402,$A309,$G$3)&amp;"")-1))))</f>
        <v/>
      </c>
      <c r="H309" s="26">
        <f>IF(OR($C309="",$G$3=""),"",IF(INDEX(입력_인턴근무계획!$M$3:$R$402,$A309,$G$3)&amp;""="","",IF(LEFT(INDEX(입력_인턴근무계획!$M$3:$R$402,$A309,$G$3)&amp;"",1)="⚠","",MID(INDEX(입력_인턴근무계획!$M$3:$R$402,$A309,$G$3)&amp;"",FIND(" ",INDEX(입력_인턴근무계획!$M$3:$R$402,$A309,$G$3)&amp;"")+1,60))))</f>
        <v/>
      </c>
      <c r="I309" s="26">
        <f>IF(OR($C309="",$I$3=""),"",IF(INDEX(입력_인턴근무계획!$M$3:$R$402,$A309,$I$3)&amp;""="","",IF(LEFT(INDEX(입력_인턴근무계획!$M$3:$R$402,$A309,$I$3)&amp;"",1)="⚠",INDEX(입력_인턴근무계획!$M$3:$R$402,$A309,$I$3)&amp;"",LEFT(INDEX(입력_인턴근무계획!$M$3:$R$402,$A309,$I$3)&amp;"",FIND(" ",INDEX(입력_인턴근무계획!$M$3:$R$402,$A309,$I$3)&amp;"")-1))))</f>
        <v/>
      </c>
      <c r="J309" s="26">
        <f>IF(OR($C309="",$I$3=""),"",IF(INDEX(입력_인턴근무계획!$M$3:$R$402,$A309,$I$3)&amp;""="","",IF(LEFT(INDEX(입력_인턴근무계획!$M$3:$R$402,$A309,$I$3)&amp;"",1)="⚠","",MID(INDEX(입력_인턴근무계획!$M$3:$R$402,$A309,$I$3)&amp;"",FIND(" ",INDEX(입력_인턴근무계획!$M$3:$R$402,$A309,$I$3)&amp;"")+1,60))))</f>
        <v/>
      </c>
      <c r="K309" s="26">
        <f>IF($C309="","",INDEX(입력_인턴근무계획!$M$3:$M$402,$A309)&amp;"")</f>
        <v/>
      </c>
      <c r="L309" s="26">
        <f>IF($C309="","",INDEX(입력_인턴근무계획!$N$3:$N$402,$A309)&amp;"")</f>
        <v/>
      </c>
      <c r="M309" s="26">
        <f>IF($C309="","",INDEX(입력_인턴근무계획!$O$3:$O$402,$A309)&amp;"")</f>
        <v/>
      </c>
      <c r="N309" s="26">
        <f>IF($C309="","",INDEX(입력_인턴근무계획!$P$3:$P$402,$A309)&amp;"")</f>
        <v/>
      </c>
      <c r="O309" s="26">
        <f>IF($C309="","",INDEX(입력_인턴근무계획!$Q$3:$Q$402,$A309)&amp;"")</f>
        <v/>
      </c>
      <c r="P309" s="26">
        <f>IF($C309="","",INDEX(입력_인턴근무계획!$R$3:$R$402,$A309)&amp;"")</f>
        <v/>
      </c>
      <c r="Q309" s="26">
        <f>IF($C309="","",INDEX(입력_인턴근무계획!$T$3:$T$402,$A309))</f>
        <v/>
      </c>
    </row>
    <row r="310">
      <c r="A310" s="29" t="n">
        <v>305</v>
      </c>
      <c r="B310" s="26">
        <f>IF($C310="","",INDEX(입력_인턴근무계획!$B$3:$B$402,$A310))</f>
        <v/>
      </c>
      <c r="C310" s="26">
        <f>IFERROR(TRIM(INDEX(입력_인턴근무계획!$C$3:$C$402,$A310)&amp;""),"")</f>
        <v/>
      </c>
      <c r="D310" s="26">
        <f>IF($C310="","",INDEX(입력_인턴근무계획!$D$3:$D$402,$A310))</f>
        <v/>
      </c>
      <c r="E310" s="26">
        <f>IF($C310="","",IF(IFERROR(MATCH($D310,입력_기본자료!$B$2:$B$1001,0),IFERROR(MATCH($D310&amp;"",입력_기본자료!$B$2:$B$1001,0),IFERROR(MATCH(VALUE($D310),입력_기본자료!$B$2:$B$1001,0),0)))&gt;0,"확인","미등록"))</f>
        <v/>
      </c>
      <c r="F310" s="28">
        <f>IF($C310="","",INDEX(입력_인턴근무계획!$S$3:$S$402,$A310))</f>
        <v/>
      </c>
      <c r="G310" s="26">
        <f>IF(OR($C310="",$G$3=""),"",IF(INDEX(입력_인턴근무계획!$M$3:$R$402,$A310,$G$3)&amp;""="","",IF(LEFT(INDEX(입력_인턴근무계획!$M$3:$R$402,$A310,$G$3)&amp;"",1)="⚠",INDEX(입력_인턴근무계획!$M$3:$R$402,$A310,$G$3)&amp;"",LEFT(INDEX(입력_인턴근무계획!$M$3:$R$402,$A310,$G$3)&amp;"",FIND(" ",INDEX(입력_인턴근무계획!$M$3:$R$402,$A310,$G$3)&amp;"")-1))))</f>
        <v/>
      </c>
      <c r="H310" s="26">
        <f>IF(OR($C310="",$G$3=""),"",IF(INDEX(입력_인턴근무계획!$M$3:$R$402,$A310,$G$3)&amp;""="","",IF(LEFT(INDEX(입력_인턴근무계획!$M$3:$R$402,$A310,$G$3)&amp;"",1)="⚠","",MID(INDEX(입력_인턴근무계획!$M$3:$R$402,$A310,$G$3)&amp;"",FIND(" ",INDEX(입력_인턴근무계획!$M$3:$R$402,$A310,$G$3)&amp;"")+1,60))))</f>
        <v/>
      </c>
      <c r="I310" s="26">
        <f>IF(OR($C310="",$I$3=""),"",IF(INDEX(입력_인턴근무계획!$M$3:$R$402,$A310,$I$3)&amp;""="","",IF(LEFT(INDEX(입력_인턴근무계획!$M$3:$R$402,$A310,$I$3)&amp;"",1)="⚠",INDEX(입력_인턴근무계획!$M$3:$R$402,$A310,$I$3)&amp;"",LEFT(INDEX(입력_인턴근무계획!$M$3:$R$402,$A310,$I$3)&amp;"",FIND(" ",INDEX(입력_인턴근무계획!$M$3:$R$402,$A310,$I$3)&amp;"")-1))))</f>
        <v/>
      </c>
      <c r="J310" s="26">
        <f>IF(OR($C310="",$I$3=""),"",IF(INDEX(입력_인턴근무계획!$M$3:$R$402,$A310,$I$3)&amp;""="","",IF(LEFT(INDEX(입력_인턴근무계획!$M$3:$R$402,$A310,$I$3)&amp;"",1)="⚠","",MID(INDEX(입력_인턴근무계획!$M$3:$R$402,$A310,$I$3)&amp;"",FIND(" ",INDEX(입력_인턴근무계획!$M$3:$R$402,$A310,$I$3)&amp;"")+1,60))))</f>
        <v/>
      </c>
      <c r="K310" s="26">
        <f>IF($C310="","",INDEX(입력_인턴근무계획!$M$3:$M$402,$A310)&amp;"")</f>
        <v/>
      </c>
      <c r="L310" s="26">
        <f>IF($C310="","",INDEX(입력_인턴근무계획!$N$3:$N$402,$A310)&amp;"")</f>
        <v/>
      </c>
      <c r="M310" s="26">
        <f>IF($C310="","",INDEX(입력_인턴근무계획!$O$3:$O$402,$A310)&amp;"")</f>
        <v/>
      </c>
      <c r="N310" s="26">
        <f>IF($C310="","",INDEX(입력_인턴근무계획!$P$3:$P$402,$A310)&amp;"")</f>
        <v/>
      </c>
      <c r="O310" s="26">
        <f>IF($C310="","",INDEX(입력_인턴근무계획!$Q$3:$Q$402,$A310)&amp;"")</f>
        <v/>
      </c>
      <c r="P310" s="26">
        <f>IF($C310="","",INDEX(입력_인턴근무계획!$R$3:$R$402,$A310)&amp;"")</f>
        <v/>
      </c>
      <c r="Q310" s="26">
        <f>IF($C310="","",INDEX(입력_인턴근무계획!$T$3:$T$402,$A310))</f>
        <v/>
      </c>
    </row>
    <row r="311">
      <c r="A311" s="29" t="n">
        <v>306</v>
      </c>
      <c r="B311" s="26">
        <f>IF($C311="","",INDEX(입력_인턴근무계획!$B$3:$B$402,$A311))</f>
        <v/>
      </c>
      <c r="C311" s="26">
        <f>IFERROR(TRIM(INDEX(입력_인턴근무계획!$C$3:$C$402,$A311)&amp;""),"")</f>
        <v/>
      </c>
      <c r="D311" s="26">
        <f>IF($C311="","",INDEX(입력_인턴근무계획!$D$3:$D$402,$A311))</f>
        <v/>
      </c>
      <c r="E311" s="26">
        <f>IF($C311="","",IF(IFERROR(MATCH($D311,입력_기본자료!$B$2:$B$1001,0),IFERROR(MATCH($D311&amp;"",입력_기본자료!$B$2:$B$1001,0),IFERROR(MATCH(VALUE($D311),입력_기본자료!$B$2:$B$1001,0),0)))&gt;0,"확인","미등록"))</f>
        <v/>
      </c>
      <c r="F311" s="28">
        <f>IF($C311="","",INDEX(입력_인턴근무계획!$S$3:$S$402,$A311))</f>
        <v/>
      </c>
      <c r="G311" s="26">
        <f>IF(OR($C311="",$G$3=""),"",IF(INDEX(입력_인턴근무계획!$M$3:$R$402,$A311,$G$3)&amp;""="","",IF(LEFT(INDEX(입력_인턴근무계획!$M$3:$R$402,$A311,$G$3)&amp;"",1)="⚠",INDEX(입력_인턴근무계획!$M$3:$R$402,$A311,$G$3)&amp;"",LEFT(INDEX(입력_인턴근무계획!$M$3:$R$402,$A311,$G$3)&amp;"",FIND(" ",INDEX(입력_인턴근무계획!$M$3:$R$402,$A311,$G$3)&amp;"")-1))))</f>
        <v/>
      </c>
      <c r="H311" s="26">
        <f>IF(OR($C311="",$G$3=""),"",IF(INDEX(입력_인턴근무계획!$M$3:$R$402,$A311,$G$3)&amp;""="","",IF(LEFT(INDEX(입력_인턴근무계획!$M$3:$R$402,$A311,$G$3)&amp;"",1)="⚠","",MID(INDEX(입력_인턴근무계획!$M$3:$R$402,$A311,$G$3)&amp;"",FIND(" ",INDEX(입력_인턴근무계획!$M$3:$R$402,$A311,$G$3)&amp;"")+1,60))))</f>
        <v/>
      </c>
      <c r="I311" s="26">
        <f>IF(OR($C311="",$I$3=""),"",IF(INDEX(입력_인턴근무계획!$M$3:$R$402,$A311,$I$3)&amp;""="","",IF(LEFT(INDEX(입력_인턴근무계획!$M$3:$R$402,$A311,$I$3)&amp;"",1)="⚠",INDEX(입력_인턴근무계획!$M$3:$R$402,$A311,$I$3)&amp;"",LEFT(INDEX(입력_인턴근무계획!$M$3:$R$402,$A311,$I$3)&amp;"",FIND(" ",INDEX(입력_인턴근무계획!$M$3:$R$402,$A311,$I$3)&amp;"")-1))))</f>
        <v/>
      </c>
      <c r="J311" s="26">
        <f>IF(OR($C311="",$I$3=""),"",IF(INDEX(입력_인턴근무계획!$M$3:$R$402,$A311,$I$3)&amp;""="","",IF(LEFT(INDEX(입력_인턴근무계획!$M$3:$R$402,$A311,$I$3)&amp;"",1)="⚠","",MID(INDEX(입력_인턴근무계획!$M$3:$R$402,$A311,$I$3)&amp;"",FIND(" ",INDEX(입력_인턴근무계획!$M$3:$R$402,$A311,$I$3)&amp;"")+1,60))))</f>
        <v/>
      </c>
      <c r="K311" s="26">
        <f>IF($C311="","",INDEX(입력_인턴근무계획!$M$3:$M$402,$A311)&amp;"")</f>
        <v/>
      </c>
      <c r="L311" s="26">
        <f>IF($C311="","",INDEX(입력_인턴근무계획!$N$3:$N$402,$A311)&amp;"")</f>
        <v/>
      </c>
      <c r="M311" s="26">
        <f>IF($C311="","",INDEX(입력_인턴근무계획!$O$3:$O$402,$A311)&amp;"")</f>
        <v/>
      </c>
      <c r="N311" s="26">
        <f>IF($C311="","",INDEX(입력_인턴근무계획!$P$3:$P$402,$A311)&amp;"")</f>
        <v/>
      </c>
      <c r="O311" s="26">
        <f>IF($C311="","",INDEX(입력_인턴근무계획!$Q$3:$Q$402,$A311)&amp;"")</f>
        <v/>
      </c>
      <c r="P311" s="26">
        <f>IF($C311="","",INDEX(입력_인턴근무계획!$R$3:$R$402,$A311)&amp;"")</f>
        <v/>
      </c>
      <c r="Q311" s="26">
        <f>IF($C311="","",INDEX(입력_인턴근무계획!$T$3:$T$402,$A311))</f>
        <v/>
      </c>
    </row>
    <row r="312">
      <c r="A312" s="29" t="n">
        <v>307</v>
      </c>
      <c r="B312" s="26">
        <f>IF($C312="","",INDEX(입력_인턴근무계획!$B$3:$B$402,$A312))</f>
        <v/>
      </c>
      <c r="C312" s="26">
        <f>IFERROR(TRIM(INDEX(입력_인턴근무계획!$C$3:$C$402,$A312)&amp;""),"")</f>
        <v/>
      </c>
      <c r="D312" s="26">
        <f>IF($C312="","",INDEX(입력_인턴근무계획!$D$3:$D$402,$A312))</f>
        <v/>
      </c>
      <c r="E312" s="26">
        <f>IF($C312="","",IF(IFERROR(MATCH($D312,입력_기본자료!$B$2:$B$1001,0),IFERROR(MATCH($D312&amp;"",입력_기본자료!$B$2:$B$1001,0),IFERROR(MATCH(VALUE($D312),입력_기본자료!$B$2:$B$1001,0),0)))&gt;0,"확인","미등록"))</f>
        <v/>
      </c>
      <c r="F312" s="28">
        <f>IF($C312="","",INDEX(입력_인턴근무계획!$S$3:$S$402,$A312))</f>
        <v/>
      </c>
      <c r="G312" s="26">
        <f>IF(OR($C312="",$G$3=""),"",IF(INDEX(입력_인턴근무계획!$M$3:$R$402,$A312,$G$3)&amp;""="","",IF(LEFT(INDEX(입력_인턴근무계획!$M$3:$R$402,$A312,$G$3)&amp;"",1)="⚠",INDEX(입력_인턴근무계획!$M$3:$R$402,$A312,$G$3)&amp;"",LEFT(INDEX(입력_인턴근무계획!$M$3:$R$402,$A312,$G$3)&amp;"",FIND(" ",INDEX(입력_인턴근무계획!$M$3:$R$402,$A312,$G$3)&amp;"")-1))))</f>
        <v/>
      </c>
      <c r="H312" s="26">
        <f>IF(OR($C312="",$G$3=""),"",IF(INDEX(입력_인턴근무계획!$M$3:$R$402,$A312,$G$3)&amp;""="","",IF(LEFT(INDEX(입력_인턴근무계획!$M$3:$R$402,$A312,$G$3)&amp;"",1)="⚠","",MID(INDEX(입력_인턴근무계획!$M$3:$R$402,$A312,$G$3)&amp;"",FIND(" ",INDEX(입력_인턴근무계획!$M$3:$R$402,$A312,$G$3)&amp;"")+1,60))))</f>
        <v/>
      </c>
      <c r="I312" s="26">
        <f>IF(OR($C312="",$I$3=""),"",IF(INDEX(입력_인턴근무계획!$M$3:$R$402,$A312,$I$3)&amp;""="","",IF(LEFT(INDEX(입력_인턴근무계획!$M$3:$R$402,$A312,$I$3)&amp;"",1)="⚠",INDEX(입력_인턴근무계획!$M$3:$R$402,$A312,$I$3)&amp;"",LEFT(INDEX(입력_인턴근무계획!$M$3:$R$402,$A312,$I$3)&amp;"",FIND(" ",INDEX(입력_인턴근무계획!$M$3:$R$402,$A312,$I$3)&amp;"")-1))))</f>
        <v/>
      </c>
      <c r="J312" s="26">
        <f>IF(OR($C312="",$I$3=""),"",IF(INDEX(입력_인턴근무계획!$M$3:$R$402,$A312,$I$3)&amp;""="","",IF(LEFT(INDEX(입력_인턴근무계획!$M$3:$R$402,$A312,$I$3)&amp;"",1)="⚠","",MID(INDEX(입력_인턴근무계획!$M$3:$R$402,$A312,$I$3)&amp;"",FIND(" ",INDEX(입력_인턴근무계획!$M$3:$R$402,$A312,$I$3)&amp;"")+1,60))))</f>
        <v/>
      </c>
      <c r="K312" s="26">
        <f>IF($C312="","",INDEX(입력_인턴근무계획!$M$3:$M$402,$A312)&amp;"")</f>
        <v/>
      </c>
      <c r="L312" s="26">
        <f>IF($C312="","",INDEX(입력_인턴근무계획!$N$3:$N$402,$A312)&amp;"")</f>
        <v/>
      </c>
      <c r="M312" s="26">
        <f>IF($C312="","",INDEX(입력_인턴근무계획!$O$3:$O$402,$A312)&amp;"")</f>
        <v/>
      </c>
      <c r="N312" s="26">
        <f>IF($C312="","",INDEX(입력_인턴근무계획!$P$3:$P$402,$A312)&amp;"")</f>
        <v/>
      </c>
      <c r="O312" s="26">
        <f>IF($C312="","",INDEX(입력_인턴근무계획!$Q$3:$Q$402,$A312)&amp;"")</f>
        <v/>
      </c>
      <c r="P312" s="26">
        <f>IF($C312="","",INDEX(입력_인턴근무계획!$R$3:$R$402,$A312)&amp;"")</f>
        <v/>
      </c>
      <c r="Q312" s="26">
        <f>IF($C312="","",INDEX(입력_인턴근무계획!$T$3:$T$402,$A312))</f>
        <v/>
      </c>
    </row>
    <row r="313">
      <c r="A313" s="29" t="n">
        <v>308</v>
      </c>
      <c r="B313" s="26">
        <f>IF($C313="","",INDEX(입력_인턴근무계획!$B$3:$B$402,$A313))</f>
        <v/>
      </c>
      <c r="C313" s="26">
        <f>IFERROR(TRIM(INDEX(입력_인턴근무계획!$C$3:$C$402,$A313)&amp;""),"")</f>
        <v/>
      </c>
      <c r="D313" s="26">
        <f>IF($C313="","",INDEX(입력_인턴근무계획!$D$3:$D$402,$A313))</f>
        <v/>
      </c>
      <c r="E313" s="26">
        <f>IF($C313="","",IF(IFERROR(MATCH($D313,입력_기본자료!$B$2:$B$1001,0),IFERROR(MATCH($D313&amp;"",입력_기본자료!$B$2:$B$1001,0),IFERROR(MATCH(VALUE($D313),입력_기본자료!$B$2:$B$1001,0),0)))&gt;0,"확인","미등록"))</f>
        <v/>
      </c>
      <c r="F313" s="28">
        <f>IF($C313="","",INDEX(입력_인턴근무계획!$S$3:$S$402,$A313))</f>
        <v/>
      </c>
      <c r="G313" s="26">
        <f>IF(OR($C313="",$G$3=""),"",IF(INDEX(입력_인턴근무계획!$M$3:$R$402,$A313,$G$3)&amp;""="","",IF(LEFT(INDEX(입력_인턴근무계획!$M$3:$R$402,$A313,$G$3)&amp;"",1)="⚠",INDEX(입력_인턴근무계획!$M$3:$R$402,$A313,$G$3)&amp;"",LEFT(INDEX(입력_인턴근무계획!$M$3:$R$402,$A313,$G$3)&amp;"",FIND(" ",INDEX(입력_인턴근무계획!$M$3:$R$402,$A313,$G$3)&amp;"")-1))))</f>
        <v/>
      </c>
      <c r="H313" s="26">
        <f>IF(OR($C313="",$G$3=""),"",IF(INDEX(입력_인턴근무계획!$M$3:$R$402,$A313,$G$3)&amp;""="","",IF(LEFT(INDEX(입력_인턴근무계획!$M$3:$R$402,$A313,$G$3)&amp;"",1)="⚠","",MID(INDEX(입력_인턴근무계획!$M$3:$R$402,$A313,$G$3)&amp;"",FIND(" ",INDEX(입력_인턴근무계획!$M$3:$R$402,$A313,$G$3)&amp;"")+1,60))))</f>
        <v/>
      </c>
      <c r="I313" s="26">
        <f>IF(OR($C313="",$I$3=""),"",IF(INDEX(입력_인턴근무계획!$M$3:$R$402,$A313,$I$3)&amp;""="","",IF(LEFT(INDEX(입력_인턴근무계획!$M$3:$R$402,$A313,$I$3)&amp;"",1)="⚠",INDEX(입력_인턴근무계획!$M$3:$R$402,$A313,$I$3)&amp;"",LEFT(INDEX(입력_인턴근무계획!$M$3:$R$402,$A313,$I$3)&amp;"",FIND(" ",INDEX(입력_인턴근무계획!$M$3:$R$402,$A313,$I$3)&amp;"")-1))))</f>
        <v/>
      </c>
      <c r="J313" s="26">
        <f>IF(OR($C313="",$I$3=""),"",IF(INDEX(입력_인턴근무계획!$M$3:$R$402,$A313,$I$3)&amp;""="","",IF(LEFT(INDEX(입력_인턴근무계획!$M$3:$R$402,$A313,$I$3)&amp;"",1)="⚠","",MID(INDEX(입력_인턴근무계획!$M$3:$R$402,$A313,$I$3)&amp;"",FIND(" ",INDEX(입력_인턴근무계획!$M$3:$R$402,$A313,$I$3)&amp;"")+1,60))))</f>
        <v/>
      </c>
      <c r="K313" s="26">
        <f>IF($C313="","",INDEX(입력_인턴근무계획!$M$3:$M$402,$A313)&amp;"")</f>
        <v/>
      </c>
      <c r="L313" s="26">
        <f>IF($C313="","",INDEX(입력_인턴근무계획!$N$3:$N$402,$A313)&amp;"")</f>
        <v/>
      </c>
      <c r="M313" s="26">
        <f>IF($C313="","",INDEX(입력_인턴근무계획!$O$3:$O$402,$A313)&amp;"")</f>
        <v/>
      </c>
      <c r="N313" s="26">
        <f>IF($C313="","",INDEX(입력_인턴근무계획!$P$3:$P$402,$A313)&amp;"")</f>
        <v/>
      </c>
      <c r="O313" s="26">
        <f>IF($C313="","",INDEX(입력_인턴근무계획!$Q$3:$Q$402,$A313)&amp;"")</f>
        <v/>
      </c>
      <c r="P313" s="26">
        <f>IF($C313="","",INDEX(입력_인턴근무계획!$R$3:$R$402,$A313)&amp;"")</f>
        <v/>
      </c>
      <c r="Q313" s="26">
        <f>IF($C313="","",INDEX(입력_인턴근무계획!$T$3:$T$402,$A313))</f>
        <v/>
      </c>
    </row>
    <row r="314">
      <c r="A314" s="29" t="n">
        <v>309</v>
      </c>
      <c r="B314" s="26">
        <f>IF($C314="","",INDEX(입력_인턴근무계획!$B$3:$B$402,$A314))</f>
        <v/>
      </c>
      <c r="C314" s="26">
        <f>IFERROR(TRIM(INDEX(입력_인턴근무계획!$C$3:$C$402,$A314)&amp;""),"")</f>
        <v/>
      </c>
      <c r="D314" s="26">
        <f>IF($C314="","",INDEX(입력_인턴근무계획!$D$3:$D$402,$A314))</f>
        <v/>
      </c>
      <c r="E314" s="26">
        <f>IF($C314="","",IF(IFERROR(MATCH($D314,입력_기본자료!$B$2:$B$1001,0),IFERROR(MATCH($D314&amp;"",입력_기본자료!$B$2:$B$1001,0),IFERROR(MATCH(VALUE($D314),입력_기본자료!$B$2:$B$1001,0),0)))&gt;0,"확인","미등록"))</f>
        <v/>
      </c>
      <c r="F314" s="28">
        <f>IF($C314="","",INDEX(입력_인턴근무계획!$S$3:$S$402,$A314))</f>
        <v/>
      </c>
      <c r="G314" s="26">
        <f>IF(OR($C314="",$G$3=""),"",IF(INDEX(입력_인턴근무계획!$M$3:$R$402,$A314,$G$3)&amp;""="","",IF(LEFT(INDEX(입력_인턴근무계획!$M$3:$R$402,$A314,$G$3)&amp;"",1)="⚠",INDEX(입력_인턴근무계획!$M$3:$R$402,$A314,$G$3)&amp;"",LEFT(INDEX(입력_인턴근무계획!$M$3:$R$402,$A314,$G$3)&amp;"",FIND(" ",INDEX(입력_인턴근무계획!$M$3:$R$402,$A314,$G$3)&amp;"")-1))))</f>
        <v/>
      </c>
      <c r="H314" s="26">
        <f>IF(OR($C314="",$G$3=""),"",IF(INDEX(입력_인턴근무계획!$M$3:$R$402,$A314,$G$3)&amp;""="","",IF(LEFT(INDEX(입력_인턴근무계획!$M$3:$R$402,$A314,$G$3)&amp;"",1)="⚠","",MID(INDEX(입력_인턴근무계획!$M$3:$R$402,$A314,$G$3)&amp;"",FIND(" ",INDEX(입력_인턴근무계획!$M$3:$R$402,$A314,$G$3)&amp;"")+1,60))))</f>
        <v/>
      </c>
      <c r="I314" s="26">
        <f>IF(OR($C314="",$I$3=""),"",IF(INDEX(입력_인턴근무계획!$M$3:$R$402,$A314,$I$3)&amp;""="","",IF(LEFT(INDEX(입력_인턴근무계획!$M$3:$R$402,$A314,$I$3)&amp;"",1)="⚠",INDEX(입력_인턴근무계획!$M$3:$R$402,$A314,$I$3)&amp;"",LEFT(INDEX(입력_인턴근무계획!$M$3:$R$402,$A314,$I$3)&amp;"",FIND(" ",INDEX(입력_인턴근무계획!$M$3:$R$402,$A314,$I$3)&amp;"")-1))))</f>
        <v/>
      </c>
      <c r="J314" s="26">
        <f>IF(OR($C314="",$I$3=""),"",IF(INDEX(입력_인턴근무계획!$M$3:$R$402,$A314,$I$3)&amp;""="","",IF(LEFT(INDEX(입력_인턴근무계획!$M$3:$R$402,$A314,$I$3)&amp;"",1)="⚠","",MID(INDEX(입력_인턴근무계획!$M$3:$R$402,$A314,$I$3)&amp;"",FIND(" ",INDEX(입력_인턴근무계획!$M$3:$R$402,$A314,$I$3)&amp;"")+1,60))))</f>
        <v/>
      </c>
      <c r="K314" s="26">
        <f>IF($C314="","",INDEX(입력_인턴근무계획!$M$3:$M$402,$A314)&amp;"")</f>
        <v/>
      </c>
      <c r="L314" s="26">
        <f>IF($C314="","",INDEX(입력_인턴근무계획!$N$3:$N$402,$A314)&amp;"")</f>
        <v/>
      </c>
      <c r="M314" s="26">
        <f>IF($C314="","",INDEX(입력_인턴근무계획!$O$3:$O$402,$A314)&amp;"")</f>
        <v/>
      </c>
      <c r="N314" s="26">
        <f>IF($C314="","",INDEX(입력_인턴근무계획!$P$3:$P$402,$A314)&amp;"")</f>
        <v/>
      </c>
      <c r="O314" s="26">
        <f>IF($C314="","",INDEX(입력_인턴근무계획!$Q$3:$Q$402,$A314)&amp;"")</f>
        <v/>
      </c>
      <c r="P314" s="26">
        <f>IF($C314="","",INDEX(입력_인턴근무계획!$R$3:$R$402,$A314)&amp;"")</f>
        <v/>
      </c>
      <c r="Q314" s="26">
        <f>IF($C314="","",INDEX(입력_인턴근무계획!$T$3:$T$402,$A314))</f>
        <v/>
      </c>
    </row>
    <row r="315">
      <c r="A315" s="29" t="n">
        <v>310</v>
      </c>
      <c r="B315" s="26">
        <f>IF($C315="","",INDEX(입력_인턴근무계획!$B$3:$B$402,$A315))</f>
        <v/>
      </c>
      <c r="C315" s="26">
        <f>IFERROR(TRIM(INDEX(입력_인턴근무계획!$C$3:$C$402,$A315)&amp;""),"")</f>
        <v/>
      </c>
      <c r="D315" s="26">
        <f>IF($C315="","",INDEX(입력_인턴근무계획!$D$3:$D$402,$A315))</f>
        <v/>
      </c>
      <c r="E315" s="26">
        <f>IF($C315="","",IF(IFERROR(MATCH($D315,입력_기본자료!$B$2:$B$1001,0),IFERROR(MATCH($D315&amp;"",입력_기본자료!$B$2:$B$1001,0),IFERROR(MATCH(VALUE($D315),입력_기본자료!$B$2:$B$1001,0),0)))&gt;0,"확인","미등록"))</f>
        <v/>
      </c>
      <c r="F315" s="28">
        <f>IF($C315="","",INDEX(입력_인턴근무계획!$S$3:$S$402,$A315))</f>
        <v/>
      </c>
      <c r="G315" s="26">
        <f>IF(OR($C315="",$G$3=""),"",IF(INDEX(입력_인턴근무계획!$M$3:$R$402,$A315,$G$3)&amp;""="","",IF(LEFT(INDEX(입력_인턴근무계획!$M$3:$R$402,$A315,$G$3)&amp;"",1)="⚠",INDEX(입력_인턴근무계획!$M$3:$R$402,$A315,$G$3)&amp;"",LEFT(INDEX(입력_인턴근무계획!$M$3:$R$402,$A315,$G$3)&amp;"",FIND(" ",INDEX(입력_인턴근무계획!$M$3:$R$402,$A315,$G$3)&amp;"")-1))))</f>
        <v/>
      </c>
      <c r="H315" s="26">
        <f>IF(OR($C315="",$G$3=""),"",IF(INDEX(입력_인턴근무계획!$M$3:$R$402,$A315,$G$3)&amp;""="","",IF(LEFT(INDEX(입력_인턴근무계획!$M$3:$R$402,$A315,$G$3)&amp;"",1)="⚠","",MID(INDEX(입력_인턴근무계획!$M$3:$R$402,$A315,$G$3)&amp;"",FIND(" ",INDEX(입력_인턴근무계획!$M$3:$R$402,$A315,$G$3)&amp;"")+1,60))))</f>
        <v/>
      </c>
      <c r="I315" s="26">
        <f>IF(OR($C315="",$I$3=""),"",IF(INDEX(입력_인턴근무계획!$M$3:$R$402,$A315,$I$3)&amp;""="","",IF(LEFT(INDEX(입력_인턴근무계획!$M$3:$R$402,$A315,$I$3)&amp;"",1)="⚠",INDEX(입력_인턴근무계획!$M$3:$R$402,$A315,$I$3)&amp;"",LEFT(INDEX(입력_인턴근무계획!$M$3:$R$402,$A315,$I$3)&amp;"",FIND(" ",INDEX(입력_인턴근무계획!$M$3:$R$402,$A315,$I$3)&amp;"")-1))))</f>
        <v/>
      </c>
      <c r="J315" s="26">
        <f>IF(OR($C315="",$I$3=""),"",IF(INDEX(입력_인턴근무계획!$M$3:$R$402,$A315,$I$3)&amp;""="","",IF(LEFT(INDEX(입력_인턴근무계획!$M$3:$R$402,$A315,$I$3)&amp;"",1)="⚠","",MID(INDEX(입력_인턴근무계획!$M$3:$R$402,$A315,$I$3)&amp;"",FIND(" ",INDEX(입력_인턴근무계획!$M$3:$R$402,$A315,$I$3)&amp;"")+1,60))))</f>
        <v/>
      </c>
      <c r="K315" s="26">
        <f>IF($C315="","",INDEX(입력_인턴근무계획!$M$3:$M$402,$A315)&amp;"")</f>
        <v/>
      </c>
      <c r="L315" s="26">
        <f>IF($C315="","",INDEX(입력_인턴근무계획!$N$3:$N$402,$A315)&amp;"")</f>
        <v/>
      </c>
      <c r="M315" s="26">
        <f>IF($C315="","",INDEX(입력_인턴근무계획!$O$3:$O$402,$A315)&amp;"")</f>
        <v/>
      </c>
      <c r="N315" s="26">
        <f>IF($C315="","",INDEX(입력_인턴근무계획!$P$3:$P$402,$A315)&amp;"")</f>
        <v/>
      </c>
      <c r="O315" s="26">
        <f>IF($C315="","",INDEX(입력_인턴근무계획!$Q$3:$Q$402,$A315)&amp;"")</f>
        <v/>
      </c>
      <c r="P315" s="26">
        <f>IF($C315="","",INDEX(입력_인턴근무계획!$R$3:$R$402,$A315)&amp;"")</f>
        <v/>
      </c>
      <c r="Q315" s="26">
        <f>IF($C315="","",INDEX(입력_인턴근무계획!$T$3:$T$402,$A315))</f>
        <v/>
      </c>
    </row>
    <row r="316">
      <c r="A316" s="29" t="n">
        <v>311</v>
      </c>
      <c r="B316" s="26">
        <f>IF($C316="","",INDEX(입력_인턴근무계획!$B$3:$B$402,$A316))</f>
        <v/>
      </c>
      <c r="C316" s="26">
        <f>IFERROR(TRIM(INDEX(입력_인턴근무계획!$C$3:$C$402,$A316)&amp;""),"")</f>
        <v/>
      </c>
      <c r="D316" s="26">
        <f>IF($C316="","",INDEX(입력_인턴근무계획!$D$3:$D$402,$A316))</f>
        <v/>
      </c>
      <c r="E316" s="26">
        <f>IF($C316="","",IF(IFERROR(MATCH($D316,입력_기본자료!$B$2:$B$1001,0),IFERROR(MATCH($D316&amp;"",입력_기본자료!$B$2:$B$1001,0),IFERROR(MATCH(VALUE($D316),입력_기본자료!$B$2:$B$1001,0),0)))&gt;0,"확인","미등록"))</f>
        <v/>
      </c>
      <c r="F316" s="28">
        <f>IF($C316="","",INDEX(입력_인턴근무계획!$S$3:$S$402,$A316))</f>
        <v/>
      </c>
      <c r="G316" s="26">
        <f>IF(OR($C316="",$G$3=""),"",IF(INDEX(입력_인턴근무계획!$M$3:$R$402,$A316,$G$3)&amp;""="","",IF(LEFT(INDEX(입력_인턴근무계획!$M$3:$R$402,$A316,$G$3)&amp;"",1)="⚠",INDEX(입력_인턴근무계획!$M$3:$R$402,$A316,$G$3)&amp;"",LEFT(INDEX(입력_인턴근무계획!$M$3:$R$402,$A316,$G$3)&amp;"",FIND(" ",INDEX(입력_인턴근무계획!$M$3:$R$402,$A316,$G$3)&amp;"")-1))))</f>
        <v/>
      </c>
      <c r="H316" s="26">
        <f>IF(OR($C316="",$G$3=""),"",IF(INDEX(입력_인턴근무계획!$M$3:$R$402,$A316,$G$3)&amp;""="","",IF(LEFT(INDEX(입력_인턴근무계획!$M$3:$R$402,$A316,$G$3)&amp;"",1)="⚠","",MID(INDEX(입력_인턴근무계획!$M$3:$R$402,$A316,$G$3)&amp;"",FIND(" ",INDEX(입력_인턴근무계획!$M$3:$R$402,$A316,$G$3)&amp;"")+1,60))))</f>
        <v/>
      </c>
      <c r="I316" s="26">
        <f>IF(OR($C316="",$I$3=""),"",IF(INDEX(입력_인턴근무계획!$M$3:$R$402,$A316,$I$3)&amp;""="","",IF(LEFT(INDEX(입력_인턴근무계획!$M$3:$R$402,$A316,$I$3)&amp;"",1)="⚠",INDEX(입력_인턴근무계획!$M$3:$R$402,$A316,$I$3)&amp;"",LEFT(INDEX(입력_인턴근무계획!$M$3:$R$402,$A316,$I$3)&amp;"",FIND(" ",INDEX(입력_인턴근무계획!$M$3:$R$402,$A316,$I$3)&amp;"")-1))))</f>
        <v/>
      </c>
      <c r="J316" s="26">
        <f>IF(OR($C316="",$I$3=""),"",IF(INDEX(입력_인턴근무계획!$M$3:$R$402,$A316,$I$3)&amp;""="","",IF(LEFT(INDEX(입력_인턴근무계획!$M$3:$R$402,$A316,$I$3)&amp;"",1)="⚠","",MID(INDEX(입력_인턴근무계획!$M$3:$R$402,$A316,$I$3)&amp;"",FIND(" ",INDEX(입력_인턴근무계획!$M$3:$R$402,$A316,$I$3)&amp;"")+1,60))))</f>
        <v/>
      </c>
      <c r="K316" s="26">
        <f>IF($C316="","",INDEX(입력_인턴근무계획!$M$3:$M$402,$A316)&amp;"")</f>
        <v/>
      </c>
      <c r="L316" s="26">
        <f>IF($C316="","",INDEX(입력_인턴근무계획!$N$3:$N$402,$A316)&amp;"")</f>
        <v/>
      </c>
      <c r="M316" s="26">
        <f>IF($C316="","",INDEX(입력_인턴근무계획!$O$3:$O$402,$A316)&amp;"")</f>
        <v/>
      </c>
      <c r="N316" s="26">
        <f>IF($C316="","",INDEX(입력_인턴근무계획!$P$3:$P$402,$A316)&amp;"")</f>
        <v/>
      </c>
      <c r="O316" s="26">
        <f>IF($C316="","",INDEX(입력_인턴근무계획!$Q$3:$Q$402,$A316)&amp;"")</f>
        <v/>
      </c>
      <c r="P316" s="26">
        <f>IF($C316="","",INDEX(입력_인턴근무계획!$R$3:$R$402,$A316)&amp;"")</f>
        <v/>
      </c>
      <c r="Q316" s="26">
        <f>IF($C316="","",INDEX(입력_인턴근무계획!$T$3:$T$402,$A316))</f>
        <v/>
      </c>
    </row>
    <row r="317">
      <c r="A317" s="29" t="n">
        <v>312</v>
      </c>
      <c r="B317" s="26">
        <f>IF($C317="","",INDEX(입력_인턴근무계획!$B$3:$B$402,$A317))</f>
        <v/>
      </c>
      <c r="C317" s="26">
        <f>IFERROR(TRIM(INDEX(입력_인턴근무계획!$C$3:$C$402,$A317)&amp;""),"")</f>
        <v/>
      </c>
      <c r="D317" s="26">
        <f>IF($C317="","",INDEX(입력_인턴근무계획!$D$3:$D$402,$A317))</f>
        <v/>
      </c>
      <c r="E317" s="26">
        <f>IF($C317="","",IF(IFERROR(MATCH($D317,입력_기본자료!$B$2:$B$1001,0),IFERROR(MATCH($D317&amp;"",입력_기본자료!$B$2:$B$1001,0),IFERROR(MATCH(VALUE($D317),입력_기본자료!$B$2:$B$1001,0),0)))&gt;0,"확인","미등록"))</f>
        <v/>
      </c>
      <c r="F317" s="28">
        <f>IF($C317="","",INDEX(입력_인턴근무계획!$S$3:$S$402,$A317))</f>
        <v/>
      </c>
      <c r="G317" s="26">
        <f>IF(OR($C317="",$G$3=""),"",IF(INDEX(입력_인턴근무계획!$M$3:$R$402,$A317,$G$3)&amp;""="","",IF(LEFT(INDEX(입력_인턴근무계획!$M$3:$R$402,$A317,$G$3)&amp;"",1)="⚠",INDEX(입력_인턴근무계획!$M$3:$R$402,$A317,$G$3)&amp;"",LEFT(INDEX(입력_인턴근무계획!$M$3:$R$402,$A317,$G$3)&amp;"",FIND(" ",INDEX(입력_인턴근무계획!$M$3:$R$402,$A317,$G$3)&amp;"")-1))))</f>
        <v/>
      </c>
      <c r="H317" s="26">
        <f>IF(OR($C317="",$G$3=""),"",IF(INDEX(입력_인턴근무계획!$M$3:$R$402,$A317,$G$3)&amp;""="","",IF(LEFT(INDEX(입력_인턴근무계획!$M$3:$R$402,$A317,$G$3)&amp;"",1)="⚠","",MID(INDEX(입력_인턴근무계획!$M$3:$R$402,$A317,$G$3)&amp;"",FIND(" ",INDEX(입력_인턴근무계획!$M$3:$R$402,$A317,$G$3)&amp;"")+1,60))))</f>
        <v/>
      </c>
      <c r="I317" s="26">
        <f>IF(OR($C317="",$I$3=""),"",IF(INDEX(입력_인턴근무계획!$M$3:$R$402,$A317,$I$3)&amp;""="","",IF(LEFT(INDEX(입력_인턴근무계획!$M$3:$R$402,$A317,$I$3)&amp;"",1)="⚠",INDEX(입력_인턴근무계획!$M$3:$R$402,$A317,$I$3)&amp;"",LEFT(INDEX(입력_인턴근무계획!$M$3:$R$402,$A317,$I$3)&amp;"",FIND(" ",INDEX(입력_인턴근무계획!$M$3:$R$402,$A317,$I$3)&amp;"")-1))))</f>
        <v/>
      </c>
      <c r="J317" s="26">
        <f>IF(OR($C317="",$I$3=""),"",IF(INDEX(입력_인턴근무계획!$M$3:$R$402,$A317,$I$3)&amp;""="","",IF(LEFT(INDEX(입력_인턴근무계획!$M$3:$R$402,$A317,$I$3)&amp;"",1)="⚠","",MID(INDEX(입력_인턴근무계획!$M$3:$R$402,$A317,$I$3)&amp;"",FIND(" ",INDEX(입력_인턴근무계획!$M$3:$R$402,$A317,$I$3)&amp;"")+1,60))))</f>
        <v/>
      </c>
      <c r="K317" s="26">
        <f>IF($C317="","",INDEX(입력_인턴근무계획!$M$3:$M$402,$A317)&amp;"")</f>
        <v/>
      </c>
      <c r="L317" s="26">
        <f>IF($C317="","",INDEX(입력_인턴근무계획!$N$3:$N$402,$A317)&amp;"")</f>
        <v/>
      </c>
      <c r="M317" s="26">
        <f>IF($C317="","",INDEX(입력_인턴근무계획!$O$3:$O$402,$A317)&amp;"")</f>
        <v/>
      </c>
      <c r="N317" s="26">
        <f>IF($C317="","",INDEX(입력_인턴근무계획!$P$3:$P$402,$A317)&amp;"")</f>
        <v/>
      </c>
      <c r="O317" s="26">
        <f>IF($C317="","",INDEX(입력_인턴근무계획!$Q$3:$Q$402,$A317)&amp;"")</f>
        <v/>
      </c>
      <c r="P317" s="26">
        <f>IF($C317="","",INDEX(입력_인턴근무계획!$R$3:$R$402,$A317)&amp;"")</f>
        <v/>
      </c>
      <c r="Q317" s="26">
        <f>IF($C317="","",INDEX(입력_인턴근무계획!$T$3:$T$402,$A317))</f>
        <v/>
      </c>
    </row>
    <row r="318">
      <c r="A318" s="29" t="n">
        <v>313</v>
      </c>
      <c r="B318" s="26">
        <f>IF($C318="","",INDEX(입력_인턴근무계획!$B$3:$B$402,$A318))</f>
        <v/>
      </c>
      <c r="C318" s="26">
        <f>IFERROR(TRIM(INDEX(입력_인턴근무계획!$C$3:$C$402,$A318)&amp;""),"")</f>
        <v/>
      </c>
      <c r="D318" s="26">
        <f>IF($C318="","",INDEX(입력_인턴근무계획!$D$3:$D$402,$A318))</f>
        <v/>
      </c>
      <c r="E318" s="26">
        <f>IF($C318="","",IF(IFERROR(MATCH($D318,입력_기본자료!$B$2:$B$1001,0),IFERROR(MATCH($D318&amp;"",입력_기본자료!$B$2:$B$1001,0),IFERROR(MATCH(VALUE($D318),입력_기본자료!$B$2:$B$1001,0),0)))&gt;0,"확인","미등록"))</f>
        <v/>
      </c>
      <c r="F318" s="28">
        <f>IF($C318="","",INDEX(입력_인턴근무계획!$S$3:$S$402,$A318))</f>
        <v/>
      </c>
      <c r="G318" s="26">
        <f>IF(OR($C318="",$G$3=""),"",IF(INDEX(입력_인턴근무계획!$M$3:$R$402,$A318,$G$3)&amp;""="","",IF(LEFT(INDEX(입력_인턴근무계획!$M$3:$R$402,$A318,$G$3)&amp;"",1)="⚠",INDEX(입력_인턴근무계획!$M$3:$R$402,$A318,$G$3)&amp;"",LEFT(INDEX(입력_인턴근무계획!$M$3:$R$402,$A318,$G$3)&amp;"",FIND(" ",INDEX(입력_인턴근무계획!$M$3:$R$402,$A318,$G$3)&amp;"")-1))))</f>
        <v/>
      </c>
      <c r="H318" s="26">
        <f>IF(OR($C318="",$G$3=""),"",IF(INDEX(입력_인턴근무계획!$M$3:$R$402,$A318,$G$3)&amp;""="","",IF(LEFT(INDEX(입력_인턴근무계획!$M$3:$R$402,$A318,$G$3)&amp;"",1)="⚠","",MID(INDEX(입력_인턴근무계획!$M$3:$R$402,$A318,$G$3)&amp;"",FIND(" ",INDEX(입력_인턴근무계획!$M$3:$R$402,$A318,$G$3)&amp;"")+1,60))))</f>
        <v/>
      </c>
      <c r="I318" s="26">
        <f>IF(OR($C318="",$I$3=""),"",IF(INDEX(입력_인턴근무계획!$M$3:$R$402,$A318,$I$3)&amp;""="","",IF(LEFT(INDEX(입력_인턴근무계획!$M$3:$R$402,$A318,$I$3)&amp;"",1)="⚠",INDEX(입력_인턴근무계획!$M$3:$R$402,$A318,$I$3)&amp;"",LEFT(INDEX(입력_인턴근무계획!$M$3:$R$402,$A318,$I$3)&amp;"",FIND(" ",INDEX(입력_인턴근무계획!$M$3:$R$402,$A318,$I$3)&amp;"")-1))))</f>
        <v/>
      </c>
      <c r="J318" s="26">
        <f>IF(OR($C318="",$I$3=""),"",IF(INDEX(입력_인턴근무계획!$M$3:$R$402,$A318,$I$3)&amp;""="","",IF(LEFT(INDEX(입력_인턴근무계획!$M$3:$R$402,$A318,$I$3)&amp;"",1)="⚠","",MID(INDEX(입력_인턴근무계획!$M$3:$R$402,$A318,$I$3)&amp;"",FIND(" ",INDEX(입력_인턴근무계획!$M$3:$R$402,$A318,$I$3)&amp;"")+1,60))))</f>
        <v/>
      </c>
      <c r="K318" s="26">
        <f>IF($C318="","",INDEX(입력_인턴근무계획!$M$3:$M$402,$A318)&amp;"")</f>
        <v/>
      </c>
      <c r="L318" s="26">
        <f>IF($C318="","",INDEX(입력_인턴근무계획!$N$3:$N$402,$A318)&amp;"")</f>
        <v/>
      </c>
      <c r="M318" s="26">
        <f>IF($C318="","",INDEX(입력_인턴근무계획!$O$3:$O$402,$A318)&amp;"")</f>
        <v/>
      </c>
      <c r="N318" s="26">
        <f>IF($C318="","",INDEX(입력_인턴근무계획!$P$3:$P$402,$A318)&amp;"")</f>
        <v/>
      </c>
      <c r="O318" s="26">
        <f>IF($C318="","",INDEX(입력_인턴근무계획!$Q$3:$Q$402,$A318)&amp;"")</f>
        <v/>
      </c>
      <c r="P318" s="26">
        <f>IF($C318="","",INDEX(입력_인턴근무계획!$R$3:$R$402,$A318)&amp;"")</f>
        <v/>
      </c>
      <c r="Q318" s="26">
        <f>IF($C318="","",INDEX(입력_인턴근무계획!$T$3:$T$402,$A318))</f>
        <v/>
      </c>
    </row>
    <row r="319">
      <c r="A319" s="29" t="n">
        <v>314</v>
      </c>
      <c r="B319" s="26">
        <f>IF($C319="","",INDEX(입력_인턴근무계획!$B$3:$B$402,$A319))</f>
        <v/>
      </c>
      <c r="C319" s="26">
        <f>IFERROR(TRIM(INDEX(입력_인턴근무계획!$C$3:$C$402,$A319)&amp;""),"")</f>
        <v/>
      </c>
      <c r="D319" s="26">
        <f>IF($C319="","",INDEX(입력_인턴근무계획!$D$3:$D$402,$A319))</f>
        <v/>
      </c>
      <c r="E319" s="26">
        <f>IF($C319="","",IF(IFERROR(MATCH($D319,입력_기본자료!$B$2:$B$1001,0),IFERROR(MATCH($D319&amp;"",입력_기본자료!$B$2:$B$1001,0),IFERROR(MATCH(VALUE($D319),입력_기본자료!$B$2:$B$1001,0),0)))&gt;0,"확인","미등록"))</f>
        <v/>
      </c>
      <c r="F319" s="28">
        <f>IF($C319="","",INDEX(입력_인턴근무계획!$S$3:$S$402,$A319))</f>
        <v/>
      </c>
      <c r="G319" s="26">
        <f>IF(OR($C319="",$G$3=""),"",IF(INDEX(입력_인턴근무계획!$M$3:$R$402,$A319,$G$3)&amp;""="","",IF(LEFT(INDEX(입력_인턴근무계획!$M$3:$R$402,$A319,$G$3)&amp;"",1)="⚠",INDEX(입력_인턴근무계획!$M$3:$R$402,$A319,$G$3)&amp;"",LEFT(INDEX(입력_인턴근무계획!$M$3:$R$402,$A319,$G$3)&amp;"",FIND(" ",INDEX(입력_인턴근무계획!$M$3:$R$402,$A319,$G$3)&amp;"")-1))))</f>
        <v/>
      </c>
      <c r="H319" s="26">
        <f>IF(OR($C319="",$G$3=""),"",IF(INDEX(입력_인턴근무계획!$M$3:$R$402,$A319,$G$3)&amp;""="","",IF(LEFT(INDEX(입력_인턴근무계획!$M$3:$R$402,$A319,$G$3)&amp;"",1)="⚠","",MID(INDEX(입력_인턴근무계획!$M$3:$R$402,$A319,$G$3)&amp;"",FIND(" ",INDEX(입력_인턴근무계획!$M$3:$R$402,$A319,$G$3)&amp;"")+1,60))))</f>
        <v/>
      </c>
      <c r="I319" s="26">
        <f>IF(OR($C319="",$I$3=""),"",IF(INDEX(입력_인턴근무계획!$M$3:$R$402,$A319,$I$3)&amp;""="","",IF(LEFT(INDEX(입력_인턴근무계획!$M$3:$R$402,$A319,$I$3)&amp;"",1)="⚠",INDEX(입력_인턴근무계획!$M$3:$R$402,$A319,$I$3)&amp;"",LEFT(INDEX(입력_인턴근무계획!$M$3:$R$402,$A319,$I$3)&amp;"",FIND(" ",INDEX(입력_인턴근무계획!$M$3:$R$402,$A319,$I$3)&amp;"")-1))))</f>
        <v/>
      </c>
      <c r="J319" s="26">
        <f>IF(OR($C319="",$I$3=""),"",IF(INDEX(입력_인턴근무계획!$M$3:$R$402,$A319,$I$3)&amp;""="","",IF(LEFT(INDEX(입력_인턴근무계획!$M$3:$R$402,$A319,$I$3)&amp;"",1)="⚠","",MID(INDEX(입력_인턴근무계획!$M$3:$R$402,$A319,$I$3)&amp;"",FIND(" ",INDEX(입력_인턴근무계획!$M$3:$R$402,$A319,$I$3)&amp;"")+1,60))))</f>
        <v/>
      </c>
      <c r="K319" s="26">
        <f>IF($C319="","",INDEX(입력_인턴근무계획!$M$3:$M$402,$A319)&amp;"")</f>
        <v/>
      </c>
      <c r="L319" s="26">
        <f>IF($C319="","",INDEX(입력_인턴근무계획!$N$3:$N$402,$A319)&amp;"")</f>
        <v/>
      </c>
      <c r="M319" s="26">
        <f>IF($C319="","",INDEX(입력_인턴근무계획!$O$3:$O$402,$A319)&amp;"")</f>
        <v/>
      </c>
      <c r="N319" s="26">
        <f>IF($C319="","",INDEX(입력_인턴근무계획!$P$3:$P$402,$A319)&amp;"")</f>
        <v/>
      </c>
      <c r="O319" s="26">
        <f>IF($C319="","",INDEX(입력_인턴근무계획!$Q$3:$Q$402,$A319)&amp;"")</f>
        <v/>
      </c>
      <c r="P319" s="26">
        <f>IF($C319="","",INDEX(입력_인턴근무계획!$R$3:$R$402,$A319)&amp;"")</f>
        <v/>
      </c>
      <c r="Q319" s="26">
        <f>IF($C319="","",INDEX(입력_인턴근무계획!$T$3:$T$402,$A319))</f>
        <v/>
      </c>
    </row>
    <row r="320">
      <c r="A320" s="29" t="n">
        <v>315</v>
      </c>
      <c r="B320" s="26">
        <f>IF($C320="","",INDEX(입력_인턴근무계획!$B$3:$B$402,$A320))</f>
        <v/>
      </c>
      <c r="C320" s="26">
        <f>IFERROR(TRIM(INDEX(입력_인턴근무계획!$C$3:$C$402,$A320)&amp;""),"")</f>
        <v/>
      </c>
      <c r="D320" s="26">
        <f>IF($C320="","",INDEX(입력_인턴근무계획!$D$3:$D$402,$A320))</f>
        <v/>
      </c>
      <c r="E320" s="26">
        <f>IF($C320="","",IF(IFERROR(MATCH($D320,입력_기본자료!$B$2:$B$1001,0),IFERROR(MATCH($D320&amp;"",입력_기본자료!$B$2:$B$1001,0),IFERROR(MATCH(VALUE($D320),입력_기본자료!$B$2:$B$1001,0),0)))&gt;0,"확인","미등록"))</f>
        <v/>
      </c>
      <c r="F320" s="28">
        <f>IF($C320="","",INDEX(입력_인턴근무계획!$S$3:$S$402,$A320))</f>
        <v/>
      </c>
      <c r="G320" s="26">
        <f>IF(OR($C320="",$G$3=""),"",IF(INDEX(입력_인턴근무계획!$M$3:$R$402,$A320,$G$3)&amp;""="","",IF(LEFT(INDEX(입력_인턴근무계획!$M$3:$R$402,$A320,$G$3)&amp;"",1)="⚠",INDEX(입력_인턴근무계획!$M$3:$R$402,$A320,$G$3)&amp;"",LEFT(INDEX(입력_인턴근무계획!$M$3:$R$402,$A320,$G$3)&amp;"",FIND(" ",INDEX(입력_인턴근무계획!$M$3:$R$402,$A320,$G$3)&amp;"")-1))))</f>
        <v/>
      </c>
      <c r="H320" s="26">
        <f>IF(OR($C320="",$G$3=""),"",IF(INDEX(입력_인턴근무계획!$M$3:$R$402,$A320,$G$3)&amp;""="","",IF(LEFT(INDEX(입력_인턴근무계획!$M$3:$R$402,$A320,$G$3)&amp;"",1)="⚠","",MID(INDEX(입력_인턴근무계획!$M$3:$R$402,$A320,$G$3)&amp;"",FIND(" ",INDEX(입력_인턴근무계획!$M$3:$R$402,$A320,$G$3)&amp;"")+1,60))))</f>
        <v/>
      </c>
      <c r="I320" s="26">
        <f>IF(OR($C320="",$I$3=""),"",IF(INDEX(입력_인턴근무계획!$M$3:$R$402,$A320,$I$3)&amp;""="","",IF(LEFT(INDEX(입력_인턴근무계획!$M$3:$R$402,$A320,$I$3)&amp;"",1)="⚠",INDEX(입력_인턴근무계획!$M$3:$R$402,$A320,$I$3)&amp;"",LEFT(INDEX(입력_인턴근무계획!$M$3:$R$402,$A320,$I$3)&amp;"",FIND(" ",INDEX(입력_인턴근무계획!$M$3:$R$402,$A320,$I$3)&amp;"")-1))))</f>
        <v/>
      </c>
      <c r="J320" s="26">
        <f>IF(OR($C320="",$I$3=""),"",IF(INDEX(입력_인턴근무계획!$M$3:$R$402,$A320,$I$3)&amp;""="","",IF(LEFT(INDEX(입력_인턴근무계획!$M$3:$R$402,$A320,$I$3)&amp;"",1)="⚠","",MID(INDEX(입력_인턴근무계획!$M$3:$R$402,$A320,$I$3)&amp;"",FIND(" ",INDEX(입력_인턴근무계획!$M$3:$R$402,$A320,$I$3)&amp;"")+1,60))))</f>
        <v/>
      </c>
      <c r="K320" s="26">
        <f>IF($C320="","",INDEX(입력_인턴근무계획!$M$3:$M$402,$A320)&amp;"")</f>
        <v/>
      </c>
      <c r="L320" s="26">
        <f>IF($C320="","",INDEX(입력_인턴근무계획!$N$3:$N$402,$A320)&amp;"")</f>
        <v/>
      </c>
      <c r="M320" s="26">
        <f>IF($C320="","",INDEX(입력_인턴근무계획!$O$3:$O$402,$A320)&amp;"")</f>
        <v/>
      </c>
      <c r="N320" s="26">
        <f>IF($C320="","",INDEX(입력_인턴근무계획!$P$3:$P$402,$A320)&amp;"")</f>
        <v/>
      </c>
      <c r="O320" s="26">
        <f>IF($C320="","",INDEX(입력_인턴근무계획!$Q$3:$Q$402,$A320)&amp;"")</f>
        <v/>
      </c>
      <c r="P320" s="26">
        <f>IF($C320="","",INDEX(입력_인턴근무계획!$R$3:$R$402,$A320)&amp;"")</f>
        <v/>
      </c>
      <c r="Q320" s="26">
        <f>IF($C320="","",INDEX(입력_인턴근무계획!$T$3:$T$402,$A320))</f>
        <v/>
      </c>
    </row>
    <row r="321">
      <c r="A321" s="29" t="n">
        <v>316</v>
      </c>
      <c r="B321" s="26">
        <f>IF($C321="","",INDEX(입력_인턴근무계획!$B$3:$B$402,$A321))</f>
        <v/>
      </c>
      <c r="C321" s="26">
        <f>IFERROR(TRIM(INDEX(입력_인턴근무계획!$C$3:$C$402,$A321)&amp;""),"")</f>
        <v/>
      </c>
      <c r="D321" s="26">
        <f>IF($C321="","",INDEX(입력_인턴근무계획!$D$3:$D$402,$A321))</f>
        <v/>
      </c>
      <c r="E321" s="26">
        <f>IF($C321="","",IF(IFERROR(MATCH($D321,입력_기본자료!$B$2:$B$1001,0),IFERROR(MATCH($D321&amp;"",입력_기본자료!$B$2:$B$1001,0),IFERROR(MATCH(VALUE($D321),입력_기본자료!$B$2:$B$1001,0),0)))&gt;0,"확인","미등록"))</f>
        <v/>
      </c>
      <c r="F321" s="28">
        <f>IF($C321="","",INDEX(입력_인턴근무계획!$S$3:$S$402,$A321))</f>
        <v/>
      </c>
      <c r="G321" s="26">
        <f>IF(OR($C321="",$G$3=""),"",IF(INDEX(입력_인턴근무계획!$M$3:$R$402,$A321,$G$3)&amp;""="","",IF(LEFT(INDEX(입력_인턴근무계획!$M$3:$R$402,$A321,$G$3)&amp;"",1)="⚠",INDEX(입력_인턴근무계획!$M$3:$R$402,$A321,$G$3)&amp;"",LEFT(INDEX(입력_인턴근무계획!$M$3:$R$402,$A321,$G$3)&amp;"",FIND(" ",INDEX(입력_인턴근무계획!$M$3:$R$402,$A321,$G$3)&amp;"")-1))))</f>
        <v/>
      </c>
      <c r="H321" s="26">
        <f>IF(OR($C321="",$G$3=""),"",IF(INDEX(입력_인턴근무계획!$M$3:$R$402,$A321,$G$3)&amp;""="","",IF(LEFT(INDEX(입력_인턴근무계획!$M$3:$R$402,$A321,$G$3)&amp;"",1)="⚠","",MID(INDEX(입력_인턴근무계획!$M$3:$R$402,$A321,$G$3)&amp;"",FIND(" ",INDEX(입력_인턴근무계획!$M$3:$R$402,$A321,$G$3)&amp;"")+1,60))))</f>
        <v/>
      </c>
      <c r="I321" s="26">
        <f>IF(OR($C321="",$I$3=""),"",IF(INDEX(입력_인턴근무계획!$M$3:$R$402,$A321,$I$3)&amp;""="","",IF(LEFT(INDEX(입력_인턴근무계획!$M$3:$R$402,$A321,$I$3)&amp;"",1)="⚠",INDEX(입력_인턴근무계획!$M$3:$R$402,$A321,$I$3)&amp;"",LEFT(INDEX(입력_인턴근무계획!$M$3:$R$402,$A321,$I$3)&amp;"",FIND(" ",INDEX(입력_인턴근무계획!$M$3:$R$402,$A321,$I$3)&amp;"")-1))))</f>
        <v/>
      </c>
      <c r="J321" s="26">
        <f>IF(OR($C321="",$I$3=""),"",IF(INDEX(입력_인턴근무계획!$M$3:$R$402,$A321,$I$3)&amp;""="","",IF(LEFT(INDEX(입력_인턴근무계획!$M$3:$R$402,$A321,$I$3)&amp;"",1)="⚠","",MID(INDEX(입력_인턴근무계획!$M$3:$R$402,$A321,$I$3)&amp;"",FIND(" ",INDEX(입력_인턴근무계획!$M$3:$R$402,$A321,$I$3)&amp;"")+1,60))))</f>
        <v/>
      </c>
      <c r="K321" s="26">
        <f>IF($C321="","",INDEX(입력_인턴근무계획!$M$3:$M$402,$A321)&amp;"")</f>
        <v/>
      </c>
      <c r="L321" s="26">
        <f>IF($C321="","",INDEX(입력_인턴근무계획!$N$3:$N$402,$A321)&amp;"")</f>
        <v/>
      </c>
      <c r="M321" s="26">
        <f>IF($C321="","",INDEX(입력_인턴근무계획!$O$3:$O$402,$A321)&amp;"")</f>
        <v/>
      </c>
      <c r="N321" s="26">
        <f>IF($C321="","",INDEX(입력_인턴근무계획!$P$3:$P$402,$A321)&amp;"")</f>
        <v/>
      </c>
      <c r="O321" s="26">
        <f>IF($C321="","",INDEX(입력_인턴근무계획!$Q$3:$Q$402,$A321)&amp;"")</f>
        <v/>
      </c>
      <c r="P321" s="26">
        <f>IF($C321="","",INDEX(입력_인턴근무계획!$R$3:$R$402,$A321)&amp;"")</f>
        <v/>
      </c>
      <c r="Q321" s="26">
        <f>IF($C321="","",INDEX(입력_인턴근무계획!$T$3:$T$402,$A321))</f>
        <v/>
      </c>
    </row>
    <row r="322">
      <c r="A322" s="29" t="n">
        <v>317</v>
      </c>
      <c r="B322" s="26">
        <f>IF($C322="","",INDEX(입력_인턴근무계획!$B$3:$B$402,$A322))</f>
        <v/>
      </c>
      <c r="C322" s="26">
        <f>IFERROR(TRIM(INDEX(입력_인턴근무계획!$C$3:$C$402,$A322)&amp;""),"")</f>
        <v/>
      </c>
      <c r="D322" s="26">
        <f>IF($C322="","",INDEX(입력_인턴근무계획!$D$3:$D$402,$A322))</f>
        <v/>
      </c>
      <c r="E322" s="26">
        <f>IF($C322="","",IF(IFERROR(MATCH($D322,입력_기본자료!$B$2:$B$1001,0),IFERROR(MATCH($D322&amp;"",입력_기본자료!$B$2:$B$1001,0),IFERROR(MATCH(VALUE($D322),입력_기본자료!$B$2:$B$1001,0),0)))&gt;0,"확인","미등록"))</f>
        <v/>
      </c>
      <c r="F322" s="28">
        <f>IF($C322="","",INDEX(입력_인턴근무계획!$S$3:$S$402,$A322))</f>
        <v/>
      </c>
      <c r="G322" s="26">
        <f>IF(OR($C322="",$G$3=""),"",IF(INDEX(입력_인턴근무계획!$M$3:$R$402,$A322,$G$3)&amp;""="","",IF(LEFT(INDEX(입력_인턴근무계획!$M$3:$R$402,$A322,$G$3)&amp;"",1)="⚠",INDEX(입력_인턴근무계획!$M$3:$R$402,$A322,$G$3)&amp;"",LEFT(INDEX(입력_인턴근무계획!$M$3:$R$402,$A322,$G$3)&amp;"",FIND(" ",INDEX(입력_인턴근무계획!$M$3:$R$402,$A322,$G$3)&amp;"")-1))))</f>
        <v/>
      </c>
      <c r="H322" s="26">
        <f>IF(OR($C322="",$G$3=""),"",IF(INDEX(입력_인턴근무계획!$M$3:$R$402,$A322,$G$3)&amp;""="","",IF(LEFT(INDEX(입력_인턴근무계획!$M$3:$R$402,$A322,$G$3)&amp;"",1)="⚠","",MID(INDEX(입력_인턴근무계획!$M$3:$R$402,$A322,$G$3)&amp;"",FIND(" ",INDEX(입력_인턴근무계획!$M$3:$R$402,$A322,$G$3)&amp;"")+1,60))))</f>
        <v/>
      </c>
      <c r="I322" s="26">
        <f>IF(OR($C322="",$I$3=""),"",IF(INDEX(입력_인턴근무계획!$M$3:$R$402,$A322,$I$3)&amp;""="","",IF(LEFT(INDEX(입력_인턴근무계획!$M$3:$R$402,$A322,$I$3)&amp;"",1)="⚠",INDEX(입력_인턴근무계획!$M$3:$R$402,$A322,$I$3)&amp;"",LEFT(INDEX(입력_인턴근무계획!$M$3:$R$402,$A322,$I$3)&amp;"",FIND(" ",INDEX(입력_인턴근무계획!$M$3:$R$402,$A322,$I$3)&amp;"")-1))))</f>
        <v/>
      </c>
      <c r="J322" s="26">
        <f>IF(OR($C322="",$I$3=""),"",IF(INDEX(입력_인턴근무계획!$M$3:$R$402,$A322,$I$3)&amp;""="","",IF(LEFT(INDEX(입력_인턴근무계획!$M$3:$R$402,$A322,$I$3)&amp;"",1)="⚠","",MID(INDEX(입력_인턴근무계획!$M$3:$R$402,$A322,$I$3)&amp;"",FIND(" ",INDEX(입력_인턴근무계획!$M$3:$R$402,$A322,$I$3)&amp;"")+1,60))))</f>
        <v/>
      </c>
      <c r="K322" s="26">
        <f>IF($C322="","",INDEX(입력_인턴근무계획!$M$3:$M$402,$A322)&amp;"")</f>
        <v/>
      </c>
      <c r="L322" s="26">
        <f>IF($C322="","",INDEX(입력_인턴근무계획!$N$3:$N$402,$A322)&amp;"")</f>
        <v/>
      </c>
      <c r="M322" s="26">
        <f>IF($C322="","",INDEX(입력_인턴근무계획!$O$3:$O$402,$A322)&amp;"")</f>
        <v/>
      </c>
      <c r="N322" s="26">
        <f>IF($C322="","",INDEX(입력_인턴근무계획!$P$3:$P$402,$A322)&amp;"")</f>
        <v/>
      </c>
      <c r="O322" s="26">
        <f>IF($C322="","",INDEX(입력_인턴근무계획!$Q$3:$Q$402,$A322)&amp;"")</f>
        <v/>
      </c>
      <c r="P322" s="26">
        <f>IF($C322="","",INDEX(입력_인턴근무계획!$R$3:$R$402,$A322)&amp;"")</f>
        <v/>
      </c>
      <c r="Q322" s="26">
        <f>IF($C322="","",INDEX(입력_인턴근무계획!$T$3:$T$402,$A322))</f>
        <v/>
      </c>
    </row>
    <row r="323">
      <c r="A323" s="29" t="n">
        <v>318</v>
      </c>
      <c r="B323" s="26">
        <f>IF($C323="","",INDEX(입력_인턴근무계획!$B$3:$B$402,$A323))</f>
        <v/>
      </c>
      <c r="C323" s="26">
        <f>IFERROR(TRIM(INDEX(입력_인턴근무계획!$C$3:$C$402,$A323)&amp;""),"")</f>
        <v/>
      </c>
      <c r="D323" s="26">
        <f>IF($C323="","",INDEX(입력_인턴근무계획!$D$3:$D$402,$A323))</f>
        <v/>
      </c>
      <c r="E323" s="26">
        <f>IF($C323="","",IF(IFERROR(MATCH($D323,입력_기본자료!$B$2:$B$1001,0),IFERROR(MATCH($D323&amp;"",입력_기본자료!$B$2:$B$1001,0),IFERROR(MATCH(VALUE($D323),입력_기본자료!$B$2:$B$1001,0),0)))&gt;0,"확인","미등록"))</f>
        <v/>
      </c>
      <c r="F323" s="28">
        <f>IF($C323="","",INDEX(입력_인턴근무계획!$S$3:$S$402,$A323))</f>
        <v/>
      </c>
      <c r="G323" s="26">
        <f>IF(OR($C323="",$G$3=""),"",IF(INDEX(입력_인턴근무계획!$M$3:$R$402,$A323,$G$3)&amp;""="","",IF(LEFT(INDEX(입력_인턴근무계획!$M$3:$R$402,$A323,$G$3)&amp;"",1)="⚠",INDEX(입력_인턴근무계획!$M$3:$R$402,$A323,$G$3)&amp;"",LEFT(INDEX(입력_인턴근무계획!$M$3:$R$402,$A323,$G$3)&amp;"",FIND(" ",INDEX(입력_인턴근무계획!$M$3:$R$402,$A323,$G$3)&amp;"")-1))))</f>
        <v/>
      </c>
      <c r="H323" s="26">
        <f>IF(OR($C323="",$G$3=""),"",IF(INDEX(입력_인턴근무계획!$M$3:$R$402,$A323,$G$3)&amp;""="","",IF(LEFT(INDEX(입력_인턴근무계획!$M$3:$R$402,$A323,$G$3)&amp;"",1)="⚠","",MID(INDEX(입력_인턴근무계획!$M$3:$R$402,$A323,$G$3)&amp;"",FIND(" ",INDEX(입력_인턴근무계획!$M$3:$R$402,$A323,$G$3)&amp;"")+1,60))))</f>
        <v/>
      </c>
      <c r="I323" s="26">
        <f>IF(OR($C323="",$I$3=""),"",IF(INDEX(입력_인턴근무계획!$M$3:$R$402,$A323,$I$3)&amp;""="","",IF(LEFT(INDEX(입력_인턴근무계획!$M$3:$R$402,$A323,$I$3)&amp;"",1)="⚠",INDEX(입력_인턴근무계획!$M$3:$R$402,$A323,$I$3)&amp;"",LEFT(INDEX(입력_인턴근무계획!$M$3:$R$402,$A323,$I$3)&amp;"",FIND(" ",INDEX(입력_인턴근무계획!$M$3:$R$402,$A323,$I$3)&amp;"")-1))))</f>
        <v/>
      </c>
      <c r="J323" s="26">
        <f>IF(OR($C323="",$I$3=""),"",IF(INDEX(입력_인턴근무계획!$M$3:$R$402,$A323,$I$3)&amp;""="","",IF(LEFT(INDEX(입력_인턴근무계획!$M$3:$R$402,$A323,$I$3)&amp;"",1)="⚠","",MID(INDEX(입력_인턴근무계획!$M$3:$R$402,$A323,$I$3)&amp;"",FIND(" ",INDEX(입력_인턴근무계획!$M$3:$R$402,$A323,$I$3)&amp;"")+1,60))))</f>
        <v/>
      </c>
      <c r="K323" s="26">
        <f>IF($C323="","",INDEX(입력_인턴근무계획!$M$3:$M$402,$A323)&amp;"")</f>
        <v/>
      </c>
      <c r="L323" s="26">
        <f>IF($C323="","",INDEX(입력_인턴근무계획!$N$3:$N$402,$A323)&amp;"")</f>
        <v/>
      </c>
      <c r="M323" s="26">
        <f>IF($C323="","",INDEX(입력_인턴근무계획!$O$3:$O$402,$A323)&amp;"")</f>
        <v/>
      </c>
      <c r="N323" s="26">
        <f>IF($C323="","",INDEX(입력_인턴근무계획!$P$3:$P$402,$A323)&amp;"")</f>
        <v/>
      </c>
      <c r="O323" s="26">
        <f>IF($C323="","",INDEX(입력_인턴근무계획!$Q$3:$Q$402,$A323)&amp;"")</f>
        <v/>
      </c>
      <c r="P323" s="26">
        <f>IF($C323="","",INDEX(입력_인턴근무계획!$R$3:$R$402,$A323)&amp;"")</f>
        <v/>
      </c>
      <c r="Q323" s="26">
        <f>IF($C323="","",INDEX(입력_인턴근무계획!$T$3:$T$402,$A323))</f>
        <v/>
      </c>
    </row>
    <row r="324">
      <c r="A324" s="29" t="n">
        <v>319</v>
      </c>
      <c r="B324" s="26">
        <f>IF($C324="","",INDEX(입력_인턴근무계획!$B$3:$B$402,$A324))</f>
        <v/>
      </c>
      <c r="C324" s="26">
        <f>IFERROR(TRIM(INDEX(입력_인턴근무계획!$C$3:$C$402,$A324)&amp;""),"")</f>
        <v/>
      </c>
      <c r="D324" s="26">
        <f>IF($C324="","",INDEX(입력_인턴근무계획!$D$3:$D$402,$A324))</f>
        <v/>
      </c>
      <c r="E324" s="26">
        <f>IF($C324="","",IF(IFERROR(MATCH($D324,입력_기본자료!$B$2:$B$1001,0),IFERROR(MATCH($D324&amp;"",입력_기본자료!$B$2:$B$1001,0),IFERROR(MATCH(VALUE($D324),입력_기본자료!$B$2:$B$1001,0),0)))&gt;0,"확인","미등록"))</f>
        <v/>
      </c>
      <c r="F324" s="28">
        <f>IF($C324="","",INDEX(입력_인턴근무계획!$S$3:$S$402,$A324))</f>
        <v/>
      </c>
      <c r="G324" s="26">
        <f>IF(OR($C324="",$G$3=""),"",IF(INDEX(입력_인턴근무계획!$M$3:$R$402,$A324,$G$3)&amp;""="","",IF(LEFT(INDEX(입력_인턴근무계획!$M$3:$R$402,$A324,$G$3)&amp;"",1)="⚠",INDEX(입력_인턴근무계획!$M$3:$R$402,$A324,$G$3)&amp;"",LEFT(INDEX(입력_인턴근무계획!$M$3:$R$402,$A324,$G$3)&amp;"",FIND(" ",INDEX(입력_인턴근무계획!$M$3:$R$402,$A324,$G$3)&amp;"")-1))))</f>
        <v/>
      </c>
      <c r="H324" s="26">
        <f>IF(OR($C324="",$G$3=""),"",IF(INDEX(입력_인턴근무계획!$M$3:$R$402,$A324,$G$3)&amp;""="","",IF(LEFT(INDEX(입력_인턴근무계획!$M$3:$R$402,$A324,$G$3)&amp;"",1)="⚠","",MID(INDEX(입력_인턴근무계획!$M$3:$R$402,$A324,$G$3)&amp;"",FIND(" ",INDEX(입력_인턴근무계획!$M$3:$R$402,$A324,$G$3)&amp;"")+1,60))))</f>
        <v/>
      </c>
      <c r="I324" s="26">
        <f>IF(OR($C324="",$I$3=""),"",IF(INDEX(입력_인턴근무계획!$M$3:$R$402,$A324,$I$3)&amp;""="","",IF(LEFT(INDEX(입력_인턴근무계획!$M$3:$R$402,$A324,$I$3)&amp;"",1)="⚠",INDEX(입력_인턴근무계획!$M$3:$R$402,$A324,$I$3)&amp;"",LEFT(INDEX(입력_인턴근무계획!$M$3:$R$402,$A324,$I$3)&amp;"",FIND(" ",INDEX(입력_인턴근무계획!$M$3:$R$402,$A324,$I$3)&amp;"")-1))))</f>
        <v/>
      </c>
      <c r="J324" s="26">
        <f>IF(OR($C324="",$I$3=""),"",IF(INDEX(입력_인턴근무계획!$M$3:$R$402,$A324,$I$3)&amp;""="","",IF(LEFT(INDEX(입력_인턴근무계획!$M$3:$R$402,$A324,$I$3)&amp;"",1)="⚠","",MID(INDEX(입력_인턴근무계획!$M$3:$R$402,$A324,$I$3)&amp;"",FIND(" ",INDEX(입력_인턴근무계획!$M$3:$R$402,$A324,$I$3)&amp;"")+1,60))))</f>
        <v/>
      </c>
      <c r="K324" s="26">
        <f>IF($C324="","",INDEX(입력_인턴근무계획!$M$3:$M$402,$A324)&amp;"")</f>
        <v/>
      </c>
      <c r="L324" s="26">
        <f>IF($C324="","",INDEX(입력_인턴근무계획!$N$3:$N$402,$A324)&amp;"")</f>
        <v/>
      </c>
      <c r="M324" s="26">
        <f>IF($C324="","",INDEX(입력_인턴근무계획!$O$3:$O$402,$A324)&amp;"")</f>
        <v/>
      </c>
      <c r="N324" s="26">
        <f>IF($C324="","",INDEX(입력_인턴근무계획!$P$3:$P$402,$A324)&amp;"")</f>
        <v/>
      </c>
      <c r="O324" s="26">
        <f>IF($C324="","",INDEX(입력_인턴근무계획!$Q$3:$Q$402,$A324)&amp;"")</f>
        <v/>
      </c>
      <c r="P324" s="26">
        <f>IF($C324="","",INDEX(입력_인턴근무계획!$R$3:$R$402,$A324)&amp;"")</f>
        <v/>
      </c>
      <c r="Q324" s="26">
        <f>IF($C324="","",INDEX(입력_인턴근무계획!$T$3:$T$402,$A324))</f>
        <v/>
      </c>
    </row>
    <row r="325">
      <c r="A325" s="29" t="n">
        <v>320</v>
      </c>
      <c r="B325" s="26">
        <f>IF($C325="","",INDEX(입력_인턴근무계획!$B$3:$B$402,$A325))</f>
        <v/>
      </c>
      <c r="C325" s="26">
        <f>IFERROR(TRIM(INDEX(입력_인턴근무계획!$C$3:$C$402,$A325)&amp;""),"")</f>
        <v/>
      </c>
      <c r="D325" s="26">
        <f>IF($C325="","",INDEX(입력_인턴근무계획!$D$3:$D$402,$A325))</f>
        <v/>
      </c>
      <c r="E325" s="26">
        <f>IF($C325="","",IF(IFERROR(MATCH($D325,입력_기본자료!$B$2:$B$1001,0),IFERROR(MATCH($D325&amp;"",입력_기본자료!$B$2:$B$1001,0),IFERROR(MATCH(VALUE($D325),입력_기본자료!$B$2:$B$1001,0),0)))&gt;0,"확인","미등록"))</f>
        <v/>
      </c>
      <c r="F325" s="28">
        <f>IF($C325="","",INDEX(입력_인턴근무계획!$S$3:$S$402,$A325))</f>
        <v/>
      </c>
      <c r="G325" s="26">
        <f>IF(OR($C325="",$G$3=""),"",IF(INDEX(입력_인턴근무계획!$M$3:$R$402,$A325,$G$3)&amp;""="","",IF(LEFT(INDEX(입력_인턴근무계획!$M$3:$R$402,$A325,$G$3)&amp;"",1)="⚠",INDEX(입력_인턴근무계획!$M$3:$R$402,$A325,$G$3)&amp;"",LEFT(INDEX(입력_인턴근무계획!$M$3:$R$402,$A325,$G$3)&amp;"",FIND(" ",INDEX(입력_인턴근무계획!$M$3:$R$402,$A325,$G$3)&amp;"")-1))))</f>
        <v/>
      </c>
      <c r="H325" s="26">
        <f>IF(OR($C325="",$G$3=""),"",IF(INDEX(입력_인턴근무계획!$M$3:$R$402,$A325,$G$3)&amp;""="","",IF(LEFT(INDEX(입력_인턴근무계획!$M$3:$R$402,$A325,$G$3)&amp;"",1)="⚠","",MID(INDEX(입력_인턴근무계획!$M$3:$R$402,$A325,$G$3)&amp;"",FIND(" ",INDEX(입력_인턴근무계획!$M$3:$R$402,$A325,$G$3)&amp;"")+1,60))))</f>
        <v/>
      </c>
      <c r="I325" s="26">
        <f>IF(OR($C325="",$I$3=""),"",IF(INDEX(입력_인턴근무계획!$M$3:$R$402,$A325,$I$3)&amp;""="","",IF(LEFT(INDEX(입력_인턴근무계획!$M$3:$R$402,$A325,$I$3)&amp;"",1)="⚠",INDEX(입력_인턴근무계획!$M$3:$R$402,$A325,$I$3)&amp;"",LEFT(INDEX(입력_인턴근무계획!$M$3:$R$402,$A325,$I$3)&amp;"",FIND(" ",INDEX(입력_인턴근무계획!$M$3:$R$402,$A325,$I$3)&amp;"")-1))))</f>
        <v/>
      </c>
      <c r="J325" s="26">
        <f>IF(OR($C325="",$I$3=""),"",IF(INDEX(입력_인턴근무계획!$M$3:$R$402,$A325,$I$3)&amp;""="","",IF(LEFT(INDEX(입력_인턴근무계획!$M$3:$R$402,$A325,$I$3)&amp;"",1)="⚠","",MID(INDEX(입력_인턴근무계획!$M$3:$R$402,$A325,$I$3)&amp;"",FIND(" ",INDEX(입력_인턴근무계획!$M$3:$R$402,$A325,$I$3)&amp;"")+1,60))))</f>
        <v/>
      </c>
      <c r="K325" s="26">
        <f>IF($C325="","",INDEX(입력_인턴근무계획!$M$3:$M$402,$A325)&amp;"")</f>
        <v/>
      </c>
      <c r="L325" s="26">
        <f>IF($C325="","",INDEX(입력_인턴근무계획!$N$3:$N$402,$A325)&amp;"")</f>
        <v/>
      </c>
      <c r="M325" s="26">
        <f>IF($C325="","",INDEX(입력_인턴근무계획!$O$3:$O$402,$A325)&amp;"")</f>
        <v/>
      </c>
      <c r="N325" s="26">
        <f>IF($C325="","",INDEX(입력_인턴근무계획!$P$3:$P$402,$A325)&amp;"")</f>
        <v/>
      </c>
      <c r="O325" s="26">
        <f>IF($C325="","",INDEX(입력_인턴근무계획!$Q$3:$Q$402,$A325)&amp;"")</f>
        <v/>
      </c>
      <c r="P325" s="26">
        <f>IF($C325="","",INDEX(입력_인턴근무계획!$R$3:$R$402,$A325)&amp;"")</f>
        <v/>
      </c>
      <c r="Q325" s="26">
        <f>IF($C325="","",INDEX(입력_인턴근무계획!$T$3:$T$402,$A325))</f>
        <v/>
      </c>
    </row>
    <row r="326">
      <c r="A326" s="29" t="n">
        <v>321</v>
      </c>
      <c r="B326" s="26">
        <f>IF($C326="","",INDEX(입력_인턴근무계획!$B$3:$B$402,$A326))</f>
        <v/>
      </c>
      <c r="C326" s="26">
        <f>IFERROR(TRIM(INDEX(입력_인턴근무계획!$C$3:$C$402,$A326)&amp;""),"")</f>
        <v/>
      </c>
      <c r="D326" s="26">
        <f>IF($C326="","",INDEX(입력_인턴근무계획!$D$3:$D$402,$A326))</f>
        <v/>
      </c>
      <c r="E326" s="26">
        <f>IF($C326="","",IF(IFERROR(MATCH($D326,입력_기본자료!$B$2:$B$1001,0),IFERROR(MATCH($D326&amp;"",입력_기본자료!$B$2:$B$1001,0),IFERROR(MATCH(VALUE($D326),입력_기본자료!$B$2:$B$1001,0),0)))&gt;0,"확인","미등록"))</f>
        <v/>
      </c>
      <c r="F326" s="28">
        <f>IF($C326="","",INDEX(입력_인턴근무계획!$S$3:$S$402,$A326))</f>
        <v/>
      </c>
      <c r="G326" s="26">
        <f>IF(OR($C326="",$G$3=""),"",IF(INDEX(입력_인턴근무계획!$M$3:$R$402,$A326,$G$3)&amp;""="","",IF(LEFT(INDEX(입력_인턴근무계획!$M$3:$R$402,$A326,$G$3)&amp;"",1)="⚠",INDEX(입력_인턴근무계획!$M$3:$R$402,$A326,$G$3)&amp;"",LEFT(INDEX(입력_인턴근무계획!$M$3:$R$402,$A326,$G$3)&amp;"",FIND(" ",INDEX(입력_인턴근무계획!$M$3:$R$402,$A326,$G$3)&amp;"")-1))))</f>
        <v/>
      </c>
      <c r="H326" s="26">
        <f>IF(OR($C326="",$G$3=""),"",IF(INDEX(입력_인턴근무계획!$M$3:$R$402,$A326,$G$3)&amp;""="","",IF(LEFT(INDEX(입력_인턴근무계획!$M$3:$R$402,$A326,$G$3)&amp;"",1)="⚠","",MID(INDEX(입력_인턴근무계획!$M$3:$R$402,$A326,$G$3)&amp;"",FIND(" ",INDEX(입력_인턴근무계획!$M$3:$R$402,$A326,$G$3)&amp;"")+1,60))))</f>
        <v/>
      </c>
      <c r="I326" s="26">
        <f>IF(OR($C326="",$I$3=""),"",IF(INDEX(입력_인턴근무계획!$M$3:$R$402,$A326,$I$3)&amp;""="","",IF(LEFT(INDEX(입력_인턴근무계획!$M$3:$R$402,$A326,$I$3)&amp;"",1)="⚠",INDEX(입력_인턴근무계획!$M$3:$R$402,$A326,$I$3)&amp;"",LEFT(INDEX(입력_인턴근무계획!$M$3:$R$402,$A326,$I$3)&amp;"",FIND(" ",INDEX(입력_인턴근무계획!$M$3:$R$402,$A326,$I$3)&amp;"")-1))))</f>
        <v/>
      </c>
      <c r="J326" s="26">
        <f>IF(OR($C326="",$I$3=""),"",IF(INDEX(입력_인턴근무계획!$M$3:$R$402,$A326,$I$3)&amp;""="","",IF(LEFT(INDEX(입력_인턴근무계획!$M$3:$R$402,$A326,$I$3)&amp;"",1)="⚠","",MID(INDEX(입력_인턴근무계획!$M$3:$R$402,$A326,$I$3)&amp;"",FIND(" ",INDEX(입력_인턴근무계획!$M$3:$R$402,$A326,$I$3)&amp;"")+1,60))))</f>
        <v/>
      </c>
      <c r="K326" s="26">
        <f>IF($C326="","",INDEX(입력_인턴근무계획!$M$3:$M$402,$A326)&amp;"")</f>
        <v/>
      </c>
      <c r="L326" s="26">
        <f>IF($C326="","",INDEX(입력_인턴근무계획!$N$3:$N$402,$A326)&amp;"")</f>
        <v/>
      </c>
      <c r="M326" s="26">
        <f>IF($C326="","",INDEX(입력_인턴근무계획!$O$3:$O$402,$A326)&amp;"")</f>
        <v/>
      </c>
      <c r="N326" s="26">
        <f>IF($C326="","",INDEX(입력_인턴근무계획!$P$3:$P$402,$A326)&amp;"")</f>
        <v/>
      </c>
      <c r="O326" s="26">
        <f>IF($C326="","",INDEX(입력_인턴근무계획!$Q$3:$Q$402,$A326)&amp;"")</f>
        <v/>
      </c>
      <c r="P326" s="26">
        <f>IF($C326="","",INDEX(입력_인턴근무계획!$R$3:$R$402,$A326)&amp;"")</f>
        <v/>
      </c>
      <c r="Q326" s="26">
        <f>IF($C326="","",INDEX(입력_인턴근무계획!$T$3:$T$402,$A326))</f>
        <v/>
      </c>
    </row>
    <row r="327">
      <c r="A327" s="29" t="n">
        <v>322</v>
      </c>
      <c r="B327" s="26">
        <f>IF($C327="","",INDEX(입력_인턴근무계획!$B$3:$B$402,$A327))</f>
        <v/>
      </c>
      <c r="C327" s="26">
        <f>IFERROR(TRIM(INDEX(입력_인턴근무계획!$C$3:$C$402,$A327)&amp;""),"")</f>
        <v/>
      </c>
      <c r="D327" s="26">
        <f>IF($C327="","",INDEX(입력_인턴근무계획!$D$3:$D$402,$A327))</f>
        <v/>
      </c>
      <c r="E327" s="26">
        <f>IF($C327="","",IF(IFERROR(MATCH($D327,입력_기본자료!$B$2:$B$1001,0),IFERROR(MATCH($D327&amp;"",입력_기본자료!$B$2:$B$1001,0),IFERROR(MATCH(VALUE($D327),입력_기본자료!$B$2:$B$1001,0),0)))&gt;0,"확인","미등록"))</f>
        <v/>
      </c>
      <c r="F327" s="28">
        <f>IF($C327="","",INDEX(입력_인턴근무계획!$S$3:$S$402,$A327))</f>
        <v/>
      </c>
      <c r="G327" s="26">
        <f>IF(OR($C327="",$G$3=""),"",IF(INDEX(입력_인턴근무계획!$M$3:$R$402,$A327,$G$3)&amp;""="","",IF(LEFT(INDEX(입력_인턴근무계획!$M$3:$R$402,$A327,$G$3)&amp;"",1)="⚠",INDEX(입력_인턴근무계획!$M$3:$R$402,$A327,$G$3)&amp;"",LEFT(INDEX(입력_인턴근무계획!$M$3:$R$402,$A327,$G$3)&amp;"",FIND(" ",INDEX(입력_인턴근무계획!$M$3:$R$402,$A327,$G$3)&amp;"")-1))))</f>
        <v/>
      </c>
      <c r="H327" s="26">
        <f>IF(OR($C327="",$G$3=""),"",IF(INDEX(입력_인턴근무계획!$M$3:$R$402,$A327,$G$3)&amp;""="","",IF(LEFT(INDEX(입력_인턴근무계획!$M$3:$R$402,$A327,$G$3)&amp;"",1)="⚠","",MID(INDEX(입력_인턴근무계획!$M$3:$R$402,$A327,$G$3)&amp;"",FIND(" ",INDEX(입력_인턴근무계획!$M$3:$R$402,$A327,$G$3)&amp;"")+1,60))))</f>
        <v/>
      </c>
      <c r="I327" s="26">
        <f>IF(OR($C327="",$I$3=""),"",IF(INDEX(입력_인턴근무계획!$M$3:$R$402,$A327,$I$3)&amp;""="","",IF(LEFT(INDEX(입력_인턴근무계획!$M$3:$R$402,$A327,$I$3)&amp;"",1)="⚠",INDEX(입력_인턴근무계획!$M$3:$R$402,$A327,$I$3)&amp;"",LEFT(INDEX(입력_인턴근무계획!$M$3:$R$402,$A327,$I$3)&amp;"",FIND(" ",INDEX(입력_인턴근무계획!$M$3:$R$402,$A327,$I$3)&amp;"")-1))))</f>
        <v/>
      </c>
      <c r="J327" s="26">
        <f>IF(OR($C327="",$I$3=""),"",IF(INDEX(입력_인턴근무계획!$M$3:$R$402,$A327,$I$3)&amp;""="","",IF(LEFT(INDEX(입력_인턴근무계획!$M$3:$R$402,$A327,$I$3)&amp;"",1)="⚠","",MID(INDEX(입력_인턴근무계획!$M$3:$R$402,$A327,$I$3)&amp;"",FIND(" ",INDEX(입력_인턴근무계획!$M$3:$R$402,$A327,$I$3)&amp;"")+1,60))))</f>
        <v/>
      </c>
      <c r="K327" s="26">
        <f>IF($C327="","",INDEX(입력_인턴근무계획!$M$3:$M$402,$A327)&amp;"")</f>
        <v/>
      </c>
      <c r="L327" s="26">
        <f>IF($C327="","",INDEX(입력_인턴근무계획!$N$3:$N$402,$A327)&amp;"")</f>
        <v/>
      </c>
      <c r="M327" s="26">
        <f>IF($C327="","",INDEX(입력_인턴근무계획!$O$3:$O$402,$A327)&amp;"")</f>
        <v/>
      </c>
      <c r="N327" s="26">
        <f>IF($C327="","",INDEX(입력_인턴근무계획!$P$3:$P$402,$A327)&amp;"")</f>
        <v/>
      </c>
      <c r="O327" s="26">
        <f>IF($C327="","",INDEX(입력_인턴근무계획!$Q$3:$Q$402,$A327)&amp;"")</f>
        <v/>
      </c>
      <c r="P327" s="26">
        <f>IF($C327="","",INDEX(입력_인턴근무계획!$R$3:$R$402,$A327)&amp;"")</f>
        <v/>
      </c>
      <c r="Q327" s="26">
        <f>IF($C327="","",INDEX(입력_인턴근무계획!$T$3:$T$402,$A327))</f>
        <v/>
      </c>
    </row>
    <row r="328">
      <c r="A328" s="29" t="n">
        <v>323</v>
      </c>
      <c r="B328" s="26">
        <f>IF($C328="","",INDEX(입력_인턴근무계획!$B$3:$B$402,$A328))</f>
        <v/>
      </c>
      <c r="C328" s="26">
        <f>IFERROR(TRIM(INDEX(입력_인턴근무계획!$C$3:$C$402,$A328)&amp;""),"")</f>
        <v/>
      </c>
      <c r="D328" s="26">
        <f>IF($C328="","",INDEX(입력_인턴근무계획!$D$3:$D$402,$A328))</f>
        <v/>
      </c>
      <c r="E328" s="26">
        <f>IF($C328="","",IF(IFERROR(MATCH($D328,입력_기본자료!$B$2:$B$1001,0),IFERROR(MATCH($D328&amp;"",입력_기본자료!$B$2:$B$1001,0),IFERROR(MATCH(VALUE($D328),입력_기본자료!$B$2:$B$1001,0),0)))&gt;0,"확인","미등록"))</f>
        <v/>
      </c>
      <c r="F328" s="28">
        <f>IF($C328="","",INDEX(입력_인턴근무계획!$S$3:$S$402,$A328))</f>
        <v/>
      </c>
      <c r="G328" s="26">
        <f>IF(OR($C328="",$G$3=""),"",IF(INDEX(입력_인턴근무계획!$M$3:$R$402,$A328,$G$3)&amp;""="","",IF(LEFT(INDEX(입력_인턴근무계획!$M$3:$R$402,$A328,$G$3)&amp;"",1)="⚠",INDEX(입력_인턴근무계획!$M$3:$R$402,$A328,$G$3)&amp;"",LEFT(INDEX(입력_인턴근무계획!$M$3:$R$402,$A328,$G$3)&amp;"",FIND(" ",INDEX(입력_인턴근무계획!$M$3:$R$402,$A328,$G$3)&amp;"")-1))))</f>
        <v/>
      </c>
      <c r="H328" s="26">
        <f>IF(OR($C328="",$G$3=""),"",IF(INDEX(입력_인턴근무계획!$M$3:$R$402,$A328,$G$3)&amp;""="","",IF(LEFT(INDEX(입력_인턴근무계획!$M$3:$R$402,$A328,$G$3)&amp;"",1)="⚠","",MID(INDEX(입력_인턴근무계획!$M$3:$R$402,$A328,$G$3)&amp;"",FIND(" ",INDEX(입력_인턴근무계획!$M$3:$R$402,$A328,$G$3)&amp;"")+1,60))))</f>
        <v/>
      </c>
      <c r="I328" s="26">
        <f>IF(OR($C328="",$I$3=""),"",IF(INDEX(입력_인턴근무계획!$M$3:$R$402,$A328,$I$3)&amp;""="","",IF(LEFT(INDEX(입력_인턴근무계획!$M$3:$R$402,$A328,$I$3)&amp;"",1)="⚠",INDEX(입력_인턴근무계획!$M$3:$R$402,$A328,$I$3)&amp;"",LEFT(INDEX(입력_인턴근무계획!$M$3:$R$402,$A328,$I$3)&amp;"",FIND(" ",INDEX(입력_인턴근무계획!$M$3:$R$402,$A328,$I$3)&amp;"")-1))))</f>
        <v/>
      </c>
      <c r="J328" s="26">
        <f>IF(OR($C328="",$I$3=""),"",IF(INDEX(입력_인턴근무계획!$M$3:$R$402,$A328,$I$3)&amp;""="","",IF(LEFT(INDEX(입력_인턴근무계획!$M$3:$R$402,$A328,$I$3)&amp;"",1)="⚠","",MID(INDEX(입력_인턴근무계획!$M$3:$R$402,$A328,$I$3)&amp;"",FIND(" ",INDEX(입력_인턴근무계획!$M$3:$R$402,$A328,$I$3)&amp;"")+1,60))))</f>
        <v/>
      </c>
      <c r="K328" s="26">
        <f>IF($C328="","",INDEX(입력_인턴근무계획!$M$3:$M$402,$A328)&amp;"")</f>
        <v/>
      </c>
      <c r="L328" s="26">
        <f>IF($C328="","",INDEX(입력_인턴근무계획!$N$3:$N$402,$A328)&amp;"")</f>
        <v/>
      </c>
      <c r="M328" s="26">
        <f>IF($C328="","",INDEX(입력_인턴근무계획!$O$3:$O$402,$A328)&amp;"")</f>
        <v/>
      </c>
      <c r="N328" s="26">
        <f>IF($C328="","",INDEX(입력_인턴근무계획!$P$3:$P$402,$A328)&amp;"")</f>
        <v/>
      </c>
      <c r="O328" s="26">
        <f>IF($C328="","",INDEX(입력_인턴근무계획!$Q$3:$Q$402,$A328)&amp;"")</f>
        <v/>
      </c>
      <c r="P328" s="26">
        <f>IF($C328="","",INDEX(입력_인턴근무계획!$R$3:$R$402,$A328)&amp;"")</f>
        <v/>
      </c>
      <c r="Q328" s="26">
        <f>IF($C328="","",INDEX(입력_인턴근무계획!$T$3:$T$402,$A328))</f>
        <v/>
      </c>
    </row>
    <row r="329">
      <c r="A329" s="29" t="n">
        <v>324</v>
      </c>
      <c r="B329" s="26">
        <f>IF($C329="","",INDEX(입력_인턴근무계획!$B$3:$B$402,$A329))</f>
        <v/>
      </c>
      <c r="C329" s="26">
        <f>IFERROR(TRIM(INDEX(입력_인턴근무계획!$C$3:$C$402,$A329)&amp;""),"")</f>
        <v/>
      </c>
      <c r="D329" s="26">
        <f>IF($C329="","",INDEX(입력_인턴근무계획!$D$3:$D$402,$A329))</f>
        <v/>
      </c>
      <c r="E329" s="26">
        <f>IF($C329="","",IF(IFERROR(MATCH($D329,입력_기본자료!$B$2:$B$1001,0),IFERROR(MATCH($D329&amp;"",입력_기본자료!$B$2:$B$1001,0),IFERROR(MATCH(VALUE($D329),입력_기본자료!$B$2:$B$1001,0),0)))&gt;0,"확인","미등록"))</f>
        <v/>
      </c>
      <c r="F329" s="28">
        <f>IF($C329="","",INDEX(입력_인턴근무계획!$S$3:$S$402,$A329))</f>
        <v/>
      </c>
      <c r="G329" s="26">
        <f>IF(OR($C329="",$G$3=""),"",IF(INDEX(입력_인턴근무계획!$M$3:$R$402,$A329,$G$3)&amp;""="","",IF(LEFT(INDEX(입력_인턴근무계획!$M$3:$R$402,$A329,$G$3)&amp;"",1)="⚠",INDEX(입력_인턴근무계획!$M$3:$R$402,$A329,$G$3)&amp;"",LEFT(INDEX(입력_인턴근무계획!$M$3:$R$402,$A329,$G$3)&amp;"",FIND(" ",INDEX(입력_인턴근무계획!$M$3:$R$402,$A329,$G$3)&amp;"")-1))))</f>
        <v/>
      </c>
      <c r="H329" s="26">
        <f>IF(OR($C329="",$G$3=""),"",IF(INDEX(입력_인턴근무계획!$M$3:$R$402,$A329,$G$3)&amp;""="","",IF(LEFT(INDEX(입력_인턴근무계획!$M$3:$R$402,$A329,$G$3)&amp;"",1)="⚠","",MID(INDEX(입력_인턴근무계획!$M$3:$R$402,$A329,$G$3)&amp;"",FIND(" ",INDEX(입력_인턴근무계획!$M$3:$R$402,$A329,$G$3)&amp;"")+1,60))))</f>
        <v/>
      </c>
      <c r="I329" s="26">
        <f>IF(OR($C329="",$I$3=""),"",IF(INDEX(입력_인턴근무계획!$M$3:$R$402,$A329,$I$3)&amp;""="","",IF(LEFT(INDEX(입력_인턴근무계획!$M$3:$R$402,$A329,$I$3)&amp;"",1)="⚠",INDEX(입력_인턴근무계획!$M$3:$R$402,$A329,$I$3)&amp;"",LEFT(INDEX(입력_인턴근무계획!$M$3:$R$402,$A329,$I$3)&amp;"",FIND(" ",INDEX(입력_인턴근무계획!$M$3:$R$402,$A329,$I$3)&amp;"")-1))))</f>
        <v/>
      </c>
      <c r="J329" s="26">
        <f>IF(OR($C329="",$I$3=""),"",IF(INDEX(입력_인턴근무계획!$M$3:$R$402,$A329,$I$3)&amp;""="","",IF(LEFT(INDEX(입력_인턴근무계획!$M$3:$R$402,$A329,$I$3)&amp;"",1)="⚠","",MID(INDEX(입력_인턴근무계획!$M$3:$R$402,$A329,$I$3)&amp;"",FIND(" ",INDEX(입력_인턴근무계획!$M$3:$R$402,$A329,$I$3)&amp;"")+1,60))))</f>
        <v/>
      </c>
      <c r="K329" s="26">
        <f>IF($C329="","",INDEX(입력_인턴근무계획!$M$3:$M$402,$A329)&amp;"")</f>
        <v/>
      </c>
      <c r="L329" s="26">
        <f>IF($C329="","",INDEX(입력_인턴근무계획!$N$3:$N$402,$A329)&amp;"")</f>
        <v/>
      </c>
      <c r="M329" s="26">
        <f>IF($C329="","",INDEX(입력_인턴근무계획!$O$3:$O$402,$A329)&amp;"")</f>
        <v/>
      </c>
      <c r="N329" s="26">
        <f>IF($C329="","",INDEX(입력_인턴근무계획!$P$3:$P$402,$A329)&amp;"")</f>
        <v/>
      </c>
      <c r="O329" s="26">
        <f>IF($C329="","",INDEX(입력_인턴근무계획!$Q$3:$Q$402,$A329)&amp;"")</f>
        <v/>
      </c>
      <c r="P329" s="26">
        <f>IF($C329="","",INDEX(입력_인턴근무계획!$R$3:$R$402,$A329)&amp;"")</f>
        <v/>
      </c>
      <c r="Q329" s="26">
        <f>IF($C329="","",INDEX(입력_인턴근무계획!$T$3:$T$402,$A329))</f>
        <v/>
      </c>
    </row>
    <row r="330">
      <c r="A330" s="29" t="n">
        <v>325</v>
      </c>
      <c r="B330" s="26">
        <f>IF($C330="","",INDEX(입력_인턴근무계획!$B$3:$B$402,$A330))</f>
        <v/>
      </c>
      <c r="C330" s="26">
        <f>IFERROR(TRIM(INDEX(입력_인턴근무계획!$C$3:$C$402,$A330)&amp;""),"")</f>
        <v/>
      </c>
      <c r="D330" s="26">
        <f>IF($C330="","",INDEX(입력_인턴근무계획!$D$3:$D$402,$A330))</f>
        <v/>
      </c>
      <c r="E330" s="26">
        <f>IF($C330="","",IF(IFERROR(MATCH($D330,입력_기본자료!$B$2:$B$1001,0),IFERROR(MATCH($D330&amp;"",입력_기본자료!$B$2:$B$1001,0),IFERROR(MATCH(VALUE($D330),입력_기본자료!$B$2:$B$1001,0),0)))&gt;0,"확인","미등록"))</f>
        <v/>
      </c>
      <c r="F330" s="28">
        <f>IF($C330="","",INDEX(입력_인턴근무계획!$S$3:$S$402,$A330))</f>
        <v/>
      </c>
      <c r="G330" s="26">
        <f>IF(OR($C330="",$G$3=""),"",IF(INDEX(입력_인턴근무계획!$M$3:$R$402,$A330,$G$3)&amp;""="","",IF(LEFT(INDEX(입력_인턴근무계획!$M$3:$R$402,$A330,$G$3)&amp;"",1)="⚠",INDEX(입력_인턴근무계획!$M$3:$R$402,$A330,$G$3)&amp;"",LEFT(INDEX(입력_인턴근무계획!$M$3:$R$402,$A330,$G$3)&amp;"",FIND(" ",INDEX(입력_인턴근무계획!$M$3:$R$402,$A330,$G$3)&amp;"")-1))))</f>
        <v/>
      </c>
      <c r="H330" s="26">
        <f>IF(OR($C330="",$G$3=""),"",IF(INDEX(입력_인턴근무계획!$M$3:$R$402,$A330,$G$3)&amp;""="","",IF(LEFT(INDEX(입력_인턴근무계획!$M$3:$R$402,$A330,$G$3)&amp;"",1)="⚠","",MID(INDEX(입력_인턴근무계획!$M$3:$R$402,$A330,$G$3)&amp;"",FIND(" ",INDEX(입력_인턴근무계획!$M$3:$R$402,$A330,$G$3)&amp;"")+1,60))))</f>
        <v/>
      </c>
      <c r="I330" s="26">
        <f>IF(OR($C330="",$I$3=""),"",IF(INDEX(입력_인턴근무계획!$M$3:$R$402,$A330,$I$3)&amp;""="","",IF(LEFT(INDEX(입력_인턴근무계획!$M$3:$R$402,$A330,$I$3)&amp;"",1)="⚠",INDEX(입력_인턴근무계획!$M$3:$R$402,$A330,$I$3)&amp;"",LEFT(INDEX(입력_인턴근무계획!$M$3:$R$402,$A330,$I$3)&amp;"",FIND(" ",INDEX(입력_인턴근무계획!$M$3:$R$402,$A330,$I$3)&amp;"")-1))))</f>
        <v/>
      </c>
      <c r="J330" s="26">
        <f>IF(OR($C330="",$I$3=""),"",IF(INDEX(입력_인턴근무계획!$M$3:$R$402,$A330,$I$3)&amp;""="","",IF(LEFT(INDEX(입력_인턴근무계획!$M$3:$R$402,$A330,$I$3)&amp;"",1)="⚠","",MID(INDEX(입력_인턴근무계획!$M$3:$R$402,$A330,$I$3)&amp;"",FIND(" ",INDEX(입력_인턴근무계획!$M$3:$R$402,$A330,$I$3)&amp;"")+1,60))))</f>
        <v/>
      </c>
      <c r="K330" s="26">
        <f>IF($C330="","",INDEX(입력_인턴근무계획!$M$3:$M$402,$A330)&amp;"")</f>
        <v/>
      </c>
      <c r="L330" s="26">
        <f>IF($C330="","",INDEX(입력_인턴근무계획!$N$3:$N$402,$A330)&amp;"")</f>
        <v/>
      </c>
      <c r="M330" s="26">
        <f>IF($C330="","",INDEX(입력_인턴근무계획!$O$3:$O$402,$A330)&amp;"")</f>
        <v/>
      </c>
      <c r="N330" s="26">
        <f>IF($C330="","",INDEX(입력_인턴근무계획!$P$3:$P$402,$A330)&amp;"")</f>
        <v/>
      </c>
      <c r="O330" s="26">
        <f>IF($C330="","",INDEX(입력_인턴근무계획!$Q$3:$Q$402,$A330)&amp;"")</f>
        <v/>
      </c>
      <c r="P330" s="26">
        <f>IF($C330="","",INDEX(입력_인턴근무계획!$R$3:$R$402,$A330)&amp;"")</f>
        <v/>
      </c>
      <c r="Q330" s="26">
        <f>IF($C330="","",INDEX(입력_인턴근무계획!$T$3:$T$402,$A330))</f>
        <v/>
      </c>
    </row>
    <row r="331">
      <c r="A331" s="29" t="n">
        <v>326</v>
      </c>
      <c r="B331" s="26">
        <f>IF($C331="","",INDEX(입력_인턴근무계획!$B$3:$B$402,$A331))</f>
        <v/>
      </c>
      <c r="C331" s="26">
        <f>IFERROR(TRIM(INDEX(입력_인턴근무계획!$C$3:$C$402,$A331)&amp;""),"")</f>
        <v/>
      </c>
      <c r="D331" s="26">
        <f>IF($C331="","",INDEX(입력_인턴근무계획!$D$3:$D$402,$A331))</f>
        <v/>
      </c>
      <c r="E331" s="26">
        <f>IF($C331="","",IF(IFERROR(MATCH($D331,입력_기본자료!$B$2:$B$1001,0),IFERROR(MATCH($D331&amp;"",입력_기본자료!$B$2:$B$1001,0),IFERROR(MATCH(VALUE($D331),입력_기본자료!$B$2:$B$1001,0),0)))&gt;0,"확인","미등록"))</f>
        <v/>
      </c>
      <c r="F331" s="28">
        <f>IF($C331="","",INDEX(입력_인턴근무계획!$S$3:$S$402,$A331))</f>
        <v/>
      </c>
      <c r="G331" s="26">
        <f>IF(OR($C331="",$G$3=""),"",IF(INDEX(입력_인턴근무계획!$M$3:$R$402,$A331,$G$3)&amp;""="","",IF(LEFT(INDEX(입력_인턴근무계획!$M$3:$R$402,$A331,$G$3)&amp;"",1)="⚠",INDEX(입력_인턴근무계획!$M$3:$R$402,$A331,$G$3)&amp;"",LEFT(INDEX(입력_인턴근무계획!$M$3:$R$402,$A331,$G$3)&amp;"",FIND(" ",INDEX(입력_인턴근무계획!$M$3:$R$402,$A331,$G$3)&amp;"")-1))))</f>
        <v/>
      </c>
      <c r="H331" s="26">
        <f>IF(OR($C331="",$G$3=""),"",IF(INDEX(입력_인턴근무계획!$M$3:$R$402,$A331,$G$3)&amp;""="","",IF(LEFT(INDEX(입력_인턴근무계획!$M$3:$R$402,$A331,$G$3)&amp;"",1)="⚠","",MID(INDEX(입력_인턴근무계획!$M$3:$R$402,$A331,$G$3)&amp;"",FIND(" ",INDEX(입력_인턴근무계획!$M$3:$R$402,$A331,$G$3)&amp;"")+1,60))))</f>
        <v/>
      </c>
      <c r="I331" s="26">
        <f>IF(OR($C331="",$I$3=""),"",IF(INDEX(입력_인턴근무계획!$M$3:$R$402,$A331,$I$3)&amp;""="","",IF(LEFT(INDEX(입력_인턴근무계획!$M$3:$R$402,$A331,$I$3)&amp;"",1)="⚠",INDEX(입력_인턴근무계획!$M$3:$R$402,$A331,$I$3)&amp;"",LEFT(INDEX(입력_인턴근무계획!$M$3:$R$402,$A331,$I$3)&amp;"",FIND(" ",INDEX(입력_인턴근무계획!$M$3:$R$402,$A331,$I$3)&amp;"")-1))))</f>
        <v/>
      </c>
      <c r="J331" s="26">
        <f>IF(OR($C331="",$I$3=""),"",IF(INDEX(입력_인턴근무계획!$M$3:$R$402,$A331,$I$3)&amp;""="","",IF(LEFT(INDEX(입력_인턴근무계획!$M$3:$R$402,$A331,$I$3)&amp;"",1)="⚠","",MID(INDEX(입력_인턴근무계획!$M$3:$R$402,$A331,$I$3)&amp;"",FIND(" ",INDEX(입력_인턴근무계획!$M$3:$R$402,$A331,$I$3)&amp;"")+1,60))))</f>
        <v/>
      </c>
      <c r="K331" s="26">
        <f>IF($C331="","",INDEX(입력_인턴근무계획!$M$3:$M$402,$A331)&amp;"")</f>
        <v/>
      </c>
      <c r="L331" s="26">
        <f>IF($C331="","",INDEX(입력_인턴근무계획!$N$3:$N$402,$A331)&amp;"")</f>
        <v/>
      </c>
      <c r="M331" s="26">
        <f>IF($C331="","",INDEX(입력_인턴근무계획!$O$3:$O$402,$A331)&amp;"")</f>
        <v/>
      </c>
      <c r="N331" s="26">
        <f>IF($C331="","",INDEX(입력_인턴근무계획!$P$3:$P$402,$A331)&amp;"")</f>
        <v/>
      </c>
      <c r="O331" s="26">
        <f>IF($C331="","",INDEX(입력_인턴근무계획!$Q$3:$Q$402,$A331)&amp;"")</f>
        <v/>
      </c>
      <c r="P331" s="26">
        <f>IF($C331="","",INDEX(입력_인턴근무계획!$R$3:$R$402,$A331)&amp;"")</f>
        <v/>
      </c>
      <c r="Q331" s="26">
        <f>IF($C331="","",INDEX(입력_인턴근무계획!$T$3:$T$402,$A331))</f>
        <v/>
      </c>
    </row>
    <row r="332">
      <c r="A332" s="29" t="n">
        <v>327</v>
      </c>
      <c r="B332" s="26">
        <f>IF($C332="","",INDEX(입력_인턴근무계획!$B$3:$B$402,$A332))</f>
        <v/>
      </c>
      <c r="C332" s="26">
        <f>IFERROR(TRIM(INDEX(입력_인턴근무계획!$C$3:$C$402,$A332)&amp;""),"")</f>
        <v/>
      </c>
      <c r="D332" s="26">
        <f>IF($C332="","",INDEX(입력_인턴근무계획!$D$3:$D$402,$A332))</f>
        <v/>
      </c>
      <c r="E332" s="26">
        <f>IF($C332="","",IF(IFERROR(MATCH($D332,입력_기본자료!$B$2:$B$1001,0),IFERROR(MATCH($D332&amp;"",입력_기본자료!$B$2:$B$1001,0),IFERROR(MATCH(VALUE($D332),입력_기본자료!$B$2:$B$1001,0),0)))&gt;0,"확인","미등록"))</f>
        <v/>
      </c>
      <c r="F332" s="28">
        <f>IF($C332="","",INDEX(입력_인턴근무계획!$S$3:$S$402,$A332))</f>
        <v/>
      </c>
      <c r="G332" s="26">
        <f>IF(OR($C332="",$G$3=""),"",IF(INDEX(입력_인턴근무계획!$M$3:$R$402,$A332,$G$3)&amp;""="","",IF(LEFT(INDEX(입력_인턴근무계획!$M$3:$R$402,$A332,$G$3)&amp;"",1)="⚠",INDEX(입력_인턴근무계획!$M$3:$R$402,$A332,$G$3)&amp;"",LEFT(INDEX(입력_인턴근무계획!$M$3:$R$402,$A332,$G$3)&amp;"",FIND(" ",INDEX(입력_인턴근무계획!$M$3:$R$402,$A332,$G$3)&amp;"")-1))))</f>
        <v/>
      </c>
      <c r="H332" s="26">
        <f>IF(OR($C332="",$G$3=""),"",IF(INDEX(입력_인턴근무계획!$M$3:$R$402,$A332,$G$3)&amp;""="","",IF(LEFT(INDEX(입력_인턴근무계획!$M$3:$R$402,$A332,$G$3)&amp;"",1)="⚠","",MID(INDEX(입력_인턴근무계획!$M$3:$R$402,$A332,$G$3)&amp;"",FIND(" ",INDEX(입력_인턴근무계획!$M$3:$R$402,$A332,$G$3)&amp;"")+1,60))))</f>
        <v/>
      </c>
      <c r="I332" s="26">
        <f>IF(OR($C332="",$I$3=""),"",IF(INDEX(입력_인턴근무계획!$M$3:$R$402,$A332,$I$3)&amp;""="","",IF(LEFT(INDEX(입력_인턴근무계획!$M$3:$R$402,$A332,$I$3)&amp;"",1)="⚠",INDEX(입력_인턴근무계획!$M$3:$R$402,$A332,$I$3)&amp;"",LEFT(INDEX(입력_인턴근무계획!$M$3:$R$402,$A332,$I$3)&amp;"",FIND(" ",INDEX(입력_인턴근무계획!$M$3:$R$402,$A332,$I$3)&amp;"")-1))))</f>
        <v/>
      </c>
      <c r="J332" s="26">
        <f>IF(OR($C332="",$I$3=""),"",IF(INDEX(입력_인턴근무계획!$M$3:$R$402,$A332,$I$3)&amp;""="","",IF(LEFT(INDEX(입력_인턴근무계획!$M$3:$R$402,$A332,$I$3)&amp;"",1)="⚠","",MID(INDEX(입력_인턴근무계획!$M$3:$R$402,$A332,$I$3)&amp;"",FIND(" ",INDEX(입력_인턴근무계획!$M$3:$R$402,$A332,$I$3)&amp;"")+1,60))))</f>
        <v/>
      </c>
      <c r="K332" s="26">
        <f>IF($C332="","",INDEX(입력_인턴근무계획!$M$3:$M$402,$A332)&amp;"")</f>
        <v/>
      </c>
      <c r="L332" s="26">
        <f>IF($C332="","",INDEX(입력_인턴근무계획!$N$3:$N$402,$A332)&amp;"")</f>
        <v/>
      </c>
      <c r="M332" s="26">
        <f>IF($C332="","",INDEX(입력_인턴근무계획!$O$3:$O$402,$A332)&amp;"")</f>
        <v/>
      </c>
      <c r="N332" s="26">
        <f>IF($C332="","",INDEX(입력_인턴근무계획!$P$3:$P$402,$A332)&amp;"")</f>
        <v/>
      </c>
      <c r="O332" s="26">
        <f>IF($C332="","",INDEX(입력_인턴근무계획!$Q$3:$Q$402,$A332)&amp;"")</f>
        <v/>
      </c>
      <c r="P332" s="26">
        <f>IF($C332="","",INDEX(입력_인턴근무계획!$R$3:$R$402,$A332)&amp;"")</f>
        <v/>
      </c>
      <c r="Q332" s="26">
        <f>IF($C332="","",INDEX(입력_인턴근무계획!$T$3:$T$402,$A332))</f>
        <v/>
      </c>
    </row>
    <row r="333">
      <c r="A333" s="29" t="n">
        <v>328</v>
      </c>
      <c r="B333" s="26">
        <f>IF($C333="","",INDEX(입력_인턴근무계획!$B$3:$B$402,$A333))</f>
        <v/>
      </c>
      <c r="C333" s="26">
        <f>IFERROR(TRIM(INDEX(입력_인턴근무계획!$C$3:$C$402,$A333)&amp;""),"")</f>
        <v/>
      </c>
      <c r="D333" s="26">
        <f>IF($C333="","",INDEX(입력_인턴근무계획!$D$3:$D$402,$A333))</f>
        <v/>
      </c>
      <c r="E333" s="26">
        <f>IF($C333="","",IF(IFERROR(MATCH($D333,입력_기본자료!$B$2:$B$1001,0),IFERROR(MATCH($D333&amp;"",입력_기본자료!$B$2:$B$1001,0),IFERROR(MATCH(VALUE($D333),입력_기본자료!$B$2:$B$1001,0),0)))&gt;0,"확인","미등록"))</f>
        <v/>
      </c>
      <c r="F333" s="28">
        <f>IF($C333="","",INDEX(입력_인턴근무계획!$S$3:$S$402,$A333))</f>
        <v/>
      </c>
      <c r="G333" s="26">
        <f>IF(OR($C333="",$G$3=""),"",IF(INDEX(입력_인턴근무계획!$M$3:$R$402,$A333,$G$3)&amp;""="","",IF(LEFT(INDEX(입력_인턴근무계획!$M$3:$R$402,$A333,$G$3)&amp;"",1)="⚠",INDEX(입력_인턴근무계획!$M$3:$R$402,$A333,$G$3)&amp;"",LEFT(INDEX(입력_인턴근무계획!$M$3:$R$402,$A333,$G$3)&amp;"",FIND(" ",INDEX(입력_인턴근무계획!$M$3:$R$402,$A333,$G$3)&amp;"")-1))))</f>
        <v/>
      </c>
      <c r="H333" s="26">
        <f>IF(OR($C333="",$G$3=""),"",IF(INDEX(입력_인턴근무계획!$M$3:$R$402,$A333,$G$3)&amp;""="","",IF(LEFT(INDEX(입력_인턴근무계획!$M$3:$R$402,$A333,$G$3)&amp;"",1)="⚠","",MID(INDEX(입력_인턴근무계획!$M$3:$R$402,$A333,$G$3)&amp;"",FIND(" ",INDEX(입력_인턴근무계획!$M$3:$R$402,$A333,$G$3)&amp;"")+1,60))))</f>
        <v/>
      </c>
      <c r="I333" s="26">
        <f>IF(OR($C333="",$I$3=""),"",IF(INDEX(입력_인턴근무계획!$M$3:$R$402,$A333,$I$3)&amp;""="","",IF(LEFT(INDEX(입력_인턴근무계획!$M$3:$R$402,$A333,$I$3)&amp;"",1)="⚠",INDEX(입력_인턴근무계획!$M$3:$R$402,$A333,$I$3)&amp;"",LEFT(INDEX(입력_인턴근무계획!$M$3:$R$402,$A333,$I$3)&amp;"",FIND(" ",INDEX(입력_인턴근무계획!$M$3:$R$402,$A333,$I$3)&amp;"")-1))))</f>
        <v/>
      </c>
      <c r="J333" s="26">
        <f>IF(OR($C333="",$I$3=""),"",IF(INDEX(입력_인턴근무계획!$M$3:$R$402,$A333,$I$3)&amp;""="","",IF(LEFT(INDEX(입력_인턴근무계획!$M$3:$R$402,$A333,$I$3)&amp;"",1)="⚠","",MID(INDEX(입력_인턴근무계획!$M$3:$R$402,$A333,$I$3)&amp;"",FIND(" ",INDEX(입력_인턴근무계획!$M$3:$R$402,$A333,$I$3)&amp;"")+1,60))))</f>
        <v/>
      </c>
      <c r="K333" s="26">
        <f>IF($C333="","",INDEX(입력_인턴근무계획!$M$3:$M$402,$A333)&amp;"")</f>
        <v/>
      </c>
      <c r="L333" s="26">
        <f>IF($C333="","",INDEX(입력_인턴근무계획!$N$3:$N$402,$A333)&amp;"")</f>
        <v/>
      </c>
      <c r="M333" s="26">
        <f>IF($C333="","",INDEX(입력_인턴근무계획!$O$3:$O$402,$A333)&amp;"")</f>
        <v/>
      </c>
      <c r="N333" s="26">
        <f>IF($C333="","",INDEX(입력_인턴근무계획!$P$3:$P$402,$A333)&amp;"")</f>
        <v/>
      </c>
      <c r="O333" s="26">
        <f>IF($C333="","",INDEX(입력_인턴근무계획!$Q$3:$Q$402,$A333)&amp;"")</f>
        <v/>
      </c>
      <c r="P333" s="26">
        <f>IF($C333="","",INDEX(입력_인턴근무계획!$R$3:$R$402,$A333)&amp;"")</f>
        <v/>
      </c>
      <c r="Q333" s="26">
        <f>IF($C333="","",INDEX(입력_인턴근무계획!$T$3:$T$402,$A333))</f>
        <v/>
      </c>
    </row>
    <row r="334">
      <c r="A334" s="29" t="n">
        <v>329</v>
      </c>
      <c r="B334" s="26">
        <f>IF($C334="","",INDEX(입력_인턴근무계획!$B$3:$B$402,$A334))</f>
        <v/>
      </c>
      <c r="C334" s="26">
        <f>IFERROR(TRIM(INDEX(입력_인턴근무계획!$C$3:$C$402,$A334)&amp;""),"")</f>
        <v/>
      </c>
      <c r="D334" s="26">
        <f>IF($C334="","",INDEX(입력_인턴근무계획!$D$3:$D$402,$A334))</f>
        <v/>
      </c>
      <c r="E334" s="26">
        <f>IF($C334="","",IF(IFERROR(MATCH($D334,입력_기본자료!$B$2:$B$1001,0),IFERROR(MATCH($D334&amp;"",입력_기본자료!$B$2:$B$1001,0),IFERROR(MATCH(VALUE($D334),입력_기본자료!$B$2:$B$1001,0),0)))&gt;0,"확인","미등록"))</f>
        <v/>
      </c>
      <c r="F334" s="28">
        <f>IF($C334="","",INDEX(입력_인턴근무계획!$S$3:$S$402,$A334))</f>
        <v/>
      </c>
      <c r="G334" s="26">
        <f>IF(OR($C334="",$G$3=""),"",IF(INDEX(입력_인턴근무계획!$M$3:$R$402,$A334,$G$3)&amp;""="","",IF(LEFT(INDEX(입력_인턴근무계획!$M$3:$R$402,$A334,$G$3)&amp;"",1)="⚠",INDEX(입력_인턴근무계획!$M$3:$R$402,$A334,$G$3)&amp;"",LEFT(INDEX(입력_인턴근무계획!$M$3:$R$402,$A334,$G$3)&amp;"",FIND(" ",INDEX(입력_인턴근무계획!$M$3:$R$402,$A334,$G$3)&amp;"")-1))))</f>
        <v/>
      </c>
      <c r="H334" s="26">
        <f>IF(OR($C334="",$G$3=""),"",IF(INDEX(입력_인턴근무계획!$M$3:$R$402,$A334,$G$3)&amp;""="","",IF(LEFT(INDEX(입력_인턴근무계획!$M$3:$R$402,$A334,$G$3)&amp;"",1)="⚠","",MID(INDEX(입력_인턴근무계획!$M$3:$R$402,$A334,$G$3)&amp;"",FIND(" ",INDEX(입력_인턴근무계획!$M$3:$R$402,$A334,$G$3)&amp;"")+1,60))))</f>
        <v/>
      </c>
      <c r="I334" s="26">
        <f>IF(OR($C334="",$I$3=""),"",IF(INDEX(입력_인턴근무계획!$M$3:$R$402,$A334,$I$3)&amp;""="","",IF(LEFT(INDEX(입력_인턴근무계획!$M$3:$R$402,$A334,$I$3)&amp;"",1)="⚠",INDEX(입력_인턴근무계획!$M$3:$R$402,$A334,$I$3)&amp;"",LEFT(INDEX(입력_인턴근무계획!$M$3:$R$402,$A334,$I$3)&amp;"",FIND(" ",INDEX(입력_인턴근무계획!$M$3:$R$402,$A334,$I$3)&amp;"")-1))))</f>
        <v/>
      </c>
      <c r="J334" s="26">
        <f>IF(OR($C334="",$I$3=""),"",IF(INDEX(입력_인턴근무계획!$M$3:$R$402,$A334,$I$3)&amp;""="","",IF(LEFT(INDEX(입력_인턴근무계획!$M$3:$R$402,$A334,$I$3)&amp;"",1)="⚠","",MID(INDEX(입력_인턴근무계획!$M$3:$R$402,$A334,$I$3)&amp;"",FIND(" ",INDEX(입력_인턴근무계획!$M$3:$R$402,$A334,$I$3)&amp;"")+1,60))))</f>
        <v/>
      </c>
      <c r="K334" s="26">
        <f>IF($C334="","",INDEX(입력_인턴근무계획!$M$3:$M$402,$A334)&amp;"")</f>
        <v/>
      </c>
      <c r="L334" s="26">
        <f>IF($C334="","",INDEX(입력_인턴근무계획!$N$3:$N$402,$A334)&amp;"")</f>
        <v/>
      </c>
      <c r="M334" s="26">
        <f>IF($C334="","",INDEX(입력_인턴근무계획!$O$3:$O$402,$A334)&amp;"")</f>
        <v/>
      </c>
      <c r="N334" s="26">
        <f>IF($C334="","",INDEX(입력_인턴근무계획!$P$3:$P$402,$A334)&amp;"")</f>
        <v/>
      </c>
      <c r="O334" s="26">
        <f>IF($C334="","",INDEX(입력_인턴근무계획!$Q$3:$Q$402,$A334)&amp;"")</f>
        <v/>
      </c>
      <c r="P334" s="26">
        <f>IF($C334="","",INDEX(입력_인턴근무계획!$R$3:$R$402,$A334)&amp;"")</f>
        <v/>
      </c>
      <c r="Q334" s="26">
        <f>IF($C334="","",INDEX(입력_인턴근무계획!$T$3:$T$402,$A334))</f>
        <v/>
      </c>
    </row>
    <row r="335">
      <c r="A335" s="29" t="n">
        <v>330</v>
      </c>
      <c r="B335" s="26">
        <f>IF($C335="","",INDEX(입력_인턴근무계획!$B$3:$B$402,$A335))</f>
        <v/>
      </c>
      <c r="C335" s="26">
        <f>IFERROR(TRIM(INDEX(입력_인턴근무계획!$C$3:$C$402,$A335)&amp;""),"")</f>
        <v/>
      </c>
      <c r="D335" s="26">
        <f>IF($C335="","",INDEX(입력_인턴근무계획!$D$3:$D$402,$A335))</f>
        <v/>
      </c>
      <c r="E335" s="26">
        <f>IF($C335="","",IF(IFERROR(MATCH($D335,입력_기본자료!$B$2:$B$1001,0),IFERROR(MATCH($D335&amp;"",입력_기본자료!$B$2:$B$1001,0),IFERROR(MATCH(VALUE($D335),입력_기본자료!$B$2:$B$1001,0),0)))&gt;0,"확인","미등록"))</f>
        <v/>
      </c>
      <c r="F335" s="28">
        <f>IF($C335="","",INDEX(입력_인턴근무계획!$S$3:$S$402,$A335))</f>
        <v/>
      </c>
      <c r="G335" s="26">
        <f>IF(OR($C335="",$G$3=""),"",IF(INDEX(입력_인턴근무계획!$M$3:$R$402,$A335,$G$3)&amp;""="","",IF(LEFT(INDEX(입력_인턴근무계획!$M$3:$R$402,$A335,$G$3)&amp;"",1)="⚠",INDEX(입력_인턴근무계획!$M$3:$R$402,$A335,$G$3)&amp;"",LEFT(INDEX(입력_인턴근무계획!$M$3:$R$402,$A335,$G$3)&amp;"",FIND(" ",INDEX(입력_인턴근무계획!$M$3:$R$402,$A335,$G$3)&amp;"")-1))))</f>
        <v/>
      </c>
      <c r="H335" s="26">
        <f>IF(OR($C335="",$G$3=""),"",IF(INDEX(입력_인턴근무계획!$M$3:$R$402,$A335,$G$3)&amp;""="","",IF(LEFT(INDEX(입력_인턴근무계획!$M$3:$R$402,$A335,$G$3)&amp;"",1)="⚠","",MID(INDEX(입력_인턴근무계획!$M$3:$R$402,$A335,$G$3)&amp;"",FIND(" ",INDEX(입력_인턴근무계획!$M$3:$R$402,$A335,$G$3)&amp;"")+1,60))))</f>
        <v/>
      </c>
      <c r="I335" s="26">
        <f>IF(OR($C335="",$I$3=""),"",IF(INDEX(입력_인턴근무계획!$M$3:$R$402,$A335,$I$3)&amp;""="","",IF(LEFT(INDEX(입력_인턴근무계획!$M$3:$R$402,$A335,$I$3)&amp;"",1)="⚠",INDEX(입력_인턴근무계획!$M$3:$R$402,$A335,$I$3)&amp;"",LEFT(INDEX(입력_인턴근무계획!$M$3:$R$402,$A335,$I$3)&amp;"",FIND(" ",INDEX(입력_인턴근무계획!$M$3:$R$402,$A335,$I$3)&amp;"")-1))))</f>
        <v/>
      </c>
      <c r="J335" s="26">
        <f>IF(OR($C335="",$I$3=""),"",IF(INDEX(입력_인턴근무계획!$M$3:$R$402,$A335,$I$3)&amp;""="","",IF(LEFT(INDEX(입력_인턴근무계획!$M$3:$R$402,$A335,$I$3)&amp;"",1)="⚠","",MID(INDEX(입력_인턴근무계획!$M$3:$R$402,$A335,$I$3)&amp;"",FIND(" ",INDEX(입력_인턴근무계획!$M$3:$R$402,$A335,$I$3)&amp;"")+1,60))))</f>
        <v/>
      </c>
      <c r="K335" s="26">
        <f>IF($C335="","",INDEX(입력_인턴근무계획!$M$3:$M$402,$A335)&amp;"")</f>
        <v/>
      </c>
      <c r="L335" s="26">
        <f>IF($C335="","",INDEX(입력_인턴근무계획!$N$3:$N$402,$A335)&amp;"")</f>
        <v/>
      </c>
      <c r="M335" s="26">
        <f>IF($C335="","",INDEX(입력_인턴근무계획!$O$3:$O$402,$A335)&amp;"")</f>
        <v/>
      </c>
      <c r="N335" s="26">
        <f>IF($C335="","",INDEX(입력_인턴근무계획!$P$3:$P$402,$A335)&amp;"")</f>
        <v/>
      </c>
      <c r="O335" s="26">
        <f>IF($C335="","",INDEX(입력_인턴근무계획!$Q$3:$Q$402,$A335)&amp;"")</f>
        <v/>
      </c>
      <c r="P335" s="26">
        <f>IF($C335="","",INDEX(입력_인턴근무계획!$R$3:$R$402,$A335)&amp;"")</f>
        <v/>
      </c>
      <c r="Q335" s="26">
        <f>IF($C335="","",INDEX(입력_인턴근무계획!$T$3:$T$402,$A335))</f>
        <v/>
      </c>
    </row>
    <row r="336">
      <c r="A336" s="29" t="n">
        <v>331</v>
      </c>
      <c r="B336" s="26">
        <f>IF($C336="","",INDEX(입력_인턴근무계획!$B$3:$B$402,$A336))</f>
        <v/>
      </c>
      <c r="C336" s="26">
        <f>IFERROR(TRIM(INDEX(입력_인턴근무계획!$C$3:$C$402,$A336)&amp;""),"")</f>
        <v/>
      </c>
      <c r="D336" s="26">
        <f>IF($C336="","",INDEX(입력_인턴근무계획!$D$3:$D$402,$A336))</f>
        <v/>
      </c>
      <c r="E336" s="26">
        <f>IF($C336="","",IF(IFERROR(MATCH($D336,입력_기본자료!$B$2:$B$1001,0),IFERROR(MATCH($D336&amp;"",입력_기본자료!$B$2:$B$1001,0),IFERROR(MATCH(VALUE($D336),입력_기본자료!$B$2:$B$1001,0),0)))&gt;0,"확인","미등록"))</f>
        <v/>
      </c>
      <c r="F336" s="28">
        <f>IF($C336="","",INDEX(입력_인턴근무계획!$S$3:$S$402,$A336))</f>
        <v/>
      </c>
      <c r="G336" s="26">
        <f>IF(OR($C336="",$G$3=""),"",IF(INDEX(입력_인턴근무계획!$M$3:$R$402,$A336,$G$3)&amp;""="","",IF(LEFT(INDEX(입력_인턴근무계획!$M$3:$R$402,$A336,$G$3)&amp;"",1)="⚠",INDEX(입력_인턴근무계획!$M$3:$R$402,$A336,$G$3)&amp;"",LEFT(INDEX(입력_인턴근무계획!$M$3:$R$402,$A336,$G$3)&amp;"",FIND(" ",INDEX(입력_인턴근무계획!$M$3:$R$402,$A336,$G$3)&amp;"")-1))))</f>
        <v/>
      </c>
      <c r="H336" s="26">
        <f>IF(OR($C336="",$G$3=""),"",IF(INDEX(입력_인턴근무계획!$M$3:$R$402,$A336,$G$3)&amp;""="","",IF(LEFT(INDEX(입력_인턴근무계획!$M$3:$R$402,$A336,$G$3)&amp;"",1)="⚠","",MID(INDEX(입력_인턴근무계획!$M$3:$R$402,$A336,$G$3)&amp;"",FIND(" ",INDEX(입력_인턴근무계획!$M$3:$R$402,$A336,$G$3)&amp;"")+1,60))))</f>
        <v/>
      </c>
      <c r="I336" s="26">
        <f>IF(OR($C336="",$I$3=""),"",IF(INDEX(입력_인턴근무계획!$M$3:$R$402,$A336,$I$3)&amp;""="","",IF(LEFT(INDEX(입력_인턴근무계획!$M$3:$R$402,$A336,$I$3)&amp;"",1)="⚠",INDEX(입력_인턴근무계획!$M$3:$R$402,$A336,$I$3)&amp;"",LEFT(INDEX(입력_인턴근무계획!$M$3:$R$402,$A336,$I$3)&amp;"",FIND(" ",INDEX(입력_인턴근무계획!$M$3:$R$402,$A336,$I$3)&amp;"")-1))))</f>
        <v/>
      </c>
      <c r="J336" s="26">
        <f>IF(OR($C336="",$I$3=""),"",IF(INDEX(입력_인턴근무계획!$M$3:$R$402,$A336,$I$3)&amp;""="","",IF(LEFT(INDEX(입력_인턴근무계획!$M$3:$R$402,$A336,$I$3)&amp;"",1)="⚠","",MID(INDEX(입력_인턴근무계획!$M$3:$R$402,$A336,$I$3)&amp;"",FIND(" ",INDEX(입력_인턴근무계획!$M$3:$R$402,$A336,$I$3)&amp;"")+1,60))))</f>
        <v/>
      </c>
      <c r="K336" s="26">
        <f>IF($C336="","",INDEX(입력_인턴근무계획!$M$3:$M$402,$A336)&amp;"")</f>
        <v/>
      </c>
      <c r="L336" s="26">
        <f>IF($C336="","",INDEX(입력_인턴근무계획!$N$3:$N$402,$A336)&amp;"")</f>
        <v/>
      </c>
      <c r="M336" s="26">
        <f>IF($C336="","",INDEX(입력_인턴근무계획!$O$3:$O$402,$A336)&amp;"")</f>
        <v/>
      </c>
      <c r="N336" s="26">
        <f>IF($C336="","",INDEX(입력_인턴근무계획!$P$3:$P$402,$A336)&amp;"")</f>
        <v/>
      </c>
      <c r="O336" s="26">
        <f>IF($C336="","",INDEX(입력_인턴근무계획!$Q$3:$Q$402,$A336)&amp;"")</f>
        <v/>
      </c>
      <c r="P336" s="26">
        <f>IF($C336="","",INDEX(입력_인턴근무계획!$R$3:$R$402,$A336)&amp;"")</f>
        <v/>
      </c>
      <c r="Q336" s="26">
        <f>IF($C336="","",INDEX(입력_인턴근무계획!$T$3:$T$402,$A336))</f>
        <v/>
      </c>
    </row>
    <row r="337">
      <c r="A337" s="29" t="n">
        <v>332</v>
      </c>
      <c r="B337" s="26">
        <f>IF($C337="","",INDEX(입력_인턴근무계획!$B$3:$B$402,$A337))</f>
        <v/>
      </c>
      <c r="C337" s="26">
        <f>IFERROR(TRIM(INDEX(입력_인턴근무계획!$C$3:$C$402,$A337)&amp;""),"")</f>
        <v/>
      </c>
      <c r="D337" s="26">
        <f>IF($C337="","",INDEX(입력_인턴근무계획!$D$3:$D$402,$A337))</f>
        <v/>
      </c>
      <c r="E337" s="26">
        <f>IF($C337="","",IF(IFERROR(MATCH($D337,입력_기본자료!$B$2:$B$1001,0),IFERROR(MATCH($D337&amp;"",입력_기본자료!$B$2:$B$1001,0),IFERROR(MATCH(VALUE($D337),입력_기본자료!$B$2:$B$1001,0),0)))&gt;0,"확인","미등록"))</f>
        <v/>
      </c>
      <c r="F337" s="28">
        <f>IF($C337="","",INDEX(입력_인턴근무계획!$S$3:$S$402,$A337))</f>
        <v/>
      </c>
      <c r="G337" s="26">
        <f>IF(OR($C337="",$G$3=""),"",IF(INDEX(입력_인턴근무계획!$M$3:$R$402,$A337,$G$3)&amp;""="","",IF(LEFT(INDEX(입력_인턴근무계획!$M$3:$R$402,$A337,$G$3)&amp;"",1)="⚠",INDEX(입력_인턴근무계획!$M$3:$R$402,$A337,$G$3)&amp;"",LEFT(INDEX(입력_인턴근무계획!$M$3:$R$402,$A337,$G$3)&amp;"",FIND(" ",INDEX(입력_인턴근무계획!$M$3:$R$402,$A337,$G$3)&amp;"")-1))))</f>
        <v/>
      </c>
      <c r="H337" s="26">
        <f>IF(OR($C337="",$G$3=""),"",IF(INDEX(입력_인턴근무계획!$M$3:$R$402,$A337,$G$3)&amp;""="","",IF(LEFT(INDEX(입력_인턴근무계획!$M$3:$R$402,$A337,$G$3)&amp;"",1)="⚠","",MID(INDEX(입력_인턴근무계획!$M$3:$R$402,$A337,$G$3)&amp;"",FIND(" ",INDEX(입력_인턴근무계획!$M$3:$R$402,$A337,$G$3)&amp;"")+1,60))))</f>
        <v/>
      </c>
      <c r="I337" s="26">
        <f>IF(OR($C337="",$I$3=""),"",IF(INDEX(입력_인턴근무계획!$M$3:$R$402,$A337,$I$3)&amp;""="","",IF(LEFT(INDEX(입력_인턴근무계획!$M$3:$R$402,$A337,$I$3)&amp;"",1)="⚠",INDEX(입력_인턴근무계획!$M$3:$R$402,$A337,$I$3)&amp;"",LEFT(INDEX(입력_인턴근무계획!$M$3:$R$402,$A337,$I$3)&amp;"",FIND(" ",INDEX(입력_인턴근무계획!$M$3:$R$402,$A337,$I$3)&amp;"")-1))))</f>
        <v/>
      </c>
      <c r="J337" s="26">
        <f>IF(OR($C337="",$I$3=""),"",IF(INDEX(입력_인턴근무계획!$M$3:$R$402,$A337,$I$3)&amp;""="","",IF(LEFT(INDEX(입력_인턴근무계획!$M$3:$R$402,$A337,$I$3)&amp;"",1)="⚠","",MID(INDEX(입력_인턴근무계획!$M$3:$R$402,$A337,$I$3)&amp;"",FIND(" ",INDEX(입력_인턴근무계획!$M$3:$R$402,$A337,$I$3)&amp;"")+1,60))))</f>
        <v/>
      </c>
      <c r="K337" s="26">
        <f>IF($C337="","",INDEX(입력_인턴근무계획!$M$3:$M$402,$A337)&amp;"")</f>
        <v/>
      </c>
      <c r="L337" s="26">
        <f>IF($C337="","",INDEX(입력_인턴근무계획!$N$3:$N$402,$A337)&amp;"")</f>
        <v/>
      </c>
      <c r="M337" s="26">
        <f>IF($C337="","",INDEX(입력_인턴근무계획!$O$3:$O$402,$A337)&amp;"")</f>
        <v/>
      </c>
      <c r="N337" s="26">
        <f>IF($C337="","",INDEX(입력_인턴근무계획!$P$3:$P$402,$A337)&amp;"")</f>
        <v/>
      </c>
      <c r="O337" s="26">
        <f>IF($C337="","",INDEX(입력_인턴근무계획!$Q$3:$Q$402,$A337)&amp;"")</f>
        <v/>
      </c>
      <c r="P337" s="26">
        <f>IF($C337="","",INDEX(입력_인턴근무계획!$R$3:$R$402,$A337)&amp;"")</f>
        <v/>
      </c>
      <c r="Q337" s="26">
        <f>IF($C337="","",INDEX(입력_인턴근무계획!$T$3:$T$402,$A337))</f>
        <v/>
      </c>
    </row>
    <row r="338">
      <c r="A338" s="29" t="n">
        <v>333</v>
      </c>
      <c r="B338" s="26">
        <f>IF($C338="","",INDEX(입력_인턴근무계획!$B$3:$B$402,$A338))</f>
        <v/>
      </c>
      <c r="C338" s="26">
        <f>IFERROR(TRIM(INDEX(입력_인턴근무계획!$C$3:$C$402,$A338)&amp;""),"")</f>
        <v/>
      </c>
      <c r="D338" s="26">
        <f>IF($C338="","",INDEX(입력_인턴근무계획!$D$3:$D$402,$A338))</f>
        <v/>
      </c>
      <c r="E338" s="26">
        <f>IF($C338="","",IF(IFERROR(MATCH($D338,입력_기본자료!$B$2:$B$1001,0),IFERROR(MATCH($D338&amp;"",입력_기본자료!$B$2:$B$1001,0),IFERROR(MATCH(VALUE($D338),입력_기본자료!$B$2:$B$1001,0),0)))&gt;0,"확인","미등록"))</f>
        <v/>
      </c>
      <c r="F338" s="28">
        <f>IF($C338="","",INDEX(입력_인턴근무계획!$S$3:$S$402,$A338))</f>
        <v/>
      </c>
      <c r="G338" s="26">
        <f>IF(OR($C338="",$G$3=""),"",IF(INDEX(입력_인턴근무계획!$M$3:$R$402,$A338,$G$3)&amp;""="","",IF(LEFT(INDEX(입력_인턴근무계획!$M$3:$R$402,$A338,$G$3)&amp;"",1)="⚠",INDEX(입력_인턴근무계획!$M$3:$R$402,$A338,$G$3)&amp;"",LEFT(INDEX(입력_인턴근무계획!$M$3:$R$402,$A338,$G$3)&amp;"",FIND(" ",INDEX(입력_인턴근무계획!$M$3:$R$402,$A338,$G$3)&amp;"")-1))))</f>
        <v/>
      </c>
      <c r="H338" s="26">
        <f>IF(OR($C338="",$G$3=""),"",IF(INDEX(입력_인턴근무계획!$M$3:$R$402,$A338,$G$3)&amp;""="","",IF(LEFT(INDEX(입력_인턴근무계획!$M$3:$R$402,$A338,$G$3)&amp;"",1)="⚠","",MID(INDEX(입력_인턴근무계획!$M$3:$R$402,$A338,$G$3)&amp;"",FIND(" ",INDEX(입력_인턴근무계획!$M$3:$R$402,$A338,$G$3)&amp;"")+1,60))))</f>
        <v/>
      </c>
      <c r="I338" s="26">
        <f>IF(OR($C338="",$I$3=""),"",IF(INDEX(입력_인턴근무계획!$M$3:$R$402,$A338,$I$3)&amp;""="","",IF(LEFT(INDEX(입력_인턴근무계획!$M$3:$R$402,$A338,$I$3)&amp;"",1)="⚠",INDEX(입력_인턴근무계획!$M$3:$R$402,$A338,$I$3)&amp;"",LEFT(INDEX(입력_인턴근무계획!$M$3:$R$402,$A338,$I$3)&amp;"",FIND(" ",INDEX(입력_인턴근무계획!$M$3:$R$402,$A338,$I$3)&amp;"")-1))))</f>
        <v/>
      </c>
      <c r="J338" s="26">
        <f>IF(OR($C338="",$I$3=""),"",IF(INDEX(입력_인턴근무계획!$M$3:$R$402,$A338,$I$3)&amp;""="","",IF(LEFT(INDEX(입력_인턴근무계획!$M$3:$R$402,$A338,$I$3)&amp;"",1)="⚠","",MID(INDEX(입력_인턴근무계획!$M$3:$R$402,$A338,$I$3)&amp;"",FIND(" ",INDEX(입력_인턴근무계획!$M$3:$R$402,$A338,$I$3)&amp;"")+1,60))))</f>
        <v/>
      </c>
      <c r="K338" s="26">
        <f>IF($C338="","",INDEX(입력_인턴근무계획!$M$3:$M$402,$A338)&amp;"")</f>
        <v/>
      </c>
      <c r="L338" s="26">
        <f>IF($C338="","",INDEX(입력_인턴근무계획!$N$3:$N$402,$A338)&amp;"")</f>
        <v/>
      </c>
      <c r="M338" s="26">
        <f>IF($C338="","",INDEX(입력_인턴근무계획!$O$3:$O$402,$A338)&amp;"")</f>
        <v/>
      </c>
      <c r="N338" s="26">
        <f>IF($C338="","",INDEX(입력_인턴근무계획!$P$3:$P$402,$A338)&amp;"")</f>
        <v/>
      </c>
      <c r="O338" s="26">
        <f>IF($C338="","",INDEX(입력_인턴근무계획!$Q$3:$Q$402,$A338)&amp;"")</f>
        <v/>
      </c>
      <c r="P338" s="26">
        <f>IF($C338="","",INDEX(입력_인턴근무계획!$R$3:$R$402,$A338)&amp;"")</f>
        <v/>
      </c>
      <c r="Q338" s="26">
        <f>IF($C338="","",INDEX(입력_인턴근무계획!$T$3:$T$402,$A338))</f>
        <v/>
      </c>
    </row>
    <row r="339">
      <c r="A339" s="29" t="n">
        <v>334</v>
      </c>
      <c r="B339" s="26">
        <f>IF($C339="","",INDEX(입력_인턴근무계획!$B$3:$B$402,$A339))</f>
        <v/>
      </c>
      <c r="C339" s="26">
        <f>IFERROR(TRIM(INDEX(입력_인턴근무계획!$C$3:$C$402,$A339)&amp;""),"")</f>
        <v/>
      </c>
      <c r="D339" s="26">
        <f>IF($C339="","",INDEX(입력_인턴근무계획!$D$3:$D$402,$A339))</f>
        <v/>
      </c>
      <c r="E339" s="26">
        <f>IF($C339="","",IF(IFERROR(MATCH($D339,입력_기본자료!$B$2:$B$1001,0),IFERROR(MATCH($D339&amp;"",입력_기본자료!$B$2:$B$1001,0),IFERROR(MATCH(VALUE($D339),입력_기본자료!$B$2:$B$1001,0),0)))&gt;0,"확인","미등록"))</f>
        <v/>
      </c>
      <c r="F339" s="28">
        <f>IF($C339="","",INDEX(입력_인턴근무계획!$S$3:$S$402,$A339))</f>
        <v/>
      </c>
      <c r="G339" s="26">
        <f>IF(OR($C339="",$G$3=""),"",IF(INDEX(입력_인턴근무계획!$M$3:$R$402,$A339,$G$3)&amp;""="","",IF(LEFT(INDEX(입력_인턴근무계획!$M$3:$R$402,$A339,$G$3)&amp;"",1)="⚠",INDEX(입력_인턴근무계획!$M$3:$R$402,$A339,$G$3)&amp;"",LEFT(INDEX(입력_인턴근무계획!$M$3:$R$402,$A339,$G$3)&amp;"",FIND(" ",INDEX(입력_인턴근무계획!$M$3:$R$402,$A339,$G$3)&amp;"")-1))))</f>
        <v/>
      </c>
      <c r="H339" s="26">
        <f>IF(OR($C339="",$G$3=""),"",IF(INDEX(입력_인턴근무계획!$M$3:$R$402,$A339,$G$3)&amp;""="","",IF(LEFT(INDEX(입력_인턴근무계획!$M$3:$R$402,$A339,$G$3)&amp;"",1)="⚠","",MID(INDEX(입력_인턴근무계획!$M$3:$R$402,$A339,$G$3)&amp;"",FIND(" ",INDEX(입력_인턴근무계획!$M$3:$R$402,$A339,$G$3)&amp;"")+1,60))))</f>
        <v/>
      </c>
      <c r="I339" s="26">
        <f>IF(OR($C339="",$I$3=""),"",IF(INDEX(입력_인턴근무계획!$M$3:$R$402,$A339,$I$3)&amp;""="","",IF(LEFT(INDEX(입력_인턴근무계획!$M$3:$R$402,$A339,$I$3)&amp;"",1)="⚠",INDEX(입력_인턴근무계획!$M$3:$R$402,$A339,$I$3)&amp;"",LEFT(INDEX(입력_인턴근무계획!$M$3:$R$402,$A339,$I$3)&amp;"",FIND(" ",INDEX(입력_인턴근무계획!$M$3:$R$402,$A339,$I$3)&amp;"")-1))))</f>
        <v/>
      </c>
      <c r="J339" s="26">
        <f>IF(OR($C339="",$I$3=""),"",IF(INDEX(입력_인턴근무계획!$M$3:$R$402,$A339,$I$3)&amp;""="","",IF(LEFT(INDEX(입력_인턴근무계획!$M$3:$R$402,$A339,$I$3)&amp;"",1)="⚠","",MID(INDEX(입력_인턴근무계획!$M$3:$R$402,$A339,$I$3)&amp;"",FIND(" ",INDEX(입력_인턴근무계획!$M$3:$R$402,$A339,$I$3)&amp;"")+1,60))))</f>
        <v/>
      </c>
      <c r="K339" s="26">
        <f>IF($C339="","",INDEX(입력_인턴근무계획!$M$3:$M$402,$A339)&amp;"")</f>
        <v/>
      </c>
      <c r="L339" s="26">
        <f>IF($C339="","",INDEX(입력_인턴근무계획!$N$3:$N$402,$A339)&amp;"")</f>
        <v/>
      </c>
      <c r="M339" s="26">
        <f>IF($C339="","",INDEX(입력_인턴근무계획!$O$3:$O$402,$A339)&amp;"")</f>
        <v/>
      </c>
      <c r="N339" s="26">
        <f>IF($C339="","",INDEX(입력_인턴근무계획!$P$3:$P$402,$A339)&amp;"")</f>
        <v/>
      </c>
      <c r="O339" s="26">
        <f>IF($C339="","",INDEX(입력_인턴근무계획!$Q$3:$Q$402,$A339)&amp;"")</f>
        <v/>
      </c>
      <c r="P339" s="26">
        <f>IF($C339="","",INDEX(입력_인턴근무계획!$R$3:$R$402,$A339)&amp;"")</f>
        <v/>
      </c>
      <c r="Q339" s="26">
        <f>IF($C339="","",INDEX(입력_인턴근무계획!$T$3:$T$402,$A339))</f>
        <v/>
      </c>
    </row>
    <row r="340">
      <c r="A340" s="29" t="n">
        <v>335</v>
      </c>
      <c r="B340" s="26">
        <f>IF($C340="","",INDEX(입력_인턴근무계획!$B$3:$B$402,$A340))</f>
        <v/>
      </c>
      <c r="C340" s="26">
        <f>IFERROR(TRIM(INDEX(입력_인턴근무계획!$C$3:$C$402,$A340)&amp;""),"")</f>
        <v/>
      </c>
      <c r="D340" s="26">
        <f>IF($C340="","",INDEX(입력_인턴근무계획!$D$3:$D$402,$A340))</f>
        <v/>
      </c>
      <c r="E340" s="26">
        <f>IF($C340="","",IF(IFERROR(MATCH($D340,입력_기본자료!$B$2:$B$1001,0),IFERROR(MATCH($D340&amp;"",입력_기본자료!$B$2:$B$1001,0),IFERROR(MATCH(VALUE($D340),입력_기본자료!$B$2:$B$1001,0),0)))&gt;0,"확인","미등록"))</f>
        <v/>
      </c>
      <c r="F340" s="28">
        <f>IF($C340="","",INDEX(입력_인턴근무계획!$S$3:$S$402,$A340))</f>
        <v/>
      </c>
      <c r="G340" s="26">
        <f>IF(OR($C340="",$G$3=""),"",IF(INDEX(입력_인턴근무계획!$M$3:$R$402,$A340,$G$3)&amp;""="","",IF(LEFT(INDEX(입력_인턴근무계획!$M$3:$R$402,$A340,$G$3)&amp;"",1)="⚠",INDEX(입력_인턴근무계획!$M$3:$R$402,$A340,$G$3)&amp;"",LEFT(INDEX(입력_인턴근무계획!$M$3:$R$402,$A340,$G$3)&amp;"",FIND(" ",INDEX(입력_인턴근무계획!$M$3:$R$402,$A340,$G$3)&amp;"")-1))))</f>
        <v/>
      </c>
      <c r="H340" s="26">
        <f>IF(OR($C340="",$G$3=""),"",IF(INDEX(입력_인턴근무계획!$M$3:$R$402,$A340,$G$3)&amp;""="","",IF(LEFT(INDEX(입력_인턴근무계획!$M$3:$R$402,$A340,$G$3)&amp;"",1)="⚠","",MID(INDEX(입력_인턴근무계획!$M$3:$R$402,$A340,$G$3)&amp;"",FIND(" ",INDEX(입력_인턴근무계획!$M$3:$R$402,$A340,$G$3)&amp;"")+1,60))))</f>
        <v/>
      </c>
      <c r="I340" s="26">
        <f>IF(OR($C340="",$I$3=""),"",IF(INDEX(입력_인턴근무계획!$M$3:$R$402,$A340,$I$3)&amp;""="","",IF(LEFT(INDEX(입력_인턴근무계획!$M$3:$R$402,$A340,$I$3)&amp;"",1)="⚠",INDEX(입력_인턴근무계획!$M$3:$R$402,$A340,$I$3)&amp;"",LEFT(INDEX(입력_인턴근무계획!$M$3:$R$402,$A340,$I$3)&amp;"",FIND(" ",INDEX(입력_인턴근무계획!$M$3:$R$402,$A340,$I$3)&amp;"")-1))))</f>
        <v/>
      </c>
      <c r="J340" s="26">
        <f>IF(OR($C340="",$I$3=""),"",IF(INDEX(입력_인턴근무계획!$M$3:$R$402,$A340,$I$3)&amp;""="","",IF(LEFT(INDEX(입력_인턴근무계획!$M$3:$R$402,$A340,$I$3)&amp;"",1)="⚠","",MID(INDEX(입력_인턴근무계획!$M$3:$R$402,$A340,$I$3)&amp;"",FIND(" ",INDEX(입력_인턴근무계획!$M$3:$R$402,$A340,$I$3)&amp;"")+1,60))))</f>
        <v/>
      </c>
      <c r="K340" s="26">
        <f>IF($C340="","",INDEX(입력_인턴근무계획!$M$3:$M$402,$A340)&amp;"")</f>
        <v/>
      </c>
      <c r="L340" s="26">
        <f>IF($C340="","",INDEX(입력_인턴근무계획!$N$3:$N$402,$A340)&amp;"")</f>
        <v/>
      </c>
      <c r="M340" s="26">
        <f>IF($C340="","",INDEX(입력_인턴근무계획!$O$3:$O$402,$A340)&amp;"")</f>
        <v/>
      </c>
      <c r="N340" s="26">
        <f>IF($C340="","",INDEX(입력_인턴근무계획!$P$3:$P$402,$A340)&amp;"")</f>
        <v/>
      </c>
      <c r="O340" s="26">
        <f>IF($C340="","",INDEX(입력_인턴근무계획!$Q$3:$Q$402,$A340)&amp;"")</f>
        <v/>
      </c>
      <c r="P340" s="26">
        <f>IF($C340="","",INDEX(입력_인턴근무계획!$R$3:$R$402,$A340)&amp;"")</f>
        <v/>
      </c>
      <c r="Q340" s="26">
        <f>IF($C340="","",INDEX(입력_인턴근무계획!$T$3:$T$402,$A340))</f>
        <v/>
      </c>
    </row>
    <row r="341">
      <c r="A341" s="29" t="n">
        <v>336</v>
      </c>
      <c r="B341" s="26">
        <f>IF($C341="","",INDEX(입력_인턴근무계획!$B$3:$B$402,$A341))</f>
        <v/>
      </c>
      <c r="C341" s="26">
        <f>IFERROR(TRIM(INDEX(입력_인턴근무계획!$C$3:$C$402,$A341)&amp;""),"")</f>
        <v/>
      </c>
      <c r="D341" s="26">
        <f>IF($C341="","",INDEX(입력_인턴근무계획!$D$3:$D$402,$A341))</f>
        <v/>
      </c>
      <c r="E341" s="26">
        <f>IF($C341="","",IF(IFERROR(MATCH($D341,입력_기본자료!$B$2:$B$1001,0),IFERROR(MATCH($D341&amp;"",입력_기본자료!$B$2:$B$1001,0),IFERROR(MATCH(VALUE($D341),입력_기본자료!$B$2:$B$1001,0),0)))&gt;0,"확인","미등록"))</f>
        <v/>
      </c>
      <c r="F341" s="28">
        <f>IF($C341="","",INDEX(입력_인턴근무계획!$S$3:$S$402,$A341))</f>
        <v/>
      </c>
      <c r="G341" s="26">
        <f>IF(OR($C341="",$G$3=""),"",IF(INDEX(입력_인턴근무계획!$M$3:$R$402,$A341,$G$3)&amp;""="","",IF(LEFT(INDEX(입력_인턴근무계획!$M$3:$R$402,$A341,$G$3)&amp;"",1)="⚠",INDEX(입력_인턴근무계획!$M$3:$R$402,$A341,$G$3)&amp;"",LEFT(INDEX(입력_인턴근무계획!$M$3:$R$402,$A341,$G$3)&amp;"",FIND(" ",INDEX(입력_인턴근무계획!$M$3:$R$402,$A341,$G$3)&amp;"")-1))))</f>
        <v/>
      </c>
      <c r="H341" s="26">
        <f>IF(OR($C341="",$G$3=""),"",IF(INDEX(입력_인턴근무계획!$M$3:$R$402,$A341,$G$3)&amp;""="","",IF(LEFT(INDEX(입력_인턴근무계획!$M$3:$R$402,$A341,$G$3)&amp;"",1)="⚠","",MID(INDEX(입력_인턴근무계획!$M$3:$R$402,$A341,$G$3)&amp;"",FIND(" ",INDEX(입력_인턴근무계획!$M$3:$R$402,$A341,$G$3)&amp;"")+1,60))))</f>
        <v/>
      </c>
      <c r="I341" s="26">
        <f>IF(OR($C341="",$I$3=""),"",IF(INDEX(입력_인턴근무계획!$M$3:$R$402,$A341,$I$3)&amp;""="","",IF(LEFT(INDEX(입력_인턴근무계획!$M$3:$R$402,$A341,$I$3)&amp;"",1)="⚠",INDEX(입력_인턴근무계획!$M$3:$R$402,$A341,$I$3)&amp;"",LEFT(INDEX(입력_인턴근무계획!$M$3:$R$402,$A341,$I$3)&amp;"",FIND(" ",INDEX(입력_인턴근무계획!$M$3:$R$402,$A341,$I$3)&amp;"")-1))))</f>
        <v/>
      </c>
      <c r="J341" s="26">
        <f>IF(OR($C341="",$I$3=""),"",IF(INDEX(입력_인턴근무계획!$M$3:$R$402,$A341,$I$3)&amp;""="","",IF(LEFT(INDEX(입력_인턴근무계획!$M$3:$R$402,$A341,$I$3)&amp;"",1)="⚠","",MID(INDEX(입력_인턴근무계획!$M$3:$R$402,$A341,$I$3)&amp;"",FIND(" ",INDEX(입력_인턴근무계획!$M$3:$R$402,$A341,$I$3)&amp;"")+1,60))))</f>
        <v/>
      </c>
      <c r="K341" s="26">
        <f>IF($C341="","",INDEX(입력_인턴근무계획!$M$3:$M$402,$A341)&amp;"")</f>
        <v/>
      </c>
      <c r="L341" s="26">
        <f>IF($C341="","",INDEX(입력_인턴근무계획!$N$3:$N$402,$A341)&amp;"")</f>
        <v/>
      </c>
      <c r="M341" s="26">
        <f>IF($C341="","",INDEX(입력_인턴근무계획!$O$3:$O$402,$A341)&amp;"")</f>
        <v/>
      </c>
      <c r="N341" s="26">
        <f>IF($C341="","",INDEX(입력_인턴근무계획!$P$3:$P$402,$A341)&amp;"")</f>
        <v/>
      </c>
      <c r="O341" s="26">
        <f>IF($C341="","",INDEX(입력_인턴근무계획!$Q$3:$Q$402,$A341)&amp;"")</f>
        <v/>
      </c>
      <c r="P341" s="26">
        <f>IF($C341="","",INDEX(입력_인턴근무계획!$R$3:$R$402,$A341)&amp;"")</f>
        <v/>
      </c>
      <c r="Q341" s="26">
        <f>IF($C341="","",INDEX(입력_인턴근무계획!$T$3:$T$402,$A341))</f>
        <v/>
      </c>
    </row>
    <row r="342">
      <c r="A342" s="29" t="n">
        <v>337</v>
      </c>
      <c r="B342" s="26">
        <f>IF($C342="","",INDEX(입력_인턴근무계획!$B$3:$B$402,$A342))</f>
        <v/>
      </c>
      <c r="C342" s="26">
        <f>IFERROR(TRIM(INDEX(입력_인턴근무계획!$C$3:$C$402,$A342)&amp;""),"")</f>
        <v/>
      </c>
      <c r="D342" s="26">
        <f>IF($C342="","",INDEX(입력_인턴근무계획!$D$3:$D$402,$A342))</f>
        <v/>
      </c>
      <c r="E342" s="26">
        <f>IF($C342="","",IF(IFERROR(MATCH($D342,입력_기본자료!$B$2:$B$1001,0),IFERROR(MATCH($D342&amp;"",입력_기본자료!$B$2:$B$1001,0),IFERROR(MATCH(VALUE($D342),입력_기본자료!$B$2:$B$1001,0),0)))&gt;0,"확인","미등록"))</f>
        <v/>
      </c>
      <c r="F342" s="28">
        <f>IF($C342="","",INDEX(입력_인턴근무계획!$S$3:$S$402,$A342))</f>
        <v/>
      </c>
      <c r="G342" s="26">
        <f>IF(OR($C342="",$G$3=""),"",IF(INDEX(입력_인턴근무계획!$M$3:$R$402,$A342,$G$3)&amp;""="","",IF(LEFT(INDEX(입력_인턴근무계획!$M$3:$R$402,$A342,$G$3)&amp;"",1)="⚠",INDEX(입력_인턴근무계획!$M$3:$R$402,$A342,$G$3)&amp;"",LEFT(INDEX(입력_인턴근무계획!$M$3:$R$402,$A342,$G$3)&amp;"",FIND(" ",INDEX(입력_인턴근무계획!$M$3:$R$402,$A342,$G$3)&amp;"")-1))))</f>
        <v/>
      </c>
      <c r="H342" s="26">
        <f>IF(OR($C342="",$G$3=""),"",IF(INDEX(입력_인턴근무계획!$M$3:$R$402,$A342,$G$3)&amp;""="","",IF(LEFT(INDEX(입력_인턴근무계획!$M$3:$R$402,$A342,$G$3)&amp;"",1)="⚠","",MID(INDEX(입력_인턴근무계획!$M$3:$R$402,$A342,$G$3)&amp;"",FIND(" ",INDEX(입력_인턴근무계획!$M$3:$R$402,$A342,$G$3)&amp;"")+1,60))))</f>
        <v/>
      </c>
      <c r="I342" s="26">
        <f>IF(OR($C342="",$I$3=""),"",IF(INDEX(입력_인턴근무계획!$M$3:$R$402,$A342,$I$3)&amp;""="","",IF(LEFT(INDEX(입력_인턴근무계획!$M$3:$R$402,$A342,$I$3)&amp;"",1)="⚠",INDEX(입력_인턴근무계획!$M$3:$R$402,$A342,$I$3)&amp;"",LEFT(INDEX(입력_인턴근무계획!$M$3:$R$402,$A342,$I$3)&amp;"",FIND(" ",INDEX(입력_인턴근무계획!$M$3:$R$402,$A342,$I$3)&amp;"")-1))))</f>
        <v/>
      </c>
      <c r="J342" s="26">
        <f>IF(OR($C342="",$I$3=""),"",IF(INDEX(입력_인턴근무계획!$M$3:$R$402,$A342,$I$3)&amp;""="","",IF(LEFT(INDEX(입력_인턴근무계획!$M$3:$R$402,$A342,$I$3)&amp;"",1)="⚠","",MID(INDEX(입력_인턴근무계획!$M$3:$R$402,$A342,$I$3)&amp;"",FIND(" ",INDEX(입력_인턴근무계획!$M$3:$R$402,$A342,$I$3)&amp;"")+1,60))))</f>
        <v/>
      </c>
      <c r="K342" s="26">
        <f>IF($C342="","",INDEX(입력_인턴근무계획!$M$3:$M$402,$A342)&amp;"")</f>
        <v/>
      </c>
      <c r="L342" s="26">
        <f>IF($C342="","",INDEX(입력_인턴근무계획!$N$3:$N$402,$A342)&amp;"")</f>
        <v/>
      </c>
      <c r="M342" s="26">
        <f>IF($C342="","",INDEX(입력_인턴근무계획!$O$3:$O$402,$A342)&amp;"")</f>
        <v/>
      </c>
      <c r="N342" s="26">
        <f>IF($C342="","",INDEX(입력_인턴근무계획!$P$3:$P$402,$A342)&amp;"")</f>
        <v/>
      </c>
      <c r="O342" s="26">
        <f>IF($C342="","",INDEX(입력_인턴근무계획!$Q$3:$Q$402,$A342)&amp;"")</f>
        <v/>
      </c>
      <c r="P342" s="26">
        <f>IF($C342="","",INDEX(입력_인턴근무계획!$R$3:$R$402,$A342)&amp;"")</f>
        <v/>
      </c>
      <c r="Q342" s="26">
        <f>IF($C342="","",INDEX(입력_인턴근무계획!$T$3:$T$402,$A342))</f>
        <v/>
      </c>
    </row>
    <row r="343">
      <c r="A343" s="29" t="n">
        <v>338</v>
      </c>
      <c r="B343" s="26">
        <f>IF($C343="","",INDEX(입력_인턴근무계획!$B$3:$B$402,$A343))</f>
        <v/>
      </c>
      <c r="C343" s="26">
        <f>IFERROR(TRIM(INDEX(입력_인턴근무계획!$C$3:$C$402,$A343)&amp;""),"")</f>
        <v/>
      </c>
      <c r="D343" s="26">
        <f>IF($C343="","",INDEX(입력_인턴근무계획!$D$3:$D$402,$A343))</f>
        <v/>
      </c>
      <c r="E343" s="26">
        <f>IF($C343="","",IF(IFERROR(MATCH($D343,입력_기본자료!$B$2:$B$1001,0),IFERROR(MATCH($D343&amp;"",입력_기본자료!$B$2:$B$1001,0),IFERROR(MATCH(VALUE($D343),입력_기본자료!$B$2:$B$1001,0),0)))&gt;0,"확인","미등록"))</f>
        <v/>
      </c>
      <c r="F343" s="28">
        <f>IF($C343="","",INDEX(입력_인턴근무계획!$S$3:$S$402,$A343))</f>
        <v/>
      </c>
      <c r="G343" s="26">
        <f>IF(OR($C343="",$G$3=""),"",IF(INDEX(입력_인턴근무계획!$M$3:$R$402,$A343,$G$3)&amp;""="","",IF(LEFT(INDEX(입력_인턴근무계획!$M$3:$R$402,$A343,$G$3)&amp;"",1)="⚠",INDEX(입력_인턴근무계획!$M$3:$R$402,$A343,$G$3)&amp;"",LEFT(INDEX(입력_인턴근무계획!$M$3:$R$402,$A343,$G$3)&amp;"",FIND(" ",INDEX(입력_인턴근무계획!$M$3:$R$402,$A343,$G$3)&amp;"")-1))))</f>
        <v/>
      </c>
      <c r="H343" s="26">
        <f>IF(OR($C343="",$G$3=""),"",IF(INDEX(입력_인턴근무계획!$M$3:$R$402,$A343,$G$3)&amp;""="","",IF(LEFT(INDEX(입력_인턴근무계획!$M$3:$R$402,$A343,$G$3)&amp;"",1)="⚠","",MID(INDEX(입력_인턴근무계획!$M$3:$R$402,$A343,$G$3)&amp;"",FIND(" ",INDEX(입력_인턴근무계획!$M$3:$R$402,$A343,$G$3)&amp;"")+1,60))))</f>
        <v/>
      </c>
      <c r="I343" s="26">
        <f>IF(OR($C343="",$I$3=""),"",IF(INDEX(입력_인턴근무계획!$M$3:$R$402,$A343,$I$3)&amp;""="","",IF(LEFT(INDEX(입력_인턴근무계획!$M$3:$R$402,$A343,$I$3)&amp;"",1)="⚠",INDEX(입력_인턴근무계획!$M$3:$R$402,$A343,$I$3)&amp;"",LEFT(INDEX(입력_인턴근무계획!$M$3:$R$402,$A343,$I$3)&amp;"",FIND(" ",INDEX(입력_인턴근무계획!$M$3:$R$402,$A343,$I$3)&amp;"")-1))))</f>
        <v/>
      </c>
      <c r="J343" s="26">
        <f>IF(OR($C343="",$I$3=""),"",IF(INDEX(입력_인턴근무계획!$M$3:$R$402,$A343,$I$3)&amp;""="","",IF(LEFT(INDEX(입력_인턴근무계획!$M$3:$R$402,$A343,$I$3)&amp;"",1)="⚠","",MID(INDEX(입력_인턴근무계획!$M$3:$R$402,$A343,$I$3)&amp;"",FIND(" ",INDEX(입력_인턴근무계획!$M$3:$R$402,$A343,$I$3)&amp;"")+1,60))))</f>
        <v/>
      </c>
      <c r="K343" s="26">
        <f>IF($C343="","",INDEX(입력_인턴근무계획!$M$3:$M$402,$A343)&amp;"")</f>
        <v/>
      </c>
      <c r="L343" s="26">
        <f>IF($C343="","",INDEX(입력_인턴근무계획!$N$3:$N$402,$A343)&amp;"")</f>
        <v/>
      </c>
      <c r="M343" s="26">
        <f>IF($C343="","",INDEX(입력_인턴근무계획!$O$3:$O$402,$A343)&amp;"")</f>
        <v/>
      </c>
      <c r="N343" s="26">
        <f>IF($C343="","",INDEX(입력_인턴근무계획!$P$3:$P$402,$A343)&amp;"")</f>
        <v/>
      </c>
      <c r="O343" s="26">
        <f>IF($C343="","",INDEX(입력_인턴근무계획!$Q$3:$Q$402,$A343)&amp;"")</f>
        <v/>
      </c>
      <c r="P343" s="26">
        <f>IF($C343="","",INDEX(입력_인턴근무계획!$R$3:$R$402,$A343)&amp;"")</f>
        <v/>
      </c>
      <c r="Q343" s="26">
        <f>IF($C343="","",INDEX(입력_인턴근무계획!$T$3:$T$402,$A343))</f>
        <v/>
      </c>
    </row>
    <row r="344">
      <c r="A344" s="29" t="n">
        <v>339</v>
      </c>
      <c r="B344" s="26">
        <f>IF($C344="","",INDEX(입력_인턴근무계획!$B$3:$B$402,$A344))</f>
        <v/>
      </c>
      <c r="C344" s="26">
        <f>IFERROR(TRIM(INDEX(입력_인턴근무계획!$C$3:$C$402,$A344)&amp;""),"")</f>
        <v/>
      </c>
      <c r="D344" s="26">
        <f>IF($C344="","",INDEX(입력_인턴근무계획!$D$3:$D$402,$A344))</f>
        <v/>
      </c>
      <c r="E344" s="26">
        <f>IF($C344="","",IF(IFERROR(MATCH($D344,입력_기본자료!$B$2:$B$1001,0),IFERROR(MATCH($D344&amp;"",입력_기본자료!$B$2:$B$1001,0),IFERROR(MATCH(VALUE($D344),입력_기본자료!$B$2:$B$1001,0),0)))&gt;0,"확인","미등록"))</f>
        <v/>
      </c>
      <c r="F344" s="28">
        <f>IF($C344="","",INDEX(입력_인턴근무계획!$S$3:$S$402,$A344))</f>
        <v/>
      </c>
      <c r="G344" s="26">
        <f>IF(OR($C344="",$G$3=""),"",IF(INDEX(입력_인턴근무계획!$M$3:$R$402,$A344,$G$3)&amp;""="","",IF(LEFT(INDEX(입력_인턴근무계획!$M$3:$R$402,$A344,$G$3)&amp;"",1)="⚠",INDEX(입력_인턴근무계획!$M$3:$R$402,$A344,$G$3)&amp;"",LEFT(INDEX(입력_인턴근무계획!$M$3:$R$402,$A344,$G$3)&amp;"",FIND(" ",INDEX(입력_인턴근무계획!$M$3:$R$402,$A344,$G$3)&amp;"")-1))))</f>
        <v/>
      </c>
      <c r="H344" s="26">
        <f>IF(OR($C344="",$G$3=""),"",IF(INDEX(입력_인턴근무계획!$M$3:$R$402,$A344,$G$3)&amp;""="","",IF(LEFT(INDEX(입력_인턴근무계획!$M$3:$R$402,$A344,$G$3)&amp;"",1)="⚠","",MID(INDEX(입력_인턴근무계획!$M$3:$R$402,$A344,$G$3)&amp;"",FIND(" ",INDEX(입력_인턴근무계획!$M$3:$R$402,$A344,$G$3)&amp;"")+1,60))))</f>
        <v/>
      </c>
      <c r="I344" s="26">
        <f>IF(OR($C344="",$I$3=""),"",IF(INDEX(입력_인턴근무계획!$M$3:$R$402,$A344,$I$3)&amp;""="","",IF(LEFT(INDEX(입력_인턴근무계획!$M$3:$R$402,$A344,$I$3)&amp;"",1)="⚠",INDEX(입력_인턴근무계획!$M$3:$R$402,$A344,$I$3)&amp;"",LEFT(INDEX(입력_인턴근무계획!$M$3:$R$402,$A344,$I$3)&amp;"",FIND(" ",INDEX(입력_인턴근무계획!$M$3:$R$402,$A344,$I$3)&amp;"")-1))))</f>
        <v/>
      </c>
      <c r="J344" s="26">
        <f>IF(OR($C344="",$I$3=""),"",IF(INDEX(입력_인턴근무계획!$M$3:$R$402,$A344,$I$3)&amp;""="","",IF(LEFT(INDEX(입력_인턴근무계획!$M$3:$R$402,$A344,$I$3)&amp;"",1)="⚠","",MID(INDEX(입력_인턴근무계획!$M$3:$R$402,$A344,$I$3)&amp;"",FIND(" ",INDEX(입력_인턴근무계획!$M$3:$R$402,$A344,$I$3)&amp;"")+1,60))))</f>
        <v/>
      </c>
      <c r="K344" s="26">
        <f>IF($C344="","",INDEX(입력_인턴근무계획!$M$3:$M$402,$A344)&amp;"")</f>
        <v/>
      </c>
      <c r="L344" s="26">
        <f>IF($C344="","",INDEX(입력_인턴근무계획!$N$3:$N$402,$A344)&amp;"")</f>
        <v/>
      </c>
      <c r="M344" s="26">
        <f>IF($C344="","",INDEX(입력_인턴근무계획!$O$3:$O$402,$A344)&amp;"")</f>
        <v/>
      </c>
      <c r="N344" s="26">
        <f>IF($C344="","",INDEX(입력_인턴근무계획!$P$3:$P$402,$A344)&amp;"")</f>
        <v/>
      </c>
      <c r="O344" s="26">
        <f>IF($C344="","",INDEX(입력_인턴근무계획!$Q$3:$Q$402,$A344)&amp;"")</f>
        <v/>
      </c>
      <c r="P344" s="26">
        <f>IF($C344="","",INDEX(입력_인턴근무계획!$R$3:$R$402,$A344)&amp;"")</f>
        <v/>
      </c>
      <c r="Q344" s="26">
        <f>IF($C344="","",INDEX(입력_인턴근무계획!$T$3:$T$402,$A344))</f>
        <v/>
      </c>
    </row>
    <row r="345">
      <c r="A345" s="29" t="n">
        <v>340</v>
      </c>
      <c r="B345" s="26">
        <f>IF($C345="","",INDEX(입력_인턴근무계획!$B$3:$B$402,$A345))</f>
        <v/>
      </c>
      <c r="C345" s="26">
        <f>IFERROR(TRIM(INDEX(입력_인턴근무계획!$C$3:$C$402,$A345)&amp;""),"")</f>
        <v/>
      </c>
      <c r="D345" s="26">
        <f>IF($C345="","",INDEX(입력_인턴근무계획!$D$3:$D$402,$A345))</f>
        <v/>
      </c>
      <c r="E345" s="26">
        <f>IF($C345="","",IF(IFERROR(MATCH($D345,입력_기본자료!$B$2:$B$1001,0),IFERROR(MATCH($D345&amp;"",입력_기본자료!$B$2:$B$1001,0),IFERROR(MATCH(VALUE($D345),입력_기본자료!$B$2:$B$1001,0),0)))&gt;0,"확인","미등록"))</f>
        <v/>
      </c>
      <c r="F345" s="28">
        <f>IF($C345="","",INDEX(입력_인턴근무계획!$S$3:$S$402,$A345))</f>
        <v/>
      </c>
      <c r="G345" s="26">
        <f>IF(OR($C345="",$G$3=""),"",IF(INDEX(입력_인턴근무계획!$M$3:$R$402,$A345,$G$3)&amp;""="","",IF(LEFT(INDEX(입력_인턴근무계획!$M$3:$R$402,$A345,$G$3)&amp;"",1)="⚠",INDEX(입력_인턴근무계획!$M$3:$R$402,$A345,$G$3)&amp;"",LEFT(INDEX(입력_인턴근무계획!$M$3:$R$402,$A345,$G$3)&amp;"",FIND(" ",INDEX(입력_인턴근무계획!$M$3:$R$402,$A345,$G$3)&amp;"")-1))))</f>
        <v/>
      </c>
      <c r="H345" s="26">
        <f>IF(OR($C345="",$G$3=""),"",IF(INDEX(입력_인턴근무계획!$M$3:$R$402,$A345,$G$3)&amp;""="","",IF(LEFT(INDEX(입력_인턴근무계획!$M$3:$R$402,$A345,$G$3)&amp;"",1)="⚠","",MID(INDEX(입력_인턴근무계획!$M$3:$R$402,$A345,$G$3)&amp;"",FIND(" ",INDEX(입력_인턴근무계획!$M$3:$R$402,$A345,$G$3)&amp;"")+1,60))))</f>
        <v/>
      </c>
      <c r="I345" s="26">
        <f>IF(OR($C345="",$I$3=""),"",IF(INDEX(입력_인턴근무계획!$M$3:$R$402,$A345,$I$3)&amp;""="","",IF(LEFT(INDEX(입력_인턴근무계획!$M$3:$R$402,$A345,$I$3)&amp;"",1)="⚠",INDEX(입력_인턴근무계획!$M$3:$R$402,$A345,$I$3)&amp;"",LEFT(INDEX(입력_인턴근무계획!$M$3:$R$402,$A345,$I$3)&amp;"",FIND(" ",INDEX(입력_인턴근무계획!$M$3:$R$402,$A345,$I$3)&amp;"")-1))))</f>
        <v/>
      </c>
      <c r="J345" s="26">
        <f>IF(OR($C345="",$I$3=""),"",IF(INDEX(입력_인턴근무계획!$M$3:$R$402,$A345,$I$3)&amp;""="","",IF(LEFT(INDEX(입력_인턴근무계획!$M$3:$R$402,$A345,$I$3)&amp;"",1)="⚠","",MID(INDEX(입력_인턴근무계획!$M$3:$R$402,$A345,$I$3)&amp;"",FIND(" ",INDEX(입력_인턴근무계획!$M$3:$R$402,$A345,$I$3)&amp;"")+1,60))))</f>
        <v/>
      </c>
      <c r="K345" s="26">
        <f>IF($C345="","",INDEX(입력_인턴근무계획!$M$3:$M$402,$A345)&amp;"")</f>
        <v/>
      </c>
      <c r="L345" s="26">
        <f>IF($C345="","",INDEX(입력_인턴근무계획!$N$3:$N$402,$A345)&amp;"")</f>
        <v/>
      </c>
      <c r="M345" s="26">
        <f>IF($C345="","",INDEX(입력_인턴근무계획!$O$3:$O$402,$A345)&amp;"")</f>
        <v/>
      </c>
      <c r="N345" s="26">
        <f>IF($C345="","",INDEX(입력_인턴근무계획!$P$3:$P$402,$A345)&amp;"")</f>
        <v/>
      </c>
      <c r="O345" s="26">
        <f>IF($C345="","",INDEX(입력_인턴근무계획!$Q$3:$Q$402,$A345)&amp;"")</f>
        <v/>
      </c>
      <c r="P345" s="26">
        <f>IF($C345="","",INDEX(입력_인턴근무계획!$R$3:$R$402,$A345)&amp;"")</f>
        <v/>
      </c>
      <c r="Q345" s="26">
        <f>IF($C345="","",INDEX(입력_인턴근무계획!$T$3:$T$402,$A345))</f>
        <v/>
      </c>
    </row>
    <row r="346">
      <c r="A346" s="29" t="n">
        <v>341</v>
      </c>
      <c r="B346" s="26">
        <f>IF($C346="","",INDEX(입력_인턴근무계획!$B$3:$B$402,$A346))</f>
        <v/>
      </c>
      <c r="C346" s="26">
        <f>IFERROR(TRIM(INDEX(입력_인턴근무계획!$C$3:$C$402,$A346)&amp;""),"")</f>
        <v/>
      </c>
      <c r="D346" s="26">
        <f>IF($C346="","",INDEX(입력_인턴근무계획!$D$3:$D$402,$A346))</f>
        <v/>
      </c>
      <c r="E346" s="26">
        <f>IF($C346="","",IF(IFERROR(MATCH($D346,입력_기본자료!$B$2:$B$1001,0),IFERROR(MATCH($D346&amp;"",입력_기본자료!$B$2:$B$1001,0),IFERROR(MATCH(VALUE($D346),입력_기본자료!$B$2:$B$1001,0),0)))&gt;0,"확인","미등록"))</f>
        <v/>
      </c>
      <c r="F346" s="28">
        <f>IF($C346="","",INDEX(입력_인턴근무계획!$S$3:$S$402,$A346))</f>
        <v/>
      </c>
      <c r="G346" s="26">
        <f>IF(OR($C346="",$G$3=""),"",IF(INDEX(입력_인턴근무계획!$M$3:$R$402,$A346,$G$3)&amp;""="","",IF(LEFT(INDEX(입력_인턴근무계획!$M$3:$R$402,$A346,$G$3)&amp;"",1)="⚠",INDEX(입력_인턴근무계획!$M$3:$R$402,$A346,$G$3)&amp;"",LEFT(INDEX(입력_인턴근무계획!$M$3:$R$402,$A346,$G$3)&amp;"",FIND(" ",INDEX(입력_인턴근무계획!$M$3:$R$402,$A346,$G$3)&amp;"")-1))))</f>
        <v/>
      </c>
      <c r="H346" s="26">
        <f>IF(OR($C346="",$G$3=""),"",IF(INDEX(입력_인턴근무계획!$M$3:$R$402,$A346,$G$3)&amp;""="","",IF(LEFT(INDEX(입력_인턴근무계획!$M$3:$R$402,$A346,$G$3)&amp;"",1)="⚠","",MID(INDEX(입력_인턴근무계획!$M$3:$R$402,$A346,$G$3)&amp;"",FIND(" ",INDEX(입력_인턴근무계획!$M$3:$R$402,$A346,$G$3)&amp;"")+1,60))))</f>
        <v/>
      </c>
      <c r="I346" s="26">
        <f>IF(OR($C346="",$I$3=""),"",IF(INDEX(입력_인턴근무계획!$M$3:$R$402,$A346,$I$3)&amp;""="","",IF(LEFT(INDEX(입력_인턴근무계획!$M$3:$R$402,$A346,$I$3)&amp;"",1)="⚠",INDEX(입력_인턴근무계획!$M$3:$R$402,$A346,$I$3)&amp;"",LEFT(INDEX(입력_인턴근무계획!$M$3:$R$402,$A346,$I$3)&amp;"",FIND(" ",INDEX(입력_인턴근무계획!$M$3:$R$402,$A346,$I$3)&amp;"")-1))))</f>
        <v/>
      </c>
      <c r="J346" s="26">
        <f>IF(OR($C346="",$I$3=""),"",IF(INDEX(입력_인턴근무계획!$M$3:$R$402,$A346,$I$3)&amp;""="","",IF(LEFT(INDEX(입력_인턴근무계획!$M$3:$R$402,$A346,$I$3)&amp;"",1)="⚠","",MID(INDEX(입력_인턴근무계획!$M$3:$R$402,$A346,$I$3)&amp;"",FIND(" ",INDEX(입력_인턴근무계획!$M$3:$R$402,$A346,$I$3)&amp;"")+1,60))))</f>
        <v/>
      </c>
      <c r="K346" s="26">
        <f>IF($C346="","",INDEX(입력_인턴근무계획!$M$3:$M$402,$A346)&amp;"")</f>
        <v/>
      </c>
      <c r="L346" s="26">
        <f>IF($C346="","",INDEX(입력_인턴근무계획!$N$3:$N$402,$A346)&amp;"")</f>
        <v/>
      </c>
      <c r="M346" s="26">
        <f>IF($C346="","",INDEX(입력_인턴근무계획!$O$3:$O$402,$A346)&amp;"")</f>
        <v/>
      </c>
      <c r="N346" s="26">
        <f>IF($C346="","",INDEX(입력_인턴근무계획!$P$3:$P$402,$A346)&amp;"")</f>
        <v/>
      </c>
      <c r="O346" s="26">
        <f>IF($C346="","",INDEX(입력_인턴근무계획!$Q$3:$Q$402,$A346)&amp;"")</f>
        <v/>
      </c>
      <c r="P346" s="26">
        <f>IF($C346="","",INDEX(입력_인턴근무계획!$R$3:$R$402,$A346)&amp;"")</f>
        <v/>
      </c>
      <c r="Q346" s="26">
        <f>IF($C346="","",INDEX(입력_인턴근무계획!$T$3:$T$402,$A346))</f>
        <v/>
      </c>
    </row>
    <row r="347">
      <c r="A347" s="29" t="n">
        <v>342</v>
      </c>
      <c r="B347" s="26">
        <f>IF($C347="","",INDEX(입력_인턴근무계획!$B$3:$B$402,$A347))</f>
        <v/>
      </c>
      <c r="C347" s="26">
        <f>IFERROR(TRIM(INDEX(입력_인턴근무계획!$C$3:$C$402,$A347)&amp;""),"")</f>
        <v/>
      </c>
      <c r="D347" s="26">
        <f>IF($C347="","",INDEX(입력_인턴근무계획!$D$3:$D$402,$A347))</f>
        <v/>
      </c>
      <c r="E347" s="26">
        <f>IF($C347="","",IF(IFERROR(MATCH($D347,입력_기본자료!$B$2:$B$1001,0),IFERROR(MATCH($D347&amp;"",입력_기본자료!$B$2:$B$1001,0),IFERROR(MATCH(VALUE($D347),입력_기본자료!$B$2:$B$1001,0),0)))&gt;0,"확인","미등록"))</f>
        <v/>
      </c>
      <c r="F347" s="28">
        <f>IF($C347="","",INDEX(입력_인턴근무계획!$S$3:$S$402,$A347))</f>
        <v/>
      </c>
      <c r="G347" s="26">
        <f>IF(OR($C347="",$G$3=""),"",IF(INDEX(입력_인턴근무계획!$M$3:$R$402,$A347,$G$3)&amp;""="","",IF(LEFT(INDEX(입력_인턴근무계획!$M$3:$R$402,$A347,$G$3)&amp;"",1)="⚠",INDEX(입력_인턴근무계획!$M$3:$R$402,$A347,$G$3)&amp;"",LEFT(INDEX(입력_인턴근무계획!$M$3:$R$402,$A347,$G$3)&amp;"",FIND(" ",INDEX(입력_인턴근무계획!$M$3:$R$402,$A347,$G$3)&amp;"")-1))))</f>
        <v/>
      </c>
      <c r="H347" s="26">
        <f>IF(OR($C347="",$G$3=""),"",IF(INDEX(입력_인턴근무계획!$M$3:$R$402,$A347,$G$3)&amp;""="","",IF(LEFT(INDEX(입력_인턴근무계획!$M$3:$R$402,$A347,$G$3)&amp;"",1)="⚠","",MID(INDEX(입력_인턴근무계획!$M$3:$R$402,$A347,$G$3)&amp;"",FIND(" ",INDEX(입력_인턴근무계획!$M$3:$R$402,$A347,$G$3)&amp;"")+1,60))))</f>
        <v/>
      </c>
      <c r="I347" s="26">
        <f>IF(OR($C347="",$I$3=""),"",IF(INDEX(입력_인턴근무계획!$M$3:$R$402,$A347,$I$3)&amp;""="","",IF(LEFT(INDEX(입력_인턴근무계획!$M$3:$R$402,$A347,$I$3)&amp;"",1)="⚠",INDEX(입력_인턴근무계획!$M$3:$R$402,$A347,$I$3)&amp;"",LEFT(INDEX(입력_인턴근무계획!$M$3:$R$402,$A347,$I$3)&amp;"",FIND(" ",INDEX(입력_인턴근무계획!$M$3:$R$402,$A347,$I$3)&amp;"")-1))))</f>
        <v/>
      </c>
      <c r="J347" s="26">
        <f>IF(OR($C347="",$I$3=""),"",IF(INDEX(입력_인턴근무계획!$M$3:$R$402,$A347,$I$3)&amp;""="","",IF(LEFT(INDEX(입력_인턴근무계획!$M$3:$R$402,$A347,$I$3)&amp;"",1)="⚠","",MID(INDEX(입력_인턴근무계획!$M$3:$R$402,$A347,$I$3)&amp;"",FIND(" ",INDEX(입력_인턴근무계획!$M$3:$R$402,$A347,$I$3)&amp;"")+1,60))))</f>
        <v/>
      </c>
      <c r="K347" s="26">
        <f>IF($C347="","",INDEX(입력_인턴근무계획!$M$3:$M$402,$A347)&amp;"")</f>
        <v/>
      </c>
      <c r="L347" s="26">
        <f>IF($C347="","",INDEX(입력_인턴근무계획!$N$3:$N$402,$A347)&amp;"")</f>
        <v/>
      </c>
      <c r="M347" s="26">
        <f>IF($C347="","",INDEX(입력_인턴근무계획!$O$3:$O$402,$A347)&amp;"")</f>
        <v/>
      </c>
      <c r="N347" s="26">
        <f>IF($C347="","",INDEX(입력_인턴근무계획!$P$3:$P$402,$A347)&amp;"")</f>
        <v/>
      </c>
      <c r="O347" s="26">
        <f>IF($C347="","",INDEX(입력_인턴근무계획!$Q$3:$Q$402,$A347)&amp;"")</f>
        <v/>
      </c>
      <c r="P347" s="26">
        <f>IF($C347="","",INDEX(입력_인턴근무계획!$R$3:$R$402,$A347)&amp;"")</f>
        <v/>
      </c>
      <c r="Q347" s="26">
        <f>IF($C347="","",INDEX(입력_인턴근무계획!$T$3:$T$402,$A347))</f>
        <v/>
      </c>
    </row>
    <row r="348">
      <c r="A348" s="29" t="n">
        <v>343</v>
      </c>
      <c r="B348" s="26">
        <f>IF($C348="","",INDEX(입력_인턴근무계획!$B$3:$B$402,$A348))</f>
        <v/>
      </c>
      <c r="C348" s="26">
        <f>IFERROR(TRIM(INDEX(입력_인턴근무계획!$C$3:$C$402,$A348)&amp;""),"")</f>
        <v/>
      </c>
      <c r="D348" s="26">
        <f>IF($C348="","",INDEX(입력_인턴근무계획!$D$3:$D$402,$A348))</f>
        <v/>
      </c>
      <c r="E348" s="26">
        <f>IF($C348="","",IF(IFERROR(MATCH($D348,입력_기본자료!$B$2:$B$1001,0),IFERROR(MATCH($D348&amp;"",입력_기본자료!$B$2:$B$1001,0),IFERROR(MATCH(VALUE($D348),입력_기본자료!$B$2:$B$1001,0),0)))&gt;0,"확인","미등록"))</f>
        <v/>
      </c>
      <c r="F348" s="28">
        <f>IF($C348="","",INDEX(입력_인턴근무계획!$S$3:$S$402,$A348))</f>
        <v/>
      </c>
      <c r="G348" s="26">
        <f>IF(OR($C348="",$G$3=""),"",IF(INDEX(입력_인턴근무계획!$M$3:$R$402,$A348,$G$3)&amp;""="","",IF(LEFT(INDEX(입력_인턴근무계획!$M$3:$R$402,$A348,$G$3)&amp;"",1)="⚠",INDEX(입력_인턴근무계획!$M$3:$R$402,$A348,$G$3)&amp;"",LEFT(INDEX(입력_인턴근무계획!$M$3:$R$402,$A348,$G$3)&amp;"",FIND(" ",INDEX(입력_인턴근무계획!$M$3:$R$402,$A348,$G$3)&amp;"")-1))))</f>
        <v/>
      </c>
      <c r="H348" s="26">
        <f>IF(OR($C348="",$G$3=""),"",IF(INDEX(입력_인턴근무계획!$M$3:$R$402,$A348,$G$3)&amp;""="","",IF(LEFT(INDEX(입력_인턴근무계획!$M$3:$R$402,$A348,$G$3)&amp;"",1)="⚠","",MID(INDEX(입력_인턴근무계획!$M$3:$R$402,$A348,$G$3)&amp;"",FIND(" ",INDEX(입력_인턴근무계획!$M$3:$R$402,$A348,$G$3)&amp;"")+1,60))))</f>
        <v/>
      </c>
      <c r="I348" s="26">
        <f>IF(OR($C348="",$I$3=""),"",IF(INDEX(입력_인턴근무계획!$M$3:$R$402,$A348,$I$3)&amp;""="","",IF(LEFT(INDEX(입력_인턴근무계획!$M$3:$R$402,$A348,$I$3)&amp;"",1)="⚠",INDEX(입력_인턴근무계획!$M$3:$R$402,$A348,$I$3)&amp;"",LEFT(INDEX(입력_인턴근무계획!$M$3:$R$402,$A348,$I$3)&amp;"",FIND(" ",INDEX(입력_인턴근무계획!$M$3:$R$402,$A348,$I$3)&amp;"")-1))))</f>
        <v/>
      </c>
      <c r="J348" s="26">
        <f>IF(OR($C348="",$I$3=""),"",IF(INDEX(입력_인턴근무계획!$M$3:$R$402,$A348,$I$3)&amp;""="","",IF(LEFT(INDEX(입력_인턴근무계획!$M$3:$R$402,$A348,$I$3)&amp;"",1)="⚠","",MID(INDEX(입력_인턴근무계획!$M$3:$R$402,$A348,$I$3)&amp;"",FIND(" ",INDEX(입력_인턴근무계획!$M$3:$R$402,$A348,$I$3)&amp;"")+1,60))))</f>
        <v/>
      </c>
      <c r="K348" s="26">
        <f>IF($C348="","",INDEX(입력_인턴근무계획!$M$3:$M$402,$A348)&amp;"")</f>
        <v/>
      </c>
      <c r="L348" s="26">
        <f>IF($C348="","",INDEX(입력_인턴근무계획!$N$3:$N$402,$A348)&amp;"")</f>
        <v/>
      </c>
      <c r="M348" s="26">
        <f>IF($C348="","",INDEX(입력_인턴근무계획!$O$3:$O$402,$A348)&amp;"")</f>
        <v/>
      </c>
      <c r="N348" s="26">
        <f>IF($C348="","",INDEX(입력_인턴근무계획!$P$3:$P$402,$A348)&amp;"")</f>
        <v/>
      </c>
      <c r="O348" s="26">
        <f>IF($C348="","",INDEX(입력_인턴근무계획!$Q$3:$Q$402,$A348)&amp;"")</f>
        <v/>
      </c>
      <c r="P348" s="26">
        <f>IF($C348="","",INDEX(입력_인턴근무계획!$R$3:$R$402,$A348)&amp;"")</f>
        <v/>
      </c>
      <c r="Q348" s="26">
        <f>IF($C348="","",INDEX(입력_인턴근무계획!$T$3:$T$402,$A348))</f>
        <v/>
      </c>
    </row>
    <row r="349">
      <c r="A349" s="29" t="n">
        <v>344</v>
      </c>
      <c r="B349" s="26">
        <f>IF($C349="","",INDEX(입력_인턴근무계획!$B$3:$B$402,$A349))</f>
        <v/>
      </c>
      <c r="C349" s="26">
        <f>IFERROR(TRIM(INDEX(입력_인턴근무계획!$C$3:$C$402,$A349)&amp;""),"")</f>
        <v/>
      </c>
      <c r="D349" s="26">
        <f>IF($C349="","",INDEX(입력_인턴근무계획!$D$3:$D$402,$A349))</f>
        <v/>
      </c>
      <c r="E349" s="26">
        <f>IF($C349="","",IF(IFERROR(MATCH($D349,입력_기본자료!$B$2:$B$1001,0),IFERROR(MATCH($D349&amp;"",입력_기본자료!$B$2:$B$1001,0),IFERROR(MATCH(VALUE($D349),입력_기본자료!$B$2:$B$1001,0),0)))&gt;0,"확인","미등록"))</f>
        <v/>
      </c>
      <c r="F349" s="28">
        <f>IF($C349="","",INDEX(입력_인턴근무계획!$S$3:$S$402,$A349))</f>
        <v/>
      </c>
      <c r="G349" s="26">
        <f>IF(OR($C349="",$G$3=""),"",IF(INDEX(입력_인턴근무계획!$M$3:$R$402,$A349,$G$3)&amp;""="","",IF(LEFT(INDEX(입력_인턴근무계획!$M$3:$R$402,$A349,$G$3)&amp;"",1)="⚠",INDEX(입력_인턴근무계획!$M$3:$R$402,$A349,$G$3)&amp;"",LEFT(INDEX(입력_인턴근무계획!$M$3:$R$402,$A349,$G$3)&amp;"",FIND(" ",INDEX(입력_인턴근무계획!$M$3:$R$402,$A349,$G$3)&amp;"")-1))))</f>
        <v/>
      </c>
      <c r="H349" s="26">
        <f>IF(OR($C349="",$G$3=""),"",IF(INDEX(입력_인턴근무계획!$M$3:$R$402,$A349,$G$3)&amp;""="","",IF(LEFT(INDEX(입력_인턴근무계획!$M$3:$R$402,$A349,$G$3)&amp;"",1)="⚠","",MID(INDEX(입력_인턴근무계획!$M$3:$R$402,$A349,$G$3)&amp;"",FIND(" ",INDEX(입력_인턴근무계획!$M$3:$R$402,$A349,$G$3)&amp;"")+1,60))))</f>
        <v/>
      </c>
      <c r="I349" s="26">
        <f>IF(OR($C349="",$I$3=""),"",IF(INDEX(입력_인턴근무계획!$M$3:$R$402,$A349,$I$3)&amp;""="","",IF(LEFT(INDEX(입력_인턴근무계획!$M$3:$R$402,$A349,$I$3)&amp;"",1)="⚠",INDEX(입력_인턴근무계획!$M$3:$R$402,$A349,$I$3)&amp;"",LEFT(INDEX(입력_인턴근무계획!$M$3:$R$402,$A349,$I$3)&amp;"",FIND(" ",INDEX(입력_인턴근무계획!$M$3:$R$402,$A349,$I$3)&amp;"")-1))))</f>
        <v/>
      </c>
      <c r="J349" s="26">
        <f>IF(OR($C349="",$I$3=""),"",IF(INDEX(입력_인턴근무계획!$M$3:$R$402,$A349,$I$3)&amp;""="","",IF(LEFT(INDEX(입력_인턴근무계획!$M$3:$R$402,$A349,$I$3)&amp;"",1)="⚠","",MID(INDEX(입력_인턴근무계획!$M$3:$R$402,$A349,$I$3)&amp;"",FIND(" ",INDEX(입력_인턴근무계획!$M$3:$R$402,$A349,$I$3)&amp;"")+1,60))))</f>
        <v/>
      </c>
      <c r="K349" s="26">
        <f>IF($C349="","",INDEX(입력_인턴근무계획!$M$3:$M$402,$A349)&amp;"")</f>
        <v/>
      </c>
      <c r="L349" s="26">
        <f>IF($C349="","",INDEX(입력_인턴근무계획!$N$3:$N$402,$A349)&amp;"")</f>
        <v/>
      </c>
      <c r="M349" s="26">
        <f>IF($C349="","",INDEX(입력_인턴근무계획!$O$3:$O$402,$A349)&amp;"")</f>
        <v/>
      </c>
      <c r="N349" s="26">
        <f>IF($C349="","",INDEX(입력_인턴근무계획!$P$3:$P$402,$A349)&amp;"")</f>
        <v/>
      </c>
      <c r="O349" s="26">
        <f>IF($C349="","",INDEX(입력_인턴근무계획!$Q$3:$Q$402,$A349)&amp;"")</f>
        <v/>
      </c>
      <c r="P349" s="26">
        <f>IF($C349="","",INDEX(입력_인턴근무계획!$R$3:$R$402,$A349)&amp;"")</f>
        <v/>
      </c>
      <c r="Q349" s="26">
        <f>IF($C349="","",INDEX(입력_인턴근무계획!$T$3:$T$402,$A349))</f>
        <v/>
      </c>
    </row>
    <row r="350">
      <c r="A350" s="29" t="n">
        <v>345</v>
      </c>
      <c r="B350" s="26">
        <f>IF($C350="","",INDEX(입력_인턴근무계획!$B$3:$B$402,$A350))</f>
        <v/>
      </c>
      <c r="C350" s="26">
        <f>IFERROR(TRIM(INDEX(입력_인턴근무계획!$C$3:$C$402,$A350)&amp;""),"")</f>
        <v/>
      </c>
      <c r="D350" s="26">
        <f>IF($C350="","",INDEX(입력_인턴근무계획!$D$3:$D$402,$A350))</f>
        <v/>
      </c>
      <c r="E350" s="26">
        <f>IF($C350="","",IF(IFERROR(MATCH($D350,입력_기본자료!$B$2:$B$1001,0),IFERROR(MATCH($D350&amp;"",입력_기본자료!$B$2:$B$1001,0),IFERROR(MATCH(VALUE($D350),입력_기본자료!$B$2:$B$1001,0),0)))&gt;0,"확인","미등록"))</f>
        <v/>
      </c>
      <c r="F350" s="28">
        <f>IF($C350="","",INDEX(입력_인턴근무계획!$S$3:$S$402,$A350))</f>
        <v/>
      </c>
      <c r="G350" s="26">
        <f>IF(OR($C350="",$G$3=""),"",IF(INDEX(입력_인턴근무계획!$M$3:$R$402,$A350,$G$3)&amp;""="","",IF(LEFT(INDEX(입력_인턴근무계획!$M$3:$R$402,$A350,$G$3)&amp;"",1)="⚠",INDEX(입력_인턴근무계획!$M$3:$R$402,$A350,$G$3)&amp;"",LEFT(INDEX(입력_인턴근무계획!$M$3:$R$402,$A350,$G$3)&amp;"",FIND(" ",INDEX(입력_인턴근무계획!$M$3:$R$402,$A350,$G$3)&amp;"")-1))))</f>
        <v/>
      </c>
      <c r="H350" s="26">
        <f>IF(OR($C350="",$G$3=""),"",IF(INDEX(입력_인턴근무계획!$M$3:$R$402,$A350,$G$3)&amp;""="","",IF(LEFT(INDEX(입력_인턴근무계획!$M$3:$R$402,$A350,$G$3)&amp;"",1)="⚠","",MID(INDEX(입력_인턴근무계획!$M$3:$R$402,$A350,$G$3)&amp;"",FIND(" ",INDEX(입력_인턴근무계획!$M$3:$R$402,$A350,$G$3)&amp;"")+1,60))))</f>
        <v/>
      </c>
      <c r="I350" s="26">
        <f>IF(OR($C350="",$I$3=""),"",IF(INDEX(입력_인턴근무계획!$M$3:$R$402,$A350,$I$3)&amp;""="","",IF(LEFT(INDEX(입력_인턴근무계획!$M$3:$R$402,$A350,$I$3)&amp;"",1)="⚠",INDEX(입력_인턴근무계획!$M$3:$R$402,$A350,$I$3)&amp;"",LEFT(INDEX(입력_인턴근무계획!$M$3:$R$402,$A350,$I$3)&amp;"",FIND(" ",INDEX(입력_인턴근무계획!$M$3:$R$402,$A350,$I$3)&amp;"")-1))))</f>
        <v/>
      </c>
      <c r="J350" s="26">
        <f>IF(OR($C350="",$I$3=""),"",IF(INDEX(입력_인턴근무계획!$M$3:$R$402,$A350,$I$3)&amp;""="","",IF(LEFT(INDEX(입력_인턴근무계획!$M$3:$R$402,$A350,$I$3)&amp;"",1)="⚠","",MID(INDEX(입력_인턴근무계획!$M$3:$R$402,$A350,$I$3)&amp;"",FIND(" ",INDEX(입력_인턴근무계획!$M$3:$R$402,$A350,$I$3)&amp;"")+1,60))))</f>
        <v/>
      </c>
      <c r="K350" s="26">
        <f>IF($C350="","",INDEX(입력_인턴근무계획!$M$3:$M$402,$A350)&amp;"")</f>
        <v/>
      </c>
      <c r="L350" s="26">
        <f>IF($C350="","",INDEX(입력_인턴근무계획!$N$3:$N$402,$A350)&amp;"")</f>
        <v/>
      </c>
      <c r="M350" s="26">
        <f>IF($C350="","",INDEX(입력_인턴근무계획!$O$3:$O$402,$A350)&amp;"")</f>
        <v/>
      </c>
      <c r="N350" s="26">
        <f>IF($C350="","",INDEX(입력_인턴근무계획!$P$3:$P$402,$A350)&amp;"")</f>
        <v/>
      </c>
      <c r="O350" s="26">
        <f>IF($C350="","",INDEX(입력_인턴근무계획!$Q$3:$Q$402,$A350)&amp;"")</f>
        <v/>
      </c>
      <c r="P350" s="26">
        <f>IF($C350="","",INDEX(입력_인턴근무계획!$R$3:$R$402,$A350)&amp;"")</f>
        <v/>
      </c>
      <c r="Q350" s="26">
        <f>IF($C350="","",INDEX(입력_인턴근무계획!$T$3:$T$402,$A350))</f>
        <v/>
      </c>
    </row>
    <row r="351">
      <c r="A351" s="29" t="n">
        <v>346</v>
      </c>
      <c r="B351" s="26">
        <f>IF($C351="","",INDEX(입력_인턴근무계획!$B$3:$B$402,$A351))</f>
        <v/>
      </c>
      <c r="C351" s="26">
        <f>IFERROR(TRIM(INDEX(입력_인턴근무계획!$C$3:$C$402,$A351)&amp;""),"")</f>
        <v/>
      </c>
      <c r="D351" s="26">
        <f>IF($C351="","",INDEX(입력_인턴근무계획!$D$3:$D$402,$A351))</f>
        <v/>
      </c>
      <c r="E351" s="26">
        <f>IF($C351="","",IF(IFERROR(MATCH($D351,입력_기본자료!$B$2:$B$1001,0),IFERROR(MATCH($D351&amp;"",입력_기본자료!$B$2:$B$1001,0),IFERROR(MATCH(VALUE($D351),입력_기본자료!$B$2:$B$1001,0),0)))&gt;0,"확인","미등록"))</f>
        <v/>
      </c>
      <c r="F351" s="28">
        <f>IF($C351="","",INDEX(입력_인턴근무계획!$S$3:$S$402,$A351))</f>
        <v/>
      </c>
      <c r="G351" s="26">
        <f>IF(OR($C351="",$G$3=""),"",IF(INDEX(입력_인턴근무계획!$M$3:$R$402,$A351,$G$3)&amp;""="","",IF(LEFT(INDEX(입력_인턴근무계획!$M$3:$R$402,$A351,$G$3)&amp;"",1)="⚠",INDEX(입력_인턴근무계획!$M$3:$R$402,$A351,$G$3)&amp;"",LEFT(INDEX(입력_인턴근무계획!$M$3:$R$402,$A351,$G$3)&amp;"",FIND(" ",INDEX(입력_인턴근무계획!$M$3:$R$402,$A351,$G$3)&amp;"")-1))))</f>
        <v/>
      </c>
      <c r="H351" s="26">
        <f>IF(OR($C351="",$G$3=""),"",IF(INDEX(입력_인턴근무계획!$M$3:$R$402,$A351,$G$3)&amp;""="","",IF(LEFT(INDEX(입력_인턴근무계획!$M$3:$R$402,$A351,$G$3)&amp;"",1)="⚠","",MID(INDEX(입력_인턴근무계획!$M$3:$R$402,$A351,$G$3)&amp;"",FIND(" ",INDEX(입력_인턴근무계획!$M$3:$R$402,$A351,$G$3)&amp;"")+1,60))))</f>
        <v/>
      </c>
      <c r="I351" s="26">
        <f>IF(OR($C351="",$I$3=""),"",IF(INDEX(입력_인턴근무계획!$M$3:$R$402,$A351,$I$3)&amp;""="","",IF(LEFT(INDEX(입력_인턴근무계획!$M$3:$R$402,$A351,$I$3)&amp;"",1)="⚠",INDEX(입력_인턴근무계획!$M$3:$R$402,$A351,$I$3)&amp;"",LEFT(INDEX(입력_인턴근무계획!$M$3:$R$402,$A351,$I$3)&amp;"",FIND(" ",INDEX(입력_인턴근무계획!$M$3:$R$402,$A351,$I$3)&amp;"")-1))))</f>
        <v/>
      </c>
      <c r="J351" s="26">
        <f>IF(OR($C351="",$I$3=""),"",IF(INDEX(입력_인턴근무계획!$M$3:$R$402,$A351,$I$3)&amp;""="","",IF(LEFT(INDEX(입력_인턴근무계획!$M$3:$R$402,$A351,$I$3)&amp;"",1)="⚠","",MID(INDEX(입력_인턴근무계획!$M$3:$R$402,$A351,$I$3)&amp;"",FIND(" ",INDEX(입력_인턴근무계획!$M$3:$R$402,$A351,$I$3)&amp;"")+1,60))))</f>
        <v/>
      </c>
      <c r="K351" s="26">
        <f>IF($C351="","",INDEX(입력_인턴근무계획!$M$3:$M$402,$A351)&amp;"")</f>
        <v/>
      </c>
      <c r="L351" s="26">
        <f>IF($C351="","",INDEX(입력_인턴근무계획!$N$3:$N$402,$A351)&amp;"")</f>
        <v/>
      </c>
      <c r="M351" s="26">
        <f>IF($C351="","",INDEX(입력_인턴근무계획!$O$3:$O$402,$A351)&amp;"")</f>
        <v/>
      </c>
      <c r="N351" s="26">
        <f>IF($C351="","",INDEX(입력_인턴근무계획!$P$3:$P$402,$A351)&amp;"")</f>
        <v/>
      </c>
      <c r="O351" s="26">
        <f>IF($C351="","",INDEX(입력_인턴근무계획!$Q$3:$Q$402,$A351)&amp;"")</f>
        <v/>
      </c>
      <c r="P351" s="26">
        <f>IF($C351="","",INDEX(입력_인턴근무계획!$R$3:$R$402,$A351)&amp;"")</f>
        <v/>
      </c>
      <c r="Q351" s="26">
        <f>IF($C351="","",INDEX(입력_인턴근무계획!$T$3:$T$402,$A351))</f>
        <v/>
      </c>
    </row>
    <row r="352">
      <c r="A352" s="29" t="n">
        <v>347</v>
      </c>
      <c r="B352" s="26">
        <f>IF($C352="","",INDEX(입력_인턴근무계획!$B$3:$B$402,$A352))</f>
        <v/>
      </c>
      <c r="C352" s="26">
        <f>IFERROR(TRIM(INDEX(입력_인턴근무계획!$C$3:$C$402,$A352)&amp;""),"")</f>
        <v/>
      </c>
      <c r="D352" s="26">
        <f>IF($C352="","",INDEX(입력_인턴근무계획!$D$3:$D$402,$A352))</f>
        <v/>
      </c>
      <c r="E352" s="26">
        <f>IF($C352="","",IF(IFERROR(MATCH($D352,입력_기본자료!$B$2:$B$1001,0),IFERROR(MATCH($D352&amp;"",입력_기본자료!$B$2:$B$1001,0),IFERROR(MATCH(VALUE($D352),입력_기본자료!$B$2:$B$1001,0),0)))&gt;0,"확인","미등록"))</f>
        <v/>
      </c>
      <c r="F352" s="28">
        <f>IF($C352="","",INDEX(입력_인턴근무계획!$S$3:$S$402,$A352))</f>
        <v/>
      </c>
      <c r="G352" s="26">
        <f>IF(OR($C352="",$G$3=""),"",IF(INDEX(입력_인턴근무계획!$M$3:$R$402,$A352,$G$3)&amp;""="","",IF(LEFT(INDEX(입력_인턴근무계획!$M$3:$R$402,$A352,$G$3)&amp;"",1)="⚠",INDEX(입력_인턴근무계획!$M$3:$R$402,$A352,$G$3)&amp;"",LEFT(INDEX(입력_인턴근무계획!$M$3:$R$402,$A352,$G$3)&amp;"",FIND(" ",INDEX(입력_인턴근무계획!$M$3:$R$402,$A352,$G$3)&amp;"")-1))))</f>
        <v/>
      </c>
      <c r="H352" s="26">
        <f>IF(OR($C352="",$G$3=""),"",IF(INDEX(입력_인턴근무계획!$M$3:$R$402,$A352,$G$3)&amp;""="","",IF(LEFT(INDEX(입력_인턴근무계획!$M$3:$R$402,$A352,$G$3)&amp;"",1)="⚠","",MID(INDEX(입력_인턴근무계획!$M$3:$R$402,$A352,$G$3)&amp;"",FIND(" ",INDEX(입력_인턴근무계획!$M$3:$R$402,$A352,$G$3)&amp;"")+1,60))))</f>
        <v/>
      </c>
      <c r="I352" s="26">
        <f>IF(OR($C352="",$I$3=""),"",IF(INDEX(입력_인턴근무계획!$M$3:$R$402,$A352,$I$3)&amp;""="","",IF(LEFT(INDEX(입력_인턴근무계획!$M$3:$R$402,$A352,$I$3)&amp;"",1)="⚠",INDEX(입력_인턴근무계획!$M$3:$R$402,$A352,$I$3)&amp;"",LEFT(INDEX(입력_인턴근무계획!$M$3:$R$402,$A352,$I$3)&amp;"",FIND(" ",INDEX(입력_인턴근무계획!$M$3:$R$402,$A352,$I$3)&amp;"")-1))))</f>
        <v/>
      </c>
      <c r="J352" s="26">
        <f>IF(OR($C352="",$I$3=""),"",IF(INDEX(입력_인턴근무계획!$M$3:$R$402,$A352,$I$3)&amp;""="","",IF(LEFT(INDEX(입력_인턴근무계획!$M$3:$R$402,$A352,$I$3)&amp;"",1)="⚠","",MID(INDEX(입력_인턴근무계획!$M$3:$R$402,$A352,$I$3)&amp;"",FIND(" ",INDEX(입력_인턴근무계획!$M$3:$R$402,$A352,$I$3)&amp;"")+1,60))))</f>
        <v/>
      </c>
      <c r="K352" s="26">
        <f>IF($C352="","",INDEX(입력_인턴근무계획!$M$3:$M$402,$A352)&amp;"")</f>
        <v/>
      </c>
      <c r="L352" s="26">
        <f>IF($C352="","",INDEX(입력_인턴근무계획!$N$3:$N$402,$A352)&amp;"")</f>
        <v/>
      </c>
      <c r="M352" s="26">
        <f>IF($C352="","",INDEX(입력_인턴근무계획!$O$3:$O$402,$A352)&amp;"")</f>
        <v/>
      </c>
      <c r="N352" s="26">
        <f>IF($C352="","",INDEX(입력_인턴근무계획!$P$3:$P$402,$A352)&amp;"")</f>
        <v/>
      </c>
      <c r="O352" s="26">
        <f>IF($C352="","",INDEX(입력_인턴근무계획!$Q$3:$Q$402,$A352)&amp;"")</f>
        <v/>
      </c>
      <c r="P352" s="26">
        <f>IF($C352="","",INDEX(입력_인턴근무계획!$R$3:$R$402,$A352)&amp;"")</f>
        <v/>
      </c>
      <c r="Q352" s="26">
        <f>IF($C352="","",INDEX(입력_인턴근무계획!$T$3:$T$402,$A352))</f>
        <v/>
      </c>
    </row>
    <row r="353">
      <c r="A353" s="29" t="n">
        <v>348</v>
      </c>
      <c r="B353" s="26">
        <f>IF($C353="","",INDEX(입력_인턴근무계획!$B$3:$B$402,$A353))</f>
        <v/>
      </c>
      <c r="C353" s="26">
        <f>IFERROR(TRIM(INDEX(입력_인턴근무계획!$C$3:$C$402,$A353)&amp;""),"")</f>
        <v/>
      </c>
      <c r="D353" s="26">
        <f>IF($C353="","",INDEX(입력_인턴근무계획!$D$3:$D$402,$A353))</f>
        <v/>
      </c>
      <c r="E353" s="26">
        <f>IF($C353="","",IF(IFERROR(MATCH($D353,입력_기본자료!$B$2:$B$1001,0),IFERROR(MATCH($D353&amp;"",입력_기본자료!$B$2:$B$1001,0),IFERROR(MATCH(VALUE($D353),입력_기본자료!$B$2:$B$1001,0),0)))&gt;0,"확인","미등록"))</f>
        <v/>
      </c>
      <c r="F353" s="28">
        <f>IF($C353="","",INDEX(입력_인턴근무계획!$S$3:$S$402,$A353))</f>
        <v/>
      </c>
      <c r="G353" s="26">
        <f>IF(OR($C353="",$G$3=""),"",IF(INDEX(입력_인턴근무계획!$M$3:$R$402,$A353,$G$3)&amp;""="","",IF(LEFT(INDEX(입력_인턴근무계획!$M$3:$R$402,$A353,$G$3)&amp;"",1)="⚠",INDEX(입력_인턴근무계획!$M$3:$R$402,$A353,$G$3)&amp;"",LEFT(INDEX(입력_인턴근무계획!$M$3:$R$402,$A353,$G$3)&amp;"",FIND(" ",INDEX(입력_인턴근무계획!$M$3:$R$402,$A353,$G$3)&amp;"")-1))))</f>
        <v/>
      </c>
      <c r="H353" s="26">
        <f>IF(OR($C353="",$G$3=""),"",IF(INDEX(입력_인턴근무계획!$M$3:$R$402,$A353,$G$3)&amp;""="","",IF(LEFT(INDEX(입력_인턴근무계획!$M$3:$R$402,$A353,$G$3)&amp;"",1)="⚠","",MID(INDEX(입력_인턴근무계획!$M$3:$R$402,$A353,$G$3)&amp;"",FIND(" ",INDEX(입력_인턴근무계획!$M$3:$R$402,$A353,$G$3)&amp;"")+1,60))))</f>
        <v/>
      </c>
      <c r="I353" s="26">
        <f>IF(OR($C353="",$I$3=""),"",IF(INDEX(입력_인턴근무계획!$M$3:$R$402,$A353,$I$3)&amp;""="","",IF(LEFT(INDEX(입력_인턴근무계획!$M$3:$R$402,$A353,$I$3)&amp;"",1)="⚠",INDEX(입력_인턴근무계획!$M$3:$R$402,$A353,$I$3)&amp;"",LEFT(INDEX(입력_인턴근무계획!$M$3:$R$402,$A353,$I$3)&amp;"",FIND(" ",INDEX(입력_인턴근무계획!$M$3:$R$402,$A353,$I$3)&amp;"")-1))))</f>
        <v/>
      </c>
      <c r="J353" s="26">
        <f>IF(OR($C353="",$I$3=""),"",IF(INDEX(입력_인턴근무계획!$M$3:$R$402,$A353,$I$3)&amp;""="","",IF(LEFT(INDEX(입력_인턴근무계획!$M$3:$R$402,$A353,$I$3)&amp;"",1)="⚠","",MID(INDEX(입력_인턴근무계획!$M$3:$R$402,$A353,$I$3)&amp;"",FIND(" ",INDEX(입력_인턴근무계획!$M$3:$R$402,$A353,$I$3)&amp;"")+1,60))))</f>
        <v/>
      </c>
      <c r="K353" s="26">
        <f>IF($C353="","",INDEX(입력_인턴근무계획!$M$3:$M$402,$A353)&amp;"")</f>
        <v/>
      </c>
      <c r="L353" s="26">
        <f>IF($C353="","",INDEX(입력_인턴근무계획!$N$3:$N$402,$A353)&amp;"")</f>
        <v/>
      </c>
      <c r="M353" s="26">
        <f>IF($C353="","",INDEX(입력_인턴근무계획!$O$3:$O$402,$A353)&amp;"")</f>
        <v/>
      </c>
      <c r="N353" s="26">
        <f>IF($C353="","",INDEX(입력_인턴근무계획!$P$3:$P$402,$A353)&amp;"")</f>
        <v/>
      </c>
      <c r="O353" s="26">
        <f>IF($C353="","",INDEX(입력_인턴근무계획!$Q$3:$Q$402,$A353)&amp;"")</f>
        <v/>
      </c>
      <c r="P353" s="26">
        <f>IF($C353="","",INDEX(입력_인턴근무계획!$R$3:$R$402,$A353)&amp;"")</f>
        <v/>
      </c>
      <c r="Q353" s="26">
        <f>IF($C353="","",INDEX(입력_인턴근무계획!$T$3:$T$402,$A353))</f>
        <v/>
      </c>
    </row>
    <row r="354">
      <c r="A354" s="29" t="n">
        <v>349</v>
      </c>
      <c r="B354" s="26">
        <f>IF($C354="","",INDEX(입력_인턴근무계획!$B$3:$B$402,$A354))</f>
        <v/>
      </c>
      <c r="C354" s="26">
        <f>IFERROR(TRIM(INDEX(입력_인턴근무계획!$C$3:$C$402,$A354)&amp;""),"")</f>
        <v/>
      </c>
      <c r="D354" s="26">
        <f>IF($C354="","",INDEX(입력_인턴근무계획!$D$3:$D$402,$A354))</f>
        <v/>
      </c>
      <c r="E354" s="26">
        <f>IF($C354="","",IF(IFERROR(MATCH($D354,입력_기본자료!$B$2:$B$1001,0),IFERROR(MATCH($D354&amp;"",입력_기본자료!$B$2:$B$1001,0),IFERROR(MATCH(VALUE($D354),입력_기본자료!$B$2:$B$1001,0),0)))&gt;0,"확인","미등록"))</f>
        <v/>
      </c>
      <c r="F354" s="28">
        <f>IF($C354="","",INDEX(입력_인턴근무계획!$S$3:$S$402,$A354))</f>
        <v/>
      </c>
      <c r="G354" s="26">
        <f>IF(OR($C354="",$G$3=""),"",IF(INDEX(입력_인턴근무계획!$M$3:$R$402,$A354,$G$3)&amp;""="","",IF(LEFT(INDEX(입력_인턴근무계획!$M$3:$R$402,$A354,$G$3)&amp;"",1)="⚠",INDEX(입력_인턴근무계획!$M$3:$R$402,$A354,$G$3)&amp;"",LEFT(INDEX(입력_인턴근무계획!$M$3:$R$402,$A354,$G$3)&amp;"",FIND(" ",INDEX(입력_인턴근무계획!$M$3:$R$402,$A354,$G$3)&amp;"")-1))))</f>
        <v/>
      </c>
      <c r="H354" s="26">
        <f>IF(OR($C354="",$G$3=""),"",IF(INDEX(입력_인턴근무계획!$M$3:$R$402,$A354,$G$3)&amp;""="","",IF(LEFT(INDEX(입력_인턴근무계획!$M$3:$R$402,$A354,$G$3)&amp;"",1)="⚠","",MID(INDEX(입력_인턴근무계획!$M$3:$R$402,$A354,$G$3)&amp;"",FIND(" ",INDEX(입력_인턴근무계획!$M$3:$R$402,$A354,$G$3)&amp;"")+1,60))))</f>
        <v/>
      </c>
      <c r="I354" s="26">
        <f>IF(OR($C354="",$I$3=""),"",IF(INDEX(입력_인턴근무계획!$M$3:$R$402,$A354,$I$3)&amp;""="","",IF(LEFT(INDEX(입력_인턴근무계획!$M$3:$R$402,$A354,$I$3)&amp;"",1)="⚠",INDEX(입력_인턴근무계획!$M$3:$R$402,$A354,$I$3)&amp;"",LEFT(INDEX(입력_인턴근무계획!$M$3:$R$402,$A354,$I$3)&amp;"",FIND(" ",INDEX(입력_인턴근무계획!$M$3:$R$402,$A354,$I$3)&amp;"")-1))))</f>
        <v/>
      </c>
      <c r="J354" s="26">
        <f>IF(OR($C354="",$I$3=""),"",IF(INDEX(입력_인턴근무계획!$M$3:$R$402,$A354,$I$3)&amp;""="","",IF(LEFT(INDEX(입력_인턴근무계획!$M$3:$R$402,$A354,$I$3)&amp;"",1)="⚠","",MID(INDEX(입력_인턴근무계획!$M$3:$R$402,$A354,$I$3)&amp;"",FIND(" ",INDEX(입력_인턴근무계획!$M$3:$R$402,$A354,$I$3)&amp;"")+1,60))))</f>
        <v/>
      </c>
      <c r="K354" s="26">
        <f>IF($C354="","",INDEX(입력_인턴근무계획!$M$3:$M$402,$A354)&amp;"")</f>
        <v/>
      </c>
      <c r="L354" s="26">
        <f>IF($C354="","",INDEX(입력_인턴근무계획!$N$3:$N$402,$A354)&amp;"")</f>
        <v/>
      </c>
      <c r="M354" s="26">
        <f>IF($C354="","",INDEX(입력_인턴근무계획!$O$3:$O$402,$A354)&amp;"")</f>
        <v/>
      </c>
      <c r="N354" s="26">
        <f>IF($C354="","",INDEX(입력_인턴근무계획!$P$3:$P$402,$A354)&amp;"")</f>
        <v/>
      </c>
      <c r="O354" s="26">
        <f>IF($C354="","",INDEX(입력_인턴근무계획!$Q$3:$Q$402,$A354)&amp;"")</f>
        <v/>
      </c>
      <c r="P354" s="26">
        <f>IF($C354="","",INDEX(입력_인턴근무계획!$R$3:$R$402,$A354)&amp;"")</f>
        <v/>
      </c>
      <c r="Q354" s="26">
        <f>IF($C354="","",INDEX(입력_인턴근무계획!$T$3:$T$402,$A354))</f>
        <v/>
      </c>
    </row>
    <row r="355">
      <c r="A355" s="29" t="n">
        <v>350</v>
      </c>
      <c r="B355" s="26">
        <f>IF($C355="","",INDEX(입력_인턴근무계획!$B$3:$B$402,$A355))</f>
        <v/>
      </c>
      <c r="C355" s="26">
        <f>IFERROR(TRIM(INDEX(입력_인턴근무계획!$C$3:$C$402,$A355)&amp;""),"")</f>
        <v/>
      </c>
      <c r="D355" s="26">
        <f>IF($C355="","",INDEX(입력_인턴근무계획!$D$3:$D$402,$A355))</f>
        <v/>
      </c>
      <c r="E355" s="26">
        <f>IF($C355="","",IF(IFERROR(MATCH($D355,입력_기본자료!$B$2:$B$1001,0),IFERROR(MATCH($D355&amp;"",입력_기본자료!$B$2:$B$1001,0),IFERROR(MATCH(VALUE($D355),입력_기본자료!$B$2:$B$1001,0),0)))&gt;0,"확인","미등록"))</f>
        <v/>
      </c>
      <c r="F355" s="28">
        <f>IF($C355="","",INDEX(입력_인턴근무계획!$S$3:$S$402,$A355))</f>
        <v/>
      </c>
      <c r="G355" s="26">
        <f>IF(OR($C355="",$G$3=""),"",IF(INDEX(입력_인턴근무계획!$M$3:$R$402,$A355,$G$3)&amp;""="","",IF(LEFT(INDEX(입력_인턴근무계획!$M$3:$R$402,$A355,$G$3)&amp;"",1)="⚠",INDEX(입력_인턴근무계획!$M$3:$R$402,$A355,$G$3)&amp;"",LEFT(INDEX(입력_인턴근무계획!$M$3:$R$402,$A355,$G$3)&amp;"",FIND(" ",INDEX(입력_인턴근무계획!$M$3:$R$402,$A355,$G$3)&amp;"")-1))))</f>
        <v/>
      </c>
      <c r="H355" s="26">
        <f>IF(OR($C355="",$G$3=""),"",IF(INDEX(입력_인턴근무계획!$M$3:$R$402,$A355,$G$3)&amp;""="","",IF(LEFT(INDEX(입력_인턴근무계획!$M$3:$R$402,$A355,$G$3)&amp;"",1)="⚠","",MID(INDEX(입력_인턴근무계획!$M$3:$R$402,$A355,$G$3)&amp;"",FIND(" ",INDEX(입력_인턴근무계획!$M$3:$R$402,$A355,$G$3)&amp;"")+1,60))))</f>
        <v/>
      </c>
      <c r="I355" s="26">
        <f>IF(OR($C355="",$I$3=""),"",IF(INDEX(입력_인턴근무계획!$M$3:$R$402,$A355,$I$3)&amp;""="","",IF(LEFT(INDEX(입력_인턴근무계획!$M$3:$R$402,$A355,$I$3)&amp;"",1)="⚠",INDEX(입력_인턴근무계획!$M$3:$R$402,$A355,$I$3)&amp;"",LEFT(INDEX(입력_인턴근무계획!$M$3:$R$402,$A355,$I$3)&amp;"",FIND(" ",INDEX(입력_인턴근무계획!$M$3:$R$402,$A355,$I$3)&amp;"")-1))))</f>
        <v/>
      </c>
      <c r="J355" s="26">
        <f>IF(OR($C355="",$I$3=""),"",IF(INDEX(입력_인턴근무계획!$M$3:$R$402,$A355,$I$3)&amp;""="","",IF(LEFT(INDEX(입력_인턴근무계획!$M$3:$R$402,$A355,$I$3)&amp;"",1)="⚠","",MID(INDEX(입력_인턴근무계획!$M$3:$R$402,$A355,$I$3)&amp;"",FIND(" ",INDEX(입력_인턴근무계획!$M$3:$R$402,$A355,$I$3)&amp;"")+1,60))))</f>
        <v/>
      </c>
      <c r="K355" s="26">
        <f>IF($C355="","",INDEX(입력_인턴근무계획!$M$3:$M$402,$A355)&amp;"")</f>
        <v/>
      </c>
      <c r="L355" s="26">
        <f>IF($C355="","",INDEX(입력_인턴근무계획!$N$3:$N$402,$A355)&amp;"")</f>
        <v/>
      </c>
      <c r="M355" s="26">
        <f>IF($C355="","",INDEX(입력_인턴근무계획!$O$3:$O$402,$A355)&amp;"")</f>
        <v/>
      </c>
      <c r="N355" s="26">
        <f>IF($C355="","",INDEX(입력_인턴근무계획!$P$3:$P$402,$A355)&amp;"")</f>
        <v/>
      </c>
      <c r="O355" s="26">
        <f>IF($C355="","",INDEX(입력_인턴근무계획!$Q$3:$Q$402,$A355)&amp;"")</f>
        <v/>
      </c>
      <c r="P355" s="26">
        <f>IF($C355="","",INDEX(입력_인턴근무계획!$R$3:$R$402,$A355)&amp;"")</f>
        <v/>
      </c>
      <c r="Q355" s="26">
        <f>IF($C355="","",INDEX(입력_인턴근무계획!$T$3:$T$402,$A355))</f>
        <v/>
      </c>
    </row>
    <row r="356">
      <c r="A356" s="29" t="n">
        <v>351</v>
      </c>
      <c r="B356" s="26">
        <f>IF($C356="","",INDEX(입력_인턴근무계획!$B$3:$B$402,$A356))</f>
        <v/>
      </c>
      <c r="C356" s="26">
        <f>IFERROR(TRIM(INDEX(입력_인턴근무계획!$C$3:$C$402,$A356)&amp;""),"")</f>
        <v/>
      </c>
      <c r="D356" s="26">
        <f>IF($C356="","",INDEX(입력_인턴근무계획!$D$3:$D$402,$A356))</f>
        <v/>
      </c>
      <c r="E356" s="26">
        <f>IF($C356="","",IF(IFERROR(MATCH($D356,입력_기본자료!$B$2:$B$1001,0),IFERROR(MATCH($D356&amp;"",입력_기본자료!$B$2:$B$1001,0),IFERROR(MATCH(VALUE($D356),입력_기본자료!$B$2:$B$1001,0),0)))&gt;0,"확인","미등록"))</f>
        <v/>
      </c>
      <c r="F356" s="28">
        <f>IF($C356="","",INDEX(입력_인턴근무계획!$S$3:$S$402,$A356))</f>
        <v/>
      </c>
      <c r="G356" s="26">
        <f>IF(OR($C356="",$G$3=""),"",IF(INDEX(입력_인턴근무계획!$M$3:$R$402,$A356,$G$3)&amp;""="","",IF(LEFT(INDEX(입력_인턴근무계획!$M$3:$R$402,$A356,$G$3)&amp;"",1)="⚠",INDEX(입력_인턴근무계획!$M$3:$R$402,$A356,$G$3)&amp;"",LEFT(INDEX(입력_인턴근무계획!$M$3:$R$402,$A356,$G$3)&amp;"",FIND(" ",INDEX(입력_인턴근무계획!$M$3:$R$402,$A356,$G$3)&amp;"")-1))))</f>
        <v/>
      </c>
      <c r="H356" s="26">
        <f>IF(OR($C356="",$G$3=""),"",IF(INDEX(입력_인턴근무계획!$M$3:$R$402,$A356,$G$3)&amp;""="","",IF(LEFT(INDEX(입력_인턴근무계획!$M$3:$R$402,$A356,$G$3)&amp;"",1)="⚠","",MID(INDEX(입력_인턴근무계획!$M$3:$R$402,$A356,$G$3)&amp;"",FIND(" ",INDEX(입력_인턴근무계획!$M$3:$R$402,$A356,$G$3)&amp;"")+1,60))))</f>
        <v/>
      </c>
      <c r="I356" s="26">
        <f>IF(OR($C356="",$I$3=""),"",IF(INDEX(입력_인턴근무계획!$M$3:$R$402,$A356,$I$3)&amp;""="","",IF(LEFT(INDEX(입력_인턴근무계획!$M$3:$R$402,$A356,$I$3)&amp;"",1)="⚠",INDEX(입력_인턴근무계획!$M$3:$R$402,$A356,$I$3)&amp;"",LEFT(INDEX(입력_인턴근무계획!$M$3:$R$402,$A356,$I$3)&amp;"",FIND(" ",INDEX(입력_인턴근무계획!$M$3:$R$402,$A356,$I$3)&amp;"")-1))))</f>
        <v/>
      </c>
      <c r="J356" s="26">
        <f>IF(OR($C356="",$I$3=""),"",IF(INDEX(입력_인턴근무계획!$M$3:$R$402,$A356,$I$3)&amp;""="","",IF(LEFT(INDEX(입력_인턴근무계획!$M$3:$R$402,$A356,$I$3)&amp;"",1)="⚠","",MID(INDEX(입력_인턴근무계획!$M$3:$R$402,$A356,$I$3)&amp;"",FIND(" ",INDEX(입력_인턴근무계획!$M$3:$R$402,$A356,$I$3)&amp;"")+1,60))))</f>
        <v/>
      </c>
      <c r="K356" s="26">
        <f>IF($C356="","",INDEX(입력_인턴근무계획!$M$3:$M$402,$A356)&amp;"")</f>
        <v/>
      </c>
      <c r="L356" s="26">
        <f>IF($C356="","",INDEX(입력_인턴근무계획!$N$3:$N$402,$A356)&amp;"")</f>
        <v/>
      </c>
      <c r="M356" s="26">
        <f>IF($C356="","",INDEX(입력_인턴근무계획!$O$3:$O$402,$A356)&amp;"")</f>
        <v/>
      </c>
      <c r="N356" s="26">
        <f>IF($C356="","",INDEX(입력_인턴근무계획!$P$3:$P$402,$A356)&amp;"")</f>
        <v/>
      </c>
      <c r="O356" s="26">
        <f>IF($C356="","",INDEX(입력_인턴근무계획!$Q$3:$Q$402,$A356)&amp;"")</f>
        <v/>
      </c>
      <c r="P356" s="26">
        <f>IF($C356="","",INDEX(입력_인턴근무계획!$R$3:$R$402,$A356)&amp;"")</f>
        <v/>
      </c>
      <c r="Q356" s="26">
        <f>IF($C356="","",INDEX(입력_인턴근무계획!$T$3:$T$402,$A356))</f>
        <v/>
      </c>
    </row>
    <row r="357">
      <c r="A357" s="29" t="n">
        <v>352</v>
      </c>
      <c r="B357" s="26">
        <f>IF($C357="","",INDEX(입력_인턴근무계획!$B$3:$B$402,$A357))</f>
        <v/>
      </c>
      <c r="C357" s="26">
        <f>IFERROR(TRIM(INDEX(입력_인턴근무계획!$C$3:$C$402,$A357)&amp;""),"")</f>
        <v/>
      </c>
      <c r="D357" s="26">
        <f>IF($C357="","",INDEX(입력_인턴근무계획!$D$3:$D$402,$A357))</f>
        <v/>
      </c>
      <c r="E357" s="26">
        <f>IF($C357="","",IF(IFERROR(MATCH($D357,입력_기본자료!$B$2:$B$1001,0),IFERROR(MATCH($D357&amp;"",입력_기본자료!$B$2:$B$1001,0),IFERROR(MATCH(VALUE($D357),입력_기본자료!$B$2:$B$1001,0),0)))&gt;0,"확인","미등록"))</f>
        <v/>
      </c>
      <c r="F357" s="28">
        <f>IF($C357="","",INDEX(입력_인턴근무계획!$S$3:$S$402,$A357))</f>
        <v/>
      </c>
      <c r="G357" s="26">
        <f>IF(OR($C357="",$G$3=""),"",IF(INDEX(입력_인턴근무계획!$M$3:$R$402,$A357,$G$3)&amp;""="","",IF(LEFT(INDEX(입력_인턴근무계획!$M$3:$R$402,$A357,$G$3)&amp;"",1)="⚠",INDEX(입력_인턴근무계획!$M$3:$R$402,$A357,$G$3)&amp;"",LEFT(INDEX(입력_인턴근무계획!$M$3:$R$402,$A357,$G$3)&amp;"",FIND(" ",INDEX(입력_인턴근무계획!$M$3:$R$402,$A357,$G$3)&amp;"")-1))))</f>
        <v/>
      </c>
      <c r="H357" s="26">
        <f>IF(OR($C357="",$G$3=""),"",IF(INDEX(입력_인턴근무계획!$M$3:$R$402,$A357,$G$3)&amp;""="","",IF(LEFT(INDEX(입력_인턴근무계획!$M$3:$R$402,$A357,$G$3)&amp;"",1)="⚠","",MID(INDEX(입력_인턴근무계획!$M$3:$R$402,$A357,$G$3)&amp;"",FIND(" ",INDEX(입력_인턴근무계획!$M$3:$R$402,$A357,$G$3)&amp;"")+1,60))))</f>
        <v/>
      </c>
      <c r="I357" s="26">
        <f>IF(OR($C357="",$I$3=""),"",IF(INDEX(입력_인턴근무계획!$M$3:$R$402,$A357,$I$3)&amp;""="","",IF(LEFT(INDEX(입력_인턴근무계획!$M$3:$R$402,$A357,$I$3)&amp;"",1)="⚠",INDEX(입력_인턴근무계획!$M$3:$R$402,$A357,$I$3)&amp;"",LEFT(INDEX(입력_인턴근무계획!$M$3:$R$402,$A357,$I$3)&amp;"",FIND(" ",INDEX(입력_인턴근무계획!$M$3:$R$402,$A357,$I$3)&amp;"")-1))))</f>
        <v/>
      </c>
      <c r="J357" s="26">
        <f>IF(OR($C357="",$I$3=""),"",IF(INDEX(입력_인턴근무계획!$M$3:$R$402,$A357,$I$3)&amp;""="","",IF(LEFT(INDEX(입력_인턴근무계획!$M$3:$R$402,$A357,$I$3)&amp;"",1)="⚠","",MID(INDEX(입력_인턴근무계획!$M$3:$R$402,$A357,$I$3)&amp;"",FIND(" ",INDEX(입력_인턴근무계획!$M$3:$R$402,$A357,$I$3)&amp;"")+1,60))))</f>
        <v/>
      </c>
      <c r="K357" s="26">
        <f>IF($C357="","",INDEX(입력_인턴근무계획!$M$3:$M$402,$A357)&amp;"")</f>
        <v/>
      </c>
      <c r="L357" s="26">
        <f>IF($C357="","",INDEX(입력_인턴근무계획!$N$3:$N$402,$A357)&amp;"")</f>
        <v/>
      </c>
      <c r="M357" s="26">
        <f>IF($C357="","",INDEX(입력_인턴근무계획!$O$3:$O$402,$A357)&amp;"")</f>
        <v/>
      </c>
      <c r="N357" s="26">
        <f>IF($C357="","",INDEX(입력_인턴근무계획!$P$3:$P$402,$A357)&amp;"")</f>
        <v/>
      </c>
      <c r="O357" s="26">
        <f>IF($C357="","",INDEX(입력_인턴근무계획!$Q$3:$Q$402,$A357)&amp;"")</f>
        <v/>
      </c>
      <c r="P357" s="26">
        <f>IF($C357="","",INDEX(입력_인턴근무계획!$R$3:$R$402,$A357)&amp;"")</f>
        <v/>
      </c>
      <c r="Q357" s="26">
        <f>IF($C357="","",INDEX(입력_인턴근무계획!$T$3:$T$402,$A357))</f>
        <v/>
      </c>
    </row>
    <row r="358">
      <c r="A358" s="29" t="n">
        <v>353</v>
      </c>
      <c r="B358" s="26">
        <f>IF($C358="","",INDEX(입력_인턴근무계획!$B$3:$B$402,$A358))</f>
        <v/>
      </c>
      <c r="C358" s="26">
        <f>IFERROR(TRIM(INDEX(입력_인턴근무계획!$C$3:$C$402,$A358)&amp;""),"")</f>
        <v/>
      </c>
      <c r="D358" s="26">
        <f>IF($C358="","",INDEX(입력_인턴근무계획!$D$3:$D$402,$A358))</f>
        <v/>
      </c>
      <c r="E358" s="26">
        <f>IF($C358="","",IF(IFERROR(MATCH($D358,입력_기본자료!$B$2:$B$1001,0),IFERROR(MATCH($D358&amp;"",입력_기본자료!$B$2:$B$1001,0),IFERROR(MATCH(VALUE($D358),입력_기본자료!$B$2:$B$1001,0),0)))&gt;0,"확인","미등록"))</f>
        <v/>
      </c>
      <c r="F358" s="28">
        <f>IF($C358="","",INDEX(입력_인턴근무계획!$S$3:$S$402,$A358))</f>
        <v/>
      </c>
      <c r="G358" s="26">
        <f>IF(OR($C358="",$G$3=""),"",IF(INDEX(입력_인턴근무계획!$M$3:$R$402,$A358,$G$3)&amp;""="","",IF(LEFT(INDEX(입력_인턴근무계획!$M$3:$R$402,$A358,$G$3)&amp;"",1)="⚠",INDEX(입력_인턴근무계획!$M$3:$R$402,$A358,$G$3)&amp;"",LEFT(INDEX(입력_인턴근무계획!$M$3:$R$402,$A358,$G$3)&amp;"",FIND(" ",INDEX(입력_인턴근무계획!$M$3:$R$402,$A358,$G$3)&amp;"")-1))))</f>
        <v/>
      </c>
      <c r="H358" s="26">
        <f>IF(OR($C358="",$G$3=""),"",IF(INDEX(입력_인턴근무계획!$M$3:$R$402,$A358,$G$3)&amp;""="","",IF(LEFT(INDEX(입력_인턴근무계획!$M$3:$R$402,$A358,$G$3)&amp;"",1)="⚠","",MID(INDEX(입력_인턴근무계획!$M$3:$R$402,$A358,$G$3)&amp;"",FIND(" ",INDEX(입력_인턴근무계획!$M$3:$R$402,$A358,$G$3)&amp;"")+1,60))))</f>
        <v/>
      </c>
      <c r="I358" s="26">
        <f>IF(OR($C358="",$I$3=""),"",IF(INDEX(입력_인턴근무계획!$M$3:$R$402,$A358,$I$3)&amp;""="","",IF(LEFT(INDEX(입력_인턴근무계획!$M$3:$R$402,$A358,$I$3)&amp;"",1)="⚠",INDEX(입력_인턴근무계획!$M$3:$R$402,$A358,$I$3)&amp;"",LEFT(INDEX(입력_인턴근무계획!$M$3:$R$402,$A358,$I$3)&amp;"",FIND(" ",INDEX(입력_인턴근무계획!$M$3:$R$402,$A358,$I$3)&amp;"")-1))))</f>
        <v/>
      </c>
      <c r="J358" s="26">
        <f>IF(OR($C358="",$I$3=""),"",IF(INDEX(입력_인턴근무계획!$M$3:$R$402,$A358,$I$3)&amp;""="","",IF(LEFT(INDEX(입력_인턴근무계획!$M$3:$R$402,$A358,$I$3)&amp;"",1)="⚠","",MID(INDEX(입력_인턴근무계획!$M$3:$R$402,$A358,$I$3)&amp;"",FIND(" ",INDEX(입력_인턴근무계획!$M$3:$R$402,$A358,$I$3)&amp;"")+1,60))))</f>
        <v/>
      </c>
      <c r="K358" s="26">
        <f>IF($C358="","",INDEX(입력_인턴근무계획!$M$3:$M$402,$A358)&amp;"")</f>
        <v/>
      </c>
      <c r="L358" s="26">
        <f>IF($C358="","",INDEX(입력_인턴근무계획!$N$3:$N$402,$A358)&amp;"")</f>
        <v/>
      </c>
      <c r="M358" s="26">
        <f>IF($C358="","",INDEX(입력_인턴근무계획!$O$3:$O$402,$A358)&amp;"")</f>
        <v/>
      </c>
      <c r="N358" s="26">
        <f>IF($C358="","",INDEX(입력_인턴근무계획!$P$3:$P$402,$A358)&amp;"")</f>
        <v/>
      </c>
      <c r="O358" s="26">
        <f>IF($C358="","",INDEX(입력_인턴근무계획!$Q$3:$Q$402,$A358)&amp;"")</f>
        <v/>
      </c>
      <c r="P358" s="26">
        <f>IF($C358="","",INDEX(입력_인턴근무계획!$R$3:$R$402,$A358)&amp;"")</f>
        <v/>
      </c>
      <c r="Q358" s="26">
        <f>IF($C358="","",INDEX(입력_인턴근무계획!$T$3:$T$402,$A358))</f>
        <v/>
      </c>
    </row>
    <row r="359">
      <c r="A359" s="29" t="n">
        <v>354</v>
      </c>
      <c r="B359" s="26">
        <f>IF($C359="","",INDEX(입력_인턴근무계획!$B$3:$B$402,$A359))</f>
        <v/>
      </c>
      <c r="C359" s="26">
        <f>IFERROR(TRIM(INDEX(입력_인턴근무계획!$C$3:$C$402,$A359)&amp;""),"")</f>
        <v/>
      </c>
      <c r="D359" s="26">
        <f>IF($C359="","",INDEX(입력_인턴근무계획!$D$3:$D$402,$A359))</f>
        <v/>
      </c>
      <c r="E359" s="26">
        <f>IF($C359="","",IF(IFERROR(MATCH($D359,입력_기본자료!$B$2:$B$1001,0),IFERROR(MATCH($D359&amp;"",입력_기본자료!$B$2:$B$1001,0),IFERROR(MATCH(VALUE($D359),입력_기본자료!$B$2:$B$1001,0),0)))&gt;0,"확인","미등록"))</f>
        <v/>
      </c>
      <c r="F359" s="28">
        <f>IF($C359="","",INDEX(입력_인턴근무계획!$S$3:$S$402,$A359))</f>
        <v/>
      </c>
      <c r="G359" s="26">
        <f>IF(OR($C359="",$G$3=""),"",IF(INDEX(입력_인턴근무계획!$M$3:$R$402,$A359,$G$3)&amp;""="","",IF(LEFT(INDEX(입력_인턴근무계획!$M$3:$R$402,$A359,$G$3)&amp;"",1)="⚠",INDEX(입력_인턴근무계획!$M$3:$R$402,$A359,$G$3)&amp;"",LEFT(INDEX(입력_인턴근무계획!$M$3:$R$402,$A359,$G$3)&amp;"",FIND(" ",INDEX(입력_인턴근무계획!$M$3:$R$402,$A359,$G$3)&amp;"")-1))))</f>
        <v/>
      </c>
      <c r="H359" s="26">
        <f>IF(OR($C359="",$G$3=""),"",IF(INDEX(입력_인턴근무계획!$M$3:$R$402,$A359,$G$3)&amp;""="","",IF(LEFT(INDEX(입력_인턴근무계획!$M$3:$R$402,$A359,$G$3)&amp;"",1)="⚠","",MID(INDEX(입력_인턴근무계획!$M$3:$R$402,$A359,$G$3)&amp;"",FIND(" ",INDEX(입력_인턴근무계획!$M$3:$R$402,$A359,$G$3)&amp;"")+1,60))))</f>
        <v/>
      </c>
      <c r="I359" s="26">
        <f>IF(OR($C359="",$I$3=""),"",IF(INDEX(입력_인턴근무계획!$M$3:$R$402,$A359,$I$3)&amp;""="","",IF(LEFT(INDEX(입력_인턴근무계획!$M$3:$R$402,$A359,$I$3)&amp;"",1)="⚠",INDEX(입력_인턴근무계획!$M$3:$R$402,$A359,$I$3)&amp;"",LEFT(INDEX(입력_인턴근무계획!$M$3:$R$402,$A359,$I$3)&amp;"",FIND(" ",INDEX(입력_인턴근무계획!$M$3:$R$402,$A359,$I$3)&amp;"")-1))))</f>
        <v/>
      </c>
      <c r="J359" s="26">
        <f>IF(OR($C359="",$I$3=""),"",IF(INDEX(입력_인턴근무계획!$M$3:$R$402,$A359,$I$3)&amp;""="","",IF(LEFT(INDEX(입력_인턴근무계획!$M$3:$R$402,$A359,$I$3)&amp;"",1)="⚠","",MID(INDEX(입력_인턴근무계획!$M$3:$R$402,$A359,$I$3)&amp;"",FIND(" ",INDEX(입력_인턴근무계획!$M$3:$R$402,$A359,$I$3)&amp;"")+1,60))))</f>
        <v/>
      </c>
      <c r="K359" s="26">
        <f>IF($C359="","",INDEX(입력_인턴근무계획!$M$3:$M$402,$A359)&amp;"")</f>
        <v/>
      </c>
      <c r="L359" s="26">
        <f>IF($C359="","",INDEX(입력_인턴근무계획!$N$3:$N$402,$A359)&amp;"")</f>
        <v/>
      </c>
      <c r="M359" s="26">
        <f>IF($C359="","",INDEX(입력_인턴근무계획!$O$3:$O$402,$A359)&amp;"")</f>
        <v/>
      </c>
      <c r="N359" s="26">
        <f>IF($C359="","",INDEX(입력_인턴근무계획!$P$3:$P$402,$A359)&amp;"")</f>
        <v/>
      </c>
      <c r="O359" s="26">
        <f>IF($C359="","",INDEX(입력_인턴근무계획!$Q$3:$Q$402,$A359)&amp;"")</f>
        <v/>
      </c>
      <c r="P359" s="26">
        <f>IF($C359="","",INDEX(입력_인턴근무계획!$R$3:$R$402,$A359)&amp;"")</f>
        <v/>
      </c>
      <c r="Q359" s="26">
        <f>IF($C359="","",INDEX(입력_인턴근무계획!$T$3:$T$402,$A359))</f>
        <v/>
      </c>
    </row>
    <row r="360">
      <c r="A360" s="29" t="n">
        <v>355</v>
      </c>
      <c r="B360" s="26">
        <f>IF($C360="","",INDEX(입력_인턴근무계획!$B$3:$B$402,$A360))</f>
        <v/>
      </c>
      <c r="C360" s="26">
        <f>IFERROR(TRIM(INDEX(입력_인턴근무계획!$C$3:$C$402,$A360)&amp;""),"")</f>
        <v/>
      </c>
      <c r="D360" s="26">
        <f>IF($C360="","",INDEX(입력_인턴근무계획!$D$3:$D$402,$A360))</f>
        <v/>
      </c>
      <c r="E360" s="26">
        <f>IF($C360="","",IF(IFERROR(MATCH($D360,입력_기본자료!$B$2:$B$1001,0),IFERROR(MATCH($D360&amp;"",입력_기본자료!$B$2:$B$1001,0),IFERROR(MATCH(VALUE($D360),입력_기본자료!$B$2:$B$1001,0),0)))&gt;0,"확인","미등록"))</f>
        <v/>
      </c>
      <c r="F360" s="28">
        <f>IF($C360="","",INDEX(입력_인턴근무계획!$S$3:$S$402,$A360))</f>
        <v/>
      </c>
      <c r="G360" s="26">
        <f>IF(OR($C360="",$G$3=""),"",IF(INDEX(입력_인턴근무계획!$M$3:$R$402,$A360,$G$3)&amp;""="","",IF(LEFT(INDEX(입력_인턴근무계획!$M$3:$R$402,$A360,$G$3)&amp;"",1)="⚠",INDEX(입력_인턴근무계획!$M$3:$R$402,$A360,$G$3)&amp;"",LEFT(INDEX(입력_인턴근무계획!$M$3:$R$402,$A360,$G$3)&amp;"",FIND(" ",INDEX(입력_인턴근무계획!$M$3:$R$402,$A360,$G$3)&amp;"")-1))))</f>
        <v/>
      </c>
      <c r="H360" s="26">
        <f>IF(OR($C360="",$G$3=""),"",IF(INDEX(입력_인턴근무계획!$M$3:$R$402,$A360,$G$3)&amp;""="","",IF(LEFT(INDEX(입력_인턴근무계획!$M$3:$R$402,$A360,$G$3)&amp;"",1)="⚠","",MID(INDEX(입력_인턴근무계획!$M$3:$R$402,$A360,$G$3)&amp;"",FIND(" ",INDEX(입력_인턴근무계획!$M$3:$R$402,$A360,$G$3)&amp;"")+1,60))))</f>
        <v/>
      </c>
      <c r="I360" s="26">
        <f>IF(OR($C360="",$I$3=""),"",IF(INDEX(입력_인턴근무계획!$M$3:$R$402,$A360,$I$3)&amp;""="","",IF(LEFT(INDEX(입력_인턴근무계획!$M$3:$R$402,$A360,$I$3)&amp;"",1)="⚠",INDEX(입력_인턴근무계획!$M$3:$R$402,$A360,$I$3)&amp;"",LEFT(INDEX(입력_인턴근무계획!$M$3:$R$402,$A360,$I$3)&amp;"",FIND(" ",INDEX(입력_인턴근무계획!$M$3:$R$402,$A360,$I$3)&amp;"")-1))))</f>
        <v/>
      </c>
      <c r="J360" s="26">
        <f>IF(OR($C360="",$I$3=""),"",IF(INDEX(입력_인턴근무계획!$M$3:$R$402,$A360,$I$3)&amp;""="","",IF(LEFT(INDEX(입력_인턴근무계획!$M$3:$R$402,$A360,$I$3)&amp;"",1)="⚠","",MID(INDEX(입력_인턴근무계획!$M$3:$R$402,$A360,$I$3)&amp;"",FIND(" ",INDEX(입력_인턴근무계획!$M$3:$R$402,$A360,$I$3)&amp;"")+1,60))))</f>
        <v/>
      </c>
      <c r="K360" s="26">
        <f>IF($C360="","",INDEX(입력_인턴근무계획!$M$3:$M$402,$A360)&amp;"")</f>
        <v/>
      </c>
      <c r="L360" s="26">
        <f>IF($C360="","",INDEX(입력_인턴근무계획!$N$3:$N$402,$A360)&amp;"")</f>
        <v/>
      </c>
      <c r="M360" s="26">
        <f>IF($C360="","",INDEX(입력_인턴근무계획!$O$3:$O$402,$A360)&amp;"")</f>
        <v/>
      </c>
      <c r="N360" s="26">
        <f>IF($C360="","",INDEX(입력_인턴근무계획!$P$3:$P$402,$A360)&amp;"")</f>
        <v/>
      </c>
      <c r="O360" s="26">
        <f>IF($C360="","",INDEX(입력_인턴근무계획!$Q$3:$Q$402,$A360)&amp;"")</f>
        <v/>
      </c>
      <c r="P360" s="26">
        <f>IF($C360="","",INDEX(입력_인턴근무계획!$R$3:$R$402,$A360)&amp;"")</f>
        <v/>
      </c>
      <c r="Q360" s="26">
        <f>IF($C360="","",INDEX(입력_인턴근무계획!$T$3:$T$402,$A360))</f>
        <v/>
      </c>
    </row>
    <row r="361">
      <c r="A361" s="29" t="n">
        <v>356</v>
      </c>
      <c r="B361" s="26">
        <f>IF($C361="","",INDEX(입력_인턴근무계획!$B$3:$B$402,$A361))</f>
        <v/>
      </c>
      <c r="C361" s="26">
        <f>IFERROR(TRIM(INDEX(입력_인턴근무계획!$C$3:$C$402,$A361)&amp;""),"")</f>
        <v/>
      </c>
      <c r="D361" s="26">
        <f>IF($C361="","",INDEX(입력_인턴근무계획!$D$3:$D$402,$A361))</f>
        <v/>
      </c>
      <c r="E361" s="26">
        <f>IF($C361="","",IF(IFERROR(MATCH($D361,입력_기본자료!$B$2:$B$1001,0),IFERROR(MATCH($D361&amp;"",입력_기본자료!$B$2:$B$1001,0),IFERROR(MATCH(VALUE($D361),입력_기본자료!$B$2:$B$1001,0),0)))&gt;0,"확인","미등록"))</f>
        <v/>
      </c>
      <c r="F361" s="28">
        <f>IF($C361="","",INDEX(입력_인턴근무계획!$S$3:$S$402,$A361))</f>
        <v/>
      </c>
      <c r="G361" s="26">
        <f>IF(OR($C361="",$G$3=""),"",IF(INDEX(입력_인턴근무계획!$M$3:$R$402,$A361,$G$3)&amp;""="","",IF(LEFT(INDEX(입력_인턴근무계획!$M$3:$R$402,$A361,$G$3)&amp;"",1)="⚠",INDEX(입력_인턴근무계획!$M$3:$R$402,$A361,$G$3)&amp;"",LEFT(INDEX(입력_인턴근무계획!$M$3:$R$402,$A361,$G$3)&amp;"",FIND(" ",INDEX(입력_인턴근무계획!$M$3:$R$402,$A361,$G$3)&amp;"")-1))))</f>
        <v/>
      </c>
      <c r="H361" s="26">
        <f>IF(OR($C361="",$G$3=""),"",IF(INDEX(입력_인턴근무계획!$M$3:$R$402,$A361,$G$3)&amp;""="","",IF(LEFT(INDEX(입력_인턴근무계획!$M$3:$R$402,$A361,$G$3)&amp;"",1)="⚠","",MID(INDEX(입력_인턴근무계획!$M$3:$R$402,$A361,$G$3)&amp;"",FIND(" ",INDEX(입력_인턴근무계획!$M$3:$R$402,$A361,$G$3)&amp;"")+1,60))))</f>
        <v/>
      </c>
      <c r="I361" s="26">
        <f>IF(OR($C361="",$I$3=""),"",IF(INDEX(입력_인턴근무계획!$M$3:$R$402,$A361,$I$3)&amp;""="","",IF(LEFT(INDEX(입력_인턴근무계획!$M$3:$R$402,$A361,$I$3)&amp;"",1)="⚠",INDEX(입력_인턴근무계획!$M$3:$R$402,$A361,$I$3)&amp;"",LEFT(INDEX(입력_인턴근무계획!$M$3:$R$402,$A361,$I$3)&amp;"",FIND(" ",INDEX(입력_인턴근무계획!$M$3:$R$402,$A361,$I$3)&amp;"")-1))))</f>
        <v/>
      </c>
      <c r="J361" s="26">
        <f>IF(OR($C361="",$I$3=""),"",IF(INDEX(입력_인턴근무계획!$M$3:$R$402,$A361,$I$3)&amp;""="","",IF(LEFT(INDEX(입력_인턴근무계획!$M$3:$R$402,$A361,$I$3)&amp;"",1)="⚠","",MID(INDEX(입력_인턴근무계획!$M$3:$R$402,$A361,$I$3)&amp;"",FIND(" ",INDEX(입력_인턴근무계획!$M$3:$R$402,$A361,$I$3)&amp;"")+1,60))))</f>
        <v/>
      </c>
      <c r="K361" s="26">
        <f>IF($C361="","",INDEX(입력_인턴근무계획!$M$3:$M$402,$A361)&amp;"")</f>
        <v/>
      </c>
      <c r="L361" s="26">
        <f>IF($C361="","",INDEX(입력_인턴근무계획!$N$3:$N$402,$A361)&amp;"")</f>
        <v/>
      </c>
      <c r="M361" s="26">
        <f>IF($C361="","",INDEX(입력_인턴근무계획!$O$3:$O$402,$A361)&amp;"")</f>
        <v/>
      </c>
      <c r="N361" s="26">
        <f>IF($C361="","",INDEX(입력_인턴근무계획!$P$3:$P$402,$A361)&amp;"")</f>
        <v/>
      </c>
      <c r="O361" s="26">
        <f>IF($C361="","",INDEX(입력_인턴근무계획!$Q$3:$Q$402,$A361)&amp;"")</f>
        <v/>
      </c>
      <c r="P361" s="26">
        <f>IF($C361="","",INDEX(입력_인턴근무계획!$R$3:$R$402,$A361)&amp;"")</f>
        <v/>
      </c>
      <c r="Q361" s="26">
        <f>IF($C361="","",INDEX(입력_인턴근무계획!$T$3:$T$402,$A361))</f>
        <v/>
      </c>
    </row>
    <row r="362">
      <c r="A362" s="29" t="n">
        <v>357</v>
      </c>
      <c r="B362" s="26">
        <f>IF($C362="","",INDEX(입력_인턴근무계획!$B$3:$B$402,$A362))</f>
        <v/>
      </c>
      <c r="C362" s="26">
        <f>IFERROR(TRIM(INDEX(입력_인턴근무계획!$C$3:$C$402,$A362)&amp;""),"")</f>
        <v/>
      </c>
      <c r="D362" s="26">
        <f>IF($C362="","",INDEX(입력_인턴근무계획!$D$3:$D$402,$A362))</f>
        <v/>
      </c>
      <c r="E362" s="26">
        <f>IF($C362="","",IF(IFERROR(MATCH($D362,입력_기본자료!$B$2:$B$1001,0),IFERROR(MATCH($D362&amp;"",입력_기본자료!$B$2:$B$1001,0),IFERROR(MATCH(VALUE($D362),입력_기본자료!$B$2:$B$1001,0),0)))&gt;0,"확인","미등록"))</f>
        <v/>
      </c>
      <c r="F362" s="28">
        <f>IF($C362="","",INDEX(입력_인턴근무계획!$S$3:$S$402,$A362))</f>
        <v/>
      </c>
      <c r="G362" s="26">
        <f>IF(OR($C362="",$G$3=""),"",IF(INDEX(입력_인턴근무계획!$M$3:$R$402,$A362,$G$3)&amp;""="","",IF(LEFT(INDEX(입력_인턴근무계획!$M$3:$R$402,$A362,$G$3)&amp;"",1)="⚠",INDEX(입력_인턴근무계획!$M$3:$R$402,$A362,$G$3)&amp;"",LEFT(INDEX(입력_인턴근무계획!$M$3:$R$402,$A362,$G$3)&amp;"",FIND(" ",INDEX(입력_인턴근무계획!$M$3:$R$402,$A362,$G$3)&amp;"")-1))))</f>
        <v/>
      </c>
      <c r="H362" s="26">
        <f>IF(OR($C362="",$G$3=""),"",IF(INDEX(입력_인턴근무계획!$M$3:$R$402,$A362,$G$3)&amp;""="","",IF(LEFT(INDEX(입력_인턴근무계획!$M$3:$R$402,$A362,$G$3)&amp;"",1)="⚠","",MID(INDEX(입력_인턴근무계획!$M$3:$R$402,$A362,$G$3)&amp;"",FIND(" ",INDEX(입력_인턴근무계획!$M$3:$R$402,$A362,$G$3)&amp;"")+1,60))))</f>
        <v/>
      </c>
      <c r="I362" s="26">
        <f>IF(OR($C362="",$I$3=""),"",IF(INDEX(입력_인턴근무계획!$M$3:$R$402,$A362,$I$3)&amp;""="","",IF(LEFT(INDEX(입력_인턴근무계획!$M$3:$R$402,$A362,$I$3)&amp;"",1)="⚠",INDEX(입력_인턴근무계획!$M$3:$R$402,$A362,$I$3)&amp;"",LEFT(INDEX(입력_인턴근무계획!$M$3:$R$402,$A362,$I$3)&amp;"",FIND(" ",INDEX(입력_인턴근무계획!$M$3:$R$402,$A362,$I$3)&amp;"")-1))))</f>
        <v/>
      </c>
      <c r="J362" s="26">
        <f>IF(OR($C362="",$I$3=""),"",IF(INDEX(입력_인턴근무계획!$M$3:$R$402,$A362,$I$3)&amp;""="","",IF(LEFT(INDEX(입력_인턴근무계획!$M$3:$R$402,$A362,$I$3)&amp;"",1)="⚠","",MID(INDEX(입력_인턴근무계획!$M$3:$R$402,$A362,$I$3)&amp;"",FIND(" ",INDEX(입력_인턴근무계획!$M$3:$R$402,$A362,$I$3)&amp;"")+1,60))))</f>
        <v/>
      </c>
      <c r="K362" s="26">
        <f>IF($C362="","",INDEX(입력_인턴근무계획!$M$3:$M$402,$A362)&amp;"")</f>
        <v/>
      </c>
      <c r="L362" s="26">
        <f>IF($C362="","",INDEX(입력_인턴근무계획!$N$3:$N$402,$A362)&amp;"")</f>
        <v/>
      </c>
      <c r="M362" s="26">
        <f>IF($C362="","",INDEX(입력_인턴근무계획!$O$3:$O$402,$A362)&amp;"")</f>
        <v/>
      </c>
      <c r="N362" s="26">
        <f>IF($C362="","",INDEX(입력_인턴근무계획!$P$3:$P$402,$A362)&amp;"")</f>
        <v/>
      </c>
      <c r="O362" s="26">
        <f>IF($C362="","",INDEX(입력_인턴근무계획!$Q$3:$Q$402,$A362)&amp;"")</f>
        <v/>
      </c>
      <c r="P362" s="26">
        <f>IF($C362="","",INDEX(입력_인턴근무계획!$R$3:$R$402,$A362)&amp;"")</f>
        <v/>
      </c>
      <c r="Q362" s="26">
        <f>IF($C362="","",INDEX(입력_인턴근무계획!$T$3:$T$402,$A362))</f>
        <v/>
      </c>
    </row>
    <row r="363">
      <c r="A363" s="29" t="n">
        <v>358</v>
      </c>
      <c r="B363" s="26">
        <f>IF($C363="","",INDEX(입력_인턴근무계획!$B$3:$B$402,$A363))</f>
        <v/>
      </c>
      <c r="C363" s="26">
        <f>IFERROR(TRIM(INDEX(입력_인턴근무계획!$C$3:$C$402,$A363)&amp;""),"")</f>
        <v/>
      </c>
      <c r="D363" s="26">
        <f>IF($C363="","",INDEX(입력_인턴근무계획!$D$3:$D$402,$A363))</f>
        <v/>
      </c>
      <c r="E363" s="26">
        <f>IF($C363="","",IF(IFERROR(MATCH($D363,입력_기본자료!$B$2:$B$1001,0),IFERROR(MATCH($D363&amp;"",입력_기본자료!$B$2:$B$1001,0),IFERROR(MATCH(VALUE($D363),입력_기본자료!$B$2:$B$1001,0),0)))&gt;0,"확인","미등록"))</f>
        <v/>
      </c>
      <c r="F363" s="28">
        <f>IF($C363="","",INDEX(입력_인턴근무계획!$S$3:$S$402,$A363))</f>
        <v/>
      </c>
      <c r="G363" s="26">
        <f>IF(OR($C363="",$G$3=""),"",IF(INDEX(입력_인턴근무계획!$M$3:$R$402,$A363,$G$3)&amp;""="","",IF(LEFT(INDEX(입력_인턴근무계획!$M$3:$R$402,$A363,$G$3)&amp;"",1)="⚠",INDEX(입력_인턴근무계획!$M$3:$R$402,$A363,$G$3)&amp;"",LEFT(INDEX(입력_인턴근무계획!$M$3:$R$402,$A363,$G$3)&amp;"",FIND(" ",INDEX(입력_인턴근무계획!$M$3:$R$402,$A363,$G$3)&amp;"")-1))))</f>
        <v/>
      </c>
      <c r="H363" s="26">
        <f>IF(OR($C363="",$G$3=""),"",IF(INDEX(입력_인턴근무계획!$M$3:$R$402,$A363,$G$3)&amp;""="","",IF(LEFT(INDEX(입력_인턴근무계획!$M$3:$R$402,$A363,$G$3)&amp;"",1)="⚠","",MID(INDEX(입력_인턴근무계획!$M$3:$R$402,$A363,$G$3)&amp;"",FIND(" ",INDEX(입력_인턴근무계획!$M$3:$R$402,$A363,$G$3)&amp;"")+1,60))))</f>
        <v/>
      </c>
      <c r="I363" s="26">
        <f>IF(OR($C363="",$I$3=""),"",IF(INDEX(입력_인턴근무계획!$M$3:$R$402,$A363,$I$3)&amp;""="","",IF(LEFT(INDEX(입력_인턴근무계획!$M$3:$R$402,$A363,$I$3)&amp;"",1)="⚠",INDEX(입력_인턴근무계획!$M$3:$R$402,$A363,$I$3)&amp;"",LEFT(INDEX(입력_인턴근무계획!$M$3:$R$402,$A363,$I$3)&amp;"",FIND(" ",INDEX(입력_인턴근무계획!$M$3:$R$402,$A363,$I$3)&amp;"")-1))))</f>
        <v/>
      </c>
      <c r="J363" s="26">
        <f>IF(OR($C363="",$I$3=""),"",IF(INDEX(입력_인턴근무계획!$M$3:$R$402,$A363,$I$3)&amp;""="","",IF(LEFT(INDEX(입력_인턴근무계획!$M$3:$R$402,$A363,$I$3)&amp;"",1)="⚠","",MID(INDEX(입력_인턴근무계획!$M$3:$R$402,$A363,$I$3)&amp;"",FIND(" ",INDEX(입력_인턴근무계획!$M$3:$R$402,$A363,$I$3)&amp;"")+1,60))))</f>
        <v/>
      </c>
      <c r="K363" s="26">
        <f>IF($C363="","",INDEX(입력_인턴근무계획!$M$3:$M$402,$A363)&amp;"")</f>
        <v/>
      </c>
      <c r="L363" s="26">
        <f>IF($C363="","",INDEX(입력_인턴근무계획!$N$3:$N$402,$A363)&amp;"")</f>
        <v/>
      </c>
      <c r="M363" s="26">
        <f>IF($C363="","",INDEX(입력_인턴근무계획!$O$3:$O$402,$A363)&amp;"")</f>
        <v/>
      </c>
      <c r="N363" s="26">
        <f>IF($C363="","",INDEX(입력_인턴근무계획!$P$3:$P$402,$A363)&amp;"")</f>
        <v/>
      </c>
      <c r="O363" s="26">
        <f>IF($C363="","",INDEX(입력_인턴근무계획!$Q$3:$Q$402,$A363)&amp;"")</f>
        <v/>
      </c>
      <c r="P363" s="26">
        <f>IF($C363="","",INDEX(입력_인턴근무계획!$R$3:$R$402,$A363)&amp;"")</f>
        <v/>
      </c>
      <c r="Q363" s="26">
        <f>IF($C363="","",INDEX(입력_인턴근무계획!$T$3:$T$402,$A363))</f>
        <v/>
      </c>
    </row>
    <row r="364">
      <c r="A364" s="29" t="n">
        <v>359</v>
      </c>
      <c r="B364" s="26">
        <f>IF($C364="","",INDEX(입력_인턴근무계획!$B$3:$B$402,$A364))</f>
        <v/>
      </c>
      <c r="C364" s="26">
        <f>IFERROR(TRIM(INDEX(입력_인턴근무계획!$C$3:$C$402,$A364)&amp;""),"")</f>
        <v/>
      </c>
      <c r="D364" s="26">
        <f>IF($C364="","",INDEX(입력_인턴근무계획!$D$3:$D$402,$A364))</f>
        <v/>
      </c>
      <c r="E364" s="26">
        <f>IF($C364="","",IF(IFERROR(MATCH($D364,입력_기본자료!$B$2:$B$1001,0),IFERROR(MATCH($D364&amp;"",입력_기본자료!$B$2:$B$1001,0),IFERROR(MATCH(VALUE($D364),입력_기본자료!$B$2:$B$1001,0),0)))&gt;0,"확인","미등록"))</f>
        <v/>
      </c>
      <c r="F364" s="28">
        <f>IF($C364="","",INDEX(입력_인턴근무계획!$S$3:$S$402,$A364))</f>
        <v/>
      </c>
      <c r="G364" s="26">
        <f>IF(OR($C364="",$G$3=""),"",IF(INDEX(입력_인턴근무계획!$M$3:$R$402,$A364,$G$3)&amp;""="","",IF(LEFT(INDEX(입력_인턴근무계획!$M$3:$R$402,$A364,$G$3)&amp;"",1)="⚠",INDEX(입력_인턴근무계획!$M$3:$R$402,$A364,$G$3)&amp;"",LEFT(INDEX(입력_인턴근무계획!$M$3:$R$402,$A364,$G$3)&amp;"",FIND(" ",INDEX(입력_인턴근무계획!$M$3:$R$402,$A364,$G$3)&amp;"")-1))))</f>
        <v/>
      </c>
      <c r="H364" s="26">
        <f>IF(OR($C364="",$G$3=""),"",IF(INDEX(입력_인턴근무계획!$M$3:$R$402,$A364,$G$3)&amp;""="","",IF(LEFT(INDEX(입력_인턴근무계획!$M$3:$R$402,$A364,$G$3)&amp;"",1)="⚠","",MID(INDEX(입력_인턴근무계획!$M$3:$R$402,$A364,$G$3)&amp;"",FIND(" ",INDEX(입력_인턴근무계획!$M$3:$R$402,$A364,$G$3)&amp;"")+1,60))))</f>
        <v/>
      </c>
      <c r="I364" s="26">
        <f>IF(OR($C364="",$I$3=""),"",IF(INDEX(입력_인턴근무계획!$M$3:$R$402,$A364,$I$3)&amp;""="","",IF(LEFT(INDEX(입력_인턴근무계획!$M$3:$R$402,$A364,$I$3)&amp;"",1)="⚠",INDEX(입력_인턴근무계획!$M$3:$R$402,$A364,$I$3)&amp;"",LEFT(INDEX(입력_인턴근무계획!$M$3:$R$402,$A364,$I$3)&amp;"",FIND(" ",INDEX(입력_인턴근무계획!$M$3:$R$402,$A364,$I$3)&amp;"")-1))))</f>
        <v/>
      </c>
      <c r="J364" s="26">
        <f>IF(OR($C364="",$I$3=""),"",IF(INDEX(입력_인턴근무계획!$M$3:$R$402,$A364,$I$3)&amp;""="","",IF(LEFT(INDEX(입력_인턴근무계획!$M$3:$R$402,$A364,$I$3)&amp;"",1)="⚠","",MID(INDEX(입력_인턴근무계획!$M$3:$R$402,$A364,$I$3)&amp;"",FIND(" ",INDEX(입력_인턴근무계획!$M$3:$R$402,$A364,$I$3)&amp;"")+1,60))))</f>
        <v/>
      </c>
      <c r="K364" s="26">
        <f>IF($C364="","",INDEX(입력_인턴근무계획!$M$3:$M$402,$A364)&amp;"")</f>
        <v/>
      </c>
      <c r="L364" s="26">
        <f>IF($C364="","",INDEX(입력_인턴근무계획!$N$3:$N$402,$A364)&amp;"")</f>
        <v/>
      </c>
      <c r="M364" s="26">
        <f>IF($C364="","",INDEX(입력_인턴근무계획!$O$3:$O$402,$A364)&amp;"")</f>
        <v/>
      </c>
      <c r="N364" s="26">
        <f>IF($C364="","",INDEX(입력_인턴근무계획!$P$3:$P$402,$A364)&amp;"")</f>
        <v/>
      </c>
      <c r="O364" s="26">
        <f>IF($C364="","",INDEX(입력_인턴근무계획!$Q$3:$Q$402,$A364)&amp;"")</f>
        <v/>
      </c>
      <c r="P364" s="26">
        <f>IF($C364="","",INDEX(입력_인턴근무계획!$R$3:$R$402,$A364)&amp;"")</f>
        <v/>
      </c>
      <c r="Q364" s="26">
        <f>IF($C364="","",INDEX(입력_인턴근무계획!$T$3:$T$402,$A364))</f>
        <v/>
      </c>
    </row>
    <row r="365">
      <c r="A365" s="29" t="n">
        <v>360</v>
      </c>
      <c r="B365" s="26">
        <f>IF($C365="","",INDEX(입력_인턴근무계획!$B$3:$B$402,$A365))</f>
        <v/>
      </c>
      <c r="C365" s="26">
        <f>IFERROR(TRIM(INDEX(입력_인턴근무계획!$C$3:$C$402,$A365)&amp;""),"")</f>
        <v/>
      </c>
      <c r="D365" s="26">
        <f>IF($C365="","",INDEX(입력_인턴근무계획!$D$3:$D$402,$A365))</f>
        <v/>
      </c>
      <c r="E365" s="26">
        <f>IF($C365="","",IF(IFERROR(MATCH($D365,입력_기본자료!$B$2:$B$1001,0),IFERROR(MATCH($D365&amp;"",입력_기본자료!$B$2:$B$1001,0),IFERROR(MATCH(VALUE($D365),입력_기본자료!$B$2:$B$1001,0),0)))&gt;0,"확인","미등록"))</f>
        <v/>
      </c>
      <c r="F365" s="28">
        <f>IF($C365="","",INDEX(입력_인턴근무계획!$S$3:$S$402,$A365))</f>
        <v/>
      </c>
      <c r="G365" s="26">
        <f>IF(OR($C365="",$G$3=""),"",IF(INDEX(입력_인턴근무계획!$M$3:$R$402,$A365,$G$3)&amp;""="","",IF(LEFT(INDEX(입력_인턴근무계획!$M$3:$R$402,$A365,$G$3)&amp;"",1)="⚠",INDEX(입력_인턴근무계획!$M$3:$R$402,$A365,$G$3)&amp;"",LEFT(INDEX(입력_인턴근무계획!$M$3:$R$402,$A365,$G$3)&amp;"",FIND(" ",INDEX(입력_인턴근무계획!$M$3:$R$402,$A365,$G$3)&amp;"")-1))))</f>
        <v/>
      </c>
      <c r="H365" s="26">
        <f>IF(OR($C365="",$G$3=""),"",IF(INDEX(입력_인턴근무계획!$M$3:$R$402,$A365,$G$3)&amp;""="","",IF(LEFT(INDEX(입력_인턴근무계획!$M$3:$R$402,$A365,$G$3)&amp;"",1)="⚠","",MID(INDEX(입력_인턴근무계획!$M$3:$R$402,$A365,$G$3)&amp;"",FIND(" ",INDEX(입력_인턴근무계획!$M$3:$R$402,$A365,$G$3)&amp;"")+1,60))))</f>
        <v/>
      </c>
      <c r="I365" s="26">
        <f>IF(OR($C365="",$I$3=""),"",IF(INDEX(입력_인턴근무계획!$M$3:$R$402,$A365,$I$3)&amp;""="","",IF(LEFT(INDEX(입력_인턴근무계획!$M$3:$R$402,$A365,$I$3)&amp;"",1)="⚠",INDEX(입력_인턴근무계획!$M$3:$R$402,$A365,$I$3)&amp;"",LEFT(INDEX(입력_인턴근무계획!$M$3:$R$402,$A365,$I$3)&amp;"",FIND(" ",INDEX(입력_인턴근무계획!$M$3:$R$402,$A365,$I$3)&amp;"")-1))))</f>
        <v/>
      </c>
      <c r="J365" s="26">
        <f>IF(OR($C365="",$I$3=""),"",IF(INDEX(입력_인턴근무계획!$M$3:$R$402,$A365,$I$3)&amp;""="","",IF(LEFT(INDEX(입력_인턴근무계획!$M$3:$R$402,$A365,$I$3)&amp;"",1)="⚠","",MID(INDEX(입력_인턴근무계획!$M$3:$R$402,$A365,$I$3)&amp;"",FIND(" ",INDEX(입력_인턴근무계획!$M$3:$R$402,$A365,$I$3)&amp;"")+1,60))))</f>
        <v/>
      </c>
      <c r="K365" s="26">
        <f>IF($C365="","",INDEX(입력_인턴근무계획!$M$3:$M$402,$A365)&amp;"")</f>
        <v/>
      </c>
      <c r="L365" s="26">
        <f>IF($C365="","",INDEX(입력_인턴근무계획!$N$3:$N$402,$A365)&amp;"")</f>
        <v/>
      </c>
      <c r="M365" s="26">
        <f>IF($C365="","",INDEX(입력_인턴근무계획!$O$3:$O$402,$A365)&amp;"")</f>
        <v/>
      </c>
      <c r="N365" s="26">
        <f>IF($C365="","",INDEX(입력_인턴근무계획!$P$3:$P$402,$A365)&amp;"")</f>
        <v/>
      </c>
      <c r="O365" s="26">
        <f>IF($C365="","",INDEX(입력_인턴근무계획!$Q$3:$Q$402,$A365)&amp;"")</f>
        <v/>
      </c>
      <c r="P365" s="26">
        <f>IF($C365="","",INDEX(입력_인턴근무계획!$R$3:$R$402,$A365)&amp;"")</f>
        <v/>
      </c>
      <c r="Q365" s="26">
        <f>IF($C365="","",INDEX(입력_인턴근무계획!$T$3:$T$402,$A365))</f>
        <v/>
      </c>
    </row>
    <row r="366">
      <c r="A366" s="29" t="n">
        <v>361</v>
      </c>
      <c r="B366" s="26">
        <f>IF($C366="","",INDEX(입력_인턴근무계획!$B$3:$B$402,$A366))</f>
        <v/>
      </c>
      <c r="C366" s="26">
        <f>IFERROR(TRIM(INDEX(입력_인턴근무계획!$C$3:$C$402,$A366)&amp;""),"")</f>
        <v/>
      </c>
      <c r="D366" s="26">
        <f>IF($C366="","",INDEX(입력_인턴근무계획!$D$3:$D$402,$A366))</f>
        <v/>
      </c>
      <c r="E366" s="26">
        <f>IF($C366="","",IF(IFERROR(MATCH($D366,입력_기본자료!$B$2:$B$1001,0),IFERROR(MATCH($D366&amp;"",입력_기본자료!$B$2:$B$1001,0),IFERROR(MATCH(VALUE($D366),입력_기본자료!$B$2:$B$1001,0),0)))&gt;0,"확인","미등록"))</f>
        <v/>
      </c>
      <c r="F366" s="28">
        <f>IF($C366="","",INDEX(입력_인턴근무계획!$S$3:$S$402,$A366))</f>
        <v/>
      </c>
      <c r="G366" s="26">
        <f>IF(OR($C366="",$G$3=""),"",IF(INDEX(입력_인턴근무계획!$M$3:$R$402,$A366,$G$3)&amp;""="","",IF(LEFT(INDEX(입력_인턴근무계획!$M$3:$R$402,$A366,$G$3)&amp;"",1)="⚠",INDEX(입력_인턴근무계획!$M$3:$R$402,$A366,$G$3)&amp;"",LEFT(INDEX(입력_인턴근무계획!$M$3:$R$402,$A366,$G$3)&amp;"",FIND(" ",INDEX(입력_인턴근무계획!$M$3:$R$402,$A366,$G$3)&amp;"")-1))))</f>
        <v/>
      </c>
      <c r="H366" s="26">
        <f>IF(OR($C366="",$G$3=""),"",IF(INDEX(입력_인턴근무계획!$M$3:$R$402,$A366,$G$3)&amp;""="","",IF(LEFT(INDEX(입력_인턴근무계획!$M$3:$R$402,$A366,$G$3)&amp;"",1)="⚠","",MID(INDEX(입력_인턴근무계획!$M$3:$R$402,$A366,$G$3)&amp;"",FIND(" ",INDEX(입력_인턴근무계획!$M$3:$R$402,$A366,$G$3)&amp;"")+1,60))))</f>
        <v/>
      </c>
      <c r="I366" s="26">
        <f>IF(OR($C366="",$I$3=""),"",IF(INDEX(입력_인턴근무계획!$M$3:$R$402,$A366,$I$3)&amp;""="","",IF(LEFT(INDEX(입력_인턴근무계획!$M$3:$R$402,$A366,$I$3)&amp;"",1)="⚠",INDEX(입력_인턴근무계획!$M$3:$R$402,$A366,$I$3)&amp;"",LEFT(INDEX(입력_인턴근무계획!$M$3:$R$402,$A366,$I$3)&amp;"",FIND(" ",INDEX(입력_인턴근무계획!$M$3:$R$402,$A366,$I$3)&amp;"")-1))))</f>
        <v/>
      </c>
      <c r="J366" s="26">
        <f>IF(OR($C366="",$I$3=""),"",IF(INDEX(입력_인턴근무계획!$M$3:$R$402,$A366,$I$3)&amp;""="","",IF(LEFT(INDEX(입력_인턴근무계획!$M$3:$R$402,$A366,$I$3)&amp;"",1)="⚠","",MID(INDEX(입력_인턴근무계획!$M$3:$R$402,$A366,$I$3)&amp;"",FIND(" ",INDEX(입력_인턴근무계획!$M$3:$R$402,$A366,$I$3)&amp;"")+1,60))))</f>
        <v/>
      </c>
      <c r="K366" s="26">
        <f>IF($C366="","",INDEX(입력_인턴근무계획!$M$3:$M$402,$A366)&amp;"")</f>
        <v/>
      </c>
      <c r="L366" s="26">
        <f>IF($C366="","",INDEX(입력_인턴근무계획!$N$3:$N$402,$A366)&amp;"")</f>
        <v/>
      </c>
      <c r="M366" s="26">
        <f>IF($C366="","",INDEX(입력_인턴근무계획!$O$3:$O$402,$A366)&amp;"")</f>
        <v/>
      </c>
      <c r="N366" s="26">
        <f>IF($C366="","",INDEX(입력_인턴근무계획!$P$3:$P$402,$A366)&amp;"")</f>
        <v/>
      </c>
      <c r="O366" s="26">
        <f>IF($C366="","",INDEX(입력_인턴근무계획!$Q$3:$Q$402,$A366)&amp;"")</f>
        <v/>
      </c>
      <c r="P366" s="26">
        <f>IF($C366="","",INDEX(입력_인턴근무계획!$R$3:$R$402,$A366)&amp;"")</f>
        <v/>
      </c>
      <c r="Q366" s="26">
        <f>IF($C366="","",INDEX(입력_인턴근무계획!$T$3:$T$402,$A366))</f>
        <v/>
      </c>
    </row>
    <row r="367">
      <c r="A367" s="29" t="n">
        <v>362</v>
      </c>
      <c r="B367" s="26">
        <f>IF($C367="","",INDEX(입력_인턴근무계획!$B$3:$B$402,$A367))</f>
        <v/>
      </c>
      <c r="C367" s="26">
        <f>IFERROR(TRIM(INDEX(입력_인턴근무계획!$C$3:$C$402,$A367)&amp;""),"")</f>
        <v/>
      </c>
      <c r="D367" s="26">
        <f>IF($C367="","",INDEX(입력_인턴근무계획!$D$3:$D$402,$A367))</f>
        <v/>
      </c>
      <c r="E367" s="26">
        <f>IF($C367="","",IF(IFERROR(MATCH($D367,입력_기본자료!$B$2:$B$1001,0),IFERROR(MATCH($D367&amp;"",입력_기본자료!$B$2:$B$1001,0),IFERROR(MATCH(VALUE($D367),입력_기본자료!$B$2:$B$1001,0),0)))&gt;0,"확인","미등록"))</f>
        <v/>
      </c>
      <c r="F367" s="28">
        <f>IF($C367="","",INDEX(입력_인턴근무계획!$S$3:$S$402,$A367))</f>
        <v/>
      </c>
      <c r="G367" s="26">
        <f>IF(OR($C367="",$G$3=""),"",IF(INDEX(입력_인턴근무계획!$M$3:$R$402,$A367,$G$3)&amp;""="","",IF(LEFT(INDEX(입력_인턴근무계획!$M$3:$R$402,$A367,$G$3)&amp;"",1)="⚠",INDEX(입력_인턴근무계획!$M$3:$R$402,$A367,$G$3)&amp;"",LEFT(INDEX(입력_인턴근무계획!$M$3:$R$402,$A367,$G$3)&amp;"",FIND(" ",INDEX(입력_인턴근무계획!$M$3:$R$402,$A367,$G$3)&amp;"")-1))))</f>
        <v/>
      </c>
      <c r="H367" s="26">
        <f>IF(OR($C367="",$G$3=""),"",IF(INDEX(입력_인턴근무계획!$M$3:$R$402,$A367,$G$3)&amp;""="","",IF(LEFT(INDEX(입력_인턴근무계획!$M$3:$R$402,$A367,$G$3)&amp;"",1)="⚠","",MID(INDEX(입력_인턴근무계획!$M$3:$R$402,$A367,$G$3)&amp;"",FIND(" ",INDEX(입력_인턴근무계획!$M$3:$R$402,$A367,$G$3)&amp;"")+1,60))))</f>
        <v/>
      </c>
      <c r="I367" s="26">
        <f>IF(OR($C367="",$I$3=""),"",IF(INDEX(입력_인턴근무계획!$M$3:$R$402,$A367,$I$3)&amp;""="","",IF(LEFT(INDEX(입력_인턴근무계획!$M$3:$R$402,$A367,$I$3)&amp;"",1)="⚠",INDEX(입력_인턴근무계획!$M$3:$R$402,$A367,$I$3)&amp;"",LEFT(INDEX(입력_인턴근무계획!$M$3:$R$402,$A367,$I$3)&amp;"",FIND(" ",INDEX(입력_인턴근무계획!$M$3:$R$402,$A367,$I$3)&amp;"")-1))))</f>
        <v/>
      </c>
      <c r="J367" s="26">
        <f>IF(OR($C367="",$I$3=""),"",IF(INDEX(입력_인턴근무계획!$M$3:$R$402,$A367,$I$3)&amp;""="","",IF(LEFT(INDEX(입력_인턴근무계획!$M$3:$R$402,$A367,$I$3)&amp;"",1)="⚠","",MID(INDEX(입력_인턴근무계획!$M$3:$R$402,$A367,$I$3)&amp;"",FIND(" ",INDEX(입력_인턴근무계획!$M$3:$R$402,$A367,$I$3)&amp;"")+1,60))))</f>
        <v/>
      </c>
      <c r="K367" s="26">
        <f>IF($C367="","",INDEX(입력_인턴근무계획!$M$3:$M$402,$A367)&amp;"")</f>
        <v/>
      </c>
      <c r="L367" s="26">
        <f>IF($C367="","",INDEX(입력_인턴근무계획!$N$3:$N$402,$A367)&amp;"")</f>
        <v/>
      </c>
      <c r="M367" s="26">
        <f>IF($C367="","",INDEX(입력_인턴근무계획!$O$3:$O$402,$A367)&amp;"")</f>
        <v/>
      </c>
      <c r="N367" s="26">
        <f>IF($C367="","",INDEX(입력_인턴근무계획!$P$3:$P$402,$A367)&amp;"")</f>
        <v/>
      </c>
      <c r="O367" s="26">
        <f>IF($C367="","",INDEX(입력_인턴근무계획!$Q$3:$Q$402,$A367)&amp;"")</f>
        <v/>
      </c>
      <c r="P367" s="26">
        <f>IF($C367="","",INDEX(입력_인턴근무계획!$R$3:$R$402,$A367)&amp;"")</f>
        <v/>
      </c>
      <c r="Q367" s="26">
        <f>IF($C367="","",INDEX(입력_인턴근무계획!$T$3:$T$402,$A367))</f>
        <v/>
      </c>
    </row>
    <row r="368">
      <c r="A368" s="29" t="n">
        <v>363</v>
      </c>
      <c r="B368" s="26">
        <f>IF($C368="","",INDEX(입력_인턴근무계획!$B$3:$B$402,$A368))</f>
        <v/>
      </c>
      <c r="C368" s="26">
        <f>IFERROR(TRIM(INDEX(입력_인턴근무계획!$C$3:$C$402,$A368)&amp;""),"")</f>
        <v/>
      </c>
      <c r="D368" s="26">
        <f>IF($C368="","",INDEX(입력_인턴근무계획!$D$3:$D$402,$A368))</f>
        <v/>
      </c>
      <c r="E368" s="26">
        <f>IF($C368="","",IF(IFERROR(MATCH($D368,입력_기본자료!$B$2:$B$1001,0),IFERROR(MATCH($D368&amp;"",입력_기본자료!$B$2:$B$1001,0),IFERROR(MATCH(VALUE($D368),입력_기본자료!$B$2:$B$1001,0),0)))&gt;0,"확인","미등록"))</f>
        <v/>
      </c>
      <c r="F368" s="28">
        <f>IF($C368="","",INDEX(입력_인턴근무계획!$S$3:$S$402,$A368))</f>
        <v/>
      </c>
      <c r="G368" s="26">
        <f>IF(OR($C368="",$G$3=""),"",IF(INDEX(입력_인턴근무계획!$M$3:$R$402,$A368,$G$3)&amp;""="","",IF(LEFT(INDEX(입력_인턴근무계획!$M$3:$R$402,$A368,$G$3)&amp;"",1)="⚠",INDEX(입력_인턴근무계획!$M$3:$R$402,$A368,$G$3)&amp;"",LEFT(INDEX(입력_인턴근무계획!$M$3:$R$402,$A368,$G$3)&amp;"",FIND(" ",INDEX(입력_인턴근무계획!$M$3:$R$402,$A368,$G$3)&amp;"")-1))))</f>
        <v/>
      </c>
      <c r="H368" s="26">
        <f>IF(OR($C368="",$G$3=""),"",IF(INDEX(입력_인턴근무계획!$M$3:$R$402,$A368,$G$3)&amp;""="","",IF(LEFT(INDEX(입력_인턴근무계획!$M$3:$R$402,$A368,$G$3)&amp;"",1)="⚠","",MID(INDEX(입력_인턴근무계획!$M$3:$R$402,$A368,$G$3)&amp;"",FIND(" ",INDEX(입력_인턴근무계획!$M$3:$R$402,$A368,$G$3)&amp;"")+1,60))))</f>
        <v/>
      </c>
      <c r="I368" s="26">
        <f>IF(OR($C368="",$I$3=""),"",IF(INDEX(입력_인턴근무계획!$M$3:$R$402,$A368,$I$3)&amp;""="","",IF(LEFT(INDEX(입력_인턴근무계획!$M$3:$R$402,$A368,$I$3)&amp;"",1)="⚠",INDEX(입력_인턴근무계획!$M$3:$R$402,$A368,$I$3)&amp;"",LEFT(INDEX(입력_인턴근무계획!$M$3:$R$402,$A368,$I$3)&amp;"",FIND(" ",INDEX(입력_인턴근무계획!$M$3:$R$402,$A368,$I$3)&amp;"")-1))))</f>
        <v/>
      </c>
      <c r="J368" s="26">
        <f>IF(OR($C368="",$I$3=""),"",IF(INDEX(입력_인턴근무계획!$M$3:$R$402,$A368,$I$3)&amp;""="","",IF(LEFT(INDEX(입력_인턴근무계획!$M$3:$R$402,$A368,$I$3)&amp;"",1)="⚠","",MID(INDEX(입력_인턴근무계획!$M$3:$R$402,$A368,$I$3)&amp;"",FIND(" ",INDEX(입력_인턴근무계획!$M$3:$R$402,$A368,$I$3)&amp;"")+1,60))))</f>
        <v/>
      </c>
      <c r="K368" s="26">
        <f>IF($C368="","",INDEX(입력_인턴근무계획!$M$3:$M$402,$A368)&amp;"")</f>
        <v/>
      </c>
      <c r="L368" s="26">
        <f>IF($C368="","",INDEX(입력_인턴근무계획!$N$3:$N$402,$A368)&amp;"")</f>
        <v/>
      </c>
      <c r="M368" s="26">
        <f>IF($C368="","",INDEX(입력_인턴근무계획!$O$3:$O$402,$A368)&amp;"")</f>
        <v/>
      </c>
      <c r="N368" s="26">
        <f>IF($C368="","",INDEX(입력_인턴근무계획!$P$3:$P$402,$A368)&amp;"")</f>
        <v/>
      </c>
      <c r="O368" s="26">
        <f>IF($C368="","",INDEX(입력_인턴근무계획!$Q$3:$Q$402,$A368)&amp;"")</f>
        <v/>
      </c>
      <c r="P368" s="26">
        <f>IF($C368="","",INDEX(입력_인턴근무계획!$R$3:$R$402,$A368)&amp;"")</f>
        <v/>
      </c>
      <c r="Q368" s="26">
        <f>IF($C368="","",INDEX(입력_인턴근무계획!$T$3:$T$402,$A368))</f>
        <v/>
      </c>
    </row>
    <row r="369">
      <c r="A369" s="29" t="n">
        <v>364</v>
      </c>
      <c r="B369" s="26">
        <f>IF($C369="","",INDEX(입력_인턴근무계획!$B$3:$B$402,$A369))</f>
        <v/>
      </c>
      <c r="C369" s="26">
        <f>IFERROR(TRIM(INDEX(입력_인턴근무계획!$C$3:$C$402,$A369)&amp;""),"")</f>
        <v/>
      </c>
      <c r="D369" s="26">
        <f>IF($C369="","",INDEX(입력_인턴근무계획!$D$3:$D$402,$A369))</f>
        <v/>
      </c>
      <c r="E369" s="26">
        <f>IF($C369="","",IF(IFERROR(MATCH($D369,입력_기본자료!$B$2:$B$1001,0),IFERROR(MATCH($D369&amp;"",입력_기본자료!$B$2:$B$1001,0),IFERROR(MATCH(VALUE($D369),입력_기본자료!$B$2:$B$1001,0),0)))&gt;0,"확인","미등록"))</f>
        <v/>
      </c>
      <c r="F369" s="28">
        <f>IF($C369="","",INDEX(입력_인턴근무계획!$S$3:$S$402,$A369))</f>
        <v/>
      </c>
      <c r="G369" s="26">
        <f>IF(OR($C369="",$G$3=""),"",IF(INDEX(입력_인턴근무계획!$M$3:$R$402,$A369,$G$3)&amp;""="","",IF(LEFT(INDEX(입력_인턴근무계획!$M$3:$R$402,$A369,$G$3)&amp;"",1)="⚠",INDEX(입력_인턴근무계획!$M$3:$R$402,$A369,$G$3)&amp;"",LEFT(INDEX(입력_인턴근무계획!$M$3:$R$402,$A369,$G$3)&amp;"",FIND(" ",INDEX(입력_인턴근무계획!$M$3:$R$402,$A369,$G$3)&amp;"")-1))))</f>
        <v/>
      </c>
      <c r="H369" s="26">
        <f>IF(OR($C369="",$G$3=""),"",IF(INDEX(입력_인턴근무계획!$M$3:$R$402,$A369,$G$3)&amp;""="","",IF(LEFT(INDEX(입력_인턴근무계획!$M$3:$R$402,$A369,$G$3)&amp;"",1)="⚠","",MID(INDEX(입력_인턴근무계획!$M$3:$R$402,$A369,$G$3)&amp;"",FIND(" ",INDEX(입력_인턴근무계획!$M$3:$R$402,$A369,$G$3)&amp;"")+1,60))))</f>
        <v/>
      </c>
      <c r="I369" s="26">
        <f>IF(OR($C369="",$I$3=""),"",IF(INDEX(입력_인턴근무계획!$M$3:$R$402,$A369,$I$3)&amp;""="","",IF(LEFT(INDEX(입력_인턴근무계획!$M$3:$R$402,$A369,$I$3)&amp;"",1)="⚠",INDEX(입력_인턴근무계획!$M$3:$R$402,$A369,$I$3)&amp;"",LEFT(INDEX(입력_인턴근무계획!$M$3:$R$402,$A369,$I$3)&amp;"",FIND(" ",INDEX(입력_인턴근무계획!$M$3:$R$402,$A369,$I$3)&amp;"")-1))))</f>
        <v/>
      </c>
      <c r="J369" s="26">
        <f>IF(OR($C369="",$I$3=""),"",IF(INDEX(입력_인턴근무계획!$M$3:$R$402,$A369,$I$3)&amp;""="","",IF(LEFT(INDEX(입력_인턴근무계획!$M$3:$R$402,$A369,$I$3)&amp;"",1)="⚠","",MID(INDEX(입력_인턴근무계획!$M$3:$R$402,$A369,$I$3)&amp;"",FIND(" ",INDEX(입력_인턴근무계획!$M$3:$R$402,$A369,$I$3)&amp;"")+1,60))))</f>
        <v/>
      </c>
      <c r="K369" s="26">
        <f>IF($C369="","",INDEX(입력_인턴근무계획!$M$3:$M$402,$A369)&amp;"")</f>
        <v/>
      </c>
      <c r="L369" s="26">
        <f>IF($C369="","",INDEX(입력_인턴근무계획!$N$3:$N$402,$A369)&amp;"")</f>
        <v/>
      </c>
      <c r="M369" s="26">
        <f>IF($C369="","",INDEX(입력_인턴근무계획!$O$3:$O$402,$A369)&amp;"")</f>
        <v/>
      </c>
      <c r="N369" s="26">
        <f>IF($C369="","",INDEX(입력_인턴근무계획!$P$3:$P$402,$A369)&amp;"")</f>
        <v/>
      </c>
      <c r="O369" s="26">
        <f>IF($C369="","",INDEX(입력_인턴근무계획!$Q$3:$Q$402,$A369)&amp;"")</f>
        <v/>
      </c>
      <c r="P369" s="26">
        <f>IF($C369="","",INDEX(입력_인턴근무계획!$R$3:$R$402,$A369)&amp;"")</f>
        <v/>
      </c>
      <c r="Q369" s="26">
        <f>IF($C369="","",INDEX(입력_인턴근무계획!$T$3:$T$402,$A369))</f>
        <v/>
      </c>
    </row>
    <row r="370">
      <c r="A370" s="29" t="n">
        <v>365</v>
      </c>
      <c r="B370" s="26">
        <f>IF($C370="","",INDEX(입력_인턴근무계획!$B$3:$B$402,$A370))</f>
        <v/>
      </c>
      <c r="C370" s="26">
        <f>IFERROR(TRIM(INDEX(입력_인턴근무계획!$C$3:$C$402,$A370)&amp;""),"")</f>
        <v/>
      </c>
      <c r="D370" s="26">
        <f>IF($C370="","",INDEX(입력_인턴근무계획!$D$3:$D$402,$A370))</f>
        <v/>
      </c>
      <c r="E370" s="26">
        <f>IF($C370="","",IF(IFERROR(MATCH($D370,입력_기본자료!$B$2:$B$1001,0),IFERROR(MATCH($D370&amp;"",입력_기본자료!$B$2:$B$1001,0),IFERROR(MATCH(VALUE($D370),입력_기본자료!$B$2:$B$1001,0),0)))&gt;0,"확인","미등록"))</f>
        <v/>
      </c>
      <c r="F370" s="28">
        <f>IF($C370="","",INDEX(입력_인턴근무계획!$S$3:$S$402,$A370))</f>
        <v/>
      </c>
      <c r="G370" s="26">
        <f>IF(OR($C370="",$G$3=""),"",IF(INDEX(입력_인턴근무계획!$M$3:$R$402,$A370,$G$3)&amp;""="","",IF(LEFT(INDEX(입력_인턴근무계획!$M$3:$R$402,$A370,$G$3)&amp;"",1)="⚠",INDEX(입력_인턴근무계획!$M$3:$R$402,$A370,$G$3)&amp;"",LEFT(INDEX(입력_인턴근무계획!$M$3:$R$402,$A370,$G$3)&amp;"",FIND(" ",INDEX(입력_인턴근무계획!$M$3:$R$402,$A370,$G$3)&amp;"")-1))))</f>
        <v/>
      </c>
      <c r="H370" s="26">
        <f>IF(OR($C370="",$G$3=""),"",IF(INDEX(입력_인턴근무계획!$M$3:$R$402,$A370,$G$3)&amp;""="","",IF(LEFT(INDEX(입력_인턴근무계획!$M$3:$R$402,$A370,$G$3)&amp;"",1)="⚠","",MID(INDEX(입력_인턴근무계획!$M$3:$R$402,$A370,$G$3)&amp;"",FIND(" ",INDEX(입력_인턴근무계획!$M$3:$R$402,$A370,$G$3)&amp;"")+1,60))))</f>
        <v/>
      </c>
      <c r="I370" s="26">
        <f>IF(OR($C370="",$I$3=""),"",IF(INDEX(입력_인턴근무계획!$M$3:$R$402,$A370,$I$3)&amp;""="","",IF(LEFT(INDEX(입력_인턴근무계획!$M$3:$R$402,$A370,$I$3)&amp;"",1)="⚠",INDEX(입력_인턴근무계획!$M$3:$R$402,$A370,$I$3)&amp;"",LEFT(INDEX(입력_인턴근무계획!$M$3:$R$402,$A370,$I$3)&amp;"",FIND(" ",INDEX(입력_인턴근무계획!$M$3:$R$402,$A370,$I$3)&amp;"")-1))))</f>
        <v/>
      </c>
      <c r="J370" s="26">
        <f>IF(OR($C370="",$I$3=""),"",IF(INDEX(입력_인턴근무계획!$M$3:$R$402,$A370,$I$3)&amp;""="","",IF(LEFT(INDEX(입력_인턴근무계획!$M$3:$R$402,$A370,$I$3)&amp;"",1)="⚠","",MID(INDEX(입력_인턴근무계획!$M$3:$R$402,$A370,$I$3)&amp;"",FIND(" ",INDEX(입력_인턴근무계획!$M$3:$R$402,$A370,$I$3)&amp;"")+1,60))))</f>
        <v/>
      </c>
      <c r="K370" s="26">
        <f>IF($C370="","",INDEX(입력_인턴근무계획!$M$3:$M$402,$A370)&amp;"")</f>
        <v/>
      </c>
      <c r="L370" s="26">
        <f>IF($C370="","",INDEX(입력_인턴근무계획!$N$3:$N$402,$A370)&amp;"")</f>
        <v/>
      </c>
      <c r="M370" s="26">
        <f>IF($C370="","",INDEX(입력_인턴근무계획!$O$3:$O$402,$A370)&amp;"")</f>
        <v/>
      </c>
      <c r="N370" s="26">
        <f>IF($C370="","",INDEX(입력_인턴근무계획!$P$3:$P$402,$A370)&amp;"")</f>
        <v/>
      </c>
      <c r="O370" s="26">
        <f>IF($C370="","",INDEX(입력_인턴근무계획!$Q$3:$Q$402,$A370)&amp;"")</f>
        <v/>
      </c>
      <c r="P370" s="26">
        <f>IF($C370="","",INDEX(입력_인턴근무계획!$R$3:$R$402,$A370)&amp;"")</f>
        <v/>
      </c>
      <c r="Q370" s="26">
        <f>IF($C370="","",INDEX(입력_인턴근무계획!$T$3:$T$402,$A370))</f>
        <v/>
      </c>
    </row>
    <row r="371">
      <c r="A371" s="29" t="n">
        <v>366</v>
      </c>
      <c r="B371" s="26">
        <f>IF($C371="","",INDEX(입력_인턴근무계획!$B$3:$B$402,$A371))</f>
        <v/>
      </c>
      <c r="C371" s="26">
        <f>IFERROR(TRIM(INDEX(입력_인턴근무계획!$C$3:$C$402,$A371)&amp;""),"")</f>
        <v/>
      </c>
      <c r="D371" s="26">
        <f>IF($C371="","",INDEX(입력_인턴근무계획!$D$3:$D$402,$A371))</f>
        <v/>
      </c>
      <c r="E371" s="26">
        <f>IF($C371="","",IF(IFERROR(MATCH($D371,입력_기본자료!$B$2:$B$1001,0),IFERROR(MATCH($D371&amp;"",입력_기본자료!$B$2:$B$1001,0),IFERROR(MATCH(VALUE($D371),입력_기본자료!$B$2:$B$1001,0),0)))&gt;0,"확인","미등록"))</f>
        <v/>
      </c>
      <c r="F371" s="28">
        <f>IF($C371="","",INDEX(입력_인턴근무계획!$S$3:$S$402,$A371))</f>
        <v/>
      </c>
      <c r="G371" s="26">
        <f>IF(OR($C371="",$G$3=""),"",IF(INDEX(입력_인턴근무계획!$M$3:$R$402,$A371,$G$3)&amp;""="","",IF(LEFT(INDEX(입력_인턴근무계획!$M$3:$R$402,$A371,$G$3)&amp;"",1)="⚠",INDEX(입력_인턴근무계획!$M$3:$R$402,$A371,$G$3)&amp;"",LEFT(INDEX(입력_인턴근무계획!$M$3:$R$402,$A371,$G$3)&amp;"",FIND(" ",INDEX(입력_인턴근무계획!$M$3:$R$402,$A371,$G$3)&amp;"")-1))))</f>
        <v/>
      </c>
      <c r="H371" s="26">
        <f>IF(OR($C371="",$G$3=""),"",IF(INDEX(입력_인턴근무계획!$M$3:$R$402,$A371,$G$3)&amp;""="","",IF(LEFT(INDEX(입력_인턴근무계획!$M$3:$R$402,$A371,$G$3)&amp;"",1)="⚠","",MID(INDEX(입력_인턴근무계획!$M$3:$R$402,$A371,$G$3)&amp;"",FIND(" ",INDEX(입력_인턴근무계획!$M$3:$R$402,$A371,$G$3)&amp;"")+1,60))))</f>
        <v/>
      </c>
      <c r="I371" s="26">
        <f>IF(OR($C371="",$I$3=""),"",IF(INDEX(입력_인턴근무계획!$M$3:$R$402,$A371,$I$3)&amp;""="","",IF(LEFT(INDEX(입력_인턴근무계획!$M$3:$R$402,$A371,$I$3)&amp;"",1)="⚠",INDEX(입력_인턴근무계획!$M$3:$R$402,$A371,$I$3)&amp;"",LEFT(INDEX(입력_인턴근무계획!$M$3:$R$402,$A371,$I$3)&amp;"",FIND(" ",INDEX(입력_인턴근무계획!$M$3:$R$402,$A371,$I$3)&amp;"")-1))))</f>
        <v/>
      </c>
      <c r="J371" s="26">
        <f>IF(OR($C371="",$I$3=""),"",IF(INDEX(입력_인턴근무계획!$M$3:$R$402,$A371,$I$3)&amp;""="","",IF(LEFT(INDEX(입력_인턴근무계획!$M$3:$R$402,$A371,$I$3)&amp;"",1)="⚠","",MID(INDEX(입력_인턴근무계획!$M$3:$R$402,$A371,$I$3)&amp;"",FIND(" ",INDEX(입력_인턴근무계획!$M$3:$R$402,$A371,$I$3)&amp;"")+1,60))))</f>
        <v/>
      </c>
      <c r="K371" s="26">
        <f>IF($C371="","",INDEX(입력_인턴근무계획!$M$3:$M$402,$A371)&amp;"")</f>
        <v/>
      </c>
      <c r="L371" s="26">
        <f>IF($C371="","",INDEX(입력_인턴근무계획!$N$3:$N$402,$A371)&amp;"")</f>
        <v/>
      </c>
      <c r="M371" s="26">
        <f>IF($C371="","",INDEX(입력_인턴근무계획!$O$3:$O$402,$A371)&amp;"")</f>
        <v/>
      </c>
      <c r="N371" s="26">
        <f>IF($C371="","",INDEX(입력_인턴근무계획!$P$3:$P$402,$A371)&amp;"")</f>
        <v/>
      </c>
      <c r="O371" s="26">
        <f>IF($C371="","",INDEX(입력_인턴근무계획!$Q$3:$Q$402,$A371)&amp;"")</f>
        <v/>
      </c>
      <c r="P371" s="26">
        <f>IF($C371="","",INDEX(입력_인턴근무계획!$R$3:$R$402,$A371)&amp;"")</f>
        <v/>
      </c>
      <c r="Q371" s="26">
        <f>IF($C371="","",INDEX(입력_인턴근무계획!$T$3:$T$402,$A371))</f>
        <v/>
      </c>
    </row>
    <row r="372">
      <c r="A372" s="29" t="n">
        <v>367</v>
      </c>
      <c r="B372" s="26">
        <f>IF($C372="","",INDEX(입력_인턴근무계획!$B$3:$B$402,$A372))</f>
        <v/>
      </c>
      <c r="C372" s="26">
        <f>IFERROR(TRIM(INDEX(입력_인턴근무계획!$C$3:$C$402,$A372)&amp;""),"")</f>
        <v/>
      </c>
      <c r="D372" s="26">
        <f>IF($C372="","",INDEX(입력_인턴근무계획!$D$3:$D$402,$A372))</f>
        <v/>
      </c>
      <c r="E372" s="26">
        <f>IF($C372="","",IF(IFERROR(MATCH($D372,입력_기본자료!$B$2:$B$1001,0),IFERROR(MATCH($D372&amp;"",입력_기본자료!$B$2:$B$1001,0),IFERROR(MATCH(VALUE($D372),입력_기본자료!$B$2:$B$1001,0),0)))&gt;0,"확인","미등록"))</f>
        <v/>
      </c>
      <c r="F372" s="28">
        <f>IF($C372="","",INDEX(입력_인턴근무계획!$S$3:$S$402,$A372))</f>
        <v/>
      </c>
      <c r="G372" s="26">
        <f>IF(OR($C372="",$G$3=""),"",IF(INDEX(입력_인턴근무계획!$M$3:$R$402,$A372,$G$3)&amp;""="","",IF(LEFT(INDEX(입력_인턴근무계획!$M$3:$R$402,$A372,$G$3)&amp;"",1)="⚠",INDEX(입력_인턴근무계획!$M$3:$R$402,$A372,$G$3)&amp;"",LEFT(INDEX(입력_인턴근무계획!$M$3:$R$402,$A372,$G$3)&amp;"",FIND(" ",INDEX(입력_인턴근무계획!$M$3:$R$402,$A372,$G$3)&amp;"")-1))))</f>
        <v/>
      </c>
      <c r="H372" s="26">
        <f>IF(OR($C372="",$G$3=""),"",IF(INDEX(입력_인턴근무계획!$M$3:$R$402,$A372,$G$3)&amp;""="","",IF(LEFT(INDEX(입력_인턴근무계획!$M$3:$R$402,$A372,$G$3)&amp;"",1)="⚠","",MID(INDEX(입력_인턴근무계획!$M$3:$R$402,$A372,$G$3)&amp;"",FIND(" ",INDEX(입력_인턴근무계획!$M$3:$R$402,$A372,$G$3)&amp;"")+1,60))))</f>
        <v/>
      </c>
      <c r="I372" s="26">
        <f>IF(OR($C372="",$I$3=""),"",IF(INDEX(입력_인턴근무계획!$M$3:$R$402,$A372,$I$3)&amp;""="","",IF(LEFT(INDEX(입력_인턴근무계획!$M$3:$R$402,$A372,$I$3)&amp;"",1)="⚠",INDEX(입력_인턴근무계획!$M$3:$R$402,$A372,$I$3)&amp;"",LEFT(INDEX(입력_인턴근무계획!$M$3:$R$402,$A372,$I$3)&amp;"",FIND(" ",INDEX(입력_인턴근무계획!$M$3:$R$402,$A372,$I$3)&amp;"")-1))))</f>
        <v/>
      </c>
      <c r="J372" s="26">
        <f>IF(OR($C372="",$I$3=""),"",IF(INDEX(입력_인턴근무계획!$M$3:$R$402,$A372,$I$3)&amp;""="","",IF(LEFT(INDEX(입력_인턴근무계획!$M$3:$R$402,$A372,$I$3)&amp;"",1)="⚠","",MID(INDEX(입력_인턴근무계획!$M$3:$R$402,$A372,$I$3)&amp;"",FIND(" ",INDEX(입력_인턴근무계획!$M$3:$R$402,$A372,$I$3)&amp;"")+1,60))))</f>
        <v/>
      </c>
      <c r="K372" s="26">
        <f>IF($C372="","",INDEX(입력_인턴근무계획!$M$3:$M$402,$A372)&amp;"")</f>
        <v/>
      </c>
      <c r="L372" s="26">
        <f>IF($C372="","",INDEX(입력_인턴근무계획!$N$3:$N$402,$A372)&amp;"")</f>
        <v/>
      </c>
      <c r="M372" s="26">
        <f>IF($C372="","",INDEX(입력_인턴근무계획!$O$3:$O$402,$A372)&amp;"")</f>
        <v/>
      </c>
      <c r="N372" s="26">
        <f>IF($C372="","",INDEX(입력_인턴근무계획!$P$3:$P$402,$A372)&amp;"")</f>
        <v/>
      </c>
      <c r="O372" s="26">
        <f>IF($C372="","",INDEX(입력_인턴근무계획!$Q$3:$Q$402,$A372)&amp;"")</f>
        <v/>
      </c>
      <c r="P372" s="26">
        <f>IF($C372="","",INDEX(입력_인턴근무계획!$R$3:$R$402,$A372)&amp;"")</f>
        <v/>
      </c>
      <c r="Q372" s="26">
        <f>IF($C372="","",INDEX(입력_인턴근무계획!$T$3:$T$402,$A372))</f>
        <v/>
      </c>
    </row>
    <row r="373">
      <c r="A373" s="29" t="n">
        <v>368</v>
      </c>
      <c r="B373" s="26">
        <f>IF($C373="","",INDEX(입력_인턴근무계획!$B$3:$B$402,$A373))</f>
        <v/>
      </c>
      <c r="C373" s="26">
        <f>IFERROR(TRIM(INDEX(입력_인턴근무계획!$C$3:$C$402,$A373)&amp;""),"")</f>
        <v/>
      </c>
      <c r="D373" s="26">
        <f>IF($C373="","",INDEX(입력_인턴근무계획!$D$3:$D$402,$A373))</f>
        <v/>
      </c>
      <c r="E373" s="26">
        <f>IF($C373="","",IF(IFERROR(MATCH($D373,입력_기본자료!$B$2:$B$1001,0),IFERROR(MATCH($D373&amp;"",입력_기본자료!$B$2:$B$1001,0),IFERROR(MATCH(VALUE($D373),입력_기본자료!$B$2:$B$1001,0),0)))&gt;0,"확인","미등록"))</f>
        <v/>
      </c>
      <c r="F373" s="28">
        <f>IF($C373="","",INDEX(입력_인턴근무계획!$S$3:$S$402,$A373))</f>
        <v/>
      </c>
      <c r="G373" s="26">
        <f>IF(OR($C373="",$G$3=""),"",IF(INDEX(입력_인턴근무계획!$M$3:$R$402,$A373,$G$3)&amp;""="","",IF(LEFT(INDEX(입력_인턴근무계획!$M$3:$R$402,$A373,$G$3)&amp;"",1)="⚠",INDEX(입력_인턴근무계획!$M$3:$R$402,$A373,$G$3)&amp;"",LEFT(INDEX(입력_인턴근무계획!$M$3:$R$402,$A373,$G$3)&amp;"",FIND(" ",INDEX(입력_인턴근무계획!$M$3:$R$402,$A373,$G$3)&amp;"")-1))))</f>
        <v/>
      </c>
      <c r="H373" s="26">
        <f>IF(OR($C373="",$G$3=""),"",IF(INDEX(입력_인턴근무계획!$M$3:$R$402,$A373,$G$3)&amp;""="","",IF(LEFT(INDEX(입력_인턴근무계획!$M$3:$R$402,$A373,$G$3)&amp;"",1)="⚠","",MID(INDEX(입력_인턴근무계획!$M$3:$R$402,$A373,$G$3)&amp;"",FIND(" ",INDEX(입력_인턴근무계획!$M$3:$R$402,$A373,$G$3)&amp;"")+1,60))))</f>
        <v/>
      </c>
      <c r="I373" s="26">
        <f>IF(OR($C373="",$I$3=""),"",IF(INDEX(입력_인턴근무계획!$M$3:$R$402,$A373,$I$3)&amp;""="","",IF(LEFT(INDEX(입력_인턴근무계획!$M$3:$R$402,$A373,$I$3)&amp;"",1)="⚠",INDEX(입력_인턴근무계획!$M$3:$R$402,$A373,$I$3)&amp;"",LEFT(INDEX(입력_인턴근무계획!$M$3:$R$402,$A373,$I$3)&amp;"",FIND(" ",INDEX(입력_인턴근무계획!$M$3:$R$402,$A373,$I$3)&amp;"")-1))))</f>
        <v/>
      </c>
      <c r="J373" s="26">
        <f>IF(OR($C373="",$I$3=""),"",IF(INDEX(입력_인턴근무계획!$M$3:$R$402,$A373,$I$3)&amp;""="","",IF(LEFT(INDEX(입력_인턴근무계획!$M$3:$R$402,$A373,$I$3)&amp;"",1)="⚠","",MID(INDEX(입력_인턴근무계획!$M$3:$R$402,$A373,$I$3)&amp;"",FIND(" ",INDEX(입력_인턴근무계획!$M$3:$R$402,$A373,$I$3)&amp;"")+1,60))))</f>
        <v/>
      </c>
      <c r="K373" s="26">
        <f>IF($C373="","",INDEX(입력_인턴근무계획!$M$3:$M$402,$A373)&amp;"")</f>
        <v/>
      </c>
      <c r="L373" s="26">
        <f>IF($C373="","",INDEX(입력_인턴근무계획!$N$3:$N$402,$A373)&amp;"")</f>
        <v/>
      </c>
      <c r="M373" s="26">
        <f>IF($C373="","",INDEX(입력_인턴근무계획!$O$3:$O$402,$A373)&amp;"")</f>
        <v/>
      </c>
      <c r="N373" s="26">
        <f>IF($C373="","",INDEX(입력_인턴근무계획!$P$3:$P$402,$A373)&amp;"")</f>
        <v/>
      </c>
      <c r="O373" s="26">
        <f>IF($C373="","",INDEX(입력_인턴근무계획!$Q$3:$Q$402,$A373)&amp;"")</f>
        <v/>
      </c>
      <c r="P373" s="26">
        <f>IF($C373="","",INDEX(입력_인턴근무계획!$R$3:$R$402,$A373)&amp;"")</f>
        <v/>
      </c>
      <c r="Q373" s="26">
        <f>IF($C373="","",INDEX(입력_인턴근무계획!$T$3:$T$402,$A373))</f>
        <v/>
      </c>
    </row>
    <row r="374">
      <c r="A374" s="29" t="n">
        <v>369</v>
      </c>
      <c r="B374" s="26">
        <f>IF($C374="","",INDEX(입력_인턴근무계획!$B$3:$B$402,$A374))</f>
        <v/>
      </c>
      <c r="C374" s="26">
        <f>IFERROR(TRIM(INDEX(입력_인턴근무계획!$C$3:$C$402,$A374)&amp;""),"")</f>
        <v/>
      </c>
      <c r="D374" s="26">
        <f>IF($C374="","",INDEX(입력_인턴근무계획!$D$3:$D$402,$A374))</f>
        <v/>
      </c>
      <c r="E374" s="26">
        <f>IF($C374="","",IF(IFERROR(MATCH($D374,입력_기본자료!$B$2:$B$1001,0),IFERROR(MATCH($D374&amp;"",입력_기본자료!$B$2:$B$1001,0),IFERROR(MATCH(VALUE($D374),입력_기본자료!$B$2:$B$1001,0),0)))&gt;0,"확인","미등록"))</f>
        <v/>
      </c>
      <c r="F374" s="28">
        <f>IF($C374="","",INDEX(입력_인턴근무계획!$S$3:$S$402,$A374))</f>
        <v/>
      </c>
      <c r="G374" s="26">
        <f>IF(OR($C374="",$G$3=""),"",IF(INDEX(입력_인턴근무계획!$M$3:$R$402,$A374,$G$3)&amp;""="","",IF(LEFT(INDEX(입력_인턴근무계획!$M$3:$R$402,$A374,$G$3)&amp;"",1)="⚠",INDEX(입력_인턴근무계획!$M$3:$R$402,$A374,$G$3)&amp;"",LEFT(INDEX(입력_인턴근무계획!$M$3:$R$402,$A374,$G$3)&amp;"",FIND(" ",INDEX(입력_인턴근무계획!$M$3:$R$402,$A374,$G$3)&amp;"")-1))))</f>
        <v/>
      </c>
      <c r="H374" s="26">
        <f>IF(OR($C374="",$G$3=""),"",IF(INDEX(입력_인턴근무계획!$M$3:$R$402,$A374,$G$3)&amp;""="","",IF(LEFT(INDEX(입력_인턴근무계획!$M$3:$R$402,$A374,$G$3)&amp;"",1)="⚠","",MID(INDEX(입력_인턴근무계획!$M$3:$R$402,$A374,$G$3)&amp;"",FIND(" ",INDEX(입력_인턴근무계획!$M$3:$R$402,$A374,$G$3)&amp;"")+1,60))))</f>
        <v/>
      </c>
      <c r="I374" s="26">
        <f>IF(OR($C374="",$I$3=""),"",IF(INDEX(입력_인턴근무계획!$M$3:$R$402,$A374,$I$3)&amp;""="","",IF(LEFT(INDEX(입력_인턴근무계획!$M$3:$R$402,$A374,$I$3)&amp;"",1)="⚠",INDEX(입력_인턴근무계획!$M$3:$R$402,$A374,$I$3)&amp;"",LEFT(INDEX(입력_인턴근무계획!$M$3:$R$402,$A374,$I$3)&amp;"",FIND(" ",INDEX(입력_인턴근무계획!$M$3:$R$402,$A374,$I$3)&amp;"")-1))))</f>
        <v/>
      </c>
      <c r="J374" s="26">
        <f>IF(OR($C374="",$I$3=""),"",IF(INDEX(입력_인턴근무계획!$M$3:$R$402,$A374,$I$3)&amp;""="","",IF(LEFT(INDEX(입력_인턴근무계획!$M$3:$R$402,$A374,$I$3)&amp;"",1)="⚠","",MID(INDEX(입력_인턴근무계획!$M$3:$R$402,$A374,$I$3)&amp;"",FIND(" ",INDEX(입력_인턴근무계획!$M$3:$R$402,$A374,$I$3)&amp;"")+1,60))))</f>
        <v/>
      </c>
      <c r="K374" s="26">
        <f>IF($C374="","",INDEX(입력_인턴근무계획!$M$3:$M$402,$A374)&amp;"")</f>
        <v/>
      </c>
      <c r="L374" s="26">
        <f>IF($C374="","",INDEX(입력_인턴근무계획!$N$3:$N$402,$A374)&amp;"")</f>
        <v/>
      </c>
      <c r="M374" s="26">
        <f>IF($C374="","",INDEX(입력_인턴근무계획!$O$3:$O$402,$A374)&amp;"")</f>
        <v/>
      </c>
      <c r="N374" s="26">
        <f>IF($C374="","",INDEX(입력_인턴근무계획!$P$3:$P$402,$A374)&amp;"")</f>
        <v/>
      </c>
      <c r="O374" s="26">
        <f>IF($C374="","",INDEX(입력_인턴근무계획!$Q$3:$Q$402,$A374)&amp;"")</f>
        <v/>
      </c>
      <c r="P374" s="26">
        <f>IF($C374="","",INDEX(입력_인턴근무계획!$R$3:$R$402,$A374)&amp;"")</f>
        <v/>
      </c>
      <c r="Q374" s="26">
        <f>IF($C374="","",INDEX(입력_인턴근무계획!$T$3:$T$402,$A374))</f>
        <v/>
      </c>
    </row>
    <row r="375">
      <c r="A375" s="29" t="n">
        <v>370</v>
      </c>
      <c r="B375" s="26">
        <f>IF($C375="","",INDEX(입력_인턴근무계획!$B$3:$B$402,$A375))</f>
        <v/>
      </c>
      <c r="C375" s="26">
        <f>IFERROR(TRIM(INDEX(입력_인턴근무계획!$C$3:$C$402,$A375)&amp;""),"")</f>
        <v/>
      </c>
      <c r="D375" s="26">
        <f>IF($C375="","",INDEX(입력_인턴근무계획!$D$3:$D$402,$A375))</f>
        <v/>
      </c>
      <c r="E375" s="26">
        <f>IF($C375="","",IF(IFERROR(MATCH($D375,입력_기본자료!$B$2:$B$1001,0),IFERROR(MATCH($D375&amp;"",입력_기본자료!$B$2:$B$1001,0),IFERROR(MATCH(VALUE($D375),입력_기본자료!$B$2:$B$1001,0),0)))&gt;0,"확인","미등록"))</f>
        <v/>
      </c>
      <c r="F375" s="28">
        <f>IF($C375="","",INDEX(입력_인턴근무계획!$S$3:$S$402,$A375))</f>
        <v/>
      </c>
      <c r="G375" s="26">
        <f>IF(OR($C375="",$G$3=""),"",IF(INDEX(입력_인턴근무계획!$M$3:$R$402,$A375,$G$3)&amp;""="","",IF(LEFT(INDEX(입력_인턴근무계획!$M$3:$R$402,$A375,$G$3)&amp;"",1)="⚠",INDEX(입력_인턴근무계획!$M$3:$R$402,$A375,$G$3)&amp;"",LEFT(INDEX(입력_인턴근무계획!$M$3:$R$402,$A375,$G$3)&amp;"",FIND(" ",INDEX(입력_인턴근무계획!$M$3:$R$402,$A375,$G$3)&amp;"")-1))))</f>
        <v/>
      </c>
      <c r="H375" s="26">
        <f>IF(OR($C375="",$G$3=""),"",IF(INDEX(입력_인턴근무계획!$M$3:$R$402,$A375,$G$3)&amp;""="","",IF(LEFT(INDEX(입력_인턴근무계획!$M$3:$R$402,$A375,$G$3)&amp;"",1)="⚠","",MID(INDEX(입력_인턴근무계획!$M$3:$R$402,$A375,$G$3)&amp;"",FIND(" ",INDEX(입력_인턴근무계획!$M$3:$R$402,$A375,$G$3)&amp;"")+1,60))))</f>
        <v/>
      </c>
      <c r="I375" s="26">
        <f>IF(OR($C375="",$I$3=""),"",IF(INDEX(입력_인턴근무계획!$M$3:$R$402,$A375,$I$3)&amp;""="","",IF(LEFT(INDEX(입력_인턴근무계획!$M$3:$R$402,$A375,$I$3)&amp;"",1)="⚠",INDEX(입력_인턴근무계획!$M$3:$R$402,$A375,$I$3)&amp;"",LEFT(INDEX(입력_인턴근무계획!$M$3:$R$402,$A375,$I$3)&amp;"",FIND(" ",INDEX(입력_인턴근무계획!$M$3:$R$402,$A375,$I$3)&amp;"")-1))))</f>
        <v/>
      </c>
      <c r="J375" s="26">
        <f>IF(OR($C375="",$I$3=""),"",IF(INDEX(입력_인턴근무계획!$M$3:$R$402,$A375,$I$3)&amp;""="","",IF(LEFT(INDEX(입력_인턴근무계획!$M$3:$R$402,$A375,$I$3)&amp;"",1)="⚠","",MID(INDEX(입력_인턴근무계획!$M$3:$R$402,$A375,$I$3)&amp;"",FIND(" ",INDEX(입력_인턴근무계획!$M$3:$R$402,$A375,$I$3)&amp;"")+1,60))))</f>
        <v/>
      </c>
      <c r="K375" s="26">
        <f>IF($C375="","",INDEX(입력_인턴근무계획!$M$3:$M$402,$A375)&amp;"")</f>
        <v/>
      </c>
      <c r="L375" s="26">
        <f>IF($C375="","",INDEX(입력_인턴근무계획!$N$3:$N$402,$A375)&amp;"")</f>
        <v/>
      </c>
      <c r="M375" s="26">
        <f>IF($C375="","",INDEX(입력_인턴근무계획!$O$3:$O$402,$A375)&amp;"")</f>
        <v/>
      </c>
      <c r="N375" s="26">
        <f>IF($C375="","",INDEX(입력_인턴근무계획!$P$3:$P$402,$A375)&amp;"")</f>
        <v/>
      </c>
      <c r="O375" s="26">
        <f>IF($C375="","",INDEX(입력_인턴근무계획!$Q$3:$Q$402,$A375)&amp;"")</f>
        <v/>
      </c>
      <c r="P375" s="26">
        <f>IF($C375="","",INDEX(입력_인턴근무계획!$R$3:$R$402,$A375)&amp;"")</f>
        <v/>
      </c>
      <c r="Q375" s="26">
        <f>IF($C375="","",INDEX(입력_인턴근무계획!$T$3:$T$402,$A375))</f>
        <v/>
      </c>
    </row>
    <row r="376">
      <c r="A376" s="29" t="n">
        <v>371</v>
      </c>
      <c r="B376" s="26">
        <f>IF($C376="","",INDEX(입력_인턴근무계획!$B$3:$B$402,$A376))</f>
        <v/>
      </c>
      <c r="C376" s="26">
        <f>IFERROR(TRIM(INDEX(입력_인턴근무계획!$C$3:$C$402,$A376)&amp;""),"")</f>
        <v/>
      </c>
      <c r="D376" s="26">
        <f>IF($C376="","",INDEX(입력_인턴근무계획!$D$3:$D$402,$A376))</f>
        <v/>
      </c>
      <c r="E376" s="26">
        <f>IF($C376="","",IF(IFERROR(MATCH($D376,입력_기본자료!$B$2:$B$1001,0),IFERROR(MATCH($D376&amp;"",입력_기본자료!$B$2:$B$1001,0),IFERROR(MATCH(VALUE($D376),입력_기본자료!$B$2:$B$1001,0),0)))&gt;0,"확인","미등록"))</f>
        <v/>
      </c>
      <c r="F376" s="28">
        <f>IF($C376="","",INDEX(입력_인턴근무계획!$S$3:$S$402,$A376))</f>
        <v/>
      </c>
      <c r="G376" s="26">
        <f>IF(OR($C376="",$G$3=""),"",IF(INDEX(입력_인턴근무계획!$M$3:$R$402,$A376,$G$3)&amp;""="","",IF(LEFT(INDEX(입력_인턴근무계획!$M$3:$R$402,$A376,$G$3)&amp;"",1)="⚠",INDEX(입력_인턴근무계획!$M$3:$R$402,$A376,$G$3)&amp;"",LEFT(INDEX(입력_인턴근무계획!$M$3:$R$402,$A376,$G$3)&amp;"",FIND(" ",INDEX(입력_인턴근무계획!$M$3:$R$402,$A376,$G$3)&amp;"")-1))))</f>
        <v/>
      </c>
      <c r="H376" s="26">
        <f>IF(OR($C376="",$G$3=""),"",IF(INDEX(입력_인턴근무계획!$M$3:$R$402,$A376,$G$3)&amp;""="","",IF(LEFT(INDEX(입력_인턴근무계획!$M$3:$R$402,$A376,$G$3)&amp;"",1)="⚠","",MID(INDEX(입력_인턴근무계획!$M$3:$R$402,$A376,$G$3)&amp;"",FIND(" ",INDEX(입력_인턴근무계획!$M$3:$R$402,$A376,$G$3)&amp;"")+1,60))))</f>
        <v/>
      </c>
      <c r="I376" s="26">
        <f>IF(OR($C376="",$I$3=""),"",IF(INDEX(입력_인턴근무계획!$M$3:$R$402,$A376,$I$3)&amp;""="","",IF(LEFT(INDEX(입력_인턴근무계획!$M$3:$R$402,$A376,$I$3)&amp;"",1)="⚠",INDEX(입력_인턴근무계획!$M$3:$R$402,$A376,$I$3)&amp;"",LEFT(INDEX(입력_인턴근무계획!$M$3:$R$402,$A376,$I$3)&amp;"",FIND(" ",INDEX(입력_인턴근무계획!$M$3:$R$402,$A376,$I$3)&amp;"")-1))))</f>
        <v/>
      </c>
      <c r="J376" s="26">
        <f>IF(OR($C376="",$I$3=""),"",IF(INDEX(입력_인턴근무계획!$M$3:$R$402,$A376,$I$3)&amp;""="","",IF(LEFT(INDEX(입력_인턴근무계획!$M$3:$R$402,$A376,$I$3)&amp;"",1)="⚠","",MID(INDEX(입력_인턴근무계획!$M$3:$R$402,$A376,$I$3)&amp;"",FIND(" ",INDEX(입력_인턴근무계획!$M$3:$R$402,$A376,$I$3)&amp;"")+1,60))))</f>
        <v/>
      </c>
      <c r="K376" s="26">
        <f>IF($C376="","",INDEX(입력_인턴근무계획!$M$3:$M$402,$A376)&amp;"")</f>
        <v/>
      </c>
      <c r="L376" s="26">
        <f>IF($C376="","",INDEX(입력_인턴근무계획!$N$3:$N$402,$A376)&amp;"")</f>
        <v/>
      </c>
      <c r="M376" s="26">
        <f>IF($C376="","",INDEX(입력_인턴근무계획!$O$3:$O$402,$A376)&amp;"")</f>
        <v/>
      </c>
      <c r="N376" s="26">
        <f>IF($C376="","",INDEX(입력_인턴근무계획!$P$3:$P$402,$A376)&amp;"")</f>
        <v/>
      </c>
      <c r="O376" s="26">
        <f>IF($C376="","",INDEX(입력_인턴근무계획!$Q$3:$Q$402,$A376)&amp;"")</f>
        <v/>
      </c>
      <c r="P376" s="26">
        <f>IF($C376="","",INDEX(입력_인턴근무계획!$R$3:$R$402,$A376)&amp;"")</f>
        <v/>
      </c>
      <c r="Q376" s="26">
        <f>IF($C376="","",INDEX(입력_인턴근무계획!$T$3:$T$402,$A376))</f>
        <v/>
      </c>
    </row>
    <row r="377">
      <c r="A377" s="29" t="n">
        <v>372</v>
      </c>
      <c r="B377" s="26">
        <f>IF($C377="","",INDEX(입력_인턴근무계획!$B$3:$B$402,$A377))</f>
        <v/>
      </c>
      <c r="C377" s="26">
        <f>IFERROR(TRIM(INDEX(입력_인턴근무계획!$C$3:$C$402,$A377)&amp;""),"")</f>
        <v/>
      </c>
      <c r="D377" s="26">
        <f>IF($C377="","",INDEX(입력_인턴근무계획!$D$3:$D$402,$A377))</f>
        <v/>
      </c>
      <c r="E377" s="26">
        <f>IF($C377="","",IF(IFERROR(MATCH($D377,입력_기본자료!$B$2:$B$1001,0),IFERROR(MATCH($D377&amp;"",입력_기본자료!$B$2:$B$1001,0),IFERROR(MATCH(VALUE($D377),입력_기본자료!$B$2:$B$1001,0),0)))&gt;0,"확인","미등록"))</f>
        <v/>
      </c>
      <c r="F377" s="28">
        <f>IF($C377="","",INDEX(입력_인턴근무계획!$S$3:$S$402,$A377))</f>
        <v/>
      </c>
      <c r="G377" s="26">
        <f>IF(OR($C377="",$G$3=""),"",IF(INDEX(입력_인턴근무계획!$M$3:$R$402,$A377,$G$3)&amp;""="","",IF(LEFT(INDEX(입력_인턴근무계획!$M$3:$R$402,$A377,$G$3)&amp;"",1)="⚠",INDEX(입력_인턴근무계획!$M$3:$R$402,$A377,$G$3)&amp;"",LEFT(INDEX(입력_인턴근무계획!$M$3:$R$402,$A377,$G$3)&amp;"",FIND(" ",INDEX(입력_인턴근무계획!$M$3:$R$402,$A377,$G$3)&amp;"")-1))))</f>
        <v/>
      </c>
      <c r="H377" s="26">
        <f>IF(OR($C377="",$G$3=""),"",IF(INDEX(입력_인턴근무계획!$M$3:$R$402,$A377,$G$3)&amp;""="","",IF(LEFT(INDEX(입력_인턴근무계획!$M$3:$R$402,$A377,$G$3)&amp;"",1)="⚠","",MID(INDEX(입력_인턴근무계획!$M$3:$R$402,$A377,$G$3)&amp;"",FIND(" ",INDEX(입력_인턴근무계획!$M$3:$R$402,$A377,$G$3)&amp;"")+1,60))))</f>
        <v/>
      </c>
      <c r="I377" s="26">
        <f>IF(OR($C377="",$I$3=""),"",IF(INDEX(입력_인턴근무계획!$M$3:$R$402,$A377,$I$3)&amp;""="","",IF(LEFT(INDEX(입력_인턴근무계획!$M$3:$R$402,$A377,$I$3)&amp;"",1)="⚠",INDEX(입력_인턴근무계획!$M$3:$R$402,$A377,$I$3)&amp;"",LEFT(INDEX(입력_인턴근무계획!$M$3:$R$402,$A377,$I$3)&amp;"",FIND(" ",INDEX(입력_인턴근무계획!$M$3:$R$402,$A377,$I$3)&amp;"")-1))))</f>
        <v/>
      </c>
      <c r="J377" s="26">
        <f>IF(OR($C377="",$I$3=""),"",IF(INDEX(입력_인턴근무계획!$M$3:$R$402,$A377,$I$3)&amp;""="","",IF(LEFT(INDEX(입력_인턴근무계획!$M$3:$R$402,$A377,$I$3)&amp;"",1)="⚠","",MID(INDEX(입력_인턴근무계획!$M$3:$R$402,$A377,$I$3)&amp;"",FIND(" ",INDEX(입력_인턴근무계획!$M$3:$R$402,$A377,$I$3)&amp;"")+1,60))))</f>
        <v/>
      </c>
      <c r="K377" s="26">
        <f>IF($C377="","",INDEX(입력_인턴근무계획!$M$3:$M$402,$A377)&amp;"")</f>
        <v/>
      </c>
      <c r="L377" s="26">
        <f>IF($C377="","",INDEX(입력_인턴근무계획!$N$3:$N$402,$A377)&amp;"")</f>
        <v/>
      </c>
      <c r="M377" s="26">
        <f>IF($C377="","",INDEX(입력_인턴근무계획!$O$3:$O$402,$A377)&amp;"")</f>
        <v/>
      </c>
      <c r="N377" s="26">
        <f>IF($C377="","",INDEX(입력_인턴근무계획!$P$3:$P$402,$A377)&amp;"")</f>
        <v/>
      </c>
      <c r="O377" s="26">
        <f>IF($C377="","",INDEX(입력_인턴근무계획!$Q$3:$Q$402,$A377)&amp;"")</f>
        <v/>
      </c>
      <c r="P377" s="26">
        <f>IF($C377="","",INDEX(입력_인턴근무계획!$R$3:$R$402,$A377)&amp;"")</f>
        <v/>
      </c>
      <c r="Q377" s="26">
        <f>IF($C377="","",INDEX(입력_인턴근무계획!$T$3:$T$402,$A377))</f>
        <v/>
      </c>
    </row>
    <row r="378">
      <c r="A378" s="29" t="n">
        <v>373</v>
      </c>
      <c r="B378" s="26">
        <f>IF($C378="","",INDEX(입력_인턴근무계획!$B$3:$B$402,$A378))</f>
        <v/>
      </c>
      <c r="C378" s="26">
        <f>IFERROR(TRIM(INDEX(입력_인턴근무계획!$C$3:$C$402,$A378)&amp;""),"")</f>
        <v/>
      </c>
      <c r="D378" s="26">
        <f>IF($C378="","",INDEX(입력_인턴근무계획!$D$3:$D$402,$A378))</f>
        <v/>
      </c>
      <c r="E378" s="26">
        <f>IF($C378="","",IF(IFERROR(MATCH($D378,입력_기본자료!$B$2:$B$1001,0),IFERROR(MATCH($D378&amp;"",입력_기본자료!$B$2:$B$1001,0),IFERROR(MATCH(VALUE($D378),입력_기본자료!$B$2:$B$1001,0),0)))&gt;0,"확인","미등록"))</f>
        <v/>
      </c>
      <c r="F378" s="28">
        <f>IF($C378="","",INDEX(입력_인턴근무계획!$S$3:$S$402,$A378))</f>
        <v/>
      </c>
      <c r="G378" s="26">
        <f>IF(OR($C378="",$G$3=""),"",IF(INDEX(입력_인턴근무계획!$M$3:$R$402,$A378,$G$3)&amp;""="","",IF(LEFT(INDEX(입력_인턴근무계획!$M$3:$R$402,$A378,$G$3)&amp;"",1)="⚠",INDEX(입력_인턴근무계획!$M$3:$R$402,$A378,$G$3)&amp;"",LEFT(INDEX(입력_인턴근무계획!$M$3:$R$402,$A378,$G$3)&amp;"",FIND(" ",INDEX(입력_인턴근무계획!$M$3:$R$402,$A378,$G$3)&amp;"")-1))))</f>
        <v/>
      </c>
      <c r="H378" s="26">
        <f>IF(OR($C378="",$G$3=""),"",IF(INDEX(입력_인턴근무계획!$M$3:$R$402,$A378,$G$3)&amp;""="","",IF(LEFT(INDEX(입력_인턴근무계획!$M$3:$R$402,$A378,$G$3)&amp;"",1)="⚠","",MID(INDEX(입력_인턴근무계획!$M$3:$R$402,$A378,$G$3)&amp;"",FIND(" ",INDEX(입력_인턴근무계획!$M$3:$R$402,$A378,$G$3)&amp;"")+1,60))))</f>
        <v/>
      </c>
      <c r="I378" s="26">
        <f>IF(OR($C378="",$I$3=""),"",IF(INDEX(입력_인턴근무계획!$M$3:$R$402,$A378,$I$3)&amp;""="","",IF(LEFT(INDEX(입력_인턴근무계획!$M$3:$R$402,$A378,$I$3)&amp;"",1)="⚠",INDEX(입력_인턴근무계획!$M$3:$R$402,$A378,$I$3)&amp;"",LEFT(INDEX(입력_인턴근무계획!$M$3:$R$402,$A378,$I$3)&amp;"",FIND(" ",INDEX(입력_인턴근무계획!$M$3:$R$402,$A378,$I$3)&amp;"")-1))))</f>
        <v/>
      </c>
      <c r="J378" s="26">
        <f>IF(OR($C378="",$I$3=""),"",IF(INDEX(입력_인턴근무계획!$M$3:$R$402,$A378,$I$3)&amp;""="","",IF(LEFT(INDEX(입력_인턴근무계획!$M$3:$R$402,$A378,$I$3)&amp;"",1)="⚠","",MID(INDEX(입력_인턴근무계획!$M$3:$R$402,$A378,$I$3)&amp;"",FIND(" ",INDEX(입력_인턴근무계획!$M$3:$R$402,$A378,$I$3)&amp;"")+1,60))))</f>
        <v/>
      </c>
      <c r="K378" s="26">
        <f>IF($C378="","",INDEX(입력_인턴근무계획!$M$3:$M$402,$A378)&amp;"")</f>
        <v/>
      </c>
      <c r="L378" s="26">
        <f>IF($C378="","",INDEX(입력_인턴근무계획!$N$3:$N$402,$A378)&amp;"")</f>
        <v/>
      </c>
      <c r="M378" s="26">
        <f>IF($C378="","",INDEX(입력_인턴근무계획!$O$3:$O$402,$A378)&amp;"")</f>
        <v/>
      </c>
      <c r="N378" s="26">
        <f>IF($C378="","",INDEX(입력_인턴근무계획!$P$3:$P$402,$A378)&amp;"")</f>
        <v/>
      </c>
      <c r="O378" s="26">
        <f>IF($C378="","",INDEX(입력_인턴근무계획!$Q$3:$Q$402,$A378)&amp;"")</f>
        <v/>
      </c>
      <c r="P378" s="26">
        <f>IF($C378="","",INDEX(입력_인턴근무계획!$R$3:$R$402,$A378)&amp;"")</f>
        <v/>
      </c>
      <c r="Q378" s="26">
        <f>IF($C378="","",INDEX(입력_인턴근무계획!$T$3:$T$402,$A378))</f>
        <v/>
      </c>
    </row>
    <row r="379">
      <c r="A379" s="29" t="n">
        <v>374</v>
      </c>
      <c r="B379" s="26">
        <f>IF($C379="","",INDEX(입력_인턴근무계획!$B$3:$B$402,$A379))</f>
        <v/>
      </c>
      <c r="C379" s="26">
        <f>IFERROR(TRIM(INDEX(입력_인턴근무계획!$C$3:$C$402,$A379)&amp;""),"")</f>
        <v/>
      </c>
      <c r="D379" s="26">
        <f>IF($C379="","",INDEX(입력_인턴근무계획!$D$3:$D$402,$A379))</f>
        <v/>
      </c>
      <c r="E379" s="26">
        <f>IF($C379="","",IF(IFERROR(MATCH($D379,입력_기본자료!$B$2:$B$1001,0),IFERROR(MATCH($D379&amp;"",입력_기본자료!$B$2:$B$1001,0),IFERROR(MATCH(VALUE($D379),입력_기본자료!$B$2:$B$1001,0),0)))&gt;0,"확인","미등록"))</f>
        <v/>
      </c>
      <c r="F379" s="28">
        <f>IF($C379="","",INDEX(입력_인턴근무계획!$S$3:$S$402,$A379))</f>
        <v/>
      </c>
      <c r="G379" s="26">
        <f>IF(OR($C379="",$G$3=""),"",IF(INDEX(입력_인턴근무계획!$M$3:$R$402,$A379,$G$3)&amp;""="","",IF(LEFT(INDEX(입력_인턴근무계획!$M$3:$R$402,$A379,$G$3)&amp;"",1)="⚠",INDEX(입력_인턴근무계획!$M$3:$R$402,$A379,$G$3)&amp;"",LEFT(INDEX(입력_인턴근무계획!$M$3:$R$402,$A379,$G$3)&amp;"",FIND(" ",INDEX(입력_인턴근무계획!$M$3:$R$402,$A379,$G$3)&amp;"")-1))))</f>
        <v/>
      </c>
      <c r="H379" s="26">
        <f>IF(OR($C379="",$G$3=""),"",IF(INDEX(입력_인턴근무계획!$M$3:$R$402,$A379,$G$3)&amp;""="","",IF(LEFT(INDEX(입력_인턴근무계획!$M$3:$R$402,$A379,$G$3)&amp;"",1)="⚠","",MID(INDEX(입력_인턴근무계획!$M$3:$R$402,$A379,$G$3)&amp;"",FIND(" ",INDEX(입력_인턴근무계획!$M$3:$R$402,$A379,$G$3)&amp;"")+1,60))))</f>
        <v/>
      </c>
      <c r="I379" s="26">
        <f>IF(OR($C379="",$I$3=""),"",IF(INDEX(입력_인턴근무계획!$M$3:$R$402,$A379,$I$3)&amp;""="","",IF(LEFT(INDEX(입력_인턴근무계획!$M$3:$R$402,$A379,$I$3)&amp;"",1)="⚠",INDEX(입력_인턴근무계획!$M$3:$R$402,$A379,$I$3)&amp;"",LEFT(INDEX(입력_인턴근무계획!$M$3:$R$402,$A379,$I$3)&amp;"",FIND(" ",INDEX(입력_인턴근무계획!$M$3:$R$402,$A379,$I$3)&amp;"")-1))))</f>
        <v/>
      </c>
      <c r="J379" s="26">
        <f>IF(OR($C379="",$I$3=""),"",IF(INDEX(입력_인턴근무계획!$M$3:$R$402,$A379,$I$3)&amp;""="","",IF(LEFT(INDEX(입력_인턴근무계획!$M$3:$R$402,$A379,$I$3)&amp;"",1)="⚠","",MID(INDEX(입력_인턴근무계획!$M$3:$R$402,$A379,$I$3)&amp;"",FIND(" ",INDEX(입력_인턴근무계획!$M$3:$R$402,$A379,$I$3)&amp;"")+1,60))))</f>
        <v/>
      </c>
      <c r="K379" s="26">
        <f>IF($C379="","",INDEX(입력_인턴근무계획!$M$3:$M$402,$A379)&amp;"")</f>
        <v/>
      </c>
      <c r="L379" s="26">
        <f>IF($C379="","",INDEX(입력_인턴근무계획!$N$3:$N$402,$A379)&amp;"")</f>
        <v/>
      </c>
      <c r="M379" s="26">
        <f>IF($C379="","",INDEX(입력_인턴근무계획!$O$3:$O$402,$A379)&amp;"")</f>
        <v/>
      </c>
      <c r="N379" s="26">
        <f>IF($C379="","",INDEX(입력_인턴근무계획!$P$3:$P$402,$A379)&amp;"")</f>
        <v/>
      </c>
      <c r="O379" s="26">
        <f>IF($C379="","",INDEX(입력_인턴근무계획!$Q$3:$Q$402,$A379)&amp;"")</f>
        <v/>
      </c>
      <c r="P379" s="26">
        <f>IF($C379="","",INDEX(입력_인턴근무계획!$R$3:$R$402,$A379)&amp;"")</f>
        <v/>
      </c>
      <c r="Q379" s="26">
        <f>IF($C379="","",INDEX(입력_인턴근무계획!$T$3:$T$402,$A379))</f>
        <v/>
      </c>
    </row>
    <row r="380">
      <c r="A380" s="29" t="n">
        <v>375</v>
      </c>
      <c r="B380" s="26">
        <f>IF($C380="","",INDEX(입력_인턴근무계획!$B$3:$B$402,$A380))</f>
        <v/>
      </c>
      <c r="C380" s="26">
        <f>IFERROR(TRIM(INDEX(입력_인턴근무계획!$C$3:$C$402,$A380)&amp;""),"")</f>
        <v/>
      </c>
      <c r="D380" s="26">
        <f>IF($C380="","",INDEX(입력_인턴근무계획!$D$3:$D$402,$A380))</f>
        <v/>
      </c>
      <c r="E380" s="26">
        <f>IF($C380="","",IF(IFERROR(MATCH($D380,입력_기본자료!$B$2:$B$1001,0),IFERROR(MATCH($D380&amp;"",입력_기본자료!$B$2:$B$1001,0),IFERROR(MATCH(VALUE($D380),입력_기본자료!$B$2:$B$1001,0),0)))&gt;0,"확인","미등록"))</f>
        <v/>
      </c>
      <c r="F380" s="28">
        <f>IF($C380="","",INDEX(입력_인턴근무계획!$S$3:$S$402,$A380))</f>
        <v/>
      </c>
      <c r="G380" s="26">
        <f>IF(OR($C380="",$G$3=""),"",IF(INDEX(입력_인턴근무계획!$M$3:$R$402,$A380,$G$3)&amp;""="","",IF(LEFT(INDEX(입력_인턴근무계획!$M$3:$R$402,$A380,$G$3)&amp;"",1)="⚠",INDEX(입력_인턴근무계획!$M$3:$R$402,$A380,$G$3)&amp;"",LEFT(INDEX(입력_인턴근무계획!$M$3:$R$402,$A380,$G$3)&amp;"",FIND(" ",INDEX(입력_인턴근무계획!$M$3:$R$402,$A380,$G$3)&amp;"")-1))))</f>
        <v/>
      </c>
      <c r="H380" s="26">
        <f>IF(OR($C380="",$G$3=""),"",IF(INDEX(입력_인턴근무계획!$M$3:$R$402,$A380,$G$3)&amp;""="","",IF(LEFT(INDEX(입력_인턴근무계획!$M$3:$R$402,$A380,$G$3)&amp;"",1)="⚠","",MID(INDEX(입력_인턴근무계획!$M$3:$R$402,$A380,$G$3)&amp;"",FIND(" ",INDEX(입력_인턴근무계획!$M$3:$R$402,$A380,$G$3)&amp;"")+1,60))))</f>
        <v/>
      </c>
      <c r="I380" s="26">
        <f>IF(OR($C380="",$I$3=""),"",IF(INDEX(입력_인턴근무계획!$M$3:$R$402,$A380,$I$3)&amp;""="","",IF(LEFT(INDEX(입력_인턴근무계획!$M$3:$R$402,$A380,$I$3)&amp;"",1)="⚠",INDEX(입력_인턴근무계획!$M$3:$R$402,$A380,$I$3)&amp;"",LEFT(INDEX(입력_인턴근무계획!$M$3:$R$402,$A380,$I$3)&amp;"",FIND(" ",INDEX(입력_인턴근무계획!$M$3:$R$402,$A380,$I$3)&amp;"")-1))))</f>
        <v/>
      </c>
      <c r="J380" s="26">
        <f>IF(OR($C380="",$I$3=""),"",IF(INDEX(입력_인턴근무계획!$M$3:$R$402,$A380,$I$3)&amp;""="","",IF(LEFT(INDEX(입력_인턴근무계획!$M$3:$R$402,$A380,$I$3)&amp;"",1)="⚠","",MID(INDEX(입력_인턴근무계획!$M$3:$R$402,$A380,$I$3)&amp;"",FIND(" ",INDEX(입력_인턴근무계획!$M$3:$R$402,$A380,$I$3)&amp;"")+1,60))))</f>
        <v/>
      </c>
      <c r="K380" s="26">
        <f>IF($C380="","",INDEX(입력_인턴근무계획!$M$3:$M$402,$A380)&amp;"")</f>
        <v/>
      </c>
      <c r="L380" s="26">
        <f>IF($C380="","",INDEX(입력_인턴근무계획!$N$3:$N$402,$A380)&amp;"")</f>
        <v/>
      </c>
      <c r="M380" s="26">
        <f>IF($C380="","",INDEX(입력_인턴근무계획!$O$3:$O$402,$A380)&amp;"")</f>
        <v/>
      </c>
      <c r="N380" s="26">
        <f>IF($C380="","",INDEX(입력_인턴근무계획!$P$3:$P$402,$A380)&amp;"")</f>
        <v/>
      </c>
      <c r="O380" s="26">
        <f>IF($C380="","",INDEX(입력_인턴근무계획!$Q$3:$Q$402,$A380)&amp;"")</f>
        <v/>
      </c>
      <c r="P380" s="26">
        <f>IF($C380="","",INDEX(입력_인턴근무계획!$R$3:$R$402,$A380)&amp;"")</f>
        <v/>
      </c>
      <c r="Q380" s="26">
        <f>IF($C380="","",INDEX(입력_인턴근무계획!$T$3:$T$402,$A380))</f>
        <v/>
      </c>
    </row>
    <row r="381">
      <c r="A381" s="29" t="n">
        <v>376</v>
      </c>
      <c r="B381" s="26">
        <f>IF($C381="","",INDEX(입력_인턴근무계획!$B$3:$B$402,$A381))</f>
        <v/>
      </c>
      <c r="C381" s="26">
        <f>IFERROR(TRIM(INDEX(입력_인턴근무계획!$C$3:$C$402,$A381)&amp;""),"")</f>
        <v/>
      </c>
      <c r="D381" s="26">
        <f>IF($C381="","",INDEX(입력_인턴근무계획!$D$3:$D$402,$A381))</f>
        <v/>
      </c>
      <c r="E381" s="26">
        <f>IF($C381="","",IF(IFERROR(MATCH($D381,입력_기본자료!$B$2:$B$1001,0),IFERROR(MATCH($D381&amp;"",입력_기본자료!$B$2:$B$1001,0),IFERROR(MATCH(VALUE($D381),입력_기본자료!$B$2:$B$1001,0),0)))&gt;0,"확인","미등록"))</f>
        <v/>
      </c>
      <c r="F381" s="28">
        <f>IF($C381="","",INDEX(입력_인턴근무계획!$S$3:$S$402,$A381))</f>
        <v/>
      </c>
      <c r="G381" s="26">
        <f>IF(OR($C381="",$G$3=""),"",IF(INDEX(입력_인턴근무계획!$M$3:$R$402,$A381,$G$3)&amp;""="","",IF(LEFT(INDEX(입력_인턴근무계획!$M$3:$R$402,$A381,$G$3)&amp;"",1)="⚠",INDEX(입력_인턴근무계획!$M$3:$R$402,$A381,$G$3)&amp;"",LEFT(INDEX(입력_인턴근무계획!$M$3:$R$402,$A381,$G$3)&amp;"",FIND(" ",INDEX(입력_인턴근무계획!$M$3:$R$402,$A381,$G$3)&amp;"")-1))))</f>
        <v/>
      </c>
      <c r="H381" s="26">
        <f>IF(OR($C381="",$G$3=""),"",IF(INDEX(입력_인턴근무계획!$M$3:$R$402,$A381,$G$3)&amp;""="","",IF(LEFT(INDEX(입력_인턴근무계획!$M$3:$R$402,$A381,$G$3)&amp;"",1)="⚠","",MID(INDEX(입력_인턴근무계획!$M$3:$R$402,$A381,$G$3)&amp;"",FIND(" ",INDEX(입력_인턴근무계획!$M$3:$R$402,$A381,$G$3)&amp;"")+1,60))))</f>
        <v/>
      </c>
      <c r="I381" s="26">
        <f>IF(OR($C381="",$I$3=""),"",IF(INDEX(입력_인턴근무계획!$M$3:$R$402,$A381,$I$3)&amp;""="","",IF(LEFT(INDEX(입력_인턴근무계획!$M$3:$R$402,$A381,$I$3)&amp;"",1)="⚠",INDEX(입력_인턴근무계획!$M$3:$R$402,$A381,$I$3)&amp;"",LEFT(INDEX(입력_인턴근무계획!$M$3:$R$402,$A381,$I$3)&amp;"",FIND(" ",INDEX(입력_인턴근무계획!$M$3:$R$402,$A381,$I$3)&amp;"")-1))))</f>
        <v/>
      </c>
      <c r="J381" s="26">
        <f>IF(OR($C381="",$I$3=""),"",IF(INDEX(입력_인턴근무계획!$M$3:$R$402,$A381,$I$3)&amp;""="","",IF(LEFT(INDEX(입력_인턴근무계획!$M$3:$R$402,$A381,$I$3)&amp;"",1)="⚠","",MID(INDEX(입력_인턴근무계획!$M$3:$R$402,$A381,$I$3)&amp;"",FIND(" ",INDEX(입력_인턴근무계획!$M$3:$R$402,$A381,$I$3)&amp;"")+1,60))))</f>
        <v/>
      </c>
      <c r="K381" s="26">
        <f>IF($C381="","",INDEX(입력_인턴근무계획!$M$3:$M$402,$A381)&amp;"")</f>
        <v/>
      </c>
      <c r="L381" s="26">
        <f>IF($C381="","",INDEX(입력_인턴근무계획!$N$3:$N$402,$A381)&amp;"")</f>
        <v/>
      </c>
      <c r="M381" s="26">
        <f>IF($C381="","",INDEX(입력_인턴근무계획!$O$3:$O$402,$A381)&amp;"")</f>
        <v/>
      </c>
      <c r="N381" s="26">
        <f>IF($C381="","",INDEX(입력_인턴근무계획!$P$3:$P$402,$A381)&amp;"")</f>
        <v/>
      </c>
      <c r="O381" s="26">
        <f>IF($C381="","",INDEX(입력_인턴근무계획!$Q$3:$Q$402,$A381)&amp;"")</f>
        <v/>
      </c>
      <c r="P381" s="26">
        <f>IF($C381="","",INDEX(입력_인턴근무계획!$R$3:$R$402,$A381)&amp;"")</f>
        <v/>
      </c>
      <c r="Q381" s="26">
        <f>IF($C381="","",INDEX(입력_인턴근무계획!$T$3:$T$402,$A381))</f>
        <v/>
      </c>
    </row>
    <row r="382">
      <c r="A382" s="29" t="n">
        <v>377</v>
      </c>
      <c r="B382" s="26">
        <f>IF($C382="","",INDEX(입력_인턴근무계획!$B$3:$B$402,$A382))</f>
        <v/>
      </c>
      <c r="C382" s="26">
        <f>IFERROR(TRIM(INDEX(입력_인턴근무계획!$C$3:$C$402,$A382)&amp;""),"")</f>
        <v/>
      </c>
      <c r="D382" s="26">
        <f>IF($C382="","",INDEX(입력_인턴근무계획!$D$3:$D$402,$A382))</f>
        <v/>
      </c>
      <c r="E382" s="26">
        <f>IF($C382="","",IF(IFERROR(MATCH($D382,입력_기본자료!$B$2:$B$1001,0),IFERROR(MATCH($D382&amp;"",입력_기본자료!$B$2:$B$1001,0),IFERROR(MATCH(VALUE($D382),입력_기본자료!$B$2:$B$1001,0),0)))&gt;0,"확인","미등록"))</f>
        <v/>
      </c>
      <c r="F382" s="28">
        <f>IF($C382="","",INDEX(입력_인턴근무계획!$S$3:$S$402,$A382))</f>
        <v/>
      </c>
      <c r="G382" s="26">
        <f>IF(OR($C382="",$G$3=""),"",IF(INDEX(입력_인턴근무계획!$M$3:$R$402,$A382,$G$3)&amp;""="","",IF(LEFT(INDEX(입력_인턴근무계획!$M$3:$R$402,$A382,$G$3)&amp;"",1)="⚠",INDEX(입력_인턴근무계획!$M$3:$R$402,$A382,$G$3)&amp;"",LEFT(INDEX(입력_인턴근무계획!$M$3:$R$402,$A382,$G$3)&amp;"",FIND(" ",INDEX(입력_인턴근무계획!$M$3:$R$402,$A382,$G$3)&amp;"")-1))))</f>
        <v/>
      </c>
      <c r="H382" s="26">
        <f>IF(OR($C382="",$G$3=""),"",IF(INDEX(입력_인턴근무계획!$M$3:$R$402,$A382,$G$3)&amp;""="","",IF(LEFT(INDEX(입력_인턴근무계획!$M$3:$R$402,$A382,$G$3)&amp;"",1)="⚠","",MID(INDEX(입력_인턴근무계획!$M$3:$R$402,$A382,$G$3)&amp;"",FIND(" ",INDEX(입력_인턴근무계획!$M$3:$R$402,$A382,$G$3)&amp;"")+1,60))))</f>
        <v/>
      </c>
      <c r="I382" s="26">
        <f>IF(OR($C382="",$I$3=""),"",IF(INDEX(입력_인턴근무계획!$M$3:$R$402,$A382,$I$3)&amp;""="","",IF(LEFT(INDEX(입력_인턴근무계획!$M$3:$R$402,$A382,$I$3)&amp;"",1)="⚠",INDEX(입력_인턴근무계획!$M$3:$R$402,$A382,$I$3)&amp;"",LEFT(INDEX(입력_인턴근무계획!$M$3:$R$402,$A382,$I$3)&amp;"",FIND(" ",INDEX(입력_인턴근무계획!$M$3:$R$402,$A382,$I$3)&amp;"")-1))))</f>
        <v/>
      </c>
      <c r="J382" s="26">
        <f>IF(OR($C382="",$I$3=""),"",IF(INDEX(입력_인턴근무계획!$M$3:$R$402,$A382,$I$3)&amp;""="","",IF(LEFT(INDEX(입력_인턴근무계획!$M$3:$R$402,$A382,$I$3)&amp;"",1)="⚠","",MID(INDEX(입력_인턴근무계획!$M$3:$R$402,$A382,$I$3)&amp;"",FIND(" ",INDEX(입력_인턴근무계획!$M$3:$R$402,$A382,$I$3)&amp;"")+1,60))))</f>
        <v/>
      </c>
      <c r="K382" s="26">
        <f>IF($C382="","",INDEX(입력_인턴근무계획!$M$3:$M$402,$A382)&amp;"")</f>
        <v/>
      </c>
      <c r="L382" s="26">
        <f>IF($C382="","",INDEX(입력_인턴근무계획!$N$3:$N$402,$A382)&amp;"")</f>
        <v/>
      </c>
      <c r="M382" s="26">
        <f>IF($C382="","",INDEX(입력_인턴근무계획!$O$3:$O$402,$A382)&amp;"")</f>
        <v/>
      </c>
      <c r="N382" s="26">
        <f>IF($C382="","",INDEX(입력_인턴근무계획!$P$3:$P$402,$A382)&amp;"")</f>
        <v/>
      </c>
      <c r="O382" s="26">
        <f>IF($C382="","",INDEX(입력_인턴근무계획!$Q$3:$Q$402,$A382)&amp;"")</f>
        <v/>
      </c>
      <c r="P382" s="26">
        <f>IF($C382="","",INDEX(입력_인턴근무계획!$R$3:$R$402,$A382)&amp;"")</f>
        <v/>
      </c>
      <c r="Q382" s="26">
        <f>IF($C382="","",INDEX(입력_인턴근무계획!$T$3:$T$402,$A382))</f>
        <v/>
      </c>
    </row>
    <row r="383">
      <c r="A383" s="29" t="n">
        <v>378</v>
      </c>
      <c r="B383" s="26">
        <f>IF($C383="","",INDEX(입력_인턴근무계획!$B$3:$B$402,$A383))</f>
        <v/>
      </c>
      <c r="C383" s="26">
        <f>IFERROR(TRIM(INDEX(입력_인턴근무계획!$C$3:$C$402,$A383)&amp;""),"")</f>
        <v/>
      </c>
      <c r="D383" s="26">
        <f>IF($C383="","",INDEX(입력_인턴근무계획!$D$3:$D$402,$A383))</f>
        <v/>
      </c>
      <c r="E383" s="26">
        <f>IF($C383="","",IF(IFERROR(MATCH($D383,입력_기본자료!$B$2:$B$1001,0),IFERROR(MATCH($D383&amp;"",입력_기본자료!$B$2:$B$1001,0),IFERROR(MATCH(VALUE($D383),입력_기본자료!$B$2:$B$1001,0),0)))&gt;0,"확인","미등록"))</f>
        <v/>
      </c>
      <c r="F383" s="28">
        <f>IF($C383="","",INDEX(입력_인턴근무계획!$S$3:$S$402,$A383))</f>
        <v/>
      </c>
      <c r="G383" s="26">
        <f>IF(OR($C383="",$G$3=""),"",IF(INDEX(입력_인턴근무계획!$M$3:$R$402,$A383,$G$3)&amp;""="","",IF(LEFT(INDEX(입력_인턴근무계획!$M$3:$R$402,$A383,$G$3)&amp;"",1)="⚠",INDEX(입력_인턴근무계획!$M$3:$R$402,$A383,$G$3)&amp;"",LEFT(INDEX(입력_인턴근무계획!$M$3:$R$402,$A383,$G$3)&amp;"",FIND(" ",INDEX(입력_인턴근무계획!$M$3:$R$402,$A383,$G$3)&amp;"")-1))))</f>
        <v/>
      </c>
      <c r="H383" s="26">
        <f>IF(OR($C383="",$G$3=""),"",IF(INDEX(입력_인턴근무계획!$M$3:$R$402,$A383,$G$3)&amp;""="","",IF(LEFT(INDEX(입력_인턴근무계획!$M$3:$R$402,$A383,$G$3)&amp;"",1)="⚠","",MID(INDEX(입력_인턴근무계획!$M$3:$R$402,$A383,$G$3)&amp;"",FIND(" ",INDEX(입력_인턴근무계획!$M$3:$R$402,$A383,$G$3)&amp;"")+1,60))))</f>
        <v/>
      </c>
      <c r="I383" s="26">
        <f>IF(OR($C383="",$I$3=""),"",IF(INDEX(입력_인턴근무계획!$M$3:$R$402,$A383,$I$3)&amp;""="","",IF(LEFT(INDEX(입력_인턴근무계획!$M$3:$R$402,$A383,$I$3)&amp;"",1)="⚠",INDEX(입력_인턴근무계획!$M$3:$R$402,$A383,$I$3)&amp;"",LEFT(INDEX(입력_인턴근무계획!$M$3:$R$402,$A383,$I$3)&amp;"",FIND(" ",INDEX(입력_인턴근무계획!$M$3:$R$402,$A383,$I$3)&amp;"")-1))))</f>
        <v/>
      </c>
      <c r="J383" s="26">
        <f>IF(OR($C383="",$I$3=""),"",IF(INDEX(입력_인턴근무계획!$M$3:$R$402,$A383,$I$3)&amp;""="","",IF(LEFT(INDEX(입력_인턴근무계획!$M$3:$R$402,$A383,$I$3)&amp;"",1)="⚠","",MID(INDEX(입력_인턴근무계획!$M$3:$R$402,$A383,$I$3)&amp;"",FIND(" ",INDEX(입력_인턴근무계획!$M$3:$R$402,$A383,$I$3)&amp;"")+1,60))))</f>
        <v/>
      </c>
      <c r="K383" s="26">
        <f>IF($C383="","",INDEX(입력_인턴근무계획!$M$3:$M$402,$A383)&amp;"")</f>
        <v/>
      </c>
      <c r="L383" s="26">
        <f>IF($C383="","",INDEX(입력_인턴근무계획!$N$3:$N$402,$A383)&amp;"")</f>
        <v/>
      </c>
      <c r="M383" s="26">
        <f>IF($C383="","",INDEX(입력_인턴근무계획!$O$3:$O$402,$A383)&amp;"")</f>
        <v/>
      </c>
      <c r="N383" s="26">
        <f>IF($C383="","",INDEX(입력_인턴근무계획!$P$3:$P$402,$A383)&amp;"")</f>
        <v/>
      </c>
      <c r="O383" s="26">
        <f>IF($C383="","",INDEX(입력_인턴근무계획!$Q$3:$Q$402,$A383)&amp;"")</f>
        <v/>
      </c>
      <c r="P383" s="26">
        <f>IF($C383="","",INDEX(입력_인턴근무계획!$R$3:$R$402,$A383)&amp;"")</f>
        <v/>
      </c>
      <c r="Q383" s="26">
        <f>IF($C383="","",INDEX(입력_인턴근무계획!$T$3:$T$402,$A383))</f>
        <v/>
      </c>
    </row>
    <row r="384">
      <c r="A384" s="29" t="n">
        <v>379</v>
      </c>
      <c r="B384" s="26">
        <f>IF($C384="","",INDEX(입력_인턴근무계획!$B$3:$B$402,$A384))</f>
        <v/>
      </c>
      <c r="C384" s="26">
        <f>IFERROR(TRIM(INDEX(입력_인턴근무계획!$C$3:$C$402,$A384)&amp;""),"")</f>
        <v/>
      </c>
      <c r="D384" s="26">
        <f>IF($C384="","",INDEX(입력_인턴근무계획!$D$3:$D$402,$A384))</f>
        <v/>
      </c>
      <c r="E384" s="26">
        <f>IF($C384="","",IF(IFERROR(MATCH($D384,입력_기본자료!$B$2:$B$1001,0),IFERROR(MATCH($D384&amp;"",입력_기본자료!$B$2:$B$1001,0),IFERROR(MATCH(VALUE($D384),입력_기본자료!$B$2:$B$1001,0),0)))&gt;0,"확인","미등록"))</f>
        <v/>
      </c>
      <c r="F384" s="28">
        <f>IF($C384="","",INDEX(입력_인턴근무계획!$S$3:$S$402,$A384))</f>
        <v/>
      </c>
      <c r="G384" s="26">
        <f>IF(OR($C384="",$G$3=""),"",IF(INDEX(입력_인턴근무계획!$M$3:$R$402,$A384,$G$3)&amp;""="","",IF(LEFT(INDEX(입력_인턴근무계획!$M$3:$R$402,$A384,$G$3)&amp;"",1)="⚠",INDEX(입력_인턴근무계획!$M$3:$R$402,$A384,$G$3)&amp;"",LEFT(INDEX(입력_인턴근무계획!$M$3:$R$402,$A384,$G$3)&amp;"",FIND(" ",INDEX(입력_인턴근무계획!$M$3:$R$402,$A384,$G$3)&amp;"")-1))))</f>
        <v/>
      </c>
      <c r="H384" s="26">
        <f>IF(OR($C384="",$G$3=""),"",IF(INDEX(입력_인턴근무계획!$M$3:$R$402,$A384,$G$3)&amp;""="","",IF(LEFT(INDEX(입력_인턴근무계획!$M$3:$R$402,$A384,$G$3)&amp;"",1)="⚠","",MID(INDEX(입력_인턴근무계획!$M$3:$R$402,$A384,$G$3)&amp;"",FIND(" ",INDEX(입력_인턴근무계획!$M$3:$R$402,$A384,$G$3)&amp;"")+1,60))))</f>
        <v/>
      </c>
      <c r="I384" s="26">
        <f>IF(OR($C384="",$I$3=""),"",IF(INDEX(입력_인턴근무계획!$M$3:$R$402,$A384,$I$3)&amp;""="","",IF(LEFT(INDEX(입력_인턴근무계획!$M$3:$R$402,$A384,$I$3)&amp;"",1)="⚠",INDEX(입력_인턴근무계획!$M$3:$R$402,$A384,$I$3)&amp;"",LEFT(INDEX(입력_인턴근무계획!$M$3:$R$402,$A384,$I$3)&amp;"",FIND(" ",INDEX(입력_인턴근무계획!$M$3:$R$402,$A384,$I$3)&amp;"")-1))))</f>
        <v/>
      </c>
      <c r="J384" s="26">
        <f>IF(OR($C384="",$I$3=""),"",IF(INDEX(입력_인턴근무계획!$M$3:$R$402,$A384,$I$3)&amp;""="","",IF(LEFT(INDEX(입력_인턴근무계획!$M$3:$R$402,$A384,$I$3)&amp;"",1)="⚠","",MID(INDEX(입력_인턴근무계획!$M$3:$R$402,$A384,$I$3)&amp;"",FIND(" ",INDEX(입력_인턴근무계획!$M$3:$R$402,$A384,$I$3)&amp;"")+1,60))))</f>
        <v/>
      </c>
      <c r="K384" s="26">
        <f>IF($C384="","",INDEX(입력_인턴근무계획!$M$3:$M$402,$A384)&amp;"")</f>
        <v/>
      </c>
      <c r="L384" s="26">
        <f>IF($C384="","",INDEX(입력_인턴근무계획!$N$3:$N$402,$A384)&amp;"")</f>
        <v/>
      </c>
      <c r="M384" s="26">
        <f>IF($C384="","",INDEX(입력_인턴근무계획!$O$3:$O$402,$A384)&amp;"")</f>
        <v/>
      </c>
      <c r="N384" s="26">
        <f>IF($C384="","",INDEX(입력_인턴근무계획!$P$3:$P$402,$A384)&amp;"")</f>
        <v/>
      </c>
      <c r="O384" s="26">
        <f>IF($C384="","",INDEX(입력_인턴근무계획!$Q$3:$Q$402,$A384)&amp;"")</f>
        <v/>
      </c>
      <c r="P384" s="26">
        <f>IF($C384="","",INDEX(입력_인턴근무계획!$R$3:$R$402,$A384)&amp;"")</f>
        <v/>
      </c>
      <c r="Q384" s="26">
        <f>IF($C384="","",INDEX(입력_인턴근무계획!$T$3:$T$402,$A384))</f>
        <v/>
      </c>
    </row>
    <row r="385">
      <c r="A385" s="29" t="n">
        <v>380</v>
      </c>
      <c r="B385" s="26">
        <f>IF($C385="","",INDEX(입력_인턴근무계획!$B$3:$B$402,$A385))</f>
        <v/>
      </c>
      <c r="C385" s="26">
        <f>IFERROR(TRIM(INDEX(입력_인턴근무계획!$C$3:$C$402,$A385)&amp;""),"")</f>
        <v/>
      </c>
      <c r="D385" s="26">
        <f>IF($C385="","",INDEX(입력_인턴근무계획!$D$3:$D$402,$A385))</f>
        <v/>
      </c>
      <c r="E385" s="26">
        <f>IF($C385="","",IF(IFERROR(MATCH($D385,입력_기본자료!$B$2:$B$1001,0),IFERROR(MATCH($D385&amp;"",입력_기본자료!$B$2:$B$1001,0),IFERROR(MATCH(VALUE($D385),입력_기본자료!$B$2:$B$1001,0),0)))&gt;0,"확인","미등록"))</f>
        <v/>
      </c>
      <c r="F385" s="28">
        <f>IF($C385="","",INDEX(입력_인턴근무계획!$S$3:$S$402,$A385))</f>
        <v/>
      </c>
      <c r="G385" s="26">
        <f>IF(OR($C385="",$G$3=""),"",IF(INDEX(입력_인턴근무계획!$M$3:$R$402,$A385,$G$3)&amp;""="","",IF(LEFT(INDEX(입력_인턴근무계획!$M$3:$R$402,$A385,$G$3)&amp;"",1)="⚠",INDEX(입력_인턴근무계획!$M$3:$R$402,$A385,$G$3)&amp;"",LEFT(INDEX(입력_인턴근무계획!$M$3:$R$402,$A385,$G$3)&amp;"",FIND(" ",INDEX(입력_인턴근무계획!$M$3:$R$402,$A385,$G$3)&amp;"")-1))))</f>
        <v/>
      </c>
      <c r="H385" s="26">
        <f>IF(OR($C385="",$G$3=""),"",IF(INDEX(입력_인턴근무계획!$M$3:$R$402,$A385,$G$3)&amp;""="","",IF(LEFT(INDEX(입력_인턴근무계획!$M$3:$R$402,$A385,$G$3)&amp;"",1)="⚠","",MID(INDEX(입력_인턴근무계획!$M$3:$R$402,$A385,$G$3)&amp;"",FIND(" ",INDEX(입력_인턴근무계획!$M$3:$R$402,$A385,$G$3)&amp;"")+1,60))))</f>
        <v/>
      </c>
      <c r="I385" s="26">
        <f>IF(OR($C385="",$I$3=""),"",IF(INDEX(입력_인턴근무계획!$M$3:$R$402,$A385,$I$3)&amp;""="","",IF(LEFT(INDEX(입력_인턴근무계획!$M$3:$R$402,$A385,$I$3)&amp;"",1)="⚠",INDEX(입력_인턴근무계획!$M$3:$R$402,$A385,$I$3)&amp;"",LEFT(INDEX(입력_인턴근무계획!$M$3:$R$402,$A385,$I$3)&amp;"",FIND(" ",INDEX(입력_인턴근무계획!$M$3:$R$402,$A385,$I$3)&amp;"")-1))))</f>
        <v/>
      </c>
      <c r="J385" s="26">
        <f>IF(OR($C385="",$I$3=""),"",IF(INDEX(입력_인턴근무계획!$M$3:$R$402,$A385,$I$3)&amp;""="","",IF(LEFT(INDEX(입력_인턴근무계획!$M$3:$R$402,$A385,$I$3)&amp;"",1)="⚠","",MID(INDEX(입력_인턴근무계획!$M$3:$R$402,$A385,$I$3)&amp;"",FIND(" ",INDEX(입력_인턴근무계획!$M$3:$R$402,$A385,$I$3)&amp;"")+1,60))))</f>
        <v/>
      </c>
      <c r="K385" s="26">
        <f>IF($C385="","",INDEX(입력_인턴근무계획!$M$3:$M$402,$A385)&amp;"")</f>
        <v/>
      </c>
      <c r="L385" s="26">
        <f>IF($C385="","",INDEX(입력_인턴근무계획!$N$3:$N$402,$A385)&amp;"")</f>
        <v/>
      </c>
      <c r="M385" s="26">
        <f>IF($C385="","",INDEX(입력_인턴근무계획!$O$3:$O$402,$A385)&amp;"")</f>
        <v/>
      </c>
      <c r="N385" s="26">
        <f>IF($C385="","",INDEX(입력_인턴근무계획!$P$3:$P$402,$A385)&amp;"")</f>
        <v/>
      </c>
      <c r="O385" s="26">
        <f>IF($C385="","",INDEX(입력_인턴근무계획!$Q$3:$Q$402,$A385)&amp;"")</f>
        <v/>
      </c>
      <c r="P385" s="26">
        <f>IF($C385="","",INDEX(입력_인턴근무계획!$R$3:$R$402,$A385)&amp;"")</f>
        <v/>
      </c>
      <c r="Q385" s="26">
        <f>IF($C385="","",INDEX(입력_인턴근무계획!$T$3:$T$402,$A385))</f>
        <v/>
      </c>
    </row>
    <row r="386">
      <c r="A386" s="29" t="n">
        <v>381</v>
      </c>
      <c r="B386" s="26">
        <f>IF($C386="","",INDEX(입력_인턴근무계획!$B$3:$B$402,$A386))</f>
        <v/>
      </c>
      <c r="C386" s="26">
        <f>IFERROR(TRIM(INDEX(입력_인턴근무계획!$C$3:$C$402,$A386)&amp;""),"")</f>
        <v/>
      </c>
      <c r="D386" s="26">
        <f>IF($C386="","",INDEX(입력_인턴근무계획!$D$3:$D$402,$A386))</f>
        <v/>
      </c>
      <c r="E386" s="26">
        <f>IF($C386="","",IF(IFERROR(MATCH($D386,입력_기본자료!$B$2:$B$1001,0),IFERROR(MATCH($D386&amp;"",입력_기본자료!$B$2:$B$1001,0),IFERROR(MATCH(VALUE($D386),입력_기본자료!$B$2:$B$1001,0),0)))&gt;0,"확인","미등록"))</f>
        <v/>
      </c>
      <c r="F386" s="28">
        <f>IF($C386="","",INDEX(입력_인턴근무계획!$S$3:$S$402,$A386))</f>
        <v/>
      </c>
      <c r="G386" s="26">
        <f>IF(OR($C386="",$G$3=""),"",IF(INDEX(입력_인턴근무계획!$M$3:$R$402,$A386,$G$3)&amp;""="","",IF(LEFT(INDEX(입력_인턴근무계획!$M$3:$R$402,$A386,$G$3)&amp;"",1)="⚠",INDEX(입력_인턴근무계획!$M$3:$R$402,$A386,$G$3)&amp;"",LEFT(INDEX(입력_인턴근무계획!$M$3:$R$402,$A386,$G$3)&amp;"",FIND(" ",INDEX(입력_인턴근무계획!$M$3:$R$402,$A386,$G$3)&amp;"")-1))))</f>
        <v/>
      </c>
      <c r="H386" s="26">
        <f>IF(OR($C386="",$G$3=""),"",IF(INDEX(입력_인턴근무계획!$M$3:$R$402,$A386,$G$3)&amp;""="","",IF(LEFT(INDEX(입력_인턴근무계획!$M$3:$R$402,$A386,$G$3)&amp;"",1)="⚠","",MID(INDEX(입력_인턴근무계획!$M$3:$R$402,$A386,$G$3)&amp;"",FIND(" ",INDEX(입력_인턴근무계획!$M$3:$R$402,$A386,$G$3)&amp;"")+1,60))))</f>
        <v/>
      </c>
      <c r="I386" s="26">
        <f>IF(OR($C386="",$I$3=""),"",IF(INDEX(입력_인턴근무계획!$M$3:$R$402,$A386,$I$3)&amp;""="","",IF(LEFT(INDEX(입력_인턴근무계획!$M$3:$R$402,$A386,$I$3)&amp;"",1)="⚠",INDEX(입력_인턴근무계획!$M$3:$R$402,$A386,$I$3)&amp;"",LEFT(INDEX(입력_인턴근무계획!$M$3:$R$402,$A386,$I$3)&amp;"",FIND(" ",INDEX(입력_인턴근무계획!$M$3:$R$402,$A386,$I$3)&amp;"")-1))))</f>
        <v/>
      </c>
      <c r="J386" s="26">
        <f>IF(OR($C386="",$I$3=""),"",IF(INDEX(입력_인턴근무계획!$M$3:$R$402,$A386,$I$3)&amp;""="","",IF(LEFT(INDEX(입력_인턴근무계획!$M$3:$R$402,$A386,$I$3)&amp;"",1)="⚠","",MID(INDEX(입력_인턴근무계획!$M$3:$R$402,$A386,$I$3)&amp;"",FIND(" ",INDEX(입력_인턴근무계획!$M$3:$R$402,$A386,$I$3)&amp;"")+1,60))))</f>
        <v/>
      </c>
      <c r="K386" s="26">
        <f>IF($C386="","",INDEX(입력_인턴근무계획!$M$3:$M$402,$A386)&amp;"")</f>
        <v/>
      </c>
      <c r="L386" s="26">
        <f>IF($C386="","",INDEX(입력_인턴근무계획!$N$3:$N$402,$A386)&amp;"")</f>
        <v/>
      </c>
      <c r="M386" s="26">
        <f>IF($C386="","",INDEX(입력_인턴근무계획!$O$3:$O$402,$A386)&amp;"")</f>
        <v/>
      </c>
      <c r="N386" s="26">
        <f>IF($C386="","",INDEX(입력_인턴근무계획!$P$3:$P$402,$A386)&amp;"")</f>
        <v/>
      </c>
      <c r="O386" s="26">
        <f>IF($C386="","",INDEX(입력_인턴근무계획!$Q$3:$Q$402,$A386)&amp;"")</f>
        <v/>
      </c>
      <c r="P386" s="26">
        <f>IF($C386="","",INDEX(입력_인턴근무계획!$R$3:$R$402,$A386)&amp;"")</f>
        <v/>
      </c>
      <c r="Q386" s="26">
        <f>IF($C386="","",INDEX(입력_인턴근무계획!$T$3:$T$402,$A386))</f>
        <v/>
      </c>
    </row>
    <row r="387">
      <c r="A387" s="29" t="n">
        <v>382</v>
      </c>
      <c r="B387" s="26">
        <f>IF($C387="","",INDEX(입력_인턴근무계획!$B$3:$B$402,$A387))</f>
        <v/>
      </c>
      <c r="C387" s="26">
        <f>IFERROR(TRIM(INDEX(입력_인턴근무계획!$C$3:$C$402,$A387)&amp;""),"")</f>
        <v/>
      </c>
      <c r="D387" s="26">
        <f>IF($C387="","",INDEX(입력_인턴근무계획!$D$3:$D$402,$A387))</f>
        <v/>
      </c>
      <c r="E387" s="26">
        <f>IF($C387="","",IF(IFERROR(MATCH($D387,입력_기본자료!$B$2:$B$1001,0),IFERROR(MATCH($D387&amp;"",입력_기본자료!$B$2:$B$1001,0),IFERROR(MATCH(VALUE($D387),입력_기본자료!$B$2:$B$1001,0),0)))&gt;0,"확인","미등록"))</f>
        <v/>
      </c>
      <c r="F387" s="28">
        <f>IF($C387="","",INDEX(입력_인턴근무계획!$S$3:$S$402,$A387))</f>
        <v/>
      </c>
      <c r="G387" s="26">
        <f>IF(OR($C387="",$G$3=""),"",IF(INDEX(입력_인턴근무계획!$M$3:$R$402,$A387,$G$3)&amp;""="","",IF(LEFT(INDEX(입력_인턴근무계획!$M$3:$R$402,$A387,$G$3)&amp;"",1)="⚠",INDEX(입력_인턴근무계획!$M$3:$R$402,$A387,$G$3)&amp;"",LEFT(INDEX(입력_인턴근무계획!$M$3:$R$402,$A387,$G$3)&amp;"",FIND(" ",INDEX(입력_인턴근무계획!$M$3:$R$402,$A387,$G$3)&amp;"")-1))))</f>
        <v/>
      </c>
      <c r="H387" s="26">
        <f>IF(OR($C387="",$G$3=""),"",IF(INDEX(입력_인턴근무계획!$M$3:$R$402,$A387,$G$3)&amp;""="","",IF(LEFT(INDEX(입력_인턴근무계획!$M$3:$R$402,$A387,$G$3)&amp;"",1)="⚠","",MID(INDEX(입력_인턴근무계획!$M$3:$R$402,$A387,$G$3)&amp;"",FIND(" ",INDEX(입력_인턴근무계획!$M$3:$R$402,$A387,$G$3)&amp;"")+1,60))))</f>
        <v/>
      </c>
      <c r="I387" s="26">
        <f>IF(OR($C387="",$I$3=""),"",IF(INDEX(입력_인턴근무계획!$M$3:$R$402,$A387,$I$3)&amp;""="","",IF(LEFT(INDEX(입력_인턴근무계획!$M$3:$R$402,$A387,$I$3)&amp;"",1)="⚠",INDEX(입력_인턴근무계획!$M$3:$R$402,$A387,$I$3)&amp;"",LEFT(INDEX(입력_인턴근무계획!$M$3:$R$402,$A387,$I$3)&amp;"",FIND(" ",INDEX(입력_인턴근무계획!$M$3:$R$402,$A387,$I$3)&amp;"")-1))))</f>
        <v/>
      </c>
      <c r="J387" s="26">
        <f>IF(OR($C387="",$I$3=""),"",IF(INDEX(입력_인턴근무계획!$M$3:$R$402,$A387,$I$3)&amp;""="","",IF(LEFT(INDEX(입력_인턴근무계획!$M$3:$R$402,$A387,$I$3)&amp;"",1)="⚠","",MID(INDEX(입력_인턴근무계획!$M$3:$R$402,$A387,$I$3)&amp;"",FIND(" ",INDEX(입력_인턴근무계획!$M$3:$R$402,$A387,$I$3)&amp;"")+1,60))))</f>
        <v/>
      </c>
      <c r="K387" s="26">
        <f>IF($C387="","",INDEX(입력_인턴근무계획!$M$3:$M$402,$A387)&amp;"")</f>
        <v/>
      </c>
      <c r="L387" s="26">
        <f>IF($C387="","",INDEX(입력_인턴근무계획!$N$3:$N$402,$A387)&amp;"")</f>
        <v/>
      </c>
      <c r="M387" s="26">
        <f>IF($C387="","",INDEX(입력_인턴근무계획!$O$3:$O$402,$A387)&amp;"")</f>
        <v/>
      </c>
      <c r="N387" s="26">
        <f>IF($C387="","",INDEX(입력_인턴근무계획!$P$3:$P$402,$A387)&amp;"")</f>
        <v/>
      </c>
      <c r="O387" s="26">
        <f>IF($C387="","",INDEX(입력_인턴근무계획!$Q$3:$Q$402,$A387)&amp;"")</f>
        <v/>
      </c>
      <c r="P387" s="26">
        <f>IF($C387="","",INDEX(입력_인턴근무계획!$R$3:$R$402,$A387)&amp;"")</f>
        <v/>
      </c>
      <c r="Q387" s="26">
        <f>IF($C387="","",INDEX(입력_인턴근무계획!$T$3:$T$402,$A387))</f>
        <v/>
      </c>
    </row>
    <row r="388">
      <c r="A388" s="29" t="n">
        <v>383</v>
      </c>
      <c r="B388" s="26">
        <f>IF($C388="","",INDEX(입력_인턴근무계획!$B$3:$B$402,$A388))</f>
        <v/>
      </c>
      <c r="C388" s="26">
        <f>IFERROR(TRIM(INDEX(입력_인턴근무계획!$C$3:$C$402,$A388)&amp;""),"")</f>
        <v/>
      </c>
      <c r="D388" s="26">
        <f>IF($C388="","",INDEX(입력_인턴근무계획!$D$3:$D$402,$A388))</f>
        <v/>
      </c>
      <c r="E388" s="26">
        <f>IF($C388="","",IF(IFERROR(MATCH($D388,입력_기본자료!$B$2:$B$1001,0),IFERROR(MATCH($D388&amp;"",입력_기본자료!$B$2:$B$1001,0),IFERROR(MATCH(VALUE($D388),입력_기본자료!$B$2:$B$1001,0),0)))&gt;0,"확인","미등록"))</f>
        <v/>
      </c>
      <c r="F388" s="28">
        <f>IF($C388="","",INDEX(입력_인턴근무계획!$S$3:$S$402,$A388))</f>
        <v/>
      </c>
      <c r="G388" s="26">
        <f>IF(OR($C388="",$G$3=""),"",IF(INDEX(입력_인턴근무계획!$M$3:$R$402,$A388,$G$3)&amp;""="","",IF(LEFT(INDEX(입력_인턴근무계획!$M$3:$R$402,$A388,$G$3)&amp;"",1)="⚠",INDEX(입력_인턴근무계획!$M$3:$R$402,$A388,$G$3)&amp;"",LEFT(INDEX(입력_인턴근무계획!$M$3:$R$402,$A388,$G$3)&amp;"",FIND(" ",INDEX(입력_인턴근무계획!$M$3:$R$402,$A388,$G$3)&amp;"")-1))))</f>
        <v/>
      </c>
      <c r="H388" s="26">
        <f>IF(OR($C388="",$G$3=""),"",IF(INDEX(입력_인턴근무계획!$M$3:$R$402,$A388,$G$3)&amp;""="","",IF(LEFT(INDEX(입력_인턴근무계획!$M$3:$R$402,$A388,$G$3)&amp;"",1)="⚠","",MID(INDEX(입력_인턴근무계획!$M$3:$R$402,$A388,$G$3)&amp;"",FIND(" ",INDEX(입력_인턴근무계획!$M$3:$R$402,$A388,$G$3)&amp;"")+1,60))))</f>
        <v/>
      </c>
      <c r="I388" s="26">
        <f>IF(OR($C388="",$I$3=""),"",IF(INDEX(입력_인턴근무계획!$M$3:$R$402,$A388,$I$3)&amp;""="","",IF(LEFT(INDEX(입력_인턴근무계획!$M$3:$R$402,$A388,$I$3)&amp;"",1)="⚠",INDEX(입력_인턴근무계획!$M$3:$R$402,$A388,$I$3)&amp;"",LEFT(INDEX(입력_인턴근무계획!$M$3:$R$402,$A388,$I$3)&amp;"",FIND(" ",INDEX(입력_인턴근무계획!$M$3:$R$402,$A388,$I$3)&amp;"")-1))))</f>
        <v/>
      </c>
      <c r="J388" s="26">
        <f>IF(OR($C388="",$I$3=""),"",IF(INDEX(입력_인턴근무계획!$M$3:$R$402,$A388,$I$3)&amp;""="","",IF(LEFT(INDEX(입력_인턴근무계획!$M$3:$R$402,$A388,$I$3)&amp;"",1)="⚠","",MID(INDEX(입력_인턴근무계획!$M$3:$R$402,$A388,$I$3)&amp;"",FIND(" ",INDEX(입력_인턴근무계획!$M$3:$R$402,$A388,$I$3)&amp;"")+1,60))))</f>
        <v/>
      </c>
      <c r="K388" s="26">
        <f>IF($C388="","",INDEX(입력_인턴근무계획!$M$3:$M$402,$A388)&amp;"")</f>
        <v/>
      </c>
      <c r="L388" s="26">
        <f>IF($C388="","",INDEX(입력_인턴근무계획!$N$3:$N$402,$A388)&amp;"")</f>
        <v/>
      </c>
      <c r="M388" s="26">
        <f>IF($C388="","",INDEX(입력_인턴근무계획!$O$3:$O$402,$A388)&amp;"")</f>
        <v/>
      </c>
      <c r="N388" s="26">
        <f>IF($C388="","",INDEX(입력_인턴근무계획!$P$3:$P$402,$A388)&amp;"")</f>
        <v/>
      </c>
      <c r="O388" s="26">
        <f>IF($C388="","",INDEX(입력_인턴근무계획!$Q$3:$Q$402,$A388)&amp;"")</f>
        <v/>
      </c>
      <c r="P388" s="26">
        <f>IF($C388="","",INDEX(입력_인턴근무계획!$R$3:$R$402,$A388)&amp;"")</f>
        <v/>
      </c>
      <c r="Q388" s="26">
        <f>IF($C388="","",INDEX(입력_인턴근무계획!$T$3:$T$402,$A388))</f>
        <v/>
      </c>
    </row>
    <row r="389">
      <c r="A389" s="29" t="n">
        <v>384</v>
      </c>
      <c r="B389" s="26">
        <f>IF($C389="","",INDEX(입력_인턴근무계획!$B$3:$B$402,$A389))</f>
        <v/>
      </c>
      <c r="C389" s="26">
        <f>IFERROR(TRIM(INDEX(입력_인턴근무계획!$C$3:$C$402,$A389)&amp;""),"")</f>
        <v/>
      </c>
      <c r="D389" s="26">
        <f>IF($C389="","",INDEX(입력_인턴근무계획!$D$3:$D$402,$A389))</f>
        <v/>
      </c>
      <c r="E389" s="26">
        <f>IF($C389="","",IF(IFERROR(MATCH($D389,입력_기본자료!$B$2:$B$1001,0),IFERROR(MATCH($D389&amp;"",입력_기본자료!$B$2:$B$1001,0),IFERROR(MATCH(VALUE($D389),입력_기본자료!$B$2:$B$1001,0),0)))&gt;0,"확인","미등록"))</f>
        <v/>
      </c>
      <c r="F389" s="28">
        <f>IF($C389="","",INDEX(입력_인턴근무계획!$S$3:$S$402,$A389))</f>
        <v/>
      </c>
      <c r="G389" s="26">
        <f>IF(OR($C389="",$G$3=""),"",IF(INDEX(입력_인턴근무계획!$M$3:$R$402,$A389,$G$3)&amp;""="","",IF(LEFT(INDEX(입력_인턴근무계획!$M$3:$R$402,$A389,$G$3)&amp;"",1)="⚠",INDEX(입력_인턴근무계획!$M$3:$R$402,$A389,$G$3)&amp;"",LEFT(INDEX(입력_인턴근무계획!$M$3:$R$402,$A389,$G$3)&amp;"",FIND(" ",INDEX(입력_인턴근무계획!$M$3:$R$402,$A389,$G$3)&amp;"")-1))))</f>
        <v/>
      </c>
      <c r="H389" s="26">
        <f>IF(OR($C389="",$G$3=""),"",IF(INDEX(입력_인턴근무계획!$M$3:$R$402,$A389,$G$3)&amp;""="","",IF(LEFT(INDEX(입력_인턴근무계획!$M$3:$R$402,$A389,$G$3)&amp;"",1)="⚠","",MID(INDEX(입력_인턴근무계획!$M$3:$R$402,$A389,$G$3)&amp;"",FIND(" ",INDEX(입력_인턴근무계획!$M$3:$R$402,$A389,$G$3)&amp;"")+1,60))))</f>
        <v/>
      </c>
      <c r="I389" s="26">
        <f>IF(OR($C389="",$I$3=""),"",IF(INDEX(입력_인턴근무계획!$M$3:$R$402,$A389,$I$3)&amp;""="","",IF(LEFT(INDEX(입력_인턴근무계획!$M$3:$R$402,$A389,$I$3)&amp;"",1)="⚠",INDEX(입력_인턴근무계획!$M$3:$R$402,$A389,$I$3)&amp;"",LEFT(INDEX(입력_인턴근무계획!$M$3:$R$402,$A389,$I$3)&amp;"",FIND(" ",INDEX(입력_인턴근무계획!$M$3:$R$402,$A389,$I$3)&amp;"")-1))))</f>
        <v/>
      </c>
      <c r="J389" s="26">
        <f>IF(OR($C389="",$I$3=""),"",IF(INDEX(입력_인턴근무계획!$M$3:$R$402,$A389,$I$3)&amp;""="","",IF(LEFT(INDEX(입력_인턴근무계획!$M$3:$R$402,$A389,$I$3)&amp;"",1)="⚠","",MID(INDEX(입력_인턴근무계획!$M$3:$R$402,$A389,$I$3)&amp;"",FIND(" ",INDEX(입력_인턴근무계획!$M$3:$R$402,$A389,$I$3)&amp;"")+1,60))))</f>
        <v/>
      </c>
      <c r="K389" s="26">
        <f>IF($C389="","",INDEX(입력_인턴근무계획!$M$3:$M$402,$A389)&amp;"")</f>
        <v/>
      </c>
      <c r="L389" s="26">
        <f>IF($C389="","",INDEX(입력_인턴근무계획!$N$3:$N$402,$A389)&amp;"")</f>
        <v/>
      </c>
      <c r="M389" s="26">
        <f>IF($C389="","",INDEX(입력_인턴근무계획!$O$3:$O$402,$A389)&amp;"")</f>
        <v/>
      </c>
      <c r="N389" s="26">
        <f>IF($C389="","",INDEX(입력_인턴근무계획!$P$3:$P$402,$A389)&amp;"")</f>
        <v/>
      </c>
      <c r="O389" s="26">
        <f>IF($C389="","",INDEX(입력_인턴근무계획!$Q$3:$Q$402,$A389)&amp;"")</f>
        <v/>
      </c>
      <c r="P389" s="26">
        <f>IF($C389="","",INDEX(입력_인턴근무계획!$R$3:$R$402,$A389)&amp;"")</f>
        <v/>
      </c>
      <c r="Q389" s="26">
        <f>IF($C389="","",INDEX(입력_인턴근무계획!$T$3:$T$402,$A389))</f>
        <v/>
      </c>
    </row>
    <row r="390">
      <c r="A390" s="29" t="n">
        <v>385</v>
      </c>
      <c r="B390" s="26">
        <f>IF($C390="","",INDEX(입력_인턴근무계획!$B$3:$B$402,$A390))</f>
        <v/>
      </c>
      <c r="C390" s="26">
        <f>IFERROR(TRIM(INDEX(입력_인턴근무계획!$C$3:$C$402,$A390)&amp;""),"")</f>
        <v/>
      </c>
      <c r="D390" s="26">
        <f>IF($C390="","",INDEX(입력_인턴근무계획!$D$3:$D$402,$A390))</f>
        <v/>
      </c>
      <c r="E390" s="26">
        <f>IF($C390="","",IF(IFERROR(MATCH($D390,입력_기본자료!$B$2:$B$1001,0),IFERROR(MATCH($D390&amp;"",입력_기본자료!$B$2:$B$1001,0),IFERROR(MATCH(VALUE($D390),입력_기본자료!$B$2:$B$1001,0),0)))&gt;0,"확인","미등록"))</f>
        <v/>
      </c>
      <c r="F390" s="28">
        <f>IF($C390="","",INDEX(입력_인턴근무계획!$S$3:$S$402,$A390))</f>
        <v/>
      </c>
      <c r="G390" s="26">
        <f>IF(OR($C390="",$G$3=""),"",IF(INDEX(입력_인턴근무계획!$M$3:$R$402,$A390,$G$3)&amp;""="","",IF(LEFT(INDEX(입력_인턴근무계획!$M$3:$R$402,$A390,$G$3)&amp;"",1)="⚠",INDEX(입력_인턴근무계획!$M$3:$R$402,$A390,$G$3)&amp;"",LEFT(INDEX(입력_인턴근무계획!$M$3:$R$402,$A390,$G$3)&amp;"",FIND(" ",INDEX(입력_인턴근무계획!$M$3:$R$402,$A390,$G$3)&amp;"")-1))))</f>
        <v/>
      </c>
      <c r="H390" s="26">
        <f>IF(OR($C390="",$G$3=""),"",IF(INDEX(입력_인턴근무계획!$M$3:$R$402,$A390,$G$3)&amp;""="","",IF(LEFT(INDEX(입력_인턴근무계획!$M$3:$R$402,$A390,$G$3)&amp;"",1)="⚠","",MID(INDEX(입력_인턴근무계획!$M$3:$R$402,$A390,$G$3)&amp;"",FIND(" ",INDEX(입력_인턴근무계획!$M$3:$R$402,$A390,$G$3)&amp;"")+1,60))))</f>
        <v/>
      </c>
      <c r="I390" s="26">
        <f>IF(OR($C390="",$I$3=""),"",IF(INDEX(입력_인턴근무계획!$M$3:$R$402,$A390,$I$3)&amp;""="","",IF(LEFT(INDEX(입력_인턴근무계획!$M$3:$R$402,$A390,$I$3)&amp;"",1)="⚠",INDEX(입력_인턴근무계획!$M$3:$R$402,$A390,$I$3)&amp;"",LEFT(INDEX(입력_인턴근무계획!$M$3:$R$402,$A390,$I$3)&amp;"",FIND(" ",INDEX(입력_인턴근무계획!$M$3:$R$402,$A390,$I$3)&amp;"")-1))))</f>
        <v/>
      </c>
      <c r="J390" s="26">
        <f>IF(OR($C390="",$I$3=""),"",IF(INDEX(입력_인턴근무계획!$M$3:$R$402,$A390,$I$3)&amp;""="","",IF(LEFT(INDEX(입력_인턴근무계획!$M$3:$R$402,$A390,$I$3)&amp;"",1)="⚠","",MID(INDEX(입력_인턴근무계획!$M$3:$R$402,$A390,$I$3)&amp;"",FIND(" ",INDEX(입력_인턴근무계획!$M$3:$R$402,$A390,$I$3)&amp;"")+1,60))))</f>
        <v/>
      </c>
      <c r="K390" s="26">
        <f>IF($C390="","",INDEX(입력_인턴근무계획!$M$3:$M$402,$A390)&amp;"")</f>
        <v/>
      </c>
      <c r="L390" s="26">
        <f>IF($C390="","",INDEX(입력_인턴근무계획!$N$3:$N$402,$A390)&amp;"")</f>
        <v/>
      </c>
      <c r="M390" s="26">
        <f>IF($C390="","",INDEX(입력_인턴근무계획!$O$3:$O$402,$A390)&amp;"")</f>
        <v/>
      </c>
      <c r="N390" s="26">
        <f>IF($C390="","",INDEX(입력_인턴근무계획!$P$3:$P$402,$A390)&amp;"")</f>
        <v/>
      </c>
      <c r="O390" s="26">
        <f>IF($C390="","",INDEX(입력_인턴근무계획!$Q$3:$Q$402,$A390)&amp;"")</f>
        <v/>
      </c>
      <c r="P390" s="26">
        <f>IF($C390="","",INDEX(입력_인턴근무계획!$R$3:$R$402,$A390)&amp;"")</f>
        <v/>
      </c>
      <c r="Q390" s="26">
        <f>IF($C390="","",INDEX(입력_인턴근무계획!$T$3:$T$402,$A390))</f>
        <v/>
      </c>
    </row>
    <row r="391">
      <c r="A391" s="29" t="n">
        <v>386</v>
      </c>
      <c r="B391" s="26">
        <f>IF($C391="","",INDEX(입력_인턴근무계획!$B$3:$B$402,$A391))</f>
        <v/>
      </c>
      <c r="C391" s="26">
        <f>IFERROR(TRIM(INDEX(입력_인턴근무계획!$C$3:$C$402,$A391)&amp;""),"")</f>
        <v/>
      </c>
      <c r="D391" s="26">
        <f>IF($C391="","",INDEX(입력_인턴근무계획!$D$3:$D$402,$A391))</f>
        <v/>
      </c>
      <c r="E391" s="26">
        <f>IF($C391="","",IF(IFERROR(MATCH($D391,입력_기본자료!$B$2:$B$1001,0),IFERROR(MATCH($D391&amp;"",입력_기본자료!$B$2:$B$1001,0),IFERROR(MATCH(VALUE($D391),입력_기본자료!$B$2:$B$1001,0),0)))&gt;0,"확인","미등록"))</f>
        <v/>
      </c>
      <c r="F391" s="28">
        <f>IF($C391="","",INDEX(입력_인턴근무계획!$S$3:$S$402,$A391))</f>
        <v/>
      </c>
      <c r="G391" s="26">
        <f>IF(OR($C391="",$G$3=""),"",IF(INDEX(입력_인턴근무계획!$M$3:$R$402,$A391,$G$3)&amp;""="","",IF(LEFT(INDEX(입력_인턴근무계획!$M$3:$R$402,$A391,$G$3)&amp;"",1)="⚠",INDEX(입력_인턴근무계획!$M$3:$R$402,$A391,$G$3)&amp;"",LEFT(INDEX(입력_인턴근무계획!$M$3:$R$402,$A391,$G$3)&amp;"",FIND(" ",INDEX(입력_인턴근무계획!$M$3:$R$402,$A391,$G$3)&amp;"")-1))))</f>
        <v/>
      </c>
      <c r="H391" s="26">
        <f>IF(OR($C391="",$G$3=""),"",IF(INDEX(입력_인턴근무계획!$M$3:$R$402,$A391,$G$3)&amp;""="","",IF(LEFT(INDEX(입력_인턴근무계획!$M$3:$R$402,$A391,$G$3)&amp;"",1)="⚠","",MID(INDEX(입력_인턴근무계획!$M$3:$R$402,$A391,$G$3)&amp;"",FIND(" ",INDEX(입력_인턴근무계획!$M$3:$R$402,$A391,$G$3)&amp;"")+1,60))))</f>
        <v/>
      </c>
      <c r="I391" s="26">
        <f>IF(OR($C391="",$I$3=""),"",IF(INDEX(입력_인턴근무계획!$M$3:$R$402,$A391,$I$3)&amp;""="","",IF(LEFT(INDEX(입력_인턴근무계획!$M$3:$R$402,$A391,$I$3)&amp;"",1)="⚠",INDEX(입력_인턴근무계획!$M$3:$R$402,$A391,$I$3)&amp;"",LEFT(INDEX(입력_인턴근무계획!$M$3:$R$402,$A391,$I$3)&amp;"",FIND(" ",INDEX(입력_인턴근무계획!$M$3:$R$402,$A391,$I$3)&amp;"")-1))))</f>
        <v/>
      </c>
      <c r="J391" s="26">
        <f>IF(OR($C391="",$I$3=""),"",IF(INDEX(입력_인턴근무계획!$M$3:$R$402,$A391,$I$3)&amp;""="","",IF(LEFT(INDEX(입력_인턴근무계획!$M$3:$R$402,$A391,$I$3)&amp;"",1)="⚠","",MID(INDEX(입력_인턴근무계획!$M$3:$R$402,$A391,$I$3)&amp;"",FIND(" ",INDEX(입력_인턴근무계획!$M$3:$R$402,$A391,$I$3)&amp;"")+1,60))))</f>
        <v/>
      </c>
      <c r="K391" s="26">
        <f>IF($C391="","",INDEX(입력_인턴근무계획!$M$3:$M$402,$A391)&amp;"")</f>
        <v/>
      </c>
      <c r="L391" s="26">
        <f>IF($C391="","",INDEX(입력_인턴근무계획!$N$3:$N$402,$A391)&amp;"")</f>
        <v/>
      </c>
      <c r="M391" s="26">
        <f>IF($C391="","",INDEX(입력_인턴근무계획!$O$3:$O$402,$A391)&amp;"")</f>
        <v/>
      </c>
      <c r="N391" s="26">
        <f>IF($C391="","",INDEX(입력_인턴근무계획!$P$3:$P$402,$A391)&amp;"")</f>
        <v/>
      </c>
      <c r="O391" s="26">
        <f>IF($C391="","",INDEX(입력_인턴근무계획!$Q$3:$Q$402,$A391)&amp;"")</f>
        <v/>
      </c>
      <c r="P391" s="26">
        <f>IF($C391="","",INDEX(입력_인턴근무계획!$R$3:$R$402,$A391)&amp;"")</f>
        <v/>
      </c>
      <c r="Q391" s="26">
        <f>IF($C391="","",INDEX(입력_인턴근무계획!$T$3:$T$402,$A391))</f>
        <v/>
      </c>
    </row>
    <row r="392">
      <c r="A392" s="29" t="n">
        <v>387</v>
      </c>
      <c r="B392" s="26">
        <f>IF($C392="","",INDEX(입력_인턴근무계획!$B$3:$B$402,$A392))</f>
        <v/>
      </c>
      <c r="C392" s="26">
        <f>IFERROR(TRIM(INDEX(입력_인턴근무계획!$C$3:$C$402,$A392)&amp;""),"")</f>
        <v/>
      </c>
      <c r="D392" s="26">
        <f>IF($C392="","",INDEX(입력_인턴근무계획!$D$3:$D$402,$A392))</f>
        <v/>
      </c>
      <c r="E392" s="26">
        <f>IF($C392="","",IF(IFERROR(MATCH($D392,입력_기본자료!$B$2:$B$1001,0),IFERROR(MATCH($D392&amp;"",입력_기본자료!$B$2:$B$1001,0),IFERROR(MATCH(VALUE($D392),입력_기본자료!$B$2:$B$1001,0),0)))&gt;0,"확인","미등록"))</f>
        <v/>
      </c>
      <c r="F392" s="28">
        <f>IF($C392="","",INDEX(입력_인턴근무계획!$S$3:$S$402,$A392))</f>
        <v/>
      </c>
      <c r="G392" s="26">
        <f>IF(OR($C392="",$G$3=""),"",IF(INDEX(입력_인턴근무계획!$M$3:$R$402,$A392,$G$3)&amp;""="","",IF(LEFT(INDEX(입력_인턴근무계획!$M$3:$R$402,$A392,$G$3)&amp;"",1)="⚠",INDEX(입력_인턴근무계획!$M$3:$R$402,$A392,$G$3)&amp;"",LEFT(INDEX(입력_인턴근무계획!$M$3:$R$402,$A392,$G$3)&amp;"",FIND(" ",INDEX(입력_인턴근무계획!$M$3:$R$402,$A392,$G$3)&amp;"")-1))))</f>
        <v/>
      </c>
      <c r="H392" s="26">
        <f>IF(OR($C392="",$G$3=""),"",IF(INDEX(입력_인턴근무계획!$M$3:$R$402,$A392,$G$3)&amp;""="","",IF(LEFT(INDEX(입력_인턴근무계획!$M$3:$R$402,$A392,$G$3)&amp;"",1)="⚠","",MID(INDEX(입력_인턴근무계획!$M$3:$R$402,$A392,$G$3)&amp;"",FIND(" ",INDEX(입력_인턴근무계획!$M$3:$R$402,$A392,$G$3)&amp;"")+1,60))))</f>
        <v/>
      </c>
      <c r="I392" s="26">
        <f>IF(OR($C392="",$I$3=""),"",IF(INDEX(입력_인턴근무계획!$M$3:$R$402,$A392,$I$3)&amp;""="","",IF(LEFT(INDEX(입력_인턴근무계획!$M$3:$R$402,$A392,$I$3)&amp;"",1)="⚠",INDEX(입력_인턴근무계획!$M$3:$R$402,$A392,$I$3)&amp;"",LEFT(INDEX(입력_인턴근무계획!$M$3:$R$402,$A392,$I$3)&amp;"",FIND(" ",INDEX(입력_인턴근무계획!$M$3:$R$402,$A392,$I$3)&amp;"")-1))))</f>
        <v/>
      </c>
      <c r="J392" s="26">
        <f>IF(OR($C392="",$I$3=""),"",IF(INDEX(입력_인턴근무계획!$M$3:$R$402,$A392,$I$3)&amp;""="","",IF(LEFT(INDEX(입력_인턴근무계획!$M$3:$R$402,$A392,$I$3)&amp;"",1)="⚠","",MID(INDEX(입력_인턴근무계획!$M$3:$R$402,$A392,$I$3)&amp;"",FIND(" ",INDEX(입력_인턴근무계획!$M$3:$R$402,$A392,$I$3)&amp;"")+1,60))))</f>
        <v/>
      </c>
      <c r="K392" s="26">
        <f>IF($C392="","",INDEX(입력_인턴근무계획!$M$3:$M$402,$A392)&amp;"")</f>
        <v/>
      </c>
      <c r="L392" s="26">
        <f>IF($C392="","",INDEX(입력_인턴근무계획!$N$3:$N$402,$A392)&amp;"")</f>
        <v/>
      </c>
      <c r="M392" s="26">
        <f>IF($C392="","",INDEX(입력_인턴근무계획!$O$3:$O$402,$A392)&amp;"")</f>
        <v/>
      </c>
      <c r="N392" s="26">
        <f>IF($C392="","",INDEX(입력_인턴근무계획!$P$3:$P$402,$A392)&amp;"")</f>
        <v/>
      </c>
      <c r="O392" s="26">
        <f>IF($C392="","",INDEX(입력_인턴근무계획!$Q$3:$Q$402,$A392)&amp;"")</f>
        <v/>
      </c>
      <c r="P392" s="26">
        <f>IF($C392="","",INDEX(입력_인턴근무계획!$R$3:$R$402,$A392)&amp;"")</f>
        <v/>
      </c>
      <c r="Q392" s="26">
        <f>IF($C392="","",INDEX(입력_인턴근무계획!$T$3:$T$402,$A392))</f>
        <v/>
      </c>
    </row>
    <row r="393">
      <c r="A393" s="29" t="n">
        <v>388</v>
      </c>
      <c r="B393" s="26">
        <f>IF($C393="","",INDEX(입력_인턴근무계획!$B$3:$B$402,$A393))</f>
        <v/>
      </c>
      <c r="C393" s="26">
        <f>IFERROR(TRIM(INDEX(입력_인턴근무계획!$C$3:$C$402,$A393)&amp;""),"")</f>
        <v/>
      </c>
      <c r="D393" s="26">
        <f>IF($C393="","",INDEX(입력_인턴근무계획!$D$3:$D$402,$A393))</f>
        <v/>
      </c>
      <c r="E393" s="26">
        <f>IF($C393="","",IF(IFERROR(MATCH($D393,입력_기본자료!$B$2:$B$1001,0),IFERROR(MATCH($D393&amp;"",입력_기본자료!$B$2:$B$1001,0),IFERROR(MATCH(VALUE($D393),입력_기본자료!$B$2:$B$1001,0),0)))&gt;0,"확인","미등록"))</f>
        <v/>
      </c>
      <c r="F393" s="28">
        <f>IF($C393="","",INDEX(입력_인턴근무계획!$S$3:$S$402,$A393))</f>
        <v/>
      </c>
      <c r="G393" s="26">
        <f>IF(OR($C393="",$G$3=""),"",IF(INDEX(입력_인턴근무계획!$M$3:$R$402,$A393,$G$3)&amp;""="","",IF(LEFT(INDEX(입력_인턴근무계획!$M$3:$R$402,$A393,$G$3)&amp;"",1)="⚠",INDEX(입력_인턴근무계획!$M$3:$R$402,$A393,$G$3)&amp;"",LEFT(INDEX(입력_인턴근무계획!$M$3:$R$402,$A393,$G$3)&amp;"",FIND(" ",INDEX(입력_인턴근무계획!$M$3:$R$402,$A393,$G$3)&amp;"")-1))))</f>
        <v/>
      </c>
      <c r="H393" s="26">
        <f>IF(OR($C393="",$G$3=""),"",IF(INDEX(입력_인턴근무계획!$M$3:$R$402,$A393,$G$3)&amp;""="","",IF(LEFT(INDEX(입력_인턴근무계획!$M$3:$R$402,$A393,$G$3)&amp;"",1)="⚠","",MID(INDEX(입력_인턴근무계획!$M$3:$R$402,$A393,$G$3)&amp;"",FIND(" ",INDEX(입력_인턴근무계획!$M$3:$R$402,$A393,$G$3)&amp;"")+1,60))))</f>
        <v/>
      </c>
      <c r="I393" s="26">
        <f>IF(OR($C393="",$I$3=""),"",IF(INDEX(입력_인턴근무계획!$M$3:$R$402,$A393,$I$3)&amp;""="","",IF(LEFT(INDEX(입력_인턴근무계획!$M$3:$R$402,$A393,$I$3)&amp;"",1)="⚠",INDEX(입력_인턴근무계획!$M$3:$R$402,$A393,$I$3)&amp;"",LEFT(INDEX(입력_인턴근무계획!$M$3:$R$402,$A393,$I$3)&amp;"",FIND(" ",INDEX(입력_인턴근무계획!$M$3:$R$402,$A393,$I$3)&amp;"")-1))))</f>
        <v/>
      </c>
      <c r="J393" s="26">
        <f>IF(OR($C393="",$I$3=""),"",IF(INDEX(입력_인턴근무계획!$M$3:$R$402,$A393,$I$3)&amp;""="","",IF(LEFT(INDEX(입력_인턴근무계획!$M$3:$R$402,$A393,$I$3)&amp;"",1)="⚠","",MID(INDEX(입력_인턴근무계획!$M$3:$R$402,$A393,$I$3)&amp;"",FIND(" ",INDEX(입력_인턴근무계획!$M$3:$R$402,$A393,$I$3)&amp;"")+1,60))))</f>
        <v/>
      </c>
      <c r="K393" s="26">
        <f>IF($C393="","",INDEX(입력_인턴근무계획!$M$3:$M$402,$A393)&amp;"")</f>
        <v/>
      </c>
      <c r="L393" s="26">
        <f>IF($C393="","",INDEX(입력_인턴근무계획!$N$3:$N$402,$A393)&amp;"")</f>
        <v/>
      </c>
      <c r="M393" s="26">
        <f>IF($C393="","",INDEX(입력_인턴근무계획!$O$3:$O$402,$A393)&amp;"")</f>
        <v/>
      </c>
      <c r="N393" s="26">
        <f>IF($C393="","",INDEX(입력_인턴근무계획!$P$3:$P$402,$A393)&amp;"")</f>
        <v/>
      </c>
      <c r="O393" s="26">
        <f>IF($C393="","",INDEX(입력_인턴근무계획!$Q$3:$Q$402,$A393)&amp;"")</f>
        <v/>
      </c>
      <c r="P393" s="26">
        <f>IF($C393="","",INDEX(입력_인턴근무계획!$R$3:$R$402,$A393)&amp;"")</f>
        <v/>
      </c>
      <c r="Q393" s="26">
        <f>IF($C393="","",INDEX(입력_인턴근무계획!$T$3:$T$402,$A393))</f>
        <v/>
      </c>
    </row>
    <row r="394">
      <c r="A394" s="29" t="n">
        <v>389</v>
      </c>
      <c r="B394" s="26">
        <f>IF($C394="","",INDEX(입력_인턴근무계획!$B$3:$B$402,$A394))</f>
        <v/>
      </c>
      <c r="C394" s="26">
        <f>IFERROR(TRIM(INDEX(입력_인턴근무계획!$C$3:$C$402,$A394)&amp;""),"")</f>
        <v/>
      </c>
      <c r="D394" s="26">
        <f>IF($C394="","",INDEX(입력_인턴근무계획!$D$3:$D$402,$A394))</f>
        <v/>
      </c>
      <c r="E394" s="26">
        <f>IF($C394="","",IF(IFERROR(MATCH($D394,입력_기본자료!$B$2:$B$1001,0),IFERROR(MATCH($D394&amp;"",입력_기본자료!$B$2:$B$1001,0),IFERROR(MATCH(VALUE($D394),입력_기본자료!$B$2:$B$1001,0),0)))&gt;0,"확인","미등록"))</f>
        <v/>
      </c>
      <c r="F394" s="28">
        <f>IF($C394="","",INDEX(입력_인턴근무계획!$S$3:$S$402,$A394))</f>
        <v/>
      </c>
      <c r="G394" s="26">
        <f>IF(OR($C394="",$G$3=""),"",IF(INDEX(입력_인턴근무계획!$M$3:$R$402,$A394,$G$3)&amp;""="","",IF(LEFT(INDEX(입력_인턴근무계획!$M$3:$R$402,$A394,$G$3)&amp;"",1)="⚠",INDEX(입력_인턴근무계획!$M$3:$R$402,$A394,$G$3)&amp;"",LEFT(INDEX(입력_인턴근무계획!$M$3:$R$402,$A394,$G$3)&amp;"",FIND(" ",INDEX(입력_인턴근무계획!$M$3:$R$402,$A394,$G$3)&amp;"")-1))))</f>
        <v/>
      </c>
      <c r="H394" s="26">
        <f>IF(OR($C394="",$G$3=""),"",IF(INDEX(입력_인턴근무계획!$M$3:$R$402,$A394,$G$3)&amp;""="","",IF(LEFT(INDEX(입력_인턴근무계획!$M$3:$R$402,$A394,$G$3)&amp;"",1)="⚠","",MID(INDEX(입력_인턴근무계획!$M$3:$R$402,$A394,$G$3)&amp;"",FIND(" ",INDEX(입력_인턴근무계획!$M$3:$R$402,$A394,$G$3)&amp;"")+1,60))))</f>
        <v/>
      </c>
      <c r="I394" s="26">
        <f>IF(OR($C394="",$I$3=""),"",IF(INDEX(입력_인턴근무계획!$M$3:$R$402,$A394,$I$3)&amp;""="","",IF(LEFT(INDEX(입력_인턴근무계획!$M$3:$R$402,$A394,$I$3)&amp;"",1)="⚠",INDEX(입력_인턴근무계획!$M$3:$R$402,$A394,$I$3)&amp;"",LEFT(INDEX(입력_인턴근무계획!$M$3:$R$402,$A394,$I$3)&amp;"",FIND(" ",INDEX(입력_인턴근무계획!$M$3:$R$402,$A394,$I$3)&amp;"")-1))))</f>
        <v/>
      </c>
      <c r="J394" s="26">
        <f>IF(OR($C394="",$I$3=""),"",IF(INDEX(입력_인턴근무계획!$M$3:$R$402,$A394,$I$3)&amp;""="","",IF(LEFT(INDEX(입력_인턴근무계획!$M$3:$R$402,$A394,$I$3)&amp;"",1)="⚠","",MID(INDEX(입력_인턴근무계획!$M$3:$R$402,$A394,$I$3)&amp;"",FIND(" ",INDEX(입력_인턴근무계획!$M$3:$R$402,$A394,$I$3)&amp;"")+1,60))))</f>
        <v/>
      </c>
      <c r="K394" s="26">
        <f>IF($C394="","",INDEX(입력_인턴근무계획!$M$3:$M$402,$A394)&amp;"")</f>
        <v/>
      </c>
      <c r="L394" s="26">
        <f>IF($C394="","",INDEX(입력_인턴근무계획!$N$3:$N$402,$A394)&amp;"")</f>
        <v/>
      </c>
      <c r="M394" s="26">
        <f>IF($C394="","",INDEX(입력_인턴근무계획!$O$3:$O$402,$A394)&amp;"")</f>
        <v/>
      </c>
      <c r="N394" s="26">
        <f>IF($C394="","",INDEX(입력_인턴근무계획!$P$3:$P$402,$A394)&amp;"")</f>
        <v/>
      </c>
      <c r="O394" s="26">
        <f>IF($C394="","",INDEX(입력_인턴근무계획!$Q$3:$Q$402,$A394)&amp;"")</f>
        <v/>
      </c>
      <c r="P394" s="26">
        <f>IF($C394="","",INDEX(입력_인턴근무계획!$R$3:$R$402,$A394)&amp;"")</f>
        <v/>
      </c>
      <c r="Q394" s="26">
        <f>IF($C394="","",INDEX(입력_인턴근무계획!$T$3:$T$402,$A394))</f>
        <v/>
      </c>
    </row>
    <row r="395">
      <c r="A395" s="29" t="n">
        <v>390</v>
      </c>
      <c r="B395" s="26">
        <f>IF($C395="","",INDEX(입력_인턴근무계획!$B$3:$B$402,$A395))</f>
        <v/>
      </c>
      <c r="C395" s="26">
        <f>IFERROR(TRIM(INDEX(입력_인턴근무계획!$C$3:$C$402,$A395)&amp;""),"")</f>
        <v/>
      </c>
      <c r="D395" s="26">
        <f>IF($C395="","",INDEX(입력_인턴근무계획!$D$3:$D$402,$A395))</f>
        <v/>
      </c>
      <c r="E395" s="26">
        <f>IF($C395="","",IF(IFERROR(MATCH($D395,입력_기본자료!$B$2:$B$1001,0),IFERROR(MATCH($D395&amp;"",입력_기본자료!$B$2:$B$1001,0),IFERROR(MATCH(VALUE($D395),입력_기본자료!$B$2:$B$1001,0),0)))&gt;0,"확인","미등록"))</f>
        <v/>
      </c>
      <c r="F395" s="28">
        <f>IF($C395="","",INDEX(입력_인턴근무계획!$S$3:$S$402,$A395))</f>
        <v/>
      </c>
      <c r="G395" s="26">
        <f>IF(OR($C395="",$G$3=""),"",IF(INDEX(입력_인턴근무계획!$M$3:$R$402,$A395,$G$3)&amp;""="","",IF(LEFT(INDEX(입력_인턴근무계획!$M$3:$R$402,$A395,$G$3)&amp;"",1)="⚠",INDEX(입력_인턴근무계획!$M$3:$R$402,$A395,$G$3)&amp;"",LEFT(INDEX(입력_인턴근무계획!$M$3:$R$402,$A395,$G$3)&amp;"",FIND(" ",INDEX(입력_인턴근무계획!$M$3:$R$402,$A395,$G$3)&amp;"")-1))))</f>
        <v/>
      </c>
      <c r="H395" s="26">
        <f>IF(OR($C395="",$G$3=""),"",IF(INDEX(입력_인턴근무계획!$M$3:$R$402,$A395,$G$3)&amp;""="","",IF(LEFT(INDEX(입력_인턴근무계획!$M$3:$R$402,$A395,$G$3)&amp;"",1)="⚠","",MID(INDEX(입력_인턴근무계획!$M$3:$R$402,$A395,$G$3)&amp;"",FIND(" ",INDEX(입력_인턴근무계획!$M$3:$R$402,$A395,$G$3)&amp;"")+1,60))))</f>
        <v/>
      </c>
      <c r="I395" s="26">
        <f>IF(OR($C395="",$I$3=""),"",IF(INDEX(입력_인턴근무계획!$M$3:$R$402,$A395,$I$3)&amp;""="","",IF(LEFT(INDEX(입력_인턴근무계획!$M$3:$R$402,$A395,$I$3)&amp;"",1)="⚠",INDEX(입력_인턴근무계획!$M$3:$R$402,$A395,$I$3)&amp;"",LEFT(INDEX(입력_인턴근무계획!$M$3:$R$402,$A395,$I$3)&amp;"",FIND(" ",INDEX(입력_인턴근무계획!$M$3:$R$402,$A395,$I$3)&amp;"")-1))))</f>
        <v/>
      </c>
      <c r="J395" s="26">
        <f>IF(OR($C395="",$I$3=""),"",IF(INDEX(입력_인턴근무계획!$M$3:$R$402,$A395,$I$3)&amp;""="","",IF(LEFT(INDEX(입력_인턴근무계획!$M$3:$R$402,$A395,$I$3)&amp;"",1)="⚠","",MID(INDEX(입력_인턴근무계획!$M$3:$R$402,$A395,$I$3)&amp;"",FIND(" ",INDEX(입력_인턴근무계획!$M$3:$R$402,$A395,$I$3)&amp;"")+1,60))))</f>
        <v/>
      </c>
      <c r="K395" s="26">
        <f>IF($C395="","",INDEX(입력_인턴근무계획!$M$3:$M$402,$A395)&amp;"")</f>
        <v/>
      </c>
      <c r="L395" s="26">
        <f>IF($C395="","",INDEX(입력_인턴근무계획!$N$3:$N$402,$A395)&amp;"")</f>
        <v/>
      </c>
      <c r="M395" s="26">
        <f>IF($C395="","",INDEX(입력_인턴근무계획!$O$3:$O$402,$A395)&amp;"")</f>
        <v/>
      </c>
      <c r="N395" s="26">
        <f>IF($C395="","",INDEX(입력_인턴근무계획!$P$3:$P$402,$A395)&amp;"")</f>
        <v/>
      </c>
      <c r="O395" s="26">
        <f>IF($C395="","",INDEX(입력_인턴근무계획!$Q$3:$Q$402,$A395)&amp;"")</f>
        <v/>
      </c>
      <c r="P395" s="26">
        <f>IF($C395="","",INDEX(입력_인턴근무계획!$R$3:$R$402,$A395)&amp;"")</f>
        <v/>
      </c>
      <c r="Q395" s="26">
        <f>IF($C395="","",INDEX(입력_인턴근무계획!$T$3:$T$402,$A395))</f>
        <v/>
      </c>
    </row>
    <row r="396">
      <c r="A396" s="29" t="n">
        <v>391</v>
      </c>
      <c r="B396" s="26">
        <f>IF($C396="","",INDEX(입력_인턴근무계획!$B$3:$B$402,$A396))</f>
        <v/>
      </c>
      <c r="C396" s="26">
        <f>IFERROR(TRIM(INDEX(입력_인턴근무계획!$C$3:$C$402,$A396)&amp;""),"")</f>
        <v/>
      </c>
      <c r="D396" s="26">
        <f>IF($C396="","",INDEX(입력_인턴근무계획!$D$3:$D$402,$A396))</f>
        <v/>
      </c>
      <c r="E396" s="26">
        <f>IF($C396="","",IF(IFERROR(MATCH($D396,입력_기본자료!$B$2:$B$1001,0),IFERROR(MATCH($D396&amp;"",입력_기본자료!$B$2:$B$1001,0),IFERROR(MATCH(VALUE($D396),입력_기본자료!$B$2:$B$1001,0),0)))&gt;0,"확인","미등록"))</f>
        <v/>
      </c>
      <c r="F396" s="28">
        <f>IF($C396="","",INDEX(입력_인턴근무계획!$S$3:$S$402,$A396))</f>
        <v/>
      </c>
      <c r="G396" s="26">
        <f>IF(OR($C396="",$G$3=""),"",IF(INDEX(입력_인턴근무계획!$M$3:$R$402,$A396,$G$3)&amp;""="","",IF(LEFT(INDEX(입력_인턴근무계획!$M$3:$R$402,$A396,$G$3)&amp;"",1)="⚠",INDEX(입력_인턴근무계획!$M$3:$R$402,$A396,$G$3)&amp;"",LEFT(INDEX(입력_인턴근무계획!$M$3:$R$402,$A396,$G$3)&amp;"",FIND(" ",INDEX(입력_인턴근무계획!$M$3:$R$402,$A396,$G$3)&amp;"")-1))))</f>
        <v/>
      </c>
      <c r="H396" s="26">
        <f>IF(OR($C396="",$G$3=""),"",IF(INDEX(입력_인턴근무계획!$M$3:$R$402,$A396,$G$3)&amp;""="","",IF(LEFT(INDEX(입력_인턴근무계획!$M$3:$R$402,$A396,$G$3)&amp;"",1)="⚠","",MID(INDEX(입력_인턴근무계획!$M$3:$R$402,$A396,$G$3)&amp;"",FIND(" ",INDEX(입력_인턴근무계획!$M$3:$R$402,$A396,$G$3)&amp;"")+1,60))))</f>
        <v/>
      </c>
      <c r="I396" s="26">
        <f>IF(OR($C396="",$I$3=""),"",IF(INDEX(입력_인턴근무계획!$M$3:$R$402,$A396,$I$3)&amp;""="","",IF(LEFT(INDEX(입력_인턴근무계획!$M$3:$R$402,$A396,$I$3)&amp;"",1)="⚠",INDEX(입력_인턴근무계획!$M$3:$R$402,$A396,$I$3)&amp;"",LEFT(INDEX(입력_인턴근무계획!$M$3:$R$402,$A396,$I$3)&amp;"",FIND(" ",INDEX(입력_인턴근무계획!$M$3:$R$402,$A396,$I$3)&amp;"")-1))))</f>
        <v/>
      </c>
      <c r="J396" s="26">
        <f>IF(OR($C396="",$I$3=""),"",IF(INDEX(입력_인턴근무계획!$M$3:$R$402,$A396,$I$3)&amp;""="","",IF(LEFT(INDEX(입력_인턴근무계획!$M$3:$R$402,$A396,$I$3)&amp;"",1)="⚠","",MID(INDEX(입력_인턴근무계획!$M$3:$R$402,$A396,$I$3)&amp;"",FIND(" ",INDEX(입력_인턴근무계획!$M$3:$R$402,$A396,$I$3)&amp;"")+1,60))))</f>
        <v/>
      </c>
      <c r="K396" s="26">
        <f>IF($C396="","",INDEX(입력_인턴근무계획!$M$3:$M$402,$A396)&amp;"")</f>
        <v/>
      </c>
      <c r="L396" s="26">
        <f>IF($C396="","",INDEX(입력_인턴근무계획!$N$3:$N$402,$A396)&amp;"")</f>
        <v/>
      </c>
      <c r="M396" s="26">
        <f>IF($C396="","",INDEX(입력_인턴근무계획!$O$3:$O$402,$A396)&amp;"")</f>
        <v/>
      </c>
      <c r="N396" s="26">
        <f>IF($C396="","",INDEX(입력_인턴근무계획!$P$3:$P$402,$A396)&amp;"")</f>
        <v/>
      </c>
      <c r="O396" s="26">
        <f>IF($C396="","",INDEX(입력_인턴근무계획!$Q$3:$Q$402,$A396)&amp;"")</f>
        <v/>
      </c>
      <c r="P396" s="26">
        <f>IF($C396="","",INDEX(입력_인턴근무계획!$R$3:$R$402,$A396)&amp;"")</f>
        <v/>
      </c>
      <c r="Q396" s="26">
        <f>IF($C396="","",INDEX(입력_인턴근무계획!$T$3:$T$402,$A396))</f>
        <v/>
      </c>
    </row>
    <row r="397">
      <c r="A397" s="29" t="n">
        <v>392</v>
      </c>
      <c r="B397" s="26">
        <f>IF($C397="","",INDEX(입력_인턴근무계획!$B$3:$B$402,$A397))</f>
        <v/>
      </c>
      <c r="C397" s="26">
        <f>IFERROR(TRIM(INDEX(입력_인턴근무계획!$C$3:$C$402,$A397)&amp;""),"")</f>
        <v/>
      </c>
      <c r="D397" s="26">
        <f>IF($C397="","",INDEX(입력_인턴근무계획!$D$3:$D$402,$A397))</f>
        <v/>
      </c>
      <c r="E397" s="26">
        <f>IF($C397="","",IF(IFERROR(MATCH($D397,입력_기본자료!$B$2:$B$1001,0),IFERROR(MATCH($D397&amp;"",입력_기본자료!$B$2:$B$1001,0),IFERROR(MATCH(VALUE($D397),입력_기본자료!$B$2:$B$1001,0),0)))&gt;0,"확인","미등록"))</f>
        <v/>
      </c>
      <c r="F397" s="28">
        <f>IF($C397="","",INDEX(입력_인턴근무계획!$S$3:$S$402,$A397))</f>
        <v/>
      </c>
      <c r="G397" s="26">
        <f>IF(OR($C397="",$G$3=""),"",IF(INDEX(입력_인턴근무계획!$M$3:$R$402,$A397,$G$3)&amp;""="","",IF(LEFT(INDEX(입력_인턴근무계획!$M$3:$R$402,$A397,$G$3)&amp;"",1)="⚠",INDEX(입력_인턴근무계획!$M$3:$R$402,$A397,$G$3)&amp;"",LEFT(INDEX(입력_인턴근무계획!$M$3:$R$402,$A397,$G$3)&amp;"",FIND(" ",INDEX(입력_인턴근무계획!$M$3:$R$402,$A397,$G$3)&amp;"")-1))))</f>
        <v/>
      </c>
      <c r="H397" s="26">
        <f>IF(OR($C397="",$G$3=""),"",IF(INDEX(입력_인턴근무계획!$M$3:$R$402,$A397,$G$3)&amp;""="","",IF(LEFT(INDEX(입력_인턴근무계획!$M$3:$R$402,$A397,$G$3)&amp;"",1)="⚠","",MID(INDEX(입력_인턴근무계획!$M$3:$R$402,$A397,$G$3)&amp;"",FIND(" ",INDEX(입력_인턴근무계획!$M$3:$R$402,$A397,$G$3)&amp;"")+1,60))))</f>
        <v/>
      </c>
      <c r="I397" s="26">
        <f>IF(OR($C397="",$I$3=""),"",IF(INDEX(입력_인턴근무계획!$M$3:$R$402,$A397,$I$3)&amp;""="","",IF(LEFT(INDEX(입력_인턴근무계획!$M$3:$R$402,$A397,$I$3)&amp;"",1)="⚠",INDEX(입력_인턴근무계획!$M$3:$R$402,$A397,$I$3)&amp;"",LEFT(INDEX(입력_인턴근무계획!$M$3:$R$402,$A397,$I$3)&amp;"",FIND(" ",INDEX(입력_인턴근무계획!$M$3:$R$402,$A397,$I$3)&amp;"")-1))))</f>
        <v/>
      </c>
      <c r="J397" s="26">
        <f>IF(OR($C397="",$I$3=""),"",IF(INDEX(입력_인턴근무계획!$M$3:$R$402,$A397,$I$3)&amp;""="","",IF(LEFT(INDEX(입력_인턴근무계획!$M$3:$R$402,$A397,$I$3)&amp;"",1)="⚠","",MID(INDEX(입력_인턴근무계획!$M$3:$R$402,$A397,$I$3)&amp;"",FIND(" ",INDEX(입력_인턴근무계획!$M$3:$R$402,$A397,$I$3)&amp;"")+1,60))))</f>
        <v/>
      </c>
      <c r="K397" s="26">
        <f>IF($C397="","",INDEX(입력_인턴근무계획!$M$3:$M$402,$A397)&amp;"")</f>
        <v/>
      </c>
      <c r="L397" s="26">
        <f>IF($C397="","",INDEX(입력_인턴근무계획!$N$3:$N$402,$A397)&amp;"")</f>
        <v/>
      </c>
      <c r="M397" s="26">
        <f>IF($C397="","",INDEX(입력_인턴근무계획!$O$3:$O$402,$A397)&amp;"")</f>
        <v/>
      </c>
      <c r="N397" s="26">
        <f>IF($C397="","",INDEX(입력_인턴근무계획!$P$3:$P$402,$A397)&amp;"")</f>
        <v/>
      </c>
      <c r="O397" s="26">
        <f>IF($C397="","",INDEX(입력_인턴근무계획!$Q$3:$Q$402,$A397)&amp;"")</f>
        <v/>
      </c>
      <c r="P397" s="26">
        <f>IF($C397="","",INDEX(입력_인턴근무계획!$R$3:$R$402,$A397)&amp;"")</f>
        <v/>
      </c>
      <c r="Q397" s="26">
        <f>IF($C397="","",INDEX(입력_인턴근무계획!$T$3:$T$402,$A397))</f>
        <v/>
      </c>
    </row>
    <row r="398">
      <c r="A398" s="29" t="n">
        <v>393</v>
      </c>
      <c r="B398" s="26">
        <f>IF($C398="","",INDEX(입력_인턴근무계획!$B$3:$B$402,$A398))</f>
        <v/>
      </c>
      <c r="C398" s="26">
        <f>IFERROR(TRIM(INDEX(입력_인턴근무계획!$C$3:$C$402,$A398)&amp;""),"")</f>
        <v/>
      </c>
      <c r="D398" s="26">
        <f>IF($C398="","",INDEX(입력_인턴근무계획!$D$3:$D$402,$A398))</f>
        <v/>
      </c>
      <c r="E398" s="26">
        <f>IF($C398="","",IF(IFERROR(MATCH($D398,입력_기본자료!$B$2:$B$1001,0),IFERROR(MATCH($D398&amp;"",입력_기본자료!$B$2:$B$1001,0),IFERROR(MATCH(VALUE($D398),입력_기본자료!$B$2:$B$1001,0),0)))&gt;0,"확인","미등록"))</f>
        <v/>
      </c>
      <c r="F398" s="28">
        <f>IF($C398="","",INDEX(입력_인턴근무계획!$S$3:$S$402,$A398))</f>
        <v/>
      </c>
      <c r="G398" s="26">
        <f>IF(OR($C398="",$G$3=""),"",IF(INDEX(입력_인턴근무계획!$M$3:$R$402,$A398,$G$3)&amp;""="","",IF(LEFT(INDEX(입력_인턴근무계획!$M$3:$R$402,$A398,$G$3)&amp;"",1)="⚠",INDEX(입력_인턴근무계획!$M$3:$R$402,$A398,$G$3)&amp;"",LEFT(INDEX(입력_인턴근무계획!$M$3:$R$402,$A398,$G$3)&amp;"",FIND(" ",INDEX(입력_인턴근무계획!$M$3:$R$402,$A398,$G$3)&amp;"")-1))))</f>
        <v/>
      </c>
      <c r="H398" s="26">
        <f>IF(OR($C398="",$G$3=""),"",IF(INDEX(입력_인턴근무계획!$M$3:$R$402,$A398,$G$3)&amp;""="","",IF(LEFT(INDEX(입력_인턴근무계획!$M$3:$R$402,$A398,$G$3)&amp;"",1)="⚠","",MID(INDEX(입력_인턴근무계획!$M$3:$R$402,$A398,$G$3)&amp;"",FIND(" ",INDEX(입력_인턴근무계획!$M$3:$R$402,$A398,$G$3)&amp;"")+1,60))))</f>
        <v/>
      </c>
      <c r="I398" s="26">
        <f>IF(OR($C398="",$I$3=""),"",IF(INDEX(입력_인턴근무계획!$M$3:$R$402,$A398,$I$3)&amp;""="","",IF(LEFT(INDEX(입력_인턴근무계획!$M$3:$R$402,$A398,$I$3)&amp;"",1)="⚠",INDEX(입력_인턴근무계획!$M$3:$R$402,$A398,$I$3)&amp;"",LEFT(INDEX(입력_인턴근무계획!$M$3:$R$402,$A398,$I$3)&amp;"",FIND(" ",INDEX(입력_인턴근무계획!$M$3:$R$402,$A398,$I$3)&amp;"")-1))))</f>
        <v/>
      </c>
      <c r="J398" s="26">
        <f>IF(OR($C398="",$I$3=""),"",IF(INDEX(입력_인턴근무계획!$M$3:$R$402,$A398,$I$3)&amp;""="","",IF(LEFT(INDEX(입력_인턴근무계획!$M$3:$R$402,$A398,$I$3)&amp;"",1)="⚠","",MID(INDEX(입력_인턴근무계획!$M$3:$R$402,$A398,$I$3)&amp;"",FIND(" ",INDEX(입력_인턴근무계획!$M$3:$R$402,$A398,$I$3)&amp;"")+1,60))))</f>
        <v/>
      </c>
      <c r="K398" s="26">
        <f>IF($C398="","",INDEX(입력_인턴근무계획!$M$3:$M$402,$A398)&amp;"")</f>
        <v/>
      </c>
      <c r="L398" s="26">
        <f>IF($C398="","",INDEX(입력_인턴근무계획!$N$3:$N$402,$A398)&amp;"")</f>
        <v/>
      </c>
      <c r="M398" s="26">
        <f>IF($C398="","",INDEX(입력_인턴근무계획!$O$3:$O$402,$A398)&amp;"")</f>
        <v/>
      </c>
      <c r="N398" s="26">
        <f>IF($C398="","",INDEX(입력_인턴근무계획!$P$3:$P$402,$A398)&amp;"")</f>
        <v/>
      </c>
      <c r="O398" s="26">
        <f>IF($C398="","",INDEX(입력_인턴근무계획!$Q$3:$Q$402,$A398)&amp;"")</f>
        <v/>
      </c>
      <c r="P398" s="26">
        <f>IF($C398="","",INDEX(입력_인턴근무계획!$R$3:$R$402,$A398)&amp;"")</f>
        <v/>
      </c>
      <c r="Q398" s="26">
        <f>IF($C398="","",INDEX(입력_인턴근무계획!$T$3:$T$402,$A398))</f>
        <v/>
      </c>
    </row>
    <row r="399">
      <c r="A399" s="29" t="n">
        <v>394</v>
      </c>
      <c r="B399" s="26">
        <f>IF($C399="","",INDEX(입력_인턴근무계획!$B$3:$B$402,$A399))</f>
        <v/>
      </c>
      <c r="C399" s="26">
        <f>IFERROR(TRIM(INDEX(입력_인턴근무계획!$C$3:$C$402,$A399)&amp;""),"")</f>
        <v/>
      </c>
      <c r="D399" s="26">
        <f>IF($C399="","",INDEX(입력_인턴근무계획!$D$3:$D$402,$A399))</f>
        <v/>
      </c>
      <c r="E399" s="26">
        <f>IF($C399="","",IF(IFERROR(MATCH($D399,입력_기본자료!$B$2:$B$1001,0),IFERROR(MATCH($D399&amp;"",입력_기본자료!$B$2:$B$1001,0),IFERROR(MATCH(VALUE($D399),입력_기본자료!$B$2:$B$1001,0),0)))&gt;0,"확인","미등록"))</f>
        <v/>
      </c>
      <c r="F399" s="28">
        <f>IF($C399="","",INDEX(입력_인턴근무계획!$S$3:$S$402,$A399))</f>
        <v/>
      </c>
      <c r="G399" s="26">
        <f>IF(OR($C399="",$G$3=""),"",IF(INDEX(입력_인턴근무계획!$M$3:$R$402,$A399,$G$3)&amp;""="","",IF(LEFT(INDEX(입력_인턴근무계획!$M$3:$R$402,$A399,$G$3)&amp;"",1)="⚠",INDEX(입력_인턴근무계획!$M$3:$R$402,$A399,$G$3)&amp;"",LEFT(INDEX(입력_인턴근무계획!$M$3:$R$402,$A399,$G$3)&amp;"",FIND(" ",INDEX(입력_인턴근무계획!$M$3:$R$402,$A399,$G$3)&amp;"")-1))))</f>
        <v/>
      </c>
      <c r="H399" s="26">
        <f>IF(OR($C399="",$G$3=""),"",IF(INDEX(입력_인턴근무계획!$M$3:$R$402,$A399,$G$3)&amp;""="","",IF(LEFT(INDEX(입력_인턴근무계획!$M$3:$R$402,$A399,$G$3)&amp;"",1)="⚠","",MID(INDEX(입력_인턴근무계획!$M$3:$R$402,$A399,$G$3)&amp;"",FIND(" ",INDEX(입력_인턴근무계획!$M$3:$R$402,$A399,$G$3)&amp;"")+1,60))))</f>
        <v/>
      </c>
      <c r="I399" s="26">
        <f>IF(OR($C399="",$I$3=""),"",IF(INDEX(입력_인턴근무계획!$M$3:$R$402,$A399,$I$3)&amp;""="","",IF(LEFT(INDEX(입력_인턴근무계획!$M$3:$R$402,$A399,$I$3)&amp;"",1)="⚠",INDEX(입력_인턴근무계획!$M$3:$R$402,$A399,$I$3)&amp;"",LEFT(INDEX(입력_인턴근무계획!$M$3:$R$402,$A399,$I$3)&amp;"",FIND(" ",INDEX(입력_인턴근무계획!$M$3:$R$402,$A399,$I$3)&amp;"")-1))))</f>
        <v/>
      </c>
      <c r="J399" s="26">
        <f>IF(OR($C399="",$I$3=""),"",IF(INDEX(입력_인턴근무계획!$M$3:$R$402,$A399,$I$3)&amp;""="","",IF(LEFT(INDEX(입력_인턴근무계획!$M$3:$R$402,$A399,$I$3)&amp;"",1)="⚠","",MID(INDEX(입력_인턴근무계획!$M$3:$R$402,$A399,$I$3)&amp;"",FIND(" ",INDEX(입력_인턴근무계획!$M$3:$R$402,$A399,$I$3)&amp;"")+1,60))))</f>
        <v/>
      </c>
      <c r="K399" s="26">
        <f>IF($C399="","",INDEX(입력_인턴근무계획!$M$3:$M$402,$A399)&amp;"")</f>
        <v/>
      </c>
      <c r="L399" s="26">
        <f>IF($C399="","",INDEX(입력_인턴근무계획!$N$3:$N$402,$A399)&amp;"")</f>
        <v/>
      </c>
      <c r="M399" s="26">
        <f>IF($C399="","",INDEX(입력_인턴근무계획!$O$3:$O$402,$A399)&amp;"")</f>
        <v/>
      </c>
      <c r="N399" s="26">
        <f>IF($C399="","",INDEX(입력_인턴근무계획!$P$3:$P$402,$A399)&amp;"")</f>
        <v/>
      </c>
      <c r="O399" s="26">
        <f>IF($C399="","",INDEX(입력_인턴근무계획!$Q$3:$Q$402,$A399)&amp;"")</f>
        <v/>
      </c>
      <c r="P399" s="26">
        <f>IF($C399="","",INDEX(입력_인턴근무계획!$R$3:$R$402,$A399)&amp;"")</f>
        <v/>
      </c>
      <c r="Q399" s="26">
        <f>IF($C399="","",INDEX(입력_인턴근무계획!$T$3:$T$402,$A399))</f>
        <v/>
      </c>
    </row>
    <row r="400">
      <c r="A400" s="29" t="n">
        <v>395</v>
      </c>
      <c r="B400" s="26">
        <f>IF($C400="","",INDEX(입력_인턴근무계획!$B$3:$B$402,$A400))</f>
        <v/>
      </c>
      <c r="C400" s="26">
        <f>IFERROR(TRIM(INDEX(입력_인턴근무계획!$C$3:$C$402,$A400)&amp;""),"")</f>
        <v/>
      </c>
      <c r="D400" s="26">
        <f>IF($C400="","",INDEX(입력_인턴근무계획!$D$3:$D$402,$A400))</f>
        <v/>
      </c>
      <c r="E400" s="26">
        <f>IF($C400="","",IF(IFERROR(MATCH($D400,입력_기본자료!$B$2:$B$1001,0),IFERROR(MATCH($D400&amp;"",입력_기본자료!$B$2:$B$1001,0),IFERROR(MATCH(VALUE($D400),입력_기본자료!$B$2:$B$1001,0),0)))&gt;0,"확인","미등록"))</f>
        <v/>
      </c>
      <c r="F400" s="28">
        <f>IF($C400="","",INDEX(입력_인턴근무계획!$S$3:$S$402,$A400))</f>
        <v/>
      </c>
      <c r="G400" s="26">
        <f>IF(OR($C400="",$G$3=""),"",IF(INDEX(입력_인턴근무계획!$M$3:$R$402,$A400,$G$3)&amp;""="","",IF(LEFT(INDEX(입력_인턴근무계획!$M$3:$R$402,$A400,$G$3)&amp;"",1)="⚠",INDEX(입력_인턴근무계획!$M$3:$R$402,$A400,$G$3)&amp;"",LEFT(INDEX(입력_인턴근무계획!$M$3:$R$402,$A400,$G$3)&amp;"",FIND(" ",INDEX(입력_인턴근무계획!$M$3:$R$402,$A400,$G$3)&amp;"")-1))))</f>
        <v/>
      </c>
      <c r="H400" s="26">
        <f>IF(OR($C400="",$G$3=""),"",IF(INDEX(입력_인턴근무계획!$M$3:$R$402,$A400,$G$3)&amp;""="","",IF(LEFT(INDEX(입력_인턴근무계획!$M$3:$R$402,$A400,$G$3)&amp;"",1)="⚠","",MID(INDEX(입력_인턴근무계획!$M$3:$R$402,$A400,$G$3)&amp;"",FIND(" ",INDEX(입력_인턴근무계획!$M$3:$R$402,$A400,$G$3)&amp;"")+1,60))))</f>
        <v/>
      </c>
      <c r="I400" s="26">
        <f>IF(OR($C400="",$I$3=""),"",IF(INDEX(입력_인턴근무계획!$M$3:$R$402,$A400,$I$3)&amp;""="","",IF(LEFT(INDEX(입력_인턴근무계획!$M$3:$R$402,$A400,$I$3)&amp;"",1)="⚠",INDEX(입력_인턴근무계획!$M$3:$R$402,$A400,$I$3)&amp;"",LEFT(INDEX(입력_인턴근무계획!$M$3:$R$402,$A400,$I$3)&amp;"",FIND(" ",INDEX(입력_인턴근무계획!$M$3:$R$402,$A400,$I$3)&amp;"")-1))))</f>
        <v/>
      </c>
      <c r="J400" s="26">
        <f>IF(OR($C400="",$I$3=""),"",IF(INDEX(입력_인턴근무계획!$M$3:$R$402,$A400,$I$3)&amp;""="","",IF(LEFT(INDEX(입력_인턴근무계획!$M$3:$R$402,$A400,$I$3)&amp;"",1)="⚠","",MID(INDEX(입력_인턴근무계획!$M$3:$R$402,$A400,$I$3)&amp;"",FIND(" ",INDEX(입력_인턴근무계획!$M$3:$R$402,$A400,$I$3)&amp;"")+1,60))))</f>
        <v/>
      </c>
      <c r="K400" s="26">
        <f>IF($C400="","",INDEX(입력_인턴근무계획!$M$3:$M$402,$A400)&amp;"")</f>
        <v/>
      </c>
      <c r="L400" s="26">
        <f>IF($C400="","",INDEX(입력_인턴근무계획!$N$3:$N$402,$A400)&amp;"")</f>
        <v/>
      </c>
      <c r="M400" s="26">
        <f>IF($C400="","",INDEX(입력_인턴근무계획!$O$3:$O$402,$A400)&amp;"")</f>
        <v/>
      </c>
      <c r="N400" s="26">
        <f>IF($C400="","",INDEX(입력_인턴근무계획!$P$3:$P$402,$A400)&amp;"")</f>
        <v/>
      </c>
      <c r="O400" s="26">
        <f>IF($C400="","",INDEX(입력_인턴근무계획!$Q$3:$Q$402,$A400)&amp;"")</f>
        <v/>
      </c>
      <c r="P400" s="26">
        <f>IF($C400="","",INDEX(입력_인턴근무계획!$R$3:$R$402,$A400)&amp;"")</f>
        <v/>
      </c>
      <c r="Q400" s="26">
        <f>IF($C400="","",INDEX(입력_인턴근무계획!$T$3:$T$402,$A400))</f>
        <v/>
      </c>
    </row>
    <row r="401">
      <c r="A401" s="29" t="n">
        <v>396</v>
      </c>
      <c r="B401" s="26">
        <f>IF($C401="","",INDEX(입력_인턴근무계획!$B$3:$B$402,$A401))</f>
        <v/>
      </c>
      <c r="C401" s="26">
        <f>IFERROR(TRIM(INDEX(입력_인턴근무계획!$C$3:$C$402,$A401)&amp;""),"")</f>
        <v/>
      </c>
      <c r="D401" s="26">
        <f>IF($C401="","",INDEX(입력_인턴근무계획!$D$3:$D$402,$A401))</f>
        <v/>
      </c>
      <c r="E401" s="26">
        <f>IF($C401="","",IF(IFERROR(MATCH($D401,입력_기본자료!$B$2:$B$1001,0),IFERROR(MATCH($D401&amp;"",입력_기본자료!$B$2:$B$1001,0),IFERROR(MATCH(VALUE($D401),입력_기본자료!$B$2:$B$1001,0),0)))&gt;0,"확인","미등록"))</f>
        <v/>
      </c>
      <c r="F401" s="28">
        <f>IF($C401="","",INDEX(입력_인턴근무계획!$S$3:$S$402,$A401))</f>
        <v/>
      </c>
      <c r="G401" s="26">
        <f>IF(OR($C401="",$G$3=""),"",IF(INDEX(입력_인턴근무계획!$M$3:$R$402,$A401,$G$3)&amp;""="","",IF(LEFT(INDEX(입력_인턴근무계획!$M$3:$R$402,$A401,$G$3)&amp;"",1)="⚠",INDEX(입력_인턴근무계획!$M$3:$R$402,$A401,$G$3)&amp;"",LEFT(INDEX(입력_인턴근무계획!$M$3:$R$402,$A401,$G$3)&amp;"",FIND(" ",INDEX(입력_인턴근무계획!$M$3:$R$402,$A401,$G$3)&amp;"")-1))))</f>
        <v/>
      </c>
      <c r="H401" s="26">
        <f>IF(OR($C401="",$G$3=""),"",IF(INDEX(입력_인턴근무계획!$M$3:$R$402,$A401,$G$3)&amp;""="","",IF(LEFT(INDEX(입력_인턴근무계획!$M$3:$R$402,$A401,$G$3)&amp;"",1)="⚠","",MID(INDEX(입력_인턴근무계획!$M$3:$R$402,$A401,$G$3)&amp;"",FIND(" ",INDEX(입력_인턴근무계획!$M$3:$R$402,$A401,$G$3)&amp;"")+1,60))))</f>
        <v/>
      </c>
      <c r="I401" s="26">
        <f>IF(OR($C401="",$I$3=""),"",IF(INDEX(입력_인턴근무계획!$M$3:$R$402,$A401,$I$3)&amp;""="","",IF(LEFT(INDEX(입력_인턴근무계획!$M$3:$R$402,$A401,$I$3)&amp;"",1)="⚠",INDEX(입력_인턴근무계획!$M$3:$R$402,$A401,$I$3)&amp;"",LEFT(INDEX(입력_인턴근무계획!$M$3:$R$402,$A401,$I$3)&amp;"",FIND(" ",INDEX(입력_인턴근무계획!$M$3:$R$402,$A401,$I$3)&amp;"")-1))))</f>
        <v/>
      </c>
      <c r="J401" s="26">
        <f>IF(OR($C401="",$I$3=""),"",IF(INDEX(입력_인턴근무계획!$M$3:$R$402,$A401,$I$3)&amp;""="","",IF(LEFT(INDEX(입력_인턴근무계획!$M$3:$R$402,$A401,$I$3)&amp;"",1)="⚠","",MID(INDEX(입력_인턴근무계획!$M$3:$R$402,$A401,$I$3)&amp;"",FIND(" ",INDEX(입력_인턴근무계획!$M$3:$R$402,$A401,$I$3)&amp;"")+1,60))))</f>
        <v/>
      </c>
      <c r="K401" s="26">
        <f>IF($C401="","",INDEX(입력_인턴근무계획!$M$3:$M$402,$A401)&amp;"")</f>
        <v/>
      </c>
      <c r="L401" s="26">
        <f>IF($C401="","",INDEX(입력_인턴근무계획!$N$3:$N$402,$A401)&amp;"")</f>
        <v/>
      </c>
      <c r="M401" s="26">
        <f>IF($C401="","",INDEX(입력_인턴근무계획!$O$3:$O$402,$A401)&amp;"")</f>
        <v/>
      </c>
      <c r="N401" s="26">
        <f>IF($C401="","",INDEX(입력_인턴근무계획!$P$3:$P$402,$A401)&amp;"")</f>
        <v/>
      </c>
      <c r="O401" s="26">
        <f>IF($C401="","",INDEX(입력_인턴근무계획!$Q$3:$Q$402,$A401)&amp;"")</f>
        <v/>
      </c>
      <c r="P401" s="26">
        <f>IF($C401="","",INDEX(입력_인턴근무계획!$R$3:$R$402,$A401)&amp;"")</f>
        <v/>
      </c>
      <c r="Q401" s="26">
        <f>IF($C401="","",INDEX(입력_인턴근무계획!$T$3:$T$402,$A401))</f>
        <v/>
      </c>
    </row>
    <row r="402">
      <c r="A402" s="29" t="n">
        <v>397</v>
      </c>
      <c r="B402" s="26">
        <f>IF($C402="","",INDEX(입력_인턴근무계획!$B$3:$B$402,$A402))</f>
        <v/>
      </c>
      <c r="C402" s="26">
        <f>IFERROR(TRIM(INDEX(입력_인턴근무계획!$C$3:$C$402,$A402)&amp;""),"")</f>
        <v/>
      </c>
      <c r="D402" s="26">
        <f>IF($C402="","",INDEX(입력_인턴근무계획!$D$3:$D$402,$A402))</f>
        <v/>
      </c>
      <c r="E402" s="26">
        <f>IF($C402="","",IF(IFERROR(MATCH($D402,입력_기본자료!$B$2:$B$1001,0),IFERROR(MATCH($D402&amp;"",입력_기본자료!$B$2:$B$1001,0),IFERROR(MATCH(VALUE($D402),입력_기본자료!$B$2:$B$1001,0),0)))&gt;0,"확인","미등록"))</f>
        <v/>
      </c>
      <c r="F402" s="28">
        <f>IF($C402="","",INDEX(입력_인턴근무계획!$S$3:$S$402,$A402))</f>
        <v/>
      </c>
      <c r="G402" s="26">
        <f>IF(OR($C402="",$G$3=""),"",IF(INDEX(입력_인턴근무계획!$M$3:$R$402,$A402,$G$3)&amp;""="","",IF(LEFT(INDEX(입력_인턴근무계획!$M$3:$R$402,$A402,$G$3)&amp;"",1)="⚠",INDEX(입력_인턴근무계획!$M$3:$R$402,$A402,$G$3)&amp;"",LEFT(INDEX(입력_인턴근무계획!$M$3:$R$402,$A402,$G$3)&amp;"",FIND(" ",INDEX(입력_인턴근무계획!$M$3:$R$402,$A402,$G$3)&amp;"")-1))))</f>
        <v/>
      </c>
      <c r="H402" s="26">
        <f>IF(OR($C402="",$G$3=""),"",IF(INDEX(입력_인턴근무계획!$M$3:$R$402,$A402,$G$3)&amp;""="","",IF(LEFT(INDEX(입력_인턴근무계획!$M$3:$R$402,$A402,$G$3)&amp;"",1)="⚠","",MID(INDEX(입력_인턴근무계획!$M$3:$R$402,$A402,$G$3)&amp;"",FIND(" ",INDEX(입력_인턴근무계획!$M$3:$R$402,$A402,$G$3)&amp;"")+1,60))))</f>
        <v/>
      </c>
      <c r="I402" s="26">
        <f>IF(OR($C402="",$I$3=""),"",IF(INDEX(입력_인턴근무계획!$M$3:$R$402,$A402,$I$3)&amp;""="","",IF(LEFT(INDEX(입력_인턴근무계획!$M$3:$R$402,$A402,$I$3)&amp;"",1)="⚠",INDEX(입력_인턴근무계획!$M$3:$R$402,$A402,$I$3)&amp;"",LEFT(INDEX(입력_인턴근무계획!$M$3:$R$402,$A402,$I$3)&amp;"",FIND(" ",INDEX(입력_인턴근무계획!$M$3:$R$402,$A402,$I$3)&amp;"")-1))))</f>
        <v/>
      </c>
      <c r="J402" s="26">
        <f>IF(OR($C402="",$I$3=""),"",IF(INDEX(입력_인턴근무계획!$M$3:$R$402,$A402,$I$3)&amp;""="","",IF(LEFT(INDEX(입력_인턴근무계획!$M$3:$R$402,$A402,$I$3)&amp;"",1)="⚠","",MID(INDEX(입력_인턴근무계획!$M$3:$R$402,$A402,$I$3)&amp;"",FIND(" ",INDEX(입력_인턴근무계획!$M$3:$R$402,$A402,$I$3)&amp;"")+1,60))))</f>
        <v/>
      </c>
      <c r="K402" s="26">
        <f>IF($C402="","",INDEX(입력_인턴근무계획!$M$3:$M$402,$A402)&amp;"")</f>
        <v/>
      </c>
      <c r="L402" s="26">
        <f>IF($C402="","",INDEX(입력_인턴근무계획!$N$3:$N$402,$A402)&amp;"")</f>
        <v/>
      </c>
      <c r="M402" s="26">
        <f>IF($C402="","",INDEX(입력_인턴근무계획!$O$3:$O$402,$A402)&amp;"")</f>
        <v/>
      </c>
      <c r="N402" s="26">
        <f>IF($C402="","",INDEX(입력_인턴근무계획!$P$3:$P$402,$A402)&amp;"")</f>
        <v/>
      </c>
      <c r="O402" s="26">
        <f>IF($C402="","",INDEX(입력_인턴근무계획!$Q$3:$Q$402,$A402)&amp;"")</f>
        <v/>
      </c>
      <c r="P402" s="26">
        <f>IF($C402="","",INDEX(입력_인턴근무계획!$R$3:$R$402,$A402)&amp;"")</f>
        <v/>
      </c>
      <c r="Q402" s="26">
        <f>IF($C402="","",INDEX(입력_인턴근무계획!$T$3:$T$402,$A402))</f>
        <v/>
      </c>
    </row>
    <row r="403">
      <c r="A403" s="29" t="n">
        <v>398</v>
      </c>
      <c r="B403" s="26">
        <f>IF($C403="","",INDEX(입력_인턴근무계획!$B$3:$B$402,$A403))</f>
        <v/>
      </c>
      <c r="C403" s="26">
        <f>IFERROR(TRIM(INDEX(입력_인턴근무계획!$C$3:$C$402,$A403)&amp;""),"")</f>
        <v/>
      </c>
      <c r="D403" s="26">
        <f>IF($C403="","",INDEX(입력_인턴근무계획!$D$3:$D$402,$A403))</f>
        <v/>
      </c>
      <c r="E403" s="26">
        <f>IF($C403="","",IF(IFERROR(MATCH($D403,입력_기본자료!$B$2:$B$1001,0),IFERROR(MATCH($D403&amp;"",입력_기본자료!$B$2:$B$1001,0),IFERROR(MATCH(VALUE($D403),입력_기본자료!$B$2:$B$1001,0),0)))&gt;0,"확인","미등록"))</f>
        <v/>
      </c>
      <c r="F403" s="28">
        <f>IF($C403="","",INDEX(입력_인턴근무계획!$S$3:$S$402,$A403))</f>
        <v/>
      </c>
      <c r="G403" s="26">
        <f>IF(OR($C403="",$G$3=""),"",IF(INDEX(입력_인턴근무계획!$M$3:$R$402,$A403,$G$3)&amp;""="","",IF(LEFT(INDEX(입력_인턴근무계획!$M$3:$R$402,$A403,$G$3)&amp;"",1)="⚠",INDEX(입력_인턴근무계획!$M$3:$R$402,$A403,$G$3)&amp;"",LEFT(INDEX(입력_인턴근무계획!$M$3:$R$402,$A403,$G$3)&amp;"",FIND(" ",INDEX(입력_인턴근무계획!$M$3:$R$402,$A403,$G$3)&amp;"")-1))))</f>
        <v/>
      </c>
      <c r="H403" s="26">
        <f>IF(OR($C403="",$G$3=""),"",IF(INDEX(입력_인턴근무계획!$M$3:$R$402,$A403,$G$3)&amp;""="","",IF(LEFT(INDEX(입력_인턴근무계획!$M$3:$R$402,$A403,$G$3)&amp;"",1)="⚠","",MID(INDEX(입력_인턴근무계획!$M$3:$R$402,$A403,$G$3)&amp;"",FIND(" ",INDEX(입력_인턴근무계획!$M$3:$R$402,$A403,$G$3)&amp;"")+1,60))))</f>
        <v/>
      </c>
      <c r="I403" s="26">
        <f>IF(OR($C403="",$I$3=""),"",IF(INDEX(입력_인턴근무계획!$M$3:$R$402,$A403,$I$3)&amp;""="","",IF(LEFT(INDEX(입력_인턴근무계획!$M$3:$R$402,$A403,$I$3)&amp;"",1)="⚠",INDEX(입력_인턴근무계획!$M$3:$R$402,$A403,$I$3)&amp;"",LEFT(INDEX(입력_인턴근무계획!$M$3:$R$402,$A403,$I$3)&amp;"",FIND(" ",INDEX(입력_인턴근무계획!$M$3:$R$402,$A403,$I$3)&amp;"")-1))))</f>
        <v/>
      </c>
      <c r="J403" s="26">
        <f>IF(OR($C403="",$I$3=""),"",IF(INDEX(입력_인턴근무계획!$M$3:$R$402,$A403,$I$3)&amp;""="","",IF(LEFT(INDEX(입력_인턴근무계획!$M$3:$R$402,$A403,$I$3)&amp;"",1)="⚠","",MID(INDEX(입력_인턴근무계획!$M$3:$R$402,$A403,$I$3)&amp;"",FIND(" ",INDEX(입력_인턴근무계획!$M$3:$R$402,$A403,$I$3)&amp;"")+1,60))))</f>
        <v/>
      </c>
      <c r="K403" s="26">
        <f>IF($C403="","",INDEX(입력_인턴근무계획!$M$3:$M$402,$A403)&amp;"")</f>
        <v/>
      </c>
      <c r="L403" s="26">
        <f>IF($C403="","",INDEX(입력_인턴근무계획!$N$3:$N$402,$A403)&amp;"")</f>
        <v/>
      </c>
      <c r="M403" s="26">
        <f>IF($C403="","",INDEX(입력_인턴근무계획!$O$3:$O$402,$A403)&amp;"")</f>
        <v/>
      </c>
      <c r="N403" s="26">
        <f>IF($C403="","",INDEX(입력_인턴근무계획!$P$3:$P$402,$A403)&amp;"")</f>
        <v/>
      </c>
      <c r="O403" s="26">
        <f>IF($C403="","",INDEX(입력_인턴근무계획!$Q$3:$Q$402,$A403)&amp;"")</f>
        <v/>
      </c>
      <c r="P403" s="26">
        <f>IF($C403="","",INDEX(입력_인턴근무계획!$R$3:$R$402,$A403)&amp;"")</f>
        <v/>
      </c>
      <c r="Q403" s="26">
        <f>IF($C403="","",INDEX(입력_인턴근무계획!$T$3:$T$402,$A403))</f>
        <v/>
      </c>
    </row>
    <row r="404">
      <c r="A404" s="29" t="n">
        <v>399</v>
      </c>
      <c r="B404" s="26">
        <f>IF($C404="","",INDEX(입력_인턴근무계획!$B$3:$B$402,$A404))</f>
        <v/>
      </c>
      <c r="C404" s="26">
        <f>IFERROR(TRIM(INDEX(입력_인턴근무계획!$C$3:$C$402,$A404)&amp;""),"")</f>
        <v/>
      </c>
      <c r="D404" s="26">
        <f>IF($C404="","",INDEX(입력_인턴근무계획!$D$3:$D$402,$A404))</f>
        <v/>
      </c>
      <c r="E404" s="26">
        <f>IF($C404="","",IF(IFERROR(MATCH($D404,입력_기본자료!$B$2:$B$1001,0),IFERROR(MATCH($D404&amp;"",입력_기본자료!$B$2:$B$1001,0),IFERROR(MATCH(VALUE($D404),입력_기본자료!$B$2:$B$1001,0),0)))&gt;0,"확인","미등록"))</f>
        <v/>
      </c>
      <c r="F404" s="28">
        <f>IF($C404="","",INDEX(입력_인턴근무계획!$S$3:$S$402,$A404))</f>
        <v/>
      </c>
      <c r="G404" s="26">
        <f>IF(OR($C404="",$G$3=""),"",IF(INDEX(입력_인턴근무계획!$M$3:$R$402,$A404,$G$3)&amp;""="","",IF(LEFT(INDEX(입력_인턴근무계획!$M$3:$R$402,$A404,$G$3)&amp;"",1)="⚠",INDEX(입력_인턴근무계획!$M$3:$R$402,$A404,$G$3)&amp;"",LEFT(INDEX(입력_인턴근무계획!$M$3:$R$402,$A404,$G$3)&amp;"",FIND(" ",INDEX(입력_인턴근무계획!$M$3:$R$402,$A404,$G$3)&amp;"")-1))))</f>
        <v/>
      </c>
      <c r="H404" s="26">
        <f>IF(OR($C404="",$G$3=""),"",IF(INDEX(입력_인턴근무계획!$M$3:$R$402,$A404,$G$3)&amp;""="","",IF(LEFT(INDEX(입력_인턴근무계획!$M$3:$R$402,$A404,$G$3)&amp;"",1)="⚠","",MID(INDEX(입력_인턴근무계획!$M$3:$R$402,$A404,$G$3)&amp;"",FIND(" ",INDEX(입력_인턴근무계획!$M$3:$R$402,$A404,$G$3)&amp;"")+1,60))))</f>
        <v/>
      </c>
      <c r="I404" s="26">
        <f>IF(OR($C404="",$I$3=""),"",IF(INDEX(입력_인턴근무계획!$M$3:$R$402,$A404,$I$3)&amp;""="","",IF(LEFT(INDEX(입력_인턴근무계획!$M$3:$R$402,$A404,$I$3)&amp;"",1)="⚠",INDEX(입력_인턴근무계획!$M$3:$R$402,$A404,$I$3)&amp;"",LEFT(INDEX(입력_인턴근무계획!$M$3:$R$402,$A404,$I$3)&amp;"",FIND(" ",INDEX(입력_인턴근무계획!$M$3:$R$402,$A404,$I$3)&amp;"")-1))))</f>
        <v/>
      </c>
      <c r="J404" s="26">
        <f>IF(OR($C404="",$I$3=""),"",IF(INDEX(입력_인턴근무계획!$M$3:$R$402,$A404,$I$3)&amp;""="","",IF(LEFT(INDEX(입력_인턴근무계획!$M$3:$R$402,$A404,$I$3)&amp;"",1)="⚠","",MID(INDEX(입력_인턴근무계획!$M$3:$R$402,$A404,$I$3)&amp;"",FIND(" ",INDEX(입력_인턴근무계획!$M$3:$R$402,$A404,$I$3)&amp;"")+1,60))))</f>
        <v/>
      </c>
      <c r="K404" s="26">
        <f>IF($C404="","",INDEX(입력_인턴근무계획!$M$3:$M$402,$A404)&amp;"")</f>
        <v/>
      </c>
      <c r="L404" s="26">
        <f>IF($C404="","",INDEX(입력_인턴근무계획!$N$3:$N$402,$A404)&amp;"")</f>
        <v/>
      </c>
      <c r="M404" s="26">
        <f>IF($C404="","",INDEX(입력_인턴근무계획!$O$3:$O$402,$A404)&amp;"")</f>
        <v/>
      </c>
      <c r="N404" s="26">
        <f>IF($C404="","",INDEX(입력_인턴근무계획!$P$3:$P$402,$A404)&amp;"")</f>
        <v/>
      </c>
      <c r="O404" s="26">
        <f>IF($C404="","",INDEX(입력_인턴근무계획!$Q$3:$Q$402,$A404)&amp;"")</f>
        <v/>
      </c>
      <c r="P404" s="26">
        <f>IF($C404="","",INDEX(입력_인턴근무계획!$R$3:$R$402,$A404)&amp;"")</f>
        <v/>
      </c>
      <c r="Q404" s="26">
        <f>IF($C404="","",INDEX(입력_인턴근무계획!$T$3:$T$402,$A404))</f>
        <v/>
      </c>
    </row>
    <row r="405">
      <c r="A405" s="29" t="n">
        <v>400</v>
      </c>
      <c r="B405" s="26">
        <f>IF($C405="","",INDEX(입력_인턴근무계획!$B$3:$B$402,$A405))</f>
        <v/>
      </c>
      <c r="C405" s="26">
        <f>IFERROR(TRIM(INDEX(입력_인턴근무계획!$C$3:$C$402,$A405)&amp;""),"")</f>
        <v/>
      </c>
      <c r="D405" s="26">
        <f>IF($C405="","",INDEX(입력_인턴근무계획!$D$3:$D$402,$A405))</f>
        <v/>
      </c>
      <c r="E405" s="26">
        <f>IF($C405="","",IF(IFERROR(MATCH($D405,입력_기본자료!$B$2:$B$1001,0),IFERROR(MATCH($D405&amp;"",입력_기본자료!$B$2:$B$1001,0),IFERROR(MATCH(VALUE($D405),입력_기본자료!$B$2:$B$1001,0),0)))&gt;0,"확인","미등록"))</f>
        <v/>
      </c>
      <c r="F405" s="28">
        <f>IF($C405="","",INDEX(입력_인턴근무계획!$S$3:$S$402,$A405))</f>
        <v/>
      </c>
      <c r="G405" s="26">
        <f>IF(OR($C405="",$G$3=""),"",IF(INDEX(입력_인턴근무계획!$M$3:$R$402,$A405,$G$3)&amp;""="","",IF(LEFT(INDEX(입력_인턴근무계획!$M$3:$R$402,$A405,$G$3)&amp;"",1)="⚠",INDEX(입력_인턴근무계획!$M$3:$R$402,$A405,$G$3)&amp;"",LEFT(INDEX(입력_인턴근무계획!$M$3:$R$402,$A405,$G$3)&amp;"",FIND(" ",INDEX(입력_인턴근무계획!$M$3:$R$402,$A405,$G$3)&amp;"")-1))))</f>
        <v/>
      </c>
      <c r="H405" s="26">
        <f>IF(OR($C405="",$G$3=""),"",IF(INDEX(입력_인턴근무계획!$M$3:$R$402,$A405,$G$3)&amp;""="","",IF(LEFT(INDEX(입력_인턴근무계획!$M$3:$R$402,$A405,$G$3)&amp;"",1)="⚠","",MID(INDEX(입력_인턴근무계획!$M$3:$R$402,$A405,$G$3)&amp;"",FIND(" ",INDEX(입력_인턴근무계획!$M$3:$R$402,$A405,$G$3)&amp;"")+1,60))))</f>
        <v/>
      </c>
      <c r="I405" s="26">
        <f>IF(OR($C405="",$I$3=""),"",IF(INDEX(입력_인턴근무계획!$M$3:$R$402,$A405,$I$3)&amp;""="","",IF(LEFT(INDEX(입력_인턴근무계획!$M$3:$R$402,$A405,$I$3)&amp;"",1)="⚠",INDEX(입력_인턴근무계획!$M$3:$R$402,$A405,$I$3)&amp;"",LEFT(INDEX(입력_인턴근무계획!$M$3:$R$402,$A405,$I$3)&amp;"",FIND(" ",INDEX(입력_인턴근무계획!$M$3:$R$402,$A405,$I$3)&amp;"")-1))))</f>
        <v/>
      </c>
      <c r="J405" s="26">
        <f>IF(OR($C405="",$I$3=""),"",IF(INDEX(입력_인턴근무계획!$M$3:$R$402,$A405,$I$3)&amp;""="","",IF(LEFT(INDEX(입력_인턴근무계획!$M$3:$R$402,$A405,$I$3)&amp;"",1)="⚠","",MID(INDEX(입력_인턴근무계획!$M$3:$R$402,$A405,$I$3)&amp;"",FIND(" ",INDEX(입력_인턴근무계획!$M$3:$R$402,$A405,$I$3)&amp;"")+1,60))))</f>
        <v/>
      </c>
      <c r="K405" s="26">
        <f>IF($C405="","",INDEX(입력_인턴근무계획!$M$3:$M$402,$A405)&amp;"")</f>
        <v/>
      </c>
      <c r="L405" s="26">
        <f>IF($C405="","",INDEX(입력_인턴근무계획!$N$3:$N$402,$A405)&amp;"")</f>
        <v/>
      </c>
      <c r="M405" s="26">
        <f>IF($C405="","",INDEX(입력_인턴근무계획!$O$3:$O$402,$A405)&amp;"")</f>
        <v/>
      </c>
      <c r="N405" s="26">
        <f>IF($C405="","",INDEX(입력_인턴근무계획!$P$3:$P$402,$A405)&amp;"")</f>
        <v/>
      </c>
      <c r="O405" s="26">
        <f>IF($C405="","",INDEX(입력_인턴근무계획!$Q$3:$Q$402,$A405)&amp;"")</f>
        <v/>
      </c>
      <c r="P405" s="26">
        <f>IF($C405="","",INDEX(입력_인턴근무계획!$R$3:$R$402,$A405)&amp;"")</f>
        <v/>
      </c>
      <c r="Q405" s="26">
        <f>IF($C405="","",INDEX(입력_인턴근무계획!$T$3:$T$402,$A405))</f>
        <v/>
      </c>
    </row>
  </sheetData>
  <autoFilter ref="A5:Q405"/>
  <conditionalFormatting sqref="E6:E405">
    <cfRule type="expression" priority="1" dxfId="0">
      <formula>$E6="미등록"</formula>
    </cfRule>
  </conditionalFormatting>
  <conditionalFormatting sqref="K6:P405">
    <cfRule type="expression" priority="2" dxfId="1">
      <formula>LEFT(K6,1)="⚠"</formula>
    </cfRule>
  </conditionalFormatting>
  <conditionalFormatting sqref="K5:P405">
    <cfRule type="expression" priority="3" dxfId="12">
      <formula>K$3=MONTH(TODAY())</formula>
    </cfRule>
  </conditionalFormatting>
  <conditionalFormatting sqref="G6:H405">
    <cfRule type="expression" priority="4" dxfId="12">
      <formula>$G$3&lt;&gt;""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F7F7F"/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3" customWidth="1" min="5" max="5"/>
    <col width="20" customWidth="1" min="6" max="6"/>
    <col width="20" customWidth="1" min="7" max="7"/>
    <col width="3" customWidth="1" min="8" max="8"/>
    <col width="3" customWidth="1" min="9" max="9"/>
    <col width="20" customWidth="1" min="10" max="10"/>
    <col width="20" customWidth="1" min="11" max="11"/>
    <col width="3" customWidth="1" min="12" max="12"/>
    <col width="26" customWidth="1" min="13" max="13"/>
    <col width="14" customWidth="1" min="14" max="14"/>
  </cols>
  <sheetData>
    <row r="1" ht="30" customHeight="1">
      <c r="A1" s="12" t="inlineStr">
        <is>
          <t>병원</t>
        </is>
      </c>
      <c r="B1" s="12" t="inlineStr">
        <is>
          <t>근무과(진료과)</t>
        </is>
      </c>
      <c r="C1" s="12" t="inlineStr">
        <is>
          <t>파견근거(종류)</t>
        </is>
      </c>
      <c r="D1" s="12" t="inlineStr">
        <is>
          <t>인턴 전용 구분</t>
        </is>
      </c>
      <c r="F1" s="12" t="inlineStr">
        <is>
          <t>진료과 약칭</t>
        </is>
      </c>
      <c r="G1" s="12" t="inlineStr">
        <is>
          <t>정식 명칭</t>
        </is>
      </c>
      <c r="J1" s="12" t="inlineStr">
        <is>
          <t>병원 표기(약칭·기관명)</t>
        </is>
      </c>
      <c r="K1" s="12" t="inlineStr">
        <is>
          <t>정식 병원</t>
        </is>
      </c>
      <c r="M1" s="2" t="inlineStr">
        <is>
          <t>※ 파란 글씨 칸은 모두 수정·추가할 수 있습니다. 새 병원/진료과가 생기면 여기에 먼저 추가하세요.</t>
        </is>
      </c>
    </row>
    <row r="2">
      <c r="A2" s="5" t="inlineStr">
        <is>
          <t>서울병원</t>
        </is>
      </c>
      <c r="B2" s="5" t="inlineStr">
        <is>
          <t>내과</t>
        </is>
      </c>
      <c r="C2" s="5" t="inlineStr">
        <is>
          <t>모자</t>
        </is>
      </c>
      <c r="D2" s="5" t="inlineStr">
        <is>
          <t>통합</t>
        </is>
      </c>
      <c r="F2" s="5" t="inlineStr">
        <is>
          <t>내과</t>
        </is>
      </c>
      <c r="G2" s="5" t="inlineStr">
        <is>
          <t>내과</t>
        </is>
      </c>
      <c r="J2" s="5" t="inlineStr">
        <is>
          <t>서울병원</t>
        </is>
      </c>
      <c r="K2" s="5" t="inlineStr">
        <is>
          <t>서울병원</t>
        </is>
      </c>
      <c r="M2" s="2" t="inlineStr">
        <is>
          <t>※ 병원 표기(J→K): 인턴근무계획의 지역 단어와 파견수련계획의 모병원명·파견병원은 이 표로 정식 병원(A열)으로 바뀝니다.</t>
        </is>
      </c>
    </row>
    <row r="3">
      <c r="A3" s="5" t="inlineStr">
        <is>
          <t>인천병원</t>
        </is>
      </c>
      <c r="B3" s="5" t="inlineStr">
        <is>
          <t>소아청소년과</t>
        </is>
      </c>
      <c r="C3" s="5" t="inlineStr">
        <is>
          <t>통합수련</t>
        </is>
      </c>
      <c r="D3" s="5" t="inlineStr">
        <is>
          <t>핵/방</t>
        </is>
      </c>
      <c r="F3" s="5" t="inlineStr">
        <is>
          <t>소아청소년과</t>
        </is>
      </c>
      <c r="G3" s="5" t="inlineStr">
        <is>
          <t>소아청소년과</t>
        </is>
      </c>
      <c r="J3" s="5" t="inlineStr">
        <is>
          <t>인천병원</t>
        </is>
      </c>
      <c r="K3" s="5" t="inlineStr">
        <is>
          <t>인천병원</t>
        </is>
      </c>
      <c r="M3" s="2" t="inlineStr">
        <is>
          <t xml:space="preserve">   (예: 한양대학교병원→서울병원, 한양대구리병원→구리병원, '제주 에스중앙 내과'의 '제주'→제주병원). 인천·창원·오산 등 실제 기관명은 J·K열에 추가하세요.</t>
        </is>
      </c>
    </row>
    <row r="4">
      <c r="A4" s="5" t="inlineStr">
        <is>
          <t>구리병원</t>
        </is>
      </c>
      <c r="B4" s="5" t="inlineStr">
        <is>
          <t>신경과</t>
        </is>
      </c>
      <c r="C4" s="5" t="inlineStr">
        <is>
          <t>다기관</t>
        </is>
      </c>
      <c r="D4" s="5" t="n"/>
      <c r="F4" s="5" t="inlineStr">
        <is>
          <t>신경과</t>
        </is>
      </c>
      <c r="G4" s="5" t="inlineStr">
        <is>
          <t>신경과</t>
        </is>
      </c>
      <c r="J4" s="5" t="inlineStr">
        <is>
          <t>구리병원</t>
        </is>
      </c>
      <c r="K4" s="5" t="inlineStr">
        <is>
          <t>구리병원</t>
        </is>
      </c>
      <c r="M4" s="2" t="inlineStr">
        <is>
          <t>※ 진료과 약칭(F→G): 인턴근무계획 월 칸의 마지막 단어와 파견수련계획의 파견과목을 정식 명칭으로 바꿉니다. (예: 산부→산부인과)</t>
        </is>
      </c>
    </row>
    <row r="5">
      <c r="A5" s="5" t="inlineStr">
        <is>
          <t>창원병원</t>
        </is>
      </c>
      <c r="B5" s="5" t="inlineStr">
        <is>
          <t>정신건강의학과</t>
        </is>
      </c>
      <c r="C5" s="5" t="n"/>
      <c r="D5" s="5" t="n"/>
      <c r="F5" s="5" t="inlineStr">
        <is>
          <t>정신건강의학과</t>
        </is>
      </c>
      <c r="G5" s="5" t="inlineStr">
        <is>
          <t>정신건강의학과</t>
        </is>
      </c>
      <c r="J5" s="5" t="inlineStr">
        <is>
          <t>창원병원</t>
        </is>
      </c>
      <c r="K5" s="5" t="inlineStr">
        <is>
          <t>창원병원</t>
        </is>
      </c>
      <c r="M5" s="2" t="inlineStr">
        <is>
          <t>※ 파견근거(C열): 양식의 모자 / 통합수련, 그리고 다기관. 새 값이 있으면 추가하세요.</t>
        </is>
      </c>
    </row>
    <row r="6">
      <c r="A6" s="5" t="inlineStr">
        <is>
          <t>제주병원</t>
        </is>
      </c>
      <c r="B6" s="5" t="inlineStr">
        <is>
          <t>피부과</t>
        </is>
      </c>
      <c r="C6" s="5" t="n"/>
      <c r="D6" s="5" t="n"/>
      <c r="F6" s="5" t="inlineStr">
        <is>
          <t>피부과</t>
        </is>
      </c>
      <c r="G6" s="5" t="inlineStr">
        <is>
          <t>피부과</t>
        </is>
      </c>
      <c r="J6" s="5" t="inlineStr">
        <is>
          <t>제주병원</t>
        </is>
      </c>
      <c r="K6" s="5" t="inlineStr">
        <is>
          <t>제주병원</t>
        </is>
      </c>
    </row>
    <row r="7">
      <c r="A7" s="5" t="inlineStr">
        <is>
          <t>오산병원</t>
        </is>
      </c>
      <c r="B7" s="5" t="inlineStr">
        <is>
          <t>외과</t>
        </is>
      </c>
      <c r="C7" s="5" t="n"/>
      <c r="F7" s="5" t="inlineStr">
        <is>
          <t>외과</t>
        </is>
      </c>
      <c r="G7" s="5" t="inlineStr">
        <is>
          <t>외과</t>
        </is>
      </c>
      <c r="J7" s="5" t="inlineStr">
        <is>
          <t>오산병원</t>
        </is>
      </c>
      <c r="K7" s="5" t="inlineStr">
        <is>
          <t>오산병원</t>
        </is>
      </c>
    </row>
    <row r="8">
      <c r="A8" s="5" t="n"/>
      <c r="B8" s="5" t="inlineStr">
        <is>
          <t>심장혈관흉부외과</t>
        </is>
      </c>
      <c r="C8" s="5" t="n"/>
      <c r="F8" s="5" t="inlineStr">
        <is>
          <t>심장혈관흉부외과</t>
        </is>
      </c>
      <c r="G8" s="5" t="inlineStr">
        <is>
          <t>심장혈관흉부외과</t>
        </is>
      </c>
      <c r="J8" s="5" t="inlineStr">
        <is>
          <t>서울</t>
        </is>
      </c>
      <c r="K8" s="5" t="inlineStr">
        <is>
          <t>서울병원</t>
        </is>
      </c>
      <c r="M8" s="35" t="inlineStr">
        <is>
          <t>설정값 (노란 칸만 수정)</t>
        </is>
      </c>
      <c r="N8" s="36" t="n"/>
    </row>
    <row r="9">
      <c r="A9" s="5" t="n"/>
      <c r="B9" s="5" t="inlineStr">
        <is>
          <t>정형외과</t>
        </is>
      </c>
      <c r="C9" s="5" t="n"/>
      <c r="F9" s="5" t="inlineStr">
        <is>
          <t>정형외과</t>
        </is>
      </c>
      <c r="G9" s="5" t="inlineStr">
        <is>
          <t>정형외과</t>
        </is>
      </c>
      <c r="J9" s="5" t="inlineStr">
        <is>
          <t>인천</t>
        </is>
      </c>
      <c r="K9" s="5" t="inlineStr">
        <is>
          <t>인천병원</t>
        </is>
      </c>
      <c r="M9" s="37" t="inlineStr">
        <is>
          <t>급여 기준월(1일)</t>
        </is>
      </c>
      <c r="N9" s="38">
        <f>DATE(YEAR(TODAY()),MONTH(TODAY()),1)</f>
        <v/>
      </c>
    </row>
    <row r="10">
      <c r="A10" s="5" t="n"/>
      <c r="B10" s="5" t="inlineStr">
        <is>
          <t>신경외과</t>
        </is>
      </c>
      <c r="C10" s="5" t="n"/>
      <c r="F10" s="5" t="inlineStr">
        <is>
          <t>신경외과</t>
        </is>
      </c>
      <c r="G10" s="5" t="inlineStr">
        <is>
          <t>신경외과</t>
        </is>
      </c>
      <c r="J10" s="5" t="inlineStr">
        <is>
          <t>구리</t>
        </is>
      </c>
      <c r="K10" s="5" t="inlineStr">
        <is>
          <t>구리병원</t>
        </is>
      </c>
      <c r="M10" s="37" t="inlineStr">
        <is>
          <t>서울·구리 15일 기준(일)</t>
        </is>
      </c>
      <c r="N10" s="39" t="n">
        <v>15</v>
      </c>
    </row>
    <row r="11">
      <c r="A11" s="5" t="n"/>
      <c r="B11" s="5" t="inlineStr">
        <is>
          <t>성형외과</t>
        </is>
      </c>
      <c r="C11" s="5" t="n"/>
      <c r="F11" s="5" t="inlineStr">
        <is>
          <t>성형외과</t>
        </is>
      </c>
      <c r="G11" s="5" t="inlineStr">
        <is>
          <t>성형외과</t>
        </is>
      </c>
      <c r="J11" s="5" t="inlineStr">
        <is>
          <t>창원</t>
        </is>
      </c>
      <c r="K11" s="5" t="inlineStr">
        <is>
          <t>창원병원</t>
        </is>
      </c>
      <c r="M11" s="37" t="inlineStr">
        <is>
          <t>종료 임박 기준(일)</t>
        </is>
      </c>
      <c r="N11" s="39" t="n">
        <v>30</v>
      </c>
    </row>
    <row r="12">
      <c r="A12" s="5" t="n"/>
      <c r="B12" s="5" t="inlineStr">
        <is>
          <t>산부인과</t>
        </is>
      </c>
      <c r="F12" s="5" t="inlineStr">
        <is>
          <t>산부인과</t>
        </is>
      </c>
      <c r="G12" s="5" t="inlineStr">
        <is>
          <t>산부인과</t>
        </is>
      </c>
      <c r="J12" s="5" t="inlineStr">
        <is>
          <t>제주</t>
        </is>
      </c>
      <c r="K12" s="5" t="inlineStr">
        <is>
          <t>제주병원</t>
        </is>
      </c>
      <c r="M12" s="8" t="inlineStr">
        <is>
          <t>※ 급여 기준월: 다른 달을 보려면 그 달 1일 날짜를 입력. 비우면 안 됩니다(기본 수식 = 이번 달 1일).</t>
        </is>
      </c>
    </row>
    <row r="13">
      <c r="A13" s="5" t="n"/>
      <c r="B13" s="5" t="inlineStr">
        <is>
          <t>안과</t>
        </is>
      </c>
      <c r="F13" s="5" t="inlineStr">
        <is>
          <t>안과</t>
        </is>
      </c>
      <c r="G13" s="5" t="inlineStr">
        <is>
          <t>안과</t>
        </is>
      </c>
      <c r="J13" s="5" t="inlineStr">
        <is>
          <t>오산</t>
        </is>
      </c>
      <c r="K13" s="5" t="inlineStr">
        <is>
          <t>오산병원</t>
        </is>
      </c>
    </row>
    <row r="14">
      <c r="A14" s="5" t="n"/>
      <c r="B14" s="5" t="inlineStr">
        <is>
          <t>이비인후과</t>
        </is>
      </c>
      <c r="F14" s="5" t="inlineStr">
        <is>
          <t>이비인후과</t>
        </is>
      </c>
      <c r="G14" s="5" t="inlineStr">
        <is>
          <t>이비인후과</t>
        </is>
      </c>
      <c r="J14" s="5" t="inlineStr">
        <is>
          <t>한양대학교병원</t>
        </is>
      </c>
      <c r="K14" s="5" t="inlineStr">
        <is>
          <t>서울병원</t>
        </is>
      </c>
    </row>
    <row r="15">
      <c r="A15" s="5" t="n"/>
      <c r="B15" s="5" t="inlineStr">
        <is>
          <t>비뇨의학과</t>
        </is>
      </c>
      <c r="F15" s="5" t="inlineStr">
        <is>
          <t>비뇨의학과</t>
        </is>
      </c>
      <c r="G15" s="5" t="inlineStr">
        <is>
          <t>비뇨의학과</t>
        </is>
      </c>
      <c r="J15" s="5" t="inlineStr">
        <is>
          <t>한양대병원</t>
        </is>
      </c>
      <c r="K15" s="5" t="inlineStr">
        <is>
          <t>서울병원</t>
        </is>
      </c>
    </row>
    <row r="16">
      <c r="A16" s="5" t="n"/>
      <c r="B16" s="5" t="inlineStr">
        <is>
          <t>재활의학과</t>
        </is>
      </c>
      <c r="F16" s="5" t="inlineStr">
        <is>
          <t>재활의학과</t>
        </is>
      </c>
      <c r="G16" s="5" t="inlineStr">
        <is>
          <t>재활의학과</t>
        </is>
      </c>
      <c r="J16" s="5" t="inlineStr">
        <is>
          <t>한양대서울병원</t>
        </is>
      </c>
      <c r="K16" s="5" t="inlineStr">
        <is>
          <t>서울병원</t>
        </is>
      </c>
    </row>
    <row r="17">
      <c r="A17" s="5" t="n"/>
      <c r="B17" s="5" t="inlineStr">
        <is>
          <t>마취통증의학과</t>
        </is>
      </c>
      <c r="F17" s="5" t="inlineStr">
        <is>
          <t>마취통증의학과</t>
        </is>
      </c>
      <c r="G17" s="5" t="inlineStr">
        <is>
          <t>마취통증의학과</t>
        </is>
      </c>
      <c r="J17" s="5" t="inlineStr">
        <is>
          <t>한양대구리병원</t>
        </is>
      </c>
      <c r="K17" s="5" t="inlineStr">
        <is>
          <t>구리병원</t>
        </is>
      </c>
    </row>
    <row r="18">
      <c r="A18" s="5" t="n"/>
      <c r="B18" s="5" t="inlineStr">
        <is>
          <t>영상의학과</t>
        </is>
      </c>
      <c r="F18" s="5" t="inlineStr">
        <is>
          <t>영상의학과</t>
        </is>
      </c>
      <c r="G18" s="5" t="inlineStr">
        <is>
          <t>영상의학과</t>
        </is>
      </c>
      <c r="J18" s="5" t="inlineStr">
        <is>
          <t>에스중앙병원</t>
        </is>
      </c>
      <c r="K18" s="5" t="inlineStr">
        <is>
          <t>제주병원</t>
        </is>
      </c>
    </row>
    <row r="19">
      <c r="A19" s="5" t="n"/>
      <c r="B19" s="5" t="inlineStr">
        <is>
          <t>진단검사의학과</t>
        </is>
      </c>
      <c r="F19" s="5" t="inlineStr">
        <is>
          <t>진단검사의학과</t>
        </is>
      </c>
      <c r="G19" s="5" t="inlineStr">
        <is>
          <t>진단검사의학과</t>
        </is>
      </c>
      <c r="J19" s="5" t="inlineStr">
        <is>
          <t>에스중앙</t>
        </is>
      </c>
      <c r="K19" s="5" t="inlineStr">
        <is>
          <t>제주병원</t>
        </is>
      </c>
    </row>
    <row r="20">
      <c r="A20" s="5" t="n"/>
      <c r="B20" s="5" t="inlineStr">
        <is>
          <t>병리과</t>
        </is>
      </c>
      <c r="F20" s="5" t="inlineStr">
        <is>
          <t>병리과</t>
        </is>
      </c>
      <c r="G20" s="5" t="inlineStr">
        <is>
          <t>병리과</t>
        </is>
      </c>
      <c r="J20" s="5" t="n"/>
      <c r="K20" s="5" t="n"/>
    </row>
    <row r="21">
      <c r="A21" s="5" t="n"/>
      <c r="B21" s="5" t="inlineStr">
        <is>
          <t>가정의학과</t>
        </is>
      </c>
      <c r="F21" s="5" t="inlineStr">
        <is>
          <t>가정의학과</t>
        </is>
      </c>
      <c r="G21" s="5" t="inlineStr">
        <is>
          <t>가정의학과</t>
        </is>
      </c>
      <c r="J21" s="5" t="n"/>
      <c r="K21" s="5" t="n"/>
    </row>
    <row r="22">
      <c r="B22" s="5" t="inlineStr">
        <is>
          <t>응급의학과</t>
        </is>
      </c>
      <c r="F22" s="5" t="inlineStr">
        <is>
          <t>응급의학과</t>
        </is>
      </c>
      <c r="G22" s="5" t="inlineStr">
        <is>
          <t>응급의학과</t>
        </is>
      </c>
      <c r="J22" s="5" t="n"/>
      <c r="K22" s="5" t="n"/>
    </row>
    <row r="23">
      <c r="B23" s="5" t="inlineStr">
        <is>
          <t>핵의학과</t>
        </is>
      </c>
      <c r="F23" s="5" t="inlineStr">
        <is>
          <t>핵의학과</t>
        </is>
      </c>
      <c r="G23" s="5" t="inlineStr">
        <is>
          <t>핵의학과</t>
        </is>
      </c>
      <c r="J23" s="5" t="n"/>
      <c r="K23" s="5" t="n"/>
    </row>
    <row r="24">
      <c r="B24" s="5" t="inlineStr">
        <is>
          <t>직업환경의학과</t>
        </is>
      </c>
      <c r="F24" s="5" t="inlineStr">
        <is>
          <t>직업환경의학과</t>
        </is>
      </c>
      <c r="G24" s="5" t="inlineStr">
        <is>
          <t>직업환경의학과</t>
        </is>
      </c>
      <c r="J24" s="5" t="n"/>
      <c r="K24" s="5" t="n"/>
    </row>
    <row r="25">
      <c r="B25" s="5" t="inlineStr">
        <is>
          <t>수련교육부(인턴)</t>
        </is>
      </c>
      <c r="F25" s="5" t="inlineStr">
        <is>
          <t>수련교육부(인턴)</t>
        </is>
      </c>
      <c r="G25" s="5" t="inlineStr">
        <is>
          <t>수련교육부(인턴)</t>
        </is>
      </c>
      <c r="J25" s="5" t="n"/>
      <c r="K25" s="5" t="n"/>
    </row>
    <row r="26">
      <c r="B26" s="5" t="n"/>
      <c r="F26" s="5" t="inlineStr">
        <is>
          <t>소아과</t>
        </is>
      </c>
      <c r="G26" s="5" t="inlineStr">
        <is>
          <t>소아청소년과</t>
        </is>
      </c>
      <c r="J26" s="5" t="n"/>
      <c r="K26" s="5" t="n"/>
    </row>
    <row r="27">
      <c r="B27" s="5" t="n"/>
      <c r="F27" s="5" t="inlineStr">
        <is>
          <t>소청</t>
        </is>
      </c>
      <c r="G27" s="5" t="inlineStr">
        <is>
          <t>소아청소년과</t>
        </is>
      </c>
      <c r="J27" s="5" t="n"/>
      <c r="K27" s="5" t="n"/>
    </row>
    <row r="28">
      <c r="B28" s="5" t="n"/>
      <c r="F28" s="5" t="inlineStr">
        <is>
          <t>소청과</t>
        </is>
      </c>
      <c r="G28" s="5" t="inlineStr">
        <is>
          <t>소아청소년과</t>
        </is>
      </c>
      <c r="J28" s="5" t="n"/>
      <c r="K28" s="5" t="n"/>
    </row>
    <row r="29">
      <c r="B29" s="5" t="n"/>
      <c r="F29" s="5" t="inlineStr">
        <is>
          <t>정신과</t>
        </is>
      </c>
      <c r="G29" s="5" t="inlineStr">
        <is>
          <t>정신건강의학과</t>
        </is>
      </c>
      <c r="J29" s="5" t="n"/>
      <c r="K29" s="5" t="n"/>
    </row>
    <row r="30">
      <c r="B30" s="5" t="n"/>
      <c r="F30" s="5" t="inlineStr">
        <is>
          <t>정신</t>
        </is>
      </c>
      <c r="G30" s="5" t="inlineStr">
        <is>
          <t>정신건강의학과</t>
        </is>
      </c>
      <c r="J30" s="5" t="n"/>
      <c r="K30" s="5" t="n"/>
    </row>
    <row r="31">
      <c r="B31" s="5" t="n"/>
      <c r="F31" s="5" t="inlineStr">
        <is>
          <t>흉부외과</t>
        </is>
      </c>
      <c r="G31" s="5" t="inlineStr">
        <is>
          <t>심장혈관흉부외과</t>
        </is>
      </c>
      <c r="J31" s="5" t="n"/>
      <c r="K31" s="5" t="n"/>
    </row>
    <row r="32">
      <c r="B32" s="5" t="n"/>
      <c r="F32" s="5" t="inlineStr">
        <is>
          <t>흉외</t>
        </is>
      </c>
      <c r="G32" s="5" t="inlineStr">
        <is>
          <t>심장혈관흉부외과</t>
        </is>
      </c>
      <c r="J32" s="5" t="n"/>
      <c r="K32" s="5" t="n"/>
    </row>
    <row r="33">
      <c r="B33" s="5" t="n"/>
      <c r="F33" s="5" t="inlineStr">
        <is>
          <t>심장혈관흉부</t>
        </is>
      </c>
      <c r="G33" s="5" t="inlineStr">
        <is>
          <t>심장혈관흉부외과</t>
        </is>
      </c>
      <c r="J33" s="5" t="n"/>
      <c r="K33" s="5" t="n"/>
    </row>
    <row r="34">
      <c r="B34" s="5" t="n"/>
      <c r="F34" s="5" t="inlineStr">
        <is>
          <t>정형</t>
        </is>
      </c>
      <c r="G34" s="5" t="inlineStr">
        <is>
          <t>정형외과</t>
        </is>
      </c>
      <c r="J34" s="5" t="n"/>
      <c r="K34" s="5" t="n"/>
    </row>
    <row r="35">
      <c r="B35" s="5" t="n"/>
      <c r="F35" s="5" t="inlineStr">
        <is>
          <t>신외</t>
        </is>
      </c>
      <c r="G35" s="5" t="inlineStr">
        <is>
          <t>신경외과</t>
        </is>
      </c>
      <c r="J35" s="5" t="n"/>
      <c r="K35" s="5" t="n"/>
    </row>
    <row r="36">
      <c r="B36" s="5" t="n"/>
      <c r="F36" s="5" t="inlineStr">
        <is>
          <t>성형</t>
        </is>
      </c>
      <c r="G36" s="5" t="inlineStr">
        <is>
          <t>성형외과</t>
        </is>
      </c>
      <c r="J36" s="5" t="n"/>
      <c r="K36" s="5" t="n"/>
    </row>
    <row r="37">
      <c r="B37" s="5" t="n"/>
      <c r="F37" s="5" t="inlineStr">
        <is>
          <t>산부</t>
        </is>
      </c>
      <c r="G37" s="5" t="inlineStr">
        <is>
          <t>산부인과</t>
        </is>
      </c>
      <c r="J37" s="5" t="n"/>
      <c r="K37" s="5" t="n"/>
    </row>
    <row r="38">
      <c r="B38" s="5" t="n"/>
      <c r="F38" s="5" t="inlineStr">
        <is>
          <t>이비</t>
        </is>
      </c>
      <c r="G38" s="5" t="inlineStr">
        <is>
          <t>이비인후과</t>
        </is>
      </c>
      <c r="J38" s="5" t="n"/>
      <c r="K38" s="5" t="n"/>
    </row>
    <row r="39">
      <c r="B39" s="5" t="n"/>
      <c r="F39" s="5" t="inlineStr">
        <is>
          <t>이비인후</t>
        </is>
      </c>
      <c r="G39" s="5" t="inlineStr">
        <is>
          <t>이비인후과</t>
        </is>
      </c>
      <c r="J39" s="5" t="n"/>
      <c r="K39" s="5" t="n"/>
    </row>
    <row r="40">
      <c r="B40" s="5" t="n"/>
      <c r="F40" s="5" t="inlineStr">
        <is>
          <t>비뇨</t>
        </is>
      </c>
      <c r="G40" s="5" t="inlineStr">
        <is>
          <t>비뇨의학과</t>
        </is>
      </c>
      <c r="J40" s="5" t="n"/>
      <c r="K40" s="5" t="n"/>
    </row>
    <row r="41">
      <c r="B41" s="5" t="n"/>
      <c r="F41" s="5" t="inlineStr">
        <is>
          <t>비뇨기과</t>
        </is>
      </c>
      <c r="G41" s="5" t="inlineStr">
        <is>
          <t>비뇨의학과</t>
        </is>
      </c>
      <c r="J41" s="5" t="n"/>
      <c r="K41" s="5" t="n"/>
    </row>
    <row r="42">
      <c r="F42" s="5" t="inlineStr">
        <is>
          <t>재활</t>
        </is>
      </c>
      <c r="G42" s="5" t="inlineStr">
        <is>
          <t>재활의학과</t>
        </is>
      </c>
      <c r="J42" s="5" t="n"/>
      <c r="K42" s="5" t="n"/>
    </row>
    <row r="43">
      <c r="F43" s="5" t="inlineStr">
        <is>
          <t>마취</t>
        </is>
      </c>
      <c r="G43" s="5" t="inlineStr">
        <is>
          <t>마취통증의학과</t>
        </is>
      </c>
      <c r="J43" s="5" t="n"/>
      <c r="K43" s="5" t="n"/>
    </row>
    <row r="44">
      <c r="F44" s="5" t="inlineStr">
        <is>
          <t>마통</t>
        </is>
      </c>
      <c r="G44" s="5" t="inlineStr">
        <is>
          <t>마취통증의학과</t>
        </is>
      </c>
      <c r="J44" s="5" t="n"/>
      <c r="K44" s="5" t="n"/>
    </row>
    <row r="45">
      <c r="F45" s="5" t="inlineStr">
        <is>
          <t>영상</t>
        </is>
      </c>
      <c r="G45" s="5" t="inlineStr">
        <is>
          <t>영상의학과</t>
        </is>
      </c>
      <c r="J45" s="5" t="n"/>
      <c r="K45" s="5" t="n"/>
    </row>
    <row r="46">
      <c r="F46" s="5" t="inlineStr">
        <is>
          <t>진검</t>
        </is>
      </c>
      <c r="G46" s="5" t="inlineStr">
        <is>
          <t>진단검사의학과</t>
        </is>
      </c>
      <c r="J46" s="5" t="n"/>
      <c r="K46" s="5" t="n"/>
    </row>
    <row r="47">
      <c r="F47" s="5" t="inlineStr">
        <is>
          <t>진단검사</t>
        </is>
      </c>
      <c r="G47" s="5" t="inlineStr">
        <is>
          <t>진단검사의학과</t>
        </is>
      </c>
      <c r="J47" s="5" t="n"/>
      <c r="K47" s="5" t="n"/>
    </row>
    <row r="48">
      <c r="F48" s="5" t="inlineStr">
        <is>
          <t>병리</t>
        </is>
      </c>
      <c r="G48" s="5" t="inlineStr">
        <is>
          <t>병리과</t>
        </is>
      </c>
      <c r="J48" s="5" t="n"/>
      <c r="K48" s="5" t="n"/>
    </row>
    <row r="49">
      <c r="F49" s="5" t="inlineStr">
        <is>
          <t>가정</t>
        </is>
      </c>
      <c r="G49" s="5" t="inlineStr">
        <is>
          <t>가정의학과</t>
        </is>
      </c>
      <c r="J49" s="5" t="n"/>
      <c r="K49" s="5" t="n"/>
    </row>
    <row r="50">
      <c r="F50" s="5" t="inlineStr">
        <is>
          <t>가정의학</t>
        </is>
      </c>
      <c r="G50" s="5" t="inlineStr">
        <is>
          <t>가정의학과</t>
        </is>
      </c>
      <c r="J50" s="5" t="n"/>
      <c r="K50" s="5" t="n"/>
    </row>
    <row r="51">
      <c r="F51" s="5" t="inlineStr">
        <is>
          <t>응급</t>
        </is>
      </c>
      <c r="G51" s="5" t="inlineStr">
        <is>
          <t>응급의학과</t>
        </is>
      </c>
      <c r="J51" s="5" t="n"/>
      <c r="K51" s="5" t="n"/>
    </row>
    <row r="52">
      <c r="F52" s="5" t="inlineStr">
        <is>
          <t>핵의학</t>
        </is>
      </c>
      <c r="G52" s="5" t="inlineStr">
        <is>
          <t>핵의학과</t>
        </is>
      </c>
      <c r="J52" s="5" t="n"/>
      <c r="K52" s="5" t="n"/>
    </row>
    <row r="53">
      <c r="F53" s="5" t="inlineStr">
        <is>
          <t>핵</t>
        </is>
      </c>
      <c r="G53" s="5" t="inlineStr">
        <is>
          <t>핵의학과</t>
        </is>
      </c>
      <c r="J53" s="5" t="n"/>
      <c r="K53" s="5" t="n"/>
    </row>
    <row r="54">
      <c r="F54" s="5" t="inlineStr">
        <is>
          <t>직업환경</t>
        </is>
      </c>
      <c r="G54" s="5" t="inlineStr">
        <is>
          <t>직업환경의학과</t>
        </is>
      </c>
      <c r="J54" s="5" t="n"/>
      <c r="K54" s="5" t="n"/>
    </row>
    <row r="55">
      <c r="F55" s="5" t="inlineStr">
        <is>
          <t>직환</t>
        </is>
      </c>
      <c r="G55" s="5" t="inlineStr">
        <is>
          <t>직업환경의학과</t>
        </is>
      </c>
      <c r="J55" s="5" t="n"/>
      <c r="K55" s="5" t="n"/>
    </row>
    <row r="56">
      <c r="F56" s="5" t="inlineStr">
        <is>
          <t>수련교육부</t>
        </is>
      </c>
      <c r="G56" s="5" t="inlineStr">
        <is>
          <t>수련교육부(인턴)</t>
        </is>
      </c>
      <c r="J56" s="5" t="n"/>
      <c r="K56" s="5" t="n"/>
    </row>
    <row r="57">
      <c r="F57" s="5" t="inlineStr">
        <is>
          <t>인턴</t>
        </is>
      </c>
      <c r="G57" s="5" t="inlineStr">
        <is>
          <t>수련교육부(인턴)</t>
        </is>
      </c>
      <c r="J57" s="5" t="n"/>
      <c r="K57" s="5" t="n"/>
    </row>
    <row r="58">
      <c r="F58" s="5" t="inlineStr">
        <is>
          <t>핵방</t>
        </is>
      </c>
      <c r="G58" s="5" t="inlineStr">
        <is>
          <t>핵/방</t>
        </is>
      </c>
      <c r="J58" s="5" t="n"/>
      <c r="K58" s="5" t="n"/>
    </row>
    <row r="59">
      <c r="F59" s="5" t="inlineStr">
        <is>
          <t>핵/방</t>
        </is>
      </c>
      <c r="G59" s="5" t="inlineStr">
        <is>
          <t>핵/방</t>
        </is>
      </c>
      <c r="J59" s="5" t="n"/>
      <c r="K59" s="5" t="n"/>
    </row>
    <row r="60">
      <c r="F60" s="5" t="inlineStr">
        <is>
          <t>통합</t>
        </is>
      </c>
      <c r="G60" s="5" t="inlineStr">
        <is>
          <t>통합</t>
        </is>
      </c>
      <c r="J60" s="5" t="n"/>
      <c r="K60" s="5" t="n"/>
    </row>
    <row r="61">
      <c r="F61" s="5" t="n"/>
      <c r="G61" s="5" t="n"/>
      <c r="J61" s="5" t="n"/>
      <c r="K61" s="5" t="n"/>
    </row>
    <row r="62">
      <c r="F62" s="5" t="n"/>
      <c r="G62" s="5" t="n"/>
      <c r="J62" s="5" t="n"/>
      <c r="K62" s="5" t="n"/>
    </row>
    <row r="63">
      <c r="F63" s="5" t="n"/>
      <c r="G63" s="5" t="n"/>
      <c r="J63" s="5" t="n"/>
      <c r="K63" s="5" t="n"/>
    </row>
    <row r="64">
      <c r="F64" s="5" t="n"/>
      <c r="G64" s="5" t="n"/>
      <c r="J64" s="5" t="n"/>
      <c r="K64" s="5" t="n"/>
    </row>
    <row r="65">
      <c r="F65" s="5" t="n"/>
      <c r="G65" s="5" t="n"/>
      <c r="J65" s="5" t="n"/>
      <c r="K65" s="5" t="n"/>
    </row>
    <row r="66">
      <c r="F66" s="5" t="n"/>
      <c r="G66" s="5" t="n"/>
      <c r="J66" s="5" t="n"/>
      <c r="K66" s="5" t="n"/>
    </row>
    <row r="67">
      <c r="F67" s="5" t="n"/>
      <c r="G67" s="5" t="n"/>
      <c r="J67" s="5" t="n"/>
      <c r="K67" s="5" t="n"/>
    </row>
    <row r="68">
      <c r="F68" s="5" t="n"/>
      <c r="G68" s="5" t="n"/>
      <c r="J68" s="5" t="n"/>
      <c r="K68" s="5" t="n"/>
    </row>
    <row r="69">
      <c r="F69" s="5" t="n"/>
      <c r="G69" s="5" t="n"/>
      <c r="J69" s="5" t="n"/>
      <c r="K69" s="5" t="n"/>
    </row>
    <row r="70">
      <c r="F70" s="5" t="n"/>
      <c r="G70" s="5" t="n"/>
      <c r="J70" s="5" t="n"/>
      <c r="K70" s="5" t="n"/>
    </row>
    <row r="71">
      <c r="F71" s="5" t="n"/>
      <c r="G71" s="5" t="n"/>
      <c r="J71" s="5" t="n"/>
      <c r="K71" s="5" t="n"/>
    </row>
    <row r="72">
      <c r="F72" s="5" t="n"/>
      <c r="G72" s="5" t="n"/>
      <c r="J72" s="5" t="n"/>
      <c r="K72" s="5" t="n"/>
    </row>
    <row r="73">
      <c r="F73" s="5" t="n"/>
      <c r="G73" s="5" t="n"/>
      <c r="J73" s="5" t="n"/>
      <c r="K73" s="5" t="n"/>
    </row>
    <row r="74">
      <c r="F74" s="5" t="n"/>
      <c r="G74" s="5" t="n"/>
      <c r="J74" s="5" t="n"/>
      <c r="K74" s="5" t="n"/>
    </row>
    <row r="75">
      <c r="F75" s="5" t="n"/>
      <c r="G75" s="5" t="n"/>
      <c r="J75" s="5" t="n"/>
      <c r="K75" s="5" t="n"/>
    </row>
    <row r="76">
      <c r="F76" s="5" t="n"/>
      <c r="G76" s="5" t="n"/>
      <c r="J76" s="5" t="n"/>
      <c r="K76" s="5" t="n"/>
    </row>
    <row r="77">
      <c r="F77" s="5" t="n"/>
      <c r="G77" s="5" t="n"/>
      <c r="J77" s="5" t="n"/>
      <c r="K77" s="5" t="n"/>
    </row>
    <row r="78">
      <c r="F78" s="5" t="n"/>
      <c r="G78" s="5" t="n"/>
      <c r="J78" s="5" t="n"/>
      <c r="K78" s="5" t="n"/>
    </row>
    <row r="79">
      <c r="F79" s="5" t="n"/>
      <c r="G79" s="5" t="n"/>
      <c r="J79" s="5" t="n"/>
      <c r="K79" s="5" t="n"/>
    </row>
    <row r="80">
      <c r="F80" s="5" t="n"/>
      <c r="G80" s="5" t="n"/>
      <c r="J80" s="5" t="n"/>
      <c r="K80" s="5" t="n"/>
    </row>
    <row r="81">
      <c r="F81" s="5" t="n"/>
      <c r="G81" s="5" t="n"/>
      <c r="J81" s="5" t="n"/>
      <c r="K81" s="5" t="n"/>
    </row>
    <row r="82">
      <c r="F82" s="5" t="n"/>
      <c r="G82" s="5" t="n"/>
      <c r="J82" s="5" t="n"/>
      <c r="K82" s="5" t="n"/>
    </row>
    <row r="83">
      <c r="F83" s="5" t="n"/>
      <c r="G83" s="5" t="n"/>
      <c r="J83" s="5" t="n"/>
      <c r="K83" s="5" t="n"/>
    </row>
    <row r="84">
      <c r="F84" s="5" t="n"/>
      <c r="G84" s="5" t="n"/>
      <c r="J84" s="5" t="n"/>
      <c r="K84" s="5" t="n"/>
    </row>
    <row r="85">
      <c r="F85" s="5" t="n"/>
      <c r="G85" s="5" t="n"/>
      <c r="J85" s="5" t="n"/>
      <c r="K85" s="5" t="n"/>
    </row>
    <row r="86">
      <c r="F86" s="5" t="n"/>
      <c r="G86" s="5" t="n"/>
      <c r="J86" s="5" t="n"/>
      <c r="K86" s="5" t="n"/>
    </row>
    <row r="87">
      <c r="F87" s="5" t="n"/>
      <c r="G87" s="5" t="n"/>
      <c r="J87" s="5" t="n"/>
      <c r="K87" s="5" t="n"/>
    </row>
    <row r="88">
      <c r="F88" s="5" t="n"/>
      <c r="G88" s="5" t="n"/>
      <c r="J88" s="5" t="n"/>
      <c r="K88" s="5" t="n"/>
    </row>
    <row r="89">
      <c r="F89" s="5" t="n"/>
      <c r="G89" s="5" t="n"/>
      <c r="J89" s="5" t="n"/>
      <c r="K89" s="5" t="n"/>
    </row>
    <row r="90">
      <c r="F90" s="5" t="n"/>
      <c r="G90" s="5" t="n"/>
      <c r="J90" s="5" t="n"/>
      <c r="K90" s="5" t="n"/>
    </row>
    <row r="91">
      <c r="F91" s="5" t="n"/>
      <c r="G91" s="5" t="n"/>
      <c r="J91" s="5" t="n"/>
      <c r="K91" s="5" t="n"/>
    </row>
    <row r="92">
      <c r="F92" s="5" t="n"/>
      <c r="G92" s="5" t="n"/>
      <c r="J92" s="5" t="n"/>
      <c r="K92" s="5" t="n"/>
    </row>
    <row r="93">
      <c r="F93" s="5" t="n"/>
      <c r="G93" s="5" t="n"/>
      <c r="J93" s="5" t="n"/>
      <c r="K93" s="5" t="n"/>
    </row>
    <row r="94">
      <c r="F94" s="5" t="n"/>
      <c r="G94" s="5" t="n"/>
      <c r="J94" s="5" t="n"/>
      <c r="K94" s="5" t="n"/>
    </row>
    <row r="95">
      <c r="F95" s="5" t="n"/>
      <c r="G95" s="5" t="n"/>
      <c r="J95" s="5" t="n"/>
      <c r="K95" s="5" t="n"/>
    </row>
    <row r="96">
      <c r="F96" s="5" t="n"/>
      <c r="G96" s="5" t="n"/>
      <c r="J96" s="5" t="n"/>
      <c r="K96" s="5" t="n"/>
    </row>
    <row r="97">
      <c r="F97" s="5" t="n"/>
      <c r="G97" s="5" t="n"/>
      <c r="J97" s="5" t="n"/>
      <c r="K97" s="5" t="n"/>
    </row>
    <row r="98">
      <c r="F98" s="5" t="n"/>
      <c r="G98" s="5" t="n"/>
      <c r="J98" s="5" t="n"/>
      <c r="K98" s="5" t="n"/>
    </row>
    <row r="99">
      <c r="F99" s="5" t="n"/>
      <c r="G99" s="5" t="n"/>
      <c r="J99" s="5" t="n"/>
      <c r="K99" s="5" t="n"/>
    </row>
    <row r="100">
      <c r="F100" s="5" t="n"/>
      <c r="G100" s="5" t="n"/>
      <c r="J100" s="5" t="n"/>
      <c r="K100" s="5" t="n"/>
    </row>
    <row r="101">
      <c r="F101" s="5" t="n"/>
      <c r="G101" s="5" t="n"/>
      <c r="J101" s="5" t="n"/>
      <c r="K10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2026-10-05T06:18:21Z</dcterms:created>
  <dcterms:modified xsi:type="dcterms:W3CDTF">2026-10-05T06:18:23Z</dcterms:modified>
</cp:coreProperties>
</file>